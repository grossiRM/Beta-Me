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2_Beta-Me\data\Beta\"/>
    </mc:Choice>
  </mc:AlternateContent>
  <xr:revisionPtr revIDLastSave="0" documentId="13_ncr:1_{825D39B1-ED64-4195-86CB-6278CF6CEA91}" xr6:coauthVersionLast="47" xr6:coauthVersionMax="47" xr10:uidLastSave="{00000000-0000-0000-0000-000000000000}"/>
  <bookViews>
    <workbookView xWindow="-120" yWindow="-120" windowWidth="29040" windowHeight="16440" xr2:uid="{3B201ABE-0149-4D03-8883-45FFC51BA81D}"/>
  </bookViews>
  <sheets>
    <sheet name="o01" sheetId="1" r:id="rId1"/>
  </sheets>
  <externalReferences>
    <externalReference r:id="rId2"/>
  </externalReferences>
  <definedNames>
    <definedName name="a" localSheetId="0">#REF!</definedName>
    <definedName name="a">#REF!</definedName>
    <definedName name="ai" localSheetId="0">#REF!</definedName>
    <definedName name="ai">#REF!</definedName>
    <definedName name="aq" localSheetId="0">#REF!</definedName>
    <definedName name="aq">#REF!</definedName>
    <definedName name="AV" localSheetId="0">#REF!</definedName>
    <definedName name="AV">#REF!</definedName>
    <definedName name="Coord">#REF!</definedName>
    <definedName name="CS" localSheetId="0">[1]IN!#REF!</definedName>
    <definedName name="CS">[1]IN!#REF!</definedName>
    <definedName name="CZ">[1]IN!#REF!</definedName>
    <definedName name="DG">[1]IN!#REF!</definedName>
    <definedName name="earlier" localSheetId="0">[1]IN!#REF!</definedName>
    <definedName name="earlier">[1]IN!#REF!</definedName>
    <definedName name="EG">#REF!</definedName>
    <definedName name="EI" localSheetId="0">#REF!</definedName>
    <definedName name="EI">#REF!</definedName>
    <definedName name="HLinst">#REF!</definedName>
    <definedName name="HP">[1]IN!#REF!</definedName>
    <definedName name="I" localSheetId="0">#REF!</definedName>
    <definedName name="I">#REF!</definedName>
    <definedName name="JA">[1]IN!#REF!</definedName>
    <definedName name="Mean_A" localSheetId="0">#REF!</definedName>
    <definedName name="Mean_A">#REF!</definedName>
    <definedName name="mean_X" localSheetId="0">#REF!</definedName>
    <definedName name="mean_X">#REF!</definedName>
    <definedName name="mean_X." localSheetId="0">#REF!</definedName>
    <definedName name="mean_X.">#REF!</definedName>
    <definedName name="mean_Y" localSheetId="0">#REF!</definedName>
    <definedName name="mean_Y">#REF!</definedName>
    <definedName name="mean_Y." localSheetId="0">#REF!</definedName>
    <definedName name="mean_Y.">#REF!</definedName>
    <definedName name="mu">#REF!</definedName>
    <definedName name="mu_A">#REF!</definedName>
    <definedName name="mu_B">#REF!</definedName>
    <definedName name="P1_A">#REF!</definedName>
    <definedName name="P2_A">#REF!</definedName>
    <definedName name="P3_A">#REF!</definedName>
    <definedName name="P4_A">#REF!</definedName>
    <definedName name="P5_A">#REF!</definedName>
    <definedName name="Rot">#REF!</definedName>
    <definedName name="SD_A">#REF!</definedName>
    <definedName name="SD_X" localSheetId="0">#REF!</definedName>
    <definedName name="SD_X">#REF!</definedName>
    <definedName name="SD_Y" localSheetId="0">#REF!</definedName>
    <definedName name="SD_Y">#REF!</definedName>
    <definedName name="sigma">#REF!</definedName>
    <definedName name="sigma_AB">#REF!</definedName>
    <definedName name="sigma2_A">#REF!</definedName>
    <definedName name="sigma2_B">#REF!</definedName>
    <definedName name="Tab.43">#REF!</definedName>
    <definedName name="Tab.44">#REF!</definedName>
    <definedName name="Target_P">[1]IN!#REF!</definedName>
    <definedName name="Total_Mass">#REF!</definedName>
    <definedName name="Variance_A" localSheetId="0">#REF!</definedName>
    <definedName name="Variance_A">#REF!</definedName>
    <definedName name="WellDischarge_Q_text" localSheetId="0">#REF!</definedName>
    <definedName name="X">#REF!</definedName>
    <definedName name="x_A">#REF!</definedName>
    <definedName name="x_B">#REF!</definedName>
    <definedName name="Xo">#REF!</definedName>
    <definedName name="Yo.1">#REF!</definedName>
    <definedName name="Yo.2">#REF!</definedName>
    <definedName name="yt">[1]IN!#REF!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06" i="1" l="1"/>
  <c r="H1202" i="1"/>
  <c r="AX1200" i="1"/>
  <c r="AW1200" i="1"/>
  <c r="AC1200" i="1"/>
  <c r="AX1199" i="1"/>
  <c r="AW1199" i="1"/>
  <c r="AC1199" i="1"/>
  <c r="AX1198" i="1"/>
  <c r="AW1198" i="1"/>
  <c r="AC1198" i="1"/>
  <c r="AX1197" i="1"/>
  <c r="AW1197" i="1"/>
  <c r="AC1197" i="1"/>
  <c r="AX1196" i="1"/>
  <c r="AW1196" i="1"/>
  <c r="AC1196" i="1"/>
  <c r="AX1195" i="1"/>
  <c r="AW1195" i="1"/>
  <c r="AC1195" i="1"/>
  <c r="AX1194" i="1"/>
  <c r="AW1194" i="1"/>
  <c r="AC1194" i="1"/>
  <c r="AX1193" i="1"/>
  <c r="AW1193" i="1"/>
  <c r="AC1193" i="1"/>
  <c r="AX1192" i="1"/>
  <c r="AW1192" i="1"/>
  <c r="AC1192" i="1"/>
  <c r="AX1191" i="1"/>
  <c r="AW1191" i="1"/>
  <c r="AC1191" i="1"/>
  <c r="AX1190" i="1"/>
  <c r="AW1190" i="1"/>
  <c r="AC1190" i="1"/>
  <c r="AX1189" i="1"/>
  <c r="AW1189" i="1"/>
  <c r="AC1189" i="1"/>
  <c r="AX1188" i="1"/>
  <c r="AW1188" i="1"/>
  <c r="AC1188" i="1"/>
  <c r="AX1187" i="1"/>
  <c r="AW1187" i="1"/>
  <c r="AC1187" i="1"/>
  <c r="AX1186" i="1"/>
  <c r="AW1186" i="1"/>
  <c r="AC1186" i="1"/>
  <c r="AX1185" i="1"/>
  <c r="AW1185" i="1"/>
  <c r="AC1185" i="1"/>
  <c r="AX1184" i="1"/>
  <c r="AW1184" i="1"/>
  <c r="AC1184" i="1"/>
  <c r="AX1183" i="1"/>
  <c r="AW1183" i="1"/>
  <c r="AC1183" i="1"/>
  <c r="AX1182" i="1"/>
  <c r="AW1182" i="1"/>
  <c r="AC1182" i="1"/>
  <c r="AX1181" i="1"/>
  <c r="AW1181" i="1"/>
  <c r="AC1181" i="1"/>
  <c r="AX1180" i="1"/>
  <c r="AW1180" i="1"/>
  <c r="AC1180" i="1"/>
  <c r="AX1179" i="1"/>
  <c r="AW1179" i="1"/>
  <c r="AC1179" i="1"/>
  <c r="AX1178" i="1"/>
  <c r="AW1178" i="1"/>
  <c r="AC1178" i="1"/>
  <c r="AX1177" i="1"/>
  <c r="AW1177" i="1"/>
  <c r="AC1177" i="1"/>
  <c r="AX1176" i="1"/>
  <c r="AW1176" i="1"/>
  <c r="AC1176" i="1"/>
  <c r="AX1175" i="1"/>
  <c r="AW1175" i="1"/>
  <c r="AC1175" i="1"/>
  <c r="AX1174" i="1"/>
  <c r="AW1174" i="1"/>
  <c r="AC1174" i="1"/>
  <c r="AX1173" i="1"/>
  <c r="AW1173" i="1"/>
  <c r="AC1173" i="1"/>
  <c r="AX1172" i="1"/>
  <c r="AW1172" i="1"/>
  <c r="AC1172" i="1"/>
  <c r="AX1171" i="1"/>
  <c r="AW1171" i="1"/>
  <c r="AC1171" i="1"/>
  <c r="AX1170" i="1"/>
  <c r="AW1170" i="1"/>
  <c r="AC1170" i="1"/>
  <c r="AX1169" i="1"/>
  <c r="AW1169" i="1"/>
  <c r="AC1169" i="1"/>
  <c r="AX1168" i="1"/>
  <c r="AW1168" i="1"/>
  <c r="AC1168" i="1"/>
  <c r="AX1167" i="1"/>
  <c r="AW1167" i="1"/>
  <c r="AC1167" i="1"/>
  <c r="AX1166" i="1"/>
  <c r="AW1166" i="1"/>
  <c r="AC1166" i="1"/>
  <c r="AX1165" i="1"/>
  <c r="AW1165" i="1"/>
  <c r="AC1165" i="1"/>
  <c r="AX1164" i="1"/>
  <c r="AW1164" i="1"/>
  <c r="AC1164" i="1"/>
  <c r="AX1163" i="1"/>
  <c r="AW1163" i="1"/>
  <c r="AC1163" i="1"/>
  <c r="AX1162" i="1"/>
  <c r="AW1162" i="1"/>
  <c r="AC1162" i="1"/>
  <c r="AX1161" i="1"/>
  <c r="AW1161" i="1"/>
  <c r="AC1161" i="1"/>
  <c r="AX1160" i="1"/>
  <c r="AW1160" i="1"/>
  <c r="AC1160" i="1"/>
  <c r="AX1159" i="1"/>
  <c r="AW1159" i="1"/>
  <c r="AC1159" i="1"/>
  <c r="AX1158" i="1"/>
  <c r="AW1158" i="1"/>
  <c r="AC1158" i="1"/>
  <c r="AX1157" i="1"/>
  <c r="AW1157" i="1"/>
  <c r="AC1157" i="1"/>
  <c r="AX1156" i="1"/>
  <c r="AW1156" i="1"/>
  <c r="AC1156" i="1"/>
  <c r="AX1155" i="1"/>
  <c r="AW1155" i="1"/>
  <c r="AC1155" i="1"/>
  <c r="AX1154" i="1"/>
  <c r="AW1154" i="1"/>
  <c r="AC1154" i="1"/>
  <c r="AX1153" i="1"/>
  <c r="AW1153" i="1"/>
  <c r="AC1153" i="1"/>
  <c r="AX1152" i="1"/>
  <c r="AW1152" i="1"/>
  <c r="AC1152" i="1"/>
  <c r="AX1151" i="1"/>
  <c r="AW1151" i="1"/>
  <c r="AC1151" i="1"/>
  <c r="AX1150" i="1"/>
  <c r="AW1150" i="1"/>
  <c r="AC1150" i="1"/>
  <c r="AX1149" i="1"/>
  <c r="AW1149" i="1"/>
  <c r="AC1149" i="1"/>
  <c r="AX1148" i="1"/>
  <c r="AW1148" i="1"/>
  <c r="AC1148" i="1"/>
  <c r="AX1147" i="1"/>
  <c r="AW1147" i="1"/>
  <c r="AC1147" i="1"/>
  <c r="AX1146" i="1"/>
  <c r="AW1146" i="1"/>
  <c r="AC1146" i="1"/>
  <c r="AX1145" i="1"/>
  <c r="AW1145" i="1"/>
  <c r="AC1145" i="1"/>
  <c r="AX1144" i="1"/>
  <c r="AW1144" i="1"/>
  <c r="AC1144" i="1"/>
  <c r="AX1143" i="1"/>
  <c r="AW1143" i="1"/>
  <c r="AC1143" i="1"/>
  <c r="AX1142" i="1"/>
  <c r="AW1142" i="1"/>
  <c r="AC1142" i="1"/>
  <c r="AX1141" i="1"/>
  <c r="AW1141" i="1"/>
  <c r="AC1141" i="1"/>
  <c r="AX1140" i="1"/>
  <c r="AW1140" i="1"/>
  <c r="AC1140" i="1"/>
  <c r="AX1139" i="1"/>
  <c r="AW1139" i="1"/>
  <c r="AC1139" i="1"/>
  <c r="AX1138" i="1"/>
  <c r="AW1138" i="1"/>
  <c r="AC1138" i="1"/>
  <c r="AX1137" i="1"/>
  <c r="AW1137" i="1"/>
  <c r="AC1137" i="1"/>
  <c r="AX1136" i="1"/>
  <c r="AW1136" i="1"/>
  <c r="AC1136" i="1"/>
  <c r="AX1135" i="1"/>
  <c r="AW1135" i="1"/>
  <c r="AC1135" i="1"/>
  <c r="AX1134" i="1"/>
  <c r="AW1134" i="1"/>
  <c r="AC1134" i="1"/>
  <c r="AX1133" i="1"/>
  <c r="AW1133" i="1"/>
  <c r="AC1133" i="1"/>
  <c r="AX1132" i="1"/>
  <c r="AW1132" i="1"/>
  <c r="AC1132" i="1"/>
  <c r="AX1131" i="1"/>
  <c r="AW1131" i="1"/>
  <c r="AC1131" i="1"/>
  <c r="AX1130" i="1"/>
  <c r="AW1130" i="1"/>
  <c r="AC1130" i="1"/>
  <c r="AX1129" i="1"/>
  <c r="AW1129" i="1"/>
  <c r="AC1129" i="1"/>
  <c r="AX1128" i="1"/>
  <c r="AW1128" i="1"/>
  <c r="AC1128" i="1"/>
  <c r="AX1127" i="1"/>
  <c r="AW1127" i="1"/>
  <c r="AC1127" i="1"/>
  <c r="AX1126" i="1"/>
  <c r="AW1126" i="1"/>
  <c r="AC1126" i="1"/>
  <c r="AX1125" i="1"/>
  <c r="AW1125" i="1"/>
  <c r="AC1125" i="1"/>
  <c r="AX1124" i="1"/>
  <c r="AW1124" i="1"/>
  <c r="AC1124" i="1"/>
  <c r="AX1123" i="1"/>
  <c r="AW1123" i="1"/>
  <c r="AC1123" i="1"/>
  <c r="AX1122" i="1"/>
  <c r="AW1122" i="1"/>
  <c r="AC1122" i="1"/>
  <c r="AX1121" i="1"/>
  <c r="AW1121" i="1"/>
  <c r="AC1121" i="1"/>
  <c r="AX1120" i="1"/>
  <c r="AW1120" i="1"/>
  <c r="AC1120" i="1"/>
  <c r="AX1119" i="1"/>
  <c r="AW1119" i="1"/>
  <c r="AC1119" i="1"/>
  <c r="AX1118" i="1"/>
  <c r="AW1118" i="1"/>
  <c r="AC1118" i="1"/>
  <c r="AX1117" i="1"/>
  <c r="AW1117" i="1"/>
  <c r="AC1117" i="1"/>
  <c r="AX1116" i="1"/>
  <c r="AW1116" i="1"/>
  <c r="AC1116" i="1"/>
  <c r="AX1115" i="1"/>
  <c r="AW1115" i="1"/>
  <c r="AC1115" i="1"/>
  <c r="AX1114" i="1"/>
  <c r="AW1114" i="1"/>
  <c r="AC1114" i="1"/>
  <c r="AX1113" i="1"/>
  <c r="AW1113" i="1"/>
  <c r="AC1113" i="1"/>
  <c r="AX1112" i="1"/>
  <c r="AW1112" i="1"/>
  <c r="AC1112" i="1"/>
  <c r="AX1111" i="1"/>
  <c r="AW1111" i="1"/>
  <c r="AC1111" i="1"/>
  <c r="AX1110" i="1"/>
  <c r="AW1110" i="1"/>
  <c r="AC1110" i="1"/>
  <c r="AX1109" i="1"/>
  <c r="AW1109" i="1"/>
  <c r="AC1109" i="1"/>
  <c r="AX1108" i="1"/>
  <c r="AW1108" i="1"/>
  <c r="AC1108" i="1"/>
  <c r="AX1107" i="1"/>
  <c r="AW1107" i="1"/>
  <c r="AC1107" i="1"/>
  <c r="AX1106" i="1"/>
  <c r="AW1106" i="1"/>
  <c r="AC1106" i="1"/>
  <c r="AX1105" i="1"/>
  <c r="AW1105" i="1"/>
  <c r="AC1105" i="1"/>
  <c r="AX1104" i="1"/>
  <c r="AW1104" i="1"/>
  <c r="AC1104" i="1"/>
  <c r="AX1103" i="1"/>
  <c r="AW1103" i="1"/>
  <c r="AC1103" i="1"/>
  <c r="AX1102" i="1"/>
  <c r="AW1102" i="1"/>
  <c r="AC1102" i="1"/>
  <c r="AX1101" i="1"/>
  <c r="AW1101" i="1"/>
  <c r="AC1101" i="1"/>
  <c r="AX1100" i="1"/>
  <c r="AW1100" i="1"/>
  <c r="AC1100" i="1"/>
  <c r="AX1099" i="1"/>
  <c r="AW1099" i="1"/>
  <c r="AC1099" i="1"/>
  <c r="AX1098" i="1"/>
  <c r="AW1098" i="1"/>
  <c r="AC1098" i="1"/>
  <c r="AX1097" i="1"/>
  <c r="AW1097" i="1"/>
  <c r="AC1097" i="1"/>
  <c r="AX1096" i="1"/>
  <c r="AW1096" i="1"/>
  <c r="AC1096" i="1"/>
  <c r="AX1095" i="1"/>
  <c r="AW1095" i="1"/>
  <c r="AC1095" i="1"/>
  <c r="AX1094" i="1"/>
  <c r="AW1094" i="1"/>
  <c r="AC1094" i="1"/>
  <c r="AX1093" i="1"/>
  <c r="AW1093" i="1"/>
  <c r="AC1093" i="1"/>
  <c r="AX1092" i="1"/>
  <c r="AW1092" i="1"/>
  <c r="AC1092" i="1"/>
  <c r="AX1091" i="1"/>
  <c r="AW1091" i="1"/>
  <c r="AC1091" i="1"/>
  <c r="AX1090" i="1"/>
  <c r="AW1090" i="1"/>
  <c r="AC1090" i="1"/>
  <c r="AX1089" i="1"/>
  <c r="AW1089" i="1"/>
  <c r="AC1089" i="1"/>
  <c r="AX1088" i="1"/>
  <c r="AW1088" i="1"/>
  <c r="AC1088" i="1"/>
  <c r="AX1087" i="1"/>
  <c r="AW1087" i="1"/>
  <c r="AC1087" i="1"/>
  <c r="AX1086" i="1"/>
  <c r="AW1086" i="1"/>
  <c r="AC1086" i="1"/>
  <c r="AX1085" i="1"/>
  <c r="AW1085" i="1"/>
  <c r="AC1085" i="1"/>
  <c r="AX1084" i="1"/>
  <c r="AW1084" i="1"/>
  <c r="AC1084" i="1"/>
  <c r="AX1083" i="1"/>
  <c r="AW1083" i="1"/>
  <c r="AC1083" i="1"/>
  <c r="AX1082" i="1"/>
  <c r="AW1082" i="1"/>
  <c r="AC1082" i="1"/>
  <c r="AX1081" i="1"/>
  <c r="AW1081" i="1"/>
  <c r="AC1081" i="1"/>
  <c r="AX1080" i="1"/>
  <c r="AW1080" i="1"/>
  <c r="AC1080" i="1"/>
  <c r="AX1079" i="1"/>
  <c r="AW1079" i="1"/>
  <c r="AC1079" i="1"/>
  <c r="AX1078" i="1"/>
  <c r="AW1078" i="1"/>
  <c r="AC1078" i="1"/>
  <c r="AX1077" i="1"/>
  <c r="AW1077" i="1"/>
  <c r="AC1077" i="1"/>
  <c r="AX1076" i="1"/>
  <c r="AW1076" i="1"/>
  <c r="AC1076" i="1"/>
  <c r="AX1075" i="1"/>
  <c r="AW1075" i="1"/>
  <c r="AC1075" i="1"/>
  <c r="AX1074" i="1"/>
  <c r="AW1074" i="1"/>
  <c r="AC1074" i="1"/>
  <c r="AX1073" i="1"/>
  <c r="AW1073" i="1"/>
  <c r="AC1073" i="1"/>
  <c r="AX1072" i="1"/>
  <c r="AW1072" i="1"/>
  <c r="AC1072" i="1"/>
  <c r="AX1071" i="1"/>
  <c r="AW1071" i="1"/>
  <c r="AC1071" i="1"/>
  <c r="AX1070" i="1"/>
  <c r="AW1070" i="1"/>
  <c r="AC1070" i="1"/>
  <c r="AX1069" i="1"/>
  <c r="AW1069" i="1"/>
  <c r="AC1069" i="1"/>
  <c r="AX1068" i="1"/>
  <c r="AW1068" i="1"/>
  <c r="AC1068" i="1"/>
  <c r="AX1067" i="1"/>
  <c r="AW1067" i="1"/>
  <c r="AC1067" i="1"/>
  <c r="AX1066" i="1"/>
  <c r="AW1066" i="1"/>
  <c r="AC1066" i="1"/>
  <c r="AX1065" i="1"/>
  <c r="AW1065" i="1"/>
  <c r="AC1065" i="1"/>
  <c r="AX1064" i="1"/>
  <c r="AW1064" i="1"/>
  <c r="AC1064" i="1"/>
  <c r="AX1063" i="1"/>
  <c r="AW1063" i="1"/>
  <c r="AC1063" i="1"/>
  <c r="AX1062" i="1"/>
  <c r="AW1062" i="1"/>
  <c r="AC1062" i="1"/>
  <c r="AX1061" i="1"/>
  <c r="AW1061" i="1"/>
  <c r="AC1061" i="1"/>
  <c r="AX1060" i="1"/>
  <c r="AW1060" i="1"/>
  <c r="AC1060" i="1"/>
  <c r="AX1059" i="1"/>
  <c r="AW1059" i="1"/>
  <c r="AC1059" i="1"/>
  <c r="AX1058" i="1"/>
  <c r="AW1058" i="1"/>
  <c r="AC1058" i="1"/>
  <c r="AX1057" i="1"/>
  <c r="AW1057" i="1"/>
  <c r="AC1057" i="1"/>
  <c r="AX1056" i="1"/>
  <c r="AW1056" i="1"/>
  <c r="AC1056" i="1"/>
  <c r="AX1055" i="1"/>
  <c r="AW1055" i="1"/>
  <c r="AC1055" i="1"/>
  <c r="AX1054" i="1"/>
  <c r="AW1054" i="1"/>
  <c r="AC1054" i="1"/>
  <c r="AX1053" i="1"/>
  <c r="AW1053" i="1"/>
  <c r="AC1053" i="1"/>
  <c r="AX1052" i="1"/>
  <c r="AW1052" i="1"/>
  <c r="AC1052" i="1"/>
  <c r="AX1051" i="1"/>
  <c r="AW1051" i="1"/>
  <c r="AC1051" i="1"/>
  <c r="AX1050" i="1"/>
  <c r="AW1050" i="1"/>
  <c r="AC1050" i="1"/>
  <c r="AX1049" i="1"/>
  <c r="AW1049" i="1"/>
  <c r="AC1049" i="1"/>
  <c r="AX1048" i="1"/>
  <c r="AW1048" i="1"/>
  <c r="AC1048" i="1"/>
  <c r="AX1047" i="1"/>
  <c r="AW1047" i="1"/>
  <c r="AC1047" i="1"/>
  <c r="AX1046" i="1"/>
  <c r="AW1046" i="1"/>
  <c r="AC1046" i="1"/>
  <c r="AX1045" i="1"/>
  <c r="AW1045" i="1"/>
  <c r="AC1045" i="1"/>
  <c r="AX1044" i="1"/>
  <c r="AW1044" i="1"/>
  <c r="AC1044" i="1"/>
  <c r="AX1043" i="1"/>
  <c r="AW1043" i="1"/>
  <c r="AC1043" i="1"/>
  <c r="AX1042" i="1"/>
  <c r="AW1042" i="1"/>
  <c r="AC1042" i="1"/>
  <c r="AX1041" i="1"/>
  <c r="AW1041" i="1"/>
  <c r="AC1041" i="1"/>
  <c r="AX1040" i="1"/>
  <c r="AW1040" i="1"/>
  <c r="AC1040" i="1"/>
  <c r="AX1039" i="1"/>
  <c r="AW1039" i="1"/>
  <c r="AC1039" i="1"/>
  <c r="AX1038" i="1"/>
  <c r="AW1038" i="1"/>
  <c r="AC1038" i="1"/>
  <c r="AX1037" i="1"/>
  <c r="AW1037" i="1"/>
  <c r="AC1037" i="1"/>
  <c r="AX1036" i="1"/>
  <c r="AW1036" i="1"/>
  <c r="AC1036" i="1"/>
  <c r="AX1035" i="1"/>
  <c r="AW1035" i="1"/>
  <c r="AC1035" i="1"/>
  <c r="AX1034" i="1"/>
  <c r="AW1034" i="1"/>
  <c r="AC1034" i="1"/>
  <c r="AX1033" i="1"/>
  <c r="AW1033" i="1"/>
  <c r="AC1033" i="1"/>
  <c r="AX1032" i="1"/>
  <c r="AW1032" i="1"/>
  <c r="AC1032" i="1"/>
  <c r="AX1031" i="1"/>
  <c r="AW1031" i="1"/>
  <c r="AC1031" i="1"/>
  <c r="AX1030" i="1"/>
  <c r="AW1030" i="1"/>
  <c r="AC1030" i="1"/>
  <c r="AX1029" i="1"/>
  <c r="AW1029" i="1"/>
  <c r="AC1029" i="1"/>
  <c r="AX1028" i="1"/>
  <c r="AW1028" i="1"/>
  <c r="AC1028" i="1"/>
  <c r="AX1027" i="1"/>
  <c r="AW1027" i="1"/>
  <c r="AC1027" i="1"/>
  <c r="AX1026" i="1"/>
  <c r="AW1026" i="1"/>
  <c r="AC1026" i="1"/>
  <c r="AX1025" i="1"/>
  <c r="AW1025" i="1"/>
  <c r="AC1025" i="1"/>
  <c r="AX1024" i="1"/>
  <c r="AW1024" i="1"/>
  <c r="AC1024" i="1"/>
  <c r="AX1023" i="1"/>
  <c r="AW1023" i="1"/>
  <c r="AC1023" i="1"/>
  <c r="AX1022" i="1"/>
  <c r="AW1022" i="1"/>
  <c r="AC1022" i="1"/>
  <c r="AX1021" i="1"/>
  <c r="AW1021" i="1"/>
  <c r="AC1021" i="1"/>
  <c r="AX1020" i="1"/>
  <c r="AW1020" i="1"/>
  <c r="AC1020" i="1"/>
  <c r="AX1019" i="1"/>
  <c r="AW1019" i="1"/>
  <c r="AC1019" i="1"/>
  <c r="AX1018" i="1"/>
  <c r="AW1018" i="1"/>
  <c r="AC1018" i="1"/>
  <c r="AX1017" i="1"/>
  <c r="AW1017" i="1"/>
  <c r="AC1017" i="1"/>
  <c r="AX1016" i="1"/>
  <c r="AW1016" i="1"/>
  <c r="AC1016" i="1"/>
  <c r="AX1015" i="1"/>
  <c r="AW1015" i="1"/>
  <c r="AC1015" i="1"/>
  <c r="AX1014" i="1"/>
  <c r="AW1014" i="1"/>
  <c r="AC1014" i="1"/>
  <c r="AX1013" i="1"/>
  <c r="AW1013" i="1"/>
  <c r="AC1013" i="1"/>
  <c r="AX1012" i="1"/>
  <c r="AW1012" i="1"/>
  <c r="AC1012" i="1"/>
  <c r="AX1011" i="1"/>
  <c r="AW1011" i="1"/>
  <c r="AC1011" i="1"/>
  <c r="AX1010" i="1"/>
  <c r="AW1010" i="1"/>
  <c r="AC1010" i="1"/>
  <c r="AX1009" i="1"/>
  <c r="AW1009" i="1"/>
  <c r="AC1009" i="1"/>
  <c r="AX1008" i="1"/>
  <c r="AW1008" i="1"/>
  <c r="AC1008" i="1"/>
  <c r="AX1007" i="1"/>
  <c r="AW1007" i="1"/>
  <c r="AC1007" i="1"/>
  <c r="AX1006" i="1"/>
  <c r="AW1006" i="1"/>
  <c r="AC1006" i="1"/>
  <c r="AX1005" i="1"/>
  <c r="AW1005" i="1"/>
  <c r="AC1005" i="1"/>
  <c r="AX1004" i="1"/>
  <c r="AW1004" i="1"/>
  <c r="AC1004" i="1"/>
  <c r="AX1003" i="1"/>
  <c r="AW1003" i="1"/>
  <c r="AC1003" i="1"/>
  <c r="AX1002" i="1"/>
  <c r="AW1002" i="1"/>
  <c r="AC1002" i="1"/>
  <c r="AX1001" i="1"/>
  <c r="AW1001" i="1"/>
  <c r="AC1001" i="1"/>
  <c r="AX1000" i="1"/>
  <c r="AW1000" i="1"/>
  <c r="AC1000" i="1"/>
  <c r="AX999" i="1"/>
  <c r="AW999" i="1"/>
  <c r="AC999" i="1"/>
  <c r="AX998" i="1"/>
  <c r="AW998" i="1"/>
  <c r="AC998" i="1"/>
  <c r="AX997" i="1"/>
  <c r="AW997" i="1"/>
  <c r="AC997" i="1"/>
  <c r="AX996" i="1"/>
  <c r="AW996" i="1"/>
  <c r="AC996" i="1"/>
  <c r="AX995" i="1"/>
  <c r="AW995" i="1"/>
  <c r="AC995" i="1"/>
  <c r="AX994" i="1"/>
  <c r="AW994" i="1"/>
  <c r="AC994" i="1"/>
  <c r="AX993" i="1"/>
  <c r="AW993" i="1"/>
  <c r="AC993" i="1"/>
  <c r="AX992" i="1"/>
  <c r="AW992" i="1"/>
  <c r="AC992" i="1"/>
  <c r="AX991" i="1"/>
  <c r="AW991" i="1"/>
  <c r="AC991" i="1"/>
  <c r="AX990" i="1"/>
  <c r="AW990" i="1"/>
  <c r="AC990" i="1"/>
  <c r="AX989" i="1"/>
  <c r="AW989" i="1"/>
  <c r="AC989" i="1"/>
  <c r="AX988" i="1"/>
  <c r="AW988" i="1"/>
  <c r="AC988" i="1"/>
  <c r="AX987" i="1"/>
  <c r="AW987" i="1"/>
  <c r="AC987" i="1"/>
  <c r="AX986" i="1"/>
  <c r="AW986" i="1"/>
  <c r="AC986" i="1"/>
  <c r="AX985" i="1"/>
  <c r="AW985" i="1"/>
  <c r="AC985" i="1"/>
  <c r="AX984" i="1"/>
  <c r="AW984" i="1"/>
  <c r="AC984" i="1"/>
  <c r="AX983" i="1"/>
  <c r="AW983" i="1"/>
  <c r="AC983" i="1"/>
  <c r="AX982" i="1"/>
  <c r="AW982" i="1"/>
  <c r="AC982" i="1"/>
  <c r="AX981" i="1"/>
  <c r="AW981" i="1"/>
  <c r="AC981" i="1"/>
  <c r="AX980" i="1"/>
  <c r="AW980" i="1"/>
  <c r="AC980" i="1"/>
  <c r="AX979" i="1"/>
  <c r="AW979" i="1"/>
  <c r="AC979" i="1"/>
  <c r="AX978" i="1"/>
  <c r="AW978" i="1"/>
  <c r="AC978" i="1"/>
  <c r="AX977" i="1"/>
  <c r="AW977" i="1"/>
  <c r="AC977" i="1"/>
  <c r="AX976" i="1"/>
  <c r="AW976" i="1"/>
  <c r="AC976" i="1"/>
  <c r="AX975" i="1"/>
  <c r="AW975" i="1"/>
  <c r="AC975" i="1"/>
  <c r="AX974" i="1"/>
  <c r="AW974" i="1"/>
  <c r="AC974" i="1"/>
  <c r="AX973" i="1"/>
  <c r="AW973" i="1"/>
  <c r="AC973" i="1"/>
  <c r="AX972" i="1"/>
  <c r="AW972" i="1"/>
  <c r="AC972" i="1"/>
  <c r="AX971" i="1"/>
  <c r="AW971" i="1"/>
  <c r="AC971" i="1"/>
  <c r="AX970" i="1"/>
  <c r="AW970" i="1"/>
  <c r="AC970" i="1"/>
  <c r="AX969" i="1"/>
  <c r="AW969" i="1"/>
  <c r="AC969" i="1"/>
  <c r="AX968" i="1"/>
  <c r="AW968" i="1"/>
  <c r="AC968" i="1"/>
  <c r="AX967" i="1"/>
  <c r="AW967" i="1"/>
  <c r="AC967" i="1"/>
  <c r="AX966" i="1"/>
  <c r="AW966" i="1"/>
  <c r="AC966" i="1"/>
  <c r="AX965" i="1"/>
  <c r="AW965" i="1"/>
  <c r="AC965" i="1"/>
  <c r="AX964" i="1"/>
  <c r="AW964" i="1"/>
  <c r="AC964" i="1"/>
  <c r="AX963" i="1"/>
  <c r="AW963" i="1"/>
  <c r="AC963" i="1"/>
  <c r="AX962" i="1"/>
  <c r="AW962" i="1"/>
  <c r="AC962" i="1"/>
  <c r="AX961" i="1"/>
  <c r="AW961" i="1"/>
  <c r="AC961" i="1"/>
  <c r="AX960" i="1"/>
  <c r="AW960" i="1"/>
  <c r="AC960" i="1"/>
  <c r="AX959" i="1"/>
  <c r="AW959" i="1"/>
  <c r="AC959" i="1"/>
  <c r="AX958" i="1"/>
  <c r="AW958" i="1"/>
  <c r="AC958" i="1"/>
  <c r="AX957" i="1"/>
  <c r="AW957" i="1"/>
  <c r="AC957" i="1"/>
  <c r="AX956" i="1"/>
  <c r="AW956" i="1"/>
  <c r="AC956" i="1"/>
  <c r="AX955" i="1"/>
  <c r="AW955" i="1"/>
  <c r="AC955" i="1"/>
  <c r="AX954" i="1"/>
  <c r="AW954" i="1"/>
  <c r="AC954" i="1"/>
  <c r="AX953" i="1"/>
  <c r="AW953" i="1"/>
  <c r="AC953" i="1"/>
  <c r="AX952" i="1"/>
  <c r="AW952" i="1"/>
  <c r="AC952" i="1"/>
  <c r="AX951" i="1"/>
  <c r="AW951" i="1"/>
  <c r="AC951" i="1"/>
  <c r="AX950" i="1"/>
  <c r="AW950" i="1"/>
  <c r="AC950" i="1"/>
  <c r="AX949" i="1"/>
  <c r="AW949" i="1"/>
  <c r="AC949" i="1"/>
  <c r="AX948" i="1"/>
  <c r="AW948" i="1"/>
  <c r="AC948" i="1"/>
  <c r="AX947" i="1"/>
  <c r="AW947" i="1"/>
  <c r="AC947" i="1"/>
  <c r="AX946" i="1"/>
  <c r="AW946" i="1"/>
  <c r="AC946" i="1"/>
  <c r="AX945" i="1"/>
  <c r="AW945" i="1"/>
  <c r="AC945" i="1"/>
  <c r="AX944" i="1"/>
  <c r="AW944" i="1"/>
  <c r="AC944" i="1"/>
  <c r="AX943" i="1"/>
  <c r="AW943" i="1"/>
  <c r="AC943" i="1"/>
  <c r="AX942" i="1"/>
  <c r="AW942" i="1"/>
  <c r="AC942" i="1"/>
  <c r="AX941" i="1"/>
  <c r="AW941" i="1"/>
  <c r="AC941" i="1"/>
  <c r="AX940" i="1"/>
  <c r="AW940" i="1"/>
  <c r="AC940" i="1"/>
  <c r="AX939" i="1"/>
  <c r="AW939" i="1"/>
  <c r="AC939" i="1"/>
  <c r="AX938" i="1"/>
  <c r="AW938" i="1"/>
  <c r="AC938" i="1"/>
  <c r="AX937" i="1"/>
  <c r="AW937" i="1"/>
  <c r="AC937" i="1"/>
  <c r="AX936" i="1"/>
  <c r="AW936" i="1"/>
  <c r="AC936" i="1"/>
  <c r="AX935" i="1"/>
  <c r="AW935" i="1"/>
  <c r="AC935" i="1"/>
  <c r="AX934" i="1"/>
  <c r="AW934" i="1"/>
  <c r="AC934" i="1"/>
  <c r="AX933" i="1"/>
  <c r="AW933" i="1"/>
  <c r="AC933" i="1"/>
  <c r="AX932" i="1"/>
  <c r="AW932" i="1"/>
  <c r="AC932" i="1"/>
  <c r="AX931" i="1"/>
  <c r="AW931" i="1"/>
  <c r="AC931" i="1"/>
  <c r="AX930" i="1"/>
  <c r="AW930" i="1"/>
  <c r="AC930" i="1"/>
  <c r="AX929" i="1"/>
  <c r="AW929" i="1"/>
  <c r="AC929" i="1"/>
  <c r="AX928" i="1"/>
  <c r="AW928" i="1"/>
  <c r="AC928" i="1"/>
  <c r="AX927" i="1"/>
  <c r="AW927" i="1"/>
  <c r="AC927" i="1"/>
  <c r="AX926" i="1"/>
  <c r="AW926" i="1"/>
  <c r="AC926" i="1"/>
  <c r="AX925" i="1"/>
  <c r="AW925" i="1"/>
  <c r="AC925" i="1"/>
  <c r="AX924" i="1"/>
  <c r="AW924" i="1"/>
  <c r="AC924" i="1"/>
  <c r="AX923" i="1"/>
  <c r="AW923" i="1"/>
  <c r="AC923" i="1"/>
  <c r="AX922" i="1"/>
  <c r="AW922" i="1"/>
  <c r="AC922" i="1"/>
  <c r="AX921" i="1"/>
  <c r="AW921" i="1"/>
  <c r="AC921" i="1"/>
  <c r="AX920" i="1"/>
  <c r="AW920" i="1"/>
  <c r="AC920" i="1"/>
  <c r="AX919" i="1"/>
  <c r="AW919" i="1"/>
  <c r="AC919" i="1"/>
  <c r="AX918" i="1"/>
  <c r="AW918" i="1"/>
  <c r="AC918" i="1"/>
  <c r="AX917" i="1"/>
  <c r="AW917" i="1"/>
  <c r="AC917" i="1"/>
  <c r="AX916" i="1"/>
  <c r="AW916" i="1"/>
  <c r="AC916" i="1"/>
  <c r="AX915" i="1"/>
  <c r="AW915" i="1"/>
  <c r="AC915" i="1"/>
  <c r="AX914" i="1"/>
  <c r="AW914" i="1"/>
  <c r="AC914" i="1"/>
  <c r="AX913" i="1"/>
  <c r="AW913" i="1"/>
  <c r="AC913" i="1"/>
  <c r="AX912" i="1"/>
  <c r="AW912" i="1"/>
  <c r="AC912" i="1"/>
  <c r="AX911" i="1"/>
  <c r="AW911" i="1"/>
  <c r="AC911" i="1"/>
  <c r="AX910" i="1"/>
  <c r="AW910" i="1"/>
  <c r="AC910" i="1"/>
  <c r="AX909" i="1"/>
  <c r="AW909" i="1"/>
  <c r="AC909" i="1"/>
  <c r="AX908" i="1"/>
  <c r="AW908" i="1"/>
  <c r="AC908" i="1"/>
  <c r="AX907" i="1"/>
  <c r="AW907" i="1"/>
  <c r="AC907" i="1"/>
  <c r="AX906" i="1"/>
  <c r="AW906" i="1"/>
  <c r="AC906" i="1"/>
  <c r="AX905" i="1"/>
  <c r="AW905" i="1"/>
  <c r="AC905" i="1"/>
  <c r="AX904" i="1"/>
  <c r="AW904" i="1"/>
  <c r="AC904" i="1"/>
  <c r="AX903" i="1"/>
  <c r="AW903" i="1"/>
  <c r="AC903" i="1"/>
  <c r="AX902" i="1"/>
  <c r="AW902" i="1"/>
  <c r="AC902" i="1"/>
  <c r="AX901" i="1"/>
  <c r="AW901" i="1"/>
  <c r="AC901" i="1"/>
  <c r="AX900" i="1"/>
  <c r="AW900" i="1"/>
  <c r="AC900" i="1"/>
  <c r="AX899" i="1"/>
  <c r="AW899" i="1"/>
  <c r="AC899" i="1"/>
  <c r="AX898" i="1"/>
  <c r="AW898" i="1"/>
  <c r="AC898" i="1"/>
  <c r="AX897" i="1"/>
  <c r="AW897" i="1"/>
  <c r="AC897" i="1"/>
  <c r="AX896" i="1"/>
  <c r="AW896" i="1"/>
  <c r="AC896" i="1"/>
  <c r="AX895" i="1"/>
  <c r="AW895" i="1"/>
  <c r="AC895" i="1"/>
  <c r="AX894" i="1"/>
  <c r="AW894" i="1"/>
  <c r="AC894" i="1"/>
  <c r="AX893" i="1"/>
  <c r="AW893" i="1"/>
  <c r="AC893" i="1"/>
  <c r="AX892" i="1"/>
  <c r="AW892" i="1"/>
  <c r="AC892" i="1"/>
  <c r="AX891" i="1"/>
  <c r="AW891" i="1"/>
  <c r="AC891" i="1"/>
  <c r="AX890" i="1"/>
  <c r="AW890" i="1"/>
  <c r="AC890" i="1"/>
  <c r="AX889" i="1"/>
  <c r="AW889" i="1"/>
  <c r="AC889" i="1"/>
  <c r="AX888" i="1"/>
  <c r="AW888" i="1"/>
  <c r="AC888" i="1"/>
  <c r="AX887" i="1"/>
  <c r="AW887" i="1"/>
  <c r="AC887" i="1"/>
  <c r="AX886" i="1"/>
  <c r="AW886" i="1"/>
  <c r="AC886" i="1"/>
  <c r="AX885" i="1"/>
  <c r="AW885" i="1"/>
  <c r="AC885" i="1"/>
  <c r="AX884" i="1"/>
  <c r="AW884" i="1"/>
  <c r="AC884" i="1"/>
  <c r="AX883" i="1"/>
  <c r="AW883" i="1"/>
  <c r="AC883" i="1"/>
  <c r="AX882" i="1"/>
  <c r="AW882" i="1"/>
  <c r="AC882" i="1"/>
  <c r="AX881" i="1"/>
  <c r="AW881" i="1"/>
  <c r="AC881" i="1"/>
  <c r="AX880" i="1"/>
  <c r="AW880" i="1"/>
  <c r="AC880" i="1"/>
  <c r="AX879" i="1"/>
  <c r="AW879" i="1"/>
  <c r="AC879" i="1"/>
  <c r="AX878" i="1"/>
  <c r="AW878" i="1"/>
  <c r="AC878" i="1"/>
  <c r="AX877" i="1"/>
  <c r="AW877" i="1"/>
  <c r="AC877" i="1"/>
  <c r="AX876" i="1"/>
  <c r="AW876" i="1"/>
  <c r="AC876" i="1"/>
  <c r="AX875" i="1"/>
  <c r="AW875" i="1"/>
  <c r="AC875" i="1"/>
  <c r="AX874" i="1"/>
  <c r="AW874" i="1"/>
  <c r="AC874" i="1"/>
  <c r="AX873" i="1"/>
  <c r="AW873" i="1"/>
  <c r="AC873" i="1"/>
  <c r="AX872" i="1"/>
  <c r="AW872" i="1"/>
  <c r="AC872" i="1"/>
  <c r="AX871" i="1"/>
  <c r="AW871" i="1"/>
  <c r="AC871" i="1"/>
  <c r="AX870" i="1"/>
  <c r="AW870" i="1"/>
  <c r="AC870" i="1"/>
  <c r="AX869" i="1"/>
  <c r="AW869" i="1"/>
  <c r="AC869" i="1"/>
  <c r="AX868" i="1"/>
  <c r="AW868" i="1"/>
  <c r="AC868" i="1"/>
  <c r="AX867" i="1"/>
  <c r="AW867" i="1"/>
  <c r="AC867" i="1"/>
  <c r="AX866" i="1"/>
  <c r="AW866" i="1"/>
  <c r="AC866" i="1"/>
  <c r="AX865" i="1"/>
  <c r="AW865" i="1"/>
  <c r="AC865" i="1"/>
  <c r="AX864" i="1"/>
  <c r="AW864" i="1"/>
  <c r="AC864" i="1"/>
  <c r="AX863" i="1"/>
  <c r="AW863" i="1"/>
  <c r="AC863" i="1"/>
  <c r="AX862" i="1"/>
  <c r="AW862" i="1"/>
  <c r="AC862" i="1"/>
  <c r="AX861" i="1"/>
  <c r="AW861" i="1"/>
  <c r="AC861" i="1"/>
  <c r="AX860" i="1"/>
  <c r="AW860" i="1"/>
  <c r="AC860" i="1"/>
  <c r="AX859" i="1"/>
  <c r="AW859" i="1"/>
  <c r="AC859" i="1"/>
  <c r="AX858" i="1"/>
  <c r="AW858" i="1"/>
  <c r="AC858" i="1"/>
  <c r="AX857" i="1"/>
  <c r="AW857" i="1"/>
  <c r="AC857" i="1"/>
  <c r="AX856" i="1"/>
  <c r="AW856" i="1"/>
  <c r="AC856" i="1"/>
  <c r="AX855" i="1"/>
  <c r="AW855" i="1"/>
  <c r="AC855" i="1"/>
  <c r="AX854" i="1"/>
  <c r="AW854" i="1"/>
  <c r="AC854" i="1"/>
  <c r="AX853" i="1"/>
  <c r="AW853" i="1"/>
  <c r="AC853" i="1"/>
  <c r="AX852" i="1"/>
  <c r="AW852" i="1"/>
  <c r="AC852" i="1"/>
  <c r="AX851" i="1"/>
  <c r="AW851" i="1"/>
  <c r="AC851" i="1"/>
  <c r="AX850" i="1"/>
  <c r="AW850" i="1"/>
  <c r="AC850" i="1"/>
  <c r="AX849" i="1"/>
  <c r="AW849" i="1"/>
  <c r="AC849" i="1"/>
  <c r="AX848" i="1"/>
  <c r="AW848" i="1"/>
  <c r="AC848" i="1"/>
  <c r="AX847" i="1"/>
  <c r="AW847" i="1"/>
  <c r="AC847" i="1"/>
  <c r="AX846" i="1"/>
  <c r="AW846" i="1"/>
  <c r="AC846" i="1"/>
  <c r="AX845" i="1"/>
  <c r="AW845" i="1"/>
  <c r="AC845" i="1"/>
  <c r="AX844" i="1"/>
  <c r="AW844" i="1"/>
  <c r="AC844" i="1"/>
  <c r="AX843" i="1"/>
  <c r="AW843" i="1"/>
  <c r="AC843" i="1"/>
  <c r="AX842" i="1"/>
  <c r="AW842" i="1"/>
  <c r="AC842" i="1"/>
  <c r="AX841" i="1"/>
  <c r="AW841" i="1"/>
  <c r="AC841" i="1"/>
  <c r="AX840" i="1"/>
  <c r="AW840" i="1"/>
  <c r="AC840" i="1"/>
  <c r="AX839" i="1"/>
  <c r="AW839" i="1"/>
  <c r="AC839" i="1"/>
  <c r="AX838" i="1"/>
  <c r="AW838" i="1"/>
  <c r="AC838" i="1"/>
  <c r="AX837" i="1"/>
  <c r="AW837" i="1"/>
  <c r="AC837" i="1"/>
  <c r="AX836" i="1"/>
  <c r="AW836" i="1"/>
  <c r="AC836" i="1"/>
  <c r="AX835" i="1"/>
  <c r="AW835" i="1"/>
  <c r="AC835" i="1"/>
  <c r="AX834" i="1"/>
  <c r="AW834" i="1"/>
  <c r="AC834" i="1"/>
  <c r="AX833" i="1"/>
  <c r="AW833" i="1"/>
  <c r="AC833" i="1"/>
  <c r="AX832" i="1"/>
  <c r="AW832" i="1"/>
  <c r="AC832" i="1"/>
  <c r="AX831" i="1"/>
  <c r="AW831" i="1"/>
  <c r="AC831" i="1"/>
  <c r="AX830" i="1"/>
  <c r="AW830" i="1"/>
  <c r="AC830" i="1"/>
  <c r="AX829" i="1"/>
  <c r="AW829" i="1"/>
  <c r="AC829" i="1"/>
  <c r="AX828" i="1"/>
  <c r="AW828" i="1"/>
  <c r="AC828" i="1"/>
  <c r="AX827" i="1"/>
  <c r="AW827" i="1"/>
  <c r="AC827" i="1"/>
  <c r="AX826" i="1"/>
  <c r="AW826" i="1"/>
  <c r="AC826" i="1"/>
  <c r="AX825" i="1"/>
  <c r="AW825" i="1"/>
  <c r="AC825" i="1"/>
  <c r="AX824" i="1"/>
  <c r="AW824" i="1"/>
  <c r="AC824" i="1"/>
  <c r="AX823" i="1"/>
  <c r="AW823" i="1"/>
  <c r="AC823" i="1"/>
  <c r="AX822" i="1"/>
  <c r="AW822" i="1"/>
  <c r="AC822" i="1"/>
  <c r="AX821" i="1"/>
  <c r="AW821" i="1"/>
  <c r="AC821" i="1"/>
  <c r="AX820" i="1"/>
  <c r="AW820" i="1"/>
  <c r="AC820" i="1"/>
  <c r="AX819" i="1"/>
  <c r="AW819" i="1"/>
  <c r="AC819" i="1"/>
  <c r="AX818" i="1"/>
  <c r="AW818" i="1"/>
  <c r="AC818" i="1"/>
  <c r="AX817" i="1"/>
  <c r="AW817" i="1"/>
  <c r="AC817" i="1"/>
  <c r="AX816" i="1"/>
  <c r="AW816" i="1"/>
  <c r="AC816" i="1"/>
  <c r="AX815" i="1"/>
  <c r="AW815" i="1"/>
  <c r="AC815" i="1"/>
  <c r="AX814" i="1"/>
  <c r="AW814" i="1"/>
  <c r="AC814" i="1"/>
  <c r="AX813" i="1"/>
  <c r="AW813" i="1"/>
  <c r="AC813" i="1"/>
  <c r="AX812" i="1"/>
  <c r="AW812" i="1"/>
  <c r="AC812" i="1"/>
  <c r="AX811" i="1"/>
  <c r="AW811" i="1"/>
  <c r="AC811" i="1"/>
  <c r="AX810" i="1"/>
  <c r="AW810" i="1"/>
  <c r="AC810" i="1"/>
  <c r="AX809" i="1"/>
  <c r="AW809" i="1"/>
  <c r="AC809" i="1"/>
  <c r="AX808" i="1"/>
  <c r="AW808" i="1"/>
  <c r="AC808" i="1"/>
  <c r="AX807" i="1"/>
  <c r="AW807" i="1"/>
  <c r="AC807" i="1"/>
  <c r="AX806" i="1"/>
  <c r="AW806" i="1"/>
  <c r="AC806" i="1"/>
  <c r="AX805" i="1"/>
  <c r="AW805" i="1"/>
  <c r="AC805" i="1"/>
  <c r="AX804" i="1"/>
  <c r="AW804" i="1"/>
  <c r="AC804" i="1"/>
  <c r="AX803" i="1"/>
  <c r="AW803" i="1"/>
  <c r="AC803" i="1"/>
  <c r="AX802" i="1"/>
  <c r="AW802" i="1"/>
  <c r="AC802" i="1"/>
  <c r="AX801" i="1"/>
  <c r="AW801" i="1"/>
  <c r="AC801" i="1"/>
  <c r="AX800" i="1"/>
  <c r="AW800" i="1"/>
  <c r="AC800" i="1"/>
  <c r="AX799" i="1"/>
  <c r="AW799" i="1"/>
  <c r="AC799" i="1"/>
  <c r="AX798" i="1"/>
  <c r="AW798" i="1"/>
  <c r="AC798" i="1"/>
  <c r="AX797" i="1"/>
  <c r="AW797" i="1"/>
  <c r="AC797" i="1"/>
  <c r="AX796" i="1"/>
  <c r="AW796" i="1"/>
  <c r="AC796" i="1"/>
  <c r="AX795" i="1"/>
  <c r="AW795" i="1"/>
  <c r="AC795" i="1"/>
  <c r="AX794" i="1"/>
  <c r="AW794" i="1"/>
  <c r="AC794" i="1"/>
  <c r="AX793" i="1"/>
  <c r="AW793" i="1"/>
  <c r="AC793" i="1"/>
  <c r="AX792" i="1"/>
  <c r="AW792" i="1"/>
  <c r="AC792" i="1"/>
  <c r="AX791" i="1"/>
  <c r="AW791" i="1"/>
  <c r="AC791" i="1"/>
  <c r="AX790" i="1"/>
  <c r="AW790" i="1"/>
  <c r="AC790" i="1"/>
  <c r="AX789" i="1"/>
  <c r="AW789" i="1"/>
  <c r="AC789" i="1"/>
  <c r="AX788" i="1"/>
  <c r="AW788" i="1"/>
  <c r="AC788" i="1"/>
  <c r="AX787" i="1"/>
  <c r="AW787" i="1"/>
  <c r="AC787" i="1"/>
  <c r="AX786" i="1"/>
  <c r="AW786" i="1"/>
  <c r="AC786" i="1"/>
  <c r="AX785" i="1"/>
  <c r="AW785" i="1"/>
  <c r="AC785" i="1"/>
  <c r="AX784" i="1"/>
  <c r="AW784" i="1"/>
  <c r="AC784" i="1"/>
  <c r="AX783" i="1"/>
  <c r="AW783" i="1"/>
  <c r="AC783" i="1"/>
  <c r="AX782" i="1"/>
  <c r="AW782" i="1"/>
  <c r="AC782" i="1"/>
  <c r="AX781" i="1"/>
  <c r="AW781" i="1"/>
  <c r="AC781" i="1"/>
  <c r="AX780" i="1"/>
  <c r="AW780" i="1"/>
  <c r="AC780" i="1"/>
  <c r="AX779" i="1"/>
  <c r="AW779" i="1"/>
  <c r="AC779" i="1"/>
  <c r="AX778" i="1"/>
  <c r="AW778" i="1"/>
  <c r="AC778" i="1"/>
  <c r="AX777" i="1"/>
  <c r="AW777" i="1"/>
  <c r="AC777" i="1"/>
  <c r="AX776" i="1"/>
  <c r="AW776" i="1"/>
  <c r="AC776" i="1"/>
  <c r="AX775" i="1"/>
  <c r="AW775" i="1"/>
  <c r="AC775" i="1"/>
  <c r="AX774" i="1"/>
  <c r="AW774" i="1"/>
  <c r="AC774" i="1"/>
  <c r="AX773" i="1"/>
  <c r="AW773" i="1"/>
  <c r="AC773" i="1"/>
  <c r="AX772" i="1"/>
  <c r="AW772" i="1"/>
  <c r="AC772" i="1"/>
  <c r="AX771" i="1"/>
  <c r="AW771" i="1"/>
  <c r="AC771" i="1"/>
  <c r="AX770" i="1"/>
  <c r="AW770" i="1"/>
  <c r="AC770" i="1"/>
  <c r="AX769" i="1"/>
  <c r="AW769" i="1"/>
  <c r="AC769" i="1"/>
  <c r="AX768" i="1"/>
  <c r="AW768" i="1"/>
  <c r="AC768" i="1"/>
  <c r="AX767" i="1"/>
  <c r="AW767" i="1"/>
  <c r="AC767" i="1"/>
  <c r="AX766" i="1"/>
  <c r="AW766" i="1"/>
  <c r="AC766" i="1"/>
  <c r="AX765" i="1"/>
  <c r="AW765" i="1"/>
  <c r="AC765" i="1"/>
  <c r="AX764" i="1"/>
  <c r="AW764" i="1"/>
  <c r="AC764" i="1"/>
  <c r="AX763" i="1"/>
  <c r="AW763" i="1"/>
  <c r="AC763" i="1"/>
  <c r="AX762" i="1"/>
  <c r="AW762" i="1"/>
  <c r="AC762" i="1"/>
  <c r="AX761" i="1"/>
  <c r="AW761" i="1"/>
  <c r="AC761" i="1"/>
  <c r="AX760" i="1"/>
  <c r="AW760" i="1"/>
  <c r="AC760" i="1"/>
  <c r="AX759" i="1"/>
  <c r="AW759" i="1"/>
  <c r="AC759" i="1"/>
  <c r="AX758" i="1"/>
  <c r="AW758" i="1"/>
  <c r="AC758" i="1"/>
  <c r="AX757" i="1"/>
  <c r="AW757" i="1"/>
  <c r="AC757" i="1"/>
  <c r="AX756" i="1"/>
  <c r="AW756" i="1"/>
  <c r="AC756" i="1"/>
  <c r="AX755" i="1"/>
  <c r="AW755" i="1"/>
  <c r="AC755" i="1"/>
  <c r="AX754" i="1"/>
  <c r="AW754" i="1"/>
  <c r="AC754" i="1"/>
  <c r="AX753" i="1"/>
  <c r="AW753" i="1"/>
  <c r="AC753" i="1"/>
  <c r="AX752" i="1"/>
  <c r="AW752" i="1"/>
  <c r="AC752" i="1"/>
  <c r="AX751" i="1"/>
  <c r="AW751" i="1"/>
  <c r="AC751" i="1"/>
  <c r="AX750" i="1"/>
  <c r="AW750" i="1"/>
  <c r="AC750" i="1"/>
  <c r="AX749" i="1"/>
  <c r="AW749" i="1"/>
  <c r="AC749" i="1"/>
  <c r="AX748" i="1"/>
  <c r="AW748" i="1"/>
  <c r="AC748" i="1"/>
  <c r="AX747" i="1"/>
  <c r="AW747" i="1"/>
  <c r="AC747" i="1"/>
  <c r="AX746" i="1"/>
  <c r="AW746" i="1"/>
  <c r="AC746" i="1"/>
  <c r="AX745" i="1"/>
  <c r="AW745" i="1"/>
  <c r="AC745" i="1"/>
  <c r="AX744" i="1"/>
  <c r="AW744" i="1"/>
  <c r="AC744" i="1"/>
  <c r="AX743" i="1"/>
  <c r="AW743" i="1"/>
  <c r="AC743" i="1"/>
  <c r="AX742" i="1"/>
  <c r="AW742" i="1"/>
  <c r="AC742" i="1"/>
  <c r="AX741" i="1"/>
  <c r="AW741" i="1"/>
  <c r="AC741" i="1"/>
  <c r="AX740" i="1"/>
  <c r="AW740" i="1"/>
  <c r="AC740" i="1"/>
  <c r="AX739" i="1"/>
  <c r="AW739" i="1"/>
  <c r="AC739" i="1"/>
  <c r="AX738" i="1"/>
  <c r="AW738" i="1"/>
  <c r="AC738" i="1"/>
  <c r="AX737" i="1"/>
  <c r="AW737" i="1"/>
  <c r="AC737" i="1"/>
  <c r="AX736" i="1"/>
  <c r="AW736" i="1"/>
  <c r="AC736" i="1"/>
  <c r="AX735" i="1"/>
  <c r="AW735" i="1"/>
  <c r="AC735" i="1"/>
  <c r="AX734" i="1"/>
  <c r="AW734" i="1"/>
  <c r="AC734" i="1"/>
  <c r="AX733" i="1"/>
  <c r="AW733" i="1"/>
  <c r="AC733" i="1"/>
  <c r="AX732" i="1"/>
  <c r="AW732" i="1"/>
  <c r="AC732" i="1"/>
  <c r="AX731" i="1"/>
  <c r="AW731" i="1"/>
  <c r="AC731" i="1"/>
  <c r="AX730" i="1"/>
  <c r="AW730" i="1"/>
  <c r="AC730" i="1"/>
  <c r="AX729" i="1"/>
  <c r="AW729" i="1"/>
  <c r="AC729" i="1"/>
  <c r="AX728" i="1"/>
  <c r="AW728" i="1"/>
  <c r="AC728" i="1"/>
  <c r="AX727" i="1"/>
  <c r="AW727" i="1"/>
  <c r="AC727" i="1"/>
  <c r="AX726" i="1"/>
  <c r="AW726" i="1"/>
  <c r="AC726" i="1"/>
  <c r="AX725" i="1"/>
  <c r="AW725" i="1"/>
  <c r="AC725" i="1"/>
  <c r="AX724" i="1"/>
  <c r="AW724" i="1"/>
  <c r="AC724" i="1"/>
  <c r="AX723" i="1"/>
  <c r="AW723" i="1"/>
  <c r="AC723" i="1"/>
  <c r="AX722" i="1"/>
  <c r="AW722" i="1"/>
  <c r="AC722" i="1"/>
  <c r="AX721" i="1"/>
  <c r="AW721" i="1"/>
  <c r="AC721" i="1"/>
  <c r="AX720" i="1"/>
  <c r="AW720" i="1"/>
  <c r="AC720" i="1"/>
  <c r="AX719" i="1"/>
  <c r="AW719" i="1"/>
  <c r="AC719" i="1"/>
  <c r="AX718" i="1"/>
  <c r="AW718" i="1"/>
  <c r="AC718" i="1"/>
  <c r="AX717" i="1"/>
  <c r="AW717" i="1"/>
  <c r="AC717" i="1"/>
  <c r="AX716" i="1"/>
  <c r="AW716" i="1"/>
  <c r="AC716" i="1"/>
  <c r="AX715" i="1"/>
  <c r="AW715" i="1"/>
  <c r="AC715" i="1"/>
  <c r="AX714" i="1"/>
  <c r="AW714" i="1"/>
  <c r="AC714" i="1"/>
  <c r="AX713" i="1"/>
  <c r="AW713" i="1"/>
  <c r="AC713" i="1"/>
  <c r="AX712" i="1"/>
  <c r="AW712" i="1"/>
  <c r="AC712" i="1"/>
  <c r="AX711" i="1"/>
  <c r="AW711" i="1"/>
  <c r="AC711" i="1"/>
  <c r="AX710" i="1"/>
  <c r="AW710" i="1"/>
  <c r="AC710" i="1"/>
  <c r="AX709" i="1"/>
  <c r="AW709" i="1"/>
  <c r="AC709" i="1"/>
  <c r="AX708" i="1"/>
  <c r="AW708" i="1"/>
  <c r="AC708" i="1"/>
  <c r="AX707" i="1"/>
  <c r="AW707" i="1"/>
  <c r="AC707" i="1"/>
  <c r="AX706" i="1"/>
  <c r="AW706" i="1"/>
  <c r="AC706" i="1"/>
  <c r="AX705" i="1"/>
  <c r="AW705" i="1"/>
  <c r="AC705" i="1"/>
  <c r="AX704" i="1"/>
  <c r="AW704" i="1"/>
  <c r="AC704" i="1"/>
  <c r="AX703" i="1"/>
  <c r="AW703" i="1"/>
  <c r="AC703" i="1"/>
  <c r="AX702" i="1"/>
  <c r="AW702" i="1"/>
  <c r="AC702" i="1"/>
  <c r="AX701" i="1"/>
  <c r="AW701" i="1"/>
  <c r="AC701" i="1"/>
  <c r="AX700" i="1"/>
  <c r="AW700" i="1"/>
  <c r="AC700" i="1"/>
  <c r="AX699" i="1"/>
  <c r="AW699" i="1"/>
  <c r="AC699" i="1"/>
  <c r="AX698" i="1"/>
  <c r="AW698" i="1"/>
  <c r="AC698" i="1"/>
  <c r="AX697" i="1"/>
  <c r="AW697" i="1"/>
  <c r="AC697" i="1"/>
  <c r="AX696" i="1"/>
  <c r="AW696" i="1"/>
  <c r="AC696" i="1"/>
  <c r="AX695" i="1"/>
  <c r="AW695" i="1"/>
  <c r="AC695" i="1"/>
  <c r="AX694" i="1"/>
  <c r="AW694" i="1"/>
  <c r="AC694" i="1"/>
  <c r="AX693" i="1"/>
  <c r="AW693" i="1"/>
  <c r="AC693" i="1"/>
  <c r="AX692" i="1"/>
  <c r="AW692" i="1"/>
  <c r="AC692" i="1"/>
  <c r="AX691" i="1"/>
  <c r="AW691" i="1"/>
  <c r="AC691" i="1"/>
  <c r="AX690" i="1"/>
  <c r="AW690" i="1"/>
  <c r="AC690" i="1"/>
  <c r="AX689" i="1"/>
  <c r="AW689" i="1"/>
  <c r="AC689" i="1"/>
  <c r="AX688" i="1"/>
  <c r="AW688" i="1"/>
  <c r="AC688" i="1"/>
  <c r="AX687" i="1"/>
  <c r="AW687" i="1"/>
  <c r="AC687" i="1"/>
  <c r="AX686" i="1"/>
  <c r="AW686" i="1"/>
  <c r="AC686" i="1"/>
  <c r="AX685" i="1"/>
  <c r="AW685" i="1"/>
  <c r="AC685" i="1"/>
  <c r="AX684" i="1"/>
  <c r="AW684" i="1"/>
  <c r="AC684" i="1"/>
  <c r="AX683" i="1"/>
  <c r="AW683" i="1"/>
  <c r="AC683" i="1"/>
  <c r="AX682" i="1"/>
  <c r="AW682" i="1"/>
  <c r="AC682" i="1"/>
  <c r="AX681" i="1"/>
  <c r="AW681" i="1"/>
  <c r="AC681" i="1"/>
  <c r="AX680" i="1"/>
  <c r="AW680" i="1"/>
  <c r="AC680" i="1"/>
  <c r="AX679" i="1"/>
  <c r="AW679" i="1"/>
  <c r="AC679" i="1"/>
  <c r="AX678" i="1"/>
  <c r="AW678" i="1"/>
  <c r="AC678" i="1"/>
  <c r="AX677" i="1"/>
  <c r="AW677" i="1"/>
  <c r="AC677" i="1"/>
  <c r="AX676" i="1"/>
  <c r="AW676" i="1"/>
  <c r="AC676" i="1"/>
  <c r="AX675" i="1"/>
  <c r="AW675" i="1"/>
  <c r="AC675" i="1"/>
  <c r="AX674" i="1"/>
  <c r="AW674" i="1"/>
  <c r="AC674" i="1"/>
  <c r="AX673" i="1"/>
  <c r="AW673" i="1"/>
  <c r="AC673" i="1"/>
  <c r="AX672" i="1"/>
  <c r="AW672" i="1"/>
  <c r="AC672" i="1"/>
  <c r="AX671" i="1"/>
  <c r="AW671" i="1"/>
  <c r="AC671" i="1"/>
  <c r="AX670" i="1"/>
  <c r="AW670" i="1"/>
  <c r="AC670" i="1"/>
  <c r="AX669" i="1"/>
  <c r="AW669" i="1"/>
  <c r="AC669" i="1"/>
  <c r="AX668" i="1"/>
  <c r="AW668" i="1"/>
  <c r="AC668" i="1"/>
  <c r="AX667" i="1"/>
  <c r="AW667" i="1"/>
  <c r="AC667" i="1"/>
  <c r="AX666" i="1"/>
  <c r="AW666" i="1"/>
  <c r="AC666" i="1"/>
  <c r="AX665" i="1"/>
  <c r="AW665" i="1"/>
  <c r="AC665" i="1"/>
  <c r="AX664" i="1"/>
  <c r="AW664" i="1"/>
  <c r="AC664" i="1"/>
  <c r="AX663" i="1"/>
  <c r="AW663" i="1"/>
  <c r="AC663" i="1"/>
  <c r="AX662" i="1"/>
  <c r="AW662" i="1"/>
  <c r="AC662" i="1"/>
  <c r="AX661" i="1"/>
  <c r="AW661" i="1"/>
  <c r="AC661" i="1"/>
  <c r="AX660" i="1"/>
  <c r="AW660" i="1"/>
  <c r="AC660" i="1"/>
  <c r="AX659" i="1"/>
  <c r="AW659" i="1"/>
  <c r="AC659" i="1"/>
  <c r="AX658" i="1"/>
  <c r="AW658" i="1"/>
  <c r="AC658" i="1"/>
  <c r="AX657" i="1"/>
  <c r="AW657" i="1"/>
  <c r="AC657" i="1"/>
  <c r="AX656" i="1"/>
  <c r="AW656" i="1"/>
  <c r="AC656" i="1"/>
  <c r="AX655" i="1"/>
  <c r="AW655" i="1"/>
  <c r="AC655" i="1"/>
  <c r="AX654" i="1"/>
  <c r="AW654" i="1"/>
  <c r="AC654" i="1"/>
  <c r="AX653" i="1"/>
  <c r="AW653" i="1"/>
  <c r="AC653" i="1"/>
  <c r="AX652" i="1"/>
  <c r="AW652" i="1"/>
  <c r="AC652" i="1"/>
  <c r="AX651" i="1"/>
  <c r="AW651" i="1"/>
  <c r="AC651" i="1"/>
  <c r="AX650" i="1"/>
  <c r="AW650" i="1"/>
  <c r="AC650" i="1"/>
  <c r="AX649" i="1"/>
  <c r="AW649" i="1"/>
  <c r="AC649" i="1"/>
  <c r="AX648" i="1"/>
  <c r="AW648" i="1"/>
  <c r="AC648" i="1"/>
  <c r="AX647" i="1"/>
  <c r="AW647" i="1"/>
  <c r="AC647" i="1"/>
  <c r="AX646" i="1"/>
  <c r="AW646" i="1"/>
  <c r="AC646" i="1"/>
  <c r="AX645" i="1"/>
  <c r="AW645" i="1"/>
  <c r="AC645" i="1"/>
  <c r="AX644" i="1"/>
  <c r="AW644" i="1"/>
  <c r="AC644" i="1"/>
  <c r="AX643" i="1"/>
  <c r="AW643" i="1"/>
  <c r="AC643" i="1"/>
  <c r="AX642" i="1"/>
  <c r="AW642" i="1"/>
  <c r="AC642" i="1"/>
  <c r="AX641" i="1"/>
  <c r="AW641" i="1"/>
  <c r="AC641" i="1"/>
  <c r="AX640" i="1"/>
  <c r="AW640" i="1"/>
  <c r="AC640" i="1"/>
  <c r="AX639" i="1"/>
  <c r="AW639" i="1"/>
  <c r="AC639" i="1"/>
  <c r="AX638" i="1"/>
  <c r="AW638" i="1"/>
  <c r="AC638" i="1"/>
  <c r="AX637" i="1"/>
  <c r="AW637" i="1"/>
  <c r="AC637" i="1"/>
  <c r="AX636" i="1"/>
  <c r="AW636" i="1"/>
  <c r="AC636" i="1"/>
  <c r="AX635" i="1"/>
  <c r="AW635" i="1"/>
  <c r="AC635" i="1"/>
  <c r="AX634" i="1"/>
  <c r="AW634" i="1"/>
  <c r="AC634" i="1"/>
  <c r="AX633" i="1"/>
  <c r="AW633" i="1"/>
  <c r="AC633" i="1"/>
  <c r="AX632" i="1"/>
  <c r="AW632" i="1"/>
  <c r="AC632" i="1"/>
  <c r="AX631" i="1"/>
  <c r="AW631" i="1"/>
  <c r="AC631" i="1"/>
  <c r="AX630" i="1"/>
  <c r="AW630" i="1"/>
  <c r="AC630" i="1"/>
  <c r="AX629" i="1"/>
  <c r="AW629" i="1"/>
  <c r="AC629" i="1"/>
  <c r="AX628" i="1"/>
  <c r="AW628" i="1"/>
  <c r="AC628" i="1"/>
  <c r="AX627" i="1"/>
  <c r="AW627" i="1"/>
  <c r="AC627" i="1"/>
  <c r="AX626" i="1"/>
  <c r="AW626" i="1"/>
  <c r="AC626" i="1"/>
  <c r="AX625" i="1"/>
  <c r="AW625" i="1"/>
  <c r="AC625" i="1"/>
  <c r="AX624" i="1"/>
  <c r="AW624" i="1"/>
  <c r="AC624" i="1"/>
  <c r="AX623" i="1"/>
  <c r="AW623" i="1"/>
  <c r="AC623" i="1"/>
  <c r="AX622" i="1"/>
  <c r="AW622" i="1"/>
  <c r="AC622" i="1"/>
  <c r="AX621" i="1"/>
  <c r="AW621" i="1"/>
  <c r="AC621" i="1"/>
  <c r="AX620" i="1"/>
  <c r="AW620" i="1"/>
  <c r="AC620" i="1"/>
  <c r="AX619" i="1"/>
  <c r="AW619" i="1"/>
  <c r="AC619" i="1"/>
  <c r="AX618" i="1"/>
  <c r="AW618" i="1"/>
  <c r="AC618" i="1"/>
  <c r="AX617" i="1"/>
  <c r="AW617" i="1"/>
  <c r="AC617" i="1"/>
  <c r="AX616" i="1"/>
  <c r="AW616" i="1"/>
  <c r="AC616" i="1"/>
  <c r="AX615" i="1"/>
  <c r="AW615" i="1"/>
  <c r="AC615" i="1"/>
  <c r="AX614" i="1"/>
  <c r="AW614" i="1"/>
  <c r="AC614" i="1"/>
  <c r="AX613" i="1"/>
  <c r="AW613" i="1"/>
  <c r="AC613" i="1"/>
  <c r="AX612" i="1"/>
  <c r="AW612" i="1"/>
  <c r="AC612" i="1"/>
  <c r="AX611" i="1"/>
  <c r="AW611" i="1"/>
  <c r="AC611" i="1"/>
  <c r="AX610" i="1"/>
  <c r="AW610" i="1"/>
  <c r="AC610" i="1"/>
  <c r="AX609" i="1"/>
  <c r="AW609" i="1"/>
  <c r="AC609" i="1"/>
  <c r="AX608" i="1"/>
  <c r="AW608" i="1"/>
  <c r="AC608" i="1"/>
  <c r="AX607" i="1"/>
  <c r="AW607" i="1"/>
  <c r="AC607" i="1"/>
  <c r="AX606" i="1"/>
  <c r="AW606" i="1"/>
  <c r="AC606" i="1"/>
  <c r="AX605" i="1"/>
  <c r="AW605" i="1"/>
  <c r="AC605" i="1"/>
  <c r="AX604" i="1"/>
  <c r="AW604" i="1"/>
  <c r="AC604" i="1"/>
  <c r="AX603" i="1"/>
  <c r="AW603" i="1"/>
  <c r="AC603" i="1"/>
  <c r="AX602" i="1"/>
  <c r="AW602" i="1"/>
  <c r="AC602" i="1"/>
  <c r="AX601" i="1"/>
  <c r="AW601" i="1"/>
  <c r="AC601" i="1"/>
  <c r="AX600" i="1"/>
  <c r="AW600" i="1"/>
  <c r="AC600" i="1"/>
  <c r="AX599" i="1"/>
  <c r="AW599" i="1"/>
  <c r="AC599" i="1"/>
  <c r="AX598" i="1"/>
  <c r="AW598" i="1"/>
  <c r="AC598" i="1"/>
  <c r="AX597" i="1"/>
  <c r="AW597" i="1"/>
  <c r="AC597" i="1"/>
  <c r="AX596" i="1"/>
  <c r="AW596" i="1"/>
  <c r="AC596" i="1"/>
  <c r="AX595" i="1"/>
  <c r="AW595" i="1"/>
  <c r="AC595" i="1"/>
  <c r="AX594" i="1"/>
  <c r="AW594" i="1"/>
  <c r="AC594" i="1"/>
  <c r="AX593" i="1"/>
  <c r="AW593" i="1"/>
  <c r="AC593" i="1"/>
  <c r="AX592" i="1"/>
  <c r="AW592" i="1"/>
  <c r="AC592" i="1"/>
  <c r="AX591" i="1"/>
  <c r="AW591" i="1"/>
  <c r="AC591" i="1"/>
  <c r="AX590" i="1"/>
  <c r="AW590" i="1"/>
  <c r="AC590" i="1"/>
  <c r="AX589" i="1"/>
  <c r="AW589" i="1"/>
  <c r="AC589" i="1"/>
  <c r="AX588" i="1"/>
  <c r="AW588" i="1"/>
  <c r="AC588" i="1"/>
  <c r="AX587" i="1"/>
  <c r="AW587" i="1"/>
  <c r="AC587" i="1"/>
  <c r="AX586" i="1"/>
  <c r="AW586" i="1"/>
  <c r="AC586" i="1"/>
  <c r="AX585" i="1"/>
  <c r="AW585" i="1"/>
  <c r="AC585" i="1"/>
  <c r="AX584" i="1"/>
  <c r="AW584" i="1"/>
  <c r="AC584" i="1"/>
  <c r="AX583" i="1"/>
  <c r="AW583" i="1"/>
  <c r="AC583" i="1"/>
  <c r="AX582" i="1"/>
  <c r="AW582" i="1"/>
  <c r="AC582" i="1"/>
  <c r="AX581" i="1"/>
  <c r="AW581" i="1"/>
  <c r="AC581" i="1"/>
  <c r="AX580" i="1"/>
  <c r="AW580" i="1"/>
  <c r="AC580" i="1"/>
  <c r="AX579" i="1"/>
  <c r="AW579" i="1"/>
  <c r="AC579" i="1"/>
  <c r="AX578" i="1"/>
  <c r="AW578" i="1"/>
  <c r="AC578" i="1"/>
  <c r="AX577" i="1"/>
  <c r="AW577" i="1"/>
  <c r="AC577" i="1"/>
  <c r="AX576" i="1"/>
  <c r="AW576" i="1"/>
  <c r="AC576" i="1"/>
  <c r="AX575" i="1"/>
  <c r="AW575" i="1"/>
  <c r="AC575" i="1"/>
  <c r="AX574" i="1"/>
  <c r="AW574" i="1"/>
  <c r="AC574" i="1"/>
  <c r="AX573" i="1"/>
  <c r="AW573" i="1"/>
  <c r="AC573" i="1"/>
  <c r="AX572" i="1"/>
  <c r="AW572" i="1"/>
  <c r="AC572" i="1"/>
  <c r="AX571" i="1"/>
  <c r="AW571" i="1"/>
  <c r="AC571" i="1"/>
  <c r="AX570" i="1"/>
  <c r="AW570" i="1"/>
  <c r="AC570" i="1"/>
  <c r="AX569" i="1"/>
  <c r="AW569" i="1"/>
  <c r="AC569" i="1"/>
  <c r="AX568" i="1"/>
  <c r="AW568" i="1"/>
  <c r="AC568" i="1"/>
  <c r="AX567" i="1"/>
  <c r="AW567" i="1"/>
  <c r="AC567" i="1"/>
  <c r="AX566" i="1"/>
  <c r="AW566" i="1"/>
  <c r="AC566" i="1"/>
  <c r="AX565" i="1"/>
  <c r="AW565" i="1"/>
  <c r="AC565" i="1"/>
  <c r="AX564" i="1"/>
  <c r="AW564" i="1"/>
  <c r="AC564" i="1"/>
  <c r="AX563" i="1"/>
  <c r="AW563" i="1"/>
  <c r="AC563" i="1"/>
  <c r="AX562" i="1"/>
  <c r="AW562" i="1"/>
  <c r="AC562" i="1"/>
  <c r="AX561" i="1"/>
  <c r="AW561" i="1"/>
  <c r="AC561" i="1"/>
  <c r="AX560" i="1"/>
  <c r="AW560" i="1"/>
  <c r="AC560" i="1"/>
  <c r="AX559" i="1"/>
  <c r="AW559" i="1"/>
  <c r="AC559" i="1"/>
  <c r="AX558" i="1"/>
  <c r="AW558" i="1"/>
  <c r="AC558" i="1"/>
  <c r="AX557" i="1"/>
  <c r="AW557" i="1"/>
  <c r="AC557" i="1"/>
  <c r="AX556" i="1"/>
  <c r="AW556" i="1"/>
  <c r="AC556" i="1"/>
  <c r="AX555" i="1"/>
  <c r="AW555" i="1"/>
  <c r="AC555" i="1"/>
  <c r="AX554" i="1"/>
  <c r="AW554" i="1"/>
  <c r="AC554" i="1"/>
  <c r="AX553" i="1"/>
  <c r="AW553" i="1"/>
  <c r="AC553" i="1"/>
  <c r="AX552" i="1"/>
  <c r="AW552" i="1"/>
  <c r="AC552" i="1"/>
  <c r="AX551" i="1"/>
  <c r="AW551" i="1"/>
  <c r="AC551" i="1"/>
  <c r="AX550" i="1"/>
  <c r="AW550" i="1"/>
  <c r="AC550" i="1"/>
  <c r="AX549" i="1"/>
  <c r="AW549" i="1"/>
  <c r="AC549" i="1"/>
  <c r="AX548" i="1"/>
  <c r="AW548" i="1"/>
  <c r="AC548" i="1"/>
  <c r="AX547" i="1"/>
  <c r="AW547" i="1"/>
  <c r="AC547" i="1"/>
  <c r="AX546" i="1"/>
  <c r="AW546" i="1"/>
  <c r="AC546" i="1"/>
  <c r="AX545" i="1"/>
  <c r="AW545" i="1"/>
  <c r="AC545" i="1"/>
  <c r="AX544" i="1"/>
  <c r="AW544" i="1"/>
  <c r="AC544" i="1"/>
  <c r="AX543" i="1"/>
  <c r="AW543" i="1"/>
  <c r="AC543" i="1"/>
  <c r="AX542" i="1"/>
  <c r="AW542" i="1"/>
  <c r="AC542" i="1"/>
  <c r="AX541" i="1"/>
  <c r="AW541" i="1"/>
  <c r="AC541" i="1"/>
  <c r="AX540" i="1"/>
  <c r="AW540" i="1"/>
  <c r="AC540" i="1"/>
  <c r="AX539" i="1"/>
  <c r="AW539" i="1"/>
  <c r="AC539" i="1"/>
  <c r="AX538" i="1"/>
  <c r="AW538" i="1"/>
  <c r="AC538" i="1"/>
  <c r="AX537" i="1"/>
  <c r="AW537" i="1"/>
  <c r="AC537" i="1"/>
  <c r="AX536" i="1"/>
  <c r="AW536" i="1"/>
  <c r="AC536" i="1"/>
  <c r="AX535" i="1"/>
  <c r="AW535" i="1"/>
  <c r="AC535" i="1"/>
  <c r="AX534" i="1"/>
  <c r="AW534" i="1"/>
  <c r="AC534" i="1"/>
  <c r="AX533" i="1"/>
  <c r="AW533" i="1"/>
  <c r="AC533" i="1"/>
  <c r="AX532" i="1"/>
  <c r="AW532" i="1"/>
  <c r="AC532" i="1"/>
  <c r="AX531" i="1"/>
  <c r="AW531" i="1"/>
  <c r="AC531" i="1"/>
  <c r="AX530" i="1"/>
  <c r="AW530" i="1"/>
  <c r="AC530" i="1"/>
  <c r="AX529" i="1"/>
  <c r="AW529" i="1"/>
  <c r="AC529" i="1"/>
  <c r="AX528" i="1"/>
  <c r="AW528" i="1"/>
  <c r="AC528" i="1"/>
  <c r="AX527" i="1"/>
  <c r="AW527" i="1"/>
  <c r="AC527" i="1"/>
  <c r="AX526" i="1"/>
  <c r="AW526" i="1"/>
  <c r="AC526" i="1"/>
  <c r="AX525" i="1"/>
  <c r="AW525" i="1"/>
  <c r="AC525" i="1"/>
  <c r="AX524" i="1"/>
  <c r="AW524" i="1"/>
  <c r="AC524" i="1"/>
  <c r="AX523" i="1"/>
  <c r="AW523" i="1"/>
  <c r="AC523" i="1"/>
  <c r="AX522" i="1"/>
  <c r="AW522" i="1"/>
  <c r="AC522" i="1"/>
  <c r="AX521" i="1"/>
  <c r="AW521" i="1"/>
  <c r="AC521" i="1"/>
  <c r="AX520" i="1"/>
  <c r="AW520" i="1"/>
  <c r="AC520" i="1"/>
  <c r="AX519" i="1"/>
  <c r="AW519" i="1"/>
  <c r="AC519" i="1"/>
  <c r="AX518" i="1"/>
  <c r="AW518" i="1"/>
  <c r="AC518" i="1"/>
  <c r="AX517" i="1"/>
  <c r="AW517" i="1"/>
  <c r="AC517" i="1"/>
  <c r="AX516" i="1"/>
  <c r="AW516" i="1"/>
  <c r="AC516" i="1"/>
  <c r="AX515" i="1"/>
  <c r="AW515" i="1"/>
  <c r="AC515" i="1"/>
  <c r="AX514" i="1"/>
  <c r="AW514" i="1"/>
  <c r="AC514" i="1"/>
  <c r="AX513" i="1"/>
  <c r="AW513" i="1"/>
  <c r="AC513" i="1"/>
  <c r="AX512" i="1"/>
  <c r="AW512" i="1"/>
  <c r="AC512" i="1"/>
  <c r="AX511" i="1"/>
  <c r="AW511" i="1"/>
  <c r="AC511" i="1"/>
  <c r="AX510" i="1"/>
  <c r="AW510" i="1"/>
  <c r="AC510" i="1"/>
  <c r="AX509" i="1"/>
  <c r="AW509" i="1"/>
  <c r="AC509" i="1"/>
  <c r="AX508" i="1"/>
  <c r="AW508" i="1"/>
  <c r="AC508" i="1"/>
  <c r="AX507" i="1"/>
  <c r="AW507" i="1"/>
  <c r="AC507" i="1"/>
  <c r="AX506" i="1"/>
  <c r="AW506" i="1"/>
  <c r="AC506" i="1"/>
  <c r="AX505" i="1"/>
  <c r="AW505" i="1"/>
  <c r="AC505" i="1"/>
  <c r="AX504" i="1"/>
  <c r="AW504" i="1"/>
  <c r="AC504" i="1"/>
  <c r="AX503" i="1"/>
  <c r="AW503" i="1"/>
  <c r="AC503" i="1"/>
  <c r="AX502" i="1"/>
  <c r="AW502" i="1"/>
  <c r="AC502" i="1"/>
  <c r="AX501" i="1"/>
  <c r="AW501" i="1"/>
  <c r="AC501" i="1"/>
  <c r="AX500" i="1"/>
  <c r="AW500" i="1"/>
  <c r="AC500" i="1"/>
  <c r="AX499" i="1"/>
  <c r="AW499" i="1"/>
  <c r="AC499" i="1"/>
  <c r="AX498" i="1"/>
  <c r="AW498" i="1"/>
  <c r="AC498" i="1"/>
  <c r="AX497" i="1"/>
  <c r="AW497" i="1"/>
  <c r="AC497" i="1"/>
  <c r="AX496" i="1"/>
  <c r="AW496" i="1"/>
  <c r="AC496" i="1"/>
  <c r="AX495" i="1"/>
  <c r="AW495" i="1"/>
  <c r="AC495" i="1"/>
  <c r="AX494" i="1"/>
  <c r="AW494" i="1"/>
  <c r="AC494" i="1"/>
  <c r="AX493" i="1"/>
  <c r="AW493" i="1"/>
  <c r="AC493" i="1"/>
  <c r="AX492" i="1"/>
  <c r="AW492" i="1"/>
  <c r="AC492" i="1"/>
  <c r="AX491" i="1"/>
  <c r="AW491" i="1"/>
  <c r="AC491" i="1"/>
  <c r="AX490" i="1"/>
  <c r="AW490" i="1"/>
  <c r="AC490" i="1"/>
  <c r="AX489" i="1"/>
  <c r="AW489" i="1"/>
  <c r="AC489" i="1"/>
  <c r="AX488" i="1"/>
  <c r="AW488" i="1"/>
  <c r="AC488" i="1"/>
  <c r="AX487" i="1"/>
  <c r="AW487" i="1"/>
  <c r="AC487" i="1"/>
  <c r="AX486" i="1"/>
  <c r="AW486" i="1"/>
  <c r="AC486" i="1"/>
  <c r="AX485" i="1"/>
  <c r="AW485" i="1"/>
  <c r="AC485" i="1"/>
  <c r="AX484" i="1"/>
  <c r="AW484" i="1"/>
  <c r="AC484" i="1"/>
  <c r="AX483" i="1"/>
  <c r="AW483" i="1"/>
  <c r="AC483" i="1"/>
  <c r="AX482" i="1"/>
  <c r="AW482" i="1"/>
  <c r="AC482" i="1"/>
  <c r="AX481" i="1"/>
  <c r="AW481" i="1"/>
  <c r="AC481" i="1"/>
  <c r="AX480" i="1"/>
  <c r="AW480" i="1"/>
  <c r="AC480" i="1"/>
  <c r="AX479" i="1"/>
  <c r="AW479" i="1"/>
  <c r="AC479" i="1"/>
  <c r="AX478" i="1"/>
  <c r="AW478" i="1"/>
  <c r="AC478" i="1"/>
  <c r="AX477" i="1"/>
  <c r="AW477" i="1"/>
  <c r="AC477" i="1"/>
  <c r="AX476" i="1"/>
  <c r="AW476" i="1"/>
  <c r="AC476" i="1"/>
  <c r="AX475" i="1"/>
  <c r="AW475" i="1"/>
  <c r="AC475" i="1"/>
  <c r="AX474" i="1"/>
  <c r="AW474" i="1"/>
  <c r="AC474" i="1"/>
  <c r="AX473" i="1"/>
  <c r="AW473" i="1"/>
  <c r="AC473" i="1"/>
  <c r="AX472" i="1"/>
  <c r="AW472" i="1"/>
  <c r="AC472" i="1"/>
  <c r="AX471" i="1"/>
  <c r="AW471" i="1"/>
  <c r="AC471" i="1"/>
  <c r="AX470" i="1"/>
  <c r="AW470" i="1"/>
  <c r="AC470" i="1"/>
  <c r="AX469" i="1"/>
  <c r="AW469" i="1"/>
  <c r="AC469" i="1"/>
  <c r="AX468" i="1"/>
  <c r="AW468" i="1"/>
  <c r="AC468" i="1"/>
  <c r="AX467" i="1"/>
  <c r="AW467" i="1"/>
  <c r="AC467" i="1"/>
  <c r="AX466" i="1"/>
  <c r="AW466" i="1"/>
  <c r="AC466" i="1"/>
  <c r="AX465" i="1"/>
  <c r="AW465" i="1"/>
  <c r="AC465" i="1"/>
  <c r="AX464" i="1"/>
  <c r="AW464" i="1"/>
  <c r="AC464" i="1"/>
  <c r="AX463" i="1"/>
  <c r="AW463" i="1"/>
  <c r="AC463" i="1"/>
  <c r="AX462" i="1"/>
  <c r="AW462" i="1"/>
  <c r="AC462" i="1"/>
  <c r="AX461" i="1"/>
  <c r="AW461" i="1"/>
  <c r="AC461" i="1"/>
  <c r="AX460" i="1"/>
  <c r="AW460" i="1"/>
  <c r="AC460" i="1"/>
  <c r="AX459" i="1"/>
  <c r="AW459" i="1"/>
  <c r="AC459" i="1"/>
  <c r="AX458" i="1"/>
  <c r="AW458" i="1"/>
  <c r="AC458" i="1"/>
  <c r="AX457" i="1"/>
  <c r="AW457" i="1"/>
  <c r="AC457" i="1"/>
  <c r="AX456" i="1"/>
  <c r="AW456" i="1"/>
  <c r="AC456" i="1"/>
  <c r="AX455" i="1"/>
  <c r="AW455" i="1"/>
  <c r="AC455" i="1"/>
  <c r="AX454" i="1"/>
  <c r="AW454" i="1"/>
  <c r="AC454" i="1"/>
  <c r="AX453" i="1"/>
  <c r="AW453" i="1"/>
  <c r="AC453" i="1"/>
  <c r="AX452" i="1"/>
  <c r="AW452" i="1"/>
  <c r="AC452" i="1"/>
  <c r="AX451" i="1"/>
  <c r="AW451" i="1"/>
  <c r="AC451" i="1"/>
  <c r="AX450" i="1"/>
  <c r="AW450" i="1"/>
  <c r="AC450" i="1"/>
  <c r="AX449" i="1"/>
  <c r="AW449" i="1"/>
  <c r="AC449" i="1"/>
  <c r="AX448" i="1"/>
  <c r="AW448" i="1"/>
  <c r="AC448" i="1"/>
  <c r="AX447" i="1"/>
  <c r="AW447" i="1"/>
  <c r="AC447" i="1"/>
  <c r="AX446" i="1"/>
  <c r="AW446" i="1"/>
  <c r="AC446" i="1"/>
  <c r="AX445" i="1"/>
  <c r="AW445" i="1"/>
  <c r="AC445" i="1"/>
  <c r="AX444" i="1"/>
  <c r="AW444" i="1"/>
  <c r="AC444" i="1"/>
  <c r="AX443" i="1"/>
  <c r="AW443" i="1"/>
  <c r="AC443" i="1"/>
  <c r="AX442" i="1"/>
  <c r="AW442" i="1"/>
  <c r="AC442" i="1"/>
  <c r="AX441" i="1"/>
  <c r="AW441" i="1"/>
  <c r="AC441" i="1"/>
  <c r="AX440" i="1"/>
  <c r="AW440" i="1"/>
  <c r="AC440" i="1"/>
  <c r="AX439" i="1"/>
  <c r="AW439" i="1"/>
  <c r="AC439" i="1"/>
  <c r="AX438" i="1"/>
  <c r="AW438" i="1"/>
  <c r="AC438" i="1"/>
  <c r="AX437" i="1"/>
  <c r="AW437" i="1"/>
  <c r="AC437" i="1"/>
  <c r="AX436" i="1"/>
  <c r="AW436" i="1"/>
  <c r="AC436" i="1"/>
  <c r="AX435" i="1"/>
  <c r="AW435" i="1"/>
  <c r="AC435" i="1"/>
  <c r="AX434" i="1"/>
  <c r="AW434" i="1"/>
  <c r="AC434" i="1"/>
  <c r="AX433" i="1"/>
  <c r="AW433" i="1"/>
  <c r="AC433" i="1"/>
  <c r="AX432" i="1"/>
  <c r="AW432" i="1"/>
  <c r="AC432" i="1"/>
  <c r="AX431" i="1"/>
  <c r="AW431" i="1"/>
  <c r="AC431" i="1"/>
  <c r="AX430" i="1"/>
  <c r="AW430" i="1"/>
  <c r="AC430" i="1"/>
  <c r="AX429" i="1"/>
  <c r="AW429" i="1"/>
  <c r="AC429" i="1"/>
  <c r="AX428" i="1"/>
  <c r="AW428" i="1"/>
  <c r="AC428" i="1"/>
  <c r="AX427" i="1"/>
  <c r="AW427" i="1"/>
  <c r="AC427" i="1"/>
  <c r="AX426" i="1"/>
  <c r="AW426" i="1"/>
  <c r="AC426" i="1"/>
  <c r="AX425" i="1"/>
  <c r="AW425" i="1"/>
  <c r="AC425" i="1"/>
  <c r="AX424" i="1"/>
  <c r="AW424" i="1"/>
  <c r="AC424" i="1"/>
  <c r="AX423" i="1"/>
  <c r="AW423" i="1"/>
  <c r="AC423" i="1"/>
  <c r="AX422" i="1"/>
  <c r="AW422" i="1"/>
  <c r="AC422" i="1"/>
  <c r="AX421" i="1"/>
  <c r="AW421" i="1"/>
  <c r="AC421" i="1"/>
  <c r="AX420" i="1"/>
  <c r="AW420" i="1"/>
  <c r="AC420" i="1"/>
  <c r="AX419" i="1"/>
  <c r="AW419" i="1"/>
  <c r="AC419" i="1"/>
  <c r="AX418" i="1"/>
  <c r="AW418" i="1"/>
  <c r="AC418" i="1"/>
  <c r="AX417" i="1"/>
  <c r="AW417" i="1"/>
  <c r="AC417" i="1"/>
  <c r="AX416" i="1"/>
  <c r="AW416" i="1"/>
  <c r="AC416" i="1"/>
  <c r="AX415" i="1"/>
  <c r="AW415" i="1"/>
  <c r="AC415" i="1"/>
  <c r="AX414" i="1"/>
  <c r="AW414" i="1"/>
  <c r="AC414" i="1"/>
  <c r="AX413" i="1"/>
  <c r="AW413" i="1"/>
  <c r="AC413" i="1"/>
  <c r="AX412" i="1"/>
  <c r="AW412" i="1"/>
  <c r="AC412" i="1"/>
  <c r="AX411" i="1"/>
  <c r="AW411" i="1"/>
  <c r="AC411" i="1"/>
  <c r="AX410" i="1"/>
  <c r="AW410" i="1"/>
  <c r="AC410" i="1"/>
  <c r="AX409" i="1"/>
  <c r="AW409" i="1"/>
  <c r="AC409" i="1"/>
  <c r="AX408" i="1"/>
  <c r="AW408" i="1"/>
  <c r="AC408" i="1"/>
  <c r="AX407" i="1"/>
  <c r="AW407" i="1"/>
  <c r="AC407" i="1"/>
  <c r="AX406" i="1"/>
  <c r="AW406" i="1"/>
  <c r="AC406" i="1"/>
  <c r="AX405" i="1"/>
  <c r="AW405" i="1"/>
  <c r="AC405" i="1"/>
  <c r="AX404" i="1"/>
  <c r="AW404" i="1"/>
  <c r="AC404" i="1"/>
  <c r="AX403" i="1"/>
  <c r="AW403" i="1"/>
  <c r="AC403" i="1"/>
  <c r="AX402" i="1"/>
  <c r="AW402" i="1"/>
  <c r="AC402" i="1"/>
  <c r="AX401" i="1"/>
  <c r="AW401" i="1"/>
  <c r="AC401" i="1"/>
  <c r="AX400" i="1"/>
  <c r="AW400" i="1"/>
  <c r="AC400" i="1"/>
  <c r="AX399" i="1"/>
  <c r="AW399" i="1"/>
  <c r="AC399" i="1"/>
  <c r="AX398" i="1"/>
  <c r="AW398" i="1"/>
  <c r="AC398" i="1"/>
  <c r="AX397" i="1"/>
  <c r="AW397" i="1"/>
  <c r="AC397" i="1"/>
  <c r="AX396" i="1"/>
  <c r="AW396" i="1"/>
  <c r="AC396" i="1"/>
  <c r="AX395" i="1"/>
  <c r="AW395" i="1"/>
  <c r="AC395" i="1"/>
  <c r="AX394" i="1"/>
  <c r="AW394" i="1"/>
  <c r="AC394" i="1"/>
  <c r="AX393" i="1"/>
  <c r="AW393" i="1"/>
  <c r="AC393" i="1"/>
  <c r="AX392" i="1"/>
  <c r="AW392" i="1"/>
  <c r="AC392" i="1"/>
  <c r="AX391" i="1"/>
  <c r="AW391" i="1"/>
  <c r="AC391" i="1"/>
  <c r="AX390" i="1"/>
  <c r="AW390" i="1"/>
  <c r="AC390" i="1"/>
  <c r="AX389" i="1"/>
  <c r="AW389" i="1"/>
  <c r="AC389" i="1"/>
  <c r="AX388" i="1"/>
  <c r="AW388" i="1"/>
  <c r="AC388" i="1"/>
  <c r="AX387" i="1"/>
  <c r="AW387" i="1"/>
  <c r="AC387" i="1"/>
  <c r="AX386" i="1"/>
  <c r="AW386" i="1"/>
  <c r="AC386" i="1"/>
  <c r="AX385" i="1"/>
  <c r="AW385" i="1"/>
  <c r="AC385" i="1"/>
  <c r="AX384" i="1"/>
  <c r="AW384" i="1"/>
  <c r="AC384" i="1"/>
  <c r="AX383" i="1"/>
  <c r="AW383" i="1"/>
  <c r="AC383" i="1"/>
  <c r="AX382" i="1"/>
  <c r="AW382" i="1"/>
  <c r="AC382" i="1"/>
  <c r="AX381" i="1"/>
  <c r="AW381" i="1"/>
  <c r="AC381" i="1"/>
  <c r="AX380" i="1"/>
  <c r="AW380" i="1"/>
  <c r="AC380" i="1"/>
  <c r="AX379" i="1"/>
  <c r="AW379" i="1"/>
  <c r="AC379" i="1"/>
  <c r="AX378" i="1"/>
  <c r="AW378" i="1"/>
  <c r="AC378" i="1"/>
  <c r="AX377" i="1"/>
  <c r="AW377" i="1"/>
  <c r="AC377" i="1"/>
  <c r="AX376" i="1"/>
  <c r="AW376" i="1"/>
  <c r="AC376" i="1"/>
  <c r="AX375" i="1"/>
  <c r="AW375" i="1"/>
  <c r="AC375" i="1"/>
  <c r="AX374" i="1"/>
  <c r="AW374" i="1"/>
  <c r="AC374" i="1"/>
  <c r="AX373" i="1"/>
  <c r="AW373" i="1"/>
  <c r="AC373" i="1"/>
  <c r="AX372" i="1"/>
  <c r="AW372" i="1"/>
  <c r="AC372" i="1"/>
  <c r="AX371" i="1"/>
  <c r="AW371" i="1"/>
  <c r="AC371" i="1"/>
  <c r="AX370" i="1"/>
  <c r="AW370" i="1"/>
  <c r="AC370" i="1"/>
  <c r="AX369" i="1"/>
  <c r="AW369" i="1"/>
  <c r="AC369" i="1"/>
  <c r="AX368" i="1"/>
  <c r="AW368" i="1"/>
  <c r="AC368" i="1"/>
  <c r="AX367" i="1"/>
  <c r="AW367" i="1"/>
  <c r="AC367" i="1"/>
  <c r="AX366" i="1"/>
  <c r="AW366" i="1"/>
  <c r="AC366" i="1"/>
  <c r="AX365" i="1"/>
  <c r="AW365" i="1"/>
  <c r="AC365" i="1"/>
  <c r="AX364" i="1"/>
  <c r="AW364" i="1"/>
  <c r="AC364" i="1"/>
  <c r="AX363" i="1"/>
  <c r="AW363" i="1"/>
  <c r="AC363" i="1"/>
  <c r="AX362" i="1"/>
  <c r="AW362" i="1"/>
  <c r="AC362" i="1"/>
  <c r="AX361" i="1"/>
  <c r="AW361" i="1"/>
  <c r="AC361" i="1"/>
  <c r="AX360" i="1"/>
  <c r="AW360" i="1"/>
  <c r="AC360" i="1"/>
  <c r="AX359" i="1"/>
  <c r="AW359" i="1"/>
  <c r="AC359" i="1"/>
  <c r="AX358" i="1"/>
  <c r="AW358" i="1"/>
  <c r="AC358" i="1"/>
  <c r="AX357" i="1"/>
  <c r="AW357" i="1"/>
  <c r="AC357" i="1"/>
  <c r="AX356" i="1"/>
  <c r="AW356" i="1"/>
  <c r="AC356" i="1"/>
  <c r="AX355" i="1"/>
  <c r="AW355" i="1"/>
  <c r="AC355" i="1"/>
  <c r="AX354" i="1"/>
  <c r="AW354" i="1"/>
  <c r="AC354" i="1"/>
  <c r="AX353" i="1"/>
  <c r="AW353" i="1"/>
  <c r="AC353" i="1"/>
  <c r="AX352" i="1"/>
  <c r="AW352" i="1"/>
  <c r="AC352" i="1"/>
  <c r="AX351" i="1"/>
  <c r="AW351" i="1"/>
  <c r="AC351" i="1"/>
  <c r="AX350" i="1"/>
  <c r="AW350" i="1"/>
  <c r="AC350" i="1"/>
  <c r="AX349" i="1"/>
  <c r="AW349" i="1"/>
  <c r="AC349" i="1"/>
  <c r="AX348" i="1"/>
  <c r="AW348" i="1"/>
  <c r="AC348" i="1"/>
  <c r="AX347" i="1"/>
  <c r="AW347" i="1"/>
  <c r="AC347" i="1"/>
  <c r="AX346" i="1"/>
  <c r="AW346" i="1"/>
  <c r="AC346" i="1"/>
  <c r="AX345" i="1"/>
  <c r="AW345" i="1"/>
  <c r="AC345" i="1"/>
  <c r="AX344" i="1"/>
  <c r="AW344" i="1"/>
  <c r="AC344" i="1"/>
  <c r="AX343" i="1"/>
  <c r="AW343" i="1"/>
  <c r="AC343" i="1"/>
  <c r="AX342" i="1"/>
  <c r="AW342" i="1"/>
  <c r="AC342" i="1"/>
  <c r="AX341" i="1"/>
  <c r="AW341" i="1"/>
  <c r="AC341" i="1"/>
  <c r="AX340" i="1"/>
  <c r="AW340" i="1"/>
  <c r="AC340" i="1"/>
  <c r="AX339" i="1"/>
  <c r="AW339" i="1"/>
  <c r="AC339" i="1"/>
  <c r="AX338" i="1"/>
  <c r="AW338" i="1"/>
  <c r="AC338" i="1"/>
  <c r="AX337" i="1"/>
  <c r="AW337" i="1"/>
  <c r="AC337" i="1"/>
  <c r="AX336" i="1"/>
  <c r="AW336" i="1"/>
  <c r="AC336" i="1"/>
  <c r="AX335" i="1"/>
  <c r="AW335" i="1"/>
  <c r="AC335" i="1"/>
  <c r="AX334" i="1"/>
  <c r="AW334" i="1"/>
  <c r="AC334" i="1"/>
  <c r="AX333" i="1"/>
  <c r="AW333" i="1"/>
  <c r="AC333" i="1"/>
  <c r="AX332" i="1"/>
  <c r="AW332" i="1"/>
  <c r="AC332" i="1"/>
  <c r="AX331" i="1"/>
  <c r="AW331" i="1"/>
  <c r="AC331" i="1"/>
  <c r="AX330" i="1"/>
  <c r="AW330" i="1"/>
  <c r="AC330" i="1"/>
  <c r="AX329" i="1"/>
  <c r="AW329" i="1"/>
  <c r="AC329" i="1"/>
  <c r="AX328" i="1"/>
  <c r="AW328" i="1"/>
  <c r="AC328" i="1"/>
  <c r="AX327" i="1"/>
  <c r="AW327" i="1"/>
  <c r="AC327" i="1"/>
  <c r="AX326" i="1"/>
  <c r="AW326" i="1"/>
  <c r="AC326" i="1"/>
  <c r="AX325" i="1"/>
  <c r="AW325" i="1"/>
  <c r="AC325" i="1"/>
  <c r="AX324" i="1"/>
  <c r="AW324" i="1"/>
  <c r="AC324" i="1"/>
  <c r="AX323" i="1"/>
  <c r="AW323" i="1"/>
  <c r="AC323" i="1"/>
  <c r="AX322" i="1"/>
  <c r="AW322" i="1"/>
  <c r="AC322" i="1"/>
  <c r="AX321" i="1"/>
  <c r="AW321" i="1"/>
  <c r="AC321" i="1"/>
  <c r="AX320" i="1"/>
  <c r="AW320" i="1"/>
  <c r="AC320" i="1"/>
  <c r="AX319" i="1"/>
  <c r="AW319" i="1"/>
  <c r="AC319" i="1"/>
  <c r="AX318" i="1"/>
  <c r="AW318" i="1"/>
  <c r="AC318" i="1"/>
  <c r="AX317" i="1"/>
  <c r="AW317" i="1"/>
  <c r="AC317" i="1"/>
  <c r="AX316" i="1"/>
  <c r="AW316" i="1"/>
  <c r="AC316" i="1"/>
  <c r="AX315" i="1"/>
  <c r="AW315" i="1"/>
  <c r="AC315" i="1"/>
  <c r="AX314" i="1"/>
  <c r="AW314" i="1"/>
  <c r="AC314" i="1"/>
  <c r="AX313" i="1"/>
  <c r="AW313" i="1"/>
  <c r="AC313" i="1"/>
  <c r="AX312" i="1"/>
  <c r="AW312" i="1"/>
  <c r="AC312" i="1"/>
  <c r="AX311" i="1"/>
  <c r="AW311" i="1"/>
  <c r="AC311" i="1"/>
  <c r="AX310" i="1"/>
  <c r="AW310" i="1"/>
  <c r="AC310" i="1"/>
  <c r="AX309" i="1"/>
  <c r="AW309" i="1"/>
  <c r="AC309" i="1"/>
  <c r="AX308" i="1"/>
  <c r="AW308" i="1"/>
  <c r="AC308" i="1"/>
  <c r="AX307" i="1"/>
  <c r="AW307" i="1"/>
  <c r="AC307" i="1"/>
  <c r="AX306" i="1"/>
  <c r="AW306" i="1"/>
  <c r="AC306" i="1"/>
  <c r="AX305" i="1"/>
  <c r="AW305" i="1"/>
  <c r="AC305" i="1"/>
  <c r="AX304" i="1"/>
  <c r="AW304" i="1"/>
  <c r="AC304" i="1"/>
  <c r="AX303" i="1"/>
  <c r="AW303" i="1"/>
  <c r="AC303" i="1"/>
  <c r="AX302" i="1"/>
  <c r="AW302" i="1"/>
  <c r="AC302" i="1"/>
  <c r="AX301" i="1"/>
  <c r="AW301" i="1"/>
  <c r="AC301" i="1"/>
  <c r="AX300" i="1"/>
  <c r="AW300" i="1"/>
  <c r="AC300" i="1"/>
  <c r="AX299" i="1"/>
  <c r="AW299" i="1"/>
  <c r="AC299" i="1"/>
  <c r="AX298" i="1"/>
  <c r="AW298" i="1"/>
  <c r="AC298" i="1"/>
  <c r="AX297" i="1"/>
  <c r="AW297" i="1"/>
  <c r="AC297" i="1"/>
  <c r="AX296" i="1"/>
  <c r="AW296" i="1"/>
  <c r="AC296" i="1"/>
  <c r="AX295" i="1"/>
  <c r="AW295" i="1"/>
  <c r="AC295" i="1"/>
  <c r="AX294" i="1"/>
  <c r="AW294" i="1"/>
  <c r="AC294" i="1"/>
  <c r="AX293" i="1"/>
  <c r="AW293" i="1"/>
  <c r="AC293" i="1"/>
  <c r="AX292" i="1"/>
  <c r="AW292" i="1"/>
  <c r="AC292" i="1"/>
  <c r="AX291" i="1"/>
  <c r="AW291" i="1"/>
  <c r="AC291" i="1"/>
  <c r="AX290" i="1"/>
  <c r="AW290" i="1"/>
  <c r="AC290" i="1"/>
  <c r="AX289" i="1"/>
  <c r="AW289" i="1"/>
  <c r="AC289" i="1"/>
  <c r="AX288" i="1"/>
  <c r="AW288" i="1"/>
  <c r="AC288" i="1"/>
  <c r="AX287" i="1"/>
  <c r="AW287" i="1"/>
  <c r="AC287" i="1"/>
  <c r="AX286" i="1"/>
  <c r="AW286" i="1"/>
  <c r="AC286" i="1"/>
  <c r="AX285" i="1"/>
  <c r="AW285" i="1"/>
  <c r="AC285" i="1"/>
  <c r="AX284" i="1"/>
  <c r="AW284" i="1"/>
  <c r="AC284" i="1"/>
  <c r="AX283" i="1"/>
  <c r="AW283" i="1"/>
  <c r="AC283" i="1"/>
  <c r="AX282" i="1"/>
  <c r="AW282" i="1"/>
  <c r="AC282" i="1"/>
  <c r="AX281" i="1"/>
  <c r="AW281" i="1"/>
  <c r="AC281" i="1"/>
  <c r="AX280" i="1"/>
  <c r="AW280" i="1"/>
  <c r="AC280" i="1"/>
  <c r="AX279" i="1"/>
  <c r="AW279" i="1"/>
  <c r="AC279" i="1"/>
  <c r="AX278" i="1"/>
  <c r="AW278" i="1"/>
  <c r="AC278" i="1"/>
  <c r="AX277" i="1"/>
  <c r="AW277" i="1"/>
  <c r="AC277" i="1"/>
  <c r="AX276" i="1"/>
  <c r="AW276" i="1"/>
  <c r="AC276" i="1"/>
  <c r="AX275" i="1"/>
  <c r="AW275" i="1"/>
  <c r="AC275" i="1"/>
  <c r="AX274" i="1"/>
  <c r="AW274" i="1"/>
  <c r="AC274" i="1"/>
  <c r="AX273" i="1"/>
  <c r="AW273" i="1"/>
  <c r="AC273" i="1"/>
  <c r="AX272" i="1"/>
  <c r="AW272" i="1"/>
  <c r="AC272" i="1"/>
  <c r="AX271" i="1"/>
  <c r="AW271" i="1"/>
  <c r="AC271" i="1"/>
  <c r="AX270" i="1"/>
  <c r="AW270" i="1"/>
  <c r="AC270" i="1"/>
  <c r="AX269" i="1"/>
  <c r="AW269" i="1"/>
  <c r="AC269" i="1"/>
  <c r="AX268" i="1"/>
  <c r="AW268" i="1"/>
  <c r="AC268" i="1"/>
  <c r="AX267" i="1"/>
  <c r="AW267" i="1"/>
  <c r="AC267" i="1"/>
  <c r="AX266" i="1"/>
  <c r="AW266" i="1"/>
  <c r="AC266" i="1"/>
  <c r="AX265" i="1"/>
  <c r="AW265" i="1"/>
  <c r="AC265" i="1"/>
  <c r="AX264" i="1"/>
  <c r="AW264" i="1"/>
  <c r="AC264" i="1"/>
  <c r="AX263" i="1"/>
  <c r="AW263" i="1"/>
  <c r="AC263" i="1"/>
  <c r="AX262" i="1"/>
  <c r="AW262" i="1"/>
  <c r="AC262" i="1"/>
  <c r="AX261" i="1"/>
  <c r="AW261" i="1"/>
  <c r="AC261" i="1"/>
  <c r="AX260" i="1"/>
  <c r="AW260" i="1"/>
  <c r="AC260" i="1"/>
  <c r="AX259" i="1"/>
  <c r="AW259" i="1"/>
  <c r="AC259" i="1"/>
  <c r="AX258" i="1"/>
  <c r="AW258" i="1"/>
  <c r="AC258" i="1"/>
  <c r="AX257" i="1"/>
  <c r="AW257" i="1"/>
  <c r="AC257" i="1"/>
  <c r="AX256" i="1"/>
  <c r="AW256" i="1"/>
  <c r="AC256" i="1"/>
  <c r="AX255" i="1"/>
  <c r="AW255" i="1"/>
  <c r="AC255" i="1"/>
  <c r="AX254" i="1"/>
  <c r="AW254" i="1"/>
  <c r="AC254" i="1"/>
  <c r="AX253" i="1"/>
  <c r="AW253" i="1"/>
  <c r="AC253" i="1"/>
  <c r="AX252" i="1"/>
  <c r="AW252" i="1"/>
  <c r="AC252" i="1"/>
  <c r="AX251" i="1"/>
  <c r="AW251" i="1"/>
  <c r="AC251" i="1"/>
  <c r="AX250" i="1"/>
  <c r="AW250" i="1"/>
  <c r="AC250" i="1"/>
  <c r="AX249" i="1"/>
  <c r="AW249" i="1"/>
  <c r="AC249" i="1"/>
  <c r="AX248" i="1"/>
  <c r="AW248" i="1"/>
  <c r="AC248" i="1"/>
  <c r="AX247" i="1"/>
  <c r="AW247" i="1"/>
  <c r="AC247" i="1"/>
  <c r="AX246" i="1"/>
  <c r="AW246" i="1"/>
  <c r="AC246" i="1"/>
  <c r="AX245" i="1"/>
  <c r="AW245" i="1"/>
  <c r="AC245" i="1"/>
  <c r="AX244" i="1"/>
  <c r="AW244" i="1"/>
  <c r="AC244" i="1"/>
  <c r="AX243" i="1"/>
  <c r="AW243" i="1"/>
  <c r="AC243" i="1"/>
  <c r="AX242" i="1"/>
  <c r="AW242" i="1"/>
  <c r="AC242" i="1"/>
  <c r="AX241" i="1"/>
  <c r="AW241" i="1"/>
  <c r="AC241" i="1"/>
  <c r="AX240" i="1"/>
  <c r="AW240" i="1"/>
  <c r="AC240" i="1"/>
  <c r="AX239" i="1"/>
  <c r="AW239" i="1"/>
  <c r="AC239" i="1"/>
  <c r="AX238" i="1"/>
  <c r="AW238" i="1"/>
  <c r="AC238" i="1"/>
  <c r="AX237" i="1"/>
  <c r="AW237" i="1"/>
  <c r="AC237" i="1"/>
  <c r="AX236" i="1"/>
  <c r="AW236" i="1"/>
  <c r="AC236" i="1"/>
  <c r="AX235" i="1"/>
  <c r="AW235" i="1"/>
  <c r="AC235" i="1"/>
  <c r="AX234" i="1"/>
  <c r="AW234" i="1"/>
  <c r="AC234" i="1"/>
  <c r="AX233" i="1"/>
  <c r="AW233" i="1"/>
  <c r="AC233" i="1"/>
  <c r="AX232" i="1"/>
  <c r="AW232" i="1"/>
  <c r="AC232" i="1"/>
  <c r="AX231" i="1"/>
  <c r="AW231" i="1"/>
  <c r="AC231" i="1"/>
  <c r="AX230" i="1"/>
  <c r="AW230" i="1"/>
  <c r="AC230" i="1"/>
  <c r="AX229" i="1"/>
  <c r="AW229" i="1"/>
  <c r="AC229" i="1"/>
  <c r="AX228" i="1"/>
  <c r="AW228" i="1"/>
  <c r="AC228" i="1"/>
  <c r="AX227" i="1"/>
  <c r="AW227" i="1"/>
  <c r="AC227" i="1"/>
  <c r="AX226" i="1"/>
  <c r="AW226" i="1"/>
  <c r="AC226" i="1"/>
  <c r="AX225" i="1"/>
  <c r="AW225" i="1"/>
  <c r="AC225" i="1"/>
  <c r="AX224" i="1"/>
  <c r="AW224" i="1"/>
  <c r="AC224" i="1"/>
  <c r="AX223" i="1"/>
  <c r="AW223" i="1"/>
  <c r="AC223" i="1"/>
  <c r="AX222" i="1"/>
  <c r="AW222" i="1"/>
  <c r="AC222" i="1"/>
  <c r="AX221" i="1"/>
  <c r="AW221" i="1"/>
  <c r="AC221" i="1"/>
  <c r="AX220" i="1"/>
  <c r="AW220" i="1"/>
  <c r="AC220" i="1"/>
  <c r="AX219" i="1"/>
  <c r="AW219" i="1"/>
  <c r="AC219" i="1"/>
  <c r="AX218" i="1"/>
  <c r="AW218" i="1"/>
  <c r="AC218" i="1"/>
  <c r="AX217" i="1"/>
  <c r="AW217" i="1"/>
  <c r="AC217" i="1"/>
  <c r="AX216" i="1"/>
  <c r="AW216" i="1"/>
  <c r="AC216" i="1"/>
  <c r="AX215" i="1"/>
  <c r="AW215" i="1"/>
  <c r="AC215" i="1"/>
  <c r="AX214" i="1"/>
  <c r="AW214" i="1"/>
  <c r="AC214" i="1"/>
  <c r="AX213" i="1"/>
  <c r="AW213" i="1"/>
  <c r="AC213" i="1"/>
  <c r="AX212" i="1"/>
  <c r="AW212" i="1"/>
  <c r="AC212" i="1"/>
  <c r="AX211" i="1"/>
  <c r="AW211" i="1"/>
  <c r="AC211" i="1"/>
  <c r="AX210" i="1"/>
  <c r="AW210" i="1"/>
  <c r="AC210" i="1"/>
  <c r="AX209" i="1"/>
  <c r="AW209" i="1"/>
  <c r="AC209" i="1"/>
  <c r="AX208" i="1"/>
  <c r="AW208" i="1"/>
  <c r="AC208" i="1"/>
  <c r="AX207" i="1"/>
  <c r="AW207" i="1"/>
  <c r="AC207" i="1"/>
  <c r="AX206" i="1"/>
  <c r="AW206" i="1"/>
  <c r="AC206" i="1"/>
  <c r="AX205" i="1"/>
  <c r="AW205" i="1"/>
  <c r="AC205" i="1"/>
  <c r="AX204" i="1"/>
  <c r="AW204" i="1"/>
  <c r="AC204" i="1"/>
  <c r="AX203" i="1"/>
  <c r="AW203" i="1"/>
  <c r="AC203" i="1"/>
  <c r="AX202" i="1"/>
  <c r="AW202" i="1"/>
  <c r="AC202" i="1"/>
  <c r="AX201" i="1"/>
  <c r="AW201" i="1"/>
  <c r="AC201" i="1"/>
  <c r="AX200" i="1"/>
  <c r="AW200" i="1"/>
  <c r="AC200" i="1"/>
  <c r="AX199" i="1"/>
  <c r="AW199" i="1"/>
  <c r="AC199" i="1"/>
  <c r="AX198" i="1"/>
  <c r="AW198" i="1"/>
  <c r="AC198" i="1"/>
  <c r="AX197" i="1"/>
  <c r="AW197" i="1"/>
  <c r="AC197" i="1"/>
  <c r="AX196" i="1"/>
  <c r="AW196" i="1"/>
  <c r="AC196" i="1"/>
  <c r="AX195" i="1"/>
  <c r="AW195" i="1"/>
  <c r="AC195" i="1"/>
  <c r="AX194" i="1"/>
  <c r="AW194" i="1"/>
  <c r="AC194" i="1"/>
  <c r="AX193" i="1"/>
  <c r="AW193" i="1"/>
  <c r="AC193" i="1"/>
  <c r="AX192" i="1"/>
  <c r="AW192" i="1"/>
  <c r="AC192" i="1"/>
  <c r="AX191" i="1"/>
  <c r="AW191" i="1"/>
  <c r="AC191" i="1"/>
  <c r="AX190" i="1"/>
  <c r="AW190" i="1"/>
  <c r="AC190" i="1"/>
  <c r="AX189" i="1"/>
  <c r="AW189" i="1"/>
  <c r="AC189" i="1"/>
  <c r="AX188" i="1"/>
  <c r="AW188" i="1"/>
  <c r="AC188" i="1"/>
  <c r="AX187" i="1"/>
  <c r="AW187" i="1"/>
  <c r="AC187" i="1"/>
  <c r="AX186" i="1"/>
  <c r="AW186" i="1"/>
  <c r="AC186" i="1"/>
  <c r="AX185" i="1"/>
  <c r="AW185" i="1"/>
  <c r="AC185" i="1"/>
  <c r="AX184" i="1"/>
  <c r="AW184" i="1"/>
  <c r="AC184" i="1"/>
  <c r="AX183" i="1"/>
  <c r="AW183" i="1"/>
  <c r="AC183" i="1"/>
  <c r="AX182" i="1"/>
  <c r="AW182" i="1"/>
  <c r="AC182" i="1"/>
  <c r="AX181" i="1"/>
  <c r="AW181" i="1"/>
  <c r="AC181" i="1"/>
  <c r="AX180" i="1"/>
  <c r="AW180" i="1"/>
  <c r="AC180" i="1"/>
  <c r="AX179" i="1"/>
  <c r="AW179" i="1"/>
  <c r="AC179" i="1"/>
  <c r="AX178" i="1"/>
  <c r="AW178" i="1"/>
  <c r="AC178" i="1"/>
  <c r="AX177" i="1"/>
  <c r="AW177" i="1"/>
  <c r="AC177" i="1"/>
  <c r="AX176" i="1"/>
  <c r="AW176" i="1"/>
  <c r="AC176" i="1"/>
  <c r="AX175" i="1"/>
  <c r="AW175" i="1"/>
  <c r="AC175" i="1"/>
  <c r="AX174" i="1"/>
  <c r="AW174" i="1"/>
  <c r="AC174" i="1"/>
  <c r="AX173" i="1"/>
  <c r="AW173" i="1"/>
  <c r="AC173" i="1"/>
  <c r="AX172" i="1"/>
  <c r="AW172" i="1"/>
  <c r="AC172" i="1"/>
  <c r="AX171" i="1"/>
  <c r="AW171" i="1"/>
  <c r="AC171" i="1"/>
  <c r="AX170" i="1"/>
  <c r="AW170" i="1"/>
  <c r="AC170" i="1"/>
  <c r="AX169" i="1"/>
  <c r="AW169" i="1"/>
  <c r="AC169" i="1"/>
  <c r="AX168" i="1"/>
  <c r="AW168" i="1"/>
  <c r="AC168" i="1"/>
  <c r="AX167" i="1"/>
  <c r="AW167" i="1"/>
  <c r="AC167" i="1"/>
  <c r="AX166" i="1"/>
  <c r="AW166" i="1"/>
  <c r="AC166" i="1"/>
  <c r="AX165" i="1"/>
  <c r="AW165" i="1"/>
  <c r="AC165" i="1"/>
  <c r="AX164" i="1"/>
  <c r="AW164" i="1"/>
  <c r="AC164" i="1"/>
  <c r="AX163" i="1"/>
  <c r="AW163" i="1"/>
  <c r="AC163" i="1"/>
  <c r="AX162" i="1"/>
  <c r="AW162" i="1"/>
  <c r="AC162" i="1"/>
  <c r="AX161" i="1"/>
  <c r="AW161" i="1"/>
  <c r="AC161" i="1"/>
  <c r="AX160" i="1"/>
  <c r="AW160" i="1"/>
  <c r="AC160" i="1"/>
  <c r="AX159" i="1"/>
  <c r="AW159" i="1"/>
  <c r="AC159" i="1"/>
  <c r="AX158" i="1"/>
  <c r="AW158" i="1"/>
  <c r="AC158" i="1"/>
  <c r="AX157" i="1"/>
  <c r="AW157" i="1"/>
  <c r="AC157" i="1"/>
  <c r="AX156" i="1"/>
  <c r="AW156" i="1"/>
  <c r="AC156" i="1"/>
  <c r="AX155" i="1"/>
  <c r="AW155" i="1"/>
  <c r="AC155" i="1"/>
  <c r="AX154" i="1"/>
  <c r="AW154" i="1"/>
  <c r="AC154" i="1"/>
  <c r="AX153" i="1"/>
  <c r="AW153" i="1"/>
  <c r="AC153" i="1"/>
  <c r="AX152" i="1"/>
  <c r="AW152" i="1"/>
  <c r="AC152" i="1"/>
  <c r="AX151" i="1"/>
  <c r="AW151" i="1"/>
  <c r="AC151" i="1"/>
  <c r="AX150" i="1"/>
  <c r="AW150" i="1"/>
  <c r="AC150" i="1"/>
  <c r="AX149" i="1"/>
  <c r="AW149" i="1"/>
  <c r="AC149" i="1"/>
  <c r="AX148" i="1"/>
  <c r="AW148" i="1"/>
  <c r="AC148" i="1"/>
  <c r="AX147" i="1"/>
  <c r="AW147" i="1"/>
  <c r="AC147" i="1"/>
  <c r="AX146" i="1"/>
  <c r="AW146" i="1"/>
  <c r="AC146" i="1"/>
  <c r="AX145" i="1"/>
  <c r="AW145" i="1"/>
  <c r="AC145" i="1"/>
  <c r="AX144" i="1"/>
  <c r="AW144" i="1"/>
  <c r="AC144" i="1"/>
  <c r="AX143" i="1"/>
  <c r="AW143" i="1"/>
  <c r="AC143" i="1"/>
  <c r="AX142" i="1"/>
  <c r="AW142" i="1"/>
  <c r="AC142" i="1"/>
  <c r="AX141" i="1"/>
  <c r="AW141" i="1"/>
  <c r="AC141" i="1"/>
  <c r="AX140" i="1"/>
  <c r="AW140" i="1"/>
  <c r="AC140" i="1"/>
  <c r="AX139" i="1"/>
  <c r="AW139" i="1"/>
  <c r="AC139" i="1"/>
  <c r="AX138" i="1"/>
  <c r="AW138" i="1"/>
  <c r="AC138" i="1"/>
  <c r="AX137" i="1"/>
  <c r="AW137" i="1"/>
  <c r="AC137" i="1"/>
  <c r="AX136" i="1"/>
  <c r="AW136" i="1"/>
  <c r="AC136" i="1"/>
  <c r="AX135" i="1"/>
  <c r="AW135" i="1"/>
  <c r="AC135" i="1"/>
  <c r="AX134" i="1"/>
  <c r="AW134" i="1"/>
  <c r="AC134" i="1"/>
  <c r="AX133" i="1"/>
  <c r="AW133" i="1"/>
  <c r="AC133" i="1"/>
  <c r="AX132" i="1"/>
  <c r="AW132" i="1"/>
  <c r="AC132" i="1"/>
  <c r="AX131" i="1"/>
  <c r="AW131" i="1"/>
  <c r="AC131" i="1"/>
  <c r="AX130" i="1"/>
  <c r="AW130" i="1"/>
  <c r="AC130" i="1"/>
  <c r="AX129" i="1"/>
  <c r="AW129" i="1"/>
  <c r="AC129" i="1"/>
  <c r="AX128" i="1"/>
  <c r="AW128" i="1"/>
  <c r="AC128" i="1"/>
  <c r="AX127" i="1"/>
  <c r="AW127" i="1"/>
  <c r="AC127" i="1"/>
  <c r="AX126" i="1"/>
  <c r="AW126" i="1"/>
  <c r="AC126" i="1"/>
  <c r="AX125" i="1"/>
  <c r="AW125" i="1"/>
  <c r="AC125" i="1"/>
  <c r="AX124" i="1"/>
  <c r="AW124" i="1"/>
  <c r="AC124" i="1"/>
  <c r="AX123" i="1"/>
  <c r="AW123" i="1"/>
  <c r="AC123" i="1"/>
  <c r="AX122" i="1"/>
  <c r="AW122" i="1"/>
  <c r="AC122" i="1"/>
  <c r="AX121" i="1"/>
  <c r="AW121" i="1"/>
  <c r="AC121" i="1"/>
  <c r="AX120" i="1"/>
  <c r="AW120" i="1"/>
  <c r="AC120" i="1"/>
  <c r="AX119" i="1"/>
  <c r="AW119" i="1"/>
  <c r="AC119" i="1"/>
  <c r="AX118" i="1"/>
  <c r="AW118" i="1"/>
  <c r="AC118" i="1"/>
  <c r="AX117" i="1"/>
  <c r="AW117" i="1"/>
  <c r="AC117" i="1"/>
  <c r="AX116" i="1"/>
  <c r="AW116" i="1"/>
  <c r="AC116" i="1"/>
  <c r="AX115" i="1"/>
  <c r="AW115" i="1"/>
  <c r="AC115" i="1"/>
  <c r="AX114" i="1"/>
  <c r="AW114" i="1"/>
  <c r="AC114" i="1"/>
  <c r="AX113" i="1"/>
  <c r="AW113" i="1"/>
  <c r="AC113" i="1"/>
  <c r="AX112" i="1"/>
  <c r="AW112" i="1"/>
  <c r="AC112" i="1"/>
  <c r="AX111" i="1"/>
  <c r="AW111" i="1"/>
  <c r="AC111" i="1"/>
  <c r="AX110" i="1"/>
  <c r="AW110" i="1"/>
  <c r="AC110" i="1"/>
  <c r="AX109" i="1"/>
  <c r="AW109" i="1"/>
  <c r="AC109" i="1"/>
  <c r="AX108" i="1"/>
  <c r="AW108" i="1"/>
  <c r="AC108" i="1"/>
  <c r="AX107" i="1"/>
  <c r="AW107" i="1"/>
  <c r="AC107" i="1"/>
  <c r="AX106" i="1"/>
  <c r="AW106" i="1"/>
  <c r="AC106" i="1"/>
  <c r="AX105" i="1"/>
  <c r="AW105" i="1"/>
  <c r="AC105" i="1"/>
  <c r="AX104" i="1"/>
  <c r="AW104" i="1"/>
  <c r="AC104" i="1"/>
  <c r="AX103" i="1"/>
  <c r="AW103" i="1"/>
  <c r="AC103" i="1"/>
  <c r="AX102" i="1"/>
  <c r="AW102" i="1"/>
  <c r="AC102" i="1"/>
  <c r="AX101" i="1"/>
  <c r="AW101" i="1"/>
  <c r="AC101" i="1"/>
  <c r="AX100" i="1"/>
  <c r="AW100" i="1"/>
  <c r="AC100" i="1"/>
  <c r="AX99" i="1"/>
  <c r="AW99" i="1"/>
  <c r="AC99" i="1"/>
  <c r="AX98" i="1"/>
  <c r="AW98" i="1"/>
  <c r="AC98" i="1"/>
  <c r="AX97" i="1"/>
  <c r="AW97" i="1"/>
  <c r="AC97" i="1"/>
  <c r="AX96" i="1"/>
  <c r="AW96" i="1"/>
  <c r="AC96" i="1"/>
  <c r="AX95" i="1"/>
  <c r="AW95" i="1"/>
  <c r="AC95" i="1"/>
  <c r="AX94" i="1"/>
  <c r="AW94" i="1"/>
  <c r="AC94" i="1"/>
  <c r="AX93" i="1"/>
  <c r="AW93" i="1"/>
  <c r="AC93" i="1"/>
  <c r="AX92" i="1"/>
  <c r="AW92" i="1"/>
  <c r="AC92" i="1"/>
  <c r="AX91" i="1"/>
  <c r="AW91" i="1"/>
  <c r="AC91" i="1"/>
  <c r="AX90" i="1"/>
  <c r="AW90" i="1"/>
  <c r="AC90" i="1"/>
  <c r="AX89" i="1"/>
  <c r="AW89" i="1"/>
  <c r="AC89" i="1"/>
  <c r="AX88" i="1"/>
  <c r="AW88" i="1"/>
  <c r="AC88" i="1"/>
  <c r="AX87" i="1"/>
  <c r="AW87" i="1"/>
  <c r="AC87" i="1"/>
  <c r="AX86" i="1"/>
  <c r="AW86" i="1"/>
  <c r="AC86" i="1"/>
  <c r="AX85" i="1"/>
  <c r="AW85" i="1"/>
  <c r="AC85" i="1"/>
  <c r="AX84" i="1"/>
  <c r="AW84" i="1"/>
  <c r="AC84" i="1"/>
  <c r="AX83" i="1"/>
  <c r="AW83" i="1"/>
  <c r="AC83" i="1"/>
  <c r="AX82" i="1"/>
  <c r="AW82" i="1"/>
  <c r="AC82" i="1"/>
  <c r="AX81" i="1"/>
  <c r="AW81" i="1"/>
  <c r="AC81" i="1"/>
  <c r="AX80" i="1"/>
  <c r="AW80" i="1"/>
  <c r="AC80" i="1"/>
  <c r="AX79" i="1"/>
  <c r="AW79" i="1"/>
  <c r="AC79" i="1"/>
  <c r="AX78" i="1"/>
  <c r="AW78" i="1"/>
  <c r="AC78" i="1"/>
  <c r="AX77" i="1"/>
  <c r="AW77" i="1"/>
  <c r="AC77" i="1"/>
  <c r="AX76" i="1"/>
  <c r="AW76" i="1"/>
  <c r="AC76" i="1"/>
  <c r="AX75" i="1"/>
  <c r="AW75" i="1"/>
  <c r="AC75" i="1"/>
  <c r="AX74" i="1"/>
  <c r="AW74" i="1"/>
  <c r="AC74" i="1"/>
  <c r="AX73" i="1"/>
  <c r="AW73" i="1"/>
  <c r="AC73" i="1"/>
  <c r="AX72" i="1"/>
  <c r="AW72" i="1"/>
  <c r="AC72" i="1"/>
  <c r="AX71" i="1"/>
  <c r="AW71" i="1"/>
  <c r="AC71" i="1"/>
  <c r="AX70" i="1"/>
  <c r="AW70" i="1"/>
  <c r="AC70" i="1"/>
  <c r="AX69" i="1"/>
  <c r="AW69" i="1"/>
  <c r="AC69" i="1"/>
  <c r="AX68" i="1"/>
  <c r="AW68" i="1"/>
  <c r="AC68" i="1"/>
  <c r="AX67" i="1"/>
  <c r="AW67" i="1"/>
  <c r="AC67" i="1"/>
  <c r="AX66" i="1"/>
  <c r="AW66" i="1"/>
  <c r="AC66" i="1"/>
  <c r="AX65" i="1"/>
  <c r="AW65" i="1"/>
  <c r="AC65" i="1"/>
  <c r="AX64" i="1"/>
  <c r="AW64" i="1"/>
  <c r="AC64" i="1"/>
  <c r="AX63" i="1"/>
  <c r="AW63" i="1"/>
  <c r="AC63" i="1"/>
  <c r="AX62" i="1"/>
  <c r="AW62" i="1"/>
  <c r="AC62" i="1"/>
  <c r="AX61" i="1"/>
  <c r="AW61" i="1"/>
  <c r="AC61" i="1"/>
  <c r="AX60" i="1"/>
  <c r="AW60" i="1"/>
  <c r="AC60" i="1"/>
  <c r="AX59" i="1"/>
  <c r="AW59" i="1"/>
  <c r="AC59" i="1"/>
  <c r="AX58" i="1"/>
  <c r="AW58" i="1"/>
  <c r="AC58" i="1"/>
  <c r="AX57" i="1"/>
  <c r="AW57" i="1"/>
  <c r="AC57" i="1"/>
  <c r="AX56" i="1"/>
  <c r="AW56" i="1"/>
  <c r="AC56" i="1"/>
  <c r="AX55" i="1"/>
  <c r="AW55" i="1"/>
  <c r="AC55" i="1"/>
  <c r="AX54" i="1"/>
  <c r="AW54" i="1"/>
  <c r="AC54" i="1"/>
  <c r="AX53" i="1"/>
  <c r="AW53" i="1"/>
  <c r="AC53" i="1"/>
  <c r="AX52" i="1"/>
  <c r="AW52" i="1"/>
  <c r="AC52" i="1"/>
  <c r="AX51" i="1"/>
  <c r="AW51" i="1"/>
  <c r="AC51" i="1"/>
  <c r="AX50" i="1"/>
  <c r="AW50" i="1"/>
  <c r="AC50" i="1"/>
  <c r="AX49" i="1"/>
  <c r="AW49" i="1"/>
  <c r="AC49" i="1"/>
  <c r="AX48" i="1"/>
  <c r="AW48" i="1"/>
  <c r="AC48" i="1"/>
  <c r="AX47" i="1"/>
  <c r="AW47" i="1"/>
  <c r="AC47" i="1"/>
  <c r="AX46" i="1"/>
  <c r="AW46" i="1"/>
  <c r="AC46" i="1"/>
  <c r="AX45" i="1"/>
  <c r="AW45" i="1"/>
  <c r="AC45" i="1"/>
  <c r="AX44" i="1"/>
  <c r="AW44" i="1"/>
  <c r="AC44" i="1"/>
  <c r="AX43" i="1"/>
  <c r="AW43" i="1"/>
  <c r="AC43" i="1"/>
  <c r="AX42" i="1"/>
  <c r="AW42" i="1"/>
  <c r="AC42" i="1"/>
  <c r="AX41" i="1"/>
  <c r="AW41" i="1"/>
  <c r="AC41" i="1"/>
  <c r="AX40" i="1"/>
  <c r="AW40" i="1"/>
  <c r="AC40" i="1"/>
  <c r="AX39" i="1"/>
  <c r="AW39" i="1"/>
  <c r="AC39" i="1"/>
  <c r="AX38" i="1"/>
  <c r="AW38" i="1"/>
  <c r="AC38" i="1"/>
  <c r="AX37" i="1"/>
  <c r="AW37" i="1"/>
  <c r="AC37" i="1"/>
  <c r="AX36" i="1"/>
  <c r="AW36" i="1"/>
  <c r="AC36" i="1"/>
  <c r="AX35" i="1"/>
  <c r="AW35" i="1"/>
  <c r="AC35" i="1"/>
  <c r="AX34" i="1"/>
  <c r="AW34" i="1"/>
  <c r="AC34" i="1"/>
  <c r="AX33" i="1"/>
  <c r="AW33" i="1"/>
  <c r="AC33" i="1"/>
  <c r="AX32" i="1"/>
  <c r="AW32" i="1"/>
  <c r="AC32" i="1"/>
  <c r="AX31" i="1"/>
  <c r="AW31" i="1"/>
  <c r="AC31" i="1"/>
  <c r="AX30" i="1"/>
  <c r="AW30" i="1"/>
  <c r="AC30" i="1"/>
  <c r="AX29" i="1"/>
  <c r="AW29" i="1"/>
  <c r="AC29" i="1"/>
  <c r="AX28" i="1"/>
  <c r="AW28" i="1"/>
  <c r="AC28" i="1"/>
  <c r="AX27" i="1"/>
  <c r="AW27" i="1"/>
  <c r="AC27" i="1"/>
  <c r="AX26" i="1"/>
  <c r="AW26" i="1"/>
  <c r="AC26" i="1"/>
  <c r="AX25" i="1"/>
  <c r="AW25" i="1"/>
  <c r="AC25" i="1"/>
  <c r="AX24" i="1"/>
  <c r="AW24" i="1"/>
  <c r="AC24" i="1"/>
  <c r="AX23" i="1"/>
  <c r="AW23" i="1"/>
  <c r="AC23" i="1"/>
  <c r="AX22" i="1"/>
  <c r="AW22" i="1"/>
  <c r="AC22" i="1"/>
  <c r="AX21" i="1"/>
  <c r="AW21" i="1"/>
  <c r="AC21" i="1"/>
  <c r="AX20" i="1"/>
  <c r="AW20" i="1"/>
  <c r="AC20" i="1"/>
  <c r="AX19" i="1"/>
  <c r="AW19" i="1"/>
  <c r="AC19" i="1"/>
  <c r="AX18" i="1"/>
  <c r="AW18" i="1"/>
  <c r="AC18" i="1"/>
  <c r="AX17" i="1"/>
  <c r="AW17" i="1"/>
  <c r="AC17" i="1"/>
  <c r="AX16" i="1"/>
  <c r="AW16" i="1"/>
  <c r="AC16" i="1"/>
  <c r="AX15" i="1"/>
  <c r="AW15" i="1"/>
  <c r="AC15" i="1"/>
  <c r="AX14" i="1"/>
  <c r="AW14" i="1"/>
  <c r="AC14" i="1"/>
  <c r="AX13" i="1"/>
  <c r="AW13" i="1"/>
  <c r="AC13" i="1"/>
  <c r="AX12" i="1"/>
  <c r="AW12" i="1"/>
  <c r="AC12" i="1"/>
  <c r="AX11" i="1"/>
  <c r="AW11" i="1"/>
  <c r="AC11" i="1"/>
  <c r="AX10" i="1"/>
  <c r="AW10" i="1"/>
  <c r="AC10" i="1"/>
  <c r="AX9" i="1"/>
  <c r="AW9" i="1"/>
  <c r="AC9" i="1"/>
  <c r="AX8" i="1"/>
  <c r="AW8" i="1"/>
  <c r="AC8" i="1"/>
  <c r="AX7" i="1"/>
  <c r="AW7" i="1"/>
  <c r="AC7" i="1"/>
  <c r="AX6" i="1"/>
  <c r="AW6" i="1"/>
  <c r="AC6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AX5" i="1"/>
  <c r="AW5" i="1"/>
  <c r="AC5" i="1"/>
  <c r="AU3" i="1"/>
  <c r="AR3" i="1"/>
  <c r="AO3" i="1"/>
  <c r="AM3" i="1"/>
  <c r="AE3" i="1"/>
  <c r="AD2" i="1" s="1"/>
  <c r="J3" i="1"/>
  <c r="AO2" i="1"/>
  <c r="AM2" i="1"/>
  <c r="AF2" i="1"/>
  <c r="W2" i="1"/>
  <c r="O2" i="1"/>
  <c r="N2" i="1"/>
  <c r="AR1" i="1"/>
  <c r="O1" i="1"/>
  <c r="K1" i="1"/>
  <c r="I1" i="1"/>
  <c r="C1" i="1"/>
  <c r="C1198" i="1" l="1"/>
  <c r="C1192" i="1"/>
  <c r="C1186" i="1"/>
  <c r="C1197" i="1"/>
  <c r="C1191" i="1"/>
  <c r="C1185" i="1"/>
  <c r="C1196" i="1"/>
  <c r="C1190" i="1"/>
  <c r="C1195" i="1"/>
  <c r="C1189" i="1"/>
  <c r="C1200" i="1"/>
  <c r="C1194" i="1"/>
  <c r="C1188" i="1"/>
  <c r="C1175" i="1"/>
  <c r="C1169" i="1"/>
  <c r="C1174" i="1"/>
  <c r="C1180" i="1"/>
  <c r="C1193" i="1"/>
  <c r="C1181" i="1"/>
  <c r="C1179" i="1"/>
  <c r="C1183" i="1"/>
  <c r="C1178" i="1"/>
  <c r="C1184" i="1"/>
  <c r="C1182" i="1"/>
  <c r="C1177" i="1"/>
  <c r="C1187" i="1"/>
  <c r="C1176" i="1"/>
  <c r="C1173" i="1"/>
  <c r="C1166" i="1"/>
  <c r="C1163" i="1"/>
  <c r="C1157" i="1"/>
  <c r="C1167" i="1"/>
  <c r="C1162" i="1"/>
  <c r="C1156" i="1"/>
  <c r="C1168" i="1"/>
  <c r="C1161" i="1"/>
  <c r="C1155" i="1"/>
  <c r="C1172" i="1"/>
  <c r="C1160" i="1"/>
  <c r="C1199" i="1"/>
  <c r="C1170" i="1"/>
  <c r="C1159" i="1"/>
  <c r="C1171" i="1"/>
  <c r="C1151" i="1"/>
  <c r="C1141" i="1"/>
  <c r="C1135" i="1"/>
  <c r="C1129" i="1"/>
  <c r="C1123" i="1"/>
  <c r="C1140" i="1"/>
  <c r="C1134" i="1"/>
  <c r="C1146" i="1"/>
  <c r="C1164" i="1"/>
  <c r="C1147" i="1"/>
  <c r="C1145" i="1"/>
  <c r="C1139" i="1"/>
  <c r="C1154" i="1"/>
  <c r="C1152" i="1"/>
  <c r="C1148" i="1"/>
  <c r="C1144" i="1"/>
  <c r="C1138" i="1"/>
  <c r="C1153" i="1"/>
  <c r="C1149" i="1"/>
  <c r="C1143" i="1"/>
  <c r="C1137" i="1"/>
  <c r="C1165" i="1"/>
  <c r="C1158" i="1"/>
  <c r="C1150" i="1"/>
  <c r="C1142" i="1"/>
  <c r="C1136" i="1"/>
  <c r="C1133" i="1"/>
  <c r="C1127" i="1"/>
  <c r="C1118" i="1"/>
  <c r="C1128" i="1"/>
  <c r="C1117" i="1"/>
  <c r="C1122" i="1"/>
  <c r="C1116" i="1"/>
  <c r="C1130" i="1"/>
  <c r="C1131" i="1"/>
  <c r="C1124" i="1"/>
  <c r="C1121" i="1"/>
  <c r="C1125" i="1"/>
  <c r="C1132" i="1"/>
  <c r="C1120" i="1"/>
  <c r="C1126" i="1"/>
  <c r="C1112" i="1"/>
  <c r="C1110" i="1"/>
  <c r="C1104" i="1"/>
  <c r="C1102" i="1"/>
  <c r="C1096" i="1"/>
  <c r="C1090" i="1"/>
  <c r="C1114" i="1"/>
  <c r="C1111" i="1"/>
  <c r="C1105" i="1"/>
  <c r="C1101" i="1"/>
  <c r="C1095" i="1"/>
  <c r="C1106" i="1"/>
  <c r="C1100" i="1"/>
  <c r="C1094" i="1"/>
  <c r="C1099" i="1"/>
  <c r="C1115" i="1"/>
  <c r="C1107" i="1"/>
  <c r="C1108" i="1"/>
  <c r="C1098" i="1"/>
  <c r="C1113" i="1"/>
  <c r="C1087" i="1"/>
  <c r="C1077" i="1"/>
  <c r="C1071" i="1"/>
  <c r="C1097" i="1"/>
  <c r="C1093" i="1"/>
  <c r="C1091" i="1"/>
  <c r="C1088" i="1"/>
  <c r="C1082" i="1"/>
  <c r="C1076" i="1"/>
  <c r="C1089" i="1"/>
  <c r="C1083" i="1"/>
  <c r="C1119" i="1"/>
  <c r="C1081" i="1"/>
  <c r="C1075" i="1"/>
  <c r="C1109" i="1"/>
  <c r="C1084" i="1"/>
  <c r="C1080" i="1"/>
  <c r="C1103" i="1"/>
  <c r="C1085" i="1"/>
  <c r="C1079" i="1"/>
  <c r="C1086" i="1"/>
  <c r="C1066" i="1"/>
  <c r="C1063" i="1"/>
  <c r="C1057" i="1"/>
  <c r="C1051" i="1"/>
  <c r="C1045" i="1"/>
  <c r="C1067" i="1"/>
  <c r="C1062" i="1"/>
  <c r="C1056" i="1"/>
  <c r="C1068" i="1"/>
  <c r="C1073" i="1"/>
  <c r="C1061" i="1"/>
  <c r="C1055" i="1"/>
  <c r="C1069" i="1"/>
  <c r="C1078" i="1"/>
  <c r="C1060" i="1"/>
  <c r="C1074" i="1"/>
  <c r="C1070" i="1"/>
  <c r="C1092" i="1"/>
  <c r="C1072" i="1"/>
  <c r="C1059" i="1"/>
  <c r="C1065" i="1"/>
  <c r="C1064" i="1"/>
  <c r="C1058" i="1"/>
  <c r="C1047" i="1"/>
  <c r="C1040" i="1"/>
  <c r="C1034" i="1"/>
  <c r="C1048" i="1"/>
  <c r="C1039" i="1"/>
  <c r="C1033" i="1"/>
  <c r="C1054" i="1"/>
  <c r="C1049" i="1"/>
  <c r="C1038" i="1"/>
  <c r="C1032" i="1"/>
  <c r="C1026" i="1"/>
  <c r="C1053" i="1"/>
  <c r="C1050" i="1"/>
  <c r="C1044" i="1"/>
  <c r="C1043" i="1"/>
  <c r="C1037" i="1"/>
  <c r="C1031" i="1"/>
  <c r="C1042" i="1"/>
  <c r="C1036" i="1"/>
  <c r="C1024" i="1"/>
  <c r="C1020" i="1"/>
  <c r="C1014" i="1"/>
  <c r="C1008" i="1"/>
  <c r="C1035" i="1"/>
  <c r="C1029" i="1"/>
  <c r="C1018" i="1"/>
  <c r="C1012" i="1"/>
  <c r="C1006" i="1"/>
  <c r="C1030" i="1"/>
  <c r="C1028" i="1"/>
  <c r="C1025" i="1"/>
  <c r="C1017" i="1"/>
  <c r="C1011" i="1"/>
  <c r="C1022" i="1"/>
  <c r="C1016" i="1"/>
  <c r="C1010" i="1"/>
  <c r="C1041" i="1"/>
  <c r="C1027" i="1"/>
  <c r="C1023" i="1"/>
  <c r="C1046" i="1"/>
  <c r="C996" i="1"/>
  <c r="C990" i="1"/>
  <c r="C984" i="1"/>
  <c r="C978" i="1"/>
  <c r="C972" i="1"/>
  <c r="C1052" i="1"/>
  <c r="C995" i="1"/>
  <c r="C989" i="1"/>
  <c r="C1021" i="1"/>
  <c r="C1001" i="1"/>
  <c r="C1007" i="1"/>
  <c r="C994" i="1"/>
  <c r="C988" i="1"/>
  <c r="C982" i="1"/>
  <c r="C1015" i="1"/>
  <c r="C1019" i="1"/>
  <c r="C993" i="1"/>
  <c r="C987" i="1"/>
  <c r="C981" i="1"/>
  <c r="C1003" i="1"/>
  <c r="C999" i="1"/>
  <c r="C998" i="1"/>
  <c r="C992" i="1"/>
  <c r="C986" i="1"/>
  <c r="C1009" i="1"/>
  <c r="C1004" i="1"/>
  <c r="C1002" i="1"/>
  <c r="C1013" i="1"/>
  <c r="C1005" i="1"/>
  <c r="C1000" i="1"/>
  <c r="C997" i="1"/>
  <c r="C991" i="1"/>
  <c r="C985" i="1"/>
  <c r="C971" i="1"/>
  <c r="C962" i="1"/>
  <c r="C956" i="1"/>
  <c r="C950" i="1"/>
  <c r="C974" i="1"/>
  <c r="C961" i="1"/>
  <c r="C955" i="1"/>
  <c r="C949" i="1"/>
  <c r="C967" i="1"/>
  <c r="C966" i="1"/>
  <c r="C960" i="1"/>
  <c r="C954" i="1"/>
  <c r="C968" i="1"/>
  <c r="C980" i="1"/>
  <c r="C977" i="1"/>
  <c r="C965" i="1"/>
  <c r="C959" i="1"/>
  <c r="C953" i="1"/>
  <c r="C947" i="1"/>
  <c r="C941" i="1"/>
  <c r="C969" i="1"/>
  <c r="C976" i="1"/>
  <c r="C973" i="1"/>
  <c r="C964" i="1"/>
  <c r="C958" i="1"/>
  <c r="C952" i="1"/>
  <c r="C979" i="1"/>
  <c r="C970" i="1"/>
  <c r="C983" i="1"/>
  <c r="C975" i="1"/>
  <c r="C948" i="1"/>
  <c r="C944" i="1"/>
  <c r="C931" i="1"/>
  <c r="C925" i="1"/>
  <c r="C942" i="1"/>
  <c r="C940" i="1"/>
  <c r="C938" i="1"/>
  <c r="C930" i="1"/>
  <c r="C924" i="1"/>
  <c r="C957" i="1"/>
  <c r="C935" i="1"/>
  <c r="C929" i="1"/>
  <c r="C923" i="1"/>
  <c r="C936" i="1"/>
  <c r="C943" i="1"/>
  <c r="C934" i="1"/>
  <c r="C928" i="1"/>
  <c r="C922" i="1"/>
  <c r="C916" i="1"/>
  <c r="C945" i="1"/>
  <c r="C937" i="1"/>
  <c r="C951" i="1"/>
  <c r="C946" i="1"/>
  <c r="C939" i="1"/>
  <c r="C933" i="1"/>
  <c r="C927" i="1"/>
  <c r="C963" i="1"/>
  <c r="C932" i="1"/>
  <c r="C926" i="1"/>
  <c r="C915" i="1"/>
  <c r="C912" i="1"/>
  <c r="C909" i="1"/>
  <c r="C903" i="1"/>
  <c r="C897" i="1"/>
  <c r="C891" i="1"/>
  <c r="C885" i="1"/>
  <c r="C920" i="1"/>
  <c r="C914" i="1"/>
  <c r="C908" i="1"/>
  <c r="C902" i="1"/>
  <c r="C896" i="1"/>
  <c r="C890" i="1"/>
  <c r="C919" i="1"/>
  <c r="C918" i="1"/>
  <c r="C907" i="1"/>
  <c r="C901" i="1"/>
  <c r="C895" i="1"/>
  <c r="C889" i="1"/>
  <c r="C921" i="1"/>
  <c r="C913" i="1"/>
  <c r="C906" i="1"/>
  <c r="C900" i="1"/>
  <c r="C894" i="1"/>
  <c r="C888" i="1"/>
  <c r="C917" i="1"/>
  <c r="C911" i="1"/>
  <c r="C905" i="1"/>
  <c r="C899" i="1"/>
  <c r="C910" i="1"/>
  <c r="C904" i="1"/>
  <c r="C898" i="1"/>
  <c r="C892" i="1"/>
  <c r="C884" i="1"/>
  <c r="C882" i="1"/>
  <c r="C878" i="1"/>
  <c r="C876" i="1"/>
  <c r="C870" i="1"/>
  <c r="C864" i="1"/>
  <c r="C858" i="1"/>
  <c r="C852" i="1"/>
  <c r="C846" i="1"/>
  <c r="C880" i="1"/>
  <c r="C875" i="1"/>
  <c r="C869" i="1"/>
  <c r="C863" i="1"/>
  <c r="C857" i="1"/>
  <c r="C851" i="1"/>
  <c r="C845" i="1"/>
  <c r="C893" i="1"/>
  <c r="C874" i="1"/>
  <c r="C868" i="1"/>
  <c r="C862" i="1"/>
  <c r="C856" i="1"/>
  <c r="C850" i="1"/>
  <c r="C887" i="1"/>
  <c r="C883" i="1"/>
  <c r="C881" i="1"/>
  <c r="C873" i="1"/>
  <c r="C867" i="1"/>
  <c r="C861" i="1"/>
  <c r="C855" i="1"/>
  <c r="C849" i="1"/>
  <c r="C843" i="1"/>
  <c r="C879" i="1"/>
  <c r="C872" i="1"/>
  <c r="C866" i="1"/>
  <c r="C860" i="1"/>
  <c r="C854" i="1"/>
  <c r="C886" i="1"/>
  <c r="C877" i="1"/>
  <c r="C871" i="1"/>
  <c r="C865" i="1"/>
  <c r="C859" i="1"/>
  <c r="C853" i="1"/>
  <c r="C848" i="1"/>
  <c r="C834" i="1"/>
  <c r="C828" i="1"/>
  <c r="C822" i="1"/>
  <c r="C816" i="1"/>
  <c r="C810" i="1"/>
  <c r="C804" i="1"/>
  <c r="C838" i="1"/>
  <c r="C836" i="1"/>
  <c r="C840" i="1"/>
  <c r="C833" i="1"/>
  <c r="C827" i="1"/>
  <c r="C821" i="1"/>
  <c r="C815" i="1"/>
  <c r="C809" i="1"/>
  <c r="C803" i="1"/>
  <c r="C832" i="1"/>
  <c r="C826" i="1"/>
  <c r="C820" i="1"/>
  <c r="C814" i="1"/>
  <c r="C808" i="1"/>
  <c r="C802" i="1"/>
  <c r="C847" i="1"/>
  <c r="C842" i="1"/>
  <c r="C831" i="1"/>
  <c r="C825" i="1"/>
  <c r="C819" i="1"/>
  <c r="C813" i="1"/>
  <c r="C807" i="1"/>
  <c r="C839" i="1"/>
  <c r="C837" i="1"/>
  <c r="C841" i="1"/>
  <c r="C830" i="1"/>
  <c r="C824" i="1"/>
  <c r="C818" i="1"/>
  <c r="C812" i="1"/>
  <c r="C806" i="1"/>
  <c r="C844" i="1"/>
  <c r="C835" i="1"/>
  <c r="C829" i="1"/>
  <c r="C823" i="1"/>
  <c r="C817" i="1"/>
  <c r="C811" i="1"/>
  <c r="C805" i="1"/>
  <c r="C791" i="1"/>
  <c r="C785" i="1"/>
  <c r="C779" i="1"/>
  <c r="C773" i="1"/>
  <c r="C767" i="1"/>
  <c r="C761" i="1"/>
  <c r="C755" i="1"/>
  <c r="C796" i="1"/>
  <c r="C790" i="1"/>
  <c r="C784" i="1"/>
  <c r="C778" i="1"/>
  <c r="C772" i="1"/>
  <c r="C766" i="1"/>
  <c r="C760" i="1"/>
  <c r="C754" i="1"/>
  <c r="C797" i="1"/>
  <c r="C795" i="1"/>
  <c r="C789" i="1"/>
  <c r="C783" i="1"/>
  <c r="C777" i="1"/>
  <c r="C771" i="1"/>
  <c r="C765" i="1"/>
  <c r="C801" i="1"/>
  <c r="C800" i="1"/>
  <c r="C794" i="1"/>
  <c r="C788" i="1"/>
  <c r="C782" i="1"/>
  <c r="C776" i="1"/>
  <c r="C770" i="1"/>
  <c r="C764" i="1"/>
  <c r="C793" i="1"/>
  <c r="C787" i="1"/>
  <c r="C781" i="1"/>
  <c r="C775" i="1"/>
  <c r="C769" i="1"/>
  <c r="C763" i="1"/>
  <c r="C799" i="1"/>
  <c r="C792" i="1"/>
  <c r="C786" i="1"/>
  <c r="C780" i="1"/>
  <c r="C774" i="1"/>
  <c r="C768" i="1"/>
  <c r="C762" i="1"/>
  <c r="C798" i="1"/>
  <c r="C749" i="1"/>
  <c r="C743" i="1"/>
  <c r="C737" i="1"/>
  <c r="C731" i="1"/>
  <c r="C725" i="1"/>
  <c r="C719" i="1"/>
  <c r="C713" i="1"/>
  <c r="C748" i="1"/>
  <c r="C742" i="1"/>
  <c r="C736" i="1"/>
  <c r="C730" i="1"/>
  <c r="C724" i="1"/>
  <c r="C718" i="1"/>
  <c r="C712" i="1"/>
  <c r="C747" i="1"/>
  <c r="C741" i="1"/>
  <c r="C735" i="1"/>
  <c r="C729" i="1"/>
  <c r="C723" i="1"/>
  <c r="C717" i="1"/>
  <c r="C757" i="1"/>
  <c r="C753" i="1"/>
  <c r="C752" i="1"/>
  <c r="C746" i="1"/>
  <c r="C740" i="1"/>
  <c r="C734" i="1"/>
  <c r="C728" i="1"/>
  <c r="C722" i="1"/>
  <c r="C751" i="1"/>
  <c r="C745" i="1"/>
  <c r="C739" i="1"/>
  <c r="C733" i="1"/>
  <c r="C727" i="1"/>
  <c r="C721" i="1"/>
  <c r="C758" i="1"/>
  <c r="C756" i="1"/>
  <c r="C759" i="1"/>
  <c r="C750" i="1"/>
  <c r="C744" i="1"/>
  <c r="C738" i="1"/>
  <c r="C732" i="1"/>
  <c r="C726" i="1"/>
  <c r="C720" i="1"/>
  <c r="C714" i="1"/>
  <c r="C705" i="1"/>
  <c r="C699" i="1"/>
  <c r="C693" i="1"/>
  <c r="C687" i="1"/>
  <c r="C681" i="1"/>
  <c r="C675" i="1"/>
  <c r="C669" i="1"/>
  <c r="C663" i="1"/>
  <c r="C704" i="1"/>
  <c r="C698" i="1"/>
  <c r="C692" i="1"/>
  <c r="C686" i="1"/>
  <c r="C680" i="1"/>
  <c r="C674" i="1"/>
  <c r="C668" i="1"/>
  <c r="C662" i="1"/>
  <c r="C716" i="1"/>
  <c r="C709" i="1"/>
  <c r="C703" i="1"/>
  <c r="C697" i="1"/>
  <c r="C691" i="1"/>
  <c r="C685" i="1"/>
  <c r="C679" i="1"/>
  <c r="C673" i="1"/>
  <c r="C715" i="1"/>
  <c r="C710" i="1"/>
  <c r="C702" i="1"/>
  <c r="C696" i="1"/>
  <c r="C690" i="1"/>
  <c r="C684" i="1"/>
  <c r="C678" i="1"/>
  <c r="C672" i="1"/>
  <c r="C711" i="1"/>
  <c r="C708" i="1"/>
  <c r="C707" i="1"/>
  <c r="C701" i="1"/>
  <c r="C695" i="1"/>
  <c r="C689" i="1"/>
  <c r="C683" i="1"/>
  <c r="C677" i="1"/>
  <c r="C671" i="1"/>
  <c r="C706" i="1"/>
  <c r="C700" i="1"/>
  <c r="C694" i="1"/>
  <c r="C688" i="1"/>
  <c r="C682" i="1"/>
  <c r="C676" i="1"/>
  <c r="C666" i="1"/>
  <c r="C661" i="1"/>
  <c r="C658" i="1"/>
  <c r="C652" i="1"/>
  <c r="C646" i="1"/>
  <c r="C640" i="1"/>
  <c r="C634" i="1"/>
  <c r="C628" i="1"/>
  <c r="C659" i="1"/>
  <c r="C665" i="1"/>
  <c r="C657" i="1"/>
  <c r="C651" i="1"/>
  <c r="C645" i="1"/>
  <c r="C639" i="1"/>
  <c r="C660" i="1"/>
  <c r="C670" i="1"/>
  <c r="C656" i="1"/>
  <c r="C650" i="1"/>
  <c r="C644" i="1"/>
  <c r="C638" i="1"/>
  <c r="C664" i="1"/>
  <c r="C655" i="1"/>
  <c r="C649" i="1"/>
  <c r="C643" i="1"/>
  <c r="C637" i="1"/>
  <c r="C631" i="1"/>
  <c r="C625" i="1"/>
  <c r="C654" i="1"/>
  <c r="C648" i="1"/>
  <c r="C642" i="1"/>
  <c r="C667" i="1"/>
  <c r="C653" i="1"/>
  <c r="C647" i="1"/>
  <c r="C641" i="1"/>
  <c r="C636" i="1"/>
  <c r="C630" i="1"/>
  <c r="C629" i="1"/>
  <c r="C620" i="1"/>
  <c r="C614" i="1"/>
  <c r="C608" i="1"/>
  <c r="C602" i="1"/>
  <c r="C596" i="1"/>
  <c r="C590" i="1"/>
  <c r="C584" i="1"/>
  <c r="C578" i="1"/>
  <c r="C619" i="1"/>
  <c r="C613" i="1"/>
  <c r="C607" i="1"/>
  <c r="C601" i="1"/>
  <c r="C595" i="1"/>
  <c r="C589" i="1"/>
  <c r="C624" i="1"/>
  <c r="C618" i="1"/>
  <c r="C612" i="1"/>
  <c r="C606" i="1"/>
  <c r="C600" i="1"/>
  <c r="C594" i="1"/>
  <c r="C588" i="1"/>
  <c r="C633" i="1"/>
  <c r="C632" i="1"/>
  <c r="C617" i="1"/>
  <c r="C611" i="1"/>
  <c r="C605" i="1"/>
  <c r="C599" i="1"/>
  <c r="C593" i="1"/>
  <c r="C587" i="1"/>
  <c r="C581" i="1"/>
  <c r="C627" i="1"/>
  <c r="C626" i="1"/>
  <c r="C623" i="1"/>
  <c r="C622" i="1"/>
  <c r="C616" i="1"/>
  <c r="C610" i="1"/>
  <c r="C604" i="1"/>
  <c r="C598" i="1"/>
  <c r="C592" i="1"/>
  <c r="C635" i="1"/>
  <c r="C621" i="1"/>
  <c r="C615" i="1"/>
  <c r="C609" i="1"/>
  <c r="C603" i="1"/>
  <c r="C597" i="1"/>
  <c r="C591" i="1"/>
  <c r="C585" i="1"/>
  <c r="C576" i="1"/>
  <c r="C570" i="1"/>
  <c r="C564" i="1"/>
  <c r="C558" i="1"/>
  <c r="C552" i="1"/>
  <c r="C546" i="1"/>
  <c r="C540" i="1"/>
  <c r="C534" i="1"/>
  <c r="C582" i="1"/>
  <c r="C577" i="1"/>
  <c r="C583" i="1"/>
  <c r="C575" i="1"/>
  <c r="C569" i="1"/>
  <c r="C563" i="1"/>
  <c r="C557" i="1"/>
  <c r="C551" i="1"/>
  <c r="C545" i="1"/>
  <c r="C574" i="1"/>
  <c r="C568" i="1"/>
  <c r="C562" i="1"/>
  <c r="C556" i="1"/>
  <c r="C550" i="1"/>
  <c r="C544" i="1"/>
  <c r="C573" i="1"/>
  <c r="C567" i="1"/>
  <c r="C561" i="1"/>
  <c r="C555" i="1"/>
  <c r="C549" i="1"/>
  <c r="C543" i="1"/>
  <c r="C537" i="1"/>
  <c r="C531" i="1"/>
  <c r="C586" i="1"/>
  <c r="C572" i="1"/>
  <c r="C566" i="1"/>
  <c r="C560" i="1"/>
  <c r="C554" i="1"/>
  <c r="C548" i="1"/>
  <c r="C580" i="1"/>
  <c r="C579" i="1"/>
  <c r="C571" i="1"/>
  <c r="C565" i="1"/>
  <c r="C559" i="1"/>
  <c r="C553" i="1"/>
  <c r="C547" i="1"/>
  <c r="C542" i="1"/>
  <c r="C533" i="1"/>
  <c r="C532" i="1"/>
  <c r="C523" i="1"/>
  <c r="C517" i="1"/>
  <c r="C511" i="1"/>
  <c r="C505" i="1"/>
  <c r="C499" i="1"/>
  <c r="C493" i="1"/>
  <c r="C522" i="1"/>
  <c r="C516" i="1"/>
  <c r="C510" i="1"/>
  <c r="C504" i="1"/>
  <c r="C498" i="1"/>
  <c r="C528" i="1"/>
  <c r="C536" i="1"/>
  <c r="C535" i="1"/>
  <c r="C527" i="1"/>
  <c r="C521" i="1"/>
  <c r="C515" i="1"/>
  <c r="C509" i="1"/>
  <c r="C503" i="1"/>
  <c r="C497" i="1"/>
  <c r="C530" i="1"/>
  <c r="C526" i="1"/>
  <c r="C520" i="1"/>
  <c r="C514" i="1"/>
  <c r="C508" i="1"/>
  <c r="C502" i="1"/>
  <c r="C496" i="1"/>
  <c r="C541" i="1"/>
  <c r="C525" i="1"/>
  <c r="C519" i="1"/>
  <c r="C513" i="1"/>
  <c r="C507" i="1"/>
  <c r="C501" i="1"/>
  <c r="C539" i="1"/>
  <c r="C538" i="1"/>
  <c r="C529" i="1"/>
  <c r="C524" i="1"/>
  <c r="C518" i="1"/>
  <c r="C512" i="1"/>
  <c r="C506" i="1"/>
  <c r="C500" i="1"/>
  <c r="C490" i="1"/>
  <c r="C484" i="1"/>
  <c r="C478" i="1"/>
  <c r="C472" i="1"/>
  <c r="C466" i="1"/>
  <c r="C460" i="1"/>
  <c r="C454" i="1"/>
  <c r="C448" i="1"/>
  <c r="C442" i="1"/>
  <c r="C436" i="1"/>
  <c r="C430" i="1"/>
  <c r="C424" i="1"/>
  <c r="C418" i="1"/>
  <c r="C412" i="1"/>
  <c r="C489" i="1"/>
  <c r="C483" i="1"/>
  <c r="C477" i="1"/>
  <c r="C471" i="1"/>
  <c r="C465" i="1"/>
  <c r="C459" i="1"/>
  <c r="C453" i="1"/>
  <c r="C447" i="1"/>
  <c r="C441" i="1"/>
  <c r="C435" i="1"/>
  <c r="C429" i="1"/>
  <c r="C423" i="1"/>
  <c r="C417" i="1"/>
  <c r="C488" i="1"/>
  <c r="C482" i="1"/>
  <c r="C476" i="1"/>
  <c r="C470" i="1"/>
  <c r="C464" i="1"/>
  <c r="C458" i="1"/>
  <c r="C452" i="1"/>
  <c r="C446" i="1"/>
  <c r="C440" i="1"/>
  <c r="C434" i="1"/>
  <c r="C428" i="1"/>
  <c r="C422" i="1"/>
  <c r="C416" i="1"/>
  <c r="C487" i="1"/>
  <c r="C481" i="1"/>
  <c r="C475" i="1"/>
  <c r="C469" i="1"/>
  <c r="C463" i="1"/>
  <c r="C457" i="1"/>
  <c r="C451" i="1"/>
  <c r="C445" i="1"/>
  <c r="C439" i="1"/>
  <c r="C433" i="1"/>
  <c r="C427" i="1"/>
  <c r="C421" i="1"/>
  <c r="C492" i="1"/>
  <c r="C486" i="1"/>
  <c r="C480" i="1"/>
  <c r="C474" i="1"/>
  <c r="C468" i="1"/>
  <c r="C462" i="1"/>
  <c r="C456" i="1"/>
  <c r="C450" i="1"/>
  <c r="C444" i="1"/>
  <c r="C438" i="1"/>
  <c r="C432" i="1"/>
  <c r="C426" i="1"/>
  <c r="C495" i="1"/>
  <c r="C494" i="1"/>
  <c r="C491" i="1"/>
  <c r="C485" i="1"/>
  <c r="C479" i="1"/>
  <c r="C473" i="1"/>
  <c r="C467" i="1"/>
  <c r="C461" i="1"/>
  <c r="C455" i="1"/>
  <c r="C449" i="1"/>
  <c r="C443" i="1"/>
  <c r="C437" i="1"/>
  <c r="C431" i="1"/>
  <c r="C425" i="1"/>
  <c r="C419" i="1"/>
  <c r="C403" i="1"/>
  <c r="C397" i="1"/>
  <c r="C391" i="1"/>
  <c r="C385" i="1"/>
  <c r="C379" i="1"/>
  <c r="C373" i="1"/>
  <c r="C367" i="1"/>
  <c r="C361" i="1"/>
  <c r="C355" i="1"/>
  <c r="C349" i="1"/>
  <c r="C343" i="1"/>
  <c r="C337" i="1"/>
  <c r="C331" i="1"/>
  <c r="C409" i="1"/>
  <c r="C408" i="1"/>
  <c r="C402" i="1"/>
  <c r="C396" i="1"/>
  <c r="C390" i="1"/>
  <c r="C384" i="1"/>
  <c r="C378" i="1"/>
  <c r="C372" i="1"/>
  <c r="C366" i="1"/>
  <c r="C360" i="1"/>
  <c r="C354" i="1"/>
  <c r="C348" i="1"/>
  <c r="C415" i="1"/>
  <c r="C407" i="1"/>
  <c r="C401" i="1"/>
  <c r="C395" i="1"/>
  <c r="C389" i="1"/>
  <c r="C383" i="1"/>
  <c r="C377" i="1"/>
  <c r="C371" i="1"/>
  <c r="C365" i="1"/>
  <c r="C359" i="1"/>
  <c r="C353" i="1"/>
  <c r="C347" i="1"/>
  <c r="C410" i="1"/>
  <c r="C411" i="1"/>
  <c r="C406" i="1"/>
  <c r="C400" i="1"/>
  <c r="C394" i="1"/>
  <c r="C388" i="1"/>
  <c r="C382" i="1"/>
  <c r="C376" i="1"/>
  <c r="C370" i="1"/>
  <c r="C364" i="1"/>
  <c r="C358" i="1"/>
  <c r="C352" i="1"/>
  <c r="C346" i="1"/>
  <c r="C340" i="1"/>
  <c r="C334" i="1"/>
  <c r="C405" i="1"/>
  <c r="C399" i="1"/>
  <c r="C393" i="1"/>
  <c r="C387" i="1"/>
  <c r="C381" i="1"/>
  <c r="C375" i="1"/>
  <c r="C369" i="1"/>
  <c r="C363" i="1"/>
  <c r="C357" i="1"/>
  <c r="C351" i="1"/>
  <c r="C420" i="1"/>
  <c r="C404" i="1"/>
  <c r="C398" i="1"/>
  <c r="C392" i="1"/>
  <c r="C386" i="1"/>
  <c r="C380" i="1"/>
  <c r="C374" i="1"/>
  <c r="C368" i="1"/>
  <c r="C362" i="1"/>
  <c r="C356" i="1"/>
  <c r="C350" i="1"/>
  <c r="C344" i="1"/>
  <c r="C414" i="1"/>
  <c r="C413" i="1"/>
  <c r="C333" i="1"/>
  <c r="C327" i="1"/>
  <c r="C321" i="1"/>
  <c r="C315" i="1"/>
  <c r="C309" i="1"/>
  <c r="C303" i="1"/>
  <c r="C297" i="1"/>
  <c r="C291" i="1"/>
  <c r="C285" i="1"/>
  <c r="C279" i="1"/>
  <c r="C273" i="1"/>
  <c r="C267" i="1"/>
  <c r="C261" i="1"/>
  <c r="C255" i="1"/>
  <c r="C345" i="1"/>
  <c r="C338" i="1"/>
  <c r="C326" i="1"/>
  <c r="C320" i="1"/>
  <c r="C314" i="1"/>
  <c r="C308" i="1"/>
  <c r="C302" i="1"/>
  <c r="C296" i="1"/>
  <c r="C290" i="1"/>
  <c r="C284" i="1"/>
  <c r="C278" i="1"/>
  <c r="C272" i="1"/>
  <c r="C266" i="1"/>
  <c r="C342" i="1"/>
  <c r="C325" i="1"/>
  <c r="C319" i="1"/>
  <c r="C313" i="1"/>
  <c r="C307" i="1"/>
  <c r="C301" i="1"/>
  <c r="C295" i="1"/>
  <c r="C289" i="1"/>
  <c r="C283" i="1"/>
  <c r="C277" i="1"/>
  <c r="C271" i="1"/>
  <c r="C265" i="1"/>
  <c r="C336" i="1"/>
  <c r="C332" i="1"/>
  <c r="C324" i="1"/>
  <c r="C318" i="1"/>
  <c r="C312" i="1"/>
  <c r="C306" i="1"/>
  <c r="C300" i="1"/>
  <c r="C294" i="1"/>
  <c r="C288" i="1"/>
  <c r="C282" i="1"/>
  <c r="C276" i="1"/>
  <c r="C270" i="1"/>
  <c r="C264" i="1"/>
  <c r="C258" i="1"/>
  <c r="C341" i="1"/>
  <c r="C330" i="1"/>
  <c r="C329" i="1"/>
  <c r="C323" i="1"/>
  <c r="C317" i="1"/>
  <c r="C311" i="1"/>
  <c r="C305" i="1"/>
  <c r="C299" i="1"/>
  <c r="C293" i="1"/>
  <c r="C287" i="1"/>
  <c r="C281" i="1"/>
  <c r="C335" i="1"/>
  <c r="C339" i="1"/>
  <c r="C328" i="1"/>
  <c r="C322" i="1"/>
  <c r="C316" i="1"/>
  <c r="C310" i="1"/>
  <c r="C304" i="1"/>
  <c r="C298" i="1"/>
  <c r="C292" i="1"/>
  <c r="C286" i="1"/>
  <c r="C280" i="1"/>
  <c r="C274" i="1"/>
  <c r="C268" i="1"/>
  <c r="C251" i="1"/>
  <c r="C245" i="1"/>
  <c r="C239" i="1"/>
  <c r="C233" i="1"/>
  <c r="C227" i="1"/>
  <c r="C221" i="1"/>
  <c r="C215" i="1"/>
  <c r="C209" i="1"/>
  <c r="C203" i="1"/>
  <c r="C197" i="1"/>
  <c r="C191" i="1"/>
  <c r="C185" i="1"/>
  <c r="C179" i="1"/>
  <c r="C173" i="1"/>
  <c r="C256" i="1"/>
  <c r="C260" i="1"/>
  <c r="C250" i="1"/>
  <c r="C244" i="1"/>
  <c r="C238" i="1"/>
  <c r="C232" i="1"/>
  <c r="C226" i="1"/>
  <c r="C220" i="1"/>
  <c r="C214" i="1"/>
  <c r="C208" i="1"/>
  <c r="C202" i="1"/>
  <c r="C196" i="1"/>
  <c r="C190" i="1"/>
  <c r="C254" i="1"/>
  <c r="C253" i="1"/>
  <c r="C269" i="1"/>
  <c r="C249" i="1"/>
  <c r="C243" i="1"/>
  <c r="C237" i="1"/>
  <c r="C231" i="1"/>
  <c r="C225" i="1"/>
  <c r="C219" i="1"/>
  <c r="C213" i="1"/>
  <c r="C207" i="1"/>
  <c r="C201" i="1"/>
  <c r="C195" i="1"/>
  <c r="C259" i="1"/>
  <c r="C248" i="1"/>
  <c r="C242" i="1"/>
  <c r="C236" i="1"/>
  <c r="C230" i="1"/>
  <c r="C224" i="1"/>
  <c r="C218" i="1"/>
  <c r="C212" i="1"/>
  <c r="C206" i="1"/>
  <c r="C200" i="1"/>
  <c r="C194" i="1"/>
  <c r="C188" i="1"/>
  <c r="C182" i="1"/>
  <c r="C176" i="1"/>
  <c r="C263" i="1"/>
  <c r="C247" i="1"/>
  <c r="C241" i="1"/>
  <c r="C235" i="1"/>
  <c r="C229" i="1"/>
  <c r="C223" i="1"/>
  <c r="C217" i="1"/>
  <c r="C211" i="1"/>
  <c r="C205" i="1"/>
  <c r="C257" i="1"/>
  <c r="C252" i="1"/>
  <c r="C246" i="1"/>
  <c r="C240" i="1"/>
  <c r="C234" i="1"/>
  <c r="C228" i="1"/>
  <c r="C222" i="1"/>
  <c r="C216" i="1"/>
  <c r="C210" i="1"/>
  <c r="C204" i="1"/>
  <c r="C198" i="1"/>
  <c r="C192" i="1"/>
  <c r="C275" i="1"/>
  <c r="C262" i="1"/>
  <c r="C183" i="1"/>
  <c r="C174" i="1"/>
  <c r="C193" i="1"/>
  <c r="C187" i="1"/>
  <c r="C175" i="1"/>
  <c r="C170" i="1"/>
  <c r="C164" i="1"/>
  <c r="C158" i="1"/>
  <c r="C152" i="1"/>
  <c r="C146" i="1"/>
  <c r="C140" i="1"/>
  <c r="C134" i="1"/>
  <c r="C128" i="1"/>
  <c r="C122" i="1"/>
  <c r="C116" i="1"/>
  <c r="C110" i="1"/>
  <c r="C104" i="1"/>
  <c r="C177" i="1"/>
  <c r="C181" i="1"/>
  <c r="C169" i="1"/>
  <c r="C163" i="1"/>
  <c r="C157" i="1"/>
  <c r="C151" i="1"/>
  <c r="C145" i="1"/>
  <c r="C139" i="1"/>
  <c r="C133" i="1"/>
  <c r="C127" i="1"/>
  <c r="C121" i="1"/>
  <c r="C186" i="1"/>
  <c r="C168" i="1"/>
  <c r="C162" i="1"/>
  <c r="C156" i="1"/>
  <c r="C150" i="1"/>
  <c r="C144" i="1"/>
  <c r="C138" i="1"/>
  <c r="C132" i="1"/>
  <c r="C126" i="1"/>
  <c r="C120" i="1"/>
  <c r="C114" i="1"/>
  <c r="C108" i="1"/>
  <c r="C102" i="1"/>
  <c r="C180" i="1"/>
  <c r="C167" i="1"/>
  <c r="C161" i="1"/>
  <c r="C155" i="1"/>
  <c r="C149" i="1"/>
  <c r="C143" i="1"/>
  <c r="C137" i="1"/>
  <c r="C131" i="1"/>
  <c r="C125" i="1"/>
  <c r="C119" i="1"/>
  <c r="C113" i="1"/>
  <c r="C107" i="1"/>
  <c r="C101" i="1"/>
  <c r="C199" i="1"/>
  <c r="C184" i="1"/>
  <c r="C172" i="1"/>
  <c r="C166" i="1"/>
  <c r="C160" i="1"/>
  <c r="C154" i="1"/>
  <c r="C148" i="1"/>
  <c r="C142" i="1"/>
  <c r="C136" i="1"/>
  <c r="C130" i="1"/>
  <c r="C124" i="1"/>
  <c r="C189" i="1"/>
  <c r="C178" i="1"/>
  <c r="C171" i="1"/>
  <c r="C165" i="1"/>
  <c r="C159" i="1"/>
  <c r="C153" i="1"/>
  <c r="C147" i="1"/>
  <c r="C141" i="1"/>
  <c r="C135" i="1"/>
  <c r="C129" i="1"/>
  <c r="C123" i="1"/>
  <c r="C117" i="1"/>
  <c r="C111" i="1"/>
  <c r="C105" i="1"/>
  <c r="C100" i="1"/>
  <c r="C95" i="1"/>
  <c r="C89" i="1"/>
  <c r="C83" i="1"/>
  <c r="C77" i="1"/>
  <c r="C71" i="1"/>
  <c r="C65" i="1"/>
  <c r="C59" i="1"/>
  <c r="C53" i="1"/>
  <c r="C47" i="1"/>
  <c r="C41" i="1"/>
  <c r="C35" i="1"/>
  <c r="C29" i="1"/>
  <c r="C23" i="1"/>
  <c r="C112" i="1"/>
  <c r="C103" i="1"/>
  <c r="C94" i="1"/>
  <c r="C88" i="1"/>
  <c r="C82" i="1"/>
  <c r="C76" i="1"/>
  <c r="C70" i="1"/>
  <c r="C64" i="1"/>
  <c r="C58" i="1"/>
  <c r="C52" i="1"/>
  <c r="C46" i="1"/>
  <c r="C40" i="1"/>
  <c r="C118" i="1"/>
  <c r="C93" i="1"/>
  <c r="C87" i="1"/>
  <c r="C81" i="1"/>
  <c r="C75" i="1"/>
  <c r="C69" i="1"/>
  <c r="C63" i="1"/>
  <c r="C57" i="1"/>
  <c r="C51" i="1"/>
  <c r="C45" i="1"/>
  <c r="C39" i="1"/>
  <c r="C33" i="1"/>
  <c r="C27" i="1"/>
  <c r="C21" i="1"/>
  <c r="C115" i="1"/>
  <c r="C106" i="1"/>
  <c r="C92" i="1"/>
  <c r="C86" i="1"/>
  <c r="C80" i="1"/>
  <c r="C74" i="1"/>
  <c r="C68" i="1"/>
  <c r="C62" i="1"/>
  <c r="C56" i="1"/>
  <c r="C50" i="1"/>
  <c r="C44" i="1"/>
  <c r="C38" i="1"/>
  <c r="C32" i="1"/>
  <c r="C26" i="1"/>
  <c r="C20" i="1"/>
  <c r="C98" i="1"/>
  <c r="C91" i="1"/>
  <c r="C85" i="1"/>
  <c r="C79" i="1"/>
  <c r="C73" i="1"/>
  <c r="C67" i="1"/>
  <c r="C61" i="1"/>
  <c r="C55" i="1"/>
  <c r="C49" i="1"/>
  <c r="C43" i="1"/>
  <c r="C97" i="1"/>
  <c r="C109" i="1"/>
  <c r="C99" i="1"/>
  <c r="C96" i="1"/>
  <c r="C90" i="1"/>
  <c r="C84" i="1"/>
  <c r="C78" i="1"/>
  <c r="C72" i="1"/>
  <c r="C66" i="1"/>
  <c r="C60" i="1"/>
  <c r="C54" i="1"/>
  <c r="C48" i="1"/>
  <c r="C42" i="1"/>
  <c r="C36" i="1"/>
  <c r="C30" i="1"/>
  <c r="C24" i="1"/>
  <c r="C8" i="1"/>
  <c r="C14" i="1"/>
  <c r="C25" i="1"/>
  <c r="C34" i="1"/>
  <c r="C37" i="1"/>
  <c r="C9" i="1"/>
  <c r="C15" i="1"/>
  <c r="C10" i="1"/>
  <c r="C16" i="1"/>
  <c r="C22" i="1"/>
  <c r="C31" i="1"/>
  <c r="C5" i="1"/>
  <c r="C11" i="1"/>
  <c r="C19" i="1"/>
  <c r="C12" i="1"/>
  <c r="C18" i="1"/>
  <c r="C28" i="1"/>
  <c r="C6" i="1"/>
  <c r="C7" i="1"/>
  <c r="C13" i="1"/>
  <c r="C17" i="1"/>
  <c r="H11" i="1" l="1"/>
  <c r="AT11" i="1" s="1"/>
  <c r="AE11" i="1"/>
  <c r="G11" i="1"/>
  <c r="I11" i="1" s="1"/>
  <c r="AD11" i="1"/>
  <c r="F11" i="1"/>
  <c r="AO11" i="1"/>
  <c r="E11" i="1"/>
  <c r="AN11" i="1"/>
  <c r="AM11" i="1"/>
  <c r="AA11" i="1"/>
  <c r="AL11" i="1"/>
  <c r="AK11" i="1"/>
  <c r="AJ11" i="1"/>
  <c r="W11" i="1"/>
  <c r="AS11" i="1"/>
  <c r="AL8" i="1"/>
  <c r="AK8" i="1"/>
  <c r="W8" i="1"/>
  <c r="AJ8" i="1"/>
  <c r="AS8" i="1"/>
  <c r="I8" i="1"/>
  <c r="H8" i="1"/>
  <c r="AT8" i="1" s="1"/>
  <c r="AO8" i="1"/>
  <c r="AE8" i="1"/>
  <c r="G8" i="1"/>
  <c r="AD8" i="1"/>
  <c r="E8" i="1"/>
  <c r="F8" i="1"/>
  <c r="AN8" i="1"/>
  <c r="AM8" i="1"/>
  <c r="AA8" i="1"/>
  <c r="Z8" i="1" s="1"/>
  <c r="AL90" i="1"/>
  <c r="Z90" i="1"/>
  <c r="N90" i="1"/>
  <c r="AK90" i="1"/>
  <c r="Y90" i="1"/>
  <c r="M90" i="1"/>
  <c r="AJ90" i="1"/>
  <c r="X90" i="1"/>
  <c r="AI90" i="1"/>
  <c r="W90" i="1"/>
  <c r="K90" i="1"/>
  <c r="L90" i="1" s="1"/>
  <c r="AH90" i="1"/>
  <c r="V90" i="1"/>
  <c r="J90" i="1"/>
  <c r="AS90" i="1"/>
  <c r="AG90" i="1"/>
  <c r="U90" i="1"/>
  <c r="I90" i="1"/>
  <c r="AR90" i="1"/>
  <c r="AF90" i="1"/>
  <c r="T90" i="1"/>
  <c r="H90" i="1"/>
  <c r="AT90" i="1" s="1"/>
  <c r="AQ90" i="1"/>
  <c r="AE90" i="1"/>
  <c r="S90" i="1"/>
  <c r="G90" i="1"/>
  <c r="AP90" i="1"/>
  <c r="AD90" i="1"/>
  <c r="R90" i="1"/>
  <c r="F90" i="1"/>
  <c r="AO90" i="1"/>
  <c r="Q90" i="1"/>
  <c r="E90" i="1"/>
  <c r="AN90" i="1"/>
  <c r="AB90" i="1"/>
  <c r="D90" i="1"/>
  <c r="AY90" i="1"/>
  <c r="AM90" i="1"/>
  <c r="AA90" i="1"/>
  <c r="O90" i="1"/>
  <c r="P90" i="1" s="1"/>
  <c r="AJ85" i="1"/>
  <c r="X85" i="1"/>
  <c r="AI85" i="1"/>
  <c r="W85" i="1"/>
  <c r="K85" i="1"/>
  <c r="L85" i="1" s="1"/>
  <c r="AH85" i="1"/>
  <c r="V85" i="1"/>
  <c r="J85" i="1"/>
  <c r="AS85" i="1"/>
  <c r="AG85" i="1"/>
  <c r="U85" i="1"/>
  <c r="I85" i="1"/>
  <c r="AR85" i="1"/>
  <c r="AF85" i="1"/>
  <c r="T85" i="1"/>
  <c r="H85" i="1"/>
  <c r="AT85" i="1" s="1"/>
  <c r="AQ85" i="1"/>
  <c r="AE85" i="1"/>
  <c r="S85" i="1"/>
  <c r="G85" i="1"/>
  <c r="AP85" i="1"/>
  <c r="AD85" i="1"/>
  <c r="R85" i="1"/>
  <c r="F85" i="1"/>
  <c r="AO85" i="1"/>
  <c r="Q85" i="1"/>
  <c r="E85" i="1"/>
  <c r="AN85" i="1"/>
  <c r="AB85" i="1"/>
  <c r="D85" i="1"/>
  <c r="AY85" i="1"/>
  <c r="AM85" i="1"/>
  <c r="AA85" i="1"/>
  <c r="O85" i="1"/>
  <c r="P85" i="1" s="1"/>
  <c r="AL85" i="1"/>
  <c r="Z85" i="1"/>
  <c r="N85" i="1"/>
  <c r="AK85" i="1"/>
  <c r="Y85" i="1"/>
  <c r="M85" i="1"/>
  <c r="AH74" i="1"/>
  <c r="V74" i="1"/>
  <c r="J74" i="1"/>
  <c r="AS74" i="1"/>
  <c r="AG74" i="1"/>
  <c r="U74" i="1"/>
  <c r="I74" i="1"/>
  <c r="AR74" i="1"/>
  <c r="AF74" i="1"/>
  <c r="T74" i="1"/>
  <c r="H74" i="1"/>
  <c r="AT74" i="1" s="1"/>
  <c r="AQ74" i="1"/>
  <c r="AE74" i="1"/>
  <c r="S74" i="1"/>
  <c r="G74" i="1"/>
  <c r="AP74" i="1"/>
  <c r="AD74" i="1"/>
  <c r="R74" i="1"/>
  <c r="F74" i="1"/>
  <c r="AO74" i="1"/>
  <c r="Q74" i="1"/>
  <c r="E74" i="1"/>
  <c r="AN74" i="1"/>
  <c r="AB74" i="1"/>
  <c r="D74" i="1"/>
  <c r="AY74" i="1"/>
  <c r="AM74" i="1"/>
  <c r="AA74" i="1"/>
  <c r="O74" i="1"/>
  <c r="P74" i="1" s="1"/>
  <c r="AL74" i="1"/>
  <c r="Z74" i="1"/>
  <c r="N74" i="1"/>
  <c r="AK74" i="1"/>
  <c r="Y74" i="1"/>
  <c r="M74" i="1"/>
  <c r="AJ74" i="1"/>
  <c r="X74" i="1"/>
  <c r="AI74" i="1"/>
  <c r="W74" i="1"/>
  <c r="K74" i="1"/>
  <c r="L74" i="1" s="1"/>
  <c r="H57" i="1"/>
  <c r="AT57" i="1" s="1"/>
  <c r="AE57" i="1"/>
  <c r="G57" i="1"/>
  <c r="AD57" i="1"/>
  <c r="F57" i="1"/>
  <c r="AO57" i="1"/>
  <c r="E57" i="1"/>
  <c r="AN57" i="1"/>
  <c r="AM57" i="1"/>
  <c r="AA57" i="1"/>
  <c r="AL57" i="1"/>
  <c r="AK57" i="1"/>
  <c r="AJ57" i="1"/>
  <c r="W57" i="1"/>
  <c r="AS57" i="1"/>
  <c r="I57" i="1"/>
  <c r="AD64" i="1"/>
  <c r="F64" i="1"/>
  <c r="AO64" i="1"/>
  <c r="E64" i="1"/>
  <c r="AN64" i="1"/>
  <c r="AM64" i="1"/>
  <c r="AA64" i="1"/>
  <c r="Z64" i="1" s="1"/>
  <c r="AL64" i="1"/>
  <c r="AK64" i="1"/>
  <c r="AJ64" i="1"/>
  <c r="W64" i="1"/>
  <c r="AS64" i="1"/>
  <c r="I64" i="1"/>
  <c r="H64" i="1"/>
  <c r="AT64" i="1" s="1"/>
  <c r="AE64" i="1"/>
  <c r="G64" i="1"/>
  <c r="AN47" i="1"/>
  <c r="AM47" i="1"/>
  <c r="AA47" i="1"/>
  <c r="Z47" i="1" s="1"/>
  <c r="AL47" i="1"/>
  <c r="AK47" i="1"/>
  <c r="AJ47" i="1"/>
  <c r="W47" i="1"/>
  <c r="AS47" i="1"/>
  <c r="H47" i="1"/>
  <c r="AT47" i="1" s="1"/>
  <c r="AE47" i="1"/>
  <c r="G47" i="1"/>
  <c r="I47" i="1" s="1"/>
  <c r="AD47" i="1"/>
  <c r="F47" i="1"/>
  <c r="AO47" i="1"/>
  <c r="E47" i="1"/>
  <c r="AL117" i="1"/>
  <c r="Z117" i="1"/>
  <c r="N117" i="1"/>
  <c r="AK117" i="1"/>
  <c r="Y117" i="1"/>
  <c r="M117" i="1"/>
  <c r="AJ117" i="1"/>
  <c r="X117" i="1"/>
  <c r="AI117" i="1"/>
  <c r="W117" i="1"/>
  <c r="K117" i="1"/>
  <c r="L117" i="1" s="1"/>
  <c r="AH117" i="1"/>
  <c r="V117" i="1"/>
  <c r="J117" i="1"/>
  <c r="AS117" i="1"/>
  <c r="AG117" i="1"/>
  <c r="U117" i="1"/>
  <c r="I117" i="1"/>
  <c r="AR117" i="1"/>
  <c r="AF117" i="1"/>
  <c r="T117" i="1"/>
  <c r="H117" i="1"/>
  <c r="AT117" i="1" s="1"/>
  <c r="AQ117" i="1"/>
  <c r="AE117" i="1"/>
  <c r="S117" i="1"/>
  <c r="G117" i="1"/>
  <c r="AN117" i="1"/>
  <c r="AB117" i="1"/>
  <c r="D117" i="1"/>
  <c r="AY117" i="1"/>
  <c r="AM117" i="1"/>
  <c r="AA117" i="1"/>
  <c r="O117" i="1"/>
  <c r="P117" i="1" s="1"/>
  <c r="Q117" i="1"/>
  <c r="F117" i="1"/>
  <c r="E117" i="1"/>
  <c r="AP117" i="1"/>
  <c r="AO117" i="1"/>
  <c r="AD117" i="1"/>
  <c r="R117" i="1"/>
  <c r="AJ124" i="1"/>
  <c r="X124" i="1"/>
  <c r="AI124" i="1"/>
  <c r="W124" i="1"/>
  <c r="K124" i="1"/>
  <c r="L124" i="1" s="1"/>
  <c r="AH124" i="1"/>
  <c r="V124" i="1"/>
  <c r="J124" i="1"/>
  <c r="AS124" i="1"/>
  <c r="AG124" i="1"/>
  <c r="U124" i="1"/>
  <c r="I124" i="1"/>
  <c r="AR124" i="1"/>
  <c r="AF124" i="1"/>
  <c r="T124" i="1"/>
  <c r="H124" i="1"/>
  <c r="AT124" i="1" s="1"/>
  <c r="AQ124" i="1"/>
  <c r="AE124" i="1"/>
  <c r="S124" i="1"/>
  <c r="G124" i="1"/>
  <c r="AP124" i="1"/>
  <c r="AD124" i="1"/>
  <c r="R124" i="1"/>
  <c r="F124" i="1"/>
  <c r="AO124" i="1"/>
  <c r="Q124" i="1"/>
  <c r="E124" i="1"/>
  <c r="AN124" i="1"/>
  <c r="AB124" i="1"/>
  <c r="D124" i="1"/>
  <c r="AY124" i="1"/>
  <c r="AM124" i="1"/>
  <c r="AA124" i="1"/>
  <c r="O124" i="1"/>
  <c r="P124" i="1" s="1"/>
  <c r="AL124" i="1"/>
  <c r="Z124" i="1"/>
  <c r="N124" i="1"/>
  <c r="AK124" i="1"/>
  <c r="Y124" i="1"/>
  <c r="M124" i="1"/>
  <c r="AH107" i="1"/>
  <c r="V107" i="1"/>
  <c r="J107" i="1"/>
  <c r="AS107" i="1"/>
  <c r="AG107" i="1"/>
  <c r="U107" i="1"/>
  <c r="I107" i="1"/>
  <c r="AO107" i="1"/>
  <c r="Q107" i="1"/>
  <c r="E107" i="1"/>
  <c r="AN107" i="1"/>
  <c r="AB107" i="1"/>
  <c r="D107" i="1"/>
  <c r="AY107" i="1"/>
  <c r="AM107" i="1"/>
  <c r="AA107" i="1"/>
  <c r="O107" i="1"/>
  <c r="P107" i="1" s="1"/>
  <c r="AI107" i="1"/>
  <c r="W107" i="1"/>
  <c r="K107" i="1"/>
  <c r="L107" i="1" s="1"/>
  <c r="AF107" i="1"/>
  <c r="AE107" i="1"/>
  <c r="H107" i="1"/>
  <c r="AT107" i="1" s="1"/>
  <c r="AD107" i="1"/>
  <c r="G107" i="1"/>
  <c r="F107" i="1"/>
  <c r="Z107" i="1"/>
  <c r="Y107" i="1"/>
  <c r="AR107" i="1"/>
  <c r="X107" i="1"/>
  <c r="AQ107" i="1"/>
  <c r="T107" i="1"/>
  <c r="AP107" i="1"/>
  <c r="S107" i="1"/>
  <c r="AL107" i="1"/>
  <c r="R107" i="1"/>
  <c r="AK107" i="1"/>
  <c r="N107" i="1"/>
  <c r="AJ107" i="1"/>
  <c r="M107" i="1"/>
  <c r="AR102" i="1"/>
  <c r="AF102" i="1"/>
  <c r="T102" i="1"/>
  <c r="H102" i="1"/>
  <c r="AT102" i="1" s="1"/>
  <c r="AQ102" i="1"/>
  <c r="AE102" i="1"/>
  <c r="S102" i="1"/>
  <c r="G102" i="1"/>
  <c r="AY102" i="1"/>
  <c r="AM102" i="1"/>
  <c r="AA102" i="1"/>
  <c r="O102" i="1"/>
  <c r="P102" i="1" s="1"/>
  <c r="AL102" i="1"/>
  <c r="Z102" i="1"/>
  <c r="N102" i="1"/>
  <c r="AK102" i="1"/>
  <c r="Y102" i="1"/>
  <c r="M102" i="1"/>
  <c r="AS102" i="1"/>
  <c r="AG102" i="1"/>
  <c r="U102" i="1"/>
  <c r="I102" i="1"/>
  <c r="AN102" i="1"/>
  <c r="AJ102" i="1"/>
  <c r="AI102" i="1"/>
  <c r="K102" i="1"/>
  <c r="L102" i="1" s="1"/>
  <c r="AH102" i="1"/>
  <c r="J102" i="1"/>
  <c r="AD102" i="1"/>
  <c r="F102" i="1"/>
  <c r="E102" i="1"/>
  <c r="AB102" i="1"/>
  <c r="D102" i="1"/>
  <c r="X102" i="1"/>
  <c r="W102" i="1"/>
  <c r="V102" i="1"/>
  <c r="AP102" i="1"/>
  <c r="R102" i="1"/>
  <c r="AO102" i="1"/>
  <c r="Q102" i="1"/>
  <c r="AK186" i="1"/>
  <c r="Y186" i="1"/>
  <c r="M186" i="1"/>
  <c r="AJ186" i="1"/>
  <c r="X186" i="1"/>
  <c r="AR186" i="1"/>
  <c r="AF186" i="1"/>
  <c r="T186" i="1"/>
  <c r="H186" i="1"/>
  <c r="AT186" i="1" s="1"/>
  <c r="AQ186" i="1"/>
  <c r="AE186" i="1"/>
  <c r="S186" i="1"/>
  <c r="G186" i="1"/>
  <c r="AP186" i="1"/>
  <c r="AD186" i="1"/>
  <c r="R186" i="1"/>
  <c r="F186" i="1"/>
  <c r="AL186" i="1"/>
  <c r="Z186" i="1"/>
  <c r="N186" i="1"/>
  <c r="AI186" i="1"/>
  <c r="K186" i="1"/>
  <c r="L186" i="1" s="1"/>
  <c r="AH186" i="1"/>
  <c r="J186" i="1"/>
  <c r="AG186" i="1"/>
  <c r="I186" i="1"/>
  <c r="AY186" i="1"/>
  <c r="E186" i="1"/>
  <c r="AB186" i="1"/>
  <c r="D186" i="1"/>
  <c r="AA186" i="1"/>
  <c r="W186" i="1"/>
  <c r="V186" i="1"/>
  <c r="AS186" i="1"/>
  <c r="U186" i="1"/>
  <c r="AO186" i="1"/>
  <c r="Q186" i="1"/>
  <c r="AN186" i="1"/>
  <c r="AM186" i="1"/>
  <c r="O186" i="1"/>
  <c r="P186" i="1" s="1"/>
  <c r="AN104" i="1"/>
  <c r="AB104" i="1"/>
  <c r="D104" i="1"/>
  <c r="AY104" i="1"/>
  <c r="AM104" i="1"/>
  <c r="AA104" i="1"/>
  <c r="O104" i="1"/>
  <c r="P104" i="1" s="1"/>
  <c r="AI104" i="1"/>
  <c r="W104" i="1"/>
  <c r="K104" i="1"/>
  <c r="L104" i="1" s="1"/>
  <c r="AH104" i="1"/>
  <c r="V104" i="1"/>
  <c r="J104" i="1"/>
  <c r="AS104" i="1"/>
  <c r="AG104" i="1"/>
  <c r="U104" i="1"/>
  <c r="I104" i="1"/>
  <c r="AO104" i="1"/>
  <c r="Q104" i="1"/>
  <c r="E104" i="1"/>
  <c r="Z104" i="1"/>
  <c r="Y104" i="1"/>
  <c r="AR104" i="1"/>
  <c r="X104" i="1"/>
  <c r="AQ104" i="1"/>
  <c r="T104" i="1"/>
  <c r="AP104" i="1"/>
  <c r="S104" i="1"/>
  <c r="AL104" i="1"/>
  <c r="R104" i="1"/>
  <c r="AK104" i="1"/>
  <c r="N104" i="1"/>
  <c r="AJ104" i="1"/>
  <c r="M104" i="1"/>
  <c r="AF104" i="1"/>
  <c r="AE104" i="1"/>
  <c r="H104" i="1"/>
  <c r="AT104" i="1" s="1"/>
  <c r="AD104" i="1"/>
  <c r="G104" i="1"/>
  <c r="F104" i="1"/>
  <c r="AI175" i="1"/>
  <c r="W175" i="1"/>
  <c r="K175" i="1"/>
  <c r="L175" i="1" s="1"/>
  <c r="AP175" i="1"/>
  <c r="AD175" i="1"/>
  <c r="R175" i="1"/>
  <c r="F175" i="1"/>
  <c r="AO175" i="1"/>
  <c r="Q175" i="1"/>
  <c r="E175" i="1"/>
  <c r="AN175" i="1"/>
  <c r="AB175" i="1"/>
  <c r="D175" i="1"/>
  <c r="AM175" i="1"/>
  <c r="X175" i="1"/>
  <c r="G175" i="1"/>
  <c r="AL175" i="1"/>
  <c r="V175" i="1"/>
  <c r="AK175" i="1"/>
  <c r="U175" i="1"/>
  <c r="AJ175" i="1"/>
  <c r="T175" i="1"/>
  <c r="AY175" i="1"/>
  <c r="AH175" i="1"/>
  <c r="S175" i="1"/>
  <c r="AG175" i="1"/>
  <c r="O175" i="1"/>
  <c r="P175" i="1" s="1"/>
  <c r="AF175" i="1"/>
  <c r="N175" i="1"/>
  <c r="AE175" i="1"/>
  <c r="M175" i="1"/>
  <c r="AS175" i="1"/>
  <c r="AA175" i="1"/>
  <c r="J175" i="1"/>
  <c r="AR175" i="1"/>
  <c r="Z175" i="1"/>
  <c r="I175" i="1"/>
  <c r="AQ175" i="1"/>
  <c r="Y175" i="1"/>
  <c r="H175" i="1"/>
  <c r="AT175" i="1" s="1"/>
  <c r="AK222" i="1"/>
  <c r="Y222" i="1"/>
  <c r="M222" i="1"/>
  <c r="AJ222" i="1"/>
  <c r="X222" i="1"/>
  <c r="AI222" i="1"/>
  <c r="W222" i="1"/>
  <c r="K222" i="1"/>
  <c r="L222" i="1" s="1"/>
  <c r="AH222" i="1"/>
  <c r="V222" i="1"/>
  <c r="J222" i="1"/>
  <c r="AS222" i="1"/>
  <c r="AG222" i="1"/>
  <c r="U222" i="1"/>
  <c r="I222" i="1"/>
  <c r="AR222" i="1"/>
  <c r="AF222" i="1"/>
  <c r="T222" i="1"/>
  <c r="H222" i="1"/>
  <c r="AT222" i="1" s="1"/>
  <c r="AQ222" i="1"/>
  <c r="AE222" i="1"/>
  <c r="S222" i="1"/>
  <c r="G222" i="1"/>
  <c r="AP222" i="1"/>
  <c r="AD222" i="1"/>
  <c r="R222" i="1"/>
  <c r="F222" i="1"/>
  <c r="AO222" i="1"/>
  <c r="Q222" i="1"/>
  <c r="E222" i="1"/>
  <c r="AN222" i="1"/>
  <c r="AB222" i="1"/>
  <c r="D222" i="1"/>
  <c r="AY222" i="1"/>
  <c r="AM222" i="1"/>
  <c r="AA222" i="1"/>
  <c r="O222" i="1"/>
  <c r="P222" i="1" s="1"/>
  <c r="AL222" i="1"/>
  <c r="Z222" i="1"/>
  <c r="N222" i="1"/>
  <c r="AI235" i="1"/>
  <c r="W235" i="1"/>
  <c r="K235" i="1"/>
  <c r="L235" i="1" s="1"/>
  <c r="AH235" i="1"/>
  <c r="V235" i="1"/>
  <c r="J235" i="1"/>
  <c r="AS235" i="1"/>
  <c r="AG235" i="1"/>
  <c r="U235" i="1"/>
  <c r="I235" i="1"/>
  <c r="AR235" i="1"/>
  <c r="AF235" i="1"/>
  <c r="T235" i="1"/>
  <c r="H235" i="1"/>
  <c r="AT235" i="1" s="1"/>
  <c r="AQ235" i="1"/>
  <c r="AE235" i="1"/>
  <c r="S235" i="1"/>
  <c r="G235" i="1"/>
  <c r="AP235" i="1"/>
  <c r="AD235" i="1"/>
  <c r="R235" i="1"/>
  <c r="F235" i="1"/>
  <c r="AO235" i="1"/>
  <c r="Q235" i="1"/>
  <c r="E235" i="1"/>
  <c r="AN235" i="1"/>
  <c r="AB235" i="1"/>
  <c r="D235" i="1"/>
  <c r="AY235" i="1"/>
  <c r="AM235" i="1"/>
  <c r="AA235" i="1"/>
  <c r="O235" i="1"/>
  <c r="P235" i="1" s="1"/>
  <c r="AL235" i="1"/>
  <c r="Z235" i="1"/>
  <c r="N235" i="1"/>
  <c r="AK235" i="1"/>
  <c r="Y235" i="1"/>
  <c r="M235" i="1"/>
  <c r="AJ235" i="1"/>
  <c r="X235" i="1"/>
  <c r="AS224" i="1"/>
  <c r="AG224" i="1"/>
  <c r="U224" i="1"/>
  <c r="I224" i="1"/>
  <c r="AR224" i="1"/>
  <c r="AF224" i="1"/>
  <c r="T224" i="1"/>
  <c r="H224" i="1"/>
  <c r="AT224" i="1" s="1"/>
  <c r="AQ224" i="1"/>
  <c r="AE224" i="1"/>
  <c r="S224" i="1"/>
  <c r="G224" i="1"/>
  <c r="AP224" i="1"/>
  <c r="AD224" i="1"/>
  <c r="R224" i="1"/>
  <c r="F224" i="1"/>
  <c r="AO224" i="1"/>
  <c r="Q224" i="1"/>
  <c r="E224" i="1"/>
  <c r="AN224" i="1"/>
  <c r="AB224" i="1"/>
  <c r="D224" i="1"/>
  <c r="AY224" i="1"/>
  <c r="AM224" i="1"/>
  <c r="AA224" i="1"/>
  <c r="O224" i="1"/>
  <c r="P224" i="1" s="1"/>
  <c r="AL224" i="1"/>
  <c r="Z224" i="1"/>
  <c r="N224" i="1"/>
  <c r="AK224" i="1"/>
  <c r="Y224" i="1"/>
  <c r="M224" i="1"/>
  <c r="AJ224" i="1"/>
  <c r="X224" i="1"/>
  <c r="AI224" i="1"/>
  <c r="W224" i="1"/>
  <c r="K224" i="1"/>
  <c r="L224" i="1" s="1"/>
  <c r="AH224" i="1"/>
  <c r="V224" i="1"/>
  <c r="J224" i="1"/>
  <c r="AQ231" i="1"/>
  <c r="AE231" i="1"/>
  <c r="S231" i="1"/>
  <c r="G231" i="1"/>
  <c r="AP231" i="1"/>
  <c r="AD231" i="1"/>
  <c r="R231" i="1"/>
  <c r="F231" i="1"/>
  <c r="AO231" i="1"/>
  <c r="Q231" i="1"/>
  <c r="E231" i="1"/>
  <c r="AN231" i="1"/>
  <c r="AB231" i="1"/>
  <c r="D231" i="1"/>
  <c r="AY231" i="1"/>
  <c r="AM231" i="1"/>
  <c r="AA231" i="1"/>
  <c r="O231" i="1"/>
  <c r="P231" i="1" s="1"/>
  <c r="AL231" i="1"/>
  <c r="Z231" i="1"/>
  <c r="N231" i="1"/>
  <c r="AK231" i="1"/>
  <c r="Y231" i="1"/>
  <c r="M231" i="1"/>
  <c r="AJ231" i="1"/>
  <c r="X231" i="1"/>
  <c r="AI231" i="1"/>
  <c r="W231" i="1"/>
  <c r="K231" i="1"/>
  <c r="L231" i="1" s="1"/>
  <c r="AH231" i="1"/>
  <c r="V231" i="1"/>
  <c r="J231" i="1"/>
  <c r="AS231" i="1"/>
  <c r="AG231" i="1"/>
  <c r="U231" i="1"/>
  <c r="I231" i="1"/>
  <c r="AR231" i="1"/>
  <c r="AF231" i="1"/>
  <c r="T231" i="1"/>
  <c r="H231" i="1"/>
  <c r="AT231" i="1" s="1"/>
  <c r="AO220" i="1"/>
  <c r="Q220" i="1"/>
  <c r="E220" i="1"/>
  <c r="AN220" i="1"/>
  <c r="AB220" i="1"/>
  <c r="D220" i="1"/>
  <c r="AY220" i="1"/>
  <c r="AM220" i="1"/>
  <c r="AA220" i="1"/>
  <c r="O220" i="1"/>
  <c r="P220" i="1" s="1"/>
  <c r="AL220" i="1"/>
  <c r="Z220" i="1"/>
  <c r="N220" i="1"/>
  <c r="AK220" i="1"/>
  <c r="Y220" i="1"/>
  <c r="M220" i="1"/>
  <c r="AJ220" i="1"/>
  <c r="X220" i="1"/>
  <c r="AI220" i="1"/>
  <c r="W220" i="1"/>
  <c r="K220" i="1"/>
  <c r="L220" i="1" s="1"/>
  <c r="AH220" i="1"/>
  <c r="V220" i="1"/>
  <c r="J220" i="1"/>
  <c r="AS220" i="1"/>
  <c r="AG220" i="1"/>
  <c r="U220" i="1"/>
  <c r="I220" i="1"/>
  <c r="AR220" i="1"/>
  <c r="AF220" i="1"/>
  <c r="T220" i="1"/>
  <c r="H220" i="1"/>
  <c r="AT220" i="1" s="1"/>
  <c r="AQ220" i="1"/>
  <c r="AE220" i="1"/>
  <c r="S220" i="1"/>
  <c r="G220" i="1"/>
  <c r="AP220" i="1"/>
  <c r="AD220" i="1"/>
  <c r="R220" i="1"/>
  <c r="F220" i="1"/>
  <c r="AY197" i="1"/>
  <c r="AM197" i="1"/>
  <c r="AA197" i="1"/>
  <c r="O197" i="1"/>
  <c r="P197" i="1" s="1"/>
  <c r="AL197" i="1"/>
  <c r="Z197" i="1"/>
  <c r="N197" i="1"/>
  <c r="AK197" i="1"/>
  <c r="Y197" i="1"/>
  <c r="M197" i="1"/>
  <c r="AJ197" i="1"/>
  <c r="X197" i="1"/>
  <c r="AI197" i="1"/>
  <c r="W197" i="1"/>
  <c r="K197" i="1"/>
  <c r="L197" i="1" s="1"/>
  <c r="AH197" i="1"/>
  <c r="V197" i="1"/>
  <c r="J197" i="1"/>
  <c r="AS197" i="1"/>
  <c r="AG197" i="1"/>
  <c r="U197" i="1"/>
  <c r="I197" i="1"/>
  <c r="AR197" i="1"/>
  <c r="AF197" i="1"/>
  <c r="T197" i="1"/>
  <c r="H197" i="1"/>
  <c r="AT197" i="1" s="1"/>
  <c r="AO197" i="1"/>
  <c r="Q197" i="1"/>
  <c r="E197" i="1"/>
  <c r="AN197" i="1"/>
  <c r="AB197" i="1"/>
  <c r="D197" i="1"/>
  <c r="AE197" i="1"/>
  <c r="AD197" i="1"/>
  <c r="S197" i="1"/>
  <c r="R197" i="1"/>
  <c r="G197" i="1"/>
  <c r="F197" i="1"/>
  <c r="AQ197" i="1"/>
  <c r="AP197" i="1"/>
  <c r="AK280" i="1"/>
  <c r="Y280" i="1"/>
  <c r="M280" i="1"/>
  <c r="AJ280" i="1"/>
  <c r="X280" i="1"/>
  <c r="AI280" i="1"/>
  <c r="W280" i="1"/>
  <c r="K280" i="1"/>
  <c r="L280" i="1" s="1"/>
  <c r="AH280" i="1"/>
  <c r="V280" i="1"/>
  <c r="J280" i="1"/>
  <c r="AS280" i="1"/>
  <c r="AG280" i="1"/>
  <c r="U280" i="1"/>
  <c r="I280" i="1"/>
  <c r="AR280" i="1"/>
  <c r="AF280" i="1"/>
  <c r="T280" i="1"/>
  <c r="H280" i="1"/>
  <c r="AT280" i="1" s="1"/>
  <c r="AQ280" i="1"/>
  <c r="AE280" i="1"/>
  <c r="S280" i="1"/>
  <c r="G280" i="1"/>
  <c r="AP280" i="1"/>
  <c r="AD280" i="1"/>
  <c r="R280" i="1"/>
  <c r="F280" i="1"/>
  <c r="AO280" i="1"/>
  <c r="Q280" i="1"/>
  <c r="E280" i="1"/>
  <c r="AN280" i="1"/>
  <c r="AB280" i="1"/>
  <c r="D280" i="1"/>
  <c r="AY280" i="1"/>
  <c r="AM280" i="1"/>
  <c r="AA280" i="1"/>
  <c r="O280" i="1"/>
  <c r="P280" i="1" s="1"/>
  <c r="AL280" i="1"/>
  <c r="Z280" i="1"/>
  <c r="N280" i="1"/>
  <c r="AI287" i="1"/>
  <c r="W287" i="1"/>
  <c r="K287" i="1"/>
  <c r="L287" i="1" s="1"/>
  <c r="AH287" i="1"/>
  <c r="V287" i="1"/>
  <c r="J287" i="1"/>
  <c r="AS287" i="1"/>
  <c r="AG287" i="1"/>
  <c r="U287" i="1"/>
  <c r="I287" i="1"/>
  <c r="AR287" i="1"/>
  <c r="AF287" i="1"/>
  <c r="T287" i="1"/>
  <c r="H287" i="1"/>
  <c r="AT287" i="1" s="1"/>
  <c r="AQ287" i="1"/>
  <c r="AE287" i="1"/>
  <c r="S287" i="1"/>
  <c r="G287" i="1"/>
  <c r="AP287" i="1"/>
  <c r="AD287" i="1"/>
  <c r="R287" i="1"/>
  <c r="F287" i="1"/>
  <c r="AO287" i="1"/>
  <c r="Q287" i="1"/>
  <c r="E287" i="1"/>
  <c r="AN287" i="1"/>
  <c r="AB287" i="1"/>
  <c r="D287" i="1"/>
  <c r="AY287" i="1"/>
  <c r="AM287" i="1"/>
  <c r="AA287" i="1"/>
  <c r="O287" i="1"/>
  <c r="P287" i="1" s="1"/>
  <c r="AL287" i="1"/>
  <c r="Z287" i="1"/>
  <c r="N287" i="1"/>
  <c r="AK287" i="1"/>
  <c r="Y287" i="1"/>
  <c r="M287" i="1"/>
  <c r="AJ287" i="1"/>
  <c r="X287" i="1"/>
  <c r="AS270" i="1"/>
  <c r="AG270" i="1"/>
  <c r="U270" i="1"/>
  <c r="I270" i="1"/>
  <c r="AR270" i="1"/>
  <c r="AF270" i="1"/>
  <c r="T270" i="1"/>
  <c r="H270" i="1"/>
  <c r="AT270" i="1" s="1"/>
  <c r="AQ270" i="1"/>
  <c r="AE270" i="1"/>
  <c r="S270" i="1"/>
  <c r="G270" i="1"/>
  <c r="AP270" i="1"/>
  <c r="AD270" i="1"/>
  <c r="R270" i="1"/>
  <c r="F270" i="1"/>
  <c r="AO270" i="1"/>
  <c r="Q270" i="1"/>
  <c r="E270" i="1"/>
  <c r="AN270" i="1"/>
  <c r="AB270" i="1"/>
  <c r="D270" i="1"/>
  <c r="AY270" i="1"/>
  <c r="AM270" i="1"/>
  <c r="AA270" i="1"/>
  <c r="O270" i="1"/>
  <c r="P270" i="1" s="1"/>
  <c r="AL270" i="1"/>
  <c r="Z270" i="1"/>
  <c r="N270" i="1"/>
  <c r="AI270" i="1"/>
  <c r="W270" i="1"/>
  <c r="K270" i="1"/>
  <c r="L270" i="1" s="1"/>
  <c r="AH270" i="1"/>
  <c r="V270" i="1"/>
  <c r="J270" i="1"/>
  <c r="AJ270" i="1"/>
  <c r="Y270" i="1"/>
  <c r="X270" i="1"/>
  <c r="M270" i="1"/>
  <c r="AK270" i="1"/>
  <c r="AQ265" i="1"/>
  <c r="AE265" i="1"/>
  <c r="S265" i="1"/>
  <c r="G265" i="1"/>
  <c r="AP265" i="1"/>
  <c r="AD265" i="1"/>
  <c r="R265" i="1"/>
  <c r="F265" i="1"/>
  <c r="AO265" i="1"/>
  <c r="Q265" i="1"/>
  <c r="AN265" i="1"/>
  <c r="AB265" i="1"/>
  <c r="AY265" i="1"/>
  <c r="AM265" i="1"/>
  <c r="AA265" i="1"/>
  <c r="O265" i="1"/>
  <c r="P265" i="1" s="1"/>
  <c r="AL265" i="1"/>
  <c r="Z265" i="1"/>
  <c r="N265" i="1"/>
  <c r="AK265" i="1"/>
  <c r="Y265" i="1"/>
  <c r="M265" i="1"/>
  <c r="AJ265" i="1"/>
  <c r="X265" i="1"/>
  <c r="AS265" i="1"/>
  <c r="AR265" i="1"/>
  <c r="AF265" i="1"/>
  <c r="T265" i="1"/>
  <c r="H265" i="1"/>
  <c r="AT265" i="1" s="1"/>
  <c r="U265" i="1"/>
  <c r="K265" i="1"/>
  <c r="L265" i="1" s="1"/>
  <c r="J265" i="1"/>
  <c r="I265" i="1"/>
  <c r="E265" i="1"/>
  <c r="D265" i="1"/>
  <c r="AI265" i="1"/>
  <c r="AH265" i="1"/>
  <c r="AG265" i="1"/>
  <c r="W265" i="1"/>
  <c r="V265" i="1"/>
  <c r="AO266" i="1"/>
  <c r="Q266" i="1"/>
  <c r="E266" i="1"/>
  <c r="AN266" i="1"/>
  <c r="AB266" i="1"/>
  <c r="D266" i="1"/>
  <c r="AY266" i="1"/>
  <c r="AM266" i="1"/>
  <c r="AA266" i="1"/>
  <c r="O266" i="1"/>
  <c r="P266" i="1" s="1"/>
  <c r="AL266" i="1"/>
  <c r="Z266" i="1"/>
  <c r="N266" i="1"/>
  <c r="AK266" i="1"/>
  <c r="Y266" i="1"/>
  <c r="M266" i="1"/>
  <c r="AJ266" i="1"/>
  <c r="X266" i="1"/>
  <c r="AI266" i="1"/>
  <c r="W266" i="1"/>
  <c r="K266" i="1"/>
  <c r="L266" i="1" s="1"/>
  <c r="AH266" i="1"/>
  <c r="V266" i="1"/>
  <c r="J266" i="1"/>
  <c r="AQ266" i="1"/>
  <c r="AE266" i="1"/>
  <c r="S266" i="1"/>
  <c r="G266" i="1"/>
  <c r="AP266" i="1"/>
  <c r="AD266" i="1"/>
  <c r="R266" i="1"/>
  <c r="F266" i="1"/>
  <c r="I266" i="1"/>
  <c r="H266" i="1"/>
  <c r="AT266" i="1" s="1"/>
  <c r="AS266" i="1"/>
  <c r="AR266" i="1"/>
  <c r="AG266" i="1"/>
  <c r="AF266" i="1"/>
  <c r="U266" i="1"/>
  <c r="T266" i="1"/>
  <c r="AI345" i="1"/>
  <c r="W345" i="1"/>
  <c r="K345" i="1"/>
  <c r="L345" i="1" s="1"/>
  <c r="AH345" i="1"/>
  <c r="V345" i="1"/>
  <c r="J345" i="1"/>
  <c r="AS345" i="1"/>
  <c r="AG345" i="1"/>
  <c r="U345" i="1"/>
  <c r="I345" i="1"/>
  <c r="AR345" i="1"/>
  <c r="AF345" i="1"/>
  <c r="T345" i="1"/>
  <c r="H345" i="1"/>
  <c r="AT345" i="1" s="1"/>
  <c r="AQ345" i="1"/>
  <c r="AE345" i="1"/>
  <c r="S345" i="1"/>
  <c r="G345" i="1"/>
  <c r="AP345" i="1"/>
  <c r="AD345" i="1"/>
  <c r="R345" i="1"/>
  <c r="F345" i="1"/>
  <c r="AO345" i="1"/>
  <c r="Q345" i="1"/>
  <c r="E345" i="1"/>
  <c r="AN345" i="1"/>
  <c r="AB345" i="1"/>
  <c r="D345" i="1"/>
  <c r="AK345" i="1"/>
  <c r="Y345" i="1"/>
  <c r="M345" i="1"/>
  <c r="AJ345" i="1"/>
  <c r="X345" i="1"/>
  <c r="O345" i="1"/>
  <c r="P345" i="1" s="1"/>
  <c r="N345" i="1"/>
  <c r="AY345" i="1"/>
  <c r="AM345" i="1"/>
  <c r="AL345" i="1"/>
  <c r="AA345" i="1"/>
  <c r="Z345" i="1"/>
  <c r="AY321" i="1"/>
  <c r="AM321" i="1"/>
  <c r="AA321" i="1"/>
  <c r="O321" i="1"/>
  <c r="P321" i="1" s="1"/>
  <c r="AL321" i="1"/>
  <c r="Z321" i="1"/>
  <c r="N321" i="1"/>
  <c r="AK321" i="1"/>
  <c r="Y321" i="1"/>
  <c r="M321" i="1"/>
  <c r="AJ321" i="1"/>
  <c r="X321" i="1"/>
  <c r="AI321" i="1"/>
  <c r="W321" i="1"/>
  <c r="K321" i="1"/>
  <c r="L321" i="1" s="1"/>
  <c r="AH321" i="1"/>
  <c r="V321" i="1"/>
  <c r="J321" i="1"/>
  <c r="AS321" i="1"/>
  <c r="AG321" i="1"/>
  <c r="U321" i="1"/>
  <c r="I321" i="1"/>
  <c r="AR321" i="1"/>
  <c r="AF321" i="1"/>
  <c r="T321" i="1"/>
  <c r="H321" i="1"/>
  <c r="AT321" i="1" s="1"/>
  <c r="AQ321" i="1"/>
  <c r="AE321" i="1"/>
  <c r="S321" i="1"/>
  <c r="G321" i="1"/>
  <c r="AP321" i="1"/>
  <c r="AD321" i="1"/>
  <c r="R321" i="1"/>
  <c r="F321" i="1"/>
  <c r="AO321" i="1"/>
  <c r="Q321" i="1"/>
  <c r="E321" i="1"/>
  <c r="AN321" i="1"/>
  <c r="AB321" i="1"/>
  <c r="D321" i="1"/>
  <c r="AK386" i="1"/>
  <c r="Y386" i="1"/>
  <c r="M386" i="1"/>
  <c r="AJ386" i="1"/>
  <c r="X386" i="1"/>
  <c r="AI386" i="1"/>
  <c r="W386" i="1"/>
  <c r="K386" i="1"/>
  <c r="L386" i="1" s="1"/>
  <c r="AH386" i="1"/>
  <c r="V386" i="1"/>
  <c r="J386" i="1"/>
  <c r="AS386" i="1"/>
  <c r="AG386" i="1"/>
  <c r="U386" i="1"/>
  <c r="I386" i="1"/>
  <c r="AR386" i="1"/>
  <c r="AF386" i="1"/>
  <c r="T386" i="1"/>
  <c r="H386" i="1"/>
  <c r="AT386" i="1" s="1"/>
  <c r="AQ386" i="1"/>
  <c r="AE386" i="1"/>
  <c r="S386" i="1"/>
  <c r="G386" i="1"/>
  <c r="AP386" i="1"/>
  <c r="AD386" i="1"/>
  <c r="R386" i="1"/>
  <c r="F386" i="1"/>
  <c r="AO386" i="1"/>
  <c r="Q386" i="1"/>
  <c r="E386" i="1"/>
  <c r="AN386" i="1"/>
  <c r="AB386" i="1"/>
  <c r="D386" i="1"/>
  <c r="AY386" i="1"/>
  <c r="AM386" i="1"/>
  <c r="AA386" i="1"/>
  <c r="O386" i="1"/>
  <c r="P386" i="1" s="1"/>
  <c r="AL386" i="1"/>
  <c r="Z386" i="1"/>
  <c r="N386" i="1"/>
  <c r="AI393" i="1"/>
  <c r="W393" i="1"/>
  <c r="K393" i="1"/>
  <c r="L393" i="1" s="1"/>
  <c r="AH393" i="1"/>
  <c r="V393" i="1"/>
  <c r="J393" i="1"/>
  <c r="AS393" i="1"/>
  <c r="AG393" i="1"/>
  <c r="U393" i="1"/>
  <c r="I393" i="1"/>
  <c r="AR393" i="1"/>
  <c r="AF393" i="1"/>
  <c r="T393" i="1"/>
  <c r="H393" i="1"/>
  <c r="AT393" i="1" s="1"/>
  <c r="AQ393" i="1"/>
  <c r="AE393" i="1"/>
  <c r="S393" i="1"/>
  <c r="G393" i="1"/>
  <c r="AP393" i="1"/>
  <c r="AD393" i="1"/>
  <c r="R393" i="1"/>
  <c r="F393" i="1"/>
  <c r="AO393" i="1"/>
  <c r="Q393" i="1"/>
  <c r="E393" i="1"/>
  <c r="AN393" i="1"/>
  <c r="AB393" i="1"/>
  <c r="D393" i="1"/>
  <c r="AY393" i="1"/>
  <c r="AM393" i="1"/>
  <c r="AA393" i="1"/>
  <c r="O393" i="1"/>
  <c r="P393" i="1" s="1"/>
  <c r="AL393" i="1"/>
  <c r="Z393" i="1"/>
  <c r="N393" i="1"/>
  <c r="AK393" i="1"/>
  <c r="Y393" i="1"/>
  <c r="M393" i="1"/>
  <c r="AJ393" i="1"/>
  <c r="X393" i="1"/>
  <c r="AS388" i="1"/>
  <c r="AG388" i="1"/>
  <c r="U388" i="1"/>
  <c r="I388" i="1"/>
  <c r="AR388" i="1"/>
  <c r="AF388" i="1"/>
  <c r="T388" i="1"/>
  <c r="H388" i="1"/>
  <c r="AT388" i="1" s="1"/>
  <c r="AQ388" i="1"/>
  <c r="AE388" i="1"/>
  <c r="S388" i="1"/>
  <c r="G388" i="1"/>
  <c r="AP388" i="1"/>
  <c r="AD388" i="1"/>
  <c r="R388" i="1"/>
  <c r="F388" i="1"/>
  <c r="AO388" i="1"/>
  <c r="Q388" i="1"/>
  <c r="E388" i="1"/>
  <c r="AN388" i="1"/>
  <c r="AB388" i="1"/>
  <c r="D388" i="1"/>
  <c r="AY388" i="1"/>
  <c r="AM388" i="1"/>
  <c r="AA388" i="1"/>
  <c r="O388" i="1"/>
  <c r="P388" i="1" s="1"/>
  <c r="AL388" i="1"/>
  <c r="Z388" i="1"/>
  <c r="N388" i="1"/>
  <c r="AK388" i="1"/>
  <c r="Y388" i="1"/>
  <c r="M388" i="1"/>
  <c r="AJ388" i="1"/>
  <c r="X388" i="1"/>
  <c r="AI388" i="1"/>
  <c r="W388" i="1"/>
  <c r="K388" i="1"/>
  <c r="L388" i="1" s="1"/>
  <c r="AH388" i="1"/>
  <c r="V388" i="1"/>
  <c r="J388" i="1"/>
  <c r="AQ383" i="1"/>
  <c r="AE383" i="1"/>
  <c r="S383" i="1"/>
  <c r="G383" i="1"/>
  <c r="AP383" i="1"/>
  <c r="AD383" i="1"/>
  <c r="R383" i="1"/>
  <c r="F383" i="1"/>
  <c r="AO383" i="1"/>
  <c r="Q383" i="1"/>
  <c r="E383" i="1"/>
  <c r="AN383" i="1"/>
  <c r="AB383" i="1"/>
  <c r="D383" i="1"/>
  <c r="AY383" i="1"/>
  <c r="AM383" i="1"/>
  <c r="AA383" i="1"/>
  <c r="O383" i="1"/>
  <c r="P383" i="1" s="1"/>
  <c r="AL383" i="1"/>
  <c r="Z383" i="1"/>
  <c r="N383" i="1"/>
  <c r="AK383" i="1"/>
  <c r="Y383" i="1"/>
  <c r="M383" i="1"/>
  <c r="AJ383" i="1"/>
  <c r="X383" i="1"/>
  <c r="AI383" i="1"/>
  <c r="W383" i="1"/>
  <c r="K383" i="1"/>
  <c r="L383" i="1" s="1"/>
  <c r="AH383" i="1"/>
  <c r="V383" i="1"/>
  <c r="J383" i="1"/>
  <c r="AS383" i="1"/>
  <c r="AG383" i="1"/>
  <c r="U383" i="1"/>
  <c r="I383" i="1"/>
  <c r="AR383" i="1"/>
  <c r="AF383" i="1"/>
  <c r="T383" i="1"/>
  <c r="H383" i="1"/>
  <c r="AT383" i="1" s="1"/>
  <c r="AO384" i="1"/>
  <c r="Q384" i="1"/>
  <c r="E384" i="1"/>
  <c r="AN384" i="1"/>
  <c r="AB384" i="1"/>
  <c r="D384" i="1"/>
  <c r="AY384" i="1"/>
  <c r="AM384" i="1"/>
  <c r="AA384" i="1"/>
  <c r="O384" i="1"/>
  <c r="P384" i="1" s="1"/>
  <c r="AL384" i="1"/>
  <c r="Z384" i="1"/>
  <c r="N384" i="1"/>
  <c r="AK384" i="1"/>
  <c r="Y384" i="1"/>
  <c r="M384" i="1"/>
  <c r="AJ384" i="1"/>
  <c r="X384" i="1"/>
  <c r="AI384" i="1"/>
  <c r="W384" i="1"/>
  <c r="K384" i="1"/>
  <c r="L384" i="1" s="1"/>
  <c r="AH384" i="1"/>
  <c r="V384" i="1"/>
  <c r="J384" i="1"/>
  <c r="AS384" i="1"/>
  <c r="AG384" i="1"/>
  <c r="U384" i="1"/>
  <c r="I384" i="1"/>
  <c r="AR384" i="1"/>
  <c r="AF384" i="1"/>
  <c r="T384" i="1"/>
  <c r="H384" i="1"/>
  <c r="AT384" i="1" s="1"/>
  <c r="AQ384" i="1"/>
  <c r="AE384" i="1"/>
  <c r="S384" i="1"/>
  <c r="G384" i="1"/>
  <c r="AP384" i="1"/>
  <c r="AD384" i="1"/>
  <c r="R384" i="1"/>
  <c r="F384" i="1"/>
  <c r="AY367" i="1"/>
  <c r="AM367" i="1"/>
  <c r="AA367" i="1"/>
  <c r="O367" i="1"/>
  <c r="P367" i="1" s="1"/>
  <c r="AL367" i="1"/>
  <c r="Z367" i="1"/>
  <c r="N367" i="1"/>
  <c r="AK367" i="1"/>
  <c r="Y367" i="1"/>
  <c r="M367" i="1"/>
  <c r="AJ367" i="1"/>
  <c r="X367" i="1"/>
  <c r="AI367" i="1"/>
  <c r="W367" i="1"/>
  <c r="K367" i="1"/>
  <c r="L367" i="1" s="1"/>
  <c r="AH367" i="1"/>
  <c r="V367" i="1"/>
  <c r="J367" i="1"/>
  <c r="AS367" i="1"/>
  <c r="AG367" i="1"/>
  <c r="U367" i="1"/>
  <c r="I367" i="1"/>
  <c r="AR367" i="1"/>
  <c r="AF367" i="1"/>
  <c r="T367" i="1"/>
  <c r="H367" i="1"/>
  <c r="AT367" i="1" s="1"/>
  <c r="AQ367" i="1"/>
  <c r="AE367" i="1"/>
  <c r="S367" i="1"/>
  <c r="G367" i="1"/>
  <c r="AP367" i="1"/>
  <c r="AD367" i="1"/>
  <c r="R367" i="1"/>
  <c r="F367" i="1"/>
  <c r="AO367" i="1"/>
  <c r="Q367" i="1"/>
  <c r="E367" i="1"/>
  <c r="AN367" i="1"/>
  <c r="AB367" i="1"/>
  <c r="D367" i="1"/>
  <c r="AL449" i="1"/>
  <c r="Z449" i="1"/>
  <c r="N449" i="1"/>
  <c r="AK449" i="1"/>
  <c r="Y449" i="1"/>
  <c r="M449" i="1"/>
  <c r="AJ449" i="1"/>
  <c r="X449" i="1"/>
  <c r="AI449" i="1"/>
  <c r="W449" i="1"/>
  <c r="K449" i="1"/>
  <c r="L449" i="1" s="1"/>
  <c r="AH449" i="1"/>
  <c r="V449" i="1"/>
  <c r="J449" i="1"/>
  <c r="AS449" i="1"/>
  <c r="AG449" i="1"/>
  <c r="U449" i="1"/>
  <c r="I449" i="1"/>
  <c r="AR449" i="1"/>
  <c r="AF449" i="1"/>
  <c r="T449" i="1"/>
  <c r="H449" i="1"/>
  <c r="AT449" i="1" s="1"/>
  <c r="AQ449" i="1"/>
  <c r="AE449" i="1"/>
  <c r="S449" i="1"/>
  <c r="G449" i="1"/>
  <c r="AP449" i="1"/>
  <c r="AD449" i="1"/>
  <c r="R449" i="1"/>
  <c r="F449" i="1"/>
  <c r="AO449" i="1"/>
  <c r="Q449" i="1"/>
  <c r="E449" i="1"/>
  <c r="AN449" i="1"/>
  <c r="AB449" i="1"/>
  <c r="D449" i="1"/>
  <c r="AY449" i="1"/>
  <c r="AM449" i="1"/>
  <c r="AA449" i="1"/>
  <c r="O449" i="1"/>
  <c r="P449" i="1" s="1"/>
  <c r="AJ438" i="1"/>
  <c r="X438" i="1"/>
  <c r="AI438" i="1"/>
  <c r="W438" i="1"/>
  <c r="K438" i="1"/>
  <c r="L438" i="1" s="1"/>
  <c r="AH438" i="1"/>
  <c r="V438" i="1"/>
  <c r="J438" i="1"/>
  <c r="AS438" i="1"/>
  <c r="AG438" i="1"/>
  <c r="U438" i="1"/>
  <c r="I438" i="1"/>
  <c r="AR438" i="1"/>
  <c r="AF438" i="1"/>
  <c r="T438" i="1"/>
  <c r="H438" i="1"/>
  <c r="AT438" i="1" s="1"/>
  <c r="AQ438" i="1"/>
  <c r="AE438" i="1"/>
  <c r="S438" i="1"/>
  <c r="G438" i="1"/>
  <c r="AP438" i="1"/>
  <c r="AD438" i="1"/>
  <c r="R438" i="1"/>
  <c r="F438" i="1"/>
  <c r="AO438" i="1"/>
  <c r="Q438" i="1"/>
  <c r="E438" i="1"/>
  <c r="AN438" i="1"/>
  <c r="AB438" i="1"/>
  <c r="D438" i="1"/>
  <c r="AY438" i="1"/>
  <c r="AM438" i="1"/>
  <c r="AA438" i="1"/>
  <c r="O438" i="1"/>
  <c r="P438" i="1" s="1"/>
  <c r="AL438" i="1"/>
  <c r="Z438" i="1"/>
  <c r="N438" i="1"/>
  <c r="AK438" i="1"/>
  <c r="Y438" i="1"/>
  <c r="M438" i="1"/>
  <c r="AH433" i="1"/>
  <c r="V433" i="1"/>
  <c r="J433" i="1"/>
  <c r="AS433" i="1"/>
  <c r="AG433" i="1"/>
  <c r="U433" i="1"/>
  <c r="I433" i="1"/>
  <c r="AR433" i="1"/>
  <c r="AF433" i="1"/>
  <c r="T433" i="1"/>
  <c r="H433" i="1"/>
  <c r="AT433" i="1" s="1"/>
  <c r="AQ433" i="1"/>
  <c r="AE433" i="1"/>
  <c r="S433" i="1"/>
  <c r="G433" i="1"/>
  <c r="AP433" i="1"/>
  <c r="AD433" i="1"/>
  <c r="R433" i="1"/>
  <c r="F433" i="1"/>
  <c r="AO433" i="1"/>
  <c r="Q433" i="1"/>
  <c r="E433" i="1"/>
  <c r="AN433" i="1"/>
  <c r="AB433" i="1"/>
  <c r="D433" i="1"/>
  <c r="AY433" i="1"/>
  <c r="AM433" i="1"/>
  <c r="AA433" i="1"/>
  <c r="O433" i="1"/>
  <c r="P433" i="1" s="1"/>
  <c r="AL433" i="1"/>
  <c r="Z433" i="1"/>
  <c r="N433" i="1"/>
  <c r="AK433" i="1"/>
  <c r="Y433" i="1"/>
  <c r="M433" i="1"/>
  <c r="AJ433" i="1"/>
  <c r="X433" i="1"/>
  <c r="AI433" i="1"/>
  <c r="W433" i="1"/>
  <c r="K433" i="1"/>
  <c r="L433" i="1" s="1"/>
  <c r="AR428" i="1"/>
  <c r="AF428" i="1"/>
  <c r="T428" i="1"/>
  <c r="H428" i="1"/>
  <c r="AT428" i="1" s="1"/>
  <c r="AQ428" i="1"/>
  <c r="AE428" i="1"/>
  <c r="S428" i="1"/>
  <c r="G428" i="1"/>
  <c r="AP428" i="1"/>
  <c r="AD428" i="1"/>
  <c r="R428" i="1"/>
  <c r="F428" i="1"/>
  <c r="AO428" i="1"/>
  <c r="Q428" i="1"/>
  <c r="E428" i="1"/>
  <c r="AN428" i="1"/>
  <c r="AB428" i="1"/>
  <c r="D428" i="1"/>
  <c r="AY428" i="1"/>
  <c r="AM428" i="1"/>
  <c r="AA428" i="1"/>
  <c r="O428" i="1"/>
  <c r="P428" i="1" s="1"/>
  <c r="AL428" i="1"/>
  <c r="Z428" i="1"/>
  <c r="N428" i="1"/>
  <c r="AK428" i="1"/>
  <c r="Y428" i="1"/>
  <c r="M428" i="1"/>
  <c r="AJ428" i="1"/>
  <c r="X428" i="1"/>
  <c r="AI428" i="1"/>
  <c r="W428" i="1"/>
  <c r="K428" i="1"/>
  <c r="L428" i="1" s="1"/>
  <c r="AH428" i="1"/>
  <c r="V428" i="1"/>
  <c r="J428" i="1"/>
  <c r="AS428" i="1"/>
  <c r="AG428" i="1"/>
  <c r="U428" i="1"/>
  <c r="I428" i="1"/>
  <c r="AP423" i="1"/>
  <c r="AD423" i="1"/>
  <c r="R423" i="1"/>
  <c r="F423" i="1"/>
  <c r="AO423" i="1"/>
  <c r="Q423" i="1"/>
  <c r="E423" i="1"/>
  <c r="AN423" i="1"/>
  <c r="AB423" i="1"/>
  <c r="D423" i="1"/>
  <c r="AY423" i="1"/>
  <c r="AM423" i="1"/>
  <c r="AA423" i="1"/>
  <c r="O423" i="1"/>
  <c r="P423" i="1" s="1"/>
  <c r="AL423" i="1"/>
  <c r="Z423" i="1"/>
  <c r="N423" i="1"/>
  <c r="AK423" i="1"/>
  <c r="Y423" i="1"/>
  <c r="M423" i="1"/>
  <c r="AJ423" i="1"/>
  <c r="X423" i="1"/>
  <c r="AI423" i="1"/>
  <c r="W423" i="1"/>
  <c r="K423" i="1"/>
  <c r="L423" i="1" s="1"/>
  <c r="AH423" i="1"/>
  <c r="V423" i="1"/>
  <c r="J423" i="1"/>
  <c r="AS423" i="1"/>
  <c r="AG423" i="1"/>
  <c r="U423" i="1"/>
  <c r="I423" i="1"/>
  <c r="AR423" i="1"/>
  <c r="AF423" i="1"/>
  <c r="T423" i="1"/>
  <c r="H423" i="1"/>
  <c r="AT423" i="1" s="1"/>
  <c r="AQ423" i="1"/>
  <c r="AE423" i="1"/>
  <c r="S423" i="1"/>
  <c r="G423" i="1"/>
  <c r="AN412" i="1"/>
  <c r="AB412" i="1"/>
  <c r="D412" i="1"/>
  <c r="AY412" i="1"/>
  <c r="AM412" i="1"/>
  <c r="AA412" i="1"/>
  <c r="O412" i="1"/>
  <c r="P412" i="1" s="1"/>
  <c r="AL412" i="1"/>
  <c r="Z412" i="1"/>
  <c r="N412" i="1"/>
  <c r="AH412" i="1"/>
  <c r="V412" i="1"/>
  <c r="J412" i="1"/>
  <c r="AG412" i="1"/>
  <c r="Q412" i="1"/>
  <c r="AF412" i="1"/>
  <c r="M412" i="1"/>
  <c r="AE412" i="1"/>
  <c r="AD412" i="1"/>
  <c r="K412" i="1"/>
  <c r="L412" i="1" s="1"/>
  <c r="AS412" i="1"/>
  <c r="I412" i="1"/>
  <c r="AR412" i="1"/>
  <c r="Y412" i="1"/>
  <c r="H412" i="1"/>
  <c r="AT412" i="1" s="1"/>
  <c r="AQ412" i="1"/>
  <c r="X412" i="1"/>
  <c r="G412" i="1"/>
  <c r="AP412" i="1"/>
  <c r="W412" i="1"/>
  <c r="F412" i="1"/>
  <c r="AO412" i="1"/>
  <c r="U412" i="1"/>
  <c r="E412" i="1"/>
  <c r="AK412" i="1"/>
  <c r="T412" i="1"/>
  <c r="AJ412" i="1"/>
  <c r="S412" i="1"/>
  <c r="AI412" i="1"/>
  <c r="R412" i="1"/>
  <c r="AN484" i="1"/>
  <c r="AB484" i="1"/>
  <c r="D484" i="1"/>
  <c r="AY484" i="1"/>
  <c r="AM484" i="1"/>
  <c r="AA484" i="1"/>
  <c r="O484" i="1"/>
  <c r="P484" i="1" s="1"/>
  <c r="AL484" i="1"/>
  <c r="Z484" i="1"/>
  <c r="N484" i="1"/>
  <c r="AK484" i="1"/>
  <c r="Y484" i="1"/>
  <c r="M484" i="1"/>
  <c r="AJ484" i="1"/>
  <c r="X484" i="1"/>
  <c r="AI484" i="1"/>
  <c r="W484" i="1"/>
  <c r="K484" i="1"/>
  <c r="L484" i="1" s="1"/>
  <c r="AH484" i="1"/>
  <c r="V484" i="1"/>
  <c r="J484" i="1"/>
  <c r="AS484" i="1"/>
  <c r="AG484" i="1"/>
  <c r="U484" i="1"/>
  <c r="I484" i="1"/>
  <c r="AR484" i="1"/>
  <c r="AF484" i="1"/>
  <c r="T484" i="1"/>
  <c r="H484" i="1"/>
  <c r="AT484" i="1" s="1"/>
  <c r="AQ484" i="1"/>
  <c r="AE484" i="1"/>
  <c r="S484" i="1"/>
  <c r="G484" i="1"/>
  <c r="AP484" i="1"/>
  <c r="AD484" i="1"/>
  <c r="R484" i="1"/>
  <c r="F484" i="1"/>
  <c r="AO484" i="1"/>
  <c r="Q484" i="1"/>
  <c r="E484" i="1"/>
  <c r="AJ513" i="1"/>
  <c r="X513" i="1"/>
  <c r="AI513" i="1"/>
  <c r="W513" i="1"/>
  <c r="K513" i="1"/>
  <c r="L513" i="1" s="1"/>
  <c r="AH513" i="1"/>
  <c r="V513" i="1"/>
  <c r="J513" i="1"/>
  <c r="AS513" i="1"/>
  <c r="AG513" i="1"/>
  <c r="U513" i="1"/>
  <c r="I513" i="1"/>
  <c r="AR513" i="1"/>
  <c r="AF513" i="1"/>
  <c r="T513" i="1"/>
  <c r="H513" i="1"/>
  <c r="AT513" i="1" s="1"/>
  <c r="AQ513" i="1"/>
  <c r="AE513" i="1"/>
  <c r="S513" i="1"/>
  <c r="G513" i="1"/>
  <c r="AP513" i="1"/>
  <c r="AD513" i="1"/>
  <c r="R513" i="1"/>
  <c r="F513" i="1"/>
  <c r="AO513" i="1"/>
  <c r="Q513" i="1"/>
  <c r="E513" i="1"/>
  <c r="AN513" i="1"/>
  <c r="AB513" i="1"/>
  <c r="D513" i="1"/>
  <c r="AY513" i="1"/>
  <c r="AM513" i="1"/>
  <c r="AA513" i="1"/>
  <c r="O513" i="1"/>
  <c r="P513" i="1" s="1"/>
  <c r="AL513" i="1"/>
  <c r="Z513" i="1"/>
  <c r="N513" i="1"/>
  <c r="AK513" i="1"/>
  <c r="Y513" i="1"/>
  <c r="M513" i="1"/>
  <c r="AR503" i="1"/>
  <c r="AF503" i="1"/>
  <c r="T503" i="1"/>
  <c r="H503" i="1"/>
  <c r="AT503" i="1" s="1"/>
  <c r="AQ503" i="1"/>
  <c r="AE503" i="1"/>
  <c r="S503" i="1"/>
  <c r="G503" i="1"/>
  <c r="AP503" i="1"/>
  <c r="AD503" i="1"/>
  <c r="R503" i="1"/>
  <c r="F503" i="1"/>
  <c r="AO503" i="1"/>
  <c r="Q503" i="1"/>
  <c r="E503" i="1"/>
  <c r="AN503" i="1"/>
  <c r="AB503" i="1"/>
  <c r="D503" i="1"/>
  <c r="AY503" i="1"/>
  <c r="AM503" i="1"/>
  <c r="AA503" i="1"/>
  <c r="O503" i="1"/>
  <c r="P503" i="1" s="1"/>
  <c r="AL503" i="1"/>
  <c r="Z503" i="1"/>
  <c r="N503" i="1"/>
  <c r="AK503" i="1"/>
  <c r="Y503" i="1"/>
  <c r="M503" i="1"/>
  <c r="AJ503" i="1"/>
  <c r="X503" i="1"/>
  <c r="AI503" i="1"/>
  <c r="W503" i="1"/>
  <c r="K503" i="1"/>
  <c r="L503" i="1" s="1"/>
  <c r="AH503" i="1"/>
  <c r="V503" i="1"/>
  <c r="J503" i="1"/>
  <c r="AS503" i="1"/>
  <c r="AG503" i="1"/>
  <c r="U503" i="1"/>
  <c r="I503" i="1"/>
  <c r="AP522" i="1"/>
  <c r="AD522" i="1"/>
  <c r="R522" i="1"/>
  <c r="F522" i="1"/>
  <c r="AO522" i="1"/>
  <c r="Q522" i="1"/>
  <c r="E522" i="1"/>
  <c r="AN522" i="1"/>
  <c r="AB522" i="1"/>
  <c r="D522" i="1"/>
  <c r="AY522" i="1"/>
  <c r="AM522" i="1"/>
  <c r="AA522" i="1"/>
  <c r="O522" i="1"/>
  <c r="P522" i="1" s="1"/>
  <c r="AL522" i="1"/>
  <c r="Z522" i="1"/>
  <c r="N522" i="1"/>
  <c r="AK522" i="1"/>
  <c r="Y522" i="1"/>
  <c r="M522" i="1"/>
  <c r="AJ522" i="1"/>
  <c r="X522" i="1"/>
  <c r="AI522" i="1"/>
  <c r="W522" i="1"/>
  <c r="K522" i="1"/>
  <c r="L522" i="1" s="1"/>
  <c r="AH522" i="1"/>
  <c r="V522" i="1"/>
  <c r="J522" i="1"/>
  <c r="AS522" i="1"/>
  <c r="AG522" i="1"/>
  <c r="U522" i="1"/>
  <c r="I522" i="1"/>
  <c r="AR522" i="1"/>
  <c r="AF522" i="1"/>
  <c r="T522" i="1"/>
  <c r="H522" i="1"/>
  <c r="AT522" i="1" s="1"/>
  <c r="AQ522" i="1"/>
  <c r="AE522" i="1"/>
  <c r="S522" i="1"/>
  <c r="G522" i="1"/>
  <c r="AL559" i="1"/>
  <c r="Z559" i="1"/>
  <c r="N559" i="1"/>
  <c r="AK559" i="1"/>
  <c r="Y559" i="1"/>
  <c r="M559" i="1"/>
  <c r="AJ559" i="1"/>
  <c r="X559" i="1"/>
  <c r="AI559" i="1"/>
  <c r="W559" i="1"/>
  <c r="K559" i="1"/>
  <c r="L559" i="1" s="1"/>
  <c r="AH559" i="1"/>
  <c r="V559" i="1"/>
  <c r="J559" i="1"/>
  <c r="AS559" i="1"/>
  <c r="AG559" i="1"/>
  <c r="U559" i="1"/>
  <c r="I559" i="1"/>
  <c r="AR559" i="1"/>
  <c r="AF559" i="1"/>
  <c r="T559" i="1"/>
  <c r="H559" i="1"/>
  <c r="AT559" i="1" s="1"/>
  <c r="AQ559" i="1"/>
  <c r="AE559" i="1"/>
  <c r="S559" i="1"/>
  <c r="G559" i="1"/>
  <c r="AP559" i="1"/>
  <c r="AD559" i="1"/>
  <c r="R559" i="1"/>
  <c r="F559" i="1"/>
  <c r="AO559" i="1"/>
  <c r="Q559" i="1"/>
  <c r="E559" i="1"/>
  <c r="AN559" i="1"/>
  <c r="AB559" i="1"/>
  <c r="D559" i="1"/>
  <c r="AY559" i="1"/>
  <c r="AM559" i="1"/>
  <c r="AA559" i="1"/>
  <c r="O559" i="1"/>
  <c r="P559" i="1" s="1"/>
  <c r="AH537" i="1"/>
  <c r="V537" i="1"/>
  <c r="J537" i="1"/>
  <c r="AS537" i="1"/>
  <c r="AG537" i="1"/>
  <c r="U537" i="1"/>
  <c r="I537" i="1"/>
  <c r="AN537" i="1"/>
  <c r="AB537" i="1"/>
  <c r="D537" i="1"/>
  <c r="AY537" i="1"/>
  <c r="AM537" i="1"/>
  <c r="AA537" i="1"/>
  <c r="O537" i="1"/>
  <c r="P537" i="1" s="1"/>
  <c r="AE537" i="1"/>
  <c r="M537" i="1"/>
  <c r="AD537" i="1"/>
  <c r="K537" i="1"/>
  <c r="L537" i="1" s="1"/>
  <c r="AR537" i="1"/>
  <c r="Z537" i="1"/>
  <c r="H537" i="1"/>
  <c r="AT537" i="1" s="1"/>
  <c r="AQ537" i="1"/>
  <c r="Y537" i="1"/>
  <c r="G537" i="1"/>
  <c r="AP537" i="1"/>
  <c r="X537" i="1"/>
  <c r="F537" i="1"/>
  <c r="AO537" i="1"/>
  <c r="W537" i="1"/>
  <c r="E537" i="1"/>
  <c r="AL537" i="1"/>
  <c r="T537" i="1"/>
  <c r="AK537" i="1"/>
  <c r="S537" i="1"/>
  <c r="AJ537" i="1"/>
  <c r="R537" i="1"/>
  <c r="AI537" i="1"/>
  <c r="Q537" i="1"/>
  <c r="AF537" i="1"/>
  <c r="N537" i="1"/>
  <c r="AR574" i="1"/>
  <c r="AF574" i="1"/>
  <c r="T574" i="1"/>
  <c r="H574" i="1"/>
  <c r="AT574" i="1" s="1"/>
  <c r="AQ574" i="1"/>
  <c r="AE574" i="1"/>
  <c r="S574" i="1"/>
  <c r="G574" i="1"/>
  <c r="AP574" i="1"/>
  <c r="AD574" i="1"/>
  <c r="R574" i="1"/>
  <c r="F574" i="1"/>
  <c r="AO574" i="1"/>
  <c r="Q574" i="1"/>
  <c r="E574" i="1"/>
  <c r="AN574" i="1"/>
  <c r="AB574" i="1"/>
  <c r="D574" i="1"/>
  <c r="AY574" i="1"/>
  <c r="AM574" i="1"/>
  <c r="AA574" i="1"/>
  <c r="O574" i="1"/>
  <c r="P574" i="1" s="1"/>
  <c r="AL574" i="1"/>
  <c r="Z574" i="1"/>
  <c r="N574" i="1"/>
  <c r="AK574" i="1"/>
  <c r="Y574" i="1"/>
  <c r="M574" i="1"/>
  <c r="AJ574" i="1"/>
  <c r="X574" i="1"/>
  <c r="AI574" i="1"/>
  <c r="W574" i="1"/>
  <c r="K574" i="1"/>
  <c r="L574" i="1" s="1"/>
  <c r="AH574" i="1"/>
  <c r="V574" i="1"/>
  <c r="J574" i="1"/>
  <c r="AS574" i="1"/>
  <c r="AG574" i="1"/>
  <c r="U574" i="1"/>
  <c r="I574" i="1"/>
  <c r="AN546" i="1"/>
  <c r="AB546" i="1"/>
  <c r="D546" i="1"/>
  <c r="AY546" i="1"/>
  <c r="AM546" i="1"/>
  <c r="AA546" i="1"/>
  <c r="O546" i="1"/>
  <c r="P546" i="1" s="1"/>
  <c r="AL546" i="1"/>
  <c r="Z546" i="1"/>
  <c r="N546" i="1"/>
  <c r="AK546" i="1"/>
  <c r="Y546" i="1"/>
  <c r="M546" i="1"/>
  <c r="AJ546" i="1"/>
  <c r="X546" i="1"/>
  <c r="AI546" i="1"/>
  <c r="W546" i="1"/>
  <c r="K546" i="1"/>
  <c r="L546" i="1" s="1"/>
  <c r="AH546" i="1"/>
  <c r="V546" i="1"/>
  <c r="J546" i="1"/>
  <c r="AS546" i="1"/>
  <c r="AG546" i="1"/>
  <c r="U546" i="1"/>
  <c r="I546" i="1"/>
  <c r="AR546" i="1"/>
  <c r="AF546" i="1"/>
  <c r="T546" i="1"/>
  <c r="H546" i="1"/>
  <c r="AT546" i="1" s="1"/>
  <c r="AQ546" i="1"/>
  <c r="AE546" i="1"/>
  <c r="S546" i="1"/>
  <c r="G546" i="1"/>
  <c r="AP546" i="1"/>
  <c r="AD546" i="1"/>
  <c r="R546" i="1"/>
  <c r="F546" i="1"/>
  <c r="AO546" i="1"/>
  <c r="Q546" i="1"/>
  <c r="E546" i="1"/>
  <c r="AK621" i="1"/>
  <c r="Y621" i="1"/>
  <c r="M621" i="1"/>
  <c r="AJ621" i="1"/>
  <c r="X621" i="1"/>
  <c r="AI621" i="1"/>
  <c r="W621" i="1"/>
  <c r="K621" i="1"/>
  <c r="L621" i="1" s="1"/>
  <c r="AH621" i="1"/>
  <c r="V621" i="1"/>
  <c r="J621" i="1"/>
  <c r="AS621" i="1"/>
  <c r="AG621" i="1"/>
  <c r="U621" i="1"/>
  <c r="I621" i="1"/>
  <c r="AR621" i="1"/>
  <c r="AF621" i="1"/>
  <c r="T621" i="1"/>
  <c r="H621" i="1"/>
  <c r="AT621" i="1" s="1"/>
  <c r="AQ621" i="1"/>
  <c r="AE621" i="1"/>
  <c r="S621" i="1"/>
  <c r="G621" i="1"/>
  <c r="AP621" i="1"/>
  <c r="AD621" i="1"/>
  <c r="R621" i="1"/>
  <c r="F621" i="1"/>
  <c r="AO621" i="1"/>
  <c r="Q621" i="1"/>
  <c r="E621" i="1"/>
  <c r="AN621" i="1"/>
  <c r="AB621" i="1"/>
  <c r="D621" i="1"/>
  <c r="AY621" i="1"/>
  <c r="AM621" i="1"/>
  <c r="AA621" i="1"/>
  <c r="O621" i="1"/>
  <c r="P621" i="1" s="1"/>
  <c r="AL621" i="1"/>
  <c r="Z621" i="1"/>
  <c r="N621" i="1"/>
  <c r="AS587" i="1"/>
  <c r="AG587" i="1"/>
  <c r="U587" i="1"/>
  <c r="I587" i="1"/>
  <c r="AR587" i="1"/>
  <c r="AF587" i="1"/>
  <c r="T587" i="1"/>
  <c r="H587" i="1"/>
  <c r="AT587" i="1" s="1"/>
  <c r="AQ587" i="1"/>
  <c r="AE587" i="1"/>
  <c r="S587" i="1"/>
  <c r="G587" i="1"/>
  <c r="AP587" i="1"/>
  <c r="AD587" i="1"/>
  <c r="R587" i="1"/>
  <c r="F587" i="1"/>
  <c r="AY587" i="1"/>
  <c r="AM587" i="1"/>
  <c r="AA587" i="1"/>
  <c r="O587" i="1"/>
  <c r="P587" i="1" s="1"/>
  <c r="AL587" i="1"/>
  <c r="Z587" i="1"/>
  <c r="N587" i="1"/>
  <c r="AO587" i="1"/>
  <c r="Q587" i="1"/>
  <c r="AN587" i="1"/>
  <c r="AK587" i="1"/>
  <c r="M587" i="1"/>
  <c r="AJ587" i="1"/>
  <c r="AI587" i="1"/>
  <c r="K587" i="1"/>
  <c r="L587" i="1" s="1"/>
  <c r="AH587" i="1"/>
  <c r="J587" i="1"/>
  <c r="E587" i="1"/>
  <c r="AB587" i="1"/>
  <c r="D587" i="1"/>
  <c r="Y587" i="1"/>
  <c r="X587" i="1"/>
  <c r="W587" i="1"/>
  <c r="V587" i="1"/>
  <c r="AQ612" i="1"/>
  <c r="AE612" i="1"/>
  <c r="S612" i="1"/>
  <c r="G612" i="1"/>
  <c r="AP612" i="1"/>
  <c r="AD612" i="1"/>
  <c r="R612" i="1"/>
  <c r="F612" i="1"/>
  <c r="AO612" i="1"/>
  <c r="Q612" i="1"/>
  <c r="E612" i="1"/>
  <c r="AN612" i="1"/>
  <c r="AB612" i="1"/>
  <c r="D612" i="1"/>
  <c r="AY612" i="1"/>
  <c r="AM612" i="1"/>
  <c r="AA612" i="1"/>
  <c r="O612" i="1"/>
  <c r="P612" i="1" s="1"/>
  <c r="AL612" i="1"/>
  <c r="Z612" i="1"/>
  <c r="N612" i="1"/>
  <c r="AK612" i="1"/>
  <c r="Y612" i="1"/>
  <c r="M612" i="1"/>
  <c r="AJ612" i="1"/>
  <c r="X612" i="1"/>
  <c r="AI612" i="1"/>
  <c r="W612" i="1"/>
  <c r="K612" i="1"/>
  <c r="L612" i="1" s="1"/>
  <c r="AH612" i="1"/>
  <c r="V612" i="1"/>
  <c r="J612" i="1"/>
  <c r="AS612" i="1"/>
  <c r="AG612" i="1"/>
  <c r="U612" i="1"/>
  <c r="I612" i="1"/>
  <c r="AR612" i="1"/>
  <c r="AF612" i="1"/>
  <c r="T612" i="1"/>
  <c r="H612" i="1"/>
  <c r="AT612" i="1" s="1"/>
  <c r="AY596" i="1"/>
  <c r="AM596" i="1"/>
  <c r="AA596" i="1"/>
  <c r="O596" i="1"/>
  <c r="P596" i="1" s="1"/>
  <c r="AL596" i="1"/>
  <c r="Z596" i="1"/>
  <c r="N596" i="1"/>
  <c r="AK596" i="1"/>
  <c r="Y596" i="1"/>
  <c r="M596" i="1"/>
  <c r="AJ596" i="1"/>
  <c r="X596" i="1"/>
  <c r="AI596" i="1"/>
  <c r="W596" i="1"/>
  <c r="K596" i="1"/>
  <c r="L596" i="1" s="1"/>
  <c r="AH596" i="1"/>
  <c r="V596" i="1"/>
  <c r="J596" i="1"/>
  <c r="AS596" i="1"/>
  <c r="AG596" i="1"/>
  <c r="U596" i="1"/>
  <c r="I596" i="1"/>
  <c r="AR596" i="1"/>
  <c r="AF596" i="1"/>
  <c r="T596" i="1"/>
  <c r="H596" i="1"/>
  <c r="AT596" i="1" s="1"/>
  <c r="AQ596" i="1"/>
  <c r="AE596" i="1"/>
  <c r="S596" i="1"/>
  <c r="G596" i="1"/>
  <c r="AP596" i="1"/>
  <c r="AD596" i="1"/>
  <c r="R596" i="1"/>
  <c r="F596" i="1"/>
  <c r="AO596" i="1"/>
  <c r="Q596" i="1"/>
  <c r="E596" i="1"/>
  <c r="AN596" i="1"/>
  <c r="AB596" i="1"/>
  <c r="D596" i="1"/>
  <c r="AJ642" i="1"/>
  <c r="X642" i="1"/>
  <c r="AI642" i="1"/>
  <c r="W642" i="1"/>
  <c r="K642" i="1"/>
  <c r="L642" i="1" s="1"/>
  <c r="AH642" i="1"/>
  <c r="V642" i="1"/>
  <c r="J642" i="1"/>
  <c r="AS642" i="1"/>
  <c r="AG642" i="1"/>
  <c r="U642" i="1"/>
  <c r="I642" i="1"/>
  <c r="AR642" i="1"/>
  <c r="AF642" i="1"/>
  <c r="T642" i="1"/>
  <c r="H642" i="1"/>
  <c r="AT642" i="1" s="1"/>
  <c r="AQ642" i="1"/>
  <c r="AE642" i="1"/>
  <c r="S642" i="1"/>
  <c r="G642" i="1"/>
  <c r="AP642" i="1"/>
  <c r="AD642" i="1"/>
  <c r="R642" i="1"/>
  <c r="F642" i="1"/>
  <c r="AO642" i="1"/>
  <c r="Q642" i="1"/>
  <c r="E642" i="1"/>
  <c r="AN642" i="1"/>
  <c r="AB642" i="1"/>
  <c r="D642" i="1"/>
  <c r="AY642" i="1"/>
  <c r="AM642" i="1"/>
  <c r="AA642" i="1"/>
  <c r="O642" i="1"/>
  <c r="P642" i="1" s="1"/>
  <c r="AL642" i="1"/>
  <c r="Z642" i="1"/>
  <c r="N642" i="1"/>
  <c r="AK642" i="1"/>
  <c r="Y642" i="1"/>
  <c r="M642" i="1"/>
  <c r="AR650" i="1"/>
  <c r="AF650" i="1"/>
  <c r="T650" i="1"/>
  <c r="H650" i="1"/>
  <c r="AT650" i="1" s="1"/>
  <c r="AQ650" i="1"/>
  <c r="AE650" i="1"/>
  <c r="S650" i="1"/>
  <c r="G650" i="1"/>
  <c r="AP650" i="1"/>
  <c r="AD650" i="1"/>
  <c r="R650" i="1"/>
  <c r="F650" i="1"/>
  <c r="AO650" i="1"/>
  <c r="Q650" i="1"/>
  <c r="E650" i="1"/>
  <c r="AN650" i="1"/>
  <c r="AB650" i="1"/>
  <c r="D650" i="1"/>
  <c r="AY650" i="1"/>
  <c r="AM650" i="1"/>
  <c r="AA650" i="1"/>
  <c r="O650" i="1"/>
  <c r="P650" i="1" s="1"/>
  <c r="AL650" i="1"/>
  <c r="Z650" i="1"/>
  <c r="N650" i="1"/>
  <c r="AK650" i="1"/>
  <c r="Y650" i="1"/>
  <c r="M650" i="1"/>
  <c r="AJ650" i="1"/>
  <c r="X650" i="1"/>
  <c r="AI650" i="1"/>
  <c r="W650" i="1"/>
  <c r="K650" i="1"/>
  <c r="L650" i="1" s="1"/>
  <c r="AH650" i="1"/>
  <c r="V650" i="1"/>
  <c r="J650" i="1"/>
  <c r="AS650" i="1"/>
  <c r="AG650" i="1"/>
  <c r="U650" i="1"/>
  <c r="I650" i="1"/>
  <c r="AN640" i="1"/>
  <c r="AB640" i="1"/>
  <c r="D640" i="1"/>
  <c r="AY640" i="1"/>
  <c r="AM640" i="1"/>
  <c r="AA640" i="1"/>
  <c r="O640" i="1"/>
  <c r="P640" i="1" s="1"/>
  <c r="AL640" i="1"/>
  <c r="Z640" i="1"/>
  <c r="N640" i="1"/>
  <c r="AK640" i="1"/>
  <c r="Y640" i="1"/>
  <c r="M640" i="1"/>
  <c r="AJ640" i="1"/>
  <c r="X640" i="1"/>
  <c r="AI640" i="1"/>
  <c r="W640" i="1"/>
  <c r="K640" i="1"/>
  <c r="L640" i="1" s="1"/>
  <c r="AH640" i="1"/>
  <c r="V640" i="1"/>
  <c r="J640" i="1"/>
  <c r="AS640" i="1"/>
  <c r="AG640" i="1"/>
  <c r="U640" i="1"/>
  <c r="I640" i="1"/>
  <c r="AR640" i="1"/>
  <c r="AF640" i="1"/>
  <c r="T640" i="1"/>
  <c r="H640" i="1"/>
  <c r="AT640" i="1" s="1"/>
  <c r="AQ640" i="1"/>
  <c r="AE640" i="1"/>
  <c r="S640" i="1"/>
  <c r="G640" i="1"/>
  <c r="AP640" i="1"/>
  <c r="AD640" i="1"/>
  <c r="R640" i="1"/>
  <c r="F640" i="1"/>
  <c r="AO640" i="1"/>
  <c r="Q640" i="1"/>
  <c r="E640" i="1"/>
  <c r="AI671" i="1"/>
  <c r="W671" i="1"/>
  <c r="K671" i="1"/>
  <c r="L671" i="1" s="1"/>
  <c r="AH671" i="1"/>
  <c r="V671" i="1"/>
  <c r="J671" i="1"/>
  <c r="AS671" i="1"/>
  <c r="AG671" i="1"/>
  <c r="U671" i="1"/>
  <c r="I671" i="1"/>
  <c r="AR671" i="1"/>
  <c r="AF671" i="1"/>
  <c r="T671" i="1"/>
  <c r="H671" i="1"/>
  <c r="AT671" i="1" s="1"/>
  <c r="AQ671" i="1"/>
  <c r="AE671" i="1"/>
  <c r="S671" i="1"/>
  <c r="G671" i="1"/>
  <c r="AP671" i="1"/>
  <c r="AD671" i="1"/>
  <c r="R671" i="1"/>
  <c r="F671" i="1"/>
  <c r="AO671" i="1"/>
  <c r="Q671" i="1"/>
  <c r="E671" i="1"/>
  <c r="AN671" i="1"/>
  <c r="AB671" i="1"/>
  <c r="D671" i="1"/>
  <c r="AY671" i="1"/>
  <c r="AM671" i="1"/>
  <c r="AA671" i="1"/>
  <c r="O671" i="1"/>
  <c r="P671" i="1" s="1"/>
  <c r="AL671" i="1"/>
  <c r="Z671" i="1"/>
  <c r="N671" i="1"/>
  <c r="AK671" i="1"/>
  <c r="Y671" i="1"/>
  <c r="M671" i="1"/>
  <c r="AJ671" i="1"/>
  <c r="X671" i="1"/>
  <c r="AS690" i="1"/>
  <c r="AG690" i="1"/>
  <c r="U690" i="1"/>
  <c r="I690" i="1"/>
  <c r="AR690" i="1"/>
  <c r="AF690" i="1"/>
  <c r="T690" i="1"/>
  <c r="H690" i="1"/>
  <c r="AT690" i="1" s="1"/>
  <c r="AQ690" i="1"/>
  <c r="AE690" i="1"/>
  <c r="S690" i="1"/>
  <c r="G690" i="1"/>
  <c r="AP690" i="1"/>
  <c r="AD690" i="1"/>
  <c r="R690" i="1"/>
  <c r="F690" i="1"/>
  <c r="AO690" i="1"/>
  <c r="Q690" i="1"/>
  <c r="E690" i="1"/>
  <c r="AN690" i="1"/>
  <c r="AB690" i="1"/>
  <c r="D690" i="1"/>
  <c r="AY690" i="1"/>
  <c r="AM690" i="1"/>
  <c r="AA690" i="1"/>
  <c r="O690" i="1"/>
  <c r="P690" i="1" s="1"/>
  <c r="AL690" i="1"/>
  <c r="Z690" i="1"/>
  <c r="N690" i="1"/>
  <c r="AK690" i="1"/>
  <c r="Y690" i="1"/>
  <c r="M690" i="1"/>
  <c r="AJ690" i="1"/>
  <c r="X690" i="1"/>
  <c r="AI690" i="1"/>
  <c r="W690" i="1"/>
  <c r="K690" i="1"/>
  <c r="L690" i="1" s="1"/>
  <c r="AH690" i="1"/>
  <c r="V690" i="1"/>
  <c r="J690" i="1"/>
  <c r="AS716" i="1"/>
  <c r="AG716" i="1"/>
  <c r="U716" i="1"/>
  <c r="I716" i="1"/>
  <c r="AR716" i="1"/>
  <c r="AF716" i="1"/>
  <c r="T716" i="1"/>
  <c r="H716" i="1"/>
  <c r="AT716" i="1" s="1"/>
  <c r="AQ716" i="1"/>
  <c r="AE716" i="1"/>
  <c r="S716" i="1"/>
  <c r="G716" i="1"/>
  <c r="AP716" i="1"/>
  <c r="AD716" i="1"/>
  <c r="R716" i="1"/>
  <c r="F716" i="1"/>
  <c r="AO716" i="1"/>
  <c r="Q716" i="1"/>
  <c r="E716" i="1"/>
  <c r="AN716" i="1"/>
  <c r="AB716" i="1"/>
  <c r="D716" i="1"/>
  <c r="AY716" i="1"/>
  <c r="AM716" i="1"/>
  <c r="AL716" i="1"/>
  <c r="Z716" i="1"/>
  <c r="N716" i="1"/>
  <c r="AH716" i="1"/>
  <c r="M716" i="1"/>
  <c r="AK716" i="1"/>
  <c r="K716" i="1"/>
  <c r="L716" i="1" s="1"/>
  <c r="AJ716" i="1"/>
  <c r="J716" i="1"/>
  <c r="AI716" i="1"/>
  <c r="AA716" i="1"/>
  <c r="Y716" i="1"/>
  <c r="X716" i="1"/>
  <c r="W716" i="1"/>
  <c r="V716" i="1"/>
  <c r="O716" i="1"/>
  <c r="P716" i="1" s="1"/>
  <c r="AY681" i="1"/>
  <c r="AM681" i="1"/>
  <c r="AA681" i="1"/>
  <c r="O681" i="1"/>
  <c r="P681" i="1" s="1"/>
  <c r="AL681" i="1"/>
  <c r="Z681" i="1"/>
  <c r="N681" i="1"/>
  <c r="AK681" i="1"/>
  <c r="Y681" i="1"/>
  <c r="M681" i="1"/>
  <c r="AJ681" i="1"/>
  <c r="X681" i="1"/>
  <c r="AI681" i="1"/>
  <c r="W681" i="1"/>
  <c r="K681" i="1"/>
  <c r="L681" i="1" s="1"/>
  <c r="AH681" i="1"/>
  <c r="V681" i="1"/>
  <c r="J681" i="1"/>
  <c r="AS681" i="1"/>
  <c r="AG681" i="1"/>
  <c r="U681" i="1"/>
  <c r="I681" i="1"/>
  <c r="AR681" i="1"/>
  <c r="AF681" i="1"/>
  <c r="T681" i="1"/>
  <c r="H681" i="1"/>
  <c r="AT681" i="1" s="1"/>
  <c r="AQ681" i="1"/>
  <c r="AE681" i="1"/>
  <c r="S681" i="1"/>
  <c r="G681" i="1"/>
  <c r="AP681" i="1"/>
  <c r="AD681" i="1"/>
  <c r="R681" i="1"/>
  <c r="F681" i="1"/>
  <c r="AO681" i="1"/>
  <c r="Q681" i="1"/>
  <c r="E681" i="1"/>
  <c r="AN681" i="1"/>
  <c r="AB681" i="1"/>
  <c r="D681" i="1"/>
  <c r="AQ759" i="1"/>
  <c r="AE759" i="1"/>
  <c r="S759" i="1"/>
  <c r="G759" i="1"/>
  <c r="AP759" i="1"/>
  <c r="AD759" i="1"/>
  <c r="R759" i="1"/>
  <c r="F759" i="1"/>
  <c r="AO759" i="1"/>
  <c r="Q759" i="1"/>
  <c r="E759" i="1"/>
  <c r="AN759" i="1"/>
  <c r="AB759" i="1"/>
  <c r="D759" i="1"/>
  <c r="AY759" i="1"/>
  <c r="AM759" i="1"/>
  <c r="AL759" i="1"/>
  <c r="Z759" i="1"/>
  <c r="AJ759" i="1"/>
  <c r="X759" i="1"/>
  <c r="V759" i="1"/>
  <c r="AS759" i="1"/>
  <c r="U759" i="1"/>
  <c r="AR759" i="1"/>
  <c r="T759" i="1"/>
  <c r="AK759" i="1"/>
  <c r="O759" i="1"/>
  <c r="P759" i="1" s="1"/>
  <c r="AI759" i="1"/>
  <c r="N759" i="1"/>
  <c r="AH759" i="1"/>
  <c r="M759" i="1"/>
  <c r="AG759" i="1"/>
  <c r="K759" i="1"/>
  <c r="L759" i="1" s="1"/>
  <c r="AF759" i="1"/>
  <c r="J759" i="1"/>
  <c r="I759" i="1"/>
  <c r="AA759" i="1"/>
  <c r="H759" i="1"/>
  <c r="AT759" i="1" s="1"/>
  <c r="Y759" i="1"/>
  <c r="W759" i="1"/>
  <c r="AS740" i="1"/>
  <c r="AG740" i="1"/>
  <c r="U740" i="1"/>
  <c r="I740" i="1"/>
  <c r="AR740" i="1"/>
  <c r="AF740" i="1"/>
  <c r="T740" i="1"/>
  <c r="H740" i="1"/>
  <c r="AT740" i="1" s="1"/>
  <c r="AQ740" i="1"/>
  <c r="AE740" i="1"/>
  <c r="S740" i="1"/>
  <c r="G740" i="1"/>
  <c r="AP740" i="1"/>
  <c r="AD740" i="1"/>
  <c r="R740" i="1"/>
  <c r="F740" i="1"/>
  <c r="AO740" i="1"/>
  <c r="Q740" i="1"/>
  <c r="E740" i="1"/>
  <c r="AN740" i="1"/>
  <c r="AB740" i="1"/>
  <c r="D740" i="1"/>
  <c r="AY740" i="1"/>
  <c r="AM740" i="1"/>
  <c r="AA740" i="1"/>
  <c r="O740" i="1"/>
  <c r="P740" i="1" s="1"/>
  <c r="AL740" i="1"/>
  <c r="Z740" i="1"/>
  <c r="N740" i="1"/>
  <c r="AK740" i="1"/>
  <c r="Y740" i="1"/>
  <c r="M740" i="1"/>
  <c r="AJ740" i="1"/>
  <c r="X740" i="1"/>
  <c r="AI740" i="1"/>
  <c r="W740" i="1"/>
  <c r="K740" i="1"/>
  <c r="L740" i="1" s="1"/>
  <c r="AH740" i="1"/>
  <c r="V740" i="1"/>
  <c r="J740" i="1"/>
  <c r="AO718" i="1"/>
  <c r="Q718" i="1"/>
  <c r="E718" i="1"/>
  <c r="AN718" i="1"/>
  <c r="AB718" i="1"/>
  <c r="D718" i="1"/>
  <c r="AY718" i="1"/>
  <c r="AM718" i="1"/>
  <c r="AA718" i="1"/>
  <c r="O718" i="1"/>
  <c r="P718" i="1" s="1"/>
  <c r="AL718" i="1"/>
  <c r="Z718" i="1"/>
  <c r="N718" i="1"/>
  <c r="AK718" i="1"/>
  <c r="Y718" i="1"/>
  <c r="M718" i="1"/>
  <c r="AJ718" i="1"/>
  <c r="X718" i="1"/>
  <c r="AI718" i="1"/>
  <c r="W718" i="1"/>
  <c r="K718" i="1"/>
  <c r="L718" i="1" s="1"/>
  <c r="AH718" i="1"/>
  <c r="V718" i="1"/>
  <c r="J718" i="1"/>
  <c r="AS718" i="1"/>
  <c r="AG718" i="1"/>
  <c r="U718" i="1"/>
  <c r="I718" i="1"/>
  <c r="AR718" i="1"/>
  <c r="AF718" i="1"/>
  <c r="T718" i="1"/>
  <c r="H718" i="1"/>
  <c r="AT718" i="1" s="1"/>
  <c r="AQ718" i="1"/>
  <c r="AE718" i="1"/>
  <c r="S718" i="1"/>
  <c r="AP718" i="1"/>
  <c r="AD718" i="1"/>
  <c r="R718" i="1"/>
  <c r="F718" i="1"/>
  <c r="G718" i="1"/>
  <c r="AY749" i="1"/>
  <c r="AM749" i="1"/>
  <c r="AA749" i="1"/>
  <c r="O749" i="1"/>
  <c r="P749" i="1" s="1"/>
  <c r="AL749" i="1"/>
  <c r="Z749" i="1"/>
  <c r="N749" i="1"/>
  <c r="AK749" i="1"/>
  <c r="Y749" i="1"/>
  <c r="M749" i="1"/>
  <c r="AJ749" i="1"/>
  <c r="X749" i="1"/>
  <c r="AI749" i="1"/>
  <c r="W749" i="1"/>
  <c r="K749" i="1"/>
  <c r="L749" i="1" s="1"/>
  <c r="AH749" i="1"/>
  <c r="V749" i="1"/>
  <c r="J749" i="1"/>
  <c r="AS749" i="1"/>
  <c r="AG749" i="1"/>
  <c r="U749" i="1"/>
  <c r="I749" i="1"/>
  <c r="AR749" i="1"/>
  <c r="AF749" i="1"/>
  <c r="T749" i="1"/>
  <c r="H749" i="1"/>
  <c r="AT749" i="1" s="1"/>
  <c r="AQ749" i="1"/>
  <c r="AE749" i="1"/>
  <c r="S749" i="1"/>
  <c r="G749" i="1"/>
  <c r="AP749" i="1"/>
  <c r="AD749" i="1"/>
  <c r="R749" i="1"/>
  <c r="F749" i="1"/>
  <c r="AO749" i="1"/>
  <c r="Q749" i="1"/>
  <c r="E749" i="1"/>
  <c r="AN749" i="1"/>
  <c r="AB749" i="1"/>
  <c r="D749" i="1"/>
  <c r="AI781" i="1"/>
  <c r="W781" i="1"/>
  <c r="K781" i="1"/>
  <c r="L781" i="1" s="1"/>
  <c r="AH781" i="1"/>
  <c r="V781" i="1"/>
  <c r="J781" i="1"/>
  <c r="AS781" i="1"/>
  <c r="AG781" i="1"/>
  <c r="U781" i="1"/>
  <c r="I781" i="1"/>
  <c r="AR781" i="1"/>
  <c r="AF781" i="1"/>
  <c r="T781" i="1"/>
  <c r="H781" i="1"/>
  <c r="AT781" i="1" s="1"/>
  <c r="AQ781" i="1"/>
  <c r="AE781" i="1"/>
  <c r="S781" i="1"/>
  <c r="G781" i="1"/>
  <c r="AP781" i="1"/>
  <c r="AD781" i="1"/>
  <c r="R781" i="1"/>
  <c r="F781" i="1"/>
  <c r="AO781" i="1"/>
  <c r="Q781" i="1"/>
  <c r="E781" i="1"/>
  <c r="AN781" i="1"/>
  <c r="AB781" i="1"/>
  <c r="D781" i="1"/>
  <c r="AY781" i="1"/>
  <c r="AM781" i="1"/>
  <c r="AA781" i="1"/>
  <c r="O781" i="1"/>
  <c r="P781" i="1" s="1"/>
  <c r="AL781" i="1"/>
  <c r="Z781" i="1"/>
  <c r="N781" i="1"/>
  <c r="AK781" i="1"/>
  <c r="Y781" i="1"/>
  <c r="M781" i="1"/>
  <c r="AJ781" i="1"/>
  <c r="X781" i="1"/>
  <c r="AQ771" i="1"/>
  <c r="AE771" i="1"/>
  <c r="S771" i="1"/>
  <c r="G771" i="1"/>
  <c r="AP771" i="1"/>
  <c r="AD771" i="1"/>
  <c r="R771" i="1"/>
  <c r="F771" i="1"/>
  <c r="AO771" i="1"/>
  <c r="Q771" i="1"/>
  <c r="E771" i="1"/>
  <c r="AN771" i="1"/>
  <c r="AB771" i="1"/>
  <c r="D771" i="1"/>
  <c r="AY771" i="1"/>
  <c r="AM771" i="1"/>
  <c r="AA771" i="1"/>
  <c r="O771" i="1"/>
  <c r="P771" i="1" s="1"/>
  <c r="AL771" i="1"/>
  <c r="Z771" i="1"/>
  <c r="N771" i="1"/>
  <c r="AK771" i="1"/>
  <c r="Y771" i="1"/>
  <c r="M771" i="1"/>
  <c r="AJ771" i="1"/>
  <c r="X771" i="1"/>
  <c r="AI771" i="1"/>
  <c r="W771" i="1"/>
  <c r="K771" i="1"/>
  <c r="L771" i="1" s="1"/>
  <c r="AH771" i="1"/>
  <c r="V771" i="1"/>
  <c r="J771" i="1"/>
  <c r="AS771" i="1"/>
  <c r="AG771" i="1"/>
  <c r="U771" i="1"/>
  <c r="I771" i="1"/>
  <c r="AR771" i="1"/>
  <c r="AF771" i="1"/>
  <c r="T771" i="1"/>
  <c r="H771" i="1"/>
  <c r="AT771" i="1" s="1"/>
  <c r="AO790" i="1"/>
  <c r="Q790" i="1"/>
  <c r="E790" i="1"/>
  <c r="AN790" i="1"/>
  <c r="AB790" i="1"/>
  <c r="D790" i="1"/>
  <c r="AY790" i="1"/>
  <c r="AM790" i="1"/>
  <c r="AA790" i="1"/>
  <c r="O790" i="1"/>
  <c r="P790" i="1" s="1"/>
  <c r="AL790" i="1"/>
  <c r="Z790" i="1"/>
  <c r="N790" i="1"/>
  <c r="AK790" i="1"/>
  <c r="Y790" i="1"/>
  <c r="M790" i="1"/>
  <c r="AJ790" i="1"/>
  <c r="X790" i="1"/>
  <c r="AI790" i="1"/>
  <c r="W790" i="1"/>
  <c r="K790" i="1"/>
  <c r="L790" i="1" s="1"/>
  <c r="AH790" i="1"/>
  <c r="V790" i="1"/>
  <c r="J790" i="1"/>
  <c r="AS790" i="1"/>
  <c r="AG790" i="1"/>
  <c r="U790" i="1"/>
  <c r="I790" i="1"/>
  <c r="AR790" i="1"/>
  <c r="AF790" i="1"/>
  <c r="T790" i="1"/>
  <c r="H790" i="1"/>
  <c r="AT790" i="1" s="1"/>
  <c r="AQ790" i="1"/>
  <c r="AE790" i="1"/>
  <c r="S790" i="1"/>
  <c r="G790" i="1"/>
  <c r="AP790" i="1"/>
  <c r="AD790" i="1"/>
  <c r="R790" i="1"/>
  <c r="F790" i="1"/>
  <c r="AL823" i="1"/>
  <c r="Z823" i="1"/>
  <c r="N823" i="1"/>
  <c r="AK823" i="1"/>
  <c r="Y823" i="1"/>
  <c r="M823" i="1"/>
  <c r="AJ823" i="1"/>
  <c r="X823" i="1"/>
  <c r="AI823" i="1"/>
  <c r="W823" i="1"/>
  <c r="K823" i="1"/>
  <c r="L823" i="1" s="1"/>
  <c r="AH823" i="1"/>
  <c r="V823" i="1"/>
  <c r="J823" i="1"/>
  <c r="AS823" i="1"/>
  <c r="AG823" i="1"/>
  <c r="U823" i="1"/>
  <c r="I823" i="1"/>
  <c r="AR823" i="1"/>
  <c r="AF823" i="1"/>
  <c r="T823" i="1"/>
  <c r="H823" i="1"/>
  <c r="AT823" i="1" s="1"/>
  <c r="AQ823" i="1"/>
  <c r="AE823" i="1"/>
  <c r="S823" i="1"/>
  <c r="G823" i="1"/>
  <c r="AP823" i="1"/>
  <c r="AD823" i="1"/>
  <c r="R823" i="1"/>
  <c r="F823" i="1"/>
  <c r="AO823" i="1"/>
  <c r="Q823" i="1"/>
  <c r="E823" i="1"/>
  <c r="AN823" i="1"/>
  <c r="AB823" i="1"/>
  <c r="D823" i="1"/>
  <c r="AY823" i="1"/>
  <c r="AM823" i="1"/>
  <c r="AA823" i="1"/>
  <c r="O823" i="1"/>
  <c r="P823" i="1" s="1"/>
  <c r="AH807" i="1"/>
  <c r="V807" i="1"/>
  <c r="J807" i="1"/>
  <c r="AS807" i="1"/>
  <c r="AG807" i="1"/>
  <c r="U807" i="1"/>
  <c r="I807" i="1"/>
  <c r="AR807" i="1"/>
  <c r="AF807" i="1"/>
  <c r="T807" i="1"/>
  <c r="H807" i="1"/>
  <c r="AT807" i="1" s="1"/>
  <c r="AQ807" i="1"/>
  <c r="AE807" i="1"/>
  <c r="S807" i="1"/>
  <c r="G807" i="1"/>
  <c r="AP807" i="1"/>
  <c r="AD807" i="1"/>
  <c r="R807" i="1"/>
  <c r="F807" i="1"/>
  <c r="AO807" i="1"/>
  <c r="Q807" i="1"/>
  <c r="E807" i="1"/>
  <c r="AN807" i="1"/>
  <c r="AB807" i="1"/>
  <c r="D807" i="1"/>
  <c r="AY807" i="1"/>
  <c r="AM807" i="1"/>
  <c r="AA807" i="1"/>
  <c r="O807" i="1"/>
  <c r="P807" i="1" s="1"/>
  <c r="AL807" i="1"/>
  <c r="Z807" i="1"/>
  <c r="N807" i="1"/>
  <c r="AK807" i="1"/>
  <c r="Y807" i="1"/>
  <c r="M807" i="1"/>
  <c r="AJ807" i="1"/>
  <c r="X807" i="1"/>
  <c r="AI807" i="1"/>
  <c r="W807" i="1"/>
  <c r="K807" i="1"/>
  <c r="L807" i="1" s="1"/>
  <c r="AR832" i="1"/>
  <c r="AF832" i="1"/>
  <c r="T832" i="1"/>
  <c r="H832" i="1"/>
  <c r="AT832" i="1" s="1"/>
  <c r="AQ832" i="1"/>
  <c r="AE832" i="1"/>
  <c r="S832" i="1"/>
  <c r="G832" i="1"/>
  <c r="AP832" i="1"/>
  <c r="AD832" i="1"/>
  <c r="R832" i="1"/>
  <c r="F832" i="1"/>
  <c r="AO832" i="1"/>
  <c r="Q832" i="1"/>
  <c r="E832" i="1"/>
  <c r="AN832" i="1"/>
  <c r="AB832" i="1"/>
  <c r="D832" i="1"/>
  <c r="AY832" i="1"/>
  <c r="AM832" i="1"/>
  <c r="AA832" i="1"/>
  <c r="O832" i="1"/>
  <c r="P832" i="1" s="1"/>
  <c r="AL832" i="1"/>
  <c r="Z832" i="1"/>
  <c r="N832" i="1"/>
  <c r="AK832" i="1"/>
  <c r="Y832" i="1"/>
  <c r="M832" i="1"/>
  <c r="AJ832" i="1"/>
  <c r="X832" i="1"/>
  <c r="AI832" i="1"/>
  <c r="W832" i="1"/>
  <c r="K832" i="1"/>
  <c r="L832" i="1" s="1"/>
  <c r="AH832" i="1"/>
  <c r="V832" i="1"/>
  <c r="J832" i="1"/>
  <c r="AS832" i="1"/>
  <c r="AG832" i="1"/>
  <c r="U832" i="1"/>
  <c r="I832" i="1"/>
  <c r="AN816" i="1"/>
  <c r="AB816" i="1"/>
  <c r="D816" i="1"/>
  <c r="AY816" i="1"/>
  <c r="AM816" i="1"/>
  <c r="AA816" i="1"/>
  <c r="O816" i="1"/>
  <c r="P816" i="1" s="1"/>
  <c r="AL816" i="1"/>
  <c r="Z816" i="1"/>
  <c r="N816" i="1"/>
  <c r="AK816" i="1"/>
  <c r="Y816" i="1"/>
  <c r="M816" i="1"/>
  <c r="AJ816" i="1"/>
  <c r="X816" i="1"/>
  <c r="AI816" i="1"/>
  <c r="W816" i="1"/>
  <c r="K816" i="1"/>
  <c r="L816" i="1" s="1"/>
  <c r="AH816" i="1"/>
  <c r="V816" i="1"/>
  <c r="J816" i="1"/>
  <c r="AS816" i="1"/>
  <c r="AG816" i="1"/>
  <c r="U816" i="1"/>
  <c r="I816" i="1"/>
  <c r="AR816" i="1"/>
  <c r="AF816" i="1"/>
  <c r="T816" i="1"/>
  <c r="H816" i="1"/>
  <c r="AT816" i="1" s="1"/>
  <c r="AQ816" i="1"/>
  <c r="AE816" i="1"/>
  <c r="S816" i="1"/>
  <c r="G816" i="1"/>
  <c r="AP816" i="1"/>
  <c r="AD816" i="1"/>
  <c r="R816" i="1"/>
  <c r="F816" i="1"/>
  <c r="AO816" i="1"/>
  <c r="Q816" i="1"/>
  <c r="E816" i="1"/>
  <c r="AJ860" i="1"/>
  <c r="X860" i="1"/>
  <c r="AI860" i="1"/>
  <c r="W860" i="1"/>
  <c r="K860" i="1"/>
  <c r="L860" i="1" s="1"/>
  <c r="AH860" i="1"/>
  <c r="V860" i="1"/>
  <c r="J860" i="1"/>
  <c r="AS860" i="1"/>
  <c r="AG860" i="1"/>
  <c r="U860" i="1"/>
  <c r="I860" i="1"/>
  <c r="AR860" i="1"/>
  <c r="AF860" i="1"/>
  <c r="T860" i="1"/>
  <c r="H860" i="1"/>
  <c r="AT860" i="1" s="1"/>
  <c r="AQ860" i="1"/>
  <c r="AE860" i="1"/>
  <c r="S860" i="1"/>
  <c r="G860" i="1"/>
  <c r="AP860" i="1"/>
  <c r="AD860" i="1"/>
  <c r="R860" i="1"/>
  <c r="F860" i="1"/>
  <c r="AO860" i="1"/>
  <c r="Q860" i="1"/>
  <c r="E860" i="1"/>
  <c r="AN860" i="1"/>
  <c r="AB860" i="1"/>
  <c r="D860" i="1"/>
  <c r="AY860" i="1"/>
  <c r="AM860" i="1"/>
  <c r="AA860" i="1"/>
  <c r="O860" i="1"/>
  <c r="P860" i="1" s="1"/>
  <c r="AL860" i="1"/>
  <c r="Z860" i="1"/>
  <c r="N860" i="1"/>
  <c r="AK860" i="1"/>
  <c r="Y860" i="1"/>
  <c r="M860" i="1"/>
  <c r="AJ887" i="1"/>
  <c r="X887" i="1"/>
  <c r="AI887" i="1"/>
  <c r="W887" i="1"/>
  <c r="K887" i="1"/>
  <c r="L887" i="1" s="1"/>
  <c r="AH887" i="1"/>
  <c r="V887" i="1"/>
  <c r="J887" i="1"/>
  <c r="AS887" i="1"/>
  <c r="AG887" i="1"/>
  <c r="U887" i="1"/>
  <c r="I887" i="1"/>
  <c r="AR887" i="1"/>
  <c r="AF887" i="1"/>
  <c r="T887" i="1"/>
  <c r="H887" i="1"/>
  <c r="AT887" i="1" s="1"/>
  <c r="AO887" i="1"/>
  <c r="Q887" i="1"/>
  <c r="E887" i="1"/>
  <c r="AM887" i="1"/>
  <c r="AL887" i="1"/>
  <c r="O887" i="1"/>
  <c r="P887" i="1" s="1"/>
  <c r="AK887" i="1"/>
  <c r="N887" i="1"/>
  <c r="AE887" i="1"/>
  <c r="M887" i="1"/>
  <c r="AD887" i="1"/>
  <c r="G887" i="1"/>
  <c r="F887" i="1"/>
  <c r="AY887" i="1"/>
  <c r="AB887" i="1"/>
  <c r="D887" i="1"/>
  <c r="AA887" i="1"/>
  <c r="Z887" i="1"/>
  <c r="AQ887" i="1"/>
  <c r="Y887" i="1"/>
  <c r="AP887" i="1"/>
  <c r="S887" i="1"/>
  <c r="AN887" i="1"/>
  <c r="R887" i="1"/>
  <c r="AP875" i="1"/>
  <c r="AD875" i="1"/>
  <c r="R875" i="1"/>
  <c r="F875" i="1"/>
  <c r="AO875" i="1"/>
  <c r="Q875" i="1"/>
  <c r="E875" i="1"/>
  <c r="AN875" i="1"/>
  <c r="AB875" i="1"/>
  <c r="D875" i="1"/>
  <c r="AY875" i="1"/>
  <c r="AM875" i="1"/>
  <c r="AA875" i="1"/>
  <c r="O875" i="1"/>
  <c r="P875" i="1" s="1"/>
  <c r="AL875" i="1"/>
  <c r="Z875" i="1"/>
  <c r="N875" i="1"/>
  <c r="AK875" i="1"/>
  <c r="Y875" i="1"/>
  <c r="M875" i="1"/>
  <c r="AJ875" i="1"/>
  <c r="X875" i="1"/>
  <c r="AI875" i="1"/>
  <c r="W875" i="1"/>
  <c r="K875" i="1"/>
  <c r="L875" i="1" s="1"/>
  <c r="AH875" i="1"/>
  <c r="V875" i="1"/>
  <c r="J875" i="1"/>
  <c r="AS875" i="1"/>
  <c r="AG875" i="1"/>
  <c r="U875" i="1"/>
  <c r="I875" i="1"/>
  <c r="AR875" i="1"/>
  <c r="AF875" i="1"/>
  <c r="T875" i="1"/>
  <c r="H875" i="1"/>
  <c r="AT875" i="1" s="1"/>
  <c r="AQ875" i="1"/>
  <c r="AE875" i="1"/>
  <c r="S875" i="1"/>
  <c r="G875" i="1"/>
  <c r="AL898" i="1"/>
  <c r="Z898" i="1"/>
  <c r="N898" i="1"/>
  <c r="AK898" i="1"/>
  <c r="Y898" i="1"/>
  <c r="M898" i="1"/>
  <c r="AJ898" i="1"/>
  <c r="X898" i="1"/>
  <c r="AI898" i="1"/>
  <c r="W898" i="1"/>
  <c r="K898" i="1"/>
  <c r="L898" i="1" s="1"/>
  <c r="AH898" i="1"/>
  <c r="V898" i="1"/>
  <c r="J898" i="1"/>
  <c r="AS898" i="1"/>
  <c r="AG898" i="1"/>
  <c r="U898" i="1"/>
  <c r="I898" i="1"/>
  <c r="AR898" i="1"/>
  <c r="AF898" i="1"/>
  <c r="T898" i="1"/>
  <c r="H898" i="1"/>
  <c r="AT898" i="1" s="1"/>
  <c r="AQ898" i="1"/>
  <c r="AE898" i="1"/>
  <c r="S898" i="1"/>
  <c r="G898" i="1"/>
  <c r="AP898" i="1"/>
  <c r="AD898" i="1"/>
  <c r="R898" i="1"/>
  <c r="F898" i="1"/>
  <c r="AO898" i="1"/>
  <c r="Q898" i="1"/>
  <c r="E898" i="1"/>
  <c r="AN898" i="1"/>
  <c r="AB898" i="1"/>
  <c r="D898" i="1"/>
  <c r="AY898" i="1"/>
  <c r="AM898" i="1"/>
  <c r="AA898" i="1"/>
  <c r="O898" i="1"/>
  <c r="P898" i="1" s="1"/>
  <c r="AJ921" i="1"/>
  <c r="X921" i="1"/>
  <c r="AI921" i="1"/>
  <c r="W921" i="1"/>
  <c r="K921" i="1"/>
  <c r="L921" i="1" s="1"/>
  <c r="AH921" i="1"/>
  <c r="V921" i="1"/>
  <c r="J921" i="1"/>
  <c r="AS921" i="1"/>
  <c r="AG921" i="1"/>
  <c r="U921" i="1"/>
  <c r="I921" i="1"/>
  <c r="AP921" i="1"/>
  <c r="AD921" i="1"/>
  <c r="R921" i="1"/>
  <c r="AO921" i="1"/>
  <c r="Q921" i="1"/>
  <c r="E921" i="1"/>
  <c r="AK921" i="1"/>
  <c r="N921" i="1"/>
  <c r="AF921" i="1"/>
  <c r="M921" i="1"/>
  <c r="AE921" i="1"/>
  <c r="H921" i="1"/>
  <c r="AT921" i="1" s="1"/>
  <c r="G921" i="1"/>
  <c r="AY921" i="1"/>
  <c r="AB921" i="1"/>
  <c r="F921" i="1"/>
  <c r="AA921" i="1"/>
  <c r="D921" i="1"/>
  <c r="Z921" i="1"/>
  <c r="AR921" i="1"/>
  <c r="Y921" i="1"/>
  <c r="AQ921" i="1"/>
  <c r="T921" i="1"/>
  <c r="AN921" i="1"/>
  <c r="S921" i="1"/>
  <c r="AM921" i="1"/>
  <c r="AL921" i="1"/>
  <c r="O921" i="1"/>
  <c r="P921" i="1" s="1"/>
  <c r="AL920" i="1"/>
  <c r="Z920" i="1"/>
  <c r="N920" i="1"/>
  <c r="AK920" i="1"/>
  <c r="Y920" i="1"/>
  <c r="M920" i="1"/>
  <c r="AJ920" i="1"/>
  <c r="X920" i="1"/>
  <c r="AI920" i="1"/>
  <c r="W920" i="1"/>
  <c r="K920" i="1"/>
  <c r="L920" i="1" s="1"/>
  <c r="AQ920" i="1"/>
  <c r="AE920" i="1"/>
  <c r="S920" i="1"/>
  <c r="G920" i="1"/>
  <c r="AS920" i="1"/>
  <c r="AA920" i="1"/>
  <c r="E920" i="1"/>
  <c r="AR920" i="1"/>
  <c r="V920" i="1"/>
  <c r="D920" i="1"/>
  <c r="AP920" i="1"/>
  <c r="U920" i="1"/>
  <c r="AO920" i="1"/>
  <c r="T920" i="1"/>
  <c r="AN920" i="1"/>
  <c r="R920" i="1"/>
  <c r="AM920" i="1"/>
  <c r="Q920" i="1"/>
  <c r="AH920" i="1"/>
  <c r="AG920" i="1"/>
  <c r="O920" i="1"/>
  <c r="P920" i="1" s="1"/>
  <c r="AY920" i="1"/>
  <c r="AF920" i="1"/>
  <c r="J920" i="1"/>
  <c r="AD920" i="1"/>
  <c r="I920" i="1"/>
  <c r="H920" i="1"/>
  <c r="AT920" i="1" s="1"/>
  <c r="AB920" i="1"/>
  <c r="F920" i="1"/>
  <c r="AJ933" i="1"/>
  <c r="X933" i="1"/>
  <c r="AI933" i="1"/>
  <c r="W933" i="1"/>
  <c r="K933" i="1"/>
  <c r="L933" i="1" s="1"/>
  <c r="AH933" i="1"/>
  <c r="V933" i="1"/>
  <c r="J933" i="1"/>
  <c r="AS933" i="1"/>
  <c r="AG933" i="1"/>
  <c r="U933" i="1"/>
  <c r="I933" i="1"/>
  <c r="AR933" i="1"/>
  <c r="AF933" i="1"/>
  <c r="T933" i="1"/>
  <c r="H933" i="1"/>
  <c r="AT933" i="1" s="1"/>
  <c r="AQ933" i="1"/>
  <c r="AE933" i="1"/>
  <c r="S933" i="1"/>
  <c r="G933" i="1"/>
  <c r="AP933" i="1"/>
  <c r="AD933" i="1"/>
  <c r="R933" i="1"/>
  <c r="F933" i="1"/>
  <c r="AO933" i="1"/>
  <c r="Q933" i="1"/>
  <c r="E933" i="1"/>
  <c r="AN933" i="1"/>
  <c r="AB933" i="1"/>
  <c r="D933" i="1"/>
  <c r="AY933" i="1"/>
  <c r="AM933" i="1"/>
  <c r="AA933" i="1"/>
  <c r="O933" i="1"/>
  <c r="P933" i="1" s="1"/>
  <c r="AL933" i="1"/>
  <c r="Z933" i="1"/>
  <c r="N933" i="1"/>
  <c r="AK933" i="1"/>
  <c r="Y933" i="1"/>
  <c r="M933" i="1"/>
  <c r="AR923" i="1"/>
  <c r="AF923" i="1"/>
  <c r="T923" i="1"/>
  <c r="H923" i="1"/>
  <c r="AT923" i="1" s="1"/>
  <c r="AQ923" i="1"/>
  <c r="AE923" i="1"/>
  <c r="S923" i="1"/>
  <c r="G923" i="1"/>
  <c r="AP923" i="1"/>
  <c r="AD923" i="1"/>
  <c r="R923" i="1"/>
  <c r="F923" i="1"/>
  <c r="AO923" i="1"/>
  <c r="Q923" i="1"/>
  <c r="E923" i="1"/>
  <c r="AN923" i="1"/>
  <c r="AB923" i="1"/>
  <c r="D923" i="1"/>
  <c r="AY923" i="1"/>
  <c r="AM923" i="1"/>
  <c r="AA923" i="1"/>
  <c r="O923" i="1"/>
  <c r="P923" i="1" s="1"/>
  <c r="AL923" i="1"/>
  <c r="Z923" i="1"/>
  <c r="N923" i="1"/>
  <c r="AK923" i="1"/>
  <c r="Y923" i="1"/>
  <c r="M923" i="1"/>
  <c r="AH923" i="1"/>
  <c r="W923" i="1"/>
  <c r="V923" i="1"/>
  <c r="U923" i="1"/>
  <c r="K923" i="1"/>
  <c r="L923" i="1" s="1"/>
  <c r="J923" i="1"/>
  <c r="AS923" i="1"/>
  <c r="I923" i="1"/>
  <c r="AJ923" i="1"/>
  <c r="AI923" i="1"/>
  <c r="AG923" i="1"/>
  <c r="X923" i="1"/>
  <c r="AR948" i="1"/>
  <c r="AF948" i="1"/>
  <c r="T948" i="1"/>
  <c r="H948" i="1"/>
  <c r="AT948" i="1" s="1"/>
  <c r="AQ948" i="1"/>
  <c r="AE948" i="1"/>
  <c r="S948" i="1"/>
  <c r="G948" i="1"/>
  <c r="AP948" i="1"/>
  <c r="AD948" i="1"/>
  <c r="R948" i="1"/>
  <c r="F948" i="1"/>
  <c r="AO948" i="1"/>
  <c r="Q948" i="1"/>
  <c r="E948" i="1"/>
  <c r="AN948" i="1"/>
  <c r="AB948" i="1"/>
  <c r="D948" i="1"/>
  <c r="AY948" i="1"/>
  <c r="AM948" i="1"/>
  <c r="AA948" i="1"/>
  <c r="O948" i="1"/>
  <c r="P948" i="1" s="1"/>
  <c r="AL948" i="1"/>
  <c r="Z948" i="1"/>
  <c r="N948" i="1"/>
  <c r="AK948" i="1"/>
  <c r="Y948" i="1"/>
  <c r="M948" i="1"/>
  <c r="AI948" i="1"/>
  <c r="AJ948" i="1"/>
  <c r="AH948" i="1"/>
  <c r="AG948" i="1"/>
  <c r="X948" i="1"/>
  <c r="W948" i="1"/>
  <c r="V948" i="1"/>
  <c r="U948" i="1"/>
  <c r="K948" i="1"/>
  <c r="L948" i="1" s="1"/>
  <c r="J948" i="1"/>
  <c r="AS948" i="1"/>
  <c r="I948" i="1"/>
  <c r="AH947" i="1"/>
  <c r="V947" i="1"/>
  <c r="J947" i="1"/>
  <c r="AR947" i="1"/>
  <c r="AF947" i="1"/>
  <c r="T947" i="1"/>
  <c r="H947" i="1"/>
  <c r="AT947" i="1" s="1"/>
  <c r="AQ947" i="1"/>
  <c r="AE947" i="1"/>
  <c r="S947" i="1"/>
  <c r="G947" i="1"/>
  <c r="AP947" i="1"/>
  <c r="AD947" i="1"/>
  <c r="AN947" i="1"/>
  <c r="AB947" i="1"/>
  <c r="D947" i="1"/>
  <c r="AY947" i="1"/>
  <c r="AM947" i="1"/>
  <c r="AA947" i="1"/>
  <c r="O947" i="1"/>
  <c r="P947" i="1" s="1"/>
  <c r="I947" i="1"/>
  <c r="Z947" i="1"/>
  <c r="F947" i="1"/>
  <c r="Y947" i="1"/>
  <c r="E947" i="1"/>
  <c r="X947" i="1"/>
  <c r="W947" i="1"/>
  <c r="AS947" i="1"/>
  <c r="U947" i="1"/>
  <c r="AO947" i="1"/>
  <c r="R947" i="1"/>
  <c r="AL947" i="1"/>
  <c r="Q947" i="1"/>
  <c r="AK947" i="1"/>
  <c r="N947" i="1"/>
  <c r="AJ947" i="1"/>
  <c r="M947" i="1"/>
  <c r="AI947" i="1"/>
  <c r="AG947" i="1"/>
  <c r="K947" i="1"/>
  <c r="L947" i="1" s="1"/>
  <c r="AP955" i="1"/>
  <c r="AD955" i="1"/>
  <c r="R955" i="1"/>
  <c r="F955" i="1"/>
  <c r="AO955" i="1"/>
  <c r="Q955" i="1"/>
  <c r="E955" i="1"/>
  <c r="AN955" i="1"/>
  <c r="AB955" i="1"/>
  <c r="D955" i="1"/>
  <c r="AY955" i="1"/>
  <c r="AM955" i="1"/>
  <c r="AA955" i="1"/>
  <c r="O955" i="1"/>
  <c r="P955" i="1" s="1"/>
  <c r="AL955" i="1"/>
  <c r="Z955" i="1"/>
  <c r="N955" i="1"/>
  <c r="AK955" i="1"/>
  <c r="Y955" i="1"/>
  <c r="M955" i="1"/>
  <c r="AJ955" i="1"/>
  <c r="X955" i="1"/>
  <c r="AI955" i="1"/>
  <c r="W955" i="1"/>
  <c r="K955" i="1"/>
  <c r="L955" i="1" s="1"/>
  <c r="AH955" i="1"/>
  <c r="V955" i="1"/>
  <c r="J955" i="1"/>
  <c r="AS955" i="1"/>
  <c r="AG955" i="1"/>
  <c r="U955" i="1"/>
  <c r="I955" i="1"/>
  <c r="AR955" i="1"/>
  <c r="AF955" i="1"/>
  <c r="T955" i="1"/>
  <c r="H955" i="1"/>
  <c r="AT955" i="1" s="1"/>
  <c r="AQ955" i="1"/>
  <c r="AE955" i="1"/>
  <c r="S955" i="1"/>
  <c r="G955" i="1"/>
  <c r="AP1013" i="1"/>
  <c r="AD1013" i="1"/>
  <c r="R1013" i="1"/>
  <c r="F1013" i="1"/>
  <c r="AO1013" i="1"/>
  <c r="Q1013" i="1"/>
  <c r="E1013" i="1"/>
  <c r="AL1013" i="1"/>
  <c r="Z1013" i="1"/>
  <c r="N1013" i="1"/>
  <c r="AK1013" i="1"/>
  <c r="Y1013" i="1"/>
  <c r="M1013" i="1"/>
  <c r="AJ1013" i="1"/>
  <c r="X1013" i="1"/>
  <c r="AI1013" i="1"/>
  <c r="W1013" i="1"/>
  <c r="K1013" i="1"/>
  <c r="L1013" i="1" s="1"/>
  <c r="AH1013" i="1"/>
  <c r="V1013" i="1"/>
  <c r="J1013" i="1"/>
  <c r="AS1013" i="1"/>
  <c r="AG1013" i="1"/>
  <c r="U1013" i="1"/>
  <c r="I1013" i="1"/>
  <c r="AR1013" i="1"/>
  <c r="AF1013" i="1"/>
  <c r="T1013" i="1"/>
  <c r="H1013" i="1"/>
  <c r="AT1013" i="1" s="1"/>
  <c r="AM1013" i="1"/>
  <c r="AE1013" i="1"/>
  <c r="AB1013" i="1"/>
  <c r="AA1013" i="1"/>
  <c r="S1013" i="1"/>
  <c r="AY1013" i="1"/>
  <c r="O1013" i="1"/>
  <c r="P1013" i="1" s="1"/>
  <c r="G1013" i="1"/>
  <c r="D1013" i="1"/>
  <c r="AQ1013" i="1"/>
  <c r="AN1013" i="1"/>
  <c r="AP1019" i="1"/>
  <c r="AD1019" i="1"/>
  <c r="R1019" i="1"/>
  <c r="F1019" i="1"/>
  <c r="AO1019" i="1"/>
  <c r="Q1019" i="1"/>
  <c r="E1019" i="1"/>
  <c r="AL1019" i="1"/>
  <c r="Z1019" i="1"/>
  <c r="N1019" i="1"/>
  <c r="AK1019" i="1"/>
  <c r="Y1019" i="1"/>
  <c r="M1019" i="1"/>
  <c r="AJ1019" i="1"/>
  <c r="X1019" i="1"/>
  <c r="AI1019" i="1"/>
  <c r="W1019" i="1"/>
  <c r="K1019" i="1"/>
  <c r="L1019" i="1" s="1"/>
  <c r="AH1019" i="1"/>
  <c r="V1019" i="1"/>
  <c r="J1019" i="1"/>
  <c r="AS1019" i="1"/>
  <c r="AG1019" i="1"/>
  <c r="U1019" i="1"/>
  <c r="I1019" i="1"/>
  <c r="AR1019" i="1"/>
  <c r="AF1019" i="1"/>
  <c r="T1019" i="1"/>
  <c r="H1019" i="1"/>
  <c r="AT1019" i="1" s="1"/>
  <c r="AA1019" i="1"/>
  <c r="S1019" i="1"/>
  <c r="AY1019" i="1"/>
  <c r="O1019" i="1"/>
  <c r="P1019" i="1" s="1"/>
  <c r="G1019" i="1"/>
  <c r="D1019" i="1"/>
  <c r="AQ1019" i="1"/>
  <c r="AN1019" i="1"/>
  <c r="AM1019" i="1"/>
  <c r="AE1019" i="1"/>
  <c r="AB1019" i="1"/>
  <c r="AY978" i="1"/>
  <c r="AM978" i="1"/>
  <c r="AA978" i="1"/>
  <c r="O978" i="1"/>
  <c r="P978" i="1" s="1"/>
  <c r="AI978" i="1"/>
  <c r="W978" i="1"/>
  <c r="K978" i="1"/>
  <c r="L978" i="1" s="1"/>
  <c r="AH978" i="1"/>
  <c r="V978" i="1"/>
  <c r="J978" i="1"/>
  <c r="AR978" i="1"/>
  <c r="AF978" i="1"/>
  <c r="T978" i="1"/>
  <c r="H978" i="1"/>
  <c r="AT978" i="1" s="1"/>
  <c r="AE978" i="1"/>
  <c r="N978" i="1"/>
  <c r="AD978" i="1"/>
  <c r="M978" i="1"/>
  <c r="AS978" i="1"/>
  <c r="AB978" i="1"/>
  <c r="I978" i="1"/>
  <c r="AQ978" i="1"/>
  <c r="Z978" i="1"/>
  <c r="G978" i="1"/>
  <c r="AP978" i="1"/>
  <c r="Y978" i="1"/>
  <c r="F978" i="1"/>
  <c r="AO978" i="1"/>
  <c r="X978" i="1"/>
  <c r="E978" i="1"/>
  <c r="AN978" i="1"/>
  <c r="U978" i="1"/>
  <c r="D978" i="1"/>
  <c r="AL978" i="1"/>
  <c r="S978" i="1"/>
  <c r="AK978" i="1"/>
  <c r="R978" i="1"/>
  <c r="AJ978" i="1"/>
  <c r="Q978" i="1"/>
  <c r="AG978" i="1"/>
  <c r="AH1017" i="1"/>
  <c r="V1017" i="1"/>
  <c r="J1017" i="1"/>
  <c r="AS1017" i="1"/>
  <c r="AG1017" i="1"/>
  <c r="U1017" i="1"/>
  <c r="I1017" i="1"/>
  <c r="AP1017" i="1"/>
  <c r="AD1017" i="1"/>
  <c r="R1017" i="1"/>
  <c r="F1017" i="1"/>
  <c r="AO1017" i="1"/>
  <c r="Q1017" i="1"/>
  <c r="E1017" i="1"/>
  <c r="AN1017" i="1"/>
  <c r="AB1017" i="1"/>
  <c r="D1017" i="1"/>
  <c r="AY1017" i="1"/>
  <c r="AM1017" i="1"/>
  <c r="AA1017" i="1"/>
  <c r="O1017" i="1"/>
  <c r="P1017" i="1" s="1"/>
  <c r="AL1017" i="1"/>
  <c r="Z1017" i="1"/>
  <c r="N1017" i="1"/>
  <c r="AK1017" i="1"/>
  <c r="Y1017" i="1"/>
  <c r="M1017" i="1"/>
  <c r="AJ1017" i="1"/>
  <c r="X1017" i="1"/>
  <c r="AR1017" i="1"/>
  <c r="AQ1017" i="1"/>
  <c r="AI1017" i="1"/>
  <c r="AF1017" i="1"/>
  <c r="AE1017" i="1"/>
  <c r="W1017" i="1"/>
  <c r="T1017" i="1"/>
  <c r="S1017" i="1"/>
  <c r="K1017" i="1"/>
  <c r="L1017" i="1" s="1"/>
  <c r="H1017" i="1"/>
  <c r="AT1017" i="1" s="1"/>
  <c r="G1017" i="1"/>
  <c r="AJ1024" i="1"/>
  <c r="X1024" i="1"/>
  <c r="AQ1024" i="1"/>
  <c r="AE1024" i="1"/>
  <c r="S1024" i="1"/>
  <c r="G1024" i="1"/>
  <c r="AF1024" i="1"/>
  <c r="Q1024" i="1"/>
  <c r="AS1024" i="1"/>
  <c r="AD1024" i="1"/>
  <c r="AP1024" i="1"/>
  <c r="AB1024" i="1"/>
  <c r="N1024" i="1"/>
  <c r="AO1024" i="1"/>
  <c r="AA1024" i="1"/>
  <c r="M1024" i="1"/>
  <c r="AN1024" i="1"/>
  <c r="Z1024" i="1"/>
  <c r="K1024" i="1"/>
  <c r="L1024" i="1" s="1"/>
  <c r="AM1024" i="1"/>
  <c r="Y1024" i="1"/>
  <c r="J1024" i="1"/>
  <c r="AL1024" i="1"/>
  <c r="W1024" i="1"/>
  <c r="I1024" i="1"/>
  <c r="AY1024" i="1"/>
  <c r="AK1024" i="1"/>
  <c r="V1024" i="1"/>
  <c r="H1024" i="1"/>
  <c r="AT1024" i="1" s="1"/>
  <c r="AI1024" i="1"/>
  <c r="U1024" i="1"/>
  <c r="F1024" i="1"/>
  <c r="AH1024" i="1"/>
  <c r="T1024" i="1"/>
  <c r="E1024" i="1"/>
  <c r="AR1024" i="1"/>
  <c r="AG1024" i="1"/>
  <c r="R1024" i="1"/>
  <c r="O1024" i="1"/>
  <c r="P1024" i="1" s="1"/>
  <c r="D1024" i="1"/>
  <c r="AQ1049" i="1"/>
  <c r="AE1049" i="1"/>
  <c r="S1049" i="1"/>
  <c r="G1049" i="1"/>
  <c r="AH1049" i="1"/>
  <c r="U1049" i="1"/>
  <c r="H1049" i="1"/>
  <c r="AT1049" i="1" s="1"/>
  <c r="AG1049" i="1"/>
  <c r="T1049" i="1"/>
  <c r="F1049" i="1"/>
  <c r="AS1049" i="1"/>
  <c r="AF1049" i="1"/>
  <c r="R1049" i="1"/>
  <c r="E1049" i="1"/>
  <c r="AR1049" i="1"/>
  <c r="AD1049" i="1"/>
  <c r="Q1049" i="1"/>
  <c r="D1049" i="1"/>
  <c r="AP1049" i="1"/>
  <c r="AO1049" i="1"/>
  <c r="AB1049" i="1"/>
  <c r="O1049" i="1"/>
  <c r="P1049" i="1" s="1"/>
  <c r="AN1049" i="1"/>
  <c r="AA1049" i="1"/>
  <c r="N1049" i="1"/>
  <c r="AM1049" i="1"/>
  <c r="Z1049" i="1"/>
  <c r="M1049" i="1"/>
  <c r="AY1049" i="1"/>
  <c r="AL1049" i="1"/>
  <c r="Y1049" i="1"/>
  <c r="AK1049" i="1"/>
  <c r="X1049" i="1"/>
  <c r="K1049" i="1"/>
  <c r="L1049" i="1" s="1"/>
  <c r="AJ1049" i="1"/>
  <c r="W1049" i="1"/>
  <c r="J1049" i="1"/>
  <c r="AI1049" i="1"/>
  <c r="V1049" i="1"/>
  <c r="I1049" i="1"/>
  <c r="AL1072" i="1"/>
  <c r="Z1072" i="1"/>
  <c r="N1072" i="1"/>
  <c r="AK1072" i="1"/>
  <c r="Y1072" i="1"/>
  <c r="M1072" i="1"/>
  <c r="AJ1072" i="1"/>
  <c r="X1072" i="1"/>
  <c r="AI1072" i="1"/>
  <c r="W1072" i="1"/>
  <c r="K1072" i="1"/>
  <c r="L1072" i="1" s="1"/>
  <c r="AH1072" i="1"/>
  <c r="V1072" i="1"/>
  <c r="J1072" i="1"/>
  <c r="AS1072" i="1"/>
  <c r="AG1072" i="1"/>
  <c r="U1072" i="1"/>
  <c r="I1072" i="1"/>
  <c r="AO1072" i="1"/>
  <c r="Q1072" i="1"/>
  <c r="AN1072" i="1"/>
  <c r="AM1072" i="1"/>
  <c r="O1072" i="1"/>
  <c r="P1072" i="1" s="1"/>
  <c r="AF1072" i="1"/>
  <c r="H1072" i="1"/>
  <c r="AT1072" i="1" s="1"/>
  <c r="AE1072" i="1"/>
  <c r="G1072" i="1"/>
  <c r="AD1072" i="1"/>
  <c r="F1072" i="1"/>
  <c r="AY1072" i="1"/>
  <c r="E1072" i="1"/>
  <c r="AB1072" i="1"/>
  <c r="D1072" i="1"/>
  <c r="AA1072" i="1"/>
  <c r="AR1072" i="1"/>
  <c r="T1072" i="1"/>
  <c r="AQ1072" i="1"/>
  <c r="S1072" i="1"/>
  <c r="AP1072" i="1"/>
  <c r="R1072" i="1"/>
  <c r="AO1062" i="1"/>
  <c r="Q1062" i="1"/>
  <c r="E1062" i="1"/>
  <c r="AN1062" i="1"/>
  <c r="AB1062" i="1"/>
  <c r="D1062" i="1"/>
  <c r="AY1062" i="1"/>
  <c r="AM1062" i="1"/>
  <c r="AA1062" i="1"/>
  <c r="O1062" i="1"/>
  <c r="P1062" i="1" s="1"/>
  <c r="AL1062" i="1"/>
  <c r="Z1062" i="1"/>
  <c r="N1062" i="1"/>
  <c r="AK1062" i="1"/>
  <c r="Y1062" i="1"/>
  <c r="M1062" i="1"/>
  <c r="AJ1062" i="1"/>
  <c r="X1062" i="1"/>
  <c r="AI1062" i="1"/>
  <c r="W1062" i="1"/>
  <c r="K1062" i="1"/>
  <c r="L1062" i="1" s="1"/>
  <c r="AH1062" i="1"/>
  <c r="V1062" i="1"/>
  <c r="J1062" i="1"/>
  <c r="AS1062" i="1"/>
  <c r="AG1062" i="1"/>
  <c r="U1062" i="1"/>
  <c r="I1062" i="1"/>
  <c r="AR1062" i="1"/>
  <c r="AF1062" i="1"/>
  <c r="T1062" i="1"/>
  <c r="H1062" i="1"/>
  <c r="AT1062" i="1" s="1"/>
  <c r="AQ1062" i="1"/>
  <c r="AE1062" i="1"/>
  <c r="S1062" i="1"/>
  <c r="G1062" i="1"/>
  <c r="R1062" i="1"/>
  <c r="F1062" i="1"/>
  <c r="AP1062" i="1"/>
  <c r="AD1062" i="1"/>
  <c r="AN1084" i="1"/>
  <c r="AB1084" i="1"/>
  <c r="D1084" i="1"/>
  <c r="AJ1084" i="1"/>
  <c r="W1084" i="1"/>
  <c r="J1084" i="1"/>
  <c r="AI1084" i="1"/>
  <c r="V1084" i="1"/>
  <c r="I1084" i="1"/>
  <c r="AH1084" i="1"/>
  <c r="U1084" i="1"/>
  <c r="H1084" i="1"/>
  <c r="AT1084" i="1" s="1"/>
  <c r="AG1084" i="1"/>
  <c r="T1084" i="1"/>
  <c r="G1084" i="1"/>
  <c r="AS1084" i="1"/>
  <c r="AF1084" i="1"/>
  <c r="S1084" i="1"/>
  <c r="F1084" i="1"/>
  <c r="AR1084" i="1"/>
  <c r="AE1084" i="1"/>
  <c r="R1084" i="1"/>
  <c r="E1084" i="1"/>
  <c r="AQ1084" i="1"/>
  <c r="AD1084" i="1"/>
  <c r="Q1084" i="1"/>
  <c r="AP1084" i="1"/>
  <c r="O1084" i="1"/>
  <c r="P1084" i="1" s="1"/>
  <c r="AO1084" i="1"/>
  <c r="AA1084" i="1"/>
  <c r="N1084" i="1"/>
  <c r="AM1084" i="1"/>
  <c r="Z1084" i="1"/>
  <c r="M1084" i="1"/>
  <c r="AY1084" i="1"/>
  <c r="AL1084" i="1"/>
  <c r="Y1084" i="1"/>
  <c r="K1084" i="1"/>
  <c r="L1084" i="1" s="1"/>
  <c r="AK1084" i="1"/>
  <c r="X1084" i="1"/>
  <c r="AL1097" i="1"/>
  <c r="Z1097" i="1"/>
  <c r="N1097" i="1"/>
  <c r="AK1097" i="1"/>
  <c r="Y1097" i="1"/>
  <c r="M1097" i="1"/>
  <c r="AJ1097" i="1"/>
  <c r="X1097" i="1"/>
  <c r="AI1097" i="1"/>
  <c r="W1097" i="1"/>
  <c r="K1097" i="1"/>
  <c r="L1097" i="1" s="1"/>
  <c r="AH1097" i="1"/>
  <c r="V1097" i="1"/>
  <c r="J1097" i="1"/>
  <c r="AS1097" i="1"/>
  <c r="AG1097" i="1"/>
  <c r="U1097" i="1"/>
  <c r="I1097" i="1"/>
  <c r="AR1097" i="1"/>
  <c r="AF1097" i="1"/>
  <c r="T1097" i="1"/>
  <c r="H1097" i="1"/>
  <c r="AT1097" i="1" s="1"/>
  <c r="AQ1097" i="1"/>
  <c r="AE1097" i="1"/>
  <c r="S1097" i="1"/>
  <c r="G1097" i="1"/>
  <c r="AP1097" i="1"/>
  <c r="AD1097" i="1"/>
  <c r="R1097" i="1"/>
  <c r="F1097" i="1"/>
  <c r="AO1097" i="1"/>
  <c r="Q1097" i="1"/>
  <c r="E1097" i="1"/>
  <c r="AN1097" i="1"/>
  <c r="AB1097" i="1"/>
  <c r="D1097" i="1"/>
  <c r="AA1097" i="1"/>
  <c r="O1097" i="1"/>
  <c r="P1097" i="1" s="1"/>
  <c r="AY1097" i="1"/>
  <c r="AM1097" i="1"/>
  <c r="AN1106" i="1"/>
  <c r="AB1106" i="1"/>
  <c r="D1106" i="1"/>
  <c r="AI1106" i="1"/>
  <c r="V1106" i="1"/>
  <c r="I1106" i="1"/>
  <c r="AH1106" i="1"/>
  <c r="U1106" i="1"/>
  <c r="H1106" i="1"/>
  <c r="AT1106" i="1" s="1"/>
  <c r="AG1106" i="1"/>
  <c r="T1106" i="1"/>
  <c r="G1106" i="1"/>
  <c r="AS1106" i="1"/>
  <c r="AF1106" i="1"/>
  <c r="S1106" i="1"/>
  <c r="F1106" i="1"/>
  <c r="AR1106" i="1"/>
  <c r="AE1106" i="1"/>
  <c r="R1106" i="1"/>
  <c r="E1106" i="1"/>
  <c r="AQ1106" i="1"/>
  <c r="AD1106" i="1"/>
  <c r="Q1106" i="1"/>
  <c r="AP1106" i="1"/>
  <c r="O1106" i="1"/>
  <c r="P1106" i="1" s="1"/>
  <c r="AO1106" i="1"/>
  <c r="AA1106" i="1"/>
  <c r="N1106" i="1"/>
  <c r="AM1106" i="1"/>
  <c r="Z1106" i="1"/>
  <c r="M1106" i="1"/>
  <c r="AY1106" i="1"/>
  <c r="AL1106" i="1"/>
  <c r="Y1106" i="1"/>
  <c r="AK1106" i="1"/>
  <c r="X1106" i="1"/>
  <c r="K1106" i="1"/>
  <c r="L1106" i="1" s="1"/>
  <c r="W1106" i="1"/>
  <c r="J1106" i="1"/>
  <c r="AJ1106" i="1"/>
  <c r="AS1126" i="1"/>
  <c r="AG1126" i="1"/>
  <c r="U1126" i="1"/>
  <c r="I1126" i="1"/>
  <c r="AN1126" i="1"/>
  <c r="AA1126" i="1"/>
  <c r="N1126" i="1"/>
  <c r="AM1126" i="1"/>
  <c r="Z1126" i="1"/>
  <c r="M1126" i="1"/>
  <c r="AY1126" i="1"/>
  <c r="AL1126" i="1"/>
  <c r="Y1126" i="1"/>
  <c r="AK1126" i="1"/>
  <c r="X1126" i="1"/>
  <c r="K1126" i="1"/>
  <c r="L1126" i="1" s="1"/>
  <c r="AJ1126" i="1"/>
  <c r="W1126" i="1"/>
  <c r="J1126" i="1"/>
  <c r="AI1126" i="1"/>
  <c r="V1126" i="1"/>
  <c r="H1126" i="1"/>
  <c r="AT1126" i="1" s="1"/>
  <c r="AH1126" i="1"/>
  <c r="T1126" i="1"/>
  <c r="G1126" i="1"/>
  <c r="AF1126" i="1"/>
  <c r="S1126" i="1"/>
  <c r="F1126" i="1"/>
  <c r="AR1126" i="1"/>
  <c r="AE1126" i="1"/>
  <c r="R1126" i="1"/>
  <c r="E1126" i="1"/>
  <c r="AQ1126" i="1"/>
  <c r="AD1126" i="1"/>
  <c r="Q1126" i="1"/>
  <c r="D1126" i="1"/>
  <c r="AP1126" i="1"/>
  <c r="AO1126" i="1"/>
  <c r="AB1126" i="1"/>
  <c r="O1126" i="1"/>
  <c r="P1126" i="1" s="1"/>
  <c r="AN1118" i="1"/>
  <c r="AB1118" i="1"/>
  <c r="D1118" i="1"/>
  <c r="AY1118" i="1"/>
  <c r="AM1118" i="1"/>
  <c r="AA1118" i="1"/>
  <c r="O1118" i="1"/>
  <c r="P1118" i="1" s="1"/>
  <c r="AL1118" i="1"/>
  <c r="Z1118" i="1"/>
  <c r="N1118" i="1"/>
  <c r="AK1118" i="1"/>
  <c r="Y1118" i="1"/>
  <c r="M1118" i="1"/>
  <c r="AJ1118" i="1"/>
  <c r="X1118" i="1"/>
  <c r="AI1118" i="1"/>
  <c r="W1118" i="1"/>
  <c r="K1118" i="1"/>
  <c r="L1118" i="1" s="1"/>
  <c r="AH1118" i="1"/>
  <c r="V1118" i="1"/>
  <c r="J1118" i="1"/>
  <c r="AS1118" i="1"/>
  <c r="AG1118" i="1"/>
  <c r="U1118" i="1"/>
  <c r="I1118" i="1"/>
  <c r="AR1118" i="1"/>
  <c r="AF1118" i="1"/>
  <c r="T1118" i="1"/>
  <c r="H1118" i="1"/>
  <c r="AT1118" i="1" s="1"/>
  <c r="AQ1118" i="1"/>
  <c r="AE1118" i="1"/>
  <c r="S1118" i="1"/>
  <c r="G1118" i="1"/>
  <c r="AP1118" i="1"/>
  <c r="AD1118" i="1"/>
  <c r="R1118" i="1"/>
  <c r="F1118" i="1"/>
  <c r="AO1118" i="1"/>
  <c r="Q1118" i="1"/>
  <c r="E1118" i="1"/>
  <c r="AS1138" i="1"/>
  <c r="AG1138" i="1"/>
  <c r="U1138" i="1"/>
  <c r="I1138" i="1"/>
  <c r="AR1138" i="1"/>
  <c r="AF1138" i="1"/>
  <c r="T1138" i="1"/>
  <c r="H1138" i="1"/>
  <c r="AT1138" i="1" s="1"/>
  <c r="AQ1138" i="1"/>
  <c r="AE1138" i="1"/>
  <c r="S1138" i="1"/>
  <c r="G1138" i="1"/>
  <c r="AP1138" i="1"/>
  <c r="AD1138" i="1"/>
  <c r="R1138" i="1"/>
  <c r="F1138" i="1"/>
  <c r="AO1138" i="1"/>
  <c r="Q1138" i="1"/>
  <c r="E1138" i="1"/>
  <c r="AN1138" i="1"/>
  <c r="AB1138" i="1"/>
  <c r="D1138" i="1"/>
  <c r="AY1138" i="1"/>
  <c r="AM1138" i="1"/>
  <c r="AA1138" i="1"/>
  <c r="O1138" i="1"/>
  <c r="P1138" i="1" s="1"/>
  <c r="AL1138" i="1"/>
  <c r="Z1138" i="1"/>
  <c r="N1138" i="1"/>
  <c r="AK1138" i="1"/>
  <c r="Y1138" i="1"/>
  <c r="M1138" i="1"/>
  <c r="AJ1138" i="1"/>
  <c r="X1138" i="1"/>
  <c r="AI1138" i="1"/>
  <c r="W1138" i="1"/>
  <c r="K1138" i="1"/>
  <c r="L1138" i="1" s="1"/>
  <c r="V1138" i="1"/>
  <c r="J1138" i="1"/>
  <c r="AH1138" i="1"/>
  <c r="AY1123" i="1"/>
  <c r="AM1123" i="1"/>
  <c r="AA1123" i="1"/>
  <c r="O1123" i="1"/>
  <c r="P1123" i="1" s="1"/>
  <c r="AH1123" i="1"/>
  <c r="U1123" i="1"/>
  <c r="H1123" i="1"/>
  <c r="AT1123" i="1" s="1"/>
  <c r="AG1123" i="1"/>
  <c r="T1123" i="1"/>
  <c r="G1123" i="1"/>
  <c r="AS1123" i="1"/>
  <c r="AF1123" i="1"/>
  <c r="S1123" i="1"/>
  <c r="F1123" i="1"/>
  <c r="AR1123" i="1"/>
  <c r="AE1123" i="1"/>
  <c r="R1123" i="1"/>
  <c r="E1123" i="1"/>
  <c r="AQ1123" i="1"/>
  <c r="AD1123" i="1"/>
  <c r="Q1123" i="1"/>
  <c r="D1123" i="1"/>
  <c r="AP1123" i="1"/>
  <c r="AO1123" i="1"/>
  <c r="AB1123" i="1"/>
  <c r="N1123" i="1"/>
  <c r="AN1123" i="1"/>
  <c r="Z1123" i="1"/>
  <c r="M1123" i="1"/>
  <c r="AL1123" i="1"/>
  <c r="Y1123" i="1"/>
  <c r="AK1123" i="1"/>
  <c r="X1123" i="1"/>
  <c r="K1123" i="1"/>
  <c r="L1123" i="1" s="1"/>
  <c r="AJ1123" i="1"/>
  <c r="W1123" i="1"/>
  <c r="J1123" i="1"/>
  <c r="AI1123" i="1"/>
  <c r="V1123" i="1"/>
  <c r="I1123" i="1"/>
  <c r="AR1161" i="1"/>
  <c r="AF1161" i="1"/>
  <c r="T1161" i="1"/>
  <c r="H1161" i="1"/>
  <c r="AT1161" i="1" s="1"/>
  <c r="AQ1161" i="1"/>
  <c r="AE1161" i="1"/>
  <c r="S1161" i="1"/>
  <c r="G1161" i="1"/>
  <c r="AP1161" i="1"/>
  <c r="AD1161" i="1"/>
  <c r="R1161" i="1"/>
  <c r="F1161" i="1"/>
  <c r="AO1161" i="1"/>
  <c r="Q1161" i="1"/>
  <c r="E1161" i="1"/>
  <c r="AN1161" i="1"/>
  <c r="AB1161" i="1"/>
  <c r="D1161" i="1"/>
  <c r="AY1161" i="1"/>
  <c r="AM1161" i="1"/>
  <c r="AA1161" i="1"/>
  <c r="O1161" i="1"/>
  <c r="P1161" i="1" s="1"/>
  <c r="AL1161" i="1"/>
  <c r="Z1161" i="1"/>
  <c r="N1161" i="1"/>
  <c r="AK1161" i="1"/>
  <c r="Y1161" i="1"/>
  <c r="M1161" i="1"/>
  <c r="AJ1161" i="1"/>
  <c r="X1161" i="1"/>
  <c r="AI1161" i="1"/>
  <c r="W1161" i="1"/>
  <c r="K1161" i="1"/>
  <c r="L1161" i="1" s="1"/>
  <c r="AH1161" i="1"/>
  <c r="V1161" i="1"/>
  <c r="J1161" i="1"/>
  <c r="I1161" i="1"/>
  <c r="AS1161" i="1"/>
  <c r="AG1161" i="1"/>
  <c r="U1161" i="1"/>
  <c r="AJ1182" i="1"/>
  <c r="X1182" i="1"/>
  <c r="AI1182" i="1"/>
  <c r="W1182" i="1"/>
  <c r="K1182" i="1"/>
  <c r="L1182" i="1" s="1"/>
  <c r="AH1182" i="1"/>
  <c r="V1182" i="1"/>
  <c r="J1182" i="1"/>
  <c r="AR1182" i="1"/>
  <c r="N1182" i="1"/>
  <c r="AQ1182" i="1"/>
  <c r="AB1182" i="1"/>
  <c r="M1182" i="1"/>
  <c r="AP1182" i="1"/>
  <c r="AA1182" i="1"/>
  <c r="I1182" i="1"/>
  <c r="AO1182" i="1"/>
  <c r="Z1182" i="1"/>
  <c r="H1182" i="1"/>
  <c r="AT1182" i="1" s="1"/>
  <c r="AN1182" i="1"/>
  <c r="Y1182" i="1"/>
  <c r="G1182" i="1"/>
  <c r="AM1182" i="1"/>
  <c r="U1182" i="1"/>
  <c r="F1182" i="1"/>
  <c r="AL1182" i="1"/>
  <c r="T1182" i="1"/>
  <c r="E1182" i="1"/>
  <c r="AK1182" i="1"/>
  <c r="S1182" i="1"/>
  <c r="D1182" i="1"/>
  <c r="AY1182" i="1"/>
  <c r="AG1182" i="1"/>
  <c r="R1182" i="1"/>
  <c r="AF1182" i="1"/>
  <c r="Q1182" i="1"/>
  <c r="AE1182" i="1"/>
  <c r="AS1182" i="1"/>
  <c r="AD1182" i="1"/>
  <c r="O1182" i="1"/>
  <c r="P1182" i="1" s="1"/>
  <c r="AJ1194" i="1"/>
  <c r="X1194" i="1"/>
  <c r="AI1194" i="1"/>
  <c r="W1194" i="1"/>
  <c r="K1194" i="1"/>
  <c r="L1194" i="1" s="1"/>
  <c r="AH1194" i="1"/>
  <c r="V1194" i="1"/>
  <c r="J1194" i="1"/>
  <c r="AS1194" i="1"/>
  <c r="AG1194" i="1"/>
  <c r="U1194" i="1"/>
  <c r="I1194" i="1"/>
  <c r="AR1194" i="1"/>
  <c r="AF1194" i="1"/>
  <c r="T1194" i="1"/>
  <c r="H1194" i="1"/>
  <c r="AT1194" i="1" s="1"/>
  <c r="AQ1194" i="1"/>
  <c r="AE1194" i="1"/>
  <c r="S1194" i="1"/>
  <c r="G1194" i="1"/>
  <c r="AP1194" i="1"/>
  <c r="AD1194" i="1"/>
  <c r="R1194" i="1"/>
  <c r="F1194" i="1"/>
  <c r="AO1194" i="1"/>
  <c r="Q1194" i="1"/>
  <c r="E1194" i="1"/>
  <c r="AN1194" i="1"/>
  <c r="AB1194" i="1"/>
  <c r="D1194" i="1"/>
  <c r="AY1194" i="1"/>
  <c r="AM1194" i="1"/>
  <c r="AA1194" i="1"/>
  <c r="O1194" i="1"/>
  <c r="P1194" i="1" s="1"/>
  <c r="Z1194" i="1"/>
  <c r="Y1194" i="1"/>
  <c r="N1194" i="1"/>
  <c r="M1194" i="1"/>
  <c r="AL1194" i="1"/>
  <c r="AK1194" i="1"/>
  <c r="H5" i="1"/>
  <c r="AT5" i="1" s="1"/>
  <c r="G5" i="1"/>
  <c r="F1" i="1"/>
  <c r="AD5" i="1"/>
  <c r="AO5" i="1"/>
  <c r="AN5" i="1"/>
  <c r="AE5" i="1"/>
  <c r="F5" i="1"/>
  <c r="D5" i="1"/>
  <c r="AY5" i="1" s="1"/>
  <c r="AM5" i="1"/>
  <c r="AA5" i="1"/>
  <c r="Z5" i="1" s="1"/>
  <c r="AL5" i="1"/>
  <c r="A2" i="1"/>
  <c r="AK5" i="1"/>
  <c r="AJ5" i="1"/>
  <c r="W5" i="1"/>
  <c r="AS5" i="1"/>
  <c r="E5" i="1"/>
  <c r="AL24" i="1"/>
  <c r="AK24" i="1"/>
  <c r="AS24" i="1"/>
  <c r="I24" i="1"/>
  <c r="H24" i="1"/>
  <c r="AT24" i="1" s="1"/>
  <c r="AE24" i="1"/>
  <c r="G24" i="1"/>
  <c r="AM24" i="1"/>
  <c r="AA24" i="1"/>
  <c r="Z24" i="1" s="1"/>
  <c r="E24" i="1"/>
  <c r="W24" i="1"/>
  <c r="AO24" i="1"/>
  <c r="AN24" i="1"/>
  <c r="AJ24" i="1"/>
  <c r="AD24" i="1"/>
  <c r="F24" i="1"/>
  <c r="AK96" i="1"/>
  <c r="AY96" i="1"/>
  <c r="AM96" i="1"/>
  <c r="Z96" i="1"/>
  <c r="N96" i="1"/>
  <c r="AL96" i="1"/>
  <c r="Y96" i="1"/>
  <c r="M96" i="1"/>
  <c r="AJ96" i="1"/>
  <c r="X96" i="1"/>
  <c r="AI96" i="1"/>
  <c r="W96" i="1"/>
  <c r="K96" i="1"/>
  <c r="L96" i="1" s="1"/>
  <c r="AH96" i="1"/>
  <c r="V96" i="1"/>
  <c r="J96" i="1"/>
  <c r="AG96" i="1"/>
  <c r="U96" i="1"/>
  <c r="I96" i="1"/>
  <c r="AS96" i="1"/>
  <c r="AF96" i="1"/>
  <c r="T96" i="1"/>
  <c r="H96" i="1"/>
  <c r="AT96" i="1" s="1"/>
  <c r="AR96" i="1"/>
  <c r="AE96" i="1"/>
  <c r="S96" i="1"/>
  <c r="G96" i="1"/>
  <c r="AQ96" i="1"/>
  <c r="AD96" i="1"/>
  <c r="R96" i="1"/>
  <c r="F96" i="1"/>
  <c r="AP96" i="1"/>
  <c r="Q96" i="1"/>
  <c r="E96" i="1"/>
  <c r="AO96" i="1"/>
  <c r="AB96" i="1"/>
  <c r="D96" i="1"/>
  <c r="AN96" i="1"/>
  <c r="AA96" i="1"/>
  <c r="O96" i="1"/>
  <c r="P96" i="1" s="1"/>
  <c r="AJ91" i="1"/>
  <c r="X91" i="1"/>
  <c r="AI91" i="1"/>
  <c r="W91" i="1"/>
  <c r="K91" i="1"/>
  <c r="L91" i="1" s="1"/>
  <c r="AH91" i="1"/>
  <c r="V91" i="1"/>
  <c r="J91" i="1"/>
  <c r="AS91" i="1"/>
  <c r="AG91" i="1"/>
  <c r="U91" i="1"/>
  <c r="I91" i="1"/>
  <c r="AR91" i="1"/>
  <c r="AF91" i="1"/>
  <c r="T91" i="1"/>
  <c r="H91" i="1"/>
  <c r="AT91" i="1" s="1"/>
  <c r="AQ91" i="1"/>
  <c r="AE91" i="1"/>
  <c r="S91" i="1"/>
  <c r="G91" i="1"/>
  <c r="AP91" i="1"/>
  <c r="AD91" i="1"/>
  <c r="R91" i="1"/>
  <c r="F91" i="1"/>
  <c r="AO91" i="1"/>
  <c r="Q91" i="1"/>
  <c r="E91" i="1"/>
  <c r="AN91" i="1"/>
  <c r="AB91" i="1"/>
  <c r="D91" i="1"/>
  <c r="AY91" i="1"/>
  <c r="AM91" i="1"/>
  <c r="AA91" i="1"/>
  <c r="O91" i="1"/>
  <c r="P91" i="1" s="1"/>
  <c r="AL91" i="1"/>
  <c r="Z91" i="1"/>
  <c r="N91" i="1"/>
  <c r="AK91" i="1"/>
  <c r="Y91" i="1"/>
  <c r="M91" i="1"/>
  <c r="AH80" i="1"/>
  <c r="V80" i="1"/>
  <c r="J80" i="1"/>
  <c r="AS80" i="1"/>
  <c r="AG80" i="1"/>
  <c r="U80" i="1"/>
  <c r="I80" i="1"/>
  <c r="AR80" i="1"/>
  <c r="AF80" i="1"/>
  <c r="T80" i="1"/>
  <c r="H80" i="1"/>
  <c r="AT80" i="1" s="1"/>
  <c r="AQ80" i="1"/>
  <c r="AE80" i="1"/>
  <c r="S80" i="1"/>
  <c r="G80" i="1"/>
  <c r="AP80" i="1"/>
  <c r="AD80" i="1"/>
  <c r="R80" i="1"/>
  <c r="F80" i="1"/>
  <c r="AO80" i="1"/>
  <c r="Q80" i="1"/>
  <c r="E80" i="1"/>
  <c r="AN80" i="1"/>
  <c r="AB80" i="1"/>
  <c r="D80" i="1"/>
  <c r="AY80" i="1"/>
  <c r="AM80" i="1"/>
  <c r="AA80" i="1"/>
  <c r="O80" i="1"/>
  <c r="P80" i="1" s="1"/>
  <c r="AL80" i="1"/>
  <c r="Z80" i="1"/>
  <c r="N80" i="1"/>
  <c r="AK80" i="1"/>
  <c r="Y80" i="1"/>
  <c r="M80" i="1"/>
  <c r="AJ80" i="1"/>
  <c r="X80" i="1"/>
  <c r="AI80" i="1"/>
  <c r="W80" i="1"/>
  <c r="K80" i="1"/>
  <c r="L80" i="1" s="1"/>
  <c r="H63" i="1"/>
  <c r="AT63" i="1" s="1"/>
  <c r="AE63" i="1"/>
  <c r="G63" i="1"/>
  <c r="I63" i="1" s="1"/>
  <c r="AD63" i="1"/>
  <c r="F63" i="1"/>
  <c r="AO63" i="1"/>
  <c r="E63" i="1"/>
  <c r="AN63" i="1"/>
  <c r="AM63" i="1"/>
  <c r="AA63" i="1"/>
  <c r="AL63" i="1"/>
  <c r="AK63" i="1"/>
  <c r="AJ63" i="1"/>
  <c r="W63" i="1"/>
  <c r="AS63" i="1"/>
  <c r="AP70" i="1"/>
  <c r="AD70" i="1"/>
  <c r="R70" i="1"/>
  <c r="F70" i="1"/>
  <c r="AO70" i="1"/>
  <c r="Q70" i="1"/>
  <c r="E70" i="1"/>
  <c r="AN70" i="1"/>
  <c r="AB70" i="1"/>
  <c r="D70" i="1"/>
  <c r="AY70" i="1"/>
  <c r="AM70" i="1"/>
  <c r="AA70" i="1"/>
  <c r="O70" i="1"/>
  <c r="P70" i="1" s="1"/>
  <c r="AL70" i="1"/>
  <c r="Z70" i="1"/>
  <c r="N70" i="1"/>
  <c r="AK70" i="1"/>
  <c r="Y70" i="1"/>
  <c r="M70" i="1"/>
  <c r="AJ70" i="1"/>
  <c r="X70" i="1"/>
  <c r="AI70" i="1"/>
  <c r="W70" i="1"/>
  <c r="K70" i="1"/>
  <c r="L70" i="1" s="1"/>
  <c r="AH70" i="1"/>
  <c r="V70" i="1"/>
  <c r="J70" i="1"/>
  <c r="AS70" i="1"/>
  <c r="AG70" i="1"/>
  <c r="U70" i="1"/>
  <c r="I70" i="1"/>
  <c r="AR70" i="1"/>
  <c r="AF70" i="1"/>
  <c r="T70" i="1"/>
  <c r="H70" i="1"/>
  <c r="AT70" i="1" s="1"/>
  <c r="AQ70" i="1"/>
  <c r="AE70" i="1"/>
  <c r="S70" i="1"/>
  <c r="G70" i="1"/>
  <c r="AN53" i="1"/>
  <c r="AM53" i="1"/>
  <c r="AA53" i="1"/>
  <c r="AL53" i="1"/>
  <c r="AK53" i="1"/>
  <c r="AJ53" i="1"/>
  <c r="W53" i="1"/>
  <c r="AS53" i="1"/>
  <c r="H53" i="1"/>
  <c r="AT53" i="1" s="1"/>
  <c r="AE53" i="1"/>
  <c r="G53" i="1"/>
  <c r="I53" i="1" s="1"/>
  <c r="AD53" i="1"/>
  <c r="F53" i="1"/>
  <c r="AO53" i="1"/>
  <c r="E53" i="1"/>
  <c r="AL123" i="1"/>
  <c r="Z123" i="1"/>
  <c r="N123" i="1"/>
  <c r="AK123" i="1"/>
  <c r="Y123" i="1"/>
  <c r="M123" i="1"/>
  <c r="AJ123" i="1"/>
  <c r="X123" i="1"/>
  <c r="AI123" i="1"/>
  <c r="W123" i="1"/>
  <c r="K123" i="1"/>
  <c r="L123" i="1" s="1"/>
  <c r="AH123" i="1"/>
  <c r="V123" i="1"/>
  <c r="J123" i="1"/>
  <c r="AS123" i="1"/>
  <c r="AG123" i="1"/>
  <c r="U123" i="1"/>
  <c r="I123" i="1"/>
  <c r="AR123" i="1"/>
  <c r="AF123" i="1"/>
  <c r="T123" i="1"/>
  <c r="H123" i="1"/>
  <c r="AT123" i="1" s="1"/>
  <c r="AQ123" i="1"/>
  <c r="AE123" i="1"/>
  <c r="S123" i="1"/>
  <c r="G123" i="1"/>
  <c r="AP123" i="1"/>
  <c r="AD123" i="1"/>
  <c r="R123" i="1"/>
  <c r="F123" i="1"/>
  <c r="AN123" i="1"/>
  <c r="AB123" i="1"/>
  <c r="D123" i="1"/>
  <c r="AY123" i="1"/>
  <c r="AM123" i="1"/>
  <c r="AA123" i="1"/>
  <c r="O123" i="1"/>
  <c r="P123" i="1" s="1"/>
  <c r="AO123" i="1"/>
  <c r="Q123" i="1"/>
  <c r="E123" i="1"/>
  <c r="AJ130" i="1"/>
  <c r="X130" i="1"/>
  <c r="AI130" i="1"/>
  <c r="W130" i="1"/>
  <c r="K130" i="1"/>
  <c r="L130" i="1" s="1"/>
  <c r="AH130" i="1"/>
  <c r="V130" i="1"/>
  <c r="J130" i="1"/>
  <c r="AS130" i="1"/>
  <c r="AG130" i="1"/>
  <c r="U130" i="1"/>
  <c r="I130" i="1"/>
  <c r="AR130" i="1"/>
  <c r="AF130" i="1"/>
  <c r="T130" i="1"/>
  <c r="H130" i="1"/>
  <c r="AT130" i="1" s="1"/>
  <c r="AQ130" i="1"/>
  <c r="AE130" i="1"/>
  <c r="S130" i="1"/>
  <c r="G130" i="1"/>
  <c r="AP130" i="1"/>
  <c r="AD130" i="1"/>
  <c r="R130" i="1"/>
  <c r="F130" i="1"/>
  <c r="AO130" i="1"/>
  <c r="Q130" i="1"/>
  <c r="E130" i="1"/>
  <c r="AN130" i="1"/>
  <c r="AB130" i="1"/>
  <c r="D130" i="1"/>
  <c r="AY130" i="1"/>
  <c r="AM130" i="1"/>
  <c r="AA130" i="1"/>
  <c r="O130" i="1"/>
  <c r="P130" i="1" s="1"/>
  <c r="AL130" i="1"/>
  <c r="Z130" i="1"/>
  <c r="N130" i="1"/>
  <c r="AK130" i="1"/>
  <c r="Y130" i="1"/>
  <c r="M130" i="1"/>
  <c r="AH113" i="1"/>
  <c r="V113" i="1"/>
  <c r="J113" i="1"/>
  <c r="AS113" i="1"/>
  <c r="AG113" i="1"/>
  <c r="U113" i="1"/>
  <c r="I113" i="1"/>
  <c r="AO113" i="1"/>
  <c r="Q113" i="1"/>
  <c r="E113" i="1"/>
  <c r="AN113" i="1"/>
  <c r="AB113" i="1"/>
  <c r="D113" i="1"/>
  <c r="AY113" i="1"/>
  <c r="AM113" i="1"/>
  <c r="AA113" i="1"/>
  <c r="O113" i="1"/>
  <c r="P113" i="1" s="1"/>
  <c r="AI113" i="1"/>
  <c r="W113" i="1"/>
  <c r="K113" i="1"/>
  <c r="L113" i="1" s="1"/>
  <c r="Z113" i="1"/>
  <c r="Y113" i="1"/>
  <c r="AR113" i="1"/>
  <c r="X113" i="1"/>
  <c r="AQ113" i="1"/>
  <c r="T113" i="1"/>
  <c r="AP113" i="1"/>
  <c r="S113" i="1"/>
  <c r="AL113" i="1"/>
  <c r="R113" i="1"/>
  <c r="AK113" i="1"/>
  <c r="N113" i="1"/>
  <c r="AJ113" i="1"/>
  <c r="M113" i="1"/>
  <c r="AF113" i="1"/>
  <c r="AE113" i="1"/>
  <c r="H113" i="1"/>
  <c r="AT113" i="1" s="1"/>
  <c r="AD113" i="1"/>
  <c r="G113" i="1"/>
  <c r="F113" i="1"/>
  <c r="AR108" i="1"/>
  <c r="AF108" i="1"/>
  <c r="T108" i="1"/>
  <c r="H108" i="1"/>
  <c r="AT108" i="1" s="1"/>
  <c r="AQ108" i="1"/>
  <c r="AE108" i="1"/>
  <c r="S108" i="1"/>
  <c r="G108" i="1"/>
  <c r="AY108" i="1"/>
  <c r="AM108" i="1"/>
  <c r="AA108" i="1"/>
  <c r="O108" i="1"/>
  <c r="P108" i="1" s="1"/>
  <c r="AL108" i="1"/>
  <c r="Z108" i="1"/>
  <c r="N108" i="1"/>
  <c r="AK108" i="1"/>
  <c r="Y108" i="1"/>
  <c r="M108" i="1"/>
  <c r="AS108" i="1"/>
  <c r="AG108" i="1"/>
  <c r="U108" i="1"/>
  <c r="I108" i="1"/>
  <c r="AD108" i="1"/>
  <c r="F108" i="1"/>
  <c r="E108" i="1"/>
  <c r="AB108" i="1"/>
  <c r="D108" i="1"/>
  <c r="X108" i="1"/>
  <c r="W108" i="1"/>
  <c r="V108" i="1"/>
  <c r="AP108" i="1"/>
  <c r="R108" i="1"/>
  <c r="AO108" i="1"/>
  <c r="Q108" i="1"/>
  <c r="AN108" i="1"/>
  <c r="AJ108" i="1"/>
  <c r="AI108" i="1"/>
  <c r="K108" i="1"/>
  <c r="L108" i="1" s="1"/>
  <c r="AH108" i="1"/>
  <c r="J108" i="1"/>
  <c r="AP121" i="1"/>
  <c r="AD121" i="1"/>
  <c r="R121" i="1"/>
  <c r="F121" i="1"/>
  <c r="AO121" i="1"/>
  <c r="Q121" i="1"/>
  <c r="E121" i="1"/>
  <c r="AN121" i="1"/>
  <c r="AB121" i="1"/>
  <c r="D121" i="1"/>
  <c r="AY121" i="1"/>
  <c r="AM121" i="1"/>
  <c r="AA121" i="1"/>
  <c r="O121" i="1"/>
  <c r="P121" i="1" s="1"/>
  <c r="AL121" i="1"/>
  <c r="Z121" i="1"/>
  <c r="N121" i="1"/>
  <c r="AK121" i="1"/>
  <c r="Y121" i="1"/>
  <c r="M121" i="1"/>
  <c r="AJ121" i="1"/>
  <c r="X121" i="1"/>
  <c r="AI121" i="1"/>
  <c r="W121" i="1"/>
  <c r="K121" i="1"/>
  <c r="L121" i="1" s="1"/>
  <c r="AR121" i="1"/>
  <c r="AF121" i="1"/>
  <c r="T121" i="1"/>
  <c r="H121" i="1"/>
  <c r="AT121" i="1" s="1"/>
  <c r="AQ121" i="1"/>
  <c r="AE121" i="1"/>
  <c r="S121" i="1"/>
  <c r="G121" i="1"/>
  <c r="AS121" i="1"/>
  <c r="AH121" i="1"/>
  <c r="AG121" i="1"/>
  <c r="V121" i="1"/>
  <c r="U121" i="1"/>
  <c r="J121" i="1"/>
  <c r="I121" i="1"/>
  <c r="AN110" i="1"/>
  <c r="AB110" i="1"/>
  <c r="D110" i="1"/>
  <c r="AY110" i="1"/>
  <c r="AM110" i="1"/>
  <c r="AA110" i="1"/>
  <c r="O110" i="1"/>
  <c r="P110" i="1" s="1"/>
  <c r="AI110" i="1"/>
  <c r="W110" i="1"/>
  <c r="K110" i="1"/>
  <c r="L110" i="1" s="1"/>
  <c r="AH110" i="1"/>
  <c r="V110" i="1"/>
  <c r="J110" i="1"/>
  <c r="AS110" i="1"/>
  <c r="AG110" i="1"/>
  <c r="U110" i="1"/>
  <c r="I110" i="1"/>
  <c r="AO110" i="1"/>
  <c r="Q110" i="1"/>
  <c r="E110" i="1"/>
  <c r="AP110" i="1"/>
  <c r="S110" i="1"/>
  <c r="AL110" i="1"/>
  <c r="R110" i="1"/>
  <c r="AK110" i="1"/>
  <c r="N110" i="1"/>
  <c r="AJ110" i="1"/>
  <c r="M110" i="1"/>
  <c r="AF110" i="1"/>
  <c r="AE110" i="1"/>
  <c r="H110" i="1"/>
  <c r="AT110" i="1" s="1"/>
  <c r="AD110" i="1"/>
  <c r="G110" i="1"/>
  <c r="F110" i="1"/>
  <c r="Z110" i="1"/>
  <c r="Y110" i="1"/>
  <c r="AR110" i="1"/>
  <c r="X110" i="1"/>
  <c r="AQ110" i="1"/>
  <c r="T110" i="1"/>
  <c r="AI187" i="1"/>
  <c r="W187" i="1"/>
  <c r="K187" i="1"/>
  <c r="L187" i="1" s="1"/>
  <c r="AH187" i="1"/>
  <c r="V187" i="1"/>
  <c r="J187" i="1"/>
  <c r="AP187" i="1"/>
  <c r="AD187" i="1"/>
  <c r="R187" i="1"/>
  <c r="F187" i="1"/>
  <c r="AO187" i="1"/>
  <c r="Q187" i="1"/>
  <c r="E187" i="1"/>
  <c r="AN187" i="1"/>
  <c r="AB187" i="1"/>
  <c r="D187" i="1"/>
  <c r="AJ187" i="1"/>
  <c r="X187" i="1"/>
  <c r="AY187" i="1"/>
  <c r="G187" i="1"/>
  <c r="AA187" i="1"/>
  <c r="Z187" i="1"/>
  <c r="AS187" i="1"/>
  <c r="Y187" i="1"/>
  <c r="AR187" i="1"/>
  <c r="U187" i="1"/>
  <c r="AQ187" i="1"/>
  <c r="T187" i="1"/>
  <c r="AM187" i="1"/>
  <c r="S187" i="1"/>
  <c r="AL187" i="1"/>
  <c r="O187" i="1"/>
  <c r="P187" i="1" s="1"/>
  <c r="AK187" i="1"/>
  <c r="N187" i="1"/>
  <c r="AG187" i="1"/>
  <c r="M187" i="1"/>
  <c r="AF187" i="1"/>
  <c r="I187" i="1"/>
  <c r="AE187" i="1"/>
  <c r="H187" i="1"/>
  <c r="AT187" i="1" s="1"/>
  <c r="AK228" i="1"/>
  <c r="Y228" i="1"/>
  <c r="M228" i="1"/>
  <c r="AJ228" i="1"/>
  <c r="X228" i="1"/>
  <c r="AI228" i="1"/>
  <c r="W228" i="1"/>
  <c r="K228" i="1"/>
  <c r="L228" i="1" s="1"/>
  <c r="AH228" i="1"/>
  <c r="V228" i="1"/>
  <c r="J228" i="1"/>
  <c r="AS228" i="1"/>
  <c r="AG228" i="1"/>
  <c r="U228" i="1"/>
  <c r="I228" i="1"/>
  <c r="AR228" i="1"/>
  <c r="AF228" i="1"/>
  <c r="T228" i="1"/>
  <c r="H228" i="1"/>
  <c r="AT228" i="1" s="1"/>
  <c r="AQ228" i="1"/>
  <c r="AE228" i="1"/>
  <c r="S228" i="1"/>
  <c r="G228" i="1"/>
  <c r="AP228" i="1"/>
  <c r="AD228" i="1"/>
  <c r="R228" i="1"/>
  <c r="F228" i="1"/>
  <c r="AO228" i="1"/>
  <c r="Q228" i="1"/>
  <c r="E228" i="1"/>
  <c r="AN228" i="1"/>
  <c r="AB228" i="1"/>
  <c r="D228" i="1"/>
  <c r="AY228" i="1"/>
  <c r="AM228" i="1"/>
  <c r="AA228" i="1"/>
  <c r="O228" i="1"/>
  <c r="P228" i="1" s="1"/>
  <c r="AL228" i="1"/>
  <c r="Z228" i="1"/>
  <c r="N228" i="1"/>
  <c r="AI241" i="1"/>
  <c r="W241" i="1"/>
  <c r="K241" i="1"/>
  <c r="L241" i="1" s="1"/>
  <c r="AH241" i="1"/>
  <c r="V241" i="1"/>
  <c r="J241" i="1"/>
  <c r="AS241" i="1"/>
  <c r="AG241" i="1"/>
  <c r="U241" i="1"/>
  <c r="I241" i="1"/>
  <c r="AR241" i="1"/>
  <c r="AF241" i="1"/>
  <c r="T241" i="1"/>
  <c r="H241" i="1"/>
  <c r="AT241" i="1" s="1"/>
  <c r="AQ241" i="1"/>
  <c r="AE241" i="1"/>
  <c r="S241" i="1"/>
  <c r="G241" i="1"/>
  <c r="AP241" i="1"/>
  <c r="AD241" i="1"/>
  <c r="R241" i="1"/>
  <c r="F241" i="1"/>
  <c r="AO241" i="1"/>
  <c r="Q241" i="1"/>
  <c r="E241" i="1"/>
  <c r="AN241" i="1"/>
  <c r="AB241" i="1"/>
  <c r="D241" i="1"/>
  <c r="AY241" i="1"/>
  <c r="AM241" i="1"/>
  <c r="AA241" i="1"/>
  <c r="O241" i="1"/>
  <c r="P241" i="1" s="1"/>
  <c r="AL241" i="1"/>
  <c r="Z241" i="1"/>
  <c r="N241" i="1"/>
  <c r="AK241" i="1"/>
  <c r="Y241" i="1"/>
  <c r="M241" i="1"/>
  <c r="AJ241" i="1"/>
  <c r="X241" i="1"/>
  <c r="AS230" i="1"/>
  <c r="AG230" i="1"/>
  <c r="U230" i="1"/>
  <c r="I230" i="1"/>
  <c r="AR230" i="1"/>
  <c r="AF230" i="1"/>
  <c r="T230" i="1"/>
  <c r="H230" i="1"/>
  <c r="AT230" i="1" s="1"/>
  <c r="AQ230" i="1"/>
  <c r="AE230" i="1"/>
  <c r="S230" i="1"/>
  <c r="G230" i="1"/>
  <c r="AP230" i="1"/>
  <c r="AD230" i="1"/>
  <c r="R230" i="1"/>
  <c r="F230" i="1"/>
  <c r="AO230" i="1"/>
  <c r="Q230" i="1"/>
  <c r="E230" i="1"/>
  <c r="AN230" i="1"/>
  <c r="AB230" i="1"/>
  <c r="D230" i="1"/>
  <c r="AY230" i="1"/>
  <c r="AM230" i="1"/>
  <c r="AA230" i="1"/>
  <c r="O230" i="1"/>
  <c r="P230" i="1" s="1"/>
  <c r="AL230" i="1"/>
  <c r="Z230" i="1"/>
  <c r="N230" i="1"/>
  <c r="AK230" i="1"/>
  <c r="Y230" i="1"/>
  <c r="M230" i="1"/>
  <c r="AJ230" i="1"/>
  <c r="X230" i="1"/>
  <c r="AI230" i="1"/>
  <c r="W230" i="1"/>
  <c r="K230" i="1"/>
  <c r="L230" i="1" s="1"/>
  <c r="AH230" i="1"/>
  <c r="V230" i="1"/>
  <c r="J230" i="1"/>
  <c r="AQ237" i="1"/>
  <c r="AE237" i="1"/>
  <c r="S237" i="1"/>
  <c r="G237" i="1"/>
  <c r="AP237" i="1"/>
  <c r="AD237" i="1"/>
  <c r="R237" i="1"/>
  <c r="F237" i="1"/>
  <c r="AO237" i="1"/>
  <c r="Q237" i="1"/>
  <c r="E237" i="1"/>
  <c r="AN237" i="1"/>
  <c r="AB237" i="1"/>
  <c r="D237" i="1"/>
  <c r="AY237" i="1"/>
  <c r="AM237" i="1"/>
  <c r="AA237" i="1"/>
  <c r="O237" i="1"/>
  <c r="P237" i="1" s="1"/>
  <c r="AL237" i="1"/>
  <c r="Z237" i="1"/>
  <c r="N237" i="1"/>
  <c r="AK237" i="1"/>
  <c r="Y237" i="1"/>
  <c r="M237" i="1"/>
  <c r="AJ237" i="1"/>
  <c r="X237" i="1"/>
  <c r="AI237" i="1"/>
  <c r="W237" i="1"/>
  <c r="K237" i="1"/>
  <c r="L237" i="1" s="1"/>
  <c r="AH237" i="1"/>
  <c r="V237" i="1"/>
  <c r="J237" i="1"/>
  <c r="AS237" i="1"/>
  <c r="AG237" i="1"/>
  <c r="U237" i="1"/>
  <c r="I237" i="1"/>
  <c r="AR237" i="1"/>
  <c r="AF237" i="1"/>
  <c r="T237" i="1"/>
  <c r="H237" i="1"/>
  <c r="AT237" i="1" s="1"/>
  <c r="AO226" i="1"/>
  <c r="Q226" i="1"/>
  <c r="E226" i="1"/>
  <c r="AN226" i="1"/>
  <c r="AB226" i="1"/>
  <c r="D226" i="1"/>
  <c r="AY226" i="1"/>
  <c r="AM226" i="1"/>
  <c r="AA226" i="1"/>
  <c r="O226" i="1"/>
  <c r="P226" i="1" s="1"/>
  <c r="AL226" i="1"/>
  <c r="Z226" i="1"/>
  <c r="N226" i="1"/>
  <c r="AK226" i="1"/>
  <c r="Y226" i="1"/>
  <c r="M226" i="1"/>
  <c r="AJ226" i="1"/>
  <c r="X226" i="1"/>
  <c r="AI226" i="1"/>
  <c r="W226" i="1"/>
  <c r="K226" i="1"/>
  <c r="L226" i="1" s="1"/>
  <c r="AH226" i="1"/>
  <c r="V226" i="1"/>
  <c r="J226" i="1"/>
  <c r="AS226" i="1"/>
  <c r="AG226" i="1"/>
  <c r="U226" i="1"/>
  <c r="I226" i="1"/>
  <c r="AR226" i="1"/>
  <c r="AF226" i="1"/>
  <c r="T226" i="1"/>
  <c r="H226" i="1"/>
  <c r="AT226" i="1" s="1"/>
  <c r="AQ226" i="1"/>
  <c r="AE226" i="1"/>
  <c r="S226" i="1"/>
  <c r="G226" i="1"/>
  <c r="AP226" i="1"/>
  <c r="AD226" i="1"/>
  <c r="R226" i="1"/>
  <c r="F226" i="1"/>
  <c r="AY203" i="1"/>
  <c r="AM203" i="1"/>
  <c r="AA203" i="1"/>
  <c r="O203" i="1"/>
  <c r="P203" i="1" s="1"/>
  <c r="AL203" i="1"/>
  <c r="Z203" i="1"/>
  <c r="N203" i="1"/>
  <c r="AK203" i="1"/>
  <c r="Y203" i="1"/>
  <c r="M203" i="1"/>
  <c r="AJ203" i="1"/>
  <c r="X203" i="1"/>
  <c r="AI203" i="1"/>
  <c r="W203" i="1"/>
  <c r="K203" i="1"/>
  <c r="L203" i="1" s="1"/>
  <c r="AH203" i="1"/>
  <c r="V203" i="1"/>
  <c r="J203" i="1"/>
  <c r="AS203" i="1"/>
  <c r="AG203" i="1"/>
  <c r="U203" i="1"/>
  <c r="I203" i="1"/>
  <c r="AR203" i="1"/>
  <c r="AF203" i="1"/>
  <c r="T203" i="1"/>
  <c r="H203" i="1"/>
  <c r="AT203" i="1" s="1"/>
  <c r="AQ203" i="1"/>
  <c r="AE203" i="1"/>
  <c r="S203" i="1"/>
  <c r="G203" i="1"/>
  <c r="AP203" i="1"/>
  <c r="AD203" i="1"/>
  <c r="R203" i="1"/>
  <c r="F203" i="1"/>
  <c r="AO203" i="1"/>
  <c r="Q203" i="1"/>
  <c r="E203" i="1"/>
  <c r="AN203" i="1"/>
  <c r="AB203" i="1"/>
  <c r="D203" i="1"/>
  <c r="AK286" i="1"/>
  <c r="Y286" i="1"/>
  <c r="M286" i="1"/>
  <c r="AJ286" i="1"/>
  <c r="X286" i="1"/>
  <c r="AI286" i="1"/>
  <c r="W286" i="1"/>
  <c r="K286" i="1"/>
  <c r="L286" i="1" s="1"/>
  <c r="AH286" i="1"/>
  <c r="V286" i="1"/>
  <c r="J286" i="1"/>
  <c r="AS286" i="1"/>
  <c r="AG286" i="1"/>
  <c r="U286" i="1"/>
  <c r="I286" i="1"/>
  <c r="AR286" i="1"/>
  <c r="AF286" i="1"/>
  <c r="T286" i="1"/>
  <c r="H286" i="1"/>
  <c r="AT286" i="1" s="1"/>
  <c r="AQ286" i="1"/>
  <c r="AE286" i="1"/>
  <c r="S286" i="1"/>
  <c r="G286" i="1"/>
  <c r="AP286" i="1"/>
  <c r="AD286" i="1"/>
  <c r="R286" i="1"/>
  <c r="F286" i="1"/>
  <c r="AO286" i="1"/>
  <c r="Q286" i="1"/>
  <c r="E286" i="1"/>
  <c r="AN286" i="1"/>
  <c r="AB286" i="1"/>
  <c r="D286" i="1"/>
  <c r="AY286" i="1"/>
  <c r="AM286" i="1"/>
  <c r="AA286" i="1"/>
  <c r="O286" i="1"/>
  <c r="P286" i="1" s="1"/>
  <c r="AL286" i="1"/>
  <c r="Z286" i="1"/>
  <c r="N286" i="1"/>
  <c r="AI293" i="1"/>
  <c r="W293" i="1"/>
  <c r="K293" i="1"/>
  <c r="L293" i="1" s="1"/>
  <c r="AH293" i="1"/>
  <c r="V293" i="1"/>
  <c r="J293" i="1"/>
  <c r="AS293" i="1"/>
  <c r="AG293" i="1"/>
  <c r="U293" i="1"/>
  <c r="I293" i="1"/>
  <c r="AR293" i="1"/>
  <c r="AF293" i="1"/>
  <c r="T293" i="1"/>
  <c r="H293" i="1"/>
  <c r="AT293" i="1" s="1"/>
  <c r="AQ293" i="1"/>
  <c r="AE293" i="1"/>
  <c r="S293" i="1"/>
  <c r="G293" i="1"/>
  <c r="AP293" i="1"/>
  <c r="AD293" i="1"/>
  <c r="R293" i="1"/>
  <c r="F293" i="1"/>
  <c r="AO293" i="1"/>
  <c r="Q293" i="1"/>
  <c r="E293" i="1"/>
  <c r="AN293" i="1"/>
  <c r="AB293" i="1"/>
  <c r="D293" i="1"/>
  <c r="AY293" i="1"/>
  <c r="AM293" i="1"/>
  <c r="AA293" i="1"/>
  <c r="O293" i="1"/>
  <c r="P293" i="1" s="1"/>
  <c r="AL293" i="1"/>
  <c r="Z293" i="1"/>
  <c r="N293" i="1"/>
  <c r="AK293" i="1"/>
  <c r="Y293" i="1"/>
  <c r="M293" i="1"/>
  <c r="AJ293" i="1"/>
  <c r="X293" i="1"/>
  <c r="AS276" i="1"/>
  <c r="AG276" i="1"/>
  <c r="U276" i="1"/>
  <c r="I276" i="1"/>
  <c r="AR276" i="1"/>
  <c r="AF276" i="1"/>
  <c r="T276" i="1"/>
  <c r="H276" i="1"/>
  <c r="AT276" i="1" s="1"/>
  <c r="AQ276" i="1"/>
  <c r="AE276" i="1"/>
  <c r="S276" i="1"/>
  <c r="G276" i="1"/>
  <c r="AP276" i="1"/>
  <c r="AD276" i="1"/>
  <c r="R276" i="1"/>
  <c r="F276" i="1"/>
  <c r="AO276" i="1"/>
  <c r="Q276" i="1"/>
  <c r="E276" i="1"/>
  <c r="AN276" i="1"/>
  <c r="AB276" i="1"/>
  <c r="D276" i="1"/>
  <c r="AY276" i="1"/>
  <c r="AM276" i="1"/>
  <c r="AA276" i="1"/>
  <c r="O276" i="1"/>
  <c r="P276" i="1" s="1"/>
  <c r="AL276" i="1"/>
  <c r="Z276" i="1"/>
  <c r="N276" i="1"/>
  <c r="AK276" i="1"/>
  <c r="Y276" i="1"/>
  <c r="M276" i="1"/>
  <c r="AJ276" i="1"/>
  <c r="X276" i="1"/>
  <c r="AI276" i="1"/>
  <c r="W276" i="1"/>
  <c r="K276" i="1"/>
  <c r="L276" i="1" s="1"/>
  <c r="AH276" i="1"/>
  <c r="V276" i="1"/>
  <c r="J276" i="1"/>
  <c r="AQ271" i="1"/>
  <c r="AE271" i="1"/>
  <c r="S271" i="1"/>
  <c r="G271" i="1"/>
  <c r="AP271" i="1"/>
  <c r="AD271" i="1"/>
  <c r="R271" i="1"/>
  <c r="F271" i="1"/>
  <c r="AO271" i="1"/>
  <c r="Q271" i="1"/>
  <c r="E271" i="1"/>
  <c r="AN271" i="1"/>
  <c r="AB271" i="1"/>
  <c r="D271" i="1"/>
  <c r="AY271" i="1"/>
  <c r="AM271" i="1"/>
  <c r="AA271" i="1"/>
  <c r="O271" i="1"/>
  <c r="P271" i="1" s="1"/>
  <c r="AL271" i="1"/>
  <c r="Z271" i="1"/>
  <c r="N271" i="1"/>
  <c r="AK271" i="1"/>
  <c r="Y271" i="1"/>
  <c r="M271" i="1"/>
  <c r="AJ271" i="1"/>
  <c r="X271" i="1"/>
  <c r="AS271" i="1"/>
  <c r="AG271" i="1"/>
  <c r="U271" i="1"/>
  <c r="I271" i="1"/>
  <c r="AR271" i="1"/>
  <c r="AF271" i="1"/>
  <c r="T271" i="1"/>
  <c r="H271" i="1"/>
  <c r="AT271" i="1" s="1"/>
  <c r="AI271" i="1"/>
  <c r="AH271" i="1"/>
  <c r="W271" i="1"/>
  <c r="V271" i="1"/>
  <c r="K271" i="1"/>
  <c r="L271" i="1" s="1"/>
  <c r="J271" i="1"/>
  <c r="AO272" i="1"/>
  <c r="Q272" i="1"/>
  <c r="E272" i="1"/>
  <c r="AN272" i="1"/>
  <c r="AB272" i="1"/>
  <c r="D272" i="1"/>
  <c r="AY272" i="1"/>
  <c r="AM272" i="1"/>
  <c r="AA272" i="1"/>
  <c r="O272" i="1"/>
  <c r="P272" i="1" s="1"/>
  <c r="AL272" i="1"/>
  <c r="Z272" i="1"/>
  <c r="N272" i="1"/>
  <c r="AK272" i="1"/>
  <c r="Y272" i="1"/>
  <c r="M272" i="1"/>
  <c r="AJ272" i="1"/>
  <c r="X272" i="1"/>
  <c r="AI272" i="1"/>
  <c r="W272" i="1"/>
  <c r="K272" i="1"/>
  <c r="L272" i="1" s="1"/>
  <c r="AH272" i="1"/>
  <c r="V272" i="1"/>
  <c r="J272" i="1"/>
  <c r="AQ272" i="1"/>
  <c r="AE272" i="1"/>
  <c r="S272" i="1"/>
  <c r="G272" i="1"/>
  <c r="AP272" i="1"/>
  <c r="AD272" i="1"/>
  <c r="R272" i="1"/>
  <c r="F272" i="1"/>
  <c r="AS272" i="1"/>
  <c r="AR272" i="1"/>
  <c r="AG272" i="1"/>
  <c r="AF272" i="1"/>
  <c r="U272" i="1"/>
  <c r="T272" i="1"/>
  <c r="I272" i="1"/>
  <c r="H272" i="1"/>
  <c r="AT272" i="1" s="1"/>
  <c r="AY255" i="1"/>
  <c r="AM255" i="1"/>
  <c r="AA255" i="1"/>
  <c r="O255" i="1"/>
  <c r="P255" i="1" s="1"/>
  <c r="AL255" i="1"/>
  <c r="AH255" i="1"/>
  <c r="V255" i="1"/>
  <c r="J255" i="1"/>
  <c r="AS255" i="1"/>
  <c r="AG255" i="1"/>
  <c r="U255" i="1"/>
  <c r="I255" i="1"/>
  <c r="AR255" i="1"/>
  <c r="AF255" i="1"/>
  <c r="T255" i="1"/>
  <c r="H255" i="1"/>
  <c r="AT255" i="1" s="1"/>
  <c r="AN255" i="1"/>
  <c r="AB255" i="1"/>
  <c r="D255" i="1"/>
  <c r="AE255" i="1"/>
  <c r="AD255" i="1"/>
  <c r="K255" i="1"/>
  <c r="L255" i="1" s="1"/>
  <c r="G255" i="1"/>
  <c r="Z255" i="1"/>
  <c r="F255" i="1"/>
  <c r="Y255" i="1"/>
  <c r="E255" i="1"/>
  <c r="X255" i="1"/>
  <c r="AQ255" i="1"/>
  <c r="W255" i="1"/>
  <c r="AP255" i="1"/>
  <c r="S255" i="1"/>
  <c r="AO255" i="1"/>
  <c r="R255" i="1"/>
  <c r="AK255" i="1"/>
  <c r="Q255" i="1"/>
  <c r="AJ255" i="1"/>
  <c r="N255" i="1"/>
  <c r="AI255" i="1"/>
  <c r="M255" i="1"/>
  <c r="AY327" i="1"/>
  <c r="AM327" i="1"/>
  <c r="AA327" i="1"/>
  <c r="O327" i="1"/>
  <c r="P327" i="1" s="1"/>
  <c r="AL327" i="1"/>
  <c r="Z327" i="1"/>
  <c r="N327" i="1"/>
  <c r="AK327" i="1"/>
  <c r="Y327" i="1"/>
  <c r="M327" i="1"/>
  <c r="AJ327" i="1"/>
  <c r="X327" i="1"/>
  <c r="AI327" i="1"/>
  <c r="W327" i="1"/>
  <c r="K327" i="1"/>
  <c r="L327" i="1" s="1"/>
  <c r="AH327" i="1"/>
  <c r="V327" i="1"/>
  <c r="J327" i="1"/>
  <c r="AS327" i="1"/>
  <c r="AG327" i="1"/>
  <c r="U327" i="1"/>
  <c r="I327" i="1"/>
  <c r="AR327" i="1"/>
  <c r="AF327" i="1"/>
  <c r="T327" i="1"/>
  <c r="H327" i="1"/>
  <c r="AT327" i="1" s="1"/>
  <c r="AQ327" i="1"/>
  <c r="AE327" i="1"/>
  <c r="S327" i="1"/>
  <c r="G327" i="1"/>
  <c r="AP327" i="1"/>
  <c r="AD327" i="1"/>
  <c r="R327" i="1"/>
  <c r="F327" i="1"/>
  <c r="AO327" i="1"/>
  <c r="Q327" i="1"/>
  <c r="E327" i="1"/>
  <c r="AN327" i="1"/>
  <c r="AB327" i="1"/>
  <c r="D327" i="1"/>
  <c r="AK392" i="1"/>
  <c r="Y392" i="1"/>
  <c r="M392" i="1"/>
  <c r="AJ392" i="1"/>
  <c r="X392" i="1"/>
  <c r="AI392" i="1"/>
  <c r="W392" i="1"/>
  <c r="K392" i="1"/>
  <c r="L392" i="1" s="1"/>
  <c r="AH392" i="1"/>
  <c r="V392" i="1"/>
  <c r="J392" i="1"/>
  <c r="AS392" i="1"/>
  <c r="AG392" i="1"/>
  <c r="U392" i="1"/>
  <c r="I392" i="1"/>
  <c r="AR392" i="1"/>
  <c r="AF392" i="1"/>
  <c r="T392" i="1"/>
  <c r="H392" i="1"/>
  <c r="AT392" i="1" s="1"/>
  <c r="AQ392" i="1"/>
  <c r="AE392" i="1"/>
  <c r="S392" i="1"/>
  <c r="G392" i="1"/>
  <c r="AP392" i="1"/>
  <c r="AD392" i="1"/>
  <c r="R392" i="1"/>
  <c r="F392" i="1"/>
  <c r="AO392" i="1"/>
  <c r="Q392" i="1"/>
  <c r="E392" i="1"/>
  <c r="AN392" i="1"/>
  <c r="AB392" i="1"/>
  <c r="D392" i="1"/>
  <c r="AY392" i="1"/>
  <c r="AM392" i="1"/>
  <c r="AA392" i="1"/>
  <c r="O392" i="1"/>
  <c r="P392" i="1" s="1"/>
  <c r="AL392" i="1"/>
  <c r="Z392" i="1"/>
  <c r="N392" i="1"/>
  <c r="AI399" i="1"/>
  <c r="W399" i="1"/>
  <c r="K399" i="1"/>
  <c r="L399" i="1" s="1"/>
  <c r="AH399" i="1"/>
  <c r="V399" i="1"/>
  <c r="J399" i="1"/>
  <c r="AS399" i="1"/>
  <c r="AG399" i="1"/>
  <c r="U399" i="1"/>
  <c r="I399" i="1"/>
  <c r="AR399" i="1"/>
  <c r="AF399" i="1"/>
  <c r="T399" i="1"/>
  <c r="H399" i="1"/>
  <c r="AT399" i="1" s="1"/>
  <c r="AQ399" i="1"/>
  <c r="AE399" i="1"/>
  <c r="S399" i="1"/>
  <c r="G399" i="1"/>
  <c r="AP399" i="1"/>
  <c r="AD399" i="1"/>
  <c r="R399" i="1"/>
  <c r="F399" i="1"/>
  <c r="AO399" i="1"/>
  <c r="Q399" i="1"/>
  <c r="E399" i="1"/>
  <c r="AN399" i="1"/>
  <c r="AB399" i="1"/>
  <c r="D399" i="1"/>
  <c r="AY399" i="1"/>
  <c r="AM399" i="1"/>
  <c r="AA399" i="1"/>
  <c r="O399" i="1"/>
  <c r="P399" i="1" s="1"/>
  <c r="AL399" i="1"/>
  <c r="Z399" i="1"/>
  <c r="N399" i="1"/>
  <c r="AK399" i="1"/>
  <c r="Y399" i="1"/>
  <c r="M399" i="1"/>
  <c r="AJ399" i="1"/>
  <c r="X399" i="1"/>
  <c r="AS394" i="1"/>
  <c r="AG394" i="1"/>
  <c r="U394" i="1"/>
  <c r="I394" i="1"/>
  <c r="AR394" i="1"/>
  <c r="AF394" i="1"/>
  <c r="T394" i="1"/>
  <c r="H394" i="1"/>
  <c r="AT394" i="1" s="1"/>
  <c r="AQ394" i="1"/>
  <c r="AE394" i="1"/>
  <c r="S394" i="1"/>
  <c r="G394" i="1"/>
  <c r="AP394" i="1"/>
  <c r="AD394" i="1"/>
  <c r="R394" i="1"/>
  <c r="F394" i="1"/>
  <c r="AO394" i="1"/>
  <c r="Q394" i="1"/>
  <c r="E394" i="1"/>
  <c r="AN394" i="1"/>
  <c r="AB394" i="1"/>
  <c r="D394" i="1"/>
  <c r="AY394" i="1"/>
  <c r="AM394" i="1"/>
  <c r="AA394" i="1"/>
  <c r="O394" i="1"/>
  <c r="P394" i="1" s="1"/>
  <c r="AL394" i="1"/>
  <c r="Z394" i="1"/>
  <c r="N394" i="1"/>
  <c r="AK394" i="1"/>
  <c r="Y394" i="1"/>
  <c r="M394" i="1"/>
  <c r="AJ394" i="1"/>
  <c r="X394" i="1"/>
  <c r="AI394" i="1"/>
  <c r="W394" i="1"/>
  <c r="K394" i="1"/>
  <c r="L394" i="1" s="1"/>
  <c r="AH394" i="1"/>
  <c r="V394" i="1"/>
  <c r="J394" i="1"/>
  <c r="AQ389" i="1"/>
  <c r="AE389" i="1"/>
  <c r="S389" i="1"/>
  <c r="G389" i="1"/>
  <c r="AP389" i="1"/>
  <c r="AD389" i="1"/>
  <c r="R389" i="1"/>
  <c r="F389" i="1"/>
  <c r="AO389" i="1"/>
  <c r="Q389" i="1"/>
  <c r="E389" i="1"/>
  <c r="AN389" i="1"/>
  <c r="AB389" i="1"/>
  <c r="D389" i="1"/>
  <c r="AY389" i="1"/>
  <c r="AM389" i="1"/>
  <c r="AA389" i="1"/>
  <c r="O389" i="1"/>
  <c r="P389" i="1" s="1"/>
  <c r="AL389" i="1"/>
  <c r="Z389" i="1"/>
  <c r="N389" i="1"/>
  <c r="AK389" i="1"/>
  <c r="Y389" i="1"/>
  <c r="M389" i="1"/>
  <c r="AJ389" i="1"/>
  <c r="X389" i="1"/>
  <c r="AI389" i="1"/>
  <c r="W389" i="1"/>
  <c r="K389" i="1"/>
  <c r="L389" i="1" s="1"/>
  <c r="AH389" i="1"/>
  <c r="V389" i="1"/>
  <c r="J389" i="1"/>
  <c r="AS389" i="1"/>
  <c r="AG389" i="1"/>
  <c r="U389" i="1"/>
  <c r="I389" i="1"/>
  <c r="AR389" i="1"/>
  <c r="AF389" i="1"/>
  <c r="T389" i="1"/>
  <c r="H389" i="1"/>
  <c r="AT389" i="1" s="1"/>
  <c r="AO390" i="1"/>
  <c r="Q390" i="1"/>
  <c r="E390" i="1"/>
  <c r="AN390" i="1"/>
  <c r="AB390" i="1"/>
  <c r="D390" i="1"/>
  <c r="AY390" i="1"/>
  <c r="AM390" i="1"/>
  <c r="AA390" i="1"/>
  <c r="O390" i="1"/>
  <c r="P390" i="1" s="1"/>
  <c r="AL390" i="1"/>
  <c r="Z390" i="1"/>
  <c r="N390" i="1"/>
  <c r="AK390" i="1"/>
  <c r="Y390" i="1"/>
  <c r="M390" i="1"/>
  <c r="AJ390" i="1"/>
  <c r="X390" i="1"/>
  <c r="AI390" i="1"/>
  <c r="W390" i="1"/>
  <c r="K390" i="1"/>
  <c r="L390" i="1" s="1"/>
  <c r="AH390" i="1"/>
  <c r="V390" i="1"/>
  <c r="J390" i="1"/>
  <c r="AS390" i="1"/>
  <c r="AG390" i="1"/>
  <c r="U390" i="1"/>
  <c r="I390" i="1"/>
  <c r="AR390" i="1"/>
  <c r="AF390" i="1"/>
  <c r="T390" i="1"/>
  <c r="H390" i="1"/>
  <c r="AT390" i="1" s="1"/>
  <c r="AQ390" i="1"/>
  <c r="AE390" i="1"/>
  <c r="S390" i="1"/>
  <c r="G390" i="1"/>
  <c r="AP390" i="1"/>
  <c r="AD390" i="1"/>
  <c r="R390" i="1"/>
  <c r="F390" i="1"/>
  <c r="AY373" i="1"/>
  <c r="AM373" i="1"/>
  <c r="AA373" i="1"/>
  <c r="O373" i="1"/>
  <c r="P373" i="1" s="1"/>
  <c r="AL373" i="1"/>
  <c r="Z373" i="1"/>
  <c r="N373" i="1"/>
  <c r="AK373" i="1"/>
  <c r="Y373" i="1"/>
  <c r="M373" i="1"/>
  <c r="AJ373" i="1"/>
  <c r="X373" i="1"/>
  <c r="AI373" i="1"/>
  <c r="W373" i="1"/>
  <c r="K373" i="1"/>
  <c r="L373" i="1" s="1"/>
  <c r="AH373" i="1"/>
  <c r="V373" i="1"/>
  <c r="J373" i="1"/>
  <c r="AS373" i="1"/>
  <c r="AG373" i="1"/>
  <c r="U373" i="1"/>
  <c r="I373" i="1"/>
  <c r="AR373" i="1"/>
  <c r="AF373" i="1"/>
  <c r="T373" i="1"/>
  <c r="H373" i="1"/>
  <c r="AT373" i="1" s="1"/>
  <c r="AQ373" i="1"/>
  <c r="AE373" i="1"/>
  <c r="S373" i="1"/>
  <c r="G373" i="1"/>
  <c r="AP373" i="1"/>
  <c r="AD373" i="1"/>
  <c r="R373" i="1"/>
  <c r="F373" i="1"/>
  <c r="AO373" i="1"/>
  <c r="Q373" i="1"/>
  <c r="E373" i="1"/>
  <c r="AN373" i="1"/>
  <c r="AB373" i="1"/>
  <c r="D373" i="1"/>
  <c r="AL455" i="1"/>
  <c r="Z455" i="1"/>
  <c r="N455" i="1"/>
  <c r="AK455" i="1"/>
  <c r="Y455" i="1"/>
  <c r="M455" i="1"/>
  <c r="AJ455" i="1"/>
  <c r="X455" i="1"/>
  <c r="AI455" i="1"/>
  <c r="W455" i="1"/>
  <c r="K455" i="1"/>
  <c r="L455" i="1" s="1"/>
  <c r="AH455" i="1"/>
  <c r="V455" i="1"/>
  <c r="J455" i="1"/>
  <c r="AS455" i="1"/>
  <c r="AG455" i="1"/>
  <c r="U455" i="1"/>
  <c r="I455" i="1"/>
  <c r="AR455" i="1"/>
  <c r="AF455" i="1"/>
  <c r="T455" i="1"/>
  <c r="H455" i="1"/>
  <c r="AT455" i="1" s="1"/>
  <c r="AQ455" i="1"/>
  <c r="AE455" i="1"/>
  <c r="S455" i="1"/>
  <c r="G455" i="1"/>
  <c r="AP455" i="1"/>
  <c r="AD455" i="1"/>
  <c r="R455" i="1"/>
  <c r="F455" i="1"/>
  <c r="AO455" i="1"/>
  <c r="Q455" i="1"/>
  <c r="E455" i="1"/>
  <c r="AN455" i="1"/>
  <c r="AB455" i="1"/>
  <c r="D455" i="1"/>
  <c r="AY455" i="1"/>
  <c r="AM455" i="1"/>
  <c r="AA455" i="1"/>
  <c r="O455" i="1"/>
  <c r="P455" i="1" s="1"/>
  <c r="AJ444" i="1"/>
  <c r="X444" i="1"/>
  <c r="AI444" i="1"/>
  <c r="W444" i="1"/>
  <c r="K444" i="1"/>
  <c r="L444" i="1" s="1"/>
  <c r="AH444" i="1"/>
  <c r="V444" i="1"/>
  <c r="J444" i="1"/>
  <c r="AS444" i="1"/>
  <c r="AG444" i="1"/>
  <c r="U444" i="1"/>
  <c r="I444" i="1"/>
  <c r="AR444" i="1"/>
  <c r="AF444" i="1"/>
  <c r="T444" i="1"/>
  <c r="H444" i="1"/>
  <c r="AT444" i="1" s="1"/>
  <c r="AQ444" i="1"/>
  <c r="AE444" i="1"/>
  <c r="S444" i="1"/>
  <c r="G444" i="1"/>
  <c r="AP444" i="1"/>
  <c r="AD444" i="1"/>
  <c r="R444" i="1"/>
  <c r="F444" i="1"/>
  <c r="AO444" i="1"/>
  <c r="Q444" i="1"/>
  <c r="E444" i="1"/>
  <c r="AN444" i="1"/>
  <c r="AB444" i="1"/>
  <c r="D444" i="1"/>
  <c r="AY444" i="1"/>
  <c r="AM444" i="1"/>
  <c r="AA444" i="1"/>
  <c r="O444" i="1"/>
  <c r="P444" i="1" s="1"/>
  <c r="AL444" i="1"/>
  <c r="Z444" i="1"/>
  <c r="N444" i="1"/>
  <c r="AK444" i="1"/>
  <c r="Y444" i="1"/>
  <c r="M444" i="1"/>
  <c r="AH439" i="1"/>
  <c r="V439" i="1"/>
  <c r="J439" i="1"/>
  <c r="AS439" i="1"/>
  <c r="AG439" i="1"/>
  <c r="U439" i="1"/>
  <c r="I439" i="1"/>
  <c r="AR439" i="1"/>
  <c r="AF439" i="1"/>
  <c r="T439" i="1"/>
  <c r="H439" i="1"/>
  <c r="AT439" i="1" s="1"/>
  <c r="AQ439" i="1"/>
  <c r="AE439" i="1"/>
  <c r="S439" i="1"/>
  <c r="G439" i="1"/>
  <c r="AP439" i="1"/>
  <c r="AD439" i="1"/>
  <c r="R439" i="1"/>
  <c r="F439" i="1"/>
  <c r="AO439" i="1"/>
  <c r="Q439" i="1"/>
  <c r="E439" i="1"/>
  <c r="AN439" i="1"/>
  <c r="AB439" i="1"/>
  <c r="D439" i="1"/>
  <c r="AY439" i="1"/>
  <c r="AM439" i="1"/>
  <c r="AA439" i="1"/>
  <c r="O439" i="1"/>
  <c r="P439" i="1" s="1"/>
  <c r="AL439" i="1"/>
  <c r="Z439" i="1"/>
  <c r="N439" i="1"/>
  <c r="AK439" i="1"/>
  <c r="Y439" i="1"/>
  <c r="M439" i="1"/>
  <c r="AJ439" i="1"/>
  <c r="X439" i="1"/>
  <c r="AI439" i="1"/>
  <c r="W439" i="1"/>
  <c r="K439" i="1"/>
  <c r="L439" i="1" s="1"/>
  <c r="AR434" i="1"/>
  <c r="AF434" i="1"/>
  <c r="T434" i="1"/>
  <c r="H434" i="1"/>
  <c r="AT434" i="1" s="1"/>
  <c r="AQ434" i="1"/>
  <c r="AE434" i="1"/>
  <c r="S434" i="1"/>
  <c r="G434" i="1"/>
  <c r="AP434" i="1"/>
  <c r="AD434" i="1"/>
  <c r="R434" i="1"/>
  <c r="F434" i="1"/>
  <c r="AO434" i="1"/>
  <c r="Q434" i="1"/>
  <c r="E434" i="1"/>
  <c r="AN434" i="1"/>
  <c r="AB434" i="1"/>
  <c r="D434" i="1"/>
  <c r="AY434" i="1"/>
  <c r="AM434" i="1"/>
  <c r="AA434" i="1"/>
  <c r="O434" i="1"/>
  <c r="P434" i="1" s="1"/>
  <c r="AL434" i="1"/>
  <c r="Z434" i="1"/>
  <c r="N434" i="1"/>
  <c r="AK434" i="1"/>
  <c r="Y434" i="1"/>
  <c r="M434" i="1"/>
  <c r="AJ434" i="1"/>
  <c r="X434" i="1"/>
  <c r="AI434" i="1"/>
  <c r="W434" i="1"/>
  <c r="K434" i="1"/>
  <c r="L434" i="1" s="1"/>
  <c r="AH434" i="1"/>
  <c r="V434" i="1"/>
  <c r="J434" i="1"/>
  <c r="AS434" i="1"/>
  <c r="AG434" i="1"/>
  <c r="U434" i="1"/>
  <c r="I434" i="1"/>
  <c r="AP429" i="1"/>
  <c r="AD429" i="1"/>
  <c r="R429" i="1"/>
  <c r="F429" i="1"/>
  <c r="AO429" i="1"/>
  <c r="Q429" i="1"/>
  <c r="E429" i="1"/>
  <c r="AN429" i="1"/>
  <c r="AB429" i="1"/>
  <c r="D429" i="1"/>
  <c r="AY429" i="1"/>
  <c r="AM429" i="1"/>
  <c r="AA429" i="1"/>
  <c r="O429" i="1"/>
  <c r="P429" i="1" s="1"/>
  <c r="AL429" i="1"/>
  <c r="Z429" i="1"/>
  <c r="N429" i="1"/>
  <c r="AK429" i="1"/>
  <c r="Y429" i="1"/>
  <c r="M429" i="1"/>
  <c r="AJ429" i="1"/>
  <c r="X429" i="1"/>
  <c r="AI429" i="1"/>
  <c r="W429" i="1"/>
  <c r="K429" i="1"/>
  <c r="L429" i="1" s="1"/>
  <c r="AH429" i="1"/>
  <c r="V429" i="1"/>
  <c r="J429" i="1"/>
  <c r="AS429" i="1"/>
  <c r="AG429" i="1"/>
  <c r="U429" i="1"/>
  <c r="I429" i="1"/>
  <c r="AR429" i="1"/>
  <c r="AF429" i="1"/>
  <c r="T429" i="1"/>
  <c r="H429" i="1"/>
  <c r="AT429" i="1" s="1"/>
  <c r="AQ429" i="1"/>
  <c r="AE429" i="1"/>
  <c r="S429" i="1"/>
  <c r="G429" i="1"/>
  <c r="AN418" i="1"/>
  <c r="AB418" i="1"/>
  <c r="D418" i="1"/>
  <c r="AY418" i="1"/>
  <c r="AM418" i="1"/>
  <c r="AA418" i="1"/>
  <c r="O418" i="1"/>
  <c r="P418" i="1" s="1"/>
  <c r="AL418" i="1"/>
  <c r="Z418" i="1"/>
  <c r="N418" i="1"/>
  <c r="AK418" i="1"/>
  <c r="Y418" i="1"/>
  <c r="M418" i="1"/>
  <c r="AJ418" i="1"/>
  <c r="X418" i="1"/>
  <c r="AI418" i="1"/>
  <c r="W418" i="1"/>
  <c r="K418" i="1"/>
  <c r="L418" i="1" s="1"/>
  <c r="AH418" i="1"/>
  <c r="V418" i="1"/>
  <c r="J418" i="1"/>
  <c r="AS418" i="1"/>
  <c r="AG418" i="1"/>
  <c r="U418" i="1"/>
  <c r="I418" i="1"/>
  <c r="AP418" i="1"/>
  <c r="AD418" i="1"/>
  <c r="R418" i="1"/>
  <c r="F418" i="1"/>
  <c r="AO418" i="1"/>
  <c r="Q418" i="1"/>
  <c r="E418" i="1"/>
  <c r="AQ418" i="1"/>
  <c r="AF418" i="1"/>
  <c r="AE418" i="1"/>
  <c r="T418" i="1"/>
  <c r="S418" i="1"/>
  <c r="H418" i="1"/>
  <c r="AT418" i="1" s="1"/>
  <c r="G418" i="1"/>
  <c r="AR418" i="1"/>
  <c r="AH490" i="1"/>
  <c r="V490" i="1"/>
  <c r="J490" i="1"/>
  <c r="AS490" i="1"/>
  <c r="AG490" i="1"/>
  <c r="U490" i="1"/>
  <c r="I490" i="1"/>
  <c r="AR490" i="1"/>
  <c r="AF490" i="1"/>
  <c r="T490" i="1"/>
  <c r="H490" i="1"/>
  <c r="AT490" i="1" s="1"/>
  <c r="AK490" i="1"/>
  <c r="S490" i="1"/>
  <c r="D490" i="1"/>
  <c r="AY490" i="1"/>
  <c r="AJ490" i="1"/>
  <c r="R490" i="1"/>
  <c r="AI490" i="1"/>
  <c r="Q490" i="1"/>
  <c r="AE490" i="1"/>
  <c r="AD490" i="1"/>
  <c r="O490" i="1"/>
  <c r="P490" i="1" s="1"/>
  <c r="N490" i="1"/>
  <c r="AQ490" i="1"/>
  <c r="AB490" i="1"/>
  <c r="M490" i="1"/>
  <c r="AP490" i="1"/>
  <c r="AA490" i="1"/>
  <c r="AO490" i="1"/>
  <c r="Z490" i="1"/>
  <c r="K490" i="1"/>
  <c r="L490" i="1" s="1"/>
  <c r="AN490" i="1"/>
  <c r="Y490" i="1"/>
  <c r="G490" i="1"/>
  <c r="AM490" i="1"/>
  <c r="X490" i="1"/>
  <c r="F490" i="1"/>
  <c r="AL490" i="1"/>
  <c r="W490" i="1"/>
  <c r="E490" i="1"/>
  <c r="AJ519" i="1"/>
  <c r="X519" i="1"/>
  <c r="AI519" i="1"/>
  <c r="W519" i="1"/>
  <c r="K519" i="1"/>
  <c r="L519" i="1" s="1"/>
  <c r="AH519" i="1"/>
  <c r="V519" i="1"/>
  <c r="J519" i="1"/>
  <c r="AS519" i="1"/>
  <c r="AG519" i="1"/>
  <c r="U519" i="1"/>
  <c r="I519" i="1"/>
  <c r="AR519" i="1"/>
  <c r="AF519" i="1"/>
  <c r="T519" i="1"/>
  <c r="H519" i="1"/>
  <c r="AT519" i="1" s="1"/>
  <c r="AQ519" i="1"/>
  <c r="AE519" i="1"/>
  <c r="S519" i="1"/>
  <c r="G519" i="1"/>
  <c r="AP519" i="1"/>
  <c r="AD519" i="1"/>
  <c r="R519" i="1"/>
  <c r="F519" i="1"/>
  <c r="AO519" i="1"/>
  <c r="Q519" i="1"/>
  <c r="E519" i="1"/>
  <c r="AN519" i="1"/>
  <c r="AB519" i="1"/>
  <c r="D519" i="1"/>
  <c r="AY519" i="1"/>
  <c r="AM519" i="1"/>
  <c r="AA519" i="1"/>
  <c r="O519" i="1"/>
  <c r="P519" i="1" s="1"/>
  <c r="AL519" i="1"/>
  <c r="Z519" i="1"/>
  <c r="N519" i="1"/>
  <c r="AK519" i="1"/>
  <c r="Y519" i="1"/>
  <c r="M519" i="1"/>
  <c r="AR509" i="1"/>
  <c r="AF509" i="1"/>
  <c r="T509" i="1"/>
  <c r="H509" i="1"/>
  <c r="AT509" i="1" s="1"/>
  <c r="AQ509" i="1"/>
  <c r="AE509" i="1"/>
  <c r="S509" i="1"/>
  <c r="G509" i="1"/>
  <c r="AP509" i="1"/>
  <c r="AD509" i="1"/>
  <c r="R509" i="1"/>
  <c r="F509" i="1"/>
  <c r="AO509" i="1"/>
  <c r="Q509" i="1"/>
  <c r="E509" i="1"/>
  <c r="AN509" i="1"/>
  <c r="AB509" i="1"/>
  <c r="D509" i="1"/>
  <c r="AY509" i="1"/>
  <c r="AM509" i="1"/>
  <c r="AA509" i="1"/>
  <c r="O509" i="1"/>
  <c r="P509" i="1" s="1"/>
  <c r="AL509" i="1"/>
  <c r="Z509" i="1"/>
  <c r="N509" i="1"/>
  <c r="AK509" i="1"/>
  <c r="Y509" i="1"/>
  <c r="M509" i="1"/>
  <c r="AJ509" i="1"/>
  <c r="X509" i="1"/>
  <c r="AI509" i="1"/>
  <c r="W509" i="1"/>
  <c r="K509" i="1"/>
  <c r="L509" i="1" s="1"/>
  <c r="AH509" i="1"/>
  <c r="V509" i="1"/>
  <c r="J509" i="1"/>
  <c r="AS509" i="1"/>
  <c r="AG509" i="1"/>
  <c r="U509" i="1"/>
  <c r="I509" i="1"/>
  <c r="AN493" i="1"/>
  <c r="AB493" i="1"/>
  <c r="D493" i="1"/>
  <c r="AY493" i="1"/>
  <c r="AM493" i="1"/>
  <c r="AA493" i="1"/>
  <c r="O493" i="1"/>
  <c r="P493" i="1" s="1"/>
  <c r="AL493" i="1"/>
  <c r="Z493" i="1"/>
  <c r="N493" i="1"/>
  <c r="AK493" i="1"/>
  <c r="Y493" i="1"/>
  <c r="M493" i="1"/>
  <c r="AJ493" i="1"/>
  <c r="X493" i="1"/>
  <c r="AI493" i="1"/>
  <c r="W493" i="1"/>
  <c r="K493" i="1"/>
  <c r="L493" i="1" s="1"/>
  <c r="AD493" i="1"/>
  <c r="F493" i="1"/>
  <c r="E493" i="1"/>
  <c r="V493" i="1"/>
  <c r="AS493" i="1"/>
  <c r="U493" i="1"/>
  <c r="AR493" i="1"/>
  <c r="T493" i="1"/>
  <c r="AQ493" i="1"/>
  <c r="S493" i="1"/>
  <c r="AP493" i="1"/>
  <c r="R493" i="1"/>
  <c r="AO493" i="1"/>
  <c r="Q493" i="1"/>
  <c r="AH493" i="1"/>
  <c r="J493" i="1"/>
  <c r="AG493" i="1"/>
  <c r="I493" i="1"/>
  <c r="AF493" i="1"/>
  <c r="H493" i="1"/>
  <c r="AT493" i="1" s="1"/>
  <c r="AE493" i="1"/>
  <c r="G493" i="1"/>
  <c r="AL565" i="1"/>
  <c r="Z565" i="1"/>
  <c r="N565" i="1"/>
  <c r="AK565" i="1"/>
  <c r="Y565" i="1"/>
  <c r="M565" i="1"/>
  <c r="AJ565" i="1"/>
  <c r="X565" i="1"/>
  <c r="AI565" i="1"/>
  <c r="W565" i="1"/>
  <c r="K565" i="1"/>
  <c r="L565" i="1" s="1"/>
  <c r="AH565" i="1"/>
  <c r="V565" i="1"/>
  <c r="J565" i="1"/>
  <c r="AS565" i="1"/>
  <c r="AG565" i="1"/>
  <c r="U565" i="1"/>
  <c r="I565" i="1"/>
  <c r="AR565" i="1"/>
  <c r="AF565" i="1"/>
  <c r="T565" i="1"/>
  <c r="H565" i="1"/>
  <c r="AT565" i="1" s="1"/>
  <c r="AQ565" i="1"/>
  <c r="AE565" i="1"/>
  <c r="S565" i="1"/>
  <c r="G565" i="1"/>
  <c r="AP565" i="1"/>
  <c r="AD565" i="1"/>
  <c r="R565" i="1"/>
  <c r="F565" i="1"/>
  <c r="AO565" i="1"/>
  <c r="Q565" i="1"/>
  <c r="E565" i="1"/>
  <c r="AN565" i="1"/>
  <c r="AB565" i="1"/>
  <c r="D565" i="1"/>
  <c r="AY565" i="1"/>
  <c r="AM565" i="1"/>
  <c r="AA565" i="1"/>
  <c r="O565" i="1"/>
  <c r="P565" i="1" s="1"/>
  <c r="AH543" i="1"/>
  <c r="V543" i="1"/>
  <c r="J543" i="1"/>
  <c r="AS543" i="1"/>
  <c r="AG543" i="1"/>
  <c r="U543" i="1"/>
  <c r="I543" i="1"/>
  <c r="AR543" i="1"/>
  <c r="AF543" i="1"/>
  <c r="T543" i="1"/>
  <c r="H543" i="1"/>
  <c r="AT543" i="1" s="1"/>
  <c r="AQ543" i="1"/>
  <c r="AE543" i="1"/>
  <c r="S543" i="1"/>
  <c r="G543" i="1"/>
  <c r="AP543" i="1"/>
  <c r="AD543" i="1"/>
  <c r="R543" i="1"/>
  <c r="F543" i="1"/>
  <c r="AO543" i="1"/>
  <c r="Q543" i="1"/>
  <c r="E543" i="1"/>
  <c r="AN543" i="1"/>
  <c r="AB543" i="1"/>
  <c r="D543" i="1"/>
  <c r="AY543" i="1"/>
  <c r="AM543" i="1"/>
  <c r="AA543" i="1"/>
  <c r="O543" i="1"/>
  <c r="P543" i="1" s="1"/>
  <c r="AJ543" i="1"/>
  <c r="X543" i="1"/>
  <c r="AI543" i="1"/>
  <c r="W543" i="1"/>
  <c r="K543" i="1"/>
  <c r="L543" i="1" s="1"/>
  <c r="AL543" i="1"/>
  <c r="AK543" i="1"/>
  <c r="Z543" i="1"/>
  <c r="Y543" i="1"/>
  <c r="N543" i="1"/>
  <c r="M543" i="1"/>
  <c r="AP545" i="1"/>
  <c r="AD545" i="1"/>
  <c r="R545" i="1"/>
  <c r="F545" i="1"/>
  <c r="AO545" i="1"/>
  <c r="Q545" i="1"/>
  <c r="E545" i="1"/>
  <c r="AN545" i="1"/>
  <c r="AB545" i="1"/>
  <c r="D545" i="1"/>
  <c r="AY545" i="1"/>
  <c r="AM545" i="1"/>
  <c r="AA545" i="1"/>
  <c r="O545" i="1"/>
  <c r="P545" i="1" s="1"/>
  <c r="AL545" i="1"/>
  <c r="Z545" i="1"/>
  <c r="N545" i="1"/>
  <c r="AK545" i="1"/>
  <c r="Y545" i="1"/>
  <c r="M545" i="1"/>
  <c r="AJ545" i="1"/>
  <c r="X545" i="1"/>
  <c r="AI545" i="1"/>
  <c r="W545" i="1"/>
  <c r="K545" i="1"/>
  <c r="L545" i="1" s="1"/>
  <c r="AH545" i="1"/>
  <c r="V545" i="1"/>
  <c r="J545" i="1"/>
  <c r="AS545" i="1"/>
  <c r="AR545" i="1"/>
  <c r="AF545" i="1"/>
  <c r="T545" i="1"/>
  <c r="H545" i="1"/>
  <c r="AT545" i="1" s="1"/>
  <c r="AQ545" i="1"/>
  <c r="AE545" i="1"/>
  <c r="S545" i="1"/>
  <c r="G545" i="1"/>
  <c r="AG545" i="1"/>
  <c r="U545" i="1"/>
  <c r="I545" i="1"/>
  <c r="AN552" i="1"/>
  <c r="AB552" i="1"/>
  <c r="D552" i="1"/>
  <c r="AY552" i="1"/>
  <c r="AM552" i="1"/>
  <c r="AA552" i="1"/>
  <c r="O552" i="1"/>
  <c r="P552" i="1" s="1"/>
  <c r="AL552" i="1"/>
  <c r="Z552" i="1"/>
  <c r="N552" i="1"/>
  <c r="AK552" i="1"/>
  <c r="Y552" i="1"/>
  <c r="M552" i="1"/>
  <c r="AJ552" i="1"/>
  <c r="X552" i="1"/>
  <c r="AI552" i="1"/>
  <c r="W552" i="1"/>
  <c r="K552" i="1"/>
  <c r="L552" i="1" s="1"/>
  <c r="AH552" i="1"/>
  <c r="V552" i="1"/>
  <c r="J552" i="1"/>
  <c r="AS552" i="1"/>
  <c r="AG552" i="1"/>
  <c r="U552" i="1"/>
  <c r="I552" i="1"/>
  <c r="AR552" i="1"/>
  <c r="AF552" i="1"/>
  <c r="T552" i="1"/>
  <c r="H552" i="1"/>
  <c r="AT552" i="1" s="1"/>
  <c r="AQ552" i="1"/>
  <c r="AE552" i="1"/>
  <c r="S552" i="1"/>
  <c r="G552" i="1"/>
  <c r="AP552" i="1"/>
  <c r="AD552" i="1"/>
  <c r="R552" i="1"/>
  <c r="F552" i="1"/>
  <c r="AO552" i="1"/>
  <c r="Q552" i="1"/>
  <c r="E552" i="1"/>
  <c r="AL635" i="1"/>
  <c r="Z635" i="1"/>
  <c r="N635" i="1"/>
  <c r="AK635" i="1"/>
  <c r="Y635" i="1"/>
  <c r="M635" i="1"/>
  <c r="AJ635" i="1"/>
  <c r="X635" i="1"/>
  <c r="AI635" i="1"/>
  <c r="W635" i="1"/>
  <c r="K635" i="1"/>
  <c r="L635" i="1" s="1"/>
  <c r="AH635" i="1"/>
  <c r="V635" i="1"/>
  <c r="J635" i="1"/>
  <c r="AS635" i="1"/>
  <c r="AR635" i="1"/>
  <c r="AF635" i="1"/>
  <c r="T635" i="1"/>
  <c r="H635" i="1"/>
  <c r="AT635" i="1" s="1"/>
  <c r="AQ635" i="1"/>
  <c r="AE635" i="1"/>
  <c r="S635" i="1"/>
  <c r="G635" i="1"/>
  <c r="AY635" i="1"/>
  <c r="AA635" i="1"/>
  <c r="U635" i="1"/>
  <c r="R635" i="1"/>
  <c r="Q635" i="1"/>
  <c r="AP635" i="1"/>
  <c r="AO635" i="1"/>
  <c r="O635" i="1"/>
  <c r="P635" i="1" s="1"/>
  <c r="AN635" i="1"/>
  <c r="I635" i="1"/>
  <c r="AM635" i="1"/>
  <c r="F635" i="1"/>
  <c r="AG635" i="1"/>
  <c r="E635" i="1"/>
  <c r="AD635" i="1"/>
  <c r="D635" i="1"/>
  <c r="AB635" i="1"/>
  <c r="AS593" i="1"/>
  <c r="AG593" i="1"/>
  <c r="U593" i="1"/>
  <c r="I593" i="1"/>
  <c r="AR593" i="1"/>
  <c r="AF593" i="1"/>
  <c r="T593" i="1"/>
  <c r="H593" i="1"/>
  <c r="AT593" i="1" s="1"/>
  <c r="AQ593" i="1"/>
  <c r="AE593" i="1"/>
  <c r="S593" i="1"/>
  <c r="G593" i="1"/>
  <c r="AP593" i="1"/>
  <c r="AD593" i="1"/>
  <c r="R593" i="1"/>
  <c r="F593" i="1"/>
  <c r="AO593" i="1"/>
  <c r="Q593" i="1"/>
  <c r="E593" i="1"/>
  <c r="AN593" i="1"/>
  <c r="AB593" i="1"/>
  <c r="D593" i="1"/>
  <c r="AY593" i="1"/>
  <c r="AM593" i="1"/>
  <c r="AA593" i="1"/>
  <c r="O593" i="1"/>
  <c r="P593" i="1" s="1"/>
  <c r="AL593" i="1"/>
  <c r="Z593" i="1"/>
  <c r="N593" i="1"/>
  <c r="AK593" i="1"/>
  <c r="Y593" i="1"/>
  <c r="M593" i="1"/>
  <c r="AJ593" i="1"/>
  <c r="X593" i="1"/>
  <c r="AI593" i="1"/>
  <c r="W593" i="1"/>
  <c r="K593" i="1"/>
  <c r="L593" i="1" s="1"/>
  <c r="AH593" i="1"/>
  <c r="V593" i="1"/>
  <c r="J593" i="1"/>
  <c r="AQ618" i="1"/>
  <c r="AE618" i="1"/>
  <c r="S618" i="1"/>
  <c r="G618" i="1"/>
  <c r="AP618" i="1"/>
  <c r="AD618" i="1"/>
  <c r="R618" i="1"/>
  <c r="F618" i="1"/>
  <c r="AO618" i="1"/>
  <c r="Q618" i="1"/>
  <c r="E618" i="1"/>
  <c r="AN618" i="1"/>
  <c r="AB618" i="1"/>
  <c r="D618" i="1"/>
  <c r="AY618" i="1"/>
  <c r="AM618" i="1"/>
  <c r="AA618" i="1"/>
  <c r="O618" i="1"/>
  <c r="P618" i="1" s="1"/>
  <c r="AL618" i="1"/>
  <c r="Z618" i="1"/>
  <c r="N618" i="1"/>
  <c r="AK618" i="1"/>
  <c r="Y618" i="1"/>
  <c r="M618" i="1"/>
  <c r="AJ618" i="1"/>
  <c r="X618" i="1"/>
  <c r="AI618" i="1"/>
  <c r="W618" i="1"/>
  <c r="K618" i="1"/>
  <c r="L618" i="1" s="1"/>
  <c r="AH618" i="1"/>
  <c r="V618" i="1"/>
  <c r="J618" i="1"/>
  <c r="AS618" i="1"/>
  <c r="AG618" i="1"/>
  <c r="U618" i="1"/>
  <c r="I618" i="1"/>
  <c r="AR618" i="1"/>
  <c r="AF618" i="1"/>
  <c r="T618" i="1"/>
  <c r="H618" i="1"/>
  <c r="AT618" i="1" s="1"/>
  <c r="AY602" i="1"/>
  <c r="AM602" i="1"/>
  <c r="AA602" i="1"/>
  <c r="O602" i="1"/>
  <c r="P602" i="1" s="1"/>
  <c r="AL602" i="1"/>
  <c r="Z602" i="1"/>
  <c r="N602" i="1"/>
  <c r="AK602" i="1"/>
  <c r="Y602" i="1"/>
  <c r="M602" i="1"/>
  <c r="AJ602" i="1"/>
  <c r="X602" i="1"/>
  <c r="AI602" i="1"/>
  <c r="W602" i="1"/>
  <c r="K602" i="1"/>
  <c r="L602" i="1" s="1"/>
  <c r="AH602" i="1"/>
  <c r="V602" i="1"/>
  <c r="J602" i="1"/>
  <c r="AS602" i="1"/>
  <c r="AG602" i="1"/>
  <c r="U602" i="1"/>
  <c r="I602" i="1"/>
  <c r="AR602" i="1"/>
  <c r="AF602" i="1"/>
  <c r="T602" i="1"/>
  <c r="H602" i="1"/>
  <c r="AT602" i="1" s="1"/>
  <c r="AQ602" i="1"/>
  <c r="AE602" i="1"/>
  <c r="S602" i="1"/>
  <c r="G602" i="1"/>
  <c r="AP602" i="1"/>
  <c r="AD602" i="1"/>
  <c r="R602" i="1"/>
  <c r="F602" i="1"/>
  <c r="AO602" i="1"/>
  <c r="Q602" i="1"/>
  <c r="E602" i="1"/>
  <c r="AN602" i="1"/>
  <c r="AB602" i="1"/>
  <c r="D602" i="1"/>
  <c r="AJ648" i="1"/>
  <c r="X648" i="1"/>
  <c r="AI648" i="1"/>
  <c r="W648" i="1"/>
  <c r="K648" i="1"/>
  <c r="L648" i="1" s="1"/>
  <c r="AH648" i="1"/>
  <c r="V648" i="1"/>
  <c r="J648" i="1"/>
  <c r="AS648" i="1"/>
  <c r="AG648" i="1"/>
  <c r="U648" i="1"/>
  <c r="I648" i="1"/>
  <c r="AR648" i="1"/>
  <c r="AF648" i="1"/>
  <c r="T648" i="1"/>
  <c r="H648" i="1"/>
  <c r="AT648" i="1" s="1"/>
  <c r="AQ648" i="1"/>
  <c r="AE648" i="1"/>
  <c r="S648" i="1"/>
  <c r="G648" i="1"/>
  <c r="AP648" i="1"/>
  <c r="AD648" i="1"/>
  <c r="R648" i="1"/>
  <c r="F648" i="1"/>
  <c r="AO648" i="1"/>
  <c r="Q648" i="1"/>
  <c r="E648" i="1"/>
  <c r="AN648" i="1"/>
  <c r="AB648" i="1"/>
  <c r="D648" i="1"/>
  <c r="AY648" i="1"/>
  <c r="AM648" i="1"/>
  <c r="AA648" i="1"/>
  <c r="O648" i="1"/>
  <c r="P648" i="1" s="1"/>
  <c r="AL648" i="1"/>
  <c r="Z648" i="1"/>
  <c r="N648" i="1"/>
  <c r="AK648" i="1"/>
  <c r="Y648" i="1"/>
  <c r="M648" i="1"/>
  <c r="AR656" i="1"/>
  <c r="AF656" i="1"/>
  <c r="T656" i="1"/>
  <c r="H656" i="1"/>
  <c r="AT656" i="1" s="1"/>
  <c r="AQ656" i="1"/>
  <c r="AE656" i="1"/>
  <c r="S656" i="1"/>
  <c r="G656" i="1"/>
  <c r="AP656" i="1"/>
  <c r="AD656" i="1"/>
  <c r="R656" i="1"/>
  <c r="F656" i="1"/>
  <c r="AO656" i="1"/>
  <c r="Q656" i="1"/>
  <c r="E656" i="1"/>
  <c r="AN656" i="1"/>
  <c r="AB656" i="1"/>
  <c r="D656" i="1"/>
  <c r="AY656" i="1"/>
  <c r="AM656" i="1"/>
  <c r="AA656" i="1"/>
  <c r="O656" i="1"/>
  <c r="P656" i="1" s="1"/>
  <c r="AL656" i="1"/>
  <c r="Z656" i="1"/>
  <c r="N656" i="1"/>
  <c r="AK656" i="1"/>
  <c r="Y656" i="1"/>
  <c r="M656" i="1"/>
  <c r="AJ656" i="1"/>
  <c r="X656" i="1"/>
  <c r="AI656" i="1"/>
  <c r="W656" i="1"/>
  <c r="K656" i="1"/>
  <c r="L656" i="1" s="1"/>
  <c r="AH656" i="1"/>
  <c r="V656" i="1"/>
  <c r="J656" i="1"/>
  <c r="AS656" i="1"/>
  <c r="AG656" i="1"/>
  <c r="U656" i="1"/>
  <c r="I656" i="1"/>
  <c r="AN646" i="1"/>
  <c r="AB646" i="1"/>
  <c r="D646" i="1"/>
  <c r="AY646" i="1"/>
  <c r="AM646" i="1"/>
  <c r="AA646" i="1"/>
  <c r="O646" i="1"/>
  <c r="P646" i="1" s="1"/>
  <c r="AL646" i="1"/>
  <c r="Z646" i="1"/>
  <c r="N646" i="1"/>
  <c r="AK646" i="1"/>
  <c r="Y646" i="1"/>
  <c r="M646" i="1"/>
  <c r="AJ646" i="1"/>
  <c r="X646" i="1"/>
  <c r="AI646" i="1"/>
  <c r="W646" i="1"/>
  <c r="K646" i="1"/>
  <c r="L646" i="1" s="1"/>
  <c r="AH646" i="1"/>
  <c r="V646" i="1"/>
  <c r="J646" i="1"/>
  <c r="AS646" i="1"/>
  <c r="AG646" i="1"/>
  <c r="U646" i="1"/>
  <c r="I646" i="1"/>
  <c r="AR646" i="1"/>
  <c r="AF646" i="1"/>
  <c r="T646" i="1"/>
  <c r="H646" i="1"/>
  <c r="AT646" i="1" s="1"/>
  <c r="AQ646" i="1"/>
  <c r="AE646" i="1"/>
  <c r="S646" i="1"/>
  <c r="G646" i="1"/>
  <c r="AP646" i="1"/>
  <c r="AD646" i="1"/>
  <c r="R646" i="1"/>
  <c r="F646" i="1"/>
  <c r="AO646" i="1"/>
  <c r="Q646" i="1"/>
  <c r="E646" i="1"/>
  <c r="AI677" i="1"/>
  <c r="W677" i="1"/>
  <c r="K677" i="1"/>
  <c r="L677" i="1" s="1"/>
  <c r="AH677" i="1"/>
  <c r="V677" i="1"/>
  <c r="J677" i="1"/>
  <c r="AS677" i="1"/>
  <c r="AG677" i="1"/>
  <c r="U677" i="1"/>
  <c r="I677" i="1"/>
  <c r="AR677" i="1"/>
  <c r="AF677" i="1"/>
  <c r="T677" i="1"/>
  <c r="H677" i="1"/>
  <c r="AT677" i="1" s="1"/>
  <c r="AQ677" i="1"/>
  <c r="AE677" i="1"/>
  <c r="S677" i="1"/>
  <c r="G677" i="1"/>
  <c r="AP677" i="1"/>
  <c r="AD677" i="1"/>
  <c r="R677" i="1"/>
  <c r="F677" i="1"/>
  <c r="AO677" i="1"/>
  <c r="Q677" i="1"/>
  <c r="E677" i="1"/>
  <c r="AN677" i="1"/>
  <c r="AB677" i="1"/>
  <c r="D677" i="1"/>
  <c r="AY677" i="1"/>
  <c r="AM677" i="1"/>
  <c r="AA677" i="1"/>
  <c r="O677" i="1"/>
  <c r="P677" i="1" s="1"/>
  <c r="AL677" i="1"/>
  <c r="Z677" i="1"/>
  <c r="N677" i="1"/>
  <c r="AK677" i="1"/>
  <c r="Y677" i="1"/>
  <c r="M677" i="1"/>
  <c r="AJ677" i="1"/>
  <c r="X677" i="1"/>
  <c r="AS696" i="1"/>
  <c r="AG696" i="1"/>
  <c r="U696" i="1"/>
  <c r="I696" i="1"/>
  <c r="AR696" i="1"/>
  <c r="AF696" i="1"/>
  <c r="T696" i="1"/>
  <c r="H696" i="1"/>
  <c r="AT696" i="1" s="1"/>
  <c r="AQ696" i="1"/>
  <c r="AE696" i="1"/>
  <c r="S696" i="1"/>
  <c r="G696" i="1"/>
  <c r="AP696" i="1"/>
  <c r="AD696" i="1"/>
  <c r="R696" i="1"/>
  <c r="F696" i="1"/>
  <c r="AO696" i="1"/>
  <c r="Q696" i="1"/>
  <c r="E696" i="1"/>
  <c r="AN696" i="1"/>
  <c r="AB696" i="1"/>
  <c r="D696" i="1"/>
  <c r="AY696" i="1"/>
  <c r="AM696" i="1"/>
  <c r="AA696" i="1"/>
  <c r="O696" i="1"/>
  <c r="P696" i="1" s="1"/>
  <c r="AL696" i="1"/>
  <c r="Z696" i="1"/>
  <c r="N696" i="1"/>
  <c r="AK696" i="1"/>
  <c r="Y696" i="1"/>
  <c r="M696" i="1"/>
  <c r="AJ696" i="1"/>
  <c r="X696" i="1"/>
  <c r="AI696" i="1"/>
  <c r="W696" i="1"/>
  <c r="K696" i="1"/>
  <c r="L696" i="1" s="1"/>
  <c r="AH696" i="1"/>
  <c r="V696" i="1"/>
  <c r="J696" i="1"/>
  <c r="AO662" i="1"/>
  <c r="Q662" i="1"/>
  <c r="E662" i="1"/>
  <c r="AN662" i="1"/>
  <c r="AB662" i="1"/>
  <c r="D662" i="1"/>
  <c r="AY662" i="1"/>
  <c r="AM662" i="1"/>
  <c r="AA662" i="1"/>
  <c r="O662" i="1"/>
  <c r="P662" i="1" s="1"/>
  <c r="AG662" i="1"/>
  <c r="S662" i="1"/>
  <c r="AF662" i="1"/>
  <c r="R662" i="1"/>
  <c r="AE662" i="1"/>
  <c r="N662" i="1"/>
  <c r="AS662" i="1"/>
  <c r="AD662" i="1"/>
  <c r="M662" i="1"/>
  <c r="AR662" i="1"/>
  <c r="AQ662" i="1"/>
  <c r="Z662" i="1"/>
  <c r="K662" i="1"/>
  <c r="L662" i="1" s="1"/>
  <c r="AP662" i="1"/>
  <c r="Y662" i="1"/>
  <c r="J662" i="1"/>
  <c r="AL662" i="1"/>
  <c r="X662" i="1"/>
  <c r="I662" i="1"/>
  <c r="AK662" i="1"/>
  <c r="W662" i="1"/>
  <c r="H662" i="1"/>
  <c r="AT662" i="1" s="1"/>
  <c r="AJ662" i="1"/>
  <c r="V662" i="1"/>
  <c r="G662" i="1"/>
  <c r="AI662" i="1"/>
  <c r="U662" i="1"/>
  <c r="F662" i="1"/>
  <c r="AH662" i="1"/>
  <c r="T662" i="1"/>
  <c r="AY687" i="1"/>
  <c r="AM687" i="1"/>
  <c r="AA687" i="1"/>
  <c r="O687" i="1"/>
  <c r="P687" i="1" s="1"/>
  <c r="AL687" i="1"/>
  <c r="Z687" i="1"/>
  <c r="N687" i="1"/>
  <c r="AK687" i="1"/>
  <c r="Y687" i="1"/>
  <c r="M687" i="1"/>
  <c r="AJ687" i="1"/>
  <c r="X687" i="1"/>
  <c r="AI687" i="1"/>
  <c r="W687" i="1"/>
  <c r="K687" i="1"/>
  <c r="L687" i="1" s="1"/>
  <c r="AH687" i="1"/>
  <c r="V687" i="1"/>
  <c r="J687" i="1"/>
  <c r="AS687" i="1"/>
  <c r="AG687" i="1"/>
  <c r="U687" i="1"/>
  <c r="I687" i="1"/>
  <c r="AR687" i="1"/>
  <c r="AF687" i="1"/>
  <c r="T687" i="1"/>
  <c r="H687" i="1"/>
  <c r="AT687" i="1" s="1"/>
  <c r="AQ687" i="1"/>
  <c r="AE687" i="1"/>
  <c r="S687" i="1"/>
  <c r="G687" i="1"/>
  <c r="AP687" i="1"/>
  <c r="AD687" i="1"/>
  <c r="R687" i="1"/>
  <c r="F687" i="1"/>
  <c r="AO687" i="1"/>
  <c r="Q687" i="1"/>
  <c r="E687" i="1"/>
  <c r="AN687" i="1"/>
  <c r="AB687" i="1"/>
  <c r="D687" i="1"/>
  <c r="AK756" i="1"/>
  <c r="Y756" i="1"/>
  <c r="M756" i="1"/>
  <c r="AJ756" i="1"/>
  <c r="X756" i="1"/>
  <c r="AI756" i="1"/>
  <c r="W756" i="1"/>
  <c r="K756" i="1"/>
  <c r="L756" i="1" s="1"/>
  <c r="AS756" i="1"/>
  <c r="AD756" i="1"/>
  <c r="O756" i="1"/>
  <c r="P756" i="1" s="1"/>
  <c r="AR756" i="1"/>
  <c r="N756" i="1"/>
  <c r="AQ756" i="1"/>
  <c r="AB756" i="1"/>
  <c r="J756" i="1"/>
  <c r="AP756" i="1"/>
  <c r="AA756" i="1"/>
  <c r="I756" i="1"/>
  <c r="AO756" i="1"/>
  <c r="Z756" i="1"/>
  <c r="H756" i="1"/>
  <c r="AT756" i="1" s="1"/>
  <c r="AN756" i="1"/>
  <c r="V756" i="1"/>
  <c r="G756" i="1"/>
  <c r="AM756" i="1"/>
  <c r="U756" i="1"/>
  <c r="F756" i="1"/>
  <c r="AL756" i="1"/>
  <c r="T756" i="1"/>
  <c r="E756" i="1"/>
  <c r="AY756" i="1"/>
  <c r="AH756" i="1"/>
  <c r="S756" i="1"/>
  <c r="D756" i="1"/>
  <c r="AG756" i="1"/>
  <c r="R756" i="1"/>
  <c r="AF756" i="1"/>
  <c r="Q756" i="1"/>
  <c r="AE756" i="1"/>
  <c r="AS746" i="1"/>
  <c r="AG746" i="1"/>
  <c r="U746" i="1"/>
  <c r="I746" i="1"/>
  <c r="AR746" i="1"/>
  <c r="AF746" i="1"/>
  <c r="T746" i="1"/>
  <c r="H746" i="1"/>
  <c r="AT746" i="1" s="1"/>
  <c r="AQ746" i="1"/>
  <c r="AE746" i="1"/>
  <c r="S746" i="1"/>
  <c r="G746" i="1"/>
  <c r="AP746" i="1"/>
  <c r="AD746" i="1"/>
  <c r="R746" i="1"/>
  <c r="F746" i="1"/>
  <c r="AO746" i="1"/>
  <c r="Q746" i="1"/>
  <c r="E746" i="1"/>
  <c r="AN746" i="1"/>
  <c r="AB746" i="1"/>
  <c r="D746" i="1"/>
  <c r="AY746" i="1"/>
  <c r="AM746" i="1"/>
  <c r="AA746" i="1"/>
  <c r="O746" i="1"/>
  <c r="P746" i="1" s="1"/>
  <c r="AL746" i="1"/>
  <c r="Z746" i="1"/>
  <c r="N746" i="1"/>
  <c r="AK746" i="1"/>
  <c r="Y746" i="1"/>
  <c r="M746" i="1"/>
  <c r="AJ746" i="1"/>
  <c r="X746" i="1"/>
  <c r="AI746" i="1"/>
  <c r="W746" i="1"/>
  <c r="K746" i="1"/>
  <c r="L746" i="1" s="1"/>
  <c r="AH746" i="1"/>
  <c r="V746" i="1"/>
  <c r="J746" i="1"/>
  <c r="AO724" i="1"/>
  <c r="Q724" i="1"/>
  <c r="E724" i="1"/>
  <c r="AN724" i="1"/>
  <c r="AB724" i="1"/>
  <c r="D724" i="1"/>
  <c r="AY724" i="1"/>
  <c r="AM724" i="1"/>
  <c r="AA724" i="1"/>
  <c r="O724" i="1"/>
  <c r="P724" i="1" s="1"/>
  <c r="AL724" i="1"/>
  <c r="Z724" i="1"/>
  <c r="N724" i="1"/>
  <c r="AK724" i="1"/>
  <c r="Y724" i="1"/>
  <c r="M724" i="1"/>
  <c r="AJ724" i="1"/>
  <c r="X724" i="1"/>
  <c r="AI724" i="1"/>
  <c r="W724" i="1"/>
  <c r="K724" i="1"/>
  <c r="L724" i="1" s="1"/>
  <c r="AH724" i="1"/>
  <c r="V724" i="1"/>
  <c r="J724" i="1"/>
  <c r="AS724" i="1"/>
  <c r="AG724" i="1"/>
  <c r="U724" i="1"/>
  <c r="I724" i="1"/>
  <c r="AR724" i="1"/>
  <c r="AF724" i="1"/>
  <c r="T724" i="1"/>
  <c r="H724" i="1"/>
  <c r="AT724" i="1" s="1"/>
  <c r="AQ724" i="1"/>
  <c r="AE724" i="1"/>
  <c r="S724" i="1"/>
  <c r="G724" i="1"/>
  <c r="AP724" i="1"/>
  <c r="AD724" i="1"/>
  <c r="R724" i="1"/>
  <c r="F724" i="1"/>
  <c r="AN798" i="1"/>
  <c r="AB798" i="1"/>
  <c r="D798" i="1"/>
  <c r="AY798" i="1"/>
  <c r="AM798" i="1"/>
  <c r="AA798" i="1"/>
  <c r="O798" i="1"/>
  <c r="P798" i="1" s="1"/>
  <c r="AL798" i="1"/>
  <c r="Z798" i="1"/>
  <c r="N798" i="1"/>
  <c r="AG798" i="1"/>
  <c r="R798" i="1"/>
  <c r="AF798" i="1"/>
  <c r="Q798" i="1"/>
  <c r="AE798" i="1"/>
  <c r="M798" i="1"/>
  <c r="AS798" i="1"/>
  <c r="AD798" i="1"/>
  <c r="AR798" i="1"/>
  <c r="K798" i="1"/>
  <c r="L798" i="1" s="1"/>
  <c r="AQ798" i="1"/>
  <c r="Y798" i="1"/>
  <c r="J798" i="1"/>
  <c r="AP798" i="1"/>
  <c r="X798" i="1"/>
  <c r="I798" i="1"/>
  <c r="AO798" i="1"/>
  <c r="W798" i="1"/>
  <c r="H798" i="1"/>
  <c r="AT798" i="1" s="1"/>
  <c r="AK798" i="1"/>
  <c r="V798" i="1"/>
  <c r="G798" i="1"/>
  <c r="AJ798" i="1"/>
  <c r="U798" i="1"/>
  <c r="F798" i="1"/>
  <c r="AI798" i="1"/>
  <c r="T798" i="1"/>
  <c r="E798" i="1"/>
  <c r="AH798" i="1"/>
  <c r="S798" i="1"/>
  <c r="AI787" i="1"/>
  <c r="W787" i="1"/>
  <c r="K787" i="1"/>
  <c r="L787" i="1" s="1"/>
  <c r="AH787" i="1"/>
  <c r="V787" i="1"/>
  <c r="J787" i="1"/>
  <c r="AS787" i="1"/>
  <c r="AG787" i="1"/>
  <c r="U787" i="1"/>
  <c r="I787" i="1"/>
  <c r="AR787" i="1"/>
  <c r="AF787" i="1"/>
  <c r="T787" i="1"/>
  <c r="H787" i="1"/>
  <c r="AT787" i="1" s="1"/>
  <c r="AQ787" i="1"/>
  <c r="AE787" i="1"/>
  <c r="S787" i="1"/>
  <c r="G787" i="1"/>
  <c r="AP787" i="1"/>
  <c r="AD787" i="1"/>
  <c r="R787" i="1"/>
  <c r="F787" i="1"/>
  <c r="AO787" i="1"/>
  <c r="Q787" i="1"/>
  <c r="E787" i="1"/>
  <c r="AN787" i="1"/>
  <c r="AB787" i="1"/>
  <c r="D787" i="1"/>
  <c r="AY787" i="1"/>
  <c r="AM787" i="1"/>
  <c r="AA787" i="1"/>
  <c r="O787" i="1"/>
  <c r="P787" i="1" s="1"/>
  <c r="AL787" i="1"/>
  <c r="Z787" i="1"/>
  <c r="N787" i="1"/>
  <c r="AK787" i="1"/>
  <c r="Y787" i="1"/>
  <c r="M787" i="1"/>
  <c r="AJ787" i="1"/>
  <c r="X787" i="1"/>
  <c r="AQ777" i="1"/>
  <c r="AE777" i="1"/>
  <c r="S777" i="1"/>
  <c r="G777" i="1"/>
  <c r="AP777" i="1"/>
  <c r="AD777" i="1"/>
  <c r="R777" i="1"/>
  <c r="F777" i="1"/>
  <c r="AO777" i="1"/>
  <c r="Q777" i="1"/>
  <c r="E777" i="1"/>
  <c r="AN777" i="1"/>
  <c r="AB777" i="1"/>
  <c r="D777" i="1"/>
  <c r="AY777" i="1"/>
  <c r="AM777" i="1"/>
  <c r="AA777" i="1"/>
  <c r="O777" i="1"/>
  <c r="P777" i="1" s="1"/>
  <c r="AL777" i="1"/>
  <c r="Z777" i="1"/>
  <c r="N777" i="1"/>
  <c r="AK777" i="1"/>
  <c r="Y777" i="1"/>
  <c r="M777" i="1"/>
  <c r="AJ777" i="1"/>
  <c r="X777" i="1"/>
  <c r="AI777" i="1"/>
  <c r="W777" i="1"/>
  <c r="K777" i="1"/>
  <c r="L777" i="1" s="1"/>
  <c r="AH777" i="1"/>
  <c r="V777" i="1"/>
  <c r="J777" i="1"/>
  <c r="AS777" i="1"/>
  <c r="AG777" i="1"/>
  <c r="U777" i="1"/>
  <c r="I777" i="1"/>
  <c r="AR777" i="1"/>
  <c r="AF777" i="1"/>
  <c r="T777" i="1"/>
  <c r="H777" i="1"/>
  <c r="AT777" i="1" s="1"/>
  <c r="AR796" i="1"/>
  <c r="AF796" i="1"/>
  <c r="AP796" i="1"/>
  <c r="AD796" i="1"/>
  <c r="AS796" i="1"/>
  <c r="Q796" i="1"/>
  <c r="E796" i="1"/>
  <c r="AQ796" i="1"/>
  <c r="AB796" i="1"/>
  <c r="D796" i="1"/>
  <c r="AO796" i="1"/>
  <c r="AA796" i="1"/>
  <c r="O796" i="1"/>
  <c r="P796" i="1" s="1"/>
  <c r="AN796" i="1"/>
  <c r="Z796" i="1"/>
  <c r="N796" i="1"/>
  <c r="AM796" i="1"/>
  <c r="Y796" i="1"/>
  <c r="M796" i="1"/>
  <c r="AL796" i="1"/>
  <c r="X796" i="1"/>
  <c r="AY796" i="1"/>
  <c r="AK796" i="1"/>
  <c r="W796" i="1"/>
  <c r="K796" i="1"/>
  <c r="L796" i="1" s="1"/>
  <c r="AJ796" i="1"/>
  <c r="V796" i="1"/>
  <c r="J796" i="1"/>
  <c r="AI796" i="1"/>
  <c r="U796" i="1"/>
  <c r="I796" i="1"/>
  <c r="AH796" i="1"/>
  <c r="T796" i="1"/>
  <c r="H796" i="1"/>
  <c r="AT796" i="1" s="1"/>
  <c r="AG796" i="1"/>
  <c r="S796" i="1"/>
  <c r="G796" i="1"/>
  <c r="AE796" i="1"/>
  <c r="R796" i="1"/>
  <c r="F796" i="1"/>
  <c r="AL829" i="1"/>
  <c r="Z829" i="1"/>
  <c r="N829" i="1"/>
  <c r="AK829" i="1"/>
  <c r="Y829" i="1"/>
  <c r="M829" i="1"/>
  <c r="AJ829" i="1"/>
  <c r="X829" i="1"/>
  <c r="AI829" i="1"/>
  <c r="W829" i="1"/>
  <c r="K829" i="1"/>
  <c r="L829" i="1" s="1"/>
  <c r="AH829" i="1"/>
  <c r="V829" i="1"/>
  <c r="J829" i="1"/>
  <c r="AS829" i="1"/>
  <c r="AG829" i="1"/>
  <c r="U829" i="1"/>
  <c r="I829" i="1"/>
  <c r="AR829" i="1"/>
  <c r="AF829" i="1"/>
  <c r="T829" i="1"/>
  <c r="H829" i="1"/>
  <c r="AT829" i="1" s="1"/>
  <c r="AQ829" i="1"/>
  <c r="AE829" i="1"/>
  <c r="S829" i="1"/>
  <c r="G829" i="1"/>
  <c r="AP829" i="1"/>
  <c r="AD829" i="1"/>
  <c r="R829" i="1"/>
  <c r="F829" i="1"/>
  <c r="AO829" i="1"/>
  <c r="Q829" i="1"/>
  <c r="E829" i="1"/>
  <c r="AN829" i="1"/>
  <c r="AB829" i="1"/>
  <c r="D829" i="1"/>
  <c r="AY829" i="1"/>
  <c r="AM829" i="1"/>
  <c r="AA829" i="1"/>
  <c r="O829" i="1"/>
  <c r="P829" i="1" s="1"/>
  <c r="AH813" i="1"/>
  <c r="V813" i="1"/>
  <c r="J813" i="1"/>
  <c r="AS813" i="1"/>
  <c r="AG813" i="1"/>
  <c r="U813" i="1"/>
  <c r="I813" i="1"/>
  <c r="AR813" i="1"/>
  <c r="AF813" i="1"/>
  <c r="T813" i="1"/>
  <c r="H813" i="1"/>
  <c r="AT813" i="1" s="1"/>
  <c r="AQ813" i="1"/>
  <c r="AE813" i="1"/>
  <c r="S813" i="1"/>
  <c r="G813" i="1"/>
  <c r="AP813" i="1"/>
  <c r="AD813" i="1"/>
  <c r="R813" i="1"/>
  <c r="F813" i="1"/>
  <c r="AO813" i="1"/>
  <c r="Q813" i="1"/>
  <c r="E813" i="1"/>
  <c r="AN813" i="1"/>
  <c r="AB813" i="1"/>
  <c r="D813" i="1"/>
  <c r="AY813" i="1"/>
  <c r="AM813" i="1"/>
  <c r="AA813" i="1"/>
  <c r="O813" i="1"/>
  <c r="P813" i="1" s="1"/>
  <c r="AL813" i="1"/>
  <c r="Z813" i="1"/>
  <c r="N813" i="1"/>
  <c r="AK813" i="1"/>
  <c r="Y813" i="1"/>
  <c r="M813" i="1"/>
  <c r="AJ813" i="1"/>
  <c r="X813" i="1"/>
  <c r="AI813" i="1"/>
  <c r="W813" i="1"/>
  <c r="K813" i="1"/>
  <c r="L813" i="1" s="1"/>
  <c r="AP803" i="1"/>
  <c r="AD803" i="1"/>
  <c r="R803" i="1"/>
  <c r="F803" i="1"/>
  <c r="AO803" i="1"/>
  <c r="Q803" i="1"/>
  <c r="E803" i="1"/>
  <c r="AN803" i="1"/>
  <c r="AB803" i="1"/>
  <c r="D803" i="1"/>
  <c r="AY803" i="1"/>
  <c r="AM803" i="1"/>
  <c r="AA803" i="1"/>
  <c r="O803" i="1"/>
  <c r="P803" i="1" s="1"/>
  <c r="AK803" i="1"/>
  <c r="Y803" i="1"/>
  <c r="M803" i="1"/>
  <c r="AS803" i="1"/>
  <c r="AQ803" i="1"/>
  <c r="AE803" i="1"/>
  <c r="AG803" i="1"/>
  <c r="K803" i="1"/>
  <c r="L803" i="1" s="1"/>
  <c r="AF803" i="1"/>
  <c r="J803" i="1"/>
  <c r="I803" i="1"/>
  <c r="Z803" i="1"/>
  <c r="H803" i="1"/>
  <c r="AT803" i="1" s="1"/>
  <c r="X803" i="1"/>
  <c r="G803" i="1"/>
  <c r="W803" i="1"/>
  <c r="V803" i="1"/>
  <c r="AR803" i="1"/>
  <c r="U803" i="1"/>
  <c r="AL803" i="1"/>
  <c r="T803" i="1"/>
  <c r="AJ803" i="1"/>
  <c r="S803" i="1"/>
  <c r="AI803" i="1"/>
  <c r="N803" i="1"/>
  <c r="AH803" i="1"/>
  <c r="AN822" i="1"/>
  <c r="AB822" i="1"/>
  <c r="D822" i="1"/>
  <c r="AY822" i="1"/>
  <c r="AM822" i="1"/>
  <c r="AA822" i="1"/>
  <c r="O822" i="1"/>
  <c r="P822" i="1" s="1"/>
  <c r="AL822" i="1"/>
  <c r="Z822" i="1"/>
  <c r="N822" i="1"/>
  <c r="AK822" i="1"/>
  <c r="Y822" i="1"/>
  <c r="M822" i="1"/>
  <c r="AJ822" i="1"/>
  <c r="X822" i="1"/>
  <c r="AI822" i="1"/>
  <c r="W822" i="1"/>
  <c r="K822" i="1"/>
  <c r="L822" i="1" s="1"/>
  <c r="AH822" i="1"/>
  <c r="V822" i="1"/>
  <c r="J822" i="1"/>
  <c r="AS822" i="1"/>
  <c r="AG822" i="1"/>
  <c r="U822" i="1"/>
  <c r="I822" i="1"/>
  <c r="AR822" i="1"/>
  <c r="AF822" i="1"/>
  <c r="T822" i="1"/>
  <c r="H822" i="1"/>
  <c r="AT822" i="1" s="1"/>
  <c r="AQ822" i="1"/>
  <c r="AE822" i="1"/>
  <c r="S822" i="1"/>
  <c r="G822" i="1"/>
  <c r="AP822" i="1"/>
  <c r="AD822" i="1"/>
  <c r="R822" i="1"/>
  <c r="F822" i="1"/>
  <c r="AO822" i="1"/>
  <c r="Q822" i="1"/>
  <c r="E822" i="1"/>
  <c r="AJ866" i="1"/>
  <c r="X866" i="1"/>
  <c r="AI866" i="1"/>
  <c r="W866" i="1"/>
  <c r="K866" i="1"/>
  <c r="L866" i="1" s="1"/>
  <c r="AH866" i="1"/>
  <c r="V866" i="1"/>
  <c r="J866" i="1"/>
  <c r="AS866" i="1"/>
  <c r="AG866" i="1"/>
  <c r="U866" i="1"/>
  <c r="I866" i="1"/>
  <c r="AR866" i="1"/>
  <c r="AF866" i="1"/>
  <c r="T866" i="1"/>
  <c r="H866" i="1"/>
  <c r="AT866" i="1" s="1"/>
  <c r="AQ866" i="1"/>
  <c r="AE866" i="1"/>
  <c r="S866" i="1"/>
  <c r="G866" i="1"/>
  <c r="AP866" i="1"/>
  <c r="AD866" i="1"/>
  <c r="R866" i="1"/>
  <c r="F866" i="1"/>
  <c r="AO866" i="1"/>
  <c r="Q866" i="1"/>
  <c r="E866" i="1"/>
  <c r="AN866" i="1"/>
  <c r="AB866" i="1"/>
  <c r="D866" i="1"/>
  <c r="AY866" i="1"/>
  <c r="AM866" i="1"/>
  <c r="AA866" i="1"/>
  <c r="O866" i="1"/>
  <c r="P866" i="1" s="1"/>
  <c r="AL866" i="1"/>
  <c r="Z866" i="1"/>
  <c r="N866" i="1"/>
  <c r="AK866" i="1"/>
  <c r="Y866" i="1"/>
  <c r="M866" i="1"/>
  <c r="AR850" i="1"/>
  <c r="AF850" i="1"/>
  <c r="T850" i="1"/>
  <c r="H850" i="1"/>
  <c r="AT850" i="1" s="1"/>
  <c r="AQ850" i="1"/>
  <c r="AE850" i="1"/>
  <c r="S850" i="1"/>
  <c r="G850" i="1"/>
  <c r="AP850" i="1"/>
  <c r="AD850" i="1"/>
  <c r="R850" i="1"/>
  <c r="F850" i="1"/>
  <c r="AO850" i="1"/>
  <c r="Q850" i="1"/>
  <c r="E850" i="1"/>
  <c r="AN850" i="1"/>
  <c r="AB850" i="1"/>
  <c r="D850" i="1"/>
  <c r="AY850" i="1"/>
  <c r="AM850" i="1"/>
  <c r="AA850" i="1"/>
  <c r="O850" i="1"/>
  <c r="P850" i="1" s="1"/>
  <c r="AL850" i="1"/>
  <c r="Z850" i="1"/>
  <c r="N850" i="1"/>
  <c r="AK850" i="1"/>
  <c r="Y850" i="1"/>
  <c r="M850" i="1"/>
  <c r="AH850" i="1"/>
  <c r="V850" i="1"/>
  <c r="J850" i="1"/>
  <c r="AS850" i="1"/>
  <c r="AG850" i="1"/>
  <c r="U850" i="1"/>
  <c r="I850" i="1"/>
  <c r="AJ850" i="1"/>
  <c r="AI850" i="1"/>
  <c r="X850" i="1"/>
  <c r="W850" i="1"/>
  <c r="K850" i="1"/>
  <c r="L850" i="1" s="1"/>
  <c r="AL880" i="1"/>
  <c r="Z880" i="1"/>
  <c r="N880" i="1"/>
  <c r="AJ880" i="1"/>
  <c r="X880" i="1"/>
  <c r="AG880" i="1"/>
  <c r="S880" i="1"/>
  <c r="E880" i="1"/>
  <c r="AF880" i="1"/>
  <c r="R880" i="1"/>
  <c r="D880" i="1"/>
  <c r="AS880" i="1"/>
  <c r="AE880" i="1"/>
  <c r="Q880" i="1"/>
  <c r="AR880" i="1"/>
  <c r="AD880" i="1"/>
  <c r="AQ880" i="1"/>
  <c r="O880" i="1"/>
  <c r="P880" i="1" s="1"/>
  <c r="AP880" i="1"/>
  <c r="AB880" i="1"/>
  <c r="M880" i="1"/>
  <c r="AO880" i="1"/>
  <c r="AA880" i="1"/>
  <c r="K880" i="1"/>
  <c r="L880" i="1" s="1"/>
  <c r="AN880" i="1"/>
  <c r="Y880" i="1"/>
  <c r="J880" i="1"/>
  <c r="AM880" i="1"/>
  <c r="W880" i="1"/>
  <c r="I880" i="1"/>
  <c r="AY880" i="1"/>
  <c r="AK880" i="1"/>
  <c r="V880" i="1"/>
  <c r="H880" i="1"/>
  <c r="AT880" i="1" s="1"/>
  <c r="AI880" i="1"/>
  <c r="U880" i="1"/>
  <c r="G880" i="1"/>
  <c r="AH880" i="1"/>
  <c r="T880" i="1"/>
  <c r="F880" i="1"/>
  <c r="AL904" i="1"/>
  <c r="Z904" i="1"/>
  <c r="N904" i="1"/>
  <c r="AK904" i="1"/>
  <c r="Y904" i="1"/>
  <c r="M904" i="1"/>
  <c r="AJ904" i="1"/>
  <c r="X904" i="1"/>
  <c r="AI904" i="1"/>
  <c r="W904" i="1"/>
  <c r="K904" i="1"/>
  <c r="L904" i="1" s="1"/>
  <c r="AH904" i="1"/>
  <c r="V904" i="1"/>
  <c r="J904" i="1"/>
  <c r="AS904" i="1"/>
  <c r="AG904" i="1"/>
  <c r="U904" i="1"/>
  <c r="I904" i="1"/>
  <c r="AR904" i="1"/>
  <c r="AF904" i="1"/>
  <c r="T904" i="1"/>
  <c r="H904" i="1"/>
  <c r="AT904" i="1" s="1"/>
  <c r="AQ904" i="1"/>
  <c r="AE904" i="1"/>
  <c r="S904" i="1"/>
  <c r="G904" i="1"/>
  <c r="AP904" i="1"/>
  <c r="AD904" i="1"/>
  <c r="R904" i="1"/>
  <c r="F904" i="1"/>
  <c r="AO904" i="1"/>
  <c r="Q904" i="1"/>
  <c r="E904" i="1"/>
  <c r="AN904" i="1"/>
  <c r="AB904" i="1"/>
  <c r="D904" i="1"/>
  <c r="AY904" i="1"/>
  <c r="AM904" i="1"/>
  <c r="AA904" i="1"/>
  <c r="O904" i="1"/>
  <c r="P904" i="1" s="1"/>
  <c r="AR889" i="1"/>
  <c r="AF889" i="1"/>
  <c r="T889" i="1"/>
  <c r="H889" i="1"/>
  <c r="AT889" i="1" s="1"/>
  <c r="AQ889" i="1"/>
  <c r="AE889" i="1"/>
  <c r="S889" i="1"/>
  <c r="G889" i="1"/>
  <c r="AP889" i="1"/>
  <c r="AD889" i="1"/>
  <c r="R889" i="1"/>
  <c r="F889" i="1"/>
  <c r="AO889" i="1"/>
  <c r="Q889" i="1"/>
  <c r="E889" i="1"/>
  <c r="AN889" i="1"/>
  <c r="AB889" i="1"/>
  <c r="D889" i="1"/>
  <c r="AY889" i="1"/>
  <c r="AM889" i="1"/>
  <c r="AA889" i="1"/>
  <c r="O889" i="1"/>
  <c r="P889" i="1" s="1"/>
  <c r="AL889" i="1"/>
  <c r="Z889" i="1"/>
  <c r="N889" i="1"/>
  <c r="AK889" i="1"/>
  <c r="Y889" i="1"/>
  <c r="M889" i="1"/>
  <c r="AH889" i="1"/>
  <c r="AG889" i="1"/>
  <c r="X889" i="1"/>
  <c r="W889" i="1"/>
  <c r="V889" i="1"/>
  <c r="U889" i="1"/>
  <c r="K889" i="1"/>
  <c r="L889" i="1" s="1"/>
  <c r="J889" i="1"/>
  <c r="AS889" i="1"/>
  <c r="I889" i="1"/>
  <c r="AJ889" i="1"/>
  <c r="AI889" i="1"/>
  <c r="AN885" i="1"/>
  <c r="AB885" i="1"/>
  <c r="D885" i="1"/>
  <c r="AY885" i="1"/>
  <c r="AM885" i="1"/>
  <c r="AA885" i="1"/>
  <c r="O885" i="1"/>
  <c r="P885" i="1" s="1"/>
  <c r="AL885" i="1"/>
  <c r="Z885" i="1"/>
  <c r="N885" i="1"/>
  <c r="AK885" i="1"/>
  <c r="Y885" i="1"/>
  <c r="M885" i="1"/>
  <c r="AJ885" i="1"/>
  <c r="X885" i="1"/>
  <c r="AS885" i="1"/>
  <c r="AG885" i="1"/>
  <c r="U885" i="1"/>
  <c r="AD885" i="1"/>
  <c r="G885" i="1"/>
  <c r="F885" i="1"/>
  <c r="W885" i="1"/>
  <c r="E885" i="1"/>
  <c r="V885" i="1"/>
  <c r="AR885" i="1"/>
  <c r="T885" i="1"/>
  <c r="AQ885" i="1"/>
  <c r="S885" i="1"/>
  <c r="AP885" i="1"/>
  <c r="R885" i="1"/>
  <c r="AO885" i="1"/>
  <c r="Q885" i="1"/>
  <c r="AI885" i="1"/>
  <c r="K885" i="1"/>
  <c r="L885" i="1" s="1"/>
  <c r="AH885" i="1"/>
  <c r="J885" i="1"/>
  <c r="AF885" i="1"/>
  <c r="I885" i="1"/>
  <c r="AE885" i="1"/>
  <c r="H885" i="1"/>
  <c r="AT885" i="1" s="1"/>
  <c r="AL939" i="1"/>
  <c r="Z939" i="1"/>
  <c r="N939" i="1"/>
  <c r="AQ939" i="1"/>
  <c r="AE939" i="1"/>
  <c r="S939" i="1"/>
  <c r="G939" i="1"/>
  <c r="AP939" i="1"/>
  <c r="AB939" i="1"/>
  <c r="M939" i="1"/>
  <c r="AO939" i="1"/>
  <c r="AA939" i="1"/>
  <c r="AN939" i="1"/>
  <c r="Y939" i="1"/>
  <c r="K939" i="1"/>
  <c r="L939" i="1" s="1"/>
  <c r="AM939" i="1"/>
  <c r="X939" i="1"/>
  <c r="J939" i="1"/>
  <c r="AY939" i="1"/>
  <c r="AK939" i="1"/>
  <c r="W939" i="1"/>
  <c r="I939" i="1"/>
  <c r="AJ939" i="1"/>
  <c r="V939" i="1"/>
  <c r="H939" i="1"/>
  <c r="AT939" i="1" s="1"/>
  <c r="AI939" i="1"/>
  <c r="U939" i="1"/>
  <c r="F939" i="1"/>
  <c r="AH939" i="1"/>
  <c r="T939" i="1"/>
  <c r="E939" i="1"/>
  <c r="AG939" i="1"/>
  <c r="R939" i="1"/>
  <c r="D939" i="1"/>
  <c r="AF939" i="1"/>
  <c r="Q939" i="1"/>
  <c r="AS939" i="1"/>
  <c r="AD939" i="1"/>
  <c r="AR939" i="1"/>
  <c r="O939" i="1"/>
  <c r="P939" i="1" s="1"/>
  <c r="AR929" i="1"/>
  <c r="AF929" i="1"/>
  <c r="T929" i="1"/>
  <c r="H929" i="1"/>
  <c r="AT929" i="1" s="1"/>
  <c r="AQ929" i="1"/>
  <c r="AE929" i="1"/>
  <c r="S929" i="1"/>
  <c r="G929" i="1"/>
  <c r="AP929" i="1"/>
  <c r="AD929" i="1"/>
  <c r="R929" i="1"/>
  <c r="F929" i="1"/>
  <c r="AO929" i="1"/>
  <c r="Q929" i="1"/>
  <c r="E929" i="1"/>
  <c r="AN929" i="1"/>
  <c r="AB929" i="1"/>
  <c r="D929" i="1"/>
  <c r="AY929" i="1"/>
  <c r="AM929" i="1"/>
  <c r="AA929" i="1"/>
  <c r="O929" i="1"/>
  <c r="P929" i="1" s="1"/>
  <c r="AL929" i="1"/>
  <c r="Z929" i="1"/>
  <c r="N929" i="1"/>
  <c r="AK929" i="1"/>
  <c r="Y929" i="1"/>
  <c r="M929" i="1"/>
  <c r="AJ929" i="1"/>
  <c r="X929" i="1"/>
  <c r="AI929" i="1"/>
  <c r="W929" i="1"/>
  <c r="K929" i="1"/>
  <c r="L929" i="1" s="1"/>
  <c r="AH929" i="1"/>
  <c r="V929" i="1"/>
  <c r="J929" i="1"/>
  <c r="AS929" i="1"/>
  <c r="AG929" i="1"/>
  <c r="U929" i="1"/>
  <c r="I929" i="1"/>
  <c r="AS975" i="1"/>
  <c r="AG975" i="1"/>
  <c r="U975" i="1"/>
  <c r="I975" i="1"/>
  <c r="AN975" i="1"/>
  <c r="AB975" i="1"/>
  <c r="D975" i="1"/>
  <c r="AL975" i="1"/>
  <c r="Z975" i="1"/>
  <c r="N975" i="1"/>
  <c r="AH975" i="1"/>
  <c r="R975" i="1"/>
  <c r="AF975" i="1"/>
  <c r="Q975" i="1"/>
  <c r="AE975" i="1"/>
  <c r="O975" i="1"/>
  <c r="P975" i="1" s="1"/>
  <c r="AD975" i="1"/>
  <c r="M975" i="1"/>
  <c r="AR975" i="1"/>
  <c r="AQ975" i="1"/>
  <c r="AA975" i="1"/>
  <c r="K975" i="1"/>
  <c r="L975" i="1" s="1"/>
  <c r="AP975" i="1"/>
  <c r="Y975" i="1"/>
  <c r="J975" i="1"/>
  <c r="AO975" i="1"/>
  <c r="X975" i="1"/>
  <c r="H975" i="1"/>
  <c r="AT975" i="1" s="1"/>
  <c r="AM975" i="1"/>
  <c r="W975" i="1"/>
  <c r="G975" i="1"/>
  <c r="AK975" i="1"/>
  <c r="V975" i="1"/>
  <c r="F975" i="1"/>
  <c r="AY975" i="1"/>
  <c r="AJ975" i="1"/>
  <c r="T975" i="1"/>
  <c r="E975" i="1"/>
  <c r="AI975" i="1"/>
  <c r="S975" i="1"/>
  <c r="AH953" i="1"/>
  <c r="V953" i="1"/>
  <c r="J953" i="1"/>
  <c r="AS953" i="1"/>
  <c r="AG953" i="1"/>
  <c r="U953" i="1"/>
  <c r="I953" i="1"/>
  <c r="AR953" i="1"/>
  <c r="AF953" i="1"/>
  <c r="T953" i="1"/>
  <c r="H953" i="1"/>
  <c r="AT953" i="1" s="1"/>
  <c r="AQ953" i="1"/>
  <c r="AE953" i="1"/>
  <c r="S953" i="1"/>
  <c r="G953" i="1"/>
  <c r="AP953" i="1"/>
  <c r="AD953" i="1"/>
  <c r="R953" i="1"/>
  <c r="F953" i="1"/>
  <c r="AO953" i="1"/>
  <c r="Q953" i="1"/>
  <c r="E953" i="1"/>
  <c r="AN953" i="1"/>
  <c r="AB953" i="1"/>
  <c r="D953" i="1"/>
  <c r="AY953" i="1"/>
  <c r="AM953" i="1"/>
  <c r="AA953" i="1"/>
  <c r="O953" i="1"/>
  <c r="P953" i="1" s="1"/>
  <c r="AL953" i="1"/>
  <c r="Z953" i="1"/>
  <c r="N953" i="1"/>
  <c r="AK953" i="1"/>
  <c r="Y953" i="1"/>
  <c r="M953" i="1"/>
  <c r="AJ953" i="1"/>
  <c r="X953" i="1"/>
  <c r="AI953" i="1"/>
  <c r="W953" i="1"/>
  <c r="K953" i="1"/>
  <c r="L953" i="1" s="1"/>
  <c r="AP961" i="1"/>
  <c r="AD961" i="1"/>
  <c r="R961" i="1"/>
  <c r="F961" i="1"/>
  <c r="AO961" i="1"/>
  <c r="Q961" i="1"/>
  <c r="E961" i="1"/>
  <c r="AN961" i="1"/>
  <c r="AB961" i="1"/>
  <c r="D961" i="1"/>
  <c r="AY961" i="1"/>
  <c r="AM961" i="1"/>
  <c r="AA961" i="1"/>
  <c r="O961" i="1"/>
  <c r="P961" i="1" s="1"/>
  <c r="AL961" i="1"/>
  <c r="Z961" i="1"/>
  <c r="N961" i="1"/>
  <c r="AK961" i="1"/>
  <c r="Y961" i="1"/>
  <c r="M961" i="1"/>
  <c r="AJ961" i="1"/>
  <c r="X961" i="1"/>
  <c r="AI961" i="1"/>
  <c r="W961" i="1"/>
  <c r="K961" i="1"/>
  <c r="L961" i="1" s="1"/>
  <c r="AH961" i="1"/>
  <c r="V961" i="1"/>
  <c r="J961" i="1"/>
  <c r="AS961" i="1"/>
  <c r="AG961" i="1"/>
  <c r="U961" i="1"/>
  <c r="I961" i="1"/>
  <c r="AR961" i="1"/>
  <c r="AF961" i="1"/>
  <c r="T961" i="1"/>
  <c r="H961" i="1"/>
  <c r="AT961" i="1" s="1"/>
  <c r="G961" i="1"/>
  <c r="AQ961" i="1"/>
  <c r="AE961" i="1"/>
  <c r="S961" i="1"/>
  <c r="AN1002" i="1"/>
  <c r="AB1002" i="1"/>
  <c r="D1002" i="1"/>
  <c r="AJ1002" i="1"/>
  <c r="X1002" i="1"/>
  <c r="AP1002" i="1"/>
  <c r="AD1002" i="1"/>
  <c r="R1002" i="1"/>
  <c r="F1002" i="1"/>
  <c r="AF1002" i="1"/>
  <c r="O1002" i="1"/>
  <c r="P1002" i="1" s="1"/>
  <c r="AE1002" i="1"/>
  <c r="N1002" i="1"/>
  <c r="AS1002" i="1"/>
  <c r="M1002" i="1"/>
  <c r="AR1002" i="1"/>
  <c r="AA1002" i="1"/>
  <c r="K1002" i="1"/>
  <c r="L1002" i="1" s="1"/>
  <c r="AQ1002" i="1"/>
  <c r="Z1002" i="1"/>
  <c r="J1002" i="1"/>
  <c r="AO1002" i="1"/>
  <c r="Y1002" i="1"/>
  <c r="I1002" i="1"/>
  <c r="AM1002" i="1"/>
  <c r="W1002" i="1"/>
  <c r="H1002" i="1"/>
  <c r="AT1002" i="1" s="1"/>
  <c r="AL1002" i="1"/>
  <c r="V1002" i="1"/>
  <c r="G1002" i="1"/>
  <c r="AK1002" i="1"/>
  <c r="U1002" i="1"/>
  <c r="E1002" i="1"/>
  <c r="AY1002" i="1"/>
  <c r="AI1002" i="1"/>
  <c r="T1002" i="1"/>
  <c r="AH1002" i="1"/>
  <c r="S1002" i="1"/>
  <c r="AG1002" i="1"/>
  <c r="Q1002" i="1"/>
  <c r="AL1015" i="1"/>
  <c r="Z1015" i="1"/>
  <c r="N1015" i="1"/>
  <c r="AK1015" i="1"/>
  <c r="Y1015" i="1"/>
  <c r="M1015" i="1"/>
  <c r="AH1015" i="1"/>
  <c r="V1015" i="1"/>
  <c r="J1015" i="1"/>
  <c r="AS1015" i="1"/>
  <c r="AG1015" i="1"/>
  <c r="U1015" i="1"/>
  <c r="I1015" i="1"/>
  <c r="AR1015" i="1"/>
  <c r="AF1015" i="1"/>
  <c r="T1015" i="1"/>
  <c r="H1015" i="1"/>
  <c r="AT1015" i="1" s="1"/>
  <c r="AQ1015" i="1"/>
  <c r="AE1015" i="1"/>
  <c r="S1015" i="1"/>
  <c r="G1015" i="1"/>
  <c r="AP1015" i="1"/>
  <c r="AD1015" i="1"/>
  <c r="R1015" i="1"/>
  <c r="F1015" i="1"/>
  <c r="AO1015" i="1"/>
  <c r="Q1015" i="1"/>
  <c r="E1015" i="1"/>
  <c r="AN1015" i="1"/>
  <c r="AB1015" i="1"/>
  <c r="D1015" i="1"/>
  <c r="X1015" i="1"/>
  <c r="W1015" i="1"/>
  <c r="AY1015" i="1"/>
  <c r="O1015" i="1"/>
  <c r="P1015" i="1" s="1"/>
  <c r="K1015" i="1"/>
  <c r="L1015" i="1" s="1"/>
  <c r="AM1015" i="1"/>
  <c r="AJ1015" i="1"/>
  <c r="AI1015" i="1"/>
  <c r="AA1015" i="1"/>
  <c r="AY984" i="1"/>
  <c r="AM984" i="1"/>
  <c r="AA984" i="1"/>
  <c r="O984" i="1"/>
  <c r="P984" i="1" s="1"/>
  <c r="AL984" i="1"/>
  <c r="Z984" i="1"/>
  <c r="N984" i="1"/>
  <c r="AJ984" i="1"/>
  <c r="X984" i="1"/>
  <c r="AI984" i="1"/>
  <c r="W984" i="1"/>
  <c r="K984" i="1"/>
  <c r="L984" i="1" s="1"/>
  <c r="AH984" i="1"/>
  <c r="V984" i="1"/>
  <c r="J984" i="1"/>
  <c r="AS984" i="1"/>
  <c r="AG984" i="1"/>
  <c r="U984" i="1"/>
  <c r="I984" i="1"/>
  <c r="AR984" i="1"/>
  <c r="AF984" i="1"/>
  <c r="T984" i="1"/>
  <c r="H984" i="1"/>
  <c r="AT984" i="1" s="1"/>
  <c r="AQ984" i="1"/>
  <c r="AE984" i="1"/>
  <c r="S984" i="1"/>
  <c r="G984" i="1"/>
  <c r="AP984" i="1"/>
  <c r="AD984" i="1"/>
  <c r="R984" i="1"/>
  <c r="F984" i="1"/>
  <c r="AO984" i="1"/>
  <c r="Q984" i="1"/>
  <c r="E984" i="1"/>
  <c r="AN984" i="1"/>
  <c r="AK984" i="1"/>
  <c r="AB984" i="1"/>
  <c r="Y984" i="1"/>
  <c r="M984" i="1"/>
  <c r="D984" i="1"/>
  <c r="AH1025" i="1"/>
  <c r="V1025" i="1"/>
  <c r="J1025" i="1"/>
  <c r="AO1025" i="1"/>
  <c r="Q1025" i="1"/>
  <c r="E1025" i="1"/>
  <c r="AL1025" i="1"/>
  <c r="Y1025" i="1"/>
  <c r="K1025" i="1"/>
  <c r="L1025" i="1" s="1"/>
  <c r="AY1025" i="1"/>
  <c r="AK1025" i="1"/>
  <c r="X1025" i="1"/>
  <c r="I1025" i="1"/>
  <c r="AI1025" i="1"/>
  <c r="U1025" i="1"/>
  <c r="G1025" i="1"/>
  <c r="AG1025" i="1"/>
  <c r="T1025" i="1"/>
  <c r="F1025" i="1"/>
  <c r="AF1025" i="1"/>
  <c r="S1025" i="1"/>
  <c r="D1025" i="1"/>
  <c r="AS1025" i="1"/>
  <c r="AE1025" i="1"/>
  <c r="R1025" i="1"/>
  <c r="AR1025" i="1"/>
  <c r="AD1025" i="1"/>
  <c r="AQ1025" i="1"/>
  <c r="O1025" i="1"/>
  <c r="P1025" i="1" s="1"/>
  <c r="AP1025" i="1"/>
  <c r="AB1025" i="1"/>
  <c r="N1025" i="1"/>
  <c r="AN1025" i="1"/>
  <c r="AA1025" i="1"/>
  <c r="M1025" i="1"/>
  <c r="AM1025" i="1"/>
  <c r="AJ1025" i="1"/>
  <c r="Z1025" i="1"/>
  <c r="W1025" i="1"/>
  <c r="H1025" i="1"/>
  <c r="AT1025" i="1" s="1"/>
  <c r="AJ1036" i="1"/>
  <c r="X1036" i="1"/>
  <c r="AI1036" i="1"/>
  <c r="W1036" i="1"/>
  <c r="K1036" i="1"/>
  <c r="L1036" i="1" s="1"/>
  <c r="AH1036" i="1"/>
  <c r="V1036" i="1"/>
  <c r="J1036" i="1"/>
  <c r="AS1036" i="1"/>
  <c r="AG1036" i="1"/>
  <c r="U1036" i="1"/>
  <c r="I1036" i="1"/>
  <c r="AR1036" i="1"/>
  <c r="AF1036" i="1"/>
  <c r="T1036" i="1"/>
  <c r="H1036" i="1"/>
  <c r="AT1036" i="1" s="1"/>
  <c r="AQ1036" i="1"/>
  <c r="AE1036" i="1"/>
  <c r="S1036" i="1"/>
  <c r="G1036" i="1"/>
  <c r="AP1036" i="1"/>
  <c r="AD1036" i="1"/>
  <c r="R1036" i="1"/>
  <c r="F1036" i="1"/>
  <c r="AO1036" i="1"/>
  <c r="Q1036" i="1"/>
  <c r="E1036" i="1"/>
  <c r="AN1036" i="1"/>
  <c r="AB1036" i="1"/>
  <c r="D1036" i="1"/>
  <c r="AY1036" i="1"/>
  <c r="AM1036" i="1"/>
  <c r="AA1036" i="1"/>
  <c r="O1036" i="1"/>
  <c r="P1036" i="1" s="1"/>
  <c r="AL1036" i="1"/>
  <c r="Z1036" i="1"/>
  <c r="N1036" i="1"/>
  <c r="AK1036" i="1"/>
  <c r="Y1036" i="1"/>
  <c r="M1036" i="1"/>
  <c r="AS1054" i="1"/>
  <c r="AG1054" i="1"/>
  <c r="U1054" i="1"/>
  <c r="I1054" i="1"/>
  <c r="AR1054" i="1"/>
  <c r="AF1054" i="1"/>
  <c r="T1054" i="1"/>
  <c r="H1054" i="1"/>
  <c r="AT1054" i="1" s="1"/>
  <c r="AQ1054" i="1"/>
  <c r="AE1054" i="1"/>
  <c r="S1054" i="1"/>
  <c r="G1054" i="1"/>
  <c r="AP1054" i="1"/>
  <c r="AD1054" i="1"/>
  <c r="R1054" i="1"/>
  <c r="F1054" i="1"/>
  <c r="AO1054" i="1"/>
  <c r="Q1054" i="1"/>
  <c r="E1054" i="1"/>
  <c r="AN1054" i="1"/>
  <c r="AB1054" i="1"/>
  <c r="D1054" i="1"/>
  <c r="AY1054" i="1"/>
  <c r="AL1054" i="1"/>
  <c r="Z1054" i="1"/>
  <c r="N1054" i="1"/>
  <c r="AK1054" i="1"/>
  <c r="M1054" i="1"/>
  <c r="AM1054" i="1"/>
  <c r="AJ1054" i="1"/>
  <c r="K1054" i="1"/>
  <c r="L1054" i="1" s="1"/>
  <c r="AI1054" i="1"/>
  <c r="J1054" i="1"/>
  <c r="AH1054" i="1"/>
  <c r="AA1054" i="1"/>
  <c r="Y1054" i="1"/>
  <c r="X1054" i="1"/>
  <c r="W1054" i="1"/>
  <c r="V1054" i="1"/>
  <c r="O1054" i="1"/>
  <c r="P1054" i="1" s="1"/>
  <c r="AJ1092" i="1"/>
  <c r="X1092" i="1"/>
  <c r="AI1092" i="1"/>
  <c r="W1092" i="1"/>
  <c r="K1092" i="1"/>
  <c r="L1092" i="1" s="1"/>
  <c r="AS1092" i="1"/>
  <c r="AG1092" i="1"/>
  <c r="U1092" i="1"/>
  <c r="I1092" i="1"/>
  <c r="AQ1092" i="1"/>
  <c r="AE1092" i="1"/>
  <c r="S1092" i="1"/>
  <c r="G1092" i="1"/>
  <c r="AL1092" i="1"/>
  <c r="R1092" i="1"/>
  <c r="AK1092" i="1"/>
  <c r="Q1092" i="1"/>
  <c r="AH1092" i="1"/>
  <c r="AY1092" i="1"/>
  <c r="AF1092" i="1"/>
  <c r="O1092" i="1"/>
  <c r="P1092" i="1" s="1"/>
  <c r="AD1092" i="1"/>
  <c r="N1092" i="1"/>
  <c r="M1092" i="1"/>
  <c r="AB1092" i="1"/>
  <c r="J1092" i="1"/>
  <c r="AR1092" i="1"/>
  <c r="AA1092" i="1"/>
  <c r="H1092" i="1"/>
  <c r="AT1092" i="1" s="1"/>
  <c r="AP1092" i="1"/>
  <c r="Z1092" i="1"/>
  <c r="F1092" i="1"/>
  <c r="AO1092" i="1"/>
  <c r="Y1092" i="1"/>
  <c r="E1092" i="1"/>
  <c r="AN1092" i="1"/>
  <c r="V1092" i="1"/>
  <c r="D1092" i="1"/>
  <c r="AM1092" i="1"/>
  <c r="T1092" i="1"/>
  <c r="AJ1067" i="1"/>
  <c r="X1067" i="1"/>
  <c r="AQ1067" i="1"/>
  <c r="AD1067" i="1"/>
  <c r="Q1067" i="1"/>
  <c r="D1067" i="1"/>
  <c r="AP1067" i="1"/>
  <c r="AO1067" i="1"/>
  <c r="AB1067" i="1"/>
  <c r="O1067" i="1"/>
  <c r="P1067" i="1" s="1"/>
  <c r="AN1067" i="1"/>
  <c r="AA1067" i="1"/>
  <c r="N1067" i="1"/>
  <c r="AM1067" i="1"/>
  <c r="Z1067" i="1"/>
  <c r="M1067" i="1"/>
  <c r="AY1067" i="1"/>
  <c r="AL1067" i="1"/>
  <c r="Y1067" i="1"/>
  <c r="K1067" i="1"/>
  <c r="L1067" i="1" s="1"/>
  <c r="AK1067" i="1"/>
  <c r="W1067" i="1"/>
  <c r="J1067" i="1"/>
  <c r="AI1067" i="1"/>
  <c r="V1067" i="1"/>
  <c r="I1067" i="1"/>
  <c r="AH1067" i="1"/>
  <c r="U1067" i="1"/>
  <c r="H1067" i="1"/>
  <c r="AT1067" i="1" s="1"/>
  <c r="AG1067" i="1"/>
  <c r="T1067" i="1"/>
  <c r="G1067" i="1"/>
  <c r="AS1067" i="1"/>
  <c r="AF1067" i="1"/>
  <c r="S1067" i="1"/>
  <c r="F1067" i="1"/>
  <c r="AE1067" i="1"/>
  <c r="R1067" i="1"/>
  <c r="E1067" i="1"/>
  <c r="AR1067" i="1"/>
  <c r="AH1109" i="1"/>
  <c r="V1109" i="1"/>
  <c r="J1109" i="1"/>
  <c r="AO1109" i="1"/>
  <c r="AB1109" i="1"/>
  <c r="O1109" i="1"/>
  <c r="P1109" i="1" s="1"/>
  <c r="AN1109" i="1"/>
  <c r="AA1109" i="1"/>
  <c r="N1109" i="1"/>
  <c r="AM1109" i="1"/>
  <c r="Z1109" i="1"/>
  <c r="M1109" i="1"/>
  <c r="AY1109" i="1"/>
  <c r="AL1109" i="1"/>
  <c r="Y1109" i="1"/>
  <c r="AK1109" i="1"/>
  <c r="X1109" i="1"/>
  <c r="K1109" i="1"/>
  <c r="L1109" i="1" s="1"/>
  <c r="AJ1109" i="1"/>
  <c r="W1109" i="1"/>
  <c r="I1109" i="1"/>
  <c r="AI1109" i="1"/>
  <c r="U1109" i="1"/>
  <c r="H1109" i="1"/>
  <c r="AT1109" i="1" s="1"/>
  <c r="AG1109" i="1"/>
  <c r="T1109" i="1"/>
  <c r="G1109" i="1"/>
  <c r="AS1109" i="1"/>
  <c r="AF1109" i="1"/>
  <c r="S1109" i="1"/>
  <c r="F1109" i="1"/>
  <c r="AR1109" i="1"/>
  <c r="AE1109" i="1"/>
  <c r="R1109" i="1"/>
  <c r="E1109" i="1"/>
  <c r="AQ1109" i="1"/>
  <c r="AD1109" i="1"/>
  <c r="Q1109" i="1"/>
  <c r="D1109" i="1"/>
  <c r="AP1109" i="1"/>
  <c r="AN1071" i="1"/>
  <c r="AB1071" i="1"/>
  <c r="D1071" i="1"/>
  <c r="AY1071" i="1"/>
  <c r="AM1071" i="1"/>
  <c r="AA1071" i="1"/>
  <c r="O1071" i="1"/>
  <c r="P1071" i="1" s="1"/>
  <c r="AL1071" i="1"/>
  <c r="Z1071" i="1"/>
  <c r="N1071" i="1"/>
  <c r="AK1071" i="1"/>
  <c r="Y1071" i="1"/>
  <c r="M1071" i="1"/>
  <c r="AI1071" i="1"/>
  <c r="AS1071" i="1"/>
  <c r="X1071" i="1"/>
  <c r="H1071" i="1"/>
  <c r="AT1071" i="1" s="1"/>
  <c r="AR1071" i="1"/>
  <c r="W1071" i="1"/>
  <c r="G1071" i="1"/>
  <c r="AQ1071" i="1"/>
  <c r="V1071" i="1"/>
  <c r="F1071" i="1"/>
  <c r="AP1071" i="1"/>
  <c r="U1071" i="1"/>
  <c r="E1071" i="1"/>
  <c r="AO1071" i="1"/>
  <c r="T1071" i="1"/>
  <c r="AJ1071" i="1"/>
  <c r="S1071" i="1"/>
  <c r="AH1071" i="1"/>
  <c r="R1071" i="1"/>
  <c r="AG1071" i="1"/>
  <c r="Q1071" i="1"/>
  <c r="AF1071" i="1"/>
  <c r="AE1071" i="1"/>
  <c r="K1071" i="1"/>
  <c r="L1071" i="1" s="1"/>
  <c r="AD1071" i="1"/>
  <c r="J1071" i="1"/>
  <c r="I1071" i="1"/>
  <c r="AP1095" i="1"/>
  <c r="AD1095" i="1"/>
  <c r="R1095" i="1"/>
  <c r="F1095" i="1"/>
  <c r="AO1095" i="1"/>
  <c r="Q1095" i="1"/>
  <c r="E1095" i="1"/>
  <c r="AN1095" i="1"/>
  <c r="AB1095" i="1"/>
  <c r="D1095" i="1"/>
  <c r="AY1095" i="1"/>
  <c r="AM1095" i="1"/>
  <c r="AA1095" i="1"/>
  <c r="O1095" i="1"/>
  <c r="P1095" i="1" s="1"/>
  <c r="AL1095" i="1"/>
  <c r="Z1095" i="1"/>
  <c r="N1095" i="1"/>
  <c r="AK1095" i="1"/>
  <c r="Y1095" i="1"/>
  <c r="M1095" i="1"/>
  <c r="AJ1095" i="1"/>
  <c r="X1095" i="1"/>
  <c r="AI1095" i="1"/>
  <c r="W1095" i="1"/>
  <c r="K1095" i="1"/>
  <c r="L1095" i="1" s="1"/>
  <c r="AH1095" i="1"/>
  <c r="V1095" i="1"/>
  <c r="J1095" i="1"/>
  <c r="AS1095" i="1"/>
  <c r="AG1095" i="1"/>
  <c r="U1095" i="1"/>
  <c r="I1095" i="1"/>
  <c r="AR1095" i="1"/>
  <c r="AF1095" i="1"/>
  <c r="T1095" i="1"/>
  <c r="H1095" i="1"/>
  <c r="AT1095" i="1" s="1"/>
  <c r="AE1095" i="1"/>
  <c r="S1095" i="1"/>
  <c r="G1095" i="1"/>
  <c r="AQ1095" i="1"/>
  <c r="AJ1120" i="1"/>
  <c r="X1120" i="1"/>
  <c r="AI1120" i="1"/>
  <c r="W1120" i="1"/>
  <c r="K1120" i="1"/>
  <c r="L1120" i="1" s="1"/>
  <c r="AH1120" i="1"/>
  <c r="V1120" i="1"/>
  <c r="J1120" i="1"/>
  <c r="AS1120" i="1"/>
  <c r="AG1120" i="1"/>
  <c r="U1120" i="1"/>
  <c r="I1120" i="1"/>
  <c r="AR1120" i="1"/>
  <c r="AF1120" i="1"/>
  <c r="T1120" i="1"/>
  <c r="H1120" i="1"/>
  <c r="AT1120" i="1" s="1"/>
  <c r="AQ1120" i="1"/>
  <c r="AE1120" i="1"/>
  <c r="S1120" i="1"/>
  <c r="G1120" i="1"/>
  <c r="AP1120" i="1"/>
  <c r="AD1120" i="1"/>
  <c r="R1120" i="1"/>
  <c r="F1120" i="1"/>
  <c r="AO1120" i="1"/>
  <c r="Q1120" i="1"/>
  <c r="E1120" i="1"/>
  <c r="AN1120" i="1"/>
  <c r="AB1120" i="1"/>
  <c r="D1120" i="1"/>
  <c r="AY1120" i="1"/>
  <c r="AM1120" i="1"/>
  <c r="AA1120" i="1"/>
  <c r="O1120" i="1"/>
  <c r="P1120" i="1" s="1"/>
  <c r="AL1120" i="1"/>
  <c r="Z1120" i="1"/>
  <c r="N1120" i="1"/>
  <c r="AK1120" i="1"/>
  <c r="Y1120" i="1"/>
  <c r="M1120" i="1"/>
  <c r="AQ1127" i="1"/>
  <c r="AE1127" i="1"/>
  <c r="S1127" i="1"/>
  <c r="G1127" i="1"/>
  <c r="AP1127" i="1"/>
  <c r="AO1127" i="1"/>
  <c r="AB1127" i="1"/>
  <c r="O1127" i="1"/>
  <c r="P1127" i="1" s="1"/>
  <c r="AN1127" i="1"/>
  <c r="AA1127" i="1"/>
  <c r="N1127" i="1"/>
  <c r="AM1127" i="1"/>
  <c r="Z1127" i="1"/>
  <c r="M1127" i="1"/>
  <c r="AY1127" i="1"/>
  <c r="AL1127" i="1"/>
  <c r="Y1127" i="1"/>
  <c r="AK1127" i="1"/>
  <c r="X1127" i="1"/>
  <c r="K1127" i="1"/>
  <c r="L1127" i="1" s="1"/>
  <c r="AJ1127" i="1"/>
  <c r="W1127" i="1"/>
  <c r="J1127" i="1"/>
  <c r="AI1127" i="1"/>
  <c r="V1127" i="1"/>
  <c r="I1127" i="1"/>
  <c r="AH1127" i="1"/>
  <c r="U1127" i="1"/>
  <c r="H1127" i="1"/>
  <c r="AT1127" i="1" s="1"/>
  <c r="AG1127" i="1"/>
  <c r="T1127" i="1"/>
  <c r="F1127" i="1"/>
  <c r="AS1127" i="1"/>
  <c r="AF1127" i="1"/>
  <c r="R1127" i="1"/>
  <c r="E1127" i="1"/>
  <c r="AR1127" i="1"/>
  <c r="AD1127" i="1"/>
  <c r="Q1127" i="1"/>
  <c r="D1127" i="1"/>
  <c r="AS1144" i="1"/>
  <c r="AG1144" i="1"/>
  <c r="U1144" i="1"/>
  <c r="I1144" i="1"/>
  <c r="AR1144" i="1"/>
  <c r="AF1144" i="1"/>
  <c r="T1144" i="1"/>
  <c r="H1144" i="1"/>
  <c r="AT1144" i="1" s="1"/>
  <c r="AQ1144" i="1"/>
  <c r="AE1144" i="1"/>
  <c r="S1144" i="1"/>
  <c r="G1144" i="1"/>
  <c r="AP1144" i="1"/>
  <c r="AD1144" i="1"/>
  <c r="R1144" i="1"/>
  <c r="F1144" i="1"/>
  <c r="AO1144" i="1"/>
  <c r="Q1144" i="1"/>
  <c r="E1144" i="1"/>
  <c r="AN1144" i="1"/>
  <c r="AB1144" i="1"/>
  <c r="D1144" i="1"/>
  <c r="AY1144" i="1"/>
  <c r="AM1144" i="1"/>
  <c r="AA1144" i="1"/>
  <c r="O1144" i="1"/>
  <c r="P1144" i="1" s="1"/>
  <c r="AL1144" i="1"/>
  <c r="Z1144" i="1"/>
  <c r="N1144" i="1"/>
  <c r="AK1144" i="1"/>
  <c r="Y1144" i="1"/>
  <c r="M1144" i="1"/>
  <c r="AJ1144" i="1"/>
  <c r="X1144" i="1"/>
  <c r="AI1144" i="1"/>
  <c r="W1144" i="1"/>
  <c r="K1144" i="1"/>
  <c r="L1144" i="1" s="1"/>
  <c r="AH1144" i="1"/>
  <c r="V1144" i="1"/>
  <c r="J1144" i="1"/>
  <c r="AY1129" i="1"/>
  <c r="AM1129" i="1"/>
  <c r="AA1129" i="1"/>
  <c r="O1129" i="1"/>
  <c r="P1129" i="1" s="1"/>
  <c r="AG1129" i="1"/>
  <c r="T1129" i="1"/>
  <c r="G1129" i="1"/>
  <c r="AS1129" i="1"/>
  <c r="AF1129" i="1"/>
  <c r="S1129" i="1"/>
  <c r="F1129" i="1"/>
  <c r="AR1129" i="1"/>
  <c r="AE1129" i="1"/>
  <c r="R1129" i="1"/>
  <c r="E1129" i="1"/>
  <c r="AQ1129" i="1"/>
  <c r="AD1129" i="1"/>
  <c r="Q1129" i="1"/>
  <c r="D1129" i="1"/>
  <c r="AP1129" i="1"/>
  <c r="AO1129" i="1"/>
  <c r="AB1129" i="1"/>
  <c r="N1129" i="1"/>
  <c r="AN1129" i="1"/>
  <c r="Z1129" i="1"/>
  <c r="M1129" i="1"/>
  <c r="AL1129" i="1"/>
  <c r="Y1129" i="1"/>
  <c r="AK1129" i="1"/>
  <c r="X1129" i="1"/>
  <c r="K1129" i="1"/>
  <c r="L1129" i="1" s="1"/>
  <c r="AJ1129" i="1"/>
  <c r="W1129" i="1"/>
  <c r="J1129" i="1"/>
  <c r="AI1129" i="1"/>
  <c r="V1129" i="1"/>
  <c r="I1129" i="1"/>
  <c r="AH1129" i="1"/>
  <c r="U1129" i="1"/>
  <c r="H1129" i="1"/>
  <c r="AT1129" i="1" s="1"/>
  <c r="AO1168" i="1"/>
  <c r="Q1168" i="1"/>
  <c r="E1168" i="1"/>
  <c r="AH1168" i="1"/>
  <c r="V1168" i="1"/>
  <c r="I1168" i="1"/>
  <c r="AG1168" i="1"/>
  <c r="U1168" i="1"/>
  <c r="H1168" i="1"/>
  <c r="AT1168" i="1" s="1"/>
  <c r="AS1168" i="1"/>
  <c r="AF1168" i="1"/>
  <c r="T1168" i="1"/>
  <c r="G1168" i="1"/>
  <c r="AR1168" i="1"/>
  <c r="AE1168" i="1"/>
  <c r="S1168" i="1"/>
  <c r="F1168" i="1"/>
  <c r="AQ1168" i="1"/>
  <c r="AD1168" i="1"/>
  <c r="R1168" i="1"/>
  <c r="D1168" i="1"/>
  <c r="AP1168" i="1"/>
  <c r="AN1168" i="1"/>
  <c r="AB1168" i="1"/>
  <c r="O1168" i="1"/>
  <c r="P1168" i="1" s="1"/>
  <c r="AM1168" i="1"/>
  <c r="AA1168" i="1"/>
  <c r="N1168" i="1"/>
  <c r="AY1168" i="1"/>
  <c r="AL1168" i="1"/>
  <c r="Z1168" i="1"/>
  <c r="M1168" i="1"/>
  <c r="AK1168" i="1"/>
  <c r="Y1168" i="1"/>
  <c r="AJ1168" i="1"/>
  <c r="X1168" i="1"/>
  <c r="K1168" i="1"/>
  <c r="L1168" i="1" s="1"/>
  <c r="W1168" i="1"/>
  <c r="J1168" i="1"/>
  <c r="AI1168" i="1"/>
  <c r="AR1184" i="1"/>
  <c r="AF1184" i="1"/>
  <c r="T1184" i="1"/>
  <c r="H1184" i="1"/>
  <c r="AT1184" i="1" s="1"/>
  <c r="AQ1184" i="1"/>
  <c r="AE1184" i="1"/>
  <c r="S1184" i="1"/>
  <c r="G1184" i="1"/>
  <c r="AP1184" i="1"/>
  <c r="AD1184" i="1"/>
  <c r="R1184" i="1"/>
  <c r="F1184" i="1"/>
  <c r="AO1184" i="1"/>
  <c r="AN1184" i="1"/>
  <c r="AY1184" i="1"/>
  <c r="AL1184" i="1"/>
  <c r="Z1184" i="1"/>
  <c r="N1184" i="1"/>
  <c r="AK1184" i="1"/>
  <c r="Y1184" i="1"/>
  <c r="M1184" i="1"/>
  <c r="AJ1184" i="1"/>
  <c r="X1184" i="1"/>
  <c r="AS1184" i="1"/>
  <c r="AM1184" i="1"/>
  <c r="O1184" i="1"/>
  <c r="P1184" i="1" s="1"/>
  <c r="AI1184" i="1"/>
  <c r="K1184" i="1"/>
  <c r="L1184" i="1" s="1"/>
  <c r="AH1184" i="1"/>
  <c r="J1184" i="1"/>
  <c r="AG1184" i="1"/>
  <c r="I1184" i="1"/>
  <c r="E1184" i="1"/>
  <c r="AB1184" i="1"/>
  <c r="D1184" i="1"/>
  <c r="AA1184" i="1"/>
  <c r="W1184" i="1"/>
  <c r="V1184" i="1"/>
  <c r="U1184" i="1"/>
  <c r="Q1184" i="1"/>
  <c r="AJ1200" i="1"/>
  <c r="X1200" i="1"/>
  <c r="AI1200" i="1"/>
  <c r="W1200" i="1"/>
  <c r="K1200" i="1"/>
  <c r="L1200" i="1" s="1"/>
  <c r="AH1200" i="1"/>
  <c r="V1200" i="1"/>
  <c r="J1200" i="1"/>
  <c r="AS1200" i="1"/>
  <c r="AG1200" i="1"/>
  <c r="U1200" i="1"/>
  <c r="I1200" i="1"/>
  <c r="AR1200" i="1"/>
  <c r="AF1200" i="1"/>
  <c r="T1200" i="1"/>
  <c r="H1200" i="1"/>
  <c r="AT1200" i="1" s="1"/>
  <c r="AQ1200" i="1"/>
  <c r="AE1200" i="1"/>
  <c r="S1200" i="1"/>
  <c r="G1200" i="1"/>
  <c r="AP1200" i="1"/>
  <c r="AD1200" i="1"/>
  <c r="R1200" i="1"/>
  <c r="F1200" i="1"/>
  <c r="AO1200" i="1"/>
  <c r="Q1200" i="1"/>
  <c r="E1200" i="1"/>
  <c r="AN1200" i="1"/>
  <c r="AB1200" i="1"/>
  <c r="D1200" i="1"/>
  <c r="AY1200" i="1"/>
  <c r="AM1200" i="1"/>
  <c r="AA1200" i="1"/>
  <c r="O1200" i="1"/>
  <c r="P1200" i="1" s="1"/>
  <c r="AL1200" i="1"/>
  <c r="AK1200" i="1"/>
  <c r="Z1200" i="1"/>
  <c r="Y1200" i="1"/>
  <c r="N1200" i="1"/>
  <c r="M1200" i="1"/>
  <c r="AJ31" i="1"/>
  <c r="W31" i="1"/>
  <c r="AE31" i="1"/>
  <c r="G31" i="1"/>
  <c r="AD31" i="1"/>
  <c r="F31" i="1"/>
  <c r="AO31" i="1"/>
  <c r="E31" i="1"/>
  <c r="AK31" i="1"/>
  <c r="AL31" i="1"/>
  <c r="I31" i="1"/>
  <c r="H31" i="1"/>
  <c r="AT31" i="1" s="1"/>
  <c r="AA31" i="1"/>
  <c r="Z31" i="1" s="1"/>
  <c r="AS31" i="1"/>
  <c r="AN31" i="1"/>
  <c r="AM31" i="1"/>
  <c r="AL30" i="1"/>
  <c r="AK30" i="1"/>
  <c r="AS30" i="1"/>
  <c r="I30" i="1"/>
  <c r="H30" i="1"/>
  <c r="AT30" i="1" s="1"/>
  <c r="AE30" i="1"/>
  <c r="G30" i="1"/>
  <c r="AM30" i="1"/>
  <c r="AA30" i="1"/>
  <c r="Z30" i="1" s="1"/>
  <c r="AO30" i="1"/>
  <c r="AN30" i="1"/>
  <c r="AJ30" i="1"/>
  <c r="AD30" i="1"/>
  <c r="F30" i="1"/>
  <c r="E30" i="1"/>
  <c r="W30" i="1"/>
  <c r="AL99" i="1"/>
  <c r="Z99" i="1"/>
  <c r="N99" i="1"/>
  <c r="AS99" i="1"/>
  <c r="AG99" i="1"/>
  <c r="U99" i="1"/>
  <c r="I99" i="1"/>
  <c r="AR99" i="1"/>
  <c r="AF99" i="1"/>
  <c r="T99" i="1"/>
  <c r="H99" i="1"/>
  <c r="AT99" i="1" s="1"/>
  <c r="AQ99" i="1"/>
  <c r="AE99" i="1"/>
  <c r="S99" i="1"/>
  <c r="G99" i="1"/>
  <c r="AK99" i="1"/>
  <c r="R99" i="1"/>
  <c r="AJ99" i="1"/>
  <c r="Q99" i="1"/>
  <c r="AY99" i="1"/>
  <c r="AI99" i="1"/>
  <c r="AH99" i="1"/>
  <c r="O99" i="1"/>
  <c r="P99" i="1" s="1"/>
  <c r="AD99" i="1"/>
  <c r="M99" i="1"/>
  <c r="AB99" i="1"/>
  <c r="K99" i="1"/>
  <c r="L99" i="1" s="1"/>
  <c r="AA99" i="1"/>
  <c r="J99" i="1"/>
  <c r="AP99" i="1"/>
  <c r="Y99" i="1"/>
  <c r="F99" i="1"/>
  <c r="AO99" i="1"/>
  <c r="X99" i="1"/>
  <c r="E99" i="1"/>
  <c r="AN99" i="1"/>
  <c r="W99" i="1"/>
  <c r="D99" i="1"/>
  <c r="AM99" i="1"/>
  <c r="V99" i="1"/>
  <c r="AN98" i="1"/>
  <c r="AB98" i="1"/>
  <c r="D98" i="1"/>
  <c r="AI98" i="1"/>
  <c r="W98" i="1"/>
  <c r="K98" i="1"/>
  <c r="L98" i="1" s="1"/>
  <c r="AH98" i="1"/>
  <c r="V98" i="1"/>
  <c r="J98" i="1"/>
  <c r="AS98" i="1"/>
  <c r="AG98" i="1"/>
  <c r="U98" i="1"/>
  <c r="I98" i="1"/>
  <c r="AY98" i="1"/>
  <c r="AF98" i="1"/>
  <c r="O98" i="1"/>
  <c r="P98" i="1" s="1"/>
  <c r="AE98" i="1"/>
  <c r="N98" i="1"/>
  <c r="AD98" i="1"/>
  <c r="M98" i="1"/>
  <c r="AR98" i="1"/>
  <c r="AA98" i="1"/>
  <c r="H98" i="1"/>
  <c r="AT98" i="1" s="1"/>
  <c r="AQ98" i="1"/>
  <c r="Z98" i="1"/>
  <c r="G98" i="1"/>
  <c r="AP98" i="1"/>
  <c r="Y98" i="1"/>
  <c r="F98" i="1"/>
  <c r="AO98" i="1"/>
  <c r="X98" i="1"/>
  <c r="E98" i="1"/>
  <c r="AM98" i="1"/>
  <c r="T98" i="1"/>
  <c r="AL98" i="1"/>
  <c r="S98" i="1"/>
  <c r="AK98" i="1"/>
  <c r="R98" i="1"/>
  <c r="AJ98" i="1"/>
  <c r="Q98" i="1"/>
  <c r="AH86" i="1"/>
  <c r="V86" i="1"/>
  <c r="J86" i="1"/>
  <c r="AS86" i="1"/>
  <c r="AG86" i="1"/>
  <c r="U86" i="1"/>
  <c r="I86" i="1"/>
  <c r="AR86" i="1"/>
  <c r="AF86" i="1"/>
  <c r="T86" i="1"/>
  <c r="H86" i="1"/>
  <c r="AT86" i="1" s="1"/>
  <c r="AQ86" i="1"/>
  <c r="AE86" i="1"/>
  <c r="S86" i="1"/>
  <c r="G86" i="1"/>
  <c r="AP86" i="1"/>
  <c r="AD86" i="1"/>
  <c r="R86" i="1"/>
  <c r="F86" i="1"/>
  <c r="AO86" i="1"/>
  <c r="Q86" i="1"/>
  <c r="E86" i="1"/>
  <c r="AN86" i="1"/>
  <c r="AB86" i="1"/>
  <c r="D86" i="1"/>
  <c r="AY86" i="1"/>
  <c r="AM86" i="1"/>
  <c r="AA86" i="1"/>
  <c r="O86" i="1"/>
  <c r="P86" i="1" s="1"/>
  <c r="AL86" i="1"/>
  <c r="Z86" i="1"/>
  <c r="N86" i="1"/>
  <c r="AK86" i="1"/>
  <c r="Y86" i="1"/>
  <c r="M86" i="1"/>
  <c r="AJ86" i="1"/>
  <c r="X86" i="1"/>
  <c r="AI86" i="1"/>
  <c r="W86" i="1"/>
  <c r="K86" i="1"/>
  <c r="L86" i="1" s="1"/>
  <c r="AR69" i="1"/>
  <c r="AF69" i="1"/>
  <c r="T69" i="1"/>
  <c r="H69" i="1"/>
  <c r="AT69" i="1" s="1"/>
  <c r="AQ69" i="1"/>
  <c r="AE69" i="1"/>
  <c r="S69" i="1"/>
  <c r="G69" i="1"/>
  <c r="AP69" i="1"/>
  <c r="AD69" i="1"/>
  <c r="R69" i="1"/>
  <c r="F69" i="1"/>
  <c r="AO69" i="1"/>
  <c r="Q69" i="1"/>
  <c r="E69" i="1"/>
  <c r="AN69" i="1"/>
  <c r="AB69" i="1"/>
  <c r="D69" i="1"/>
  <c r="AY69" i="1"/>
  <c r="AM69" i="1"/>
  <c r="AA69" i="1"/>
  <c r="O69" i="1"/>
  <c r="P69" i="1" s="1"/>
  <c r="AL69" i="1"/>
  <c r="Z69" i="1"/>
  <c r="N69" i="1"/>
  <c r="AK69" i="1"/>
  <c r="Y69" i="1"/>
  <c r="M69" i="1"/>
  <c r="AJ69" i="1"/>
  <c r="X69" i="1"/>
  <c r="AI69" i="1"/>
  <c r="W69" i="1"/>
  <c r="K69" i="1"/>
  <c r="L69" i="1" s="1"/>
  <c r="AH69" i="1"/>
  <c r="V69" i="1"/>
  <c r="J69" i="1"/>
  <c r="AS69" i="1"/>
  <c r="AG69" i="1"/>
  <c r="U69" i="1"/>
  <c r="I69" i="1"/>
  <c r="AP76" i="1"/>
  <c r="AD76" i="1"/>
  <c r="R76" i="1"/>
  <c r="F76" i="1"/>
  <c r="AO76" i="1"/>
  <c r="Q76" i="1"/>
  <c r="E76" i="1"/>
  <c r="AN76" i="1"/>
  <c r="AB76" i="1"/>
  <c r="D76" i="1"/>
  <c r="AY76" i="1"/>
  <c r="AM76" i="1"/>
  <c r="AA76" i="1"/>
  <c r="O76" i="1"/>
  <c r="P76" i="1" s="1"/>
  <c r="AL76" i="1"/>
  <c r="Z76" i="1"/>
  <c r="N76" i="1"/>
  <c r="AK76" i="1"/>
  <c r="Y76" i="1"/>
  <c r="M76" i="1"/>
  <c r="AJ76" i="1"/>
  <c r="X76" i="1"/>
  <c r="AI76" i="1"/>
  <c r="W76" i="1"/>
  <c r="K76" i="1"/>
  <c r="L76" i="1" s="1"/>
  <c r="AH76" i="1"/>
  <c r="V76" i="1"/>
  <c r="J76" i="1"/>
  <c r="AS76" i="1"/>
  <c r="AG76" i="1"/>
  <c r="U76" i="1"/>
  <c r="I76" i="1"/>
  <c r="AR76" i="1"/>
  <c r="AF76" i="1"/>
  <c r="T76" i="1"/>
  <c r="H76" i="1"/>
  <c r="AT76" i="1" s="1"/>
  <c r="AQ76" i="1"/>
  <c r="AE76" i="1"/>
  <c r="S76" i="1"/>
  <c r="G76" i="1"/>
  <c r="AN59" i="1"/>
  <c r="AM59" i="1"/>
  <c r="AA59" i="1"/>
  <c r="AL59" i="1"/>
  <c r="AK59" i="1"/>
  <c r="AJ59" i="1"/>
  <c r="W59" i="1"/>
  <c r="AS59" i="1"/>
  <c r="H59" i="1"/>
  <c r="AT59" i="1" s="1"/>
  <c r="AE59" i="1"/>
  <c r="G59" i="1"/>
  <c r="I59" i="1" s="1"/>
  <c r="AD59" i="1"/>
  <c r="F59" i="1"/>
  <c r="AO59" i="1"/>
  <c r="E59" i="1"/>
  <c r="AL129" i="1"/>
  <c r="Z129" i="1"/>
  <c r="N129" i="1"/>
  <c r="AK129" i="1"/>
  <c r="Y129" i="1"/>
  <c r="M129" i="1"/>
  <c r="AJ129" i="1"/>
  <c r="X129" i="1"/>
  <c r="AI129" i="1"/>
  <c r="W129" i="1"/>
  <c r="K129" i="1"/>
  <c r="L129" i="1" s="1"/>
  <c r="AH129" i="1"/>
  <c r="V129" i="1"/>
  <c r="J129" i="1"/>
  <c r="AS129" i="1"/>
  <c r="AG129" i="1"/>
  <c r="U129" i="1"/>
  <c r="I129" i="1"/>
  <c r="AR129" i="1"/>
  <c r="AF129" i="1"/>
  <c r="T129" i="1"/>
  <c r="H129" i="1"/>
  <c r="AT129" i="1" s="1"/>
  <c r="AQ129" i="1"/>
  <c r="AE129" i="1"/>
  <c r="S129" i="1"/>
  <c r="G129" i="1"/>
  <c r="AP129" i="1"/>
  <c r="AD129" i="1"/>
  <c r="R129" i="1"/>
  <c r="F129" i="1"/>
  <c r="AO129" i="1"/>
  <c r="Q129" i="1"/>
  <c r="E129" i="1"/>
  <c r="AN129" i="1"/>
  <c r="AB129" i="1"/>
  <c r="D129" i="1"/>
  <c r="AY129" i="1"/>
  <c r="AM129" i="1"/>
  <c r="AA129" i="1"/>
  <c r="O129" i="1"/>
  <c r="P129" i="1" s="1"/>
  <c r="AJ136" i="1"/>
  <c r="X136" i="1"/>
  <c r="AI136" i="1"/>
  <c r="W136" i="1"/>
  <c r="K136" i="1"/>
  <c r="L136" i="1" s="1"/>
  <c r="AH136" i="1"/>
  <c r="V136" i="1"/>
  <c r="J136" i="1"/>
  <c r="AS136" i="1"/>
  <c r="AG136" i="1"/>
  <c r="U136" i="1"/>
  <c r="I136" i="1"/>
  <c r="AR136" i="1"/>
  <c r="AF136" i="1"/>
  <c r="T136" i="1"/>
  <c r="H136" i="1"/>
  <c r="AT136" i="1" s="1"/>
  <c r="AQ136" i="1"/>
  <c r="AE136" i="1"/>
  <c r="S136" i="1"/>
  <c r="G136" i="1"/>
  <c r="AP136" i="1"/>
  <c r="AD136" i="1"/>
  <c r="R136" i="1"/>
  <c r="F136" i="1"/>
  <c r="AO136" i="1"/>
  <c r="Q136" i="1"/>
  <c r="E136" i="1"/>
  <c r="AN136" i="1"/>
  <c r="AB136" i="1"/>
  <c r="D136" i="1"/>
  <c r="AY136" i="1"/>
  <c r="AM136" i="1"/>
  <c r="AA136" i="1"/>
  <c r="O136" i="1"/>
  <c r="P136" i="1" s="1"/>
  <c r="AL136" i="1"/>
  <c r="Z136" i="1"/>
  <c r="N136" i="1"/>
  <c r="AK136" i="1"/>
  <c r="Y136" i="1"/>
  <c r="M136" i="1"/>
  <c r="AH119" i="1"/>
  <c r="V119" i="1"/>
  <c r="J119" i="1"/>
  <c r="AS119" i="1"/>
  <c r="AG119" i="1"/>
  <c r="U119" i="1"/>
  <c r="I119" i="1"/>
  <c r="AR119" i="1"/>
  <c r="AF119" i="1"/>
  <c r="T119" i="1"/>
  <c r="H119" i="1"/>
  <c r="AT119" i="1" s="1"/>
  <c r="AQ119" i="1"/>
  <c r="AE119" i="1"/>
  <c r="S119" i="1"/>
  <c r="G119" i="1"/>
  <c r="AP119" i="1"/>
  <c r="AD119" i="1"/>
  <c r="R119" i="1"/>
  <c r="F119" i="1"/>
  <c r="AO119" i="1"/>
  <c r="Q119" i="1"/>
  <c r="E119" i="1"/>
  <c r="AN119" i="1"/>
  <c r="AB119" i="1"/>
  <c r="D119" i="1"/>
  <c r="AY119" i="1"/>
  <c r="AM119" i="1"/>
  <c r="AA119" i="1"/>
  <c r="O119" i="1"/>
  <c r="P119" i="1" s="1"/>
  <c r="AJ119" i="1"/>
  <c r="X119" i="1"/>
  <c r="AI119" i="1"/>
  <c r="W119" i="1"/>
  <c r="K119" i="1"/>
  <c r="L119" i="1" s="1"/>
  <c r="Z119" i="1"/>
  <c r="Y119" i="1"/>
  <c r="N119" i="1"/>
  <c r="M119" i="1"/>
  <c r="AL119" i="1"/>
  <c r="AK119" i="1"/>
  <c r="AR114" i="1"/>
  <c r="AF114" i="1"/>
  <c r="T114" i="1"/>
  <c r="H114" i="1"/>
  <c r="AT114" i="1" s="1"/>
  <c r="AQ114" i="1"/>
  <c r="AE114" i="1"/>
  <c r="S114" i="1"/>
  <c r="G114" i="1"/>
  <c r="AY114" i="1"/>
  <c r="AM114" i="1"/>
  <c r="AA114" i="1"/>
  <c r="O114" i="1"/>
  <c r="P114" i="1" s="1"/>
  <c r="AL114" i="1"/>
  <c r="Z114" i="1"/>
  <c r="N114" i="1"/>
  <c r="AK114" i="1"/>
  <c r="Y114" i="1"/>
  <c r="M114" i="1"/>
  <c r="AS114" i="1"/>
  <c r="AG114" i="1"/>
  <c r="U114" i="1"/>
  <c r="I114" i="1"/>
  <c r="W114" i="1"/>
  <c r="V114" i="1"/>
  <c r="AP114" i="1"/>
  <c r="R114" i="1"/>
  <c r="AO114" i="1"/>
  <c r="Q114" i="1"/>
  <c r="AN114" i="1"/>
  <c r="AJ114" i="1"/>
  <c r="AI114" i="1"/>
  <c r="K114" i="1"/>
  <c r="L114" i="1" s="1"/>
  <c r="AH114" i="1"/>
  <c r="J114" i="1"/>
  <c r="AD114" i="1"/>
  <c r="F114" i="1"/>
  <c r="E114" i="1"/>
  <c r="AB114" i="1"/>
  <c r="D114" i="1"/>
  <c r="X114" i="1"/>
  <c r="AP127" i="1"/>
  <c r="AD127" i="1"/>
  <c r="R127" i="1"/>
  <c r="F127" i="1"/>
  <c r="AO127" i="1"/>
  <c r="Q127" i="1"/>
  <c r="E127" i="1"/>
  <c r="AN127" i="1"/>
  <c r="AB127" i="1"/>
  <c r="D127" i="1"/>
  <c r="AY127" i="1"/>
  <c r="AM127" i="1"/>
  <c r="AA127" i="1"/>
  <c r="O127" i="1"/>
  <c r="P127" i="1" s="1"/>
  <c r="AL127" i="1"/>
  <c r="Z127" i="1"/>
  <c r="N127" i="1"/>
  <c r="AK127" i="1"/>
  <c r="Y127" i="1"/>
  <c r="M127" i="1"/>
  <c r="AJ127" i="1"/>
  <c r="X127" i="1"/>
  <c r="AI127" i="1"/>
  <c r="W127" i="1"/>
  <c r="K127" i="1"/>
  <c r="L127" i="1" s="1"/>
  <c r="AH127" i="1"/>
  <c r="V127" i="1"/>
  <c r="J127" i="1"/>
  <c r="AS127" i="1"/>
  <c r="AG127" i="1"/>
  <c r="U127" i="1"/>
  <c r="I127" i="1"/>
  <c r="AR127" i="1"/>
  <c r="AF127" i="1"/>
  <c r="T127" i="1"/>
  <c r="H127" i="1"/>
  <c r="AT127" i="1" s="1"/>
  <c r="AQ127" i="1"/>
  <c r="AE127" i="1"/>
  <c r="S127" i="1"/>
  <c r="G127" i="1"/>
  <c r="AN116" i="1"/>
  <c r="AB116" i="1"/>
  <c r="D116" i="1"/>
  <c r="AY116" i="1"/>
  <c r="AM116" i="1"/>
  <c r="AA116" i="1"/>
  <c r="O116" i="1"/>
  <c r="P116" i="1" s="1"/>
  <c r="AL116" i="1"/>
  <c r="Z116" i="1"/>
  <c r="N116" i="1"/>
  <c r="AK116" i="1"/>
  <c r="Y116" i="1"/>
  <c r="M116" i="1"/>
  <c r="AJ116" i="1"/>
  <c r="X116" i="1"/>
  <c r="AI116" i="1"/>
  <c r="W116" i="1"/>
  <c r="K116" i="1"/>
  <c r="L116" i="1" s="1"/>
  <c r="AH116" i="1"/>
  <c r="V116" i="1"/>
  <c r="J116" i="1"/>
  <c r="AS116" i="1"/>
  <c r="AG116" i="1"/>
  <c r="U116" i="1"/>
  <c r="I116" i="1"/>
  <c r="AP116" i="1"/>
  <c r="AD116" i="1"/>
  <c r="R116" i="1"/>
  <c r="F116" i="1"/>
  <c r="AO116" i="1"/>
  <c r="Q116" i="1"/>
  <c r="E116" i="1"/>
  <c r="H116" i="1"/>
  <c r="AT116" i="1" s="1"/>
  <c r="G116" i="1"/>
  <c r="AR116" i="1"/>
  <c r="AQ116" i="1"/>
  <c r="AF116" i="1"/>
  <c r="AE116" i="1"/>
  <c r="T116" i="1"/>
  <c r="S116" i="1"/>
  <c r="AI193" i="1"/>
  <c r="W193" i="1"/>
  <c r="K193" i="1"/>
  <c r="L193" i="1" s="1"/>
  <c r="AH193" i="1"/>
  <c r="V193" i="1"/>
  <c r="J193" i="1"/>
  <c r="AS193" i="1"/>
  <c r="AG193" i="1"/>
  <c r="U193" i="1"/>
  <c r="I193" i="1"/>
  <c r="AR193" i="1"/>
  <c r="AF193" i="1"/>
  <c r="T193" i="1"/>
  <c r="H193" i="1"/>
  <c r="AT193" i="1" s="1"/>
  <c r="AQ193" i="1"/>
  <c r="AE193" i="1"/>
  <c r="S193" i="1"/>
  <c r="G193" i="1"/>
  <c r="AP193" i="1"/>
  <c r="AD193" i="1"/>
  <c r="R193" i="1"/>
  <c r="F193" i="1"/>
  <c r="AO193" i="1"/>
  <c r="Q193" i="1"/>
  <c r="E193" i="1"/>
  <c r="AN193" i="1"/>
  <c r="AB193" i="1"/>
  <c r="D193" i="1"/>
  <c r="AK193" i="1"/>
  <c r="Y193" i="1"/>
  <c r="M193" i="1"/>
  <c r="AJ193" i="1"/>
  <c r="X193" i="1"/>
  <c r="N193" i="1"/>
  <c r="AY193" i="1"/>
  <c r="AM193" i="1"/>
  <c r="AL193" i="1"/>
  <c r="AA193" i="1"/>
  <c r="Z193" i="1"/>
  <c r="O193" i="1"/>
  <c r="P193" i="1" s="1"/>
  <c r="AK234" i="1"/>
  <c r="Y234" i="1"/>
  <c r="M234" i="1"/>
  <c r="AJ234" i="1"/>
  <c r="X234" i="1"/>
  <c r="AI234" i="1"/>
  <c r="W234" i="1"/>
  <c r="K234" i="1"/>
  <c r="L234" i="1" s="1"/>
  <c r="AH234" i="1"/>
  <c r="V234" i="1"/>
  <c r="J234" i="1"/>
  <c r="AS234" i="1"/>
  <c r="AG234" i="1"/>
  <c r="U234" i="1"/>
  <c r="I234" i="1"/>
  <c r="AR234" i="1"/>
  <c r="AF234" i="1"/>
  <c r="T234" i="1"/>
  <c r="H234" i="1"/>
  <c r="AT234" i="1" s="1"/>
  <c r="AQ234" i="1"/>
  <c r="AE234" i="1"/>
  <c r="S234" i="1"/>
  <c r="G234" i="1"/>
  <c r="AP234" i="1"/>
  <c r="AD234" i="1"/>
  <c r="R234" i="1"/>
  <c r="F234" i="1"/>
  <c r="AO234" i="1"/>
  <c r="Q234" i="1"/>
  <c r="E234" i="1"/>
  <c r="AN234" i="1"/>
  <c r="AB234" i="1"/>
  <c r="D234" i="1"/>
  <c r="AY234" i="1"/>
  <c r="AM234" i="1"/>
  <c r="AA234" i="1"/>
  <c r="O234" i="1"/>
  <c r="P234" i="1" s="1"/>
  <c r="AL234" i="1"/>
  <c r="Z234" i="1"/>
  <c r="N234" i="1"/>
  <c r="AI247" i="1"/>
  <c r="W247" i="1"/>
  <c r="K247" i="1"/>
  <c r="L247" i="1" s="1"/>
  <c r="AH247" i="1"/>
  <c r="V247" i="1"/>
  <c r="J247" i="1"/>
  <c r="AS247" i="1"/>
  <c r="AG247" i="1"/>
  <c r="U247" i="1"/>
  <c r="I247" i="1"/>
  <c r="AR247" i="1"/>
  <c r="AF247" i="1"/>
  <c r="T247" i="1"/>
  <c r="H247" i="1"/>
  <c r="AT247" i="1" s="1"/>
  <c r="AQ247" i="1"/>
  <c r="AE247" i="1"/>
  <c r="S247" i="1"/>
  <c r="G247" i="1"/>
  <c r="AP247" i="1"/>
  <c r="AD247" i="1"/>
  <c r="R247" i="1"/>
  <c r="F247" i="1"/>
  <c r="AO247" i="1"/>
  <c r="Q247" i="1"/>
  <c r="E247" i="1"/>
  <c r="AN247" i="1"/>
  <c r="AB247" i="1"/>
  <c r="D247" i="1"/>
  <c r="AY247" i="1"/>
  <c r="AM247" i="1"/>
  <c r="AA247" i="1"/>
  <c r="O247" i="1"/>
  <c r="P247" i="1" s="1"/>
  <c r="AL247" i="1"/>
  <c r="Z247" i="1"/>
  <c r="N247" i="1"/>
  <c r="AK247" i="1"/>
  <c r="Y247" i="1"/>
  <c r="M247" i="1"/>
  <c r="AJ247" i="1"/>
  <c r="X247" i="1"/>
  <c r="AS236" i="1"/>
  <c r="AG236" i="1"/>
  <c r="U236" i="1"/>
  <c r="I236" i="1"/>
  <c r="AR236" i="1"/>
  <c r="AF236" i="1"/>
  <c r="T236" i="1"/>
  <c r="H236" i="1"/>
  <c r="AT236" i="1" s="1"/>
  <c r="AQ236" i="1"/>
  <c r="AE236" i="1"/>
  <c r="S236" i="1"/>
  <c r="G236" i="1"/>
  <c r="AP236" i="1"/>
  <c r="AD236" i="1"/>
  <c r="R236" i="1"/>
  <c r="F236" i="1"/>
  <c r="AO236" i="1"/>
  <c r="Q236" i="1"/>
  <c r="E236" i="1"/>
  <c r="AN236" i="1"/>
  <c r="AB236" i="1"/>
  <c r="D236" i="1"/>
  <c r="AY236" i="1"/>
  <c r="AM236" i="1"/>
  <c r="AA236" i="1"/>
  <c r="O236" i="1"/>
  <c r="P236" i="1" s="1"/>
  <c r="AL236" i="1"/>
  <c r="Z236" i="1"/>
  <c r="N236" i="1"/>
  <c r="AK236" i="1"/>
  <c r="Y236" i="1"/>
  <c r="M236" i="1"/>
  <c r="AJ236" i="1"/>
  <c r="X236" i="1"/>
  <c r="AI236" i="1"/>
  <c r="W236" i="1"/>
  <c r="K236" i="1"/>
  <c r="L236" i="1" s="1"/>
  <c r="AH236" i="1"/>
  <c r="V236" i="1"/>
  <c r="J236" i="1"/>
  <c r="AQ243" i="1"/>
  <c r="AE243" i="1"/>
  <c r="S243" i="1"/>
  <c r="G243" i="1"/>
  <c r="AP243" i="1"/>
  <c r="AD243" i="1"/>
  <c r="R243" i="1"/>
  <c r="F243" i="1"/>
  <c r="AO243" i="1"/>
  <c r="Q243" i="1"/>
  <c r="E243" i="1"/>
  <c r="AN243" i="1"/>
  <c r="AB243" i="1"/>
  <c r="D243" i="1"/>
  <c r="AY243" i="1"/>
  <c r="AM243" i="1"/>
  <c r="AA243" i="1"/>
  <c r="O243" i="1"/>
  <c r="P243" i="1" s="1"/>
  <c r="AL243" i="1"/>
  <c r="Z243" i="1"/>
  <c r="N243" i="1"/>
  <c r="AK243" i="1"/>
  <c r="Y243" i="1"/>
  <c r="M243" i="1"/>
  <c r="AJ243" i="1"/>
  <c r="X243" i="1"/>
  <c r="AI243" i="1"/>
  <c r="W243" i="1"/>
  <c r="K243" i="1"/>
  <c r="L243" i="1" s="1"/>
  <c r="AH243" i="1"/>
  <c r="V243" i="1"/>
  <c r="J243" i="1"/>
  <c r="AS243" i="1"/>
  <c r="AG243" i="1"/>
  <c r="U243" i="1"/>
  <c r="I243" i="1"/>
  <c r="AR243" i="1"/>
  <c r="AF243" i="1"/>
  <c r="T243" i="1"/>
  <c r="H243" i="1"/>
  <c r="AT243" i="1" s="1"/>
  <c r="AO232" i="1"/>
  <c r="Q232" i="1"/>
  <c r="E232" i="1"/>
  <c r="AN232" i="1"/>
  <c r="AB232" i="1"/>
  <c r="D232" i="1"/>
  <c r="AY232" i="1"/>
  <c r="AM232" i="1"/>
  <c r="AA232" i="1"/>
  <c r="O232" i="1"/>
  <c r="P232" i="1" s="1"/>
  <c r="AL232" i="1"/>
  <c r="Z232" i="1"/>
  <c r="N232" i="1"/>
  <c r="AK232" i="1"/>
  <c r="Y232" i="1"/>
  <c r="M232" i="1"/>
  <c r="AJ232" i="1"/>
  <c r="X232" i="1"/>
  <c r="AI232" i="1"/>
  <c r="W232" i="1"/>
  <c r="K232" i="1"/>
  <c r="L232" i="1" s="1"/>
  <c r="AH232" i="1"/>
  <c r="V232" i="1"/>
  <c r="J232" i="1"/>
  <c r="AS232" i="1"/>
  <c r="AG232" i="1"/>
  <c r="U232" i="1"/>
  <c r="I232" i="1"/>
  <c r="AR232" i="1"/>
  <c r="AF232" i="1"/>
  <c r="T232" i="1"/>
  <c r="H232" i="1"/>
  <c r="AT232" i="1" s="1"/>
  <c r="AQ232" i="1"/>
  <c r="AE232" i="1"/>
  <c r="S232" i="1"/>
  <c r="G232" i="1"/>
  <c r="AP232" i="1"/>
  <c r="AD232" i="1"/>
  <c r="R232" i="1"/>
  <c r="F232" i="1"/>
  <c r="AY209" i="1"/>
  <c r="AM209" i="1"/>
  <c r="AA209" i="1"/>
  <c r="O209" i="1"/>
  <c r="P209" i="1" s="1"/>
  <c r="AL209" i="1"/>
  <c r="Z209" i="1"/>
  <c r="N209" i="1"/>
  <c r="AK209" i="1"/>
  <c r="Y209" i="1"/>
  <c r="M209" i="1"/>
  <c r="AJ209" i="1"/>
  <c r="X209" i="1"/>
  <c r="AI209" i="1"/>
  <c r="W209" i="1"/>
  <c r="K209" i="1"/>
  <c r="L209" i="1" s="1"/>
  <c r="AH209" i="1"/>
  <c r="V209" i="1"/>
  <c r="J209" i="1"/>
  <c r="AS209" i="1"/>
  <c r="AG209" i="1"/>
  <c r="U209" i="1"/>
  <c r="I209" i="1"/>
  <c r="AR209" i="1"/>
  <c r="AF209" i="1"/>
  <c r="T209" i="1"/>
  <c r="H209" i="1"/>
  <c r="AT209" i="1" s="1"/>
  <c r="AQ209" i="1"/>
  <c r="AE209" i="1"/>
  <c r="S209" i="1"/>
  <c r="G209" i="1"/>
  <c r="AP209" i="1"/>
  <c r="AD209" i="1"/>
  <c r="R209" i="1"/>
  <c r="F209" i="1"/>
  <c r="AO209" i="1"/>
  <c r="Q209" i="1"/>
  <c r="E209" i="1"/>
  <c r="AN209" i="1"/>
  <c r="AB209" i="1"/>
  <c r="D209" i="1"/>
  <c r="AK292" i="1"/>
  <c r="Y292" i="1"/>
  <c r="M292" i="1"/>
  <c r="AJ292" i="1"/>
  <c r="X292" i="1"/>
  <c r="AI292" i="1"/>
  <c r="W292" i="1"/>
  <c r="K292" i="1"/>
  <c r="L292" i="1" s="1"/>
  <c r="AH292" i="1"/>
  <c r="V292" i="1"/>
  <c r="J292" i="1"/>
  <c r="AS292" i="1"/>
  <c r="AG292" i="1"/>
  <c r="U292" i="1"/>
  <c r="I292" i="1"/>
  <c r="AR292" i="1"/>
  <c r="AF292" i="1"/>
  <c r="T292" i="1"/>
  <c r="H292" i="1"/>
  <c r="AT292" i="1" s="1"/>
  <c r="AQ292" i="1"/>
  <c r="AE292" i="1"/>
  <c r="S292" i="1"/>
  <c r="G292" i="1"/>
  <c r="AP292" i="1"/>
  <c r="AD292" i="1"/>
  <c r="R292" i="1"/>
  <c r="F292" i="1"/>
  <c r="AO292" i="1"/>
  <c r="Q292" i="1"/>
  <c r="E292" i="1"/>
  <c r="AN292" i="1"/>
  <c r="AB292" i="1"/>
  <c r="D292" i="1"/>
  <c r="AY292" i="1"/>
  <c r="AM292" i="1"/>
  <c r="AA292" i="1"/>
  <c r="O292" i="1"/>
  <c r="P292" i="1" s="1"/>
  <c r="AL292" i="1"/>
  <c r="Z292" i="1"/>
  <c r="N292" i="1"/>
  <c r="AI299" i="1"/>
  <c r="W299" i="1"/>
  <c r="K299" i="1"/>
  <c r="L299" i="1" s="1"/>
  <c r="AH299" i="1"/>
  <c r="V299" i="1"/>
  <c r="J299" i="1"/>
  <c r="AS299" i="1"/>
  <c r="AG299" i="1"/>
  <c r="U299" i="1"/>
  <c r="I299" i="1"/>
  <c r="AR299" i="1"/>
  <c r="AF299" i="1"/>
  <c r="T299" i="1"/>
  <c r="H299" i="1"/>
  <c r="AT299" i="1" s="1"/>
  <c r="AQ299" i="1"/>
  <c r="AE299" i="1"/>
  <c r="S299" i="1"/>
  <c r="G299" i="1"/>
  <c r="AP299" i="1"/>
  <c r="AD299" i="1"/>
  <c r="R299" i="1"/>
  <c r="F299" i="1"/>
  <c r="AO299" i="1"/>
  <c r="Q299" i="1"/>
  <c r="E299" i="1"/>
  <c r="AN299" i="1"/>
  <c r="AB299" i="1"/>
  <c r="D299" i="1"/>
  <c r="AY299" i="1"/>
  <c r="AM299" i="1"/>
  <c r="AA299" i="1"/>
  <c r="O299" i="1"/>
  <c r="P299" i="1" s="1"/>
  <c r="AL299" i="1"/>
  <c r="Z299" i="1"/>
  <c r="N299" i="1"/>
  <c r="AK299" i="1"/>
  <c r="Y299" i="1"/>
  <c r="M299" i="1"/>
  <c r="AJ299" i="1"/>
  <c r="X299" i="1"/>
  <c r="AS282" i="1"/>
  <c r="AG282" i="1"/>
  <c r="U282" i="1"/>
  <c r="I282" i="1"/>
  <c r="AR282" i="1"/>
  <c r="AF282" i="1"/>
  <c r="T282" i="1"/>
  <c r="H282" i="1"/>
  <c r="AT282" i="1" s="1"/>
  <c r="AQ282" i="1"/>
  <c r="AE282" i="1"/>
  <c r="S282" i="1"/>
  <c r="G282" i="1"/>
  <c r="AP282" i="1"/>
  <c r="AD282" i="1"/>
  <c r="R282" i="1"/>
  <c r="F282" i="1"/>
  <c r="AO282" i="1"/>
  <c r="Q282" i="1"/>
  <c r="E282" i="1"/>
  <c r="AN282" i="1"/>
  <c r="AB282" i="1"/>
  <c r="D282" i="1"/>
  <c r="AY282" i="1"/>
  <c r="AM282" i="1"/>
  <c r="AA282" i="1"/>
  <c r="O282" i="1"/>
  <c r="P282" i="1" s="1"/>
  <c r="AL282" i="1"/>
  <c r="Z282" i="1"/>
  <c r="N282" i="1"/>
  <c r="AK282" i="1"/>
  <c r="Y282" i="1"/>
  <c r="M282" i="1"/>
  <c r="AJ282" i="1"/>
  <c r="X282" i="1"/>
  <c r="AI282" i="1"/>
  <c r="W282" i="1"/>
  <c r="K282" i="1"/>
  <c r="L282" i="1" s="1"/>
  <c r="AH282" i="1"/>
  <c r="V282" i="1"/>
  <c r="J282" i="1"/>
  <c r="AQ277" i="1"/>
  <c r="AE277" i="1"/>
  <c r="S277" i="1"/>
  <c r="G277" i="1"/>
  <c r="AP277" i="1"/>
  <c r="AD277" i="1"/>
  <c r="R277" i="1"/>
  <c r="F277" i="1"/>
  <c r="AO277" i="1"/>
  <c r="Q277" i="1"/>
  <c r="E277" i="1"/>
  <c r="AN277" i="1"/>
  <c r="AB277" i="1"/>
  <c r="D277" i="1"/>
  <c r="AY277" i="1"/>
  <c r="AM277" i="1"/>
  <c r="AA277" i="1"/>
  <c r="O277" i="1"/>
  <c r="P277" i="1" s="1"/>
  <c r="AL277" i="1"/>
  <c r="Z277" i="1"/>
  <c r="N277" i="1"/>
  <c r="AK277" i="1"/>
  <c r="Y277" i="1"/>
  <c r="M277" i="1"/>
  <c r="AJ277" i="1"/>
  <c r="X277" i="1"/>
  <c r="AI277" i="1"/>
  <c r="W277" i="1"/>
  <c r="K277" i="1"/>
  <c r="L277" i="1" s="1"/>
  <c r="AH277" i="1"/>
  <c r="V277" i="1"/>
  <c r="J277" i="1"/>
  <c r="AS277" i="1"/>
  <c r="AG277" i="1"/>
  <c r="U277" i="1"/>
  <c r="I277" i="1"/>
  <c r="AR277" i="1"/>
  <c r="AF277" i="1"/>
  <c r="T277" i="1"/>
  <c r="H277" i="1"/>
  <c r="AT277" i="1" s="1"/>
  <c r="AO278" i="1"/>
  <c r="Q278" i="1"/>
  <c r="E278" i="1"/>
  <c r="AN278" i="1"/>
  <c r="AB278" i="1"/>
  <c r="D278" i="1"/>
  <c r="AY278" i="1"/>
  <c r="AM278" i="1"/>
  <c r="AA278" i="1"/>
  <c r="O278" i="1"/>
  <c r="P278" i="1" s="1"/>
  <c r="AL278" i="1"/>
  <c r="Z278" i="1"/>
  <c r="N278" i="1"/>
  <c r="AK278" i="1"/>
  <c r="Y278" i="1"/>
  <c r="M278" i="1"/>
  <c r="AJ278" i="1"/>
  <c r="X278" i="1"/>
  <c r="AI278" i="1"/>
  <c r="W278" i="1"/>
  <c r="K278" i="1"/>
  <c r="L278" i="1" s="1"/>
  <c r="AH278" i="1"/>
  <c r="V278" i="1"/>
  <c r="J278" i="1"/>
  <c r="AS278" i="1"/>
  <c r="AG278" i="1"/>
  <c r="U278" i="1"/>
  <c r="I278" i="1"/>
  <c r="AR278" i="1"/>
  <c r="AF278" i="1"/>
  <c r="T278" i="1"/>
  <c r="H278" i="1"/>
  <c r="AT278" i="1" s="1"/>
  <c r="AQ278" i="1"/>
  <c r="AE278" i="1"/>
  <c r="S278" i="1"/>
  <c r="G278" i="1"/>
  <c r="AP278" i="1"/>
  <c r="AD278" i="1"/>
  <c r="R278" i="1"/>
  <c r="F278" i="1"/>
  <c r="AY261" i="1"/>
  <c r="AM261" i="1"/>
  <c r="AA261" i="1"/>
  <c r="O261" i="1"/>
  <c r="P261" i="1" s="1"/>
  <c r="AL261" i="1"/>
  <c r="Z261" i="1"/>
  <c r="N261" i="1"/>
  <c r="AH261" i="1"/>
  <c r="V261" i="1"/>
  <c r="J261" i="1"/>
  <c r="AS261" i="1"/>
  <c r="AG261" i="1"/>
  <c r="U261" i="1"/>
  <c r="I261" i="1"/>
  <c r="AR261" i="1"/>
  <c r="AF261" i="1"/>
  <c r="T261" i="1"/>
  <c r="H261" i="1"/>
  <c r="AT261" i="1" s="1"/>
  <c r="AN261" i="1"/>
  <c r="AB261" i="1"/>
  <c r="D261" i="1"/>
  <c r="E261" i="1"/>
  <c r="Y261" i="1"/>
  <c r="X261" i="1"/>
  <c r="W261" i="1"/>
  <c r="AQ261" i="1"/>
  <c r="S261" i="1"/>
  <c r="AP261" i="1"/>
  <c r="R261" i="1"/>
  <c r="AO261" i="1"/>
  <c r="Q261" i="1"/>
  <c r="AK261" i="1"/>
  <c r="M261" i="1"/>
  <c r="AJ261" i="1"/>
  <c r="AI261" i="1"/>
  <c r="K261" i="1"/>
  <c r="L261" i="1" s="1"/>
  <c r="AE261" i="1"/>
  <c r="G261" i="1"/>
  <c r="AD261" i="1"/>
  <c r="F261" i="1"/>
  <c r="AI333" i="1"/>
  <c r="W333" i="1"/>
  <c r="K333" i="1"/>
  <c r="L333" i="1" s="1"/>
  <c r="AH333" i="1"/>
  <c r="V333" i="1"/>
  <c r="J333" i="1"/>
  <c r="AP333" i="1"/>
  <c r="AD333" i="1"/>
  <c r="R333" i="1"/>
  <c r="F333" i="1"/>
  <c r="AO333" i="1"/>
  <c r="Q333" i="1"/>
  <c r="E333" i="1"/>
  <c r="AN333" i="1"/>
  <c r="AB333" i="1"/>
  <c r="D333" i="1"/>
  <c r="AJ333" i="1"/>
  <c r="X333" i="1"/>
  <c r="AA333" i="1"/>
  <c r="Z333" i="1"/>
  <c r="AS333" i="1"/>
  <c r="Y333" i="1"/>
  <c r="AR333" i="1"/>
  <c r="U333" i="1"/>
  <c r="AQ333" i="1"/>
  <c r="T333" i="1"/>
  <c r="AM333" i="1"/>
  <c r="S333" i="1"/>
  <c r="AL333" i="1"/>
  <c r="O333" i="1"/>
  <c r="P333" i="1" s="1"/>
  <c r="AK333" i="1"/>
  <c r="N333" i="1"/>
  <c r="AG333" i="1"/>
  <c r="M333" i="1"/>
  <c r="AF333" i="1"/>
  <c r="I333" i="1"/>
  <c r="AE333" i="1"/>
  <c r="H333" i="1"/>
  <c r="AT333" i="1" s="1"/>
  <c r="AY333" i="1"/>
  <c r="G333" i="1"/>
  <c r="AK398" i="1"/>
  <c r="Y398" i="1"/>
  <c r="M398" i="1"/>
  <c r="AJ398" i="1"/>
  <c r="X398" i="1"/>
  <c r="AI398" i="1"/>
  <c r="W398" i="1"/>
  <c r="K398" i="1"/>
  <c r="L398" i="1" s="1"/>
  <c r="AH398" i="1"/>
  <c r="V398" i="1"/>
  <c r="J398" i="1"/>
  <c r="AS398" i="1"/>
  <c r="AG398" i="1"/>
  <c r="U398" i="1"/>
  <c r="I398" i="1"/>
  <c r="AR398" i="1"/>
  <c r="AF398" i="1"/>
  <c r="T398" i="1"/>
  <c r="H398" i="1"/>
  <c r="AT398" i="1" s="1"/>
  <c r="AQ398" i="1"/>
  <c r="AE398" i="1"/>
  <c r="S398" i="1"/>
  <c r="G398" i="1"/>
  <c r="AP398" i="1"/>
  <c r="AD398" i="1"/>
  <c r="R398" i="1"/>
  <c r="F398" i="1"/>
  <c r="AO398" i="1"/>
  <c r="Q398" i="1"/>
  <c r="E398" i="1"/>
  <c r="AN398" i="1"/>
  <c r="AB398" i="1"/>
  <c r="D398" i="1"/>
  <c r="AY398" i="1"/>
  <c r="AM398" i="1"/>
  <c r="AA398" i="1"/>
  <c r="O398" i="1"/>
  <c r="P398" i="1" s="1"/>
  <c r="AL398" i="1"/>
  <c r="Z398" i="1"/>
  <c r="N398" i="1"/>
  <c r="AI405" i="1"/>
  <c r="W405" i="1"/>
  <c r="K405" i="1"/>
  <c r="L405" i="1" s="1"/>
  <c r="AH405" i="1"/>
  <c r="V405" i="1"/>
  <c r="J405" i="1"/>
  <c r="AS405" i="1"/>
  <c r="AG405" i="1"/>
  <c r="U405" i="1"/>
  <c r="I405" i="1"/>
  <c r="AR405" i="1"/>
  <c r="AF405" i="1"/>
  <c r="T405" i="1"/>
  <c r="H405" i="1"/>
  <c r="AT405" i="1" s="1"/>
  <c r="AQ405" i="1"/>
  <c r="AE405" i="1"/>
  <c r="S405" i="1"/>
  <c r="G405" i="1"/>
  <c r="AP405" i="1"/>
  <c r="AD405" i="1"/>
  <c r="R405" i="1"/>
  <c r="F405" i="1"/>
  <c r="AO405" i="1"/>
  <c r="Q405" i="1"/>
  <c r="E405" i="1"/>
  <c r="AN405" i="1"/>
  <c r="AB405" i="1"/>
  <c r="D405" i="1"/>
  <c r="AY405" i="1"/>
  <c r="AM405" i="1"/>
  <c r="AA405" i="1"/>
  <c r="O405" i="1"/>
  <c r="P405" i="1" s="1"/>
  <c r="AL405" i="1"/>
  <c r="Z405" i="1"/>
  <c r="N405" i="1"/>
  <c r="AK405" i="1"/>
  <c r="Y405" i="1"/>
  <c r="M405" i="1"/>
  <c r="AJ405" i="1"/>
  <c r="X405" i="1"/>
  <c r="AS400" i="1"/>
  <c r="AG400" i="1"/>
  <c r="U400" i="1"/>
  <c r="I400" i="1"/>
  <c r="AR400" i="1"/>
  <c r="AF400" i="1"/>
  <c r="T400" i="1"/>
  <c r="H400" i="1"/>
  <c r="AT400" i="1" s="1"/>
  <c r="AQ400" i="1"/>
  <c r="AE400" i="1"/>
  <c r="S400" i="1"/>
  <c r="G400" i="1"/>
  <c r="AP400" i="1"/>
  <c r="AD400" i="1"/>
  <c r="R400" i="1"/>
  <c r="F400" i="1"/>
  <c r="AO400" i="1"/>
  <c r="Q400" i="1"/>
  <c r="E400" i="1"/>
  <c r="AN400" i="1"/>
  <c r="AB400" i="1"/>
  <c r="D400" i="1"/>
  <c r="AY400" i="1"/>
  <c r="AM400" i="1"/>
  <c r="AA400" i="1"/>
  <c r="O400" i="1"/>
  <c r="P400" i="1" s="1"/>
  <c r="AL400" i="1"/>
  <c r="Z400" i="1"/>
  <c r="N400" i="1"/>
  <c r="AK400" i="1"/>
  <c r="Y400" i="1"/>
  <c r="M400" i="1"/>
  <c r="AJ400" i="1"/>
  <c r="X400" i="1"/>
  <c r="AI400" i="1"/>
  <c r="W400" i="1"/>
  <c r="K400" i="1"/>
  <c r="L400" i="1" s="1"/>
  <c r="AH400" i="1"/>
  <c r="V400" i="1"/>
  <c r="J400" i="1"/>
  <c r="AQ395" i="1"/>
  <c r="AE395" i="1"/>
  <c r="S395" i="1"/>
  <c r="G395" i="1"/>
  <c r="AP395" i="1"/>
  <c r="AD395" i="1"/>
  <c r="R395" i="1"/>
  <c r="F395" i="1"/>
  <c r="AO395" i="1"/>
  <c r="Q395" i="1"/>
  <c r="E395" i="1"/>
  <c r="AN395" i="1"/>
  <c r="AB395" i="1"/>
  <c r="D395" i="1"/>
  <c r="AY395" i="1"/>
  <c r="AM395" i="1"/>
  <c r="AA395" i="1"/>
  <c r="O395" i="1"/>
  <c r="P395" i="1" s="1"/>
  <c r="AL395" i="1"/>
  <c r="Z395" i="1"/>
  <c r="N395" i="1"/>
  <c r="AK395" i="1"/>
  <c r="Y395" i="1"/>
  <c r="M395" i="1"/>
  <c r="AJ395" i="1"/>
  <c r="X395" i="1"/>
  <c r="AI395" i="1"/>
  <c r="W395" i="1"/>
  <c r="K395" i="1"/>
  <c r="L395" i="1" s="1"/>
  <c r="AH395" i="1"/>
  <c r="V395" i="1"/>
  <c r="J395" i="1"/>
  <c r="AS395" i="1"/>
  <c r="AG395" i="1"/>
  <c r="U395" i="1"/>
  <c r="I395" i="1"/>
  <c r="AR395" i="1"/>
  <c r="AF395" i="1"/>
  <c r="T395" i="1"/>
  <c r="H395" i="1"/>
  <c r="AT395" i="1" s="1"/>
  <c r="AO396" i="1"/>
  <c r="Q396" i="1"/>
  <c r="E396" i="1"/>
  <c r="AN396" i="1"/>
  <c r="AB396" i="1"/>
  <c r="D396" i="1"/>
  <c r="AY396" i="1"/>
  <c r="AM396" i="1"/>
  <c r="AA396" i="1"/>
  <c r="O396" i="1"/>
  <c r="P396" i="1" s="1"/>
  <c r="AL396" i="1"/>
  <c r="Z396" i="1"/>
  <c r="N396" i="1"/>
  <c r="AK396" i="1"/>
  <c r="Y396" i="1"/>
  <c r="M396" i="1"/>
  <c r="AJ396" i="1"/>
  <c r="X396" i="1"/>
  <c r="AI396" i="1"/>
  <c r="W396" i="1"/>
  <c r="K396" i="1"/>
  <c r="L396" i="1" s="1"/>
  <c r="AH396" i="1"/>
  <c r="V396" i="1"/>
  <c r="J396" i="1"/>
  <c r="AS396" i="1"/>
  <c r="AG396" i="1"/>
  <c r="U396" i="1"/>
  <c r="I396" i="1"/>
  <c r="AR396" i="1"/>
  <c r="AF396" i="1"/>
  <c r="T396" i="1"/>
  <c r="H396" i="1"/>
  <c r="AT396" i="1" s="1"/>
  <c r="AQ396" i="1"/>
  <c r="AE396" i="1"/>
  <c r="S396" i="1"/>
  <c r="G396" i="1"/>
  <c r="AP396" i="1"/>
  <c r="AD396" i="1"/>
  <c r="R396" i="1"/>
  <c r="F396" i="1"/>
  <c r="AY379" i="1"/>
  <c r="AM379" i="1"/>
  <c r="AA379" i="1"/>
  <c r="O379" i="1"/>
  <c r="P379" i="1" s="1"/>
  <c r="AL379" i="1"/>
  <c r="Z379" i="1"/>
  <c r="N379" i="1"/>
  <c r="AK379" i="1"/>
  <c r="Y379" i="1"/>
  <c r="M379" i="1"/>
  <c r="AJ379" i="1"/>
  <c r="X379" i="1"/>
  <c r="AI379" i="1"/>
  <c r="W379" i="1"/>
  <c r="K379" i="1"/>
  <c r="L379" i="1" s="1"/>
  <c r="AH379" i="1"/>
  <c r="V379" i="1"/>
  <c r="J379" i="1"/>
  <c r="AS379" i="1"/>
  <c r="AG379" i="1"/>
  <c r="U379" i="1"/>
  <c r="I379" i="1"/>
  <c r="AR379" i="1"/>
  <c r="AF379" i="1"/>
  <c r="T379" i="1"/>
  <c r="H379" i="1"/>
  <c r="AT379" i="1" s="1"/>
  <c r="AQ379" i="1"/>
  <c r="AE379" i="1"/>
  <c r="S379" i="1"/>
  <c r="G379" i="1"/>
  <c r="AP379" i="1"/>
  <c r="AD379" i="1"/>
  <c r="R379" i="1"/>
  <c r="F379" i="1"/>
  <c r="AO379" i="1"/>
  <c r="Q379" i="1"/>
  <c r="E379" i="1"/>
  <c r="AN379" i="1"/>
  <c r="AB379" i="1"/>
  <c r="D379" i="1"/>
  <c r="AL461" i="1"/>
  <c r="Z461" i="1"/>
  <c r="N461" i="1"/>
  <c r="AK461" i="1"/>
  <c r="Y461" i="1"/>
  <c r="M461" i="1"/>
  <c r="AJ461" i="1"/>
  <c r="X461" i="1"/>
  <c r="AI461" i="1"/>
  <c r="W461" i="1"/>
  <c r="K461" i="1"/>
  <c r="L461" i="1" s="1"/>
  <c r="AH461" i="1"/>
  <c r="V461" i="1"/>
  <c r="J461" i="1"/>
  <c r="AS461" i="1"/>
  <c r="AG461" i="1"/>
  <c r="U461" i="1"/>
  <c r="I461" i="1"/>
  <c r="AR461" i="1"/>
  <c r="AF461" i="1"/>
  <c r="T461" i="1"/>
  <c r="H461" i="1"/>
  <c r="AT461" i="1" s="1"/>
  <c r="AQ461" i="1"/>
  <c r="AE461" i="1"/>
  <c r="S461" i="1"/>
  <c r="G461" i="1"/>
  <c r="AP461" i="1"/>
  <c r="AD461" i="1"/>
  <c r="R461" i="1"/>
  <c r="F461" i="1"/>
  <c r="AO461" i="1"/>
  <c r="Q461" i="1"/>
  <c r="E461" i="1"/>
  <c r="AN461" i="1"/>
  <c r="AB461" i="1"/>
  <c r="D461" i="1"/>
  <c r="AY461" i="1"/>
  <c r="AM461" i="1"/>
  <c r="AA461" i="1"/>
  <c r="O461" i="1"/>
  <c r="P461" i="1" s="1"/>
  <c r="AJ450" i="1"/>
  <c r="X450" i="1"/>
  <c r="AI450" i="1"/>
  <c r="W450" i="1"/>
  <c r="K450" i="1"/>
  <c r="L450" i="1" s="1"/>
  <c r="AH450" i="1"/>
  <c r="V450" i="1"/>
  <c r="J450" i="1"/>
  <c r="AS450" i="1"/>
  <c r="AG450" i="1"/>
  <c r="U450" i="1"/>
  <c r="I450" i="1"/>
  <c r="AR450" i="1"/>
  <c r="AF450" i="1"/>
  <c r="T450" i="1"/>
  <c r="H450" i="1"/>
  <c r="AT450" i="1" s="1"/>
  <c r="AQ450" i="1"/>
  <c r="AE450" i="1"/>
  <c r="S450" i="1"/>
  <c r="G450" i="1"/>
  <c r="AP450" i="1"/>
  <c r="AD450" i="1"/>
  <c r="R450" i="1"/>
  <c r="F450" i="1"/>
  <c r="AO450" i="1"/>
  <c r="Q450" i="1"/>
  <c r="E450" i="1"/>
  <c r="AN450" i="1"/>
  <c r="AB450" i="1"/>
  <c r="D450" i="1"/>
  <c r="AY450" i="1"/>
  <c r="AM450" i="1"/>
  <c r="AA450" i="1"/>
  <c r="O450" i="1"/>
  <c r="P450" i="1" s="1"/>
  <c r="AL450" i="1"/>
  <c r="Z450" i="1"/>
  <c r="N450" i="1"/>
  <c r="AK450" i="1"/>
  <c r="Y450" i="1"/>
  <c r="M450" i="1"/>
  <c r="AH445" i="1"/>
  <c r="V445" i="1"/>
  <c r="J445" i="1"/>
  <c r="AS445" i="1"/>
  <c r="AG445" i="1"/>
  <c r="U445" i="1"/>
  <c r="I445" i="1"/>
  <c r="AR445" i="1"/>
  <c r="AF445" i="1"/>
  <c r="T445" i="1"/>
  <c r="H445" i="1"/>
  <c r="AT445" i="1" s="1"/>
  <c r="AQ445" i="1"/>
  <c r="AE445" i="1"/>
  <c r="S445" i="1"/>
  <c r="G445" i="1"/>
  <c r="AP445" i="1"/>
  <c r="AD445" i="1"/>
  <c r="R445" i="1"/>
  <c r="F445" i="1"/>
  <c r="AO445" i="1"/>
  <c r="Q445" i="1"/>
  <c r="E445" i="1"/>
  <c r="AN445" i="1"/>
  <c r="AB445" i="1"/>
  <c r="D445" i="1"/>
  <c r="AY445" i="1"/>
  <c r="AM445" i="1"/>
  <c r="AA445" i="1"/>
  <c r="O445" i="1"/>
  <c r="P445" i="1" s="1"/>
  <c r="AL445" i="1"/>
  <c r="Z445" i="1"/>
  <c r="N445" i="1"/>
  <c r="AK445" i="1"/>
  <c r="Y445" i="1"/>
  <c r="M445" i="1"/>
  <c r="AJ445" i="1"/>
  <c r="X445" i="1"/>
  <c r="AI445" i="1"/>
  <c r="W445" i="1"/>
  <c r="K445" i="1"/>
  <c r="L445" i="1" s="1"/>
  <c r="AR440" i="1"/>
  <c r="AF440" i="1"/>
  <c r="T440" i="1"/>
  <c r="H440" i="1"/>
  <c r="AT440" i="1" s="1"/>
  <c r="AQ440" i="1"/>
  <c r="AE440" i="1"/>
  <c r="S440" i="1"/>
  <c r="G440" i="1"/>
  <c r="AP440" i="1"/>
  <c r="AD440" i="1"/>
  <c r="R440" i="1"/>
  <c r="F440" i="1"/>
  <c r="AO440" i="1"/>
  <c r="Q440" i="1"/>
  <c r="E440" i="1"/>
  <c r="AN440" i="1"/>
  <c r="AB440" i="1"/>
  <c r="D440" i="1"/>
  <c r="AY440" i="1"/>
  <c r="AM440" i="1"/>
  <c r="AA440" i="1"/>
  <c r="O440" i="1"/>
  <c r="P440" i="1" s="1"/>
  <c r="AL440" i="1"/>
  <c r="Z440" i="1"/>
  <c r="N440" i="1"/>
  <c r="AK440" i="1"/>
  <c r="Y440" i="1"/>
  <c r="M440" i="1"/>
  <c r="AJ440" i="1"/>
  <c r="X440" i="1"/>
  <c r="AI440" i="1"/>
  <c r="W440" i="1"/>
  <c r="K440" i="1"/>
  <c r="L440" i="1" s="1"/>
  <c r="AH440" i="1"/>
  <c r="V440" i="1"/>
  <c r="J440" i="1"/>
  <c r="AS440" i="1"/>
  <c r="AG440" i="1"/>
  <c r="U440" i="1"/>
  <c r="I440" i="1"/>
  <c r="AP435" i="1"/>
  <c r="AD435" i="1"/>
  <c r="R435" i="1"/>
  <c r="F435" i="1"/>
  <c r="AO435" i="1"/>
  <c r="Q435" i="1"/>
  <c r="E435" i="1"/>
  <c r="AN435" i="1"/>
  <c r="AB435" i="1"/>
  <c r="D435" i="1"/>
  <c r="AY435" i="1"/>
  <c r="AM435" i="1"/>
  <c r="AA435" i="1"/>
  <c r="O435" i="1"/>
  <c r="P435" i="1" s="1"/>
  <c r="AL435" i="1"/>
  <c r="Z435" i="1"/>
  <c r="N435" i="1"/>
  <c r="AK435" i="1"/>
  <c r="Y435" i="1"/>
  <c r="M435" i="1"/>
  <c r="AJ435" i="1"/>
  <c r="X435" i="1"/>
  <c r="AI435" i="1"/>
  <c r="W435" i="1"/>
  <c r="K435" i="1"/>
  <c r="L435" i="1" s="1"/>
  <c r="AH435" i="1"/>
  <c r="V435" i="1"/>
  <c r="J435" i="1"/>
  <c r="AS435" i="1"/>
  <c r="AG435" i="1"/>
  <c r="U435" i="1"/>
  <c r="I435" i="1"/>
  <c r="AR435" i="1"/>
  <c r="AF435" i="1"/>
  <c r="T435" i="1"/>
  <c r="H435" i="1"/>
  <c r="AT435" i="1" s="1"/>
  <c r="AQ435" i="1"/>
  <c r="AE435" i="1"/>
  <c r="S435" i="1"/>
  <c r="G435" i="1"/>
  <c r="AN424" i="1"/>
  <c r="AB424" i="1"/>
  <c r="D424" i="1"/>
  <c r="AY424" i="1"/>
  <c r="AM424" i="1"/>
  <c r="AA424" i="1"/>
  <c r="O424" i="1"/>
  <c r="P424" i="1" s="1"/>
  <c r="AL424" i="1"/>
  <c r="Z424" i="1"/>
  <c r="N424" i="1"/>
  <c r="AK424" i="1"/>
  <c r="Y424" i="1"/>
  <c r="M424" i="1"/>
  <c r="AJ424" i="1"/>
  <c r="X424" i="1"/>
  <c r="AI424" i="1"/>
  <c r="W424" i="1"/>
  <c r="K424" i="1"/>
  <c r="L424" i="1" s="1"/>
  <c r="AH424" i="1"/>
  <c r="V424" i="1"/>
  <c r="J424" i="1"/>
  <c r="AS424" i="1"/>
  <c r="AG424" i="1"/>
  <c r="U424" i="1"/>
  <c r="I424" i="1"/>
  <c r="AR424" i="1"/>
  <c r="AF424" i="1"/>
  <c r="T424" i="1"/>
  <c r="H424" i="1"/>
  <c r="AT424" i="1" s="1"/>
  <c r="AQ424" i="1"/>
  <c r="AE424" i="1"/>
  <c r="S424" i="1"/>
  <c r="G424" i="1"/>
  <c r="AP424" i="1"/>
  <c r="AD424" i="1"/>
  <c r="R424" i="1"/>
  <c r="F424" i="1"/>
  <c r="AO424" i="1"/>
  <c r="Q424" i="1"/>
  <c r="E424" i="1"/>
  <c r="AL500" i="1"/>
  <c r="Z500" i="1"/>
  <c r="N500" i="1"/>
  <c r="AK500" i="1"/>
  <c r="Y500" i="1"/>
  <c r="M500" i="1"/>
  <c r="AJ500" i="1"/>
  <c r="X500" i="1"/>
  <c r="AI500" i="1"/>
  <c r="W500" i="1"/>
  <c r="K500" i="1"/>
  <c r="L500" i="1" s="1"/>
  <c r="AH500" i="1"/>
  <c r="V500" i="1"/>
  <c r="J500" i="1"/>
  <c r="AS500" i="1"/>
  <c r="AG500" i="1"/>
  <c r="U500" i="1"/>
  <c r="I500" i="1"/>
  <c r="AR500" i="1"/>
  <c r="AF500" i="1"/>
  <c r="T500" i="1"/>
  <c r="H500" i="1"/>
  <c r="AT500" i="1" s="1"/>
  <c r="AQ500" i="1"/>
  <c r="AE500" i="1"/>
  <c r="S500" i="1"/>
  <c r="G500" i="1"/>
  <c r="AP500" i="1"/>
  <c r="AD500" i="1"/>
  <c r="R500" i="1"/>
  <c r="F500" i="1"/>
  <c r="AO500" i="1"/>
  <c r="Q500" i="1"/>
  <c r="E500" i="1"/>
  <c r="AN500" i="1"/>
  <c r="AB500" i="1"/>
  <c r="D500" i="1"/>
  <c r="AY500" i="1"/>
  <c r="AM500" i="1"/>
  <c r="AA500" i="1"/>
  <c r="O500" i="1"/>
  <c r="P500" i="1" s="1"/>
  <c r="AJ525" i="1"/>
  <c r="X525" i="1"/>
  <c r="AI525" i="1"/>
  <c r="W525" i="1"/>
  <c r="K525" i="1"/>
  <c r="L525" i="1" s="1"/>
  <c r="AH525" i="1"/>
  <c r="V525" i="1"/>
  <c r="J525" i="1"/>
  <c r="AS525" i="1"/>
  <c r="AG525" i="1"/>
  <c r="U525" i="1"/>
  <c r="I525" i="1"/>
  <c r="AR525" i="1"/>
  <c r="AF525" i="1"/>
  <c r="T525" i="1"/>
  <c r="H525" i="1"/>
  <c r="AT525" i="1" s="1"/>
  <c r="AQ525" i="1"/>
  <c r="AE525" i="1"/>
  <c r="S525" i="1"/>
  <c r="G525" i="1"/>
  <c r="AP525" i="1"/>
  <c r="AD525" i="1"/>
  <c r="R525" i="1"/>
  <c r="F525" i="1"/>
  <c r="AO525" i="1"/>
  <c r="Q525" i="1"/>
  <c r="E525" i="1"/>
  <c r="AN525" i="1"/>
  <c r="AB525" i="1"/>
  <c r="D525" i="1"/>
  <c r="AY525" i="1"/>
  <c r="AM525" i="1"/>
  <c r="AA525" i="1"/>
  <c r="O525" i="1"/>
  <c r="P525" i="1" s="1"/>
  <c r="AL525" i="1"/>
  <c r="Z525" i="1"/>
  <c r="N525" i="1"/>
  <c r="AK525" i="1"/>
  <c r="Y525" i="1"/>
  <c r="M525" i="1"/>
  <c r="AR515" i="1"/>
  <c r="AF515" i="1"/>
  <c r="T515" i="1"/>
  <c r="H515" i="1"/>
  <c r="AT515" i="1" s="1"/>
  <c r="AQ515" i="1"/>
  <c r="AE515" i="1"/>
  <c r="S515" i="1"/>
  <c r="G515" i="1"/>
  <c r="AP515" i="1"/>
  <c r="AD515" i="1"/>
  <c r="R515" i="1"/>
  <c r="F515" i="1"/>
  <c r="AO515" i="1"/>
  <c r="Q515" i="1"/>
  <c r="E515" i="1"/>
  <c r="AN515" i="1"/>
  <c r="AB515" i="1"/>
  <c r="D515" i="1"/>
  <c r="AY515" i="1"/>
  <c r="AM515" i="1"/>
  <c r="AA515" i="1"/>
  <c r="O515" i="1"/>
  <c r="P515" i="1" s="1"/>
  <c r="AL515" i="1"/>
  <c r="Z515" i="1"/>
  <c r="N515" i="1"/>
  <c r="AK515" i="1"/>
  <c r="Y515" i="1"/>
  <c r="M515" i="1"/>
  <c r="AJ515" i="1"/>
  <c r="X515" i="1"/>
  <c r="AI515" i="1"/>
  <c r="W515" i="1"/>
  <c r="K515" i="1"/>
  <c r="L515" i="1" s="1"/>
  <c r="AH515" i="1"/>
  <c r="V515" i="1"/>
  <c r="J515" i="1"/>
  <c r="AS515" i="1"/>
  <c r="AG515" i="1"/>
  <c r="U515" i="1"/>
  <c r="I515" i="1"/>
  <c r="AN499" i="1"/>
  <c r="AB499" i="1"/>
  <c r="D499" i="1"/>
  <c r="AY499" i="1"/>
  <c r="AM499" i="1"/>
  <c r="AA499" i="1"/>
  <c r="O499" i="1"/>
  <c r="P499" i="1" s="1"/>
  <c r="AL499" i="1"/>
  <c r="Z499" i="1"/>
  <c r="N499" i="1"/>
  <c r="AK499" i="1"/>
  <c r="Y499" i="1"/>
  <c r="M499" i="1"/>
  <c r="AJ499" i="1"/>
  <c r="X499" i="1"/>
  <c r="AI499" i="1"/>
  <c r="W499" i="1"/>
  <c r="K499" i="1"/>
  <c r="L499" i="1" s="1"/>
  <c r="AH499" i="1"/>
  <c r="V499" i="1"/>
  <c r="J499" i="1"/>
  <c r="AS499" i="1"/>
  <c r="AG499" i="1"/>
  <c r="U499" i="1"/>
  <c r="I499" i="1"/>
  <c r="AR499" i="1"/>
  <c r="AF499" i="1"/>
  <c r="T499" i="1"/>
  <c r="H499" i="1"/>
  <c r="AT499" i="1" s="1"/>
  <c r="AQ499" i="1"/>
  <c r="AE499" i="1"/>
  <c r="S499" i="1"/>
  <c r="G499" i="1"/>
  <c r="AP499" i="1"/>
  <c r="AD499" i="1"/>
  <c r="R499" i="1"/>
  <c r="F499" i="1"/>
  <c r="AO499" i="1"/>
  <c r="Q499" i="1"/>
  <c r="E499" i="1"/>
  <c r="AL571" i="1"/>
  <c r="Z571" i="1"/>
  <c r="N571" i="1"/>
  <c r="AK571" i="1"/>
  <c r="Y571" i="1"/>
  <c r="M571" i="1"/>
  <c r="AJ571" i="1"/>
  <c r="X571" i="1"/>
  <c r="AI571" i="1"/>
  <c r="W571" i="1"/>
  <c r="K571" i="1"/>
  <c r="L571" i="1" s="1"/>
  <c r="AH571" i="1"/>
  <c r="V571" i="1"/>
  <c r="J571" i="1"/>
  <c r="AS571" i="1"/>
  <c r="AG571" i="1"/>
  <c r="U571" i="1"/>
  <c r="I571" i="1"/>
  <c r="AR571" i="1"/>
  <c r="AF571" i="1"/>
  <c r="T571" i="1"/>
  <c r="H571" i="1"/>
  <c r="AT571" i="1" s="1"/>
  <c r="AQ571" i="1"/>
  <c r="AE571" i="1"/>
  <c r="S571" i="1"/>
  <c r="G571" i="1"/>
  <c r="AP571" i="1"/>
  <c r="AD571" i="1"/>
  <c r="R571" i="1"/>
  <c r="F571" i="1"/>
  <c r="AO571" i="1"/>
  <c r="Q571" i="1"/>
  <c r="E571" i="1"/>
  <c r="AN571" i="1"/>
  <c r="AB571" i="1"/>
  <c r="D571" i="1"/>
  <c r="AY571" i="1"/>
  <c r="AM571" i="1"/>
  <c r="AA571" i="1"/>
  <c r="O571" i="1"/>
  <c r="P571" i="1" s="1"/>
  <c r="AH549" i="1"/>
  <c r="V549" i="1"/>
  <c r="J549" i="1"/>
  <c r="AS549" i="1"/>
  <c r="AG549" i="1"/>
  <c r="U549" i="1"/>
  <c r="I549" i="1"/>
  <c r="AR549" i="1"/>
  <c r="AF549" i="1"/>
  <c r="T549" i="1"/>
  <c r="H549" i="1"/>
  <c r="AT549" i="1" s="1"/>
  <c r="AQ549" i="1"/>
  <c r="AE549" i="1"/>
  <c r="S549" i="1"/>
  <c r="G549" i="1"/>
  <c r="AP549" i="1"/>
  <c r="AD549" i="1"/>
  <c r="R549" i="1"/>
  <c r="F549" i="1"/>
  <c r="AO549" i="1"/>
  <c r="Q549" i="1"/>
  <c r="E549" i="1"/>
  <c r="AN549" i="1"/>
  <c r="AB549" i="1"/>
  <c r="D549" i="1"/>
  <c r="AY549" i="1"/>
  <c r="AM549" i="1"/>
  <c r="AA549" i="1"/>
  <c r="O549" i="1"/>
  <c r="P549" i="1" s="1"/>
  <c r="AL549" i="1"/>
  <c r="Z549" i="1"/>
  <c r="N549" i="1"/>
  <c r="AK549" i="1"/>
  <c r="Y549" i="1"/>
  <c r="M549" i="1"/>
  <c r="AJ549" i="1"/>
  <c r="X549" i="1"/>
  <c r="AI549" i="1"/>
  <c r="W549" i="1"/>
  <c r="K549" i="1"/>
  <c r="L549" i="1" s="1"/>
  <c r="AP551" i="1"/>
  <c r="AD551" i="1"/>
  <c r="R551" i="1"/>
  <c r="F551" i="1"/>
  <c r="AO551" i="1"/>
  <c r="Q551" i="1"/>
  <c r="E551" i="1"/>
  <c r="AN551" i="1"/>
  <c r="AB551" i="1"/>
  <c r="D551" i="1"/>
  <c r="AY551" i="1"/>
  <c r="AM551" i="1"/>
  <c r="AA551" i="1"/>
  <c r="O551" i="1"/>
  <c r="P551" i="1" s="1"/>
  <c r="AL551" i="1"/>
  <c r="Z551" i="1"/>
  <c r="N551" i="1"/>
  <c r="AK551" i="1"/>
  <c r="Y551" i="1"/>
  <c r="M551" i="1"/>
  <c r="AJ551" i="1"/>
  <c r="X551" i="1"/>
  <c r="AI551" i="1"/>
  <c r="W551" i="1"/>
  <c r="K551" i="1"/>
  <c r="L551" i="1" s="1"/>
  <c r="AH551" i="1"/>
  <c r="V551" i="1"/>
  <c r="J551" i="1"/>
  <c r="AS551" i="1"/>
  <c r="AG551" i="1"/>
  <c r="U551" i="1"/>
  <c r="I551" i="1"/>
  <c r="AR551" i="1"/>
  <c r="AF551" i="1"/>
  <c r="T551" i="1"/>
  <c r="H551" i="1"/>
  <c r="AT551" i="1" s="1"/>
  <c r="AQ551" i="1"/>
  <c r="AE551" i="1"/>
  <c r="S551" i="1"/>
  <c r="G551" i="1"/>
  <c r="AN558" i="1"/>
  <c r="AB558" i="1"/>
  <c r="D558" i="1"/>
  <c r="AY558" i="1"/>
  <c r="AM558" i="1"/>
  <c r="AA558" i="1"/>
  <c r="O558" i="1"/>
  <c r="P558" i="1" s="1"/>
  <c r="AL558" i="1"/>
  <c r="Z558" i="1"/>
  <c r="N558" i="1"/>
  <c r="AK558" i="1"/>
  <c r="Y558" i="1"/>
  <c r="M558" i="1"/>
  <c r="AJ558" i="1"/>
  <c r="X558" i="1"/>
  <c r="AI558" i="1"/>
  <c r="W558" i="1"/>
  <c r="K558" i="1"/>
  <c r="L558" i="1" s="1"/>
  <c r="AH558" i="1"/>
  <c r="V558" i="1"/>
  <c r="J558" i="1"/>
  <c r="AS558" i="1"/>
  <c r="AG558" i="1"/>
  <c r="U558" i="1"/>
  <c r="I558" i="1"/>
  <c r="AR558" i="1"/>
  <c r="AF558" i="1"/>
  <c r="T558" i="1"/>
  <c r="H558" i="1"/>
  <c r="AT558" i="1" s="1"/>
  <c r="AQ558" i="1"/>
  <c r="AE558" i="1"/>
  <c r="S558" i="1"/>
  <c r="G558" i="1"/>
  <c r="AP558" i="1"/>
  <c r="AD558" i="1"/>
  <c r="R558" i="1"/>
  <c r="F558" i="1"/>
  <c r="AO558" i="1"/>
  <c r="Q558" i="1"/>
  <c r="E558" i="1"/>
  <c r="AI592" i="1"/>
  <c r="W592" i="1"/>
  <c r="K592" i="1"/>
  <c r="L592" i="1" s="1"/>
  <c r="AH592" i="1"/>
  <c r="V592" i="1"/>
  <c r="J592" i="1"/>
  <c r="AS592" i="1"/>
  <c r="AG592" i="1"/>
  <c r="U592" i="1"/>
  <c r="I592" i="1"/>
  <c r="AR592" i="1"/>
  <c r="AF592" i="1"/>
  <c r="T592" i="1"/>
  <c r="H592" i="1"/>
  <c r="AT592" i="1" s="1"/>
  <c r="AQ592" i="1"/>
  <c r="AE592" i="1"/>
  <c r="S592" i="1"/>
  <c r="G592" i="1"/>
  <c r="AP592" i="1"/>
  <c r="AD592" i="1"/>
  <c r="R592" i="1"/>
  <c r="F592" i="1"/>
  <c r="AO592" i="1"/>
  <c r="Q592" i="1"/>
  <c r="E592" i="1"/>
  <c r="AN592" i="1"/>
  <c r="AB592" i="1"/>
  <c r="D592" i="1"/>
  <c r="AY592" i="1"/>
  <c r="AM592" i="1"/>
  <c r="AA592" i="1"/>
  <c r="O592" i="1"/>
  <c r="P592" i="1" s="1"/>
  <c r="AK592" i="1"/>
  <c r="Y592" i="1"/>
  <c r="M592" i="1"/>
  <c r="AJ592" i="1"/>
  <c r="X592" i="1"/>
  <c r="AL592" i="1"/>
  <c r="Z592" i="1"/>
  <c r="N592" i="1"/>
  <c r="AS599" i="1"/>
  <c r="AG599" i="1"/>
  <c r="U599" i="1"/>
  <c r="I599" i="1"/>
  <c r="AR599" i="1"/>
  <c r="AF599" i="1"/>
  <c r="T599" i="1"/>
  <c r="H599" i="1"/>
  <c r="AT599" i="1" s="1"/>
  <c r="AQ599" i="1"/>
  <c r="AE599" i="1"/>
  <c r="S599" i="1"/>
  <c r="G599" i="1"/>
  <c r="AP599" i="1"/>
  <c r="AD599" i="1"/>
  <c r="R599" i="1"/>
  <c r="F599" i="1"/>
  <c r="AO599" i="1"/>
  <c r="Q599" i="1"/>
  <c r="E599" i="1"/>
  <c r="AN599" i="1"/>
  <c r="AB599" i="1"/>
  <c r="D599" i="1"/>
  <c r="AY599" i="1"/>
  <c r="AM599" i="1"/>
  <c r="AA599" i="1"/>
  <c r="O599" i="1"/>
  <c r="P599" i="1" s="1"/>
  <c r="AL599" i="1"/>
  <c r="Z599" i="1"/>
  <c r="N599" i="1"/>
  <c r="AK599" i="1"/>
  <c r="Y599" i="1"/>
  <c r="M599" i="1"/>
  <c r="AJ599" i="1"/>
  <c r="X599" i="1"/>
  <c r="AI599" i="1"/>
  <c r="W599" i="1"/>
  <c r="K599" i="1"/>
  <c r="L599" i="1" s="1"/>
  <c r="AH599" i="1"/>
  <c r="V599" i="1"/>
  <c r="J599" i="1"/>
  <c r="AJ624" i="1"/>
  <c r="X624" i="1"/>
  <c r="AI624" i="1"/>
  <c r="W624" i="1"/>
  <c r="K624" i="1"/>
  <c r="L624" i="1" s="1"/>
  <c r="AP624" i="1"/>
  <c r="AD624" i="1"/>
  <c r="R624" i="1"/>
  <c r="AO624" i="1"/>
  <c r="Q624" i="1"/>
  <c r="E624" i="1"/>
  <c r="AN624" i="1"/>
  <c r="Y624" i="1"/>
  <c r="G624" i="1"/>
  <c r="AM624" i="1"/>
  <c r="V624" i="1"/>
  <c r="F624" i="1"/>
  <c r="AL624" i="1"/>
  <c r="U624" i="1"/>
  <c r="D624" i="1"/>
  <c r="AK624" i="1"/>
  <c r="T624" i="1"/>
  <c r="AH624" i="1"/>
  <c r="S624" i="1"/>
  <c r="AY624" i="1"/>
  <c r="AG624" i="1"/>
  <c r="AF624" i="1"/>
  <c r="O624" i="1"/>
  <c r="P624" i="1" s="1"/>
  <c r="AE624" i="1"/>
  <c r="N624" i="1"/>
  <c r="M624" i="1"/>
  <c r="AS624" i="1"/>
  <c r="AB624" i="1"/>
  <c r="J624" i="1"/>
  <c r="AR624" i="1"/>
  <c r="AA624" i="1"/>
  <c r="I624" i="1"/>
  <c r="AQ624" i="1"/>
  <c r="Z624" i="1"/>
  <c r="H624" i="1"/>
  <c r="AT624" i="1" s="1"/>
  <c r="AY608" i="1"/>
  <c r="AM608" i="1"/>
  <c r="AA608" i="1"/>
  <c r="O608" i="1"/>
  <c r="P608" i="1" s="1"/>
  <c r="AL608" i="1"/>
  <c r="Z608" i="1"/>
  <c r="N608" i="1"/>
  <c r="AK608" i="1"/>
  <c r="Y608" i="1"/>
  <c r="M608" i="1"/>
  <c r="AJ608" i="1"/>
  <c r="X608" i="1"/>
  <c r="AI608" i="1"/>
  <c r="W608" i="1"/>
  <c r="K608" i="1"/>
  <c r="L608" i="1" s="1"/>
  <c r="AH608" i="1"/>
  <c r="V608" i="1"/>
  <c r="J608" i="1"/>
  <c r="AS608" i="1"/>
  <c r="AG608" i="1"/>
  <c r="U608" i="1"/>
  <c r="I608" i="1"/>
  <c r="AR608" i="1"/>
  <c r="AF608" i="1"/>
  <c r="T608" i="1"/>
  <c r="H608" i="1"/>
  <c r="AT608" i="1" s="1"/>
  <c r="AQ608" i="1"/>
  <c r="AE608" i="1"/>
  <c r="S608" i="1"/>
  <c r="G608" i="1"/>
  <c r="AP608" i="1"/>
  <c r="AD608" i="1"/>
  <c r="R608" i="1"/>
  <c r="F608" i="1"/>
  <c r="AO608" i="1"/>
  <c r="Q608" i="1"/>
  <c r="E608" i="1"/>
  <c r="AN608" i="1"/>
  <c r="AB608" i="1"/>
  <c r="D608" i="1"/>
  <c r="AJ654" i="1"/>
  <c r="X654" i="1"/>
  <c r="AI654" i="1"/>
  <c r="W654" i="1"/>
  <c r="K654" i="1"/>
  <c r="L654" i="1" s="1"/>
  <c r="AH654" i="1"/>
  <c r="V654" i="1"/>
  <c r="J654" i="1"/>
  <c r="AS654" i="1"/>
  <c r="AG654" i="1"/>
  <c r="U654" i="1"/>
  <c r="I654" i="1"/>
  <c r="AR654" i="1"/>
  <c r="AF654" i="1"/>
  <c r="T654" i="1"/>
  <c r="H654" i="1"/>
  <c r="AT654" i="1" s="1"/>
  <c r="AQ654" i="1"/>
  <c r="AE654" i="1"/>
  <c r="S654" i="1"/>
  <c r="G654" i="1"/>
  <c r="AP654" i="1"/>
  <c r="AD654" i="1"/>
  <c r="R654" i="1"/>
  <c r="F654" i="1"/>
  <c r="AO654" i="1"/>
  <c r="Q654" i="1"/>
  <c r="E654" i="1"/>
  <c r="AN654" i="1"/>
  <c r="AB654" i="1"/>
  <c r="D654" i="1"/>
  <c r="AY654" i="1"/>
  <c r="AM654" i="1"/>
  <c r="AA654" i="1"/>
  <c r="O654" i="1"/>
  <c r="P654" i="1" s="1"/>
  <c r="AL654" i="1"/>
  <c r="Z654" i="1"/>
  <c r="N654" i="1"/>
  <c r="AK654" i="1"/>
  <c r="Y654" i="1"/>
  <c r="M654" i="1"/>
  <c r="AK670" i="1"/>
  <c r="Y670" i="1"/>
  <c r="M670" i="1"/>
  <c r="AJ670" i="1"/>
  <c r="X670" i="1"/>
  <c r="AI670" i="1"/>
  <c r="W670" i="1"/>
  <c r="K670" i="1"/>
  <c r="L670" i="1" s="1"/>
  <c r="AH670" i="1"/>
  <c r="V670" i="1"/>
  <c r="J670" i="1"/>
  <c r="AS670" i="1"/>
  <c r="AG670" i="1"/>
  <c r="U670" i="1"/>
  <c r="I670" i="1"/>
  <c r="AR670" i="1"/>
  <c r="AF670" i="1"/>
  <c r="T670" i="1"/>
  <c r="H670" i="1"/>
  <c r="AT670" i="1" s="1"/>
  <c r="AP670" i="1"/>
  <c r="AD670" i="1"/>
  <c r="R670" i="1"/>
  <c r="F670" i="1"/>
  <c r="AY670" i="1"/>
  <c r="AO670" i="1"/>
  <c r="O670" i="1"/>
  <c r="P670" i="1" s="1"/>
  <c r="AN670" i="1"/>
  <c r="N670" i="1"/>
  <c r="AM670" i="1"/>
  <c r="G670" i="1"/>
  <c r="AL670" i="1"/>
  <c r="E670" i="1"/>
  <c r="AE670" i="1"/>
  <c r="D670" i="1"/>
  <c r="AB670" i="1"/>
  <c r="AA670" i="1"/>
  <c r="Z670" i="1"/>
  <c r="S670" i="1"/>
  <c r="Q670" i="1"/>
  <c r="AQ670" i="1"/>
  <c r="AN652" i="1"/>
  <c r="AB652" i="1"/>
  <c r="D652" i="1"/>
  <c r="AY652" i="1"/>
  <c r="AM652" i="1"/>
  <c r="AA652" i="1"/>
  <c r="O652" i="1"/>
  <c r="P652" i="1" s="1"/>
  <c r="AL652" i="1"/>
  <c r="Z652" i="1"/>
  <c r="N652" i="1"/>
  <c r="AK652" i="1"/>
  <c r="Y652" i="1"/>
  <c r="M652" i="1"/>
  <c r="AJ652" i="1"/>
  <c r="X652" i="1"/>
  <c r="AI652" i="1"/>
  <c r="W652" i="1"/>
  <c r="K652" i="1"/>
  <c r="L652" i="1" s="1"/>
  <c r="AH652" i="1"/>
  <c r="V652" i="1"/>
  <c r="J652" i="1"/>
  <c r="AS652" i="1"/>
  <c r="AG652" i="1"/>
  <c r="U652" i="1"/>
  <c r="I652" i="1"/>
  <c r="AR652" i="1"/>
  <c r="AF652" i="1"/>
  <c r="T652" i="1"/>
  <c r="H652" i="1"/>
  <c r="AT652" i="1" s="1"/>
  <c r="AQ652" i="1"/>
  <c r="AE652" i="1"/>
  <c r="S652" i="1"/>
  <c r="G652" i="1"/>
  <c r="AP652" i="1"/>
  <c r="AD652" i="1"/>
  <c r="R652" i="1"/>
  <c r="F652" i="1"/>
  <c r="AO652" i="1"/>
  <c r="Q652" i="1"/>
  <c r="E652" i="1"/>
  <c r="AI683" i="1"/>
  <c r="W683" i="1"/>
  <c r="K683" i="1"/>
  <c r="L683" i="1" s="1"/>
  <c r="AH683" i="1"/>
  <c r="V683" i="1"/>
  <c r="J683" i="1"/>
  <c r="AS683" i="1"/>
  <c r="AG683" i="1"/>
  <c r="U683" i="1"/>
  <c r="I683" i="1"/>
  <c r="AR683" i="1"/>
  <c r="AF683" i="1"/>
  <c r="T683" i="1"/>
  <c r="H683" i="1"/>
  <c r="AT683" i="1" s="1"/>
  <c r="AQ683" i="1"/>
  <c r="AE683" i="1"/>
  <c r="S683" i="1"/>
  <c r="G683" i="1"/>
  <c r="AP683" i="1"/>
  <c r="AD683" i="1"/>
  <c r="R683" i="1"/>
  <c r="F683" i="1"/>
  <c r="AO683" i="1"/>
  <c r="Q683" i="1"/>
  <c r="E683" i="1"/>
  <c r="AN683" i="1"/>
  <c r="AB683" i="1"/>
  <c r="D683" i="1"/>
  <c r="AY683" i="1"/>
  <c r="AM683" i="1"/>
  <c r="AA683" i="1"/>
  <c r="O683" i="1"/>
  <c r="P683" i="1" s="1"/>
  <c r="AL683" i="1"/>
  <c r="Z683" i="1"/>
  <c r="N683" i="1"/>
  <c r="AK683" i="1"/>
  <c r="Y683" i="1"/>
  <c r="M683" i="1"/>
  <c r="AJ683" i="1"/>
  <c r="X683" i="1"/>
  <c r="AS702" i="1"/>
  <c r="AG702" i="1"/>
  <c r="U702" i="1"/>
  <c r="I702" i="1"/>
  <c r="AR702" i="1"/>
  <c r="AF702" i="1"/>
  <c r="T702" i="1"/>
  <c r="H702" i="1"/>
  <c r="AT702" i="1" s="1"/>
  <c r="AQ702" i="1"/>
  <c r="AE702" i="1"/>
  <c r="S702" i="1"/>
  <c r="G702" i="1"/>
  <c r="AP702" i="1"/>
  <c r="AD702" i="1"/>
  <c r="R702" i="1"/>
  <c r="F702" i="1"/>
  <c r="AO702" i="1"/>
  <c r="Q702" i="1"/>
  <c r="E702" i="1"/>
  <c r="AN702" i="1"/>
  <c r="AB702" i="1"/>
  <c r="D702" i="1"/>
  <c r="AY702" i="1"/>
  <c r="AM702" i="1"/>
  <c r="AA702" i="1"/>
  <c r="O702" i="1"/>
  <c r="P702" i="1" s="1"/>
  <c r="AL702" i="1"/>
  <c r="Z702" i="1"/>
  <c r="N702" i="1"/>
  <c r="AK702" i="1"/>
  <c r="Y702" i="1"/>
  <c r="M702" i="1"/>
  <c r="AJ702" i="1"/>
  <c r="X702" i="1"/>
  <c r="AI702" i="1"/>
  <c r="W702" i="1"/>
  <c r="K702" i="1"/>
  <c r="L702" i="1" s="1"/>
  <c r="AH702" i="1"/>
  <c r="V702" i="1"/>
  <c r="J702" i="1"/>
  <c r="AO668" i="1"/>
  <c r="Q668" i="1"/>
  <c r="E668" i="1"/>
  <c r="AN668" i="1"/>
  <c r="AB668" i="1"/>
  <c r="D668" i="1"/>
  <c r="AY668" i="1"/>
  <c r="AM668" i="1"/>
  <c r="AA668" i="1"/>
  <c r="O668" i="1"/>
  <c r="P668" i="1" s="1"/>
  <c r="AL668" i="1"/>
  <c r="Z668" i="1"/>
  <c r="N668" i="1"/>
  <c r="AH668" i="1"/>
  <c r="V668" i="1"/>
  <c r="J668" i="1"/>
  <c r="AS668" i="1"/>
  <c r="Y668" i="1"/>
  <c r="G668" i="1"/>
  <c r="AR668" i="1"/>
  <c r="X668" i="1"/>
  <c r="F668" i="1"/>
  <c r="AQ668" i="1"/>
  <c r="W668" i="1"/>
  <c r="AP668" i="1"/>
  <c r="U668" i="1"/>
  <c r="AK668" i="1"/>
  <c r="T668" i="1"/>
  <c r="AJ668" i="1"/>
  <c r="S668" i="1"/>
  <c r="AI668" i="1"/>
  <c r="R668" i="1"/>
  <c r="AG668" i="1"/>
  <c r="M668" i="1"/>
  <c r="AF668" i="1"/>
  <c r="AE668" i="1"/>
  <c r="K668" i="1"/>
  <c r="L668" i="1" s="1"/>
  <c r="AD668" i="1"/>
  <c r="I668" i="1"/>
  <c r="H668" i="1"/>
  <c r="AT668" i="1" s="1"/>
  <c r="AY693" i="1"/>
  <c r="AM693" i="1"/>
  <c r="AA693" i="1"/>
  <c r="O693" i="1"/>
  <c r="P693" i="1" s="1"/>
  <c r="AL693" i="1"/>
  <c r="Z693" i="1"/>
  <c r="N693" i="1"/>
  <c r="AK693" i="1"/>
  <c r="Y693" i="1"/>
  <c r="M693" i="1"/>
  <c r="AJ693" i="1"/>
  <c r="X693" i="1"/>
  <c r="AI693" i="1"/>
  <c r="W693" i="1"/>
  <c r="K693" i="1"/>
  <c r="L693" i="1" s="1"/>
  <c r="AH693" i="1"/>
  <c r="V693" i="1"/>
  <c r="J693" i="1"/>
  <c r="AS693" i="1"/>
  <c r="AG693" i="1"/>
  <c r="U693" i="1"/>
  <c r="I693" i="1"/>
  <c r="AR693" i="1"/>
  <c r="AF693" i="1"/>
  <c r="T693" i="1"/>
  <c r="H693" i="1"/>
  <c r="AT693" i="1" s="1"/>
  <c r="AQ693" i="1"/>
  <c r="AE693" i="1"/>
  <c r="S693" i="1"/>
  <c r="G693" i="1"/>
  <c r="AP693" i="1"/>
  <c r="AD693" i="1"/>
  <c r="R693" i="1"/>
  <c r="F693" i="1"/>
  <c r="AO693" i="1"/>
  <c r="Q693" i="1"/>
  <c r="E693" i="1"/>
  <c r="AN693" i="1"/>
  <c r="AB693" i="1"/>
  <c r="D693" i="1"/>
  <c r="AS758" i="1"/>
  <c r="AG758" i="1"/>
  <c r="U758" i="1"/>
  <c r="I758" i="1"/>
  <c r="AR758" i="1"/>
  <c r="AF758" i="1"/>
  <c r="T758" i="1"/>
  <c r="H758" i="1"/>
  <c r="AT758" i="1" s="1"/>
  <c r="AQ758" i="1"/>
  <c r="AE758" i="1"/>
  <c r="S758" i="1"/>
  <c r="G758" i="1"/>
  <c r="AL758" i="1"/>
  <c r="Z758" i="1"/>
  <c r="N758" i="1"/>
  <c r="AY758" i="1"/>
  <c r="AI758" i="1"/>
  <c r="AH758" i="1"/>
  <c r="O758" i="1"/>
  <c r="P758" i="1" s="1"/>
  <c r="AD758" i="1"/>
  <c r="M758" i="1"/>
  <c r="AB758" i="1"/>
  <c r="K758" i="1"/>
  <c r="L758" i="1" s="1"/>
  <c r="AA758" i="1"/>
  <c r="J758" i="1"/>
  <c r="AP758" i="1"/>
  <c r="Y758" i="1"/>
  <c r="F758" i="1"/>
  <c r="AO758" i="1"/>
  <c r="X758" i="1"/>
  <c r="E758" i="1"/>
  <c r="AN758" i="1"/>
  <c r="W758" i="1"/>
  <c r="D758" i="1"/>
  <c r="AM758" i="1"/>
  <c r="V758" i="1"/>
  <c r="AK758" i="1"/>
  <c r="R758" i="1"/>
  <c r="AJ758" i="1"/>
  <c r="Q758" i="1"/>
  <c r="AR752" i="1"/>
  <c r="AQ752" i="1"/>
  <c r="AG752" i="1"/>
  <c r="U752" i="1"/>
  <c r="I752" i="1"/>
  <c r="AF752" i="1"/>
  <c r="T752" i="1"/>
  <c r="H752" i="1"/>
  <c r="AT752" i="1" s="1"/>
  <c r="AS752" i="1"/>
  <c r="AE752" i="1"/>
  <c r="S752" i="1"/>
  <c r="G752" i="1"/>
  <c r="AP752" i="1"/>
  <c r="AD752" i="1"/>
  <c r="R752" i="1"/>
  <c r="F752" i="1"/>
  <c r="AO752" i="1"/>
  <c r="Q752" i="1"/>
  <c r="E752" i="1"/>
  <c r="AN752" i="1"/>
  <c r="AB752" i="1"/>
  <c r="D752" i="1"/>
  <c r="AM752" i="1"/>
  <c r="AA752" i="1"/>
  <c r="O752" i="1"/>
  <c r="P752" i="1" s="1"/>
  <c r="AL752" i="1"/>
  <c r="Z752" i="1"/>
  <c r="N752" i="1"/>
  <c r="AY752" i="1"/>
  <c r="AK752" i="1"/>
  <c r="Y752" i="1"/>
  <c r="M752" i="1"/>
  <c r="AJ752" i="1"/>
  <c r="X752" i="1"/>
  <c r="AI752" i="1"/>
  <c r="W752" i="1"/>
  <c r="K752" i="1"/>
  <c r="L752" i="1" s="1"/>
  <c r="AH752" i="1"/>
  <c r="V752" i="1"/>
  <c r="J752" i="1"/>
  <c r="AO730" i="1"/>
  <c r="Q730" i="1"/>
  <c r="E730" i="1"/>
  <c r="AN730" i="1"/>
  <c r="AB730" i="1"/>
  <c r="D730" i="1"/>
  <c r="AY730" i="1"/>
  <c r="AM730" i="1"/>
  <c r="AA730" i="1"/>
  <c r="O730" i="1"/>
  <c r="P730" i="1" s="1"/>
  <c r="AL730" i="1"/>
  <c r="Z730" i="1"/>
  <c r="N730" i="1"/>
  <c r="AK730" i="1"/>
  <c r="Y730" i="1"/>
  <c r="M730" i="1"/>
  <c r="AJ730" i="1"/>
  <c r="X730" i="1"/>
  <c r="AI730" i="1"/>
  <c r="W730" i="1"/>
  <c r="K730" i="1"/>
  <c r="L730" i="1" s="1"/>
  <c r="AH730" i="1"/>
  <c r="V730" i="1"/>
  <c r="J730" i="1"/>
  <c r="AS730" i="1"/>
  <c r="AG730" i="1"/>
  <c r="U730" i="1"/>
  <c r="I730" i="1"/>
  <c r="AR730" i="1"/>
  <c r="AF730" i="1"/>
  <c r="T730" i="1"/>
  <c r="H730" i="1"/>
  <c r="AT730" i="1" s="1"/>
  <c r="AQ730" i="1"/>
  <c r="AE730" i="1"/>
  <c r="S730" i="1"/>
  <c r="G730" i="1"/>
  <c r="AP730" i="1"/>
  <c r="AD730" i="1"/>
  <c r="R730" i="1"/>
  <c r="F730" i="1"/>
  <c r="AK762" i="1"/>
  <c r="Y762" i="1"/>
  <c r="M762" i="1"/>
  <c r="AJ762" i="1"/>
  <c r="X762" i="1"/>
  <c r="AI762" i="1"/>
  <c r="W762" i="1"/>
  <c r="K762" i="1"/>
  <c r="L762" i="1" s="1"/>
  <c r="AH762" i="1"/>
  <c r="V762" i="1"/>
  <c r="J762" i="1"/>
  <c r="AS762" i="1"/>
  <c r="AG762" i="1"/>
  <c r="U762" i="1"/>
  <c r="I762" i="1"/>
  <c r="AR762" i="1"/>
  <c r="AF762" i="1"/>
  <c r="T762" i="1"/>
  <c r="H762" i="1"/>
  <c r="AT762" i="1" s="1"/>
  <c r="AQ762" i="1"/>
  <c r="AE762" i="1"/>
  <c r="S762" i="1"/>
  <c r="G762" i="1"/>
  <c r="AP762" i="1"/>
  <c r="AD762" i="1"/>
  <c r="R762" i="1"/>
  <c r="F762" i="1"/>
  <c r="AO762" i="1"/>
  <c r="Q762" i="1"/>
  <c r="E762" i="1"/>
  <c r="AN762" i="1"/>
  <c r="AB762" i="1"/>
  <c r="D762" i="1"/>
  <c r="AY762" i="1"/>
  <c r="AM762" i="1"/>
  <c r="AA762" i="1"/>
  <c r="O762" i="1"/>
  <c r="P762" i="1" s="1"/>
  <c r="AL762" i="1"/>
  <c r="Z762" i="1"/>
  <c r="N762" i="1"/>
  <c r="AI793" i="1"/>
  <c r="W793" i="1"/>
  <c r="K793" i="1"/>
  <c r="L793" i="1" s="1"/>
  <c r="AH793" i="1"/>
  <c r="V793" i="1"/>
  <c r="J793" i="1"/>
  <c r="AS793" i="1"/>
  <c r="AG793" i="1"/>
  <c r="U793" i="1"/>
  <c r="I793" i="1"/>
  <c r="AR793" i="1"/>
  <c r="AF793" i="1"/>
  <c r="T793" i="1"/>
  <c r="H793" i="1"/>
  <c r="AT793" i="1" s="1"/>
  <c r="AQ793" i="1"/>
  <c r="AE793" i="1"/>
  <c r="S793" i="1"/>
  <c r="G793" i="1"/>
  <c r="AP793" i="1"/>
  <c r="AD793" i="1"/>
  <c r="R793" i="1"/>
  <c r="F793" i="1"/>
  <c r="AO793" i="1"/>
  <c r="Q793" i="1"/>
  <c r="E793" i="1"/>
  <c r="AN793" i="1"/>
  <c r="AB793" i="1"/>
  <c r="D793" i="1"/>
  <c r="AY793" i="1"/>
  <c r="AM793" i="1"/>
  <c r="AA793" i="1"/>
  <c r="O793" i="1"/>
  <c r="P793" i="1" s="1"/>
  <c r="AL793" i="1"/>
  <c r="Z793" i="1"/>
  <c r="N793" i="1"/>
  <c r="AK793" i="1"/>
  <c r="Y793" i="1"/>
  <c r="M793" i="1"/>
  <c r="AJ793" i="1"/>
  <c r="X793" i="1"/>
  <c r="AQ783" i="1"/>
  <c r="AE783" i="1"/>
  <c r="S783" i="1"/>
  <c r="G783" i="1"/>
  <c r="AP783" i="1"/>
  <c r="AD783" i="1"/>
  <c r="R783" i="1"/>
  <c r="F783" i="1"/>
  <c r="AO783" i="1"/>
  <c r="Q783" i="1"/>
  <c r="E783" i="1"/>
  <c r="AN783" i="1"/>
  <c r="AB783" i="1"/>
  <c r="D783" i="1"/>
  <c r="AY783" i="1"/>
  <c r="AM783" i="1"/>
  <c r="AA783" i="1"/>
  <c r="O783" i="1"/>
  <c r="P783" i="1" s="1"/>
  <c r="AL783" i="1"/>
  <c r="Z783" i="1"/>
  <c r="N783" i="1"/>
  <c r="AK783" i="1"/>
  <c r="Y783" i="1"/>
  <c r="M783" i="1"/>
  <c r="AJ783" i="1"/>
  <c r="X783" i="1"/>
  <c r="AI783" i="1"/>
  <c r="W783" i="1"/>
  <c r="K783" i="1"/>
  <c r="L783" i="1" s="1"/>
  <c r="AH783" i="1"/>
  <c r="V783" i="1"/>
  <c r="J783" i="1"/>
  <c r="AS783" i="1"/>
  <c r="AG783" i="1"/>
  <c r="U783" i="1"/>
  <c r="I783" i="1"/>
  <c r="AR783" i="1"/>
  <c r="AF783" i="1"/>
  <c r="T783" i="1"/>
  <c r="H783" i="1"/>
  <c r="AT783" i="1" s="1"/>
  <c r="AY755" i="1"/>
  <c r="AM755" i="1"/>
  <c r="AA755" i="1"/>
  <c r="O755" i="1"/>
  <c r="P755" i="1" s="1"/>
  <c r="AL755" i="1"/>
  <c r="Z755" i="1"/>
  <c r="N755" i="1"/>
  <c r="AK755" i="1"/>
  <c r="Y755" i="1"/>
  <c r="M755" i="1"/>
  <c r="AH755" i="1"/>
  <c r="S755" i="1"/>
  <c r="D755" i="1"/>
  <c r="AG755" i="1"/>
  <c r="R755" i="1"/>
  <c r="AF755" i="1"/>
  <c r="Q755" i="1"/>
  <c r="AE755" i="1"/>
  <c r="AS755" i="1"/>
  <c r="AD755" i="1"/>
  <c r="AR755" i="1"/>
  <c r="K755" i="1"/>
  <c r="L755" i="1" s="1"/>
  <c r="AQ755" i="1"/>
  <c r="AB755" i="1"/>
  <c r="J755" i="1"/>
  <c r="AP755" i="1"/>
  <c r="X755" i="1"/>
  <c r="I755" i="1"/>
  <c r="AO755" i="1"/>
  <c r="W755" i="1"/>
  <c r="H755" i="1"/>
  <c r="AT755" i="1" s="1"/>
  <c r="AN755" i="1"/>
  <c r="V755" i="1"/>
  <c r="G755" i="1"/>
  <c r="AJ755" i="1"/>
  <c r="U755" i="1"/>
  <c r="F755" i="1"/>
  <c r="AI755" i="1"/>
  <c r="T755" i="1"/>
  <c r="E755" i="1"/>
  <c r="AL835" i="1"/>
  <c r="Z835" i="1"/>
  <c r="AJ835" i="1"/>
  <c r="X835" i="1"/>
  <c r="AP835" i="1"/>
  <c r="AB835" i="1"/>
  <c r="N835" i="1"/>
  <c r="AO835" i="1"/>
  <c r="AA835" i="1"/>
  <c r="M835" i="1"/>
  <c r="AN835" i="1"/>
  <c r="Y835" i="1"/>
  <c r="AM835" i="1"/>
  <c r="W835" i="1"/>
  <c r="K835" i="1"/>
  <c r="L835" i="1" s="1"/>
  <c r="AY835" i="1"/>
  <c r="AK835" i="1"/>
  <c r="V835" i="1"/>
  <c r="J835" i="1"/>
  <c r="AI835" i="1"/>
  <c r="U835" i="1"/>
  <c r="I835" i="1"/>
  <c r="AH835" i="1"/>
  <c r="T835" i="1"/>
  <c r="H835" i="1"/>
  <c r="AT835" i="1" s="1"/>
  <c r="AG835" i="1"/>
  <c r="S835" i="1"/>
  <c r="G835" i="1"/>
  <c r="AF835" i="1"/>
  <c r="R835" i="1"/>
  <c r="F835" i="1"/>
  <c r="AS835" i="1"/>
  <c r="AE835" i="1"/>
  <c r="Q835" i="1"/>
  <c r="E835" i="1"/>
  <c r="AR835" i="1"/>
  <c r="AD835" i="1"/>
  <c r="D835" i="1"/>
  <c r="AQ835" i="1"/>
  <c r="O835" i="1"/>
  <c r="P835" i="1" s="1"/>
  <c r="AH819" i="1"/>
  <c r="V819" i="1"/>
  <c r="J819" i="1"/>
  <c r="AS819" i="1"/>
  <c r="AG819" i="1"/>
  <c r="U819" i="1"/>
  <c r="I819" i="1"/>
  <c r="AR819" i="1"/>
  <c r="AF819" i="1"/>
  <c r="T819" i="1"/>
  <c r="H819" i="1"/>
  <c r="AT819" i="1" s="1"/>
  <c r="AQ819" i="1"/>
  <c r="AE819" i="1"/>
  <c r="S819" i="1"/>
  <c r="G819" i="1"/>
  <c r="AP819" i="1"/>
  <c r="AD819" i="1"/>
  <c r="R819" i="1"/>
  <c r="F819" i="1"/>
  <c r="AO819" i="1"/>
  <c r="Q819" i="1"/>
  <c r="E819" i="1"/>
  <c r="AN819" i="1"/>
  <c r="AB819" i="1"/>
  <c r="D819" i="1"/>
  <c r="AY819" i="1"/>
  <c r="AM819" i="1"/>
  <c r="AA819" i="1"/>
  <c r="O819" i="1"/>
  <c r="P819" i="1" s="1"/>
  <c r="AL819" i="1"/>
  <c r="Z819" i="1"/>
  <c r="N819" i="1"/>
  <c r="AK819" i="1"/>
  <c r="Y819" i="1"/>
  <c r="M819" i="1"/>
  <c r="AJ819" i="1"/>
  <c r="X819" i="1"/>
  <c r="AI819" i="1"/>
  <c r="W819" i="1"/>
  <c r="K819" i="1"/>
  <c r="L819" i="1" s="1"/>
  <c r="AP809" i="1"/>
  <c r="AD809" i="1"/>
  <c r="R809" i="1"/>
  <c r="F809" i="1"/>
  <c r="AO809" i="1"/>
  <c r="Q809" i="1"/>
  <c r="E809" i="1"/>
  <c r="AN809" i="1"/>
  <c r="AB809" i="1"/>
  <c r="D809" i="1"/>
  <c r="AY809" i="1"/>
  <c r="AM809" i="1"/>
  <c r="AA809" i="1"/>
  <c r="O809" i="1"/>
  <c r="P809" i="1" s="1"/>
  <c r="AL809" i="1"/>
  <c r="Z809" i="1"/>
  <c r="N809" i="1"/>
  <c r="AK809" i="1"/>
  <c r="Y809" i="1"/>
  <c r="M809" i="1"/>
  <c r="AJ809" i="1"/>
  <c r="X809" i="1"/>
  <c r="AI809" i="1"/>
  <c r="W809" i="1"/>
  <c r="K809" i="1"/>
  <c r="L809" i="1" s="1"/>
  <c r="AH809" i="1"/>
  <c r="V809" i="1"/>
  <c r="J809" i="1"/>
  <c r="AS809" i="1"/>
  <c r="AG809" i="1"/>
  <c r="U809" i="1"/>
  <c r="I809" i="1"/>
  <c r="AR809" i="1"/>
  <c r="AF809" i="1"/>
  <c r="T809" i="1"/>
  <c r="H809" i="1"/>
  <c r="AT809" i="1" s="1"/>
  <c r="AQ809" i="1"/>
  <c r="AE809" i="1"/>
  <c r="S809" i="1"/>
  <c r="G809" i="1"/>
  <c r="AN828" i="1"/>
  <c r="AB828" i="1"/>
  <c r="D828" i="1"/>
  <c r="AY828" i="1"/>
  <c r="AM828" i="1"/>
  <c r="AA828" i="1"/>
  <c r="O828" i="1"/>
  <c r="P828" i="1" s="1"/>
  <c r="AL828" i="1"/>
  <c r="Z828" i="1"/>
  <c r="N828" i="1"/>
  <c r="AK828" i="1"/>
  <c r="Y828" i="1"/>
  <c r="M828" i="1"/>
  <c r="AJ828" i="1"/>
  <c r="X828" i="1"/>
  <c r="AI828" i="1"/>
  <c r="W828" i="1"/>
  <c r="K828" i="1"/>
  <c r="L828" i="1" s="1"/>
  <c r="AH828" i="1"/>
  <c r="V828" i="1"/>
  <c r="J828" i="1"/>
  <c r="AS828" i="1"/>
  <c r="AG828" i="1"/>
  <c r="U828" i="1"/>
  <c r="I828" i="1"/>
  <c r="AR828" i="1"/>
  <c r="AF828" i="1"/>
  <c r="T828" i="1"/>
  <c r="H828" i="1"/>
  <c r="AT828" i="1" s="1"/>
  <c r="AQ828" i="1"/>
  <c r="AE828" i="1"/>
  <c r="S828" i="1"/>
  <c r="G828" i="1"/>
  <c r="AP828" i="1"/>
  <c r="AD828" i="1"/>
  <c r="R828" i="1"/>
  <c r="F828" i="1"/>
  <c r="AO828" i="1"/>
  <c r="Q828" i="1"/>
  <c r="E828" i="1"/>
  <c r="AJ872" i="1"/>
  <c r="X872" i="1"/>
  <c r="AI872" i="1"/>
  <c r="W872" i="1"/>
  <c r="K872" i="1"/>
  <c r="L872" i="1" s="1"/>
  <c r="AH872" i="1"/>
  <c r="V872" i="1"/>
  <c r="J872" i="1"/>
  <c r="AS872" i="1"/>
  <c r="AG872" i="1"/>
  <c r="U872" i="1"/>
  <c r="I872" i="1"/>
  <c r="AR872" i="1"/>
  <c r="AF872" i="1"/>
  <c r="T872" i="1"/>
  <c r="H872" i="1"/>
  <c r="AT872" i="1" s="1"/>
  <c r="AQ872" i="1"/>
  <c r="AE872" i="1"/>
  <c r="S872" i="1"/>
  <c r="G872" i="1"/>
  <c r="AP872" i="1"/>
  <c r="AD872" i="1"/>
  <c r="R872" i="1"/>
  <c r="F872" i="1"/>
  <c r="AO872" i="1"/>
  <c r="Q872" i="1"/>
  <c r="E872" i="1"/>
  <c r="AN872" i="1"/>
  <c r="AB872" i="1"/>
  <c r="D872" i="1"/>
  <c r="AY872" i="1"/>
  <c r="AM872" i="1"/>
  <c r="AA872" i="1"/>
  <c r="O872" i="1"/>
  <c r="P872" i="1" s="1"/>
  <c r="AL872" i="1"/>
  <c r="Z872" i="1"/>
  <c r="N872" i="1"/>
  <c r="AK872" i="1"/>
  <c r="Y872" i="1"/>
  <c r="M872" i="1"/>
  <c r="AR856" i="1"/>
  <c r="AF856" i="1"/>
  <c r="T856" i="1"/>
  <c r="H856" i="1"/>
  <c r="AT856" i="1" s="1"/>
  <c r="AQ856" i="1"/>
  <c r="AE856" i="1"/>
  <c r="S856" i="1"/>
  <c r="G856" i="1"/>
  <c r="AP856" i="1"/>
  <c r="AD856" i="1"/>
  <c r="R856" i="1"/>
  <c r="F856" i="1"/>
  <c r="AO856" i="1"/>
  <c r="Q856" i="1"/>
  <c r="E856" i="1"/>
  <c r="AN856" i="1"/>
  <c r="AB856" i="1"/>
  <c r="D856" i="1"/>
  <c r="AY856" i="1"/>
  <c r="AM856" i="1"/>
  <c r="AA856" i="1"/>
  <c r="O856" i="1"/>
  <c r="P856" i="1" s="1"/>
  <c r="AL856" i="1"/>
  <c r="Z856" i="1"/>
  <c r="N856" i="1"/>
  <c r="AK856" i="1"/>
  <c r="Y856" i="1"/>
  <c r="M856" i="1"/>
  <c r="AJ856" i="1"/>
  <c r="X856" i="1"/>
  <c r="AI856" i="1"/>
  <c r="W856" i="1"/>
  <c r="K856" i="1"/>
  <c r="L856" i="1" s="1"/>
  <c r="AH856" i="1"/>
  <c r="V856" i="1"/>
  <c r="J856" i="1"/>
  <c r="AS856" i="1"/>
  <c r="AG856" i="1"/>
  <c r="U856" i="1"/>
  <c r="I856" i="1"/>
  <c r="AN846" i="1"/>
  <c r="AB846" i="1"/>
  <c r="D846" i="1"/>
  <c r="AY846" i="1"/>
  <c r="AM846" i="1"/>
  <c r="AA846" i="1"/>
  <c r="O846" i="1"/>
  <c r="P846" i="1" s="1"/>
  <c r="AL846" i="1"/>
  <c r="Z846" i="1"/>
  <c r="N846" i="1"/>
  <c r="AK846" i="1"/>
  <c r="Y846" i="1"/>
  <c r="M846" i="1"/>
  <c r="AJ846" i="1"/>
  <c r="X846" i="1"/>
  <c r="AH846" i="1"/>
  <c r="V846" i="1"/>
  <c r="J846" i="1"/>
  <c r="AS846" i="1"/>
  <c r="AG846" i="1"/>
  <c r="U846" i="1"/>
  <c r="I846" i="1"/>
  <c r="AP846" i="1"/>
  <c r="K846" i="1"/>
  <c r="L846" i="1" s="1"/>
  <c r="AO846" i="1"/>
  <c r="H846" i="1"/>
  <c r="AT846" i="1" s="1"/>
  <c r="AI846" i="1"/>
  <c r="G846" i="1"/>
  <c r="AF846" i="1"/>
  <c r="F846" i="1"/>
  <c r="AE846" i="1"/>
  <c r="E846" i="1"/>
  <c r="AD846" i="1"/>
  <c r="W846" i="1"/>
  <c r="T846" i="1"/>
  <c r="S846" i="1"/>
  <c r="AR846" i="1"/>
  <c r="R846" i="1"/>
  <c r="AQ846" i="1"/>
  <c r="Q846" i="1"/>
  <c r="AL910" i="1"/>
  <c r="Z910" i="1"/>
  <c r="N910" i="1"/>
  <c r="AK910" i="1"/>
  <c r="Y910" i="1"/>
  <c r="M910" i="1"/>
  <c r="AJ910" i="1"/>
  <c r="X910" i="1"/>
  <c r="AI910" i="1"/>
  <c r="W910" i="1"/>
  <c r="K910" i="1"/>
  <c r="L910" i="1" s="1"/>
  <c r="AH910" i="1"/>
  <c r="V910" i="1"/>
  <c r="J910" i="1"/>
  <c r="AS910" i="1"/>
  <c r="AG910" i="1"/>
  <c r="U910" i="1"/>
  <c r="I910" i="1"/>
  <c r="AR910" i="1"/>
  <c r="AF910" i="1"/>
  <c r="T910" i="1"/>
  <c r="H910" i="1"/>
  <c r="AT910" i="1" s="1"/>
  <c r="AQ910" i="1"/>
  <c r="AE910" i="1"/>
  <c r="S910" i="1"/>
  <c r="G910" i="1"/>
  <c r="AP910" i="1"/>
  <c r="AD910" i="1"/>
  <c r="R910" i="1"/>
  <c r="F910" i="1"/>
  <c r="AO910" i="1"/>
  <c r="Q910" i="1"/>
  <c r="E910" i="1"/>
  <c r="AN910" i="1"/>
  <c r="AB910" i="1"/>
  <c r="D910" i="1"/>
  <c r="AY910" i="1"/>
  <c r="AM910" i="1"/>
  <c r="AA910" i="1"/>
  <c r="O910" i="1"/>
  <c r="P910" i="1" s="1"/>
  <c r="AR895" i="1"/>
  <c r="AF895" i="1"/>
  <c r="T895" i="1"/>
  <c r="H895" i="1"/>
  <c r="AT895" i="1" s="1"/>
  <c r="AQ895" i="1"/>
  <c r="AE895" i="1"/>
  <c r="S895" i="1"/>
  <c r="G895" i="1"/>
  <c r="AP895" i="1"/>
  <c r="AD895" i="1"/>
  <c r="R895" i="1"/>
  <c r="F895" i="1"/>
  <c r="AO895" i="1"/>
  <c r="Q895" i="1"/>
  <c r="E895" i="1"/>
  <c r="AN895" i="1"/>
  <c r="AB895" i="1"/>
  <c r="D895" i="1"/>
  <c r="AY895" i="1"/>
  <c r="AM895" i="1"/>
  <c r="AA895" i="1"/>
  <c r="O895" i="1"/>
  <c r="P895" i="1" s="1"/>
  <c r="AL895" i="1"/>
  <c r="Z895" i="1"/>
  <c r="N895" i="1"/>
  <c r="AK895" i="1"/>
  <c r="Y895" i="1"/>
  <c r="M895" i="1"/>
  <c r="AJ895" i="1"/>
  <c r="X895" i="1"/>
  <c r="AI895" i="1"/>
  <c r="W895" i="1"/>
  <c r="K895" i="1"/>
  <c r="L895" i="1" s="1"/>
  <c r="AH895" i="1"/>
  <c r="V895" i="1"/>
  <c r="J895" i="1"/>
  <c r="AS895" i="1"/>
  <c r="AG895" i="1"/>
  <c r="U895" i="1"/>
  <c r="I895" i="1"/>
  <c r="AN891" i="1"/>
  <c r="AB891" i="1"/>
  <c r="D891" i="1"/>
  <c r="AY891" i="1"/>
  <c r="AM891" i="1"/>
  <c r="AA891" i="1"/>
  <c r="O891" i="1"/>
  <c r="P891" i="1" s="1"/>
  <c r="AL891" i="1"/>
  <c r="Z891" i="1"/>
  <c r="N891" i="1"/>
  <c r="AK891" i="1"/>
  <c r="Y891" i="1"/>
  <c r="M891" i="1"/>
  <c r="AJ891" i="1"/>
  <c r="X891" i="1"/>
  <c r="AI891" i="1"/>
  <c r="W891" i="1"/>
  <c r="K891" i="1"/>
  <c r="L891" i="1" s="1"/>
  <c r="AH891" i="1"/>
  <c r="V891" i="1"/>
  <c r="J891" i="1"/>
  <c r="AS891" i="1"/>
  <c r="AG891" i="1"/>
  <c r="U891" i="1"/>
  <c r="I891" i="1"/>
  <c r="AP891" i="1"/>
  <c r="AD891" i="1"/>
  <c r="R891" i="1"/>
  <c r="F891" i="1"/>
  <c r="AO891" i="1"/>
  <c r="Q891" i="1"/>
  <c r="E891" i="1"/>
  <c r="S891" i="1"/>
  <c r="H891" i="1"/>
  <c r="AT891" i="1" s="1"/>
  <c r="G891" i="1"/>
  <c r="AR891" i="1"/>
  <c r="AQ891" i="1"/>
  <c r="AF891" i="1"/>
  <c r="AE891" i="1"/>
  <c r="T891" i="1"/>
  <c r="AJ946" i="1"/>
  <c r="X946" i="1"/>
  <c r="AH946" i="1"/>
  <c r="V946" i="1"/>
  <c r="J946" i="1"/>
  <c r="AS946" i="1"/>
  <c r="AG946" i="1"/>
  <c r="U946" i="1"/>
  <c r="I946" i="1"/>
  <c r="AP946" i="1"/>
  <c r="AD946" i="1"/>
  <c r="R946" i="1"/>
  <c r="F946" i="1"/>
  <c r="AO946" i="1"/>
  <c r="Q946" i="1"/>
  <c r="E946" i="1"/>
  <c r="AL946" i="1"/>
  <c r="S946" i="1"/>
  <c r="AK946" i="1"/>
  <c r="AI946" i="1"/>
  <c r="O946" i="1"/>
  <c r="P946" i="1" s="1"/>
  <c r="AF946" i="1"/>
  <c r="N946" i="1"/>
  <c r="AY946" i="1"/>
  <c r="AE946" i="1"/>
  <c r="M946" i="1"/>
  <c r="K946" i="1"/>
  <c r="L946" i="1" s="1"/>
  <c r="AB946" i="1"/>
  <c r="H946" i="1"/>
  <c r="AT946" i="1" s="1"/>
  <c r="AA946" i="1"/>
  <c r="G946" i="1"/>
  <c r="AR946" i="1"/>
  <c r="Z946" i="1"/>
  <c r="D946" i="1"/>
  <c r="AQ946" i="1"/>
  <c r="Y946" i="1"/>
  <c r="AN946" i="1"/>
  <c r="W946" i="1"/>
  <c r="AM946" i="1"/>
  <c r="T946" i="1"/>
  <c r="AH935" i="1"/>
  <c r="V935" i="1"/>
  <c r="AG935" i="1"/>
  <c r="T935" i="1"/>
  <c r="H935" i="1"/>
  <c r="AT935" i="1" s="1"/>
  <c r="AS935" i="1"/>
  <c r="AF935" i="1"/>
  <c r="S935" i="1"/>
  <c r="G935" i="1"/>
  <c r="AR935" i="1"/>
  <c r="AE935" i="1"/>
  <c r="R935" i="1"/>
  <c r="F935" i="1"/>
  <c r="AQ935" i="1"/>
  <c r="AD935" i="1"/>
  <c r="Q935" i="1"/>
  <c r="E935" i="1"/>
  <c r="AP935" i="1"/>
  <c r="D935" i="1"/>
  <c r="AO935" i="1"/>
  <c r="AB935" i="1"/>
  <c r="O935" i="1"/>
  <c r="P935" i="1" s="1"/>
  <c r="AN935" i="1"/>
  <c r="AA935" i="1"/>
  <c r="N935" i="1"/>
  <c r="AM935" i="1"/>
  <c r="Z935" i="1"/>
  <c r="M935" i="1"/>
  <c r="AY935" i="1"/>
  <c r="AL935" i="1"/>
  <c r="Y935" i="1"/>
  <c r="AK935" i="1"/>
  <c r="X935" i="1"/>
  <c r="K935" i="1"/>
  <c r="L935" i="1" s="1"/>
  <c r="AJ935" i="1"/>
  <c r="W935" i="1"/>
  <c r="J935" i="1"/>
  <c r="AI935" i="1"/>
  <c r="U935" i="1"/>
  <c r="I935" i="1"/>
  <c r="AO983" i="1"/>
  <c r="Q983" i="1"/>
  <c r="E983" i="1"/>
  <c r="AN983" i="1"/>
  <c r="AB983" i="1"/>
  <c r="D983" i="1"/>
  <c r="AL983" i="1"/>
  <c r="Z983" i="1"/>
  <c r="N983" i="1"/>
  <c r="AK983" i="1"/>
  <c r="Y983" i="1"/>
  <c r="M983" i="1"/>
  <c r="AJ983" i="1"/>
  <c r="X983" i="1"/>
  <c r="AI983" i="1"/>
  <c r="W983" i="1"/>
  <c r="K983" i="1"/>
  <c r="L983" i="1" s="1"/>
  <c r="AH983" i="1"/>
  <c r="V983" i="1"/>
  <c r="J983" i="1"/>
  <c r="AS983" i="1"/>
  <c r="AG983" i="1"/>
  <c r="U983" i="1"/>
  <c r="I983" i="1"/>
  <c r="AR983" i="1"/>
  <c r="AF983" i="1"/>
  <c r="T983" i="1"/>
  <c r="H983" i="1"/>
  <c r="AT983" i="1" s="1"/>
  <c r="AQ983" i="1"/>
  <c r="AE983" i="1"/>
  <c r="S983" i="1"/>
  <c r="G983" i="1"/>
  <c r="AY983" i="1"/>
  <c r="AP983" i="1"/>
  <c r="AM983" i="1"/>
  <c r="AD983" i="1"/>
  <c r="AA983" i="1"/>
  <c r="R983" i="1"/>
  <c r="O983" i="1"/>
  <c r="P983" i="1" s="1"/>
  <c r="F983" i="1"/>
  <c r="AH959" i="1"/>
  <c r="V959" i="1"/>
  <c r="J959" i="1"/>
  <c r="AS959" i="1"/>
  <c r="AG959" i="1"/>
  <c r="U959" i="1"/>
  <c r="I959" i="1"/>
  <c r="AR959" i="1"/>
  <c r="AF959" i="1"/>
  <c r="T959" i="1"/>
  <c r="H959" i="1"/>
  <c r="AT959" i="1" s="1"/>
  <c r="AQ959" i="1"/>
  <c r="AE959" i="1"/>
  <c r="S959" i="1"/>
  <c r="G959" i="1"/>
  <c r="AP959" i="1"/>
  <c r="AD959" i="1"/>
  <c r="R959" i="1"/>
  <c r="F959" i="1"/>
  <c r="AO959" i="1"/>
  <c r="Q959" i="1"/>
  <c r="E959" i="1"/>
  <c r="AN959" i="1"/>
  <c r="AB959" i="1"/>
  <c r="D959" i="1"/>
  <c r="AY959" i="1"/>
  <c r="AM959" i="1"/>
  <c r="AA959" i="1"/>
  <c r="O959" i="1"/>
  <c r="P959" i="1" s="1"/>
  <c r="AL959" i="1"/>
  <c r="Z959" i="1"/>
  <c r="N959" i="1"/>
  <c r="AK959" i="1"/>
  <c r="Y959" i="1"/>
  <c r="M959" i="1"/>
  <c r="AJ959" i="1"/>
  <c r="X959" i="1"/>
  <c r="W959" i="1"/>
  <c r="K959" i="1"/>
  <c r="L959" i="1" s="1"/>
  <c r="AI959" i="1"/>
  <c r="AI974" i="1"/>
  <c r="W974" i="1"/>
  <c r="K974" i="1"/>
  <c r="L974" i="1" s="1"/>
  <c r="AP974" i="1"/>
  <c r="AD974" i="1"/>
  <c r="R974" i="1"/>
  <c r="F974" i="1"/>
  <c r="AN974" i="1"/>
  <c r="AB974" i="1"/>
  <c r="AY974" i="1"/>
  <c r="AJ974" i="1"/>
  <c r="T974" i="1"/>
  <c r="E974" i="1"/>
  <c r="AH974" i="1"/>
  <c r="S974" i="1"/>
  <c r="D974" i="1"/>
  <c r="AG974" i="1"/>
  <c r="Q974" i="1"/>
  <c r="AF974" i="1"/>
  <c r="AE974" i="1"/>
  <c r="O974" i="1"/>
  <c r="P974" i="1" s="1"/>
  <c r="AS974" i="1"/>
  <c r="N974" i="1"/>
  <c r="AR974" i="1"/>
  <c r="AA974" i="1"/>
  <c r="M974" i="1"/>
  <c r="AQ974" i="1"/>
  <c r="Z974" i="1"/>
  <c r="AO974" i="1"/>
  <c r="Y974" i="1"/>
  <c r="J974" i="1"/>
  <c r="AM974" i="1"/>
  <c r="X974" i="1"/>
  <c r="I974" i="1"/>
  <c r="AL974" i="1"/>
  <c r="V974" i="1"/>
  <c r="H974" i="1"/>
  <c r="AT974" i="1" s="1"/>
  <c r="AK974" i="1"/>
  <c r="U974" i="1"/>
  <c r="G974" i="1"/>
  <c r="AJ1004" i="1"/>
  <c r="X1004" i="1"/>
  <c r="AR1004" i="1"/>
  <c r="AF1004" i="1"/>
  <c r="T1004" i="1"/>
  <c r="H1004" i="1"/>
  <c r="AT1004" i="1" s="1"/>
  <c r="AQ1004" i="1"/>
  <c r="AE1004" i="1"/>
  <c r="S1004" i="1"/>
  <c r="G1004" i="1"/>
  <c r="AL1004" i="1"/>
  <c r="Z1004" i="1"/>
  <c r="N1004" i="1"/>
  <c r="AY1004" i="1"/>
  <c r="AH1004" i="1"/>
  <c r="AG1004" i="1"/>
  <c r="O1004" i="1"/>
  <c r="P1004" i="1" s="1"/>
  <c r="AD1004" i="1"/>
  <c r="M1004" i="1"/>
  <c r="K1004" i="1"/>
  <c r="L1004" i="1" s="1"/>
  <c r="AB1004" i="1"/>
  <c r="J1004" i="1"/>
  <c r="AS1004" i="1"/>
  <c r="AA1004" i="1"/>
  <c r="I1004" i="1"/>
  <c r="AP1004" i="1"/>
  <c r="Y1004" i="1"/>
  <c r="F1004" i="1"/>
  <c r="AO1004" i="1"/>
  <c r="W1004" i="1"/>
  <c r="E1004" i="1"/>
  <c r="AN1004" i="1"/>
  <c r="V1004" i="1"/>
  <c r="D1004" i="1"/>
  <c r="AM1004" i="1"/>
  <c r="U1004" i="1"/>
  <c r="AK1004" i="1"/>
  <c r="R1004" i="1"/>
  <c r="AI1004" i="1"/>
  <c r="Q1004" i="1"/>
  <c r="AQ982" i="1"/>
  <c r="AE982" i="1"/>
  <c r="S982" i="1"/>
  <c r="G982" i="1"/>
  <c r="AP982" i="1"/>
  <c r="AD982" i="1"/>
  <c r="R982" i="1"/>
  <c r="F982" i="1"/>
  <c r="AN982" i="1"/>
  <c r="AB982" i="1"/>
  <c r="D982" i="1"/>
  <c r="AY982" i="1"/>
  <c r="AM982" i="1"/>
  <c r="AA982" i="1"/>
  <c r="O982" i="1"/>
  <c r="P982" i="1" s="1"/>
  <c r="AL982" i="1"/>
  <c r="Z982" i="1"/>
  <c r="N982" i="1"/>
  <c r="AK982" i="1"/>
  <c r="Y982" i="1"/>
  <c r="M982" i="1"/>
  <c r="AJ982" i="1"/>
  <c r="X982" i="1"/>
  <c r="AI982" i="1"/>
  <c r="W982" i="1"/>
  <c r="K982" i="1"/>
  <c r="L982" i="1" s="1"/>
  <c r="AH982" i="1"/>
  <c r="V982" i="1"/>
  <c r="J982" i="1"/>
  <c r="AS982" i="1"/>
  <c r="AG982" i="1"/>
  <c r="U982" i="1"/>
  <c r="I982" i="1"/>
  <c r="AR982" i="1"/>
  <c r="AO982" i="1"/>
  <c r="AF982" i="1"/>
  <c r="T982" i="1"/>
  <c r="Q982" i="1"/>
  <c r="H982" i="1"/>
  <c r="AT982" i="1" s="1"/>
  <c r="E982" i="1"/>
  <c r="AY990" i="1"/>
  <c r="AM990" i="1"/>
  <c r="AA990" i="1"/>
  <c r="O990" i="1"/>
  <c r="P990" i="1" s="1"/>
  <c r="AL990" i="1"/>
  <c r="Z990" i="1"/>
  <c r="N990" i="1"/>
  <c r="AK990" i="1"/>
  <c r="Y990" i="1"/>
  <c r="M990" i="1"/>
  <c r="AJ990" i="1"/>
  <c r="X990" i="1"/>
  <c r="AI990" i="1"/>
  <c r="W990" i="1"/>
  <c r="K990" i="1"/>
  <c r="L990" i="1" s="1"/>
  <c r="AH990" i="1"/>
  <c r="V990" i="1"/>
  <c r="J990" i="1"/>
  <c r="AS990" i="1"/>
  <c r="AG990" i="1"/>
  <c r="U990" i="1"/>
  <c r="I990" i="1"/>
  <c r="AR990" i="1"/>
  <c r="AF990" i="1"/>
  <c r="T990" i="1"/>
  <c r="H990" i="1"/>
  <c r="AT990" i="1" s="1"/>
  <c r="AQ990" i="1"/>
  <c r="AE990" i="1"/>
  <c r="S990" i="1"/>
  <c r="G990" i="1"/>
  <c r="AP990" i="1"/>
  <c r="AD990" i="1"/>
  <c r="R990" i="1"/>
  <c r="F990" i="1"/>
  <c r="AO990" i="1"/>
  <c r="Q990" i="1"/>
  <c r="E990" i="1"/>
  <c r="AN990" i="1"/>
  <c r="AB990" i="1"/>
  <c r="D990" i="1"/>
  <c r="AN1028" i="1"/>
  <c r="AB1028" i="1"/>
  <c r="D1028" i="1"/>
  <c r="AJ1028" i="1"/>
  <c r="X1028" i="1"/>
  <c r="AI1028" i="1"/>
  <c r="W1028" i="1"/>
  <c r="K1028" i="1"/>
  <c r="L1028" i="1" s="1"/>
  <c r="AQ1028" i="1"/>
  <c r="AA1028" i="1"/>
  <c r="J1028" i="1"/>
  <c r="AP1028" i="1"/>
  <c r="Z1028" i="1"/>
  <c r="I1028" i="1"/>
  <c r="AM1028" i="1"/>
  <c r="V1028" i="1"/>
  <c r="G1028" i="1"/>
  <c r="AL1028" i="1"/>
  <c r="U1028" i="1"/>
  <c r="F1028" i="1"/>
  <c r="AK1028" i="1"/>
  <c r="T1028" i="1"/>
  <c r="E1028" i="1"/>
  <c r="AY1028" i="1"/>
  <c r="AH1028" i="1"/>
  <c r="S1028" i="1"/>
  <c r="AG1028" i="1"/>
  <c r="R1028" i="1"/>
  <c r="AF1028" i="1"/>
  <c r="Q1028" i="1"/>
  <c r="AE1028" i="1"/>
  <c r="O1028" i="1"/>
  <c r="P1028" i="1" s="1"/>
  <c r="AS1028" i="1"/>
  <c r="AD1028" i="1"/>
  <c r="N1028" i="1"/>
  <c r="AR1028" i="1"/>
  <c r="AO1028" i="1"/>
  <c r="Y1028" i="1"/>
  <c r="M1028" i="1"/>
  <c r="H1028" i="1"/>
  <c r="AT1028" i="1" s="1"/>
  <c r="AJ1042" i="1"/>
  <c r="X1042" i="1"/>
  <c r="AI1042" i="1"/>
  <c r="W1042" i="1"/>
  <c r="K1042" i="1"/>
  <c r="L1042" i="1" s="1"/>
  <c r="AH1042" i="1"/>
  <c r="V1042" i="1"/>
  <c r="J1042" i="1"/>
  <c r="AS1042" i="1"/>
  <c r="AG1042" i="1"/>
  <c r="U1042" i="1"/>
  <c r="I1042" i="1"/>
  <c r="AR1042" i="1"/>
  <c r="AF1042" i="1"/>
  <c r="T1042" i="1"/>
  <c r="H1042" i="1"/>
  <c r="AT1042" i="1" s="1"/>
  <c r="AQ1042" i="1"/>
  <c r="AE1042" i="1"/>
  <c r="S1042" i="1"/>
  <c r="G1042" i="1"/>
  <c r="AP1042" i="1"/>
  <c r="AD1042" i="1"/>
  <c r="R1042" i="1"/>
  <c r="F1042" i="1"/>
  <c r="AO1042" i="1"/>
  <c r="Q1042" i="1"/>
  <c r="E1042" i="1"/>
  <c r="AN1042" i="1"/>
  <c r="AB1042" i="1"/>
  <c r="D1042" i="1"/>
  <c r="AY1042" i="1"/>
  <c r="AM1042" i="1"/>
  <c r="AA1042" i="1"/>
  <c r="O1042" i="1"/>
  <c r="P1042" i="1" s="1"/>
  <c r="AL1042" i="1"/>
  <c r="Z1042" i="1"/>
  <c r="N1042" i="1"/>
  <c r="Y1042" i="1"/>
  <c r="AK1042" i="1"/>
  <c r="M1042" i="1"/>
  <c r="AP1033" i="1"/>
  <c r="AD1033" i="1"/>
  <c r="R1033" i="1"/>
  <c r="F1033" i="1"/>
  <c r="AO1033" i="1"/>
  <c r="Q1033" i="1"/>
  <c r="E1033" i="1"/>
  <c r="AN1033" i="1"/>
  <c r="AB1033" i="1"/>
  <c r="D1033" i="1"/>
  <c r="AY1033" i="1"/>
  <c r="AM1033" i="1"/>
  <c r="AA1033" i="1"/>
  <c r="O1033" i="1"/>
  <c r="P1033" i="1" s="1"/>
  <c r="AL1033" i="1"/>
  <c r="Z1033" i="1"/>
  <c r="N1033" i="1"/>
  <c r="AK1033" i="1"/>
  <c r="Y1033" i="1"/>
  <c r="M1033" i="1"/>
  <c r="AJ1033" i="1"/>
  <c r="X1033" i="1"/>
  <c r="AI1033" i="1"/>
  <c r="W1033" i="1"/>
  <c r="K1033" i="1"/>
  <c r="L1033" i="1" s="1"/>
  <c r="AH1033" i="1"/>
  <c r="V1033" i="1"/>
  <c r="J1033" i="1"/>
  <c r="AS1033" i="1"/>
  <c r="AG1033" i="1"/>
  <c r="U1033" i="1"/>
  <c r="I1033" i="1"/>
  <c r="AR1033" i="1"/>
  <c r="AF1033" i="1"/>
  <c r="T1033" i="1"/>
  <c r="H1033" i="1"/>
  <c r="AT1033" i="1" s="1"/>
  <c r="AQ1033" i="1"/>
  <c r="AE1033" i="1"/>
  <c r="S1033" i="1"/>
  <c r="G1033" i="1"/>
  <c r="AP1070" i="1"/>
  <c r="AD1070" i="1"/>
  <c r="R1070" i="1"/>
  <c r="F1070" i="1"/>
  <c r="AO1070" i="1"/>
  <c r="AN1070" i="1"/>
  <c r="AY1070" i="1"/>
  <c r="AM1070" i="1"/>
  <c r="AA1070" i="1"/>
  <c r="AL1070" i="1"/>
  <c r="X1070" i="1"/>
  <c r="K1070" i="1"/>
  <c r="L1070" i="1" s="1"/>
  <c r="AK1070" i="1"/>
  <c r="W1070" i="1"/>
  <c r="J1070" i="1"/>
  <c r="AJ1070" i="1"/>
  <c r="V1070" i="1"/>
  <c r="I1070" i="1"/>
  <c r="AI1070" i="1"/>
  <c r="U1070" i="1"/>
  <c r="H1070" i="1"/>
  <c r="AT1070" i="1" s="1"/>
  <c r="AH1070" i="1"/>
  <c r="T1070" i="1"/>
  <c r="G1070" i="1"/>
  <c r="AG1070" i="1"/>
  <c r="S1070" i="1"/>
  <c r="E1070" i="1"/>
  <c r="AF1070" i="1"/>
  <c r="Q1070" i="1"/>
  <c r="D1070" i="1"/>
  <c r="AE1070" i="1"/>
  <c r="O1070" i="1"/>
  <c r="P1070" i="1" s="1"/>
  <c r="AS1070" i="1"/>
  <c r="AB1070" i="1"/>
  <c r="N1070" i="1"/>
  <c r="AR1070" i="1"/>
  <c r="Z1070" i="1"/>
  <c r="M1070" i="1"/>
  <c r="AQ1070" i="1"/>
  <c r="Y1070" i="1"/>
  <c r="AY1045" i="1"/>
  <c r="AM1045" i="1"/>
  <c r="AA1045" i="1"/>
  <c r="O1045" i="1"/>
  <c r="P1045" i="1" s="1"/>
  <c r="AL1045" i="1"/>
  <c r="Y1045" i="1"/>
  <c r="AK1045" i="1"/>
  <c r="X1045" i="1"/>
  <c r="K1045" i="1"/>
  <c r="L1045" i="1" s="1"/>
  <c r="AJ1045" i="1"/>
  <c r="W1045" i="1"/>
  <c r="J1045" i="1"/>
  <c r="AI1045" i="1"/>
  <c r="V1045" i="1"/>
  <c r="I1045" i="1"/>
  <c r="AH1045" i="1"/>
  <c r="U1045" i="1"/>
  <c r="H1045" i="1"/>
  <c r="AT1045" i="1" s="1"/>
  <c r="AG1045" i="1"/>
  <c r="T1045" i="1"/>
  <c r="G1045" i="1"/>
  <c r="AS1045" i="1"/>
  <c r="AF1045" i="1"/>
  <c r="S1045" i="1"/>
  <c r="F1045" i="1"/>
  <c r="AR1045" i="1"/>
  <c r="AE1045" i="1"/>
  <c r="R1045" i="1"/>
  <c r="E1045" i="1"/>
  <c r="AQ1045" i="1"/>
  <c r="AD1045" i="1"/>
  <c r="Q1045" i="1"/>
  <c r="D1045" i="1"/>
  <c r="AP1045" i="1"/>
  <c r="AO1045" i="1"/>
  <c r="AB1045" i="1"/>
  <c r="N1045" i="1"/>
  <c r="AN1045" i="1"/>
  <c r="Z1045" i="1"/>
  <c r="M1045" i="1"/>
  <c r="AR1075" i="1"/>
  <c r="AF1075" i="1"/>
  <c r="T1075" i="1"/>
  <c r="H1075" i="1"/>
  <c r="AT1075" i="1" s="1"/>
  <c r="AQ1075" i="1"/>
  <c r="AE1075" i="1"/>
  <c r="S1075" i="1"/>
  <c r="G1075" i="1"/>
  <c r="AP1075" i="1"/>
  <c r="AD1075" i="1"/>
  <c r="R1075" i="1"/>
  <c r="F1075" i="1"/>
  <c r="AO1075" i="1"/>
  <c r="Q1075" i="1"/>
  <c r="E1075" i="1"/>
  <c r="AN1075" i="1"/>
  <c r="AB1075" i="1"/>
  <c r="D1075" i="1"/>
  <c r="AY1075" i="1"/>
  <c r="AM1075" i="1"/>
  <c r="AA1075" i="1"/>
  <c r="O1075" i="1"/>
  <c r="P1075" i="1" s="1"/>
  <c r="AL1075" i="1"/>
  <c r="Z1075" i="1"/>
  <c r="N1075" i="1"/>
  <c r="AK1075" i="1"/>
  <c r="Y1075" i="1"/>
  <c r="M1075" i="1"/>
  <c r="AJ1075" i="1"/>
  <c r="X1075" i="1"/>
  <c r="AI1075" i="1"/>
  <c r="W1075" i="1"/>
  <c r="K1075" i="1"/>
  <c r="L1075" i="1" s="1"/>
  <c r="AH1075" i="1"/>
  <c r="V1075" i="1"/>
  <c r="J1075" i="1"/>
  <c r="U1075" i="1"/>
  <c r="I1075" i="1"/>
  <c r="AS1075" i="1"/>
  <c r="AG1075" i="1"/>
  <c r="AN1077" i="1"/>
  <c r="AB1077" i="1"/>
  <c r="D1077" i="1"/>
  <c r="AY1077" i="1"/>
  <c r="AM1077" i="1"/>
  <c r="AA1077" i="1"/>
  <c r="O1077" i="1"/>
  <c r="P1077" i="1" s="1"/>
  <c r="AL1077" i="1"/>
  <c r="Z1077" i="1"/>
  <c r="N1077" i="1"/>
  <c r="AK1077" i="1"/>
  <c r="Y1077" i="1"/>
  <c r="M1077" i="1"/>
  <c r="AJ1077" i="1"/>
  <c r="X1077" i="1"/>
  <c r="AI1077" i="1"/>
  <c r="W1077" i="1"/>
  <c r="K1077" i="1"/>
  <c r="L1077" i="1" s="1"/>
  <c r="AH1077" i="1"/>
  <c r="V1077" i="1"/>
  <c r="J1077" i="1"/>
  <c r="AS1077" i="1"/>
  <c r="AG1077" i="1"/>
  <c r="U1077" i="1"/>
  <c r="I1077" i="1"/>
  <c r="AR1077" i="1"/>
  <c r="AF1077" i="1"/>
  <c r="T1077" i="1"/>
  <c r="H1077" i="1"/>
  <c r="AT1077" i="1" s="1"/>
  <c r="AQ1077" i="1"/>
  <c r="AE1077" i="1"/>
  <c r="S1077" i="1"/>
  <c r="G1077" i="1"/>
  <c r="AP1077" i="1"/>
  <c r="AD1077" i="1"/>
  <c r="R1077" i="1"/>
  <c r="F1077" i="1"/>
  <c r="E1077" i="1"/>
  <c r="AO1077" i="1"/>
  <c r="Q1077" i="1"/>
  <c r="AP1101" i="1"/>
  <c r="AD1101" i="1"/>
  <c r="R1101" i="1"/>
  <c r="F1101" i="1"/>
  <c r="AO1101" i="1"/>
  <c r="Q1101" i="1"/>
  <c r="E1101" i="1"/>
  <c r="AN1101" i="1"/>
  <c r="AB1101" i="1"/>
  <c r="D1101" i="1"/>
  <c r="AY1101" i="1"/>
  <c r="AM1101" i="1"/>
  <c r="AA1101" i="1"/>
  <c r="O1101" i="1"/>
  <c r="P1101" i="1" s="1"/>
  <c r="AL1101" i="1"/>
  <c r="Z1101" i="1"/>
  <c r="N1101" i="1"/>
  <c r="AK1101" i="1"/>
  <c r="Y1101" i="1"/>
  <c r="M1101" i="1"/>
  <c r="AJ1101" i="1"/>
  <c r="X1101" i="1"/>
  <c r="AI1101" i="1"/>
  <c r="W1101" i="1"/>
  <c r="K1101" i="1"/>
  <c r="L1101" i="1" s="1"/>
  <c r="AH1101" i="1"/>
  <c r="V1101" i="1"/>
  <c r="J1101" i="1"/>
  <c r="AS1101" i="1"/>
  <c r="AG1101" i="1"/>
  <c r="U1101" i="1"/>
  <c r="I1101" i="1"/>
  <c r="AR1101" i="1"/>
  <c r="AF1101" i="1"/>
  <c r="T1101" i="1"/>
  <c r="H1101" i="1"/>
  <c r="AT1101" i="1" s="1"/>
  <c r="AQ1101" i="1"/>
  <c r="AE1101" i="1"/>
  <c r="S1101" i="1"/>
  <c r="G1101" i="1"/>
  <c r="AS1132" i="1"/>
  <c r="AG1132" i="1"/>
  <c r="U1132" i="1"/>
  <c r="I1132" i="1"/>
  <c r="AQ1132" i="1"/>
  <c r="AM1132" i="1"/>
  <c r="Z1132" i="1"/>
  <c r="M1132" i="1"/>
  <c r="AL1132" i="1"/>
  <c r="Y1132" i="1"/>
  <c r="AY1132" i="1"/>
  <c r="AK1132" i="1"/>
  <c r="X1132" i="1"/>
  <c r="K1132" i="1"/>
  <c r="L1132" i="1" s="1"/>
  <c r="AJ1132" i="1"/>
  <c r="W1132" i="1"/>
  <c r="J1132" i="1"/>
  <c r="AI1132" i="1"/>
  <c r="V1132" i="1"/>
  <c r="H1132" i="1"/>
  <c r="AT1132" i="1" s="1"/>
  <c r="AH1132" i="1"/>
  <c r="T1132" i="1"/>
  <c r="G1132" i="1"/>
  <c r="AF1132" i="1"/>
  <c r="S1132" i="1"/>
  <c r="F1132" i="1"/>
  <c r="AE1132" i="1"/>
  <c r="R1132" i="1"/>
  <c r="E1132" i="1"/>
  <c r="AR1132" i="1"/>
  <c r="AD1132" i="1"/>
  <c r="Q1132" i="1"/>
  <c r="D1132" i="1"/>
  <c r="AP1132" i="1"/>
  <c r="AO1132" i="1"/>
  <c r="AB1132" i="1"/>
  <c r="O1132" i="1"/>
  <c r="P1132" i="1" s="1"/>
  <c r="AN1132" i="1"/>
  <c r="AA1132" i="1"/>
  <c r="N1132" i="1"/>
  <c r="AQ1133" i="1"/>
  <c r="AE1133" i="1"/>
  <c r="S1133" i="1"/>
  <c r="G1133" i="1"/>
  <c r="AO1133" i="1"/>
  <c r="Q1133" i="1"/>
  <c r="E1133" i="1"/>
  <c r="AN1133" i="1"/>
  <c r="AF1133" i="1"/>
  <c r="R1133" i="1"/>
  <c r="AD1133" i="1"/>
  <c r="AS1133" i="1"/>
  <c r="O1133" i="1"/>
  <c r="P1133" i="1" s="1"/>
  <c r="AR1133" i="1"/>
  <c r="AB1133" i="1"/>
  <c r="N1133" i="1"/>
  <c r="AP1133" i="1"/>
  <c r="AA1133" i="1"/>
  <c r="M1133" i="1"/>
  <c r="AM1133" i="1"/>
  <c r="Z1133" i="1"/>
  <c r="AL1133" i="1"/>
  <c r="Y1133" i="1"/>
  <c r="K1133" i="1"/>
  <c r="L1133" i="1" s="1"/>
  <c r="AK1133" i="1"/>
  <c r="X1133" i="1"/>
  <c r="J1133" i="1"/>
  <c r="AY1133" i="1"/>
  <c r="AJ1133" i="1"/>
  <c r="W1133" i="1"/>
  <c r="I1133" i="1"/>
  <c r="AI1133" i="1"/>
  <c r="V1133" i="1"/>
  <c r="H1133" i="1"/>
  <c r="AT1133" i="1" s="1"/>
  <c r="AH1133" i="1"/>
  <c r="U1133" i="1"/>
  <c r="F1133" i="1"/>
  <c r="T1133" i="1"/>
  <c r="D1133" i="1"/>
  <c r="AG1133" i="1"/>
  <c r="AH1148" i="1"/>
  <c r="V1148" i="1"/>
  <c r="J1148" i="1"/>
  <c r="AJ1148" i="1"/>
  <c r="W1148" i="1"/>
  <c r="I1148" i="1"/>
  <c r="AI1148" i="1"/>
  <c r="U1148" i="1"/>
  <c r="H1148" i="1"/>
  <c r="AT1148" i="1" s="1"/>
  <c r="AG1148" i="1"/>
  <c r="T1148" i="1"/>
  <c r="G1148" i="1"/>
  <c r="AS1148" i="1"/>
  <c r="AF1148" i="1"/>
  <c r="S1148" i="1"/>
  <c r="F1148" i="1"/>
  <c r="AR1148" i="1"/>
  <c r="AE1148" i="1"/>
  <c r="R1148" i="1"/>
  <c r="E1148" i="1"/>
  <c r="AQ1148" i="1"/>
  <c r="AD1148" i="1"/>
  <c r="Q1148" i="1"/>
  <c r="D1148" i="1"/>
  <c r="AP1148" i="1"/>
  <c r="AO1148" i="1"/>
  <c r="AB1148" i="1"/>
  <c r="O1148" i="1"/>
  <c r="P1148" i="1" s="1"/>
  <c r="AN1148" i="1"/>
  <c r="AA1148" i="1"/>
  <c r="N1148" i="1"/>
  <c r="AM1148" i="1"/>
  <c r="Z1148" i="1"/>
  <c r="M1148" i="1"/>
  <c r="AY1148" i="1"/>
  <c r="AL1148" i="1"/>
  <c r="Y1148" i="1"/>
  <c r="AK1148" i="1"/>
  <c r="X1148" i="1"/>
  <c r="K1148" i="1"/>
  <c r="L1148" i="1" s="1"/>
  <c r="AY1135" i="1"/>
  <c r="AM1135" i="1"/>
  <c r="AA1135" i="1"/>
  <c r="O1135" i="1"/>
  <c r="P1135" i="1" s="1"/>
  <c r="AL1135" i="1"/>
  <c r="Z1135" i="1"/>
  <c r="N1135" i="1"/>
  <c r="AK1135" i="1"/>
  <c r="Y1135" i="1"/>
  <c r="M1135" i="1"/>
  <c r="AJ1135" i="1"/>
  <c r="X1135" i="1"/>
  <c r="AI1135" i="1"/>
  <c r="W1135" i="1"/>
  <c r="K1135" i="1"/>
  <c r="L1135" i="1" s="1"/>
  <c r="AH1135" i="1"/>
  <c r="V1135" i="1"/>
  <c r="J1135" i="1"/>
  <c r="AS1135" i="1"/>
  <c r="AG1135" i="1"/>
  <c r="U1135" i="1"/>
  <c r="I1135" i="1"/>
  <c r="AR1135" i="1"/>
  <c r="AF1135" i="1"/>
  <c r="T1135" i="1"/>
  <c r="H1135" i="1"/>
  <c r="AT1135" i="1" s="1"/>
  <c r="AQ1135" i="1"/>
  <c r="AE1135" i="1"/>
  <c r="S1135" i="1"/>
  <c r="G1135" i="1"/>
  <c r="AO1135" i="1"/>
  <c r="Q1135" i="1"/>
  <c r="E1135" i="1"/>
  <c r="AB1135" i="1"/>
  <c r="R1135" i="1"/>
  <c r="F1135" i="1"/>
  <c r="D1135" i="1"/>
  <c r="AP1135" i="1"/>
  <c r="AN1135" i="1"/>
  <c r="AD1135" i="1"/>
  <c r="AP1156" i="1"/>
  <c r="AD1156" i="1"/>
  <c r="R1156" i="1"/>
  <c r="F1156" i="1"/>
  <c r="AO1156" i="1"/>
  <c r="Q1156" i="1"/>
  <c r="E1156" i="1"/>
  <c r="AN1156" i="1"/>
  <c r="AB1156" i="1"/>
  <c r="D1156" i="1"/>
  <c r="AY1156" i="1"/>
  <c r="AM1156" i="1"/>
  <c r="AA1156" i="1"/>
  <c r="O1156" i="1"/>
  <c r="P1156" i="1" s="1"/>
  <c r="AL1156" i="1"/>
  <c r="Z1156" i="1"/>
  <c r="N1156" i="1"/>
  <c r="AK1156" i="1"/>
  <c r="Y1156" i="1"/>
  <c r="M1156" i="1"/>
  <c r="AJ1156" i="1"/>
  <c r="X1156" i="1"/>
  <c r="AI1156" i="1"/>
  <c r="W1156" i="1"/>
  <c r="K1156" i="1"/>
  <c r="L1156" i="1" s="1"/>
  <c r="AH1156" i="1"/>
  <c r="V1156" i="1"/>
  <c r="J1156" i="1"/>
  <c r="AR1156" i="1"/>
  <c r="AF1156" i="1"/>
  <c r="T1156" i="1"/>
  <c r="H1156" i="1"/>
  <c r="AT1156" i="1" s="1"/>
  <c r="U1156" i="1"/>
  <c r="S1156" i="1"/>
  <c r="I1156" i="1"/>
  <c r="G1156" i="1"/>
  <c r="AS1156" i="1"/>
  <c r="AQ1156" i="1"/>
  <c r="AG1156" i="1"/>
  <c r="AE1156" i="1"/>
  <c r="AS1178" i="1"/>
  <c r="AG1178" i="1"/>
  <c r="U1178" i="1"/>
  <c r="I1178" i="1"/>
  <c r="AR1178" i="1"/>
  <c r="AF1178" i="1"/>
  <c r="T1178" i="1"/>
  <c r="H1178" i="1"/>
  <c r="AT1178" i="1" s="1"/>
  <c r="AQ1178" i="1"/>
  <c r="AE1178" i="1"/>
  <c r="S1178" i="1"/>
  <c r="G1178" i="1"/>
  <c r="AP1178" i="1"/>
  <c r="AD1178" i="1"/>
  <c r="R1178" i="1"/>
  <c r="F1178" i="1"/>
  <c r="AO1178" i="1"/>
  <c r="Q1178" i="1"/>
  <c r="E1178" i="1"/>
  <c r="AN1178" i="1"/>
  <c r="AB1178" i="1"/>
  <c r="D1178" i="1"/>
  <c r="AY1178" i="1"/>
  <c r="AM1178" i="1"/>
  <c r="AA1178" i="1"/>
  <c r="O1178" i="1"/>
  <c r="P1178" i="1" s="1"/>
  <c r="AL1178" i="1"/>
  <c r="Z1178" i="1"/>
  <c r="N1178" i="1"/>
  <c r="AK1178" i="1"/>
  <c r="Y1178" i="1"/>
  <c r="M1178" i="1"/>
  <c r="AJ1178" i="1"/>
  <c r="X1178" i="1"/>
  <c r="AI1178" i="1"/>
  <c r="W1178" i="1"/>
  <c r="K1178" i="1"/>
  <c r="L1178" i="1" s="1"/>
  <c r="AH1178" i="1"/>
  <c r="V1178" i="1"/>
  <c r="J1178" i="1"/>
  <c r="AH1189" i="1"/>
  <c r="V1189" i="1"/>
  <c r="J1189" i="1"/>
  <c r="AS1189" i="1"/>
  <c r="AG1189" i="1"/>
  <c r="U1189" i="1"/>
  <c r="I1189" i="1"/>
  <c r="AR1189" i="1"/>
  <c r="AF1189" i="1"/>
  <c r="T1189" i="1"/>
  <c r="H1189" i="1"/>
  <c r="AT1189" i="1" s="1"/>
  <c r="AQ1189" i="1"/>
  <c r="AE1189" i="1"/>
  <c r="S1189" i="1"/>
  <c r="G1189" i="1"/>
  <c r="AP1189" i="1"/>
  <c r="AD1189" i="1"/>
  <c r="R1189" i="1"/>
  <c r="F1189" i="1"/>
  <c r="AO1189" i="1"/>
  <c r="Q1189" i="1"/>
  <c r="E1189" i="1"/>
  <c r="AN1189" i="1"/>
  <c r="AB1189" i="1"/>
  <c r="D1189" i="1"/>
  <c r="AY1189" i="1"/>
  <c r="AM1189" i="1"/>
  <c r="AA1189" i="1"/>
  <c r="O1189" i="1"/>
  <c r="P1189" i="1" s="1"/>
  <c r="AL1189" i="1"/>
  <c r="Z1189" i="1"/>
  <c r="N1189" i="1"/>
  <c r="AK1189" i="1"/>
  <c r="Y1189" i="1"/>
  <c r="M1189" i="1"/>
  <c r="AJ1189" i="1"/>
  <c r="AI1189" i="1"/>
  <c r="X1189" i="1"/>
  <c r="W1189" i="1"/>
  <c r="K1189" i="1"/>
  <c r="L1189" i="1" s="1"/>
  <c r="AD22" i="1"/>
  <c r="F22" i="1"/>
  <c r="AO22" i="1"/>
  <c r="E22" i="1"/>
  <c r="AK22" i="1"/>
  <c r="AJ22" i="1"/>
  <c r="W22" i="1"/>
  <c r="AE22" i="1"/>
  <c r="G22" i="1"/>
  <c r="I22" i="1" s="1"/>
  <c r="AL22" i="1"/>
  <c r="H22" i="1"/>
  <c r="AT22" i="1" s="1"/>
  <c r="AA22" i="1"/>
  <c r="Z22" i="1" s="1"/>
  <c r="AS22" i="1"/>
  <c r="AN22" i="1"/>
  <c r="AM22" i="1"/>
  <c r="AL36" i="1"/>
  <c r="AK36" i="1"/>
  <c r="AJ36" i="1"/>
  <c r="W36" i="1"/>
  <c r="AS36" i="1"/>
  <c r="I36" i="1"/>
  <c r="H36" i="1"/>
  <c r="AT36" i="1" s="1"/>
  <c r="AE36" i="1"/>
  <c r="G36" i="1"/>
  <c r="AN36" i="1"/>
  <c r="AM36" i="1"/>
  <c r="AA36" i="1"/>
  <c r="Z36" i="1" s="1"/>
  <c r="AO36" i="1"/>
  <c r="AD36" i="1"/>
  <c r="F36" i="1"/>
  <c r="E36" i="1"/>
  <c r="AP109" i="1"/>
  <c r="AD109" i="1"/>
  <c r="R109" i="1"/>
  <c r="F109" i="1"/>
  <c r="AO109" i="1"/>
  <c r="Q109" i="1"/>
  <c r="E109" i="1"/>
  <c r="AK109" i="1"/>
  <c r="Y109" i="1"/>
  <c r="M109" i="1"/>
  <c r="AJ109" i="1"/>
  <c r="X109" i="1"/>
  <c r="AI109" i="1"/>
  <c r="W109" i="1"/>
  <c r="K109" i="1"/>
  <c r="L109" i="1" s="1"/>
  <c r="AQ109" i="1"/>
  <c r="AE109" i="1"/>
  <c r="S109" i="1"/>
  <c r="G109" i="1"/>
  <c r="Z109" i="1"/>
  <c r="AS109" i="1"/>
  <c r="V109" i="1"/>
  <c r="AR109" i="1"/>
  <c r="U109" i="1"/>
  <c r="AN109" i="1"/>
  <c r="T109" i="1"/>
  <c r="AM109" i="1"/>
  <c r="AL109" i="1"/>
  <c r="O109" i="1"/>
  <c r="P109" i="1" s="1"/>
  <c r="AH109" i="1"/>
  <c r="N109" i="1"/>
  <c r="AG109" i="1"/>
  <c r="J109" i="1"/>
  <c r="AF109" i="1"/>
  <c r="I109" i="1"/>
  <c r="AY109" i="1"/>
  <c r="H109" i="1"/>
  <c r="AT109" i="1" s="1"/>
  <c r="AB109" i="1"/>
  <c r="D109" i="1"/>
  <c r="AA109" i="1"/>
  <c r="AS20" i="1"/>
  <c r="AO20" i="1"/>
  <c r="E20" i="1"/>
  <c r="AN20" i="1"/>
  <c r="AM20" i="1"/>
  <c r="AA20" i="1"/>
  <c r="W20" i="1"/>
  <c r="AL20" i="1"/>
  <c r="AK20" i="1"/>
  <c r="AJ20" i="1"/>
  <c r="AE20" i="1"/>
  <c r="H20" i="1"/>
  <c r="AT20" i="1" s="1"/>
  <c r="AD20" i="1"/>
  <c r="G20" i="1"/>
  <c r="I20" i="1" s="1"/>
  <c r="F20" i="1"/>
  <c r="AH92" i="1"/>
  <c r="V92" i="1"/>
  <c r="J92" i="1"/>
  <c r="AS92" i="1"/>
  <c r="AG92" i="1"/>
  <c r="U92" i="1"/>
  <c r="I92" i="1"/>
  <c r="AR92" i="1"/>
  <c r="AF92" i="1"/>
  <c r="T92" i="1"/>
  <c r="H92" i="1"/>
  <c r="AT92" i="1" s="1"/>
  <c r="AQ92" i="1"/>
  <c r="AE92" i="1"/>
  <c r="S92" i="1"/>
  <c r="G92" i="1"/>
  <c r="AP92" i="1"/>
  <c r="AD92" i="1"/>
  <c r="R92" i="1"/>
  <c r="F92" i="1"/>
  <c r="AO92" i="1"/>
  <c r="Q92" i="1"/>
  <c r="E92" i="1"/>
  <c r="AN92" i="1"/>
  <c r="AB92" i="1"/>
  <c r="D92" i="1"/>
  <c r="AY92" i="1"/>
  <c r="AM92" i="1"/>
  <c r="AA92" i="1"/>
  <c r="O92" i="1"/>
  <c r="P92" i="1" s="1"/>
  <c r="AL92" i="1"/>
  <c r="Z92" i="1"/>
  <c r="N92" i="1"/>
  <c r="AK92" i="1"/>
  <c r="Y92" i="1"/>
  <c r="M92" i="1"/>
  <c r="AJ92" i="1"/>
  <c r="X92" i="1"/>
  <c r="AI92" i="1"/>
  <c r="W92" i="1"/>
  <c r="K92" i="1"/>
  <c r="L92" i="1" s="1"/>
  <c r="AR75" i="1"/>
  <c r="AF75" i="1"/>
  <c r="T75" i="1"/>
  <c r="H75" i="1"/>
  <c r="AT75" i="1" s="1"/>
  <c r="AQ75" i="1"/>
  <c r="AE75" i="1"/>
  <c r="S75" i="1"/>
  <c r="G75" i="1"/>
  <c r="AP75" i="1"/>
  <c r="AD75" i="1"/>
  <c r="R75" i="1"/>
  <c r="F75" i="1"/>
  <c r="AO75" i="1"/>
  <c r="Q75" i="1"/>
  <c r="E75" i="1"/>
  <c r="AN75" i="1"/>
  <c r="AB75" i="1"/>
  <c r="D75" i="1"/>
  <c r="AY75" i="1"/>
  <c r="AM75" i="1"/>
  <c r="AA75" i="1"/>
  <c r="O75" i="1"/>
  <c r="P75" i="1" s="1"/>
  <c r="AL75" i="1"/>
  <c r="Z75" i="1"/>
  <c r="N75" i="1"/>
  <c r="AK75" i="1"/>
  <c r="Y75" i="1"/>
  <c r="M75" i="1"/>
  <c r="AJ75" i="1"/>
  <c r="X75" i="1"/>
  <c r="AI75" i="1"/>
  <c r="W75" i="1"/>
  <c r="K75" i="1"/>
  <c r="L75" i="1" s="1"/>
  <c r="AH75" i="1"/>
  <c r="V75" i="1"/>
  <c r="J75" i="1"/>
  <c r="AS75" i="1"/>
  <c r="AG75" i="1"/>
  <c r="U75" i="1"/>
  <c r="I75" i="1"/>
  <c r="AP82" i="1"/>
  <c r="AD82" i="1"/>
  <c r="R82" i="1"/>
  <c r="F82" i="1"/>
  <c r="AO82" i="1"/>
  <c r="Q82" i="1"/>
  <c r="E82" i="1"/>
  <c r="AN82" i="1"/>
  <c r="AB82" i="1"/>
  <c r="D82" i="1"/>
  <c r="AY82" i="1"/>
  <c r="AM82" i="1"/>
  <c r="AA82" i="1"/>
  <c r="O82" i="1"/>
  <c r="P82" i="1" s="1"/>
  <c r="AL82" i="1"/>
  <c r="Z82" i="1"/>
  <c r="N82" i="1"/>
  <c r="AK82" i="1"/>
  <c r="Y82" i="1"/>
  <c r="M82" i="1"/>
  <c r="AJ82" i="1"/>
  <c r="X82" i="1"/>
  <c r="AI82" i="1"/>
  <c r="W82" i="1"/>
  <c r="K82" i="1"/>
  <c r="L82" i="1" s="1"/>
  <c r="AH82" i="1"/>
  <c r="V82" i="1"/>
  <c r="J82" i="1"/>
  <c r="AS82" i="1"/>
  <c r="AG82" i="1"/>
  <c r="U82" i="1"/>
  <c r="I82" i="1"/>
  <c r="AR82" i="1"/>
  <c r="AF82" i="1"/>
  <c r="T82" i="1"/>
  <c r="H82" i="1"/>
  <c r="AT82" i="1" s="1"/>
  <c r="AQ82" i="1"/>
  <c r="AE82" i="1"/>
  <c r="S82" i="1"/>
  <c r="G82" i="1"/>
  <c r="AN65" i="1"/>
  <c r="AM65" i="1"/>
  <c r="AA65" i="1"/>
  <c r="AL65" i="1"/>
  <c r="AK65" i="1"/>
  <c r="AJ65" i="1"/>
  <c r="W65" i="1"/>
  <c r="AS65" i="1"/>
  <c r="H65" i="1"/>
  <c r="AT65" i="1" s="1"/>
  <c r="AE65" i="1"/>
  <c r="G65" i="1"/>
  <c r="I65" i="1" s="1"/>
  <c r="AD65" i="1"/>
  <c r="F65" i="1"/>
  <c r="AO65" i="1"/>
  <c r="E65" i="1"/>
  <c r="AL135" i="1"/>
  <c r="Z135" i="1"/>
  <c r="N135" i="1"/>
  <c r="AK135" i="1"/>
  <c r="Y135" i="1"/>
  <c r="M135" i="1"/>
  <c r="AJ135" i="1"/>
  <c r="X135" i="1"/>
  <c r="AI135" i="1"/>
  <c r="W135" i="1"/>
  <c r="K135" i="1"/>
  <c r="L135" i="1" s="1"/>
  <c r="AH135" i="1"/>
  <c r="V135" i="1"/>
  <c r="J135" i="1"/>
  <c r="AS135" i="1"/>
  <c r="AG135" i="1"/>
  <c r="U135" i="1"/>
  <c r="I135" i="1"/>
  <c r="AR135" i="1"/>
  <c r="AF135" i="1"/>
  <c r="T135" i="1"/>
  <c r="H135" i="1"/>
  <c r="AT135" i="1" s="1"/>
  <c r="AQ135" i="1"/>
  <c r="AE135" i="1"/>
  <c r="S135" i="1"/>
  <c r="G135" i="1"/>
  <c r="AP135" i="1"/>
  <c r="AD135" i="1"/>
  <c r="R135" i="1"/>
  <c r="F135" i="1"/>
  <c r="AO135" i="1"/>
  <c r="Q135" i="1"/>
  <c r="E135" i="1"/>
  <c r="AN135" i="1"/>
  <c r="AB135" i="1"/>
  <c r="D135" i="1"/>
  <c r="AY135" i="1"/>
  <c r="AM135" i="1"/>
  <c r="AA135" i="1"/>
  <c r="O135" i="1"/>
  <c r="P135" i="1" s="1"/>
  <c r="AJ142" i="1"/>
  <c r="X142" i="1"/>
  <c r="AI142" i="1"/>
  <c r="W142" i="1"/>
  <c r="K142" i="1"/>
  <c r="L142" i="1" s="1"/>
  <c r="AH142" i="1"/>
  <c r="V142" i="1"/>
  <c r="J142" i="1"/>
  <c r="AS142" i="1"/>
  <c r="AG142" i="1"/>
  <c r="U142" i="1"/>
  <c r="I142" i="1"/>
  <c r="AR142" i="1"/>
  <c r="AF142" i="1"/>
  <c r="T142" i="1"/>
  <c r="H142" i="1"/>
  <c r="AT142" i="1" s="1"/>
  <c r="AQ142" i="1"/>
  <c r="AE142" i="1"/>
  <c r="S142" i="1"/>
  <c r="G142" i="1"/>
  <c r="AP142" i="1"/>
  <c r="AD142" i="1"/>
  <c r="R142" i="1"/>
  <c r="F142" i="1"/>
  <c r="AO142" i="1"/>
  <c r="Q142" i="1"/>
  <c r="E142" i="1"/>
  <c r="AN142" i="1"/>
  <c r="AB142" i="1"/>
  <c r="D142" i="1"/>
  <c r="AY142" i="1"/>
  <c r="AM142" i="1"/>
  <c r="AA142" i="1"/>
  <c r="O142" i="1"/>
  <c r="P142" i="1" s="1"/>
  <c r="AL142" i="1"/>
  <c r="Z142" i="1"/>
  <c r="N142" i="1"/>
  <c r="AK142" i="1"/>
  <c r="Y142" i="1"/>
  <c r="M142" i="1"/>
  <c r="AH125" i="1"/>
  <c r="V125" i="1"/>
  <c r="J125" i="1"/>
  <c r="AS125" i="1"/>
  <c r="AG125" i="1"/>
  <c r="U125" i="1"/>
  <c r="I125" i="1"/>
  <c r="AR125" i="1"/>
  <c r="AF125" i="1"/>
  <c r="T125" i="1"/>
  <c r="H125" i="1"/>
  <c r="AT125" i="1" s="1"/>
  <c r="AQ125" i="1"/>
  <c r="AE125" i="1"/>
  <c r="S125" i="1"/>
  <c r="G125" i="1"/>
  <c r="AP125" i="1"/>
  <c r="AD125" i="1"/>
  <c r="R125" i="1"/>
  <c r="F125" i="1"/>
  <c r="AO125" i="1"/>
  <c r="Q125" i="1"/>
  <c r="E125" i="1"/>
  <c r="AN125" i="1"/>
  <c r="AB125" i="1"/>
  <c r="D125" i="1"/>
  <c r="AY125" i="1"/>
  <c r="AM125" i="1"/>
  <c r="AA125" i="1"/>
  <c r="O125" i="1"/>
  <c r="P125" i="1" s="1"/>
  <c r="AL125" i="1"/>
  <c r="Z125" i="1"/>
  <c r="N125" i="1"/>
  <c r="AK125" i="1"/>
  <c r="Y125" i="1"/>
  <c r="M125" i="1"/>
  <c r="AJ125" i="1"/>
  <c r="X125" i="1"/>
  <c r="AI125" i="1"/>
  <c r="W125" i="1"/>
  <c r="K125" i="1"/>
  <c r="L125" i="1" s="1"/>
  <c r="AR120" i="1"/>
  <c r="AF120" i="1"/>
  <c r="T120" i="1"/>
  <c r="H120" i="1"/>
  <c r="AT120" i="1" s="1"/>
  <c r="AQ120" i="1"/>
  <c r="AE120" i="1"/>
  <c r="S120" i="1"/>
  <c r="G120" i="1"/>
  <c r="AP120" i="1"/>
  <c r="AD120" i="1"/>
  <c r="R120" i="1"/>
  <c r="F120" i="1"/>
  <c r="AO120" i="1"/>
  <c r="Q120" i="1"/>
  <c r="E120" i="1"/>
  <c r="AN120" i="1"/>
  <c r="AB120" i="1"/>
  <c r="D120" i="1"/>
  <c r="AY120" i="1"/>
  <c r="AM120" i="1"/>
  <c r="AA120" i="1"/>
  <c r="O120" i="1"/>
  <c r="P120" i="1" s="1"/>
  <c r="AL120" i="1"/>
  <c r="Z120" i="1"/>
  <c r="N120" i="1"/>
  <c r="AK120" i="1"/>
  <c r="Y120" i="1"/>
  <c r="M120" i="1"/>
  <c r="AH120" i="1"/>
  <c r="V120" i="1"/>
  <c r="J120" i="1"/>
  <c r="AS120" i="1"/>
  <c r="AG120" i="1"/>
  <c r="U120" i="1"/>
  <c r="I120" i="1"/>
  <c r="AJ120" i="1"/>
  <c r="AI120" i="1"/>
  <c r="X120" i="1"/>
  <c r="W120" i="1"/>
  <c r="K120" i="1"/>
  <c r="L120" i="1" s="1"/>
  <c r="AP133" i="1"/>
  <c r="AD133" i="1"/>
  <c r="R133" i="1"/>
  <c r="F133" i="1"/>
  <c r="AO133" i="1"/>
  <c r="Q133" i="1"/>
  <c r="E133" i="1"/>
  <c r="AN133" i="1"/>
  <c r="AB133" i="1"/>
  <c r="D133" i="1"/>
  <c r="AY133" i="1"/>
  <c r="AM133" i="1"/>
  <c r="AA133" i="1"/>
  <c r="O133" i="1"/>
  <c r="P133" i="1" s="1"/>
  <c r="AL133" i="1"/>
  <c r="Z133" i="1"/>
  <c r="N133" i="1"/>
  <c r="AK133" i="1"/>
  <c r="Y133" i="1"/>
  <c r="M133" i="1"/>
  <c r="AJ133" i="1"/>
  <c r="X133" i="1"/>
  <c r="AI133" i="1"/>
  <c r="W133" i="1"/>
  <c r="K133" i="1"/>
  <c r="L133" i="1" s="1"/>
  <c r="AH133" i="1"/>
  <c r="V133" i="1"/>
  <c r="J133" i="1"/>
  <c r="AS133" i="1"/>
  <c r="AG133" i="1"/>
  <c r="U133" i="1"/>
  <c r="I133" i="1"/>
  <c r="AR133" i="1"/>
  <c r="AF133" i="1"/>
  <c r="T133" i="1"/>
  <c r="H133" i="1"/>
  <c r="AT133" i="1" s="1"/>
  <c r="AQ133" i="1"/>
  <c r="AE133" i="1"/>
  <c r="S133" i="1"/>
  <c r="G133" i="1"/>
  <c r="AN122" i="1"/>
  <c r="AB122" i="1"/>
  <c r="D122" i="1"/>
  <c r="AY122" i="1"/>
  <c r="AM122" i="1"/>
  <c r="AA122" i="1"/>
  <c r="O122" i="1"/>
  <c r="P122" i="1" s="1"/>
  <c r="AL122" i="1"/>
  <c r="Z122" i="1"/>
  <c r="N122" i="1"/>
  <c r="AK122" i="1"/>
  <c r="Y122" i="1"/>
  <c r="M122" i="1"/>
  <c r="AJ122" i="1"/>
  <c r="X122" i="1"/>
  <c r="AI122" i="1"/>
  <c r="W122" i="1"/>
  <c r="K122" i="1"/>
  <c r="L122" i="1" s="1"/>
  <c r="AH122" i="1"/>
  <c r="V122" i="1"/>
  <c r="J122" i="1"/>
  <c r="AS122" i="1"/>
  <c r="AG122" i="1"/>
  <c r="U122" i="1"/>
  <c r="I122" i="1"/>
  <c r="AR122" i="1"/>
  <c r="AP122" i="1"/>
  <c r="AD122" i="1"/>
  <c r="R122" i="1"/>
  <c r="F122" i="1"/>
  <c r="AO122" i="1"/>
  <c r="Q122" i="1"/>
  <c r="E122" i="1"/>
  <c r="AQ122" i="1"/>
  <c r="AF122" i="1"/>
  <c r="AE122" i="1"/>
  <c r="T122" i="1"/>
  <c r="S122" i="1"/>
  <c r="H122" i="1"/>
  <c r="AT122" i="1" s="1"/>
  <c r="G122" i="1"/>
  <c r="AK174" i="1"/>
  <c r="Y174" i="1"/>
  <c r="M174" i="1"/>
  <c r="AR174" i="1"/>
  <c r="AF174" i="1"/>
  <c r="T174" i="1"/>
  <c r="H174" i="1"/>
  <c r="AT174" i="1" s="1"/>
  <c r="AQ174" i="1"/>
  <c r="AE174" i="1"/>
  <c r="S174" i="1"/>
  <c r="G174" i="1"/>
  <c r="AP174" i="1"/>
  <c r="AD174" i="1"/>
  <c r="R174" i="1"/>
  <c r="F174" i="1"/>
  <c r="AM174" i="1"/>
  <c r="V174" i="1"/>
  <c r="AL174" i="1"/>
  <c r="U174" i="1"/>
  <c r="AJ174" i="1"/>
  <c r="Q174" i="1"/>
  <c r="AY174" i="1"/>
  <c r="AI174" i="1"/>
  <c r="AH174" i="1"/>
  <c r="O174" i="1"/>
  <c r="P174" i="1" s="1"/>
  <c r="AG174" i="1"/>
  <c r="N174" i="1"/>
  <c r="AB174" i="1"/>
  <c r="K174" i="1"/>
  <c r="L174" i="1" s="1"/>
  <c r="AA174" i="1"/>
  <c r="J174" i="1"/>
  <c r="AS174" i="1"/>
  <c r="Z174" i="1"/>
  <c r="I174" i="1"/>
  <c r="AO174" i="1"/>
  <c r="X174" i="1"/>
  <c r="E174" i="1"/>
  <c r="AN174" i="1"/>
  <c r="W174" i="1"/>
  <c r="D174" i="1"/>
  <c r="AK240" i="1"/>
  <c r="Y240" i="1"/>
  <c r="M240" i="1"/>
  <c r="AJ240" i="1"/>
  <c r="X240" i="1"/>
  <c r="AI240" i="1"/>
  <c r="W240" i="1"/>
  <c r="K240" i="1"/>
  <c r="L240" i="1" s="1"/>
  <c r="AH240" i="1"/>
  <c r="V240" i="1"/>
  <c r="J240" i="1"/>
  <c r="AS240" i="1"/>
  <c r="AG240" i="1"/>
  <c r="U240" i="1"/>
  <c r="I240" i="1"/>
  <c r="AR240" i="1"/>
  <c r="AF240" i="1"/>
  <c r="T240" i="1"/>
  <c r="H240" i="1"/>
  <c r="AT240" i="1" s="1"/>
  <c r="AQ240" i="1"/>
  <c r="AE240" i="1"/>
  <c r="S240" i="1"/>
  <c r="G240" i="1"/>
  <c r="AP240" i="1"/>
  <c r="AD240" i="1"/>
  <c r="R240" i="1"/>
  <c r="F240" i="1"/>
  <c r="AO240" i="1"/>
  <c r="Q240" i="1"/>
  <c r="E240" i="1"/>
  <c r="AN240" i="1"/>
  <c r="AB240" i="1"/>
  <c r="D240" i="1"/>
  <c r="AY240" i="1"/>
  <c r="AM240" i="1"/>
  <c r="AA240" i="1"/>
  <c r="O240" i="1"/>
  <c r="P240" i="1" s="1"/>
  <c r="AL240" i="1"/>
  <c r="Z240" i="1"/>
  <c r="N240" i="1"/>
  <c r="AI263" i="1"/>
  <c r="W263" i="1"/>
  <c r="K263" i="1"/>
  <c r="L263" i="1" s="1"/>
  <c r="AH263" i="1"/>
  <c r="V263" i="1"/>
  <c r="J263" i="1"/>
  <c r="AP263" i="1"/>
  <c r="AD263" i="1"/>
  <c r="R263" i="1"/>
  <c r="F263" i="1"/>
  <c r="AO263" i="1"/>
  <c r="Q263" i="1"/>
  <c r="E263" i="1"/>
  <c r="AN263" i="1"/>
  <c r="AB263" i="1"/>
  <c r="D263" i="1"/>
  <c r="AJ263" i="1"/>
  <c r="X263" i="1"/>
  <c r="AM263" i="1"/>
  <c r="S263" i="1"/>
  <c r="AL263" i="1"/>
  <c r="O263" i="1"/>
  <c r="P263" i="1" s="1"/>
  <c r="AK263" i="1"/>
  <c r="N263" i="1"/>
  <c r="AG263" i="1"/>
  <c r="M263" i="1"/>
  <c r="AF263" i="1"/>
  <c r="I263" i="1"/>
  <c r="AE263" i="1"/>
  <c r="H263" i="1"/>
  <c r="AT263" i="1" s="1"/>
  <c r="AY263" i="1"/>
  <c r="G263" i="1"/>
  <c r="AA263" i="1"/>
  <c r="Z263" i="1"/>
  <c r="AS263" i="1"/>
  <c r="Y263" i="1"/>
  <c r="AR263" i="1"/>
  <c r="U263" i="1"/>
  <c r="AQ263" i="1"/>
  <c r="T263" i="1"/>
  <c r="AS242" i="1"/>
  <c r="AG242" i="1"/>
  <c r="U242" i="1"/>
  <c r="I242" i="1"/>
  <c r="AR242" i="1"/>
  <c r="AF242" i="1"/>
  <c r="T242" i="1"/>
  <c r="H242" i="1"/>
  <c r="AT242" i="1" s="1"/>
  <c r="AQ242" i="1"/>
  <c r="AE242" i="1"/>
  <c r="S242" i="1"/>
  <c r="G242" i="1"/>
  <c r="AP242" i="1"/>
  <c r="AD242" i="1"/>
  <c r="R242" i="1"/>
  <c r="F242" i="1"/>
  <c r="AO242" i="1"/>
  <c r="Q242" i="1"/>
  <c r="E242" i="1"/>
  <c r="AN242" i="1"/>
  <c r="AB242" i="1"/>
  <c r="D242" i="1"/>
  <c r="AY242" i="1"/>
  <c r="AM242" i="1"/>
  <c r="AA242" i="1"/>
  <c r="O242" i="1"/>
  <c r="P242" i="1" s="1"/>
  <c r="AL242" i="1"/>
  <c r="Z242" i="1"/>
  <c r="N242" i="1"/>
  <c r="AK242" i="1"/>
  <c r="Y242" i="1"/>
  <c r="M242" i="1"/>
  <c r="AJ242" i="1"/>
  <c r="X242" i="1"/>
  <c r="AI242" i="1"/>
  <c r="W242" i="1"/>
  <c r="K242" i="1"/>
  <c r="L242" i="1" s="1"/>
  <c r="AH242" i="1"/>
  <c r="V242" i="1"/>
  <c r="J242" i="1"/>
  <c r="AQ249" i="1"/>
  <c r="AE249" i="1"/>
  <c r="S249" i="1"/>
  <c r="G249" i="1"/>
  <c r="AP249" i="1"/>
  <c r="AD249" i="1"/>
  <c r="R249" i="1"/>
  <c r="F249" i="1"/>
  <c r="AO249" i="1"/>
  <c r="Q249" i="1"/>
  <c r="E249" i="1"/>
  <c r="AN249" i="1"/>
  <c r="AB249" i="1"/>
  <c r="D249" i="1"/>
  <c r="AY249" i="1"/>
  <c r="AM249" i="1"/>
  <c r="AA249" i="1"/>
  <c r="O249" i="1"/>
  <c r="P249" i="1" s="1"/>
  <c r="AL249" i="1"/>
  <c r="Z249" i="1"/>
  <c r="N249" i="1"/>
  <c r="AK249" i="1"/>
  <c r="Y249" i="1"/>
  <c r="M249" i="1"/>
  <c r="AJ249" i="1"/>
  <c r="X249" i="1"/>
  <c r="AI249" i="1"/>
  <c r="W249" i="1"/>
  <c r="K249" i="1"/>
  <c r="L249" i="1" s="1"/>
  <c r="AH249" i="1"/>
  <c r="V249" i="1"/>
  <c r="J249" i="1"/>
  <c r="AS249" i="1"/>
  <c r="AG249" i="1"/>
  <c r="U249" i="1"/>
  <c r="I249" i="1"/>
  <c r="AR249" i="1"/>
  <c r="AF249" i="1"/>
  <c r="T249" i="1"/>
  <c r="H249" i="1"/>
  <c r="AT249" i="1" s="1"/>
  <c r="AO238" i="1"/>
  <c r="Q238" i="1"/>
  <c r="E238" i="1"/>
  <c r="AN238" i="1"/>
  <c r="AB238" i="1"/>
  <c r="D238" i="1"/>
  <c r="AY238" i="1"/>
  <c r="AM238" i="1"/>
  <c r="AA238" i="1"/>
  <c r="O238" i="1"/>
  <c r="P238" i="1" s="1"/>
  <c r="AL238" i="1"/>
  <c r="Z238" i="1"/>
  <c r="N238" i="1"/>
  <c r="AK238" i="1"/>
  <c r="Y238" i="1"/>
  <c r="M238" i="1"/>
  <c r="AJ238" i="1"/>
  <c r="X238" i="1"/>
  <c r="AI238" i="1"/>
  <c r="W238" i="1"/>
  <c r="K238" i="1"/>
  <c r="L238" i="1" s="1"/>
  <c r="AH238" i="1"/>
  <c r="V238" i="1"/>
  <c r="J238" i="1"/>
  <c r="AS238" i="1"/>
  <c r="AG238" i="1"/>
  <c r="U238" i="1"/>
  <c r="I238" i="1"/>
  <c r="AR238" i="1"/>
  <c r="AF238" i="1"/>
  <c r="T238" i="1"/>
  <c r="H238" i="1"/>
  <c r="AT238" i="1" s="1"/>
  <c r="AQ238" i="1"/>
  <c r="AE238" i="1"/>
  <c r="S238" i="1"/>
  <c r="G238" i="1"/>
  <c r="AP238" i="1"/>
  <c r="AD238" i="1"/>
  <c r="R238" i="1"/>
  <c r="F238" i="1"/>
  <c r="AY215" i="1"/>
  <c r="AM215" i="1"/>
  <c r="AA215" i="1"/>
  <c r="O215" i="1"/>
  <c r="P215" i="1" s="1"/>
  <c r="AL215" i="1"/>
  <c r="Z215" i="1"/>
  <c r="N215" i="1"/>
  <c r="AK215" i="1"/>
  <c r="Y215" i="1"/>
  <c r="M215" i="1"/>
  <c r="AJ215" i="1"/>
  <c r="X215" i="1"/>
  <c r="AI215" i="1"/>
  <c r="W215" i="1"/>
  <c r="K215" i="1"/>
  <c r="L215" i="1" s="1"/>
  <c r="AH215" i="1"/>
  <c r="V215" i="1"/>
  <c r="J215" i="1"/>
  <c r="AS215" i="1"/>
  <c r="AG215" i="1"/>
  <c r="U215" i="1"/>
  <c r="I215" i="1"/>
  <c r="AR215" i="1"/>
  <c r="AF215" i="1"/>
  <c r="T215" i="1"/>
  <c r="H215" i="1"/>
  <c r="AT215" i="1" s="1"/>
  <c r="AQ215" i="1"/>
  <c r="AE215" i="1"/>
  <c r="S215" i="1"/>
  <c r="G215" i="1"/>
  <c r="AP215" i="1"/>
  <c r="AD215" i="1"/>
  <c r="R215" i="1"/>
  <c r="F215" i="1"/>
  <c r="AO215" i="1"/>
  <c r="Q215" i="1"/>
  <c r="E215" i="1"/>
  <c r="AN215" i="1"/>
  <c r="AB215" i="1"/>
  <c r="D215" i="1"/>
  <c r="AK298" i="1"/>
  <c r="Y298" i="1"/>
  <c r="M298" i="1"/>
  <c r="AJ298" i="1"/>
  <c r="X298" i="1"/>
  <c r="AI298" i="1"/>
  <c r="W298" i="1"/>
  <c r="K298" i="1"/>
  <c r="L298" i="1" s="1"/>
  <c r="AH298" i="1"/>
  <c r="V298" i="1"/>
  <c r="J298" i="1"/>
  <c r="AS298" i="1"/>
  <c r="AG298" i="1"/>
  <c r="U298" i="1"/>
  <c r="I298" i="1"/>
  <c r="AR298" i="1"/>
  <c r="AF298" i="1"/>
  <c r="T298" i="1"/>
  <c r="H298" i="1"/>
  <c r="AT298" i="1" s="1"/>
  <c r="AQ298" i="1"/>
  <c r="AE298" i="1"/>
  <c r="S298" i="1"/>
  <c r="G298" i="1"/>
  <c r="AP298" i="1"/>
  <c r="AD298" i="1"/>
  <c r="R298" i="1"/>
  <c r="F298" i="1"/>
  <c r="AO298" i="1"/>
  <c r="Q298" i="1"/>
  <c r="E298" i="1"/>
  <c r="AN298" i="1"/>
  <c r="AB298" i="1"/>
  <c r="D298" i="1"/>
  <c r="AY298" i="1"/>
  <c r="AM298" i="1"/>
  <c r="AA298" i="1"/>
  <c r="O298" i="1"/>
  <c r="P298" i="1" s="1"/>
  <c r="AL298" i="1"/>
  <c r="Z298" i="1"/>
  <c r="N298" i="1"/>
  <c r="AI305" i="1"/>
  <c r="W305" i="1"/>
  <c r="K305" i="1"/>
  <c r="L305" i="1" s="1"/>
  <c r="AH305" i="1"/>
  <c r="V305" i="1"/>
  <c r="J305" i="1"/>
  <c r="AS305" i="1"/>
  <c r="AG305" i="1"/>
  <c r="U305" i="1"/>
  <c r="I305" i="1"/>
  <c r="AR305" i="1"/>
  <c r="AF305" i="1"/>
  <c r="T305" i="1"/>
  <c r="H305" i="1"/>
  <c r="AT305" i="1" s="1"/>
  <c r="AQ305" i="1"/>
  <c r="AE305" i="1"/>
  <c r="S305" i="1"/>
  <c r="G305" i="1"/>
  <c r="AP305" i="1"/>
  <c r="AD305" i="1"/>
  <c r="R305" i="1"/>
  <c r="F305" i="1"/>
  <c r="AO305" i="1"/>
  <c r="Q305" i="1"/>
  <c r="E305" i="1"/>
  <c r="AN305" i="1"/>
  <c r="AB305" i="1"/>
  <c r="D305" i="1"/>
  <c r="AY305" i="1"/>
  <c r="AM305" i="1"/>
  <c r="AA305" i="1"/>
  <c r="O305" i="1"/>
  <c r="P305" i="1" s="1"/>
  <c r="AL305" i="1"/>
  <c r="Z305" i="1"/>
  <c r="N305" i="1"/>
  <c r="AK305" i="1"/>
  <c r="Y305" i="1"/>
  <c r="M305" i="1"/>
  <c r="AJ305" i="1"/>
  <c r="X305" i="1"/>
  <c r="AS288" i="1"/>
  <c r="AG288" i="1"/>
  <c r="U288" i="1"/>
  <c r="I288" i="1"/>
  <c r="AR288" i="1"/>
  <c r="AF288" i="1"/>
  <c r="T288" i="1"/>
  <c r="H288" i="1"/>
  <c r="AT288" i="1" s="1"/>
  <c r="AQ288" i="1"/>
  <c r="AE288" i="1"/>
  <c r="S288" i="1"/>
  <c r="G288" i="1"/>
  <c r="AP288" i="1"/>
  <c r="AD288" i="1"/>
  <c r="R288" i="1"/>
  <c r="F288" i="1"/>
  <c r="AO288" i="1"/>
  <c r="Q288" i="1"/>
  <c r="E288" i="1"/>
  <c r="AN288" i="1"/>
  <c r="AB288" i="1"/>
  <c r="D288" i="1"/>
  <c r="AY288" i="1"/>
  <c r="AM288" i="1"/>
  <c r="AA288" i="1"/>
  <c r="O288" i="1"/>
  <c r="P288" i="1" s="1"/>
  <c r="AL288" i="1"/>
  <c r="Z288" i="1"/>
  <c r="N288" i="1"/>
  <c r="AK288" i="1"/>
  <c r="Y288" i="1"/>
  <c r="M288" i="1"/>
  <c r="AJ288" i="1"/>
  <c r="X288" i="1"/>
  <c r="AI288" i="1"/>
  <c r="W288" i="1"/>
  <c r="K288" i="1"/>
  <c r="L288" i="1" s="1"/>
  <c r="AH288" i="1"/>
  <c r="V288" i="1"/>
  <c r="J288" i="1"/>
  <c r="AQ283" i="1"/>
  <c r="AE283" i="1"/>
  <c r="S283" i="1"/>
  <c r="G283" i="1"/>
  <c r="AP283" i="1"/>
  <c r="AD283" i="1"/>
  <c r="R283" i="1"/>
  <c r="F283" i="1"/>
  <c r="AO283" i="1"/>
  <c r="Q283" i="1"/>
  <c r="E283" i="1"/>
  <c r="AN283" i="1"/>
  <c r="AB283" i="1"/>
  <c r="D283" i="1"/>
  <c r="AY283" i="1"/>
  <c r="AM283" i="1"/>
  <c r="AA283" i="1"/>
  <c r="O283" i="1"/>
  <c r="P283" i="1" s="1"/>
  <c r="AL283" i="1"/>
  <c r="Z283" i="1"/>
  <c r="N283" i="1"/>
  <c r="AK283" i="1"/>
  <c r="Y283" i="1"/>
  <c r="M283" i="1"/>
  <c r="AJ283" i="1"/>
  <c r="X283" i="1"/>
  <c r="AI283" i="1"/>
  <c r="W283" i="1"/>
  <c r="K283" i="1"/>
  <c r="L283" i="1" s="1"/>
  <c r="AH283" i="1"/>
  <c r="V283" i="1"/>
  <c r="J283" i="1"/>
  <c r="AS283" i="1"/>
  <c r="AG283" i="1"/>
  <c r="U283" i="1"/>
  <c r="I283" i="1"/>
  <c r="AR283" i="1"/>
  <c r="AF283" i="1"/>
  <c r="T283" i="1"/>
  <c r="H283" i="1"/>
  <c r="AT283" i="1" s="1"/>
  <c r="AO284" i="1"/>
  <c r="Q284" i="1"/>
  <c r="E284" i="1"/>
  <c r="AN284" i="1"/>
  <c r="AB284" i="1"/>
  <c r="D284" i="1"/>
  <c r="AY284" i="1"/>
  <c r="AM284" i="1"/>
  <c r="AA284" i="1"/>
  <c r="O284" i="1"/>
  <c r="P284" i="1" s="1"/>
  <c r="AL284" i="1"/>
  <c r="Z284" i="1"/>
  <c r="N284" i="1"/>
  <c r="AK284" i="1"/>
  <c r="Y284" i="1"/>
  <c r="M284" i="1"/>
  <c r="AJ284" i="1"/>
  <c r="X284" i="1"/>
  <c r="AI284" i="1"/>
  <c r="W284" i="1"/>
  <c r="K284" i="1"/>
  <c r="L284" i="1" s="1"/>
  <c r="AH284" i="1"/>
  <c r="V284" i="1"/>
  <c r="J284" i="1"/>
  <c r="AS284" i="1"/>
  <c r="AG284" i="1"/>
  <c r="U284" i="1"/>
  <c r="I284" i="1"/>
  <c r="AR284" i="1"/>
  <c r="AF284" i="1"/>
  <c r="T284" i="1"/>
  <c r="H284" i="1"/>
  <c r="AT284" i="1" s="1"/>
  <c r="AQ284" i="1"/>
  <c r="AE284" i="1"/>
  <c r="S284" i="1"/>
  <c r="G284" i="1"/>
  <c r="AP284" i="1"/>
  <c r="AD284" i="1"/>
  <c r="R284" i="1"/>
  <c r="F284" i="1"/>
  <c r="AY267" i="1"/>
  <c r="AM267" i="1"/>
  <c r="AA267" i="1"/>
  <c r="O267" i="1"/>
  <c r="P267" i="1" s="1"/>
  <c r="AL267" i="1"/>
  <c r="Z267" i="1"/>
  <c r="N267" i="1"/>
  <c r="AK267" i="1"/>
  <c r="Y267" i="1"/>
  <c r="M267" i="1"/>
  <c r="AJ267" i="1"/>
  <c r="X267" i="1"/>
  <c r="AI267" i="1"/>
  <c r="W267" i="1"/>
  <c r="K267" i="1"/>
  <c r="L267" i="1" s="1"/>
  <c r="AH267" i="1"/>
  <c r="V267" i="1"/>
  <c r="J267" i="1"/>
  <c r="AS267" i="1"/>
  <c r="AG267" i="1"/>
  <c r="U267" i="1"/>
  <c r="I267" i="1"/>
  <c r="AR267" i="1"/>
  <c r="AF267" i="1"/>
  <c r="T267" i="1"/>
  <c r="H267" i="1"/>
  <c r="AT267" i="1" s="1"/>
  <c r="AO267" i="1"/>
  <c r="Q267" i="1"/>
  <c r="E267" i="1"/>
  <c r="AN267" i="1"/>
  <c r="AB267" i="1"/>
  <c r="D267" i="1"/>
  <c r="R267" i="1"/>
  <c r="G267" i="1"/>
  <c r="F267" i="1"/>
  <c r="AQ267" i="1"/>
  <c r="AP267" i="1"/>
  <c r="AE267" i="1"/>
  <c r="AD267" i="1"/>
  <c r="S267" i="1"/>
  <c r="AL413" i="1"/>
  <c r="Z413" i="1"/>
  <c r="N413" i="1"/>
  <c r="AK413" i="1"/>
  <c r="Y413" i="1"/>
  <c r="M413" i="1"/>
  <c r="AJ413" i="1"/>
  <c r="X413" i="1"/>
  <c r="AR413" i="1"/>
  <c r="AF413" i="1"/>
  <c r="T413" i="1"/>
  <c r="H413" i="1"/>
  <c r="AT413" i="1" s="1"/>
  <c r="AI413" i="1"/>
  <c r="R413" i="1"/>
  <c r="AY413" i="1"/>
  <c r="AH413" i="1"/>
  <c r="Q413" i="1"/>
  <c r="AG413" i="1"/>
  <c r="AE413" i="1"/>
  <c r="O413" i="1"/>
  <c r="P413" i="1" s="1"/>
  <c r="AD413" i="1"/>
  <c r="K413" i="1"/>
  <c r="L413" i="1" s="1"/>
  <c r="J413" i="1"/>
  <c r="AS413" i="1"/>
  <c r="AB413" i="1"/>
  <c r="I413" i="1"/>
  <c r="AQ413" i="1"/>
  <c r="AA413" i="1"/>
  <c r="G413" i="1"/>
  <c r="AP413" i="1"/>
  <c r="W413" i="1"/>
  <c r="F413" i="1"/>
  <c r="AO413" i="1"/>
  <c r="V413" i="1"/>
  <c r="E413" i="1"/>
  <c r="AN413" i="1"/>
  <c r="U413" i="1"/>
  <c r="D413" i="1"/>
  <c r="AM413" i="1"/>
  <c r="S413" i="1"/>
  <c r="AK404" i="1"/>
  <c r="Y404" i="1"/>
  <c r="M404" i="1"/>
  <c r="AJ404" i="1"/>
  <c r="X404" i="1"/>
  <c r="AI404" i="1"/>
  <c r="W404" i="1"/>
  <c r="K404" i="1"/>
  <c r="L404" i="1" s="1"/>
  <c r="AH404" i="1"/>
  <c r="V404" i="1"/>
  <c r="J404" i="1"/>
  <c r="AS404" i="1"/>
  <c r="AG404" i="1"/>
  <c r="U404" i="1"/>
  <c r="I404" i="1"/>
  <c r="AR404" i="1"/>
  <c r="AF404" i="1"/>
  <c r="T404" i="1"/>
  <c r="H404" i="1"/>
  <c r="AT404" i="1" s="1"/>
  <c r="AQ404" i="1"/>
  <c r="AE404" i="1"/>
  <c r="S404" i="1"/>
  <c r="G404" i="1"/>
  <c r="AP404" i="1"/>
  <c r="AD404" i="1"/>
  <c r="R404" i="1"/>
  <c r="F404" i="1"/>
  <c r="AO404" i="1"/>
  <c r="Q404" i="1"/>
  <c r="E404" i="1"/>
  <c r="AN404" i="1"/>
  <c r="AB404" i="1"/>
  <c r="D404" i="1"/>
  <c r="AY404" i="1"/>
  <c r="AM404" i="1"/>
  <c r="AA404" i="1"/>
  <c r="O404" i="1"/>
  <c r="P404" i="1" s="1"/>
  <c r="AL404" i="1"/>
  <c r="Z404" i="1"/>
  <c r="N404" i="1"/>
  <c r="AS334" i="1"/>
  <c r="AG334" i="1"/>
  <c r="U334" i="1"/>
  <c r="I334" i="1"/>
  <c r="AR334" i="1"/>
  <c r="AF334" i="1"/>
  <c r="T334" i="1"/>
  <c r="H334" i="1"/>
  <c r="AT334" i="1" s="1"/>
  <c r="AN334" i="1"/>
  <c r="AB334" i="1"/>
  <c r="D334" i="1"/>
  <c r="AY334" i="1"/>
  <c r="AM334" i="1"/>
  <c r="AA334" i="1"/>
  <c r="O334" i="1"/>
  <c r="P334" i="1" s="1"/>
  <c r="AL334" i="1"/>
  <c r="Z334" i="1"/>
  <c r="N334" i="1"/>
  <c r="AH334" i="1"/>
  <c r="V334" i="1"/>
  <c r="J334" i="1"/>
  <c r="X334" i="1"/>
  <c r="W334" i="1"/>
  <c r="AQ334" i="1"/>
  <c r="S334" i="1"/>
  <c r="AP334" i="1"/>
  <c r="R334" i="1"/>
  <c r="AO334" i="1"/>
  <c r="Q334" i="1"/>
  <c r="AK334" i="1"/>
  <c r="M334" i="1"/>
  <c r="AJ334" i="1"/>
  <c r="AI334" i="1"/>
  <c r="K334" i="1"/>
  <c r="L334" i="1" s="1"/>
  <c r="AE334" i="1"/>
  <c r="G334" i="1"/>
  <c r="AD334" i="1"/>
  <c r="F334" i="1"/>
  <c r="E334" i="1"/>
  <c r="Y334" i="1"/>
  <c r="AS406" i="1"/>
  <c r="AG406" i="1"/>
  <c r="U406" i="1"/>
  <c r="I406" i="1"/>
  <c r="AR406" i="1"/>
  <c r="AF406" i="1"/>
  <c r="T406" i="1"/>
  <c r="H406" i="1"/>
  <c r="AT406" i="1" s="1"/>
  <c r="AQ406" i="1"/>
  <c r="AE406" i="1"/>
  <c r="S406" i="1"/>
  <c r="G406" i="1"/>
  <c r="AP406" i="1"/>
  <c r="AD406" i="1"/>
  <c r="R406" i="1"/>
  <c r="F406" i="1"/>
  <c r="AO406" i="1"/>
  <c r="Q406" i="1"/>
  <c r="E406" i="1"/>
  <c r="AN406" i="1"/>
  <c r="AB406" i="1"/>
  <c r="D406" i="1"/>
  <c r="AY406" i="1"/>
  <c r="AM406" i="1"/>
  <c r="AA406" i="1"/>
  <c r="O406" i="1"/>
  <c r="P406" i="1" s="1"/>
  <c r="AL406" i="1"/>
  <c r="Z406" i="1"/>
  <c r="N406" i="1"/>
  <c r="AK406" i="1"/>
  <c r="Y406" i="1"/>
  <c r="M406" i="1"/>
  <c r="AJ406" i="1"/>
  <c r="X406" i="1"/>
  <c r="AI406" i="1"/>
  <c r="W406" i="1"/>
  <c r="K406" i="1"/>
  <c r="L406" i="1" s="1"/>
  <c r="AH406" i="1"/>
  <c r="V406" i="1"/>
  <c r="J406" i="1"/>
  <c r="AQ401" i="1"/>
  <c r="AE401" i="1"/>
  <c r="S401" i="1"/>
  <c r="G401" i="1"/>
  <c r="AP401" i="1"/>
  <c r="AD401" i="1"/>
  <c r="R401" i="1"/>
  <c r="F401" i="1"/>
  <c r="AO401" i="1"/>
  <c r="Q401" i="1"/>
  <c r="E401" i="1"/>
  <c r="AN401" i="1"/>
  <c r="AB401" i="1"/>
  <c r="D401" i="1"/>
  <c r="AY401" i="1"/>
  <c r="AM401" i="1"/>
  <c r="AA401" i="1"/>
  <c r="O401" i="1"/>
  <c r="P401" i="1" s="1"/>
  <c r="AL401" i="1"/>
  <c r="Z401" i="1"/>
  <c r="N401" i="1"/>
  <c r="AK401" i="1"/>
  <c r="Y401" i="1"/>
  <c r="M401" i="1"/>
  <c r="AJ401" i="1"/>
  <c r="X401" i="1"/>
  <c r="AI401" i="1"/>
  <c r="W401" i="1"/>
  <c r="K401" i="1"/>
  <c r="L401" i="1" s="1"/>
  <c r="AH401" i="1"/>
  <c r="V401" i="1"/>
  <c r="J401" i="1"/>
  <c r="AS401" i="1"/>
  <c r="AG401" i="1"/>
  <c r="U401" i="1"/>
  <c r="I401" i="1"/>
  <c r="AR401" i="1"/>
  <c r="AF401" i="1"/>
  <c r="T401" i="1"/>
  <c r="H401" i="1"/>
  <c r="AT401" i="1" s="1"/>
  <c r="AO402" i="1"/>
  <c r="Q402" i="1"/>
  <c r="E402" i="1"/>
  <c r="AN402" i="1"/>
  <c r="AB402" i="1"/>
  <c r="D402" i="1"/>
  <c r="AY402" i="1"/>
  <c r="AM402" i="1"/>
  <c r="AA402" i="1"/>
  <c r="O402" i="1"/>
  <c r="P402" i="1" s="1"/>
  <c r="AL402" i="1"/>
  <c r="Z402" i="1"/>
  <c r="N402" i="1"/>
  <c r="AK402" i="1"/>
  <c r="Y402" i="1"/>
  <c r="M402" i="1"/>
  <c r="AJ402" i="1"/>
  <c r="X402" i="1"/>
  <c r="AI402" i="1"/>
  <c r="W402" i="1"/>
  <c r="K402" i="1"/>
  <c r="L402" i="1" s="1"/>
  <c r="AH402" i="1"/>
  <c r="V402" i="1"/>
  <c r="J402" i="1"/>
  <c r="AS402" i="1"/>
  <c r="AG402" i="1"/>
  <c r="U402" i="1"/>
  <c r="I402" i="1"/>
  <c r="AR402" i="1"/>
  <c r="AF402" i="1"/>
  <c r="T402" i="1"/>
  <c r="H402" i="1"/>
  <c r="AT402" i="1" s="1"/>
  <c r="AQ402" i="1"/>
  <c r="AE402" i="1"/>
  <c r="S402" i="1"/>
  <c r="G402" i="1"/>
  <c r="AP402" i="1"/>
  <c r="AD402" i="1"/>
  <c r="R402" i="1"/>
  <c r="F402" i="1"/>
  <c r="AY385" i="1"/>
  <c r="AM385" i="1"/>
  <c r="AA385" i="1"/>
  <c r="O385" i="1"/>
  <c r="P385" i="1" s="1"/>
  <c r="AL385" i="1"/>
  <c r="Z385" i="1"/>
  <c r="N385" i="1"/>
  <c r="AK385" i="1"/>
  <c r="Y385" i="1"/>
  <c r="M385" i="1"/>
  <c r="AJ385" i="1"/>
  <c r="X385" i="1"/>
  <c r="AI385" i="1"/>
  <c r="W385" i="1"/>
  <c r="K385" i="1"/>
  <c r="L385" i="1" s="1"/>
  <c r="AH385" i="1"/>
  <c r="V385" i="1"/>
  <c r="J385" i="1"/>
  <c r="AS385" i="1"/>
  <c r="AG385" i="1"/>
  <c r="U385" i="1"/>
  <c r="I385" i="1"/>
  <c r="AR385" i="1"/>
  <c r="AF385" i="1"/>
  <c r="T385" i="1"/>
  <c r="H385" i="1"/>
  <c r="AT385" i="1" s="1"/>
  <c r="AQ385" i="1"/>
  <c r="AE385" i="1"/>
  <c r="S385" i="1"/>
  <c r="G385" i="1"/>
  <c r="AP385" i="1"/>
  <c r="AD385" i="1"/>
  <c r="R385" i="1"/>
  <c r="F385" i="1"/>
  <c r="AO385" i="1"/>
  <c r="Q385" i="1"/>
  <c r="E385" i="1"/>
  <c r="AN385" i="1"/>
  <c r="AB385" i="1"/>
  <c r="D385" i="1"/>
  <c r="AL467" i="1"/>
  <c r="Z467" i="1"/>
  <c r="N467" i="1"/>
  <c r="AK467" i="1"/>
  <c r="Y467" i="1"/>
  <c r="M467" i="1"/>
  <c r="AJ467" i="1"/>
  <c r="X467" i="1"/>
  <c r="AI467" i="1"/>
  <c r="W467" i="1"/>
  <c r="K467" i="1"/>
  <c r="L467" i="1" s="1"/>
  <c r="AH467" i="1"/>
  <c r="V467" i="1"/>
  <c r="J467" i="1"/>
  <c r="AS467" i="1"/>
  <c r="AG467" i="1"/>
  <c r="U467" i="1"/>
  <c r="I467" i="1"/>
  <c r="AR467" i="1"/>
  <c r="AF467" i="1"/>
  <c r="T467" i="1"/>
  <c r="H467" i="1"/>
  <c r="AT467" i="1" s="1"/>
  <c r="AQ467" i="1"/>
  <c r="AE467" i="1"/>
  <c r="S467" i="1"/>
  <c r="G467" i="1"/>
  <c r="AP467" i="1"/>
  <c r="AD467" i="1"/>
  <c r="R467" i="1"/>
  <c r="F467" i="1"/>
  <c r="AO467" i="1"/>
  <c r="Q467" i="1"/>
  <c r="E467" i="1"/>
  <c r="AN467" i="1"/>
  <c r="AB467" i="1"/>
  <c r="D467" i="1"/>
  <c r="AY467" i="1"/>
  <c r="AM467" i="1"/>
  <c r="AA467" i="1"/>
  <c r="O467" i="1"/>
  <c r="P467" i="1" s="1"/>
  <c r="AJ456" i="1"/>
  <c r="X456" i="1"/>
  <c r="AI456" i="1"/>
  <c r="W456" i="1"/>
  <c r="K456" i="1"/>
  <c r="L456" i="1" s="1"/>
  <c r="AH456" i="1"/>
  <c r="V456" i="1"/>
  <c r="J456" i="1"/>
  <c r="AS456" i="1"/>
  <c r="AG456" i="1"/>
  <c r="U456" i="1"/>
  <c r="I456" i="1"/>
  <c r="AR456" i="1"/>
  <c r="AF456" i="1"/>
  <c r="T456" i="1"/>
  <c r="H456" i="1"/>
  <c r="AT456" i="1" s="1"/>
  <c r="AQ456" i="1"/>
  <c r="AE456" i="1"/>
  <c r="S456" i="1"/>
  <c r="G456" i="1"/>
  <c r="AP456" i="1"/>
  <c r="AD456" i="1"/>
  <c r="R456" i="1"/>
  <c r="F456" i="1"/>
  <c r="AO456" i="1"/>
  <c r="Q456" i="1"/>
  <c r="E456" i="1"/>
  <c r="AN456" i="1"/>
  <c r="AB456" i="1"/>
  <c r="D456" i="1"/>
  <c r="AY456" i="1"/>
  <c r="AM456" i="1"/>
  <c r="AA456" i="1"/>
  <c r="O456" i="1"/>
  <c r="P456" i="1" s="1"/>
  <c r="AL456" i="1"/>
  <c r="Z456" i="1"/>
  <c r="N456" i="1"/>
  <c r="AK456" i="1"/>
  <c r="Y456" i="1"/>
  <c r="M456" i="1"/>
  <c r="AH451" i="1"/>
  <c r="V451" i="1"/>
  <c r="J451" i="1"/>
  <c r="AS451" i="1"/>
  <c r="AG451" i="1"/>
  <c r="U451" i="1"/>
  <c r="I451" i="1"/>
  <c r="AR451" i="1"/>
  <c r="AF451" i="1"/>
  <c r="T451" i="1"/>
  <c r="H451" i="1"/>
  <c r="AT451" i="1" s="1"/>
  <c r="AQ451" i="1"/>
  <c r="AE451" i="1"/>
  <c r="S451" i="1"/>
  <c r="G451" i="1"/>
  <c r="AP451" i="1"/>
  <c r="AD451" i="1"/>
  <c r="R451" i="1"/>
  <c r="F451" i="1"/>
  <c r="AO451" i="1"/>
  <c r="Q451" i="1"/>
  <c r="E451" i="1"/>
  <c r="AN451" i="1"/>
  <c r="AB451" i="1"/>
  <c r="D451" i="1"/>
  <c r="AY451" i="1"/>
  <c r="AM451" i="1"/>
  <c r="AA451" i="1"/>
  <c r="O451" i="1"/>
  <c r="P451" i="1" s="1"/>
  <c r="AL451" i="1"/>
  <c r="Z451" i="1"/>
  <c r="N451" i="1"/>
  <c r="AK451" i="1"/>
  <c r="Y451" i="1"/>
  <c r="M451" i="1"/>
  <c r="AJ451" i="1"/>
  <c r="X451" i="1"/>
  <c r="AI451" i="1"/>
  <c r="W451" i="1"/>
  <c r="K451" i="1"/>
  <c r="L451" i="1" s="1"/>
  <c r="AR446" i="1"/>
  <c r="AF446" i="1"/>
  <c r="T446" i="1"/>
  <c r="H446" i="1"/>
  <c r="AT446" i="1" s="1"/>
  <c r="AQ446" i="1"/>
  <c r="AE446" i="1"/>
  <c r="S446" i="1"/>
  <c r="G446" i="1"/>
  <c r="AP446" i="1"/>
  <c r="AD446" i="1"/>
  <c r="R446" i="1"/>
  <c r="F446" i="1"/>
  <c r="AO446" i="1"/>
  <c r="Q446" i="1"/>
  <c r="E446" i="1"/>
  <c r="AN446" i="1"/>
  <c r="AB446" i="1"/>
  <c r="D446" i="1"/>
  <c r="AY446" i="1"/>
  <c r="AM446" i="1"/>
  <c r="AA446" i="1"/>
  <c r="O446" i="1"/>
  <c r="P446" i="1" s="1"/>
  <c r="AL446" i="1"/>
  <c r="Z446" i="1"/>
  <c r="N446" i="1"/>
  <c r="AK446" i="1"/>
  <c r="Y446" i="1"/>
  <c r="M446" i="1"/>
  <c r="AJ446" i="1"/>
  <c r="X446" i="1"/>
  <c r="AI446" i="1"/>
  <c r="W446" i="1"/>
  <c r="K446" i="1"/>
  <c r="L446" i="1" s="1"/>
  <c r="AH446" i="1"/>
  <c r="V446" i="1"/>
  <c r="J446" i="1"/>
  <c r="AS446" i="1"/>
  <c r="AG446" i="1"/>
  <c r="U446" i="1"/>
  <c r="I446" i="1"/>
  <c r="AP441" i="1"/>
  <c r="AD441" i="1"/>
  <c r="R441" i="1"/>
  <c r="F441" i="1"/>
  <c r="AO441" i="1"/>
  <c r="Q441" i="1"/>
  <c r="E441" i="1"/>
  <c r="AN441" i="1"/>
  <c r="AB441" i="1"/>
  <c r="D441" i="1"/>
  <c r="AY441" i="1"/>
  <c r="AM441" i="1"/>
  <c r="AA441" i="1"/>
  <c r="O441" i="1"/>
  <c r="P441" i="1" s="1"/>
  <c r="AL441" i="1"/>
  <c r="Z441" i="1"/>
  <c r="N441" i="1"/>
  <c r="AK441" i="1"/>
  <c r="Y441" i="1"/>
  <c r="M441" i="1"/>
  <c r="AJ441" i="1"/>
  <c r="X441" i="1"/>
  <c r="AI441" i="1"/>
  <c r="W441" i="1"/>
  <c r="K441" i="1"/>
  <c r="L441" i="1" s="1"/>
  <c r="AH441" i="1"/>
  <c r="V441" i="1"/>
  <c r="J441" i="1"/>
  <c r="AS441" i="1"/>
  <c r="AG441" i="1"/>
  <c r="U441" i="1"/>
  <c r="I441" i="1"/>
  <c r="AR441" i="1"/>
  <c r="AF441" i="1"/>
  <c r="T441" i="1"/>
  <c r="H441" i="1"/>
  <c r="AT441" i="1" s="1"/>
  <c r="AQ441" i="1"/>
  <c r="AE441" i="1"/>
  <c r="S441" i="1"/>
  <c r="G441" i="1"/>
  <c r="AN430" i="1"/>
  <c r="AB430" i="1"/>
  <c r="D430" i="1"/>
  <c r="AY430" i="1"/>
  <c r="AM430" i="1"/>
  <c r="AA430" i="1"/>
  <c r="O430" i="1"/>
  <c r="P430" i="1" s="1"/>
  <c r="AL430" i="1"/>
  <c r="Z430" i="1"/>
  <c r="N430" i="1"/>
  <c r="AK430" i="1"/>
  <c r="Y430" i="1"/>
  <c r="M430" i="1"/>
  <c r="AJ430" i="1"/>
  <c r="X430" i="1"/>
  <c r="AI430" i="1"/>
  <c r="W430" i="1"/>
  <c r="K430" i="1"/>
  <c r="L430" i="1" s="1"/>
  <c r="AH430" i="1"/>
  <c r="V430" i="1"/>
  <c r="J430" i="1"/>
  <c r="AS430" i="1"/>
  <c r="AG430" i="1"/>
  <c r="U430" i="1"/>
  <c r="I430" i="1"/>
  <c r="AR430" i="1"/>
  <c r="AF430" i="1"/>
  <c r="T430" i="1"/>
  <c r="H430" i="1"/>
  <c r="AT430" i="1" s="1"/>
  <c r="AQ430" i="1"/>
  <c r="AE430" i="1"/>
  <c r="S430" i="1"/>
  <c r="G430" i="1"/>
  <c r="AP430" i="1"/>
  <c r="AD430" i="1"/>
  <c r="R430" i="1"/>
  <c r="F430" i="1"/>
  <c r="AO430" i="1"/>
  <c r="Q430" i="1"/>
  <c r="E430" i="1"/>
  <c r="AL506" i="1"/>
  <c r="Z506" i="1"/>
  <c r="N506" i="1"/>
  <c r="AK506" i="1"/>
  <c r="Y506" i="1"/>
  <c r="M506" i="1"/>
  <c r="AJ506" i="1"/>
  <c r="X506" i="1"/>
  <c r="AI506" i="1"/>
  <c r="W506" i="1"/>
  <c r="K506" i="1"/>
  <c r="L506" i="1" s="1"/>
  <c r="AH506" i="1"/>
  <c r="V506" i="1"/>
  <c r="J506" i="1"/>
  <c r="AS506" i="1"/>
  <c r="AG506" i="1"/>
  <c r="U506" i="1"/>
  <c r="I506" i="1"/>
  <c r="AR506" i="1"/>
  <c r="AF506" i="1"/>
  <c r="T506" i="1"/>
  <c r="H506" i="1"/>
  <c r="AT506" i="1" s="1"/>
  <c r="AQ506" i="1"/>
  <c r="AE506" i="1"/>
  <c r="S506" i="1"/>
  <c r="G506" i="1"/>
  <c r="AP506" i="1"/>
  <c r="AD506" i="1"/>
  <c r="R506" i="1"/>
  <c r="F506" i="1"/>
  <c r="AO506" i="1"/>
  <c r="Q506" i="1"/>
  <c r="E506" i="1"/>
  <c r="AN506" i="1"/>
  <c r="AB506" i="1"/>
  <c r="D506" i="1"/>
  <c r="AY506" i="1"/>
  <c r="AM506" i="1"/>
  <c r="AA506" i="1"/>
  <c r="O506" i="1"/>
  <c r="P506" i="1" s="1"/>
  <c r="AL541" i="1"/>
  <c r="Z541" i="1"/>
  <c r="N541" i="1"/>
  <c r="AK541" i="1"/>
  <c r="Y541" i="1"/>
  <c r="M541" i="1"/>
  <c r="AJ541" i="1"/>
  <c r="X541" i="1"/>
  <c r="AI541" i="1"/>
  <c r="W541" i="1"/>
  <c r="AH541" i="1"/>
  <c r="V541" i="1"/>
  <c r="J541" i="1"/>
  <c r="AR541" i="1"/>
  <c r="AF541" i="1"/>
  <c r="T541" i="1"/>
  <c r="H541" i="1"/>
  <c r="AT541" i="1" s="1"/>
  <c r="AQ541" i="1"/>
  <c r="AE541" i="1"/>
  <c r="S541" i="1"/>
  <c r="G541" i="1"/>
  <c r="AY541" i="1"/>
  <c r="AM541" i="1"/>
  <c r="AA541" i="1"/>
  <c r="O541" i="1"/>
  <c r="P541" i="1" s="1"/>
  <c r="R541" i="1"/>
  <c r="Q541" i="1"/>
  <c r="AS541" i="1"/>
  <c r="K541" i="1"/>
  <c r="L541" i="1" s="1"/>
  <c r="AP541" i="1"/>
  <c r="I541" i="1"/>
  <c r="AO541" i="1"/>
  <c r="F541" i="1"/>
  <c r="AN541" i="1"/>
  <c r="E541" i="1"/>
  <c r="AG541" i="1"/>
  <c r="D541" i="1"/>
  <c r="AD541" i="1"/>
  <c r="AB541" i="1"/>
  <c r="U541" i="1"/>
  <c r="AR521" i="1"/>
  <c r="AF521" i="1"/>
  <c r="T521" i="1"/>
  <c r="H521" i="1"/>
  <c r="AT521" i="1" s="1"/>
  <c r="AQ521" i="1"/>
  <c r="AE521" i="1"/>
  <c r="S521" i="1"/>
  <c r="G521" i="1"/>
  <c r="AP521" i="1"/>
  <c r="AD521" i="1"/>
  <c r="R521" i="1"/>
  <c r="F521" i="1"/>
  <c r="AO521" i="1"/>
  <c r="Q521" i="1"/>
  <c r="E521" i="1"/>
  <c r="AN521" i="1"/>
  <c r="AB521" i="1"/>
  <c r="D521" i="1"/>
  <c r="AY521" i="1"/>
  <c r="AM521" i="1"/>
  <c r="AA521" i="1"/>
  <c r="O521" i="1"/>
  <c r="P521" i="1" s="1"/>
  <c r="AL521" i="1"/>
  <c r="Z521" i="1"/>
  <c r="N521" i="1"/>
  <c r="AK521" i="1"/>
  <c r="Y521" i="1"/>
  <c r="M521" i="1"/>
  <c r="AJ521" i="1"/>
  <c r="X521" i="1"/>
  <c r="AI521" i="1"/>
  <c r="W521" i="1"/>
  <c r="K521" i="1"/>
  <c r="L521" i="1" s="1"/>
  <c r="AH521" i="1"/>
  <c r="V521" i="1"/>
  <c r="J521" i="1"/>
  <c r="AS521" i="1"/>
  <c r="AG521" i="1"/>
  <c r="U521" i="1"/>
  <c r="I521" i="1"/>
  <c r="AN505" i="1"/>
  <c r="AB505" i="1"/>
  <c r="D505" i="1"/>
  <c r="AY505" i="1"/>
  <c r="AM505" i="1"/>
  <c r="AA505" i="1"/>
  <c r="O505" i="1"/>
  <c r="P505" i="1" s="1"/>
  <c r="AL505" i="1"/>
  <c r="Z505" i="1"/>
  <c r="N505" i="1"/>
  <c r="AK505" i="1"/>
  <c r="Y505" i="1"/>
  <c r="M505" i="1"/>
  <c r="AJ505" i="1"/>
  <c r="X505" i="1"/>
  <c r="AI505" i="1"/>
  <c r="W505" i="1"/>
  <c r="K505" i="1"/>
  <c r="L505" i="1" s="1"/>
  <c r="AH505" i="1"/>
  <c r="V505" i="1"/>
  <c r="J505" i="1"/>
  <c r="AS505" i="1"/>
  <c r="AG505" i="1"/>
  <c r="U505" i="1"/>
  <c r="I505" i="1"/>
  <c r="AR505" i="1"/>
  <c r="AF505" i="1"/>
  <c r="T505" i="1"/>
  <c r="H505" i="1"/>
  <c r="AT505" i="1" s="1"/>
  <c r="AQ505" i="1"/>
  <c r="AE505" i="1"/>
  <c r="S505" i="1"/>
  <c r="G505" i="1"/>
  <c r="AP505" i="1"/>
  <c r="AD505" i="1"/>
  <c r="R505" i="1"/>
  <c r="F505" i="1"/>
  <c r="AO505" i="1"/>
  <c r="Q505" i="1"/>
  <c r="E505" i="1"/>
  <c r="AK579" i="1"/>
  <c r="Y579" i="1"/>
  <c r="M579" i="1"/>
  <c r="AJ579" i="1"/>
  <c r="X579" i="1"/>
  <c r="AQ579" i="1"/>
  <c r="AE579" i="1"/>
  <c r="S579" i="1"/>
  <c r="AP579" i="1"/>
  <c r="AD579" i="1"/>
  <c r="R579" i="1"/>
  <c r="F579" i="1"/>
  <c r="AY579" i="1"/>
  <c r="AH579" i="1"/>
  <c r="AG579" i="1"/>
  <c r="O579" i="1"/>
  <c r="P579" i="1" s="1"/>
  <c r="AF579" i="1"/>
  <c r="N579" i="1"/>
  <c r="K579" i="1"/>
  <c r="L579" i="1" s="1"/>
  <c r="AB579" i="1"/>
  <c r="J579" i="1"/>
  <c r="AS579" i="1"/>
  <c r="AA579" i="1"/>
  <c r="I579" i="1"/>
  <c r="AR579" i="1"/>
  <c r="Z579" i="1"/>
  <c r="H579" i="1"/>
  <c r="AT579" i="1" s="1"/>
  <c r="AO579" i="1"/>
  <c r="W579" i="1"/>
  <c r="G579" i="1"/>
  <c r="AN579" i="1"/>
  <c r="V579" i="1"/>
  <c r="E579" i="1"/>
  <c r="AM579" i="1"/>
  <c r="U579" i="1"/>
  <c r="D579" i="1"/>
  <c r="AL579" i="1"/>
  <c r="T579" i="1"/>
  <c r="AI579" i="1"/>
  <c r="Q579" i="1"/>
  <c r="AH555" i="1"/>
  <c r="V555" i="1"/>
  <c r="J555" i="1"/>
  <c r="AS555" i="1"/>
  <c r="AG555" i="1"/>
  <c r="U555" i="1"/>
  <c r="I555" i="1"/>
  <c r="AR555" i="1"/>
  <c r="AF555" i="1"/>
  <c r="T555" i="1"/>
  <c r="H555" i="1"/>
  <c r="AT555" i="1" s="1"/>
  <c r="AQ555" i="1"/>
  <c r="AE555" i="1"/>
  <c r="S555" i="1"/>
  <c r="G555" i="1"/>
  <c r="AP555" i="1"/>
  <c r="AD555" i="1"/>
  <c r="R555" i="1"/>
  <c r="F555" i="1"/>
  <c r="AO555" i="1"/>
  <c r="Q555" i="1"/>
  <c r="E555" i="1"/>
  <c r="AN555" i="1"/>
  <c r="AB555" i="1"/>
  <c r="D555" i="1"/>
  <c r="AY555" i="1"/>
  <c r="AM555" i="1"/>
  <c r="AA555" i="1"/>
  <c r="O555" i="1"/>
  <c r="P555" i="1" s="1"/>
  <c r="AL555" i="1"/>
  <c r="Z555" i="1"/>
  <c r="N555" i="1"/>
  <c r="AK555" i="1"/>
  <c r="Y555" i="1"/>
  <c r="M555" i="1"/>
  <c r="AJ555" i="1"/>
  <c r="X555" i="1"/>
  <c r="AI555" i="1"/>
  <c r="W555" i="1"/>
  <c r="K555" i="1"/>
  <c r="L555" i="1" s="1"/>
  <c r="AP557" i="1"/>
  <c r="AD557" i="1"/>
  <c r="R557" i="1"/>
  <c r="F557" i="1"/>
  <c r="AO557" i="1"/>
  <c r="Q557" i="1"/>
  <c r="E557" i="1"/>
  <c r="AN557" i="1"/>
  <c r="AB557" i="1"/>
  <c r="D557" i="1"/>
  <c r="AY557" i="1"/>
  <c r="AM557" i="1"/>
  <c r="AA557" i="1"/>
  <c r="O557" i="1"/>
  <c r="P557" i="1" s="1"/>
  <c r="AL557" i="1"/>
  <c r="Z557" i="1"/>
  <c r="N557" i="1"/>
  <c r="AK557" i="1"/>
  <c r="Y557" i="1"/>
  <c r="M557" i="1"/>
  <c r="AJ557" i="1"/>
  <c r="X557" i="1"/>
  <c r="AI557" i="1"/>
  <c r="W557" i="1"/>
  <c r="K557" i="1"/>
  <c r="L557" i="1" s="1"/>
  <c r="AH557" i="1"/>
  <c r="V557" i="1"/>
  <c r="J557" i="1"/>
  <c r="AS557" i="1"/>
  <c r="AG557" i="1"/>
  <c r="U557" i="1"/>
  <c r="I557" i="1"/>
  <c r="AR557" i="1"/>
  <c r="AF557" i="1"/>
  <c r="T557" i="1"/>
  <c r="H557" i="1"/>
  <c r="AT557" i="1" s="1"/>
  <c r="AQ557" i="1"/>
  <c r="AE557" i="1"/>
  <c r="S557" i="1"/>
  <c r="G557" i="1"/>
  <c r="AN564" i="1"/>
  <c r="AB564" i="1"/>
  <c r="D564" i="1"/>
  <c r="AY564" i="1"/>
  <c r="AM564" i="1"/>
  <c r="AA564" i="1"/>
  <c r="O564" i="1"/>
  <c r="P564" i="1" s="1"/>
  <c r="AL564" i="1"/>
  <c r="Z564" i="1"/>
  <c r="N564" i="1"/>
  <c r="AK564" i="1"/>
  <c r="Y564" i="1"/>
  <c r="M564" i="1"/>
  <c r="AJ564" i="1"/>
  <c r="X564" i="1"/>
  <c r="AI564" i="1"/>
  <c r="W564" i="1"/>
  <c r="K564" i="1"/>
  <c r="L564" i="1" s="1"/>
  <c r="AH564" i="1"/>
  <c r="V564" i="1"/>
  <c r="J564" i="1"/>
  <c r="AS564" i="1"/>
  <c r="AG564" i="1"/>
  <c r="U564" i="1"/>
  <c r="I564" i="1"/>
  <c r="AR564" i="1"/>
  <c r="AF564" i="1"/>
  <c r="T564" i="1"/>
  <c r="H564" i="1"/>
  <c r="AT564" i="1" s="1"/>
  <c r="AQ564" i="1"/>
  <c r="AE564" i="1"/>
  <c r="S564" i="1"/>
  <c r="G564" i="1"/>
  <c r="AP564" i="1"/>
  <c r="AD564" i="1"/>
  <c r="R564" i="1"/>
  <c r="F564" i="1"/>
  <c r="AO564" i="1"/>
  <c r="Q564" i="1"/>
  <c r="E564" i="1"/>
  <c r="AI598" i="1"/>
  <c r="W598" i="1"/>
  <c r="K598" i="1"/>
  <c r="L598" i="1" s="1"/>
  <c r="AH598" i="1"/>
  <c r="V598" i="1"/>
  <c r="J598" i="1"/>
  <c r="AS598" i="1"/>
  <c r="AG598" i="1"/>
  <c r="U598" i="1"/>
  <c r="I598" i="1"/>
  <c r="AR598" i="1"/>
  <c r="AF598" i="1"/>
  <c r="T598" i="1"/>
  <c r="H598" i="1"/>
  <c r="AT598" i="1" s="1"/>
  <c r="AQ598" i="1"/>
  <c r="AE598" i="1"/>
  <c r="S598" i="1"/>
  <c r="G598" i="1"/>
  <c r="AP598" i="1"/>
  <c r="AD598" i="1"/>
  <c r="R598" i="1"/>
  <c r="F598" i="1"/>
  <c r="AO598" i="1"/>
  <c r="Q598" i="1"/>
  <c r="E598" i="1"/>
  <c r="AN598" i="1"/>
  <c r="AB598" i="1"/>
  <c r="D598" i="1"/>
  <c r="AY598" i="1"/>
  <c r="AM598" i="1"/>
  <c r="AA598" i="1"/>
  <c r="O598" i="1"/>
  <c r="P598" i="1" s="1"/>
  <c r="AL598" i="1"/>
  <c r="Z598" i="1"/>
  <c r="N598" i="1"/>
  <c r="AK598" i="1"/>
  <c r="Y598" i="1"/>
  <c r="M598" i="1"/>
  <c r="AJ598" i="1"/>
  <c r="X598" i="1"/>
  <c r="AS605" i="1"/>
  <c r="AG605" i="1"/>
  <c r="U605" i="1"/>
  <c r="I605" i="1"/>
  <c r="AR605" i="1"/>
  <c r="AF605" i="1"/>
  <c r="T605" i="1"/>
  <c r="H605" i="1"/>
  <c r="AT605" i="1" s="1"/>
  <c r="AQ605" i="1"/>
  <c r="AE605" i="1"/>
  <c r="S605" i="1"/>
  <c r="G605" i="1"/>
  <c r="AP605" i="1"/>
  <c r="AD605" i="1"/>
  <c r="R605" i="1"/>
  <c r="F605" i="1"/>
  <c r="AO605" i="1"/>
  <c r="Q605" i="1"/>
  <c r="E605" i="1"/>
  <c r="AN605" i="1"/>
  <c r="AB605" i="1"/>
  <c r="D605" i="1"/>
  <c r="AY605" i="1"/>
  <c r="AM605" i="1"/>
  <c r="AA605" i="1"/>
  <c r="O605" i="1"/>
  <c r="P605" i="1" s="1"/>
  <c r="AL605" i="1"/>
  <c r="Z605" i="1"/>
  <c r="N605" i="1"/>
  <c r="AK605" i="1"/>
  <c r="Y605" i="1"/>
  <c r="M605" i="1"/>
  <c r="AJ605" i="1"/>
  <c r="X605" i="1"/>
  <c r="AI605" i="1"/>
  <c r="W605" i="1"/>
  <c r="K605" i="1"/>
  <c r="L605" i="1" s="1"/>
  <c r="AH605" i="1"/>
  <c r="V605" i="1"/>
  <c r="J605" i="1"/>
  <c r="AO589" i="1"/>
  <c r="Q589" i="1"/>
  <c r="E589" i="1"/>
  <c r="AN589" i="1"/>
  <c r="AB589" i="1"/>
  <c r="D589" i="1"/>
  <c r="AY589" i="1"/>
  <c r="AM589" i="1"/>
  <c r="AA589" i="1"/>
  <c r="O589" i="1"/>
  <c r="P589" i="1" s="1"/>
  <c r="AL589" i="1"/>
  <c r="Z589" i="1"/>
  <c r="N589" i="1"/>
  <c r="AK589" i="1"/>
  <c r="Y589" i="1"/>
  <c r="M589" i="1"/>
  <c r="AJ589" i="1"/>
  <c r="X589" i="1"/>
  <c r="AI589" i="1"/>
  <c r="W589" i="1"/>
  <c r="K589" i="1"/>
  <c r="L589" i="1" s="1"/>
  <c r="AH589" i="1"/>
  <c r="V589" i="1"/>
  <c r="J589" i="1"/>
  <c r="AQ589" i="1"/>
  <c r="AE589" i="1"/>
  <c r="S589" i="1"/>
  <c r="G589" i="1"/>
  <c r="AP589" i="1"/>
  <c r="AD589" i="1"/>
  <c r="R589" i="1"/>
  <c r="F589" i="1"/>
  <c r="I589" i="1"/>
  <c r="H589" i="1"/>
  <c r="AT589" i="1" s="1"/>
  <c r="AS589" i="1"/>
  <c r="AR589" i="1"/>
  <c r="AG589" i="1"/>
  <c r="AF589" i="1"/>
  <c r="U589" i="1"/>
  <c r="T589" i="1"/>
  <c r="AY614" i="1"/>
  <c r="AM614" i="1"/>
  <c r="AA614" i="1"/>
  <c r="O614" i="1"/>
  <c r="P614" i="1" s="1"/>
  <c r="AL614" i="1"/>
  <c r="Z614" i="1"/>
  <c r="N614" i="1"/>
  <c r="AK614" i="1"/>
  <c r="Y614" i="1"/>
  <c r="M614" i="1"/>
  <c r="AJ614" i="1"/>
  <c r="X614" i="1"/>
  <c r="AI614" i="1"/>
  <c r="W614" i="1"/>
  <c r="K614" i="1"/>
  <c r="L614" i="1" s="1"/>
  <c r="AH614" i="1"/>
  <c r="V614" i="1"/>
  <c r="J614" i="1"/>
  <c r="AS614" i="1"/>
  <c r="AG614" i="1"/>
  <c r="U614" i="1"/>
  <c r="I614" i="1"/>
  <c r="AR614" i="1"/>
  <c r="AF614" i="1"/>
  <c r="T614" i="1"/>
  <c r="H614" i="1"/>
  <c r="AT614" i="1" s="1"/>
  <c r="AQ614" i="1"/>
  <c r="AE614" i="1"/>
  <c r="S614" i="1"/>
  <c r="G614" i="1"/>
  <c r="AP614" i="1"/>
  <c r="AD614" i="1"/>
  <c r="R614" i="1"/>
  <c r="F614" i="1"/>
  <c r="AO614" i="1"/>
  <c r="Q614" i="1"/>
  <c r="E614" i="1"/>
  <c r="AN614" i="1"/>
  <c r="AB614" i="1"/>
  <c r="D614" i="1"/>
  <c r="AH625" i="1"/>
  <c r="V625" i="1"/>
  <c r="J625" i="1"/>
  <c r="AS625" i="1"/>
  <c r="AG625" i="1"/>
  <c r="U625" i="1"/>
  <c r="I625" i="1"/>
  <c r="AN625" i="1"/>
  <c r="AB625" i="1"/>
  <c r="D625" i="1"/>
  <c r="AY625" i="1"/>
  <c r="AM625" i="1"/>
  <c r="AA625" i="1"/>
  <c r="O625" i="1"/>
  <c r="P625" i="1" s="1"/>
  <c r="AR625" i="1"/>
  <c r="Z625" i="1"/>
  <c r="H625" i="1"/>
  <c r="AT625" i="1" s="1"/>
  <c r="AQ625" i="1"/>
  <c r="Y625" i="1"/>
  <c r="G625" i="1"/>
  <c r="AP625" i="1"/>
  <c r="X625" i="1"/>
  <c r="F625" i="1"/>
  <c r="AO625" i="1"/>
  <c r="W625" i="1"/>
  <c r="E625" i="1"/>
  <c r="AL625" i="1"/>
  <c r="T625" i="1"/>
  <c r="AK625" i="1"/>
  <c r="S625" i="1"/>
  <c r="AJ625" i="1"/>
  <c r="R625" i="1"/>
  <c r="AI625" i="1"/>
  <c r="Q625" i="1"/>
  <c r="AF625" i="1"/>
  <c r="N625" i="1"/>
  <c r="AE625" i="1"/>
  <c r="M625" i="1"/>
  <c r="AD625" i="1"/>
  <c r="K625" i="1"/>
  <c r="L625" i="1" s="1"/>
  <c r="AS660" i="1"/>
  <c r="AG660" i="1"/>
  <c r="U660" i="1"/>
  <c r="AR660" i="1"/>
  <c r="AF660" i="1"/>
  <c r="T660" i="1"/>
  <c r="H660" i="1"/>
  <c r="AT660" i="1" s="1"/>
  <c r="AQ660" i="1"/>
  <c r="AE660" i="1"/>
  <c r="S660" i="1"/>
  <c r="G660" i="1"/>
  <c r="AM660" i="1"/>
  <c r="X660" i="1"/>
  <c r="I660" i="1"/>
  <c r="AL660" i="1"/>
  <c r="W660" i="1"/>
  <c r="F660" i="1"/>
  <c r="AK660" i="1"/>
  <c r="V660" i="1"/>
  <c r="E660" i="1"/>
  <c r="AY660" i="1"/>
  <c r="AJ660" i="1"/>
  <c r="R660" i="1"/>
  <c r="D660" i="1"/>
  <c r="AI660" i="1"/>
  <c r="Q660" i="1"/>
  <c r="AH660" i="1"/>
  <c r="AD660" i="1"/>
  <c r="O660" i="1"/>
  <c r="P660" i="1" s="1"/>
  <c r="N660" i="1"/>
  <c r="AB660" i="1"/>
  <c r="M660" i="1"/>
  <c r="AP660" i="1"/>
  <c r="AA660" i="1"/>
  <c r="AO660" i="1"/>
  <c r="Z660" i="1"/>
  <c r="K660" i="1"/>
  <c r="L660" i="1" s="1"/>
  <c r="AN660" i="1"/>
  <c r="Y660" i="1"/>
  <c r="J660" i="1"/>
  <c r="AI658" i="1"/>
  <c r="W658" i="1"/>
  <c r="AP658" i="1"/>
  <c r="D658" i="1"/>
  <c r="AO658" i="1"/>
  <c r="AB658" i="1"/>
  <c r="O658" i="1"/>
  <c r="P658" i="1" s="1"/>
  <c r="AN658" i="1"/>
  <c r="AA658" i="1"/>
  <c r="N658" i="1"/>
  <c r="AM658" i="1"/>
  <c r="Z658" i="1"/>
  <c r="M658" i="1"/>
  <c r="AY658" i="1"/>
  <c r="AL658" i="1"/>
  <c r="Y658" i="1"/>
  <c r="AK658" i="1"/>
  <c r="X658" i="1"/>
  <c r="K658" i="1"/>
  <c r="L658" i="1" s="1"/>
  <c r="AJ658" i="1"/>
  <c r="V658" i="1"/>
  <c r="J658" i="1"/>
  <c r="AH658" i="1"/>
  <c r="U658" i="1"/>
  <c r="I658" i="1"/>
  <c r="AG658" i="1"/>
  <c r="T658" i="1"/>
  <c r="H658" i="1"/>
  <c r="AT658" i="1" s="1"/>
  <c r="AS658" i="1"/>
  <c r="AF658" i="1"/>
  <c r="S658" i="1"/>
  <c r="G658" i="1"/>
  <c r="AR658" i="1"/>
  <c r="AE658" i="1"/>
  <c r="R658" i="1"/>
  <c r="F658" i="1"/>
  <c r="AQ658" i="1"/>
  <c r="AD658" i="1"/>
  <c r="Q658" i="1"/>
  <c r="E658" i="1"/>
  <c r="AI689" i="1"/>
  <c r="W689" i="1"/>
  <c r="K689" i="1"/>
  <c r="L689" i="1" s="1"/>
  <c r="AH689" i="1"/>
  <c r="V689" i="1"/>
  <c r="J689" i="1"/>
  <c r="AS689" i="1"/>
  <c r="AG689" i="1"/>
  <c r="U689" i="1"/>
  <c r="I689" i="1"/>
  <c r="AR689" i="1"/>
  <c r="AF689" i="1"/>
  <c r="T689" i="1"/>
  <c r="H689" i="1"/>
  <c r="AT689" i="1" s="1"/>
  <c r="AQ689" i="1"/>
  <c r="AE689" i="1"/>
  <c r="S689" i="1"/>
  <c r="G689" i="1"/>
  <c r="AP689" i="1"/>
  <c r="AD689" i="1"/>
  <c r="R689" i="1"/>
  <c r="F689" i="1"/>
  <c r="AO689" i="1"/>
  <c r="Q689" i="1"/>
  <c r="E689" i="1"/>
  <c r="AN689" i="1"/>
  <c r="AB689" i="1"/>
  <c r="D689" i="1"/>
  <c r="AY689" i="1"/>
  <c r="AM689" i="1"/>
  <c r="AA689" i="1"/>
  <c r="O689" i="1"/>
  <c r="P689" i="1" s="1"/>
  <c r="AL689" i="1"/>
  <c r="Z689" i="1"/>
  <c r="N689" i="1"/>
  <c r="AK689" i="1"/>
  <c r="Y689" i="1"/>
  <c r="M689" i="1"/>
  <c r="AJ689" i="1"/>
  <c r="X689" i="1"/>
  <c r="AS710" i="1"/>
  <c r="AG710" i="1"/>
  <c r="U710" i="1"/>
  <c r="I710" i="1"/>
  <c r="AR710" i="1"/>
  <c r="AF710" i="1"/>
  <c r="T710" i="1"/>
  <c r="H710" i="1"/>
  <c r="AT710" i="1" s="1"/>
  <c r="AQ710" i="1"/>
  <c r="AE710" i="1"/>
  <c r="S710" i="1"/>
  <c r="G710" i="1"/>
  <c r="AL710" i="1"/>
  <c r="Z710" i="1"/>
  <c r="N710" i="1"/>
  <c r="AB710" i="1"/>
  <c r="K710" i="1"/>
  <c r="L710" i="1" s="1"/>
  <c r="AA710" i="1"/>
  <c r="J710" i="1"/>
  <c r="AP710" i="1"/>
  <c r="Y710" i="1"/>
  <c r="F710" i="1"/>
  <c r="AO710" i="1"/>
  <c r="X710" i="1"/>
  <c r="E710" i="1"/>
  <c r="AN710" i="1"/>
  <c r="W710" i="1"/>
  <c r="D710" i="1"/>
  <c r="AM710" i="1"/>
  <c r="V710" i="1"/>
  <c r="AK710" i="1"/>
  <c r="R710" i="1"/>
  <c r="AJ710" i="1"/>
  <c r="Q710" i="1"/>
  <c r="AY710" i="1"/>
  <c r="AI710" i="1"/>
  <c r="AH710" i="1"/>
  <c r="O710" i="1"/>
  <c r="P710" i="1" s="1"/>
  <c r="AD710" i="1"/>
  <c r="M710" i="1"/>
  <c r="AO674" i="1"/>
  <c r="Q674" i="1"/>
  <c r="E674" i="1"/>
  <c r="AN674" i="1"/>
  <c r="AB674" i="1"/>
  <c r="D674" i="1"/>
  <c r="AY674" i="1"/>
  <c r="AM674" i="1"/>
  <c r="AA674" i="1"/>
  <c r="O674" i="1"/>
  <c r="P674" i="1" s="1"/>
  <c r="AL674" i="1"/>
  <c r="Z674" i="1"/>
  <c r="N674" i="1"/>
  <c r="AK674" i="1"/>
  <c r="Y674" i="1"/>
  <c r="M674" i="1"/>
  <c r="AJ674" i="1"/>
  <c r="X674" i="1"/>
  <c r="AI674" i="1"/>
  <c r="W674" i="1"/>
  <c r="K674" i="1"/>
  <c r="L674" i="1" s="1"/>
  <c r="AH674" i="1"/>
  <c r="V674" i="1"/>
  <c r="J674" i="1"/>
  <c r="AS674" i="1"/>
  <c r="AG674" i="1"/>
  <c r="U674" i="1"/>
  <c r="I674" i="1"/>
  <c r="AR674" i="1"/>
  <c r="AF674" i="1"/>
  <c r="T674" i="1"/>
  <c r="H674" i="1"/>
  <c r="AT674" i="1" s="1"/>
  <c r="AQ674" i="1"/>
  <c r="AE674" i="1"/>
  <c r="S674" i="1"/>
  <c r="G674" i="1"/>
  <c r="AP674" i="1"/>
  <c r="AD674" i="1"/>
  <c r="R674" i="1"/>
  <c r="F674" i="1"/>
  <c r="AY699" i="1"/>
  <c r="AM699" i="1"/>
  <c r="AA699" i="1"/>
  <c r="O699" i="1"/>
  <c r="P699" i="1" s="1"/>
  <c r="AL699" i="1"/>
  <c r="Z699" i="1"/>
  <c r="N699" i="1"/>
  <c r="AK699" i="1"/>
  <c r="Y699" i="1"/>
  <c r="M699" i="1"/>
  <c r="AJ699" i="1"/>
  <c r="X699" i="1"/>
  <c r="AI699" i="1"/>
  <c r="W699" i="1"/>
  <c r="K699" i="1"/>
  <c r="L699" i="1" s="1"/>
  <c r="AH699" i="1"/>
  <c r="V699" i="1"/>
  <c r="J699" i="1"/>
  <c r="AS699" i="1"/>
  <c r="AG699" i="1"/>
  <c r="U699" i="1"/>
  <c r="I699" i="1"/>
  <c r="AR699" i="1"/>
  <c r="AF699" i="1"/>
  <c r="T699" i="1"/>
  <c r="H699" i="1"/>
  <c r="AT699" i="1" s="1"/>
  <c r="AQ699" i="1"/>
  <c r="AE699" i="1"/>
  <c r="S699" i="1"/>
  <c r="G699" i="1"/>
  <c r="AP699" i="1"/>
  <c r="AD699" i="1"/>
  <c r="R699" i="1"/>
  <c r="F699" i="1"/>
  <c r="AO699" i="1"/>
  <c r="Q699" i="1"/>
  <c r="E699" i="1"/>
  <c r="AN699" i="1"/>
  <c r="AB699" i="1"/>
  <c r="D699" i="1"/>
  <c r="AI721" i="1"/>
  <c r="W721" i="1"/>
  <c r="K721" i="1"/>
  <c r="L721" i="1" s="1"/>
  <c r="AH721" i="1"/>
  <c r="V721" i="1"/>
  <c r="J721" i="1"/>
  <c r="AS721" i="1"/>
  <c r="AG721" i="1"/>
  <c r="U721" i="1"/>
  <c r="I721" i="1"/>
  <c r="AR721" i="1"/>
  <c r="AF721" i="1"/>
  <c r="T721" i="1"/>
  <c r="H721" i="1"/>
  <c r="AT721" i="1" s="1"/>
  <c r="AQ721" i="1"/>
  <c r="AE721" i="1"/>
  <c r="S721" i="1"/>
  <c r="G721" i="1"/>
  <c r="AP721" i="1"/>
  <c r="AD721" i="1"/>
  <c r="R721" i="1"/>
  <c r="F721" i="1"/>
  <c r="AO721" i="1"/>
  <c r="Q721" i="1"/>
  <c r="E721" i="1"/>
  <c r="AN721" i="1"/>
  <c r="AB721" i="1"/>
  <c r="D721" i="1"/>
  <c r="AY721" i="1"/>
  <c r="AM721" i="1"/>
  <c r="AA721" i="1"/>
  <c r="O721" i="1"/>
  <c r="P721" i="1" s="1"/>
  <c r="AL721" i="1"/>
  <c r="Z721" i="1"/>
  <c r="N721" i="1"/>
  <c r="AK721" i="1"/>
  <c r="Y721" i="1"/>
  <c r="M721" i="1"/>
  <c r="AJ721" i="1"/>
  <c r="X721" i="1"/>
  <c r="AQ753" i="1"/>
  <c r="AE753" i="1"/>
  <c r="AP753" i="1"/>
  <c r="AD753" i="1"/>
  <c r="R753" i="1"/>
  <c r="F753" i="1"/>
  <c r="AO753" i="1"/>
  <c r="Q753" i="1"/>
  <c r="E753" i="1"/>
  <c r="AM753" i="1"/>
  <c r="Y753" i="1"/>
  <c r="K753" i="1"/>
  <c r="L753" i="1" s="1"/>
  <c r="AL753" i="1"/>
  <c r="X753" i="1"/>
  <c r="J753" i="1"/>
  <c r="AK753" i="1"/>
  <c r="W753" i="1"/>
  <c r="I753" i="1"/>
  <c r="AY753" i="1"/>
  <c r="AJ753" i="1"/>
  <c r="V753" i="1"/>
  <c r="H753" i="1"/>
  <c r="AT753" i="1" s="1"/>
  <c r="AI753" i="1"/>
  <c r="U753" i="1"/>
  <c r="G753" i="1"/>
  <c r="AH753" i="1"/>
  <c r="T753" i="1"/>
  <c r="D753" i="1"/>
  <c r="AG753" i="1"/>
  <c r="S753" i="1"/>
  <c r="AF753" i="1"/>
  <c r="O753" i="1"/>
  <c r="P753" i="1" s="1"/>
  <c r="AS753" i="1"/>
  <c r="AB753" i="1"/>
  <c r="N753" i="1"/>
  <c r="AR753" i="1"/>
  <c r="AA753" i="1"/>
  <c r="M753" i="1"/>
  <c r="AN753" i="1"/>
  <c r="Z753" i="1"/>
  <c r="AO736" i="1"/>
  <c r="Q736" i="1"/>
  <c r="E736" i="1"/>
  <c r="AN736" i="1"/>
  <c r="AB736" i="1"/>
  <c r="D736" i="1"/>
  <c r="AY736" i="1"/>
  <c r="AM736" i="1"/>
  <c r="AA736" i="1"/>
  <c r="O736" i="1"/>
  <c r="P736" i="1" s="1"/>
  <c r="AL736" i="1"/>
  <c r="Z736" i="1"/>
  <c r="N736" i="1"/>
  <c r="AK736" i="1"/>
  <c r="Y736" i="1"/>
  <c r="M736" i="1"/>
  <c r="AJ736" i="1"/>
  <c r="X736" i="1"/>
  <c r="AI736" i="1"/>
  <c r="W736" i="1"/>
  <c r="K736" i="1"/>
  <c r="L736" i="1" s="1"/>
  <c r="AH736" i="1"/>
  <c r="V736" i="1"/>
  <c r="J736" i="1"/>
  <c r="AS736" i="1"/>
  <c r="AG736" i="1"/>
  <c r="U736" i="1"/>
  <c r="I736" i="1"/>
  <c r="AR736" i="1"/>
  <c r="AF736" i="1"/>
  <c r="T736" i="1"/>
  <c r="H736" i="1"/>
  <c r="AT736" i="1" s="1"/>
  <c r="AQ736" i="1"/>
  <c r="AE736" i="1"/>
  <c r="S736" i="1"/>
  <c r="G736" i="1"/>
  <c r="AP736" i="1"/>
  <c r="AD736" i="1"/>
  <c r="R736" i="1"/>
  <c r="F736" i="1"/>
  <c r="AK768" i="1"/>
  <c r="Y768" i="1"/>
  <c r="M768" i="1"/>
  <c r="AJ768" i="1"/>
  <c r="X768" i="1"/>
  <c r="AI768" i="1"/>
  <c r="W768" i="1"/>
  <c r="K768" i="1"/>
  <c r="L768" i="1" s="1"/>
  <c r="AH768" i="1"/>
  <c r="V768" i="1"/>
  <c r="J768" i="1"/>
  <c r="AS768" i="1"/>
  <c r="AG768" i="1"/>
  <c r="U768" i="1"/>
  <c r="I768" i="1"/>
  <c r="AR768" i="1"/>
  <c r="AF768" i="1"/>
  <c r="T768" i="1"/>
  <c r="H768" i="1"/>
  <c r="AT768" i="1" s="1"/>
  <c r="AQ768" i="1"/>
  <c r="AE768" i="1"/>
  <c r="S768" i="1"/>
  <c r="G768" i="1"/>
  <c r="AP768" i="1"/>
  <c r="AD768" i="1"/>
  <c r="R768" i="1"/>
  <c r="F768" i="1"/>
  <c r="AO768" i="1"/>
  <c r="Q768" i="1"/>
  <c r="E768" i="1"/>
  <c r="AN768" i="1"/>
  <c r="AB768" i="1"/>
  <c r="D768" i="1"/>
  <c r="AY768" i="1"/>
  <c r="AM768" i="1"/>
  <c r="AA768" i="1"/>
  <c r="O768" i="1"/>
  <c r="P768" i="1" s="1"/>
  <c r="AL768" i="1"/>
  <c r="Z768" i="1"/>
  <c r="N768" i="1"/>
  <c r="AS764" i="1"/>
  <c r="AG764" i="1"/>
  <c r="U764" i="1"/>
  <c r="I764" i="1"/>
  <c r="AR764" i="1"/>
  <c r="AF764" i="1"/>
  <c r="T764" i="1"/>
  <c r="H764" i="1"/>
  <c r="AT764" i="1" s="1"/>
  <c r="AQ764" i="1"/>
  <c r="AE764" i="1"/>
  <c r="S764" i="1"/>
  <c r="G764" i="1"/>
  <c r="AP764" i="1"/>
  <c r="AD764" i="1"/>
  <c r="R764" i="1"/>
  <c r="F764" i="1"/>
  <c r="AO764" i="1"/>
  <c r="Q764" i="1"/>
  <c r="E764" i="1"/>
  <c r="AN764" i="1"/>
  <c r="AB764" i="1"/>
  <c r="D764" i="1"/>
  <c r="AY764" i="1"/>
  <c r="AM764" i="1"/>
  <c r="AA764" i="1"/>
  <c r="O764" i="1"/>
  <c r="P764" i="1" s="1"/>
  <c r="AL764" i="1"/>
  <c r="Z764" i="1"/>
  <c r="N764" i="1"/>
  <c r="AK764" i="1"/>
  <c r="Y764" i="1"/>
  <c r="M764" i="1"/>
  <c r="AJ764" i="1"/>
  <c r="X764" i="1"/>
  <c r="AI764" i="1"/>
  <c r="W764" i="1"/>
  <c r="K764" i="1"/>
  <c r="L764" i="1" s="1"/>
  <c r="AH764" i="1"/>
  <c r="V764" i="1"/>
  <c r="J764" i="1"/>
  <c r="AQ789" i="1"/>
  <c r="AE789" i="1"/>
  <c r="S789" i="1"/>
  <c r="G789" i="1"/>
  <c r="AP789" i="1"/>
  <c r="AD789" i="1"/>
  <c r="R789" i="1"/>
  <c r="F789" i="1"/>
  <c r="AO789" i="1"/>
  <c r="Q789" i="1"/>
  <c r="E789" i="1"/>
  <c r="AN789" i="1"/>
  <c r="AB789" i="1"/>
  <c r="D789" i="1"/>
  <c r="AY789" i="1"/>
  <c r="AM789" i="1"/>
  <c r="AA789" i="1"/>
  <c r="O789" i="1"/>
  <c r="P789" i="1" s="1"/>
  <c r="AL789" i="1"/>
  <c r="Z789" i="1"/>
  <c r="N789" i="1"/>
  <c r="AK789" i="1"/>
  <c r="Y789" i="1"/>
  <c r="M789" i="1"/>
  <c r="AJ789" i="1"/>
  <c r="X789" i="1"/>
  <c r="AI789" i="1"/>
  <c r="W789" i="1"/>
  <c r="K789" i="1"/>
  <c r="L789" i="1" s="1"/>
  <c r="AH789" i="1"/>
  <c r="V789" i="1"/>
  <c r="J789" i="1"/>
  <c r="AS789" i="1"/>
  <c r="AG789" i="1"/>
  <c r="U789" i="1"/>
  <c r="I789" i="1"/>
  <c r="AR789" i="1"/>
  <c r="AF789" i="1"/>
  <c r="T789" i="1"/>
  <c r="H789" i="1"/>
  <c r="AT789" i="1" s="1"/>
  <c r="AY761" i="1"/>
  <c r="AM761" i="1"/>
  <c r="AA761" i="1"/>
  <c r="O761" i="1"/>
  <c r="P761" i="1" s="1"/>
  <c r="AL761" i="1"/>
  <c r="Z761" i="1"/>
  <c r="N761" i="1"/>
  <c r="AK761" i="1"/>
  <c r="Y761" i="1"/>
  <c r="M761" i="1"/>
  <c r="AJ761" i="1"/>
  <c r="X761" i="1"/>
  <c r="AI761" i="1"/>
  <c r="W761" i="1"/>
  <c r="K761" i="1"/>
  <c r="L761" i="1" s="1"/>
  <c r="AH761" i="1"/>
  <c r="V761" i="1"/>
  <c r="J761" i="1"/>
  <c r="AS761" i="1"/>
  <c r="AR761" i="1"/>
  <c r="AF761" i="1"/>
  <c r="T761" i="1"/>
  <c r="H761" i="1"/>
  <c r="AT761" i="1" s="1"/>
  <c r="AQ761" i="1"/>
  <c r="AE761" i="1"/>
  <c r="AP761" i="1"/>
  <c r="AD761" i="1"/>
  <c r="R761" i="1"/>
  <c r="F761" i="1"/>
  <c r="AO761" i="1"/>
  <c r="AN761" i="1"/>
  <c r="AB761" i="1"/>
  <c r="AG761" i="1"/>
  <c r="U761" i="1"/>
  <c r="S761" i="1"/>
  <c r="Q761" i="1"/>
  <c r="I761" i="1"/>
  <c r="G761" i="1"/>
  <c r="E761" i="1"/>
  <c r="D761" i="1"/>
  <c r="AR844" i="1"/>
  <c r="AF844" i="1"/>
  <c r="T844" i="1"/>
  <c r="H844" i="1"/>
  <c r="AT844" i="1" s="1"/>
  <c r="AQ844" i="1"/>
  <c r="AE844" i="1"/>
  <c r="S844" i="1"/>
  <c r="G844" i="1"/>
  <c r="AP844" i="1"/>
  <c r="AD844" i="1"/>
  <c r="R844" i="1"/>
  <c r="F844" i="1"/>
  <c r="AO844" i="1"/>
  <c r="Q844" i="1"/>
  <c r="E844" i="1"/>
  <c r="AK844" i="1"/>
  <c r="Y844" i="1"/>
  <c r="M844" i="1"/>
  <c r="AN844" i="1"/>
  <c r="W844" i="1"/>
  <c r="AM844" i="1"/>
  <c r="V844" i="1"/>
  <c r="AL844" i="1"/>
  <c r="U844" i="1"/>
  <c r="AJ844" i="1"/>
  <c r="AI844" i="1"/>
  <c r="O844" i="1"/>
  <c r="P844" i="1" s="1"/>
  <c r="AY844" i="1"/>
  <c r="AH844" i="1"/>
  <c r="N844" i="1"/>
  <c r="AG844" i="1"/>
  <c r="K844" i="1"/>
  <c r="L844" i="1" s="1"/>
  <c r="AB844" i="1"/>
  <c r="J844" i="1"/>
  <c r="AA844" i="1"/>
  <c r="I844" i="1"/>
  <c r="Z844" i="1"/>
  <c r="D844" i="1"/>
  <c r="AS844" i="1"/>
  <c r="X844" i="1"/>
  <c r="AH825" i="1"/>
  <c r="V825" i="1"/>
  <c r="J825" i="1"/>
  <c r="AS825" i="1"/>
  <c r="AG825" i="1"/>
  <c r="U825" i="1"/>
  <c r="I825" i="1"/>
  <c r="AR825" i="1"/>
  <c r="AF825" i="1"/>
  <c r="T825" i="1"/>
  <c r="H825" i="1"/>
  <c r="AT825" i="1" s="1"/>
  <c r="AQ825" i="1"/>
  <c r="AE825" i="1"/>
  <c r="S825" i="1"/>
  <c r="G825" i="1"/>
  <c r="AP825" i="1"/>
  <c r="AD825" i="1"/>
  <c r="R825" i="1"/>
  <c r="F825" i="1"/>
  <c r="AO825" i="1"/>
  <c r="Q825" i="1"/>
  <c r="E825" i="1"/>
  <c r="AN825" i="1"/>
  <c r="AB825" i="1"/>
  <c r="D825" i="1"/>
  <c r="AY825" i="1"/>
  <c r="AM825" i="1"/>
  <c r="AA825" i="1"/>
  <c r="O825" i="1"/>
  <c r="P825" i="1" s="1"/>
  <c r="AL825" i="1"/>
  <c r="Z825" i="1"/>
  <c r="N825" i="1"/>
  <c r="AK825" i="1"/>
  <c r="Y825" i="1"/>
  <c r="M825" i="1"/>
  <c r="AJ825" i="1"/>
  <c r="X825" i="1"/>
  <c r="AI825" i="1"/>
  <c r="W825" i="1"/>
  <c r="K825" i="1"/>
  <c r="L825" i="1" s="1"/>
  <c r="AP815" i="1"/>
  <c r="AD815" i="1"/>
  <c r="R815" i="1"/>
  <c r="F815" i="1"/>
  <c r="AO815" i="1"/>
  <c r="Q815" i="1"/>
  <c r="E815" i="1"/>
  <c r="AN815" i="1"/>
  <c r="AB815" i="1"/>
  <c r="D815" i="1"/>
  <c r="AY815" i="1"/>
  <c r="AM815" i="1"/>
  <c r="AA815" i="1"/>
  <c r="O815" i="1"/>
  <c r="P815" i="1" s="1"/>
  <c r="AL815" i="1"/>
  <c r="Z815" i="1"/>
  <c r="N815" i="1"/>
  <c r="AK815" i="1"/>
  <c r="Y815" i="1"/>
  <c r="M815" i="1"/>
  <c r="AJ815" i="1"/>
  <c r="X815" i="1"/>
  <c r="AI815" i="1"/>
  <c r="W815" i="1"/>
  <c r="K815" i="1"/>
  <c r="L815" i="1" s="1"/>
  <c r="AH815" i="1"/>
  <c r="V815" i="1"/>
  <c r="J815" i="1"/>
  <c r="AS815" i="1"/>
  <c r="AG815" i="1"/>
  <c r="U815" i="1"/>
  <c r="I815" i="1"/>
  <c r="AR815" i="1"/>
  <c r="AF815" i="1"/>
  <c r="T815" i="1"/>
  <c r="H815" i="1"/>
  <c r="AT815" i="1" s="1"/>
  <c r="AQ815" i="1"/>
  <c r="AE815" i="1"/>
  <c r="S815" i="1"/>
  <c r="G815" i="1"/>
  <c r="AN834" i="1"/>
  <c r="AB834" i="1"/>
  <c r="D834" i="1"/>
  <c r="AY834" i="1"/>
  <c r="AM834" i="1"/>
  <c r="AA834" i="1"/>
  <c r="O834" i="1"/>
  <c r="P834" i="1" s="1"/>
  <c r="AL834" i="1"/>
  <c r="Z834" i="1"/>
  <c r="N834" i="1"/>
  <c r="AK834" i="1"/>
  <c r="Y834" i="1"/>
  <c r="M834" i="1"/>
  <c r="AJ834" i="1"/>
  <c r="X834" i="1"/>
  <c r="AI834" i="1"/>
  <c r="W834" i="1"/>
  <c r="K834" i="1"/>
  <c r="L834" i="1" s="1"/>
  <c r="AH834" i="1"/>
  <c r="V834" i="1"/>
  <c r="J834" i="1"/>
  <c r="AS834" i="1"/>
  <c r="AG834" i="1"/>
  <c r="U834" i="1"/>
  <c r="I834" i="1"/>
  <c r="AR834" i="1"/>
  <c r="AF834" i="1"/>
  <c r="T834" i="1"/>
  <c r="H834" i="1"/>
  <c r="AT834" i="1" s="1"/>
  <c r="AQ834" i="1"/>
  <c r="AE834" i="1"/>
  <c r="S834" i="1"/>
  <c r="G834" i="1"/>
  <c r="AP834" i="1"/>
  <c r="AD834" i="1"/>
  <c r="R834" i="1"/>
  <c r="F834" i="1"/>
  <c r="AO834" i="1"/>
  <c r="Q834" i="1"/>
  <c r="E834" i="1"/>
  <c r="AN879" i="1"/>
  <c r="AB879" i="1"/>
  <c r="D879" i="1"/>
  <c r="AL879" i="1"/>
  <c r="Z879" i="1"/>
  <c r="N879" i="1"/>
  <c r="AP879" i="1"/>
  <c r="AA879" i="1"/>
  <c r="AO879" i="1"/>
  <c r="Y879" i="1"/>
  <c r="K879" i="1"/>
  <c r="L879" i="1" s="1"/>
  <c r="AM879" i="1"/>
  <c r="X879" i="1"/>
  <c r="J879" i="1"/>
  <c r="AY879" i="1"/>
  <c r="AK879" i="1"/>
  <c r="W879" i="1"/>
  <c r="I879" i="1"/>
  <c r="AJ879" i="1"/>
  <c r="V879" i="1"/>
  <c r="H879" i="1"/>
  <c r="AT879" i="1" s="1"/>
  <c r="AI879" i="1"/>
  <c r="U879" i="1"/>
  <c r="G879" i="1"/>
  <c r="AH879" i="1"/>
  <c r="T879" i="1"/>
  <c r="F879" i="1"/>
  <c r="AG879" i="1"/>
  <c r="S879" i="1"/>
  <c r="E879" i="1"/>
  <c r="AF879" i="1"/>
  <c r="R879" i="1"/>
  <c r="AS879" i="1"/>
  <c r="AE879" i="1"/>
  <c r="Q879" i="1"/>
  <c r="AR879" i="1"/>
  <c r="AD879" i="1"/>
  <c r="O879" i="1"/>
  <c r="P879" i="1" s="1"/>
  <c r="AQ879" i="1"/>
  <c r="M879" i="1"/>
  <c r="AR862" i="1"/>
  <c r="AF862" i="1"/>
  <c r="T862" i="1"/>
  <c r="H862" i="1"/>
  <c r="AT862" i="1" s="1"/>
  <c r="AQ862" i="1"/>
  <c r="AE862" i="1"/>
  <c r="S862" i="1"/>
  <c r="G862" i="1"/>
  <c r="AP862" i="1"/>
  <c r="AD862" i="1"/>
  <c r="R862" i="1"/>
  <c r="F862" i="1"/>
  <c r="AO862" i="1"/>
  <c r="Q862" i="1"/>
  <c r="E862" i="1"/>
  <c r="AN862" i="1"/>
  <c r="AB862" i="1"/>
  <c r="D862" i="1"/>
  <c r="AY862" i="1"/>
  <c r="AM862" i="1"/>
  <c r="AA862" i="1"/>
  <c r="O862" i="1"/>
  <c r="P862" i="1" s="1"/>
  <c r="AL862" i="1"/>
  <c r="Z862" i="1"/>
  <c r="N862" i="1"/>
  <c r="AK862" i="1"/>
  <c r="Y862" i="1"/>
  <c r="M862" i="1"/>
  <c r="AJ862" i="1"/>
  <c r="X862" i="1"/>
  <c r="AI862" i="1"/>
  <c r="W862" i="1"/>
  <c r="K862" i="1"/>
  <c r="L862" i="1" s="1"/>
  <c r="AH862" i="1"/>
  <c r="V862" i="1"/>
  <c r="J862" i="1"/>
  <c r="AS862" i="1"/>
  <c r="AG862" i="1"/>
  <c r="U862" i="1"/>
  <c r="I862" i="1"/>
  <c r="AN852" i="1"/>
  <c r="AB852" i="1"/>
  <c r="D852" i="1"/>
  <c r="AY852" i="1"/>
  <c r="AM852" i="1"/>
  <c r="AA852" i="1"/>
  <c r="O852" i="1"/>
  <c r="P852" i="1" s="1"/>
  <c r="AL852" i="1"/>
  <c r="Z852" i="1"/>
  <c r="N852" i="1"/>
  <c r="AK852" i="1"/>
  <c r="Y852" i="1"/>
  <c r="M852" i="1"/>
  <c r="AJ852" i="1"/>
  <c r="X852" i="1"/>
  <c r="AI852" i="1"/>
  <c r="W852" i="1"/>
  <c r="K852" i="1"/>
  <c r="L852" i="1" s="1"/>
  <c r="AH852" i="1"/>
  <c r="V852" i="1"/>
  <c r="J852" i="1"/>
  <c r="AS852" i="1"/>
  <c r="AG852" i="1"/>
  <c r="U852" i="1"/>
  <c r="I852" i="1"/>
  <c r="AR852" i="1"/>
  <c r="AF852" i="1"/>
  <c r="T852" i="1"/>
  <c r="H852" i="1"/>
  <c r="AT852" i="1" s="1"/>
  <c r="AQ852" i="1"/>
  <c r="AE852" i="1"/>
  <c r="S852" i="1"/>
  <c r="G852" i="1"/>
  <c r="AP852" i="1"/>
  <c r="AD852" i="1"/>
  <c r="R852" i="1"/>
  <c r="F852" i="1"/>
  <c r="AO852" i="1"/>
  <c r="Q852" i="1"/>
  <c r="E852" i="1"/>
  <c r="AJ899" i="1"/>
  <c r="X899" i="1"/>
  <c r="AI899" i="1"/>
  <c r="W899" i="1"/>
  <c r="K899" i="1"/>
  <c r="L899" i="1" s="1"/>
  <c r="AH899" i="1"/>
  <c r="V899" i="1"/>
  <c r="J899" i="1"/>
  <c r="AS899" i="1"/>
  <c r="AG899" i="1"/>
  <c r="U899" i="1"/>
  <c r="I899" i="1"/>
  <c r="AR899" i="1"/>
  <c r="AF899" i="1"/>
  <c r="T899" i="1"/>
  <c r="H899" i="1"/>
  <c r="AT899" i="1" s="1"/>
  <c r="AQ899" i="1"/>
  <c r="AE899" i="1"/>
  <c r="S899" i="1"/>
  <c r="G899" i="1"/>
  <c r="AP899" i="1"/>
  <c r="AD899" i="1"/>
  <c r="R899" i="1"/>
  <c r="F899" i="1"/>
  <c r="AO899" i="1"/>
  <c r="Q899" i="1"/>
  <c r="E899" i="1"/>
  <c r="AN899" i="1"/>
  <c r="AB899" i="1"/>
  <c r="D899" i="1"/>
  <c r="AY899" i="1"/>
  <c r="AM899" i="1"/>
  <c r="AA899" i="1"/>
  <c r="O899" i="1"/>
  <c r="P899" i="1" s="1"/>
  <c r="AL899" i="1"/>
  <c r="Z899" i="1"/>
  <c r="N899" i="1"/>
  <c r="AK899" i="1"/>
  <c r="Y899" i="1"/>
  <c r="M899" i="1"/>
  <c r="AR901" i="1"/>
  <c r="AF901" i="1"/>
  <c r="T901" i="1"/>
  <c r="H901" i="1"/>
  <c r="AT901" i="1" s="1"/>
  <c r="AQ901" i="1"/>
  <c r="AE901" i="1"/>
  <c r="S901" i="1"/>
  <c r="G901" i="1"/>
  <c r="AP901" i="1"/>
  <c r="AD901" i="1"/>
  <c r="R901" i="1"/>
  <c r="F901" i="1"/>
  <c r="AO901" i="1"/>
  <c r="Q901" i="1"/>
  <c r="E901" i="1"/>
  <c r="AN901" i="1"/>
  <c r="AB901" i="1"/>
  <c r="D901" i="1"/>
  <c r="AY901" i="1"/>
  <c r="AM901" i="1"/>
  <c r="AA901" i="1"/>
  <c r="O901" i="1"/>
  <c r="P901" i="1" s="1"/>
  <c r="AL901" i="1"/>
  <c r="Z901" i="1"/>
  <c r="N901" i="1"/>
  <c r="AK901" i="1"/>
  <c r="Y901" i="1"/>
  <c r="M901" i="1"/>
  <c r="AJ901" i="1"/>
  <c r="X901" i="1"/>
  <c r="AI901" i="1"/>
  <c r="W901" i="1"/>
  <c r="K901" i="1"/>
  <c r="L901" i="1" s="1"/>
  <c r="AH901" i="1"/>
  <c r="V901" i="1"/>
  <c r="J901" i="1"/>
  <c r="AS901" i="1"/>
  <c r="AG901" i="1"/>
  <c r="U901" i="1"/>
  <c r="I901" i="1"/>
  <c r="AN897" i="1"/>
  <c r="AB897" i="1"/>
  <c r="D897" i="1"/>
  <c r="AY897" i="1"/>
  <c r="AM897" i="1"/>
  <c r="AA897" i="1"/>
  <c r="O897" i="1"/>
  <c r="P897" i="1" s="1"/>
  <c r="AL897" i="1"/>
  <c r="Z897" i="1"/>
  <c r="N897" i="1"/>
  <c r="AK897" i="1"/>
  <c r="Y897" i="1"/>
  <c r="M897" i="1"/>
  <c r="AJ897" i="1"/>
  <c r="X897" i="1"/>
  <c r="AI897" i="1"/>
  <c r="W897" i="1"/>
  <c r="K897" i="1"/>
  <c r="L897" i="1" s="1"/>
  <c r="AH897" i="1"/>
  <c r="V897" i="1"/>
  <c r="J897" i="1"/>
  <c r="AS897" i="1"/>
  <c r="AG897" i="1"/>
  <c r="U897" i="1"/>
  <c r="I897" i="1"/>
  <c r="AR897" i="1"/>
  <c r="AF897" i="1"/>
  <c r="T897" i="1"/>
  <c r="H897" i="1"/>
  <c r="AT897" i="1" s="1"/>
  <c r="AQ897" i="1"/>
  <c r="AE897" i="1"/>
  <c r="S897" i="1"/>
  <c r="G897" i="1"/>
  <c r="AP897" i="1"/>
  <c r="AD897" i="1"/>
  <c r="R897" i="1"/>
  <c r="F897" i="1"/>
  <c r="AO897" i="1"/>
  <c r="Q897" i="1"/>
  <c r="E897" i="1"/>
  <c r="AL951" i="1"/>
  <c r="Z951" i="1"/>
  <c r="N951" i="1"/>
  <c r="AK951" i="1"/>
  <c r="Y951" i="1"/>
  <c r="M951" i="1"/>
  <c r="AJ951" i="1"/>
  <c r="X951" i="1"/>
  <c r="AI951" i="1"/>
  <c r="W951" i="1"/>
  <c r="K951" i="1"/>
  <c r="L951" i="1" s="1"/>
  <c r="AH951" i="1"/>
  <c r="V951" i="1"/>
  <c r="J951" i="1"/>
  <c r="AS951" i="1"/>
  <c r="AG951" i="1"/>
  <c r="U951" i="1"/>
  <c r="I951" i="1"/>
  <c r="AR951" i="1"/>
  <c r="AF951" i="1"/>
  <c r="T951" i="1"/>
  <c r="H951" i="1"/>
  <c r="AT951" i="1" s="1"/>
  <c r="AQ951" i="1"/>
  <c r="AE951" i="1"/>
  <c r="S951" i="1"/>
  <c r="G951" i="1"/>
  <c r="AP951" i="1"/>
  <c r="AD951" i="1"/>
  <c r="R951" i="1"/>
  <c r="F951" i="1"/>
  <c r="AO951" i="1"/>
  <c r="Q951" i="1"/>
  <c r="E951" i="1"/>
  <c r="AN951" i="1"/>
  <c r="AB951" i="1"/>
  <c r="D951" i="1"/>
  <c r="AY951" i="1"/>
  <c r="AM951" i="1"/>
  <c r="AA951" i="1"/>
  <c r="O951" i="1"/>
  <c r="P951" i="1" s="1"/>
  <c r="AL957" i="1"/>
  <c r="Z957" i="1"/>
  <c r="N957" i="1"/>
  <c r="AK957" i="1"/>
  <c r="Y957" i="1"/>
  <c r="M957" i="1"/>
  <c r="AJ957" i="1"/>
  <c r="X957" i="1"/>
  <c r="AI957" i="1"/>
  <c r="W957" i="1"/>
  <c r="K957" i="1"/>
  <c r="L957" i="1" s="1"/>
  <c r="AH957" i="1"/>
  <c r="V957" i="1"/>
  <c r="J957" i="1"/>
  <c r="AS957" i="1"/>
  <c r="AG957" i="1"/>
  <c r="U957" i="1"/>
  <c r="I957" i="1"/>
  <c r="AR957" i="1"/>
  <c r="AF957" i="1"/>
  <c r="T957" i="1"/>
  <c r="H957" i="1"/>
  <c r="AT957" i="1" s="1"/>
  <c r="AQ957" i="1"/>
  <c r="AE957" i="1"/>
  <c r="S957" i="1"/>
  <c r="G957" i="1"/>
  <c r="AP957" i="1"/>
  <c r="AD957" i="1"/>
  <c r="R957" i="1"/>
  <c r="F957" i="1"/>
  <c r="AO957" i="1"/>
  <c r="Q957" i="1"/>
  <c r="E957" i="1"/>
  <c r="AN957" i="1"/>
  <c r="AB957" i="1"/>
  <c r="D957" i="1"/>
  <c r="AM957" i="1"/>
  <c r="AA957" i="1"/>
  <c r="O957" i="1"/>
  <c r="P957" i="1" s="1"/>
  <c r="AY957" i="1"/>
  <c r="AQ970" i="1"/>
  <c r="AE970" i="1"/>
  <c r="S970" i="1"/>
  <c r="G970" i="1"/>
  <c r="AN970" i="1"/>
  <c r="AA970" i="1"/>
  <c r="N970" i="1"/>
  <c r="AM970" i="1"/>
  <c r="Z970" i="1"/>
  <c r="M970" i="1"/>
  <c r="AY970" i="1"/>
  <c r="AL970" i="1"/>
  <c r="Y970" i="1"/>
  <c r="AK970" i="1"/>
  <c r="X970" i="1"/>
  <c r="K970" i="1"/>
  <c r="L970" i="1" s="1"/>
  <c r="AJ970" i="1"/>
  <c r="W970" i="1"/>
  <c r="J970" i="1"/>
  <c r="AI970" i="1"/>
  <c r="V970" i="1"/>
  <c r="I970" i="1"/>
  <c r="AH970" i="1"/>
  <c r="U970" i="1"/>
  <c r="H970" i="1"/>
  <c r="AT970" i="1" s="1"/>
  <c r="AG970" i="1"/>
  <c r="T970" i="1"/>
  <c r="F970" i="1"/>
  <c r="AS970" i="1"/>
  <c r="AF970" i="1"/>
  <c r="R970" i="1"/>
  <c r="E970" i="1"/>
  <c r="AR970" i="1"/>
  <c r="AD970" i="1"/>
  <c r="Q970" i="1"/>
  <c r="D970" i="1"/>
  <c r="AP970" i="1"/>
  <c r="AO970" i="1"/>
  <c r="AB970" i="1"/>
  <c r="O970" i="1"/>
  <c r="P970" i="1" s="1"/>
  <c r="AH965" i="1"/>
  <c r="V965" i="1"/>
  <c r="J965" i="1"/>
  <c r="AS965" i="1"/>
  <c r="AG965" i="1"/>
  <c r="U965" i="1"/>
  <c r="I965" i="1"/>
  <c r="AR965" i="1"/>
  <c r="AF965" i="1"/>
  <c r="T965" i="1"/>
  <c r="H965" i="1"/>
  <c r="AT965" i="1" s="1"/>
  <c r="AQ965" i="1"/>
  <c r="AE965" i="1"/>
  <c r="S965" i="1"/>
  <c r="G965" i="1"/>
  <c r="AP965" i="1"/>
  <c r="AD965" i="1"/>
  <c r="R965" i="1"/>
  <c r="F965" i="1"/>
  <c r="AO965" i="1"/>
  <c r="Q965" i="1"/>
  <c r="E965" i="1"/>
  <c r="AN965" i="1"/>
  <c r="AB965" i="1"/>
  <c r="D965" i="1"/>
  <c r="AY965" i="1"/>
  <c r="AM965" i="1"/>
  <c r="AA965" i="1"/>
  <c r="O965" i="1"/>
  <c r="P965" i="1" s="1"/>
  <c r="AL965" i="1"/>
  <c r="Z965" i="1"/>
  <c r="N965" i="1"/>
  <c r="AK965" i="1"/>
  <c r="Y965" i="1"/>
  <c r="M965" i="1"/>
  <c r="AJ965" i="1"/>
  <c r="X965" i="1"/>
  <c r="AI965" i="1"/>
  <c r="W965" i="1"/>
  <c r="K965" i="1"/>
  <c r="L965" i="1" s="1"/>
  <c r="AN950" i="1"/>
  <c r="AB950" i="1"/>
  <c r="D950" i="1"/>
  <c r="AY950" i="1"/>
  <c r="AM950" i="1"/>
  <c r="AA950" i="1"/>
  <c r="O950" i="1"/>
  <c r="P950" i="1" s="1"/>
  <c r="AL950" i="1"/>
  <c r="Z950" i="1"/>
  <c r="N950" i="1"/>
  <c r="AK950" i="1"/>
  <c r="Y950" i="1"/>
  <c r="M950" i="1"/>
  <c r="AJ950" i="1"/>
  <c r="X950" i="1"/>
  <c r="AI950" i="1"/>
  <c r="W950" i="1"/>
  <c r="K950" i="1"/>
  <c r="L950" i="1" s="1"/>
  <c r="AH950" i="1"/>
  <c r="V950" i="1"/>
  <c r="J950" i="1"/>
  <c r="AS950" i="1"/>
  <c r="AG950" i="1"/>
  <c r="U950" i="1"/>
  <c r="I950" i="1"/>
  <c r="AR950" i="1"/>
  <c r="AQ950" i="1"/>
  <c r="AE950" i="1"/>
  <c r="S950" i="1"/>
  <c r="G950" i="1"/>
  <c r="AP950" i="1"/>
  <c r="AD950" i="1"/>
  <c r="R950" i="1"/>
  <c r="F950" i="1"/>
  <c r="AO950" i="1"/>
  <c r="AF950" i="1"/>
  <c r="T950" i="1"/>
  <c r="Q950" i="1"/>
  <c r="H950" i="1"/>
  <c r="AT950" i="1" s="1"/>
  <c r="E950" i="1"/>
  <c r="AL1009" i="1"/>
  <c r="Z1009" i="1"/>
  <c r="N1009" i="1"/>
  <c r="AK1009" i="1"/>
  <c r="Y1009" i="1"/>
  <c r="M1009" i="1"/>
  <c r="AH1009" i="1"/>
  <c r="V1009" i="1"/>
  <c r="J1009" i="1"/>
  <c r="AS1009" i="1"/>
  <c r="AG1009" i="1"/>
  <c r="U1009" i="1"/>
  <c r="I1009" i="1"/>
  <c r="AR1009" i="1"/>
  <c r="AF1009" i="1"/>
  <c r="T1009" i="1"/>
  <c r="H1009" i="1"/>
  <c r="AT1009" i="1" s="1"/>
  <c r="AQ1009" i="1"/>
  <c r="AE1009" i="1"/>
  <c r="S1009" i="1"/>
  <c r="G1009" i="1"/>
  <c r="AP1009" i="1"/>
  <c r="AD1009" i="1"/>
  <c r="R1009" i="1"/>
  <c r="F1009" i="1"/>
  <c r="AO1009" i="1"/>
  <c r="Q1009" i="1"/>
  <c r="E1009" i="1"/>
  <c r="AN1009" i="1"/>
  <c r="AB1009" i="1"/>
  <c r="D1009" i="1"/>
  <c r="AJ1009" i="1"/>
  <c r="AI1009" i="1"/>
  <c r="AA1009" i="1"/>
  <c r="X1009" i="1"/>
  <c r="W1009" i="1"/>
  <c r="AY1009" i="1"/>
  <c r="O1009" i="1"/>
  <c r="P1009" i="1" s="1"/>
  <c r="K1009" i="1"/>
  <c r="L1009" i="1" s="1"/>
  <c r="AM1009" i="1"/>
  <c r="AQ988" i="1"/>
  <c r="AE988" i="1"/>
  <c r="S988" i="1"/>
  <c r="G988" i="1"/>
  <c r="AP988" i="1"/>
  <c r="AD988" i="1"/>
  <c r="R988" i="1"/>
  <c r="F988" i="1"/>
  <c r="AO988" i="1"/>
  <c r="Q988" i="1"/>
  <c r="E988" i="1"/>
  <c r="AN988" i="1"/>
  <c r="AB988" i="1"/>
  <c r="D988" i="1"/>
  <c r="AY988" i="1"/>
  <c r="AM988" i="1"/>
  <c r="AA988" i="1"/>
  <c r="O988" i="1"/>
  <c r="P988" i="1" s="1"/>
  <c r="AL988" i="1"/>
  <c r="Z988" i="1"/>
  <c r="N988" i="1"/>
  <c r="AK988" i="1"/>
  <c r="Y988" i="1"/>
  <c r="M988" i="1"/>
  <c r="AJ988" i="1"/>
  <c r="X988" i="1"/>
  <c r="AI988" i="1"/>
  <c r="W988" i="1"/>
  <c r="K988" i="1"/>
  <c r="L988" i="1" s="1"/>
  <c r="AH988" i="1"/>
  <c r="V988" i="1"/>
  <c r="J988" i="1"/>
  <c r="AS988" i="1"/>
  <c r="AG988" i="1"/>
  <c r="U988" i="1"/>
  <c r="I988" i="1"/>
  <c r="AR988" i="1"/>
  <c r="AF988" i="1"/>
  <c r="T988" i="1"/>
  <c r="H988" i="1"/>
  <c r="AT988" i="1" s="1"/>
  <c r="AY996" i="1"/>
  <c r="AM996" i="1"/>
  <c r="AA996" i="1"/>
  <c r="O996" i="1"/>
  <c r="P996" i="1" s="1"/>
  <c r="AL996" i="1"/>
  <c r="Z996" i="1"/>
  <c r="N996" i="1"/>
  <c r="AK996" i="1"/>
  <c r="Y996" i="1"/>
  <c r="M996" i="1"/>
  <c r="AJ996" i="1"/>
  <c r="X996" i="1"/>
  <c r="AI996" i="1"/>
  <c r="W996" i="1"/>
  <c r="K996" i="1"/>
  <c r="L996" i="1" s="1"/>
  <c r="AH996" i="1"/>
  <c r="V996" i="1"/>
  <c r="J996" i="1"/>
  <c r="AS996" i="1"/>
  <c r="AG996" i="1"/>
  <c r="U996" i="1"/>
  <c r="I996" i="1"/>
  <c r="AR996" i="1"/>
  <c r="AF996" i="1"/>
  <c r="T996" i="1"/>
  <c r="H996" i="1"/>
  <c r="AT996" i="1" s="1"/>
  <c r="AQ996" i="1"/>
  <c r="AE996" i="1"/>
  <c r="S996" i="1"/>
  <c r="G996" i="1"/>
  <c r="AP996" i="1"/>
  <c r="AD996" i="1"/>
  <c r="R996" i="1"/>
  <c r="F996" i="1"/>
  <c r="AO996" i="1"/>
  <c r="Q996" i="1"/>
  <c r="E996" i="1"/>
  <c r="AN996" i="1"/>
  <c r="AB996" i="1"/>
  <c r="D996" i="1"/>
  <c r="AJ1030" i="1"/>
  <c r="X1030" i="1"/>
  <c r="AI1030" i="1"/>
  <c r="W1030" i="1"/>
  <c r="K1030" i="1"/>
  <c r="L1030" i="1" s="1"/>
  <c r="AH1030" i="1"/>
  <c r="V1030" i="1"/>
  <c r="J1030" i="1"/>
  <c r="AS1030" i="1"/>
  <c r="AG1030" i="1"/>
  <c r="U1030" i="1"/>
  <c r="I1030" i="1"/>
  <c r="AR1030" i="1"/>
  <c r="AF1030" i="1"/>
  <c r="T1030" i="1"/>
  <c r="H1030" i="1"/>
  <c r="AT1030" i="1" s="1"/>
  <c r="AQ1030" i="1"/>
  <c r="AE1030" i="1"/>
  <c r="S1030" i="1"/>
  <c r="G1030" i="1"/>
  <c r="AP1030" i="1"/>
  <c r="AM1030" i="1"/>
  <c r="O1030" i="1"/>
  <c r="P1030" i="1" s="1"/>
  <c r="AL1030" i="1"/>
  <c r="N1030" i="1"/>
  <c r="AD1030" i="1"/>
  <c r="F1030" i="1"/>
  <c r="E1030" i="1"/>
  <c r="AB1030" i="1"/>
  <c r="D1030" i="1"/>
  <c r="AA1030" i="1"/>
  <c r="AY1030" i="1"/>
  <c r="Z1030" i="1"/>
  <c r="Y1030" i="1"/>
  <c r="R1030" i="1"/>
  <c r="AO1030" i="1"/>
  <c r="Q1030" i="1"/>
  <c r="AK1030" i="1"/>
  <c r="M1030" i="1"/>
  <c r="AN1030" i="1"/>
  <c r="AH1031" i="1"/>
  <c r="V1031" i="1"/>
  <c r="J1031" i="1"/>
  <c r="AS1031" i="1"/>
  <c r="AG1031" i="1"/>
  <c r="U1031" i="1"/>
  <c r="I1031" i="1"/>
  <c r="AR1031" i="1"/>
  <c r="AF1031" i="1"/>
  <c r="T1031" i="1"/>
  <c r="H1031" i="1"/>
  <c r="AT1031" i="1" s="1"/>
  <c r="AQ1031" i="1"/>
  <c r="AE1031" i="1"/>
  <c r="S1031" i="1"/>
  <c r="G1031" i="1"/>
  <c r="AP1031" i="1"/>
  <c r="AD1031" i="1"/>
  <c r="R1031" i="1"/>
  <c r="F1031" i="1"/>
  <c r="AO1031" i="1"/>
  <c r="Q1031" i="1"/>
  <c r="E1031" i="1"/>
  <c r="AN1031" i="1"/>
  <c r="AB1031" i="1"/>
  <c r="D1031" i="1"/>
  <c r="AY1031" i="1"/>
  <c r="AM1031" i="1"/>
  <c r="AA1031" i="1"/>
  <c r="O1031" i="1"/>
  <c r="P1031" i="1" s="1"/>
  <c r="AL1031" i="1"/>
  <c r="X1031" i="1"/>
  <c r="W1031" i="1"/>
  <c r="M1031" i="1"/>
  <c r="K1031" i="1"/>
  <c r="L1031" i="1" s="1"/>
  <c r="AK1031" i="1"/>
  <c r="AJ1031" i="1"/>
  <c r="AI1031" i="1"/>
  <c r="Z1031" i="1"/>
  <c r="Y1031" i="1"/>
  <c r="N1031" i="1"/>
  <c r="AP1039" i="1"/>
  <c r="AD1039" i="1"/>
  <c r="R1039" i="1"/>
  <c r="F1039" i="1"/>
  <c r="AO1039" i="1"/>
  <c r="Q1039" i="1"/>
  <c r="E1039" i="1"/>
  <c r="AN1039" i="1"/>
  <c r="AB1039" i="1"/>
  <c r="D1039" i="1"/>
  <c r="AY1039" i="1"/>
  <c r="AM1039" i="1"/>
  <c r="AA1039" i="1"/>
  <c r="O1039" i="1"/>
  <c r="P1039" i="1" s="1"/>
  <c r="AL1039" i="1"/>
  <c r="Z1039" i="1"/>
  <c r="N1039" i="1"/>
  <c r="AK1039" i="1"/>
  <c r="Y1039" i="1"/>
  <c r="M1039" i="1"/>
  <c r="AJ1039" i="1"/>
  <c r="X1039" i="1"/>
  <c r="AI1039" i="1"/>
  <c r="W1039" i="1"/>
  <c r="K1039" i="1"/>
  <c r="L1039" i="1" s="1"/>
  <c r="AH1039" i="1"/>
  <c r="V1039" i="1"/>
  <c r="J1039" i="1"/>
  <c r="AS1039" i="1"/>
  <c r="AG1039" i="1"/>
  <c r="U1039" i="1"/>
  <c r="I1039" i="1"/>
  <c r="AR1039" i="1"/>
  <c r="AF1039" i="1"/>
  <c r="T1039" i="1"/>
  <c r="H1039" i="1"/>
  <c r="AT1039" i="1" s="1"/>
  <c r="AQ1039" i="1"/>
  <c r="AE1039" i="1"/>
  <c r="S1039" i="1"/>
  <c r="G1039" i="1"/>
  <c r="AH1074" i="1"/>
  <c r="V1074" i="1"/>
  <c r="J1074" i="1"/>
  <c r="AS1074" i="1"/>
  <c r="AG1074" i="1"/>
  <c r="U1074" i="1"/>
  <c r="I1074" i="1"/>
  <c r="AR1074" i="1"/>
  <c r="AF1074" i="1"/>
  <c r="T1074" i="1"/>
  <c r="H1074" i="1"/>
  <c r="AT1074" i="1" s="1"/>
  <c r="AQ1074" i="1"/>
  <c r="AE1074" i="1"/>
  <c r="S1074" i="1"/>
  <c r="G1074" i="1"/>
  <c r="AP1074" i="1"/>
  <c r="AD1074" i="1"/>
  <c r="R1074" i="1"/>
  <c r="F1074" i="1"/>
  <c r="AO1074" i="1"/>
  <c r="Q1074" i="1"/>
  <c r="E1074" i="1"/>
  <c r="AN1074" i="1"/>
  <c r="AB1074" i="1"/>
  <c r="D1074" i="1"/>
  <c r="AY1074" i="1"/>
  <c r="AJ1074" i="1"/>
  <c r="X1074" i="1"/>
  <c r="Z1074" i="1"/>
  <c r="Y1074" i="1"/>
  <c r="W1074" i="1"/>
  <c r="O1074" i="1"/>
  <c r="P1074" i="1" s="1"/>
  <c r="N1074" i="1"/>
  <c r="M1074" i="1"/>
  <c r="AM1074" i="1"/>
  <c r="K1074" i="1"/>
  <c r="L1074" i="1" s="1"/>
  <c r="AL1074" i="1"/>
  <c r="AK1074" i="1"/>
  <c r="AI1074" i="1"/>
  <c r="AA1074" i="1"/>
  <c r="AY1051" i="1"/>
  <c r="AM1051" i="1"/>
  <c r="AA1051" i="1"/>
  <c r="O1051" i="1"/>
  <c r="P1051" i="1" s="1"/>
  <c r="AK1051" i="1"/>
  <c r="X1051" i="1"/>
  <c r="K1051" i="1"/>
  <c r="L1051" i="1" s="1"/>
  <c r="AJ1051" i="1"/>
  <c r="W1051" i="1"/>
  <c r="J1051" i="1"/>
  <c r="AI1051" i="1"/>
  <c r="V1051" i="1"/>
  <c r="I1051" i="1"/>
  <c r="AH1051" i="1"/>
  <c r="U1051" i="1"/>
  <c r="H1051" i="1"/>
  <c r="AT1051" i="1" s="1"/>
  <c r="AG1051" i="1"/>
  <c r="T1051" i="1"/>
  <c r="G1051" i="1"/>
  <c r="AS1051" i="1"/>
  <c r="AF1051" i="1"/>
  <c r="S1051" i="1"/>
  <c r="F1051" i="1"/>
  <c r="AR1051" i="1"/>
  <c r="AE1051" i="1"/>
  <c r="R1051" i="1"/>
  <c r="E1051" i="1"/>
  <c r="AQ1051" i="1"/>
  <c r="AD1051" i="1"/>
  <c r="Q1051" i="1"/>
  <c r="D1051" i="1"/>
  <c r="AP1051" i="1"/>
  <c r="AO1051" i="1"/>
  <c r="AB1051" i="1"/>
  <c r="N1051" i="1"/>
  <c r="AN1051" i="1"/>
  <c r="Z1051" i="1"/>
  <c r="M1051" i="1"/>
  <c r="Y1051" i="1"/>
  <c r="AL1051" i="1"/>
  <c r="AR1081" i="1"/>
  <c r="AF1081" i="1"/>
  <c r="T1081" i="1"/>
  <c r="H1081" i="1"/>
  <c r="AT1081" i="1" s="1"/>
  <c r="AQ1081" i="1"/>
  <c r="AE1081" i="1"/>
  <c r="S1081" i="1"/>
  <c r="G1081" i="1"/>
  <c r="AP1081" i="1"/>
  <c r="AD1081" i="1"/>
  <c r="R1081" i="1"/>
  <c r="F1081" i="1"/>
  <c r="AO1081" i="1"/>
  <c r="Q1081" i="1"/>
  <c r="E1081" i="1"/>
  <c r="AN1081" i="1"/>
  <c r="AB1081" i="1"/>
  <c r="D1081" i="1"/>
  <c r="AY1081" i="1"/>
  <c r="AM1081" i="1"/>
  <c r="AA1081" i="1"/>
  <c r="O1081" i="1"/>
  <c r="P1081" i="1" s="1"/>
  <c r="AL1081" i="1"/>
  <c r="Z1081" i="1"/>
  <c r="N1081" i="1"/>
  <c r="AK1081" i="1"/>
  <c r="Y1081" i="1"/>
  <c r="M1081" i="1"/>
  <c r="AJ1081" i="1"/>
  <c r="X1081" i="1"/>
  <c r="AI1081" i="1"/>
  <c r="W1081" i="1"/>
  <c r="K1081" i="1"/>
  <c r="L1081" i="1" s="1"/>
  <c r="AH1081" i="1"/>
  <c r="V1081" i="1"/>
  <c r="J1081" i="1"/>
  <c r="AS1081" i="1"/>
  <c r="AG1081" i="1"/>
  <c r="U1081" i="1"/>
  <c r="I1081" i="1"/>
  <c r="AH1087" i="1"/>
  <c r="V1087" i="1"/>
  <c r="J1087" i="1"/>
  <c r="AP1087" i="1"/>
  <c r="AO1087" i="1"/>
  <c r="AB1087" i="1"/>
  <c r="O1087" i="1"/>
  <c r="P1087" i="1" s="1"/>
  <c r="AN1087" i="1"/>
  <c r="AA1087" i="1"/>
  <c r="N1087" i="1"/>
  <c r="AM1087" i="1"/>
  <c r="Z1087" i="1"/>
  <c r="M1087" i="1"/>
  <c r="AY1087" i="1"/>
  <c r="AL1087" i="1"/>
  <c r="Y1087" i="1"/>
  <c r="AK1087" i="1"/>
  <c r="X1087" i="1"/>
  <c r="K1087" i="1"/>
  <c r="L1087" i="1" s="1"/>
  <c r="AJ1087" i="1"/>
  <c r="W1087" i="1"/>
  <c r="I1087" i="1"/>
  <c r="AI1087" i="1"/>
  <c r="U1087" i="1"/>
  <c r="H1087" i="1"/>
  <c r="AT1087" i="1" s="1"/>
  <c r="AG1087" i="1"/>
  <c r="T1087" i="1"/>
  <c r="G1087" i="1"/>
  <c r="AS1087" i="1"/>
  <c r="AF1087" i="1"/>
  <c r="S1087" i="1"/>
  <c r="F1087" i="1"/>
  <c r="AR1087" i="1"/>
  <c r="AE1087" i="1"/>
  <c r="R1087" i="1"/>
  <c r="E1087" i="1"/>
  <c r="AQ1087" i="1"/>
  <c r="AD1087" i="1"/>
  <c r="Q1087" i="1"/>
  <c r="D1087" i="1"/>
  <c r="AP1105" i="1"/>
  <c r="AD1105" i="1"/>
  <c r="R1105" i="1"/>
  <c r="F1105" i="1"/>
  <c r="AG1105" i="1"/>
  <c r="T1105" i="1"/>
  <c r="G1105" i="1"/>
  <c r="AS1105" i="1"/>
  <c r="AF1105" i="1"/>
  <c r="S1105" i="1"/>
  <c r="E1105" i="1"/>
  <c r="AR1105" i="1"/>
  <c r="AE1105" i="1"/>
  <c r="Q1105" i="1"/>
  <c r="D1105" i="1"/>
  <c r="AQ1105" i="1"/>
  <c r="AO1105" i="1"/>
  <c r="AB1105" i="1"/>
  <c r="O1105" i="1"/>
  <c r="P1105" i="1" s="1"/>
  <c r="AN1105" i="1"/>
  <c r="AA1105" i="1"/>
  <c r="N1105" i="1"/>
  <c r="AM1105" i="1"/>
  <c r="Z1105" i="1"/>
  <c r="M1105" i="1"/>
  <c r="AY1105" i="1"/>
  <c r="AL1105" i="1"/>
  <c r="Y1105" i="1"/>
  <c r="AK1105" i="1"/>
  <c r="X1105" i="1"/>
  <c r="K1105" i="1"/>
  <c r="L1105" i="1" s="1"/>
  <c r="AJ1105" i="1"/>
  <c r="W1105" i="1"/>
  <c r="J1105" i="1"/>
  <c r="AI1105" i="1"/>
  <c r="V1105" i="1"/>
  <c r="I1105" i="1"/>
  <c r="AH1105" i="1"/>
  <c r="U1105" i="1"/>
  <c r="H1105" i="1"/>
  <c r="AT1105" i="1" s="1"/>
  <c r="AI1125" i="1"/>
  <c r="W1125" i="1"/>
  <c r="K1125" i="1"/>
  <c r="L1125" i="1" s="1"/>
  <c r="AY1125" i="1"/>
  <c r="AL1125" i="1"/>
  <c r="Y1125" i="1"/>
  <c r="AK1125" i="1"/>
  <c r="X1125" i="1"/>
  <c r="J1125" i="1"/>
  <c r="AJ1125" i="1"/>
  <c r="V1125" i="1"/>
  <c r="I1125" i="1"/>
  <c r="AH1125" i="1"/>
  <c r="U1125" i="1"/>
  <c r="H1125" i="1"/>
  <c r="AT1125" i="1" s="1"/>
  <c r="AG1125" i="1"/>
  <c r="T1125" i="1"/>
  <c r="G1125" i="1"/>
  <c r="AS1125" i="1"/>
  <c r="AF1125" i="1"/>
  <c r="S1125" i="1"/>
  <c r="F1125" i="1"/>
  <c r="AR1125" i="1"/>
  <c r="AE1125" i="1"/>
  <c r="R1125" i="1"/>
  <c r="E1125" i="1"/>
  <c r="AQ1125" i="1"/>
  <c r="AD1125" i="1"/>
  <c r="Q1125" i="1"/>
  <c r="D1125" i="1"/>
  <c r="AP1125" i="1"/>
  <c r="AO1125" i="1"/>
  <c r="AB1125" i="1"/>
  <c r="O1125" i="1"/>
  <c r="P1125" i="1" s="1"/>
  <c r="AN1125" i="1"/>
  <c r="AA1125" i="1"/>
  <c r="N1125" i="1"/>
  <c r="AM1125" i="1"/>
  <c r="Z1125" i="1"/>
  <c r="M1125" i="1"/>
  <c r="AK1136" i="1"/>
  <c r="Y1136" i="1"/>
  <c r="M1136" i="1"/>
  <c r="AJ1136" i="1"/>
  <c r="X1136" i="1"/>
  <c r="AI1136" i="1"/>
  <c r="W1136" i="1"/>
  <c r="K1136" i="1"/>
  <c r="L1136" i="1" s="1"/>
  <c r="AH1136" i="1"/>
  <c r="V1136" i="1"/>
  <c r="J1136" i="1"/>
  <c r="AS1136" i="1"/>
  <c r="AG1136" i="1"/>
  <c r="U1136" i="1"/>
  <c r="I1136" i="1"/>
  <c r="AR1136" i="1"/>
  <c r="AF1136" i="1"/>
  <c r="T1136" i="1"/>
  <c r="H1136" i="1"/>
  <c r="AT1136" i="1" s="1"/>
  <c r="AQ1136" i="1"/>
  <c r="AE1136" i="1"/>
  <c r="S1136" i="1"/>
  <c r="G1136" i="1"/>
  <c r="AP1136" i="1"/>
  <c r="AD1136" i="1"/>
  <c r="R1136" i="1"/>
  <c r="F1136" i="1"/>
  <c r="AO1136" i="1"/>
  <c r="Q1136" i="1"/>
  <c r="E1136" i="1"/>
  <c r="AN1136" i="1"/>
  <c r="AB1136" i="1"/>
  <c r="AY1136" i="1"/>
  <c r="AM1136" i="1"/>
  <c r="AA1136" i="1"/>
  <c r="O1136" i="1"/>
  <c r="P1136" i="1" s="1"/>
  <c r="Z1136" i="1"/>
  <c r="N1136" i="1"/>
  <c r="D1136" i="1"/>
  <c r="AL1136" i="1"/>
  <c r="AL1152" i="1"/>
  <c r="Z1152" i="1"/>
  <c r="N1152" i="1"/>
  <c r="AK1152" i="1"/>
  <c r="Y1152" i="1"/>
  <c r="M1152" i="1"/>
  <c r="AJ1152" i="1"/>
  <c r="X1152" i="1"/>
  <c r="AI1152" i="1"/>
  <c r="W1152" i="1"/>
  <c r="K1152" i="1"/>
  <c r="L1152" i="1" s="1"/>
  <c r="AH1152" i="1"/>
  <c r="I1152" i="1"/>
  <c r="AS1152" i="1"/>
  <c r="AB1152" i="1"/>
  <c r="H1152" i="1"/>
  <c r="AT1152" i="1" s="1"/>
  <c r="AR1152" i="1"/>
  <c r="AA1152" i="1"/>
  <c r="G1152" i="1"/>
  <c r="AQ1152" i="1"/>
  <c r="V1152" i="1"/>
  <c r="F1152" i="1"/>
  <c r="AP1152" i="1"/>
  <c r="U1152" i="1"/>
  <c r="E1152" i="1"/>
  <c r="AO1152" i="1"/>
  <c r="T1152" i="1"/>
  <c r="D1152" i="1"/>
  <c r="AN1152" i="1"/>
  <c r="S1152" i="1"/>
  <c r="AM1152" i="1"/>
  <c r="R1152" i="1"/>
  <c r="AG1152" i="1"/>
  <c r="Q1152" i="1"/>
  <c r="AF1152" i="1"/>
  <c r="AY1152" i="1"/>
  <c r="AE1152" i="1"/>
  <c r="O1152" i="1"/>
  <c r="P1152" i="1" s="1"/>
  <c r="J1152" i="1"/>
  <c r="AD1152" i="1"/>
  <c r="AY1141" i="1"/>
  <c r="AM1141" i="1"/>
  <c r="AA1141" i="1"/>
  <c r="O1141" i="1"/>
  <c r="P1141" i="1" s="1"/>
  <c r="AL1141" i="1"/>
  <c r="Z1141" i="1"/>
  <c r="N1141" i="1"/>
  <c r="AK1141" i="1"/>
  <c r="Y1141" i="1"/>
  <c r="M1141" i="1"/>
  <c r="AJ1141" i="1"/>
  <c r="X1141" i="1"/>
  <c r="AI1141" i="1"/>
  <c r="W1141" i="1"/>
  <c r="K1141" i="1"/>
  <c r="L1141" i="1" s="1"/>
  <c r="AH1141" i="1"/>
  <c r="V1141" i="1"/>
  <c r="J1141" i="1"/>
  <c r="AS1141" i="1"/>
  <c r="AG1141" i="1"/>
  <c r="U1141" i="1"/>
  <c r="I1141" i="1"/>
  <c r="AR1141" i="1"/>
  <c r="AF1141" i="1"/>
  <c r="T1141" i="1"/>
  <c r="H1141" i="1"/>
  <c r="AT1141" i="1" s="1"/>
  <c r="AQ1141" i="1"/>
  <c r="AE1141" i="1"/>
  <c r="S1141" i="1"/>
  <c r="G1141" i="1"/>
  <c r="AP1141" i="1"/>
  <c r="AD1141" i="1"/>
  <c r="R1141" i="1"/>
  <c r="F1141" i="1"/>
  <c r="AO1141" i="1"/>
  <c r="Q1141" i="1"/>
  <c r="E1141" i="1"/>
  <c r="AN1141" i="1"/>
  <c r="AB1141" i="1"/>
  <c r="D1141" i="1"/>
  <c r="AP1162" i="1"/>
  <c r="AD1162" i="1"/>
  <c r="R1162" i="1"/>
  <c r="F1162" i="1"/>
  <c r="AO1162" i="1"/>
  <c r="Q1162" i="1"/>
  <c r="E1162" i="1"/>
  <c r="AN1162" i="1"/>
  <c r="AB1162" i="1"/>
  <c r="D1162" i="1"/>
  <c r="AY1162" i="1"/>
  <c r="AM1162" i="1"/>
  <c r="AA1162" i="1"/>
  <c r="O1162" i="1"/>
  <c r="P1162" i="1" s="1"/>
  <c r="AL1162" i="1"/>
  <c r="Z1162" i="1"/>
  <c r="N1162" i="1"/>
  <c r="AK1162" i="1"/>
  <c r="Y1162" i="1"/>
  <c r="M1162" i="1"/>
  <c r="AJ1162" i="1"/>
  <c r="X1162" i="1"/>
  <c r="AI1162" i="1"/>
  <c r="W1162" i="1"/>
  <c r="K1162" i="1"/>
  <c r="L1162" i="1" s="1"/>
  <c r="AH1162" i="1"/>
  <c r="V1162" i="1"/>
  <c r="J1162" i="1"/>
  <c r="AS1162" i="1"/>
  <c r="AG1162" i="1"/>
  <c r="U1162" i="1"/>
  <c r="I1162" i="1"/>
  <c r="AR1162" i="1"/>
  <c r="AF1162" i="1"/>
  <c r="T1162" i="1"/>
  <c r="H1162" i="1"/>
  <c r="AT1162" i="1" s="1"/>
  <c r="AQ1162" i="1"/>
  <c r="AE1162" i="1"/>
  <c r="S1162" i="1"/>
  <c r="G1162" i="1"/>
  <c r="AH1183" i="1"/>
  <c r="V1183" i="1"/>
  <c r="J1183" i="1"/>
  <c r="AS1183" i="1"/>
  <c r="AG1183" i="1"/>
  <c r="U1183" i="1"/>
  <c r="I1183" i="1"/>
  <c r="AR1183" i="1"/>
  <c r="AF1183" i="1"/>
  <c r="T1183" i="1"/>
  <c r="H1183" i="1"/>
  <c r="AT1183" i="1" s="1"/>
  <c r="AY1183" i="1"/>
  <c r="AM1183" i="1"/>
  <c r="AA1183" i="1"/>
  <c r="AB1183" i="1"/>
  <c r="AQ1183" i="1"/>
  <c r="Z1183" i="1"/>
  <c r="K1183" i="1"/>
  <c r="L1183" i="1" s="1"/>
  <c r="AP1183" i="1"/>
  <c r="Y1183" i="1"/>
  <c r="G1183" i="1"/>
  <c r="AO1183" i="1"/>
  <c r="X1183" i="1"/>
  <c r="F1183" i="1"/>
  <c r="AN1183" i="1"/>
  <c r="W1183" i="1"/>
  <c r="E1183" i="1"/>
  <c r="AL1183" i="1"/>
  <c r="S1183" i="1"/>
  <c r="D1183" i="1"/>
  <c r="AK1183" i="1"/>
  <c r="R1183" i="1"/>
  <c r="AJ1183" i="1"/>
  <c r="Q1183" i="1"/>
  <c r="AI1183" i="1"/>
  <c r="AE1183" i="1"/>
  <c r="O1183" i="1"/>
  <c r="P1183" i="1" s="1"/>
  <c r="AD1183" i="1"/>
  <c r="N1183" i="1"/>
  <c r="M1183" i="1"/>
  <c r="AH1195" i="1"/>
  <c r="V1195" i="1"/>
  <c r="J1195" i="1"/>
  <c r="AS1195" i="1"/>
  <c r="AG1195" i="1"/>
  <c r="U1195" i="1"/>
  <c r="I1195" i="1"/>
  <c r="AR1195" i="1"/>
  <c r="AF1195" i="1"/>
  <c r="T1195" i="1"/>
  <c r="H1195" i="1"/>
  <c r="AT1195" i="1" s="1"/>
  <c r="AQ1195" i="1"/>
  <c r="AE1195" i="1"/>
  <c r="S1195" i="1"/>
  <c r="G1195" i="1"/>
  <c r="AP1195" i="1"/>
  <c r="AD1195" i="1"/>
  <c r="R1195" i="1"/>
  <c r="F1195" i="1"/>
  <c r="AO1195" i="1"/>
  <c r="Q1195" i="1"/>
  <c r="E1195" i="1"/>
  <c r="AN1195" i="1"/>
  <c r="AB1195" i="1"/>
  <c r="D1195" i="1"/>
  <c r="AY1195" i="1"/>
  <c r="AM1195" i="1"/>
  <c r="AA1195" i="1"/>
  <c r="O1195" i="1"/>
  <c r="P1195" i="1" s="1"/>
  <c r="AL1195" i="1"/>
  <c r="Z1195" i="1"/>
  <c r="N1195" i="1"/>
  <c r="AK1195" i="1"/>
  <c r="Y1195" i="1"/>
  <c r="M1195" i="1"/>
  <c r="AJ1195" i="1"/>
  <c r="AI1195" i="1"/>
  <c r="X1195" i="1"/>
  <c r="W1195" i="1"/>
  <c r="K1195" i="1"/>
  <c r="L1195" i="1" s="1"/>
  <c r="AN17" i="1"/>
  <c r="W17" i="1"/>
  <c r="AS17" i="1"/>
  <c r="AL17" i="1"/>
  <c r="AK17" i="1"/>
  <c r="AJ17" i="1"/>
  <c r="AE17" i="1"/>
  <c r="AD17" i="1"/>
  <c r="AA17" i="1"/>
  <c r="Z17" i="1" s="1"/>
  <c r="H17" i="1"/>
  <c r="AT17" i="1" s="1"/>
  <c r="G17" i="1"/>
  <c r="I17" i="1" s="1"/>
  <c r="AO17" i="1"/>
  <c r="F17" i="1"/>
  <c r="AM17" i="1"/>
  <c r="E17" i="1"/>
  <c r="AK16" i="1"/>
  <c r="W16" i="1"/>
  <c r="AN16" i="1"/>
  <c r="AM16" i="1"/>
  <c r="I16" i="1"/>
  <c r="AL16" i="1"/>
  <c r="H16" i="1"/>
  <c r="AT16" i="1" s="1"/>
  <c r="AJ16" i="1"/>
  <c r="G16" i="1"/>
  <c r="F16" i="1"/>
  <c r="E16" i="1"/>
  <c r="AS16" i="1"/>
  <c r="AE16" i="1"/>
  <c r="AD16" i="1"/>
  <c r="AO16" i="1"/>
  <c r="AA16" i="1"/>
  <c r="Z16" i="1" s="1"/>
  <c r="AL42" i="1"/>
  <c r="AK42" i="1"/>
  <c r="AJ42" i="1"/>
  <c r="W42" i="1"/>
  <c r="AS42" i="1"/>
  <c r="I42" i="1"/>
  <c r="H42" i="1"/>
  <c r="AT42" i="1" s="1"/>
  <c r="AE42" i="1"/>
  <c r="G42" i="1"/>
  <c r="AO42" i="1"/>
  <c r="E42" i="1"/>
  <c r="AN42" i="1"/>
  <c r="AM42" i="1"/>
  <c r="AA42" i="1"/>
  <c r="Z42" i="1" s="1"/>
  <c r="AD42" i="1"/>
  <c r="F42" i="1"/>
  <c r="AP97" i="1"/>
  <c r="AD97" i="1"/>
  <c r="AK97" i="1"/>
  <c r="Y97" i="1"/>
  <c r="AJ97" i="1"/>
  <c r="X97" i="1"/>
  <c r="AI97" i="1"/>
  <c r="W97" i="1"/>
  <c r="K97" i="1"/>
  <c r="L97" i="1" s="1"/>
  <c r="AE97" i="1"/>
  <c r="O97" i="1"/>
  <c r="P97" i="1" s="1"/>
  <c r="N97" i="1"/>
  <c r="AS97" i="1"/>
  <c r="AB97" i="1"/>
  <c r="M97" i="1"/>
  <c r="AR97" i="1"/>
  <c r="AA97" i="1"/>
  <c r="J97" i="1"/>
  <c r="AQ97" i="1"/>
  <c r="Z97" i="1"/>
  <c r="I97" i="1"/>
  <c r="AO97" i="1"/>
  <c r="V97" i="1"/>
  <c r="H97" i="1"/>
  <c r="AT97" i="1" s="1"/>
  <c r="AN97" i="1"/>
  <c r="U97" i="1"/>
  <c r="G97" i="1"/>
  <c r="AM97" i="1"/>
  <c r="T97" i="1"/>
  <c r="F97" i="1"/>
  <c r="AL97" i="1"/>
  <c r="S97" i="1"/>
  <c r="E97" i="1"/>
  <c r="AH97" i="1"/>
  <c r="R97" i="1"/>
  <c r="D97" i="1"/>
  <c r="AY97" i="1"/>
  <c r="AG97" i="1"/>
  <c r="Q97" i="1"/>
  <c r="AF97" i="1"/>
  <c r="AS26" i="1"/>
  <c r="AO26" i="1"/>
  <c r="E26" i="1"/>
  <c r="AN26" i="1"/>
  <c r="AM26" i="1"/>
  <c r="AA26" i="1"/>
  <c r="W26" i="1"/>
  <c r="AL26" i="1"/>
  <c r="AK26" i="1"/>
  <c r="AJ26" i="1"/>
  <c r="AE26" i="1"/>
  <c r="H26" i="1"/>
  <c r="AT26" i="1" s="1"/>
  <c r="AD26" i="1"/>
  <c r="G26" i="1"/>
  <c r="I26" i="1" s="1"/>
  <c r="F26" i="1"/>
  <c r="AJ106" i="1"/>
  <c r="X106" i="1"/>
  <c r="AI106" i="1"/>
  <c r="W106" i="1"/>
  <c r="K106" i="1"/>
  <c r="L106" i="1" s="1"/>
  <c r="AQ106" i="1"/>
  <c r="AE106" i="1"/>
  <c r="S106" i="1"/>
  <c r="G106" i="1"/>
  <c r="AP106" i="1"/>
  <c r="AD106" i="1"/>
  <c r="R106" i="1"/>
  <c r="F106" i="1"/>
  <c r="AO106" i="1"/>
  <c r="Q106" i="1"/>
  <c r="E106" i="1"/>
  <c r="AK106" i="1"/>
  <c r="Y106" i="1"/>
  <c r="M106" i="1"/>
  <c r="AM106" i="1"/>
  <c r="AL106" i="1"/>
  <c r="O106" i="1"/>
  <c r="P106" i="1" s="1"/>
  <c r="AH106" i="1"/>
  <c r="N106" i="1"/>
  <c r="AG106" i="1"/>
  <c r="J106" i="1"/>
  <c r="AF106" i="1"/>
  <c r="I106" i="1"/>
  <c r="AY106" i="1"/>
  <c r="H106" i="1"/>
  <c r="AT106" i="1" s="1"/>
  <c r="AB106" i="1"/>
  <c r="D106" i="1"/>
  <c r="AA106" i="1"/>
  <c r="Z106" i="1"/>
  <c r="AS106" i="1"/>
  <c r="V106" i="1"/>
  <c r="AR106" i="1"/>
  <c r="U106" i="1"/>
  <c r="AN106" i="1"/>
  <c r="T106" i="1"/>
  <c r="AR81" i="1"/>
  <c r="AF81" i="1"/>
  <c r="T81" i="1"/>
  <c r="H81" i="1"/>
  <c r="AT81" i="1" s="1"/>
  <c r="AQ81" i="1"/>
  <c r="AE81" i="1"/>
  <c r="S81" i="1"/>
  <c r="G81" i="1"/>
  <c r="AP81" i="1"/>
  <c r="AD81" i="1"/>
  <c r="R81" i="1"/>
  <c r="F81" i="1"/>
  <c r="AO81" i="1"/>
  <c r="Q81" i="1"/>
  <c r="E81" i="1"/>
  <c r="AN81" i="1"/>
  <c r="AB81" i="1"/>
  <c r="D81" i="1"/>
  <c r="AY81" i="1"/>
  <c r="AM81" i="1"/>
  <c r="AA81" i="1"/>
  <c r="O81" i="1"/>
  <c r="P81" i="1" s="1"/>
  <c r="AL81" i="1"/>
  <c r="Z81" i="1"/>
  <c r="N81" i="1"/>
  <c r="AK81" i="1"/>
  <c r="Y81" i="1"/>
  <c r="M81" i="1"/>
  <c r="AJ81" i="1"/>
  <c r="X81" i="1"/>
  <c r="AI81" i="1"/>
  <c r="W81" i="1"/>
  <c r="K81" i="1"/>
  <c r="L81" i="1" s="1"/>
  <c r="AH81" i="1"/>
  <c r="V81" i="1"/>
  <c r="J81" i="1"/>
  <c r="AS81" i="1"/>
  <c r="AG81" i="1"/>
  <c r="U81" i="1"/>
  <c r="I81" i="1"/>
  <c r="AP88" i="1"/>
  <c r="AD88" i="1"/>
  <c r="R88" i="1"/>
  <c r="F88" i="1"/>
  <c r="AO88" i="1"/>
  <c r="Q88" i="1"/>
  <c r="E88" i="1"/>
  <c r="AN88" i="1"/>
  <c r="AB88" i="1"/>
  <c r="D88" i="1"/>
  <c r="AY88" i="1"/>
  <c r="AM88" i="1"/>
  <c r="AA88" i="1"/>
  <c r="O88" i="1"/>
  <c r="P88" i="1" s="1"/>
  <c r="AL88" i="1"/>
  <c r="Z88" i="1"/>
  <c r="N88" i="1"/>
  <c r="AK88" i="1"/>
  <c r="Y88" i="1"/>
  <c r="M88" i="1"/>
  <c r="AJ88" i="1"/>
  <c r="X88" i="1"/>
  <c r="AI88" i="1"/>
  <c r="W88" i="1"/>
  <c r="K88" i="1"/>
  <c r="L88" i="1" s="1"/>
  <c r="AH88" i="1"/>
  <c r="V88" i="1"/>
  <c r="J88" i="1"/>
  <c r="AS88" i="1"/>
  <c r="AG88" i="1"/>
  <c r="U88" i="1"/>
  <c r="I88" i="1"/>
  <c r="AR88" i="1"/>
  <c r="AF88" i="1"/>
  <c r="T88" i="1"/>
  <c r="H88" i="1"/>
  <c r="AT88" i="1" s="1"/>
  <c r="AQ88" i="1"/>
  <c r="AE88" i="1"/>
  <c r="S88" i="1"/>
  <c r="G88" i="1"/>
  <c r="AN71" i="1"/>
  <c r="AB71" i="1"/>
  <c r="D71" i="1"/>
  <c r="AY71" i="1"/>
  <c r="AM71" i="1"/>
  <c r="AA71" i="1"/>
  <c r="O71" i="1"/>
  <c r="P71" i="1" s="1"/>
  <c r="AL71" i="1"/>
  <c r="Z71" i="1"/>
  <c r="N71" i="1"/>
  <c r="AK71" i="1"/>
  <c r="Y71" i="1"/>
  <c r="M71" i="1"/>
  <c r="AJ71" i="1"/>
  <c r="X71" i="1"/>
  <c r="AI71" i="1"/>
  <c r="W71" i="1"/>
  <c r="K71" i="1"/>
  <c r="L71" i="1" s="1"/>
  <c r="AH71" i="1"/>
  <c r="V71" i="1"/>
  <c r="J71" i="1"/>
  <c r="AS71" i="1"/>
  <c r="AG71" i="1"/>
  <c r="U71" i="1"/>
  <c r="I71" i="1"/>
  <c r="AR71" i="1"/>
  <c r="AF71" i="1"/>
  <c r="T71" i="1"/>
  <c r="H71" i="1"/>
  <c r="AT71" i="1" s="1"/>
  <c r="AQ71" i="1"/>
  <c r="AE71" i="1"/>
  <c r="S71" i="1"/>
  <c r="G71" i="1"/>
  <c r="AP71" i="1"/>
  <c r="AD71" i="1"/>
  <c r="R71" i="1"/>
  <c r="F71" i="1"/>
  <c r="AO71" i="1"/>
  <c r="Q71" i="1"/>
  <c r="E71" i="1"/>
  <c r="AL141" i="1"/>
  <c r="Z141" i="1"/>
  <c r="N141" i="1"/>
  <c r="AK141" i="1"/>
  <c r="Y141" i="1"/>
  <c r="M141" i="1"/>
  <c r="AJ141" i="1"/>
  <c r="X141" i="1"/>
  <c r="AI141" i="1"/>
  <c r="W141" i="1"/>
  <c r="K141" i="1"/>
  <c r="L141" i="1" s="1"/>
  <c r="AH141" i="1"/>
  <c r="V141" i="1"/>
  <c r="J141" i="1"/>
  <c r="AS141" i="1"/>
  <c r="AG141" i="1"/>
  <c r="U141" i="1"/>
  <c r="I141" i="1"/>
  <c r="AR141" i="1"/>
  <c r="AF141" i="1"/>
  <c r="T141" i="1"/>
  <c r="H141" i="1"/>
  <c r="AT141" i="1" s="1"/>
  <c r="AQ141" i="1"/>
  <c r="AE141" i="1"/>
  <c r="S141" i="1"/>
  <c r="G141" i="1"/>
  <c r="AP141" i="1"/>
  <c r="AD141" i="1"/>
  <c r="R141" i="1"/>
  <c r="F141" i="1"/>
  <c r="AO141" i="1"/>
  <c r="Q141" i="1"/>
  <c r="E141" i="1"/>
  <c r="AN141" i="1"/>
  <c r="AB141" i="1"/>
  <c r="D141" i="1"/>
  <c r="AY141" i="1"/>
  <c r="AM141" i="1"/>
  <c r="AA141" i="1"/>
  <c r="O141" i="1"/>
  <c r="P141" i="1" s="1"/>
  <c r="AJ148" i="1"/>
  <c r="X148" i="1"/>
  <c r="AI148" i="1"/>
  <c r="W148" i="1"/>
  <c r="K148" i="1"/>
  <c r="L148" i="1" s="1"/>
  <c r="AH148" i="1"/>
  <c r="V148" i="1"/>
  <c r="J148" i="1"/>
  <c r="AS148" i="1"/>
  <c r="AG148" i="1"/>
  <c r="U148" i="1"/>
  <c r="I148" i="1"/>
  <c r="AR148" i="1"/>
  <c r="AF148" i="1"/>
  <c r="T148" i="1"/>
  <c r="H148" i="1"/>
  <c r="AT148" i="1" s="1"/>
  <c r="AQ148" i="1"/>
  <c r="AE148" i="1"/>
  <c r="S148" i="1"/>
  <c r="G148" i="1"/>
  <c r="AP148" i="1"/>
  <c r="AD148" i="1"/>
  <c r="R148" i="1"/>
  <c r="F148" i="1"/>
  <c r="AO148" i="1"/>
  <c r="Q148" i="1"/>
  <c r="E148" i="1"/>
  <c r="AN148" i="1"/>
  <c r="AB148" i="1"/>
  <c r="D148" i="1"/>
  <c r="AY148" i="1"/>
  <c r="AM148" i="1"/>
  <c r="AA148" i="1"/>
  <c r="O148" i="1"/>
  <c r="P148" i="1" s="1"/>
  <c r="AL148" i="1"/>
  <c r="Z148" i="1"/>
  <c r="N148" i="1"/>
  <c r="AK148" i="1"/>
  <c r="Y148" i="1"/>
  <c r="M148" i="1"/>
  <c r="AH131" i="1"/>
  <c r="V131" i="1"/>
  <c r="J131" i="1"/>
  <c r="AS131" i="1"/>
  <c r="AG131" i="1"/>
  <c r="U131" i="1"/>
  <c r="I131" i="1"/>
  <c r="AR131" i="1"/>
  <c r="AF131" i="1"/>
  <c r="T131" i="1"/>
  <c r="H131" i="1"/>
  <c r="AT131" i="1" s="1"/>
  <c r="AQ131" i="1"/>
  <c r="AE131" i="1"/>
  <c r="S131" i="1"/>
  <c r="G131" i="1"/>
  <c r="AP131" i="1"/>
  <c r="AD131" i="1"/>
  <c r="R131" i="1"/>
  <c r="F131" i="1"/>
  <c r="AO131" i="1"/>
  <c r="Q131" i="1"/>
  <c r="E131" i="1"/>
  <c r="AN131" i="1"/>
  <c r="AB131" i="1"/>
  <c r="D131" i="1"/>
  <c r="AY131" i="1"/>
  <c r="AM131" i="1"/>
  <c r="AA131" i="1"/>
  <c r="O131" i="1"/>
  <c r="P131" i="1" s="1"/>
  <c r="AL131" i="1"/>
  <c r="Z131" i="1"/>
  <c r="N131" i="1"/>
  <c r="AK131" i="1"/>
  <c r="Y131" i="1"/>
  <c r="M131" i="1"/>
  <c r="AJ131" i="1"/>
  <c r="X131" i="1"/>
  <c r="AI131" i="1"/>
  <c r="W131" i="1"/>
  <c r="K131" i="1"/>
  <c r="L131" i="1" s="1"/>
  <c r="AR126" i="1"/>
  <c r="AF126" i="1"/>
  <c r="T126" i="1"/>
  <c r="H126" i="1"/>
  <c r="AT126" i="1" s="1"/>
  <c r="AQ126" i="1"/>
  <c r="AE126" i="1"/>
  <c r="S126" i="1"/>
  <c r="G126" i="1"/>
  <c r="AP126" i="1"/>
  <c r="AD126" i="1"/>
  <c r="R126" i="1"/>
  <c r="F126" i="1"/>
  <c r="AO126" i="1"/>
  <c r="Q126" i="1"/>
  <c r="E126" i="1"/>
  <c r="AN126" i="1"/>
  <c r="AB126" i="1"/>
  <c r="D126" i="1"/>
  <c r="AY126" i="1"/>
  <c r="AM126" i="1"/>
  <c r="AA126" i="1"/>
  <c r="O126" i="1"/>
  <c r="P126" i="1" s="1"/>
  <c r="AL126" i="1"/>
  <c r="Z126" i="1"/>
  <c r="N126" i="1"/>
  <c r="AK126" i="1"/>
  <c r="Y126" i="1"/>
  <c r="M126" i="1"/>
  <c r="AJ126" i="1"/>
  <c r="X126" i="1"/>
  <c r="AI126" i="1"/>
  <c r="W126" i="1"/>
  <c r="K126" i="1"/>
  <c r="L126" i="1" s="1"/>
  <c r="AH126" i="1"/>
  <c r="V126" i="1"/>
  <c r="J126" i="1"/>
  <c r="AS126" i="1"/>
  <c r="AG126" i="1"/>
  <c r="U126" i="1"/>
  <c r="I126" i="1"/>
  <c r="AP139" i="1"/>
  <c r="AD139" i="1"/>
  <c r="R139" i="1"/>
  <c r="F139" i="1"/>
  <c r="AO139" i="1"/>
  <c r="Q139" i="1"/>
  <c r="E139" i="1"/>
  <c r="AN139" i="1"/>
  <c r="AB139" i="1"/>
  <c r="D139" i="1"/>
  <c r="AY139" i="1"/>
  <c r="AM139" i="1"/>
  <c r="AA139" i="1"/>
  <c r="O139" i="1"/>
  <c r="P139" i="1" s="1"/>
  <c r="AL139" i="1"/>
  <c r="Z139" i="1"/>
  <c r="N139" i="1"/>
  <c r="AK139" i="1"/>
  <c r="Y139" i="1"/>
  <c r="M139" i="1"/>
  <c r="AJ139" i="1"/>
  <c r="X139" i="1"/>
  <c r="AI139" i="1"/>
  <c r="W139" i="1"/>
  <c r="K139" i="1"/>
  <c r="L139" i="1" s="1"/>
  <c r="AH139" i="1"/>
  <c r="V139" i="1"/>
  <c r="J139" i="1"/>
  <c r="AS139" i="1"/>
  <c r="AG139" i="1"/>
  <c r="U139" i="1"/>
  <c r="I139" i="1"/>
  <c r="AR139" i="1"/>
  <c r="AF139" i="1"/>
  <c r="T139" i="1"/>
  <c r="H139" i="1"/>
  <c r="AT139" i="1" s="1"/>
  <c r="AQ139" i="1"/>
  <c r="AE139" i="1"/>
  <c r="S139" i="1"/>
  <c r="G139" i="1"/>
  <c r="AN128" i="1"/>
  <c r="AB128" i="1"/>
  <c r="D128" i="1"/>
  <c r="AY128" i="1"/>
  <c r="AM128" i="1"/>
  <c r="AA128" i="1"/>
  <c r="O128" i="1"/>
  <c r="P128" i="1" s="1"/>
  <c r="AL128" i="1"/>
  <c r="Z128" i="1"/>
  <c r="N128" i="1"/>
  <c r="AK128" i="1"/>
  <c r="Y128" i="1"/>
  <c r="M128" i="1"/>
  <c r="AJ128" i="1"/>
  <c r="X128" i="1"/>
  <c r="AI128" i="1"/>
  <c r="W128" i="1"/>
  <c r="K128" i="1"/>
  <c r="L128" i="1" s="1"/>
  <c r="AH128" i="1"/>
  <c r="V128" i="1"/>
  <c r="J128" i="1"/>
  <c r="AS128" i="1"/>
  <c r="AG128" i="1"/>
  <c r="U128" i="1"/>
  <c r="I128" i="1"/>
  <c r="AR128" i="1"/>
  <c r="AF128" i="1"/>
  <c r="T128" i="1"/>
  <c r="H128" i="1"/>
  <c r="AT128" i="1" s="1"/>
  <c r="AQ128" i="1"/>
  <c r="AE128" i="1"/>
  <c r="S128" i="1"/>
  <c r="G128" i="1"/>
  <c r="AP128" i="1"/>
  <c r="AD128" i="1"/>
  <c r="R128" i="1"/>
  <c r="F128" i="1"/>
  <c r="AO128" i="1"/>
  <c r="Q128" i="1"/>
  <c r="E128" i="1"/>
  <c r="AQ183" i="1"/>
  <c r="AE183" i="1"/>
  <c r="S183" i="1"/>
  <c r="G183" i="1"/>
  <c r="AP183" i="1"/>
  <c r="AD183" i="1"/>
  <c r="R183" i="1"/>
  <c r="F183" i="1"/>
  <c r="AL183" i="1"/>
  <c r="Z183" i="1"/>
  <c r="N183" i="1"/>
  <c r="AK183" i="1"/>
  <c r="Y183" i="1"/>
  <c r="M183" i="1"/>
  <c r="AJ183" i="1"/>
  <c r="X183" i="1"/>
  <c r="AR183" i="1"/>
  <c r="AF183" i="1"/>
  <c r="T183" i="1"/>
  <c r="H183" i="1"/>
  <c r="AT183" i="1" s="1"/>
  <c r="AA183" i="1"/>
  <c r="W183" i="1"/>
  <c r="V183" i="1"/>
  <c r="AS183" i="1"/>
  <c r="U183" i="1"/>
  <c r="AO183" i="1"/>
  <c r="Q183" i="1"/>
  <c r="AN183" i="1"/>
  <c r="AM183" i="1"/>
  <c r="O183" i="1"/>
  <c r="P183" i="1" s="1"/>
  <c r="AI183" i="1"/>
  <c r="K183" i="1"/>
  <c r="L183" i="1" s="1"/>
  <c r="AH183" i="1"/>
  <c r="J183" i="1"/>
  <c r="AG183" i="1"/>
  <c r="I183" i="1"/>
  <c r="AY183" i="1"/>
  <c r="E183" i="1"/>
  <c r="AB183" i="1"/>
  <c r="D183" i="1"/>
  <c r="AK246" i="1"/>
  <c r="Y246" i="1"/>
  <c r="M246" i="1"/>
  <c r="AJ246" i="1"/>
  <c r="X246" i="1"/>
  <c r="AI246" i="1"/>
  <c r="W246" i="1"/>
  <c r="K246" i="1"/>
  <c r="L246" i="1" s="1"/>
  <c r="AH246" i="1"/>
  <c r="V246" i="1"/>
  <c r="J246" i="1"/>
  <c r="AS246" i="1"/>
  <c r="AG246" i="1"/>
  <c r="U246" i="1"/>
  <c r="I246" i="1"/>
  <c r="AR246" i="1"/>
  <c r="AF246" i="1"/>
  <c r="T246" i="1"/>
  <c r="H246" i="1"/>
  <c r="AT246" i="1" s="1"/>
  <c r="AQ246" i="1"/>
  <c r="AE246" i="1"/>
  <c r="S246" i="1"/>
  <c r="G246" i="1"/>
  <c r="AP246" i="1"/>
  <c r="AD246" i="1"/>
  <c r="R246" i="1"/>
  <c r="F246" i="1"/>
  <c r="AO246" i="1"/>
  <c r="Q246" i="1"/>
  <c r="E246" i="1"/>
  <c r="AN246" i="1"/>
  <c r="AB246" i="1"/>
  <c r="D246" i="1"/>
  <c r="AY246" i="1"/>
  <c r="AM246" i="1"/>
  <c r="AA246" i="1"/>
  <c r="O246" i="1"/>
  <c r="P246" i="1" s="1"/>
  <c r="AL246" i="1"/>
  <c r="Z246" i="1"/>
  <c r="N246" i="1"/>
  <c r="AS176" i="1"/>
  <c r="AG176" i="1"/>
  <c r="U176" i="1"/>
  <c r="I176" i="1"/>
  <c r="AR176" i="1"/>
  <c r="AF176" i="1"/>
  <c r="T176" i="1"/>
  <c r="H176" i="1"/>
  <c r="AT176" i="1" s="1"/>
  <c r="AN176" i="1"/>
  <c r="AB176" i="1"/>
  <c r="D176" i="1"/>
  <c r="AY176" i="1"/>
  <c r="AM176" i="1"/>
  <c r="AA176" i="1"/>
  <c r="O176" i="1"/>
  <c r="P176" i="1" s="1"/>
  <c r="AL176" i="1"/>
  <c r="Z176" i="1"/>
  <c r="N176" i="1"/>
  <c r="AH176" i="1"/>
  <c r="V176" i="1"/>
  <c r="J176" i="1"/>
  <c r="AI176" i="1"/>
  <c r="K176" i="1"/>
  <c r="L176" i="1" s="1"/>
  <c r="AE176" i="1"/>
  <c r="G176" i="1"/>
  <c r="AD176" i="1"/>
  <c r="F176" i="1"/>
  <c r="E176" i="1"/>
  <c r="Y176" i="1"/>
  <c r="X176" i="1"/>
  <c r="W176" i="1"/>
  <c r="AQ176" i="1"/>
  <c r="S176" i="1"/>
  <c r="AP176" i="1"/>
  <c r="R176" i="1"/>
  <c r="AO176" i="1"/>
  <c r="Q176" i="1"/>
  <c r="AK176" i="1"/>
  <c r="M176" i="1"/>
  <c r="AJ176" i="1"/>
  <c r="AS248" i="1"/>
  <c r="AG248" i="1"/>
  <c r="U248" i="1"/>
  <c r="I248" i="1"/>
  <c r="AR248" i="1"/>
  <c r="AF248" i="1"/>
  <c r="T248" i="1"/>
  <c r="H248" i="1"/>
  <c r="AT248" i="1" s="1"/>
  <c r="AQ248" i="1"/>
  <c r="AE248" i="1"/>
  <c r="S248" i="1"/>
  <c r="G248" i="1"/>
  <c r="AP248" i="1"/>
  <c r="AD248" i="1"/>
  <c r="R248" i="1"/>
  <c r="F248" i="1"/>
  <c r="AO248" i="1"/>
  <c r="Q248" i="1"/>
  <c r="E248" i="1"/>
  <c r="AN248" i="1"/>
  <c r="AB248" i="1"/>
  <c r="D248" i="1"/>
  <c r="AY248" i="1"/>
  <c r="AM248" i="1"/>
  <c r="AA248" i="1"/>
  <c r="O248" i="1"/>
  <c r="P248" i="1" s="1"/>
  <c r="AL248" i="1"/>
  <c r="Z248" i="1"/>
  <c r="N248" i="1"/>
  <c r="AK248" i="1"/>
  <c r="Y248" i="1"/>
  <c r="M248" i="1"/>
  <c r="AJ248" i="1"/>
  <c r="X248" i="1"/>
  <c r="AI248" i="1"/>
  <c r="W248" i="1"/>
  <c r="K248" i="1"/>
  <c r="L248" i="1" s="1"/>
  <c r="AH248" i="1"/>
  <c r="V248" i="1"/>
  <c r="J248" i="1"/>
  <c r="AI269" i="1"/>
  <c r="W269" i="1"/>
  <c r="K269" i="1"/>
  <c r="L269" i="1" s="1"/>
  <c r="AH269" i="1"/>
  <c r="V269" i="1"/>
  <c r="J269" i="1"/>
  <c r="AS269" i="1"/>
  <c r="AG269" i="1"/>
  <c r="U269" i="1"/>
  <c r="I269" i="1"/>
  <c r="AR269" i="1"/>
  <c r="AF269" i="1"/>
  <c r="T269" i="1"/>
  <c r="H269" i="1"/>
  <c r="AT269" i="1" s="1"/>
  <c r="AQ269" i="1"/>
  <c r="AE269" i="1"/>
  <c r="S269" i="1"/>
  <c r="G269" i="1"/>
  <c r="AP269" i="1"/>
  <c r="AD269" i="1"/>
  <c r="R269" i="1"/>
  <c r="F269" i="1"/>
  <c r="AO269" i="1"/>
  <c r="Q269" i="1"/>
  <c r="E269" i="1"/>
  <c r="AN269" i="1"/>
  <c r="AB269" i="1"/>
  <c r="D269" i="1"/>
  <c r="AK269" i="1"/>
  <c r="Y269" i="1"/>
  <c r="M269" i="1"/>
  <c r="AJ269" i="1"/>
  <c r="X269" i="1"/>
  <c r="AA269" i="1"/>
  <c r="Z269" i="1"/>
  <c r="O269" i="1"/>
  <c r="P269" i="1" s="1"/>
  <c r="N269" i="1"/>
  <c r="AY269" i="1"/>
  <c r="AM269" i="1"/>
  <c r="AL269" i="1"/>
  <c r="AO244" i="1"/>
  <c r="Q244" i="1"/>
  <c r="E244" i="1"/>
  <c r="AN244" i="1"/>
  <c r="AB244" i="1"/>
  <c r="D244" i="1"/>
  <c r="AY244" i="1"/>
  <c r="AM244" i="1"/>
  <c r="AA244" i="1"/>
  <c r="O244" i="1"/>
  <c r="P244" i="1" s="1"/>
  <c r="AL244" i="1"/>
  <c r="Z244" i="1"/>
  <c r="N244" i="1"/>
  <c r="AK244" i="1"/>
  <c r="Y244" i="1"/>
  <c r="M244" i="1"/>
  <c r="AJ244" i="1"/>
  <c r="X244" i="1"/>
  <c r="AI244" i="1"/>
  <c r="W244" i="1"/>
  <c r="K244" i="1"/>
  <c r="L244" i="1" s="1"/>
  <c r="AH244" i="1"/>
  <c r="V244" i="1"/>
  <c r="J244" i="1"/>
  <c r="AS244" i="1"/>
  <c r="AG244" i="1"/>
  <c r="U244" i="1"/>
  <c r="I244" i="1"/>
  <c r="AR244" i="1"/>
  <c r="AF244" i="1"/>
  <c r="T244" i="1"/>
  <c r="H244" i="1"/>
  <c r="AT244" i="1" s="1"/>
  <c r="AQ244" i="1"/>
  <c r="AE244" i="1"/>
  <c r="S244" i="1"/>
  <c r="G244" i="1"/>
  <c r="AP244" i="1"/>
  <c r="AD244" i="1"/>
  <c r="R244" i="1"/>
  <c r="F244" i="1"/>
  <c r="AY221" i="1"/>
  <c r="AM221" i="1"/>
  <c r="AA221" i="1"/>
  <c r="O221" i="1"/>
  <c r="P221" i="1" s="1"/>
  <c r="AL221" i="1"/>
  <c r="Z221" i="1"/>
  <c r="N221" i="1"/>
  <c r="AK221" i="1"/>
  <c r="Y221" i="1"/>
  <c r="M221" i="1"/>
  <c r="AJ221" i="1"/>
  <c r="X221" i="1"/>
  <c r="AI221" i="1"/>
  <c r="W221" i="1"/>
  <c r="K221" i="1"/>
  <c r="L221" i="1" s="1"/>
  <c r="AH221" i="1"/>
  <c r="V221" i="1"/>
  <c r="J221" i="1"/>
  <c r="AS221" i="1"/>
  <c r="AG221" i="1"/>
  <c r="U221" i="1"/>
  <c r="I221" i="1"/>
  <c r="AR221" i="1"/>
  <c r="AF221" i="1"/>
  <c r="T221" i="1"/>
  <c r="H221" i="1"/>
  <c r="AT221" i="1" s="1"/>
  <c r="AQ221" i="1"/>
  <c r="AE221" i="1"/>
  <c r="S221" i="1"/>
  <c r="G221" i="1"/>
  <c r="AP221" i="1"/>
  <c r="AD221" i="1"/>
  <c r="R221" i="1"/>
  <c r="F221" i="1"/>
  <c r="AO221" i="1"/>
  <c r="Q221" i="1"/>
  <c r="E221" i="1"/>
  <c r="AN221" i="1"/>
  <c r="AB221" i="1"/>
  <c r="D221" i="1"/>
  <c r="AK304" i="1"/>
  <c r="Y304" i="1"/>
  <c r="M304" i="1"/>
  <c r="AJ304" i="1"/>
  <c r="X304" i="1"/>
  <c r="AI304" i="1"/>
  <c r="W304" i="1"/>
  <c r="K304" i="1"/>
  <c r="L304" i="1" s="1"/>
  <c r="AH304" i="1"/>
  <c r="V304" i="1"/>
  <c r="J304" i="1"/>
  <c r="AS304" i="1"/>
  <c r="AG304" i="1"/>
  <c r="U304" i="1"/>
  <c r="I304" i="1"/>
  <c r="AR304" i="1"/>
  <c r="AF304" i="1"/>
  <c r="T304" i="1"/>
  <c r="H304" i="1"/>
  <c r="AT304" i="1" s="1"/>
  <c r="AQ304" i="1"/>
  <c r="AE304" i="1"/>
  <c r="S304" i="1"/>
  <c r="G304" i="1"/>
  <c r="AP304" i="1"/>
  <c r="AD304" i="1"/>
  <c r="R304" i="1"/>
  <c r="F304" i="1"/>
  <c r="AO304" i="1"/>
  <c r="Q304" i="1"/>
  <c r="E304" i="1"/>
  <c r="AN304" i="1"/>
  <c r="AB304" i="1"/>
  <c r="D304" i="1"/>
  <c r="AY304" i="1"/>
  <c r="AM304" i="1"/>
  <c r="AA304" i="1"/>
  <c r="O304" i="1"/>
  <c r="P304" i="1" s="1"/>
  <c r="AL304" i="1"/>
  <c r="Z304" i="1"/>
  <c r="N304" i="1"/>
  <c r="AI311" i="1"/>
  <c r="W311" i="1"/>
  <c r="K311" i="1"/>
  <c r="L311" i="1" s="1"/>
  <c r="AH311" i="1"/>
  <c r="V311" i="1"/>
  <c r="J311" i="1"/>
  <c r="AS311" i="1"/>
  <c r="AG311" i="1"/>
  <c r="U311" i="1"/>
  <c r="I311" i="1"/>
  <c r="AR311" i="1"/>
  <c r="AF311" i="1"/>
  <c r="T311" i="1"/>
  <c r="H311" i="1"/>
  <c r="AT311" i="1" s="1"/>
  <c r="AQ311" i="1"/>
  <c r="AE311" i="1"/>
  <c r="S311" i="1"/>
  <c r="G311" i="1"/>
  <c r="AP311" i="1"/>
  <c r="AD311" i="1"/>
  <c r="R311" i="1"/>
  <c r="F311" i="1"/>
  <c r="AO311" i="1"/>
  <c r="Q311" i="1"/>
  <c r="E311" i="1"/>
  <c r="AN311" i="1"/>
  <c r="AB311" i="1"/>
  <c r="D311" i="1"/>
  <c r="AY311" i="1"/>
  <c r="AM311" i="1"/>
  <c r="AA311" i="1"/>
  <c r="O311" i="1"/>
  <c r="P311" i="1" s="1"/>
  <c r="AL311" i="1"/>
  <c r="Z311" i="1"/>
  <c r="N311" i="1"/>
  <c r="AK311" i="1"/>
  <c r="Y311" i="1"/>
  <c r="M311" i="1"/>
  <c r="AJ311" i="1"/>
  <c r="X311" i="1"/>
  <c r="AS294" i="1"/>
  <c r="AG294" i="1"/>
  <c r="U294" i="1"/>
  <c r="I294" i="1"/>
  <c r="AR294" i="1"/>
  <c r="AF294" i="1"/>
  <c r="T294" i="1"/>
  <c r="H294" i="1"/>
  <c r="AT294" i="1" s="1"/>
  <c r="AQ294" i="1"/>
  <c r="AE294" i="1"/>
  <c r="S294" i="1"/>
  <c r="G294" i="1"/>
  <c r="AP294" i="1"/>
  <c r="AD294" i="1"/>
  <c r="R294" i="1"/>
  <c r="F294" i="1"/>
  <c r="AO294" i="1"/>
  <c r="Q294" i="1"/>
  <c r="E294" i="1"/>
  <c r="AN294" i="1"/>
  <c r="AB294" i="1"/>
  <c r="D294" i="1"/>
  <c r="AY294" i="1"/>
  <c r="AM294" i="1"/>
  <c r="AA294" i="1"/>
  <c r="O294" i="1"/>
  <c r="P294" i="1" s="1"/>
  <c r="AL294" i="1"/>
  <c r="Z294" i="1"/>
  <c r="N294" i="1"/>
  <c r="AK294" i="1"/>
  <c r="Y294" i="1"/>
  <c r="M294" i="1"/>
  <c r="AJ294" i="1"/>
  <c r="X294" i="1"/>
  <c r="AI294" i="1"/>
  <c r="W294" i="1"/>
  <c r="K294" i="1"/>
  <c r="L294" i="1" s="1"/>
  <c r="AH294" i="1"/>
  <c r="V294" i="1"/>
  <c r="J294" i="1"/>
  <c r="AQ289" i="1"/>
  <c r="AE289" i="1"/>
  <c r="S289" i="1"/>
  <c r="G289" i="1"/>
  <c r="AP289" i="1"/>
  <c r="AD289" i="1"/>
  <c r="R289" i="1"/>
  <c r="F289" i="1"/>
  <c r="AO289" i="1"/>
  <c r="Q289" i="1"/>
  <c r="E289" i="1"/>
  <c r="AN289" i="1"/>
  <c r="AB289" i="1"/>
  <c r="D289" i="1"/>
  <c r="AY289" i="1"/>
  <c r="AM289" i="1"/>
  <c r="AA289" i="1"/>
  <c r="O289" i="1"/>
  <c r="P289" i="1" s="1"/>
  <c r="AL289" i="1"/>
  <c r="Z289" i="1"/>
  <c r="N289" i="1"/>
  <c r="AK289" i="1"/>
  <c r="Y289" i="1"/>
  <c r="M289" i="1"/>
  <c r="AJ289" i="1"/>
  <c r="X289" i="1"/>
  <c r="AI289" i="1"/>
  <c r="W289" i="1"/>
  <c r="K289" i="1"/>
  <c r="L289" i="1" s="1"/>
  <c r="AH289" i="1"/>
  <c r="V289" i="1"/>
  <c r="J289" i="1"/>
  <c r="AS289" i="1"/>
  <c r="AG289" i="1"/>
  <c r="U289" i="1"/>
  <c r="I289" i="1"/>
  <c r="AR289" i="1"/>
  <c r="AF289" i="1"/>
  <c r="T289" i="1"/>
  <c r="H289" i="1"/>
  <c r="AT289" i="1" s="1"/>
  <c r="AO290" i="1"/>
  <c r="Q290" i="1"/>
  <c r="E290" i="1"/>
  <c r="AN290" i="1"/>
  <c r="AB290" i="1"/>
  <c r="D290" i="1"/>
  <c r="AY290" i="1"/>
  <c r="AM290" i="1"/>
  <c r="AA290" i="1"/>
  <c r="O290" i="1"/>
  <c r="P290" i="1" s="1"/>
  <c r="AL290" i="1"/>
  <c r="Z290" i="1"/>
  <c r="N290" i="1"/>
  <c r="AK290" i="1"/>
  <c r="Y290" i="1"/>
  <c r="M290" i="1"/>
  <c r="AJ290" i="1"/>
  <c r="X290" i="1"/>
  <c r="AI290" i="1"/>
  <c r="W290" i="1"/>
  <c r="K290" i="1"/>
  <c r="L290" i="1" s="1"/>
  <c r="AH290" i="1"/>
  <c r="V290" i="1"/>
  <c r="J290" i="1"/>
  <c r="AS290" i="1"/>
  <c r="AG290" i="1"/>
  <c r="U290" i="1"/>
  <c r="I290" i="1"/>
  <c r="AR290" i="1"/>
  <c r="AF290" i="1"/>
  <c r="T290" i="1"/>
  <c r="H290" i="1"/>
  <c r="AT290" i="1" s="1"/>
  <c r="AQ290" i="1"/>
  <c r="AE290" i="1"/>
  <c r="S290" i="1"/>
  <c r="G290" i="1"/>
  <c r="AP290" i="1"/>
  <c r="AD290" i="1"/>
  <c r="R290" i="1"/>
  <c r="F290" i="1"/>
  <c r="AY273" i="1"/>
  <c r="AM273" i="1"/>
  <c r="AA273" i="1"/>
  <c r="O273" i="1"/>
  <c r="P273" i="1" s="1"/>
  <c r="AL273" i="1"/>
  <c r="Z273" i="1"/>
  <c r="N273" i="1"/>
  <c r="AK273" i="1"/>
  <c r="Y273" i="1"/>
  <c r="M273" i="1"/>
  <c r="AJ273" i="1"/>
  <c r="X273" i="1"/>
  <c r="AI273" i="1"/>
  <c r="W273" i="1"/>
  <c r="K273" i="1"/>
  <c r="L273" i="1" s="1"/>
  <c r="AH273" i="1"/>
  <c r="V273" i="1"/>
  <c r="J273" i="1"/>
  <c r="AS273" i="1"/>
  <c r="AG273" i="1"/>
  <c r="U273" i="1"/>
  <c r="I273" i="1"/>
  <c r="AR273" i="1"/>
  <c r="AF273" i="1"/>
  <c r="T273" i="1"/>
  <c r="H273" i="1"/>
  <c r="AT273" i="1" s="1"/>
  <c r="AO273" i="1"/>
  <c r="Q273" i="1"/>
  <c r="E273" i="1"/>
  <c r="AN273" i="1"/>
  <c r="AB273" i="1"/>
  <c r="D273" i="1"/>
  <c r="AQ273" i="1"/>
  <c r="AP273" i="1"/>
  <c r="AE273" i="1"/>
  <c r="AD273" i="1"/>
  <c r="S273" i="1"/>
  <c r="R273" i="1"/>
  <c r="G273" i="1"/>
  <c r="F273" i="1"/>
  <c r="AJ414" i="1"/>
  <c r="X414" i="1"/>
  <c r="AI414" i="1"/>
  <c r="W414" i="1"/>
  <c r="K414" i="1"/>
  <c r="L414" i="1" s="1"/>
  <c r="AH414" i="1"/>
  <c r="V414" i="1"/>
  <c r="J414" i="1"/>
  <c r="AP414" i="1"/>
  <c r="AD414" i="1"/>
  <c r="R414" i="1"/>
  <c r="F414" i="1"/>
  <c r="AK414" i="1"/>
  <c r="Y414" i="1"/>
  <c r="M414" i="1"/>
  <c r="AO414" i="1"/>
  <c r="T414" i="1"/>
  <c r="AN414" i="1"/>
  <c r="S414" i="1"/>
  <c r="AM414" i="1"/>
  <c r="Q414" i="1"/>
  <c r="AL414" i="1"/>
  <c r="AG414" i="1"/>
  <c r="O414" i="1"/>
  <c r="P414" i="1" s="1"/>
  <c r="AF414" i="1"/>
  <c r="N414" i="1"/>
  <c r="AY414" i="1"/>
  <c r="AE414" i="1"/>
  <c r="I414" i="1"/>
  <c r="H414" i="1"/>
  <c r="AT414" i="1" s="1"/>
  <c r="AB414" i="1"/>
  <c r="G414" i="1"/>
  <c r="AS414" i="1"/>
  <c r="AA414" i="1"/>
  <c r="E414" i="1"/>
  <c r="AR414" i="1"/>
  <c r="Z414" i="1"/>
  <c r="D414" i="1"/>
  <c r="AQ414" i="1"/>
  <c r="U414" i="1"/>
  <c r="AJ420" i="1"/>
  <c r="X420" i="1"/>
  <c r="AI420" i="1"/>
  <c r="W420" i="1"/>
  <c r="K420" i="1"/>
  <c r="L420" i="1" s="1"/>
  <c r="AH420" i="1"/>
  <c r="V420" i="1"/>
  <c r="J420" i="1"/>
  <c r="AS420" i="1"/>
  <c r="AG420" i="1"/>
  <c r="U420" i="1"/>
  <c r="I420" i="1"/>
  <c r="AR420" i="1"/>
  <c r="AF420" i="1"/>
  <c r="T420" i="1"/>
  <c r="H420" i="1"/>
  <c r="AT420" i="1" s="1"/>
  <c r="AQ420" i="1"/>
  <c r="AE420" i="1"/>
  <c r="S420" i="1"/>
  <c r="G420" i="1"/>
  <c r="AP420" i="1"/>
  <c r="AD420" i="1"/>
  <c r="R420" i="1"/>
  <c r="F420" i="1"/>
  <c r="AO420" i="1"/>
  <c r="Q420" i="1"/>
  <c r="E420" i="1"/>
  <c r="AY420" i="1"/>
  <c r="AM420" i="1"/>
  <c r="AA420" i="1"/>
  <c r="AL420" i="1"/>
  <c r="Z420" i="1"/>
  <c r="N420" i="1"/>
  <c r="AK420" i="1"/>
  <c r="Y420" i="1"/>
  <c r="M420" i="1"/>
  <c r="AN420" i="1"/>
  <c r="AB420" i="1"/>
  <c r="O420" i="1"/>
  <c r="P420" i="1" s="1"/>
  <c r="D420" i="1"/>
  <c r="AS340" i="1"/>
  <c r="AG340" i="1"/>
  <c r="U340" i="1"/>
  <c r="I340" i="1"/>
  <c r="AR340" i="1"/>
  <c r="AF340" i="1"/>
  <c r="T340" i="1"/>
  <c r="H340" i="1"/>
  <c r="AT340" i="1" s="1"/>
  <c r="AN340" i="1"/>
  <c r="AB340" i="1"/>
  <c r="D340" i="1"/>
  <c r="AY340" i="1"/>
  <c r="AM340" i="1"/>
  <c r="AA340" i="1"/>
  <c r="O340" i="1"/>
  <c r="P340" i="1" s="1"/>
  <c r="AL340" i="1"/>
  <c r="Z340" i="1"/>
  <c r="N340" i="1"/>
  <c r="AH340" i="1"/>
  <c r="V340" i="1"/>
  <c r="J340" i="1"/>
  <c r="AQ340" i="1"/>
  <c r="S340" i="1"/>
  <c r="AP340" i="1"/>
  <c r="R340" i="1"/>
  <c r="AO340" i="1"/>
  <c r="Q340" i="1"/>
  <c r="AK340" i="1"/>
  <c r="M340" i="1"/>
  <c r="AJ340" i="1"/>
  <c r="AI340" i="1"/>
  <c r="K340" i="1"/>
  <c r="L340" i="1" s="1"/>
  <c r="AE340" i="1"/>
  <c r="G340" i="1"/>
  <c r="AD340" i="1"/>
  <c r="F340" i="1"/>
  <c r="E340" i="1"/>
  <c r="Y340" i="1"/>
  <c r="X340" i="1"/>
  <c r="W340" i="1"/>
  <c r="AP411" i="1"/>
  <c r="AD411" i="1"/>
  <c r="R411" i="1"/>
  <c r="F411" i="1"/>
  <c r="AO411" i="1"/>
  <c r="Q411" i="1"/>
  <c r="E411" i="1"/>
  <c r="AN411" i="1"/>
  <c r="AB411" i="1"/>
  <c r="D411" i="1"/>
  <c r="AJ411" i="1"/>
  <c r="X411" i="1"/>
  <c r="AE411" i="1"/>
  <c r="M411" i="1"/>
  <c r="K411" i="1"/>
  <c r="L411" i="1" s="1"/>
  <c r="AS411" i="1"/>
  <c r="AA411" i="1"/>
  <c r="J411" i="1"/>
  <c r="AR411" i="1"/>
  <c r="Z411" i="1"/>
  <c r="I411" i="1"/>
  <c r="AQ411" i="1"/>
  <c r="Y411" i="1"/>
  <c r="H411" i="1"/>
  <c r="AT411" i="1" s="1"/>
  <c r="AM411" i="1"/>
  <c r="W411" i="1"/>
  <c r="G411" i="1"/>
  <c r="AL411" i="1"/>
  <c r="V411" i="1"/>
  <c r="AK411" i="1"/>
  <c r="U411" i="1"/>
  <c r="AI411" i="1"/>
  <c r="T411" i="1"/>
  <c r="AY411" i="1"/>
  <c r="AH411" i="1"/>
  <c r="S411" i="1"/>
  <c r="AG411" i="1"/>
  <c r="O411" i="1"/>
  <c r="P411" i="1" s="1"/>
  <c r="AF411" i="1"/>
  <c r="N411" i="1"/>
  <c r="AQ407" i="1"/>
  <c r="AE407" i="1"/>
  <c r="S407" i="1"/>
  <c r="G407" i="1"/>
  <c r="AP407" i="1"/>
  <c r="AD407" i="1"/>
  <c r="R407" i="1"/>
  <c r="F407" i="1"/>
  <c r="AO407" i="1"/>
  <c r="Q407" i="1"/>
  <c r="E407" i="1"/>
  <c r="AN407" i="1"/>
  <c r="AB407" i="1"/>
  <c r="D407" i="1"/>
  <c r="AY407" i="1"/>
  <c r="AM407" i="1"/>
  <c r="AA407" i="1"/>
  <c r="O407" i="1"/>
  <c r="P407" i="1" s="1"/>
  <c r="AL407" i="1"/>
  <c r="Z407" i="1"/>
  <c r="N407" i="1"/>
  <c r="AK407" i="1"/>
  <c r="Y407" i="1"/>
  <c r="M407" i="1"/>
  <c r="AJ407" i="1"/>
  <c r="X407" i="1"/>
  <c r="AI407" i="1"/>
  <c r="W407" i="1"/>
  <c r="K407" i="1"/>
  <c r="L407" i="1" s="1"/>
  <c r="AH407" i="1"/>
  <c r="V407" i="1"/>
  <c r="J407" i="1"/>
  <c r="AS407" i="1"/>
  <c r="AG407" i="1"/>
  <c r="U407" i="1"/>
  <c r="I407" i="1"/>
  <c r="AR407" i="1"/>
  <c r="AF407" i="1"/>
  <c r="T407" i="1"/>
  <c r="H407" i="1"/>
  <c r="AT407" i="1" s="1"/>
  <c r="AJ408" i="1"/>
  <c r="X408" i="1"/>
  <c r="AI408" i="1"/>
  <c r="W408" i="1"/>
  <c r="K408" i="1"/>
  <c r="L408" i="1" s="1"/>
  <c r="AH408" i="1"/>
  <c r="AP408" i="1"/>
  <c r="AD408" i="1"/>
  <c r="R408" i="1"/>
  <c r="F408" i="1"/>
  <c r="AM408" i="1"/>
  <c r="U408" i="1"/>
  <c r="E408" i="1"/>
  <c r="AL408" i="1"/>
  <c r="T408" i="1"/>
  <c r="D408" i="1"/>
  <c r="AK408" i="1"/>
  <c r="S408" i="1"/>
  <c r="AG408" i="1"/>
  <c r="Q408" i="1"/>
  <c r="AY408" i="1"/>
  <c r="AF408" i="1"/>
  <c r="AE408" i="1"/>
  <c r="O408" i="1"/>
  <c r="P408" i="1" s="1"/>
  <c r="N408" i="1"/>
  <c r="AS408" i="1"/>
  <c r="AB408" i="1"/>
  <c r="M408" i="1"/>
  <c r="AR408" i="1"/>
  <c r="AA408" i="1"/>
  <c r="J408" i="1"/>
  <c r="AQ408" i="1"/>
  <c r="Z408" i="1"/>
  <c r="I408" i="1"/>
  <c r="AO408" i="1"/>
  <c r="Y408" i="1"/>
  <c r="H408" i="1"/>
  <c r="AT408" i="1" s="1"/>
  <c r="AN408" i="1"/>
  <c r="V408" i="1"/>
  <c r="G408" i="1"/>
  <c r="AY391" i="1"/>
  <c r="AM391" i="1"/>
  <c r="AA391" i="1"/>
  <c r="O391" i="1"/>
  <c r="P391" i="1" s="1"/>
  <c r="AL391" i="1"/>
  <c r="Z391" i="1"/>
  <c r="N391" i="1"/>
  <c r="AK391" i="1"/>
  <c r="Y391" i="1"/>
  <c r="M391" i="1"/>
  <c r="AJ391" i="1"/>
  <c r="X391" i="1"/>
  <c r="AI391" i="1"/>
  <c r="W391" i="1"/>
  <c r="K391" i="1"/>
  <c r="L391" i="1" s="1"/>
  <c r="AH391" i="1"/>
  <c r="V391" i="1"/>
  <c r="J391" i="1"/>
  <c r="AS391" i="1"/>
  <c r="AG391" i="1"/>
  <c r="U391" i="1"/>
  <c r="I391" i="1"/>
  <c r="AR391" i="1"/>
  <c r="AF391" i="1"/>
  <c r="T391" i="1"/>
  <c r="H391" i="1"/>
  <c r="AT391" i="1" s="1"/>
  <c r="AQ391" i="1"/>
  <c r="AE391" i="1"/>
  <c r="S391" i="1"/>
  <c r="G391" i="1"/>
  <c r="AP391" i="1"/>
  <c r="AD391" i="1"/>
  <c r="R391" i="1"/>
  <c r="F391" i="1"/>
  <c r="AO391" i="1"/>
  <c r="Q391" i="1"/>
  <c r="E391" i="1"/>
  <c r="AN391" i="1"/>
  <c r="AB391" i="1"/>
  <c r="D391" i="1"/>
  <c r="AL473" i="1"/>
  <c r="Z473" i="1"/>
  <c r="N473" i="1"/>
  <c r="AK473" i="1"/>
  <c r="Y473" i="1"/>
  <c r="M473" i="1"/>
  <c r="AJ473" i="1"/>
  <c r="X473" i="1"/>
  <c r="AI473" i="1"/>
  <c r="W473" i="1"/>
  <c r="K473" i="1"/>
  <c r="L473" i="1" s="1"/>
  <c r="AH473" i="1"/>
  <c r="V473" i="1"/>
  <c r="J473" i="1"/>
  <c r="AS473" i="1"/>
  <c r="AG473" i="1"/>
  <c r="U473" i="1"/>
  <c r="I473" i="1"/>
  <c r="AR473" i="1"/>
  <c r="AF473" i="1"/>
  <c r="T473" i="1"/>
  <c r="H473" i="1"/>
  <c r="AT473" i="1" s="1"/>
  <c r="AQ473" i="1"/>
  <c r="AE473" i="1"/>
  <c r="S473" i="1"/>
  <c r="G473" i="1"/>
  <c r="AP473" i="1"/>
  <c r="AD473" i="1"/>
  <c r="R473" i="1"/>
  <c r="F473" i="1"/>
  <c r="AO473" i="1"/>
  <c r="Q473" i="1"/>
  <c r="E473" i="1"/>
  <c r="AN473" i="1"/>
  <c r="AB473" i="1"/>
  <c r="D473" i="1"/>
  <c r="AY473" i="1"/>
  <c r="AM473" i="1"/>
  <c r="AA473" i="1"/>
  <c r="O473" i="1"/>
  <c r="P473" i="1" s="1"/>
  <c r="AJ462" i="1"/>
  <c r="X462" i="1"/>
  <c r="AI462" i="1"/>
  <c r="W462" i="1"/>
  <c r="K462" i="1"/>
  <c r="L462" i="1" s="1"/>
  <c r="AH462" i="1"/>
  <c r="V462" i="1"/>
  <c r="J462" i="1"/>
  <c r="AS462" i="1"/>
  <c r="AG462" i="1"/>
  <c r="U462" i="1"/>
  <c r="I462" i="1"/>
  <c r="AR462" i="1"/>
  <c r="AF462" i="1"/>
  <c r="T462" i="1"/>
  <c r="H462" i="1"/>
  <c r="AT462" i="1" s="1"/>
  <c r="AQ462" i="1"/>
  <c r="AE462" i="1"/>
  <c r="S462" i="1"/>
  <c r="G462" i="1"/>
  <c r="AP462" i="1"/>
  <c r="AD462" i="1"/>
  <c r="R462" i="1"/>
  <c r="F462" i="1"/>
  <c r="AO462" i="1"/>
  <c r="Q462" i="1"/>
  <c r="E462" i="1"/>
  <c r="AN462" i="1"/>
  <c r="AB462" i="1"/>
  <c r="D462" i="1"/>
  <c r="AY462" i="1"/>
  <c r="AM462" i="1"/>
  <c r="AA462" i="1"/>
  <c r="O462" i="1"/>
  <c r="P462" i="1" s="1"/>
  <c r="AL462" i="1"/>
  <c r="Z462" i="1"/>
  <c r="N462" i="1"/>
  <c r="AK462" i="1"/>
  <c r="Y462" i="1"/>
  <c r="M462" i="1"/>
  <c r="AH457" i="1"/>
  <c r="V457" i="1"/>
  <c r="J457" i="1"/>
  <c r="AS457" i="1"/>
  <c r="AG457" i="1"/>
  <c r="U457" i="1"/>
  <c r="I457" i="1"/>
  <c r="AR457" i="1"/>
  <c r="AF457" i="1"/>
  <c r="T457" i="1"/>
  <c r="H457" i="1"/>
  <c r="AT457" i="1" s="1"/>
  <c r="AQ457" i="1"/>
  <c r="AE457" i="1"/>
  <c r="S457" i="1"/>
  <c r="G457" i="1"/>
  <c r="AP457" i="1"/>
  <c r="AD457" i="1"/>
  <c r="R457" i="1"/>
  <c r="F457" i="1"/>
  <c r="AO457" i="1"/>
  <c r="Q457" i="1"/>
  <c r="E457" i="1"/>
  <c r="AN457" i="1"/>
  <c r="AB457" i="1"/>
  <c r="D457" i="1"/>
  <c r="AY457" i="1"/>
  <c r="AM457" i="1"/>
  <c r="AA457" i="1"/>
  <c r="O457" i="1"/>
  <c r="P457" i="1" s="1"/>
  <c r="AL457" i="1"/>
  <c r="Z457" i="1"/>
  <c r="N457" i="1"/>
  <c r="AK457" i="1"/>
  <c r="Y457" i="1"/>
  <c r="M457" i="1"/>
  <c r="AJ457" i="1"/>
  <c r="X457" i="1"/>
  <c r="AI457" i="1"/>
  <c r="W457" i="1"/>
  <c r="K457" i="1"/>
  <c r="L457" i="1" s="1"/>
  <c r="AR452" i="1"/>
  <c r="AF452" i="1"/>
  <c r="T452" i="1"/>
  <c r="H452" i="1"/>
  <c r="AT452" i="1" s="1"/>
  <c r="AQ452" i="1"/>
  <c r="AE452" i="1"/>
  <c r="S452" i="1"/>
  <c r="G452" i="1"/>
  <c r="AP452" i="1"/>
  <c r="AD452" i="1"/>
  <c r="R452" i="1"/>
  <c r="F452" i="1"/>
  <c r="AO452" i="1"/>
  <c r="Q452" i="1"/>
  <c r="E452" i="1"/>
  <c r="AN452" i="1"/>
  <c r="AB452" i="1"/>
  <c r="D452" i="1"/>
  <c r="AY452" i="1"/>
  <c r="AM452" i="1"/>
  <c r="AA452" i="1"/>
  <c r="O452" i="1"/>
  <c r="P452" i="1" s="1"/>
  <c r="AL452" i="1"/>
  <c r="Z452" i="1"/>
  <c r="N452" i="1"/>
  <c r="AK452" i="1"/>
  <c r="Y452" i="1"/>
  <c r="M452" i="1"/>
  <c r="AJ452" i="1"/>
  <c r="X452" i="1"/>
  <c r="AI452" i="1"/>
  <c r="W452" i="1"/>
  <c r="K452" i="1"/>
  <c r="L452" i="1" s="1"/>
  <c r="AH452" i="1"/>
  <c r="V452" i="1"/>
  <c r="J452" i="1"/>
  <c r="AS452" i="1"/>
  <c r="AG452" i="1"/>
  <c r="U452" i="1"/>
  <c r="I452" i="1"/>
  <c r="AP447" i="1"/>
  <c r="AD447" i="1"/>
  <c r="R447" i="1"/>
  <c r="F447" i="1"/>
  <c r="AO447" i="1"/>
  <c r="Q447" i="1"/>
  <c r="E447" i="1"/>
  <c r="AN447" i="1"/>
  <c r="AB447" i="1"/>
  <c r="D447" i="1"/>
  <c r="AY447" i="1"/>
  <c r="AM447" i="1"/>
  <c r="AA447" i="1"/>
  <c r="O447" i="1"/>
  <c r="P447" i="1" s="1"/>
  <c r="AL447" i="1"/>
  <c r="Z447" i="1"/>
  <c r="N447" i="1"/>
  <c r="AK447" i="1"/>
  <c r="Y447" i="1"/>
  <c r="M447" i="1"/>
  <c r="AJ447" i="1"/>
  <c r="X447" i="1"/>
  <c r="AI447" i="1"/>
  <c r="W447" i="1"/>
  <c r="K447" i="1"/>
  <c r="L447" i="1" s="1"/>
  <c r="AH447" i="1"/>
  <c r="V447" i="1"/>
  <c r="J447" i="1"/>
  <c r="AS447" i="1"/>
  <c r="AG447" i="1"/>
  <c r="U447" i="1"/>
  <c r="I447" i="1"/>
  <c r="AR447" i="1"/>
  <c r="AF447" i="1"/>
  <c r="T447" i="1"/>
  <c r="H447" i="1"/>
  <c r="AT447" i="1" s="1"/>
  <c r="AQ447" i="1"/>
  <c r="AE447" i="1"/>
  <c r="S447" i="1"/>
  <c r="G447" i="1"/>
  <c r="AN436" i="1"/>
  <c r="AB436" i="1"/>
  <c r="D436" i="1"/>
  <c r="AY436" i="1"/>
  <c r="AM436" i="1"/>
  <c r="AA436" i="1"/>
  <c r="O436" i="1"/>
  <c r="P436" i="1" s="1"/>
  <c r="AL436" i="1"/>
  <c r="Z436" i="1"/>
  <c r="N436" i="1"/>
  <c r="AK436" i="1"/>
  <c r="Y436" i="1"/>
  <c r="M436" i="1"/>
  <c r="AJ436" i="1"/>
  <c r="X436" i="1"/>
  <c r="AI436" i="1"/>
  <c r="W436" i="1"/>
  <c r="K436" i="1"/>
  <c r="L436" i="1" s="1"/>
  <c r="AH436" i="1"/>
  <c r="V436" i="1"/>
  <c r="J436" i="1"/>
  <c r="AS436" i="1"/>
  <c r="AG436" i="1"/>
  <c r="U436" i="1"/>
  <c r="I436" i="1"/>
  <c r="AR436" i="1"/>
  <c r="AF436" i="1"/>
  <c r="T436" i="1"/>
  <c r="H436" i="1"/>
  <c r="AT436" i="1" s="1"/>
  <c r="AQ436" i="1"/>
  <c r="AE436" i="1"/>
  <c r="S436" i="1"/>
  <c r="G436" i="1"/>
  <c r="AP436" i="1"/>
  <c r="AD436" i="1"/>
  <c r="R436" i="1"/>
  <c r="F436" i="1"/>
  <c r="AO436" i="1"/>
  <c r="Q436" i="1"/>
  <c r="E436" i="1"/>
  <c r="AL512" i="1"/>
  <c r="Z512" i="1"/>
  <c r="N512" i="1"/>
  <c r="AK512" i="1"/>
  <c r="Y512" i="1"/>
  <c r="M512" i="1"/>
  <c r="AJ512" i="1"/>
  <c r="X512" i="1"/>
  <c r="AI512" i="1"/>
  <c r="W512" i="1"/>
  <c r="K512" i="1"/>
  <c r="L512" i="1" s="1"/>
  <c r="AH512" i="1"/>
  <c r="V512" i="1"/>
  <c r="J512" i="1"/>
  <c r="AS512" i="1"/>
  <c r="AG512" i="1"/>
  <c r="U512" i="1"/>
  <c r="I512" i="1"/>
  <c r="AR512" i="1"/>
  <c r="AF512" i="1"/>
  <c r="T512" i="1"/>
  <c r="H512" i="1"/>
  <c r="AT512" i="1" s="1"/>
  <c r="AQ512" i="1"/>
  <c r="AE512" i="1"/>
  <c r="S512" i="1"/>
  <c r="G512" i="1"/>
  <c r="AP512" i="1"/>
  <c r="AD512" i="1"/>
  <c r="R512" i="1"/>
  <c r="F512" i="1"/>
  <c r="AO512" i="1"/>
  <c r="Q512" i="1"/>
  <c r="E512" i="1"/>
  <c r="AN512" i="1"/>
  <c r="AB512" i="1"/>
  <c r="D512" i="1"/>
  <c r="AY512" i="1"/>
  <c r="AM512" i="1"/>
  <c r="AA512" i="1"/>
  <c r="O512" i="1"/>
  <c r="P512" i="1" s="1"/>
  <c r="AH496" i="1"/>
  <c r="V496" i="1"/>
  <c r="J496" i="1"/>
  <c r="AS496" i="1"/>
  <c r="AG496" i="1"/>
  <c r="U496" i="1"/>
  <c r="I496" i="1"/>
  <c r="AR496" i="1"/>
  <c r="AF496" i="1"/>
  <c r="T496" i="1"/>
  <c r="H496" i="1"/>
  <c r="AT496" i="1" s="1"/>
  <c r="AQ496" i="1"/>
  <c r="AE496" i="1"/>
  <c r="S496" i="1"/>
  <c r="G496" i="1"/>
  <c r="AP496" i="1"/>
  <c r="AD496" i="1"/>
  <c r="R496" i="1"/>
  <c r="F496" i="1"/>
  <c r="AO496" i="1"/>
  <c r="Q496" i="1"/>
  <c r="E496" i="1"/>
  <c r="AN496" i="1"/>
  <c r="AB496" i="1"/>
  <c r="D496" i="1"/>
  <c r="AY496" i="1"/>
  <c r="AM496" i="1"/>
  <c r="AA496" i="1"/>
  <c r="O496" i="1"/>
  <c r="P496" i="1" s="1"/>
  <c r="AL496" i="1"/>
  <c r="Z496" i="1"/>
  <c r="N496" i="1"/>
  <c r="AI496" i="1"/>
  <c r="W496" i="1"/>
  <c r="K496" i="1"/>
  <c r="L496" i="1" s="1"/>
  <c r="AK496" i="1"/>
  <c r="AJ496" i="1"/>
  <c r="Y496" i="1"/>
  <c r="X496" i="1"/>
  <c r="M496" i="1"/>
  <c r="AR527" i="1"/>
  <c r="AF527" i="1"/>
  <c r="T527" i="1"/>
  <c r="H527" i="1"/>
  <c r="AT527" i="1" s="1"/>
  <c r="AQ527" i="1"/>
  <c r="AE527" i="1"/>
  <c r="S527" i="1"/>
  <c r="G527" i="1"/>
  <c r="AP527" i="1"/>
  <c r="AD527" i="1"/>
  <c r="R527" i="1"/>
  <c r="F527" i="1"/>
  <c r="AO527" i="1"/>
  <c r="Q527" i="1"/>
  <c r="E527" i="1"/>
  <c r="AN527" i="1"/>
  <c r="AB527" i="1"/>
  <c r="D527" i="1"/>
  <c r="AM527" i="1"/>
  <c r="AA527" i="1"/>
  <c r="O527" i="1"/>
  <c r="P527" i="1" s="1"/>
  <c r="AY527" i="1"/>
  <c r="AL527" i="1"/>
  <c r="Z527" i="1"/>
  <c r="N527" i="1"/>
  <c r="AK527" i="1"/>
  <c r="Y527" i="1"/>
  <c r="M527" i="1"/>
  <c r="AJ527" i="1"/>
  <c r="X527" i="1"/>
  <c r="AI527" i="1"/>
  <c r="W527" i="1"/>
  <c r="K527" i="1"/>
  <c r="L527" i="1" s="1"/>
  <c r="AH527" i="1"/>
  <c r="V527" i="1"/>
  <c r="J527" i="1"/>
  <c r="AS527" i="1"/>
  <c r="AG527" i="1"/>
  <c r="U527" i="1"/>
  <c r="I527" i="1"/>
  <c r="AN511" i="1"/>
  <c r="AB511" i="1"/>
  <c r="D511" i="1"/>
  <c r="AY511" i="1"/>
  <c r="AM511" i="1"/>
  <c r="AA511" i="1"/>
  <c r="O511" i="1"/>
  <c r="P511" i="1" s="1"/>
  <c r="AL511" i="1"/>
  <c r="Z511" i="1"/>
  <c r="N511" i="1"/>
  <c r="AK511" i="1"/>
  <c r="Y511" i="1"/>
  <c r="M511" i="1"/>
  <c r="AJ511" i="1"/>
  <c r="X511" i="1"/>
  <c r="AI511" i="1"/>
  <c r="W511" i="1"/>
  <c r="K511" i="1"/>
  <c r="L511" i="1" s="1"/>
  <c r="AH511" i="1"/>
  <c r="V511" i="1"/>
  <c r="J511" i="1"/>
  <c r="AS511" i="1"/>
  <c r="AG511" i="1"/>
  <c r="U511" i="1"/>
  <c r="I511" i="1"/>
  <c r="AR511" i="1"/>
  <c r="AF511" i="1"/>
  <c r="T511" i="1"/>
  <c r="H511" i="1"/>
  <c r="AT511" i="1" s="1"/>
  <c r="AQ511" i="1"/>
  <c r="AE511" i="1"/>
  <c r="S511" i="1"/>
  <c r="G511" i="1"/>
  <c r="AP511" i="1"/>
  <c r="AD511" i="1"/>
  <c r="R511" i="1"/>
  <c r="F511" i="1"/>
  <c r="AO511" i="1"/>
  <c r="Q511" i="1"/>
  <c r="E511" i="1"/>
  <c r="AI580" i="1"/>
  <c r="W580" i="1"/>
  <c r="K580" i="1"/>
  <c r="L580" i="1" s="1"/>
  <c r="AH580" i="1"/>
  <c r="V580" i="1"/>
  <c r="J580" i="1"/>
  <c r="AO580" i="1"/>
  <c r="Q580" i="1"/>
  <c r="E580" i="1"/>
  <c r="AN580" i="1"/>
  <c r="AB580" i="1"/>
  <c r="D580" i="1"/>
  <c r="AJ580" i="1"/>
  <c r="S580" i="1"/>
  <c r="AY580" i="1"/>
  <c r="AG580" i="1"/>
  <c r="R580" i="1"/>
  <c r="AF580" i="1"/>
  <c r="O580" i="1"/>
  <c r="P580" i="1" s="1"/>
  <c r="AE580" i="1"/>
  <c r="N580" i="1"/>
  <c r="AD580" i="1"/>
  <c r="M580" i="1"/>
  <c r="AS580" i="1"/>
  <c r="AR580" i="1"/>
  <c r="AA580" i="1"/>
  <c r="I580" i="1"/>
  <c r="AQ580" i="1"/>
  <c r="Z580" i="1"/>
  <c r="H580" i="1"/>
  <c r="AT580" i="1" s="1"/>
  <c r="AP580" i="1"/>
  <c r="Y580" i="1"/>
  <c r="G580" i="1"/>
  <c r="AM580" i="1"/>
  <c r="X580" i="1"/>
  <c r="F580" i="1"/>
  <c r="AL580" i="1"/>
  <c r="U580" i="1"/>
  <c r="AK580" i="1"/>
  <c r="T580" i="1"/>
  <c r="AH561" i="1"/>
  <c r="V561" i="1"/>
  <c r="J561" i="1"/>
  <c r="AS561" i="1"/>
  <c r="AG561" i="1"/>
  <c r="U561" i="1"/>
  <c r="I561" i="1"/>
  <c r="AR561" i="1"/>
  <c r="AF561" i="1"/>
  <c r="T561" i="1"/>
  <c r="H561" i="1"/>
  <c r="AT561" i="1" s="1"/>
  <c r="AQ561" i="1"/>
  <c r="AE561" i="1"/>
  <c r="S561" i="1"/>
  <c r="G561" i="1"/>
  <c r="AP561" i="1"/>
  <c r="AD561" i="1"/>
  <c r="R561" i="1"/>
  <c r="F561" i="1"/>
  <c r="AO561" i="1"/>
  <c r="Q561" i="1"/>
  <c r="E561" i="1"/>
  <c r="AN561" i="1"/>
  <c r="AB561" i="1"/>
  <c r="D561" i="1"/>
  <c r="AY561" i="1"/>
  <c r="AM561" i="1"/>
  <c r="AA561" i="1"/>
  <c r="O561" i="1"/>
  <c r="P561" i="1" s="1"/>
  <c r="AL561" i="1"/>
  <c r="Z561" i="1"/>
  <c r="N561" i="1"/>
  <c r="AK561" i="1"/>
  <c r="Y561" i="1"/>
  <c r="M561" i="1"/>
  <c r="AJ561" i="1"/>
  <c r="X561" i="1"/>
  <c r="AI561" i="1"/>
  <c r="W561" i="1"/>
  <c r="K561" i="1"/>
  <c r="L561" i="1" s="1"/>
  <c r="AP563" i="1"/>
  <c r="AD563" i="1"/>
  <c r="R563" i="1"/>
  <c r="F563" i="1"/>
  <c r="AO563" i="1"/>
  <c r="Q563" i="1"/>
  <c r="E563" i="1"/>
  <c r="AN563" i="1"/>
  <c r="AB563" i="1"/>
  <c r="D563" i="1"/>
  <c r="AY563" i="1"/>
  <c r="AM563" i="1"/>
  <c r="AA563" i="1"/>
  <c r="O563" i="1"/>
  <c r="P563" i="1" s="1"/>
  <c r="AL563" i="1"/>
  <c r="Z563" i="1"/>
  <c r="N563" i="1"/>
  <c r="AK563" i="1"/>
  <c r="Y563" i="1"/>
  <c r="M563" i="1"/>
  <c r="AJ563" i="1"/>
  <c r="X563" i="1"/>
  <c r="AI563" i="1"/>
  <c r="W563" i="1"/>
  <c r="K563" i="1"/>
  <c r="L563" i="1" s="1"/>
  <c r="AH563" i="1"/>
  <c r="V563" i="1"/>
  <c r="J563" i="1"/>
  <c r="AS563" i="1"/>
  <c r="AG563" i="1"/>
  <c r="U563" i="1"/>
  <c r="I563" i="1"/>
  <c r="AR563" i="1"/>
  <c r="AF563" i="1"/>
  <c r="T563" i="1"/>
  <c r="H563" i="1"/>
  <c r="AT563" i="1" s="1"/>
  <c r="AQ563" i="1"/>
  <c r="AE563" i="1"/>
  <c r="S563" i="1"/>
  <c r="G563" i="1"/>
  <c r="AN570" i="1"/>
  <c r="AB570" i="1"/>
  <c r="D570" i="1"/>
  <c r="AY570" i="1"/>
  <c r="AM570" i="1"/>
  <c r="AA570" i="1"/>
  <c r="O570" i="1"/>
  <c r="P570" i="1" s="1"/>
  <c r="AL570" i="1"/>
  <c r="Z570" i="1"/>
  <c r="N570" i="1"/>
  <c r="AK570" i="1"/>
  <c r="Y570" i="1"/>
  <c r="M570" i="1"/>
  <c r="AJ570" i="1"/>
  <c r="X570" i="1"/>
  <c r="AI570" i="1"/>
  <c r="W570" i="1"/>
  <c r="K570" i="1"/>
  <c r="L570" i="1" s="1"/>
  <c r="AH570" i="1"/>
  <c r="V570" i="1"/>
  <c r="J570" i="1"/>
  <c r="AS570" i="1"/>
  <c r="AG570" i="1"/>
  <c r="U570" i="1"/>
  <c r="I570" i="1"/>
  <c r="AR570" i="1"/>
  <c r="AF570" i="1"/>
  <c r="T570" i="1"/>
  <c r="H570" i="1"/>
  <c r="AT570" i="1" s="1"/>
  <c r="AQ570" i="1"/>
  <c r="AE570" i="1"/>
  <c r="S570" i="1"/>
  <c r="G570" i="1"/>
  <c r="AP570" i="1"/>
  <c r="AD570" i="1"/>
  <c r="R570" i="1"/>
  <c r="F570" i="1"/>
  <c r="AO570" i="1"/>
  <c r="Q570" i="1"/>
  <c r="E570" i="1"/>
  <c r="AI604" i="1"/>
  <c r="W604" i="1"/>
  <c r="K604" i="1"/>
  <c r="L604" i="1" s="1"/>
  <c r="AH604" i="1"/>
  <c r="V604" i="1"/>
  <c r="J604" i="1"/>
  <c r="AS604" i="1"/>
  <c r="AG604" i="1"/>
  <c r="U604" i="1"/>
  <c r="I604" i="1"/>
  <c r="AR604" i="1"/>
  <c r="AF604" i="1"/>
  <c r="T604" i="1"/>
  <c r="H604" i="1"/>
  <c r="AT604" i="1" s="1"/>
  <c r="AQ604" i="1"/>
  <c r="AE604" i="1"/>
  <c r="S604" i="1"/>
  <c r="G604" i="1"/>
  <c r="AP604" i="1"/>
  <c r="AD604" i="1"/>
  <c r="R604" i="1"/>
  <c r="F604" i="1"/>
  <c r="AO604" i="1"/>
  <c r="Q604" i="1"/>
  <c r="E604" i="1"/>
  <c r="AN604" i="1"/>
  <c r="AB604" i="1"/>
  <c r="D604" i="1"/>
  <c r="AY604" i="1"/>
  <c r="AM604" i="1"/>
  <c r="AA604" i="1"/>
  <c r="O604" i="1"/>
  <c r="P604" i="1" s="1"/>
  <c r="AL604" i="1"/>
  <c r="Z604" i="1"/>
  <c r="N604" i="1"/>
  <c r="AK604" i="1"/>
  <c r="Y604" i="1"/>
  <c r="M604" i="1"/>
  <c r="AJ604" i="1"/>
  <c r="X604" i="1"/>
  <c r="AS611" i="1"/>
  <c r="AG611" i="1"/>
  <c r="U611" i="1"/>
  <c r="I611" i="1"/>
  <c r="AR611" i="1"/>
  <c r="AF611" i="1"/>
  <c r="T611" i="1"/>
  <c r="H611" i="1"/>
  <c r="AT611" i="1" s="1"/>
  <c r="AQ611" i="1"/>
  <c r="AE611" i="1"/>
  <c r="S611" i="1"/>
  <c r="G611" i="1"/>
  <c r="AP611" i="1"/>
  <c r="AD611" i="1"/>
  <c r="R611" i="1"/>
  <c r="F611" i="1"/>
  <c r="AO611" i="1"/>
  <c r="Q611" i="1"/>
  <c r="E611" i="1"/>
  <c r="AN611" i="1"/>
  <c r="AB611" i="1"/>
  <c r="D611" i="1"/>
  <c r="AY611" i="1"/>
  <c r="AM611" i="1"/>
  <c r="AA611" i="1"/>
  <c r="O611" i="1"/>
  <c r="P611" i="1" s="1"/>
  <c r="AL611" i="1"/>
  <c r="Z611" i="1"/>
  <c r="N611" i="1"/>
  <c r="AK611" i="1"/>
  <c r="Y611" i="1"/>
  <c r="M611" i="1"/>
  <c r="AJ611" i="1"/>
  <c r="X611" i="1"/>
  <c r="AI611" i="1"/>
  <c r="W611" i="1"/>
  <c r="K611" i="1"/>
  <c r="L611" i="1" s="1"/>
  <c r="AH611" i="1"/>
  <c r="V611" i="1"/>
  <c r="J611" i="1"/>
  <c r="AO595" i="1"/>
  <c r="Q595" i="1"/>
  <c r="E595" i="1"/>
  <c r="AN595" i="1"/>
  <c r="AB595" i="1"/>
  <c r="D595" i="1"/>
  <c r="AY595" i="1"/>
  <c r="AM595" i="1"/>
  <c r="AA595" i="1"/>
  <c r="O595" i="1"/>
  <c r="P595" i="1" s="1"/>
  <c r="AL595" i="1"/>
  <c r="Z595" i="1"/>
  <c r="N595" i="1"/>
  <c r="AK595" i="1"/>
  <c r="Y595" i="1"/>
  <c r="M595" i="1"/>
  <c r="AJ595" i="1"/>
  <c r="X595" i="1"/>
  <c r="AI595" i="1"/>
  <c r="W595" i="1"/>
  <c r="K595" i="1"/>
  <c r="L595" i="1" s="1"/>
  <c r="AH595" i="1"/>
  <c r="V595" i="1"/>
  <c r="J595" i="1"/>
  <c r="AS595" i="1"/>
  <c r="AG595" i="1"/>
  <c r="U595" i="1"/>
  <c r="I595" i="1"/>
  <c r="AR595" i="1"/>
  <c r="AF595" i="1"/>
  <c r="T595" i="1"/>
  <c r="H595" i="1"/>
  <c r="AT595" i="1" s="1"/>
  <c r="AQ595" i="1"/>
  <c r="AE595" i="1"/>
  <c r="S595" i="1"/>
  <c r="G595" i="1"/>
  <c r="AP595" i="1"/>
  <c r="AD595" i="1"/>
  <c r="R595" i="1"/>
  <c r="F595" i="1"/>
  <c r="AY620" i="1"/>
  <c r="AM620" i="1"/>
  <c r="AA620" i="1"/>
  <c r="O620" i="1"/>
  <c r="P620" i="1" s="1"/>
  <c r="AL620" i="1"/>
  <c r="Z620" i="1"/>
  <c r="N620" i="1"/>
  <c r="AK620" i="1"/>
  <c r="Y620" i="1"/>
  <c r="M620" i="1"/>
  <c r="AJ620" i="1"/>
  <c r="X620" i="1"/>
  <c r="AI620" i="1"/>
  <c r="W620" i="1"/>
  <c r="K620" i="1"/>
  <c r="L620" i="1" s="1"/>
  <c r="AH620" i="1"/>
  <c r="V620" i="1"/>
  <c r="J620" i="1"/>
  <c r="AS620" i="1"/>
  <c r="AG620" i="1"/>
  <c r="U620" i="1"/>
  <c r="I620" i="1"/>
  <c r="AR620" i="1"/>
  <c r="AF620" i="1"/>
  <c r="T620" i="1"/>
  <c r="H620" i="1"/>
  <c r="AT620" i="1" s="1"/>
  <c r="AQ620" i="1"/>
  <c r="AE620" i="1"/>
  <c r="S620" i="1"/>
  <c r="G620" i="1"/>
  <c r="AP620" i="1"/>
  <c r="AD620" i="1"/>
  <c r="R620" i="1"/>
  <c r="F620" i="1"/>
  <c r="AO620" i="1"/>
  <c r="Q620" i="1"/>
  <c r="E620" i="1"/>
  <c r="AN620" i="1"/>
  <c r="AB620" i="1"/>
  <c r="D620" i="1"/>
  <c r="AH631" i="1"/>
  <c r="V631" i="1"/>
  <c r="J631" i="1"/>
  <c r="AS631" i="1"/>
  <c r="AG631" i="1"/>
  <c r="U631" i="1"/>
  <c r="I631" i="1"/>
  <c r="AN631" i="1"/>
  <c r="AB631" i="1"/>
  <c r="D631" i="1"/>
  <c r="AY631" i="1"/>
  <c r="AM631" i="1"/>
  <c r="AA631" i="1"/>
  <c r="O631" i="1"/>
  <c r="P631" i="1" s="1"/>
  <c r="AP631" i="1"/>
  <c r="X631" i="1"/>
  <c r="F631" i="1"/>
  <c r="AO631" i="1"/>
  <c r="W631" i="1"/>
  <c r="E631" i="1"/>
  <c r="AL631" i="1"/>
  <c r="T631" i="1"/>
  <c r="AK631" i="1"/>
  <c r="S631" i="1"/>
  <c r="AJ631" i="1"/>
  <c r="R631" i="1"/>
  <c r="AI631" i="1"/>
  <c r="Q631" i="1"/>
  <c r="AF631" i="1"/>
  <c r="N631" i="1"/>
  <c r="AE631" i="1"/>
  <c r="M631" i="1"/>
  <c r="AD631" i="1"/>
  <c r="K631" i="1"/>
  <c r="L631" i="1" s="1"/>
  <c r="AR631" i="1"/>
  <c r="Z631" i="1"/>
  <c r="H631" i="1"/>
  <c r="AT631" i="1" s="1"/>
  <c r="AQ631" i="1"/>
  <c r="Y631" i="1"/>
  <c r="G631" i="1"/>
  <c r="AP639" i="1"/>
  <c r="AD639" i="1"/>
  <c r="R639" i="1"/>
  <c r="F639" i="1"/>
  <c r="AO639" i="1"/>
  <c r="Q639" i="1"/>
  <c r="E639" i="1"/>
  <c r="AN639" i="1"/>
  <c r="AB639" i="1"/>
  <c r="D639" i="1"/>
  <c r="AY639" i="1"/>
  <c r="AM639" i="1"/>
  <c r="AA639" i="1"/>
  <c r="O639" i="1"/>
  <c r="P639" i="1" s="1"/>
  <c r="AL639" i="1"/>
  <c r="Z639" i="1"/>
  <c r="N639" i="1"/>
  <c r="AK639" i="1"/>
  <c r="Y639" i="1"/>
  <c r="M639" i="1"/>
  <c r="AJ639" i="1"/>
  <c r="X639" i="1"/>
  <c r="AI639" i="1"/>
  <c r="W639" i="1"/>
  <c r="K639" i="1"/>
  <c r="L639" i="1" s="1"/>
  <c r="AH639" i="1"/>
  <c r="V639" i="1"/>
  <c r="J639" i="1"/>
  <c r="AS639" i="1"/>
  <c r="AG639" i="1"/>
  <c r="U639" i="1"/>
  <c r="I639" i="1"/>
  <c r="AR639" i="1"/>
  <c r="AF639" i="1"/>
  <c r="T639" i="1"/>
  <c r="H639" i="1"/>
  <c r="AT639" i="1" s="1"/>
  <c r="AQ639" i="1"/>
  <c r="AE639" i="1"/>
  <c r="S639" i="1"/>
  <c r="G639" i="1"/>
  <c r="AQ661" i="1"/>
  <c r="AE661" i="1"/>
  <c r="S661" i="1"/>
  <c r="G661" i="1"/>
  <c r="AP661" i="1"/>
  <c r="AD661" i="1"/>
  <c r="R661" i="1"/>
  <c r="F661" i="1"/>
  <c r="AO661" i="1"/>
  <c r="Q661" i="1"/>
  <c r="E661" i="1"/>
  <c r="AY661" i="1"/>
  <c r="AJ661" i="1"/>
  <c r="V661" i="1"/>
  <c r="D661" i="1"/>
  <c r="AI661" i="1"/>
  <c r="U661" i="1"/>
  <c r="AH661" i="1"/>
  <c r="T661" i="1"/>
  <c r="AG661" i="1"/>
  <c r="AF661" i="1"/>
  <c r="O661" i="1"/>
  <c r="P661" i="1" s="1"/>
  <c r="N661" i="1"/>
  <c r="AS661" i="1"/>
  <c r="AB661" i="1"/>
  <c r="M661" i="1"/>
  <c r="AR661" i="1"/>
  <c r="AA661" i="1"/>
  <c r="AN661" i="1"/>
  <c r="Z661" i="1"/>
  <c r="K661" i="1"/>
  <c r="L661" i="1" s="1"/>
  <c r="AM661" i="1"/>
  <c r="Y661" i="1"/>
  <c r="J661" i="1"/>
  <c r="AL661" i="1"/>
  <c r="X661" i="1"/>
  <c r="I661" i="1"/>
  <c r="AK661" i="1"/>
  <c r="W661" i="1"/>
  <c r="H661" i="1"/>
  <c r="AT661" i="1" s="1"/>
  <c r="AI695" i="1"/>
  <c r="W695" i="1"/>
  <c r="K695" i="1"/>
  <c r="L695" i="1" s="1"/>
  <c r="AH695" i="1"/>
  <c r="V695" i="1"/>
  <c r="J695" i="1"/>
  <c r="AS695" i="1"/>
  <c r="AG695" i="1"/>
  <c r="U695" i="1"/>
  <c r="I695" i="1"/>
  <c r="AR695" i="1"/>
  <c r="AF695" i="1"/>
  <c r="T695" i="1"/>
  <c r="H695" i="1"/>
  <c r="AT695" i="1" s="1"/>
  <c r="AQ695" i="1"/>
  <c r="AE695" i="1"/>
  <c r="S695" i="1"/>
  <c r="G695" i="1"/>
  <c r="AP695" i="1"/>
  <c r="AD695" i="1"/>
  <c r="R695" i="1"/>
  <c r="F695" i="1"/>
  <c r="AO695" i="1"/>
  <c r="Q695" i="1"/>
  <c r="E695" i="1"/>
  <c r="AN695" i="1"/>
  <c r="AB695" i="1"/>
  <c r="D695" i="1"/>
  <c r="AY695" i="1"/>
  <c r="AM695" i="1"/>
  <c r="AA695" i="1"/>
  <c r="O695" i="1"/>
  <c r="P695" i="1" s="1"/>
  <c r="AL695" i="1"/>
  <c r="Z695" i="1"/>
  <c r="N695" i="1"/>
  <c r="AK695" i="1"/>
  <c r="Y695" i="1"/>
  <c r="M695" i="1"/>
  <c r="AJ695" i="1"/>
  <c r="X695" i="1"/>
  <c r="AI715" i="1"/>
  <c r="W715" i="1"/>
  <c r="K715" i="1"/>
  <c r="L715" i="1" s="1"/>
  <c r="AH715" i="1"/>
  <c r="V715" i="1"/>
  <c r="J715" i="1"/>
  <c r="AS715" i="1"/>
  <c r="AG715" i="1"/>
  <c r="U715" i="1"/>
  <c r="I715" i="1"/>
  <c r="AR715" i="1"/>
  <c r="AF715" i="1"/>
  <c r="T715" i="1"/>
  <c r="H715" i="1"/>
  <c r="AT715" i="1" s="1"/>
  <c r="AQ715" i="1"/>
  <c r="AE715" i="1"/>
  <c r="S715" i="1"/>
  <c r="G715" i="1"/>
  <c r="AN715" i="1"/>
  <c r="AB715" i="1"/>
  <c r="D715" i="1"/>
  <c r="AL715" i="1"/>
  <c r="N715" i="1"/>
  <c r="AK715" i="1"/>
  <c r="M715" i="1"/>
  <c r="AJ715" i="1"/>
  <c r="AD715" i="1"/>
  <c r="F715" i="1"/>
  <c r="E715" i="1"/>
  <c r="AY715" i="1"/>
  <c r="AA715" i="1"/>
  <c r="Z715" i="1"/>
  <c r="Y715" i="1"/>
  <c r="X715" i="1"/>
  <c r="AP715" i="1"/>
  <c r="R715" i="1"/>
  <c r="AO715" i="1"/>
  <c r="Q715" i="1"/>
  <c r="AM715" i="1"/>
  <c r="O715" i="1"/>
  <c r="P715" i="1" s="1"/>
  <c r="AO680" i="1"/>
  <c r="Q680" i="1"/>
  <c r="E680" i="1"/>
  <c r="AN680" i="1"/>
  <c r="AB680" i="1"/>
  <c r="D680" i="1"/>
  <c r="AY680" i="1"/>
  <c r="AM680" i="1"/>
  <c r="AA680" i="1"/>
  <c r="O680" i="1"/>
  <c r="P680" i="1" s="1"/>
  <c r="AL680" i="1"/>
  <c r="Z680" i="1"/>
  <c r="N680" i="1"/>
  <c r="AK680" i="1"/>
  <c r="Y680" i="1"/>
  <c r="M680" i="1"/>
  <c r="AJ680" i="1"/>
  <c r="X680" i="1"/>
  <c r="AI680" i="1"/>
  <c r="W680" i="1"/>
  <c r="K680" i="1"/>
  <c r="L680" i="1" s="1"/>
  <c r="AH680" i="1"/>
  <c r="V680" i="1"/>
  <c r="J680" i="1"/>
  <c r="AS680" i="1"/>
  <c r="AG680" i="1"/>
  <c r="U680" i="1"/>
  <c r="I680" i="1"/>
  <c r="AR680" i="1"/>
  <c r="AF680" i="1"/>
  <c r="T680" i="1"/>
  <c r="H680" i="1"/>
  <c r="AT680" i="1" s="1"/>
  <c r="AQ680" i="1"/>
  <c r="AE680" i="1"/>
  <c r="S680" i="1"/>
  <c r="G680" i="1"/>
  <c r="AP680" i="1"/>
  <c r="AD680" i="1"/>
  <c r="R680" i="1"/>
  <c r="F680" i="1"/>
  <c r="AY705" i="1"/>
  <c r="AM705" i="1"/>
  <c r="AA705" i="1"/>
  <c r="O705" i="1"/>
  <c r="P705" i="1" s="1"/>
  <c r="AL705" i="1"/>
  <c r="Z705" i="1"/>
  <c r="N705" i="1"/>
  <c r="AK705" i="1"/>
  <c r="Y705" i="1"/>
  <c r="M705" i="1"/>
  <c r="AJ705" i="1"/>
  <c r="X705" i="1"/>
  <c r="AI705" i="1"/>
  <c r="W705" i="1"/>
  <c r="K705" i="1"/>
  <c r="L705" i="1" s="1"/>
  <c r="AH705" i="1"/>
  <c r="V705" i="1"/>
  <c r="J705" i="1"/>
  <c r="AS705" i="1"/>
  <c r="AG705" i="1"/>
  <c r="U705" i="1"/>
  <c r="I705" i="1"/>
  <c r="AR705" i="1"/>
  <c r="AF705" i="1"/>
  <c r="T705" i="1"/>
  <c r="H705" i="1"/>
  <c r="AT705" i="1" s="1"/>
  <c r="AQ705" i="1"/>
  <c r="AE705" i="1"/>
  <c r="S705" i="1"/>
  <c r="G705" i="1"/>
  <c r="AP705" i="1"/>
  <c r="AD705" i="1"/>
  <c r="R705" i="1"/>
  <c r="F705" i="1"/>
  <c r="AO705" i="1"/>
  <c r="Q705" i="1"/>
  <c r="E705" i="1"/>
  <c r="AN705" i="1"/>
  <c r="AB705" i="1"/>
  <c r="D705" i="1"/>
  <c r="AI727" i="1"/>
  <c r="W727" i="1"/>
  <c r="K727" i="1"/>
  <c r="L727" i="1" s="1"/>
  <c r="AH727" i="1"/>
  <c r="V727" i="1"/>
  <c r="J727" i="1"/>
  <c r="AS727" i="1"/>
  <c r="AG727" i="1"/>
  <c r="U727" i="1"/>
  <c r="I727" i="1"/>
  <c r="AR727" i="1"/>
  <c r="AF727" i="1"/>
  <c r="T727" i="1"/>
  <c r="H727" i="1"/>
  <c r="AT727" i="1" s="1"/>
  <c r="AQ727" i="1"/>
  <c r="AE727" i="1"/>
  <c r="S727" i="1"/>
  <c r="G727" i="1"/>
  <c r="AP727" i="1"/>
  <c r="AD727" i="1"/>
  <c r="R727" i="1"/>
  <c r="F727" i="1"/>
  <c r="AO727" i="1"/>
  <c r="Q727" i="1"/>
  <c r="E727" i="1"/>
  <c r="AN727" i="1"/>
  <c r="AB727" i="1"/>
  <c r="D727" i="1"/>
  <c r="AY727" i="1"/>
  <c r="AM727" i="1"/>
  <c r="AA727" i="1"/>
  <c r="O727" i="1"/>
  <c r="P727" i="1" s="1"/>
  <c r="AL727" i="1"/>
  <c r="Z727" i="1"/>
  <c r="N727" i="1"/>
  <c r="AK727" i="1"/>
  <c r="Y727" i="1"/>
  <c r="M727" i="1"/>
  <c r="AJ727" i="1"/>
  <c r="X727" i="1"/>
  <c r="AI757" i="1"/>
  <c r="W757" i="1"/>
  <c r="K757" i="1"/>
  <c r="L757" i="1" s="1"/>
  <c r="AH757" i="1"/>
  <c r="V757" i="1"/>
  <c r="J757" i="1"/>
  <c r="AS757" i="1"/>
  <c r="AG757" i="1"/>
  <c r="U757" i="1"/>
  <c r="I757" i="1"/>
  <c r="AN757" i="1"/>
  <c r="AB757" i="1"/>
  <c r="D757" i="1"/>
  <c r="AD757" i="1"/>
  <c r="M757" i="1"/>
  <c r="AR757" i="1"/>
  <c r="AA757" i="1"/>
  <c r="H757" i="1"/>
  <c r="AT757" i="1" s="1"/>
  <c r="AQ757" i="1"/>
  <c r="Z757" i="1"/>
  <c r="G757" i="1"/>
  <c r="AP757" i="1"/>
  <c r="Y757" i="1"/>
  <c r="F757" i="1"/>
  <c r="AO757" i="1"/>
  <c r="X757" i="1"/>
  <c r="E757" i="1"/>
  <c r="AM757" i="1"/>
  <c r="T757" i="1"/>
  <c r="AL757" i="1"/>
  <c r="S757" i="1"/>
  <c r="AK757" i="1"/>
  <c r="R757" i="1"/>
  <c r="AJ757" i="1"/>
  <c r="Q757" i="1"/>
  <c r="AY757" i="1"/>
  <c r="AF757" i="1"/>
  <c r="O757" i="1"/>
  <c r="P757" i="1" s="1"/>
  <c r="AE757" i="1"/>
  <c r="N757" i="1"/>
  <c r="AO742" i="1"/>
  <c r="Q742" i="1"/>
  <c r="E742" i="1"/>
  <c r="AN742" i="1"/>
  <c r="AB742" i="1"/>
  <c r="D742" i="1"/>
  <c r="AY742" i="1"/>
  <c r="AM742" i="1"/>
  <c r="AA742" i="1"/>
  <c r="O742" i="1"/>
  <c r="P742" i="1" s="1"/>
  <c r="AL742" i="1"/>
  <c r="Z742" i="1"/>
  <c r="N742" i="1"/>
  <c r="AK742" i="1"/>
  <c r="Y742" i="1"/>
  <c r="M742" i="1"/>
  <c r="AJ742" i="1"/>
  <c r="X742" i="1"/>
  <c r="AI742" i="1"/>
  <c r="W742" i="1"/>
  <c r="K742" i="1"/>
  <c r="L742" i="1" s="1"/>
  <c r="AH742" i="1"/>
  <c r="V742" i="1"/>
  <c r="J742" i="1"/>
  <c r="AS742" i="1"/>
  <c r="AG742" i="1"/>
  <c r="U742" i="1"/>
  <c r="I742" i="1"/>
  <c r="AR742" i="1"/>
  <c r="AF742" i="1"/>
  <c r="T742" i="1"/>
  <c r="H742" i="1"/>
  <c r="AT742" i="1" s="1"/>
  <c r="AQ742" i="1"/>
  <c r="AE742" i="1"/>
  <c r="S742" i="1"/>
  <c r="G742" i="1"/>
  <c r="AP742" i="1"/>
  <c r="AD742" i="1"/>
  <c r="R742" i="1"/>
  <c r="F742" i="1"/>
  <c r="AK774" i="1"/>
  <c r="Y774" i="1"/>
  <c r="M774" i="1"/>
  <c r="AJ774" i="1"/>
  <c r="X774" i="1"/>
  <c r="AI774" i="1"/>
  <c r="W774" i="1"/>
  <c r="K774" i="1"/>
  <c r="L774" i="1" s="1"/>
  <c r="AH774" i="1"/>
  <c r="V774" i="1"/>
  <c r="J774" i="1"/>
  <c r="AS774" i="1"/>
  <c r="AG774" i="1"/>
  <c r="U774" i="1"/>
  <c r="I774" i="1"/>
  <c r="AR774" i="1"/>
  <c r="AF774" i="1"/>
  <c r="T774" i="1"/>
  <c r="H774" i="1"/>
  <c r="AT774" i="1" s="1"/>
  <c r="AQ774" i="1"/>
  <c r="AE774" i="1"/>
  <c r="S774" i="1"/>
  <c r="G774" i="1"/>
  <c r="AP774" i="1"/>
  <c r="AD774" i="1"/>
  <c r="R774" i="1"/>
  <c r="F774" i="1"/>
  <c r="AO774" i="1"/>
  <c r="Q774" i="1"/>
  <c r="E774" i="1"/>
  <c r="AN774" i="1"/>
  <c r="AB774" i="1"/>
  <c r="D774" i="1"/>
  <c r="AY774" i="1"/>
  <c r="AM774" i="1"/>
  <c r="AA774" i="1"/>
  <c r="O774" i="1"/>
  <c r="P774" i="1" s="1"/>
  <c r="AL774" i="1"/>
  <c r="Z774" i="1"/>
  <c r="N774" i="1"/>
  <c r="AS770" i="1"/>
  <c r="AG770" i="1"/>
  <c r="U770" i="1"/>
  <c r="I770" i="1"/>
  <c r="AR770" i="1"/>
  <c r="AF770" i="1"/>
  <c r="T770" i="1"/>
  <c r="H770" i="1"/>
  <c r="AT770" i="1" s="1"/>
  <c r="AQ770" i="1"/>
  <c r="AE770" i="1"/>
  <c r="S770" i="1"/>
  <c r="G770" i="1"/>
  <c r="AP770" i="1"/>
  <c r="AD770" i="1"/>
  <c r="R770" i="1"/>
  <c r="F770" i="1"/>
  <c r="AO770" i="1"/>
  <c r="Q770" i="1"/>
  <c r="E770" i="1"/>
  <c r="AN770" i="1"/>
  <c r="AB770" i="1"/>
  <c r="D770" i="1"/>
  <c r="AY770" i="1"/>
  <c r="AM770" i="1"/>
  <c r="AA770" i="1"/>
  <c r="O770" i="1"/>
  <c r="P770" i="1" s="1"/>
  <c r="AL770" i="1"/>
  <c r="Z770" i="1"/>
  <c r="N770" i="1"/>
  <c r="AK770" i="1"/>
  <c r="Y770" i="1"/>
  <c r="M770" i="1"/>
  <c r="AJ770" i="1"/>
  <c r="X770" i="1"/>
  <c r="AI770" i="1"/>
  <c r="W770" i="1"/>
  <c r="K770" i="1"/>
  <c r="L770" i="1" s="1"/>
  <c r="AH770" i="1"/>
  <c r="V770" i="1"/>
  <c r="J770" i="1"/>
  <c r="AQ795" i="1"/>
  <c r="AE795" i="1"/>
  <c r="S795" i="1"/>
  <c r="G795" i="1"/>
  <c r="AP795" i="1"/>
  <c r="AD795" i="1"/>
  <c r="R795" i="1"/>
  <c r="F795" i="1"/>
  <c r="AO795" i="1"/>
  <c r="Q795" i="1"/>
  <c r="E795" i="1"/>
  <c r="AN795" i="1"/>
  <c r="AB795" i="1"/>
  <c r="D795" i="1"/>
  <c r="AY795" i="1"/>
  <c r="AM795" i="1"/>
  <c r="AA795" i="1"/>
  <c r="O795" i="1"/>
  <c r="P795" i="1" s="1"/>
  <c r="AL795" i="1"/>
  <c r="Z795" i="1"/>
  <c r="N795" i="1"/>
  <c r="AK795" i="1"/>
  <c r="Y795" i="1"/>
  <c r="M795" i="1"/>
  <c r="AJ795" i="1"/>
  <c r="X795" i="1"/>
  <c r="AI795" i="1"/>
  <c r="W795" i="1"/>
  <c r="K795" i="1"/>
  <c r="L795" i="1" s="1"/>
  <c r="AH795" i="1"/>
  <c r="V795" i="1"/>
  <c r="J795" i="1"/>
  <c r="AS795" i="1"/>
  <c r="AG795" i="1"/>
  <c r="U795" i="1"/>
  <c r="I795" i="1"/>
  <c r="AR795" i="1"/>
  <c r="AF795" i="1"/>
  <c r="T795" i="1"/>
  <c r="H795" i="1"/>
  <c r="AT795" i="1" s="1"/>
  <c r="AY767" i="1"/>
  <c r="AM767" i="1"/>
  <c r="AA767" i="1"/>
  <c r="O767" i="1"/>
  <c r="P767" i="1" s="1"/>
  <c r="AL767" i="1"/>
  <c r="Z767" i="1"/>
  <c r="N767" i="1"/>
  <c r="AK767" i="1"/>
  <c r="Y767" i="1"/>
  <c r="M767" i="1"/>
  <c r="AJ767" i="1"/>
  <c r="X767" i="1"/>
  <c r="AI767" i="1"/>
  <c r="W767" i="1"/>
  <c r="K767" i="1"/>
  <c r="L767" i="1" s="1"/>
  <c r="AH767" i="1"/>
  <c r="V767" i="1"/>
  <c r="J767" i="1"/>
  <c r="AS767" i="1"/>
  <c r="AG767" i="1"/>
  <c r="U767" i="1"/>
  <c r="I767" i="1"/>
  <c r="AR767" i="1"/>
  <c r="AF767" i="1"/>
  <c r="T767" i="1"/>
  <c r="H767" i="1"/>
  <c r="AT767" i="1" s="1"/>
  <c r="AQ767" i="1"/>
  <c r="AE767" i="1"/>
  <c r="S767" i="1"/>
  <c r="G767" i="1"/>
  <c r="AP767" i="1"/>
  <c r="AD767" i="1"/>
  <c r="R767" i="1"/>
  <c r="F767" i="1"/>
  <c r="AO767" i="1"/>
  <c r="Q767" i="1"/>
  <c r="E767" i="1"/>
  <c r="AN767" i="1"/>
  <c r="AB767" i="1"/>
  <c r="D767" i="1"/>
  <c r="AJ806" i="1"/>
  <c r="X806" i="1"/>
  <c r="AI806" i="1"/>
  <c r="W806" i="1"/>
  <c r="K806" i="1"/>
  <c r="L806" i="1" s="1"/>
  <c r="AH806" i="1"/>
  <c r="V806" i="1"/>
  <c r="J806" i="1"/>
  <c r="AS806" i="1"/>
  <c r="AG806" i="1"/>
  <c r="U806" i="1"/>
  <c r="I806" i="1"/>
  <c r="AR806" i="1"/>
  <c r="AF806" i="1"/>
  <c r="T806" i="1"/>
  <c r="H806" i="1"/>
  <c r="AT806" i="1" s="1"/>
  <c r="AQ806" i="1"/>
  <c r="AE806" i="1"/>
  <c r="S806" i="1"/>
  <c r="G806" i="1"/>
  <c r="AP806" i="1"/>
  <c r="AD806" i="1"/>
  <c r="R806" i="1"/>
  <c r="F806" i="1"/>
  <c r="AO806" i="1"/>
  <c r="Q806" i="1"/>
  <c r="E806" i="1"/>
  <c r="AN806" i="1"/>
  <c r="AB806" i="1"/>
  <c r="D806" i="1"/>
  <c r="AY806" i="1"/>
  <c r="AM806" i="1"/>
  <c r="AA806" i="1"/>
  <c r="O806" i="1"/>
  <c r="P806" i="1" s="1"/>
  <c r="AL806" i="1"/>
  <c r="Z806" i="1"/>
  <c r="N806" i="1"/>
  <c r="AK806" i="1"/>
  <c r="Y806" i="1"/>
  <c r="M806" i="1"/>
  <c r="AH831" i="1"/>
  <c r="V831" i="1"/>
  <c r="J831" i="1"/>
  <c r="AS831" i="1"/>
  <c r="AG831" i="1"/>
  <c r="U831" i="1"/>
  <c r="I831" i="1"/>
  <c r="AR831" i="1"/>
  <c r="AF831" i="1"/>
  <c r="T831" i="1"/>
  <c r="H831" i="1"/>
  <c r="AT831" i="1" s="1"/>
  <c r="AQ831" i="1"/>
  <c r="AE831" i="1"/>
  <c r="S831" i="1"/>
  <c r="G831" i="1"/>
  <c r="AP831" i="1"/>
  <c r="AD831" i="1"/>
  <c r="R831" i="1"/>
  <c r="F831" i="1"/>
  <c r="AO831" i="1"/>
  <c r="Q831" i="1"/>
  <c r="E831" i="1"/>
  <c r="AN831" i="1"/>
  <c r="AB831" i="1"/>
  <c r="D831" i="1"/>
  <c r="AY831" i="1"/>
  <c r="AM831" i="1"/>
  <c r="AA831" i="1"/>
  <c r="O831" i="1"/>
  <c r="P831" i="1" s="1"/>
  <c r="AL831" i="1"/>
  <c r="Z831" i="1"/>
  <c r="N831" i="1"/>
  <c r="AK831" i="1"/>
  <c r="Y831" i="1"/>
  <c r="M831" i="1"/>
  <c r="AJ831" i="1"/>
  <c r="X831" i="1"/>
  <c r="AI831" i="1"/>
  <c r="W831" i="1"/>
  <c r="K831" i="1"/>
  <c r="L831" i="1" s="1"/>
  <c r="AP821" i="1"/>
  <c r="AD821" i="1"/>
  <c r="R821" i="1"/>
  <c r="F821" i="1"/>
  <c r="AO821" i="1"/>
  <c r="Q821" i="1"/>
  <c r="E821" i="1"/>
  <c r="AN821" i="1"/>
  <c r="AB821" i="1"/>
  <c r="D821" i="1"/>
  <c r="AY821" i="1"/>
  <c r="AM821" i="1"/>
  <c r="AA821" i="1"/>
  <c r="O821" i="1"/>
  <c r="P821" i="1" s="1"/>
  <c r="AL821" i="1"/>
  <c r="Z821" i="1"/>
  <c r="N821" i="1"/>
  <c r="AK821" i="1"/>
  <c r="Y821" i="1"/>
  <c r="M821" i="1"/>
  <c r="AJ821" i="1"/>
  <c r="X821" i="1"/>
  <c r="AI821" i="1"/>
  <c r="W821" i="1"/>
  <c r="K821" i="1"/>
  <c r="L821" i="1" s="1"/>
  <c r="AH821" i="1"/>
  <c r="V821" i="1"/>
  <c r="J821" i="1"/>
  <c r="AS821" i="1"/>
  <c r="AG821" i="1"/>
  <c r="U821" i="1"/>
  <c r="I821" i="1"/>
  <c r="AR821" i="1"/>
  <c r="AF821" i="1"/>
  <c r="T821" i="1"/>
  <c r="H821" i="1"/>
  <c r="AT821" i="1" s="1"/>
  <c r="AQ821" i="1"/>
  <c r="AE821" i="1"/>
  <c r="S821" i="1"/>
  <c r="G821" i="1"/>
  <c r="AJ848" i="1"/>
  <c r="X848" i="1"/>
  <c r="AI848" i="1"/>
  <c r="W848" i="1"/>
  <c r="K848" i="1"/>
  <c r="L848" i="1" s="1"/>
  <c r="AH848" i="1"/>
  <c r="V848" i="1"/>
  <c r="J848" i="1"/>
  <c r="AS848" i="1"/>
  <c r="AG848" i="1"/>
  <c r="U848" i="1"/>
  <c r="I848" i="1"/>
  <c r="AR848" i="1"/>
  <c r="AF848" i="1"/>
  <c r="T848" i="1"/>
  <c r="H848" i="1"/>
  <c r="AT848" i="1" s="1"/>
  <c r="AQ848" i="1"/>
  <c r="AE848" i="1"/>
  <c r="S848" i="1"/>
  <c r="G848" i="1"/>
  <c r="AP848" i="1"/>
  <c r="AD848" i="1"/>
  <c r="R848" i="1"/>
  <c r="F848" i="1"/>
  <c r="AO848" i="1"/>
  <c r="Q848" i="1"/>
  <c r="E848" i="1"/>
  <c r="AL848" i="1"/>
  <c r="Z848" i="1"/>
  <c r="N848" i="1"/>
  <c r="D848" i="1"/>
  <c r="AN848" i="1"/>
  <c r="AM848" i="1"/>
  <c r="AK848" i="1"/>
  <c r="AB848" i="1"/>
  <c r="AA848" i="1"/>
  <c r="Y848" i="1"/>
  <c r="O848" i="1"/>
  <c r="P848" i="1" s="1"/>
  <c r="AY848" i="1"/>
  <c r="M848" i="1"/>
  <c r="AH843" i="1"/>
  <c r="V843" i="1"/>
  <c r="J843" i="1"/>
  <c r="AS843" i="1"/>
  <c r="AG843" i="1"/>
  <c r="U843" i="1"/>
  <c r="I843" i="1"/>
  <c r="AR843" i="1"/>
  <c r="AF843" i="1"/>
  <c r="T843" i="1"/>
  <c r="H843" i="1"/>
  <c r="AT843" i="1" s="1"/>
  <c r="AQ843" i="1"/>
  <c r="AE843" i="1"/>
  <c r="S843" i="1"/>
  <c r="AY843" i="1"/>
  <c r="AM843" i="1"/>
  <c r="AA843" i="1"/>
  <c r="O843" i="1"/>
  <c r="P843" i="1" s="1"/>
  <c r="AD843" i="1"/>
  <c r="K843" i="1"/>
  <c r="L843" i="1" s="1"/>
  <c r="AB843" i="1"/>
  <c r="G843" i="1"/>
  <c r="Z843" i="1"/>
  <c r="F843" i="1"/>
  <c r="Y843" i="1"/>
  <c r="E843" i="1"/>
  <c r="AP843" i="1"/>
  <c r="X843" i="1"/>
  <c r="D843" i="1"/>
  <c r="AO843" i="1"/>
  <c r="W843" i="1"/>
  <c r="AN843" i="1"/>
  <c r="R843" i="1"/>
  <c r="AL843" i="1"/>
  <c r="Q843" i="1"/>
  <c r="AK843" i="1"/>
  <c r="AJ843" i="1"/>
  <c r="N843" i="1"/>
  <c r="AI843" i="1"/>
  <c r="M843" i="1"/>
  <c r="AR868" i="1"/>
  <c r="AF868" i="1"/>
  <c r="T868" i="1"/>
  <c r="H868" i="1"/>
  <c r="AT868" i="1" s="1"/>
  <c r="AQ868" i="1"/>
  <c r="AE868" i="1"/>
  <c r="S868" i="1"/>
  <c r="G868" i="1"/>
  <c r="AP868" i="1"/>
  <c r="AD868" i="1"/>
  <c r="R868" i="1"/>
  <c r="F868" i="1"/>
  <c r="AO868" i="1"/>
  <c r="Q868" i="1"/>
  <c r="E868" i="1"/>
  <c r="AN868" i="1"/>
  <c r="AB868" i="1"/>
  <c r="D868" i="1"/>
  <c r="AY868" i="1"/>
  <c r="AM868" i="1"/>
  <c r="AA868" i="1"/>
  <c r="O868" i="1"/>
  <c r="P868" i="1" s="1"/>
  <c r="AL868" i="1"/>
  <c r="Z868" i="1"/>
  <c r="N868" i="1"/>
  <c r="AK868" i="1"/>
  <c r="Y868" i="1"/>
  <c r="M868" i="1"/>
  <c r="AJ868" i="1"/>
  <c r="X868" i="1"/>
  <c r="AI868" i="1"/>
  <c r="W868" i="1"/>
  <c r="K868" i="1"/>
  <c r="L868" i="1" s="1"/>
  <c r="AH868" i="1"/>
  <c r="V868" i="1"/>
  <c r="J868" i="1"/>
  <c r="AS868" i="1"/>
  <c r="AG868" i="1"/>
  <c r="U868" i="1"/>
  <c r="I868" i="1"/>
  <c r="AN858" i="1"/>
  <c r="AB858" i="1"/>
  <c r="D858" i="1"/>
  <c r="AY858" i="1"/>
  <c r="AM858" i="1"/>
  <c r="AA858" i="1"/>
  <c r="O858" i="1"/>
  <c r="P858" i="1" s="1"/>
  <c r="AL858" i="1"/>
  <c r="Z858" i="1"/>
  <c r="N858" i="1"/>
  <c r="AK858" i="1"/>
  <c r="Y858" i="1"/>
  <c r="M858" i="1"/>
  <c r="AJ858" i="1"/>
  <c r="X858" i="1"/>
  <c r="AI858" i="1"/>
  <c r="W858" i="1"/>
  <c r="K858" i="1"/>
  <c r="L858" i="1" s="1"/>
  <c r="AH858" i="1"/>
  <c r="V858" i="1"/>
  <c r="J858" i="1"/>
  <c r="AS858" i="1"/>
  <c r="AG858" i="1"/>
  <c r="U858" i="1"/>
  <c r="I858" i="1"/>
  <c r="AR858" i="1"/>
  <c r="AF858" i="1"/>
  <c r="T858" i="1"/>
  <c r="H858" i="1"/>
  <c r="AT858" i="1" s="1"/>
  <c r="AQ858" i="1"/>
  <c r="AE858" i="1"/>
  <c r="S858" i="1"/>
  <c r="G858" i="1"/>
  <c r="AP858" i="1"/>
  <c r="AD858" i="1"/>
  <c r="R858" i="1"/>
  <c r="F858" i="1"/>
  <c r="AO858" i="1"/>
  <c r="Q858" i="1"/>
  <c r="E858" i="1"/>
  <c r="AJ905" i="1"/>
  <c r="X905" i="1"/>
  <c r="AI905" i="1"/>
  <c r="W905" i="1"/>
  <c r="K905" i="1"/>
  <c r="L905" i="1" s="1"/>
  <c r="AH905" i="1"/>
  <c r="V905" i="1"/>
  <c r="J905" i="1"/>
  <c r="AS905" i="1"/>
  <c r="AG905" i="1"/>
  <c r="U905" i="1"/>
  <c r="I905" i="1"/>
  <c r="AR905" i="1"/>
  <c r="AF905" i="1"/>
  <c r="T905" i="1"/>
  <c r="H905" i="1"/>
  <c r="AT905" i="1" s="1"/>
  <c r="AQ905" i="1"/>
  <c r="AE905" i="1"/>
  <c r="S905" i="1"/>
  <c r="G905" i="1"/>
  <c r="AP905" i="1"/>
  <c r="AD905" i="1"/>
  <c r="R905" i="1"/>
  <c r="F905" i="1"/>
  <c r="AO905" i="1"/>
  <c r="Q905" i="1"/>
  <c r="E905" i="1"/>
  <c r="AN905" i="1"/>
  <c r="AB905" i="1"/>
  <c r="D905" i="1"/>
  <c r="AY905" i="1"/>
  <c r="AM905" i="1"/>
  <c r="AA905" i="1"/>
  <c r="O905" i="1"/>
  <c r="P905" i="1" s="1"/>
  <c r="AL905" i="1"/>
  <c r="Z905" i="1"/>
  <c r="N905" i="1"/>
  <c r="AK905" i="1"/>
  <c r="Y905" i="1"/>
  <c r="M905" i="1"/>
  <c r="AR907" i="1"/>
  <c r="AF907" i="1"/>
  <c r="T907" i="1"/>
  <c r="H907" i="1"/>
  <c r="AT907" i="1" s="1"/>
  <c r="AQ907" i="1"/>
  <c r="AE907" i="1"/>
  <c r="S907" i="1"/>
  <c r="G907" i="1"/>
  <c r="AP907" i="1"/>
  <c r="AD907" i="1"/>
  <c r="R907" i="1"/>
  <c r="F907" i="1"/>
  <c r="AO907" i="1"/>
  <c r="Q907" i="1"/>
  <c r="E907" i="1"/>
  <c r="AN907" i="1"/>
  <c r="AB907" i="1"/>
  <c r="D907" i="1"/>
  <c r="AY907" i="1"/>
  <c r="AM907" i="1"/>
  <c r="AA907" i="1"/>
  <c r="O907" i="1"/>
  <c r="P907" i="1" s="1"/>
  <c r="AL907" i="1"/>
  <c r="Z907" i="1"/>
  <c r="N907" i="1"/>
  <c r="AK907" i="1"/>
  <c r="Y907" i="1"/>
  <c r="M907" i="1"/>
  <c r="AJ907" i="1"/>
  <c r="X907" i="1"/>
  <c r="AI907" i="1"/>
  <c r="W907" i="1"/>
  <c r="K907" i="1"/>
  <c r="L907" i="1" s="1"/>
  <c r="AH907" i="1"/>
  <c r="V907" i="1"/>
  <c r="J907" i="1"/>
  <c r="AS907" i="1"/>
  <c r="AG907" i="1"/>
  <c r="U907" i="1"/>
  <c r="I907" i="1"/>
  <c r="AN903" i="1"/>
  <c r="AB903" i="1"/>
  <c r="D903" i="1"/>
  <c r="AY903" i="1"/>
  <c r="AM903" i="1"/>
  <c r="AA903" i="1"/>
  <c r="O903" i="1"/>
  <c r="P903" i="1" s="1"/>
  <c r="AL903" i="1"/>
  <c r="Z903" i="1"/>
  <c r="N903" i="1"/>
  <c r="AK903" i="1"/>
  <c r="Y903" i="1"/>
  <c r="M903" i="1"/>
  <c r="AJ903" i="1"/>
  <c r="X903" i="1"/>
  <c r="AI903" i="1"/>
  <c r="W903" i="1"/>
  <c r="K903" i="1"/>
  <c r="L903" i="1" s="1"/>
  <c r="AH903" i="1"/>
  <c r="V903" i="1"/>
  <c r="J903" i="1"/>
  <c r="AS903" i="1"/>
  <c r="AG903" i="1"/>
  <c r="U903" i="1"/>
  <c r="I903" i="1"/>
  <c r="AR903" i="1"/>
  <c r="AF903" i="1"/>
  <c r="T903" i="1"/>
  <c r="H903" i="1"/>
  <c r="AT903" i="1" s="1"/>
  <c r="AQ903" i="1"/>
  <c r="AE903" i="1"/>
  <c r="S903" i="1"/>
  <c r="G903" i="1"/>
  <c r="AP903" i="1"/>
  <c r="AD903" i="1"/>
  <c r="R903" i="1"/>
  <c r="F903" i="1"/>
  <c r="AO903" i="1"/>
  <c r="Q903" i="1"/>
  <c r="E903" i="1"/>
  <c r="AP937" i="1"/>
  <c r="AD937" i="1"/>
  <c r="R937" i="1"/>
  <c r="F937" i="1"/>
  <c r="AI937" i="1"/>
  <c r="W937" i="1"/>
  <c r="K937" i="1"/>
  <c r="L937" i="1" s="1"/>
  <c r="AO937" i="1"/>
  <c r="AA937" i="1"/>
  <c r="M937" i="1"/>
  <c r="AN937" i="1"/>
  <c r="Z937" i="1"/>
  <c r="AM937" i="1"/>
  <c r="Y937" i="1"/>
  <c r="J937" i="1"/>
  <c r="AL937" i="1"/>
  <c r="X937" i="1"/>
  <c r="I937" i="1"/>
  <c r="AY937" i="1"/>
  <c r="AK937" i="1"/>
  <c r="V937" i="1"/>
  <c r="H937" i="1"/>
  <c r="AT937" i="1" s="1"/>
  <c r="AJ937" i="1"/>
  <c r="U937" i="1"/>
  <c r="G937" i="1"/>
  <c r="AH937" i="1"/>
  <c r="T937" i="1"/>
  <c r="E937" i="1"/>
  <c r="AG937" i="1"/>
  <c r="S937" i="1"/>
  <c r="D937" i="1"/>
  <c r="AF937" i="1"/>
  <c r="Q937" i="1"/>
  <c r="AS937" i="1"/>
  <c r="AE937" i="1"/>
  <c r="AR937" i="1"/>
  <c r="O937" i="1"/>
  <c r="P937" i="1" s="1"/>
  <c r="AQ937" i="1"/>
  <c r="AB937" i="1"/>
  <c r="N937" i="1"/>
  <c r="AP924" i="1"/>
  <c r="AD924" i="1"/>
  <c r="R924" i="1"/>
  <c r="F924" i="1"/>
  <c r="AO924" i="1"/>
  <c r="Q924" i="1"/>
  <c r="E924" i="1"/>
  <c r="AN924" i="1"/>
  <c r="AB924" i="1"/>
  <c r="D924" i="1"/>
  <c r="AY924" i="1"/>
  <c r="AM924" i="1"/>
  <c r="AA924" i="1"/>
  <c r="O924" i="1"/>
  <c r="P924" i="1" s="1"/>
  <c r="AL924" i="1"/>
  <c r="Z924" i="1"/>
  <c r="N924" i="1"/>
  <c r="AK924" i="1"/>
  <c r="Y924" i="1"/>
  <c r="M924" i="1"/>
  <c r="AJ924" i="1"/>
  <c r="X924" i="1"/>
  <c r="AI924" i="1"/>
  <c r="W924" i="1"/>
  <c r="K924" i="1"/>
  <c r="L924" i="1" s="1"/>
  <c r="AS924" i="1"/>
  <c r="AG924" i="1"/>
  <c r="U924" i="1"/>
  <c r="I924" i="1"/>
  <c r="AR924" i="1"/>
  <c r="AF924" i="1"/>
  <c r="T924" i="1"/>
  <c r="H924" i="1"/>
  <c r="AT924" i="1" s="1"/>
  <c r="S924" i="1"/>
  <c r="J924" i="1"/>
  <c r="G924" i="1"/>
  <c r="AQ924" i="1"/>
  <c r="AH924" i="1"/>
  <c r="AE924" i="1"/>
  <c r="V924" i="1"/>
  <c r="AK979" i="1"/>
  <c r="Y979" i="1"/>
  <c r="M979" i="1"/>
  <c r="AJ979" i="1"/>
  <c r="X979" i="1"/>
  <c r="AH979" i="1"/>
  <c r="AS979" i="1"/>
  <c r="AG979" i="1"/>
  <c r="U979" i="1"/>
  <c r="I979" i="1"/>
  <c r="AR979" i="1"/>
  <c r="AF979" i="1"/>
  <c r="T979" i="1"/>
  <c r="H979" i="1"/>
  <c r="AT979" i="1" s="1"/>
  <c r="AQ979" i="1"/>
  <c r="AE979" i="1"/>
  <c r="S979" i="1"/>
  <c r="AP979" i="1"/>
  <c r="AD979" i="1"/>
  <c r="R979" i="1"/>
  <c r="F979" i="1"/>
  <c r="Q979" i="1"/>
  <c r="AO979" i="1"/>
  <c r="AN979" i="1"/>
  <c r="O979" i="1"/>
  <c r="P979" i="1" s="1"/>
  <c r="AM979" i="1"/>
  <c r="N979" i="1"/>
  <c r="AL979" i="1"/>
  <c r="AI979" i="1"/>
  <c r="K979" i="1"/>
  <c r="L979" i="1" s="1"/>
  <c r="J979" i="1"/>
  <c r="AB979" i="1"/>
  <c r="G979" i="1"/>
  <c r="AA979" i="1"/>
  <c r="E979" i="1"/>
  <c r="AY979" i="1"/>
  <c r="Z979" i="1"/>
  <c r="D979" i="1"/>
  <c r="W979" i="1"/>
  <c r="V979" i="1"/>
  <c r="AO977" i="1"/>
  <c r="Q977" i="1"/>
  <c r="E977" i="1"/>
  <c r="AK977" i="1"/>
  <c r="Y977" i="1"/>
  <c r="M977" i="1"/>
  <c r="AJ977" i="1"/>
  <c r="X977" i="1"/>
  <c r="AH977" i="1"/>
  <c r="V977" i="1"/>
  <c r="J977" i="1"/>
  <c r="AD977" i="1"/>
  <c r="N977" i="1"/>
  <c r="AS977" i="1"/>
  <c r="K977" i="1"/>
  <c r="L977" i="1" s="1"/>
  <c r="AR977" i="1"/>
  <c r="AB977" i="1"/>
  <c r="I977" i="1"/>
  <c r="AQ977" i="1"/>
  <c r="AA977" i="1"/>
  <c r="H977" i="1"/>
  <c r="AT977" i="1" s="1"/>
  <c r="AP977" i="1"/>
  <c r="Z977" i="1"/>
  <c r="G977" i="1"/>
  <c r="AN977" i="1"/>
  <c r="W977" i="1"/>
  <c r="F977" i="1"/>
  <c r="AM977" i="1"/>
  <c r="U977" i="1"/>
  <c r="D977" i="1"/>
  <c r="AL977" i="1"/>
  <c r="T977" i="1"/>
  <c r="AI977" i="1"/>
  <c r="S977" i="1"/>
  <c r="AY977" i="1"/>
  <c r="AG977" i="1"/>
  <c r="R977" i="1"/>
  <c r="AF977" i="1"/>
  <c r="AE977" i="1"/>
  <c r="O977" i="1"/>
  <c r="P977" i="1" s="1"/>
  <c r="AN956" i="1"/>
  <c r="AB956" i="1"/>
  <c r="D956" i="1"/>
  <c r="AY956" i="1"/>
  <c r="AM956" i="1"/>
  <c r="AA956" i="1"/>
  <c r="O956" i="1"/>
  <c r="P956" i="1" s="1"/>
  <c r="AL956" i="1"/>
  <c r="Z956" i="1"/>
  <c r="N956" i="1"/>
  <c r="AK956" i="1"/>
  <c r="Y956" i="1"/>
  <c r="M956" i="1"/>
  <c r="AJ956" i="1"/>
  <c r="X956" i="1"/>
  <c r="AI956" i="1"/>
  <c r="W956" i="1"/>
  <c r="K956" i="1"/>
  <c r="L956" i="1" s="1"/>
  <c r="AH956" i="1"/>
  <c r="V956" i="1"/>
  <c r="J956" i="1"/>
  <c r="AS956" i="1"/>
  <c r="AG956" i="1"/>
  <c r="U956" i="1"/>
  <c r="I956" i="1"/>
  <c r="AR956" i="1"/>
  <c r="AF956" i="1"/>
  <c r="T956" i="1"/>
  <c r="H956" i="1"/>
  <c r="AT956" i="1" s="1"/>
  <c r="AQ956" i="1"/>
  <c r="AE956" i="1"/>
  <c r="S956" i="1"/>
  <c r="G956" i="1"/>
  <c r="AP956" i="1"/>
  <c r="AD956" i="1"/>
  <c r="R956" i="1"/>
  <c r="F956" i="1"/>
  <c r="AO956" i="1"/>
  <c r="Q956" i="1"/>
  <c r="E956" i="1"/>
  <c r="AI986" i="1"/>
  <c r="W986" i="1"/>
  <c r="K986" i="1"/>
  <c r="L986" i="1" s="1"/>
  <c r="AH986" i="1"/>
  <c r="V986" i="1"/>
  <c r="J986" i="1"/>
  <c r="AR986" i="1"/>
  <c r="AF986" i="1"/>
  <c r="T986" i="1"/>
  <c r="H986" i="1"/>
  <c r="AT986" i="1" s="1"/>
  <c r="AQ986" i="1"/>
  <c r="AE986" i="1"/>
  <c r="S986" i="1"/>
  <c r="G986" i="1"/>
  <c r="AP986" i="1"/>
  <c r="AD986" i="1"/>
  <c r="R986" i="1"/>
  <c r="F986" i="1"/>
  <c r="AO986" i="1"/>
  <c r="Q986" i="1"/>
  <c r="E986" i="1"/>
  <c r="AN986" i="1"/>
  <c r="AB986" i="1"/>
  <c r="D986" i="1"/>
  <c r="AY986" i="1"/>
  <c r="AM986" i="1"/>
  <c r="AA986" i="1"/>
  <c r="O986" i="1"/>
  <c r="P986" i="1" s="1"/>
  <c r="AL986" i="1"/>
  <c r="Z986" i="1"/>
  <c r="N986" i="1"/>
  <c r="AK986" i="1"/>
  <c r="Y986" i="1"/>
  <c r="M986" i="1"/>
  <c r="U986" i="1"/>
  <c r="I986" i="1"/>
  <c r="AS986" i="1"/>
  <c r="AJ986" i="1"/>
  <c r="AG986" i="1"/>
  <c r="X986" i="1"/>
  <c r="AQ994" i="1"/>
  <c r="AE994" i="1"/>
  <c r="S994" i="1"/>
  <c r="G994" i="1"/>
  <c r="AP994" i="1"/>
  <c r="AD994" i="1"/>
  <c r="R994" i="1"/>
  <c r="F994" i="1"/>
  <c r="AO994" i="1"/>
  <c r="Q994" i="1"/>
  <c r="E994" i="1"/>
  <c r="AN994" i="1"/>
  <c r="AB994" i="1"/>
  <c r="D994" i="1"/>
  <c r="AY994" i="1"/>
  <c r="AM994" i="1"/>
  <c r="AA994" i="1"/>
  <c r="O994" i="1"/>
  <c r="P994" i="1" s="1"/>
  <c r="AL994" i="1"/>
  <c r="Z994" i="1"/>
  <c r="N994" i="1"/>
  <c r="AK994" i="1"/>
  <c r="Y994" i="1"/>
  <c r="M994" i="1"/>
  <c r="AJ994" i="1"/>
  <c r="X994" i="1"/>
  <c r="AI994" i="1"/>
  <c r="W994" i="1"/>
  <c r="K994" i="1"/>
  <c r="L994" i="1" s="1"/>
  <c r="AH994" i="1"/>
  <c r="V994" i="1"/>
  <c r="J994" i="1"/>
  <c r="AS994" i="1"/>
  <c r="AG994" i="1"/>
  <c r="U994" i="1"/>
  <c r="I994" i="1"/>
  <c r="T994" i="1"/>
  <c r="H994" i="1"/>
  <c r="AT994" i="1" s="1"/>
  <c r="AR994" i="1"/>
  <c r="AF994" i="1"/>
  <c r="AK1046" i="1"/>
  <c r="Y1046" i="1"/>
  <c r="M1046" i="1"/>
  <c r="AO1046" i="1"/>
  <c r="AB1046" i="1"/>
  <c r="O1046" i="1"/>
  <c r="P1046" i="1" s="1"/>
  <c r="AN1046" i="1"/>
  <c r="AA1046" i="1"/>
  <c r="N1046" i="1"/>
  <c r="AY1046" i="1"/>
  <c r="AM1046" i="1"/>
  <c r="Z1046" i="1"/>
  <c r="AL1046" i="1"/>
  <c r="X1046" i="1"/>
  <c r="K1046" i="1"/>
  <c r="L1046" i="1" s="1"/>
  <c r="AJ1046" i="1"/>
  <c r="W1046" i="1"/>
  <c r="J1046" i="1"/>
  <c r="AI1046" i="1"/>
  <c r="V1046" i="1"/>
  <c r="I1046" i="1"/>
  <c r="AH1046" i="1"/>
  <c r="U1046" i="1"/>
  <c r="H1046" i="1"/>
  <c r="AT1046" i="1" s="1"/>
  <c r="AG1046" i="1"/>
  <c r="T1046" i="1"/>
  <c r="G1046" i="1"/>
  <c r="AS1046" i="1"/>
  <c r="AF1046" i="1"/>
  <c r="S1046" i="1"/>
  <c r="F1046" i="1"/>
  <c r="AR1046" i="1"/>
  <c r="AE1046" i="1"/>
  <c r="R1046" i="1"/>
  <c r="E1046" i="1"/>
  <c r="AQ1046" i="1"/>
  <c r="AD1046" i="1"/>
  <c r="Q1046" i="1"/>
  <c r="D1046" i="1"/>
  <c r="AP1046" i="1"/>
  <c r="AR1006" i="1"/>
  <c r="AF1006" i="1"/>
  <c r="T1006" i="1"/>
  <c r="H1006" i="1"/>
  <c r="AT1006" i="1" s="1"/>
  <c r="AQ1006" i="1"/>
  <c r="AN1006" i="1"/>
  <c r="AB1006" i="1"/>
  <c r="D1006" i="1"/>
  <c r="AY1006" i="1"/>
  <c r="AM1006" i="1"/>
  <c r="AA1006" i="1"/>
  <c r="O1006" i="1"/>
  <c r="P1006" i="1" s="1"/>
  <c r="AH1006" i="1"/>
  <c r="V1006" i="1"/>
  <c r="J1006" i="1"/>
  <c r="AL1006" i="1"/>
  <c r="U1006" i="1"/>
  <c r="AK1006" i="1"/>
  <c r="S1006" i="1"/>
  <c r="AJ1006" i="1"/>
  <c r="R1006" i="1"/>
  <c r="AI1006" i="1"/>
  <c r="Q1006" i="1"/>
  <c r="AG1006" i="1"/>
  <c r="N1006" i="1"/>
  <c r="AE1006" i="1"/>
  <c r="M1006" i="1"/>
  <c r="AD1006" i="1"/>
  <c r="K1006" i="1"/>
  <c r="L1006" i="1" s="1"/>
  <c r="Z1006" i="1"/>
  <c r="I1006" i="1"/>
  <c r="AS1006" i="1"/>
  <c r="Y1006" i="1"/>
  <c r="G1006" i="1"/>
  <c r="AP1006" i="1"/>
  <c r="X1006" i="1"/>
  <c r="F1006" i="1"/>
  <c r="AO1006" i="1"/>
  <c r="W1006" i="1"/>
  <c r="E1006" i="1"/>
  <c r="AH1037" i="1"/>
  <c r="V1037" i="1"/>
  <c r="J1037" i="1"/>
  <c r="AS1037" i="1"/>
  <c r="AG1037" i="1"/>
  <c r="U1037" i="1"/>
  <c r="I1037" i="1"/>
  <c r="AR1037" i="1"/>
  <c r="AF1037" i="1"/>
  <c r="T1037" i="1"/>
  <c r="H1037" i="1"/>
  <c r="AT1037" i="1" s="1"/>
  <c r="AQ1037" i="1"/>
  <c r="AE1037" i="1"/>
  <c r="S1037" i="1"/>
  <c r="G1037" i="1"/>
  <c r="AP1037" i="1"/>
  <c r="AD1037" i="1"/>
  <c r="R1037" i="1"/>
  <c r="F1037" i="1"/>
  <c r="AO1037" i="1"/>
  <c r="Q1037" i="1"/>
  <c r="E1037" i="1"/>
  <c r="AN1037" i="1"/>
  <c r="AB1037" i="1"/>
  <c r="D1037" i="1"/>
  <c r="AY1037" i="1"/>
  <c r="AM1037" i="1"/>
  <c r="AA1037" i="1"/>
  <c r="O1037" i="1"/>
  <c r="P1037" i="1" s="1"/>
  <c r="AL1037" i="1"/>
  <c r="Z1037" i="1"/>
  <c r="N1037" i="1"/>
  <c r="AK1037" i="1"/>
  <c r="Y1037" i="1"/>
  <c r="M1037" i="1"/>
  <c r="AJ1037" i="1"/>
  <c r="X1037" i="1"/>
  <c r="W1037" i="1"/>
  <c r="K1037" i="1"/>
  <c r="L1037" i="1" s="1"/>
  <c r="AI1037" i="1"/>
  <c r="AS1048" i="1"/>
  <c r="AG1048" i="1"/>
  <c r="U1048" i="1"/>
  <c r="I1048" i="1"/>
  <c r="AR1048" i="1"/>
  <c r="AE1048" i="1"/>
  <c r="R1048" i="1"/>
  <c r="E1048" i="1"/>
  <c r="AQ1048" i="1"/>
  <c r="AD1048" i="1"/>
  <c r="Q1048" i="1"/>
  <c r="D1048" i="1"/>
  <c r="AP1048" i="1"/>
  <c r="AO1048" i="1"/>
  <c r="AB1048" i="1"/>
  <c r="O1048" i="1"/>
  <c r="P1048" i="1" s="1"/>
  <c r="AN1048" i="1"/>
  <c r="AA1048" i="1"/>
  <c r="N1048" i="1"/>
  <c r="AM1048" i="1"/>
  <c r="Z1048" i="1"/>
  <c r="M1048" i="1"/>
  <c r="AY1048" i="1"/>
  <c r="AL1048" i="1"/>
  <c r="Y1048" i="1"/>
  <c r="AK1048" i="1"/>
  <c r="X1048" i="1"/>
  <c r="K1048" i="1"/>
  <c r="L1048" i="1" s="1"/>
  <c r="AJ1048" i="1"/>
  <c r="W1048" i="1"/>
  <c r="J1048" i="1"/>
  <c r="AI1048" i="1"/>
  <c r="V1048" i="1"/>
  <c r="H1048" i="1"/>
  <c r="AT1048" i="1" s="1"/>
  <c r="AH1048" i="1"/>
  <c r="T1048" i="1"/>
  <c r="G1048" i="1"/>
  <c r="S1048" i="1"/>
  <c r="F1048" i="1"/>
  <c r="AF1048" i="1"/>
  <c r="AS1060" i="1"/>
  <c r="AG1060" i="1"/>
  <c r="U1060" i="1"/>
  <c r="I1060" i="1"/>
  <c r="AR1060" i="1"/>
  <c r="AF1060" i="1"/>
  <c r="T1060" i="1"/>
  <c r="H1060" i="1"/>
  <c r="AT1060" i="1" s="1"/>
  <c r="AQ1060" i="1"/>
  <c r="AE1060" i="1"/>
  <c r="S1060" i="1"/>
  <c r="G1060" i="1"/>
  <c r="AP1060" i="1"/>
  <c r="AD1060" i="1"/>
  <c r="R1060" i="1"/>
  <c r="F1060" i="1"/>
  <c r="AO1060" i="1"/>
  <c r="Q1060" i="1"/>
  <c r="E1060" i="1"/>
  <c r="AN1060" i="1"/>
  <c r="AB1060" i="1"/>
  <c r="D1060" i="1"/>
  <c r="AY1060" i="1"/>
  <c r="AM1060" i="1"/>
  <c r="AA1060" i="1"/>
  <c r="O1060" i="1"/>
  <c r="P1060" i="1" s="1"/>
  <c r="AL1060" i="1"/>
  <c r="Z1060" i="1"/>
  <c r="N1060" i="1"/>
  <c r="AK1060" i="1"/>
  <c r="Y1060" i="1"/>
  <c r="M1060" i="1"/>
  <c r="AJ1060" i="1"/>
  <c r="X1060" i="1"/>
  <c r="AI1060" i="1"/>
  <c r="W1060" i="1"/>
  <c r="K1060" i="1"/>
  <c r="L1060" i="1" s="1"/>
  <c r="AH1060" i="1"/>
  <c r="V1060" i="1"/>
  <c r="J1060" i="1"/>
  <c r="AY1057" i="1"/>
  <c r="AM1057" i="1"/>
  <c r="AA1057" i="1"/>
  <c r="O1057" i="1"/>
  <c r="P1057" i="1" s="1"/>
  <c r="AL1057" i="1"/>
  <c r="Z1057" i="1"/>
  <c r="N1057" i="1"/>
  <c r="AK1057" i="1"/>
  <c r="Y1057" i="1"/>
  <c r="M1057" i="1"/>
  <c r="AJ1057" i="1"/>
  <c r="X1057" i="1"/>
  <c r="AI1057" i="1"/>
  <c r="W1057" i="1"/>
  <c r="K1057" i="1"/>
  <c r="L1057" i="1" s="1"/>
  <c r="AH1057" i="1"/>
  <c r="V1057" i="1"/>
  <c r="J1057" i="1"/>
  <c r="AS1057" i="1"/>
  <c r="AG1057" i="1"/>
  <c r="U1057" i="1"/>
  <c r="I1057" i="1"/>
  <c r="AR1057" i="1"/>
  <c r="AF1057" i="1"/>
  <c r="T1057" i="1"/>
  <c r="H1057" i="1"/>
  <c r="AT1057" i="1" s="1"/>
  <c r="AQ1057" i="1"/>
  <c r="AE1057" i="1"/>
  <c r="S1057" i="1"/>
  <c r="G1057" i="1"/>
  <c r="AP1057" i="1"/>
  <c r="AD1057" i="1"/>
  <c r="R1057" i="1"/>
  <c r="F1057" i="1"/>
  <c r="AO1057" i="1"/>
  <c r="Q1057" i="1"/>
  <c r="E1057" i="1"/>
  <c r="D1057" i="1"/>
  <c r="AN1057" i="1"/>
  <c r="AB1057" i="1"/>
  <c r="AL1119" i="1"/>
  <c r="Z1119" i="1"/>
  <c r="N1119" i="1"/>
  <c r="AK1119" i="1"/>
  <c r="Y1119" i="1"/>
  <c r="M1119" i="1"/>
  <c r="AJ1119" i="1"/>
  <c r="X1119" i="1"/>
  <c r="AI1119" i="1"/>
  <c r="W1119" i="1"/>
  <c r="K1119" i="1"/>
  <c r="L1119" i="1" s="1"/>
  <c r="AH1119" i="1"/>
  <c r="V1119" i="1"/>
  <c r="J1119" i="1"/>
  <c r="AS1119" i="1"/>
  <c r="AG1119" i="1"/>
  <c r="U1119" i="1"/>
  <c r="I1119" i="1"/>
  <c r="AR1119" i="1"/>
  <c r="AF1119" i="1"/>
  <c r="T1119" i="1"/>
  <c r="H1119" i="1"/>
  <c r="AT1119" i="1" s="1"/>
  <c r="AQ1119" i="1"/>
  <c r="AE1119" i="1"/>
  <c r="S1119" i="1"/>
  <c r="G1119" i="1"/>
  <c r="AP1119" i="1"/>
  <c r="AD1119" i="1"/>
  <c r="R1119" i="1"/>
  <c r="F1119" i="1"/>
  <c r="AO1119" i="1"/>
  <c r="Q1119" i="1"/>
  <c r="E1119" i="1"/>
  <c r="AN1119" i="1"/>
  <c r="AB1119" i="1"/>
  <c r="D1119" i="1"/>
  <c r="AY1119" i="1"/>
  <c r="AM1119" i="1"/>
  <c r="AA1119" i="1"/>
  <c r="O1119" i="1"/>
  <c r="P1119" i="1" s="1"/>
  <c r="AL1113" i="1"/>
  <c r="Z1113" i="1"/>
  <c r="N1113" i="1"/>
  <c r="AK1113" i="1"/>
  <c r="Y1113" i="1"/>
  <c r="AJ1113" i="1"/>
  <c r="X1113" i="1"/>
  <c r="AI1113" i="1"/>
  <c r="W1113" i="1"/>
  <c r="K1113" i="1"/>
  <c r="L1113" i="1" s="1"/>
  <c r="AS1113" i="1"/>
  <c r="AG1113" i="1"/>
  <c r="U1113" i="1"/>
  <c r="I1113" i="1"/>
  <c r="AR1113" i="1"/>
  <c r="AM1113" i="1"/>
  <c r="Q1113" i="1"/>
  <c r="AH1113" i="1"/>
  <c r="AF1113" i="1"/>
  <c r="O1113" i="1"/>
  <c r="P1113" i="1" s="1"/>
  <c r="AE1113" i="1"/>
  <c r="M1113" i="1"/>
  <c r="AD1113" i="1"/>
  <c r="J1113" i="1"/>
  <c r="AY1113" i="1"/>
  <c r="H1113" i="1"/>
  <c r="AT1113" i="1" s="1"/>
  <c r="AB1113" i="1"/>
  <c r="G1113" i="1"/>
  <c r="AA1113" i="1"/>
  <c r="F1113" i="1"/>
  <c r="AQ1113" i="1"/>
  <c r="V1113" i="1"/>
  <c r="E1113" i="1"/>
  <c r="AP1113" i="1"/>
  <c r="T1113" i="1"/>
  <c r="D1113" i="1"/>
  <c r="AO1113" i="1"/>
  <c r="S1113" i="1"/>
  <c r="AN1113" i="1"/>
  <c r="R1113" i="1"/>
  <c r="AP1111" i="1"/>
  <c r="AD1111" i="1"/>
  <c r="R1111" i="1"/>
  <c r="F1111" i="1"/>
  <c r="AN1111" i="1"/>
  <c r="AB1111" i="1"/>
  <c r="AY1111" i="1"/>
  <c r="AM1111" i="1"/>
  <c r="AA1111" i="1"/>
  <c r="O1111" i="1"/>
  <c r="P1111" i="1" s="1"/>
  <c r="AK1111" i="1"/>
  <c r="V1111" i="1"/>
  <c r="G1111" i="1"/>
  <c r="AJ1111" i="1"/>
  <c r="U1111" i="1"/>
  <c r="E1111" i="1"/>
  <c r="AI1111" i="1"/>
  <c r="T1111" i="1"/>
  <c r="D1111" i="1"/>
  <c r="AH1111" i="1"/>
  <c r="S1111" i="1"/>
  <c r="AG1111" i="1"/>
  <c r="Q1111" i="1"/>
  <c r="AF1111" i="1"/>
  <c r="N1111" i="1"/>
  <c r="AE1111" i="1"/>
  <c r="M1111" i="1"/>
  <c r="AS1111" i="1"/>
  <c r="AR1111" i="1"/>
  <c r="Z1111" i="1"/>
  <c r="K1111" i="1"/>
  <c r="L1111" i="1" s="1"/>
  <c r="AQ1111" i="1"/>
  <c r="Y1111" i="1"/>
  <c r="J1111" i="1"/>
  <c r="AO1111" i="1"/>
  <c r="X1111" i="1"/>
  <c r="I1111" i="1"/>
  <c r="AL1111" i="1"/>
  <c r="W1111" i="1"/>
  <c r="H1111" i="1"/>
  <c r="AT1111" i="1" s="1"/>
  <c r="AH1121" i="1"/>
  <c r="V1121" i="1"/>
  <c r="J1121" i="1"/>
  <c r="AS1121" i="1"/>
  <c r="AG1121" i="1"/>
  <c r="U1121" i="1"/>
  <c r="I1121" i="1"/>
  <c r="AR1121" i="1"/>
  <c r="AF1121" i="1"/>
  <c r="T1121" i="1"/>
  <c r="H1121" i="1"/>
  <c r="AT1121" i="1" s="1"/>
  <c r="AQ1121" i="1"/>
  <c r="AE1121" i="1"/>
  <c r="S1121" i="1"/>
  <c r="G1121" i="1"/>
  <c r="AP1121" i="1"/>
  <c r="AD1121" i="1"/>
  <c r="R1121" i="1"/>
  <c r="F1121" i="1"/>
  <c r="AO1121" i="1"/>
  <c r="Q1121" i="1"/>
  <c r="E1121" i="1"/>
  <c r="AN1121" i="1"/>
  <c r="AB1121" i="1"/>
  <c r="D1121" i="1"/>
  <c r="AY1121" i="1"/>
  <c r="AM1121" i="1"/>
  <c r="AA1121" i="1"/>
  <c r="O1121" i="1"/>
  <c r="P1121" i="1" s="1"/>
  <c r="AL1121" i="1"/>
  <c r="Z1121" i="1"/>
  <c r="N1121" i="1"/>
  <c r="AK1121" i="1"/>
  <c r="Y1121" i="1"/>
  <c r="M1121" i="1"/>
  <c r="AJ1121" i="1"/>
  <c r="X1121" i="1"/>
  <c r="AI1121" i="1"/>
  <c r="W1121" i="1"/>
  <c r="K1121" i="1"/>
  <c r="L1121" i="1" s="1"/>
  <c r="AK1142" i="1"/>
  <c r="Y1142" i="1"/>
  <c r="M1142" i="1"/>
  <c r="AJ1142" i="1"/>
  <c r="X1142" i="1"/>
  <c r="AI1142" i="1"/>
  <c r="W1142" i="1"/>
  <c r="K1142" i="1"/>
  <c r="L1142" i="1" s="1"/>
  <c r="AH1142" i="1"/>
  <c r="V1142" i="1"/>
  <c r="J1142" i="1"/>
  <c r="AS1142" i="1"/>
  <c r="AG1142" i="1"/>
  <c r="U1142" i="1"/>
  <c r="I1142" i="1"/>
  <c r="AR1142" i="1"/>
  <c r="AF1142" i="1"/>
  <c r="T1142" i="1"/>
  <c r="H1142" i="1"/>
  <c r="AT1142" i="1" s="1"/>
  <c r="AQ1142" i="1"/>
  <c r="AE1142" i="1"/>
  <c r="S1142" i="1"/>
  <c r="G1142" i="1"/>
  <c r="AP1142" i="1"/>
  <c r="AD1142" i="1"/>
  <c r="R1142" i="1"/>
  <c r="F1142" i="1"/>
  <c r="AO1142" i="1"/>
  <c r="Q1142" i="1"/>
  <c r="E1142" i="1"/>
  <c r="AN1142" i="1"/>
  <c r="AB1142" i="1"/>
  <c r="D1142" i="1"/>
  <c r="AY1142" i="1"/>
  <c r="AM1142" i="1"/>
  <c r="AA1142" i="1"/>
  <c r="O1142" i="1"/>
  <c r="P1142" i="1" s="1"/>
  <c r="AL1142" i="1"/>
  <c r="Z1142" i="1"/>
  <c r="N1142" i="1"/>
  <c r="AH1154" i="1"/>
  <c r="V1154" i="1"/>
  <c r="J1154" i="1"/>
  <c r="AS1154" i="1"/>
  <c r="AG1154" i="1"/>
  <c r="U1154" i="1"/>
  <c r="I1154" i="1"/>
  <c r="AR1154" i="1"/>
  <c r="AF1154" i="1"/>
  <c r="T1154" i="1"/>
  <c r="H1154" i="1"/>
  <c r="AT1154" i="1" s="1"/>
  <c r="AQ1154" i="1"/>
  <c r="AE1154" i="1"/>
  <c r="S1154" i="1"/>
  <c r="G1154" i="1"/>
  <c r="AP1154" i="1"/>
  <c r="AD1154" i="1"/>
  <c r="R1154" i="1"/>
  <c r="F1154" i="1"/>
  <c r="AO1154" i="1"/>
  <c r="Q1154" i="1"/>
  <c r="E1154" i="1"/>
  <c r="AN1154" i="1"/>
  <c r="AB1154" i="1"/>
  <c r="AY1154" i="1"/>
  <c r="AM1154" i="1"/>
  <c r="AA1154" i="1"/>
  <c r="O1154" i="1"/>
  <c r="P1154" i="1" s="1"/>
  <c r="N1154" i="1"/>
  <c r="AL1154" i="1"/>
  <c r="M1154" i="1"/>
  <c r="AK1154" i="1"/>
  <c r="AJ1154" i="1"/>
  <c r="K1154" i="1"/>
  <c r="L1154" i="1" s="1"/>
  <c r="AI1154" i="1"/>
  <c r="D1154" i="1"/>
  <c r="Z1154" i="1"/>
  <c r="Y1154" i="1"/>
  <c r="X1154" i="1"/>
  <c r="W1154" i="1"/>
  <c r="AN1151" i="1"/>
  <c r="AB1151" i="1"/>
  <c r="D1151" i="1"/>
  <c r="AY1151" i="1"/>
  <c r="AM1151" i="1"/>
  <c r="AK1151" i="1"/>
  <c r="AS1151" i="1"/>
  <c r="AD1151" i="1"/>
  <c r="Q1151" i="1"/>
  <c r="AR1151" i="1"/>
  <c r="O1151" i="1"/>
  <c r="P1151" i="1" s="1"/>
  <c r="AQ1151" i="1"/>
  <c r="AA1151" i="1"/>
  <c r="N1151" i="1"/>
  <c r="AP1151" i="1"/>
  <c r="Z1151" i="1"/>
  <c r="M1151" i="1"/>
  <c r="AO1151" i="1"/>
  <c r="Y1151" i="1"/>
  <c r="AL1151" i="1"/>
  <c r="X1151" i="1"/>
  <c r="K1151" i="1"/>
  <c r="L1151" i="1" s="1"/>
  <c r="AJ1151" i="1"/>
  <c r="W1151" i="1"/>
  <c r="J1151" i="1"/>
  <c r="AI1151" i="1"/>
  <c r="V1151" i="1"/>
  <c r="I1151" i="1"/>
  <c r="AH1151" i="1"/>
  <c r="U1151" i="1"/>
  <c r="H1151" i="1"/>
  <c r="AT1151" i="1" s="1"/>
  <c r="AG1151" i="1"/>
  <c r="T1151" i="1"/>
  <c r="G1151" i="1"/>
  <c r="AF1151" i="1"/>
  <c r="S1151" i="1"/>
  <c r="F1151" i="1"/>
  <c r="AE1151" i="1"/>
  <c r="R1151" i="1"/>
  <c r="E1151" i="1"/>
  <c r="AQ1167" i="1"/>
  <c r="AE1167" i="1"/>
  <c r="S1167" i="1"/>
  <c r="G1167" i="1"/>
  <c r="AG1167" i="1"/>
  <c r="T1167" i="1"/>
  <c r="F1167" i="1"/>
  <c r="AS1167" i="1"/>
  <c r="AF1167" i="1"/>
  <c r="R1167" i="1"/>
  <c r="E1167" i="1"/>
  <c r="AR1167" i="1"/>
  <c r="AD1167" i="1"/>
  <c r="Q1167" i="1"/>
  <c r="D1167" i="1"/>
  <c r="AP1167" i="1"/>
  <c r="AO1167" i="1"/>
  <c r="AB1167" i="1"/>
  <c r="O1167" i="1"/>
  <c r="P1167" i="1" s="1"/>
  <c r="AN1167" i="1"/>
  <c r="AA1167" i="1"/>
  <c r="N1167" i="1"/>
  <c r="AM1167" i="1"/>
  <c r="Z1167" i="1"/>
  <c r="M1167" i="1"/>
  <c r="AY1167" i="1"/>
  <c r="AL1167" i="1"/>
  <c r="Y1167" i="1"/>
  <c r="AK1167" i="1"/>
  <c r="X1167" i="1"/>
  <c r="K1167" i="1"/>
  <c r="L1167" i="1" s="1"/>
  <c r="AJ1167" i="1"/>
  <c r="W1167" i="1"/>
  <c r="J1167" i="1"/>
  <c r="AI1167" i="1"/>
  <c r="V1167" i="1"/>
  <c r="I1167" i="1"/>
  <c r="AH1167" i="1"/>
  <c r="U1167" i="1"/>
  <c r="H1167" i="1"/>
  <c r="AT1167" i="1" s="1"/>
  <c r="AQ1179" i="1"/>
  <c r="AE1179" i="1"/>
  <c r="S1179" i="1"/>
  <c r="G1179" i="1"/>
  <c r="AP1179" i="1"/>
  <c r="AD1179" i="1"/>
  <c r="R1179" i="1"/>
  <c r="F1179" i="1"/>
  <c r="AO1179" i="1"/>
  <c r="Q1179" i="1"/>
  <c r="E1179" i="1"/>
  <c r="AN1179" i="1"/>
  <c r="AB1179" i="1"/>
  <c r="D1179" i="1"/>
  <c r="AY1179" i="1"/>
  <c r="AM1179" i="1"/>
  <c r="AA1179" i="1"/>
  <c r="O1179" i="1"/>
  <c r="P1179" i="1" s="1"/>
  <c r="AL1179" i="1"/>
  <c r="Z1179" i="1"/>
  <c r="N1179" i="1"/>
  <c r="AK1179" i="1"/>
  <c r="Y1179" i="1"/>
  <c r="M1179" i="1"/>
  <c r="AJ1179" i="1"/>
  <c r="X1179" i="1"/>
  <c r="AI1179" i="1"/>
  <c r="W1179" i="1"/>
  <c r="K1179" i="1"/>
  <c r="L1179" i="1" s="1"/>
  <c r="AH1179" i="1"/>
  <c r="V1179" i="1"/>
  <c r="J1179" i="1"/>
  <c r="AS1179" i="1"/>
  <c r="AG1179" i="1"/>
  <c r="U1179" i="1"/>
  <c r="I1179" i="1"/>
  <c r="AR1179" i="1"/>
  <c r="AF1179" i="1"/>
  <c r="T1179" i="1"/>
  <c r="H1179" i="1"/>
  <c r="AT1179" i="1" s="1"/>
  <c r="AR1190" i="1"/>
  <c r="AF1190" i="1"/>
  <c r="T1190" i="1"/>
  <c r="H1190" i="1"/>
  <c r="AT1190" i="1" s="1"/>
  <c r="AQ1190" i="1"/>
  <c r="AE1190" i="1"/>
  <c r="S1190" i="1"/>
  <c r="G1190" i="1"/>
  <c r="AP1190" i="1"/>
  <c r="AD1190" i="1"/>
  <c r="R1190" i="1"/>
  <c r="F1190" i="1"/>
  <c r="AO1190" i="1"/>
  <c r="Q1190" i="1"/>
  <c r="E1190" i="1"/>
  <c r="AN1190" i="1"/>
  <c r="AB1190" i="1"/>
  <c r="D1190" i="1"/>
  <c r="AY1190" i="1"/>
  <c r="AM1190" i="1"/>
  <c r="AA1190" i="1"/>
  <c r="O1190" i="1"/>
  <c r="P1190" i="1" s="1"/>
  <c r="AL1190" i="1"/>
  <c r="Z1190" i="1"/>
  <c r="N1190" i="1"/>
  <c r="AK1190" i="1"/>
  <c r="Y1190" i="1"/>
  <c r="M1190" i="1"/>
  <c r="AJ1190" i="1"/>
  <c r="X1190" i="1"/>
  <c r="AI1190" i="1"/>
  <c r="W1190" i="1"/>
  <c r="K1190" i="1"/>
  <c r="L1190" i="1" s="1"/>
  <c r="I1190" i="1"/>
  <c r="AS1190" i="1"/>
  <c r="AH1190" i="1"/>
  <c r="AG1190" i="1"/>
  <c r="V1190" i="1"/>
  <c r="U1190" i="1"/>
  <c r="J1190" i="1"/>
  <c r="AN13" i="1"/>
  <c r="AM13" i="1"/>
  <c r="AA13" i="1"/>
  <c r="AL13" i="1"/>
  <c r="AK13" i="1"/>
  <c r="AJ13" i="1"/>
  <c r="W13" i="1"/>
  <c r="H13" i="1"/>
  <c r="AT13" i="1" s="1"/>
  <c r="AS13" i="1"/>
  <c r="AE13" i="1"/>
  <c r="G13" i="1"/>
  <c r="I13" i="1" s="1"/>
  <c r="AD13" i="1"/>
  <c r="F13" i="1"/>
  <c r="AO13" i="1"/>
  <c r="E13" i="1"/>
  <c r="H10" i="1"/>
  <c r="AT10" i="1" s="1"/>
  <c r="AS10" i="1"/>
  <c r="I10" i="1"/>
  <c r="AE10" i="1"/>
  <c r="G10" i="1"/>
  <c r="AD10" i="1"/>
  <c r="F10" i="1"/>
  <c r="AO10" i="1"/>
  <c r="E10" i="1"/>
  <c r="AN10" i="1"/>
  <c r="AM10" i="1"/>
  <c r="AA10" i="1"/>
  <c r="AL10" i="1"/>
  <c r="AK10" i="1"/>
  <c r="AJ10" i="1"/>
  <c r="W10" i="1"/>
  <c r="AL48" i="1"/>
  <c r="AK48" i="1"/>
  <c r="AJ48" i="1"/>
  <c r="W48" i="1"/>
  <c r="AS48" i="1"/>
  <c r="H48" i="1"/>
  <c r="AT48" i="1" s="1"/>
  <c r="AE48" i="1"/>
  <c r="G48" i="1"/>
  <c r="I48" i="1" s="1"/>
  <c r="AD48" i="1"/>
  <c r="F48" i="1"/>
  <c r="AO48" i="1"/>
  <c r="E48" i="1"/>
  <c r="AN48" i="1"/>
  <c r="AM48" i="1"/>
  <c r="AA48" i="1"/>
  <c r="Z48" i="1" s="1"/>
  <c r="AJ43" i="1"/>
  <c r="W43" i="1"/>
  <c r="AS43" i="1"/>
  <c r="I43" i="1"/>
  <c r="H43" i="1"/>
  <c r="AT43" i="1" s="1"/>
  <c r="AE43" i="1"/>
  <c r="G43" i="1"/>
  <c r="AD43" i="1"/>
  <c r="F43" i="1"/>
  <c r="AO43" i="1"/>
  <c r="E43" i="1"/>
  <c r="AN43" i="1"/>
  <c r="AM43" i="1"/>
  <c r="AA43" i="1"/>
  <c r="AL43" i="1"/>
  <c r="AK43" i="1"/>
  <c r="AS32" i="1"/>
  <c r="I32" i="1"/>
  <c r="AO32" i="1"/>
  <c r="E32" i="1"/>
  <c r="AN32" i="1"/>
  <c r="AM32" i="1"/>
  <c r="AA32" i="1"/>
  <c r="W32" i="1"/>
  <c r="AE32" i="1"/>
  <c r="H32" i="1"/>
  <c r="AT32" i="1" s="1"/>
  <c r="AD32" i="1"/>
  <c r="G32" i="1"/>
  <c r="F32" i="1"/>
  <c r="AL32" i="1"/>
  <c r="AK32" i="1"/>
  <c r="AJ32" i="1"/>
  <c r="AP115" i="1"/>
  <c r="AD115" i="1"/>
  <c r="R115" i="1"/>
  <c r="F115" i="1"/>
  <c r="AO115" i="1"/>
  <c r="Q115" i="1"/>
  <c r="E115" i="1"/>
  <c r="AN115" i="1"/>
  <c r="AB115" i="1"/>
  <c r="D115" i="1"/>
  <c r="AY115" i="1"/>
  <c r="AM115" i="1"/>
  <c r="AL115" i="1"/>
  <c r="Z115" i="1"/>
  <c r="N115" i="1"/>
  <c r="AK115" i="1"/>
  <c r="Y115" i="1"/>
  <c r="M115" i="1"/>
  <c r="AJ115" i="1"/>
  <c r="X115" i="1"/>
  <c r="AI115" i="1"/>
  <c r="W115" i="1"/>
  <c r="K115" i="1"/>
  <c r="L115" i="1" s="1"/>
  <c r="AQ115" i="1"/>
  <c r="AE115" i="1"/>
  <c r="S115" i="1"/>
  <c r="G115" i="1"/>
  <c r="V115" i="1"/>
  <c r="U115" i="1"/>
  <c r="T115" i="1"/>
  <c r="O115" i="1"/>
  <c r="P115" i="1" s="1"/>
  <c r="J115" i="1"/>
  <c r="AS115" i="1"/>
  <c r="I115" i="1"/>
  <c r="AR115" i="1"/>
  <c r="H115" i="1"/>
  <c r="AT115" i="1" s="1"/>
  <c r="AH115" i="1"/>
  <c r="AG115" i="1"/>
  <c r="AF115" i="1"/>
  <c r="AA115" i="1"/>
  <c r="AR87" i="1"/>
  <c r="AF87" i="1"/>
  <c r="T87" i="1"/>
  <c r="H87" i="1"/>
  <c r="AT87" i="1" s="1"/>
  <c r="AQ87" i="1"/>
  <c r="AE87" i="1"/>
  <c r="S87" i="1"/>
  <c r="G87" i="1"/>
  <c r="AP87" i="1"/>
  <c r="AD87" i="1"/>
  <c r="R87" i="1"/>
  <c r="F87" i="1"/>
  <c r="AO87" i="1"/>
  <c r="Q87" i="1"/>
  <c r="E87" i="1"/>
  <c r="AN87" i="1"/>
  <c r="AB87" i="1"/>
  <c r="D87" i="1"/>
  <c r="AY87" i="1"/>
  <c r="AM87" i="1"/>
  <c r="AA87" i="1"/>
  <c r="O87" i="1"/>
  <c r="P87" i="1" s="1"/>
  <c r="AL87" i="1"/>
  <c r="Z87" i="1"/>
  <c r="N87" i="1"/>
  <c r="AK87" i="1"/>
  <c r="Y87" i="1"/>
  <c r="M87" i="1"/>
  <c r="AJ87" i="1"/>
  <c r="X87" i="1"/>
  <c r="AI87" i="1"/>
  <c r="W87" i="1"/>
  <c r="K87" i="1"/>
  <c r="L87" i="1" s="1"/>
  <c r="AH87" i="1"/>
  <c r="V87" i="1"/>
  <c r="J87" i="1"/>
  <c r="AS87" i="1"/>
  <c r="AG87" i="1"/>
  <c r="U87" i="1"/>
  <c r="I87" i="1"/>
  <c r="AP94" i="1"/>
  <c r="AD94" i="1"/>
  <c r="R94" i="1"/>
  <c r="F94" i="1"/>
  <c r="AO94" i="1"/>
  <c r="Q94" i="1"/>
  <c r="E94" i="1"/>
  <c r="AN94" i="1"/>
  <c r="AB94" i="1"/>
  <c r="D94" i="1"/>
  <c r="AY94" i="1"/>
  <c r="AM94" i="1"/>
  <c r="AA94" i="1"/>
  <c r="O94" i="1"/>
  <c r="P94" i="1" s="1"/>
  <c r="AL94" i="1"/>
  <c r="Z94" i="1"/>
  <c r="N94" i="1"/>
  <c r="AK94" i="1"/>
  <c r="Y94" i="1"/>
  <c r="M94" i="1"/>
  <c r="AJ94" i="1"/>
  <c r="X94" i="1"/>
  <c r="AI94" i="1"/>
  <c r="W94" i="1"/>
  <c r="K94" i="1"/>
  <c r="L94" i="1" s="1"/>
  <c r="AH94" i="1"/>
  <c r="V94" i="1"/>
  <c r="J94" i="1"/>
  <c r="AS94" i="1"/>
  <c r="AG94" i="1"/>
  <c r="U94" i="1"/>
  <c r="I94" i="1"/>
  <c r="AR94" i="1"/>
  <c r="AF94" i="1"/>
  <c r="T94" i="1"/>
  <c r="H94" i="1"/>
  <c r="AT94" i="1" s="1"/>
  <c r="AQ94" i="1"/>
  <c r="AE94" i="1"/>
  <c r="S94" i="1"/>
  <c r="G94" i="1"/>
  <c r="AN77" i="1"/>
  <c r="AB77" i="1"/>
  <c r="D77" i="1"/>
  <c r="AY77" i="1"/>
  <c r="AM77" i="1"/>
  <c r="AA77" i="1"/>
  <c r="O77" i="1"/>
  <c r="P77" i="1" s="1"/>
  <c r="AL77" i="1"/>
  <c r="Z77" i="1"/>
  <c r="N77" i="1"/>
  <c r="AK77" i="1"/>
  <c r="Y77" i="1"/>
  <c r="M77" i="1"/>
  <c r="AJ77" i="1"/>
  <c r="X77" i="1"/>
  <c r="AI77" i="1"/>
  <c r="W77" i="1"/>
  <c r="K77" i="1"/>
  <c r="L77" i="1" s="1"/>
  <c r="AH77" i="1"/>
  <c r="V77" i="1"/>
  <c r="J77" i="1"/>
  <c r="AS77" i="1"/>
  <c r="AG77" i="1"/>
  <c r="U77" i="1"/>
  <c r="I77" i="1"/>
  <c r="AR77" i="1"/>
  <c r="AF77" i="1"/>
  <c r="T77" i="1"/>
  <c r="H77" i="1"/>
  <c r="AT77" i="1" s="1"/>
  <c r="AQ77" i="1"/>
  <c r="AE77" i="1"/>
  <c r="S77" i="1"/>
  <c r="G77" i="1"/>
  <c r="AP77" i="1"/>
  <c r="AD77" i="1"/>
  <c r="R77" i="1"/>
  <c r="F77" i="1"/>
  <c r="AO77" i="1"/>
  <c r="Q77" i="1"/>
  <c r="E77" i="1"/>
  <c r="AL147" i="1"/>
  <c r="Z147" i="1"/>
  <c r="N147" i="1"/>
  <c r="AK147" i="1"/>
  <c r="Y147" i="1"/>
  <c r="M147" i="1"/>
  <c r="AJ147" i="1"/>
  <c r="X147" i="1"/>
  <c r="AI147" i="1"/>
  <c r="W147" i="1"/>
  <c r="K147" i="1"/>
  <c r="L147" i="1" s="1"/>
  <c r="AH147" i="1"/>
  <c r="V147" i="1"/>
  <c r="J147" i="1"/>
  <c r="AS147" i="1"/>
  <c r="AG147" i="1"/>
  <c r="U147" i="1"/>
  <c r="I147" i="1"/>
  <c r="AR147" i="1"/>
  <c r="AF147" i="1"/>
  <c r="T147" i="1"/>
  <c r="H147" i="1"/>
  <c r="AT147" i="1" s="1"/>
  <c r="AQ147" i="1"/>
  <c r="AE147" i="1"/>
  <c r="S147" i="1"/>
  <c r="G147" i="1"/>
  <c r="AP147" i="1"/>
  <c r="AD147" i="1"/>
  <c r="R147" i="1"/>
  <c r="F147" i="1"/>
  <c r="AO147" i="1"/>
  <c r="Q147" i="1"/>
  <c r="E147" i="1"/>
  <c r="AN147" i="1"/>
  <c r="AB147" i="1"/>
  <c r="D147" i="1"/>
  <c r="AY147" i="1"/>
  <c r="AM147" i="1"/>
  <c r="AA147" i="1"/>
  <c r="O147" i="1"/>
  <c r="P147" i="1" s="1"/>
  <c r="AJ154" i="1"/>
  <c r="X154" i="1"/>
  <c r="AI154" i="1"/>
  <c r="W154" i="1"/>
  <c r="K154" i="1"/>
  <c r="L154" i="1" s="1"/>
  <c r="AH154" i="1"/>
  <c r="V154" i="1"/>
  <c r="J154" i="1"/>
  <c r="AS154" i="1"/>
  <c r="AG154" i="1"/>
  <c r="U154" i="1"/>
  <c r="I154" i="1"/>
  <c r="AR154" i="1"/>
  <c r="AF154" i="1"/>
  <c r="T154" i="1"/>
  <c r="H154" i="1"/>
  <c r="AT154" i="1" s="1"/>
  <c r="AQ154" i="1"/>
  <c r="AE154" i="1"/>
  <c r="S154" i="1"/>
  <c r="G154" i="1"/>
  <c r="AP154" i="1"/>
  <c r="AD154" i="1"/>
  <c r="R154" i="1"/>
  <c r="F154" i="1"/>
  <c r="AO154" i="1"/>
  <c r="Q154" i="1"/>
  <c r="E154" i="1"/>
  <c r="AN154" i="1"/>
  <c r="AB154" i="1"/>
  <c r="D154" i="1"/>
  <c r="AY154" i="1"/>
  <c r="AM154" i="1"/>
  <c r="AA154" i="1"/>
  <c r="O154" i="1"/>
  <c r="P154" i="1" s="1"/>
  <c r="AL154" i="1"/>
  <c r="Z154" i="1"/>
  <c r="N154" i="1"/>
  <c r="AK154" i="1"/>
  <c r="Y154" i="1"/>
  <c r="M154" i="1"/>
  <c r="AH137" i="1"/>
  <c r="V137" i="1"/>
  <c r="J137" i="1"/>
  <c r="AS137" i="1"/>
  <c r="AG137" i="1"/>
  <c r="U137" i="1"/>
  <c r="I137" i="1"/>
  <c r="AR137" i="1"/>
  <c r="AF137" i="1"/>
  <c r="T137" i="1"/>
  <c r="H137" i="1"/>
  <c r="AT137" i="1" s="1"/>
  <c r="AQ137" i="1"/>
  <c r="AE137" i="1"/>
  <c r="S137" i="1"/>
  <c r="G137" i="1"/>
  <c r="AP137" i="1"/>
  <c r="AD137" i="1"/>
  <c r="R137" i="1"/>
  <c r="F137" i="1"/>
  <c r="AO137" i="1"/>
  <c r="Q137" i="1"/>
  <c r="E137" i="1"/>
  <c r="AN137" i="1"/>
  <c r="AB137" i="1"/>
  <c r="D137" i="1"/>
  <c r="AY137" i="1"/>
  <c r="AM137" i="1"/>
  <c r="AA137" i="1"/>
  <c r="O137" i="1"/>
  <c r="P137" i="1" s="1"/>
  <c r="AL137" i="1"/>
  <c r="Z137" i="1"/>
  <c r="N137" i="1"/>
  <c r="AK137" i="1"/>
  <c r="Y137" i="1"/>
  <c r="M137" i="1"/>
  <c r="AJ137" i="1"/>
  <c r="X137" i="1"/>
  <c r="AI137" i="1"/>
  <c r="W137" i="1"/>
  <c r="K137" i="1"/>
  <c r="L137" i="1" s="1"/>
  <c r="AR132" i="1"/>
  <c r="AF132" i="1"/>
  <c r="T132" i="1"/>
  <c r="H132" i="1"/>
  <c r="AT132" i="1" s="1"/>
  <c r="AQ132" i="1"/>
  <c r="AE132" i="1"/>
  <c r="S132" i="1"/>
  <c r="G132" i="1"/>
  <c r="AP132" i="1"/>
  <c r="AD132" i="1"/>
  <c r="R132" i="1"/>
  <c r="F132" i="1"/>
  <c r="AO132" i="1"/>
  <c r="Q132" i="1"/>
  <c r="E132" i="1"/>
  <c r="AN132" i="1"/>
  <c r="AB132" i="1"/>
  <c r="D132" i="1"/>
  <c r="AY132" i="1"/>
  <c r="AM132" i="1"/>
  <c r="AA132" i="1"/>
  <c r="O132" i="1"/>
  <c r="P132" i="1" s="1"/>
  <c r="AL132" i="1"/>
  <c r="Z132" i="1"/>
  <c r="N132" i="1"/>
  <c r="AK132" i="1"/>
  <c r="Y132" i="1"/>
  <c r="M132" i="1"/>
  <c r="AJ132" i="1"/>
  <c r="X132" i="1"/>
  <c r="AI132" i="1"/>
  <c r="W132" i="1"/>
  <c r="K132" i="1"/>
  <c r="L132" i="1" s="1"/>
  <c r="AH132" i="1"/>
  <c r="V132" i="1"/>
  <c r="J132" i="1"/>
  <c r="AS132" i="1"/>
  <c r="AG132" i="1"/>
  <c r="U132" i="1"/>
  <c r="I132" i="1"/>
  <c r="AP145" i="1"/>
  <c r="AD145" i="1"/>
  <c r="R145" i="1"/>
  <c r="F145" i="1"/>
  <c r="AO145" i="1"/>
  <c r="Q145" i="1"/>
  <c r="E145" i="1"/>
  <c r="AN145" i="1"/>
  <c r="AB145" i="1"/>
  <c r="D145" i="1"/>
  <c r="AY145" i="1"/>
  <c r="AM145" i="1"/>
  <c r="AA145" i="1"/>
  <c r="O145" i="1"/>
  <c r="P145" i="1" s="1"/>
  <c r="AL145" i="1"/>
  <c r="Z145" i="1"/>
  <c r="N145" i="1"/>
  <c r="AK145" i="1"/>
  <c r="Y145" i="1"/>
  <c r="M145" i="1"/>
  <c r="AJ145" i="1"/>
  <c r="X145" i="1"/>
  <c r="AI145" i="1"/>
  <c r="W145" i="1"/>
  <c r="K145" i="1"/>
  <c r="L145" i="1" s="1"/>
  <c r="AH145" i="1"/>
  <c r="V145" i="1"/>
  <c r="J145" i="1"/>
  <c r="AS145" i="1"/>
  <c r="AG145" i="1"/>
  <c r="U145" i="1"/>
  <c r="I145" i="1"/>
  <c r="AR145" i="1"/>
  <c r="AF145" i="1"/>
  <c r="T145" i="1"/>
  <c r="H145" i="1"/>
  <c r="AT145" i="1" s="1"/>
  <c r="AQ145" i="1"/>
  <c r="AE145" i="1"/>
  <c r="S145" i="1"/>
  <c r="G145" i="1"/>
  <c r="AN134" i="1"/>
  <c r="AB134" i="1"/>
  <c r="D134" i="1"/>
  <c r="AY134" i="1"/>
  <c r="AM134" i="1"/>
  <c r="AA134" i="1"/>
  <c r="O134" i="1"/>
  <c r="P134" i="1" s="1"/>
  <c r="AL134" i="1"/>
  <c r="Z134" i="1"/>
  <c r="N134" i="1"/>
  <c r="AK134" i="1"/>
  <c r="Y134" i="1"/>
  <c r="M134" i="1"/>
  <c r="AJ134" i="1"/>
  <c r="X134" i="1"/>
  <c r="AI134" i="1"/>
  <c r="W134" i="1"/>
  <c r="K134" i="1"/>
  <c r="L134" i="1" s="1"/>
  <c r="AH134" i="1"/>
  <c r="V134" i="1"/>
  <c r="J134" i="1"/>
  <c r="AS134" i="1"/>
  <c r="AG134" i="1"/>
  <c r="U134" i="1"/>
  <c r="I134" i="1"/>
  <c r="AR134" i="1"/>
  <c r="AF134" i="1"/>
  <c r="T134" i="1"/>
  <c r="H134" i="1"/>
  <c r="AT134" i="1" s="1"/>
  <c r="AQ134" i="1"/>
  <c r="AE134" i="1"/>
  <c r="S134" i="1"/>
  <c r="G134" i="1"/>
  <c r="AP134" i="1"/>
  <c r="AD134" i="1"/>
  <c r="R134" i="1"/>
  <c r="F134" i="1"/>
  <c r="AO134" i="1"/>
  <c r="Q134" i="1"/>
  <c r="E134" i="1"/>
  <c r="AK262" i="1"/>
  <c r="Y262" i="1"/>
  <c r="M262" i="1"/>
  <c r="AJ262" i="1"/>
  <c r="X262" i="1"/>
  <c r="AR262" i="1"/>
  <c r="AF262" i="1"/>
  <c r="T262" i="1"/>
  <c r="H262" i="1"/>
  <c r="AT262" i="1" s="1"/>
  <c r="AQ262" i="1"/>
  <c r="AE262" i="1"/>
  <c r="S262" i="1"/>
  <c r="G262" i="1"/>
  <c r="AP262" i="1"/>
  <c r="AD262" i="1"/>
  <c r="R262" i="1"/>
  <c r="F262" i="1"/>
  <c r="AL262" i="1"/>
  <c r="Z262" i="1"/>
  <c r="N262" i="1"/>
  <c r="W262" i="1"/>
  <c r="V262" i="1"/>
  <c r="AS262" i="1"/>
  <c r="U262" i="1"/>
  <c r="AO262" i="1"/>
  <c r="Q262" i="1"/>
  <c r="AN262" i="1"/>
  <c r="AM262" i="1"/>
  <c r="O262" i="1"/>
  <c r="P262" i="1" s="1"/>
  <c r="AI262" i="1"/>
  <c r="K262" i="1"/>
  <c r="L262" i="1" s="1"/>
  <c r="AH262" i="1"/>
  <c r="J262" i="1"/>
  <c r="AG262" i="1"/>
  <c r="I262" i="1"/>
  <c r="AY262" i="1"/>
  <c r="E262" i="1"/>
  <c r="AB262" i="1"/>
  <c r="D262" i="1"/>
  <c r="AA262" i="1"/>
  <c r="AS252" i="1"/>
  <c r="AN252" i="1"/>
  <c r="AB252" i="1"/>
  <c r="AY252" i="1"/>
  <c r="AM252" i="1"/>
  <c r="AL252" i="1"/>
  <c r="AO252" i="1"/>
  <c r="Y252" i="1"/>
  <c r="M252" i="1"/>
  <c r="AK252" i="1"/>
  <c r="X252" i="1"/>
  <c r="AJ252" i="1"/>
  <c r="W252" i="1"/>
  <c r="K252" i="1"/>
  <c r="L252" i="1" s="1"/>
  <c r="AI252" i="1"/>
  <c r="V252" i="1"/>
  <c r="J252" i="1"/>
  <c r="AH252" i="1"/>
  <c r="U252" i="1"/>
  <c r="I252" i="1"/>
  <c r="AG252" i="1"/>
  <c r="T252" i="1"/>
  <c r="H252" i="1"/>
  <c r="AT252" i="1" s="1"/>
  <c r="AF252" i="1"/>
  <c r="S252" i="1"/>
  <c r="G252" i="1"/>
  <c r="AE252" i="1"/>
  <c r="R252" i="1"/>
  <c r="F252" i="1"/>
  <c r="AD252" i="1"/>
  <c r="Q252" i="1"/>
  <c r="E252" i="1"/>
  <c r="AR252" i="1"/>
  <c r="D252" i="1"/>
  <c r="AQ252" i="1"/>
  <c r="AA252" i="1"/>
  <c r="O252" i="1"/>
  <c r="P252" i="1" s="1"/>
  <c r="AP252" i="1"/>
  <c r="Z252" i="1"/>
  <c r="N252" i="1"/>
  <c r="AS182" i="1"/>
  <c r="AG182" i="1"/>
  <c r="U182" i="1"/>
  <c r="I182" i="1"/>
  <c r="AR182" i="1"/>
  <c r="AF182" i="1"/>
  <c r="T182" i="1"/>
  <c r="H182" i="1"/>
  <c r="AT182" i="1" s="1"/>
  <c r="AN182" i="1"/>
  <c r="AB182" i="1"/>
  <c r="D182" i="1"/>
  <c r="AY182" i="1"/>
  <c r="AM182" i="1"/>
  <c r="AA182" i="1"/>
  <c r="O182" i="1"/>
  <c r="P182" i="1" s="1"/>
  <c r="AL182" i="1"/>
  <c r="Z182" i="1"/>
  <c r="N182" i="1"/>
  <c r="AH182" i="1"/>
  <c r="V182" i="1"/>
  <c r="J182" i="1"/>
  <c r="AD182" i="1"/>
  <c r="F182" i="1"/>
  <c r="E182" i="1"/>
  <c r="Y182" i="1"/>
  <c r="X182" i="1"/>
  <c r="W182" i="1"/>
  <c r="AQ182" i="1"/>
  <c r="S182" i="1"/>
  <c r="AP182" i="1"/>
  <c r="R182" i="1"/>
  <c r="AO182" i="1"/>
  <c r="Q182" i="1"/>
  <c r="AK182" i="1"/>
  <c r="M182" i="1"/>
  <c r="AJ182" i="1"/>
  <c r="AI182" i="1"/>
  <c r="K182" i="1"/>
  <c r="L182" i="1" s="1"/>
  <c r="AE182" i="1"/>
  <c r="G182" i="1"/>
  <c r="AQ259" i="1"/>
  <c r="AE259" i="1"/>
  <c r="S259" i="1"/>
  <c r="G259" i="1"/>
  <c r="AP259" i="1"/>
  <c r="AD259" i="1"/>
  <c r="R259" i="1"/>
  <c r="F259" i="1"/>
  <c r="AL259" i="1"/>
  <c r="Z259" i="1"/>
  <c r="N259" i="1"/>
  <c r="AK259" i="1"/>
  <c r="Y259" i="1"/>
  <c r="M259" i="1"/>
  <c r="AJ259" i="1"/>
  <c r="X259" i="1"/>
  <c r="AR259" i="1"/>
  <c r="AF259" i="1"/>
  <c r="T259" i="1"/>
  <c r="H259" i="1"/>
  <c r="AT259" i="1" s="1"/>
  <c r="AM259" i="1"/>
  <c r="O259" i="1"/>
  <c r="P259" i="1" s="1"/>
  <c r="AI259" i="1"/>
  <c r="K259" i="1"/>
  <c r="L259" i="1" s="1"/>
  <c r="AH259" i="1"/>
  <c r="J259" i="1"/>
  <c r="AG259" i="1"/>
  <c r="I259" i="1"/>
  <c r="AY259" i="1"/>
  <c r="E259" i="1"/>
  <c r="AB259" i="1"/>
  <c r="D259" i="1"/>
  <c r="AA259" i="1"/>
  <c r="W259" i="1"/>
  <c r="V259" i="1"/>
  <c r="AS259" i="1"/>
  <c r="U259" i="1"/>
  <c r="AO259" i="1"/>
  <c r="Q259" i="1"/>
  <c r="AN259" i="1"/>
  <c r="AQ253" i="1"/>
  <c r="AE253" i="1"/>
  <c r="S253" i="1"/>
  <c r="G253" i="1"/>
  <c r="AL253" i="1"/>
  <c r="Z253" i="1"/>
  <c r="N253" i="1"/>
  <c r="AK253" i="1"/>
  <c r="Y253" i="1"/>
  <c r="M253" i="1"/>
  <c r="AJ253" i="1"/>
  <c r="X253" i="1"/>
  <c r="AP253" i="1"/>
  <c r="W253" i="1"/>
  <c r="F253" i="1"/>
  <c r="AO253" i="1"/>
  <c r="V253" i="1"/>
  <c r="E253" i="1"/>
  <c r="AN253" i="1"/>
  <c r="U253" i="1"/>
  <c r="D253" i="1"/>
  <c r="AM253" i="1"/>
  <c r="T253" i="1"/>
  <c r="AI253" i="1"/>
  <c r="R253" i="1"/>
  <c r="AY253" i="1"/>
  <c r="AH253" i="1"/>
  <c r="Q253" i="1"/>
  <c r="AG253" i="1"/>
  <c r="AF253" i="1"/>
  <c r="O253" i="1"/>
  <c r="P253" i="1" s="1"/>
  <c r="AD253" i="1"/>
  <c r="K253" i="1"/>
  <c r="L253" i="1" s="1"/>
  <c r="J253" i="1"/>
  <c r="AS253" i="1"/>
  <c r="AB253" i="1"/>
  <c r="I253" i="1"/>
  <c r="AR253" i="1"/>
  <c r="AA253" i="1"/>
  <c r="H253" i="1"/>
  <c r="AT253" i="1" s="1"/>
  <c r="AO250" i="1"/>
  <c r="Q250" i="1"/>
  <c r="E250" i="1"/>
  <c r="AN250" i="1"/>
  <c r="AB250" i="1"/>
  <c r="D250" i="1"/>
  <c r="AY250" i="1"/>
  <c r="AM250" i="1"/>
  <c r="AA250" i="1"/>
  <c r="O250" i="1"/>
  <c r="P250" i="1" s="1"/>
  <c r="AL250" i="1"/>
  <c r="Z250" i="1"/>
  <c r="N250" i="1"/>
  <c r="AK250" i="1"/>
  <c r="Y250" i="1"/>
  <c r="M250" i="1"/>
  <c r="AJ250" i="1"/>
  <c r="X250" i="1"/>
  <c r="AI250" i="1"/>
  <c r="W250" i="1"/>
  <c r="K250" i="1"/>
  <c r="L250" i="1" s="1"/>
  <c r="AH250" i="1"/>
  <c r="V250" i="1"/>
  <c r="J250" i="1"/>
  <c r="AS250" i="1"/>
  <c r="AG250" i="1"/>
  <c r="U250" i="1"/>
  <c r="I250" i="1"/>
  <c r="AR250" i="1"/>
  <c r="AF250" i="1"/>
  <c r="T250" i="1"/>
  <c r="H250" i="1"/>
  <c r="AT250" i="1" s="1"/>
  <c r="AQ250" i="1"/>
  <c r="AE250" i="1"/>
  <c r="S250" i="1"/>
  <c r="G250" i="1"/>
  <c r="AP250" i="1"/>
  <c r="AD250" i="1"/>
  <c r="R250" i="1"/>
  <c r="F250" i="1"/>
  <c r="AY227" i="1"/>
  <c r="AM227" i="1"/>
  <c r="AA227" i="1"/>
  <c r="O227" i="1"/>
  <c r="P227" i="1" s="1"/>
  <c r="AL227" i="1"/>
  <c r="Z227" i="1"/>
  <c r="N227" i="1"/>
  <c r="AK227" i="1"/>
  <c r="Y227" i="1"/>
  <c r="M227" i="1"/>
  <c r="AJ227" i="1"/>
  <c r="X227" i="1"/>
  <c r="AI227" i="1"/>
  <c r="W227" i="1"/>
  <c r="K227" i="1"/>
  <c r="L227" i="1" s="1"/>
  <c r="AH227" i="1"/>
  <c r="V227" i="1"/>
  <c r="J227" i="1"/>
  <c r="AS227" i="1"/>
  <c r="AG227" i="1"/>
  <c r="U227" i="1"/>
  <c r="I227" i="1"/>
  <c r="AR227" i="1"/>
  <c r="AF227" i="1"/>
  <c r="T227" i="1"/>
  <c r="H227" i="1"/>
  <c r="AT227" i="1" s="1"/>
  <c r="AQ227" i="1"/>
  <c r="AE227" i="1"/>
  <c r="S227" i="1"/>
  <c r="G227" i="1"/>
  <c r="AP227" i="1"/>
  <c r="AD227" i="1"/>
  <c r="R227" i="1"/>
  <c r="F227" i="1"/>
  <c r="AO227" i="1"/>
  <c r="Q227" i="1"/>
  <c r="E227" i="1"/>
  <c r="AN227" i="1"/>
  <c r="AB227" i="1"/>
  <c r="D227" i="1"/>
  <c r="AK310" i="1"/>
  <c r="Y310" i="1"/>
  <c r="M310" i="1"/>
  <c r="AJ310" i="1"/>
  <c r="X310" i="1"/>
  <c r="AI310" i="1"/>
  <c r="W310" i="1"/>
  <c r="K310" i="1"/>
  <c r="L310" i="1" s="1"/>
  <c r="AH310" i="1"/>
  <c r="V310" i="1"/>
  <c r="J310" i="1"/>
  <c r="AS310" i="1"/>
  <c r="AG310" i="1"/>
  <c r="U310" i="1"/>
  <c r="I310" i="1"/>
  <c r="AR310" i="1"/>
  <c r="AF310" i="1"/>
  <c r="T310" i="1"/>
  <c r="H310" i="1"/>
  <c r="AT310" i="1" s="1"/>
  <c r="AQ310" i="1"/>
  <c r="AE310" i="1"/>
  <c r="S310" i="1"/>
  <c r="G310" i="1"/>
  <c r="AP310" i="1"/>
  <c r="AD310" i="1"/>
  <c r="R310" i="1"/>
  <c r="F310" i="1"/>
  <c r="AO310" i="1"/>
  <c r="Q310" i="1"/>
  <c r="E310" i="1"/>
  <c r="AN310" i="1"/>
  <c r="AB310" i="1"/>
  <c r="D310" i="1"/>
  <c r="AY310" i="1"/>
  <c r="AM310" i="1"/>
  <c r="AA310" i="1"/>
  <c r="O310" i="1"/>
  <c r="P310" i="1" s="1"/>
  <c r="AL310" i="1"/>
  <c r="Z310" i="1"/>
  <c r="N310" i="1"/>
  <c r="AI317" i="1"/>
  <c r="W317" i="1"/>
  <c r="K317" i="1"/>
  <c r="L317" i="1" s="1"/>
  <c r="AH317" i="1"/>
  <c r="V317" i="1"/>
  <c r="J317" i="1"/>
  <c r="AS317" i="1"/>
  <c r="AG317" i="1"/>
  <c r="U317" i="1"/>
  <c r="I317" i="1"/>
  <c r="AR317" i="1"/>
  <c r="AF317" i="1"/>
  <c r="T317" i="1"/>
  <c r="H317" i="1"/>
  <c r="AT317" i="1" s="1"/>
  <c r="AQ317" i="1"/>
  <c r="AE317" i="1"/>
  <c r="S317" i="1"/>
  <c r="G317" i="1"/>
  <c r="AP317" i="1"/>
  <c r="AD317" i="1"/>
  <c r="R317" i="1"/>
  <c r="F317" i="1"/>
  <c r="AO317" i="1"/>
  <c r="Q317" i="1"/>
  <c r="E317" i="1"/>
  <c r="AN317" i="1"/>
  <c r="AB317" i="1"/>
  <c r="D317" i="1"/>
  <c r="AY317" i="1"/>
  <c r="AM317" i="1"/>
  <c r="AA317" i="1"/>
  <c r="O317" i="1"/>
  <c r="P317" i="1" s="1"/>
  <c r="AL317" i="1"/>
  <c r="Z317" i="1"/>
  <c r="N317" i="1"/>
  <c r="AK317" i="1"/>
  <c r="Y317" i="1"/>
  <c r="M317" i="1"/>
  <c r="AJ317" i="1"/>
  <c r="X317" i="1"/>
  <c r="AS300" i="1"/>
  <c r="AG300" i="1"/>
  <c r="U300" i="1"/>
  <c r="I300" i="1"/>
  <c r="AR300" i="1"/>
  <c r="AF300" i="1"/>
  <c r="T300" i="1"/>
  <c r="H300" i="1"/>
  <c r="AT300" i="1" s="1"/>
  <c r="AQ300" i="1"/>
  <c r="AE300" i="1"/>
  <c r="S300" i="1"/>
  <c r="G300" i="1"/>
  <c r="AP300" i="1"/>
  <c r="AD300" i="1"/>
  <c r="R300" i="1"/>
  <c r="F300" i="1"/>
  <c r="AO300" i="1"/>
  <c r="Q300" i="1"/>
  <c r="E300" i="1"/>
  <c r="AN300" i="1"/>
  <c r="AB300" i="1"/>
  <c r="D300" i="1"/>
  <c r="AY300" i="1"/>
  <c r="AM300" i="1"/>
  <c r="AA300" i="1"/>
  <c r="O300" i="1"/>
  <c r="P300" i="1" s="1"/>
  <c r="AL300" i="1"/>
  <c r="Z300" i="1"/>
  <c r="N300" i="1"/>
  <c r="AK300" i="1"/>
  <c r="Y300" i="1"/>
  <c r="M300" i="1"/>
  <c r="AJ300" i="1"/>
  <c r="X300" i="1"/>
  <c r="AI300" i="1"/>
  <c r="W300" i="1"/>
  <c r="K300" i="1"/>
  <c r="L300" i="1" s="1"/>
  <c r="AH300" i="1"/>
  <c r="V300" i="1"/>
  <c r="J300" i="1"/>
  <c r="AQ295" i="1"/>
  <c r="AE295" i="1"/>
  <c r="S295" i="1"/>
  <c r="G295" i="1"/>
  <c r="AP295" i="1"/>
  <c r="AD295" i="1"/>
  <c r="R295" i="1"/>
  <c r="F295" i="1"/>
  <c r="AO295" i="1"/>
  <c r="Q295" i="1"/>
  <c r="E295" i="1"/>
  <c r="AN295" i="1"/>
  <c r="AB295" i="1"/>
  <c r="D295" i="1"/>
  <c r="AY295" i="1"/>
  <c r="AM295" i="1"/>
  <c r="AA295" i="1"/>
  <c r="O295" i="1"/>
  <c r="P295" i="1" s="1"/>
  <c r="AL295" i="1"/>
  <c r="Z295" i="1"/>
  <c r="N295" i="1"/>
  <c r="AK295" i="1"/>
  <c r="Y295" i="1"/>
  <c r="M295" i="1"/>
  <c r="AJ295" i="1"/>
  <c r="X295" i="1"/>
  <c r="AI295" i="1"/>
  <c r="W295" i="1"/>
  <c r="K295" i="1"/>
  <c r="L295" i="1" s="1"/>
  <c r="AH295" i="1"/>
  <c r="V295" i="1"/>
  <c r="J295" i="1"/>
  <c r="AS295" i="1"/>
  <c r="AG295" i="1"/>
  <c r="U295" i="1"/>
  <c r="I295" i="1"/>
  <c r="AR295" i="1"/>
  <c r="AF295" i="1"/>
  <c r="T295" i="1"/>
  <c r="H295" i="1"/>
  <c r="AT295" i="1" s="1"/>
  <c r="AO296" i="1"/>
  <c r="Q296" i="1"/>
  <c r="E296" i="1"/>
  <c r="AN296" i="1"/>
  <c r="AB296" i="1"/>
  <c r="D296" i="1"/>
  <c r="AY296" i="1"/>
  <c r="AM296" i="1"/>
  <c r="AA296" i="1"/>
  <c r="O296" i="1"/>
  <c r="P296" i="1" s="1"/>
  <c r="AL296" i="1"/>
  <c r="Z296" i="1"/>
  <c r="N296" i="1"/>
  <c r="AK296" i="1"/>
  <c r="Y296" i="1"/>
  <c r="M296" i="1"/>
  <c r="AJ296" i="1"/>
  <c r="X296" i="1"/>
  <c r="AI296" i="1"/>
  <c r="W296" i="1"/>
  <c r="K296" i="1"/>
  <c r="L296" i="1" s="1"/>
  <c r="AH296" i="1"/>
  <c r="V296" i="1"/>
  <c r="J296" i="1"/>
  <c r="AS296" i="1"/>
  <c r="AG296" i="1"/>
  <c r="U296" i="1"/>
  <c r="I296" i="1"/>
  <c r="AR296" i="1"/>
  <c r="AF296" i="1"/>
  <c r="T296" i="1"/>
  <c r="H296" i="1"/>
  <c r="AT296" i="1" s="1"/>
  <c r="AQ296" i="1"/>
  <c r="AE296" i="1"/>
  <c r="S296" i="1"/>
  <c r="G296" i="1"/>
  <c r="AP296" i="1"/>
  <c r="AD296" i="1"/>
  <c r="R296" i="1"/>
  <c r="F296" i="1"/>
  <c r="AY279" i="1"/>
  <c r="AM279" i="1"/>
  <c r="AA279" i="1"/>
  <c r="O279" i="1"/>
  <c r="P279" i="1" s="1"/>
  <c r="AL279" i="1"/>
  <c r="Z279" i="1"/>
  <c r="N279" i="1"/>
  <c r="AK279" i="1"/>
  <c r="Y279" i="1"/>
  <c r="M279" i="1"/>
  <c r="AJ279" i="1"/>
  <c r="X279" i="1"/>
  <c r="AI279" i="1"/>
  <c r="W279" i="1"/>
  <c r="K279" i="1"/>
  <c r="L279" i="1" s="1"/>
  <c r="AH279" i="1"/>
  <c r="V279" i="1"/>
  <c r="J279" i="1"/>
  <c r="AS279" i="1"/>
  <c r="AG279" i="1"/>
  <c r="U279" i="1"/>
  <c r="I279" i="1"/>
  <c r="AR279" i="1"/>
  <c r="AF279" i="1"/>
  <c r="T279" i="1"/>
  <c r="H279" i="1"/>
  <c r="AT279" i="1" s="1"/>
  <c r="AQ279" i="1"/>
  <c r="AE279" i="1"/>
  <c r="S279" i="1"/>
  <c r="G279" i="1"/>
  <c r="AP279" i="1"/>
  <c r="AD279" i="1"/>
  <c r="R279" i="1"/>
  <c r="F279" i="1"/>
  <c r="AO279" i="1"/>
  <c r="Q279" i="1"/>
  <c r="E279" i="1"/>
  <c r="AN279" i="1"/>
  <c r="AB279" i="1"/>
  <c r="D279" i="1"/>
  <c r="AK344" i="1"/>
  <c r="Y344" i="1"/>
  <c r="M344" i="1"/>
  <c r="AJ344" i="1"/>
  <c r="X344" i="1"/>
  <c r="AI344" i="1"/>
  <c r="W344" i="1"/>
  <c r="K344" i="1"/>
  <c r="L344" i="1" s="1"/>
  <c r="AH344" i="1"/>
  <c r="V344" i="1"/>
  <c r="J344" i="1"/>
  <c r="AS344" i="1"/>
  <c r="AG344" i="1"/>
  <c r="U344" i="1"/>
  <c r="I344" i="1"/>
  <c r="AR344" i="1"/>
  <c r="AF344" i="1"/>
  <c r="T344" i="1"/>
  <c r="H344" i="1"/>
  <c r="AT344" i="1" s="1"/>
  <c r="AQ344" i="1"/>
  <c r="AE344" i="1"/>
  <c r="S344" i="1"/>
  <c r="G344" i="1"/>
  <c r="AP344" i="1"/>
  <c r="AD344" i="1"/>
  <c r="R344" i="1"/>
  <c r="F344" i="1"/>
  <c r="AY344" i="1"/>
  <c r="AM344" i="1"/>
  <c r="AA344" i="1"/>
  <c r="O344" i="1"/>
  <c r="P344" i="1" s="1"/>
  <c r="AL344" i="1"/>
  <c r="Z344" i="1"/>
  <c r="N344" i="1"/>
  <c r="E344" i="1"/>
  <c r="D344" i="1"/>
  <c r="AO344" i="1"/>
  <c r="AN344" i="1"/>
  <c r="AB344" i="1"/>
  <c r="Q344" i="1"/>
  <c r="AI351" i="1"/>
  <c r="W351" i="1"/>
  <c r="K351" i="1"/>
  <c r="L351" i="1" s="1"/>
  <c r="AH351" i="1"/>
  <c r="V351" i="1"/>
  <c r="J351" i="1"/>
  <c r="AS351" i="1"/>
  <c r="AG351" i="1"/>
  <c r="U351" i="1"/>
  <c r="I351" i="1"/>
  <c r="AR351" i="1"/>
  <c r="AF351" i="1"/>
  <c r="T351" i="1"/>
  <c r="H351" i="1"/>
  <c r="AT351" i="1" s="1"/>
  <c r="AQ351" i="1"/>
  <c r="AE351" i="1"/>
  <c r="S351" i="1"/>
  <c r="G351" i="1"/>
  <c r="AP351" i="1"/>
  <c r="AD351" i="1"/>
  <c r="R351" i="1"/>
  <c r="F351" i="1"/>
  <c r="AO351" i="1"/>
  <c r="Q351" i="1"/>
  <c r="E351" i="1"/>
  <c r="AN351" i="1"/>
  <c r="AB351" i="1"/>
  <c r="D351" i="1"/>
  <c r="AY351" i="1"/>
  <c r="AM351" i="1"/>
  <c r="AA351" i="1"/>
  <c r="O351" i="1"/>
  <c r="P351" i="1" s="1"/>
  <c r="AK351" i="1"/>
  <c r="Y351" i="1"/>
  <c r="M351" i="1"/>
  <c r="AJ351" i="1"/>
  <c r="X351" i="1"/>
  <c r="AL351" i="1"/>
  <c r="Z351" i="1"/>
  <c r="N351" i="1"/>
  <c r="AS346" i="1"/>
  <c r="AG346" i="1"/>
  <c r="U346" i="1"/>
  <c r="I346" i="1"/>
  <c r="AR346" i="1"/>
  <c r="AF346" i="1"/>
  <c r="T346" i="1"/>
  <c r="H346" i="1"/>
  <c r="AT346" i="1" s="1"/>
  <c r="AQ346" i="1"/>
  <c r="AE346" i="1"/>
  <c r="S346" i="1"/>
  <c r="G346" i="1"/>
  <c r="AP346" i="1"/>
  <c r="AD346" i="1"/>
  <c r="R346" i="1"/>
  <c r="F346" i="1"/>
  <c r="AO346" i="1"/>
  <c r="Q346" i="1"/>
  <c r="E346" i="1"/>
  <c r="AN346" i="1"/>
  <c r="AB346" i="1"/>
  <c r="D346" i="1"/>
  <c r="AY346" i="1"/>
  <c r="AM346" i="1"/>
  <c r="AA346" i="1"/>
  <c r="O346" i="1"/>
  <c r="P346" i="1" s="1"/>
  <c r="AL346" i="1"/>
  <c r="Z346" i="1"/>
  <c r="N346" i="1"/>
  <c r="AI346" i="1"/>
  <c r="W346" i="1"/>
  <c r="K346" i="1"/>
  <c r="L346" i="1" s="1"/>
  <c r="AH346" i="1"/>
  <c r="V346" i="1"/>
  <c r="J346" i="1"/>
  <c r="Y346" i="1"/>
  <c r="X346" i="1"/>
  <c r="M346" i="1"/>
  <c r="AK346" i="1"/>
  <c r="AJ346" i="1"/>
  <c r="AR410" i="1"/>
  <c r="AF410" i="1"/>
  <c r="T410" i="1"/>
  <c r="H410" i="1"/>
  <c r="AT410" i="1" s="1"/>
  <c r="AQ410" i="1"/>
  <c r="AE410" i="1"/>
  <c r="S410" i="1"/>
  <c r="G410" i="1"/>
  <c r="AP410" i="1"/>
  <c r="AD410" i="1"/>
  <c r="R410" i="1"/>
  <c r="F410" i="1"/>
  <c r="AL410" i="1"/>
  <c r="Z410" i="1"/>
  <c r="N410" i="1"/>
  <c r="AB410" i="1"/>
  <c r="K410" i="1"/>
  <c r="L410" i="1" s="1"/>
  <c r="AA410" i="1"/>
  <c r="J410" i="1"/>
  <c r="AS410" i="1"/>
  <c r="Y410" i="1"/>
  <c r="I410" i="1"/>
  <c r="AO410" i="1"/>
  <c r="X410" i="1"/>
  <c r="E410" i="1"/>
  <c r="AN410" i="1"/>
  <c r="W410" i="1"/>
  <c r="D410" i="1"/>
  <c r="AM410" i="1"/>
  <c r="V410" i="1"/>
  <c r="AK410" i="1"/>
  <c r="U410" i="1"/>
  <c r="AJ410" i="1"/>
  <c r="Q410" i="1"/>
  <c r="AY410" i="1"/>
  <c r="AI410" i="1"/>
  <c r="AH410" i="1"/>
  <c r="O410" i="1"/>
  <c r="P410" i="1" s="1"/>
  <c r="AG410" i="1"/>
  <c r="M410" i="1"/>
  <c r="AH415" i="1"/>
  <c r="V415" i="1"/>
  <c r="J415" i="1"/>
  <c r="AS415" i="1"/>
  <c r="AG415" i="1"/>
  <c r="U415" i="1"/>
  <c r="I415" i="1"/>
  <c r="AR415" i="1"/>
  <c r="AF415" i="1"/>
  <c r="T415" i="1"/>
  <c r="H415" i="1"/>
  <c r="AT415" i="1" s="1"/>
  <c r="AP415" i="1"/>
  <c r="AD415" i="1"/>
  <c r="R415" i="1"/>
  <c r="AO415" i="1"/>
  <c r="Q415" i="1"/>
  <c r="E415" i="1"/>
  <c r="AN415" i="1"/>
  <c r="AB415" i="1"/>
  <c r="D415" i="1"/>
  <c r="AI415" i="1"/>
  <c r="W415" i="1"/>
  <c r="K415" i="1"/>
  <c r="L415" i="1" s="1"/>
  <c r="AL415" i="1"/>
  <c r="M415" i="1"/>
  <c r="AK415" i="1"/>
  <c r="AJ415" i="1"/>
  <c r="G415" i="1"/>
  <c r="AE415" i="1"/>
  <c r="F415" i="1"/>
  <c r="AA415" i="1"/>
  <c r="AY415" i="1"/>
  <c r="Z415" i="1"/>
  <c r="Y415" i="1"/>
  <c r="X415" i="1"/>
  <c r="S415" i="1"/>
  <c r="AQ415" i="1"/>
  <c r="O415" i="1"/>
  <c r="P415" i="1" s="1"/>
  <c r="AM415" i="1"/>
  <c r="N415" i="1"/>
  <c r="AH409" i="1"/>
  <c r="V409" i="1"/>
  <c r="J409" i="1"/>
  <c r="AS409" i="1"/>
  <c r="AG409" i="1"/>
  <c r="U409" i="1"/>
  <c r="I409" i="1"/>
  <c r="AR409" i="1"/>
  <c r="AF409" i="1"/>
  <c r="T409" i="1"/>
  <c r="H409" i="1"/>
  <c r="AT409" i="1" s="1"/>
  <c r="AN409" i="1"/>
  <c r="AB409" i="1"/>
  <c r="D409" i="1"/>
  <c r="AP409" i="1"/>
  <c r="Y409" i="1"/>
  <c r="F409" i="1"/>
  <c r="AO409" i="1"/>
  <c r="X409" i="1"/>
  <c r="E409" i="1"/>
  <c r="AM409" i="1"/>
  <c r="W409" i="1"/>
  <c r="AL409" i="1"/>
  <c r="S409" i="1"/>
  <c r="AK409" i="1"/>
  <c r="R409" i="1"/>
  <c r="AJ409" i="1"/>
  <c r="Q409" i="1"/>
  <c r="AY409" i="1"/>
  <c r="AI409" i="1"/>
  <c r="O409" i="1"/>
  <c r="P409" i="1" s="1"/>
  <c r="AE409" i="1"/>
  <c r="N409" i="1"/>
  <c r="AD409" i="1"/>
  <c r="M409" i="1"/>
  <c r="AA409" i="1"/>
  <c r="K409" i="1"/>
  <c r="L409" i="1" s="1"/>
  <c r="AQ409" i="1"/>
  <c r="Z409" i="1"/>
  <c r="G409" i="1"/>
  <c r="AY397" i="1"/>
  <c r="AM397" i="1"/>
  <c r="AA397" i="1"/>
  <c r="O397" i="1"/>
  <c r="P397" i="1" s="1"/>
  <c r="AL397" i="1"/>
  <c r="Z397" i="1"/>
  <c r="N397" i="1"/>
  <c r="AK397" i="1"/>
  <c r="Y397" i="1"/>
  <c r="M397" i="1"/>
  <c r="AJ397" i="1"/>
  <c r="X397" i="1"/>
  <c r="AI397" i="1"/>
  <c r="W397" i="1"/>
  <c r="K397" i="1"/>
  <c r="L397" i="1" s="1"/>
  <c r="AH397" i="1"/>
  <c r="V397" i="1"/>
  <c r="J397" i="1"/>
  <c r="AS397" i="1"/>
  <c r="AG397" i="1"/>
  <c r="U397" i="1"/>
  <c r="I397" i="1"/>
  <c r="AR397" i="1"/>
  <c r="AF397" i="1"/>
  <c r="T397" i="1"/>
  <c r="H397" i="1"/>
  <c r="AT397" i="1" s="1"/>
  <c r="AQ397" i="1"/>
  <c r="AE397" i="1"/>
  <c r="S397" i="1"/>
  <c r="G397" i="1"/>
  <c r="AP397" i="1"/>
  <c r="AD397" i="1"/>
  <c r="R397" i="1"/>
  <c r="F397" i="1"/>
  <c r="AO397" i="1"/>
  <c r="Q397" i="1"/>
  <c r="E397" i="1"/>
  <c r="AN397" i="1"/>
  <c r="AB397" i="1"/>
  <c r="D397" i="1"/>
  <c r="AL479" i="1"/>
  <c r="Z479" i="1"/>
  <c r="N479" i="1"/>
  <c r="AK479" i="1"/>
  <c r="Y479" i="1"/>
  <c r="M479" i="1"/>
  <c r="AJ479" i="1"/>
  <c r="X479" i="1"/>
  <c r="AI479" i="1"/>
  <c r="W479" i="1"/>
  <c r="K479" i="1"/>
  <c r="L479" i="1" s="1"/>
  <c r="AH479" i="1"/>
  <c r="V479" i="1"/>
  <c r="J479" i="1"/>
  <c r="AS479" i="1"/>
  <c r="AG479" i="1"/>
  <c r="U479" i="1"/>
  <c r="I479" i="1"/>
  <c r="AR479" i="1"/>
  <c r="AF479" i="1"/>
  <c r="T479" i="1"/>
  <c r="H479" i="1"/>
  <c r="AT479" i="1" s="1"/>
  <c r="AQ479" i="1"/>
  <c r="AE479" i="1"/>
  <c r="S479" i="1"/>
  <c r="G479" i="1"/>
  <c r="AP479" i="1"/>
  <c r="AD479" i="1"/>
  <c r="R479" i="1"/>
  <c r="F479" i="1"/>
  <c r="AO479" i="1"/>
  <c r="Q479" i="1"/>
  <c r="E479" i="1"/>
  <c r="AN479" i="1"/>
  <c r="AB479" i="1"/>
  <c r="D479" i="1"/>
  <c r="AY479" i="1"/>
  <c r="AM479" i="1"/>
  <c r="AA479" i="1"/>
  <c r="O479" i="1"/>
  <c r="P479" i="1" s="1"/>
  <c r="AJ468" i="1"/>
  <c r="X468" i="1"/>
  <c r="AI468" i="1"/>
  <c r="W468" i="1"/>
  <c r="K468" i="1"/>
  <c r="L468" i="1" s="1"/>
  <c r="AH468" i="1"/>
  <c r="V468" i="1"/>
  <c r="J468" i="1"/>
  <c r="AS468" i="1"/>
  <c r="AG468" i="1"/>
  <c r="U468" i="1"/>
  <c r="I468" i="1"/>
  <c r="AR468" i="1"/>
  <c r="AF468" i="1"/>
  <c r="T468" i="1"/>
  <c r="H468" i="1"/>
  <c r="AT468" i="1" s="1"/>
  <c r="AQ468" i="1"/>
  <c r="AE468" i="1"/>
  <c r="S468" i="1"/>
  <c r="G468" i="1"/>
  <c r="AP468" i="1"/>
  <c r="AD468" i="1"/>
  <c r="R468" i="1"/>
  <c r="F468" i="1"/>
  <c r="AO468" i="1"/>
  <c r="Q468" i="1"/>
  <c r="E468" i="1"/>
  <c r="AN468" i="1"/>
  <c r="AB468" i="1"/>
  <c r="D468" i="1"/>
  <c r="AY468" i="1"/>
  <c r="AM468" i="1"/>
  <c r="AA468" i="1"/>
  <c r="O468" i="1"/>
  <c r="P468" i="1" s="1"/>
  <c r="AL468" i="1"/>
  <c r="Z468" i="1"/>
  <c r="N468" i="1"/>
  <c r="AK468" i="1"/>
  <c r="Y468" i="1"/>
  <c r="M468" i="1"/>
  <c r="AH463" i="1"/>
  <c r="V463" i="1"/>
  <c r="J463" i="1"/>
  <c r="AS463" i="1"/>
  <c r="AG463" i="1"/>
  <c r="U463" i="1"/>
  <c r="I463" i="1"/>
  <c r="AR463" i="1"/>
  <c r="AF463" i="1"/>
  <c r="T463" i="1"/>
  <c r="H463" i="1"/>
  <c r="AT463" i="1" s="1"/>
  <c r="AQ463" i="1"/>
  <c r="AE463" i="1"/>
  <c r="S463" i="1"/>
  <c r="G463" i="1"/>
  <c r="AP463" i="1"/>
  <c r="AD463" i="1"/>
  <c r="R463" i="1"/>
  <c r="F463" i="1"/>
  <c r="AO463" i="1"/>
  <c r="Q463" i="1"/>
  <c r="E463" i="1"/>
  <c r="AN463" i="1"/>
  <c r="AB463" i="1"/>
  <c r="D463" i="1"/>
  <c r="AY463" i="1"/>
  <c r="AM463" i="1"/>
  <c r="AA463" i="1"/>
  <c r="O463" i="1"/>
  <c r="P463" i="1" s="1"/>
  <c r="AL463" i="1"/>
  <c r="Z463" i="1"/>
  <c r="N463" i="1"/>
  <c r="AK463" i="1"/>
  <c r="Y463" i="1"/>
  <c r="M463" i="1"/>
  <c r="AJ463" i="1"/>
  <c r="X463" i="1"/>
  <c r="AI463" i="1"/>
  <c r="W463" i="1"/>
  <c r="K463" i="1"/>
  <c r="L463" i="1" s="1"/>
  <c r="AR458" i="1"/>
  <c r="AF458" i="1"/>
  <c r="T458" i="1"/>
  <c r="H458" i="1"/>
  <c r="AT458" i="1" s="1"/>
  <c r="AQ458" i="1"/>
  <c r="AE458" i="1"/>
  <c r="S458" i="1"/>
  <c r="G458" i="1"/>
  <c r="AP458" i="1"/>
  <c r="AD458" i="1"/>
  <c r="R458" i="1"/>
  <c r="F458" i="1"/>
  <c r="AO458" i="1"/>
  <c r="Q458" i="1"/>
  <c r="E458" i="1"/>
  <c r="AN458" i="1"/>
  <c r="AB458" i="1"/>
  <c r="D458" i="1"/>
  <c r="AY458" i="1"/>
  <c r="AM458" i="1"/>
  <c r="AA458" i="1"/>
  <c r="O458" i="1"/>
  <c r="P458" i="1" s="1"/>
  <c r="AL458" i="1"/>
  <c r="Z458" i="1"/>
  <c r="N458" i="1"/>
  <c r="AK458" i="1"/>
  <c r="Y458" i="1"/>
  <c r="M458" i="1"/>
  <c r="AJ458" i="1"/>
  <c r="X458" i="1"/>
  <c r="AI458" i="1"/>
  <c r="W458" i="1"/>
  <c r="K458" i="1"/>
  <c r="L458" i="1" s="1"/>
  <c r="AH458" i="1"/>
  <c r="V458" i="1"/>
  <c r="J458" i="1"/>
  <c r="AS458" i="1"/>
  <c r="AG458" i="1"/>
  <c r="U458" i="1"/>
  <c r="I458" i="1"/>
  <c r="AP453" i="1"/>
  <c r="AD453" i="1"/>
  <c r="R453" i="1"/>
  <c r="F453" i="1"/>
  <c r="AO453" i="1"/>
  <c r="Q453" i="1"/>
  <c r="E453" i="1"/>
  <c r="AN453" i="1"/>
  <c r="AB453" i="1"/>
  <c r="D453" i="1"/>
  <c r="AY453" i="1"/>
  <c r="AM453" i="1"/>
  <c r="AA453" i="1"/>
  <c r="O453" i="1"/>
  <c r="P453" i="1" s="1"/>
  <c r="AL453" i="1"/>
  <c r="Z453" i="1"/>
  <c r="N453" i="1"/>
  <c r="AK453" i="1"/>
  <c r="Y453" i="1"/>
  <c r="M453" i="1"/>
  <c r="AJ453" i="1"/>
  <c r="X453" i="1"/>
  <c r="AI453" i="1"/>
  <c r="W453" i="1"/>
  <c r="K453" i="1"/>
  <c r="L453" i="1" s="1"/>
  <c r="AH453" i="1"/>
  <c r="V453" i="1"/>
  <c r="J453" i="1"/>
  <c r="AS453" i="1"/>
  <c r="AG453" i="1"/>
  <c r="U453" i="1"/>
  <c r="I453" i="1"/>
  <c r="AR453" i="1"/>
  <c r="AF453" i="1"/>
  <c r="T453" i="1"/>
  <c r="H453" i="1"/>
  <c r="AT453" i="1" s="1"/>
  <c r="AQ453" i="1"/>
  <c r="AE453" i="1"/>
  <c r="S453" i="1"/>
  <c r="G453" i="1"/>
  <c r="AN442" i="1"/>
  <c r="AB442" i="1"/>
  <c r="D442" i="1"/>
  <c r="AY442" i="1"/>
  <c r="AM442" i="1"/>
  <c r="AA442" i="1"/>
  <c r="O442" i="1"/>
  <c r="P442" i="1" s="1"/>
  <c r="AL442" i="1"/>
  <c r="Z442" i="1"/>
  <c r="N442" i="1"/>
  <c r="AK442" i="1"/>
  <c r="Y442" i="1"/>
  <c r="M442" i="1"/>
  <c r="AJ442" i="1"/>
  <c r="X442" i="1"/>
  <c r="AI442" i="1"/>
  <c r="W442" i="1"/>
  <c r="K442" i="1"/>
  <c r="L442" i="1" s="1"/>
  <c r="AH442" i="1"/>
  <c r="V442" i="1"/>
  <c r="J442" i="1"/>
  <c r="AS442" i="1"/>
  <c r="AG442" i="1"/>
  <c r="U442" i="1"/>
  <c r="I442" i="1"/>
  <c r="AR442" i="1"/>
  <c r="AF442" i="1"/>
  <c r="T442" i="1"/>
  <c r="H442" i="1"/>
  <c r="AT442" i="1" s="1"/>
  <c r="AQ442" i="1"/>
  <c r="AE442" i="1"/>
  <c r="S442" i="1"/>
  <c r="G442" i="1"/>
  <c r="AP442" i="1"/>
  <c r="AD442" i="1"/>
  <c r="R442" i="1"/>
  <c r="F442" i="1"/>
  <c r="AO442" i="1"/>
  <c r="Q442" i="1"/>
  <c r="E442" i="1"/>
  <c r="AL518" i="1"/>
  <c r="Z518" i="1"/>
  <c r="N518" i="1"/>
  <c r="AK518" i="1"/>
  <c r="Y518" i="1"/>
  <c r="M518" i="1"/>
  <c r="AJ518" i="1"/>
  <c r="X518" i="1"/>
  <c r="AI518" i="1"/>
  <c r="W518" i="1"/>
  <c r="K518" i="1"/>
  <c r="L518" i="1" s="1"/>
  <c r="AH518" i="1"/>
  <c r="V518" i="1"/>
  <c r="J518" i="1"/>
  <c r="AS518" i="1"/>
  <c r="AG518" i="1"/>
  <c r="U518" i="1"/>
  <c r="I518" i="1"/>
  <c r="AR518" i="1"/>
  <c r="AF518" i="1"/>
  <c r="T518" i="1"/>
  <c r="H518" i="1"/>
  <c r="AT518" i="1" s="1"/>
  <c r="AQ518" i="1"/>
  <c r="AE518" i="1"/>
  <c r="S518" i="1"/>
  <c r="G518" i="1"/>
  <c r="AP518" i="1"/>
  <c r="AD518" i="1"/>
  <c r="R518" i="1"/>
  <c r="F518" i="1"/>
  <c r="AO518" i="1"/>
  <c r="Q518" i="1"/>
  <c r="E518" i="1"/>
  <c r="AN518" i="1"/>
  <c r="AB518" i="1"/>
  <c r="D518" i="1"/>
  <c r="AY518" i="1"/>
  <c r="AM518" i="1"/>
  <c r="AA518" i="1"/>
  <c r="O518" i="1"/>
  <c r="P518" i="1" s="1"/>
  <c r="AH502" i="1"/>
  <c r="V502" i="1"/>
  <c r="J502" i="1"/>
  <c r="AS502" i="1"/>
  <c r="AG502" i="1"/>
  <c r="U502" i="1"/>
  <c r="I502" i="1"/>
  <c r="AR502" i="1"/>
  <c r="AF502" i="1"/>
  <c r="T502" i="1"/>
  <c r="H502" i="1"/>
  <c r="AT502" i="1" s="1"/>
  <c r="AQ502" i="1"/>
  <c r="AE502" i="1"/>
  <c r="S502" i="1"/>
  <c r="G502" i="1"/>
  <c r="AP502" i="1"/>
  <c r="AD502" i="1"/>
  <c r="R502" i="1"/>
  <c r="F502" i="1"/>
  <c r="AO502" i="1"/>
  <c r="Q502" i="1"/>
  <c r="E502" i="1"/>
  <c r="AN502" i="1"/>
  <c r="AB502" i="1"/>
  <c r="D502" i="1"/>
  <c r="AY502" i="1"/>
  <c r="AM502" i="1"/>
  <c r="AA502" i="1"/>
  <c r="O502" i="1"/>
  <c r="P502" i="1" s="1"/>
  <c r="AL502" i="1"/>
  <c r="Z502" i="1"/>
  <c r="N502" i="1"/>
  <c r="AK502" i="1"/>
  <c r="Y502" i="1"/>
  <c r="M502" i="1"/>
  <c r="AJ502" i="1"/>
  <c r="X502" i="1"/>
  <c r="AI502" i="1"/>
  <c r="W502" i="1"/>
  <c r="K502" i="1"/>
  <c r="L502" i="1" s="1"/>
  <c r="AL535" i="1"/>
  <c r="Z535" i="1"/>
  <c r="N535" i="1"/>
  <c r="AK535" i="1"/>
  <c r="Y535" i="1"/>
  <c r="M535" i="1"/>
  <c r="AR535" i="1"/>
  <c r="AF535" i="1"/>
  <c r="T535" i="1"/>
  <c r="H535" i="1"/>
  <c r="AT535" i="1" s="1"/>
  <c r="AQ535" i="1"/>
  <c r="AE535" i="1"/>
  <c r="S535" i="1"/>
  <c r="G535" i="1"/>
  <c r="AB535" i="1"/>
  <c r="J535" i="1"/>
  <c r="AS535" i="1"/>
  <c r="AA535" i="1"/>
  <c r="I535" i="1"/>
  <c r="AP535" i="1"/>
  <c r="X535" i="1"/>
  <c r="F535" i="1"/>
  <c r="AO535" i="1"/>
  <c r="W535" i="1"/>
  <c r="E535" i="1"/>
  <c r="AN535" i="1"/>
  <c r="V535" i="1"/>
  <c r="D535" i="1"/>
  <c r="AM535" i="1"/>
  <c r="U535" i="1"/>
  <c r="AJ535" i="1"/>
  <c r="R535" i="1"/>
  <c r="AY535" i="1"/>
  <c r="AI535" i="1"/>
  <c r="Q535" i="1"/>
  <c r="AH535" i="1"/>
  <c r="AG535" i="1"/>
  <c r="O535" i="1"/>
  <c r="P535" i="1" s="1"/>
  <c r="AD535" i="1"/>
  <c r="K535" i="1"/>
  <c r="L535" i="1" s="1"/>
  <c r="AN517" i="1"/>
  <c r="AB517" i="1"/>
  <c r="D517" i="1"/>
  <c r="AY517" i="1"/>
  <c r="AM517" i="1"/>
  <c r="AA517" i="1"/>
  <c r="O517" i="1"/>
  <c r="P517" i="1" s="1"/>
  <c r="AL517" i="1"/>
  <c r="Z517" i="1"/>
  <c r="N517" i="1"/>
  <c r="AK517" i="1"/>
  <c r="Y517" i="1"/>
  <c r="M517" i="1"/>
  <c r="AJ517" i="1"/>
  <c r="X517" i="1"/>
  <c r="AI517" i="1"/>
  <c r="W517" i="1"/>
  <c r="K517" i="1"/>
  <c r="L517" i="1" s="1"/>
  <c r="AH517" i="1"/>
  <c r="V517" i="1"/>
  <c r="J517" i="1"/>
  <c r="AS517" i="1"/>
  <c r="AG517" i="1"/>
  <c r="U517" i="1"/>
  <c r="I517" i="1"/>
  <c r="AR517" i="1"/>
  <c r="AF517" i="1"/>
  <c r="T517" i="1"/>
  <c r="H517" i="1"/>
  <c r="AT517" i="1" s="1"/>
  <c r="AQ517" i="1"/>
  <c r="AE517" i="1"/>
  <c r="S517" i="1"/>
  <c r="G517" i="1"/>
  <c r="AP517" i="1"/>
  <c r="AD517" i="1"/>
  <c r="R517" i="1"/>
  <c r="F517" i="1"/>
  <c r="AO517" i="1"/>
  <c r="Q517" i="1"/>
  <c r="E517" i="1"/>
  <c r="AJ548" i="1"/>
  <c r="X548" i="1"/>
  <c r="AI548" i="1"/>
  <c r="W548" i="1"/>
  <c r="K548" i="1"/>
  <c r="L548" i="1" s="1"/>
  <c r="AH548" i="1"/>
  <c r="V548" i="1"/>
  <c r="J548" i="1"/>
  <c r="AS548" i="1"/>
  <c r="AG548" i="1"/>
  <c r="U548" i="1"/>
  <c r="I548" i="1"/>
  <c r="AR548" i="1"/>
  <c r="AF548" i="1"/>
  <c r="T548" i="1"/>
  <c r="H548" i="1"/>
  <c r="AT548" i="1" s="1"/>
  <c r="AQ548" i="1"/>
  <c r="AE548" i="1"/>
  <c r="S548" i="1"/>
  <c r="G548" i="1"/>
  <c r="AP548" i="1"/>
  <c r="AD548" i="1"/>
  <c r="R548" i="1"/>
  <c r="F548" i="1"/>
  <c r="AO548" i="1"/>
  <c r="Q548" i="1"/>
  <c r="E548" i="1"/>
  <c r="AN548" i="1"/>
  <c r="AB548" i="1"/>
  <c r="D548" i="1"/>
  <c r="AY548" i="1"/>
  <c r="AM548" i="1"/>
  <c r="AA548" i="1"/>
  <c r="O548" i="1"/>
  <c r="P548" i="1" s="1"/>
  <c r="AL548" i="1"/>
  <c r="Z548" i="1"/>
  <c r="N548" i="1"/>
  <c r="AK548" i="1"/>
  <c r="Y548" i="1"/>
  <c r="M548" i="1"/>
  <c r="AH567" i="1"/>
  <c r="V567" i="1"/>
  <c r="J567" i="1"/>
  <c r="AS567" i="1"/>
  <c r="AG567" i="1"/>
  <c r="U567" i="1"/>
  <c r="I567" i="1"/>
  <c r="AR567" i="1"/>
  <c r="AF567" i="1"/>
  <c r="T567" i="1"/>
  <c r="H567" i="1"/>
  <c r="AT567" i="1" s="1"/>
  <c r="AQ567" i="1"/>
  <c r="AE567" i="1"/>
  <c r="S567" i="1"/>
  <c r="G567" i="1"/>
  <c r="AP567" i="1"/>
  <c r="AD567" i="1"/>
  <c r="R567" i="1"/>
  <c r="F567" i="1"/>
  <c r="AO567" i="1"/>
  <c r="Q567" i="1"/>
  <c r="E567" i="1"/>
  <c r="AN567" i="1"/>
  <c r="AB567" i="1"/>
  <c r="D567" i="1"/>
  <c r="AY567" i="1"/>
  <c r="AM567" i="1"/>
  <c r="AA567" i="1"/>
  <c r="O567" i="1"/>
  <c r="P567" i="1" s="1"/>
  <c r="AL567" i="1"/>
  <c r="Z567" i="1"/>
  <c r="N567" i="1"/>
  <c r="AK567" i="1"/>
  <c r="Y567" i="1"/>
  <c r="M567" i="1"/>
  <c r="AJ567" i="1"/>
  <c r="X567" i="1"/>
  <c r="AI567" i="1"/>
  <c r="W567" i="1"/>
  <c r="K567" i="1"/>
  <c r="L567" i="1" s="1"/>
  <c r="AP569" i="1"/>
  <c r="AD569" i="1"/>
  <c r="R569" i="1"/>
  <c r="F569" i="1"/>
  <c r="AO569" i="1"/>
  <c r="Q569" i="1"/>
  <c r="E569" i="1"/>
  <c r="AN569" i="1"/>
  <c r="AB569" i="1"/>
  <c r="D569" i="1"/>
  <c r="AY569" i="1"/>
  <c r="AM569" i="1"/>
  <c r="AA569" i="1"/>
  <c r="O569" i="1"/>
  <c r="P569" i="1" s="1"/>
  <c r="AL569" i="1"/>
  <c r="Z569" i="1"/>
  <c r="N569" i="1"/>
  <c r="AK569" i="1"/>
  <c r="Y569" i="1"/>
  <c r="M569" i="1"/>
  <c r="AJ569" i="1"/>
  <c r="X569" i="1"/>
  <c r="AI569" i="1"/>
  <c r="W569" i="1"/>
  <c r="K569" i="1"/>
  <c r="L569" i="1" s="1"/>
  <c r="AH569" i="1"/>
  <c r="V569" i="1"/>
  <c r="J569" i="1"/>
  <c r="AS569" i="1"/>
  <c r="AG569" i="1"/>
  <c r="U569" i="1"/>
  <c r="I569" i="1"/>
  <c r="AR569" i="1"/>
  <c r="AF569" i="1"/>
  <c r="T569" i="1"/>
  <c r="H569" i="1"/>
  <c r="AT569" i="1" s="1"/>
  <c r="AQ569" i="1"/>
  <c r="AE569" i="1"/>
  <c r="S569" i="1"/>
  <c r="G569" i="1"/>
  <c r="AQ576" i="1"/>
  <c r="AE576" i="1"/>
  <c r="S576" i="1"/>
  <c r="AP576" i="1"/>
  <c r="D576" i="1"/>
  <c r="AO576" i="1"/>
  <c r="AB576" i="1"/>
  <c r="O576" i="1"/>
  <c r="P576" i="1" s="1"/>
  <c r="AN576" i="1"/>
  <c r="AA576" i="1"/>
  <c r="N576" i="1"/>
  <c r="AM576" i="1"/>
  <c r="Z576" i="1"/>
  <c r="M576" i="1"/>
  <c r="AY576" i="1"/>
  <c r="AL576" i="1"/>
  <c r="Y576" i="1"/>
  <c r="AK576" i="1"/>
  <c r="X576" i="1"/>
  <c r="K576" i="1"/>
  <c r="L576" i="1" s="1"/>
  <c r="AJ576" i="1"/>
  <c r="W576" i="1"/>
  <c r="J576" i="1"/>
  <c r="AI576" i="1"/>
  <c r="V576" i="1"/>
  <c r="I576" i="1"/>
  <c r="AH576" i="1"/>
  <c r="U576" i="1"/>
  <c r="H576" i="1"/>
  <c r="AT576" i="1" s="1"/>
  <c r="AG576" i="1"/>
  <c r="T576" i="1"/>
  <c r="G576" i="1"/>
  <c r="AS576" i="1"/>
  <c r="AF576" i="1"/>
  <c r="R576" i="1"/>
  <c r="F576" i="1"/>
  <c r="AR576" i="1"/>
  <c r="AD576" i="1"/>
  <c r="Q576" i="1"/>
  <c r="E576" i="1"/>
  <c r="AI610" i="1"/>
  <c r="W610" i="1"/>
  <c r="K610" i="1"/>
  <c r="L610" i="1" s="1"/>
  <c r="AH610" i="1"/>
  <c r="V610" i="1"/>
  <c r="J610" i="1"/>
  <c r="AS610" i="1"/>
  <c r="AG610" i="1"/>
  <c r="U610" i="1"/>
  <c r="I610" i="1"/>
  <c r="AR610" i="1"/>
  <c r="AF610" i="1"/>
  <c r="T610" i="1"/>
  <c r="H610" i="1"/>
  <c r="AT610" i="1" s="1"/>
  <c r="AQ610" i="1"/>
  <c r="AE610" i="1"/>
  <c r="S610" i="1"/>
  <c r="G610" i="1"/>
  <c r="AP610" i="1"/>
  <c r="AD610" i="1"/>
  <c r="R610" i="1"/>
  <c r="F610" i="1"/>
  <c r="AO610" i="1"/>
  <c r="Q610" i="1"/>
  <c r="E610" i="1"/>
  <c r="AN610" i="1"/>
  <c r="AB610" i="1"/>
  <c r="D610" i="1"/>
  <c r="AY610" i="1"/>
  <c r="AM610" i="1"/>
  <c r="AA610" i="1"/>
  <c r="O610" i="1"/>
  <c r="P610" i="1" s="1"/>
  <c r="AL610" i="1"/>
  <c r="Z610" i="1"/>
  <c r="N610" i="1"/>
  <c r="AK610" i="1"/>
  <c r="Y610" i="1"/>
  <c r="M610" i="1"/>
  <c r="AJ610" i="1"/>
  <c r="X610" i="1"/>
  <c r="AS617" i="1"/>
  <c r="AG617" i="1"/>
  <c r="U617" i="1"/>
  <c r="I617" i="1"/>
  <c r="AR617" i="1"/>
  <c r="AF617" i="1"/>
  <c r="T617" i="1"/>
  <c r="H617" i="1"/>
  <c r="AT617" i="1" s="1"/>
  <c r="AQ617" i="1"/>
  <c r="AE617" i="1"/>
  <c r="S617" i="1"/>
  <c r="G617" i="1"/>
  <c r="AP617" i="1"/>
  <c r="AD617" i="1"/>
  <c r="R617" i="1"/>
  <c r="F617" i="1"/>
  <c r="AO617" i="1"/>
  <c r="Q617" i="1"/>
  <c r="E617" i="1"/>
  <c r="AN617" i="1"/>
  <c r="AB617" i="1"/>
  <c r="D617" i="1"/>
  <c r="AY617" i="1"/>
  <c r="AM617" i="1"/>
  <c r="AA617" i="1"/>
  <c r="O617" i="1"/>
  <c r="P617" i="1" s="1"/>
  <c r="AL617" i="1"/>
  <c r="Z617" i="1"/>
  <c r="N617" i="1"/>
  <c r="AK617" i="1"/>
  <c r="Y617" i="1"/>
  <c r="M617" i="1"/>
  <c r="AJ617" i="1"/>
  <c r="X617" i="1"/>
  <c r="AI617" i="1"/>
  <c r="W617" i="1"/>
  <c r="K617" i="1"/>
  <c r="L617" i="1" s="1"/>
  <c r="AH617" i="1"/>
  <c r="V617" i="1"/>
  <c r="J617" i="1"/>
  <c r="AO601" i="1"/>
  <c r="Q601" i="1"/>
  <c r="E601" i="1"/>
  <c r="AN601" i="1"/>
  <c r="AB601" i="1"/>
  <c r="D601" i="1"/>
  <c r="AY601" i="1"/>
  <c r="AM601" i="1"/>
  <c r="AA601" i="1"/>
  <c r="O601" i="1"/>
  <c r="P601" i="1" s="1"/>
  <c r="AL601" i="1"/>
  <c r="Z601" i="1"/>
  <c r="N601" i="1"/>
  <c r="AK601" i="1"/>
  <c r="Y601" i="1"/>
  <c r="M601" i="1"/>
  <c r="AJ601" i="1"/>
  <c r="X601" i="1"/>
  <c r="AI601" i="1"/>
  <c r="W601" i="1"/>
  <c r="K601" i="1"/>
  <c r="L601" i="1" s="1"/>
  <c r="AH601" i="1"/>
  <c r="V601" i="1"/>
  <c r="J601" i="1"/>
  <c r="AS601" i="1"/>
  <c r="AG601" i="1"/>
  <c r="U601" i="1"/>
  <c r="I601" i="1"/>
  <c r="AR601" i="1"/>
  <c r="AF601" i="1"/>
  <c r="T601" i="1"/>
  <c r="H601" i="1"/>
  <c r="AT601" i="1" s="1"/>
  <c r="AQ601" i="1"/>
  <c r="AE601" i="1"/>
  <c r="S601" i="1"/>
  <c r="G601" i="1"/>
  <c r="AP601" i="1"/>
  <c r="AD601" i="1"/>
  <c r="R601" i="1"/>
  <c r="F601" i="1"/>
  <c r="AL629" i="1"/>
  <c r="Z629" i="1"/>
  <c r="N629" i="1"/>
  <c r="AK629" i="1"/>
  <c r="Y629" i="1"/>
  <c r="M629" i="1"/>
  <c r="AR629" i="1"/>
  <c r="AF629" i="1"/>
  <c r="T629" i="1"/>
  <c r="H629" i="1"/>
  <c r="AT629" i="1" s="1"/>
  <c r="AQ629" i="1"/>
  <c r="AE629" i="1"/>
  <c r="S629" i="1"/>
  <c r="G629" i="1"/>
  <c r="AM629" i="1"/>
  <c r="U629" i="1"/>
  <c r="AJ629" i="1"/>
  <c r="R629" i="1"/>
  <c r="AY629" i="1"/>
  <c r="AI629" i="1"/>
  <c r="Q629" i="1"/>
  <c r="AH629" i="1"/>
  <c r="AG629" i="1"/>
  <c r="O629" i="1"/>
  <c r="P629" i="1" s="1"/>
  <c r="AD629" i="1"/>
  <c r="K629" i="1"/>
  <c r="L629" i="1" s="1"/>
  <c r="AB629" i="1"/>
  <c r="J629" i="1"/>
  <c r="AS629" i="1"/>
  <c r="AA629" i="1"/>
  <c r="I629" i="1"/>
  <c r="AP629" i="1"/>
  <c r="X629" i="1"/>
  <c r="F629" i="1"/>
  <c r="AO629" i="1"/>
  <c r="W629" i="1"/>
  <c r="E629" i="1"/>
  <c r="AN629" i="1"/>
  <c r="V629" i="1"/>
  <c r="D629" i="1"/>
  <c r="AH637" i="1"/>
  <c r="V637" i="1"/>
  <c r="J637" i="1"/>
  <c r="AS637" i="1"/>
  <c r="AG637" i="1"/>
  <c r="U637" i="1"/>
  <c r="I637" i="1"/>
  <c r="AR637" i="1"/>
  <c r="AF637" i="1"/>
  <c r="T637" i="1"/>
  <c r="H637" i="1"/>
  <c r="AT637" i="1" s="1"/>
  <c r="AQ637" i="1"/>
  <c r="AE637" i="1"/>
  <c r="S637" i="1"/>
  <c r="G637" i="1"/>
  <c r="AP637" i="1"/>
  <c r="AD637" i="1"/>
  <c r="R637" i="1"/>
  <c r="F637" i="1"/>
  <c r="AO637" i="1"/>
  <c r="Q637" i="1"/>
  <c r="E637" i="1"/>
  <c r="AN637" i="1"/>
  <c r="AB637" i="1"/>
  <c r="D637" i="1"/>
  <c r="AY637" i="1"/>
  <c r="AM637" i="1"/>
  <c r="AA637" i="1"/>
  <c r="O637" i="1"/>
  <c r="P637" i="1" s="1"/>
  <c r="AJ637" i="1"/>
  <c r="X637" i="1"/>
  <c r="AI637" i="1"/>
  <c r="W637" i="1"/>
  <c r="K637" i="1"/>
  <c r="L637" i="1" s="1"/>
  <c r="AL637" i="1"/>
  <c r="AK637" i="1"/>
  <c r="Z637" i="1"/>
  <c r="Y637" i="1"/>
  <c r="N637" i="1"/>
  <c r="M637" i="1"/>
  <c r="AP645" i="1"/>
  <c r="AD645" i="1"/>
  <c r="R645" i="1"/>
  <c r="F645" i="1"/>
  <c r="AO645" i="1"/>
  <c r="Q645" i="1"/>
  <c r="E645" i="1"/>
  <c r="AN645" i="1"/>
  <c r="AB645" i="1"/>
  <c r="D645" i="1"/>
  <c r="AY645" i="1"/>
  <c r="AM645" i="1"/>
  <c r="AA645" i="1"/>
  <c r="O645" i="1"/>
  <c r="P645" i="1" s="1"/>
  <c r="AL645" i="1"/>
  <c r="Z645" i="1"/>
  <c r="N645" i="1"/>
  <c r="AK645" i="1"/>
  <c r="Y645" i="1"/>
  <c r="M645" i="1"/>
  <c r="AJ645" i="1"/>
  <c r="X645" i="1"/>
  <c r="AI645" i="1"/>
  <c r="W645" i="1"/>
  <c r="K645" i="1"/>
  <c r="L645" i="1" s="1"/>
  <c r="AH645" i="1"/>
  <c r="V645" i="1"/>
  <c r="J645" i="1"/>
  <c r="AS645" i="1"/>
  <c r="AG645" i="1"/>
  <c r="U645" i="1"/>
  <c r="I645" i="1"/>
  <c r="AR645" i="1"/>
  <c r="AF645" i="1"/>
  <c r="T645" i="1"/>
  <c r="H645" i="1"/>
  <c r="AT645" i="1" s="1"/>
  <c r="AQ645" i="1"/>
  <c r="AE645" i="1"/>
  <c r="S645" i="1"/>
  <c r="G645" i="1"/>
  <c r="AS666" i="1"/>
  <c r="AG666" i="1"/>
  <c r="U666" i="1"/>
  <c r="I666" i="1"/>
  <c r="AR666" i="1"/>
  <c r="AF666" i="1"/>
  <c r="T666" i="1"/>
  <c r="H666" i="1"/>
  <c r="AT666" i="1" s="1"/>
  <c r="AQ666" i="1"/>
  <c r="AE666" i="1"/>
  <c r="S666" i="1"/>
  <c r="G666" i="1"/>
  <c r="AK666" i="1"/>
  <c r="V666" i="1"/>
  <c r="D666" i="1"/>
  <c r="AY666" i="1"/>
  <c r="AJ666" i="1"/>
  <c r="R666" i="1"/>
  <c r="AI666" i="1"/>
  <c r="Q666" i="1"/>
  <c r="AH666" i="1"/>
  <c r="AD666" i="1"/>
  <c r="O666" i="1"/>
  <c r="P666" i="1" s="1"/>
  <c r="N666" i="1"/>
  <c r="AB666" i="1"/>
  <c r="M666" i="1"/>
  <c r="AP666" i="1"/>
  <c r="AA666" i="1"/>
  <c r="AO666" i="1"/>
  <c r="Z666" i="1"/>
  <c r="K666" i="1"/>
  <c r="L666" i="1" s="1"/>
  <c r="AN666" i="1"/>
  <c r="Y666" i="1"/>
  <c r="J666" i="1"/>
  <c r="AM666" i="1"/>
  <c r="X666" i="1"/>
  <c r="F666" i="1"/>
  <c r="AL666" i="1"/>
  <c r="W666" i="1"/>
  <c r="E666" i="1"/>
  <c r="AI701" i="1"/>
  <c r="W701" i="1"/>
  <c r="K701" i="1"/>
  <c r="L701" i="1" s="1"/>
  <c r="AH701" i="1"/>
  <c r="V701" i="1"/>
  <c r="J701" i="1"/>
  <c r="AS701" i="1"/>
  <c r="AG701" i="1"/>
  <c r="U701" i="1"/>
  <c r="I701" i="1"/>
  <c r="AR701" i="1"/>
  <c r="AF701" i="1"/>
  <c r="T701" i="1"/>
  <c r="H701" i="1"/>
  <c r="AT701" i="1" s="1"/>
  <c r="AQ701" i="1"/>
  <c r="AE701" i="1"/>
  <c r="S701" i="1"/>
  <c r="G701" i="1"/>
  <c r="AP701" i="1"/>
  <c r="AD701" i="1"/>
  <c r="R701" i="1"/>
  <c r="F701" i="1"/>
  <c r="AO701" i="1"/>
  <c r="Q701" i="1"/>
  <c r="E701" i="1"/>
  <c r="AN701" i="1"/>
  <c r="AB701" i="1"/>
  <c r="D701" i="1"/>
  <c r="AY701" i="1"/>
  <c r="AM701" i="1"/>
  <c r="AA701" i="1"/>
  <c r="O701" i="1"/>
  <c r="P701" i="1" s="1"/>
  <c r="AL701" i="1"/>
  <c r="Z701" i="1"/>
  <c r="N701" i="1"/>
  <c r="AK701" i="1"/>
  <c r="Y701" i="1"/>
  <c r="M701" i="1"/>
  <c r="AJ701" i="1"/>
  <c r="X701" i="1"/>
  <c r="AQ673" i="1"/>
  <c r="AE673" i="1"/>
  <c r="S673" i="1"/>
  <c r="G673" i="1"/>
  <c r="AP673" i="1"/>
  <c r="AD673" i="1"/>
  <c r="R673" i="1"/>
  <c r="F673" i="1"/>
  <c r="AO673" i="1"/>
  <c r="Q673" i="1"/>
  <c r="E673" i="1"/>
  <c r="AN673" i="1"/>
  <c r="AB673" i="1"/>
  <c r="D673" i="1"/>
  <c r="AY673" i="1"/>
  <c r="AM673" i="1"/>
  <c r="AA673" i="1"/>
  <c r="O673" i="1"/>
  <c r="P673" i="1" s="1"/>
  <c r="AL673" i="1"/>
  <c r="Z673" i="1"/>
  <c r="N673" i="1"/>
  <c r="AK673" i="1"/>
  <c r="Y673" i="1"/>
  <c r="M673" i="1"/>
  <c r="AJ673" i="1"/>
  <c r="X673" i="1"/>
  <c r="AI673" i="1"/>
  <c r="W673" i="1"/>
  <c r="K673" i="1"/>
  <c r="L673" i="1" s="1"/>
  <c r="AH673" i="1"/>
  <c r="V673" i="1"/>
  <c r="J673" i="1"/>
  <c r="AS673" i="1"/>
  <c r="AG673" i="1"/>
  <c r="U673" i="1"/>
  <c r="I673" i="1"/>
  <c r="AR673" i="1"/>
  <c r="AF673" i="1"/>
  <c r="T673" i="1"/>
  <c r="H673" i="1"/>
  <c r="AT673" i="1" s="1"/>
  <c r="AO686" i="1"/>
  <c r="Q686" i="1"/>
  <c r="E686" i="1"/>
  <c r="AN686" i="1"/>
  <c r="AB686" i="1"/>
  <c r="D686" i="1"/>
  <c r="AY686" i="1"/>
  <c r="AM686" i="1"/>
  <c r="AA686" i="1"/>
  <c r="O686" i="1"/>
  <c r="P686" i="1" s="1"/>
  <c r="AL686" i="1"/>
  <c r="Z686" i="1"/>
  <c r="N686" i="1"/>
  <c r="AK686" i="1"/>
  <c r="Y686" i="1"/>
  <c r="M686" i="1"/>
  <c r="AJ686" i="1"/>
  <c r="X686" i="1"/>
  <c r="AI686" i="1"/>
  <c r="W686" i="1"/>
  <c r="K686" i="1"/>
  <c r="L686" i="1" s="1"/>
  <c r="AH686" i="1"/>
  <c r="V686" i="1"/>
  <c r="J686" i="1"/>
  <c r="AS686" i="1"/>
  <c r="AG686" i="1"/>
  <c r="U686" i="1"/>
  <c r="I686" i="1"/>
  <c r="AR686" i="1"/>
  <c r="AF686" i="1"/>
  <c r="T686" i="1"/>
  <c r="H686" i="1"/>
  <c r="AT686" i="1" s="1"/>
  <c r="AQ686" i="1"/>
  <c r="AE686" i="1"/>
  <c r="S686" i="1"/>
  <c r="G686" i="1"/>
  <c r="AP686" i="1"/>
  <c r="AD686" i="1"/>
  <c r="R686" i="1"/>
  <c r="F686" i="1"/>
  <c r="AK714" i="1"/>
  <c r="Y714" i="1"/>
  <c r="M714" i="1"/>
  <c r="AJ714" i="1"/>
  <c r="X714" i="1"/>
  <c r="AI714" i="1"/>
  <c r="W714" i="1"/>
  <c r="K714" i="1"/>
  <c r="L714" i="1" s="1"/>
  <c r="AH714" i="1"/>
  <c r="AS714" i="1"/>
  <c r="AG714" i="1"/>
  <c r="AP714" i="1"/>
  <c r="AD714" i="1"/>
  <c r="R714" i="1"/>
  <c r="F714" i="1"/>
  <c r="AO714" i="1"/>
  <c r="T714" i="1"/>
  <c r="AN714" i="1"/>
  <c r="S714" i="1"/>
  <c r="AM714" i="1"/>
  <c r="Q714" i="1"/>
  <c r="AL714" i="1"/>
  <c r="AF714" i="1"/>
  <c r="O714" i="1"/>
  <c r="P714" i="1" s="1"/>
  <c r="AE714" i="1"/>
  <c r="N714" i="1"/>
  <c r="J714" i="1"/>
  <c r="AY714" i="1"/>
  <c r="AB714" i="1"/>
  <c r="I714" i="1"/>
  <c r="AA714" i="1"/>
  <c r="H714" i="1"/>
  <c r="AT714" i="1" s="1"/>
  <c r="Z714" i="1"/>
  <c r="G714" i="1"/>
  <c r="AR714" i="1"/>
  <c r="V714" i="1"/>
  <c r="E714" i="1"/>
  <c r="AQ714" i="1"/>
  <c r="U714" i="1"/>
  <c r="D714" i="1"/>
  <c r="AI733" i="1"/>
  <c r="W733" i="1"/>
  <c r="K733" i="1"/>
  <c r="L733" i="1" s="1"/>
  <c r="AH733" i="1"/>
  <c r="V733" i="1"/>
  <c r="J733" i="1"/>
  <c r="AS733" i="1"/>
  <c r="AG733" i="1"/>
  <c r="U733" i="1"/>
  <c r="I733" i="1"/>
  <c r="AR733" i="1"/>
  <c r="AF733" i="1"/>
  <c r="T733" i="1"/>
  <c r="H733" i="1"/>
  <c r="AT733" i="1" s="1"/>
  <c r="AQ733" i="1"/>
  <c r="AE733" i="1"/>
  <c r="S733" i="1"/>
  <c r="G733" i="1"/>
  <c r="AP733" i="1"/>
  <c r="AD733" i="1"/>
  <c r="R733" i="1"/>
  <c r="F733" i="1"/>
  <c r="AO733" i="1"/>
  <c r="Q733" i="1"/>
  <c r="E733" i="1"/>
  <c r="AN733" i="1"/>
  <c r="AB733" i="1"/>
  <c r="D733" i="1"/>
  <c r="AY733" i="1"/>
  <c r="AM733" i="1"/>
  <c r="AA733" i="1"/>
  <c r="O733" i="1"/>
  <c r="P733" i="1" s="1"/>
  <c r="AL733" i="1"/>
  <c r="Z733" i="1"/>
  <c r="N733" i="1"/>
  <c r="AK733" i="1"/>
  <c r="Y733" i="1"/>
  <c r="M733" i="1"/>
  <c r="AJ733" i="1"/>
  <c r="X733" i="1"/>
  <c r="AQ717" i="1"/>
  <c r="AE717" i="1"/>
  <c r="S717" i="1"/>
  <c r="G717" i="1"/>
  <c r="AP717" i="1"/>
  <c r="AD717" i="1"/>
  <c r="R717" i="1"/>
  <c r="F717" i="1"/>
  <c r="AO717" i="1"/>
  <c r="Q717" i="1"/>
  <c r="E717" i="1"/>
  <c r="AN717" i="1"/>
  <c r="AB717" i="1"/>
  <c r="D717" i="1"/>
  <c r="AY717" i="1"/>
  <c r="AM717" i="1"/>
  <c r="AA717" i="1"/>
  <c r="O717" i="1"/>
  <c r="P717" i="1" s="1"/>
  <c r="AL717" i="1"/>
  <c r="Z717" i="1"/>
  <c r="N717" i="1"/>
  <c r="AK717" i="1"/>
  <c r="Y717" i="1"/>
  <c r="M717" i="1"/>
  <c r="AJ717" i="1"/>
  <c r="X717" i="1"/>
  <c r="AI717" i="1"/>
  <c r="AH717" i="1"/>
  <c r="V717" i="1"/>
  <c r="AR717" i="1"/>
  <c r="AF717" i="1"/>
  <c r="T717" i="1"/>
  <c r="H717" i="1"/>
  <c r="AT717" i="1" s="1"/>
  <c r="AS717" i="1"/>
  <c r="AG717" i="1"/>
  <c r="W717" i="1"/>
  <c r="U717" i="1"/>
  <c r="K717" i="1"/>
  <c r="L717" i="1" s="1"/>
  <c r="J717" i="1"/>
  <c r="I717" i="1"/>
  <c r="AO748" i="1"/>
  <c r="Q748" i="1"/>
  <c r="E748" i="1"/>
  <c r="AN748" i="1"/>
  <c r="AB748" i="1"/>
  <c r="D748" i="1"/>
  <c r="AY748" i="1"/>
  <c r="AM748" i="1"/>
  <c r="AA748" i="1"/>
  <c r="O748" i="1"/>
  <c r="P748" i="1" s="1"/>
  <c r="AL748" i="1"/>
  <c r="Z748" i="1"/>
  <c r="N748" i="1"/>
  <c r="AK748" i="1"/>
  <c r="Y748" i="1"/>
  <c r="M748" i="1"/>
  <c r="AJ748" i="1"/>
  <c r="X748" i="1"/>
  <c r="AI748" i="1"/>
  <c r="W748" i="1"/>
  <c r="K748" i="1"/>
  <c r="L748" i="1" s="1"/>
  <c r="AH748" i="1"/>
  <c r="V748" i="1"/>
  <c r="J748" i="1"/>
  <c r="AS748" i="1"/>
  <c r="AG748" i="1"/>
  <c r="U748" i="1"/>
  <c r="I748" i="1"/>
  <c r="AR748" i="1"/>
  <c r="AF748" i="1"/>
  <c r="T748" i="1"/>
  <c r="H748" i="1"/>
  <c r="AT748" i="1" s="1"/>
  <c r="AQ748" i="1"/>
  <c r="AE748" i="1"/>
  <c r="S748" i="1"/>
  <c r="G748" i="1"/>
  <c r="AP748" i="1"/>
  <c r="AD748" i="1"/>
  <c r="R748" i="1"/>
  <c r="F748" i="1"/>
  <c r="AK780" i="1"/>
  <c r="Y780" i="1"/>
  <c r="M780" i="1"/>
  <c r="AJ780" i="1"/>
  <c r="X780" i="1"/>
  <c r="AI780" i="1"/>
  <c r="W780" i="1"/>
  <c r="K780" i="1"/>
  <c r="L780" i="1" s="1"/>
  <c r="AH780" i="1"/>
  <c r="V780" i="1"/>
  <c r="J780" i="1"/>
  <c r="AS780" i="1"/>
  <c r="AG780" i="1"/>
  <c r="U780" i="1"/>
  <c r="I780" i="1"/>
  <c r="AR780" i="1"/>
  <c r="AF780" i="1"/>
  <c r="T780" i="1"/>
  <c r="H780" i="1"/>
  <c r="AT780" i="1" s="1"/>
  <c r="AQ780" i="1"/>
  <c r="AE780" i="1"/>
  <c r="S780" i="1"/>
  <c r="G780" i="1"/>
  <c r="AP780" i="1"/>
  <c r="AD780" i="1"/>
  <c r="R780" i="1"/>
  <c r="F780" i="1"/>
  <c r="AO780" i="1"/>
  <c r="Q780" i="1"/>
  <c r="E780" i="1"/>
  <c r="AN780" i="1"/>
  <c r="AB780" i="1"/>
  <c r="D780" i="1"/>
  <c r="AY780" i="1"/>
  <c r="AM780" i="1"/>
  <c r="AA780" i="1"/>
  <c r="O780" i="1"/>
  <c r="P780" i="1" s="1"/>
  <c r="AL780" i="1"/>
  <c r="Z780" i="1"/>
  <c r="N780" i="1"/>
  <c r="AS776" i="1"/>
  <c r="AG776" i="1"/>
  <c r="U776" i="1"/>
  <c r="I776" i="1"/>
  <c r="AR776" i="1"/>
  <c r="AF776" i="1"/>
  <c r="T776" i="1"/>
  <c r="H776" i="1"/>
  <c r="AT776" i="1" s="1"/>
  <c r="AQ776" i="1"/>
  <c r="AE776" i="1"/>
  <c r="S776" i="1"/>
  <c r="G776" i="1"/>
  <c r="AP776" i="1"/>
  <c r="AD776" i="1"/>
  <c r="R776" i="1"/>
  <c r="F776" i="1"/>
  <c r="AO776" i="1"/>
  <c r="Q776" i="1"/>
  <c r="E776" i="1"/>
  <c r="AN776" i="1"/>
  <c r="AB776" i="1"/>
  <c r="D776" i="1"/>
  <c r="AY776" i="1"/>
  <c r="AM776" i="1"/>
  <c r="AA776" i="1"/>
  <c r="O776" i="1"/>
  <c r="P776" i="1" s="1"/>
  <c r="AL776" i="1"/>
  <c r="Z776" i="1"/>
  <c r="N776" i="1"/>
  <c r="AK776" i="1"/>
  <c r="Y776" i="1"/>
  <c r="M776" i="1"/>
  <c r="AJ776" i="1"/>
  <c r="X776" i="1"/>
  <c r="AI776" i="1"/>
  <c r="W776" i="1"/>
  <c r="K776" i="1"/>
  <c r="L776" i="1" s="1"/>
  <c r="AH776" i="1"/>
  <c r="V776" i="1"/>
  <c r="J776" i="1"/>
  <c r="AP797" i="1"/>
  <c r="AD797" i="1"/>
  <c r="R797" i="1"/>
  <c r="F797" i="1"/>
  <c r="AN797" i="1"/>
  <c r="AB797" i="1"/>
  <c r="D797" i="1"/>
  <c r="AY797" i="1"/>
  <c r="AK797" i="1"/>
  <c r="W797" i="1"/>
  <c r="I797" i="1"/>
  <c r="AJ797" i="1"/>
  <c r="V797" i="1"/>
  <c r="H797" i="1"/>
  <c r="AT797" i="1" s="1"/>
  <c r="AI797" i="1"/>
  <c r="U797" i="1"/>
  <c r="G797" i="1"/>
  <c r="AH797" i="1"/>
  <c r="T797" i="1"/>
  <c r="E797" i="1"/>
  <c r="AG797" i="1"/>
  <c r="S797" i="1"/>
  <c r="AF797" i="1"/>
  <c r="Q797" i="1"/>
  <c r="AS797" i="1"/>
  <c r="AE797" i="1"/>
  <c r="O797" i="1"/>
  <c r="P797" i="1" s="1"/>
  <c r="AR797" i="1"/>
  <c r="N797" i="1"/>
  <c r="AQ797" i="1"/>
  <c r="AA797" i="1"/>
  <c r="M797" i="1"/>
  <c r="AO797" i="1"/>
  <c r="Z797" i="1"/>
  <c r="AM797" i="1"/>
  <c r="Y797" i="1"/>
  <c r="K797" i="1"/>
  <c r="L797" i="1" s="1"/>
  <c r="AL797" i="1"/>
  <c r="X797" i="1"/>
  <c r="J797" i="1"/>
  <c r="AY773" i="1"/>
  <c r="AM773" i="1"/>
  <c r="AA773" i="1"/>
  <c r="O773" i="1"/>
  <c r="P773" i="1" s="1"/>
  <c r="AL773" i="1"/>
  <c r="Z773" i="1"/>
  <c r="N773" i="1"/>
  <c r="AK773" i="1"/>
  <c r="Y773" i="1"/>
  <c r="M773" i="1"/>
  <c r="AJ773" i="1"/>
  <c r="X773" i="1"/>
  <c r="AI773" i="1"/>
  <c r="W773" i="1"/>
  <c r="K773" i="1"/>
  <c r="L773" i="1" s="1"/>
  <c r="AH773" i="1"/>
  <c r="V773" i="1"/>
  <c r="J773" i="1"/>
  <c r="AS773" i="1"/>
  <c r="AG773" i="1"/>
  <c r="U773" i="1"/>
  <c r="I773" i="1"/>
  <c r="AR773" i="1"/>
  <c r="AF773" i="1"/>
  <c r="T773" i="1"/>
  <c r="H773" i="1"/>
  <c r="AT773" i="1" s="1"/>
  <c r="AQ773" i="1"/>
  <c r="AE773" i="1"/>
  <c r="S773" i="1"/>
  <c r="G773" i="1"/>
  <c r="AP773" i="1"/>
  <c r="AD773" i="1"/>
  <c r="R773" i="1"/>
  <c r="F773" i="1"/>
  <c r="AO773" i="1"/>
  <c r="Q773" i="1"/>
  <c r="E773" i="1"/>
  <c r="AN773" i="1"/>
  <c r="AB773" i="1"/>
  <c r="D773" i="1"/>
  <c r="AJ812" i="1"/>
  <c r="X812" i="1"/>
  <c r="AI812" i="1"/>
  <c r="W812" i="1"/>
  <c r="K812" i="1"/>
  <c r="L812" i="1" s="1"/>
  <c r="AH812" i="1"/>
  <c r="V812" i="1"/>
  <c r="J812" i="1"/>
  <c r="AS812" i="1"/>
  <c r="AG812" i="1"/>
  <c r="U812" i="1"/>
  <c r="I812" i="1"/>
  <c r="AR812" i="1"/>
  <c r="AF812" i="1"/>
  <c r="T812" i="1"/>
  <c r="H812" i="1"/>
  <c r="AT812" i="1" s="1"/>
  <c r="AQ812" i="1"/>
  <c r="AE812" i="1"/>
  <c r="S812" i="1"/>
  <c r="G812" i="1"/>
  <c r="AP812" i="1"/>
  <c r="AD812" i="1"/>
  <c r="R812" i="1"/>
  <c r="F812" i="1"/>
  <c r="AO812" i="1"/>
  <c r="Q812" i="1"/>
  <c r="E812" i="1"/>
  <c r="AN812" i="1"/>
  <c r="AB812" i="1"/>
  <c r="D812" i="1"/>
  <c r="AY812" i="1"/>
  <c r="AM812" i="1"/>
  <c r="AA812" i="1"/>
  <c r="O812" i="1"/>
  <c r="P812" i="1" s="1"/>
  <c r="AL812" i="1"/>
  <c r="Z812" i="1"/>
  <c r="N812" i="1"/>
  <c r="AK812" i="1"/>
  <c r="Y812" i="1"/>
  <c r="M812" i="1"/>
  <c r="AJ842" i="1"/>
  <c r="X842" i="1"/>
  <c r="AI842" i="1"/>
  <c r="AH842" i="1"/>
  <c r="V842" i="1"/>
  <c r="J842" i="1"/>
  <c r="AO842" i="1"/>
  <c r="Q842" i="1"/>
  <c r="E842" i="1"/>
  <c r="AQ842" i="1"/>
  <c r="AA842" i="1"/>
  <c r="K842" i="1"/>
  <c r="L842" i="1" s="1"/>
  <c r="AP842" i="1"/>
  <c r="Z842" i="1"/>
  <c r="I842" i="1"/>
  <c r="AN842" i="1"/>
  <c r="Y842" i="1"/>
  <c r="H842" i="1"/>
  <c r="AT842" i="1" s="1"/>
  <c r="AM842" i="1"/>
  <c r="W842" i="1"/>
  <c r="G842" i="1"/>
  <c r="AL842" i="1"/>
  <c r="U842" i="1"/>
  <c r="F842" i="1"/>
  <c r="AK842" i="1"/>
  <c r="T842" i="1"/>
  <c r="D842" i="1"/>
  <c r="AG842" i="1"/>
  <c r="S842" i="1"/>
  <c r="AY842" i="1"/>
  <c r="AF842" i="1"/>
  <c r="R842" i="1"/>
  <c r="AE842" i="1"/>
  <c r="AD842" i="1"/>
  <c r="O842" i="1"/>
  <c r="P842" i="1" s="1"/>
  <c r="AS842" i="1"/>
  <c r="N842" i="1"/>
  <c r="AR842" i="1"/>
  <c r="AB842" i="1"/>
  <c r="M842" i="1"/>
  <c r="AP827" i="1"/>
  <c r="AD827" i="1"/>
  <c r="R827" i="1"/>
  <c r="F827" i="1"/>
  <c r="AO827" i="1"/>
  <c r="Q827" i="1"/>
  <c r="E827" i="1"/>
  <c r="AN827" i="1"/>
  <c r="AB827" i="1"/>
  <c r="D827" i="1"/>
  <c r="AY827" i="1"/>
  <c r="AM827" i="1"/>
  <c r="AA827" i="1"/>
  <c r="O827" i="1"/>
  <c r="P827" i="1" s="1"/>
  <c r="AL827" i="1"/>
  <c r="Z827" i="1"/>
  <c r="N827" i="1"/>
  <c r="AK827" i="1"/>
  <c r="Y827" i="1"/>
  <c r="M827" i="1"/>
  <c r="AJ827" i="1"/>
  <c r="X827" i="1"/>
  <c r="AI827" i="1"/>
  <c r="W827" i="1"/>
  <c r="K827" i="1"/>
  <c r="L827" i="1" s="1"/>
  <c r="AH827" i="1"/>
  <c r="V827" i="1"/>
  <c r="J827" i="1"/>
  <c r="AS827" i="1"/>
  <c r="AG827" i="1"/>
  <c r="U827" i="1"/>
  <c r="I827" i="1"/>
  <c r="AR827" i="1"/>
  <c r="AF827" i="1"/>
  <c r="T827" i="1"/>
  <c r="H827" i="1"/>
  <c r="AT827" i="1" s="1"/>
  <c r="AQ827" i="1"/>
  <c r="AE827" i="1"/>
  <c r="S827" i="1"/>
  <c r="G827" i="1"/>
  <c r="AL853" i="1"/>
  <c r="Z853" i="1"/>
  <c r="N853" i="1"/>
  <c r="AK853" i="1"/>
  <c r="Y853" i="1"/>
  <c r="M853" i="1"/>
  <c r="AJ853" i="1"/>
  <c r="X853" i="1"/>
  <c r="AI853" i="1"/>
  <c r="W853" i="1"/>
  <c r="K853" i="1"/>
  <c r="L853" i="1" s="1"/>
  <c r="AH853" i="1"/>
  <c r="V853" i="1"/>
  <c r="J853" i="1"/>
  <c r="AS853" i="1"/>
  <c r="AG853" i="1"/>
  <c r="U853" i="1"/>
  <c r="I853" i="1"/>
  <c r="AR853" i="1"/>
  <c r="AF853" i="1"/>
  <c r="T853" i="1"/>
  <c r="H853" i="1"/>
  <c r="AT853" i="1" s="1"/>
  <c r="AQ853" i="1"/>
  <c r="AE853" i="1"/>
  <c r="S853" i="1"/>
  <c r="G853" i="1"/>
  <c r="AP853" i="1"/>
  <c r="AD853" i="1"/>
  <c r="R853" i="1"/>
  <c r="F853" i="1"/>
  <c r="AO853" i="1"/>
  <c r="Q853" i="1"/>
  <c r="E853" i="1"/>
  <c r="AN853" i="1"/>
  <c r="AB853" i="1"/>
  <c r="D853" i="1"/>
  <c r="AY853" i="1"/>
  <c r="AM853" i="1"/>
  <c r="AA853" i="1"/>
  <c r="O853" i="1"/>
  <c r="P853" i="1" s="1"/>
  <c r="AH849" i="1"/>
  <c r="V849" i="1"/>
  <c r="J849" i="1"/>
  <c r="AS849" i="1"/>
  <c r="AG849" i="1"/>
  <c r="U849" i="1"/>
  <c r="I849" i="1"/>
  <c r="AR849" i="1"/>
  <c r="AF849" i="1"/>
  <c r="T849" i="1"/>
  <c r="H849" i="1"/>
  <c r="AT849" i="1" s="1"/>
  <c r="AQ849" i="1"/>
  <c r="AE849" i="1"/>
  <c r="S849" i="1"/>
  <c r="G849" i="1"/>
  <c r="AP849" i="1"/>
  <c r="AD849" i="1"/>
  <c r="R849" i="1"/>
  <c r="F849" i="1"/>
  <c r="AO849" i="1"/>
  <c r="Q849" i="1"/>
  <c r="E849" i="1"/>
  <c r="AN849" i="1"/>
  <c r="AB849" i="1"/>
  <c r="D849" i="1"/>
  <c r="AY849" i="1"/>
  <c r="AM849" i="1"/>
  <c r="AA849" i="1"/>
  <c r="O849" i="1"/>
  <c r="P849" i="1" s="1"/>
  <c r="AJ849" i="1"/>
  <c r="X849" i="1"/>
  <c r="AI849" i="1"/>
  <c r="W849" i="1"/>
  <c r="AL849" i="1"/>
  <c r="AK849" i="1"/>
  <c r="Z849" i="1"/>
  <c r="Y849" i="1"/>
  <c r="N849" i="1"/>
  <c r="M849" i="1"/>
  <c r="K849" i="1"/>
  <c r="L849" i="1" s="1"/>
  <c r="AR874" i="1"/>
  <c r="AF874" i="1"/>
  <c r="T874" i="1"/>
  <c r="H874" i="1"/>
  <c r="AT874" i="1" s="1"/>
  <c r="AQ874" i="1"/>
  <c r="AE874" i="1"/>
  <c r="S874" i="1"/>
  <c r="G874" i="1"/>
  <c r="AP874" i="1"/>
  <c r="AD874" i="1"/>
  <c r="R874" i="1"/>
  <c r="F874" i="1"/>
  <c r="AO874" i="1"/>
  <c r="Q874" i="1"/>
  <c r="E874" i="1"/>
  <c r="AN874" i="1"/>
  <c r="AB874" i="1"/>
  <c r="D874" i="1"/>
  <c r="AY874" i="1"/>
  <c r="AM874" i="1"/>
  <c r="AA874" i="1"/>
  <c r="O874" i="1"/>
  <c r="P874" i="1" s="1"/>
  <c r="AL874" i="1"/>
  <c r="Z874" i="1"/>
  <c r="N874" i="1"/>
  <c r="AK874" i="1"/>
  <c r="Y874" i="1"/>
  <c r="M874" i="1"/>
  <c r="AJ874" i="1"/>
  <c r="X874" i="1"/>
  <c r="AI874" i="1"/>
  <c r="W874" i="1"/>
  <c r="K874" i="1"/>
  <c r="L874" i="1" s="1"/>
  <c r="AH874" i="1"/>
  <c r="V874" i="1"/>
  <c r="J874" i="1"/>
  <c r="AS874" i="1"/>
  <c r="AG874" i="1"/>
  <c r="U874" i="1"/>
  <c r="I874" i="1"/>
  <c r="AN864" i="1"/>
  <c r="AB864" i="1"/>
  <c r="D864" i="1"/>
  <c r="AY864" i="1"/>
  <c r="AM864" i="1"/>
  <c r="AA864" i="1"/>
  <c r="O864" i="1"/>
  <c r="P864" i="1" s="1"/>
  <c r="AL864" i="1"/>
  <c r="Z864" i="1"/>
  <c r="N864" i="1"/>
  <c r="AK864" i="1"/>
  <c r="Y864" i="1"/>
  <c r="M864" i="1"/>
  <c r="AJ864" i="1"/>
  <c r="X864" i="1"/>
  <c r="AI864" i="1"/>
  <c r="W864" i="1"/>
  <c r="K864" i="1"/>
  <c r="L864" i="1" s="1"/>
  <c r="AH864" i="1"/>
  <c r="V864" i="1"/>
  <c r="J864" i="1"/>
  <c r="AS864" i="1"/>
  <c r="AG864" i="1"/>
  <c r="U864" i="1"/>
  <c r="I864" i="1"/>
  <c r="AR864" i="1"/>
  <c r="AF864" i="1"/>
  <c r="T864" i="1"/>
  <c r="H864" i="1"/>
  <c r="AT864" i="1" s="1"/>
  <c r="AQ864" i="1"/>
  <c r="AE864" i="1"/>
  <c r="S864" i="1"/>
  <c r="G864" i="1"/>
  <c r="AP864" i="1"/>
  <c r="AD864" i="1"/>
  <c r="R864" i="1"/>
  <c r="F864" i="1"/>
  <c r="AO864" i="1"/>
  <c r="Q864" i="1"/>
  <c r="E864" i="1"/>
  <c r="AR911" i="1"/>
  <c r="AF911" i="1"/>
  <c r="T911" i="1"/>
  <c r="AP911" i="1"/>
  <c r="AD911" i="1"/>
  <c r="AM911" i="1"/>
  <c r="Y911" i="1"/>
  <c r="AL911" i="1"/>
  <c r="X911" i="1"/>
  <c r="K911" i="1"/>
  <c r="L911" i="1" s="1"/>
  <c r="AY911" i="1"/>
  <c r="AK911" i="1"/>
  <c r="W911" i="1"/>
  <c r="J911" i="1"/>
  <c r="AJ911" i="1"/>
  <c r="V911" i="1"/>
  <c r="I911" i="1"/>
  <c r="AI911" i="1"/>
  <c r="U911" i="1"/>
  <c r="H911" i="1"/>
  <c r="AT911" i="1" s="1"/>
  <c r="AH911" i="1"/>
  <c r="S911" i="1"/>
  <c r="G911" i="1"/>
  <c r="AG911" i="1"/>
  <c r="R911" i="1"/>
  <c r="F911" i="1"/>
  <c r="AE911" i="1"/>
  <c r="Q911" i="1"/>
  <c r="E911" i="1"/>
  <c r="AS911" i="1"/>
  <c r="D911" i="1"/>
  <c r="AQ911" i="1"/>
  <c r="AB911" i="1"/>
  <c r="O911" i="1"/>
  <c r="P911" i="1" s="1"/>
  <c r="AO911" i="1"/>
  <c r="AA911" i="1"/>
  <c r="N911" i="1"/>
  <c r="AN911" i="1"/>
  <c r="Z911" i="1"/>
  <c r="M911" i="1"/>
  <c r="AP918" i="1"/>
  <c r="AD918" i="1"/>
  <c r="R918" i="1"/>
  <c r="F918" i="1"/>
  <c r="AN918" i="1"/>
  <c r="AB918" i="1"/>
  <c r="D918" i="1"/>
  <c r="AI918" i="1"/>
  <c r="W918" i="1"/>
  <c r="K918" i="1"/>
  <c r="L918" i="1" s="1"/>
  <c r="AQ918" i="1"/>
  <c r="Z918" i="1"/>
  <c r="J918" i="1"/>
  <c r="AO918" i="1"/>
  <c r="Y918" i="1"/>
  <c r="I918" i="1"/>
  <c r="AM918" i="1"/>
  <c r="X918" i="1"/>
  <c r="H918" i="1"/>
  <c r="AT918" i="1" s="1"/>
  <c r="AL918" i="1"/>
  <c r="V918" i="1"/>
  <c r="G918" i="1"/>
  <c r="AK918" i="1"/>
  <c r="U918" i="1"/>
  <c r="E918" i="1"/>
  <c r="AY918" i="1"/>
  <c r="AJ918" i="1"/>
  <c r="T918" i="1"/>
  <c r="AH918" i="1"/>
  <c r="S918" i="1"/>
  <c r="AG918" i="1"/>
  <c r="Q918" i="1"/>
  <c r="AF918" i="1"/>
  <c r="O918" i="1"/>
  <c r="P918" i="1" s="1"/>
  <c r="AE918" i="1"/>
  <c r="N918" i="1"/>
  <c r="AS918" i="1"/>
  <c r="M918" i="1"/>
  <c r="AR918" i="1"/>
  <c r="AA918" i="1"/>
  <c r="AN909" i="1"/>
  <c r="AB909" i="1"/>
  <c r="D909" i="1"/>
  <c r="AY909" i="1"/>
  <c r="AM909" i="1"/>
  <c r="AA909" i="1"/>
  <c r="O909" i="1"/>
  <c r="P909" i="1" s="1"/>
  <c r="AL909" i="1"/>
  <c r="Z909" i="1"/>
  <c r="N909" i="1"/>
  <c r="AK909" i="1"/>
  <c r="Y909" i="1"/>
  <c r="M909" i="1"/>
  <c r="AJ909" i="1"/>
  <c r="X909" i="1"/>
  <c r="AI909" i="1"/>
  <c r="W909" i="1"/>
  <c r="K909" i="1"/>
  <c r="L909" i="1" s="1"/>
  <c r="AH909" i="1"/>
  <c r="V909" i="1"/>
  <c r="J909" i="1"/>
  <c r="AS909" i="1"/>
  <c r="AG909" i="1"/>
  <c r="U909" i="1"/>
  <c r="I909" i="1"/>
  <c r="AR909" i="1"/>
  <c r="AF909" i="1"/>
  <c r="T909" i="1"/>
  <c r="H909" i="1"/>
  <c r="AT909" i="1" s="1"/>
  <c r="AQ909" i="1"/>
  <c r="AE909" i="1"/>
  <c r="S909" i="1"/>
  <c r="G909" i="1"/>
  <c r="AP909" i="1"/>
  <c r="AD909" i="1"/>
  <c r="R909" i="1"/>
  <c r="F909" i="1"/>
  <c r="AO909" i="1"/>
  <c r="Q909" i="1"/>
  <c r="E909" i="1"/>
  <c r="AL945" i="1"/>
  <c r="Z945" i="1"/>
  <c r="N945" i="1"/>
  <c r="AJ945" i="1"/>
  <c r="X945" i="1"/>
  <c r="AI945" i="1"/>
  <c r="W945" i="1"/>
  <c r="AR945" i="1"/>
  <c r="AQ945" i="1"/>
  <c r="AE945" i="1"/>
  <c r="S945" i="1"/>
  <c r="G945" i="1"/>
  <c r="AD945" i="1"/>
  <c r="M945" i="1"/>
  <c r="K945" i="1"/>
  <c r="L945" i="1" s="1"/>
  <c r="AB945" i="1"/>
  <c r="J945" i="1"/>
  <c r="AS945" i="1"/>
  <c r="AA945" i="1"/>
  <c r="I945" i="1"/>
  <c r="AP945" i="1"/>
  <c r="Y945" i="1"/>
  <c r="H945" i="1"/>
  <c r="AT945" i="1" s="1"/>
  <c r="AO945" i="1"/>
  <c r="V945" i="1"/>
  <c r="F945" i="1"/>
  <c r="AN945" i="1"/>
  <c r="U945" i="1"/>
  <c r="E945" i="1"/>
  <c r="AM945" i="1"/>
  <c r="T945" i="1"/>
  <c r="D945" i="1"/>
  <c r="AK945" i="1"/>
  <c r="R945" i="1"/>
  <c r="AH945" i="1"/>
  <c r="Q945" i="1"/>
  <c r="AG945" i="1"/>
  <c r="AY945" i="1"/>
  <c r="AF945" i="1"/>
  <c r="O945" i="1"/>
  <c r="P945" i="1" s="1"/>
  <c r="AP930" i="1"/>
  <c r="AD930" i="1"/>
  <c r="R930" i="1"/>
  <c r="F930" i="1"/>
  <c r="AO930" i="1"/>
  <c r="Q930" i="1"/>
  <c r="E930" i="1"/>
  <c r="AN930" i="1"/>
  <c r="AB930" i="1"/>
  <c r="D930" i="1"/>
  <c r="AY930" i="1"/>
  <c r="AM930" i="1"/>
  <c r="AA930" i="1"/>
  <c r="O930" i="1"/>
  <c r="P930" i="1" s="1"/>
  <c r="AL930" i="1"/>
  <c r="Z930" i="1"/>
  <c r="N930" i="1"/>
  <c r="AK930" i="1"/>
  <c r="Y930" i="1"/>
  <c r="M930" i="1"/>
  <c r="AJ930" i="1"/>
  <c r="X930" i="1"/>
  <c r="AI930" i="1"/>
  <c r="W930" i="1"/>
  <c r="K930" i="1"/>
  <c r="L930" i="1" s="1"/>
  <c r="AH930" i="1"/>
  <c r="V930" i="1"/>
  <c r="J930" i="1"/>
  <c r="AS930" i="1"/>
  <c r="AG930" i="1"/>
  <c r="U930" i="1"/>
  <c r="I930" i="1"/>
  <c r="AR930" i="1"/>
  <c r="AF930" i="1"/>
  <c r="T930" i="1"/>
  <c r="H930" i="1"/>
  <c r="AT930" i="1" s="1"/>
  <c r="AQ930" i="1"/>
  <c r="AE930" i="1"/>
  <c r="S930" i="1"/>
  <c r="G930" i="1"/>
  <c r="AJ952" i="1"/>
  <c r="X952" i="1"/>
  <c r="AI952" i="1"/>
  <c r="W952" i="1"/>
  <c r="K952" i="1"/>
  <c r="L952" i="1" s="1"/>
  <c r="AH952" i="1"/>
  <c r="V952" i="1"/>
  <c r="J952" i="1"/>
  <c r="AS952" i="1"/>
  <c r="AG952" i="1"/>
  <c r="U952" i="1"/>
  <c r="I952" i="1"/>
  <c r="AR952" i="1"/>
  <c r="AF952" i="1"/>
  <c r="T952" i="1"/>
  <c r="H952" i="1"/>
  <c r="AT952" i="1" s="1"/>
  <c r="AQ952" i="1"/>
  <c r="AE952" i="1"/>
  <c r="S952" i="1"/>
  <c r="G952" i="1"/>
  <c r="AP952" i="1"/>
  <c r="AD952" i="1"/>
  <c r="R952" i="1"/>
  <c r="F952" i="1"/>
  <c r="AO952" i="1"/>
  <c r="Q952" i="1"/>
  <c r="E952" i="1"/>
  <c r="AN952" i="1"/>
  <c r="AB952" i="1"/>
  <c r="D952" i="1"/>
  <c r="AY952" i="1"/>
  <c r="AM952" i="1"/>
  <c r="AA952" i="1"/>
  <c r="O952" i="1"/>
  <c r="P952" i="1" s="1"/>
  <c r="AL952" i="1"/>
  <c r="Z952" i="1"/>
  <c r="N952" i="1"/>
  <c r="Y952" i="1"/>
  <c r="M952" i="1"/>
  <c r="AK952" i="1"/>
  <c r="AI980" i="1"/>
  <c r="W980" i="1"/>
  <c r="K980" i="1"/>
  <c r="L980" i="1" s="1"/>
  <c r="AH980" i="1"/>
  <c r="V980" i="1"/>
  <c r="J980" i="1"/>
  <c r="AR980" i="1"/>
  <c r="AF980" i="1"/>
  <c r="T980" i="1"/>
  <c r="H980" i="1"/>
  <c r="AT980" i="1" s="1"/>
  <c r="AQ980" i="1"/>
  <c r="AE980" i="1"/>
  <c r="S980" i="1"/>
  <c r="G980" i="1"/>
  <c r="AP980" i="1"/>
  <c r="AD980" i="1"/>
  <c r="R980" i="1"/>
  <c r="F980" i="1"/>
  <c r="AO980" i="1"/>
  <c r="Q980" i="1"/>
  <c r="E980" i="1"/>
  <c r="AN980" i="1"/>
  <c r="AB980" i="1"/>
  <c r="D980" i="1"/>
  <c r="X980" i="1"/>
  <c r="U980" i="1"/>
  <c r="AS980" i="1"/>
  <c r="O980" i="1"/>
  <c r="P980" i="1" s="1"/>
  <c r="AM980" i="1"/>
  <c r="N980" i="1"/>
  <c r="AL980" i="1"/>
  <c r="M980" i="1"/>
  <c r="AK980" i="1"/>
  <c r="AJ980" i="1"/>
  <c r="I980" i="1"/>
  <c r="AG980" i="1"/>
  <c r="AA980" i="1"/>
  <c r="AY980" i="1"/>
  <c r="Z980" i="1"/>
  <c r="Y980" i="1"/>
  <c r="AN962" i="1"/>
  <c r="AB962" i="1"/>
  <c r="D962" i="1"/>
  <c r="AY962" i="1"/>
  <c r="AM962" i="1"/>
  <c r="AA962" i="1"/>
  <c r="O962" i="1"/>
  <c r="P962" i="1" s="1"/>
  <c r="AL962" i="1"/>
  <c r="Z962" i="1"/>
  <c r="N962" i="1"/>
  <c r="AK962" i="1"/>
  <c r="Y962" i="1"/>
  <c r="M962" i="1"/>
  <c r="AJ962" i="1"/>
  <c r="X962" i="1"/>
  <c r="AI962" i="1"/>
  <c r="W962" i="1"/>
  <c r="K962" i="1"/>
  <c r="L962" i="1" s="1"/>
  <c r="AH962" i="1"/>
  <c r="V962" i="1"/>
  <c r="J962" i="1"/>
  <c r="AS962" i="1"/>
  <c r="AG962" i="1"/>
  <c r="U962" i="1"/>
  <c r="I962" i="1"/>
  <c r="AR962" i="1"/>
  <c r="AF962" i="1"/>
  <c r="T962" i="1"/>
  <c r="H962" i="1"/>
  <c r="AT962" i="1" s="1"/>
  <c r="AQ962" i="1"/>
  <c r="AE962" i="1"/>
  <c r="S962" i="1"/>
  <c r="G962" i="1"/>
  <c r="AP962" i="1"/>
  <c r="AD962" i="1"/>
  <c r="R962" i="1"/>
  <c r="F962" i="1"/>
  <c r="AO962" i="1"/>
  <c r="Q962" i="1"/>
  <c r="E962" i="1"/>
  <c r="AI992" i="1"/>
  <c r="W992" i="1"/>
  <c r="K992" i="1"/>
  <c r="L992" i="1" s="1"/>
  <c r="AH992" i="1"/>
  <c r="V992" i="1"/>
  <c r="J992" i="1"/>
  <c r="AS992" i="1"/>
  <c r="AG992" i="1"/>
  <c r="U992" i="1"/>
  <c r="I992" i="1"/>
  <c r="AR992" i="1"/>
  <c r="AF992" i="1"/>
  <c r="T992" i="1"/>
  <c r="H992" i="1"/>
  <c r="AT992" i="1" s="1"/>
  <c r="AQ992" i="1"/>
  <c r="AE992" i="1"/>
  <c r="S992" i="1"/>
  <c r="G992" i="1"/>
  <c r="AP992" i="1"/>
  <c r="AD992" i="1"/>
  <c r="R992" i="1"/>
  <c r="F992" i="1"/>
  <c r="AO992" i="1"/>
  <c r="Q992" i="1"/>
  <c r="E992" i="1"/>
  <c r="AN992" i="1"/>
  <c r="AB992" i="1"/>
  <c r="D992" i="1"/>
  <c r="AY992" i="1"/>
  <c r="AM992" i="1"/>
  <c r="AA992" i="1"/>
  <c r="O992" i="1"/>
  <c r="P992" i="1" s="1"/>
  <c r="AL992" i="1"/>
  <c r="Z992" i="1"/>
  <c r="N992" i="1"/>
  <c r="AK992" i="1"/>
  <c r="Y992" i="1"/>
  <c r="M992" i="1"/>
  <c r="AJ992" i="1"/>
  <c r="X992" i="1"/>
  <c r="AP1007" i="1"/>
  <c r="AD1007" i="1"/>
  <c r="R1007" i="1"/>
  <c r="F1007" i="1"/>
  <c r="AO1007" i="1"/>
  <c r="Q1007" i="1"/>
  <c r="E1007" i="1"/>
  <c r="AL1007" i="1"/>
  <c r="Z1007" i="1"/>
  <c r="N1007" i="1"/>
  <c r="AK1007" i="1"/>
  <c r="Y1007" i="1"/>
  <c r="M1007" i="1"/>
  <c r="AJ1007" i="1"/>
  <c r="X1007" i="1"/>
  <c r="AR1007" i="1"/>
  <c r="AF1007" i="1"/>
  <c r="T1007" i="1"/>
  <c r="H1007" i="1"/>
  <c r="AT1007" i="1" s="1"/>
  <c r="AG1007" i="1"/>
  <c r="J1007" i="1"/>
  <c r="AY1007" i="1"/>
  <c r="AE1007" i="1"/>
  <c r="I1007" i="1"/>
  <c r="G1007" i="1"/>
  <c r="AB1007" i="1"/>
  <c r="D1007" i="1"/>
  <c r="AA1007" i="1"/>
  <c r="W1007" i="1"/>
  <c r="AS1007" i="1"/>
  <c r="V1007" i="1"/>
  <c r="AQ1007" i="1"/>
  <c r="U1007" i="1"/>
  <c r="AN1007" i="1"/>
  <c r="S1007" i="1"/>
  <c r="AM1007" i="1"/>
  <c r="AI1007" i="1"/>
  <c r="O1007" i="1"/>
  <c r="P1007" i="1" s="1"/>
  <c r="AH1007" i="1"/>
  <c r="K1007" i="1"/>
  <c r="L1007" i="1" s="1"/>
  <c r="AL1023" i="1"/>
  <c r="Z1023" i="1"/>
  <c r="N1023" i="1"/>
  <c r="AS1023" i="1"/>
  <c r="AN1023" i="1"/>
  <c r="AA1023" i="1"/>
  <c r="M1023" i="1"/>
  <c r="AM1023" i="1"/>
  <c r="Y1023" i="1"/>
  <c r="AJ1023" i="1"/>
  <c r="W1023" i="1"/>
  <c r="J1023" i="1"/>
  <c r="AI1023" i="1"/>
  <c r="V1023" i="1"/>
  <c r="I1023" i="1"/>
  <c r="AH1023" i="1"/>
  <c r="U1023" i="1"/>
  <c r="H1023" i="1"/>
  <c r="AT1023" i="1" s="1"/>
  <c r="AG1023" i="1"/>
  <c r="T1023" i="1"/>
  <c r="G1023" i="1"/>
  <c r="AF1023" i="1"/>
  <c r="S1023" i="1"/>
  <c r="F1023" i="1"/>
  <c r="AR1023" i="1"/>
  <c r="AE1023" i="1"/>
  <c r="R1023" i="1"/>
  <c r="E1023" i="1"/>
  <c r="AQ1023" i="1"/>
  <c r="AD1023" i="1"/>
  <c r="Q1023" i="1"/>
  <c r="D1023" i="1"/>
  <c r="AP1023" i="1"/>
  <c r="AB1023" i="1"/>
  <c r="X1023" i="1"/>
  <c r="O1023" i="1"/>
  <c r="P1023" i="1" s="1"/>
  <c r="K1023" i="1"/>
  <c r="L1023" i="1" s="1"/>
  <c r="AY1023" i="1"/>
  <c r="AO1023" i="1"/>
  <c r="AK1023" i="1"/>
  <c r="AR1012" i="1"/>
  <c r="AF1012" i="1"/>
  <c r="T1012" i="1"/>
  <c r="H1012" i="1"/>
  <c r="AT1012" i="1" s="1"/>
  <c r="AQ1012" i="1"/>
  <c r="AE1012" i="1"/>
  <c r="S1012" i="1"/>
  <c r="G1012" i="1"/>
  <c r="AN1012" i="1"/>
  <c r="AB1012" i="1"/>
  <c r="D1012" i="1"/>
  <c r="AY1012" i="1"/>
  <c r="AM1012" i="1"/>
  <c r="AA1012" i="1"/>
  <c r="O1012" i="1"/>
  <c r="P1012" i="1" s="1"/>
  <c r="AL1012" i="1"/>
  <c r="Z1012" i="1"/>
  <c r="N1012" i="1"/>
  <c r="AK1012" i="1"/>
  <c r="Y1012" i="1"/>
  <c r="M1012" i="1"/>
  <c r="AJ1012" i="1"/>
  <c r="X1012" i="1"/>
  <c r="AI1012" i="1"/>
  <c r="W1012" i="1"/>
  <c r="K1012" i="1"/>
  <c r="L1012" i="1" s="1"/>
  <c r="AH1012" i="1"/>
  <c r="V1012" i="1"/>
  <c r="J1012" i="1"/>
  <c r="E1012" i="1"/>
  <c r="AS1012" i="1"/>
  <c r="AP1012" i="1"/>
  <c r="AO1012" i="1"/>
  <c r="AG1012" i="1"/>
  <c r="AD1012" i="1"/>
  <c r="U1012" i="1"/>
  <c r="R1012" i="1"/>
  <c r="Q1012" i="1"/>
  <c r="I1012" i="1"/>
  <c r="F1012" i="1"/>
  <c r="AQ1043" i="1"/>
  <c r="AE1043" i="1"/>
  <c r="AI1043" i="1"/>
  <c r="V1043" i="1"/>
  <c r="J1043" i="1"/>
  <c r="AH1043" i="1"/>
  <c r="U1043" i="1"/>
  <c r="I1043" i="1"/>
  <c r="AG1043" i="1"/>
  <c r="T1043" i="1"/>
  <c r="H1043" i="1"/>
  <c r="AT1043" i="1" s="1"/>
  <c r="AS1043" i="1"/>
  <c r="AF1043" i="1"/>
  <c r="S1043" i="1"/>
  <c r="G1043" i="1"/>
  <c r="AR1043" i="1"/>
  <c r="AD1043" i="1"/>
  <c r="R1043" i="1"/>
  <c r="F1043" i="1"/>
  <c r="AP1043" i="1"/>
  <c r="Q1043" i="1"/>
  <c r="E1043" i="1"/>
  <c r="AO1043" i="1"/>
  <c r="AB1043" i="1"/>
  <c r="D1043" i="1"/>
  <c r="AN1043" i="1"/>
  <c r="AA1043" i="1"/>
  <c r="O1043" i="1"/>
  <c r="P1043" i="1" s="1"/>
  <c r="AM1043" i="1"/>
  <c r="Z1043" i="1"/>
  <c r="N1043" i="1"/>
  <c r="AY1043" i="1"/>
  <c r="AL1043" i="1"/>
  <c r="Y1043" i="1"/>
  <c r="M1043" i="1"/>
  <c r="AK1043" i="1"/>
  <c r="X1043" i="1"/>
  <c r="AJ1043" i="1"/>
  <c r="W1043" i="1"/>
  <c r="K1043" i="1"/>
  <c r="L1043" i="1" s="1"/>
  <c r="AN1034" i="1"/>
  <c r="AB1034" i="1"/>
  <c r="D1034" i="1"/>
  <c r="AY1034" i="1"/>
  <c r="AM1034" i="1"/>
  <c r="AA1034" i="1"/>
  <c r="O1034" i="1"/>
  <c r="P1034" i="1" s="1"/>
  <c r="AL1034" i="1"/>
  <c r="Z1034" i="1"/>
  <c r="N1034" i="1"/>
  <c r="AK1034" i="1"/>
  <c r="Y1034" i="1"/>
  <c r="M1034" i="1"/>
  <c r="AJ1034" i="1"/>
  <c r="X1034" i="1"/>
  <c r="AI1034" i="1"/>
  <c r="W1034" i="1"/>
  <c r="K1034" i="1"/>
  <c r="L1034" i="1" s="1"/>
  <c r="AH1034" i="1"/>
  <c r="V1034" i="1"/>
  <c r="J1034" i="1"/>
  <c r="AS1034" i="1"/>
  <c r="AG1034" i="1"/>
  <c r="U1034" i="1"/>
  <c r="I1034" i="1"/>
  <c r="AR1034" i="1"/>
  <c r="AF1034" i="1"/>
  <c r="T1034" i="1"/>
  <c r="H1034" i="1"/>
  <c r="AT1034" i="1" s="1"/>
  <c r="AQ1034" i="1"/>
  <c r="AE1034" i="1"/>
  <c r="S1034" i="1"/>
  <c r="G1034" i="1"/>
  <c r="AP1034" i="1"/>
  <c r="AD1034" i="1"/>
  <c r="R1034" i="1"/>
  <c r="F1034" i="1"/>
  <c r="AO1034" i="1"/>
  <c r="Q1034" i="1"/>
  <c r="E1034" i="1"/>
  <c r="AL1078" i="1"/>
  <c r="Z1078" i="1"/>
  <c r="N1078" i="1"/>
  <c r="AK1078" i="1"/>
  <c r="Y1078" i="1"/>
  <c r="M1078" i="1"/>
  <c r="AJ1078" i="1"/>
  <c r="X1078" i="1"/>
  <c r="AI1078" i="1"/>
  <c r="W1078" i="1"/>
  <c r="K1078" i="1"/>
  <c r="L1078" i="1" s="1"/>
  <c r="AH1078" i="1"/>
  <c r="V1078" i="1"/>
  <c r="J1078" i="1"/>
  <c r="AS1078" i="1"/>
  <c r="AG1078" i="1"/>
  <c r="U1078" i="1"/>
  <c r="I1078" i="1"/>
  <c r="AR1078" i="1"/>
  <c r="AF1078" i="1"/>
  <c r="T1078" i="1"/>
  <c r="H1078" i="1"/>
  <c r="AT1078" i="1" s="1"/>
  <c r="AQ1078" i="1"/>
  <c r="AE1078" i="1"/>
  <c r="S1078" i="1"/>
  <c r="G1078" i="1"/>
  <c r="AP1078" i="1"/>
  <c r="AD1078" i="1"/>
  <c r="R1078" i="1"/>
  <c r="F1078" i="1"/>
  <c r="AO1078" i="1"/>
  <c r="Q1078" i="1"/>
  <c r="E1078" i="1"/>
  <c r="AN1078" i="1"/>
  <c r="AB1078" i="1"/>
  <c r="D1078" i="1"/>
  <c r="AM1078" i="1"/>
  <c r="AA1078" i="1"/>
  <c r="O1078" i="1"/>
  <c r="P1078" i="1" s="1"/>
  <c r="AY1078" i="1"/>
  <c r="AY1063" i="1"/>
  <c r="AM1063" i="1"/>
  <c r="AA1063" i="1"/>
  <c r="O1063" i="1"/>
  <c r="P1063" i="1" s="1"/>
  <c r="AL1063" i="1"/>
  <c r="Z1063" i="1"/>
  <c r="N1063" i="1"/>
  <c r="AK1063" i="1"/>
  <c r="Y1063" i="1"/>
  <c r="M1063" i="1"/>
  <c r="AJ1063" i="1"/>
  <c r="X1063" i="1"/>
  <c r="AI1063" i="1"/>
  <c r="W1063" i="1"/>
  <c r="K1063" i="1"/>
  <c r="L1063" i="1" s="1"/>
  <c r="AH1063" i="1"/>
  <c r="V1063" i="1"/>
  <c r="J1063" i="1"/>
  <c r="AS1063" i="1"/>
  <c r="AG1063" i="1"/>
  <c r="U1063" i="1"/>
  <c r="I1063" i="1"/>
  <c r="AR1063" i="1"/>
  <c r="AF1063" i="1"/>
  <c r="T1063" i="1"/>
  <c r="H1063" i="1"/>
  <c r="AT1063" i="1" s="1"/>
  <c r="AQ1063" i="1"/>
  <c r="AE1063" i="1"/>
  <c r="S1063" i="1"/>
  <c r="G1063" i="1"/>
  <c r="AP1063" i="1"/>
  <c r="AD1063" i="1"/>
  <c r="R1063" i="1"/>
  <c r="F1063" i="1"/>
  <c r="AO1063" i="1"/>
  <c r="Q1063" i="1"/>
  <c r="E1063" i="1"/>
  <c r="AN1063" i="1"/>
  <c r="AB1063" i="1"/>
  <c r="D1063" i="1"/>
  <c r="AP1083" i="1"/>
  <c r="AD1083" i="1"/>
  <c r="R1083" i="1"/>
  <c r="F1083" i="1"/>
  <c r="AH1083" i="1"/>
  <c r="U1083" i="1"/>
  <c r="H1083" i="1"/>
  <c r="AT1083" i="1" s="1"/>
  <c r="AG1083" i="1"/>
  <c r="T1083" i="1"/>
  <c r="G1083" i="1"/>
  <c r="AS1083" i="1"/>
  <c r="AF1083" i="1"/>
  <c r="S1083" i="1"/>
  <c r="E1083" i="1"/>
  <c r="AR1083" i="1"/>
  <c r="AE1083" i="1"/>
  <c r="Q1083" i="1"/>
  <c r="D1083" i="1"/>
  <c r="AQ1083" i="1"/>
  <c r="AO1083" i="1"/>
  <c r="AB1083" i="1"/>
  <c r="O1083" i="1"/>
  <c r="P1083" i="1" s="1"/>
  <c r="AN1083" i="1"/>
  <c r="AA1083" i="1"/>
  <c r="N1083" i="1"/>
  <c r="AM1083" i="1"/>
  <c r="Z1083" i="1"/>
  <c r="M1083" i="1"/>
  <c r="AY1083" i="1"/>
  <c r="AL1083" i="1"/>
  <c r="Y1083" i="1"/>
  <c r="AK1083" i="1"/>
  <c r="X1083" i="1"/>
  <c r="K1083" i="1"/>
  <c r="L1083" i="1" s="1"/>
  <c r="AJ1083" i="1"/>
  <c r="W1083" i="1"/>
  <c r="J1083" i="1"/>
  <c r="AI1083" i="1"/>
  <c r="V1083" i="1"/>
  <c r="I1083" i="1"/>
  <c r="AJ1098" i="1"/>
  <c r="X1098" i="1"/>
  <c r="AI1098" i="1"/>
  <c r="W1098" i="1"/>
  <c r="K1098" i="1"/>
  <c r="L1098" i="1" s="1"/>
  <c r="AH1098" i="1"/>
  <c r="V1098" i="1"/>
  <c r="J1098" i="1"/>
  <c r="AS1098" i="1"/>
  <c r="AG1098" i="1"/>
  <c r="U1098" i="1"/>
  <c r="I1098" i="1"/>
  <c r="AR1098" i="1"/>
  <c r="AF1098" i="1"/>
  <c r="T1098" i="1"/>
  <c r="H1098" i="1"/>
  <c r="AT1098" i="1" s="1"/>
  <c r="AQ1098" i="1"/>
  <c r="AE1098" i="1"/>
  <c r="S1098" i="1"/>
  <c r="G1098" i="1"/>
  <c r="AP1098" i="1"/>
  <c r="AD1098" i="1"/>
  <c r="R1098" i="1"/>
  <c r="F1098" i="1"/>
  <c r="AO1098" i="1"/>
  <c r="Q1098" i="1"/>
  <c r="E1098" i="1"/>
  <c r="AN1098" i="1"/>
  <c r="AB1098" i="1"/>
  <c r="D1098" i="1"/>
  <c r="AY1098" i="1"/>
  <c r="AM1098" i="1"/>
  <c r="AA1098" i="1"/>
  <c r="O1098" i="1"/>
  <c r="P1098" i="1" s="1"/>
  <c r="AL1098" i="1"/>
  <c r="Z1098" i="1"/>
  <c r="N1098" i="1"/>
  <c r="AK1098" i="1"/>
  <c r="Y1098" i="1"/>
  <c r="M1098" i="1"/>
  <c r="AJ1114" i="1"/>
  <c r="X1114" i="1"/>
  <c r="AI1114" i="1"/>
  <c r="W1114" i="1"/>
  <c r="K1114" i="1"/>
  <c r="L1114" i="1" s="1"/>
  <c r="AH1114" i="1"/>
  <c r="V1114" i="1"/>
  <c r="J1114" i="1"/>
  <c r="AS1114" i="1"/>
  <c r="AG1114" i="1"/>
  <c r="U1114" i="1"/>
  <c r="I1114" i="1"/>
  <c r="AR1114" i="1"/>
  <c r="AF1114" i="1"/>
  <c r="T1114" i="1"/>
  <c r="H1114" i="1"/>
  <c r="AT1114" i="1" s="1"/>
  <c r="AQ1114" i="1"/>
  <c r="AE1114" i="1"/>
  <c r="S1114" i="1"/>
  <c r="G1114" i="1"/>
  <c r="AP1114" i="1"/>
  <c r="AD1114" i="1"/>
  <c r="R1114" i="1"/>
  <c r="F1114" i="1"/>
  <c r="AN1114" i="1"/>
  <c r="AB1114" i="1"/>
  <c r="AO1114" i="1"/>
  <c r="M1114" i="1"/>
  <c r="AM1114" i="1"/>
  <c r="E1114" i="1"/>
  <c r="AL1114" i="1"/>
  <c r="D1114" i="1"/>
  <c r="AK1114" i="1"/>
  <c r="AA1114" i="1"/>
  <c r="Z1114" i="1"/>
  <c r="Y1114" i="1"/>
  <c r="Q1114" i="1"/>
  <c r="AY1114" i="1"/>
  <c r="O1114" i="1"/>
  <c r="P1114" i="1" s="1"/>
  <c r="N1114" i="1"/>
  <c r="AK1124" i="1"/>
  <c r="Y1124" i="1"/>
  <c r="M1124" i="1"/>
  <c r="AJ1124" i="1"/>
  <c r="W1124" i="1"/>
  <c r="J1124" i="1"/>
  <c r="AI1124" i="1"/>
  <c r="V1124" i="1"/>
  <c r="I1124" i="1"/>
  <c r="AH1124" i="1"/>
  <c r="U1124" i="1"/>
  <c r="H1124" i="1"/>
  <c r="AT1124" i="1" s="1"/>
  <c r="AG1124" i="1"/>
  <c r="T1124" i="1"/>
  <c r="G1124" i="1"/>
  <c r="AS1124" i="1"/>
  <c r="AF1124" i="1"/>
  <c r="S1124" i="1"/>
  <c r="F1124" i="1"/>
  <c r="AR1124" i="1"/>
  <c r="AE1124" i="1"/>
  <c r="R1124" i="1"/>
  <c r="E1124" i="1"/>
  <c r="AQ1124" i="1"/>
  <c r="AD1124" i="1"/>
  <c r="Q1124" i="1"/>
  <c r="D1124" i="1"/>
  <c r="AP1124" i="1"/>
  <c r="AO1124" i="1"/>
  <c r="AB1124" i="1"/>
  <c r="O1124" i="1"/>
  <c r="P1124" i="1" s="1"/>
  <c r="AN1124" i="1"/>
  <c r="AA1124" i="1"/>
  <c r="N1124" i="1"/>
  <c r="AY1124" i="1"/>
  <c r="AM1124" i="1"/>
  <c r="Z1124" i="1"/>
  <c r="K1124" i="1"/>
  <c r="L1124" i="1" s="1"/>
  <c r="AL1124" i="1"/>
  <c r="X1124" i="1"/>
  <c r="AP1150" i="1"/>
  <c r="AD1150" i="1"/>
  <c r="R1150" i="1"/>
  <c r="F1150" i="1"/>
  <c r="AN1150" i="1"/>
  <c r="AA1150" i="1"/>
  <c r="N1150" i="1"/>
  <c r="AM1150" i="1"/>
  <c r="Z1150" i="1"/>
  <c r="M1150" i="1"/>
  <c r="AY1150" i="1"/>
  <c r="AL1150" i="1"/>
  <c r="Y1150" i="1"/>
  <c r="AK1150" i="1"/>
  <c r="X1150" i="1"/>
  <c r="K1150" i="1"/>
  <c r="L1150" i="1" s="1"/>
  <c r="AJ1150" i="1"/>
  <c r="W1150" i="1"/>
  <c r="J1150" i="1"/>
  <c r="AI1150" i="1"/>
  <c r="V1150" i="1"/>
  <c r="I1150" i="1"/>
  <c r="AH1150" i="1"/>
  <c r="U1150" i="1"/>
  <c r="H1150" i="1"/>
  <c r="AT1150" i="1" s="1"/>
  <c r="AG1150" i="1"/>
  <c r="T1150" i="1"/>
  <c r="G1150" i="1"/>
  <c r="AS1150" i="1"/>
  <c r="AF1150" i="1"/>
  <c r="S1150" i="1"/>
  <c r="E1150" i="1"/>
  <c r="AR1150" i="1"/>
  <c r="AE1150" i="1"/>
  <c r="Q1150" i="1"/>
  <c r="D1150" i="1"/>
  <c r="AQ1150" i="1"/>
  <c r="AB1150" i="1"/>
  <c r="O1150" i="1"/>
  <c r="P1150" i="1" s="1"/>
  <c r="AO1150" i="1"/>
  <c r="AQ1139" i="1"/>
  <c r="AE1139" i="1"/>
  <c r="S1139" i="1"/>
  <c r="G1139" i="1"/>
  <c r="AP1139" i="1"/>
  <c r="AD1139" i="1"/>
  <c r="R1139" i="1"/>
  <c r="F1139" i="1"/>
  <c r="AO1139" i="1"/>
  <c r="Q1139" i="1"/>
  <c r="E1139" i="1"/>
  <c r="AN1139" i="1"/>
  <c r="AB1139" i="1"/>
  <c r="D1139" i="1"/>
  <c r="AY1139" i="1"/>
  <c r="AM1139" i="1"/>
  <c r="AA1139" i="1"/>
  <c r="O1139" i="1"/>
  <c r="P1139" i="1" s="1"/>
  <c r="AL1139" i="1"/>
  <c r="Z1139" i="1"/>
  <c r="N1139" i="1"/>
  <c r="AK1139" i="1"/>
  <c r="Y1139" i="1"/>
  <c r="M1139" i="1"/>
  <c r="AJ1139" i="1"/>
  <c r="X1139" i="1"/>
  <c r="AI1139" i="1"/>
  <c r="W1139" i="1"/>
  <c r="K1139" i="1"/>
  <c r="L1139" i="1" s="1"/>
  <c r="AH1139" i="1"/>
  <c r="V1139" i="1"/>
  <c r="J1139" i="1"/>
  <c r="AS1139" i="1"/>
  <c r="AG1139" i="1"/>
  <c r="U1139" i="1"/>
  <c r="I1139" i="1"/>
  <c r="AR1139" i="1"/>
  <c r="AF1139" i="1"/>
  <c r="T1139" i="1"/>
  <c r="H1139" i="1"/>
  <c r="AT1139" i="1" s="1"/>
  <c r="AI1171" i="1"/>
  <c r="W1171" i="1"/>
  <c r="K1171" i="1"/>
  <c r="L1171" i="1" s="1"/>
  <c r="AS1171" i="1"/>
  <c r="AG1171" i="1"/>
  <c r="U1171" i="1"/>
  <c r="AR1171" i="1"/>
  <c r="AF1171" i="1"/>
  <c r="T1171" i="1"/>
  <c r="N1171" i="1"/>
  <c r="AQ1171" i="1"/>
  <c r="AB1171" i="1"/>
  <c r="M1171" i="1"/>
  <c r="AP1171" i="1"/>
  <c r="AA1171" i="1"/>
  <c r="AO1171" i="1"/>
  <c r="Z1171" i="1"/>
  <c r="J1171" i="1"/>
  <c r="AN1171" i="1"/>
  <c r="Y1171" i="1"/>
  <c r="I1171" i="1"/>
  <c r="AM1171" i="1"/>
  <c r="X1171" i="1"/>
  <c r="H1171" i="1"/>
  <c r="AT1171" i="1" s="1"/>
  <c r="AL1171" i="1"/>
  <c r="V1171" i="1"/>
  <c r="G1171" i="1"/>
  <c r="AK1171" i="1"/>
  <c r="S1171" i="1"/>
  <c r="F1171" i="1"/>
  <c r="AJ1171" i="1"/>
  <c r="R1171" i="1"/>
  <c r="E1171" i="1"/>
  <c r="AY1171" i="1"/>
  <c r="AH1171" i="1"/>
  <c r="Q1171" i="1"/>
  <c r="D1171" i="1"/>
  <c r="AE1171" i="1"/>
  <c r="AD1171" i="1"/>
  <c r="O1171" i="1"/>
  <c r="P1171" i="1" s="1"/>
  <c r="AN1157" i="1"/>
  <c r="AB1157" i="1"/>
  <c r="D1157" i="1"/>
  <c r="AY1157" i="1"/>
  <c r="AM1157" i="1"/>
  <c r="AA1157" i="1"/>
  <c r="O1157" i="1"/>
  <c r="P1157" i="1" s="1"/>
  <c r="AL1157" i="1"/>
  <c r="Z1157" i="1"/>
  <c r="N1157" i="1"/>
  <c r="AK1157" i="1"/>
  <c r="Y1157" i="1"/>
  <c r="M1157" i="1"/>
  <c r="AJ1157" i="1"/>
  <c r="X1157" i="1"/>
  <c r="AI1157" i="1"/>
  <c r="W1157" i="1"/>
  <c r="K1157" i="1"/>
  <c r="L1157" i="1" s="1"/>
  <c r="AH1157" i="1"/>
  <c r="V1157" i="1"/>
  <c r="J1157" i="1"/>
  <c r="AS1157" i="1"/>
  <c r="AG1157" i="1"/>
  <c r="U1157" i="1"/>
  <c r="I1157" i="1"/>
  <c r="AR1157" i="1"/>
  <c r="AF1157" i="1"/>
  <c r="T1157" i="1"/>
  <c r="H1157" i="1"/>
  <c r="AT1157" i="1" s="1"/>
  <c r="AQ1157" i="1"/>
  <c r="AE1157" i="1"/>
  <c r="S1157" i="1"/>
  <c r="AP1157" i="1"/>
  <c r="AD1157" i="1"/>
  <c r="R1157" i="1"/>
  <c r="F1157" i="1"/>
  <c r="AO1157" i="1"/>
  <c r="Q1157" i="1"/>
  <c r="G1157" i="1"/>
  <c r="E1157" i="1"/>
  <c r="AK1181" i="1"/>
  <c r="Y1181" i="1"/>
  <c r="AJ1181" i="1"/>
  <c r="X1181" i="1"/>
  <c r="AH1181" i="1"/>
  <c r="T1181" i="1"/>
  <c r="G1181" i="1"/>
  <c r="AG1181" i="1"/>
  <c r="S1181" i="1"/>
  <c r="F1181" i="1"/>
  <c r="AF1181" i="1"/>
  <c r="R1181" i="1"/>
  <c r="E1181" i="1"/>
  <c r="AS1181" i="1"/>
  <c r="AE1181" i="1"/>
  <c r="Q1181" i="1"/>
  <c r="D1181" i="1"/>
  <c r="AR1181" i="1"/>
  <c r="AD1181" i="1"/>
  <c r="AQ1181" i="1"/>
  <c r="O1181" i="1"/>
  <c r="P1181" i="1" s="1"/>
  <c r="AP1181" i="1"/>
  <c r="AB1181" i="1"/>
  <c r="N1181" i="1"/>
  <c r="AO1181" i="1"/>
  <c r="AA1181" i="1"/>
  <c r="M1181" i="1"/>
  <c r="AN1181" i="1"/>
  <c r="Z1181" i="1"/>
  <c r="K1181" i="1"/>
  <c r="L1181" i="1" s="1"/>
  <c r="AM1181" i="1"/>
  <c r="W1181" i="1"/>
  <c r="J1181" i="1"/>
  <c r="AY1181" i="1"/>
  <c r="AL1181" i="1"/>
  <c r="V1181" i="1"/>
  <c r="I1181" i="1"/>
  <c r="AI1181" i="1"/>
  <c r="U1181" i="1"/>
  <c r="H1181" i="1"/>
  <c r="AT1181" i="1" s="1"/>
  <c r="AR1196" i="1"/>
  <c r="AF1196" i="1"/>
  <c r="T1196" i="1"/>
  <c r="H1196" i="1"/>
  <c r="AT1196" i="1" s="1"/>
  <c r="AQ1196" i="1"/>
  <c r="AE1196" i="1"/>
  <c r="S1196" i="1"/>
  <c r="G1196" i="1"/>
  <c r="AP1196" i="1"/>
  <c r="AD1196" i="1"/>
  <c r="R1196" i="1"/>
  <c r="F1196" i="1"/>
  <c r="AO1196" i="1"/>
  <c r="Q1196" i="1"/>
  <c r="E1196" i="1"/>
  <c r="AN1196" i="1"/>
  <c r="AB1196" i="1"/>
  <c r="D1196" i="1"/>
  <c r="AY1196" i="1"/>
  <c r="AM1196" i="1"/>
  <c r="AA1196" i="1"/>
  <c r="O1196" i="1"/>
  <c r="P1196" i="1" s="1"/>
  <c r="AL1196" i="1"/>
  <c r="Z1196" i="1"/>
  <c r="N1196" i="1"/>
  <c r="AK1196" i="1"/>
  <c r="Y1196" i="1"/>
  <c r="M1196" i="1"/>
  <c r="AJ1196" i="1"/>
  <c r="X1196" i="1"/>
  <c r="AI1196" i="1"/>
  <c r="W1196" i="1"/>
  <c r="K1196" i="1"/>
  <c r="L1196" i="1" s="1"/>
  <c r="AS1196" i="1"/>
  <c r="AH1196" i="1"/>
  <c r="AG1196" i="1"/>
  <c r="V1196" i="1"/>
  <c r="U1196" i="1"/>
  <c r="J1196" i="1"/>
  <c r="I1196" i="1"/>
  <c r="AN7" i="1"/>
  <c r="AM7" i="1"/>
  <c r="AA7" i="1"/>
  <c r="Z7" i="1" s="1"/>
  <c r="AK7" i="1"/>
  <c r="AL7" i="1"/>
  <c r="AJ7" i="1"/>
  <c r="W7" i="1"/>
  <c r="H7" i="1"/>
  <c r="AT7" i="1" s="1"/>
  <c r="AE7" i="1"/>
  <c r="AS7" i="1"/>
  <c r="I7" i="1"/>
  <c r="G7" i="1"/>
  <c r="AD7" i="1"/>
  <c r="F7" i="1"/>
  <c r="AO7" i="1"/>
  <c r="E7" i="1"/>
  <c r="AJ15" i="1"/>
  <c r="W15" i="1"/>
  <c r="AS15" i="1"/>
  <c r="H15" i="1"/>
  <c r="AT15" i="1" s="1"/>
  <c r="AE15" i="1"/>
  <c r="G15" i="1"/>
  <c r="I15" i="1" s="1"/>
  <c r="AD15" i="1"/>
  <c r="F15" i="1"/>
  <c r="AO15" i="1"/>
  <c r="E15" i="1"/>
  <c r="AN15" i="1"/>
  <c r="AM15" i="1"/>
  <c r="AA15" i="1"/>
  <c r="Z15" i="1" s="1"/>
  <c r="AL15" i="1"/>
  <c r="AK15" i="1"/>
  <c r="AL54" i="1"/>
  <c r="AK54" i="1"/>
  <c r="AJ54" i="1"/>
  <c r="W54" i="1"/>
  <c r="AS54" i="1"/>
  <c r="I54" i="1"/>
  <c r="H54" i="1"/>
  <c r="AT54" i="1" s="1"/>
  <c r="AE54" i="1"/>
  <c r="G54" i="1"/>
  <c r="AD54" i="1"/>
  <c r="F54" i="1"/>
  <c r="AO54" i="1"/>
  <c r="E54" i="1"/>
  <c r="AN54" i="1"/>
  <c r="AM54" i="1"/>
  <c r="AA54" i="1"/>
  <c r="Z54" i="1" s="1"/>
  <c r="AJ49" i="1"/>
  <c r="W49" i="1"/>
  <c r="AS49" i="1"/>
  <c r="I49" i="1"/>
  <c r="H49" i="1"/>
  <c r="AT49" i="1" s="1"/>
  <c r="AE49" i="1"/>
  <c r="G49" i="1"/>
  <c r="AD49" i="1"/>
  <c r="F49" i="1"/>
  <c r="AO49" i="1"/>
  <c r="E49" i="1"/>
  <c r="AN49" i="1"/>
  <c r="AM49" i="1"/>
  <c r="AA49" i="1"/>
  <c r="AL49" i="1"/>
  <c r="AK49" i="1"/>
  <c r="AS38" i="1"/>
  <c r="I38" i="1"/>
  <c r="H38" i="1"/>
  <c r="AT38" i="1" s="1"/>
  <c r="AE38" i="1"/>
  <c r="G38" i="1"/>
  <c r="AD38" i="1"/>
  <c r="F38" i="1"/>
  <c r="AO38" i="1"/>
  <c r="E38" i="1"/>
  <c r="AN38" i="1"/>
  <c r="AM38" i="1"/>
  <c r="AA38" i="1"/>
  <c r="AJ38" i="1"/>
  <c r="W38" i="1"/>
  <c r="AL38" i="1"/>
  <c r="AK38" i="1"/>
  <c r="H21" i="1"/>
  <c r="AT21" i="1" s="1"/>
  <c r="AE21" i="1"/>
  <c r="G21" i="1"/>
  <c r="AM21" i="1"/>
  <c r="AA21" i="1"/>
  <c r="Z21" i="1" s="1"/>
  <c r="AL21" i="1"/>
  <c r="AK21" i="1"/>
  <c r="AS21" i="1"/>
  <c r="I21" i="1"/>
  <c r="AO21" i="1"/>
  <c r="AN21" i="1"/>
  <c r="AJ21" i="1"/>
  <c r="AD21" i="1"/>
  <c r="F21" i="1"/>
  <c r="E21" i="1"/>
  <c r="W21" i="1"/>
  <c r="AR93" i="1"/>
  <c r="AF93" i="1"/>
  <c r="T93" i="1"/>
  <c r="H93" i="1"/>
  <c r="AT93" i="1" s="1"/>
  <c r="AQ93" i="1"/>
  <c r="AE93" i="1"/>
  <c r="S93" i="1"/>
  <c r="G93" i="1"/>
  <c r="AP93" i="1"/>
  <c r="AD93" i="1"/>
  <c r="R93" i="1"/>
  <c r="F93" i="1"/>
  <c r="AO93" i="1"/>
  <c r="Q93" i="1"/>
  <c r="E93" i="1"/>
  <c r="AN93" i="1"/>
  <c r="AB93" i="1"/>
  <c r="D93" i="1"/>
  <c r="AY93" i="1"/>
  <c r="AM93" i="1"/>
  <c r="AA93" i="1"/>
  <c r="O93" i="1"/>
  <c r="P93" i="1" s="1"/>
  <c r="AL93" i="1"/>
  <c r="Z93" i="1"/>
  <c r="N93" i="1"/>
  <c r="AK93" i="1"/>
  <c r="Y93" i="1"/>
  <c r="M93" i="1"/>
  <c r="AJ93" i="1"/>
  <c r="X93" i="1"/>
  <c r="AI93" i="1"/>
  <c r="W93" i="1"/>
  <c r="K93" i="1"/>
  <c r="L93" i="1" s="1"/>
  <c r="AH93" i="1"/>
  <c r="V93" i="1"/>
  <c r="J93" i="1"/>
  <c r="AS93" i="1"/>
  <c r="AG93" i="1"/>
  <c r="U93" i="1"/>
  <c r="I93" i="1"/>
  <c r="AP103" i="1"/>
  <c r="AD103" i="1"/>
  <c r="R103" i="1"/>
  <c r="F103" i="1"/>
  <c r="AO103" i="1"/>
  <c r="Q103" i="1"/>
  <c r="E103" i="1"/>
  <c r="AK103" i="1"/>
  <c r="Y103" i="1"/>
  <c r="M103" i="1"/>
  <c r="AJ103" i="1"/>
  <c r="X103" i="1"/>
  <c r="AI103" i="1"/>
  <c r="W103" i="1"/>
  <c r="K103" i="1"/>
  <c r="L103" i="1" s="1"/>
  <c r="AQ103" i="1"/>
  <c r="AE103" i="1"/>
  <c r="S103" i="1"/>
  <c r="G103" i="1"/>
  <c r="AF103" i="1"/>
  <c r="I103" i="1"/>
  <c r="AY103" i="1"/>
  <c r="H103" i="1"/>
  <c r="AT103" i="1" s="1"/>
  <c r="AB103" i="1"/>
  <c r="D103" i="1"/>
  <c r="AA103" i="1"/>
  <c r="Z103" i="1"/>
  <c r="AS103" i="1"/>
  <c r="V103" i="1"/>
  <c r="AR103" i="1"/>
  <c r="U103" i="1"/>
  <c r="AN103" i="1"/>
  <c r="T103" i="1"/>
  <c r="AM103" i="1"/>
  <c r="AL103" i="1"/>
  <c r="O103" i="1"/>
  <c r="P103" i="1" s="1"/>
  <c r="AH103" i="1"/>
  <c r="N103" i="1"/>
  <c r="AG103" i="1"/>
  <c r="J103" i="1"/>
  <c r="AN83" i="1"/>
  <c r="AB83" i="1"/>
  <c r="D83" i="1"/>
  <c r="AY83" i="1"/>
  <c r="AM83" i="1"/>
  <c r="AA83" i="1"/>
  <c r="O83" i="1"/>
  <c r="P83" i="1" s="1"/>
  <c r="AL83" i="1"/>
  <c r="Z83" i="1"/>
  <c r="N83" i="1"/>
  <c r="AK83" i="1"/>
  <c r="Y83" i="1"/>
  <c r="M83" i="1"/>
  <c r="AJ83" i="1"/>
  <c r="X83" i="1"/>
  <c r="AI83" i="1"/>
  <c r="W83" i="1"/>
  <c r="K83" i="1"/>
  <c r="L83" i="1" s="1"/>
  <c r="AH83" i="1"/>
  <c r="V83" i="1"/>
  <c r="J83" i="1"/>
  <c r="AS83" i="1"/>
  <c r="AG83" i="1"/>
  <c r="U83" i="1"/>
  <c r="I83" i="1"/>
  <c r="AR83" i="1"/>
  <c r="AF83" i="1"/>
  <c r="T83" i="1"/>
  <c r="H83" i="1"/>
  <c r="AT83" i="1" s="1"/>
  <c r="AQ83" i="1"/>
  <c r="AE83" i="1"/>
  <c r="S83" i="1"/>
  <c r="G83" i="1"/>
  <c r="AP83" i="1"/>
  <c r="AD83" i="1"/>
  <c r="R83" i="1"/>
  <c r="F83" i="1"/>
  <c r="AO83" i="1"/>
  <c r="Q83" i="1"/>
  <c r="E83" i="1"/>
  <c r="AL153" i="1"/>
  <c r="Z153" i="1"/>
  <c r="N153" i="1"/>
  <c r="AK153" i="1"/>
  <c r="Y153" i="1"/>
  <c r="M153" i="1"/>
  <c r="AJ153" i="1"/>
  <c r="X153" i="1"/>
  <c r="AI153" i="1"/>
  <c r="W153" i="1"/>
  <c r="K153" i="1"/>
  <c r="L153" i="1" s="1"/>
  <c r="AH153" i="1"/>
  <c r="V153" i="1"/>
  <c r="J153" i="1"/>
  <c r="AS153" i="1"/>
  <c r="AG153" i="1"/>
  <c r="U153" i="1"/>
  <c r="I153" i="1"/>
  <c r="AR153" i="1"/>
  <c r="AF153" i="1"/>
  <c r="T153" i="1"/>
  <c r="H153" i="1"/>
  <c r="AT153" i="1" s="1"/>
  <c r="AQ153" i="1"/>
  <c r="AE153" i="1"/>
  <c r="S153" i="1"/>
  <c r="G153" i="1"/>
  <c r="AP153" i="1"/>
  <c r="AD153" i="1"/>
  <c r="R153" i="1"/>
  <c r="F153" i="1"/>
  <c r="AO153" i="1"/>
  <c r="Q153" i="1"/>
  <c r="E153" i="1"/>
  <c r="AN153" i="1"/>
  <c r="AB153" i="1"/>
  <c r="D153" i="1"/>
  <c r="AY153" i="1"/>
  <c r="AM153" i="1"/>
  <c r="AA153" i="1"/>
  <c r="O153" i="1"/>
  <c r="P153" i="1" s="1"/>
  <c r="AJ160" i="1"/>
  <c r="X160" i="1"/>
  <c r="AI160" i="1"/>
  <c r="W160" i="1"/>
  <c r="K160" i="1"/>
  <c r="L160" i="1" s="1"/>
  <c r="AH160" i="1"/>
  <c r="V160" i="1"/>
  <c r="J160" i="1"/>
  <c r="AS160" i="1"/>
  <c r="AG160" i="1"/>
  <c r="U160" i="1"/>
  <c r="I160" i="1"/>
  <c r="AR160" i="1"/>
  <c r="AF160" i="1"/>
  <c r="T160" i="1"/>
  <c r="H160" i="1"/>
  <c r="AT160" i="1" s="1"/>
  <c r="AQ160" i="1"/>
  <c r="AE160" i="1"/>
  <c r="S160" i="1"/>
  <c r="G160" i="1"/>
  <c r="AP160" i="1"/>
  <c r="AD160" i="1"/>
  <c r="R160" i="1"/>
  <c r="F160" i="1"/>
  <c r="AO160" i="1"/>
  <c r="Q160" i="1"/>
  <c r="E160" i="1"/>
  <c r="AN160" i="1"/>
  <c r="AB160" i="1"/>
  <c r="D160" i="1"/>
  <c r="AY160" i="1"/>
  <c r="AM160" i="1"/>
  <c r="AA160" i="1"/>
  <c r="O160" i="1"/>
  <c r="P160" i="1" s="1"/>
  <c r="AL160" i="1"/>
  <c r="Z160" i="1"/>
  <c r="N160" i="1"/>
  <c r="AK160" i="1"/>
  <c r="Y160" i="1"/>
  <c r="M160" i="1"/>
  <c r="AH143" i="1"/>
  <c r="V143" i="1"/>
  <c r="J143" i="1"/>
  <c r="AS143" i="1"/>
  <c r="AG143" i="1"/>
  <c r="U143" i="1"/>
  <c r="I143" i="1"/>
  <c r="AR143" i="1"/>
  <c r="AF143" i="1"/>
  <c r="T143" i="1"/>
  <c r="H143" i="1"/>
  <c r="AT143" i="1" s="1"/>
  <c r="AQ143" i="1"/>
  <c r="AE143" i="1"/>
  <c r="S143" i="1"/>
  <c r="G143" i="1"/>
  <c r="AP143" i="1"/>
  <c r="AD143" i="1"/>
  <c r="R143" i="1"/>
  <c r="F143" i="1"/>
  <c r="AO143" i="1"/>
  <c r="Q143" i="1"/>
  <c r="E143" i="1"/>
  <c r="AN143" i="1"/>
  <c r="AB143" i="1"/>
  <c r="D143" i="1"/>
  <c r="AY143" i="1"/>
  <c r="AM143" i="1"/>
  <c r="AA143" i="1"/>
  <c r="O143" i="1"/>
  <c r="P143" i="1" s="1"/>
  <c r="AL143" i="1"/>
  <c r="Z143" i="1"/>
  <c r="N143" i="1"/>
  <c r="AK143" i="1"/>
  <c r="Y143" i="1"/>
  <c r="M143" i="1"/>
  <c r="AJ143" i="1"/>
  <c r="X143" i="1"/>
  <c r="AI143" i="1"/>
  <c r="W143" i="1"/>
  <c r="K143" i="1"/>
  <c r="L143" i="1" s="1"/>
  <c r="AR138" i="1"/>
  <c r="AF138" i="1"/>
  <c r="T138" i="1"/>
  <c r="H138" i="1"/>
  <c r="AT138" i="1" s="1"/>
  <c r="AQ138" i="1"/>
  <c r="AE138" i="1"/>
  <c r="S138" i="1"/>
  <c r="G138" i="1"/>
  <c r="AP138" i="1"/>
  <c r="AD138" i="1"/>
  <c r="R138" i="1"/>
  <c r="F138" i="1"/>
  <c r="AO138" i="1"/>
  <c r="Q138" i="1"/>
  <c r="E138" i="1"/>
  <c r="AN138" i="1"/>
  <c r="AB138" i="1"/>
  <c r="D138" i="1"/>
  <c r="AY138" i="1"/>
  <c r="AM138" i="1"/>
  <c r="AA138" i="1"/>
  <c r="O138" i="1"/>
  <c r="P138" i="1" s="1"/>
  <c r="AL138" i="1"/>
  <c r="Z138" i="1"/>
  <c r="N138" i="1"/>
  <c r="AK138" i="1"/>
  <c r="Y138" i="1"/>
  <c r="M138" i="1"/>
  <c r="AJ138" i="1"/>
  <c r="X138" i="1"/>
  <c r="AI138" i="1"/>
  <c r="W138" i="1"/>
  <c r="K138" i="1"/>
  <c r="L138" i="1" s="1"/>
  <c r="AH138" i="1"/>
  <c r="V138" i="1"/>
  <c r="J138" i="1"/>
  <c r="AS138" i="1"/>
  <c r="AG138" i="1"/>
  <c r="U138" i="1"/>
  <c r="I138" i="1"/>
  <c r="AP151" i="1"/>
  <c r="AD151" i="1"/>
  <c r="R151" i="1"/>
  <c r="F151" i="1"/>
  <c r="AO151" i="1"/>
  <c r="Q151" i="1"/>
  <c r="E151" i="1"/>
  <c r="AN151" i="1"/>
  <c r="AB151" i="1"/>
  <c r="D151" i="1"/>
  <c r="AY151" i="1"/>
  <c r="AM151" i="1"/>
  <c r="AA151" i="1"/>
  <c r="O151" i="1"/>
  <c r="P151" i="1" s="1"/>
  <c r="AL151" i="1"/>
  <c r="Z151" i="1"/>
  <c r="N151" i="1"/>
  <c r="AK151" i="1"/>
  <c r="Y151" i="1"/>
  <c r="M151" i="1"/>
  <c r="AJ151" i="1"/>
  <c r="X151" i="1"/>
  <c r="AI151" i="1"/>
  <c r="W151" i="1"/>
  <c r="K151" i="1"/>
  <c r="L151" i="1" s="1"/>
  <c r="AH151" i="1"/>
  <c r="V151" i="1"/>
  <c r="J151" i="1"/>
  <c r="AS151" i="1"/>
  <c r="AG151" i="1"/>
  <c r="U151" i="1"/>
  <c r="I151" i="1"/>
  <c r="AR151" i="1"/>
  <c r="AF151" i="1"/>
  <c r="T151" i="1"/>
  <c r="H151" i="1"/>
  <c r="AT151" i="1" s="1"/>
  <c r="AQ151" i="1"/>
  <c r="AE151" i="1"/>
  <c r="S151" i="1"/>
  <c r="G151" i="1"/>
  <c r="AN140" i="1"/>
  <c r="AB140" i="1"/>
  <c r="D140" i="1"/>
  <c r="AY140" i="1"/>
  <c r="AM140" i="1"/>
  <c r="AA140" i="1"/>
  <c r="O140" i="1"/>
  <c r="P140" i="1" s="1"/>
  <c r="AL140" i="1"/>
  <c r="Z140" i="1"/>
  <c r="N140" i="1"/>
  <c r="AK140" i="1"/>
  <c r="Y140" i="1"/>
  <c r="M140" i="1"/>
  <c r="AJ140" i="1"/>
  <c r="X140" i="1"/>
  <c r="AI140" i="1"/>
  <c r="W140" i="1"/>
  <c r="K140" i="1"/>
  <c r="L140" i="1" s="1"/>
  <c r="AH140" i="1"/>
  <c r="V140" i="1"/>
  <c r="J140" i="1"/>
  <c r="AS140" i="1"/>
  <c r="AG140" i="1"/>
  <c r="U140" i="1"/>
  <c r="I140" i="1"/>
  <c r="AR140" i="1"/>
  <c r="AF140" i="1"/>
  <c r="T140" i="1"/>
  <c r="H140" i="1"/>
  <c r="AT140" i="1" s="1"/>
  <c r="AQ140" i="1"/>
  <c r="AE140" i="1"/>
  <c r="S140" i="1"/>
  <c r="G140" i="1"/>
  <c r="AP140" i="1"/>
  <c r="AD140" i="1"/>
  <c r="R140" i="1"/>
  <c r="F140" i="1"/>
  <c r="AO140" i="1"/>
  <c r="Q140" i="1"/>
  <c r="E140" i="1"/>
  <c r="AI275" i="1"/>
  <c r="W275" i="1"/>
  <c r="K275" i="1"/>
  <c r="L275" i="1" s="1"/>
  <c r="AH275" i="1"/>
  <c r="V275" i="1"/>
  <c r="J275" i="1"/>
  <c r="AS275" i="1"/>
  <c r="AG275" i="1"/>
  <c r="U275" i="1"/>
  <c r="I275" i="1"/>
  <c r="AR275" i="1"/>
  <c r="AF275" i="1"/>
  <c r="T275" i="1"/>
  <c r="H275" i="1"/>
  <c r="AT275" i="1" s="1"/>
  <c r="AQ275" i="1"/>
  <c r="AE275" i="1"/>
  <c r="S275" i="1"/>
  <c r="G275" i="1"/>
  <c r="AP275" i="1"/>
  <c r="AD275" i="1"/>
  <c r="R275" i="1"/>
  <c r="F275" i="1"/>
  <c r="AO275" i="1"/>
  <c r="Q275" i="1"/>
  <c r="E275" i="1"/>
  <c r="AN275" i="1"/>
  <c r="AB275" i="1"/>
  <c r="D275" i="1"/>
  <c r="AY275" i="1"/>
  <c r="AL275" i="1"/>
  <c r="Z275" i="1"/>
  <c r="N275" i="1"/>
  <c r="AK275" i="1"/>
  <c r="Y275" i="1"/>
  <c r="M275" i="1"/>
  <c r="AJ275" i="1"/>
  <c r="X275" i="1"/>
  <c r="AM275" i="1"/>
  <c r="AA275" i="1"/>
  <c r="O275" i="1"/>
  <c r="P275" i="1" s="1"/>
  <c r="AI257" i="1"/>
  <c r="W257" i="1"/>
  <c r="K257" i="1"/>
  <c r="L257" i="1" s="1"/>
  <c r="AH257" i="1"/>
  <c r="V257" i="1"/>
  <c r="J257" i="1"/>
  <c r="AP257" i="1"/>
  <c r="AD257" i="1"/>
  <c r="R257" i="1"/>
  <c r="F257" i="1"/>
  <c r="AO257" i="1"/>
  <c r="Q257" i="1"/>
  <c r="E257" i="1"/>
  <c r="AN257" i="1"/>
  <c r="AB257" i="1"/>
  <c r="D257" i="1"/>
  <c r="AJ257" i="1"/>
  <c r="X257" i="1"/>
  <c r="AR257" i="1"/>
  <c r="U257" i="1"/>
  <c r="AQ257" i="1"/>
  <c r="T257" i="1"/>
  <c r="AM257" i="1"/>
  <c r="S257" i="1"/>
  <c r="AL257" i="1"/>
  <c r="O257" i="1"/>
  <c r="P257" i="1" s="1"/>
  <c r="AK257" i="1"/>
  <c r="N257" i="1"/>
  <c r="AG257" i="1"/>
  <c r="M257" i="1"/>
  <c r="AF257" i="1"/>
  <c r="I257" i="1"/>
  <c r="AE257" i="1"/>
  <c r="H257" i="1"/>
  <c r="AT257" i="1" s="1"/>
  <c r="AY257" i="1"/>
  <c r="G257" i="1"/>
  <c r="AA257" i="1"/>
  <c r="Z257" i="1"/>
  <c r="AS257" i="1"/>
  <c r="Y257" i="1"/>
  <c r="AS188" i="1"/>
  <c r="AG188" i="1"/>
  <c r="U188" i="1"/>
  <c r="I188" i="1"/>
  <c r="AR188" i="1"/>
  <c r="AF188" i="1"/>
  <c r="T188" i="1"/>
  <c r="H188" i="1"/>
  <c r="AT188" i="1" s="1"/>
  <c r="AN188" i="1"/>
  <c r="AB188" i="1"/>
  <c r="D188" i="1"/>
  <c r="AY188" i="1"/>
  <c r="AM188" i="1"/>
  <c r="AA188" i="1"/>
  <c r="O188" i="1"/>
  <c r="P188" i="1" s="1"/>
  <c r="AL188" i="1"/>
  <c r="Z188" i="1"/>
  <c r="N188" i="1"/>
  <c r="AH188" i="1"/>
  <c r="V188" i="1"/>
  <c r="J188" i="1"/>
  <c r="Y188" i="1"/>
  <c r="X188" i="1"/>
  <c r="W188" i="1"/>
  <c r="AQ188" i="1"/>
  <c r="S188" i="1"/>
  <c r="AP188" i="1"/>
  <c r="R188" i="1"/>
  <c r="AO188" i="1"/>
  <c r="Q188" i="1"/>
  <c r="AK188" i="1"/>
  <c r="M188" i="1"/>
  <c r="AJ188" i="1"/>
  <c r="AI188" i="1"/>
  <c r="K188" i="1"/>
  <c r="L188" i="1" s="1"/>
  <c r="AE188" i="1"/>
  <c r="G188" i="1"/>
  <c r="AD188" i="1"/>
  <c r="F188" i="1"/>
  <c r="E188" i="1"/>
  <c r="AQ195" i="1"/>
  <c r="AE195" i="1"/>
  <c r="S195" i="1"/>
  <c r="G195" i="1"/>
  <c r="AP195" i="1"/>
  <c r="AD195" i="1"/>
  <c r="R195" i="1"/>
  <c r="F195" i="1"/>
  <c r="AO195" i="1"/>
  <c r="Q195" i="1"/>
  <c r="E195" i="1"/>
  <c r="AN195" i="1"/>
  <c r="AB195" i="1"/>
  <c r="D195" i="1"/>
  <c r="AY195" i="1"/>
  <c r="AM195" i="1"/>
  <c r="AA195" i="1"/>
  <c r="O195" i="1"/>
  <c r="P195" i="1" s="1"/>
  <c r="AL195" i="1"/>
  <c r="Z195" i="1"/>
  <c r="N195" i="1"/>
  <c r="AK195" i="1"/>
  <c r="Y195" i="1"/>
  <c r="M195" i="1"/>
  <c r="AJ195" i="1"/>
  <c r="X195" i="1"/>
  <c r="AS195" i="1"/>
  <c r="AG195" i="1"/>
  <c r="U195" i="1"/>
  <c r="I195" i="1"/>
  <c r="AR195" i="1"/>
  <c r="AF195" i="1"/>
  <c r="T195" i="1"/>
  <c r="H195" i="1"/>
  <c r="AT195" i="1" s="1"/>
  <c r="W195" i="1"/>
  <c r="V195" i="1"/>
  <c r="K195" i="1"/>
  <c r="L195" i="1" s="1"/>
  <c r="J195" i="1"/>
  <c r="AI195" i="1"/>
  <c r="AH195" i="1"/>
  <c r="AO254" i="1"/>
  <c r="Q254" i="1"/>
  <c r="E254" i="1"/>
  <c r="AJ254" i="1"/>
  <c r="X254" i="1"/>
  <c r="AI254" i="1"/>
  <c r="W254" i="1"/>
  <c r="K254" i="1"/>
  <c r="L254" i="1" s="1"/>
  <c r="AH254" i="1"/>
  <c r="V254" i="1"/>
  <c r="J254" i="1"/>
  <c r="AP254" i="1"/>
  <c r="Z254" i="1"/>
  <c r="G254" i="1"/>
  <c r="AN254" i="1"/>
  <c r="Y254" i="1"/>
  <c r="F254" i="1"/>
  <c r="AM254" i="1"/>
  <c r="U254" i="1"/>
  <c r="D254" i="1"/>
  <c r="AL254" i="1"/>
  <c r="T254" i="1"/>
  <c r="AK254" i="1"/>
  <c r="S254" i="1"/>
  <c r="AG254" i="1"/>
  <c r="R254" i="1"/>
  <c r="AY254" i="1"/>
  <c r="AF254" i="1"/>
  <c r="AE254" i="1"/>
  <c r="O254" i="1"/>
  <c r="P254" i="1" s="1"/>
  <c r="AD254" i="1"/>
  <c r="N254" i="1"/>
  <c r="AS254" i="1"/>
  <c r="M254" i="1"/>
  <c r="AR254" i="1"/>
  <c r="AB254" i="1"/>
  <c r="I254" i="1"/>
  <c r="AQ254" i="1"/>
  <c r="AA254" i="1"/>
  <c r="H254" i="1"/>
  <c r="AT254" i="1" s="1"/>
  <c r="AO260" i="1"/>
  <c r="Q260" i="1"/>
  <c r="E260" i="1"/>
  <c r="AN260" i="1"/>
  <c r="AB260" i="1"/>
  <c r="D260" i="1"/>
  <c r="AJ260" i="1"/>
  <c r="X260" i="1"/>
  <c r="AI260" i="1"/>
  <c r="W260" i="1"/>
  <c r="K260" i="1"/>
  <c r="L260" i="1" s="1"/>
  <c r="AH260" i="1"/>
  <c r="V260" i="1"/>
  <c r="J260" i="1"/>
  <c r="AP260" i="1"/>
  <c r="AD260" i="1"/>
  <c r="R260" i="1"/>
  <c r="F260" i="1"/>
  <c r="AE260" i="1"/>
  <c r="H260" i="1"/>
  <c r="AT260" i="1" s="1"/>
  <c r="AY260" i="1"/>
  <c r="G260" i="1"/>
  <c r="AA260" i="1"/>
  <c r="Z260" i="1"/>
  <c r="AS260" i="1"/>
  <c r="Y260" i="1"/>
  <c r="AR260" i="1"/>
  <c r="U260" i="1"/>
  <c r="AQ260" i="1"/>
  <c r="T260" i="1"/>
  <c r="AM260" i="1"/>
  <c r="S260" i="1"/>
  <c r="AL260" i="1"/>
  <c r="O260" i="1"/>
  <c r="P260" i="1" s="1"/>
  <c r="AK260" i="1"/>
  <c r="N260" i="1"/>
  <c r="AG260" i="1"/>
  <c r="M260" i="1"/>
  <c r="AF260" i="1"/>
  <c r="I260" i="1"/>
  <c r="AY233" i="1"/>
  <c r="AM233" i="1"/>
  <c r="AA233" i="1"/>
  <c r="O233" i="1"/>
  <c r="P233" i="1" s="1"/>
  <c r="AL233" i="1"/>
  <c r="Z233" i="1"/>
  <c r="N233" i="1"/>
  <c r="AK233" i="1"/>
  <c r="Y233" i="1"/>
  <c r="M233" i="1"/>
  <c r="AJ233" i="1"/>
  <c r="X233" i="1"/>
  <c r="AI233" i="1"/>
  <c r="W233" i="1"/>
  <c r="K233" i="1"/>
  <c r="L233" i="1" s="1"/>
  <c r="AH233" i="1"/>
  <c r="V233" i="1"/>
  <c r="J233" i="1"/>
  <c r="AS233" i="1"/>
  <c r="AG233" i="1"/>
  <c r="U233" i="1"/>
  <c r="I233" i="1"/>
  <c r="AR233" i="1"/>
  <c r="AF233" i="1"/>
  <c r="T233" i="1"/>
  <c r="H233" i="1"/>
  <c r="AT233" i="1" s="1"/>
  <c r="AQ233" i="1"/>
  <c r="AE233" i="1"/>
  <c r="S233" i="1"/>
  <c r="G233" i="1"/>
  <c r="AP233" i="1"/>
  <c r="AD233" i="1"/>
  <c r="R233" i="1"/>
  <c r="F233" i="1"/>
  <c r="AO233" i="1"/>
  <c r="Q233" i="1"/>
  <c r="E233" i="1"/>
  <c r="AN233" i="1"/>
  <c r="AB233" i="1"/>
  <c r="D233" i="1"/>
  <c r="AK316" i="1"/>
  <c r="Y316" i="1"/>
  <c r="M316" i="1"/>
  <c r="AJ316" i="1"/>
  <c r="X316" i="1"/>
  <c r="AI316" i="1"/>
  <c r="W316" i="1"/>
  <c r="K316" i="1"/>
  <c r="L316" i="1" s="1"/>
  <c r="AH316" i="1"/>
  <c r="V316" i="1"/>
  <c r="J316" i="1"/>
  <c r="AS316" i="1"/>
  <c r="AG316" i="1"/>
  <c r="U316" i="1"/>
  <c r="I316" i="1"/>
  <c r="AR316" i="1"/>
  <c r="AF316" i="1"/>
  <c r="T316" i="1"/>
  <c r="H316" i="1"/>
  <c r="AT316" i="1" s="1"/>
  <c r="AQ316" i="1"/>
  <c r="AE316" i="1"/>
  <c r="S316" i="1"/>
  <c r="G316" i="1"/>
  <c r="AP316" i="1"/>
  <c r="AD316" i="1"/>
  <c r="R316" i="1"/>
  <c r="F316" i="1"/>
  <c r="AO316" i="1"/>
  <c r="Q316" i="1"/>
  <c r="E316" i="1"/>
  <c r="AN316" i="1"/>
  <c r="AB316" i="1"/>
  <c r="D316" i="1"/>
  <c r="AY316" i="1"/>
  <c r="AM316" i="1"/>
  <c r="AA316" i="1"/>
  <c r="O316" i="1"/>
  <c r="P316" i="1" s="1"/>
  <c r="AL316" i="1"/>
  <c r="Z316" i="1"/>
  <c r="N316" i="1"/>
  <c r="AI323" i="1"/>
  <c r="W323" i="1"/>
  <c r="K323" i="1"/>
  <c r="L323" i="1" s="1"/>
  <c r="AH323" i="1"/>
  <c r="V323" i="1"/>
  <c r="J323" i="1"/>
  <c r="AS323" i="1"/>
  <c r="AG323" i="1"/>
  <c r="U323" i="1"/>
  <c r="I323" i="1"/>
  <c r="AR323" i="1"/>
  <c r="AF323" i="1"/>
  <c r="T323" i="1"/>
  <c r="H323" i="1"/>
  <c r="AT323" i="1" s="1"/>
  <c r="AQ323" i="1"/>
  <c r="AE323" i="1"/>
  <c r="S323" i="1"/>
  <c r="G323" i="1"/>
  <c r="AP323" i="1"/>
  <c r="AD323" i="1"/>
  <c r="R323" i="1"/>
  <c r="F323" i="1"/>
  <c r="AO323" i="1"/>
  <c r="Q323" i="1"/>
  <c r="E323" i="1"/>
  <c r="AN323" i="1"/>
  <c r="AB323" i="1"/>
  <c r="D323" i="1"/>
  <c r="AY323" i="1"/>
  <c r="AM323" i="1"/>
  <c r="AA323" i="1"/>
  <c r="O323" i="1"/>
  <c r="P323" i="1" s="1"/>
  <c r="AL323" i="1"/>
  <c r="Z323" i="1"/>
  <c r="N323" i="1"/>
  <c r="AK323" i="1"/>
  <c r="Y323" i="1"/>
  <c r="M323" i="1"/>
  <c r="AJ323" i="1"/>
  <c r="X323" i="1"/>
  <c r="AS306" i="1"/>
  <c r="AG306" i="1"/>
  <c r="U306" i="1"/>
  <c r="I306" i="1"/>
  <c r="AR306" i="1"/>
  <c r="AF306" i="1"/>
  <c r="T306" i="1"/>
  <c r="H306" i="1"/>
  <c r="AT306" i="1" s="1"/>
  <c r="AQ306" i="1"/>
  <c r="AE306" i="1"/>
  <c r="S306" i="1"/>
  <c r="G306" i="1"/>
  <c r="AP306" i="1"/>
  <c r="AD306" i="1"/>
  <c r="R306" i="1"/>
  <c r="F306" i="1"/>
  <c r="AO306" i="1"/>
  <c r="Q306" i="1"/>
  <c r="E306" i="1"/>
  <c r="AN306" i="1"/>
  <c r="AB306" i="1"/>
  <c r="D306" i="1"/>
  <c r="AY306" i="1"/>
  <c r="AM306" i="1"/>
  <c r="AA306" i="1"/>
  <c r="O306" i="1"/>
  <c r="P306" i="1" s="1"/>
  <c r="AL306" i="1"/>
  <c r="Z306" i="1"/>
  <c r="N306" i="1"/>
  <c r="AK306" i="1"/>
  <c r="Y306" i="1"/>
  <c r="M306" i="1"/>
  <c r="AJ306" i="1"/>
  <c r="X306" i="1"/>
  <c r="AI306" i="1"/>
  <c r="W306" i="1"/>
  <c r="K306" i="1"/>
  <c r="L306" i="1" s="1"/>
  <c r="AH306" i="1"/>
  <c r="V306" i="1"/>
  <c r="J306" i="1"/>
  <c r="AQ301" i="1"/>
  <c r="AE301" i="1"/>
  <c r="S301" i="1"/>
  <c r="G301" i="1"/>
  <c r="AP301" i="1"/>
  <c r="AD301" i="1"/>
  <c r="R301" i="1"/>
  <c r="F301" i="1"/>
  <c r="AO301" i="1"/>
  <c r="Q301" i="1"/>
  <c r="E301" i="1"/>
  <c r="AN301" i="1"/>
  <c r="AB301" i="1"/>
  <c r="D301" i="1"/>
  <c r="AY301" i="1"/>
  <c r="AM301" i="1"/>
  <c r="AA301" i="1"/>
  <c r="O301" i="1"/>
  <c r="P301" i="1" s="1"/>
  <c r="AL301" i="1"/>
  <c r="Z301" i="1"/>
  <c r="N301" i="1"/>
  <c r="AK301" i="1"/>
  <c r="Y301" i="1"/>
  <c r="M301" i="1"/>
  <c r="AJ301" i="1"/>
  <c r="X301" i="1"/>
  <c r="AI301" i="1"/>
  <c r="W301" i="1"/>
  <c r="K301" i="1"/>
  <c r="L301" i="1" s="1"/>
  <c r="AH301" i="1"/>
  <c r="V301" i="1"/>
  <c r="J301" i="1"/>
  <c r="AS301" i="1"/>
  <c r="AG301" i="1"/>
  <c r="U301" i="1"/>
  <c r="I301" i="1"/>
  <c r="AR301" i="1"/>
  <c r="AF301" i="1"/>
  <c r="T301" i="1"/>
  <c r="H301" i="1"/>
  <c r="AT301" i="1" s="1"/>
  <c r="AO302" i="1"/>
  <c r="Q302" i="1"/>
  <c r="E302" i="1"/>
  <c r="AN302" i="1"/>
  <c r="AB302" i="1"/>
  <c r="D302" i="1"/>
  <c r="AY302" i="1"/>
  <c r="AM302" i="1"/>
  <c r="AA302" i="1"/>
  <c r="O302" i="1"/>
  <c r="P302" i="1" s="1"/>
  <c r="AL302" i="1"/>
  <c r="Z302" i="1"/>
  <c r="N302" i="1"/>
  <c r="AK302" i="1"/>
  <c r="Y302" i="1"/>
  <c r="M302" i="1"/>
  <c r="AJ302" i="1"/>
  <c r="X302" i="1"/>
  <c r="AI302" i="1"/>
  <c r="W302" i="1"/>
  <c r="K302" i="1"/>
  <c r="L302" i="1" s="1"/>
  <c r="AH302" i="1"/>
  <c r="V302" i="1"/>
  <c r="J302" i="1"/>
  <c r="AS302" i="1"/>
  <c r="AG302" i="1"/>
  <c r="U302" i="1"/>
  <c r="I302" i="1"/>
  <c r="AR302" i="1"/>
  <c r="AF302" i="1"/>
  <c r="T302" i="1"/>
  <c r="H302" i="1"/>
  <c r="AT302" i="1" s="1"/>
  <c r="AQ302" i="1"/>
  <c r="AE302" i="1"/>
  <c r="S302" i="1"/>
  <c r="G302" i="1"/>
  <c r="AP302" i="1"/>
  <c r="AD302" i="1"/>
  <c r="R302" i="1"/>
  <c r="F302" i="1"/>
  <c r="AY285" i="1"/>
  <c r="AM285" i="1"/>
  <c r="AA285" i="1"/>
  <c r="O285" i="1"/>
  <c r="P285" i="1" s="1"/>
  <c r="AL285" i="1"/>
  <c r="Z285" i="1"/>
  <c r="N285" i="1"/>
  <c r="AK285" i="1"/>
  <c r="Y285" i="1"/>
  <c r="M285" i="1"/>
  <c r="AJ285" i="1"/>
  <c r="X285" i="1"/>
  <c r="AI285" i="1"/>
  <c r="W285" i="1"/>
  <c r="K285" i="1"/>
  <c r="L285" i="1" s="1"/>
  <c r="AH285" i="1"/>
  <c r="V285" i="1"/>
  <c r="J285" i="1"/>
  <c r="AS285" i="1"/>
  <c r="AG285" i="1"/>
  <c r="U285" i="1"/>
  <c r="I285" i="1"/>
  <c r="AR285" i="1"/>
  <c r="AF285" i="1"/>
  <c r="T285" i="1"/>
  <c r="H285" i="1"/>
  <c r="AT285" i="1" s="1"/>
  <c r="AQ285" i="1"/>
  <c r="AE285" i="1"/>
  <c r="S285" i="1"/>
  <c r="G285" i="1"/>
  <c r="AP285" i="1"/>
  <c r="AD285" i="1"/>
  <c r="R285" i="1"/>
  <c r="F285" i="1"/>
  <c r="AO285" i="1"/>
  <c r="Q285" i="1"/>
  <c r="E285" i="1"/>
  <c r="AN285" i="1"/>
  <c r="AB285" i="1"/>
  <c r="D285" i="1"/>
  <c r="AK350" i="1"/>
  <c r="Y350" i="1"/>
  <c r="M350" i="1"/>
  <c r="AJ350" i="1"/>
  <c r="X350" i="1"/>
  <c r="AI350" i="1"/>
  <c r="W350" i="1"/>
  <c r="K350" i="1"/>
  <c r="L350" i="1" s="1"/>
  <c r="AH350" i="1"/>
  <c r="V350" i="1"/>
  <c r="J350" i="1"/>
  <c r="AS350" i="1"/>
  <c r="AG350" i="1"/>
  <c r="U350" i="1"/>
  <c r="I350" i="1"/>
  <c r="AR350" i="1"/>
  <c r="AF350" i="1"/>
  <c r="T350" i="1"/>
  <c r="H350" i="1"/>
  <c r="AT350" i="1" s="1"/>
  <c r="AQ350" i="1"/>
  <c r="AE350" i="1"/>
  <c r="S350" i="1"/>
  <c r="G350" i="1"/>
  <c r="AP350" i="1"/>
  <c r="AD350" i="1"/>
  <c r="R350" i="1"/>
  <c r="F350" i="1"/>
  <c r="AO350" i="1"/>
  <c r="AY350" i="1"/>
  <c r="AM350" i="1"/>
  <c r="AA350" i="1"/>
  <c r="O350" i="1"/>
  <c r="P350" i="1" s="1"/>
  <c r="AL350" i="1"/>
  <c r="Z350" i="1"/>
  <c r="N350" i="1"/>
  <c r="AN350" i="1"/>
  <c r="AB350" i="1"/>
  <c r="Q350" i="1"/>
  <c r="E350" i="1"/>
  <c r="D350" i="1"/>
  <c r="AI357" i="1"/>
  <c r="W357" i="1"/>
  <c r="K357" i="1"/>
  <c r="L357" i="1" s="1"/>
  <c r="AH357" i="1"/>
  <c r="V357" i="1"/>
  <c r="J357" i="1"/>
  <c r="AS357" i="1"/>
  <c r="AG357" i="1"/>
  <c r="U357" i="1"/>
  <c r="I357" i="1"/>
  <c r="AR357" i="1"/>
  <c r="AF357" i="1"/>
  <c r="T357" i="1"/>
  <c r="H357" i="1"/>
  <c r="AT357" i="1" s="1"/>
  <c r="AQ357" i="1"/>
  <c r="AE357" i="1"/>
  <c r="S357" i="1"/>
  <c r="G357" i="1"/>
  <c r="AP357" i="1"/>
  <c r="AD357" i="1"/>
  <c r="R357" i="1"/>
  <c r="F357" i="1"/>
  <c r="AO357" i="1"/>
  <c r="Q357" i="1"/>
  <c r="E357" i="1"/>
  <c r="AN357" i="1"/>
  <c r="AB357" i="1"/>
  <c r="D357" i="1"/>
  <c r="AY357" i="1"/>
  <c r="AM357" i="1"/>
  <c r="AA357" i="1"/>
  <c r="O357" i="1"/>
  <c r="P357" i="1" s="1"/>
  <c r="AL357" i="1"/>
  <c r="Z357" i="1"/>
  <c r="N357" i="1"/>
  <c r="AK357" i="1"/>
  <c r="Y357" i="1"/>
  <c r="M357" i="1"/>
  <c r="AJ357" i="1"/>
  <c r="X357" i="1"/>
  <c r="AS352" i="1"/>
  <c r="AG352" i="1"/>
  <c r="U352" i="1"/>
  <c r="I352" i="1"/>
  <c r="AR352" i="1"/>
  <c r="AF352" i="1"/>
  <c r="T352" i="1"/>
  <c r="H352" i="1"/>
  <c r="AT352" i="1" s="1"/>
  <c r="AQ352" i="1"/>
  <c r="AE352" i="1"/>
  <c r="S352" i="1"/>
  <c r="G352" i="1"/>
  <c r="AP352" i="1"/>
  <c r="AD352" i="1"/>
  <c r="R352" i="1"/>
  <c r="F352" i="1"/>
  <c r="AO352" i="1"/>
  <c r="Q352" i="1"/>
  <c r="E352" i="1"/>
  <c r="AN352" i="1"/>
  <c r="AB352" i="1"/>
  <c r="D352" i="1"/>
  <c r="AY352" i="1"/>
  <c r="AM352" i="1"/>
  <c r="AA352" i="1"/>
  <c r="O352" i="1"/>
  <c r="P352" i="1" s="1"/>
  <c r="AL352" i="1"/>
  <c r="Z352" i="1"/>
  <c r="N352" i="1"/>
  <c r="AK352" i="1"/>
  <c r="Y352" i="1"/>
  <c r="M352" i="1"/>
  <c r="AJ352" i="1"/>
  <c r="X352" i="1"/>
  <c r="AI352" i="1"/>
  <c r="W352" i="1"/>
  <c r="K352" i="1"/>
  <c r="L352" i="1" s="1"/>
  <c r="AH352" i="1"/>
  <c r="V352" i="1"/>
  <c r="J352" i="1"/>
  <c r="AQ347" i="1"/>
  <c r="AE347" i="1"/>
  <c r="S347" i="1"/>
  <c r="G347" i="1"/>
  <c r="AP347" i="1"/>
  <c r="AD347" i="1"/>
  <c r="R347" i="1"/>
  <c r="F347" i="1"/>
  <c r="AO347" i="1"/>
  <c r="Q347" i="1"/>
  <c r="E347" i="1"/>
  <c r="AN347" i="1"/>
  <c r="AB347" i="1"/>
  <c r="D347" i="1"/>
  <c r="AY347" i="1"/>
  <c r="AM347" i="1"/>
  <c r="AA347" i="1"/>
  <c r="O347" i="1"/>
  <c r="P347" i="1" s="1"/>
  <c r="AL347" i="1"/>
  <c r="Z347" i="1"/>
  <c r="N347" i="1"/>
  <c r="AK347" i="1"/>
  <c r="Y347" i="1"/>
  <c r="M347" i="1"/>
  <c r="AJ347" i="1"/>
  <c r="X347" i="1"/>
  <c r="AS347" i="1"/>
  <c r="AG347" i="1"/>
  <c r="U347" i="1"/>
  <c r="I347" i="1"/>
  <c r="AR347" i="1"/>
  <c r="AF347" i="1"/>
  <c r="T347" i="1"/>
  <c r="H347" i="1"/>
  <c r="AT347" i="1" s="1"/>
  <c r="AH347" i="1"/>
  <c r="W347" i="1"/>
  <c r="V347" i="1"/>
  <c r="K347" i="1"/>
  <c r="L347" i="1" s="1"/>
  <c r="J347" i="1"/>
  <c r="AI347" i="1"/>
  <c r="AO348" i="1"/>
  <c r="Q348" i="1"/>
  <c r="E348" i="1"/>
  <c r="AN348" i="1"/>
  <c r="AB348" i="1"/>
  <c r="D348" i="1"/>
  <c r="AY348" i="1"/>
  <c r="AM348" i="1"/>
  <c r="AA348" i="1"/>
  <c r="O348" i="1"/>
  <c r="P348" i="1" s="1"/>
  <c r="AL348" i="1"/>
  <c r="Z348" i="1"/>
  <c r="N348" i="1"/>
  <c r="AK348" i="1"/>
  <c r="Y348" i="1"/>
  <c r="M348" i="1"/>
  <c r="AJ348" i="1"/>
  <c r="X348" i="1"/>
  <c r="AI348" i="1"/>
  <c r="W348" i="1"/>
  <c r="K348" i="1"/>
  <c r="L348" i="1" s="1"/>
  <c r="AH348" i="1"/>
  <c r="V348" i="1"/>
  <c r="J348" i="1"/>
  <c r="AQ348" i="1"/>
  <c r="AE348" i="1"/>
  <c r="S348" i="1"/>
  <c r="G348" i="1"/>
  <c r="AP348" i="1"/>
  <c r="AD348" i="1"/>
  <c r="R348" i="1"/>
  <c r="F348" i="1"/>
  <c r="AG348" i="1"/>
  <c r="AF348" i="1"/>
  <c r="U348" i="1"/>
  <c r="T348" i="1"/>
  <c r="I348" i="1"/>
  <c r="H348" i="1"/>
  <c r="AT348" i="1" s="1"/>
  <c r="AS348" i="1"/>
  <c r="AR348" i="1"/>
  <c r="AY331" i="1"/>
  <c r="AM331" i="1"/>
  <c r="AA331" i="1"/>
  <c r="O331" i="1"/>
  <c r="P331" i="1" s="1"/>
  <c r="AL331" i="1"/>
  <c r="Z331" i="1"/>
  <c r="N331" i="1"/>
  <c r="AH331" i="1"/>
  <c r="V331" i="1"/>
  <c r="J331" i="1"/>
  <c r="AS331" i="1"/>
  <c r="AG331" i="1"/>
  <c r="U331" i="1"/>
  <c r="I331" i="1"/>
  <c r="AR331" i="1"/>
  <c r="AF331" i="1"/>
  <c r="T331" i="1"/>
  <c r="H331" i="1"/>
  <c r="AT331" i="1" s="1"/>
  <c r="AQ331" i="1"/>
  <c r="X331" i="1"/>
  <c r="D331" i="1"/>
  <c r="AP331" i="1"/>
  <c r="W331" i="1"/>
  <c r="AO331" i="1"/>
  <c r="S331" i="1"/>
  <c r="AN331" i="1"/>
  <c r="R331" i="1"/>
  <c r="AK331" i="1"/>
  <c r="Q331" i="1"/>
  <c r="AJ331" i="1"/>
  <c r="AI331" i="1"/>
  <c r="M331" i="1"/>
  <c r="AE331" i="1"/>
  <c r="AD331" i="1"/>
  <c r="K331" i="1"/>
  <c r="L331" i="1" s="1"/>
  <c r="G331" i="1"/>
  <c r="AB331" i="1"/>
  <c r="F331" i="1"/>
  <c r="Y331" i="1"/>
  <c r="E331" i="1"/>
  <c r="AY403" i="1"/>
  <c r="AM403" i="1"/>
  <c r="AA403" i="1"/>
  <c r="O403" i="1"/>
  <c r="P403" i="1" s="1"/>
  <c r="AL403" i="1"/>
  <c r="Z403" i="1"/>
  <c r="N403" i="1"/>
  <c r="AK403" i="1"/>
  <c r="Y403" i="1"/>
  <c r="M403" i="1"/>
  <c r="AJ403" i="1"/>
  <c r="X403" i="1"/>
  <c r="AI403" i="1"/>
  <c r="W403" i="1"/>
  <c r="K403" i="1"/>
  <c r="L403" i="1" s="1"/>
  <c r="AH403" i="1"/>
  <c r="V403" i="1"/>
  <c r="J403" i="1"/>
  <c r="AS403" i="1"/>
  <c r="AG403" i="1"/>
  <c r="U403" i="1"/>
  <c r="I403" i="1"/>
  <c r="AR403" i="1"/>
  <c r="AF403" i="1"/>
  <c r="T403" i="1"/>
  <c r="H403" i="1"/>
  <c r="AT403" i="1" s="1"/>
  <c r="AQ403" i="1"/>
  <c r="AE403" i="1"/>
  <c r="S403" i="1"/>
  <c r="G403" i="1"/>
  <c r="AP403" i="1"/>
  <c r="AD403" i="1"/>
  <c r="R403" i="1"/>
  <c r="F403" i="1"/>
  <c r="AO403" i="1"/>
  <c r="Q403" i="1"/>
  <c r="E403" i="1"/>
  <c r="AN403" i="1"/>
  <c r="AB403" i="1"/>
  <c r="D403" i="1"/>
  <c r="AL485" i="1"/>
  <c r="Z485" i="1"/>
  <c r="N485" i="1"/>
  <c r="AK485" i="1"/>
  <c r="Y485" i="1"/>
  <c r="M485" i="1"/>
  <c r="AJ485" i="1"/>
  <c r="X485" i="1"/>
  <c r="AI485" i="1"/>
  <c r="W485" i="1"/>
  <c r="K485" i="1"/>
  <c r="L485" i="1" s="1"/>
  <c r="AH485" i="1"/>
  <c r="V485" i="1"/>
  <c r="J485" i="1"/>
  <c r="AS485" i="1"/>
  <c r="AG485" i="1"/>
  <c r="U485" i="1"/>
  <c r="I485" i="1"/>
  <c r="AR485" i="1"/>
  <c r="AF485" i="1"/>
  <c r="T485" i="1"/>
  <c r="H485" i="1"/>
  <c r="AT485" i="1" s="1"/>
  <c r="AQ485" i="1"/>
  <c r="AE485" i="1"/>
  <c r="S485" i="1"/>
  <c r="G485" i="1"/>
  <c r="AP485" i="1"/>
  <c r="AD485" i="1"/>
  <c r="R485" i="1"/>
  <c r="F485" i="1"/>
  <c r="AO485" i="1"/>
  <c r="Q485" i="1"/>
  <c r="E485" i="1"/>
  <c r="AN485" i="1"/>
  <c r="AB485" i="1"/>
  <c r="D485" i="1"/>
  <c r="AY485" i="1"/>
  <c r="AM485" i="1"/>
  <c r="AA485" i="1"/>
  <c r="O485" i="1"/>
  <c r="P485" i="1" s="1"/>
  <c r="AJ474" i="1"/>
  <c r="X474" i="1"/>
  <c r="AI474" i="1"/>
  <c r="W474" i="1"/>
  <c r="K474" i="1"/>
  <c r="L474" i="1" s="1"/>
  <c r="AH474" i="1"/>
  <c r="V474" i="1"/>
  <c r="J474" i="1"/>
  <c r="AS474" i="1"/>
  <c r="AG474" i="1"/>
  <c r="U474" i="1"/>
  <c r="I474" i="1"/>
  <c r="AR474" i="1"/>
  <c r="AF474" i="1"/>
  <c r="T474" i="1"/>
  <c r="H474" i="1"/>
  <c r="AT474" i="1" s="1"/>
  <c r="AQ474" i="1"/>
  <c r="AE474" i="1"/>
  <c r="S474" i="1"/>
  <c r="G474" i="1"/>
  <c r="AP474" i="1"/>
  <c r="AD474" i="1"/>
  <c r="R474" i="1"/>
  <c r="F474" i="1"/>
  <c r="AO474" i="1"/>
  <c r="Q474" i="1"/>
  <c r="E474" i="1"/>
  <c r="AN474" i="1"/>
  <c r="AB474" i="1"/>
  <c r="D474" i="1"/>
  <c r="AY474" i="1"/>
  <c r="AM474" i="1"/>
  <c r="AA474" i="1"/>
  <c r="O474" i="1"/>
  <c r="P474" i="1" s="1"/>
  <c r="AL474" i="1"/>
  <c r="Z474" i="1"/>
  <c r="N474" i="1"/>
  <c r="AK474" i="1"/>
  <c r="Y474" i="1"/>
  <c r="M474" i="1"/>
  <c r="AH469" i="1"/>
  <c r="V469" i="1"/>
  <c r="J469" i="1"/>
  <c r="AS469" i="1"/>
  <c r="AG469" i="1"/>
  <c r="U469" i="1"/>
  <c r="I469" i="1"/>
  <c r="AR469" i="1"/>
  <c r="AF469" i="1"/>
  <c r="T469" i="1"/>
  <c r="H469" i="1"/>
  <c r="AT469" i="1" s="1"/>
  <c r="AQ469" i="1"/>
  <c r="AE469" i="1"/>
  <c r="S469" i="1"/>
  <c r="G469" i="1"/>
  <c r="AP469" i="1"/>
  <c r="AD469" i="1"/>
  <c r="R469" i="1"/>
  <c r="F469" i="1"/>
  <c r="AO469" i="1"/>
  <c r="Q469" i="1"/>
  <c r="E469" i="1"/>
  <c r="AN469" i="1"/>
  <c r="AB469" i="1"/>
  <c r="D469" i="1"/>
  <c r="AY469" i="1"/>
  <c r="AM469" i="1"/>
  <c r="AA469" i="1"/>
  <c r="O469" i="1"/>
  <c r="P469" i="1" s="1"/>
  <c r="AL469" i="1"/>
  <c r="Z469" i="1"/>
  <c r="N469" i="1"/>
  <c r="AK469" i="1"/>
  <c r="Y469" i="1"/>
  <c r="M469" i="1"/>
  <c r="AJ469" i="1"/>
  <c r="X469" i="1"/>
  <c r="AI469" i="1"/>
  <c r="W469" i="1"/>
  <c r="K469" i="1"/>
  <c r="L469" i="1" s="1"/>
  <c r="AR464" i="1"/>
  <c r="AF464" i="1"/>
  <c r="T464" i="1"/>
  <c r="H464" i="1"/>
  <c r="AT464" i="1" s="1"/>
  <c r="AQ464" i="1"/>
  <c r="AE464" i="1"/>
  <c r="S464" i="1"/>
  <c r="G464" i="1"/>
  <c r="AP464" i="1"/>
  <c r="AD464" i="1"/>
  <c r="R464" i="1"/>
  <c r="F464" i="1"/>
  <c r="AO464" i="1"/>
  <c r="Q464" i="1"/>
  <c r="E464" i="1"/>
  <c r="AN464" i="1"/>
  <c r="AB464" i="1"/>
  <c r="D464" i="1"/>
  <c r="AY464" i="1"/>
  <c r="AM464" i="1"/>
  <c r="AA464" i="1"/>
  <c r="O464" i="1"/>
  <c r="P464" i="1" s="1"/>
  <c r="AL464" i="1"/>
  <c r="Z464" i="1"/>
  <c r="N464" i="1"/>
  <c r="AK464" i="1"/>
  <c r="Y464" i="1"/>
  <c r="M464" i="1"/>
  <c r="AJ464" i="1"/>
  <c r="X464" i="1"/>
  <c r="AI464" i="1"/>
  <c r="W464" i="1"/>
  <c r="K464" i="1"/>
  <c r="L464" i="1" s="1"/>
  <c r="AH464" i="1"/>
  <c r="V464" i="1"/>
  <c r="J464" i="1"/>
  <c r="AS464" i="1"/>
  <c r="AG464" i="1"/>
  <c r="U464" i="1"/>
  <c r="I464" i="1"/>
  <c r="AP459" i="1"/>
  <c r="AD459" i="1"/>
  <c r="R459" i="1"/>
  <c r="F459" i="1"/>
  <c r="AO459" i="1"/>
  <c r="Q459" i="1"/>
  <c r="E459" i="1"/>
  <c r="AN459" i="1"/>
  <c r="AB459" i="1"/>
  <c r="D459" i="1"/>
  <c r="AY459" i="1"/>
  <c r="AM459" i="1"/>
  <c r="AA459" i="1"/>
  <c r="O459" i="1"/>
  <c r="P459" i="1" s="1"/>
  <c r="AL459" i="1"/>
  <c r="Z459" i="1"/>
  <c r="N459" i="1"/>
  <c r="AK459" i="1"/>
  <c r="Y459" i="1"/>
  <c r="M459" i="1"/>
  <c r="AJ459" i="1"/>
  <c r="X459" i="1"/>
  <c r="AI459" i="1"/>
  <c r="W459" i="1"/>
  <c r="K459" i="1"/>
  <c r="L459" i="1" s="1"/>
  <c r="AH459" i="1"/>
  <c r="V459" i="1"/>
  <c r="J459" i="1"/>
  <c r="AS459" i="1"/>
  <c r="AG459" i="1"/>
  <c r="U459" i="1"/>
  <c r="I459" i="1"/>
  <c r="AR459" i="1"/>
  <c r="AF459" i="1"/>
  <c r="T459" i="1"/>
  <c r="H459" i="1"/>
  <c r="AT459" i="1" s="1"/>
  <c r="AQ459" i="1"/>
  <c r="AE459" i="1"/>
  <c r="S459" i="1"/>
  <c r="G459" i="1"/>
  <c r="AN448" i="1"/>
  <c r="AB448" i="1"/>
  <c r="D448" i="1"/>
  <c r="AY448" i="1"/>
  <c r="AM448" i="1"/>
  <c r="AA448" i="1"/>
  <c r="O448" i="1"/>
  <c r="P448" i="1" s="1"/>
  <c r="AL448" i="1"/>
  <c r="Z448" i="1"/>
  <c r="N448" i="1"/>
  <c r="AK448" i="1"/>
  <c r="Y448" i="1"/>
  <c r="M448" i="1"/>
  <c r="AJ448" i="1"/>
  <c r="X448" i="1"/>
  <c r="AI448" i="1"/>
  <c r="W448" i="1"/>
  <c r="K448" i="1"/>
  <c r="L448" i="1" s="1"/>
  <c r="AH448" i="1"/>
  <c r="V448" i="1"/>
  <c r="J448" i="1"/>
  <c r="AS448" i="1"/>
  <c r="AG448" i="1"/>
  <c r="U448" i="1"/>
  <c r="I448" i="1"/>
  <c r="AR448" i="1"/>
  <c r="AF448" i="1"/>
  <c r="T448" i="1"/>
  <c r="H448" i="1"/>
  <c r="AT448" i="1" s="1"/>
  <c r="AQ448" i="1"/>
  <c r="AE448" i="1"/>
  <c r="S448" i="1"/>
  <c r="G448" i="1"/>
  <c r="AP448" i="1"/>
  <c r="AD448" i="1"/>
  <c r="R448" i="1"/>
  <c r="F448" i="1"/>
  <c r="AO448" i="1"/>
  <c r="Q448" i="1"/>
  <c r="E448" i="1"/>
  <c r="AL524" i="1"/>
  <c r="Z524" i="1"/>
  <c r="N524" i="1"/>
  <c r="AK524" i="1"/>
  <c r="Y524" i="1"/>
  <c r="M524" i="1"/>
  <c r="AJ524" i="1"/>
  <c r="X524" i="1"/>
  <c r="AI524" i="1"/>
  <c r="W524" i="1"/>
  <c r="K524" i="1"/>
  <c r="L524" i="1" s="1"/>
  <c r="AH524" i="1"/>
  <c r="V524" i="1"/>
  <c r="J524" i="1"/>
  <c r="AS524" i="1"/>
  <c r="AG524" i="1"/>
  <c r="U524" i="1"/>
  <c r="I524" i="1"/>
  <c r="AR524" i="1"/>
  <c r="AF524" i="1"/>
  <c r="T524" i="1"/>
  <c r="H524" i="1"/>
  <c r="AT524" i="1" s="1"/>
  <c r="AQ524" i="1"/>
  <c r="AE524" i="1"/>
  <c r="S524" i="1"/>
  <c r="G524" i="1"/>
  <c r="AP524" i="1"/>
  <c r="AD524" i="1"/>
  <c r="R524" i="1"/>
  <c r="F524" i="1"/>
  <c r="AO524" i="1"/>
  <c r="Q524" i="1"/>
  <c r="E524" i="1"/>
  <c r="AN524" i="1"/>
  <c r="AB524" i="1"/>
  <c r="D524" i="1"/>
  <c r="AY524" i="1"/>
  <c r="AM524" i="1"/>
  <c r="AA524" i="1"/>
  <c r="O524" i="1"/>
  <c r="P524" i="1" s="1"/>
  <c r="AH508" i="1"/>
  <c r="V508" i="1"/>
  <c r="J508" i="1"/>
  <c r="AS508" i="1"/>
  <c r="AG508" i="1"/>
  <c r="U508" i="1"/>
  <c r="I508" i="1"/>
  <c r="AR508" i="1"/>
  <c r="AF508" i="1"/>
  <c r="T508" i="1"/>
  <c r="H508" i="1"/>
  <c r="AT508" i="1" s="1"/>
  <c r="AQ508" i="1"/>
  <c r="AE508" i="1"/>
  <c r="S508" i="1"/>
  <c r="G508" i="1"/>
  <c r="AP508" i="1"/>
  <c r="AD508" i="1"/>
  <c r="R508" i="1"/>
  <c r="F508" i="1"/>
  <c r="AO508" i="1"/>
  <c r="Q508" i="1"/>
  <c r="E508" i="1"/>
  <c r="AN508" i="1"/>
  <c r="AB508" i="1"/>
  <c r="D508" i="1"/>
  <c r="AY508" i="1"/>
  <c r="AM508" i="1"/>
  <c r="AA508" i="1"/>
  <c r="O508" i="1"/>
  <c r="P508" i="1" s="1"/>
  <c r="AL508" i="1"/>
  <c r="Z508" i="1"/>
  <c r="N508" i="1"/>
  <c r="AK508" i="1"/>
  <c r="Y508" i="1"/>
  <c r="M508" i="1"/>
  <c r="AJ508" i="1"/>
  <c r="X508" i="1"/>
  <c r="AI508" i="1"/>
  <c r="W508" i="1"/>
  <c r="K508" i="1"/>
  <c r="L508" i="1" s="1"/>
  <c r="AJ536" i="1"/>
  <c r="X536" i="1"/>
  <c r="AI536" i="1"/>
  <c r="W536" i="1"/>
  <c r="K536" i="1"/>
  <c r="L536" i="1" s="1"/>
  <c r="AP536" i="1"/>
  <c r="AD536" i="1"/>
  <c r="R536" i="1"/>
  <c r="F536" i="1"/>
  <c r="AO536" i="1"/>
  <c r="Q536" i="1"/>
  <c r="E536" i="1"/>
  <c r="AS536" i="1"/>
  <c r="AB536" i="1"/>
  <c r="J536" i="1"/>
  <c r="AR536" i="1"/>
  <c r="AA536" i="1"/>
  <c r="I536" i="1"/>
  <c r="AQ536" i="1"/>
  <c r="Z536" i="1"/>
  <c r="H536" i="1"/>
  <c r="AT536" i="1" s="1"/>
  <c r="AN536" i="1"/>
  <c r="Y536" i="1"/>
  <c r="G536" i="1"/>
  <c r="AM536" i="1"/>
  <c r="V536" i="1"/>
  <c r="D536" i="1"/>
  <c r="AL536" i="1"/>
  <c r="U536" i="1"/>
  <c r="AK536" i="1"/>
  <c r="T536" i="1"/>
  <c r="AH536" i="1"/>
  <c r="S536" i="1"/>
  <c r="AY536" i="1"/>
  <c r="AG536" i="1"/>
  <c r="AF536" i="1"/>
  <c r="O536" i="1"/>
  <c r="P536" i="1" s="1"/>
  <c r="AE536" i="1"/>
  <c r="N536" i="1"/>
  <c r="M536" i="1"/>
  <c r="AN523" i="1"/>
  <c r="AB523" i="1"/>
  <c r="D523" i="1"/>
  <c r="AY523" i="1"/>
  <c r="AM523" i="1"/>
  <c r="AA523" i="1"/>
  <c r="O523" i="1"/>
  <c r="P523" i="1" s="1"/>
  <c r="AL523" i="1"/>
  <c r="Z523" i="1"/>
  <c r="N523" i="1"/>
  <c r="AK523" i="1"/>
  <c r="Y523" i="1"/>
  <c r="M523" i="1"/>
  <c r="AJ523" i="1"/>
  <c r="X523" i="1"/>
  <c r="AI523" i="1"/>
  <c r="W523" i="1"/>
  <c r="K523" i="1"/>
  <c r="L523" i="1" s="1"/>
  <c r="AH523" i="1"/>
  <c r="V523" i="1"/>
  <c r="J523" i="1"/>
  <c r="AS523" i="1"/>
  <c r="AG523" i="1"/>
  <c r="U523" i="1"/>
  <c r="I523" i="1"/>
  <c r="AR523" i="1"/>
  <c r="AF523" i="1"/>
  <c r="T523" i="1"/>
  <c r="H523" i="1"/>
  <c r="AT523" i="1" s="1"/>
  <c r="AQ523" i="1"/>
  <c r="AE523" i="1"/>
  <c r="S523" i="1"/>
  <c r="G523" i="1"/>
  <c r="AP523" i="1"/>
  <c r="AD523" i="1"/>
  <c r="R523" i="1"/>
  <c r="F523" i="1"/>
  <c r="AO523" i="1"/>
  <c r="Q523" i="1"/>
  <c r="E523" i="1"/>
  <c r="AJ554" i="1"/>
  <c r="X554" i="1"/>
  <c r="AI554" i="1"/>
  <c r="W554" i="1"/>
  <c r="K554" i="1"/>
  <c r="L554" i="1" s="1"/>
  <c r="AH554" i="1"/>
  <c r="V554" i="1"/>
  <c r="J554" i="1"/>
  <c r="AS554" i="1"/>
  <c r="AG554" i="1"/>
  <c r="U554" i="1"/>
  <c r="I554" i="1"/>
  <c r="AR554" i="1"/>
  <c r="AF554" i="1"/>
  <c r="T554" i="1"/>
  <c r="H554" i="1"/>
  <c r="AT554" i="1" s="1"/>
  <c r="AQ554" i="1"/>
  <c r="AE554" i="1"/>
  <c r="S554" i="1"/>
  <c r="G554" i="1"/>
  <c r="AP554" i="1"/>
  <c r="AD554" i="1"/>
  <c r="R554" i="1"/>
  <c r="F554" i="1"/>
  <c r="AO554" i="1"/>
  <c r="Q554" i="1"/>
  <c r="E554" i="1"/>
  <c r="AN554" i="1"/>
  <c r="AB554" i="1"/>
  <c r="D554" i="1"/>
  <c r="AY554" i="1"/>
  <c r="AM554" i="1"/>
  <c r="AA554" i="1"/>
  <c r="O554" i="1"/>
  <c r="P554" i="1" s="1"/>
  <c r="AL554" i="1"/>
  <c r="Z554" i="1"/>
  <c r="N554" i="1"/>
  <c r="AK554" i="1"/>
  <c r="Y554" i="1"/>
  <c r="M554" i="1"/>
  <c r="AH573" i="1"/>
  <c r="V573" i="1"/>
  <c r="J573" i="1"/>
  <c r="AS573" i="1"/>
  <c r="AG573" i="1"/>
  <c r="U573" i="1"/>
  <c r="I573" i="1"/>
  <c r="AR573" i="1"/>
  <c r="AF573" i="1"/>
  <c r="T573" i="1"/>
  <c r="H573" i="1"/>
  <c r="AT573" i="1" s="1"/>
  <c r="AQ573" i="1"/>
  <c r="AE573" i="1"/>
  <c r="S573" i="1"/>
  <c r="G573" i="1"/>
  <c r="AP573" i="1"/>
  <c r="AD573" i="1"/>
  <c r="R573" i="1"/>
  <c r="F573" i="1"/>
  <c r="AO573" i="1"/>
  <c r="Q573" i="1"/>
  <c r="E573" i="1"/>
  <c r="AN573" i="1"/>
  <c r="AB573" i="1"/>
  <c r="D573" i="1"/>
  <c r="AY573" i="1"/>
  <c r="AM573" i="1"/>
  <c r="AA573" i="1"/>
  <c r="O573" i="1"/>
  <c r="P573" i="1" s="1"/>
  <c r="AL573" i="1"/>
  <c r="Z573" i="1"/>
  <c r="N573" i="1"/>
  <c r="AK573" i="1"/>
  <c r="Y573" i="1"/>
  <c r="M573" i="1"/>
  <c r="AJ573" i="1"/>
  <c r="X573" i="1"/>
  <c r="AI573" i="1"/>
  <c r="W573" i="1"/>
  <c r="K573" i="1"/>
  <c r="L573" i="1" s="1"/>
  <c r="AP575" i="1"/>
  <c r="AD575" i="1"/>
  <c r="R575" i="1"/>
  <c r="F575" i="1"/>
  <c r="AO575" i="1"/>
  <c r="Q575" i="1"/>
  <c r="E575" i="1"/>
  <c r="AN575" i="1"/>
  <c r="AB575" i="1"/>
  <c r="D575" i="1"/>
  <c r="AY575" i="1"/>
  <c r="AM575" i="1"/>
  <c r="AA575" i="1"/>
  <c r="O575" i="1"/>
  <c r="P575" i="1" s="1"/>
  <c r="AL575" i="1"/>
  <c r="Z575" i="1"/>
  <c r="N575" i="1"/>
  <c r="AK575" i="1"/>
  <c r="Y575" i="1"/>
  <c r="M575" i="1"/>
  <c r="AJ575" i="1"/>
  <c r="X575" i="1"/>
  <c r="AI575" i="1"/>
  <c r="W575" i="1"/>
  <c r="K575" i="1"/>
  <c r="L575" i="1" s="1"/>
  <c r="AH575" i="1"/>
  <c r="V575" i="1"/>
  <c r="J575" i="1"/>
  <c r="AS575" i="1"/>
  <c r="AG575" i="1"/>
  <c r="U575" i="1"/>
  <c r="I575" i="1"/>
  <c r="AR575" i="1"/>
  <c r="AF575" i="1"/>
  <c r="T575" i="1"/>
  <c r="H575" i="1"/>
  <c r="AT575" i="1" s="1"/>
  <c r="AQ575" i="1"/>
  <c r="AE575" i="1"/>
  <c r="S575" i="1"/>
  <c r="G575" i="1"/>
  <c r="AK585" i="1"/>
  <c r="Y585" i="1"/>
  <c r="M585" i="1"/>
  <c r="AJ585" i="1"/>
  <c r="X585" i="1"/>
  <c r="AI585" i="1"/>
  <c r="W585" i="1"/>
  <c r="K585" i="1"/>
  <c r="L585" i="1" s="1"/>
  <c r="AH585" i="1"/>
  <c r="V585" i="1"/>
  <c r="J585" i="1"/>
  <c r="AQ585" i="1"/>
  <c r="AE585" i="1"/>
  <c r="S585" i="1"/>
  <c r="G585" i="1"/>
  <c r="AP585" i="1"/>
  <c r="AD585" i="1"/>
  <c r="R585" i="1"/>
  <c r="F585" i="1"/>
  <c r="AA585" i="1"/>
  <c r="Z585" i="1"/>
  <c r="AS585" i="1"/>
  <c r="U585" i="1"/>
  <c r="AR585" i="1"/>
  <c r="T585" i="1"/>
  <c r="AO585" i="1"/>
  <c r="Q585" i="1"/>
  <c r="AN585" i="1"/>
  <c r="AM585" i="1"/>
  <c r="O585" i="1"/>
  <c r="P585" i="1" s="1"/>
  <c r="AL585" i="1"/>
  <c r="N585" i="1"/>
  <c r="AG585" i="1"/>
  <c r="I585" i="1"/>
  <c r="AF585" i="1"/>
  <c r="H585" i="1"/>
  <c r="AT585" i="1" s="1"/>
  <c r="E585" i="1"/>
  <c r="AY585" i="1"/>
  <c r="AB585" i="1"/>
  <c r="D585" i="1"/>
  <c r="AI616" i="1"/>
  <c r="W616" i="1"/>
  <c r="K616" i="1"/>
  <c r="L616" i="1" s="1"/>
  <c r="AH616" i="1"/>
  <c r="V616" i="1"/>
  <c r="J616" i="1"/>
  <c r="AS616" i="1"/>
  <c r="AG616" i="1"/>
  <c r="U616" i="1"/>
  <c r="I616" i="1"/>
  <c r="AR616" i="1"/>
  <c r="AF616" i="1"/>
  <c r="T616" i="1"/>
  <c r="H616" i="1"/>
  <c r="AT616" i="1" s="1"/>
  <c r="AQ616" i="1"/>
  <c r="AE616" i="1"/>
  <c r="S616" i="1"/>
  <c r="G616" i="1"/>
  <c r="AP616" i="1"/>
  <c r="AD616" i="1"/>
  <c r="R616" i="1"/>
  <c r="F616" i="1"/>
  <c r="AO616" i="1"/>
  <c r="Q616" i="1"/>
  <c r="E616" i="1"/>
  <c r="AN616" i="1"/>
  <c r="AB616" i="1"/>
  <c r="D616" i="1"/>
  <c r="AY616" i="1"/>
  <c r="AM616" i="1"/>
  <c r="AA616" i="1"/>
  <c r="O616" i="1"/>
  <c r="P616" i="1" s="1"/>
  <c r="AL616" i="1"/>
  <c r="Z616" i="1"/>
  <c r="N616" i="1"/>
  <c r="AK616" i="1"/>
  <c r="Y616" i="1"/>
  <c r="M616" i="1"/>
  <c r="AJ616" i="1"/>
  <c r="X616" i="1"/>
  <c r="AR632" i="1"/>
  <c r="AF632" i="1"/>
  <c r="T632" i="1"/>
  <c r="H632" i="1"/>
  <c r="AT632" i="1" s="1"/>
  <c r="AQ632" i="1"/>
  <c r="AE632" i="1"/>
  <c r="S632" i="1"/>
  <c r="G632" i="1"/>
  <c r="AL632" i="1"/>
  <c r="Z632" i="1"/>
  <c r="N632" i="1"/>
  <c r="AK632" i="1"/>
  <c r="Y632" i="1"/>
  <c r="M632" i="1"/>
  <c r="AB632" i="1"/>
  <c r="J632" i="1"/>
  <c r="AS632" i="1"/>
  <c r="AA632" i="1"/>
  <c r="I632" i="1"/>
  <c r="AP632" i="1"/>
  <c r="X632" i="1"/>
  <c r="F632" i="1"/>
  <c r="AO632" i="1"/>
  <c r="W632" i="1"/>
  <c r="E632" i="1"/>
  <c r="AN632" i="1"/>
  <c r="V632" i="1"/>
  <c r="D632" i="1"/>
  <c r="AM632" i="1"/>
  <c r="U632" i="1"/>
  <c r="AJ632" i="1"/>
  <c r="R632" i="1"/>
  <c r="AY632" i="1"/>
  <c r="AI632" i="1"/>
  <c r="Q632" i="1"/>
  <c r="AH632" i="1"/>
  <c r="AG632" i="1"/>
  <c r="O632" i="1"/>
  <c r="P632" i="1" s="1"/>
  <c r="AD632" i="1"/>
  <c r="K632" i="1"/>
  <c r="L632" i="1" s="1"/>
  <c r="AO607" i="1"/>
  <c r="Q607" i="1"/>
  <c r="E607" i="1"/>
  <c r="AN607" i="1"/>
  <c r="AB607" i="1"/>
  <c r="D607" i="1"/>
  <c r="AY607" i="1"/>
  <c r="AM607" i="1"/>
  <c r="AA607" i="1"/>
  <c r="O607" i="1"/>
  <c r="P607" i="1" s="1"/>
  <c r="AL607" i="1"/>
  <c r="Z607" i="1"/>
  <c r="N607" i="1"/>
  <c r="AK607" i="1"/>
  <c r="Y607" i="1"/>
  <c r="M607" i="1"/>
  <c r="AJ607" i="1"/>
  <c r="X607" i="1"/>
  <c r="AI607" i="1"/>
  <c r="W607" i="1"/>
  <c r="K607" i="1"/>
  <c r="L607" i="1" s="1"/>
  <c r="AH607" i="1"/>
  <c r="V607" i="1"/>
  <c r="J607" i="1"/>
  <c r="AS607" i="1"/>
  <c r="AG607" i="1"/>
  <c r="U607" i="1"/>
  <c r="I607" i="1"/>
  <c r="AR607" i="1"/>
  <c r="AF607" i="1"/>
  <c r="T607" i="1"/>
  <c r="H607" i="1"/>
  <c r="AT607" i="1" s="1"/>
  <c r="AQ607" i="1"/>
  <c r="AE607" i="1"/>
  <c r="S607" i="1"/>
  <c r="G607" i="1"/>
  <c r="AP607" i="1"/>
  <c r="AD607" i="1"/>
  <c r="R607" i="1"/>
  <c r="F607" i="1"/>
  <c r="AJ630" i="1"/>
  <c r="X630" i="1"/>
  <c r="AI630" i="1"/>
  <c r="W630" i="1"/>
  <c r="K630" i="1"/>
  <c r="L630" i="1" s="1"/>
  <c r="AP630" i="1"/>
  <c r="AD630" i="1"/>
  <c r="R630" i="1"/>
  <c r="F630" i="1"/>
  <c r="AO630" i="1"/>
  <c r="Q630" i="1"/>
  <c r="E630" i="1"/>
  <c r="AL630" i="1"/>
  <c r="U630" i="1"/>
  <c r="AK630" i="1"/>
  <c r="T630" i="1"/>
  <c r="AH630" i="1"/>
  <c r="S630" i="1"/>
  <c r="AY630" i="1"/>
  <c r="AG630" i="1"/>
  <c r="AF630" i="1"/>
  <c r="O630" i="1"/>
  <c r="P630" i="1" s="1"/>
  <c r="AE630" i="1"/>
  <c r="N630" i="1"/>
  <c r="M630" i="1"/>
  <c r="AS630" i="1"/>
  <c r="AB630" i="1"/>
  <c r="J630" i="1"/>
  <c r="AR630" i="1"/>
  <c r="AA630" i="1"/>
  <c r="I630" i="1"/>
  <c r="AQ630" i="1"/>
  <c r="Z630" i="1"/>
  <c r="H630" i="1"/>
  <c r="AT630" i="1" s="1"/>
  <c r="AN630" i="1"/>
  <c r="Y630" i="1"/>
  <c r="G630" i="1"/>
  <c r="AM630" i="1"/>
  <c r="V630" i="1"/>
  <c r="D630" i="1"/>
  <c r="AH643" i="1"/>
  <c r="V643" i="1"/>
  <c r="J643" i="1"/>
  <c r="AS643" i="1"/>
  <c r="AG643" i="1"/>
  <c r="U643" i="1"/>
  <c r="I643" i="1"/>
  <c r="AR643" i="1"/>
  <c r="AF643" i="1"/>
  <c r="T643" i="1"/>
  <c r="H643" i="1"/>
  <c r="AT643" i="1" s="1"/>
  <c r="AQ643" i="1"/>
  <c r="AE643" i="1"/>
  <c r="S643" i="1"/>
  <c r="G643" i="1"/>
  <c r="AP643" i="1"/>
  <c r="AD643" i="1"/>
  <c r="R643" i="1"/>
  <c r="F643" i="1"/>
  <c r="AO643" i="1"/>
  <c r="Q643" i="1"/>
  <c r="E643" i="1"/>
  <c r="AN643" i="1"/>
  <c r="AB643" i="1"/>
  <c r="D643" i="1"/>
  <c r="AY643" i="1"/>
  <c r="AM643" i="1"/>
  <c r="AA643" i="1"/>
  <c r="O643" i="1"/>
  <c r="P643" i="1" s="1"/>
  <c r="AL643" i="1"/>
  <c r="Z643" i="1"/>
  <c r="N643" i="1"/>
  <c r="AK643" i="1"/>
  <c r="Y643" i="1"/>
  <c r="M643" i="1"/>
  <c r="AJ643" i="1"/>
  <c r="X643" i="1"/>
  <c r="AI643" i="1"/>
  <c r="W643" i="1"/>
  <c r="K643" i="1"/>
  <c r="L643" i="1" s="1"/>
  <c r="AP651" i="1"/>
  <c r="AD651" i="1"/>
  <c r="R651" i="1"/>
  <c r="F651" i="1"/>
  <c r="AO651" i="1"/>
  <c r="Q651" i="1"/>
  <c r="E651" i="1"/>
  <c r="AN651" i="1"/>
  <c r="AB651" i="1"/>
  <c r="D651" i="1"/>
  <c r="AY651" i="1"/>
  <c r="AM651" i="1"/>
  <c r="AA651" i="1"/>
  <c r="O651" i="1"/>
  <c r="P651" i="1" s="1"/>
  <c r="AL651" i="1"/>
  <c r="Z651" i="1"/>
  <c r="N651" i="1"/>
  <c r="AK651" i="1"/>
  <c r="Y651" i="1"/>
  <c r="M651" i="1"/>
  <c r="AJ651" i="1"/>
  <c r="X651" i="1"/>
  <c r="AI651" i="1"/>
  <c r="W651" i="1"/>
  <c r="K651" i="1"/>
  <c r="L651" i="1" s="1"/>
  <c r="AH651" i="1"/>
  <c r="V651" i="1"/>
  <c r="J651" i="1"/>
  <c r="AS651" i="1"/>
  <c r="AG651" i="1"/>
  <c r="U651" i="1"/>
  <c r="I651" i="1"/>
  <c r="AR651" i="1"/>
  <c r="AF651" i="1"/>
  <c r="T651" i="1"/>
  <c r="H651" i="1"/>
  <c r="AT651" i="1" s="1"/>
  <c r="AQ651" i="1"/>
  <c r="AE651" i="1"/>
  <c r="S651" i="1"/>
  <c r="G651" i="1"/>
  <c r="AK676" i="1"/>
  <c r="Y676" i="1"/>
  <c r="M676" i="1"/>
  <c r="AJ676" i="1"/>
  <c r="X676" i="1"/>
  <c r="AI676" i="1"/>
  <c r="W676" i="1"/>
  <c r="K676" i="1"/>
  <c r="L676" i="1" s="1"/>
  <c r="AH676" i="1"/>
  <c r="V676" i="1"/>
  <c r="J676" i="1"/>
  <c r="AS676" i="1"/>
  <c r="AG676" i="1"/>
  <c r="U676" i="1"/>
  <c r="I676" i="1"/>
  <c r="AR676" i="1"/>
  <c r="AF676" i="1"/>
  <c r="T676" i="1"/>
  <c r="H676" i="1"/>
  <c r="AT676" i="1" s="1"/>
  <c r="AQ676" i="1"/>
  <c r="AE676" i="1"/>
  <c r="S676" i="1"/>
  <c r="G676" i="1"/>
  <c r="AP676" i="1"/>
  <c r="AD676" i="1"/>
  <c r="R676" i="1"/>
  <c r="F676" i="1"/>
  <c r="AO676" i="1"/>
  <c r="Q676" i="1"/>
  <c r="E676" i="1"/>
  <c r="AN676" i="1"/>
  <c r="AB676" i="1"/>
  <c r="D676" i="1"/>
  <c r="AY676" i="1"/>
  <c r="AM676" i="1"/>
  <c r="AA676" i="1"/>
  <c r="O676" i="1"/>
  <c r="P676" i="1" s="1"/>
  <c r="AL676" i="1"/>
  <c r="Z676" i="1"/>
  <c r="N676" i="1"/>
  <c r="AK707" i="1"/>
  <c r="Y707" i="1"/>
  <c r="AJ707" i="1"/>
  <c r="W707" i="1"/>
  <c r="K707" i="1"/>
  <c r="L707" i="1" s="1"/>
  <c r="AI707" i="1"/>
  <c r="V707" i="1"/>
  <c r="J707" i="1"/>
  <c r="AH707" i="1"/>
  <c r="U707" i="1"/>
  <c r="I707" i="1"/>
  <c r="AG707" i="1"/>
  <c r="T707" i="1"/>
  <c r="H707" i="1"/>
  <c r="AT707" i="1" s="1"/>
  <c r="AS707" i="1"/>
  <c r="AF707" i="1"/>
  <c r="S707" i="1"/>
  <c r="G707" i="1"/>
  <c r="AR707" i="1"/>
  <c r="AE707" i="1"/>
  <c r="R707" i="1"/>
  <c r="F707" i="1"/>
  <c r="AQ707" i="1"/>
  <c r="AD707" i="1"/>
  <c r="Q707" i="1"/>
  <c r="E707" i="1"/>
  <c r="AP707" i="1"/>
  <c r="D707" i="1"/>
  <c r="AO707" i="1"/>
  <c r="AB707" i="1"/>
  <c r="O707" i="1"/>
  <c r="P707" i="1" s="1"/>
  <c r="AN707" i="1"/>
  <c r="AA707" i="1"/>
  <c r="N707" i="1"/>
  <c r="AY707" i="1"/>
  <c r="AM707" i="1"/>
  <c r="Z707" i="1"/>
  <c r="M707" i="1"/>
  <c r="AL707" i="1"/>
  <c r="X707" i="1"/>
  <c r="AQ679" i="1"/>
  <c r="AE679" i="1"/>
  <c r="S679" i="1"/>
  <c r="G679" i="1"/>
  <c r="AP679" i="1"/>
  <c r="AD679" i="1"/>
  <c r="R679" i="1"/>
  <c r="F679" i="1"/>
  <c r="AO679" i="1"/>
  <c r="Q679" i="1"/>
  <c r="E679" i="1"/>
  <c r="AN679" i="1"/>
  <c r="AB679" i="1"/>
  <c r="D679" i="1"/>
  <c r="AY679" i="1"/>
  <c r="AM679" i="1"/>
  <c r="AA679" i="1"/>
  <c r="O679" i="1"/>
  <c r="P679" i="1" s="1"/>
  <c r="AL679" i="1"/>
  <c r="Z679" i="1"/>
  <c r="N679" i="1"/>
  <c r="AK679" i="1"/>
  <c r="Y679" i="1"/>
  <c r="M679" i="1"/>
  <c r="AJ679" i="1"/>
  <c r="X679" i="1"/>
  <c r="AI679" i="1"/>
  <c r="W679" i="1"/>
  <c r="K679" i="1"/>
  <c r="L679" i="1" s="1"/>
  <c r="AH679" i="1"/>
  <c r="V679" i="1"/>
  <c r="J679" i="1"/>
  <c r="AS679" i="1"/>
  <c r="AG679" i="1"/>
  <c r="U679" i="1"/>
  <c r="I679" i="1"/>
  <c r="AR679" i="1"/>
  <c r="AF679" i="1"/>
  <c r="T679" i="1"/>
  <c r="H679" i="1"/>
  <c r="AT679" i="1" s="1"/>
  <c r="AO692" i="1"/>
  <c r="Q692" i="1"/>
  <c r="E692" i="1"/>
  <c r="AN692" i="1"/>
  <c r="AB692" i="1"/>
  <c r="D692" i="1"/>
  <c r="AY692" i="1"/>
  <c r="AM692" i="1"/>
  <c r="AA692" i="1"/>
  <c r="O692" i="1"/>
  <c r="P692" i="1" s="1"/>
  <c r="AL692" i="1"/>
  <c r="Z692" i="1"/>
  <c r="N692" i="1"/>
  <c r="AK692" i="1"/>
  <c r="Y692" i="1"/>
  <c r="M692" i="1"/>
  <c r="AJ692" i="1"/>
  <c r="X692" i="1"/>
  <c r="AI692" i="1"/>
  <c r="W692" i="1"/>
  <c r="K692" i="1"/>
  <c r="L692" i="1" s="1"/>
  <c r="AH692" i="1"/>
  <c r="V692" i="1"/>
  <c r="J692" i="1"/>
  <c r="AS692" i="1"/>
  <c r="AG692" i="1"/>
  <c r="U692" i="1"/>
  <c r="I692" i="1"/>
  <c r="AR692" i="1"/>
  <c r="AF692" i="1"/>
  <c r="T692" i="1"/>
  <c r="H692" i="1"/>
  <c r="AT692" i="1" s="1"/>
  <c r="AQ692" i="1"/>
  <c r="AE692" i="1"/>
  <c r="S692" i="1"/>
  <c r="G692" i="1"/>
  <c r="AP692" i="1"/>
  <c r="AD692" i="1"/>
  <c r="R692" i="1"/>
  <c r="F692" i="1"/>
  <c r="AK720" i="1"/>
  <c r="Y720" i="1"/>
  <c r="M720" i="1"/>
  <c r="AJ720" i="1"/>
  <c r="X720" i="1"/>
  <c r="AI720" i="1"/>
  <c r="W720" i="1"/>
  <c r="K720" i="1"/>
  <c r="L720" i="1" s="1"/>
  <c r="AH720" i="1"/>
  <c r="V720" i="1"/>
  <c r="J720" i="1"/>
  <c r="AS720" i="1"/>
  <c r="AG720" i="1"/>
  <c r="U720" i="1"/>
  <c r="I720" i="1"/>
  <c r="AR720" i="1"/>
  <c r="AF720" i="1"/>
  <c r="T720" i="1"/>
  <c r="H720" i="1"/>
  <c r="AT720" i="1" s="1"/>
  <c r="AQ720" i="1"/>
  <c r="AE720" i="1"/>
  <c r="S720" i="1"/>
  <c r="G720" i="1"/>
  <c r="AP720" i="1"/>
  <c r="AD720" i="1"/>
  <c r="R720" i="1"/>
  <c r="F720" i="1"/>
  <c r="AO720" i="1"/>
  <c r="Q720" i="1"/>
  <c r="E720" i="1"/>
  <c r="AN720" i="1"/>
  <c r="AB720" i="1"/>
  <c r="D720" i="1"/>
  <c r="AY720" i="1"/>
  <c r="AM720" i="1"/>
  <c r="AA720" i="1"/>
  <c r="O720" i="1"/>
  <c r="P720" i="1" s="1"/>
  <c r="AL720" i="1"/>
  <c r="Z720" i="1"/>
  <c r="N720" i="1"/>
  <c r="AI739" i="1"/>
  <c r="W739" i="1"/>
  <c r="K739" i="1"/>
  <c r="L739" i="1" s="1"/>
  <c r="AH739" i="1"/>
  <c r="V739" i="1"/>
  <c r="J739" i="1"/>
  <c r="AS739" i="1"/>
  <c r="AG739" i="1"/>
  <c r="U739" i="1"/>
  <c r="I739" i="1"/>
  <c r="AR739" i="1"/>
  <c r="AF739" i="1"/>
  <c r="T739" i="1"/>
  <c r="H739" i="1"/>
  <c r="AT739" i="1" s="1"/>
  <c r="AQ739" i="1"/>
  <c r="AE739" i="1"/>
  <c r="S739" i="1"/>
  <c r="G739" i="1"/>
  <c r="AP739" i="1"/>
  <c r="AD739" i="1"/>
  <c r="R739" i="1"/>
  <c r="F739" i="1"/>
  <c r="AO739" i="1"/>
  <c r="Q739" i="1"/>
  <c r="E739" i="1"/>
  <c r="AN739" i="1"/>
  <c r="AB739" i="1"/>
  <c r="D739" i="1"/>
  <c r="AY739" i="1"/>
  <c r="AM739" i="1"/>
  <c r="AA739" i="1"/>
  <c r="O739" i="1"/>
  <c r="P739" i="1" s="1"/>
  <c r="AL739" i="1"/>
  <c r="Z739" i="1"/>
  <c r="N739" i="1"/>
  <c r="AK739" i="1"/>
  <c r="Y739" i="1"/>
  <c r="M739" i="1"/>
  <c r="AJ739" i="1"/>
  <c r="X739" i="1"/>
  <c r="AQ723" i="1"/>
  <c r="AE723" i="1"/>
  <c r="S723" i="1"/>
  <c r="G723" i="1"/>
  <c r="AP723" i="1"/>
  <c r="AD723" i="1"/>
  <c r="R723" i="1"/>
  <c r="F723" i="1"/>
  <c r="AO723" i="1"/>
  <c r="Q723" i="1"/>
  <c r="E723" i="1"/>
  <c r="AN723" i="1"/>
  <c r="AB723" i="1"/>
  <c r="D723" i="1"/>
  <c r="AY723" i="1"/>
  <c r="AM723" i="1"/>
  <c r="AA723" i="1"/>
  <c r="O723" i="1"/>
  <c r="P723" i="1" s="1"/>
  <c r="AL723" i="1"/>
  <c r="Z723" i="1"/>
  <c r="N723" i="1"/>
  <c r="AK723" i="1"/>
  <c r="Y723" i="1"/>
  <c r="M723" i="1"/>
  <c r="AJ723" i="1"/>
  <c r="X723" i="1"/>
  <c r="AI723" i="1"/>
  <c r="W723" i="1"/>
  <c r="K723" i="1"/>
  <c r="L723" i="1" s="1"/>
  <c r="AH723" i="1"/>
  <c r="V723" i="1"/>
  <c r="J723" i="1"/>
  <c r="AS723" i="1"/>
  <c r="AG723" i="1"/>
  <c r="U723" i="1"/>
  <c r="I723" i="1"/>
  <c r="AR723" i="1"/>
  <c r="AF723" i="1"/>
  <c r="T723" i="1"/>
  <c r="H723" i="1"/>
  <c r="AT723" i="1" s="1"/>
  <c r="AY713" i="1"/>
  <c r="AM713" i="1"/>
  <c r="AA713" i="1"/>
  <c r="O713" i="1"/>
  <c r="P713" i="1" s="1"/>
  <c r="AL713" i="1"/>
  <c r="Z713" i="1"/>
  <c r="N713" i="1"/>
  <c r="AK713" i="1"/>
  <c r="Y713" i="1"/>
  <c r="M713" i="1"/>
  <c r="AR713" i="1"/>
  <c r="AF713" i="1"/>
  <c r="T713" i="1"/>
  <c r="H713" i="1"/>
  <c r="AT713" i="1" s="1"/>
  <c r="AJ713" i="1"/>
  <c r="S713" i="1"/>
  <c r="AI713" i="1"/>
  <c r="R713" i="1"/>
  <c r="AH713" i="1"/>
  <c r="Q713" i="1"/>
  <c r="AG713" i="1"/>
  <c r="AE713" i="1"/>
  <c r="AD713" i="1"/>
  <c r="K713" i="1"/>
  <c r="L713" i="1" s="1"/>
  <c r="J713" i="1"/>
  <c r="AS713" i="1"/>
  <c r="AB713" i="1"/>
  <c r="I713" i="1"/>
  <c r="AQ713" i="1"/>
  <c r="X713" i="1"/>
  <c r="G713" i="1"/>
  <c r="AP713" i="1"/>
  <c r="W713" i="1"/>
  <c r="F713" i="1"/>
  <c r="AO713" i="1"/>
  <c r="V713" i="1"/>
  <c r="E713" i="1"/>
  <c r="AN713" i="1"/>
  <c r="U713" i="1"/>
  <c r="D713" i="1"/>
  <c r="AK786" i="1"/>
  <c r="Y786" i="1"/>
  <c r="M786" i="1"/>
  <c r="AJ786" i="1"/>
  <c r="X786" i="1"/>
  <c r="AI786" i="1"/>
  <c r="W786" i="1"/>
  <c r="K786" i="1"/>
  <c r="L786" i="1" s="1"/>
  <c r="AH786" i="1"/>
  <c r="V786" i="1"/>
  <c r="J786" i="1"/>
  <c r="AS786" i="1"/>
  <c r="AG786" i="1"/>
  <c r="U786" i="1"/>
  <c r="I786" i="1"/>
  <c r="AR786" i="1"/>
  <c r="AF786" i="1"/>
  <c r="T786" i="1"/>
  <c r="H786" i="1"/>
  <c r="AT786" i="1" s="1"/>
  <c r="AQ786" i="1"/>
  <c r="AE786" i="1"/>
  <c r="S786" i="1"/>
  <c r="G786" i="1"/>
  <c r="AP786" i="1"/>
  <c r="AD786" i="1"/>
  <c r="R786" i="1"/>
  <c r="F786" i="1"/>
  <c r="AO786" i="1"/>
  <c r="Q786" i="1"/>
  <c r="E786" i="1"/>
  <c r="AN786" i="1"/>
  <c r="AB786" i="1"/>
  <c r="D786" i="1"/>
  <c r="AY786" i="1"/>
  <c r="AM786" i="1"/>
  <c r="AA786" i="1"/>
  <c r="O786" i="1"/>
  <c r="P786" i="1" s="1"/>
  <c r="AL786" i="1"/>
  <c r="Z786" i="1"/>
  <c r="N786" i="1"/>
  <c r="AS782" i="1"/>
  <c r="AG782" i="1"/>
  <c r="U782" i="1"/>
  <c r="I782" i="1"/>
  <c r="AR782" i="1"/>
  <c r="AF782" i="1"/>
  <c r="T782" i="1"/>
  <c r="H782" i="1"/>
  <c r="AT782" i="1" s="1"/>
  <c r="AQ782" i="1"/>
  <c r="AE782" i="1"/>
  <c r="S782" i="1"/>
  <c r="G782" i="1"/>
  <c r="AP782" i="1"/>
  <c r="AD782" i="1"/>
  <c r="R782" i="1"/>
  <c r="F782" i="1"/>
  <c r="AO782" i="1"/>
  <c r="Q782" i="1"/>
  <c r="E782" i="1"/>
  <c r="AN782" i="1"/>
  <c r="AB782" i="1"/>
  <c r="D782" i="1"/>
  <c r="AY782" i="1"/>
  <c r="AM782" i="1"/>
  <c r="AA782" i="1"/>
  <c r="O782" i="1"/>
  <c r="P782" i="1" s="1"/>
  <c r="AL782" i="1"/>
  <c r="Z782" i="1"/>
  <c r="N782" i="1"/>
  <c r="AK782" i="1"/>
  <c r="Y782" i="1"/>
  <c r="M782" i="1"/>
  <c r="AJ782" i="1"/>
  <c r="X782" i="1"/>
  <c r="AI782" i="1"/>
  <c r="W782" i="1"/>
  <c r="K782" i="1"/>
  <c r="L782" i="1" s="1"/>
  <c r="AH782" i="1"/>
  <c r="V782" i="1"/>
  <c r="J782" i="1"/>
  <c r="AO754" i="1"/>
  <c r="Q754" i="1"/>
  <c r="E754" i="1"/>
  <c r="AN754" i="1"/>
  <c r="AB754" i="1"/>
  <c r="D754" i="1"/>
  <c r="AY754" i="1"/>
  <c r="AM754" i="1"/>
  <c r="AA754" i="1"/>
  <c r="O754" i="1"/>
  <c r="P754" i="1" s="1"/>
  <c r="AJ754" i="1"/>
  <c r="V754" i="1"/>
  <c r="G754" i="1"/>
  <c r="AI754" i="1"/>
  <c r="U754" i="1"/>
  <c r="F754" i="1"/>
  <c r="AH754" i="1"/>
  <c r="T754" i="1"/>
  <c r="AG754" i="1"/>
  <c r="S754" i="1"/>
  <c r="AF754" i="1"/>
  <c r="R754" i="1"/>
  <c r="AE754" i="1"/>
  <c r="N754" i="1"/>
  <c r="AS754" i="1"/>
  <c r="AD754" i="1"/>
  <c r="M754" i="1"/>
  <c r="AR754" i="1"/>
  <c r="AQ754" i="1"/>
  <c r="Z754" i="1"/>
  <c r="K754" i="1"/>
  <c r="L754" i="1" s="1"/>
  <c r="AP754" i="1"/>
  <c r="Y754" i="1"/>
  <c r="J754" i="1"/>
  <c r="AL754" i="1"/>
  <c r="X754" i="1"/>
  <c r="I754" i="1"/>
  <c r="AK754" i="1"/>
  <c r="W754" i="1"/>
  <c r="H754" i="1"/>
  <c r="AT754" i="1" s="1"/>
  <c r="AY779" i="1"/>
  <c r="AM779" i="1"/>
  <c r="AA779" i="1"/>
  <c r="O779" i="1"/>
  <c r="P779" i="1" s="1"/>
  <c r="AL779" i="1"/>
  <c r="Z779" i="1"/>
  <c r="N779" i="1"/>
  <c r="AK779" i="1"/>
  <c r="Y779" i="1"/>
  <c r="M779" i="1"/>
  <c r="AJ779" i="1"/>
  <c r="X779" i="1"/>
  <c r="AI779" i="1"/>
  <c r="W779" i="1"/>
  <c r="K779" i="1"/>
  <c r="L779" i="1" s="1"/>
  <c r="AH779" i="1"/>
  <c r="V779" i="1"/>
  <c r="J779" i="1"/>
  <c r="AS779" i="1"/>
  <c r="AG779" i="1"/>
  <c r="U779" i="1"/>
  <c r="I779" i="1"/>
  <c r="AR779" i="1"/>
  <c r="AF779" i="1"/>
  <c r="T779" i="1"/>
  <c r="H779" i="1"/>
  <c r="AT779" i="1" s="1"/>
  <c r="AQ779" i="1"/>
  <c r="AE779" i="1"/>
  <c r="S779" i="1"/>
  <c r="G779" i="1"/>
  <c r="AP779" i="1"/>
  <c r="AD779" i="1"/>
  <c r="R779" i="1"/>
  <c r="F779" i="1"/>
  <c r="AO779" i="1"/>
  <c r="Q779" i="1"/>
  <c r="E779" i="1"/>
  <c r="AN779" i="1"/>
  <c r="AB779" i="1"/>
  <c r="D779" i="1"/>
  <c r="AJ818" i="1"/>
  <c r="X818" i="1"/>
  <c r="AI818" i="1"/>
  <c r="W818" i="1"/>
  <c r="K818" i="1"/>
  <c r="L818" i="1" s="1"/>
  <c r="AH818" i="1"/>
  <c r="V818" i="1"/>
  <c r="J818" i="1"/>
  <c r="AS818" i="1"/>
  <c r="AG818" i="1"/>
  <c r="U818" i="1"/>
  <c r="I818" i="1"/>
  <c r="AR818" i="1"/>
  <c r="AF818" i="1"/>
  <c r="T818" i="1"/>
  <c r="H818" i="1"/>
  <c r="AT818" i="1" s="1"/>
  <c r="AQ818" i="1"/>
  <c r="AE818" i="1"/>
  <c r="S818" i="1"/>
  <c r="G818" i="1"/>
  <c r="AP818" i="1"/>
  <c r="AD818" i="1"/>
  <c r="R818" i="1"/>
  <c r="F818" i="1"/>
  <c r="AO818" i="1"/>
  <c r="Q818" i="1"/>
  <c r="E818" i="1"/>
  <c r="AN818" i="1"/>
  <c r="AB818" i="1"/>
  <c r="D818" i="1"/>
  <c r="AY818" i="1"/>
  <c r="AM818" i="1"/>
  <c r="AA818" i="1"/>
  <c r="O818" i="1"/>
  <c r="P818" i="1" s="1"/>
  <c r="AL818" i="1"/>
  <c r="Z818" i="1"/>
  <c r="N818" i="1"/>
  <c r="AK818" i="1"/>
  <c r="Y818" i="1"/>
  <c r="M818" i="1"/>
  <c r="AL847" i="1"/>
  <c r="Z847" i="1"/>
  <c r="N847" i="1"/>
  <c r="AK847" i="1"/>
  <c r="Y847" i="1"/>
  <c r="M847" i="1"/>
  <c r="AJ847" i="1"/>
  <c r="X847" i="1"/>
  <c r="AI847" i="1"/>
  <c r="W847" i="1"/>
  <c r="K847" i="1"/>
  <c r="L847" i="1" s="1"/>
  <c r="AH847" i="1"/>
  <c r="V847" i="1"/>
  <c r="J847" i="1"/>
  <c r="AS847" i="1"/>
  <c r="AG847" i="1"/>
  <c r="U847" i="1"/>
  <c r="AR847" i="1"/>
  <c r="AF847" i="1"/>
  <c r="T847" i="1"/>
  <c r="H847" i="1"/>
  <c r="AT847" i="1" s="1"/>
  <c r="AQ847" i="1"/>
  <c r="AE847" i="1"/>
  <c r="S847" i="1"/>
  <c r="G847" i="1"/>
  <c r="AN847" i="1"/>
  <c r="AB847" i="1"/>
  <c r="Q847" i="1"/>
  <c r="O847" i="1"/>
  <c r="P847" i="1" s="1"/>
  <c r="AY847" i="1"/>
  <c r="I847" i="1"/>
  <c r="F847" i="1"/>
  <c r="E847" i="1"/>
  <c r="AP847" i="1"/>
  <c r="D847" i="1"/>
  <c r="AO847" i="1"/>
  <c r="AM847" i="1"/>
  <c r="AD847" i="1"/>
  <c r="AA847" i="1"/>
  <c r="R847" i="1"/>
  <c r="AP833" i="1"/>
  <c r="AD833" i="1"/>
  <c r="R833" i="1"/>
  <c r="F833" i="1"/>
  <c r="AO833" i="1"/>
  <c r="Q833" i="1"/>
  <c r="E833" i="1"/>
  <c r="AN833" i="1"/>
  <c r="AB833" i="1"/>
  <c r="D833" i="1"/>
  <c r="AY833" i="1"/>
  <c r="AM833" i="1"/>
  <c r="AA833" i="1"/>
  <c r="O833" i="1"/>
  <c r="P833" i="1" s="1"/>
  <c r="AL833" i="1"/>
  <c r="Z833" i="1"/>
  <c r="N833" i="1"/>
  <c r="AK833" i="1"/>
  <c r="Y833" i="1"/>
  <c r="M833" i="1"/>
  <c r="AJ833" i="1"/>
  <c r="X833" i="1"/>
  <c r="AI833" i="1"/>
  <c r="W833" i="1"/>
  <c r="K833" i="1"/>
  <c r="L833" i="1" s="1"/>
  <c r="AH833" i="1"/>
  <c r="V833" i="1"/>
  <c r="J833" i="1"/>
  <c r="AS833" i="1"/>
  <c r="AG833" i="1"/>
  <c r="U833" i="1"/>
  <c r="I833" i="1"/>
  <c r="AR833" i="1"/>
  <c r="AF833" i="1"/>
  <c r="T833" i="1"/>
  <c r="H833" i="1"/>
  <c r="AT833" i="1" s="1"/>
  <c r="AQ833" i="1"/>
  <c r="AE833" i="1"/>
  <c r="S833" i="1"/>
  <c r="G833" i="1"/>
  <c r="AL859" i="1"/>
  <c r="Z859" i="1"/>
  <c r="N859" i="1"/>
  <c r="AK859" i="1"/>
  <c r="Y859" i="1"/>
  <c r="M859" i="1"/>
  <c r="AJ859" i="1"/>
  <c r="X859" i="1"/>
  <c r="AI859" i="1"/>
  <c r="W859" i="1"/>
  <c r="K859" i="1"/>
  <c r="L859" i="1" s="1"/>
  <c r="AH859" i="1"/>
  <c r="V859" i="1"/>
  <c r="J859" i="1"/>
  <c r="AS859" i="1"/>
  <c r="AG859" i="1"/>
  <c r="U859" i="1"/>
  <c r="I859" i="1"/>
  <c r="AR859" i="1"/>
  <c r="AF859" i="1"/>
  <c r="T859" i="1"/>
  <c r="H859" i="1"/>
  <c r="AT859" i="1" s="1"/>
  <c r="AQ859" i="1"/>
  <c r="AE859" i="1"/>
  <c r="S859" i="1"/>
  <c r="G859" i="1"/>
  <c r="AP859" i="1"/>
  <c r="AD859" i="1"/>
  <c r="R859" i="1"/>
  <c r="F859" i="1"/>
  <c r="AO859" i="1"/>
  <c r="Q859" i="1"/>
  <c r="E859" i="1"/>
  <c r="AN859" i="1"/>
  <c r="AB859" i="1"/>
  <c r="D859" i="1"/>
  <c r="AY859" i="1"/>
  <c r="AM859" i="1"/>
  <c r="AA859" i="1"/>
  <c r="O859" i="1"/>
  <c r="P859" i="1" s="1"/>
  <c r="AH855" i="1"/>
  <c r="V855" i="1"/>
  <c r="J855" i="1"/>
  <c r="AS855" i="1"/>
  <c r="AG855" i="1"/>
  <c r="U855" i="1"/>
  <c r="I855" i="1"/>
  <c r="AR855" i="1"/>
  <c r="AF855" i="1"/>
  <c r="T855" i="1"/>
  <c r="H855" i="1"/>
  <c r="AT855" i="1" s="1"/>
  <c r="AQ855" i="1"/>
  <c r="AE855" i="1"/>
  <c r="S855" i="1"/>
  <c r="G855" i="1"/>
  <c r="AP855" i="1"/>
  <c r="AD855" i="1"/>
  <c r="R855" i="1"/>
  <c r="F855" i="1"/>
  <c r="AO855" i="1"/>
  <c r="Q855" i="1"/>
  <c r="E855" i="1"/>
  <c r="AN855" i="1"/>
  <c r="AB855" i="1"/>
  <c r="D855" i="1"/>
  <c r="AY855" i="1"/>
  <c r="AM855" i="1"/>
  <c r="AA855" i="1"/>
  <c r="O855" i="1"/>
  <c r="P855" i="1" s="1"/>
  <c r="AL855" i="1"/>
  <c r="Z855" i="1"/>
  <c r="N855" i="1"/>
  <c r="AK855" i="1"/>
  <c r="Y855" i="1"/>
  <c r="M855" i="1"/>
  <c r="AJ855" i="1"/>
  <c r="X855" i="1"/>
  <c r="AI855" i="1"/>
  <c r="W855" i="1"/>
  <c r="K855" i="1"/>
  <c r="L855" i="1" s="1"/>
  <c r="AJ893" i="1"/>
  <c r="X893" i="1"/>
  <c r="AI893" i="1"/>
  <c r="W893" i="1"/>
  <c r="K893" i="1"/>
  <c r="L893" i="1" s="1"/>
  <c r="AH893" i="1"/>
  <c r="V893" i="1"/>
  <c r="J893" i="1"/>
  <c r="AS893" i="1"/>
  <c r="AG893" i="1"/>
  <c r="U893" i="1"/>
  <c r="I893" i="1"/>
  <c r="AR893" i="1"/>
  <c r="AF893" i="1"/>
  <c r="T893" i="1"/>
  <c r="H893" i="1"/>
  <c r="AT893" i="1" s="1"/>
  <c r="AQ893" i="1"/>
  <c r="AE893" i="1"/>
  <c r="S893" i="1"/>
  <c r="G893" i="1"/>
  <c r="AP893" i="1"/>
  <c r="AD893" i="1"/>
  <c r="R893" i="1"/>
  <c r="F893" i="1"/>
  <c r="AO893" i="1"/>
  <c r="Q893" i="1"/>
  <c r="E893" i="1"/>
  <c r="AN893" i="1"/>
  <c r="AB893" i="1"/>
  <c r="AY893" i="1"/>
  <c r="AM893" i="1"/>
  <c r="AL893" i="1"/>
  <c r="Z893" i="1"/>
  <c r="N893" i="1"/>
  <c r="AK893" i="1"/>
  <c r="Y893" i="1"/>
  <c r="M893" i="1"/>
  <c r="AA893" i="1"/>
  <c r="O893" i="1"/>
  <c r="P893" i="1" s="1"/>
  <c r="D893" i="1"/>
  <c r="AN870" i="1"/>
  <c r="AB870" i="1"/>
  <c r="D870" i="1"/>
  <c r="AY870" i="1"/>
  <c r="AM870" i="1"/>
  <c r="AA870" i="1"/>
  <c r="O870" i="1"/>
  <c r="P870" i="1" s="1"/>
  <c r="AL870" i="1"/>
  <c r="Z870" i="1"/>
  <c r="N870" i="1"/>
  <c r="AK870" i="1"/>
  <c r="Y870" i="1"/>
  <c r="M870" i="1"/>
  <c r="AJ870" i="1"/>
  <c r="X870" i="1"/>
  <c r="AI870" i="1"/>
  <c r="W870" i="1"/>
  <c r="K870" i="1"/>
  <c r="L870" i="1" s="1"/>
  <c r="AH870" i="1"/>
  <c r="V870" i="1"/>
  <c r="J870" i="1"/>
  <c r="AS870" i="1"/>
  <c r="AG870" i="1"/>
  <c r="U870" i="1"/>
  <c r="I870" i="1"/>
  <c r="AR870" i="1"/>
  <c r="AF870" i="1"/>
  <c r="T870" i="1"/>
  <c r="H870" i="1"/>
  <c r="AT870" i="1" s="1"/>
  <c r="AQ870" i="1"/>
  <c r="AE870" i="1"/>
  <c r="S870" i="1"/>
  <c r="G870" i="1"/>
  <c r="AP870" i="1"/>
  <c r="AD870" i="1"/>
  <c r="R870" i="1"/>
  <c r="F870" i="1"/>
  <c r="AO870" i="1"/>
  <c r="Q870" i="1"/>
  <c r="E870" i="1"/>
  <c r="AR917" i="1"/>
  <c r="AF917" i="1"/>
  <c r="T917" i="1"/>
  <c r="H917" i="1"/>
  <c r="AT917" i="1" s="1"/>
  <c r="AP917" i="1"/>
  <c r="AD917" i="1"/>
  <c r="R917" i="1"/>
  <c r="F917" i="1"/>
  <c r="AK917" i="1"/>
  <c r="Y917" i="1"/>
  <c r="M917" i="1"/>
  <c r="N917" i="1"/>
  <c r="AS917" i="1"/>
  <c r="AB917" i="1"/>
  <c r="AQ917" i="1"/>
  <c r="AA917" i="1"/>
  <c r="K917" i="1"/>
  <c r="L917" i="1" s="1"/>
  <c r="AO917" i="1"/>
  <c r="Z917" i="1"/>
  <c r="J917" i="1"/>
  <c r="AN917" i="1"/>
  <c r="X917" i="1"/>
  <c r="I917" i="1"/>
  <c r="AM917" i="1"/>
  <c r="W917" i="1"/>
  <c r="G917" i="1"/>
  <c r="AL917" i="1"/>
  <c r="V917" i="1"/>
  <c r="E917" i="1"/>
  <c r="AY917" i="1"/>
  <c r="AJ917" i="1"/>
  <c r="U917" i="1"/>
  <c r="D917" i="1"/>
  <c r="AI917" i="1"/>
  <c r="S917" i="1"/>
  <c r="AH917" i="1"/>
  <c r="Q917" i="1"/>
  <c r="AG917" i="1"/>
  <c r="AE917" i="1"/>
  <c r="O917" i="1"/>
  <c r="P917" i="1" s="1"/>
  <c r="AN919" i="1"/>
  <c r="AB919" i="1"/>
  <c r="D919" i="1"/>
  <c r="AL919" i="1"/>
  <c r="Z919" i="1"/>
  <c r="N919" i="1"/>
  <c r="AS919" i="1"/>
  <c r="AG919" i="1"/>
  <c r="U919" i="1"/>
  <c r="I919" i="1"/>
  <c r="AO919" i="1"/>
  <c r="X919" i="1"/>
  <c r="H919" i="1"/>
  <c r="AT919" i="1" s="1"/>
  <c r="AM919" i="1"/>
  <c r="W919" i="1"/>
  <c r="G919" i="1"/>
  <c r="AK919" i="1"/>
  <c r="V919" i="1"/>
  <c r="F919" i="1"/>
  <c r="AY919" i="1"/>
  <c r="AJ919" i="1"/>
  <c r="T919" i="1"/>
  <c r="E919" i="1"/>
  <c r="AI919" i="1"/>
  <c r="S919" i="1"/>
  <c r="AH919" i="1"/>
  <c r="R919" i="1"/>
  <c r="AF919" i="1"/>
  <c r="Q919" i="1"/>
  <c r="AE919" i="1"/>
  <c r="O919" i="1"/>
  <c r="P919" i="1" s="1"/>
  <c r="AD919" i="1"/>
  <c r="M919" i="1"/>
  <c r="AR919" i="1"/>
  <c r="AQ919" i="1"/>
  <c r="AA919" i="1"/>
  <c r="K919" i="1"/>
  <c r="L919" i="1" s="1"/>
  <c r="AP919" i="1"/>
  <c r="Y919" i="1"/>
  <c r="J919" i="1"/>
  <c r="AP912" i="1"/>
  <c r="AD912" i="1"/>
  <c r="R912" i="1"/>
  <c r="F912" i="1"/>
  <c r="AN912" i="1"/>
  <c r="AB912" i="1"/>
  <c r="D912" i="1"/>
  <c r="AG912" i="1"/>
  <c r="S912" i="1"/>
  <c r="AF912" i="1"/>
  <c r="Q912" i="1"/>
  <c r="AS912" i="1"/>
  <c r="AE912" i="1"/>
  <c r="O912" i="1"/>
  <c r="P912" i="1" s="1"/>
  <c r="AR912" i="1"/>
  <c r="N912" i="1"/>
  <c r="AQ912" i="1"/>
  <c r="AA912" i="1"/>
  <c r="M912" i="1"/>
  <c r="AO912" i="1"/>
  <c r="Z912" i="1"/>
  <c r="AM912" i="1"/>
  <c r="Y912" i="1"/>
  <c r="K912" i="1"/>
  <c r="L912" i="1" s="1"/>
  <c r="AL912" i="1"/>
  <c r="X912" i="1"/>
  <c r="J912" i="1"/>
  <c r="AY912" i="1"/>
  <c r="AK912" i="1"/>
  <c r="W912" i="1"/>
  <c r="I912" i="1"/>
  <c r="AJ912" i="1"/>
  <c r="V912" i="1"/>
  <c r="H912" i="1"/>
  <c r="AT912" i="1" s="1"/>
  <c r="AI912" i="1"/>
  <c r="U912" i="1"/>
  <c r="G912" i="1"/>
  <c r="AH912" i="1"/>
  <c r="T912" i="1"/>
  <c r="E912" i="1"/>
  <c r="AH916" i="1"/>
  <c r="V916" i="1"/>
  <c r="J916" i="1"/>
  <c r="AR916" i="1"/>
  <c r="AF916" i="1"/>
  <c r="T916" i="1"/>
  <c r="H916" i="1"/>
  <c r="AT916" i="1" s="1"/>
  <c r="AY916" i="1"/>
  <c r="AM916" i="1"/>
  <c r="AA916" i="1"/>
  <c r="O916" i="1"/>
  <c r="P916" i="1" s="1"/>
  <c r="AE916" i="1"/>
  <c r="AD916" i="1"/>
  <c r="N916" i="1"/>
  <c r="AS916" i="1"/>
  <c r="M916" i="1"/>
  <c r="AQ916" i="1"/>
  <c r="AB916" i="1"/>
  <c r="AP916" i="1"/>
  <c r="Z916" i="1"/>
  <c r="K916" i="1"/>
  <c r="L916" i="1" s="1"/>
  <c r="AO916" i="1"/>
  <c r="Y916" i="1"/>
  <c r="I916" i="1"/>
  <c r="AN916" i="1"/>
  <c r="X916" i="1"/>
  <c r="G916" i="1"/>
  <c r="AL916" i="1"/>
  <c r="W916" i="1"/>
  <c r="F916" i="1"/>
  <c r="AK916" i="1"/>
  <c r="U916" i="1"/>
  <c r="E916" i="1"/>
  <c r="AJ916" i="1"/>
  <c r="S916" i="1"/>
  <c r="D916" i="1"/>
  <c r="AI916" i="1"/>
  <c r="R916" i="1"/>
  <c r="AG916" i="1"/>
  <c r="Q916" i="1"/>
  <c r="AN938" i="1"/>
  <c r="AB938" i="1"/>
  <c r="D938" i="1"/>
  <c r="AS938" i="1"/>
  <c r="AG938" i="1"/>
  <c r="U938" i="1"/>
  <c r="I938" i="1"/>
  <c r="AI938" i="1"/>
  <c r="T938" i="1"/>
  <c r="F938" i="1"/>
  <c r="AH938" i="1"/>
  <c r="S938" i="1"/>
  <c r="E938" i="1"/>
  <c r="AF938" i="1"/>
  <c r="R938" i="1"/>
  <c r="AE938" i="1"/>
  <c r="Q938" i="1"/>
  <c r="AR938" i="1"/>
  <c r="AD938" i="1"/>
  <c r="O938" i="1"/>
  <c r="P938" i="1" s="1"/>
  <c r="AQ938" i="1"/>
  <c r="N938" i="1"/>
  <c r="AP938" i="1"/>
  <c r="AA938" i="1"/>
  <c r="M938" i="1"/>
  <c r="AO938" i="1"/>
  <c r="Z938" i="1"/>
  <c r="AM938" i="1"/>
  <c r="Y938" i="1"/>
  <c r="K938" i="1"/>
  <c r="L938" i="1" s="1"/>
  <c r="AL938" i="1"/>
  <c r="X938" i="1"/>
  <c r="J938" i="1"/>
  <c r="AY938" i="1"/>
  <c r="AK938" i="1"/>
  <c r="W938" i="1"/>
  <c r="H938" i="1"/>
  <c r="AT938" i="1" s="1"/>
  <c r="AJ938" i="1"/>
  <c r="V938" i="1"/>
  <c r="G938" i="1"/>
  <c r="AJ958" i="1"/>
  <c r="X958" i="1"/>
  <c r="AI958" i="1"/>
  <c r="W958" i="1"/>
  <c r="K958" i="1"/>
  <c r="L958" i="1" s="1"/>
  <c r="AH958" i="1"/>
  <c r="V958" i="1"/>
  <c r="J958" i="1"/>
  <c r="AS958" i="1"/>
  <c r="AG958" i="1"/>
  <c r="U958" i="1"/>
  <c r="I958" i="1"/>
  <c r="AR958" i="1"/>
  <c r="AF958" i="1"/>
  <c r="T958" i="1"/>
  <c r="H958" i="1"/>
  <c r="AT958" i="1" s="1"/>
  <c r="AQ958" i="1"/>
  <c r="AE958" i="1"/>
  <c r="S958" i="1"/>
  <c r="G958" i="1"/>
  <c r="AP958" i="1"/>
  <c r="AD958" i="1"/>
  <c r="R958" i="1"/>
  <c r="F958" i="1"/>
  <c r="AO958" i="1"/>
  <c r="Q958" i="1"/>
  <c r="E958" i="1"/>
  <c r="AN958" i="1"/>
  <c r="AB958" i="1"/>
  <c r="D958" i="1"/>
  <c r="AY958" i="1"/>
  <c r="AM958" i="1"/>
  <c r="AA958" i="1"/>
  <c r="O958" i="1"/>
  <c r="P958" i="1" s="1"/>
  <c r="AL958" i="1"/>
  <c r="Z958" i="1"/>
  <c r="N958" i="1"/>
  <c r="AK958" i="1"/>
  <c r="Y958" i="1"/>
  <c r="M958" i="1"/>
  <c r="AI968" i="1"/>
  <c r="W968" i="1"/>
  <c r="K968" i="1"/>
  <c r="L968" i="1" s="1"/>
  <c r="AJ968" i="1"/>
  <c r="V968" i="1"/>
  <c r="I968" i="1"/>
  <c r="AH968" i="1"/>
  <c r="U968" i="1"/>
  <c r="H968" i="1"/>
  <c r="AT968" i="1" s="1"/>
  <c r="AG968" i="1"/>
  <c r="T968" i="1"/>
  <c r="G968" i="1"/>
  <c r="AS968" i="1"/>
  <c r="AF968" i="1"/>
  <c r="S968" i="1"/>
  <c r="F968" i="1"/>
  <c r="AR968" i="1"/>
  <c r="AE968" i="1"/>
  <c r="R968" i="1"/>
  <c r="E968" i="1"/>
  <c r="AQ968" i="1"/>
  <c r="AD968" i="1"/>
  <c r="Q968" i="1"/>
  <c r="D968" i="1"/>
  <c r="AP968" i="1"/>
  <c r="AO968" i="1"/>
  <c r="AB968" i="1"/>
  <c r="O968" i="1"/>
  <c r="P968" i="1" s="1"/>
  <c r="AN968" i="1"/>
  <c r="AA968" i="1"/>
  <c r="N968" i="1"/>
  <c r="AM968" i="1"/>
  <c r="Z968" i="1"/>
  <c r="M968" i="1"/>
  <c r="AY968" i="1"/>
  <c r="AL968" i="1"/>
  <c r="Y968" i="1"/>
  <c r="J968" i="1"/>
  <c r="AK968" i="1"/>
  <c r="X968" i="1"/>
  <c r="AO971" i="1"/>
  <c r="Q971" i="1"/>
  <c r="E971" i="1"/>
  <c r="AP971" i="1"/>
  <c r="AN971" i="1"/>
  <c r="AB971" i="1"/>
  <c r="O971" i="1"/>
  <c r="P971" i="1" s="1"/>
  <c r="AM971" i="1"/>
  <c r="AA971" i="1"/>
  <c r="N971" i="1"/>
  <c r="AL971" i="1"/>
  <c r="Z971" i="1"/>
  <c r="M971" i="1"/>
  <c r="AY971" i="1"/>
  <c r="AK971" i="1"/>
  <c r="Y971" i="1"/>
  <c r="AJ971" i="1"/>
  <c r="X971" i="1"/>
  <c r="K971" i="1"/>
  <c r="L971" i="1" s="1"/>
  <c r="AI971" i="1"/>
  <c r="W971" i="1"/>
  <c r="J971" i="1"/>
  <c r="AH971" i="1"/>
  <c r="V971" i="1"/>
  <c r="I971" i="1"/>
  <c r="AG971" i="1"/>
  <c r="U971" i="1"/>
  <c r="H971" i="1"/>
  <c r="AT971" i="1" s="1"/>
  <c r="AS971" i="1"/>
  <c r="AF971" i="1"/>
  <c r="T971" i="1"/>
  <c r="G971" i="1"/>
  <c r="AR971" i="1"/>
  <c r="AE971" i="1"/>
  <c r="S971" i="1"/>
  <c r="F971" i="1"/>
  <c r="AQ971" i="1"/>
  <c r="AD971" i="1"/>
  <c r="R971" i="1"/>
  <c r="D971" i="1"/>
  <c r="AJ998" i="1"/>
  <c r="AI998" i="1"/>
  <c r="W998" i="1"/>
  <c r="K998" i="1"/>
  <c r="L998" i="1" s="1"/>
  <c r="AH998" i="1"/>
  <c r="V998" i="1"/>
  <c r="J998" i="1"/>
  <c r="AG998" i="1"/>
  <c r="U998" i="1"/>
  <c r="I998" i="1"/>
  <c r="AS998" i="1"/>
  <c r="AF998" i="1"/>
  <c r="T998" i="1"/>
  <c r="H998" i="1"/>
  <c r="AT998" i="1" s="1"/>
  <c r="AR998" i="1"/>
  <c r="AE998" i="1"/>
  <c r="S998" i="1"/>
  <c r="G998" i="1"/>
  <c r="AQ998" i="1"/>
  <c r="AD998" i="1"/>
  <c r="R998" i="1"/>
  <c r="F998" i="1"/>
  <c r="AP998" i="1"/>
  <c r="Q998" i="1"/>
  <c r="E998" i="1"/>
  <c r="AO998" i="1"/>
  <c r="AB998" i="1"/>
  <c r="D998" i="1"/>
  <c r="AN998" i="1"/>
  <c r="AA998" i="1"/>
  <c r="O998" i="1"/>
  <c r="P998" i="1" s="1"/>
  <c r="AM998" i="1"/>
  <c r="Z998" i="1"/>
  <c r="N998" i="1"/>
  <c r="AY998" i="1"/>
  <c r="AL998" i="1"/>
  <c r="Y998" i="1"/>
  <c r="M998" i="1"/>
  <c r="AK998" i="1"/>
  <c r="X998" i="1"/>
  <c r="AP1001" i="1"/>
  <c r="AD1001" i="1"/>
  <c r="R1001" i="1"/>
  <c r="F1001" i="1"/>
  <c r="AL1001" i="1"/>
  <c r="Z1001" i="1"/>
  <c r="N1001" i="1"/>
  <c r="AR1001" i="1"/>
  <c r="AI1001" i="1"/>
  <c r="U1001" i="1"/>
  <c r="G1001" i="1"/>
  <c r="AH1001" i="1"/>
  <c r="T1001" i="1"/>
  <c r="E1001" i="1"/>
  <c r="AG1001" i="1"/>
  <c r="S1001" i="1"/>
  <c r="D1001" i="1"/>
  <c r="AF1001" i="1"/>
  <c r="Q1001" i="1"/>
  <c r="AE1001" i="1"/>
  <c r="AS1001" i="1"/>
  <c r="O1001" i="1"/>
  <c r="P1001" i="1" s="1"/>
  <c r="AQ1001" i="1"/>
  <c r="AB1001" i="1"/>
  <c r="M1001" i="1"/>
  <c r="AO1001" i="1"/>
  <c r="AA1001" i="1"/>
  <c r="AN1001" i="1"/>
  <c r="Y1001" i="1"/>
  <c r="K1001" i="1"/>
  <c r="L1001" i="1" s="1"/>
  <c r="AM1001" i="1"/>
  <c r="X1001" i="1"/>
  <c r="J1001" i="1"/>
  <c r="AK1001" i="1"/>
  <c r="W1001" i="1"/>
  <c r="I1001" i="1"/>
  <c r="AJ1001" i="1"/>
  <c r="V1001" i="1"/>
  <c r="H1001" i="1"/>
  <c r="AT1001" i="1" s="1"/>
  <c r="AY1001" i="1"/>
  <c r="AP1027" i="1"/>
  <c r="AD1027" i="1"/>
  <c r="R1027" i="1"/>
  <c r="F1027" i="1"/>
  <c r="AL1027" i="1"/>
  <c r="Z1027" i="1"/>
  <c r="N1027" i="1"/>
  <c r="AK1027" i="1"/>
  <c r="Y1027" i="1"/>
  <c r="M1027" i="1"/>
  <c r="AF1027" i="1"/>
  <c r="AE1027" i="1"/>
  <c r="O1027" i="1"/>
  <c r="P1027" i="1" s="1"/>
  <c r="AR1027" i="1"/>
  <c r="AB1027" i="1"/>
  <c r="K1027" i="1"/>
  <c r="L1027" i="1" s="1"/>
  <c r="AQ1027" i="1"/>
  <c r="AA1027" i="1"/>
  <c r="J1027" i="1"/>
  <c r="AO1027" i="1"/>
  <c r="X1027" i="1"/>
  <c r="I1027" i="1"/>
  <c r="AN1027" i="1"/>
  <c r="W1027" i="1"/>
  <c r="H1027" i="1"/>
  <c r="AT1027" i="1" s="1"/>
  <c r="AM1027" i="1"/>
  <c r="V1027" i="1"/>
  <c r="G1027" i="1"/>
  <c r="AY1027" i="1"/>
  <c r="AJ1027" i="1"/>
  <c r="U1027" i="1"/>
  <c r="E1027" i="1"/>
  <c r="AI1027" i="1"/>
  <c r="T1027" i="1"/>
  <c r="D1027" i="1"/>
  <c r="AH1027" i="1"/>
  <c r="S1027" i="1"/>
  <c r="AG1027" i="1"/>
  <c r="Q1027" i="1"/>
  <c r="AS1027" i="1"/>
  <c r="AR1018" i="1"/>
  <c r="AF1018" i="1"/>
  <c r="T1018" i="1"/>
  <c r="H1018" i="1"/>
  <c r="AT1018" i="1" s="1"/>
  <c r="AQ1018" i="1"/>
  <c r="AE1018" i="1"/>
  <c r="S1018" i="1"/>
  <c r="G1018" i="1"/>
  <c r="AN1018" i="1"/>
  <c r="AB1018" i="1"/>
  <c r="D1018" i="1"/>
  <c r="AY1018" i="1"/>
  <c r="AM1018" i="1"/>
  <c r="AA1018" i="1"/>
  <c r="O1018" i="1"/>
  <c r="P1018" i="1" s="1"/>
  <c r="AL1018" i="1"/>
  <c r="Z1018" i="1"/>
  <c r="N1018" i="1"/>
  <c r="AK1018" i="1"/>
  <c r="Y1018" i="1"/>
  <c r="M1018" i="1"/>
  <c r="AJ1018" i="1"/>
  <c r="X1018" i="1"/>
  <c r="AI1018" i="1"/>
  <c r="W1018" i="1"/>
  <c r="K1018" i="1"/>
  <c r="L1018" i="1" s="1"/>
  <c r="AH1018" i="1"/>
  <c r="V1018" i="1"/>
  <c r="J1018" i="1"/>
  <c r="AG1018" i="1"/>
  <c r="AD1018" i="1"/>
  <c r="U1018" i="1"/>
  <c r="R1018" i="1"/>
  <c r="Q1018" i="1"/>
  <c r="I1018" i="1"/>
  <c r="F1018" i="1"/>
  <c r="E1018" i="1"/>
  <c r="AS1018" i="1"/>
  <c r="AP1018" i="1"/>
  <c r="AO1018" i="1"/>
  <c r="AO1044" i="1"/>
  <c r="Q1044" i="1"/>
  <c r="E1044" i="1"/>
  <c r="AJ1044" i="1"/>
  <c r="X1044" i="1"/>
  <c r="K1044" i="1"/>
  <c r="L1044" i="1" s="1"/>
  <c r="AI1044" i="1"/>
  <c r="W1044" i="1"/>
  <c r="J1044" i="1"/>
  <c r="AH1044" i="1"/>
  <c r="V1044" i="1"/>
  <c r="I1044" i="1"/>
  <c r="AG1044" i="1"/>
  <c r="U1044" i="1"/>
  <c r="H1044" i="1"/>
  <c r="AT1044" i="1" s="1"/>
  <c r="AS1044" i="1"/>
  <c r="AF1044" i="1"/>
  <c r="T1044" i="1"/>
  <c r="G1044" i="1"/>
  <c r="AR1044" i="1"/>
  <c r="AE1044" i="1"/>
  <c r="S1044" i="1"/>
  <c r="F1044" i="1"/>
  <c r="AQ1044" i="1"/>
  <c r="AD1044" i="1"/>
  <c r="R1044" i="1"/>
  <c r="D1044" i="1"/>
  <c r="AP1044" i="1"/>
  <c r="AN1044" i="1"/>
  <c r="AB1044" i="1"/>
  <c r="O1044" i="1"/>
  <c r="P1044" i="1" s="1"/>
  <c r="AM1044" i="1"/>
  <c r="AA1044" i="1"/>
  <c r="N1044" i="1"/>
  <c r="AY1044" i="1"/>
  <c r="AL1044" i="1"/>
  <c r="Z1044" i="1"/>
  <c r="M1044" i="1"/>
  <c r="Y1044" i="1"/>
  <c r="AK1044" i="1"/>
  <c r="AN1040" i="1"/>
  <c r="AB1040" i="1"/>
  <c r="D1040" i="1"/>
  <c r="AY1040" i="1"/>
  <c r="AM1040" i="1"/>
  <c r="AA1040" i="1"/>
  <c r="O1040" i="1"/>
  <c r="P1040" i="1" s="1"/>
  <c r="AL1040" i="1"/>
  <c r="Z1040" i="1"/>
  <c r="N1040" i="1"/>
  <c r="AK1040" i="1"/>
  <c r="Y1040" i="1"/>
  <c r="M1040" i="1"/>
  <c r="AJ1040" i="1"/>
  <c r="X1040" i="1"/>
  <c r="AI1040" i="1"/>
  <c r="W1040" i="1"/>
  <c r="K1040" i="1"/>
  <c r="L1040" i="1" s="1"/>
  <c r="AH1040" i="1"/>
  <c r="V1040" i="1"/>
  <c r="J1040" i="1"/>
  <c r="AS1040" i="1"/>
  <c r="AG1040" i="1"/>
  <c r="U1040" i="1"/>
  <c r="I1040" i="1"/>
  <c r="AR1040" i="1"/>
  <c r="AF1040" i="1"/>
  <c r="T1040" i="1"/>
  <c r="H1040" i="1"/>
  <c r="AT1040" i="1" s="1"/>
  <c r="AQ1040" i="1"/>
  <c r="AE1040" i="1"/>
  <c r="S1040" i="1"/>
  <c r="G1040" i="1"/>
  <c r="AP1040" i="1"/>
  <c r="AD1040" i="1"/>
  <c r="R1040" i="1"/>
  <c r="F1040" i="1"/>
  <c r="AO1040" i="1"/>
  <c r="Q1040" i="1"/>
  <c r="E1040" i="1"/>
  <c r="AR1069" i="1"/>
  <c r="AF1069" i="1"/>
  <c r="T1069" i="1"/>
  <c r="H1069" i="1"/>
  <c r="AT1069" i="1" s="1"/>
  <c r="AI1069" i="1"/>
  <c r="V1069" i="1"/>
  <c r="I1069" i="1"/>
  <c r="AH1069" i="1"/>
  <c r="U1069" i="1"/>
  <c r="G1069" i="1"/>
  <c r="AG1069" i="1"/>
  <c r="S1069" i="1"/>
  <c r="F1069" i="1"/>
  <c r="AS1069" i="1"/>
  <c r="AE1069" i="1"/>
  <c r="R1069" i="1"/>
  <c r="E1069" i="1"/>
  <c r="AQ1069" i="1"/>
  <c r="AD1069" i="1"/>
  <c r="Q1069" i="1"/>
  <c r="D1069" i="1"/>
  <c r="AP1069" i="1"/>
  <c r="AO1069" i="1"/>
  <c r="AB1069" i="1"/>
  <c r="O1069" i="1"/>
  <c r="P1069" i="1" s="1"/>
  <c r="AN1069" i="1"/>
  <c r="AA1069" i="1"/>
  <c r="N1069" i="1"/>
  <c r="AM1069" i="1"/>
  <c r="Z1069" i="1"/>
  <c r="M1069" i="1"/>
  <c r="AY1069" i="1"/>
  <c r="AL1069" i="1"/>
  <c r="Y1069" i="1"/>
  <c r="AK1069" i="1"/>
  <c r="X1069" i="1"/>
  <c r="K1069" i="1"/>
  <c r="L1069" i="1" s="1"/>
  <c r="W1069" i="1"/>
  <c r="J1069" i="1"/>
  <c r="AJ1069" i="1"/>
  <c r="AL1066" i="1"/>
  <c r="Z1066" i="1"/>
  <c r="N1066" i="1"/>
  <c r="AP1066" i="1"/>
  <c r="AO1066" i="1"/>
  <c r="AB1066" i="1"/>
  <c r="O1066" i="1"/>
  <c r="P1066" i="1" s="1"/>
  <c r="AN1066" i="1"/>
  <c r="AA1066" i="1"/>
  <c r="M1066" i="1"/>
  <c r="AY1066" i="1"/>
  <c r="AM1066" i="1"/>
  <c r="Y1066" i="1"/>
  <c r="AK1066" i="1"/>
  <c r="X1066" i="1"/>
  <c r="K1066" i="1"/>
  <c r="L1066" i="1" s="1"/>
  <c r="AJ1066" i="1"/>
  <c r="W1066" i="1"/>
  <c r="J1066" i="1"/>
  <c r="AI1066" i="1"/>
  <c r="V1066" i="1"/>
  <c r="I1066" i="1"/>
  <c r="AH1066" i="1"/>
  <c r="U1066" i="1"/>
  <c r="H1066" i="1"/>
  <c r="AT1066" i="1" s="1"/>
  <c r="AG1066" i="1"/>
  <c r="T1066" i="1"/>
  <c r="G1066" i="1"/>
  <c r="AS1066" i="1"/>
  <c r="AF1066" i="1"/>
  <c r="S1066" i="1"/>
  <c r="F1066" i="1"/>
  <c r="AR1066" i="1"/>
  <c r="AE1066" i="1"/>
  <c r="R1066" i="1"/>
  <c r="E1066" i="1"/>
  <c r="AQ1066" i="1"/>
  <c r="AD1066" i="1"/>
  <c r="Q1066" i="1"/>
  <c r="D1066" i="1"/>
  <c r="AP1089" i="1"/>
  <c r="AD1089" i="1"/>
  <c r="R1089" i="1"/>
  <c r="F1089" i="1"/>
  <c r="AH1089" i="1"/>
  <c r="U1089" i="1"/>
  <c r="H1089" i="1"/>
  <c r="AT1089" i="1" s="1"/>
  <c r="AG1089" i="1"/>
  <c r="T1089" i="1"/>
  <c r="G1089" i="1"/>
  <c r="AS1089" i="1"/>
  <c r="AF1089" i="1"/>
  <c r="S1089" i="1"/>
  <c r="E1089" i="1"/>
  <c r="AR1089" i="1"/>
  <c r="AE1089" i="1"/>
  <c r="Q1089" i="1"/>
  <c r="D1089" i="1"/>
  <c r="AQ1089" i="1"/>
  <c r="AO1089" i="1"/>
  <c r="AB1089" i="1"/>
  <c r="O1089" i="1"/>
  <c r="P1089" i="1" s="1"/>
  <c r="AN1089" i="1"/>
  <c r="AA1089" i="1"/>
  <c r="N1089" i="1"/>
  <c r="AM1089" i="1"/>
  <c r="Z1089" i="1"/>
  <c r="M1089" i="1"/>
  <c r="AY1089" i="1"/>
  <c r="AL1089" i="1"/>
  <c r="Y1089" i="1"/>
  <c r="AK1089" i="1"/>
  <c r="X1089" i="1"/>
  <c r="K1089" i="1"/>
  <c r="L1089" i="1" s="1"/>
  <c r="AJ1089" i="1"/>
  <c r="W1089" i="1"/>
  <c r="J1089" i="1"/>
  <c r="AI1089" i="1"/>
  <c r="V1089" i="1"/>
  <c r="I1089" i="1"/>
  <c r="AJ1108" i="1"/>
  <c r="X1108" i="1"/>
  <c r="AM1108" i="1"/>
  <c r="Z1108" i="1"/>
  <c r="M1108" i="1"/>
  <c r="AY1108" i="1"/>
  <c r="AL1108" i="1"/>
  <c r="Y1108" i="1"/>
  <c r="K1108" i="1"/>
  <c r="L1108" i="1" s="1"/>
  <c r="AK1108" i="1"/>
  <c r="W1108" i="1"/>
  <c r="J1108" i="1"/>
  <c r="AI1108" i="1"/>
  <c r="V1108" i="1"/>
  <c r="I1108" i="1"/>
  <c r="AH1108" i="1"/>
  <c r="U1108" i="1"/>
  <c r="H1108" i="1"/>
  <c r="AT1108" i="1" s="1"/>
  <c r="AG1108" i="1"/>
  <c r="T1108" i="1"/>
  <c r="G1108" i="1"/>
  <c r="AS1108" i="1"/>
  <c r="AF1108" i="1"/>
  <c r="S1108" i="1"/>
  <c r="F1108" i="1"/>
  <c r="AR1108" i="1"/>
  <c r="AE1108" i="1"/>
  <c r="R1108" i="1"/>
  <c r="E1108" i="1"/>
  <c r="AQ1108" i="1"/>
  <c r="AD1108" i="1"/>
  <c r="Q1108" i="1"/>
  <c r="D1108" i="1"/>
  <c r="AP1108" i="1"/>
  <c r="AO1108" i="1"/>
  <c r="AB1108" i="1"/>
  <c r="O1108" i="1"/>
  <c r="P1108" i="1" s="1"/>
  <c r="N1108" i="1"/>
  <c r="AN1108" i="1"/>
  <c r="AA1108" i="1"/>
  <c r="AN1090" i="1"/>
  <c r="AB1090" i="1"/>
  <c r="D1090" i="1"/>
  <c r="AY1090" i="1"/>
  <c r="AM1090" i="1"/>
  <c r="AA1090" i="1"/>
  <c r="O1090" i="1"/>
  <c r="P1090" i="1" s="1"/>
  <c r="AO1090" i="1"/>
  <c r="Y1090" i="1"/>
  <c r="K1090" i="1"/>
  <c r="L1090" i="1" s="1"/>
  <c r="AL1090" i="1"/>
  <c r="X1090" i="1"/>
  <c r="J1090" i="1"/>
  <c r="AK1090" i="1"/>
  <c r="W1090" i="1"/>
  <c r="I1090" i="1"/>
  <c r="AJ1090" i="1"/>
  <c r="V1090" i="1"/>
  <c r="H1090" i="1"/>
  <c r="AT1090" i="1" s="1"/>
  <c r="AI1090" i="1"/>
  <c r="U1090" i="1"/>
  <c r="G1090" i="1"/>
  <c r="AH1090" i="1"/>
  <c r="T1090" i="1"/>
  <c r="F1090" i="1"/>
  <c r="AG1090" i="1"/>
  <c r="S1090" i="1"/>
  <c r="E1090" i="1"/>
  <c r="AF1090" i="1"/>
  <c r="R1090" i="1"/>
  <c r="AS1090" i="1"/>
  <c r="AE1090" i="1"/>
  <c r="Q1090" i="1"/>
  <c r="AR1090" i="1"/>
  <c r="AD1090" i="1"/>
  <c r="N1090" i="1"/>
  <c r="AQ1090" i="1"/>
  <c r="M1090" i="1"/>
  <c r="AP1090" i="1"/>
  <c r="Z1090" i="1"/>
  <c r="AI1131" i="1"/>
  <c r="W1131" i="1"/>
  <c r="K1131" i="1"/>
  <c r="L1131" i="1" s="1"/>
  <c r="AK1131" i="1"/>
  <c r="X1131" i="1"/>
  <c r="J1131" i="1"/>
  <c r="AJ1131" i="1"/>
  <c r="V1131" i="1"/>
  <c r="I1131" i="1"/>
  <c r="AH1131" i="1"/>
  <c r="U1131" i="1"/>
  <c r="H1131" i="1"/>
  <c r="AT1131" i="1" s="1"/>
  <c r="AG1131" i="1"/>
  <c r="T1131" i="1"/>
  <c r="G1131" i="1"/>
  <c r="AS1131" i="1"/>
  <c r="AF1131" i="1"/>
  <c r="S1131" i="1"/>
  <c r="F1131" i="1"/>
  <c r="AR1131" i="1"/>
  <c r="AE1131" i="1"/>
  <c r="R1131" i="1"/>
  <c r="E1131" i="1"/>
  <c r="AQ1131" i="1"/>
  <c r="AD1131" i="1"/>
  <c r="Q1131" i="1"/>
  <c r="D1131" i="1"/>
  <c r="AP1131" i="1"/>
  <c r="AO1131" i="1"/>
  <c r="AB1131" i="1"/>
  <c r="O1131" i="1"/>
  <c r="P1131" i="1" s="1"/>
  <c r="AN1131" i="1"/>
  <c r="AA1131" i="1"/>
  <c r="N1131" i="1"/>
  <c r="AM1131" i="1"/>
  <c r="Z1131" i="1"/>
  <c r="M1131" i="1"/>
  <c r="Y1131" i="1"/>
  <c r="AY1131" i="1"/>
  <c r="AL1131" i="1"/>
  <c r="AL1158" i="1"/>
  <c r="Z1158" i="1"/>
  <c r="N1158" i="1"/>
  <c r="AK1158" i="1"/>
  <c r="Y1158" i="1"/>
  <c r="M1158" i="1"/>
  <c r="AJ1158" i="1"/>
  <c r="X1158" i="1"/>
  <c r="AI1158" i="1"/>
  <c r="W1158" i="1"/>
  <c r="K1158" i="1"/>
  <c r="L1158" i="1" s="1"/>
  <c r="AH1158" i="1"/>
  <c r="V1158" i="1"/>
  <c r="J1158" i="1"/>
  <c r="AS1158" i="1"/>
  <c r="AG1158" i="1"/>
  <c r="U1158" i="1"/>
  <c r="I1158" i="1"/>
  <c r="AR1158" i="1"/>
  <c r="AF1158" i="1"/>
  <c r="T1158" i="1"/>
  <c r="H1158" i="1"/>
  <c r="AT1158" i="1" s="1"/>
  <c r="AQ1158" i="1"/>
  <c r="AE1158" i="1"/>
  <c r="S1158" i="1"/>
  <c r="G1158" i="1"/>
  <c r="AP1158" i="1"/>
  <c r="AD1158" i="1"/>
  <c r="R1158" i="1"/>
  <c r="F1158" i="1"/>
  <c r="AO1158" i="1"/>
  <c r="Q1158" i="1"/>
  <c r="E1158" i="1"/>
  <c r="AN1158" i="1"/>
  <c r="AB1158" i="1"/>
  <c r="D1158" i="1"/>
  <c r="AY1158" i="1"/>
  <c r="AM1158" i="1"/>
  <c r="AA1158" i="1"/>
  <c r="O1158" i="1"/>
  <c r="P1158" i="1" s="1"/>
  <c r="AQ1145" i="1"/>
  <c r="AE1145" i="1"/>
  <c r="S1145" i="1"/>
  <c r="G1145" i="1"/>
  <c r="AP1145" i="1"/>
  <c r="AD1145" i="1"/>
  <c r="R1145" i="1"/>
  <c r="F1145" i="1"/>
  <c r="AO1145" i="1"/>
  <c r="Q1145" i="1"/>
  <c r="E1145" i="1"/>
  <c r="AN1145" i="1"/>
  <c r="AB1145" i="1"/>
  <c r="D1145" i="1"/>
  <c r="AY1145" i="1"/>
  <c r="AM1145" i="1"/>
  <c r="AA1145" i="1"/>
  <c r="O1145" i="1"/>
  <c r="P1145" i="1" s="1"/>
  <c r="AL1145" i="1"/>
  <c r="Z1145" i="1"/>
  <c r="N1145" i="1"/>
  <c r="AK1145" i="1"/>
  <c r="Y1145" i="1"/>
  <c r="M1145" i="1"/>
  <c r="AJ1145" i="1"/>
  <c r="X1145" i="1"/>
  <c r="AI1145" i="1"/>
  <c r="W1145" i="1"/>
  <c r="K1145" i="1"/>
  <c r="L1145" i="1" s="1"/>
  <c r="AH1145" i="1"/>
  <c r="V1145" i="1"/>
  <c r="J1145" i="1"/>
  <c r="AS1145" i="1"/>
  <c r="AG1145" i="1"/>
  <c r="U1145" i="1"/>
  <c r="I1145" i="1"/>
  <c r="H1145" i="1"/>
  <c r="AT1145" i="1" s="1"/>
  <c r="AR1145" i="1"/>
  <c r="AF1145" i="1"/>
  <c r="T1145" i="1"/>
  <c r="AJ1159" i="1"/>
  <c r="X1159" i="1"/>
  <c r="AI1159" i="1"/>
  <c r="W1159" i="1"/>
  <c r="K1159" i="1"/>
  <c r="L1159" i="1" s="1"/>
  <c r="AH1159" i="1"/>
  <c r="V1159" i="1"/>
  <c r="J1159" i="1"/>
  <c r="AS1159" i="1"/>
  <c r="AG1159" i="1"/>
  <c r="U1159" i="1"/>
  <c r="I1159" i="1"/>
  <c r="AR1159" i="1"/>
  <c r="AF1159" i="1"/>
  <c r="T1159" i="1"/>
  <c r="H1159" i="1"/>
  <c r="AT1159" i="1" s="1"/>
  <c r="AQ1159" i="1"/>
  <c r="AE1159" i="1"/>
  <c r="S1159" i="1"/>
  <c r="G1159" i="1"/>
  <c r="AP1159" i="1"/>
  <c r="AD1159" i="1"/>
  <c r="R1159" i="1"/>
  <c r="F1159" i="1"/>
  <c r="AO1159" i="1"/>
  <c r="Q1159" i="1"/>
  <c r="E1159" i="1"/>
  <c r="AN1159" i="1"/>
  <c r="AB1159" i="1"/>
  <c r="D1159" i="1"/>
  <c r="AY1159" i="1"/>
  <c r="AM1159" i="1"/>
  <c r="AA1159" i="1"/>
  <c r="O1159" i="1"/>
  <c r="P1159" i="1" s="1"/>
  <c r="AL1159" i="1"/>
  <c r="Z1159" i="1"/>
  <c r="N1159" i="1"/>
  <c r="Y1159" i="1"/>
  <c r="M1159" i="1"/>
  <c r="AK1159" i="1"/>
  <c r="AN1163" i="1"/>
  <c r="AB1163" i="1"/>
  <c r="D1163" i="1"/>
  <c r="AY1163" i="1"/>
  <c r="AM1163" i="1"/>
  <c r="AA1163" i="1"/>
  <c r="O1163" i="1"/>
  <c r="P1163" i="1" s="1"/>
  <c r="AL1163" i="1"/>
  <c r="Z1163" i="1"/>
  <c r="N1163" i="1"/>
  <c r="AK1163" i="1"/>
  <c r="Y1163" i="1"/>
  <c r="M1163" i="1"/>
  <c r="AJ1163" i="1"/>
  <c r="X1163" i="1"/>
  <c r="AI1163" i="1"/>
  <c r="W1163" i="1"/>
  <c r="K1163" i="1"/>
  <c r="L1163" i="1" s="1"/>
  <c r="AH1163" i="1"/>
  <c r="V1163" i="1"/>
  <c r="J1163" i="1"/>
  <c r="AS1163" i="1"/>
  <c r="AG1163" i="1"/>
  <c r="U1163" i="1"/>
  <c r="I1163" i="1"/>
  <c r="AR1163" i="1"/>
  <c r="AF1163" i="1"/>
  <c r="T1163" i="1"/>
  <c r="H1163" i="1"/>
  <c r="AT1163" i="1" s="1"/>
  <c r="AQ1163" i="1"/>
  <c r="AE1163" i="1"/>
  <c r="S1163" i="1"/>
  <c r="G1163" i="1"/>
  <c r="AP1163" i="1"/>
  <c r="AD1163" i="1"/>
  <c r="R1163" i="1"/>
  <c r="F1163" i="1"/>
  <c r="AO1163" i="1"/>
  <c r="Q1163" i="1"/>
  <c r="E1163" i="1"/>
  <c r="AL1193" i="1"/>
  <c r="Z1193" i="1"/>
  <c r="N1193" i="1"/>
  <c r="AK1193" i="1"/>
  <c r="Y1193" i="1"/>
  <c r="M1193" i="1"/>
  <c r="AJ1193" i="1"/>
  <c r="X1193" i="1"/>
  <c r="AI1193" i="1"/>
  <c r="W1193" i="1"/>
  <c r="K1193" i="1"/>
  <c r="L1193" i="1" s="1"/>
  <c r="AH1193" i="1"/>
  <c r="V1193" i="1"/>
  <c r="J1193" i="1"/>
  <c r="AS1193" i="1"/>
  <c r="AG1193" i="1"/>
  <c r="U1193" i="1"/>
  <c r="I1193" i="1"/>
  <c r="AR1193" i="1"/>
  <c r="AF1193" i="1"/>
  <c r="T1193" i="1"/>
  <c r="H1193" i="1"/>
  <c r="AT1193" i="1" s="1"/>
  <c r="AQ1193" i="1"/>
  <c r="AE1193" i="1"/>
  <c r="S1193" i="1"/>
  <c r="G1193" i="1"/>
  <c r="AP1193" i="1"/>
  <c r="AD1193" i="1"/>
  <c r="R1193" i="1"/>
  <c r="F1193" i="1"/>
  <c r="AO1193" i="1"/>
  <c r="Q1193" i="1"/>
  <c r="E1193" i="1"/>
  <c r="AA1193" i="1"/>
  <c r="O1193" i="1"/>
  <c r="P1193" i="1" s="1"/>
  <c r="D1193" i="1"/>
  <c r="AY1193" i="1"/>
  <c r="AN1193" i="1"/>
  <c r="AM1193" i="1"/>
  <c r="AB1193" i="1"/>
  <c r="AP1185" i="1"/>
  <c r="AD1185" i="1"/>
  <c r="R1185" i="1"/>
  <c r="F1185" i="1"/>
  <c r="AO1185" i="1"/>
  <c r="Q1185" i="1"/>
  <c r="E1185" i="1"/>
  <c r="AN1185" i="1"/>
  <c r="AB1185" i="1"/>
  <c r="D1185" i="1"/>
  <c r="AY1185" i="1"/>
  <c r="AM1185" i="1"/>
  <c r="AA1185" i="1"/>
  <c r="O1185" i="1"/>
  <c r="P1185" i="1" s="1"/>
  <c r="AL1185" i="1"/>
  <c r="Z1185" i="1"/>
  <c r="N1185" i="1"/>
  <c r="AK1185" i="1"/>
  <c r="Y1185" i="1"/>
  <c r="M1185" i="1"/>
  <c r="AJ1185" i="1"/>
  <c r="X1185" i="1"/>
  <c r="AI1185" i="1"/>
  <c r="W1185" i="1"/>
  <c r="K1185" i="1"/>
  <c r="L1185" i="1" s="1"/>
  <c r="AH1185" i="1"/>
  <c r="V1185" i="1"/>
  <c r="J1185" i="1"/>
  <c r="AS1185" i="1"/>
  <c r="AG1185" i="1"/>
  <c r="U1185" i="1"/>
  <c r="AF1185" i="1"/>
  <c r="AE1185" i="1"/>
  <c r="T1185" i="1"/>
  <c r="S1185" i="1"/>
  <c r="I1185" i="1"/>
  <c r="H1185" i="1"/>
  <c r="AT1185" i="1" s="1"/>
  <c r="G1185" i="1"/>
  <c r="AR1185" i="1"/>
  <c r="AQ1185" i="1"/>
  <c r="AD6" i="1"/>
  <c r="F6" i="1"/>
  <c r="AL6" i="1"/>
  <c r="AO6" i="1"/>
  <c r="E6" i="1"/>
  <c r="AN6" i="1"/>
  <c r="AM6" i="1"/>
  <c r="D6" i="1"/>
  <c r="D7" i="1" s="1"/>
  <c r="AA6" i="1"/>
  <c r="Z53" i="1" s="1"/>
  <c r="AK6" i="1"/>
  <c r="AJ6" i="1"/>
  <c r="W6" i="1"/>
  <c r="AS6" i="1"/>
  <c r="I6" i="1"/>
  <c r="H6" i="1"/>
  <c r="AT6" i="1" s="1"/>
  <c r="AE6" i="1"/>
  <c r="G6" i="1"/>
  <c r="AJ9" i="1"/>
  <c r="W9" i="1"/>
  <c r="AS9" i="1"/>
  <c r="I9" i="1"/>
  <c r="H9" i="1"/>
  <c r="AT9" i="1" s="1"/>
  <c r="AE9" i="1"/>
  <c r="G9" i="1"/>
  <c r="AD9" i="1"/>
  <c r="F9" i="1"/>
  <c r="AN9" i="1"/>
  <c r="AM9" i="1"/>
  <c r="AO9" i="1"/>
  <c r="E9" i="1"/>
  <c r="AA9" i="1"/>
  <c r="AL9" i="1"/>
  <c r="AK9" i="1"/>
  <c r="AL60" i="1"/>
  <c r="AK60" i="1"/>
  <c r="AJ60" i="1"/>
  <c r="W60" i="1"/>
  <c r="AS60" i="1"/>
  <c r="I60" i="1"/>
  <c r="H60" i="1"/>
  <c r="AT60" i="1" s="1"/>
  <c r="AE60" i="1"/>
  <c r="G60" i="1"/>
  <c r="AD60" i="1"/>
  <c r="F60" i="1"/>
  <c r="AO60" i="1"/>
  <c r="E60" i="1"/>
  <c r="AN60" i="1"/>
  <c r="AM60" i="1"/>
  <c r="AA60" i="1"/>
  <c r="AJ55" i="1"/>
  <c r="W55" i="1"/>
  <c r="AS55" i="1"/>
  <c r="H55" i="1"/>
  <c r="AT55" i="1" s="1"/>
  <c r="AE55" i="1"/>
  <c r="G55" i="1"/>
  <c r="I55" i="1" s="1"/>
  <c r="AD55" i="1"/>
  <c r="F55" i="1"/>
  <c r="AO55" i="1"/>
  <c r="E55" i="1"/>
  <c r="AN55" i="1"/>
  <c r="AM55" i="1"/>
  <c r="AA55" i="1"/>
  <c r="Z55" i="1" s="1"/>
  <c r="AL55" i="1"/>
  <c r="AK55" i="1"/>
  <c r="AS44" i="1"/>
  <c r="H44" i="1"/>
  <c r="AT44" i="1" s="1"/>
  <c r="AE44" i="1"/>
  <c r="G44" i="1"/>
  <c r="I44" i="1" s="1"/>
  <c r="AD44" i="1"/>
  <c r="F44" i="1"/>
  <c r="AO44" i="1"/>
  <c r="E44" i="1"/>
  <c r="AN44" i="1"/>
  <c r="AM44" i="1"/>
  <c r="AA44" i="1"/>
  <c r="Z44" i="1" s="1"/>
  <c r="AL44" i="1"/>
  <c r="AK44" i="1"/>
  <c r="AJ44" i="1"/>
  <c r="W44" i="1"/>
  <c r="H27" i="1"/>
  <c r="AT27" i="1" s="1"/>
  <c r="AE27" i="1"/>
  <c r="G27" i="1"/>
  <c r="I27" i="1" s="1"/>
  <c r="AM27" i="1"/>
  <c r="AA27" i="1"/>
  <c r="AL27" i="1"/>
  <c r="AK27" i="1"/>
  <c r="AS27" i="1"/>
  <c r="AJ27" i="1"/>
  <c r="AD27" i="1"/>
  <c r="F27" i="1"/>
  <c r="E27" i="1"/>
  <c r="W27" i="1"/>
  <c r="AO27" i="1"/>
  <c r="AN27" i="1"/>
  <c r="AJ118" i="1"/>
  <c r="X118" i="1"/>
  <c r="AI118" i="1"/>
  <c r="W118" i="1"/>
  <c r="K118" i="1"/>
  <c r="L118" i="1" s="1"/>
  <c r="AH118" i="1"/>
  <c r="V118" i="1"/>
  <c r="J118" i="1"/>
  <c r="AS118" i="1"/>
  <c r="AG118" i="1"/>
  <c r="U118" i="1"/>
  <c r="I118" i="1"/>
  <c r="AR118" i="1"/>
  <c r="AF118" i="1"/>
  <c r="T118" i="1"/>
  <c r="H118" i="1"/>
  <c r="AT118" i="1" s="1"/>
  <c r="AQ118" i="1"/>
  <c r="AE118" i="1"/>
  <c r="S118" i="1"/>
  <c r="G118" i="1"/>
  <c r="AP118" i="1"/>
  <c r="AD118" i="1"/>
  <c r="R118" i="1"/>
  <c r="F118" i="1"/>
  <c r="AO118" i="1"/>
  <c r="Q118" i="1"/>
  <c r="E118" i="1"/>
  <c r="AL118" i="1"/>
  <c r="Z118" i="1"/>
  <c r="N118" i="1"/>
  <c r="AK118" i="1"/>
  <c r="Y118" i="1"/>
  <c r="M118" i="1"/>
  <c r="AA118" i="1"/>
  <c r="O118" i="1"/>
  <c r="P118" i="1" s="1"/>
  <c r="D118" i="1"/>
  <c r="AY118" i="1"/>
  <c r="AN118" i="1"/>
  <c r="AM118" i="1"/>
  <c r="AB118" i="1"/>
  <c r="AJ112" i="1"/>
  <c r="X112" i="1"/>
  <c r="AI112" i="1"/>
  <c r="W112" i="1"/>
  <c r="K112" i="1"/>
  <c r="L112" i="1" s="1"/>
  <c r="AQ112" i="1"/>
  <c r="AE112" i="1"/>
  <c r="S112" i="1"/>
  <c r="G112" i="1"/>
  <c r="AP112" i="1"/>
  <c r="AD112" i="1"/>
  <c r="R112" i="1"/>
  <c r="F112" i="1"/>
  <c r="AO112" i="1"/>
  <c r="Q112" i="1"/>
  <c r="E112" i="1"/>
  <c r="AK112" i="1"/>
  <c r="Y112" i="1"/>
  <c r="M112" i="1"/>
  <c r="AF112" i="1"/>
  <c r="I112" i="1"/>
  <c r="AY112" i="1"/>
  <c r="H112" i="1"/>
  <c r="AT112" i="1" s="1"/>
  <c r="AB112" i="1"/>
  <c r="D112" i="1"/>
  <c r="AA112" i="1"/>
  <c r="Z112" i="1"/>
  <c r="AS112" i="1"/>
  <c r="V112" i="1"/>
  <c r="AR112" i="1"/>
  <c r="U112" i="1"/>
  <c r="AN112" i="1"/>
  <c r="T112" i="1"/>
  <c r="AM112" i="1"/>
  <c r="AL112" i="1"/>
  <c r="O112" i="1"/>
  <c r="P112" i="1" s="1"/>
  <c r="AH112" i="1"/>
  <c r="N112" i="1"/>
  <c r="AG112" i="1"/>
  <c r="J112" i="1"/>
  <c r="AN89" i="1"/>
  <c r="AB89" i="1"/>
  <c r="D89" i="1"/>
  <c r="AY89" i="1"/>
  <c r="AM89" i="1"/>
  <c r="AA89" i="1"/>
  <c r="O89" i="1"/>
  <c r="P89" i="1" s="1"/>
  <c r="AL89" i="1"/>
  <c r="Z89" i="1"/>
  <c r="N89" i="1"/>
  <c r="AK89" i="1"/>
  <c r="Y89" i="1"/>
  <c r="M89" i="1"/>
  <c r="AJ89" i="1"/>
  <c r="X89" i="1"/>
  <c r="AI89" i="1"/>
  <c r="W89" i="1"/>
  <c r="K89" i="1"/>
  <c r="L89" i="1" s="1"/>
  <c r="AH89" i="1"/>
  <c r="V89" i="1"/>
  <c r="J89" i="1"/>
  <c r="AS89" i="1"/>
  <c r="AG89" i="1"/>
  <c r="U89" i="1"/>
  <c r="I89" i="1"/>
  <c r="AR89" i="1"/>
  <c r="AF89" i="1"/>
  <c r="T89" i="1"/>
  <c r="H89" i="1"/>
  <c r="AT89" i="1" s="1"/>
  <c r="AQ89" i="1"/>
  <c r="AE89" i="1"/>
  <c r="S89" i="1"/>
  <c r="G89" i="1"/>
  <c r="AP89" i="1"/>
  <c r="AD89" i="1"/>
  <c r="R89" i="1"/>
  <c r="F89" i="1"/>
  <c r="AO89" i="1"/>
  <c r="Q89" i="1"/>
  <c r="E89" i="1"/>
  <c r="AL159" i="1"/>
  <c r="Z159" i="1"/>
  <c r="N159" i="1"/>
  <c r="AK159" i="1"/>
  <c r="Y159" i="1"/>
  <c r="M159" i="1"/>
  <c r="AJ159" i="1"/>
  <c r="X159" i="1"/>
  <c r="AI159" i="1"/>
  <c r="W159" i="1"/>
  <c r="K159" i="1"/>
  <c r="L159" i="1" s="1"/>
  <c r="AH159" i="1"/>
  <c r="V159" i="1"/>
  <c r="J159" i="1"/>
  <c r="AS159" i="1"/>
  <c r="AG159" i="1"/>
  <c r="U159" i="1"/>
  <c r="I159" i="1"/>
  <c r="AR159" i="1"/>
  <c r="AF159" i="1"/>
  <c r="T159" i="1"/>
  <c r="H159" i="1"/>
  <c r="AT159" i="1" s="1"/>
  <c r="AQ159" i="1"/>
  <c r="AE159" i="1"/>
  <c r="S159" i="1"/>
  <c r="G159" i="1"/>
  <c r="AP159" i="1"/>
  <c r="AD159" i="1"/>
  <c r="R159" i="1"/>
  <c r="F159" i="1"/>
  <c r="AO159" i="1"/>
  <c r="Q159" i="1"/>
  <c r="E159" i="1"/>
  <c r="AN159" i="1"/>
  <c r="AB159" i="1"/>
  <c r="D159" i="1"/>
  <c r="AY159" i="1"/>
  <c r="AM159" i="1"/>
  <c r="AA159" i="1"/>
  <c r="O159" i="1"/>
  <c r="P159" i="1" s="1"/>
  <c r="AJ166" i="1"/>
  <c r="X166" i="1"/>
  <c r="AI166" i="1"/>
  <c r="W166" i="1"/>
  <c r="K166" i="1"/>
  <c r="L166" i="1" s="1"/>
  <c r="AH166" i="1"/>
  <c r="V166" i="1"/>
  <c r="J166" i="1"/>
  <c r="AS166" i="1"/>
  <c r="AG166" i="1"/>
  <c r="U166" i="1"/>
  <c r="I166" i="1"/>
  <c r="AR166" i="1"/>
  <c r="AF166" i="1"/>
  <c r="T166" i="1"/>
  <c r="H166" i="1"/>
  <c r="AT166" i="1" s="1"/>
  <c r="AQ166" i="1"/>
  <c r="AE166" i="1"/>
  <c r="S166" i="1"/>
  <c r="G166" i="1"/>
  <c r="AP166" i="1"/>
  <c r="AD166" i="1"/>
  <c r="R166" i="1"/>
  <c r="F166" i="1"/>
  <c r="AO166" i="1"/>
  <c r="Q166" i="1"/>
  <c r="E166" i="1"/>
  <c r="AN166" i="1"/>
  <c r="AB166" i="1"/>
  <c r="D166" i="1"/>
  <c r="AY166" i="1"/>
  <c r="AM166" i="1"/>
  <c r="AA166" i="1"/>
  <c r="O166" i="1"/>
  <c r="P166" i="1" s="1"/>
  <c r="AL166" i="1"/>
  <c r="Z166" i="1"/>
  <c r="N166" i="1"/>
  <c r="AK166" i="1"/>
  <c r="Y166" i="1"/>
  <c r="M166" i="1"/>
  <c r="AH149" i="1"/>
  <c r="V149" i="1"/>
  <c r="J149" i="1"/>
  <c r="AS149" i="1"/>
  <c r="AG149" i="1"/>
  <c r="U149" i="1"/>
  <c r="I149" i="1"/>
  <c r="AR149" i="1"/>
  <c r="AF149" i="1"/>
  <c r="T149" i="1"/>
  <c r="H149" i="1"/>
  <c r="AT149" i="1" s="1"/>
  <c r="AQ149" i="1"/>
  <c r="AE149" i="1"/>
  <c r="S149" i="1"/>
  <c r="G149" i="1"/>
  <c r="AP149" i="1"/>
  <c r="AD149" i="1"/>
  <c r="R149" i="1"/>
  <c r="F149" i="1"/>
  <c r="AO149" i="1"/>
  <c r="Q149" i="1"/>
  <c r="E149" i="1"/>
  <c r="AN149" i="1"/>
  <c r="AB149" i="1"/>
  <c r="D149" i="1"/>
  <c r="AY149" i="1"/>
  <c r="AM149" i="1"/>
  <c r="AA149" i="1"/>
  <c r="O149" i="1"/>
  <c r="P149" i="1" s="1"/>
  <c r="AL149" i="1"/>
  <c r="Z149" i="1"/>
  <c r="N149" i="1"/>
  <c r="AK149" i="1"/>
  <c r="Y149" i="1"/>
  <c r="M149" i="1"/>
  <c r="AJ149" i="1"/>
  <c r="X149" i="1"/>
  <c r="AI149" i="1"/>
  <c r="W149" i="1"/>
  <c r="K149" i="1"/>
  <c r="L149" i="1" s="1"/>
  <c r="AR144" i="1"/>
  <c r="AF144" i="1"/>
  <c r="T144" i="1"/>
  <c r="H144" i="1"/>
  <c r="AT144" i="1" s="1"/>
  <c r="AQ144" i="1"/>
  <c r="AE144" i="1"/>
  <c r="S144" i="1"/>
  <c r="G144" i="1"/>
  <c r="AP144" i="1"/>
  <c r="AD144" i="1"/>
  <c r="R144" i="1"/>
  <c r="F144" i="1"/>
  <c r="AO144" i="1"/>
  <c r="Q144" i="1"/>
  <c r="E144" i="1"/>
  <c r="AN144" i="1"/>
  <c r="AB144" i="1"/>
  <c r="D144" i="1"/>
  <c r="AY144" i="1"/>
  <c r="AM144" i="1"/>
  <c r="AA144" i="1"/>
  <c r="O144" i="1"/>
  <c r="P144" i="1" s="1"/>
  <c r="AL144" i="1"/>
  <c r="Z144" i="1"/>
  <c r="N144" i="1"/>
  <c r="AK144" i="1"/>
  <c r="Y144" i="1"/>
  <c r="M144" i="1"/>
  <c r="AJ144" i="1"/>
  <c r="X144" i="1"/>
  <c r="AI144" i="1"/>
  <c r="W144" i="1"/>
  <c r="K144" i="1"/>
  <c r="L144" i="1" s="1"/>
  <c r="AH144" i="1"/>
  <c r="V144" i="1"/>
  <c r="J144" i="1"/>
  <c r="AS144" i="1"/>
  <c r="AG144" i="1"/>
  <c r="U144" i="1"/>
  <c r="I144" i="1"/>
  <c r="AP157" i="1"/>
  <c r="AD157" i="1"/>
  <c r="R157" i="1"/>
  <c r="F157" i="1"/>
  <c r="AO157" i="1"/>
  <c r="Q157" i="1"/>
  <c r="E157" i="1"/>
  <c r="AN157" i="1"/>
  <c r="AB157" i="1"/>
  <c r="D157" i="1"/>
  <c r="AY157" i="1"/>
  <c r="AM157" i="1"/>
  <c r="AA157" i="1"/>
  <c r="O157" i="1"/>
  <c r="P157" i="1" s="1"/>
  <c r="AL157" i="1"/>
  <c r="Z157" i="1"/>
  <c r="N157" i="1"/>
  <c r="AK157" i="1"/>
  <c r="Y157" i="1"/>
  <c r="M157" i="1"/>
  <c r="AJ157" i="1"/>
  <c r="X157" i="1"/>
  <c r="AI157" i="1"/>
  <c r="W157" i="1"/>
  <c r="K157" i="1"/>
  <c r="L157" i="1" s="1"/>
  <c r="AH157" i="1"/>
  <c r="V157" i="1"/>
  <c r="J157" i="1"/>
  <c r="AS157" i="1"/>
  <c r="AG157" i="1"/>
  <c r="U157" i="1"/>
  <c r="I157" i="1"/>
  <c r="AR157" i="1"/>
  <c r="AF157" i="1"/>
  <c r="T157" i="1"/>
  <c r="H157" i="1"/>
  <c r="AT157" i="1" s="1"/>
  <c r="AQ157" i="1"/>
  <c r="AE157" i="1"/>
  <c r="S157" i="1"/>
  <c r="G157" i="1"/>
  <c r="AN146" i="1"/>
  <c r="AB146" i="1"/>
  <c r="D146" i="1"/>
  <c r="AY146" i="1"/>
  <c r="AM146" i="1"/>
  <c r="AA146" i="1"/>
  <c r="O146" i="1"/>
  <c r="P146" i="1" s="1"/>
  <c r="AL146" i="1"/>
  <c r="Z146" i="1"/>
  <c r="N146" i="1"/>
  <c r="AK146" i="1"/>
  <c r="Y146" i="1"/>
  <c r="M146" i="1"/>
  <c r="AJ146" i="1"/>
  <c r="X146" i="1"/>
  <c r="AI146" i="1"/>
  <c r="W146" i="1"/>
  <c r="K146" i="1"/>
  <c r="L146" i="1" s="1"/>
  <c r="AH146" i="1"/>
  <c r="V146" i="1"/>
  <c r="J146" i="1"/>
  <c r="AS146" i="1"/>
  <c r="AG146" i="1"/>
  <c r="U146" i="1"/>
  <c r="I146" i="1"/>
  <c r="AR146" i="1"/>
  <c r="AF146" i="1"/>
  <c r="T146" i="1"/>
  <c r="H146" i="1"/>
  <c r="AT146" i="1" s="1"/>
  <c r="AQ146" i="1"/>
  <c r="AE146" i="1"/>
  <c r="S146" i="1"/>
  <c r="G146" i="1"/>
  <c r="AP146" i="1"/>
  <c r="AD146" i="1"/>
  <c r="R146" i="1"/>
  <c r="F146" i="1"/>
  <c r="AO146" i="1"/>
  <c r="Q146" i="1"/>
  <c r="E146" i="1"/>
  <c r="AK192" i="1"/>
  <c r="Y192" i="1"/>
  <c r="M192" i="1"/>
  <c r="AJ192" i="1"/>
  <c r="X192" i="1"/>
  <c r="AI192" i="1"/>
  <c r="W192" i="1"/>
  <c r="K192" i="1"/>
  <c r="L192" i="1" s="1"/>
  <c r="AH192" i="1"/>
  <c r="V192" i="1"/>
  <c r="J192" i="1"/>
  <c r="AS192" i="1"/>
  <c r="AG192" i="1"/>
  <c r="U192" i="1"/>
  <c r="I192" i="1"/>
  <c r="AR192" i="1"/>
  <c r="AF192" i="1"/>
  <c r="T192" i="1"/>
  <c r="H192" i="1"/>
  <c r="AT192" i="1" s="1"/>
  <c r="AQ192" i="1"/>
  <c r="AE192" i="1"/>
  <c r="S192" i="1"/>
  <c r="G192" i="1"/>
  <c r="AP192" i="1"/>
  <c r="AD192" i="1"/>
  <c r="R192" i="1"/>
  <c r="F192" i="1"/>
  <c r="AY192" i="1"/>
  <c r="AM192" i="1"/>
  <c r="AA192" i="1"/>
  <c r="O192" i="1"/>
  <c r="P192" i="1" s="1"/>
  <c r="AL192" i="1"/>
  <c r="Z192" i="1"/>
  <c r="N192" i="1"/>
  <c r="D192" i="1"/>
  <c r="AO192" i="1"/>
  <c r="AN192" i="1"/>
  <c r="AB192" i="1"/>
  <c r="Q192" i="1"/>
  <c r="E192" i="1"/>
  <c r="AI205" i="1"/>
  <c r="W205" i="1"/>
  <c r="K205" i="1"/>
  <c r="L205" i="1" s="1"/>
  <c r="AH205" i="1"/>
  <c r="V205" i="1"/>
  <c r="J205" i="1"/>
  <c r="AS205" i="1"/>
  <c r="AG205" i="1"/>
  <c r="U205" i="1"/>
  <c r="I205" i="1"/>
  <c r="AR205" i="1"/>
  <c r="AF205" i="1"/>
  <c r="T205" i="1"/>
  <c r="H205" i="1"/>
  <c r="AT205" i="1" s="1"/>
  <c r="AQ205" i="1"/>
  <c r="AE205" i="1"/>
  <c r="S205" i="1"/>
  <c r="G205" i="1"/>
  <c r="AP205" i="1"/>
  <c r="AD205" i="1"/>
  <c r="R205" i="1"/>
  <c r="F205" i="1"/>
  <c r="AO205" i="1"/>
  <c r="Q205" i="1"/>
  <c r="E205" i="1"/>
  <c r="AN205" i="1"/>
  <c r="AB205" i="1"/>
  <c r="D205" i="1"/>
  <c r="AY205" i="1"/>
  <c r="AM205" i="1"/>
  <c r="AA205" i="1"/>
  <c r="O205" i="1"/>
  <c r="P205" i="1" s="1"/>
  <c r="AL205" i="1"/>
  <c r="Z205" i="1"/>
  <c r="N205" i="1"/>
  <c r="AK205" i="1"/>
  <c r="Y205" i="1"/>
  <c r="M205" i="1"/>
  <c r="AJ205" i="1"/>
  <c r="X205" i="1"/>
  <c r="AS194" i="1"/>
  <c r="AG194" i="1"/>
  <c r="U194" i="1"/>
  <c r="I194" i="1"/>
  <c r="AR194" i="1"/>
  <c r="AF194" i="1"/>
  <c r="T194" i="1"/>
  <c r="H194" i="1"/>
  <c r="AT194" i="1" s="1"/>
  <c r="AQ194" i="1"/>
  <c r="AE194" i="1"/>
  <c r="S194" i="1"/>
  <c r="G194" i="1"/>
  <c r="AP194" i="1"/>
  <c r="AD194" i="1"/>
  <c r="R194" i="1"/>
  <c r="F194" i="1"/>
  <c r="AO194" i="1"/>
  <c r="Q194" i="1"/>
  <c r="E194" i="1"/>
  <c r="AN194" i="1"/>
  <c r="AB194" i="1"/>
  <c r="D194" i="1"/>
  <c r="AY194" i="1"/>
  <c r="AM194" i="1"/>
  <c r="AA194" i="1"/>
  <c r="O194" i="1"/>
  <c r="P194" i="1" s="1"/>
  <c r="AL194" i="1"/>
  <c r="Z194" i="1"/>
  <c r="N194" i="1"/>
  <c r="AI194" i="1"/>
  <c r="W194" i="1"/>
  <c r="K194" i="1"/>
  <c r="L194" i="1" s="1"/>
  <c r="AH194" i="1"/>
  <c r="V194" i="1"/>
  <c r="J194" i="1"/>
  <c r="X194" i="1"/>
  <c r="M194" i="1"/>
  <c r="AK194" i="1"/>
  <c r="AJ194" i="1"/>
  <c r="Y194" i="1"/>
  <c r="AQ201" i="1"/>
  <c r="AE201" i="1"/>
  <c r="S201" i="1"/>
  <c r="G201" i="1"/>
  <c r="AP201" i="1"/>
  <c r="AD201" i="1"/>
  <c r="R201" i="1"/>
  <c r="F201" i="1"/>
  <c r="AO201" i="1"/>
  <c r="Q201" i="1"/>
  <c r="E201" i="1"/>
  <c r="AN201" i="1"/>
  <c r="AB201" i="1"/>
  <c r="D201" i="1"/>
  <c r="AY201" i="1"/>
  <c r="AM201" i="1"/>
  <c r="AA201" i="1"/>
  <c r="O201" i="1"/>
  <c r="P201" i="1" s="1"/>
  <c r="AL201" i="1"/>
  <c r="Z201" i="1"/>
  <c r="N201" i="1"/>
  <c r="AK201" i="1"/>
  <c r="Y201" i="1"/>
  <c r="M201" i="1"/>
  <c r="AJ201" i="1"/>
  <c r="X201" i="1"/>
  <c r="AI201" i="1"/>
  <c r="W201" i="1"/>
  <c r="K201" i="1"/>
  <c r="L201" i="1" s="1"/>
  <c r="AH201" i="1"/>
  <c r="V201" i="1"/>
  <c r="J201" i="1"/>
  <c r="AS201" i="1"/>
  <c r="AG201" i="1"/>
  <c r="U201" i="1"/>
  <c r="I201" i="1"/>
  <c r="AR201" i="1"/>
  <c r="AF201" i="1"/>
  <c r="T201" i="1"/>
  <c r="H201" i="1"/>
  <c r="AT201" i="1" s="1"/>
  <c r="AO190" i="1"/>
  <c r="Q190" i="1"/>
  <c r="E190" i="1"/>
  <c r="AN190" i="1"/>
  <c r="AB190" i="1"/>
  <c r="D190" i="1"/>
  <c r="AY190" i="1"/>
  <c r="AM190" i="1"/>
  <c r="AA190" i="1"/>
  <c r="O190" i="1"/>
  <c r="P190" i="1" s="1"/>
  <c r="AL190" i="1"/>
  <c r="Z190" i="1"/>
  <c r="N190" i="1"/>
  <c r="AK190" i="1"/>
  <c r="Y190" i="1"/>
  <c r="M190" i="1"/>
  <c r="AJ190" i="1"/>
  <c r="X190" i="1"/>
  <c r="AI190" i="1"/>
  <c r="W190" i="1"/>
  <c r="K190" i="1"/>
  <c r="L190" i="1" s="1"/>
  <c r="AH190" i="1"/>
  <c r="V190" i="1"/>
  <c r="J190" i="1"/>
  <c r="AQ190" i="1"/>
  <c r="AE190" i="1"/>
  <c r="S190" i="1"/>
  <c r="G190" i="1"/>
  <c r="AP190" i="1"/>
  <c r="AD190" i="1"/>
  <c r="R190" i="1"/>
  <c r="F190" i="1"/>
  <c r="AS190" i="1"/>
  <c r="AR190" i="1"/>
  <c r="AG190" i="1"/>
  <c r="AF190" i="1"/>
  <c r="U190" i="1"/>
  <c r="T190" i="1"/>
  <c r="I190" i="1"/>
  <c r="H190" i="1"/>
  <c r="AT190" i="1" s="1"/>
  <c r="AK256" i="1"/>
  <c r="Y256" i="1"/>
  <c r="M256" i="1"/>
  <c r="AJ256" i="1"/>
  <c r="X256" i="1"/>
  <c r="AR256" i="1"/>
  <c r="AF256" i="1"/>
  <c r="T256" i="1"/>
  <c r="H256" i="1"/>
  <c r="AT256" i="1" s="1"/>
  <c r="AQ256" i="1"/>
  <c r="AE256" i="1"/>
  <c r="S256" i="1"/>
  <c r="G256" i="1"/>
  <c r="AP256" i="1"/>
  <c r="AD256" i="1"/>
  <c r="R256" i="1"/>
  <c r="F256" i="1"/>
  <c r="AL256" i="1"/>
  <c r="Z256" i="1"/>
  <c r="N256" i="1"/>
  <c r="AB256" i="1"/>
  <c r="D256" i="1"/>
  <c r="AA256" i="1"/>
  <c r="W256" i="1"/>
  <c r="V256" i="1"/>
  <c r="AS256" i="1"/>
  <c r="U256" i="1"/>
  <c r="AO256" i="1"/>
  <c r="Q256" i="1"/>
  <c r="AN256" i="1"/>
  <c r="AM256" i="1"/>
  <c r="O256" i="1"/>
  <c r="P256" i="1" s="1"/>
  <c r="AI256" i="1"/>
  <c r="K256" i="1"/>
  <c r="L256" i="1" s="1"/>
  <c r="AH256" i="1"/>
  <c r="J256" i="1"/>
  <c r="AG256" i="1"/>
  <c r="I256" i="1"/>
  <c r="AY256" i="1"/>
  <c r="E256" i="1"/>
  <c r="AY239" i="1"/>
  <c r="AM239" i="1"/>
  <c r="AA239" i="1"/>
  <c r="O239" i="1"/>
  <c r="P239" i="1" s="1"/>
  <c r="AL239" i="1"/>
  <c r="Z239" i="1"/>
  <c r="N239" i="1"/>
  <c r="AK239" i="1"/>
  <c r="Y239" i="1"/>
  <c r="M239" i="1"/>
  <c r="AJ239" i="1"/>
  <c r="X239" i="1"/>
  <c r="AI239" i="1"/>
  <c r="W239" i="1"/>
  <c r="K239" i="1"/>
  <c r="L239" i="1" s="1"/>
  <c r="AH239" i="1"/>
  <c r="V239" i="1"/>
  <c r="J239" i="1"/>
  <c r="AS239" i="1"/>
  <c r="AG239" i="1"/>
  <c r="U239" i="1"/>
  <c r="I239" i="1"/>
  <c r="AR239" i="1"/>
  <c r="AF239" i="1"/>
  <c r="T239" i="1"/>
  <c r="H239" i="1"/>
  <c r="AT239" i="1" s="1"/>
  <c r="AQ239" i="1"/>
  <c r="AE239" i="1"/>
  <c r="S239" i="1"/>
  <c r="G239" i="1"/>
  <c r="AP239" i="1"/>
  <c r="AD239" i="1"/>
  <c r="R239" i="1"/>
  <c r="F239" i="1"/>
  <c r="AO239" i="1"/>
  <c r="Q239" i="1"/>
  <c r="E239" i="1"/>
  <c r="AN239" i="1"/>
  <c r="AB239" i="1"/>
  <c r="D239" i="1"/>
  <c r="AK322" i="1"/>
  <c r="Y322" i="1"/>
  <c r="M322" i="1"/>
  <c r="AJ322" i="1"/>
  <c r="X322" i="1"/>
  <c r="AI322" i="1"/>
  <c r="W322" i="1"/>
  <c r="K322" i="1"/>
  <c r="L322" i="1" s="1"/>
  <c r="AH322" i="1"/>
  <c r="V322" i="1"/>
  <c r="J322" i="1"/>
  <c r="AS322" i="1"/>
  <c r="AG322" i="1"/>
  <c r="U322" i="1"/>
  <c r="I322" i="1"/>
  <c r="AR322" i="1"/>
  <c r="AF322" i="1"/>
  <c r="T322" i="1"/>
  <c r="H322" i="1"/>
  <c r="AT322" i="1" s="1"/>
  <c r="AQ322" i="1"/>
  <c r="AE322" i="1"/>
  <c r="S322" i="1"/>
  <c r="G322" i="1"/>
  <c r="AP322" i="1"/>
  <c r="AD322" i="1"/>
  <c r="R322" i="1"/>
  <c r="F322" i="1"/>
  <c r="AO322" i="1"/>
  <c r="Q322" i="1"/>
  <c r="E322" i="1"/>
  <c r="AN322" i="1"/>
  <c r="AB322" i="1"/>
  <c r="D322" i="1"/>
  <c r="AY322" i="1"/>
  <c r="AM322" i="1"/>
  <c r="AA322" i="1"/>
  <c r="O322" i="1"/>
  <c r="P322" i="1" s="1"/>
  <c r="AL322" i="1"/>
  <c r="Z322" i="1"/>
  <c r="N322" i="1"/>
  <c r="AQ329" i="1"/>
  <c r="AE329" i="1"/>
  <c r="S329" i="1"/>
  <c r="G329" i="1"/>
  <c r="AL329" i="1"/>
  <c r="Z329" i="1"/>
  <c r="N329" i="1"/>
  <c r="AK329" i="1"/>
  <c r="Y329" i="1"/>
  <c r="M329" i="1"/>
  <c r="AJ329" i="1"/>
  <c r="X329" i="1"/>
  <c r="AF329" i="1"/>
  <c r="O329" i="1"/>
  <c r="P329" i="1" s="1"/>
  <c r="AD329" i="1"/>
  <c r="K329" i="1"/>
  <c r="L329" i="1" s="1"/>
  <c r="J329" i="1"/>
  <c r="AS329" i="1"/>
  <c r="AB329" i="1"/>
  <c r="I329" i="1"/>
  <c r="AR329" i="1"/>
  <c r="AA329" i="1"/>
  <c r="H329" i="1"/>
  <c r="AT329" i="1" s="1"/>
  <c r="AP329" i="1"/>
  <c r="W329" i="1"/>
  <c r="F329" i="1"/>
  <c r="AO329" i="1"/>
  <c r="V329" i="1"/>
  <c r="E329" i="1"/>
  <c r="AN329" i="1"/>
  <c r="U329" i="1"/>
  <c r="D329" i="1"/>
  <c r="AM329" i="1"/>
  <c r="T329" i="1"/>
  <c r="AI329" i="1"/>
  <c r="R329" i="1"/>
  <c r="AY329" i="1"/>
  <c r="AH329" i="1"/>
  <c r="Q329" i="1"/>
  <c r="AG329" i="1"/>
  <c r="AS312" i="1"/>
  <c r="AG312" i="1"/>
  <c r="U312" i="1"/>
  <c r="I312" i="1"/>
  <c r="AR312" i="1"/>
  <c r="AF312" i="1"/>
  <c r="T312" i="1"/>
  <c r="H312" i="1"/>
  <c r="AT312" i="1" s="1"/>
  <c r="AQ312" i="1"/>
  <c r="AE312" i="1"/>
  <c r="S312" i="1"/>
  <c r="G312" i="1"/>
  <c r="AP312" i="1"/>
  <c r="AD312" i="1"/>
  <c r="R312" i="1"/>
  <c r="F312" i="1"/>
  <c r="AO312" i="1"/>
  <c r="Q312" i="1"/>
  <c r="E312" i="1"/>
  <c r="AN312" i="1"/>
  <c r="AB312" i="1"/>
  <c r="D312" i="1"/>
  <c r="AY312" i="1"/>
  <c r="AM312" i="1"/>
  <c r="AA312" i="1"/>
  <c r="O312" i="1"/>
  <c r="P312" i="1" s="1"/>
  <c r="AL312" i="1"/>
  <c r="Z312" i="1"/>
  <c r="N312" i="1"/>
  <c r="AK312" i="1"/>
  <c r="Y312" i="1"/>
  <c r="M312" i="1"/>
  <c r="AJ312" i="1"/>
  <c r="X312" i="1"/>
  <c r="AI312" i="1"/>
  <c r="W312" i="1"/>
  <c r="K312" i="1"/>
  <c r="L312" i="1" s="1"/>
  <c r="AH312" i="1"/>
  <c r="V312" i="1"/>
  <c r="J312" i="1"/>
  <c r="AQ307" i="1"/>
  <c r="AE307" i="1"/>
  <c r="S307" i="1"/>
  <c r="G307" i="1"/>
  <c r="AP307" i="1"/>
  <c r="AD307" i="1"/>
  <c r="R307" i="1"/>
  <c r="F307" i="1"/>
  <c r="AO307" i="1"/>
  <c r="Q307" i="1"/>
  <c r="E307" i="1"/>
  <c r="AN307" i="1"/>
  <c r="AB307" i="1"/>
  <c r="D307" i="1"/>
  <c r="AY307" i="1"/>
  <c r="AM307" i="1"/>
  <c r="AA307" i="1"/>
  <c r="O307" i="1"/>
  <c r="P307" i="1" s="1"/>
  <c r="AL307" i="1"/>
  <c r="Z307" i="1"/>
  <c r="N307" i="1"/>
  <c r="AK307" i="1"/>
  <c r="Y307" i="1"/>
  <c r="M307" i="1"/>
  <c r="AJ307" i="1"/>
  <c r="X307" i="1"/>
  <c r="AI307" i="1"/>
  <c r="W307" i="1"/>
  <c r="K307" i="1"/>
  <c r="L307" i="1" s="1"/>
  <c r="AH307" i="1"/>
  <c r="V307" i="1"/>
  <c r="J307" i="1"/>
  <c r="AS307" i="1"/>
  <c r="AG307" i="1"/>
  <c r="U307" i="1"/>
  <c r="I307" i="1"/>
  <c r="AR307" i="1"/>
  <c r="AF307" i="1"/>
  <c r="T307" i="1"/>
  <c r="H307" i="1"/>
  <c r="AT307" i="1" s="1"/>
  <c r="AO308" i="1"/>
  <c r="Q308" i="1"/>
  <c r="E308" i="1"/>
  <c r="AN308" i="1"/>
  <c r="AB308" i="1"/>
  <c r="D308" i="1"/>
  <c r="AY308" i="1"/>
  <c r="AM308" i="1"/>
  <c r="AA308" i="1"/>
  <c r="O308" i="1"/>
  <c r="P308" i="1" s="1"/>
  <c r="AL308" i="1"/>
  <c r="Z308" i="1"/>
  <c r="N308" i="1"/>
  <c r="AK308" i="1"/>
  <c r="Y308" i="1"/>
  <c r="M308" i="1"/>
  <c r="AJ308" i="1"/>
  <c r="X308" i="1"/>
  <c r="AI308" i="1"/>
  <c r="W308" i="1"/>
  <c r="K308" i="1"/>
  <c r="L308" i="1" s="1"/>
  <c r="AH308" i="1"/>
  <c r="V308" i="1"/>
  <c r="J308" i="1"/>
  <c r="AS308" i="1"/>
  <c r="AG308" i="1"/>
  <c r="U308" i="1"/>
  <c r="I308" i="1"/>
  <c r="AR308" i="1"/>
  <c r="AF308" i="1"/>
  <c r="T308" i="1"/>
  <c r="H308" i="1"/>
  <c r="AT308" i="1" s="1"/>
  <c r="AQ308" i="1"/>
  <c r="AE308" i="1"/>
  <c r="S308" i="1"/>
  <c r="G308" i="1"/>
  <c r="AP308" i="1"/>
  <c r="AD308" i="1"/>
  <c r="R308" i="1"/>
  <c r="F308" i="1"/>
  <c r="AY291" i="1"/>
  <c r="AM291" i="1"/>
  <c r="AA291" i="1"/>
  <c r="O291" i="1"/>
  <c r="P291" i="1" s="1"/>
  <c r="AL291" i="1"/>
  <c r="Z291" i="1"/>
  <c r="N291" i="1"/>
  <c r="AK291" i="1"/>
  <c r="Y291" i="1"/>
  <c r="M291" i="1"/>
  <c r="AJ291" i="1"/>
  <c r="X291" i="1"/>
  <c r="AI291" i="1"/>
  <c r="W291" i="1"/>
  <c r="K291" i="1"/>
  <c r="L291" i="1" s="1"/>
  <c r="AH291" i="1"/>
  <c r="V291" i="1"/>
  <c r="J291" i="1"/>
  <c r="AS291" i="1"/>
  <c r="AG291" i="1"/>
  <c r="U291" i="1"/>
  <c r="I291" i="1"/>
  <c r="AR291" i="1"/>
  <c r="AF291" i="1"/>
  <c r="T291" i="1"/>
  <c r="H291" i="1"/>
  <c r="AT291" i="1" s="1"/>
  <c r="AQ291" i="1"/>
  <c r="AE291" i="1"/>
  <c r="S291" i="1"/>
  <c r="G291" i="1"/>
  <c r="AP291" i="1"/>
  <c r="AD291" i="1"/>
  <c r="R291" i="1"/>
  <c r="F291" i="1"/>
  <c r="AO291" i="1"/>
  <c r="Q291" i="1"/>
  <c r="E291" i="1"/>
  <c r="AN291" i="1"/>
  <c r="AB291" i="1"/>
  <c r="D291" i="1"/>
  <c r="AK356" i="1"/>
  <c r="Y356" i="1"/>
  <c r="M356" i="1"/>
  <c r="AJ356" i="1"/>
  <c r="X356" i="1"/>
  <c r="AI356" i="1"/>
  <c r="W356" i="1"/>
  <c r="K356" i="1"/>
  <c r="L356" i="1" s="1"/>
  <c r="AH356" i="1"/>
  <c r="V356" i="1"/>
  <c r="J356" i="1"/>
  <c r="AS356" i="1"/>
  <c r="AG356" i="1"/>
  <c r="U356" i="1"/>
  <c r="I356" i="1"/>
  <c r="AR356" i="1"/>
  <c r="AF356" i="1"/>
  <c r="T356" i="1"/>
  <c r="H356" i="1"/>
  <c r="AT356" i="1" s="1"/>
  <c r="AQ356" i="1"/>
  <c r="AE356" i="1"/>
  <c r="S356" i="1"/>
  <c r="G356" i="1"/>
  <c r="AP356" i="1"/>
  <c r="AD356" i="1"/>
  <c r="R356" i="1"/>
  <c r="F356" i="1"/>
  <c r="AO356" i="1"/>
  <c r="Q356" i="1"/>
  <c r="E356" i="1"/>
  <c r="AN356" i="1"/>
  <c r="AB356" i="1"/>
  <c r="D356" i="1"/>
  <c r="AY356" i="1"/>
  <c r="AM356" i="1"/>
  <c r="AA356" i="1"/>
  <c r="O356" i="1"/>
  <c r="P356" i="1" s="1"/>
  <c r="AL356" i="1"/>
  <c r="Z356" i="1"/>
  <c r="N356" i="1"/>
  <c r="AI363" i="1"/>
  <c r="W363" i="1"/>
  <c r="K363" i="1"/>
  <c r="L363" i="1" s="1"/>
  <c r="AH363" i="1"/>
  <c r="V363" i="1"/>
  <c r="J363" i="1"/>
  <c r="AS363" i="1"/>
  <c r="AG363" i="1"/>
  <c r="U363" i="1"/>
  <c r="I363" i="1"/>
  <c r="AR363" i="1"/>
  <c r="AF363" i="1"/>
  <c r="T363" i="1"/>
  <c r="H363" i="1"/>
  <c r="AT363" i="1" s="1"/>
  <c r="AQ363" i="1"/>
  <c r="AE363" i="1"/>
  <c r="S363" i="1"/>
  <c r="G363" i="1"/>
  <c r="AP363" i="1"/>
  <c r="AD363" i="1"/>
  <c r="R363" i="1"/>
  <c r="F363" i="1"/>
  <c r="AO363" i="1"/>
  <c r="Q363" i="1"/>
  <c r="E363" i="1"/>
  <c r="AN363" i="1"/>
  <c r="AB363" i="1"/>
  <c r="D363" i="1"/>
  <c r="AY363" i="1"/>
  <c r="AM363" i="1"/>
  <c r="AA363" i="1"/>
  <c r="O363" i="1"/>
  <c r="P363" i="1" s="1"/>
  <c r="AL363" i="1"/>
  <c r="Z363" i="1"/>
  <c r="N363" i="1"/>
  <c r="AK363" i="1"/>
  <c r="Y363" i="1"/>
  <c r="M363" i="1"/>
  <c r="AJ363" i="1"/>
  <c r="X363" i="1"/>
  <c r="AS358" i="1"/>
  <c r="AG358" i="1"/>
  <c r="U358" i="1"/>
  <c r="I358" i="1"/>
  <c r="AR358" i="1"/>
  <c r="AF358" i="1"/>
  <c r="T358" i="1"/>
  <c r="H358" i="1"/>
  <c r="AT358" i="1" s="1"/>
  <c r="AQ358" i="1"/>
  <c r="AE358" i="1"/>
  <c r="S358" i="1"/>
  <c r="G358" i="1"/>
  <c r="AP358" i="1"/>
  <c r="AD358" i="1"/>
  <c r="R358" i="1"/>
  <c r="F358" i="1"/>
  <c r="AO358" i="1"/>
  <c r="Q358" i="1"/>
  <c r="E358" i="1"/>
  <c r="AN358" i="1"/>
  <c r="AB358" i="1"/>
  <c r="D358" i="1"/>
  <c r="AY358" i="1"/>
  <c r="AM358" i="1"/>
  <c r="AA358" i="1"/>
  <c r="O358" i="1"/>
  <c r="P358" i="1" s="1"/>
  <c r="AL358" i="1"/>
  <c r="Z358" i="1"/>
  <c r="N358" i="1"/>
  <c r="AK358" i="1"/>
  <c r="Y358" i="1"/>
  <c r="M358" i="1"/>
  <c r="AJ358" i="1"/>
  <c r="X358" i="1"/>
  <c r="AI358" i="1"/>
  <c r="W358" i="1"/>
  <c r="K358" i="1"/>
  <c r="L358" i="1" s="1"/>
  <c r="AH358" i="1"/>
  <c r="V358" i="1"/>
  <c r="J358" i="1"/>
  <c r="AQ353" i="1"/>
  <c r="AE353" i="1"/>
  <c r="S353" i="1"/>
  <c r="G353" i="1"/>
  <c r="AP353" i="1"/>
  <c r="AD353" i="1"/>
  <c r="R353" i="1"/>
  <c r="F353" i="1"/>
  <c r="AO353" i="1"/>
  <c r="Q353" i="1"/>
  <c r="E353" i="1"/>
  <c r="AN353" i="1"/>
  <c r="AB353" i="1"/>
  <c r="D353" i="1"/>
  <c r="AY353" i="1"/>
  <c r="AM353" i="1"/>
  <c r="AA353" i="1"/>
  <c r="O353" i="1"/>
  <c r="P353" i="1" s="1"/>
  <c r="AL353" i="1"/>
  <c r="Z353" i="1"/>
  <c r="N353" i="1"/>
  <c r="AK353" i="1"/>
  <c r="Y353" i="1"/>
  <c r="M353" i="1"/>
  <c r="AJ353" i="1"/>
  <c r="X353" i="1"/>
  <c r="AI353" i="1"/>
  <c r="W353" i="1"/>
  <c r="K353" i="1"/>
  <c r="L353" i="1" s="1"/>
  <c r="AH353" i="1"/>
  <c r="V353" i="1"/>
  <c r="J353" i="1"/>
  <c r="AS353" i="1"/>
  <c r="AG353" i="1"/>
  <c r="U353" i="1"/>
  <c r="I353" i="1"/>
  <c r="AR353" i="1"/>
  <c r="AF353" i="1"/>
  <c r="T353" i="1"/>
  <c r="H353" i="1"/>
  <c r="AT353" i="1" s="1"/>
  <c r="AO354" i="1"/>
  <c r="Q354" i="1"/>
  <c r="E354" i="1"/>
  <c r="AN354" i="1"/>
  <c r="AB354" i="1"/>
  <c r="D354" i="1"/>
  <c r="AY354" i="1"/>
  <c r="AM354" i="1"/>
  <c r="AA354" i="1"/>
  <c r="O354" i="1"/>
  <c r="P354" i="1" s="1"/>
  <c r="AL354" i="1"/>
  <c r="Z354" i="1"/>
  <c r="N354" i="1"/>
  <c r="AK354" i="1"/>
  <c r="Y354" i="1"/>
  <c r="M354" i="1"/>
  <c r="AJ354" i="1"/>
  <c r="X354" i="1"/>
  <c r="AI354" i="1"/>
  <c r="W354" i="1"/>
  <c r="K354" i="1"/>
  <c r="L354" i="1" s="1"/>
  <c r="AH354" i="1"/>
  <c r="V354" i="1"/>
  <c r="J354" i="1"/>
  <c r="AS354" i="1"/>
  <c r="AG354" i="1"/>
  <c r="U354" i="1"/>
  <c r="I354" i="1"/>
  <c r="AR354" i="1"/>
  <c r="AF354" i="1"/>
  <c r="T354" i="1"/>
  <c r="H354" i="1"/>
  <c r="AT354" i="1" s="1"/>
  <c r="AQ354" i="1"/>
  <c r="AE354" i="1"/>
  <c r="S354" i="1"/>
  <c r="G354" i="1"/>
  <c r="AP354" i="1"/>
  <c r="AD354" i="1"/>
  <c r="R354" i="1"/>
  <c r="F354" i="1"/>
  <c r="AY337" i="1"/>
  <c r="AM337" i="1"/>
  <c r="AA337" i="1"/>
  <c r="O337" i="1"/>
  <c r="P337" i="1" s="1"/>
  <c r="AL337" i="1"/>
  <c r="Z337" i="1"/>
  <c r="N337" i="1"/>
  <c r="AH337" i="1"/>
  <c r="V337" i="1"/>
  <c r="J337" i="1"/>
  <c r="AS337" i="1"/>
  <c r="AG337" i="1"/>
  <c r="U337" i="1"/>
  <c r="I337" i="1"/>
  <c r="AR337" i="1"/>
  <c r="AF337" i="1"/>
  <c r="T337" i="1"/>
  <c r="H337" i="1"/>
  <c r="AT337" i="1" s="1"/>
  <c r="AN337" i="1"/>
  <c r="AB337" i="1"/>
  <c r="D337" i="1"/>
  <c r="AI337" i="1"/>
  <c r="K337" i="1"/>
  <c r="L337" i="1" s="1"/>
  <c r="AE337" i="1"/>
  <c r="G337" i="1"/>
  <c r="AD337" i="1"/>
  <c r="F337" i="1"/>
  <c r="E337" i="1"/>
  <c r="Y337" i="1"/>
  <c r="X337" i="1"/>
  <c r="W337" i="1"/>
  <c r="AQ337" i="1"/>
  <c r="S337" i="1"/>
  <c r="AP337" i="1"/>
  <c r="R337" i="1"/>
  <c r="AO337" i="1"/>
  <c r="Q337" i="1"/>
  <c r="AK337" i="1"/>
  <c r="M337" i="1"/>
  <c r="AJ337" i="1"/>
  <c r="AL419" i="1"/>
  <c r="Z419" i="1"/>
  <c r="N419" i="1"/>
  <c r="AK419" i="1"/>
  <c r="Y419" i="1"/>
  <c r="M419" i="1"/>
  <c r="AJ419" i="1"/>
  <c r="X419" i="1"/>
  <c r="AI419" i="1"/>
  <c r="W419" i="1"/>
  <c r="K419" i="1"/>
  <c r="L419" i="1" s="1"/>
  <c r="AH419" i="1"/>
  <c r="V419" i="1"/>
  <c r="J419" i="1"/>
  <c r="AS419" i="1"/>
  <c r="AG419" i="1"/>
  <c r="U419" i="1"/>
  <c r="I419" i="1"/>
  <c r="AR419" i="1"/>
  <c r="AF419" i="1"/>
  <c r="T419" i="1"/>
  <c r="H419" i="1"/>
  <c r="AT419" i="1" s="1"/>
  <c r="AQ419" i="1"/>
  <c r="AE419" i="1"/>
  <c r="S419" i="1"/>
  <c r="G419" i="1"/>
  <c r="AN419" i="1"/>
  <c r="AB419" i="1"/>
  <c r="D419" i="1"/>
  <c r="AY419" i="1"/>
  <c r="AM419" i="1"/>
  <c r="AA419" i="1"/>
  <c r="O419" i="1"/>
  <c r="P419" i="1" s="1"/>
  <c r="AP419" i="1"/>
  <c r="AO419" i="1"/>
  <c r="AD419" i="1"/>
  <c r="R419" i="1"/>
  <c r="Q419" i="1"/>
  <c r="F419" i="1"/>
  <c r="E419" i="1"/>
  <c r="AR491" i="1"/>
  <c r="AF491" i="1"/>
  <c r="T491" i="1"/>
  <c r="H491" i="1"/>
  <c r="AT491" i="1" s="1"/>
  <c r="AQ491" i="1"/>
  <c r="AE491" i="1"/>
  <c r="S491" i="1"/>
  <c r="G491" i="1"/>
  <c r="AP491" i="1"/>
  <c r="AD491" i="1"/>
  <c r="R491" i="1"/>
  <c r="F491" i="1"/>
  <c r="AI491" i="1"/>
  <c r="Q491" i="1"/>
  <c r="AH491" i="1"/>
  <c r="AG491" i="1"/>
  <c r="O491" i="1"/>
  <c r="P491" i="1" s="1"/>
  <c r="N491" i="1"/>
  <c r="AB491" i="1"/>
  <c r="M491" i="1"/>
  <c r="AS491" i="1"/>
  <c r="AA491" i="1"/>
  <c r="AO491" i="1"/>
  <c r="Z491" i="1"/>
  <c r="K491" i="1"/>
  <c r="L491" i="1" s="1"/>
  <c r="AN491" i="1"/>
  <c r="Y491" i="1"/>
  <c r="J491" i="1"/>
  <c r="AM491" i="1"/>
  <c r="X491" i="1"/>
  <c r="I491" i="1"/>
  <c r="AL491" i="1"/>
  <c r="W491" i="1"/>
  <c r="E491" i="1"/>
  <c r="AK491" i="1"/>
  <c r="V491" i="1"/>
  <c r="D491" i="1"/>
  <c r="AY491" i="1"/>
  <c r="AJ491" i="1"/>
  <c r="U491" i="1"/>
  <c r="AJ480" i="1"/>
  <c r="X480" i="1"/>
  <c r="AI480" i="1"/>
  <c r="W480" i="1"/>
  <c r="K480" i="1"/>
  <c r="L480" i="1" s="1"/>
  <c r="AH480" i="1"/>
  <c r="V480" i="1"/>
  <c r="J480" i="1"/>
  <c r="AS480" i="1"/>
  <c r="AG480" i="1"/>
  <c r="U480" i="1"/>
  <c r="I480" i="1"/>
  <c r="AR480" i="1"/>
  <c r="AF480" i="1"/>
  <c r="T480" i="1"/>
  <c r="H480" i="1"/>
  <c r="AT480" i="1" s="1"/>
  <c r="AQ480" i="1"/>
  <c r="AE480" i="1"/>
  <c r="S480" i="1"/>
  <c r="G480" i="1"/>
  <c r="AP480" i="1"/>
  <c r="AD480" i="1"/>
  <c r="R480" i="1"/>
  <c r="F480" i="1"/>
  <c r="AO480" i="1"/>
  <c r="Q480" i="1"/>
  <c r="E480" i="1"/>
  <c r="AN480" i="1"/>
  <c r="AB480" i="1"/>
  <c r="D480" i="1"/>
  <c r="AY480" i="1"/>
  <c r="AM480" i="1"/>
  <c r="AA480" i="1"/>
  <c r="O480" i="1"/>
  <c r="P480" i="1" s="1"/>
  <c r="AL480" i="1"/>
  <c r="Z480" i="1"/>
  <c r="N480" i="1"/>
  <c r="AK480" i="1"/>
  <c r="Y480" i="1"/>
  <c r="M480" i="1"/>
  <c r="AH475" i="1"/>
  <c r="V475" i="1"/>
  <c r="J475" i="1"/>
  <c r="AS475" i="1"/>
  <c r="AG475" i="1"/>
  <c r="U475" i="1"/>
  <c r="I475" i="1"/>
  <c r="AR475" i="1"/>
  <c r="AF475" i="1"/>
  <c r="T475" i="1"/>
  <c r="H475" i="1"/>
  <c r="AT475" i="1" s="1"/>
  <c r="AQ475" i="1"/>
  <c r="AE475" i="1"/>
  <c r="S475" i="1"/>
  <c r="G475" i="1"/>
  <c r="AP475" i="1"/>
  <c r="AD475" i="1"/>
  <c r="R475" i="1"/>
  <c r="F475" i="1"/>
  <c r="AO475" i="1"/>
  <c r="Q475" i="1"/>
  <c r="E475" i="1"/>
  <c r="AN475" i="1"/>
  <c r="AB475" i="1"/>
  <c r="D475" i="1"/>
  <c r="AY475" i="1"/>
  <c r="AM475" i="1"/>
  <c r="AA475" i="1"/>
  <c r="O475" i="1"/>
  <c r="P475" i="1" s="1"/>
  <c r="AL475" i="1"/>
  <c r="Z475" i="1"/>
  <c r="N475" i="1"/>
  <c r="AK475" i="1"/>
  <c r="Y475" i="1"/>
  <c r="M475" i="1"/>
  <c r="AJ475" i="1"/>
  <c r="X475" i="1"/>
  <c r="AI475" i="1"/>
  <c r="W475" i="1"/>
  <c r="K475" i="1"/>
  <c r="L475" i="1" s="1"/>
  <c r="AR470" i="1"/>
  <c r="AF470" i="1"/>
  <c r="T470" i="1"/>
  <c r="H470" i="1"/>
  <c r="AT470" i="1" s="1"/>
  <c r="AQ470" i="1"/>
  <c r="AE470" i="1"/>
  <c r="S470" i="1"/>
  <c r="G470" i="1"/>
  <c r="AP470" i="1"/>
  <c r="AD470" i="1"/>
  <c r="R470" i="1"/>
  <c r="F470" i="1"/>
  <c r="AO470" i="1"/>
  <c r="Q470" i="1"/>
  <c r="E470" i="1"/>
  <c r="AN470" i="1"/>
  <c r="AB470" i="1"/>
  <c r="D470" i="1"/>
  <c r="AY470" i="1"/>
  <c r="AM470" i="1"/>
  <c r="AA470" i="1"/>
  <c r="O470" i="1"/>
  <c r="P470" i="1" s="1"/>
  <c r="AL470" i="1"/>
  <c r="Z470" i="1"/>
  <c r="N470" i="1"/>
  <c r="AK470" i="1"/>
  <c r="Y470" i="1"/>
  <c r="M470" i="1"/>
  <c r="AJ470" i="1"/>
  <c r="X470" i="1"/>
  <c r="AI470" i="1"/>
  <c r="W470" i="1"/>
  <c r="K470" i="1"/>
  <c r="L470" i="1" s="1"/>
  <c r="AH470" i="1"/>
  <c r="V470" i="1"/>
  <c r="J470" i="1"/>
  <c r="AS470" i="1"/>
  <c r="AG470" i="1"/>
  <c r="U470" i="1"/>
  <c r="I470" i="1"/>
  <c r="AP465" i="1"/>
  <c r="AD465" i="1"/>
  <c r="R465" i="1"/>
  <c r="F465" i="1"/>
  <c r="AO465" i="1"/>
  <c r="Q465" i="1"/>
  <c r="E465" i="1"/>
  <c r="AN465" i="1"/>
  <c r="AB465" i="1"/>
  <c r="D465" i="1"/>
  <c r="AY465" i="1"/>
  <c r="AM465" i="1"/>
  <c r="AA465" i="1"/>
  <c r="O465" i="1"/>
  <c r="P465" i="1" s="1"/>
  <c r="AL465" i="1"/>
  <c r="Z465" i="1"/>
  <c r="N465" i="1"/>
  <c r="AK465" i="1"/>
  <c r="Y465" i="1"/>
  <c r="M465" i="1"/>
  <c r="AJ465" i="1"/>
  <c r="X465" i="1"/>
  <c r="AI465" i="1"/>
  <c r="W465" i="1"/>
  <c r="K465" i="1"/>
  <c r="L465" i="1" s="1"/>
  <c r="AH465" i="1"/>
  <c r="V465" i="1"/>
  <c r="J465" i="1"/>
  <c r="AS465" i="1"/>
  <c r="AG465" i="1"/>
  <c r="U465" i="1"/>
  <c r="I465" i="1"/>
  <c r="AR465" i="1"/>
  <c r="AF465" i="1"/>
  <c r="T465" i="1"/>
  <c r="H465" i="1"/>
  <c r="AT465" i="1" s="1"/>
  <c r="AQ465" i="1"/>
  <c r="AE465" i="1"/>
  <c r="S465" i="1"/>
  <c r="G465" i="1"/>
  <c r="AN454" i="1"/>
  <c r="AB454" i="1"/>
  <c r="D454" i="1"/>
  <c r="AY454" i="1"/>
  <c r="AM454" i="1"/>
  <c r="AA454" i="1"/>
  <c r="O454" i="1"/>
  <c r="P454" i="1" s="1"/>
  <c r="AL454" i="1"/>
  <c r="Z454" i="1"/>
  <c r="N454" i="1"/>
  <c r="AK454" i="1"/>
  <c r="Y454" i="1"/>
  <c r="M454" i="1"/>
  <c r="AJ454" i="1"/>
  <c r="X454" i="1"/>
  <c r="AI454" i="1"/>
  <c r="W454" i="1"/>
  <c r="K454" i="1"/>
  <c r="L454" i="1" s="1"/>
  <c r="AH454" i="1"/>
  <c r="V454" i="1"/>
  <c r="J454" i="1"/>
  <c r="AS454" i="1"/>
  <c r="AG454" i="1"/>
  <c r="U454" i="1"/>
  <c r="I454" i="1"/>
  <c r="AR454" i="1"/>
  <c r="AF454" i="1"/>
  <c r="T454" i="1"/>
  <c r="H454" i="1"/>
  <c r="AT454" i="1" s="1"/>
  <c r="AQ454" i="1"/>
  <c r="AE454" i="1"/>
  <c r="S454" i="1"/>
  <c r="G454" i="1"/>
  <c r="AP454" i="1"/>
  <c r="AD454" i="1"/>
  <c r="R454" i="1"/>
  <c r="F454" i="1"/>
  <c r="AO454" i="1"/>
  <c r="Q454" i="1"/>
  <c r="E454" i="1"/>
  <c r="AL529" i="1"/>
  <c r="Z529" i="1"/>
  <c r="N529" i="1"/>
  <c r="AK529" i="1"/>
  <c r="Y529" i="1"/>
  <c r="AR529" i="1"/>
  <c r="AQ529" i="1"/>
  <c r="AE529" i="1"/>
  <c r="S529" i="1"/>
  <c r="G529" i="1"/>
  <c r="AF529" i="1"/>
  <c r="AD529" i="1"/>
  <c r="O529" i="1"/>
  <c r="P529" i="1" s="1"/>
  <c r="M529" i="1"/>
  <c r="AS529" i="1"/>
  <c r="AB529" i="1"/>
  <c r="AP529" i="1"/>
  <c r="AA529" i="1"/>
  <c r="K529" i="1"/>
  <c r="L529" i="1" s="1"/>
  <c r="AO529" i="1"/>
  <c r="X529" i="1"/>
  <c r="J529" i="1"/>
  <c r="AN529" i="1"/>
  <c r="W529" i="1"/>
  <c r="I529" i="1"/>
  <c r="AM529" i="1"/>
  <c r="V529" i="1"/>
  <c r="H529" i="1"/>
  <c r="AT529" i="1" s="1"/>
  <c r="AJ529" i="1"/>
  <c r="U529" i="1"/>
  <c r="F529" i="1"/>
  <c r="AY529" i="1"/>
  <c r="AI529" i="1"/>
  <c r="T529" i="1"/>
  <c r="E529" i="1"/>
  <c r="AH529" i="1"/>
  <c r="R529" i="1"/>
  <c r="D529" i="1"/>
  <c r="AG529" i="1"/>
  <c r="Q529" i="1"/>
  <c r="AH514" i="1"/>
  <c r="V514" i="1"/>
  <c r="J514" i="1"/>
  <c r="AS514" i="1"/>
  <c r="AG514" i="1"/>
  <c r="U514" i="1"/>
  <c r="I514" i="1"/>
  <c r="AR514" i="1"/>
  <c r="AF514" i="1"/>
  <c r="T514" i="1"/>
  <c r="H514" i="1"/>
  <c r="AT514" i="1" s="1"/>
  <c r="AQ514" i="1"/>
  <c r="AE514" i="1"/>
  <c r="S514" i="1"/>
  <c r="G514" i="1"/>
  <c r="AP514" i="1"/>
  <c r="AD514" i="1"/>
  <c r="R514" i="1"/>
  <c r="F514" i="1"/>
  <c r="AO514" i="1"/>
  <c r="Q514" i="1"/>
  <c r="E514" i="1"/>
  <c r="AN514" i="1"/>
  <c r="AB514" i="1"/>
  <c r="D514" i="1"/>
  <c r="AY514" i="1"/>
  <c r="AM514" i="1"/>
  <c r="AA514" i="1"/>
  <c r="O514" i="1"/>
  <c r="P514" i="1" s="1"/>
  <c r="AL514" i="1"/>
  <c r="Z514" i="1"/>
  <c r="N514" i="1"/>
  <c r="AK514" i="1"/>
  <c r="Y514" i="1"/>
  <c r="M514" i="1"/>
  <c r="AJ514" i="1"/>
  <c r="X514" i="1"/>
  <c r="AI514" i="1"/>
  <c r="W514" i="1"/>
  <c r="K514" i="1"/>
  <c r="L514" i="1" s="1"/>
  <c r="AN528" i="1"/>
  <c r="AB528" i="1"/>
  <c r="D528" i="1"/>
  <c r="AS528" i="1"/>
  <c r="AG528" i="1"/>
  <c r="U528" i="1"/>
  <c r="I528" i="1"/>
  <c r="AY528" i="1"/>
  <c r="AK528" i="1"/>
  <c r="W528" i="1"/>
  <c r="H528" i="1"/>
  <c r="AT528" i="1" s="1"/>
  <c r="AJ528" i="1"/>
  <c r="V528" i="1"/>
  <c r="G528" i="1"/>
  <c r="AI528" i="1"/>
  <c r="T528" i="1"/>
  <c r="F528" i="1"/>
  <c r="AH528" i="1"/>
  <c r="S528" i="1"/>
  <c r="E528" i="1"/>
  <c r="AF528" i="1"/>
  <c r="R528" i="1"/>
  <c r="AE528" i="1"/>
  <c r="Q528" i="1"/>
  <c r="AR528" i="1"/>
  <c r="AD528" i="1"/>
  <c r="O528" i="1"/>
  <c r="P528" i="1" s="1"/>
  <c r="AQ528" i="1"/>
  <c r="N528" i="1"/>
  <c r="AP528" i="1"/>
  <c r="AA528" i="1"/>
  <c r="M528" i="1"/>
  <c r="AO528" i="1"/>
  <c r="Z528" i="1"/>
  <c r="AM528" i="1"/>
  <c r="Y528" i="1"/>
  <c r="K528" i="1"/>
  <c r="L528" i="1" s="1"/>
  <c r="AL528" i="1"/>
  <c r="X528" i="1"/>
  <c r="J528" i="1"/>
  <c r="AR532" i="1"/>
  <c r="AF532" i="1"/>
  <c r="T532" i="1"/>
  <c r="H532" i="1"/>
  <c r="AT532" i="1" s="1"/>
  <c r="AQ532" i="1"/>
  <c r="AE532" i="1"/>
  <c r="S532" i="1"/>
  <c r="G532" i="1"/>
  <c r="AL532" i="1"/>
  <c r="Z532" i="1"/>
  <c r="N532" i="1"/>
  <c r="AK532" i="1"/>
  <c r="Y532" i="1"/>
  <c r="M532" i="1"/>
  <c r="AM532" i="1"/>
  <c r="U532" i="1"/>
  <c r="AJ532" i="1"/>
  <c r="R532" i="1"/>
  <c r="AY532" i="1"/>
  <c r="AI532" i="1"/>
  <c r="Q532" i="1"/>
  <c r="AH532" i="1"/>
  <c r="AG532" i="1"/>
  <c r="O532" i="1"/>
  <c r="P532" i="1" s="1"/>
  <c r="AD532" i="1"/>
  <c r="K532" i="1"/>
  <c r="L532" i="1" s="1"/>
  <c r="AB532" i="1"/>
  <c r="J532" i="1"/>
  <c r="AS532" i="1"/>
  <c r="AA532" i="1"/>
  <c r="I532" i="1"/>
  <c r="AP532" i="1"/>
  <c r="X532" i="1"/>
  <c r="F532" i="1"/>
  <c r="AO532" i="1"/>
  <c r="W532" i="1"/>
  <c r="E532" i="1"/>
  <c r="AN532" i="1"/>
  <c r="V532" i="1"/>
  <c r="D532" i="1"/>
  <c r="AJ560" i="1"/>
  <c r="X560" i="1"/>
  <c r="AI560" i="1"/>
  <c r="W560" i="1"/>
  <c r="K560" i="1"/>
  <c r="L560" i="1" s="1"/>
  <c r="AH560" i="1"/>
  <c r="V560" i="1"/>
  <c r="J560" i="1"/>
  <c r="AS560" i="1"/>
  <c r="AG560" i="1"/>
  <c r="U560" i="1"/>
  <c r="I560" i="1"/>
  <c r="AR560" i="1"/>
  <c r="AF560" i="1"/>
  <c r="T560" i="1"/>
  <c r="H560" i="1"/>
  <c r="AT560" i="1" s="1"/>
  <c r="AQ560" i="1"/>
  <c r="AE560" i="1"/>
  <c r="S560" i="1"/>
  <c r="G560" i="1"/>
  <c r="AP560" i="1"/>
  <c r="AD560" i="1"/>
  <c r="R560" i="1"/>
  <c r="F560" i="1"/>
  <c r="AO560" i="1"/>
  <c r="Q560" i="1"/>
  <c r="E560" i="1"/>
  <c r="AN560" i="1"/>
  <c r="AB560" i="1"/>
  <c r="D560" i="1"/>
  <c r="AY560" i="1"/>
  <c r="AM560" i="1"/>
  <c r="AA560" i="1"/>
  <c r="O560" i="1"/>
  <c r="P560" i="1" s="1"/>
  <c r="AL560" i="1"/>
  <c r="Z560" i="1"/>
  <c r="N560" i="1"/>
  <c r="AK560" i="1"/>
  <c r="Y560" i="1"/>
  <c r="M560" i="1"/>
  <c r="AR544" i="1"/>
  <c r="AF544" i="1"/>
  <c r="T544" i="1"/>
  <c r="H544" i="1"/>
  <c r="AT544" i="1" s="1"/>
  <c r="AQ544" i="1"/>
  <c r="AE544" i="1"/>
  <c r="S544" i="1"/>
  <c r="G544" i="1"/>
  <c r="AP544" i="1"/>
  <c r="AD544" i="1"/>
  <c r="R544" i="1"/>
  <c r="F544" i="1"/>
  <c r="AO544" i="1"/>
  <c r="Q544" i="1"/>
  <c r="E544" i="1"/>
  <c r="AN544" i="1"/>
  <c r="AB544" i="1"/>
  <c r="D544" i="1"/>
  <c r="AY544" i="1"/>
  <c r="AM544" i="1"/>
  <c r="AA544" i="1"/>
  <c r="O544" i="1"/>
  <c r="P544" i="1" s="1"/>
  <c r="AL544" i="1"/>
  <c r="Z544" i="1"/>
  <c r="N544" i="1"/>
  <c r="AK544" i="1"/>
  <c r="Y544" i="1"/>
  <c r="M544" i="1"/>
  <c r="AH544" i="1"/>
  <c r="V544" i="1"/>
  <c r="J544" i="1"/>
  <c r="AS544" i="1"/>
  <c r="AG544" i="1"/>
  <c r="U544" i="1"/>
  <c r="I544" i="1"/>
  <c r="W544" i="1"/>
  <c r="K544" i="1"/>
  <c r="L544" i="1" s="1"/>
  <c r="AJ544" i="1"/>
  <c r="AI544" i="1"/>
  <c r="X544" i="1"/>
  <c r="AO583" i="1"/>
  <c r="Q583" i="1"/>
  <c r="E583" i="1"/>
  <c r="AN583" i="1"/>
  <c r="AB583" i="1"/>
  <c r="D583" i="1"/>
  <c r="AY583" i="1"/>
  <c r="AI583" i="1"/>
  <c r="W583" i="1"/>
  <c r="K583" i="1"/>
  <c r="L583" i="1" s="1"/>
  <c r="AH583" i="1"/>
  <c r="V583" i="1"/>
  <c r="J583" i="1"/>
  <c r="AQ583" i="1"/>
  <c r="Z583" i="1"/>
  <c r="H583" i="1"/>
  <c r="AT583" i="1" s="1"/>
  <c r="AP583" i="1"/>
  <c r="Y583" i="1"/>
  <c r="G583" i="1"/>
  <c r="AM583" i="1"/>
  <c r="X583" i="1"/>
  <c r="F583" i="1"/>
  <c r="AL583" i="1"/>
  <c r="U583" i="1"/>
  <c r="AK583" i="1"/>
  <c r="T583" i="1"/>
  <c r="AJ583" i="1"/>
  <c r="S583" i="1"/>
  <c r="AG583" i="1"/>
  <c r="R583" i="1"/>
  <c r="AF583" i="1"/>
  <c r="O583" i="1"/>
  <c r="P583" i="1" s="1"/>
  <c r="AE583" i="1"/>
  <c r="N583" i="1"/>
  <c r="AD583" i="1"/>
  <c r="M583" i="1"/>
  <c r="AS583" i="1"/>
  <c r="AR583" i="1"/>
  <c r="AA583" i="1"/>
  <c r="I583" i="1"/>
  <c r="AK591" i="1"/>
  <c r="Y591" i="1"/>
  <c r="M591" i="1"/>
  <c r="AJ591" i="1"/>
  <c r="X591" i="1"/>
  <c r="AI591" i="1"/>
  <c r="W591" i="1"/>
  <c r="K591" i="1"/>
  <c r="L591" i="1" s="1"/>
  <c r="AH591" i="1"/>
  <c r="V591" i="1"/>
  <c r="J591" i="1"/>
  <c r="AS591" i="1"/>
  <c r="AG591" i="1"/>
  <c r="U591" i="1"/>
  <c r="I591" i="1"/>
  <c r="AR591" i="1"/>
  <c r="AF591" i="1"/>
  <c r="T591" i="1"/>
  <c r="H591" i="1"/>
  <c r="AT591" i="1" s="1"/>
  <c r="AQ591" i="1"/>
  <c r="AE591" i="1"/>
  <c r="S591" i="1"/>
  <c r="G591" i="1"/>
  <c r="AP591" i="1"/>
  <c r="AD591" i="1"/>
  <c r="R591" i="1"/>
  <c r="F591" i="1"/>
  <c r="AO591" i="1"/>
  <c r="Q591" i="1"/>
  <c r="E591" i="1"/>
  <c r="AY591" i="1"/>
  <c r="AM591" i="1"/>
  <c r="AA591" i="1"/>
  <c r="O591" i="1"/>
  <c r="P591" i="1" s="1"/>
  <c r="AL591" i="1"/>
  <c r="Z591" i="1"/>
  <c r="N591" i="1"/>
  <c r="AB591" i="1"/>
  <c r="D591" i="1"/>
  <c r="AN591" i="1"/>
  <c r="AN622" i="1"/>
  <c r="AB622" i="1"/>
  <c r="D622" i="1"/>
  <c r="AY622" i="1"/>
  <c r="AM622" i="1"/>
  <c r="AA622" i="1"/>
  <c r="O622" i="1"/>
  <c r="P622" i="1" s="1"/>
  <c r="AS622" i="1"/>
  <c r="AG622" i="1"/>
  <c r="U622" i="1"/>
  <c r="I622" i="1"/>
  <c r="AD622" i="1"/>
  <c r="M622" i="1"/>
  <c r="AR622" i="1"/>
  <c r="AQ622" i="1"/>
  <c r="Z622" i="1"/>
  <c r="K622" i="1"/>
  <c r="L622" i="1" s="1"/>
  <c r="AP622" i="1"/>
  <c r="Y622" i="1"/>
  <c r="J622" i="1"/>
  <c r="AO622" i="1"/>
  <c r="X622" i="1"/>
  <c r="H622" i="1"/>
  <c r="AT622" i="1" s="1"/>
  <c r="AL622" i="1"/>
  <c r="W622" i="1"/>
  <c r="G622" i="1"/>
  <c r="AK622" i="1"/>
  <c r="V622" i="1"/>
  <c r="F622" i="1"/>
  <c r="AJ622" i="1"/>
  <c r="T622" i="1"/>
  <c r="E622" i="1"/>
  <c r="AI622" i="1"/>
  <c r="S622" i="1"/>
  <c r="AH622" i="1"/>
  <c r="R622" i="1"/>
  <c r="AF622" i="1"/>
  <c r="Q622" i="1"/>
  <c r="AE622" i="1"/>
  <c r="N622" i="1"/>
  <c r="AP633" i="1"/>
  <c r="AD633" i="1"/>
  <c r="R633" i="1"/>
  <c r="F633" i="1"/>
  <c r="AO633" i="1"/>
  <c r="Q633" i="1"/>
  <c r="E633" i="1"/>
  <c r="AN633" i="1"/>
  <c r="AB633" i="1"/>
  <c r="AJ633" i="1"/>
  <c r="X633" i="1"/>
  <c r="AI633" i="1"/>
  <c r="W633" i="1"/>
  <c r="K633" i="1"/>
  <c r="L633" i="1" s="1"/>
  <c r="AE633" i="1"/>
  <c r="J633" i="1"/>
  <c r="I633" i="1"/>
  <c r="AA633" i="1"/>
  <c r="H633" i="1"/>
  <c r="AT633" i="1" s="1"/>
  <c r="AS633" i="1"/>
  <c r="Z633" i="1"/>
  <c r="G633" i="1"/>
  <c r="AR633" i="1"/>
  <c r="Y633" i="1"/>
  <c r="D633" i="1"/>
  <c r="AQ633" i="1"/>
  <c r="V633" i="1"/>
  <c r="AM633" i="1"/>
  <c r="U633" i="1"/>
  <c r="AL633" i="1"/>
  <c r="T633" i="1"/>
  <c r="AK633" i="1"/>
  <c r="S633" i="1"/>
  <c r="AH633" i="1"/>
  <c r="O633" i="1"/>
  <c r="P633" i="1" s="1"/>
  <c r="AG633" i="1"/>
  <c r="N633" i="1"/>
  <c r="AY633" i="1"/>
  <c r="AF633" i="1"/>
  <c r="M633" i="1"/>
  <c r="AO613" i="1"/>
  <c r="Q613" i="1"/>
  <c r="E613" i="1"/>
  <c r="AN613" i="1"/>
  <c r="AB613" i="1"/>
  <c r="D613" i="1"/>
  <c r="AY613" i="1"/>
  <c r="AM613" i="1"/>
  <c r="AA613" i="1"/>
  <c r="O613" i="1"/>
  <c r="P613" i="1" s="1"/>
  <c r="AL613" i="1"/>
  <c r="Z613" i="1"/>
  <c r="N613" i="1"/>
  <c r="AK613" i="1"/>
  <c r="Y613" i="1"/>
  <c r="M613" i="1"/>
  <c r="AJ613" i="1"/>
  <c r="X613" i="1"/>
  <c r="AI613" i="1"/>
  <c r="W613" i="1"/>
  <c r="K613" i="1"/>
  <c r="L613" i="1" s="1"/>
  <c r="AH613" i="1"/>
  <c r="V613" i="1"/>
  <c r="J613" i="1"/>
  <c r="AS613" i="1"/>
  <c r="AG613" i="1"/>
  <c r="U613" i="1"/>
  <c r="I613" i="1"/>
  <c r="AR613" i="1"/>
  <c r="AF613" i="1"/>
  <c r="T613" i="1"/>
  <c r="H613" i="1"/>
  <c r="AT613" i="1" s="1"/>
  <c r="AQ613" i="1"/>
  <c r="AE613" i="1"/>
  <c r="S613" i="1"/>
  <c r="G613" i="1"/>
  <c r="AP613" i="1"/>
  <c r="AD613" i="1"/>
  <c r="R613" i="1"/>
  <c r="F613" i="1"/>
  <c r="AJ636" i="1"/>
  <c r="X636" i="1"/>
  <c r="AI636" i="1"/>
  <c r="W636" i="1"/>
  <c r="K636" i="1"/>
  <c r="L636" i="1" s="1"/>
  <c r="AH636" i="1"/>
  <c r="V636" i="1"/>
  <c r="J636" i="1"/>
  <c r="AS636" i="1"/>
  <c r="AG636" i="1"/>
  <c r="U636" i="1"/>
  <c r="I636" i="1"/>
  <c r="AR636" i="1"/>
  <c r="AF636" i="1"/>
  <c r="T636" i="1"/>
  <c r="H636" i="1"/>
  <c r="AT636" i="1" s="1"/>
  <c r="AQ636" i="1"/>
  <c r="AE636" i="1"/>
  <c r="S636" i="1"/>
  <c r="G636" i="1"/>
  <c r="AP636" i="1"/>
  <c r="AD636" i="1"/>
  <c r="R636" i="1"/>
  <c r="F636" i="1"/>
  <c r="AO636" i="1"/>
  <c r="Q636" i="1"/>
  <c r="E636" i="1"/>
  <c r="AL636" i="1"/>
  <c r="Z636" i="1"/>
  <c r="N636" i="1"/>
  <c r="AK636" i="1"/>
  <c r="Y636" i="1"/>
  <c r="M636" i="1"/>
  <c r="AY636" i="1"/>
  <c r="AN636" i="1"/>
  <c r="AM636" i="1"/>
  <c r="AB636" i="1"/>
  <c r="AA636" i="1"/>
  <c r="O636" i="1"/>
  <c r="P636" i="1" s="1"/>
  <c r="D636" i="1"/>
  <c r="AH649" i="1"/>
  <c r="V649" i="1"/>
  <c r="J649" i="1"/>
  <c r="AS649" i="1"/>
  <c r="AG649" i="1"/>
  <c r="U649" i="1"/>
  <c r="I649" i="1"/>
  <c r="AR649" i="1"/>
  <c r="AF649" i="1"/>
  <c r="T649" i="1"/>
  <c r="H649" i="1"/>
  <c r="AT649" i="1" s="1"/>
  <c r="AQ649" i="1"/>
  <c r="AE649" i="1"/>
  <c r="S649" i="1"/>
  <c r="G649" i="1"/>
  <c r="AP649" i="1"/>
  <c r="AD649" i="1"/>
  <c r="R649" i="1"/>
  <c r="F649" i="1"/>
  <c r="AO649" i="1"/>
  <c r="Q649" i="1"/>
  <c r="E649" i="1"/>
  <c r="AN649" i="1"/>
  <c r="AB649" i="1"/>
  <c r="D649" i="1"/>
  <c r="AY649" i="1"/>
  <c r="AM649" i="1"/>
  <c r="AA649" i="1"/>
  <c r="O649" i="1"/>
  <c r="P649" i="1" s="1"/>
  <c r="AL649" i="1"/>
  <c r="Z649" i="1"/>
  <c r="N649" i="1"/>
  <c r="AK649" i="1"/>
  <c r="Y649" i="1"/>
  <c r="M649" i="1"/>
  <c r="AJ649" i="1"/>
  <c r="X649" i="1"/>
  <c r="AI649" i="1"/>
  <c r="W649" i="1"/>
  <c r="K649" i="1"/>
  <c r="L649" i="1" s="1"/>
  <c r="AP657" i="1"/>
  <c r="AD657" i="1"/>
  <c r="R657" i="1"/>
  <c r="F657" i="1"/>
  <c r="AO657" i="1"/>
  <c r="Q657" i="1"/>
  <c r="E657" i="1"/>
  <c r="AN657" i="1"/>
  <c r="AB657" i="1"/>
  <c r="D657" i="1"/>
  <c r="AY657" i="1"/>
  <c r="AM657" i="1"/>
  <c r="AA657" i="1"/>
  <c r="O657" i="1"/>
  <c r="P657" i="1" s="1"/>
  <c r="AL657" i="1"/>
  <c r="Z657" i="1"/>
  <c r="N657" i="1"/>
  <c r="AK657" i="1"/>
  <c r="Y657" i="1"/>
  <c r="M657" i="1"/>
  <c r="AJ657" i="1"/>
  <c r="X657" i="1"/>
  <c r="AI657" i="1"/>
  <c r="W657" i="1"/>
  <c r="K657" i="1"/>
  <c r="L657" i="1" s="1"/>
  <c r="AH657" i="1"/>
  <c r="V657" i="1"/>
  <c r="J657" i="1"/>
  <c r="AS657" i="1"/>
  <c r="AG657" i="1"/>
  <c r="U657" i="1"/>
  <c r="I657" i="1"/>
  <c r="AR657" i="1"/>
  <c r="AF657" i="1"/>
  <c r="T657" i="1"/>
  <c r="H657" i="1"/>
  <c r="AT657" i="1" s="1"/>
  <c r="AQ657" i="1"/>
  <c r="AE657" i="1"/>
  <c r="S657" i="1"/>
  <c r="G657" i="1"/>
  <c r="AK682" i="1"/>
  <c r="Y682" i="1"/>
  <c r="M682" i="1"/>
  <c r="AJ682" i="1"/>
  <c r="X682" i="1"/>
  <c r="AI682" i="1"/>
  <c r="W682" i="1"/>
  <c r="K682" i="1"/>
  <c r="L682" i="1" s="1"/>
  <c r="AH682" i="1"/>
  <c r="V682" i="1"/>
  <c r="J682" i="1"/>
  <c r="AS682" i="1"/>
  <c r="AG682" i="1"/>
  <c r="U682" i="1"/>
  <c r="I682" i="1"/>
  <c r="AR682" i="1"/>
  <c r="AF682" i="1"/>
  <c r="T682" i="1"/>
  <c r="H682" i="1"/>
  <c r="AT682" i="1" s="1"/>
  <c r="AQ682" i="1"/>
  <c r="AE682" i="1"/>
  <c r="S682" i="1"/>
  <c r="G682" i="1"/>
  <c r="AP682" i="1"/>
  <c r="AD682" i="1"/>
  <c r="R682" i="1"/>
  <c r="F682" i="1"/>
  <c r="AO682" i="1"/>
  <c r="Q682" i="1"/>
  <c r="E682" i="1"/>
  <c r="AN682" i="1"/>
  <c r="AB682" i="1"/>
  <c r="D682" i="1"/>
  <c r="AY682" i="1"/>
  <c r="AM682" i="1"/>
  <c r="AA682" i="1"/>
  <c r="O682" i="1"/>
  <c r="P682" i="1" s="1"/>
  <c r="AL682" i="1"/>
  <c r="Z682" i="1"/>
  <c r="N682" i="1"/>
  <c r="AK708" i="1"/>
  <c r="Y708" i="1"/>
  <c r="AJ708" i="1"/>
  <c r="X708" i="1"/>
  <c r="AI708" i="1"/>
  <c r="W708" i="1"/>
  <c r="K708" i="1"/>
  <c r="L708" i="1" s="1"/>
  <c r="AQ708" i="1"/>
  <c r="AB708" i="1"/>
  <c r="M708" i="1"/>
  <c r="AP708" i="1"/>
  <c r="AA708" i="1"/>
  <c r="J708" i="1"/>
  <c r="AO708" i="1"/>
  <c r="Z708" i="1"/>
  <c r="I708" i="1"/>
  <c r="AN708" i="1"/>
  <c r="V708" i="1"/>
  <c r="H708" i="1"/>
  <c r="AT708" i="1" s="1"/>
  <c r="AM708" i="1"/>
  <c r="U708" i="1"/>
  <c r="G708" i="1"/>
  <c r="AL708" i="1"/>
  <c r="T708" i="1"/>
  <c r="F708" i="1"/>
  <c r="AY708" i="1"/>
  <c r="AH708" i="1"/>
  <c r="S708" i="1"/>
  <c r="E708" i="1"/>
  <c r="AG708" i="1"/>
  <c r="R708" i="1"/>
  <c r="D708" i="1"/>
  <c r="AF708" i="1"/>
  <c r="Q708" i="1"/>
  <c r="AE708" i="1"/>
  <c r="AS708" i="1"/>
  <c r="AD708" i="1"/>
  <c r="O708" i="1"/>
  <c r="P708" i="1" s="1"/>
  <c r="AR708" i="1"/>
  <c r="N708" i="1"/>
  <c r="AQ685" i="1"/>
  <c r="AE685" i="1"/>
  <c r="S685" i="1"/>
  <c r="G685" i="1"/>
  <c r="AP685" i="1"/>
  <c r="AD685" i="1"/>
  <c r="R685" i="1"/>
  <c r="F685" i="1"/>
  <c r="AO685" i="1"/>
  <c r="Q685" i="1"/>
  <c r="E685" i="1"/>
  <c r="AN685" i="1"/>
  <c r="AB685" i="1"/>
  <c r="D685" i="1"/>
  <c r="AY685" i="1"/>
  <c r="AM685" i="1"/>
  <c r="AA685" i="1"/>
  <c r="O685" i="1"/>
  <c r="P685" i="1" s="1"/>
  <c r="AL685" i="1"/>
  <c r="Z685" i="1"/>
  <c r="N685" i="1"/>
  <c r="AK685" i="1"/>
  <c r="Y685" i="1"/>
  <c r="M685" i="1"/>
  <c r="AJ685" i="1"/>
  <c r="X685" i="1"/>
  <c r="AI685" i="1"/>
  <c r="W685" i="1"/>
  <c r="K685" i="1"/>
  <c r="L685" i="1" s="1"/>
  <c r="AH685" i="1"/>
  <c r="V685" i="1"/>
  <c r="J685" i="1"/>
  <c r="AS685" i="1"/>
  <c r="AG685" i="1"/>
  <c r="U685" i="1"/>
  <c r="I685" i="1"/>
  <c r="AR685" i="1"/>
  <c r="AF685" i="1"/>
  <c r="T685" i="1"/>
  <c r="H685" i="1"/>
  <c r="AT685" i="1" s="1"/>
  <c r="AO698" i="1"/>
  <c r="Q698" i="1"/>
  <c r="E698" i="1"/>
  <c r="AN698" i="1"/>
  <c r="AB698" i="1"/>
  <c r="D698" i="1"/>
  <c r="AY698" i="1"/>
  <c r="AM698" i="1"/>
  <c r="AA698" i="1"/>
  <c r="O698" i="1"/>
  <c r="P698" i="1" s="1"/>
  <c r="AL698" i="1"/>
  <c r="Z698" i="1"/>
  <c r="N698" i="1"/>
  <c r="AK698" i="1"/>
  <c r="Y698" i="1"/>
  <c r="M698" i="1"/>
  <c r="AJ698" i="1"/>
  <c r="X698" i="1"/>
  <c r="AI698" i="1"/>
  <c r="W698" i="1"/>
  <c r="K698" i="1"/>
  <c r="L698" i="1" s="1"/>
  <c r="AH698" i="1"/>
  <c r="V698" i="1"/>
  <c r="J698" i="1"/>
  <c r="AS698" i="1"/>
  <c r="AG698" i="1"/>
  <c r="U698" i="1"/>
  <c r="I698" i="1"/>
  <c r="AR698" i="1"/>
  <c r="AF698" i="1"/>
  <c r="T698" i="1"/>
  <c r="H698" i="1"/>
  <c r="AT698" i="1" s="1"/>
  <c r="AQ698" i="1"/>
  <c r="AE698" i="1"/>
  <c r="S698" i="1"/>
  <c r="G698" i="1"/>
  <c r="AP698" i="1"/>
  <c r="AD698" i="1"/>
  <c r="R698" i="1"/>
  <c r="F698" i="1"/>
  <c r="AK726" i="1"/>
  <c r="Y726" i="1"/>
  <c r="M726" i="1"/>
  <c r="AJ726" i="1"/>
  <c r="X726" i="1"/>
  <c r="AI726" i="1"/>
  <c r="W726" i="1"/>
  <c r="K726" i="1"/>
  <c r="L726" i="1" s="1"/>
  <c r="AH726" i="1"/>
  <c r="V726" i="1"/>
  <c r="J726" i="1"/>
  <c r="AS726" i="1"/>
  <c r="AG726" i="1"/>
  <c r="U726" i="1"/>
  <c r="I726" i="1"/>
  <c r="AR726" i="1"/>
  <c r="AF726" i="1"/>
  <c r="T726" i="1"/>
  <c r="H726" i="1"/>
  <c r="AT726" i="1" s="1"/>
  <c r="AQ726" i="1"/>
  <c r="AE726" i="1"/>
  <c r="S726" i="1"/>
  <c r="G726" i="1"/>
  <c r="AP726" i="1"/>
  <c r="AD726" i="1"/>
  <c r="R726" i="1"/>
  <c r="F726" i="1"/>
  <c r="AO726" i="1"/>
  <c r="Q726" i="1"/>
  <c r="E726" i="1"/>
  <c r="AN726" i="1"/>
  <c r="AB726" i="1"/>
  <c r="D726" i="1"/>
  <c r="AY726" i="1"/>
  <c r="AM726" i="1"/>
  <c r="AA726" i="1"/>
  <c r="O726" i="1"/>
  <c r="P726" i="1" s="1"/>
  <c r="AL726" i="1"/>
  <c r="Z726" i="1"/>
  <c r="N726" i="1"/>
  <c r="AI745" i="1"/>
  <c r="W745" i="1"/>
  <c r="K745" i="1"/>
  <c r="L745" i="1" s="1"/>
  <c r="AH745" i="1"/>
  <c r="V745" i="1"/>
  <c r="J745" i="1"/>
  <c r="AS745" i="1"/>
  <c r="AG745" i="1"/>
  <c r="U745" i="1"/>
  <c r="I745" i="1"/>
  <c r="AR745" i="1"/>
  <c r="AF745" i="1"/>
  <c r="T745" i="1"/>
  <c r="H745" i="1"/>
  <c r="AT745" i="1" s="1"/>
  <c r="AQ745" i="1"/>
  <c r="AE745" i="1"/>
  <c r="S745" i="1"/>
  <c r="G745" i="1"/>
  <c r="AP745" i="1"/>
  <c r="AD745" i="1"/>
  <c r="R745" i="1"/>
  <c r="F745" i="1"/>
  <c r="AO745" i="1"/>
  <c r="Q745" i="1"/>
  <c r="E745" i="1"/>
  <c r="AN745" i="1"/>
  <c r="AB745" i="1"/>
  <c r="D745" i="1"/>
  <c r="AY745" i="1"/>
  <c r="AM745" i="1"/>
  <c r="AA745" i="1"/>
  <c r="O745" i="1"/>
  <c r="P745" i="1" s="1"/>
  <c r="AL745" i="1"/>
  <c r="Z745" i="1"/>
  <c r="N745" i="1"/>
  <c r="AK745" i="1"/>
  <c r="Y745" i="1"/>
  <c r="M745" i="1"/>
  <c r="AJ745" i="1"/>
  <c r="X745" i="1"/>
  <c r="AQ729" i="1"/>
  <c r="AE729" i="1"/>
  <c r="S729" i="1"/>
  <c r="G729" i="1"/>
  <c r="AP729" i="1"/>
  <c r="AD729" i="1"/>
  <c r="R729" i="1"/>
  <c r="F729" i="1"/>
  <c r="AO729" i="1"/>
  <c r="Q729" i="1"/>
  <c r="E729" i="1"/>
  <c r="AN729" i="1"/>
  <c r="AB729" i="1"/>
  <c r="D729" i="1"/>
  <c r="AY729" i="1"/>
  <c r="AM729" i="1"/>
  <c r="AA729" i="1"/>
  <c r="O729" i="1"/>
  <c r="P729" i="1" s="1"/>
  <c r="AL729" i="1"/>
  <c r="Z729" i="1"/>
  <c r="N729" i="1"/>
  <c r="AK729" i="1"/>
  <c r="Y729" i="1"/>
  <c r="M729" i="1"/>
  <c r="AJ729" i="1"/>
  <c r="X729" i="1"/>
  <c r="AI729" i="1"/>
  <c r="W729" i="1"/>
  <c r="K729" i="1"/>
  <c r="L729" i="1" s="1"/>
  <c r="AH729" i="1"/>
  <c r="V729" i="1"/>
  <c r="J729" i="1"/>
  <c r="AS729" i="1"/>
  <c r="AG729" i="1"/>
  <c r="U729" i="1"/>
  <c r="I729" i="1"/>
  <c r="AR729" i="1"/>
  <c r="AF729" i="1"/>
  <c r="T729" i="1"/>
  <c r="H729" i="1"/>
  <c r="AT729" i="1" s="1"/>
  <c r="AY719" i="1"/>
  <c r="AM719" i="1"/>
  <c r="AA719" i="1"/>
  <c r="O719" i="1"/>
  <c r="P719" i="1" s="1"/>
  <c r="AL719" i="1"/>
  <c r="Z719" i="1"/>
  <c r="N719" i="1"/>
  <c r="AK719" i="1"/>
  <c r="Y719" i="1"/>
  <c r="M719" i="1"/>
  <c r="AJ719" i="1"/>
  <c r="X719" i="1"/>
  <c r="AI719" i="1"/>
  <c r="W719" i="1"/>
  <c r="K719" i="1"/>
  <c r="L719" i="1" s="1"/>
  <c r="AH719" i="1"/>
  <c r="V719" i="1"/>
  <c r="J719" i="1"/>
  <c r="AS719" i="1"/>
  <c r="AG719" i="1"/>
  <c r="U719" i="1"/>
  <c r="I719" i="1"/>
  <c r="AR719" i="1"/>
  <c r="AF719" i="1"/>
  <c r="T719" i="1"/>
  <c r="H719" i="1"/>
  <c r="AT719" i="1" s="1"/>
  <c r="AQ719" i="1"/>
  <c r="AE719" i="1"/>
  <c r="S719" i="1"/>
  <c r="G719" i="1"/>
  <c r="AP719" i="1"/>
  <c r="AD719" i="1"/>
  <c r="R719" i="1"/>
  <c r="F719" i="1"/>
  <c r="AO719" i="1"/>
  <c r="Q719" i="1"/>
  <c r="E719" i="1"/>
  <c r="AN719" i="1"/>
  <c r="AB719" i="1"/>
  <c r="D719" i="1"/>
  <c r="AK792" i="1"/>
  <c r="Y792" i="1"/>
  <c r="M792" i="1"/>
  <c r="AJ792" i="1"/>
  <c r="X792" i="1"/>
  <c r="AI792" i="1"/>
  <c r="W792" i="1"/>
  <c r="K792" i="1"/>
  <c r="L792" i="1" s="1"/>
  <c r="AH792" i="1"/>
  <c r="V792" i="1"/>
  <c r="J792" i="1"/>
  <c r="AS792" i="1"/>
  <c r="AG792" i="1"/>
  <c r="U792" i="1"/>
  <c r="I792" i="1"/>
  <c r="AR792" i="1"/>
  <c r="AF792" i="1"/>
  <c r="T792" i="1"/>
  <c r="H792" i="1"/>
  <c r="AT792" i="1" s="1"/>
  <c r="AQ792" i="1"/>
  <c r="AE792" i="1"/>
  <c r="S792" i="1"/>
  <c r="G792" i="1"/>
  <c r="AP792" i="1"/>
  <c r="AD792" i="1"/>
  <c r="R792" i="1"/>
  <c r="F792" i="1"/>
  <c r="AO792" i="1"/>
  <c r="Q792" i="1"/>
  <c r="E792" i="1"/>
  <c r="AN792" i="1"/>
  <c r="AB792" i="1"/>
  <c r="D792" i="1"/>
  <c r="AY792" i="1"/>
  <c r="AM792" i="1"/>
  <c r="AA792" i="1"/>
  <c r="O792" i="1"/>
  <c r="P792" i="1" s="1"/>
  <c r="AL792" i="1"/>
  <c r="Z792" i="1"/>
  <c r="N792" i="1"/>
  <c r="AS788" i="1"/>
  <c r="AG788" i="1"/>
  <c r="U788" i="1"/>
  <c r="I788" i="1"/>
  <c r="AR788" i="1"/>
  <c r="AF788" i="1"/>
  <c r="T788" i="1"/>
  <c r="H788" i="1"/>
  <c r="AT788" i="1" s="1"/>
  <c r="AQ788" i="1"/>
  <c r="AE788" i="1"/>
  <c r="S788" i="1"/>
  <c r="G788" i="1"/>
  <c r="AP788" i="1"/>
  <c r="AD788" i="1"/>
  <c r="R788" i="1"/>
  <c r="F788" i="1"/>
  <c r="AO788" i="1"/>
  <c r="Q788" i="1"/>
  <c r="E788" i="1"/>
  <c r="AN788" i="1"/>
  <c r="AB788" i="1"/>
  <c r="D788" i="1"/>
  <c r="AY788" i="1"/>
  <c r="AM788" i="1"/>
  <c r="AA788" i="1"/>
  <c r="O788" i="1"/>
  <c r="P788" i="1" s="1"/>
  <c r="AL788" i="1"/>
  <c r="Z788" i="1"/>
  <c r="N788" i="1"/>
  <c r="AK788" i="1"/>
  <c r="Y788" i="1"/>
  <c r="M788" i="1"/>
  <c r="AJ788" i="1"/>
  <c r="X788" i="1"/>
  <c r="AI788" i="1"/>
  <c r="W788" i="1"/>
  <c r="K788" i="1"/>
  <c r="L788" i="1" s="1"/>
  <c r="AH788" i="1"/>
  <c r="V788" i="1"/>
  <c r="J788" i="1"/>
  <c r="AO760" i="1"/>
  <c r="Q760" i="1"/>
  <c r="E760" i="1"/>
  <c r="AN760" i="1"/>
  <c r="AB760" i="1"/>
  <c r="D760" i="1"/>
  <c r="AY760" i="1"/>
  <c r="AM760" i="1"/>
  <c r="AA760" i="1"/>
  <c r="O760" i="1"/>
  <c r="P760" i="1" s="1"/>
  <c r="AL760" i="1"/>
  <c r="Z760" i="1"/>
  <c r="N760" i="1"/>
  <c r="AK760" i="1"/>
  <c r="Y760" i="1"/>
  <c r="M760" i="1"/>
  <c r="AJ760" i="1"/>
  <c r="X760" i="1"/>
  <c r="AH760" i="1"/>
  <c r="V760" i="1"/>
  <c r="J760" i="1"/>
  <c r="AR760" i="1"/>
  <c r="U760" i="1"/>
  <c r="T760" i="1"/>
  <c r="AS760" i="1"/>
  <c r="S760" i="1"/>
  <c r="AQ760" i="1"/>
  <c r="R760" i="1"/>
  <c r="AP760" i="1"/>
  <c r="K760" i="1"/>
  <c r="L760" i="1" s="1"/>
  <c r="AI760" i="1"/>
  <c r="I760" i="1"/>
  <c r="AG760" i="1"/>
  <c r="H760" i="1"/>
  <c r="AT760" i="1" s="1"/>
  <c r="AF760" i="1"/>
  <c r="G760" i="1"/>
  <c r="AE760" i="1"/>
  <c r="F760" i="1"/>
  <c r="AD760" i="1"/>
  <c r="W760" i="1"/>
  <c r="AY785" i="1"/>
  <c r="AM785" i="1"/>
  <c r="AA785" i="1"/>
  <c r="O785" i="1"/>
  <c r="P785" i="1" s="1"/>
  <c r="AL785" i="1"/>
  <c r="Z785" i="1"/>
  <c r="N785" i="1"/>
  <c r="AK785" i="1"/>
  <c r="Y785" i="1"/>
  <c r="M785" i="1"/>
  <c r="AJ785" i="1"/>
  <c r="X785" i="1"/>
  <c r="AI785" i="1"/>
  <c r="W785" i="1"/>
  <c r="K785" i="1"/>
  <c r="L785" i="1" s="1"/>
  <c r="AH785" i="1"/>
  <c r="V785" i="1"/>
  <c r="J785" i="1"/>
  <c r="AS785" i="1"/>
  <c r="AG785" i="1"/>
  <c r="U785" i="1"/>
  <c r="I785" i="1"/>
  <c r="AR785" i="1"/>
  <c r="AF785" i="1"/>
  <c r="T785" i="1"/>
  <c r="H785" i="1"/>
  <c r="AT785" i="1" s="1"/>
  <c r="AQ785" i="1"/>
  <c r="AE785" i="1"/>
  <c r="S785" i="1"/>
  <c r="G785" i="1"/>
  <c r="AP785" i="1"/>
  <c r="AD785" i="1"/>
  <c r="R785" i="1"/>
  <c r="F785" i="1"/>
  <c r="AO785" i="1"/>
  <c r="Q785" i="1"/>
  <c r="E785" i="1"/>
  <c r="AN785" i="1"/>
  <c r="AB785" i="1"/>
  <c r="D785" i="1"/>
  <c r="AJ824" i="1"/>
  <c r="X824" i="1"/>
  <c r="AI824" i="1"/>
  <c r="W824" i="1"/>
  <c r="K824" i="1"/>
  <c r="L824" i="1" s="1"/>
  <c r="AH824" i="1"/>
  <c r="V824" i="1"/>
  <c r="J824" i="1"/>
  <c r="AS824" i="1"/>
  <c r="AG824" i="1"/>
  <c r="U824" i="1"/>
  <c r="I824" i="1"/>
  <c r="AR824" i="1"/>
  <c r="AF824" i="1"/>
  <c r="T824" i="1"/>
  <c r="H824" i="1"/>
  <c r="AT824" i="1" s="1"/>
  <c r="AQ824" i="1"/>
  <c r="AE824" i="1"/>
  <c r="S824" i="1"/>
  <c r="G824" i="1"/>
  <c r="AP824" i="1"/>
  <c r="AD824" i="1"/>
  <c r="R824" i="1"/>
  <c r="F824" i="1"/>
  <c r="AO824" i="1"/>
  <c r="Q824" i="1"/>
  <c r="E824" i="1"/>
  <c r="AN824" i="1"/>
  <c r="AB824" i="1"/>
  <c r="D824" i="1"/>
  <c r="AY824" i="1"/>
  <c r="AM824" i="1"/>
  <c r="AA824" i="1"/>
  <c r="O824" i="1"/>
  <c r="P824" i="1" s="1"/>
  <c r="AL824" i="1"/>
  <c r="Z824" i="1"/>
  <c r="N824" i="1"/>
  <c r="AK824" i="1"/>
  <c r="Y824" i="1"/>
  <c r="M824" i="1"/>
  <c r="AR802" i="1"/>
  <c r="AF802" i="1"/>
  <c r="T802" i="1"/>
  <c r="H802" i="1"/>
  <c r="AT802" i="1" s="1"/>
  <c r="AQ802" i="1"/>
  <c r="AE802" i="1"/>
  <c r="S802" i="1"/>
  <c r="G802" i="1"/>
  <c r="AP802" i="1"/>
  <c r="AD802" i="1"/>
  <c r="R802" i="1"/>
  <c r="F802" i="1"/>
  <c r="AO802" i="1"/>
  <c r="Q802" i="1"/>
  <c r="E802" i="1"/>
  <c r="AY802" i="1"/>
  <c r="AM802" i="1"/>
  <c r="AA802" i="1"/>
  <c r="O802" i="1"/>
  <c r="P802" i="1" s="1"/>
  <c r="AN802" i="1"/>
  <c r="W802" i="1"/>
  <c r="AL802" i="1"/>
  <c r="V802" i="1"/>
  <c r="AK802" i="1"/>
  <c r="U802" i="1"/>
  <c r="AJ802" i="1"/>
  <c r="AI802" i="1"/>
  <c r="N802" i="1"/>
  <c r="AH802" i="1"/>
  <c r="M802" i="1"/>
  <c r="AG802" i="1"/>
  <c r="K802" i="1"/>
  <c r="L802" i="1" s="1"/>
  <c r="AB802" i="1"/>
  <c r="J802" i="1"/>
  <c r="Z802" i="1"/>
  <c r="I802" i="1"/>
  <c r="Y802" i="1"/>
  <c r="D802" i="1"/>
  <c r="AS802" i="1"/>
  <c r="X802" i="1"/>
  <c r="AN840" i="1"/>
  <c r="AB840" i="1"/>
  <c r="D840" i="1"/>
  <c r="AL840" i="1"/>
  <c r="Z840" i="1"/>
  <c r="N840" i="1"/>
  <c r="AI840" i="1"/>
  <c r="U840" i="1"/>
  <c r="G840" i="1"/>
  <c r="AH840" i="1"/>
  <c r="T840" i="1"/>
  <c r="F840" i="1"/>
  <c r="AG840" i="1"/>
  <c r="S840" i="1"/>
  <c r="E840" i="1"/>
  <c r="AF840" i="1"/>
  <c r="R840" i="1"/>
  <c r="AS840" i="1"/>
  <c r="AE840" i="1"/>
  <c r="Q840" i="1"/>
  <c r="AR840" i="1"/>
  <c r="AD840" i="1"/>
  <c r="O840" i="1"/>
  <c r="P840" i="1" s="1"/>
  <c r="AQ840" i="1"/>
  <c r="M840" i="1"/>
  <c r="AP840" i="1"/>
  <c r="AA840" i="1"/>
  <c r="AO840" i="1"/>
  <c r="Y840" i="1"/>
  <c r="K840" i="1"/>
  <c r="L840" i="1" s="1"/>
  <c r="AM840" i="1"/>
  <c r="X840" i="1"/>
  <c r="J840" i="1"/>
  <c r="AY840" i="1"/>
  <c r="AK840" i="1"/>
  <c r="W840" i="1"/>
  <c r="I840" i="1"/>
  <c r="AJ840" i="1"/>
  <c r="V840" i="1"/>
  <c r="H840" i="1"/>
  <c r="AT840" i="1" s="1"/>
  <c r="AL865" i="1"/>
  <c r="Z865" i="1"/>
  <c r="N865" i="1"/>
  <c r="AK865" i="1"/>
  <c r="Y865" i="1"/>
  <c r="M865" i="1"/>
  <c r="AJ865" i="1"/>
  <c r="X865" i="1"/>
  <c r="AI865" i="1"/>
  <c r="W865" i="1"/>
  <c r="K865" i="1"/>
  <c r="L865" i="1" s="1"/>
  <c r="AH865" i="1"/>
  <c r="V865" i="1"/>
  <c r="J865" i="1"/>
  <c r="AS865" i="1"/>
  <c r="AG865" i="1"/>
  <c r="U865" i="1"/>
  <c r="I865" i="1"/>
  <c r="AR865" i="1"/>
  <c r="AF865" i="1"/>
  <c r="T865" i="1"/>
  <c r="H865" i="1"/>
  <c r="AT865" i="1" s="1"/>
  <c r="AQ865" i="1"/>
  <c r="AE865" i="1"/>
  <c r="S865" i="1"/>
  <c r="G865" i="1"/>
  <c r="AP865" i="1"/>
  <c r="AD865" i="1"/>
  <c r="R865" i="1"/>
  <c r="F865" i="1"/>
  <c r="AO865" i="1"/>
  <c r="Q865" i="1"/>
  <c r="E865" i="1"/>
  <c r="AN865" i="1"/>
  <c r="AB865" i="1"/>
  <c r="D865" i="1"/>
  <c r="AY865" i="1"/>
  <c r="AM865" i="1"/>
  <c r="AA865" i="1"/>
  <c r="O865" i="1"/>
  <c r="P865" i="1" s="1"/>
  <c r="AH861" i="1"/>
  <c r="V861" i="1"/>
  <c r="J861" i="1"/>
  <c r="AS861" i="1"/>
  <c r="AG861" i="1"/>
  <c r="U861" i="1"/>
  <c r="I861" i="1"/>
  <c r="AR861" i="1"/>
  <c r="AF861" i="1"/>
  <c r="T861" i="1"/>
  <c r="H861" i="1"/>
  <c r="AT861" i="1" s="1"/>
  <c r="AQ861" i="1"/>
  <c r="AE861" i="1"/>
  <c r="S861" i="1"/>
  <c r="G861" i="1"/>
  <c r="AP861" i="1"/>
  <c r="AD861" i="1"/>
  <c r="R861" i="1"/>
  <c r="F861" i="1"/>
  <c r="AO861" i="1"/>
  <c r="Q861" i="1"/>
  <c r="E861" i="1"/>
  <c r="AN861" i="1"/>
  <c r="AB861" i="1"/>
  <c r="D861" i="1"/>
  <c r="AY861" i="1"/>
  <c r="AM861" i="1"/>
  <c r="AA861" i="1"/>
  <c r="O861" i="1"/>
  <c r="P861" i="1" s="1"/>
  <c r="AL861" i="1"/>
  <c r="Z861" i="1"/>
  <c r="N861" i="1"/>
  <c r="AK861" i="1"/>
  <c r="Y861" i="1"/>
  <c r="M861" i="1"/>
  <c r="AJ861" i="1"/>
  <c r="X861" i="1"/>
  <c r="AI861" i="1"/>
  <c r="W861" i="1"/>
  <c r="K861" i="1"/>
  <c r="L861" i="1" s="1"/>
  <c r="AP845" i="1"/>
  <c r="AD845" i="1"/>
  <c r="R845" i="1"/>
  <c r="F845" i="1"/>
  <c r="AO845" i="1"/>
  <c r="Q845" i="1"/>
  <c r="E845" i="1"/>
  <c r="AN845" i="1"/>
  <c r="AB845" i="1"/>
  <c r="D845" i="1"/>
  <c r="AY845" i="1"/>
  <c r="AM845" i="1"/>
  <c r="AA845" i="1"/>
  <c r="O845" i="1"/>
  <c r="P845" i="1" s="1"/>
  <c r="AL845" i="1"/>
  <c r="Z845" i="1"/>
  <c r="N845" i="1"/>
  <c r="AJ845" i="1"/>
  <c r="AI845" i="1"/>
  <c r="W845" i="1"/>
  <c r="K845" i="1"/>
  <c r="L845" i="1" s="1"/>
  <c r="AH845" i="1"/>
  <c r="AG845" i="1"/>
  <c r="J845" i="1"/>
  <c r="AF845" i="1"/>
  <c r="I845" i="1"/>
  <c r="AE845" i="1"/>
  <c r="H845" i="1"/>
  <c r="AT845" i="1" s="1"/>
  <c r="G845" i="1"/>
  <c r="Y845" i="1"/>
  <c r="X845" i="1"/>
  <c r="V845" i="1"/>
  <c r="AS845" i="1"/>
  <c r="U845" i="1"/>
  <c r="AR845" i="1"/>
  <c r="T845" i="1"/>
  <c r="AQ845" i="1"/>
  <c r="S845" i="1"/>
  <c r="AK845" i="1"/>
  <c r="M845" i="1"/>
  <c r="AN876" i="1"/>
  <c r="AB876" i="1"/>
  <c r="D876" i="1"/>
  <c r="AY876" i="1"/>
  <c r="AM876" i="1"/>
  <c r="AA876" i="1"/>
  <c r="O876" i="1"/>
  <c r="P876" i="1" s="1"/>
  <c r="AL876" i="1"/>
  <c r="Z876" i="1"/>
  <c r="N876" i="1"/>
  <c r="AK876" i="1"/>
  <c r="Y876" i="1"/>
  <c r="M876" i="1"/>
  <c r="AJ876" i="1"/>
  <c r="X876" i="1"/>
  <c r="AI876" i="1"/>
  <c r="W876" i="1"/>
  <c r="K876" i="1"/>
  <c r="L876" i="1" s="1"/>
  <c r="AH876" i="1"/>
  <c r="V876" i="1"/>
  <c r="J876" i="1"/>
  <c r="AS876" i="1"/>
  <c r="AG876" i="1"/>
  <c r="U876" i="1"/>
  <c r="I876" i="1"/>
  <c r="AR876" i="1"/>
  <c r="AF876" i="1"/>
  <c r="T876" i="1"/>
  <c r="H876" i="1"/>
  <c r="AT876" i="1" s="1"/>
  <c r="AQ876" i="1"/>
  <c r="AE876" i="1"/>
  <c r="S876" i="1"/>
  <c r="G876" i="1"/>
  <c r="AP876" i="1"/>
  <c r="AD876" i="1"/>
  <c r="R876" i="1"/>
  <c r="F876" i="1"/>
  <c r="AO876" i="1"/>
  <c r="Q876" i="1"/>
  <c r="E876" i="1"/>
  <c r="AH888" i="1"/>
  <c r="V888" i="1"/>
  <c r="J888" i="1"/>
  <c r="AS888" i="1"/>
  <c r="AG888" i="1"/>
  <c r="U888" i="1"/>
  <c r="I888" i="1"/>
  <c r="AR888" i="1"/>
  <c r="AF888" i="1"/>
  <c r="T888" i="1"/>
  <c r="H888" i="1"/>
  <c r="AT888" i="1" s="1"/>
  <c r="AQ888" i="1"/>
  <c r="AE888" i="1"/>
  <c r="S888" i="1"/>
  <c r="G888" i="1"/>
  <c r="AP888" i="1"/>
  <c r="AD888" i="1"/>
  <c r="R888" i="1"/>
  <c r="F888" i="1"/>
  <c r="AO888" i="1"/>
  <c r="Q888" i="1"/>
  <c r="E888" i="1"/>
  <c r="AN888" i="1"/>
  <c r="AB888" i="1"/>
  <c r="AY888" i="1"/>
  <c r="AM888" i="1"/>
  <c r="AA888" i="1"/>
  <c r="O888" i="1"/>
  <c r="P888" i="1" s="1"/>
  <c r="N888" i="1"/>
  <c r="M888" i="1"/>
  <c r="AL888" i="1"/>
  <c r="AK888" i="1"/>
  <c r="K888" i="1"/>
  <c r="L888" i="1" s="1"/>
  <c r="AJ888" i="1"/>
  <c r="D888" i="1"/>
  <c r="AI888" i="1"/>
  <c r="Z888" i="1"/>
  <c r="Y888" i="1"/>
  <c r="X888" i="1"/>
  <c r="W888" i="1"/>
  <c r="AP890" i="1"/>
  <c r="AD890" i="1"/>
  <c r="R890" i="1"/>
  <c r="F890" i="1"/>
  <c r="AO890" i="1"/>
  <c r="Q890" i="1"/>
  <c r="E890" i="1"/>
  <c r="AN890" i="1"/>
  <c r="AB890" i="1"/>
  <c r="D890" i="1"/>
  <c r="AY890" i="1"/>
  <c r="AM890" i="1"/>
  <c r="AA890" i="1"/>
  <c r="O890" i="1"/>
  <c r="P890" i="1" s="1"/>
  <c r="AL890" i="1"/>
  <c r="Z890" i="1"/>
  <c r="N890" i="1"/>
  <c r="AK890" i="1"/>
  <c r="Y890" i="1"/>
  <c r="M890" i="1"/>
  <c r="AJ890" i="1"/>
  <c r="X890" i="1"/>
  <c r="AI890" i="1"/>
  <c r="W890" i="1"/>
  <c r="K890" i="1"/>
  <c r="L890" i="1" s="1"/>
  <c r="AR890" i="1"/>
  <c r="AF890" i="1"/>
  <c r="T890" i="1"/>
  <c r="H890" i="1"/>
  <c r="AT890" i="1" s="1"/>
  <c r="AQ890" i="1"/>
  <c r="U890" i="1"/>
  <c r="S890" i="1"/>
  <c r="J890" i="1"/>
  <c r="I890" i="1"/>
  <c r="G890" i="1"/>
  <c r="AS890" i="1"/>
  <c r="AH890" i="1"/>
  <c r="AG890" i="1"/>
  <c r="AE890" i="1"/>
  <c r="V890" i="1"/>
  <c r="AJ915" i="1"/>
  <c r="X915" i="1"/>
  <c r="AH915" i="1"/>
  <c r="V915" i="1"/>
  <c r="J915" i="1"/>
  <c r="AO915" i="1"/>
  <c r="Q915" i="1"/>
  <c r="E915" i="1"/>
  <c r="AG915" i="1"/>
  <c r="S915" i="1"/>
  <c r="AF915" i="1"/>
  <c r="R915" i="1"/>
  <c r="AE915" i="1"/>
  <c r="AS915" i="1"/>
  <c r="AD915" i="1"/>
  <c r="O915" i="1"/>
  <c r="P915" i="1" s="1"/>
  <c r="AR915" i="1"/>
  <c r="N915" i="1"/>
  <c r="AQ915" i="1"/>
  <c r="AB915" i="1"/>
  <c r="M915" i="1"/>
  <c r="AP915" i="1"/>
  <c r="AA915" i="1"/>
  <c r="K915" i="1"/>
  <c r="L915" i="1" s="1"/>
  <c r="AN915" i="1"/>
  <c r="Z915" i="1"/>
  <c r="I915" i="1"/>
  <c r="AM915" i="1"/>
  <c r="Y915" i="1"/>
  <c r="H915" i="1"/>
  <c r="AT915" i="1" s="1"/>
  <c r="AL915" i="1"/>
  <c r="W915" i="1"/>
  <c r="G915" i="1"/>
  <c r="AK915" i="1"/>
  <c r="U915" i="1"/>
  <c r="F915" i="1"/>
  <c r="AY915" i="1"/>
  <c r="AI915" i="1"/>
  <c r="T915" i="1"/>
  <c r="D915" i="1"/>
  <c r="AH922" i="1"/>
  <c r="V922" i="1"/>
  <c r="J922" i="1"/>
  <c r="AS922" i="1"/>
  <c r="AG922" i="1"/>
  <c r="U922" i="1"/>
  <c r="I922" i="1"/>
  <c r="AR922" i="1"/>
  <c r="AF922" i="1"/>
  <c r="T922" i="1"/>
  <c r="H922" i="1"/>
  <c r="AT922" i="1" s="1"/>
  <c r="AQ922" i="1"/>
  <c r="AE922" i="1"/>
  <c r="S922" i="1"/>
  <c r="G922" i="1"/>
  <c r="AP922" i="1"/>
  <c r="AD922" i="1"/>
  <c r="R922" i="1"/>
  <c r="AO922" i="1"/>
  <c r="AN922" i="1"/>
  <c r="AB922" i="1"/>
  <c r="D922" i="1"/>
  <c r="AY922" i="1"/>
  <c r="AM922" i="1"/>
  <c r="AA922" i="1"/>
  <c r="O922" i="1"/>
  <c r="P922" i="1" s="1"/>
  <c r="AK922" i="1"/>
  <c r="K922" i="1"/>
  <c r="L922" i="1" s="1"/>
  <c r="AJ922" i="1"/>
  <c r="F922" i="1"/>
  <c r="AI922" i="1"/>
  <c r="E922" i="1"/>
  <c r="Z922" i="1"/>
  <c r="Y922" i="1"/>
  <c r="X922" i="1"/>
  <c r="W922" i="1"/>
  <c r="Q922" i="1"/>
  <c r="N922" i="1"/>
  <c r="M922" i="1"/>
  <c r="AL922" i="1"/>
  <c r="AJ940" i="1"/>
  <c r="X940" i="1"/>
  <c r="AO940" i="1"/>
  <c r="Q940" i="1"/>
  <c r="E940" i="1"/>
  <c r="AG940" i="1"/>
  <c r="T940" i="1"/>
  <c r="F940" i="1"/>
  <c r="AF940" i="1"/>
  <c r="S940" i="1"/>
  <c r="D940" i="1"/>
  <c r="AS940" i="1"/>
  <c r="AE940" i="1"/>
  <c r="R940" i="1"/>
  <c r="AR940" i="1"/>
  <c r="AD940" i="1"/>
  <c r="AQ940" i="1"/>
  <c r="O940" i="1"/>
  <c r="P940" i="1" s="1"/>
  <c r="AP940" i="1"/>
  <c r="AB940" i="1"/>
  <c r="N940" i="1"/>
  <c r="AN940" i="1"/>
  <c r="AA940" i="1"/>
  <c r="M940" i="1"/>
  <c r="AM940" i="1"/>
  <c r="Z940" i="1"/>
  <c r="K940" i="1"/>
  <c r="L940" i="1" s="1"/>
  <c r="AL940" i="1"/>
  <c r="Y940" i="1"/>
  <c r="J940" i="1"/>
  <c r="AY940" i="1"/>
  <c r="AK940" i="1"/>
  <c r="W940" i="1"/>
  <c r="I940" i="1"/>
  <c r="AI940" i="1"/>
  <c r="V940" i="1"/>
  <c r="H940" i="1"/>
  <c r="AT940" i="1" s="1"/>
  <c r="AH940" i="1"/>
  <c r="U940" i="1"/>
  <c r="G940" i="1"/>
  <c r="AJ964" i="1"/>
  <c r="X964" i="1"/>
  <c r="AI964" i="1"/>
  <c r="W964" i="1"/>
  <c r="K964" i="1"/>
  <c r="L964" i="1" s="1"/>
  <c r="AH964" i="1"/>
  <c r="V964" i="1"/>
  <c r="J964" i="1"/>
  <c r="AS964" i="1"/>
  <c r="AG964" i="1"/>
  <c r="U964" i="1"/>
  <c r="I964" i="1"/>
  <c r="AR964" i="1"/>
  <c r="AF964" i="1"/>
  <c r="T964" i="1"/>
  <c r="H964" i="1"/>
  <c r="AT964" i="1" s="1"/>
  <c r="AQ964" i="1"/>
  <c r="AE964" i="1"/>
  <c r="S964" i="1"/>
  <c r="G964" i="1"/>
  <c r="AP964" i="1"/>
  <c r="AD964" i="1"/>
  <c r="R964" i="1"/>
  <c r="F964" i="1"/>
  <c r="AO964" i="1"/>
  <c r="Q964" i="1"/>
  <c r="E964" i="1"/>
  <c r="AN964" i="1"/>
  <c r="AB964" i="1"/>
  <c r="D964" i="1"/>
  <c r="AY964" i="1"/>
  <c r="AM964" i="1"/>
  <c r="AA964" i="1"/>
  <c r="O964" i="1"/>
  <c r="P964" i="1" s="1"/>
  <c r="AL964" i="1"/>
  <c r="Z964" i="1"/>
  <c r="N964" i="1"/>
  <c r="AK964" i="1"/>
  <c r="Y964" i="1"/>
  <c r="M964" i="1"/>
  <c r="AR954" i="1"/>
  <c r="AF954" i="1"/>
  <c r="T954" i="1"/>
  <c r="H954" i="1"/>
  <c r="AT954" i="1" s="1"/>
  <c r="AQ954" i="1"/>
  <c r="AE954" i="1"/>
  <c r="S954" i="1"/>
  <c r="G954" i="1"/>
  <c r="AP954" i="1"/>
  <c r="AD954" i="1"/>
  <c r="R954" i="1"/>
  <c r="F954" i="1"/>
  <c r="AO954" i="1"/>
  <c r="Q954" i="1"/>
  <c r="E954" i="1"/>
  <c r="AN954" i="1"/>
  <c r="AB954" i="1"/>
  <c r="D954" i="1"/>
  <c r="AY954" i="1"/>
  <c r="AM954" i="1"/>
  <c r="AA954" i="1"/>
  <c r="O954" i="1"/>
  <c r="P954" i="1" s="1"/>
  <c r="AL954" i="1"/>
  <c r="Z954" i="1"/>
  <c r="N954" i="1"/>
  <c r="AK954" i="1"/>
  <c r="Y954" i="1"/>
  <c r="M954" i="1"/>
  <c r="AJ954" i="1"/>
  <c r="X954" i="1"/>
  <c r="AI954" i="1"/>
  <c r="W954" i="1"/>
  <c r="K954" i="1"/>
  <c r="L954" i="1" s="1"/>
  <c r="AH954" i="1"/>
  <c r="V954" i="1"/>
  <c r="J954" i="1"/>
  <c r="I954" i="1"/>
  <c r="AS954" i="1"/>
  <c r="AG954" i="1"/>
  <c r="U954" i="1"/>
  <c r="AK985" i="1"/>
  <c r="Y985" i="1"/>
  <c r="M985" i="1"/>
  <c r="AJ985" i="1"/>
  <c r="X985" i="1"/>
  <c r="AH985" i="1"/>
  <c r="V985" i="1"/>
  <c r="J985" i="1"/>
  <c r="AS985" i="1"/>
  <c r="AG985" i="1"/>
  <c r="U985" i="1"/>
  <c r="I985" i="1"/>
  <c r="AR985" i="1"/>
  <c r="AF985" i="1"/>
  <c r="T985" i="1"/>
  <c r="H985" i="1"/>
  <c r="AT985" i="1" s="1"/>
  <c r="AQ985" i="1"/>
  <c r="AE985" i="1"/>
  <c r="S985" i="1"/>
  <c r="G985" i="1"/>
  <c r="AP985" i="1"/>
  <c r="AD985" i="1"/>
  <c r="R985" i="1"/>
  <c r="F985" i="1"/>
  <c r="AO985" i="1"/>
  <c r="Q985" i="1"/>
  <c r="E985" i="1"/>
  <c r="AN985" i="1"/>
  <c r="AB985" i="1"/>
  <c r="D985" i="1"/>
  <c r="AY985" i="1"/>
  <c r="AM985" i="1"/>
  <c r="AA985" i="1"/>
  <c r="O985" i="1"/>
  <c r="P985" i="1" s="1"/>
  <c r="K985" i="1"/>
  <c r="L985" i="1" s="1"/>
  <c r="AL985" i="1"/>
  <c r="AI985" i="1"/>
  <c r="Z985" i="1"/>
  <c r="W985" i="1"/>
  <c r="N985" i="1"/>
  <c r="AH999" i="1"/>
  <c r="V999" i="1"/>
  <c r="J999" i="1"/>
  <c r="AY999" i="1"/>
  <c r="AL999" i="1"/>
  <c r="Y999" i="1"/>
  <c r="AK999" i="1"/>
  <c r="X999" i="1"/>
  <c r="K999" i="1"/>
  <c r="L999" i="1" s="1"/>
  <c r="AJ999" i="1"/>
  <c r="W999" i="1"/>
  <c r="I999" i="1"/>
  <c r="AI999" i="1"/>
  <c r="U999" i="1"/>
  <c r="H999" i="1"/>
  <c r="AT999" i="1" s="1"/>
  <c r="AG999" i="1"/>
  <c r="T999" i="1"/>
  <c r="G999" i="1"/>
  <c r="AS999" i="1"/>
  <c r="AF999" i="1"/>
  <c r="S999" i="1"/>
  <c r="F999" i="1"/>
  <c r="AR999" i="1"/>
  <c r="AE999" i="1"/>
  <c r="R999" i="1"/>
  <c r="E999" i="1"/>
  <c r="AQ999" i="1"/>
  <c r="AD999" i="1"/>
  <c r="Q999" i="1"/>
  <c r="D999" i="1"/>
  <c r="AP999" i="1"/>
  <c r="AO999" i="1"/>
  <c r="AB999" i="1"/>
  <c r="O999" i="1"/>
  <c r="P999" i="1" s="1"/>
  <c r="AN999" i="1"/>
  <c r="AA999" i="1"/>
  <c r="N999" i="1"/>
  <c r="AM999" i="1"/>
  <c r="Z999" i="1"/>
  <c r="M999" i="1"/>
  <c r="AL1021" i="1"/>
  <c r="Z1021" i="1"/>
  <c r="N1021" i="1"/>
  <c r="AK1021" i="1"/>
  <c r="Y1021" i="1"/>
  <c r="M1021" i="1"/>
  <c r="AI1021" i="1"/>
  <c r="W1021" i="1"/>
  <c r="K1021" i="1"/>
  <c r="L1021" i="1" s="1"/>
  <c r="AH1021" i="1"/>
  <c r="V1021" i="1"/>
  <c r="J1021" i="1"/>
  <c r="AS1021" i="1"/>
  <c r="AG1021" i="1"/>
  <c r="U1021" i="1"/>
  <c r="I1021" i="1"/>
  <c r="AR1021" i="1"/>
  <c r="AF1021" i="1"/>
  <c r="T1021" i="1"/>
  <c r="H1021" i="1"/>
  <c r="AT1021" i="1" s="1"/>
  <c r="AQ1021" i="1"/>
  <c r="AE1021" i="1"/>
  <c r="S1021" i="1"/>
  <c r="G1021" i="1"/>
  <c r="AP1021" i="1"/>
  <c r="AD1021" i="1"/>
  <c r="R1021" i="1"/>
  <c r="F1021" i="1"/>
  <c r="AO1021" i="1"/>
  <c r="Q1021" i="1"/>
  <c r="E1021" i="1"/>
  <c r="AN1021" i="1"/>
  <c r="AB1021" i="1"/>
  <c r="D1021" i="1"/>
  <c r="X1021" i="1"/>
  <c r="O1021" i="1"/>
  <c r="P1021" i="1" s="1"/>
  <c r="AY1021" i="1"/>
  <c r="AM1021" i="1"/>
  <c r="AJ1021" i="1"/>
  <c r="AA1021" i="1"/>
  <c r="AL1041" i="1"/>
  <c r="Z1041" i="1"/>
  <c r="N1041" i="1"/>
  <c r="AK1041" i="1"/>
  <c r="Y1041" i="1"/>
  <c r="M1041" i="1"/>
  <c r="AJ1041" i="1"/>
  <c r="X1041" i="1"/>
  <c r="AI1041" i="1"/>
  <c r="W1041" i="1"/>
  <c r="K1041" i="1"/>
  <c r="L1041" i="1" s="1"/>
  <c r="AH1041" i="1"/>
  <c r="V1041" i="1"/>
  <c r="J1041" i="1"/>
  <c r="AS1041" i="1"/>
  <c r="AG1041" i="1"/>
  <c r="U1041" i="1"/>
  <c r="I1041" i="1"/>
  <c r="AR1041" i="1"/>
  <c r="AF1041" i="1"/>
  <c r="T1041" i="1"/>
  <c r="H1041" i="1"/>
  <c r="AT1041" i="1" s="1"/>
  <c r="AQ1041" i="1"/>
  <c r="AE1041" i="1"/>
  <c r="S1041" i="1"/>
  <c r="G1041" i="1"/>
  <c r="AP1041" i="1"/>
  <c r="AD1041" i="1"/>
  <c r="R1041" i="1"/>
  <c r="F1041" i="1"/>
  <c r="AO1041" i="1"/>
  <c r="Q1041" i="1"/>
  <c r="E1041" i="1"/>
  <c r="AN1041" i="1"/>
  <c r="AB1041" i="1"/>
  <c r="D1041" i="1"/>
  <c r="AY1041" i="1"/>
  <c r="AM1041" i="1"/>
  <c r="AA1041" i="1"/>
  <c r="O1041" i="1"/>
  <c r="P1041" i="1" s="1"/>
  <c r="AL1029" i="1"/>
  <c r="Z1029" i="1"/>
  <c r="N1029" i="1"/>
  <c r="AI1029" i="1"/>
  <c r="W1029" i="1"/>
  <c r="K1029" i="1"/>
  <c r="L1029" i="1" s="1"/>
  <c r="AH1029" i="1"/>
  <c r="V1029" i="1"/>
  <c r="J1029" i="1"/>
  <c r="AS1029" i="1"/>
  <c r="AG1029" i="1"/>
  <c r="U1029" i="1"/>
  <c r="I1029" i="1"/>
  <c r="AR1029" i="1"/>
  <c r="AB1029" i="1"/>
  <c r="H1029" i="1"/>
  <c r="AT1029" i="1" s="1"/>
  <c r="AQ1029" i="1"/>
  <c r="AA1029" i="1"/>
  <c r="G1029" i="1"/>
  <c r="AO1029" i="1"/>
  <c r="X1029" i="1"/>
  <c r="E1029" i="1"/>
  <c r="AN1029" i="1"/>
  <c r="T1029" i="1"/>
  <c r="D1029" i="1"/>
  <c r="AM1029" i="1"/>
  <c r="S1029" i="1"/>
  <c r="AK1029" i="1"/>
  <c r="R1029" i="1"/>
  <c r="AJ1029" i="1"/>
  <c r="Q1029" i="1"/>
  <c r="AY1029" i="1"/>
  <c r="AF1029" i="1"/>
  <c r="AE1029" i="1"/>
  <c r="O1029" i="1"/>
  <c r="P1029" i="1" s="1"/>
  <c r="AD1029" i="1"/>
  <c r="M1029" i="1"/>
  <c r="AP1029" i="1"/>
  <c r="Y1029" i="1"/>
  <c r="F1029" i="1"/>
  <c r="AO1050" i="1"/>
  <c r="Q1050" i="1"/>
  <c r="E1050" i="1"/>
  <c r="AI1050" i="1"/>
  <c r="W1050" i="1"/>
  <c r="J1050" i="1"/>
  <c r="AH1050" i="1"/>
  <c r="V1050" i="1"/>
  <c r="I1050" i="1"/>
  <c r="AG1050" i="1"/>
  <c r="U1050" i="1"/>
  <c r="H1050" i="1"/>
  <c r="AT1050" i="1" s="1"/>
  <c r="AS1050" i="1"/>
  <c r="AF1050" i="1"/>
  <c r="T1050" i="1"/>
  <c r="G1050" i="1"/>
  <c r="AR1050" i="1"/>
  <c r="AE1050" i="1"/>
  <c r="S1050" i="1"/>
  <c r="F1050" i="1"/>
  <c r="AQ1050" i="1"/>
  <c r="AD1050" i="1"/>
  <c r="R1050" i="1"/>
  <c r="D1050" i="1"/>
  <c r="AP1050" i="1"/>
  <c r="AN1050" i="1"/>
  <c r="AB1050" i="1"/>
  <c r="O1050" i="1"/>
  <c r="P1050" i="1" s="1"/>
  <c r="AM1050" i="1"/>
  <c r="AA1050" i="1"/>
  <c r="N1050" i="1"/>
  <c r="AY1050" i="1"/>
  <c r="AL1050" i="1"/>
  <c r="Z1050" i="1"/>
  <c r="M1050" i="1"/>
  <c r="AK1050" i="1"/>
  <c r="Y1050" i="1"/>
  <c r="AJ1050" i="1"/>
  <c r="X1050" i="1"/>
  <c r="K1050" i="1"/>
  <c r="L1050" i="1" s="1"/>
  <c r="AI1047" i="1"/>
  <c r="W1047" i="1"/>
  <c r="K1047" i="1"/>
  <c r="L1047" i="1" s="1"/>
  <c r="AP1047" i="1"/>
  <c r="AO1047" i="1"/>
  <c r="AB1047" i="1"/>
  <c r="O1047" i="1"/>
  <c r="P1047" i="1" s="1"/>
  <c r="AN1047" i="1"/>
  <c r="AA1047" i="1"/>
  <c r="N1047" i="1"/>
  <c r="AM1047" i="1"/>
  <c r="Z1047" i="1"/>
  <c r="M1047" i="1"/>
  <c r="AY1047" i="1"/>
  <c r="AL1047" i="1"/>
  <c r="Y1047" i="1"/>
  <c r="AK1047" i="1"/>
  <c r="X1047" i="1"/>
  <c r="J1047" i="1"/>
  <c r="AJ1047" i="1"/>
  <c r="V1047" i="1"/>
  <c r="I1047" i="1"/>
  <c r="AH1047" i="1"/>
  <c r="U1047" i="1"/>
  <c r="H1047" i="1"/>
  <c r="AT1047" i="1" s="1"/>
  <c r="AG1047" i="1"/>
  <c r="T1047" i="1"/>
  <c r="G1047" i="1"/>
  <c r="AS1047" i="1"/>
  <c r="AF1047" i="1"/>
  <c r="S1047" i="1"/>
  <c r="F1047" i="1"/>
  <c r="AR1047" i="1"/>
  <c r="AE1047" i="1"/>
  <c r="R1047" i="1"/>
  <c r="E1047" i="1"/>
  <c r="AQ1047" i="1"/>
  <c r="AD1047" i="1"/>
  <c r="Q1047" i="1"/>
  <c r="D1047" i="1"/>
  <c r="AQ1055" i="1"/>
  <c r="AE1055" i="1"/>
  <c r="S1055" i="1"/>
  <c r="G1055" i="1"/>
  <c r="AP1055" i="1"/>
  <c r="AD1055" i="1"/>
  <c r="R1055" i="1"/>
  <c r="F1055" i="1"/>
  <c r="AO1055" i="1"/>
  <c r="Q1055" i="1"/>
  <c r="E1055" i="1"/>
  <c r="AN1055" i="1"/>
  <c r="AB1055" i="1"/>
  <c r="D1055" i="1"/>
  <c r="AY1055" i="1"/>
  <c r="AM1055" i="1"/>
  <c r="AA1055" i="1"/>
  <c r="O1055" i="1"/>
  <c r="P1055" i="1" s="1"/>
  <c r="AL1055" i="1"/>
  <c r="Z1055" i="1"/>
  <c r="N1055" i="1"/>
  <c r="AK1055" i="1"/>
  <c r="Y1055" i="1"/>
  <c r="M1055" i="1"/>
  <c r="AJ1055" i="1"/>
  <c r="X1055" i="1"/>
  <c r="AI1055" i="1"/>
  <c r="W1055" i="1"/>
  <c r="K1055" i="1"/>
  <c r="L1055" i="1" s="1"/>
  <c r="AS1055" i="1"/>
  <c r="AG1055" i="1"/>
  <c r="U1055" i="1"/>
  <c r="AH1055" i="1"/>
  <c r="AF1055" i="1"/>
  <c r="V1055" i="1"/>
  <c r="T1055" i="1"/>
  <c r="J1055" i="1"/>
  <c r="I1055" i="1"/>
  <c r="H1055" i="1"/>
  <c r="AT1055" i="1" s="1"/>
  <c r="AR1055" i="1"/>
  <c r="AJ1086" i="1"/>
  <c r="X1086" i="1"/>
  <c r="AN1086" i="1"/>
  <c r="AA1086" i="1"/>
  <c r="N1086" i="1"/>
  <c r="AM1086" i="1"/>
  <c r="Z1086" i="1"/>
  <c r="M1086" i="1"/>
  <c r="AY1086" i="1"/>
  <c r="AL1086" i="1"/>
  <c r="Y1086" i="1"/>
  <c r="K1086" i="1"/>
  <c r="L1086" i="1" s="1"/>
  <c r="AK1086" i="1"/>
  <c r="W1086" i="1"/>
  <c r="J1086" i="1"/>
  <c r="AI1086" i="1"/>
  <c r="V1086" i="1"/>
  <c r="I1086" i="1"/>
  <c r="AH1086" i="1"/>
  <c r="U1086" i="1"/>
  <c r="H1086" i="1"/>
  <c r="AT1086" i="1" s="1"/>
  <c r="AG1086" i="1"/>
  <c r="T1086" i="1"/>
  <c r="G1086" i="1"/>
  <c r="AS1086" i="1"/>
  <c r="AF1086" i="1"/>
  <c r="S1086" i="1"/>
  <c r="F1086" i="1"/>
  <c r="AR1086" i="1"/>
  <c r="AE1086" i="1"/>
  <c r="R1086" i="1"/>
  <c r="E1086" i="1"/>
  <c r="AQ1086" i="1"/>
  <c r="AD1086" i="1"/>
  <c r="Q1086" i="1"/>
  <c r="D1086" i="1"/>
  <c r="AP1086" i="1"/>
  <c r="AO1086" i="1"/>
  <c r="AB1086" i="1"/>
  <c r="O1086" i="1"/>
  <c r="P1086" i="1" s="1"/>
  <c r="AP1076" i="1"/>
  <c r="AD1076" i="1"/>
  <c r="R1076" i="1"/>
  <c r="F1076" i="1"/>
  <c r="AO1076" i="1"/>
  <c r="Q1076" i="1"/>
  <c r="E1076" i="1"/>
  <c r="AN1076" i="1"/>
  <c r="AB1076" i="1"/>
  <c r="D1076" i="1"/>
  <c r="AY1076" i="1"/>
  <c r="AM1076" i="1"/>
  <c r="AA1076" i="1"/>
  <c r="O1076" i="1"/>
  <c r="P1076" i="1" s="1"/>
  <c r="AL1076" i="1"/>
  <c r="Z1076" i="1"/>
  <c r="N1076" i="1"/>
  <c r="AK1076" i="1"/>
  <c r="Y1076" i="1"/>
  <c r="M1076" i="1"/>
  <c r="AJ1076" i="1"/>
  <c r="X1076" i="1"/>
  <c r="AI1076" i="1"/>
  <c r="W1076" i="1"/>
  <c r="K1076" i="1"/>
  <c r="L1076" i="1" s="1"/>
  <c r="AH1076" i="1"/>
  <c r="V1076" i="1"/>
  <c r="J1076" i="1"/>
  <c r="AS1076" i="1"/>
  <c r="AG1076" i="1"/>
  <c r="U1076" i="1"/>
  <c r="I1076" i="1"/>
  <c r="AR1076" i="1"/>
  <c r="AF1076" i="1"/>
  <c r="T1076" i="1"/>
  <c r="H1076" i="1"/>
  <c r="AT1076" i="1" s="1"/>
  <c r="AQ1076" i="1"/>
  <c r="AE1076" i="1"/>
  <c r="S1076" i="1"/>
  <c r="G1076" i="1"/>
  <c r="AL1107" i="1"/>
  <c r="Z1107" i="1"/>
  <c r="N1107" i="1"/>
  <c r="AK1107" i="1"/>
  <c r="X1107" i="1"/>
  <c r="K1107" i="1"/>
  <c r="L1107" i="1" s="1"/>
  <c r="AJ1107" i="1"/>
  <c r="W1107" i="1"/>
  <c r="J1107" i="1"/>
  <c r="AI1107" i="1"/>
  <c r="V1107" i="1"/>
  <c r="I1107" i="1"/>
  <c r="AH1107" i="1"/>
  <c r="U1107" i="1"/>
  <c r="H1107" i="1"/>
  <c r="AT1107" i="1" s="1"/>
  <c r="AG1107" i="1"/>
  <c r="T1107" i="1"/>
  <c r="G1107" i="1"/>
  <c r="AS1107" i="1"/>
  <c r="AF1107" i="1"/>
  <c r="S1107" i="1"/>
  <c r="F1107" i="1"/>
  <c r="AR1107" i="1"/>
  <c r="AE1107" i="1"/>
  <c r="R1107" i="1"/>
  <c r="E1107" i="1"/>
  <c r="AQ1107" i="1"/>
  <c r="AD1107" i="1"/>
  <c r="Q1107" i="1"/>
  <c r="D1107" i="1"/>
  <c r="AP1107" i="1"/>
  <c r="AO1107" i="1"/>
  <c r="AB1107" i="1"/>
  <c r="O1107" i="1"/>
  <c r="P1107" i="1" s="1"/>
  <c r="AN1107" i="1"/>
  <c r="AA1107" i="1"/>
  <c r="M1107" i="1"/>
  <c r="AY1107" i="1"/>
  <c r="AM1107" i="1"/>
  <c r="Y1107" i="1"/>
  <c r="AN1096" i="1"/>
  <c r="AB1096" i="1"/>
  <c r="D1096" i="1"/>
  <c r="AY1096" i="1"/>
  <c r="AM1096" i="1"/>
  <c r="AA1096" i="1"/>
  <c r="O1096" i="1"/>
  <c r="P1096" i="1" s="1"/>
  <c r="AL1096" i="1"/>
  <c r="Z1096" i="1"/>
  <c r="N1096" i="1"/>
  <c r="AK1096" i="1"/>
  <c r="Y1096" i="1"/>
  <c r="M1096" i="1"/>
  <c r="AJ1096" i="1"/>
  <c r="X1096" i="1"/>
  <c r="AI1096" i="1"/>
  <c r="W1096" i="1"/>
  <c r="K1096" i="1"/>
  <c r="L1096" i="1" s="1"/>
  <c r="AH1096" i="1"/>
  <c r="V1096" i="1"/>
  <c r="J1096" i="1"/>
  <c r="AS1096" i="1"/>
  <c r="AG1096" i="1"/>
  <c r="U1096" i="1"/>
  <c r="I1096" i="1"/>
  <c r="AR1096" i="1"/>
  <c r="AF1096" i="1"/>
  <c r="T1096" i="1"/>
  <c r="H1096" i="1"/>
  <c r="AT1096" i="1" s="1"/>
  <c r="AQ1096" i="1"/>
  <c r="AE1096" i="1"/>
  <c r="S1096" i="1"/>
  <c r="G1096" i="1"/>
  <c r="AP1096" i="1"/>
  <c r="AD1096" i="1"/>
  <c r="R1096" i="1"/>
  <c r="F1096" i="1"/>
  <c r="AO1096" i="1"/>
  <c r="Q1096" i="1"/>
  <c r="E1096" i="1"/>
  <c r="AK1130" i="1"/>
  <c r="Y1130" i="1"/>
  <c r="M1130" i="1"/>
  <c r="AI1130" i="1"/>
  <c r="V1130" i="1"/>
  <c r="I1130" i="1"/>
  <c r="AH1130" i="1"/>
  <c r="U1130" i="1"/>
  <c r="H1130" i="1"/>
  <c r="AT1130" i="1" s="1"/>
  <c r="AG1130" i="1"/>
  <c r="T1130" i="1"/>
  <c r="G1130" i="1"/>
  <c r="AS1130" i="1"/>
  <c r="AF1130" i="1"/>
  <c r="S1130" i="1"/>
  <c r="F1130" i="1"/>
  <c r="AR1130" i="1"/>
  <c r="AE1130" i="1"/>
  <c r="R1130" i="1"/>
  <c r="E1130" i="1"/>
  <c r="AQ1130" i="1"/>
  <c r="AD1130" i="1"/>
  <c r="Q1130" i="1"/>
  <c r="D1130" i="1"/>
  <c r="AP1130" i="1"/>
  <c r="AO1130" i="1"/>
  <c r="AB1130" i="1"/>
  <c r="O1130" i="1"/>
  <c r="P1130" i="1" s="1"/>
  <c r="AN1130" i="1"/>
  <c r="AA1130" i="1"/>
  <c r="N1130" i="1"/>
  <c r="AY1130" i="1"/>
  <c r="AM1130" i="1"/>
  <c r="Z1130" i="1"/>
  <c r="AL1130" i="1"/>
  <c r="X1130" i="1"/>
  <c r="K1130" i="1"/>
  <c r="L1130" i="1" s="1"/>
  <c r="AJ1130" i="1"/>
  <c r="W1130" i="1"/>
  <c r="J1130" i="1"/>
  <c r="AI1165" i="1"/>
  <c r="W1165" i="1"/>
  <c r="K1165" i="1"/>
  <c r="L1165" i="1" s="1"/>
  <c r="AO1165" i="1"/>
  <c r="AB1165" i="1"/>
  <c r="O1165" i="1"/>
  <c r="P1165" i="1" s="1"/>
  <c r="AN1165" i="1"/>
  <c r="AA1165" i="1"/>
  <c r="N1165" i="1"/>
  <c r="AM1165" i="1"/>
  <c r="Z1165" i="1"/>
  <c r="M1165" i="1"/>
  <c r="AY1165" i="1"/>
  <c r="AL1165" i="1"/>
  <c r="Y1165" i="1"/>
  <c r="AK1165" i="1"/>
  <c r="X1165" i="1"/>
  <c r="J1165" i="1"/>
  <c r="AJ1165" i="1"/>
  <c r="V1165" i="1"/>
  <c r="I1165" i="1"/>
  <c r="AH1165" i="1"/>
  <c r="U1165" i="1"/>
  <c r="H1165" i="1"/>
  <c r="AT1165" i="1" s="1"/>
  <c r="AG1165" i="1"/>
  <c r="T1165" i="1"/>
  <c r="G1165" i="1"/>
  <c r="AS1165" i="1"/>
  <c r="AF1165" i="1"/>
  <c r="S1165" i="1"/>
  <c r="F1165" i="1"/>
  <c r="AR1165" i="1"/>
  <c r="AE1165" i="1"/>
  <c r="R1165" i="1"/>
  <c r="E1165" i="1"/>
  <c r="AQ1165" i="1"/>
  <c r="AD1165" i="1"/>
  <c r="Q1165" i="1"/>
  <c r="D1165" i="1"/>
  <c r="AP1165" i="1"/>
  <c r="AJ1147" i="1"/>
  <c r="X1147" i="1"/>
  <c r="AG1147" i="1"/>
  <c r="T1147" i="1"/>
  <c r="G1147" i="1"/>
  <c r="AS1147" i="1"/>
  <c r="AF1147" i="1"/>
  <c r="S1147" i="1"/>
  <c r="F1147" i="1"/>
  <c r="AR1147" i="1"/>
  <c r="AE1147" i="1"/>
  <c r="R1147" i="1"/>
  <c r="E1147" i="1"/>
  <c r="AQ1147" i="1"/>
  <c r="AD1147" i="1"/>
  <c r="Q1147" i="1"/>
  <c r="D1147" i="1"/>
  <c r="AP1147" i="1"/>
  <c r="AO1147" i="1"/>
  <c r="AB1147" i="1"/>
  <c r="O1147" i="1"/>
  <c r="P1147" i="1" s="1"/>
  <c r="AN1147" i="1"/>
  <c r="AA1147" i="1"/>
  <c r="N1147" i="1"/>
  <c r="AM1147" i="1"/>
  <c r="Z1147" i="1"/>
  <c r="M1147" i="1"/>
  <c r="AY1147" i="1"/>
  <c r="AL1147" i="1"/>
  <c r="Y1147" i="1"/>
  <c r="K1147" i="1"/>
  <c r="L1147" i="1" s="1"/>
  <c r="AK1147" i="1"/>
  <c r="W1147" i="1"/>
  <c r="J1147" i="1"/>
  <c r="AI1147" i="1"/>
  <c r="V1147" i="1"/>
  <c r="I1147" i="1"/>
  <c r="AH1147" i="1"/>
  <c r="U1147" i="1"/>
  <c r="H1147" i="1"/>
  <c r="AT1147" i="1" s="1"/>
  <c r="AK1170" i="1"/>
  <c r="Y1170" i="1"/>
  <c r="M1170" i="1"/>
  <c r="AY1170" i="1"/>
  <c r="AM1170" i="1"/>
  <c r="Z1170" i="1"/>
  <c r="AL1170" i="1"/>
  <c r="X1170" i="1"/>
  <c r="K1170" i="1"/>
  <c r="L1170" i="1" s="1"/>
  <c r="AJ1170" i="1"/>
  <c r="W1170" i="1"/>
  <c r="J1170" i="1"/>
  <c r="AI1170" i="1"/>
  <c r="V1170" i="1"/>
  <c r="I1170" i="1"/>
  <c r="AH1170" i="1"/>
  <c r="U1170" i="1"/>
  <c r="H1170" i="1"/>
  <c r="AT1170" i="1" s="1"/>
  <c r="AG1170" i="1"/>
  <c r="T1170" i="1"/>
  <c r="G1170" i="1"/>
  <c r="AS1170" i="1"/>
  <c r="AF1170" i="1"/>
  <c r="S1170" i="1"/>
  <c r="F1170" i="1"/>
  <c r="AR1170" i="1"/>
  <c r="AE1170" i="1"/>
  <c r="R1170" i="1"/>
  <c r="E1170" i="1"/>
  <c r="AQ1170" i="1"/>
  <c r="AD1170" i="1"/>
  <c r="Q1170" i="1"/>
  <c r="D1170" i="1"/>
  <c r="AP1170" i="1"/>
  <c r="AO1170" i="1"/>
  <c r="AB1170" i="1"/>
  <c r="O1170" i="1"/>
  <c r="P1170" i="1" s="1"/>
  <c r="N1170" i="1"/>
  <c r="AN1170" i="1"/>
  <c r="AA1170" i="1"/>
  <c r="AS1166" i="1"/>
  <c r="AG1166" i="1"/>
  <c r="U1166" i="1"/>
  <c r="I1166" i="1"/>
  <c r="AQ1166" i="1"/>
  <c r="AD1166" i="1"/>
  <c r="Q1166" i="1"/>
  <c r="D1166" i="1"/>
  <c r="AP1166" i="1"/>
  <c r="AO1166" i="1"/>
  <c r="AB1166" i="1"/>
  <c r="O1166" i="1"/>
  <c r="P1166" i="1" s="1"/>
  <c r="AN1166" i="1"/>
  <c r="AA1166" i="1"/>
  <c r="N1166" i="1"/>
  <c r="AM1166" i="1"/>
  <c r="Z1166" i="1"/>
  <c r="M1166" i="1"/>
  <c r="AY1166" i="1"/>
  <c r="AL1166" i="1"/>
  <c r="Y1166" i="1"/>
  <c r="AK1166" i="1"/>
  <c r="X1166" i="1"/>
  <c r="K1166" i="1"/>
  <c r="L1166" i="1" s="1"/>
  <c r="AJ1166" i="1"/>
  <c r="W1166" i="1"/>
  <c r="J1166" i="1"/>
  <c r="AI1166" i="1"/>
  <c r="V1166" i="1"/>
  <c r="H1166" i="1"/>
  <c r="AT1166" i="1" s="1"/>
  <c r="AH1166" i="1"/>
  <c r="T1166" i="1"/>
  <c r="G1166" i="1"/>
  <c r="AF1166" i="1"/>
  <c r="S1166" i="1"/>
  <c r="F1166" i="1"/>
  <c r="AE1166" i="1"/>
  <c r="R1166" i="1"/>
  <c r="E1166" i="1"/>
  <c r="AR1166" i="1"/>
  <c r="AL1180" i="1"/>
  <c r="Z1180" i="1"/>
  <c r="N1180" i="1"/>
  <c r="AS1180" i="1"/>
  <c r="AF1180" i="1"/>
  <c r="S1180" i="1"/>
  <c r="F1180" i="1"/>
  <c r="AR1180" i="1"/>
  <c r="AE1180" i="1"/>
  <c r="R1180" i="1"/>
  <c r="E1180" i="1"/>
  <c r="AQ1180" i="1"/>
  <c r="AD1180" i="1"/>
  <c r="Q1180" i="1"/>
  <c r="D1180" i="1"/>
  <c r="AP1180" i="1"/>
  <c r="AO1180" i="1"/>
  <c r="AB1180" i="1"/>
  <c r="O1180" i="1"/>
  <c r="P1180" i="1" s="1"/>
  <c r="AN1180" i="1"/>
  <c r="AA1180" i="1"/>
  <c r="M1180" i="1"/>
  <c r="AY1180" i="1"/>
  <c r="AM1180" i="1"/>
  <c r="Y1180" i="1"/>
  <c r="AK1180" i="1"/>
  <c r="X1180" i="1"/>
  <c r="K1180" i="1"/>
  <c r="L1180" i="1" s="1"/>
  <c r="AJ1180" i="1"/>
  <c r="W1180" i="1"/>
  <c r="J1180" i="1"/>
  <c r="AI1180" i="1"/>
  <c r="V1180" i="1"/>
  <c r="I1180" i="1"/>
  <c r="AH1180" i="1"/>
  <c r="U1180" i="1"/>
  <c r="H1180" i="1"/>
  <c r="AT1180" i="1" s="1"/>
  <c r="AG1180" i="1"/>
  <c r="T1180" i="1"/>
  <c r="G1180" i="1"/>
  <c r="AP1191" i="1"/>
  <c r="AD1191" i="1"/>
  <c r="R1191" i="1"/>
  <c r="F1191" i="1"/>
  <c r="AO1191" i="1"/>
  <c r="Q1191" i="1"/>
  <c r="E1191" i="1"/>
  <c r="AN1191" i="1"/>
  <c r="AB1191" i="1"/>
  <c r="D1191" i="1"/>
  <c r="AY1191" i="1"/>
  <c r="AM1191" i="1"/>
  <c r="AA1191" i="1"/>
  <c r="O1191" i="1"/>
  <c r="P1191" i="1" s="1"/>
  <c r="AL1191" i="1"/>
  <c r="Z1191" i="1"/>
  <c r="N1191" i="1"/>
  <c r="AK1191" i="1"/>
  <c r="Y1191" i="1"/>
  <c r="M1191" i="1"/>
  <c r="AJ1191" i="1"/>
  <c r="X1191" i="1"/>
  <c r="AI1191" i="1"/>
  <c r="W1191" i="1"/>
  <c r="K1191" i="1"/>
  <c r="L1191" i="1" s="1"/>
  <c r="AH1191" i="1"/>
  <c r="V1191" i="1"/>
  <c r="J1191" i="1"/>
  <c r="AS1191" i="1"/>
  <c r="AG1191" i="1"/>
  <c r="U1191" i="1"/>
  <c r="I1191" i="1"/>
  <c r="H1191" i="1"/>
  <c r="AT1191" i="1" s="1"/>
  <c r="G1191" i="1"/>
  <c r="AR1191" i="1"/>
  <c r="AQ1191" i="1"/>
  <c r="AF1191" i="1"/>
  <c r="AE1191" i="1"/>
  <c r="T1191" i="1"/>
  <c r="S1191" i="1"/>
  <c r="AD28" i="1"/>
  <c r="F28" i="1"/>
  <c r="AO28" i="1"/>
  <c r="E28" i="1"/>
  <c r="AK28" i="1"/>
  <c r="AJ28" i="1"/>
  <c r="W28" i="1"/>
  <c r="AE28" i="1"/>
  <c r="G28" i="1"/>
  <c r="H28" i="1"/>
  <c r="AT28" i="1" s="1"/>
  <c r="AA28" i="1"/>
  <c r="Z28" i="1" s="1"/>
  <c r="AS28" i="1"/>
  <c r="AN28" i="1"/>
  <c r="AM28" i="1"/>
  <c r="AL28" i="1"/>
  <c r="I28" i="1"/>
  <c r="AJ37" i="1"/>
  <c r="W37" i="1"/>
  <c r="AS37" i="1"/>
  <c r="H37" i="1"/>
  <c r="AT37" i="1" s="1"/>
  <c r="AE37" i="1"/>
  <c r="G37" i="1"/>
  <c r="I37" i="1" s="1"/>
  <c r="AD37" i="1"/>
  <c r="F37" i="1"/>
  <c r="AO37" i="1"/>
  <c r="E37" i="1"/>
  <c r="AL37" i="1"/>
  <c r="AK37" i="1"/>
  <c r="AN37" i="1"/>
  <c r="AM37" i="1"/>
  <c r="AA37" i="1"/>
  <c r="AL66" i="1"/>
  <c r="AK66" i="1"/>
  <c r="AJ66" i="1"/>
  <c r="W66" i="1"/>
  <c r="AS66" i="1"/>
  <c r="H66" i="1"/>
  <c r="AT66" i="1" s="1"/>
  <c r="AE66" i="1"/>
  <c r="G66" i="1"/>
  <c r="I66" i="1" s="1"/>
  <c r="AD66" i="1"/>
  <c r="F66" i="1"/>
  <c r="AO66" i="1"/>
  <c r="E66" i="1"/>
  <c r="AN66" i="1"/>
  <c r="AM66" i="1"/>
  <c r="AA66" i="1"/>
  <c r="AJ61" i="1"/>
  <c r="W61" i="1"/>
  <c r="AS61" i="1"/>
  <c r="I61" i="1"/>
  <c r="H61" i="1"/>
  <c r="AT61" i="1" s="1"/>
  <c r="AE61" i="1"/>
  <c r="G61" i="1"/>
  <c r="AD61" i="1"/>
  <c r="F61" i="1"/>
  <c r="AO61" i="1"/>
  <c r="E61" i="1"/>
  <c r="AN61" i="1"/>
  <c r="AM61" i="1"/>
  <c r="AA61" i="1"/>
  <c r="Z61" i="1" s="1"/>
  <c r="AL61" i="1"/>
  <c r="AK61" i="1"/>
  <c r="AS50" i="1"/>
  <c r="I50" i="1"/>
  <c r="H50" i="1"/>
  <c r="AT50" i="1" s="1"/>
  <c r="AE50" i="1"/>
  <c r="G50" i="1"/>
  <c r="AD50" i="1"/>
  <c r="F50" i="1"/>
  <c r="AO50" i="1"/>
  <c r="E50" i="1"/>
  <c r="AN50" i="1"/>
  <c r="AM50" i="1"/>
  <c r="AA50" i="1"/>
  <c r="AL50" i="1"/>
  <c r="AK50" i="1"/>
  <c r="AJ50" i="1"/>
  <c r="W50" i="1"/>
  <c r="H33" i="1"/>
  <c r="AT33" i="1" s="1"/>
  <c r="AE33" i="1"/>
  <c r="G33" i="1"/>
  <c r="AM33" i="1"/>
  <c r="AA33" i="1"/>
  <c r="AL33" i="1"/>
  <c r="AK33" i="1"/>
  <c r="AS33" i="1"/>
  <c r="I33" i="1"/>
  <c r="E33" i="1"/>
  <c r="W33" i="1"/>
  <c r="AO33" i="1"/>
  <c r="AN33" i="1"/>
  <c r="AJ33" i="1"/>
  <c r="AD33" i="1"/>
  <c r="F33" i="1"/>
  <c r="AD40" i="1"/>
  <c r="F40" i="1"/>
  <c r="AO40" i="1"/>
  <c r="E40" i="1"/>
  <c r="AN40" i="1"/>
  <c r="AM40" i="1"/>
  <c r="AA40" i="1"/>
  <c r="AL40" i="1"/>
  <c r="AK40" i="1"/>
  <c r="AJ40" i="1"/>
  <c r="W40" i="1"/>
  <c r="H40" i="1"/>
  <c r="AT40" i="1" s="1"/>
  <c r="AE40" i="1"/>
  <c r="G40" i="1"/>
  <c r="I40" i="1" s="1"/>
  <c r="AS40" i="1"/>
  <c r="AN23" i="1"/>
  <c r="AM23" i="1"/>
  <c r="AA23" i="1"/>
  <c r="W23" i="1"/>
  <c r="AS23" i="1"/>
  <c r="I23" i="1"/>
  <c r="AO23" i="1"/>
  <c r="E23" i="1"/>
  <c r="AE23" i="1"/>
  <c r="H23" i="1"/>
  <c r="AT23" i="1" s="1"/>
  <c r="AD23" i="1"/>
  <c r="G23" i="1"/>
  <c r="F23" i="1"/>
  <c r="AL23" i="1"/>
  <c r="AK23" i="1"/>
  <c r="AJ23" i="1"/>
  <c r="AN95" i="1"/>
  <c r="AB95" i="1"/>
  <c r="D95" i="1"/>
  <c r="AY95" i="1"/>
  <c r="AM95" i="1"/>
  <c r="AA95" i="1"/>
  <c r="O95" i="1"/>
  <c r="P95" i="1" s="1"/>
  <c r="AL95" i="1"/>
  <c r="Z95" i="1"/>
  <c r="N95" i="1"/>
  <c r="AK95" i="1"/>
  <c r="Y95" i="1"/>
  <c r="M95" i="1"/>
  <c r="AJ95" i="1"/>
  <c r="X95" i="1"/>
  <c r="AI95" i="1"/>
  <c r="W95" i="1"/>
  <c r="K95" i="1"/>
  <c r="L95" i="1" s="1"/>
  <c r="AH95" i="1"/>
  <c r="V95" i="1"/>
  <c r="J95" i="1"/>
  <c r="AS95" i="1"/>
  <c r="AG95" i="1"/>
  <c r="U95" i="1"/>
  <c r="I95" i="1"/>
  <c r="AR95" i="1"/>
  <c r="AF95" i="1"/>
  <c r="T95" i="1"/>
  <c r="H95" i="1"/>
  <c r="AT95" i="1" s="1"/>
  <c r="AQ95" i="1"/>
  <c r="AE95" i="1"/>
  <c r="S95" i="1"/>
  <c r="G95" i="1"/>
  <c r="AP95" i="1"/>
  <c r="AD95" i="1"/>
  <c r="R95" i="1"/>
  <c r="F95" i="1"/>
  <c r="AO95" i="1"/>
  <c r="Q95" i="1"/>
  <c r="E95" i="1"/>
  <c r="AL165" i="1"/>
  <c r="Z165" i="1"/>
  <c r="N165" i="1"/>
  <c r="AK165" i="1"/>
  <c r="Y165" i="1"/>
  <c r="M165" i="1"/>
  <c r="AJ165" i="1"/>
  <c r="X165" i="1"/>
  <c r="AI165" i="1"/>
  <c r="W165" i="1"/>
  <c r="K165" i="1"/>
  <c r="L165" i="1" s="1"/>
  <c r="AH165" i="1"/>
  <c r="V165" i="1"/>
  <c r="J165" i="1"/>
  <c r="AS165" i="1"/>
  <c r="AG165" i="1"/>
  <c r="U165" i="1"/>
  <c r="I165" i="1"/>
  <c r="AR165" i="1"/>
  <c r="AF165" i="1"/>
  <c r="T165" i="1"/>
  <c r="H165" i="1"/>
  <c r="AT165" i="1" s="1"/>
  <c r="AQ165" i="1"/>
  <c r="AE165" i="1"/>
  <c r="S165" i="1"/>
  <c r="G165" i="1"/>
  <c r="AP165" i="1"/>
  <c r="AD165" i="1"/>
  <c r="R165" i="1"/>
  <c r="F165" i="1"/>
  <c r="AO165" i="1"/>
  <c r="Q165" i="1"/>
  <c r="E165" i="1"/>
  <c r="AN165" i="1"/>
  <c r="AB165" i="1"/>
  <c r="D165" i="1"/>
  <c r="AY165" i="1"/>
  <c r="AM165" i="1"/>
  <c r="AA165" i="1"/>
  <c r="O165" i="1"/>
  <c r="P165" i="1" s="1"/>
  <c r="AJ172" i="1"/>
  <c r="X172" i="1"/>
  <c r="AI172" i="1"/>
  <c r="W172" i="1"/>
  <c r="K172" i="1"/>
  <c r="L172" i="1" s="1"/>
  <c r="AH172" i="1"/>
  <c r="V172" i="1"/>
  <c r="J172" i="1"/>
  <c r="AS172" i="1"/>
  <c r="AG172" i="1"/>
  <c r="U172" i="1"/>
  <c r="I172" i="1"/>
  <c r="AR172" i="1"/>
  <c r="AF172" i="1"/>
  <c r="T172" i="1"/>
  <c r="H172" i="1"/>
  <c r="AT172" i="1" s="1"/>
  <c r="AQ172" i="1"/>
  <c r="AE172" i="1"/>
  <c r="S172" i="1"/>
  <c r="G172" i="1"/>
  <c r="AP172" i="1"/>
  <c r="AD172" i="1"/>
  <c r="R172" i="1"/>
  <c r="F172" i="1"/>
  <c r="AO172" i="1"/>
  <c r="Q172" i="1"/>
  <c r="E172" i="1"/>
  <c r="AN172" i="1"/>
  <c r="AB172" i="1"/>
  <c r="D172" i="1"/>
  <c r="AM172" i="1"/>
  <c r="AA172" i="1"/>
  <c r="O172" i="1"/>
  <c r="P172" i="1" s="1"/>
  <c r="AL172" i="1"/>
  <c r="Z172" i="1"/>
  <c r="N172" i="1"/>
  <c r="AY172" i="1"/>
  <c r="AK172" i="1"/>
  <c r="Y172" i="1"/>
  <c r="M172" i="1"/>
  <c r="AH155" i="1"/>
  <c r="V155" i="1"/>
  <c r="J155" i="1"/>
  <c r="AS155" i="1"/>
  <c r="AG155" i="1"/>
  <c r="U155" i="1"/>
  <c r="I155" i="1"/>
  <c r="AR155" i="1"/>
  <c r="AF155" i="1"/>
  <c r="T155" i="1"/>
  <c r="H155" i="1"/>
  <c r="AT155" i="1" s="1"/>
  <c r="AQ155" i="1"/>
  <c r="AE155" i="1"/>
  <c r="S155" i="1"/>
  <c r="G155" i="1"/>
  <c r="AP155" i="1"/>
  <c r="AD155" i="1"/>
  <c r="R155" i="1"/>
  <c r="F155" i="1"/>
  <c r="AO155" i="1"/>
  <c r="Q155" i="1"/>
  <c r="E155" i="1"/>
  <c r="AN155" i="1"/>
  <c r="AB155" i="1"/>
  <c r="D155" i="1"/>
  <c r="AY155" i="1"/>
  <c r="AM155" i="1"/>
  <c r="AA155" i="1"/>
  <c r="O155" i="1"/>
  <c r="P155" i="1" s="1"/>
  <c r="AL155" i="1"/>
  <c r="Z155" i="1"/>
  <c r="N155" i="1"/>
  <c r="AK155" i="1"/>
  <c r="Y155" i="1"/>
  <c r="M155" i="1"/>
  <c r="AJ155" i="1"/>
  <c r="X155" i="1"/>
  <c r="AI155" i="1"/>
  <c r="W155" i="1"/>
  <c r="K155" i="1"/>
  <c r="L155" i="1" s="1"/>
  <c r="AR150" i="1"/>
  <c r="AF150" i="1"/>
  <c r="T150" i="1"/>
  <c r="H150" i="1"/>
  <c r="AT150" i="1" s="1"/>
  <c r="AQ150" i="1"/>
  <c r="AE150" i="1"/>
  <c r="S150" i="1"/>
  <c r="G150" i="1"/>
  <c r="AP150" i="1"/>
  <c r="AD150" i="1"/>
  <c r="R150" i="1"/>
  <c r="F150" i="1"/>
  <c r="AO150" i="1"/>
  <c r="Q150" i="1"/>
  <c r="E150" i="1"/>
  <c r="AN150" i="1"/>
  <c r="AB150" i="1"/>
  <c r="D150" i="1"/>
  <c r="AY150" i="1"/>
  <c r="AM150" i="1"/>
  <c r="AA150" i="1"/>
  <c r="O150" i="1"/>
  <c r="P150" i="1" s="1"/>
  <c r="AL150" i="1"/>
  <c r="Z150" i="1"/>
  <c r="N150" i="1"/>
  <c r="AK150" i="1"/>
  <c r="Y150" i="1"/>
  <c r="M150" i="1"/>
  <c r="AJ150" i="1"/>
  <c r="X150" i="1"/>
  <c r="AI150" i="1"/>
  <c r="W150" i="1"/>
  <c r="K150" i="1"/>
  <c r="L150" i="1" s="1"/>
  <c r="AH150" i="1"/>
  <c r="V150" i="1"/>
  <c r="J150" i="1"/>
  <c r="AS150" i="1"/>
  <c r="AG150" i="1"/>
  <c r="U150" i="1"/>
  <c r="I150" i="1"/>
  <c r="AP163" i="1"/>
  <c r="AD163" i="1"/>
  <c r="R163" i="1"/>
  <c r="F163" i="1"/>
  <c r="AO163" i="1"/>
  <c r="Q163" i="1"/>
  <c r="E163" i="1"/>
  <c r="AN163" i="1"/>
  <c r="AB163" i="1"/>
  <c r="D163" i="1"/>
  <c r="AY163" i="1"/>
  <c r="AM163" i="1"/>
  <c r="AA163" i="1"/>
  <c r="O163" i="1"/>
  <c r="P163" i="1" s="1"/>
  <c r="AL163" i="1"/>
  <c r="Z163" i="1"/>
  <c r="N163" i="1"/>
  <c r="AK163" i="1"/>
  <c r="Y163" i="1"/>
  <c r="M163" i="1"/>
  <c r="AJ163" i="1"/>
  <c r="X163" i="1"/>
  <c r="AI163" i="1"/>
  <c r="W163" i="1"/>
  <c r="K163" i="1"/>
  <c r="L163" i="1" s="1"/>
  <c r="AH163" i="1"/>
  <c r="V163" i="1"/>
  <c r="J163" i="1"/>
  <c r="AS163" i="1"/>
  <c r="AG163" i="1"/>
  <c r="U163" i="1"/>
  <c r="I163" i="1"/>
  <c r="AR163" i="1"/>
  <c r="AF163" i="1"/>
  <c r="T163" i="1"/>
  <c r="H163" i="1"/>
  <c r="AT163" i="1" s="1"/>
  <c r="AQ163" i="1"/>
  <c r="AE163" i="1"/>
  <c r="S163" i="1"/>
  <c r="G163" i="1"/>
  <c r="AN152" i="1"/>
  <c r="AB152" i="1"/>
  <c r="D152" i="1"/>
  <c r="AY152" i="1"/>
  <c r="AM152" i="1"/>
  <c r="AA152" i="1"/>
  <c r="O152" i="1"/>
  <c r="P152" i="1" s="1"/>
  <c r="AL152" i="1"/>
  <c r="Z152" i="1"/>
  <c r="N152" i="1"/>
  <c r="AK152" i="1"/>
  <c r="Y152" i="1"/>
  <c r="M152" i="1"/>
  <c r="AJ152" i="1"/>
  <c r="X152" i="1"/>
  <c r="AI152" i="1"/>
  <c r="W152" i="1"/>
  <c r="K152" i="1"/>
  <c r="L152" i="1" s="1"/>
  <c r="AH152" i="1"/>
  <c r="V152" i="1"/>
  <c r="J152" i="1"/>
  <c r="AS152" i="1"/>
  <c r="AG152" i="1"/>
  <c r="U152" i="1"/>
  <c r="I152" i="1"/>
  <c r="AR152" i="1"/>
  <c r="AF152" i="1"/>
  <c r="T152" i="1"/>
  <c r="H152" i="1"/>
  <c r="AT152" i="1" s="1"/>
  <c r="AQ152" i="1"/>
  <c r="AE152" i="1"/>
  <c r="S152" i="1"/>
  <c r="G152" i="1"/>
  <c r="AP152" i="1"/>
  <c r="AD152" i="1"/>
  <c r="R152" i="1"/>
  <c r="F152" i="1"/>
  <c r="AO152" i="1"/>
  <c r="Q152" i="1"/>
  <c r="E152" i="1"/>
  <c r="AK198" i="1"/>
  <c r="Y198" i="1"/>
  <c r="M198" i="1"/>
  <c r="AJ198" i="1"/>
  <c r="X198" i="1"/>
  <c r="AI198" i="1"/>
  <c r="W198" i="1"/>
  <c r="K198" i="1"/>
  <c r="L198" i="1" s="1"/>
  <c r="AH198" i="1"/>
  <c r="V198" i="1"/>
  <c r="J198" i="1"/>
  <c r="AS198" i="1"/>
  <c r="AG198" i="1"/>
  <c r="U198" i="1"/>
  <c r="I198" i="1"/>
  <c r="AR198" i="1"/>
  <c r="AF198" i="1"/>
  <c r="T198" i="1"/>
  <c r="H198" i="1"/>
  <c r="AT198" i="1" s="1"/>
  <c r="AQ198" i="1"/>
  <c r="AE198" i="1"/>
  <c r="S198" i="1"/>
  <c r="G198" i="1"/>
  <c r="AP198" i="1"/>
  <c r="AD198" i="1"/>
  <c r="R198" i="1"/>
  <c r="F198" i="1"/>
  <c r="AY198" i="1"/>
  <c r="AM198" i="1"/>
  <c r="AA198" i="1"/>
  <c r="O198" i="1"/>
  <c r="P198" i="1" s="1"/>
  <c r="AL198" i="1"/>
  <c r="Z198" i="1"/>
  <c r="N198" i="1"/>
  <c r="AO198" i="1"/>
  <c r="AN198" i="1"/>
  <c r="AB198" i="1"/>
  <c r="Q198" i="1"/>
  <c r="E198" i="1"/>
  <c r="D198" i="1"/>
  <c r="AI211" i="1"/>
  <c r="W211" i="1"/>
  <c r="K211" i="1"/>
  <c r="L211" i="1" s="1"/>
  <c r="AH211" i="1"/>
  <c r="V211" i="1"/>
  <c r="J211" i="1"/>
  <c r="AS211" i="1"/>
  <c r="AG211" i="1"/>
  <c r="U211" i="1"/>
  <c r="I211" i="1"/>
  <c r="AR211" i="1"/>
  <c r="AF211" i="1"/>
  <c r="T211" i="1"/>
  <c r="H211" i="1"/>
  <c r="AT211" i="1" s="1"/>
  <c r="AQ211" i="1"/>
  <c r="AE211" i="1"/>
  <c r="S211" i="1"/>
  <c r="G211" i="1"/>
  <c r="AP211" i="1"/>
  <c r="AD211" i="1"/>
  <c r="R211" i="1"/>
  <c r="F211" i="1"/>
  <c r="AO211" i="1"/>
  <c r="Q211" i="1"/>
  <c r="E211" i="1"/>
  <c r="AN211" i="1"/>
  <c r="AB211" i="1"/>
  <c r="D211" i="1"/>
  <c r="AY211" i="1"/>
  <c r="AM211" i="1"/>
  <c r="AA211" i="1"/>
  <c r="O211" i="1"/>
  <c r="P211" i="1" s="1"/>
  <c r="AL211" i="1"/>
  <c r="Z211" i="1"/>
  <c r="N211" i="1"/>
  <c r="AK211" i="1"/>
  <c r="Y211" i="1"/>
  <c r="M211" i="1"/>
  <c r="AJ211" i="1"/>
  <c r="X211" i="1"/>
  <c r="AS200" i="1"/>
  <c r="AG200" i="1"/>
  <c r="U200" i="1"/>
  <c r="I200" i="1"/>
  <c r="AR200" i="1"/>
  <c r="AF200" i="1"/>
  <c r="T200" i="1"/>
  <c r="H200" i="1"/>
  <c r="AT200" i="1" s="1"/>
  <c r="AQ200" i="1"/>
  <c r="AE200" i="1"/>
  <c r="S200" i="1"/>
  <c r="G200" i="1"/>
  <c r="AP200" i="1"/>
  <c r="AD200" i="1"/>
  <c r="R200" i="1"/>
  <c r="F200" i="1"/>
  <c r="AO200" i="1"/>
  <c r="Q200" i="1"/>
  <c r="E200" i="1"/>
  <c r="AN200" i="1"/>
  <c r="AB200" i="1"/>
  <c r="D200" i="1"/>
  <c r="AY200" i="1"/>
  <c r="AM200" i="1"/>
  <c r="AA200" i="1"/>
  <c r="O200" i="1"/>
  <c r="P200" i="1" s="1"/>
  <c r="AL200" i="1"/>
  <c r="Z200" i="1"/>
  <c r="N200" i="1"/>
  <c r="AK200" i="1"/>
  <c r="Y200" i="1"/>
  <c r="M200" i="1"/>
  <c r="AJ200" i="1"/>
  <c r="X200" i="1"/>
  <c r="AI200" i="1"/>
  <c r="W200" i="1"/>
  <c r="K200" i="1"/>
  <c r="L200" i="1" s="1"/>
  <c r="AH200" i="1"/>
  <c r="V200" i="1"/>
  <c r="J200" i="1"/>
  <c r="AQ207" i="1"/>
  <c r="AE207" i="1"/>
  <c r="S207" i="1"/>
  <c r="G207" i="1"/>
  <c r="AP207" i="1"/>
  <c r="AD207" i="1"/>
  <c r="R207" i="1"/>
  <c r="F207" i="1"/>
  <c r="AO207" i="1"/>
  <c r="Q207" i="1"/>
  <c r="E207" i="1"/>
  <c r="AN207" i="1"/>
  <c r="AB207" i="1"/>
  <c r="D207" i="1"/>
  <c r="AY207" i="1"/>
  <c r="AM207" i="1"/>
  <c r="AA207" i="1"/>
  <c r="O207" i="1"/>
  <c r="P207" i="1" s="1"/>
  <c r="AL207" i="1"/>
  <c r="Z207" i="1"/>
  <c r="N207" i="1"/>
  <c r="AK207" i="1"/>
  <c r="Y207" i="1"/>
  <c r="M207" i="1"/>
  <c r="AJ207" i="1"/>
  <c r="X207" i="1"/>
  <c r="AI207" i="1"/>
  <c r="W207" i="1"/>
  <c r="K207" i="1"/>
  <c r="L207" i="1" s="1"/>
  <c r="AH207" i="1"/>
  <c r="V207" i="1"/>
  <c r="J207" i="1"/>
  <c r="AS207" i="1"/>
  <c r="AG207" i="1"/>
  <c r="U207" i="1"/>
  <c r="I207" i="1"/>
  <c r="AR207" i="1"/>
  <c r="AF207" i="1"/>
  <c r="T207" i="1"/>
  <c r="H207" i="1"/>
  <c r="AT207" i="1" s="1"/>
  <c r="AO196" i="1"/>
  <c r="Q196" i="1"/>
  <c r="E196" i="1"/>
  <c r="AN196" i="1"/>
  <c r="AB196" i="1"/>
  <c r="D196" i="1"/>
  <c r="AY196" i="1"/>
  <c r="AM196" i="1"/>
  <c r="AA196" i="1"/>
  <c r="O196" i="1"/>
  <c r="P196" i="1" s="1"/>
  <c r="AL196" i="1"/>
  <c r="Z196" i="1"/>
  <c r="N196" i="1"/>
  <c r="AK196" i="1"/>
  <c r="Y196" i="1"/>
  <c r="M196" i="1"/>
  <c r="AJ196" i="1"/>
  <c r="X196" i="1"/>
  <c r="AI196" i="1"/>
  <c r="W196" i="1"/>
  <c r="K196" i="1"/>
  <c r="L196" i="1" s="1"/>
  <c r="AH196" i="1"/>
  <c r="V196" i="1"/>
  <c r="J196" i="1"/>
  <c r="AQ196" i="1"/>
  <c r="AE196" i="1"/>
  <c r="S196" i="1"/>
  <c r="G196" i="1"/>
  <c r="AP196" i="1"/>
  <c r="AD196" i="1"/>
  <c r="R196" i="1"/>
  <c r="F196" i="1"/>
  <c r="AF196" i="1"/>
  <c r="U196" i="1"/>
  <c r="T196" i="1"/>
  <c r="I196" i="1"/>
  <c r="H196" i="1"/>
  <c r="AT196" i="1" s="1"/>
  <c r="AS196" i="1"/>
  <c r="AR196" i="1"/>
  <c r="AG196" i="1"/>
  <c r="AY173" i="1"/>
  <c r="AM173" i="1"/>
  <c r="AA173" i="1"/>
  <c r="O173" i="1"/>
  <c r="P173" i="1" s="1"/>
  <c r="AH173" i="1"/>
  <c r="V173" i="1"/>
  <c r="J173" i="1"/>
  <c r="AS173" i="1"/>
  <c r="AG173" i="1"/>
  <c r="U173" i="1"/>
  <c r="I173" i="1"/>
  <c r="AR173" i="1"/>
  <c r="AF173" i="1"/>
  <c r="T173" i="1"/>
  <c r="H173" i="1"/>
  <c r="AT173" i="1" s="1"/>
  <c r="AJ173" i="1"/>
  <c r="Q173" i="1"/>
  <c r="AI173" i="1"/>
  <c r="AE173" i="1"/>
  <c r="N173" i="1"/>
  <c r="AD173" i="1"/>
  <c r="M173" i="1"/>
  <c r="AB173" i="1"/>
  <c r="K173" i="1"/>
  <c r="L173" i="1" s="1"/>
  <c r="AQ173" i="1"/>
  <c r="Z173" i="1"/>
  <c r="G173" i="1"/>
  <c r="AP173" i="1"/>
  <c r="Y173" i="1"/>
  <c r="F173" i="1"/>
  <c r="AO173" i="1"/>
  <c r="X173" i="1"/>
  <c r="E173" i="1"/>
  <c r="AN173" i="1"/>
  <c r="W173" i="1"/>
  <c r="D173" i="1"/>
  <c r="AL173" i="1"/>
  <c r="S173" i="1"/>
  <c r="AK173" i="1"/>
  <c r="R173" i="1"/>
  <c r="AY245" i="1"/>
  <c r="AM245" i="1"/>
  <c r="AA245" i="1"/>
  <c r="O245" i="1"/>
  <c r="P245" i="1" s="1"/>
  <c r="AL245" i="1"/>
  <c r="Z245" i="1"/>
  <c r="N245" i="1"/>
  <c r="AK245" i="1"/>
  <c r="Y245" i="1"/>
  <c r="M245" i="1"/>
  <c r="AJ245" i="1"/>
  <c r="X245" i="1"/>
  <c r="AI245" i="1"/>
  <c r="W245" i="1"/>
  <c r="K245" i="1"/>
  <c r="L245" i="1" s="1"/>
  <c r="AH245" i="1"/>
  <c r="V245" i="1"/>
  <c r="J245" i="1"/>
  <c r="AS245" i="1"/>
  <c r="AG245" i="1"/>
  <c r="U245" i="1"/>
  <c r="I245" i="1"/>
  <c r="AR245" i="1"/>
  <c r="AF245" i="1"/>
  <c r="T245" i="1"/>
  <c r="H245" i="1"/>
  <c r="AT245" i="1" s="1"/>
  <c r="AQ245" i="1"/>
  <c r="AE245" i="1"/>
  <c r="S245" i="1"/>
  <c r="G245" i="1"/>
  <c r="AP245" i="1"/>
  <c r="AD245" i="1"/>
  <c r="R245" i="1"/>
  <c r="F245" i="1"/>
  <c r="AO245" i="1"/>
  <c r="Q245" i="1"/>
  <c r="E245" i="1"/>
  <c r="AN245" i="1"/>
  <c r="AB245" i="1"/>
  <c r="D245" i="1"/>
  <c r="AS328" i="1"/>
  <c r="AG328" i="1"/>
  <c r="U328" i="1"/>
  <c r="I328" i="1"/>
  <c r="AN328" i="1"/>
  <c r="AY328" i="1"/>
  <c r="AM328" i="1"/>
  <c r="AA328" i="1"/>
  <c r="O328" i="1"/>
  <c r="P328" i="1" s="1"/>
  <c r="AL328" i="1"/>
  <c r="Z328" i="1"/>
  <c r="AD328" i="1"/>
  <c r="N328" i="1"/>
  <c r="M328" i="1"/>
  <c r="AR328" i="1"/>
  <c r="AB328" i="1"/>
  <c r="AQ328" i="1"/>
  <c r="Y328" i="1"/>
  <c r="K328" i="1"/>
  <c r="L328" i="1" s="1"/>
  <c r="AP328" i="1"/>
  <c r="X328" i="1"/>
  <c r="J328" i="1"/>
  <c r="AO328" i="1"/>
  <c r="W328" i="1"/>
  <c r="H328" i="1"/>
  <c r="AT328" i="1" s="1"/>
  <c r="AK328" i="1"/>
  <c r="V328" i="1"/>
  <c r="G328" i="1"/>
  <c r="AJ328" i="1"/>
  <c r="T328" i="1"/>
  <c r="F328" i="1"/>
  <c r="AI328" i="1"/>
  <c r="S328" i="1"/>
  <c r="E328" i="1"/>
  <c r="AH328" i="1"/>
  <c r="R328" i="1"/>
  <c r="D328" i="1"/>
  <c r="AF328" i="1"/>
  <c r="Q328" i="1"/>
  <c r="AE328" i="1"/>
  <c r="AO330" i="1"/>
  <c r="Q330" i="1"/>
  <c r="E330" i="1"/>
  <c r="AN330" i="1"/>
  <c r="AB330" i="1"/>
  <c r="AJ330" i="1"/>
  <c r="X330" i="1"/>
  <c r="AI330" i="1"/>
  <c r="W330" i="1"/>
  <c r="K330" i="1"/>
  <c r="L330" i="1" s="1"/>
  <c r="AH330" i="1"/>
  <c r="V330" i="1"/>
  <c r="J330" i="1"/>
  <c r="AF330" i="1"/>
  <c r="O330" i="1"/>
  <c r="P330" i="1" s="1"/>
  <c r="AY330" i="1"/>
  <c r="AE330" i="1"/>
  <c r="N330" i="1"/>
  <c r="AD330" i="1"/>
  <c r="M330" i="1"/>
  <c r="I330" i="1"/>
  <c r="AS330" i="1"/>
  <c r="AA330" i="1"/>
  <c r="H330" i="1"/>
  <c r="AT330" i="1" s="1"/>
  <c r="AR330" i="1"/>
  <c r="Z330" i="1"/>
  <c r="G330" i="1"/>
  <c r="AQ330" i="1"/>
  <c r="Y330" i="1"/>
  <c r="F330" i="1"/>
  <c r="AP330" i="1"/>
  <c r="U330" i="1"/>
  <c r="D330" i="1"/>
  <c r="AM330" i="1"/>
  <c r="T330" i="1"/>
  <c r="AL330" i="1"/>
  <c r="S330" i="1"/>
  <c r="AK330" i="1"/>
  <c r="R330" i="1"/>
  <c r="AG330" i="1"/>
  <c r="AS318" i="1"/>
  <c r="AG318" i="1"/>
  <c r="U318" i="1"/>
  <c r="I318" i="1"/>
  <c r="AR318" i="1"/>
  <c r="AF318" i="1"/>
  <c r="T318" i="1"/>
  <c r="H318" i="1"/>
  <c r="AT318" i="1" s="1"/>
  <c r="AQ318" i="1"/>
  <c r="AE318" i="1"/>
  <c r="S318" i="1"/>
  <c r="G318" i="1"/>
  <c r="AP318" i="1"/>
  <c r="AD318" i="1"/>
  <c r="R318" i="1"/>
  <c r="F318" i="1"/>
  <c r="AO318" i="1"/>
  <c r="Q318" i="1"/>
  <c r="E318" i="1"/>
  <c r="AN318" i="1"/>
  <c r="AB318" i="1"/>
  <c r="D318" i="1"/>
  <c r="AY318" i="1"/>
  <c r="AM318" i="1"/>
  <c r="AA318" i="1"/>
  <c r="O318" i="1"/>
  <c r="P318" i="1" s="1"/>
  <c r="AL318" i="1"/>
  <c r="Z318" i="1"/>
  <c r="N318" i="1"/>
  <c r="AK318" i="1"/>
  <c r="Y318" i="1"/>
  <c r="M318" i="1"/>
  <c r="AJ318" i="1"/>
  <c r="X318" i="1"/>
  <c r="AI318" i="1"/>
  <c r="W318" i="1"/>
  <c r="K318" i="1"/>
  <c r="L318" i="1" s="1"/>
  <c r="AH318" i="1"/>
  <c r="V318" i="1"/>
  <c r="J318" i="1"/>
  <c r="AQ313" i="1"/>
  <c r="AE313" i="1"/>
  <c r="S313" i="1"/>
  <c r="G313" i="1"/>
  <c r="AP313" i="1"/>
  <c r="AD313" i="1"/>
  <c r="R313" i="1"/>
  <c r="F313" i="1"/>
  <c r="AO313" i="1"/>
  <c r="Q313" i="1"/>
  <c r="E313" i="1"/>
  <c r="AN313" i="1"/>
  <c r="AB313" i="1"/>
  <c r="D313" i="1"/>
  <c r="AY313" i="1"/>
  <c r="AM313" i="1"/>
  <c r="AA313" i="1"/>
  <c r="O313" i="1"/>
  <c r="P313" i="1" s="1"/>
  <c r="AL313" i="1"/>
  <c r="Z313" i="1"/>
  <c r="N313" i="1"/>
  <c r="AK313" i="1"/>
  <c r="Y313" i="1"/>
  <c r="M313" i="1"/>
  <c r="AJ313" i="1"/>
  <c r="X313" i="1"/>
  <c r="AI313" i="1"/>
  <c r="W313" i="1"/>
  <c r="K313" i="1"/>
  <c r="L313" i="1" s="1"/>
  <c r="AH313" i="1"/>
  <c r="V313" i="1"/>
  <c r="J313" i="1"/>
  <c r="AS313" i="1"/>
  <c r="AG313" i="1"/>
  <c r="U313" i="1"/>
  <c r="I313" i="1"/>
  <c r="AR313" i="1"/>
  <c r="AF313" i="1"/>
  <c r="T313" i="1"/>
  <c r="H313" i="1"/>
  <c r="AT313" i="1" s="1"/>
  <c r="AO314" i="1"/>
  <c r="Q314" i="1"/>
  <c r="E314" i="1"/>
  <c r="AN314" i="1"/>
  <c r="AB314" i="1"/>
  <c r="D314" i="1"/>
  <c r="AY314" i="1"/>
  <c r="AM314" i="1"/>
  <c r="AA314" i="1"/>
  <c r="O314" i="1"/>
  <c r="P314" i="1" s="1"/>
  <c r="AL314" i="1"/>
  <c r="Z314" i="1"/>
  <c r="N314" i="1"/>
  <c r="AK314" i="1"/>
  <c r="Y314" i="1"/>
  <c r="M314" i="1"/>
  <c r="AJ314" i="1"/>
  <c r="X314" i="1"/>
  <c r="AI314" i="1"/>
  <c r="W314" i="1"/>
  <c r="K314" i="1"/>
  <c r="L314" i="1" s="1"/>
  <c r="AH314" i="1"/>
  <c r="V314" i="1"/>
  <c r="J314" i="1"/>
  <c r="AS314" i="1"/>
  <c r="AG314" i="1"/>
  <c r="U314" i="1"/>
  <c r="I314" i="1"/>
  <c r="AR314" i="1"/>
  <c r="AF314" i="1"/>
  <c r="T314" i="1"/>
  <c r="H314" i="1"/>
  <c r="AT314" i="1" s="1"/>
  <c r="AQ314" i="1"/>
  <c r="AE314" i="1"/>
  <c r="S314" i="1"/>
  <c r="G314" i="1"/>
  <c r="AP314" i="1"/>
  <c r="AD314" i="1"/>
  <c r="R314" i="1"/>
  <c r="F314" i="1"/>
  <c r="AY297" i="1"/>
  <c r="AM297" i="1"/>
  <c r="AA297" i="1"/>
  <c r="O297" i="1"/>
  <c r="P297" i="1" s="1"/>
  <c r="AL297" i="1"/>
  <c r="Z297" i="1"/>
  <c r="N297" i="1"/>
  <c r="AK297" i="1"/>
  <c r="Y297" i="1"/>
  <c r="M297" i="1"/>
  <c r="AJ297" i="1"/>
  <c r="X297" i="1"/>
  <c r="AI297" i="1"/>
  <c r="W297" i="1"/>
  <c r="K297" i="1"/>
  <c r="L297" i="1" s="1"/>
  <c r="AH297" i="1"/>
  <c r="V297" i="1"/>
  <c r="J297" i="1"/>
  <c r="AS297" i="1"/>
  <c r="AG297" i="1"/>
  <c r="U297" i="1"/>
  <c r="I297" i="1"/>
  <c r="AR297" i="1"/>
  <c r="AF297" i="1"/>
  <c r="T297" i="1"/>
  <c r="H297" i="1"/>
  <c r="AT297" i="1" s="1"/>
  <c r="AQ297" i="1"/>
  <c r="AE297" i="1"/>
  <c r="S297" i="1"/>
  <c r="G297" i="1"/>
  <c r="AP297" i="1"/>
  <c r="AD297" i="1"/>
  <c r="R297" i="1"/>
  <c r="F297" i="1"/>
  <c r="AO297" i="1"/>
  <c r="Q297" i="1"/>
  <c r="E297" i="1"/>
  <c r="AN297" i="1"/>
  <c r="AB297" i="1"/>
  <c r="D297" i="1"/>
  <c r="AK362" i="1"/>
  <c r="Y362" i="1"/>
  <c r="M362" i="1"/>
  <c r="AJ362" i="1"/>
  <c r="X362" i="1"/>
  <c r="AI362" i="1"/>
  <c r="W362" i="1"/>
  <c r="K362" i="1"/>
  <c r="L362" i="1" s="1"/>
  <c r="AH362" i="1"/>
  <c r="V362" i="1"/>
  <c r="J362" i="1"/>
  <c r="AS362" i="1"/>
  <c r="AG362" i="1"/>
  <c r="U362" i="1"/>
  <c r="I362" i="1"/>
  <c r="AR362" i="1"/>
  <c r="AF362" i="1"/>
  <c r="T362" i="1"/>
  <c r="H362" i="1"/>
  <c r="AT362" i="1" s="1"/>
  <c r="AQ362" i="1"/>
  <c r="AE362" i="1"/>
  <c r="S362" i="1"/>
  <c r="G362" i="1"/>
  <c r="AP362" i="1"/>
  <c r="AD362" i="1"/>
  <c r="R362" i="1"/>
  <c r="F362" i="1"/>
  <c r="AO362" i="1"/>
  <c r="Q362" i="1"/>
  <c r="E362" i="1"/>
  <c r="AN362" i="1"/>
  <c r="AB362" i="1"/>
  <c r="D362" i="1"/>
  <c r="AY362" i="1"/>
  <c r="AM362" i="1"/>
  <c r="AA362" i="1"/>
  <c r="O362" i="1"/>
  <c r="P362" i="1" s="1"/>
  <c r="AL362" i="1"/>
  <c r="Z362" i="1"/>
  <c r="N362" i="1"/>
  <c r="AI369" i="1"/>
  <c r="W369" i="1"/>
  <c r="K369" i="1"/>
  <c r="L369" i="1" s="1"/>
  <c r="AH369" i="1"/>
  <c r="V369" i="1"/>
  <c r="J369" i="1"/>
  <c r="AS369" i="1"/>
  <c r="AG369" i="1"/>
  <c r="U369" i="1"/>
  <c r="I369" i="1"/>
  <c r="AR369" i="1"/>
  <c r="AF369" i="1"/>
  <c r="T369" i="1"/>
  <c r="H369" i="1"/>
  <c r="AT369" i="1" s="1"/>
  <c r="AQ369" i="1"/>
  <c r="AE369" i="1"/>
  <c r="S369" i="1"/>
  <c r="G369" i="1"/>
  <c r="AP369" i="1"/>
  <c r="AD369" i="1"/>
  <c r="R369" i="1"/>
  <c r="F369" i="1"/>
  <c r="AO369" i="1"/>
  <c r="Q369" i="1"/>
  <c r="E369" i="1"/>
  <c r="AN369" i="1"/>
  <c r="AB369" i="1"/>
  <c r="D369" i="1"/>
  <c r="AY369" i="1"/>
  <c r="AM369" i="1"/>
  <c r="AA369" i="1"/>
  <c r="O369" i="1"/>
  <c r="P369" i="1" s="1"/>
  <c r="AL369" i="1"/>
  <c r="Z369" i="1"/>
  <c r="N369" i="1"/>
  <c r="AK369" i="1"/>
  <c r="Y369" i="1"/>
  <c r="M369" i="1"/>
  <c r="AJ369" i="1"/>
  <c r="X369" i="1"/>
  <c r="AS364" i="1"/>
  <c r="AG364" i="1"/>
  <c r="U364" i="1"/>
  <c r="I364" i="1"/>
  <c r="AR364" i="1"/>
  <c r="AF364" i="1"/>
  <c r="T364" i="1"/>
  <c r="H364" i="1"/>
  <c r="AT364" i="1" s="1"/>
  <c r="AQ364" i="1"/>
  <c r="AE364" i="1"/>
  <c r="S364" i="1"/>
  <c r="G364" i="1"/>
  <c r="AP364" i="1"/>
  <c r="AD364" i="1"/>
  <c r="R364" i="1"/>
  <c r="F364" i="1"/>
  <c r="AO364" i="1"/>
  <c r="Q364" i="1"/>
  <c r="E364" i="1"/>
  <c r="AN364" i="1"/>
  <c r="AB364" i="1"/>
  <c r="D364" i="1"/>
  <c r="AY364" i="1"/>
  <c r="AM364" i="1"/>
  <c r="AA364" i="1"/>
  <c r="O364" i="1"/>
  <c r="P364" i="1" s="1"/>
  <c r="AL364" i="1"/>
  <c r="Z364" i="1"/>
  <c r="N364" i="1"/>
  <c r="AK364" i="1"/>
  <c r="Y364" i="1"/>
  <c r="M364" i="1"/>
  <c r="AJ364" i="1"/>
  <c r="X364" i="1"/>
  <c r="AI364" i="1"/>
  <c r="W364" i="1"/>
  <c r="K364" i="1"/>
  <c r="L364" i="1" s="1"/>
  <c r="AH364" i="1"/>
  <c r="V364" i="1"/>
  <c r="J364" i="1"/>
  <c r="AQ359" i="1"/>
  <c r="AE359" i="1"/>
  <c r="S359" i="1"/>
  <c r="G359" i="1"/>
  <c r="AP359" i="1"/>
  <c r="AD359" i="1"/>
  <c r="R359" i="1"/>
  <c r="F359" i="1"/>
  <c r="AO359" i="1"/>
  <c r="Q359" i="1"/>
  <c r="E359" i="1"/>
  <c r="AN359" i="1"/>
  <c r="AB359" i="1"/>
  <c r="D359" i="1"/>
  <c r="AY359" i="1"/>
  <c r="AM359" i="1"/>
  <c r="AA359" i="1"/>
  <c r="O359" i="1"/>
  <c r="P359" i="1" s="1"/>
  <c r="AL359" i="1"/>
  <c r="Z359" i="1"/>
  <c r="N359" i="1"/>
  <c r="AK359" i="1"/>
  <c r="Y359" i="1"/>
  <c r="M359" i="1"/>
  <c r="AJ359" i="1"/>
  <c r="X359" i="1"/>
  <c r="AI359" i="1"/>
  <c r="W359" i="1"/>
  <c r="K359" i="1"/>
  <c r="L359" i="1" s="1"/>
  <c r="AH359" i="1"/>
  <c r="V359" i="1"/>
  <c r="J359" i="1"/>
  <c r="AS359" i="1"/>
  <c r="AG359" i="1"/>
  <c r="U359" i="1"/>
  <c r="I359" i="1"/>
  <c r="AR359" i="1"/>
  <c r="AF359" i="1"/>
  <c r="T359" i="1"/>
  <c r="H359" i="1"/>
  <c r="AT359" i="1" s="1"/>
  <c r="AO360" i="1"/>
  <c r="Q360" i="1"/>
  <c r="E360" i="1"/>
  <c r="AN360" i="1"/>
  <c r="AB360" i="1"/>
  <c r="D360" i="1"/>
  <c r="AY360" i="1"/>
  <c r="AM360" i="1"/>
  <c r="AA360" i="1"/>
  <c r="O360" i="1"/>
  <c r="P360" i="1" s="1"/>
  <c r="AL360" i="1"/>
  <c r="Z360" i="1"/>
  <c r="N360" i="1"/>
  <c r="AK360" i="1"/>
  <c r="Y360" i="1"/>
  <c r="M360" i="1"/>
  <c r="AJ360" i="1"/>
  <c r="X360" i="1"/>
  <c r="AI360" i="1"/>
  <c r="W360" i="1"/>
  <c r="K360" i="1"/>
  <c r="L360" i="1" s="1"/>
  <c r="AH360" i="1"/>
  <c r="V360" i="1"/>
  <c r="J360" i="1"/>
  <c r="AS360" i="1"/>
  <c r="AG360" i="1"/>
  <c r="U360" i="1"/>
  <c r="I360" i="1"/>
  <c r="AR360" i="1"/>
  <c r="AF360" i="1"/>
  <c r="T360" i="1"/>
  <c r="H360" i="1"/>
  <c r="AT360" i="1" s="1"/>
  <c r="AQ360" i="1"/>
  <c r="AE360" i="1"/>
  <c r="S360" i="1"/>
  <c r="G360" i="1"/>
  <c r="AP360" i="1"/>
  <c r="AD360" i="1"/>
  <c r="R360" i="1"/>
  <c r="F360" i="1"/>
  <c r="AY343" i="1"/>
  <c r="AM343" i="1"/>
  <c r="AA343" i="1"/>
  <c r="O343" i="1"/>
  <c r="P343" i="1" s="1"/>
  <c r="AL343" i="1"/>
  <c r="Z343" i="1"/>
  <c r="N343" i="1"/>
  <c r="AK343" i="1"/>
  <c r="Y343" i="1"/>
  <c r="M343" i="1"/>
  <c r="AJ343" i="1"/>
  <c r="X343" i="1"/>
  <c r="AI343" i="1"/>
  <c r="W343" i="1"/>
  <c r="K343" i="1"/>
  <c r="L343" i="1" s="1"/>
  <c r="AH343" i="1"/>
  <c r="V343" i="1"/>
  <c r="J343" i="1"/>
  <c r="AS343" i="1"/>
  <c r="AG343" i="1"/>
  <c r="U343" i="1"/>
  <c r="I343" i="1"/>
  <c r="AR343" i="1"/>
  <c r="AF343" i="1"/>
  <c r="T343" i="1"/>
  <c r="H343" i="1"/>
  <c r="AT343" i="1" s="1"/>
  <c r="AO343" i="1"/>
  <c r="AN343" i="1"/>
  <c r="AB343" i="1"/>
  <c r="D343" i="1"/>
  <c r="G343" i="1"/>
  <c r="F343" i="1"/>
  <c r="E343" i="1"/>
  <c r="AQ343" i="1"/>
  <c r="AP343" i="1"/>
  <c r="AE343" i="1"/>
  <c r="AD343" i="1"/>
  <c r="S343" i="1"/>
  <c r="R343" i="1"/>
  <c r="Q343" i="1"/>
  <c r="AL425" i="1"/>
  <c r="Z425" i="1"/>
  <c r="N425" i="1"/>
  <c r="AK425" i="1"/>
  <c r="Y425" i="1"/>
  <c r="M425" i="1"/>
  <c r="AJ425" i="1"/>
  <c r="X425" i="1"/>
  <c r="AI425" i="1"/>
  <c r="W425" i="1"/>
  <c r="K425" i="1"/>
  <c r="L425" i="1" s="1"/>
  <c r="AH425" i="1"/>
  <c r="V425" i="1"/>
  <c r="J425" i="1"/>
  <c r="AS425" i="1"/>
  <c r="AG425" i="1"/>
  <c r="U425" i="1"/>
  <c r="I425" i="1"/>
  <c r="AR425" i="1"/>
  <c r="AF425" i="1"/>
  <c r="T425" i="1"/>
  <c r="H425" i="1"/>
  <c r="AT425" i="1" s="1"/>
  <c r="AQ425" i="1"/>
  <c r="AE425" i="1"/>
  <c r="S425" i="1"/>
  <c r="G425" i="1"/>
  <c r="AP425" i="1"/>
  <c r="AD425" i="1"/>
  <c r="R425" i="1"/>
  <c r="F425" i="1"/>
  <c r="AO425" i="1"/>
  <c r="Q425" i="1"/>
  <c r="E425" i="1"/>
  <c r="AN425" i="1"/>
  <c r="AB425" i="1"/>
  <c r="D425" i="1"/>
  <c r="AY425" i="1"/>
  <c r="AM425" i="1"/>
  <c r="AA425" i="1"/>
  <c r="O425" i="1"/>
  <c r="P425" i="1" s="1"/>
  <c r="AL494" i="1"/>
  <c r="Z494" i="1"/>
  <c r="N494" i="1"/>
  <c r="AK494" i="1"/>
  <c r="Y494" i="1"/>
  <c r="M494" i="1"/>
  <c r="AJ494" i="1"/>
  <c r="X494" i="1"/>
  <c r="AI494" i="1"/>
  <c r="W494" i="1"/>
  <c r="K494" i="1"/>
  <c r="L494" i="1" s="1"/>
  <c r="AH494" i="1"/>
  <c r="V494" i="1"/>
  <c r="J494" i="1"/>
  <c r="AS494" i="1"/>
  <c r="AG494" i="1"/>
  <c r="U494" i="1"/>
  <c r="I494" i="1"/>
  <c r="AR494" i="1"/>
  <c r="AF494" i="1"/>
  <c r="T494" i="1"/>
  <c r="AY494" i="1"/>
  <c r="AA494" i="1"/>
  <c r="S494" i="1"/>
  <c r="R494" i="1"/>
  <c r="AQ494" i="1"/>
  <c r="Q494" i="1"/>
  <c r="AP494" i="1"/>
  <c r="AO494" i="1"/>
  <c r="O494" i="1"/>
  <c r="P494" i="1" s="1"/>
  <c r="AN494" i="1"/>
  <c r="H494" i="1"/>
  <c r="AT494" i="1" s="1"/>
  <c r="AM494" i="1"/>
  <c r="G494" i="1"/>
  <c r="AE494" i="1"/>
  <c r="F494" i="1"/>
  <c r="AD494" i="1"/>
  <c r="E494" i="1"/>
  <c r="D494" i="1"/>
  <c r="AB494" i="1"/>
  <c r="AJ486" i="1"/>
  <c r="X486" i="1"/>
  <c r="AI486" i="1"/>
  <c r="W486" i="1"/>
  <c r="K486" i="1"/>
  <c r="L486" i="1" s="1"/>
  <c r="AH486" i="1"/>
  <c r="V486" i="1"/>
  <c r="J486" i="1"/>
  <c r="AS486" i="1"/>
  <c r="AG486" i="1"/>
  <c r="U486" i="1"/>
  <c r="I486" i="1"/>
  <c r="AR486" i="1"/>
  <c r="AF486" i="1"/>
  <c r="T486" i="1"/>
  <c r="H486" i="1"/>
  <c r="AT486" i="1" s="1"/>
  <c r="AQ486" i="1"/>
  <c r="AE486" i="1"/>
  <c r="S486" i="1"/>
  <c r="G486" i="1"/>
  <c r="AP486" i="1"/>
  <c r="AD486" i="1"/>
  <c r="R486" i="1"/>
  <c r="F486" i="1"/>
  <c r="AO486" i="1"/>
  <c r="Q486" i="1"/>
  <c r="E486" i="1"/>
  <c r="AN486" i="1"/>
  <c r="AB486" i="1"/>
  <c r="D486" i="1"/>
  <c r="AY486" i="1"/>
  <c r="AM486" i="1"/>
  <c r="AA486" i="1"/>
  <c r="O486" i="1"/>
  <c r="P486" i="1" s="1"/>
  <c r="AL486" i="1"/>
  <c r="Z486" i="1"/>
  <c r="N486" i="1"/>
  <c r="AK486" i="1"/>
  <c r="Y486" i="1"/>
  <c r="M486" i="1"/>
  <c r="AH481" i="1"/>
  <c r="V481" i="1"/>
  <c r="J481" i="1"/>
  <c r="AS481" i="1"/>
  <c r="AG481" i="1"/>
  <c r="U481" i="1"/>
  <c r="I481" i="1"/>
  <c r="AR481" i="1"/>
  <c r="AF481" i="1"/>
  <c r="T481" i="1"/>
  <c r="H481" i="1"/>
  <c r="AT481" i="1" s="1"/>
  <c r="AQ481" i="1"/>
  <c r="AE481" i="1"/>
  <c r="S481" i="1"/>
  <c r="G481" i="1"/>
  <c r="AP481" i="1"/>
  <c r="AD481" i="1"/>
  <c r="R481" i="1"/>
  <c r="F481" i="1"/>
  <c r="AO481" i="1"/>
  <c r="Q481" i="1"/>
  <c r="E481" i="1"/>
  <c r="AN481" i="1"/>
  <c r="AB481" i="1"/>
  <c r="D481" i="1"/>
  <c r="AY481" i="1"/>
  <c r="AM481" i="1"/>
  <c r="AA481" i="1"/>
  <c r="O481" i="1"/>
  <c r="P481" i="1" s="1"/>
  <c r="AL481" i="1"/>
  <c r="Z481" i="1"/>
  <c r="N481" i="1"/>
  <c r="AK481" i="1"/>
  <c r="Y481" i="1"/>
  <c r="M481" i="1"/>
  <c r="AJ481" i="1"/>
  <c r="X481" i="1"/>
  <c r="AI481" i="1"/>
  <c r="W481" i="1"/>
  <c r="K481" i="1"/>
  <c r="L481" i="1" s="1"/>
  <c r="AR476" i="1"/>
  <c r="AF476" i="1"/>
  <c r="T476" i="1"/>
  <c r="H476" i="1"/>
  <c r="AT476" i="1" s="1"/>
  <c r="AQ476" i="1"/>
  <c r="AE476" i="1"/>
  <c r="S476" i="1"/>
  <c r="G476" i="1"/>
  <c r="AP476" i="1"/>
  <c r="AD476" i="1"/>
  <c r="R476" i="1"/>
  <c r="F476" i="1"/>
  <c r="AO476" i="1"/>
  <c r="Q476" i="1"/>
  <c r="E476" i="1"/>
  <c r="AN476" i="1"/>
  <c r="AB476" i="1"/>
  <c r="D476" i="1"/>
  <c r="AY476" i="1"/>
  <c r="AM476" i="1"/>
  <c r="AA476" i="1"/>
  <c r="O476" i="1"/>
  <c r="P476" i="1" s="1"/>
  <c r="AL476" i="1"/>
  <c r="Z476" i="1"/>
  <c r="N476" i="1"/>
  <c r="AK476" i="1"/>
  <c r="Y476" i="1"/>
  <c r="M476" i="1"/>
  <c r="AJ476" i="1"/>
  <c r="X476" i="1"/>
  <c r="AI476" i="1"/>
  <c r="W476" i="1"/>
  <c r="K476" i="1"/>
  <c r="L476" i="1" s="1"/>
  <c r="AH476" i="1"/>
  <c r="V476" i="1"/>
  <c r="J476" i="1"/>
  <c r="AS476" i="1"/>
  <c r="AG476" i="1"/>
  <c r="U476" i="1"/>
  <c r="I476" i="1"/>
  <c r="AP471" i="1"/>
  <c r="AD471" i="1"/>
  <c r="R471" i="1"/>
  <c r="F471" i="1"/>
  <c r="AO471" i="1"/>
  <c r="Q471" i="1"/>
  <c r="E471" i="1"/>
  <c r="AN471" i="1"/>
  <c r="AB471" i="1"/>
  <c r="D471" i="1"/>
  <c r="AY471" i="1"/>
  <c r="AM471" i="1"/>
  <c r="AA471" i="1"/>
  <c r="O471" i="1"/>
  <c r="P471" i="1" s="1"/>
  <c r="AL471" i="1"/>
  <c r="Z471" i="1"/>
  <c r="N471" i="1"/>
  <c r="AK471" i="1"/>
  <c r="Y471" i="1"/>
  <c r="M471" i="1"/>
  <c r="AJ471" i="1"/>
  <c r="X471" i="1"/>
  <c r="AI471" i="1"/>
  <c r="W471" i="1"/>
  <c r="K471" i="1"/>
  <c r="L471" i="1" s="1"/>
  <c r="AH471" i="1"/>
  <c r="V471" i="1"/>
  <c r="J471" i="1"/>
  <c r="AS471" i="1"/>
  <c r="AG471" i="1"/>
  <c r="U471" i="1"/>
  <c r="I471" i="1"/>
  <c r="AR471" i="1"/>
  <c r="AF471" i="1"/>
  <c r="T471" i="1"/>
  <c r="H471" i="1"/>
  <c r="AT471" i="1" s="1"/>
  <c r="AQ471" i="1"/>
  <c r="AE471" i="1"/>
  <c r="S471" i="1"/>
  <c r="G471" i="1"/>
  <c r="AN460" i="1"/>
  <c r="AB460" i="1"/>
  <c r="D460" i="1"/>
  <c r="AY460" i="1"/>
  <c r="AM460" i="1"/>
  <c r="AA460" i="1"/>
  <c r="O460" i="1"/>
  <c r="P460" i="1" s="1"/>
  <c r="AL460" i="1"/>
  <c r="Z460" i="1"/>
  <c r="N460" i="1"/>
  <c r="AK460" i="1"/>
  <c r="Y460" i="1"/>
  <c r="M460" i="1"/>
  <c r="AJ460" i="1"/>
  <c r="X460" i="1"/>
  <c r="AI460" i="1"/>
  <c r="W460" i="1"/>
  <c r="K460" i="1"/>
  <c r="L460" i="1" s="1"/>
  <c r="AH460" i="1"/>
  <c r="V460" i="1"/>
  <c r="J460" i="1"/>
  <c r="AS460" i="1"/>
  <c r="AG460" i="1"/>
  <c r="U460" i="1"/>
  <c r="I460" i="1"/>
  <c r="AR460" i="1"/>
  <c r="AF460" i="1"/>
  <c r="T460" i="1"/>
  <c r="H460" i="1"/>
  <c r="AT460" i="1" s="1"/>
  <c r="AQ460" i="1"/>
  <c r="AE460" i="1"/>
  <c r="S460" i="1"/>
  <c r="G460" i="1"/>
  <c r="AP460" i="1"/>
  <c r="AD460" i="1"/>
  <c r="R460" i="1"/>
  <c r="F460" i="1"/>
  <c r="AO460" i="1"/>
  <c r="Q460" i="1"/>
  <c r="E460" i="1"/>
  <c r="AR538" i="1"/>
  <c r="AF538" i="1"/>
  <c r="T538" i="1"/>
  <c r="H538" i="1"/>
  <c r="AT538" i="1" s="1"/>
  <c r="AQ538" i="1"/>
  <c r="AE538" i="1"/>
  <c r="S538" i="1"/>
  <c r="G538" i="1"/>
  <c r="AL538" i="1"/>
  <c r="Z538" i="1"/>
  <c r="N538" i="1"/>
  <c r="AK538" i="1"/>
  <c r="Y538" i="1"/>
  <c r="M538" i="1"/>
  <c r="AY538" i="1"/>
  <c r="AI538" i="1"/>
  <c r="Q538" i="1"/>
  <c r="AH538" i="1"/>
  <c r="AG538" i="1"/>
  <c r="O538" i="1"/>
  <c r="P538" i="1" s="1"/>
  <c r="AD538" i="1"/>
  <c r="K538" i="1"/>
  <c r="L538" i="1" s="1"/>
  <c r="AB538" i="1"/>
  <c r="J538" i="1"/>
  <c r="AS538" i="1"/>
  <c r="AA538" i="1"/>
  <c r="I538" i="1"/>
  <c r="AP538" i="1"/>
  <c r="X538" i="1"/>
  <c r="F538" i="1"/>
  <c r="AO538" i="1"/>
  <c r="W538" i="1"/>
  <c r="E538" i="1"/>
  <c r="AN538" i="1"/>
  <c r="V538" i="1"/>
  <c r="D538" i="1"/>
  <c r="AM538" i="1"/>
  <c r="U538" i="1"/>
  <c r="AJ538" i="1"/>
  <c r="R538" i="1"/>
  <c r="AH520" i="1"/>
  <c r="V520" i="1"/>
  <c r="J520" i="1"/>
  <c r="AS520" i="1"/>
  <c r="AG520" i="1"/>
  <c r="U520" i="1"/>
  <c r="I520" i="1"/>
  <c r="AR520" i="1"/>
  <c r="AF520" i="1"/>
  <c r="T520" i="1"/>
  <c r="H520" i="1"/>
  <c r="AT520" i="1" s="1"/>
  <c r="AQ520" i="1"/>
  <c r="AE520" i="1"/>
  <c r="S520" i="1"/>
  <c r="G520" i="1"/>
  <c r="AP520" i="1"/>
  <c r="AD520" i="1"/>
  <c r="R520" i="1"/>
  <c r="F520" i="1"/>
  <c r="AO520" i="1"/>
  <c r="Q520" i="1"/>
  <c r="E520" i="1"/>
  <c r="AN520" i="1"/>
  <c r="AB520" i="1"/>
  <c r="D520" i="1"/>
  <c r="AY520" i="1"/>
  <c r="AM520" i="1"/>
  <c r="AA520" i="1"/>
  <c r="O520" i="1"/>
  <c r="P520" i="1" s="1"/>
  <c r="AL520" i="1"/>
  <c r="Z520" i="1"/>
  <c r="N520" i="1"/>
  <c r="AK520" i="1"/>
  <c r="Y520" i="1"/>
  <c r="M520" i="1"/>
  <c r="AJ520" i="1"/>
  <c r="X520" i="1"/>
  <c r="AI520" i="1"/>
  <c r="W520" i="1"/>
  <c r="K520" i="1"/>
  <c r="L520" i="1" s="1"/>
  <c r="AP498" i="1"/>
  <c r="AD498" i="1"/>
  <c r="R498" i="1"/>
  <c r="F498" i="1"/>
  <c r="AO498" i="1"/>
  <c r="Q498" i="1"/>
  <c r="E498" i="1"/>
  <c r="AN498" i="1"/>
  <c r="AB498" i="1"/>
  <c r="D498" i="1"/>
  <c r="AY498" i="1"/>
  <c r="AM498" i="1"/>
  <c r="AA498" i="1"/>
  <c r="O498" i="1"/>
  <c r="P498" i="1" s="1"/>
  <c r="AL498" i="1"/>
  <c r="Z498" i="1"/>
  <c r="N498" i="1"/>
  <c r="AK498" i="1"/>
  <c r="Y498" i="1"/>
  <c r="M498" i="1"/>
  <c r="AJ498" i="1"/>
  <c r="X498" i="1"/>
  <c r="AI498" i="1"/>
  <c r="W498" i="1"/>
  <c r="K498" i="1"/>
  <c r="L498" i="1" s="1"/>
  <c r="AH498" i="1"/>
  <c r="V498" i="1"/>
  <c r="J498" i="1"/>
  <c r="AS498" i="1"/>
  <c r="AG498" i="1"/>
  <c r="U498" i="1"/>
  <c r="I498" i="1"/>
  <c r="AR498" i="1"/>
  <c r="AF498" i="1"/>
  <c r="T498" i="1"/>
  <c r="H498" i="1"/>
  <c r="AT498" i="1" s="1"/>
  <c r="AQ498" i="1"/>
  <c r="AE498" i="1"/>
  <c r="S498" i="1"/>
  <c r="G498" i="1"/>
  <c r="AP533" i="1"/>
  <c r="AD533" i="1"/>
  <c r="R533" i="1"/>
  <c r="F533" i="1"/>
  <c r="AO533" i="1"/>
  <c r="Q533" i="1"/>
  <c r="E533" i="1"/>
  <c r="AJ533" i="1"/>
  <c r="X533" i="1"/>
  <c r="AI533" i="1"/>
  <c r="W533" i="1"/>
  <c r="K533" i="1"/>
  <c r="L533" i="1" s="1"/>
  <c r="AL533" i="1"/>
  <c r="U533" i="1"/>
  <c r="AK533" i="1"/>
  <c r="T533" i="1"/>
  <c r="AH533" i="1"/>
  <c r="S533" i="1"/>
  <c r="AY533" i="1"/>
  <c r="AG533" i="1"/>
  <c r="AF533" i="1"/>
  <c r="O533" i="1"/>
  <c r="P533" i="1" s="1"/>
  <c r="AE533" i="1"/>
  <c r="N533" i="1"/>
  <c r="M533" i="1"/>
  <c r="AS533" i="1"/>
  <c r="AB533" i="1"/>
  <c r="J533" i="1"/>
  <c r="AR533" i="1"/>
  <c r="AA533" i="1"/>
  <c r="I533" i="1"/>
  <c r="AQ533" i="1"/>
  <c r="Z533" i="1"/>
  <c r="H533" i="1"/>
  <c r="AT533" i="1" s="1"/>
  <c r="AN533" i="1"/>
  <c r="Y533" i="1"/>
  <c r="G533" i="1"/>
  <c r="AM533" i="1"/>
  <c r="V533" i="1"/>
  <c r="D533" i="1"/>
  <c r="AJ566" i="1"/>
  <c r="X566" i="1"/>
  <c r="AI566" i="1"/>
  <c r="W566" i="1"/>
  <c r="K566" i="1"/>
  <c r="L566" i="1" s="1"/>
  <c r="AH566" i="1"/>
  <c r="V566" i="1"/>
  <c r="J566" i="1"/>
  <c r="AS566" i="1"/>
  <c r="AG566" i="1"/>
  <c r="U566" i="1"/>
  <c r="I566" i="1"/>
  <c r="AR566" i="1"/>
  <c r="AF566" i="1"/>
  <c r="T566" i="1"/>
  <c r="H566" i="1"/>
  <c r="AT566" i="1" s="1"/>
  <c r="AQ566" i="1"/>
  <c r="AE566" i="1"/>
  <c r="S566" i="1"/>
  <c r="G566" i="1"/>
  <c r="AP566" i="1"/>
  <c r="AD566" i="1"/>
  <c r="R566" i="1"/>
  <c r="F566" i="1"/>
  <c r="AO566" i="1"/>
  <c r="Q566" i="1"/>
  <c r="E566" i="1"/>
  <c r="AN566" i="1"/>
  <c r="AB566" i="1"/>
  <c r="D566" i="1"/>
  <c r="AY566" i="1"/>
  <c r="AM566" i="1"/>
  <c r="AA566" i="1"/>
  <c r="O566" i="1"/>
  <c r="P566" i="1" s="1"/>
  <c r="AL566" i="1"/>
  <c r="Z566" i="1"/>
  <c r="N566" i="1"/>
  <c r="AK566" i="1"/>
  <c r="Y566" i="1"/>
  <c r="M566" i="1"/>
  <c r="AR550" i="1"/>
  <c r="AF550" i="1"/>
  <c r="T550" i="1"/>
  <c r="H550" i="1"/>
  <c r="AT550" i="1" s="1"/>
  <c r="AQ550" i="1"/>
  <c r="AE550" i="1"/>
  <c r="S550" i="1"/>
  <c r="G550" i="1"/>
  <c r="AP550" i="1"/>
  <c r="AD550" i="1"/>
  <c r="R550" i="1"/>
  <c r="F550" i="1"/>
  <c r="AO550" i="1"/>
  <c r="Q550" i="1"/>
  <c r="E550" i="1"/>
  <c r="AN550" i="1"/>
  <c r="AB550" i="1"/>
  <c r="D550" i="1"/>
  <c r="AY550" i="1"/>
  <c r="AM550" i="1"/>
  <c r="AA550" i="1"/>
  <c r="O550" i="1"/>
  <c r="P550" i="1" s="1"/>
  <c r="AL550" i="1"/>
  <c r="Z550" i="1"/>
  <c r="N550" i="1"/>
  <c r="AK550" i="1"/>
  <c r="Y550" i="1"/>
  <c r="M550" i="1"/>
  <c r="AJ550" i="1"/>
  <c r="X550" i="1"/>
  <c r="AI550" i="1"/>
  <c r="W550" i="1"/>
  <c r="K550" i="1"/>
  <c r="L550" i="1" s="1"/>
  <c r="AH550" i="1"/>
  <c r="V550" i="1"/>
  <c r="J550" i="1"/>
  <c r="AS550" i="1"/>
  <c r="AG550" i="1"/>
  <c r="U550" i="1"/>
  <c r="I550" i="1"/>
  <c r="AO577" i="1"/>
  <c r="Q577" i="1"/>
  <c r="E577" i="1"/>
  <c r="AN577" i="1"/>
  <c r="AB577" i="1"/>
  <c r="D577" i="1"/>
  <c r="AH577" i="1"/>
  <c r="V577" i="1"/>
  <c r="J577" i="1"/>
  <c r="AK577" i="1"/>
  <c r="W577" i="1"/>
  <c r="G577" i="1"/>
  <c r="AY577" i="1"/>
  <c r="AJ577" i="1"/>
  <c r="U577" i="1"/>
  <c r="F577" i="1"/>
  <c r="AI577" i="1"/>
  <c r="T577" i="1"/>
  <c r="AG577" i="1"/>
  <c r="S577" i="1"/>
  <c r="AF577" i="1"/>
  <c r="R577" i="1"/>
  <c r="AE577" i="1"/>
  <c r="O577" i="1"/>
  <c r="P577" i="1" s="1"/>
  <c r="AS577" i="1"/>
  <c r="AD577" i="1"/>
  <c r="N577" i="1"/>
  <c r="AR577" i="1"/>
  <c r="M577" i="1"/>
  <c r="AQ577" i="1"/>
  <c r="AA577" i="1"/>
  <c r="AP577" i="1"/>
  <c r="Z577" i="1"/>
  <c r="K577" i="1"/>
  <c r="L577" i="1" s="1"/>
  <c r="AM577" i="1"/>
  <c r="Y577" i="1"/>
  <c r="I577" i="1"/>
  <c r="AL577" i="1"/>
  <c r="X577" i="1"/>
  <c r="H577" i="1"/>
  <c r="AT577" i="1" s="1"/>
  <c r="AK597" i="1"/>
  <c r="Y597" i="1"/>
  <c r="M597" i="1"/>
  <c r="AJ597" i="1"/>
  <c r="X597" i="1"/>
  <c r="AI597" i="1"/>
  <c r="W597" i="1"/>
  <c r="K597" i="1"/>
  <c r="L597" i="1" s="1"/>
  <c r="AH597" i="1"/>
  <c r="V597" i="1"/>
  <c r="J597" i="1"/>
  <c r="AS597" i="1"/>
  <c r="AG597" i="1"/>
  <c r="U597" i="1"/>
  <c r="I597" i="1"/>
  <c r="AR597" i="1"/>
  <c r="AF597" i="1"/>
  <c r="T597" i="1"/>
  <c r="H597" i="1"/>
  <c r="AT597" i="1" s="1"/>
  <c r="AQ597" i="1"/>
  <c r="AE597" i="1"/>
  <c r="S597" i="1"/>
  <c r="G597" i="1"/>
  <c r="AP597" i="1"/>
  <c r="AD597" i="1"/>
  <c r="R597" i="1"/>
  <c r="F597" i="1"/>
  <c r="AO597" i="1"/>
  <c r="Q597" i="1"/>
  <c r="E597" i="1"/>
  <c r="AN597" i="1"/>
  <c r="AB597" i="1"/>
  <c r="D597" i="1"/>
  <c r="AY597" i="1"/>
  <c r="AM597" i="1"/>
  <c r="AA597" i="1"/>
  <c r="O597" i="1"/>
  <c r="P597" i="1" s="1"/>
  <c r="AL597" i="1"/>
  <c r="Z597" i="1"/>
  <c r="N597" i="1"/>
  <c r="AL623" i="1"/>
  <c r="Z623" i="1"/>
  <c r="N623" i="1"/>
  <c r="AK623" i="1"/>
  <c r="Y623" i="1"/>
  <c r="M623" i="1"/>
  <c r="AQ623" i="1"/>
  <c r="AE623" i="1"/>
  <c r="S623" i="1"/>
  <c r="G623" i="1"/>
  <c r="AR623" i="1"/>
  <c r="AB623" i="1"/>
  <c r="K623" i="1"/>
  <c r="L623" i="1" s="1"/>
  <c r="AP623" i="1"/>
  <c r="AA623" i="1"/>
  <c r="J623" i="1"/>
  <c r="AO623" i="1"/>
  <c r="X623" i="1"/>
  <c r="I623" i="1"/>
  <c r="AN623" i="1"/>
  <c r="W623" i="1"/>
  <c r="H623" i="1"/>
  <c r="AT623" i="1" s="1"/>
  <c r="AM623" i="1"/>
  <c r="V623" i="1"/>
  <c r="F623" i="1"/>
  <c r="AY623" i="1"/>
  <c r="AJ623" i="1"/>
  <c r="U623" i="1"/>
  <c r="E623" i="1"/>
  <c r="AI623" i="1"/>
  <c r="T623" i="1"/>
  <c r="D623" i="1"/>
  <c r="AH623" i="1"/>
  <c r="R623" i="1"/>
  <c r="AG623" i="1"/>
  <c r="Q623" i="1"/>
  <c r="AF623" i="1"/>
  <c r="AD623" i="1"/>
  <c r="O623" i="1"/>
  <c r="P623" i="1" s="1"/>
  <c r="AS623" i="1"/>
  <c r="AQ588" i="1"/>
  <c r="AE588" i="1"/>
  <c r="S588" i="1"/>
  <c r="G588" i="1"/>
  <c r="AP588" i="1"/>
  <c r="AD588" i="1"/>
  <c r="R588" i="1"/>
  <c r="F588" i="1"/>
  <c r="AO588" i="1"/>
  <c r="Q588" i="1"/>
  <c r="E588" i="1"/>
  <c r="AN588" i="1"/>
  <c r="AB588" i="1"/>
  <c r="D588" i="1"/>
  <c r="AY588" i="1"/>
  <c r="AM588" i="1"/>
  <c r="AA588" i="1"/>
  <c r="O588" i="1"/>
  <c r="P588" i="1" s="1"/>
  <c r="AK588" i="1"/>
  <c r="Y588" i="1"/>
  <c r="M588" i="1"/>
  <c r="AJ588" i="1"/>
  <c r="X588" i="1"/>
  <c r="AS588" i="1"/>
  <c r="AG588" i="1"/>
  <c r="U588" i="1"/>
  <c r="AR588" i="1"/>
  <c r="AF588" i="1"/>
  <c r="T588" i="1"/>
  <c r="V588" i="1"/>
  <c r="N588" i="1"/>
  <c r="K588" i="1"/>
  <c r="L588" i="1" s="1"/>
  <c r="J588" i="1"/>
  <c r="I588" i="1"/>
  <c r="H588" i="1"/>
  <c r="AT588" i="1" s="1"/>
  <c r="AL588" i="1"/>
  <c r="AI588" i="1"/>
  <c r="AH588" i="1"/>
  <c r="Z588" i="1"/>
  <c r="W588" i="1"/>
  <c r="AO619" i="1"/>
  <c r="Q619" i="1"/>
  <c r="E619" i="1"/>
  <c r="AN619" i="1"/>
  <c r="AB619" i="1"/>
  <c r="D619" i="1"/>
  <c r="AY619" i="1"/>
  <c r="AM619" i="1"/>
  <c r="AA619" i="1"/>
  <c r="O619" i="1"/>
  <c r="P619" i="1" s="1"/>
  <c r="AL619" i="1"/>
  <c r="Z619" i="1"/>
  <c r="N619" i="1"/>
  <c r="AK619" i="1"/>
  <c r="Y619" i="1"/>
  <c r="M619" i="1"/>
  <c r="AJ619" i="1"/>
  <c r="X619" i="1"/>
  <c r="AI619" i="1"/>
  <c r="W619" i="1"/>
  <c r="K619" i="1"/>
  <c r="L619" i="1" s="1"/>
  <c r="AH619" i="1"/>
  <c r="V619" i="1"/>
  <c r="J619" i="1"/>
  <c r="AS619" i="1"/>
  <c r="AG619" i="1"/>
  <c r="U619" i="1"/>
  <c r="I619" i="1"/>
  <c r="AR619" i="1"/>
  <c r="AF619" i="1"/>
  <c r="T619" i="1"/>
  <c r="H619" i="1"/>
  <c r="AT619" i="1" s="1"/>
  <c r="AQ619" i="1"/>
  <c r="AE619" i="1"/>
  <c r="S619" i="1"/>
  <c r="G619" i="1"/>
  <c r="AP619" i="1"/>
  <c r="AD619" i="1"/>
  <c r="R619" i="1"/>
  <c r="F619" i="1"/>
  <c r="AL641" i="1"/>
  <c r="Z641" i="1"/>
  <c r="N641" i="1"/>
  <c r="AK641" i="1"/>
  <c r="Y641" i="1"/>
  <c r="M641" i="1"/>
  <c r="AJ641" i="1"/>
  <c r="X641" i="1"/>
  <c r="AI641" i="1"/>
  <c r="W641" i="1"/>
  <c r="K641" i="1"/>
  <c r="L641" i="1" s="1"/>
  <c r="AH641" i="1"/>
  <c r="V641" i="1"/>
  <c r="J641" i="1"/>
  <c r="AS641" i="1"/>
  <c r="AG641" i="1"/>
  <c r="U641" i="1"/>
  <c r="I641" i="1"/>
  <c r="AR641" i="1"/>
  <c r="AF641" i="1"/>
  <c r="T641" i="1"/>
  <c r="H641" i="1"/>
  <c r="AT641" i="1" s="1"/>
  <c r="AQ641" i="1"/>
  <c r="AE641" i="1"/>
  <c r="S641" i="1"/>
  <c r="G641" i="1"/>
  <c r="AP641" i="1"/>
  <c r="AD641" i="1"/>
  <c r="R641" i="1"/>
  <c r="F641" i="1"/>
  <c r="AO641" i="1"/>
  <c r="Q641" i="1"/>
  <c r="E641" i="1"/>
  <c r="AN641" i="1"/>
  <c r="AB641" i="1"/>
  <c r="D641" i="1"/>
  <c r="AY641" i="1"/>
  <c r="AM641" i="1"/>
  <c r="AA641" i="1"/>
  <c r="O641" i="1"/>
  <c r="P641" i="1" s="1"/>
  <c r="AH655" i="1"/>
  <c r="V655" i="1"/>
  <c r="J655" i="1"/>
  <c r="AS655" i="1"/>
  <c r="AG655" i="1"/>
  <c r="U655" i="1"/>
  <c r="I655" i="1"/>
  <c r="AR655" i="1"/>
  <c r="AF655" i="1"/>
  <c r="T655" i="1"/>
  <c r="H655" i="1"/>
  <c r="AT655" i="1" s="1"/>
  <c r="AQ655" i="1"/>
  <c r="AE655" i="1"/>
  <c r="S655" i="1"/>
  <c r="G655" i="1"/>
  <c r="AP655" i="1"/>
  <c r="AD655" i="1"/>
  <c r="R655" i="1"/>
  <c r="F655" i="1"/>
  <c r="AO655" i="1"/>
  <c r="Q655" i="1"/>
  <c r="E655" i="1"/>
  <c r="AN655" i="1"/>
  <c r="AB655" i="1"/>
  <c r="D655" i="1"/>
  <c r="AY655" i="1"/>
  <c r="AM655" i="1"/>
  <c r="AA655" i="1"/>
  <c r="O655" i="1"/>
  <c r="P655" i="1" s="1"/>
  <c r="AL655" i="1"/>
  <c r="Z655" i="1"/>
  <c r="N655" i="1"/>
  <c r="AK655" i="1"/>
  <c r="Y655" i="1"/>
  <c r="M655" i="1"/>
  <c r="AJ655" i="1"/>
  <c r="X655" i="1"/>
  <c r="AI655" i="1"/>
  <c r="W655" i="1"/>
  <c r="K655" i="1"/>
  <c r="L655" i="1" s="1"/>
  <c r="AI665" i="1"/>
  <c r="W665" i="1"/>
  <c r="K665" i="1"/>
  <c r="L665" i="1" s="1"/>
  <c r="AH665" i="1"/>
  <c r="V665" i="1"/>
  <c r="J665" i="1"/>
  <c r="AS665" i="1"/>
  <c r="AG665" i="1"/>
  <c r="U665" i="1"/>
  <c r="I665" i="1"/>
  <c r="AM665" i="1"/>
  <c r="X665" i="1"/>
  <c r="F665" i="1"/>
  <c r="AL665" i="1"/>
  <c r="T665" i="1"/>
  <c r="E665" i="1"/>
  <c r="AK665" i="1"/>
  <c r="S665" i="1"/>
  <c r="D665" i="1"/>
  <c r="AY665" i="1"/>
  <c r="AJ665" i="1"/>
  <c r="R665" i="1"/>
  <c r="AF665" i="1"/>
  <c r="Q665" i="1"/>
  <c r="AE665" i="1"/>
  <c r="AD665" i="1"/>
  <c r="O665" i="1"/>
  <c r="P665" i="1" s="1"/>
  <c r="AR665" i="1"/>
  <c r="N665" i="1"/>
  <c r="AQ665" i="1"/>
  <c r="AB665" i="1"/>
  <c r="M665" i="1"/>
  <c r="AP665" i="1"/>
  <c r="AA665" i="1"/>
  <c r="AO665" i="1"/>
  <c r="Z665" i="1"/>
  <c r="H665" i="1"/>
  <c r="AT665" i="1" s="1"/>
  <c r="AN665" i="1"/>
  <c r="Y665" i="1"/>
  <c r="G665" i="1"/>
  <c r="AK688" i="1"/>
  <c r="Y688" i="1"/>
  <c r="M688" i="1"/>
  <c r="AJ688" i="1"/>
  <c r="X688" i="1"/>
  <c r="AI688" i="1"/>
  <c r="W688" i="1"/>
  <c r="K688" i="1"/>
  <c r="L688" i="1" s="1"/>
  <c r="AH688" i="1"/>
  <c r="V688" i="1"/>
  <c r="J688" i="1"/>
  <c r="AS688" i="1"/>
  <c r="AG688" i="1"/>
  <c r="U688" i="1"/>
  <c r="I688" i="1"/>
  <c r="AR688" i="1"/>
  <c r="AF688" i="1"/>
  <c r="T688" i="1"/>
  <c r="H688" i="1"/>
  <c r="AT688" i="1" s="1"/>
  <c r="AQ688" i="1"/>
  <c r="AE688" i="1"/>
  <c r="S688" i="1"/>
  <c r="G688" i="1"/>
  <c r="AP688" i="1"/>
  <c r="AD688" i="1"/>
  <c r="R688" i="1"/>
  <c r="F688" i="1"/>
  <c r="AO688" i="1"/>
  <c r="Q688" i="1"/>
  <c r="E688" i="1"/>
  <c r="AN688" i="1"/>
  <c r="AB688" i="1"/>
  <c r="D688" i="1"/>
  <c r="AY688" i="1"/>
  <c r="AM688" i="1"/>
  <c r="AA688" i="1"/>
  <c r="O688" i="1"/>
  <c r="P688" i="1" s="1"/>
  <c r="AL688" i="1"/>
  <c r="Z688" i="1"/>
  <c r="N688" i="1"/>
  <c r="AQ711" i="1"/>
  <c r="AE711" i="1"/>
  <c r="S711" i="1"/>
  <c r="G711" i="1"/>
  <c r="AP711" i="1"/>
  <c r="AD711" i="1"/>
  <c r="R711" i="1"/>
  <c r="F711" i="1"/>
  <c r="AO711" i="1"/>
  <c r="Q711" i="1"/>
  <c r="E711" i="1"/>
  <c r="AJ711" i="1"/>
  <c r="X711" i="1"/>
  <c r="AF711" i="1"/>
  <c r="N711" i="1"/>
  <c r="M711" i="1"/>
  <c r="AB711" i="1"/>
  <c r="K711" i="1"/>
  <c r="L711" i="1" s="1"/>
  <c r="AS711" i="1"/>
  <c r="AA711" i="1"/>
  <c r="J711" i="1"/>
  <c r="AR711" i="1"/>
  <c r="Z711" i="1"/>
  <c r="I711" i="1"/>
  <c r="AN711" i="1"/>
  <c r="Y711" i="1"/>
  <c r="H711" i="1"/>
  <c r="AT711" i="1" s="1"/>
  <c r="AM711" i="1"/>
  <c r="W711" i="1"/>
  <c r="D711" i="1"/>
  <c r="AL711" i="1"/>
  <c r="V711" i="1"/>
  <c r="AK711" i="1"/>
  <c r="U711" i="1"/>
  <c r="AI711" i="1"/>
  <c r="T711" i="1"/>
  <c r="AY711" i="1"/>
  <c r="AH711" i="1"/>
  <c r="AG711" i="1"/>
  <c r="O711" i="1"/>
  <c r="P711" i="1" s="1"/>
  <c r="AQ691" i="1"/>
  <c r="AE691" i="1"/>
  <c r="S691" i="1"/>
  <c r="G691" i="1"/>
  <c r="AP691" i="1"/>
  <c r="AD691" i="1"/>
  <c r="R691" i="1"/>
  <c r="F691" i="1"/>
  <c r="AO691" i="1"/>
  <c r="Q691" i="1"/>
  <c r="E691" i="1"/>
  <c r="AN691" i="1"/>
  <c r="AB691" i="1"/>
  <c r="D691" i="1"/>
  <c r="AY691" i="1"/>
  <c r="AM691" i="1"/>
  <c r="AA691" i="1"/>
  <c r="O691" i="1"/>
  <c r="P691" i="1" s="1"/>
  <c r="AL691" i="1"/>
  <c r="Z691" i="1"/>
  <c r="N691" i="1"/>
  <c r="AK691" i="1"/>
  <c r="Y691" i="1"/>
  <c r="M691" i="1"/>
  <c r="AJ691" i="1"/>
  <c r="X691" i="1"/>
  <c r="AI691" i="1"/>
  <c r="W691" i="1"/>
  <c r="K691" i="1"/>
  <c r="L691" i="1" s="1"/>
  <c r="AH691" i="1"/>
  <c r="V691" i="1"/>
  <c r="J691" i="1"/>
  <c r="AS691" i="1"/>
  <c r="AG691" i="1"/>
  <c r="U691" i="1"/>
  <c r="I691" i="1"/>
  <c r="AR691" i="1"/>
  <c r="AF691" i="1"/>
  <c r="T691" i="1"/>
  <c r="H691" i="1"/>
  <c r="AT691" i="1" s="1"/>
  <c r="AO704" i="1"/>
  <c r="Q704" i="1"/>
  <c r="E704" i="1"/>
  <c r="AN704" i="1"/>
  <c r="AB704" i="1"/>
  <c r="D704" i="1"/>
  <c r="AY704" i="1"/>
  <c r="AM704" i="1"/>
  <c r="AA704" i="1"/>
  <c r="O704" i="1"/>
  <c r="P704" i="1" s="1"/>
  <c r="AL704" i="1"/>
  <c r="Z704" i="1"/>
  <c r="N704" i="1"/>
  <c r="AK704" i="1"/>
  <c r="Y704" i="1"/>
  <c r="M704" i="1"/>
  <c r="AJ704" i="1"/>
  <c r="X704" i="1"/>
  <c r="AI704" i="1"/>
  <c r="W704" i="1"/>
  <c r="K704" i="1"/>
  <c r="L704" i="1" s="1"/>
  <c r="AH704" i="1"/>
  <c r="V704" i="1"/>
  <c r="J704" i="1"/>
  <c r="AS704" i="1"/>
  <c r="AG704" i="1"/>
  <c r="U704" i="1"/>
  <c r="I704" i="1"/>
  <c r="AR704" i="1"/>
  <c r="AF704" i="1"/>
  <c r="T704" i="1"/>
  <c r="H704" i="1"/>
  <c r="AT704" i="1" s="1"/>
  <c r="AQ704" i="1"/>
  <c r="AE704" i="1"/>
  <c r="S704" i="1"/>
  <c r="G704" i="1"/>
  <c r="AP704" i="1"/>
  <c r="AD704" i="1"/>
  <c r="R704" i="1"/>
  <c r="F704" i="1"/>
  <c r="AK732" i="1"/>
  <c r="Y732" i="1"/>
  <c r="M732" i="1"/>
  <c r="AJ732" i="1"/>
  <c r="X732" i="1"/>
  <c r="AI732" i="1"/>
  <c r="W732" i="1"/>
  <c r="K732" i="1"/>
  <c r="L732" i="1" s="1"/>
  <c r="AH732" i="1"/>
  <c r="V732" i="1"/>
  <c r="J732" i="1"/>
  <c r="AS732" i="1"/>
  <c r="AG732" i="1"/>
  <c r="U732" i="1"/>
  <c r="I732" i="1"/>
  <c r="AR732" i="1"/>
  <c r="AF732" i="1"/>
  <c r="T732" i="1"/>
  <c r="H732" i="1"/>
  <c r="AT732" i="1" s="1"/>
  <c r="AQ732" i="1"/>
  <c r="AE732" i="1"/>
  <c r="S732" i="1"/>
  <c r="G732" i="1"/>
  <c r="AP732" i="1"/>
  <c r="AD732" i="1"/>
  <c r="R732" i="1"/>
  <c r="F732" i="1"/>
  <c r="AO732" i="1"/>
  <c r="Q732" i="1"/>
  <c r="E732" i="1"/>
  <c r="AN732" i="1"/>
  <c r="AB732" i="1"/>
  <c r="D732" i="1"/>
  <c r="AY732" i="1"/>
  <c r="AM732" i="1"/>
  <c r="AA732" i="1"/>
  <c r="O732" i="1"/>
  <c r="P732" i="1" s="1"/>
  <c r="AL732" i="1"/>
  <c r="Z732" i="1"/>
  <c r="N732" i="1"/>
  <c r="AI751" i="1"/>
  <c r="W751" i="1"/>
  <c r="K751" i="1"/>
  <c r="L751" i="1" s="1"/>
  <c r="AH751" i="1"/>
  <c r="V751" i="1"/>
  <c r="J751" i="1"/>
  <c r="AS751" i="1"/>
  <c r="AG751" i="1"/>
  <c r="U751" i="1"/>
  <c r="I751" i="1"/>
  <c r="AR751" i="1"/>
  <c r="AF751" i="1"/>
  <c r="T751" i="1"/>
  <c r="H751" i="1"/>
  <c r="AT751" i="1" s="1"/>
  <c r="AQ751" i="1"/>
  <c r="AE751" i="1"/>
  <c r="S751" i="1"/>
  <c r="G751" i="1"/>
  <c r="AP751" i="1"/>
  <c r="AD751" i="1"/>
  <c r="R751" i="1"/>
  <c r="F751" i="1"/>
  <c r="AO751" i="1"/>
  <c r="Q751" i="1"/>
  <c r="E751" i="1"/>
  <c r="AN751" i="1"/>
  <c r="AB751" i="1"/>
  <c r="D751" i="1"/>
  <c r="AY751" i="1"/>
  <c r="AM751" i="1"/>
  <c r="AA751" i="1"/>
  <c r="O751" i="1"/>
  <c r="P751" i="1" s="1"/>
  <c r="AL751" i="1"/>
  <c r="Z751" i="1"/>
  <c r="N751" i="1"/>
  <c r="AK751" i="1"/>
  <c r="Y751" i="1"/>
  <c r="M751" i="1"/>
  <c r="AJ751" i="1"/>
  <c r="X751" i="1"/>
  <c r="AQ735" i="1"/>
  <c r="AE735" i="1"/>
  <c r="S735" i="1"/>
  <c r="G735" i="1"/>
  <c r="AP735" i="1"/>
  <c r="AD735" i="1"/>
  <c r="R735" i="1"/>
  <c r="F735" i="1"/>
  <c r="AO735" i="1"/>
  <c r="Q735" i="1"/>
  <c r="E735" i="1"/>
  <c r="AN735" i="1"/>
  <c r="AB735" i="1"/>
  <c r="D735" i="1"/>
  <c r="AY735" i="1"/>
  <c r="AM735" i="1"/>
  <c r="AA735" i="1"/>
  <c r="O735" i="1"/>
  <c r="P735" i="1" s="1"/>
  <c r="AL735" i="1"/>
  <c r="Z735" i="1"/>
  <c r="N735" i="1"/>
  <c r="AK735" i="1"/>
  <c r="Y735" i="1"/>
  <c r="M735" i="1"/>
  <c r="AJ735" i="1"/>
  <c r="X735" i="1"/>
  <c r="AI735" i="1"/>
  <c r="W735" i="1"/>
  <c r="K735" i="1"/>
  <c r="L735" i="1" s="1"/>
  <c r="AH735" i="1"/>
  <c r="V735" i="1"/>
  <c r="J735" i="1"/>
  <c r="AS735" i="1"/>
  <c r="AG735" i="1"/>
  <c r="U735" i="1"/>
  <c r="I735" i="1"/>
  <c r="AR735" i="1"/>
  <c r="AF735" i="1"/>
  <c r="T735" i="1"/>
  <c r="H735" i="1"/>
  <c r="AT735" i="1" s="1"/>
  <c r="AY725" i="1"/>
  <c r="AM725" i="1"/>
  <c r="AA725" i="1"/>
  <c r="O725" i="1"/>
  <c r="P725" i="1" s="1"/>
  <c r="AL725" i="1"/>
  <c r="Z725" i="1"/>
  <c r="N725" i="1"/>
  <c r="AK725" i="1"/>
  <c r="Y725" i="1"/>
  <c r="M725" i="1"/>
  <c r="AJ725" i="1"/>
  <c r="X725" i="1"/>
  <c r="AI725" i="1"/>
  <c r="W725" i="1"/>
  <c r="K725" i="1"/>
  <c r="L725" i="1" s="1"/>
  <c r="AH725" i="1"/>
  <c r="V725" i="1"/>
  <c r="J725" i="1"/>
  <c r="AS725" i="1"/>
  <c r="AG725" i="1"/>
  <c r="U725" i="1"/>
  <c r="I725" i="1"/>
  <c r="AR725" i="1"/>
  <c r="AF725" i="1"/>
  <c r="T725" i="1"/>
  <c r="H725" i="1"/>
  <c r="AT725" i="1" s="1"/>
  <c r="AQ725" i="1"/>
  <c r="AE725" i="1"/>
  <c r="S725" i="1"/>
  <c r="G725" i="1"/>
  <c r="AP725" i="1"/>
  <c r="AD725" i="1"/>
  <c r="R725" i="1"/>
  <c r="F725" i="1"/>
  <c r="AO725" i="1"/>
  <c r="Q725" i="1"/>
  <c r="E725" i="1"/>
  <c r="AN725" i="1"/>
  <c r="AB725" i="1"/>
  <c r="D725" i="1"/>
  <c r="AL799" i="1"/>
  <c r="Z799" i="1"/>
  <c r="N799" i="1"/>
  <c r="AK799" i="1"/>
  <c r="Y799" i="1"/>
  <c r="M799" i="1"/>
  <c r="AJ799" i="1"/>
  <c r="X799" i="1"/>
  <c r="AS799" i="1"/>
  <c r="AD799" i="1"/>
  <c r="O799" i="1"/>
  <c r="P799" i="1" s="1"/>
  <c r="AR799" i="1"/>
  <c r="K799" i="1"/>
  <c r="L799" i="1" s="1"/>
  <c r="AQ799" i="1"/>
  <c r="AB799" i="1"/>
  <c r="J799" i="1"/>
  <c r="AP799" i="1"/>
  <c r="AA799" i="1"/>
  <c r="I799" i="1"/>
  <c r="AO799" i="1"/>
  <c r="W799" i="1"/>
  <c r="H799" i="1"/>
  <c r="AT799" i="1" s="1"/>
  <c r="AN799" i="1"/>
  <c r="V799" i="1"/>
  <c r="G799" i="1"/>
  <c r="AM799" i="1"/>
  <c r="U799" i="1"/>
  <c r="F799" i="1"/>
  <c r="AY799" i="1"/>
  <c r="AI799" i="1"/>
  <c r="T799" i="1"/>
  <c r="E799" i="1"/>
  <c r="AH799" i="1"/>
  <c r="S799" i="1"/>
  <c r="D799" i="1"/>
  <c r="AG799" i="1"/>
  <c r="R799" i="1"/>
  <c r="AF799" i="1"/>
  <c r="Q799" i="1"/>
  <c r="AE799" i="1"/>
  <c r="AS794" i="1"/>
  <c r="AG794" i="1"/>
  <c r="U794" i="1"/>
  <c r="I794" i="1"/>
  <c r="AR794" i="1"/>
  <c r="AF794" i="1"/>
  <c r="T794" i="1"/>
  <c r="H794" i="1"/>
  <c r="AT794" i="1" s="1"/>
  <c r="AQ794" i="1"/>
  <c r="AE794" i="1"/>
  <c r="S794" i="1"/>
  <c r="G794" i="1"/>
  <c r="AP794" i="1"/>
  <c r="AD794" i="1"/>
  <c r="R794" i="1"/>
  <c r="F794" i="1"/>
  <c r="AO794" i="1"/>
  <c r="Q794" i="1"/>
  <c r="E794" i="1"/>
  <c r="AN794" i="1"/>
  <c r="AB794" i="1"/>
  <c r="D794" i="1"/>
  <c r="AY794" i="1"/>
  <c r="AM794" i="1"/>
  <c r="AA794" i="1"/>
  <c r="O794" i="1"/>
  <c r="P794" i="1" s="1"/>
  <c r="AL794" i="1"/>
  <c r="Z794" i="1"/>
  <c r="N794" i="1"/>
  <c r="AK794" i="1"/>
  <c r="Y794" i="1"/>
  <c r="M794" i="1"/>
  <c r="AJ794" i="1"/>
  <c r="X794" i="1"/>
  <c r="AI794" i="1"/>
  <c r="W794" i="1"/>
  <c r="K794" i="1"/>
  <c r="L794" i="1" s="1"/>
  <c r="AH794" i="1"/>
  <c r="V794" i="1"/>
  <c r="J794" i="1"/>
  <c r="AO766" i="1"/>
  <c r="Q766" i="1"/>
  <c r="E766" i="1"/>
  <c r="AN766" i="1"/>
  <c r="AB766" i="1"/>
  <c r="D766" i="1"/>
  <c r="AY766" i="1"/>
  <c r="AM766" i="1"/>
  <c r="AA766" i="1"/>
  <c r="O766" i="1"/>
  <c r="P766" i="1" s="1"/>
  <c r="AL766" i="1"/>
  <c r="Z766" i="1"/>
  <c r="N766" i="1"/>
  <c r="AK766" i="1"/>
  <c r="Y766" i="1"/>
  <c r="M766" i="1"/>
  <c r="AJ766" i="1"/>
  <c r="X766" i="1"/>
  <c r="AI766" i="1"/>
  <c r="W766" i="1"/>
  <c r="K766" i="1"/>
  <c r="L766" i="1" s="1"/>
  <c r="AH766" i="1"/>
  <c r="V766" i="1"/>
  <c r="J766" i="1"/>
  <c r="AS766" i="1"/>
  <c r="AG766" i="1"/>
  <c r="U766" i="1"/>
  <c r="I766" i="1"/>
  <c r="AR766" i="1"/>
  <c r="AF766" i="1"/>
  <c r="T766" i="1"/>
  <c r="H766" i="1"/>
  <c r="AT766" i="1" s="1"/>
  <c r="AQ766" i="1"/>
  <c r="AE766" i="1"/>
  <c r="S766" i="1"/>
  <c r="G766" i="1"/>
  <c r="AP766" i="1"/>
  <c r="AD766" i="1"/>
  <c r="R766" i="1"/>
  <c r="F766" i="1"/>
  <c r="AY791" i="1"/>
  <c r="AM791" i="1"/>
  <c r="AA791" i="1"/>
  <c r="O791" i="1"/>
  <c r="P791" i="1" s="1"/>
  <c r="AL791" i="1"/>
  <c r="Z791" i="1"/>
  <c r="N791" i="1"/>
  <c r="AK791" i="1"/>
  <c r="Y791" i="1"/>
  <c r="M791" i="1"/>
  <c r="AJ791" i="1"/>
  <c r="X791" i="1"/>
  <c r="AI791" i="1"/>
  <c r="W791" i="1"/>
  <c r="K791" i="1"/>
  <c r="L791" i="1" s="1"/>
  <c r="AH791" i="1"/>
  <c r="V791" i="1"/>
  <c r="J791" i="1"/>
  <c r="AS791" i="1"/>
  <c r="AG791" i="1"/>
  <c r="U791" i="1"/>
  <c r="I791" i="1"/>
  <c r="AR791" i="1"/>
  <c r="AF791" i="1"/>
  <c r="T791" i="1"/>
  <c r="H791" i="1"/>
  <c r="AT791" i="1" s="1"/>
  <c r="AQ791" i="1"/>
  <c r="AE791" i="1"/>
  <c r="S791" i="1"/>
  <c r="G791" i="1"/>
  <c r="AP791" i="1"/>
  <c r="AD791" i="1"/>
  <c r="R791" i="1"/>
  <c r="F791" i="1"/>
  <c r="AO791" i="1"/>
  <c r="Q791" i="1"/>
  <c r="E791" i="1"/>
  <c r="AN791" i="1"/>
  <c r="AB791" i="1"/>
  <c r="D791" i="1"/>
  <c r="AJ830" i="1"/>
  <c r="X830" i="1"/>
  <c r="AI830" i="1"/>
  <c r="W830" i="1"/>
  <c r="K830" i="1"/>
  <c r="L830" i="1" s="1"/>
  <c r="AH830" i="1"/>
  <c r="V830" i="1"/>
  <c r="J830" i="1"/>
  <c r="AS830" i="1"/>
  <c r="AG830" i="1"/>
  <c r="U830" i="1"/>
  <c r="I830" i="1"/>
  <c r="AR830" i="1"/>
  <c r="AF830" i="1"/>
  <c r="T830" i="1"/>
  <c r="H830" i="1"/>
  <c r="AT830" i="1" s="1"/>
  <c r="AQ830" i="1"/>
  <c r="AE830" i="1"/>
  <c r="S830" i="1"/>
  <c r="G830" i="1"/>
  <c r="AP830" i="1"/>
  <c r="AD830" i="1"/>
  <c r="R830" i="1"/>
  <c r="F830" i="1"/>
  <c r="AO830" i="1"/>
  <c r="Q830" i="1"/>
  <c r="E830" i="1"/>
  <c r="AN830" i="1"/>
  <c r="AB830" i="1"/>
  <c r="D830" i="1"/>
  <c r="AY830" i="1"/>
  <c r="AM830" i="1"/>
  <c r="AA830" i="1"/>
  <c r="O830" i="1"/>
  <c r="P830" i="1" s="1"/>
  <c r="AL830" i="1"/>
  <c r="Z830" i="1"/>
  <c r="N830" i="1"/>
  <c r="AK830" i="1"/>
  <c r="Y830" i="1"/>
  <c r="M830" i="1"/>
  <c r="AR808" i="1"/>
  <c r="AF808" i="1"/>
  <c r="T808" i="1"/>
  <c r="H808" i="1"/>
  <c r="AT808" i="1" s="1"/>
  <c r="AQ808" i="1"/>
  <c r="AE808" i="1"/>
  <c r="S808" i="1"/>
  <c r="G808" i="1"/>
  <c r="AP808" i="1"/>
  <c r="AD808" i="1"/>
  <c r="R808" i="1"/>
  <c r="F808" i="1"/>
  <c r="AO808" i="1"/>
  <c r="Q808" i="1"/>
  <c r="E808" i="1"/>
  <c r="AN808" i="1"/>
  <c r="AB808" i="1"/>
  <c r="D808" i="1"/>
  <c r="AY808" i="1"/>
  <c r="AM808" i="1"/>
  <c r="AA808" i="1"/>
  <c r="O808" i="1"/>
  <c r="P808" i="1" s="1"/>
  <c r="AL808" i="1"/>
  <c r="Z808" i="1"/>
  <c r="N808" i="1"/>
  <c r="AK808" i="1"/>
  <c r="Y808" i="1"/>
  <c r="M808" i="1"/>
  <c r="AJ808" i="1"/>
  <c r="X808" i="1"/>
  <c r="AI808" i="1"/>
  <c r="W808" i="1"/>
  <c r="K808" i="1"/>
  <c r="L808" i="1" s="1"/>
  <c r="AH808" i="1"/>
  <c r="V808" i="1"/>
  <c r="J808" i="1"/>
  <c r="AS808" i="1"/>
  <c r="AG808" i="1"/>
  <c r="U808" i="1"/>
  <c r="I808" i="1"/>
  <c r="AJ836" i="1"/>
  <c r="X836" i="1"/>
  <c r="AH836" i="1"/>
  <c r="V836" i="1"/>
  <c r="J836" i="1"/>
  <c r="AG836" i="1"/>
  <c r="S836" i="1"/>
  <c r="E836" i="1"/>
  <c r="AF836" i="1"/>
  <c r="R836" i="1"/>
  <c r="D836" i="1"/>
  <c r="AS836" i="1"/>
  <c r="AE836" i="1"/>
  <c r="Q836" i="1"/>
  <c r="AR836" i="1"/>
  <c r="AD836" i="1"/>
  <c r="AQ836" i="1"/>
  <c r="O836" i="1"/>
  <c r="P836" i="1" s="1"/>
  <c r="AP836" i="1"/>
  <c r="AB836" i="1"/>
  <c r="N836" i="1"/>
  <c r="AO836" i="1"/>
  <c r="AA836" i="1"/>
  <c r="M836" i="1"/>
  <c r="AN836" i="1"/>
  <c r="Z836" i="1"/>
  <c r="K836" i="1"/>
  <c r="L836" i="1" s="1"/>
  <c r="AM836" i="1"/>
  <c r="Y836" i="1"/>
  <c r="I836" i="1"/>
  <c r="AL836" i="1"/>
  <c r="W836" i="1"/>
  <c r="H836" i="1"/>
  <c r="AT836" i="1" s="1"/>
  <c r="AY836" i="1"/>
  <c r="AK836" i="1"/>
  <c r="U836" i="1"/>
  <c r="G836" i="1"/>
  <c r="AI836" i="1"/>
  <c r="T836" i="1"/>
  <c r="F836" i="1"/>
  <c r="AL871" i="1"/>
  <c r="Z871" i="1"/>
  <c r="N871" i="1"/>
  <c r="AK871" i="1"/>
  <c r="Y871" i="1"/>
  <c r="M871" i="1"/>
  <c r="AJ871" i="1"/>
  <c r="X871" i="1"/>
  <c r="AI871" i="1"/>
  <c r="W871" i="1"/>
  <c r="K871" i="1"/>
  <c r="L871" i="1" s="1"/>
  <c r="AH871" i="1"/>
  <c r="V871" i="1"/>
  <c r="J871" i="1"/>
  <c r="AS871" i="1"/>
  <c r="AG871" i="1"/>
  <c r="U871" i="1"/>
  <c r="I871" i="1"/>
  <c r="AR871" i="1"/>
  <c r="AF871" i="1"/>
  <c r="T871" i="1"/>
  <c r="H871" i="1"/>
  <c r="AT871" i="1" s="1"/>
  <c r="AQ871" i="1"/>
  <c r="AE871" i="1"/>
  <c r="S871" i="1"/>
  <c r="G871" i="1"/>
  <c r="AP871" i="1"/>
  <c r="AD871" i="1"/>
  <c r="R871" i="1"/>
  <c r="F871" i="1"/>
  <c r="AO871" i="1"/>
  <c r="Q871" i="1"/>
  <c r="E871" i="1"/>
  <c r="AN871" i="1"/>
  <c r="AB871" i="1"/>
  <c r="D871" i="1"/>
  <c r="AY871" i="1"/>
  <c r="AM871" i="1"/>
  <c r="AA871" i="1"/>
  <c r="O871" i="1"/>
  <c r="P871" i="1" s="1"/>
  <c r="AH867" i="1"/>
  <c r="V867" i="1"/>
  <c r="J867" i="1"/>
  <c r="AS867" i="1"/>
  <c r="AG867" i="1"/>
  <c r="U867" i="1"/>
  <c r="I867" i="1"/>
  <c r="AR867" i="1"/>
  <c r="AF867" i="1"/>
  <c r="T867" i="1"/>
  <c r="H867" i="1"/>
  <c r="AT867" i="1" s="1"/>
  <c r="AQ867" i="1"/>
  <c r="AE867" i="1"/>
  <c r="S867" i="1"/>
  <c r="G867" i="1"/>
  <c r="AP867" i="1"/>
  <c r="AD867" i="1"/>
  <c r="R867" i="1"/>
  <c r="F867" i="1"/>
  <c r="AO867" i="1"/>
  <c r="Q867" i="1"/>
  <c r="E867" i="1"/>
  <c r="AN867" i="1"/>
  <c r="AB867" i="1"/>
  <c r="D867" i="1"/>
  <c r="AY867" i="1"/>
  <c r="AM867" i="1"/>
  <c r="AA867" i="1"/>
  <c r="O867" i="1"/>
  <c r="P867" i="1" s="1"/>
  <c r="AL867" i="1"/>
  <c r="Z867" i="1"/>
  <c r="N867" i="1"/>
  <c r="AK867" i="1"/>
  <c r="Y867" i="1"/>
  <c r="M867" i="1"/>
  <c r="AJ867" i="1"/>
  <c r="X867" i="1"/>
  <c r="AI867" i="1"/>
  <c r="W867" i="1"/>
  <c r="K867" i="1"/>
  <c r="L867" i="1" s="1"/>
  <c r="AP851" i="1"/>
  <c r="AD851" i="1"/>
  <c r="R851" i="1"/>
  <c r="F851" i="1"/>
  <c r="AO851" i="1"/>
  <c r="Q851" i="1"/>
  <c r="E851" i="1"/>
  <c r="AN851" i="1"/>
  <c r="AB851" i="1"/>
  <c r="D851" i="1"/>
  <c r="AY851" i="1"/>
  <c r="AM851" i="1"/>
  <c r="AA851" i="1"/>
  <c r="O851" i="1"/>
  <c r="P851" i="1" s="1"/>
  <c r="AL851" i="1"/>
  <c r="Z851" i="1"/>
  <c r="N851" i="1"/>
  <c r="AK851" i="1"/>
  <c r="Y851" i="1"/>
  <c r="M851" i="1"/>
  <c r="AJ851" i="1"/>
  <c r="X851" i="1"/>
  <c r="AI851" i="1"/>
  <c r="W851" i="1"/>
  <c r="K851" i="1"/>
  <c r="L851" i="1" s="1"/>
  <c r="AH851" i="1"/>
  <c r="V851" i="1"/>
  <c r="AR851" i="1"/>
  <c r="AF851" i="1"/>
  <c r="T851" i="1"/>
  <c r="H851" i="1"/>
  <c r="AT851" i="1" s="1"/>
  <c r="AQ851" i="1"/>
  <c r="AE851" i="1"/>
  <c r="S851" i="1"/>
  <c r="G851" i="1"/>
  <c r="I851" i="1"/>
  <c r="AS851" i="1"/>
  <c r="AG851" i="1"/>
  <c r="U851" i="1"/>
  <c r="J851" i="1"/>
  <c r="AP878" i="1"/>
  <c r="AD878" i="1"/>
  <c r="R878" i="1"/>
  <c r="F878" i="1"/>
  <c r="AN878" i="1"/>
  <c r="AB878" i="1"/>
  <c r="D878" i="1"/>
  <c r="AH878" i="1"/>
  <c r="T878" i="1"/>
  <c r="E878" i="1"/>
  <c r="AG878" i="1"/>
  <c r="S878" i="1"/>
  <c r="AF878" i="1"/>
  <c r="Q878" i="1"/>
  <c r="AS878" i="1"/>
  <c r="AE878" i="1"/>
  <c r="O878" i="1"/>
  <c r="P878" i="1" s="1"/>
  <c r="AR878" i="1"/>
  <c r="N878" i="1"/>
  <c r="AQ878" i="1"/>
  <c r="AA878" i="1"/>
  <c r="M878" i="1"/>
  <c r="AO878" i="1"/>
  <c r="Z878" i="1"/>
  <c r="AM878" i="1"/>
  <c r="Y878" i="1"/>
  <c r="K878" i="1"/>
  <c r="L878" i="1" s="1"/>
  <c r="AL878" i="1"/>
  <c r="X878" i="1"/>
  <c r="J878" i="1"/>
  <c r="AY878" i="1"/>
  <c r="AK878" i="1"/>
  <c r="W878" i="1"/>
  <c r="I878" i="1"/>
  <c r="AJ878" i="1"/>
  <c r="V878" i="1"/>
  <c r="H878" i="1"/>
  <c r="AT878" i="1" s="1"/>
  <c r="AI878" i="1"/>
  <c r="U878" i="1"/>
  <c r="G878" i="1"/>
  <c r="AH894" i="1"/>
  <c r="V894" i="1"/>
  <c r="J894" i="1"/>
  <c r="AS894" i="1"/>
  <c r="AG894" i="1"/>
  <c r="U894" i="1"/>
  <c r="I894" i="1"/>
  <c r="AR894" i="1"/>
  <c r="AF894" i="1"/>
  <c r="T894" i="1"/>
  <c r="H894" i="1"/>
  <c r="AT894" i="1" s="1"/>
  <c r="AQ894" i="1"/>
  <c r="AE894" i="1"/>
  <c r="S894" i="1"/>
  <c r="G894" i="1"/>
  <c r="AP894" i="1"/>
  <c r="AD894" i="1"/>
  <c r="R894" i="1"/>
  <c r="F894" i="1"/>
  <c r="AO894" i="1"/>
  <c r="Q894" i="1"/>
  <c r="E894" i="1"/>
  <c r="AN894" i="1"/>
  <c r="AB894" i="1"/>
  <c r="D894" i="1"/>
  <c r="AY894" i="1"/>
  <c r="AM894" i="1"/>
  <c r="AA894" i="1"/>
  <c r="O894" i="1"/>
  <c r="P894" i="1" s="1"/>
  <c r="AL894" i="1"/>
  <c r="Z894" i="1"/>
  <c r="N894" i="1"/>
  <c r="AK894" i="1"/>
  <c r="Y894" i="1"/>
  <c r="M894" i="1"/>
  <c r="AJ894" i="1"/>
  <c r="X894" i="1"/>
  <c r="AI894" i="1"/>
  <c r="W894" i="1"/>
  <c r="K894" i="1"/>
  <c r="L894" i="1" s="1"/>
  <c r="AP896" i="1"/>
  <c r="AD896" i="1"/>
  <c r="R896" i="1"/>
  <c r="F896" i="1"/>
  <c r="AO896" i="1"/>
  <c r="Q896" i="1"/>
  <c r="E896" i="1"/>
  <c r="AN896" i="1"/>
  <c r="AB896" i="1"/>
  <c r="D896" i="1"/>
  <c r="AY896" i="1"/>
  <c r="AM896" i="1"/>
  <c r="AA896" i="1"/>
  <c r="O896" i="1"/>
  <c r="P896" i="1" s="1"/>
  <c r="AL896" i="1"/>
  <c r="Z896" i="1"/>
  <c r="N896" i="1"/>
  <c r="AK896" i="1"/>
  <c r="Y896" i="1"/>
  <c r="M896" i="1"/>
  <c r="AJ896" i="1"/>
  <c r="X896" i="1"/>
  <c r="AI896" i="1"/>
  <c r="W896" i="1"/>
  <c r="K896" i="1"/>
  <c r="L896" i="1" s="1"/>
  <c r="AH896" i="1"/>
  <c r="V896" i="1"/>
  <c r="J896" i="1"/>
  <c r="AS896" i="1"/>
  <c r="AG896" i="1"/>
  <c r="U896" i="1"/>
  <c r="I896" i="1"/>
  <c r="AR896" i="1"/>
  <c r="AF896" i="1"/>
  <c r="T896" i="1"/>
  <c r="H896" i="1"/>
  <c r="AT896" i="1" s="1"/>
  <c r="AQ896" i="1"/>
  <c r="AE896" i="1"/>
  <c r="S896" i="1"/>
  <c r="G896" i="1"/>
  <c r="AL926" i="1"/>
  <c r="Z926" i="1"/>
  <c r="N926" i="1"/>
  <c r="AK926" i="1"/>
  <c r="Y926" i="1"/>
  <c r="M926" i="1"/>
  <c r="AJ926" i="1"/>
  <c r="X926" i="1"/>
  <c r="AI926" i="1"/>
  <c r="W926" i="1"/>
  <c r="K926" i="1"/>
  <c r="L926" i="1" s="1"/>
  <c r="AH926" i="1"/>
  <c r="V926" i="1"/>
  <c r="J926" i="1"/>
  <c r="AS926" i="1"/>
  <c r="AG926" i="1"/>
  <c r="U926" i="1"/>
  <c r="I926" i="1"/>
  <c r="AR926" i="1"/>
  <c r="AF926" i="1"/>
  <c r="T926" i="1"/>
  <c r="H926" i="1"/>
  <c r="AT926" i="1" s="1"/>
  <c r="AQ926" i="1"/>
  <c r="AE926" i="1"/>
  <c r="S926" i="1"/>
  <c r="G926" i="1"/>
  <c r="AP926" i="1"/>
  <c r="AD926" i="1"/>
  <c r="R926" i="1"/>
  <c r="F926" i="1"/>
  <c r="AO926" i="1"/>
  <c r="Q926" i="1"/>
  <c r="E926" i="1"/>
  <c r="AN926" i="1"/>
  <c r="AB926" i="1"/>
  <c r="D926" i="1"/>
  <c r="AY926" i="1"/>
  <c r="AM926" i="1"/>
  <c r="AA926" i="1"/>
  <c r="O926" i="1"/>
  <c r="P926" i="1" s="1"/>
  <c r="AH928" i="1"/>
  <c r="V928" i="1"/>
  <c r="J928" i="1"/>
  <c r="AS928" i="1"/>
  <c r="AG928" i="1"/>
  <c r="U928" i="1"/>
  <c r="I928" i="1"/>
  <c r="AR928" i="1"/>
  <c r="AF928" i="1"/>
  <c r="T928" i="1"/>
  <c r="H928" i="1"/>
  <c r="AT928" i="1" s="1"/>
  <c r="AQ928" i="1"/>
  <c r="AE928" i="1"/>
  <c r="S928" i="1"/>
  <c r="G928" i="1"/>
  <c r="AP928" i="1"/>
  <c r="AD928" i="1"/>
  <c r="R928" i="1"/>
  <c r="F928" i="1"/>
  <c r="AO928" i="1"/>
  <c r="Q928" i="1"/>
  <c r="E928" i="1"/>
  <c r="AN928" i="1"/>
  <c r="AB928" i="1"/>
  <c r="D928" i="1"/>
  <c r="AY928" i="1"/>
  <c r="AM928" i="1"/>
  <c r="AA928" i="1"/>
  <c r="O928" i="1"/>
  <c r="P928" i="1" s="1"/>
  <c r="AL928" i="1"/>
  <c r="Z928" i="1"/>
  <c r="N928" i="1"/>
  <c r="AK928" i="1"/>
  <c r="Y928" i="1"/>
  <c r="M928" i="1"/>
  <c r="AJ928" i="1"/>
  <c r="X928" i="1"/>
  <c r="AI928" i="1"/>
  <c r="W928" i="1"/>
  <c r="K928" i="1"/>
  <c r="L928" i="1" s="1"/>
  <c r="AR942" i="1"/>
  <c r="AF942" i="1"/>
  <c r="T942" i="1"/>
  <c r="H942" i="1"/>
  <c r="AT942" i="1" s="1"/>
  <c r="AK942" i="1"/>
  <c r="Y942" i="1"/>
  <c r="M942" i="1"/>
  <c r="AH942" i="1"/>
  <c r="S942" i="1"/>
  <c r="E942" i="1"/>
  <c r="AG942" i="1"/>
  <c r="R942" i="1"/>
  <c r="D942" i="1"/>
  <c r="AE942" i="1"/>
  <c r="Q942" i="1"/>
  <c r="AS942" i="1"/>
  <c r="AD942" i="1"/>
  <c r="AQ942" i="1"/>
  <c r="O942" i="1"/>
  <c r="P942" i="1" s="1"/>
  <c r="AP942" i="1"/>
  <c r="AB942" i="1"/>
  <c r="N942" i="1"/>
  <c r="AO942" i="1"/>
  <c r="AA942" i="1"/>
  <c r="AN942" i="1"/>
  <c r="Z942" i="1"/>
  <c r="K942" i="1"/>
  <c r="L942" i="1" s="1"/>
  <c r="AM942" i="1"/>
  <c r="X942" i="1"/>
  <c r="J942" i="1"/>
  <c r="AY942" i="1"/>
  <c r="AL942" i="1"/>
  <c r="W942" i="1"/>
  <c r="I942" i="1"/>
  <c r="AJ942" i="1"/>
  <c r="V942" i="1"/>
  <c r="G942" i="1"/>
  <c r="AI942" i="1"/>
  <c r="U942" i="1"/>
  <c r="F942" i="1"/>
  <c r="AK973" i="1"/>
  <c r="Y973" i="1"/>
  <c r="M973" i="1"/>
  <c r="AR973" i="1"/>
  <c r="AF973" i="1"/>
  <c r="T973" i="1"/>
  <c r="H973" i="1"/>
  <c r="AT973" i="1" s="1"/>
  <c r="AP973" i="1"/>
  <c r="AB973" i="1"/>
  <c r="N973" i="1"/>
  <c r="AO973" i="1"/>
  <c r="AA973" i="1"/>
  <c r="AN973" i="1"/>
  <c r="Z973" i="1"/>
  <c r="K973" i="1"/>
  <c r="L973" i="1" s="1"/>
  <c r="AM973" i="1"/>
  <c r="X973" i="1"/>
  <c r="J973" i="1"/>
  <c r="AY973" i="1"/>
  <c r="AL973" i="1"/>
  <c r="W973" i="1"/>
  <c r="I973" i="1"/>
  <c r="AJ973" i="1"/>
  <c r="V973" i="1"/>
  <c r="G973" i="1"/>
  <c r="AI973" i="1"/>
  <c r="U973" i="1"/>
  <c r="F973" i="1"/>
  <c r="AH973" i="1"/>
  <c r="S973" i="1"/>
  <c r="E973" i="1"/>
  <c r="AG973" i="1"/>
  <c r="R973" i="1"/>
  <c r="D973" i="1"/>
  <c r="AE973" i="1"/>
  <c r="Q973" i="1"/>
  <c r="AS973" i="1"/>
  <c r="AD973" i="1"/>
  <c r="AQ973" i="1"/>
  <c r="O973" i="1"/>
  <c r="P973" i="1" s="1"/>
  <c r="AR960" i="1"/>
  <c r="AF960" i="1"/>
  <c r="T960" i="1"/>
  <c r="H960" i="1"/>
  <c r="AT960" i="1" s="1"/>
  <c r="AQ960" i="1"/>
  <c r="AE960" i="1"/>
  <c r="S960" i="1"/>
  <c r="G960" i="1"/>
  <c r="AP960" i="1"/>
  <c r="AD960" i="1"/>
  <c r="R960" i="1"/>
  <c r="F960" i="1"/>
  <c r="AO960" i="1"/>
  <c r="Q960" i="1"/>
  <c r="E960" i="1"/>
  <c r="AN960" i="1"/>
  <c r="AB960" i="1"/>
  <c r="D960" i="1"/>
  <c r="AY960" i="1"/>
  <c r="AM960" i="1"/>
  <c r="AA960" i="1"/>
  <c r="O960" i="1"/>
  <c r="P960" i="1" s="1"/>
  <c r="AL960" i="1"/>
  <c r="Z960" i="1"/>
  <c r="N960" i="1"/>
  <c r="AK960" i="1"/>
  <c r="Y960" i="1"/>
  <c r="M960" i="1"/>
  <c r="AJ960" i="1"/>
  <c r="X960" i="1"/>
  <c r="AI960" i="1"/>
  <c r="W960" i="1"/>
  <c r="K960" i="1"/>
  <c r="L960" i="1" s="1"/>
  <c r="AH960" i="1"/>
  <c r="V960" i="1"/>
  <c r="J960" i="1"/>
  <c r="AS960" i="1"/>
  <c r="AG960" i="1"/>
  <c r="U960" i="1"/>
  <c r="I960" i="1"/>
  <c r="AK991" i="1"/>
  <c r="Y991" i="1"/>
  <c r="M991" i="1"/>
  <c r="AJ991" i="1"/>
  <c r="X991" i="1"/>
  <c r="AI991" i="1"/>
  <c r="W991" i="1"/>
  <c r="K991" i="1"/>
  <c r="L991" i="1" s="1"/>
  <c r="AH991" i="1"/>
  <c r="V991" i="1"/>
  <c r="J991" i="1"/>
  <c r="AS991" i="1"/>
  <c r="AG991" i="1"/>
  <c r="U991" i="1"/>
  <c r="I991" i="1"/>
  <c r="AR991" i="1"/>
  <c r="AF991" i="1"/>
  <c r="T991" i="1"/>
  <c r="H991" i="1"/>
  <c r="AT991" i="1" s="1"/>
  <c r="AQ991" i="1"/>
  <c r="AE991" i="1"/>
  <c r="S991" i="1"/>
  <c r="G991" i="1"/>
  <c r="AP991" i="1"/>
  <c r="AD991" i="1"/>
  <c r="R991" i="1"/>
  <c r="F991" i="1"/>
  <c r="AO991" i="1"/>
  <c r="Q991" i="1"/>
  <c r="E991" i="1"/>
  <c r="AN991" i="1"/>
  <c r="AB991" i="1"/>
  <c r="D991" i="1"/>
  <c r="AY991" i="1"/>
  <c r="AM991" i="1"/>
  <c r="AA991" i="1"/>
  <c r="O991" i="1"/>
  <c r="P991" i="1" s="1"/>
  <c r="AL991" i="1"/>
  <c r="Z991" i="1"/>
  <c r="N991" i="1"/>
  <c r="AL1003" i="1"/>
  <c r="Z1003" i="1"/>
  <c r="N1003" i="1"/>
  <c r="AH1003" i="1"/>
  <c r="V1003" i="1"/>
  <c r="J1003" i="1"/>
  <c r="AS1003" i="1"/>
  <c r="AG1003" i="1"/>
  <c r="U1003" i="1"/>
  <c r="AN1003" i="1"/>
  <c r="AB1003" i="1"/>
  <c r="D1003" i="1"/>
  <c r="AE1003" i="1"/>
  <c r="M1003" i="1"/>
  <c r="AD1003" i="1"/>
  <c r="K1003" i="1"/>
  <c r="L1003" i="1" s="1"/>
  <c r="AR1003" i="1"/>
  <c r="AA1003" i="1"/>
  <c r="I1003" i="1"/>
  <c r="AQ1003" i="1"/>
  <c r="Y1003" i="1"/>
  <c r="H1003" i="1"/>
  <c r="AT1003" i="1" s="1"/>
  <c r="AP1003" i="1"/>
  <c r="X1003" i="1"/>
  <c r="G1003" i="1"/>
  <c r="AO1003" i="1"/>
  <c r="W1003" i="1"/>
  <c r="F1003" i="1"/>
  <c r="AM1003" i="1"/>
  <c r="T1003" i="1"/>
  <c r="E1003" i="1"/>
  <c r="AK1003" i="1"/>
  <c r="S1003" i="1"/>
  <c r="AJ1003" i="1"/>
  <c r="R1003" i="1"/>
  <c r="AY1003" i="1"/>
  <c r="AI1003" i="1"/>
  <c r="Q1003" i="1"/>
  <c r="AF1003" i="1"/>
  <c r="O1003" i="1"/>
  <c r="P1003" i="1" s="1"/>
  <c r="AO989" i="1"/>
  <c r="Q989" i="1"/>
  <c r="E989" i="1"/>
  <c r="AN989" i="1"/>
  <c r="AB989" i="1"/>
  <c r="D989" i="1"/>
  <c r="AY989" i="1"/>
  <c r="AM989" i="1"/>
  <c r="AA989" i="1"/>
  <c r="O989" i="1"/>
  <c r="P989" i="1" s="1"/>
  <c r="AL989" i="1"/>
  <c r="Z989" i="1"/>
  <c r="N989" i="1"/>
  <c r="AK989" i="1"/>
  <c r="Y989" i="1"/>
  <c r="M989" i="1"/>
  <c r="AJ989" i="1"/>
  <c r="X989" i="1"/>
  <c r="AI989" i="1"/>
  <c r="W989" i="1"/>
  <c r="K989" i="1"/>
  <c r="L989" i="1" s="1"/>
  <c r="AH989" i="1"/>
  <c r="V989" i="1"/>
  <c r="J989" i="1"/>
  <c r="AS989" i="1"/>
  <c r="AG989" i="1"/>
  <c r="U989" i="1"/>
  <c r="I989" i="1"/>
  <c r="AR989" i="1"/>
  <c r="AF989" i="1"/>
  <c r="T989" i="1"/>
  <c r="H989" i="1"/>
  <c r="AT989" i="1" s="1"/>
  <c r="AQ989" i="1"/>
  <c r="AE989" i="1"/>
  <c r="S989" i="1"/>
  <c r="G989" i="1"/>
  <c r="F989" i="1"/>
  <c r="AP989" i="1"/>
  <c r="AD989" i="1"/>
  <c r="R989" i="1"/>
  <c r="AJ1010" i="1"/>
  <c r="X1010" i="1"/>
  <c r="AI1010" i="1"/>
  <c r="W1010" i="1"/>
  <c r="K1010" i="1"/>
  <c r="L1010" i="1" s="1"/>
  <c r="AR1010" i="1"/>
  <c r="AF1010" i="1"/>
  <c r="T1010" i="1"/>
  <c r="H1010" i="1"/>
  <c r="AT1010" i="1" s="1"/>
  <c r="AQ1010" i="1"/>
  <c r="AE1010" i="1"/>
  <c r="S1010" i="1"/>
  <c r="G1010" i="1"/>
  <c r="AP1010" i="1"/>
  <c r="AD1010" i="1"/>
  <c r="R1010" i="1"/>
  <c r="F1010" i="1"/>
  <c r="AO1010" i="1"/>
  <c r="Q1010" i="1"/>
  <c r="E1010" i="1"/>
  <c r="AN1010" i="1"/>
  <c r="AB1010" i="1"/>
  <c r="D1010" i="1"/>
  <c r="AY1010" i="1"/>
  <c r="AM1010" i="1"/>
  <c r="AA1010" i="1"/>
  <c r="O1010" i="1"/>
  <c r="P1010" i="1" s="1"/>
  <c r="AL1010" i="1"/>
  <c r="Z1010" i="1"/>
  <c r="N1010" i="1"/>
  <c r="Y1010" i="1"/>
  <c r="V1010" i="1"/>
  <c r="U1010" i="1"/>
  <c r="M1010" i="1"/>
  <c r="J1010" i="1"/>
  <c r="I1010" i="1"/>
  <c r="AS1010" i="1"/>
  <c r="AK1010" i="1"/>
  <c r="AH1010" i="1"/>
  <c r="AG1010" i="1"/>
  <c r="AL1035" i="1"/>
  <c r="Z1035" i="1"/>
  <c r="N1035" i="1"/>
  <c r="AK1035" i="1"/>
  <c r="Y1035" i="1"/>
  <c r="M1035" i="1"/>
  <c r="AJ1035" i="1"/>
  <c r="X1035" i="1"/>
  <c r="AI1035" i="1"/>
  <c r="W1035" i="1"/>
  <c r="K1035" i="1"/>
  <c r="L1035" i="1" s="1"/>
  <c r="AH1035" i="1"/>
  <c r="V1035" i="1"/>
  <c r="J1035" i="1"/>
  <c r="AS1035" i="1"/>
  <c r="AG1035" i="1"/>
  <c r="U1035" i="1"/>
  <c r="I1035" i="1"/>
  <c r="AR1035" i="1"/>
  <c r="AF1035" i="1"/>
  <c r="T1035" i="1"/>
  <c r="H1035" i="1"/>
  <c r="AT1035" i="1" s="1"/>
  <c r="AQ1035" i="1"/>
  <c r="AE1035" i="1"/>
  <c r="S1035" i="1"/>
  <c r="G1035" i="1"/>
  <c r="AP1035" i="1"/>
  <c r="AD1035" i="1"/>
  <c r="R1035" i="1"/>
  <c r="F1035" i="1"/>
  <c r="AO1035" i="1"/>
  <c r="Q1035" i="1"/>
  <c r="E1035" i="1"/>
  <c r="AN1035" i="1"/>
  <c r="AB1035" i="1"/>
  <c r="D1035" i="1"/>
  <c r="AA1035" i="1"/>
  <c r="AY1035" i="1"/>
  <c r="AM1035" i="1"/>
  <c r="O1035" i="1"/>
  <c r="P1035" i="1" s="1"/>
  <c r="AI1053" i="1"/>
  <c r="W1053" i="1"/>
  <c r="K1053" i="1"/>
  <c r="L1053" i="1" s="1"/>
  <c r="AH1053" i="1"/>
  <c r="V1053" i="1"/>
  <c r="AS1053" i="1"/>
  <c r="AG1053" i="1"/>
  <c r="U1053" i="1"/>
  <c r="AR1053" i="1"/>
  <c r="AF1053" i="1"/>
  <c r="T1053" i="1"/>
  <c r="H1053" i="1"/>
  <c r="AT1053" i="1" s="1"/>
  <c r="AQ1053" i="1"/>
  <c r="AE1053" i="1"/>
  <c r="S1053" i="1"/>
  <c r="AP1053" i="1"/>
  <c r="AD1053" i="1"/>
  <c r="AN1053" i="1"/>
  <c r="AB1053" i="1"/>
  <c r="D1053" i="1"/>
  <c r="AK1053" i="1"/>
  <c r="AJ1053" i="1"/>
  <c r="J1053" i="1"/>
  <c r="I1053" i="1"/>
  <c r="AA1053" i="1"/>
  <c r="G1053" i="1"/>
  <c r="Z1053" i="1"/>
  <c r="F1053" i="1"/>
  <c r="AY1053" i="1"/>
  <c r="Y1053" i="1"/>
  <c r="E1053" i="1"/>
  <c r="X1053" i="1"/>
  <c r="R1053" i="1"/>
  <c r="Q1053" i="1"/>
  <c r="AO1053" i="1"/>
  <c r="O1053" i="1"/>
  <c r="P1053" i="1" s="1"/>
  <c r="AM1053" i="1"/>
  <c r="N1053" i="1"/>
  <c r="M1053" i="1"/>
  <c r="AL1053" i="1"/>
  <c r="AK1058" i="1"/>
  <c r="Y1058" i="1"/>
  <c r="M1058" i="1"/>
  <c r="AJ1058" i="1"/>
  <c r="X1058" i="1"/>
  <c r="AI1058" i="1"/>
  <c r="W1058" i="1"/>
  <c r="K1058" i="1"/>
  <c r="L1058" i="1" s="1"/>
  <c r="AH1058" i="1"/>
  <c r="V1058" i="1"/>
  <c r="J1058" i="1"/>
  <c r="AS1058" i="1"/>
  <c r="AG1058" i="1"/>
  <c r="U1058" i="1"/>
  <c r="I1058" i="1"/>
  <c r="AR1058" i="1"/>
  <c r="AF1058" i="1"/>
  <c r="T1058" i="1"/>
  <c r="H1058" i="1"/>
  <c r="AT1058" i="1" s="1"/>
  <c r="AQ1058" i="1"/>
  <c r="AE1058" i="1"/>
  <c r="S1058" i="1"/>
  <c r="G1058" i="1"/>
  <c r="AP1058" i="1"/>
  <c r="AD1058" i="1"/>
  <c r="R1058" i="1"/>
  <c r="F1058" i="1"/>
  <c r="AO1058" i="1"/>
  <c r="Q1058" i="1"/>
  <c r="E1058" i="1"/>
  <c r="AN1058" i="1"/>
  <c r="AB1058" i="1"/>
  <c r="D1058" i="1"/>
  <c r="AY1058" i="1"/>
  <c r="AM1058" i="1"/>
  <c r="AA1058" i="1"/>
  <c r="O1058" i="1"/>
  <c r="P1058" i="1" s="1"/>
  <c r="AL1058" i="1"/>
  <c r="Z1058" i="1"/>
  <c r="N1058" i="1"/>
  <c r="AQ1061" i="1"/>
  <c r="AE1061" i="1"/>
  <c r="S1061" i="1"/>
  <c r="G1061" i="1"/>
  <c r="AP1061" i="1"/>
  <c r="AD1061" i="1"/>
  <c r="R1061" i="1"/>
  <c r="F1061" i="1"/>
  <c r="AO1061" i="1"/>
  <c r="Q1061" i="1"/>
  <c r="E1061" i="1"/>
  <c r="AN1061" i="1"/>
  <c r="AB1061" i="1"/>
  <c r="D1061" i="1"/>
  <c r="AY1061" i="1"/>
  <c r="AM1061" i="1"/>
  <c r="AA1061" i="1"/>
  <c r="O1061" i="1"/>
  <c r="P1061" i="1" s="1"/>
  <c r="AL1061" i="1"/>
  <c r="Z1061" i="1"/>
  <c r="N1061" i="1"/>
  <c r="AK1061" i="1"/>
  <c r="Y1061" i="1"/>
  <c r="M1061" i="1"/>
  <c r="AJ1061" i="1"/>
  <c r="X1061" i="1"/>
  <c r="AI1061" i="1"/>
  <c r="W1061" i="1"/>
  <c r="K1061" i="1"/>
  <c r="L1061" i="1" s="1"/>
  <c r="AH1061" i="1"/>
  <c r="V1061" i="1"/>
  <c r="J1061" i="1"/>
  <c r="AS1061" i="1"/>
  <c r="AG1061" i="1"/>
  <c r="U1061" i="1"/>
  <c r="I1061" i="1"/>
  <c r="AR1061" i="1"/>
  <c r="AF1061" i="1"/>
  <c r="T1061" i="1"/>
  <c r="H1061" i="1"/>
  <c r="AT1061" i="1" s="1"/>
  <c r="AJ1079" i="1"/>
  <c r="X1079" i="1"/>
  <c r="AI1079" i="1"/>
  <c r="W1079" i="1"/>
  <c r="K1079" i="1"/>
  <c r="L1079" i="1" s="1"/>
  <c r="AH1079" i="1"/>
  <c r="V1079" i="1"/>
  <c r="J1079" i="1"/>
  <c r="AS1079" i="1"/>
  <c r="AG1079" i="1"/>
  <c r="U1079" i="1"/>
  <c r="I1079" i="1"/>
  <c r="AR1079" i="1"/>
  <c r="AF1079" i="1"/>
  <c r="T1079" i="1"/>
  <c r="H1079" i="1"/>
  <c r="AT1079" i="1" s="1"/>
  <c r="AQ1079" i="1"/>
  <c r="AE1079" i="1"/>
  <c r="S1079" i="1"/>
  <c r="G1079" i="1"/>
  <c r="AP1079" i="1"/>
  <c r="AD1079" i="1"/>
  <c r="R1079" i="1"/>
  <c r="F1079" i="1"/>
  <c r="AO1079" i="1"/>
  <c r="Q1079" i="1"/>
  <c r="E1079" i="1"/>
  <c r="AN1079" i="1"/>
  <c r="AB1079" i="1"/>
  <c r="D1079" i="1"/>
  <c r="AY1079" i="1"/>
  <c r="AM1079" i="1"/>
  <c r="AA1079" i="1"/>
  <c r="O1079" i="1"/>
  <c r="P1079" i="1" s="1"/>
  <c r="AL1079" i="1"/>
  <c r="Z1079" i="1"/>
  <c r="N1079" i="1"/>
  <c r="AK1079" i="1"/>
  <c r="Y1079" i="1"/>
  <c r="M1079" i="1"/>
  <c r="AR1082" i="1"/>
  <c r="AF1082" i="1"/>
  <c r="T1082" i="1"/>
  <c r="AS1082" i="1"/>
  <c r="AE1082" i="1"/>
  <c r="R1082" i="1"/>
  <c r="F1082" i="1"/>
  <c r="AQ1082" i="1"/>
  <c r="AD1082" i="1"/>
  <c r="Q1082" i="1"/>
  <c r="E1082" i="1"/>
  <c r="AP1082" i="1"/>
  <c r="D1082" i="1"/>
  <c r="AO1082" i="1"/>
  <c r="AB1082" i="1"/>
  <c r="O1082" i="1"/>
  <c r="P1082" i="1" s="1"/>
  <c r="AN1082" i="1"/>
  <c r="AA1082" i="1"/>
  <c r="N1082" i="1"/>
  <c r="AM1082" i="1"/>
  <c r="Z1082" i="1"/>
  <c r="M1082" i="1"/>
  <c r="AY1082" i="1"/>
  <c r="AL1082" i="1"/>
  <c r="Y1082" i="1"/>
  <c r="AK1082" i="1"/>
  <c r="X1082" i="1"/>
  <c r="K1082" i="1"/>
  <c r="L1082" i="1" s="1"/>
  <c r="AJ1082" i="1"/>
  <c r="W1082" i="1"/>
  <c r="J1082" i="1"/>
  <c r="AI1082" i="1"/>
  <c r="V1082" i="1"/>
  <c r="I1082" i="1"/>
  <c r="AH1082" i="1"/>
  <c r="U1082" i="1"/>
  <c r="H1082" i="1"/>
  <c r="AT1082" i="1" s="1"/>
  <c r="S1082" i="1"/>
  <c r="G1082" i="1"/>
  <c r="AG1082" i="1"/>
  <c r="AH1115" i="1"/>
  <c r="V1115" i="1"/>
  <c r="J1115" i="1"/>
  <c r="AS1115" i="1"/>
  <c r="AG1115" i="1"/>
  <c r="U1115" i="1"/>
  <c r="I1115" i="1"/>
  <c r="AR1115" i="1"/>
  <c r="AF1115" i="1"/>
  <c r="T1115" i="1"/>
  <c r="H1115" i="1"/>
  <c r="AT1115" i="1" s="1"/>
  <c r="AQ1115" i="1"/>
  <c r="AE1115" i="1"/>
  <c r="S1115" i="1"/>
  <c r="G1115" i="1"/>
  <c r="AP1115" i="1"/>
  <c r="AD1115" i="1"/>
  <c r="R1115" i="1"/>
  <c r="F1115" i="1"/>
  <c r="AO1115" i="1"/>
  <c r="Q1115" i="1"/>
  <c r="E1115" i="1"/>
  <c r="AN1115" i="1"/>
  <c r="AB1115" i="1"/>
  <c r="D1115" i="1"/>
  <c r="AY1115" i="1"/>
  <c r="AM1115" i="1"/>
  <c r="AA1115" i="1"/>
  <c r="O1115" i="1"/>
  <c r="P1115" i="1" s="1"/>
  <c r="AL1115" i="1"/>
  <c r="Z1115" i="1"/>
  <c r="N1115" i="1"/>
  <c r="AJ1115" i="1"/>
  <c r="AI1115" i="1"/>
  <c r="Y1115" i="1"/>
  <c r="X1115" i="1"/>
  <c r="W1115" i="1"/>
  <c r="M1115" i="1"/>
  <c r="K1115" i="1"/>
  <c r="L1115" i="1" s="1"/>
  <c r="AK1115" i="1"/>
  <c r="AN1102" i="1"/>
  <c r="AB1102" i="1"/>
  <c r="D1102" i="1"/>
  <c r="AY1102" i="1"/>
  <c r="AM1102" i="1"/>
  <c r="AA1102" i="1"/>
  <c r="O1102" i="1"/>
  <c r="P1102" i="1" s="1"/>
  <c r="AL1102" i="1"/>
  <c r="Z1102" i="1"/>
  <c r="N1102" i="1"/>
  <c r="AK1102" i="1"/>
  <c r="Y1102" i="1"/>
  <c r="M1102" i="1"/>
  <c r="AJ1102" i="1"/>
  <c r="X1102" i="1"/>
  <c r="AI1102" i="1"/>
  <c r="W1102" i="1"/>
  <c r="K1102" i="1"/>
  <c r="L1102" i="1" s="1"/>
  <c r="AH1102" i="1"/>
  <c r="V1102" i="1"/>
  <c r="J1102" i="1"/>
  <c r="AS1102" i="1"/>
  <c r="AG1102" i="1"/>
  <c r="U1102" i="1"/>
  <c r="I1102" i="1"/>
  <c r="AR1102" i="1"/>
  <c r="AF1102" i="1"/>
  <c r="T1102" i="1"/>
  <c r="H1102" i="1"/>
  <c r="AT1102" i="1" s="1"/>
  <c r="AQ1102" i="1"/>
  <c r="AE1102" i="1"/>
  <c r="S1102" i="1"/>
  <c r="G1102" i="1"/>
  <c r="AP1102" i="1"/>
  <c r="AD1102" i="1"/>
  <c r="R1102" i="1"/>
  <c r="F1102" i="1"/>
  <c r="AO1102" i="1"/>
  <c r="Q1102" i="1"/>
  <c r="E1102" i="1"/>
  <c r="AR1116" i="1"/>
  <c r="AF1116" i="1"/>
  <c r="T1116" i="1"/>
  <c r="H1116" i="1"/>
  <c r="AT1116" i="1" s="1"/>
  <c r="AQ1116" i="1"/>
  <c r="AE1116" i="1"/>
  <c r="S1116" i="1"/>
  <c r="G1116" i="1"/>
  <c r="AP1116" i="1"/>
  <c r="AD1116" i="1"/>
  <c r="R1116" i="1"/>
  <c r="F1116" i="1"/>
  <c r="AO1116" i="1"/>
  <c r="Q1116" i="1"/>
  <c r="E1116" i="1"/>
  <c r="AN1116" i="1"/>
  <c r="AB1116" i="1"/>
  <c r="D1116" i="1"/>
  <c r="AY1116" i="1"/>
  <c r="AM1116" i="1"/>
  <c r="AA1116" i="1"/>
  <c r="O1116" i="1"/>
  <c r="P1116" i="1" s="1"/>
  <c r="AL1116" i="1"/>
  <c r="Z1116" i="1"/>
  <c r="N1116" i="1"/>
  <c r="AK1116" i="1"/>
  <c r="Y1116" i="1"/>
  <c r="M1116" i="1"/>
  <c r="AJ1116" i="1"/>
  <c r="X1116" i="1"/>
  <c r="AI1116" i="1"/>
  <c r="W1116" i="1"/>
  <c r="K1116" i="1"/>
  <c r="L1116" i="1" s="1"/>
  <c r="AH1116" i="1"/>
  <c r="V1116" i="1"/>
  <c r="J1116" i="1"/>
  <c r="AS1116" i="1"/>
  <c r="AG1116" i="1"/>
  <c r="U1116" i="1"/>
  <c r="I1116" i="1"/>
  <c r="AI1137" i="1"/>
  <c r="W1137" i="1"/>
  <c r="K1137" i="1"/>
  <c r="L1137" i="1" s="1"/>
  <c r="AH1137" i="1"/>
  <c r="V1137" i="1"/>
  <c r="J1137" i="1"/>
  <c r="AS1137" i="1"/>
  <c r="AG1137" i="1"/>
  <c r="U1137" i="1"/>
  <c r="I1137" i="1"/>
  <c r="AR1137" i="1"/>
  <c r="AF1137" i="1"/>
  <c r="T1137" i="1"/>
  <c r="H1137" i="1"/>
  <c r="AT1137" i="1" s="1"/>
  <c r="AQ1137" i="1"/>
  <c r="AE1137" i="1"/>
  <c r="S1137" i="1"/>
  <c r="G1137" i="1"/>
  <c r="AP1137" i="1"/>
  <c r="AD1137" i="1"/>
  <c r="R1137" i="1"/>
  <c r="F1137" i="1"/>
  <c r="AO1137" i="1"/>
  <c r="Q1137" i="1"/>
  <c r="E1137" i="1"/>
  <c r="AN1137" i="1"/>
  <c r="AB1137" i="1"/>
  <c r="D1137" i="1"/>
  <c r="AY1137" i="1"/>
  <c r="AM1137" i="1"/>
  <c r="AA1137" i="1"/>
  <c r="O1137" i="1"/>
  <c r="P1137" i="1" s="1"/>
  <c r="AL1137" i="1"/>
  <c r="Z1137" i="1"/>
  <c r="N1137" i="1"/>
  <c r="AK1137" i="1"/>
  <c r="Y1137" i="1"/>
  <c r="M1137" i="1"/>
  <c r="AJ1137" i="1"/>
  <c r="X1137" i="1"/>
  <c r="AK1164" i="1"/>
  <c r="Y1164" i="1"/>
  <c r="AN1164" i="1"/>
  <c r="AA1164" i="1"/>
  <c r="N1164" i="1"/>
  <c r="AY1164" i="1"/>
  <c r="AM1164" i="1"/>
  <c r="Z1164" i="1"/>
  <c r="M1164" i="1"/>
  <c r="AL1164" i="1"/>
  <c r="X1164" i="1"/>
  <c r="AJ1164" i="1"/>
  <c r="W1164" i="1"/>
  <c r="K1164" i="1"/>
  <c r="L1164" i="1" s="1"/>
  <c r="AI1164" i="1"/>
  <c r="V1164" i="1"/>
  <c r="J1164" i="1"/>
  <c r="AH1164" i="1"/>
  <c r="U1164" i="1"/>
  <c r="I1164" i="1"/>
  <c r="AG1164" i="1"/>
  <c r="T1164" i="1"/>
  <c r="H1164" i="1"/>
  <c r="AT1164" i="1" s="1"/>
  <c r="AS1164" i="1"/>
  <c r="AF1164" i="1"/>
  <c r="S1164" i="1"/>
  <c r="G1164" i="1"/>
  <c r="AR1164" i="1"/>
  <c r="AE1164" i="1"/>
  <c r="R1164" i="1"/>
  <c r="F1164" i="1"/>
  <c r="AQ1164" i="1"/>
  <c r="AD1164" i="1"/>
  <c r="Q1164" i="1"/>
  <c r="E1164" i="1"/>
  <c r="AP1164" i="1"/>
  <c r="D1164" i="1"/>
  <c r="AO1164" i="1"/>
  <c r="AB1164" i="1"/>
  <c r="O1164" i="1"/>
  <c r="P1164" i="1" s="1"/>
  <c r="AL1199" i="1"/>
  <c r="Z1199" i="1"/>
  <c r="N1199" i="1"/>
  <c r="AK1199" i="1"/>
  <c r="Y1199" i="1"/>
  <c r="M1199" i="1"/>
  <c r="AJ1199" i="1"/>
  <c r="X1199" i="1"/>
  <c r="AI1199" i="1"/>
  <c r="W1199" i="1"/>
  <c r="K1199" i="1"/>
  <c r="L1199" i="1" s="1"/>
  <c r="AH1199" i="1"/>
  <c r="V1199" i="1"/>
  <c r="J1199" i="1"/>
  <c r="AS1199" i="1"/>
  <c r="AG1199" i="1"/>
  <c r="U1199" i="1"/>
  <c r="I1199" i="1"/>
  <c r="AR1199" i="1"/>
  <c r="AF1199" i="1"/>
  <c r="T1199" i="1"/>
  <c r="H1199" i="1"/>
  <c r="AT1199" i="1" s="1"/>
  <c r="AQ1199" i="1"/>
  <c r="AE1199" i="1"/>
  <c r="S1199" i="1"/>
  <c r="G1199" i="1"/>
  <c r="AP1199" i="1"/>
  <c r="AD1199" i="1"/>
  <c r="R1199" i="1"/>
  <c r="F1199" i="1"/>
  <c r="AO1199" i="1"/>
  <c r="Q1199" i="1"/>
  <c r="E1199" i="1"/>
  <c r="AY1199" i="1"/>
  <c r="AN1199" i="1"/>
  <c r="AM1199" i="1"/>
  <c r="AB1199" i="1"/>
  <c r="AA1199" i="1"/>
  <c r="O1199" i="1"/>
  <c r="P1199" i="1" s="1"/>
  <c r="D1199" i="1"/>
  <c r="AQ1173" i="1"/>
  <c r="AE1173" i="1"/>
  <c r="S1173" i="1"/>
  <c r="G1173" i="1"/>
  <c r="AP1173" i="1"/>
  <c r="AD1173" i="1"/>
  <c r="R1173" i="1"/>
  <c r="F1173" i="1"/>
  <c r="AO1173" i="1"/>
  <c r="Q1173" i="1"/>
  <c r="E1173" i="1"/>
  <c r="AN1173" i="1"/>
  <c r="AB1173" i="1"/>
  <c r="D1173" i="1"/>
  <c r="AY1173" i="1"/>
  <c r="AM1173" i="1"/>
  <c r="AA1173" i="1"/>
  <c r="O1173" i="1"/>
  <c r="P1173" i="1" s="1"/>
  <c r="AL1173" i="1"/>
  <c r="Z1173" i="1"/>
  <c r="N1173" i="1"/>
  <c r="AK1173" i="1"/>
  <c r="Y1173" i="1"/>
  <c r="M1173" i="1"/>
  <c r="AF1173" i="1"/>
  <c r="X1173" i="1"/>
  <c r="W1173" i="1"/>
  <c r="V1173" i="1"/>
  <c r="U1173" i="1"/>
  <c r="AS1173" i="1"/>
  <c r="T1173" i="1"/>
  <c r="AR1173" i="1"/>
  <c r="AJ1173" i="1"/>
  <c r="K1173" i="1"/>
  <c r="L1173" i="1" s="1"/>
  <c r="AI1173" i="1"/>
  <c r="J1173" i="1"/>
  <c r="AH1173" i="1"/>
  <c r="I1173" i="1"/>
  <c r="AG1173" i="1"/>
  <c r="H1173" i="1"/>
  <c r="AT1173" i="1" s="1"/>
  <c r="AO1174" i="1"/>
  <c r="Q1174" i="1"/>
  <c r="E1174" i="1"/>
  <c r="AN1174" i="1"/>
  <c r="AB1174" i="1"/>
  <c r="D1174" i="1"/>
  <c r="AY1174" i="1"/>
  <c r="AM1174" i="1"/>
  <c r="AA1174" i="1"/>
  <c r="O1174" i="1"/>
  <c r="P1174" i="1" s="1"/>
  <c r="AL1174" i="1"/>
  <c r="Z1174" i="1"/>
  <c r="N1174" i="1"/>
  <c r="AK1174" i="1"/>
  <c r="Y1174" i="1"/>
  <c r="M1174" i="1"/>
  <c r="AJ1174" i="1"/>
  <c r="X1174" i="1"/>
  <c r="AI1174" i="1"/>
  <c r="W1174" i="1"/>
  <c r="K1174" i="1"/>
  <c r="L1174" i="1" s="1"/>
  <c r="AS1174" i="1"/>
  <c r="AG1174" i="1"/>
  <c r="U1174" i="1"/>
  <c r="I1174" i="1"/>
  <c r="AR1174" i="1"/>
  <c r="AP1174" i="1"/>
  <c r="G1174" i="1"/>
  <c r="AH1174" i="1"/>
  <c r="F1174" i="1"/>
  <c r="AF1174" i="1"/>
  <c r="AE1174" i="1"/>
  <c r="AD1174" i="1"/>
  <c r="V1174" i="1"/>
  <c r="T1174" i="1"/>
  <c r="S1174" i="1"/>
  <c r="R1174" i="1"/>
  <c r="J1174" i="1"/>
  <c r="AQ1174" i="1"/>
  <c r="H1174" i="1"/>
  <c r="AT1174" i="1" s="1"/>
  <c r="AP1197" i="1"/>
  <c r="AD1197" i="1"/>
  <c r="R1197" i="1"/>
  <c r="F1197" i="1"/>
  <c r="AO1197" i="1"/>
  <c r="Q1197" i="1"/>
  <c r="E1197" i="1"/>
  <c r="AN1197" i="1"/>
  <c r="AB1197" i="1"/>
  <c r="D1197" i="1"/>
  <c r="AY1197" i="1"/>
  <c r="AM1197" i="1"/>
  <c r="AA1197" i="1"/>
  <c r="O1197" i="1"/>
  <c r="P1197" i="1" s="1"/>
  <c r="AL1197" i="1"/>
  <c r="Z1197" i="1"/>
  <c r="N1197" i="1"/>
  <c r="AK1197" i="1"/>
  <c r="Y1197" i="1"/>
  <c r="M1197" i="1"/>
  <c r="AJ1197" i="1"/>
  <c r="X1197" i="1"/>
  <c r="AI1197" i="1"/>
  <c r="W1197" i="1"/>
  <c r="K1197" i="1"/>
  <c r="L1197" i="1" s="1"/>
  <c r="AH1197" i="1"/>
  <c r="V1197" i="1"/>
  <c r="J1197" i="1"/>
  <c r="AS1197" i="1"/>
  <c r="AG1197" i="1"/>
  <c r="U1197" i="1"/>
  <c r="I1197" i="1"/>
  <c r="AR1197" i="1"/>
  <c r="AQ1197" i="1"/>
  <c r="AF1197" i="1"/>
  <c r="AE1197" i="1"/>
  <c r="T1197" i="1"/>
  <c r="S1197" i="1"/>
  <c r="H1197" i="1"/>
  <c r="AT1197" i="1" s="1"/>
  <c r="G1197" i="1"/>
  <c r="AL18" i="1"/>
  <c r="AS18" i="1"/>
  <c r="I18" i="1"/>
  <c r="H18" i="1"/>
  <c r="AT18" i="1" s="1"/>
  <c r="AE18" i="1"/>
  <c r="G18" i="1"/>
  <c r="AO18" i="1"/>
  <c r="E18" i="1"/>
  <c r="AN18" i="1"/>
  <c r="W18" i="1"/>
  <c r="AM18" i="1"/>
  <c r="AK18" i="1"/>
  <c r="AJ18" i="1"/>
  <c r="AD18" i="1"/>
  <c r="AA18" i="1"/>
  <c r="F18" i="1"/>
  <c r="AD34" i="1"/>
  <c r="F34" i="1"/>
  <c r="AO34" i="1"/>
  <c r="E34" i="1"/>
  <c r="AN34" i="1"/>
  <c r="AK34" i="1"/>
  <c r="AJ34" i="1"/>
  <c r="W34" i="1"/>
  <c r="AE34" i="1"/>
  <c r="G34" i="1"/>
  <c r="AS34" i="1"/>
  <c r="AM34" i="1"/>
  <c r="AL34" i="1"/>
  <c r="I34" i="1"/>
  <c r="H34" i="1"/>
  <c r="AT34" i="1" s="1"/>
  <c r="AA34" i="1"/>
  <c r="AL72" i="1"/>
  <c r="Z72" i="1"/>
  <c r="N72" i="1"/>
  <c r="AK72" i="1"/>
  <c r="Y72" i="1"/>
  <c r="M72" i="1"/>
  <c r="AJ72" i="1"/>
  <c r="X72" i="1"/>
  <c r="AI72" i="1"/>
  <c r="W72" i="1"/>
  <c r="K72" i="1"/>
  <c r="L72" i="1" s="1"/>
  <c r="AH72" i="1"/>
  <c r="V72" i="1"/>
  <c r="J72" i="1"/>
  <c r="AS72" i="1"/>
  <c r="AG72" i="1"/>
  <c r="U72" i="1"/>
  <c r="I72" i="1"/>
  <c r="AR72" i="1"/>
  <c r="AF72" i="1"/>
  <c r="T72" i="1"/>
  <c r="H72" i="1"/>
  <c r="AT72" i="1" s="1"/>
  <c r="AQ72" i="1"/>
  <c r="AE72" i="1"/>
  <c r="S72" i="1"/>
  <c r="G72" i="1"/>
  <c r="AP72" i="1"/>
  <c r="AD72" i="1"/>
  <c r="R72" i="1"/>
  <c r="F72" i="1"/>
  <c r="AO72" i="1"/>
  <c r="Q72" i="1"/>
  <c r="E72" i="1"/>
  <c r="AN72" i="1"/>
  <c r="AB72" i="1"/>
  <c r="D72" i="1"/>
  <c r="AY72" i="1"/>
  <c r="AM72" i="1"/>
  <c r="AA72" i="1"/>
  <c r="O72" i="1"/>
  <c r="P72" i="1" s="1"/>
  <c r="AJ67" i="1"/>
  <c r="W67" i="1"/>
  <c r="AS67" i="1"/>
  <c r="H67" i="1"/>
  <c r="AT67" i="1" s="1"/>
  <c r="AE67" i="1"/>
  <c r="G67" i="1"/>
  <c r="I67" i="1" s="1"/>
  <c r="AD67" i="1"/>
  <c r="F67" i="1"/>
  <c r="AO67" i="1"/>
  <c r="E67" i="1"/>
  <c r="AN67" i="1"/>
  <c r="AM67" i="1"/>
  <c r="AA67" i="1"/>
  <c r="AL67" i="1"/>
  <c r="AK67" i="1"/>
  <c r="AS56" i="1"/>
  <c r="I56" i="1"/>
  <c r="H56" i="1"/>
  <c r="AT56" i="1" s="1"/>
  <c r="AE56" i="1"/>
  <c r="G56" i="1"/>
  <c r="AD56" i="1"/>
  <c r="F56" i="1"/>
  <c r="AO56" i="1"/>
  <c r="E56" i="1"/>
  <c r="AN56" i="1"/>
  <c r="AM56" i="1"/>
  <c r="AA56" i="1"/>
  <c r="Z56" i="1" s="1"/>
  <c r="AL56" i="1"/>
  <c r="AK56" i="1"/>
  <c r="AJ56" i="1"/>
  <c r="W56" i="1"/>
  <c r="H39" i="1"/>
  <c r="AT39" i="1" s="1"/>
  <c r="AE39" i="1"/>
  <c r="G39" i="1"/>
  <c r="AD39" i="1"/>
  <c r="F39" i="1"/>
  <c r="AO39" i="1"/>
  <c r="E39" i="1"/>
  <c r="AN39" i="1"/>
  <c r="AM39" i="1"/>
  <c r="AA39" i="1"/>
  <c r="Z39" i="1" s="1"/>
  <c r="AL39" i="1"/>
  <c r="AK39" i="1"/>
  <c r="AS39" i="1"/>
  <c r="I39" i="1"/>
  <c r="AJ39" i="1"/>
  <c r="W39" i="1"/>
  <c r="AD46" i="1"/>
  <c r="F46" i="1"/>
  <c r="AO46" i="1"/>
  <c r="E46" i="1"/>
  <c r="AN46" i="1"/>
  <c r="AM46" i="1"/>
  <c r="AA46" i="1"/>
  <c r="Z46" i="1" s="1"/>
  <c r="AL46" i="1"/>
  <c r="AK46" i="1"/>
  <c r="AJ46" i="1"/>
  <c r="W46" i="1"/>
  <c r="AS46" i="1"/>
  <c r="I46" i="1"/>
  <c r="H46" i="1"/>
  <c r="AT46" i="1" s="1"/>
  <c r="AE46" i="1"/>
  <c r="G46" i="1"/>
  <c r="AN29" i="1"/>
  <c r="AM29" i="1"/>
  <c r="AA29" i="1"/>
  <c r="W29" i="1"/>
  <c r="AS29" i="1"/>
  <c r="AO29" i="1"/>
  <c r="E29" i="1"/>
  <c r="AL29" i="1"/>
  <c r="AK29" i="1"/>
  <c r="AJ29" i="1"/>
  <c r="AE29" i="1"/>
  <c r="H29" i="1"/>
  <c r="AT29" i="1" s="1"/>
  <c r="AD29" i="1"/>
  <c r="G29" i="1"/>
  <c r="I29" i="1" s="1"/>
  <c r="F29" i="1"/>
  <c r="AJ100" i="1"/>
  <c r="X100" i="1"/>
  <c r="AI100" i="1"/>
  <c r="W100" i="1"/>
  <c r="K100" i="1"/>
  <c r="L100" i="1" s="1"/>
  <c r="AQ100" i="1"/>
  <c r="AE100" i="1"/>
  <c r="S100" i="1"/>
  <c r="G100" i="1"/>
  <c r="AP100" i="1"/>
  <c r="AD100" i="1"/>
  <c r="R100" i="1"/>
  <c r="F100" i="1"/>
  <c r="AO100" i="1"/>
  <c r="Q100" i="1"/>
  <c r="E100" i="1"/>
  <c r="AK100" i="1"/>
  <c r="Y100" i="1"/>
  <c r="Z100" i="1"/>
  <c r="AS100" i="1"/>
  <c r="V100" i="1"/>
  <c r="AR100" i="1"/>
  <c r="U100" i="1"/>
  <c r="AN100" i="1"/>
  <c r="T100" i="1"/>
  <c r="AM100" i="1"/>
  <c r="AL100" i="1"/>
  <c r="O100" i="1"/>
  <c r="P100" i="1" s="1"/>
  <c r="AH100" i="1"/>
  <c r="N100" i="1"/>
  <c r="AG100" i="1"/>
  <c r="M100" i="1"/>
  <c r="AF100" i="1"/>
  <c r="J100" i="1"/>
  <c r="AY100" i="1"/>
  <c r="I100" i="1"/>
  <c r="AB100" i="1"/>
  <c r="H100" i="1"/>
  <c r="AT100" i="1" s="1"/>
  <c r="AA100" i="1"/>
  <c r="D100" i="1"/>
  <c r="AL171" i="1"/>
  <c r="Z171" i="1"/>
  <c r="N171" i="1"/>
  <c r="AK171" i="1"/>
  <c r="Y171" i="1"/>
  <c r="M171" i="1"/>
  <c r="AJ171" i="1"/>
  <c r="X171" i="1"/>
  <c r="AI171" i="1"/>
  <c r="W171" i="1"/>
  <c r="K171" i="1"/>
  <c r="L171" i="1" s="1"/>
  <c r="AH171" i="1"/>
  <c r="V171" i="1"/>
  <c r="J171" i="1"/>
  <c r="AS171" i="1"/>
  <c r="AG171" i="1"/>
  <c r="U171" i="1"/>
  <c r="I171" i="1"/>
  <c r="AR171" i="1"/>
  <c r="AF171" i="1"/>
  <c r="T171" i="1"/>
  <c r="H171" i="1"/>
  <c r="AT171" i="1" s="1"/>
  <c r="AQ171" i="1"/>
  <c r="AE171" i="1"/>
  <c r="S171" i="1"/>
  <c r="G171" i="1"/>
  <c r="AP171" i="1"/>
  <c r="AD171" i="1"/>
  <c r="R171" i="1"/>
  <c r="F171" i="1"/>
  <c r="AO171" i="1"/>
  <c r="Q171" i="1"/>
  <c r="E171" i="1"/>
  <c r="AN171" i="1"/>
  <c r="AB171" i="1"/>
  <c r="D171" i="1"/>
  <c r="AY171" i="1"/>
  <c r="AM171" i="1"/>
  <c r="AA171" i="1"/>
  <c r="O171" i="1"/>
  <c r="P171" i="1" s="1"/>
  <c r="AO184" i="1"/>
  <c r="Q184" i="1"/>
  <c r="E184" i="1"/>
  <c r="AN184" i="1"/>
  <c r="AB184" i="1"/>
  <c r="D184" i="1"/>
  <c r="AJ184" i="1"/>
  <c r="X184" i="1"/>
  <c r="AI184" i="1"/>
  <c r="W184" i="1"/>
  <c r="K184" i="1"/>
  <c r="L184" i="1" s="1"/>
  <c r="AH184" i="1"/>
  <c r="V184" i="1"/>
  <c r="J184" i="1"/>
  <c r="AP184" i="1"/>
  <c r="AD184" i="1"/>
  <c r="R184" i="1"/>
  <c r="F184" i="1"/>
  <c r="AQ184" i="1"/>
  <c r="T184" i="1"/>
  <c r="AM184" i="1"/>
  <c r="S184" i="1"/>
  <c r="AL184" i="1"/>
  <c r="O184" i="1"/>
  <c r="P184" i="1" s="1"/>
  <c r="AK184" i="1"/>
  <c r="N184" i="1"/>
  <c r="AG184" i="1"/>
  <c r="M184" i="1"/>
  <c r="AF184" i="1"/>
  <c r="I184" i="1"/>
  <c r="AE184" i="1"/>
  <c r="H184" i="1"/>
  <c r="AT184" i="1" s="1"/>
  <c r="AY184" i="1"/>
  <c r="G184" i="1"/>
  <c r="AA184" i="1"/>
  <c r="Z184" i="1"/>
  <c r="AS184" i="1"/>
  <c r="Y184" i="1"/>
  <c r="AR184" i="1"/>
  <c r="U184" i="1"/>
  <c r="AH161" i="1"/>
  <c r="V161" i="1"/>
  <c r="J161" i="1"/>
  <c r="AS161" i="1"/>
  <c r="AG161" i="1"/>
  <c r="U161" i="1"/>
  <c r="I161" i="1"/>
  <c r="AR161" i="1"/>
  <c r="AF161" i="1"/>
  <c r="T161" i="1"/>
  <c r="H161" i="1"/>
  <c r="AT161" i="1" s="1"/>
  <c r="AQ161" i="1"/>
  <c r="AE161" i="1"/>
  <c r="S161" i="1"/>
  <c r="G161" i="1"/>
  <c r="AP161" i="1"/>
  <c r="AD161" i="1"/>
  <c r="R161" i="1"/>
  <c r="F161" i="1"/>
  <c r="AO161" i="1"/>
  <c r="Q161" i="1"/>
  <c r="E161" i="1"/>
  <c r="AN161" i="1"/>
  <c r="AB161" i="1"/>
  <c r="D161" i="1"/>
  <c r="AY161" i="1"/>
  <c r="AM161" i="1"/>
  <c r="AA161" i="1"/>
  <c r="O161" i="1"/>
  <c r="P161" i="1" s="1"/>
  <c r="AL161" i="1"/>
  <c r="Z161" i="1"/>
  <c r="N161" i="1"/>
  <c r="AK161" i="1"/>
  <c r="Y161" i="1"/>
  <c r="M161" i="1"/>
  <c r="AJ161" i="1"/>
  <c r="X161" i="1"/>
  <c r="AI161" i="1"/>
  <c r="W161" i="1"/>
  <c r="K161" i="1"/>
  <c r="L161" i="1" s="1"/>
  <c r="AR156" i="1"/>
  <c r="AF156" i="1"/>
  <c r="T156" i="1"/>
  <c r="H156" i="1"/>
  <c r="AT156" i="1" s="1"/>
  <c r="AQ156" i="1"/>
  <c r="AE156" i="1"/>
  <c r="S156" i="1"/>
  <c r="G156" i="1"/>
  <c r="AP156" i="1"/>
  <c r="AD156" i="1"/>
  <c r="R156" i="1"/>
  <c r="F156" i="1"/>
  <c r="AO156" i="1"/>
  <c r="Q156" i="1"/>
  <c r="E156" i="1"/>
  <c r="AN156" i="1"/>
  <c r="AB156" i="1"/>
  <c r="D156" i="1"/>
  <c r="AY156" i="1"/>
  <c r="AM156" i="1"/>
  <c r="AA156" i="1"/>
  <c r="O156" i="1"/>
  <c r="P156" i="1" s="1"/>
  <c r="AL156" i="1"/>
  <c r="Z156" i="1"/>
  <c r="N156" i="1"/>
  <c r="AK156" i="1"/>
  <c r="Y156" i="1"/>
  <c r="M156" i="1"/>
  <c r="AJ156" i="1"/>
  <c r="X156" i="1"/>
  <c r="AI156" i="1"/>
  <c r="W156" i="1"/>
  <c r="K156" i="1"/>
  <c r="L156" i="1" s="1"/>
  <c r="AH156" i="1"/>
  <c r="V156" i="1"/>
  <c r="J156" i="1"/>
  <c r="AS156" i="1"/>
  <c r="AG156" i="1"/>
  <c r="U156" i="1"/>
  <c r="I156" i="1"/>
  <c r="AP169" i="1"/>
  <c r="AD169" i="1"/>
  <c r="R169" i="1"/>
  <c r="F169" i="1"/>
  <c r="AO169" i="1"/>
  <c r="Q169" i="1"/>
  <c r="E169" i="1"/>
  <c r="AN169" i="1"/>
  <c r="AB169" i="1"/>
  <c r="D169" i="1"/>
  <c r="AY169" i="1"/>
  <c r="AM169" i="1"/>
  <c r="AA169" i="1"/>
  <c r="O169" i="1"/>
  <c r="P169" i="1" s="1"/>
  <c r="AL169" i="1"/>
  <c r="Z169" i="1"/>
  <c r="N169" i="1"/>
  <c r="AK169" i="1"/>
  <c r="Y169" i="1"/>
  <c r="M169" i="1"/>
  <c r="AJ169" i="1"/>
  <c r="X169" i="1"/>
  <c r="AI169" i="1"/>
  <c r="W169" i="1"/>
  <c r="K169" i="1"/>
  <c r="L169" i="1" s="1"/>
  <c r="AH169" i="1"/>
  <c r="V169" i="1"/>
  <c r="J169" i="1"/>
  <c r="AS169" i="1"/>
  <c r="AG169" i="1"/>
  <c r="U169" i="1"/>
  <c r="I169" i="1"/>
  <c r="AR169" i="1"/>
  <c r="AF169" i="1"/>
  <c r="T169" i="1"/>
  <c r="H169" i="1"/>
  <c r="AT169" i="1" s="1"/>
  <c r="AQ169" i="1"/>
  <c r="AE169" i="1"/>
  <c r="S169" i="1"/>
  <c r="G169" i="1"/>
  <c r="AN158" i="1"/>
  <c r="AB158" i="1"/>
  <c r="D158" i="1"/>
  <c r="AY158" i="1"/>
  <c r="AM158" i="1"/>
  <c r="AA158" i="1"/>
  <c r="O158" i="1"/>
  <c r="P158" i="1" s="1"/>
  <c r="AL158" i="1"/>
  <c r="Z158" i="1"/>
  <c r="N158" i="1"/>
  <c r="AK158" i="1"/>
  <c r="Y158" i="1"/>
  <c r="M158" i="1"/>
  <c r="AJ158" i="1"/>
  <c r="X158" i="1"/>
  <c r="AI158" i="1"/>
  <c r="W158" i="1"/>
  <c r="K158" i="1"/>
  <c r="L158" i="1" s="1"/>
  <c r="AH158" i="1"/>
  <c r="V158" i="1"/>
  <c r="J158" i="1"/>
  <c r="AS158" i="1"/>
  <c r="AG158" i="1"/>
  <c r="U158" i="1"/>
  <c r="I158" i="1"/>
  <c r="AR158" i="1"/>
  <c r="AF158" i="1"/>
  <c r="T158" i="1"/>
  <c r="H158" i="1"/>
  <c r="AT158" i="1" s="1"/>
  <c r="AQ158" i="1"/>
  <c r="AE158" i="1"/>
  <c r="S158" i="1"/>
  <c r="G158" i="1"/>
  <c r="AP158" i="1"/>
  <c r="AD158" i="1"/>
  <c r="R158" i="1"/>
  <c r="F158" i="1"/>
  <c r="AO158" i="1"/>
  <c r="Q158" i="1"/>
  <c r="E158" i="1"/>
  <c r="AK204" i="1"/>
  <c r="Y204" i="1"/>
  <c r="M204" i="1"/>
  <c r="AJ204" i="1"/>
  <c r="X204" i="1"/>
  <c r="AI204" i="1"/>
  <c r="W204" i="1"/>
  <c r="K204" i="1"/>
  <c r="L204" i="1" s="1"/>
  <c r="AH204" i="1"/>
  <c r="V204" i="1"/>
  <c r="J204" i="1"/>
  <c r="AS204" i="1"/>
  <c r="AG204" i="1"/>
  <c r="U204" i="1"/>
  <c r="I204" i="1"/>
  <c r="AR204" i="1"/>
  <c r="AF204" i="1"/>
  <c r="T204" i="1"/>
  <c r="H204" i="1"/>
  <c r="AT204" i="1" s="1"/>
  <c r="AQ204" i="1"/>
  <c r="AE204" i="1"/>
  <c r="S204" i="1"/>
  <c r="G204" i="1"/>
  <c r="AP204" i="1"/>
  <c r="AD204" i="1"/>
  <c r="R204" i="1"/>
  <c r="F204" i="1"/>
  <c r="AO204" i="1"/>
  <c r="Q204" i="1"/>
  <c r="E204" i="1"/>
  <c r="AN204" i="1"/>
  <c r="AB204" i="1"/>
  <c r="D204" i="1"/>
  <c r="AY204" i="1"/>
  <c r="AM204" i="1"/>
  <c r="AA204" i="1"/>
  <c r="O204" i="1"/>
  <c r="P204" i="1" s="1"/>
  <c r="AL204" i="1"/>
  <c r="Z204" i="1"/>
  <c r="N204" i="1"/>
  <c r="AI217" i="1"/>
  <c r="W217" i="1"/>
  <c r="K217" i="1"/>
  <c r="L217" i="1" s="1"/>
  <c r="AH217" i="1"/>
  <c r="V217" i="1"/>
  <c r="J217" i="1"/>
  <c r="AS217" i="1"/>
  <c r="AG217" i="1"/>
  <c r="U217" i="1"/>
  <c r="I217" i="1"/>
  <c r="AR217" i="1"/>
  <c r="AF217" i="1"/>
  <c r="T217" i="1"/>
  <c r="H217" i="1"/>
  <c r="AT217" i="1" s="1"/>
  <c r="AQ217" i="1"/>
  <c r="AE217" i="1"/>
  <c r="S217" i="1"/>
  <c r="G217" i="1"/>
  <c r="AP217" i="1"/>
  <c r="AD217" i="1"/>
  <c r="R217" i="1"/>
  <c r="F217" i="1"/>
  <c r="AO217" i="1"/>
  <c r="Q217" i="1"/>
  <c r="E217" i="1"/>
  <c r="AN217" i="1"/>
  <c r="AB217" i="1"/>
  <c r="D217" i="1"/>
  <c r="AY217" i="1"/>
  <c r="AM217" i="1"/>
  <c r="AA217" i="1"/>
  <c r="O217" i="1"/>
  <c r="P217" i="1" s="1"/>
  <c r="AL217" i="1"/>
  <c r="Z217" i="1"/>
  <c r="N217" i="1"/>
  <c r="AK217" i="1"/>
  <c r="Y217" i="1"/>
  <c r="M217" i="1"/>
  <c r="AJ217" i="1"/>
  <c r="X217" i="1"/>
  <c r="AS206" i="1"/>
  <c r="AG206" i="1"/>
  <c r="U206" i="1"/>
  <c r="I206" i="1"/>
  <c r="AR206" i="1"/>
  <c r="AF206" i="1"/>
  <c r="T206" i="1"/>
  <c r="H206" i="1"/>
  <c r="AT206" i="1" s="1"/>
  <c r="AQ206" i="1"/>
  <c r="AE206" i="1"/>
  <c r="S206" i="1"/>
  <c r="G206" i="1"/>
  <c r="AP206" i="1"/>
  <c r="AD206" i="1"/>
  <c r="R206" i="1"/>
  <c r="F206" i="1"/>
  <c r="AO206" i="1"/>
  <c r="Q206" i="1"/>
  <c r="E206" i="1"/>
  <c r="AN206" i="1"/>
  <c r="AB206" i="1"/>
  <c r="D206" i="1"/>
  <c r="AY206" i="1"/>
  <c r="AM206" i="1"/>
  <c r="AA206" i="1"/>
  <c r="O206" i="1"/>
  <c r="P206" i="1" s="1"/>
  <c r="AL206" i="1"/>
  <c r="Z206" i="1"/>
  <c r="N206" i="1"/>
  <c r="AK206" i="1"/>
  <c r="Y206" i="1"/>
  <c r="M206" i="1"/>
  <c r="AJ206" i="1"/>
  <c r="X206" i="1"/>
  <c r="AI206" i="1"/>
  <c r="W206" i="1"/>
  <c r="K206" i="1"/>
  <c r="L206" i="1" s="1"/>
  <c r="AH206" i="1"/>
  <c r="V206" i="1"/>
  <c r="J206" i="1"/>
  <c r="AQ213" i="1"/>
  <c r="AE213" i="1"/>
  <c r="S213" i="1"/>
  <c r="G213" i="1"/>
  <c r="AP213" i="1"/>
  <c r="AD213" i="1"/>
  <c r="R213" i="1"/>
  <c r="F213" i="1"/>
  <c r="AO213" i="1"/>
  <c r="Q213" i="1"/>
  <c r="E213" i="1"/>
  <c r="AN213" i="1"/>
  <c r="AB213" i="1"/>
  <c r="D213" i="1"/>
  <c r="AY213" i="1"/>
  <c r="AM213" i="1"/>
  <c r="AA213" i="1"/>
  <c r="O213" i="1"/>
  <c r="P213" i="1" s="1"/>
  <c r="AL213" i="1"/>
  <c r="Z213" i="1"/>
  <c r="N213" i="1"/>
  <c r="AK213" i="1"/>
  <c r="Y213" i="1"/>
  <c r="M213" i="1"/>
  <c r="AJ213" i="1"/>
  <c r="X213" i="1"/>
  <c r="AI213" i="1"/>
  <c r="W213" i="1"/>
  <c r="K213" i="1"/>
  <c r="L213" i="1" s="1"/>
  <c r="AH213" i="1"/>
  <c r="V213" i="1"/>
  <c r="J213" i="1"/>
  <c r="AS213" i="1"/>
  <c r="AG213" i="1"/>
  <c r="U213" i="1"/>
  <c r="I213" i="1"/>
  <c r="AR213" i="1"/>
  <c r="AF213" i="1"/>
  <c r="T213" i="1"/>
  <c r="H213" i="1"/>
  <c r="AT213" i="1" s="1"/>
  <c r="AO202" i="1"/>
  <c r="Q202" i="1"/>
  <c r="E202" i="1"/>
  <c r="AN202" i="1"/>
  <c r="AB202" i="1"/>
  <c r="D202" i="1"/>
  <c r="AY202" i="1"/>
  <c r="AM202" i="1"/>
  <c r="AA202" i="1"/>
  <c r="O202" i="1"/>
  <c r="P202" i="1" s="1"/>
  <c r="AL202" i="1"/>
  <c r="Z202" i="1"/>
  <c r="N202" i="1"/>
  <c r="AK202" i="1"/>
  <c r="Y202" i="1"/>
  <c r="M202" i="1"/>
  <c r="AJ202" i="1"/>
  <c r="X202" i="1"/>
  <c r="AI202" i="1"/>
  <c r="W202" i="1"/>
  <c r="K202" i="1"/>
  <c r="L202" i="1" s="1"/>
  <c r="AH202" i="1"/>
  <c r="V202" i="1"/>
  <c r="J202" i="1"/>
  <c r="AS202" i="1"/>
  <c r="AG202" i="1"/>
  <c r="U202" i="1"/>
  <c r="I202" i="1"/>
  <c r="AR202" i="1"/>
  <c r="AF202" i="1"/>
  <c r="T202" i="1"/>
  <c r="H202" i="1"/>
  <c r="AT202" i="1" s="1"/>
  <c r="AQ202" i="1"/>
  <c r="AE202" i="1"/>
  <c r="S202" i="1"/>
  <c r="G202" i="1"/>
  <c r="AP202" i="1"/>
  <c r="AD202" i="1"/>
  <c r="R202" i="1"/>
  <c r="F202" i="1"/>
  <c r="AY179" i="1"/>
  <c r="AM179" i="1"/>
  <c r="AA179" i="1"/>
  <c r="O179" i="1"/>
  <c r="P179" i="1" s="1"/>
  <c r="AL179" i="1"/>
  <c r="Z179" i="1"/>
  <c r="N179" i="1"/>
  <c r="AH179" i="1"/>
  <c r="V179" i="1"/>
  <c r="J179" i="1"/>
  <c r="AS179" i="1"/>
  <c r="AG179" i="1"/>
  <c r="U179" i="1"/>
  <c r="I179" i="1"/>
  <c r="AR179" i="1"/>
  <c r="AF179" i="1"/>
  <c r="T179" i="1"/>
  <c r="H179" i="1"/>
  <c r="AT179" i="1" s="1"/>
  <c r="AN179" i="1"/>
  <c r="AB179" i="1"/>
  <c r="D179" i="1"/>
  <c r="AQ179" i="1"/>
  <c r="S179" i="1"/>
  <c r="AP179" i="1"/>
  <c r="R179" i="1"/>
  <c r="AO179" i="1"/>
  <c r="Q179" i="1"/>
  <c r="AK179" i="1"/>
  <c r="M179" i="1"/>
  <c r="AJ179" i="1"/>
  <c r="AI179" i="1"/>
  <c r="K179" i="1"/>
  <c r="L179" i="1" s="1"/>
  <c r="AE179" i="1"/>
  <c r="G179" i="1"/>
  <c r="AD179" i="1"/>
  <c r="F179" i="1"/>
  <c r="E179" i="1"/>
  <c r="Y179" i="1"/>
  <c r="X179" i="1"/>
  <c r="W179" i="1"/>
  <c r="AY251" i="1"/>
  <c r="AM251" i="1"/>
  <c r="AA251" i="1"/>
  <c r="O251" i="1"/>
  <c r="P251" i="1" s="1"/>
  <c r="AL251" i="1"/>
  <c r="Z251" i="1"/>
  <c r="N251" i="1"/>
  <c r="AK251" i="1"/>
  <c r="Y251" i="1"/>
  <c r="M251" i="1"/>
  <c r="AJ251" i="1"/>
  <c r="X251" i="1"/>
  <c r="AI251" i="1"/>
  <c r="W251" i="1"/>
  <c r="K251" i="1"/>
  <c r="L251" i="1" s="1"/>
  <c r="AH251" i="1"/>
  <c r="V251" i="1"/>
  <c r="J251" i="1"/>
  <c r="AS251" i="1"/>
  <c r="AG251" i="1"/>
  <c r="U251" i="1"/>
  <c r="I251" i="1"/>
  <c r="AR251" i="1"/>
  <c r="AF251" i="1"/>
  <c r="T251" i="1"/>
  <c r="H251" i="1"/>
  <c r="AT251" i="1" s="1"/>
  <c r="AQ251" i="1"/>
  <c r="AE251" i="1"/>
  <c r="S251" i="1"/>
  <c r="G251" i="1"/>
  <c r="AP251" i="1"/>
  <c r="AD251" i="1"/>
  <c r="R251" i="1"/>
  <c r="F251" i="1"/>
  <c r="AO251" i="1"/>
  <c r="Q251" i="1"/>
  <c r="E251" i="1"/>
  <c r="AN251" i="1"/>
  <c r="AB251" i="1"/>
  <c r="D251" i="1"/>
  <c r="AI339" i="1"/>
  <c r="W339" i="1"/>
  <c r="K339" i="1"/>
  <c r="L339" i="1" s="1"/>
  <c r="AH339" i="1"/>
  <c r="V339" i="1"/>
  <c r="J339" i="1"/>
  <c r="AP339" i="1"/>
  <c r="AD339" i="1"/>
  <c r="R339" i="1"/>
  <c r="F339" i="1"/>
  <c r="AO339" i="1"/>
  <c r="Q339" i="1"/>
  <c r="E339" i="1"/>
  <c r="AN339" i="1"/>
  <c r="AB339" i="1"/>
  <c r="D339" i="1"/>
  <c r="AJ339" i="1"/>
  <c r="X339" i="1"/>
  <c r="AS339" i="1"/>
  <c r="Y339" i="1"/>
  <c r="AR339" i="1"/>
  <c r="U339" i="1"/>
  <c r="AQ339" i="1"/>
  <c r="T339" i="1"/>
  <c r="AM339" i="1"/>
  <c r="S339" i="1"/>
  <c r="AL339" i="1"/>
  <c r="O339" i="1"/>
  <c r="P339" i="1" s="1"/>
  <c r="AK339" i="1"/>
  <c r="N339" i="1"/>
  <c r="AG339" i="1"/>
  <c r="M339" i="1"/>
  <c r="AF339" i="1"/>
  <c r="I339" i="1"/>
  <c r="AE339" i="1"/>
  <c r="H339" i="1"/>
  <c r="AT339" i="1" s="1"/>
  <c r="AY339" i="1"/>
  <c r="G339" i="1"/>
  <c r="AA339" i="1"/>
  <c r="Z339" i="1"/>
  <c r="AQ341" i="1"/>
  <c r="AE341" i="1"/>
  <c r="S341" i="1"/>
  <c r="G341" i="1"/>
  <c r="AP341" i="1"/>
  <c r="AD341" i="1"/>
  <c r="R341" i="1"/>
  <c r="F341" i="1"/>
  <c r="AL341" i="1"/>
  <c r="Z341" i="1"/>
  <c r="N341" i="1"/>
  <c r="AK341" i="1"/>
  <c r="Y341" i="1"/>
  <c r="M341" i="1"/>
  <c r="AJ341" i="1"/>
  <c r="X341" i="1"/>
  <c r="AR341" i="1"/>
  <c r="AF341" i="1"/>
  <c r="T341" i="1"/>
  <c r="H341" i="1"/>
  <c r="AT341" i="1" s="1"/>
  <c r="AN341" i="1"/>
  <c r="AM341" i="1"/>
  <c r="O341" i="1"/>
  <c r="P341" i="1" s="1"/>
  <c r="AI341" i="1"/>
  <c r="K341" i="1"/>
  <c r="L341" i="1" s="1"/>
  <c r="AH341" i="1"/>
  <c r="J341" i="1"/>
  <c r="AG341" i="1"/>
  <c r="I341" i="1"/>
  <c r="AY341" i="1"/>
  <c r="E341" i="1"/>
  <c r="AB341" i="1"/>
  <c r="D341" i="1"/>
  <c r="AA341" i="1"/>
  <c r="W341" i="1"/>
  <c r="V341" i="1"/>
  <c r="AS341" i="1"/>
  <c r="U341" i="1"/>
  <c r="AO341" i="1"/>
  <c r="Q341" i="1"/>
  <c r="AS324" i="1"/>
  <c r="AG324" i="1"/>
  <c r="U324" i="1"/>
  <c r="I324" i="1"/>
  <c r="AR324" i="1"/>
  <c r="AF324" i="1"/>
  <c r="T324" i="1"/>
  <c r="H324" i="1"/>
  <c r="AT324" i="1" s="1"/>
  <c r="AQ324" i="1"/>
  <c r="AE324" i="1"/>
  <c r="S324" i="1"/>
  <c r="G324" i="1"/>
  <c r="AP324" i="1"/>
  <c r="AD324" i="1"/>
  <c r="R324" i="1"/>
  <c r="F324" i="1"/>
  <c r="AO324" i="1"/>
  <c r="Q324" i="1"/>
  <c r="E324" i="1"/>
  <c r="AN324" i="1"/>
  <c r="AB324" i="1"/>
  <c r="D324" i="1"/>
  <c r="AY324" i="1"/>
  <c r="AM324" i="1"/>
  <c r="AA324" i="1"/>
  <c r="O324" i="1"/>
  <c r="P324" i="1" s="1"/>
  <c r="AL324" i="1"/>
  <c r="Z324" i="1"/>
  <c r="N324" i="1"/>
  <c r="AK324" i="1"/>
  <c r="Y324" i="1"/>
  <c r="M324" i="1"/>
  <c r="AJ324" i="1"/>
  <c r="X324" i="1"/>
  <c r="AI324" i="1"/>
  <c r="W324" i="1"/>
  <c r="K324" i="1"/>
  <c r="L324" i="1" s="1"/>
  <c r="AH324" i="1"/>
  <c r="V324" i="1"/>
  <c r="J324" i="1"/>
  <c r="AQ319" i="1"/>
  <c r="AE319" i="1"/>
  <c r="S319" i="1"/>
  <c r="G319" i="1"/>
  <c r="AP319" i="1"/>
  <c r="AD319" i="1"/>
  <c r="R319" i="1"/>
  <c r="F319" i="1"/>
  <c r="AO319" i="1"/>
  <c r="Q319" i="1"/>
  <c r="E319" i="1"/>
  <c r="AN319" i="1"/>
  <c r="AB319" i="1"/>
  <c r="D319" i="1"/>
  <c r="AY319" i="1"/>
  <c r="AM319" i="1"/>
  <c r="AA319" i="1"/>
  <c r="O319" i="1"/>
  <c r="P319" i="1" s="1"/>
  <c r="AL319" i="1"/>
  <c r="Z319" i="1"/>
  <c r="N319" i="1"/>
  <c r="AK319" i="1"/>
  <c r="Y319" i="1"/>
  <c r="M319" i="1"/>
  <c r="AJ319" i="1"/>
  <c r="X319" i="1"/>
  <c r="AI319" i="1"/>
  <c r="W319" i="1"/>
  <c r="K319" i="1"/>
  <c r="L319" i="1" s="1"/>
  <c r="AH319" i="1"/>
  <c r="V319" i="1"/>
  <c r="J319" i="1"/>
  <c r="AS319" i="1"/>
  <c r="AG319" i="1"/>
  <c r="U319" i="1"/>
  <c r="I319" i="1"/>
  <c r="AR319" i="1"/>
  <c r="AF319" i="1"/>
  <c r="T319" i="1"/>
  <c r="H319" i="1"/>
  <c r="AT319" i="1" s="1"/>
  <c r="AO320" i="1"/>
  <c r="Q320" i="1"/>
  <c r="E320" i="1"/>
  <c r="AN320" i="1"/>
  <c r="AB320" i="1"/>
  <c r="D320" i="1"/>
  <c r="AY320" i="1"/>
  <c r="AM320" i="1"/>
  <c r="AA320" i="1"/>
  <c r="O320" i="1"/>
  <c r="P320" i="1" s="1"/>
  <c r="AL320" i="1"/>
  <c r="Z320" i="1"/>
  <c r="N320" i="1"/>
  <c r="AK320" i="1"/>
  <c r="Y320" i="1"/>
  <c r="M320" i="1"/>
  <c r="AJ320" i="1"/>
  <c r="X320" i="1"/>
  <c r="AI320" i="1"/>
  <c r="W320" i="1"/>
  <c r="K320" i="1"/>
  <c r="L320" i="1" s="1"/>
  <c r="AH320" i="1"/>
  <c r="V320" i="1"/>
  <c r="J320" i="1"/>
  <c r="AS320" i="1"/>
  <c r="AG320" i="1"/>
  <c r="U320" i="1"/>
  <c r="I320" i="1"/>
  <c r="AR320" i="1"/>
  <c r="AF320" i="1"/>
  <c r="T320" i="1"/>
  <c r="H320" i="1"/>
  <c r="AT320" i="1" s="1"/>
  <c r="AQ320" i="1"/>
  <c r="AE320" i="1"/>
  <c r="S320" i="1"/>
  <c r="G320" i="1"/>
  <c r="AP320" i="1"/>
  <c r="AD320" i="1"/>
  <c r="R320" i="1"/>
  <c r="F320" i="1"/>
  <c r="AY303" i="1"/>
  <c r="AM303" i="1"/>
  <c r="AA303" i="1"/>
  <c r="O303" i="1"/>
  <c r="P303" i="1" s="1"/>
  <c r="AL303" i="1"/>
  <c r="Z303" i="1"/>
  <c r="N303" i="1"/>
  <c r="AK303" i="1"/>
  <c r="Y303" i="1"/>
  <c r="M303" i="1"/>
  <c r="AJ303" i="1"/>
  <c r="X303" i="1"/>
  <c r="AI303" i="1"/>
  <c r="W303" i="1"/>
  <c r="K303" i="1"/>
  <c r="L303" i="1" s="1"/>
  <c r="AH303" i="1"/>
  <c r="V303" i="1"/>
  <c r="J303" i="1"/>
  <c r="AS303" i="1"/>
  <c r="AG303" i="1"/>
  <c r="U303" i="1"/>
  <c r="I303" i="1"/>
  <c r="AR303" i="1"/>
  <c r="AF303" i="1"/>
  <c r="T303" i="1"/>
  <c r="H303" i="1"/>
  <c r="AT303" i="1" s="1"/>
  <c r="AQ303" i="1"/>
  <c r="AE303" i="1"/>
  <c r="S303" i="1"/>
  <c r="G303" i="1"/>
  <c r="AP303" i="1"/>
  <c r="AD303" i="1"/>
  <c r="R303" i="1"/>
  <c r="F303" i="1"/>
  <c r="AO303" i="1"/>
  <c r="Q303" i="1"/>
  <c r="E303" i="1"/>
  <c r="AN303" i="1"/>
  <c r="AB303" i="1"/>
  <c r="D303" i="1"/>
  <c r="AK368" i="1"/>
  <c r="Y368" i="1"/>
  <c r="M368" i="1"/>
  <c r="AJ368" i="1"/>
  <c r="X368" i="1"/>
  <c r="AI368" i="1"/>
  <c r="W368" i="1"/>
  <c r="K368" i="1"/>
  <c r="L368" i="1" s="1"/>
  <c r="AH368" i="1"/>
  <c r="V368" i="1"/>
  <c r="J368" i="1"/>
  <c r="AS368" i="1"/>
  <c r="AG368" i="1"/>
  <c r="U368" i="1"/>
  <c r="I368" i="1"/>
  <c r="AR368" i="1"/>
  <c r="AF368" i="1"/>
  <c r="T368" i="1"/>
  <c r="H368" i="1"/>
  <c r="AT368" i="1" s="1"/>
  <c r="AQ368" i="1"/>
  <c r="AE368" i="1"/>
  <c r="S368" i="1"/>
  <c r="G368" i="1"/>
  <c r="AP368" i="1"/>
  <c r="AD368" i="1"/>
  <c r="R368" i="1"/>
  <c r="F368" i="1"/>
  <c r="AO368" i="1"/>
  <c r="Q368" i="1"/>
  <c r="E368" i="1"/>
  <c r="AN368" i="1"/>
  <c r="AB368" i="1"/>
  <c r="D368" i="1"/>
  <c r="AY368" i="1"/>
  <c r="AM368" i="1"/>
  <c r="AA368" i="1"/>
  <c r="O368" i="1"/>
  <c r="P368" i="1" s="1"/>
  <c r="AL368" i="1"/>
  <c r="Z368" i="1"/>
  <c r="N368" i="1"/>
  <c r="AI375" i="1"/>
  <c r="W375" i="1"/>
  <c r="K375" i="1"/>
  <c r="L375" i="1" s="1"/>
  <c r="AH375" i="1"/>
  <c r="V375" i="1"/>
  <c r="J375" i="1"/>
  <c r="AS375" i="1"/>
  <c r="AG375" i="1"/>
  <c r="U375" i="1"/>
  <c r="I375" i="1"/>
  <c r="AR375" i="1"/>
  <c r="AF375" i="1"/>
  <c r="T375" i="1"/>
  <c r="H375" i="1"/>
  <c r="AT375" i="1" s="1"/>
  <c r="AQ375" i="1"/>
  <c r="AE375" i="1"/>
  <c r="S375" i="1"/>
  <c r="G375" i="1"/>
  <c r="AP375" i="1"/>
  <c r="AD375" i="1"/>
  <c r="R375" i="1"/>
  <c r="F375" i="1"/>
  <c r="AO375" i="1"/>
  <c r="Q375" i="1"/>
  <c r="E375" i="1"/>
  <c r="AN375" i="1"/>
  <c r="AB375" i="1"/>
  <c r="D375" i="1"/>
  <c r="AY375" i="1"/>
  <c r="AM375" i="1"/>
  <c r="AA375" i="1"/>
  <c r="O375" i="1"/>
  <c r="P375" i="1" s="1"/>
  <c r="AL375" i="1"/>
  <c r="Z375" i="1"/>
  <c r="N375" i="1"/>
  <c r="AK375" i="1"/>
  <c r="Y375" i="1"/>
  <c r="M375" i="1"/>
  <c r="AJ375" i="1"/>
  <c r="X375" i="1"/>
  <c r="AS370" i="1"/>
  <c r="AG370" i="1"/>
  <c r="U370" i="1"/>
  <c r="I370" i="1"/>
  <c r="AR370" i="1"/>
  <c r="AF370" i="1"/>
  <c r="T370" i="1"/>
  <c r="H370" i="1"/>
  <c r="AT370" i="1" s="1"/>
  <c r="AQ370" i="1"/>
  <c r="AE370" i="1"/>
  <c r="S370" i="1"/>
  <c r="G370" i="1"/>
  <c r="AP370" i="1"/>
  <c r="AD370" i="1"/>
  <c r="R370" i="1"/>
  <c r="F370" i="1"/>
  <c r="AO370" i="1"/>
  <c r="Q370" i="1"/>
  <c r="E370" i="1"/>
  <c r="AN370" i="1"/>
  <c r="AB370" i="1"/>
  <c r="D370" i="1"/>
  <c r="AY370" i="1"/>
  <c r="AM370" i="1"/>
  <c r="AA370" i="1"/>
  <c r="O370" i="1"/>
  <c r="P370" i="1" s="1"/>
  <c r="AL370" i="1"/>
  <c r="Z370" i="1"/>
  <c r="N370" i="1"/>
  <c r="AK370" i="1"/>
  <c r="Y370" i="1"/>
  <c r="M370" i="1"/>
  <c r="AJ370" i="1"/>
  <c r="X370" i="1"/>
  <c r="AI370" i="1"/>
  <c r="W370" i="1"/>
  <c r="K370" i="1"/>
  <c r="L370" i="1" s="1"/>
  <c r="AH370" i="1"/>
  <c r="V370" i="1"/>
  <c r="J370" i="1"/>
  <c r="AQ365" i="1"/>
  <c r="AE365" i="1"/>
  <c r="S365" i="1"/>
  <c r="G365" i="1"/>
  <c r="AP365" i="1"/>
  <c r="AD365" i="1"/>
  <c r="R365" i="1"/>
  <c r="F365" i="1"/>
  <c r="AO365" i="1"/>
  <c r="Q365" i="1"/>
  <c r="E365" i="1"/>
  <c r="AN365" i="1"/>
  <c r="AB365" i="1"/>
  <c r="D365" i="1"/>
  <c r="AY365" i="1"/>
  <c r="AM365" i="1"/>
  <c r="AA365" i="1"/>
  <c r="O365" i="1"/>
  <c r="P365" i="1" s="1"/>
  <c r="AL365" i="1"/>
  <c r="Z365" i="1"/>
  <c r="N365" i="1"/>
  <c r="AK365" i="1"/>
  <c r="Y365" i="1"/>
  <c r="M365" i="1"/>
  <c r="AJ365" i="1"/>
  <c r="X365" i="1"/>
  <c r="AI365" i="1"/>
  <c r="W365" i="1"/>
  <c r="K365" i="1"/>
  <c r="L365" i="1" s="1"/>
  <c r="AH365" i="1"/>
  <c r="V365" i="1"/>
  <c r="J365" i="1"/>
  <c r="AS365" i="1"/>
  <c r="AG365" i="1"/>
  <c r="U365" i="1"/>
  <c r="I365" i="1"/>
  <c r="AR365" i="1"/>
  <c r="AF365" i="1"/>
  <c r="T365" i="1"/>
  <c r="H365" i="1"/>
  <c r="AT365" i="1" s="1"/>
  <c r="AO366" i="1"/>
  <c r="Q366" i="1"/>
  <c r="E366" i="1"/>
  <c r="AN366" i="1"/>
  <c r="AB366" i="1"/>
  <c r="D366" i="1"/>
  <c r="AY366" i="1"/>
  <c r="AM366" i="1"/>
  <c r="AA366" i="1"/>
  <c r="O366" i="1"/>
  <c r="P366" i="1" s="1"/>
  <c r="AL366" i="1"/>
  <c r="Z366" i="1"/>
  <c r="N366" i="1"/>
  <c r="AK366" i="1"/>
  <c r="Y366" i="1"/>
  <c r="M366" i="1"/>
  <c r="AJ366" i="1"/>
  <c r="X366" i="1"/>
  <c r="AI366" i="1"/>
  <c r="W366" i="1"/>
  <c r="K366" i="1"/>
  <c r="L366" i="1" s="1"/>
  <c r="AH366" i="1"/>
  <c r="V366" i="1"/>
  <c r="J366" i="1"/>
  <c r="AS366" i="1"/>
  <c r="AG366" i="1"/>
  <c r="U366" i="1"/>
  <c r="I366" i="1"/>
  <c r="AR366" i="1"/>
  <c r="AF366" i="1"/>
  <c r="T366" i="1"/>
  <c r="H366" i="1"/>
  <c r="AT366" i="1" s="1"/>
  <c r="AQ366" i="1"/>
  <c r="AE366" i="1"/>
  <c r="S366" i="1"/>
  <c r="G366" i="1"/>
  <c r="AP366" i="1"/>
  <c r="AD366" i="1"/>
  <c r="R366" i="1"/>
  <c r="F366" i="1"/>
  <c r="AY349" i="1"/>
  <c r="AM349" i="1"/>
  <c r="AA349" i="1"/>
  <c r="O349" i="1"/>
  <c r="P349" i="1" s="1"/>
  <c r="AL349" i="1"/>
  <c r="Z349" i="1"/>
  <c r="N349" i="1"/>
  <c r="AK349" i="1"/>
  <c r="Y349" i="1"/>
  <c r="M349" i="1"/>
  <c r="AJ349" i="1"/>
  <c r="X349" i="1"/>
  <c r="AI349" i="1"/>
  <c r="W349" i="1"/>
  <c r="K349" i="1"/>
  <c r="L349" i="1" s="1"/>
  <c r="AH349" i="1"/>
  <c r="V349" i="1"/>
  <c r="J349" i="1"/>
  <c r="AS349" i="1"/>
  <c r="AG349" i="1"/>
  <c r="U349" i="1"/>
  <c r="I349" i="1"/>
  <c r="AR349" i="1"/>
  <c r="AF349" i="1"/>
  <c r="T349" i="1"/>
  <c r="H349" i="1"/>
  <c r="AT349" i="1" s="1"/>
  <c r="AO349" i="1"/>
  <c r="Q349" i="1"/>
  <c r="E349" i="1"/>
  <c r="AN349" i="1"/>
  <c r="AB349" i="1"/>
  <c r="D349" i="1"/>
  <c r="AP349" i="1"/>
  <c r="AE349" i="1"/>
  <c r="AD349" i="1"/>
  <c r="S349" i="1"/>
  <c r="R349" i="1"/>
  <c r="G349" i="1"/>
  <c r="F349" i="1"/>
  <c r="AQ349" i="1"/>
  <c r="AL431" i="1"/>
  <c r="Z431" i="1"/>
  <c r="N431" i="1"/>
  <c r="AK431" i="1"/>
  <c r="Y431" i="1"/>
  <c r="M431" i="1"/>
  <c r="AJ431" i="1"/>
  <c r="X431" i="1"/>
  <c r="AI431" i="1"/>
  <c r="W431" i="1"/>
  <c r="K431" i="1"/>
  <c r="L431" i="1" s="1"/>
  <c r="AH431" i="1"/>
  <c r="V431" i="1"/>
  <c r="J431" i="1"/>
  <c r="AS431" i="1"/>
  <c r="AG431" i="1"/>
  <c r="U431" i="1"/>
  <c r="I431" i="1"/>
  <c r="AR431" i="1"/>
  <c r="AF431" i="1"/>
  <c r="T431" i="1"/>
  <c r="H431" i="1"/>
  <c r="AT431" i="1" s="1"/>
  <c r="AQ431" i="1"/>
  <c r="AE431" i="1"/>
  <c r="S431" i="1"/>
  <c r="G431" i="1"/>
  <c r="AP431" i="1"/>
  <c r="AD431" i="1"/>
  <c r="R431" i="1"/>
  <c r="F431" i="1"/>
  <c r="AO431" i="1"/>
  <c r="Q431" i="1"/>
  <c r="E431" i="1"/>
  <c r="AN431" i="1"/>
  <c r="AB431" i="1"/>
  <c r="D431" i="1"/>
  <c r="AY431" i="1"/>
  <c r="AM431" i="1"/>
  <c r="AA431" i="1"/>
  <c r="O431" i="1"/>
  <c r="P431" i="1" s="1"/>
  <c r="AJ495" i="1"/>
  <c r="X495" i="1"/>
  <c r="AI495" i="1"/>
  <c r="W495" i="1"/>
  <c r="K495" i="1"/>
  <c r="L495" i="1" s="1"/>
  <c r="AH495" i="1"/>
  <c r="V495" i="1"/>
  <c r="J495" i="1"/>
  <c r="AS495" i="1"/>
  <c r="AG495" i="1"/>
  <c r="U495" i="1"/>
  <c r="I495" i="1"/>
  <c r="AR495" i="1"/>
  <c r="AF495" i="1"/>
  <c r="T495" i="1"/>
  <c r="H495" i="1"/>
  <c r="AT495" i="1" s="1"/>
  <c r="AQ495" i="1"/>
  <c r="AE495" i="1"/>
  <c r="S495" i="1"/>
  <c r="G495" i="1"/>
  <c r="AP495" i="1"/>
  <c r="AD495" i="1"/>
  <c r="R495" i="1"/>
  <c r="F495" i="1"/>
  <c r="AO495" i="1"/>
  <c r="Q495" i="1"/>
  <c r="E495" i="1"/>
  <c r="AN495" i="1"/>
  <c r="AB495" i="1"/>
  <c r="AK495" i="1"/>
  <c r="Y495" i="1"/>
  <c r="M495" i="1"/>
  <c r="AM495" i="1"/>
  <c r="AL495" i="1"/>
  <c r="AA495" i="1"/>
  <c r="Z495" i="1"/>
  <c r="O495" i="1"/>
  <c r="P495" i="1" s="1"/>
  <c r="N495" i="1"/>
  <c r="D495" i="1"/>
  <c r="AY495" i="1"/>
  <c r="AP492" i="1"/>
  <c r="AD492" i="1"/>
  <c r="R492" i="1"/>
  <c r="F492" i="1"/>
  <c r="AO492" i="1"/>
  <c r="Q492" i="1"/>
  <c r="E492" i="1"/>
  <c r="AN492" i="1"/>
  <c r="AB492" i="1"/>
  <c r="D492" i="1"/>
  <c r="AY492" i="1"/>
  <c r="AM492" i="1"/>
  <c r="AA492" i="1"/>
  <c r="AL492" i="1"/>
  <c r="Z492" i="1"/>
  <c r="AK492" i="1"/>
  <c r="AH492" i="1"/>
  <c r="O492" i="1"/>
  <c r="P492" i="1" s="1"/>
  <c r="AG492" i="1"/>
  <c r="N492" i="1"/>
  <c r="AF492" i="1"/>
  <c r="M492" i="1"/>
  <c r="AE492" i="1"/>
  <c r="K492" i="1"/>
  <c r="L492" i="1" s="1"/>
  <c r="Y492" i="1"/>
  <c r="J492" i="1"/>
  <c r="X492" i="1"/>
  <c r="I492" i="1"/>
  <c r="AS492" i="1"/>
  <c r="W492" i="1"/>
  <c r="H492" i="1"/>
  <c r="AT492" i="1" s="1"/>
  <c r="AR492" i="1"/>
  <c r="V492" i="1"/>
  <c r="G492" i="1"/>
  <c r="AQ492" i="1"/>
  <c r="U492" i="1"/>
  <c r="AJ492" i="1"/>
  <c r="T492" i="1"/>
  <c r="AI492" i="1"/>
  <c r="S492" i="1"/>
  <c r="AH487" i="1"/>
  <c r="V487" i="1"/>
  <c r="J487" i="1"/>
  <c r="AS487" i="1"/>
  <c r="AG487" i="1"/>
  <c r="U487" i="1"/>
  <c r="I487" i="1"/>
  <c r="AR487" i="1"/>
  <c r="AF487" i="1"/>
  <c r="T487" i="1"/>
  <c r="H487" i="1"/>
  <c r="AT487" i="1" s="1"/>
  <c r="AQ487" i="1"/>
  <c r="AE487" i="1"/>
  <c r="S487" i="1"/>
  <c r="G487" i="1"/>
  <c r="AP487" i="1"/>
  <c r="AD487" i="1"/>
  <c r="R487" i="1"/>
  <c r="F487" i="1"/>
  <c r="AO487" i="1"/>
  <c r="Q487" i="1"/>
  <c r="E487" i="1"/>
  <c r="AN487" i="1"/>
  <c r="AB487" i="1"/>
  <c r="D487" i="1"/>
  <c r="AY487" i="1"/>
  <c r="AM487" i="1"/>
  <c r="AA487" i="1"/>
  <c r="O487" i="1"/>
  <c r="P487" i="1" s="1"/>
  <c r="AL487" i="1"/>
  <c r="Z487" i="1"/>
  <c r="N487" i="1"/>
  <c r="AK487" i="1"/>
  <c r="Y487" i="1"/>
  <c r="M487" i="1"/>
  <c r="AJ487" i="1"/>
  <c r="X487" i="1"/>
  <c r="AI487" i="1"/>
  <c r="W487" i="1"/>
  <c r="K487" i="1"/>
  <c r="L487" i="1" s="1"/>
  <c r="AR482" i="1"/>
  <c r="AF482" i="1"/>
  <c r="T482" i="1"/>
  <c r="H482" i="1"/>
  <c r="AT482" i="1" s="1"/>
  <c r="AQ482" i="1"/>
  <c r="AE482" i="1"/>
  <c r="S482" i="1"/>
  <c r="G482" i="1"/>
  <c r="AP482" i="1"/>
  <c r="AD482" i="1"/>
  <c r="R482" i="1"/>
  <c r="F482" i="1"/>
  <c r="AO482" i="1"/>
  <c r="Q482" i="1"/>
  <c r="E482" i="1"/>
  <c r="AN482" i="1"/>
  <c r="AB482" i="1"/>
  <c r="D482" i="1"/>
  <c r="AY482" i="1"/>
  <c r="AM482" i="1"/>
  <c r="AA482" i="1"/>
  <c r="O482" i="1"/>
  <c r="P482" i="1" s="1"/>
  <c r="AL482" i="1"/>
  <c r="Z482" i="1"/>
  <c r="N482" i="1"/>
  <c r="AK482" i="1"/>
  <c r="Y482" i="1"/>
  <c r="M482" i="1"/>
  <c r="AJ482" i="1"/>
  <c r="X482" i="1"/>
  <c r="AI482" i="1"/>
  <c r="W482" i="1"/>
  <c r="K482" i="1"/>
  <c r="L482" i="1" s="1"/>
  <c r="AH482" i="1"/>
  <c r="V482" i="1"/>
  <c r="J482" i="1"/>
  <c r="AS482" i="1"/>
  <c r="AG482" i="1"/>
  <c r="U482" i="1"/>
  <c r="I482" i="1"/>
  <c r="AP477" i="1"/>
  <c r="AD477" i="1"/>
  <c r="R477" i="1"/>
  <c r="F477" i="1"/>
  <c r="AO477" i="1"/>
  <c r="Q477" i="1"/>
  <c r="E477" i="1"/>
  <c r="AN477" i="1"/>
  <c r="AB477" i="1"/>
  <c r="D477" i="1"/>
  <c r="AY477" i="1"/>
  <c r="AM477" i="1"/>
  <c r="AA477" i="1"/>
  <c r="O477" i="1"/>
  <c r="P477" i="1" s="1"/>
  <c r="AL477" i="1"/>
  <c r="Z477" i="1"/>
  <c r="N477" i="1"/>
  <c r="AK477" i="1"/>
  <c r="Y477" i="1"/>
  <c r="M477" i="1"/>
  <c r="AJ477" i="1"/>
  <c r="X477" i="1"/>
  <c r="AI477" i="1"/>
  <c r="W477" i="1"/>
  <c r="K477" i="1"/>
  <c r="L477" i="1" s="1"/>
  <c r="AH477" i="1"/>
  <c r="V477" i="1"/>
  <c r="J477" i="1"/>
  <c r="AS477" i="1"/>
  <c r="AG477" i="1"/>
  <c r="U477" i="1"/>
  <c r="I477" i="1"/>
  <c r="AR477" i="1"/>
  <c r="AF477" i="1"/>
  <c r="T477" i="1"/>
  <c r="H477" i="1"/>
  <c r="AT477" i="1" s="1"/>
  <c r="AQ477" i="1"/>
  <c r="AE477" i="1"/>
  <c r="S477" i="1"/>
  <c r="G477" i="1"/>
  <c r="AN466" i="1"/>
  <c r="AB466" i="1"/>
  <c r="D466" i="1"/>
  <c r="AY466" i="1"/>
  <c r="AM466" i="1"/>
  <c r="AA466" i="1"/>
  <c r="O466" i="1"/>
  <c r="P466" i="1" s="1"/>
  <c r="AL466" i="1"/>
  <c r="Z466" i="1"/>
  <c r="N466" i="1"/>
  <c r="AK466" i="1"/>
  <c r="Y466" i="1"/>
  <c r="M466" i="1"/>
  <c r="AJ466" i="1"/>
  <c r="X466" i="1"/>
  <c r="AI466" i="1"/>
  <c r="W466" i="1"/>
  <c r="K466" i="1"/>
  <c r="L466" i="1" s="1"/>
  <c r="AH466" i="1"/>
  <c r="V466" i="1"/>
  <c r="J466" i="1"/>
  <c r="AS466" i="1"/>
  <c r="AG466" i="1"/>
  <c r="U466" i="1"/>
  <c r="I466" i="1"/>
  <c r="AR466" i="1"/>
  <c r="AF466" i="1"/>
  <c r="T466" i="1"/>
  <c r="H466" i="1"/>
  <c r="AT466" i="1" s="1"/>
  <c r="AQ466" i="1"/>
  <c r="AE466" i="1"/>
  <c r="S466" i="1"/>
  <c r="G466" i="1"/>
  <c r="AP466" i="1"/>
  <c r="AD466" i="1"/>
  <c r="R466" i="1"/>
  <c r="F466" i="1"/>
  <c r="AO466" i="1"/>
  <c r="Q466" i="1"/>
  <c r="E466" i="1"/>
  <c r="AP539" i="1"/>
  <c r="AD539" i="1"/>
  <c r="R539" i="1"/>
  <c r="F539" i="1"/>
  <c r="AO539" i="1"/>
  <c r="Q539" i="1"/>
  <c r="E539" i="1"/>
  <c r="AJ539" i="1"/>
  <c r="X539" i="1"/>
  <c r="AI539" i="1"/>
  <c r="W539" i="1"/>
  <c r="K539" i="1"/>
  <c r="L539" i="1" s="1"/>
  <c r="AH539" i="1"/>
  <c r="S539" i="1"/>
  <c r="AY539" i="1"/>
  <c r="AG539" i="1"/>
  <c r="AF539" i="1"/>
  <c r="O539" i="1"/>
  <c r="P539" i="1" s="1"/>
  <c r="AE539" i="1"/>
  <c r="N539" i="1"/>
  <c r="M539" i="1"/>
  <c r="AS539" i="1"/>
  <c r="AB539" i="1"/>
  <c r="J539" i="1"/>
  <c r="AR539" i="1"/>
  <c r="AA539" i="1"/>
  <c r="I539" i="1"/>
  <c r="AQ539" i="1"/>
  <c r="Z539" i="1"/>
  <c r="H539" i="1"/>
  <c r="AT539" i="1" s="1"/>
  <c r="AN539" i="1"/>
  <c r="Y539" i="1"/>
  <c r="G539" i="1"/>
  <c r="AM539" i="1"/>
  <c r="V539" i="1"/>
  <c r="D539" i="1"/>
  <c r="AL539" i="1"/>
  <c r="U539" i="1"/>
  <c r="AK539" i="1"/>
  <c r="T539" i="1"/>
  <c r="AH526" i="1"/>
  <c r="V526" i="1"/>
  <c r="J526" i="1"/>
  <c r="AS526" i="1"/>
  <c r="AG526" i="1"/>
  <c r="U526" i="1"/>
  <c r="I526" i="1"/>
  <c r="AR526" i="1"/>
  <c r="AF526" i="1"/>
  <c r="T526" i="1"/>
  <c r="H526" i="1"/>
  <c r="AT526" i="1" s="1"/>
  <c r="AQ526" i="1"/>
  <c r="AE526" i="1"/>
  <c r="S526" i="1"/>
  <c r="G526" i="1"/>
  <c r="AP526" i="1"/>
  <c r="AD526" i="1"/>
  <c r="R526" i="1"/>
  <c r="F526" i="1"/>
  <c r="AO526" i="1"/>
  <c r="Q526" i="1"/>
  <c r="E526" i="1"/>
  <c r="AN526" i="1"/>
  <c r="AB526" i="1"/>
  <c r="D526" i="1"/>
  <c r="AY526" i="1"/>
  <c r="AM526" i="1"/>
  <c r="AA526" i="1"/>
  <c r="O526" i="1"/>
  <c r="P526" i="1" s="1"/>
  <c r="AL526" i="1"/>
  <c r="Z526" i="1"/>
  <c r="N526" i="1"/>
  <c r="AK526" i="1"/>
  <c r="Y526" i="1"/>
  <c r="M526" i="1"/>
  <c r="AJ526" i="1"/>
  <c r="X526" i="1"/>
  <c r="AI526" i="1"/>
  <c r="W526" i="1"/>
  <c r="K526" i="1"/>
  <c r="L526" i="1" s="1"/>
  <c r="AP504" i="1"/>
  <c r="AD504" i="1"/>
  <c r="R504" i="1"/>
  <c r="F504" i="1"/>
  <c r="AO504" i="1"/>
  <c r="Q504" i="1"/>
  <c r="E504" i="1"/>
  <c r="AN504" i="1"/>
  <c r="AB504" i="1"/>
  <c r="D504" i="1"/>
  <c r="AY504" i="1"/>
  <c r="AM504" i="1"/>
  <c r="AA504" i="1"/>
  <c r="O504" i="1"/>
  <c r="P504" i="1" s="1"/>
  <c r="AL504" i="1"/>
  <c r="Z504" i="1"/>
  <c r="N504" i="1"/>
  <c r="AK504" i="1"/>
  <c r="Y504" i="1"/>
  <c r="M504" i="1"/>
  <c r="AJ504" i="1"/>
  <c r="X504" i="1"/>
  <c r="AI504" i="1"/>
  <c r="W504" i="1"/>
  <c r="K504" i="1"/>
  <c r="L504" i="1" s="1"/>
  <c r="AH504" i="1"/>
  <c r="V504" i="1"/>
  <c r="J504" i="1"/>
  <c r="AS504" i="1"/>
  <c r="AG504" i="1"/>
  <c r="U504" i="1"/>
  <c r="I504" i="1"/>
  <c r="AR504" i="1"/>
  <c r="AF504" i="1"/>
  <c r="T504" i="1"/>
  <c r="H504" i="1"/>
  <c r="AT504" i="1" s="1"/>
  <c r="AQ504" i="1"/>
  <c r="AE504" i="1"/>
  <c r="S504" i="1"/>
  <c r="G504" i="1"/>
  <c r="AJ542" i="1"/>
  <c r="X542" i="1"/>
  <c r="AI542" i="1"/>
  <c r="W542" i="1"/>
  <c r="K542" i="1"/>
  <c r="L542" i="1" s="1"/>
  <c r="AH542" i="1"/>
  <c r="V542" i="1"/>
  <c r="J542" i="1"/>
  <c r="AS542" i="1"/>
  <c r="AG542" i="1"/>
  <c r="U542" i="1"/>
  <c r="I542" i="1"/>
  <c r="AR542" i="1"/>
  <c r="AF542" i="1"/>
  <c r="T542" i="1"/>
  <c r="H542" i="1"/>
  <c r="AT542" i="1" s="1"/>
  <c r="AQ542" i="1"/>
  <c r="AE542" i="1"/>
  <c r="S542" i="1"/>
  <c r="G542" i="1"/>
  <c r="AP542" i="1"/>
  <c r="AD542" i="1"/>
  <c r="R542" i="1"/>
  <c r="F542" i="1"/>
  <c r="AO542" i="1"/>
  <c r="Q542" i="1"/>
  <c r="E542" i="1"/>
  <c r="AL542" i="1"/>
  <c r="Z542" i="1"/>
  <c r="N542" i="1"/>
  <c r="AK542" i="1"/>
  <c r="Y542" i="1"/>
  <c r="M542" i="1"/>
  <c r="AY542" i="1"/>
  <c r="AN542" i="1"/>
  <c r="AM542" i="1"/>
  <c r="AB542" i="1"/>
  <c r="AA542" i="1"/>
  <c r="O542" i="1"/>
  <c r="P542" i="1" s="1"/>
  <c r="D542" i="1"/>
  <c r="AJ572" i="1"/>
  <c r="X572" i="1"/>
  <c r="AI572" i="1"/>
  <c r="W572" i="1"/>
  <c r="K572" i="1"/>
  <c r="L572" i="1" s="1"/>
  <c r="AH572" i="1"/>
  <c r="V572" i="1"/>
  <c r="J572" i="1"/>
  <c r="AS572" i="1"/>
  <c r="AG572" i="1"/>
  <c r="U572" i="1"/>
  <c r="I572" i="1"/>
  <c r="AR572" i="1"/>
  <c r="AF572" i="1"/>
  <c r="T572" i="1"/>
  <c r="H572" i="1"/>
  <c r="AT572" i="1" s="1"/>
  <c r="AQ572" i="1"/>
  <c r="AE572" i="1"/>
  <c r="S572" i="1"/>
  <c r="G572" i="1"/>
  <c r="AP572" i="1"/>
  <c r="AD572" i="1"/>
  <c r="R572" i="1"/>
  <c r="F572" i="1"/>
  <c r="AO572" i="1"/>
  <c r="Q572" i="1"/>
  <c r="E572" i="1"/>
  <c r="AN572" i="1"/>
  <c r="AB572" i="1"/>
  <c r="D572" i="1"/>
  <c r="AY572" i="1"/>
  <c r="AM572" i="1"/>
  <c r="AA572" i="1"/>
  <c r="O572" i="1"/>
  <c r="P572" i="1" s="1"/>
  <c r="AL572" i="1"/>
  <c r="Z572" i="1"/>
  <c r="N572" i="1"/>
  <c r="AK572" i="1"/>
  <c r="Y572" i="1"/>
  <c r="M572" i="1"/>
  <c r="AR556" i="1"/>
  <c r="AF556" i="1"/>
  <c r="T556" i="1"/>
  <c r="H556" i="1"/>
  <c r="AT556" i="1" s="1"/>
  <c r="AQ556" i="1"/>
  <c r="AE556" i="1"/>
  <c r="S556" i="1"/>
  <c r="G556" i="1"/>
  <c r="AP556" i="1"/>
  <c r="AD556" i="1"/>
  <c r="R556" i="1"/>
  <c r="F556" i="1"/>
  <c r="AO556" i="1"/>
  <c r="Q556" i="1"/>
  <c r="E556" i="1"/>
  <c r="AN556" i="1"/>
  <c r="AB556" i="1"/>
  <c r="D556" i="1"/>
  <c r="AY556" i="1"/>
  <c r="AM556" i="1"/>
  <c r="AA556" i="1"/>
  <c r="O556" i="1"/>
  <c r="P556" i="1" s="1"/>
  <c r="AL556" i="1"/>
  <c r="Z556" i="1"/>
  <c r="N556" i="1"/>
  <c r="AK556" i="1"/>
  <c r="Y556" i="1"/>
  <c r="M556" i="1"/>
  <c r="AJ556" i="1"/>
  <c r="X556" i="1"/>
  <c r="AI556" i="1"/>
  <c r="W556" i="1"/>
  <c r="K556" i="1"/>
  <c r="L556" i="1" s="1"/>
  <c r="AH556" i="1"/>
  <c r="V556" i="1"/>
  <c r="J556" i="1"/>
  <c r="AS556" i="1"/>
  <c r="AG556" i="1"/>
  <c r="U556" i="1"/>
  <c r="I556" i="1"/>
  <c r="AQ582" i="1"/>
  <c r="AE582" i="1"/>
  <c r="S582" i="1"/>
  <c r="G582" i="1"/>
  <c r="AP582" i="1"/>
  <c r="AD582" i="1"/>
  <c r="R582" i="1"/>
  <c r="F582" i="1"/>
  <c r="AK582" i="1"/>
  <c r="Y582" i="1"/>
  <c r="M582" i="1"/>
  <c r="AJ582" i="1"/>
  <c r="X582" i="1"/>
  <c r="AO582" i="1"/>
  <c r="W582" i="1"/>
  <c r="E582" i="1"/>
  <c r="AN582" i="1"/>
  <c r="V582" i="1"/>
  <c r="D582" i="1"/>
  <c r="AM582" i="1"/>
  <c r="U582" i="1"/>
  <c r="AL582" i="1"/>
  <c r="T582" i="1"/>
  <c r="AI582" i="1"/>
  <c r="Q582" i="1"/>
  <c r="AY582" i="1"/>
  <c r="AH582" i="1"/>
  <c r="AG582" i="1"/>
  <c r="O582" i="1"/>
  <c r="P582" i="1" s="1"/>
  <c r="AF582" i="1"/>
  <c r="N582" i="1"/>
  <c r="K582" i="1"/>
  <c r="L582" i="1" s="1"/>
  <c r="AB582" i="1"/>
  <c r="J582" i="1"/>
  <c r="AS582" i="1"/>
  <c r="AA582" i="1"/>
  <c r="I582" i="1"/>
  <c r="AR582" i="1"/>
  <c r="Z582" i="1"/>
  <c r="H582" i="1"/>
  <c r="AT582" i="1" s="1"/>
  <c r="AK603" i="1"/>
  <c r="Y603" i="1"/>
  <c r="M603" i="1"/>
  <c r="AJ603" i="1"/>
  <c r="X603" i="1"/>
  <c r="AI603" i="1"/>
  <c r="W603" i="1"/>
  <c r="K603" i="1"/>
  <c r="L603" i="1" s="1"/>
  <c r="AH603" i="1"/>
  <c r="V603" i="1"/>
  <c r="J603" i="1"/>
  <c r="AS603" i="1"/>
  <c r="AG603" i="1"/>
  <c r="U603" i="1"/>
  <c r="I603" i="1"/>
  <c r="AR603" i="1"/>
  <c r="AF603" i="1"/>
  <c r="T603" i="1"/>
  <c r="H603" i="1"/>
  <c r="AT603" i="1" s="1"/>
  <c r="AQ603" i="1"/>
  <c r="AE603" i="1"/>
  <c r="S603" i="1"/>
  <c r="G603" i="1"/>
  <c r="AP603" i="1"/>
  <c r="AD603" i="1"/>
  <c r="R603" i="1"/>
  <c r="F603" i="1"/>
  <c r="AO603" i="1"/>
  <c r="Q603" i="1"/>
  <c r="E603" i="1"/>
  <c r="AN603" i="1"/>
  <c r="AB603" i="1"/>
  <c r="D603" i="1"/>
  <c r="AY603" i="1"/>
  <c r="AM603" i="1"/>
  <c r="AA603" i="1"/>
  <c r="O603" i="1"/>
  <c r="P603" i="1" s="1"/>
  <c r="AL603" i="1"/>
  <c r="Z603" i="1"/>
  <c r="N603" i="1"/>
  <c r="AR626" i="1"/>
  <c r="AF626" i="1"/>
  <c r="T626" i="1"/>
  <c r="H626" i="1"/>
  <c r="AT626" i="1" s="1"/>
  <c r="AQ626" i="1"/>
  <c r="AE626" i="1"/>
  <c r="S626" i="1"/>
  <c r="G626" i="1"/>
  <c r="AL626" i="1"/>
  <c r="Z626" i="1"/>
  <c r="N626" i="1"/>
  <c r="AK626" i="1"/>
  <c r="Y626" i="1"/>
  <c r="M626" i="1"/>
  <c r="AD626" i="1"/>
  <c r="K626" i="1"/>
  <c r="L626" i="1" s="1"/>
  <c r="AB626" i="1"/>
  <c r="J626" i="1"/>
  <c r="AS626" i="1"/>
  <c r="AA626" i="1"/>
  <c r="I626" i="1"/>
  <c r="AP626" i="1"/>
  <c r="X626" i="1"/>
  <c r="F626" i="1"/>
  <c r="AO626" i="1"/>
  <c r="W626" i="1"/>
  <c r="E626" i="1"/>
  <c r="AN626" i="1"/>
  <c r="V626" i="1"/>
  <c r="D626" i="1"/>
  <c r="AM626" i="1"/>
  <c r="U626" i="1"/>
  <c r="AJ626" i="1"/>
  <c r="R626" i="1"/>
  <c r="AY626" i="1"/>
  <c r="AI626" i="1"/>
  <c r="Q626" i="1"/>
  <c r="AH626" i="1"/>
  <c r="AG626" i="1"/>
  <c r="O626" i="1"/>
  <c r="P626" i="1" s="1"/>
  <c r="AQ594" i="1"/>
  <c r="AE594" i="1"/>
  <c r="S594" i="1"/>
  <c r="G594" i="1"/>
  <c r="AP594" i="1"/>
  <c r="AD594" i="1"/>
  <c r="R594" i="1"/>
  <c r="F594" i="1"/>
  <c r="AO594" i="1"/>
  <c r="Q594" i="1"/>
  <c r="E594" i="1"/>
  <c r="AN594" i="1"/>
  <c r="AB594" i="1"/>
  <c r="D594" i="1"/>
  <c r="AY594" i="1"/>
  <c r="AM594" i="1"/>
  <c r="AA594" i="1"/>
  <c r="O594" i="1"/>
  <c r="P594" i="1" s="1"/>
  <c r="AL594" i="1"/>
  <c r="Z594" i="1"/>
  <c r="N594" i="1"/>
  <c r="AK594" i="1"/>
  <c r="Y594" i="1"/>
  <c r="M594" i="1"/>
  <c r="AJ594" i="1"/>
  <c r="X594" i="1"/>
  <c r="AI594" i="1"/>
  <c r="W594" i="1"/>
  <c r="K594" i="1"/>
  <c r="L594" i="1" s="1"/>
  <c r="AH594" i="1"/>
  <c r="V594" i="1"/>
  <c r="J594" i="1"/>
  <c r="AS594" i="1"/>
  <c r="AG594" i="1"/>
  <c r="U594" i="1"/>
  <c r="I594" i="1"/>
  <c r="AR594" i="1"/>
  <c r="AF594" i="1"/>
  <c r="T594" i="1"/>
  <c r="H594" i="1"/>
  <c r="AT594" i="1" s="1"/>
  <c r="AY578" i="1"/>
  <c r="AM578" i="1"/>
  <c r="AA578" i="1"/>
  <c r="O578" i="1"/>
  <c r="P578" i="1" s="1"/>
  <c r="AL578" i="1"/>
  <c r="Z578" i="1"/>
  <c r="N578" i="1"/>
  <c r="AR578" i="1"/>
  <c r="AF578" i="1"/>
  <c r="T578" i="1"/>
  <c r="H578" i="1"/>
  <c r="AT578" i="1" s="1"/>
  <c r="AI578" i="1"/>
  <c r="S578" i="1"/>
  <c r="D578" i="1"/>
  <c r="AH578" i="1"/>
  <c r="R578" i="1"/>
  <c r="AG578" i="1"/>
  <c r="Q578" i="1"/>
  <c r="AE578" i="1"/>
  <c r="AD578" i="1"/>
  <c r="M578" i="1"/>
  <c r="AS578" i="1"/>
  <c r="AQ578" i="1"/>
  <c r="AB578" i="1"/>
  <c r="K578" i="1"/>
  <c r="L578" i="1" s="1"/>
  <c r="AP578" i="1"/>
  <c r="Y578" i="1"/>
  <c r="J578" i="1"/>
  <c r="AO578" i="1"/>
  <c r="X578" i="1"/>
  <c r="I578" i="1"/>
  <c r="AN578" i="1"/>
  <c r="W578" i="1"/>
  <c r="G578" i="1"/>
  <c r="AK578" i="1"/>
  <c r="V578" i="1"/>
  <c r="F578" i="1"/>
  <c r="AJ578" i="1"/>
  <c r="U578" i="1"/>
  <c r="E578" i="1"/>
  <c r="AL647" i="1"/>
  <c r="Z647" i="1"/>
  <c r="N647" i="1"/>
  <c r="AK647" i="1"/>
  <c r="Y647" i="1"/>
  <c r="M647" i="1"/>
  <c r="AJ647" i="1"/>
  <c r="X647" i="1"/>
  <c r="AI647" i="1"/>
  <c r="W647" i="1"/>
  <c r="K647" i="1"/>
  <c r="L647" i="1" s="1"/>
  <c r="AH647" i="1"/>
  <c r="V647" i="1"/>
  <c r="J647" i="1"/>
  <c r="AS647" i="1"/>
  <c r="AG647" i="1"/>
  <c r="U647" i="1"/>
  <c r="I647" i="1"/>
  <c r="AR647" i="1"/>
  <c r="AF647" i="1"/>
  <c r="T647" i="1"/>
  <c r="H647" i="1"/>
  <c r="AT647" i="1" s="1"/>
  <c r="AQ647" i="1"/>
  <c r="AE647" i="1"/>
  <c r="S647" i="1"/>
  <c r="G647" i="1"/>
  <c r="AP647" i="1"/>
  <c r="AD647" i="1"/>
  <c r="R647" i="1"/>
  <c r="F647" i="1"/>
  <c r="AO647" i="1"/>
  <c r="Q647" i="1"/>
  <c r="E647" i="1"/>
  <c r="AN647" i="1"/>
  <c r="AB647" i="1"/>
  <c r="D647" i="1"/>
  <c r="AY647" i="1"/>
  <c r="AM647" i="1"/>
  <c r="AA647" i="1"/>
  <c r="O647" i="1"/>
  <c r="P647" i="1" s="1"/>
  <c r="AK664" i="1"/>
  <c r="Y664" i="1"/>
  <c r="M664" i="1"/>
  <c r="AJ664" i="1"/>
  <c r="X664" i="1"/>
  <c r="AI664" i="1"/>
  <c r="W664" i="1"/>
  <c r="K664" i="1"/>
  <c r="L664" i="1" s="1"/>
  <c r="AP664" i="1"/>
  <c r="AA664" i="1"/>
  <c r="I664" i="1"/>
  <c r="AO664" i="1"/>
  <c r="Z664" i="1"/>
  <c r="H664" i="1"/>
  <c r="AT664" i="1" s="1"/>
  <c r="AN664" i="1"/>
  <c r="V664" i="1"/>
  <c r="G664" i="1"/>
  <c r="AM664" i="1"/>
  <c r="U664" i="1"/>
  <c r="F664" i="1"/>
  <c r="AL664" i="1"/>
  <c r="T664" i="1"/>
  <c r="E664" i="1"/>
  <c r="AY664" i="1"/>
  <c r="AH664" i="1"/>
  <c r="S664" i="1"/>
  <c r="D664" i="1"/>
  <c r="AG664" i="1"/>
  <c r="R664" i="1"/>
  <c r="AF664" i="1"/>
  <c r="Q664" i="1"/>
  <c r="AE664" i="1"/>
  <c r="AS664" i="1"/>
  <c r="AD664" i="1"/>
  <c r="O664" i="1"/>
  <c r="P664" i="1" s="1"/>
  <c r="AR664" i="1"/>
  <c r="N664" i="1"/>
  <c r="AQ664" i="1"/>
  <c r="AB664" i="1"/>
  <c r="J664" i="1"/>
  <c r="AS659" i="1"/>
  <c r="AG659" i="1"/>
  <c r="U659" i="1"/>
  <c r="I659" i="1"/>
  <c r="AR659" i="1"/>
  <c r="AE659" i="1"/>
  <c r="R659" i="1"/>
  <c r="E659" i="1"/>
  <c r="AQ659" i="1"/>
  <c r="AD659" i="1"/>
  <c r="Q659" i="1"/>
  <c r="D659" i="1"/>
  <c r="AP659" i="1"/>
  <c r="AO659" i="1"/>
  <c r="AB659" i="1"/>
  <c r="O659" i="1"/>
  <c r="P659" i="1" s="1"/>
  <c r="AN659" i="1"/>
  <c r="AA659" i="1"/>
  <c r="N659" i="1"/>
  <c r="AM659" i="1"/>
  <c r="Z659" i="1"/>
  <c r="M659" i="1"/>
  <c r="AY659" i="1"/>
  <c r="AL659" i="1"/>
  <c r="Y659" i="1"/>
  <c r="AK659" i="1"/>
  <c r="X659" i="1"/>
  <c r="K659" i="1"/>
  <c r="L659" i="1" s="1"/>
  <c r="AJ659" i="1"/>
  <c r="W659" i="1"/>
  <c r="J659" i="1"/>
  <c r="AI659" i="1"/>
  <c r="V659" i="1"/>
  <c r="H659" i="1"/>
  <c r="AT659" i="1" s="1"/>
  <c r="AH659" i="1"/>
  <c r="T659" i="1"/>
  <c r="G659" i="1"/>
  <c r="AF659" i="1"/>
  <c r="S659" i="1"/>
  <c r="F659" i="1"/>
  <c r="AK694" i="1"/>
  <c r="Y694" i="1"/>
  <c r="M694" i="1"/>
  <c r="AJ694" i="1"/>
  <c r="X694" i="1"/>
  <c r="AI694" i="1"/>
  <c r="W694" i="1"/>
  <c r="K694" i="1"/>
  <c r="L694" i="1" s="1"/>
  <c r="AH694" i="1"/>
  <c r="V694" i="1"/>
  <c r="J694" i="1"/>
  <c r="AS694" i="1"/>
  <c r="AG694" i="1"/>
  <c r="U694" i="1"/>
  <c r="I694" i="1"/>
  <c r="AR694" i="1"/>
  <c r="AF694" i="1"/>
  <c r="T694" i="1"/>
  <c r="H694" i="1"/>
  <c r="AT694" i="1" s="1"/>
  <c r="AQ694" i="1"/>
  <c r="AE694" i="1"/>
  <c r="S694" i="1"/>
  <c r="G694" i="1"/>
  <c r="AP694" i="1"/>
  <c r="AD694" i="1"/>
  <c r="R694" i="1"/>
  <c r="F694" i="1"/>
  <c r="AO694" i="1"/>
  <c r="Q694" i="1"/>
  <c r="E694" i="1"/>
  <c r="AN694" i="1"/>
  <c r="AB694" i="1"/>
  <c r="D694" i="1"/>
  <c r="AY694" i="1"/>
  <c r="AM694" i="1"/>
  <c r="AA694" i="1"/>
  <c r="O694" i="1"/>
  <c r="P694" i="1" s="1"/>
  <c r="AL694" i="1"/>
  <c r="Z694" i="1"/>
  <c r="N694" i="1"/>
  <c r="AS672" i="1"/>
  <c r="AG672" i="1"/>
  <c r="U672" i="1"/>
  <c r="I672" i="1"/>
  <c r="AR672" i="1"/>
  <c r="AF672" i="1"/>
  <c r="T672" i="1"/>
  <c r="H672" i="1"/>
  <c r="AT672" i="1" s="1"/>
  <c r="AQ672" i="1"/>
  <c r="AE672" i="1"/>
  <c r="S672" i="1"/>
  <c r="G672" i="1"/>
  <c r="AP672" i="1"/>
  <c r="AD672" i="1"/>
  <c r="R672" i="1"/>
  <c r="F672" i="1"/>
  <c r="AO672" i="1"/>
  <c r="Q672" i="1"/>
  <c r="E672" i="1"/>
  <c r="AN672" i="1"/>
  <c r="AB672" i="1"/>
  <c r="D672" i="1"/>
  <c r="AY672" i="1"/>
  <c r="AM672" i="1"/>
  <c r="AA672" i="1"/>
  <c r="O672" i="1"/>
  <c r="P672" i="1" s="1"/>
  <c r="AL672" i="1"/>
  <c r="Z672" i="1"/>
  <c r="N672" i="1"/>
  <c r="AK672" i="1"/>
  <c r="Y672" i="1"/>
  <c r="M672" i="1"/>
  <c r="AJ672" i="1"/>
  <c r="X672" i="1"/>
  <c r="AI672" i="1"/>
  <c r="W672" i="1"/>
  <c r="K672" i="1"/>
  <c r="L672" i="1" s="1"/>
  <c r="AH672" i="1"/>
  <c r="V672" i="1"/>
  <c r="J672" i="1"/>
  <c r="AQ697" i="1"/>
  <c r="AE697" i="1"/>
  <c r="S697" i="1"/>
  <c r="G697" i="1"/>
  <c r="AP697" i="1"/>
  <c r="AD697" i="1"/>
  <c r="R697" i="1"/>
  <c r="F697" i="1"/>
  <c r="AO697" i="1"/>
  <c r="Q697" i="1"/>
  <c r="E697" i="1"/>
  <c r="AN697" i="1"/>
  <c r="AB697" i="1"/>
  <c r="D697" i="1"/>
  <c r="AY697" i="1"/>
  <c r="AM697" i="1"/>
  <c r="AA697" i="1"/>
  <c r="O697" i="1"/>
  <c r="P697" i="1" s="1"/>
  <c r="AL697" i="1"/>
  <c r="Z697" i="1"/>
  <c r="N697" i="1"/>
  <c r="AK697" i="1"/>
  <c r="Y697" i="1"/>
  <c r="M697" i="1"/>
  <c r="AJ697" i="1"/>
  <c r="X697" i="1"/>
  <c r="AI697" i="1"/>
  <c r="W697" i="1"/>
  <c r="K697" i="1"/>
  <c r="L697" i="1" s="1"/>
  <c r="AH697" i="1"/>
  <c r="V697" i="1"/>
  <c r="J697" i="1"/>
  <c r="AS697" i="1"/>
  <c r="AG697" i="1"/>
  <c r="U697" i="1"/>
  <c r="I697" i="1"/>
  <c r="AR697" i="1"/>
  <c r="AF697" i="1"/>
  <c r="T697" i="1"/>
  <c r="H697" i="1"/>
  <c r="AT697" i="1" s="1"/>
  <c r="AY663" i="1"/>
  <c r="AM663" i="1"/>
  <c r="AA663" i="1"/>
  <c r="O663" i="1"/>
  <c r="P663" i="1" s="1"/>
  <c r="AL663" i="1"/>
  <c r="Z663" i="1"/>
  <c r="N663" i="1"/>
  <c r="AK663" i="1"/>
  <c r="Y663" i="1"/>
  <c r="M663" i="1"/>
  <c r="AE663" i="1"/>
  <c r="AS663" i="1"/>
  <c r="AD663" i="1"/>
  <c r="AR663" i="1"/>
  <c r="K663" i="1"/>
  <c r="L663" i="1" s="1"/>
  <c r="AQ663" i="1"/>
  <c r="AB663" i="1"/>
  <c r="J663" i="1"/>
  <c r="AP663" i="1"/>
  <c r="X663" i="1"/>
  <c r="I663" i="1"/>
  <c r="AO663" i="1"/>
  <c r="W663" i="1"/>
  <c r="H663" i="1"/>
  <c r="AT663" i="1" s="1"/>
  <c r="AN663" i="1"/>
  <c r="V663" i="1"/>
  <c r="G663" i="1"/>
  <c r="AJ663" i="1"/>
  <c r="U663" i="1"/>
  <c r="F663" i="1"/>
  <c r="AI663" i="1"/>
  <c r="T663" i="1"/>
  <c r="E663" i="1"/>
  <c r="AH663" i="1"/>
  <c r="S663" i="1"/>
  <c r="D663" i="1"/>
  <c r="AG663" i="1"/>
  <c r="R663" i="1"/>
  <c r="AF663" i="1"/>
  <c r="Q663" i="1"/>
  <c r="AK738" i="1"/>
  <c r="Y738" i="1"/>
  <c r="M738" i="1"/>
  <c r="AJ738" i="1"/>
  <c r="X738" i="1"/>
  <c r="AI738" i="1"/>
  <c r="W738" i="1"/>
  <c r="K738" i="1"/>
  <c r="L738" i="1" s="1"/>
  <c r="AH738" i="1"/>
  <c r="V738" i="1"/>
  <c r="J738" i="1"/>
  <c r="AS738" i="1"/>
  <c r="AG738" i="1"/>
  <c r="U738" i="1"/>
  <c r="I738" i="1"/>
  <c r="AR738" i="1"/>
  <c r="AF738" i="1"/>
  <c r="T738" i="1"/>
  <c r="H738" i="1"/>
  <c r="AT738" i="1" s="1"/>
  <c r="AQ738" i="1"/>
  <c r="AE738" i="1"/>
  <c r="S738" i="1"/>
  <c r="G738" i="1"/>
  <c r="AP738" i="1"/>
  <c r="AD738" i="1"/>
  <c r="R738" i="1"/>
  <c r="F738" i="1"/>
  <c r="AO738" i="1"/>
  <c r="Q738" i="1"/>
  <c r="E738" i="1"/>
  <c r="AN738" i="1"/>
  <c r="AB738" i="1"/>
  <c r="D738" i="1"/>
  <c r="AY738" i="1"/>
  <c r="AM738" i="1"/>
  <c r="AA738" i="1"/>
  <c r="O738" i="1"/>
  <c r="P738" i="1" s="1"/>
  <c r="AL738" i="1"/>
  <c r="Z738" i="1"/>
  <c r="N738" i="1"/>
  <c r="AS722" i="1"/>
  <c r="AG722" i="1"/>
  <c r="U722" i="1"/>
  <c r="I722" i="1"/>
  <c r="AR722" i="1"/>
  <c r="AF722" i="1"/>
  <c r="T722" i="1"/>
  <c r="H722" i="1"/>
  <c r="AT722" i="1" s="1"/>
  <c r="AQ722" i="1"/>
  <c r="AE722" i="1"/>
  <c r="S722" i="1"/>
  <c r="G722" i="1"/>
  <c r="AP722" i="1"/>
  <c r="AD722" i="1"/>
  <c r="R722" i="1"/>
  <c r="F722" i="1"/>
  <c r="AO722" i="1"/>
  <c r="Q722" i="1"/>
  <c r="E722" i="1"/>
  <c r="AN722" i="1"/>
  <c r="AB722" i="1"/>
  <c r="D722" i="1"/>
  <c r="AY722" i="1"/>
  <c r="AM722" i="1"/>
  <c r="AA722" i="1"/>
  <c r="O722" i="1"/>
  <c r="P722" i="1" s="1"/>
  <c r="AL722" i="1"/>
  <c r="Z722" i="1"/>
  <c r="N722" i="1"/>
  <c r="AK722" i="1"/>
  <c r="Y722" i="1"/>
  <c r="M722" i="1"/>
  <c r="AJ722" i="1"/>
  <c r="X722" i="1"/>
  <c r="AI722" i="1"/>
  <c r="W722" i="1"/>
  <c r="K722" i="1"/>
  <c r="L722" i="1" s="1"/>
  <c r="AH722" i="1"/>
  <c r="V722" i="1"/>
  <c r="J722" i="1"/>
  <c r="AQ741" i="1"/>
  <c r="AE741" i="1"/>
  <c r="S741" i="1"/>
  <c r="G741" i="1"/>
  <c r="AP741" i="1"/>
  <c r="AD741" i="1"/>
  <c r="R741" i="1"/>
  <c r="F741" i="1"/>
  <c r="AO741" i="1"/>
  <c r="Q741" i="1"/>
  <c r="E741" i="1"/>
  <c r="AN741" i="1"/>
  <c r="AB741" i="1"/>
  <c r="D741" i="1"/>
  <c r="AY741" i="1"/>
  <c r="AM741" i="1"/>
  <c r="AA741" i="1"/>
  <c r="O741" i="1"/>
  <c r="P741" i="1" s="1"/>
  <c r="AL741" i="1"/>
  <c r="Z741" i="1"/>
  <c r="N741" i="1"/>
  <c r="AK741" i="1"/>
  <c r="Y741" i="1"/>
  <c r="M741" i="1"/>
  <c r="AJ741" i="1"/>
  <c r="X741" i="1"/>
  <c r="AI741" i="1"/>
  <c r="W741" i="1"/>
  <c r="K741" i="1"/>
  <c r="L741" i="1" s="1"/>
  <c r="AH741" i="1"/>
  <c r="V741" i="1"/>
  <c r="J741" i="1"/>
  <c r="AS741" i="1"/>
  <c r="AG741" i="1"/>
  <c r="U741" i="1"/>
  <c r="I741" i="1"/>
  <c r="AR741" i="1"/>
  <c r="AF741" i="1"/>
  <c r="T741" i="1"/>
  <c r="H741" i="1"/>
  <c r="AT741" i="1" s="1"/>
  <c r="AY731" i="1"/>
  <c r="AM731" i="1"/>
  <c r="AA731" i="1"/>
  <c r="O731" i="1"/>
  <c r="P731" i="1" s="1"/>
  <c r="AL731" i="1"/>
  <c r="Z731" i="1"/>
  <c r="N731" i="1"/>
  <c r="AK731" i="1"/>
  <c r="Y731" i="1"/>
  <c r="M731" i="1"/>
  <c r="AJ731" i="1"/>
  <c r="X731" i="1"/>
  <c r="AI731" i="1"/>
  <c r="W731" i="1"/>
  <c r="K731" i="1"/>
  <c r="L731" i="1" s="1"/>
  <c r="AH731" i="1"/>
  <c r="V731" i="1"/>
  <c r="J731" i="1"/>
  <c r="AS731" i="1"/>
  <c r="AG731" i="1"/>
  <c r="U731" i="1"/>
  <c r="I731" i="1"/>
  <c r="AR731" i="1"/>
  <c r="AF731" i="1"/>
  <c r="T731" i="1"/>
  <c r="H731" i="1"/>
  <c r="AT731" i="1" s="1"/>
  <c r="AQ731" i="1"/>
  <c r="AE731" i="1"/>
  <c r="S731" i="1"/>
  <c r="G731" i="1"/>
  <c r="AP731" i="1"/>
  <c r="AD731" i="1"/>
  <c r="R731" i="1"/>
  <c r="F731" i="1"/>
  <c r="AO731" i="1"/>
  <c r="Q731" i="1"/>
  <c r="E731" i="1"/>
  <c r="AN731" i="1"/>
  <c r="AB731" i="1"/>
  <c r="D731" i="1"/>
  <c r="AI763" i="1"/>
  <c r="W763" i="1"/>
  <c r="K763" i="1"/>
  <c r="L763" i="1" s="1"/>
  <c r="AH763" i="1"/>
  <c r="V763" i="1"/>
  <c r="J763" i="1"/>
  <c r="AS763" i="1"/>
  <c r="AG763" i="1"/>
  <c r="U763" i="1"/>
  <c r="I763" i="1"/>
  <c r="AR763" i="1"/>
  <c r="AF763" i="1"/>
  <c r="T763" i="1"/>
  <c r="H763" i="1"/>
  <c r="AT763" i="1" s="1"/>
  <c r="AQ763" i="1"/>
  <c r="AE763" i="1"/>
  <c r="S763" i="1"/>
  <c r="G763" i="1"/>
  <c r="AP763" i="1"/>
  <c r="AD763" i="1"/>
  <c r="R763" i="1"/>
  <c r="F763" i="1"/>
  <c r="AO763" i="1"/>
  <c r="Q763" i="1"/>
  <c r="E763" i="1"/>
  <c r="AN763" i="1"/>
  <c r="AB763" i="1"/>
  <c r="D763" i="1"/>
  <c r="AY763" i="1"/>
  <c r="AM763" i="1"/>
  <c r="AA763" i="1"/>
  <c r="O763" i="1"/>
  <c r="P763" i="1" s="1"/>
  <c r="AL763" i="1"/>
  <c r="Z763" i="1"/>
  <c r="N763" i="1"/>
  <c r="AK763" i="1"/>
  <c r="Y763" i="1"/>
  <c r="M763" i="1"/>
  <c r="AJ763" i="1"/>
  <c r="X763" i="1"/>
  <c r="AJ800" i="1"/>
  <c r="X800" i="1"/>
  <c r="AI800" i="1"/>
  <c r="W800" i="1"/>
  <c r="K800" i="1"/>
  <c r="L800" i="1" s="1"/>
  <c r="AH800" i="1"/>
  <c r="V800" i="1"/>
  <c r="J800" i="1"/>
  <c r="AQ800" i="1"/>
  <c r="AE800" i="1"/>
  <c r="AP800" i="1"/>
  <c r="Z800" i="1"/>
  <c r="H800" i="1"/>
  <c r="AT800" i="1" s="1"/>
  <c r="AO800" i="1"/>
  <c r="Y800" i="1"/>
  <c r="G800" i="1"/>
  <c r="AN800" i="1"/>
  <c r="U800" i="1"/>
  <c r="F800" i="1"/>
  <c r="AM800" i="1"/>
  <c r="T800" i="1"/>
  <c r="E800" i="1"/>
  <c r="AL800" i="1"/>
  <c r="S800" i="1"/>
  <c r="D800" i="1"/>
  <c r="AK800" i="1"/>
  <c r="R800" i="1"/>
  <c r="AG800" i="1"/>
  <c r="Q800" i="1"/>
  <c r="AY800" i="1"/>
  <c r="AF800" i="1"/>
  <c r="AD800" i="1"/>
  <c r="O800" i="1"/>
  <c r="P800" i="1" s="1"/>
  <c r="N800" i="1"/>
  <c r="AS800" i="1"/>
  <c r="AB800" i="1"/>
  <c r="M800" i="1"/>
  <c r="AR800" i="1"/>
  <c r="AA800" i="1"/>
  <c r="I800" i="1"/>
  <c r="AO772" i="1"/>
  <c r="Q772" i="1"/>
  <c r="E772" i="1"/>
  <c r="AN772" i="1"/>
  <c r="AB772" i="1"/>
  <c r="D772" i="1"/>
  <c r="AY772" i="1"/>
  <c r="AM772" i="1"/>
  <c r="AA772" i="1"/>
  <c r="O772" i="1"/>
  <c r="P772" i="1" s="1"/>
  <c r="AL772" i="1"/>
  <c r="Z772" i="1"/>
  <c r="N772" i="1"/>
  <c r="AK772" i="1"/>
  <c r="Y772" i="1"/>
  <c r="M772" i="1"/>
  <c r="AJ772" i="1"/>
  <c r="X772" i="1"/>
  <c r="AI772" i="1"/>
  <c r="W772" i="1"/>
  <c r="K772" i="1"/>
  <c r="L772" i="1" s="1"/>
  <c r="AH772" i="1"/>
  <c r="V772" i="1"/>
  <c r="J772" i="1"/>
  <c r="AS772" i="1"/>
  <c r="AG772" i="1"/>
  <c r="U772" i="1"/>
  <c r="I772" i="1"/>
  <c r="AR772" i="1"/>
  <c r="AF772" i="1"/>
  <c r="T772" i="1"/>
  <c r="H772" i="1"/>
  <c r="AT772" i="1" s="1"/>
  <c r="AQ772" i="1"/>
  <c r="AE772" i="1"/>
  <c r="S772" i="1"/>
  <c r="G772" i="1"/>
  <c r="AP772" i="1"/>
  <c r="AD772" i="1"/>
  <c r="R772" i="1"/>
  <c r="F772" i="1"/>
  <c r="AL805" i="1"/>
  <c r="Z805" i="1"/>
  <c r="N805" i="1"/>
  <c r="AK805" i="1"/>
  <c r="Y805" i="1"/>
  <c r="M805" i="1"/>
  <c r="AJ805" i="1"/>
  <c r="X805" i="1"/>
  <c r="AI805" i="1"/>
  <c r="W805" i="1"/>
  <c r="K805" i="1"/>
  <c r="L805" i="1" s="1"/>
  <c r="AH805" i="1"/>
  <c r="V805" i="1"/>
  <c r="J805" i="1"/>
  <c r="AS805" i="1"/>
  <c r="AG805" i="1"/>
  <c r="U805" i="1"/>
  <c r="I805" i="1"/>
  <c r="AR805" i="1"/>
  <c r="AF805" i="1"/>
  <c r="T805" i="1"/>
  <c r="H805" i="1"/>
  <c r="AT805" i="1" s="1"/>
  <c r="AQ805" i="1"/>
  <c r="AE805" i="1"/>
  <c r="S805" i="1"/>
  <c r="G805" i="1"/>
  <c r="AP805" i="1"/>
  <c r="AD805" i="1"/>
  <c r="AO805" i="1"/>
  <c r="Q805" i="1"/>
  <c r="E805" i="1"/>
  <c r="AN805" i="1"/>
  <c r="AB805" i="1"/>
  <c r="D805" i="1"/>
  <c r="AY805" i="1"/>
  <c r="AM805" i="1"/>
  <c r="AA805" i="1"/>
  <c r="O805" i="1"/>
  <c r="P805" i="1" s="1"/>
  <c r="R805" i="1"/>
  <c r="F805" i="1"/>
  <c r="AL841" i="1"/>
  <c r="Z841" i="1"/>
  <c r="N841" i="1"/>
  <c r="AJ841" i="1"/>
  <c r="X841" i="1"/>
  <c r="AQ841" i="1"/>
  <c r="AE841" i="1"/>
  <c r="S841" i="1"/>
  <c r="G841" i="1"/>
  <c r="AD841" i="1"/>
  <c r="O841" i="1"/>
  <c r="P841" i="1" s="1"/>
  <c r="AS841" i="1"/>
  <c r="M841" i="1"/>
  <c r="AR841" i="1"/>
  <c r="AB841" i="1"/>
  <c r="K841" i="1"/>
  <c r="L841" i="1" s="1"/>
  <c r="AP841" i="1"/>
  <c r="AA841" i="1"/>
  <c r="J841" i="1"/>
  <c r="AO841" i="1"/>
  <c r="Y841" i="1"/>
  <c r="I841" i="1"/>
  <c r="AN841" i="1"/>
  <c r="W841" i="1"/>
  <c r="H841" i="1"/>
  <c r="AT841" i="1" s="1"/>
  <c r="AM841" i="1"/>
  <c r="V841" i="1"/>
  <c r="F841" i="1"/>
  <c r="AK841" i="1"/>
  <c r="U841" i="1"/>
  <c r="E841" i="1"/>
  <c r="AY841" i="1"/>
  <c r="AI841" i="1"/>
  <c r="T841" i="1"/>
  <c r="D841" i="1"/>
  <c r="AH841" i="1"/>
  <c r="R841" i="1"/>
  <c r="AG841" i="1"/>
  <c r="Q841" i="1"/>
  <c r="AF841" i="1"/>
  <c r="AR814" i="1"/>
  <c r="AF814" i="1"/>
  <c r="T814" i="1"/>
  <c r="H814" i="1"/>
  <c r="AT814" i="1" s="1"/>
  <c r="AQ814" i="1"/>
  <c r="AE814" i="1"/>
  <c r="S814" i="1"/>
  <c r="G814" i="1"/>
  <c r="AP814" i="1"/>
  <c r="AD814" i="1"/>
  <c r="R814" i="1"/>
  <c r="F814" i="1"/>
  <c r="AO814" i="1"/>
  <c r="Q814" i="1"/>
  <c r="E814" i="1"/>
  <c r="AN814" i="1"/>
  <c r="AB814" i="1"/>
  <c r="D814" i="1"/>
  <c r="AY814" i="1"/>
  <c r="AM814" i="1"/>
  <c r="AA814" i="1"/>
  <c r="O814" i="1"/>
  <c r="P814" i="1" s="1"/>
  <c r="AL814" i="1"/>
  <c r="Z814" i="1"/>
  <c r="N814" i="1"/>
  <c r="AK814" i="1"/>
  <c r="Y814" i="1"/>
  <c r="M814" i="1"/>
  <c r="AJ814" i="1"/>
  <c r="X814" i="1"/>
  <c r="AI814" i="1"/>
  <c r="W814" i="1"/>
  <c r="K814" i="1"/>
  <c r="L814" i="1" s="1"/>
  <c r="AH814" i="1"/>
  <c r="V814" i="1"/>
  <c r="J814" i="1"/>
  <c r="AS814" i="1"/>
  <c r="AG814" i="1"/>
  <c r="U814" i="1"/>
  <c r="I814" i="1"/>
  <c r="AR838" i="1"/>
  <c r="AF838" i="1"/>
  <c r="T838" i="1"/>
  <c r="H838" i="1"/>
  <c r="AT838" i="1" s="1"/>
  <c r="AP838" i="1"/>
  <c r="AD838" i="1"/>
  <c r="R838" i="1"/>
  <c r="F838" i="1"/>
  <c r="AI838" i="1"/>
  <c r="U838" i="1"/>
  <c r="E838" i="1"/>
  <c r="AH838" i="1"/>
  <c r="S838" i="1"/>
  <c r="D838" i="1"/>
  <c r="AG838" i="1"/>
  <c r="Q838" i="1"/>
  <c r="AE838" i="1"/>
  <c r="AS838" i="1"/>
  <c r="O838" i="1"/>
  <c r="P838" i="1" s="1"/>
  <c r="AQ838" i="1"/>
  <c r="AB838" i="1"/>
  <c r="N838" i="1"/>
  <c r="AO838" i="1"/>
  <c r="AA838" i="1"/>
  <c r="M838" i="1"/>
  <c r="AN838" i="1"/>
  <c r="Z838" i="1"/>
  <c r="AM838" i="1"/>
  <c r="Y838" i="1"/>
  <c r="K838" i="1"/>
  <c r="L838" i="1" s="1"/>
  <c r="AL838" i="1"/>
  <c r="X838" i="1"/>
  <c r="J838" i="1"/>
  <c r="AY838" i="1"/>
  <c r="AK838" i="1"/>
  <c r="W838" i="1"/>
  <c r="I838" i="1"/>
  <c r="AJ838" i="1"/>
  <c r="V838" i="1"/>
  <c r="G838" i="1"/>
  <c r="AR877" i="1"/>
  <c r="AF877" i="1"/>
  <c r="T877" i="1"/>
  <c r="H877" i="1"/>
  <c r="AT877" i="1" s="1"/>
  <c r="AO877" i="1"/>
  <c r="AB877" i="1"/>
  <c r="O877" i="1"/>
  <c r="P877" i="1" s="1"/>
  <c r="AN877" i="1"/>
  <c r="AA877" i="1"/>
  <c r="N877" i="1"/>
  <c r="AM877" i="1"/>
  <c r="Z877" i="1"/>
  <c r="M877" i="1"/>
  <c r="AY877" i="1"/>
  <c r="AL877" i="1"/>
  <c r="Y877" i="1"/>
  <c r="AK877" i="1"/>
  <c r="X877" i="1"/>
  <c r="K877" i="1"/>
  <c r="L877" i="1" s="1"/>
  <c r="AJ877" i="1"/>
  <c r="W877" i="1"/>
  <c r="J877" i="1"/>
  <c r="AI877" i="1"/>
  <c r="V877" i="1"/>
  <c r="I877" i="1"/>
  <c r="AH877" i="1"/>
  <c r="U877" i="1"/>
  <c r="G877" i="1"/>
  <c r="AG877" i="1"/>
  <c r="S877" i="1"/>
  <c r="F877" i="1"/>
  <c r="AS877" i="1"/>
  <c r="AE877" i="1"/>
  <c r="R877" i="1"/>
  <c r="E877" i="1"/>
  <c r="AQ877" i="1"/>
  <c r="AD877" i="1"/>
  <c r="Q877" i="1"/>
  <c r="D877" i="1"/>
  <c r="AP877" i="1"/>
  <c r="AH873" i="1"/>
  <c r="V873" i="1"/>
  <c r="J873" i="1"/>
  <c r="AS873" i="1"/>
  <c r="AG873" i="1"/>
  <c r="U873" i="1"/>
  <c r="I873" i="1"/>
  <c r="AR873" i="1"/>
  <c r="AF873" i="1"/>
  <c r="T873" i="1"/>
  <c r="H873" i="1"/>
  <c r="AT873" i="1" s="1"/>
  <c r="AQ873" i="1"/>
  <c r="AE873" i="1"/>
  <c r="S873" i="1"/>
  <c r="G873" i="1"/>
  <c r="AP873" i="1"/>
  <c r="AD873" i="1"/>
  <c r="R873" i="1"/>
  <c r="F873" i="1"/>
  <c r="AO873" i="1"/>
  <c r="Q873" i="1"/>
  <c r="E873" i="1"/>
  <c r="AN873" i="1"/>
  <c r="AB873" i="1"/>
  <c r="D873" i="1"/>
  <c r="AY873" i="1"/>
  <c r="AM873" i="1"/>
  <c r="AA873" i="1"/>
  <c r="O873" i="1"/>
  <c r="P873" i="1" s="1"/>
  <c r="AL873" i="1"/>
  <c r="Z873" i="1"/>
  <c r="N873" i="1"/>
  <c r="AK873" i="1"/>
  <c r="Y873" i="1"/>
  <c r="M873" i="1"/>
  <c r="AJ873" i="1"/>
  <c r="X873" i="1"/>
  <c r="AI873" i="1"/>
  <c r="W873" i="1"/>
  <c r="K873" i="1"/>
  <c r="L873" i="1" s="1"/>
  <c r="AP857" i="1"/>
  <c r="AD857" i="1"/>
  <c r="R857" i="1"/>
  <c r="F857" i="1"/>
  <c r="AO857" i="1"/>
  <c r="Q857" i="1"/>
  <c r="E857" i="1"/>
  <c r="AN857" i="1"/>
  <c r="AB857" i="1"/>
  <c r="D857" i="1"/>
  <c r="AY857" i="1"/>
  <c r="AM857" i="1"/>
  <c r="AA857" i="1"/>
  <c r="O857" i="1"/>
  <c r="P857" i="1" s="1"/>
  <c r="AL857" i="1"/>
  <c r="Z857" i="1"/>
  <c r="N857" i="1"/>
  <c r="AK857" i="1"/>
  <c r="Y857" i="1"/>
  <c r="M857" i="1"/>
  <c r="AJ857" i="1"/>
  <c r="X857" i="1"/>
  <c r="AI857" i="1"/>
  <c r="W857" i="1"/>
  <c r="K857" i="1"/>
  <c r="L857" i="1" s="1"/>
  <c r="AH857" i="1"/>
  <c r="V857" i="1"/>
  <c r="J857" i="1"/>
  <c r="AS857" i="1"/>
  <c r="AG857" i="1"/>
  <c r="U857" i="1"/>
  <c r="I857" i="1"/>
  <c r="AR857" i="1"/>
  <c r="AF857" i="1"/>
  <c r="T857" i="1"/>
  <c r="H857" i="1"/>
  <c r="AT857" i="1" s="1"/>
  <c r="AQ857" i="1"/>
  <c r="AE857" i="1"/>
  <c r="S857" i="1"/>
  <c r="G857" i="1"/>
  <c r="AH882" i="1"/>
  <c r="V882" i="1"/>
  <c r="J882" i="1"/>
  <c r="AR882" i="1"/>
  <c r="AF882" i="1"/>
  <c r="T882" i="1"/>
  <c r="H882" i="1"/>
  <c r="AT882" i="1" s="1"/>
  <c r="AG882" i="1"/>
  <c r="R882" i="1"/>
  <c r="D882" i="1"/>
  <c r="AE882" i="1"/>
  <c r="Q882" i="1"/>
  <c r="AS882" i="1"/>
  <c r="AD882" i="1"/>
  <c r="AQ882" i="1"/>
  <c r="O882" i="1"/>
  <c r="P882" i="1" s="1"/>
  <c r="AP882" i="1"/>
  <c r="AB882" i="1"/>
  <c r="N882" i="1"/>
  <c r="AO882" i="1"/>
  <c r="AA882" i="1"/>
  <c r="M882" i="1"/>
  <c r="AN882" i="1"/>
  <c r="Z882" i="1"/>
  <c r="AM882" i="1"/>
  <c r="Y882" i="1"/>
  <c r="K882" i="1"/>
  <c r="L882" i="1" s="1"/>
  <c r="AL882" i="1"/>
  <c r="X882" i="1"/>
  <c r="I882" i="1"/>
  <c r="AY882" i="1"/>
  <c r="AK882" i="1"/>
  <c r="W882" i="1"/>
  <c r="G882" i="1"/>
  <c r="AJ882" i="1"/>
  <c r="U882" i="1"/>
  <c r="F882" i="1"/>
  <c r="AI882" i="1"/>
  <c r="S882" i="1"/>
  <c r="E882" i="1"/>
  <c r="AH900" i="1"/>
  <c r="V900" i="1"/>
  <c r="J900" i="1"/>
  <c r="AS900" i="1"/>
  <c r="AG900" i="1"/>
  <c r="U900" i="1"/>
  <c r="I900" i="1"/>
  <c r="AR900" i="1"/>
  <c r="AF900" i="1"/>
  <c r="T900" i="1"/>
  <c r="H900" i="1"/>
  <c r="AT900" i="1" s="1"/>
  <c r="AQ900" i="1"/>
  <c r="AE900" i="1"/>
  <c r="S900" i="1"/>
  <c r="G900" i="1"/>
  <c r="AP900" i="1"/>
  <c r="AD900" i="1"/>
  <c r="R900" i="1"/>
  <c r="F900" i="1"/>
  <c r="AO900" i="1"/>
  <c r="Q900" i="1"/>
  <c r="E900" i="1"/>
  <c r="AN900" i="1"/>
  <c r="AB900" i="1"/>
  <c r="D900" i="1"/>
  <c r="AY900" i="1"/>
  <c r="AM900" i="1"/>
  <c r="AA900" i="1"/>
  <c r="O900" i="1"/>
  <c r="P900" i="1" s="1"/>
  <c r="AL900" i="1"/>
  <c r="Z900" i="1"/>
  <c r="N900" i="1"/>
  <c r="AK900" i="1"/>
  <c r="Y900" i="1"/>
  <c r="M900" i="1"/>
  <c r="AJ900" i="1"/>
  <c r="X900" i="1"/>
  <c r="AI900" i="1"/>
  <c r="W900" i="1"/>
  <c r="K900" i="1"/>
  <c r="L900" i="1" s="1"/>
  <c r="AP902" i="1"/>
  <c r="AD902" i="1"/>
  <c r="R902" i="1"/>
  <c r="F902" i="1"/>
  <c r="AO902" i="1"/>
  <c r="Q902" i="1"/>
  <c r="E902" i="1"/>
  <c r="AN902" i="1"/>
  <c r="AB902" i="1"/>
  <c r="D902" i="1"/>
  <c r="AY902" i="1"/>
  <c r="AM902" i="1"/>
  <c r="AA902" i="1"/>
  <c r="O902" i="1"/>
  <c r="P902" i="1" s="1"/>
  <c r="AL902" i="1"/>
  <c r="Z902" i="1"/>
  <c r="N902" i="1"/>
  <c r="AK902" i="1"/>
  <c r="Y902" i="1"/>
  <c r="M902" i="1"/>
  <c r="AJ902" i="1"/>
  <c r="X902" i="1"/>
  <c r="AI902" i="1"/>
  <c r="W902" i="1"/>
  <c r="K902" i="1"/>
  <c r="L902" i="1" s="1"/>
  <c r="AH902" i="1"/>
  <c r="V902" i="1"/>
  <c r="J902" i="1"/>
  <c r="AS902" i="1"/>
  <c r="AG902" i="1"/>
  <c r="U902" i="1"/>
  <c r="I902" i="1"/>
  <c r="AR902" i="1"/>
  <c r="AF902" i="1"/>
  <c r="T902" i="1"/>
  <c r="H902" i="1"/>
  <c r="AT902" i="1" s="1"/>
  <c r="AQ902" i="1"/>
  <c r="AE902" i="1"/>
  <c r="S902" i="1"/>
  <c r="G902" i="1"/>
  <c r="AL932" i="1"/>
  <c r="Z932" i="1"/>
  <c r="N932" i="1"/>
  <c r="AK932" i="1"/>
  <c r="Y932" i="1"/>
  <c r="M932" i="1"/>
  <c r="AJ932" i="1"/>
  <c r="X932" i="1"/>
  <c r="AI932" i="1"/>
  <c r="W932" i="1"/>
  <c r="K932" i="1"/>
  <c r="L932" i="1" s="1"/>
  <c r="AH932" i="1"/>
  <c r="V932" i="1"/>
  <c r="J932" i="1"/>
  <c r="AS932" i="1"/>
  <c r="AG932" i="1"/>
  <c r="U932" i="1"/>
  <c r="I932" i="1"/>
  <c r="AR932" i="1"/>
  <c r="AF932" i="1"/>
  <c r="T932" i="1"/>
  <c r="H932" i="1"/>
  <c r="AT932" i="1" s="1"/>
  <c r="AQ932" i="1"/>
  <c r="AE932" i="1"/>
  <c r="S932" i="1"/>
  <c r="G932" i="1"/>
  <c r="AP932" i="1"/>
  <c r="AD932" i="1"/>
  <c r="R932" i="1"/>
  <c r="F932" i="1"/>
  <c r="AO932" i="1"/>
  <c r="Q932" i="1"/>
  <c r="E932" i="1"/>
  <c r="AN932" i="1"/>
  <c r="AB932" i="1"/>
  <c r="D932" i="1"/>
  <c r="AY932" i="1"/>
  <c r="AM932" i="1"/>
  <c r="AA932" i="1"/>
  <c r="O932" i="1"/>
  <c r="P932" i="1" s="1"/>
  <c r="AH934" i="1"/>
  <c r="V934" i="1"/>
  <c r="J934" i="1"/>
  <c r="AS934" i="1"/>
  <c r="AG934" i="1"/>
  <c r="U934" i="1"/>
  <c r="I934" i="1"/>
  <c r="AR934" i="1"/>
  <c r="AF934" i="1"/>
  <c r="T934" i="1"/>
  <c r="H934" i="1"/>
  <c r="AT934" i="1" s="1"/>
  <c r="AQ934" i="1"/>
  <c r="AE934" i="1"/>
  <c r="S934" i="1"/>
  <c r="G934" i="1"/>
  <c r="AP934" i="1"/>
  <c r="AD934" i="1"/>
  <c r="R934" i="1"/>
  <c r="F934" i="1"/>
  <c r="AO934" i="1"/>
  <c r="Q934" i="1"/>
  <c r="E934" i="1"/>
  <c r="AN934" i="1"/>
  <c r="AB934" i="1"/>
  <c r="D934" i="1"/>
  <c r="AY934" i="1"/>
  <c r="AM934" i="1"/>
  <c r="AA934" i="1"/>
  <c r="O934" i="1"/>
  <c r="P934" i="1" s="1"/>
  <c r="AL934" i="1"/>
  <c r="Z934" i="1"/>
  <c r="N934" i="1"/>
  <c r="AK934" i="1"/>
  <c r="Y934" i="1"/>
  <c r="M934" i="1"/>
  <c r="AJ934" i="1"/>
  <c r="X934" i="1"/>
  <c r="AI934" i="1"/>
  <c r="W934" i="1"/>
  <c r="K934" i="1"/>
  <c r="L934" i="1" s="1"/>
  <c r="AN925" i="1"/>
  <c r="AB925" i="1"/>
  <c r="D925" i="1"/>
  <c r="AY925" i="1"/>
  <c r="AM925" i="1"/>
  <c r="AA925" i="1"/>
  <c r="O925" i="1"/>
  <c r="P925" i="1" s="1"/>
  <c r="AL925" i="1"/>
  <c r="Z925" i="1"/>
  <c r="N925" i="1"/>
  <c r="AK925" i="1"/>
  <c r="Y925" i="1"/>
  <c r="M925" i="1"/>
  <c r="AJ925" i="1"/>
  <c r="X925" i="1"/>
  <c r="AI925" i="1"/>
  <c r="W925" i="1"/>
  <c r="K925" i="1"/>
  <c r="L925" i="1" s="1"/>
  <c r="AH925" i="1"/>
  <c r="V925" i="1"/>
  <c r="J925" i="1"/>
  <c r="AS925" i="1"/>
  <c r="AG925" i="1"/>
  <c r="U925" i="1"/>
  <c r="I925" i="1"/>
  <c r="AR925" i="1"/>
  <c r="AF925" i="1"/>
  <c r="AQ925" i="1"/>
  <c r="AE925" i="1"/>
  <c r="S925" i="1"/>
  <c r="G925" i="1"/>
  <c r="AP925" i="1"/>
  <c r="AD925" i="1"/>
  <c r="R925" i="1"/>
  <c r="F925" i="1"/>
  <c r="AO925" i="1"/>
  <c r="Q925" i="1"/>
  <c r="E925" i="1"/>
  <c r="T925" i="1"/>
  <c r="H925" i="1"/>
  <c r="AT925" i="1" s="1"/>
  <c r="AQ976" i="1"/>
  <c r="AE976" i="1"/>
  <c r="S976" i="1"/>
  <c r="G976" i="1"/>
  <c r="AY976" i="1"/>
  <c r="AL976" i="1"/>
  <c r="Z976" i="1"/>
  <c r="N976" i="1"/>
  <c r="AJ976" i="1"/>
  <c r="X976" i="1"/>
  <c r="AD976" i="1"/>
  <c r="O976" i="1"/>
  <c r="P976" i="1" s="1"/>
  <c r="AS976" i="1"/>
  <c r="M976" i="1"/>
  <c r="AR976" i="1"/>
  <c r="AB976" i="1"/>
  <c r="K976" i="1"/>
  <c r="L976" i="1" s="1"/>
  <c r="AP976" i="1"/>
  <c r="AA976" i="1"/>
  <c r="J976" i="1"/>
  <c r="AO976" i="1"/>
  <c r="Y976" i="1"/>
  <c r="I976" i="1"/>
  <c r="AN976" i="1"/>
  <c r="W976" i="1"/>
  <c r="H976" i="1"/>
  <c r="AT976" i="1" s="1"/>
  <c r="AM976" i="1"/>
  <c r="V976" i="1"/>
  <c r="F976" i="1"/>
  <c r="AK976" i="1"/>
  <c r="U976" i="1"/>
  <c r="E976" i="1"/>
  <c r="AI976" i="1"/>
  <c r="T976" i="1"/>
  <c r="D976" i="1"/>
  <c r="AH976" i="1"/>
  <c r="R976" i="1"/>
  <c r="AG976" i="1"/>
  <c r="Q976" i="1"/>
  <c r="AF976" i="1"/>
  <c r="AY966" i="1"/>
  <c r="AM966" i="1"/>
  <c r="AS966" i="1"/>
  <c r="AF966" i="1"/>
  <c r="T966" i="1"/>
  <c r="H966" i="1"/>
  <c r="AT966" i="1" s="1"/>
  <c r="AR966" i="1"/>
  <c r="AE966" i="1"/>
  <c r="S966" i="1"/>
  <c r="G966" i="1"/>
  <c r="AQ966" i="1"/>
  <c r="AD966" i="1"/>
  <c r="R966" i="1"/>
  <c r="F966" i="1"/>
  <c r="AP966" i="1"/>
  <c r="Q966" i="1"/>
  <c r="E966" i="1"/>
  <c r="AO966" i="1"/>
  <c r="AB966" i="1"/>
  <c r="D966" i="1"/>
  <c r="AN966" i="1"/>
  <c r="AA966" i="1"/>
  <c r="O966" i="1"/>
  <c r="P966" i="1" s="1"/>
  <c r="AL966" i="1"/>
  <c r="Z966" i="1"/>
  <c r="N966" i="1"/>
  <c r="AK966" i="1"/>
  <c r="Y966" i="1"/>
  <c r="M966" i="1"/>
  <c r="AJ966" i="1"/>
  <c r="X966" i="1"/>
  <c r="AI966" i="1"/>
  <c r="W966" i="1"/>
  <c r="K966" i="1"/>
  <c r="L966" i="1" s="1"/>
  <c r="AH966" i="1"/>
  <c r="V966" i="1"/>
  <c r="J966" i="1"/>
  <c r="U966" i="1"/>
  <c r="I966" i="1"/>
  <c r="AG966" i="1"/>
  <c r="AK997" i="1"/>
  <c r="Y997" i="1"/>
  <c r="M997" i="1"/>
  <c r="AJ997" i="1"/>
  <c r="X997" i="1"/>
  <c r="AI997" i="1"/>
  <c r="W997" i="1"/>
  <c r="K997" i="1"/>
  <c r="L997" i="1" s="1"/>
  <c r="AH997" i="1"/>
  <c r="V997" i="1"/>
  <c r="J997" i="1"/>
  <c r="AS997" i="1"/>
  <c r="AG997" i="1"/>
  <c r="U997" i="1"/>
  <c r="I997" i="1"/>
  <c r="AR997" i="1"/>
  <c r="AF997" i="1"/>
  <c r="T997" i="1"/>
  <c r="H997" i="1"/>
  <c r="AT997" i="1" s="1"/>
  <c r="AQ997" i="1"/>
  <c r="AE997" i="1"/>
  <c r="S997" i="1"/>
  <c r="G997" i="1"/>
  <c r="AP997" i="1"/>
  <c r="AD997" i="1"/>
  <c r="R997" i="1"/>
  <c r="F997" i="1"/>
  <c r="AO997" i="1"/>
  <c r="Q997" i="1"/>
  <c r="E997" i="1"/>
  <c r="AN997" i="1"/>
  <c r="AB997" i="1"/>
  <c r="D997" i="1"/>
  <c r="AY997" i="1"/>
  <c r="AM997" i="1"/>
  <c r="AA997" i="1"/>
  <c r="O997" i="1"/>
  <c r="P997" i="1" s="1"/>
  <c r="AL997" i="1"/>
  <c r="Z997" i="1"/>
  <c r="N997" i="1"/>
  <c r="AS981" i="1"/>
  <c r="AG981" i="1"/>
  <c r="U981" i="1"/>
  <c r="I981" i="1"/>
  <c r="AR981" i="1"/>
  <c r="AF981" i="1"/>
  <c r="T981" i="1"/>
  <c r="H981" i="1"/>
  <c r="AT981" i="1" s="1"/>
  <c r="AP981" i="1"/>
  <c r="AD981" i="1"/>
  <c r="R981" i="1"/>
  <c r="F981" i="1"/>
  <c r="AO981" i="1"/>
  <c r="Q981" i="1"/>
  <c r="E981" i="1"/>
  <c r="AN981" i="1"/>
  <c r="AB981" i="1"/>
  <c r="D981" i="1"/>
  <c r="AY981" i="1"/>
  <c r="AM981" i="1"/>
  <c r="AA981" i="1"/>
  <c r="O981" i="1"/>
  <c r="P981" i="1" s="1"/>
  <c r="AL981" i="1"/>
  <c r="Z981" i="1"/>
  <c r="N981" i="1"/>
  <c r="AK981" i="1"/>
  <c r="Y981" i="1"/>
  <c r="AJ981" i="1"/>
  <c r="X981" i="1"/>
  <c r="AI981" i="1"/>
  <c r="W981" i="1"/>
  <c r="K981" i="1"/>
  <c r="L981" i="1" s="1"/>
  <c r="AQ981" i="1"/>
  <c r="AH981" i="1"/>
  <c r="AE981" i="1"/>
  <c r="V981" i="1"/>
  <c r="S981" i="1"/>
  <c r="M981" i="1"/>
  <c r="J981" i="1"/>
  <c r="G981" i="1"/>
  <c r="AO995" i="1"/>
  <c r="Q995" i="1"/>
  <c r="E995" i="1"/>
  <c r="AN995" i="1"/>
  <c r="AB995" i="1"/>
  <c r="D995" i="1"/>
  <c r="AY995" i="1"/>
  <c r="AM995" i="1"/>
  <c r="AA995" i="1"/>
  <c r="O995" i="1"/>
  <c r="P995" i="1" s="1"/>
  <c r="AL995" i="1"/>
  <c r="Z995" i="1"/>
  <c r="N995" i="1"/>
  <c r="AK995" i="1"/>
  <c r="Y995" i="1"/>
  <c r="M995" i="1"/>
  <c r="AJ995" i="1"/>
  <c r="X995" i="1"/>
  <c r="AI995" i="1"/>
  <c r="W995" i="1"/>
  <c r="K995" i="1"/>
  <c r="L995" i="1" s="1"/>
  <c r="AH995" i="1"/>
  <c r="V995" i="1"/>
  <c r="J995" i="1"/>
  <c r="AS995" i="1"/>
  <c r="AG995" i="1"/>
  <c r="U995" i="1"/>
  <c r="I995" i="1"/>
  <c r="AR995" i="1"/>
  <c r="AF995" i="1"/>
  <c r="T995" i="1"/>
  <c r="H995" i="1"/>
  <c r="AT995" i="1" s="1"/>
  <c r="AQ995" i="1"/>
  <c r="AE995" i="1"/>
  <c r="S995" i="1"/>
  <c r="G995" i="1"/>
  <c r="AP995" i="1"/>
  <c r="AD995" i="1"/>
  <c r="R995" i="1"/>
  <c r="F995" i="1"/>
  <c r="AJ1016" i="1"/>
  <c r="X1016" i="1"/>
  <c r="AI1016" i="1"/>
  <c r="W1016" i="1"/>
  <c r="K1016" i="1"/>
  <c r="L1016" i="1" s="1"/>
  <c r="AR1016" i="1"/>
  <c r="AF1016" i="1"/>
  <c r="T1016" i="1"/>
  <c r="H1016" i="1"/>
  <c r="AT1016" i="1" s="1"/>
  <c r="AQ1016" i="1"/>
  <c r="AE1016" i="1"/>
  <c r="S1016" i="1"/>
  <c r="G1016" i="1"/>
  <c r="AP1016" i="1"/>
  <c r="AD1016" i="1"/>
  <c r="R1016" i="1"/>
  <c r="F1016" i="1"/>
  <c r="AO1016" i="1"/>
  <c r="Q1016" i="1"/>
  <c r="E1016" i="1"/>
  <c r="AN1016" i="1"/>
  <c r="AB1016" i="1"/>
  <c r="D1016" i="1"/>
  <c r="AY1016" i="1"/>
  <c r="AM1016" i="1"/>
  <c r="AA1016" i="1"/>
  <c r="O1016" i="1"/>
  <c r="P1016" i="1" s="1"/>
  <c r="AL1016" i="1"/>
  <c r="Z1016" i="1"/>
  <c r="N1016" i="1"/>
  <c r="J1016" i="1"/>
  <c r="I1016" i="1"/>
  <c r="AS1016" i="1"/>
  <c r="AK1016" i="1"/>
  <c r="AH1016" i="1"/>
  <c r="AG1016" i="1"/>
  <c r="Y1016" i="1"/>
  <c r="V1016" i="1"/>
  <c r="U1016" i="1"/>
  <c r="M1016" i="1"/>
  <c r="AN1008" i="1"/>
  <c r="AB1008" i="1"/>
  <c r="D1008" i="1"/>
  <c r="AY1008" i="1"/>
  <c r="AM1008" i="1"/>
  <c r="AA1008" i="1"/>
  <c r="O1008" i="1"/>
  <c r="P1008" i="1" s="1"/>
  <c r="AJ1008" i="1"/>
  <c r="X1008" i="1"/>
  <c r="AI1008" i="1"/>
  <c r="W1008" i="1"/>
  <c r="K1008" i="1"/>
  <c r="L1008" i="1" s="1"/>
  <c r="AH1008" i="1"/>
  <c r="V1008" i="1"/>
  <c r="J1008" i="1"/>
  <c r="AS1008" i="1"/>
  <c r="AG1008" i="1"/>
  <c r="U1008" i="1"/>
  <c r="AR1008" i="1"/>
  <c r="AF1008" i="1"/>
  <c r="T1008" i="1"/>
  <c r="AQ1008" i="1"/>
  <c r="AE1008" i="1"/>
  <c r="S1008" i="1"/>
  <c r="G1008" i="1"/>
  <c r="AP1008" i="1"/>
  <c r="AD1008" i="1"/>
  <c r="R1008" i="1"/>
  <c r="F1008" i="1"/>
  <c r="AO1008" i="1"/>
  <c r="AL1008" i="1"/>
  <c r="AK1008" i="1"/>
  <c r="Z1008" i="1"/>
  <c r="Y1008" i="1"/>
  <c r="Q1008" i="1"/>
  <c r="N1008" i="1"/>
  <c r="M1008" i="1"/>
  <c r="I1008" i="1"/>
  <c r="H1008" i="1"/>
  <c r="AT1008" i="1" s="1"/>
  <c r="E1008" i="1"/>
  <c r="AR1026" i="1"/>
  <c r="AF1026" i="1"/>
  <c r="T1026" i="1"/>
  <c r="H1026" i="1"/>
  <c r="AT1026" i="1" s="1"/>
  <c r="AN1026" i="1"/>
  <c r="AB1026" i="1"/>
  <c r="AY1026" i="1"/>
  <c r="AM1026" i="1"/>
  <c r="AA1026" i="1"/>
  <c r="O1026" i="1"/>
  <c r="P1026" i="1" s="1"/>
  <c r="AH1026" i="1"/>
  <c r="R1026" i="1"/>
  <c r="AG1026" i="1"/>
  <c r="Q1026" i="1"/>
  <c r="AD1026" i="1"/>
  <c r="M1026" i="1"/>
  <c r="AS1026" i="1"/>
  <c r="AQ1026" i="1"/>
  <c r="Z1026" i="1"/>
  <c r="K1026" i="1"/>
  <c r="L1026" i="1" s="1"/>
  <c r="AP1026" i="1"/>
  <c r="Y1026" i="1"/>
  <c r="J1026" i="1"/>
  <c r="AO1026" i="1"/>
  <c r="X1026" i="1"/>
  <c r="I1026" i="1"/>
  <c r="AL1026" i="1"/>
  <c r="W1026" i="1"/>
  <c r="G1026" i="1"/>
  <c r="AK1026" i="1"/>
  <c r="V1026" i="1"/>
  <c r="F1026" i="1"/>
  <c r="AJ1026" i="1"/>
  <c r="U1026" i="1"/>
  <c r="E1026" i="1"/>
  <c r="D1026" i="1"/>
  <c r="AI1026" i="1"/>
  <c r="AE1026" i="1"/>
  <c r="S1026" i="1"/>
  <c r="N1026" i="1"/>
  <c r="AP1064" i="1"/>
  <c r="AK1064" i="1"/>
  <c r="Y1064" i="1"/>
  <c r="M1064" i="1"/>
  <c r="AJ1064" i="1"/>
  <c r="X1064" i="1"/>
  <c r="AI1064" i="1"/>
  <c r="W1064" i="1"/>
  <c r="K1064" i="1"/>
  <c r="L1064" i="1" s="1"/>
  <c r="AH1064" i="1"/>
  <c r="V1064" i="1"/>
  <c r="J1064" i="1"/>
  <c r="AG1064" i="1"/>
  <c r="U1064" i="1"/>
  <c r="I1064" i="1"/>
  <c r="AS1064" i="1"/>
  <c r="AF1064" i="1"/>
  <c r="T1064" i="1"/>
  <c r="H1064" i="1"/>
  <c r="AT1064" i="1" s="1"/>
  <c r="AR1064" i="1"/>
  <c r="AE1064" i="1"/>
  <c r="S1064" i="1"/>
  <c r="G1064" i="1"/>
  <c r="AQ1064" i="1"/>
  <c r="AD1064" i="1"/>
  <c r="R1064" i="1"/>
  <c r="F1064" i="1"/>
  <c r="AO1064" i="1"/>
  <c r="Q1064" i="1"/>
  <c r="E1064" i="1"/>
  <c r="AN1064" i="1"/>
  <c r="AB1064" i="1"/>
  <c r="D1064" i="1"/>
  <c r="AM1064" i="1"/>
  <c r="AA1064" i="1"/>
  <c r="O1064" i="1"/>
  <c r="P1064" i="1" s="1"/>
  <c r="AY1064" i="1"/>
  <c r="AL1064" i="1"/>
  <c r="Z1064" i="1"/>
  <c r="N1064" i="1"/>
  <c r="AJ1073" i="1"/>
  <c r="X1073" i="1"/>
  <c r="AI1073" i="1"/>
  <c r="W1073" i="1"/>
  <c r="K1073" i="1"/>
  <c r="L1073" i="1" s="1"/>
  <c r="AH1073" i="1"/>
  <c r="V1073" i="1"/>
  <c r="J1073" i="1"/>
  <c r="AS1073" i="1"/>
  <c r="AG1073" i="1"/>
  <c r="U1073" i="1"/>
  <c r="I1073" i="1"/>
  <c r="AR1073" i="1"/>
  <c r="AF1073" i="1"/>
  <c r="T1073" i="1"/>
  <c r="H1073" i="1"/>
  <c r="AT1073" i="1" s="1"/>
  <c r="AQ1073" i="1"/>
  <c r="AE1073" i="1"/>
  <c r="S1073" i="1"/>
  <c r="G1073" i="1"/>
  <c r="AP1073" i="1"/>
  <c r="AD1073" i="1"/>
  <c r="R1073" i="1"/>
  <c r="AL1073" i="1"/>
  <c r="Z1073" i="1"/>
  <c r="AO1073" i="1"/>
  <c r="M1073" i="1"/>
  <c r="AN1073" i="1"/>
  <c r="F1073" i="1"/>
  <c r="AM1073" i="1"/>
  <c r="E1073" i="1"/>
  <c r="AK1073" i="1"/>
  <c r="D1073" i="1"/>
  <c r="AB1073" i="1"/>
  <c r="AA1073" i="1"/>
  <c r="Y1073" i="1"/>
  <c r="Q1073" i="1"/>
  <c r="AY1073" i="1"/>
  <c r="O1073" i="1"/>
  <c r="P1073" i="1" s="1"/>
  <c r="N1073" i="1"/>
  <c r="AL1085" i="1"/>
  <c r="Z1085" i="1"/>
  <c r="N1085" i="1"/>
  <c r="AY1085" i="1"/>
  <c r="AM1085" i="1"/>
  <c r="Y1085" i="1"/>
  <c r="AK1085" i="1"/>
  <c r="X1085" i="1"/>
  <c r="K1085" i="1"/>
  <c r="L1085" i="1" s="1"/>
  <c r="AJ1085" i="1"/>
  <c r="W1085" i="1"/>
  <c r="J1085" i="1"/>
  <c r="AI1085" i="1"/>
  <c r="V1085" i="1"/>
  <c r="I1085" i="1"/>
  <c r="AH1085" i="1"/>
  <c r="U1085" i="1"/>
  <c r="H1085" i="1"/>
  <c r="AT1085" i="1" s="1"/>
  <c r="AG1085" i="1"/>
  <c r="T1085" i="1"/>
  <c r="G1085" i="1"/>
  <c r="AS1085" i="1"/>
  <c r="AF1085" i="1"/>
  <c r="S1085" i="1"/>
  <c r="F1085" i="1"/>
  <c r="AR1085" i="1"/>
  <c r="AE1085" i="1"/>
  <c r="R1085" i="1"/>
  <c r="E1085" i="1"/>
  <c r="AQ1085" i="1"/>
  <c r="AD1085" i="1"/>
  <c r="Q1085" i="1"/>
  <c r="D1085" i="1"/>
  <c r="AP1085" i="1"/>
  <c r="AO1085" i="1"/>
  <c r="AB1085" i="1"/>
  <c r="O1085" i="1"/>
  <c r="P1085" i="1" s="1"/>
  <c r="AN1085" i="1"/>
  <c r="AA1085" i="1"/>
  <c r="M1085" i="1"/>
  <c r="AR1088" i="1"/>
  <c r="AF1088" i="1"/>
  <c r="T1088" i="1"/>
  <c r="H1088" i="1"/>
  <c r="AT1088" i="1" s="1"/>
  <c r="AS1088" i="1"/>
  <c r="AE1088" i="1"/>
  <c r="R1088" i="1"/>
  <c r="E1088" i="1"/>
  <c r="AQ1088" i="1"/>
  <c r="AD1088" i="1"/>
  <c r="Q1088" i="1"/>
  <c r="D1088" i="1"/>
  <c r="AP1088" i="1"/>
  <c r="AO1088" i="1"/>
  <c r="AB1088" i="1"/>
  <c r="O1088" i="1"/>
  <c r="P1088" i="1" s="1"/>
  <c r="AN1088" i="1"/>
  <c r="AA1088" i="1"/>
  <c r="N1088" i="1"/>
  <c r="AM1088" i="1"/>
  <c r="Z1088" i="1"/>
  <c r="M1088" i="1"/>
  <c r="AY1088" i="1"/>
  <c r="AL1088" i="1"/>
  <c r="Y1088" i="1"/>
  <c r="AK1088" i="1"/>
  <c r="X1088" i="1"/>
  <c r="K1088" i="1"/>
  <c r="L1088" i="1" s="1"/>
  <c r="AJ1088" i="1"/>
  <c r="W1088" i="1"/>
  <c r="J1088" i="1"/>
  <c r="AI1088" i="1"/>
  <c r="V1088" i="1"/>
  <c r="I1088" i="1"/>
  <c r="AH1088" i="1"/>
  <c r="U1088" i="1"/>
  <c r="G1088" i="1"/>
  <c r="AG1088" i="1"/>
  <c r="S1088" i="1"/>
  <c r="F1088" i="1"/>
  <c r="AH1099" i="1"/>
  <c r="V1099" i="1"/>
  <c r="J1099" i="1"/>
  <c r="AS1099" i="1"/>
  <c r="AG1099" i="1"/>
  <c r="U1099" i="1"/>
  <c r="I1099" i="1"/>
  <c r="AR1099" i="1"/>
  <c r="AF1099" i="1"/>
  <c r="T1099" i="1"/>
  <c r="H1099" i="1"/>
  <c r="AT1099" i="1" s="1"/>
  <c r="AQ1099" i="1"/>
  <c r="AE1099" i="1"/>
  <c r="S1099" i="1"/>
  <c r="G1099" i="1"/>
  <c r="AP1099" i="1"/>
  <c r="AD1099" i="1"/>
  <c r="R1099" i="1"/>
  <c r="F1099" i="1"/>
  <c r="AO1099" i="1"/>
  <c r="Q1099" i="1"/>
  <c r="E1099" i="1"/>
  <c r="AN1099" i="1"/>
  <c r="AB1099" i="1"/>
  <c r="D1099" i="1"/>
  <c r="AY1099" i="1"/>
  <c r="AM1099" i="1"/>
  <c r="AA1099" i="1"/>
  <c r="O1099" i="1"/>
  <c r="P1099" i="1" s="1"/>
  <c r="AL1099" i="1"/>
  <c r="Z1099" i="1"/>
  <c r="N1099" i="1"/>
  <c r="AK1099" i="1"/>
  <c r="Y1099" i="1"/>
  <c r="M1099" i="1"/>
  <c r="AJ1099" i="1"/>
  <c r="X1099" i="1"/>
  <c r="K1099" i="1"/>
  <c r="L1099" i="1" s="1"/>
  <c r="AI1099" i="1"/>
  <c r="W1099" i="1"/>
  <c r="AR1104" i="1"/>
  <c r="AF1104" i="1"/>
  <c r="T1104" i="1"/>
  <c r="H1104" i="1"/>
  <c r="AT1104" i="1" s="1"/>
  <c r="AQ1104" i="1"/>
  <c r="AD1104" i="1"/>
  <c r="Q1104" i="1"/>
  <c r="D1104" i="1"/>
  <c r="AP1104" i="1"/>
  <c r="AO1104" i="1"/>
  <c r="AB1104" i="1"/>
  <c r="O1104" i="1"/>
  <c r="P1104" i="1" s="1"/>
  <c r="AN1104" i="1"/>
  <c r="AA1104" i="1"/>
  <c r="N1104" i="1"/>
  <c r="AM1104" i="1"/>
  <c r="Z1104" i="1"/>
  <c r="M1104" i="1"/>
  <c r="AY1104" i="1"/>
  <c r="AL1104" i="1"/>
  <c r="Y1104" i="1"/>
  <c r="AK1104" i="1"/>
  <c r="X1104" i="1"/>
  <c r="K1104" i="1"/>
  <c r="L1104" i="1" s="1"/>
  <c r="AJ1104" i="1"/>
  <c r="W1104" i="1"/>
  <c r="J1104" i="1"/>
  <c r="AI1104" i="1"/>
  <c r="V1104" i="1"/>
  <c r="I1104" i="1"/>
  <c r="AH1104" i="1"/>
  <c r="U1104" i="1"/>
  <c r="G1104" i="1"/>
  <c r="AG1104" i="1"/>
  <c r="S1104" i="1"/>
  <c r="F1104" i="1"/>
  <c r="AE1104" i="1"/>
  <c r="R1104" i="1"/>
  <c r="E1104" i="1"/>
  <c r="AS1104" i="1"/>
  <c r="AO1122" i="1"/>
  <c r="AS1122" i="1"/>
  <c r="AF1122" i="1"/>
  <c r="T1122" i="1"/>
  <c r="H1122" i="1"/>
  <c r="AT1122" i="1" s="1"/>
  <c r="AR1122" i="1"/>
  <c r="AE1122" i="1"/>
  <c r="S1122" i="1"/>
  <c r="G1122" i="1"/>
  <c r="AQ1122" i="1"/>
  <c r="AD1122" i="1"/>
  <c r="R1122" i="1"/>
  <c r="F1122" i="1"/>
  <c r="AP1122" i="1"/>
  <c r="Q1122" i="1"/>
  <c r="E1122" i="1"/>
  <c r="AN1122" i="1"/>
  <c r="AB1122" i="1"/>
  <c r="D1122" i="1"/>
  <c r="AM1122" i="1"/>
  <c r="AA1122" i="1"/>
  <c r="O1122" i="1"/>
  <c r="P1122" i="1" s="1"/>
  <c r="AY1122" i="1"/>
  <c r="AL1122" i="1"/>
  <c r="Z1122" i="1"/>
  <c r="N1122" i="1"/>
  <c r="AK1122" i="1"/>
  <c r="Y1122" i="1"/>
  <c r="M1122" i="1"/>
  <c r="AJ1122" i="1"/>
  <c r="X1122" i="1"/>
  <c r="AI1122" i="1"/>
  <c r="W1122" i="1"/>
  <c r="K1122" i="1"/>
  <c r="L1122" i="1" s="1"/>
  <c r="AH1122" i="1"/>
  <c r="V1122" i="1"/>
  <c r="J1122" i="1"/>
  <c r="U1122" i="1"/>
  <c r="I1122" i="1"/>
  <c r="AG1122" i="1"/>
  <c r="AI1143" i="1"/>
  <c r="W1143" i="1"/>
  <c r="K1143" i="1"/>
  <c r="L1143" i="1" s="1"/>
  <c r="AH1143" i="1"/>
  <c r="V1143" i="1"/>
  <c r="J1143" i="1"/>
  <c r="AS1143" i="1"/>
  <c r="AG1143" i="1"/>
  <c r="U1143" i="1"/>
  <c r="I1143" i="1"/>
  <c r="AR1143" i="1"/>
  <c r="AF1143" i="1"/>
  <c r="T1143" i="1"/>
  <c r="H1143" i="1"/>
  <c r="AT1143" i="1" s="1"/>
  <c r="AQ1143" i="1"/>
  <c r="AE1143" i="1"/>
  <c r="S1143" i="1"/>
  <c r="G1143" i="1"/>
  <c r="AP1143" i="1"/>
  <c r="AD1143" i="1"/>
  <c r="R1143" i="1"/>
  <c r="F1143" i="1"/>
  <c r="AO1143" i="1"/>
  <c r="Q1143" i="1"/>
  <c r="E1143" i="1"/>
  <c r="AN1143" i="1"/>
  <c r="AB1143" i="1"/>
  <c r="D1143" i="1"/>
  <c r="AY1143" i="1"/>
  <c r="AM1143" i="1"/>
  <c r="AA1143" i="1"/>
  <c r="O1143" i="1"/>
  <c r="P1143" i="1" s="1"/>
  <c r="AL1143" i="1"/>
  <c r="Z1143" i="1"/>
  <c r="N1143" i="1"/>
  <c r="AK1143" i="1"/>
  <c r="Y1143" i="1"/>
  <c r="M1143" i="1"/>
  <c r="X1143" i="1"/>
  <c r="AJ1143" i="1"/>
  <c r="AL1146" i="1"/>
  <c r="Z1146" i="1"/>
  <c r="N1146" i="1"/>
  <c r="AS1146" i="1"/>
  <c r="AF1146" i="1"/>
  <c r="S1146" i="1"/>
  <c r="F1146" i="1"/>
  <c r="AR1146" i="1"/>
  <c r="AE1146" i="1"/>
  <c r="R1146" i="1"/>
  <c r="E1146" i="1"/>
  <c r="AQ1146" i="1"/>
  <c r="AD1146" i="1"/>
  <c r="Q1146" i="1"/>
  <c r="D1146" i="1"/>
  <c r="AP1146" i="1"/>
  <c r="AO1146" i="1"/>
  <c r="AB1146" i="1"/>
  <c r="O1146" i="1"/>
  <c r="P1146" i="1" s="1"/>
  <c r="AN1146" i="1"/>
  <c r="AA1146" i="1"/>
  <c r="M1146" i="1"/>
  <c r="AY1146" i="1"/>
  <c r="AM1146" i="1"/>
  <c r="Y1146" i="1"/>
  <c r="AK1146" i="1"/>
  <c r="X1146" i="1"/>
  <c r="K1146" i="1"/>
  <c r="L1146" i="1" s="1"/>
  <c r="AJ1146" i="1"/>
  <c r="W1146" i="1"/>
  <c r="J1146" i="1"/>
  <c r="AI1146" i="1"/>
  <c r="V1146" i="1"/>
  <c r="I1146" i="1"/>
  <c r="AH1146" i="1"/>
  <c r="U1146" i="1"/>
  <c r="H1146" i="1"/>
  <c r="AT1146" i="1" s="1"/>
  <c r="AG1146" i="1"/>
  <c r="T1146" i="1"/>
  <c r="G1146" i="1"/>
  <c r="AH1160" i="1"/>
  <c r="V1160" i="1"/>
  <c r="J1160" i="1"/>
  <c r="AS1160" i="1"/>
  <c r="AG1160" i="1"/>
  <c r="U1160" i="1"/>
  <c r="I1160" i="1"/>
  <c r="AR1160" i="1"/>
  <c r="AF1160" i="1"/>
  <c r="T1160" i="1"/>
  <c r="H1160" i="1"/>
  <c r="AT1160" i="1" s="1"/>
  <c r="AQ1160" i="1"/>
  <c r="AE1160" i="1"/>
  <c r="S1160" i="1"/>
  <c r="G1160" i="1"/>
  <c r="AP1160" i="1"/>
  <c r="AD1160" i="1"/>
  <c r="R1160" i="1"/>
  <c r="F1160" i="1"/>
  <c r="AO1160" i="1"/>
  <c r="Q1160" i="1"/>
  <c r="E1160" i="1"/>
  <c r="AN1160" i="1"/>
  <c r="AB1160" i="1"/>
  <c r="D1160" i="1"/>
  <c r="AY1160" i="1"/>
  <c r="AM1160" i="1"/>
  <c r="AA1160" i="1"/>
  <c r="O1160" i="1"/>
  <c r="P1160" i="1" s="1"/>
  <c r="AL1160" i="1"/>
  <c r="Z1160" i="1"/>
  <c r="N1160" i="1"/>
  <c r="AK1160" i="1"/>
  <c r="Y1160" i="1"/>
  <c r="M1160" i="1"/>
  <c r="AJ1160" i="1"/>
  <c r="X1160" i="1"/>
  <c r="AI1160" i="1"/>
  <c r="W1160" i="1"/>
  <c r="K1160" i="1"/>
  <c r="L1160" i="1" s="1"/>
  <c r="AK1176" i="1"/>
  <c r="Y1176" i="1"/>
  <c r="M1176" i="1"/>
  <c r="AJ1176" i="1"/>
  <c r="X1176" i="1"/>
  <c r="AI1176" i="1"/>
  <c r="W1176" i="1"/>
  <c r="K1176" i="1"/>
  <c r="L1176" i="1" s="1"/>
  <c r="AH1176" i="1"/>
  <c r="V1176" i="1"/>
  <c r="J1176" i="1"/>
  <c r="AS1176" i="1"/>
  <c r="AG1176" i="1"/>
  <c r="U1176" i="1"/>
  <c r="I1176" i="1"/>
  <c r="AR1176" i="1"/>
  <c r="AF1176" i="1"/>
  <c r="T1176" i="1"/>
  <c r="H1176" i="1"/>
  <c r="AT1176" i="1" s="1"/>
  <c r="AQ1176" i="1"/>
  <c r="AE1176" i="1"/>
  <c r="S1176" i="1"/>
  <c r="G1176" i="1"/>
  <c r="AP1176" i="1"/>
  <c r="AD1176" i="1"/>
  <c r="R1176" i="1"/>
  <c r="F1176" i="1"/>
  <c r="AO1176" i="1"/>
  <c r="Q1176" i="1"/>
  <c r="E1176" i="1"/>
  <c r="AN1176" i="1"/>
  <c r="AB1176" i="1"/>
  <c r="D1176" i="1"/>
  <c r="AY1176" i="1"/>
  <c r="AM1176" i="1"/>
  <c r="AA1176" i="1"/>
  <c r="O1176" i="1"/>
  <c r="P1176" i="1" s="1"/>
  <c r="AL1176" i="1"/>
  <c r="Z1176" i="1"/>
  <c r="N1176" i="1"/>
  <c r="AY1169" i="1"/>
  <c r="AM1169" i="1"/>
  <c r="AA1169" i="1"/>
  <c r="O1169" i="1"/>
  <c r="P1169" i="1" s="1"/>
  <c r="AJ1169" i="1"/>
  <c r="W1169" i="1"/>
  <c r="J1169" i="1"/>
  <c r="AI1169" i="1"/>
  <c r="V1169" i="1"/>
  <c r="I1169" i="1"/>
  <c r="AH1169" i="1"/>
  <c r="U1169" i="1"/>
  <c r="H1169" i="1"/>
  <c r="AT1169" i="1" s="1"/>
  <c r="AG1169" i="1"/>
  <c r="T1169" i="1"/>
  <c r="G1169" i="1"/>
  <c r="AS1169" i="1"/>
  <c r="AF1169" i="1"/>
  <c r="S1169" i="1"/>
  <c r="F1169" i="1"/>
  <c r="AR1169" i="1"/>
  <c r="AE1169" i="1"/>
  <c r="R1169" i="1"/>
  <c r="E1169" i="1"/>
  <c r="AQ1169" i="1"/>
  <c r="AD1169" i="1"/>
  <c r="Q1169" i="1"/>
  <c r="D1169" i="1"/>
  <c r="AP1169" i="1"/>
  <c r="AO1169" i="1"/>
  <c r="AB1169" i="1"/>
  <c r="N1169" i="1"/>
  <c r="AN1169" i="1"/>
  <c r="Z1169" i="1"/>
  <c r="M1169" i="1"/>
  <c r="AL1169" i="1"/>
  <c r="Y1169" i="1"/>
  <c r="AK1169" i="1"/>
  <c r="X1169" i="1"/>
  <c r="K1169" i="1"/>
  <c r="L1169" i="1" s="1"/>
  <c r="AN1186" i="1"/>
  <c r="AB1186" i="1"/>
  <c r="D1186" i="1"/>
  <c r="AY1186" i="1"/>
  <c r="AM1186" i="1"/>
  <c r="AA1186" i="1"/>
  <c r="O1186" i="1"/>
  <c r="P1186" i="1" s="1"/>
  <c r="AL1186" i="1"/>
  <c r="Z1186" i="1"/>
  <c r="N1186" i="1"/>
  <c r="AK1186" i="1"/>
  <c r="Y1186" i="1"/>
  <c r="M1186" i="1"/>
  <c r="AJ1186" i="1"/>
  <c r="X1186" i="1"/>
  <c r="AI1186" i="1"/>
  <c r="W1186" i="1"/>
  <c r="K1186" i="1"/>
  <c r="L1186" i="1" s="1"/>
  <c r="AH1186" i="1"/>
  <c r="V1186" i="1"/>
  <c r="J1186" i="1"/>
  <c r="AS1186" i="1"/>
  <c r="AG1186" i="1"/>
  <c r="U1186" i="1"/>
  <c r="I1186" i="1"/>
  <c r="AR1186" i="1"/>
  <c r="AF1186" i="1"/>
  <c r="T1186" i="1"/>
  <c r="H1186" i="1"/>
  <c r="AT1186" i="1" s="1"/>
  <c r="AQ1186" i="1"/>
  <c r="AE1186" i="1"/>
  <c r="S1186" i="1"/>
  <c r="G1186" i="1"/>
  <c r="AP1186" i="1"/>
  <c r="AO1186" i="1"/>
  <c r="AD1186" i="1"/>
  <c r="R1186" i="1"/>
  <c r="Q1186" i="1"/>
  <c r="F1186" i="1"/>
  <c r="E1186" i="1"/>
  <c r="AD12" i="1"/>
  <c r="F12" i="1"/>
  <c r="AO12" i="1"/>
  <c r="E12" i="1"/>
  <c r="AN12" i="1"/>
  <c r="AM12" i="1"/>
  <c r="AA12" i="1"/>
  <c r="Z65" i="1" s="1"/>
  <c r="AL12" i="1"/>
  <c r="AK12" i="1"/>
  <c r="AJ12" i="1"/>
  <c r="W12" i="1"/>
  <c r="AS12" i="1"/>
  <c r="H12" i="1"/>
  <c r="AT12" i="1" s="1"/>
  <c r="AE12" i="1"/>
  <c r="G12" i="1"/>
  <c r="I12" i="1" s="1"/>
  <c r="AJ25" i="1"/>
  <c r="W25" i="1"/>
  <c r="AE25" i="1"/>
  <c r="G25" i="1"/>
  <c r="I25" i="1" s="1"/>
  <c r="AD25" i="1"/>
  <c r="F25" i="1"/>
  <c r="AO25" i="1"/>
  <c r="E25" i="1"/>
  <c r="AK25" i="1"/>
  <c r="AS25" i="1"/>
  <c r="AN25" i="1"/>
  <c r="AM25" i="1"/>
  <c r="AL25" i="1"/>
  <c r="H25" i="1"/>
  <c r="AT25" i="1" s="1"/>
  <c r="AA25" i="1"/>
  <c r="AL78" i="1"/>
  <c r="Z78" i="1"/>
  <c r="N78" i="1"/>
  <c r="AK78" i="1"/>
  <c r="Y78" i="1"/>
  <c r="M78" i="1"/>
  <c r="AJ78" i="1"/>
  <c r="X78" i="1"/>
  <c r="AI78" i="1"/>
  <c r="W78" i="1"/>
  <c r="K78" i="1"/>
  <c r="L78" i="1" s="1"/>
  <c r="AH78" i="1"/>
  <c r="V78" i="1"/>
  <c r="J78" i="1"/>
  <c r="AS78" i="1"/>
  <c r="AG78" i="1"/>
  <c r="U78" i="1"/>
  <c r="I78" i="1"/>
  <c r="AR78" i="1"/>
  <c r="AF78" i="1"/>
  <c r="T78" i="1"/>
  <c r="H78" i="1"/>
  <c r="AT78" i="1" s="1"/>
  <c r="AQ78" i="1"/>
  <c r="AE78" i="1"/>
  <c r="S78" i="1"/>
  <c r="G78" i="1"/>
  <c r="AP78" i="1"/>
  <c r="AD78" i="1"/>
  <c r="R78" i="1"/>
  <c r="F78" i="1"/>
  <c r="AO78" i="1"/>
  <c r="Q78" i="1"/>
  <c r="E78" i="1"/>
  <c r="AN78" i="1"/>
  <c r="AB78" i="1"/>
  <c r="D78" i="1"/>
  <c r="AY78" i="1"/>
  <c r="AM78" i="1"/>
  <c r="AA78" i="1"/>
  <c r="O78" i="1"/>
  <c r="P78" i="1" s="1"/>
  <c r="AJ73" i="1"/>
  <c r="X73" i="1"/>
  <c r="AI73" i="1"/>
  <c r="W73" i="1"/>
  <c r="K73" i="1"/>
  <c r="L73" i="1" s="1"/>
  <c r="AH73" i="1"/>
  <c r="V73" i="1"/>
  <c r="J73" i="1"/>
  <c r="AS73" i="1"/>
  <c r="AG73" i="1"/>
  <c r="U73" i="1"/>
  <c r="I73" i="1"/>
  <c r="AR73" i="1"/>
  <c r="AF73" i="1"/>
  <c r="T73" i="1"/>
  <c r="H73" i="1"/>
  <c r="AT73" i="1" s="1"/>
  <c r="AQ73" i="1"/>
  <c r="AE73" i="1"/>
  <c r="S73" i="1"/>
  <c r="G73" i="1"/>
  <c r="AP73" i="1"/>
  <c r="AD73" i="1"/>
  <c r="R73" i="1"/>
  <c r="F73" i="1"/>
  <c r="AO73" i="1"/>
  <c r="Q73" i="1"/>
  <c r="E73" i="1"/>
  <c r="AN73" i="1"/>
  <c r="AB73" i="1"/>
  <c r="D73" i="1"/>
  <c r="AY73" i="1"/>
  <c r="AM73" i="1"/>
  <c r="AA73" i="1"/>
  <c r="O73" i="1"/>
  <c r="P73" i="1" s="1"/>
  <c r="AL73" i="1"/>
  <c r="Z73" i="1"/>
  <c r="N73" i="1"/>
  <c r="AK73" i="1"/>
  <c r="Y73" i="1"/>
  <c r="M73" i="1"/>
  <c r="AS62" i="1"/>
  <c r="H62" i="1"/>
  <c r="AT62" i="1" s="1"/>
  <c r="AE62" i="1"/>
  <c r="G62" i="1"/>
  <c r="I62" i="1" s="1"/>
  <c r="AD62" i="1"/>
  <c r="F62" i="1"/>
  <c r="AO62" i="1"/>
  <c r="E62" i="1"/>
  <c r="AN62" i="1"/>
  <c r="AM62" i="1"/>
  <c r="AA62" i="1"/>
  <c r="Z62" i="1" s="1"/>
  <c r="AL62" i="1"/>
  <c r="AK62" i="1"/>
  <c r="AJ62" i="1"/>
  <c r="W62" i="1"/>
  <c r="H45" i="1"/>
  <c r="AT45" i="1" s="1"/>
  <c r="AE45" i="1"/>
  <c r="G45" i="1"/>
  <c r="I45" i="1" s="1"/>
  <c r="AD45" i="1"/>
  <c r="F45" i="1"/>
  <c r="AO45" i="1"/>
  <c r="E45" i="1"/>
  <c r="AN45" i="1"/>
  <c r="AM45" i="1"/>
  <c r="AA45" i="1"/>
  <c r="AL45" i="1"/>
  <c r="AK45" i="1"/>
  <c r="AJ45" i="1"/>
  <c r="W45" i="1"/>
  <c r="AS45" i="1"/>
  <c r="AD52" i="1"/>
  <c r="F52" i="1"/>
  <c r="AO52" i="1"/>
  <c r="E52" i="1"/>
  <c r="AN52" i="1"/>
  <c r="AM52" i="1"/>
  <c r="AA52" i="1"/>
  <c r="Z52" i="1" s="1"/>
  <c r="AL52" i="1"/>
  <c r="AK52" i="1"/>
  <c r="AJ52" i="1"/>
  <c r="W52" i="1"/>
  <c r="AS52" i="1"/>
  <c r="H52" i="1"/>
  <c r="AT52" i="1" s="1"/>
  <c r="AE52" i="1"/>
  <c r="G52" i="1"/>
  <c r="I52" i="1" s="1"/>
  <c r="AN35" i="1"/>
  <c r="AM35" i="1"/>
  <c r="AA35" i="1"/>
  <c r="AL35" i="1"/>
  <c r="AK35" i="1"/>
  <c r="AJ35" i="1"/>
  <c r="W35" i="1"/>
  <c r="AS35" i="1"/>
  <c r="AD35" i="1"/>
  <c r="AO35" i="1"/>
  <c r="E35" i="1"/>
  <c r="AE35" i="1"/>
  <c r="H35" i="1"/>
  <c r="AT35" i="1" s="1"/>
  <c r="G35" i="1"/>
  <c r="I35" i="1" s="1"/>
  <c r="F35" i="1"/>
  <c r="AL105" i="1"/>
  <c r="Z105" i="1"/>
  <c r="N105" i="1"/>
  <c r="AK105" i="1"/>
  <c r="Y105" i="1"/>
  <c r="M105" i="1"/>
  <c r="AS105" i="1"/>
  <c r="AG105" i="1"/>
  <c r="U105" i="1"/>
  <c r="I105" i="1"/>
  <c r="AR105" i="1"/>
  <c r="AF105" i="1"/>
  <c r="T105" i="1"/>
  <c r="H105" i="1"/>
  <c r="AT105" i="1" s="1"/>
  <c r="AQ105" i="1"/>
  <c r="AE105" i="1"/>
  <c r="S105" i="1"/>
  <c r="G105" i="1"/>
  <c r="AY105" i="1"/>
  <c r="AM105" i="1"/>
  <c r="AA105" i="1"/>
  <c r="O105" i="1"/>
  <c r="P105" i="1" s="1"/>
  <c r="W105" i="1"/>
  <c r="V105" i="1"/>
  <c r="AP105" i="1"/>
  <c r="R105" i="1"/>
  <c r="AO105" i="1"/>
  <c r="Q105" i="1"/>
  <c r="AN105" i="1"/>
  <c r="AJ105" i="1"/>
  <c r="AI105" i="1"/>
  <c r="K105" i="1"/>
  <c r="L105" i="1" s="1"/>
  <c r="AH105" i="1"/>
  <c r="J105" i="1"/>
  <c r="AD105" i="1"/>
  <c r="F105" i="1"/>
  <c r="E105" i="1"/>
  <c r="AB105" i="1"/>
  <c r="D105" i="1"/>
  <c r="X105" i="1"/>
  <c r="AO178" i="1"/>
  <c r="Q178" i="1"/>
  <c r="E178" i="1"/>
  <c r="AN178" i="1"/>
  <c r="AB178" i="1"/>
  <c r="D178" i="1"/>
  <c r="AJ178" i="1"/>
  <c r="X178" i="1"/>
  <c r="AI178" i="1"/>
  <c r="W178" i="1"/>
  <c r="K178" i="1"/>
  <c r="L178" i="1" s="1"/>
  <c r="AH178" i="1"/>
  <c r="V178" i="1"/>
  <c r="J178" i="1"/>
  <c r="AP178" i="1"/>
  <c r="AD178" i="1"/>
  <c r="R178" i="1"/>
  <c r="F178" i="1"/>
  <c r="AS178" i="1"/>
  <c r="Y178" i="1"/>
  <c r="AR178" i="1"/>
  <c r="U178" i="1"/>
  <c r="AQ178" i="1"/>
  <c r="T178" i="1"/>
  <c r="AM178" i="1"/>
  <c r="S178" i="1"/>
  <c r="AL178" i="1"/>
  <c r="O178" i="1"/>
  <c r="P178" i="1" s="1"/>
  <c r="AK178" i="1"/>
  <c r="N178" i="1"/>
  <c r="AG178" i="1"/>
  <c r="M178" i="1"/>
  <c r="AF178" i="1"/>
  <c r="I178" i="1"/>
  <c r="AE178" i="1"/>
  <c r="H178" i="1"/>
  <c r="AT178" i="1" s="1"/>
  <c r="AY178" i="1"/>
  <c r="G178" i="1"/>
  <c r="AA178" i="1"/>
  <c r="Z178" i="1"/>
  <c r="AI199" i="1"/>
  <c r="W199" i="1"/>
  <c r="K199" i="1"/>
  <c r="L199" i="1" s="1"/>
  <c r="AH199" i="1"/>
  <c r="V199" i="1"/>
  <c r="J199" i="1"/>
  <c r="AS199" i="1"/>
  <c r="AG199" i="1"/>
  <c r="U199" i="1"/>
  <c r="I199" i="1"/>
  <c r="AR199" i="1"/>
  <c r="AF199" i="1"/>
  <c r="T199" i="1"/>
  <c r="H199" i="1"/>
  <c r="AT199" i="1" s="1"/>
  <c r="AQ199" i="1"/>
  <c r="AE199" i="1"/>
  <c r="S199" i="1"/>
  <c r="G199" i="1"/>
  <c r="AP199" i="1"/>
  <c r="AD199" i="1"/>
  <c r="R199" i="1"/>
  <c r="F199" i="1"/>
  <c r="AO199" i="1"/>
  <c r="Q199" i="1"/>
  <c r="E199" i="1"/>
  <c r="AN199" i="1"/>
  <c r="AB199" i="1"/>
  <c r="D199" i="1"/>
  <c r="AY199" i="1"/>
  <c r="AM199" i="1"/>
  <c r="AA199" i="1"/>
  <c r="O199" i="1"/>
  <c r="P199" i="1" s="1"/>
  <c r="AL199" i="1"/>
  <c r="Z199" i="1"/>
  <c r="N199" i="1"/>
  <c r="AK199" i="1"/>
  <c r="Y199" i="1"/>
  <c r="M199" i="1"/>
  <c r="AJ199" i="1"/>
  <c r="X199" i="1"/>
  <c r="AH167" i="1"/>
  <c r="V167" i="1"/>
  <c r="J167" i="1"/>
  <c r="AS167" i="1"/>
  <c r="AG167" i="1"/>
  <c r="U167" i="1"/>
  <c r="I167" i="1"/>
  <c r="AR167" i="1"/>
  <c r="AF167" i="1"/>
  <c r="T167" i="1"/>
  <c r="H167" i="1"/>
  <c r="AT167" i="1" s="1"/>
  <c r="AQ167" i="1"/>
  <c r="AE167" i="1"/>
  <c r="S167" i="1"/>
  <c r="G167" i="1"/>
  <c r="AP167" i="1"/>
  <c r="AD167" i="1"/>
  <c r="R167" i="1"/>
  <c r="F167" i="1"/>
  <c r="AO167" i="1"/>
  <c r="Q167" i="1"/>
  <c r="E167" i="1"/>
  <c r="AN167" i="1"/>
  <c r="AB167" i="1"/>
  <c r="D167" i="1"/>
  <c r="AY167" i="1"/>
  <c r="AM167" i="1"/>
  <c r="AA167" i="1"/>
  <c r="O167" i="1"/>
  <c r="P167" i="1" s="1"/>
  <c r="AL167" i="1"/>
  <c r="Z167" i="1"/>
  <c r="N167" i="1"/>
  <c r="AK167" i="1"/>
  <c r="Y167" i="1"/>
  <c r="M167" i="1"/>
  <c r="AJ167" i="1"/>
  <c r="X167" i="1"/>
  <c r="AI167" i="1"/>
  <c r="W167" i="1"/>
  <c r="K167" i="1"/>
  <c r="L167" i="1" s="1"/>
  <c r="AR162" i="1"/>
  <c r="AF162" i="1"/>
  <c r="T162" i="1"/>
  <c r="H162" i="1"/>
  <c r="AT162" i="1" s="1"/>
  <c r="AQ162" i="1"/>
  <c r="AE162" i="1"/>
  <c r="S162" i="1"/>
  <c r="G162" i="1"/>
  <c r="AP162" i="1"/>
  <c r="AD162" i="1"/>
  <c r="R162" i="1"/>
  <c r="F162" i="1"/>
  <c r="AO162" i="1"/>
  <c r="Q162" i="1"/>
  <c r="E162" i="1"/>
  <c r="AN162" i="1"/>
  <c r="AB162" i="1"/>
  <c r="D162" i="1"/>
  <c r="AY162" i="1"/>
  <c r="AM162" i="1"/>
  <c r="AA162" i="1"/>
  <c r="O162" i="1"/>
  <c r="P162" i="1" s="1"/>
  <c r="AL162" i="1"/>
  <c r="Z162" i="1"/>
  <c r="N162" i="1"/>
  <c r="AK162" i="1"/>
  <c r="Y162" i="1"/>
  <c r="M162" i="1"/>
  <c r="AJ162" i="1"/>
  <c r="X162" i="1"/>
  <c r="AI162" i="1"/>
  <c r="W162" i="1"/>
  <c r="K162" i="1"/>
  <c r="L162" i="1" s="1"/>
  <c r="AH162" i="1"/>
  <c r="V162" i="1"/>
  <c r="J162" i="1"/>
  <c r="AS162" i="1"/>
  <c r="AG162" i="1"/>
  <c r="U162" i="1"/>
  <c r="I162" i="1"/>
  <c r="AI181" i="1"/>
  <c r="W181" i="1"/>
  <c r="K181" i="1"/>
  <c r="L181" i="1" s="1"/>
  <c r="AH181" i="1"/>
  <c r="V181" i="1"/>
  <c r="J181" i="1"/>
  <c r="AP181" i="1"/>
  <c r="AD181" i="1"/>
  <c r="R181" i="1"/>
  <c r="F181" i="1"/>
  <c r="AO181" i="1"/>
  <c r="Q181" i="1"/>
  <c r="E181" i="1"/>
  <c r="AN181" i="1"/>
  <c r="AB181" i="1"/>
  <c r="D181" i="1"/>
  <c r="AJ181" i="1"/>
  <c r="X181" i="1"/>
  <c r="AF181" i="1"/>
  <c r="I181" i="1"/>
  <c r="AE181" i="1"/>
  <c r="H181" i="1"/>
  <c r="AT181" i="1" s="1"/>
  <c r="AY181" i="1"/>
  <c r="G181" i="1"/>
  <c r="AA181" i="1"/>
  <c r="Z181" i="1"/>
  <c r="AS181" i="1"/>
  <c r="Y181" i="1"/>
  <c r="AR181" i="1"/>
  <c r="U181" i="1"/>
  <c r="AQ181" i="1"/>
  <c r="T181" i="1"/>
  <c r="AM181" i="1"/>
  <c r="S181" i="1"/>
  <c r="AL181" i="1"/>
  <c r="O181" i="1"/>
  <c r="P181" i="1" s="1"/>
  <c r="AK181" i="1"/>
  <c r="N181" i="1"/>
  <c r="AG181" i="1"/>
  <c r="M181" i="1"/>
  <c r="AN164" i="1"/>
  <c r="AB164" i="1"/>
  <c r="D164" i="1"/>
  <c r="AY164" i="1"/>
  <c r="AM164" i="1"/>
  <c r="AA164" i="1"/>
  <c r="O164" i="1"/>
  <c r="P164" i="1" s="1"/>
  <c r="AL164" i="1"/>
  <c r="Z164" i="1"/>
  <c r="N164" i="1"/>
  <c r="AK164" i="1"/>
  <c r="Y164" i="1"/>
  <c r="M164" i="1"/>
  <c r="AJ164" i="1"/>
  <c r="X164" i="1"/>
  <c r="AI164" i="1"/>
  <c r="W164" i="1"/>
  <c r="K164" i="1"/>
  <c r="L164" i="1" s="1"/>
  <c r="AH164" i="1"/>
  <c r="V164" i="1"/>
  <c r="J164" i="1"/>
  <c r="AS164" i="1"/>
  <c r="AG164" i="1"/>
  <c r="U164" i="1"/>
  <c r="I164" i="1"/>
  <c r="AR164" i="1"/>
  <c r="AF164" i="1"/>
  <c r="T164" i="1"/>
  <c r="H164" i="1"/>
  <c r="AT164" i="1" s="1"/>
  <c r="AQ164" i="1"/>
  <c r="AE164" i="1"/>
  <c r="S164" i="1"/>
  <c r="G164" i="1"/>
  <c r="AP164" i="1"/>
  <c r="AD164" i="1"/>
  <c r="R164" i="1"/>
  <c r="F164" i="1"/>
  <c r="AO164" i="1"/>
  <c r="Q164" i="1"/>
  <c r="E164" i="1"/>
  <c r="AK210" i="1"/>
  <c r="Y210" i="1"/>
  <c r="M210" i="1"/>
  <c r="AJ210" i="1"/>
  <c r="X210" i="1"/>
  <c r="AI210" i="1"/>
  <c r="W210" i="1"/>
  <c r="K210" i="1"/>
  <c r="L210" i="1" s="1"/>
  <c r="AH210" i="1"/>
  <c r="V210" i="1"/>
  <c r="J210" i="1"/>
  <c r="AS210" i="1"/>
  <c r="AG210" i="1"/>
  <c r="U210" i="1"/>
  <c r="I210" i="1"/>
  <c r="AR210" i="1"/>
  <c r="AF210" i="1"/>
  <c r="T210" i="1"/>
  <c r="H210" i="1"/>
  <c r="AT210" i="1" s="1"/>
  <c r="AQ210" i="1"/>
  <c r="AE210" i="1"/>
  <c r="S210" i="1"/>
  <c r="G210" i="1"/>
  <c r="AP210" i="1"/>
  <c r="AD210" i="1"/>
  <c r="R210" i="1"/>
  <c r="F210" i="1"/>
  <c r="AO210" i="1"/>
  <c r="Q210" i="1"/>
  <c r="E210" i="1"/>
  <c r="AN210" i="1"/>
  <c r="AB210" i="1"/>
  <c r="D210" i="1"/>
  <c r="AY210" i="1"/>
  <c r="AM210" i="1"/>
  <c r="AA210" i="1"/>
  <c r="O210" i="1"/>
  <c r="P210" i="1" s="1"/>
  <c r="AL210" i="1"/>
  <c r="Z210" i="1"/>
  <c r="N210" i="1"/>
  <c r="AI223" i="1"/>
  <c r="W223" i="1"/>
  <c r="K223" i="1"/>
  <c r="L223" i="1" s="1"/>
  <c r="AH223" i="1"/>
  <c r="V223" i="1"/>
  <c r="J223" i="1"/>
  <c r="AS223" i="1"/>
  <c r="AG223" i="1"/>
  <c r="U223" i="1"/>
  <c r="I223" i="1"/>
  <c r="AR223" i="1"/>
  <c r="AF223" i="1"/>
  <c r="T223" i="1"/>
  <c r="H223" i="1"/>
  <c r="AT223" i="1" s="1"/>
  <c r="AQ223" i="1"/>
  <c r="AE223" i="1"/>
  <c r="S223" i="1"/>
  <c r="G223" i="1"/>
  <c r="AP223" i="1"/>
  <c r="AD223" i="1"/>
  <c r="R223" i="1"/>
  <c r="F223" i="1"/>
  <c r="AO223" i="1"/>
  <c r="Q223" i="1"/>
  <c r="E223" i="1"/>
  <c r="AN223" i="1"/>
  <c r="AB223" i="1"/>
  <c r="D223" i="1"/>
  <c r="AY223" i="1"/>
  <c r="AM223" i="1"/>
  <c r="AA223" i="1"/>
  <c r="O223" i="1"/>
  <c r="P223" i="1" s="1"/>
  <c r="AL223" i="1"/>
  <c r="Z223" i="1"/>
  <c r="N223" i="1"/>
  <c r="AK223" i="1"/>
  <c r="Y223" i="1"/>
  <c r="M223" i="1"/>
  <c r="AJ223" i="1"/>
  <c r="X223" i="1"/>
  <c r="AS212" i="1"/>
  <c r="AG212" i="1"/>
  <c r="U212" i="1"/>
  <c r="I212" i="1"/>
  <c r="AR212" i="1"/>
  <c r="AF212" i="1"/>
  <c r="T212" i="1"/>
  <c r="H212" i="1"/>
  <c r="AT212" i="1" s="1"/>
  <c r="AQ212" i="1"/>
  <c r="AE212" i="1"/>
  <c r="S212" i="1"/>
  <c r="G212" i="1"/>
  <c r="AP212" i="1"/>
  <c r="AD212" i="1"/>
  <c r="R212" i="1"/>
  <c r="F212" i="1"/>
  <c r="AO212" i="1"/>
  <c r="Q212" i="1"/>
  <c r="E212" i="1"/>
  <c r="AN212" i="1"/>
  <c r="AB212" i="1"/>
  <c r="D212" i="1"/>
  <c r="AY212" i="1"/>
  <c r="AM212" i="1"/>
  <c r="AA212" i="1"/>
  <c r="O212" i="1"/>
  <c r="P212" i="1" s="1"/>
  <c r="AL212" i="1"/>
  <c r="Z212" i="1"/>
  <c r="N212" i="1"/>
  <c r="AK212" i="1"/>
  <c r="Y212" i="1"/>
  <c r="M212" i="1"/>
  <c r="AJ212" i="1"/>
  <c r="X212" i="1"/>
  <c r="AI212" i="1"/>
  <c r="W212" i="1"/>
  <c r="K212" i="1"/>
  <c r="L212" i="1" s="1"/>
  <c r="AH212" i="1"/>
  <c r="V212" i="1"/>
  <c r="J212" i="1"/>
  <c r="AQ219" i="1"/>
  <c r="AE219" i="1"/>
  <c r="S219" i="1"/>
  <c r="G219" i="1"/>
  <c r="AP219" i="1"/>
  <c r="AD219" i="1"/>
  <c r="R219" i="1"/>
  <c r="F219" i="1"/>
  <c r="AO219" i="1"/>
  <c r="Q219" i="1"/>
  <c r="E219" i="1"/>
  <c r="AN219" i="1"/>
  <c r="AB219" i="1"/>
  <c r="D219" i="1"/>
  <c r="AY219" i="1"/>
  <c r="AM219" i="1"/>
  <c r="AA219" i="1"/>
  <c r="O219" i="1"/>
  <c r="P219" i="1" s="1"/>
  <c r="AL219" i="1"/>
  <c r="Z219" i="1"/>
  <c r="N219" i="1"/>
  <c r="AK219" i="1"/>
  <c r="Y219" i="1"/>
  <c r="M219" i="1"/>
  <c r="AJ219" i="1"/>
  <c r="X219" i="1"/>
  <c r="AI219" i="1"/>
  <c r="W219" i="1"/>
  <c r="K219" i="1"/>
  <c r="L219" i="1" s="1"/>
  <c r="AH219" i="1"/>
  <c r="V219" i="1"/>
  <c r="J219" i="1"/>
  <c r="AS219" i="1"/>
  <c r="AG219" i="1"/>
  <c r="U219" i="1"/>
  <c r="I219" i="1"/>
  <c r="AR219" i="1"/>
  <c r="AF219" i="1"/>
  <c r="T219" i="1"/>
  <c r="H219" i="1"/>
  <c r="AT219" i="1" s="1"/>
  <c r="AO208" i="1"/>
  <c r="Q208" i="1"/>
  <c r="E208" i="1"/>
  <c r="AN208" i="1"/>
  <c r="AB208" i="1"/>
  <c r="D208" i="1"/>
  <c r="AY208" i="1"/>
  <c r="AM208" i="1"/>
  <c r="AA208" i="1"/>
  <c r="O208" i="1"/>
  <c r="P208" i="1" s="1"/>
  <c r="AL208" i="1"/>
  <c r="Z208" i="1"/>
  <c r="N208" i="1"/>
  <c r="AK208" i="1"/>
  <c r="Y208" i="1"/>
  <c r="M208" i="1"/>
  <c r="AJ208" i="1"/>
  <c r="X208" i="1"/>
  <c r="AI208" i="1"/>
  <c r="W208" i="1"/>
  <c r="K208" i="1"/>
  <c r="L208" i="1" s="1"/>
  <c r="AH208" i="1"/>
  <c r="V208" i="1"/>
  <c r="J208" i="1"/>
  <c r="AS208" i="1"/>
  <c r="AG208" i="1"/>
  <c r="U208" i="1"/>
  <c r="I208" i="1"/>
  <c r="AR208" i="1"/>
  <c r="AF208" i="1"/>
  <c r="T208" i="1"/>
  <c r="H208" i="1"/>
  <c r="AT208" i="1" s="1"/>
  <c r="AQ208" i="1"/>
  <c r="AE208" i="1"/>
  <c r="S208" i="1"/>
  <c r="G208" i="1"/>
  <c r="AP208" i="1"/>
  <c r="AD208" i="1"/>
  <c r="R208" i="1"/>
  <c r="F208" i="1"/>
  <c r="AY185" i="1"/>
  <c r="AM185" i="1"/>
  <c r="AA185" i="1"/>
  <c r="O185" i="1"/>
  <c r="P185" i="1" s="1"/>
  <c r="AL185" i="1"/>
  <c r="Z185" i="1"/>
  <c r="N185" i="1"/>
  <c r="AH185" i="1"/>
  <c r="V185" i="1"/>
  <c r="J185" i="1"/>
  <c r="AS185" i="1"/>
  <c r="AG185" i="1"/>
  <c r="U185" i="1"/>
  <c r="I185" i="1"/>
  <c r="AR185" i="1"/>
  <c r="AF185" i="1"/>
  <c r="T185" i="1"/>
  <c r="H185" i="1"/>
  <c r="AT185" i="1" s="1"/>
  <c r="AN185" i="1"/>
  <c r="AB185" i="1"/>
  <c r="D185" i="1"/>
  <c r="AO185" i="1"/>
  <c r="Q185" i="1"/>
  <c r="AK185" i="1"/>
  <c r="M185" i="1"/>
  <c r="AJ185" i="1"/>
  <c r="AI185" i="1"/>
  <c r="K185" i="1"/>
  <c r="L185" i="1" s="1"/>
  <c r="AE185" i="1"/>
  <c r="G185" i="1"/>
  <c r="AD185" i="1"/>
  <c r="F185" i="1"/>
  <c r="E185" i="1"/>
  <c r="Y185" i="1"/>
  <c r="X185" i="1"/>
  <c r="W185" i="1"/>
  <c r="AQ185" i="1"/>
  <c r="S185" i="1"/>
  <c r="AP185" i="1"/>
  <c r="R185" i="1"/>
  <c r="AK268" i="1"/>
  <c r="Y268" i="1"/>
  <c r="M268" i="1"/>
  <c r="AJ268" i="1"/>
  <c r="X268" i="1"/>
  <c r="AI268" i="1"/>
  <c r="W268" i="1"/>
  <c r="K268" i="1"/>
  <c r="L268" i="1" s="1"/>
  <c r="AH268" i="1"/>
  <c r="V268" i="1"/>
  <c r="J268" i="1"/>
  <c r="AS268" i="1"/>
  <c r="AG268" i="1"/>
  <c r="U268" i="1"/>
  <c r="I268" i="1"/>
  <c r="AR268" i="1"/>
  <c r="AF268" i="1"/>
  <c r="T268" i="1"/>
  <c r="H268" i="1"/>
  <c r="AT268" i="1" s="1"/>
  <c r="AQ268" i="1"/>
  <c r="AE268" i="1"/>
  <c r="S268" i="1"/>
  <c r="G268" i="1"/>
  <c r="AP268" i="1"/>
  <c r="AD268" i="1"/>
  <c r="R268" i="1"/>
  <c r="F268" i="1"/>
  <c r="AY268" i="1"/>
  <c r="AM268" i="1"/>
  <c r="AA268" i="1"/>
  <c r="O268" i="1"/>
  <c r="P268" i="1" s="1"/>
  <c r="AL268" i="1"/>
  <c r="Z268" i="1"/>
  <c r="N268" i="1"/>
  <c r="Q268" i="1"/>
  <c r="E268" i="1"/>
  <c r="D268" i="1"/>
  <c r="AO268" i="1"/>
  <c r="AN268" i="1"/>
  <c r="AB268" i="1"/>
  <c r="AQ335" i="1"/>
  <c r="AE335" i="1"/>
  <c r="S335" i="1"/>
  <c r="G335" i="1"/>
  <c r="AP335" i="1"/>
  <c r="AD335" i="1"/>
  <c r="R335" i="1"/>
  <c r="F335" i="1"/>
  <c r="AL335" i="1"/>
  <c r="Z335" i="1"/>
  <c r="N335" i="1"/>
  <c r="AK335" i="1"/>
  <c r="Y335" i="1"/>
  <c r="M335" i="1"/>
  <c r="AJ335" i="1"/>
  <c r="X335" i="1"/>
  <c r="AR335" i="1"/>
  <c r="AF335" i="1"/>
  <c r="T335" i="1"/>
  <c r="H335" i="1"/>
  <c r="AT335" i="1" s="1"/>
  <c r="AS335" i="1"/>
  <c r="U335" i="1"/>
  <c r="AO335" i="1"/>
  <c r="Q335" i="1"/>
  <c r="AN335" i="1"/>
  <c r="AM335" i="1"/>
  <c r="O335" i="1"/>
  <c r="P335" i="1" s="1"/>
  <c r="AI335" i="1"/>
  <c r="K335" i="1"/>
  <c r="L335" i="1" s="1"/>
  <c r="AH335" i="1"/>
  <c r="J335" i="1"/>
  <c r="AG335" i="1"/>
  <c r="I335" i="1"/>
  <c r="AY335" i="1"/>
  <c r="E335" i="1"/>
  <c r="AB335" i="1"/>
  <c r="D335" i="1"/>
  <c r="AA335" i="1"/>
  <c r="W335" i="1"/>
  <c r="V335" i="1"/>
  <c r="AS258" i="1"/>
  <c r="AG258" i="1"/>
  <c r="U258" i="1"/>
  <c r="I258" i="1"/>
  <c r="AR258" i="1"/>
  <c r="AF258" i="1"/>
  <c r="T258" i="1"/>
  <c r="H258" i="1"/>
  <c r="AT258" i="1" s="1"/>
  <c r="AN258" i="1"/>
  <c r="AB258" i="1"/>
  <c r="D258" i="1"/>
  <c r="AY258" i="1"/>
  <c r="AM258" i="1"/>
  <c r="AA258" i="1"/>
  <c r="O258" i="1"/>
  <c r="P258" i="1" s="1"/>
  <c r="AL258" i="1"/>
  <c r="Z258" i="1"/>
  <c r="N258" i="1"/>
  <c r="AH258" i="1"/>
  <c r="V258" i="1"/>
  <c r="J258" i="1"/>
  <c r="AP258" i="1"/>
  <c r="R258" i="1"/>
  <c r="AO258" i="1"/>
  <c r="Q258" i="1"/>
  <c r="AK258" i="1"/>
  <c r="M258" i="1"/>
  <c r="AJ258" i="1"/>
  <c r="AI258" i="1"/>
  <c r="K258" i="1"/>
  <c r="L258" i="1" s="1"/>
  <c r="AE258" i="1"/>
  <c r="G258" i="1"/>
  <c r="AD258" i="1"/>
  <c r="F258" i="1"/>
  <c r="E258" i="1"/>
  <c r="Y258" i="1"/>
  <c r="X258" i="1"/>
  <c r="W258" i="1"/>
  <c r="AQ258" i="1"/>
  <c r="S258" i="1"/>
  <c r="AK332" i="1"/>
  <c r="Y332" i="1"/>
  <c r="M332" i="1"/>
  <c r="AJ332" i="1"/>
  <c r="X332" i="1"/>
  <c r="AR332" i="1"/>
  <c r="AF332" i="1"/>
  <c r="T332" i="1"/>
  <c r="H332" i="1"/>
  <c r="AT332" i="1" s="1"/>
  <c r="AQ332" i="1"/>
  <c r="AE332" i="1"/>
  <c r="S332" i="1"/>
  <c r="G332" i="1"/>
  <c r="AP332" i="1"/>
  <c r="AD332" i="1"/>
  <c r="R332" i="1"/>
  <c r="F332" i="1"/>
  <c r="AL332" i="1"/>
  <c r="AH332" i="1"/>
  <c r="N332" i="1"/>
  <c r="AG332" i="1"/>
  <c r="K332" i="1"/>
  <c r="L332" i="1" s="1"/>
  <c r="AY332" i="1"/>
  <c r="J332" i="1"/>
  <c r="AB332" i="1"/>
  <c r="I332" i="1"/>
  <c r="AA332" i="1"/>
  <c r="E332" i="1"/>
  <c r="Z332" i="1"/>
  <c r="D332" i="1"/>
  <c r="W332" i="1"/>
  <c r="AS332" i="1"/>
  <c r="V332" i="1"/>
  <c r="AO332" i="1"/>
  <c r="U332" i="1"/>
  <c r="AN332" i="1"/>
  <c r="Q332" i="1"/>
  <c r="AM332" i="1"/>
  <c r="AI332" i="1"/>
  <c r="O332" i="1"/>
  <c r="P332" i="1" s="1"/>
  <c r="AQ325" i="1"/>
  <c r="AE325" i="1"/>
  <c r="S325" i="1"/>
  <c r="G325" i="1"/>
  <c r="AP325" i="1"/>
  <c r="AD325" i="1"/>
  <c r="R325" i="1"/>
  <c r="F325" i="1"/>
  <c r="AO325" i="1"/>
  <c r="Q325" i="1"/>
  <c r="E325" i="1"/>
  <c r="AN325" i="1"/>
  <c r="AB325" i="1"/>
  <c r="D325" i="1"/>
  <c r="AY325" i="1"/>
  <c r="AM325" i="1"/>
  <c r="AA325" i="1"/>
  <c r="O325" i="1"/>
  <c r="P325" i="1" s="1"/>
  <c r="AL325" i="1"/>
  <c r="Z325" i="1"/>
  <c r="N325" i="1"/>
  <c r="AK325" i="1"/>
  <c r="Y325" i="1"/>
  <c r="M325" i="1"/>
  <c r="AJ325" i="1"/>
  <c r="X325" i="1"/>
  <c r="AI325" i="1"/>
  <c r="W325" i="1"/>
  <c r="K325" i="1"/>
  <c r="L325" i="1" s="1"/>
  <c r="AH325" i="1"/>
  <c r="V325" i="1"/>
  <c r="J325" i="1"/>
  <c r="AS325" i="1"/>
  <c r="AG325" i="1"/>
  <c r="U325" i="1"/>
  <c r="I325" i="1"/>
  <c r="AR325" i="1"/>
  <c r="AF325" i="1"/>
  <c r="T325" i="1"/>
  <c r="H325" i="1"/>
  <c r="AT325" i="1" s="1"/>
  <c r="AO326" i="1"/>
  <c r="Q326" i="1"/>
  <c r="E326" i="1"/>
  <c r="AN326" i="1"/>
  <c r="AB326" i="1"/>
  <c r="D326" i="1"/>
  <c r="AY326" i="1"/>
  <c r="AM326" i="1"/>
  <c r="AA326" i="1"/>
  <c r="O326" i="1"/>
  <c r="P326" i="1" s="1"/>
  <c r="AL326" i="1"/>
  <c r="Z326" i="1"/>
  <c r="N326" i="1"/>
  <c r="AK326" i="1"/>
  <c r="Y326" i="1"/>
  <c r="M326" i="1"/>
  <c r="AJ326" i="1"/>
  <c r="X326" i="1"/>
  <c r="AI326" i="1"/>
  <c r="W326" i="1"/>
  <c r="K326" i="1"/>
  <c r="L326" i="1" s="1"/>
  <c r="AH326" i="1"/>
  <c r="V326" i="1"/>
  <c r="J326" i="1"/>
  <c r="AS326" i="1"/>
  <c r="AG326" i="1"/>
  <c r="U326" i="1"/>
  <c r="I326" i="1"/>
  <c r="AR326" i="1"/>
  <c r="AF326" i="1"/>
  <c r="T326" i="1"/>
  <c r="H326" i="1"/>
  <c r="AT326" i="1" s="1"/>
  <c r="AQ326" i="1"/>
  <c r="AE326" i="1"/>
  <c r="S326" i="1"/>
  <c r="G326" i="1"/>
  <c r="AP326" i="1"/>
  <c r="AD326" i="1"/>
  <c r="R326" i="1"/>
  <c r="F326" i="1"/>
  <c r="AY309" i="1"/>
  <c r="AM309" i="1"/>
  <c r="AA309" i="1"/>
  <c r="O309" i="1"/>
  <c r="P309" i="1" s="1"/>
  <c r="AL309" i="1"/>
  <c r="Z309" i="1"/>
  <c r="N309" i="1"/>
  <c r="AK309" i="1"/>
  <c r="Y309" i="1"/>
  <c r="M309" i="1"/>
  <c r="AJ309" i="1"/>
  <c r="X309" i="1"/>
  <c r="AI309" i="1"/>
  <c r="W309" i="1"/>
  <c r="K309" i="1"/>
  <c r="L309" i="1" s="1"/>
  <c r="AH309" i="1"/>
  <c r="V309" i="1"/>
  <c r="J309" i="1"/>
  <c r="AS309" i="1"/>
  <c r="AG309" i="1"/>
  <c r="U309" i="1"/>
  <c r="I309" i="1"/>
  <c r="AR309" i="1"/>
  <c r="AF309" i="1"/>
  <c r="T309" i="1"/>
  <c r="H309" i="1"/>
  <c r="AT309" i="1" s="1"/>
  <c r="AQ309" i="1"/>
  <c r="AE309" i="1"/>
  <c r="S309" i="1"/>
  <c r="G309" i="1"/>
  <c r="AP309" i="1"/>
  <c r="AD309" i="1"/>
  <c r="R309" i="1"/>
  <c r="F309" i="1"/>
  <c r="AO309" i="1"/>
  <c r="Q309" i="1"/>
  <c r="E309" i="1"/>
  <c r="AN309" i="1"/>
  <c r="AB309" i="1"/>
  <c r="D309" i="1"/>
  <c r="AK374" i="1"/>
  <c r="Y374" i="1"/>
  <c r="M374" i="1"/>
  <c r="AJ374" i="1"/>
  <c r="X374" i="1"/>
  <c r="AI374" i="1"/>
  <c r="W374" i="1"/>
  <c r="K374" i="1"/>
  <c r="L374" i="1" s="1"/>
  <c r="AH374" i="1"/>
  <c r="V374" i="1"/>
  <c r="J374" i="1"/>
  <c r="AS374" i="1"/>
  <c r="AG374" i="1"/>
  <c r="U374" i="1"/>
  <c r="I374" i="1"/>
  <c r="AR374" i="1"/>
  <c r="AF374" i="1"/>
  <c r="T374" i="1"/>
  <c r="H374" i="1"/>
  <c r="AT374" i="1" s="1"/>
  <c r="AQ374" i="1"/>
  <c r="AE374" i="1"/>
  <c r="S374" i="1"/>
  <c r="G374" i="1"/>
  <c r="AP374" i="1"/>
  <c r="AD374" i="1"/>
  <c r="R374" i="1"/>
  <c r="F374" i="1"/>
  <c r="AO374" i="1"/>
  <c r="Q374" i="1"/>
  <c r="E374" i="1"/>
  <c r="AN374" i="1"/>
  <c r="AB374" i="1"/>
  <c r="D374" i="1"/>
  <c r="AY374" i="1"/>
  <c r="AM374" i="1"/>
  <c r="AA374" i="1"/>
  <c r="O374" i="1"/>
  <c r="P374" i="1" s="1"/>
  <c r="AL374" i="1"/>
  <c r="Z374" i="1"/>
  <c r="N374" i="1"/>
  <c r="AI381" i="1"/>
  <c r="W381" i="1"/>
  <c r="K381" i="1"/>
  <c r="L381" i="1" s="1"/>
  <c r="AH381" i="1"/>
  <c r="V381" i="1"/>
  <c r="J381" i="1"/>
  <c r="AS381" i="1"/>
  <c r="AG381" i="1"/>
  <c r="U381" i="1"/>
  <c r="I381" i="1"/>
  <c r="AR381" i="1"/>
  <c r="AF381" i="1"/>
  <c r="T381" i="1"/>
  <c r="H381" i="1"/>
  <c r="AT381" i="1" s="1"/>
  <c r="AQ381" i="1"/>
  <c r="AE381" i="1"/>
  <c r="S381" i="1"/>
  <c r="G381" i="1"/>
  <c r="AP381" i="1"/>
  <c r="AD381" i="1"/>
  <c r="R381" i="1"/>
  <c r="F381" i="1"/>
  <c r="AO381" i="1"/>
  <c r="Q381" i="1"/>
  <c r="E381" i="1"/>
  <c r="AN381" i="1"/>
  <c r="AB381" i="1"/>
  <c r="D381" i="1"/>
  <c r="AY381" i="1"/>
  <c r="AM381" i="1"/>
  <c r="AA381" i="1"/>
  <c r="O381" i="1"/>
  <c r="P381" i="1" s="1"/>
  <c r="AL381" i="1"/>
  <c r="Z381" i="1"/>
  <c r="N381" i="1"/>
  <c r="AK381" i="1"/>
  <c r="Y381" i="1"/>
  <c r="M381" i="1"/>
  <c r="AJ381" i="1"/>
  <c r="X381" i="1"/>
  <c r="AS376" i="1"/>
  <c r="AG376" i="1"/>
  <c r="U376" i="1"/>
  <c r="I376" i="1"/>
  <c r="AR376" i="1"/>
  <c r="AF376" i="1"/>
  <c r="T376" i="1"/>
  <c r="H376" i="1"/>
  <c r="AT376" i="1" s="1"/>
  <c r="AQ376" i="1"/>
  <c r="AE376" i="1"/>
  <c r="S376" i="1"/>
  <c r="G376" i="1"/>
  <c r="AP376" i="1"/>
  <c r="AD376" i="1"/>
  <c r="R376" i="1"/>
  <c r="F376" i="1"/>
  <c r="AO376" i="1"/>
  <c r="Q376" i="1"/>
  <c r="E376" i="1"/>
  <c r="AN376" i="1"/>
  <c r="AB376" i="1"/>
  <c r="D376" i="1"/>
  <c r="AY376" i="1"/>
  <c r="AM376" i="1"/>
  <c r="AA376" i="1"/>
  <c r="O376" i="1"/>
  <c r="P376" i="1" s="1"/>
  <c r="AL376" i="1"/>
  <c r="Z376" i="1"/>
  <c r="N376" i="1"/>
  <c r="AK376" i="1"/>
  <c r="Y376" i="1"/>
  <c r="M376" i="1"/>
  <c r="AJ376" i="1"/>
  <c r="X376" i="1"/>
  <c r="AI376" i="1"/>
  <c r="W376" i="1"/>
  <c r="K376" i="1"/>
  <c r="L376" i="1" s="1"/>
  <c r="AH376" i="1"/>
  <c r="V376" i="1"/>
  <c r="J376" i="1"/>
  <c r="AQ371" i="1"/>
  <c r="AE371" i="1"/>
  <c r="S371" i="1"/>
  <c r="G371" i="1"/>
  <c r="AP371" i="1"/>
  <c r="AD371" i="1"/>
  <c r="R371" i="1"/>
  <c r="F371" i="1"/>
  <c r="AO371" i="1"/>
  <c r="Q371" i="1"/>
  <c r="E371" i="1"/>
  <c r="AN371" i="1"/>
  <c r="AB371" i="1"/>
  <c r="D371" i="1"/>
  <c r="AY371" i="1"/>
  <c r="AM371" i="1"/>
  <c r="AA371" i="1"/>
  <c r="O371" i="1"/>
  <c r="P371" i="1" s="1"/>
  <c r="AL371" i="1"/>
  <c r="Z371" i="1"/>
  <c r="N371" i="1"/>
  <c r="AK371" i="1"/>
  <c r="Y371" i="1"/>
  <c r="M371" i="1"/>
  <c r="AJ371" i="1"/>
  <c r="X371" i="1"/>
  <c r="AI371" i="1"/>
  <c r="W371" i="1"/>
  <c r="K371" i="1"/>
  <c r="L371" i="1" s="1"/>
  <c r="AH371" i="1"/>
  <c r="V371" i="1"/>
  <c r="J371" i="1"/>
  <c r="AS371" i="1"/>
  <c r="AG371" i="1"/>
  <c r="U371" i="1"/>
  <c r="I371" i="1"/>
  <c r="AR371" i="1"/>
  <c r="AF371" i="1"/>
  <c r="T371" i="1"/>
  <c r="H371" i="1"/>
  <c r="AT371" i="1" s="1"/>
  <c r="AO372" i="1"/>
  <c r="Q372" i="1"/>
  <c r="E372" i="1"/>
  <c r="AN372" i="1"/>
  <c r="AB372" i="1"/>
  <c r="D372" i="1"/>
  <c r="AY372" i="1"/>
  <c r="AM372" i="1"/>
  <c r="AA372" i="1"/>
  <c r="O372" i="1"/>
  <c r="P372" i="1" s="1"/>
  <c r="AL372" i="1"/>
  <c r="Z372" i="1"/>
  <c r="N372" i="1"/>
  <c r="AK372" i="1"/>
  <c r="Y372" i="1"/>
  <c r="M372" i="1"/>
  <c r="AJ372" i="1"/>
  <c r="X372" i="1"/>
  <c r="AI372" i="1"/>
  <c r="W372" i="1"/>
  <c r="K372" i="1"/>
  <c r="L372" i="1" s="1"/>
  <c r="AH372" i="1"/>
  <c r="V372" i="1"/>
  <c r="J372" i="1"/>
  <c r="AS372" i="1"/>
  <c r="AG372" i="1"/>
  <c r="U372" i="1"/>
  <c r="I372" i="1"/>
  <c r="AR372" i="1"/>
  <c r="AF372" i="1"/>
  <c r="T372" i="1"/>
  <c r="H372" i="1"/>
  <c r="AT372" i="1" s="1"/>
  <c r="AQ372" i="1"/>
  <c r="AE372" i="1"/>
  <c r="S372" i="1"/>
  <c r="G372" i="1"/>
  <c r="AP372" i="1"/>
  <c r="AD372" i="1"/>
  <c r="R372" i="1"/>
  <c r="F372" i="1"/>
  <c r="AY355" i="1"/>
  <c r="AM355" i="1"/>
  <c r="AA355" i="1"/>
  <c r="O355" i="1"/>
  <c r="P355" i="1" s="1"/>
  <c r="AL355" i="1"/>
  <c r="Z355" i="1"/>
  <c r="N355" i="1"/>
  <c r="AK355" i="1"/>
  <c r="Y355" i="1"/>
  <c r="M355" i="1"/>
  <c r="AJ355" i="1"/>
  <c r="X355" i="1"/>
  <c r="AI355" i="1"/>
  <c r="W355" i="1"/>
  <c r="K355" i="1"/>
  <c r="L355" i="1" s="1"/>
  <c r="AH355" i="1"/>
  <c r="V355" i="1"/>
  <c r="J355" i="1"/>
  <c r="AS355" i="1"/>
  <c r="AG355" i="1"/>
  <c r="U355" i="1"/>
  <c r="I355" i="1"/>
  <c r="AR355" i="1"/>
  <c r="AF355" i="1"/>
  <c r="T355" i="1"/>
  <c r="H355" i="1"/>
  <c r="AT355" i="1" s="1"/>
  <c r="AQ355" i="1"/>
  <c r="AE355" i="1"/>
  <c r="S355" i="1"/>
  <c r="G355" i="1"/>
  <c r="AP355" i="1"/>
  <c r="AD355" i="1"/>
  <c r="R355" i="1"/>
  <c r="F355" i="1"/>
  <c r="AO355" i="1"/>
  <c r="Q355" i="1"/>
  <c r="E355" i="1"/>
  <c r="AN355" i="1"/>
  <c r="AB355" i="1"/>
  <c r="D355" i="1"/>
  <c r="AL437" i="1"/>
  <c r="Z437" i="1"/>
  <c r="N437" i="1"/>
  <c r="AK437" i="1"/>
  <c r="Y437" i="1"/>
  <c r="M437" i="1"/>
  <c r="AJ437" i="1"/>
  <c r="X437" i="1"/>
  <c r="AI437" i="1"/>
  <c r="W437" i="1"/>
  <c r="K437" i="1"/>
  <c r="L437" i="1" s="1"/>
  <c r="AH437" i="1"/>
  <c r="V437" i="1"/>
  <c r="J437" i="1"/>
  <c r="AS437" i="1"/>
  <c r="AG437" i="1"/>
  <c r="U437" i="1"/>
  <c r="I437" i="1"/>
  <c r="AR437" i="1"/>
  <c r="AF437" i="1"/>
  <c r="T437" i="1"/>
  <c r="H437" i="1"/>
  <c r="AT437" i="1" s="1"/>
  <c r="AQ437" i="1"/>
  <c r="AE437" i="1"/>
  <c r="S437" i="1"/>
  <c r="G437" i="1"/>
  <c r="AP437" i="1"/>
  <c r="AD437" i="1"/>
  <c r="R437" i="1"/>
  <c r="F437" i="1"/>
  <c r="AO437" i="1"/>
  <c r="Q437" i="1"/>
  <c r="E437" i="1"/>
  <c r="AN437" i="1"/>
  <c r="AB437" i="1"/>
  <c r="D437" i="1"/>
  <c r="AY437" i="1"/>
  <c r="AM437" i="1"/>
  <c r="AA437" i="1"/>
  <c r="O437" i="1"/>
  <c r="P437" i="1" s="1"/>
  <c r="AJ426" i="1"/>
  <c r="X426" i="1"/>
  <c r="AI426" i="1"/>
  <c r="W426" i="1"/>
  <c r="K426" i="1"/>
  <c r="L426" i="1" s="1"/>
  <c r="AH426" i="1"/>
  <c r="V426" i="1"/>
  <c r="J426" i="1"/>
  <c r="AS426" i="1"/>
  <c r="AG426" i="1"/>
  <c r="U426" i="1"/>
  <c r="I426" i="1"/>
  <c r="AR426" i="1"/>
  <c r="AF426" i="1"/>
  <c r="T426" i="1"/>
  <c r="H426" i="1"/>
  <c r="AT426" i="1" s="1"/>
  <c r="AQ426" i="1"/>
  <c r="AE426" i="1"/>
  <c r="S426" i="1"/>
  <c r="G426" i="1"/>
  <c r="AP426" i="1"/>
  <c r="AD426" i="1"/>
  <c r="R426" i="1"/>
  <c r="F426" i="1"/>
  <c r="AO426" i="1"/>
  <c r="Q426" i="1"/>
  <c r="E426" i="1"/>
  <c r="AN426" i="1"/>
  <c r="AB426" i="1"/>
  <c r="D426" i="1"/>
  <c r="AY426" i="1"/>
  <c r="AM426" i="1"/>
  <c r="AA426" i="1"/>
  <c r="O426" i="1"/>
  <c r="P426" i="1" s="1"/>
  <c r="AL426" i="1"/>
  <c r="Z426" i="1"/>
  <c r="N426" i="1"/>
  <c r="AK426" i="1"/>
  <c r="Y426" i="1"/>
  <c r="M426" i="1"/>
  <c r="AH421" i="1"/>
  <c r="V421" i="1"/>
  <c r="J421" i="1"/>
  <c r="AS421" i="1"/>
  <c r="AG421" i="1"/>
  <c r="U421" i="1"/>
  <c r="I421" i="1"/>
  <c r="AR421" i="1"/>
  <c r="AF421" i="1"/>
  <c r="T421" i="1"/>
  <c r="H421" i="1"/>
  <c r="AT421" i="1" s="1"/>
  <c r="AQ421" i="1"/>
  <c r="AE421" i="1"/>
  <c r="S421" i="1"/>
  <c r="G421" i="1"/>
  <c r="AP421" i="1"/>
  <c r="AD421" i="1"/>
  <c r="R421" i="1"/>
  <c r="F421" i="1"/>
  <c r="AO421" i="1"/>
  <c r="Q421" i="1"/>
  <c r="E421" i="1"/>
  <c r="AN421" i="1"/>
  <c r="AB421" i="1"/>
  <c r="D421" i="1"/>
  <c r="AY421" i="1"/>
  <c r="AM421" i="1"/>
  <c r="AA421" i="1"/>
  <c r="O421" i="1"/>
  <c r="P421" i="1" s="1"/>
  <c r="AL421" i="1"/>
  <c r="Z421" i="1"/>
  <c r="N421" i="1"/>
  <c r="AK421" i="1"/>
  <c r="Y421" i="1"/>
  <c r="M421" i="1"/>
  <c r="AJ421" i="1"/>
  <c r="X421" i="1"/>
  <c r="AI421" i="1"/>
  <c r="W421" i="1"/>
  <c r="K421" i="1"/>
  <c r="L421" i="1" s="1"/>
  <c r="AR416" i="1"/>
  <c r="AF416" i="1"/>
  <c r="T416" i="1"/>
  <c r="H416" i="1"/>
  <c r="AT416" i="1" s="1"/>
  <c r="AQ416" i="1"/>
  <c r="AE416" i="1"/>
  <c r="S416" i="1"/>
  <c r="G416" i="1"/>
  <c r="AP416" i="1"/>
  <c r="AD416" i="1"/>
  <c r="R416" i="1"/>
  <c r="F416" i="1"/>
  <c r="AO416" i="1"/>
  <c r="AN416" i="1"/>
  <c r="AB416" i="1"/>
  <c r="D416" i="1"/>
  <c r="AY416" i="1"/>
  <c r="AM416" i="1"/>
  <c r="AA416" i="1"/>
  <c r="O416" i="1"/>
  <c r="P416" i="1" s="1"/>
  <c r="AL416" i="1"/>
  <c r="Z416" i="1"/>
  <c r="N416" i="1"/>
  <c r="AS416" i="1"/>
  <c r="AG416" i="1"/>
  <c r="U416" i="1"/>
  <c r="I416" i="1"/>
  <c r="Q416" i="1"/>
  <c r="M416" i="1"/>
  <c r="AK416" i="1"/>
  <c r="K416" i="1"/>
  <c r="L416" i="1" s="1"/>
  <c r="AJ416" i="1"/>
  <c r="J416" i="1"/>
  <c r="AI416" i="1"/>
  <c r="E416" i="1"/>
  <c r="AH416" i="1"/>
  <c r="Y416" i="1"/>
  <c r="X416" i="1"/>
  <c r="W416" i="1"/>
  <c r="V416" i="1"/>
  <c r="AR488" i="1"/>
  <c r="AF488" i="1"/>
  <c r="T488" i="1"/>
  <c r="H488" i="1"/>
  <c r="AT488" i="1" s="1"/>
  <c r="AQ488" i="1"/>
  <c r="AE488" i="1"/>
  <c r="S488" i="1"/>
  <c r="G488" i="1"/>
  <c r="AP488" i="1"/>
  <c r="AD488" i="1"/>
  <c r="R488" i="1"/>
  <c r="F488" i="1"/>
  <c r="AO488" i="1"/>
  <c r="Q488" i="1"/>
  <c r="E488" i="1"/>
  <c r="AN488" i="1"/>
  <c r="AB488" i="1"/>
  <c r="D488" i="1"/>
  <c r="AY488" i="1"/>
  <c r="AM488" i="1"/>
  <c r="AA488" i="1"/>
  <c r="O488" i="1"/>
  <c r="P488" i="1" s="1"/>
  <c r="AL488" i="1"/>
  <c r="Z488" i="1"/>
  <c r="N488" i="1"/>
  <c r="AK488" i="1"/>
  <c r="Y488" i="1"/>
  <c r="M488" i="1"/>
  <c r="AJ488" i="1"/>
  <c r="X488" i="1"/>
  <c r="AI488" i="1"/>
  <c r="W488" i="1"/>
  <c r="K488" i="1"/>
  <c r="L488" i="1" s="1"/>
  <c r="AH488" i="1"/>
  <c r="V488" i="1"/>
  <c r="J488" i="1"/>
  <c r="AS488" i="1"/>
  <c r="AG488" i="1"/>
  <c r="U488" i="1"/>
  <c r="I488" i="1"/>
  <c r="AP483" i="1"/>
  <c r="AD483" i="1"/>
  <c r="R483" i="1"/>
  <c r="F483" i="1"/>
  <c r="AO483" i="1"/>
  <c r="Q483" i="1"/>
  <c r="E483" i="1"/>
  <c r="AN483" i="1"/>
  <c r="AB483" i="1"/>
  <c r="D483" i="1"/>
  <c r="AY483" i="1"/>
  <c r="AM483" i="1"/>
  <c r="AA483" i="1"/>
  <c r="O483" i="1"/>
  <c r="P483" i="1" s="1"/>
  <c r="AL483" i="1"/>
  <c r="Z483" i="1"/>
  <c r="N483" i="1"/>
  <c r="AK483" i="1"/>
  <c r="Y483" i="1"/>
  <c r="M483" i="1"/>
  <c r="AJ483" i="1"/>
  <c r="X483" i="1"/>
  <c r="AI483" i="1"/>
  <c r="W483" i="1"/>
  <c r="K483" i="1"/>
  <c r="L483" i="1" s="1"/>
  <c r="AH483" i="1"/>
  <c r="V483" i="1"/>
  <c r="J483" i="1"/>
  <c r="AS483" i="1"/>
  <c r="AG483" i="1"/>
  <c r="U483" i="1"/>
  <c r="I483" i="1"/>
  <c r="AR483" i="1"/>
  <c r="AF483" i="1"/>
  <c r="T483" i="1"/>
  <c r="H483" i="1"/>
  <c r="AT483" i="1" s="1"/>
  <c r="AQ483" i="1"/>
  <c r="AE483" i="1"/>
  <c r="S483" i="1"/>
  <c r="G483" i="1"/>
  <c r="AN472" i="1"/>
  <c r="AB472" i="1"/>
  <c r="D472" i="1"/>
  <c r="AY472" i="1"/>
  <c r="AM472" i="1"/>
  <c r="AA472" i="1"/>
  <c r="O472" i="1"/>
  <c r="P472" i="1" s="1"/>
  <c r="AL472" i="1"/>
  <c r="Z472" i="1"/>
  <c r="N472" i="1"/>
  <c r="AK472" i="1"/>
  <c r="Y472" i="1"/>
  <c r="M472" i="1"/>
  <c r="AJ472" i="1"/>
  <c r="X472" i="1"/>
  <c r="AI472" i="1"/>
  <c r="W472" i="1"/>
  <c r="K472" i="1"/>
  <c r="L472" i="1" s="1"/>
  <c r="AH472" i="1"/>
  <c r="V472" i="1"/>
  <c r="J472" i="1"/>
  <c r="AS472" i="1"/>
  <c r="AG472" i="1"/>
  <c r="U472" i="1"/>
  <c r="I472" i="1"/>
  <c r="AR472" i="1"/>
  <c r="AF472" i="1"/>
  <c r="T472" i="1"/>
  <c r="H472" i="1"/>
  <c r="AT472" i="1" s="1"/>
  <c r="AQ472" i="1"/>
  <c r="AE472" i="1"/>
  <c r="S472" i="1"/>
  <c r="G472" i="1"/>
  <c r="AP472" i="1"/>
  <c r="AD472" i="1"/>
  <c r="R472" i="1"/>
  <c r="F472" i="1"/>
  <c r="AO472" i="1"/>
  <c r="Q472" i="1"/>
  <c r="E472" i="1"/>
  <c r="AJ501" i="1"/>
  <c r="X501" i="1"/>
  <c r="AI501" i="1"/>
  <c r="W501" i="1"/>
  <c r="K501" i="1"/>
  <c r="L501" i="1" s="1"/>
  <c r="AH501" i="1"/>
  <c r="V501" i="1"/>
  <c r="J501" i="1"/>
  <c r="AS501" i="1"/>
  <c r="AG501" i="1"/>
  <c r="U501" i="1"/>
  <c r="I501" i="1"/>
  <c r="AR501" i="1"/>
  <c r="AF501" i="1"/>
  <c r="T501" i="1"/>
  <c r="H501" i="1"/>
  <c r="AT501" i="1" s="1"/>
  <c r="AQ501" i="1"/>
  <c r="AE501" i="1"/>
  <c r="S501" i="1"/>
  <c r="G501" i="1"/>
  <c r="AP501" i="1"/>
  <c r="AD501" i="1"/>
  <c r="R501" i="1"/>
  <c r="F501" i="1"/>
  <c r="AO501" i="1"/>
  <c r="Q501" i="1"/>
  <c r="E501" i="1"/>
  <c r="AN501" i="1"/>
  <c r="AB501" i="1"/>
  <c r="D501" i="1"/>
  <c r="AY501" i="1"/>
  <c r="AM501" i="1"/>
  <c r="AA501" i="1"/>
  <c r="O501" i="1"/>
  <c r="P501" i="1" s="1"/>
  <c r="AL501" i="1"/>
  <c r="Z501" i="1"/>
  <c r="N501" i="1"/>
  <c r="AK501" i="1"/>
  <c r="Y501" i="1"/>
  <c r="M501" i="1"/>
  <c r="AJ530" i="1"/>
  <c r="X530" i="1"/>
  <c r="AI530" i="1"/>
  <c r="W530" i="1"/>
  <c r="K530" i="1"/>
  <c r="L530" i="1" s="1"/>
  <c r="AP530" i="1"/>
  <c r="AD530" i="1"/>
  <c r="R530" i="1"/>
  <c r="F530" i="1"/>
  <c r="AO530" i="1"/>
  <c r="Q530" i="1"/>
  <c r="E530" i="1"/>
  <c r="AE530" i="1"/>
  <c r="N530" i="1"/>
  <c r="M530" i="1"/>
  <c r="AS530" i="1"/>
  <c r="AB530" i="1"/>
  <c r="J530" i="1"/>
  <c r="AR530" i="1"/>
  <c r="AA530" i="1"/>
  <c r="I530" i="1"/>
  <c r="AQ530" i="1"/>
  <c r="Z530" i="1"/>
  <c r="H530" i="1"/>
  <c r="AT530" i="1" s="1"/>
  <c r="AN530" i="1"/>
  <c r="Y530" i="1"/>
  <c r="G530" i="1"/>
  <c r="AM530" i="1"/>
  <c r="V530" i="1"/>
  <c r="D530" i="1"/>
  <c r="AL530" i="1"/>
  <c r="U530" i="1"/>
  <c r="AK530" i="1"/>
  <c r="T530" i="1"/>
  <c r="AH530" i="1"/>
  <c r="S530" i="1"/>
  <c r="AY530" i="1"/>
  <c r="AG530" i="1"/>
  <c r="AF530" i="1"/>
  <c r="O530" i="1"/>
  <c r="P530" i="1" s="1"/>
  <c r="AP510" i="1"/>
  <c r="AD510" i="1"/>
  <c r="R510" i="1"/>
  <c r="F510" i="1"/>
  <c r="AO510" i="1"/>
  <c r="Q510" i="1"/>
  <c r="E510" i="1"/>
  <c r="AN510" i="1"/>
  <c r="AB510" i="1"/>
  <c r="D510" i="1"/>
  <c r="AY510" i="1"/>
  <c r="AM510" i="1"/>
  <c r="AA510" i="1"/>
  <c r="O510" i="1"/>
  <c r="P510" i="1" s="1"/>
  <c r="AL510" i="1"/>
  <c r="Z510" i="1"/>
  <c r="N510" i="1"/>
  <c r="AK510" i="1"/>
  <c r="Y510" i="1"/>
  <c r="M510" i="1"/>
  <c r="AJ510" i="1"/>
  <c r="X510" i="1"/>
  <c r="AI510" i="1"/>
  <c r="W510" i="1"/>
  <c r="K510" i="1"/>
  <c r="L510" i="1" s="1"/>
  <c r="AH510" i="1"/>
  <c r="V510" i="1"/>
  <c r="J510" i="1"/>
  <c r="AS510" i="1"/>
  <c r="AG510" i="1"/>
  <c r="U510" i="1"/>
  <c r="I510" i="1"/>
  <c r="AR510" i="1"/>
  <c r="AF510" i="1"/>
  <c r="T510" i="1"/>
  <c r="H510" i="1"/>
  <c r="AT510" i="1" s="1"/>
  <c r="AQ510" i="1"/>
  <c r="AE510" i="1"/>
  <c r="S510" i="1"/>
  <c r="G510" i="1"/>
  <c r="AL547" i="1"/>
  <c r="Z547" i="1"/>
  <c r="N547" i="1"/>
  <c r="AK547" i="1"/>
  <c r="Y547" i="1"/>
  <c r="M547" i="1"/>
  <c r="AJ547" i="1"/>
  <c r="X547" i="1"/>
  <c r="AI547" i="1"/>
  <c r="W547" i="1"/>
  <c r="K547" i="1"/>
  <c r="L547" i="1" s="1"/>
  <c r="AH547" i="1"/>
  <c r="V547" i="1"/>
  <c r="J547" i="1"/>
  <c r="AS547" i="1"/>
  <c r="AG547" i="1"/>
  <c r="U547" i="1"/>
  <c r="I547" i="1"/>
  <c r="AR547" i="1"/>
  <c r="AF547" i="1"/>
  <c r="T547" i="1"/>
  <c r="H547" i="1"/>
  <c r="AT547" i="1" s="1"/>
  <c r="AQ547" i="1"/>
  <c r="AE547" i="1"/>
  <c r="S547" i="1"/>
  <c r="G547" i="1"/>
  <c r="AP547" i="1"/>
  <c r="AD547" i="1"/>
  <c r="R547" i="1"/>
  <c r="F547" i="1"/>
  <c r="AO547" i="1"/>
  <c r="Q547" i="1"/>
  <c r="E547" i="1"/>
  <c r="AN547" i="1"/>
  <c r="AB547" i="1"/>
  <c r="D547" i="1"/>
  <c r="AY547" i="1"/>
  <c r="AM547" i="1"/>
  <c r="AA547" i="1"/>
  <c r="O547" i="1"/>
  <c r="P547" i="1" s="1"/>
  <c r="AI586" i="1"/>
  <c r="W586" i="1"/>
  <c r="K586" i="1"/>
  <c r="L586" i="1" s="1"/>
  <c r="AH586" i="1"/>
  <c r="V586" i="1"/>
  <c r="J586" i="1"/>
  <c r="AS586" i="1"/>
  <c r="AG586" i="1"/>
  <c r="U586" i="1"/>
  <c r="I586" i="1"/>
  <c r="AR586" i="1"/>
  <c r="AF586" i="1"/>
  <c r="T586" i="1"/>
  <c r="H586" i="1"/>
  <c r="AT586" i="1" s="1"/>
  <c r="AO586" i="1"/>
  <c r="Q586" i="1"/>
  <c r="E586" i="1"/>
  <c r="AN586" i="1"/>
  <c r="AB586" i="1"/>
  <c r="D586" i="1"/>
  <c r="AQ586" i="1"/>
  <c r="X586" i="1"/>
  <c r="AP586" i="1"/>
  <c r="S586" i="1"/>
  <c r="AM586" i="1"/>
  <c r="R586" i="1"/>
  <c r="AL586" i="1"/>
  <c r="O586" i="1"/>
  <c r="P586" i="1" s="1"/>
  <c r="AK586" i="1"/>
  <c r="N586" i="1"/>
  <c r="AJ586" i="1"/>
  <c r="M586" i="1"/>
  <c r="AE586" i="1"/>
  <c r="AD586" i="1"/>
  <c r="G586" i="1"/>
  <c r="AY586" i="1"/>
  <c r="F586" i="1"/>
  <c r="AA586" i="1"/>
  <c r="Z586" i="1"/>
  <c r="Y586" i="1"/>
  <c r="AR562" i="1"/>
  <c r="AF562" i="1"/>
  <c r="T562" i="1"/>
  <c r="H562" i="1"/>
  <c r="AT562" i="1" s="1"/>
  <c r="AQ562" i="1"/>
  <c r="AE562" i="1"/>
  <c r="S562" i="1"/>
  <c r="G562" i="1"/>
  <c r="AP562" i="1"/>
  <c r="AD562" i="1"/>
  <c r="R562" i="1"/>
  <c r="F562" i="1"/>
  <c r="AO562" i="1"/>
  <c r="Q562" i="1"/>
  <c r="E562" i="1"/>
  <c r="AN562" i="1"/>
  <c r="AB562" i="1"/>
  <c r="D562" i="1"/>
  <c r="AY562" i="1"/>
  <c r="AM562" i="1"/>
  <c r="AA562" i="1"/>
  <c r="O562" i="1"/>
  <c r="P562" i="1" s="1"/>
  <c r="AL562" i="1"/>
  <c r="Z562" i="1"/>
  <c r="N562" i="1"/>
  <c r="AK562" i="1"/>
  <c r="Y562" i="1"/>
  <c r="M562" i="1"/>
  <c r="AJ562" i="1"/>
  <c r="X562" i="1"/>
  <c r="AI562" i="1"/>
  <c r="W562" i="1"/>
  <c r="K562" i="1"/>
  <c r="L562" i="1" s="1"/>
  <c r="AH562" i="1"/>
  <c r="V562" i="1"/>
  <c r="J562" i="1"/>
  <c r="AS562" i="1"/>
  <c r="AG562" i="1"/>
  <c r="U562" i="1"/>
  <c r="I562" i="1"/>
  <c r="AN534" i="1"/>
  <c r="AB534" i="1"/>
  <c r="D534" i="1"/>
  <c r="AY534" i="1"/>
  <c r="AM534" i="1"/>
  <c r="AA534" i="1"/>
  <c r="O534" i="1"/>
  <c r="P534" i="1" s="1"/>
  <c r="AH534" i="1"/>
  <c r="V534" i="1"/>
  <c r="J534" i="1"/>
  <c r="AS534" i="1"/>
  <c r="AG534" i="1"/>
  <c r="U534" i="1"/>
  <c r="I534" i="1"/>
  <c r="AP534" i="1"/>
  <c r="X534" i="1"/>
  <c r="F534" i="1"/>
  <c r="AO534" i="1"/>
  <c r="W534" i="1"/>
  <c r="E534" i="1"/>
  <c r="AL534" i="1"/>
  <c r="T534" i="1"/>
  <c r="AK534" i="1"/>
  <c r="S534" i="1"/>
  <c r="AJ534" i="1"/>
  <c r="R534" i="1"/>
  <c r="AI534" i="1"/>
  <c r="Q534" i="1"/>
  <c r="AF534" i="1"/>
  <c r="N534" i="1"/>
  <c r="AE534" i="1"/>
  <c r="M534" i="1"/>
  <c r="AD534" i="1"/>
  <c r="K534" i="1"/>
  <c r="L534" i="1" s="1"/>
  <c r="AR534" i="1"/>
  <c r="Z534" i="1"/>
  <c r="H534" i="1"/>
  <c r="AT534" i="1" s="1"/>
  <c r="AQ534" i="1"/>
  <c r="Y534" i="1"/>
  <c r="G534" i="1"/>
  <c r="AK609" i="1"/>
  <c r="Y609" i="1"/>
  <c r="M609" i="1"/>
  <c r="AJ609" i="1"/>
  <c r="X609" i="1"/>
  <c r="AI609" i="1"/>
  <c r="W609" i="1"/>
  <c r="K609" i="1"/>
  <c r="L609" i="1" s="1"/>
  <c r="AH609" i="1"/>
  <c r="V609" i="1"/>
  <c r="J609" i="1"/>
  <c r="AS609" i="1"/>
  <c r="AG609" i="1"/>
  <c r="U609" i="1"/>
  <c r="I609" i="1"/>
  <c r="AR609" i="1"/>
  <c r="AF609" i="1"/>
  <c r="T609" i="1"/>
  <c r="H609" i="1"/>
  <c r="AT609" i="1" s="1"/>
  <c r="AQ609" i="1"/>
  <c r="AE609" i="1"/>
  <c r="S609" i="1"/>
  <c r="G609" i="1"/>
  <c r="AP609" i="1"/>
  <c r="AD609" i="1"/>
  <c r="R609" i="1"/>
  <c r="F609" i="1"/>
  <c r="AO609" i="1"/>
  <c r="Q609" i="1"/>
  <c r="E609" i="1"/>
  <c r="AN609" i="1"/>
  <c r="AB609" i="1"/>
  <c r="D609" i="1"/>
  <c r="AY609" i="1"/>
  <c r="AM609" i="1"/>
  <c r="AA609" i="1"/>
  <c r="O609" i="1"/>
  <c r="P609" i="1" s="1"/>
  <c r="AL609" i="1"/>
  <c r="Z609" i="1"/>
  <c r="N609" i="1"/>
  <c r="AP627" i="1"/>
  <c r="AD627" i="1"/>
  <c r="R627" i="1"/>
  <c r="F627" i="1"/>
  <c r="AO627" i="1"/>
  <c r="Q627" i="1"/>
  <c r="E627" i="1"/>
  <c r="AJ627" i="1"/>
  <c r="X627" i="1"/>
  <c r="AI627" i="1"/>
  <c r="W627" i="1"/>
  <c r="K627" i="1"/>
  <c r="L627" i="1" s="1"/>
  <c r="AE627" i="1"/>
  <c r="N627" i="1"/>
  <c r="M627" i="1"/>
  <c r="AS627" i="1"/>
  <c r="AB627" i="1"/>
  <c r="J627" i="1"/>
  <c r="AR627" i="1"/>
  <c r="AA627" i="1"/>
  <c r="I627" i="1"/>
  <c r="AQ627" i="1"/>
  <c r="Z627" i="1"/>
  <c r="H627" i="1"/>
  <c r="AT627" i="1" s="1"/>
  <c r="AN627" i="1"/>
  <c r="Y627" i="1"/>
  <c r="G627" i="1"/>
  <c r="AM627" i="1"/>
  <c r="V627" i="1"/>
  <c r="D627" i="1"/>
  <c r="AL627" i="1"/>
  <c r="U627" i="1"/>
  <c r="AK627" i="1"/>
  <c r="T627" i="1"/>
  <c r="AH627" i="1"/>
  <c r="S627" i="1"/>
  <c r="AY627" i="1"/>
  <c r="AG627" i="1"/>
  <c r="AF627" i="1"/>
  <c r="O627" i="1"/>
  <c r="P627" i="1" s="1"/>
  <c r="AQ600" i="1"/>
  <c r="AE600" i="1"/>
  <c r="S600" i="1"/>
  <c r="G600" i="1"/>
  <c r="AP600" i="1"/>
  <c r="AD600" i="1"/>
  <c r="R600" i="1"/>
  <c r="F600" i="1"/>
  <c r="AO600" i="1"/>
  <c r="Q600" i="1"/>
  <c r="E600" i="1"/>
  <c r="AN600" i="1"/>
  <c r="AB600" i="1"/>
  <c r="D600" i="1"/>
  <c r="AY600" i="1"/>
  <c r="AM600" i="1"/>
  <c r="AA600" i="1"/>
  <c r="O600" i="1"/>
  <c r="P600" i="1" s="1"/>
  <c r="AL600" i="1"/>
  <c r="Z600" i="1"/>
  <c r="N600" i="1"/>
  <c r="AK600" i="1"/>
  <c r="Y600" i="1"/>
  <c r="M600" i="1"/>
  <c r="AJ600" i="1"/>
  <c r="X600" i="1"/>
  <c r="AI600" i="1"/>
  <c r="W600" i="1"/>
  <c r="K600" i="1"/>
  <c r="L600" i="1" s="1"/>
  <c r="AH600" i="1"/>
  <c r="V600" i="1"/>
  <c r="J600" i="1"/>
  <c r="AS600" i="1"/>
  <c r="AG600" i="1"/>
  <c r="U600" i="1"/>
  <c r="I600" i="1"/>
  <c r="AR600" i="1"/>
  <c r="AF600" i="1"/>
  <c r="T600" i="1"/>
  <c r="H600" i="1"/>
  <c r="AT600" i="1" s="1"/>
  <c r="AY584" i="1"/>
  <c r="AM584" i="1"/>
  <c r="AA584" i="1"/>
  <c r="O584" i="1"/>
  <c r="P584" i="1" s="1"/>
  <c r="AL584" i="1"/>
  <c r="Z584" i="1"/>
  <c r="N584" i="1"/>
  <c r="AK584" i="1"/>
  <c r="Y584" i="1"/>
  <c r="M584" i="1"/>
  <c r="AS584" i="1"/>
  <c r="AG584" i="1"/>
  <c r="U584" i="1"/>
  <c r="I584" i="1"/>
  <c r="AR584" i="1"/>
  <c r="AF584" i="1"/>
  <c r="T584" i="1"/>
  <c r="H584" i="1"/>
  <c r="AT584" i="1" s="1"/>
  <c r="AH584" i="1"/>
  <c r="AE584" i="1"/>
  <c r="K584" i="1"/>
  <c r="L584" i="1" s="1"/>
  <c r="AD584" i="1"/>
  <c r="J584" i="1"/>
  <c r="G584" i="1"/>
  <c r="AB584" i="1"/>
  <c r="F584" i="1"/>
  <c r="X584" i="1"/>
  <c r="E584" i="1"/>
  <c r="AQ584" i="1"/>
  <c r="W584" i="1"/>
  <c r="D584" i="1"/>
  <c r="AP584" i="1"/>
  <c r="V584" i="1"/>
  <c r="AO584" i="1"/>
  <c r="S584" i="1"/>
  <c r="AN584" i="1"/>
  <c r="R584" i="1"/>
  <c r="AJ584" i="1"/>
  <c r="Q584" i="1"/>
  <c r="AI584" i="1"/>
  <c r="AL653" i="1"/>
  <c r="Z653" i="1"/>
  <c r="N653" i="1"/>
  <c r="AK653" i="1"/>
  <c r="Y653" i="1"/>
  <c r="M653" i="1"/>
  <c r="AJ653" i="1"/>
  <c r="X653" i="1"/>
  <c r="AI653" i="1"/>
  <c r="W653" i="1"/>
  <c r="K653" i="1"/>
  <c r="L653" i="1" s="1"/>
  <c r="AH653" i="1"/>
  <c r="V653" i="1"/>
  <c r="J653" i="1"/>
  <c r="AS653" i="1"/>
  <c r="AG653" i="1"/>
  <c r="U653" i="1"/>
  <c r="I653" i="1"/>
  <c r="AR653" i="1"/>
  <c r="AF653" i="1"/>
  <c r="T653" i="1"/>
  <c r="H653" i="1"/>
  <c r="AT653" i="1" s="1"/>
  <c r="AQ653" i="1"/>
  <c r="AE653" i="1"/>
  <c r="S653" i="1"/>
  <c r="G653" i="1"/>
  <c r="AP653" i="1"/>
  <c r="AD653" i="1"/>
  <c r="R653" i="1"/>
  <c r="F653" i="1"/>
  <c r="AO653" i="1"/>
  <c r="Q653" i="1"/>
  <c r="E653" i="1"/>
  <c r="AN653" i="1"/>
  <c r="AB653" i="1"/>
  <c r="D653" i="1"/>
  <c r="AY653" i="1"/>
  <c r="AM653" i="1"/>
  <c r="AA653" i="1"/>
  <c r="O653" i="1"/>
  <c r="P653" i="1" s="1"/>
  <c r="AR638" i="1"/>
  <c r="AF638" i="1"/>
  <c r="T638" i="1"/>
  <c r="H638" i="1"/>
  <c r="AT638" i="1" s="1"/>
  <c r="AQ638" i="1"/>
  <c r="AE638" i="1"/>
  <c r="S638" i="1"/>
  <c r="G638" i="1"/>
  <c r="AP638" i="1"/>
  <c r="AD638" i="1"/>
  <c r="R638" i="1"/>
  <c r="F638" i="1"/>
  <c r="AO638" i="1"/>
  <c r="Q638" i="1"/>
  <c r="E638" i="1"/>
  <c r="AN638" i="1"/>
  <c r="AB638" i="1"/>
  <c r="D638" i="1"/>
  <c r="AY638" i="1"/>
  <c r="AM638" i="1"/>
  <c r="AA638" i="1"/>
  <c r="O638" i="1"/>
  <c r="P638" i="1" s="1"/>
  <c r="AL638" i="1"/>
  <c r="Z638" i="1"/>
  <c r="N638" i="1"/>
  <c r="AK638" i="1"/>
  <c r="Y638" i="1"/>
  <c r="M638" i="1"/>
  <c r="AJ638" i="1"/>
  <c r="X638" i="1"/>
  <c r="AH638" i="1"/>
  <c r="V638" i="1"/>
  <c r="J638" i="1"/>
  <c r="AS638" i="1"/>
  <c r="AG638" i="1"/>
  <c r="U638" i="1"/>
  <c r="I638" i="1"/>
  <c r="W638" i="1"/>
  <c r="K638" i="1"/>
  <c r="L638" i="1" s="1"/>
  <c r="AI638" i="1"/>
  <c r="AN628" i="1"/>
  <c r="AB628" i="1"/>
  <c r="D628" i="1"/>
  <c r="AY628" i="1"/>
  <c r="AM628" i="1"/>
  <c r="AA628" i="1"/>
  <c r="O628" i="1"/>
  <c r="P628" i="1" s="1"/>
  <c r="AH628" i="1"/>
  <c r="V628" i="1"/>
  <c r="J628" i="1"/>
  <c r="AS628" i="1"/>
  <c r="AG628" i="1"/>
  <c r="U628" i="1"/>
  <c r="I628" i="1"/>
  <c r="AI628" i="1"/>
  <c r="Q628" i="1"/>
  <c r="AF628" i="1"/>
  <c r="N628" i="1"/>
  <c r="AE628" i="1"/>
  <c r="M628" i="1"/>
  <c r="AD628" i="1"/>
  <c r="K628" i="1"/>
  <c r="L628" i="1" s="1"/>
  <c r="AR628" i="1"/>
  <c r="Z628" i="1"/>
  <c r="H628" i="1"/>
  <c r="AT628" i="1" s="1"/>
  <c r="AQ628" i="1"/>
  <c r="Y628" i="1"/>
  <c r="G628" i="1"/>
  <c r="AP628" i="1"/>
  <c r="X628" i="1"/>
  <c r="F628" i="1"/>
  <c r="AO628" i="1"/>
  <c r="W628" i="1"/>
  <c r="E628" i="1"/>
  <c r="AL628" i="1"/>
  <c r="T628" i="1"/>
  <c r="AK628" i="1"/>
  <c r="S628" i="1"/>
  <c r="AJ628" i="1"/>
  <c r="R628" i="1"/>
  <c r="AK700" i="1"/>
  <c r="Y700" i="1"/>
  <c r="M700" i="1"/>
  <c r="AJ700" i="1"/>
  <c r="X700" i="1"/>
  <c r="AI700" i="1"/>
  <c r="W700" i="1"/>
  <c r="K700" i="1"/>
  <c r="L700" i="1" s="1"/>
  <c r="AH700" i="1"/>
  <c r="V700" i="1"/>
  <c r="J700" i="1"/>
  <c r="AS700" i="1"/>
  <c r="AG700" i="1"/>
  <c r="U700" i="1"/>
  <c r="I700" i="1"/>
  <c r="AR700" i="1"/>
  <c r="AF700" i="1"/>
  <c r="T700" i="1"/>
  <c r="H700" i="1"/>
  <c r="AT700" i="1" s="1"/>
  <c r="AQ700" i="1"/>
  <c r="AE700" i="1"/>
  <c r="S700" i="1"/>
  <c r="G700" i="1"/>
  <c r="AP700" i="1"/>
  <c r="AD700" i="1"/>
  <c r="R700" i="1"/>
  <c r="F700" i="1"/>
  <c r="AO700" i="1"/>
  <c r="Q700" i="1"/>
  <c r="E700" i="1"/>
  <c r="AN700" i="1"/>
  <c r="AB700" i="1"/>
  <c r="D700" i="1"/>
  <c r="AY700" i="1"/>
  <c r="AM700" i="1"/>
  <c r="AA700" i="1"/>
  <c r="O700" i="1"/>
  <c r="P700" i="1" s="1"/>
  <c r="AL700" i="1"/>
  <c r="Z700" i="1"/>
  <c r="N700" i="1"/>
  <c r="AS678" i="1"/>
  <c r="AG678" i="1"/>
  <c r="U678" i="1"/>
  <c r="I678" i="1"/>
  <c r="AR678" i="1"/>
  <c r="AF678" i="1"/>
  <c r="T678" i="1"/>
  <c r="H678" i="1"/>
  <c r="AT678" i="1" s="1"/>
  <c r="AQ678" i="1"/>
  <c r="AE678" i="1"/>
  <c r="S678" i="1"/>
  <c r="G678" i="1"/>
  <c r="AP678" i="1"/>
  <c r="AD678" i="1"/>
  <c r="R678" i="1"/>
  <c r="F678" i="1"/>
  <c r="AO678" i="1"/>
  <c r="Q678" i="1"/>
  <c r="E678" i="1"/>
  <c r="AN678" i="1"/>
  <c r="AB678" i="1"/>
  <c r="D678" i="1"/>
  <c r="AY678" i="1"/>
  <c r="AM678" i="1"/>
  <c r="AA678" i="1"/>
  <c r="O678" i="1"/>
  <c r="P678" i="1" s="1"/>
  <c r="AL678" i="1"/>
  <c r="Z678" i="1"/>
  <c r="N678" i="1"/>
  <c r="AK678" i="1"/>
  <c r="Y678" i="1"/>
  <c r="M678" i="1"/>
  <c r="AJ678" i="1"/>
  <c r="X678" i="1"/>
  <c r="AI678" i="1"/>
  <c r="W678" i="1"/>
  <c r="K678" i="1"/>
  <c r="L678" i="1" s="1"/>
  <c r="AH678" i="1"/>
  <c r="V678" i="1"/>
  <c r="J678" i="1"/>
  <c r="AQ703" i="1"/>
  <c r="AE703" i="1"/>
  <c r="S703" i="1"/>
  <c r="G703" i="1"/>
  <c r="AP703" i="1"/>
  <c r="AD703" i="1"/>
  <c r="R703" i="1"/>
  <c r="F703" i="1"/>
  <c r="AO703" i="1"/>
  <c r="Q703" i="1"/>
  <c r="E703" i="1"/>
  <c r="AN703" i="1"/>
  <c r="AB703" i="1"/>
  <c r="D703" i="1"/>
  <c r="AY703" i="1"/>
  <c r="AM703" i="1"/>
  <c r="AA703" i="1"/>
  <c r="O703" i="1"/>
  <c r="P703" i="1" s="1"/>
  <c r="AL703" i="1"/>
  <c r="Z703" i="1"/>
  <c r="N703" i="1"/>
  <c r="AK703" i="1"/>
  <c r="Y703" i="1"/>
  <c r="M703" i="1"/>
  <c r="AJ703" i="1"/>
  <c r="X703" i="1"/>
  <c r="AI703" i="1"/>
  <c r="W703" i="1"/>
  <c r="K703" i="1"/>
  <c r="L703" i="1" s="1"/>
  <c r="AH703" i="1"/>
  <c r="V703" i="1"/>
  <c r="J703" i="1"/>
  <c r="AS703" i="1"/>
  <c r="AG703" i="1"/>
  <c r="U703" i="1"/>
  <c r="I703" i="1"/>
  <c r="AR703" i="1"/>
  <c r="AF703" i="1"/>
  <c r="T703" i="1"/>
  <c r="H703" i="1"/>
  <c r="AT703" i="1" s="1"/>
  <c r="AY669" i="1"/>
  <c r="AM669" i="1"/>
  <c r="AA669" i="1"/>
  <c r="O669" i="1"/>
  <c r="P669" i="1" s="1"/>
  <c r="AL669" i="1"/>
  <c r="Z669" i="1"/>
  <c r="N669" i="1"/>
  <c r="AK669" i="1"/>
  <c r="Y669" i="1"/>
  <c r="M669" i="1"/>
  <c r="AJ669" i="1"/>
  <c r="X669" i="1"/>
  <c r="AI669" i="1"/>
  <c r="W669" i="1"/>
  <c r="K669" i="1"/>
  <c r="L669" i="1" s="1"/>
  <c r="AR669" i="1"/>
  <c r="AF669" i="1"/>
  <c r="T669" i="1"/>
  <c r="H669" i="1"/>
  <c r="AT669" i="1" s="1"/>
  <c r="AO669" i="1"/>
  <c r="Q669" i="1"/>
  <c r="AN669" i="1"/>
  <c r="AH669" i="1"/>
  <c r="J669" i="1"/>
  <c r="AG669" i="1"/>
  <c r="I669" i="1"/>
  <c r="AE669" i="1"/>
  <c r="G669" i="1"/>
  <c r="AD669" i="1"/>
  <c r="F669" i="1"/>
  <c r="E669" i="1"/>
  <c r="AB669" i="1"/>
  <c r="D669" i="1"/>
  <c r="V669" i="1"/>
  <c r="AS669" i="1"/>
  <c r="U669" i="1"/>
  <c r="AQ669" i="1"/>
  <c r="S669" i="1"/>
  <c r="AP669" i="1"/>
  <c r="R669" i="1"/>
  <c r="AK744" i="1"/>
  <c r="Y744" i="1"/>
  <c r="M744" i="1"/>
  <c r="AJ744" i="1"/>
  <c r="X744" i="1"/>
  <c r="AI744" i="1"/>
  <c r="W744" i="1"/>
  <c r="K744" i="1"/>
  <c r="L744" i="1" s="1"/>
  <c r="AH744" i="1"/>
  <c r="V744" i="1"/>
  <c r="J744" i="1"/>
  <c r="AS744" i="1"/>
  <c r="AG744" i="1"/>
  <c r="U744" i="1"/>
  <c r="I744" i="1"/>
  <c r="AR744" i="1"/>
  <c r="AF744" i="1"/>
  <c r="T744" i="1"/>
  <c r="H744" i="1"/>
  <c r="AT744" i="1" s="1"/>
  <c r="AQ744" i="1"/>
  <c r="AE744" i="1"/>
  <c r="S744" i="1"/>
  <c r="G744" i="1"/>
  <c r="AP744" i="1"/>
  <c r="AD744" i="1"/>
  <c r="R744" i="1"/>
  <c r="F744" i="1"/>
  <c r="AO744" i="1"/>
  <c r="Q744" i="1"/>
  <c r="E744" i="1"/>
  <c r="AN744" i="1"/>
  <c r="AB744" i="1"/>
  <c r="D744" i="1"/>
  <c r="AY744" i="1"/>
  <c r="AM744" i="1"/>
  <c r="AA744" i="1"/>
  <c r="O744" i="1"/>
  <c r="P744" i="1" s="1"/>
  <c r="AL744" i="1"/>
  <c r="Z744" i="1"/>
  <c r="N744" i="1"/>
  <c r="AS728" i="1"/>
  <c r="AG728" i="1"/>
  <c r="U728" i="1"/>
  <c r="I728" i="1"/>
  <c r="AR728" i="1"/>
  <c r="AF728" i="1"/>
  <c r="T728" i="1"/>
  <c r="H728" i="1"/>
  <c r="AT728" i="1" s="1"/>
  <c r="AQ728" i="1"/>
  <c r="AE728" i="1"/>
  <c r="S728" i="1"/>
  <c r="G728" i="1"/>
  <c r="AP728" i="1"/>
  <c r="AD728" i="1"/>
  <c r="R728" i="1"/>
  <c r="F728" i="1"/>
  <c r="AO728" i="1"/>
  <c r="Q728" i="1"/>
  <c r="E728" i="1"/>
  <c r="AN728" i="1"/>
  <c r="AB728" i="1"/>
  <c r="D728" i="1"/>
  <c r="AY728" i="1"/>
  <c r="AM728" i="1"/>
  <c r="AA728" i="1"/>
  <c r="O728" i="1"/>
  <c r="P728" i="1" s="1"/>
  <c r="AL728" i="1"/>
  <c r="Z728" i="1"/>
  <c r="N728" i="1"/>
  <c r="AK728" i="1"/>
  <c r="Y728" i="1"/>
  <c r="M728" i="1"/>
  <c r="AJ728" i="1"/>
  <c r="X728" i="1"/>
  <c r="AI728" i="1"/>
  <c r="W728" i="1"/>
  <c r="K728" i="1"/>
  <c r="L728" i="1" s="1"/>
  <c r="AH728" i="1"/>
  <c r="V728" i="1"/>
  <c r="J728" i="1"/>
  <c r="AQ747" i="1"/>
  <c r="AE747" i="1"/>
  <c r="S747" i="1"/>
  <c r="G747" i="1"/>
  <c r="AP747" i="1"/>
  <c r="AD747" i="1"/>
  <c r="R747" i="1"/>
  <c r="F747" i="1"/>
  <c r="AO747" i="1"/>
  <c r="Q747" i="1"/>
  <c r="E747" i="1"/>
  <c r="AN747" i="1"/>
  <c r="AB747" i="1"/>
  <c r="D747" i="1"/>
  <c r="AY747" i="1"/>
  <c r="AM747" i="1"/>
  <c r="AA747" i="1"/>
  <c r="O747" i="1"/>
  <c r="P747" i="1" s="1"/>
  <c r="AL747" i="1"/>
  <c r="Z747" i="1"/>
  <c r="N747" i="1"/>
  <c r="AK747" i="1"/>
  <c r="Y747" i="1"/>
  <c r="M747" i="1"/>
  <c r="AJ747" i="1"/>
  <c r="X747" i="1"/>
  <c r="AI747" i="1"/>
  <c r="W747" i="1"/>
  <c r="K747" i="1"/>
  <c r="L747" i="1" s="1"/>
  <c r="AH747" i="1"/>
  <c r="V747" i="1"/>
  <c r="J747" i="1"/>
  <c r="AS747" i="1"/>
  <c r="AG747" i="1"/>
  <c r="U747" i="1"/>
  <c r="I747" i="1"/>
  <c r="AR747" i="1"/>
  <c r="AF747" i="1"/>
  <c r="T747" i="1"/>
  <c r="H747" i="1"/>
  <c r="AT747" i="1" s="1"/>
  <c r="AY737" i="1"/>
  <c r="AM737" i="1"/>
  <c r="AA737" i="1"/>
  <c r="O737" i="1"/>
  <c r="P737" i="1" s="1"/>
  <c r="AL737" i="1"/>
  <c r="Z737" i="1"/>
  <c r="N737" i="1"/>
  <c r="AK737" i="1"/>
  <c r="Y737" i="1"/>
  <c r="M737" i="1"/>
  <c r="AJ737" i="1"/>
  <c r="X737" i="1"/>
  <c r="AI737" i="1"/>
  <c r="W737" i="1"/>
  <c r="K737" i="1"/>
  <c r="L737" i="1" s="1"/>
  <c r="AH737" i="1"/>
  <c r="V737" i="1"/>
  <c r="J737" i="1"/>
  <c r="AS737" i="1"/>
  <c r="AG737" i="1"/>
  <c r="U737" i="1"/>
  <c r="I737" i="1"/>
  <c r="AR737" i="1"/>
  <c r="AF737" i="1"/>
  <c r="T737" i="1"/>
  <c r="H737" i="1"/>
  <c r="AT737" i="1" s="1"/>
  <c r="AQ737" i="1"/>
  <c r="AE737" i="1"/>
  <c r="S737" i="1"/>
  <c r="G737" i="1"/>
  <c r="AP737" i="1"/>
  <c r="AD737" i="1"/>
  <c r="R737" i="1"/>
  <c r="F737" i="1"/>
  <c r="AO737" i="1"/>
  <c r="Q737" i="1"/>
  <c r="E737" i="1"/>
  <c r="AN737" i="1"/>
  <c r="AB737" i="1"/>
  <c r="D737" i="1"/>
  <c r="AI769" i="1"/>
  <c r="W769" i="1"/>
  <c r="K769" i="1"/>
  <c r="L769" i="1" s="1"/>
  <c r="AH769" i="1"/>
  <c r="V769" i="1"/>
  <c r="J769" i="1"/>
  <c r="AS769" i="1"/>
  <c r="AG769" i="1"/>
  <c r="U769" i="1"/>
  <c r="I769" i="1"/>
  <c r="AR769" i="1"/>
  <c r="AF769" i="1"/>
  <c r="T769" i="1"/>
  <c r="H769" i="1"/>
  <c r="AT769" i="1" s="1"/>
  <c r="AQ769" i="1"/>
  <c r="AE769" i="1"/>
  <c r="S769" i="1"/>
  <c r="G769" i="1"/>
  <c r="AP769" i="1"/>
  <c r="AD769" i="1"/>
  <c r="R769" i="1"/>
  <c r="F769" i="1"/>
  <c r="AO769" i="1"/>
  <c r="Q769" i="1"/>
  <c r="E769" i="1"/>
  <c r="AN769" i="1"/>
  <c r="AB769" i="1"/>
  <c r="D769" i="1"/>
  <c r="AY769" i="1"/>
  <c r="AM769" i="1"/>
  <c r="AA769" i="1"/>
  <c r="O769" i="1"/>
  <c r="P769" i="1" s="1"/>
  <c r="AL769" i="1"/>
  <c r="Z769" i="1"/>
  <c r="N769" i="1"/>
  <c r="AK769" i="1"/>
  <c r="Y769" i="1"/>
  <c r="M769" i="1"/>
  <c r="AJ769" i="1"/>
  <c r="X769" i="1"/>
  <c r="AH801" i="1"/>
  <c r="V801" i="1"/>
  <c r="J801" i="1"/>
  <c r="AS801" i="1"/>
  <c r="AG801" i="1"/>
  <c r="U801" i="1"/>
  <c r="I801" i="1"/>
  <c r="AR801" i="1"/>
  <c r="AF801" i="1"/>
  <c r="T801" i="1"/>
  <c r="H801" i="1"/>
  <c r="AT801" i="1" s="1"/>
  <c r="AQ801" i="1"/>
  <c r="AE801" i="1"/>
  <c r="S801" i="1"/>
  <c r="G801" i="1"/>
  <c r="AO801" i="1"/>
  <c r="Q801" i="1"/>
  <c r="E801" i="1"/>
  <c r="AY801" i="1"/>
  <c r="AD801" i="1"/>
  <c r="M801" i="1"/>
  <c r="AB801" i="1"/>
  <c r="K801" i="1"/>
  <c r="L801" i="1" s="1"/>
  <c r="AA801" i="1"/>
  <c r="F801" i="1"/>
  <c r="Z801" i="1"/>
  <c r="D801" i="1"/>
  <c r="AP801" i="1"/>
  <c r="Y801" i="1"/>
  <c r="AN801" i="1"/>
  <c r="X801" i="1"/>
  <c r="AM801" i="1"/>
  <c r="W801" i="1"/>
  <c r="AL801" i="1"/>
  <c r="R801" i="1"/>
  <c r="AK801" i="1"/>
  <c r="AJ801" i="1"/>
  <c r="O801" i="1"/>
  <c r="P801" i="1" s="1"/>
  <c r="AI801" i="1"/>
  <c r="N801" i="1"/>
  <c r="AO778" i="1"/>
  <c r="Q778" i="1"/>
  <c r="E778" i="1"/>
  <c r="AN778" i="1"/>
  <c r="AB778" i="1"/>
  <c r="D778" i="1"/>
  <c r="AY778" i="1"/>
  <c r="AM778" i="1"/>
  <c r="AA778" i="1"/>
  <c r="O778" i="1"/>
  <c r="P778" i="1" s="1"/>
  <c r="AL778" i="1"/>
  <c r="Z778" i="1"/>
  <c r="N778" i="1"/>
  <c r="AK778" i="1"/>
  <c r="Y778" i="1"/>
  <c r="M778" i="1"/>
  <c r="AJ778" i="1"/>
  <c r="X778" i="1"/>
  <c r="AI778" i="1"/>
  <c r="W778" i="1"/>
  <c r="K778" i="1"/>
  <c r="L778" i="1" s="1"/>
  <c r="AH778" i="1"/>
  <c r="V778" i="1"/>
  <c r="J778" i="1"/>
  <c r="AS778" i="1"/>
  <c r="AG778" i="1"/>
  <c r="U778" i="1"/>
  <c r="I778" i="1"/>
  <c r="AR778" i="1"/>
  <c r="AF778" i="1"/>
  <c r="T778" i="1"/>
  <c r="H778" i="1"/>
  <c r="AT778" i="1" s="1"/>
  <c r="AQ778" i="1"/>
  <c r="AE778" i="1"/>
  <c r="S778" i="1"/>
  <c r="G778" i="1"/>
  <c r="AP778" i="1"/>
  <c r="AD778" i="1"/>
  <c r="R778" i="1"/>
  <c r="F778" i="1"/>
  <c r="AL811" i="1"/>
  <c r="Z811" i="1"/>
  <c r="N811" i="1"/>
  <c r="AK811" i="1"/>
  <c r="Y811" i="1"/>
  <c r="M811" i="1"/>
  <c r="AJ811" i="1"/>
  <c r="X811" i="1"/>
  <c r="AI811" i="1"/>
  <c r="W811" i="1"/>
  <c r="K811" i="1"/>
  <c r="L811" i="1" s="1"/>
  <c r="AH811" i="1"/>
  <c r="V811" i="1"/>
  <c r="J811" i="1"/>
  <c r="AS811" i="1"/>
  <c r="AG811" i="1"/>
  <c r="U811" i="1"/>
  <c r="I811" i="1"/>
  <c r="AR811" i="1"/>
  <c r="AF811" i="1"/>
  <c r="T811" i="1"/>
  <c r="H811" i="1"/>
  <c r="AT811" i="1" s="1"/>
  <c r="AQ811" i="1"/>
  <c r="AE811" i="1"/>
  <c r="S811" i="1"/>
  <c r="G811" i="1"/>
  <c r="AP811" i="1"/>
  <c r="AD811" i="1"/>
  <c r="R811" i="1"/>
  <c r="F811" i="1"/>
  <c r="AO811" i="1"/>
  <c r="Q811" i="1"/>
  <c r="E811" i="1"/>
  <c r="AN811" i="1"/>
  <c r="AB811" i="1"/>
  <c r="D811" i="1"/>
  <c r="AY811" i="1"/>
  <c r="AM811" i="1"/>
  <c r="AA811" i="1"/>
  <c r="O811" i="1"/>
  <c r="P811" i="1" s="1"/>
  <c r="AH837" i="1"/>
  <c r="V837" i="1"/>
  <c r="J837" i="1"/>
  <c r="AR837" i="1"/>
  <c r="AF837" i="1"/>
  <c r="T837" i="1"/>
  <c r="H837" i="1"/>
  <c r="AT837" i="1" s="1"/>
  <c r="AO837" i="1"/>
  <c r="AA837" i="1"/>
  <c r="M837" i="1"/>
  <c r="AN837" i="1"/>
  <c r="Z837" i="1"/>
  <c r="AM837" i="1"/>
  <c r="Y837" i="1"/>
  <c r="K837" i="1"/>
  <c r="L837" i="1" s="1"/>
  <c r="AL837" i="1"/>
  <c r="X837" i="1"/>
  <c r="I837" i="1"/>
  <c r="AY837" i="1"/>
  <c r="AK837" i="1"/>
  <c r="W837" i="1"/>
  <c r="G837" i="1"/>
  <c r="AJ837" i="1"/>
  <c r="U837" i="1"/>
  <c r="F837" i="1"/>
  <c r="AI837" i="1"/>
  <c r="S837" i="1"/>
  <c r="E837" i="1"/>
  <c r="AG837" i="1"/>
  <c r="R837" i="1"/>
  <c r="D837" i="1"/>
  <c r="AE837" i="1"/>
  <c r="Q837" i="1"/>
  <c r="AS837" i="1"/>
  <c r="AD837" i="1"/>
  <c r="AQ837" i="1"/>
  <c r="O837" i="1"/>
  <c r="P837" i="1" s="1"/>
  <c r="AP837" i="1"/>
  <c r="AB837" i="1"/>
  <c r="N837" i="1"/>
  <c r="AR820" i="1"/>
  <c r="AF820" i="1"/>
  <c r="T820" i="1"/>
  <c r="H820" i="1"/>
  <c r="AT820" i="1" s="1"/>
  <c r="AQ820" i="1"/>
  <c r="AE820" i="1"/>
  <c r="S820" i="1"/>
  <c r="G820" i="1"/>
  <c r="AP820" i="1"/>
  <c r="AD820" i="1"/>
  <c r="R820" i="1"/>
  <c r="F820" i="1"/>
  <c r="AO820" i="1"/>
  <c r="Q820" i="1"/>
  <c r="E820" i="1"/>
  <c r="AN820" i="1"/>
  <c r="AB820" i="1"/>
  <c r="D820" i="1"/>
  <c r="AY820" i="1"/>
  <c r="AM820" i="1"/>
  <c r="AA820" i="1"/>
  <c r="O820" i="1"/>
  <c r="P820" i="1" s="1"/>
  <c r="AL820" i="1"/>
  <c r="Z820" i="1"/>
  <c r="N820" i="1"/>
  <c r="AK820" i="1"/>
  <c r="Y820" i="1"/>
  <c r="M820" i="1"/>
  <c r="AJ820" i="1"/>
  <c r="X820" i="1"/>
  <c r="AI820" i="1"/>
  <c r="W820" i="1"/>
  <c r="K820" i="1"/>
  <c r="L820" i="1" s="1"/>
  <c r="AH820" i="1"/>
  <c r="V820" i="1"/>
  <c r="J820" i="1"/>
  <c r="AS820" i="1"/>
  <c r="AG820" i="1"/>
  <c r="U820" i="1"/>
  <c r="I820" i="1"/>
  <c r="AN804" i="1"/>
  <c r="AB804" i="1"/>
  <c r="D804" i="1"/>
  <c r="AY804" i="1"/>
  <c r="AM804" i="1"/>
  <c r="AA804" i="1"/>
  <c r="O804" i="1"/>
  <c r="P804" i="1" s="1"/>
  <c r="AL804" i="1"/>
  <c r="Z804" i="1"/>
  <c r="N804" i="1"/>
  <c r="AK804" i="1"/>
  <c r="Y804" i="1"/>
  <c r="M804" i="1"/>
  <c r="AJ804" i="1"/>
  <c r="X804" i="1"/>
  <c r="AI804" i="1"/>
  <c r="W804" i="1"/>
  <c r="K804" i="1"/>
  <c r="L804" i="1" s="1"/>
  <c r="AH804" i="1"/>
  <c r="V804" i="1"/>
  <c r="AS804" i="1"/>
  <c r="AG804" i="1"/>
  <c r="U804" i="1"/>
  <c r="I804" i="1"/>
  <c r="AQ804" i="1"/>
  <c r="AE804" i="1"/>
  <c r="S804" i="1"/>
  <c r="G804" i="1"/>
  <c r="AP804" i="1"/>
  <c r="AO804" i="1"/>
  <c r="Q804" i="1"/>
  <c r="E804" i="1"/>
  <c r="J804" i="1"/>
  <c r="H804" i="1"/>
  <c r="AT804" i="1" s="1"/>
  <c r="F804" i="1"/>
  <c r="AR804" i="1"/>
  <c r="AF804" i="1"/>
  <c r="AD804" i="1"/>
  <c r="T804" i="1"/>
  <c r="R804" i="1"/>
  <c r="AL886" i="1"/>
  <c r="Z886" i="1"/>
  <c r="N886" i="1"/>
  <c r="AK886" i="1"/>
  <c r="Y886" i="1"/>
  <c r="M886" i="1"/>
  <c r="AJ886" i="1"/>
  <c r="X886" i="1"/>
  <c r="AI886" i="1"/>
  <c r="W886" i="1"/>
  <c r="K886" i="1"/>
  <c r="L886" i="1" s="1"/>
  <c r="AH886" i="1"/>
  <c r="V886" i="1"/>
  <c r="J886" i="1"/>
  <c r="AQ886" i="1"/>
  <c r="AE886" i="1"/>
  <c r="S886" i="1"/>
  <c r="G886" i="1"/>
  <c r="AS886" i="1"/>
  <c r="U886" i="1"/>
  <c r="AR886" i="1"/>
  <c r="T886" i="1"/>
  <c r="AP886" i="1"/>
  <c r="R886" i="1"/>
  <c r="AO886" i="1"/>
  <c r="Q886" i="1"/>
  <c r="AN886" i="1"/>
  <c r="AM886" i="1"/>
  <c r="O886" i="1"/>
  <c r="P886" i="1" s="1"/>
  <c r="AG886" i="1"/>
  <c r="I886" i="1"/>
  <c r="AF886" i="1"/>
  <c r="H886" i="1"/>
  <c r="AT886" i="1" s="1"/>
  <c r="AD886" i="1"/>
  <c r="F886" i="1"/>
  <c r="AY886" i="1"/>
  <c r="E886" i="1"/>
  <c r="AB886" i="1"/>
  <c r="D886" i="1"/>
  <c r="AA886" i="1"/>
  <c r="AJ881" i="1"/>
  <c r="X881" i="1"/>
  <c r="AH881" i="1"/>
  <c r="V881" i="1"/>
  <c r="J881" i="1"/>
  <c r="AN881" i="1"/>
  <c r="Z881" i="1"/>
  <c r="K881" i="1"/>
  <c r="L881" i="1" s="1"/>
  <c r="AM881" i="1"/>
  <c r="Y881" i="1"/>
  <c r="I881" i="1"/>
  <c r="AL881" i="1"/>
  <c r="W881" i="1"/>
  <c r="H881" i="1"/>
  <c r="AT881" i="1" s="1"/>
  <c r="AY881" i="1"/>
  <c r="AK881" i="1"/>
  <c r="U881" i="1"/>
  <c r="G881" i="1"/>
  <c r="AI881" i="1"/>
  <c r="T881" i="1"/>
  <c r="F881" i="1"/>
  <c r="AG881" i="1"/>
  <c r="S881" i="1"/>
  <c r="E881" i="1"/>
  <c r="AF881" i="1"/>
  <c r="R881" i="1"/>
  <c r="D881" i="1"/>
  <c r="AS881" i="1"/>
  <c r="AE881" i="1"/>
  <c r="Q881" i="1"/>
  <c r="AR881" i="1"/>
  <c r="AD881" i="1"/>
  <c r="AQ881" i="1"/>
  <c r="O881" i="1"/>
  <c r="P881" i="1" s="1"/>
  <c r="AP881" i="1"/>
  <c r="AB881" i="1"/>
  <c r="N881" i="1"/>
  <c r="AO881" i="1"/>
  <c r="AA881" i="1"/>
  <c r="M881" i="1"/>
  <c r="AP863" i="1"/>
  <c r="AD863" i="1"/>
  <c r="R863" i="1"/>
  <c r="F863" i="1"/>
  <c r="AO863" i="1"/>
  <c r="Q863" i="1"/>
  <c r="E863" i="1"/>
  <c r="AN863" i="1"/>
  <c r="AB863" i="1"/>
  <c r="D863" i="1"/>
  <c r="AY863" i="1"/>
  <c r="AM863" i="1"/>
  <c r="AA863" i="1"/>
  <c r="O863" i="1"/>
  <c r="P863" i="1" s="1"/>
  <c r="AL863" i="1"/>
  <c r="Z863" i="1"/>
  <c r="N863" i="1"/>
  <c r="AK863" i="1"/>
  <c r="Y863" i="1"/>
  <c r="M863" i="1"/>
  <c r="AJ863" i="1"/>
  <c r="X863" i="1"/>
  <c r="AI863" i="1"/>
  <c r="W863" i="1"/>
  <c r="K863" i="1"/>
  <c r="L863" i="1" s="1"/>
  <c r="AH863" i="1"/>
  <c r="V863" i="1"/>
  <c r="J863" i="1"/>
  <c r="AS863" i="1"/>
  <c r="AG863" i="1"/>
  <c r="U863" i="1"/>
  <c r="I863" i="1"/>
  <c r="AR863" i="1"/>
  <c r="AF863" i="1"/>
  <c r="T863" i="1"/>
  <c r="H863" i="1"/>
  <c r="AT863" i="1" s="1"/>
  <c r="AQ863" i="1"/>
  <c r="AE863" i="1"/>
  <c r="S863" i="1"/>
  <c r="G863" i="1"/>
  <c r="AP884" i="1"/>
  <c r="AD884" i="1"/>
  <c r="R884" i="1"/>
  <c r="F884" i="1"/>
  <c r="AO884" i="1"/>
  <c r="Q884" i="1"/>
  <c r="AN884" i="1"/>
  <c r="AB884" i="1"/>
  <c r="D884" i="1"/>
  <c r="AY884" i="1"/>
  <c r="AM884" i="1"/>
  <c r="AA884" i="1"/>
  <c r="O884" i="1"/>
  <c r="P884" i="1" s="1"/>
  <c r="AK884" i="1"/>
  <c r="V884" i="1"/>
  <c r="E884" i="1"/>
  <c r="AJ884" i="1"/>
  <c r="U884" i="1"/>
  <c r="AI884" i="1"/>
  <c r="T884" i="1"/>
  <c r="AH884" i="1"/>
  <c r="S884" i="1"/>
  <c r="AG884" i="1"/>
  <c r="N884" i="1"/>
  <c r="AF884" i="1"/>
  <c r="M884" i="1"/>
  <c r="AE884" i="1"/>
  <c r="K884" i="1"/>
  <c r="L884" i="1" s="1"/>
  <c r="AS884" i="1"/>
  <c r="Z884" i="1"/>
  <c r="J884" i="1"/>
  <c r="AR884" i="1"/>
  <c r="Y884" i="1"/>
  <c r="I884" i="1"/>
  <c r="AQ884" i="1"/>
  <c r="X884" i="1"/>
  <c r="H884" i="1"/>
  <c r="AT884" i="1" s="1"/>
  <c r="AL884" i="1"/>
  <c r="W884" i="1"/>
  <c r="G884" i="1"/>
  <c r="AH906" i="1"/>
  <c r="V906" i="1"/>
  <c r="J906" i="1"/>
  <c r="AS906" i="1"/>
  <c r="AG906" i="1"/>
  <c r="U906" i="1"/>
  <c r="I906" i="1"/>
  <c r="AR906" i="1"/>
  <c r="AF906" i="1"/>
  <c r="T906" i="1"/>
  <c r="H906" i="1"/>
  <c r="AT906" i="1" s="1"/>
  <c r="AQ906" i="1"/>
  <c r="AE906" i="1"/>
  <c r="S906" i="1"/>
  <c r="G906" i="1"/>
  <c r="AP906" i="1"/>
  <c r="AD906" i="1"/>
  <c r="R906" i="1"/>
  <c r="F906" i="1"/>
  <c r="AO906" i="1"/>
  <c r="Q906" i="1"/>
  <c r="E906" i="1"/>
  <c r="AN906" i="1"/>
  <c r="AB906" i="1"/>
  <c r="D906" i="1"/>
  <c r="AY906" i="1"/>
  <c r="AM906" i="1"/>
  <c r="AA906" i="1"/>
  <c r="O906" i="1"/>
  <c r="P906" i="1" s="1"/>
  <c r="AL906" i="1"/>
  <c r="Z906" i="1"/>
  <c r="N906" i="1"/>
  <c r="AK906" i="1"/>
  <c r="Y906" i="1"/>
  <c r="M906" i="1"/>
  <c r="AJ906" i="1"/>
  <c r="X906" i="1"/>
  <c r="AI906" i="1"/>
  <c r="W906" i="1"/>
  <c r="K906" i="1"/>
  <c r="L906" i="1" s="1"/>
  <c r="AP908" i="1"/>
  <c r="AD908" i="1"/>
  <c r="R908" i="1"/>
  <c r="F908" i="1"/>
  <c r="AO908" i="1"/>
  <c r="Q908" i="1"/>
  <c r="E908" i="1"/>
  <c r="AN908" i="1"/>
  <c r="AB908" i="1"/>
  <c r="D908" i="1"/>
  <c r="AY908" i="1"/>
  <c r="AM908" i="1"/>
  <c r="AA908" i="1"/>
  <c r="O908" i="1"/>
  <c r="P908" i="1" s="1"/>
  <c r="AL908" i="1"/>
  <c r="Z908" i="1"/>
  <c r="N908" i="1"/>
  <c r="AK908" i="1"/>
  <c r="Y908" i="1"/>
  <c r="M908" i="1"/>
  <c r="AJ908" i="1"/>
  <c r="X908" i="1"/>
  <c r="AI908" i="1"/>
  <c r="W908" i="1"/>
  <c r="K908" i="1"/>
  <c r="L908" i="1" s="1"/>
  <c r="AH908" i="1"/>
  <c r="V908" i="1"/>
  <c r="J908" i="1"/>
  <c r="AS908" i="1"/>
  <c r="AG908" i="1"/>
  <c r="U908" i="1"/>
  <c r="I908" i="1"/>
  <c r="AR908" i="1"/>
  <c r="AF908" i="1"/>
  <c r="T908" i="1"/>
  <c r="H908" i="1"/>
  <c r="AT908" i="1" s="1"/>
  <c r="AQ908" i="1"/>
  <c r="AE908" i="1"/>
  <c r="S908" i="1"/>
  <c r="G908" i="1"/>
  <c r="AL963" i="1"/>
  <c r="Z963" i="1"/>
  <c r="N963" i="1"/>
  <c r="AK963" i="1"/>
  <c r="Y963" i="1"/>
  <c r="M963" i="1"/>
  <c r="AJ963" i="1"/>
  <c r="X963" i="1"/>
  <c r="AI963" i="1"/>
  <c r="W963" i="1"/>
  <c r="K963" i="1"/>
  <c r="L963" i="1" s="1"/>
  <c r="AH963" i="1"/>
  <c r="V963" i="1"/>
  <c r="J963" i="1"/>
  <c r="AS963" i="1"/>
  <c r="AG963" i="1"/>
  <c r="U963" i="1"/>
  <c r="I963" i="1"/>
  <c r="AR963" i="1"/>
  <c r="AF963" i="1"/>
  <c r="T963" i="1"/>
  <c r="H963" i="1"/>
  <c r="AT963" i="1" s="1"/>
  <c r="AQ963" i="1"/>
  <c r="AE963" i="1"/>
  <c r="S963" i="1"/>
  <c r="G963" i="1"/>
  <c r="AP963" i="1"/>
  <c r="AD963" i="1"/>
  <c r="R963" i="1"/>
  <c r="F963" i="1"/>
  <c r="AO963" i="1"/>
  <c r="Q963" i="1"/>
  <c r="E963" i="1"/>
  <c r="AN963" i="1"/>
  <c r="AB963" i="1"/>
  <c r="D963" i="1"/>
  <c r="AY963" i="1"/>
  <c r="AM963" i="1"/>
  <c r="AA963" i="1"/>
  <c r="O963" i="1"/>
  <c r="P963" i="1" s="1"/>
  <c r="AP943" i="1"/>
  <c r="AD943" i="1"/>
  <c r="R943" i="1"/>
  <c r="F943" i="1"/>
  <c r="AI943" i="1"/>
  <c r="W943" i="1"/>
  <c r="K943" i="1"/>
  <c r="L943" i="1" s="1"/>
  <c r="AN943" i="1"/>
  <c r="Z943" i="1"/>
  <c r="AM943" i="1"/>
  <c r="Y943" i="1"/>
  <c r="J943" i="1"/>
  <c r="AL943" i="1"/>
  <c r="X943" i="1"/>
  <c r="I943" i="1"/>
  <c r="AY943" i="1"/>
  <c r="AK943" i="1"/>
  <c r="V943" i="1"/>
  <c r="H943" i="1"/>
  <c r="AT943" i="1" s="1"/>
  <c r="AJ943" i="1"/>
  <c r="U943" i="1"/>
  <c r="G943" i="1"/>
  <c r="AH943" i="1"/>
  <c r="T943" i="1"/>
  <c r="E943" i="1"/>
  <c r="AG943" i="1"/>
  <c r="S943" i="1"/>
  <c r="D943" i="1"/>
  <c r="AF943" i="1"/>
  <c r="Q943" i="1"/>
  <c r="AS943" i="1"/>
  <c r="AE943" i="1"/>
  <c r="AR943" i="1"/>
  <c r="O943" i="1"/>
  <c r="P943" i="1" s="1"/>
  <c r="AQ943" i="1"/>
  <c r="AB943" i="1"/>
  <c r="N943" i="1"/>
  <c r="AO943" i="1"/>
  <c r="AA943" i="1"/>
  <c r="M943" i="1"/>
  <c r="AN931" i="1"/>
  <c r="AB931" i="1"/>
  <c r="D931" i="1"/>
  <c r="AY931" i="1"/>
  <c r="AM931" i="1"/>
  <c r="AA931" i="1"/>
  <c r="O931" i="1"/>
  <c r="P931" i="1" s="1"/>
  <c r="AL931" i="1"/>
  <c r="Z931" i="1"/>
  <c r="N931" i="1"/>
  <c r="AK931" i="1"/>
  <c r="Y931" i="1"/>
  <c r="M931" i="1"/>
  <c r="AJ931" i="1"/>
  <c r="X931" i="1"/>
  <c r="AI931" i="1"/>
  <c r="W931" i="1"/>
  <c r="K931" i="1"/>
  <c r="L931" i="1" s="1"/>
  <c r="AH931" i="1"/>
  <c r="V931" i="1"/>
  <c r="J931" i="1"/>
  <c r="AS931" i="1"/>
  <c r="AG931" i="1"/>
  <c r="U931" i="1"/>
  <c r="I931" i="1"/>
  <c r="AR931" i="1"/>
  <c r="AF931" i="1"/>
  <c r="T931" i="1"/>
  <c r="H931" i="1"/>
  <c r="AT931" i="1" s="1"/>
  <c r="AQ931" i="1"/>
  <c r="AE931" i="1"/>
  <c r="S931" i="1"/>
  <c r="G931" i="1"/>
  <c r="AP931" i="1"/>
  <c r="AD931" i="1"/>
  <c r="R931" i="1"/>
  <c r="F931" i="1"/>
  <c r="AO931" i="1"/>
  <c r="Q931" i="1"/>
  <c r="E931" i="1"/>
  <c r="AS969" i="1"/>
  <c r="AG969" i="1"/>
  <c r="U969" i="1"/>
  <c r="I969" i="1"/>
  <c r="AY969" i="1"/>
  <c r="AL969" i="1"/>
  <c r="Y969" i="1"/>
  <c r="AK969" i="1"/>
  <c r="X969" i="1"/>
  <c r="K969" i="1"/>
  <c r="L969" i="1" s="1"/>
  <c r="AJ969" i="1"/>
  <c r="W969" i="1"/>
  <c r="J969" i="1"/>
  <c r="AI969" i="1"/>
  <c r="V969" i="1"/>
  <c r="H969" i="1"/>
  <c r="AT969" i="1" s="1"/>
  <c r="AH969" i="1"/>
  <c r="T969" i="1"/>
  <c r="G969" i="1"/>
  <c r="AF969" i="1"/>
  <c r="S969" i="1"/>
  <c r="F969" i="1"/>
  <c r="AR969" i="1"/>
  <c r="AE969" i="1"/>
  <c r="R969" i="1"/>
  <c r="E969" i="1"/>
  <c r="AQ969" i="1"/>
  <c r="AD969" i="1"/>
  <c r="Q969" i="1"/>
  <c r="D969" i="1"/>
  <c r="AP969" i="1"/>
  <c r="AO969" i="1"/>
  <c r="AB969" i="1"/>
  <c r="O969" i="1"/>
  <c r="P969" i="1" s="1"/>
  <c r="AN969" i="1"/>
  <c r="AA969" i="1"/>
  <c r="N969" i="1"/>
  <c r="AM969" i="1"/>
  <c r="Z969" i="1"/>
  <c r="M969" i="1"/>
  <c r="AK967" i="1"/>
  <c r="Y967" i="1"/>
  <c r="M967" i="1"/>
  <c r="AH967" i="1"/>
  <c r="U967" i="1"/>
  <c r="H967" i="1"/>
  <c r="AT967" i="1" s="1"/>
  <c r="AG967" i="1"/>
  <c r="T967" i="1"/>
  <c r="G967" i="1"/>
  <c r="AS967" i="1"/>
  <c r="AF967" i="1"/>
  <c r="S967" i="1"/>
  <c r="F967" i="1"/>
  <c r="AR967" i="1"/>
  <c r="AE967" i="1"/>
  <c r="R967" i="1"/>
  <c r="E967" i="1"/>
  <c r="AQ967" i="1"/>
  <c r="AD967" i="1"/>
  <c r="Q967" i="1"/>
  <c r="D967" i="1"/>
  <c r="AP967" i="1"/>
  <c r="AO967" i="1"/>
  <c r="AB967" i="1"/>
  <c r="O967" i="1"/>
  <c r="P967" i="1" s="1"/>
  <c r="AN967" i="1"/>
  <c r="AA967" i="1"/>
  <c r="N967" i="1"/>
  <c r="AY967" i="1"/>
  <c r="AM967" i="1"/>
  <c r="Z967" i="1"/>
  <c r="AL967" i="1"/>
  <c r="X967" i="1"/>
  <c r="K967" i="1"/>
  <c r="L967" i="1" s="1"/>
  <c r="AJ967" i="1"/>
  <c r="W967" i="1"/>
  <c r="J967" i="1"/>
  <c r="AI967" i="1"/>
  <c r="V967" i="1"/>
  <c r="I967" i="1"/>
  <c r="AR1000" i="1"/>
  <c r="AF1000" i="1"/>
  <c r="T1000" i="1"/>
  <c r="H1000" i="1"/>
  <c r="AT1000" i="1" s="1"/>
  <c r="AN1000" i="1"/>
  <c r="AB1000" i="1"/>
  <c r="AP1000" i="1"/>
  <c r="AA1000" i="1"/>
  <c r="N1000" i="1"/>
  <c r="AO1000" i="1"/>
  <c r="Z1000" i="1"/>
  <c r="M1000" i="1"/>
  <c r="AM1000" i="1"/>
  <c r="Y1000" i="1"/>
  <c r="AL1000" i="1"/>
  <c r="X1000" i="1"/>
  <c r="K1000" i="1"/>
  <c r="L1000" i="1" s="1"/>
  <c r="AY1000" i="1"/>
  <c r="AK1000" i="1"/>
  <c r="W1000" i="1"/>
  <c r="J1000" i="1"/>
  <c r="AJ1000" i="1"/>
  <c r="V1000" i="1"/>
  <c r="I1000" i="1"/>
  <c r="AI1000" i="1"/>
  <c r="U1000" i="1"/>
  <c r="G1000" i="1"/>
  <c r="AH1000" i="1"/>
  <c r="S1000" i="1"/>
  <c r="F1000" i="1"/>
  <c r="AG1000" i="1"/>
  <c r="R1000" i="1"/>
  <c r="E1000" i="1"/>
  <c r="AE1000" i="1"/>
  <c r="Q1000" i="1"/>
  <c r="D1000" i="1"/>
  <c r="AS1000" i="1"/>
  <c r="AD1000" i="1"/>
  <c r="AQ1000" i="1"/>
  <c r="O1000" i="1"/>
  <c r="P1000" i="1" s="1"/>
  <c r="AS987" i="1"/>
  <c r="AG987" i="1"/>
  <c r="U987" i="1"/>
  <c r="I987" i="1"/>
  <c r="AR987" i="1"/>
  <c r="AF987" i="1"/>
  <c r="T987" i="1"/>
  <c r="H987" i="1"/>
  <c r="AT987" i="1" s="1"/>
  <c r="AQ987" i="1"/>
  <c r="AE987" i="1"/>
  <c r="S987" i="1"/>
  <c r="AP987" i="1"/>
  <c r="AD987" i="1"/>
  <c r="R987" i="1"/>
  <c r="F987" i="1"/>
  <c r="AO987" i="1"/>
  <c r="Q987" i="1"/>
  <c r="E987" i="1"/>
  <c r="AN987" i="1"/>
  <c r="AB987" i="1"/>
  <c r="D987" i="1"/>
  <c r="AY987" i="1"/>
  <c r="AM987" i="1"/>
  <c r="AA987" i="1"/>
  <c r="O987" i="1"/>
  <c r="P987" i="1" s="1"/>
  <c r="AL987" i="1"/>
  <c r="Z987" i="1"/>
  <c r="N987" i="1"/>
  <c r="AK987" i="1"/>
  <c r="Y987" i="1"/>
  <c r="M987" i="1"/>
  <c r="AJ987" i="1"/>
  <c r="X987" i="1"/>
  <c r="AI987" i="1"/>
  <c r="W987" i="1"/>
  <c r="K987" i="1"/>
  <c r="L987" i="1" s="1"/>
  <c r="V987" i="1"/>
  <c r="J987" i="1"/>
  <c r="G987" i="1"/>
  <c r="AH987" i="1"/>
  <c r="AK1052" i="1"/>
  <c r="Y1052" i="1"/>
  <c r="M1052" i="1"/>
  <c r="AH1052" i="1"/>
  <c r="V1052" i="1"/>
  <c r="J1052" i="1"/>
  <c r="AP1052" i="1"/>
  <c r="AD1052" i="1"/>
  <c r="AE1052" i="1"/>
  <c r="AS1052" i="1"/>
  <c r="O1052" i="1"/>
  <c r="P1052" i="1" s="1"/>
  <c r="AR1052" i="1"/>
  <c r="AB1052" i="1"/>
  <c r="N1052" i="1"/>
  <c r="AQ1052" i="1"/>
  <c r="AA1052" i="1"/>
  <c r="AO1052" i="1"/>
  <c r="Z1052" i="1"/>
  <c r="K1052" i="1"/>
  <c r="L1052" i="1" s="1"/>
  <c r="AN1052" i="1"/>
  <c r="X1052" i="1"/>
  <c r="I1052" i="1"/>
  <c r="AM1052" i="1"/>
  <c r="W1052" i="1"/>
  <c r="H1052" i="1"/>
  <c r="AT1052" i="1" s="1"/>
  <c r="AL1052" i="1"/>
  <c r="U1052" i="1"/>
  <c r="G1052" i="1"/>
  <c r="AY1052" i="1"/>
  <c r="AJ1052" i="1"/>
  <c r="T1052" i="1"/>
  <c r="F1052" i="1"/>
  <c r="AI1052" i="1"/>
  <c r="S1052" i="1"/>
  <c r="E1052" i="1"/>
  <c r="AG1052" i="1"/>
  <c r="R1052" i="1"/>
  <c r="D1052" i="1"/>
  <c r="AF1052" i="1"/>
  <c r="Q1052" i="1"/>
  <c r="AN1022" i="1"/>
  <c r="AB1022" i="1"/>
  <c r="AK1022" i="1"/>
  <c r="X1022" i="1"/>
  <c r="AJ1022" i="1"/>
  <c r="W1022" i="1"/>
  <c r="K1022" i="1"/>
  <c r="L1022" i="1" s="1"/>
  <c r="AH1022" i="1"/>
  <c r="U1022" i="1"/>
  <c r="I1022" i="1"/>
  <c r="AG1022" i="1"/>
  <c r="T1022" i="1"/>
  <c r="H1022" i="1"/>
  <c r="AT1022" i="1" s="1"/>
  <c r="AS1022" i="1"/>
  <c r="AF1022" i="1"/>
  <c r="S1022" i="1"/>
  <c r="G1022" i="1"/>
  <c r="AR1022" i="1"/>
  <c r="AE1022" i="1"/>
  <c r="R1022" i="1"/>
  <c r="F1022" i="1"/>
  <c r="AQ1022" i="1"/>
  <c r="AD1022" i="1"/>
  <c r="Q1022" i="1"/>
  <c r="E1022" i="1"/>
  <c r="AP1022" i="1"/>
  <c r="D1022" i="1"/>
  <c r="AO1022" i="1"/>
  <c r="AA1022" i="1"/>
  <c r="O1022" i="1"/>
  <c r="P1022" i="1" s="1"/>
  <c r="AM1022" i="1"/>
  <c r="Z1022" i="1"/>
  <c r="N1022" i="1"/>
  <c r="Y1022" i="1"/>
  <c r="V1022" i="1"/>
  <c r="M1022" i="1"/>
  <c r="J1022" i="1"/>
  <c r="AY1022" i="1"/>
  <c r="AL1022" i="1"/>
  <c r="AI1022" i="1"/>
  <c r="AN1014" i="1"/>
  <c r="AB1014" i="1"/>
  <c r="D1014" i="1"/>
  <c r="AY1014" i="1"/>
  <c r="AM1014" i="1"/>
  <c r="AA1014" i="1"/>
  <c r="O1014" i="1"/>
  <c r="P1014" i="1" s="1"/>
  <c r="AJ1014" i="1"/>
  <c r="X1014" i="1"/>
  <c r="AI1014" i="1"/>
  <c r="W1014" i="1"/>
  <c r="K1014" i="1"/>
  <c r="L1014" i="1" s="1"/>
  <c r="AH1014" i="1"/>
  <c r="V1014" i="1"/>
  <c r="J1014" i="1"/>
  <c r="AS1014" i="1"/>
  <c r="AG1014" i="1"/>
  <c r="U1014" i="1"/>
  <c r="I1014" i="1"/>
  <c r="AR1014" i="1"/>
  <c r="AF1014" i="1"/>
  <c r="T1014" i="1"/>
  <c r="H1014" i="1"/>
  <c r="AT1014" i="1" s="1"/>
  <c r="AQ1014" i="1"/>
  <c r="AE1014" i="1"/>
  <c r="S1014" i="1"/>
  <c r="G1014" i="1"/>
  <c r="AP1014" i="1"/>
  <c r="AD1014" i="1"/>
  <c r="R1014" i="1"/>
  <c r="F1014" i="1"/>
  <c r="Z1014" i="1"/>
  <c r="Y1014" i="1"/>
  <c r="Q1014" i="1"/>
  <c r="N1014" i="1"/>
  <c r="M1014" i="1"/>
  <c r="E1014" i="1"/>
  <c r="AO1014" i="1"/>
  <c r="AL1014" i="1"/>
  <c r="AK1014" i="1"/>
  <c r="AR1032" i="1"/>
  <c r="AF1032" i="1"/>
  <c r="T1032" i="1"/>
  <c r="H1032" i="1"/>
  <c r="AT1032" i="1" s="1"/>
  <c r="AQ1032" i="1"/>
  <c r="AE1032" i="1"/>
  <c r="S1032" i="1"/>
  <c r="G1032" i="1"/>
  <c r="AP1032" i="1"/>
  <c r="AD1032" i="1"/>
  <c r="R1032" i="1"/>
  <c r="F1032" i="1"/>
  <c r="AO1032" i="1"/>
  <c r="Q1032" i="1"/>
  <c r="E1032" i="1"/>
  <c r="AN1032" i="1"/>
  <c r="AB1032" i="1"/>
  <c r="D1032" i="1"/>
  <c r="AY1032" i="1"/>
  <c r="AM1032" i="1"/>
  <c r="AA1032" i="1"/>
  <c r="O1032" i="1"/>
  <c r="P1032" i="1" s="1"/>
  <c r="AL1032" i="1"/>
  <c r="Z1032" i="1"/>
  <c r="N1032" i="1"/>
  <c r="AK1032" i="1"/>
  <c r="Y1032" i="1"/>
  <c r="M1032" i="1"/>
  <c r="AJ1032" i="1"/>
  <c r="X1032" i="1"/>
  <c r="AI1032" i="1"/>
  <c r="W1032" i="1"/>
  <c r="K1032" i="1"/>
  <c r="L1032" i="1" s="1"/>
  <c r="AH1032" i="1"/>
  <c r="J1032" i="1"/>
  <c r="I1032" i="1"/>
  <c r="AS1032" i="1"/>
  <c r="AG1032" i="1"/>
  <c r="V1032" i="1"/>
  <c r="U1032" i="1"/>
  <c r="AN1065" i="1"/>
  <c r="AB1065" i="1"/>
  <c r="D1065" i="1"/>
  <c r="AM1065" i="1"/>
  <c r="Z1065" i="1"/>
  <c r="M1065" i="1"/>
  <c r="AY1065" i="1"/>
  <c r="AL1065" i="1"/>
  <c r="Y1065" i="1"/>
  <c r="AK1065" i="1"/>
  <c r="X1065" i="1"/>
  <c r="K1065" i="1"/>
  <c r="L1065" i="1" s="1"/>
  <c r="AJ1065" i="1"/>
  <c r="W1065" i="1"/>
  <c r="J1065" i="1"/>
  <c r="AI1065" i="1"/>
  <c r="V1065" i="1"/>
  <c r="I1065" i="1"/>
  <c r="AH1065" i="1"/>
  <c r="U1065" i="1"/>
  <c r="H1065" i="1"/>
  <c r="AT1065" i="1" s="1"/>
  <c r="AG1065" i="1"/>
  <c r="T1065" i="1"/>
  <c r="G1065" i="1"/>
  <c r="AS1065" i="1"/>
  <c r="AF1065" i="1"/>
  <c r="S1065" i="1"/>
  <c r="F1065" i="1"/>
  <c r="AR1065" i="1"/>
  <c r="AE1065" i="1"/>
  <c r="R1065" i="1"/>
  <c r="E1065" i="1"/>
  <c r="AQ1065" i="1"/>
  <c r="AD1065" i="1"/>
  <c r="Q1065" i="1"/>
  <c r="AP1065" i="1"/>
  <c r="O1065" i="1"/>
  <c r="P1065" i="1" s="1"/>
  <c r="AO1065" i="1"/>
  <c r="AA1065" i="1"/>
  <c r="N1065" i="1"/>
  <c r="AH1068" i="1"/>
  <c r="V1068" i="1"/>
  <c r="J1068" i="1"/>
  <c r="AS1068" i="1"/>
  <c r="AF1068" i="1"/>
  <c r="S1068" i="1"/>
  <c r="F1068" i="1"/>
  <c r="AR1068" i="1"/>
  <c r="AE1068" i="1"/>
  <c r="R1068" i="1"/>
  <c r="E1068" i="1"/>
  <c r="AQ1068" i="1"/>
  <c r="AD1068" i="1"/>
  <c r="Q1068" i="1"/>
  <c r="D1068" i="1"/>
  <c r="AP1068" i="1"/>
  <c r="AO1068" i="1"/>
  <c r="AB1068" i="1"/>
  <c r="O1068" i="1"/>
  <c r="P1068" i="1" s="1"/>
  <c r="AN1068" i="1"/>
  <c r="AA1068" i="1"/>
  <c r="N1068" i="1"/>
  <c r="AM1068" i="1"/>
  <c r="Z1068" i="1"/>
  <c r="M1068" i="1"/>
  <c r="AY1068" i="1"/>
  <c r="AL1068" i="1"/>
  <c r="Y1068" i="1"/>
  <c r="AK1068" i="1"/>
  <c r="X1068" i="1"/>
  <c r="K1068" i="1"/>
  <c r="L1068" i="1" s="1"/>
  <c r="AJ1068" i="1"/>
  <c r="W1068" i="1"/>
  <c r="I1068" i="1"/>
  <c r="AI1068" i="1"/>
  <c r="U1068" i="1"/>
  <c r="H1068" i="1"/>
  <c r="AT1068" i="1" s="1"/>
  <c r="AG1068" i="1"/>
  <c r="T1068" i="1"/>
  <c r="G1068" i="1"/>
  <c r="AH1103" i="1"/>
  <c r="V1103" i="1"/>
  <c r="J1103" i="1"/>
  <c r="AO1103" i="1"/>
  <c r="AB1103" i="1"/>
  <c r="O1103" i="1"/>
  <c r="P1103" i="1" s="1"/>
  <c r="AN1103" i="1"/>
  <c r="AA1103" i="1"/>
  <c r="N1103" i="1"/>
  <c r="AM1103" i="1"/>
  <c r="Z1103" i="1"/>
  <c r="M1103" i="1"/>
  <c r="AY1103" i="1"/>
  <c r="AL1103" i="1"/>
  <c r="Y1103" i="1"/>
  <c r="AK1103" i="1"/>
  <c r="X1103" i="1"/>
  <c r="K1103" i="1"/>
  <c r="L1103" i="1" s="1"/>
  <c r="AJ1103" i="1"/>
  <c r="W1103" i="1"/>
  <c r="I1103" i="1"/>
  <c r="AI1103" i="1"/>
  <c r="U1103" i="1"/>
  <c r="H1103" i="1"/>
  <c r="AT1103" i="1" s="1"/>
  <c r="AG1103" i="1"/>
  <c r="T1103" i="1"/>
  <c r="G1103" i="1"/>
  <c r="AS1103" i="1"/>
  <c r="AF1103" i="1"/>
  <c r="S1103" i="1"/>
  <c r="F1103" i="1"/>
  <c r="AR1103" i="1"/>
  <c r="AE1103" i="1"/>
  <c r="R1103" i="1"/>
  <c r="E1103" i="1"/>
  <c r="AQ1103" i="1"/>
  <c r="AD1103" i="1"/>
  <c r="Q1103" i="1"/>
  <c r="D1103" i="1"/>
  <c r="AP1103" i="1"/>
  <c r="AL1091" i="1"/>
  <c r="Z1091" i="1"/>
  <c r="N1091" i="1"/>
  <c r="AK1091" i="1"/>
  <c r="Y1091" i="1"/>
  <c r="M1091" i="1"/>
  <c r="AI1091" i="1"/>
  <c r="AS1091" i="1"/>
  <c r="AG1091" i="1"/>
  <c r="U1091" i="1"/>
  <c r="AJ1091" i="1"/>
  <c r="S1091" i="1"/>
  <c r="E1091" i="1"/>
  <c r="AY1091" i="1"/>
  <c r="AH1091" i="1"/>
  <c r="R1091" i="1"/>
  <c r="D1091" i="1"/>
  <c r="AF1091" i="1"/>
  <c r="Q1091" i="1"/>
  <c r="AE1091" i="1"/>
  <c r="AD1091" i="1"/>
  <c r="O1091" i="1"/>
  <c r="P1091" i="1" s="1"/>
  <c r="AR1091" i="1"/>
  <c r="AB1091" i="1"/>
  <c r="K1091" i="1"/>
  <c r="L1091" i="1" s="1"/>
  <c r="AQ1091" i="1"/>
  <c r="AA1091" i="1"/>
  <c r="J1091" i="1"/>
  <c r="AP1091" i="1"/>
  <c r="X1091" i="1"/>
  <c r="I1091" i="1"/>
  <c r="AO1091" i="1"/>
  <c r="W1091" i="1"/>
  <c r="H1091" i="1"/>
  <c r="AT1091" i="1" s="1"/>
  <c r="AN1091" i="1"/>
  <c r="V1091" i="1"/>
  <c r="G1091" i="1"/>
  <c r="T1091" i="1"/>
  <c r="F1091" i="1"/>
  <c r="AM1091" i="1"/>
  <c r="AR1094" i="1"/>
  <c r="AF1094" i="1"/>
  <c r="T1094" i="1"/>
  <c r="H1094" i="1"/>
  <c r="AT1094" i="1" s="1"/>
  <c r="AQ1094" i="1"/>
  <c r="AE1094" i="1"/>
  <c r="S1094" i="1"/>
  <c r="G1094" i="1"/>
  <c r="AP1094" i="1"/>
  <c r="AD1094" i="1"/>
  <c r="R1094" i="1"/>
  <c r="F1094" i="1"/>
  <c r="AO1094" i="1"/>
  <c r="Q1094" i="1"/>
  <c r="E1094" i="1"/>
  <c r="AN1094" i="1"/>
  <c r="AB1094" i="1"/>
  <c r="D1094" i="1"/>
  <c r="AY1094" i="1"/>
  <c r="AM1094" i="1"/>
  <c r="AA1094" i="1"/>
  <c r="O1094" i="1"/>
  <c r="P1094" i="1" s="1"/>
  <c r="AL1094" i="1"/>
  <c r="Z1094" i="1"/>
  <c r="N1094" i="1"/>
  <c r="AK1094" i="1"/>
  <c r="Y1094" i="1"/>
  <c r="M1094" i="1"/>
  <c r="AJ1094" i="1"/>
  <c r="X1094" i="1"/>
  <c r="W1094" i="1"/>
  <c r="V1094" i="1"/>
  <c r="U1094" i="1"/>
  <c r="K1094" i="1"/>
  <c r="L1094" i="1" s="1"/>
  <c r="J1094" i="1"/>
  <c r="I1094" i="1"/>
  <c r="AS1094" i="1"/>
  <c r="AI1094" i="1"/>
  <c r="AH1094" i="1"/>
  <c r="AG1094" i="1"/>
  <c r="AR1110" i="1"/>
  <c r="AF1110" i="1"/>
  <c r="T1110" i="1"/>
  <c r="H1110" i="1"/>
  <c r="AT1110" i="1" s="1"/>
  <c r="AQ1110" i="1"/>
  <c r="AD1110" i="1"/>
  <c r="Q1110" i="1"/>
  <c r="D1110" i="1"/>
  <c r="AP1110" i="1"/>
  <c r="AO1110" i="1"/>
  <c r="AB1110" i="1"/>
  <c r="O1110" i="1"/>
  <c r="P1110" i="1" s="1"/>
  <c r="AN1110" i="1"/>
  <c r="AA1110" i="1"/>
  <c r="N1110" i="1"/>
  <c r="AM1110" i="1"/>
  <c r="Z1110" i="1"/>
  <c r="M1110" i="1"/>
  <c r="AY1110" i="1"/>
  <c r="AL1110" i="1"/>
  <c r="Y1110" i="1"/>
  <c r="AK1110" i="1"/>
  <c r="X1110" i="1"/>
  <c r="K1110" i="1"/>
  <c r="L1110" i="1" s="1"/>
  <c r="AJ1110" i="1"/>
  <c r="W1110" i="1"/>
  <c r="J1110" i="1"/>
  <c r="AI1110" i="1"/>
  <c r="V1110" i="1"/>
  <c r="I1110" i="1"/>
  <c r="AH1110" i="1"/>
  <c r="U1110" i="1"/>
  <c r="G1110" i="1"/>
  <c r="AG1110" i="1"/>
  <c r="S1110" i="1"/>
  <c r="F1110" i="1"/>
  <c r="E1110" i="1"/>
  <c r="AS1110" i="1"/>
  <c r="AE1110" i="1"/>
  <c r="R1110" i="1"/>
  <c r="AP1117" i="1"/>
  <c r="AD1117" i="1"/>
  <c r="R1117" i="1"/>
  <c r="F1117" i="1"/>
  <c r="AO1117" i="1"/>
  <c r="Q1117" i="1"/>
  <c r="E1117" i="1"/>
  <c r="AN1117" i="1"/>
  <c r="AB1117" i="1"/>
  <c r="D1117" i="1"/>
  <c r="AY1117" i="1"/>
  <c r="AM1117" i="1"/>
  <c r="AA1117" i="1"/>
  <c r="O1117" i="1"/>
  <c r="P1117" i="1" s="1"/>
  <c r="AL1117" i="1"/>
  <c r="Z1117" i="1"/>
  <c r="N1117" i="1"/>
  <c r="AK1117" i="1"/>
  <c r="Y1117" i="1"/>
  <c r="M1117" i="1"/>
  <c r="AJ1117" i="1"/>
  <c r="X1117" i="1"/>
  <c r="AI1117" i="1"/>
  <c r="W1117" i="1"/>
  <c r="K1117" i="1"/>
  <c r="L1117" i="1" s="1"/>
  <c r="AH1117" i="1"/>
  <c r="V1117" i="1"/>
  <c r="J1117" i="1"/>
  <c r="AS1117" i="1"/>
  <c r="AG1117" i="1"/>
  <c r="U1117" i="1"/>
  <c r="I1117" i="1"/>
  <c r="AR1117" i="1"/>
  <c r="AF1117" i="1"/>
  <c r="T1117" i="1"/>
  <c r="H1117" i="1"/>
  <c r="AT1117" i="1" s="1"/>
  <c r="G1117" i="1"/>
  <c r="AQ1117" i="1"/>
  <c r="AE1117" i="1"/>
  <c r="S1117" i="1"/>
  <c r="AR1149" i="1"/>
  <c r="AF1149" i="1"/>
  <c r="T1149" i="1"/>
  <c r="H1149" i="1"/>
  <c r="AT1149" i="1" s="1"/>
  <c r="AY1149" i="1"/>
  <c r="AL1149" i="1"/>
  <c r="Y1149" i="1"/>
  <c r="AK1149" i="1"/>
  <c r="X1149" i="1"/>
  <c r="K1149" i="1"/>
  <c r="L1149" i="1" s="1"/>
  <c r="AJ1149" i="1"/>
  <c r="W1149" i="1"/>
  <c r="J1149" i="1"/>
  <c r="AI1149" i="1"/>
  <c r="V1149" i="1"/>
  <c r="I1149" i="1"/>
  <c r="AH1149" i="1"/>
  <c r="U1149" i="1"/>
  <c r="G1149" i="1"/>
  <c r="AG1149" i="1"/>
  <c r="S1149" i="1"/>
  <c r="F1149" i="1"/>
  <c r="AS1149" i="1"/>
  <c r="AE1149" i="1"/>
  <c r="R1149" i="1"/>
  <c r="E1149" i="1"/>
  <c r="AQ1149" i="1"/>
  <c r="AD1149" i="1"/>
  <c r="Q1149" i="1"/>
  <c r="D1149" i="1"/>
  <c r="AP1149" i="1"/>
  <c r="AO1149" i="1"/>
  <c r="AB1149" i="1"/>
  <c r="O1149" i="1"/>
  <c r="P1149" i="1" s="1"/>
  <c r="AN1149" i="1"/>
  <c r="AA1149" i="1"/>
  <c r="N1149" i="1"/>
  <c r="AM1149" i="1"/>
  <c r="Z1149" i="1"/>
  <c r="M1149" i="1"/>
  <c r="AO1134" i="1"/>
  <c r="Q1134" i="1"/>
  <c r="E1134" i="1"/>
  <c r="AN1134" i="1"/>
  <c r="AB1134" i="1"/>
  <c r="D1134" i="1"/>
  <c r="AY1134" i="1"/>
  <c r="AM1134" i="1"/>
  <c r="AA1134" i="1"/>
  <c r="O1134" i="1"/>
  <c r="P1134" i="1" s="1"/>
  <c r="AL1134" i="1"/>
  <c r="Z1134" i="1"/>
  <c r="N1134" i="1"/>
  <c r="AK1134" i="1"/>
  <c r="Y1134" i="1"/>
  <c r="M1134" i="1"/>
  <c r="AJ1134" i="1"/>
  <c r="X1134" i="1"/>
  <c r="AI1134" i="1"/>
  <c r="W1134" i="1"/>
  <c r="K1134" i="1"/>
  <c r="L1134" i="1" s="1"/>
  <c r="AH1134" i="1"/>
  <c r="V1134" i="1"/>
  <c r="AS1134" i="1"/>
  <c r="AG1134" i="1"/>
  <c r="U1134" i="1"/>
  <c r="AQ1134" i="1"/>
  <c r="AE1134" i="1"/>
  <c r="T1134" i="1"/>
  <c r="S1134" i="1"/>
  <c r="R1134" i="1"/>
  <c r="J1134" i="1"/>
  <c r="I1134" i="1"/>
  <c r="H1134" i="1"/>
  <c r="AT1134" i="1" s="1"/>
  <c r="G1134" i="1"/>
  <c r="AR1134" i="1"/>
  <c r="F1134" i="1"/>
  <c r="AP1134" i="1"/>
  <c r="AF1134" i="1"/>
  <c r="AD1134" i="1"/>
  <c r="AS1172" i="1"/>
  <c r="AG1172" i="1"/>
  <c r="U1172" i="1"/>
  <c r="I1172" i="1"/>
  <c r="AR1172" i="1"/>
  <c r="AF1172" i="1"/>
  <c r="T1172" i="1"/>
  <c r="H1172" i="1"/>
  <c r="AT1172" i="1" s="1"/>
  <c r="AQ1172" i="1"/>
  <c r="AE1172" i="1"/>
  <c r="S1172" i="1"/>
  <c r="G1172" i="1"/>
  <c r="AP1172" i="1"/>
  <c r="AD1172" i="1"/>
  <c r="R1172" i="1"/>
  <c r="F1172" i="1"/>
  <c r="AY1172" i="1"/>
  <c r="AM1172" i="1"/>
  <c r="AH1172" i="1"/>
  <c r="N1172" i="1"/>
  <c r="M1172" i="1"/>
  <c r="AB1172" i="1"/>
  <c r="AA1172" i="1"/>
  <c r="K1172" i="1"/>
  <c r="L1172" i="1" s="1"/>
  <c r="Z1172" i="1"/>
  <c r="J1172" i="1"/>
  <c r="Y1172" i="1"/>
  <c r="E1172" i="1"/>
  <c r="AO1172" i="1"/>
  <c r="X1172" i="1"/>
  <c r="D1172" i="1"/>
  <c r="AN1172" i="1"/>
  <c r="W1172" i="1"/>
  <c r="AL1172" i="1"/>
  <c r="V1172" i="1"/>
  <c r="AK1172" i="1"/>
  <c r="Q1172" i="1"/>
  <c r="AJ1172" i="1"/>
  <c r="O1172" i="1"/>
  <c r="P1172" i="1" s="1"/>
  <c r="AI1172" i="1"/>
  <c r="AL1187" i="1"/>
  <c r="Z1187" i="1"/>
  <c r="N1187" i="1"/>
  <c r="AK1187" i="1"/>
  <c r="Y1187" i="1"/>
  <c r="M1187" i="1"/>
  <c r="AJ1187" i="1"/>
  <c r="X1187" i="1"/>
  <c r="AI1187" i="1"/>
  <c r="W1187" i="1"/>
  <c r="K1187" i="1"/>
  <c r="L1187" i="1" s="1"/>
  <c r="AH1187" i="1"/>
  <c r="V1187" i="1"/>
  <c r="J1187" i="1"/>
  <c r="AS1187" i="1"/>
  <c r="AG1187" i="1"/>
  <c r="U1187" i="1"/>
  <c r="I1187" i="1"/>
  <c r="AR1187" i="1"/>
  <c r="AF1187" i="1"/>
  <c r="T1187" i="1"/>
  <c r="H1187" i="1"/>
  <c r="AT1187" i="1" s="1"/>
  <c r="AQ1187" i="1"/>
  <c r="AE1187" i="1"/>
  <c r="S1187" i="1"/>
  <c r="G1187" i="1"/>
  <c r="AP1187" i="1"/>
  <c r="AD1187" i="1"/>
  <c r="R1187" i="1"/>
  <c r="F1187" i="1"/>
  <c r="AO1187" i="1"/>
  <c r="Q1187" i="1"/>
  <c r="E1187" i="1"/>
  <c r="AN1187" i="1"/>
  <c r="AM1187" i="1"/>
  <c r="AB1187" i="1"/>
  <c r="AA1187" i="1"/>
  <c r="O1187" i="1"/>
  <c r="P1187" i="1" s="1"/>
  <c r="D1187" i="1"/>
  <c r="AY1187" i="1"/>
  <c r="AY1175" i="1"/>
  <c r="AM1175" i="1"/>
  <c r="AA1175" i="1"/>
  <c r="O1175" i="1"/>
  <c r="P1175" i="1" s="1"/>
  <c r="AL1175" i="1"/>
  <c r="Z1175" i="1"/>
  <c r="N1175" i="1"/>
  <c r="AK1175" i="1"/>
  <c r="Y1175" i="1"/>
  <c r="M1175" i="1"/>
  <c r="AJ1175" i="1"/>
  <c r="X1175" i="1"/>
  <c r="AI1175" i="1"/>
  <c r="W1175" i="1"/>
  <c r="K1175" i="1"/>
  <c r="L1175" i="1" s="1"/>
  <c r="AH1175" i="1"/>
  <c r="V1175" i="1"/>
  <c r="J1175" i="1"/>
  <c r="AS1175" i="1"/>
  <c r="AG1175" i="1"/>
  <c r="U1175" i="1"/>
  <c r="I1175" i="1"/>
  <c r="AR1175" i="1"/>
  <c r="AF1175" i="1"/>
  <c r="AQ1175" i="1"/>
  <c r="AE1175" i="1"/>
  <c r="S1175" i="1"/>
  <c r="G1175" i="1"/>
  <c r="AP1175" i="1"/>
  <c r="AD1175" i="1"/>
  <c r="R1175" i="1"/>
  <c r="F1175" i="1"/>
  <c r="AO1175" i="1"/>
  <c r="AB1175" i="1"/>
  <c r="T1175" i="1"/>
  <c r="Q1175" i="1"/>
  <c r="H1175" i="1"/>
  <c r="AT1175" i="1" s="1"/>
  <c r="E1175" i="1"/>
  <c r="D1175" i="1"/>
  <c r="AN1175" i="1"/>
  <c r="AN1192" i="1"/>
  <c r="AB1192" i="1"/>
  <c r="D1192" i="1"/>
  <c r="AY1192" i="1"/>
  <c r="AM1192" i="1"/>
  <c r="AA1192" i="1"/>
  <c r="O1192" i="1"/>
  <c r="P1192" i="1" s="1"/>
  <c r="AL1192" i="1"/>
  <c r="Z1192" i="1"/>
  <c r="N1192" i="1"/>
  <c r="AK1192" i="1"/>
  <c r="Y1192" i="1"/>
  <c r="M1192" i="1"/>
  <c r="AJ1192" i="1"/>
  <c r="X1192" i="1"/>
  <c r="AI1192" i="1"/>
  <c r="W1192" i="1"/>
  <c r="K1192" i="1"/>
  <c r="L1192" i="1" s="1"/>
  <c r="AH1192" i="1"/>
  <c r="V1192" i="1"/>
  <c r="J1192" i="1"/>
  <c r="AS1192" i="1"/>
  <c r="AG1192" i="1"/>
  <c r="U1192" i="1"/>
  <c r="I1192" i="1"/>
  <c r="AR1192" i="1"/>
  <c r="AF1192" i="1"/>
  <c r="T1192" i="1"/>
  <c r="H1192" i="1"/>
  <c r="AT1192" i="1" s="1"/>
  <c r="AQ1192" i="1"/>
  <c r="AE1192" i="1"/>
  <c r="S1192" i="1"/>
  <c r="G1192" i="1"/>
  <c r="Q1192" i="1"/>
  <c r="F1192" i="1"/>
  <c r="E1192" i="1"/>
  <c r="AP1192" i="1"/>
  <c r="AO1192" i="1"/>
  <c r="AD1192" i="1"/>
  <c r="R1192" i="1"/>
  <c r="AJ19" i="1"/>
  <c r="AE19" i="1"/>
  <c r="G19" i="1"/>
  <c r="AD19" i="1"/>
  <c r="F19" i="1"/>
  <c r="AO19" i="1"/>
  <c r="E19" i="1"/>
  <c r="AK19" i="1"/>
  <c r="I19" i="1"/>
  <c r="AA19" i="1"/>
  <c r="H19" i="1"/>
  <c r="AT19" i="1" s="1"/>
  <c r="AS19" i="1"/>
  <c r="W19" i="1"/>
  <c r="AN19" i="1"/>
  <c r="AM19" i="1"/>
  <c r="AL19" i="1"/>
  <c r="AL14" i="1"/>
  <c r="AK14" i="1"/>
  <c r="AJ14" i="1"/>
  <c r="W14" i="1"/>
  <c r="AS14" i="1"/>
  <c r="I14" i="1"/>
  <c r="H14" i="1"/>
  <c r="AT14" i="1" s="1"/>
  <c r="AD14" i="1"/>
  <c r="AE14" i="1"/>
  <c r="G14" i="1"/>
  <c r="F14" i="1"/>
  <c r="AO14" i="1"/>
  <c r="E14" i="1"/>
  <c r="AN14" i="1"/>
  <c r="AM14" i="1"/>
  <c r="AA14" i="1"/>
  <c r="AL84" i="1"/>
  <c r="Z84" i="1"/>
  <c r="N84" i="1"/>
  <c r="AK84" i="1"/>
  <c r="Y84" i="1"/>
  <c r="M84" i="1"/>
  <c r="AJ84" i="1"/>
  <c r="X84" i="1"/>
  <c r="AI84" i="1"/>
  <c r="W84" i="1"/>
  <c r="K84" i="1"/>
  <c r="L84" i="1" s="1"/>
  <c r="AH84" i="1"/>
  <c r="V84" i="1"/>
  <c r="J84" i="1"/>
  <c r="AS84" i="1"/>
  <c r="AG84" i="1"/>
  <c r="U84" i="1"/>
  <c r="I84" i="1"/>
  <c r="AR84" i="1"/>
  <c r="AF84" i="1"/>
  <c r="T84" i="1"/>
  <c r="H84" i="1"/>
  <c r="AT84" i="1" s="1"/>
  <c r="AQ84" i="1"/>
  <c r="AE84" i="1"/>
  <c r="S84" i="1"/>
  <c r="G84" i="1"/>
  <c r="AP84" i="1"/>
  <c r="AD84" i="1"/>
  <c r="R84" i="1"/>
  <c r="F84" i="1"/>
  <c r="AO84" i="1"/>
  <c r="Q84" i="1"/>
  <c r="E84" i="1"/>
  <c r="AN84" i="1"/>
  <c r="AB84" i="1"/>
  <c r="D84" i="1"/>
  <c r="AY84" i="1"/>
  <c r="AM84" i="1"/>
  <c r="AA84" i="1"/>
  <c r="O84" i="1"/>
  <c r="P84" i="1" s="1"/>
  <c r="AJ79" i="1"/>
  <c r="X79" i="1"/>
  <c r="AI79" i="1"/>
  <c r="W79" i="1"/>
  <c r="K79" i="1"/>
  <c r="L79" i="1" s="1"/>
  <c r="AH79" i="1"/>
  <c r="V79" i="1"/>
  <c r="J79" i="1"/>
  <c r="AS79" i="1"/>
  <c r="AG79" i="1"/>
  <c r="U79" i="1"/>
  <c r="I79" i="1"/>
  <c r="AR79" i="1"/>
  <c r="AF79" i="1"/>
  <c r="T79" i="1"/>
  <c r="H79" i="1"/>
  <c r="AT79" i="1" s="1"/>
  <c r="AQ79" i="1"/>
  <c r="AE79" i="1"/>
  <c r="S79" i="1"/>
  <c r="G79" i="1"/>
  <c r="AP79" i="1"/>
  <c r="AD79" i="1"/>
  <c r="R79" i="1"/>
  <c r="F79" i="1"/>
  <c r="AO79" i="1"/>
  <c r="Q79" i="1"/>
  <c r="E79" i="1"/>
  <c r="AN79" i="1"/>
  <c r="AB79" i="1"/>
  <c r="D79" i="1"/>
  <c r="AY79" i="1"/>
  <c r="AM79" i="1"/>
  <c r="AA79" i="1"/>
  <c r="Z35" i="1" s="1"/>
  <c r="O79" i="1"/>
  <c r="P79" i="1" s="1"/>
  <c r="AL79" i="1"/>
  <c r="Z79" i="1"/>
  <c r="N79" i="1"/>
  <c r="AK79" i="1"/>
  <c r="Y79" i="1"/>
  <c r="M79" i="1"/>
  <c r="AS68" i="1"/>
  <c r="I68" i="1"/>
  <c r="H68" i="1"/>
  <c r="AT68" i="1" s="1"/>
  <c r="AE68" i="1"/>
  <c r="G68" i="1"/>
  <c r="AD68" i="1"/>
  <c r="F68" i="1"/>
  <c r="AO68" i="1"/>
  <c r="E68" i="1"/>
  <c r="AN68" i="1"/>
  <c r="AM68" i="1"/>
  <c r="AA68" i="1"/>
  <c r="AL68" i="1"/>
  <c r="AK68" i="1"/>
  <c r="AJ68" i="1"/>
  <c r="W68" i="1"/>
  <c r="H51" i="1"/>
  <c r="AT51" i="1" s="1"/>
  <c r="AE51" i="1"/>
  <c r="G51" i="1"/>
  <c r="AD51" i="1"/>
  <c r="F51" i="1"/>
  <c r="AO51" i="1"/>
  <c r="E51" i="1"/>
  <c r="AN51" i="1"/>
  <c r="AM51" i="1"/>
  <c r="AA51" i="1"/>
  <c r="Z51" i="1" s="1"/>
  <c r="AL51" i="1"/>
  <c r="AK51" i="1"/>
  <c r="AJ51" i="1"/>
  <c r="W51" i="1"/>
  <c r="AS51" i="1"/>
  <c r="I51" i="1"/>
  <c r="AD58" i="1"/>
  <c r="F58" i="1"/>
  <c r="AO58" i="1"/>
  <c r="E58" i="1"/>
  <c r="AN58" i="1"/>
  <c r="AM58" i="1"/>
  <c r="AA58" i="1"/>
  <c r="AL58" i="1"/>
  <c r="AK58" i="1"/>
  <c r="AJ58" i="1"/>
  <c r="W58" i="1"/>
  <c r="AS58" i="1"/>
  <c r="H58" i="1"/>
  <c r="AT58" i="1" s="1"/>
  <c r="AE58" i="1"/>
  <c r="G58" i="1"/>
  <c r="I58" i="1" s="1"/>
  <c r="AN41" i="1"/>
  <c r="AM41" i="1"/>
  <c r="AA41" i="1"/>
  <c r="Z41" i="1" s="1"/>
  <c r="AL41" i="1"/>
  <c r="AK41" i="1"/>
  <c r="AJ41" i="1"/>
  <c r="W41" i="1"/>
  <c r="AS41" i="1"/>
  <c r="AD41" i="1"/>
  <c r="F41" i="1"/>
  <c r="AO41" i="1"/>
  <c r="E41" i="1"/>
  <c r="H41" i="1"/>
  <c r="AT41" i="1" s="1"/>
  <c r="G41" i="1"/>
  <c r="I41" i="1" s="1"/>
  <c r="AE41" i="1"/>
  <c r="AL111" i="1"/>
  <c r="Z111" i="1"/>
  <c r="N111" i="1"/>
  <c r="AK111" i="1"/>
  <c r="Y111" i="1"/>
  <c r="M111" i="1"/>
  <c r="AS111" i="1"/>
  <c r="AG111" i="1"/>
  <c r="U111" i="1"/>
  <c r="I111" i="1"/>
  <c r="AR111" i="1"/>
  <c r="AF111" i="1"/>
  <c r="T111" i="1"/>
  <c r="H111" i="1"/>
  <c r="AT111" i="1" s="1"/>
  <c r="AQ111" i="1"/>
  <c r="AE111" i="1"/>
  <c r="S111" i="1"/>
  <c r="G111" i="1"/>
  <c r="AY111" i="1"/>
  <c r="AM111" i="1"/>
  <c r="AA111" i="1"/>
  <c r="O111" i="1"/>
  <c r="P111" i="1" s="1"/>
  <c r="AN111" i="1"/>
  <c r="AJ111" i="1"/>
  <c r="AI111" i="1"/>
  <c r="K111" i="1"/>
  <c r="L111" i="1" s="1"/>
  <c r="AH111" i="1"/>
  <c r="J111" i="1"/>
  <c r="AD111" i="1"/>
  <c r="F111" i="1"/>
  <c r="E111" i="1"/>
  <c r="AB111" i="1"/>
  <c r="D111" i="1"/>
  <c r="X111" i="1"/>
  <c r="W111" i="1"/>
  <c r="V111" i="1"/>
  <c r="AP111" i="1"/>
  <c r="R111" i="1"/>
  <c r="AO111" i="1"/>
  <c r="Q111" i="1"/>
  <c r="AQ189" i="1"/>
  <c r="AE189" i="1"/>
  <c r="S189" i="1"/>
  <c r="G189" i="1"/>
  <c r="AP189" i="1"/>
  <c r="AD189" i="1"/>
  <c r="R189" i="1"/>
  <c r="F189" i="1"/>
  <c r="AO189" i="1"/>
  <c r="AY189" i="1"/>
  <c r="AL189" i="1"/>
  <c r="Z189" i="1"/>
  <c r="N189" i="1"/>
  <c r="AK189" i="1"/>
  <c r="Y189" i="1"/>
  <c r="M189" i="1"/>
  <c r="AJ189" i="1"/>
  <c r="X189" i="1"/>
  <c r="AS189" i="1"/>
  <c r="AR189" i="1"/>
  <c r="AF189" i="1"/>
  <c r="T189" i="1"/>
  <c r="H189" i="1"/>
  <c r="AT189" i="1" s="1"/>
  <c r="V189" i="1"/>
  <c r="U189" i="1"/>
  <c r="Q189" i="1"/>
  <c r="AN189" i="1"/>
  <c r="AM189" i="1"/>
  <c r="O189" i="1"/>
  <c r="P189" i="1" s="1"/>
  <c r="AI189" i="1"/>
  <c r="K189" i="1"/>
  <c r="L189" i="1" s="1"/>
  <c r="AH189" i="1"/>
  <c r="J189" i="1"/>
  <c r="AG189" i="1"/>
  <c r="I189" i="1"/>
  <c r="E189" i="1"/>
  <c r="AB189" i="1"/>
  <c r="D189" i="1"/>
  <c r="AA189" i="1"/>
  <c r="W189" i="1"/>
  <c r="AH101" i="1"/>
  <c r="V101" i="1"/>
  <c r="J101" i="1"/>
  <c r="AS101" i="1"/>
  <c r="AG101" i="1"/>
  <c r="U101" i="1"/>
  <c r="I101" i="1"/>
  <c r="AO101" i="1"/>
  <c r="Q101" i="1"/>
  <c r="E101" i="1"/>
  <c r="AN101" i="1"/>
  <c r="AB101" i="1"/>
  <c r="D101" i="1"/>
  <c r="AY101" i="1"/>
  <c r="AM101" i="1"/>
  <c r="AA101" i="1"/>
  <c r="O101" i="1"/>
  <c r="P101" i="1" s="1"/>
  <c r="AI101" i="1"/>
  <c r="W101" i="1"/>
  <c r="K101" i="1"/>
  <c r="L101" i="1" s="1"/>
  <c r="AP101" i="1"/>
  <c r="S101" i="1"/>
  <c r="AL101" i="1"/>
  <c r="R101" i="1"/>
  <c r="AK101" i="1"/>
  <c r="N101" i="1"/>
  <c r="AJ101" i="1"/>
  <c r="M101" i="1"/>
  <c r="AF101" i="1"/>
  <c r="AE101" i="1"/>
  <c r="H101" i="1"/>
  <c r="AT101" i="1" s="1"/>
  <c r="AD101" i="1"/>
  <c r="G101" i="1"/>
  <c r="F101" i="1"/>
  <c r="Z101" i="1"/>
  <c r="Y101" i="1"/>
  <c r="AR101" i="1"/>
  <c r="X101" i="1"/>
  <c r="AQ101" i="1"/>
  <c r="T101" i="1"/>
  <c r="AK180" i="1"/>
  <c r="Y180" i="1"/>
  <c r="M180" i="1"/>
  <c r="AJ180" i="1"/>
  <c r="X180" i="1"/>
  <c r="AR180" i="1"/>
  <c r="AF180" i="1"/>
  <c r="T180" i="1"/>
  <c r="H180" i="1"/>
  <c r="AT180" i="1" s="1"/>
  <c r="AQ180" i="1"/>
  <c r="AE180" i="1"/>
  <c r="S180" i="1"/>
  <c r="G180" i="1"/>
  <c r="AP180" i="1"/>
  <c r="AD180" i="1"/>
  <c r="R180" i="1"/>
  <c r="F180" i="1"/>
  <c r="AL180" i="1"/>
  <c r="Z180" i="1"/>
  <c r="N180" i="1"/>
  <c r="AN180" i="1"/>
  <c r="AM180" i="1"/>
  <c r="O180" i="1"/>
  <c r="P180" i="1" s="1"/>
  <c r="AI180" i="1"/>
  <c r="K180" i="1"/>
  <c r="L180" i="1" s="1"/>
  <c r="AH180" i="1"/>
  <c r="J180" i="1"/>
  <c r="AG180" i="1"/>
  <c r="I180" i="1"/>
  <c r="AY180" i="1"/>
  <c r="E180" i="1"/>
  <c r="AB180" i="1"/>
  <c r="D180" i="1"/>
  <c r="AA180" i="1"/>
  <c r="W180" i="1"/>
  <c r="V180" i="1"/>
  <c r="AS180" i="1"/>
  <c r="U180" i="1"/>
  <c r="AO180" i="1"/>
  <c r="Q180" i="1"/>
  <c r="AR168" i="1"/>
  <c r="AF168" i="1"/>
  <c r="T168" i="1"/>
  <c r="H168" i="1"/>
  <c r="AT168" i="1" s="1"/>
  <c r="AQ168" i="1"/>
  <c r="AE168" i="1"/>
  <c r="S168" i="1"/>
  <c r="G168" i="1"/>
  <c r="AP168" i="1"/>
  <c r="AD168" i="1"/>
  <c r="R168" i="1"/>
  <c r="F168" i="1"/>
  <c r="AO168" i="1"/>
  <c r="Q168" i="1"/>
  <c r="E168" i="1"/>
  <c r="AN168" i="1"/>
  <c r="AB168" i="1"/>
  <c r="D168" i="1"/>
  <c r="AY168" i="1"/>
  <c r="AM168" i="1"/>
  <c r="AA168" i="1"/>
  <c r="O168" i="1"/>
  <c r="P168" i="1" s="1"/>
  <c r="AL168" i="1"/>
  <c r="Z168" i="1"/>
  <c r="N168" i="1"/>
  <c r="AK168" i="1"/>
  <c r="Y168" i="1"/>
  <c r="M168" i="1"/>
  <c r="AJ168" i="1"/>
  <c r="X168" i="1"/>
  <c r="AI168" i="1"/>
  <c r="W168" i="1"/>
  <c r="K168" i="1"/>
  <c r="L168" i="1" s="1"/>
  <c r="AH168" i="1"/>
  <c r="V168" i="1"/>
  <c r="J168" i="1"/>
  <c r="AS168" i="1"/>
  <c r="AG168" i="1"/>
  <c r="U168" i="1"/>
  <c r="I168" i="1"/>
  <c r="AQ177" i="1"/>
  <c r="AE177" i="1"/>
  <c r="S177" i="1"/>
  <c r="G177" i="1"/>
  <c r="AP177" i="1"/>
  <c r="AD177" i="1"/>
  <c r="R177" i="1"/>
  <c r="F177" i="1"/>
  <c r="AL177" i="1"/>
  <c r="Z177" i="1"/>
  <c r="N177" i="1"/>
  <c r="AK177" i="1"/>
  <c r="Y177" i="1"/>
  <c r="M177" i="1"/>
  <c r="AJ177" i="1"/>
  <c r="X177" i="1"/>
  <c r="AR177" i="1"/>
  <c r="AF177" i="1"/>
  <c r="T177" i="1"/>
  <c r="H177" i="1"/>
  <c r="AT177" i="1" s="1"/>
  <c r="AY177" i="1"/>
  <c r="E177" i="1"/>
  <c r="AB177" i="1"/>
  <c r="D177" i="1"/>
  <c r="AA177" i="1"/>
  <c r="W177" i="1"/>
  <c r="V177" i="1"/>
  <c r="AS177" i="1"/>
  <c r="U177" i="1"/>
  <c r="AO177" i="1"/>
  <c r="Q177" i="1"/>
  <c r="AN177" i="1"/>
  <c r="AM177" i="1"/>
  <c r="O177" i="1"/>
  <c r="P177" i="1" s="1"/>
  <c r="AI177" i="1"/>
  <c r="K177" i="1"/>
  <c r="L177" i="1" s="1"/>
  <c r="AH177" i="1"/>
  <c r="J177" i="1"/>
  <c r="AG177" i="1"/>
  <c r="I177" i="1"/>
  <c r="AN170" i="1"/>
  <c r="AB170" i="1"/>
  <c r="D170" i="1"/>
  <c r="AY170" i="1"/>
  <c r="AM170" i="1"/>
  <c r="AA170" i="1"/>
  <c r="O170" i="1"/>
  <c r="P170" i="1" s="1"/>
  <c r="AL170" i="1"/>
  <c r="Z170" i="1"/>
  <c r="N170" i="1"/>
  <c r="AK170" i="1"/>
  <c r="Y170" i="1"/>
  <c r="M170" i="1"/>
  <c r="AJ170" i="1"/>
  <c r="X170" i="1"/>
  <c r="AI170" i="1"/>
  <c r="W170" i="1"/>
  <c r="K170" i="1"/>
  <c r="L170" i="1" s="1"/>
  <c r="AH170" i="1"/>
  <c r="V170" i="1"/>
  <c r="J170" i="1"/>
  <c r="AS170" i="1"/>
  <c r="AG170" i="1"/>
  <c r="U170" i="1"/>
  <c r="I170" i="1"/>
  <c r="AR170" i="1"/>
  <c r="AF170" i="1"/>
  <c r="T170" i="1"/>
  <c r="H170" i="1"/>
  <c r="AT170" i="1" s="1"/>
  <c r="AQ170" i="1"/>
  <c r="AE170" i="1"/>
  <c r="S170" i="1"/>
  <c r="G170" i="1"/>
  <c r="AP170" i="1"/>
  <c r="AD170" i="1"/>
  <c r="R170" i="1"/>
  <c r="F170" i="1"/>
  <c r="AO170" i="1"/>
  <c r="Q170" i="1"/>
  <c r="E170" i="1"/>
  <c r="AK216" i="1"/>
  <c r="Y216" i="1"/>
  <c r="M216" i="1"/>
  <c r="AJ216" i="1"/>
  <c r="X216" i="1"/>
  <c r="AI216" i="1"/>
  <c r="W216" i="1"/>
  <c r="K216" i="1"/>
  <c r="L216" i="1" s="1"/>
  <c r="AH216" i="1"/>
  <c r="V216" i="1"/>
  <c r="J216" i="1"/>
  <c r="AS216" i="1"/>
  <c r="AG216" i="1"/>
  <c r="U216" i="1"/>
  <c r="I216" i="1"/>
  <c r="AR216" i="1"/>
  <c r="AF216" i="1"/>
  <c r="T216" i="1"/>
  <c r="H216" i="1"/>
  <c r="AT216" i="1" s="1"/>
  <c r="AQ216" i="1"/>
  <c r="AE216" i="1"/>
  <c r="S216" i="1"/>
  <c r="G216" i="1"/>
  <c r="AP216" i="1"/>
  <c r="AD216" i="1"/>
  <c r="R216" i="1"/>
  <c r="F216" i="1"/>
  <c r="AO216" i="1"/>
  <c r="Q216" i="1"/>
  <c r="E216" i="1"/>
  <c r="AN216" i="1"/>
  <c r="AB216" i="1"/>
  <c r="D216" i="1"/>
  <c r="AY216" i="1"/>
  <c r="AM216" i="1"/>
  <c r="AA216" i="1"/>
  <c r="O216" i="1"/>
  <c r="P216" i="1" s="1"/>
  <c r="AL216" i="1"/>
  <c r="Z216" i="1"/>
  <c r="N216" i="1"/>
  <c r="AI229" i="1"/>
  <c r="W229" i="1"/>
  <c r="K229" i="1"/>
  <c r="L229" i="1" s="1"/>
  <c r="AH229" i="1"/>
  <c r="V229" i="1"/>
  <c r="J229" i="1"/>
  <c r="AS229" i="1"/>
  <c r="AG229" i="1"/>
  <c r="U229" i="1"/>
  <c r="I229" i="1"/>
  <c r="AR229" i="1"/>
  <c r="AF229" i="1"/>
  <c r="T229" i="1"/>
  <c r="H229" i="1"/>
  <c r="AT229" i="1" s="1"/>
  <c r="AQ229" i="1"/>
  <c r="AE229" i="1"/>
  <c r="S229" i="1"/>
  <c r="G229" i="1"/>
  <c r="AP229" i="1"/>
  <c r="AD229" i="1"/>
  <c r="R229" i="1"/>
  <c r="F229" i="1"/>
  <c r="AO229" i="1"/>
  <c r="Q229" i="1"/>
  <c r="E229" i="1"/>
  <c r="AN229" i="1"/>
  <c r="AB229" i="1"/>
  <c r="D229" i="1"/>
  <c r="AY229" i="1"/>
  <c r="AM229" i="1"/>
  <c r="AA229" i="1"/>
  <c r="O229" i="1"/>
  <c r="P229" i="1" s="1"/>
  <c r="AL229" i="1"/>
  <c r="Z229" i="1"/>
  <c r="N229" i="1"/>
  <c r="AK229" i="1"/>
  <c r="Y229" i="1"/>
  <c r="M229" i="1"/>
  <c r="AJ229" i="1"/>
  <c r="X229" i="1"/>
  <c r="AS218" i="1"/>
  <c r="AG218" i="1"/>
  <c r="U218" i="1"/>
  <c r="I218" i="1"/>
  <c r="AR218" i="1"/>
  <c r="AF218" i="1"/>
  <c r="T218" i="1"/>
  <c r="H218" i="1"/>
  <c r="AT218" i="1" s="1"/>
  <c r="AQ218" i="1"/>
  <c r="AE218" i="1"/>
  <c r="S218" i="1"/>
  <c r="G218" i="1"/>
  <c r="AP218" i="1"/>
  <c r="AD218" i="1"/>
  <c r="R218" i="1"/>
  <c r="F218" i="1"/>
  <c r="AO218" i="1"/>
  <c r="Q218" i="1"/>
  <c r="E218" i="1"/>
  <c r="AN218" i="1"/>
  <c r="AB218" i="1"/>
  <c r="D218" i="1"/>
  <c r="AY218" i="1"/>
  <c r="AM218" i="1"/>
  <c r="AA218" i="1"/>
  <c r="O218" i="1"/>
  <c r="P218" i="1" s="1"/>
  <c r="AL218" i="1"/>
  <c r="Z218" i="1"/>
  <c r="N218" i="1"/>
  <c r="AK218" i="1"/>
  <c r="Y218" i="1"/>
  <c r="M218" i="1"/>
  <c r="AJ218" i="1"/>
  <c r="X218" i="1"/>
  <c r="AI218" i="1"/>
  <c r="W218" i="1"/>
  <c r="K218" i="1"/>
  <c r="L218" i="1" s="1"/>
  <c r="AH218" i="1"/>
  <c r="V218" i="1"/>
  <c r="J218" i="1"/>
  <c r="AQ225" i="1"/>
  <c r="AE225" i="1"/>
  <c r="S225" i="1"/>
  <c r="G225" i="1"/>
  <c r="AP225" i="1"/>
  <c r="AD225" i="1"/>
  <c r="R225" i="1"/>
  <c r="F225" i="1"/>
  <c r="AO225" i="1"/>
  <c r="Q225" i="1"/>
  <c r="E225" i="1"/>
  <c r="AN225" i="1"/>
  <c r="AB225" i="1"/>
  <c r="D225" i="1"/>
  <c r="AY225" i="1"/>
  <c r="AM225" i="1"/>
  <c r="AA225" i="1"/>
  <c r="O225" i="1"/>
  <c r="P225" i="1" s="1"/>
  <c r="AL225" i="1"/>
  <c r="Z225" i="1"/>
  <c r="N225" i="1"/>
  <c r="AK225" i="1"/>
  <c r="Y225" i="1"/>
  <c r="M225" i="1"/>
  <c r="AJ225" i="1"/>
  <c r="X225" i="1"/>
  <c r="AI225" i="1"/>
  <c r="W225" i="1"/>
  <c r="K225" i="1"/>
  <c r="L225" i="1" s="1"/>
  <c r="AH225" i="1"/>
  <c r="V225" i="1"/>
  <c r="J225" i="1"/>
  <c r="AS225" i="1"/>
  <c r="AG225" i="1"/>
  <c r="U225" i="1"/>
  <c r="I225" i="1"/>
  <c r="AR225" i="1"/>
  <c r="AF225" i="1"/>
  <c r="T225" i="1"/>
  <c r="H225" i="1"/>
  <c r="AT225" i="1" s="1"/>
  <c r="AO214" i="1"/>
  <c r="Q214" i="1"/>
  <c r="E214" i="1"/>
  <c r="AN214" i="1"/>
  <c r="AB214" i="1"/>
  <c r="D214" i="1"/>
  <c r="AY214" i="1"/>
  <c r="AM214" i="1"/>
  <c r="AA214" i="1"/>
  <c r="O214" i="1"/>
  <c r="P214" i="1" s="1"/>
  <c r="AL214" i="1"/>
  <c r="Z214" i="1"/>
  <c r="N214" i="1"/>
  <c r="AK214" i="1"/>
  <c r="Y214" i="1"/>
  <c r="M214" i="1"/>
  <c r="AJ214" i="1"/>
  <c r="X214" i="1"/>
  <c r="AI214" i="1"/>
  <c r="W214" i="1"/>
  <c r="K214" i="1"/>
  <c r="L214" i="1" s="1"/>
  <c r="AH214" i="1"/>
  <c r="V214" i="1"/>
  <c r="J214" i="1"/>
  <c r="AS214" i="1"/>
  <c r="AG214" i="1"/>
  <c r="U214" i="1"/>
  <c r="I214" i="1"/>
  <c r="AR214" i="1"/>
  <c r="AF214" i="1"/>
  <c r="T214" i="1"/>
  <c r="H214" i="1"/>
  <c r="AT214" i="1" s="1"/>
  <c r="AQ214" i="1"/>
  <c r="AE214" i="1"/>
  <c r="S214" i="1"/>
  <c r="G214" i="1"/>
  <c r="AP214" i="1"/>
  <c r="AD214" i="1"/>
  <c r="R214" i="1"/>
  <c r="F214" i="1"/>
  <c r="AY191" i="1"/>
  <c r="AM191" i="1"/>
  <c r="AA191" i="1"/>
  <c r="O191" i="1"/>
  <c r="P191" i="1" s="1"/>
  <c r="AL191" i="1"/>
  <c r="Z191" i="1"/>
  <c r="N191" i="1"/>
  <c r="AK191" i="1"/>
  <c r="Y191" i="1"/>
  <c r="M191" i="1"/>
  <c r="AJ191" i="1"/>
  <c r="X191" i="1"/>
  <c r="AI191" i="1"/>
  <c r="W191" i="1"/>
  <c r="K191" i="1"/>
  <c r="L191" i="1" s="1"/>
  <c r="AH191" i="1"/>
  <c r="V191" i="1"/>
  <c r="J191" i="1"/>
  <c r="AS191" i="1"/>
  <c r="AG191" i="1"/>
  <c r="U191" i="1"/>
  <c r="I191" i="1"/>
  <c r="AR191" i="1"/>
  <c r="AF191" i="1"/>
  <c r="T191" i="1"/>
  <c r="H191" i="1"/>
  <c r="AT191" i="1" s="1"/>
  <c r="AO191" i="1"/>
  <c r="Q191" i="1"/>
  <c r="E191" i="1"/>
  <c r="AN191" i="1"/>
  <c r="AB191" i="1"/>
  <c r="D191" i="1"/>
  <c r="AQ191" i="1"/>
  <c r="AP191" i="1"/>
  <c r="AE191" i="1"/>
  <c r="AD191" i="1"/>
  <c r="S191" i="1"/>
  <c r="R191" i="1"/>
  <c r="G191" i="1"/>
  <c r="F191" i="1"/>
  <c r="AK274" i="1"/>
  <c r="Y274" i="1"/>
  <c r="M274" i="1"/>
  <c r="AJ274" i="1"/>
  <c r="X274" i="1"/>
  <c r="AI274" i="1"/>
  <c r="W274" i="1"/>
  <c r="K274" i="1"/>
  <c r="L274" i="1" s="1"/>
  <c r="AH274" i="1"/>
  <c r="V274" i="1"/>
  <c r="J274" i="1"/>
  <c r="AS274" i="1"/>
  <c r="AG274" i="1"/>
  <c r="U274" i="1"/>
  <c r="I274" i="1"/>
  <c r="AR274" i="1"/>
  <c r="AF274" i="1"/>
  <c r="T274" i="1"/>
  <c r="H274" i="1"/>
  <c r="AT274" i="1" s="1"/>
  <c r="AQ274" i="1"/>
  <c r="AE274" i="1"/>
  <c r="S274" i="1"/>
  <c r="G274" i="1"/>
  <c r="AP274" i="1"/>
  <c r="AD274" i="1"/>
  <c r="R274" i="1"/>
  <c r="F274" i="1"/>
  <c r="AY274" i="1"/>
  <c r="AM274" i="1"/>
  <c r="AA274" i="1"/>
  <c r="O274" i="1"/>
  <c r="P274" i="1" s="1"/>
  <c r="AL274" i="1"/>
  <c r="Z274" i="1"/>
  <c r="N274" i="1"/>
  <c r="AO274" i="1"/>
  <c r="AN274" i="1"/>
  <c r="AB274" i="1"/>
  <c r="Q274" i="1"/>
  <c r="E274" i="1"/>
  <c r="D274" i="1"/>
  <c r="AI281" i="1"/>
  <c r="W281" i="1"/>
  <c r="K281" i="1"/>
  <c r="L281" i="1" s="1"/>
  <c r="AH281" i="1"/>
  <c r="V281" i="1"/>
  <c r="J281" i="1"/>
  <c r="AS281" i="1"/>
  <c r="AG281" i="1"/>
  <c r="U281" i="1"/>
  <c r="I281" i="1"/>
  <c r="AR281" i="1"/>
  <c r="AF281" i="1"/>
  <c r="T281" i="1"/>
  <c r="H281" i="1"/>
  <c r="AT281" i="1" s="1"/>
  <c r="AQ281" i="1"/>
  <c r="AE281" i="1"/>
  <c r="S281" i="1"/>
  <c r="G281" i="1"/>
  <c r="AP281" i="1"/>
  <c r="AD281" i="1"/>
  <c r="R281" i="1"/>
  <c r="F281" i="1"/>
  <c r="AO281" i="1"/>
  <c r="Q281" i="1"/>
  <c r="E281" i="1"/>
  <c r="AN281" i="1"/>
  <c r="AB281" i="1"/>
  <c r="D281" i="1"/>
  <c r="AY281" i="1"/>
  <c r="AM281" i="1"/>
  <c r="AA281" i="1"/>
  <c r="O281" i="1"/>
  <c r="P281" i="1" s="1"/>
  <c r="AL281" i="1"/>
  <c r="Z281" i="1"/>
  <c r="N281" i="1"/>
  <c r="AK281" i="1"/>
  <c r="Y281" i="1"/>
  <c r="M281" i="1"/>
  <c r="AJ281" i="1"/>
  <c r="X281" i="1"/>
  <c r="AS264" i="1"/>
  <c r="AG264" i="1"/>
  <c r="U264" i="1"/>
  <c r="I264" i="1"/>
  <c r="AR264" i="1"/>
  <c r="AF264" i="1"/>
  <c r="T264" i="1"/>
  <c r="H264" i="1"/>
  <c r="AT264" i="1" s="1"/>
  <c r="AO264" i="1"/>
  <c r="AN264" i="1"/>
  <c r="AB264" i="1"/>
  <c r="D264" i="1"/>
  <c r="AY264" i="1"/>
  <c r="AM264" i="1"/>
  <c r="AA264" i="1"/>
  <c r="O264" i="1"/>
  <c r="P264" i="1" s="1"/>
  <c r="AL264" i="1"/>
  <c r="Z264" i="1"/>
  <c r="N264" i="1"/>
  <c r="AH264" i="1"/>
  <c r="V264" i="1"/>
  <c r="J264" i="1"/>
  <c r="AK264" i="1"/>
  <c r="M264" i="1"/>
  <c r="AJ264" i="1"/>
  <c r="AI264" i="1"/>
  <c r="K264" i="1"/>
  <c r="L264" i="1" s="1"/>
  <c r="AE264" i="1"/>
  <c r="G264" i="1"/>
  <c r="AD264" i="1"/>
  <c r="F264" i="1"/>
  <c r="E264" i="1"/>
  <c r="Y264" i="1"/>
  <c r="X264" i="1"/>
  <c r="W264" i="1"/>
  <c r="S264" i="1"/>
  <c r="AQ264" i="1"/>
  <c r="R264" i="1"/>
  <c r="AP264" i="1"/>
  <c r="Q264" i="1"/>
  <c r="AO336" i="1"/>
  <c r="Q336" i="1"/>
  <c r="E336" i="1"/>
  <c r="AN336" i="1"/>
  <c r="AB336" i="1"/>
  <c r="D336" i="1"/>
  <c r="AJ336" i="1"/>
  <c r="X336" i="1"/>
  <c r="AI336" i="1"/>
  <c r="W336" i="1"/>
  <c r="K336" i="1"/>
  <c r="L336" i="1" s="1"/>
  <c r="AH336" i="1"/>
  <c r="V336" i="1"/>
  <c r="J336" i="1"/>
  <c r="AP336" i="1"/>
  <c r="AD336" i="1"/>
  <c r="R336" i="1"/>
  <c r="F336" i="1"/>
  <c r="AK336" i="1"/>
  <c r="N336" i="1"/>
  <c r="AG336" i="1"/>
  <c r="M336" i="1"/>
  <c r="AF336" i="1"/>
  <c r="I336" i="1"/>
  <c r="AE336" i="1"/>
  <c r="H336" i="1"/>
  <c r="AT336" i="1" s="1"/>
  <c r="AY336" i="1"/>
  <c r="G336" i="1"/>
  <c r="AA336" i="1"/>
  <c r="Z336" i="1"/>
  <c r="AS336" i="1"/>
  <c r="Y336" i="1"/>
  <c r="AR336" i="1"/>
  <c r="U336" i="1"/>
  <c r="AQ336" i="1"/>
  <c r="T336" i="1"/>
  <c r="AM336" i="1"/>
  <c r="S336" i="1"/>
  <c r="AL336" i="1"/>
  <c r="O336" i="1"/>
  <c r="P336" i="1" s="1"/>
  <c r="AO342" i="1"/>
  <c r="Q342" i="1"/>
  <c r="E342" i="1"/>
  <c r="AN342" i="1"/>
  <c r="AB342" i="1"/>
  <c r="D342" i="1"/>
  <c r="AY342" i="1"/>
  <c r="AJ342" i="1"/>
  <c r="X342" i="1"/>
  <c r="AI342" i="1"/>
  <c r="W342" i="1"/>
  <c r="K342" i="1"/>
  <c r="L342" i="1" s="1"/>
  <c r="AH342" i="1"/>
  <c r="V342" i="1"/>
  <c r="J342" i="1"/>
  <c r="AP342" i="1"/>
  <c r="AD342" i="1"/>
  <c r="R342" i="1"/>
  <c r="F342" i="1"/>
  <c r="AF342" i="1"/>
  <c r="I342" i="1"/>
  <c r="AE342" i="1"/>
  <c r="H342" i="1"/>
  <c r="AT342" i="1" s="1"/>
  <c r="G342" i="1"/>
  <c r="AA342" i="1"/>
  <c r="Z342" i="1"/>
  <c r="AS342" i="1"/>
  <c r="Y342" i="1"/>
  <c r="AR342" i="1"/>
  <c r="U342" i="1"/>
  <c r="AQ342" i="1"/>
  <c r="T342" i="1"/>
  <c r="AM342" i="1"/>
  <c r="S342" i="1"/>
  <c r="AL342" i="1"/>
  <c r="O342" i="1"/>
  <c r="P342" i="1" s="1"/>
  <c r="AK342" i="1"/>
  <c r="N342" i="1"/>
  <c r="AG342" i="1"/>
  <c r="M342" i="1"/>
  <c r="AK338" i="1"/>
  <c r="Y338" i="1"/>
  <c r="M338" i="1"/>
  <c r="AJ338" i="1"/>
  <c r="X338" i="1"/>
  <c r="AR338" i="1"/>
  <c r="AF338" i="1"/>
  <c r="T338" i="1"/>
  <c r="H338" i="1"/>
  <c r="AT338" i="1" s="1"/>
  <c r="AQ338" i="1"/>
  <c r="AE338" i="1"/>
  <c r="S338" i="1"/>
  <c r="G338" i="1"/>
  <c r="AP338" i="1"/>
  <c r="AD338" i="1"/>
  <c r="R338" i="1"/>
  <c r="F338" i="1"/>
  <c r="AL338" i="1"/>
  <c r="Z338" i="1"/>
  <c r="N338" i="1"/>
  <c r="AY338" i="1"/>
  <c r="E338" i="1"/>
  <c r="AB338" i="1"/>
  <c r="D338" i="1"/>
  <c r="AA338" i="1"/>
  <c r="W338" i="1"/>
  <c r="V338" i="1"/>
  <c r="AS338" i="1"/>
  <c r="U338" i="1"/>
  <c r="AO338" i="1"/>
  <c r="Q338" i="1"/>
  <c r="AN338" i="1"/>
  <c r="AM338" i="1"/>
  <c r="O338" i="1"/>
  <c r="P338" i="1" s="1"/>
  <c r="AI338" i="1"/>
  <c r="K338" i="1"/>
  <c r="L338" i="1" s="1"/>
  <c r="AH338" i="1"/>
  <c r="J338" i="1"/>
  <c r="AG338" i="1"/>
  <c r="I338" i="1"/>
  <c r="AY315" i="1"/>
  <c r="AM315" i="1"/>
  <c r="AA315" i="1"/>
  <c r="O315" i="1"/>
  <c r="P315" i="1" s="1"/>
  <c r="AL315" i="1"/>
  <c r="Z315" i="1"/>
  <c r="N315" i="1"/>
  <c r="AK315" i="1"/>
  <c r="Y315" i="1"/>
  <c r="M315" i="1"/>
  <c r="AJ315" i="1"/>
  <c r="X315" i="1"/>
  <c r="AI315" i="1"/>
  <c r="W315" i="1"/>
  <c r="K315" i="1"/>
  <c r="L315" i="1" s="1"/>
  <c r="AH315" i="1"/>
  <c r="V315" i="1"/>
  <c r="J315" i="1"/>
  <c r="AS315" i="1"/>
  <c r="AG315" i="1"/>
  <c r="U315" i="1"/>
  <c r="I315" i="1"/>
  <c r="AR315" i="1"/>
  <c r="AF315" i="1"/>
  <c r="T315" i="1"/>
  <c r="H315" i="1"/>
  <c r="AT315" i="1" s="1"/>
  <c r="AQ315" i="1"/>
  <c r="AE315" i="1"/>
  <c r="S315" i="1"/>
  <c r="G315" i="1"/>
  <c r="AP315" i="1"/>
  <c r="AD315" i="1"/>
  <c r="R315" i="1"/>
  <c r="F315" i="1"/>
  <c r="AO315" i="1"/>
  <c r="Q315" i="1"/>
  <c r="E315" i="1"/>
  <c r="AN315" i="1"/>
  <c r="AB315" i="1"/>
  <c r="D315" i="1"/>
  <c r="AK380" i="1"/>
  <c r="Y380" i="1"/>
  <c r="M380" i="1"/>
  <c r="AJ380" i="1"/>
  <c r="X380" i="1"/>
  <c r="AI380" i="1"/>
  <c r="W380" i="1"/>
  <c r="K380" i="1"/>
  <c r="L380" i="1" s="1"/>
  <c r="AH380" i="1"/>
  <c r="V380" i="1"/>
  <c r="J380" i="1"/>
  <c r="AS380" i="1"/>
  <c r="AG380" i="1"/>
  <c r="U380" i="1"/>
  <c r="I380" i="1"/>
  <c r="AR380" i="1"/>
  <c r="AF380" i="1"/>
  <c r="T380" i="1"/>
  <c r="H380" i="1"/>
  <c r="AT380" i="1" s="1"/>
  <c r="AQ380" i="1"/>
  <c r="AE380" i="1"/>
  <c r="S380" i="1"/>
  <c r="G380" i="1"/>
  <c r="AP380" i="1"/>
  <c r="AD380" i="1"/>
  <c r="R380" i="1"/>
  <c r="F380" i="1"/>
  <c r="AO380" i="1"/>
  <c r="Q380" i="1"/>
  <c r="E380" i="1"/>
  <c r="AN380" i="1"/>
  <c r="AB380" i="1"/>
  <c r="D380" i="1"/>
  <c r="AY380" i="1"/>
  <c r="AM380" i="1"/>
  <c r="AA380" i="1"/>
  <c r="O380" i="1"/>
  <c r="P380" i="1" s="1"/>
  <c r="AL380" i="1"/>
  <c r="Z380" i="1"/>
  <c r="N380" i="1"/>
  <c r="AI387" i="1"/>
  <c r="W387" i="1"/>
  <c r="K387" i="1"/>
  <c r="L387" i="1" s="1"/>
  <c r="AH387" i="1"/>
  <c r="V387" i="1"/>
  <c r="J387" i="1"/>
  <c r="AS387" i="1"/>
  <c r="AG387" i="1"/>
  <c r="U387" i="1"/>
  <c r="I387" i="1"/>
  <c r="AR387" i="1"/>
  <c r="AF387" i="1"/>
  <c r="T387" i="1"/>
  <c r="H387" i="1"/>
  <c r="AT387" i="1" s="1"/>
  <c r="AQ387" i="1"/>
  <c r="AE387" i="1"/>
  <c r="S387" i="1"/>
  <c r="G387" i="1"/>
  <c r="AP387" i="1"/>
  <c r="AD387" i="1"/>
  <c r="R387" i="1"/>
  <c r="F387" i="1"/>
  <c r="AO387" i="1"/>
  <c r="Q387" i="1"/>
  <c r="E387" i="1"/>
  <c r="AN387" i="1"/>
  <c r="AB387" i="1"/>
  <c r="D387" i="1"/>
  <c r="AY387" i="1"/>
  <c r="AM387" i="1"/>
  <c r="AA387" i="1"/>
  <c r="O387" i="1"/>
  <c r="P387" i="1" s="1"/>
  <c r="AL387" i="1"/>
  <c r="Z387" i="1"/>
  <c r="N387" i="1"/>
  <c r="AK387" i="1"/>
  <c r="Y387" i="1"/>
  <c r="M387" i="1"/>
  <c r="AJ387" i="1"/>
  <c r="X387" i="1"/>
  <c r="AS382" i="1"/>
  <c r="AG382" i="1"/>
  <c r="U382" i="1"/>
  <c r="I382" i="1"/>
  <c r="AR382" i="1"/>
  <c r="AF382" i="1"/>
  <c r="T382" i="1"/>
  <c r="H382" i="1"/>
  <c r="AT382" i="1" s="1"/>
  <c r="AQ382" i="1"/>
  <c r="AE382" i="1"/>
  <c r="S382" i="1"/>
  <c r="G382" i="1"/>
  <c r="AP382" i="1"/>
  <c r="AD382" i="1"/>
  <c r="R382" i="1"/>
  <c r="F382" i="1"/>
  <c r="AO382" i="1"/>
  <c r="Q382" i="1"/>
  <c r="E382" i="1"/>
  <c r="AN382" i="1"/>
  <c r="AB382" i="1"/>
  <c r="D382" i="1"/>
  <c r="AY382" i="1"/>
  <c r="AM382" i="1"/>
  <c r="AA382" i="1"/>
  <c r="O382" i="1"/>
  <c r="P382" i="1" s="1"/>
  <c r="AL382" i="1"/>
  <c r="Z382" i="1"/>
  <c r="N382" i="1"/>
  <c r="AK382" i="1"/>
  <c r="Y382" i="1"/>
  <c r="M382" i="1"/>
  <c r="AJ382" i="1"/>
  <c r="X382" i="1"/>
  <c r="AI382" i="1"/>
  <c r="W382" i="1"/>
  <c r="K382" i="1"/>
  <c r="L382" i="1" s="1"/>
  <c r="AH382" i="1"/>
  <c r="V382" i="1"/>
  <c r="J382" i="1"/>
  <c r="AQ377" i="1"/>
  <c r="AE377" i="1"/>
  <c r="S377" i="1"/>
  <c r="G377" i="1"/>
  <c r="AP377" i="1"/>
  <c r="AD377" i="1"/>
  <c r="R377" i="1"/>
  <c r="F377" i="1"/>
  <c r="AO377" i="1"/>
  <c r="Q377" i="1"/>
  <c r="E377" i="1"/>
  <c r="AN377" i="1"/>
  <c r="AB377" i="1"/>
  <c r="D377" i="1"/>
  <c r="AY377" i="1"/>
  <c r="AM377" i="1"/>
  <c r="AA377" i="1"/>
  <c r="O377" i="1"/>
  <c r="P377" i="1" s="1"/>
  <c r="AL377" i="1"/>
  <c r="Z377" i="1"/>
  <c r="N377" i="1"/>
  <c r="AK377" i="1"/>
  <c r="Y377" i="1"/>
  <c r="M377" i="1"/>
  <c r="AJ377" i="1"/>
  <c r="X377" i="1"/>
  <c r="AI377" i="1"/>
  <c r="W377" i="1"/>
  <c r="K377" i="1"/>
  <c r="L377" i="1" s="1"/>
  <c r="AH377" i="1"/>
  <c r="V377" i="1"/>
  <c r="J377" i="1"/>
  <c r="AS377" i="1"/>
  <c r="AG377" i="1"/>
  <c r="U377" i="1"/>
  <c r="I377" i="1"/>
  <c r="AR377" i="1"/>
  <c r="AF377" i="1"/>
  <c r="T377" i="1"/>
  <c r="H377" i="1"/>
  <c r="AT377" i="1" s="1"/>
  <c r="AO378" i="1"/>
  <c r="Q378" i="1"/>
  <c r="E378" i="1"/>
  <c r="AN378" i="1"/>
  <c r="AB378" i="1"/>
  <c r="D378" i="1"/>
  <c r="AY378" i="1"/>
  <c r="AM378" i="1"/>
  <c r="AA378" i="1"/>
  <c r="O378" i="1"/>
  <c r="P378" i="1" s="1"/>
  <c r="AL378" i="1"/>
  <c r="Z378" i="1"/>
  <c r="N378" i="1"/>
  <c r="AK378" i="1"/>
  <c r="Y378" i="1"/>
  <c r="M378" i="1"/>
  <c r="AJ378" i="1"/>
  <c r="X378" i="1"/>
  <c r="AI378" i="1"/>
  <c r="W378" i="1"/>
  <c r="K378" i="1"/>
  <c r="L378" i="1" s="1"/>
  <c r="AH378" i="1"/>
  <c r="V378" i="1"/>
  <c r="J378" i="1"/>
  <c r="AS378" i="1"/>
  <c r="AG378" i="1"/>
  <c r="U378" i="1"/>
  <c r="I378" i="1"/>
  <c r="AR378" i="1"/>
  <c r="AF378" i="1"/>
  <c r="T378" i="1"/>
  <c r="H378" i="1"/>
  <c r="AT378" i="1" s="1"/>
  <c r="AQ378" i="1"/>
  <c r="AE378" i="1"/>
  <c r="S378" i="1"/>
  <c r="G378" i="1"/>
  <c r="AP378" i="1"/>
  <c r="AD378" i="1"/>
  <c r="R378" i="1"/>
  <c r="F378" i="1"/>
  <c r="AY361" i="1"/>
  <c r="AM361" i="1"/>
  <c r="AA361" i="1"/>
  <c r="O361" i="1"/>
  <c r="P361" i="1" s="1"/>
  <c r="AL361" i="1"/>
  <c r="Z361" i="1"/>
  <c r="N361" i="1"/>
  <c r="AK361" i="1"/>
  <c r="Y361" i="1"/>
  <c r="M361" i="1"/>
  <c r="AJ361" i="1"/>
  <c r="X361" i="1"/>
  <c r="AI361" i="1"/>
  <c r="W361" i="1"/>
  <c r="K361" i="1"/>
  <c r="L361" i="1" s="1"/>
  <c r="AH361" i="1"/>
  <c r="V361" i="1"/>
  <c r="J361" i="1"/>
  <c r="AS361" i="1"/>
  <c r="AG361" i="1"/>
  <c r="U361" i="1"/>
  <c r="I361" i="1"/>
  <c r="AR361" i="1"/>
  <c r="AF361" i="1"/>
  <c r="T361" i="1"/>
  <c r="H361" i="1"/>
  <c r="AT361" i="1" s="1"/>
  <c r="AQ361" i="1"/>
  <c r="AE361" i="1"/>
  <c r="S361" i="1"/>
  <c r="G361" i="1"/>
  <c r="AP361" i="1"/>
  <c r="AD361" i="1"/>
  <c r="R361" i="1"/>
  <c r="F361" i="1"/>
  <c r="AO361" i="1"/>
  <c r="Q361" i="1"/>
  <c r="E361" i="1"/>
  <c r="AN361" i="1"/>
  <c r="AB361" i="1"/>
  <c r="D361" i="1"/>
  <c r="AL443" i="1"/>
  <c r="Z443" i="1"/>
  <c r="N443" i="1"/>
  <c r="AK443" i="1"/>
  <c r="Y443" i="1"/>
  <c r="M443" i="1"/>
  <c r="AJ443" i="1"/>
  <c r="X443" i="1"/>
  <c r="AI443" i="1"/>
  <c r="W443" i="1"/>
  <c r="K443" i="1"/>
  <c r="L443" i="1" s="1"/>
  <c r="AH443" i="1"/>
  <c r="V443" i="1"/>
  <c r="J443" i="1"/>
  <c r="AS443" i="1"/>
  <c r="AG443" i="1"/>
  <c r="U443" i="1"/>
  <c r="I443" i="1"/>
  <c r="AR443" i="1"/>
  <c r="AF443" i="1"/>
  <c r="T443" i="1"/>
  <c r="H443" i="1"/>
  <c r="AT443" i="1" s="1"/>
  <c r="AQ443" i="1"/>
  <c r="AE443" i="1"/>
  <c r="S443" i="1"/>
  <c r="G443" i="1"/>
  <c r="AP443" i="1"/>
  <c r="AD443" i="1"/>
  <c r="R443" i="1"/>
  <c r="F443" i="1"/>
  <c r="AO443" i="1"/>
  <c r="Q443" i="1"/>
  <c r="E443" i="1"/>
  <c r="AN443" i="1"/>
  <c r="AB443" i="1"/>
  <c r="D443" i="1"/>
  <c r="AY443" i="1"/>
  <c r="AM443" i="1"/>
  <c r="AA443" i="1"/>
  <c r="O443" i="1"/>
  <c r="P443" i="1" s="1"/>
  <c r="AJ432" i="1"/>
  <c r="X432" i="1"/>
  <c r="AI432" i="1"/>
  <c r="W432" i="1"/>
  <c r="K432" i="1"/>
  <c r="L432" i="1" s="1"/>
  <c r="AH432" i="1"/>
  <c r="V432" i="1"/>
  <c r="J432" i="1"/>
  <c r="AS432" i="1"/>
  <c r="AG432" i="1"/>
  <c r="U432" i="1"/>
  <c r="I432" i="1"/>
  <c r="AR432" i="1"/>
  <c r="AF432" i="1"/>
  <c r="T432" i="1"/>
  <c r="H432" i="1"/>
  <c r="AT432" i="1" s="1"/>
  <c r="AQ432" i="1"/>
  <c r="AE432" i="1"/>
  <c r="S432" i="1"/>
  <c r="G432" i="1"/>
  <c r="AP432" i="1"/>
  <c r="AD432" i="1"/>
  <c r="R432" i="1"/>
  <c r="F432" i="1"/>
  <c r="AO432" i="1"/>
  <c r="Q432" i="1"/>
  <c r="E432" i="1"/>
  <c r="AN432" i="1"/>
  <c r="AB432" i="1"/>
  <c r="D432" i="1"/>
  <c r="AY432" i="1"/>
  <c r="AM432" i="1"/>
  <c r="AA432" i="1"/>
  <c r="O432" i="1"/>
  <c r="P432" i="1" s="1"/>
  <c r="AL432" i="1"/>
  <c r="Z432" i="1"/>
  <c r="N432" i="1"/>
  <c r="AK432" i="1"/>
  <c r="Y432" i="1"/>
  <c r="M432" i="1"/>
  <c r="AH427" i="1"/>
  <c r="V427" i="1"/>
  <c r="J427" i="1"/>
  <c r="AS427" i="1"/>
  <c r="AG427" i="1"/>
  <c r="U427" i="1"/>
  <c r="I427" i="1"/>
  <c r="AR427" i="1"/>
  <c r="AF427" i="1"/>
  <c r="T427" i="1"/>
  <c r="H427" i="1"/>
  <c r="AT427" i="1" s="1"/>
  <c r="AQ427" i="1"/>
  <c r="AE427" i="1"/>
  <c r="S427" i="1"/>
  <c r="G427" i="1"/>
  <c r="AP427" i="1"/>
  <c r="AD427" i="1"/>
  <c r="R427" i="1"/>
  <c r="F427" i="1"/>
  <c r="AO427" i="1"/>
  <c r="Q427" i="1"/>
  <c r="E427" i="1"/>
  <c r="AN427" i="1"/>
  <c r="AB427" i="1"/>
  <c r="D427" i="1"/>
  <c r="AY427" i="1"/>
  <c r="AM427" i="1"/>
  <c r="AA427" i="1"/>
  <c r="O427" i="1"/>
  <c r="P427" i="1" s="1"/>
  <c r="AL427" i="1"/>
  <c r="Z427" i="1"/>
  <c r="N427" i="1"/>
  <c r="AK427" i="1"/>
  <c r="Y427" i="1"/>
  <c r="M427" i="1"/>
  <c r="AJ427" i="1"/>
  <c r="X427" i="1"/>
  <c r="AI427" i="1"/>
  <c r="W427" i="1"/>
  <c r="K427" i="1"/>
  <c r="L427" i="1" s="1"/>
  <c r="AR422" i="1"/>
  <c r="AF422" i="1"/>
  <c r="T422" i="1"/>
  <c r="H422" i="1"/>
  <c r="AT422" i="1" s="1"/>
  <c r="AQ422" i="1"/>
  <c r="AE422" i="1"/>
  <c r="S422" i="1"/>
  <c r="G422" i="1"/>
  <c r="AP422" i="1"/>
  <c r="AD422" i="1"/>
  <c r="R422" i="1"/>
  <c r="F422" i="1"/>
  <c r="AO422" i="1"/>
  <c r="Q422" i="1"/>
  <c r="E422" i="1"/>
  <c r="AN422" i="1"/>
  <c r="AB422" i="1"/>
  <c r="D422" i="1"/>
  <c r="AY422" i="1"/>
  <c r="AM422" i="1"/>
  <c r="AA422" i="1"/>
  <c r="O422" i="1"/>
  <c r="P422" i="1" s="1"/>
  <c r="AL422" i="1"/>
  <c r="Z422" i="1"/>
  <c r="N422" i="1"/>
  <c r="AK422" i="1"/>
  <c r="Y422" i="1"/>
  <c r="M422" i="1"/>
  <c r="AJ422" i="1"/>
  <c r="X422" i="1"/>
  <c r="AI422" i="1"/>
  <c r="W422" i="1"/>
  <c r="K422" i="1"/>
  <c r="L422" i="1" s="1"/>
  <c r="AH422" i="1"/>
  <c r="V422" i="1"/>
  <c r="J422" i="1"/>
  <c r="AS422" i="1"/>
  <c r="AG422" i="1"/>
  <c r="U422" i="1"/>
  <c r="I422" i="1"/>
  <c r="AP417" i="1"/>
  <c r="AD417" i="1"/>
  <c r="R417" i="1"/>
  <c r="F417" i="1"/>
  <c r="AO417" i="1"/>
  <c r="Q417" i="1"/>
  <c r="E417" i="1"/>
  <c r="AN417" i="1"/>
  <c r="AB417" i="1"/>
  <c r="D417" i="1"/>
  <c r="AY417" i="1"/>
  <c r="AM417" i="1"/>
  <c r="AA417" i="1"/>
  <c r="O417" i="1"/>
  <c r="P417" i="1" s="1"/>
  <c r="AL417" i="1"/>
  <c r="Z417" i="1"/>
  <c r="N417" i="1"/>
  <c r="AK417" i="1"/>
  <c r="Y417" i="1"/>
  <c r="M417" i="1"/>
  <c r="AJ417" i="1"/>
  <c r="X417" i="1"/>
  <c r="AI417" i="1"/>
  <c r="W417" i="1"/>
  <c r="K417" i="1"/>
  <c r="L417" i="1" s="1"/>
  <c r="AR417" i="1"/>
  <c r="AQ417" i="1"/>
  <c r="AE417" i="1"/>
  <c r="S417" i="1"/>
  <c r="G417" i="1"/>
  <c r="AH417" i="1"/>
  <c r="AG417" i="1"/>
  <c r="AF417" i="1"/>
  <c r="V417" i="1"/>
  <c r="U417" i="1"/>
  <c r="T417" i="1"/>
  <c r="J417" i="1"/>
  <c r="I417" i="1"/>
  <c r="H417" i="1"/>
  <c r="AT417" i="1" s="1"/>
  <c r="AS417" i="1"/>
  <c r="AJ489" i="1"/>
  <c r="X489" i="1"/>
  <c r="AI489" i="1"/>
  <c r="W489" i="1"/>
  <c r="K489" i="1"/>
  <c r="L489" i="1" s="1"/>
  <c r="AH489" i="1"/>
  <c r="V489" i="1"/>
  <c r="J489" i="1"/>
  <c r="AM489" i="1"/>
  <c r="U489" i="1"/>
  <c r="F489" i="1"/>
  <c r="AL489" i="1"/>
  <c r="T489" i="1"/>
  <c r="E489" i="1"/>
  <c r="AK489" i="1"/>
  <c r="S489" i="1"/>
  <c r="D489" i="1"/>
  <c r="AY489" i="1"/>
  <c r="AG489" i="1"/>
  <c r="R489" i="1"/>
  <c r="AF489" i="1"/>
  <c r="Q489" i="1"/>
  <c r="AE489" i="1"/>
  <c r="AS489" i="1"/>
  <c r="AD489" i="1"/>
  <c r="O489" i="1"/>
  <c r="P489" i="1" s="1"/>
  <c r="AR489" i="1"/>
  <c r="N489" i="1"/>
  <c r="AQ489" i="1"/>
  <c r="AB489" i="1"/>
  <c r="M489" i="1"/>
  <c r="AP489" i="1"/>
  <c r="AA489" i="1"/>
  <c r="I489" i="1"/>
  <c r="AO489" i="1"/>
  <c r="Z489" i="1"/>
  <c r="H489" i="1"/>
  <c r="AT489" i="1" s="1"/>
  <c r="AN489" i="1"/>
  <c r="Y489" i="1"/>
  <c r="G489" i="1"/>
  <c r="AN478" i="1"/>
  <c r="AB478" i="1"/>
  <c r="D478" i="1"/>
  <c r="AY478" i="1"/>
  <c r="AM478" i="1"/>
  <c r="AA478" i="1"/>
  <c r="O478" i="1"/>
  <c r="P478" i="1" s="1"/>
  <c r="AL478" i="1"/>
  <c r="Z478" i="1"/>
  <c r="N478" i="1"/>
  <c r="AK478" i="1"/>
  <c r="Y478" i="1"/>
  <c r="M478" i="1"/>
  <c r="AJ478" i="1"/>
  <c r="X478" i="1"/>
  <c r="AI478" i="1"/>
  <c r="W478" i="1"/>
  <c r="K478" i="1"/>
  <c r="L478" i="1" s="1"/>
  <c r="AH478" i="1"/>
  <c r="V478" i="1"/>
  <c r="J478" i="1"/>
  <c r="AS478" i="1"/>
  <c r="AG478" i="1"/>
  <c r="U478" i="1"/>
  <c r="I478" i="1"/>
  <c r="AR478" i="1"/>
  <c r="AF478" i="1"/>
  <c r="T478" i="1"/>
  <c r="H478" i="1"/>
  <c r="AT478" i="1" s="1"/>
  <c r="AQ478" i="1"/>
  <c r="AE478" i="1"/>
  <c r="S478" i="1"/>
  <c r="G478" i="1"/>
  <c r="AP478" i="1"/>
  <c r="AD478" i="1"/>
  <c r="R478" i="1"/>
  <c r="F478" i="1"/>
  <c r="AO478" i="1"/>
  <c r="Q478" i="1"/>
  <c r="E478" i="1"/>
  <c r="AJ507" i="1"/>
  <c r="X507" i="1"/>
  <c r="AI507" i="1"/>
  <c r="W507" i="1"/>
  <c r="K507" i="1"/>
  <c r="L507" i="1" s="1"/>
  <c r="AH507" i="1"/>
  <c r="V507" i="1"/>
  <c r="J507" i="1"/>
  <c r="AS507" i="1"/>
  <c r="AG507" i="1"/>
  <c r="U507" i="1"/>
  <c r="I507" i="1"/>
  <c r="AR507" i="1"/>
  <c r="AF507" i="1"/>
  <c r="T507" i="1"/>
  <c r="H507" i="1"/>
  <c r="AT507" i="1" s="1"/>
  <c r="AQ507" i="1"/>
  <c r="AE507" i="1"/>
  <c r="S507" i="1"/>
  <c r="G507" i="1"/>
  <c r="AP507" i="1"/>
  <c r="AD507" i="1"/>
  <c r="R507" i="1"/>
  <c r="F507" i="1"/>
  <c r="AO507" i="1"/>
  <c r="Q507" i="1"/>
  <c r="E507" i="1"/>
  <c r="AN507" i="1"/>
  <c r="AB507" i="1"/>
  <c r="D507" i="1"/>
  <c r="AY507" i="1"/>
  <c r="AM507" i="1"/>
  <c r="AA507" i="1"/>
  <c r="O507" i="1"/>
  <c r="P507" i="1" s="1"/>
  <c r="AL507" i="1"/>
  <c r="Z507" i="1"/>
  <c r="N507" i="1"/>
  <c r="AK507" i="1"/>
  <c r="Y507" i="1"/>
  <c r="M507" i="1"/>
  <c r="AR497" i="1"/>
  <c r="AF497" i="1"/>
  <c r="T497" i="1"/>
  <c r="H497" i="1"/>
  <c r="AT497" i="1" s="1"/>
  <c r="AQ497" i="1"/>
  <c r="AE497" i="1"/>
  <c r="S497" i="1"/>
  <c r="G497" i="1"/>
  <c r="AP497" i="1"/>
  <c r="AD497" i="1"/>
  <c r="R497" i="1"/>
  <c r="F497" i="1"/>
  <c r="AO497" i="1"/>
  <c r="Q497" i="1"/>
  <c r="E497" i="1"/>
  <c r="AN497" i="1"/>
  <c r="AB497" i="1"/>
  <c r="D497" i="1"/>
  <c r="AY497" i="1"/>
  <c r="AM497" i="1"/>
  <c r="AA497" i="1"/>
  <c r="O497" i="1"/>
  <c r="P497" i="1" s="1"/>
  <c r="AL497" i="1"/>
  <c r="Z497" i="1"/>
  <c r="N497" i="1"/>
  <c r="AK497" i="1"/>
  <c r="Y497" i="1"/>
  <c r="M497" i="1"/>
  <c r="AJ497" i="1"/>
  <c r="X497" i="1"/>
  <c r="AI497" i="1"/>
  <c r="W497" i="1"/>
  <c r="K497" i="1"/>
  <c r="L497" i="1" s="1"/>
  <c r="AH497" i="1"/>
  <c r="V497" i="1"/>
  <c r="J497" i="1"/>
  <c r="AS497" i="1"/>
  <c r="AG497" i="1"/>
  <c r="U497" i="1"/>
  <c r="I497" i="1"/>
  <c r="AP516" i="1"/>
  <c r="AD516" i="1"/>
  <c r="R516" i="1"/>
  <c r="F516" i="1"/>
  <c r="AO516" i="1"/>
  <c r="Q516" i="1"/>
  <c r="E516" i="1"/>
  <c r="AN516" i="1"/>
  <c r="AB516" i="1"/>
  <c r="D516" i="1"/>
  <c r="AY516" i="1"/>
  <c r="AM516" i="1"/>
  <c r="AA516" i="1"/>
  <c r="O516" i="1"/>
  <c r="P516" i="1" s="1"/>
  <c r="AL516" i="1"/>
  <c r="Z516" i="1"/>
  <c r="N516" i="1"/>
  <c r="AK516" i="1"/>
  <c r="Y516" i="1"/>
  <c r="M516" i="1"/>
  <c r="AJ516" i="1"/>
  <c r="X516" i="1"/>
  <c r="AI516" i="1"/>
  <c r="W516" i="1"/>
  <c r="K516" i="1"/>
  <c r="L516" i="1" s="1"/>
  <c r="AH516" i="1"/>
  <c r="V516" i="1"/>
  <c r="J516" i="1"/>
  <c r="AS516" i="1"/>
  <c r="AG516" i="1"/>
  <c r="U516" i="1"/>
  <c r="I516" i="1"/>
  <c r="AR516" i="1"/>
  <c r="AF516" i="1"/>
  <c r="T516" i="1"/>
  <c r="H516" i="1"/>
  <c r="AT516" i="1" s="1"/>
  <c r="AQ516" i="1"/>
  <c r="AE516" i="1"/>
  <c r="S516" i="1"/>
  <c r="G516" i="1"/>
  <c r="AL553" i="1"/>
  <c r="Z553" i="1"/>
  <c r="N553" i="1"/>
  <c r="AK553" i="1"/>
  <c r="Y553" i="1"/>
  <c r="M553" i="1"/>
  <c r="AJ553" i="1"/>
  <c r="X553" i="1"/>
  <c r="AI553" i="1"/>
  <c r="W553" i="1"/>
  <c r="K553" i="1"/>
  <c r="L553" i="1" s="1"/>
  <c r="AH553" i="1"/>
  <c r="V553" i="1"/>
  <c r="J553" i="1"/>
  <c r="AS553" i="1"/>
  <c r="AG553" i="1"/>
  <c r="U553" i="1"/>
  <c r="I553" i="1"/>
  <c r="AR553" i="1"/>
  <c r="AF553" i="1"/>
  <c r="T553" i="1"/>
  <c r="H553" i="1"/>
  <c r="AT553" i="1" s="1"/>
  <c r="AQ553" i="1"/>
  <c r="AE553" i="1"/>
  <c r="S553" i="1"/>
  <c r="G553" i="1"/>
  <c r="AP553" i="1"/>
  <c r="AD553" i="1"/>
  <c r="R553" i="1"/>
  <c r="F553" i="1"/>
  <c r="AO553" i="1"/>
  <c r="Q553" i="1"/>
  <c r="E553" i="1"/>
  <c r="AN553" i="1"/>
  <c r="AB553" i="1"/>
  <c r="D553" i="1"/>
  <c r="AY553" i="1"/>
  <c r="AM553" i="1"/>
  <c r="AA553" i="1"/>
  <c r="O553" i="1"/>
  <c r="P553" i="1" s="1"/>
  <c r="AH531" i="1"/>
  <c r="V531" i="1"/>
  <c r="J531" i="1"/>
  <c r="AS531" i="1"/>
  <c r="AG531" i="1"/>
  <c r="U531" i="1"/>
  <c r="I531" i="1"/>
  <c r="AN531" i="1"/>
  <c r="AB531" i="1"/>
  <c r="D531" i="1"/>
  <c r="AY531" i="1"/>
  <c r="AM531" i="1"/>
  <c r="AA531" i="1"/>
  <c r="O531" i="1"/>
  <c r="P531" i="1" s="1"/>
  <c r="AI531" i="1"/>
  <c r="Q531" i="1"/>
  <c r="AF531" i="1"/>
  <c r="N531" i="1"/>
  <c r="AE531" i="1"/>
  <c r="M531" i="1"/>
  <c r="AD531" i="1"/>
  <c r="K531" i="1"/>
  <c r="L531" i="1" s="1"/>
  <c r="AR531" i="1"/>
  <c r="Z531" i="1"/>
  <c r="H531" i="1"/>
  <c r="AT531" i="1" s="1"/>
  <c r="AQ531" i="1"/>
  <c r="Y531" i="1"/>
  <c r="G531" i="1"/>
  <c r="AP531" i="1"/>
  <c r="X531" i="1"/>
  <c r="F531" i="1"/>
  <c r="AO531" i="1"/>
  <c r="W531" i="1"/>
  <c r="E531" i="1"/>
  <c r="AL531" i="1"/>
  <c r="T531" i="1"/>
  <c r="AK531" i="1"/>
  <c r="S531" i="1"/>
  <c r="AJ531" i="1"/>
  <c r="R531" i="1"/>
  <c r="AR568" i="1"/>
  <c r="AF568" i="1"/>
  <c r="T568" i="1"/>
  <c r="H568" i="1"/>
  <c r="AT568" i="1" s="1"/>
  <c r="AQ568" i="1"/>
  <c r="AE568" i="1"/>
  <c r="S568" i="1"/>
  <c r="G568" i="1"/>
  <c r="AP568" i="1"/>
  <c r="AD568" i="1"/>
  <c r="R568" i="1"/>
  <c r="F568" i="1"/>
  <c r="AO568" i="1"/>
  <c r="Q568" i="1"/>
  <c r="E568" i="1"/>
  <c r="AN568" i="1"/>
  <c r="AB568" i="1"/>
  <c r="D568" i="1"/>
  <c r="AY568" i="1"/>
  <c r="AM568" i="1"/>
  <c r="AA568" i="1"/>
  <c r="O568" i="1"/>
  <c r="P568" i="1" s="1"/>
  <c r="AL568" i="1"/>
  <c r="Z568" i="1"/>
  <c r="N568" i="1"/>
  <c r="AK568" i="1"/>
  <c r="Y568" i="1"/>
  <c r="M568" i="1"/>
  <c r="AJ568" i="1"/>
  <c r="X568" i="1"/>
  <c r="AI568" i="1"/>
  <c r="W568" i="1"/>
  <c r="K568" i="1"/>
  <c r="L568" i="1" s="1"/>
  <c r="AH568" i="1"/>
  <c r="V568" i="1"/>
  <c r="J568" i="1"/>
  <c r="AS568" i="1"/>
  <c r="AG568" i="1"/>
  <c r="U568" i="1"/>
  <c r="I568" i="1"/>
  <c r="AN540" i="1"/>
  <c r="AB540" i="1"/>
  <c r="D540" i="1"/>
  <c r="AY540" i="1"/>
  <c r="AM540" i="1"/>
  <c r="AA540" i="1"/>
  <c r="O540" i="1"/>
  <c r="P540" i="1" s="1"/>
  <c r="AL540" i="1"/>
  <c r="AJ540" i="1"/>
  <c r="X540" i="1"/>
  <c r="AH540" i="1"/>
  <c r="V540" i="1"/>
  <c r="J540" i="1"/>
  <c r="AS540" i="1"/>
  <c r="AG540" i="1"/>
  <c r="U540" i="1"/>
  <c r="I540" i="1"/>
  <c r="AR540" i="1"/>
  <c r="W540" i="1"/>
  <c r="AQ540" i="1"/>
  <c r="T540" i="1"/>
  <c r="AP540" i="1"/>
  <c r="S540" i="1"/>
  <c r="AO540" i="1"/>
  <c r="R540" i="1"/>
  <c r="AK540" i="1"/>
  <c r="Q540" i="1"/>
  <c r="AI540" i="1"/>
  <c r="N540" i="1"/>
  <c r="AF540" i="1"/>
  <c r="M540" i="1"/>
  <c r="AE540" i="1"/>
  <c r="K540" i="1"/>
  <c r="L540" i="1" s="1"/>
  <c r="AD540" i="1"/>
  <c r="H540" i="1"/>
  <c r="AT540" i="1" s="1"/>
  <c r="G540" i="1"/>
  <c r="Z540" i="1"/>
  <c r="F540" i="1"/>
  <c r="Y540" i="1"/>
  <c r="E540" i="1"/>
  <c r="AK615" i="1"/>
  <c r="Y615" i="1"/>
  <c r="M615" i="1"/>
  <c r="AJ615" i="1"/>
  <c r="X615" i="1"/>
  <c r="AI615" i="1"/>
  <c r="W615" i="1"/>
  <c r="K615" i="1"/>
  <c r="L615" i="1" s="1"/>
  <c r="AH615" i="1"/>
  <c r="V615" i="1"/>
  <c r="J615" i="1"/>
  <c r="AS615" i="1"/>
  <c r="AG615" i="1"/>
  <c r="U615" i="1"/>
  <c r="I615" i="1"/>
  <c r="AR615" i="1"/>
  <c r="AF615" i="1"/>
  <c r="T615" i="1"/>
  <c r="H615" i="1"/>
  <c r="AT615" i="1" s="1"/>
  <c r="AQ615" i="1"/>
  <c r="AE615" i="1"/>
  <c r="S615" i="1"/>
  <c r="G615" i="1"/>
  <c r="AP615" i="1"/>
  <c r="AD615" i="1"/>
  <c r="R615" i="1"/>
  <c r="F615" i="1"/>
  <c r="AO615" i="1"/>
  <c r="Q615" i="1"/>
  <c r="E615" i="1"/>
  <c r="AN615" i="1"/>
  <c r="AB615" i="1"/>
  <c r="D615" i="1"/>
  <c r="AY615" i="1"/>
  <c r="AM615" i="1"/>
  <c r="AA615" i="1"/>
  <c r="O615" i="1"/>
  <c r="P615" i="1" s="1"/>
  <c r="AL615" i="1"/>
  <c r="Z615" i="1"/>
  <c r="N615" i="1"/>
  <c r="AS581" i="1"/>
  <c r="AG581" i="1"/>
  <c r="U581" i="1"/>
  <c r="I581" i="1"/>
  <c r="AR581" i="1"/>
  <c r="AF581" i="1"/>
  <c r="T581" i="1"/>
  <c r="H581" i="1"/>
  <c r="AT581" i="1" s="1"/>
  <c r="AY581" i="1"/>
  <c r="AM581" i="1"/>
  <c r="AA581" i="1"/>
  <c r="O581" i="1"/>
  <c r="P581" i="1" s="1"/>
  <c r="AL581" i="1"/>
  <c r="Z581" i="1"/>
  <c r="N581" i="1"/>
  <c r="AN581" i="1"/>
  <c r="V581" i="1"/>
  <c r="D581" i="1"/>
  <c r="AK581" i="1"/>
  <c r="S581" i="1"/>
  <c r="AJ581" i="1"/>
  <c r="R581" i="1"/>
  <c r="AI581" i="1"/>
  <c r="Q581" i="1"/>
  <c r="AH581" i="1"/>
  <c r="AE581" i="1"/>
  <c r="M581" i="1"/>
  <c r="AD581" i="1"/>
  <c r="K581" i="1"/>
  <c r="L581" i="1" s="1"/>
  <c r="AB581" i="1"/>
  <c r="J581" i="1"/>
  <c r="AQ581" i="1"/>
  <c r="Y581" i="1"/>
  <c r="G581" i="1"/>
  <c r="AP581" i="1"/>
  <c r="X581" i="1"/>
  <c r="F581" i="1"/>
  <c r="AO581" i="1"/>
  <c r="W581" i="1"/>
  <c r="E581" i="1"/>
  <c r="AQ606" i="1"/>
  <c r="AE606" i="1"/>
  <c r="S606" i="1"/>
  <c r="G606" i="1"/>
  <c r="AP606" i="1"/>
  <c r="AD606" i="1"/>
  <c r="R606" i="1"/>
  <c r="F606" i="1"/>
  <c r="AO606" i="1"/>
  <c r="Q606" i="1"/>
  <c r="E606" i="1"/>
  <c r="AN606" i="1"/>
  <c r="AB606" i="1"/>
  <c r="D606" i="1"/>
  <c r="AY606" i="1"/>
  <c r="AM606" i="1"/>
  <c r="AA606" i="1"/>
  <c r="O606" i="1"/>
  <c r="P606" i="1" s="1"/>
  <c r="AL606" i="1"/>
  <c r="Z606" i="1"/>
  <c r="N606" i="1"/>
  <c r="AK606" i="1"/>
  <c r="Y606" i="1"/>
  <c r="M606" i="1"/>
  <c r="AJ606" i="1"/>
  <c r="X606" i="1"/>
  <c r="AI606" i="1"/>
  <c r="W606" i="1"/>
  <c r="K606" i="1"/>
  <c r="L606" i="1" s="1"/>
  <c r="AH606" i="1"/>
  <c r="V606" i="1"/>
  <c r="J606" i="1"/>
  <c r="AS606" i="1"/>
  <c r="AG606" i="1"/>
  <c r="U606" i="1"/>
  <c r="I606" i="1"/>
  <c r="AR606" i="1"/>
  <c r="AF606" i="1"/>
  <c r="T606" i="1"/>
  <c r="H606" i="1"/>
  <c r="AT606" i="1" s="1"/>
  <c r="AY590" i="1"/>
  <c r="AM590" i="1"/>
  <c r="AA590" i="1"/>
  <c r="O590" i="1"/>
  <c r="P590" i="1" s="1"/>
  <c r="AL590" i="1"/>
  <c r="Z590" i="1"/>
  <c r="N590" i="1"/>
  <c r="AK590" i="1"/>
  <c r="Y590" i="1"/>
  <c r="M590" i="1"/>
  <c r="AJ590" i="1"/>
  <c r="X590" i="1"/>
  <c r="AI590" i="1"/>
  <c r="W590" i="1"/>
  <c r="K590" i="1"/>
  <c r="L590" i="1" s="1"/>
  <c r="AH590" i="1"/>
  <c r="V590" i="1"/>
  <c r="J590" i="1"/>
  <c r="AS590" i="1"/>
  <c r="AG590" i="1"/>
  <c r="U590" i="1"/>
  <c r="I590" i="1"/>
  <c r="AR590" i="1"/>
  <c r="AF590" i="1"/>
  <c r="T590" i="1"/>
  <c r="H590" i="1"/>
  <c r="AT590" i="1" s="1"/>
  <c r="AQ590" i="1"/>
  <c r="AO590" i="1"/>
  <c r="Q590" i="1"/>
  <c r="E590" i="1"/>
  <c r="AN590" i="1"/>
  <c r="AB590" i="1"/>
  <c r="D590" i="1"/>
  <c r="G590" i="1"/>
  <c r="F590" i="1"/>
  <c r="AP590" i="1"/>
  <c r="AE590" i="1"/>
  <c r="AD590" i="1"/>
  <c r="S590" i="1"/>
  <c r="R590" i="1"/>
  <c r="AQ667" i="1"/>
  <c r="AE667" i="1"/>
  <c r="S667" i="1"/>
  <c r="G667" i="1"/>
  <c r="AP667" i="1"/>
  <c r="AD667" i="1"/>
  <c r="R667" i="1"/>
  <c r="F667" i="1"/>
  <c r="AO667" i="1"/>
  <c r="Q667" i="1"/>
  <c r="E667" i="1"/>
  <c r="AN667" i="1"/>
  <c r="AB667" i="1"/>
  <c r="D667" i="1"/>
  <c r="AK667" i="1"/>
  <c r="V667" i="1"/>
  <c r="AJ667" i="1"/>
  <c r="U667" i="1"/>
  <c r="AY667" i="1"/>
  <c r="AI667" i="1"/>
  <c r="T667" i="1"/>
  <c r="AH667" i="1"/>
  <c r="O667" i="1"/>
  <c r="P667" i="1" s="1"/>
  <c r="AG667" i="1"/>
  <c r="N667" i="1"/>
  <c r="AF667" i="1"/>
  <c r="M667" i="1"/>
  <c r="AA667" i="1"/>
  <c r="K667" i="1"/>
  <c r="L667" i="1" s="1"/>
  <c r="AS667" i="1"/>
  <c r="Z667" i="1"/>
  <c r="J667" i="1"/>
  <c r="AR667" i="1"/>
  <c r="Y667" i="1"/>
  <c r="I667" i="1"/>
  <c r="AM667" i="1"/>
  <c r="X667" i="1"/>
  <c r="H667" i="1"/>
  <c r="AT667" i="1" s="1"/>
  <c r="AL667" i="1"/>
  <c r="W667" i="1"/>
  <c r="AR644" i="1"/>
  <c r="AF644" i="1"/>
  <c r="T644" i="1"/>
  <c r="H644" i="1"/>
  <c r="AT644" i="1" s="1"/>
  <c r="AQ644" i="1"/>
  <c r="AE644" i="1"/>
  <c r="S644" i="1"/>
  <c r="G644" i="1"/>
  <c r="AP644" i="1"/>
  <c r="AD644" i="1"/>
  <c r="R644" i="1"/>
  <c r="F644" i="1"/>
  <c r="AO644" i="1"/>
  <c r="Q644" i="1"/>
  <c r="E644" i="1"/>
  <c r="AN644" i="1"/>
  <c r="AB644" i="1"/>
  <c r="D644" i="1"/>
  <c r="AY644" i="1"/>
  <c r="AM644" i="1"/>
  <c r="AA644" i="1"/>
  <c r="O644" i="1"/>
  <c r="P644" i="1" s="1"/>
  <c r="AL644" i="1"/>
  <c r="Z644" i="1"/>
  <c r="N644" i="1"/>
  <c r="AK644" i="1"/>
  <c r="Y644" i="1"/>
  <c r="M644" i="1"/>
  <c r="AJ644" i="1"/>
  <c r="X644" i="1"/>
  <c r="AI644" i="1"/>
  <c r="W644" i="1"/>
  <c r="K644" i="1"/>
  <c r="L644" i="1" s="1"/>
  <c r="AH644" i="1"/>
  <c r="V644" i="1"/>
  <c r="J644" i="1"/>
  <c r="AS644" i="1"/>
  <c r="AG644" i="1"/>
  <c r="U644" i="1"/>
  <c r="I644" i="1"/>
  <c r="AN634" i="1"/>
  <c r="AB634" i="1"/>
  <c r="D634" i="1"/>
  <c r="AY634" i="1"/>
  <c r="AM634" i="1"/>
  <c r="AA634" i="1"/>
  <c r="O634" i="1"/>
  <c r="P634" i="1" s="1"/>
  <c r="AL634" i="1"/>
  <c r="Z634" i="1"/>
  <c r="N634" i="1"/>
  <c r="AK634" i="1"/>
  <c r="AJ634" i="1"/>
  <c r="X634" i="1"/>
  <c r="AH634" i="1"/>
  <c r="V634" i="1"/>
  <c r="J634" i="1"/>
  <c r="AS634" i="1"/>
  <c r="AG634" i="1"/>
  <c r="U634" i="1"/>
  <c r="I634" i="1"/>
  <c r="W634" i="1"/>
  <c r="T634" i="1"/>
  <c r="AR634" i="1"/>
  <c r="S634" i="1"/>
  <c r="AQ634" i="1"/>
  <c r="R634" i="1"/>
  <c r="AP634" i="1"/>
  <c r="Q634" i="1"/>
  <c r="AO634" i="1"/>
  <c r="M634" i="1"/>
  <c r="AI634" i="1"/>
  <c r="K634" i="1"/>
  <c r="L634" i="1" s="1"/>
  <c r="AF634" i="1"/>
  <c r="H634" i="1"/>
  <c r="AT634" i="1" s="1"/>
  <c r="AE634" i="1"/>
  <c r="G634" i="1"/>
  <c r="AD634" i="1"/>
  <c r="F634" i="1"/>
  <c r="E634" i="1"/>
  <c r="Y634" i="1"/>
  <c r="AK706" i="1"/>
  <c r="Y706" i="1"/>
  <c r="M706" i="1"/>
  <c r="AJ706" i="1"/>
  <c r="X706" i="1"/>
  <c r="AI706" i="1"/>
  <c r="W706" i="1"/>
  <c r="K706" i="1"/>
  <c r="L706" i="1" s="1"/>
  <c r="AH706" i="1"/>
  <c r="V706" i="1"/>
  <c r="J706" i="1"/>
  <c r="AS706" i="1"/>
  <c r="AG706" i="1"/>
  <c r="U706" i="1"/>
  <c r="I706" i="1"/>
  <c r="AR706" i="1"/>
  <c r="AF706" i="1"/>
  <c r="T706" i="1"/>
  <c r="H706" i="1"/>
  <c r="AT706" i="1" s="1"/>
  <c r="AQ706" i="1"/>
  <c r="AE706" i="1"/>
  <c r="S706" i="1"/>
  <c r="G706" i="1"/>
  <c r="AP706" i="1"/>
  <c r="AD706" i="1"/>
  <c r="R706" i="1"/>
  <c r="F706" i="1"/>
  <c r="AO706" i="1"/>
  <c r="Q706" i="1"/>
  <c r="E706" i="1"/>
  <c r="AN706" i="1"/>
  <c r="AB706" i="1"/>
  <c r="D706" i="1"/>
  <c r="AY706" i="1"/>
  <c r="AM706" i="1"/>
  <c r="AA706" i="1"/>
  <c r="O706" i="1"/>
  <c r="P706" i="1" s="1"/>
  <c r="AL706" i="1"/>
  <c r="Z706" i="1"/>
  <c r="N706" i="1"/>
  <c r="AS684" i="1"/>
  <c r="AG684" i="1"/>
  <c r="U684" i="1"/>
  <c r="I684" i="1"/>
  <c r="AR684" i="1"/>
  <c r="AF684" i="1"/>
  <c r="T684" i="1"/>
  <c r="H684" i="1"/>
  <c r="AT684" i="1" s="1"/>
  <c r="AQ684" i="1"/>
  <c r="AE684" i="1"/>
  <c r="S684" i="1"/>
  <c r="G684" i="1"/>
  <c r="AP684" i="1"/>
  <c r="AD684" i="1"/>
  <c r="R684" i="1"/>
  <c r="F684" i="1"/>
  <c r="AO684" i="1"/>
  <c r="Q684" i="1"/>
  <c r="E684" i="1"/>
  <c r="AN684" i="1"/>
  <c r="AB684" i="1"/>
  <c r="D684" i="1"/>
  <c r="AY684" i="1"/>
  <c r="AM684" i="1"/>
  <c r="AA684" i="1"/>
  <c r="O684" i="1"/>
  <c r="P684" i="1" s="1"/>
  <c r="AL684" i="1"/>
  <c r="Z684" i="1"/>
  <c r="N684" i="1"/>
  <c r="AK684" i="1"/>
  <c r="Y684" i="1"/>
  <c r="M684" i="1"/>
  <c r="AJ684" i="1"/>
  <c r="X684" i="1"/>
  <c r="AI684" i="1"/>
  <c r="W684" i="1"/>
  <c r="K684" i="1"/>
  <c r="L684" i="1" s="1"/>
  <c r="AH684" i="1"/>
  <c r="V684" i="1"/>
  <c r="J684" i="1"/>
  <c r="AI709" i="1"/>
  <c r="W709" i="1"/>
  <c r="K709" i="1"/>
  <c r="L709" i="1" s="1"/>
  <c r="AH709" i="1"/>
  <c r="V709" i="1"/>
  <c r="J709" i="1"/>
  <c r="AS709" i="1"/>
  <c r="AG709" i="1"/>
  <c r="U709" i="1"/>
  <c r="I709" i="1"/>
  <c r="AN709" i="1"/>
  <c r="AB709" i="1"/>
  <c r="AQ709" i="1"/>
  <c r="Z709" i="1"/>
  <c r="G709" i="1"/>
  <c r="AP709" i="1"/>
  <c r="Y709" i="1"/>
  <c r="F709" i="1"/>
  <c r="AO709" i="1"/>
  <c r="X709" i="1"/>
  <c r="E709" i="1"/>
  <c r="AM709" i="1"/>
  <c r="T709" i="1"/>
  <c r="D709" i="1"/>
  <c r="AL709" i="1"/>
  <c r="S709" i="1"/>
  <c r="AK709" i="1"/>
  <c r="R709" i="1"/>
  <c r="AJ709" i="1"/>
  <c r="Q709" i="1"/>
  <c r="AY709" i="1"/>
  <c r="AF709" i="1"/>
  <c r="O709" i="1"/>
  <c r="P709" i="1" s="1"/>
  <c r="AE709" i="1"/>
  <c r="N709" i="1"/>
  <c r="AD709" i="1"/>
  <c r="M709" i="1"/>
  <c r="AR709" i="1"/>
  <c r="AA709" i="1"/>
  <c r="H709" i="1"/>
  <c r="AT709" i="1" s="1"/>
  <c r="AY675" i="1"/>
  <c r="AM675" i="1"/>
  <c r="AA675" i="1"/>
  <c r="O675" i="1"/>
  <c r="P675" i="1" s="1"/>
  <c r="AL675" i="1"/>
  <c r="Z675" i="1"/>
  <c r="N675" i="1"/>
  <c r="AK675" i="1"/>
  <c r="Y675" i="1"/>
  <c r="M675" i="1"/>
  <c r="AJ675" i="1"/>
  <c r="X675" i="1"/>
  <c r="AI675" i="1"/>
  <c r="W675" i="1"/>
  <c r="K675" i="1"/>
  <c r="L675" i="1" s="1"/>
  <c r="AH675" i="1"/>
  <c r="V675" i="1"/>
  <c r="J675" i="1"/>
  <c r="AS675" i="1"/>
  <c r="AG675" i="1"/>
  <c r="U675" i="1"/>
  <c r="I675" i="1"/>
  <c r="AR675" i="1"/>
  <c r="AF675" i="1"/>
  <c r="T675" i="1"/>
  <c r="H675" i="1"/>
  <c r="AT675" i="1" s="1"/>
  <c r="AQ675" i="1"/>
  <c r="AE675" i="1"/>
  <c r="S675" i="1"/>
  <c r="G675" i="1"/>
  <c r="AP675" i="1"/>
  <c r="AD675" i="1"/>
  <c r="R675" i="1"/>
  <c r="F675" i="1"/>
  <c r="AO675" i="1"/>
  <c r="Q675" i="1"/>
  <c r="E675" i="1"/>
  <c r="AN675" i="1"/>
  <c r="AB675" i="1"/>
  <c r="D675" i="1"/>
  <c r="AK750" i="1"/>
  <c r="Y750" i="1"/>
  <c r="M750" i="1"/>
  <c r="AJ750" i="1"/>
  <c r="X750" i="1"/>
  <c r="AI750" i="1"/>
  <c r="W750" i="1"/>
  <c r="K750" i="1"/>
  <c r="L750" i="1" s="1"/>
  <c r="AH750" i="1"/>
  <c r="V750" i="1"/>
  <c r="J750" i="1"/>
  <c r="AS750" i="1"/>
  <c r="AG750" i="1"/>
  <c r="U750" i="1"/>
  <c r="I750" i="1"/>
  <c r="AR750" i="1"/>
  <c r="AF750" i="1"/>
  <c r="T750" i="1"/>
  <c r="H750" i="1"/>
  <c r="AT750" i="1" s="1"/>
  <c r="AQ750" i="1"/>
  <c r="AE750" i="1"/>
  <c r="S750" i="1"/>
  <c r="G750" i="1"/>
  <c r="AP750" i="1"/>
  <c r="AD750" i="1"/>
  <c r="R750" i="1"/>
  <c r="F750" i="1"/>
  <c r="AO750" i="1"/>
  <c r="Q750" i="1"/>
  <c r="E750" i="1"/>
  <c r="AN750" i="1"/>
  <c r="AB750" i="1"/>
  <c r="D750" i="1"/>
  <c r="AY750" i="1"/>
  <c r="AM750" i="1"/>
  <c r="AA750" i="1"/>
  <c r="O750" i="1"/>
  <c r="P750" i="1" s="1"/>
  <c r="AL750" i="1"/>
  <c r="Z750" i="1"/>
  <c r="N750" i="1"/>
  <c r="AS734" i="1"/>
  <c r="AG734" i="1"/>
  <c r="U734" i="1"/>
  <c r="I734" i="1"/>
  <c r="AR734" i="1"/>
  <c r="AF734" i="1"/>
  <c r="T734" i="1"/>
  <c r="H734" i="1"/>
  <c r="AT734" i="1" s="1"/>
  <c r="AQ734" i="1"/>
  <c r="AE734" i="1"/>
  <c r="S734" i="1"/>
  <c r="G734" i="1"/>
  <c r="AP734" i="1"/>
  <c r="AD734" i="1"/>
  <c r="R734" i="1"/>
  <c r="F734" i="1"/>
  <c r="AO734" i="1"/>
  <c r="Q734" i="1"/>
  <c r="E734" i="1"/>
  <c r="AN734" i="1"/>
  <c r="AB734" i="1"/>
  <c r="D734" i="1"/>
  <c r="AY734" i="1"/>
  <c r="AM734" i="1"/>
  <c r="AA734" i="1"/>
  <c r="O734" i="1"/>
  <c r="P734" i="1" s="1"/>
  <c r="AL734" i="1"/>
  <c r="Z734" i="1"/>
  <c r="N734" i="1"/>
  <c r="AK734" i="1"/>
  <c r="Y734" i="1"/>
  <c r="M734" i="1"/>
  <c r="AJ734" i="1"/>
  <c r="X734" i="1"/>
  <c r="AI734" i="1"/>
  <c r="W734" i="1"/>
  <c r="K734" i="1"/>
  <c r="L734" i="1" s="1"/>
  <c r="AH734" i="1"/>
  <c r="V734" i="1"/>
  <c r="J734" i="1"/>
  <c r="AO712" i="1"/>
  <c r="Q712" i="1"/>
  <c r="E712" i="1"/>
  <c r="AN712" i="1"/>
  <c r="AB712" i="1"/>
  <c r="D712" i="1"/>
  <c r="AY712" i="1"/>
  <c r="AM712" i="1"/>
  <c r="AA712" i="1"/>
  <c r="O712" i="1"/>
  <c r="P712" i="1" s="1"/>
  <c r="AH712" i="1"/>
  <c r="V712" i="1"/>
  <c r="J712" i="1"/>
  <c r="AG712" i="1"/>
  <c r="R712" i="1"/>
  <c r="AF712" i="1"/>
  <c r="N712" i="1"/>
  <c r="AE712" i="1"/>
  <c r="M712" i="1"/>
  <c r="AD712" i="1"/>
  <c r="AS712" i="1"/>
  <c r="K712" i="1"/>
  <c r="L712" i="1" s="1"/>
  <c r="AR712" i="1"/>
  <c r="Z712" i="1"/>
  <c r="I712" i="1"/>
  <c r="AQ712" i="1"/>
  <c r="Y712" i="1"/>
  <c r="H712" i="1"/>
  <c r="AT712" i="1" s="1"/>
  <c r="AP712" i="1"/>
  <c r="X712" i="1"/>
  <c r="G712" i="1"/>
  <c r="AL712" i="1"/>
  <c r="W712" i="1"/>
  <c r="F712" i="1"/>
  <c r="AK712" i="1"/>
  <c r="U712" i="1"/>
  <c r="AJ712" i="1"/>
  <c r="T712" i="1"/>
  <c r="AI712" i="1"/>
  <c r="S712" i="1"/>
  <c r="AY743" i="1"/>
  <c r="AM743" i="1"/>
  <c r="AA743" i="1"/>
  <c r="O743" i="1"/>
  <c r="P743" i="1" s="1"/>
  <c r="AL743" i="1"/>
  <c r="Z743" i="1"/>
  <c r="N743" i="1"/>
  <c r="AK743" i="1"/>
  <c r="Y743" i="1"/>
  <c r="M743" i="1"/>
  <c r="AJ743" i="1"/>
  <c r="X743" i="1"/>
  <c r="AI743" i="1"/>
  <c r="W743" i="1"/>
  <c r="K743" i="1"/>
  <c r="L743" i="1" s="1"/>
  <c r="AH743" i="1"/>
  <c r="V743" i="1"/>
  <c r="J743" i="1"/>
  <c r="AS743" i="1"/>
  <c r="AG743" i="1"/>
  <c r="U743" i="1"/>
  <c r="I743" i="1"/>
  <c r="AR743" i="1"/>
  <c r="AF743" i="1"/>
  <c r="T743" i="1"/>
  <c r="H743" i="1"/>
  <c r="AT743" i="1" s="1"/>
  <c r="AQ743" i="1"/>
  <c r="AE743" i="1"/>
  <c r="S743" i="1"/>
  <c r="G743" i="1"/>
  <c r="AP743" i="1"/>
  <c r="AD743" i="1"/>
  <c r="R743" i="1"/>
  <c r="F743" i="1"/>
  <c r="AO743" i="1"/>
  <c r="Q743" i="1"/>
  <c r="E743" i="1"/>
  <c r="AN743" i="1"/>
  <c r="AB743" i="1"/>
  <c r="D743" i="1"/>
  <c r="AI775" i="1"/>
  <c r="W775" i="1"/>
  <c r="K775" i="1"/>
  <c r="L775" i="1" s="1"/>
  <c r="AH775" i="1"/>
  <c r="V775" i="1"/>
  <c r="J775" i="1"/>
  <c r="AS775" i="1"/>
  <c r="AG775" i="1"/>
  <c r="U775" i="1"/>
  <c r="I775" i="1"/>
  <c r="AR775" i="1"/>
  <c r="AF775" i="1"/>
  <c r="T775" i="1"/>
  <c r="H775" i="1"/>
  <c r="AT775" i="1" s="1"/>
  <c r="AQ775" i="1"/>
  <c r="AE775" i="1"/>
  <c r="S775" i="1"/>
  <c r="G775" i="1"/>
  <c r="AP775" i="1"/>
  <c r="AD775" i="1"/>
  <c r="R775" i="1"/>
  <c r="F775" i="1"/>
  <c r="AO775" i="1"/>
  <c r="Q775" i="1"/>
  <c r="E775" i="1"/>
  <c r="AN775" i="1"/>
  <c r="AB775" i="1"/>
  <c r="D775" i="1"/>
  <c r="AY775" i="1"/>
  <c r="AM775" i="1"/>
  <c r="AA775" i="1"/>
  <c r="O775" i="1"/>
  <c r="P775" i="1" s="1"/>
  <c r="AL775" i="1"/>
  <c r="Z775" i="1"/>
  <c r="N775" i="1"/>
  <c r="AK775" i="1"/>
  <c r="Y775" i="1"/>
  <c r="M775" i="1"/>
  <c r="AJ775" i="1"/>
  <c r="X775" i="1"/>
  <c r="AQ765" i="1"/>
  <c r="AE765" i="1"/>
  <c r="S765" i="1"/>
  <c r="G765" i="1"/>
  <c r="AP765" i="1"/>
  <c r="AD765" i="1"/>
  <c r="R765" i="1"/>
  <c r="F765" i="1"/>
  <c r="AO765" i="1"/>
  <c r="Q765" i="1"/>
  <c r="E765" i="1"/>
  <c r="AN765" i="1"/>
  <c r="AB765" i="1"/>
  <c r="D765" i="1"/>
  <c r="AY765" i="1"/>
  <c r="AM765" i="1"/>
  <c r="AA765" i="1"/>
  <c r="O765" i="1"/>
  <c r="P765" i="1" s="1"/>
  <c r="AL765" i="1"/>
  <c r="Z765" i="1"/>
  <c r="N765" i="1"/>
  <c r="AK765" i="1"/>
  <c r="Y765" i="1"/>
  <c r="M765" i="1"/>
  <c r="AJ765" i="1"/>
  <c r="X765" i="1"/>
  <c r="AI765" i="1"/>
  <c r="W765" i="1"/>
  <c r="K765" i="1"/>
  <c r="L765" i="1" s="1"/>
  <c r="AH765" i="1"/>
  <c r="V765" i="1"/>
  <c r="J765" i="1"/>
  <c r="AS765" i="1"/>
  <c r="AG765" i="1"/>
  <c r="U765" i="1"/>
  <c r="I765" i="1"/>
  <c r="AR765" i="1"/>
  <c r="AF765" i="1"/>
  <c r="T765" i="1"/>
  <c r="H765" i="1"/>
  <c r="AT765" i="1" s="1"/>
  <c r="AO784" i="1"/>
  <c r="Q784" i="1"/>
  <c r="E784" i="1"/>
  <c r="AN784" i="1"/>
  <c r="AB784" i="1"/>
  <c r="D784" i="1"/>
  <c r="AY784" i="1"/>
  <c r="AM784" i="1"/>
  <c r="AA784" i="1"/>
  <c r="O784" i="1"/>
  <c r="P784" i="1" s="1"/>
  <c r="AL784" i="1"/>
  <c r="Z784" i="1"/>
  <c r="N784" i="1"/>
  <c r="AK784" i="1"/>
  <c r="Y784" i="1"/>
  <c r="M784" i="1"/>
  <c r="AJ784" i="1"/>
  <c r="X784" i="1"/>
  <c r="AI784" i="1"/>
  <c r="W784" i="1"/>
  <c r="K784" i="1"/>
  <c r="L784" i="1" s="1"/>
  <c r="AH784" i="1"/>
  <c r="V784" i="1"/>
  <c r="J784" i="1"/>
  <c r="AS784" i="1"/>
  <c r="AG784" i="1"/>
  <c r="U784" i="1"/>
  <c r="I784" i="1"/>
  <c r="AR784" i="1"/>
  <c r="AF784" i="1"/>
  <c r="T784" i="1"/>
  <c r="H784" i="1"/>
  <c r="AT784" i="1" s="1"/>
  <c r="AQ784" i="1"/>
  <c r="AE784" i="1"/>
  <c r="S784" i="1"/>
  <c r="G784" i="1"/>
  <c r="AP784" i="1"/>
  <c r="AD784" i="1"/>
  <c r="R784" i="1"/>
  <c r="F784" i="1"/>
  <c r="AL817" i="1"/>
  <c r="Z817" i="1"/>
  <c r="N817" i="1"/>
  <c r="AK817" i="1"/>
  <c r="Y817" i="1"/>
  <c r="M817" i="1"/>
  <c r="AJ817" i="1"/>
  <c r="X817" i="1"/>
  <c r="AI817" i="1"/>
  <c r="W817" i="1"/>
  <c r="K817" i="1"/>
  <c r="L817" i="1" s="1"/>
  <c r="AH817" i="1"/>
  <c r="V817" i="1"/>
  <c r="J817" i="1"/>
  <c r="AS817" i="1"/>
  <c r="AG817" i="1"/>
  <c r="U817" i="1"/>
  <c r="I817" i="1"/>
  <c r="AR817" i="1"/>
  <c r="AF817" i="1"/>
  <c r="T817" i="1"/>
  <c r="H817" i="1"/>
  <c r="AT817" i="1" s="1"/>
  <c r="AQ817" i="1"/>
  <c r="AE817" i="1"/>
  <c r="S817" i="1"/>
  <c r="G817" i="1"/>
  <c r="AP817" i="1"/>
  <c r="AD817" i="1"/>
  <c r="R817" i="1"/>
  <c r="F817" i="1"/>
  <c r="AO817" i="1"/>
  <c r="Q817" i="1"/>
  <c r="E817" i="1"/>
  <c r="AN817" i="1"/>
  <c r="AB817" i="1"/>
  <c r="D817" i="1"/>
  <c r="AY817" i="1"/>
  <c r="AM817" i="1"/>
  <c r="AA817" i="1"/>
  <c r="O817" i="1"/>
  <c r="P817" i="1" s="1"/>
  <c r="AP839" i="1"/>
  <c r="AD839" i="1"/>
  <c r="R839" i="1"/>
  <c r="F839" i="1"/>
  <c r="AN839" i="1"/>
  <c r="AB839" i="1"/>
  <c r="D839" i="1"/>
  <c r="AQ839" i="1"/>
  <c r="AA839" i="1"/>
  <c r="M839" i="1"/>
  <c r="AO839" i="1"/>
  <c r="Z839" i="1"/>
  <c r="AM839" i="1"/>
  <c r="Y839" i="1"/>
  <c r="K839" i="1"/>
  <c r="L839" i="1" s="1"/>
  <c r="AL839" i="1"/>
  <c r="X839" i="1"/>
  <c r="J839" i="1"/>
  <c r="AY839" i="1"/>
  <c r="AK839" i="1"/>
  <c r="W839" i="1"/>
  <c r="I839" i="1"/>
  <c r="AJ839" i="1"/>
  <c r="V839" i="1"/>
  <c r="H839" i="1"/>
  <c r="AT839" i="1" s="1"/>
  <c r="AI839" i="1"/>
  <c r="U839" i="1"/>
  <c r="G839" i="1"/>
  <c r="AH839" i="1"/>
  <c r="T839" i="1"/>
  <c r="E839" i="1"/>
  <c r="AG839" i="1"/>
  <c r="S839" i="1"/>
  <c r="AF839" i="1"/>
  <c r="Q839" i="1"/>
  <c r="AS839" i="1"/>
  <c r="AE839" i="1"/>
  <c r="O839" i="1"/>
  <c r="P839" i="1" s="1"/>
  <c r="AR839" i="1"/>
  <c r="N839" i="1"/>
  <c r="AR826" i="1"/>
  <c r="AF826" i="1"/>
  <c r="T826" i="1"/>
  <c r="H826" i="1"/>
  <c r="AT826" i="1" s="1"/>
  <c r="AQ826" i="1"/>
  <c r="AE826" i="1"/>
  <c r="S826" i="1"/>
  <c r="G826" i="1"/>
  <c r="AP826" i="1"/>
  <c r="AD826" i="1"/>
  <c r="R826" i="1"/>
  <c r="F826" i="1"/>
  <c r="AO826" i="1"/>
  <c r="Q826" i="1"/>
  <c r="E826" i="1"/>
  <c r="AN826" i="1"/>
  <c r="AB826" i="1"/>
  <c r="D826" i="1"/>
  <c r="AY826" i="1"/>
  <c r="AM826" i="1"/>
  <c r="AA826" i="1"/>
  <c r="O826" i="1"/>
  <c r="P826" i="1" s="1"/>
  <c r="AL826" i="1"/>
  <c r="Z826" i="1"/>
  <c r="N826" i="1"/>
  <c r="AK826" i="1"/>
  <c r="Y826" i="1"/>
  <c r="M826" i="1"/>
  <c r="AJ826" i="1"/>
  <c r="X826" i="1"/>
  <c r="AI826" i="1"/>
  <c r="W826" i="1"/>
  <c r="K826" i="1"/>
  <c r="L826" i="1" s="1"/>
  <c r="AH826" i="1"/>
  <c r="V826" i="1"/>
  <c r="J826" i="1"/>
  <c r="AS826" i="1"/>
  <c r="AG826" i="1"/>
  <c r="U826" i="1"/>
  <c r="I826" i="1"/>
  <c r="AN810" i="1"/>
  <c r="AB810" i="1"/>
  <c r="D810" i="1"/>
  <c r="AY810" i="1"/>
  <c r="AM810" i="1"/>
  <c r="AA810" i="1"/>
  <c r="O810" i="1"/>
  <c r="P810" i="1" s="1"/>
  <c r="AL810" i="1"/>
  <c r="Z810" i="1"/>
  <c r="N810" i="1"/>
  <c r="AK810" i="1"/>
  <c r="Y810" i="1"/>
  <c r="M810" i="1"/>
  <c r="AJ810" i="1"/>
  <c r="X810" i="1"/>
  <c r="AI810" i="1"/>
  <c r="W810" i="1"/>
  <c r="K810" i="1"/>
  <c r="L810" i="1" s="1"/>
  <c r="AH810" i="1"/>
  <c r="V810" i="1"/>
  <c r="J810" i="1"/>
  <c r="AS810" i="1"/>
  <c r="AG810" i="1"/>
  <c r="U810" i="1"/>
  <c r="I810" i="1"/>
  <c r="AR810" i="1"/>
  <c r="AF810" i="1"/>
  <c r="T810" i="1"/>
  <c r="H810" i="1"/>
  <c r="AT810" i="1" s="1"/>
  <c r="AQ810" i="1"/>
  <c r="AE810" i="1"/>
  <c r="S810" i="1"/>
  <c r="G810" i="1"/>
  <c r="AP810" i="1"/>
  <c r="AD810" i="1"/>
  <c r="R810" i="1"/>
  <c r="F810" i="1"/>
  <c r="AO810" i="1"/>
  <c r="Q810" i="1"/>
  <c r="E810" i="1"/>
  <c r="AJ854" i="1"/>
  <c r="X854" i="1"/>
  <c r="AI854" i="1"/>
  <c r="W854" i="1"/>
  <c r="K854" i="1"/>
  <c r="L854" i="1" s="1"/>
  <c r="AH854" i="1"/>
  <c r="V854" i="1"/>
  <c r="J854" i="1"/>
  <c r="AS854" i="1"/>
  <c r="AG854" i="1"/>
  <c r="U854" i="1"/>
  <c r="I854" i="1"/>
  <c r="AR854" i="1"/>
  <c r="AF854" i="1"/>
  <c r="T854" i="1"/>
  <c r="H854" i="1"/>
  <c r="AT854" i="1" s="1"/>
  <c r="AQ854" i="1"/>
  <c r="AE854" i="1"/>
  <c r="S854" i="1"/>
  <c r="G854" i="1"/>
  <c r="AP854" i="1"/>
  <c r="AD854" i="1"/>
  <c r="R854" i="1"/>
  <c r="F854" i="1"/>
  <c r="AO854" i="1"/>
  <c r="Q854" i="1"/>
  <c r="E854" i="1"/>
  <c r="AN854" i="1"/>
  <c r="AB854" i="1"/>
  <c r="D854" i="1"/>
  <c r="AY854" i="1"/>
  <c r="AM854" i="1"/>
  <c r="AA854" i="1"/>
  <c r="O854" i="1"/>
  <c r="P854" i="1" s="1"/>
  <c r="AL854" i="1"/>
  <c r="Z854" i="1"/>
  <c r="N854" i="1"/>
  <c r="AK854" i="1"/>
  <c r="Y854" i="1"/>
  <c r="M854" i="1"/>
  <c r="AR883" i="1"/>
  <c r="AF883" i="1"/>
  <c r="T883" i="1"/>
  <c r="H883" i="1"/>
  <c r="AT883" i="1" s="1"/>
  <c r="AP883" i="1"/>
  <c r="AD883" i="1"/>
  <c r="R883" i="1"/>
  <c r="F883" i="1"/>
  <c r="AN883" i="1"/>
  <c r="Z883" i="1"/>
  <c r="AM883" i="1"/>
  <c r="Y883" i="1"/>
  <c r="K883" i="1"/>
  <c r="L883" i="1" s="1"/>
  <c r="AL883" i="1"/>
  <c r="X883" i="1"/>
  <c r="J883" i="1"/>
  <c r="AY883" i="1"/>
  <c r="AK883" i="1"/>
  <c r="W883" i="1"/>
  <c r="I883" i="1"/>
  <c r="AJ883" i="1"/>
  <c r="V883" i="1"/>
  <c r="G883" i="1"/>
  <c r="AI883" i="1"/>
  <c r="U883" i="1"/>
  <c r="E883" i="1"/>
  <c r="AH883" i="1"/>
  <c r="S883" i="1"/>
  <c r="D883" i="1"/>
  <c r="AG883" i="1"/>
  <c r="Q883" i="1"/>
  <c r="AE883" i="1"/>
  <c r="AS883" i="1"/>
  <c r="O883" i="1"/>
  <c r="P883" i="1" s="1"/>
  <c r="AQ883" i="1"/>
  <c r="AB883" i="1"/>
  <c r="N883" i="1"/>
  <c r="AO883" i="1"/>
  <c r="AA883" i="1"/>
  <c r="M883" i="1"/>
  <c r="AP869" i="1"/>
  <c r="AD869" i="1"/>
  <c r="R869" i="1"/>
  <c r="F869" i="1"/>
  <c r="AO869" i="1"/>
  <c r="Q869" i="1"/>
  <c r="E869" i="1"/>
  <c r="AN869" i="1"/>
  <c r="AB869" i="1"/>
  <c r="D869" i="1"/>
  <c r="AY869" i="1"/>
  <c r="AM869" i="1"/>
  <c r="AA869" i="1"/>
  <c r="O869" i="1"/>
  <c r="P869" i="1" s="1"/>
  <c r="AL869" i="1"/>
  <c r="Z869" i="1"/>
  <c r="N869" i="1"/>
  <c r="AK869" i="1"/>
  <c r="Y869" i="1"/>
  <c r="M869" i="1"/>
  <c r="AJ869" i="1"/>
  <c r="X869" i="1"/>
  <c r="AI869" i="1"/>
  <c r="W869" i="1"/>
  <c r="K869" i="1"/>
  <c r="L869" i="1" s="1"/>
  <c r="AH869" i="1"/>
  <c r="V869" i="1"/>
  <c r="J869" i="1"/>
  <c r="AS869" i="1"/>
  <c r="AG869" i="1"/>
  <c r="U869" i="1"/>
  <c r="I869" i="1"/>
  <c r="AR869" i="1"/>
  <c r="AF869" i="1"/>
  <c r="T869" i="1"/>
  <c r="H869" i="1"/>
  <c r="AT869" i="1" s="1"/>
  <c r="AQ869" i="1"/>
  <c r="AE869" i="1"/>
  <c r="S869" i="1"/>
  <c r="G869" i="1"/>
  <c r="AL892" i="1"/>
  <c r="Z892" i="1"/>
  <c r="N892" i="1"/>
  <c r="AK892" i="1"/>
  <c r="Y892" i="1"/>
  <c r="M892" i="1"/>
  <c r="AJ892" i="1"/>
  <c r="X892" i="1"/>
  <c r="AI892" i="1"/>
  <c r="W892" i="1"/>
  <c r="K892" i="1"/>
  <c r="L892" i="1" s="1"/>
  <c r="AH892" i="1"/>
  <c r="V892" i="1"/>
  <c r="J892" i="1"/>
  <c r="AS892" i="1"/>
  <c r="AG892" i="1"/>
  <c r="U892" i="1"/>
  <c r="I892" i="1"/>
  <c r="AR892" i="1"/>
  <c r="AF892" i="1"/>
  <c r="T892" i="1"/>
  <c r="H892" i="1"/>
  <c r="AT892" i="1" s="1"/>
  <c r="AQ892" i="1"/>
  <c r="AE892" i="1"/>
  <c r="S892" i="1"/>
  <c r="G892" i="1"/>
  <c r="AN892" i="1"/>
  <c r="AB892" i="1"/>
  <c r="D892" i="1"/>
  <c r="AY892" i="1"/>
  <c r="AM892" i="1"/>
  <c r="AA892" i="1"/>
  <c r="O892" i="1"/>
  <c r="P892" i="1" s="1"/>
  <c r="R892" i="1"/>
  <c r="Q892" i="1"/>
  <c r="F892" i="1"/>
  <c r="E892" i="1"/>
  <c r="AP892" i="1"/>
  <c r="AO892" i="1"/>
  <c r="AD892" i="1"/>
  <c r="AN913" i="1"/>
  <c r="AB913" i="1"/>
  <c r="D913" i="1"/>
  <c r="AL913" i="1"/>
  <c r="Z913" i="1"/>
  <c r="N913" i="1"/>
  <c r="AS913" i="1"/>
  <c r="AG913" i="1"/>
  <c r="AP913" i="1"/>
  <c r="Y913" i="1"/>
  <c r="K913" i="1"/>
  <c r="L913" i="1" s="1"/>
  <c r="AO913" i="1"/>
  <c r="X913" i="1"/>
  <c r="J913" i="1"/>
  <c r="AM913" i="1"/>
  <c r="W913" i="1"/>
  <c r="I913" i="1"/>
  <c r="AK913" i="1"/>
  <c r="V913" i="1"/>
  <c r="H913" i="1"/>
  <c r="AT913" i="1" s="1"/>
  <c r="AY913" i="1"/>
  <c r="AJ913" i="1"/>
  <c r="U913" i="1"/>
  <c r="G913" i="1"/>
  <c r="AI913" i="1"/>
  <c r="T913" i="1"/>
  <c r="F913" i="1"/>
  <c r="AH913" i="1"/>
  <c r="S913" i="1"/>
  <c r="E913" i="1"/>
  <c r="AF913" i="1"/>
  <c r="R913" i="1"/>
  <c r="AE913" i="1"/>
  <c r="Q913" i="1"/>
  <c r="AD913" i="1"/>
  <c r="O913" i="1"/>
  <c r="P913" i="1" s="1"/>
  <c r="AR913" i="1"/>
  <c r="M913" i="1"/>
  <c r="AQ913" i="1"/>
  <c r="AA913" i="1"/>
  <c r="AL914" i="1"/>
  <c r="Z914" i="1"/>
  <c r="N914" i="1"/>
  <c r="AJ914" i="1"/>
  <c r="X914" i="1"/>
  <c r="AQ914" i="1"/>
  <c r="AE914" i="1"/>
  <c r="S914" i="1"/>
  <c r="G914" i="1"/>
  <c r="AM914" i="1"/>
  <c r="V914" i="1"/>
  <c r="F914" i="1"/>
  <c r="AK914" i="1"/>
  <c r="U914" i="1"/>
  <c r="E914" i="1"/>
  <c r="AY914" i="1"/>
  <c r="AI914" i="1"/>
  <c r="T914" i="1"/>
  <c r="D914" i="1"/>
  <c r="AH914" i="1"/>
  <c r="R914" i="1"/>
  <c r="AG914" i="1"/>
  <c r="Q914" i="1"/>
  <c r="AF914" i="1"/>
  <c r="AD914" i="1"/>
  <c r="O914" i="1"/>
  <c r="P914" i="1" s="1"/>
  <c r="AS914" i="1"/>
  <c r="M914" i="1"/>
  <c r="AR914" i="1"/>
  <c r="AB914" i="1"/>
  <c r="K914" i="1"/>
  <c r="L914" i="1" s="1"/>
  <c r="AP914" i="1"/>
  <c r="AA914" i="1"/>
  <c r="J914" i="1"/>
  <c r="AO914" i="1"/>
  <c r="Y914" i="1"/>
  <c r="I914" i="1"/>
  <c r="AN914" i="1"/>
  <c r="W914" i="1"/>
  <c r="H914" i="1"/>
  <c r="AT914" i="1" s="1"/>
  <c r="AJ927" i="1"/>
  <c r="X927" i="1"/>
  <c r="AI927" i="1"/>
  <c r="W927" i="1"/>
  <c r="K927" i="1"/>
  <c r="L927" i="1" s="1"/>
  <c r="AH927" i="1"/>
  <c r="V927" i="1"/>
  <c r="J927" i="1"/>
  <c r="AS927" i="1"/>
  <c r="AG927" i="1"/>
  <c r="U927" i="1"/>
  <c r="I927" i="1"/>
  <c r="AR927" i="1"/>
  <c r="AF927" i="1"/>
  <c r="T927" i="1"/>
  <c r="H927" i="1"/>
  <c r="AT927" i="1" s="1"/>
  <c r="AQ927" i="1"/>
  <c r="AE927" i="1"/>
  <c r="S927" i="1"/>
  <c r="G927" i="1"/>
  <c r="AP927" i="1"/>
  <c r="AD927" i="1"/>
  <c r="R927" i="1"/>
  <c r="F927" i="1"/>
  <c r="AO927" i="1"/>
  <c r="Q927" i="1"/>
  <c r="E927" i="1"/>
  <c r="AN927" i="1"/>
  <c r="AB927" i="1"/>
  <c r="D927" i="1"/>
  <c r="AY927" i="1"/>
  <c r="AM927" i="1"/>
  <c r="AA927" i="1"/>
  <c r="O927" i="1"/>
  <c r="P927" i="1" s="1"/>
  <c r="AL927" i="1"/>
  <c r="Z927" i="1"/>
  <c r="N927" i="1"/>
  <c r="AK927" i="1"/>
  <c r="Y927" i="1"/>
  <c r="M927" i="1"/>
  <c r="AR936" i="1"/>
  <c r="AF936" i="1"/>
  <c r="T936" i="1"/>
  <c r="H936" i="1"/>
  <c r="AT936" i="1" s="1"/>
  <c r="AJ936" i="1"/>
  <c r="W936" i="1"/>
  <c r="J936" i="1"/>
  <c r="AI936" i="1"/>
  <c r="V936" i="1"/>
  <c r="I936" i="1"/>
  <c r="AH936" i="1"/>
  <c r="U936" i="1"/>
  <c r="G936" i="1"/>
  <c r="AG936" i="1"/>
  <c r="S936" i="1"/>
  <c r="F936" i="1"/>
  <c r="AS936" i="1"/>
  <c r="AE936" i="1"/>
  <c r="R936" i="1"/>
  <c r="E936" i="1"/>
  <c r="AQ936" i="1"/>
  <c r="AD936" i="1"/>
  <c r="Q936" i="1"/>
  <c r="D936" i="1"/>
  <c r="AP936" i="1"/>
  <c r="AO936" i="1"/>
  <c r="AB936" i="1"/>
  <c r="O936" i="1"/>
  <c r="P936" i="1" s="1"/>
  <c r="AN936" i="1"/>
  <c r="AA936" i="1"/>
  <c r="N936" i="1"/>
  <c r="AM936" i="1"/>
  <c r="Z936" i="1"/>
  <c r="M936" i="1"/>
  <c r="AY936" i="1"/>
  <c r="AL936" i="1"/>
  <c r="Y936" i="1"/>
  <c r="AK936" i="1"/>
  <c r="X936" i="1"/>
  <c r="K936" i="1"/>
  <c r="L936" i="1" s="1"/>
  <c r="AN944" i="1"/>
  <c r="AB944" i="1"/>
  <c r="D944" i="1"/>
  <c r="AS944" i="1"/>
  <c r="AG944" i="1"/>
  <c r="U944" i="1"/>
  <c r="I944" i="1"/>
  <c r="AH944" i="1"/>
  <c r="S944" i="1"/>
  <c r="E944" i="1"/>
  <c r="AF944" i="1"/>
  <c r="R944" i="1"/>
  <c r="AE944" i="1"/>
  <c r="Q944" i="1"/>
  <c r="AR944" i="1"/>
  <c r="AD944" i="1"/>
  <c r="O944" i="1"/>
  <c r="P944" i="1" s="1"/>
  <c r="AQ944" i="1"/>
  <c r="N944" i="1"/>
  <c r="AP944" i="1"/>
  <c r="AA944" i="1"/>
  <c r="M944" i="1"/>
  <c r="AO944" i="1"/>
  <c r="Z944" i="1"/>
  <c r="AM944" i="1"/>
  <c r="Y944" i="1"/>
  <c r="K944" i="1"/>
  <c r="L944" i="1" s="1"/>
  <c r="AL944" i="1"/>
  <c r="X944" i="1"/>
  <c r="J944" i="1"/>
  <c r="AY944" i="1"/>
  <c r="AK944" i="1"/>
  <c r="W944" i="1"/>
  <c r="H944" i="1"/>
  <c r="AT944" i="1" s="1"/>
  <c r="AJ944" i="1"/>
  <c r="V944" i="1"/>
  <c r="G944" i="1"/>
  <c r="AI944" i="1"/>
  <c r="T944" i="1"/>
  <c r="F944" i="1"/>
  <c r="AH941" i="1"/>
  <c r="V941" i="1"/>
  <c r="J941" i="1"/>
  <c r="AY941" i="1"/>
  <c r="AM941" i="1"/>
  <c r="AA941" i="1"/>
  <c r="O941" i="1"/>
  <c r="P941" i="1" s="1"/>
  <c r="AO941" i="1"/>
  <c r="Z941" i="1"/>
  <c r="AN941" i="1"/>
  <c r="Y941" i="1"/>
  <c r="K941" i="1"/>
  <c r="L941" i="1" s="1"/>
  <c r="AL941" i="1"/>
  <c r="X941" i="1"/>
  <c r="I941" i="1"/>
  <c r="AK941" i="1"/>
  <c r="W941" i="1"/>
  <c r="H941" i="1"/>
  <c r="AT941" i="1" s="1"/>
  <c r="AJ941" i="1"/>
  <c r="U941" i="1"/>
  <c r="G941" i="1"/>
  <c r="AI941" i="1"/>
  <c r="T941" i="1"/>
  <c r="F941" i="1"/>
  <c r="AG941" i="1"/>
  <c r="S941" i="1"/>
  <c r="E941" i="1"/>
  <c r="AF941" i="1"/>
  <c r="R941" i="1"/>
  <c r="D941" i="1"/>
  <c r="AS941" i="1"/>
  <c r="AE941" i="1"/>
  <c r="Q941" i="1"/>
  <c r="AR941" i="1"/>
  <c r="AD941" i="1"/>
  <c r="AQ941" i="1"/>
  <c r="N941" i="1"/>
  <c r="AP941" i="1"/>
  <c r="AB941" i="1"/>
  <c r="M941" i="1"/>
  <c r="AP949" i="1"/>
  <c r="AD949" i="1"/>
  <c r="R949" i="1"/>
  <c r="F949" i="1"/>
  <c r="AO949" i="1"/>
  <c r="Q949" i="1"/>
  <c r="E949" i="1"/>
  <c r="AN949" i="1"/>
  <c r="AB949" i="1"/>
  <c r="D949" i="1"/>
  <c r="AY949" i="1"/>
  <c r="AM949" i="1"/>
  <c r="AA949" i="1"/>
  <c r="O949" i="1"/>
  <c r="P949" i="1" s="1"/>
  <c r="AL949" i="1"/>
  <c r="Z949" i="1"/>
  <c r="N949" i="1"/>
  <c r="AK949" i="1"/>
  <c r="Y949" i="1"/>
  <c r="M949" i="1"/>
  <c r="AJ949" i="1"/>
  <c r="X949" i="1"/>
  <c r="AI949" i="1"/>
  <c r="W949" i="1"/>
  <c r="K949" i="1"/>
  <c r="L949" i="1" s="1"/>
  <c r="AS949" i="1"/>
  <c r="AG949" i="1"/>
  <c r="U949" i="1"/>
  <c r="I949" i="1"/>
  <c r="AR949" i="1"/>
  <c r="AF949" i="1"/>
  <c r="T949" i="1"/>
  <c r="AE949" i="1"/>
  <c r="V949" i="1"/>
  <c r="S949" i="1"/>
  <c r="J949" i="1"/>
  <c r="H949" i="1"/>
  <c r="AT949" i="1" s="1"/>
  <c r="G949" i="1"/>
  <c r="AQ949" i="1"/>
  <c r="AH949" i="1"/>
  <c r="AH1005" i="1"/>
  <c r="V1005" i="1"/>
  <c r="J1005" i="1"/>
  <c r="AP1005" i="1"/>
  <c r="AD1005" i="1"/>
  <c r="R1005" i="1"/>
  <c r="F1005" i="1"/>
  <c r="AO1005" i="1"/>
  <c r="Q1005" i="1"/>
  <c r="E1005" i="1"/>
  <c r="AJ1005" i="1"/>
  <c r="X1005" i="1"/>
  <c r="AI1005" i="1"/>
  <c r="S1005" i="1"/>
  <c r="AY1005" i="1"/>
  <c r="AG1005" i="1"/>
  <c r="AF1005" i="1"/>
  <c r="O1005" i="1"/>
  <c r="P1005" i="1" s="1"/>
  <c r="AE1005" i="1"/>
  <c r="N1005" i="1"/>
  <c r="M1005" i="1"/>
  <c r="AS1005" i="1"/>
  <c r="AB1005" i="1"/>
  <c r="K1005" i="1"/>
  <c r="L1005" i="1" s="1"/>
  <c r="AR1005" i="1"/>
  <c r="AA1005" i="1"/>
  <c r="I1005" i="1"/>
  <c r="AQ1005" i="1"/>
  <c r="Z1005" i="1"/>
  <c r="H1005" i="1"/>
  <c r="AT1005" i="1" s="1"/>
  <c r="AN1005" i="1"/>
  <c r="Y1005" i="1"/>
  <c r="G1005" i="1"/>
  <c r="AM1005" i="1"/>
  <c r="W1005" i="1"/>
  <c r="D1005" i="1"/>
  <c r="AL1005" i="1"/>
  <c r="U1005" i="1"/>
  <c r="AK1005" i="1"/>
  <c r="T1005" i="1"/>
  <c r="AS993" i="1"/>
  <c r="AG993" i="1"/>
  <c r="U993" i="1"/>
  <c r="I993" i="1"/>
  <c r="AR993" i="1"/>
  <c r="AF993" i="1"/>
  <c r="T993" i="1"/>
  <c r="H993" i="1"/>
  <c r="AT993" i="1" s="1"/>
  <c r="AQ993" i="1"/>
  <c r="AE993" i="1"/>
  <c r="S993" i="1"/>
  <c r="G993" i="1"/>
  <c r="AP993" i="1"/>
  <c r="AD993" i="1"/>
  <c r="R993" i="1"/>
  <c r="F993" i="1"/>
  <c r="AO993" i="1"/>
  <c r="Q993" i="1"/>
  <c r="E993" i="1"/>
  <c r="AN993" i="1"/>
  <c r="AB993" i="1"/>
  <c r="D993" i="1"/>
  <c r="AY993" i="1"/>
  <c r="AM993" i="1"/>
  <c r="AA993" i="1"/>
  <c r="O993" i="1"/>
  <c r="P993" i="1" s="1"/>
  <c r="AL993" i="1"/>
  <c r="Z993" i="1"/>
  <c r="N993" i="1"/>
  <c r="AK993" i="1"/>
  <c r="Y993" i="1"/>
  <c r="M993" i="1"/>
  <c r="AJ993" i="1"/>
  <c r="X993" i="1"/>
  <c r="AI993" i="1"/>
  <c r="W993" i="1"/>
  <c r="K993" i="1"/>
  <c r="L993" i="1" s="1"/>
  <c r="AH993" i="1"/>
  <c r="V993" i="1"/>
  <c r="J993" i="1"/>
  <c r="AY972" i="1"/>
  <c r="AM972" i="1"/>
  <c r="AA972" i="1"/>
  <c r="O972" i="1"/>
  <c r="P972" i="1" s="1"/>
  <c r="AH972" i="1"/>
  <c r="V972" i="1"/>
  <c r="J972" i="1"/>
  <c r="AI972" i="1"/>
  <c r="T972" i="1"/>
  <c r="F972" i="1"/>
  <c r="AG972" i="1"/>
  <c r="S972" i="1"/>
  <c r="E972" i="1"/>
  <c r="AF972" i="1"/>
  <c r="R972" i="1"/>
  <c r="D972" i="1"/>
  <c r="AS972" i="1"/>
  <c r="AE972" i="1"/>
  <c r="Q972" i="1"/>
  <c r="AR972" i="1"/>
  <c r="AD972" i="1"/>
  <c r="AQ972" i="1"/>
  <c r="N972" i="1"/>
  <c r="AP972" i="1"/>
  <c r="AB972" i="1"/>
  <c r="M972" i="1"/>
  <c r="AO972" i="1"/>
  <c r="Z972" i="1"/>
  <c r="AN972" i="1"/>
  <c r="Y972" i="1"/>
  <c r="K972" i="1"/>
  <c r="L972" i="1" s="1"/>
  <c r="AL972" i="1"/>
  <c r="X972" i="1"/>
  <c r="I972" i="1"/>
  <c r="AK972" i="1"/>
  <c r="W972" i="1"/>
  <c r="H972" i="1"/>
  <c r="AT972" i="1" s="1"/>
  <c r="AJ972" i="1"/>
  <c r="U972" i="1"/>
  <c r="G972" i="1"/>
  <c r="AH1011" i="1"/>
  <c r="V1011" i="1"/>
  <c r="J1011" i="1"/>
  <c r="AS1011" i="1"/>
  <c r="AG1011" i="1"/>
  <c r="U1011" i="1"/>
  <c r="I1011" i="1"/>
  <c r="AP1011" i="1"/>
  <c r="AD1011" i="1"/>
  <c r="R1011" i="1"/>
  <c r="F1011" i="1"/>
  <c r="AO1011" i="1"/>
  <c r="Q1011" i="1"/>
  <c r="E1011" i="1"/>
  <c r="AN1011" i="1"/>
  <c r="AB1011" i="1"/>
  <c r="D1011" i="1"/>
  <c r="AY1011" i="1"/>
  <c r="AM1011" i="1"/>
  <c r="AA1011" i="1"/>
  <c r="O1011" i="1"/>
  <c r="P1011" i="1" s="1"/>
  <c r="AL1011" i="1"/>
  <c r="Z1011" i="1"/>
  <c r="N1011" i="1"/>
  <c r="AK1011" i="1"/>
  <c r="Y1011" i="1"/>
  <c r="M1011" i="1"/>
  <c r="AJ1011" i="1"/>
  <c r="X1011" i="1"/>
  <c r="S1011" i="1"/>
  <c r="K1011" i="1"/>
  <c r="L1011" i="1" s="1"/>
  <c r="H1011" i="1"/>
  <c r="AT1011" i="1" s="1"/>
  <c r="G1011" i="1"/>
  <c r="AR1011" i="1"/>
  <c r="AQ1011" i="1"/>
  <c r="AI1011" i="1"/>
  <c r="AF1011" i="1"/>
  <c r="AE1011" i="1"/>
  <c r="W1011" i="1"/>
  <c r="T1011" i="1"/>
  <c r="AN1020" i="1"/>
  <c r="AB1020" i="1"/>
  <c r="D1020" i="1"/>
  <c r="AY1020" i="1"/>
  <c r="AM1020" i="1"/>
  <c r="AA1020" i="1"/>
  <c r="O1020" i="1"/>
  <c r="P1020" i="1" s="1"/>
  <c r="AK1020" i="1"/>
  <c r="Y1020" i="1"/>
  <c r="AJ1020" i="1"/>
  <c r="X1020" i="1"/>
  <c r="AI1020" i="1"/>
  <c r="W1020" i="1"/>
  <c r="K1020" i="1"/>
  <c r="L1020" i="1" s="1"/>
  <c r="AH1020" i="1"/>
  <c r="V1020" i="1"/>
  <c r="J1020" i="1"/>
  <c r="AS1020" i="1"/>
  <c r="AG1020" i="1"/>
  <c r="U1020" i="1"/>
  <c r="I1020" i="1"/>
  <c r="AR1020" i="1"/>
  <c r="AF1020" i="1"/>
  <c r="T1020" i="1"/>
  <c r="H1020" i="1"/>
  <c r="AT1020" i="1" s="1"/>
  <c r="AQ1020" i="1"/>
  <c r="AE1020" i="1"/>
  <c r="S1020" i="1"/>
  <c r="G1020" i="1"/>
  <c r="AP1020" i="1"/>
  <c r="AD1020" i="1"/>
  <c r="R1020" i="1"/>
  <c r="F1020" i="1"/>
  <c r="M1020" i="1"/>
  <c r="E1020" i="1"/>
  <c r="AO1020" i="1"/>
  <c r="AL1020" i="1"/>
  <c r="Z1020" i="1"/>
  <c r="Q1020" i="1"/>
  <c r="N1020" i="1"/>
  <c r="AR1038" i="1"/>
  <c r="AF1038" i="1"/>
  <c r="T1038" i="1"/>
  <c r="H1038" i="1"/>
  <c r="AT1038" i="1" s="1"/>
  <c r="AQ1038" i="1"/>
  <c r="AE1038" i="1"/>
  <c r="S1038" i="1"/>
  <c r="G1038" i="1"/>
  <c r="AP1038" i="1"/>
  <c r="AD1038" i="1"/>
  <c r="R1038" i="1"/>
  <c r="F1038" i="1"/>
  <c r="AO1038" i="1"/>
  <c r="Q1038" i="1"/>
  <c r="E1038" i="1"/>
  <c r="AN1038" i="1"/>
  <c r="AB1038" i="1"/>
  <c r="D1038" i="1"/>
  <c r="AY1038" i="1"/>
  <c r="AM1038" i="1"/>
  <c r="AA1038" i="1"/>
  <c r="O1038" i="1"/>
  <c r="P1038" i="1" s="1"/>
  <c r="AL1038" i="1"/>
  <c r="Z1038" i="1"/>
  <c r="N1038" i="1"/>
  <c r="AK1038" i="1"/>
  <c r="Y1038" i="1"/>
  <c r="M1038" i="1"/>
  <c r="AJ1038" i="1"/>
  <c r="X1038" i="1"/>
  <c r="AI1038" i="1"/>
  <c r="W1038" i="1"/>
  <c r="K1038" i="1"/>
  <c r="L1038" i="1" s="1"/>
  <c r="AH1038" i="1"/>
  <c r="V1038" i="1"/>
  <c r="J1038" i="1"/>
  <c r="AG1038" i="1"/>
  <c r="U1038" i="1"/>
  <c r="I1038" i="1"/>
  <c r="AS1038" i="1"/>
  <c r="AI1059" i="1"/>
  <c r="W1059" i="1"/>
  <c r="K1059" i="1"/>
  <c r="L1059" i="1" s="1"/>
  <c r="AH1059" i="1"/>
  <c r="V1059" i="1"/>
  <c r="J1059" i="1"/>
  <c r="AS1059" i="1"/>
  <c r="AG1059" i="1"/>
  <c r="U1059" i="1"/>
  <c r="I1059" i="1"/>
  <c r="AR1059" i="1"/>
  <c r="AF1059" i="1"/>
  <c r="T1059" i="1"/>
  <c r="H1059" i="1"/>
  <c r="AT1059" i="1" s="1"/>
  <c r="AQ1059" i="1"/>
  <c r="AE1059" i="1"/>
  <c r="S1059" i="1"/>
  <c r="G1059" i="1"/>
  <c r="AP1059" i="1"/>
  <c r="AD1059" i="1"/>
  <c r="R1059" i="1"/>
  <c r="F1059" i="1"/>
  <c r="AO1059" i="1"/>
  <c r="Q1059" i="1"/>
  <c r="E1059" i="1"/>
  <c r="AN1059" i="1"/>
  <c r="AB1059" i="1"/>
  <c r="D1059" i="1"/>
  <c r="AY1059" i="1"/>
  <c r="AM1059" i="1"/>
  <c r="AA1059" i="1"/>
  <c r="O1059" i="1"/>
  <c r="P1059" i="1" s="1"/>
  <c r="AL1059" i="1"/>
  <c r="Z1059" i="1"/>
  <c r="N1059" i="1"/>
  <c r="AK1059" i="1"/>
  <c r="Y1059" i="1"/>
  <c r="M1059" i="1"/>
  <c r="AJ1059" i="1"/>
  <c r="X1059" i="1"/>
  <c r="AO1056" i="1"/>
  <c r="Q1056" i="1"/>
  <c r="E1056" i="1"/>
  <c r="AN1056" i="1"/>
  <c r="AB1056" i="1"/>
  <c r="D1056" i="1"/>
  <c r="AY1056" i="1"/>
  <c r="AM1056" i="1"/>
  <c r="AA1056" i="1"/>
  <c r="O1056" i="1"/>
  <c r="P1056" i="1" s="1"/>
  <c r="AL1056" i="1"/>
  <c r="Z1056" i="1"/>
  <c r="N1056" i="1"/>
  <c r="AK1056" i="1"/>
  <c r="Y1056" i="1"/>
  <c r="M1056" i="1"/>
  <c r="AJ1056" i="1"/>
  <c r="X1056" i="1"/>
  <c r="AI1056" i="1"/>
  <c r="W1056" i="1"/>
  <c r="K1056" i="1"/>
  <c r="L1056" i="1" s="1"/>
  <c r="AH1056" i="1"/>
  <c r="V1056" i="1"/>
  <c r="J1056" i="1"/>
  <c r="AS1056" i="1"/>
  <c r="AG1056" i="1"/>
  <c r="U1056" i="1"/>
  <c r="I1056" i="1"/>
  <c r="AR1056" i="1"/>
  <c r="AF1056" i="1"/>
  <c r="T1056" i="1"/>
  <c r="H1056" i="1"/>
  <c r="AT1056" i="1" s="1"/>
  <c r="AQ1056" i="1"/>
  <c r="AE1056" i="1"/>
  <c r="S1056" i="1"/>
  <c r="G1056" i="1"/>
  <c r="AP1056" i="1"/>
  <c r="AD1056" i="1"/>
  <c r="R1056" i="1"/>
  <c r="F1056" i="1"/>
  <c r="AH1080" i="1"/>
  <c r="V1080" i="1"/>
  <c r="J1080" i="1"/>
  <c r="AS1080" i="1"/>
  <c r="AG1080" i="1"/>
  <c r="U1080" i="1"/>
  <c r="I1080" i="1"/>
  <c r="AR1080" i="1"/>
  <c r="AF1080" i="1"/>
  <c r="T1080" i="1"/>
  <c r="H1080" i="1"/>
  <c r="AT1080" i="1" s="1"/>
  <c r="AQ1080" i="1"/>
  <c r="AE1080" i="1"/>
  <c r="S1080" i="1"/>
  <c r="G1080" i="1"/>
  <c r="AP1080" i="1"/>
  <c r="AD1080" i="1"/>
  <c r="R1080" i="1"/>
  <c r="F1080" i="1"/>
  <c r="AO1080" i="1"/>
  <c r="Q1080" i="1"/>
  <c r="E1080" i="1"/>
  <c r="AN1080" i="1"/>
  <c r="AB1080" i="1"/>
  <c r="D1080" i="1"/>
  <c r="AY1080" i="1"/>
  <c r="AM1080" i="1"/>
  <c r="AA1080" i="1"/>
  <c r="O1080" i="1"/>
  <c r="P1080" i="1" s="1"/>
  <c r="AL1080" i="1"/>
  <c r="Z1080" i="1"/>
  <c r="N1080" i="1"/>
  <c r="AK1080" i="1"/>
  <c r="Y1080" i="1"/>
  <c r="M1080" i="1"/>
  <c r="AJ1080" i="1"/>
  <c r="X1080" i="1"/>
  <c r="AI1080" i="1"/>
  <c r="W1080" i="1"/>
  <c r="K1080" i="1"/>
  <c r="L1080" i="1" s="1"/>
  <c r="AH1093" i="1"/>
  <c r="V1093" i="1"/>
  <c r="J1093" i="1"/>
  <c r="AS1093" i="1"/>
  <c r="AG1093" i="1"/>
  <c r="U1093" i="1"/>
  <c r="I1093" i="1"/>
  <c r="AR1093" i="1"/>
  <c r="AF1093" i="1"/>
  <c r="T1093" i="1"/>
  <c r="H1093" i="1"/>
  <c r="AT1093" i="1" s="1"/>
  <c r="AQ1093" i="1"/>
  <c r="AE1093" i="1"/>
  <c r="S1093" i="1"/>
  <c r="G1093" i="1"/>
  <c r="AP1093" i="1"/>
  <c r="AD1093" i="1"/>
  <c r="R1093" i="1"/>
  <c r="F1093" i="1"/>
  <c r="AO1093" i="1"/>
  <c r="Q1093" i="1"/>
  <c r="E1093" i="1"/>
  <c r="AY1093" i="1"/>
  <c r="AM1093" i="1"/>
  <c r="AA1093" i="1"/>
  <c r="AL1093" i="1"/>
  <c r="Z1093" i="1"/>
  <c r="N1093" i="1"/>
  <c r="AK1093" i="1"/>
  <c r="K1093" i="1"/>
  <c r="L1093" i="1" s="1"/>
  <c r="AJ1093" i="1"/>
  <c r="D1093" i="1"/>
  <c r="AI1093" i="1"/>
  <c r="AB1093" i="1"/>
  <c r="Y1093" i="1"/>
  <c r="X1093" i="1"/>
  <c r="W1093" i="1"/>
  <c r="O1093" i="1"/>
  <c r="P1093" i="1" s="1"/>
  <c r="M1093" i="1"/>
  <c r="AN1093" i="1"/>
  <c r="AR1100" i="1"/>
  <c r="AF1100" i="1"/>
  <c r="T1100" i="1"/>
  <c r="H1100" i="1"/>
  <c r="AT1100" i="1" s="1"/>
  <c r="AQ1100" i="1"/>
  <c r="AE1100" i="1"/>
  <c r="S1100" i="1"/>
  <c r="G1100" i="1"/>
  <c r="AP1100" i="1"/>
  <c r="AD1100" i="1"/>
  <c r="R1100" i="1"/>
  <c r="F1100" i="1"/>
  <c r="AO1100" i="1"/>
  <c r="Q1100" i="1"/>
  <c r="E1100" i="1"/>
  <c r="AN1100" i="1"/>
  <c r="AB1100" i="1"/>
  <c r="D1100" i="1"/>
  <c r="AY1100" i="1"/>
  <c r="AM1100" i="1"/>
  <c r="AA1100" i="1"/>
  <c r="O1100" i="1"/>
  <c r="P1100" i="1" s="1"/>
  <c r="AL1100" i="1"/>
  <c r="Z1100" i="1"/>
  <c r="N1100" i="1"/>
  <c r="AK1100" i="1"/>
  <c r="Y1100" i="1"/>
  <c r="M1100" i="1"/>
  <c r="AJ1100" i="1"/>
  <c r="X1100" i="1"/>
  <c r="AI1100" i="1"/>
  <c r="W1100" i="1"/>
  <c r="K1100" i="1"/>
  <c r="L1100" i="1" s="1"/>
  <c r="AH1100" i="1"/>
  <c r="V1100" i="1"/>
  <c r="J1100" i="1"/>
  <c r="AS1100" i="1"/>
  <c r="AG1100" i="1"/>
  <c r="U1100" i="1"/>
  <c r="I1100" i="1"/>
  <c r="AN1112" i="1"/>
  <c r="AB1112" i="1"/>
  <c r="D1112" i="1"/>
  <c r="AL1112" i="1"/>
  <c r="Z1112" i="1"/>
  <c r="N1112" i="1"/>
  <c r="AK1112" i="1"/>
  <c r="Y1112" i="1"/>
  <c r="M1112" i="1"/>
  <c r="AI1112" i="1"/>
  <c r="T1112" i="1"/>
  <c r="E1112" i="1"/>
  <c r="AH1112" i="1"/>
  <c r="S1112" i="1"/>
  <c r="AG1112" i="1"/>
  <c r="R1112" i="1"/>
  <c r="AF1112" i="1"/>
  <c r="Q1112" i="1"/>
  <c r="AE1112" i="1"/>
  <c r="O1112" i="1"/>
  <c r="P1112" i="1" s="1"/>
  <c r="AS1112" i="1"/>
  <c r="AD1112" i="1"/>
  <c r="AR1112" i="1"/>
  <c r="K1112" i="1"/>
  <c r="L1112" i="1" s="1"/>
  <c r="AQ1112" i="1"/>
  <c r="AA1112" i="1"/>
  <c r="J1112" i="1"/>
  <c r="AP1112" i="1"/>
  <c r="X1112" i="1"/>
  <c r="I1112" i="1"/>
  <c r="AO1112" i="1"/>
  <c r="W1112" i="1"/>
  <c r="H1112" i="1"/>
  <c r="AT1112" i="1" s="1"/>
  <c r="AM1112" i="1"/>
  <c r="V1112" i="1"/>
  <c r="G1112" i="1"/>
  <c r="AY1112" i="1"/>
  <c r="AJ1112" i="1"/>
  <c r="U1112" i="1"/>
  <c r="F1112" i="1"/>
  <c r="AO1128" i="1"/>
  <c r="Q1128" i="1"/>
  <c r="E1128" i="1"/>
  <c r="AR1128" i="1"/>
  <c r="AE1128" i="1"/>
  <c r="S1128" i="1"/>
  <c r="F1128" i="1"/>
  <c r="AQ1128" i="1"/>
  <c r="AD1128" i="1"/>
  <c r="R1128" i="1"/>
  <c r="D1128" i="1"/>
  <c r="AP1128" i="1"/>
  <c r="AN1128" i="1"/>
  <c r="AB1128" i="1"/>
  <c r="O1128" i="1"/>
  <c r="P1128" i="1" s="1"/>
  <c r="AM1128" i="1"/>
  <c r="AA1128" i="1"/>
  <c r="N1128" i="1"/>
  <c r="AY1128" i="1"/>
  <c r="AL1128" i="1"/>
  <c r="Z1128" i="1"/>
  <c r="M1128" i="1"/>
  <c r="AK1128" i="1"/>
  <c r="Y1128" i="1"/>
  <c r="AJ1128" i="1"/>
  <c r="X1128" i="1"/>
  <c r="K1128" i="1"/>
  <c r="L1128" i="1" s="1"/>
  <c r="AI1128" i="1"/>
  <c r="W1128" i="1"/>
  <c r="J1128" i="1"/>
  <c r="AH1128" i="1"/>
  <c r="V1128" i="1"/>
  <c r="I1128" i="1"/>
  <c r="AG1128" i="1"/>
  <c r="U1128" i="1"/>
  <c r="H1128" i="1"/>
  <c r="AT1128" i="1" s="1"/>
  <c r="AS1128" i="1"/>
  <c r="AF1128" i="1"/>
  <c r="T1128" i="1"/>
  <c r="G1128" i="1"/>
  <c r="AJ1153" i="1"/>
  <c r="X1153" i="1"/>
  <c r="AI1153" i="1"/>
  <c r="W1153" i="1"/>
  <c r="K1153" i="1"/>
  <c r="L1153" i="1" s="1"/>
  <c r="AH1153" i="1"/>
  <c r="V1153" i="1"/>
  <c r="J1153" i="1"/>
  <c r="AS1153" i="1"/>
  <c r="AG1153" i="1"/>
  <c r="U1153" i="1"/>
  <c r="I1153" i="1"/>
  <c r="AR1153" i="1"/>
  <c r="AF1153" i="1"/>
  <c r="T1153" i="1"/>
  <c r="H1153" i="1"/>
  <c r="AT1153" i="1" s="1"/>
  <c r="AQ1153" i="1"/>
  <c r="AE1153" i="1"/>
  <c r="S1153" i="1"/>
  <c r="G1153" i="1"/>
  <c r="AO1153" i="1"/>
  <c r="Q1153" i="1"/>
  <c r="AN1153" i="1"/>
  <c r="AM1153" i="1"/>
  <c r="O1153" i="1"/>
  <c r="P1153" i="1" s="1"/>
  <c r="AL1153" i="1"/>
  <c r="N1153" i="1"/>
  <c r="AK1153" i="1"/>
  <c r="M1153" i="1"/>
  <c r="AD1153" i="1"/>
  <c r="F1153" i="1"/>
  <c r="E1153" i="1"/>
  <c r="AB1153" i="1"/>
  <c r="D1153" i="1"/>
  <c r="AY1153" i="1"/>
  <c r="AA1153" i="1"/>
  <c r="Z1153" i="1"/>
  <c r="Y1153" i="1"/>
  <c r="AP1153" i="1"/>
  <c r="R1153" i="1"/>
  <c r="AO1140" i="1"/>
  <c r="Q1140" i="1"/>
  <c r="E1140" i="1"/>
  <c r="AN1140" i="1"/>
  <c r="AB1140" i="1"/>
  <c r="D1140" i="1"/>
  <c r="AY1140" i="1"/>
  <c r="AM1140" i="1"/>
  <c r="AA1140" i="1"/>
  <c r="O1140" i="1"/>
  <c r="P1140" i="1" s="1"/>
  <c r="AL1140" i="1"/>
  <c r="Z1140" i="1"/>
  <c r="N1140" i="1"/>
  <c r="AK1140" i="1"/>
  <c r="Y1140" i="1"/>
  <c r="M1140" i="1"/>
  <c r="AJ1140" i="1"/>
  <c r="X1140" i="1"/>
  <c r="AI1140" i="1"/>
  <c r="W1140" i="1"/>
  <c r="K1140" i="1"/>
  <c r="L1140" i="1" s="1"/>
  <c r="AH1140" i="1"/>
  <c r="V1140" i="1"/>
  <c r="J1140" i="1"/>
  <c r="AS1140" i="1"/>
  <c r="AG1140" i="1"/>
  <c r="U1140" i="1"/>
  <c r="I1140" i="1"/>
  <c r="AR1140" i="1"/>
  <c r="AF1140" i="1"/>
  <c r="T1140" i="1"/>
  <c r="H1140" i="1"/>
  <c r="AT1140" i="1" s="1"/>
  <c r="AQ1140" i="1"/>
  <c r="AE1140" i="1"/>
  <c r="S1140" i="1"/>
  <c r="G1140" i="1"/>
  <c r="AP1140" i="1"/>
  <c r="AD1140" i="1"/>
  <c r="R1140" i="1"/>
  <c r="F1140" i="1"/>
  <c r="AR1155" i="1"/>
  <c r="AF1155" i="1"/>
  <c r="T1155" i="1"/>
  <c r="H1155" i="1"/>
  <c r="AT1155" i="1" s="1"/>
  <c r="AQ1155" i="1"/>
  <c r="AE1155" i="1"/>
  <c r="S1155" i="1"/>
  <c r="G1155" i="1"/>
  <c r="AP1155" i="1"/>
  <c r="AD1155" i="1"/>
  <c r="R1155" i="1"/>
  <c r="F1155" i="1"/>
  <c r="AO1155" i="1"/>
  <c r="Q1155" i="1"/>
  <c r="E1155" i="1"/>
  <c r="AN1155" i="1"/>
  <c r="AB1155" i="1"/>
  <c r="D1155" i="1"/>
  <c r="AY1155" i="1"/>
  <c r="AM1155" i="1"/>
  <c r="AA1155" i="1"/>
  <c r="O1155" i="1"/>
  <c r="P1155" i="1" s="1"/>
  <c r="AL1155" i="1"/>
  <c r="Z1155" i="1"/>
  <c r="N1155" i="1"/>
  <c r="AK1155" i="1"/>
  <c r="Y1155" i="1"/>
  <c r="M1155" i="1"/>
  <c r="AG1155" i="1"/>
  <c r="X1155" i="1"/>
  <c r="W1155" i="1"/>
  <c r="V1155" i="1"/>
  <c r="U1155" i="1"/>
  <c r="K1155" i="1"/>
  <c r="L1155" i="1" s="1"/>
  <c r="AS1155" i="1"/>
  <c r="J1155" i="1"/>
  <c r="AJ1155" i="1"/>
  <c r="I1155" i="1"/>
  <c r="AI1155" i="1"/>
  <c r="AH1155" i="1"/>
  <c r="AI1177" i="1"/>
  <c r="W1177" i="1"/>
  <c r="K1177" i="1"/>
  <c r="L1177" i="1" s="1"/>
  <c r="AH1177" i="1"/>
  <c r="V1177" i="1"/>
  <c r="J1177" i="1"/>
  <c r="AS1177" i="1"/>
  <c r="AG1177" i="1"/>
  <c r="U1177" i="1"/>
  <c r="I1177" i="1"/>
  <c r="AR1177" i="1"/>
  <c r="AF1177" i="1"/>
  <c r="T1177" i="1"/>
  <c r="H1177" i="1"/>
  <c r="AT1177" i="1" s="1"/>
  <c r="AQ1177" i="1"/>
  <c r="AE1177" i="1"/>
  <c r="S1177" i="1"/>
  <c r="G1177" i="1"/>
  <c r="AP1177" i="1"/>
  <c r="AD1177" i="1"/>
  <c r="R1177" i="1"/>
  <c r="F1177" i="1"/>
  <c r="AO1177" i="1"/>
  <c r="Q1177" i="1"/>
  <c r="E1177" i="1"/>
  <c r="AN1177" i="1"/>
  <c r="AB1177" i="1"/>
  <c r="D1177" i="1"/>
  <c r="AY1177" i="1"/>
  <c r="AM1177" i="1"/>
  <c r="AA1177" i="1"/>
  <c r="O1177" i="1"/>
  <c r="P1177" i="1" s="1"/>
  <c r="AL1177" i="1"/>
  <c r="Z1177" i="1"/>
  <c r="N1177" i="1"/>
  <c r="AK1177" i="1"/>
  <c r="Y1177" i="1"/>
  <c r="M1177" i="1"/>
  <c r="X1177" i="1"/>
  <c r="AJ1177" i="1"/>
  <c r="AJ1188" i="1"/>
  <c r="X1188" i="1"/>
  <c r="AI1188" i="1"/>
  <c r="W1188" i="1"/>
  <c r="K1188" i="1"/>
  <c r="L1188" i="1" s="1"/>
  <c r="AH1188" i="1"/>
  <c r="V1188" i="1"/>
  <c r="J1188" i="1"/>
  <c r="AS1188" i="1"/>
  <c r="AG1188" i="1"/>
  <c r="U1188" i="1"/>
  <c r="I1188" i="1"/>
  <c r="AR1188" i="1"/>
  <c r="AF1188" i="1"/>
  <c r="T1188" i="1"/>
  <c r="H1188" i="1"/>
  <c r="AT1188" i="1" s="1"/>
  <c r="AQ1188" i="1"/>
  <c r="AE1188" i="1"/>
  <c r="S1188" i="1"/>
  <c r="G1188" i="1"/>
  <c r="AP1188" i="1"/>
  <c r="AD1188" i="1"/>
  <c r="R1188" i="1"/>
  <c r="F1188" i="1"/>
  <c r="AO1188" i="1"/>
  <c r="Q1188" i="1"/>
  <c r="E1188" i="1"/>
  <c r="AN1188" i="1"/>
  <c r="AB1188" i="1"/>
  <c r="D1188" i="1"/>
  <c r="AY1188" i="1"/>
  <c r="AM1188" i="1"/>
  <c r="AA1188" i="1"/>
  <c r="O1188" i="1"/>
  <c r="P1188" i="1" s="1"/>
  <c r="AL1188" i="1"/>
  <c r="AK1188" i="1"/>
  <c r="Z1188" i="1"/>
  <c r="Y1188" i="1"/>
  <c r="N1188" i="1"/>
  <c r="M1188" i="1"/>
  <c r="AN1198" i="1"/>
  <c r="AB1198" i="1"/>
  <c r="D1198" i="1"/>
  <c r="AY1198" i="1"/>
  <c r="AM1198" i="1"/>
  <c r="AA1198" i="1"/>
  <c r="O1198" i="1"/>
  <c r="P1198" i="1" s="1"/>
  <c r="AL1198" i="1"/>
  <c r="Z1198" i="1"/>
  <c r="N1198" i="1"/>
  <c r="AK1198" i="1"/>
  <c r="Y1198" i="1"/>
  <c r="M1198" i="1"/>
  <c r="AJ1198" i="1"/>
  <c r="X1198" i="1"/>
  <c r="AI1198" i="1"/>
  <c r="W1198" i="1"/>
  <c r="K1198" i="1"/>
  <c r="L1198" i="1" s="1"/>
  <c r="AH1198" i="1"/>
  <c r="V1198" i="1"/>
  <c r="J1198" i="1"/>
  <c r="AS1198" i="1"/>
  <c r="AG1198" i="1"/>
  <c r="U1198" i="1"/>
  <c r="I1198" i="1"/>
  <c r="AR1198" i="1"/>
  <c r="AF1198" i="1"/>
  <c r="T1198" i="1"/>
  <c r="H1198" i="1"/>
  <c r="AT1198" i="1" s="1"/>
  <c r="AQ1198" i="1"/>
  <c r="AE1198" i="1"/>
  <c r="S1198" i="1"/>
  <c r="G1198" i="1"/>
  <c r="AP1198" i="1"/>
  <c r="AO1198" i="1"/>
  <c r="AD1198" i="1"/>
  <c r="R1198" i="1"/>
  <c r="Q1198" i="1"/>
  <c r="F1198" i="1"/>
  <c r="E1198" i="1"/>
  <c r="D8" i="1" l="1"/>
  <c r="AY7" i="1"/>
  <c r="AU886" i="1"/>
  <c r="AV886" i="1" s="1"/>
  <c r="AU1177" i="1"/>
  <c r="AV1177" i="1"/>
  <c r="AV1005" i="1"/>
  <c r="AU1005" i="1"/>
  <c r="AU675" i="1"/>
  <c r="AV675" i="1" s="1"/>
  <c r="AU667" i="1"/>
  <c r="AV667" i="1" s="1"/>
  <c r="AU553" i="1"/>
  <c r="AV553" i="1" s="1"/>
  <c r="AU281" i="1"/>
  <c r="AV281" i="1"/>
  <c r="AU229" i="1"/>
  <c r="AV229" i="1"/>
  <c r="AQ41" i="1"/>
  <c r="AU84" i="1"/>
  <c r="AV84" i="1" s="1"/>
  <c r="Z14" i="1"/>
  <c r="AU1091" i="1"/>
  <c r="AV1091" i="1" s="1"/>
  <c r="AU881" i="1"/>
  <c r="AV881" i="1" s="1"/>
  <c r="AV804" i="1"/>
  <c r="AU804" i="1"/>
  <c r="AU811" i="1"/>
  <c r="AV811" i="1" s="1"/>
  <c r="AU737" i="1"/>
  <c r="AV737" i="1" s="1"/>
  <c r="AU381" i="1"/>
  <c r="AV381" i="1" s="1"/>
  <c r="AU105" i="1"/>
  <c r="AV105" i="1" s="1"/>
  <c r="AQ25" i="1"/>
  <c r="AU1085" i="1"/>
  <c r="AV1085" i="1" s="1"/>
  <c r="AU966" i="1"/>
  <c r="AV966" i="1" s="1"/>
  <c r="AV932" i="1"/>
  <c r="AU932" i="1"/>
  <c r="AU763" i="1"/>
  <c r="AV763" i="1"/>
  <c r="AU647" i="1"/>
  <c r="AV647" i="1" s="1"/>
  <c r="AU539" i="1"/>
  <c r="AV539" i="1" s="1"/>
  <c r="AU431" i="1"/>
  <c r="AV431" i="1" s="1"/>
  <c r="AU349" i="1"/>
  <c r="AV349" i="1" s="1"/>
  <c r="AV303" i="1"/>
  <c r="AU303" i="1"/>
  <c r="AU251" i="1"/>
  <c r="AV251" i="1" s="1"/>
  <c r="AU179" i="1"/>
  <c r="AV179" i="1" s="1"/>
  <c r="Z18" i="1"/>
  <c r="AU1137" i="1"/>
  <c r="AV1137" i="1" s="1"/>
  <c r="AV533" i="1"/>
  <c r="AU533" i="1"/>
  <c r="AU211" i="1"/>
  <c r="AV211" i="1"/>
  <c r="Z23" i="1"/>
  <c r="AQ40" i="1"/>
  <c r="AV66" i="1"/>
  <c r="AU66" i="1"/>
  <c r="AU1166" i="1"/>
  <c r="AV1166" i="1" s="1"/>
  <c r="AV1041" i="1"/>
  <c r="AU1041" i="1"/>
  <c r="AV915" i="1"/>
  <c r="AU915" i="1"/>
  <c r="AU719" i="1"/>
  <c r="AV719" i="1" s="1"/>
  <c r="AU363" i="1"/>
  <c r="AV363" i="1"/>
  <c r="AV159" i="1"/>
  <c r="AU159" i="1"/>
  <c r="Z27" i="1"/>
  <c r="Z60" i="1"/>
  <c r="AV1158" i="1"/>
  <c r="AU1158" i="1"/>
  <c r="AU912" i="1"/>
  <c r="AV912" i="1" s="1"/>
  <c r="AU859" i="1"/>
  <c r="AV859" i="1" s="1"/>
  <c r="AU779" i="1"/>
  <c r="AV779" i="1" s="1"/>
  <c r="AU739" i="1"/>
  <c r="AV739" i="1" s="1"/>
  <c r="AU630" i="1"/>
  <c r="AV630" i="1" s="1"/>
  <c r="AV347" i="1"/>
  <c r="AU347" i="1"/>
  <c r="AV285" i="1"/>
  <c r="AU285" i="1"/>
  <c r="AU233" i="1"/>
  <c r="AV233" i="1" s="1"/>
  <c r="AU257" i="1"/>
  <c r="AV257" i="1"/>
  <c r="AU275" i="1"/>
  <c r="AV275" i="1" s="1"/>
  <c r="AU1023" i="1"/>
  <c r="AV1023" i="1" s="1"/>
  <c r="AU992" i="1"/>
  <c r="AV992" i="1" s="1"/>
  <c r="AU980" i="1"/>
  <c r="AV980" i="1" s="1"/>
  <c r="AU610" i="1"/>
  <c r="AV610" i="1"/>
  <c r="AU518" i="1"/>
  <c r="AV518" i="1" s="1"/>
  <c r="AV479" i="1"/>
  <c r="AU479" i="1"/>
  <c r="AU397" i="1"/>
  <c r="AV397" i="1" s="1"/>
  <c r="Z32" i="1"/>
  <c r="AU48" i="1"/>
  <c r="AV48" i="1" s="1"/>
  <c r="AQ13" i="1"/>
  <c r="AU1119" i="1"/>
  <c r="AV1119" i="1" s="1"/>
  <c r="AV1057" i="1"/>
  <c r="AU1057" i="1"/>
  <c r="AU1048" i="1"/>
  <c r="AV1048" i="1" s="1"/>
  <c r="AV994" i="1"/>
  <c r="AU994" i="1"/>
  <c r="AU757" i="1"/>
  <c r="AV757" i="1" s="1"/>
  <c r="AV705" i="1"/>
  <c r="AU705" i="1"/>
  <c r="AU695" i="1"/>
  <c r="AV695" i="1"/>
  <c r="AV414" i="1"/>
  <c r="AU414" i="1"/>
  <c r="AU311" i="1"/>
  <c r="AV311" i="1"/>
  <c r="AV141" i="1"/>
  <c r="AU141" i="1"/>
  <c r="AU1141" i="1"/>
  <c r="AV1141" i="1" s="1"/>
  <c r="AV996" i="1"/>
  <c r="AU996" i="1"/>
  <c r="AU753" i="1"/>
  <c r="AV753" i="1" s="1"/>
  <c r="AU721" i="1"/>
  <c r="AV721" i="1"/>
  <c r="AU267" i="1"/>
  <c r="AV267" i="1" s="1"/>
  <c r="AU215" i="1"/>
  <c r="AV215" i="1" s="1"/>
  <c r="AU263" i="1"/>
  <c r="AV263" i="1"/>
  <c r="AQ65" i="1"/>
  <c r="AU1135" i="1"/>
  <c r="AV1135" i="1" s="1"/>
  <c r="AU1133" i="1"/>
  <c r="AV1133" i="1"/>
  <c r="AU1045" i="1"/>
  <c r="AV1045" i="1" s="1"/>
  <c r="AU990" i="1"/>
  <c r="AV990" i="1" s="1"/>
  <c r="AU891" i="1"/>
  <c r="AV891" i="1" s="1"/>
  <c r="AU405" i="1"/>
  <c r="AV405" i="1" s="1"/>
  <c r="AU209" i="1"/>
  <c r="AV209" i="1" s="1"/>
  <c r="AU193" i="1"/>
  <c r="AV193" i="1"/>
  <c r="AQ59" i="1"/>
  <c r="AV880" i="1"/>
  <c r="AU880" i="1"/>
  <c r="AU829" i="1"/>
  <c r="AV829" i="1" s="1"/>
  <c r="AU399" i="1"/>
  <c r="AV399" i="1"/>
  <c r="AV271" i="1"/>
  <c r="AU271" i="1"/>
  <c r="AU203" i="1"/>
  <c r="AV203" i="1" s="1"/>
  <c r="AQ53" i="1"/>
  <c r="AU1194" i="1"/>
  <c r="AV1194" i="1" s="1"/>
  <c r="AU1138" i="1"/>
  <c r="AV1138" i="1" s="1"/>
  <c r="AV1062" i="1"/>
  <c r="AU1062" i="1"/>
  <c r="AU923" i="1"/>
  <c r="AV923" i="1"/>
  <c r="AV875" i="1"/>
  <c r="AU875" i="1"/>
  <c r="AV887" i="1"/>
  <c r="AU887" i="1"/>
  <c r="AU832" i="1"/>
  <c r="AV832" i="1" s="1"/>
  <c r="AU718" i="1"/>
  <c r="AV718" i="1" s="1"/>
  <c r="AV650" i="1"/>
  <c r="AU650" i="1"/>
  <c r="AU612" i="1"/>
  <c r="AV612" i="1" s="1"/>
  <c r="AV587" i="1"/>
  <c r="AU587" i="1"/>
  <c r="AV513" i="1"/>
  <c r="AU513" i="1"/>
  <c r="AU438" i="1"/>
  <c r="AV438" i="1" s="1"/>
  <c r="AU220" i="1"/>
  <c r="AV220" i="1" s="1"/>
  <c r="AU175" i="1"/>
  <c r="AV175" i="1" s="1"/>
  <c r="AU102" i="1"/>
  <c r="AV102" i="1" s="1"/>
  <c r="AV64" i="1"/>
  <c r="AU64" i="1"/>
  <c r="AV57" i="1"/>
  <c r="AU57" i="1"/>
  <c r="Z11" i="1"/>
  <c r="AV949" i="1"/>
  <c r="AU949" i="1"/>
  <c r="AU1198" i="1"/>
  <c r="AV1198" i="1" s="1"/>
  <c r="AU1112" i="1"/>
  <c r="AV1112" i="1" s="1"/>
  <c r="AU1020" i="1"/>
  <c r="AV1020" i="1" s="1"/>
  <c r="AU810" i="1"/>
  <c r="AV810" i="1" s="1"/>
  <c r="AU839" i="1"/>
  <c r="AV839" i="1" s="1"/>
  <c r="AV338" i="1"/>
  <c r="AU338" i="1"/>
  <c r="AU180" i="1"/>
  <c r="AV180" i="1" s="1"/>
  <c r="AU1175" i="1"/>
  <c r="AV1175" i="1" s="1"/>
  <c r="AU1065" i="1"/>
  <c r="AV1065" i="1" s="1"/>
  <c r="AU1052" i="1"/>
  <c r="AV1052" i="1"/>
  <c r="AV534" i="1"/>
  <c r="AU534" i="1"/>
  <c r="AU472" i="1"/>
  <c r="AV472" i="1" s="1"/>
  <c r="AU332" i="1"/>
  <c r="AV332" i="1" s="1"/>
  <c r="AV158" i="1"/>
  <c r="AU158" i="1"/>
  <c r="AQ46" i="1"/>
  <c r="AQ39" i="1"/>
  <c r="AV878" i="1"/>
  <c r="AU878" i="1"/>
  <c r="AU328" i="1"/>
  <c r="AV328" i="1"/>
  <c r="AV196" i="1"/>
  <c r="AU196" i="1"/>
  <c r="AU40" i="1"/>
  <c r="AV40" i="1" s="1"/>
  <c r="AQ61" i="1"/>
  <c r="AU1191" i="1"/>
  <c r="AV1191" i="1" s="1"/>
  <c r="AV1180" i="1"/>
  <c r="AU1180" i="1"/>
  <c r="AU1130" i="1"/>
  <c r="AV1130" i="1" s="1"/>
  <c r="AV876" i="1"/>
  <c r="AU876" i="1"/>
  <c r="AU454" i="1"/>
  <c r="AV454" i="1" s="1"/>
  <c r="AQ9" i="1"/>
  <c r="AU1185" i="1"/>
  <c r="AV1185" i="1" s="1"/>
  <c r="AU1027" i="1"/>
  <c r="AV1027" i="1" s="1"/>
  <c r="AU938" i="1"/>
  <c r="AV938" i="1" s="1"/>
  <c r="AU919" i="1"/>
  <c r="AV919" i="1" s="1"/>
  <c r="AU523" i="1"/>
  <c r="AV523" i="1" s="1"/>
  <c r="AU536" i="1"/>
  <c r="AV536" i="1" s="1"/>
  <c r="AU140" i="1"/>
  <c r="AV140" i="1" s="1"/>
  <c r="AV83" i="1"/>
  <c r="AU83" i="1"/>
  <c r="AQ21" i="1"/>
  <c r="AU1150" i="1"/>
  <c r="AV1150" i="1" s="1"/>
  <c r="AU1034" i="1"/>
  <c r="AV1034" i="1" s="1"/>
  <c r="AU962" i="1"/>
  <c r="AV962" i="1" s="1"/>
  <c r="AU576" i="1"/>
  <c r="AV576" i="1" s="1"/>
  <c r="AQ43" i="1"/>
  <c r="AV924" i="1"/>
  <c r="AU924" i="1"/>
  <c r="AU903" i="1"/>
  <c r="AV903" i="1" s="1"/>
  <c r="AV858" i="1"/>
  <c r="AU858" i="1"/>
  <c r="AV631" i="1"/>
  <c r="AU631" i="1"/>
  <c r="AV436" i="1"/>
  <c r="AU436" i="1"/>
  <c r="AU26" i="1"/>
  <c r="AV26" i="1"/>
  <c r="AU625" i="1"/>
  <c r="AV625" i="1" s="1"/>
  <c r="AU505" i="1"/>
  <c r="AV505" i="1" s="1"/>
  <c r="AU65" i="1"/>
  <c r="AV65" i="1" s="1"/>
  <c r="AU109" i="1"/>
  <c r="AV109" i="1" s="1"/>
  <c r="AV1070" i="1"/>
  <c r="AU1070" i="1"/>
  <c r="AU974" i="1"/>
  <c r="AV974" i="1" s="1"/>
  <c r="AU946" i="1"/>
  <c r="AV946" i="1" s="1"/>
  <c r="AU499" i="1"/>
  <c r="AV499" i="1" s="1"/>
  <c r="AU59" i="1"/>
  <c r="AV59" i="1" s="1"/>
  <c r="AU1168" i="1"/>
  <c r="AV1168" i="1" s="1"/>
  <c r="AU1067" i="1"/>
  <c r="AV1067" i="1" s="1"/>
  <c r="AV1015" i="1"/>
  <c r="AU1015" i="1"/>
  <c r="AU53" i="1"/>
  <c r="AV53" i="1" s="1"/>
  <c r="AV1182" i="1"/>
  <c r="AU1182" i="1"/>
  <c r="AV947" i="1"/>
  <c r="AU947" i="1"/>
  <c r="AU433" i="1"/>
  <c r="AV433" i="1" s="1"/>
  <c r="AV386" i="1"/>
  <c r="AU386" i="1"/>
  <c r="AU1155" i="1"/>
  <c r="AV1155" i="1" s="1"/>
  <c r="AV1140" i="1"/>
  <c r="AU1140" i="1"/>
  <c r="AV914" i="1"/>
  <c r="AU914" i="1"/>
  <c r="AV913" i="1"/>
  <c r="AU913" i="1"/>
  <c r="AU784" i="1"/>
  <c r="AV784" i="1" s="1"/>
  <c r="AU709" i="1"/>
  <c r="AV709" i="1" s="1"/>
  <c r="AU684" i="1"/>
  <c r="AV684" i="1" s="1"/>
  <c r="AV516" i="1"/>
  <c r="AU516" i="1"/>
  <c r="AV497" i="1"/>
  <c r="AU497" i="1"/>
  <c r="AV378" i="1"/>
  <c r="AU378" i="1"/>
  <c r="AU264" i="1"/>
  <c r="AV264" i="1" s="1"/>
  <c r="AV225" i="1"/>
  <c r="AU225" i="1"/>
  <c r="AU218" i="1"/>
  <c r="AV218" i="1" s="1"/>
  <c r="AV168" i="1"/>
  <c r="AU168" i="1"/>
  <c r="Z58" i="1"/>
  <c r="AQ68" i="1"/>
  <c r="AV79" i="1"/>
  <c r="AU79" i="1"/>
  <c r="AQ14" i="1"/>
  <c r="AQ19" i="1"/>
  <c r="AV1172" i="1"/>
  <c r="AU1172" i="1"/>
  <c r="AU1149" i="1"/>
  <c r="AV1149" i="1" s="1"/>
  <c r="AV1094" i="1"/>
  <c r="AU1094" i="1"/>
  <c r="AV1103" i="1"/>
  <c r="AU1103" i="1"/>
  <c r="AV969" i="1"/>
  <c r="AU969" i="1"/>
  <c r="AU747" i="1"/>
  <c r="AV747" i="1" s="1"/>
  <c r="AV728" i="1"/>
  <c r="AU728" i="1"/>
  <c r="AU562" i="1"/>
  <c r="AV562" i="1" s="1"/>
  <c r="AV416" i="1"/>
  <c r="AU416" i="1"/>
  <c r="AV371" i="1"/>
  <c r="AU371" i="1"/>
  <c r="AV376" i="1"/>
  <c r="AU376" i="1"/>
  <c r="AU325" i="1"/>
  <c r="AV325" i="1" s="1"/>
  <c r="Z45" i="1"/>
  <c r="Z25" i="1"/>
  <c r="AU1104" i="1"/>
  <c r="AV1104" i="1" s="1"/>
  <c r="AV1026" i="1"/>
  <c r="AU1026" i="1"/>
  <c r="AV981" i="1"/>
  <c r="AU981" i="1"/>
  <c r="AV902" i="1"/>
  <c r="AU902" i="1"/>
  <c r="AU857" i="1"/>
  <c r="AV857" i="1" s="1"/>
  <c r="AV814" i="1"/>
  <c r="AU814" i="1"/>
  <c r="AU594" i="1"/>
  <c r="AV594" i="1" s="1"/>
  <c r="AV582" i="1"/>
  <c r="AU582" i="1"/>
  <c r="AV542" i="1"/>
  <c r="AU542" i="1"/>
  <c r="AV477" i="1"/>
  <c r="AU477" i="1"/>
  <c r="AU482" i="1"/>
  <c r="AV482" i="1" s="1"/>
  <c r="AV495" i="1"/>
  <c r="AU495" i="1"/>
  <c r="AU202" i="1"/>
  <c r="AV202" i="1" s="1"/>
  <c r="AV184" i="1"/>
  <c r="AU184" i="1"/>
  <c r="AV46" i="1"/>
  <c r="AU46" i="1"/>
  <c r="AV39" i="1"/>
  <c r="AU39" i="1"/>
  <c r="Z67" i="1"/>
  <c r="AQ18" i="1"/>
  <c r="AV1116" i="1"/>
  <c r="AU1116" i="1"/>
  <c r="AU989" i="1"/>
  <c r="AV989" i="1" s="1"/>
  <c r="AV942" i="1"/>
  <c r="AU942" i="1"/>
  <c r="AV766" i="1"/>
  <c r="AU766" i="1"/>
  <c r="AV691" i="1"/>
  <c r="AU691" i="1"/>
  <c r="AU566" i="1"/>
  <c r="AV566" i="1" s="1"/>
  <c r="AV498" i="1"/>
  <c r="AU498" i="1"/>
  <c r="AU486" i="1"/>
  <c r="AV486" i="1" s="1"/>
  <c r="AV494" i="1"/>
  <c r="AU494" i="1"/>
  <c r="AV360" i="1"/>
  <c r="AU360" i="1"/>
  <c r="AV314" i="1"/>
  <c r="AU314" i="1"/>
  <c r="AU207" i="1"/>
  <c r="AV207" i="1" s="1"/>
  <c r="AV200" i="1"/>
  <c r="AU200" i="1"/>
  <c r="AU163" i="1"/>
  <c r="AV163" i="1" s="1"/>
  <c r="AV150" i="1"/>
  <c r="AU150" i="1"/>
  <c r="Z40" i="1"/>
  <c r="AQ50" i="1"/>
  <c r="AV61" i="1"/>
  <c r="AU61" i="1"/>
  <c r="AQ28" i="1"/>
  <c r="AV1050" i="1"/>
  <c r="AU1050" i="1"/>
  <c r="AU1029" i="1"/>
  <c r="AV1029" i="1"/>
  <c r="AV964" i="1"/>
  <c r="AU964" i="1"/>
  <c r="AV824" i="1"/>
  <c r="AU824" i="1"/>
  <c r="AV729" i="1"/>
  <c r="AU729" i="1"/>
  <c r="AU636" i="1"/>
  <c r="AV636" i="1" s="1"/>
  <c r="AV613" i="1"/>
  <c r="AU613" i="1"/>
  <c r="AU544" i="1"/>
  <c r="AV544" i="1" s="1"/>
  <c r="AV353" i="1"/>
  <c r="AU353" i="1"/>
  <c r="AV358" i="1"/>
  <c r="AU358" i="1"/>
  <c r="AV307" i="1"/>
  <c r="AU307" i="1"/>
  <c r="AU312" i="1"/>
  <c r="AV312" i="1" s="1"/>
  <c r="AV190" i="1"/>
  <c r="AU190" i="1"/>
  <c r="AU166" i="1"/>
  <c r="AV166" i="1" s="1"/>
  <c r="AV9" i="1"/>
  <c r="AU9" i="1"/>
  <c r="AU1131" i="1"/>
  <c r="AV1131" i="1" s="1"/>
  <c r="AV917" i="1"/>
  <c r="AU917" i="1"/>
  <c r="AU833" i="1"/>
  <c r="AV833" i="1" s="1"/>
  <c r="AV754" i="1"/>
  <c r="AU754" i="1"/>
  <c r="AU782" i="1"/>
  <c r="AV782" i="1" s="1"/>
  <c r="AV692" i="1"/>
  <c r="AU692" i="1"/>
  <c r="AV651" i="1"/>
  <c r="AU651" i="1"/>
  <c r="AV632" i="1"/>
  <c r="AU632" i="1"/>
  <c r="AU585" i="1"/>
  <c r="AV585" i="1" s="1"/>
  <c r="AV459" i="1"/>
  <c r="AU459" i="1"/>
  <c r="AU464" i="1"/>
  <c r="AV464" i="1" s="1"/>
  <c r="AV21" i="1"/>
  <c r="AU21" i="1"/>
  <c r="Z49" i="1"/>
  <c r="AV1196" i="1"/>
  <c r="AU1196" i="1"/>
  <c r="AU911" i="1"/>
  <c r="AV911" i="1" s="1"/>
  <c r="AV874" i="1"/>
  <c r="AU874" i="1"/>
  <c r="AU748" i="1"/>
  <c r="AV748" i="1" s="1"/>
  <c r="AV714" i="1"/>
  <c r="AU714" i="1"/>
  <c r="AV673" i="1"/>
  <c r="AU673" i="1"/>
  <c r="AV617" i="1"/>
  <c r="AU617" i="1"/>
  <c r="AU548" i="1"/>
  <c r="AV548" i="1" s="1"/>
  <c r="AV468" i="1"/>
  <c r="AU468" i="1"/>
  <c r="AU296" i="1"/>
  <c r="AV296" i="1" s="1"/>
  <c r="AV250" i="1"/>
  <c r="AU250" i="1"/>
  <c r="AV182" i="1"/>
  <c r="AU182" i="1"/>
  <c r="AV145" i="1"/>
  <c r="AU145" i="1"/>
  <c r="AU132" i="1"/>
  <c r="AV132" i="1" s="1"/>
  <c r="AV94" i="1"/>
  <c r="AU94" i="1"/>
  <c r="AU87" i="1"/>
  <c r="AV87" i="1" s="1"/>
  <c r="AV43" i="1"/>
  <c r="AU43" i="1"/>
  <c r="AQ10" i="1"/>
  <c r="AU1167" i="1"/>
  <c r="AV1167" i="1" s="1"/>
  <c r="AV1006" i="1"/>
  <c r="AU1006" i="1"/>
  <c r="AV848" i="1"/>
  <c r="AU848" i="1"/>
  <c r="AV806" i="1"/>
  <c r="AU806" i="1"/>
  <c r="AU661" i="1"/>
  <c r="AV661" i="1" s="1"/>
  <c r="AU595" i="1"/>
  <c r="AV595" i="1" s="1"/>
  <c r="AU563" i="1"/>
  <c r="AV563" i="1" s="1"/>
  <c r="AU527" i="1"/>
  <c r="AV527" i="1" s="1"/>
  <c r="AV340" i="1"/>
  <c r="AU340" i="1"/>
  <c r="AV289" i="1"/>
  <c r="AU289" i="1"/>
  <c r="AU294" i="1"/>
  <c r="AV294" i="1" s="1"/>
  <c r="AU248" i="1"/>
  <c r="AV248" i="1" s="1"/>
  <c r="AU183" i="1"/>
  <c r="AV183" i="1" s="1"/>
  <c r="AV148" i="1"/>
  <c r="AU148" i="1"/>
  <c r="AU16" i="1"/>
  <c r="AV16" i="1" s="1"/>
  <c r="AV1152" i="1"/>
  <c r="AU1152" i="1"/>
  <c r="AU1105" i="1"/>
  <c r="AV1105" i="1" s="1"/>
  <c r="AU1051" i="1"/>
  <c r="AV1051" i="1" s="1"/>
  <c r="AU1039" i="1"/>
  <c r="AV1039" i="1" s="1"/>
  <c r="AV988" i="1"/>
  <c r="AU988" i="1"/>
  <c r="AV899" i="1"/>
  <c r="AU899" i="1"/>
  <c r="AV815" i="1"/>
  <c r="AU815" i="1"/>
  <c r="AU789" i="1"/>
  <c r="AV789" i="1" s="1"/>
  <c r="AU764" i="1"/>
  <c r="AV764" i="1" s="1"/>
  <c r="AU674" i="1"/>
  <c r="AV674" i="1" s="1"/>
  <c r="AV441" i="1"/>
  <c r="AU441" i="1"/>
  <c r="AV446" i="1"/>
  <c r="AU446" i="1"/>
  <c r="AV401" i="1"/>
  <c r="AU401" i="1"/>
  <c r="AU406" i="1"/>
  <c r="AV406" i="1" s="1"/>
  <c r="AU1156" i="1"/>
  <c r="AV1156" i="1" s="1"/>
  <c r="AU1033" i="1"/>
  <c r="AV1033" i="1" s="1"/>
  <c r="AV1042" i="1"/>
  <c r="AU1042" i="1"/>
  <c r="AV872" i="1"/>
  <c r="AU872" i="1"/>
  <c r="AV809" i="1"/>
  <c r="AU809" i="1"/>
  <c r="AU783" i="1"/>
  <c r="AV783" i="1" s="1"/>
  <c r="AU752" i="1"/>
  <c r="AV752" i="1"/>
  <c r="AU654" i="1"/>
  <c r="AV654" i="1" s="1"/>
  <c r="AV435" i="1"/>
  <c r="AU435" i="1"/>
  <c r="AV440" i="1"/>
  <c r="AU440" i="1"/>
  <c r="AV395" i="1"/>
  <c r="AU395" i="1"/>
  <c r="AU400" i="1"/>
  <c r="AV400" i="1" s="1"/>
  <c r="AU1184" i="1"/>
  <c r="AV1184" i="1" s="1"/>
  <c r="AU1109" i="1"/>
  <c r="AV1109" i="1" s="1"/>
  <c r="AV1036" i="1"/>
  <c r="AU1036" i="1"/>
  <c r="AV961" i="1"/>
  <c r="AU961" i="1"/>
  <c r="AV866" i="1"/>
  <c r="AU866" i="1"/>
  <c r="AU777" i="1"/>
  <c r="AV777" i="1" s="1"/>
  <c r="AU746" i="1"/>
  <c r="AV746" i="1" s="1"/>
  <c r="AU662" i="1"/>
  <c r="AV662" i="1" s="1"/>
  <c r="AV648" i="1"/>
  <c r="AU648" i="1"/>
  <c r="AV429" i="1"/>
  <c r="AU429" i="1"/>
  <c r="AV434" i="1"/>
  <c r="AU434" i="1"/>
  <c r="AU389" i="1"/>
  <c r="AV389" i="1" s="1"/>
  <c r="AU394" i="1"/>
  <c r="AV394" i="1" s="1"/>
  <c r="AU272" i="1"/>
  <c r="AV272" i="1" s="1"/>
  <c r="Z63" i="1"/>
  <c r="AQ5" i="1"/>
  <c r="AV1097" i="1"/>
  <c r="AU1097" i="1"/>
  <c r="AU978" i="1"/>
  <c r="AV978" i="1"/>
  <c r="AV823" i="1"/>
  <c r="AU823" i="1"/>
  <c r="AV749" i="1"/>
  <c r="AU749" i="1"/>
  <c r="AU759" i="1"/>
  <c r="AV759" i="1" s="1"/>
  <c r="AU393" i="1"/>
  <c r="AV393" i="1"/>
  <c r="AU345" i="1"/>
  <c r="AV345" i="1" s="1"/>
  <c r="AU197" i="1"/>
  <c r="AV197" i="1" s="1"/>
  <c r="AQ47" i="1"/>
  <c r="AV750" i="1"/>
  <c r="AU750" i="1"/>
  <c r="AU342" i="1"/>
  <c r="AV342" i="1" s="1"/>
  <c r="AU41" i="1"/>
  <c r="AV41" i="1" s="1"/>
  <c r="AV68" i="1"/>
  <c r="AU68" i="1"/>
  <c r="AU906" i="1"/>
  <c r="AV906" i="1" s="1"/>
  <c r="AU609" i="1"/>
  <c r="AV609" i="1" s="1"/>
  <c r="AU268" i="1"/>
  <c r="AV268" i="1" s="1"/>
  <c r="AV210" i="1"/>
  <c r="AU210" i="1"/>
  <c r="AV167" i="1"/>
  <c r="AU167" i="1"/>
  <c r="AU1176" i="1"/>
  <c r="AV1176" i="1" s="1"/>
  <c r="AV1160" i="1"/>
  <c r="AU1160" i="1"/>
  <c r="AV882" i="1"/>
  <c r="AU882" i="1"/>
  <c r="AU694" i="1"/>
  <c r="AV694" i="1" s="1"/>
  <c r="AU578" i="1"/>
  <c r="AV578" i="1" s="1"/>
  <c r="AV526" i="1"/>
  <c r="AU526" i="1"/>
  <c r="AU368" i="1"/>
  <c r="AV368" i="1" s="1"/>
  <c r="AU18" i="1"/>
  <c r="AV18" i="1" s="1"/>
  <c r="AU1197" i="1"/>
  <c r="AV1197" i="1" s="1"/>
  <c r="AV1115" i="1"/>
  <c r="AU1115" i="1"/>
  <c r="AV732" i="1"/>
  <c r="AU732" i="1"/>
  <c r="AV481" i="1"/>
  <c r="AU481" i="1"/>
  <c r="AU50" i="1"/>
  <c r="AV50" i="1" s="1"/>
  <c r="AU1107" i="1"/>
  <c r="AV1107" i="1" s="1"/>
  <c r="AU1055" i="1"/>
  <c r="AV1055" i="1" s="1"/>
  <c r="AV999" i="1"/>
  <c r="AU999" i="1"/>
  <c r="AU922" i="1"/>
  <c r="AV922" i="1" s="1"/>
  <c r="AV888" i="1"/>
  <c r="AU888" i="1"/>
  <c r="AV861" i="1"/>
  <c r="AU861" i="1"/>
  <c r="AU792" i="1"/>
  <c r="AV792" i="1" s="1"/>
  <c r="AU649" i="1"/>
  <c r="AV649" i="1" s="1"/>
  <c r="AV591" i="1"/>
  <c r="AU591" i="1"/>
  <c r="AU329" i="1"/>
  <c r="AV329" i="1" s="1"/>
  <c r="AV192" i="1"/>
  <c r="AU192" i="1"/>
  <c r="AV149" i="1"/>
  <c r="AU149" i="1"/>
  <c r="AQ60" i="1"/>
  <c r="AV1044" i="1"/>
  <c r="AU1044" i="1"/>
  <c r="AV1001" i="1"/>
  <c r="AU1001" i="1"/>
  <c r="AV676" i="1"/>
  <c r="AU676" i="1"/>
  <c r="AU508" i="1"/>
  <c r="AV508" i="1" s="1"/>
  <c r="AU350" i="1"/>
  <c r="AV350" i="1" s="1"/>
  <c r="AU316" i="1"/>
  <c r="AV316" i="1" s="1"/>
  <c r="AV1007" i="1"/>
  <c r="AU1007" i="1"/>
  <c r="AU567" i="1"/>
  <c r="AV567" i="1" s="1"/>
  <c r="AU463" i="1"/>
  <c r="AV463" i="1" s="1"/>
  <c r="AU252" i="1"/>
  <c r="AV252" i="1" s="1"/>
  <c r="AV1151" i="1"/>
  <c r="AU1151" i="1"/>
  <c r="AV1154" i="1"/>
  <c r="AU1154" i="1"/>
  <c r="AV1037" i="1"/>
  <c r="AU1037" i="1"/>
  <c r="AU843" i="1"/>
  <c r="AV843" i="1" s="1"/>
  <c r="AU831" i="1"/>
  <c r="AV831" i="1" s="1"/>
  <c r="AU774" i="1"/>
  <c r="AV774" i="1" s="1"/>
  <c r="AV131" i="1"/>
  <c r="AU131" i="1"/>
  <c r="AQ42" i="1"/>
  <c r="AU17" i="1"/>
  <c r="AV17" i="1" s="1"/>
  <c r="AU1195" i="1"/>
  <c r="AV1195" i="1" s="1"/>
  <c r="AU1136" i="1"/>
  <c r="AV1136" i="1" s="1"/>
  <c r="AU761" i="1"/>
  <c r="AV761" i="1" s="1"/>
  <c r="AV298" i="1"/>
  <c r="AU298" i="1"/>
  <c r="AV240" i="1"/>
  <c r="AU240" i="1"/>
  <c r="AV122" i="1"/>
  <c r="AU122" i="1"/>
  <c r="AU1189" i="1"/>
  <c r="AV1189" i="1" s="1"/>
  <c r="AU982" i="1"/>
  <c r="AV982" i="1" s="1"/>
  <c r="AU292" i="1"/>
  <c r="AV292" i="1" s="1"/>
  <c r="AV234" i="1"/>
  <c r="AU234" i="1"/>
  <c r="AV99" i="1"/>
  <c r="AU99" i="1"/>
  <c r="AQ30" i="1"/>
  <c r="AU984" i="1"/>
  <c r="AV984" i="1" s="1"/>
  <c r="AV635" i="1"/>
  <c r="AU635" i="1"/>
  <c r="AV286" i="1"/>
  <c r="AU286" i="1"/>
  <c r="AV228" i="1"/>
  <c r="AU228" i="1"/>
  <c r="AU96" i="1"/>
  <c r="AV96" i="1" s="1"/>
  <c r="AQ24" i="1"/>
  <c r="AV1024" i="1"/>
  <c r="AU1024" i="1"/>
  <c r="AU1019" i="1"/>
  <c r="AV1019" i="1" s="1"/>
  <c r="AU537" i="1"/>
  <c r="AV537" i="1" s="1"/>
  <c r="AU484" i="1"/>
  <c r="AV484" i="1" s="1"/>
  <c r="AV186" i="1"/>
  <c r="AU186" i="1"/>
  <c r="AV47" i="1"/>
  <c r="AU47" i="1"/>
  <c r="AU1059" i="1"/>
  <c r="AV1059" i="1" s="1"/>
  <c r="AU892" i="1"/>
  <c r="AV892" i="1" s="1"/>
  <c r="AU775" i="1"/>
  <c r="AV775" i="1"/>
  <c r="AU590" i="1"/>
  <c r="AV590" i="1" s="1"/>
  <c r="AV443" i="1"/>
  <c r="AU443" i="1"/>
  <c r="AV361" i="1"/>
  <c r="AU361" i="1"/>
  <c r="AV315" i="1"/>
  <c r="AU315" i="1"/>
  <c r="AU336" i="1"/>
  <c r="AV336" i="1" s="1"/>
  <c r="AU14" i="1"/>
  <c r="AV14" i="1" s="1"/>
  <c r="AV1134" i="1"/>
  <c r="AU1134" i="1"/>
  <c r="AV584" i="1"/>
  <c r="AU584" i="1"/>
  <c r="AV547" i="1"/>
  <c r="AU547" i="1"/>
  <c r="AU223" i="1"/>
  <c r="AV223" i="1"/>
  <c r="AU199" i="1"/>
  <c r="AV199" i="1"/>
  <c r="AU78" i="1"/>
  <c r="AV78" i="1" s="1"/>
  <c r="AV805" i="1"/>
  <c r="AU805" i="1"/>
  <c r="AV731" i="1"/>
  <c r="AU731" i="1"/>
  <c r="AV659" i="1"/>
  <c r="AU659" i="1"/>
  <c r="AU664" i="1"/>
  <c r="AV664" i="1" s="1"/>
  <c r="AU375" i="1"/>
  <c r="AV375" i="1"/>
  <c r="AU171" i="1"/>
  <c r="AV171" i="1" s="1"/>
  <c r="AV100" i="1"/>
  <c r="AU100" i="1"/>
  <c r="AV1035" i="1"/>
  <c r="AU1035" i="1"/>
  <c r="AU1003" i="1"/>
  <c r="AV1003" i="1" s="1"/>
  <c r="AV926" i="1"/>
  <c r="AU926" i="1"/>
  <c r="AV871" i="1"/>
  <c r="AU871" i="1"/>
  <c r="AV791" i="1"/>
  <c r="AU791" i="1"/>
  <c r="AU751" i="1"/>
  <c r="AV751" i="1"/>
  <c r="AV641" i="1"/>
  <c r="AU641" i="1"/>
  <c r="AU623" i="1"/>
  <c r="AV623" i="1" s="1"/>
  <c r="AV425" i="1"/>
  <c r="AU425" i="1"/>
  <c r="AV343" i="1"/>
  <c r="AU343" i="1"/>
  <c r="AV297" i="1"/>
  <c r="AU297" i="1"/>
  <c r="AU245" i="1"/>
  <c r="AV245" i="1" s="1"/>
  <c r="AU23" i="1"/>
  <c r="AV23" i="1" s="1"/>
  <c r="AV1170" i="1"/>
  <c r="AU1170" i="1"/>
  <c r="AV760" i="1"/>
  <c r="AU760" i="1"/>
  <c r="AV337" i="1"/>
  <c r="AU337" i="1"/>
  <c r="AU205" i="1"/>
  <c r="AV205" i="1"/>
  <c r="AV60" i="1"/>
  <c r="AU60" i="1"/>
  <c r="AY6" i="1"/>
  <c r="AU1108" i="1"/>
  <c r="AV1108" i="1" s="1"/>
  <c r="AU713" i="1"/>
  <c r="AV713" i="1" s="1"/>
  <c r="AU707" i="1"/>
  <c r="AV707" i="1" s="1"/>
  <c r="AV348" i="1"/>
  <c r="AU348" i="1"/>
  <c r="AU357" i="1"/>
  <c r="AV357" i="1" s="1"/>
  <c r="AU323" i="1"/>
  <c r="AV323" i="1" s="1"/>
  <c r="AU195" i="1"/>
  <c r="AV195" i="1" s="1"/>
  <c r="AU153" i="1"/>
  <c r="AV153" i="1" s="1"/>
  <c r="AV1078" i="1"/>
  <c r="AU1078" i="1"/>
  <c r="AV853" i="1"/>
  <c r="AU853" i="1"/>
  <c r="AV842" i="1"/>
  <c r="AU842" i="1"/>
  <c r="AU773" i="1"/>
  <c r="AV773" i="1" s="1"/>
  <c r="AU733" i="1"/>
  <c r="AV733" i="1"/>
  <c r="AU629" i="1"/>
  <c r="AV629" i="1" s="1"/>
  <c r="AV535" i="1"/>
  <c r="AU535" i="1"/>
  <c r="AV279" i="1"/>
  <c r="AU279" i="1"/>
  <c r="AV227" i="1"/>
  <c r="AU227" i="1"/>
  <c r="AU32" i="1"/>
  <c r="AV32" i="1"/>
  <c r="AU1113" i="1"/>
  <c r="AV1113" i="1" s="1"/>
  <c r="AU979" i="1"/>
  <c r="AV979" i="1" s="1"/>
  <c r="AU937" i="1"/>
  <c r="AV937" i="1" s="1"/>
  <c r="AV620" i="1"/>
  <c r="AU620" i="1"/>
  <c r="AU604" i="1"/>
  <c r="AV604" i="1" s="1"/>
  <c r="AU580" i="1"/>
  <c r="AV580" i="1"/>
  <c r="AU512" i="1"/>
  <c r="AV512" i="1" s="1"/>
  <c r="AU473" i="1"/>
  <c r="AV473" i="1" s="1"/>
  <c r="AV391" i="1"/>
  <c r="AU391" i="1"/>
  <c r="AU269" i="1"/>
  <c r="AV269" i="1" s="1"/>
  <c r="AV42" i="1"/>
  <c r="AU42" i="1"/>
  <c r="AV957" i="1"/>
  <c r="AU957" i="1"/>
  <c r="AV699" i="1"/>
  <c r="AU699" i="1"/>
  <c r="AU689" i="1"/>
  <c r="AV689" i="1" s="1"/>
  <c r="AU589" i="1"/>
  <c r="AV589" i="1" s="1"/>
  <c r="AU305" i="1"/>
  <c r="AV305" i="1" s="1"/>
  <c r="AU135" i="1"/>
  <c r="AV135" i="1" s="1"/>
  <c r="AV1004" i="1"/>
  <c r="AU1004" i="1"/>
  <c r="AV693" i="1"/>
  <c r="AU693" i="1"/>
  <c r="AU683" i="1"/>
  <c r="AV683" i="1" s="1"/>
  <c r="AU571" i="1"/>
  <c r="AV571" i="1" s="1"/>
  <c r="AU299" i="1"/>
  <c r="AV299" i="1" s="1"/>
  <c r="AU247" i="1"/>
  <c r="AV247" i="1"/>
  <c r="AV129" i="1"/>
  <c r="AU129" i="1"/>
  <c r="AV30" i="1"/>
  <c r="AU30" i="1"/>
  <c r="AQ31" i="1"/>
  <c r="AV796" i="1"/>
  <c r="AU796" i="1"/>
  <c r="AV756" i="1"/>
  <c r="AU756" i="1"/>
  <c r="AV687" i="1"/>
  <c r="AU687" i="1"/>
  <c r="AU677" i="1"/>
  <c r="AV677" i="1"/>
  <c r="AU565" i="1"/>
  <c r="AV565" i="1" s="1"/>
  <c r="AU493" i="1"/>
  <c r="AV493" i="1" s="1"/>
  <c r="AU293" i="1"/>
  <c r="AV293" i="1" s="1"/>
  <c r="AU241" i="1"/>
  <c r="AV241" i="1" s="1"/>
  <c r="AV123" i="1"/>
  <c r="AU123" i="1"/>
  <c r="AU24" i="1"/>
  <c r="AV24" i="1" s="1"/>
  <c r="AU1084" i="1"/>
  <c r="AV1084" i="1" s="1"/>
  <c r="AU955" i="1"/>
  <c r="AV955" i="1" s="1"/>
  <c r="AV933" i="1"/>
  <c r="AU933" i="1"/>
  <c r="AV921" i="1"/>
  <c r="AU921" i="1"/>
  <c r="AV860" i="1"/>
  <c r="AU860" i="1"/>
  <c r="AU771" i="1"/>
  <c r="AV771" i="1" s="1"/>
  <c r="AU740" i="1"/>
  <c r="AV740" i="1" s="1"/>
  <c r="AU716" i="1"/>
  <c r="AV716" i="1" s="1"/>
  <c r="AV642" i="1"/>
  <c r="AU642" i="1"/>
  <c r="AV574" i="1"/>
  <c r="AU574" i="1"/>
  <c r="AV423" i="1"/>
  <c r="AU423" i="1"/>
  <c r="AU428" i="1"/>
  <c r="AV428" i="1" s="1"/>
  <c r="AU383" i="1"/>
  <c r="AV383" i="1" s="1"/>
  <c r="AU388" i="1"/>
  <c r="AV388" i="1" s="1"/>
  <c r="Z57" i="1"/>
  <c r="AU972" i="1"/>
  <c r="AV972" i="1" s="1"/>
  <c r="AV531" i="1"/>
  <c r="AU531" i="1"/>
  <c r="AU489" i="1"/>
  <c r="AV489" i="1" s="1"/>
  <c r="AV170" i="1"/>
  <c r="AU170" i="1"/>
  <c r="AQ58" i="1"/>
  <c r="AQ51" i="1"/>
  <c r="AU1192" i="1"/>
  <c r="AV1192" i="1" s="1"/>
  <c r="AV1068" i="1"/>
  <c r="AU1068" i="1"/>
  <c r="AU931" i="1"/>
  <c r="AV931" i="1" s="1"/>
  <c r="AV884" i="1"/>
  <c r="AU884" i="1"/>
  <c r="AV35" i="1"/>
  <c r="AU35" i="1"/>
  <c r="AV1169" i="1"/>
  <c r="AU1169" i="1"/>
  <c r="AV1146" i="1"/>
  <c r="AU1146" i="1"/>
  <c r="AV1016" i="1"/>
  <c r="AU1016" i="1"/>
  <c r="AU466" i="1"/>
  <c r="AV466" i="1" s="1"/>
  <c r="AQ34" i="1"/>
  <c r="AU1102" i="1"/>
  <c r="AV1102" i="1" s="1"/>
  <c r="AV1082" i="1"/>
  <c r="AU1082" i="1"/>
  <c r="AU665" i="1"/>
  <c r="AV665" i="1" s="1"/>
  <c r="AV152" i="1"/>
  <c r="AU152" i="1"/>
  <c r="AU95" i="1"/>
  <c r="AV95" i="1" s="1"/>
  <c r="AQ33" i="1"/>
  <c r="AV1086" i="1"/>
  <c r="AU1086" i="1"/>
  <c r="AV890" i="1"/>
  <c r="AU890" i="1"/>
  <c r="AV256" i="1"/>
  <c r="AU256" i="1"/>
  <c r="AQ55" i="1"/>
  <c r="AV1163" i="1"/>
  <c r="AU1163" i="1"/>
  <c r="AU1145" i="1"/>
  <c r="AV1145" i="1" s="1"/>
  <c r="AU1066" i="1"/>
  <c r="AV1066" i="1" s="1"/>
  <c r="AV870" i="1"/>
  <c r="AU870" i="1"/>
  <c r="AU448" i="1"/>
  <c r="AV448" i="1" s="1"/>
  <c r="AQ15" i="1"/>
  <c r="AU717" i="1"/>
  <c r="AV717" i="1" s="1"/>
  <c r="AU517" i="1"/>
  <c r="AV517" i="1" s="1"/>
  <c r="AV134" i="1"/>
  <c r="AU134" i="1"/>
  <c r="AU77" i="1"/>
  <c r="AV77" i="1" s="1"/>
  <c r="AU956" i="1"/>
  <c r="AV956" i="1" s="1"/>
  <c r="AU977" i="1"/>
  <c r="AV977" i="1" s="1"/>
  <c r="AV570" i="1"/>
  <c r="AU570" i="1"/>
  <c r="AQ26" i="1"/>
  <c r="AQ17" i="1"/>
  <c r="AV1009" i="1"/>
  <c r="AU1009" i="1"/>
  <c r="AU897" i="1"/>
  <c r="AV897" i="1" s="1"/>
  <c r="AU852" i="1"/>
  <c r="AV852" i="1" s="1"/>
  <c r="AU834" i="1"/>
  <c r="AV834" i="1" s="1"/>
  <c r="AV430" i="1"/>
  <c r="AU430" i="1"/>
  <c r="AV22" i="1"/>
  <c r="AU22" i="1"/>
  <c r="AU1077" i="1"/>
  <c r="AV1077" i="1" s="1"/>
  <c r="AV828" i="1"/>
  <c r="AU828" i="1"/>
  <c r="AV652" i="1"/>
  <c r="AU652" i="1"/>
  <c r="AU424" i="1"/>
  <c r="AV424" i="1" s="1"/>
  <c r="AU31" i="1"/>
  <c r="AV31" i="1" s="1"/>
  <c r="AV1127" i="1"/>
  <c r="AU1127" i="1"/>
  <c r="AU1071" i="1"/>
  <c r="AV1071" i="1" s="1"/>
  <c r="AU1092" i="1"/>
  <c r="AV1092" i="1" s="1"/>
  <c r="AU939" i="1"/>
  <c r="AV939" i="1" s="1"/>
  <c r="AV822" i="1"/>
  <c r="AU822" i="1"/>
  <c r="AV646" i="1"/>
  <c r="AU646" i="1"/>
  <c r="AV121" i="1"/>
  <c r="AU121" i="1"/>
  <c r="AU113" i="1"/>
  <c r="AV113" i="1"/>
  <c r="AU621" i="1"/>
  <c r="AV621" i="1" s="1"/>
  <c r="AV280" i="1"/>
  <c r="AU280" i="1"/>
  <c r="AV222" i="1"/>
  <c r="AU222" i="1"/>
  <c r="AV1188" i="1"/>
  <c r="AU1188" i="1"/>
  <c r="AV1128" i="1"/>
  <c r="AU1128" i="1"/>
  <c r="AU1056" i="1"/>
  <c r="AV1056" i="1" s="1"/>
  <c r="AU1038" i="1"/>
  <c r="AV1038" i="1" s="1"/>
  <c r="AV993" i="1"/>
  <c r="AU993" i="1"/>
  <c r="AU936" i="1"/>
  <c r="AV936" i="1" s="1"/>
  <c r="AV869" i="1"/>
  <c r="AU869" i="1"/>
  <c r="AV883" i="1"/>
  <c r="AU883" i="1"/>
  <c r="AU826" i="1"/>
  <c r="AV826" i="1" s="1"/>
  <c r="AU644" i="1"/>
  <c r="AV644" i="1" s="1"/>
  <c r="AV606" i="1"/>
  <c r="AU606" i="1"/>
  <c r="AU581" i="1"/>
  <c r="AV581" i="1" s="1"/>
  <c r="AV507" i="1"/>
  <c r="AU507" i="1"/>
  <c r="AV432" i="1"/>
  <c r="AU432" i="1"/>
  <c r="AU214" i="1"/>
  <c r="AV214" i="1" s="1"/>
  <c r="AU177" i="1"/>
  <c r="AV177" i="1" s="1"/>
  <c r="AV58" i="1"/>
  <c r="AU58" i="1"/>
  <c r="AU51" i="1"/>
  <c r="AV51" i="1" s="1"/>
  <c r="Z19" i="1"/>
  <c r="AU1000" i="1"/>
  <c r="AV1000" i="1" s="1"/>
  <c r="AU778" i="1"/>
  <c r="AV778" i="1" s="1"/>
  <c r="AV703" i="1"/>
  <c r="AU703" i="1"/>
  <c r="AV678" i="1"/>
  <c r="AU678" i="1"/>
  <c r="AV627" i="1"/>
  <c r="AU627" i="1"/>
  <c r="AU510" i="1"/>
  <c r="AV510" i="1" s="1"/>
  <c r="AU372" i="1"/>
  <c r="AV372" i="1" s="1"/>
  <c r="AU326" i="1"/>
  <c r="AV326" i="1" s="1"/>
  <c r="AV258" i="1"/>
  <c r="AU258" i="1"/>
  <c r="AV219" i="1"/>
  <c r="AU219" i="1"/>
  <c r="AV212" i="1"/>
  <c r="AU212" i="1"/>
  <c r="AU162" i="1"/>
  <c r="AV162" i="1" s="1"/>
  <c r="AQ62" i="1"/>
  <c r="AV73" i="1"/>
  <c r="AU73" i="1"/>
  <c r="AU25" i="1"/>
  <c r="AV25" i="1" s="1"/>
  <c r="Z12" i="1"/>
  <c r="AV1073" i="1"/>
  <c r="AU1073" i="1"/>
  <c r="AV877" i="1"/>
  <c r="AU877" i="1"/>
  <c r="AU741" i="1"/>
  <c r="AV741" i="1" s="1"/>
  <c r="AU722" i="1"/>
  <c r="AV722" i="1" s="1"/>
  <c r="AU626" i="1"/>
  <c r="AV626" i="1" s="1"/>
  <c r="AV556" i="1"/>
  <c r="AU556" i="1"/>
  <c r="AV365" i="1"/>
  <c r="AU365" i="1"/>
  <c r="AV370" i="1"/>
  <c r="AU370" i="1"/>
  <c r="AU319" i="1"/>
  <c r="AV319" i="1" s="1"/>
  <c r="AU324" i="1"/>
  <c r="AV324" i="1" s="1"/>
  <c r="Z29" i="1"/>
  <c r="Z34" i="1"/>
  <c r="AV1174" i="1"/>
  <c r="AU1174" i="1"/>
  <c r="AV1079" i="1"/>
  <c r="AU1079" i="1"/>
  <c r="AV960" i="1"/>
  <c r="AU960" i="1"/>
  <c r="AU896" i="1"/>
  <c r="AV896" i="1" s="1"/>
  <c r="AU808" i="1"/>
  <c r="AV808" i="1" s="1"/>
  <c r="AU794" i="1"/>
  <c r="AV794" i="1" s="1"/>
  <c r="AV704" i="1"/>
  <c r="AU704" i="1"/>
  <c r="AV577" i="1"/>
  <c r="AU577" i="1"/>
  <c r="AV538" i="1"/>
  <c r="AU538" i="1"/>
  <c r="AU471" i="1"/>
  <c r="AV471" i="1" s="1"/>
  <c r="AU476" i="1"/>
  <c r="AV476" i="1" s="1"/>
  <c r="AU33" i="1"/>
  <c r="AV33" i="1" s="1"/>
  <c r="AU1165" i="1"/>
  <c r="AV1165" i="1" s="1"/>
  <c r="AU1021" i="1"/>
  <c r="AV1021" i="1" s="1"/>
  <c r="AV985" i="1"/>
  <c r="AU985" i="1"/>
  <c r="AU845" i="1"/>
  <c r="AV845" i="1" s="1"/>
  <c r="AU840" i="1"/>
  <c r="AV840" i="1" s="1"/>
  <c r="AU685" i="1"/>
  <c r="AV685" i="1" s="1"/>
  <c r="AV560" i="1"/>
  <c r="AU560" i="1"/>
  <c r="AV480" i="1"/>
  <c r="AU480" i="1"/>
  <c r="AV354" i="1"/>
  <c r="AU354" i="1"/>
  <c r="AU308" i="1"/>
  <c r="AV308" i="1" s="1"/>
  <c r="AU201" i="1"/>
  <c r="AV201" i="1" s="1"/>
  <c r="AU194" i="1"/>
  <c r="AV194" i="1"/>
  <c r="AV157" i="1"/>
  <c r="AU157" i="1"/>
  <c r="AV144" i="1"/>
  <c r="AU144" i="1"/>
  <c r="AV118" i="1"/>
  <c r="AU118" i="1"/>
  <c r="AQ44" i="1"/>
  <c r="AV55" i="1"/>
  <c r="AU55" i="1"/>
  <c r="Z9" i="1"/>
  <c r="Z6" i="1"/>
  <c r="AU1069" i="1"/>
  <c r="AV1069" i="1" s="1"/>
  <c r="AU1018" i="1"/>
  <c r="AV1018" i="1" s="1"/>
  <c r="AV958" i="1"/>
  <c r="AU958" i="1"/>
  <c r="AU818" i="1"/>
  <c r="AV818" i="1" s="1"/>
  <c r="AV723" i="1"/>
  <c r="AU723" i="1"/>
  <c r="AV607" i="1"/>
  <c r="AU607" i="1"/>
  <c r="AU575" i="1"/>
  <c r="AV575" i="1" s="1"/>
  <c r="AU352" i="1"/>
  <c r="AV352" i="1" s="1"/>
  <c r="AV301" i="1"/>
  <c r="AU301" i="1"/>
  <c r="AU306" i="1"/>
  <c r="AV306" i="1" s="1"/>
  <c r="AV254" i="1"/>
  <c r="AU254" i="1"/>
  <c r="AV160" i="1"/>
  <c r="AU160" i="1"/>
  <c r="AU15" i="1"/>
  <c r="AV15" i="1" s="1"/>
  <c r="AQ7" i="1"/>
  <c r="AV7" i="1"/>
  <c r="AU7" i="1"/>
  <c r="AV1181" i="1"/>
  <c r="AU1181" i="1"/>
  <c r="AU1171" i="1"/>
  <c r="AV1171" i="1"/>
  <c r="AU1139" i="1"/>
  <c r="AV1139" i="1" s="1"/>
  <c r="AU1124" i="1"/>
  <c r="AV1124" i="1" s="1"/>
  <c r="AV1114" i="1"/>
  <c r="AU1114" i="1"/>
  <c r="AV930" i="1"/>
  <c r="AU930" i="1"/>
  <c r="AV827" i="1"/>
  <c r="AU827" i="1"/>
  <c r="AU776" i="1"/>
  <c r="AV776" i="1" s="1"/>
  <c r="AU686" i="1"/>
  <c r="AV686" i="1" s="1"/>
  <c r="AU666" i="1"/>
  <c r="AV666" i="1" s="1"/>
  <c r="AV645" i="1"/>
  <c r="AU645" i="1"/>
  <c r="AV453" i="1"/>
  <c r="AU453" i="1"/>
  <c r="AV458" i="1"/>
  <c r="AU458" i="1"/>
  <c r="AU1190" i="1"/>
  <c r="AV1190" i="1" s="1"/>
  <c r="AU907" i="1"/>
  <c r="AV907" i="1" s="1"/>
  <c r="AU868" i="1"/>
  <c r="AV868" i="1" s="1"/>
  <c r="AV742" i="1"/>
  <c r="AU742" i="1"/>
  <c r="AV611" i="1"/>
  <c r="AU611" i="1"/>
  <c r="AV462" i="1"/>
  <c r="AU462" i="1"/>
  <c r="AU411" i="1"/>
  <c r="AV411" i="1" s="1"/>
  <c r="AU290" i="1"/>
  <c r="AV290" i="1" s="1"/>
  <c r="AU244" i="1"/>
  <c r="AV244" i="1" s="1"/>
  <c r="AV176" i="1"/>
  <c r="AU176" i="1"/>
  <c r="AV139" i="1"/>
  <c r="AU139" i="1"/>
  <c r="AV126" i="1"/>
  <c r="AU126" i="1"/>
  <c r="AU88" i="1"/>
  <c r="AV88" i="1" s="1"/>
  <c r="AU81" i="1"/>
  <c r="AV81" i="1" s="1"/>
  <c r="AU1030" i="1"/>
  <c r="AV1030" i="1" s="1"/>
  <c r="AV844" i="1"/>
  <c r="AU844" i="1"/>
  <c r="AV710" i="1"/>
  <c r="AU710" i="1"/>
  <c r="AU658" i="1"/>
  <c r="AV658" i="1" s="1"/>
  <c r="AU557" i="1"/>
  <c r="AV557" i="1" s="1"/>
  <c r="AU521" i="1"/>
  <c r="AV521" i="1" s="1"/>
  <c r="AU402" i="1"/>
  <c r="AV402" i="1" s="1"/>
  <c r="AV334" i="1"/>
  <c r="AU334" i="1"/>
  <c r="AV283" i="1"/>
  <c r="AU283" i="1"/>
  <c r="AV288" i="1"/>
  <c r="AU288" i="1"/>
  <c r="AU249" i="1"/>
  <c r="AV249" i="1" s="1"/>
  <c r="AU242" i="1"/>
  <c r="AV242" i="1" s="1"/>
  <c r="AU142" i="1"/>
  <c r="AV142" i="1" s="1"/>
  <c r="Z20" i="1"/>
  <c r="AQ22" i="1"/>
  <c r="AV1132" i="1"/>
  <c r="AU1132" i="1"/>
  <c r="AV1101" i="1"/>
  <c r="AU1101" i="1"/>
  <c r="AU1028" i="1"/>
  <c r="AV1028" i="1" s="1"/>
  <c r="AU983" i="1"/>
  <c r="AV983" i="1" s="1"/>
  <c r="AU758" i="1"/>
  <c r="AV758" i="1" s="1"/>
  <c r="AV668" i="1"/>
  <c r="AU668" i="1"/>
  <c r="AV702" i="1"/>
  <c r="AU702" i="1"/>
  <c r="AV551" i="1"/>
  <c r="AU551" i="1"/>
  <c r="AU515" i="1"/>
  <c r="AV515" i="1" s="1"/>
  <c r="AU396" i="1"/>
  <c r="AV396" i="1" s="1"/>
  <c r="AU277" i="1"/>
  <c r="AV277" i="1" s="1"/>
  <c r="AV282" i="1"/>
  <c r="AU282" i="1"/>
  <c r="AV243" i="1"/>
  <c r="AU243" i="1"/>
  <c r="AV236" i="1"/>
  <c r="AU236" i="1"/>
  <c r="AU136" i="1"/>
  <c r="AV136" i="1" s="1"/>
  <c r="AU1095" i="1"/>
  <c r="AV1095" i="1" s="1"/>
  <c r="AU1054" i="1"/>
  <c r="AV1054" i="1" s="1"/>
  <c r="AV1025" i="1"/>
  <c r="AU1025" i="1"/>
  <c r="AV975" i="1"/>
  <c r="AU975" i="1"/>
  <c r="AV885" i="1"/>
  <c r="AU885" i="1"/>
  <c r="AU696" i="1"/>
  <c r="AV696" i="1" s="1"/>
  <c r="AU509" i="1"/>
  <c r="AV509" i="1" s="1"/>
  <c r="AU390" i="1"/>
  <c r="AV390" i="1" s="1"/>
  <c r="AV276" i="1"/>
  <c r="AU276" i="1"/>
  <c r="AV237" i="1"/>
  <c r="AU237" i="1"/>
  <c r="AV230" i="1"/>
  <c r="AU230" i="1"/>
  <c r="AU130" i="1"/>
  <c r="AV130" i="1" s="1"/>
  <c r="AU91" i="1"/>
  <c r="AV91" i="1" s="1"/>
  <c r="AU1126" i="1"/>
  <c r="AV1126" i="1" s="1"/>
  <c r="AV681" i="1"/>
  <c r="AU681" i="1"/>
  <c r="AU671" i="1"/>
  <c r="AV671" i="1" s="1"/>
  <c r="AV559" i="1"/>
  <c r="AU559" i="1"/>
  <c r="AU287" i="1"/>
  <c r="AV287" i="1"/>
  <c r="AU235" i="1"/>
  <c r="AV235" i="1"/>
  <c r="AU117" i="1"/>
  <c r="AV117" i="1" s="1"/>
  <c r="AV90" i="1"/>
  <c r="AU90" i="1"/>
  <c r="AQ11" i="1"/>
  <c r="AV1093" i="1"/>
  <c r="AU1093" i="1"/>
  <c r="AU706" i="1"/>
  <c r="AV706" i="1" s="1"/>
  <c r="AV417" i="1"/>
  <c r="AU417" i="1"/>
  <c r="AV427" i="1"/>
  <c r="AU427" i="1"/>
  <c r="AU380" i="1"/>
  <c r="AV380" i="1" s="1"/>
  <c r="AU101" i="1"/>
  <c r="AV101" i="1"/>
  <c r="AV189" i="1"/>
  <c r="AU189" i="1"/>
  <c r="Z68" i="1"/>
  <c r="AU19" i="1"/>
  <c r="AV19" i="1" s="1"/>
  <c r="AU1014" i="1"/>
  <c r="AV1014" i="1" s="1"/>
  <c r="AU943" i="1"/>
  <c r="AV943" i="1"/>
  <c r="AV801" i="1"/>
  <c r="AU801" i="1"/>
  <c r="AV744" i="1"/>
  <c r="AU744" i="1"/>
  <c r="AV62" i="1"/>
  <c r="AU62" i="1"/>
  <c r="AU1064" i="1"/>
  <c r="AV1064" i="1" s="1"/>
  <c r="AU1008" i="1"/>
  <c r="AV1008" i="1" s="1"/>
  <c r="AU997" i="1"/>
  <c r="AV997" i="1" s="1"/>
  <c r="AV934" i="1"/>
  <c r="AU934" i="1"/>
  <c r="AV900" i="1"/>
  <c r="AU900" i="1"/>
  <c r="AV873" i="1"/>
  <c r="AU873" i="1"/>
  <c r="AU603" i="1"/>
  <c r="AV603" i="1" s="1"/>
  <c r="AU492" i="1"/>
  <c r="AV492" i="1" s="1"/>
  <c r="AU204" i="1"/>
  <c r="AV204" i="1" s="1"/>
  <c r="AV161" i="1"/>
  <c r="AU161" i="1"/>
  <c r="R39" i="1"/>
  <c r="AV973" i="1"/>
  <c r="AU973" i="1"/>
  <c r="AU711" i="1"/>
  <c r="AV711" i="1" s="1"/>
  <c r="AV688" i="1"/>
  <c r="AU688" i="1"/>
  <c r="AV520" i="1"/>
  <c r="AU520" i="1"/>
  <c r="AU362" i="1"/>
  <c r="AV362" i="1" s="1"/>
  <c r="AU173" i="1"/>
  <c r="AV173" i="1" s="1"/>
  <c r="Z50" i="1"/>
  <c r="AU726" i="1"/>
  <c r="AV726" i="1" s="1"/>
  <c r="AV708" i="1"/>
  <c r="AU708" i="1"/>
  <c r="AV633" i="1"/>
  <c r="AU633" i="1"/>
  <c r="AU622" i="1"/>
  <c r="AV622" i="1" s="1"/>
  <c r="AU528" i="1"/>
  <c r="AV528" i="1" s="1"/>
  <c r="AV475" i="1"/>
  <c r="AU475" i="1"/>
  <c r="AU112" i="1"/>
  <c r="AV112" i="1" s="1"/>
  <c r="AV44" i="1"/>
  <c r="AU44" i="1"/>
  <c r="R9" i="1"/>
  <c r="AU1089" i="1"/>
  <c r="AV1089" i="1"/>
  <c r="AV855" i="1"/>
  <c r="AU855" i="1"/>
  <c r="AV786" i="1"/>
  <c r="AU786" i="1"/>
  <c r="AV643" i="1"/>
  <c r="AU643" i="1"/>
  <c r="AU143" i="1"/>
  <c r="AV143" i="1" s="1"/>
  <c r="AQ54" i="1"/>
  <c r="AU502" i="1"/>
  <c r="AV502" i="1" s="1"/>
  <c r="AV409" i="1"/>
  <c r="AU409" i="1"/>
  <c r="AV344" i="1"/>
  <c r="AU344" i="1"/>
  <c r="AV310" i="1"/>
  <c r="AU310" i="1"/>
  <c r="Z43" i="1"/>
  <c r="AU13" i="1"/>
  <c r="AV13" i="1" s="1"/>
  <c r="AU561" i="1"/>
  <c r="AV561" i="1" s="1"/>
  <c r="AV457" i="1"/>
  <c r="AU457" i="1"/>
  <c r="AU1183" i="1"/>
  <c r="AV1183" i="1" s="1"/>
  <c r="AV1031" i="1"/>
  <c r="AU1031" i="1"/>
  <c r="AU965" i="1"/>
  <c r="AV965" i="1" s="1"/>
  <c r="AU825" i="1"/>
  <c r="AV825" i="1" s="1"/>
  <c r="AU768" i="1"/>
  <c r="AV768" i="1" s="1"/>
  <c r="AV660" i="1"/>
  <c r="AU660" i="1"/>
  <c r="AV174" i="1"/>
  <c r="AU174" i="1"/>
  <c r="AV125" i="1"/>
  <c r="AU125" i="1"/>
  <c r="AU92" i="1"/>
  <c r="AV92" i="1" s="1"/>
  <c r="AQ36" i="1"/>
  <c r="AU959" i="1"/>
  <c r="AV959" i="1" s="1"/>
  <c r="AV819" i="1"/>
  <c r="AU819" i="1"/>
  <c r="AV755" i="1"/>
  <c r="AU755" i="1"/>
  <c r="AV762" i="1"/>
  <c r="AU762" i="1"/>
  <c r="AU670" i="1"/>
  <c r="AV670" i="1" s="1"/>
  <c r="AU119" i="1"/>
  <c r="AV119" i="1" s="1"/>
  <c r="AU86" i="1"/>
  <c r="AV86" i="1" s="1"/>
  <c r="AV1002" i="1"/>
  <c r="AU1002" i="1"/>
  <c r="AV953" i="1"/>
  <c r="AU953" i="1"/>
  <c r="AV813" i="1"/>
  <c r="AU813" i="1"/>
  <c r="AU490" i="1"/>
  <c r="AV490" i="1" s="1"/>
  <c r="AU80" i="1"/>
  <c r="AV80" i="1" s="1"/>
  <c r="G1202" i="1"/>
  <c r="H3" i="1"/>
  <c r="G3" i="1"/>
  <c r="AU1118" i="1"/>
  <c r="AV1118" i="1" s="1"/>
  <c r="AV1013" i="1"/>
  <c r="AU1013" i="1"/>
  <c r="AU816" i="1"/>
  <c r="AV816" i="1" s="1"/>
  <c r="AV640" i="1"/>
  <c r="AU640" i="1"/>
  <c r="AV265" i="1"/>
  <c r="AU265" i="1"/>
  <c r="AU104" i="1"/>
  <c r="AV104" i="1"/>
  <c r="AQ8" i="1"/>
  <c r="AV941" i="1"/>
  <c r="AU941" i="1"/>
  <c r="AU944" i="1"/>
  <c r="AV944" i="1" s="1"/>
  <c r="AU817" i="1"/>
  <c r="AV817" i="1" s="1"/>
  <c r="AV743" i="1"/>
  <c r="AU743" i="1"/>
  <c r="AV634" i="1"/>
  <c r="AU634" i="1"/>
  <c r="AU387" i="1"/>
  <c r="AV387" i="1" s="1"/>
  <c r="AV191" i="1"/>
  <c r="AU191" i="1"/>
  <c r="AU111" i="1"/>
  <c r="AV111" i="1" s="1"/>
  <c r="AU1187" i="1"/>
  <c r="AV1187" i="1" s="1"/>
  <c r="AU967" i="1"/>
  <c r="AV967" i="1" s="1"/>
  <c r="AV963" i="1"/>
  <c r="AU963" i="1"/>
  <c r="AU769" i="1"/>
  <c r="AV769" i="1" s="1"/>
  <c r="AV653" i="1"/>
  <c r="AU653" i="1"/>
  <c r="AU586" i="1"/>
  <c r="AV586" i="1"/>
  <c r="AU437" i="1"/>
  <c r="AV437" i="1" s="1"/>
  <c r="AV355" i="1"/>
  <c r="AU355" i="1"/>
  <c r="AV309" i="1"/>
  <c r="AU309" i="1"/>
  <c r="AV185" i="1"/>
  <c r="AU185" i="1"/>
  <c r="AU181" i="1"/>
  <c r="AV181" i="1" s="1"/>
  <c r="AU1143" i="1"/>
  <c r="AV1143" i="1"/>
  <c r="AU976" i="1"/>
  <c r="AV976" i="1" s="1"/>
  <c r="AU217" i="1"/>
  <c r="AV217" i="1" s="1"/>
  <c r="AV72" i="1"/>
  <c r="AU72" i="1"/>
  <c r="AV1199" i="1"/>
  <c r="AU1199" i="1"/>
  <c r="AV799" i="1"/>
  <c r="AU799" i="1"/>
  <c r="AU725" i="1"/>
  <c r="AV725" i="1" s="1"/>
  <c r="AU369" i="1"/>
  <c r="AV369" i="1"/>
  <c r="AV165" i="1"/>
  <c r="AU165" i="1"/>
  <c r="AQ23" i="1"/>
  <c r="Z33" i="1"/>
  <c r="Z66" i="1"/>
  <c r="AV865" i="1"/>
  <c r="AU865" i="1"/>
  <c r="AU785" i="1"/>
  <c r="AV785" i="1" s="1"/>
  <c r="AU745" i="1"/>
  <c r="AV745" i="1" s="1"/>
  <c r="AV419" i="1"/>
  <c r="AU419" i="1"/>
  <c r="AU291" i="1"/>
  <c r="AV291" i="1" s="1"/>
  <c r="AU239" i="1"/>
  <c r="AV239" i="1" s="1"/>
  <c r="AV1193" i="1"/>
  <c r="AU1193" i="1"/>
  <c r="AU998" i="1"/>
  <c r="AV998" i="1" s="1"/>
  <c r="AU616" i="1"/>
  <c r="AV616" i="1" s="1"/>
  <c r="AV524" i="1"/>
  <c r="AU524" i="1"/>
  <c r="AU485" i="1"/>
  <c r="AV485" i="1" s="1"/>
  <c r="AU403" i="1"/>
  <c r="AV403" i="1" s="1"/>
  <c r="AV331" i="1"/>
  <c r="AU331" i="1"/>
  <c r="AU54" i="1"/>
  <c r="AV54" i="1" s="1"/>
  <c r="AV1063" i="1"/>
  <c r="AU1063" i="1"/>
  <c r="AV797" i="1"/>
  <c r="AU797" i="1"/>
  <c r="AU701" i="1"/>
  <c r="AV701" i="1"/>
  <c r="AU351" i="1"/>
  <c r="AV351" i="1"/>
  <c r="AU317" i="1"/>
  <c r="AV317" i="1" s="1"/>
  <c r="AU147" i="1"/>
  <c r="AV147" i="1" s="1"/>
  <c r="AQ32" i="1"/>
  <c r="Z10" i="1"/>
  <c r="AU986" i="1"/>
  <c r="AV986" i="1" s="1"/>
  <c r="AU767" i="1"/>
  <c r="AV767" i="1" s="1"/>
  <c r="AU727" i="1"/>
  <c r="AV727" i="1"/>
  <c r="AU715" i="1"/>
  <c r="AV715" i="1" s="1"/>
  <c r="AU273" i="1"/>
  <c r="AV273" i="1" s="1"/>
  <c r="AV221" i="1"/>
  <c r="AU221" i="1"/>
  <c r="AV106" i="1"/>
  <c r="AU106" i="1"/>
  <c r="AQ16" i="1"/>
  <c r="AV951" i="1"/>
  <c r="AU951" i="1"/>
  <c r="AV614" i="1"/>
  <c r="AU614" i="1"/>
  <c r="AU598" i="1"/>
  <c r="AV598" i="1" s="1"/>
  <c r="AU506" i="1"/>
  <c r="AV506" i="1" s="1"/>
  <c r="AU467" i="1"/>
  <c r="AV467" i="1" s="1"/>
  <c r="AU385" i="1"/>
  <c r="AV385" i="1" s="1"/>
  <c r="AV36" i="1"/>
  <c r="AU36" i="1"/>
  <c r="AV910" i="1"/>
  <c r="AU910" i="1"/>
  <c r="AV846" i="1"/>
  <c r="AU846" i="1"/>
  <c r="AU793" i="1"/>
  <c r="AV793" i="1"/>
  <c r="AU608" i="1"/>
  <c r="AV608" i="1" s="1"/>
  <c r="AU592" i="1"/>
  <c r="AV592" i="1"/>
  <c r="AV500" i="1"/>
  <c r="AU500" i="1"/>
  <c r="AV461" i="1"/>
  <c r="AU461" i="1"/>
  <c r="AV379" i="1"/>
  <c r="AU379" i="1"/>
  <c r="AU333" i="1"/>
  <c r="AV333" i="1"/>
  <c r="AU261" i="1"/>
  <c r="AV261" i="1" s="1"/>
  <c r="AU904" i="1"/>
  <c r="AV904" i="1" s="1"/>
  <c r="AU787" i="1"/>
  <c r="AV787" i="1" s="1"/>
  <c r="AV602" i="1"/>
  <c r="AU602" i="1"/>
  <c r="AV418" i="1"/>
  <c r="AU418" i="1"/>
  <c r="AU455" i="1"/>
  <c r="AV455" i="1" s="1"/>
  <c r="AU373" i="1"/>
  <c r="AV373" i="1" s="1"/>
  <c r="AU327" i="1"/>
  <c r="AV327" i="1" s="1"/>
  <c r="AV5" i="1"/>
  <c r="AU5" i="1"/>
  <c r="AV1161" i="1"/>
  <c r="AU1161" i="1"/>
  <c r="AU948" i="1"/>
  <c r="AV948" i="1"/>
  <c r="AU790" i="1"/>
  <c r="AV790" i="1" s="1"/>
  <c r="AU690" i="1"/>
  <c r="AV690" i="1" s="1"/>
  <c r="AV522" i="1"/>
  <c r="AU522" i="1"/>
  <c r="AV503" i="1"/>
  <c r="AU503" i="1"/>
  <c r="AV384" i="1"/>
  <c r="AU384" i="1"/>
  <c r="AU270" i="1"/>
  <c r="AV270" i="1"/>
  <c r="AU231" i="1"/>
  <c r="AV231" i="1" s="1"/>
  <c r="AU224" i="1"/>
  <c r="AV224" i="1" s="1"/>
  <c r="AV124" i="1"/>
  <c r="AU124" i="1"/>
  <c r="AV85" i="1"/>
  <c r="AU85" i="1"/>
  <c r="AV11" i="1"/>
  <c r="AU11" i="1"/>
  <c r="AU1022" i="1"/>
  <c r="AV1022" i="1"/>
  <c r="AU460" i="1"/>
  <c r="AV460" i="1" s="1"/>
  <c r="Z37" i="1"/>
  <c r="AQ37" i="1"/>
  <c r="AV28" i="1"/>
  <c r="AU28" i="1"/>
  <c r="AV1096" i="1"/>
  <c r="AU1096" i="1"/>
  <c r="AU1047" i="1"/>
  <c r="AV1047" i="1" s="1"/>
  <c r="AU940" i="1"/>
  <c r="AV940" i="1" s="1"/>
  <c r="AU146" i="1"/>
  <c r="AV146" i="1" s="1"/>
  <c r="AU89" i="1"/>
  <c r="AV89" i="1" s="1"/>
  <c r="AQ27" i="1"/>
  <c r="AV1040" i="1"/>
  <c r="AU1040" i="1"/>
  <c r="AU968" i="1"/>
  <c r="AV968" i="1" s="1"/>
  <c r="AU847" i="1"/>
  <c r="AV847" i="1" s="1"/>
  <c r="Z38" i="1"/>
  <c r="AQ49" i="1"/>
  <c r="AU1157" i="1"/>
  <c r="AV1157" i="1" s="1"/>
  <c r="AV909" i="1"/>
  <c r="AU909" i="1"/>
  <c r="AV864" i="1"/>
  <c r="AU864" i="1"/>
  <c r="AV442" i="1"/>
  <c r="AU442" i="1"/>
  <c r="AU262" i="1"/>
  <c r="AV262" i="1" s="1"/>
  <c r="Z13" i="1"/>
  <c r="AV511" i="1"/>
  <c r="AU511" i="1"/>
  <c r="AU408" i="1"/>
  <c r="AV408" i="1" s="1"/>
  <c r="AU128" i="1"/>
  <c r="AV128" i="1" s="1"/>
  <c r="AV71" i="1"/>
  <c r="AU71" i="1"/>
  <c r="Z26" i="1"/>
  <c r="AU1087" i="1"/>
  <c r="AV1087" i="1" s="1"/>
  <c r="AU970" i="1"/>
  <c r="AV970" i="1" s="1"/>
  <c r="AU879" i="1"/>
  <c r="AV879" i="1" s="1"/>
  <c r="AV564" i="1"/>
  <c r="AU564" i="1"/>
  <c r="AV541" i="1"/>
  <c r="AU541" i="1"/>
  <c r="AU1148" i="1"/>
  <c r="AV1148" i="1" s="1"/>
  <c r="AU935" i="1"/>
  <c r="AV935" i="1"/>
  <c r="AU835" i="1"/>
  <c r="AV835" i="1" s="1"/>
  <c r="AU558" i="1"/>
  <c r="AV558" i="1" s="1"/>
  <c r="AV116" i="1"/>
  <c r="AU116" i="1"/>
  <c r="Z59" i="1"/>
  <c r="AV798" i="1"/>
  <c r="AU798" i="1"/>
  <c r="AU552" i="1"/>
  <c r="AV552" i="1" s="1"/>
  <c r="AV545" i="1"/>
  <c r="AU545" i="1"/>
  <c r="AQ63" i="1"/>
  <c r="I5" i="1"/>
  <c r="S26" i="1" s="1"/>
  <c r="AU1123" i="1"/>
  <c r="AV1123" i="1"/>
  <c r="AU1049" i="1"/>
  <c r="AV1049" i="1"/>
  <c r="AV1017" i="1"/>
  <c r="AU1017" i="1"/>
  <c r="AU807" i="1"/>
  <c r="AV807" i="1" s="1"/>
  <c r="AU107" i="1"/>
  <c r="AV107" i="1" s="1"/>
  <c r="S64" i="1"/>
  <c r="AU74" i="1"/>
  <c r="AV74" i="1" s="1"/>
  <c r="AV478" i="1"/>
  <c r="AU478" i="1"/>
  <c r="AV164" i="1"/>
  <c r="AU164" i="1"/>
  <c r="AQ52" i="1"/>
  <c r="AQ45" i="1"/>
  <c r="AQ12" i="1"/>
  <c r="AV841" i="1"/>
  <c r="AU841" i="1"/>
  <c r="AV800" i="1"/>
  <c r="AU800" i="1"/>
  <c r="AQ67" i="1"/>
  <c r="AV1153" i="1"/>
  <c r="AU1153" i="1"/>
  <c r="AV1100" i="1"/>
  <c r="AU1100" i="1"/>
  <c r="AU1011" i="1"/>
  <c r="AV1011" i="1" s="1"/>
  <c r="AU927" i="1"/>
  <c r="AV927" i="1" s="1"/>
  <c r="AU854" i="1"/>
  <c r="AV854" i="1" s="1"/>
  <c r="AU765" i="1"/>
  <c r="AV765" i="1" s="1"/>
  <c r="AV712" i="1"/>
  <c r="AU712" i="1"/>
  <c r="AV734" i="1"/>
  <c r="AU734" i="1"/>
  <c r="AU568" i="1"/>
  <c r="AV568" i="1" s="1"/>
  <c r="AU422" i="1"/>
  <c r="AV422" i="1" s="1"/>
  <c r="AU377" i="1"/>
  <c r="AV377" i="1" s="1"/>
  <c r="AU382" i="1"/>
  <c r="AV382" i="1" s="1"/>
  <c r="AU1117" i="1"/>
  <c r="AV1117" i="1" s="1"/>
  <c r="AV1110" i="1"/>
  <c r="AU1110" i="1"/>
  <c r="AU1032" i="1"/>
  <c r="AV1032" i="1" s="1"/>
  <c r="AV987" i="1"/>
  <c r="AU987" i="1"/>
  <c r="AV908" i="1"/>
  <c r="AU908" i="1"/>
  <c r="AV863" i="1"/>
  <c r="AU863" i="1"/>
  <c r="AU820" i="1"/>
  <c r="AV820" i="1" s="1"/>
  <c r="AV638" i="1"/>
  <c r="AU638" i="1"/>
  <c r="AU600" i="1"/>
  <c r="AV600" i="1" s="1"/>
  <c r="AV530" i="1"/>
  <c r="AU530" i="1"/>
  <c r="AV501" i="1"/>
  <c r="AU501" i="1"/>
  <c r="AV483" i="1"/>
  <c r="AU483" i="1"/>
  <c r="AU488" i="1"/>
  <c r="AV488" i="1" s="1"/>
  <c r="AV426" i="1"/>
  <c r="AU426" i="1"/>
  <c r="AU335" i="1"/>
  <c r="AV335" i="1" s="1"/>
  <c r="AV208" i="1"/>
  <c r="AU208" i="1"/>
  <c r="AV178" i="1"/>
  <c r="AU178" i="1"/>
  <c r="AQ35" i="1"/>
  <c r="AV52" i="1"/>
  <c r="AU52" i="1"/>
  <c r="AV45" i="1"/>
  <c r="AU45" i="1"/>
  <c r="AU12" i="1"/>
  <c r="AV12" i="1" s="1"/>
  <c r="AU1088" i="1"/>
  <c r="AV1088" i="1" s="1"/>
  <c r="AU995" i="1"/>
  <c r="AV995" i="1" s="1"/>
  <c r="AU925" i="1"/>
  <c r="AV925" i="1" s="1"/>
  <c r="AV838" i="1"/>
  <c r="AU838" i="1"/>
  <c r="AV772" i="1"/>
  <c r="AU772" i="1"/>
  <c r="AU663" i="1"/>
  <c r="AV663" i="1" s="1"/>
  <c r="AU697" i="1"/>
  <c r="AV697" i="1" s="1"/>
  <c r="AU672" i="1"/>
  <c r="AV672" i="1" s="1"/>
  <c r="AU572" i="1"/>
  <c r="AV572" i="1" s="1"/>
  <c r="AV504" i="1"/>
  <c r="AU504" i="1"/>
  <c r="AV366" i="1"/>
  <c r="AU366" i="1"/>
  <c r="AU320" i="1"/>
  <c r="AV320" i="1" s="1"/>
  <c r="AU341" i="1"/>
  <c r="AV341" i="1" s="1"/>
  <c r="AU339" i="1"/>
  <c r="AV339" i="1"/>
  <c r="AU213" i="1"/>
  <c r="AV213" i="1" s="1"/>
  <c r="AV206" i="1"/>
  <c r="AU206" i="1"/>
  <c r="AV169" i="1"/>
  <c r="AU169" i="1"/>
  <c r="AU156" i="1"/>
  <c r="AV156" i="1" s="1"/>
  <c r="AU29" i="1"/>
  <c r="AV29" i="1"/>
  <c r="AQ29" i="1"/>
  <c r="AQ56" i="1"/>
  <c r="AR56" i="1" s="1"/>
  <c r="AU67" i="1"/>
  <c r="AV67" i="1" s="1"/>
  <c r="AU1173" i="1"/>
  <c r="AV1173" i="1" s="1"/>
  <c r="AV1061" i="1"/>
  <c r="AU1061" i="1"/>
  <c r="AU1053" i="1"/>
  <c r="AV1053" i="1"/>
  <c r="AU830" i="1"/>
  <c r="AV830" i="1" s="1"/>
  <c r="AU735" i="1"/>
  <c r="AV735" i="1" s="1"/>
  <c r="AU619" i="1"/>
  <c r="AV619" i="1" s="1"/>
  <c r="AV550" i="1"/>
  <c r="AU550" i="1"/>
  <c r="AV359" i="1"/>
  <c r="AU359" i="1"/>
  <c r="AU364" i="1"/>
  <c r="AV364" i="1" s="1"/>
  <c r="AU313" i="1"/>
  <c r="AV313" i="1" s="1"/>
  <c r="AU318" i="1"/>
  <c r="AV318" i="1" s="1"/>
  <c r="AU330" i="1"/>
  <c r="AV330" i="1" s="1"/>
  <c r="AV172" i="1"/>
  <c r="AU172" i="1"/>
  <c r="AU37" i="1"/>
  <c r="AV37" i="1" s="1"/>
  <c r="AU1147" i="1"/>
  <c r="AV1147" i="1" s="1"/>
  <c r="AU1076" i="1"/>
  <c r="AV1076" i="1" s="1"/>
  <c r="AU954" i="1"/>
  <c r="AV954" i="1" s="1"/>
  <c r="AV802" i="1"/>
  <c r="AU802" i="1"/>
  <c r="AV788" i="1"/>
  <c r="AU788" i="1"/>
  <c r="AU698" i="1"/>
  <c r="AV698" i="1" s="1"/>
  <c r="AU657" i="1"/>
  <c r="AV657" i="1" s="1"/>
  <c r="AU583" i="1"/>
  <c r="AV583" i="1"/>
  <c r="AU532" i="1"/>
  <c r="AV532" i="1" s="1"/>
  <c r="AV529" i="1"/>
  <c r="AU529" i="1"/>
  <c r="AV465" i="1"/>
  <c r="AU465" i="1"/>
  <c r="AU470" i="1"/>
  <c r="AV470" i="1" s="1"/>
  <c r="AU491" i="1"/>
  <c r="AV491" i="1" s="1"/>
  <c r="AU27" i="1"/>
  <c r="AV27" i="1" s="1"/>
  <c r="AQ6" i="1"/>
  <c r="AV1159" i="1"/>
  <c r="AU1159" i="1"/>
  <c r="AU971" i="1"/>
  <c r="AV971" i="1" s="1"/>
  <c r="AV893" i="1"/>
  <c r="AU893" i="1"/>
  <c r="AU679" i="1"/>
  <c r="AV679" i="1" s="1"/>
  <c r="AU554" i="1"/>
  <c r="AV554" i="1" s="1"/>
  <c r="AV474" i="1"/>
  <c r="AU474" i="1"/>
  <c r="AV302" i="1"/>
  <c r="AU302" i="1"/>
  <c r="AU260" i="1"/>
  <c r="AV260" i="1" s="1"/>
  <c r="AV188" i="1"/>
  <c r="AU188" i="1"/>
  <c r="AU151" i="1"/>
  <c r="AV151" i="1" s="1"/>
  <c r="AU138" i="1"/>
  <c r="AV138" i="1" s="1"/>
  <c r="AV93" i="1"/>
  <c r="AU93" i="1"/>
  <c r="AQ38" i="1"/>
  <c r="AV49" i="1"/>
  <c r="AU49" i="1"/>
  <c r="AV1098" i="1"/>
  <c r="AU1098" i="1"/>
  <c r="AU1012" i="1"/>
  <c r="AV1012" i="1" s="1"/>
  <c r="AU952" i="1"/>
  <c r="AV952" i="1" s="1"/>
  <c r="AU812" i="1"/>
  <c r="AV812" i="1" s="1"/>
  <c r="AU601" i="1"/>
  <c r="AV601" i="1" s="1"/>
  <c r="AV569" i="1"/>
  <c r="AU569" i="1"/>
  <c r="AU410" i="1"/>
  <c r="AV410" i="1" s="1"/>
  <c r="AU346" i="1"/>
  <c r="AV346" i="1"/>
  <c r="AU295" i="1"/>
  <c r="AV295" i="1" s="1"/>
  <c r="AU300" i="1"/>
  <c r="AV300" i="1" s="1"/>
  <c r="AU253" i="1"/>
  <c r="AV253" i="1" s="1"/>
  <c r="AV259" i="1"/>
  <c r="AU259" i="1"/>
  <c r="AV154" i="1"/>
  <c r="AU154" i="1"/>
  <c r="AU115" i="1"/>
  <c r="AV115" i="1" s="1"/>
  <c r="AU10" i="1"/>
  <c r="AV10" i="1" s="1"/>
  <c r="AU1179" i="1"/>
  <c r="AV1179" i="1" s="1"/>
  <c r="AU1111" i="1"/>
  <c r="AV1111" i="1" s="1"/>
  <c r="AV1060" i="1"/>
  <c r="AU1060" i="1"/>
  <c r="AV1046" i="1"/>
  <c r="AU1046" i="1"/>
  <c r="AU905" i="1"/>
  <c r="AV905" i="1" s="1"/>
  <c r="AU821" i="1"/>
  <c r="AV821" i="1" s="1"/>
  <c r="AU795" i="1"/>
  <c r="AV795" i="1" s="1"/>
  <c r="AU770" i="1"/>
  <c r="AV770" i="1" s="1"/>
  <c r="AV680" i="1"/>
  <c r="AU680" i="1"/>
  <c r="AV639" i="1"/>
  <c r="AU639" i="1"/>
  <c r="AU447" i="1"/>
  <c r="AV447" i="1" s="1"/>
  <c r="AU452" i="1"/>
  <c r="AV452" i="1" s="1"/>
  <c r="AU407" i="1"/>
  <c r="AV407" i="1" s="1"/>
  <c r="AU420" i="1"/>
  <c r="AV420" i="1" s="1"/>
  <c r="AU97" i="1"/>
  <c r="AV97" i="1" s="1"/>
  <c r="AV1162" i="1"/>
  <c r="AU1162" i="1"/>
  <c r="AU1081" i="1"/>
  <c r="AV1081" i="1" s="1"/>
  <c r="AU901" i="1"/>
  <c r="AV901" i="1" s="1"/>
  <c r="AV862" i="1"/>
  <c r="AU862" i="1"/>
  <c r="AV736" i="1"/>
  <c r="AU736" i="1"/>
  <c r="AU605" i="1"/>
  <c r="AV605" i="1" s="1"/>
  <c r="AV456" i="1"/>
  <c r="AU456" i="1"/>
  <c r="AU413" i="1"/>
  <c r="AV413" i="1" s="1"/>
  <c r="AU284" i="1"/>
  <c r="AV284" i="1" s="1"/>
  <c r="AV238" i="1"/>
  <c r="AU238" i="1"/>
  <c r="AV133" i="1"/>
  <c r="AU133" i="1"/>
  <c r="AU120" i="1"/>
  <c r="AV120" i="1" s="1"/>
  <c r="AV82" i="1"/>
  <c r="AU82" i="1"/>
  <c r="AU75" i="1"/>
  <c r="AV75" i="1" s="1"/>
  <c r="AU20" i="1"/>
  <c r="AV20" i="1"/>
  <c r="AQ20" i="1"/>
  <c r="AR20" i="1" s="1"/>
  <c r="AU1178" i="1"/>
  <c r="AV1178" i="1" s="1"/>
  <c r="AV1075" i="1"/>
  <c r="AU1075" i="1"/>
  <c r="AV895" i="1"/>
  <c r="AU895" i="1"/>
  <c r="AU856" i="1"/>
  <c r="AV856" i="1" s="1"/>
  <c r="AU730" i="1"/>
  <c r="AV730" i="1" s="1"/>
  <c r="AU624" i="1"/>
  <c r="AV624" i="1" s="1"/>
  <c r="AU599" i="1"/>
  <c r="AV599" i="1" s="1"/>
  <c r="AV525" i="1"/>
  <c r="AU525" i="1"/>
  <c r="AV450" i="1"/>
  <c r="AU450" i="1"/>
  <c r="AU278" i="1"/>
  <c r="AV278" i="1" s="1"/>
  <c r="AU232" i="1"/>
  <c r="AV232" i="1" s="1"/>
  <c r="AU127" i="1"/>
  <c r="AV127" i="1" s="1"/>
  <c r="AU114" i="1"/>
  <c r="AV114" i="1"/>
  <c r="AV76" i="1"/>
  <c r="AU76" i="1"/>
  <c r="AV69" i="1"/>
  <c r="AU69" i="1"/>
  <c r="AU1200" i="1"/>
  <c r="AV1200" i="1" s="1"/>
  <c r="AU1129" i="1"/>
  <c r="AV1129" i="1" s="1"/>
  <c r="AV1144" i="1"/>
  <c r="AU1144" i="1"/>
  <c r="AV1120" i="1"/>
  <c r="AU1120" i="1"/>
  <c r="AU929" i="1"/>
  <c r="AV929" i="1" s="1"/>
  <c r="AV889" i="1"/>
  <c r="AU889" i="1"/>
  <c r="AU850" i="1"/>
  <c r="AV850" i="1" s="1"/>
  <c r="AU724" i="1"/>
  <c r="AV724" i="1" s="1"/>
  <c r="AV656" i="1"/>
  <c r="AU656" i="1"/>
  <c r="AV618" i="1"/>
  <c r="AU618" i="1"/>
  <c r="AU593" i="1"/>
  <c r="AV593" i="1" s="1"/>
  <c r="AV519" i="1"/>
  <c r="AU519" i="1"/>
  <c r="AU444" i="1"/>
  <c r="AV444" i="1" s="1"/>
  <c r="AU255" i="1"/>
  <c r="AV255" i="1" s="1"/>
  <c r="AV226" i="1"/>
  <c r="AU226" i="1"/>
  <c r="AU187" i="1"/>
  <c r="AV187" i="1" s="1"/>
  <c r="AU108" i="1"/>
  <c r="AV108" i="1" s="1"/>
  <c r="AV70" i="1"/>
  <c r="AU70" i="1"/>
  <c r="AU63" i="1"/>
  <c r="AV63" i="1" s="1"/>
  <c r="AU920" i="1"/>
  <c r="AV920" i="1" s="1"/>
  <c r="AV898" i="1"/>
  <c r="AU898" i="1"/>
  <c r="AU781" i="1"/>
  <c r="AV781" i="1" s="1"/>
  <c r="AU596" i="1"/>
  <c r="AV596" i="1" s="1"/>
  <c r="AV449" i="1"/>
  <c r="AU449" i="1"/>
  <c r="AU367" i="1"/>
  <c r="AV367" i="1" s="1"/>
  <c r="AU321" i="1"/>
  <c r="AV321" i="1" s="1"/>
  <c r="AV266" i="1"/>
  <c r="AU266" i="1"/>
  <c r="AV8" i="1"/>
  <c r="AU8" i="1"/>
  <c r="AU628" i="1"/>
  <c r="AV628" i="1" s="1"/>
  <c r="AV1186" i="1"/>
  <c r="AU1186" i="1"/>
  <c r="AU1122" i="1"/>
  <c r="AV1122" i="1" s="1"/>
  <c r="AU1010" i="1"/>
  <c r="AV1010" i="1" s="1"/>
  <c r="AV836" i="1"/>
  <c r="AU836" i="1"/>
  <c r="AV1080" i="1"/>
  <c r="AU1080" i="1"/>
  <c r="AU615" i="1"/>
  <c r="AV615" i="1" s="1"/>
  <c r="AV540" i="1"/>
  <c r="AU540" i="1"/>
  <c r="AU274" i="1"/>
  <c r="AV274" i="1" s="1"/>
  <c r="AU216" i="1"/>
  <c r="AV216" i="1" s="1"/>
  <c r="AU837" i="1"/>
  <c r="AV837" i="1" s="1"/>
  <c r="AV669" i="1"/>
  <c r="AU669" i="1"/>
  <c r="AV700" i="1"/>
  <c r="AU700" i="1"/>
  <c r="AV421" i="1"/>
  <c r="AU421" i="1"/>
  <c r="AU374" i="1"/>
  <c r="AV374" i="1" s="1"/>
  <c r="AU1099" i="1"/>
  <c r="AV1099" i="1" s="1"/>
  <c r="AU738" i="1"/>
  <c r="AV738" i="1" s="1"/>
  <c r="AV487" i="1"/>
  <c r="AU487" i="1"/>
  <c r="S46" i="1"/>
  <c r="AV56" i="1"/>
  <c r="AU56" i="1"/>
  <c r="AU34" i="1"/>
  <c r="AV34" i="1" s="1"/>
  <c r="AU1164" i="1"/>
  <c r="AV1164" i="1" s="1"/>
  <c r="AV1058" i="1"/>
  <c r="AU1058" i="1"/>
  <c r="AV991" i="1"/>
  <c r="AU991" i="1"/>
  <c r="AU928" i="1"/>
  <c r="AV928" i="1" s="1"/>
  <c r="AV894" i="1"/>
  <c r="AU894" i="1"/>
  <c r="AU851" i="1"/>
  <c r="AV851" i="1" s="1"/>
  <c r="AU867" i="1"/>
  <c r="AV867" i="1" s="1"/>
  <c r="AV655" i="1"/>
  <c r="AU655" i="1"/>
  <c r="AV588" i="1"/>
  <c r="AU588" i="1"/>
  <c r="AU597" i="1"/>
  <c r="AV597" i="1" s="1"/>
  <c r="AV198" i="1"/>
  <c r="AU198" i="1"/>
  <c r="AU155" i="1"/>
  <c r="AV155" i="1" s="1"/>
  <c r="AQ66" i="1"/>
  <c r="AV682" i="1"/>
  <c r="AU682" i="1"/>
  <c r="AV514" i="1"/>
  <c r="AU514" i="1"/>
  <c r="AU356" i="1"/>
  <c r="AV356" i="1" s="1"/>
  <c r="AV322" i="1"/>
  <c r="AU322" i="1"/>
  <c r="AU6" i="1"/>
  <c r="AV6" i="1" s="1"/>
  <c r="AV1090" i="1"/>
  <c r="AU1090" i="1"/>
  <c r="AV916" i="1"/>
  <c r="AU916" i="1"/>
  <c r="AV720" i="1"/>
  <c r="AU720" i="1"/>
  <c r="AU573" i="1"/>
  <c r="AV573" i="1" s="1"/>
  <c r="AV469" i="1"/>
  <c r="AU469" i="1"/>
  <c r="AU103" i="1"/>
  <c r="AV103" i="1" s="1"/>
  <c r="AU38" i="1"/>
  <c r="AV38" i="1" s="1"/>
  <c r="AU1083" i="1"/>
  <c r="AV1083" i="1"/>
  <c r="AV1043" i="1"/>
  <c r="AU1043" i="1"/>
  <c r="AV945" i="1"/>
  <c r="AU945" i="1"/>
  <c r="AU918" i="1"/>
  <c r="AV918" i="1" s="1"/>
  <c r="AU849" i="1"/>
  <c r="AV849" i="1" s="1"/>
  <c r="AU780" i="1"/>
  <c r="AV780" i="1" s="1"/>
  <c r="AU637" i="1"/>
  <c r="AV637" i="1" s="1"/>
  <c r="AU415" i="1"/>
  <c r="AV415" i="1" s="1"/>
  <c r="AV137" i="1"/>
  <c r="AU137" i="1"/>
  <c r="AQ48" i="1"/>
  <c r="AU1142" i="1"/>
  <c r="AV1142" i="1" s="1"/>
  <c r="AU1121" i="1"/>
  <c r="AV1121" i="1" s="1"/>
  <c r="AU496" i="1"/>
  <c r="AV496" i="1" s="1"/>
  <c r="AV304" i="1"/>
  <c r="AU304" i="1"/>
  <c r="AV246" i="1"/>
  <c r="AU246" i="1"/>
  <c r="AU1125" i="1"/>
  <c r="AV1125" i="1"/>
  <c r="AV1074" i="1"/>
  <c r="AU1074" i="1"/>
  <c r="AV950" i="1"/>
  <c r="AU950" i="1"/>
  <c r="AV555" i="1"/>
  <c r="AU555" i="1"/>
  <c r="AU579" i="1"/>
  <c r="AV579" i="1" s="1"/>
  <c r="AV451" i="1"/>
  <c r="AU451" i="1"/>
  <c r="AU404" i="1"/>
  <c r="AV404" i="1" s="1"/>
  <c r="AV549" i="1"/>
  <c r="AU549" i="1"/>
  <c r="AV445" i="1"/>
  <c r="AU445" i="1"/>
  <c r="AV398" i="1"/>
  <c r="AU398" i="1"/>
  <c r="AU98" i="1"/>
  <c r="AV98" i="1"/>
  <c r="AU803" i="1"/>
  <c r="AV803" i="1" s="1"/>
  <c r="AU543" i="1"/>
  <c r="AV543" i="1" s="1"/>
  <c r="AU439" i="1"/>
  <c r="AV439" i="1" s="1"/>
  <c r="AU392" i="1"/>
  <c r="AV392" i="1" s="1"/>
  <c r="AU110" i="1"/>
  <c r="AV110" i="1" s="1"/>
  <c r="AV1106" i="1"/>
  <c r="AU1106" i="1"/>
  <c r="AV1072" i="1"/>
  <c r="AU1072" i="1"/>
  <c r="AU546" i="1"/>
  <c r="AV546" i="1" s="1"/>
  <c r="AU412" i="1"/>
  <c r="AV412" i="1" s="1"/>
  <c r="AQ64" i="1"/>
  <c r="AQ57" i="1"/>
  <c r="AR57" i="1" l="1"/>
  <c r="AR27" i="1"/>
  <c r="AR23" i="1"/>
  <c r="AR51" i="1"/>
  <c r="N32" i="1"/>
  <c r="AR65" i="1"/>
  <c r="AR41" i="1"/>
  <c r="N37" i="1"/>
  <c r="R53" i="1"/>
  <c r="S40" i="1"/>
  <c r="N17" i="1"/>
  <c r="N22" i="1"/>
  <c r="N18" i="1"/>
  <c r="D9" i="1"/>
  <c r="AY8" i="1"/>
  <c r="R12" i="1"/>
  <c r="S65" i="1"/>
  <c r="S63" i="1"/>
  <c r="AR38" i="1"/>
  <c r="AR35" i="1"/>
  <c r="AR67" i="1"/>
  <c r="AR37" i="1"/>
  <c r="AR16" i="1"/>
  <c r="N61" i="1"/>
  <c r="AR31" i="1"/>
  <c r="AR60" i="1"/>
  <c r="AR13" i="1"/>
  <c r="S39" i="1"/>
  <c r="N53" i="1"/>
  <c r="S36" i="1"/>
  <c r="R35" i="1"/>
  <c r="S55" i="1"/>
  <c r="R44" i="1"/>
  <c r="S41" i="1"/>
  <c r="S43" i="1"/>
  <c r="AR64" i="1"/>
  <c r="AR6" i="1"/>
  <c r="N51" i="1"/>
  <c r="N5" i="1"/>
  <c r="R60" i="1"/>
  <c r="N46" i="1"/>
  <c r="R5" i="1"/>
  <c r="S38" i="1"/>
  <c r="S6" i="1"/>
  <c r="R50" i="1"/>
  <c r="S56" i="1"/>
  <c r="R14" i="1"/>
  <c r="R68" i="1"/>
  <c r="S16" i="1"/>
  <c r="N43" i="1"/>
  <c r="N6" i="1"/>
  <c r="N28" i="1"/>
  <c r="N50" i="1"/>
  <c r="N68" i="1"/>
  <c r="N57" i="1"/>
  <c r="N30" i="1"/>
  <c r="N36" i="1"/>
  <c r="R32" i="1"/>
  <c r="N54" i="1"/>
  <c r="R8" i="1"/>
  <c r="S31" i="1"/>
  <c r="N56" i="1"/>
  <c r="R54" i="1"/>
  <c r="S5" i="1"/>
  <c r="S28" i="1"/>
  <c r="S50" i="1"/>
  <c r="S18" i="1"/>
  <c r="R18" i="1"/>
  <c r="S14" i="1"/>
  <c r="S68" i="1"/>
  <c r="S7" i="1"/>
  <c r="AR33" i="1"/>
  <c r="R38" i="1"/>
  <c r="N19" i="1"/>
  <c r="R7" i="1"/>
  <c r="AR50" i="1"/>
  <c r="AR68" i="1"/>
  <c r="S30" i="1"/>
  <c r="AR39" i="1"/>
  <c r="S10" i="1"/>
  <c r="N25" i="1"/>
  <c r="S53" i="1"/>
  <c r="S11" i="1"/>
  <c r="S61" i="1"/>
  <c r="R66" i="1"/>
  <c r="S35" i="1"/>
  <c r="N55" i="1"/>
  <c r="S44" i="1"/>
  <c r="N41" i="1"/>
  <c r="S9" i="1"/>
  <c r="N26" i="1"/>
  <c r="AR49" i="1"/>
  <c r="AR34" i="1"/>
  <c r="AR58" i="1"/>
  <c r="AR10" i="1"/>
  <c r="AR9" i="1"/>
  <c r="AR46" i="1"/>
  <c r="R24" i="1"/>
  <c r="R25" i="1"/>
  <c r="N16" i="1"/>
  <c r="R11" i="1"/>
  <c r="N52" i="1"/>
  <c r="N66" i="1"/>
  <c r="N35" i="1"/>
  <c r="R55" i="1"/>
  <c r="N44" i="1"/>
  <c r="R41" i="1"/>
  <c r="R26" i="1"/>
  <c r="R64" i="1"/>
  <c r="AR29" i="1"/>
  <c r="AR36" i="1"/>
  <c r="AR54" i="1"/>
  <c r="AR62" i="1"/>
  <c r="AR15" i="1"/>
  <c r="N9" i="1"/>
  <c r="N39" i="1"/>
  <c r="S24" i="1"/>
  <c r="S60" i="1"/>
  <c r="AR61" i="1"/>
  <c r="S25" i="1"/>
  <c r="R10" i="1"/>
  <c r="N11" i="1"/>
  <c r="S52" i="1"/>
  <c r="S66" i="1"/>
  <c r="N58" i="1"/>
  <c r="S23" i="1"/>
  <c r="R48" i="1"/>
  <c r="AR63" i="1"/>
  <c r="AR66" i="1"/>
  <c r="AR32" i="1"/>
  <c r="R43" i="1"/>
  <c r="N10" i="1"/>
  <c r="R21" i="1"/>
  <c r="S33" i="1"/>
  <c r="S34" i="1"/>
  <c r="AR47" i="1"/>
  <c r="AR53" i="1"/>
  <c r="AR25" i="1"/>
  <c r="R59" i="1"/>
  <c r="S21" i="1"/>
  <c r="R52" i="1"/>
  <c r="N33" i="1"/>
  <c r="S58" i="1"/>
  <c r="R34" i="1"/>
  <c r="N48" i="1"/>
  <c r="S32" i="1"/>
  <c r="AR12" i="1"/>
  <c r="AR44" i="1"/>
  <c r="S8" i="1"/>
  <c r="AR55" i="1"/>
  <c r="R33" i="1"/>
  <c r="R23" i="1"/>
  <c r="AR59" i="1"/>
  <c r="N59" i="1"/>
  <c r="R19" i="1"/>
  <c r="N60" i="1"/>
  <c r="R58" i="1"/>
  <c r="N8" i="1"/>
  <c r="R56" i="1"/>
  <c r="N67" i="1"/>
  <c r="S48" i="1"/>
  <c r="AR45" i="1"/>
  <c r="R57" i="1"/>
  <c r="N23" i="1"/>
  <c r="S59" i="1"/>
  <c r="N38" i="1"/>
  <c r="N42" i="1"/>
  <c r="N24" i="1"/>
  <c r="N31" i="1"/>
  <c r="N29" i="1"/>
  <c r="N20" i="1"/>
  <c r="R67" i="1"/>
  <c r="S54" i="1"/>
  <c r="R62" i="1"/>
  <c r="R42" i="1"/>
  <c r="AR48" i="1"/>
  <c r="R31" i="1"/>
  <c r="AR52" i="1"/>
  <c r="R61" i="1"/>
  <c r="AR30" i="1"/>
  <c r="S19" i="1"/>
  <c r="S49" i="1"/>
  <c r="S47" i="1"/>
  <c r="N45" i="1"/>
  <c r="R6" i="1"/>
  <c r="R46" i="1"/>
  <c r="R30" i="1"/>
  <c r="R13" i="1"/>
  <c r="N7" i="1"/>
  <c r="R29" i="1"/>
  <c r="R20" i="1"/>
  <c r="S67" i="1"/>
  <c r="S62" i="1"/>
  <c r="AR8" i="1"/>
  <c r="AR17" i="1"/>
  <c r="AR24" i="1"/>
  <c r="R16" i="1"/>
  <c r="S51" i="1"/>
  <c r="S42" i="1"/>
  <c r="N49" i="1"/>
  <c r="R47" i="1"/>
  <c r="R45" i="1"/>
  <c r="R51" i="1"/>
  <c r="N13" i="1"/>
  <c r="S15" i="1"/>
  <c r="S29" i="1"/>
  <c r="S20" i="1"/>
  <c r="S57" i="1"/>
  <c r="R27" i="1"/>
  <c r="N62" i="1"/>
  <c r="AT3" i="1"/>
  <c r="AV3" i="1"/>
  <c r="AV1" i="1"/>
  <c r="AT2" i="1"/>
  <c r="AR11" i="1"/>
  <c r="R36" i="1"/>
  <c r="AR26" i="1"/>
  <c r="N34" i="1"/>
  <c r="AR42" i="1"/>
  <c r="R49" i="1"/>
  <c r="AR5" i="1"/>
  <c r="AR28" i="1"/>
  <c r="AR18" i="1"/>
  <c r="AR19" i="1"/>
  <c r="AR21" i="1"/>
  <c r="AR40" i="1"/>
  <c r="R37" i="1"/>
  <c r="N47" i="1"/>
  <c r="S45" i="1"/>
  <c r="N40" i="1"/>
  <c r="R17" i="1"/>
  <c r="S22" i="1"/>
  <c r="S13" i="1"/>
  <c r="N15" i="1"/>
  <c r="N12" i="1"/>
  <c r="R65" i="1"/>
  <c r="N63" i="1"/>
  <c r="S27" i="1"/>
  <c r="N64" i="1"/>
  <c r="AR22" i="1"/>
  <c r="AR7" i="1"/>
  <c r="N21" i="1"/>
  <c r="AR14" i="1"/>
  <c r="AR43" i="1"/>
  <c r="S37" i="1"/>
  <c r="N14" i="1"/>
  <c r="R40" i="1"/>
  <c r="S17" i="1"/>
  <c r="R22" i="1"/>
  <c r="R28" i="1"/>
  <c r="R15" i="1"/>
  <c r="S12" i="1"/>
  <c r="N65" i="1"/>
  <c r="R63" i="1"/>
  <c r="N27" i="1"/>
  <c r="O14" i="1" l="1"/>
  <c r="Q14" i="1"/>
  <c r="O12" i="1"/>
  <c r="Q12" i="1"/>
  <c r="O49" i="1"/>
  <c r="Q49" i="1"/>
  <c r="O23" i="1"/>
  <c r="Q23" i="1"/>
  <c r="O39" i="1"/>
  <c r="Q39" i="1"/>
  <c r="Q15" i="1"/>
  <c r="O15" i="1"/>
  <c r="O9" i="1"/>
  <c r="Q9" i="1"/>
  <c r="O35" i="1"/>
  <c r="Q35" i="1"/>
  <c r="Q25" i="1"/>
  <c r="O25" i="1"/>
  <c r="O36" i="1"/>
  <c r="Q36" i="1"/>
  <c r="Q62" i="1"/>
  <c r="O62" i="1"/>
  <c r="O66" i="1"/>
  <c r="Q66" i="1"/>
  <c r="O30" i="1"/>
  <c r="Q30" i="1"/>
  <c r="Q37" i="1"/>
  <c r="O37" i="1"/>
  <c r="Q27" i="1"/>
  <c r="O27" i="1"/>
  <c r="O58" i="1"/>
  <c r="Q58" i="1"/>
  <c r="O52" i="1"/>
  <c r="Q52" i="1"/>
  <c r="Q26" i="1"/>
  <c r="O26" i="1"/>
  <c r="O57" i="1"/>
  <c r="Q57" i="1"/>
  <c r="O21" i="1"/>
  <c r="Q21" i="1"/>
  <c r="O45" i="1"/>
  <c r="Q45" i="1"/>
  <c r="O67" i="1"/>
  <c r="Q67" i="1"/>
  <c r="O68" i="1"/>
  <c r="Q68" i="1"/>
  <c r="O65" i="1"/>
  <c r="Q65" i="1"/>
  <c r="O40" i="1"/>
  <c r="Q40" i="1"/>
  <c r="O34" i="1"/>
  <c r="Q34" i="1"/>
  <c r="O20" i="1"/>
  <c r="Q20" i="1"/>
  <c r="Q16" i="1"/>
  <c r="O16" i="1"/>
  <c r="O41" i="1"/>
  <c r="Q41" i="1"/>
  <c r="O50" i="1"/>
  <c r="Q50" i="1"/>
  <c r="Q46" i="1"/>
  <c r="O46" i="1"/>
  <c r="O53" i="1"/>
  <c r="Q53" i="1"/>
  <c r="O32" i="1"/>
  <c r="Q32" i="1"/>
  <c r="O29" i="1"/>
  <c r="Q29" i="1"/>
  <c r="Q8" i="1"/>
  <c r="O8" i="1"/>
  <c r="Q11" i="1"/>
  <c r="O11" i="1"/>
  <c r="O28" i="1"/>
  <c r="Q28" i="1"/>
  <c r="O64" i="1"/>
  <c r="Q64" i="1"/>
  <c r="Q47" i="1"/>
  <c r="O47" i="1"/>
  <c r="Q31" i="1"/>
  <c r="O31" i="1"/>
  <c r="O48" i="1"/>
  <c r="Q48" i="1"/>
  <c r="Q55" i="1"/>
  <c r="O55" i="1"/>
  <c r="O6" i="1"/>
  <c r="Q6" i="1"/>
  <c r="Q5" i="1"/>
  <c r="O5" i="1"/>
  <c r="O13" i="1"/>
  <c r="Q13" i="1"/>
  <c r="Q24" i="1"/>
  <c r="O24" i="1"/>
  <c r="O60" i="1"/>
  <c r="Q60" i="1"/>
  <c r="O10" i="1"/>
  <c r="Q10" i="1"/>
  <c r="O19" i="1"/>
  <c r="Q19" i="1"/>
  <c r="O56" i="1"/>
  <c r="Q56" i="1"/>
  <c r="O43" i="1"/>
  <c r="Q43" i="1"/>
  <c r="Q51" i="1"/>
  <c r="O51" i="1"/>
  <c r="AY9" i="1"/>
  <c r="D10" i="1"/>
  <c r="Q42" i="1"/>
  <c r="O42" i="1"/>
  <c r="Q18" i="1"/>
  <c r="O18" i="1"/>
  <c r="O63" i="1"/>
  <c r="Q63" i="1"/>
  <c r="O38" i="1"/>
  <c r="Q38" i="1"/>
  <c r="O59" i="1"/>
  <c r="Q59" i="1"/>
  <c r="O33" i="1"/>
  <c r="Q33" i="1"/>
  <c r="O61" i="1"/>
  <c r="Q61" i="1"/>
  <c r="Q22" i="1"/>
  <c r="O22" i="1"/>
  <c r="Q7" i="1"/>
  <c r="O7" i="1"/>
  <c r="Q44" i="1"/>
  <c r="O44" i="1"/>
  <c r="Q54" i="1"/>
  <c r="O54" i="1"/>
  <c r="Q17" i="1"/>
  <c r="O17" i="1"/>
  <c r="T31" i="1" l="1"/>
  <c r="U61" i="1"/>
  <c r="U47" i="1"/>
  <c r="T32" i="1"/>
  <c r="T5" i="1"/>
  <c r="P63" i="1"/>
  <c r="K63" i="1"/>
  <c r="L63" i="1" s="1"/>
  <c r="P42" i="1"/>
  <c r="K42" i="1"/>
  <c r="L42" i="1" s="1"/>
  <c r="P43" i="1"/>
  <c r="K43" i="1"/>
  <c r="L43" i="1" s="1"/>
  <c r="P60" i="1"/>
  <c r="K60" i="1"/>
  <c r="L60" i="1" s="1"/>
  <c r="T54" i="1"/>
  <c r="U19" i="1"/>
  <c r="P29" i="1"/>
  <c r="K29" i="1"/>
  <c r="L29" i="1" s="1"/>
  <c r="P68" i="1"/>
  <c r="K68" i="1"/>
  <c r="L68" i="1" s="1"/>
  <c r="T17" i="1"/>
  <c r="P52" i="1"/>
  <c r="K52" i="1"/>
  <c r="L52" i="1" s="1"/>
  <c r="T62" i="1"/>
  <c r="P25" i="1"/>
  <c r="K25" i="1"/>
  <c r="L25" i="1" s="1"/>
  <c r="U42" i="1"/>
  <c r="P39" i="1"/>
  <c r="K39" i="1"/>
  <c r="L39" i="1" s="1"/>
  <c r="U43" i="1"/>
  <c r="P7" i="1"/>
  <c r="K7" i="1"/>
  <c r="L7" i="1" s="1"/>
  <c r="T41" i="1"/>
  <c r="U17" i="1"/>
  <c r="P24" i="1"/>
  <c r="K24" i="1"/>
  <c r="L24" i="1" s="1"/>
  <c r="T7" i="1"/>
  <c r="U62" i="1"/>
  <c r="P28" i="1"/>
  <c r="K28" i="1"/>
  <c r="L28" i="1" s="1"/>
  <c r="U49" i="1"/>
  <c r="P50" i="1"/>
  <c r="K50" i="1"/>
  <c r="L50" i="1" s="1"/>
  <c r="U20" i="1"/>
  <c r="U50" i="1"/>
  <c r="P37" i="1"/>
  <c r="K37" i="1"/>
  <c r="L37" i="1" s="1"/>
  <c r="T46" i="1"/>
  <c r="P15" i="1"/>
  <c r="K15" i="1"/>
  <c r="L15" i="1" s="1"/>
  <c r="U21" i="1"/>
  <c r="T14" i="1"/>
  <c r="U60" i="1"/>
  <c r="P18" i="1"/>
  <c r="K18" i="1"/>
  <c r="L18" i="1" s="1"/>
  <c r="T61" i="1"/>
  <c r="P56" i="1"/>
  <c r="K56" i="1"/>
  <c r="L56" i="1" s="1"/>
  <c r="P55" i="1"/>
  <c r="K55" i="1"/>
  <c r="L55" i="1" s="1"/>
  <c r="U15" i="1"/>
  <c r="U5" i="1"/>
  <c r="V5" i="1" s="1"/>
  <c r="U29" i="1"/>
  <c r="U28" i="1"/>
  <c r="U30" i="1"/>
  <c r="P21" i="1"/>
  <c r="K21" i="1"/>
  <c r="L21" i="1" s="1"/>
  <c r="P58" i="1"/>
  <c r="K58" i="1"/>
  <c r="L58" i="1" s="1"/>
  <c r="U51" i="1"/>
  <c r="T23" i="1"/>
  <c r="P54" i="1"/>
  <c r="K54" i="1"/>
  <c r="L54" i="1" s="1"/>
  <c r="T47" i="1"/>
  <c r="V47" i="1" s="1"/>
  <c r="T20" i="1"/>
  <c r="V20" i="1" s="1"/>
  <c r="U67" i="1"/>
  <c r="T36" i="1"/>
  <c r="U44" i="1"/>
  <c r="U45" i="1"/>
  <c r="P34" i="1"/>
  <c r="K34" i="1"/>
  <c r="L34" i="1" s="1"/>
  <c r="U9" i="1"/>
  <c r="T63" i="1"/>
  <c r="U8" i="1"/>
  <c r="U55" i="1"/>
  <c r="P62" i="1"/>
  <c r="K62" i="1"/>
  <c r="L62" i="1" s="1"/>
  <c r="P35" i="1"/>
  <c r="K35" i="1"/>
  <c r="L35" i="1" s="1"/>
  <c r="U37" i="1"/>
  <c r="T65" i="1"/>
  <c r="P33" i="1"/>
  <c r="K33" i="1"/>
  <c r="L33" i="1" s="1"/>
  <c r="U16" i="1"/>
  <c r="T51" i="1"/>
  <c r="P19" i="1"/>
  <c r="K19" i="1"/>
  <c r="L19" i="1" s="1"/>
  <c r="T24" i="1"/>
  <c r="P47" i="1"/>
  <c r="K47" i="1"/>
  <c r="L47" i="1" s="1"/>
  <c r="T25" i="1"/>
  <c r="U12" i="1"/>
  <c r="P41" i="1"/>
  <c r="K41" i="1"/>
  <c r="L41" i="1" s="1"/>
  <c r="T11" i="1"/>
  <c r="T35" i="1"/>
  <c r="V35" i="1" s="1"/>
  <c r="U48" i="1"/>
  <c r="U6" i="1"/>
  <c r="U40" i="1"/>
  <c r="P23" i="1"/>
  <c r="K23" i="1"/>
  <c r="L23" i="1" s="1"/>
  <c r="U7" i="1"/>
  <c r="T40" i="1"/>
  <c r="U31" i="1"/>
  <c r="V31" i="1" s="1"/>
  <c r="U27" i="1"/>
  <c r="U35" i="1"/>
  <c r="P13" i="1"/>
  <c r="K13" i="1"/>
  <c r="L13" i="1" s="1"/>
  <c r="T10" i="1"/>
  <c r="P11" i="1"/>
  <c r="K11" i="1"/>
  <c r="L11" i="1" s="1"/>
  <c r="P16" i="1"/>
  <c r="K16" i="1"/>
  <c r="L16" i="1" s="1"/>
  <c r="P40" i="1"/>
  <c r="K40" i="1"/>
  <c r="L40" i="1" s="1"/>
  <c r="U66" i="1"/>
  <c r="U38" i="1"/>
  <c r="U54" i="1"/>
  <c r="U13" i="1"/>
  <c r="P9" i="1"/>
  <c r="K9" i="1"/>
  <c r="L9" i="1" s="1"/>
  <c r="U41" i="1"/>
  <c r="T13" i="1"/>
  <c r="U11" i="1"/>
  <c r="P22" i="1"/>
  <c r="K22" i="1"/>
  <c r="L22" i="1" s="1"/>
  <c r="P59" i="1"/>
  <c r="K59" i="1"/>
  <c r="L59" i="1" s="1"/>
  <c r="T38" i="1"/>
  <c r="V38" i="1" s="1"/>
  <c r="T22" i="1"/>
  <c r="T64" i="1"/>
  <c r="T37" i="1"/>
  <c r="V37" i="1" s="1"/>
  <c r="T21" i="1"/>
  <c r="P32" i="1"/>
  <c r="K32" i="1"/>
  <c r="L32" i="1" s="1"/>
  <c r="T6" i="1"/>
  <c r="V6" i="1" s="1"/>
  <c r="P30" i="1"/>
  <c r="K30" i="1"/>
  <c r="L30" i="1" s="1"/>
  <c r="T53" i="1"/>
  <c r="T48" i="1"/>
  <c r="U56" i="1"/>
  <c r="P44" i="1"/>
  <c r="K44" i="1"/>
  <c r="L44" i="1" s="1"/>
  <c r="T66" i="1"/>
  <c r="D11" i="1"/>
  <c r="AY10" i="1"/>
  <c r="U25" i="1"/>
  <c r="T28" i="1"/>
  <c r="P64" i="1"/>
  <c r="K64" i="1"/>
  <c r="L64" i="1" s="1"/>
  <c r="U33" i="1"/>
  <c r="U65" i="1"/>
  <c r="U52" i="1"/>
  <c r="P65" i="1"/>
  <c r="K65" i="1"/>
  <c r="L65" i="1" s="1"/>
  <c r="P67" i="1"/>
  <c r="K67" i="1"/>
  <c r="L67" i="1" s="1"/>
  <c r="P57" i="1"/>
  <c r="K57" i="1"/>
  <c r="L57" i="1" s="1"/>
  <c r="T16" i="1"/>
  <c r="T18" i="1"/>
  <c r="T44" i="1"/>
  <c r="V44" i="1" s="1"/>
  <c r="T59" i="1"/>
  <c r="P49" i="1"/>
  <c r="K49" i="1"/>
  <c r="L49" i="1" s="1"/>
  <c r="P38" i="1"/>
  <c r="K38" i="1"/>
  <c r="L38" i="1" s="1"/>
  <c r="T26" i="1"/>
  <c r="I1207" i="1"/>
  <c r="I1206" i="1" s="1"/>
  <c r="P5" i="1"/>
  <c r="K5" i="1"/>
  <c r="U26" i="1"/>
  <c r="T39" i="1"/>
  <c r="U46" i="1"/>
  <c r="U64" i="1"/>
  <c r="T9" i="1"/>
  <c r="V9" i="1" s="1"/>
  <c r="P48" i="1"/>
  <c r="K48" i="1"/>
  <c r="L48" i="1" s="1"/>
  <c r="T15" i="1"/>
  <c r="U32" i="1"/>
  <c r="V32" i="1" s="1"/>
  <c r="U34" i="1"/>
  <c r="U63" i="1"/>
  <c r="T67" i="1"/>
  <c r="V67" i="1" s="1"/>
  <c r="U18" i="1"/>
  <c r="T27" i="1"/>
  <c r="V27" i="1" s="1"/>
  <c r="U10" i="1"/>
  <c r="T50" i="1"/>
  <c r="T33" i="1"/>
  <c r="V33" i="1" s="1"/>
  <c r="U68" i="1"/>
  <c r="U24" i="1"/>
  <c r="P61" i="1"/>
  <c r="K61" i="1"/>
  <c r="L61" i="1" s="1"/>
  <c r="T29" i="1"/>
  <c r="T43" i="1"/>
  <c r="V43" i="1" s="1"/>
  <c r="P51" i="1"/>
  <c r="K51" i="1"/>
  <c r="L51" i="1" s="1"/>
  <c r="P10" i="1"/>
  <c r="K10" i="1"/>
  <c r="L10" i="1" s="1"/>
  <c r="T58" i="1"/>
  <c r="T12" i="1"/>
  <c r="V12" i="1" s="1"/>
  <c r="P8" i="1"/>
  <c r="K8" i="1"/>
  <c r="L8" i="1" s="1"/>
  <c r="P53" i="1"/>
  <c r="K53" i="1"/>
  <c r="L53" i="1" s="1"/>
  <c r="T56" i="1"/>
  <c r="U36" i="1"/>
  <c r="P26" i="1"/>
  <c r="K26" i="1"/>
  <c r="L26" i="1" s="1"/>
  <c r="T49" i="1"/>
  <c r="V49" i="1" s="1"/>
  <c r="T57" i="1"/>
  <c r="U53" i="1"/>
  <c r="P12" i="1"/>
  <c r="K12" i="1"/>
  <c r="L12" i="1" s="1"/>
  <c r="T52" i="1"/>
  <c r="T68" i="1"/>
  <c r="T45" i="1"/>
  <c r="V45" i="1" s="1"/>
  <c r="U58" i="1"/>
  <c r="T34" i="1"/>
  <c r="P31" i="1"/>
  <c r="K31" i="1"/>
  <c r="L31" i="1" s="1"/>
  <c r="U39" i="1"/>
  <c r="P46" i="1"/>
  <c r="K46" i="1"/>
  <c r="L46" i="1" s="1"/>
  <c r="P45" i="1"/>
  <c r="K45" i="1"/>
  <c r="L45" i="1" s="1"/>
  <c r="U22" i="1"/>
  <c r="P66" i="1"/>
  <c r="K66" i="1"/>
  <c r="L66" i="1" s="1"/>
  <c r="P36" i="1"/>
  <c r="K36" i="1"/>
  <c r="L36" i="1" s="1"/>
  <c r="T42" i="1"/>
  <c r="T55" i="1"/>
  <c r="P17" i="1"/>
  <c r="K17" i="1"/>
  <c r="L17" i="1" s="1"/>
  <c r="U59" i="1"/>
  <c r="T8" i="1"/>
  <c r="V8" i="1" s="1"/>
  <c r="T19" i="1"/>
  <c r="P6" i="1"/>
  <c r="K6" i="1"/>
  <c r="L6" i="1" s="1"/>
  <c r="T60" i="1"/>
  <c r="V60" i="1" s="1"/>
  <c r="P20" i="1"/>
  <c r="K20" i="1"/>
  <c r="L20" i="1" s="1"/>
  <c r="U57" i="1"/>
  <c r="P27" i="1"/>
  <c r="K27" i="1"/>
  <c r="L27" i="1" s="1"/>
  <c r="U23" i="1"/>
  <c r="U14" i="1"/>
  <c r="T30" i="1"/>
  <c r="V30" i="1" s="1"/>
  <c r="P14" i="1"/>
  <c r="K14" i="1"/>
  <c r="L14" i="1" s="1"/>
  <c r="V34" i="1" l="1"/>
  <c r="V48" i="1"/>
  <c r="V58" i="1"/>
  <c r="V28" i="1"/>
  <c r="V42" i="1"/>
  <c r="V61" i="1"/>
  <c r="V13" i="1"/>
  <c r="V50" i="1"/>
  <c r="V56" i="1"/>
  <c r="V51" i="1"/>
  <c r="V52" i="1"/>
  <c r="V16" i="1"/>
  <c r="V55" i="1"/>
  <c r="V66" i="1"/>
  <c r="V15" i="1"/>
  <c r="V59" i="1"/>
  <c r="V40" i="1"/>
  <c r="V39" i="1"/>
  <c r="V18" i="1"/>
  <c r="AB27" i="1"/>
  <c r="AB62" i="1"/>
  <c r="AB31" i="1"/>
  <c r="AB26" i="1"/>
  <c r="AB51" i="1"/>
  <c r="V24" i="1"/>
  <c r="AB15" i="1"/>
  <c r="V54" i="1"/>
  <c r="L5" i="1"/>
  <c r="J45" i="1" s="1"/>
  <c r="I3" i="1"/>
  <c r="N3" i="1" s="1"/>
  <c r="M3" i="1" s="1"/>
  <c r="B2" i="1" s="1"/>
  <c r="AB57" i="1"/>
  <c r="AB32" i="1"/>
  <c r="AB11" i="1"/>
  <c r="AB19" i="1"/>
  <c r="AB54" i="1"/>
  <c r="V7" i="1"/>
  <c r="AB25" i="1"/>
  <c r="AB60" i="1"/>
  <c r="AB20" i="1"/>
  <c r="AB36" i="1"/>
  <c r="AB55" i="1"/>
  <c r="V46" i="1"/>
  <c r="AB24" i="1"/>
  <c r="AB16" i="1"/>
  <c r="V29" i="1"/>
  <c r="AB67" i="1"/>
  <c r="AY11" i="1"/>
  <c r="D12" i="1"/>
  <c r="V21" i="1"/>
  <c r="AB9" i="1"/>
  <c r="V10" i="1"/>
  <c r="V63" i="1"/>
  <c r="V23" i="1"/>
  <c r="AB37" i="1"/>
  <c r="V62" i="1"/>
  <c r="AB43" i="1"/>
  <c r="AB66" i="1"/>
  <c r="AB53" i="1"/>
  <c r="AB61" i="1"/>
  <c r="V26" i="1"/>
  <c r="AB13" i="1"/>
  <c r="AB56" i="1"/>
  <c r="AB52" i="1"/>
  <c r="AB6" i="1"/>
  <c r="V68" i="1"/>
  <c r="AB38" i="1"/>
  <c r="AB65" i="1"/>
  <c r="AB44" i="1"/>
  <c r="V64" i="1"/>
  <c r="V11" i="1"/>
  <c r="AB33" i="1"/>
  <c r="AB34" i="1"/>
  <c r="AB58" i="1"/>
  <c r="V41" i="1"/>
  <c r="AB42" i="1"/>
  <c r="AB14" i="1"/>
  <c r="AB8" i="1"/>
  <c r="AB48" i="1"/>
  <c r="V22" i="1"/>
  <c r="AB41" i="1"/>
  <c r="AB7" i="1"/>
  <c r="V17" i="1"/>
  <c r="AB23" i="1"/>
  <c r="V19" i="1"/>
  <c r="AB45" i="1"/>
  <c r="AB12" i="1"/>
  <c r="AB49" i="1"/>
  <c r="V65" i="1"/>
  <c r="AB21" i="1"/>
  <c r="AB18" i="1"/>
  <c r="AB50" i="1"/>
  <c r="AB68" i="1"/>
  <c r="AB63" i="1"/>
  <c r="AB59" i="1"/>
  <c r="V53" i="1"/>
  <c r="AB40" i="1"/>
  <c r="V25" i="1"/>
  <c r="AB35" i="1"/>
  <c r="V36" i="1"/>
  <c r="AB29" i="1"/>
  <c r="AB46" i="1"/>
  <c r="AB17" i="1"/>
  <c r="V57" i="1"/>
  <c r="AB10" i="1"/>
  <c r="AB64" i="1"/>
  <c r="AB30" i="1"/>
  <c r="AB22" i="1"/>
  <c r="AB47" i="1"/>
  <c r="V14" i="1"/>
  <c r="AB28" i="1"/>
  <c r="AB39" i="1"/>
  <c r="J49" i="1" l="1"/>
  <c r="M49" i="1" s="1"/>
  <c r="J14" i="1"/>
  <c r="J12" i="1"/>
  <c r="J30" i="1"/>
  <c r="J22" i="1"/>
  <c r="AP22" i="1" s="1"/>
  <c r="J63" i="1"/>
  <c r="J59" i="1"/>
  <c r="J46" i="1"/>
  <c r="J68" i="1"/>
  <c r="J47" i="1"/>
  <c r="X47" i="1" s="1"/>
  <c r="J29" i="1"/>
  <c r="AP29" i="1" s="1"/>
  <c r="J50" i="1"/>
  <c r="AP50" i="1" s="1"/>
  <c r="H1206" i="1"/>
  <c r="J1206" i="1" s="1"/>
  <c r="J64" i="1"/>
  <c r="M64" i="1" s="1"/>
  <c r="J35" i="1"/>
  <c r="J18" i="1"/>
  <c r="J28" i="1"/>
  <c r="M28" i="1" s="1"/>
  <c r="J10" i="1"/>
  <c r="J7" i="1"/>
  <c r="J21" i="1"/>
  <c r="J17" i="1"/>
  <c r="J6" i="1"/>
  <c r="M6" i="1" s="1"/>
  <c r="J20" i="1"/>
  <c r="AP20" i="1" s="1"/>
  <c r="J13" i="1"/>
  <c r="AP13" i="1" s="1"/>
  <c r="J44" i="1"/>
  <c r="M44" i="1" s="1"/>
  <c r="J8" i="1"/>
  <c r="M8" i="1" s="1"/>
  <c r="J9" i="1"/>
  <c r="M9" i="1" s="1"/>
  <c r="J60" i="1"/>
  <c r="AP60" i="1" s="1"/>
  <c r="J66" i="1"/>
  <c r="M66" i="1" s="1"/>
  <c r="J38" i="1"/>
  <c r="M38" i="1" s="1"/>
  <c r="J42" i="1"/>
  <c r="M42" i="1" s="1"/>
  <c r="J23" i="1"/>
  <c r="X23" i="1" s="1"/>
  <c r="J43" i="1"/>
  <c r="AP43" i="1" s="1"/>
  <c r="J41" i="1"/>
  <c r="AP41" i="1" s="1"/>
  <c r="J33" i="1"/>
  <c r="M33" i="1" s="1"/>
  <c r="J16" i="1"/>
  <c r="M16" i="1" s="1"/>
  <c r="J48" i="1"/>
  <c r="AP48" i="1" s="1"/>
  <c r="J24" i="1"/>
  <c r="AP24" i="1" s="1"/>
  <c r="J5" i="1"/>
  <c r="AB5" i="1"/>
  <c r="J19" i="1"/>
  <c r="M7" i="1"/>
  <c r="X7" i="1"/>
  <c r="AP7" i="1"/>
  <c r="J11" i="1"/>
  <c r="J15" i="1"/>
  <c r="J31" i="1"/>
  <c r="X18" i="1"/>
  <c r="M18" i="1"/>
  <c r="AP18" i="1"/>
  <c r="AY12" i="1"/>
  <c r="D13" i="1"/>
  <c r="J62" i="1"/>
  <c r="M46" i="1"/>
  <c r="AP46" i="1"/>
  <c r="X46" i="1"/>
  <c r="M45" i="1"/>
  <c r="X45" i="1"/>
  <c r="AP45" i="1"/>
  <c r="J55" i="1"/>
  <c r="AP12" i="1"/>
  <c r="M12" i="1"/>
  <c r="X12" i="1"/>
  <c r="M63" i="1"/>
  <c r="X63" i="1"/>
  <c r="AP63" i="1"/>
  <c r="J25" i="1"/>
  <c r="M21" i="1"/>
  <c r="AP21" i="1"/>
  <c r="X21" i="1"/>
  <c r="J58" i="1"/>
  <c r="J61" i="1"/>
  <c r="J67" i="1"/>
  <c r="AP59" i="1"/>
  <c r="M59" i="1"/>
  <c r="X59" i="1"/>
  <c r="M35" i="1"/>
  <c r="AP35" i="1"/>
  <c r="X35" i="1"/>
  <c r="AP23" i="1"/>
  <c r="J37" i="1"/>
  <c r="J32" i="1"/>
  <c r="AP30" i="1"/>
  <c r="M30" i="1"/>
  <c r="X30" i="1"/>
  <c r="M22" i="1"/>
  <c r="X22" i="1"/>
  <c r="X17" i="1"/>
  <c r="M17" i="1"/>
  <c r="AP17" i="1"/>
  <c r="J52" i="1"/>
  <c r="J36" i="1"/>
  <c r="J54" i="1"/>
  <c r="J51" i="1"/>
  <c r="J27" i="1"/>
  <c r="AP28" i="1"/>
  <c r="AP10" i="1"/>
  <c r="M10" i="1"/>
  <c r="X10" i="1"/>
  <c r="J53" i="1"/>
  <c r="J57" i="1"/>
  <c r="U3" i="1"/>
  <c r="AP14" i="1"/>
  <c r="M14" i="1"/>
  <c r="X14" i="1"/>
  <c r="AP47" i="1"/>
  <c r="M68" i="1"/>
  <c r="X68" i="1"/>
  <c r="AP68" i="1"/>
  <c r="J39" i="1"/>
  <c r="J40" i="1"/>
  <c r="J34" i="1"/>
  <c r="J65" i="1"/>
  <c r="J56" i="1"/>
  <c r="J26" i="1"/>
  <c r="M23" i="1" l="1"/>
  <c r="AP49" i="1"/>
  <c r="X49" i="1"/>
  <c r="AP9" i="1"/>
  <c r="X28" i="1"/>
  <c r="M47" i="1"/>
  <c r="X29" i="1"/>
  <c r="AI29" i="1" s="1"/>
  <c r="M29" i="1"/>
  <c r="X9" i="1"/>
  <c r="X20" i="1"/>
  <c r="M20" i="1"/>
  <c r="X50" i="1"/>
  <c r="AI50" i="1" s="1"/>
  <c r="M50" i="1"/>
  <c r="AP8" i="1"/>
  <c r="X8" i="1"/>
  <c r="AP64" i="1"/>
  <c r="X64" i="1"/>
  <c r="AI64" i="1" s="1"/>
  <c r="X44" i="1"/>
  <c r="AP44" i="1"/>
  <c r="AP66" i="1"/>
  <c r="X66" i="1"/>
  <c r="X13" i="1"/>
  <c r="M13" i="1"/>
  <c r="X38" i="1"/>
  <c r="AP38" i="1"/>
  <c r="M41" i="1"/>
  <c r="X6" i="1"/>
  <c r="AI6" i="1" s="1"/>
  <c r="X60" i="1"/>
  <c r="AI60" i="1" s="1"/>
  <c r="M60" i="1"/>
  <c r="AP33" i="1"/>
  <c r="X33" i="1"/>
  <c r="AI33" i="1" s="1"/>
  <c r="X43" i="1"/>
  <c r="X41" i="1"/>
  <c r="AI41" i="1" s="1"/>
  <c r="AP42" i="1"/>
  <c r="X42" i="1"/>
  <c r="AI42" i="1" s="1"/>
  <c r="AP16" i="1"/>
  <c r="X48" i="1"/>
  <c r="AI48" i="1" s="1"/>
  <c r="X24" i="1"/>
  <c r="AI24" i="1" s="1"/>
  <c r="M48" i="1"/>
  <c r="M24" i="1"/>
  <c r="X16" i="1"/>
  <c r="AI16" i="1" s="1"/>
  <c r="AP6" i="1"/>
  <c r="M43" i="1"/>
  <c r="M25" i="1"/>
  <c r="AP25" i="1"/>
  <c r="X25" i="1"/>
  <c r="M56" i="1"/>
  <c r="X56" i="1"/>
  <c r="AP56" i="1"/>
  <c r="AI47" i="1"/>
  <c r="AI17" i="1"/>
  <c r="AI45" i="1"/>
  <c r="M67" i="1"/>
  <c r="X67" i="1"/>
  <c r="AP67" i="1"/>
  <c r="AP65" i="1"/>
  <c r="M65" i="1"/>
  <c r="X65" i="1"/>
  <c r="AI22" i="1"/>
  <c r="AI23" i="1"/>
  <c r="AP52" i="1"/>
  <c r="M52" i="1"/>
  <c r="X52" i="1"/>
  <c r="M34" i="1"/>
  <c r="X34" i="1"/>
  <c r="AP34" i="1"/>
  <c r="AI14" i="1"/>
  <c r="AI63" i="1"/>
  <c r="AI46" i="1"/>
  <c r="X26" i="1"/>
  <c r="M26" i="1"/>
  <c r="AP26" i="1"/>
  <c r="AI10" i="1"/>
  <c r="M40" i="1"/>
  <c r="X40" i="1"/>
  <c r="AP40" i="1"/>
  <c r="AI28" i="1"/>
  <c r="AI35" i="1"/>
  <c r="AI21" i="1"/>
  <c r="AI7" i="1"/>
  <c r="AI20" i="1"/>
  <c r="AP39" i="1"/>
  <c r="M39" i="1"/>
  <c r="X39" i="1"/>
  <c r="AI12" i="1"/>
  <c r="AI18" i="1"/>
  <c r="M5" i="1"/>
  <c r="AP5" i="1"/>
  <c r="X5" i="1"/>
  <c r="M62" i="1"/>
  <c r="AP62" i="1"/>
  <c r="X62" i="1"/>
  <c r="M31" i="1"/>
  <c r="X31" i="1"/>
  <c r="AP31" i="1"/>
  <c r="M19" i="1"/>
  <c r="AP19" i="1"/>
  <c r="X19" i="1"/>
  <c r="M51" i="1"/>
  <c r="AP51" i="1"/>
  <c r="X51" i="1"/>
  <c r="AI59" i="1"/>
  <c r="AY13" i="1"/>
  <c r="D14" i="1"/>
  <c r="X15" i="1"/>
  <c r="M15" i="1"/>
  <c r="AP15" i="1"/>
  <c r="M27" i="1"/>
  <c r="AP27" i="1"/>
  <c r="X27" i="1"/>
  <c r="AI49" i="1"/>
  <c r="M55" i="1"/>
  <c r="X55" i="1"/>
  <c r="AP55" i="1"/>
  <c r="M11" i="1"/>
  <c r="AP11" i="1"/>
  <c r="X11" i="1"/>
  <c r="M54" i="1"/>
  <c r="X54" i="1"/>
  <c r="AP54" i="1"/>
  <c r="AI30" i="1"/>
  <c r="AP36" i="1"/>
  <c r="M36" i="1"/>
  <c r="X36" i="1"/>
  <c r="AI43" i="1"/>
  <c r="AI13" i="1"/>
  <c r="AI9" i="1"/>
  <c r="AI38" i="1"/>
  <c r="AP53" i="1"/>
  <c r="M53" i="1"/>
  <c r="X53" i="1"/>
  <c r="M32" i="1"/>
  <c r="X32" i="1"/>
  <c r="AP32" i="1"/>
  <c r="AP61" i="1"/>
  <c r="M61" i="1"/>
  <c r="X61" i="1"/>
  <c r="AI44" i="1"/>
  <c r="AI66" i="1"/>
  <c r="X57" i="1"/>
  <c r="AP57" i="1"/>
  <c r="M57" i="1"/>
  <c r="AI68" i="1"/>
  <c r="AI8" i="1"/>
  <c r="M37" i="1"/>
  <c r="X37" i="1"/>
  <c r="AP37" i="1"/>
  <c r="M58" i="1"/>
  <c r="X58" i="1"/>
  <c r="AP58" i="1"/>
  <c r="Y41" i="1" l="1"/>
  <c r="AF41" i="1" s="1"/>
  <c r="AG41" i="1" s="1"/>
  <c r="AP3" i="1"/>
  <c r="Y51" i="1"/>
  <c r="AF51" i="1" s="1"/>
  <c r="AG51" i="1" s="1"/>
  <c r="AI51" i="1"/>
  <c r="AI5" i="1"/>
  <c r="Y5" i="1"/>
  <c r="Y20" i="1"/>
  <c r="AF20" i="1" s="1"/>
  <c r="AG20" i="1" s="1"/>
  <c r="Y14" i="1"/>
  <c r="AF14" i="1" s="1"/>
  <c r="AG14" i="1" s="1"/>
  <c r="Y65" i="1"/>
  <c r="AF65" i="1" s="1"/>
  <c r="AG65" i="1" s="1"/>
  <c r="AI65" i="1"/>
  <c r="Y48" i="1"/>
  <c r="AF48" i="1" s="1"/>
  <c r="AG48" i="1" s="1"/>
  <c r="Y7" i="1"/>
  <c r="AF7" i="1" s="1"/>
  <c r="AG7" i="1" s="1"/>
  <c r="Y10" i="1"/>
  <c r="AF10" i="1" s="1"/>
  <c r="AG10" i="1" s="1"/>
  <c r="Y17" i="1"/>
  <c r="AF17" i="1" s="1"/>
  <c r="AG17" i="1" s="1"/>
  <c r="Y27" i="1"/>
  <c r="AF27" i="1" s="1"/>
  <c r="AG27" i="1" s="1"/>
  <c r="AI27" i="1"/>
  <c r="Y58" i="1"/>
  <c r="AF58" i="1" s="1"/>
  <c r="AG58" i="1" s="1"/>
  <c r="AI58" i="1"/>
  <c r="AI34" i="1"/>
  <c r="Y34" i="1"/>
  <c r="AF34" i="1" s="1"/>
  <c r="AG34" i="1" s="1"/>
  <c r="Y43" i="1"/>
  <c r="AF43" i="1" s="1"/>
  <c r="AG43" i="1" s="1"/>
  <c r="AI36" i="1"/>
  <c r="Y36" i="1"/>
  <c r="AF36" i="1" s="1"/>
  <c r="AG36" i="1" s="1"/>
  <c r="Y11" i="1"/>
  <c r="AF11" i="1" s="1"/>
  <c r="AG11" i="1" s="1"/>
  <c r="AI11" i="1"/>
  <c r="Y60" i="1"/>
  <c r="AF60" i="1" s="1"/>
  <c r="AG60" i="1" s="1"/>
  <c r="Y18" i="1"/>
  <c r="AF18" i="1" s="1"/>
  <c r="AG18" i="1" s="1"/>
  <c r="AI67" i="1"/>
  <c r="Y67" i="1"/>
  <c r="AF67" i="1" s="1"/>
  <c r="AG67" i="1" s="1"/>
  <c r="AI57" i="1"/>
  <c r="Y57" i="1"/>
  <c r="AF57" i="1" s="1"/>
  <c r="AG57" i="1" s="1"/>
  <c r="Y66" i="1"/>
  <c r="AF66" i="1" s="1"/>
  <c r="AG66" i="1" s="1"/>
  <c r="Y12" i="1"/>
  <c r="AF12" i="1" s="1"/>
  <c r="AG12" i="1" s="1"/>
  <c r="Y21" i="1"/>
  <c r="AF21" i="1" s="1"/>
  <c r="AG21" i="1" s="1"/>
  <c r="Y26" i="1"/>
  <c r="AF26" i="1" s="1"/>
  <c r="AG26" i="1" s="1"/>
  <c r="AI26" i="1"/>
  <c r="AI52" i="1"/>
  <c r="Y52" i="1"/>
  <c r="AF52" i="1" s="1"/>
  <c r="AG52" i="1" s="1"/>
  <c r="Y47" i="1"/>
  <c r="AF47" i="1" s="1"/>
  <c r="AG47" i="1" s="1"/>
  <c r="AI54" i="1"/>
  <c r="Y54" i="1"/>
  <c r="AF54" i="1" s="1"/>
  <c r="AG54" i="1" s="1"/>
  <c r="Y24" i="1"/>
  <c r="AF24" i="1" s="1"/>
  <c r="AG24" i="1" s="1"/>
  <c r="Y33" i="1"/>
  <c r="AF33" i="1" s="1"/>
  <c r="AG33" i="1" s="1"/>
  <c r="AI61" i="1"/>
  <c r="Y61" i="1"/>
  <c r="AF61" i="1" s="1"/>
  <c r="AG61" i="1" s="1"/>
  <c r="AI15" i="1"/>
  <c r="Y15" i="1"/>
  <c r="AF15" i="1" s="1"/>
  <c r="AG15" i="1" s="1"/>
  <c r="AI31" i="1"/>
  <c r="Y31" i="1"/>
  <c r="AF31" i="1" s="1"/>
  <c r="AG31" i="1" s="1"/>
  <c r="Y29" i="1"/>
  <c r="AF29" i="1" s="1"/>
  <c r="AG29" i="1" s="1"/>
  <c r="Y35" i="1"/>
  <c r="AF35" i="1" s="1"/>
  <c r="AG35" i="1" s="1"/>
  <c r="Y50" i="1"/>
  <c r="AF50" i="1" s="1"/>
  <c r="AG50" i="1" s="1"/>
  <c r="AI56" i="1"/>
  <c r="Y56" i="1"/>
  <c r="AF56" i="1" s="1"/>
  <c r="AG56" i="1" s="1"/>
  <c r="AI19" i="1"/>
  <c r="Y19" i="1"/>
  <c r="AF19" i="1" s="1"/>
  <c r="AG19" i="1" s="1"/>
  <c r="AI37" i="1"/>
  <c r="Y37" i="1"/>
  <c r="AF37" i="1" s="1"/>
  <c r="AG37" i="1" s="1"/>
  <c r="Y64" i="1"/>
  <c r="AF64" i="1" s="1"/>
  <c r="AG64" i="1" s="1"/>
  <c r="AI55" i="1"/>
  <c r="Y55" i="1"/>
  <c r="AF55" i="1" s="1"/>
  <c r="AG55" i="1" s="1"/>
  <c r="D15" i="1"/>
  <c r="AY14" i="1"/>
  <c r="Y38" i="1"/>
  <c r="AF38" i="1" s="1"/>
  <c r="AG38" i="1" s="1"/>
  <c r="Y62" i="1"/>
  <c r="AF62" i="1" s="1"/>
  <c r="AG62" i="1" s="1"/>
  <c r="AI62" i="1"/>
  <c r="AI39" i="1"/>
  <c r="Y39" i="1"/>
  <c r="AF39" i="1" s="1"/>
  <c r="AG39" i="1" s="1"/>
  <c r="Y28" i="1"/>
  <c r="AF28" i="1" s="1"/>
  <c r="AG28" i="1" s="1"/>
  <c r="Y46" i="1"/>
  <c r="AF46" i="1" s="1"/>
  <c r="AG46" i="1" s="1"/>
  <c r="Y23" i="1"/>
  <c r="AF23" i="1" s="1"/>
  <c r="AG23" i="1" s="1"/>
  <c r="Y42" i="1"/>
  <c r="AF42" i="1" s="1"/>
  <c r="AG42" i="1" s="1"/>
  <c r="AI25" i="1"/>
  <c r="Y25" i="1"/>
  <c r="AF25" i="1" s="1"/>
  <c r="AG25" i="1" s="1"/>
  <c r="Y53" i="1"/>
  <c r="AF53" i="1" s="1"/>
  <c r="AG53" i="1" s="1"/>
  <c r="AI53" i="1"/>
  <c r="Y6" i="1"/>
  <c r="AF6" i="1" s="1"/>
  <c r="AG6" i="1" s="1"/>
  <c r="Y9" i="1"/>
  <c r="AF9" i="1" s="1"/>
  <c r="AG9" i="1" s="1"/>
  <c r="Y16" i="1"/>
  <c r="AF16" i="1" s="1"/>
  <c r="AG16" i="1" s="1"/>
  <c r="Y30" i="1"/>
  <c r="AF30" i="1" s="1"/>
  <c r="AG30" i="1" s="1"/>
  <c r="Y49" i="1"/>
  <c r="AF49" i="1" s="1"/>
  <c r="AG49" i="1" s="1"/>
  <c r="Y22" i="1"/>
  <c r="AF22" i="1" s="1"/>
  <c r="AG22" i="1" s="1"/>
  <c r="Y44" i="1"/>
  <c r="AF44" i="1" s="1"/>
  <c r="AG44" i="1" s="1"/>
  <c r="Y8" i="1"/>
  <c r="AF8" i="1" s="1"/>
  <c r="AG8" i="1" s="1"/>
  <c r="Y68" i="1"/>
  <c r="AF68" i="1" s="1"/>
  <c r="AG68" i="1" s="1"/>
  <c r="Y32" i="1"/>
  <c r="AF32" i="1" s="1"/>
  <c r="AG32" i="1" s="1"/>
  <c r="AI32" i="1"/>
  <c r="Y13" i="1"/>
  <c r="AF13" i="1" s="1"/>
  <c r="AG13" i="1" s="1"/>
  <c r="Y59" i="1"/>
  <c r="AF59" i="1" s="1"/>
  <c r="AG59" i="1" s="1"/>
  <c r="Y40" i="1"/>
  <c r="AF40" i="1" s="1"/>
  <c r="AG40" i="1" s="1"/>
  <c r="AI40" i="1"/>
  <c r="Y63" i="1"/>
  <c r="AF63" i="1" s="1"/>
  <c r="AG63" i="1" s="1"/>
  <c r="Y45" i="1"/>
  <c r="AF45" i="1" s="1"/>
  <c r="AG45" i="1" s="1"/>
  <c r="AY15" i="1" l="1"/>
  <c r="D16" i="1"/>
  <c r="AH10" i="1"/>
  <c r="AH42" i="1"/>
  <c r="AH46" i="1"/>
  <c r="AH37" i="1"/>
  <c r="AH21" i="1"/>
  <c r="AH63" i="1"/>
  <c r="AH16" i="1"/>
  <c r="AH33" i="1"/>
  <c r="AH20" i="1"/>
  <c r="X2" i="1"/>
  <c r="AF5" i="1"/>
  <c r="AG5" i="1" s="1"/>
  <c r="AH44" i="1" s="1"/>
  <c r="AH62" i="1"/>
  <c r="AH67" i="1"/>
  <c r="AH35" i="1"/>
  <c r="AH47" i="1"/>
  <c r="AH18" i="1"/>
  <c r="AH27" i="1"/>
  <c r="AH13" i="1" l="1"/>
  <c r="AH31" i="1"/>
  <c r="AH55" i="1"/>
  <c r="AH23" i="1"/>
  <c r="AH8" i="1"/>
  <c r="AH48" i="1"/>
  <c r="AH68" i="1"/>
  <c r="AH53" i="1"/>
  <c r="AH38" i="1"/>
  <c r="AH39" i="1"/>
  <c r="AH36" i="1"/>
  <c r="AH17" i="1"/>
  <c r="AH14" i="1"/>
  <c r="AH66" i="1"/>
  <c r="AH54" i="1"/>
  <c r="AH65" i="1"/>
  <c r="AH26" i="1"/>
  <c r="AH60" i="1"/>
  <c r="AH40" i="1"/>
  <c r="AH19" i="1"/>
  <c r="AH6" i="1"/>
  <c r="AH9" i="1"/>
  <c r="AH43" i="1"/>
  <c r="AH15" i="1"/>
  <c r="AH52" i="1"/>
  <c r="AH24" i="1"/>
  <c r="AH59" i="1"/>
  <c r="AH30" i="1"/>
  <c r="AH12" i="1"/>
  <c r="AH64" i="1"/>
  <c r="AH29" i="1"/>
  <c r="AH61" i="1"/>
  <c r="AH7" i="1"/>
  <c r="AH45" i="1"/>
  <c r="AH50" i="1"/>
  <c r="AH56" i="1"/>
  <c r="AH49" i="1"/>
  <c r="AH51" i="1"/>
  <c r="AH58" i="1"/>
  <c r="AH57" i="1"/>
  <c r="AH28" i="1"/>
  <c r="AH11" i="1"/>
  <c r="D17" i="1"/>
  <c r="AY16" i="1"/>
  <c r="AH5" i="1"/>
  <c r="AH41" i="1"/>
  <c r="AH34" i="1"/>
  <c r="AH22" i="1"/>
  <c r="AH32" i="1"/>
  <c r="AH25" i="1"/>
  <c r="D18" i="1" l="1"/>
  <c r="AY17" i="1"/>
  <c r="AY18" i="1" l="1"/>
  <c r="D19" i="1"/>
  <c r="D20" i="1" l="1"/>
  <c r="AY19" i="1"/>
  <c r="AY20" i="1" l="1"/>
  <c r="D21" i="1"/>
  <c r="AY21" i="1" l="1"/>
  <c r="D22" i="1"/>
  <c r="D23" i="1" l="1"/>
  <c r="AY22" i="1"/>
  <c r="AY23" i="1" l="1"/>
  <c r="D24" i="1"/>
  <c r="AY24" i="1" l="1"/>
  <c r="D25" i="1"/>
  <c r="AY25" i="1" l="1"/>
  <c r="D26" i="1"/>
  <c r="D27" i="1" l="1"/>
  <c r="AY26" i="1"/>
  <c r="D28" i="1" l="1"/>
  <c r="AY27" i="1"/>
  <c r="AY28" i="1" l="1"/>
  <c r="D29" i="1"/>
  <c r="AY29" i="1" l="1"/>
  <c r="D30" i="1"/>
  <c r="AY30" i="1" l="1"/>
  <c r="D31" i="1"/>
  <c r="AY31" i="1" l="1"/>
  <c r="D32" i="1"/>
  <c r="D33" i="1" l="1"/>
  <c r="AY32" i="1"/>
  <c r="D34" i="1" l="1"/>
  <c r="AY33" i="1"/>
  <c r="AY34" i="1" l="1"/>
  <c r="D35" i="1"/>
  <c r="AY35" i="1" l="1"/>
  <c r="D36" i="1"/>
  <c r="D37" i="1" l="1"/>
  <c r="AY36" i="1"/>
  <c r="AY37" i="1" l="1"/>
  <c r="D38" i="1"/>
  <c r="AY38" i="1" l="1"/>
  <c r="D39" i="1"/>
  <c r="AY39" i="1" l="1"/>
  <c r="D40" i="1"/>
  <c r="D41" i="1" l="1"/>
  <c r="AY40" i="1"/>
  <c r="AY41" i="1" l="1"/>
  <c r="D42" i="1"/>
  <c r="AY42" i="1" l="1"/>
  <c r="D43" i="1"/>
  <c r="D44" i="1" l="1"/>
  <c r="AY43" i="1"/>
  <c r="D45" i="1" l="1"/>
  <c r="AY44" i="1"/>
  <c r="AY45" i="1" l="1"/>
  <c r="D46" i="1"/>
  <c r="D47" i="1" l="1"/>
  <c r="AY46" i="1"/>
  <c r="D48" i="1" l="1"/>
  <c r="AY47" i="1"/>
  <c r="AY48" i="1" l="1"/>
  <c r="D49" i="1"/>
  <c r="AY49" i="1" l="1"/>
  <c r="D50" i="1"/>
  <c r="D51" i="1" l="1"/>
  <c r="AY50" i="1"/>
  <c r="AY51" i="1" l="1"/>
  <c r="D52" i="1"/>
  <c r="AY52" i="1" l="1"/>
  <c r="D53" i="1"/>
  <c r="D54" i="1" l="1"/>
  <c r="AY53" i="1"/>
  <c r="AY54" i="1" l="1"/>
  <c r="D55" i="1"/>
  <c r="D56" i="1" l="1"/>
  <c r="AY55" i="1"/>
  <c r="D57" i="1" l="1"/>
  <c r="AY56" i="1"/>
  <c r="AY57" i="1" l="1"/>
  <c r="D58" i="1"/>
  <c r="AY58" i="1" l="1"/>
  <c r="D59" i="1"/>
  <c r="AY59" i="1" l="1"/>
  <c r="D60" i="1"/>
  <c r="AY60" i="1" l="1"/>
  <c r="D61" i="1"/>
  <c r="AY61" i="1" l="1"/>
  <c r="D62" i="1"/>
  <c r="D63" i="1" l="1"/>
  <c r="AY62" i="1"/>
  <c r="AY63" i="1" l="1"/>
  <c r="D64" i="1"/>
  <c r="D65" i="1" l="1"/>
  <c r="AY64" i="1"/>
  <c r="D66" i="1" l="1"/>
  <c r="AY65" i="1"/>
  <c r="AY66" i="1" l="1"/>
  <c r="D67" i="1"/>
  <c r="AY67" i="1" l="1"/>
  <c r="D68" i="1"/>
  <c r="AY68" i="1" s="1"/>
</calcChain>
</file>

<file path=xl/sharedStrings.xml><?xml version="1.0" encoding="utf-8"?>
<sst xmlns="http://schemas.openxmlformats.org/spreadsheetml/2006/main" count="102" uniqueCount="66">
  <si>
    <t>-</t>
  </si>
  <si>
    <t>|</t>
  </si>
  <si>
    <t>GMS</t>
  </si>
  <si>
    <t>Beta</t>
  </si>
  <si>
    <t>dif</t>
  </si>
  <si>
    <t>Target</t>
  </si>
  <si>
    <t>T</t>
  </si>
  <si>
    <t>Hide</t>
  </si>
  <si>
    <t>W4</t>
  </si>
  <si>
    <t>.x1</t>
  </si>
  <si>
    <t>x.3</t>
  </si>
  <si>
    <t>a1</t>
  </si>
  <si>
    <t>b1</t>
  </si>
  <si>
    <t>ID_RES</t>
  </si>
  <si>
    <t>O_PAR</t>
  </si>
  <si>
    <t>MED</t>
  </si>
  <si>
    <t>MOD</t>
  </si>
  <si>
    <t>MedMod</t>
  </si>
  <si>
    <t>Za</t>
  </si>
  <si>
    <t>DIF_Target</t>
  </si>
  <si>
    <t>DIF_Target.</t>
  </si>
  <si>
    <t>CDFa</t>
  </si>
  <si>
    <t>Zb</t>
  </si>
  <si>
    <t>B</t>
  </si>
  <si>
    <t>#B2</t>
  </si>
  <si>
    <t>CDFb</t>
  </si>
  <si>
    <t>Z-</t>
  </si>
  <si>
    <t>z+</t>
  </si>
  <si>
    <t>Red</t>
  </si>
  <si>
    <t>Blue</t>
  </si>
  <si>
    <t>Amp.</t>
  </si>
  <si>
    <t>i.</t>
  </si>
  <si>
    <t>PDF</t>
  </si>
  <si>
    <t>PDF2</t>
  </si>
  <si>
    <t>PDF3</t>
  </si>
  <si>
    <r>
      <t>W1</t>
    </r>
    <r>
      <rPr>
        <b/>
        <sz val="7"/>
        <rFont val="Calibri "/>
      </rPr>
      <t>_PDF</t>
    </r>
  </si>
  <si>
    <t>Wr</t>
  </si>
  <si>
    <r>
      <t>Wr</t>
    </r>
    <r>
      <rPr>
        <vertAlign val="superscript"/>
        <sz val="10"/>
        <rFont val="Calibri "/>
      </rPr>
      <t>2</t>
    </r>
  </si>
  <si>
    <r>
      <rPr>
        <sz val="11"/>
        <rFont val="Calibri"/>
        <family val="2"/>
      </rPr>
      <t>Σ</t>
    </r>
    <r>
      <rPr>
        <u/>
        <sz val="11"/>
        <rFont val="Calibri"/>
        <family val="2"/>
      </rPr>
      <t>Wr</t>
    </r>
    <r>
      <rPr>
        <vertAlign val="superscript"/>
        <sz val="11"/>
        <rFont val="Calibri"/>
        <family val="2"/>
        <scheme val="minor"/>
      </rPr>
      <t>2</t>
    </r>
  </si>
  <si>
    <t>SD1</t>
  </si>
  <si>
    <t>rW</t>
  </si>
  <si>
    <r>
      <t>rW</t>
    </r>
    <r>
      <rPr>
        <vertAlign val="superscript"/>
        <sz val="10"/>
        <color theme="1" tint="4.9989318521683403E-2"/>
        <rFont val="Calibri "/>
      </rPr>
      <t>2</t>
    </r>
  </si>
  <si>
    <r>
      <t>Σ</t>
    </r>
    <r>
      <rPr>
        <u/>
        <sz val="10"/>
        <rFont val="Calibri "/>
      </rPr>
      <t>rW</t>
    </r>
    <r>
      <rPr>
        <vertAlign val="superscript"/>
        <sz val="10"/>
        <rFont val="Calibri "/>
      </rPr>
      <t>2</t>
    </r>
  </si>
  <si>
    <t>SD2</t>
  </si>
  <si>
    <t>IN</t>
  </si>
  <si>
    <t>Mode</t>
  </si>
  <si>
    <t>SUS</t>
  </si>
  <si>
    <t>Sus_OBS</t>
  </si>
  <si>
    <t>SEN</t>
  </si>
  <si>
    <t>Sen_PAR</t>
  </si>
  <si>
    <t>aux1</t>
  </si>
  <si>
    <t>OBS</t>
  </si>
  <si>
    <r>
      <t>Σ</t>
    </r>
    <r>
      <rPr>
        <b/>
        <sz val="8.8000000000000007"/>
        <color theme="0"/>
        <rFont val="Calibri"/>
        <family val="2"/>
      </rPr>
      <t>obs</t>
    </r>
  </si>
  <si>
    <t>Filtro</t>
  </si>
  <si>
    <t>Pré</t>
  </si>
  <si>
    <t>new</t>
  </si>
  <si>
    <t>ID</t>
  </si>
  <si>
    <t>red</t>
  </si>
  <si>
    <t>blue</t>
  </si>
  <si>
    <t>#B</t>
  </si>
  <si>
    <t>cm</t>
  </si>
  <si>
    <t>Backup</t>
  </si>
  <si>
    <t>*</t>
  </si>
  <si>
    <t>AMP</t>
  </si>
  <si>
    <t xml:space="preserve">Fake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</si>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</sst>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"/>
    <numFmt numFmtId="165" formatCode="0.0000"/>
    <numFmt numFmtId="166" formatCode="0.0"/>
    <numFmt numFmtId="167" formatCode="0E+00"/>
    <numFmt numFmtId="168" formatCode="0.0%"/>
    <numFmt numFmtId="169" formatCode="0.000"/>
    <numFmt numFmtId="170" formatCode="#,##0.000"/>
  </numFmts>
  <fonts count="10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color theme="0" tint="-0.249977111117893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6"/>
      <color theme="0" tint="-0.249977111117893"/>
      <name val="Arial"/>
      <family val="2"/>
    </font>
    <font>
      <sz val="10"/>
      <color rgb="FF0000FF"/>
      <name val="Calibri"/>
      <family val="2"/>
      <scheme val="minor"/>
    </font>
    <font>
      <sz val="8"/>
      <name val="Arial"/>
      <family val="2"/>
    </font>
    <font>
      <sz val="12"/>
      <color rgb="FF0000FF"/>
      <name val="Arial"/>
      <family val="2"/>
    </font>
    <font>
      <b/>
      <sz val="12"/>
      <name val="Arial"/>
      <family val="2"/>
    </font>
    <font>
      <b/>
      <sz val="10"/>
      <color theme="8" tint="0.79998168889431442"/>
      <name val="Arial"/>
      <family val="2"/>
    </font>
    <font>
      <sz val="10"/>
      <color theme="1" tint="4.9989318521683403E-2"/>
      <name val="Calibri"/>
      <family val="2"/>
      <scheme val="minor"/>
    </font>
    <font>
      <sz val="7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sz val="12"/>
      <color theme="1"/>
      <name val="Arial"/>
      <family val="2"/>
    </font>
    <font>
      <b/>
      <sz val="10"/>
      <color theme="0"/>
      <name val="Arial"/>
      <family val="2"/>
    </font>
    <font>
      <sz val="8"/>
      <color theme="0"/>
      <name val="Calibri"/>
      <family val="2"/>
      <scheme val="minor"/>
    </font>
    <font>
      <sz val="5"/>
      <color theme="1"/>
      <name val="Arial"/>
      <family val="2"/>
    </font>
    <font>
      <sz val="8"/>
      <color rgb="FFFF0000"/>
      <name val="Arial"/>
      <family val="2"/>
    </font>
    <font>
      <b/>
      <sz val="10"/>
      <name val="Arial"/>
      <family val="2"/>
    </font>
    <font>
      <sz val="6"/>
      <color rgb="FF0000FF"/>
      <name val="Arial"/>
      <family val="2"/>
    </font>
    <font>
      <sz val="11"/>
      <color theme="0" tint="-0.249977111117893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7"/>
      <color theme="1" tint="4.9989318521683403E-2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name val="Calibri Light"/>
      <family val="2"/>
      <scheme val="major"/>
    </font>
    <font>
      <b/>
      <sz val="10"/>
      <color rgb="FF0000FF"/>
      <name val="Arial"/>
      <family val="2"/>
    </font>
    <font>
      <b/>
      <sz val="14"/>
      <color theme="8" tint="0.79998168889431442"/>
      <name val="Arial"/>
      <family val="2"/>
    </font>
    <font>
      <sz val="8"/>
      <color theme="8" tint="0.79998168889431442"/>
      <name val="Arial"/>
      <family val="2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sz val="6"/>
      <name val="Calibri"/>
      <family val="2"/>
      <scheme val="minor"/>
    </font>
    <font>
      <b/>
      <sz val="6"/>
      <name val="Calibri"/>
      <family val="2"/>
      <scheme val="minor"/>
    </font>
    <font>
      <sz val="8"/>
      <color theme="0" tint="-0.249977111117893"/>
      <name val="Arial"/>
      <family val="2"/>
    </font>
    <font>
      <b/>
      <sz val="8"/>
      <color theme="1" tint="4.9989318521683403E-2"/>
      <name val="Calibri"/>
      <family val="2"/>
      <scheme val="minor"/>
    </font>
    <font>
      <sz val="10"/>
      <color theme="0"/>
      <name val="Arial"/>
      <family val="2"/>
    </font>
    <font>
      <sz val="16"/>
      <color rgb="FF00B050"/>
      <name val="Calibri "/>
    </font>
    <font>
      <sz val="12"/>
      <color rgb="FF0000FF"/>
      <name val="Calibri "/>
    </font>
    <font>
      <sz val="10"/>
      <name val="Calibri "/>
    </font>
    <font>
      <sz val="12"/>
      <name val="Calibri "/>
    </font>
    <font>
      <sz val="8"/>
      <name val="Calibri "/>
    </font>
    <font>
      <sz val="6"/>
      <color theme="1" tint="4.9989318521683403E-2"/>
      <name val="Calibri "/>
    </font>
    <font>
      <sz val="10"/>
      <color theme="1" tint="4.9989318521683403E-2"/>
      <name val="Calibri "/>
    </font>
    <font>
      <sz val="16"/>
      <color rgb="FF0000FF"/>
      <name val="Calibri "/>
    </font>
    <font>
      <sz val="9"/>
      <color theme="0"/>
      <name val="Calibri "/>
    </font>
    <font>
      <b/>
      <sz val="10"/>
      <name val="Calibri "/>
    </font>
    <font>
      <b/>
      <sz val="9"/>
      <name val="Calibri "/>
    </font>
    <font>
      <sz val="16"/>
      <color theme="0"/>
      <name val="Calibri "/>
    </font>
    <font>
      <b/>
      <sz val="7"/>
      <name val="Calibri "/>
    </font>
    <font>
      <u/>
      <sz val="14"/>
      <name val="Calibri "/>
    </font>
    <font>
      <u/>
      <sz val="10"/>
      <name val="Calibri "/>
    </font>
    <font>
      <vertAlign val="superscript"/>
      <sz val="10"/>
      <name val="Calibri "/>
    </font>
    <font>
      <sz val="11"/>
      <name val="Calibri"/>
      <family val="2"/>
      <scheme val="minor"/>
    </font>
    <font>
      <sz val="11"/>
      <name val="Calibri"/>
      <family val="2"/>
    </font>
    <font>
      <u/>
      <sz val="11"/>
      <name val="Calibri"/>
      <family val="2"/>
    </font>
    <font>
      <vertAlign val="superscript"/>
      <sz val="11"/>
      <name val="Calibri"/>
      <family val="2"/>
      <scheme val="minor"/>
    </font>
    <font>
      <vertAlign val="superscript"/>
      <sz val="10"/>
      <color theme="1" tint="4.9989318521683403E-2"/>
      <name val="Calibri "/>
    </font>
    <font>
      <sz val="10"/>
      <color rgb="FFFFFF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0"/>
      <name val="Calibri "/>
    </font>
    <font>
      <b/>
      <sz val="8"/>
      <color theme="0"/>
      <name val="Calibri"/>
      <family val="2"/>
      <scheme val="minor"/>
    </font>
    <font>
      <b/>
      <sz val="8"/>
      <color theme="0"/>
      <name val="Calibri"/>
      <family val="2"/>
    </font>
    <font>
      <b/>
      <sz val="8.8000000000000007"/>
      <color theme="0"/>
      <name val="Calibri"/>
      <family val="2"/>
    </font>
    <font>
      <b/>
      <sz val="11"/>
      <color rgb="FF0000FF"/>
      <name val="Calibri"/>
      <family val="2"/>
      <scheme val="minor"/>
    </font>
    <font>
      <sz val="7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12"/>
      <name val="Calibri Light"/>
      <family val="2"/>
      <scheme val="major"/>
    </font>
    <font>
      <sz val="12"/>
      <color rgb="FF0000FF"/>
      <name val="Calibri Light"/>
      <family val="2"/>
      <scheme val="major"/>
    </font>
    <font>
      <sz val="9"/>
      <name val="Calibri Light"/>
      <family val="2"/>
      <scheme val="major"/>
    </font>
    <font>
      <sz val="9"/>
      <color theme="0"/>
      <name val="Calibri Light"/>
      <family val="2"/>
      <scheme val="major"/>
    </font>
    <font>
      <sz val="7"/>
      <name val="Calibri "/>
    </font>
    <font>
      <sz val="8"/>
      <color rgb="FF0000FF"/>
      <name val="Calibri Light"/>
      <family val="2"/>
      <scheme val="major"/>
    </font>
    <font>
      <sz val="8"/>
      <color rgb="FFFFFF00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9"/>
      <name val="Arial"/>
      <family val="2"/>
    </font>
    <font>
      <sz val="8"/>
      <color theme="0"/>
      <name val="Calibri"/>
      <family val="2"/>
    </font>
    <font>
      <sz val="7"/>
      <color theme="1"/>
      <name val="Calibri"/>
      <family val="2"/>
      <scheme val="minor"/>
    </font>
    <font>
      <sz val="7"/>
      <color rgb="FF0000FF"/>
      <name val="Calibri"/>
      <family val="2"/>
      <scheme val="minor"/>
    </font>
    <font>
      <sz val="6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5"/>
      <name val="Calibri "/>
    </font>
    <font>
      <sz val="11"/>
      <color rgb="FFFF0000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FFFF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0000FF"/>
      <name val="Calibri Light"/>
      <family val="2"/>
      <scheme val="major"/>
    </font>
    <font>
      <b/>
      <sz val="10"/>
      <color rgb="FF0000FF"/>
      <name val="Calibri "/>
    </font>
    <font>
      <sz val="12"/>
      <name val="Arial"/>
      <family val="2"/>
    </font>
    <font>
      <sz val="9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theme="0" tint="-0.34998626667073579"/>
      <name val="Calibri Light"/>
      <family val="2"/>
      <scheme val="major"/>
    </font>
    <font>
      <sz val="11"/>
      <color theme="0" tint="-0.34998626667073579"/>
      <name val="Calibri"/>
      <family val="2"/>
      <scheme val="minor"/>
    </font>
    <font>
      <sz val="11"/>
      <color theme="1"/>
      <name val="Calibri Light"/>
      <family val="2"/>
      <scheme val="major"/>
    </font>
    <font>
      <sz val="6"/>
      <name val="Calibri Light"/>
      <family val="2"/>
      <scheme val="major"/>
    </font>
    <font>
      <b/>
      <sz val="12"/>
      <name val="Calibri "/>
    </font>
    <font>
      <b/>
      <sz val="12"/>
      <color theme="1"/>
      <name val="Calibri"/>
      <family val="2"/>
      <scheme val="minor"/>
    </font>
    <font>
      <sz val="11"/>
      <color rgb="FF0000FF"/>
      <name val="Calibri Light"/>
      <family val="2"/>
      <scheme val="major"/>
    </font>
  </fonts>
  <fills count="2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theme="4" tint="0.79998168889431442"/>
      </patternFill>
    </fill>
    <fill>
      <patternFill patternType="solid">
        <fgColor rgb="FFE8D9F3"/>
        <bgColor indexed="64"/>
      </patternFill>
    </fill>
    <fill>
      <patternFill patternType="solid">
        <fgColor rgb="FFFFD9DA"/>
        <bgColor indexed="64"/>
      </patternFill>
    </fill>
    <fill>
      <patternFill patternType="solid">
        <fgColor rgb="FFD1D1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188">
    <xf numFmtId="0" fontId="0" fillId="0" borderId="0" xfId="0"/>
    <xf numFmtId="1" fontId="6" fillId="2" borderId="0" xfId="2" applyNumberFormat="1" applyFont="1" applyFill="1" applyAlignment="1">
      <alignment horizontal="center" vertical="center"/>
    </xf>
    <xf numFmtId="1" fontId="7" fillId="2" borderId="0" xfId="2" applyNumberFormat="1" applyFont="1" applyFill="1" applyAlignment="1">
      <alignment horizontal="right" vertical="center"/>
    </xf>
    <xf numFmtId="1" fontId="7" fillId="2" borderId="0" xfId="2" applyNumberFormat="1" applyFont="1" applyFill="1" applyAlignment="1">
      <alignment horizontal="left" vertical="center"/>
    </xf>
    <xf numFmtId="1" fontId="6" fillId="2" borderId="0" xfId="2" applyNumberFormat="1" applyFont="1" applyFill="1" applyAlignment="1">
      <alignment horizontal="center" vertical="center" wrapText="1"/>
    </xf>
    <xf numFmtId="1" fontId="8" fillId="2" borderId="0" xfId="1" applyNumberFormat="1" applyFont="1" applyFill="1" applyBorder="1" applyAlignment="1">
      <alignment horizontal="center"/>
    </xf>
    <xf numFmtId="1" fontId="9" fillId="3" borderId="0" xfId="1" applyNumberFormat="1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/>
    </xf>
    <xf numFmtId="3" fontId="11" fillId="2" borderId="0" xfId="1" applyNumberFormat="1" applyFont="1" applyFill="1" applyBorder="1" applyAlignment="1">
      <alignment horizontal="center" vertical="center"/>
    </xf>
    <xf numFmtId="3" fontId="8" fillId="2" borderId="0" xfId="1" applyNumberFormat="1" applyFont="1" applyFill="1" applyBorder="1" applyAlignment="1">
      <alignment horizontal="center" vertical="center"/>
    </xf>
    <xf numFmtId="3" fontId="12" fillId="2" borderId="0" xfId="1" applyNumberFormat="1" applyFont="1" applyFill="1" applyBorder="1" applyAlignment="1">
      <alignment horizontal="center" vertical="center"/>
    </xf>
    <xf numFmtId="164" fontId="13" fillId="2" borderId="0" xfId="0" applyNumberFormat="1" applyFont="1" applyFill="1" applyAlignment="1">
      <alignment horizontal="center" vertical="center"/>
    </xf>
    <xf numFmtId="1" fontId="14" fillId="3" borderId="0" xfId="1" applyNumberFormat="1" applyFont="1" applyFill="1" applyBorder="1" applyAlignment="1">
      <alignment horizontal="center" vertical="center" wrapText="1"/>
    </xf>
    <xf numFmtId="165" fontId="15" fillId="2" borderId="0" xfId="1" applyNumberFormat="1" applyFont="1" applyFill="1" applyBorder="1" applyAlignment="1">
      <alignment horizontal="right"/>
    </xf>
    <xf numFmtId="9" fontId="16" fillId="3" borderId="0" xfId="1" applyFont="1" applyFill="1" applyBorder="1" applyAlignment="1">
      <alignment horizontal="center" vertical="top" textRotation="90" wrapText="1"/>
    </xf>
    <xf numFmtId="2" fontId="14" fillId="3" borderId="0" xfId="1" applyNumberFormat="1" applyFont="1" applyFill="1" applyBorder="1" applyAlignment="1">
      <alignment horizontal="center" vertical="center"/>
    </xf>
    <xf numFmtId="9" fontId="14" fillId="3" borderId="0" xfId="1" applyFont="1" applyFill="1" applyBorder="1" applyAlignment="1">
      <alignment horizontal="center" vertical="center" wrapText="1"/>
    </xf>
    <xf numFmtId="1" fontId="17" fillId="3" borderId="0" xfId="1" applyNumberFormat="1" applyFont="1" applyFill="1" applyBorder="1" applyAlignment="1">
      <alignment horizontal="center" vertical="center" wrapText="1"/>
    </xf>
    <xf numFmtId="1" fontId="18" fillId="3" borderId="0" xfId="1" applyNumberFormat="1" applyFont="1" applyFill="1" applyBorder="1" applyAlignment="1">
      <alignment horizontal="center" vertical="center" wrapText="1"/>
    </xf>
    <xf numFmtId="1" fontId="19" fillId="2" borderId="0" xfId="2" applyNumberFormat="1" applyFont="1" applyFill="1" applyAlignment="1">
      <alignment horizontal="center" vertical="center"/>
    </xf>
    <xf numFmtId="1" fontId="20" fillId="2" borderId="0" xfId="1" applyNumberFormat="1" applyFont="1" applyFill="1" applyBorder="1" applyAlignment="1">
      <alignment horizontal="center" vertical="center"/>
    </xf>
    <xf numFmtId="0" fontId="21" fillId="2" borderId="0" xfId="0" applyFont="1" applyFill="1"/>
    <xf numFmtId="1" fontId="0" fillId="4" borderId="0" xfId="0" applyNumberFormat="1" applyFill="1"/>
    <xf numFmtId="166" fontId="0" fillId="4" borderId="0" xfId="0" applyNumberFormat="1" applyFill="1"/>
    <xf numFmtId="9" fontId="0" fillId="4" borderId="0" xfId="1" applyFont="1" applyFill="1"/>
    <xf numFmtId="9" fontId="0" fillId="5" borderId="0" xfId="1" applyFont="1" applyFill="1"/>
    <xf numFmtId="0" fontId="0" fillId="5" borderId="0" xfId="0" applyFill="1"/>
    <xf numFmtId="1" fontId="7" fillId="2" borderId="0" xfId="2" applyNumberFormat="1" applyFont="1" applyFill="1" applyAlignment="1">
      <alignment horizontal="center" vertical="center"/>
    </xf>
    <xf numFmtId="1" fontId="22" fillId="2" borderId="0" xfId="2" applyNumberFormat="1" applyFont="1" applyFill="1" applyAlignment="1">
      <alignment horizontal="left" vertical="center"/>
    </xf>
    <xf numFmtId="3" fontId="23" fillId="2" borderId="0" xfId="1" applyNumberFormat="1" applyFont="1" applyFill="1" applyBorder="1" applyAlignment="1">
      <alignment horizontal="center" vertical="center"/>
    </xf>
    <xf numFmtId="3" fontId="24" fillId="2" borderId="0" xfId="1" applyNumberFormat="1" applyFont="1" applyFill="1" applyBorder="1" applyAlignment="1">
      <alignment horizontal="center" vertical="center"/>
    </xf>
    <xf numFmtId="1" fontId="25" fillId="2" borderId="0" xfId="1" applyNumberFormat="1" applyFont="1" applyFill="1" applyBorder="1" applyAlignment="1">
      <alignment horizontal="left"/>
    </xf>
    <xf numFmtId="3" fontId="26" fillId="2" borderId="0" xfId="1" applyNumberFormat="1" applyFont="1" applyFill="1" applyBorder="1" applyAlignment="1">
      <alignment horizontal="center" vertical="center"/>
    </xf>
    <xf numFmtId="1" fontId="8" fillId="2" borderId="0" xfId="1" applyNumberFormat="1" applyFont="1" applyFill="1" applyBorder="1" applyAlignment="1">
      <alignment horizontal="left"/>
    </xf>
    <xf numFmtId="3" fontId="27" fillId="2" borderId="0" xfId="1" applyNumberFormat="1" applyFont="1" applyFill="1" applyBorder="1" applyAlignment="1">
      <alignment horizontal="center" vertical="center"/>
    </xf>
    <xf numFmtId="164" fontId="13" fillId="4" borderId="0" xfId="0" applyNumberFormat="1" applyFont="1" applyFill="1" applyAlignment="1">
      <alignment horizontal="center" vertical="center"/>
    </xf>
    <xf numFmtId="9" fontId="16" fillId="3" borderId="0" xfId="1" applyFont="1" applyFill="1" applyBorder="1" applyAlignment="1">
      <alignment horizontal="center" vertical="center" wrapText="1"/>
    </xf>
    <xf numFmtId="9" fontId="16" fillId="3" borderId="0" xfId="1" applyFont="1" applyFill="1" applyBorder="1" applyAlignment="1">
      <alignment horizontal="right" vertical="center"/>
    </xf>
    <xf numFmtId="9" fontId="28" fillId="6" borderId="0" xfId="1" applyFont="1" applyFill="1" applyBorder="1" applyAlignment="1">
      <alignment horizontal="center" vertical="center"/>
    </xf>
    <xf numFmtId="9" fontId="17" fillId="6" borderId="0" xfId="1" applyFont="1" applyFill="1" applyBorder="1" applyAlignment="1">
      <alignment horizontal="right" vertical="top"/>
    </xf>
    <xf numFmtId="166" fontId="29" fillId="3" borderId="0" xfId="1" applyNumberFormat="1" applyFont="1" applyFill="1" applyBorder="1" applyAlignment="1">
      <alignment horizontal="center" vertical="center" wrapText="1"/>
    </xf>
    <xf numFmtId="166" fontId="30" fillId="3" borderId="0" xfId="1" applyNumberFormat="1" applyFont="1" applyFill="1" applyBorder="1" applyAlignment="1">
      <alignment horizontal="center" vertical="center" wrapText="1"/>
    </xf>
    <xf numFmtId="1" fontId="17" fillId="7" borderId="0" xfId="1" applyNumberFormat="1" applyFont="1" applyFill="1" applyBorder="1" applyAlignment="1">
      <alignment horizontal="center" vertical="center" wrapText="1"/>
    </xf>
    <xf numFmtId="1" fontId="28" fillId="7" borderId="0" xfId="1" applyNumberFormat="1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166" fontId="31" fillId="4" borderId="0" xfId="0" applyNumberFormat="1" applyFont="1" applyFill="1"/>
    <xf numFmtId="1" fontId="32" fillId="2" borderId="0" xfId="2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left"/>
    </xf>
    <xf numFmtId="3" fontId="20" fillId="2" borderId="0" xfId="1" applyNumberFormat="1" applyFont="1" applyFill="1" applyBorder="1" applyAlignment="1">
      <alignment horizontal="center" vertical="center"/>
    </xf>
    <xf numFmtId="3" fontId="33" fillId="4" borderId="0" xfId="1" applyNumberFormat="1" applyFont="1" applyFill="1" applyBorder="1" applyAlignment="1">
      <alignment horizontal="center" vertical="center"/>
    </xf>
    <xf numFmtId="166" fontId="15" fillId="2" borderId="0" xfId="1" applyNumberFormat="1" applyFont="1" applyFill="1" applyBorder="1" applyAlignment="1">
      <alignment horizontal="center" vertical="center"/>
    </xf>
    <xf numFmtId="164" fontId="34" fillId="2" borderId="0" xfId="0" applyNumberFormat="1" applyFont="1" applyFill="1" applyAlignment="1">
      <alignment horizontal="right" vertical="center"/>
    </xf>
    <xf numFmtId="3" fontId="35" fillId="2" borderId="0" xfId="0" applyNumberFormat="1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3" fontId="36" fillId="2" borderId="0" xfId="0" applyNumberFormat="1" applyFont="1" applyFill="1" applyAlignment="1">
      <alignment horizontal="center" vertical="center"/>
    </xf>
    <xf numFmtId="3" fontId="36" fillId="4" borderId="0" xfId="0" applyNumberFormat="1" applyFont="1" applyFill="1" applyAlignment="1">
      <alignment horizontal="center" vertical="center"/>
    </xf>
    <xf numFmtId="1" fontId="37" fillId="3" borderId="0" xfId="1" applyNumberFormat="1" applyFont="1" applyFill="1" applyBorder="1" applyAlignment="1">
      <alignment horizontal="center" vertical="center" wrapText="1"/>
    </xf>
    <xf numFmtId="1" fontId="38" fillId="3" borderId="0" xfId="1" applyNumberFormat="1" applyFont="1" applyFill="1" applyBorder="1" applyAlignment="1">
      <alignment horizontal="center" vertical="center" wrapText="1"/>
    </xf>
    <xf numFmtId="1" fontId="9" fillId="6" borderId="0" xfId="1" applyNumberFormat="1" applyFont="1" applyFill="1" applyBorder="1" applyAlignment="1">
      <alignment horizontal="left" vertical="center" wrapText="1"/>
    </xf>
    <xf numFmtId="1" fontId="37" fillId="6" borderId="0" xfId="1" applyNumberFormat="1" applyFont="1" applyFill="1" applyBorder="1" applyAlignment="1">
      <alignment horizontal="center" vertical="center" wrapText="1"/>
    </xf>
    <xf numFmtId="1" fontId="14" fillId="7" borderId="0" xfId="1" applyNumberFormat="1" applyFont="1" applyFill="1" applyBorder="1" applyAlignment="1">
      <alignment horizontal="center" vertical="center" wrapText="1"/>
    </xf>
    <xf numFmtId="1" fontId="21" fillId="8" borderId="0" xfId="0" applyNumberFormat="1" applyFont="1" applyFill="1" applyAlignment="1">
      <alignment horizontal="center" vertical="center" wrapText="1"/>
    </xf>
    <xf numFmtId="1" fontId="39" fillId="3" borderId="0" xfId="1" applyNumberFormat="1" applyFont="1" applyFill="1" applyBorder="1" applyAlignment="1">
      <alignment horizontal="left" vertical="center"/>
    </xf>
    <xf numFmtId="1" fontId="21" fillId="10" borderId="0" xfId="1" applyNumberFormat="1" applyFont="1" applyFill="1" applyBorder="1" applyAlignment="1">
      <alignment horizontal="center" vertical="center" wrapText="1"/>
    </xf>
    <xf numFmtId="9" fontId="8" fillId="2" borderId="0" xfId="1" applyFont="1" applyFill="1" applyBorder="1" applyAlignment="1">
      <alignment horizontal="center" vertical="center"/>
    </xf>
    <xf numFmtId="1" fontId="40" fillId="2" borderId="0" xfId="1" applyNumberFormat="1" applyFont="1" applyFill="1" applyBorder="1" applyAlignment="1">
      <alignment horizontal="center" vertical="center"/>
    </xf>
    <xf numFmtId="2" fontId="0" fillId="4" borderId="0" xfId="1" applyNumberFormat="1" applyFont="1" applyFill="1"/>
    <xf numFmtId="2" fontId="0" fillId="5" borderId="0" xfId="1" applyNumberFormat="1" applyFont="1" applyFill="1"/>
    <xf numFmtId="2" fontId="0" fillId="0" borderId="0" xfId="0" applyNumberFormat="1"/>
    <xf numFmtId="1" fontId="41" fillId="3" borderId="0" xfId="0" applyNumberFormat="1" applyFont="1" applyFill="1" applyAlignment="1">
      <alignment horizontal="center" vertical="top" textRotation="90" wrapText="1"/>
    </xf>
    <xf numFmtId="1" fontId="41" fillId="11" borderId="0" xfId="0" applyNumberFormat="1" applyFont="1" applyFill="1" applyAlignment="1">
      <alignment horizontal="center" vertical="top" textRotation="90" wrapText="1"/>
    </xf>
    <xf numFmtId="1" fontId="42" fillId="12" borderId="0" xfId="2" applyNumberFormat="1" applyFont="1" applyFill="1" applyAlignment="1">
      <alignment horizontal="center" vertical="center"/>
    </xf>
    <xf numFmtId="3" fontId="43" fillId="4" borderId="0" xfId="0" applyNumberFormat="1" applyFont="1" applyFill="1" applyAlignment="1">
      <alignment horizontal="center" vertical="center" textRotation="90"/>
    </xf>
    <xf numFmtId="1" fontId="44" fillId="4" borderId="1" xfId="1" applyNumberFormat="1" applyFont="1" applyFill="1" applyBorder="1" applyAlignment="1">
      <alignment horizontal="center" vertical="center" textRotation="90"/>
    </xf>
    <xf numFmtId="1" fontId="45" fillId="4" borderId="1" xfId="1" applyNumberFormat="1" applyFont="1" applyFill="1" applyBorder="1" applyAlignment="1">
      <alignment horizontal="center" vertical="center" textRotation="90"/>
    </xf>
    <xf numFmtId="1" fontId="46" fillId="4" borderId="1" xfId="1" applyNumberFormat="1" applyFont="1" applyFill="1" applyBorder="1" applyAlignment="1">
      <alignment horizontal="center" vertical="center" textRotation="90"/>
    </xf>
    <xf numFmtId="1" fontId="47" fillId="4" borderId="1" xfId="1" applyNumberFormat="1" applyFont="1" applyFill="1" applyBorder="1" applyAlignment="1">
      <alignment horizontal="center" vertical="top"/>
    </xf>
    <xf numFmtId="0" fontId="48" fillId="4" borderId="0" xfId="0" applyFont="1" applyFill="1" applyAlignment="1">
      <alignment horizontal="left" vertical="top" textRotation="90" wrapText="1"/>
    </xf>
    <xf numFmtId="0" fontId="49" fillId="4" borderId="0" xfId="0" applyFont="1" applyFill="1" applyAlignment="1">
      <alignment horizontal="center" vertical="center" textRotation="90" wrapText="1"/>
    </xf>
    <xf numFmtId="1" fontId="46" fillId="4" borderId="1" xfId="1" applyNumberFormat="1" applyFont="1" applyFill="1" applyBorder="1" applyAlignment="1">
      <alignment horizontal="center" vertical="top" textRotation="90"/>
    </xf>
    <xf numFmtId="0" fontId="50" fillId="4" borderId="0" xfId="0" applyFont="1" applyFill="1" applyAlignment="1">
      <alignment horizontal="center" vertical="center" wrapText="1"/>
    </xf>
    <xf numFmtId="0" fontId="51" fillId="4" borderId="0" xfId="0" applyFont="1" applyFill="1" applyAlignment="1">
      <alignment horizontal="center" vertical="top" textRotation="90" wrapText="1"/>
    </xf>
    <xf numFmtId="1" fontId="52" fillId="2" borderId="0" xfId="3" applyNumberFormat="1" applyFont="1" applyFill="1" applyBorder="1" applyAlignment="1">
      <alignment horizontal="center" vertical="top" textRotation="90" wrapText="1"/>
    </xf>
    <xf numFmtId="1" fontId="53" fillId="4" borderId="1" xfId="1" applyNumberFormat="1" applyFont="1" applyFill="1" applyBorder="1" applyAlignment="1">
      <alignment horizontal="center" vertical="top" textRotation="90"/>
    </xf>
    <xf numFmtId="2" fontId="52" fillId="4" borderId="0" xfId="3" applyNumberFormat="1" applyFont="1" applyFill="1" applyBorder="1" applyAlignment="1">
      <alignment horizontal="center" vertical="top" textRotation="90"/>
    </xf>
    <xf numFmtId="2" fontId="24" fillId="4" borderId="0" xfId="3" applyNumberFormat="1" applyFont="1" applyFill="1" applyBorder="1" applyAlignment="1">
      <alignment horizontal="center" vertical="top" textRotation="90"/>
    </xf>
    <xf numFmtId="2" fontId="24" fillId="4" borderId="0" xfId="3" applyNumberFormat="1" applyFont="1" applyFill="1" applyBorder="1" applyAlignment="1">
      <alignment horizontal="center" vertical="top"/>
    </xf>
    <xf numFmtId="0" fontId="54" fillId="4" borderId="0" xfId="0" applyFont="1" applyFill="1" applyAlignment="1">
      <alignment horizontal="center" vertical="center" textRotation="90" wrapText="1"/>
    </xf>
    <xf numFmtId="167" fontId="4" fillId="13" borderId="0" xfId="1" applyNumberFormat="1" applyFont="1" applyFill="1" applyBorder="1" applyAlignment="1">
      <alignment horizontal="left" vertical="top" textRotation="90" wrapText="1"/>
    </xf>
    <xf numFmtId="166" fontId="56" fillId="6" borderId="0" xfId="1" applyNumberFormat="1" applyFont="1" applyFill="1" applyBorder="1" applyAlignment="1">
      <alignment horizontal="center" vertical="top" wrapText="1"/>
    </xf>
    <xf numFmtId="166" fontId="57" fillId="6" borderId="0" xfId="1" applyNumberFormat="1" applyFont="1" applyFill="1" applyBorder="1" applyAlignment="1">
      <alignment horizontal="center" vertical="center" wrapText="1"/>
    </xf>
    <xf numFmtId="167" fontId="59" fillId="6" borderId="0" xfId="1" applyNumberFormat="1" applyFont="1" applyFill="1" applyBorder="1" applyAlignment="1">
      <alignment horizontal="left"/>
    </xf>
    <xf numFmtId="167" fontId="47" fillId="6" borderId="0" xfId="1" applyNumberFormat="1" applyFont="1" applyFill="1" applyBorder="1" applyAlignment="1">
      <alignment horizontal="center" vertical="top" textRotation="90" wrapText="1"/>
    </xf>
    <xf numFmtId="166" fontId="56" fillId="7" borderId="0" xfId="1" applyNumberFormat="1" applyFont="1" applyFill="1" applyBorder="1" applyAlignment="1">
      <alignment horizontal="center" vertical="top" wrapText="1"/>
    </xf>
    <xf numFmtId="166" fontId="57" fillId="7" borderId="0" xfId="1" applyNumberFormat="1" applyFont="1" applyFill="1" applyBorder="1" applyAlignment="1">
      <alignment horizontal="center" vertical="center" wrapText="1"/>
    </xf>
    <xf numFmtId="167" fontId="59" fillId="7" borderId="0" xfId="1" applyNumberFormat="1" applyFont="1" applyFill="1" applyBorder="1" applyAlignment="1">
      <alignment horizontal="left"/>
    </xf>
    <xf numFmtId="3" fontId="47" fillId="7" borderId="0" xfId="1" applyNumberFormat="1" applyFont="1" applyFill="1" applyBorder="1" applyAlignment="1">
      <alignment horizontal="center" vertical="top" textRotation="90" wrapText="1"/>
    </xf>
    <xf numFmtId="3" fontId="64" fillId="3" borderId="0" xfId="1" applyNumberFormat="1" applyFont="1" applyFill="1" applyBorder="1" applyAlignment="1">
      <alignment horizontal="center" vertical="center" wrapText="1"/>
    </xf>
    <xf numFmtId="9" fontId="47" fillId="2" borderId="0" xfId="1" applyFont="1" applyFill="1" applyAlignment="1">
      <alignment horizontal="center" vertical="top" textRotation="90" wrapText="1"/>
    </xf>
    <xf numFmtId="0" fontId="65" fillId="8" borderId="1" xfId="0" applyFont="1" applyFill="1" applyBorder="1" applyAlignment="1">
      <alignment horizontal="center" vertical="top" textRotation="90" wrapText="1"/>
    </xf>
    <xf numFmtId="0" fontId="66" fillId="8" borderId="1" xfId="0" applyFont="1" applyFill="1" applyBorder="1" applyAlignment="1">
      <alignment horizontal="center" vertical="top" textRotation="90" wrapText="1"/>
    </xf>
    <xf numFmtId="0" fontId="65" fillId="9" borderId="1" xfId="0" applyFont="1" applyFill="1" applyBorder="1" applyAlignment="1">
      <alignment horizontal="center" vertical="top" textRotation="90" wrapText="1"/>
    </xf>
    <xf numFmtId="0" fontId="66" fillId="9" borderId="1" xfId="0" applyFont="1" applyFill="1" applyBorder="1" applyAlignment="1">
      <alignment horizontal="center" vertical="top" textRotation="90" wrapText="1"/>
    </xf>
    <xf numFmtId="1" fontId="67" fillId="3" borderId="0" xfId="0" applyNumberFormat="1" applyFont="1" applyFill="1" applyAlignment="1">
      <alignment horizontal="center" vertical="top" textRotation="90" wrapText="1"/>
    </xf>
    <xf numFmtId="1" fontId="68" fillId="3" borderId="0" xfId="0" applyNumberFormat="1" applyFont="1" applyFill="1" applyAlignment="1">
      <alignment horizontal="center" vertical="top" textRotation="90" wrapText="1"/>
    </xf>
    <xf numFmtId="166" fontId="3" fillId="4" borderId="0" xfId="0" applyNumberFormat="1" applyFont="1" applyFill="1" applyAlignment="1">
      <alignment horizontal="center" vertical="center" textRotation="90"/>
    </xf>
    <xf numFmtId="166" fontId="70" fillId="4" borderId="0" xfId="0" applyNumberFormat="1" applyFont="1" applyFill="1" applyAlignment="1">
      <alignment horizontal="center" vertical="center" textRotation="90"/>
    </xf>
    <xf numFmtId="1" fontId="3" fillId="4" borderId="0" xfId="0" applyNumberFormat="1" applyFont="1" applyFill="1" applyAlignment="1">
      <alignment horizontal="center" vertical="center"/>
    </xf>
    <xf numFmtId="0" fontId="71" fillId="2" borderId="0" xfId="2" applyFont="1" applyFill="1" applyAlignment="1">
      <alignment horizontal="center" vertical="center"/>
    </xf>
    <xf numFmtId="0" fontId="71" fillId="4" borderId="0" xfId="2" applyFont="1" applyFill="1" applyAlignment="1">
      <alignment horizontal="center" vertical="center"/>
    </xf>
    <xf numFmtId="0" fontId="32" fillId="4" borderId="0" xfId="2" applyFont="1" applyFill="1" applyAlignment="1">
      <alignment horizontal="center" vertical="center"/>
    </xf>
    <xf numFmtId="1" fontId="72" fillId="4" borderId="0" xfId="2" applyNumberFormat="1" applyFont="1" applyFill="1" applyAlignment="1">
      <alignment horizontal="center" vertical="center"/>
    </xf>
    <xf numFmtId="1" fontId="32" fillId="4" borderId="0" xfId="2" applyNumberFormat="1" applyFont="1" applyFill="1" applyAlignment="1">
      <alignment horizontal="center" vertical="center"/>
    </xf>
    <xf numFmtId="2" fontId="73" fillId="4" borderId="0" xfId="2" applyNumberFormat="1" applyFont="1" applyFill="1" applyAlignment="1">
      <alignment horizontal="center" vertical="center"/>
    </xf>
    <xf numFmtId="2" fontId="74" fillId="4" borderId="0" xfId="2" applyNumberFormat="1" applyFont="1" applyFill="1" applyAlignment="1">
      <alignment horizontal="center" vertical="center"/>
    </xf>
    <xf numFmtId="1" fontId="71" fillId="4" borderId="0" xfId="3" applyNumberFormat="1" applyFont="1" applyFill="1" applyBorder="1" applyAlignment="1">
      <alignment horizontal="center" vertical="center"/>
    </xf>
    <xf numFmtId="164" fontId="75" fillId="4" borderId="0" xfId="1" applyNumberFormat="1" applyFont="1" applyFill="1" applyBorder="1" applyAlignment="1">
      <alignment horizontal="center" vertical="center"/>
    </xf>
    <xf numFmtId="9" fontId="32" fillId="4" borderId="0" xfId="1" applyFont="1" applyFill="1" applyBorder="1" applyAlignment="1">
      <alignment horizontal="center" vertical="center"/>
    </xf>
    <xf numFmtId="4" fontId="75" fillId="4" borderId="0" xfId="1" applyNumberFormat="1" applyFont="1" applyFill="1" applyBorder="1" applyAlignment="1">
      <alignment horizontal="center" vertical="center"/>
    </xf>
    <xf numFmtId="4" fontId="74" fillId="4" borderId="0" xfId="1" applyNumberFormat="1" applyFont="1" applyFill="1" applyBorder="1" applyAlignment="1">
      <alignment horizontal="center" vertical="center"/>
    </xf>
    <xf numFmtId="9" fontId="75" fillId="4" borderId="0" xfId="1" applyFont="1" applyFill="1" applyAlignment="1">
      <alignment horizontal="center" vertical="center"/>
    </xf>
    <xf numFmtId="166" fontId="75" fillId="4" borderId="0" xfId="1" applyNumberFormat="1" applyFont="1" applyFill="1" applyAlignment="1">
      <alignment horizontal="center" vertical="center"/>
    </xf>
    <xf numFmtId="166" fontId="75" fillId="4" borderId="0" xfId="2" applyNumberFormat="1" applyFont="1" applyFill="1" applyAlignment="1">
      <alignment horizontal="center" vertical="center"/>
    </xf>
    <xf numFmtId="2" fontId="76" fillId="4" borderId="0" xfId="2" applyNumberFormat="1" applyFont="1" applyFill="1" applyAlignment="1">
      <alignment horizontal="center" vertical="center"/>
    </xf>
    <xf numFmtId="166" fontId="71" fillId="4" borderId="0" xfId="2" applyNumberFormat="1" applyFont="1" applyFill="1" applyAlignment="1">
      <alignment horizontal="center" vertical="center"/>
    </xf>
    <xf numFmtId="9" fontId="75" fillId="4" borderId="0" xfId="1" applyFont="1" applyFill="1" applyBorder="1" applyAlignment="1">
      <alignment horizontal="center" vertical="center"/>
    </xf>
    <xf numFmtId="2" fontId="32" fillId="4" borderId="0" xfId="1" applyNumberFormat="1" applyFont="1" applyFill="1" applyBorder="1" applyAlignment="1">
      <alignment horizontal="center" vertical="center"/>
    </xf>
    <xf numFmtId="1" fontId="32" fillId="4" borderId="0" xfId="1" applyNumberFormat="1" applyFont="1" applyFill="1" applyBorder="1" applyAlignment="1">
      <alignment horizontal="center" vertical="center"/>
    </xf>
    <xf numFmtId="9" fontId="77" fillId="4" borderId="0" xfId="1" applyFont="1" applyFill="1" applyBorder="1" applyAlignment="1">
      <alignment horizontal="center" vertical="center"/>
    </xf>
    <xf numFmtId="9" fontId="78" fillId="4" borderId="0" xfId="1" applyFont="1" applyFill="1" applyBorder="1" applyAlignment="1">
      <alignment horizontal="center" vertical="center"/>
    </xf>
    <xf numFmtId="2" fontId="79" fillId="4" borderId="0" xfId="1" applyNumberFormat="1" applyFont="1" applyFill="1" applyBorder="1" applyAlignment="1">
      <alignment horizontal="center" vertical="center"/>
    </xf>
    <xf numFmtId="1" fontId="80" fillId="4" borderId="0" xfId="1" applyNumberFormat="1" applyFont="1" applyFill="1" applyBorder="1" applyAlignment="1">
      <alignment horizontal="center" vertical="center"/>
    </xf>
    <xf numFmtId="9" fontId="81" fillId="4" borderId="0" xfId="1" applyFont="1" applyFill="1" applyBorder="1" applyAlignment="1">
      <alignment horizontal="center" vertical="center"/>
    </xf>
    <xf numFmtId="168" fontId="71" fillId="4" borderId="0" xfId="2" applyNumberFormat="1" applyFont="1" applyFill="1" applyAlignment="1">
      <alignment horizontal="center" vertical="center"/>
    </xf>
    <xf numFmtId="1" fontId="82" fillId="2" borderId="0" xfId="0" applyNumberFormat="1" applyFont="1" applyFill="1" applyAlignment="1">
      <alignment horizontal="center" vertical="center"/>
    </xf>
    <xf numFmtId="0" fontId="83" fillId="5" borderId="0" xfId="0" applyFont="1" applyFill="1" applyAlignment="1">
      <alignment horizontal="center" vertical="center"/>
    </xf>
    <xf numFmtId="1" fontId="84" fillId="5" borderId="0" xfId="0" applyNumberFormat="1" applyFont="1" applyFill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1" fontId="83" fillId="5" borderId="0" xfId="0" applyNumberFormat="1" applyFont="1" applyFill="1" applyAlignment="1">
      <alignment horizontal="center" vertical="center"/>
    </xf>
    <xf numFmtId="1" fontId="85" fillId="5" borderId="0" xfId="0" applyNumberFormat="1" applyFont="1" applyFill="1" applyAlignment="1">
      <alignment horizontal="center" vertical="center"/>
    </xf>
    <xf numFmtId="164" fontId="74" fillId="4" borderId="0" xfId="1" applyNumberFormat="1" applyFont="1" applyFill="1" applyBorder="1" applyAlignment="1">
      <alignment horizontal="center" vertical="center"/>
    </xf>
    <xf numFmtId="166" fontId="71" fillId="4" borderId="0" xfId="3" applyNumberFormat="1" applyFont="1" applyFill="1" applyBorder="1" applyAlignment="1">
      <alignment horizontal="center" vertical="center"/>
    </xf>
    <xf numFmtId="0" fontId="59" fillId="0" borderId="0" xfId="0" applyFont="1"/>
    <xf numFmtId="1" fontId="72" fillId="2" borderId="0" xfId="2" applyNumberFormat="1" applyFont="1" applyFill="1" applyAlignment="1">
      <alignment horizontal="center" vertical="center"/>
    </xf>
    <xf numFmtId="166" fontId="0" fillId="5" borderId="0" xfId="0" applyNumberFormat="1" applyFill="1"/>
    <xf numFmtId="166" fontId="31" fillId="5" borderId="0" xfId="0" applyNumberFormat="1" applyFont="1" applyFill="1"/>
    <xf numFmtId="1" fontId="0" fillId="5" borderId="0" xfId="0" applyNumberFormat="1" applyFill="1" applyAlignment="1">
      <alignment horizontal="center"/>
    </xf>
    <xf numFmtId="0" fontId="86" fillId="5" borderId="0" xfId="0" applyFont="1" applyFill="1" applyAlignment="1">
      <alignment horizontal="center" vertical="center"/>
    </xf>
    <xf numFmtId="2" fontId="87" fillId="2" borderId="0" xfId="3" applyNumberFormat="1" applyFont="1" applyFill="1" applyBorder="1" applyAlignment="1">
      <alignment horizontal="center" vertical="center"/>
    </xf>
    <xf numFmtId="2" fontId="52" fillId="2" borderId="0" xfId="3" applyNumberFormat="1" applyFont="1" applyFill="1" applyBorder="1" applyAlignment="1">
      <alignment horizontal="center" vertical="center"/>
    </xf>
    <xf numFmtId="0" fontId="0" fillId="2" borderId="0" xfId="0" applyFill="1"/>
    <xf numFmtId="166" fontId="45" fillId="2" borderId="0" xfId="3" applyNumberFormat="1" applyFont="1" applyFill="1" applyBorder="1" applyAlignment="1">
      <alignment horizontal="center" vertical="center"/>
    </xf>
    <xf numFmtId="2" fontId="88" fillId="14" borderId="0" xfId="2" applyNumberFormat="1" applyFont="1" applyFill="1" applyAlignment="1">
      <alignment horizontal="center" vertical="top" wrapText="1"/>
    </xf>
    <xf numFmtId="166" fontId="89" fillId="15" borderId="0" xfId="2" applyNumberFormat="1" applyFont="1" applyFill="1" applyAlignment="1">
      <alignment horizontal="center" vertical="center"/>
    </xf>
    <xf numFmtId="0" fontId="90" fillId="5" borderId="0" xfId="0" applyFont="1" applyFill="1"/>
    <xf numFmtId="166" fontId="89" fillId="16" borderId="0" xfId="3" applyNumberFormat="1" applyFont="1" applyFill="1" applyBorder="1" applyAlignment="1">
      <alignment horizontal="center" vertical="center"/>
    </xf>
    <xf numFmtId="9" fontId="91" fillId="5" borderId="0" xfId="1" applyFont="1" applyFill="1" applyBorder="1" applyAlignment="1">
      <alignment horizontal="center" vertical="center"/>
    </xf>
    <xf numFmtId="2" fontId="92" fillId="14" borderId="0" xfId="2" applyNumberFormat="1" applyFont="1" applyFill="1" applyAlignment="1">
      <alignment horizontal="center" vertical="top" wrapText="1"/>
    </xf>
    <xf numFmtId="166" fontId="89" fillId="17" borderId="0" xfId="2" applyNumberFormat="1" applyFont="1" applyFill="1" applyAlignment="1">
      <alignment horizontal="center" vertical="center"/>
    </xf>
    <xf numFmtId="2" fontId="93" fillId="2" borderId="0" xfId="3" applyNumberFormat="1" applyFont="1" applyFill="1" applyBorder="1" applyAlignment="1">
      <alignment horizontal="center" vertical="center"/>
    </xf>
    <xf numFmtId="9" fontId="0" fillId="5" borderId="0" xfId="0" applyNumberFormat="1" applyFill="1" applyAlignment="1">
      <alignment horizontal="center"/>
    </xf>
    <xf numFmtId="166" fontId="94" fillId="18" borderId="0" xfId="1" applyNumberFormat="1" applyFont="1" applyFill="1" applyBorder="1" applyAlignment="1">
      <alignment horizontal="right" vertical="center"/>
    </xf>
    <xf numFmtId="2" fontId="95" fillId="19" borderId="0" xfId="0" applyNumberFormat="1" applyFont="1" applyFill="1" applyAlignment="1">
      <alignment horizontal="center" vertical="center"/>
    </xf>
    <xf numFmtId="169" fontId="96" fillId="20" borderId="0" xfId="0" applyNumberFormat="1" applyFont="1" applyFill="1" applyAlignment="1">
      <alignment horizontal="center" vertical="center"/>
    </xf>
    <xf numFmtId="1" fontId="96" fillId="20" borderId="0" xfId="0" applyNumberFormat="1" applyFont="1" applyFill="1" applyAlignment="1">
      <alignment horizontal="center" vertical="center"/>
    </xf>
    <xf numFmtId="1" fontId="97" fillId="2" borderId="0" xfId="1" applyNumberFormat="1" applyFont="1" applyFill="1" applyBorder="1" applyAlignment="1">
      <alignment horizontal="center" vertical="center"/>
    </xf>
    <xf numFmtId="0" fontId="98" fillId="2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center"/>
    </xf>
    <xf numFmtId="0" fontId="31" fillId="5" borderId="0" xfId="0" applyFont="1" applyFill="1"/>
    <xf numFmtId="1" fontId="31" fillId="5" borderId="0" xfId="0" applyNumberFormat="1" applyFont="1" applyFill="1" applyAlignment="1">
      <alignment horizontal="center"/>
    </xf>
    <xf numFmtId="2" fontId="31" fillId="5" borderId="0" xfId="0" applyNumberFormat="1" applyFont="1" applyFill="1" applyAlignment="1">
      <alignment horizontal="center"/>
    </xf>
    <xf numFmtId="166" fontId="83" fillId="5" borderId="0" xfId="0" applyNumberFormat="1" applyFont="1" applyFill="1"/>
    <xf numFmtId="0" fontId="99" fillId="5" borderId="0" xfId="0" applyFont="1" applyFill="1"/>
    <xf numFmtId="166" fontId="3" fillId="5" borderId="0" xfId="0" applyNumberFormat="1" applyFont="1" applyFill="1"/>
    <xf numFmtId="1" fontId="100" fillId="5" borderId="0" xfId="2" applyNumberFormat="1" applyFont="1" applyFill="1" applyAlignment="1">
      <alignment horizontal="right"/>
    </xf>
    <xf numFmtId="1" fontId="0" fillId="5" borderId="0" xfId="0" applyNumberFormat="1" applyFill="1"/>
    <xf numFmtId="2" fontId="101" fillId="2" borderId="0" xfId="3" applyNumberFormat="1" applyFont="1" applyFill="1" applyBorder="1" applyAlignment="1">
      <alignment horizontal="right" vertical="center"/>
    </xf>
    <xf numFmtId="166" fontId="102" fillId="5" borderId="0" xfId="0" applyNumberFormat="1" applyFont="1" applyFill="1" applyAlignment="1">
      <alignment horizontal="right"/>
    </xf>
    <xf numFmtId="2" fontId="103" fillId="14" borderId="0" xfId="2" applyNumberFormat="1" applyFont="1" applyFill="1" applyAlignment="1">
      <alignment horizontal="center" vertical="top" wrapText="1"/>
    </xf>
    <xf numFmtId="2" fontId="52" fillId="4" borderId="0" xfId="3" applyNumberFormat="1" applyFont="1" applyFill="1" applyBorder="1" applyAlignment="1">
      <alignment horizontal="center" vertical="center"/>
    </xf>
    <xf numFmtId="166" fontId="0" fillId="19" borderId="0" xfId="0" applyNumberFormat="1" applyFill="1" applyAlignment="1">
      <alignment horizontal="center" vertical="center"/>
    </xf>
    <xf numFmtId="166" fontId="2" fillId="5" borderId="0" xfId="0" applyNumberFormat="1" applyFont="1" applyFill="1" applyAlignment="1">
      <alignment horizontal="center" vertical="center"/>
    </xf>
    <xf numFmtId="0" fontId="90" fillId="0" borderId="0" xfId="0" applyFont="1"/>
    <xf numFmtId="0" fontId="83" fillId="0" borderId="0" xfId="0" applyFont="1"/>
    <xf numFmtId="1" fontId="0" fillId="0" borderId="0" xfId="0" applyNumberFormat="1"/>
    <xf numFmtId="170" fontId="75" fillId="4" borderId="0" xfId="1" applyNumberFormat="1" applyFont="1" applyFill="1" applyBorder="1" applyAlignment="1">
      <alignment horizontal="center" vertical="center"/>
    </xf>
    <xf numFmtId="169" fontId="71" fillId="4" borderId="0" xfId="3" applyNumberFormat="1" applyFont="1" applyFill="1" applyBorder="1" applyAlignment="1">
      <alignment horizontal="center" vertical="center"/>
    </xf>
  </cellXfs>
  <cellStyles count="4">
    <cellStyle name="Comma 2" xfId="3" xr:uid="{D6F4C818-EDDF-44E3-86F2-39FADC1E94AF}"/>
    <cellStyle name="Normal" xfId="0" builtinId="0"/>
    <cellStyle name="Normal 2" xfId="2" xr:uid="{460D4ADB-4720-49D8-BBEE-6C7EAEFE710E}"/>
    <cellStyle name="Percent" xfId="1" builtinId="5"/>
  </cellStyles>
  <dxfs count="275">
    <dxf>
      <font>
        <sz val="7"/>
        <color auto="1"/>
        <name val="Calibri Light"/>
        <family val="2"/>
        <scheme val="major"/>
      </font>
      <numFmt numFmtId="168" formatCode="0.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sz val="7"/>
        <color auto="1"/>
        <name val="Calibri Light"/>
        <family val="2"/>
        <scheme val="major"/>
      </font>
      <numFmt numFmtId="166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00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FF"/>
        <name val="Calibri Light"/>
        <family val="2"/>
        <scheme val="major"/>
      </font>
      <numFmt numFmtId="166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numFmt numFmtId="166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6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6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6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6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4" formatCode="#,##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Calibri Light"/>
        <family val="2"/>
        <scheme val="major"/>
      </font>
      <numFmt numFmtId="164" formatCode="#,##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4" formatCode="#,##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64" formatCode="#,##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4" formatCode="#,##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4" formatCode="#,##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numFmt numFmtId="166" formatCode="0.0"/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rgb="FF8EA9DB"/>
        </left>
        <right style="medium">
          <color rgb="FF000000"/>
        </right>
      </border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E1E1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FF8F8F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FF8F8F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FF8F8F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FF8F8F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FF8F8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7" tint="0.59996337778862885"/>
      </font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327745478072245E-2"/>
          <c:y val="0.25723295863337114"/>
          <c:w val="0.80323468545127652"/>
          <c:h val="0.61969884775896089"/>
        </c:manualLayout>
      </c:layout>
      <c:barChart>
        <c:barDir val="col"/>
        <c:grouping val="clustered"/>
        <c:varyColors val="0"/>
        <c:ser>
          <c:idx val="8"/>
          <c:order val="2"/>
          <c:tx>
            <c:strRef>
              <c:f>'o01'!$AK$2</c:f>
              <c:strCache>
                <c:ptCount val="1"/>
                <c:pt idx="0">
                  <c:v>dif</c:v>
                </c:pt>
              </c:strCache>
            </c:strRef>
          </c:tx>
          <c:spPr>
            <a:ln w="19050">
              <a:noFill/>
            </a:ln>
          </c:spPr>
          <c:invertIfNegative val="0"/>
          <c:cat>
            <c:strRef>
              <c:f>'o01'!$AX$5:$AX$1200</c:f>
              <c:strCache>
                <c:ptCount val="62"/>
                <c:pt idx="0">
                  <c:v>1</c:v>
                </c:pt>
                <c:pt idx="52">
                  <c:v>2</c:v>
                </c:pt>
                <c:pt idx="55">
                  <c:v>3</c:v>
                </c:pt>
                <c:pt idx="58">
                  <c:v>4</c:v>
                </c:pt>
                <c:pt idx="61">
                  <c:v>5</c:v>
                </c:pt>
              </c:strCache>
            </c:strRef>
          </c:cat>
          <c:val>
            <c:numRef>
              <c:f>'o01'!$AK$5:$AK$1200</c:f>
              <c:numCache>
                <c:formatCode>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D-4D87-9CC4-34CC336198B8}"/>
            </c:ext>
          </c:extLst>
        </c:ser>
        <c:ser>
          <c:idx val="4"/>
          <c:order val="4"/>
          <c:tx>
            <c:strRef>
              <c:f>'o01'!$H$4</c:f>
              <c:strCache>
                <c:ptCount val="1"/>
                <c:pt idx="0">
                  <c:v>MOD</c:v>
                </c:pt>
              </c:strCache>
            </c:strRef>
          </c:tx>
          <c:spPr>
            <a:solidFill>
              <a:srgbClr val="DAE3F3"/>
            </a:solidFill>
            <a:ln>
              <a:noFill/>
            </a:ln>
          </c:spPr>
          <c:invertIfNegative val="0"/>
          <c:cat>
            <c:strRef>
              <c:f>'o01'!$AX$5:$AX$1200</c:f>
              <c:strCache>
                <c:ptCount val="62"/>
                <c:pt idx="0">
                  <c:v>1</c:v>
                </c:pt>
                <c:pt idx="52">
                  <c:v>2</c:v>
                </c:pt>
                <c:pt idx="55">
                  <c:v>3</c:v>
                </c:pt>
                <c:pt idx="58">
                  <c:v>4</c:v>
                </c:pt>
                <c:pt idx="61">
                  <c:v>5</c:v>
                </c:pt>
              </c:strCache>
            </c:strRef>
          </c:cat>
          <c:val>
            <c:numRef>
              <c:f>'o01'!$H$5:$H$1200</c:f>
              <c:numCache>
                <c:formatCode>0.00</c:formatCode>
                <c:ptCount val="64"/>
                <c:pt idx="0">
                  <c:v>840.94839999999999</c:v>
                </c:pt>
                <c:pt idx="1">
                  <c:v>840.94780000000003</c:v>
                </c:pt>
                <c:pt idx="2">
                  <c:v>840.94719999999995</c:v>
                </c:pt>
                <c:pt idx="3">
                  <c:v>840.94659999999999</c:v>
                </c:pt>
                <c:pt idx="4">
                  <c:v>840.94600000000003</c:v>
                </c:pt>
                <c:pt idx="5">
                  <c:v>840.94320000000005</c:v>
                </c:pt>
                <c:pt idx="6">
                  <c:v>840.94029999999998</c:v>
                </c:pt>
                <c:pt idx="7">
                  <c:v>840.9357</c:v>
                </c:pt>
                <c:pt idx="8">
                  <c:v>840.92989999999998</c:v>
                </c:pt>
                <c:pt idx="9">
                  <c:v>840.92409999999995</c:v>
                </c:pt>
                <c:pt idx="10">
                  <c:v>840.91250000000002</c:v>
                </c:pt>
                <c:pt idx="11">
                  <c:v>840.89859999999999</c:v>
                </c:pt>
                <c:pt idx="12">
                  <c:v>840.88369999999998</c:v>
                </c:pt>
                <c:pt idx="13">
                  <c:v>840.84410000000003</c:v>
                </c:pt>
                <c:pt idx="14">
                  <c:v>840.80319999999995</c:v>
                </c:pt>
                <c:pt idx="15">
                  <c:v>840.76869999999997</c:v>
                </c:pt>
                <c:pt idx="16">
                  <c:v>840.69749999999999</c:v>
                </c:pt>
                <c:pt idx="17">
                  <c:v>840.59870000000001</c:v>
                </c:pt>
                <c:pt idx="18">
                  <c:v>840.54880000000003</c:v>
                </c:pt>
                <c:pt idx="19">
                  <c:v>840.44889999999998</c:v>
                </c:pt>
                <c:pt idx="20">
                  <c:v>840.34900000000005</c:v>
                </c:pt>
                <c:pt idx="21">
                  <c:v>840.17399999999998</c:v>
                </c:pt>
                <c:pt idx="22">
                  <c:v>840.11180000000002</c:v>
                </c:pt>
                <c:pt idx="23">
                  <c:v>839.95100000000002</c:v>
                </c:pt>
                <c:pt idx="24">
                  <c:v>839.79020000000003</c:v>
                </c:pt>
                <c:pt idx="25">
                  <c:v>839.74220000000003</c:v>
                </c:pt>
                <c:pt idx="26">
                  <c:v>839.65660000000003</c:v>
                </c:pt>
                <c:pt idx="27">
                  <c:v>839.43020000000001</c:v>
                </c:pt>
                <c:pt idx="28">
                  <c:v>838.94269999999995</c:v>
                </c:pt>
                <c:pt idx="29">
                  <c:v>838.56569999999999</c:v>
                </c:pt>
                <c:pt idx="30">
                  <c:v>838.39700000000005</c:v>
                </c:pt>
                <c:pt idx="31">
                  <c:v>837.92679999999996</c:v>
                </c:pt>
                <c:pt idx="32">
                  <c:v>837.45259999999996</c:v>
                </c:pt>
                <c:pt idx="33">
                  <c:v>836.50429999999994</c:v>
                </c:pt>
                <c:pt idx="34">
                  <c:v>835.55600000000004</c:v>
                </c:pt>
                <c:pt idx="35">
                  <c:v>835.27940000000001</c:v>
                </c:pt>
                <c:pt idx="36">
                  <c:v>835.38919999999996</c:v>
                </c:pt>
                <c:pt idx="37">
                  <c:v>835.43209999999999</c:v>
                </c:pt>
                <c:pt idx="38">
                  <c:v>835.47519999999997</c:v>
                </c:pt>
                <c:pt idx="39">
                  <c:v>835.56129999999996</c:v>
                </c:pt>
                <c:pt idx="40">
                  <c:v>835.6259</c:v>
                </c:pt>
                <c:pt idx="41">
                  <c:v>836.32380000000001</c:v>
                </c:pt>
                <c:pt idx="42">
                  <c:v>836.721</c:v>
                </c:pt>
                <c:pt idx="43">
                  <c:v>838.12789999999995</c:v>
                </c:pt>
                <c:pt idx="44">
                  <c:v>838.88670000000002</c:v>
                </c:pt>
                <c:pt idx="45">
                  <c:v>839.28070000000002</c:v>
                </c:pt>
                <c:pt idx="46">
                  <c:v>839.5634</c:v>
                </c:pt>
                <c:pt idx="47">
                  <c:v>839.73940000000005</c:v>
                </c:pt>
                <c:pt idx="48">
                  <c:v>839.89279999999997</c:v>
                </c:pt>
                <c:pt idx="49">
                  <c:v>839.97789999999998</c:v>
                </c:pt>
                <c:pt idx="50">
                  <c:v>840.06309999999996</c:v>
                </c:pt>
                <c:pt idx="51">
                  <c:v>840.1481</c:v>
                </c:pt>
                <c:pt idx="52">
                  <c:v>840.83040000000005</c:v>
                </c:pt>
                <c:pt idx="53">
                  <c:v>834.69320000000005</c:v>
                </c:pt>
                <c:pt idx="54">
                  <c:v>839.94619999999998</c:v>
                </c:pt>
                <c:pt idx="55">
                  <c:v>841.00440000000003</c:v>
                </c:pt>
                <c:pt idx="56">
                  <c:v>839.71500000000003</c:v>
                </c:pt>
                <c:pt idx="57">
                  <c:v>840.36260000000004</c:v>
                </c:pt>
                <c:pt idx="58">
                  <c:v>841.02359999999999</c:v>
                </c:pt>
                <c:pt idx="59">
                  <c:v>840.46249999999998</c:v>
                </c:pt>
                <c:pt idx="60">
                  <c:v>840.471</c:v>
                </c:pt>
                <c:pt idx="61">
                  <c:v>840.68799999999999</c:v>
                </c:pt>
                <c:pt idx="62">
                  <c:v>839.17819999999995</c:v>
                </c:pt>
                <c:pt idx="63">
                  <c:v>839.90030000000002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D-4D87-9CC4-34CC33619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8627231"/>
        <c:axId val="78627647"/>
      </c:barChart>
      <c:barChart>
        <c:barDir val="col"/>
        <c:grouping val="clustered"/>
        <c:varyColors val="0"/>
        <c:ser>
          <c:idx val="0"/>
          <c:order val="9"/>
          <c:tx>
            <c:strRef>
              <c:f>'o01'!$AH$4</c:f>
              <c:strCache>
                <c:ptCount val="1"/>
                <c:pt idx="0">
                  <c:v>ΣrW2</c:v>
                </c:pt>
              </c:strCache>
            </c:strRef>
          </c:tx>
          <c:spPr>
            <a:noFill/>
            <a:ln w="3175">
              <a:solidFill>
                <a:sysClr val="windowText" lastClr="000000"/>
              </a:solidFill>
            </a:ln>
          </c:spPr>
          <c:invertIfNegative val="0"/>
          <c:val>
            <c:numRef>
              <c:f>'o01'!$AH$5:$AH$1200</c:f>
              <c:numCache>
                <c:formatCode>0%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DCFD-4D87-9CC4-34CC33619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92402384"/>
        <c:axId val="1792429264"/>
        <c:extLst/>
      </c:barChart>
      <c:lineChart>
        <c:grouping val="standard"/>
        <c:varyColors val="0"/>
        <c:ser>
          <c:idx val="2"/>
          <c:order val="10"/>
          <c:tx>
            <c:strRef>
              <c:f>'o01'!$AM$2</c:f>
              <c:strCache>
                <c:ptCount val="1"/>
                <c:pt idx="0">
                  <c:v>SEO</c:v>
                </c:pt>
              </c:strCache>
            </c:strRef>
          </c:tx>
          <c:spPr>
            <a:ln>
              <a:solidFill>
                <a:srgbClr val="FF66FF"/>
              </a:solidFill>
            </a:ln>
          </c:spPr>
          <c:marker>
            <c:symbol val="none"/>
          </c:marker>
          <c:val>
            <c:numRef>
              <c:f>'o01'!$AM$5:$AM$1200</c:f>
              <c:numCache>
                <c:formatCode>0%</c:formatCode>
                <c:ptCount val="64"/>
                <c:pt idx="0">
                  <c:v>1.0171356804416423E-5</c:v>
                </c:pt>
                <c:pt idx="1">
                  <c:v>1.0171356804416423E-5</c:v>
                </c:pt>
                <c:pt idx="2">
                  <c:v>1.0349673021878107E-5</c:v>
                </c:pt>
                <c:pt idx="3">
                  <c:v>1.0429718101282196E-5</c:v>
                </c:pt>
                <c:pt idx="4">
                  <c:v>1.0236558452680632E-5</c:v>
                </c:pt>
                <c:pt idx="5">
                  <c:v>1.0333589545278492E-5</c:v>
                </c:pt>
                <c:pt idx="6">
                  <c:v>1.0122179868321625E-5</c:v>
                </c:pt>
                <c:pt idx="7">
                  <c:v>1.020400972398912E-5</c:v>
                </c:pt>
                <c:pt idx="8">
                  <c:v>1.0365731562255696E-5</c:v>
                </c:pt>
                <c:pt idx="9">
                  <c:v>1.0333589545278492E-5</c:v>
                </c:pt>
                <c:pt idx="10">
                  <c:v>1.1346297654521124E-5</c:v>
                </c:pt>
                <c:pt idx="11">
                  <c:v>1.1592827583903079E-5</c:v>
                </c:pt>
                <c:pt idx="12">
                  <c:v>1.2423892519735853E-5</c:v>
                </c:pt>
                <c:pt idx="13">
                  <c:v>1.6625737170872283E-4</c:v>
                </c:pt>
                <c:pt idx="14">
                  <c:v>8.036648990865752E-4</c:v>
                </c:pt>
                <c:pt idx="15">
                  <c:v>1.7675420671476416E-3</c:v>
                </c:pt>
                <c:pt idx="16">
                  <c:v>4.0265097619873761E-3</c:v>
                </c:pt>
                <c:pt idx="17">
                  <c:v>6.6821710149402519E-3</c:v>
                </c:pt>
                <c:pt idx="18">
                  <c:v>8.0228737578880733E-3</c:v>
                </c:pt>
                <c:pt idx="19">
                  <c:v>1.0548019984573524E-2</c:v>
                </c:pt>
                <c:pt idx="20">
                  <c:v>1.2773113870811854E-2</c:v>
                </c:pt>
                <c:pt idx="21">
                  <c:v>1.6676597205301912E-2</c:v>
                </c:pt>
                <c:pt idx="22">
                  <c:v>1.7634470948914259E-2</c:v>
                </c:pt>
                <c:pt idx="23">
                  <c:v>1.9895181105761574E-2</c:v>
                </c:pt>
                <c:pt idx="24">
                  <c:v>2.2154982733589283E-2</c:v>
                </c:pt>
                <c:pt idx="25">
                  <c:v>2.3894564510872105E-2</c:v>
                </c:pt>
                <c:pt idx="26">
                  <c:v>2.7571362122808848E-2</c:v>
                </c:pt>
                <c:pt idx="27">
                  <c:v>3.6405009110832887E-2</c:v>
                </c:pt>
                <c:pt idx="28">
                  <c:v>4.6847255054079245E-2</c:v>
                </c:pt>
                <c:pt idx="29">
                  <c:v>5.25146590783752E-2</c:v>
                </c:pt>
                <c:pt idx="30">
                  <c:v>5.4502385260438227E-2</c:v>
                </c:pt>
                <c:pt idx="31">
                  <c:v>5.1378050614040008E-2</c:v>
                </c:pt>
                <c:pt idx="32">
                  <c:v>3.7716209790169618E-2</c:v>
                </c:pt>
                <c:pt idx="33">
                  <c:v>2.1525082166932934E-2</c:v>
                </c:pt>
                <c:pt idx="34">
                  <c:v>3.8342901509650341E-2</c:v>
                </c:pt>
                <c:pt idx="35">
                  <c:v>4.6200111766455075E-2</c:v>
                </c:pt>
                <c:pt idx="36">
                  <c:v>4.3180238626906758E-2</c:v>
                </c:pt>
                <c:pt idx="37">
                  <c:v>4.2031239373176529E-2</c:v>
                </c:pt>
                <c:pt idx="38">
                  <c:v>4.0902711017994427E-2</c:v>
                </c:pt>
                <c:pt idx="39">
                  <c:v>3.8734612829932798E-2</c:v>
                </c:pt>
                <c:pt idx="40">
                  <c:v>3.7190364791865049E-2</c:v>
                </c:pt>
                <c:pt idx="41">
                  <c:v>2.7681042838920308E-2</c:v>
                </c:pt>
                <c:pt idx="42">
                  <c:v>2.4254361333040358E-2</c:v>
                </c:pt>
                <c:pt idx="43">
                  <c:v>1.6872186105858659E-2</c:v>
                </c:pt>
                <c:pt idx="44">
                  <c:v>1.2908024631101793E-2</c:v>
                </c:pt>
                <c:pt idx="45">
                  <c:v>1.0869382163131547E-2</c:v>
                </c:pt>
                <c:pt idx="46">
                  <c:v>9.3082509496228844E-3</c:v>
                </c:pt>
                <c:pt idx="47">
                  <c:v>8.1803836942805699E-3</c:v>
                </c:pt>
                <c:pt idx="48">
                  <c:v>7.1987122894759713E-3</c:v>
                </c:pt>
                <c:pt idx="49">
                  <c:v>6.6487990043137407E-3</c:v>
                </c:pt>
                <c:pt idx="50">
                  <c:v>6.0991312152908501E-3</c:v>
                </c:pt>
                <c:pt idx="51">
                  <c:v>5.5518816598924825E-3</c:v>
                </c:pt>
                <c:pt idx="52">
                  <c:v>9.1868567814961054E-6</c:v>
                </c:pt>
                <c:pt idx="53">
                  <c:v>3.9808223505440492E-2</c:v>
                </c:pt>
                <c:pt idx="54">
                  <c:v>4.6293612933855704E-3</c:v>
                </c:pt>
                <c:pt idx="55">
                  <c:v>2.5204760009165871E-6</c:v>
                </c:pt>
                <c:pt idx="56">
                  <c:v>3.7268015027434264E-3</c:v>
                </c:pt>
                <c:pt idx="57">
                  <c:v>1.3936469236180173E-3</c:v>
                </c:pt>
                <c:pt idx="58">
                  <c:v>8.382090474612103E-6</c:v>
                </c:pt>
                <c:pt idx="59">
                  <c:v>8.7746931198540087E-3</c:v>
                </c:pt>
                <c:pt idx="60">
                  <c:v>4.6330707980422126E-3</c:v>
                </c:pt>
                <c:pt idx="61">
                  <c:v>3.9342909736327225E-6</c:v>
                </c:pt>
                <c:pt idx="62">
                  <c:v>5.205092267028321E-3</c:v>
                </c:pt>
                <c:pt idx="63">
                  <c:v>1.9792478665736865E-3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FD-4D87-9CC4-34CC33619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402384"/>
        <c:axId val="1792429264"/>
      </c:lineChart>
      <c:scatterChart>
        <c:scatterStyle val="lineMarker"/>
        <c:varyColors val="0"/>
        <c:ser>
          <c:idx val="10"/>
          <c:order val="1"/>
          <c:tx>
            <c:strRef>
              <c:f>'o01'!$AV$4</c:f>
              <c:strCache>
                <c:ptCount val="1"/>
                <c:pt idx="0">
                  <c:v>new</c:v>
                </c:pt>
              </c:strCache>
            </c:strRef>
          </c:tx>
          <c:spPr>
            <a:ln w="15875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A41AC82D-E454-4B87-B563-4A396D20D62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CFD-4D87-9CC4-34CC336198B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E0DE13E-BE52-4D8C-83FD-4A038A31445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CFD-4D87-9CC4-34CC336198B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C521E9-D099-43B3-A5A7-FF77287691A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CFD-4D87-9CC4-34CC336198B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467D33D-9CA0-48A4-A27E-3B1AD729DFE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CFD-4D87-9CC4-34CC336198B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08BA1F9-B238-4D6B-B656-0AED8442DD6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CFD-4D87-9CC4-34CC336198B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02EB3E5-139A-4A5F-83AF-B25FB27D301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CFD-4D87-9CC4-34CC336198B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C4D55E2-DCED-4104-9C85-3FAC3193FEC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CFD-4D87-9CC4-34CC336198B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EC6A764-2A29-4379-A952-B5C12D388A5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CFD-4D87-9CC4-34CC336198B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CFB0D3D-C6FE-488E-AC84-F2E6D754D80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CFD-4D87-9CC4-34CC336198B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2C45FAB-1A4E-46CB-95D0-A24F4733289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CFD-4D87-9CC4-34CC336198B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796BE57-269B-4536-83ED-E6517D45F2F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CFD-4D87-9CC4-34CC336198B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4F2BADB-47D3-439E-949F-87574711DB1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CFD-4D87-9CC4-34CC336198B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3B48AC9-F19C-4F73-BF55-470FE1A0139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CFD-4D87-9CC4-34CC336198B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9FF7CD7-EEFB-4176-AE57-222987DD97C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CFD-4D87-9CC4-34CC336198B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156602E-5217-48E4-911D-FBDE7D69973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CFD-4D87-9CC4-34CC336198B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4DD9641-E3F7-43C5-B6D7-C0FDF3EE0DB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CFD-4D87-9CC4-34CC336198B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5837BE5-6E68-4A19-B55E-F3FF503986F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CFD-4D87-9CC4-34CC336198B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7FD65EA-C5D0-4B3A-8563-7FED9DAC2F9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CFD-4D87-9CC4-34CC336198B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9BF6258-EE25-46A9-BE1E-5DAB4E01685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CFD-4D87-9CC4-34CC336198B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096A1D6-63E0-4784-AF89-BE7DEFA5D0B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CFD-4D87-9CC4-34CC336198B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D43CC15-CB1D-40E0-B57C-6C809BD1E93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CFD-4D87-9CC4-34CC336198B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D32A3A0-8205-4C1C-A21B-7ED87210D0E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CFD-4D87-9CC4-34CC336198B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AD24A58-0FB7-4960-844E-470F6B7D593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CFD-4D87-9CC4-34CC336198B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9F80908-DF26-4930-A7C0-85D75F51005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CFD-4D87-9CC4-34CC336198B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B55FE84-AA76-4CCC-8D25-9B7000BB4AF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CFD-4D87-9CC4-34CC336198B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B056FD0-9D78-4338-BC3C-E82317D8033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CFD-4D87-9CC4-34CC336198B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F717AC6-905C-4A89-B85E-74674DCD1F4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CFD-4D87-9CC4-34CC336198B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4BB935FC-1FFD-47A1-AF9B-DFAF89323FC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CFD-4D87-9CC4-34CC336198B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FA41E2C2-983F-49A7-BE38-8BBEC4683F3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CFD-4D87-9CC4-34CC336198B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C2A0F8B8-F185-431C-8543-626D060EB64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CFD-4D87-9CC4-34CC336198B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FD354ADA-51E8-4EFE-A214-92CA83C84CA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CFD-4D87-9CC4-34CC336198B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6083C949-F2CB-4525-B07B-A2377A29DAF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CFD-4D87-9CC4-34CC336198B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6DDD7079-6400-43FF-AB1A-B7FC080C31C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CFD-4D87-9CC4-34CC336198B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DCDBE9B7-52F7-43D2-87AD-A46F8FCFA01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CFD-4D87-9CC4-34CC336198B8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3E94798B-AC77-487F-A0D6-1313C9E5F31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CFD-4D87-9CC4-34CC336198B8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0DECED73-3127-4863-B573-9DA0E88706E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CFD-4D87-9CC4-34CC336198B8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9535F26A-164E-4259-A8B1-75B5F0ED56A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CFD-4D87-9CC4-34CC336198B8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03A8D3D8-F8FB-4763-A12D-1FB2903B659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CFD-4D87-9CC4-34CC336198B8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270677CF-49FB-4258-B636-B79C691C243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CFD-4D87-9CC4-34CC336198B8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6E8B2B08-5AF8-4B00-83CE-AFF3C8660EC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DCFD-4D87-9CC4-34CC336198B8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858F3108-D42E-42A7-A196-4C35390FB72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DCFD-4D87-9CC4-34CC336198B8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52124C49-514A-48A4-975D-7919F7F6D01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DCFD-4D87-9CC4-34CC336198B8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2B46A2F6-A31D-4EC9-BEE3-A339CF4F389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CFD-4D87-9CC4-34CC336198B8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3352F21C-E2EE-48D4-A7AB-862EFE1B567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CFD-4D87-9CC4-34CC336198B8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AF7D7C66-57EE-4732-8C8B-7207733CBEB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CFD-4D87-9CC4-34CC336198B8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9592D22B-9A45-4BD2-B4DC-4AF5CC19B27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CFD-4D87-9CC4-34CC336198B8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B23B4E61-059B-4D16-91BD-568885E553C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CFD-4D87-9CC4-34CC336198B8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CF4F733F-7A84-48AC-A55B-E575E446CA3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CFD-4D87-9CC4-34CC336198B8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B1C7144E-DAB9-4282-81E8-DDBC0F290F4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CFD-4D87-9CC4-34CC336198B8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4FAD2881-DD1C-4527-81E7-55AF731995F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CFD-4D87-9CC4-34CC336198B8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F2B65EDA-F209-41E2-9E4A-3558BE735BB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CFD-4D87-9CC4-34CC336198B8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47C1B31E-2525-4167-A2B6-8367C8E51BD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CFD-4D87-9CC4-34CC336198B8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0342DCEE-E57A-4D0D-954F-1A0C8E64A34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CFD-4D87-9CC4-34CC336198B8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E68219F9-37F6-402D-95E4-42E2D016FF0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CFD-4D87-9CC4-34CC336198B8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F63A1514-EC27-49DF-8AE3-0E57EA2219E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CFD-4D87-9CC4-34CC336198B8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0B7BBF57-9373-46D5-8976-2FD887E9AD2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CFD-4D87-9CC4-34CC336198B8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7890C359-9F61-4E1E-9846-FF2966DD348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CFD-4D87-9CC4-34CC336198B8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E0F9705C-FF9C-4448-803F-993C897AB30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CFD-4D87-9CC4-34CC336198B8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9D86AE93-3881-47C0-8DE2-7679EB9B72A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CFD-4D87-9CC4-34CC336198B8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C2C4CD52-2FC1-4994-9AFF-60133744A83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DCFD-4D87-9CC4-34CC336198B8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F08980F7-C582-4602-B418-A2FA4A5DD34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DCFD-4D87-9CC4-34CC336198B8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F862F36B-B3AC-4AD8-8B50-5B5C1B77700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DCFD-4D87-9CC4-34CC336198B8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4246B4E8-09AC-4B69-BC23-0459DFE01DB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DCFD-4D87-9CC4-34CC336198B8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CC814B54-B8CA-4276-8717-08C87D95E0F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DCFD-4D87-9CC4-34CC336198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LID4096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'o01'!$AS$5:$AS$1200</c:f>
              <c:numCache>
                <c:formatCode>0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xVal>
          <c:yVal>
            <c:numRef>
              <c:f>'o01'!$AU$5:$AU$1200</c:f>
              <c:numCache>
                <c:formatCode>0</c:formatCode>
                <c:ptCount val="64"/>
                <c:pt idx="0">
                  <c:v>840.94839999999999</c:v>
                </c:pt>
                <c:pt idx="1">
                  <c:v>840.94780000000003</c:v>
                </c:pt>
                <c:pt idx="2">
                  <c:v>840.94719999999995</c:v>
                </c:pt>
                <c:pt idx="3">
                  <c:v>840.94659999999999</c:v>
                </c:pt>
                <c:pt idx="4">
                  <c:v>840.94600000000003</c:v>
                </c:pt>
                <c:pt idx="5">
                  <c:v>840.94320000000005</c:v>
                </c:pt>
                <c:pt idx="6">
                  <c:v>840.94029999999998</c:v>
                </c:pt>
                <c:pt idx="7">
                  <c:v>840.9357</c:v>
                </c:pt>
                <c:pt idx="8">
                  <c:v>840.92989999999998</c:v>
                </c:pt>
                <c:pt idx="9">
                  <c:v>840.92409999999995</c:v>
                </c:pt>
                <c:pt idx="10">
                  <c:v>840.91250000000002</c:v>
                </c:pt>
                <c:pt idx="11">
                  <c:v>840.89859999999999</c:v>
                </c:pt>
                <c:pt idx="12">
                  <c:v>840.88369999999998</c:v>
                </c:pt>
                <c:pt idx="13">
                  <c:v>840.84410000000003</c:v>
                </c:pt>
                <c:pt idx="14">
                  <c:v>840.80319999999995</c:v>
                </c:pt>
                <c:pt idx="15">
                  <c:v>840.76869999999997</c:v>
                </c:pt>
                <c:pt idx="16">
                  <c:v>840.69749999999999</c:v>
                </c:pt>
                <c:pt idx="17">
                  <c:v>840.59870000000001</c:v>
                </c:pt>
                <c:pt idx="18">
                  <c:v>840.54880000000003</c:v>
                </c:pt>
                <c:pt idx="19">
                  <c:v>840.44889999999998</c:v>
                </c:pt>
                <c:pt idx="20">
                  <c:v>840.34900000000005</c:v>
                </c:pt>
                <c:pt idx="21">
                  <c:v>840.17399999999998</c:v>
                </c:pt>
                <c:pt idx="22">
                  <c:v>840.11180000000002</c:v>
                </c:pt>
                <c:pt idx="23">
                  <c:v>839.95100000000002</c:v>
                </c:pt>
                <c:pt idx="24">
                  <c:v>839.79020000000003</c:v>
                </c:pt>
                <c:pt idx="25">
                  <c:v>839.74220000000003</c:v>
                </c:pt>
                <c:pt idx="26">
                  <c:v>839.65660000000003</c:v>
                </c:pt>
                <c:pt idx="27">
                  <c:v>839.43020000000001</c:v>
                </c:pt>
                <c:pt idx="28">
                  <c:v>838.94269999999995</c:v>
                </c:pt>
                <c:pt idx="29">
                  <c:v>838.56569999999999</c:v>
                </c:pt>
                <c:pt idx="30">
                  <c:v>838.39700000000005</c:v>
                </c:pt>
                <c:pt idx="31">
                  <c:v>837.92679999999996</c:v>
                </c:pt>
                <c:pt idx="32">
                  <c:v>837.45259999999996</c:v>
                </c:pt>
                <c:pt idx="33">
                  <c:v>836.50429999999994</c:v>
                </c:pt>
                <c:pt idx="34">
                  <c:v>835.55600000000004</c:v>
                </c:pt>
                <c:pt idx="35">
                  <c:v>835.27940000000001</c:v>
                </c:pt>
                <c:pt idx="36">
                  <c:v>835.38919999999996</c:v>
                </c:pt>
                <c:pt idx="37">
                  <c:v>835.43209999999999</c:v>
                </c:pt>
                <c:pt idx="38">
                  <c:v>835.47519999999997</c:v>
                </c:pt>
                <c:pt idx="39">
                  <c:v>835.56129999999996</c:v>
                </c:pt>
                <c:pt idx="40">
                  <c:v>835.6259</c:v>
                </c:pt>
                <c:pt idx="41">
                  <c:v>836.32380000000001</c:v>
                </c:pt>
                <c:pt idx="42">
                  <c:v>836.721</c:v>
                </c:pt>
                <c:pt idx="43">
                  <c:v>838.12789999999995</c:v>
                </c:pt>
                <c:pt idx="44">
                  <c:v>838.88670000000002</c:v>
                </c:pt>
                <c:pt idx="45">
                  <c:v>839.28070000000002</c:v>
                </c:pt>
                <c:pt idx="46">
                  <c:v>839.5634</c:v>
                </c:pt>
                <c:pt idx="47">
                  <c:v>839.73940000000005</c:v>
                </c:pt>
                <c:pt idx="48">
                  <c:v>839.89279999999997</c:v>
                </c:pt>
                <c:pt idx="49">
                  <c:v>839.97789999999998</c:v>
                </c:pt>
                <c:pt idx="50">
                  <c:v>840.06309999999996</c:v>
                </c:pt>
                <c:pt idx="51">
                  <c:v>840.1481</c:v>
                </c:pt>
                <c:pt idx="52">
                  <c:v>840.83040000000005</c:v>
                </c:pt>
                <c:pt idx="53">
                  <c:v>834.69320000000005</c:v>
                </c:pt>
                <c:pt idx="54">
                  <c:v>839.94619999999998</c:v>
                </c:pt>
                <c:pt idx="55">
                  <c:v>841.00440000000003</c:v>
                </c:pt>
                <c:pt idx="56">
                  <c:v>839.71500000000003</c:v>
                </c:pt>
                <c:pt idx="57">
                  <c:v>840.36260000000004</c:v>
                </c:pt>
                <c:pt idx="58">
                  <c:v>841.02359999999999</c:v>
                </c:pt>
                <c:pt idx="59">
                  <c:v>840.46249999999998</c:v>
                </c:pt>
                <c:pt idx="60">
                  <c:v>840.471</c:v>
                </c:pt>
                <c:pt idx="61">
                  <c:v>840.68799999999999</c:v>
                </c:pt>
                <c:pt idx="62">
                  <c:v>839.17819999999995</c:v>
                </c:pt>
                <c:pt idx="63">
                  <c:v>839.90030000000002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'o01'!$AW$5:$AW$1200</c15:f>
                <c15:dlblRangeCache>
                  <c:ptCount val="64"/>
                </c15:dlblRangeCache>
              </c15:datalabelsRange>
            </c:ext>
            <c:ext xmlns:c16="http://schemas.microsoft.com/office/drawing/2014/chart" uri="{C3380CC4-5D6E-409C-BE32-E72D297353CC}">
              <c16:uniqueId val="{00000044-DCFD-4D87-9CC4-34CC336198B8}"/>
            </c:ext>
          </c:extLst>
        </c:ser>
        <c:ser>
          <c:idx val="3"/>
          <c:order val="3"/>
          <c:tx>
            <c:strRef>
              <c:f>'o01'!$G$4</c:f>
              <c:strCache>
                <c:ptCount val="1"/>
                <c:pt idx="0">
                  <c:v>MED</c:v>
                </c:pt>
              </c:strCache>
            </c:strRef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 w="12700">
                <a:solidFill>
                  <a:srgbClr val="00B050"/>
                </a:solidFill>
              </a:ln>
            </c:spPr>
          </c:marker>
          <c:yVal>
            <c:numRef>
              <c:f>'o01'!$G$5:$G$1200</c:f>
              <c:numCache>
                <c:formatCode>0.00</c:formatCode>
                <c:ptCount val="64"/>
                <c:pt idx="0">
                  <c:v>840.8</c:v>
                </c:pt>
                <c:pt idx="1">
                  <c:v>840.7</c:v>
                </c:pt>
                <c:pt idx="2">
                  <c:v>840.7</c:v>
                </c:pt>
                <c:pt idx="3">
                  <c:v>840.6</c:v>
                </c:pt>
                <c:pt idx="4">
                  <c:v>840.6</c:v>
                </c:pt>
                <c:pt idx="5">
                  <c:v>840.4</c:v>
                </c:pt>
                <c:pt idx="6">
                  <c:v>840.3</c:v>
                </c:pt>
                <c:pt idx="7">
                  <c:v>840.1</c:v>
                </c:pt>
                <c:pt idx="8">
                  <c:v>839.9</c:v>
                </c:pt>
                <c:pt idx="9">
                  <c:v>839.8</c:v>
                </c:pt>
                <c:pt idx="10">
                  <c:v>839.5</c:v>
                </c:pt>
                <c:pt idx="11">
                  <c:v>839.3</c:v>
                </c:pt>
                <c:pt idx="12">
                  <c:v>839.2</c:v>
                </c:pt>
                <c:pt idx="13">
                  <c:v>838.8</c:v>
                </c:pt>
                <c:pt idx="14">
                  <c:v>838.5</c:v>
                </c:pt>
                <c:pt idx="15">
                  <c:v>838.3</c:v>
                </c:pt>
                <c:pt idx="16">
                  <c:v>838.1</c:v>
                </c:pt>
                <c:pt idx="17">
                  <c:v>837.9</c:v>
                </c:pt>
                <c:pt idx="18">
                  <c:v>837.9</c:v>
                </c:pt>
                <c:pt idx="19">
                  <c:v>837.7</c:v>
                </c:pt>
                <c:pt idx="20">
                  <c:v>837.6</c:v>
                </c:pt>
                <c:pt idx="21">
                  <c:v>837.6</c:v>
                </c:pt>
                <c:pt idx="22">
                  <c:v>837.5</c:v>
                </c:pt>
                <c:pt idx="23">
                  <c:v>837.3</c:v>
                </c:pt>
                <c:pt idx="24">
                  <c:v>837.2</c:v>
                </c:pt>
                <c:pt idx="25">
                  <c:v>837.2</c:v>
                </c:pt>
                <c:pt idx="26">
                  <c:v>837.1</c:v>
                </c:pt>
                <c:pt idx="27">
                  <c:v>837</c:v>
                </c:pt>
                <c:pt idx="28">
                  <c:v>836.8</c:v>
                </c:pt>
                <c:pt idx="29">
                  <c:v>836.6</c:v>
                </c:pt>
                <c:pt idx="30">
                  <c:v>836.5</c:v>
                </c:pt>
                <c:pt idx="31">
                  <c:v>836.4</c:v>
                </c:pt>
                <c:pt idx="32">
                  <c:v>836.3</c:v>
                </c:pt>
                <c:pt idx="33">
                  <c:v>836.2</c:v>
                </c:pt>
                <c:pt idx="34">
                  <c:v>836.1</c:v>
                </c:pt>
                <c:pt idx="35">
                  <c:v>836.1</c:v>
                </c:pt>
                <c:pt idx="36">
                  <c:v>836</c:v>
                </c:pt>
                <c:pt idx="37">
                  <c:v>836.1</c:v>
                </c:pt>
                <c:pt idx="38">
                  <c:v>836.2</c:v>
                </c:pt>
                <c:pt idx="39">
                  <c:v>836.4</c:v>
                </c:pt>
                <c:pt idx="40">
                  <c:v>836.6</c:v>
                </c:pt>
                <c:pt idx="41">
                  <c:v>837.5</c:v>
                </c:pt>
                <c:pt idx="42">
                  <c:v>837.8</c:v>
                </c:pt>
                <c:pt idx="43">
                  <c:v>838.8</c:v>
                </c:pt>
                <c:pt idx="44">
                  <c:v>839.3</c:v>
                </c:pt>
                <c:pt idx="45">
                  <c:v>839.6</c:v>
                </c:pt>
                <c:pt idx="46">
                  <c:v>839.9</c:v>
                </c:pt>
                <c:pt idx="47">
                  <c:v>840.1</c:v>
                </c:pt>
                <c:pt idx="48">
                  <c:v>840.3</c:v>
                </c:pt>
                <c:pt idx="49">
                  <c:v>840.4</c:v>
                </c:pt>
                <c:pt idx="50">
                  <c:v>840.6</c:v>
                </c:pt>
                <c:pt idx="51">
                  <c:v>840.8</c:v>
                </c:pt>
                <c:pt idx="52">
                  <c:v>840.7</c:v>
                </c:pt>
                <c:pt idx="53">
                  <c:v>836</c:v>
                </c:pt>
                <c:pt idx="54">
                  <c:v>840.7</c:v>
                </c:pt>
                <c:pt idx="55">
                  <c:v>840.8</c:v>
                </c:pt>
                <c:pt idx="56">
                  <c:v>837.7</c:v>
                </c:pt>
                <c:pt idx="57">
                  <c:v>840.8</c:v>
                </c:pt>
                <c:pt idx="58">
                  <c:v>840.8</c:v>
                </c:pt>
                <c:pt idx="59">
                  <c:v>840.8</c:v>
                </c:pt>
                <c:pt idx="60">
                  <c:v>840.8</c:v>
                </c:pt>
                <c:pt idx="61">
                  <c:v>840.6</c:v>
                </c:pt>
                <c:pt idx="62">
                  <c:v>837.5</c:v>
                </c:pt>
                <c:pt idx="63">
                  <c:v>840.6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DCFD-4D87-9CC4-34CC336198B8}"/>
            </c:ext>
          </c:extLst>
        </c:ser>
        <c:ser>
          <c:idx val="5"/>
          <c:order val="5"/>
          <c:tx>
            <c:strRef>
              <c:f>'o01'!$U$4</c:f>
              <c:strCache>
                <c:ptCount val="1"/>
                <c:pt idx="0">
                  <c:v>Blue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10"/>
            <c:spPr>
              <a:solidFill>
                <a:srgbClr val="0000FF"/>
              </a:solidFill>
              <a:ln>
                <a:noFill/>
              </a:ln>
            </c:spPr>
          </c:marker>
          <c:yVal>
            <c:numRef>
              <c:f>'o01'!$U$5:$U$1200</c:f>
              <c:numCache>
                <c:formatCode>0.0</c:formatCode>
                <c:ptCount val="64"/>
                <c:pt idx="0">
                  <c:v>837.35135896330155</c:v>
                </c:pt>
                <c:pt idx="1">
                  <c:v>837.25135896330164</c:v>
                </c:pt>
                <c:pt idx="2">
                  <c:v>837.25135896330164</c:v>
                </c:pt>
                <c:pt idx="3">
                  <c:v>837.15135896330162</c:v>
                </c:pt>
                <c:pt idx="4">
                  <c:v>837.15135896330162</c:v>
                </c:pt>
                <c:pt idx="5">
                  <c:v>836.95135896330157</c:v>
                </c:pt>
                <c:pt idx="6">
                  <c:v>836.85135896330155</c:v>
                </c:pt>
                <c:pt idx="7">
                  <c:v>836.65135896330162</c:v>
                </c:pt>
                <c:pt idx="8">
                  <c:v>836.45135896330157</c:v>
                </c:pt>
                <c:pt idx="9">
                  <c:v>836.35135896330155</c:v>
                </c:pt>
                <c:pt idx="10">
                  <c:v>836.0513589633016</c:v>
                </c:pt>
                <c:pt idx="11">
                  <c:v>835.85135896330155</c:v>
                </c:pt>
                <c:pt idx="12">
                  <c:v>835.75135896330164</c:v>
                </c:pt>
                <c:pt idx="13">
                  <c:v>835.35135896330155</c:v>
                </c:pt>
                <c:pt idx="14">
                  <c:v>835.0513589633016</c:v>
                </c:pt>
                <c:pt idx="15">
                  <c:v>834.85135896330155</c:v>
                </c:pt>
                <c:pt idx="16">
                  <c:v>834.65135896330162</c:v>
                </c:pt>
                <c:pt idx="17">
                  <c:v>834.45135896330157</c:v>
                </c:pt>
                <c:pt idx="18">
                  <c:v>834.45135896330157</c:v>
                </c:pt>
                <c:pt idx="19">
                  <c:v>834.25135896330164</c:v>
                </c:pt>
                <c:pt idx="20">
                  <c:v>834.15135896330162</c:v>
                </c:pt>
                <c:pt idx="21">
                  <c:v>834.15135896330162</c:v>
                </c:pt>
                <c:pt idx="22">
                  <c:v>834.0513589633016</c:v>
                </c:pt>
                <c:pt idx="23">
                  <c:v>833.85135896330155</c:v>
                </c:pt>
                <c:pt idx="24">
                  <c:v>833.75135896330164</c:v>
                </c:pt>
                <c:pt idx="25">
                  <c:v>833.75135896330164</c:v>
                </c:pt>
                <c:pt idx="26">
                  <c:v>833.65135896330162</c:v>
                </c:pt>
                <c:pt idx="27">
                  <c:v>833.5513589633016</c:v>
                </c:pt>
                <c:pt idx="28">
                  <c:v>833.35135896330155</c:v>
                </c:pt>
                <c:pt idx="29">
                  <c:v>833.15135896330162</c:v>
                </c:pt>
                <c:pt idx="30">
                  <c:v>833.0513589633016</c:v>
                </c:pt>
                <c:pt idx="31">
                  <c:v>832.95135896330157</c:v>
                </c:pt>
                <c:pt idx="32">
                  <c:v>832.85135896330155</c:v>
                </c:pt>
                <c:pt idx="33">
                  <c:v>832.75135896330164</c:v>
                </c:pt>
                <c:pt idx="34">
                  <c:v>832.65135896330162</c:v>
                </c:pt>
                <c:pt idx="35">
                  <c:v>832.65135896330162</c:v>
                </c:pt>
                <c:pt idx="36">
                  <c:v>832.5513589633016</c:v>
                </c:pt>
                <c:pt idx="37">
                  <c:v>832.65135896330162</c:v>
                </c:pt>
                <c:pt idx="38">
                  <c:v>832.75135896330164</c:v>
                </c:pt>
                <c:pt idx="39">
                  <c:v>832.95135896330157</c:v>
                </c:pt>
                <c:pt idx="40">
                  <c:v>833.15135896330162</c:v>
                </c:pt>
                <c:pt idx="41">
                  <c:v>834.0513589633016</c:v>
                </c:pt>
                <c:pt idx="42">
                  <c:v>834.35135896330155</c:v>
                </c:pt>
                <c:pt idx="43">
                  <c:v>835.35135896330155</c:v>
                </c:pt>
                <c:pt idx="44">
                  <c:v>835.85135896330155</c:v>
                </c:pt>
                <c:pt idx="45">
                  <c:v>836.15135896330162</c:v>
                </c:pt>
                <c:pt idx="46">
                  <c:v>836.45135896330157</c:v>
                </c:pt>
                <c:pt idx="47">
                  <c:v>836.65135896330162</c:v>
                </c:pt>
                <c:pt idx="48">
                  <c:v>836.85135896330155</c:v>
                </c:pt>
                <c:pt idx="49">
                  <c:v>836.95135896330157</c:v>
                </c:pt>
                <c:pt idx="50">
                  <c:v>837.15135896330162</c:v>
                </c:pt>
                <c:pt idx="51">
                  <c:v>837.35135896330155</c:v>
                </c:pt>
                <c:pt idx="52">
                  <c:v>837.25135896330164</c:v>
                </c:pt>
                <c:pt idx="53">
                  <c:v>832.5513589633016</c:v>
                </c:pt>
                <c:pt idx="54">
                  <c:v>837.25135896330164</c:v>
                </c:pt>
                <c:pt idx="55">
                  <c:v>837.35135896330155</c:v>
                </c:pt>
                <c:pt idx="56">
                  <c:v>834.25135896330164</c:v>
                </c:pt>
                <c:pt idx="57">
                  <c:v>837.35135896330155</c:v>
                </c:pt>
                <c:pt idx="58">
                  <c:v>837.35135896330155</c:v>
                </c:pt>
                <c:pt idx="59">
                  <c:v>837.35135896330155</c:v>
                </c:pt>
                <c:pt idx="60">
                  <c:v>837.35135896330155</c:v>
                </c:pt>
                <c:pt idx="61">
                  <c:v>837.15135896330162</c:v>
                </c:pt>
                <c:pt idx="62">
                  <c:v>834.0513589633016</c:v>
                </c:pt>
                <c:pt idx="63">
                  <c:v>837.15135896330162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DCFD-4D87-9CC4-34CC336198B8}"/>
            </c:ext>
          </c:extLst>
        </c:ser>
        <c:ser>
          <c:idx val="6"/>
          <c:order val="6"/>
          <c:tx>
            <c:strRef>
              <c:f>'o01'!$T$4</c:f>
              <c:strCache>
                <c:ptCount val="1"/>
                <c:pt idx="0">
                  <c:v>Red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10"/>
            <c:spPr>
              <a:solidFill>
                <a:srgbClr val="FF0000"/>
              </a:solidFill>
              <a:ln>
                <a:noFill/>
              </a:ln>
            </c:spPr>
          </c:marker>
          <c:yVal>
            <c:numRef>
              <c:f>'o01'!$T$5:$T$1200</c:f>
              <c:numCache>
                <c:formatCode>0.0</c:formatCode>
                <c:ptCount val="64"/>
                <c:pt idx="0">
                  <c:v>844.24864103669836</c:v>
                </c:pt>
                <c:pt idx="1">
                  <c:v>844.14864103669845</c:v>
                </c:pt>
                <c:pt idx="2">
                  <c:v>844.14864103669845</c:v>
                </c:pt>
                <c:pt idx="3">
                  <c:v>844.04864103669843</c:v>
                </c:pt>
                <c:pt idx="4">
                  <c:v>844.04864103669843</c:v>
                </c:pt>
                <c:pt idx="5">
                  <c:v>843.84864103669838</c:v>
                </c:pt>
                <c:pt idx="6">
                  <c:v>843.74864103669836</c:v>
                </c:pt>
                <c:pt idx="7">
                  <c:v>843.54864103669843</c:v>
                </c:pt>
                <c:pt idx="8">
                  <c:v>843.34864103669838</c:v>
                </c:pt>
                <c:pt idx="9">
                  <c:v>843.24864103669836</c:v>
                </c:pt>
                <c:pt idx="10">
                  <c:v>842.9486410366984</c:v>
                </c:pt>
                <c:pt idx="11">
                  <c:v>842.74864103669836</c:v>
                </c:pt>
                <c:pt idx="12">
                  <c:v>842.64864103669845</c:v>
                </c:pt>
                <c:pt idx="13">
                  <c:v>842.24864103669836</c:v>
                </c:pt>
                <c:pt idx="14">
                  <c:v>841.9486410366984</c:v>
                </c:pt>
                <c:pt idx="15">
                  <c:v>841.74864103669836</c:v>
                </c:pt>
                <c:pt idx="16">
                  <c:v>841.54864103669843</c:v>
                </c:pt>
                <c:pt idx="17">
                  <c:v>841.34864103669838</c:v>
                </c:pt>
                <c:pt idx="18">
                  <c:v>841.34864103669838</c:v>
                </c:pt>
                <c:pt idx="19">
                  <c:v>841.14864103669845</c:v>
                </c:pt>
                <c:pt idx="20">
                  <c:v>841.04864103669843</c:v>
                </c:pt>
                <c:pt idx="21">
                  <c:v>841.04864103669843</c:v>
                </c:pt>
                <c:pt idx="22">
                  <c:v>840.9486410366984</c:v>
                </c:pt>
                <c:pt idx="23">
                  <c:v>840.74864103669836</c:v>
                </c:pt>
                <c:pt idx="24">
                  <c:v>840.64864103669845</c:v>
                </c:pt>
                <c:pt idx="25">
                  <c:v>840.64864103669845</c:v>
                </c:pt>
                <c:pt idx="26">
                  <c:v>840.54864103669843</c:v>
                </c:pt>
                <c:pt idx="27">
                  <c:v>840.4486410366984</c:v>
                </c:pt>
                <c:pt idx="28">
                  <c:v>840.24864103669836</c:v>
                </c:pt>
                <c:pt idx="29">
                  <c:v>840.04864103669843</c:v>
                </c:pt>
                <c:pt idx="30">
                  <c:v>839.9486410366984</c:v>
                </c:pt>
                <c:pt idx="31">
                  <c:v>839.84864103669838</c:v>
                </c:pt>
                <c:pt idx="32">
                  <c:v>839.74864103669836</c:v>
                </c:pt>
                <c:pt idx="33">
                  <c:v>839.64864103669845</c:v>
                </c:pt>
                <c:pt idx="34">
                  <c:v>839.54864103669843</c:v>
                </c:pt>
                <c:pt idx="35">
                  <c:v>839.54864103669843</c:v>
                </c:pt>
                <c:pt idx="36">
                  <c:v>839.4486410366984</c:v>
                </c:pt>
                <c:pt idx="37">
                  <c:v>839.54864103669843</c:v>
                </c:pt>
                <c:pt idx="38">
                  <c:v>839.64864103669845</c:v>
                </c:pt>
                <c:pt idx="39">
                  <c:v>839.84864103669838</c:v>
                </c:pt>
                <c:pt idx="40">
                  <c:v>840.04864103669843</c:v>
                </c:pt>
                <c:pt idx="41">
                  <c:v>840.9486410366984</c:v>
                </c:pt>
                <c:pt idx="42">
                  <c:v>841.24864103669836</c:v>
                </c:pt>
                <c:pt idx="43">
                  <c:v>842.24864103669836</c:v>
                </c:pt>
                <c:pt idx="44">
                  <c:v>842.74864103669836</c:v>
                </c:pt>
                <c:pt idx="45">
                  <c:v>843.04864103669843</c:v>
                </c:pt>
                <c:pt idx="46">
                  <c:v>843.34864103669838</c:v>
                </c:pt>
                <c:pt idx="47">
                  <c:v>843.54864103669843</c:v>
                </c:pt>
                <c:pt idx="48">
                  <c:v>843.74864103669836</c:v>
                </c:pt>
                <c:pt idx="49">
                  <c:v>843.84864103669838</c:v>
                </c:pt>
                <c:pt idx="50">
                  <c:v>844.04864103669843</c:v>
                </c:pt>
                <c:pt idx="51">
                  <c:v>844.24864103669836</c:v>
                </c:pt>
                <c:pt idx="52">
                  <c:v>844.14864103669845</c:v>
                </c:pt>
                <c:pt idx="53">
                  <c:v>839.4486410366984</c:v>
                </c:pt>
                <c:pt idx="54">
                  <c:v>844.14864103669845</c:v>
                </c:pt>
                <c:pt idx="55">
                  <c:v>844.24864103669836</c:v>
                </c:pt>
                <c:pt idx="56">
                  <c:v>841.14864103669845</c:v>
                </c:pt>
                <c:pt idx="57">
                  <c:v>844.24864103669836</c:v>
                </c:pt>
                <c:pt idx="58">
                  <c:v>844.24864103669836</c:v>
                </c:pt>
                <c:pt idx="59">
                  <c:v>844.24864103669836</c:v>
                </c:pt>
                <c:pt idx="60">
                  <c:v>844.24864103669836</c:v>
                </c:pt>
                <c:pt idx="61">
                  <c:v>844.04864103669843</c:v>
                </c:pt>
                <c:pt idx="62">
                  <c:v>840.9486410366984</c:v>
                </c:pt>
                <c:pt idx="63">
                  <c:v>844.04864103669843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DCFD-4D87-9CC4-34CC336198B8}"/>
            </c:ext>
          </c:extLst>
        </c:ser>
        <c:ser>
          <c:idx val="7"/>
          <c:order val="7"/>
          <c:tx>
            <c:strRef>
              <c:f>'o01'!$AO$2</c:f>
              <c:strCache>
                <c:ptCount val="1"/>
                <c:pt idx="0">
                  <c:v>SEN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pPr>
              <a:ln>
                <a:solidFill>
                  <a:srgbClr val="00B0F0"/>
                </a:solidFill>
              </a:ln>
            </c:spPr>
          </c:marker>
          <c:yVal>
            <c:numRef>
              <c:f>'o01'!$AO$5:$AO$1200</c:f>
              <c:numCache>
                <c:formatCode>0%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DCFD-4D87-9CC4-34CC336198B8}"/>
            </c:ext>
          </c:extLst>
        </c:ser>
        <c:ser>
          <c:idx val="1"/>
          <c:order val="8"/>
          <c:tx>
            <c:strRef>
              <c:f>'o01'!$O$3</c:f>
              <c:strCache>
                <c:ptCount val="1"/>
                <c:pt idx="0">
                  <c:v>Target</c:v>
                </c:pt>
              </c:strCache>
            </c:strRef>
          </c:tx>
          <c:spPr>
            <a:ln w="9525">
              <a:noFill/>
              <a:prstDash val="dash"/>
            </a:ln>
          </c:spPr>
          <c:marker>
            <c:symbol val="square"/>
            <c:size val="10"/>
            <c:spPr>
              <a:noFill/>
              <a:ln w="12700">
                <a:solidFill>
                  <a:sysClr val="windowText" lastClr="000000"/>
                </a:solidFill>
                <a:prstDash val="solid"/>
              </a:ln>
            </c:spPr>
          </c:marker>
          <c:yVal>
            <c:numRef>
              <c:f>'o01'!$O$5:$O$1200</c:f>
              <c:numCache>
                <c:formatCode>#,##0.00</c:formatCode>
                <c:ptCount val="64"/>
                <c:pt idx="0">
                  <c:v>840.8</c:v>
                </c:pt>
                <c:pt idx="1">
                  <c:v>840.7</c:v>
                </c:pt>
                <c:pt idx="2">
                  <c:v>840.7</c:v>
                </c:pt>
                <c:pt idx="3">
                  <c:v>840.6</c:v>
                </c:pt>
                <c:pt idx="4">
                  <c:v>840.6</c:v>
                </c:pt>
                <c:pt idx="5" formatCode="#,##0.0">
                  <c:v>840.4</c:v>
                </c:pt>
                <c:pt idx="6" formatCode="#,##0.0">
                  <c:v>840.3</c:v>
                </c:pt>
                <c:pt idx="7" formatCode="#,##0.0">
                  <c:v>840.1</c:v>
                </c:pt>
                <c:pt idx="8" formatCode="#,##0.0">
                  <c:v>839.9</c:v>
                </c:pt>
                <c:pt idx="9" formatCode="#,##0.0">
                  <c:v>839.8</c:v>
                </c:pt>
                <c:pt idx="10" formatCode="#,##0.0">
                  <c:v>839.5</c:v>
                </c:pt>
                <c:pt idx="11" formatCode="#,##0.0">
                  <c:v>839.3</c:v>
                </c:pt>
                <c:pt idx="12" formatCode="#,##0.0">
                  <c:v>839.2</c:v>
                </c:pt>
                <c:pt idx="13" formatCode="#,##0.0">
                  <c:v>838.8</c:v>
                </c:pt>
                <c:pt idx="14" formatCode="#,##0.0">
                  <c:v>838.5</c:v>
                </c:pt>
                <c:pt idx="15" formatCode="#,##0.0">
                  <c:v>838.3</c:v>
                </c:pt>
                <c:pt idx="16" formatCode="#,##0.0">
                  <c:v>838.1</c:v>
                </c:pt>
                <c:pt idx="17" formatCode="#,##0.0">
                  <c:v>837.9</c:v>
                </c:pt>
                <c:pt idx="18" formatCode="#,##0.0">
                  <c:v>837.9</c:v>
                </c:pt>
                <c:pt idx="19" formatCode="#,##0.0">
                  <c:v>837.7</c:v>
                </c:pt>
                <c:pt idx="20" formatCode="#,##0.0">
                  <c:v>837.6</c:v>
                </c:pt>
                <c:pt idx="21" formatCode="#,##0.0">
                  <c:v>837.6</c:v>
                </c:pt>
                <c:pt idx="22" formatCode="#,##0.0">
                  <c:v>837.5</c:v>
                </c:pt>
                <c:pt idx="23" formatCode="#,##0.0">
                  <c:v>837.3</c:v>
                </c:pt>
                <c:pt idx="24" formatCode="#,##0.0">
                  <c:v>837.2</c:v>
                </c:pt>
                <c:pt idx="25" formatCode="#,##0.0">
                  <c:v>837.2</c:v>
                </c:pt>
                <c:pt idx="26" formatCode="#,##0.0">
                  <c:v>837.1</c:v>
                </c:pt>
                <c:pt idx="27" formatCode="#,##0.0">
                  <c:v>837</c:v>
                </c:pt>
                <c:pt idx="28" formatCode="#,##0.0">
                  <c:v>836.8</c:v>
                </c:pt>
                <c:pt idx="29" formatCode="#,##0.0">
                  <c:v>836.6</c:v>
                </c:pt>
                <c:pt idx="30" formatCode="#,##0.0">
                  <c:v>836.5</c:v>
                </c:pt>
                <c:pt idx="31" formatCode="#,##0.0">
                  <c:v>836.4</c:v>
                </c:pt>
                <c:pt idx="32" formatCode="#,##0.0">
                  <c:v>836.3</c:v>
                </c:pt>
                <c:pt idx="33" formatCode="#,##0.0">
                  <c:v>836.2</c:v>
                </c:pt>
                <c:pt idx="34" formatCode="#,##0.0">
                  <c:v>836.1</c:v>
                </c:pt>
                <c:pt idx="35" formatCode="#,##0.0">
                  <c:v>836.1</c:v>
                </c:pt>
                <c:pt idx="36" formatCode="#,##0.0">
                  <c:v>836</c:v>
                </c:pt>
                <c:pt idx="37" formatCode="#,##0.0">
                  <c:v>836.1</c:v>
                </c:pt>
                <c:pt idx="38" formatCode="#,##0.0">
                  <c:v>836.2</c:v>
                </c:pt>
                <c:pt idx="39" formatCode="#,##0.0">
                  <c:v>836.4</c:v>
                </c:pt>
                <c:pt idx="40" formatCode="#,##0.0">
                  <c:v>836.6</c:v>
                </c:pt>
                <c:pt idx="41" formatCode="#,##0.0">
                  <c:v>837.5</c:v>
                </c:pt>
                <c:pt idx="42" formatCode="#,##0.0">
                  <c:v>837.8</c:v>
                </c:pt>
                <c:pt idx="43" formatCode="#,##0.0">
                  <c:v>838.8</c:v>
                </c:pt>
                <c:pt idx="44" formatCode="#,##0.0">
                  <c:v>839.3</c:v>
                </c:pt>
                <c:pt idx="45" formatCode="#,##0.0">
                  <c:v>839.6</c:v>
                </c:pt>
                <c:pt idx="46" formatCode="#,##0.0">
                  <c:v>839.9</c:v>
                </c:pt>
                <c:pt idx="47" formatCode="#,##0.0">
                  <c:v>840.1</c:v>
                </c:pt>
                <c:pt idx="48" formatCode="#,##0.0">
                  <c:v>840.3</c:v>
                </c:pt>
                <c:pt idx="49" formatCode="#,##0.0">
                  <c:v>840.4</c:v>
                </c:pt>
                <c:pt idx="50" formatCode="#,##0.0">
                  <c:v>840.6</c:v>
                </c:pt>
                <c:pt idx="51" formatCode="#,##0.0">
                  <c:v>840.8</c:v>
                </c:pt>
                <c:pt idx="52" formatCode="#,##0.0">
                  <c:v>840.7</c:v>
                </c:pt>
                <c:pt idx="53" formatCode="#,##0.0">
                  <c:v>836</c:v>
                </c:pt>
                <c:pt idx="54" formatCode="#,##0.0">
                  <c:v>840.7</c:v>
                </c:pt>
                <c:pt idx="55" formatCode="#,##0.0">
                  <c:v>840.8</c:v>
                </c:pt>
                <c:pt idx="56" formatCode="#,##0.0">
                  <c:v>837.7</c:v>
                </c:pt>
                <c:pt idx="57" formatCode="#,##0.0">
                  <c:v>840.8</c:v>
                </c:pt>
                <c:pt idx="58" formatCode="#,##0.0">
                  <c:v>840.8</c:v>
                </c:pt>
                <c:pt idx="59" formatCode="#,##0.0">
                  <c:v>840.8</c:v>
                </c:pt>
                <c:pt idx="60" formatCode="#,##0.0">
                  <c:v>840.8</c:v>
                </c:pt>
                <c:pt idx="61" formatCode="#,##0.0">
                  <c:v>840.6</c:v>
                </c:pt>
                <c:pt idx="62" formatCode="#,##0.0">
                  <c:v>837.5</c:v>
                </c:pt>
                <c:pt idx="63" formatCode="#,##0.0">
                  <c:v>840.6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DCFD-4D87-9CC4-34CC33619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27231"/>
        <c:axId val="78627647"/>
        <c:extLst>
          <c:ext xmlns:c15="http://schemas.microsoft.com/office/drawing/2012/chart" uri="{02D57815-91ED-43cb-92C2-25804820EDAC}">
            <c15:filteredScatterSeries>
              <c15:ser>
                <c:idx val="9"/>
                <c:order val="0"/>
                <c:tx>
                  <c:strRef>
                    <c:extLst>
                      <c:ext uri="{02D57815-91ED-43cb-92C2-25804820EDAC}">
                        <c15:formulaRef>
                          <c15:sqref>'o01'!$AT$4</c15:sqref>
                        </c15:formulaRef>
                      </c:ext>
                    </c:extLst>
                    <c:strCache>
                      <c:ptCount val="1"/>
                      <c:pt idx="0">
                        <c:v>Filtro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rgbClr val="ED7D31"/>
                      </a:solidFill>
                    </a:ln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'o01'!$AT$5:$AT$1200</c15:sqref>
                        </c15:formulaRef>
                      </c:ext>
                    </c:extLst>
                    <c:numCache>
                      <c:formatCode>General</c:formatCode>
                      <c:ptCount val="64"/>
                      <c:pt idx="0">
                        <c:v>840.94839999999999</c:v>
                      </c:pt>
                      <c:pt idx="1">
                        <c:v>840.94780000000003</c:v>
                      </c:pt>
                      <c:pt idx="2">
                        <c:v>840.94719999999995</c:v>
                      </c:pt>
                      <c:pt idx="3">
                        <c:v>840.94659999999999</c:v>
                      </c:pt>
                      <c:pt idx="4">
                        <c:v>840.94600000000003</c:v>
                      </c:pt>
                      <c:pt idx="5">
                        <c:v>840.94320000000005</c:v>
                      </c:pt>
                      <c:pt idx="6">
                        <c:v>840.94029999999998</c:v>
                      </c:pt>
                      <c:pt idx="7">
                        <c:v>840.9357</c:v>
                      </c:pt>
                      <c:pt idx="8">
                        <c:v>840.92989999999998</c:v>
                      </c:pt>
                      <c:pt idx="9">
                        <c:v>840.92409999999995</c:v>
                      </c:pt>
                      <c:pt idx="10">
                        <c:v>840.91250000000002</c:v>
                      </c:pt>
                      <c:pt idx="11">
                        <c:v>840.89859999999999</c:v>
                      </c:pt>
                      <c:pt idx="12">
                        <c:v>840.88369999999998</c:v>
                      </c:pt>
                      <c:pt idx="13">
                        <c:v>840.84410000000003</c:v>
                      </c:pt>
                      <c:pt idx="14">
                        <c:v>840.80319999999995</c:v>
                      </c:pt>
                      <c:pt idx="15">
                        <c:v>840.76869999999997</c:v>
                      </c:pt>
                      <c:pt idx="16">
                        <c:v>840.69749999999999</c:v>
                      </c:pt>
                      <c:pt idx="17">
                        <c:v>840.59870000000001</c:v>
                      </c:pt>
                      <c:pt idx="18">
                        <c:v>840.54880000000003</c:v>
                      </c:pt>
                      <c:pt idx="19">
                        <c:v>840.44889999999998</c:v>
                      </c:pt>
                      <c:pt idx="20">
                        <c:v>840.34900000000005</c:v>
                      </c:pt>
                      <c:pt idx="21">
                        <c:v>840.17399999999998</c:v>
                      </c:pt>
                      <c:pt idx="22">
                        <c:v>840.11180000000002</c:v>
                      </c:pt>
                      <c:pt idx="23">
                        <c:v>839.95100000000002</c:v>
                      </c:pt>
                      <c:pt idx="24">
                        <c:v>839.79020000000003</c:v>
                      </c:pt>
                      <c:pt idx="25">
                        <c:v>839.74220000000003</c:v>
                      </c:pt>
                      <c:pt idx="26">
                        <c:v>839.65660000000003</c:v>
                      </c:pt>
                      <c:pt idx="27">
                        <c:v>839.43020000000001</c:v>
                      </c:pt>
                      <c:pt idx="28">
                        <c:v>838.94269999999995</c:v>
                      </c:pt>
                      <c:pt idx="29">
                        <c:v>838.56569999999999</c:v>
                      </c:pt>
                      <c:pt idx="30">
                        <c:v>838.39700000000005</c:v>
                      </c:pt>
                      <c:pt idx="31">
                        <c:v>837.92679999999996</c:v>
                      </c:pt>
                      <c:pt idx="32">
                        <c:v>837.45259999999996</c:v>
                      </c:pt>
                      <c:pt idx="33">
                        <c:v>836.50429999999994</c:v>
                      </c:pt>
                      <c:pt idx="34">
                        <c:v>835.55600000000004</c:v>
                      </c:pt>
                      <c:pt idx="35">
                        <c:v>835.27940000000001</c:v>
                      </c:pt>
                      <c:pt idx="36">
                        <c:v>835.38919999999996</c:v>
                      </c:pt>
                      <c:pt idx="37">
                        <c:v>835.43209999999999</c:v>
                      </c:pt>
                      <c:pt idx="38">
                        <c:v>835.47519999999997</c:v>
                      </c:pt>
                      <c:pt idx="39">
                        <c:v>835.56129999999996</c:v>
                      </c:pt>
                      <c:pt idx="40">
                        <c:v>835.6259</c:v>
                      </c:pt>
                      <c:pt idx="41">
                        <c:v>836.32380000000001</c:v>
                      </c:pt>
                      <c:pt idx="42">
                        <c:v>836.721</c:v>
                      </c:pt>
                      <c:pt idx="43">
                        <c:v>838.12789999999995</c:v>
                      </c:pt>
                      <c:pt idx="44">
                        <c:v>838.88670000000002</c:v>
                      </c:pt>
                      <c:pt idx="45">
                        <c:v>839.28070000000002</c:v>
                      </c:pt>
                      <c:pt idx="46">
                        <c:v>839.5634</c:v>
                      </c:pt>
                      <c:pt idx="47">
                        <c:v>839.73940000000005</c:v>
                      </c:pt>
                      <c:pt idx="48">
                        <c:v>839.89279999999997</c:v>
                      </c:pt>
                      <c:pt idx="49">
                        <c:v>839.97789999999998</c:v>
                      </c:pt>
                      <c:pt idx="50">
                        <c:v>840.06309999999996</c:v>
                      </c:pt>
                      <c:pt idx="51">
                        <c:v>840.1481</c:v>
                      </c:pt>
                      <c:pt idx="52">
                        <c:v>840.83040000000005</c:v>
                      </c:pt>
                      <c:pt idx="53">
                        <c:v>834.69320000000005</c:v>
                      </c:pt>
                      <c:pt idx="54">
                        <c:v>839.94619999999998</c:v>
                      </c:pt>
                      <c:pt idx="55">
                        <c:v>841.00440000000003</c:v>
                      </c:pt>
                      <c:pt idx="56">
                        <c:v>839.71500000000003</c:v>
                      </c:pt>
                      <c:pt idx="57">
                        <c:v>840.36260000000004</c:v>
                      </c:pt>
                      <c:pt idx="58">
                        <c:v>841.02359999999999</c:v>
                      </c:pt>
                      <c:pt idx="59">
                        <c:v>840.46249999999998</c:v>
                      </c:pt>
                      <c:pt idx="60">
                        <c:v>840.471</c:v>
                      </c:pt>
                      <c:pt idx="61">
                        <c:v>840.68799999999999</c:v>
                      </c:pt>
                      <c:pt idx="62">
                        <c:v>839.17819999999995</c:v>
                      </c:pt>
                      <c:pt idx="63">
                        <c:v>839.90030000000002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4A-DCFD-4D87-9CC4-34CC336198B8}"/>
                  </c:ext>
                </c:extLst>
              </c15:ser>
            </c15:filteredScatterSeries>
          </c:ext>
        </c:extLst>
      </c:scatterChart>
      <c:catAx>
        <c:axId val="7862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9050"/>
        </c:spPr>
        <c:txPr>
          <a:bodyPr/>
          <a:lstStyle/>
          <a:p>
            <a:pPr>
              <a:defRPr sz="900" b="0">
                <a:solidFill>
                  <a:sysClr val="windowText" lastClr="000000"/>
                </a:solidFill>
              </a:defRPr>
            </a:pPr>
            <a:endParaRPr lang="LID4096"/>
          </a:p>
        </c:txPr>
        <c:crossAx val="78627647"/>
        <c:crosses val="autoZero"/>
        <c:auto val="1"/>
        <c:lblAlgn val="ctr"/>
        <c:lblOffset val="100"/>
        <c:tickLblSkip val="1"/>
        <c:noMultiLvlLbl val="0"/>
      </c:catAx>
      <c:valAx>
        <c:axId val="78627647"/>
        <c:scaling>
          <c:orientation val="minMax"/>
          <c:min val="820"/>
        </c:scaling>
        <c:delete val="0"/>
        <c:axPos val="l"/>
        <c:majorGridlines/>
        <c:numFmt formatCode="#,##0.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vert="horz"/>
          <a:lstStyle/>
          <a:p>
            <a:pPr>
              <a:defRPr sz="1300">
                <a:latin typeface="+mj-lt"/>
              </a:defRPr>
            </a:pPr>
            <a:endParaRPr lang="LID4096"/>
          </a:p>
        </c:txPr>
        <c:crossAx val="78627231"/>
        <c:crosses val="autoZero"/>
        <c:crossBetween val="between"/>
      </c:valAx>
      <c:valAx>
        <c:axId val="1792429264"/>
        <c:scaling>
          <c:orientation val="maxMin"/>
          <c:min val="1.0000000000000004E-5"/>
        </c:scaling>
        <c:delete val="0"/>
        <c:axPos val="r"/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500">
                <a:solidFill>
                  <a:srgbClr val="7030A0"/>
                </a:solidFill>
              </a:defRPr>
            </a:pPr>
            <a:endParaRPr lang="LID4096"/>
          </a:p>
        </c:txPr>
        <c:crossAx val="1792402384"/>
        <c:crosses val="max"/>
        <c:crossBetween val="between"/>
      </c:valAx>
      <c:catAx>
        <c:axId val="1792402384"/>
        <c:scaling>
          <c:orientation val="minMax"/>
        </c:scaling>
        <c:delete val="1"/>
        <c:axPos val="t"/>
        <c:majorTickMark val="out"/>
        <c:minorTickMark val="none"/>
        <c:tickLblPos val="nextTo"/>
        <c:crossAx val="1792429264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26769984573629502"/>
          <c:y val="0"/>
          <c:w val="0.73230015426370498"/>
          <c:h val="0.16525004910502639"/>
        </c:manualLayout>
      </c:layout>
      <c:overlay val="0"/>
      <c:txPr>
        <a:bodyPr/>
        <a:lstStyle/>
        <a:p>
          <a:pPr>
            <a:defRPr sz="1100"/>
          </a:pPr>
          <a:endParaRPr lang="LID4096"/>
        </a:p>
      </c:txPr>
    </c:legend>
    <c:plotVisOnly val="1"/>
    <c:dispBlanksAs val="gap"/>
    <c:showDLblsOverMax val="0"/>
  </c:chart>
  <c:spPr>
    <a:solidFill>
      <a:sysClr val="window" lastClr="FFFFFF"/>
    </a:solidFill>
    <a:ln>
      <a:solidFill>
        <a:sysClr val="windowText" lastClr="000000"/>
      </a:solidFill>
    </a:ln>
  </c:spPr>
  <c:txPr>
    <a:bodyPr/>
    <a:lstStyle/>
    <a:p>
      <a:pPr>
        <a:defRPr sz="20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'o01'!$B$2</c:f>
              <c:strCache>
                <c:ptCount val="1"/>
                <c:pt idx="0">
                  <c:v>Head 31 (%)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94530533725656363"/>
                      <c:h val="0.911258775618190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35F-4BE5-B84C-76E9B5DECA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l"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35F-4BE5-B84C-76E9B5DEC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08880"/>
        <c:axId val="183209712"/>
      </c:scatterChart>
      <c:valAx>
        <c:axId val="183208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3209712"/>
        <c:crosses val="autoZero"/>
        <c:crossBetween val="midCat"/>
      </c:valAx>
      <c:valAx>
        <c:axId val="1832097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20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2500" b="1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349755008315223"/>
          <c:y val="0.16775576458836261"/>
          <c:w val="0.73391520296092683"/>
          <c:h val="0.71858447208506571"/>
        </c:manualLayout>
      </c:layout>
      <c:scatterChart>
        <c:scatterStyle val="lineMarker"/>
        <c:varyColors val="0"/>
        <c:ser>
          <c:idx val="1"/>
          <c:order val="0"/>
          <c:tx>
            <c:strRef>
              <c:f>'o01'!$H$4</c:f>
              <c:strCache>
                <c:ptCount val="1"/>
                <c:pt idx="0">
                  <c:v>MOD</c:v>
                </c:pt>
              </c:strCache>
            </c:strRef>
          </c:tx>
          <c:spPr>
            <a:ln w="9525">
              <a:noFill/>
              <a:prstDash val="dash"/>
            </a:ln>
          </c:spPr>
          <c:marker>
            <c:symbol val="none"/>
          </c:marker>
          <c:trendline>
            <c:spPr>
              <a:ln w="9525">
                <a:solidFill>
                  <a:srgbClr val="FF0000"/>
                </a:solidFill>
                <a:prstDash val="dash"/>
              </a:ln>
            </c:spPr>
            <c:trendlineType val="linear"/>
            <c:dispRSqr val="0"/>
            <c:dispEq val="0"/>
          </c:trendline>
          <c:xVal>
            <c:numRef>
              <c:f>'o01'!$H$5:$H$1200</c:f>
              <c:numCache>
                <c:formatCode>0.00</c:formatCode>
                <c:ptCount val="64"/>
                <c:pt idx="0">
                  <c:v>840.94839999999999</c:v>
                </c:pt>
                <c:pt idx="1">
                  <c:v>840.94780000000003</c:v>
                </c:pt>
                <c:pt idx="2">
                  <c:v>840.94719999999995</c:v>
                </c:pt>
                <c:pt idx="3">
                  <c:v>840.94659999999999</c:v>
                </c:pt>
                <c:pt idx="4">
                  <c:v>840.94600000000003</c:v>
                </c:pt>
                <c:pt idx="5">
                  <c:v>840.94320000000005</c:v>
                </c:pt>
                <c:pt idx="6">
                  <c:v>840.94029999999998</c:v>
                </c:pt>
                <c:pt idx="7">
                  <c:v>840.9357</c:v>
                </c:pt>
                <c:pt idx="8">
                  <c:v>840.92989999999998</c:v>
                </c:pt>
                <c:pt idx="9">
                  <c:v>840.92409999999995</c:v>
                </c:pt>
                <c:pt idx="10">
                  <c:v>840.91250000000002</c:v>
                </c:pt>
                <c:pt idx="11">
                  <c:v>840.89859999999999</c:v>
                </c:pt>
                <c:pt idx="12">
                  <c:v>840.88369999999998</c:v>
                </c:pt>
                <c:pt idx="13">
                  <c:v>840.84410000000003</c:v>
                </c:pt>
                <c:pt idx="14">
                  <c:v>840.80319999999995</c:v>
                </c:pt>
                <c:pt idx="15">
                  <c:v>840.76869999999997</c:v>
                </c:pt>
                <c:pt idx="16">
                  <c:v>840.69749999999999</c:v>
                </c:pt>
                <c:pt idx="17">
                  <c:v>840.59870000000001</c:v>
                </c:pt>
                <c:pt idx="18">
                  <c:v>840.54880000000003</c:v>
                </c:pt>
                <c:pt idx="19">
                  <c:v>840.44889999999998</c:v>
                </c:pt>
                <c:pt idx="20">
                  <c:v>840.34900000000005</c:v>
                </c:pt>
                <c:pt idx="21">
                  <c:v>840.17399999999998</c:v>
                </c:pt>
                <c:pt idx="22">
                  <c:v>840.11180000000002</c:v>
                </c:pt>
                <c:pt idx="23">
                  <c:v>839.95100000000002</c:v>
                </c:pt>
                <c:pt idx="24">
                  <c:v>839.79020000000003</c:v>
                </c:pt>
                <c:pt idx="25">
                  <c:v>839.74220000000003</c:v>
                </c:pt>
                <c:pt idx="26">
                  <c:v>839.65660000000003</c:v>
                </c:pt>
                <c:pt idx="27">
                  <c:v>839.43020000000001</c:v>
                </c:pt>
                <c:pt idx="28">
                  <c:v>838.94269999999995</c:v>
                </c:pt>
                <c:pt idx="29">
                  <c:v>838.56569999999999</c:v>
                </c:pt>
                <c:pt idx="30">
                  <c:v>838.39700000000005</c:v>
                </c:pt>
                <c:pt idx="31">
                  <c:v>837.92679999999996</c:v>
                </c:pt>
                <c:pt idx="32">
                  <c:v>837.45259999999996</c:v>
                </c:pt>
                <c:pt idx="33">
                  <c:v>836.50429999999994</c:v>
                </c:pt>
                <c:pt idx="34">
                  <c:v>835.55600000000004</c:v>
                </c:pt>
                <c:pt idx="35">
                  <c:v>835.27940000000001</c:v>
                </c:pt>
                <c:pt idx="36">
                  <c:v>835.38919999999996</c:v>
                </c:pt>
                <c:pt idx="37">
                  <c:v>835.43209999999999</c:v>
                </c:pt>
                <c:pt idx="38">
                  <c:v>835.47519999999997</c:v>
                </c:pt>
                <c:pt idx="39">
                  <c:v>835.56129999999996</c:v>
                </c:pt>
                <c:pt idx="40">
                  <c:v>835.6259</c:v>
                </c:pt>
                <c:pt idx="41">
                  <c:v>836.32380000000001</c:v>
                </c:pt>
                <c:pt idx="42">
                  <c:v>836.721</c:v>
                </c:pt>
                <c:pt idx="43">
                  <c:v>838.12789999999995</c:v>
                </c:pt>
                <c:pt idx="44">
                  <c:v>838.88670000000002</c:v>
                </c:pt>
                <c:pt idx="45">
                  <c:v>839.28070000000002</c:v>
                </c:pt>
                <c:pt idx="46">
                  <c:v>839.5634</c:v>
                </c:pt>
                <c:pt idx="47">
                  <c:v>839.73940000000005</c:v>
                </c:pt>
                <c:pt idx="48">
                  <c:v>839.89279999999997</c:v>
                </c:pt>
                <c:pt idx="49">
                  <c:v>839.97789999999998</c:v>
                </c:pt>
                <c:pt idx="50">
                  <c:v>840.06309999999996</c:v>
                </c:pt>
                <c:pt idx="51">
                  <c:v>840.1481</c:v>
                </c:pt>
                <c:pt idx="52">
                  <c:v>840.83040000000005</c:v>
                </c:pt>
                <c:pt idx="53">
                  <c:v>834.69320000000005</c:v>
                </c:pt>
                <c:pt idx="54">
                  <c:v>839.94619999999998</c:v>
                </c:pt>
                <c:pt idx="55">
                  <c:v>841.00440000000003</c:v>
                </c:pt>
                <c:pt idx="56">
                  <c:v>839.71500000000003</c:v>
                </c:pt>
                <c:pt idx="57">
                  <c:v>840.36260000000004</c:v>
                </c:pt>
                <c:pt idx="58">
                  <c:v>841.02359999999999</c:v>
                </c:pt>
                <c:pt idx="59">
                  <c:v>840.46249999999998</c:v>
                </c:pt>
                <c:pt idx="60">
                  <c:v>840.471</c:v>
                </c:pt>
                <c:pt idx="61">
                  <c:v>840.68799999999999</c:v>
                </c:pt>
                <c:pt idx="62">
                  <c:v>839.17819999999995</c:v>
                </c:pt>
                <c:pt idx="63">
                  <c:v>839.90030000000002</c:v>
                </c:pt>
              </c:numCache>
            </c:numRef>
          </c:xVal>
          <c:yVal>
            <c:numRef>
              <c:f>'o01'!$H$5:$H$1200</c:f>
              <c:numCache>
                <c:formatCode>0.00</c:formatCode>
                <c:ptCount val="64"/>
                <c:pt idx="0">
                  <c:v>840.94839999999999</c:v>
                </c:pt>
                <c:pt idx="1">
                  <c:v>840.94780000000003</c:v>
                </c:pt>
                <c:pt idx="2">
                  <c:v>840.94719999999995</c:v>
                </c:pt>
                <c:pt idx="3">
                  <c:v>840.94659999999999</c:v>
                </c:pt>
                <c:pt idx="4">
                  <c:v>840.94600000000003</c:v>
                </c:pt>
                <c:pt idx="5">
                  <c:v>840.94320000000005</c:v>
                </c:pt>
                <c:pt idx="6">
                  <c:v>840.94029999999998</c:v>
                </c:pt>
                <c:pt idx="7">
                  <c:v>840.9357</c:v>
                </c:pt>
                <c:pt idx="8">
                  <c:v>840.92989999999998</c:v>
                </c:pt>
                <c:pt idx="9">
                  <c:v>840.92409999999995</c:v>
                </c:pt>
                <c:pt idx="10">
                  <c:v>840.91250000000002</c:v>
                </c:pt>
                <c:pt idx="11">
                  <c:v>840.89859999999999</c:v>
                </c:pt>
                <c:pt idx="12">
                  <c:v>840.88369999999998</c:v>
                </c:pt>
                <c:pt idx="13">
                  <c:v>840.84410000000003</c:v>
                </c:pt>
                <c:pt idx="14">
                  <c:v>840.80319999999995</c:v>
                </c:pt>
                <c:pt idx="15">
                  <c:v>840.76869999999997</c:v>
                </c:pt>
                <c:pt idx="16">
                  <c:v>840.69749999999999</c:v>
                </c:pt>
                <c:pt idx="17">
                  <c:v>840.59870000000001</c:v>
                </c:pt>
                <c:pt idx="18">
                  <c:v>840.54880000000003</c:v>
                </c:pt>
                <c:pt idx="19">
                  <c:v>840.44889999999998</c:v>
                </c:pt>
                <c:pt idx="20">
                  <c:v>840.34900000000005</c:v>
                </c:pt>
                <c:pt idx="21">
                  <c:v>840.17399999999998</c:v>
                </c:pt>
                <c:pt idx="22">
                  <c:v>840.11180000000002</c:v>
                </c:pt>
                <c:pt idx="23">
                  <c:v>839.95100000000002</c:v>
                </c:pt>
                <c:pt idx="24">
                  <c:v>839.79020000000003</c:v>
                </c:pt>
                <c:pt idx="25">
                  <c:v>839.74220000000003</c:v>
                </c:pt>
                <c:pt idx="26">
                  <c:v>839.65660000000003</c:v>
                </c:pt>
                <c:pt idx="27">
                  <c:v>839.43020000000001</c:v>
                </c:pt>
                <c:pt idx="28">
                  <c:v>838.94269999999995</c:v>
                </c:pt>
                <c:pt idx="29">
                  <c:v>838.56569999999999</c:v>
                </c:pt>
                <c:pt idx="30">
                  <c:v>838.39700000000005</c:v>
                </c:pt>
                <c:pt idx="31">
                  <c:v>837.92679999999996</c:v>
                </c:pt>
                <c:pt idx="32">
                  <c:v>837.45259999999996</c:v>
                </c:pt>
                <c:pt idx="33">
                  <c:v>836.50429999999994</c:v>
                </c:pt>
                <c:pt idx="34">
                  <c:v>835.55600000000004</c:v>
                </c:pt>
                <c:pt idx="35">
                  <c:v>835.27940000000001</c:v>
                </c:pt>
                <c:pt idx="36">
                  <c:v>835.38919999999996</c:v>
                </c:pt>
                <c:pt idx="37">
                  <c:v>835.43209999999999</c:v>
                </c:pt>
                <c:pt idx="38">
                  <c:v>835.47519999999997</c:v>
                </c:pt>
                <c:pt idx="39">
                  <c:v>835.56129999999996</c:v>
                </c:pt>
                <c:pt idx="40">
                  <c:v>835.6259</c:v>
                </c:pt>
                <c:pt idx="41">
                  <c:v>836.32380000000001</c:v>
                </c:pt>
                <c:pt idx="42">
                  <c:v>836.721</c:v>
                </c:pt>
                <c:pt idx="43">
                  <c:v>838.12789999999995</c:v>
                </c:pt>
                <c:pt idx="44">
                  <c:v>838.88670000000002</c:v>
                </c:pt>
                <c:pt idx="45">
                  <c:v>839.28070000000002</c:v>
                </c:pt>
                <c:pt idx="46">
                  <c:v>839.5634</c:v>
                </c:pt>
                <c:pt idx="47">
                  <c:v>839.73940000000005</c:v>
                </c:pt>
                <c:pt idx="48">
                  <c:v>839.89279999999997</c:v>
                </c:pt>
                <c:pt idx="49">
                  <c:v>839.97789999999998</c:v>
                </c:pt>
                <c:pt idx="50">
                  <c:v>840.06309999999996</c:v>
                </c:pt>
                <c:pt idx="51">
                  <c:v>840.1481</c:v>
                </c:pt>
                <c:pt idx="52">
                  <c:v>840.83040000000005</c:v>
                </c:pt>
                <c:pt idx="53">
                  <c:v>834.69320000000005</c:v>
                </c:pt>
                <c:pt idx="54">
                  <c:v>839.94619999999998</c:v>
                </c:pt>
                <c:pt idx="55">
                  <c:v>841.00440000000003</c:v>
                </c:pt>
                <c:pt idx="56">
                  <c:v>839.71500000000003</c:v>
                </c:pt>
                <c:pt idx="57">
                  <c:v>840.36260000000004</c:v>
                </c:pt>
                <c:pt idx="58">
                  <c:v>841.02359999999999</c:v>
                </c:pt>
                <c:pt idx="59">
                  <c:v>840.46249999999998</c:v>
                </c:pt>
                <c:pt idx="60">
                  <c:v>840.471</c:v>
                </c:pt>
                <c:pt idx="61">
                  <c:v>840.68799999999999</c:v>
                </c:pt>
                <c:pt idx="62">
                  <c:v>839.17819999999995</c:v>
                </c:pt>
                <c:pt idx="63">
                  <c:v>839.90030000000002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C8-4D55-BB41-C7F77DCFAEA2}"/>
            </c:ext>
          </c:extLst>
        </c:ser>
        <c:ser>
          <c:idx val="3"/>
          <c:order val="1"/>
          <c:tx>
            <c:strRef>
              <c:f>'o01'!$O$3</c:f>
              <c:strCache>
                <c:ptCount val="1"/>
                <c:pt idx="0">
                  <c:v>Target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'o01'!$O$5:$O$1200</c:f>
              <c:numCache>
                <c:formatCode>#,##0.00</c:formatCode>
                <c:ptCount val="64"/>
                <c:pt idx="0">
                  <c:v>840.8</c:v>
                </c:pt>
                <c:pt idx="1">
                  <c:v>840.7</c:v>
                </c:pt>
                <c:pt idx="2">
                  <c:v>840.7</c:v>
                </c:pt>
                <c:pt idx="3">
                  <c:v>840.6</c:v>
                </c:pt>
                <c:pt idx="4">
                  <c:v>840.6</c:v>
                </c:pt>
                <c:pt idx="5" formatCode="#,##0.0">
                  <c:v>840.4</c:v>
                </c:pt>
                <c:pt idx="6" formatCode="#,##0.0">
                  <c:v>840.3</c:v>
                </c:pt>
                <c:pt idx="7" formatCode="#,##0.0">
                  <c:v>840.1</c:v>
                </c:pt>
                <c:pt idx="8" formatCode="#,##0.0">
                  <c:v>839.9</c:v>
                </c:pt>
                <c:pt idx="9" formatCode="#,##0.0">
                  <c:v>839.8</c:v>
                </c:pt>
                <c:pt idx="10" formatCode="#,##0.0">
                  <c:v>839.5</c:v>
                </c:pt>
                <c:pt idx="11" formatCode="#,##0.0">
                  <c:v>839.3</c:v>
                </c:pt>
                <c:pt idx="12" formatCode="#,##0.0">
                  <c:v>839.2</c:v>
                </c:pt>
                <c:pt idx="13" formatCode="#,##0.0">
                  <c:v>838.8</c:v>
                </c:pt>
                <c:pt idx="14" formatCode="#,##0.0">
                  <c:v>838.5</c:v>
                </c:pt>
                <c:pt idx="15" formatCode="#,##0.0">
                  <c:v>838.3</c:v>
                </c:pt>
                <c:pt idx="16" formatCode="#,##0.0">
                  <c:v>838.1</c:v>
                </c:pt>
                <c:pt idx="17" formatCode="#,##0.0">
                  <c:v>837.9</c:v>
                </c:pt>
                <c:pt idx="18" formatCode="#,##0.0">
                  <c:v>837.9</c:v>
                </c:pt>
                <c:pt idx="19" formatCode="#,##0.0">
                  <c:v>837.7</c:v>
                </c:pt>
                <c:pt idx="20" formatCode="#,##0.0">
                  <c:v>837.6</c:v>
                </c:pt>
                <c:pt idx="21" formatCode="#,##0.0">
                  <c:v>837.6</c:v>
                </c:pt>
                <c:pt idx="22" formatCode="#,##0.0">
                  <c:v>837.5</c:v>
                </c:pt>
                <c:pt idx="23" formatCode="#,##0.0">
                  <c:v>837.3</c:v>
                </c:pt>
                <c:pt idx="24" formatCode="#,##0.0">
                  <c:v>837.2</c:v>
                </c:pt>
                <c:pt idx="25" formatCode="#,##0.0">
                  <c:v>837.2</c:v>
                </c:pt>
                <c:pt idx="26" formatCode="#,##0.0">
                  <c:v>837.1</c:v>
                </c:pt>
                <c:pt idx="27" formatCode="#,##0.0">
                  <c:v>837</c:v>
                </c:pt>
                <c:pt idx="28" formatCode="#,##0.0">
                  <c:v>836.8</c:v>
                </c:pt>
                <c:pt idx="29" formatCode="#,##0.0">
                  <c:v>836.6</c:v>
                </c:pt>
                <c:pt idx="30" formatCode="#,##0.0">
                  <c:v>836.5</c:v>
                </c:pt>
                <c:pt idx="31" formatCode="#,##0.0">
                  <c:v>836.4</c:v>
                </c:pt>
                <c:pt idx="32" formatCode="#,##0.0">
                  <c:v>836.3</c:v>
                </c:pt>
                <c:pt idx="33" formatCode="#,##0.0">
                  <c:v>836.2</c:v>
                </c:pt>
                <c:pt idx="34" formatCode="#,##0.0">
                  <c:v>836.1</c:v>
                </c:pt>
                <c:pt idx="35" formatCode="#,##0.0">
                  <c:v>836.1</c:v>
                </c:pt>
                <c:pt idx="36" formatCode="#,##0.0">
                  <c:v>836</c:v>
                </c:pt>
                <c:pt idx="37" formatCode="#,##0.0">
                  <c:v>836.1</c:v>
                </c:pt>
                <c:pt idx="38" formatCode="#,##0.0">
                  <c:v>836.2</c:v>
                </c:pt>
                <c:pt idx="39" formatCode="#,##0.0">
                  <c:v>836.4</c:v>
                </c:pt>
                <c:pt idx="40" formatCode="#,##0.0">
                  <c:v>836.6</c:v>
                </c:pt>
                <c:pt idx="41" formatCode="#,##0.0">
                  <c:v>837.5</c:v>
                </c:pt>
                <c:pt idx="42" formatCode="#,##0.0">
                  <c:v>837.8</c:v>
                </c:pt>
                <c:pt idx="43" formatCode="#,##0.0">
                  <c:v>838.8</c:v>
                </c:pt>
                <c:pt idx="44" formatCode="#,##0.0">
                  <c:v>839.3</c:v>
                </c:pt>
                <c:pt idx="45" formatCode="#,##0.0">
                  <c:v>839.6</c:v>
                </c:pt>
                <c:pt idx="46" formatCode="#,##0.0">
                  <c:v>839.9</c:v>
                </c:pt>
                <c:pt idx="47" formatCode="#,##0.0">
                  <c:v>840.1</c:v>
                </c:pt>
                <c:pt idx="48" formatCode="#,##0.0">
                  <c:v>840.3</c:v>
                </c:pt>
                <c:pt idx="49" formatCode="#,##0.0">
                  <c:v>840.4</c:v>
                </c:pt>
                <c:pt idx="50" formatCode="#,##0.0">
                  <c:v>840.6</c:v>
                </c:pt>
                <c:pt idx="51" formatCode="#,##0.0">
                  <c:v>840.8</c:v>
                </c:pt>
                <c:pt idx="52" formatCode="#,##0.0">
                  <c:v>840.7</c:v>
                </c:pt>
                <c:pt idx="53" formatCode="#,##0.0">
                  <c:v>836</c:v>
                </c:pt>
                <c:pt idx="54" formatCode="#,##0.0">
                  <c:v>840.7</c:v>
                </c:pt>
                <c:pt idx="55" formatCode="#,##0.0">
                  <c:v>840.8</c:v>
                </c:pt>
                <c:pt idx="56" formatCode="#,##0.0">
                  <c:v>837.7</c:v>
                </c:pt>
                <c:pt idx="57" formatCode="#,##0.0">
                  <c:v>840.8</c:v>
                </c:pt>
                <c:pt idx="58" formatCode="#,##0.0">
                  <c:v>840.8</c:v>
                </c:pt>
                <c:pt idx="59" formatCode="#,##0.0">
                  <c:v>840.8</c:v>
                </c:pt>
                <c:pt idx="60" formatCode="#,##0.0">
                  <c:v>840.8</c:v>
                </c:pt>
                <c:pt idx="61" formatCode="#,##0.0">
                  <c:v>840.6</c:v>
                </c:pt>
                <c:pt idx="62" formatCode="#,##0.0">
                  <c:v>837.5</c:v>
                </c:pt>
                <c:pt idx="63" formatCode="#,##0.0">
                  <c:v>840.6</c:v>
                </c:pt>
              </c:numCache>
            </c:numRef>
          </c:xVal>
          <c:yVal>
            <c:numRef>
              <c:f>'o01'!$H$5:$H$1200</c:f>
              <c:numCache>
                <c:formatCode>0.00</c:formatCode>
                <c:ptCount val="64"/>
                <c:pt idx="0">
                  <c:v>840.94839999999999</c:v>
                </c:pt>
                <c:pt idx="1">
                  <c:v>840.94780000000003</c:v>
                </c:pt>
                <c:pt idx="2">
                  <c:v>840.94719999999995</c:v>
                </c:pt>
                <c:pt idx="3">
                  <c:v>840.94659999999999</c:v>
                </c:pt>
                <c:pt idx="4">
                  <c:v>840.94600000000003</c:v>
                </c:pt>
                <c:pt idx="5">
                  <c:v>840.94320000000005</c:v>
                </c:pt>
                <c:pt idx="6">
                  <c:v>840.94029999999998</c:v>
                </c:pt>
                <c:pt idx="7">
                  <c:v>840.9357</c:v>
                </c:pt>
                <c:pt idx="8">
                  <c:v>840.92989999999998</c:v>
                </c:pt>
                <c:pt idx="9">
                  <c:v>840.92409999999995</c:v>
                </c:pt>
                <c:pt idx="10">
                  <c:v>840.91250000000002</c:v>
                </c:pt>
                <c:pt idx="11">
                  <c:v>840.89859999999999</c:v>
                </c:pt>
                <c:pt idx="12">
                  <c:v>840.88369999999998</c:v>
                </c:pt>
                <c:pt idx="13">
                  <c:v>840.84410000000003</c:v>
                </c:pt>
                <c:pt idx="14">
                  <c:v>840.80319999999995</c:v>
                </c:pt>
                <c:pt idx="15">
                  <c:v>840.76869999999997</c:v>
                </c:pt>
                <c:pt idx="16">
                  <c:v>840.69749999999999</c:v>
                </c:pt>
                <c:pt idx="17">
                  <c:v>840.59870000000001</c:v>
                </c:pt>
                <c:pt idx="18">
                  <c:v>840.54880000000003</c:v>
                </c:pt>
                <c:pt idx="19">
                  <c:v>840.44889999999998</c:v>
                </c:pt>
                <c:pt idx="20">
                  <c:v>840.34900000000005</c:v>
                </c:pt>
                <c:pt idx="21">
                  <c:v>840.17399999999998</c:v>
                </c:pt>
                <c:pt idx="22">
                  <c:v>840.11180000000002</c:v>
                </c:pt>
                <c:pt idx="23">
                  <c:v>839.95100000000002</c:v>
                </c:pt>
                <c:pt idx="24">
                  <c:v>839.79020000000003</c:v>
                </c:pt>
                <c:pt idx="25">
                  <c:v>839.74220000000003</c:v>
                </c:pt>
                <c:pt idx="26">
                  <c:v>839.65660000000003</c:v>
                </c:pt>
                <c:pt idx="27">
                  <c:v>839.43020000000001</c:v>
                </c:pt>
                <c:pt idx="28">
                  <c:v>838.94269999999995</c:v>
                </c:pt>
                <c:pt idx="29">
                  <c:v>838.56569999999999</c:v>
                </c:pt>
                <c:pt idx="30">
                  <c:v>838.39700000000005</c:v>
                </c:pt>
                <c:pt idx="31">
                  <c:v>837.92679999999996</c:v>
                </c:pt>
                <c:pt idx="32">
                  <c:v>837.45259999999996</c:v>
                </c:pt>
                <c:pt idx="33">
                  <c:v>836.50429999999994</c:v>
                </c:pt>
                <c:pt idx="34">
                  <c:v>835.55600000000004</c:v>
                </c:pt>
                <c:pt idx="35">
                  <c:v>835.27940000000001</c:v>
                </c:pt>
                <c:pt idx="36">
                  <c:v>835.38919999999996</c:v>
                </c:pt>
                <c:pt idx="37">
                  <c:v>835.43209999999999</c:v>
                </c:pt>
                <c:pt idx="38">
                  <c:v>835.47519999999997</c:v>
                </c:pt>
                <c:pt idx="39">
                  <c:v>835.56129999999996</c:v>
                </c:pt>
                <c:pt idx="40">
                  <c:v>835.6259</c:v>
                </c:pt>
                <c:pt idx="41">
                  <c:v>836.32380000000001</c:v>
                </c:pt>
                <c:pt idx="42">
                  <c:v>836.721</c:v>
                </c:pt>
                <c:pt idx="43">
                  <c:v>838.12789999999995</c:v>
                </c:pt>
                <c:pt idx="44">
                  <c:v>838.88670000000002</c:v>
                </c:pt>
                <c:pt idx="45">
                  <c:v>839.28070000000002</c:v>
                </c:pt>
                <c:pt idx="46">
                  <c:v>839.5634</c:v>
                </c:pt>
                <c:pt idx="47">
                  <c:v>839.73940000000005</c:v>
                </c:pt>
                <c:pt idx="48">
                  <c:v>839.89279999999997</c:v>
                </c:pt>
                <c:pt idx="49">
                  <c:v>839.97789999999998</c:v>
                </c:pt>
                <c:pt idx="50">
                  <c:v>840.06309999999996</c:v>
                </c:pt>
                <c:pt idx="51">
                  <c:v>840.1481</c:v>
                </c:pt>
                <c:pt idx="52">
                  <c:v>840.83040000000005</c:v>
                </c:pt>
                <c:pt idx="53">
                  <c:v>834.69320000000005</c:v>
                </c:pt>
                <c:pt idx="54">
                  <c:v>839.94619999999998</c:v>
                </c:pt>
                <c:pt idx="55">
                  <c:v>841.00440000000003</c:v>
                </c:pt>
                <c:pt idx="56">
                  <c:v>839.71500000000003</c:v>
                </c:pt>
                <c:pt idx="57">
                  <c:v>840.36260000000004</c:v>
                </c:pt>
                <c:pt idx="58">
                  <c:v>841.02359999999999</c:v>
                </c:pt>
                <c:pt idx="59">
                  <c:v>840.46249999999998</c:v>
                </c:pt>
                <c:pt idx="60">
                  <c:v>840.471</c:v>
                </c:pt>
                <c:pt idx="61">
                  <c:v>840.68799999999999</c:v>
                </c:pt>
                <c:pt idx="62">
                  <c:v>839.17819999999995</c:v>
                </c:pt>
                <c:pt idx="63">
                  <c:v>839.90030000000002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C8-4D55-BB41-C7F77DCFA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998504"/>
        <c:axId val="632997520"/>
        <c:extLst/>
      </c:scatterChart>
      <c:valAx>
        <c:axId val="63299850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rgbClr val="FF0000">
                  <a:alpha val="50000"/>
                </a:srgb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>
                <a:solidFill>
                  <a:srgbClr val="0000FF"/>
                </a:solidFill>
              </a:defRPr>
            </a:pPr>
            <a:endParaRPr lang="LID4096"/>
          </a:p>
        </c:txPr>
        <c:crossAx val="632997520"/>
        <c:crosses val="autoZero"/>
        <c:crossBetween val="midCat"/>
      </c:valAx>
      <c:valAx>
        <c:axId val="63299752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0000FF">
                  <a:alpha val="50000"/>
                </a:srgb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>
                <a:solidFill>
                  <a:srgbClr val="0000FF"/>
                </a:solidFill>
              </a:defRPr>
            </a:pPr>
            <a:endParaRPr lang="LID4096"/>
          </a:p>
        </c:txPr>
        <c:crossAx val="632998504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6262548043397169"/>
          <c:y val="0"/>
          <c:w val="0.5624035089395778"/>
          <c:h val="9.2168243175156733E-2"/>
        </c:manualLayout>
      </c:layout>
      <c:overlay val="0"/>
    </c:legend>
    <c:plotVisOnly val="1"/>
    <c:dispBlanksAs val="gap"/>
    <c:showDLblsOverMax val="0"/>
    <c:extLst/>
  </c:chart>
  <c:spPr>
    <a:solidFill>
      <a:sysClr val="window" lastClr="FFFFFF"/>
    </a:solidFill>
    <a:ln>
      <a:solidFill>
        <a:sysClr val="windowText" lastClr="000000"/>
      </a:solidFill>
    </a:ln>
  </c:spPr>
  <c:txPr>
    <a:bodyPr/>
    <a:lstStyle/>
    <a:p>
      <a:pPr>
        <a:defRPr sz="6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606899252601632"/>
          <c:y val="0.16457571336099677"/>
          <c:w val="0.75611715199855611"/>
          <c:h val="0.6992099268533266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'o01'!$X$4</c:f>
              <c:strCache>
                <c:ptCount val="1"/>
                <c:pt idx="0">
                  <c:v>PDF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8"/>
            <c:spPr>
              <a:noFill/>
              <a:ln w="3175">
                <a:solidFill>
                  <a:srgbClr val="0000FF">
                    <a:alpha val="60000"/>
                  </a:srgbClr>
                </a:solidFill>
              </a:ln>
            </c:spPr>
          </c:marker>
          <c:xVal>
            <c:numRef>
              <c:f>'o01'!$J$5:$J$1200</c:f>
              <c:numCache>
                <c:formatCode>0</c:formatCode>
                <c:ptCount val="64"/>
                <c:pt idx="0" formatCode="0.000">
                  <c:v>-0.43833797442798567</c:v>
                </c:pt>
                <c:pt idx="1">
                  <c:v>-0.36262378565860282</c:v>
                </c:pt>
                <c:pt idx="2">
                  <c:v>-0.36308081295505623</c:v>
                </c:pt>
                <c:pt idx="3">
                  <c:v>-0.28736662418558678</c:v>
                </c:pt>
                <c:pt idx="4">
                  <c:v>-0.2878236514819536</c:v>
                </c:pt>
                <c:pt idx="5">
                  <c:v>-0.13761401340010831</c:v>
                </c:pt>
                <c:pt idx="6">
                  <c:v>-6.3651762600232531E-2</c:v>
                </c:pt>
                <c:pt idx="7">
                  <c:v>8.5186793592339202E-2</c:v>
                </c:pt>
                <c:pt idx="8">
                  <c:v>0.23311129519217735</c:v>
                </c:pt>
                <c:pt idx="9">
                  <c:v>0.30486458072617928</c:v>
                </c:pt>
                <c:pt idx="10">
                  <c:v>0.5245423678600194</c:v>
                </c:pt>
                <c:pt idx="11">
                  <c:v>0.66629700095851629</c:v>
                </c:pt>
                <c:pt idx="12">
                  <c:v>0.73111870583045013</c:v>
                </c:pt>
                <c:pt idx="13">
                  <c:v>1.0056397685317684</c:v>
                </c:pt>
                <c:pt idx="14">
                  <c:v>1.2029993893582105</c:v>
                </c:pt>
                <c:pt idx="15">
                  <c:v>1.3290627519471907</c:v>
                </c:pt>
                <c:pt idx="16">
                  <c:v>1.4271712782399317</c:v>
                </c:pt>
                <c:pt idx="17">
                  <c:v>1.504256548898588</c:v>
                </c:pt>
                <c:pt idx="18">
                  <c:v>1.46624711208176</c:v>
                </c:pt>
                <c:pt idx="19">
                  <c:v>1.5424944993635563</c:v>
                </c:pt>
                <c:pt idx="20">
                  <c:v>1.5425706705796896</c:v>
                </c:pt>
                <c:pt idx="21">
                  <c:v>1.4092710424644546</c:v>
                </c:pt>
                <c:pt idx="22">
                  <c:v>1.4380637621373806</c:v>
                </c:pt>
                <c:pt idx="23">
                  <c:v>1.4679228788352203</c:v>
                </c:pt>
                <c:pt idx="24">
                  <c:v>1.4216107794671371</c:v>
                </c:pt>
                <c:pt idx="25">
                  <c:v>1.3850485957555427</c:v>
                </c:pt>
                <c:pt idx="26">
                  <c:v>1.3960172508690383</c:v>
                </c:pt>
                <c:pt idx="27">
                  <c:v>1.2997368337618511</c:v>
                </c:pt>
                <c:pt idx="28">
                  <c:v>1.0807445875726045</c:v>
                </c:pt>
                <c:pt idx="29">
                  <c:v>0.94592153513608912</c:v>
                </c:pt>
                <c:pt idx="30">
                  <c:v>0.89359190969893132</c:v>
                </c:pt>
                <c:pt idx="31">
                  <c:v>0.61160606782321791</c:v>
                </c:pt>
                <c:pt idx="32">
                  <c:v>0.3265733773049439</c:v>
                </c:pt>
                <c:pt idx="33">
                  <c:v>-0.31958704858148029</c:v>
                </c:pt>
                <c:pt idx="34">
                  <c:v>-0.96574747446773135</c:v>
                </c:pt>
                <c:pt idx="35">
                  <c:v>-1.1764370581058095</c:v>
                </c:pt>
                <c:pt idx="36">
                  <c:v>-1.0166298467997421</c:v>
                </c:pt>
                <c:pt idx="37">
                  <c:v>-1.0601236111733181</c:v>
                </c:pt>
                <c:pt idx="38">
                  <c:v>-1.1034650331148006</c:v>
                </c:pt>
                <c:pt idx="39">
                  <c:v>-1.1902240482137258</c:v>
                </c:pt>
                <c:pt idx="40">
                  <c:v>-1.2933598747668478</c:v>
                </c:pt>
                <c:pt idx="41">
                  <c:v>-1.4473019024358471</c:v>
                </c:pt>
                <c:pt idx="42">
                  <c:v>-1.373263480419838</c:v>
                </c:pt>
                <c:pt idx="43">
                  <c:v>-1.0633228022480588</c:v>
                </c:pt>
                <c:pt idx="44">
                  <c:v>-0.86619169506967009</c:v>
                </c:pt>
                <c:pt idx="45">
                  <c:v>-0.79459075196784812</c:v>
                </c:pt>
                <c:pt idx="46">
                  <c:v>-0.80776837234721766</c:v>
                </c:pt>
                <c:pt idx="47" formatCode="0.0">
                  <c:v>-0.82604946420301484</c:v>
                </c:pt>
                <c:pt idx="48" formatCode="0.0">
                  <c:v>-0.8615452508896958</c:v>
                </c:pt>
                <c:pt idx="49" formatCode="0.0">
                  <c:v>-0.87289476208351147</c:v>
                </c:pt>
                <c:pt idx="50" formatCode="0.0">
                  <c:v>-0.96033931812711681</c:v>
                </c:pt>
                <c:pt idx="51" formatCode="0.0">
                  <c:v>-1.0479362166027288</c:v>
                </c:pt>
                <c:pt idx="52" formatCode="0.0">
                  <c:v>-0.45204879331985526</c:v>
                </c:pt>
                <c:pt idx="53" formatCode="0.0">
                  <c:v>-1.5467815106177751</c:v>
                </c:pt>
                <c:pt idx="54" formatCode="0.0">
                  <c:v>-1.1255546857738852</c:v>
                </c:pt>
                <c:pt idx="55">
                  <c:v>-0.39568209343109662</c:v>
                </c:pt>
                <c:pt idx="56">
                  <c:v>0.98347394465655047</c:v>
                </c:pt>
                <c:pt idx="57">
                  <c:v>-0.88454895814151402</c:v>
                </c:pt>
                <c:pt idx="58">
                  <c:v>-0.38105721994649344</c:v>
                </c:pt>
                <c:pt idx="59">
                  <c:v>-0.80845391329181115</c:v>
                </c:pt>
                <c:pt idx="60">
                  <c:v>-0.8019793599261964</c:v>
                </c:pt>
                <c:pt idx="61">
                  <c:v>-0.48434538893179541</c:v>
                </c:pt>
                <c:pt idx="62">
                  <c:v>0.7269292889468425</c:v>
                </c:pt>
                <c:pt idx="63">
                  <c:v>-1.0843460578822299</c:v>
                </c:pt>
              </c:numCache>
            </c:numRef>
          </c:xVal>
          <c:yVal>
            <c:numRef>
              <c:f>'o01'!$X$5:$X$1200</c:f>
              <c:numCache>
                <c:formatCode>0%</c:formatCode>
                <c:ptCount val="64"/>
                <c:pt idx="0">
                  <c:v>0.36239930480723392</c:v>
                </c:pt>
                <c:pt idx="1">
                  <c:v>0.37355630422978864</c:v>
                </c:pt>
                <c:pt idx="2">
                  <c:v>0.37349436125201241</c:v>
                </c:pt>
                <c:pt idx="3">
                  <c:v>0.38280547325639686</c:v>
                </c:pt>
                <c:pt idx="4">
                  <c:v>0.38275516106008861</c:v>
                </c:pt>
                <c:pt idx="5">
                  <c:v>0.39518260034423008</c:v>
                </c:pt>
                <c:pt idx="6">
                  <c:v>0.39813493175410092</c:v>
                </c:pt>
                <c:pt idx="7">
                  <c:v>0.39749738317938144</c:v>
                </c:pt>
                <c:pt idx="8">
                  <c:v>0.38824877537430058</c:v>
                </c:pt>
                <c:pt idx="9">
                  <c:v>0.38082712785193201</c:v>
                </c:pt>
                <c:pt idx="10">
                  <c:v>0.3476667471879113</c:v>
                </c:pt>
                <c:pt idx="11">
                  <c:v>0.31952671937393268</c:v>
                </c:pt>
                <c:pt idx="12">
                  <c:v>0.30537772859643619</c:v>
                </c:pt>
                <c:pt idx="13">
                  <c:v>0.24060608008948575</c:v>
                </c:pt>
                <c:pt idx="14">
                  <c:v>0.19348751344338713</c:v>
                </c:pt>
                <c:pt idx="15">
                  <c:v>0.16494512560094815</c:v>
                </c:pt>
                <c:pt idx="16">
                  <c:v>0.14408563597135354</c:v>
                </c:pt>
                <c:pt idx="17">
                  <c:v>0.12869211720209897</c:v>
                </c:pt>
                <c:pt idx="18">
                  <c:v>0.13616623410690334</c:v>
                </c:pt>
                <c:pt idx="19">
                  <c:v>0.12140986134235195</c:v>
                </c:pt>
                <c:pt idx="20">
                  <c:v>0.12139559693653702</c:v>
                </c:pt>
                <c:pt idx="21">
                  <c:v>0.14779029011006811</c:v>
                </c:pt>
                <c:pt idx="22">
                  <c:v>0.14185466588300236</c:v>
                </c:pt>
                <c:pt idx="23">
                  <c:v>0.13583188164417132</c:v>
                </c:pt>
                <c:pt idx="24">
                  <c:v>0.14523137228608529</c:v>
                </c:pt>
                <c:pt idx="25">
                  <c:v>0.15287749883383167</c:v>
                </c:pt>
                <c:pt idx="26">
                  <c:v>0.15056346104958754</c:v>
                </c:pt>
                <c:pt idx="27">
                  <c:v>0.17142722409753097</c:v>
                </c:pt>
                <c:pt idx="28">
                  <c:v>0.22247446122199888</c:v>
                </c:pt>
                <c:pt idx="29">
                  <c:v>0.2550432071120779</c:v>
                </c:pt>
                <c:pt idx="30">
                  <c:v>0.26761877734360506</c:v>
                </c:pt>
                <c:pt idx="31">
                  <c:v>0.33088992085704994</c:v>
                </c:pt>
                <c:pt idx="32">
                  <c:v>0.37822590916487803</c:v>
                </c:pt>
                <c:pt idx="33">
                  <c:v>0.37908058392199856</c:v>
                </c:pt>
                <c:pt idx="34">
                  <c:v>0.25025556446113756</c:v>
                </c:pt>
                <c:pt idx="35">
                  <c:v>0.19969968637406607</c:v>
                </c:pt>
                <c:pt idx="36">
                  <c:v>0.23794715782517692</c:v>
                </c:pt>
                <c:pt idx="37">
                  <c:v>0.22743982781687289</c:v>
                </c:pt>
                <c:pt idx="38">
                  <c:v>0.21702210313622697</c:v>
                </c:pt>
                <c:pt idx="39">
                  <c:v>0.19646810513580507</c:v>
                </c:pt>
                <c:pt idx="40">
                  <c:v>0.17285046610471874</c:v>
                </c:pt>
                <c:pt idx="41">
                  <c:v>0.13997661142181331</c:v>
                </c:pt>
                <c:pt idx="42">
                  <c:v>0.15538259843024604</c:v>
                </c:pt>
                <c:pt idx="43">
                  <c:v>0.22666860362889638</c:v>
                </c:pt>
                <c:pt idx="44">
                  <c:v>0.27414926462748873</c:v>
                </c:pt>
                <c:pt idx="45">
                  <c:v>0.2909436233531682</c:v>
                </c:pt>
                <c:pt idx="46">
                  <c:v>0.28788810320356684</c:v>
                </c:pt>
                <c:pt idx="47">
                  <c:v>0.28362072978050357</c:v>
                </c:pt>
                <c:pt idx="48">
                  <c:v>0.27525188836168457</c:v>
                </c:pt>
                <c:pt idx="49">
                  <c:v>0.27255600418748765</c:v>
                </c:pt>
                <c:pt idx="50">
                  <c:v>0.25156236797856402</c:v>
                </c:pt>
                <c:pt idx="51">
                  <c:v>0.23038033848497708</c:v>
                </c:pt>
                <c:pt idx="52">
                  <c:v>0.36019396931720854</c:v>
                </c:pt>
                <c:pt idx="53">
                  <c:v>0.12060855575067091</c:v>
                </c:pt>
                <c:pt idx="54">
                  <c:v>0.21174443886404223</c:v>
                </c:pt>
                <c:pt idx="55">
                  <c:v>0.36890331334328735</c:v>
                </c:pt>
                <c:pt idx="56">
                  <c:v>0.24596918057496636</c:v>
                </c:pt>
                <c:pt idx="57">
                  <c:v>0.2697790568673093</c:v>
                </c:pt>
                <c:pt idx="58">
                  <c:v>0.37100459328050839</c:v>
                </c:pt>
                <c:pt idx="59">
                  <c:v>0.28772865929960167</c:v>
                </c:pt>
                <c:pt idx="60">
                  <c:v>0.28923262609284367</c:v>
                </c:pt>
                <c:pt idx="61">
                  <c:v>0.35478838668214163</c:v>
                </c:pt>
                <c:pt idx="62">
                  <c:v>0.30631183455008515</c:v>
                </c:pt>
                <c:pt idx="63">
                  <c:v>0.22160877648267641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41-4D27-8B16-ADF147A17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</c:scatterChart>
      <c:valAx>
        <c:axId val="303610847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solidFill>
                  <a:srgbClr val="FF0000"/>
                </a:solidFill>
                <a:latin typeface="Calibri Light (Headings)"/>
              </a:defRPr>
            </a:pPr>
            <a:endParaRPr lang="LID4096"/>
          </a:p>
        </c:txPr>
        <c:crossAx val="1"/>
        <c:crossesAt val="0"/>
        <c:crossBetween val="midCat"/>
      </c:valAx>
      <c:valAx>
        <c:axId val="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solidFill>
                  <a:srgbClr val="0000FF"/>
                </a:solidFill>
                <a:latin typeface="Calibri Light (Headings)"/>
              </a:defRPr>
            </a:pPr>
            <a:endParaRPr lang="LID4096"/>
          </a:p>
        </c:txPr>
        <c:crossAx val="303610847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606899252601632"/>
          <c:y val="0.16457571336099677"/>
          <c:w val="0.75611715199855611"/>
          <c:h val="0.6992099268533266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'o01'!$M$4</c:f>
              <c:strCache>
                <c:ptCount val="1"/>
                <c:pt idx="0">
                  <c:v>CDFa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8"/>
            <c:spPr>
              <a:noFill/>
              <a:ln w="3175">
                <a:solidFill>
                  <a:srgbClr val="0000FF">
                    <a:alpha val="60000"/>
                  </a:srgbClr>
                </a:solidFill>
              </a:ln>
            </c:spPr>
          </c:marker>
          <c:xVal>
            <c:numRef>
              <c:f>'o01'!$J$5:$J$1200</c:f>
              <c:numCache>
                <c:formatCode>0</c:formatCode>
                <c:ptCount val="64"/>
                <c:pt idx="0" formatCode="0.000">
                  <c:v>-0.43833797442798567</c:v>
                </c:pt>
                <c:pt idx="1">
                  <c:v>-0.36262378565860282</c:v>
                </c:pt>
                <c:pt idx="2">
                  <c:v>-0.36308081295505623</c:v>
                </c:pt>
                <c:pt idx="3">
                  <c:v>-0.28736662418558678</c:v>
                </c:pt>
                <c:pt idx="4">
                  <c:v>-0.2878236514819536</c:v>
                </c:pt>
                <c:pt idx="5">
                  <c:v>-0.13761401340010831</c:v>
                </c:pt>
                <c:pt idx="6">
                  <c:v>-6.3651762600232531E-2</c:v>
                </c:pt>
                <c:pt idx="7">
                  <c:v>8.5186793592339202E-2</c:v>
                </c:pt>
                <c:pt idx="8">
                  <c:v>0.23311129519217735</c:v>
                </c:pt>
                <c:pt idx="9">
                  <c:v>0.30486458072617928</c:v>
                </c:pt>
                <c:pt idx="10">
                  <c:v>0.5245423678600194</c:v>
                </c:pt>
                <c:pt idx="11">
                  <c:v>0.66629700095851629</c:v>
                </c:pt>
                <c:pt idx="12">
                  <c:v>0.73111870583045013</c:v>
                </c:pt>
                <c:pt idx="13">
                  <c:v>1.0056397685317684</c:v>
                </c:pt>
                <c:pt idx="14">
                  <c:v>1.2029993893582105</c:v>
                </c:pt>
                <c:pt idx="15">
                  <c:v>1.3290627519471907</c:v>
                </c:pt>
                <c:pt idx="16">
                  <c:v>1.4271712782399317</c:v>
                </c:pt>
                <c:pt idx="17">
                  <c:v>1.504256548898588</c:v>
                </c:pt>
                <c:pt idx="18">
                  <c:v>1.46624711208176</c:v>
                </c:pt>
                <c:pt idx="19">
                  <c:v>1.5424944993635563</c:v>
                </c:pt>
                <c:pt idx="20">
                  <c:v>1.5425706705796896</c:v>
                </c:pt>
                <c:pt idx="21">
                  <c:v>1.4092710424644546</c:v>
                </c:pt>
                <c:pt idx="22">
                  <c:v>1.4380637621373806</c:v>
                </c:pt>
                <c:pt idx="23">
                  <c:v>1.4679228788352203</c:v>
                </c:pt>
                <c:pt idx="24">
                  <c:v>1.4216107794671371</c:v>
                </c:pt>
                <c:pt idx="25">
                  <c:v>1.3850485957555427</c:v>
                </c:pt>
                <c:pt idx="26">
                  <c:v>1.3960172508690383</c:v>
                </c:pt>
                <c:pt idx="27">
                  <c:v>1.2997368337618511</c:v>
                </c:pt>
                <c:pt idx="28">
                  <c:v>1.0807445875726045</c:v>
                </c:pt>
                <c:pt idx="29">
                  <c:v>0.94592153513608912</c:v>
                </c:pt>
                <c:pt idx="30">
                  <c:v>0.89359190969893132</c:v>
                </c:pt>
                <c:pt idx="31">
                  <c:v>0.61160606782321791</c:v>
                </c:pt>
                <c:pt idx="32">
                  <c:v>0.3265733773049439</c:v>
                </c:pt>
                <c:pt idx="33">
                  <c:v>-0.31958704858148029</c:v>
                </c:pt>
                <c:pt idx="34">
                  <c:v>-0.96574747446773135</c:v>
                </c:pt>
                <c:pt idx="35">
                  <c:v>-1.1764370581058095</c:v>
                </c:pt>
                <c:pt idx="36">
                  <c:v>-1.0166298467997421</c:v>
                </c:pt>
                <c:pt idx="37">
                  <c:v>-1.0601236111733181</c:v>
                </c:pt>
                <c:pt idx="38">
                  <c:v>-1.1034650331148006</c:v>
                </c:pt>
                <c:pt idx="39">
                  <c:v>-1.1902240482137258</c:v>
                </c:pt>
                <c:pt idx="40">
                  <c:v>-1.2933598747668478</c:v>
                </c:pt>
                <c:pt idx="41">
                  <c:v>-1.4473019024358471</c:v>
                </c:pt>
                <c:pt idx="42">
                  <c:v>-1.373263480419838</c:v>
                </c:pt>
                <c:pt idx="43">
                  <c:v>-1.0633228022480588</c:v>
                </c:pt>
                <c:pt idx="44">
                  <c:v>-0.86619169506967009</c:v>
                </c:pt>
                <c:pt idx="45">
                  <c:v>-0.79459075196784812</c:v>
                </c:pt>
                <c:pt idx="46">
                  <c:v>-0.80776837234721766</c:v>
                </c:pt>
                <c:pt idx="47" formatCode="0.0">
                  <c:v>-0.82604946420301484</c:v>
                </c:pt>
                <c:pt idx="48" formatCode="0.0">
                  <c:v>-0.8615452508896958</c:v>
                </c:pt>
                <c:pt idx="49" formatCode="0.0">
                  <c:v>-0.87289476208351147</c:v>
                </c:pt>
                <c:pt idx="50" formatCode="0.0">
                  <c:v>-0.96033931812711681</c:v>
                </c:pt>
                <c:pt idx="51" formatCode="0.0">
                  <c:v>-1.0479362166027288</c:v>
                </c:pt>
                <c:pt idx="52" formatCode="0.0">
                  <c:v>-0.45204879331985526</c:v>
                </c:pt>
                <c:pt idx="53" formatCode="0.0">
                  <c:v>-1.5467815106177751</c:v>
                </c:pt>
                <c:pt idx="54" formatCode="0.0">
                  <c:v>-1.1255546857738852</c:v>
                </c:pt>
                <c:pt idx="55">
                  <c:v>-0.39568209343109662</c:v>
                </c:pt>
                <c:pt idx="56">
                  <c:v>0.98347394465655047</c:v>
                </c:pt>
                <c:pt idx="57">
                  <c:v>-0.88454895814151402</c:v>
                </c:pt>
                <c:pt idx="58">
                  <c:v>-0.38105721994649344</c:v>
                </c:pt>
                <c:pt idx="59">
                  <c:v>-0.80845391329181115</c:v>
                </c:pt>
                <c:pt idx="60">
                  <c:v>-0.8019793599261964</c:v>
                </c:pt>
                <c:pt idx="61">
                  <c:v>-0.48434538893179541</c:v>
                </c:pt>
                <c:pt idx="62">
                  <c:v>0.7269292889468425</c:v>
                </c:pt>
                <c:pt idx="63">
                  <c:v>-1.0843460578822299</c:v>
                </c:pt>
              </c:numCache>
            </c:numRef>
          </c:xVal>
          <c:yVal>
            <c:numRef>
              <c:f>'o01'!$M$5:$M$1200</c:f>
              <c:numCache>
                <c:formatCode>0%</c:formatCode>
                <c:ptCount val="64"/>
                <c:pt idx="0">
                  <c:v>0.33057065094594074</c:v>
                </c:pt>
                <c:pt idx="1">
                  <c:v>0.358442969814044</c:v>
                </c:pt>
                <c:pt idx="2">
                  <c:v>0.35827225853848438</c:v>
                </c:pt>
                <c:pt idx="3">
                  <c:v>0.38691580698189543</c:v>
                </c:pt>
                <c:pt idx="4">
                  <c:v>0.38674086592564899</c:v>
                </c:pt>
                <c:pt idx="5">
                  <c:v>0.44527273990713812</c:v>
                </c:pt>
                <c:pt idx="6">
                  <c:v>0.47462375733869239</c:v>
                </c:pt>
                <c:pt idx="7">
                  <c:v>0.53394355519909564</c:v>
                </c:pt>
                <c:pt idx="8">
                  <c:v>0.59216250789837921</c:v>
                </c:pt>
                <c:pt idx="9">
                  <c:v>0.61976535357175244</c:v>
                </c:pt>
                <c:pt idx="10">
                  <c:v>0.70004932015400478</c:v>
                </c:pt>
                <c:pt idx="11">
                  <c:v>0.74738935893024516</c:v>
                </c:pt>
                <c:pt idx="12">
                  <c:v>0.76764667522123098</c:v>
                </c:pt>
                <c:pt idx="13">
                  <c:v>0.84270555678657433</c:v>
                </c:pt>
                <c:pt idx="14">
                  <c:v>0.88551172157274027</c:v>
                </c:pt>
                <c:pt idx="15">
                  <c:v>0.90808636612077931</c:v>
                </c:pt>
                <c:pt idx="16">
                  <c:v>0.92323473443628579</c:v>
                </c:pt>
                <c:pt idx="17">
                  <c:v>0.93374233882314572</c:v>
                </c:pt>
                <c:pt idx="18">
                  <c:v>0.92870951098835242</c:v>
                </c:pt>
                <c:pt idx="19">
                  <c:v>0.9385232632019701</c:v>
                </c:pt>
                <c:pt idx="20">
                  <c:v>0.93853251059548437</c:v>
                </c:pt>
                <c:pt idx="21">
                  <c:v>0.92062248102844957</c:v>
                </c:pt>
                <c:pt idx="22">
                  <c:v>0.92479201829953905</c:v>
                </c:pt>
                <c:pt idx="23">
                  <c:v>0.92893741362658466</c:v>
                </c:pt>
                <c:pt idx="24">
                  <c:v>0.92243036313400761</c:v>
                </c:pt>
                <c:pt idx="25">
                  <c:v>0.91698119576512105</c:v>
                </c:pt>
                <c:pt idx="26">
                  <c:v>0.91864534980701729</c:v>
                </c:pt>
                <c:pt idx="27">
                  <c:v>0.90315440927187507</c:v>
                </c:pt>
                <c:pt idx="28">
                  <c:v>0.86009462828355843</c:v>
                </c:pt>
                <c:pt idx="29">
                  <c:v>0.82790569569856065</c:v>
                </c:pt>
                <c:pt idx="30">
                  <c:v>0.81422986170743283</c:v>
                </c:pt>
                <c:pt idx="31">
                  <c:v>0.72960078873631884</c:v>
                </c:pt>
                <c:pt idx="32">
                  <c:v>0.62800470888150928</c:v>
                </c:pt>
                <c:pt idx="33">
                  <c:v>0.37464069680782736</c:v>
                </c:pt>
                <c:pt idx="34">
                  <c:v>0.1670852787312114</c:v>
                </c:pt>
                <c:pt idx="35">
                  <c:v>0.11971013522267268</c:v>
                </c:pt>
                <c:pt idx="36">
                  <c:v>0.15466477503593545</c:v>
                </c:pt>
                <c:pt idx="37">
                  <c:v>0.144544183717845</c:v>
                </c:pt>
                <c:pt idx="38">
                  <c:v>0.13491263421678229</c:v>
                </c:pt>
                <c:pt idx="39">
                  <c:v>0.1169791718258152</c:v>
                </c:pt>
                <c:pt idx="40">
                  <c:v>9.7943310551372675E-2</c:v>
                </c:pt>
                <c:pt idx="41">
                  <c:v>7.3906193271445181E-2</c:v>
                </c:pt>
                <c:pt idx="42">
                  <c:v>8.4835225670542816E-2</c:v>
                </c:pt>
                <c:pt idx="43">
                  <c:v>0.14381779397626188</c:v>
                </c:pt>
                <c:pt idx="44">
                  <c:v>0.19319252346881227</c:v>
                </c:pt>
                <c:pt idx="45">
                  <c:v>0.21342579982033538</c:v>
                </c:pt>
                <c:pt idx="46">
                  <c:v>0.20961196767824272</c:v>
                </c:pt>
                <c:pt idx="47">
                  <c:v>0.20438801654380004</c:v>
                </c:pt>
                <c:pt idx="48">
                  <c:v>0.19446890494636165</c:v>
                </c:pt>
                <c:pt idx="49">
                  <c:v>0.19136022076869366</c:v>
                </c:pt>
                <c:pt idx="50">
                  <c:v>0.1684422338877356</c:v>
                </c:pt>
                <c:pt idx="51">
                  <c:v>0.14733399739043057</c:v>
                </c:pt>
                <c:pt idx="52">
                  <c:v>0.32561691596694498</c:v>
                </c:pt>
                <c:pt idx="53">
                  <c:v>6.095797006024218E-2</c:v>
                </c:pt>
                <c:pt idx="54">
                  <c:v>0.13017702884302715</c:v>
                </c:pt>
                <c:pt idx="55">
                  <c:v>0.34616978351999794</c:v>
                </c:pt>
                <c:pt idx="56">
                  <c:v>0.83731288361920109</c:v>
                </c:pt>
                <c:pt idx="57">
                  <c:v>0.18819997305337799</c:v>
                </c:pt>
                <c:pt idx="58">
                  <c:v>0.35158039517422029</c:v>
                </c:pt>
                <c:pt idx="59">
                  <c:v>0.20941466324601657</c:v>
                </c:pt>
                <c:pt idx="60">
                  <c:v>0.21128244885638564</c:v>
                </c:pt>
                <c:pt idx="61">
                  <c:v>0.31407038433092133</c:v>
                </c:pt>
                <c:pt idx="62">
                  <c:v>0.7663653630515076</c:v>
                </c:pt>
                <c:pt idx="63">
                  <c:v>0.13910569556722951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37-48E4-80B4-A54BAC572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</c:scatterChart>
      <c:valAx>
        <c:axId val="303610847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solidFill>
                  <a:srgbClr val="FF0000"/>
                </a:solidFill>
                <a:latin typeface="Calibri Light (Headings)"/>
              </a:defRPr>
            </a:pPr>
            <a:endParaRPr lang="LID4096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numFmt formatCode="0.0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solidFill>
                  <a:srgbClr val="0000FF"/>
                </a:solidFill>
                <a:latin typeface="Calibri Light (Headings)"/>
              </a:defRPr>
            </a:pPr>
            <a:endParaRPr lang="LID4096"/>
          </a:p>
        </c:txPr>
        <c:crossAx val="303610847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'o01'!$M$3</c:f>
              <c:strCache>
                <c:ptCount val="1"/>
                <c:pt idx="0">
                  <c:v>31 (%)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94530533725656363"/>
                      <c:h val="0.911258775618190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4F8-4FDD-9C73-AD5EDF4851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r"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4F8-4FDD-9C73-AD5EDF485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08880"/>
        <c:axId val="183209712"/>
      </c:scatterChart>
      <c:valAx>
        <c:axId val="183208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3209712"/>
        <c:crosses val="autoZero"/>
        <c:crossBetween val="midCat"/>
      </c:valAx>
      <c:valAx>
        <c:axId val="1832097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20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3000" b="1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138545</xdr:colOff>
      <xdr:row>1223</xdr:row>
      <xdr:rowOff>60614</xdr:rowOff>
    </xdr:from>
    <xdr:to>
      <xdr:col>9</xdr:col>
      <xdr:colOff>372341</xdr:colOff>
      <xdr:row>1238</xdr:row>
      <xdr:rowOff>77932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01D863A-9ABD-4A9C-8319-FA1D318E031D}"/>
            </a:ext>
          </a:extLst>
        </xdr:cNvPr>
        <xdr:cNvSpPr/>
      </xdr:nvSpPr>
      <xdr:spPr>
        <a:xfrm>
          <a:off x="52820" y="18386714"/>
          <a:ext cx="3700896" cy="2951018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8</xdr:col>
      <xdr:colOff>190500</xdr:colOff>
      <xdr:row>1210</xdr:row>
      <xdr:rowOff>112568</xdr:rowOff>
    </xdr:from>
    <xdr:to>
      <xdr:col>14</xdr:col>
      <xdr:colOff>315394</xdr:colOff>
      <xdr:row>1213</xdr:row>
      <xdr:rowOff>65296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31996AF-1CC2-47C9-870F-A17407F295EE}"/>
            </a:ext>
          </a:extLst>
        </xdr:cNvPr>
        <xdr:cNvGrpSpPr/>
      </xdr:nvGrpSpPr>
      <xdr:grpSpPr>
        <a:xfrm>
          <a:off x="3186545" y="15906750"/>
          <a:ext cx="2895804" cy="524228"/>
          <a:chOff x="5212772" y="14460682"/>
          <a:chExt cx="2728678" cy="576183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" name="TextBox 3">
                <a:extLst>
                  <a:ext uri="{FF2B5EF4-FFF2-40B4-BE49-F238E27FC236}">
                    <a16:creationId xmlns:a16="http://schemas.microsoft.com/office/drawing/2014/main" id="{CAA6E304-EB36-2E65-02E9-5B4044C5CC54}"/>
                  </a:ext>
                </a:extLst>
              </xdr:cNvPr>
              <xdr:cNvSpPr txBox="1"/>
            </xdr:nvSpPr>
            <xdr:spPr>
              <a:xfrm>
                <a:off x="5212772" y="14460682"/>
                <a:ext cx="1175002" cy="5761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pt-BR" sz="2000" b="0" i="1">
                          <a:latin typeface="Cambria Math" panose="02040503050406030204" pitchFamily="18" charset="0"/>
                        </a:rPr>
                        <m:t>𝑍</m:t>
                      </m:r>
                      <m:r>
                        <a:rPr lang="pt-BR" sz="2000" b="0" i="1">
                          <a:latin typeface="Cambria Math" panose="02040503050406030204" pitchFamily="18" charset="0"/>
                        </a:rPr>
                        <m:t>=</m:t>
                      </m:r>
                      <m:f>
                        <m:fPr>
                          <m:ctrlPr>
                            <a:rPr lang="pt-BR" sz="20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pt-BR" sz="20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𝑋</m:t>
                          </m:r>
                          <m:r>
                            <a:rPr lang="pt-BR" sz="20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</m:t>
                          </m:r>
                          <m:r>
                            <a:rPr lang="pt-BR" sz="20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𝜇</m:t>
                          </m:r>
                        </m:num>
                        <m:den>
                          <m:r>
                            <a:rPr lang="pt-BR" sz="20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𝜎</m:t>
                          </m:r>
                        </m:den>
                      </m:f>
                    </m:oMath>
                  </m:oMathPara>
                </a14:m>
                <a:endParaRPr lang="LID4096" sz="2000"/>
              </a:p>
            </xdr:txBody>
          </xdr:sp>
        </mc:Choice>
        <mc:Fallback>
          <xdr:sp macro="" textlink="">
            <xdr:nvSpPr>
              <xdr:cNvPr id="4" name="TextBox 3">
                <a:extLst>
                  <a:ext uri="{FF2B5EF4-FFF2-40B4-BE49-F238E27FC236}">
                    <a16:creationId xmlns:a16="http://schemas.microsoft.com/office/drawing/2014/main" id="{CAA6E304-EB36-2E65-02E9-5B4044C5CC54}"/>
                  </a:ext>
                </a:extLst>
              </xdr:cNvPr>
              <xdr:cNvSpPr txBox="1"/>
            </xdr:nvSpPr>
            <xdr:spPr>
              <a:xfrm>
                <a:off x="5212772" y="14460682"/>
                <a:ext cx="1175002" cy="5761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:r>
                  <a:rPr lang="pt-BR" sz="2000" b="0" i="0">
                    <a:latin typeface="Cambria Math" panose="02040503050406030204" pitchFamily="18" charset="0"/>
                  </a:rPr>
                  <a:t>𝑍=(</a:t>
                </a:r>
                <a:r>
                  <a:rPr lang="pt-BR" sz="20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𝑋−𝜇)/𝜎</a:t>
                </a:r>
                <a:endParaRPr lang="LID4096" sz="2000"/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" name="TextBox 4">
                <a:extLst>
                  <a:ext uri="{FF2B5EF4-FFF2-40B4-BE49-F238E27FC236}">
                    <a16:creationId xmlns:a16="http://schemas.microsoft.com/office/drawing/2014/main" id="{60844243-05DE-6820-E160-8FA63315C33F}"/>
                  </a:ext>
                </a:extLst>
              </xdr:cNvPr>
              <xdr:cNvSpPr txBox="1"/>
            </xdr:nvSpPr>
            <xdr:spPr>
              <a:xfrm>
                <a:off x="6616408" y="14632134"/>
                <a:ext cx="1325042" cy="31309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𝑍</m:t>
                      </m:r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𝜎</m:t>
                      </m:r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𝜇</m:t>
                      </m:r>
                    </m:oMath>
                  </m:oMathPara>
                </a14:m>
                <a:endParaRPr lang="LID4096" sz="2000"/>
              </a:p>
            </xdr:txBody>
          </xdr:sp>
        </mc:Choice>
        <mc:Fallback>
          <xdr:sp macro="" textlink="">
            <xdr:nvSpPr>
              <xdr:cNvPr id="5" name="TextBox 4">
                <a:extLst>
                  <a:ext uri="{FF2B5EF4-FFF2-40B4-BE49-F238E27FC236}">
                    <a16:creationId xmlns:a16="http://schemas.microsoft.com/office/drawing/2014/main" id="{60844243-05DE-6820-E160-8FA63315C33F}"/>
                  </a:ext>
                </a:extLst>
              </xdr:cNvPr>
              <xdr:cNvSpPr txBox="1"/>
            </xdr:nvSpPr>
            <xdr:spPr>
              <a:xfrm>
                <a:off x="6616408" y="14632134"/>
                <a:ext cx="1325042" cy="31309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:r>
                  <a:rPr lang="pt-BR" sz="20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𝑋=𝑍𝜎+𝜇</a:t>
                </a:r>
                <a:endParaRPr lang="LID4096" sz="2000"/>
              </a:p>
            </xdr:txBody>
          </xdr:sp>
        </mc:Fallback>
      </mc:AlternateContent>
    </xdr:grpSp>
    <xdr:clientData/>
  </xdr:twoCellAnchor>
  <xdr:twoCellAnchor>
    <xdr:from>
      <xdr:col>1</xdr:col>
      <xdr:colOff>17318</xdr:colOff>
      <xdr:row>1243</xdr:row>
      <xdr:rowOff>89188</xdr:rowOff>
    </xdr:from>
    <xdr:to>
      <xdr:col>5</xdr:col>
      <xdr:colOff>17318</xdr:colOff>
      <xdr:row>1246</xdr:row>
      <xdr:rowOff>155863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Object 2">
              <a:extLst>
                <a:ext uri="{FF2B5EF4-FFF2-40B4-BE49-F238E27FC236}">
                  <a16:creationId xmlns:a16="http://schemas.microsoft.com/office/drawing/2014/main" id="{12BD98E2-7F7E-410F-96D8-9E40CE588C68}"/>
                </a:ext>
              </a:extLst>
            </xdr:cNvPr>
            <xdr:cNvSpPr txBox="1"/>
          </xdr:nvSpPr>
          <xdr:spPr>
            <a:xfrm>
              <a:off x="74468" y="22301488"/>
              <a:ext cx="876300" cy="638175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2000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US" sz="2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num>
                      <m:den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den>
                    </m:f>
                  </m:oMath>
                </m:oMathPara>
              </a14:m>
              <a:endParaRPr lang="en-US" sz="2000"/>
            </a:p>
          </xdr:txBody>
        </xdr:sp>
      </mc:Choice>
      <mc:Fallback>
        <xdr:sp macro="" textlink="">
          <xdr:nvSpPr>
            <xdr:cNvPr id="6" name="Object 2">
              <a:extLst>
                <a:ext uri="{FF2B5EF4-FFF2-40B4-BE49-F238E27FC236}">
                  <a16:creationId xmlns:a16="http://schemas.microsoft.com/office/drawing/2014/main" id="{12BD98E2-7F7E-410F-96D8-9E40CE588C68}"/>
                </a:ext>
              </a:extLst>
            </xdr:cNvPr>
            <xdr:cNvSpPr txBox="1"/>
          </xdr:nvSpPr>
          <xdr:spPr>
            <a:xfrm>
              <a:off x="74468" y="22301488"/>
              <a:ext cx="876300" cy="638175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𝑍</a:t>
              </a:r>
              <a:r>
                <a:rPr lang="en-US" sz="2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=(</a:t>
              </a:r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𝑋−</a:t>
              </a:r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n-US" sz="2000" b="0" i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)/</a:t>
              </a:r>
              <a:r>
                <a:rPr lang="pt-BR" sz="20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</a:t>
              </a:r>
              <a:endParaRPr lang="en-US" sz="2000"/>
            </a:p>
          </xdr:txBody>
        </xdr:sp>
      </mc:Fallback>
    </mc:AlternateContent>
    <xdr:clientData/>
  </xdr:twoCellAnchor>
  <xdr:twoCellAnchor>
    <xdr:from>
      <xdr:col>2</xdr:col>
      <xdr:colOff>0</xdr:colOff>
      <xdr:row>1203</xdr:row>
      <xdr:rowOff>0</xdr:rowOff>
    </xdr:from>
    <xdr:to>
      <xdr:col>4</xdr:col>
      <xdr:colOff>164523</xdr:colOff>
      <xdr:row>1204</xdr:row>
      <xdr:rowOff>201180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7BD2426F-7AE7-4170-91B9-33EF3A8E50C5}"/>
            </a:ext>
          </a:extLst>
        </xdr:cNvPr>
        <xdr:cNvSpPr>
          <a:spLocks noChangeAspect="1"/>
        </xdr:cNvSpPr>
      </xdr:nvSpPr>
      <xdr:spPr>
        <a:xfrm rot="10800000" flipH="1">
          <a:off x="142875" y="14544675"/>
          <a:ext cx="574098" cy="401205"/>
        </a:xfrm>
        <a:prstGeom prst="rightArrow">
          <a:avLst/>
        </a:prstGeom>
        <a:ln w="1905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LID4096"/>
        </a:p>
      </xdr:txBody>
    </xdr:sp>
    <xdr:clientData/>
  </xdr:twoCellAnchor>
  <xdr:twoCellAnchor>
    <xdr:from>
      <xdr:col>8</xdr:col>
      <xdr:colOff>34637</xdr:colOff>
      <xdr:row>0</xdr:row>
      <xdr:rowOff>188767</xdr:rowOff>
    </xdr:from>
    <xdr:to>
      <xdr:col>8</xdr:col>
      <xdr:colOff>329045</xdr:colOff>
      <xdr:row>2</xdr:row>
      <xdr:rowOff>20422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17D62831-9E35-4912-816E-CAF6A3F6D5AF}"/>
            </a:ext>
          </a:extLst>
        </xdr:cNvPr>
        <xdr:cNvSpPr>
          <a:spLocks noChangeAspect="1"/>
        </xdr:cNvSpPr>
      </xdr:nvSpPr>
      <xdr:spPr>
        <a:xfrm rot="10800000" flipH="1">
          <a:off x="3025487" y="188767"/>
          <a:ext cx="294408" cy="212655"/>
        </a:xfrm>
        <a:prstGeom prst="rightArrow">
          <a:avLst/>
        </a:prstGeom>
        <a:ln w="1905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LID4096"/>
        </a:p>
      </xdr:txBody>
    </xdr:sp>
    <xdr:clientData/>
  </xdr:twoCellAnchor>
  <xdr:twoCellAnchor>
    <xdr:from>
      <xdr:col>15</xdr:col>
      <xdr:colOff>0</xdr:colOff>
      <xdr:row>1202</xdr:row>
      <xdr:rowOff>0</xdr:rowOff>
    </xdr:from>
    <xdr:to>
      <xdr:col>45</xdr:col>
      <xdr:colOff>2147</xdr:colOff>
      <xdr:row>1215</xdr:row>
      <xdr:rowOff>41564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33FE630F-277C-46C7-B053-08CA395A66F7}"/>
            </a:ext>
          </a:extLst>
        </xdr:cNvPr>
        <xdr:cNvGrpSpPr>
          <a:grpSpLocks/>
        </xdr:cNvGrpSpPr>
      </xdr:nvGrpSpPr>
      <xdr:grpSpPr>
        <a:xfrm>
          <a:off x="6624205" y="14252864"/>
          <a:ext cx="9154806" cy="2535382"/>
          <a:chOff x="7429500" y="4242955"/>
          <a:chExt cx="7426034" cy="2791689"/>
        </a:xfrm>
      </xdr:grpSpPr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C2FE9C4C-C371-3C7C-3DC0-B4D6825C7455}"/>
              </a:ext>
            </a:extLst>
          </xdr:cNvPr>
          <xdr:cNvGraphicFramePr>
            <a:graphicFrameLocks/>
          </xdr:cNvGraphicFramePr>
        </xdr:nvGraphicFramePr>
        <xdr:xfrm>
          <a:off x="7429500" y="4242955"/>
          <a:ext cx="7426034" cy="27916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74058A6D-756C-3F3A-394F-EF0CF41419F3}"/>
              </a:ext>
            </a:extLst>
          </xdr:cNvPr>
          <xdr:cNvGraphicFramePr>
            <a:graphicFrameLocks/>
          </xdr:cNvGraphicFramePr>
        </xdr:nvGraphicFramePr>
        <xdr:xfrm>
          <a:off x="7464138" y="4251615"/>
          <a:ext cx="1882641" cy="5127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</xdr:col>
      <xdr:colOff>38100</xdr:colOff>
      <xdr:row>1206</xdr:row>
      <xdr:rowOff>86591</xdr:rowOff>
    </xdr:from>
    <xdr:to>
      <xdr:col>14</xdr:col>
      <xdr:colOff>734696</xdr:colOff>
      <xdr:row>1215</xdr:row>
      <xdr:rowOff>12262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E91B753E-01AA-45AE-9707-0FC27F587840}"/>
            </a:ext>
          </a:extLst>
        </xdr:cNvPr>
        <xdr:cNvGrpSpPr>
          <a:grpSpLocks noChangeAspect="1"/>
        </xdr:cNvGrpSpPr>
      </xdr:nvGrpSpPr>
      <xdr:grpSpPr>
        <a:xfrm>
          <a:off x="98714" y="15196705"/>
          <a:ext cx="6402937" cy="1562239"/>
          <a:chOff x="311727" y="11568546"/>
          <a:chExt cx="6511636" cy="1828796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CCAE314B-FFDE-B3DD-CF61-4F71363618DC}"/>
              </a:ext>
            </a:extLst>
          </xdr:cNvPr>
          <xdr:cNvGrpSpPr/>
        </xdr:nvGrpSpPr>
        <xdr:grpSpPr>
          <a:xfrm>
            <a:off x="311727" y="11568546"/>
            <a:ext cx="6511636" cy="1828796"/>
            <a:chOff x="311727" y="11568546"/>
            <a:chExt cx="7404044" cy="1828796"/>
          </a:xfrm>
        </xdr:grpSpPr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76DF4232-BA7A-5E77-8E6F-4336818C5328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311727" y="11568546"/>
            <a:ext cx="2466520" cy="182597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pSp>
          <xdr:nvGrpSpPr>
            <xdr:cNvPr id="18" name="Group 17">
              <a:extLst>
                <a:ext uri="{FF2B5EF4-FFF2-40B4-BE49-F238E27FC236}">
                  <a16:creationId xmlns:a16="http://schemas.microsoft.com/office/drawing/2014/main" id="{8AB83D62-5BA8-832A-78B5-6AC27B3B36E6}"/>
                </a:ext>
              </a:extLst>
            </xdr:cNvPr>
            <xdr:cNvGrpSpPr/>
          </xdr:nvGrpSpPr>
          <xdr:grpSpPr>
            <a:xfrm>
              <a:off x="320865" y="11568548"/>
              <a:ext cx="7394906" cy="1828794"/>
              <a:chOff x="100513" y="7725835"/>
              <a:chExt cx="6064627" cy="2003072"/>
            </a:xfrm>
          </xdr:grpSpPr>
          <xdr:grpSp>
            <xdr:nvGrpSpPr>
              <xdr:cNvPr id="19" name="Group 18">
                <a:extLst>
                  <a:ext uri="{FF2B5EF4-FFF2-40B4-BE49-F238E27FC236}">
                    <a16:creationId xmlns:a16="http://schemas.microsoft.com/office/drawing/2014/main" id="{DA94B4AA-0816-4989-C8C1-9092DAF43F19}"/>
                  </a:ext>
                </a:extLst>
              </xdr:cNvPr>
              <xdr:cNvGrpSpPr/>
            </xdr:nvGrpSpPr>
            <xdr:grpSpPr>
              <a:xfrm>
                <a:off x="2116667" y="7725835"/>
                <a:ext cx="4048473" cy="2003072"/>
                <a:chOff x="6238875" y="10639424"/>
                <a:chExt cx="9249633" cy="2431732"/>
              </a:xfrm>
            </xdr:grpSpPr>
            <xdr:graphicFrame macro="">
              <xdr:nvGraphicFramePr>
                <xdr:cNvPr id="25" name="Chart 24">
                  <a:extLst>
                    <a:ext uri="{FF2B5EF4-FFF2-40B4-BE49-F238E27FC236}">
                      <a16:creationId xmlns:a16="http://schemas.microsoft.com/office/drawing/2014/main" id="{75469D7D-60A1-C9F1-F547-F922CAE6AB08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6238875" y="10642982"/>
                <a:ext cx="4629128" cy="2428174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  <xdr:graphicFrame macro="">
              <xdr:nvGraphicFramePr>
                <xdr:cNvPr id="26" name="Chart 25">
                  <a:extLst>
                    <a:ext uri="{FF2B5EF4-FFF2-40B4-BE49-F238E27FC236}">
                      <a16:creationId xmlns:a16="http://schemas.microsoft.com/office/drawing/2014/main" id="{653B0CEA-D38B-2476-84A6-3CC937EECF58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0859379" y="10639424"/>
                <a:ext cx="4629129" cy="2428174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  <xdr:grpSp>
            <xdr:nvGrpSpPr>
              <xdr:cNvPr id="20" name="Group 19">
                <a:extLst>
                  <a:ext uri="{FF2B5EF4-FFF2-40B4-BE49-F238E27FC236}">
                    <a16:creationId xmlns:a16="http://schemas.microsoft.com/office/drawing/2014/main" id="{85B127F4-E03B-F7E8-BB06-C6596223AB10}"/>
                  </a:ext>
                </a:extLst>
              </xdr:cNvPr>
              <xdr:cNvGrpSpPr/>
            </xdr:nvGrpSpPr>
            <xdr:grpSpPr>
              <a:xfrm>
                <a:off x="100513" y="7753821"/>
                <a:ext cx="1899383" cy="1849181"/>
                <a:chOff x="118085" y="7217391"/>
                <a:chExt cx="2050470" cy="1718805"/>
              </a:xfrm>
            </xdr:grpSpPr>
            <xdr:grpSp>
              <xdr:nvGrpSpPr>
                <xdr:cNvPr id="21" name="Group 20">
                  <a:extLst>
                    <a:ext uri="{FF2B5EF4-FFF2-40B4-BE49-F238E27FC236}">
                      <a16:creationId xmlns:a16="http://schemas.microsoft.com/office/drawing/2014/main" id="{71C1102A-8E6D-98DE-BF31-38143CEE2607}"/>
                    </a:ext>
                  </a:extLst>
                </xdr:cNvPr>
                <xdr:cNvGrpSpPr/>
              </xdr:nvGrpSpPr>
              <xdr:grpSpPr>
                <a:xfrm>
                  <a:off x="118085" y="7217391"/>
                  <a:ext cx="595750" cy="760019"/>
                  <a:chOff x="11255080" y="901754"/>
                  <a:chExt cx="961106" cy="1104586"/>
                </a:xfrm>
              </xdr:grpSpPr>
              <xdr:sp macro="" textlink="">
                <xdr:nvSpPr>
                  <xdr:cNvPr id="23" name="TextBox 22">
                    <a:extLst>
                      <a:ext uri="{FF2B5EF4-FFF2-40B4-BE49-F238E27FC236}">
                        <a16:creationId xmlns:a16="http://schemas.microsoft.com/office/drawing/2014/main" id="{043B99B7-9BC4-060D-5878-F8D58F778E1D}"/>
                      </a:ext>
                    </a:extLst>
                  </xdr:cNvPr>
                  <xdr:cNvSpPr txBox="1"/>
                </xdr:nvSpPr>
                <xdr:spPr>
                  <a:xfrm rot="16200000">
                    <a:off x="10893602" y="1346686"/>
                    <a:ext cx="1021132" cy="29817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100" b="1"/>
                      <a:t>MOD</a:t>
                    </a:r>
                    <a:endParaRPr lang="LID4096" sz="1100" b="1"/>
                  </a:p>
                </xdr:txBody>
              </xdr:sp>
              <xdr:sp macro="" textlink="">
                <xdr:nvSpPr>
                  <xdr:cNvPr id="24" name="TextBox 23">
                    <a:extLst>
                      <a:ext uri="{FF2B5EF4-FFF2-40B4-BE49-F238E27FC236}">
                        <a16:creationId xmlns:a16="http://schemas.microsoft.com/office/drawing/2014/main" id="{63D1667C-BD37-A7B7-085B-3BC8C383B37E}"/>
                      </a:ext>
                    </a:extLst>
                  </xdr:cNvPr>
                  <xdr:cNvSpPr txBox="1"/>
                </xdr:nvSpPr>
                <xdr:spPr>
                  <a:xfrm>
                    <a:off x="11256546" y="901754"/>
                    <a:ext cx="959640" cy="228043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100" b="1"/>
                      <a:t>MED</a:t>
                    </a:r>
                    <a:endParaRPr lang="LID4096" sz="1100" b="1"/>
                  </a:p>
                </xdr:txBody>
              </xdr:sp>
            </xdr:grpSp>
            <xdr:graphicFrame macro="">
              <xdr:nvGraphicFramePr>
                <xdr:cNvPr id="22" name="Chart 21">
                  <a:extLst>
                    <a:ext uri="{FF2B5EF4-FFF2-40B4-BE49-F238E27FC236}">
                      <a16:creationId xmlns:a16="http://schemas.microsoft.com/office/drawing/2014/main" id="{632B1F52-569D-772B-8A56-04A9E1E1C029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152525" y="8511241"/>
                <a:ext cx="1016030" cy="424955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6"/>
                </a:graphicData>
              </a:graphic>
            </xdr:graphicFrame>
          </xdr:grpSp>
        </xdr:grp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F5F75A69-EC9E-F976-3846-A20DACD53AD3}"/>
              </a:ext>
            </a:extLst>
          </xdr:cNvPr>
          <xdr:cNvGrpSpPr/>
        </xdr:nvGrpSpPr>
        <xdr:grpSpPr>
          <a:xfrm>
            <a:off x="2744932" y="11646477"/>
            <a:ext cx="2738349" cy="171440"/>
            <a:chOff x="2744932" y="11646477"/>
            <a:chExt cx="2738349" cy="171440"/>
          </a:xfrm>
        </xdr:grpSpPr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745C012-AE88-5AD4-49E0-EA6648EEBCA6}"/>
                </a:ext>
              </a:extLst>
            </xdr:cNvPr>
            <xdr:cNvSpPr txBox="1"/>
          </xdr:nvSpPr>
          <xdr:spPr>
            <a:xfrm>
              <a:off x="2744932" y="11663796"/>
              <a:ext cx="590894" cy="1541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100" b="1"/>
                <a:t>PDF</a:t>
              </a:r>
              <a:endParaRPr lang="LID4096" sz="1100" b="1"/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405E3E0-0D68-6836-EB07-05A18BA17396}"/>
                </a:ext>
              </a:extLst>
            </xdr:cNvPr>
            <xdr:cNvSpPr txBox="1"/>
          </xdr:nvSpPr>
          <xdr:spPr>
            <a:xfrm>
              <a:off x="4892387" y="11646477"/>
              <a:ext cx="590894" cy="1541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100" b="1"/>
                <a:t>CDF</a:t>
              </a:r>
              <a:endParaRPr lang="LID4096" sz="1100" b="1"/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est\A\A_Beta_15.xlsm" TargetMode="External"/><Relationship Id="rId1" Type="http://schemas.openxmlformats.org/officeDocument/2006/relationships/externalLinkPath" Target="file:///C:\pest\A\A_Beta_1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11n"/>
      <sheetName val="o10n"/>
      <sheetName val="o09n"/>
      <sheetName val="o08n"/>
      <sheetName val="R2"/>
      <sheetName val="tES"/>
      <sheetName val="cES"/>
      <sheetName val="RES"/>
      <sheetName val="SEO"/>
      <sheetName val="SEO_T"/>
      <sheetName val="PAR"/>
      <sheetName val="BPA"/>
      <sheetName val="SEN"/>
      <sheetName val="sSEN"/>
      <sheetName val="IN"/>
      <sheetName val="o01"/>
      <sheetName val="o03"/>
      <sheetName val="o04"/>
      <sheetName val="o05"/>
      <sheetName val="o08"/>
      <sheetName val="o09"/>
      <sheetName val="o10"/>
      <sheetName val="o11"/>
      <sheetName val="o02"/>
      <sheetName val="o06"/>
      <sheetName val="o07"/>
      <sheetName val="A"/>
      <sheetName val="B"/>
      <sheetName val="C"/>
      <sheetName val="p02"/>
      <sheetName val="p03"/>
      <sheetName val="p04"/>
      <sheetName val="p05"/>
      <sheetName val="p06"/>
      <sheetName val="k07"/>
      <sheetName val="k08"/>
      <sheetName val="k09"/>
      <sheetName val="k10"/>
      <sheetName val="k11"/>
      <sheetName val="p12"/>
      <sheetName val="p13"/>
      <sheetName val="14"/>
      <sheetName val="K"/>
      <sheetName val="D"/>
      <sheetName val="E"/>
      <sheetName val="F"/>
      <sheetName val="exemplo"/>
      <sheetName val="t01"/>
      <sheetName val="t02"/>
      <sheetName val="1"/>
      <sheetName val="2"/>
      <sheetName val="3"/>
      <sheetName val="4"/>
      <sheetName val="5"/>
      <sheetName val="P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DB2" t="str">
            <v>Trans.</v>
          </cell>
        </row>
        <row r="3">
          <cell r="AB3">
            <v>1</v>
          </cell>
          <cell r="DB3" t="str">
            <v>T_Long</v>
          </cell>
        </row>
        <row r="4">
          <cell r="F4" t="str">
            <v>tES</v>
          </cell>
        </row>
        <row r="5">
          <cell r="IV5" t="str">
            <v>Head</v>
          </cell>
        </row>
        <row r="6">
          <cell r="IV6" t="str">
            <v>Drain</v>
          </cell>
        </row>
        <row r="7">
          <cell r="IV7" t="str">
            <v>River</v>
          </cell>
        </row>
        <row r="8">
          <cell r="IV8" t="str">
            <v>Lake</v>
          </cell>
        </row>
        <row r="9">
          <cell r="IV9" t="str">
            <v>SRT</v>
          </cell>
        </row>
        <row r="10">
          <cell r="IV10" t="str">
            <v>GHB</v>
          </cell>
        </row>
        <row r="11">
          <cell r="IV11" t="str">
            <v>const_head</v>
          </cell>
        </row>
        <row r="12">
          <cell r="IV12" t="str">
            <v>regul_1</v>
          </cell>
        </row>
        <row r="13">
          <cell r="IV13" t="str">
            <v>regul_2</v>
          </cell>
        </row>
        <row r="14">
          <cell r="IV14" t="str">
            <v>regul_3</v>
          </cell>
        </row>
        <row r="15">
          <cell r="IV15" t="str">
            <v>regul_4</v>
          </cell>
        </row>
      </sheetData>
      <sheetData sheetId="15">
        <row r="2">
          <cell r="B2" t="str">
            <v>Head 31 (%)</v>
          </cell>
          <cell r="AK2" t="str">
            <v>dif</v>
          </cell>
          <cell r="AM2" t="str">
            <v>SEO</v>
          </cell>
          <cell r="AO2" t="str">
            <v>SEN</v>
          </cell>
        </row>
        <row r="3">
          <cell r="M3" t="str">
            <v>31 (%)</v>
          </cell>
          <cell r="O3" t="str">
            <v>Target</v>
          </cell>
        </row>
        <row r="4">
          <cell r="G4" t="str">
            <v>MED</v>
          </cell>
          <cell r="H4" t="str">
            <v>MOD</v>
          </cell>
          <cell r="M4" t="str">
            <v>CDFa</v>
          </cell>
          <cell r="T4" t="str">
            <v>Red</v>
          </cell>
          <cell r="U4" t="str">
            <v>Blue</v>
          </cell>
          <cell r="X4" t="str">
            <v>PDF</v>
          </cell>
          <cell r="AH4" t="str">
            <v>ΣrW2</v>
          </cell>
          <cell r="AT4" t="str">
            <v>Filtro</v>
          </cell>
          <cell r="AV4" t="str">
            <v>new</v>
          </cell>
        </row>
        <row r="5">
          <cell r="G5">
            <v>840.8</v>
          </cell>
          <cell r="H5">
            <v>840.94839999999999</v>
          </cell>
          <cell r="M5">
            <v>0.33057065094594074</v>
          </cell>
          <cell r="N5">
            <v>1.254117188183919</v>
          </cell>
          <cell r="O5">
            <v>840.8</v>
          </cell>
          <cell r="T5">
            <v>840.45315581535215</v>
          </cell>
          <cell r="U5">
            <v>841.14684418464776</v>
          </cell>
          <cell r="X5">
            <v>0.36239930480723392</v>
          </cell>
          <cell r="AH5">
            <v>1.0460197764132088E-2</v>
          </cell>
          <cell r="AK5" t="str">
            <v/>
          </cell>
          <cell r="AM5">
            <v>1.0171356804416423E-5</v>
          </cell>
          <cell r="AO5" t="str">
            <v/>
          </cell>
          <cell r="AS5">
            <v>1</v>
          </cell>
          <cell r="AT5">
            <v>840.94839999999999</v>
          </cell>
          <cell r="AU5">
            <v>840.94839999999999</v>
          </cell>
          <cell r="AW5" t="str">
            <v/>
          </cell>
          <cell r="AX5">
            <v>1</v>
          </cell>
        </row>
        <row r="6">
          <cell r="G6">
            <v>840.7</v>
          </cell>
          <cell r="H6">
            <v>840.94780000000003</v>
          </cell>
          <cell r="M6">
            <v>0.358442969814044</v>
          </cell>
          <cell r="N6">
            <v>1.1961233297708402</v>
          </cell>
          <cell r="O6">
            <v>840.7</v>
          </cell>
          <cell r="T6">
            <v>840.35315581535224</v>
          </cell>
          <cell r="U6">
            <v>841.04684418464785</v>
          </cell>
          <cell r="X6">
            <v>0.37355630422978864</v>
          </cell>
          <cell r="AH6">
            <v>1.1362438764044368E-2</v>
          </cell>
          <cell r="AK6" t="str">
            <v/>
          </cell>
          <cell r="AM6">
            <v>1.0171356804416423E-5</v>
          </cell>
          <cell r="AO6" t="str">
            <v/>
          </cell>
          <cell r="AS6">
            <v>2</v>
          </cell>
          <cell r="AT6">
            <v>840.94780000000003</v>
          </cell>
          <cell r="AU6">
            <v>840.94780000000003</v>
          </cell>
          <cell r="AW6" t="str">
            <v/>
          </cell>
          <cell r="AX6" t="str">
            <v/>
          </cell>
        </row>
        <row r="7">
          <cell r="G7">
            <v>840.7</v>
          </cell>
          <cell r="H7">
            <v>840.94719999999995</v>
          </cell>
          <cell r="M7">
            <v>0.35827225853848438</v>
          </cell>
          <cell r="N7">
            <v>1.1961233297708402</v>
          </cell>
          <cell r="O7">
            <v>840.7</v>
          </cell>
          <cell r="T7">
            <v>840.35315581535224</v>
          </cell>
          <cell r="U7">
            <v>841.04684418464785</v>
          </cell>
          <cell r="X7">
            <v>0.37349436125201241</v>
          </cell>
          <cell r="AH7">
            <v>1.1355404409990229E-2</v>
          </cell>
          <cell r="AK7" t="str">
            <v/>
          </cell>
          <cell r="AM7">
            <v>1.0349673021878107E-5</v>
          </cell>
          <cell r="AO7" t="str">
            <v/>
          </cell>
          <cell r="AS7">
            <v>3</v>
          </cell>
          <cell r="AT7">
            <v>840.94719999999995</v>
          </cell>
          <cell r="AU7">
            <v>840.94719999999995</v>
          </cell>
          <cell r="AW7" t="str">
            <v/>
          </cell>
          <cell r="AX7" t="str">
            <v/>
          </cell>
        </row>
        <row r="8">
          <cell r="G8">
            <v>840.6</v>
          </cell>
          <cell r="H8">
            <v>840.94659999999999</v>
          </cell>
          <cell r="M8">
            <v>0.38691580698189543</v>
          </cell>
          <cell r="N8">
            <v>1.1381294713576953</v>
          </cell>
          <cell r="O8">
            <v>840.6</v>
          </cell>
          <cell r="T8">
            <v>840.25315581535222</v>
          </cell>
          <cell r="U8">
            <v>840.94684418464783</v>
          </cell>
          <cell r="X8">
            <v>0.38280547325639686</v>
          </cell>
          <cell r="AH8">
            <v>1.2797565911494873E-2</v>
          </cell>
          <cell r="AK8" t="str">
            <v/>
          </cell>
          <cell r="AM8">
            <v>1.0429718101282196E-5</v>
          </cell>
          <cell r="AO8" t="str">
            <v/>
          </cell>
          <cell r="AS8">
            <v>4</v>
          </cell>
          <cell r="AT8">
            <v>840.94659999999999</v>
          </cell>
          <cell r="AU8">
            <v>840.94659999999999</v>
          </cell>
          <cell r="AW8" t="str">
            <v/>
          </cell>
          <cell r="AX8" t="str">
            <v/>
          </cell>
        </row>
        <row r="9">
          <cell r="G9">
            <v>840.6</v>
          </cell>
          <cell r="H9">
            <v>840.94600000000003</v>
          </cell>
          <cell r="M9">
            <v>0.38674086592564899</v>
          </cell>
          <cell r="N9">
            <v>1.1381294713576953</v>
          </cell>
          <cell r="O9">
            <v>840.6</v>
          </cell>
          <cell r="T9">
            <v>840.25315581535222</v>
          </cell>
          <cell r="U9">
            <v>840.94684418464783</v>
          </cell>
          <cell r="X9">
            <v>0.38275516106008861</v>
          </cell>
          <cell r="AH9">
            <v>1.278716379149712E-2</v>
          </cell>
          <cell r="AK9" t="str">
            <v/>
          </cell>
          <cell r="AM9">
            <v>1.0236558452680632E-5</v>
          </cell>
          <cell r="AO9" t="str">
            <v/>
          </cell>
          <cell r="AS9">
            <v>5</v>
          </cell>
          <cell r="AT9">
            <v>840.94600000000003</v>
          </cell>
          <cell r="AU9">
            <v>840.94600000000003</v>
          </cell>
          <cell r="AW9" t="str">
            <v/>
          </cell>
          <cell r="AX9" t="str">
            <v/>
          </cell>
        </row>
        <row r="10">
          <cell r="G10">
            <v>840.4</v>
          </cell>
          <cell r="H10">
            <v>840.94320000000005</v>
          </cell>
          <cell r="M10">
            <v>0.44527273990713812</v>
          </cell>
          <cell r="N10">
            <v>1.0221417545314058</v>
          </cell>
          <cell r="O10">
            <v>840.4</v>
          </cell>
          <cell r="T10">
            <v>840.05315581535217</v>
          </cell>
          <cell r="U10">
            <v>840.74684418464778</v>
          </cell>
          <cell r="X10">
            <v>0.39518260034423008</v>
          </cell>
          <cell r="AH10">
            <v>1.7317863968984479E-2</v>
          </cell>
          <cell r="AK10" t="str">
            <v/>
          </cell>
          <cell r="AM10">
            <v>1.0333589545278492E-5</v>
          </cell>
          <cell r="AO10" t="str">
            <v/>
          </cell>
          <cell r="AS10">
            <v>6</v>
          </cell>
          <cell r="AT10">
            <v>840.94320000000005</v>
          </cell>
          <cell r="AU10">
            <v>840.94320000000005</v>
          </cell>
          <cell r="AW10" t="str">
            <v/>
          </cell>
          <cell r="AX10" t="str">
            <v/>
          </cell>
        </row>
        <row r="11">
          <cell r="G11">
            <v>840.3</v>
          </cell>
          <cell r="H11">
            <v>840.94029999999998</v>
          </cell>
          <cell r="M11">
            <v>0.47462375733869239</v>
          </cell>
          <cell r="N11">
            <v>0.96414789611826079</v>
          </cell>
          <cell r="O11">
            <v>840.3</v>
          </cell>
          <cell r="T11">
            <v>839.95315581535215</v>
          </cell>
          <cell r="U11">
            <v>840.64684418464776</v>
          </cell>
          <cell r="X11">
            <v>0.39813493175410092</v>
          </cell>
          <cell r="AH11">
            <v>2.0318782253029681E-2</v>
          </cell>
          <cell r="AK11" t="str">
            <v/>
          </cell>
          <cell r="AM11">
            <v>1.0122179868321625E-5</v>
          </cell>
          <cell r="AO11" t="str">
            <v/>
          </cell>
          <cell r="AS11">
            <v>7</v>
          </cell>
          <cell r="AT11">
            <v>840.94029999999998</v>
          </cell>
          <cell r="AU11">
            <v>840.94029999999998</v>
          </cell>
          <cell r="AW11" t="str">
            <v/>
          </cell>
          <cell r="AX11" t="str">
            <v/>
          </cell>
        </row>
        <row r="12">
          <cell r="G12">
            <v>840.1</v>
          </cell>
          <cell r="H12">
            <v>840.9357</v>
          </cell>
          <cell r="M12">
            <v>0.53394355519909564</v>
          </cell>
          <cell r="N12">
            <v>0.84816017929203713</v>
          </cell>
          <cell r="O12">
            <v>840.1</v>
          </cell>
          <cell r="T12">
            <v>839.75315581535222</v>
          </cell>
          <cell r="U12">
            <v>840.44684418464783</v>
          </cell>
          <cell r="X12">
            <v>0.39749738317938144</v>
          </cell>
          <cell r="AH12">
            <v>2.7522049137336378E-2</v>
          </cell>
          <cell r="AK12" t="str">
            <v/>
          </cell>
          <cell r="AM12">
            <v>1.020400972398912E-5</v>
          </cell>
          <cell r="AO12" t="str">
            <v/>
          </cell>
          <cell r="AS12">
            <v>8</v>
          </cell>
          <cell r="AT12">
            <v>840.9357</v>
          </cell>
          <cell r="AU12">
            <v>840.9357</v>
          </cell>
          <cell r="AW12" t="str">
            <v/>
          </cell>
          <cell r="AX12" t="str">
            <v/>
          </cell>
        </row>
        <row r="13">
          <cell r="G13">
            <v>839.9</v>
          </cell>
          <cell r="H13">
            <v>840.92989999999998</v>
          </cell>
          <cell r="M13">
            <v>0.59216250789837921</v>
          </cell>
          <cell r="N13">
            <v>0.73217246246574741</v>
          </cell>
          <cell r="O13">
            <v>839.9</v>
          </cell>
          <cell r="T13">
            <v>839.55315581535217</v>
          </cell>
          <cell r="U13">
            <v>840.24684418464778</v>
          </cell>
          <cell r="X13">
            <v>0.38824877537430058</v>
          </cell>
          <cell r="AH13">
            <v>3.5400599382250562E-2</v>
          </cell>
          <cell r="AK13" t="str">
            <v/>
          </cell>
          <cell r="AM13">
            <v>1.0365731562255696E-5</v>
          </cell>
          <cell r="AO13" t="str">
            <v/>
          </cell>
          <cell r="AS13">
            <v>9</v>
          </cell>
          <cell r="AT13">
            <v>840.92989999999998</v>
          </cell>
          <cell r="AU13">
            <v>840.92989999999998</v>
          </cell>
          <cell r="AW13" t="str">
            <v/>
          </cell>
          <cell r="AX13" t="str">
            <v/>
          </cell>
        </row>
        <row r="14">
          <cell r="G14">
            <v>839.8</v>
          </cell>
          <cell r="H14">
            <v>840.92409999999995</v>
          </cell>
          <cell r="M14">
            <v>0.61976535357175244</v>
          </cell>
          <cell r="N14">
            <v>0.67417860405260266</v>
          </cell>
          <cell r="O14">
            <v>839.8</v>
          </cell>
          <cell r="T14">
            <v>839.45315581535215</v>
          </cell>
          <cell r="U14">
            <v>840.14684418464776</v>
          </cell>
          <cell r="X14">
            <v>0.38082712785193201</v>
          </cell>
          <cell r="AH14">
            <v>3.9126074800675176E-2</v>
          </cell>
          <cell r="AK14" t="str">
            <v/>
          </cell>
          <cell r="AM14">
            <v>1.0333589545278492E-5</v>
          </cell>
          <cell r="AO14" t="str">
            <v/>
          </cell>
          <cell r="AS14">
            <v>10</v>
          </cell>
          <cell r="AT14">
            <v>840.92409999999995</v>
          </cell>
          <cell r="AU14">
            <v>840.92409999999995</v>
          </cell>
          <cell r="AW14" t="str">
            <v/>
          </cell>
          <cell r="AX14" t="str">
            <v/>
          </cell>
        </row>
        <row r="15">
          <cell r="G15">
            <v>839.5</v>
          </cell>
          <cell r="H15">
            <v>840.91250000000002</v>
          </cell>
          <cell r="M15">
            <v>0.70004932015400478</v>
          </cell>
          <cell r="N15">
            <v>0.50019702881323402</v>
          </cell>
          <cell r="O15">
            <v>839.5</v>
          </cell>
          <cell r="T15">
            <v>839.15315581535219</v>
          </cell>
          <cell r="U15">
            <v>839.84684418464781</v>
          </cell>
          <cell r="X15">
            <v>0.3476667471879113</v>
          </cell>
          <cell r="AH15">
            <v>4.8408762332962575E-2</v>
          </cell>
          <cell r="AK15" t="str">
            <v/>
          </cell>
          <cell r="AM15">
            <v>1.1346297654521124E-5</v>
          </cell>
          <cell r="AO15" t="str">
            <v/>
          </cell>
          <cell r="AS15">
            <v>11</v>
          </cell>
          <cell r="AT15">
            <v>840.91250000000002</v>
          </cell>
          <cell r="AU15">
            <v>840.91250000000002</v>
          </cell>
          <cell r="AW15" t="str">
            <v/>
          </cell>
          <cell r="AX15" t="str">
            <v/>
          </cell>
        </row>
        <row r="16">
          <cell r="G16">
            <v>839.3</v>
          </cell>
          <cell r="H16">
            <v>840.89859999999999</v>
          </cell>
          <cell r="M16">
            <v>0.74738935893024516</v>
          </cell>
          <cell r="N16">
            <v>0.38420931198694441</v>
          </cell>
          <cell r="O16">
            <v>839.3</v>
          </cell>
          <cell r="T16">
            <v>838.95315581535215</v>
          </cell>
          <cell r="U16">
            <v>839.64684418464776</v>
          </cell>
          <cell r="X16">
            <v>0.31952671937393268</v>
          </cell>
          <cell r="AH16">
            <v>5.1642929051107553E-2</v>
          </cell>
          <cell r="AK16" t="str">
            <v/>
          </cell>
          <cell r="AM16">
            <v>1.1592827583903079E-5</v>
          </cell>
          <cell r="AO16" t="str">
            <v/>
          </cell>
          <cell r="AS16">
            <v>12</v>
          </cell>
          <cell r="AT16">
            <v>840.89859999999999</v>
          </cell>
          <cell r="AU16">
            <v>840.89859999999999</v>
          </cell>
          <cell r="AW16" t="str">
            <v/>
          </cell>
          <cell r="AX16" t="str">
            <v/>
          </cell>
        </row>
        <row r="17">
          <cell r="G17">
            <v>839.2</v>
          </cell>
          <cell r="H17">
            <v>840.88369999999998</v>
          </cell>
          <cell r="M17">
            <v>0.76764667522123098</v>
          </cell>
          <cell r="N17">
            <v>0.3262154535738655</v>
          </cell>
          <cell r="O17">
            <v>839.2</v>
          </cell>
          <cell r="T17">
            <v>838.85315581535224</v>
          </cell>
          <cell r="U17">
            <v>839.54684418464785</v>
          </cell>
          <cell r="X17">
            <v>0.30537772859643619</v>
          </cell>
          <cell r="AH17">
            <v>5.2245237131054556E-2</v>
          </cell>
          <cell r="AK17" t="str">
            <v/>
          </cell>
          <cell r="AM17">
            <v>1.2423892519735853E-5</v>
          </cell>
          <cell r="AO17" t="str">
            <v/>
          </cell>
          <cell r="AS17">
            <v>13</v>
          </cell>
          <cell r="AT17">
            <v>840.88369999999998</v>
          </cell>
          <cell r="AU17">
            <v>840.88369999999998</v>
          </cell>
          <cell r="AW17" t="str">
            <v/>
          </cell>
          <cell r="AX17" t="str">
            <v/>
          </cell>
        </row>
        <row r="18">
          <cell r="G18">
            <v>838.8</v>
          </cell>
          <cell r="H18">
            <v>840.84410000000003</v>
          </cell>
          <cell r="M18">
            <v>0.84270555678657433</v>
          </cell>
          <cell r="N18">
            <v>9.4240019921286181E-2</v>
          </cell>
          <cell r="O18">
            <v>838.8</v>
          </cell>
          <cell r="T18">
            <v>838.45315581535215</v>
          </cell>
          <cell r="U18">
            <v>839.14684418464776</v>
          </cell>
          <cell r="X18">
            <v>0.24060608008948575</v>
          </cell>
          <cell r="AH18">
            <v>4.893892156974429E-2</v>
          </cell>
          <cell r="AK18" t="str">
            <v/>
          </cell>
          <cell r="AM18">
            <v>1.6625737170872283E-4</v>
          </cell>
          <cell r="AO18" t="str">
            <v/>
          </cell>
          <cell r="AS18">
            <v>14</v>
          </cell>
          <cell r="AT18">
            <v>840.84410000000003</v>
          </cell>
          <cell r="AU18">
            <v>840.84410000000003</v>
          </cell>
          <cell r="AW18" t="str">
            <v/>
          </cell>
          <cell r="AX18" t="str">
            <v/>
          </cell>
        </row>
        <row r="19">
          <cell r="G19">
            <v>838.5</v>
          </cell>
          <cell r="H19">
            <v>840.80319999999995</v>
          </cell>
          <cell r="M19">
            <v>0.88551172157274027</v>
          </cell>
          <cell r="N19">
            <v>-7.9741555318082386E-2</v>
          </cell>
          <cell r="O19">
            <v>838.5</v>
          </cell>
          <cell r="T19">
            <v>838.15315581535219</v>
          </cell>
          <cell r="U19">
            <v>838.84684418464781</v>
          </cell>
          <cell r="X19">
            <v>0.19348751344338713</v>
          </cell>
          <cell r="AH19">
            <v>4.2239405336770716E-2</v>
          </cell>
          <cell r="AK19" t="str">
            <v/>
          </cell>
          <cell r="AM19">
            <v>8.036648990865752E-4</v>
          </cell>
          <cell r="AO19" t="str">
            <v/>
          </cell>
          <cell r="AS19">
            <v>15</v>
          </cell>
          <cell r="AT19">
            <v>840.80319999999995</v>
          </cell>
          <cell r="AU19">
            <v>840.80319999999995</v>
          </cell>
          <cell r="AW19" t="str">
            <v/>
          </cell>
          <cell r="AX19" t="str">
            <v/>
          </cell>
        </row>
        <row r="20">
          <cell r="G20">
            <v>838.3</v>
          </cell>
          <cell r="H20">
            <v>840.76869999999997</v>
          </cell>
          <cell r="M20">
            <v>0.90808636612077931</v>
          </cell>
          <cell r="N20">
            <v>-0.19572927214437205</v>
          </cell>
          <cell r="O20">
            <v>838.3</v>
          </cell>
          <cell r="T20">
            <v>837.95315581535215</v>
          </cell>
          <cell r="U20">
            <v>838.64684418464776</v>
          </cell>
          <cell r="X20">
            <v>0.16494512560094815</v>
          </cell>
          <cell r="AH20">
            <v>3.7117343855496886E-2</v>
          </cell>
          <cell r="AK20" t="str">
            <v/>
          </cell>
          <cell r="AM20">
            <v>1.7675420671476416E-3</v>
          </cell>
          <cell r="AO20" t="str">
            <v/>
          </cell>
          <cell r="AS20">
            <v>16</v>
          </cell>
          <cell r="AT20">
            <v>840.76869999999997</v>
          </cell>
          <cell r="AU20">
            <v>840.76869999999997</v>
          </cell>
          <cell r="AW20" t="str">
            <v/>
          </cell>
          <cell r="AX20" t="str">
            <v/>
          </cell>
        </row>
        <row r="21">
          <cell r="G21">
            <v>838.1</v>
          </cell>
          <cell r="H21">
            <v>840.69749999999999</v>
          </cell>
          <cell r="M21">
            <v>0.92323473443628579</v>
          </cell>
          <cell r="N21">
            <v>-0.3117169889705958</v>
          </cell>
          <cell r="O21">
            <v>838.1</v>
          </cell>
          <cell r="T21">
            <v>837.75315581535222</v>
          </cell>
          <cell r="U21">
            <v>838.44684418464783</v>
          </cell>
          <cell r="X21">
            <v>0.14408563597135354</v>
          </cell>
          <cell r="AH21">
            <v>3.3074188887856348E-2</v>
          </cell>
          <cell r="AK21" t="str">
            <v/>
          </cell>
          <cell r="AM21">
            <v>4.0265097619873761E-3</v>
          </cell>
          <cell r="AO21" t="str">
            <v/>
          </cell>
          <cell r="AS21">
            <v>17</v>
          </cell>
          <cell r="AT21">
            <v>840.69749999999999</v>
          </cell>
          <cell r="AU21">
            <v>840.69749999999999</v>
          </cell>
          <cell r="AW21" t="str">
            <v/>
          </cell>
          <cell r="AX21" t="str">
            <v/>
          </cell>
        </row>
        <row r="22">
          <cell r="G22">
            <v>837.9</v>
          </cell>
          <cell r="H22">
            <v>840.59870000000001</v>
          </cell>
          <cell r="M22">
            <v>0.93374233882314572</v>
          </cell>
          <cell r="N22">
            <v>-0.42770470579688541</v>
          </cell>
          <cell r="O22">
            <v>837.9</v>
          </cell>
          <cell r="T22">
            <v>837.55315581535217</v>
          </cell>
          <cell r="U22">
            <v>838.24684418464778</v>
          </cell>
          <cell r="X22">
            <v>0.12869211720209897</v>
          </cell>
          <cell r="AH22">
            <v>3.0005475939795842E-2</v>
          </cell>
          <cell r="AK22" t="str">
            <v/>
          </cell>
          <cell r="AM22">
            <v>6.6821710149402519E-3</v>
          </cell>
          <cell r="AO22" t="str">
            <v/>
          </cell>
          <cell r="AS22">
            <v>18</v>
          </cell>
          <cell r="AT22">
            <v>840.59870000000001</v>
          </cell>
          <cell r="AU22">
            <v>840.59870000000001</v>
          </cell>
          <cell r="AW22" t="str">
            <v/>
          </cell>
          <cell r="AX22" t="str">
            <v/>
          </cell>
        </row>
        <row r="23">
          <cell r="G23">
            <v>837.9</v>
          </cell>
          <cell r="H23">
            <v>840.54880000000003</v>
          </cell>
          <cell r="M23">
            <v>0.92870951098835242</v>
          </cell>
          <cell r="N23">
            <v>-0.42770470579688541</v>
          </cell>
          <cell r="O23">
            <v>837.9</v>
          </cell>
          <cell r="T23">
            <v>837.55315581535217</v>
          </cell>
          <cell r="U23">
            <v>838.24684418464778</v>
          </cell>
          <cell r="X23">
            <v>0.13616623410690334</v>
          </cell>
          <cell r="AH23">
            <v>3.1500695907938837E-2</v>
          </cell>
          <cell r="AK23" t="str">
            <v/>
          </cell>
          <cell r="AM23">
            <v>8.0228737578880733E-3</v>
          </cell>
          <cell r="AO23" t="str">
            <v/>
          </cell>
          <cell r="AS23">
            <v>19</v>
          </cell>
          <cell r="AT23">
            <v>840.54880000000003</v>
          </cell>
          <cell r="AU23">
            <v>840.54880000000003</v>
          </cell>
          <cell r="AW23" t="str">
            <v/>
          </cell>
          <cell r="AX23" t="str">
            <v/>
          </cell>
        </row>
        <row r="24">
          <cell r="G24">
            <v>837.7</v>
          </cell>
          <cell r="H24">
            <v>840.44889999999998</v>
          </cell>
          <cell r="M24">
            <v>0.9385232632019701</v>
          </cell>
          <cell r="N24">
            <v>-0.54369242262310913</v>
          </cell>
          <cell r="O24">
            <v>837.7</v>
          </cell>
          <cell r="T24">
            <v>837.35315581535224</v>
          </cell>
          <cell r="U24">
            <v>838.04684418464785</v>
          </cell>
          <cell r="X24">
            <v>0.12140986134235195</v>
          </cell>
          <cell r="AH24">
            <v>2.8544709033219456E-2</v>
          </cell>
          <cell r="AK24" t="str">
            <v/>
          </cell>
          <cell r="AM24">
            <v>1.0548019984573524E-2</v>
          </cell>
          <cell r="AO24" t="str">
            <v/>
          </cell>
          <cell r="AS24">
            <v>20</v>
          </cell>
          <cell r="AT24">
            <v>840.44889999999998</v>
          </cell>
          <cell r="AU24">
            <v>840.44889999999998</v>
          </cell>
          <cell r="AW24" t="str">
            <v/>
          </cell>
          <cell r="AX24" t="str">
            <v/>
          </cell>
        </row>
        <row r="25">
          <cell r="G25">
            <v>837.6</v>
          </cell>
          <cell r="H25">
            <v>840.34900000000005</v>
          </cell>
          <cell r="M25">
            <v>0.93853251059548437</v>
          </cell>
          <cell r="N25">
            <v>-0.60168628103625399</v>
          </cell>
          <cell r="O25">
            <v>837.6</v>
          </cell>
          <cell r="T25">
            <v>837.25315581535222</v>
          </cell>
          <cell r="U25">
            <v>837.94684418464783</v>
          </cell>
          <cell r="X25">
            <v>0.12139559693653702</v>
          </cell>
          <cell r="AH25">
            <v>2.8541847506954841E-2</v>
          </cell>
          <cell r="AK25" t="str">
            <v/>
          </cell>
          <cell r="AM25">
            <v>1.2773113870811854E-2</v>
          </cell>
          <cell r="AO25" t="str">
            <v/>
          </cell>
          <cell r="AS25">
            <v>21</v>
          </cell>
          <cell r="AT25">
            <v>840.34900000000005</v>
          </cell>
          <cell r="AU25">
            <v>840.34900000000005</v>
          </cell>
          <cell r="AW25" t="str">
            <v/>
          </cell>
          <cell r="AX25" t="str">
            <v/>
          </cell>
        </row>
        <row r="26">
          <cell r="G26">
            <v>837.6</v>
          </cell>
          <cell r="H26">
            <v>840.17399999999998</v>
          </cell>
          <cell r="M26">
            <v>0.92062248102844957</v>
          </cell>
          <cell r="N26">
            <v>-0.60168628103625399</v>
          </cell>
          <cell r="O26">
            <v>837.6</v>
          </cell>
          <cell r="T26">
            <v>837.25315581535222</v>
          </cell>
          <cell r="U26">
            <v>837.94684418464783</v>
          </cell>
          <cell r="X26">
            <v>0.14779029011006811</v>
          </cell>
          <cell r="AH26">
            <v>3.3804599094742704E-2</v>
          </cell>
          <cell r="AK26" t="str">
            <v/>
          </cell>
          <cell r="AM26">
            <v>1.6676597205301912E-2</v>
          </cell>
          <cell r="AO26" t="str">
            <v/>
          </cell>
          <cell r="AS26">
            <v>22</v>
          </cell>
          <cell r="AT26">
            <v>840.17399999999998</v>
          </cell>
          <cell r="AU26">
            <v>840.17399999999998</v>
          </cell>
          <cell r="AW26" t="str">
            <v/>
          </cell>
          <cell r="AX26" t="str">
            <v/>
          </cell>
        </row>
        <row r="27">
          <cell r="G27">
            <v>837.5</v>
          </cell>
          <cell r="H27">
            <v>840.11180000000002</v>
          </cell>
          <cell r="M27">
            <v>0.92479201829953905</v>
          </cell>
          <cell r="N27">
            <v>-0.65968013944939885</v>
          </cell>
          <cell r="O27">
            <v>837.5</v>
          </cell>
          <cell r="T27">
            <v>837.15315581535219</v>
          </cell>
          <cell r="U27">
            <v>837.84684418464781</v>
          </cell>
          <cell r="X27">
            <v>0.14185466588300236</v>
          </cell>
          <cell r="AH27">
            <v>3.2632422533908481E-2</v>
          </cell>
          <cell r="AK27" t="str">
            <v/>
          </cell>
          <cell r="AM27">
            <v>1.7634470948914259E-2</v>
          </cell>
          <cell r="AO27" t="str">
            <v/>
          </cell>
          <cell r="AS27">
            <v>23</v>
          </cell>
          <cell r="AT27">
            <v>840.11180000000002</v>
          </cell>
          <cell r="AU27">
            <v>840.11180000000002</v>
          </cell>
          <cell r="AW27" t="str">
            <v/>
          </cell>
          <cell r="AX27" t="str">
            <v/>
          </cell>
        </row>
        <row r="28">
          <cell r="G28">
            <v>837.3</v>
          </cell>
          <cell r="H28">
            <v>839.95100000000002</v>
          </cell>
          <cell r="M28">
            <v>0.92893741362658466</v>
          </cell>
          <cell r="N28">
            <v>-0.77566785627568846</v>
          </cell>
          <cell r="O28">
            <v>837.3</v>
          </cell>
          <cell r="T28">
            <v>836.95315581535215</v>
          </cell>
          <cell r="U28">
            <v>837.64684418464776</v>
          </cell>
          <cell r="X28">
            <v>0.13583188164417132</v>
          </cell>
          <cell r="AH28">
            <v>3.1433974678914123E-2</v>
          </cell>
          <cell r="AK28" t="str">
            <v/>
          </cell>
          <cell r="AM28">
            <v>1.9895181105761574E-2</v>
          </cell>
          <cell r="AO28" t="str">
            <v/>
          </cell>
          <cell r="AS28">
            <v>24</v>
          </cell>
          <cell r="AT28">
            <v>839.95100000000002</v>
          </cell>
          <cell r="AU28">
            <v>839.95100000000002</v>
          </cell>
          <cell r="AW28" t="str">
            <v/>
          </cell>
          <cell r="AX28" t="str">
            <v/>
          </cell>
        </row>
        <row r="29">
          <cell r="G29">
            <v>837.2</v>
          </cell>
          <cell r="H29">
            <v>839.79020000000003</v>
          </cell>
          <cell r="M29">
            <v>0.92243036313400761</v>
          </cell>
          <cell r="N29">
            <v>-0.83366171468876737</v>
          </cell>
          <cell r="O29">
            <v>837.2</v>
          </cell>
          <cell r="T29">
            <v>836.85315581535224</v>
          </cell>
          <cell r="U29">
            <v>837.54684418464785</v>
          </cell>
          <cell r="X29">
            <v>0.14523137228608529</v>
          </cell>
          <cell r="AH29">
            <v>3.3300526655749133E-2</v>
          </cell>
          <cell r="AK29" t="str">
            <v/>
          </cell>
          <cell r="AM29">
            <v>2.2154982733589283E-2</v>
          </cell>
          <cell r="AO29" t="str">
            <v/>
          </cell>
          <cell r="AS29">
            <v>25</v>
          </cell>
          <cell r="AT29">
            <v>839.79020000000003</v>
          </cell>
          <cell r="AU29">
            <v>839.79020000000003</v>
          </cell>
          <cell r="AW29" t="str">
            <v/>
          </cell>
          <cell r="AX29" t="str">
            <v/>
          </cell>
        </row>
        <row r="30">
          <cell r="G30">
            <v>837.2</v>
          </cell>
          <cell r="H30">
            <v>839.74220000000003</v>
          </cell>
          <cell r="M30">
            <v>0.91698119576512105</v>
          </cell>
          <cell r="N30">
            <v>-0.83366171468876737</v>
          </cell>
          <cell r="O30">
            <v>837.2</v>
          </cell>
          <cell r="T30">
            <v>836.85315581535224</v>
          </cell>
          <cell r="U30">
            <v>837.54684418464785</v>
          </cell>
          <cell r="X30">
            <v>0.15287749883383167</v>
          </cell>
          <cell r="AH30">
            <v>3.480007060437422E-2</v>
          </cell>
          <cell r="AK30" t="str">
            <v/>
          </cell>
          <cell r="AM30">
            <v>2.3894564510872105E-2</v>
          </cell>
          <cell r="AO30" t="str">
            <v/>
          </cell>
          <cell r="AS30">
            <v>26</v>
          </cell>
          <cell r="AT30">
            <v>839.74220000000003</v>
          </cell>
          <cell r="AU30">
            <v>839.74220000000003</v>
          </cell>
          <cell r="AW30" t="str">
            <v/>
          </cell>
          <cell r="AX30" t="str">
            <v/>
          </cell>
        </row>
        <row r="31">
          <cell r="G31">
            <v>837.1</v>
          </cell>
          <cell r="H31">
            <v>839.65660000000003</v>
          </cell>
          <cell r="M31">
            <v>0.91864534980701729</v>
          </cell>
          <cell r="N31">
            <v>-0.89165557310191224</v>
          </cell>
          <cell r="O31">
            <v>837.1</v>
          </cell>
          <cell r="T31">
            <v>836.75315581535222</v>
          </cell>
          <cell r="U31">
            <v>837.44684418464783</v>
          </cell>
          <cell r="X31">
            <v>0.15056346104958754</v>
          </cell>
          <cell r="AH31">
            <v>3.434842662128778E-2</v>
          </cell>
          <cell r="AK31" t="str">
            <v/>
          </cell>
          <cell r="AM31">
            <v>2.7571362122808848E-2</v>
          </cell>
          <cell r="AO31" t="str">
            <v/>
          </cell>
          <cell r="AS31">
            <v>27</v>
          </cell>
          <cell r="AT31">
            <v>839.65660000000003</v>
          </cell>
          <cell r="AU31">
            <v>839.65660000000003</v>
          </cell>
          <cell r="AW31" t="str">
            <v/>
          </cell>
          <cell r="AX31" t="str">
            <v/>
          </cell>
        </row>
        <row r="32">
          <cell r="G32">
            <v>837</v>
          </cell>
          <cell r="H32">
            <v>839.43020000000001</v>
          </cell>
          <cell r="M32">
            <v>0.90315440927187507</v>
          </cell>
          <cell r="N32">
            <v>-0.9496494315150571</v>
          </cell>
          <cell r="O32">
            <v>837</v>
          </cell>
          <cell r="T32">
            <v>836.65315581535219</v>
          </cell>
          <cell r="U32">
            <v>837.34684418464781</v>
          </cell>
          <cell r="X32">
            <v>0.17142722409753097</v>
          </cell>
          <cell r="AH32">
            <v>3.8330388148435521E-2</v>
          </cell>
          <cell r="AK32" t="str">
            <v/>
          </cell>
          <cell r="AM32">
            <v>3.6405009110832887E-2</v>
          </cell>
          <cell r="AO32" t="str">
            <v/>
          </cell>
          <cell r="AS32">
            <v>28</v>
          </cell>
          <cell r="AT32">
            <v>839.43020000000001</v>
          </cell>
          <cell r="AU32">
            <v>839.43020000000001</v>
          </cell>
          <cell r="AW32" t="str">
            <v/>
          </cell>
          <cell r="AX32" t="str">
            <v/>
          </cell>
        </row>
        <row r="33">
          <cell r="G33">
            <v>836.8</v>
          </cell>
          <cell r="H33">
            <v>838.94269999999995</v>
          </cell>
          <cell r="M33">
            <v>0.86009462828355843</v>
          </cell>
          <cell r="N33">
            <v>-1.0656371483413467</v>
          </cell>
          <cell r="O33">
            <v>836.8</v>
          </cell>
          <cell r="T33">
            <v>836.45315581535215</v>
          </cell>
          <cell r="U33">
            <v>837.14684418464776</v>
          </cell>
          <cell r="X33">
            <v>0.22247446122199888</v>
          </cell>
          <cell r="AH33">
            <v>4.6683708528109887E-2</v>
          </cell>
          <cell r="AK33" t="str">
            <v/>
          </cell>
          <cell r="AM33">
            <v>4.6847255054079245E-2</v>
          </cell>
          <cell r="AO33" t="str">
            <v/>
          </cell>
          <cell r="AS33">
            <v>29</v>
          </cell>
          <cell r="AT33">
            <v>838.94269999999995</v>
          </cell>
          <cell r="AU33">
            <v>838.94269999999995</v>
          </cell>
          <cell r="AW33" t="str">
            <v/>
          </cell>
          <cell r="AX33" t="str">
            <v/>
          </cell>
        </row>
        <row r="34">
          <cell r="G34">
            <v>836.6</v>
          </cell>
          <cell r="H34">
            <v>838.56569999999999</v>
          </cell>
          <cell r="M34">
            <v>0.82790569569856065</v>
          </cell>
          <cell r="N34">
            <v>-1.1816248651675705</v>
          </cell>
          <cell r="O34">
            <v>836.6</v>
          </cell>
          <cell r="T34">
            <v>836.25315581535222</v>
          </cell>
          <cell r="U34">
            <v>836.94684418464783</v>
          </cell>
          <cell r="X34">
            <v>0.2550432071120779</v>
          </cell>
          <cell r="AH34">
            <v>5.0381038184109828E-2</v>
          </cell>
          <cell r="AK34" t="str">
            <v/>
          </cell>
          <cell r="AM34">
            <v>5.25146590783752E-2</v>
          </cell>
          <cell r="AO34" t="str">
            <v/>
          </cell>
          <cell r="AS34">
            <v>30</v>
          </cell>
          <cell r="AT34">
            <v>838.56569999999999</v>
          </cell>
          <cell r="AU34">
            <v>838.56569999999999</v>
          </cell>
          <cell r="AW34" t="str">
            <v/>
          </cell>
          <cell r="AX34" t="str">
            <v/>
          </cell>
        </row>
        <row r="35">
          <cell r="G35">
            <v>836.5</v>
          </cell>
          <cell r="H35">
            <v>838.39700000000005</v>
          </cell>
          <cell r="M35">
            <v>0.81422986170743283</v>
          </cell>
          <cell r="N35">
            <v>-1.2396187235807152</v>
          </cell>
          <cell r="O35">
            <v>836.5</v>
          </cell>
          <cell r="T35">
            <v>836.15315581535219</v>
          </cell>
          <cell r="U35">
            <v>836.84684418464781</v>
          </cell>
          <cell r="X35">
            <v>0.26761877734360506</v>
          </cell>
          <cell r="AH35">
            <v>5.1344363132375705E-2</v>
          </cell>
          <cell r="AK35" t="str">
            <v/>
          </cell>
          <cell r="AM35">
            <v>5.4502385260438227E-2</v>
          </cell>
          <cell r="AO35" t="str">
            <v/>
          </cell>
          <cell r="AS35">
            <v>31</v>
          </cell>
          <cell r="AT35">
            <v>838.39700000000005</v>
          </cell>
          <cell r="AU35">
            <v>838.39700000000005</v>
          </cell>
          <cell r="AW35" t="str">
            <v/>
          </cell>
          <cell r="AX35" t="str">
            <v/>
          </cell>
        </row>
        <row r="36">
          <cell r="G36">
            <v>836.4</v>
          </cell>
          <cell r="H36">
            <v>837.92679999999996</v>
          </cell>
          <cell r="M36">
            <v>0.72960078873631884</v>
          </cell>
          <cell r="N36">
            <v>-1.2976125819938602</v>
          </cell>
          <cell r="O36">
            <v>836.4</v>
          </cell>
          <cell r="T36">
            <v>836.05315581535217</v>
          </cell>
          <cell r="U36">
            <v>836.74684418464778</v>
          </cell>
          <cell r="X36">
            <v>0.33088992085704994</v>
          </cell>
          <cell r="AH36">
            <v>5.0699433488710692E-2</v>
          </cell>
          <cell r="AK36" t="str">
            <v/>
          </cell>
          <cell r="AM36">
            <v>5.1378050614040008E-2</v>
          </cell>
          <cell r="AO36" t="str">
            <v/>
          </cell>
          <cell r="AS36">
            <v>32</v>
          </cell>
          <cell r="AT36">
            <v>837.92679999999996</v>
          </cell>
          <cell r="AU36">
            <v>837.92679999999996</v>
          </cell>
          <cell r="AW36" t="str">
            <v/>
          </cell>
          <cell r="AX36" t="str">
            <v/>
          </cell>
        </row>
        <row r="37">
          <cell r="G37">
            <v>836.3</v>
          </cell>
          <cell r="H37">
            <v>837.45259999999996</v>
          </cell>
          <cell r="M37">
            <v>0.62800470888150928</v>
          </cell>
          <cell r="N37">
            <v>-1.355606440407005</v>
          </cell>
          <cell r="O37">
            <v>836.3</v>
          </cell>
          <cell r="T37">
            <v>835.95315581535215</v>
          </cell>
          <cell r="U37">
            <v>836.64684418464776</v>
          </cell>
          <cell r="X37">
            <v>0.37822590916487803</v>
          </cell>
          <cell r="AH37">
            <v>4.020937888056085E-2</v>
          </cell>
          <cell r="AK37" t="str">
            <v/>
          </cell>
          <cell r="AM37">
            <v>3.7716209790169618E-2</v>
          </cell>
          <cell r="AO37" t="str">
            <v/>
          </cell>
          <cell r="AS37">
            <v>33</v>
          </cell>
          <cell r="AT37">
            <v>837.45259999999996</v>
          </cell>
          <cell r="AU37">
            <v>837.45259999999996</v>
          </cell>
          <cell r="AW37" t="str">
            <v/>
          </cell>
          <cell r="AX37" t="str">
            <v/>
          </cell>
        </row>
        <row r="38">
          <cell r="G38">
            <v>836.2</v>
          </cell>
          <cell r="H38">
            <v>836.50429999999994</v>
          </cell>
          <cell r="M38">
            <v>0.37464069680782736</v>
          </cell>
          <cell r="N38">
            <v>-1.4136002988200838</v>
          </cell>
          <cell r="O38">
            <v>836.2</v>
          </cell>
          <cell r="T38">
            <v>835.85315581535224</v>
          </cell>
          <cell r="U38">
            <v>836.54684418464785</v>
          </cell>
          <cell r="X38">
            <v>0.37908058392199856</v>
          </cell>
          <cell r="AH38">
            <v>1.2115082509663658E-2</v>
          </cell>
          <cell r="AK38" t="str">
            <v/>
          </cell>
          <cell r="AM38">
            <v>2.1525082166932934E-2</v>
          </cell>
          <cell r="AO38" t="str">
            <v/>
          </cell>
          <cell r="AS38">
            <v>34</v>
          </cell>
          <cell r="AT38">
            <v>836.50429999999994</v>
          </cell>
          <cell r="AU38">
            <v>836.50429999999994</v>
          </cell>
          <cell r="AW38" t="str">
            <v/>
          </cell>
          <cell r="AX38" t="str">
            <v/>
          </cell>
        </row>
        <row r="39">
          <cell r="G39">
            <v>836.1</v>
          </cell>
          <cell r="H39">
            <v>835.55600000000004</v>
          </cell>
          <cell r="M39">
            <v>0.1670852787312114</v>
          </cell>
          <cell r="N39">
            <v>-1.4715941572332287</v>
          </cell>
          <cell r="O39">
            <v>836.1</v>
          </cell>
          <cell r="T39">
            <v>835.75315581535222</v>
          </cell>
          <cell r="U39">
            <v>836.44684418464783</v>
          </cell>
          <cell r="X39">
            <v>0.25025556446113756</v>
          </cell>
          <cell r="AH39">
            <v>1.2979560269834524E-2</v>
          </cell>
          <cell r="AK39" t="str">
            <v/>
          </cell>
          <cell r="AM39">
            <v>3.8342901509650341E-2</v>
          </cell>
          <cell r="AO39" t="str">
            <v/>
          </cell>
          <cell r="AS39">
            <v>35</v>
          </cell>
          <cell r="AT39">
            <v>835.55600000000004</v>
          </cell>
          <cell r="AU39">
            <v>835.55600000000004</v>
          </cell>
          <cell r="AW39" t="str">
            <v/>
          </cell>
          <cell r="AX39" t="str">
            <v/>
          </cell>
        </row>
        <row r="40">
          <cell r="G40">
            <v>836.1</v>
          </cell>
          <cell r="H40">
            <v>835.27940000000001</v>
          </cell>
          <cell r="M40">
            <v>0.11971013522267268</v>
          </cell>
          <cell r="N40">
            <v>-1.4715941572332287</v>
          </cell>
          <cell r="O40">
            <v>836.1</v>
          </cell>
          <cell r="T40">
            <v>835.75315581535222</v>
          </cell>
          <cell r="U40">
            <v>836.44684418464783</v>
          </cell>
          <cell r="X40">
            <v>0.19969968637406607</v>
          </cell>
          <cell r="AH40">
            <v>1.4353681291956123E-2</v>
          </cell>
          <cell r="AK40" t="str">
            <v/>
          </cell>
          <cell r="AM40">
            <v>4.6200111766455075E-2</v>
          </cell>
          <cell r="AO40" t="str">
            <v/>
          </cell>
          <cell r="AS40">
            <v>36</v>
          </cell>
          <cell r="AT40">
            <v>835.27940000000001</v>
          </cell>
          <cell r="AU40">
            <v>835.27940000000001</v>
          </cell>
          <cell r="AW40" t="str">
            <v/>
          </cell>
          <cell r="AX40" t="str">
            <v/>
          </cell>
        </row>
        <row r="41">
          <cell r="G41">
            <v>836</v>
          </cell>
          <cell r="H41">
            <v>835.38919999999996</v>
          </cell>
          <cell r="M41">
            <v>0.15466477503593545</v>
          </cell>
          <cell r="N41">
            <v>-1.5295880156463735</v>
          </cell>
          <cell r="O41">
            <v>836</v>
          </cell>
          <cell r="T41">
            <v>835.65315581535219</v>
          </cell>
          <cell r="U41">
            <v>836.34684418464781</v>
          </cell>
          <cell r="X41">
            <v>0.23794715782517692</v>
          </cell>
          <cell r="AH41">
            <v>1.340167982116274E-2</v>
          </cell>
          <cell r="AK41" t="str">
            <v/>
          </cell>
          <cell r="AM41">
            <v>4.3180238626906758E-2</v>
          </cell>
          <cell r="AO41" t="str">
            <v/>
          </cell>
          <cell r="AS41">
            <v>37</v>
          </cell>
          <cell r="AT41">
            <v>835.38919999999996</v>
          </cell>
          <cell r="AU41">
            <v>835.38919999999996</v>
          </cell>
          <cell r="AW41" t="str">
            <v/>
          </cell>
          <cell r="AX41" t="str">
            <v/>
          </cell>
        </row>
        <row r="42">
          <cell r="G42">
            <v>836.1</v>
          </cell>
          <cell r="H42">
            <v>835.43209999999999</v>
          </cell>
          <cell r="M42">
            <v>0.144544183717845</v>
          </cell>
          <cell r="N42">
            <v>-1.4715941572332287</v>
          </cell>
          <cell r="O42">
            <v>836.1</v>
          </cell>
          <cell r="T42">
            <v>835.75315581535222</v>
          </cell>
          <cell r="U42">
            <v>836.44684418464783</v>
          </cell>
          <cell r="X42">
            <v>0.22743982781687289</v>
          </cell>
          <cell r="AH42">
            <v>1.3722131828819897E-2</v>
          </cell>
          <cell r="AK42" t="str">
            <v/>
          </cell>
          <cell r="AM42">
            <v>4.2031239373176529E-2</v>
          </cell>
          <cell r="AO42" t="str">
            <v/>
          </cell>
          <cell r="AS42">
            <v>38</v>
          </cell>
          <cell r="AT42">
            <v>835.43209999999999</v>
          </cell>
          <cell r="AU42">
            <v>835.43209999999999</v>
          </cell>
          <cell r="AW42" t="str">
            <v/>
          </cell>
          <cell r="AX42" t="str">
            <v/>
          </cell>
        </row>
        <row r="43">
          <cell r="G43">
            <v>836.2</v>
          </cell>
          <cell r="H43">
            <v>835.47519999999997</v>
          </cell>
          <cell r="M43">
            <v>0.13491263421678229</v>
          </cell>
          <cell r="N43">
            <v>-1.4136002988200838</v>
          </cell>
          <cell r="O43">
            <v>836.2</v>
          </cell>
          <cell r="T43">
            <v>835.85315581535224</v>
          </cell>
          <cell r="U43">
            <v>836.54684418464785</v>
          </cell>
          <cell r="X43">
            <v>0.21702210313622697</v>
          </cell>
          <cell r="AH43">
            <v>1.3997993315241625E-2</v>
          </cell>
          <cell r="AK43" t="str">
            <v/>
          </cell>
          <cell r="AM43">
            <v>4.0902711017994427E-2</v>
          </cell>
          <cell r="AO43" t="str">
            <v/>
          </cell>
          <cell r="AS43">
            <v>39</v>
          </cell>
          <cell r="AT43">
            <v>835.47519999999997</v>
          </cell>
          <cell r="AU43">
            <v>835.47519999999997</v>
          </cell>
          <cell r="AW43" t="str">
            <v/>
          </cell>
          <cell r="AX43" t="str">
            <v/>
          </cell>
        </row>
        <row r="44">
          <cell r="G44">
            <v>836.4</v>
          </cell>
          <cell r="H44">
            <v>835.56129999999996</v>
          </cell>
          <cell r="M44">
            <v>0.1169791718258152</v>
          </cell>
          <cell r="N44">
            <v>-1.2976125819938602</v>
          </cell>
          <cell r="O44">
            <v>836.4</v>
          </cell>
          <cell r="T44">
            <v>836.05315581535217</v>
          </cell>
          <cell r="U44">
            <v>836.74684418464778</v>
          </cell>
          <cell r="X44">
            <v>0.19646810513580507</v>
          </cell>
          <cell r="AH44">
            <v>1.4404868134810973E-2</v>
          </cell>
          <cell r="AK44" t="str">
            <v/>
          </cell>
          <cell r="AM44">
            <v>3.8734612829932798E-2</v>
          </cell>
          <cell r="AO44" t="str">
            <v/>
          </cell>
          <cell r="AS44">
            <v>40</v>
          </cell>
          <cell r="AT44">
            <v>835.56129999999996</v>
          </cell>
          <cell r="AU44">
            <v>835.56129999999996</v>
          </cell>
          <cell r="AW44" t="str">
            <v/>
          </cell>
          <cell r="AX44" t="str">
            <v/>
          </cell>
        </row>
        <row r="45">
          <cell r="G45">
            <v>836.6</v>
          </cell>
          <cell r="H45">
            <v>835.6259</v>
          </cell>
          <cell r="M45">
            <v>9.7943310551372675E-2</v>
          </cell>
          <cell r="N45">
            <v>-1.1816248651675705</v>
          </cell>
          <cell r="O45">
            <v>836.6</v>
          </cell>
          <cell r="T45">
            <v>836.25315581535222</v>
          </cell>
          <cell r="U45">
            <v>836.94684418464783</v>
          </cell>
          <cell r="X45">
            <v>0.17285046610471874</v>
          </cell>
          <cell r="AH45">
            <v>1.4625776472306694E-2</v>
          </cell>
          <cell r="AK45" t="str">
            <v/>
          </cell>
          <cell r="AM45">
            <v>3.7190364791865049E-2</v>
          </cell>
          <cell r="AO45" t="str">
            <v/>
          </cell>
          <cell r="AS45">
            <v>41</v>
          </cell>
          <cell r="AT45">
            <v>835.6259</v>
          </cell>
          <cell r="AU45">
            <v>835.6259</v>
          </cell>
          <cell r="AW45" t="str">
            <v/>
          </cell>
          <cell r="AX45" t="str">
            <v/>
          </cell>
        </row>
        <row r="46">
          <cell r="G46">
            <v>837.5</v>
          </cell>
          <cell r="H46">
            <v>836.32380000000001</v>
          </cell>
          <cell r="M46">
            <v>7.3906193271445181E-2</v>
          </cell>
          <cell r="N46">
            <v>-0.65968013944939885</v>
          </cell>
          <cell r="O46">
            <v>837.5</v>
          </cell>
          <cell r="T46">
            <v>837.15315581535219</v>
          </cell>
          <cell r="U46">
            <v>837.84684418464781</v>
          </cell>
          <cell r="X46">
            <v>0.13997661142181331</v>
          </cell>
          <cell r="AH46">
            <v>1.4472754510432242E-2</v>
          </cell>
          <cell r="AK46" t="str">
            <v/>
          </cell>
          <cell r="AM46">
            <v>2.7681042838920308E-2</v>
          </cell>
          <cell r="AO46" t="str">
            <v/>
          </cell>
          <cell r="AS46">
            <v>42</v>
          </cell>
          <cell r="AT46">
            <v>836.32380000000001</v>
          </cell>
          <cell r="AU46">
            <v>836.32380000000001</v>
          </cell>
          <cell r="AW46" t="str">
            <v/>
          </cell>
          <cell r="AX46" t="str">
            <v/>
          </cell>
        </row>
        <row r="47">
          <cell r="G47">
            <v>837.8</v>
          </cell>
          <cell r="H47">
            <v>836.721</v>
          </cell>
          <cell r="M47">
            <v>8.4835225670542816E-2</v>
          </cell>
          <cell r="N47">
            <v>-0.48569856421003027</v>
          </cell>
          <cell r="O47">
            <v>837.8</v>
          </cell>
          <cell r="T47">
            <v>837.45315581535215</v>
          </cell>
          <cell r="U47">
            <v>838.14684418464776</v>
          </cell>
          <cell r="X47">
            <v>0.15538259843024604</v>
          </cell>
          <cell r="AH47">
            <v>1.4611226009625763E-2</v>
          </cell>
          <cell r="AK47" t="str">
            <v/>
          </cell>
          <cell r="AM47">
            <v>2.4254361333040358E-2</v>
          </cell>
          <cell r="AO47" t="str">
            <v/>
          </cell>
          <cell r="AS47">
            <v>43</v>
          </cell>
          <cell r="AT47">
            <v>836.721</v>
          </cell>
          <cell r="AU47">
            <v>836.721</v>
          </cell>
          <cell r="AW47" t="str">
            <v/>
          </cell>
          <cell r="AX47" t="str">
            <v/>
          </cell>
        </row>
        <row r="48">
          <cell r="G48">
            <v>838.8</v>
          </cell>
          <cell r="H48">
            <v>838.12789999999995</v>
          </cell>
          <cell r="M48">
            <v>0.14381779397626188</v>
          </cell>
          <cell r="N48">
            <v>9.4240019921286181E-2</v>
          </cell>
          <cell r="O48">
            <v>838.8</v>
          </cell>
          <cell r="T48">
            <v>838.45315581535215</v>
          </cell>
          <cell r="U48">
            <v>839.14684418464776</v>
          </cell>
          <cell r="X48">
            <v>0.22666860362889638</v>
          </cell>
          <cell r="AH48">
            <v>1.3744039176580408E-2</v>
          </cell>
          <cell r="AK48" t="str">
            <v/>
          </cell>
          <cell r="AM48">
            <v>1.6872186105858659E-2</v>
          </cell>
          <cell r="AO48" t="str">
            <v/>
          </cell>
          <cell r="AS48">
            <v>44</v>
          </cell>
          <cell r="AT48">
            <v>838.12789999999995</v>
          </cell>
          <cell r="AU48">
            <v>838.12789999999995</v>
          </cell>
          <cell r="AW48" t="str">
            <v/>
          </cell>
          <cell r="AX48" t="str">
            <v/>
          </cell>
        </row>
        <row r="49">
          <cell r="G49">
            <v>839.3</v>
          </cell>
          <cell r="H49">
            <v>838.88670000000002</v>
          </cell>
          <cell r="M49">
            <v>0.19319252346881227</v>
          </cell>
          <cell r="N49">
            <v>0.38420931198694441</v>
          </cell>
          <cell r="O49">
            <v>839.3</v>
          </cell>
          <cell r="T49">
            <v>838.95315581535215</v>
          </cell>
          <cell r="U49">
            <v>839.64684418464776</v>
          </cell>
          <cell r="X49">
            <v>0.27414926462748873</v>
          </cell>
          <cell r="AH49">
            <v>1.205793210755653E-2</v>
          </cell>
          <cell r="AK49" t="str">
            <v/>
          </cell>
          <cell r="AM49">
            <v>1.2908024631101793E-2</v>
          </cell>
          <cell r="AO49" t="str">
            <v/>
          </cell>
          <cell r="AS49">
            <v>45</v>
          </cell>
          <cell r="AT49">
            <v>838.88670000000002</v>
          </cell>
          <cell r="AU49">
            <v>838.88670000000002</v>
          </cell>
          <cell r="AW49" t="str">
            <v/>
          </cell>
          <cell r="AX49" t="str">
            <v/>
          </cell>
        </row>
        <row r="50">
          <cell r="G50">
            <v>839.6</v>
          </cell>
          <cell r="H50">
            <v>839.28070000000002</v>
          </cell>
          <cell r="M50">
            <v>0.21342579982033538</v>
          </cell>
          <cell r="N50">
            <v>0.55819088722637888</v>
          </cell>
          <cell r="O50">
            <v>839.6</v>
          </cell>
          <cell r="T50">
            <v>839.25315581535222</v>
          </cell>
          <cell r="U50">
            <v>839.94684418464783</v>
          </cell>
          <cell r="X50">
            <v>0.2909436233531682</v>
          </cell>
          <cell r="AH50">
            <v>1.1380951491375038E-2</v>
          </cell>
          <cell r="AK50" t="str">
            <v/>
          </cell>
          <cell r="AM50">
            <v>1.0869382163131547E-2</v>
          </cell>
          <cell r="AO50" t="str">
            <v/>
          </cell>
          <cell r="AS50">
            <v>46</v>
          </cell>
          <cell r="AT50">
            <v>839.28070000000002</v>
          </cell>
          <cell r="AU50">
            <v>839.28070000000002</v>
          </cell>
          <cell r="AW50" t="str">
            <v/>
          </cell>
          <cell r="AX50" t="str">
            <v/>
          </cell>
        </row>
        <row r="51">
          <cell r="G51">
            <v>839.9</v>
          </cell>
          <cell r="H51">
            <v>839.5634</v>
          </cell>
          <cell r="M51">
            <v>0.20961196767824272</v>
          </cell>
          <cell r="N51">
            <v>0.73217246246574741</v>
          </cell>
          <cell r="O51">
            <v>839.9</v>
          </cell>
          <cell r="T51">
            <v>839.55315581535217</v>
          </cell>
          <cell r="U51">
            <v>840.24684418464778</v>
          </cell>
          <cell r="X51">
            <v>0.28788810320356684</v>
          </cell>
          <cell r="AH51">
            <v>1.1503041006552962E-2</v>
          </cell>
          <cell r="AK51" t="str">
            <v/>
          </cell>
          <cell r="AM51">
            <v>9.3082509496228844E-3</v>
          </cell>
          <cell r="AO51" t="str">
            <v/>
          </cell>
          <cell r="AS51">
            <v>47</v>
          </cell>
          <cell r="AT51">
            <v>839.5634</v>
          </cell>
          <cell r="AU51">
            <v>839.5634</v>
          </cell>
          <cell r="AW51" t="str">
            <v/>
          </cell>
          <cell r="AX51" t="str">
            <v/>
          </cell>
        </row>
        <row r="52">
          <cell r="G52">
            <v>840.1</v>
          </cell>
          <cell r="H52">
            <v>839.73940000000005</v>
          </cell>
          <cell r="M52">
            <v>0.20438801654380004</v>
          </cell>
          <cell r="N52">
            <v>0.84816017929203713</v>
          </cell>
          <cell r="O52">
            <v>840.1</v>
          </cell>
          <cell r="T52">
            <v>839.75315581535222</v>
          </cell>
          <cell r="U52">
            <v>840.44684418464783</v>
          </cell>
          <cell r="X52">
            <v>0.28362072978050357</v>
          </cell>
          <cell r="AH52">
            <v>1.1674989226507004E-2</v>
          </cell>
          <cell r="AK52" t="str">
            <v/>
          </cell>
          <cell r="AM52">
            <v>8.1803836942805699E-3</v>
          </cell>
          <cell r="AO52" t="str">
            <v/>
          </cell>
          <cell r="AS52">
            <v>48</v>
          </cell>
          <cell r="AT52">
            <v>839.73940000000005</v>
          </cell>
          <cell r="AU52">
            <v>839.73940000000005</v>
          </cell>
          <cell r="AW52" t="str">
            <v/>
          </cell>
          <cell r="AX52" t="str">
            <v/>
          </cell>
        </row>
        <row r="53">
          <cell r="G53">
            <v>840.3</v>
          </cell>
          <cell r="H53">
            <v>839.89279999999997</v>
          </cell>
          <cell r="M53">
            <v>0.19446890494636165</v>
          </cell>
          <cell r="N53">
            <v>0.96414789611826079</v>
          </cell>
          <cell r="O53">
            <v>840.3</v>
          </cell>
          <cell r="T53">
            <v>839.95315581535215</v>
          </cell>
          <cell r="U53">
            <v>840.64684418464776</v>
          </cell>
          <cell r="X53">
            <v>0.27525188836168457</v>
          </cell>
          <cell r="AH53">
            <v>1.2013489063818049E-2</v>
          </cell>
          <cell r="AK53" t="str">
            <v/>
          </cell>
          <cell r="AM53">
            <v>7.1987122894759713E-3</v>
          </cell>
          <cell r="AO53" t="str">
            <v/>
          </cell>
          <cell r="AS53">
            <v>49</v>
          </cell>
          <cell r="AT53">
            <v>839.89279999999997</v>
          </cell>
          <cell r="AU53">
            <v>839.89279999999997</v>
          </cell>
          <cell r="AW53" t="str">
            <v/>
          </cell>
          <cell r="AX53" t="str">
            <v/>
          </cell>
        </row>
        <row r="54">
          <cell r="G54">
            <v>840.4</v>
          </cell>
          <cell r="H54">
            <v>839.97789999999998</v>
          </cell>
          <cell r="M54">
            <v>0.19136022076869366</v>
          </cell>
          <cell r="N54">
            <v>1.0221417545314058</v>
          </cell>
          <cell r="O54">
            <v>840.4</v>
          </cell>
          <cell r="T54">
            <v>840.05315581535217</v>
          </cell>
          <cell r="U54">
            <v>840.74684418464778</v>
          </cell>
          <cell r="X54">
            <v>0.27255600418748765</v>
          </cell>
          <cell r="AH54">
            <v>1.2122000689625269E-2</v>
          </cell>
          <cell r="AK54" t="str">
            <v/>
          </cell>
          <cell r="AM54">
            <v>6.6487990043137407E-3</v>
          </cell>
          <cell r="AO54" t="str">
            <v/>
          </cell>
          <cell r="AS54">
            <v>50</v>
          </cell>
          <cell r="AT54">
            <v>839.97789999999998</v>
          </cell>
          <cell r="AU54">
            <v>839.97789999999998</v>
          </cell>
          <cell r="AW54" t="str">
            <v/>
          </cell>
          <cell r="AX54" t="str">
            <v/>
          </cell>
        </row>
        <row r="55">
          <cell r="G55">
            <v>840.6</v>
          </cell>
          <cell r="H55">
            <v>840.06309999999996</v>
          </cell>
          <cell r="M55">
            <v>0.1684422338877356</v>
          </cell>
          <cell r="N55">
            <v>1.1381294713576953</v>
          </cell>
          <cell r="O55">
            <v>840.6</v>
          </cell>
          <cell r="T55">
            <v>840.25315581535222</v>
          </cell>
          <cell r="U55">
            <v>840.94684418464783</v>
          </cell>
          <cell r="X55">
            <v>0.25156236797856402</v>
          </cell>
          <cell r="AH55">
            <v>1.2932175413763305E-2</v>
          </cell>
          <cell r="AK55" t="str">
            <v/>
          </cell>
          <cell r="AM55">
            <v>6.0991312152908501E-3</v>
          </cell>
          <cell r="AO55" t="str">
            <v/>
          </cell>
          <cell r="AS55">
            <v>51</v>
          </cell>
          <cell r="AT55">
            <v>840.06309999999996</v>
          </cell>
          <cell r="AU55">
            <v>840.06309999999996</v>
          </cell>
          <cell r="AW55" t="str">
            <v/>
          </cell>
          <cell r="AX55" t="str">
            <v/>
          </cell>
        </row>
        <row r="56">
          <cell r="G56">
            <v>840.8</v>
          </cell>
          <cell r="H56">
            <v>840.1481</v>
          </cell>
          <cell r="M56">
            <v>0.14733399739043057</v>
          </cell>
          <cell r="N56">
            <v>1.254117188183919</v>
          </cell>
          <cell r="O56">
            <v>840.8</v>
          </cell>
          <cell r="T56">
            <v>840.45315581535215</v>
          </cell>
          <cell r="U56">
            <v>841.14684418464776</v>
          </cell>
          <cell r="X56">
            <v>0.23038033848497708</v>
          </cell>
          <cell r="AH56">
            <v>1.3636519400720819E-2</v>
          </cell>
          <cell r="AK56" t="str">
            <v/>
          </cell>
          <cell r="AM56">
            <v>5.5518816598924825E-3</v>
          </cell>
          <cell r="AO56" t="str">
            <v/>
          </cell>
          <cell r="AS56">
            <v>52</v>
          </cell>
          <cell r="AT56">
            <v>840.1481</v>
          </cell>
          <cell r="AU56">
            <v>840.1481</v>
          </cell>
          <cell r="AW56" t="str">
            <v/>
          </cell>
          <cell r="AX56" t="str">
            <v/>
          </cell>
        </row>
        <row r="57">
          <cell r="G57">
            <v>840.7</v>
          </cell>
          <cell r="H57">
            <v>840.83040000000005</v>
          </cell>
          <cell r="M57">
            <v>0.32561691596694498</v>
          </cell>
          <cell r="N57">
            <v>1.1961233297708402</v>
          </cell>
          <cell r="O57">
            <v>840.7</v>
          </cell>
          <cell r="T57">
            <v>840.35315581535224</v>
          </cell>
          <cell r="U57">
            <v>841.04684418464785</v>
          </cell>
          <cell r="X57">
            <v>0.36019396931720854</v>
          </cell>
          <cell r="AH57">
            <v>1.0351068191019558E-2</v>
          </cell>
          <cell r="AK57" t="str">
            <v/>
          </cell>
          <cell r="AM57">
            <v>9.1868567814961054E-6</v>
          </cell>
          <cell r="AO57" t="str">
            <v/>
          </cell>
          <cell r="AS57">
            <v>53</v>
          </cell>
          <cell r="AT57">
            <v>840.83040000000005</v>
          </cell>
          <cell r="AU57">
            <v>840.83040000000005</v>
          </cell>
          <cell r="AW57" t="str">
            <v/>
          </cell>
          <cell r="AX57">
            <v>2</v>
          </cell>
        </row>
        <row r="58">
          <cell r="G58">
            <v>836</v>
          </cell>
          <cell r="H58">
            <v>834.69320000000005</v>
          </cell>
          <cell r="M58">
            <v>6.095797006024218E-2</v>
          </cell>
          <cell r="N58">
            <v>-1.5295880156463735</v>
          </cell>
          <cell r="O58">
            <v>836</v>
          </cell>
          <cell r="T58">
            <v>835.65315581535219</v>
          </cell>
          <cell r="U58">
            <v>836.34684418464781</v>
          </cell>
          <cell r="X58">
            <v>0.12060855575067091</v>
          </cell>
          <cell r="AH58">
            <v>1.4137740119198973E-2</v>
          </cell>
          <cell r="AK58" t="str">
            <v/>
          </cell>
          <cell r="AM58">
            <v>3.9808223505440492E-2</v>
          </cell>
          <cell r="AO58" t="str">
            <v/>
          </cell>
          <cell r="AS58">
            <v>54</v>
          </cell>
          <cell r="AT58">
            <v>834.69320000000005</v>
          </cell>
          <cell r="AU58">
            <v>834.69320000000005</v>
          </cell>
          <cell r="AW58" t="str">
            <v/>
          </cell>
          <cell r="AX58" t="str">
            <v/>
          </cell>
        </row>
        <row r="59">
          <cell r="G59">
            <v>840.7</v>
          </cell>
          <cell r="H59">
            <v>839.94619999999998</v>
          </cell>
          <cell r="M59">
            <v>0.13017702884302715</v>
          </cell>
          <cell r="N59">
            <v>1.1961233297708402</v>
          </cell>
          <cell r="O59">
            <v>840.7</v>
          </cell>
          <cell r="T59">
            <v>840.35315581535224</v>
          </cell>
          <cell r="U59">
            <v>841.04684418464785</v>
          </cell>
          <cell r="X59">
            <v>0.21174443886404223</v>
          </cell>
          <cell r="AH59">
            <v>1.4120485397597086E-2</v>
          </cell>
          <cell r="AK59" t="str">
            <v/>
          </cell>
          <cell r="AM59">
            <v>4.6293612933855704E-3</v>
          </cell>
          <cell r="AO59" t="str">
            <v/>
          </cell>
          <cell r="AS59">
            <v>55</v>
          </cell>
          <cell r="AT59">
            <v>839.94619999999998</v>
          </cell>
          <cell r="AU59">
            <v>839.94619999999998</v>
          </cell>
          <cell r="AW59" t="str">
            <v/>
          </cell>
          <cell r="AX59" t="str">
            <v/>
          </cell>
        </row>
        <row r="60">
          <cell r="G60">
            <v>840.8</v>
          </cell>
          <cell r="H60">
            <v>841.00440000000003</v>
          </cell>
          <cell r="M60">
            <v>0.34616978351999794</v>
          </cell>
          <cell r="N60">
            <v>1.254117188183919</v>
          </cell>
          <cell r="O60">
            <v>840.8</v>
          </cell>
          <cell r="T60">
            <v>840.45315581535215</v>
          </cell>
          <cell r="U60">
            <v>841.14684418464776</v>
          </cell>
          <cell r="X60">
            <v>0.36890331334328735</v>
          </cell>
          <cell r="AH60">
            <v>1.0904298806530384E-2</v>
          </cell>
          <cell r="AK60" t="str">
            <v/>
          </cell>
          <cell r="AM60">
            <v>2.5204760009165871E-6</v>
          </cell>
          <cell r="AO60" t="str">
            <v/>
          </cell>
          <cell r="AS60">
            <v>56</v>
          </cell>
          <cell r="AT60">
            <v>841.00440000000003</v>
          </cell>
          <cell r="AU60">
            <v>841.00440000000003</v>
          </cell>
          <cell r="AW60" t="str">
            <v/>
          </cell>
          <cell r="AX60">
            <v>3</v>
          </cell>
        </row>
        <row r="61">
          <cell r="G61">
            <v>837.7</v>
          </cell>
          <cell r="H61">
            <v>839.71500000000003</v>
          </cell>
          <cell r="M61">
            <v>0.83731288361920109</v>
          </cell>
          <cell r="N61">
            <v>-0.54369242262310913</v>
          </cell>
          <cell r="O61">
            <v>837.7</v>
          </cell>
          <cell r="T61">
            <v>837.35315581535224</v>
          </cell>
          <cell r="U61">
            <v>838.04684418464785</v>
          </cell>
          <cell r="X61">
            <v>0.24596918057496636</v>
          </cell>
          <cell r="AH61">
            <v>4.9513932895294425E-2</v>
          </cell>
          <cell r="AK61" t="str">
            <v/>
          </cell>
          <cell r="AM61">
            <v>3.7268015027434264E-3</v>
          </cell>
          <cell r="AO61" t="str">
            <v/>
          </cell>
          <cell r="AS61">
            <v>57</v>
          </cell>
          <cell r="AT61">
            <v>839.71500000000003</v>
          </cell>
          <cell r="AU61">
            <v>839.71500000000003</v>
          </cell>
          <cell r="AW61" t="str">
            <v/>
          </cell>
          <cell r="AX61" t="str">
            <v/>
          </cell>
        </row>
        <row r="62">
          <cell r="G62">
            <v>840.8</v>
          </cell>
          <cell r="H62">
            <v>840.36260000000004</v>
          </cell>
          <cell r="M62">
            <v>0.18819997305337799</v>
          </cell>
          <cell r="N62">
            <v>1.254117188183919</v>
          </cell>
          <cell r="O62">
            <v>840.8</v>
          </cell>
          <cell r="T62">
            <v>840.45315581535215</v>
          </cell>
          <cell r="U62">
            <v>841.14684418464776</v>
          </cell>
          <cell r="X62">
            <v>0.2697790568673093</v>
          </cell>
          <cell r="AH62">
            <v>1.2233130646518708E-2</v>
          </cell>
          <cell r="AK62" t="str">
            <v/>
          </cell>
          <cell r="AM62">
            <v>1.3936469236180173E-3</v>
          </cell>
          <cell r="AO62" t="str">
            <v/>
          </cell>
          <cell r="AS62">
            <v>58</v>
          </cell>
          <cell r="AT62">
            <v>840.36260000000004</v>
          </cell>
          <cell r="AU62">
            <v>840.36260000000004</v>
          </cell>
          <cell r="AW62" t="str">
            <v/>
          </cell>
          <cell r="AX62" t="str">
            <v/>
          </cell>
        </row>
        <row r="63">
          <cell r="G63">
            <v>840.8</v>
          </cell>
          <cell r="H63">
            <v>841.02359999999999</v>
          </cell>
          <cell r="M63">
            <v>0.35158039517422029</v>
          </cell>
          <cell r="N63">
            <v>1.254117188183919</v>
          </cell>
          <cell r="O63">
            <v>840.8</v>
          </cell>
          <cell r="T63">
            <v>840.45315581535215</v>
          </cell>
          <cell r="U63">
            <v>841.14684418464776</v>
          </cell>
          <cell r="X63">
            <v>0.37100459328050839</v>
          </cell>
          <cell r="AH63">
            <v>1.1094388175145457E-2</v>
          </cell>
          <cell r="AK63" t="str">
            <v/>
          </cell>
          <cell r="AM63">
            <v>8.382090474612103E-6</v>
          </cell>
          <cell r="AO63" t="str">
            <v/>
          </cell>
          <cell r="AS63">
            <v>59</v>
          </cell>
          <cell r="AT63">
            <v>841.02359999999999</v>
          </cell>
          <cell r="AU63">
            <v>841.02359999999999</v>
          </cell>
          <cell r="AW63" t="str">
            <v/>
          </cell>
          <cell r="AX63">
            <v>4</v>
          </cell>
        </row>
        <row r="64">
          <cell r="G64">
            <v>840.8</v>
          </cell>
          <cell r="H64">
            <v>840.46249999999998</v>
          </cell>
          <cell r="M64">
            <v>0.20941466324601657</v>
          </cell>
          <cell r="N64">
            <v>1.254117188183919</v>
          </cell>
          <cell r="O64">
            <v>840.8</v>
          </cell>
          <cell r="T64">
            <v>840.45315581535215</v>
          </cell>
          <cell r="U64">
            <v>841.14684418464776</v>
          </cell>
          <cell r="X64">
            <v>0.28772865929960167</v>
          </cell>
          <cell r="AH64">
            <v>1.1509440319971767E-2</v>
          </cell>
          <cell r="AK64" t="str">
            <v/>
          </cell>
          <cell r="AM64">
            <v>8.7746931198540087E-3</v>
          </cell>
          <cell r="AO64" t="str">
            <v/>
          </cell>
          <cell r="AS64">
            <v>60</v>
          </cell>
          <cell r="AT64">
            <v>840.46249999999998</v>
          </cell>
          <cell r="AU64">
            <v>840.46249999999998</v>
          </cell>
          <cell r="AW64" t="str">
            <v/>
          </cell>
          <cell r="AX64" t="str">
            <v/>
          </cell>
        </row>
        <row r="65">
          <cell r="G65">
            <v>840.8</v>
          </cell>
          <cell r="H65">
            <v>840.471</v>
          </cell>
          <cell r="M65">
            <v>0.21128244885638564</v>
          </cell>
          <cell r="N65">
            <v>1.254117188183919</v>
          </cell>
          <cell r="O65">
            <v>840.8</v>
          </cell>
          <cell r="T65">
            <v>840.45315581535215</v>
          </cell>
          <cell r="U65">
            <v>841.14684418464776</v>
          </cell>
          <cell r="X65">
            <v>0.28923262609284367</v>
          </cell>
          <cell r="AH65">
            <v>1.1449182171426023E-2</v>
          </cell>
          <cell r="AK65" t="str">
            <v/>
          </cell>
          <cell r="AM65">
            <v>4.6330707980422126E-3</v>
          </cell>
          <cell r="AO65" t="str">
            <v/>
          </cell>
          <cell r="AS65">
            <v>61</v>
          </cell>
          <cell r="AT65">
            <v>840.471</v>
          </cell>
          <cell r="AU65">
            <v>840.471</v>
          </cell>
          <cell r="AW65" t="str">
            <v/>
          </cell>
          <cell r="AX65" t="str">
            <v/>
          </cell>
        </row>
        <row r="66">
          <cell r="G66">
            <v>840.6</v>
          </cell>
          <cell r="H66">
            <v>840.68799999999999</v>
          </cell>
          <cell r="M66">
            <v>0.31407038433092133</v>
          </cell>
          <cell r="N66">
            <v>1.1381294713576953</v>
          </cell>
          <cell r="O66">
            <v>840.6</v>
          </cell>
          <cell r="T66">
            <v>840.25315581535222</v>
          </cell>
          <cell r="U66">
            <v>840.94684418464783</v>
          </cell>
          <cell r="X66">
            <v>0.35478838668214163</v>
          </cell>
          <cell r="AH66">
            <v>1.0155174856777699E-2</v>
          </cell>
          <cell r="AK66" t="str">
            <v/>
          </cell>
          <cell r="AM66">
            <v>3.9342909736327225E-6</v>
          </cell>
          <cell r="AO66" t="str">
            <v/>
          </cell>
          <cell r="AS66">
            <v>62</v>
          </cell>
          <cell r="AT66">
            <v>840.68799999999999</v>
          </cell>
          <cell r="AU66">
            <v>840.68799999999999</v>
          </cell>
          <cell r="AW66" t="str">
            <v/>
          </cell>
          <cell r="AX66">
            <v>5</v>
          </cell>
        </row>
        <row r="67">
          <cell r="G67">
            <v>837.5</v>
          </cell>
          <cell r="H67">
            <v>839.17819999999995</v>
          </cell>
          <cell r="M67">
            <v>0.7663653630515076</v>
          </cell>
          <cell r="N67">
            <v>-0.65968013944939885</v>
          </cell>
          <cell r="O67">
            <v>837.5</v>
          </cell>
          <cell r="T67">
            <v>837.15315581535219</v>
          </cell>
          <cell r="U67">
            <v>837.84684418464781</v>
          </cell>
          <cell r="X67">
            <v>0.30631183455008515</v>
          </cell>
          <cell r="AH67">
            <v>5.2223317974770214E-2</v>
          </cell>
          <cell r="AK67" t="str">
            <v/>
          </cell>
          <cell r="AM67">
            <v>5.205092267028321E-3</v>
          </cell>
          <cell r="AO67" t="str">
            <v/>
          </cell>
          <cell r="AS67">
            <v>63</v>
          </cell>
          <cell r="AT67">
            <v>839.17819999999995</v>
          </cell>
          <cell r="AU67">
            <v>839.17819999999995</v>
          </cell>
          <cell r="AW67" t="str">
            <v/>
          </cell>
          <cell r="AX67" t="str">
            <v/>
          </cell>
        </row>
        <row r="68">
          <cell r="G68">
            <v>840.6</v>
          </cell>
          <cell r="H68">
            <v>839.90030000000002</v>
          </cell>
          <cell r="M68">
            <v>0.13910569556722951</v>
          </cell>
          <cell r="N68">
            <v>1.1381294713576953</v>
          </cell>
          <cell r="O68">
            <v>840.6</v>
          </cell>
          <cell r="T68">
            <v>840.25315581535222</v>
          </cell>
          <cell r="U68">
            <v>840.94684418464783</v>
          </cell>
          <cell r="X68">
            <v>0.22160877648267641</v>
          </cell>
          <cell r="AH68">
            <v>1.3881961417780057E-2</v>
          </cell>
          <cell r="AK68" t="str">
            <v/>
          </cell>
          <cell r="AM68">
            <v>1.9792478665736865E-3</v>
          </cell>
          <cell r="AO68" t="str">
            <v/>
          </cell>
          <cell r="AS68">
            <v>64</v>
          </cell>
          <cell r="AT68">
            <v>839.90030000000002</v>
          </cell>
          <cell r="AU68">
            <v>839.90030000000002</v>
          </cell>
          <cell r="AW68" t="str">
            <v/>
          </cell>
          <cell r="AX68" t="str">
            <v/>
          </cell>
        </row>
        <row r="69">
          <cell r="G69" t="str">
            <v/>
          </cell>
          <cell r="H69" t="str">
            <v/>
          </cell>
          <cell r="M69" t="str">
            <v/>
          </cell>
          <cell r="N69" t="str">
            <v/>
          </cell>
          <cell r="O69" t="str">
            <v/>
          </cell>
          <cell r="T69" t="str">
            <v/>
          </cell>
          <cell r="U69" t="str">
            <v/>
          </cell>
          <cell r="X69" t="str">
            <v/>
          </cell>
          <cell r="AH69" t="str">
            <v/>
          </cell>
          <cell r="AK69" t="str">
            <v/>
          </cell>
          <cell r="AM69" t="str">
            <v/>
          </cell>
          <cell r="AO69" t="str">
            <v/>
          </cell>
          <cell r="AS69" t="str">
            <v/>
          </cell>
          <cell r="AT69" t="str">
            <v/>
          </cell>
          <cell r="AU69" t="str">
            <v/>
          </cell>
          <cell r="AW69" t="str">
            <v/>
          </cell>
          <cell r="AX69">
            <v>16</v>
          </cell>
        </row>
        <row r="70">
          <cell r="G70" t="str">
            <v/>
          </cell>
          <cell r="H70" t="str">
            <v/>
          </cell>
          <cell r="M70" t="str">
            <v/>
          </cell>
          <cell r="N70" t="str">
            <v/>
          </cell>
          <cell r="O70" t="str">
            <v/>
          </cell>
          <cell r="T70" t="str">
            <v/>
          </cell>
          <cell r="U70" t="str">
            <v/>
          </cell>
          <cell r="X70" t="str">
            <v/>
          </cell>
          <cell r="AH70" t="str">
            <v/>
          </cell>
          <cell r="AK70" t="str">
            <v/>
          </cell>
          <cell r="AM70" t="str">
            <v/>
          </cell>
          <cell r="AO70" t="str">
            <v/>
          </cell>
          <cell r="AS70" t="str">
            <v/>
          </cell>
          <cell r="AT70" t="str">
            <v/>
          </cell>
          <cell r="AU70" t="str">
            <v/>
          </cell>
          <cell r="AW70" t="str">
            <v/>
          </cell>
          <cell r="AX70" t="str">
            <v/>
          </cell>
        </row>
        <row r="71">
          <cell r="G71" t="str">
            <v/>
          </cell>
          <cell r="H71" t="str">
            <v/>
          </cell>
          <cell r="M71" t="str">
            <v/>
          </cell>
          <cell r="N71" t="str">
            <v/>
          </cell>
          <cell r="O71" t="str">
            <v/>
          </cell>
          <cell r="T71" t="str">
            <v/>
          </cell>
          <cell r="U71" t="str">
            <v/>
          </cell>
          <cell r="X71" t="str">
            <v/>
          </cell>
          <cell r="AH71" t="str">
            <v/>
          </cell>
          <cell r="AK71" t="str">
            <v/>
          </cell>
          <cell r="AM71" t="str">
            <v/>
          </cell>
          <cell r="AO71" t="str">
            <v/>
          </cell>
          <cell r="AS71" t="str">
            <v/>
          </cell>
          <cell r="AT71" t="str">
            <v/>
          </cell>
          <cell r="AU71" t="str">
            <v/>
          </cell>
          <cell r="AW71" t="str">
            <v/>
          </cell>
          <cell r="AX71" t="str">
            <v/>
          </cell>
        </row>
        <row r="72">
          <cell r="G72" t="str">
            <v/>
          </cell>
          <cell r="H72" t="str">
            <v/>
          </cell>
          <cell r="M72" t="str">
            <v/>
          </cell>
          <cell r="N72" t="str">
            <v/>
          </cell>
          <cell r="O72" t="str">
            <v/>
          </cell>
          <cell r="T72" t="str">
            <v/>
          </cell>
          <cell r="U72" t="str">
            <v/>
          </cell>
          <cell r="X72" t="str">
            <v/>
          </cell>
          <cell r="AH72" t="str">
            <v/>
          </cell>
          <cell r="AK72" t="str">
            <v/>
          </cell>
          <cell r="AM72" t="str">
            <v/>
          </cell>
          <cell r="AO72" t="str">
            <v/>
          </cell>
          <cell r="AS72" t="str">
            <v/>
          </cell>
          <cell r="AT72" t="str">
            <v/>
          </cell>
          <cell r="AU72" t="str">
            <v/>
          </cell>
          <cell r="AW72" t="str">
            <v/>
          </cell>
          <cell r="AX72">
            <v>17</v>
          </cell>
        </row>
        <row r="73">
          <cell r="G73" t="str">
            <v/>
          </cell>
          <cell r="H73" t="str">
            <v/>
          </cell>
          <cell r="M73" t="str">
            <v/>
          </cell>
          <cell r="N73" t="str">
            <v/>
          </cell>
          <cell r="O73" t="str">
            <v/>
          </cell>
          <cell r="T73" t="str">
            <v/>
          </cell>
          <cell r="U73" t="str">
            <v/>
          </cell>
          <cell r="X73" t="str">
            <v/>
          </cell>
          <cell r="AH73" t="str">
            <v/>
          </cell>
          <cell r="AK73" t="str">
            <v/>
          </cell>
          <cell r="AM73" t="str">
            <v/>
          </cell>
          <cell r="AO73" t="str">
            <v/>
          </cell>
          <cell r="AS73" t="str">
            <v/>
          </cell>
          <cell r="AT73" t="str">
            <v/>
          </cell>
          <cell r="AU73" t="str">
            <v/>
          </cell>
          <cell r="AW73" t="str">
            <v/>
          </cell>
          <cell r="AX73" t="str">
            <v/>
          </cell>
        </row>
        <row r="74">
          <cell r="G74" t="str">
            <v/>
          </cell>
          <cell r="H74" t="str">
            <v/>
          </cell>
          <cell r="M74" t="str">
            <v/>
          </cell>
          <cell r="N74" t="str">
            <v/>
          </cell>
          <cell r="O74" t="str">
            <v/>
          </cell>
          <cell r="T74" t="str">
            <v/>
          </cell>
          <cell r="U74" t="str">
            <v/>
          </cell>
          <cell r="X74" t="str">
            <v/>
          </cell>
          <cell r="AH74" t="str">
            <v/>
          </cell>
          <cell r="AK74" t="str">
            <v/>
          </cell>
          <cell r="AM74" t="str">
            <v/>
          </cell>
          <cell r="AO74" t="str">
            <v/>
          </cell>
          <cell r="AS74" t="str">
            <v/>
          </cell>
          <cell r="AT74" t="str">
            <v/>
          </cell>
          <cell r="AU74" t="str">
            <v/>
          </cell>
          <cell r="AW74" t="str">
            <v/>
          </cell>
          <cell r="AX74" t="str">
            <v/>
          </cell>
        </row>
        <row r="75">
          <cell r="G75" t="str">
            <v/>
          </cell>
          <cell r="H75" t="str">
            <v/>
          </cell>
          <cell r="M75" t="str">
            <v/>
          </cell>
          <cell r="N75" t="str">
            <v/>
          </cell>
          <cell r="O75" t="str">
            <v/>
          </cell>
          <cell r="T75" t="str">
            <v/>
          </cell>
          <cell r="U75" t="str">
            <v/>
          </cell>
          <cell r="X75" t="str">
            <v/>
          </cell>
          <cell r="AH75" t="str">
            <v/>
          </cell>
          <cell r="AK75" t="str">
            <v/>
          </cell>
          <cell r="AM75" t="str">
            <v/>
          </cell>
          <cell r="AO75" t="str">
            <v/>
          </cell>
          <cell r="AS75" t="str">
            <v/>
          </cell>
          <cell r="AT75" t="str">
            <v/>
          </cell>
          <cell r="AU75" t="str">
            <v/>
          </cell>
          <cell r="AW75" t="str">
            <v/>
          </cell>
          <cell r="AX75">
            <v>18</v>
          </cell>
        </row>
        <row r="76">
          <cell r="G76" t="str">
            <v/>
          </cell>
          <cell r="H76" t="str">
            <v/>
          </cell>
          <cell r="M76" t="str">
            <v/>
          </cell>
          <cell r="N76" t="str">
            <v/>
          </cell>
          <cell r="O76" t="str">
            <v/>
          </cell>
          <cell r="T76" t="str">
            <v/>
          </cell>
          <cell r="U76" t="str">
            <v/>
          </cell>
          <cell r="X76" t="str">
            <v/>
          </cell>
          <cell r="AH76" t="str">
            <v/>
          </cell>
          <cell r="AK76" t="str">
            <v/>
          </cell>
          <cell r="AM76" t="str">
            <v/>
          </cell>
          <cell r="AO76" t="str">
            <v/>
          </cell>
          <cell r="AS76" t="str">
            <v/>
          </cell>
          <cell r="AT76" t="str">
            <v/>
          </cell>
          <cell r="AU76" t="str">
            <v/>
          </cell>
          <cell r="AW76" t="str">
            <v/>
          </cell>
          <cell r="AX76" t="str">
            <v/>
          </cell>
        </row>
        <row r="77">
          <cell r="G77" t="str">
            <v/>
          </cell>
          <cell r="H77" t="str">
            <v/>
          </cell>
          <cell r="M77" t="str">
            <v/>
          </cell>
          <cell r="N77" t="str">
            <v/>
          </cell>
          <cell r="O77" t="str">
            <v/>
          </cell>
          <cell r="T77" t="str">
            <v/>
          </cell>
          <cell r="U77" t="str">
            <v/>
          </cell>
          <cell r="X77" t="str">
            <v/>
          </cell>
          <cell r="AH77" t="str">
            <v/>
          </cell>
          <cell r="AK77" t="str">
            <v/>
          </cell>
          <cell r="AM77" t="str">
            <v/>
          </cell>
          <cell r="AO77" t="str">
            <v/>
          </cell>
          <cell r="AS77" t="str">
            <v/>
          </cell>
          <cell r="AT77" t="str">
            <v/>
          </cell>
          <cell r="AU77" t="str">
            <v/>
          </cell>
          <cell r="AW77" t="str">
            <v/>
          </cell>
          <cell r="AX77" t="str">
            <v/>
          </cell>
        </row>
        <row r="78">
          <cell r="G78" t="str">
            <v/>
          </cell>
          <cell r="H78" t="str">
            <v/>
          </cell>
          <cell r="M78" t="str">
            <v/>
          </cell>
          <cell r="N78" t="str">
            <v/>
          </cell>
          <cell r="O78" t="str">
            <v/>
          </cell>
          <cell r="T78" t="str">
            <v/>
          </cell>
          <cell r="U78" t="str">
            <v/>
          </cell>
          <cell r="X78" t="str">
            <v/>
          </cell>
          <cell r="AH78" t="str">
            <v/>
          </cell>
          <cell r="AK78" t="str">
            <v/>
          </cell>
          <cell r="AM78" t="str">
            <v/>
          </cell>
          <cell r="AO78" t="str">
            <v/>
          </cell>
          <cell r="AS78" t="str">
            <v/>
          </cell>
          <cell r="AT78" t="str">
            <v/>
          </cell>
          <cell r="AU78" t="str">
            <v/>
          </cell>
          <cell r="AW78" t="str">
            <v/>
          </cell>
          <cell r="AX78">
            <v>19</v>
          </cell>
        </row>
        <row r="79">
          <cell r="G79" t="str">
            <v/>
          </cell>
          <cell r="H79" t="str">
            <v/>
          </cell>
          <cell r="M79" t="str">
            <v/>
          </cell>
          <cell r="N79" t="str">
            <v/>
          </cell>
          <cell r="O79" t="str">
            <v/>
          </cell>
          <cell r="T79" t="str">
            <v/>
          </cell>
          <cell r="U79" t="str">
            <v/>
          </cell>
          <cell r="X79" t="str">
            <v/>
          </cell>
          <cell r="AH79" t="str">
            <v/>
          </cell>
          <cell r="AK79" t="str">
            <v/>
          </cell>
          <cell r="AM79" t="str">
            <v/>
          </cell>
          <cell r="AO79" t="str">
            <v/>
          </cell>
          <cell r="AS79" t="str">
            <v/>
          </cell>
          <cell r="AT79" t="str">
            <v/>
          </cell>
          <cell r="AU79" t="str">
            <v/>
          </cell>
          <cell r="AW79" t="str">
            <v/>
          </cell>
          <cell r="AX79" t="str">
            <v/>
          </cell>
        </row>
        <row r="80">
          <cell r="G80" t="str">
            <v/>
          </cell>
          <cell r="H80" t="str">
            <v/>
          </cell>
          <cell r="M80" t="str">
            <v/>
          </cell>
          <cell r="N80" t="str">
            <v/>
          </cell>
          <cell r="O80" t="str">
            <v/>
          </cell>
          <cell r="T80" t="str">
            <v/>
          </cell>
          <cell r="U80" t="str">
            <v/>
          </cell>
          <cell r="X80" t="str">
            <v/>
          </cell>
          <cell r="AH80" t="str">
            <v/>
          </cell>
          <cell r="AK80" t="str">
            <v/>
          </cell>
          <cell r="AM80" t="str">
            <v/>
          </cell>
          <cell r="AO80" t="str">
            <v/>
          </cell>
          <cell r="AS80" t="str">
            <v/>
          </cell>
          <cell r="AT80" t="str">
            <v/>
          </cell>
          <cell r="AU80" t="str">
            <v/>
          </cell>
          <cell r="AW80" t="str">
            <v/>
          </cell>
          <cell r="AX80" t="str">
            <v/>
          </cell>
        </row>
        <row r="81">
          <cell r="G81" t="str">
            <v/>
          </cell>
          <cell r="H81" t="str">
            <v/>
          </cell>
          <cell r="M81" t="str">
            <v/>
          </cell>
          <cell r="N81" t="str">
            <v/>
          </cell>
          <cell r="O81" t="str">
            <v/>
          </cell>
          <cell r="T81" t="str">
            <v/>
          </cell>
          <cell r="U81" t="str">
            <v/>
          </cell>
          <cell r="X81" t="str">
            <v/>
          </cell>
          <cell r="AH81" t="str">
            <v/>
          </cell>
          <cell r="AK81" t="str">
            <v/>
          </cell>
          <cell r="AM81" t="str">
            <v/>
          </cell>
          <cell r="AO81" t="str">
            <v/>
          </cell>
          <cell r="AS81" t="str">
            <v/>
          </cell>
          <cell r="AT81" t="str">
            <v/>
          </cell>
          <cell r="AU81" t="str">
            <v/>
          </cell>
          <cell r="AW81" t="str">
            <v/>
          </cell>
          <cell r="AX81">
            <v>20</v>
          </cell>
        </row>
        <row r="82">
          <cell r="G82" t="str">
            <v/>
          </cell>
          <cell r="H82" t="str">
            <v/>
          </cell>
          <cell r="M82" t="str">
            <v/>
          </cell>
          <cell r="N82" t="str">
            <v/>
          </cell>
          <cell r="O82" t="str">
            <v/>
          </cell>
          <cell r="T82" t="str">
            <v/>
          </cell>
          <cell r="U82" t="str">
            <v/>
          </cell>
          <cell r="X82" t="str">
            <v/>
          </cell>
          <cell r="AH82" t="str">
            <v/>
          </cell>
          <cell r="AK82" t="str">
            <v/>
          </cell>
          <cell r="AM82" t="str">
            <v/>
          </cell>
          <cell r="AO82" t="str">
            <v/>
          </cell>
          <cell r="AS82" t="str">
            <v/>
          </cell>
          <cell r="AT82" t="str">
            <v/>
          </cell>
          <cell r="AU82" t="str">
            <v/>
          </cell>
          <cell r="AW82" t="str">
            <v/>
          </cell>
          <cell r="AX82" t="str">
            <v/>
          </cell>
        </row>
        <row r="83">
          <cell r="G83" t="str">
            <v/>
          </cell>
          <cell r="H83" t="str">
            <v/>
          </cell>
          <cell r="M83" t="str">
            <v/>
          </cell>
          <cell r="N83" t="str">
            <v/>
          </cell>
          <cell r="O83" t="str">
            <v/>
          </cell>
          <cell r="T83" t="str">
            <v/>
          </cell>
          <cell r="U83" t="str">
            <v/>
          </cell>
          <cell r="X83" t="str">
            <v/>
          </cell>
          <cell r="AH83" t="str">
            <v/>
          </cell>
          <cell r="AK83" t="str">
            <v/>
          </cell>
          <cell r="AM83" t="str">
            <v/>
          </cell>
          <cell r="AO83" t="str">
            <v/>
          </cell>
          <cell r="AS83" t="str">
            <v/>
          </cell>
          <cell r="AT83" t="str">
            <v/>
          </cell>
          <cell r="AU83" t="str">
            <v/>
          </cell>
          <cell r="AW83" t="str">
            <v/>
          </cell>
          <cell r="AX83" t="str">
            <v/>
          </cell>
        </row>
        <row r="84">
          <cell r="G84" t="str">
            <v/>
          </cell>
          <cell r="H84" t="str">
            <v/>
          </cell>
          <cell r="M84" t="str">
            <v/>
          </cell>
          <cell r="N84" t="str">
            <v/>
          </cell>
          <cell r="O84" t="str">
            <v/>
          </cell>
          <cell r="T84" t="str">
            <v/>
          </cell>
          <cell r="U84" t="str">
            <v/>
          </cell>
          <cell r="X84" t="str">
            <v/>
          </cell>
          <cell r="AH84" t="str">
            <v/>
          </cell>
          <cell r="AK84" t="str">
            <v/>
          </cell>
          <cell r="AM84" t="str">
            <v/>
          </cell>
          <cell r="AO84" t="str">
            <v/>
          </cell>
          <cell r="AS84" t="str">
            <v/>
          </cell>
          <cell r="AT84" t="str">
            <v/>
          </cell>
          <cell r="AU84" t="str">
            <v/>
          </cell>
          <cell r="AW84" t="str">
            <v/>
          </cell>
          <cell r="AX84" t="str">
            <v/>
          </cell>
        </row>
        <row r="85">
          <cell r="G85" t="str">
            <v/>
          </cell>
          <cell r="H85" t="str">
            <v/>
          </cell>
          <cell r="M85" t="str">
            <v/>
          </cell>
          <cell r="N85" t="str">
            <v/>
          </cell>
          <cell r="O85" t="str">
            <v/>
          </cell>
          <cell r="T85" t="str">
            <v/>
          </cell>
          <cell r="U85" t="str">
            <v/>
          </cell>
          <cell r="X85" t="str">
            <v/>
          </cell>
          <cell r="AH85" t="str">
            <v/>
          </cell>
          <cell r="AK85" t="str">
            <v/>
          </cell>
          <cell r="AM85" t="str">
            <v/>
          </cell>
          <cell r="AO85" t="str">
            <v/>
          </cell>
          <cell r="AS85" t="str">
            <v/>
          </cell>
          <cell r="AT85" t="str">
            <v/>
          </cell>
          <cell r="AU85" t="str">
            <v/>
          </cell>
          <cell r="AW85" t="str">
            <v/>
          </cell>
          <cell r="AX85" t="str">
            <v/>
          </cell>
        </row>
        <row r="86">
          <cell r="G86" t="str">
            <v/>
          </cell>
          <cell r="H86" t="str">
            <v/>
          </cell>
          <cell r="M86" t="str">
            <v/>
          </cell>
          <cell r="N86" t="str">
            <v/>
          </cell>
          <cell r="O86" t="str">
            <v/>
          </cell>
          <cell r="T86" t="str">
            <v/>
          </cell>
          <cell r="U86" t="str">
            <v/>
          </cell>
          <cell r="X86" t="str">
            <v/>
          </cell>
          <cell r="AH86" t="str">
            <v/>
          </cell>
          <cell r="AK86" t="str">
            <v/>
          </cell>
          <cell r="AM86" t="str">
            <v/>
          </cell>
          <cell r="AO86" t="str">
            <v/>
          </cell>
          <cell r="AS86" t="str">
            <v/>
          </cell>
          <cell r="AT86" t="str">
            <v/>
          </cell>
          <cell r="AU86" t="str">
            <v/>
          </cell>
          <cell r="AW86" t="str">
            <v/>
          </cell>
          <cell r="AX86" t="str">
            <v/>
          </cell>
        </row>
        <row r="87">
          <cell r="G87" t="str">
            <v/>
          </cell>
          <cell r="H87" t="str">
            <v/>
          </cell>
          <cell r="M87" t="str">
            <v/>
          </cell>
          <cell r="N87" t="str">
            <v/>
          </cell>
          <cell r="O87" t="str">
            <v/>
          </cell>
          <cell r="T87" t="str">
            <v/>
          </cell>
          <cell r="U87" t="str">
            <v/>
          </cell>
          <cell r="X87" t="str">
            <v/>
          </cell>
          <cell r="AH87" t="str">
            <v/>
          </cell>
          <cell r="AK87" t="str">
            <v/>
          </cell>
          <cell r="AM87" t="str">
            <v/>
          </cell>
          <cell r="AO87" t="str">
            <v/>
          </cell>
          <cell r="AS87" t="str">
            <v/>
          </cell>
          <cell r="AT87" t="str">
            <v/>
          </cell>
          <cell r="AU87" t="str">
            <v/>
          </cell>
          <cell r="AW87" t="str">
            <v/>
          </cell>
          <cell r="AX87" t="str">
            <v/>
          </cell>
        </row>
        <row r="88">
          <cell r="G88" t="str">
            <v/>
          </cell>
          <cell r="H88" t="str">
            <v/>
          </cell>
          <cell r="M88" t="str">
            <v/>
          </cell>
          <cell r="N88" t="str">
            <v/>
          </cell>
          <cell r="O88" t="str">
            <v/>
          </cell>
          <cell r="T88" t="str">
            <v/>
          </cell>
          <cell r="U88" t="str">
            <v/>
          </cell>
          <cell r="X88" t="str">
            <v/>
          </cell>
          <cell r="AH88" t="str">
            <v/>
          </cell>
          <cell r="AK88" t="str">
            <v/>
          </cell>
          <cell r="AM88" t="str">
            <v/>
          </cell>
          <cell r="AO88" t="str">
            <v/>
          </cell>
          <cell r="AS88" t="str">
            <v/>
          </cell>
          <cell r="AT88" t="str">
            <v/>
          </cell>
          <cell r="AU88" t="str">
            <v/>
          </cell>
          <cell r="AW88" t="str">
            <v/>
          </cell>
          <cell r="AX88" t="str">
            <v/>
          </cell>
        </row>
        <row r="89">
          <cell r="G89" t="str">
            <v/>
          </cell>
          <cell r="H89" t="str">
            <v/>
          </cell>
          <cell r="M89" t="str">
            <v/>
          </cell>
          <cell r="N89" t="str">
            <v/>
          </cell>
          <cell r="O89" t="str">
            <v/>
          </cell>
          <cell r="T89" t="str">
            <v/>
          </cell>
          <cell r="U89" t="str">
            <v/>
          </cell>
          <cell r="X89" t="str">
            <v/>
          </cell>
          <cell r="AH89" t="str">
            <v/>
          </cell>
          <cell r="AK89" t="str">
            <v/>
          </cell>
          <cell r="AM89" t="str">
            <v/>
          </cell>
          <cell r="AO89" t="str">
            <v/>
          </cell>
          <cell r="AS89" t="str">
            <v/>
          </cell>
          <cell r="AT89" t="str">
            <v/>
          </cell>
          <cell r="AU89" t="str">
            <v/>
          </cell>
          <cell r="AW89" t="str">
            <v/>
          </cell>
          <cell r="AX89" t="str">
            <v/>
          </cell>
        </row>
        <row r="90">
          <cell r="G90" t="str">
            <v/>
          </cell>
          <cell r="H90" t="str">
            <v/>
          </cell>
          <cell r="M90" t="str">
            <v/>
          </cell>
          <cell r="N90" t="str">
            <v/>
          </cell>
          <cell r="O90" t="str">
            <v/>
          </cell>
          <cell r="T90" t="str">
            <v/>
          </cell>
          <cell r="U90" t="str">
            <v/>
          </cell>
          <cell r="X90" t="str">
            <v/>
          </cell>
          <cell r="AH90" t="str">
            <v/>
          </cell>
          <cell r="AK90" t="str">
            <v/>
          </cell>
          <cell r="AM90" t="str">
            <v/>
          </cell>
          <cell r="AO90" t="str">
            <v/>
          </cell>
          <cell r="AS90" t="str">
            <v/>
          </cell>
          <cell r="AT90" t="str">
            <v/>
          </cell>
          <cell r="AU90" t="str">
            <v/>
          </cell>
          <cell r="AW90" t="str">
            <v/>
          </cell>
          <cell r="AX90" t="str">
            <v/>
          </cell>
        </row>
        <row r="91">
          <cell r="G91" t="str">
            <v/>
          </cell>
          <cell r="H91" t="str">
            <v/>
          </cell>
          <cell r="M91" t="str">
            <v/>
          </cell>
          <cell r="N91" t="str">
            <v/>
          </cell>
          <cell r="O91" t="str">
            <v/>
          </cell>
          <cell r="T91" t="str">
            <v/>
          </cell>
          <cell r="U91" t="str">
            <v/>
          </cell>
          <cell r="X91" t="str">
            <v/>
          </cell>
          <cell r="AH91" t="str">
            <v/>
          </cell>
          <cell r="AK91" t="str">
            <v/>
          </cell>
          <cell r="AM91" t="str">
            <v/>
          </cell>
          <cell r="AO91" t="str">
            <v/>
          </cell>
          <cell r="AS91" t="str">
            <v/>
          </cell>
          <cell r="AT91" t="str">
            <v/>
          </cell>
          <cell r="AU91" t="str">
            <v/>
          </cell>
          <cell r="AW91" t="str">
            <v/>
          </cell>
          <cell r="AX91" t="str">
            <v/>
          </cell>
        </row>
        <row r="92">
          <cell r="G92" t="str">
            <v/>
          </cell>
          <cell r="H92" t="str">
            <v/>
          </cell>
          <cell r="M92" t="str">
            <v/>
          </cell>
          <cell r="N92" t="str">
            <v/>
          </cell>
          <cell r="O92" t="str">
            <v/>
          </cell>
          <cell r="T92" t="str">
            <v/>
          </cell>
          <cell r="U92" t="str">
            <v/>
          </cell>
          <cell r="X92" t="str">
            <v/>
          </cell>
          <cell r="AH92" t="str">
            <v/>
          </cell>
          <cell r="AK92" t="str">
            <v/>
          </cell>
          <cell r="AM92" t="str">
            <v/>
          </cell>
          <cell r="AO92" t="str">
            <v/>
          </cell>
          <cell r="AS92" t="str">
            <v/>
          </cell>
          <cell r="AT92" t="str">
            <v/>
          </cell>
          <cell r="AU92" t="str">
            <v/>
          </cell>
          <cell r="AW92" t="str">
            <v/>
          </cell>
          <cell r="AX92" t="str">
            <v/>
          </cell>
        </row>
        <row r="93">
          <cell r="G93" t="str">
            <v/>
          </cell>
          <cell r="H93" t="str">
            <v/>
          </cell>
          <cell r="M93" t="str">
            <v/>
          </cell>
          <cell r="N93" t="str">
            <v/>
          </cell>
          <cell r="O93" t="str">
            <v/>
          </cell>
          <cell r="T93" t="str">
            <v/>
          </cell>
          <cell r="U93" t="str">
            <v/>
          </cell>
          <cell r="X93" t="str">
            <v/>
          </cell>
          <cell r="AH93" t="str">
            <v/>
          </cell>
          <cell r="AK93" t="str">
            <v/>
          </cell>
          <cell r="AM93" t="str">
            <v/>
          </cell>
          <cell r="AO93" t="str">
            <v/>
          </cell>
          <cell r="AS93" t="str">
            <v/>
          </cell>
          <cell r="AT93" t="str">
            <v/>
          </cell>
          <cell r="AU93" t="str">
            <v/>
          </cell>
          <cell r="AW93" t="str">
            <v/>
          </cell>
          <cell r="AX93" t="str">
            <v/>
          </cell>
        </row>
        <row r="94">
          <cell r="G94" t="str">
            <v/>
          </cell>
          <cell r="H94" t="str">
            <v/>
          </cell>
          <cell r="M94" t="str">
            <v/>
          </cell>
          <cell r="N94" t="str">
            <v/>
          </cell>
          <cell r="O94" t="str">
            <v/>
          </cell>
          <cell r="T94" t="str">
            <v/>
          </cell>
          <cell r="U94" t="str">
            <v/>
          </cell>
          <cell r="X94" t="str">
            <v/>
          </cell>
          <cell r="AH94" t="str">
            <v/>
          </cell>
          <cell r="AK94" t="str">
            <v/>
          </cell>
          <cell r="AM94" t="str">
            <v/>
          </cell>
          <cell r="AO94" t="str">
            <v/>
          </cell>
          <cell r="AS94" t="str">
            <v/>
          </cell>
          <cell r="AT94" t="str">
            <v/>
          </cell>
          <cell r="AU94" t="str">
            <v/>
          </cell>
          <cell r="AW94" t="str">
            <v/>
          </cell>
          <cell r="AX94" t="str">
            <v/>
          </cell>
        </row>
        <row r="95">
          <cell r="G95" t="str">
            <v/>
          </cell>
          <cell r="H95" t="str">
            <v/>
          </cell>
          <cell r="M95" t="str">
            <v/>
          </cell>
          <cell r="N95" t="str">
            <v/>
          </cell>
          <cell r="O95" t="str">
            <v/>
          </cell>
          <cell r="T95" t="str">
            <v/>
          </cell>
          <cell r="U95" t="str">
            <v/>
          </cell>
          <cell r="X95" t="str">
            <v/>
          </cell>
          <cell r="AH95" t="str">
            <v/>
          </cell>
          <cell r="AK95" t="str">
            <v/>
          </cell>
          <cell r="AM95" t="str">
            <v/>
          </cell>
          <cell r="AO95" t="str">
            <v/>
          </cell>
          <cell r="AS95" t="str">
            <v/>
          </cell>
          <cell r="AT95" t="str">
            <v/>
          </cell>
          <cell r="AU95" t="str">
            <v/>
          </cell>
          <cell r="AW95" t="str">
            <v/>
          </cell>
          <cell r="AX95" t="str">
            <v/>
          </cell>
        </row>
        <row r="96">
          <cell r="G96" t="str">
            <v/>
          </cell>
          <cell r="H96" t="str">
            <v/>
          </cell>
          <cell r="M96" t="str">
            <v/>
          </cell>
          <cell r="N96" t="str">
            <v/>
          </cell>
          <cell r="O96" t="str">
            <v/>
          </cell>
          <cell r="T96" t="str">
            <v/>
          </cell>
          <cell r="U96" t="str">
            <v/>
          </cell>
          <cell r="X96" t="str">
            <v/>
          </cell>
          <cell r="AH96" t="str">
            <v/>
          </cell>
          <cell r="AK96" t="str">
            <v/>
          </cell>
          <cell r="AM96" t="str">
            <v/>
          </cell>
          <cell r="AO96" t="str">
            <v/>
          </cell>
          <cell r="AS96" t="str">
            <v/>
          </cell>
          <cell r="AT96" t="str">
            <v/>
          </cell>
          <cell r="AU96" t="str">
            <v/>
          </cell>
          <cell r="AW96" t="str">
            <v/>
          </cell>
          <cell r="AX96" t="str">
            <v/>
          </cell>
        </row>
        <row r="97">
          <cell r="G97" t="str">
            <v/>
          </cell>
          <cell r="H97" t="str">
            <v/>
          </cell>
          <cell r="M97" t="str">
            <v/>
          </cell>
          <cell r="N97" t="str">
            <v/>
          </cell>
          <cell r="O97" t="str">
            <v/>
          </cell>
          <cell r="T97" t="str">
            <v/>
          </cell>
          <cell r="U97" t="str">
            <v/>
          </cell>
          <cell r="X97" t="str">
            <v/>
          </cell>
          <cell r="AH97" t="str">
            <v/>
          </cell>
          <cell r="AK97" t="str">
            <v/>
          </cell>
          <cell r="AM97" t="str">
            <v/>
          </cell>
          <cell r="AO97" t="str">
            <v/>
          </cell>
          <cell r="AS97" t="str">
            <v/>
          </cell>
          <cell r="AT97" t="str">
            <v/>
          </cell>
          <cell r="AU97" t="str">
            <v/>
          </cell>
          <cell r="AW97" t="str">
            <v/>
          </cell>
          <cell r="AX97" t="str">
            <v/>
          </cell>
        </row>
        <row r="98">
          <cell r="G98" t="str">
            <v/>
          </cell>
          <cell r="H98" t="str">
            <v/>
          </cell>
          <cell r="M98" t="str">
            <v/>
          </cell>
          <cell r="N98" t="str">
            <v/>
          </cell>
          <cell r="O98" t="str">
            <v/>
          </cell>
          <cell r="T98" t="str">
            <v/>
          </cell>
          <cell r="U98" t="str">
            <v/>
          </cell>
          <cell r="X98" t="str">
            <v/>
          </cell>
          <cell r="AH98" t="str">
            <v/>
          </cell>
          <cell r="AK98" t="str">
            <v/>
          </cell>
          <cell r="AM98" t="str">
            <v/>
          </cell>
          <cell r="AO98" t="str">
            <v/>
          </cell>
          <cell r="AS98" t="str">
            <v/>
          </cell>
          <cell r="AT98" t="str">
            <v/>
          </cell>
          <cell r="AU98" t="str">
            <v/>
          </cell>
          <cell r="AW98" t="str">
            <v/>
          </cell>
          <cell r="AX98" t="str">
            <v/>
          </cell>
        </row>
        <row r="99">
          <cell r="G99" t="str">
            <v/>
          </cell>
          <cell r="H99" t="str">
            <v/>
          </cell>
          <cell r="M99" t="str">
            <v/>
          </cell>
          <cell r="N99" t="str">
            <v/>
          </cell>
          <cell r="O99" t="str">
            <v/>
          </cell>
          <cell r="T99" t="str">
            <v/>
          </cell>
          <cell r="U99" t="str">
            <v/>
          </cell>
          <cell r="X99" t="str">
            <v/>
          </cell>
          <cell r="AH99" t="str">
            <v/>
          </cell>
          <cell r="AK99" t="str">
            <v/>
          </cell>
          <cell r="AM99" t="str">
            <v/>
          </cell>
          <cell r="AO99" t="str">
            <v/>
          </cell>
          <cell r="AS99" t="str">
            <v/>
          </cell>
          <cell r="AT99" t="str">
            <v/>
          </cell>
          <cell r="AU99" t="str">
            <v/>
          </cell>
          <cell r="AW99" t="str">
            <v/>
          </cell>
          <cell r="AX99" t="str">
            <v/>
          </cell>
        </row>
        <row r="100">
          <cell r="G100" t="str">
            <v/>
          </cell>
          <cell r="H100" t="str">
            <v/>
          </cell>
          <cell r="M100" t="str">
            <v/>
          </cell>
          <cell r="N100" t="str">
            <v/>
          </cell>
          <cell r="O100" t="str">
            <v/>
          </cell>
          <cell r="T100" t="str">
            <v/>
          </cell>
          <cell r="U100" t="str">
            <v/>
          </cell>
          <cell r="X100" t="str">
            <v/>
          </cell>
          <cell r="AH100" t="str">
            <v/>
          </cell>
          <cell r="AK100" t="str">
            <v/>
          </cell>
          <cell r="AM100" t="str">
            <v/>
          </cell>
          <cell r="AO100" t="str">
            <v/>
          </cell>
          <cell r="AS100" t="str">
            <v/>
          </cell>
          <cell r="AT100" t="str">
            <v/>
          </cell>
          <cell r="AU100" t="str">
            <v/>
          </cell>
          <cell r="AW100" t="str">
            <v/>
          </cell>
          <cell r="AX100" t="str">
            <v/>
          </cell>
        </row>
        <row r="101">
          <cell r="G101" t="str">
            <v/>
          </cell>
          <cell r="H101" t="str">
            <v/>
          </cell>
          <cell r="M101" t="str">
            <v/>
          </cell>
          <cell r="N101" t="str">
            <v/>
          </cell>
          <cell r="O101" t="str">
            <v/>
          </cell>
          <cell r="T101" t="str">
            <v/>
          </cell>
          <cell r="U101" t="str">
            <v/>
          </cell>
          <cell r="X101" t="str">
            <v/>
          </cell>
          <cell r="AH101" t="str">
            <v/>
          </cell>
          <cell r="AK101" t="str">
            <v/>
          </cell>
          <cell r="AM101" t="str">
            <v/>
          </cell>
          <cell r="AO101" t="str">
            <v/>
          </cell>
          <cell r="AS101" t="str">
            <v/>
          </cell>
          <cell r="AT101" t="str">
            <v/>
          </cell>
          <cell r="AU101" t="str">
            <v/>
          </cell>
          <cell r="AW101" t="str">
            <v/>
          </cell>
          <cell r="AX101" t="str">
            <v/>
          </cell>
        </row>
        <row r="102">
          <cell r="G102" t="str">
            <v/>
          </cell>
          <cell r="H102" t="str">
            <v/>
          </cell>
          <cell r="M102" t="str">
            <v/>
          </cell>
          <cell r="N102" t="str">
            <v/>
          </cell>
          <cell r="O102" t="str">
            <v/>
          </cell>
          <cell r="T102" t="str">
            <v/>
          </cell>
          <cell r="U102" t="str">
            <v/>
          </cell>
          <cell r="X102" t="str">
            <v/>
          </cell>
          <cell r="AH102" t="str">
            <v/>
          </cell>
          <cell r="AK102" t="str">
            <v/>
          </cell>
          <cell r="AM102" t="str">
            <v/>
          </cell>
          <cell r="AO102" t="str">
            <v/>
          </cell>
          <cell r="AS102" t="str">
            <v/>
          </cell>
          <cell r="AT102" t="str">
            <v/>
          </cell>
          <cell r="AU102" t="str">
            <v/>
          </cell>
          <cell r="AW102" t="str">
            <v/>
          </cell>
          <cell r="AX102" t="str">
            <v/>
          </cell>
        </row>
        <row r="103">
          <cell r="G103" t="str">
            <v/>
          </cell>
          <cell r="H103" t="str">
            <v/>
          </cell>
          <cell r="M103" t="str">
            <v/>
          </cell>
          <cell r="N103" t="str">
            <v/>
          </cell>
          <cell r="O103" t="str">
            <v/>
          </cell>
          <cell r="T103" t="str">
            <v/>
          </cell>
          <cell r="U103" t="str">
            <v/>
          </cell>
          <cell r="X103" t="str">
            <v/>
          </cell>
          <cell r="AH103" t="str">
            <v/>
          </cell>
          <cell r="AK103" t="str">
            <v/>
          </cell>
          <cell r="AM103" t="str">
            <v/>
          </cell>
          <cell r="AO103" t="str">
            <v/>
          </cell>
          <cell r="AS103" t="str">
            <v/>
          </cell>
          <cell r="AT103" t="str">
            <v/>
          </cell>
          <cell r="AU103" t="str">
            <v/>
          </cell>
          <cell r="AW103" t="str">
            <v/>
          </cell>
          <cell r="AX103" t="str">
            <v/>
          </cell>
        </row>
        <row r="104">
          <cell r="G104" t="str">
            <v/>
          </cell>
          <cell r="H104" t="str">
            <v/>
          </cell>
          <cell r="M104" t="str">
            <v/>
          </cell>
          <cell r="N104" t="str">
            <v/>
          </cell>
          <cell r="O104" t="str">
            <v/>
          </cell>
          <cell r="T104" t="str">
            <v/>
          </cell>
          <cell r="U104" t="str">
            <v/>
          </cell>
          <cell r="X104" t="str">
            <v/>
          </cell>
          <cell r="AH104" t="str">
            <v/>
          </cell>
          <cell r="AK104" t="str">
            <v/>
          </cell>
          <cell r="AM104" t="str">
            <v/>
          </cell>
          <cell r="AO104" t="str">
            <v/>
          </cell>
          <cell r="AS104" t="str">
            <v/>
          </cell>
          <cell r="AT104" t="str">
            <v/>
          </cell>
          <cell r="AU104" t="str">
            <v/>
          </cell>
          <cell r="AW104" t="str">
            <v/>
          </cell>
          <cell r="AX104">
            <v>6</v>
          </cell>
        </row>
        <row r="105">
          <cell r="G105" t="str">
            <v/>
          </cell>
          <cell r="H105" t="str">
            <v/>
          </cell>
          <cell r="M105" t="str">
            <v/>
          </cell>
          <cell r="N105" t="str">
            <v/>
          </cell>
          <cell r="O105" t="str">
            <v/>
          </cell>
          <cell r="T105" t="str">
            <v/>
          </cell>
          <cell r="U105" t="str">
            <v/>
          </cell>
          <cell r="X105" t="str">
            <v/>
          </cell>
          <cell r="AH105" t="str">
            <v/>
          </cell>
          <cell r="AK105" t="str">
            <v/>
          </cell>
          <cell r="AM105" t="str">
            <v/>
          </cell>
          <cell r="AO105" t="str">
            <v/>
          </cell>
          <cell r="AS105" t="str">
            <v/>
          </cell>
          <cell r="AT105" t="str">
            <v/>
          </cell>
          <cell r="AU105" t="str">
            <v/>
          </cell>
          <cell r="AW105" t="str">
            <v/>
          </cell>
          <cell r="AX105" t="str">
            <v/>
          </cell>
        </row>
        <row r="106">
          <cell r="G106" t="str">
            <v/>
          </cell>
          <cell r="H106" t="str">
            <v/>
          </cell>
          <cell r="M106" t="str">
            <v/>
          </cell>
          <cell r="N106" t="str">
            <v/>
          </cell>
          <cell r="O106" t="str">
            <v/>
          </cell>
          <cell r="T106" t="str">
            <v/>
          </cell>
          <cell r="U106" t="str">
            <v/>
          </cell>
          <cell r="X106" t="str">
            <v/>
          </cell>
          <cell r="AH106" t="str">
            <v/>
          </cell>
          <cell r="AK106" t="str">
            <v/>
          </cell>
          <cell r="AM106" t="str">
            <v/>
          </cell>
          <cell r="AO106" t="str">
            <v/>
          </cell>
          <cell r="AS106" t="str">
            <v/>
          </cell>
          <cell r="AT106" t="str">
            <v/>
          </cell>
          <cell r="AU106" t="str">
            <v/>
          </cell>
          <cell r="AW106" t="str">
            <v/>
          </cell>
          <cell r="AX106" t="str">
            <v/>
          </cell>
        </row>
        <row r="107">
          <cell r="G107" t="str">
            <v/>
          </cell>
          <cell r="H107" t="str">
            <v/>
          </cell>
          <cell r="M107" t="str">
            <v/>
          </cell>
          <cell r="N107" t="str">
            <v/>
          </cell>
          <cell r="O107" t="str">
            <v/>
          </cell>
          <cell r="T107" t="str">
            <v/>
          </cell>
          <cell r="U107" t="str">
            <v/>
          </cell>
          <cell r="X107" t="str">
            <v/>
          </cell>
          <cell r="AH107" t="str">
            <v/>
          </cell>
          <cell r="AK107" t="str">
            <v/>
          </cell>
          <cell r="AM107" t="str">
            <v/>
          </cell>
          <cell r="AO107" t="str">
            <v/>
          </cell>
          <cell r="AS107" t="str">
            <v/>
          </cell>
          <cell r="AT107" t="str">
            <v/>
          </cell>
          <cell r="AU107" t="str">
            <v/>
          </cell>
          <cell r="AW107" t="str">
            <v/>
          </cell>
          <cell r="AX107">
            <v>7</v>
          </cell>
        </row>
        <row r="108">
          <cell r="G108" t="str">
            <v/>
          </cell>
          <cell r="H108" t="str">
            <v/>
          </cell>
          <cell r="M108" t="str">
            <v/>
          </cell>
          <cell r="N108" t="str">
            <v/>
          </cell>
          <cell r="O108" t="str">
            <v/>
          </cell>
          <cell r="T108" t="str">
            <v/>
          </cell>
          <cell r="U108" t="str">
            <v/>
          </cell>
          <cell r="X108" t="str">
            <v/>
          </cell>
          <cell r="AH108" t="str">
            <v/>
          </cell>
          <cell r="AK108" t="str">
            <v/>
          </cell>
          <cell r="AM108" t="str">
            <v/>
          </cell>
          <cell r="AO108" t="str">
            <v/>
          </cell>
          <cell r="AS108" t="str">
            <v/>
          </cell>
          <cell r="AT108" t="str">
            <v/>
          </cell>
          <cell r="AU108" t="str">
            <v/>
          </cell>
          <cell r="AW108" t="str">
            <v/>
          </cell>
          <cell r="AX108" t="str">
            <v/>
          </cell>
        </row>
        <row r="109">
          <cell r="G109" t="str">
            <v/>
          </cell>
          <cell r="H109" t="str">
            <v/>
          </cell>
          <cell r="M109" t="str">
            <v/>
          </cell>
          <cell r="N109" t="str">
            <v/>
          </cell>
          <cell r="O109" t="str">
            <v/>
          </cell>
          <cell r="T109" t="str">
            <v/>
          </cell>
          <cell r="U109" t="str">
            <v/>
          </cell>
          <cell r="X109" t="str">
            <v/>
          </cell>
          <cell r="AH109" t="str">
            <v/>
          </cell>
          <cell r="AK109" t="str">
            <v/>
          </cell>
          <cell r="AM109" t="str">
            <v/>
          </cell>
          <cell r="AO109" t="str">
            <v/>
          </cell>
          <cell r="AS109" t="str">
            <v/>
          </cell>
          <cell r="AT109" t="str">
            <v/>
          </cell>
          <cell r="AU109" t="str">
            <v/>
          </cell>
          <cell r="AW109" t="str">
            <v/>
          </cell>
          <cell r="AX109" t="str">
            <v/>
          </cell>
        </row>
        <row r="110">
          <cell r="G110" t="str">
            <v/>
          </cell>
          <cell r="H110" t="str">
            <v/>
          </cell>
          <cell r="M110" t="str">
            <v/>
          </cell>
          <cell r="N110" t="str">
            <v/>
          </cell>
          <cell r="O110" t="str">
            <v/>
          </cell>
          <cell r="T110" t="str">
            <v/>
          </cell>
          <cell r="U110" t="str">
            <v/>
          </cell>
          <cell r="X110" t="str">
            <v/>
          </cell>
          <cell r="AH110" t="str">
            <v/>
          </cell>
          <cell r="AK110" t="str">
            <v/>
          </cell>
          <cell r="AM110" t="str">
            <v/>
          </cell>
          <cell r="AO110" t="str">
            <v/>
          </cell>
          <cell r="AS110" t="str">
            <v/>
          </cell>
          <cell r="AT110" t="str">
            <v/>
          </cell>
          <cell r="AU110" t="str">
            <v/>
          </cell>
          <cell r="AW110" t="str">
            <v/>
          </cell>
          <cell r="AX110">
            <v>8</v>
          </cell>
        </row>
        <row r="111">
          <cell r="G111" t="str">
            <v/>
          </cell>
          <cell r="H111" t="str">
            <v/>
          </cell>
          <cell r="M111" t="str">
            <v/>
          </cell>
          <cell r="N111" t="str">
            <v/>
          </cell>
          <cell r="O111" t="str">
            <v/>
          </cell>
          <cell r="T111" t="str">
            <v/>
          </cell>
          <cell r="U111" t="str">
            <v/>
          </cell>
          <cell r="X111" t="str">
            <v/>
          </cell>
          <cell r="AH111" t="str">
            <v/>
          </cell>
          <cell r="AK111" t="str">
            <v/>
          </cell>
          <cell r="AM111" t="str">
            <v/>
          </cell>
          <cell r="AO111" t="str">
            <v/>
          </cell>
          <cell r="AS111" t="str">
            <v/>
          </cell>
          <cell r="AT111" t="str">
            <v/>
          </cell>
          <cell r="AU111" t="str">
            <v/>
          </cell>
          <cell r="AW111" t="str">
            <v/>
          </cell>
          <cell r="AX111" t="str">
            <v/>
          </cell>
        </row>
        <row r="112">
          <cell r="G112" t="str">
            <v/>
          </cell>
          <cell r="H112" t="str">
            <v/>
          </cell>
          <cell r="M112" t="str">
            <v/>
          </cell>
          <cell r="N112" t="str">
            <v/>
          </cell>
          <cell r="O112" t="str">
            <v/>
          </cell>
          <cell r="T112" t="str">
            <v/>
          </cell>
          <cell r="U112" t="str">
            <v/>
          </cell>
          <cell r="X112" t="str">
            <v/>
          </cell>
          <cell r="AH112" t="str">
            <v/>
          </cell>
          <cell r="AK112" t="str">
            <v/>
          </cell>
          <cell r="AM112" t="str">
            <v/>
          </cell>
          <cell r="AO112" t="str">
            <v/>
          </cell>
          <cell r="AS112" t="str">
            <v/>
          </cell>
          <cell r="AT112" t="str">
            <v/>
          </cell>
          <cell r="AU112" t="str">
            <v/>
          </cell>
          <cell r="AW112" t="str">
            <v/>
          </cell>
          <cell r="AX112" t="str">
            <v/>
          </cell>
        </row>
        <row r="113">
          <cell r="G113" t="str">
            <v/>
          </cell>
          <cell r="H113" t="str">
            <v/>
          </cell>
          <cell r="M113" t="str">
            <v/>
          </cell>
          <cell r="N113" t="str">
            <v/>
          </cell>
          <cell r="O113" t="str">
            <v/>
          </cell>
          <cell r="T113" t="str">
            <v/>
          </cell>
          <cell r="U113" t="str">
            <v/>
          </cell>
          <cell r="X113" t="str">
            <v/>
          </cell>
          <cell r="AH113" t="str">
            <v/>
          </cell>
          <cell r="AK113" t="str">
            <v/>
          </cell>
          <cell r="AM113" t="str">
            <v/>
          </cell>
          <cell r="AO113" t="str">
            <v/>
          </cell>
          <cell r="AS113" t="str">
            <v/>
          </cell>
          <cell r="AT113" t="str">
            <v/>
          </cell>
          <cell r="AU113" t="str">
            <v/>
          </cell>
          <cell r="AW113" t="str">
            <v/>
          </cell>
          <cell r="AX113">
            <v>9</v>
          </cell>
        </row>
        <row r="114">
          <cell r="G114" t="str">
            <v/>
          </cell>
          <cell r="H114" t="str">
            <v/>
          </cell>
          <cell r="M114" t="str">
            <v/>
          </cell>
          <cell r="N114" t="str">
            <v/>
          </cell>
          <cell r="O114" t="str">
            <v/>
          </cell>
          <cell r="T114" t="str">
            <v/>
          </cell>
          <cell r="U114" t="str">
            <v/>
          </cell>
          <cell r="X114" t="str">
            <v/>
          </cell>
          <cell r="AH114" t="str">
            <v/>
          </cell>
          <cell r="AK114" t="str">
            <v/>
          </cell>
          <cell r="AM114" t="str">
            <v/>
          </cell>
          <cell r="AO114" t="str">
            <v/>
          </cell>
          <cell r="AS114" t="str">
            <v/>
          </cell>
          <cell r="AT114" t="str">
            <v/>
          </cell>
          <cell r="AU114" t="str">
            <v/>
          </cell>
          <cell r="AW114" t="str">
            <v/>
          </cell>
          <cell r="AX114" t="str">
            <v/>
          </cell>
        </row>
        <row r="115">
          <cell r="G115" t="str">
            <v/>
          </cell>
          <cell r="H115" t="str">
            <v/>
          </cell>
          <cell r="M115" t="str">
            <v/>
          </cell>
          <cell r="N115" t="str">
            <v/>
          </cell>
          <cell r="O115" t="str">
            <v/>
          </cell>
          <cell r="T115" t="str">
            <v/>
          </cell>
          <cell r="U115" t="str">
            <v/>
          </cell>
          <cell r="X115" t="str">
            <v/>
          </cell>
          <cell r="AH115" t="str">
            <v/>
          </cell>
          <cell r="AK115" t="str">
            <v/>
          </cell>
          <cell r="AM115" t="str">
            <v/>
          </cell>
          <cell r="AO115" t="str">
            <v/>
          </cell>
          <cell r="AS115" t="str">
            <v/>
          </cell>
          <cell r="AT115" t="str">
            <v/>
          </cell>
          <cell r="AU115" t="str">
            <v/>
          </cell>
          <cell r="AW115" t="str">
            <v/>
          </cell>
          <cell r="AX115" t="str">
            <v/>
          </cell>
        </row>
        <row r="116">
          <cell r="G116" t="str">
            <v/>
          </cell>
          <cell r="H116" t="str">
            <v/>
          </cell>
          <cell r="M116" t="str">
            <v/>
          </cell>
          <cell r="N116" t="str">
            <v/>
          </cell>
          <cell r="O116" t="str">
            <v/>
          </cell>
          <cell r="T116" t="str">
            <v/>
          </cell>
          <cell r="U116" t="str">
            <v/>
          </cell>
          <cell r="X116" t="str">
            <v/>
          </cell>
          <cell r="AH116" t="str">
            <v/>
          </cell>
          <cell r="AK116" t="str">
            <v/>
          </cell>
          <cell r="AM116" t="str">
            <v/>
          </cell>
          <cell r="AO116" t="str">
            <v/>
          </cell>
          <cell r="AS116" t="str">
            <v/>
          </cell>
          <cell r="AT116" t="str">
            <v/>
          </cell>
          <cell r="AU116" t="str">
            <v/>
          </cell>
          <cell r="AW116" t="str">
            <v/>
          </cell>
          <cell r="AX116">
            <v>10</v>
          </cell>
        </row>
        <row r="117">
          <cell r="G117" t="str">
            <v/>
          </cell>
          <cell r="H117" t="str">
            <v/>
          </cell>
          <cell r="M117" t="str">
            <v/>
          </cell>
          <cell r="N117" t="str">
            <v/>
          </cell>
          <cell r="O117" t="str">
            <v/>
          </cell>
          <cell r="T117" t="str">
            <v/>
          </cell>
          <cell r="U117" t="str">
            <v/>
          </cell>
          <cell r="X117" t="str">
            <v/>
          </cell>
          <cell r="AH117" t="str">
            <v/>
          </cell>
          <cell r="AK117" t="str">
            <v/>
          </cell>
          <cell r="AM117" t="str">
            <v/>
          </cell>
          <cell r="AO117" t="str">
            <v/>
          </cell>
          <cell r="AS117" t="str">
            <v/>
          </cell>
          <cell r="AT117" t="str">
            <v/>
          </cell>
          <cell r="AU117" t="str">
            <v/>
          </cell>
          <cell r="AW117" t="str">
            <v/>
          </cell>
          <cell r="AX117" t="str">
            <v/>
          </cell>
        </row>
        <row r="118">
          <cell r="G118" t="str">
            <v/>
          </cell>
          <cell r="H118" t="str">
            <v/>
          </cell>
          <cell r="M118" t="str">
            <v/>
          </cell>
          <cell r="N118" t="str">
            <v/>
          </cell>
          <cell r="O118" t="str">
            <v/>
          </cell>
          <cell r="T118" t="str">
            <v/>
          </cell>
          <cell r="U118" t="str">
            <v/>
          </cell>
          <cell r="X118" t="str">
            <v/>
          </cell>
          <cell r="AH118" t="str">
            <v/>
          </cell>
          <cell r="AK118" t="str">
            <v/>
          </cell>
          <cell r="AM118" t="str">
            <v/>
          </cell>
          <cell r="AO118" t="str">
            <v/>
          </cell>
          <cell r="AS118" t="str">
            <v/>
          </cell>
          <cell r="AT118" t="str">
            <v/>
          </cell>
          <cell r="AU118" t="str">
            <v/>
          </cell>
          <cell r="AW118" t="str">
            <v/>
          </cell>
          <cell r="AX118" t="str">
            <v/>
          </cell>
        </row>
        <row r="119">
          <cell r="G119" t="str">
            <v/>
          </cell>
          <cell r="H119" t="str">
            <v/>
          </cell>
          <cell r="M119" t="str">
            <v/>
          </cell>
          <cell r="N119" t="str">
            <v/>
          </cell>
          <cell r="O119" t="str">
            <v/>
          </cell>
          <cell r="T119" t="str">
            <v/>
          </cell>
          <cell r="U119" t="str">
            <v/>
          </cell>
          <cell r="X119" t="str">
            <v/>
          </cell>
          <cell r="AH119" t="str">
            <v/>
          </cell>
          <cell r="AK119" t="str">
            <v/>
          </cell>
          <cell r="AM119" t="str">
            <v/>
          </cell>
          <cell r="AO119" t="str">
            <v/>
          </cell>
          <cell r="AS119" t="str">
            <v/>
          </cell>
          <cell r="AT119" t="str">
            <v/>
          </cell>
          <cell r="AU119" t="str">
            <v/>
          </cell>
          <cell r="AW119" t="str">
            <v/>
          </cell>
          <cell r="AX119">
            <v>11</v>
          </cell>
        </row>
        <row r="120">
          <cell r="G120" t="str">
            <v/>
          </cell>
          <cell r="H120" t="str">
            <v/>
          </cell>
          <cell r="M120" t="str">
            <v/>
          </cell>
          <cell r="N120" t="str">
            <v/>
          </cell>
          <cell r="O120" t="str">
            <v/>
          </cell>
          <cell r="T120" t="str">
            <v/>
          </cell>
          <cell r="U120" t="str">
            <v/>
          </cell>
          <cell r="X120" t="str">
            <v/>
          </cell>
          <cell r="AH120" t="str">
            <v/>
          </cell>
          <cell r="AK120" t="str">
            <v/>
          </cell>
          <cell r="AM120" t="str">
            <v/>
          </cell>
          <cell r="AO120" t="str">
            <v/>
          </cell>
          <cell r="AS120" t="str">
            <v/>
          </cell>
          <cell r="AT120" t="str">
            <v/>
          </cell>
          <cell r="AU120" t="str">
            <v/>
          </cell>
          <cell r="AW120" t="str">
            <v/>
          </cell>
          <cell r="AX120" t="str">
            <v/>
          </cell>
        </row>
        <row r="121">
          <cell r="G121" t="str">
            <v/>
          </cell>
          <cell r="H121" t="str">
            <v/>
          </cell>
          <cell r="M121" t="str">
            <v/>
          </cell>
          <cell r="N121" t="str">
            <v/>
          </cell>
          <cell r="O121" t="str">
            <v/>
          </cell>
          <cell r="T121" t="str">
            <v/>
          </cell>
          <cell r="U121" t="str">
            <v/>
          </cell>
          <cell r="X121" t="str">
            <v/>
          </cell>
          <cell r="AH121" t="str">
            <v/>
          </cell>
          <cell r="AK121" t="str">
            <v/>
          </cell>
          <cell r="AM121" t="str">
            <v/>
          </cell>
          <cell r="AO121" t="str">
            <v/>
          </cell>
          <cell r="AS121" t="str">
            <v/>
          </cell>
          <cell r="AT121" t="str">
            <v/>
          </cell>
          <cell r="AU121" t="str">
            <v/>
          </cell>
          <cell r="AW121" t="str">
            <v/>
          </cell>
          <cell r="AX121" t="str">
            <v/>
          </cell>
        </row>
        <row r="122">
          <cell r="G122" t="str">
            <v/>
          </cell>
          <cell r="H122" t="str">
            <v/>
          </cell>
          <cell r="M122" t="str">
            <v/>
          </cell>
          <cell r="N122" t="str">
            <v/>
          </cell>
          <cell r="O122" t="str">
            <v/>
          </cell>
          <cell r="T122" t="str">
            <v/>
          </cell>
          <cell r="U122" t="str">
            <v/>
          </cell>
          <cell r="X122" t="str">
            <v/>
          </cell>
          <cell r="AH122" t="str">
            <v/>
          </cell>
          <cell r="AK122" t="str">
            <v/>
          </cell>
          <cell r="AM122" t="str">
            <v/>
          </cell>
          <cell r="AO122" t="str">
            <v/>
          </cell>
          <cell r="AS122" t="str">
            <v/>
          </cell>
          <cell r="AT122" t="str">
            <v/>
          </cell>
          <cell r="AU122" t="str">
            <v/>
          </cell>
          <cell r="AW122" t="str">
            <v/>
          </cell>
          <cell r="AX122">
            <v>12</v>
          </cell>
        </row>
        <row r="123">
          <cell r="G123" t="str">
            <v/>
          </cell>
          <cell r="H123" t="str">
            <v/>
          </cell>
          <cell r="M123" t="str">
            <v/>
          </cell>
          <cell r="N123" t="str">
            <v/>
          </cell>
          <cell r="O123" t="str">
            <v/>
          </cell>
          <cell r="T123" t="str">
            <v/>
          </cell>
          <cell r="U123" t="str">
            <v/>
          </cell>
          <cell r="X123" t="str">
            <v/>
          </cell>
          <cell r="AH123" t="str">
            <v/>
          </cell>
          <cell r="AK123" t="str">
            <v/>
          </cell>
          <cell r="AM123" t="str">
            <v/>
          </cell>
          <cell r="AO123" t="str">
            <v/>
          </cell>
          <cell r="AS123" t="str">
            <v/>
          </cell>
          <cell r="AT123" t="str">
            <v/>
          </cell>
          <cell r="AU123" t="str">
            <v/>
          </cell>
          <cell r="AW123" t="str">
            <v/>
          </cell>
          <cell r="AX123" t="str">
            <v/>
          </cell>
        </row>
        <row r="124">
          <cell r="G124" t="str">
            <v/>
          </cell>
          <cell r="H124" t="str">
            <v/>
          </cell>
          <cell r="M124" t="str">
            <v/>
          </cell>
          <cell r="N124" t="str">
            <v/>
          </cell>
          <cell r="O124" t="str">
            <v/>
          </cell>
          <cell r="T124" t="str">
            <v/>
          </cell>
          <cell r="U124" t="str">
            <v/>
          </cell>
          <cell r="X124" t="str">
            <v/>
          </cell>
          <cell r="AH124" t="str">
            <v/>
          </cell>
          <cell r="AK124" t="str">
            <v/>
          </cell>
          <cell r="AM124" t="str">
            <v/>
          </cell>
          <cell r="AO124" t="str">
            <v/>
          </cell>
          <cell r="AS124" t="str">
            <v/>
          </cell>
          <cell r="AT124" t="str">
            <v/>
          </cell>
          <cell r="AU124" t="str">
            <v/>
          </cell>
          <cell r="AW124" t="str">
            <v/>
          </cell>
          <cell r="AX124" t="str">
            <v/>
          </cell>
        </row>
        <row r="125">
          <cell r="G125" t="str">
            <v/>
          </cell>
          <cell r="H125" t="str">
            <v/>
          </cell>
          <cell r="M125" t="str">
            <v/>
          </cell>
          <cell r="N125" t="str">
            <v/>
          </cell>
          <cell r="O125" t="str">
            <v/>
          </cell>
          <cell r="T125" t="str">
            <v/>
          </cell>
          <cell r="U125" t="str">
            <v/>
          </cell>
          <cell r="X125" t="str">
            <v/>
          </cell>
          <cell r="AH125" t="str">
            <v/>
          </cell>
          <cell r="AK125" t="str">
            <v/>
          </cell>
          <cell r="AM125" t="str">
            <v/>
          </cell>
          <cell r="AO125" t="str">
            <v/>
          </cell>
          <cell r="AS125" t="str">
            <v/>
          </cell>
          <cell r="AT125" t="str">
            <v/>
          </cell>
          <cell r="AU125" t="str">
            <v/>
          </cell>
          <cell r="AW125" t="str">
            <v/>
          </cell>
          <cell r="AX125">
            <v>13</v>
          </cell>
        </row>
        <row r="126">
          <cell r="G126" t="str">
            <v/>
          </cell>
          <cell r="H126" t="str">
            <v/>
          </cell>
          <cell r="M126" t="str">
            <v/>
          </cell>
          <cell r="N126" t="str">
            <v/>
          </cell>
          <cell r="O126" t="str">
            <v/>
          </cell>
          <cell r="T126" t="str">
            <v/>
          </cell>
          <cell r="U126" t="str">
            <v/>
          </cell>
          <cell r="X126" t="str">
            <v/>
          </cell>
          <cell r="AH126" t="str">
            <v/>
          </cell>
          <cell r="AK126" t="str">
            <v/>
          </cell>
          <cell r="AM126" t="str">
            <v/>
          </cell>
          <cell r="AO126" t="str">
            <v/>
          </cell>
          <cell r="AS126" t="str">
            <v/>
          </cell>
          <cell r="AT126" t="str">
            <v/>
          </cell>
          <cell r="AU126" t="str">
            <v/>
          </cell>
          <cell r="AW126" t="str">
            <v/>
          </cell>
          <cell r="AX126" t="str">
            <v/>
          </cell>
        </row>
        <row r="127">
          <cell r="G127" t="str">
            <v/>
          </cell>
          <cell r="H127" t="str">
            <v/>
          </cell>
          <cell r="M127" t="str">
            <v/>
          </cell>
          <cell r="N127" t="str">
            <v/>
          </cell>
          <cell r="O127" t="str">
            <v/>
          </cell>
          <cell r="T127" t="str">
            <v/>
          </cell>
          <cell r="U127" t="str">
            <v/>
          </cell>
          <cell r="X127" t="str">
            <v/>
          </cell>
          <cell r="AH127" t="str">
            <v/>
          </cell>
          <cell r="AK127" t="str">
            <v/>
          </cell>
          <cell r="AM127" t="str">
            <v/>
          </cell>
          <cell r="AO127" t="str">
            <v/>
          </cell>
          <cell r="AS127" t="str">
            <v/>
          </cell>
          <cell r="AT127" t="str">
            <v/>
          </cell>
          <cell r="AU127" t="str">
            <v/>
          </cell>
          <cell r="AW127" t="str">
            <v/>
          </cell>
          <cell r="AX127" t="str">
            <v/>
          </cell>
        </row>
        <row r="128">
          <cell r="G128" t="str">
            <v/>
          </cell>
          <cell r="H128" t="str">
            <v/>
          </cell>
          <cell r="M128" t="str">
            <v/>
          </cell>
          <cell r="N128" t="str">
            <v/>
          </cell>
          <cell r="O128" t="str">
            <v/>
          </cell>
          <cell r="T128" t="str">
            <v/>
          </cell>
          <cell r="U128" t="str">
            <v/>
          </cell>
          <cell r="X128" t="str">
            <v/>
          </cell>
          <cell r="AH128" t="str">
            <v/>
          </cell>
          <cell r="AK128" t="str">
            <v/>
          </cell>
          <cell r="AM128" t="str">
            <v/>
          </cell>
          <cell r="AO128" t="str">
            <v/>
          </cell>
          <cell r="AS128" t="str">
            <v/>
          </cell>
          <cell r="AT128" t="str">
            <v/>
          </cell>
          <cell r="AU128" t="str">
            <v/>
          </cell>
          <cell r="AW128" t="str">
            <v/>
          </cell>
          <cell r="AX128">
            <v>14</v>
          </cell>
        </row>
        <row r="129">
          <cell r="G129" t="str">
            <v/>
          </cell>
          <cell r="H129" t="str">
            <v/>
          </cell>
          <cell r="M129" t="str">
            <v/>
          </cell>
          <cell r="N129" t="str">
            <v/>
          </cell>
          <cell r="O129" t="str">
            <v/>
          </cell>
          <cell r="T129" t="str">
            <v/>
          </cell>
          <cell r="U129" t="str">
            <v/>
          </cell>
          <cell r="X129" t="str">
            <v/>
          </cell>
          <cell r="AH129" t="str">
            <v/>
          </cell>
          <cell r="AK129" t="str">
            <v/>
          </cell>
          <cell r="AM129" t="str">
            <v/>
          </cell>
          <cell r="AO129" t="str">
            <v/>
          </cell>
          <cell r="AS129" t="str">
            <v/>
          </cell>
          <cell r="AT129" t="str">
            <v/>
          </cell>
          <cell r="AU129" t="str">
            <v/>
          </cell>
          <cell r="AW129" t="str">
            <v/>
          </cell>
          <cell r="AX129" t="str">
            <v/>
          </cell>
        </row>
        <row r="130">
          <cell r="G130" t="str">
            <v/>
          </cell>
          <cell r="H130" t="str">
            <v/>
          </cell>
          <cell r="M130" t="str">
            <v/>
          </cell>
          <cell r="N130" t="str">
            <v/>
          </cell>
          <cell r="O130" t="str">
            <v/>
          </cell>
          <cell r="T130" t="str">
            <v/>
          </cell>
          <cell r="U130" t="str">
            <v/>
          </cell>
          <cell r="X130" t="str">
            <v/>
          </cell>
          <cell r="AH130" t="str">
            <v/>
          </cell>
          <cell r="AK130" t="str">
            <v/>
          </cell>
          <cell r="AM130" t="str">
            <v/>
          </cell>
          <cell r="AO130" t="str">
            <v/>
          </cell>
          <cell r="AS130" t="str">
            <v/>
          </cell>
          <cell r="AT130" t="str">
            <v/>
          </cell>
          <cell r="AU130" t="str">
            <v/>
          </cell>
          <cell r="AW130" t="str">
            <v/>
          </cell>
          <cell r="AX130" t="str">
            <v/>
          </cell>
        </row>
        <row r="131">
          <cell r="G131" t="str">
            <v/>
          </cell>
          <cell r="H131" t="str">
            <v/>
          </cell>
          <cell r="M131" t="str">
            <v/>
          </cell>
          <cell r="N131" t="str">
            <v/>
          </cell>
          <cell r="O131" t="str">
            <v/>
          </cell>
          <cell r="T131" t="str">
            <v/>
          </cell>
          <cell r="U131" t="str">
            <v/>
          </cell>
          <cell r="X131" t="str">
            <v/>
          </cell>
          <cell r="AH131" t="str">
            <v/>
          </cell>
          <cell r="AK131" t="str">
            <v/>
          </cell>
          <cell r="AM131" t="str">
            <v/>
          </cell>
          <cell r="AO131" t="str">
            <v/>
          </cell>
          <cell r="AS131" t="str">
            <v/>
          </cell>
          <cell r="AT131" t="str">
            <v/>
          </cell>
          <cell r="AU131" t="str">
            <v/>
          </cell>
          <cell r="AW131" t="str">
            <v/>
          </cell>
          <cell r="AX131">
            <v>15</v>
          </cell>
        </row>
        <row r="132">
          <cell r="G132" t="str">
            <v/>
          </cell>
          <cell r="H132" t="str">
            <v/>
          </cell>
          <cell r="M132" t="str">
            <v/>
          </cell>
          <cell r="N132" t="str">
            <v/>
          </cell>
          <cell r="O132" t="str">
            <v/>
          </cell>
          <cell r="T132" t="str">
            <v/>
          </cell>
          <cell r="U132" t="str">
            <v/>
          </cell>
          <cell r="X132" t="str">
            <v/>
          </cell>
          <cell r="AH132" t="str">
            <v/>
          </cell>
          <cell r="AK132" t="str">
            <v/>
          </cell>
          <cell r="AM132" t="str">
            <v/>
          </cell>
          <cell r="AO132" t="str">
            <v/>
          </cell>
          <cell r="AS132" t="str">
            <v/>
          </cell>
          <cell r="AT132" t="str">
            <v/>
          </cell>
          <cell r="AU132" t="str">
            <v/>
          </cell>
          <cell r="AW132" t="str">
            <v/>
          </cell>
          <cell r="AX132" t="str">
            <v/>
          </cell>
        </row>
        <row r="133">
          <cell r="G133" t="str">
            <v/>
          </cell>
          <cell r="H133" t="str">
            <v/>
          </cell>
          <cell r="M133" t="str">
            <v/>
          </cell>
          <cell r="N133" t="str">
            <v/>
          </cell>
          <cell r="O133" t="str">
            <v/>
          </cell>
          <cell r="T133" t="str">
            <v/>
          </cell>
          <cell r="U133" t="str">
            <v/>
          </cell>
          <cell r="X133" t="str">
            <v/>
          </cell>
          <cell r="AH133" t="str">
            <v/>
          </cell>
          <cell r="AK133" t="str">
            <v/>
          </cell>
          <cell r="AM133" t="str">
            <v/>
          </cell>
          <cell r="AO133" t="str">
            <v/>
          </cell>
          <cell r="AS133" t="str">
            <v/>
          </cell>
          <cell r="AT133" t="str">
            <v/>
          </cell>
          <cell r="AU133" t="str">
            <v/>
          </cell>
          <cell r="AW133" t="str">
            <v/>
          </cell>
          <cell r="AX133" t="str">
            <v/>
          </cell>
        </row>
        <row r="134">
          <cell r="G134" t="str">
            <v/>
          </cell>
          <cell r="H134" t="str">
            <v/>
          </cell>
          <cell r="M134" t="str">
            <v/>
          </cell>
          <cell r="N134" t="str">
            <v/>
          </cell>
          <cell r="O134" t="str">
            <v/>
          </cell>
          <cell r="T134" t="str">
            <v/>
          </cell>
          <cell r="U134" t="str">
            <v/>
          </cell>
          <cell r="X134" t="str">
            <v/>
          </cell>
          <cell r="AH134" t="str">
            <v/>
          </cell>
          <cell r="AK134" t="str">
            <v/>
          </cell>
          <cell r="AM134" t="str">
            <v/>
          </cell>
          <cell r="AO134" t="str">
            <v/>
          </cell>
          <cell r="AS134" t="str">
            <v/>
          </cell>
          <cell r="AT134" t="str">
            <v/>
          </cell>
          <cell r="AU134" t="str">
            <v/>
          </cell>
          <cell r="AW134" t="str">
            <v/>
          </cell>
          <cell r="AX134" t="str">
            <v/>
          </cell>
        </row>
        <row r="135">
          <cell r="G135" t="str">
            <v/>
          </cell>
          <cell r="H135" t="str">
            <v/>
          </cell>
          <cell r="M135" t="str">
            <v/>
          </cell>
          <cell r="N135" t="str">
            <v/>
          </cell>
          <cell r="O135" t="str">
            <v/>
          </cell>
          <cell r="T135" t="str">
            <v/>
          </cell>
          <cell r="U135" t="str">
            <v/>
          </cell>
          <cell r="X135" t="str">
            <v/>
          </cell>
          <cell r="AH135" t="str">
            <v/>
          </cell>
          <cell r="AK135" t="str">
            <v/>
          </cell>
          <cell r="AM135" t="str">
            <v/>
          </cell>
          <cell r="AO135" t="str">
            <v/>
          </cell>
          <cell r="AS135" t="str">
            <v/>
          </cell>
          <cell r="AT135" t="str">
            <v/>
          </cell>
          <cell r="AU135" t="str">
            <v/>
          </cell>
          <cell r="AW135" t="str">
            <v/>
          </cell>
          <cell r="AX135" t="str">
            <v/>
          </cell>
        </row>
        <row r="136">
          <cell r="G136" t="str">
            <v/>
          </cell>
          <cell r="H136" t="str">
            <v/>
          </cell>
          <cell r="M136" t="str">
            <v/>
          </cell>
          <cell r="N136" t="str">
            <v/>
          </cell>
          <cell r="O136" t="str">
            <v/>
          </cell>
          <cell r="T136" t="str">
            <v/>
          </cell>
          <cell r="U136" t="str">
            <v/>
          </cell>
          <cell r="X136" t="str">
            <v/>
          </cell>
          <cell r="AH136" t="str">
            <v/>
          </cell>
          <cell r="AK136" t="str">
            <v/>
          </cell>
          <cell r="AM136" t="str">
            <v/>
          </cell>
          <cell r="AO136" t="str">
            <v/>
          </cell>
          <cell r="AS136" t="str">
            <v/>
          </cell>
          <cell r="AT136" t="str">
            <v/>
          </cell>
          <cell r="AU136" t="str">
            <v/>
          </cell>
          <cell r="AW136" t="str">
            <v/>
          </cell>
          <cell r="AX136" t="str">
            <v/>
          </cell>
        </row>
        <row r="137">
          <cell r="G137" t="str">
            <v/>
          </cell>
          <cell r="H137" t="str">
            <v/>
          </cell>
          <cell r="M137" t="str">
            <v/>
          </cell>
          <cell r="N137" t="str">
            <v/>
          </cell>
          <cell r="O137" t="str">
            <v/>
          </cell>
          <cell r="T137" t="str">
            <v/>
          </cell>
          <cell r="U137" t="str">
            <v/>
          </cell>
          <cell r="X137" t="str">
            <v/>
          </cell>
          <cell r="AH137" t="str">
            <v/>
          </cell>
          <cell r="AK137" t="str">
            <v/>
          </cell>
          <cell r="AM137" t="str">
            <v/>
          </cell>
          <cell r="AO137" t="str">
            <v/>
          </cell>
          <cell r="AS137" t="str">
            <v/>
          </cell>
          <cell r="AT137" t="str">
            <v/>
          </cell>
          <cell r="AU137" t="str">
            <v/>
          </cell>
          <cell r="AW137" t="str">
            <v/>
          </cell>
          <cell r="AX137" t="str">
            <v/>
          </cell>
        </row>
        <row r="138">
          <cell r="G138" t="str">
            <v/>
          </cell>
          <cell r="H138" t="str">
            <v/>
          </cell>
          <cell r="M138" t="str">
            <v/>
          </cell>
          <cell r="N138" t="str">
            <v/>
          </cell>
          <cell r="O138" t="str">
            <v/>
          </cell>
          <cell r="T138" t="str">
            <v/>
          </cell>
          <cell r="U138" t="str">
            <v/>
          </cell>
          <cell r="X138" t="str">
            <v/>
          </cell>
          <cell r="AH138" t="str">
            <v/>
          </cell>
          <cell r="AK138" t="str">
            <v/>
          </cell>
          <cell r="AM138" t="str">
            <v/>
          </cell>
          <cell r="AO138" t="str">
            <v/>
          </cell>
          <cell r="AS138" t="str">
            <v/>
          </cell>
          <cell r="AT138" t="str">
            <v/>
          </cell>
          <cell r="AU138" t="str">
            <v/>
          </cell>
          <cell r="AW138" t="str">
            <v/>
          </cell>
          <cell r="AX138" t="str">
            <v/>
          </cell>
        </row>
        <row r="139">
          <cell r="G139" t="str">
            <v/>
          </cell>
          <cell r="H139" t="str">
            <v/>
          </cell>
          <cell r="M139" t="str">
            <v/>
          </cell>
          <cell r="N139" t="str">
            <v/>
          </cell>
          <cell r="O139" t="str">
            <v/>
          </cell>
          <cell r="T139" t="str">
            <v/>
          </cell>
          <cell r="U139" t="str">
            <v/>
          </cell>
          <cell r="X139" t="str">
            <v/>
          </cell>
          <cell r="AH139" t="str">
            <v/>
          </cell>
          <cell r="AK139" t="str">
            <v/>
          </cell>
          <cell r="AM139" t="str">
            <v/>
          </cell>
          <cell r="AO139" t="str">
            <v/>
          </cell>
          <cell r="AS139" t="str">
            <v/>
          </cell>
          <cell r="AT139" t="str">
            <v/>
          </cell>
          <cell r="AU139" t="str">
            <v/>
          </cell>
          <cell r="AW139" t="str">
            <v/>
          </cell>
          <cell r="AX139" t="str">
            <v/>
          </cell>
        </row>
        <row r="140">
          <cell r="G140" t="str">
            <v/>
          </cell>
          <cell r="H140" t="str">
            <v/>
          </cell>
          <cell r="M140" t="str">
            <v/>
          </cell>
          <cell r="N140" t="str">
            <v/>
          </cell>
          <cell r="O140" t="str">
            <v/>
          </cell>
          <cell r="T140" t="str">
            <v/>
          </cell>
          <cell r="U140" t="str">
            <v/>
          </cell>
          <cell r="X140" t="str">
            <v/>
          </cell>
          <cell r="AH140" t="str">
            <v/>
          </cell>
          <cell r="AK140" t="str">
            <v/>
          </cell>
          <cell r="AM140" t="str">
            <v/>
          </cell>
          <cell r="AO140" t="str">
            <v/>
          </cell>
          <cell r="AS140" t="str">
            <v/>
          </cell>
          <cell r="AT140" t="str">
            <v/>
          </cell>
          <cell r="AU140" t="str">
            <v/>
          </cell>
          <cell r="AW140" t="str">
            <v/>
          </cell>
          <cell r="AX140" t="str">
            <v/>
          </cell>
        </row>
        <row r="141">
          <cell r="G141" t="str">
            <v/>
          </cell>
          <cell r="H141" t="str">
            <v/>
          </cell>
          <cell r="M141" t="str">
            <v/>
          </cell>
          <cell r="N141" t="str">
            <v/>
          </cell>
          <cell r="O141" t="str">
            <v/>
          </cell>
          <cell r="T141" t="str">
            <v/>
          </cell>
          <cell r="U141" t="str">
            <v/>
          </cell>
          <cell r="X141" t="str">
            <v/>
          </cell>
          <cell r="AH141" t="str">
            <v/>
          </cell>
          <cell r="AK141" t="str">
            <v/>
          </cell>
          <cell r="AM141" t="str">
            <v/>
          </cell>
          <cell r="AO141" t="str">
            <v/>
          </cell>
          <cell r="AS141" t="str">
            <v/>
          </cell>
          <cell r="AT141" t="str">
            <v/>
          </cell>
          <cell r="AU141" t="str">
            <v/>
          </cell>
          <cell r="AW141" t="str">
            <v/>
          </cell>
          <cell r="AX141" t="str">
            <v/>
          </cell>
        </row>
        <row r="142">
          <cell r="G142" t="str">
            <v/>
          </cell>
          <cell r="H142" t="str">
            <v/>
          </cell>
          <cell r="M142" t="str">
            <v/>
          </cell>
          <cell r="N142" t="str">
            <v/>
          </cell>
          <cell r="O142" t="str">
            <v/>
          </cell>
          <cell r="T142" t="str">
            <v/>
          </cell>
          <cell r="U142" t="str">
            <v/>
          </cell>
          <cell r="X142" t="str">
            <v/>
          </cell>
          <cell r="AH142" t="str">
            <v/>
          </cell>
          <cell r="AK142" t="str">
            <v/>
          </cell>
          <cell r="AM142" t="str">
            <v/>
          </cell>
          <cell r="AO142" t="str">
            <v/>
          </cell>
          <cell r="AS142" t="str">
            <v/>
          </cell>
          <cell r="AT142" t="str">
            <v/>
          </cell>
          <cell r="AU142" t="str">
            <v/>
          </cell>
          <cell r="AW142" t="str">
            <v/>
          </cell>
          <cell r="AX142" t="str">
            <v/>
          </cell>
        </row>
        <row r="143">
          <cell r="G143" t="str">
            <v/>
          </cell>
          <cell r="H143" t="str">
            <v/>
          </cell>
          <cell r="M143" t="str">
            <v/>
          </cell>
          <cell r="N143" t="str">
            <v/>
          </cell>
          <cell r="O143" t="str">
            <v/>
          </cell>
          <cell r="T143" t="str">
            <v/>
          </cell>
          <cell r="U143" t="str">
            <v/>
          </cell>
          <cell r="X143" t="str">
            <v/>
          </cell>
          <cell r="AH143" t="str">
            <v/>
          </cell>
          <cell r="AK143" t="str">
            <v/>
          </cell>
          <cell r="AM143" t="str">
            <v/>
          </cell>
          <cell r="AO143" t="str">
            <v/>
          </cell>
          <cell r="AS143" t="str">
            <v/>
          </cell>
          <cell r="AT143" t="str">
            <v/>
          </cell>
          <cell r="AU143" t="str">
            <v/>
          </cell>
          <cell r="AW143" t="str">
            <v/>
          </cell>
          <cell r="AX143" t="str">
            <v/>
          </cell>
        </row>
        <row r="144">
          <cell r="G144" t="str">
            <v/>
          </cell>
          <cell r="H144" t="str">
            <v/>
          </cell>
          <cell r="M144" t="str">
            <v/>
          </cell>
          <cell r="N144" t="str">
            <v/>
          </cell>
          <cell r="O144" t="str">
            <v/>
          </cell>
          <cell r="T144" t="str">
            <v/>
          </cell>
          <cell r="U144" t="str">
            <v/>
          </cell>
          <cell r="X144" t="str">
            <v/>
          </cell>
          <cell r="AH144" t="str">
            <v/>
          </cell>
          <cell r="AK144" t="str">
            <v/>
          </cell>
          <cell r="AM144" t="str">
            <v/>
          </cell>
          <cell r="AO144" t="str">
            <v/>
          </cell>
          <cell r="AS144" t="str">
            <v/>
          </cell>
          <cell r="AT144" t="str">
            <v/>
          </cell>
          <cell r="AU144" t="str">
            <v/>
          </cell>
          <cell r="AW144" t="str">
            <v/>
          </cell>
          <cell r="AX144" t="str">
            <v/>
          </cell>
        </row>
        <row r="145">
          <cell r="G145" t="str">
            <v/>
          </cell>
          <cell r="H145" t="str">
            <v/>
          </cell>
          <cell r="M145" t="str">
            <v/>
          </cell>
          <cell r="N145" t="str">
            <v/>
          </cell>
          <cell r="O145" t="str">
            <v/>
          </cell>
          <cell r="T145" t="str">
            <v/>
          </cell>
          <cell r="U145" t="str">
            <v/>
          </cell>
          <cell r="X145" t="str">
            <v/>
          </cell>
          <cell r="AH145" t="str">
            <v/>
          </cell>
          <cell r="AK145" t="str">
            <v/>
          </cell>
          <cell r="AM145" t="str">
            <v/>
          </cell>
          <cell r="AO145" t="str">
            <v/>
          </cell>
          <cell r="AS145" t="str">
            <v/>
          </cell>
          <cell r="AT145" t="str">
            <v/>
          </cell>
          <cell r="AU145" t="str">
            <v/>
          </cell>
          <cell r="AW145" t="str">
            <v/>
          </cell>
          <cell r="AX145" t="str">
            <v/>
          </cell>
        </row>
        <row r="146">
          <cell r="G146" t="str">
            <v/>
          </cell>
          <cell r="H146" t="str">
            <v/>
          </cell>
          <cell r="M146" t="str">
            <v/>
          </cell>
          <cell r="N146" t="str">
            <v/>
          </cell>
          <cell r="O146" t="str">
            <v/>
          </cell>
          <cell r="T146" t="str">
            <v/>
          </cell>
          <cell r="U146" t="str">
            <v/>
          </cell>
          <cell r="X146" t="str">
            <v/>
          </cell>
          <cell r="AH146" t="str">
            <v/>
          </cell>
          <cell r="AK146" t="str">
            <v/>
          </cell>
          <cell r="AM146" t="str">
            <v/>
          </cell>
          <cell r="AO146" t="str">
            <v/>
          </cell>
          <cell r="AS146" t="str">
            <v/>
          </cell>
          <cell r="AT146" t="str">
            <v/>
          </cell>
          <cell r="AU146" t="str">
            <v/>
          </cell>
          <cell r="AW146" t="str">
            <v/>
          </cell>
          <cell r="AX146" t="str">
            <v/>
          </cell>
        </row>
        <row r="147">
          <cell r="G147" t="str">
            <v/>
          </cell>
          <cell r="H147" t="str">
            <v/>
          </cell>
          <cell r="M147" t="str">
            <v/>
          </cell>
          <cell r="N147" t="str">
            <v/>
          </cell>
          <cell r="O147" t="str">
            <v/>
          </cell>
          <cell r="T147" t="str">
            <v/>
          </cell>
          <cell r="U147" t="str">
            <v/>
          </cell>
          <cell r="X147" t="str">
            <v/>
          </cell>
          <cell r="AH147" t="str">
            <v/>
          </cell>
          <cell r="AK147" t="str">
            <v/>
          </cell>
          <cell r="AM147" t="str">
            <v/>
          </cell>
          <cell r="AO147" t="str">
            <v/>
          </cell>
          <cell r="AS147" t="str">
            <v/>
          </cell>
          <cell r="AT147" t="str">
            <v/>
          </cell>
          <cell r="AU147" t="str">
            <v/>
          </cell>
          <cell r="AW147" t="str">
            <v/>
          </cell>
          <cell r="AX147" t="str">
            <v/>
          </cell>
        </row>
        <row r="148">
          <cell r="G148" t="str">
            <v/>
          </cell>
          <cell r="H148" t="str">
            <v/>
          </cell>
          <cell r="M148" t="str">
            <v/>
          </cell>
          <cell r="N148" t="str">
            <v/>
          </cell>
          <cell r="O148" t="str">
            <v/>
          </cell>
          <cell r="T148" t="str">
            <v/>
          </cell>
          <cell r="U148" t="str">
            <v/>
          </cell>
          <cell r="X148" t="str">
            <v/>
          </cell>
          <cell r="AH148" t="str">
            <v/>
          </cell>
          <cell r="AK148" t="str">
            <v/>
          </cell>
          <cell r="AM148" t="str">
            <v/>
          </cell>
          <cell r="AO148" t="str">
            <v/>
          </cell>
          <cell r="AS148" t="str">
            <v/>
          </cell>
          <cell r="AT148" t="str">
            <v/>
          </cell>
          <cell r="AU148" t="str">
            <v/>
          </cell>
          <cell r="AW148" t="str">
            <v/>
          </cell>
          <cell r="AX148" t="str">
            <v/>
          </cell>
        </row>
        <row r="149">
          <cell r="G149" t="str">
            <v/>
          </cell>
          <cell r="H149" t="str">
            <v/>
          </cell>
          <cell r="M149" t="str">
            <v/>
          </cell>
          <cell r="N149" t="str">
            <v/>
          </cell>
          <cell r="O149" t="str">
            <v/>
          </cell>
          <cell r="T149" t="str">
            <v/>
          </cell>
          <cell r="U149" t="str">
            <v/>
          </cell>
          <cell r="X149" t="str">
            <v/>
          </cell>
          <cell r="AH149" t="str">
            <v/>
          </cell>
          <cell r="AK149" t="str">
            <v/>
          </cell>
          <cell r="AM149" t="str">
            <v/>
          </cell>
          <cell r="AO149" t="str">
            <v/>
          </cell>
          <cell r="AS149" t="str">
            <v/>
          </cell>
          <cell r="AT149" t="str">
            <v/>
          </cell>
          <cell r="AU149" t="str">
            <v/>
          </cell>
          <cell r="AW149" t="str">
            <v/>
          </cell>
          <cell r="AX149" t="str">
            <v/>
          </cell>
        </row>
        <row r="150">
          <cell r="G150" t="str">
            <v/>
          </cell>
          <cell r="H150" t="str">
            <v/>
          </cell>
          <cell r="M150" t="str">
            <v/>
          </cell>
          <cell r="N150" t="str">
            <v/>
          </cell>
          <cell r="O150" t="str">
            <v/>
          </cell>
          <cell r="T150" t="str">
            <v/>
          </cell>
          <cell r="U150" t="str">
            <v/>
          </cell>
          <cell r="X150" t="str">
            <v/>
          </cell>
          <cell r="AH150" t="str">
            <v/>
          </cell>
          <cell r="AK150" t="str">
            <v/>
          </cell>
          <cell r="AM150" t="str">
            <v/>
          </cell>
          <cell r="AO150" t="str">
            <v/>
          </cell>
          <cell r="AS150" t="str">
            <v/>
          </cell>
          <cell r="AT150" t="str">
            <v/>
          </cell>
          <cell r="AU150" t="str">
            <v/>
          </cell>
          <cell r="AW150" t="str">
            <v/>
          </cell>
          <cell r="AX150" t="str">
            <v/>
          </cell>
        </row>
        <row r="151">
          <cell r="G151" t="str">
            <v/>
          </cell>
          <cell r="H151" t="str">
            <v/>
          </cell>
          <cell r="M151" t="str">
            <v/>
          </cell>
          <cell r="N151" t="str">
            <v/>
          </cell>
          <cell r="O151" t="str">
            <v/>
          </cell>
          <cell r="T151" t="str">
            <v/>
          </cell>
          <cell r="U151" t="str">
            <v/>
          </cell>
          <cell r="X151" t="str">
            <v/>
          </cell>
          <cell r="AH151" t="str">
            <v/>
          </cell>
          <cell r="AK151" t="str">
            <v/>
          </cell>
          <cell r="AM151" t="str">
            <v/>
          </cell>
          <cell r="AO151" t="str">
            <v/>
          </cell>
          <cell r="AS151" t="str">
            <v/>
          </cell>
          <cell r="AT151" t="str">
            <v/>
          </cell>
          <cell r="AU151" t="str">
            <v/>
          </cell>
          <cell r="AW151" t="str">
            <v/>
          </cell>
          <cell r="AX151" t="str">
            <v/>
          </cell>
        </row>
        <row r="152">
          <cell r="G152" t="str">
            <v/>
          </cell>
          <cell r="H152" t="str">
            <v/>
          </cell>
          <cell r="M152" t="str">
            <v/>
          </cell>
          <cell r="N152" t="str">
            <v/>
          </cell>
          <cell r="O152" t="str">
            <v/>
          </cell>
          <cell r="T152" t="str">
            <v/>
          </cell>
          <cell r="U152" t="str">
            <v/>
          </cell>
          <cell r="X152" t="str">
            <v/>
          </cell>
          <cell r="AH152" t="str">
            <v/>
          </cell>
          <cell r="AK152" t="str">
            <v/>
          </cell>
          <cell r="AM152" t="str">
            <v/>
          </cell>
          <cell r="AO152" t="str">
            <v/>
          </cell>
          <cell r="AS152" t="str">
            <v/>
          </cell>
          <cell r="AT152" t="str">
            <v/>
          </cell>
          <cell r="AU152" t="str">
            <v/>
          </cell>
          <cell r="AW152" t="str">
            <v/>
          </cell>
          <cell r="AX152" t="str">
            <v/>
          </cell>
        </row>
        <row r="153">
          <cell r="G153" t="str">
            <v/>
          </cell>
          <cell r="H153" t="str">
            <v/>
          </cell>
          <cell r="M153" t="str">
            <v/>
          </cell>
          <cell r="N153" t="str">
            <v/>
          </cell>
          <cell r="O153" t="str">
            <v/>
          </cell>
          <cell r="T153" t="str">
            <v/>
          </cell>
          <cell r="U153" t="str">
            <v/>
          </cell>
          <cell r="X153" t="str">
            <v/>
          </cell>
          <cell r="AH153" t="str">
            <v/>
          </cell>
          <cell r="AK153" t="str">
            <v/>
          </cell>
          <cell r="AM153" t="str">
            <v/>
          </cell>
          <cell r="AO153" t="str">
            <v/>
          </cell>
          <cell r="AS153" t="str">
            <v/>
          </cell>
          <cell r="AT153" t="str">
            <v/>
          </cell>
          <cell r="AU153" t="str">
            <v/>
          </cell>
          <cell r="AW153" t="str">
            <v/>
          </cell>
          <cell r="AX153" t="str">
            <v/>
          </cell>
        </row>
        <row r="154">
          <cell r="G154" t="str">
            <v/>
          </cell>
          <cell r="H154" t="str">
            <v/>
          </cell>
          <cell r="M154" t="str">
            <v/>
          </cell>
          <cell r="N154" t="str">
            <v/>
          </cell>
          <cell r="O154" t="str">
            <v/>
          </cell>
          <cell r="T154" t="str">
            <v/>
          </cell>
          <cell r="U154" t="str">
            <v/>
          </cell>
          <cell r="X154" t="str">
            <v/>
          </cell>
          <cell r="AH154" t="str">
            <v/>
          </cell>
          <cell r="AK154" t="str">
            <v/>
          </cell>
          <cell r="AM154" t="str">
            <v/>
          </cell>
          <cell r="AO154" t="str">
            <v/>
          </cell>
          <cell r="AS154" t="str">
            <v/>
          </cell>
          <cell r="AT154" t="str">
            <v/>
          </cell>
          <cell r="AU154" t="str">
            <v/>
          </cell>
          <cell r="AW154" t="str">
            <v/>
          </cell>
          <cell r="AX154" t="str">
            <v/>
          </cell>
        </row>
        <row r="155">
          <cell r="G155" t="str">
            <v/>
          </cell>
          <cell r="H155" t="str">
            <v/>
          </cell>
          <cell r="M155" t="str">
            <v/>
          </cell>
          <cell r="N155" t="str">
            <v/>
          </cell>
          <cell r="O155" t="str">
            <v/>
          </cell>
          <cell r="T155" t="str">
            <v/>
          </cell>
          <cell r="U155" t="str">
            <v/>
          </cell>
          <cell r="X155" t="str">
            <v/>
          </cell>
          <cell r="AH155" t="str">
            <v/>
          </cell>
          <cell r="AK155" t="str">
            <v/>
          </cell>
          <cell r="AM155" t="str">
            <v/>
          </cell>
          <cell r="AO155" t="str">
            <v/>
          </cell>
          <cell r="AS155" t="str">
            <v/>
          </cell>
          <cell r="AT155" t="str">
            <v/>
          </cell>
          <cell r="AU155" t="str">
            <v/>
          </cell>
          <cell r="AW155" t="str">
            <v/>
          </cell>
          <cell r="AX155" t="str">
            <v/>
          </cell>
        </row>
        <row r="156">
          <cell r="G156" t="str">
            <v/>
          </cell>
          <cell r="H156" t="str">
            <v/>
          </cell>
          <cell r="M156" t="str">
            <v/>
          </cell>
          <cell r="N156" t="str">
            <v/>
          </cell>
          <cell r="O156" t="str">
            <v/>
          </cell>
          <cell r="T156" t="str">
            <v/>
          </cell>
          <cell r="U156" t="str">
            <v/>
          </cell>
          <cell r="X156" t="str">
            <v/>
          </cell>
          <cell r="AH156" t="str">
            <v/>
          </cell>
          <cell r="AK156" t="str">
            <v/>
          </cell>
          <cell r="AM156" t="str">
            <v/>
          </cell>
          <cell r="AO156" t="str">
            <v/>
          </cell>
          <cell r="AS156" t="str">
            <v/>
          </cell>
          <cell r="AT156" t="str">
            <v/>
          </cell>
          <cell r="AU156" t="str">
            <v/>
          </cell>
          <cell r="AW156" t="str">
            <v/>
          </cell>
          <cell r="AX156" t="str">
            <v/>
          </cell>
        </row>
        <row r="157">
          <cell r="G157" t="str">
            <v/>
          </cell>
          <cell r="H157" t="str">
            <v/>
          </cell>
          <cell r="M157" t="str">
            <v/>
          </cell>
          <cell r="N157" t="str">
            <v/>
          </cell>
          <cell r="O157" t="str">
            <v/>
          </cell>
          <cell r="T157" t="str">
            <v/>
          </cell>
          <cell r="U157" t="str">
            <v/>
          </cell>
          <cell r="X157" t="str">
            <v/>
          </cell>
          <cell r="AH157" t="str">
            <v/>
          </cell>
          <cell r="AK157" t="str">
            <v/>
          </cell>
          <cell r="AM157" t="str">
            <v/>
          </cell>
          <cell r="AO157" t="str">
            <v/>
          </cell>
          <cell r="AS157" t="str">
            <v/>
          </cell>
          <cell r="AT157" t="str">
            <v/>
          </cell>
          <cell r="AU157" t="str">
            <v/>
          </cell>
          <cell r="AW157" t="str">
            <v/>
          </cell>
          <cell r="AX157" t="str">
            <v/>
          </cell>
        </row>
        <row r="158">
          <cell r="G158" t="str">
            <v/>
          </cell>
          <cell r="H158" t="str">
            <v/>
          </cell>
          <cell r="M158" t="str">
            <v/>
          </cell>
          <cell r="N158" t="str">
            <v/>
          </cell>
          <cell r="O158" t="str">
            <v/>
          </cell>
          <cell r="T158" t="str">
            <v/>
          </cell>
          <cell r="U158" t="str">
            <v/>
          </cell>
          <cell r="X158" t="str">
            <v/>
          </cell>
          <cell r="AH158" t="str">
            <v/>
          </cell>
          <cell r="AK158" t="str">
            <v/>
          </cell>
          <cell r="AM158" t="str">
            <v/>
          </cell>
          <cell r="AO158" t="str">
            <v/>
          </cell>
          <cell r="AS158" t="str">
            <v/>
          </cell>
          <cell r="AT158" t="str">
            <v/>
          </cell>
          <cell r="AU158" t="str">
            <v/>
          </cell>
          <cell r="AW158" t="str">
            <v/>
          </cell>
          <cell r="AX158" t="str">
            <v/>
          </cell>
        </row>
        <row r="159">
          <cell r="G159" t="str">
            <v/>
          </cell>
          <cell r="H159" t="str">
            <v/>
          </cell>
          <cell r="M159" t="str">
            <v/>
          </cell>
          <cell r="N159" t="str">
            <v/>
          </cell>
          <cell r="O159" t="str">
            <v/>
          </cell>
          <cell r="T159" t="str">
            <v/>
          </cell>
          <cell r="U159" t="str">
            <v/>
          </cell>
          <cell r="X159" t="str">
            <v/>
          </cell>
          <cell r="AH159" t="str">
            <v/>
          </cell>
          <cell r="AK159" t="str">
            <v/>
          </cell>
          <cell r="AM159" t="str">
            <v/>
          </cell>
          <cell r="AO159" t="str">
            <v/>
          </cell>
          <cell r="AS159" t="str">
            <v/>
          </cell>
          <cell r="AT159" t="str">
            <v/>
          </cell>
          <cell r="AU159" t="str">
            <v/>
          </cell>
          <cell r="AW159" t="str">
            <v/>
          </cell>
          <cell r="AX159" t="str">
            <v/>
          </cell>
        </row>
        <row r="160">
          <cell r="G160" t="str">
            <v/>
          </cell>
          <cell r="H160" t="str">
            <v/>
          </cell>
          <cell r="M160" t="str">
            <v/>
          </cell>
          <cell r="N160" t="str">
            <v/>
          </cell>
          <cell r="O160" t="str">
            <v/>
          </cell>
          <cell r="T160" t="str">
            <v/>
          </cell>
          <cell r="U160" t="str">
            <v/>
          </cell>
          <cell r="X160" t="str">
            <v/>
          </cell>
          <cell r="AH160" t="str">
            <v/>
          </cell>
          <cell r="AK160" t="str">
            <v/>
          </cell>
          <cell r="AM160" t="str">
            <v/>
          </cell>
          <cell r="AO160" t="str">
            <v/>
          </cell>
          <cell r="AS160" t="str">
            <v/>
          </cell>
          <cell r="AT160" t="str">
            <v/>
          </cell>
          <cell r="AU160" t="str">
            <v/>
          </cell>
          <cell r="AW160" t="str">
            <v/>
          </cell>
          <cell r="AX160" t="str">
            <v/>
          </cell>
        </row>
        <row r="161">
          <cell r="G161" t="str">
            <v/>
          </cell>
          <cell r="H161" t="str">
            <v/>
          </cell>
          <cell r="M161" t="str">
            <v/>
          </cell>
          <cell r="N161" t="str">
            <v/>
          </cell>
          <cell r="O161" t="str">
            <v/>
          </cell>
          <cell r="T161" t="str">
            <v/>
          </cell>
          <cell r="U161" t="str">
            <v/>
          </cell>
          <cell r="X161" t="str">
            <v/>
          </cell>
          <cell r="AH161" t="str">
            <v/>
          </cell>
          <cell r="AK161" t="str">
            <v/>
          </cell>
          <cell r="AM161" t="str">
            <v/>
          </cell>
          <cell r="AO161" t="str">
            <v/>
          </cell>
          <cell r="AS161" t="str">
            <v/>
          </cell>
          <cell r="AT161" t="str">
            <v/>
          </cell>
          <cell r="AU161" t="str">
            <v/>
          </cell>
          <cell r="AW161" t="str">
            <v/>
          </cell>
          <cell r="AX161" t="str">
            <v/>
          </cell>
        </row>
        <row r="162">
          <cell r="G162" t="str">
            <v/>
          </cell>
          <cell r="H162" t="str">
            <v/>
          </cell>
          <cell r="M162" t="str">
            <v/>
          </cell>
          <cell r="N162" t="str">
            <v/>
          </cell>
          <cell r="O162" t="str">
            <v/>
          </cell>
          <cell r="T162" t="str">
            <v/>
          </cell>
          <cell r="U162" t="str">
            <v/>
          </cell>
          <cell r="X162" t="str">
            <v/>
          </cell>
          <cell r="AH162" t="str">
            <v/>
          </cell>
          <cell r="AK162" t="str">
            <v/>
          </cell>
          <cell r="AM162" t="str">
            <v/>
          </cell>
          <cell r="AO162" t="str">
            <v/>
          </cell>
          <cell r="AS162" t="str">
            <v/>
          </cell>
          <cell r="AT162" t="str">
            <v/>
          </cell>
          <cell r="AU162" t="str">
            <v/>
          </cell>
          <cell r="AW162" t="str">
            <v/>
          </cell>
          <cell r="AX162" t="str">
            <v/>
          </cell>
        </row>
        <row r="163">
          <cell r="G163" t="str">
            <v/>
          </cell>
          <cell r="H163" t="str">
            <v/>
          </cell>
          <cell r="M163" t="str">
            <v/>
          </cell>
          <cell r="N163" t="str">
            <v/>
          </cell>
          <cell r="O163" t="str">
            <v/>
          </cell>
          <cell r="T163" t="str">
            <v/>
          </cell>
          <cell r="U163" t="str">
            <v/>
          </cell>
          <cell r="X163" t="str">
            <v/>
          </cell>
          <cell r="AH163" t="str">
            <v/>
          </cell>
          <cell r="AK163" t="str">
            <v/>
          </cell>
          <cell r="AM163" t="str">
            <v/>
          </cell>
          <cell r="AO163" t="str">
            <v/>
          </cell>
          <cell r="AS163" t="str">
            <v/>
          </cell>
          <cell r="AT163" t="str">
            <v/>
          </cell>
          <cell r="AU163" t="str">
            <v/>
          </cell>
          <cell r="AW163" t="str">
            <v/>
          </cell>
          <cell r="AX163" t="str">
            <v/>
          </cell>
        </row>
        <row r="164">
          <cell r="G164" t="str">
            <v/>
          </cell>
          <cell r="H164" t="str">
            <v/>
          </cell>
          <cell r="M164" t="str">
            <v/>
          </cell>
          <cell r="N164" t="str">
            <v/>
          </cell>
          <cell r="O164" t="str">
            <v/>
          </cell>
          <cell r="T164" t="str">
            <v/>
          </cell>
          <cell r="U164" t="str">
            <v/>
          </cell>
          <cell r="X164" t="str">
            <v/>
          </cell>
          <cell r="AH164" t="str">
            <v/>
          </cell>
          <cell r="AK164" t="str">
            <v/>
          </cell>
          <cell r="AM164" t="str">
            <v/>
          </cell>
          <cell r="AO164" t="str">
            <v/>
          </cell>
          <cell r="AS164" t="str">
            <v/>
          </cell>
          <cell r="AT164" t="str">
            <v/>
          </cell>
          <cell r="AU164" t="str">
            <v/>
          </cell>
          <cell r="AW164" t="str">
            <v/>
          </cell>
          <cell r="AX164" t="str">
            <v/>
          </cell>
        </row>
        <row r="165">
          <cell r="G165" t="str">
            <v/>
          </cell>
          <cell r="H165" t="str">
            <v/>
          </cell>
          <cell r="M165" t="str">
            <v/>
          </cell>
          <cell r="N165" t="str">
            <v/>
          </cell>
          <cell r="O165" t="str">
            <v/>
          </cell>
          <cell r="T165" t="str">
            <v/>
          </cell>
          <cell r="U165" t="str">
            <v/>
          </cell>
          <cell r="X165" t="str">
            <v/>
          </cell>
          <cell r="AH165" t="str">
            <v/>
          </cell>
          <cell r="AK165" t="str">
            <v/>
          </cell>
          <cell r="AM165" t="str">
            <v/>
          </cell>
          <cell r="AO165" t="str">
            <v/>
          </cell>
          <cell r="AS165" t="str">
            <v/>
          </cell>
          <cell r="AT165" t="str">
            <v/>
          </cell>
          <cell r="AU165" t="str">
            <v/>
          </cell>
          <cell r="AW165" t="str">
            <v/>
          </cell>
          <cell r="AX165" t="str">
            <v/>
          </cell>
        </row>
        <row r="166">
          <cell r="G166" t="str">
            <v/>
          </cell>
          <cell r="H166" t="str">
            <v/>
          </cell>
          <cell r="M166" t="str">
            <v/>
          </cell>
          <cell r="N166" t="str">
            <v/>
          </cell>
          <cell r="O166" t="str">
            <v/>
          </cell>
          <cell r="T166" t="str">
            <v/>
          </cell>
          <cell r="U166" t="str">
            <v/>
          </cell>
          <cell r="X166" t="str">
            <v/>
          </cell>
          <cell r="AH166" t="str">
            <v/>
          </cell>
          <cell r="AK166" t="str">
            <v/>
          </cell>
          <cell r="AM166" t="str">
            <v/>
          </cell>
          <cell r="AO166" t="str">
            <v/>
          </cell>
          <cell r="AS166" t="str">
            <v/>
          </cell>
          <cell r="AT166" t="str">
            <v/>
          </cell>
          <cell r="AU166" t="str">
            <v/>
          </cell>
          <cell r="AW166" t="str">
            <v/>
          </cell>
          <cell r="AX166" t="str">
            <v/>
          </cell>
        </row>
        <row r="167">
          <cell r="G167" t="str">
            <v/>
          </cell>
          <cell r="H167" t="str">
            <v/>
          </cell>
          <cell r="M167" t="str">
            <v/>
          </cell>
          <cell r="N167" t="str">
            <v/>
          </cell>
          <cell r="O167" t="str">
            <v/>
          </cell>
          <cell r="T167" t="str">
            <v/>
          </cell>
          <cell r="U167" t="str">
            <v/>
          </cell>
          <cell r="X167" t="str">
            <v/>
          </cell>
          <cell r="AH167" t="str">
            <v/>
          </cell>
          <cell r="AK167" t="str">
            <v/>
          </cell>
          <cell r="AM167" t="str">
            <v/>
          </cell>
          <cell r="AO167" t="str">
            <v/>
          </cell>
          <cell r="AS167" t="str">
            <v/>
          </cell>
          <cell r="AT167" t="str">
            <v/>
          </cell>
          <cell r="AU167" t="str">
            <v/>
          </cell>
          <cell r="AW167" t="str">
            <v/>
          </cell>
          <cell r="AX167" t="str">
            <v/>
          </cell>
        </row>
        <row r="168">
          <cell r="G168" t="str">
            <v/>
          </cell>
          <cell r="H168" t="str">
            <v/>
          </cell>
          <cell r="M168" t="str">
            <v/>
          </cell>
          <cell r="N168" t="str">
            <v/>
          </cell>
          <cell r="O168" t="str">
            <v/>
          </cell>
          <cell r="T168" t="str">
            <v/>
          </cell>
          <cell r="U168" t="str">
            <v/>
          </cell>
          <cell r="X168" t="str">
            <v/>
          </cell>
          <cell r="AH168" t="str">
            <v/>
          </cell>
          <cell r="AK168" t="str">
            <v/>
          </cell>
          <cell r="AM168" t="str">
            <v/>
          </cell>
          <cell r="AO168" t="str">
            <v/>
          </cell>
          <cell r="AS168" t="str">
            <v/>
          </cell>
          <cell r="AT168" t="str">
            <v/>
          </cell>
          <cell r="AU168" t="str">
            <v/>
          </cell>
          <cell r="AW168" t="str">
            <v/>
          </cell>
          <cell r="AX168" t="str">
            <v/>
          </cell>
        </row>
        <row r="169">
          <cell r="G169" t="str">
            <v/>
          </cell>
          <cell r="H169" t="str">
            <v/>
          </cell>
          <cell r="M169" t="str">
            <v/>
          </cell>
          <cell r="N169" t="str">
            <v/>
          </cell>
          <cell r="O169" t="str">
            <v/>
          </cell>
          <cell r="T169" t="str">
            <v/>
          </cell>
          <cell r="U169" t="str">
            <v/>
          </cell>
          <cell r="X169" t="str">
            <v/>
          </cell>
          <cell r="AH169" t="str">
            <v/>
          </cell>
          <cell r="AK169" t="str">
            <v/>
          </cell>
          <cell r="AM169" t="str">
            <v/>
          </cell>
          <cell r="AO169" t="str">
            <v/>
          </cell>
          <cell r="AS169" t="str">
            <v/>
          </cell>
          <cell r="AT169" t="str">
            <v/>
          </cell>
          <cell r="AU169" t="str">
            <v/>
          </cell>
          <cell r="AW169" t="str">
            <v/>
          </cell>
          <cell r="AX169" t="str">
            <v/>
          </cell>
        </row>
        <row r="170">
          <cell r="G170" t="str">
            <v/>
          </cell>
          <cell r="H170" t="str">
            <v/>
          </cell>
          <cell r="M170" t="str">
            <v/>
          </cell>
          <cell r="N170" t="str">
            <v/>
          </cell>
          <cell r="O170" t="str">
            <v/>
          </cell>
          <cell r="T170" t="str">
            <v/>
          </cell>
          <cell r="U170" t="str">
            <v/>
          </cell>
          <cell r="X170" t="str">
            <v/>
          </cell>
          <cell r="AH170" t="str">
            <v/>
          </cell>
          <cell r="AK170" t="str">
            <v/>
          </cell>
          <cell r="AM170" t="str">
            <v/>
          </cell>
          <cell r="AO170" t="str">
            <v/>
          </cell>
          <cell r="AS170" t="str">
            <v/>
          </cell>
          <cell r="AT170" t="str">
            <v/>
          </cell>
          <cell r="AU170" t="str">
            <v/>
          </cell>
          <cell r="AW170" t="str">
            <v/>
          </cell>
          <cell r="AX170" t="str">
            <v/>
          </cell>
        </row>
        <row r="171">
          <cell r="G171" t="str">
            <v/>
          </cell>
          <cell r="H171" t="str">
            <v/>
          </cell>
          <cell r="M171" t="str">
            <v/>
          </cell>
          <cell r="N171" t="str">
            <v/>
          </cell>
          <cell r="O171" t="str">
            <v/>
          </cell>
          <cell r="T171" t="str">
            <v/>
          </cell>
          <cell r="U171" t="str">
            <v/>
          </cell>
          <cell r="X171" t="str">
            <v/>
          </cell>
          <cell r="AH171" t="str">
            <v/>
          </cell>
          <cell r="AK171" t="str">
            <v/>
          </cell>
          <cell r="AM171" t="str">
            <v/>
          </cell>
          <cell r="AO171" t="str">
            <v/>
          </cell>
          <cell r="AS171" t="str">
            <v/>
          </cell>
          <cell r="AT171" t="str">
            <v/>
          </cell>
          <cell r="AU171" t="str">
            <v/>
          </cell>
          <cell r="AW171" t="str">
            <v/>
          </cell>
          <cell r="AX171" t="str">
            <v/>
          </cell>
        </row>
        <row r="172">
          <cell r="G172" t="str">
            <v/>
          </cell>
          <cell r="H172" t="str">
            <v/>
          </cell>
          <cell r="M172" t="str">
            <v/>
          </cell>
          <cell r="N172" t="str">
            <v/>
          </cell>
          <cell r="O172" t="str">
            <v/>
          </cell>
          <cell r="T172" t="str">
            <v/>
          </cell>
          <cell r="U172" t="str">
            <v/>
          </cell>
          <cell r="X172" t="str">
            <v/>
          </cell>
          <cell r="AH172" t="str">
            <v/>
          </cell>
          <cell r="AK172" t="str">
            <v/>
          </cell>
          <cell r="AM172" t="str">
            <v/>
          </cell>
          <cell r="AO172" t="str">
            <v/>
          </cell>
          <cell r="AS172" t="str">
            <v/>
          </cell>
          <cell r="AT172" t="str">
            <v/>
          </cell>
          <cell r="AU172" t="str">
            <v/>
          </cell>
          <cell r="AW172" t="str">
            <v/>
          </cell>
          <cell r="AX172" t="str">
            <v/>
          </cell>
        </row>
        <row r="173">
          <cell r="G173" t="str">
            <v/>
          </cell>
          <cell r="H173" t="str">
            <v/>
          </cell>
          <cell r="M173" t="str">
            <v/>
          </cell>
          <cell r="N173" t="str">
            <v/>
          </cell>
          <cell r="O173" t="str">
            <v/>
          </cell>
          <cell r="T173" t="str">
            <v/>
          </cell>
          <cell r="U173" t="str">
            <v/>
          </cell>
          <cell r="X173" t="str">
            <v/>
          </cell>
          <cell r="AH173" t="str">
            <v/>
          </cell>
          <cell r="AK173" t="str">
            <v/>
          </cell>
          <cell r="AM173" t="str">
            <v/>
          </cell>
          <cell r="AO173" t="str">
            <v/>
          </cell>
          <cell r="AS173" t="str">
            <v/>
          </cell>
          <cell r="AT173" t="str">
            <v/>
          </cell>
          <cell r="AU173" t="str">
            <v/>
          </cell>
          <cell r="AW173" t="str">
            <v/>
          </cell>
          <cell r="AX173" t="str">
            <v/>
          </cell>
        </row>
        <row r="174">
          <cell r="G174" t="str">
            <v/>
          </cell>
          <cell r="H174" t="str">
            <v/>
          </cell>
          <cell r="M174" t="str">
            <v/>
          </cell>
          <cell r="N174" t="str">
            <v/>
          </cell>
          <cell r="O174" t="str">
            <v/>
          </cell>
          <cell r="T174" t="str">
            <v/>
          </cell>
          <cell r="U174" t="str">
            <v/>
          </cell>
          <cell r="X174" t="str">
            <v/>
          </cell>
          <cell r="AH174" t="str">
            <v/>
          </cell>
          <cell r="AK174" t="str">
            <v/>
          </cell>
          <cell r="AM174" t="str">
            <v/>
          </cell>
          <cell r="AO174" t="str">
            <v/>
          </cell>
          <cell r="AS174" t="str">
            <v/>
          </cell>
          <cell r="AT174" t="str">
            <v/>
          </cell>
          <cell r="AU174" t="str">
            <v/>
          </cell>
          <cell r="AW174" t="str">
            <v/>
          </cell>
          <cell r="AX174" t="str">
            <v/>
          </cell>
        </row>
        <row r="175">
          <cell r="G175" t="str">
            <v/>
          </cell>
          <cell r="H175" t="str">
            <v/>
          </cell>
          <cell r="M175" t="str">
            <v/>
          </cell>
          <cell r="N175" t="str">
            <v/>
          </cell>
          <cell r="O175" t="str">
            <v/>
          </cell>
          <cell r="T175" t="str">
            <v/>
          </cell>
          <cell r="U175" t="str">
            <v/>
          </cell>
          <cell r="X175" t="str">
            <v/>
          </cell>
          <cell r="AH175" t="str">
            <v/>
          </cell>
          <cell r="AK175" t="str">
            <v/>
          </cell>
          <cell r="AM175" t="str">
            <v/>
          </cell>
          <cell r="AO175" t="str">
            <v/>
          </cell>
          <cell r="AS175" t="str">
            <v/>
          </cell>
          <cell r="AT175" t="str">
            <v/>
          </cell>
          <cell r="AU175" t="str">
            <v/>
          </cell>
          <cell r="AW175" t="str">
            <v/>
          </cell>
          <cell r="AX175" t="str">
            <v/>
          </cell>
        </row>
        <row r="176">
          <cell r="G176" t="str">
            <v/>
          </cell>
          <cell r="H176" t="str">
            <v/>
          </cell>
          <cell r="M176" t="str">
            <v/>
          </cell>
          <cell r="N176" t="str">
            <v/>
          </cell>
          <cell r="O176" t="str">
            <v/>
          </cell>
          <cell r="T176" t="str">
            <v/>
          </cell>
          <cell r="U176" t="str">
            <v/>
          </cell>
          <cell r="X176" t="str">
            <v/>
          </cell>
          <cell r="AH176" t="str">
            <v/>
          </cell>
          <cell r="AK176" t="str">
            <v/>
          </cell>
          <cell r="AM176" t="str">
            <v/>
          </cell>
          <cell r="AO176" t="str">
            <v/>
          </cell>
          <cell r="AS176" t="str">
            <v/>
          </cell>
          <cell r="AT176" t="str">
            <v/>
          </cell>
          <cell r="AU176" t="str">
            <v/>
          </cell>
          <cell r="AW176" t="str">
            <v/>
          </cell>
          <cell r="AX176" t="str">
            <v/>
          </cell>
        </row>
        <row r="177">
          <cell r="G177" t="str">
            <v/>
          </cell>
          <cell r="H177" t="str">
            <v/>
          </cell>
          <cell r="M177" t="str">
            <v/>
          </cell>
          <cell r="N177" t="str">
            <v/>
          </cell>
          <cell r="O177" t="str">
            <v/>
          </cell>
          <cell r="T177" t="str">
            <v/>
          </cell>
          <cell r="U177" t="str">
            <v/>
          </cell>
          <cell r="X177" t="str">
            <v/>
          </cell>
          <cell r="AH177" t="str">
            <v/>
          </cell>
          <cell r="AK177" t="str">
            <v/>
          </cell>
          <cell r="AM177" t="str">
            <v/>
          </cell>
          <cell r="AO177" t="str">
            <v/>
          </cell>
          <cell r="AS177" t="str">
            <v/>
          </cell>
          <cell r="AT177" t="str">
            <v/>
          </cell>
          <cell r="AU177" t="str">
            <v/>
          </cell>
          <cell r="AW177" t="str">
            <v/>
          </cell>
          <cell r="AX177" t="str">
            <v/>
          </cell>
        </row>
        <row r="178">
          <cell r="G178" t="str">
            <v/>
          </cell>
          <cell r="H178" t="str">
            <v/>
          </cell>
          <cell r="M178" t="str">
            <v/>
          </cell>
          <cell r="N178" t="str">
            <v/>
          </cell>
          <cell r="O178" t="str">
            <v/>
          </cell>
          <cell r="T178" t="str">
            <v/>
          </cell>
          <cell r="U178" t="str">
            <v/>
          </cell>
          <cell r="X178" t="str">
            <v/>
          </cell>
          <cell r="AH178" t="str">
            <v/>
          </cell>
          <cell r="AK178" t="str">
            <v/>
          </cell>
          <cell r="AM178" t="str">
            <v/>
          </cell>
          <cell r="AO178" t="str">
            <v/>
          </cell>
          <cell r="AS178" t="str">
            <v/>
          </cell>
          <cell r="AT178" t="str">
            <v/>
          </cell>
          <cell r="AU178" t="str">
            <v/>
          </cell>
          <cell r="AW178" t="str">
            <v/>
          </cell>
          <cell r="AX178" t="str">
            <v/>
          </cell>
        </row>
        <row r="179">
          <cell r="G179" t="str">
            <v/>
          </cell>
          <cell r="H179" t="str">
            <v/>
          </cell>
          <cell r="M179" t="str">
            <v/>
          </cell>
          <cell r="N179" t="str">
            <v/>
          </cell>
          <cell r="O179" t="str">
            <v/>
          </cell>
          <cell r="T179" t="str">
            <v/>
          </cell>
          <cell r="U179" t="str">
            <v/>
          </cell>
          <cell r="X179" t="str">
            <v/>
          </cell>
          <cell r="AH179" t="str">
            <v/>
          </cell>
          <cell r="AK179" t="str">
            <v/>
          </cell>
          <cell r="AM179" t="str">
            <v/>
          </cell>
          <cell r="AO179" t="str">
            <v/>
          </cell>
          <cell r="AS179" t="str">
            <v/>
          </cell>
          <cell r="AT179" t="str">
            <v/>
          </cell>
          <cell r="AU179" t="str">
            <v/>
          </cell>
          <cell r="AW179" t="str">
            <v/>
          </cell>
          <cell r="AX179" t="str">
            <v/>
          </cell>
        </row>
        <row r="180">
          <cell r="G180" t="str">
            <v/>
          </cell>
          <cell r="H180" t="str">
            <v/>
          </cell>
          <cell r="M180" t="str">
            <v/>
          </cell>
          <cell r="N180" t="str">
            <v/>
          </cell>
          <cell r="O180" t="str">
            <v/>
          </cell>
          <cell r="T180" t="str">
            <v/>
          </cell>
          <cell r="U180" t="str">
            <v/>
          </cell>
          <cell r="X180" t="str">
            <v/>
          </cell>
          <cell r="AH180" t="str">
            <v/>
          </cell>
          <cell r="AK180" t="str">
            <v/>
          </cell>
          <cell r="AM180" t="str">
            <v/>
          </cell>
          <cell r="AO180" t="str">
            <v/>
          </cell>
          <cell r="AS180" t="str">
            <v/>
          </cell>
          <cell r="AT180" t="str">
            <v/>
          </cell>
          <cell r="AU180" t="str">
            <v/>
          </cell>
          <cell r="AW180" t="str">
            <v/>
          </cell>
          <cell r="AX180" t="str">
            <v/>
          </cell>
        </row>
        <row r="181">
          <cell r="G181" t="str">
            <v/>
          </cell>
          <cell r="H181" t="str">
            <v/>
          </cell>
          <cell r="M181" t="str">
            <v/>
          </cell>
          <cell r="N181" t="str">
            <v/>
          </cell>
          <cell r="O181" t="str">
            <v/>
          </cell>
          <cell r="T181" t="str">
            <v/>
          </cell>
          <cell r="U181" t="str">
            <v/>
          </cell>
          <cell r="X181" t="str">
            <v/>
          </cell>
          <cell r="AH181" t="str">
            <v/>
          </cell>
          <cell r="AK181" t="str">
            <v/>
          </cell>
          <cell r="AM181" t="str">
            <v/>
          </cell>
          <cell r="AO181" t="str">
            <v/>
          </cell>
          <cell r="AS181" t="str">
            <v/>
          </cell>
          <cell r="AT181" t="str">
            <v/>
          </cell>
          <cell r="AU181" t="str">
            <v/>
          </cell>
          <cell r="AW181" t="str">
            <v/>
          </cell>
          <cell r="AX181" t="str">
            <v/>
          </cell>
        </row>
        <row r="182">
          <cell r="G182" t="str">
            <v/>
          </cell>
          <cell r="H182" t="str">
            <v/>
          </cell>
          <cell r="M182" t="str">
            <v/>
          </cell>
          <cell r="N182" t="str">
            <v/>
          </cell>
          <cell r="O182" t="str">
            <v/>
          </cell>
          <cell r="T182" t="str">
            <v/>
          </cell>
          <cell r="U182" t="str">
            <v/>
          </cell>
          <cell r="X182" t="str">
            <v/>
          </cell>
          <cell r="AH182" t="str">
            <v/>
          </cell>
          <cell r="AK182" t="str">
            <v/>
          </cell>
          <cell r="AM182" t="str">
            <v/>
          </cell>
          <cell r="AO182" t="str">
            <v/>
          </cell>
          <cell r="AS182" t="str">
            <v/>
          </cell>
          <cell r="AT182" t="str">
            <v/>
          </cell>
          <cell r="AU182" t="str">
            <v/>
          </cell>
          <cell r="AW182" t="str">
            <v/>
          </cell>
          <cell r="AX182" t="str">
            <v/>
          </cell>
        </row>
        <row r="183">
          <cell r="G183" t="str">
            <v/>
          </cell>
          <cell r="H183" t="str">
            <v/>
          </cell>
          <cell r="M183" t="str">
            <v/>
          </cell>
          <cell r="N183" t="str">
            <v/>
          </cell>
          <cell r="O183" t="str">
            <v/>
          </cell>
          <cell r="T183" t="str">
            <v/>
          </cell>
          <cell r="U183" t="str">
            <v/>
          </cell>
          <cell r="X183" t="str">
            <v/>
          </cell>
          <cell r="AH183" t="str">
            <v/>
          </cell>
          <cell r="AK183" t="str">
            <v/>
          </cell>
          <cell r="AM183" t="str">
            <v/>
          </cell>
          <cell r="AO183" t="str">
            <v/>
          </cell>
          <cell r="AS183" t="str">
            <v/>
          </cell>
          <cell r="AT183" t="str">
            <v/>
          </cell>
          <cell r="AU183" t="str">
            <v/>
          </cell>
          <cell r="AW183" t="str">
            <v/>
          </cell>
          <cell r="AX183" t="str">
            <v/>
          </cell>
        </row>
        <row r="184">
          <cell r="G184" t="str">
            <v/>
          </cell>
          <cell r="H184" t="str">
            <v/>
          </cell>
          <cell r="M184" t="str">
            <v/>
          </cell>
          <cell r="N184" t="str">
            <v/>
          </cell>
          <cell r="O184" t="str">
            <v/>
          </cell>
          <cell r="T184" t="str">
            <v/>
          </cell>
          <cell r="U184" t="str">
            <v/>
          </cell>
          <cell r="X184" t="str">
            <v/>
          </cell>
          <cell r="AH184" t="str">
            <v/>
          </cell>
          <cell r="AK184" t="str">
            <v/>
          </cell>
          <cell r="AM184" t="str">
            <v/>
          </cell>
          <cell r="AO184" t="str">
            <v/>
          </cell>
          <cell r="AS184" t="str">
            <v/>
          </cell>
          <cell r="AT184" t="str">
            <v/>
          </cell>
          <cell r="AU184" t="str">
            <v/>
          </cell>
          <cell r="AW184" t="str">
            <v/>
          </cell>
          <cell r="AX184" t="str">
            <v/>
          </cell>
        </row>
        <row r="185">
          <cell r="G185" t="str">
            <v/>
          </cell>
          <cell r="H185" t="str">
            <v/>
          </cell>
          <cell r="M185" t="str">
            <v/>
          </cell>
          <cell r="N185" t="str">
            <v/>
          </cell>
          <cell r="O185" t="str">
            <v/>
          </cell>
          <cell r="T185" t="str">
            <v/>
          </cell>
          <cell r="U185" t="str">
            <v/>
          </cell>
          <cell r="X185" t="str">
            <v/>
          </cell>
          <cell r="AH185" t="str">
            <v/>
          </cell>
          <cell r="AK185" t="str">
            <v/>
          </cell>
          <cell r="AM185" t="str">
            <v/>
          </cell>
          <cell r="AO185" t="str">
            <v/>
          </cell>
          <cell r="AS185" t="str">
            <v/>
          </cell>
          <cell r="AT185" t="str">
            <v/>
          </cell>
          <cell r="AU185" t="str">
            <v/>
          </cell>
          <cell r="AW185" t="str">
            <v/>
          </cell>
          <cell r="AX185" t="str">
            <v/>
          </cell>
        </row>
        <row r="186">
          <cell r="G186" t="str">
            <v/>
          </cell>
          <cell r="H186" t="str">
            <v/>
          </cell>
          <cell r="M186" t="str">
            <v/>
          </cell>
          <cell r="N186" t="str">
            <v/>
          </cell>
          <cell r="O186" t="str">
            <v/>
          </cell>
          <cell r="T186" t="str">
            <v/>
          </cell>
          <cell r="U186" t="str">
            <v/>
          </cell>
          <cell r="X186" t="str">
            <v/>
          </cell>
          <cell r="AH186" t="str">
            <v/>
          </cell>
          <cell r="AK186" t="str">
            <v/>
          </cell>
          <cell r="AM186" t="str">
            <v/>
          </cell>
          <cell r="AO186" t="str">
            <v/>
          </cell>
          <cell r="AS186" t="str">
            <v/>
          </cell>
          <cell r="AT186" t="str">
            <v/>
          </cell>
          <cell r="AU186" t="str">
            <v/>
          </cell>
          <cell r="AW186" t="str">
            <v/>
          </cell>
          <cell r="AX186" t="str">
            <v/>
          </cell>
        </row>
        <row r="187">
          <cell r="G187" t="str">
            <v/>
          </cell>
          <cell r="H187" t="str">
            <v/>
          </cell>
          <cell r="M187" t="str">
            <v/>
          </cell>
          <cell r="N187" t="str">
            <v/>
          </cell>
          <cell r="O187" t="str">
            <v/>
          </cell>
          <cell r="T187" t="str">
            <v/>
          </cell>
          <cell r="U187" t="str">
            <v/>
          </cell>
          <cell r="X187" t="str">
            <v/>
          </cell>
          <cell r="AH187" t="str">
            <v/>
          </cell>
          <cell r="AK187" t="str">
            <v/>
          </cell>
          <cell r="AM187" t="str">
            <v/>
          </cell>
          <cell r="AO187" t="str">
            <v/>
          </cell>
          <cell r="AS187" t="str">
            <v/>
          </cell>
          <cell r="AT187" t="str">
            <v/>
          </cell>
          <cell r="AU187" t="str">
            <v/>
          </cell>
          <cell r="AW187" t="str">
            <v/>
          </cell>
          <cell r="AX187" t="str">
            <v/>
          </cell>
        </row>
        <row r="188">
          <cell r="G188" t="str">
            <v/>
          </cell>
          <cell r="H188" t="str">
            <v/>
          </cell>
          <cell r="M188" t="str">
            <v/>
          </cell>
          <cell r="N188" t="str">
            <v/>
          </cell>
          <cell r="O188" t="str">
            <v/>
          </cell>
          <cell r="T188" t="str">
            <v/>
          </cell>
          <cell r="U188" t="str">
            <v/>
          </cell>
          <cell r="X188" t="str">
            <v/>
          </cell>
          <cell r="AH188" t="str">
            <v/>
          </cell>
          <cell r="AK188" t="str">
            <v/>
          </cell>
          <cell r="AM188" t="str">
            <v/>
          </cell>
          <cell r="AO188" t="str">
            <v/>
          </cell>
          <cell r="AS188" t="str">
            <v/>
          </cell>
          <cell r="AT188" t="str">
            <v/>
          </cell>
          <cell r="AU188" t="str">
            <v/>
          </cell>
          <cell r="AW188" t="str">
            <v/>
          </cell>
          <cell r="AX188" t="str">
            <v/>
          </cell>
        </row>
        <row r="189">
          <cell r="G189" t="str">
            <v/>
          </cell>
          <cell r="H189" t="str">
            <v/>
          </cell>
          <cell r="M189" t="str">
            <v/>
          </cell>
          <cell r="N189" t="str">
            <v/>
          </cell>
          <cell r="O189" t="str">
            <v/>
          </cell>
          <cell r="T189" t="str">
            <v/>
          </cell>
          <cell r="U189" t="str">
            <v/>
          </cell>
          <cell r="X189" t="str">
            <v/>
          </cell>
          <cell r="AH189" t="str">
            <v/>
          </cell>
          <cell r="AK189" t="str">
            <v/>
          </cell>
          <cell r="AM189" t="str">
            <v/>
          </cell>
          <cell r="AO189" t="str">
            <v/>
          </cell>
          <cell r="AS189" t="str">
            <v/>
          </cell>
          <cell r="AT189" t="str">
            <v/>
          </cell>
          <cell r="AU189" t="str">
            <v/>
          </cell>
          <cell r="AW189" t="str">
            <v/>
          </cell>
          <cell r="AX189" t="str">
            <v/>
          </cell>
        </row>
        <row r="190">
          <cell r="G190" t="str">
            <v/>
          </cell>
          <cell r="H190" t="str">
            <v/>
          </cell>
          <cell r="M190" t="str">
            <v/>
          </cell>
          <cell r="N190" t="str">
            <v/>
          </cell>
          <cell r="O190" t="str">
            <v/>
          </cell>
          <cell r="T190" t="str">
            <v/>
          </cell>
          <cell r="U190" t="str">
            <v/>
          </cell>
          <cell r="X190" t="str">
            <v/>
          </cell>
          <cell r="AH190" t="str">
            <v/>
          </cell>
          <cell r="AK190" t="str">
            <v/>
          </cell>
          <cell r="AM190" t="str">
            <v/>
          </cell>
          <cell r="AO190" t="str">
            <v/>
          </cell>
          <cell r="AS190" t="str">
            <v/>
          </cell>
          <cell r="AT190" t="str">
            <v/>
          </cell>
          <cell r="AU190" t="str">
            <v/>
          </cell>
          <cell r="AW190" t="str">
            <v/>
          </cell>
          <cell r="AX190" t="str">
            <v/>
          </cell>
        </row>
        <row r="191">
          <cell r="G191" t="str">
            <v/>
          </cell>
          <cell r="H191" t="str">
            <v/>
          </cell>
          <cell r="M191" t="str">
            <v/>
          </cell>
          <cell r="N191" t="str">
            <v/>
          </cell>
          <cell r="O191" t="str">
            <v/>
          </cell>
          <cell r="T191" t="str">
            <v/>
          </cell>
          <cell r="U191" t="str">
            <v/>
          </cell>
          <cell r="X191" t="str">
            <v/>
          </cell>
          <cell r="AH191" t="str">
            <v/>
          </cell>
          <cell r="AK191" t="str">
            <v/>
          </cell>
          <cell r="AM191" t="str">
            <v/>
          </cell>
          <cell r="AO191" t="str">
            <v/>
          </cell>
          <cell r="AS191" t="str">
            <v/>
          </cell>
          <cell r="AT191" t="str">
            <v/>
          </cell>
          <cell r="AU191" t="str">
            <v/>
          </cell>
          <cell r="AW191" t="str">
            <v/>
          </cell>
          <cell r="AX191" t="str">
            <v/>
          </cell>
        </row>
        <row r="192">
          <cell r="G192" t="str">
            <v/>
          </cell>
          <cell r="H192" t="str">
            <v/>
          </cell>
          <cell r="M192" t="str">
            <v/>
          </cell>
          <cell r="N192" t="str">
            <v/>
          </cell>
          <cell r="O192" t="str">
            <v/>
          </cell>
          <cell r="T192" t="str">
            <v/>
          </cell>
          <cell r="U192" t="str">
            <v/>
          </cell>
          <cell r="X192" t="str">
            <v/>
          </cell>
          <cell r="AH192" t="str">
            <v/>
          </cell>
          <cell r="AK192" t="str">
            <v/>
          </cell>
          <cell r="AM192" t="str">
            <v/>
          </cell>
          <cell r="AO192" t="str">
            <v/>
          </cell>
          <cell r="AS192" t="str">
            <v/>
          </cell>
          <cell r="AT192" t="str">
            <v/>
          </cell>
          <cell r="AU192" t="str">
            <v/>
          </cell>
          <cell r="AW192" t="str">
            <v/>
          </cell>
          <cell r="AX192" t="str">
            <v/>
          </cell>
        </row>
        <row r="193">
          <cell r="G193" t="str">
            <v/>
          </cell>
          <cell r="H193" t="str">
            <v/>
          </cell>
          <cell r="M193" t="str">
            <v/>
          </cell>
          <cell r="N193" t="str">
            <v/>
          </cell>
          <cell r="O193" t="str">
            <v/>
          </cell>
          <cell r="T193" t="str">
            <v/>
          </cell>
          <cell r="U193" t="str">
            <v/>
          </cell>
          <cell r="X193" t="str">
            <v/>
          </cell>
          <cell r="AH193" t="str">
            <v/>
          </cell>
          <cell r="AK193" t="str">
            <v/>
          </cell>
          <cell r="AM193" t="str">
            <v/>
          </cell>
          <cell r="AO193" t="str">
            <v/>
          </cell>
          <cell r="AS193" t="str">
            <v/>
          </cell>
          <cell r="AT193" t="str">
            <v/>
          </cell>
          <cell r="AU193" t="str">
            <v/>
          </cell>
          <cell r="AW193" t="str">
            <v/>
          </cell>
          <cell r="AX193" t="str">
            <v/>
          </cell>
        </row>
        <row r="194">
          <cell r="G194" t="str">
            <v/>
          </cell>
          <cell r="H194" t="str">
            <v/>
          </cell>
          <cell r="M194" t="str">
            <v/>
          </cell>
          <cell r="N194" t="str">
            <v/>
          </cell>
          <cell r="O194" t="str">
            <v/>
          </cell>
          <cell r="T194" t="str">
            <v/>
          </cell>
          <cell r="U194" t="str">
            <v/>
          </cell>
          <cell r="X194" t="str">
            <v/>
          </cell>
          <cell r="AH194" t="str">
            <v/>
          </cell>
          <cell r="AK194" t="str">
            <v/>
          </cell>
          <cell r="AM194" t="str">
            <v/>
          </cell>
          <cell r="AO194" t="str">
            <v/>
          </cell>
          <cell r="AS194" t="str">
            <v/>
          </cell>
          <cell r="AT194" t="str">
            <v/>
          </cell>
          <cell r="AU194" t="str">
            <v/>
          </cell>
          <cell r="AW194" t="str">
            <v/>
          </cell>
          <cell r="AX194" t="str">
            <v/>
          </cell>
        </row>
        <row r="195">
          <cell r="G195" t="str">
            <v/>
          </cell>
          <cell r="H195" t="str">
            <v/>
          </cell>
          <cell r="M195" t="str">
            <v/>
          </cell>
          <cell r="N195" t="str">
            <v/>
          </cell>
          <cell r="O195" t="str">
            <v/>
          </cell>
          <cell r="T195" t="str">
            <v/>
          </cell>
          <cell r="U195" t="str">
            <v/>
          </cell>
          <cell r="X195" t="str">
            <v/>
          </cell>
          <cell r="AH195" t="str">
            <v/>
          </cell>
          <cell r="AK195" t="str">
            <v/>
          </cell>
          <cell r="AM195" t="str">
            <v/>
          </cell>
          <cell r="AO195" t="str">
            <v/>
          </cell>
          <cell r="AS195" t="str">
            <v/>
          </cell>
          <cell r="AT195" t="str">
            <v/>
          </cell>
          <cell r="AU195" t="str">
            <v/>
          </cell>
          <cell r="AW195" t="str">
            <v/>
          </cell>
          <cell r="AX195" t="str">
            <v/>
          </cell>
        </row>
        <row r="196">
          <cell r="G196" t="str">
            <v/>
          </cell>
          <cell r="H196" t="str">
            <v/>
          </cell>
          <cell r="M196" t="str">
            <v/>
          </cell>
          <cell r="N196" t="str">
            <v/>
          </cell>
          <cell r="O196" t="str">
            <v/>
          </cell>
          <cell r="T196" t="str">
            <v/>
          </cell>
          <cell r="U196" t="str">
            <v/>
          </cell>
          <cell r="X196" t="str">
            <v/>
          </cell>
          <cell r="AH196" t="str">
            <v/>
          </cell>
          <cell r="AK196" t="str">
            <v/>
          </cell>
          <cell r="AM196" t="str">
            <v/>
          </cell>
          <cell r="AO196" t="str">
            <v/>
          </cell>
          <cell r="AS196" t="str">
            <v/>
          </cell>
          <cell r="AT196" t="str">
            <v/>
          </cell>
          <cell r="AU196" t="str">
            <v/>
          </cell>
          <cell r="AW196" t="str">
            <v/>
          </cell>
          <cell r="AX196" t="str">
            <v/>
          </cell>
        </row>
        <row r="197">
          <cell r="G197" t="str">
            <v/>
          </cell>
          <cell r="H197" t="str">
            <v/>
          </cell>
          <cell r="M197" t="str">
            <v/>
          </cell>
          <cell r="N197" t="str">
            <v/>
          </cell>
          <cell r="O197" t="str">
            <v/>
          </cell>
          <cell r="T197" t="str">
            <v/>
          </cell>
          <cell r="U197" t="str">
            <v/>
          </cell>
          <cell r="X197" t="str">
            <v/>
          </cell>
          <cell r="AH197" t="str">
            <v/>
          </cell>
          <cell r="AK197" t="str">
            <v/>
          </cell>
          <cell r="AM197" t="str">
            <v/>
          </cell>
          <cell r="AO197" t="str">
            <v/>
          </cell>
          <cell r="AS197" t="str">
            <v/>
          </cell>
          <cell r="AT197" t="str">
            <v/>
          </cell>
          <cell r="AU197" t="str">
            <v/>
          </cell>
          <cell r="AW197" t="str">
            <v/>
          </cell>
          <cell r="AX197" t="str">
            <v/>
          </cell>
        </row>
        <row r="198">
          <cell r="G198" t="str">
            <v/>
          </cell>
          <cell r="H198" t="str">
            <v/>
          </cell>
          <cell r="M198" t="str">
            <v/>
          </cell>
          <cell r="N198" t="str">
            <v/>
          </cell>
          <cell r="O198" t="str">
            <v/>
          </cell>
          <cell r="T198" t="str">
            <v/>
          </cell>
          <cell r="U198" t="str">
            <v/>
          </cell>
          <cell r="X198" t="str">
            <v/>
          </cell>
          <cell r="AH198" t="str">
            <v/>
          </cell>
          <cell r="AK198" t="str">
            <v/>
          </cell>
          <cell r="AM198" t="str">
            <v/>
          </cell>
          <cell r="AO198" t="str">
            <v/>
          </cell>
          <cell r="AS198" t="str">
            <v/>
          </cell>
          <cell r="AT198" t="str">
            <v/>
          </cell>
          <cell r="AU198" t="str">
            <v/>
          </cell>
          <cell r="AW198" t="str">
            <v/>
          </cell>
          <cell r="AX198" t="str">
            <v/>
          </cell>
        </row>
        <row r="199">
          <cell r="G199" t="str">
            <v/>
          </cell>
          <cell r="H199" t="str">
            <v/>
          </cell>
          <cell r="M199" t="str">
            <v/>
          </cell>
          <cell r="N199" t="str">
            <v/>
          </cell>
          <cell r="O199" t="str">
            <v/>
          </cell>
          <cell r="T199" t="str">
            <v/>
          </cell>
          <cell r="U199" t="str">
            <v/>
          </cell>
          <cell r="X199" t="str">
            <v/>
          </cell>
          <cell r="AH199" t="str">
            <v/>
          </cell>
          <cell r="AK199" t="str">
            <v/>
          </cell>
          <cell r="AM199" t="str">
            <v/>
          </cell>
          <cell r="AO199" t="str">
            <v/>
          </cell>
          <cell r="AS199" t="str">
            <v/>
          </cell>
          <cell r="AT199" t="str">
            <v/>
          </cell>
          <cell r="AU199" t="str">
            <v/>
          </cell>
          <cell r="AW199" t="str">
            <v/>
          </cell>
          <cell r="AX199" t="str">
            <v/>
          </cell>
        </row>
        <row r="200">
          <cell r="G200" t="str">
            <v/>
          </cell>
          <cell r="H200" t="str">
            <v/>
          </cell>
          <cell r="M200" t="str">
            <v/>
          </cell>
          <cell r="N200" t="str">
            <v/>
          </cell>
          <cell r="O200" t="str">
            <v/>
          </cell>
          <cell r="T200" t="str">
            <v/>
          </cell>
          <cell r="U200" t="str">
            <v/>
          </cell>
          <cell r="X200" t="str">
            <v/>
          </cell>
          <cell r="AH200" t="str">
            <v/>
          </cell>
          <cell r="AK200" t="str">
            <v/>
          </cell>
          <cell r="AM200" t="str">
            <v/>
          </cell>
          <cell r="AO200" t="str">
            <v/>
          </cell>
          <cell r="AS200" t="str">
            <v/>
          </cell>
          <cell r="AT200" t="str">
            <v/>
          </cell>
          <cell r="AU200" t="str">
            <v/>
          </cell>
          <cell r="AW200" t="str">
            <v/>
          </cell>
          <cell r="AX200" t="str">
            <v/>
          </cell>
        </row>
        <row r="201">
          <cell r="G201" t="str">
            <v/>
          </cell>
          <cell r="H201" t="str">
            <v/>
          </cell>
          <cell r="M201" t="str">
            <v/>
          </cell>
          <cell r="N201" t="str">
            <v/>
          </cell>
          <cell r="O201" t="str">
            <v/>
          </cell>
          <cell r="T201" t="str">
            <v/>
          </cell>
          <cell r="U201" t="str">
            <v/>
          </cell>
          <cell r="X201" t="str">
            <v/>
          </cell>
          <cell r="AH201" t="str">
            <v/>
          </cell>
          <cell r="AK201" t="str">
            <v/>
          </cell>
          <cell r="AM201" t="str">
            <v/>
          </cell>
          <cell r="AO201" t="str">
            <v/>
          </cell>
          <cell r="AS201" t="str">
            <v/>
          </cell>
          <cell r="AT201" t="str">
            <v/>
          </cell>
          <cell r="AU201" t="str">
            <v/>
          </cell>
          <cell r="AW201" t="str">
            <v/>
          </cell>
          <cell r="AX201" t="str">
            <v/>
          </cell>
        </row>
        <row r="202">
          <cell r="G202" t="str">
            <v/>
          </cell>
          <cell r="H202" t="str">
            <v/>
          </cell>
          <cell r="M202" t="str">
            <v/>
          </cell>
          <cell r="N202" t="str">
            <v/>
          </cell>
          <cell r="O202" t="str">
            <v/>
          </cell>
          <cell r="T202" t="str">
            <v/>
          </cell>
          <cell r="U202" t="str">
            <v/>
          </cell>
          <cell r="X202" t="str">
            <v/>
          </cell>
          <cell r="AH202" t="str">
            <v/>
          </cell>
          <cell r="AK202" t="str">
            <v/>
          </cell>
          <cell r="AM202" t="str">
            <v/>
          </cell>
          <cell r="AO202" t="str">
            <v/>
          </cell>
          <cell r="AS202" t="str">
            <v/>
          </cell>
          <cell r="AT202" t="str">
            <v/>
          </cell>
          <cell r="AU202" t="str">
            <v/>
          </cell>
          <cell r="AW202" t="str">
            <v/>
          </cell>
          <cell r="AX202" t="str">
            <v/>
          </cell>
        </row>
        <row r="203">
          <cell r="G203" t="str">
            <v/>
          </cell>
          <cell r="H203" t="str">
            <v/>
          </cell>
          <cell r="M203" t="str">
            <v/>
          </cell>
          <cell r="N203" t="str">
            <v/>
          </cell>
          <cell r="O203" t="str">
            <v/>
          </cell>
          <cell r="T203" t="str">
            <v/>
          </cell>
          <cell r="U203" t="str">
            <v/>
          </cell>
          <cell r="X203" t="str">
            <v/>
          </cell>
          <cell r="AH203" t="str">
            <v/>
          </cell>
          <cell r="AK203" t="str">
            <v/>
          </cell>
          <cell r="AM203" t="str">
            <v/>
          </cell>
          <cell r="AO203" t="str">
            <v/>
          </cell>
          <cell r="AS203" t="str">
            <v/>
          </cell>
          <cell r="AT203" t="str">
            <v/>
          </cell>
          <cell r="AU203" t="str">
            <v/>
          </cell>
          <cell r="AW203" t="str">
            <v/>
          </cell>
          <cell r="AX203" t="str">
            <v/>
          </cell>
        </row>
        <row r="204">
          <cell r="G204" t="str">
            <v/>
          </cell>
          <cell r="H204" t="str">
            <v/>
          </cell>
          <cell r="M204" t="str">
            <v/>
          </cell>
          <cell r="N204" t="str">
            <v/>
          </cell>
          <cell r="O204" t="str">
            <v/>
          </cell>
          <cell r="T204" t="str">
            <v/>
          </cell>
          <cell r="U204" t="str">
            <v/>
          </cell>
          <cell r="X204" t="str">
            <v/>
          </cell>
          <cell r="AH204" t="str">
            <v/>
          </cell>
          <cell r="AK204" t="str">
            <v/>
          </cell>
          <cell r="AM204" t="str">
            <v/>
          </cell>
          <cell r="AO204" t="str">
            <v/>
          </cell>
          <cell r="AS204" t="str">
            <v/>
          </cell>
          <cell r="AT204" t="str">
            <v/>
          </cell>
          <cell r="AU204" t="str">
            <v/>
          </cell>
          <cell r="AW204" t="str">
            <v/>
          </cell>
          <cell r="AX204" t="str">
            <v/>
          </cell>
        </row>
        <row r="205">
          <cell r="G205" t="str">
            <v/>
          </cell>
          <cell r="H205" t="str">
            <v/>
          </cell>
          <cell r="M205" t="str">
            <v/>
          </cell>
          <cell r="N205" t="str">
            <v/>
          </cell>
          <cell r="O205" t="str">
            <v/>
          </cell>
          <cell r="T205" t="str">
            <v/>
          </cell>
          <cell r="U205" t="str">
            <v/>
          </cell>
          <cell r="X205" t="str">
            <v/>
          </cell>
          <cell r="AH205" t="str">
            <v/>
          </cell>
          <cell r="AK205" t="str">
            <v/>
          </cell>
          <cell r="AM205" t="str">
            <v/>
          </cell>
          <cell r="AO205" t="str">
            <v/>
          </cell>
          <cell r="AS205" t="str">
            <v/>
          </cell>
          <cell r="AT205" t="str">
            <v/>
          </cell>
          <cell r="AU205" t="str">
            <v/>
          </cell>
          <cell r="AW205" t="str">
            <v/>
          </cell>
          <cell r="AX205" t="str">
            <v/>
          </cell>
        </row>
        <row r="206">
          <cell r="G206" t="str">
            <v/>
          </cell>
          <cell r="H206" t="str">
            <v/>
          </cell>
          <cell r="M206" t="str">
            <v/>
          </cell>
          <cell r="N206" t="str">
            <v/>
          </cell>
          <cell r="O206" t="str">
            <v/>
          </cell>
          <cell r="T206" t="str">
            <v/>
          </cell>
          <cell r="U206" t="str">
            <v/>
          </cell>
          <cell r="X206" t="str">
            <v/>
          </cell>
          <cell r="AH206" t="str">
            <v/>
          </cell>
          <cell r="AK206" t="str">
            <v/>
          </cell>
          <cell r="AM206" t="str">
            <v/>
          </cell>
          <cell r="AO206" t="str">
            <v/>
          </cell>
          <cell r="AS206" t="str">
            <v/>
          </cell>
          <cell r="AT206" t="str">
            <v/>
          </cell>
          <cell r="AU206" t="str">
            <v/>
          </cell>
          <cell r="AW206" t="str">
            <v/>
          </cell>
          <cell r="AX206" t="str">
            <v/>
          </cell>
        </row>
        <row r="207">
          <cell r="G207" t="str">
            <v/>
          </cell>
          <cell r="H207" t="str">
            <v/>
          </cell>
          <cell r="M207" t="str">
            <v/>
          </cell>
          <cell r="N207" t="str">
            <v/>
          </cell>
          <cell r="O207" t="str">
            <v/>
          </cell>
          <cell r="T207" t="str">
            <v/>
          </cell>
          <cell r="U207" t="str">
            <v/>
          </cell>
          <cell r="X207" t="str">
            <v/>
          </cell>
          <cell r="AH207" t="str">
            <v/>
          </cell>
          <cell r="AK207" t="str">
            <v/>
          </cell>
          <cell r="AM207" t="str">
            <v/>
          </cell>
          <cell r="AO207" t="str">
            <v/>
          </cell>
          <cell r="AS207" t="str">
            <v/>
          </cell>
          <cell r="AT207" t="str">
            <v/>
          </cell>
          <cell r="AU207" t="str">
            <v/>
          </cell>
          <cell r="AW207" t="str">
            <v/>
          </cell>
          <cell r="AX207" t="str">
            <v/>
          </cell>
        </row>
        <row r="208">
          <cell r="G208" t="str">
            <v/>
          </cell>
          <cell r="H208" t="str">
            <v/>
          </cell>
          <cell r="M208" t="str">
            <v/>
          </cell>
          <cell r="N208" t="str">
            <v/>
          </cell>
          <cell r="O208" t="str">
            <v/>
          </cell>
          <cell r="T208" t="str">
            <v/>
          </cell>
          <cell r="U208" t="str">
            <v/>
          </cell>
          <cell r="X208" t="str">
            <v/>
          </cell>
          <cell r="AH208" t="str">
            <v/>
          </cell>
          <cell r="AK208" t="str">
            <v/>
          </cell>
          <cell r="AM208" t="str">
            <v/>
          </cell>
          <cell r="AO208" t="str">
            <v/>
          </cell>
          <cell r="AS208" t="str">
            <v/>
          </cell>
          <cell r="AT208" t="str">
            <v/>
          </cell>
          <cell r="AU208" t="str">
            <v/>
          </cell>
          <cell r="AW208" t="str">
            <v/>
          </cell>
          <cell r="AX208" t="str">
            <v/>
          </cell>
        </row>
        <row r="209">
          <cell r="G209" t="str">
            <v/>
          </cell>
          <cell r="H209" t="str">
            <v/>
          </cell>
          <cell r="M209" t="str">
            <v/>
          </cell>
          <cell r="N209" t="str">
            <v/>
          </cell>
          <cell r="O209" t="str">
            <v/>
          </cell>
          <cell r="T209" t="str">
            <v/>
          </cell>
          <cell r="U209" t="str">
            <v/>
          </cell>
          <cell r="X209" t="str">
            <v/>
          </cell>
          <cell r="AH209" t="str">
            <v/>
          </cell>
          <cell r="AK209" t="str">
            <v/>
          </cell>
          <cell r="AM209" t="str">
            <v/>
          </cell>
          <cell r="AO209" t="str">
            <v/>
          </cell>
          <cell r="AS209" t="str">
            <v/>
          </cell>
          <cell r="AT209" t="str">
            <v/>
          </cell>
          <cell r="AU209" t="str">
            <v/>
          </cell>
          <cell r="AW209" t="str">
            <v/>
          </cell>
          <cell r="AX209" t="str">
            <v/>
          </cell>
        </row>
        <row r="210">
          <cell r="G210" t="str">
            <v/>
          </cell>
          <cell r="H210" t="str">
            <v/>
          </cell>
          <cell r="M210" t="str">
            <v/>
          </cell>
          <cell r="N210" t="str">
            <v/>
          </cell>
          <cell r="O210" t="str">
            <v/>
          </cell>
          <cell r="T210" t="str">
            <v/>
          </cell>
          <cell r="U210" t="str">
            <v/>
          </cell>
          <cell r="X210" t="str">
            <v/>
          </cell>
          <cell r="AH210" t="str">
            <v/>
          </cell>
          <cell r="AK210" t="str">
            <v/>
          </cell>
          <cell r="AM210" t="str">
            <v/>
          </cell>
          <cell r="AO210" t="str">
            <v/>
          </cell>
          <cell r="AS210" t="str">
            <v/>
          </cell>
          <cell r="AT210" t="str">
            <v/>
          </cell>
          <cell r="AU210" t="str">
            <v/>
          </cell>
          <cell r="AW210" t="str">
            <v/>
          </cell>
          <cell r="AX210" t="str">
            <v/>
          </cell>
        </row>
        <row r="211">
          <cell r="G211" t="str">
            <v/>
          </cell>
          <cell r="H211" t="str">
            <v/>
          </cell>
          <cell r="M211" t="str">
            <v/>
          </cell>
          <cell r="N211" t="str">
            <v/>
          </cell>
          <cell r="O211" t="str">
            <v/>
          </cell>
          <cell r="T211" t="str">
            <v/>
          </cell>
          <cell r="U211" t="str">
            <v/>
          </cell>
          <cell r="X211" t="str">
            <v/>
          </cell>
          <cell r="AH211" t="str">
            <v/>
          </cell>
          <cell r="AK211" t="str">
            <v/>
          </cell>
          <cell r="AM211" t="str">
            <v/>
          </cell>
          <cell r="AO211" t="str">
            <v/>
          </cell>
          <cell r="AS211" t="str">
            <v/>
          </cell>
          <cell r="AT211" t="str">
            <v/>
          </cell>
          <cell r="AU211" t="str">
            <v/>
          </cell>
          <cell r="AW211" t="str">
            <v/>
          </cell>
          <cell r="AX211" t="str">
            <v/>
          </cell>
        </row>
        <row r="212">
          <cell r="G212" t="str">
            <v/>
          </cell>
          <cell r="H212" t="str">
            <v/>
          </cell>
          <cell r="M212" t="str">
            <v/>
          </cell>
          <cell r="N212" t="str">
            <v/>
          </cell>
          <cell r="O212" t="str">
            <v/>
          </cell>
          <cell r="T212" t="str">
            <v/>
          </cell>
          <cell r="U212" t="str">
            <v/>
          </cell>
          <cell r="X212" t="str">
            <v/>
          </cell>
          <cell r="AH212" t="str">
            <v/>
          </cell>
          <cell r="AK212" t="str">
            <v/>
          </cell>
          <cell r="AM212" t="str">
            <v/>
          </cell>
          <cell r="AO212" t="str">
            <v/>
          </cell>
          <cell r="AS212" t="str">
            <v/>
          </cell>
          <cell r="AT212" t="str">
            <v/>
          </cell>
          <cell r="AU212" t="str">
            <v/>
          </cell>
          <cell r="AW212" t="str">
            <v/>
          </cell>
          <cell r="AX212" t="str">
            <v/>
          </cell>
        </row>
        <row r="213">
          <cell r="G213" t="str">
            <v/>
          </cell>
          <cell r="H213" t="str">
            <v/>
          </cell>
          <cell r="M213" t="str">
            <v/>
          </cell>
          <cell r="N213" t="str">
            <v/>
          </cell>
          <cell r="O213" t="str">
            <v/>
          </cell>
          <cell r="T213" t="str">
            <v/>
          </cell>
          <cell r="U213" t="str">
            <v/>
          </cell>
          <cell r="X213" t="str">
            <v/>
          </cell>
          <cell r="AH213" t="str">
            <v/>
          </cell>
          <cell r="AK213" t="str">
            <v/>
          </cell>
          <cell r="AM213" t="str">
            <v/>
          </cell>
          <cell r="AO213" t="str">
            <v/>
          </cell>
          <cell r="AS213" t="str">
            <v/>
          </cell>
          <cell r="AT213" t="str">
            <v/>
          </cell>
          <cell r="AU213" t="str">
            <v/>
          </cell>
          <cell r="AW213" t="str">
            <v/>
          </cell>
          <cell r="AX213" t="str">
            <v/>
          </cell>
        </row>
        <row r="214">
          <cell r="G214" t="str">
            <v/>
          </cell>
          <cell r="H214" t="str">
            <v/>
          </cell>
          <cell r="M214" t="str">
            <v/>
          </cell>
          <cell r="N214" t="str">
            <v/>
          </cell>
          <cell r="O214" t="str">
            <v/>
          </cell>
          <cell r="T214" t="str">
            <v/>
          </cell>
          <cell r="U214" t="str">
            <v/>
          </cell>
          <cell r="X214" t="str">
            <v/>
          </cell>
          <cell r="AH214" t="str">
            <v/>
          </cell>
          <cell r="AK214" t="str">
            <v/>
          </cell>
          <cell r="AM214" t="str">
            <v/>
          </cell>
          <cell r="AO214" t="str">
            <v/>
          </cell>
          <cell r="AS214" t="str">
            <v/>
          </cell>
          <cell r="AT214" t="str">
            <v/>
          </cell>
          <cell r="AU214" t="str">
            <v/>
          </cell>
          <cell r="AW214" t="str">
            <v/>
          </cell>
          <cell r="AX214" t="str">
            <v/>
          </cell>
        </row>
        <row r="215">
          <cell r="G215" t="str">
            <v/>
          </cell>
          <cell r="H215" t="str">
            <v/>
          </cell>
          <cell r="M215" t="str">
            <v/>
          </cell>
          <cell r="N215" t="str">
            <v/>
          </cell>
          <cell r="O215" t="str">
            <v/>
          </cell>
          <cell r="T215" t="str">
            <v/>
          </cell>
          <cell r="U215" t="str">
            <v/>
          </cell>
          <cell r="X215" t="str">
            <v/>
          </cell>
          <cell r="AH215" t="str">
            <v/>
          </cell>
          <cell r="AK215" t="str">
            <v/>
          </cell>
          <cell r="AM215" t="str">
            <v/>
          </cell>
          <cell r="AO215" t="str">
            <v/>
          </cell>
          <cell r="AS215" t="str">
            <v/>
          </cell>
          <cell r="AT215" t="str">
            <v/>
          </cell>
          <cell r="AU215" t="str">
            <v/>
          </cell>
          <cell r="AW215" t="str">
            <v/>
          </cell>
          <cell r="AX215" t="str">
            <v/>
          </cell>
        </row>
        <row r="216">
          <cell r="G216" t="str">
            <v/>
          </cell>
          <cell r="H216" t="str">
            <v/>
          </cell>
          <cell r="M216" t="str">
            <v/>
          </cell>
          <cell r="N216" t="str">
            <v/>
          </cell>
          <cell r="O216" t="str">
            <v/>
          </cell>
          <cell r="T216" t="str">
            <v/>
          </cell>
          <cell r="U216" t="str">
            <v/>
          </cell>
          <cell r="X216" t="str">
            <v/>
          </cell>
          <cell r="AH216" t="str">
            <v/>
          </cell>
          <cell r="AK216" t="str">
            <v/>
          </cell>
          <cell r="AM216" t="str">
            <v/>
          </cell>
          <cell r="AO216" t="str">
            <v/>
          </cell>
          <cell r="AS216" t="str">
            <v/>
          </cell>
          <cell r="AT216" t="str">
            <v/>
          </cell>
          <cell r="AU216" t="str">
            <v/>
          </cell>
          <cell r="AW216" t="str">
            <v/>
          </cell>
          <cell r="AX216" t="str">
            <v/>
          </cell>
        </row>
        <row r="217">
          <cell r="G217" t="str">
            <v/>
          </cell>
          <cell r="H217" t="str">
            <v/>
          </cell>
          <cell r="M217" t="str">
            <v/>
          </cell>
          <cell r="N217" t="str">
            <v/>
          </cell>
          <cell r="O217" t="str">
            <v/>
          </cell>
          <cell r="T217" t="str">
            <v/>
          </cell>
          <cell r="U217" t="str">
            <v/>
          </cell>
          <cell r="X217" t="str">
            <v/>
          </cell>
          <cell r="AH217" t="str">
            <v/>
          </cell>
          <cell r="AK217" t="str">
            <v/>
          </cell>
          <cell r="AM217" t="str">
            <v/>
          </cell>
          <cell r="AO217" t="str">
            <v/>
          </cell>
          <cell r="AS217" t="str">
            <v/>
          </cell>
          <cell r="AT217" t="str">
            <v/>
          </cell>
          <cell r="AU217" t="str">
            <v/>
          </cell>
          <cell r="AW217" t="str">
            <v/>
          </cell>
          <cell r="AX217" t="str">
            <v/>
          </cell>
        </row>
        <row r="218">
          <cell r="G218" t="str">
            <v/>
          </cell>
          <cell r="H218" t="str">
            <v/>
          </cell>
          <cell r="M218" t="str">
            <v/>
          </cell>
          <cell r="N218" t="str">
            <v/>
          </cell>
          <cell r="O218" t="str">
            <v/>
          </cell>
          <cell r="T218" t="str">
            <v/>
          </cell>
          <cell r="U218" t="str">
            <v/>
          </cell>
          <cell r="X218" t="str">
            <v/>
          </cell>
          <cell r="AH218" t="str">
            <v/>
          </cell>
          <cell r="AK218" t="str">
            <v/>
          </cell>
          <cell r="AM218" t="str">
            <v/>
          </cell>
          <cell r="AO218" t="str">
            <v/>
          </cell>
          <cell r="AS218" t="str">
            <v/>
          </cell>
          <cell r="AT218" t="str">
            <v/>
          </cell>
          <cell r="AU218" t="str">
            <v/>
          </cell>
          <cell r="AW218" t="str">
            <v/>
          </cell>
          <cell r="AX218" t="str">
            <v/>
          </cell>
        </row>
        <row r="219">
          <cell r="G219" t="str">
            <v/>
          </cell>
          <cell r="H219" t="str">
            <v/>
          </cell>
          <cell r="M219" t="str">
            <v/>
          </cell>
          <cell r="N219" t="str">
            <v/>
          </cell>
          <cell r="O219" t="str">
            <v/>
          </cell>
          <cell r="T219" t="str">
            <v/>
          </cell>
          <cell r="U219" t="str">
            <v/>
          </cell>
          <cell r="X219" t="str">
            <v/>
          </cell>
          <cell r="AH219" t="str">
            <v/>
          </cell>
          <cell r="AK219" t="str">
            <v/>
          </cell>
          <cell r="AM219" t="str">
            <v/>
          </cell>
          <cell r="AO219" t="str">
            <v/>
          </cell>
          <cell r="AS219" t="str">
            <v/>
          </cell>
          <cell r="AT219" t="str">
            <v/>
          </cell>
          <cell r="AU219" t="str">
            <v/>
          </cell>
          <cell r="AW219" t="str">
            <v/>
          </cell>
          <cell r="AX219" t="str">
            <v/>
          </cell>
        </row>
        <row r="220">
          <cell r="G220" t="str">
            <v/>
          </cell>
          <cell r="H220" t="str">
            <v/>
          </cell>
          <cell r="M220" t="str">
            <v/>
          </cell>
          <cell r="N220" t="str">
            <v/>
          </cell>
          <cell r="O220" t="str">
            <v/>
          </cell>
          <cell r="T220" t="str">
            <v/>
          </cell>
          <cell r="U220" t="str">
            <v/>
          </cell>
          <cell r="X220" t="str">
            <v/>
          </cell>
          <cell r="AH220" t="str">
            <v/>
          </cell>
          <cell r="AK220" t="str">
            <v/>
          </cell>
          <cell r="AM220" t="str">
            <v/>
          </cell>
          <cell r="AO220" t="str">
            <v/>
          </cell>
          <cell r="AS220" t="str">
            <v/>
          </cell>
          <cell r="AT220" t="str">
            <v/>
          </cell>
          <cell r="AU220" t="str">
            <v/>
          </cell>
          <cell r="AW220" t="str">
            <v/>
          </cell>
          <cell r="AX220" t="str">
            <v/>
          </cell>
        </row>
        <row r="221">
          <cell r="G221" t="str">
            <v/>
          </cell>
          <cell r="H221" t="str">
            <v/>
          </cell>
          <cell r="M221" t="str">
            <v/>
          </cell>
          <cell r="N221" t="str">
            <v/>
          </cell>
          <cell r="O221" t="str">
            <v/>
          </cell>
          <cell r="T221" t="str">
            <v/>
          </cell>
          <cell r="U221" t="str">
            <v/>
          </cell>
          <cell r="X221" t="str">
            <v/>
          </cell>
          <cell r="AH221" t="str">
            <v/>
          </cell>
          <cell r="AK221" t="str">
            <v/>
          </cell>
          <cell r="AM221" t="str">
            <v/>
          </cell>
          <cell r="AO221" t="str">
            <v/>
          </cell>
          <cell r="AS221" t="str">
            <v/>
          </cell>
          <cell r="AT221" t="str">
            <v/>
          </cell>
          <cell r="AU221" t="str">
            <v/>
          </cell>
          <cell r="AW221" t="str">
            <v/>
          </cell>
          <cell r="AX221" t="str">
            <v/>
          </cell>
        </row>
        <row r="222">
          <cell r="G222" t="str">
            <v/>
          </cell>
          <cell r="H222" t="str">
            <v/>
          </cell>
          <cell r="M222" t="str">
            <v/>
          </cell>
          <cell r="N222" t="str">
            <v/>
          </cell>
          <cell r="O222" t="str">
            <v/>
          </cell>
          <cell r="T222" t="str">
            <v/>
          </cell>
          <cell r="U222" t="str">
            <v/>
          </cell>
          <cell r="X222" t="str">
            <v/>
          </cell>
          <cell r="AH222" t="str">
            <v/>
          </cell>
          <cell r="AK222" t="str">
            <v/>
          </cell>
          <cell r="AM222" t="str">
            <v/>
          </cell>
          <cell r="AO222" t="str">
            <v/>
          </cell>
          <cell r="AS222" t="str">
            <v/>
          </cell>
          <cell r="AT222" t="str">
            <v/>
          </cell>
          <cell r="AU222" t="str">
            <v/>
          </cell>
          <cell r="AW222" t="str">
            <v/>
          </cell>
          <cell r="AX222" t="str">
            <v/>
          </cell>
        </row>
        <row r="223">
          <cell r="G223" t="str">
            <v/>
          </cell>
          <cell r="H223" t="str">
            <v/>
          </cell>
          <cell r="M223" t="str">
            <v/>
          </cell>
          <cell r="N223" t="str">
            <v/>
          </cell>
          <cell r="O223" t="str">
            <v/>
          </cell>
          <cell r="T223" t="str">
            <v/>
          </cell>
          <cell r="U223" t="str">
            <v/>
          </cell>
          <cell r="X223" t="str">
            <v/>
          </cell>
          <cell r="AH223" t="str">
            <v/>
          </cell>
          <cell r="AK223" t="str">
            <v/>
          </cell>
          <cell r="AM223" t="str">
            <v/>
          </cell>
          <cell r="AO223" t="str">
            <v/>
          </cell>
          <cell r="AS223" t="str">
            <v/>
          </cell>
          <cell r="AT223" t="str">
            <v/>
          </cell>
          <cell r="AU223" t="str">
            <v/>
          </cell>
          <cell r="AW223" t="str">
            <v/>
          </cell>
          <cell r="AX223" t="str">
            <v/>
          </cell>
        </row>
        <row r="224">
          <cell r="G224" t="str">
            <v/>
          </cell>
          <cell r="H224" t="str">
            <v/>
          </cell>
          <cell r="M224" t="str">
            <v/>
          </cell>
          <cell r="N224" t="str">
            <v/>
          </cell>
          <cell r="O224" t="str">
            <v/>
          </cell>
          <cell r="T224" t="str">
            <v/>
          </cell>
          <cell r="U224" t="str">
            <v/>
          </cell>
          <cell r="X224" t="str">
            <v/>
          </cell>
          <cell r="AH224" t="str">
            <v/>
          </cell>
          <cell r="AK224" t="str">
            <v/>
          </cell>
          <cell r="AM224" t="str">
            <v/>
          </cell>
          <cell r="AO224" t="str">
            <v/>
          </cell>
          <cell r="AS224" t="str">
            <v/>
          </cell>
          <cell r="AT224" t="str">
            <v/>
          </cell>
          <cell r="AU224" t="str">
            <v/>
          </cell>
          <cell r="AW224" t="str">
            <v/>
          </cell>
          <cell r="AX224" t="str">
            <v/>
          </cell>
        </row>
        <row r="225">
          <cell r="G225" t="str">
            <v/>
          </cell>
          <cell r="H225" t="str">
            <v/>
          </cell>
          <cell r="M225" t="str">
            <v/>
          </cell>
          <cell r="N225" t="str">
            <v/>
          </cell>
          <cell r="O225" t="str">
            <v/>
          </cell>
          <cell r="T225" t="str">
            <v/>
          </cell>
          <cell r="U225" t="str">
            <v/>
          </cell>
          <cell r="X225" t="str">
            <v/>
          </cell>
          <cell r="AH225" t="str">
            <v/>
          </cell>
          <cell r="AK225" t="str">
            <v/>
          </cell>
          <cell r="AM225" t="str">
            <v/>
          </cell>
          <cell r="AO225" t="str">
            <v/>
          </cell>
          <cell r="AS225" t="str">
            <v/>
          </cell>
          <cell r="AT225" t="str">
            <v/>
          </cell>
          <cell r="AU225" t="str">
            <v/>
          </cell>
          <cell r="AW225" t="str">
            <v/>
          </cell>
          <cell r="AX225" t="str">
            <v/>
          </cell>
        </row>
        <row r="226">
          <cell r="G226" t="str">
            <v/>
          </cell>
          <cell r="H226" t="str">
            <v/>
          </cell>
          <cell r="M226" t="str">
            <v/>
          </cell>
          <cell r="N226" t="str">
            <v/>
          </cell>
          <cell r="O226" t="str">
            <v/>
          </cell>
          <cell r="T226" t="str">
            <v/>
          </cell>
          <cell r="U226" t="str">
            <v/>
          </cell>
          <cell r="X226" t="str">
            <v/>
          </cell>
          <cell r="AH226" t="str">
            <v/>
          </cell>
          <cell r="AK226" t="str">
            <v/>
          </cell>
          <cell r="AM226" t="str">
            <v/>
          </cell>
          <cell r="AO226" t="str">
            <v/>
          </cell>
          <cell r="AS226" t="str">
            <v/>
          </cell>
          <cell r="AT226" t="str">
            <v/>
          </cell>
          <cell r="AU226" t="str">
            <v/>
          </cell>
          <cell r="AW226" t="str">
            <v/>
          </cell>
          <cell r="AX226" t="str">
            <v/>
          </cell>
        </row>
        <row r="227">
          <cell r="G227" t="str">
            <v/>
          </cell>
          <cell r="H227" t="str">
            <v/>
          </cell>
          <cell r="M227" t="str">
            <v/>
          </cell>
          <cell r="N227" t="str">
            <v/>
          </cell>
          <cell r="O227" t="str">
            <v/>
          </cell>
          <cell r="T227" t="str">
            <v/>
          </cell>
          <cell r="U227" t="str">
            <v/>
          </cell>
          <cell r="X227" t="str">
            <v/>
          </cell>
          <cell r="AH227" t="str">
            <v/>
          </cell>
          <cell r="AK227" t="str">
            <v/>
          </cell>
          <cell r="AM227" t="str">
            <v/>
          </cell>
          <cell r="AO227" t="str">
            <v/>
          </cell>
          <cell r="AS227" t="str">
            <v/>
          </cell>
          <cell r="AT227" t="str">
            <v/>
          </cell>
          <cell r="AU227" t="str">
            <v/>
          </cell>
          <cell r="AW227" t="str">
            <v/>
          </cell>
          <cell r="AX227" t="str">
            <v/>
          </cell>
        </row>
        <row r="228">
          <cell r="G228" t="str">
            <v/>
          </cell>
          <cell r="H228" t="str">
            <v/>
          </cell>
          <cell r="M228" t="str">
            <v/>
          </cell>
          <cell r="N228" t="str">
            <v/>
          </cell>
          <cell r="O228" t="str">
            <v/>
          </cell>
          <cell r="T228" t="str">
            <v/>
          </cell>
          <cell r="U228" t="str">
            <v/>
          </cell>
          <cell r="X228" t="str">
            <v/>
          </cell>
          <cell r="AH228" t="str">
            <v/>
          </cell>
          <cell r="AK228" t="str">
            <v/>
          </cell>
          <cell r="AM228" t="str">
            <v/>
          </cell>
          <cell r="AO228" t="str">
            <v/>
          </cell>
          <cell r="AS228" t="str">
            <v/>
          </cell>
          <cell r="AT228" t="str">
            <v/>
          </cell>
          <cell r="AU228" t="str">
            <v/>
          </cell>
          <cell r="AW228" t="str">
            <v/>
          </cell>
          <cell r="AX228" t="str">
            <v/>
          </cell>
        </row>
        <row r="229">
          <cell r="G229" t="str">
            <v/>
          </cell>
          <cell r="H229" t="str">
            <v/>
          </cell>
          <cell r="M229" t="str">
            <v/>
          </cell>
          <cell r="N229" t="str">
            <v/>
          </cell>
          <cell r="O229" t="str">
            <v/>
          </cell>
          <cell r="T229" t="str">
            <v/>
          </cell>
          <cell r="U229" t="str">
            <v/>
          </cell>
          <cell r="X229" t="str">
            <v/>
          </cell>
          <cell r="AH229" t="str">
            <v/>
          </cell>
          <cell r="AK229" t="str">
            <v/>
          </cell>
          <cell r="AM229" t="str">
            <v/>
          </cell>
          <cell r="AO229" t="str">
            <v/>
          </cell>
          <cell r="AS229" t="str">
            <v/>
          </cell>
          <cell r="AT229" t="str">
            <v/>
          </cell>
          <cell r="AU229" t="str">
            <v/>
          </cell>
          <cell r="AW229" t="str">
            <v/>
          </cell>
          <cell r="AX229" t="str">
            <v/>
          </cell>
        </row>
        <row r="230">
          <cell r="G230" t="str">
            <v/>
          </cell>
          <cell r="H230" t="str">
            <v/>
          </cell>
          <cell r="M230" t="str">
            <v/>
          </cell>
          <cell r="N230" t="str">
            <v/>
          </cell>
          <cell r="O230" t="str">
            <v/>
          </cell>
          <cell r="T230" t="str">
            <v/>
          </cell>
          <cell r="U230" t="str">
            <v/>
          </cell>
          <cell r="X230" t="str">
            <v/>
          </cell>
          <cell r="AH230" t="str">
            <v/>
          </cell>
          <cell r="AK230" t="str">
            <v/>
          </cell>
          <cell r="AM230" t="str">
            <v/>
          </cell>
          <cell r="AO230" t="str">
            <v/>
          </cell>
          <cell r="AS230" t="str">
            <v/>
          </cell>
          <cell r="AT230" t="str">
            <v/>
          </cell>
          <cell r="AU230" t="str">
            <v/>
          </cell>
          <cell r="AW230" t="str">
            <v/>
          </cell>
          <cell r="AX230" t="str">
            <v/>
          </cell>
        </row>
        <row r="231">
          <cell r="G231" t="str">
            <v/>
          </cell>
          <cell r="H231" t="str">
            <v/>
          </cell>
          <cell r="M231" t="str">
            <v/>
          </cell>
          <cell r="N231" t="str">
            <v/>
          </cell>
          <cell r="O231" t="str">
            <v/>
          </cell>
          <cell r="T231" t="str">
            <v/>
          </cell>
          <cell r="U231" t="str">
            <v/>
          </cell>
          <cell r="X231" t="str">
            <v/>
          </cell>
          <cell r="AH231" t="str">
            <v/>
          </cell>
          <cell r="AK231" t="str">
            <v/>
          </cell>
          <cell r="AM231" t="str">
            <v/>
          </cell>
          <cell r="AO231" t="str">
            <v/>
          </cell>
          <cell r="AS231" t="str">
            <v/>
          </cell>
          <cell r="AT231" t="str">
            <v/>
          </cell>
          <cell r="AU231" t="str">
            <v/>
          </cell>
          <cell r="AW231" t="str">
            <v/>
          </cell>
          <cell r="AX231" t="str">
            <v/>
          </cell>
        </row>
        <row r="232">
          <cell r="G232" t="str">
            <v/>
          </cell>
          <cell r="H232" t="str">
            <v/>
          </cell>
          <cell r="M232" t="str">
            <v/>
          </cell>
          <cell r="N232" t="str">
            <v/>
          </cell>
          <cell r="O232" t="str">
            <v/>
          </cell>
          <cell r="T232" t="str">
            <v/>
          </cell>
          <cell r="U232" t="str">
            <v/>
          </cell>
          <cell r="X232" t="str">
            <v/>
          </cell>
          <cell r="AH232" t="str">
            <v/>
          </cell>
          <cell r="AK232" t="str">
            <v/>
          </cell>
          <cell r="AM232" t="str">
            <v/>
          </cell>
          <cell r="AO232" t="str">
            <v/>
          </cell>
          <cell r="AS232" t="str">
            <v/>
          </cell>
          <cell r="AT232" t="str">
            <v/>
          </cell>
          <cell r="AU232" t="str">
            <v/>
          </cell>
          <cell r="AW232" t="str">
            <v/>
          </cell>
          <cell r="AX232" t="str">
            <v/>
          </cell>
        </row>
        <row r="233">
          <cell r="G233" t="str">
            <v/>
          </cell>
          <cell r="H233" t="str">
            <v/>
          </cell>
          <cell r="M233" t="str">
            <v/>
          </cell>
          <cell r="N233" t="str">
            <v/>
          </cell>
          <cell r="O233" t="str">
            <v/>
          </cell>
          <cell r="T233" t="str">
            <v/>
          </cell>
          <cell r="U233" t="str">
            <v/>
          </cell>
          <cell r="X233" t="str">
            <v/>
          </cell>
          <cell r="AH233" t="str">
            <v/>
          </cell>
          <cell r="AK233" t="str">
            <v/>
          </cell>
          <cell r="AM233" t="str">
            <v/>
          </cell>
          <cell r="AO233" t="str">
            <v/>
          </cell>
          <cell r="AS233" t="str">
            <v/>
          </cell>
          <cell r="AT233" t="str">
            <v/>
          </cell>
          <cell r="AU233" t="str">
            <v/>
          </cell>
          <cell r="AW233" t="str">
            <v/>
          </cell>
          <cell r="AX233" t="str">
            <v/>
          </cell>
        </row>
        <row r="234">
          <cell r="G234" t="str">
            <v/>
          </cell>
          <cell r="H234" t="str">
            <v/>
          </cell>
          <cell r="M234" t="str">
            <v/>
          </cell>
          <cell r="N234" t="str">
            <v/>
          </cell>
          <cell r="O234" t="str">
            <v/>
          </cell>
          <cell r="T234" t="str">
            <v/>
          </cell>
          <cell r="U234" t="str">
            <v/>
          </cell>
          <cell r="X234" t="str">
            <v/>
          </cell>
          <cell r="AH234" t="str">
            <v/>
          </cell>
          <cell r="AK234" t="str">
            <v/>
          </cell>
          <cell r="AM234" t="str">
            <v/>
          </cell>
          <cell r="AO234" t="str">
            <v/>
          </cell>
          <cell r="AS234" t="str">
            <v/>
          </cell>
          <cell r="AT234" t="str">
            <v/>
          </cell>
          <cell r="AU234" t="str">
            <v/>
          </cell>
          <cell r="AW234" t="str">
            <v/>
          </cell>
          <cell r="AX234" t="str">
            <v/>
          </cell>
        </row>
        <row r="235">
          <cell r="G235" t="str">
            <v/>
          </cell>
          <cell r="H235" t="str">
            <v/>
          </cell>
          <cell r="M235" t="str">
            <v/>
          </cell>
          <cell r="N235" t="str">
            <v/>
          </cell>
          <cell r="O235" t="str">
            <v/>
          </cell>
          <cell r="T235" t="str">
            <v/>
          </cell>
          <cell r="U235" t="str">
            <v/>
          </cell>
          <cell r="X235" t="str">
            <v/>
          </cell>
          <cell r="AH235" t="str">
            <v/>
          </cell>
          <cell r="AK235" t="str">
            <v/>
          </cell>
          <cell r="AM235" t="str">
            <v/>
          </cell>
          <cell r="AO235" t="str">
            <v/>
          </cell>
          <cell r="AS235" t="str">
            <v/>
          </cell>
          <cell r="AT235" t="str">
            <v/>
          </cell>
          <cell r="AU235" t="str">
            <v/>
          </cell>
          <cell r="AW235" t="str">
            <v/>
          </cell>
          <cell r="AX235" t="str">
            <v/>
          </cell>
        </row>
        <row r="236">
          <cell r="G236" t="str">
            <v/>
          </cell>
          <cell r="H236" t="str">
            <v/>
          </cell>
          <cell r="M236" t="str">
            <v/>
          </cell>
          <cell r="N236" t="str">
            <v/>
          </cell>
          <cell r="O236" t="str">
            <v/>
          </cell>
          <cell r="T236" t="str">
            <v/>
          </cell>
          <cell r="U236" t="str">
            <v/>
          </cell>
          <cell r="X236" t="str">
            <v/>
          </cell>
          <cell r="AH236" t="str">
            <v/>
          </cell>
          <cell r="AK236" t="str">
            <v/>
          </cell>
          <cell r="AM236" t="str">
            <v/>
          </cell>
          <cell r="AO236" t="str">
            <v/>
          </cell>
          <cell r="AS236" t="str">
            <v/>
          </cell>
          <cell r="AT236" t="str">
            <v/>
          </cell>
          <cell r="AU236" t="str">
            <v/>
          </cell>
          <cell r="AW236" t="str">
            <v/>
          </cell>
          <cell r="AX236" t="str">
            <v/>
          </cell>
        </row>
        <row r="237">
          <cell r="G237" t="str">
            <v/>
          </cell>
          <cell r="H237" t="str">
            <v/>
          </cell>
          <cell r="M237" t="str">
            <v/>
          </cell>
          <cell r="N237" t="str">
            <v/>
          </cell>
          <cell r="O237" t="str">
            <v/>
          </cell>
          <cell r="T237" t="str">
            <v/>
          </cell>
          <cell r="U237" t="str">
            <v/>
          </cell>
          <cell r="X237" t="str">
            <v/>
          </cell>
          <cell r="AH237" t="str">
            <v/>
          </cell>
          <cell r="AK237" t="str">
            <v/>
          </cell>
          <cell r="AM237" t="str">
            <v/>
          </cell>
          <cell r="AO237" t="str">
            <v/>
          </cell>
          <cell r="AS237" t="str">
            <v/>
          </cell>
          <cell r="AT237" t="str">
            <v/>
          </cell>
          <cell r="AU237" t="str">
            <v/>
          </cell>
          <cell r="AW237" t="str">
            <v/>
          </cell>
          <cell r="AX237" t="str">
            <v/>
          </cell>
        </row>
        <row r="238">
          <cell r="G238" t="str">
            <v/>
          </cell>
          <cell r="H238" t="str">
            <v/>
          </cell>
          <cell r="M238" t="str">
            <v/>
          </cell>
          <cell r="N238" t="str">
            <v/>
          </cell>
          <cell r="O238" t="str">
            <v/>
          </cell>
          <cell r="T238" t="str">
            <v/>
          </cell>
          <cell r="U238" t="str">
            <v/>
          </cell>
          <cell r="X238" t="str">
            <v/>
          </cell>
          <cell r="AH238" t="str">
            <v/>
          </cell>
          <cell r="AK238" t="str">
            <v/>
          </cell>
          <cell r="AM238" t="str">
            <v/>
          </cell>
          <cell r="AO238" t="str">
            <v/>
          </cell>
          <cell r="AS238" t="str">
            <v/>
          </cell>
          <cell r="AT238" t="str">
            <v/>
          </cell>
          <cell r="AU238" t="str">
            <v/>
          </cell>
          <cell r="AW238" t="str">
            <v/>
          </cell>
          <cell r="AX238" t="str">
            <v/>
          </cell>
        </row>
        <row r="239">
          <cell r="G239" t="str">
            <v/>
          </cell>
          <cell r="H239" t="str">
            <v/>
          </cell>
          <cell r="M239" t="str">
            <v/>
          </cell>
          <cell r="N239" t="str">
            <v/>
          </cell>
          <cell r="O239" t="str">
            <v/>
          </cell>
          <cell r="T239" t="str">
            <v/>
          </cell>
          <cell r="U239" t="str">
            <v/>
          </cell>
          <cell r="X239" t="str">
            <v/>
          </cell>
          <cell r="AH239" t="str">
            <v/>
          </cell>
          <cell r="AK239" t="str">
            <v/>
          </cell>
          <cell r="AM239" t="str">
            <v/>
          </cell>
          <cell r="AO239" t="str">
            <v/>
          </cell>
          <cell r="AS239" t="str">
            <v/>
          </cell>
          <cell r="AT239" t="str">
            <v/>
          </cell>
          <cell r="AU239" t="str">
            <v/>
          </cell>
          <cell r="AW239" t="str">
            <v/>
          </cell>
          <cell r="AX239" t="str">
            <v/>
          </cell>
        </row>
        <row r="240">
          <cell r="G240" t="str">
            <v/>
          </cell>
          <cell r="H240" t="str">
            <v/>
          </cell>
          <cell r="M240" t="str">
            <v/>
          </cell>
          <cell r="N240" t="str">
            <v/>
          </cell>
          <cell r="O240" t="str">
            <v/>
          </cell>
          <cell r="T240" t="str">
            <v/>
          </cell>
          <cell r="U240" t="str">
            <v/>
          </cell>
          <cell r="X240" t="str">
            <v/>
          </cell>
          <cell r="AH240" t="str">
            <v/>
          </cell>
          <cell r="AK240" t="str">
            <v/>
          </cell>
          <cell r="AM240" t="str">
            <v/>
          </cell>
          <cell r="AO240" t="str">
            <v/>
          </cell>
          <cell r="AS240" t="str">
            <v/>
          </cell>
          <cell r="AT240" t="str">
            <v/>
          </cell>
          <cell r="AU240" t="str">
            <v/>
          </cell>
          <cell r="AW240" t="str">
            <v/>
          </cell>
          <cell r="AX240" t="str">
            <v/>
          </cell>
        </row>
        <row r="241">
          <cell r="G241" t="str">
            <v/>
          </cell>
          <cell r="H241" t="str">
            <v/>
          </cell>
          <cell r="M241" t="str">
            <v/>
          </cell>
          <cell r="N241" t="str">
            <v/>
          </cell>
          <cell r="O241" t="str">
            <v/>
          </cell>
          <cell r="T241" t="str">
            <v/>
          </cell>
          <cell r="U241" t="str">
            <v/>
          </cell>
          <cell r="X241" t="str">
            <v/>
          </cell>
          <cell r="AH241" t="str">
            <v/>
          </cell>
          <cell r="AK241" t="str">
            <v/>
          </cell>
          <cell r="AM241" t="str">
            <v/>
          </cell>
          <cell r="AO241" t="str">
            <v/>
          </cell>
          <cell r="AS241" t="str">
            <v/>
          </cell>
          <cell r="AT241" t="str">
            <v/>
          </cell>
          <cell r="AU241" t="str">
            <v/>
          </cell>
          <cell r="AW241" t="str">
            <v/>
          </cell>
          <cell r="AX241" t="str">
            <v/>
          </cell>
        </row>
        <row r="242">
          <cell r="G242" t="str">
            <v/>
          </cell>
          <cell r="H242" t="str">
            <v/>
          </cell>
          <cell r="M242" t="str">
            <v/>
          </cell>
          <cell r="N242" t="str">
            <v/>
          </cell>
          <cell r="O242" t="str">
            <v/>
          </cell>
          <cell r="T242" t="str">
            <v/>
          </cell>
          <cell r="U242" t="str">
            <v/>
          </cell>
          <cell r="X242" t="str">
            <v/>
          </cell>
          <cell r="AH242" t="str">
            <v/>
          </cell>
          <cell r="AK242" t="str">
            <v/>
          </cell>
          <cell r="AM242" t="str">
            <v/>
          </cell>
          <cell r="AO242" t="str">
            <v/>
          </cell>
          <cell r="AS242" t="str">
            <v/>
          </cell>
          <cell r="AT242" t="str">
            <v/>
          </cell>
          <cell r="AU242" t="str">
            <v/>
          </cell>
          <cell r="AW242" t="str">
            <v/>
          </cell>
          <cell r="AX242" t="str">
            <v/>
          </cell>
        </row>
        <row r="243">
          <cell r="G243" t="str">
            <v/>
          </cell>
          <cell r="H243" t="str">
            <v/>
          </cell>
          <cell r="M243" t="str">
            <v/>
          </cell>
          <cell r="N243" t="str">
            <v/>
          </cell>
          <cell r="O243" t="str">
            <v/>
          </cell>
          <cell r="T243" t="str">
            <v/>
          </cell>
          <cell r="U243" t="str">
            <v/>
          </cell>
          <cell r="X243" t="str">
            <v/>
          </cell>
          <cell r="AH243" t="str">
            <v/>
          </cell>
          <cell r="AK243" t="str">
            <v/>
          </cell>
          <cell r="AM243" t="str">
            <v/>
          </cell>
          <cell r="AO243" t="str">
            <v/>
          </cell>
          <cell r="AS243" t="str">
            <v/>
          </cell>
          <cell r="AT243" t="str">
            <v/>
          </cell>
          <cell r="AU243" t="str">
            <v/>
          </cell>
          <cell r="AW243" t="str">
            <v/>
          </cell>
          <cell r="AX243" t="str">
            <v/>
          </cell>
        </row>
        <row r="244">
          <cell r="G244" t="str">
            <v/>
          </cell>
          <cell r="H244" t="str">
            <v/>
          </cell>
          <cell r="M244" t="str">
            <v/>
          </cell>
          <cell r="N244" t="str">
            <v/>
          </cell>
          <cell r="O244" t="str">
            <v/>
          </cell>
          <cell r="T244" t="str">
            <v/>
          </cell>
          <cell r="U244" t="str">
            <v/>
          </cell>
          <cell r="X244" t="str">
            <v/>
          </cell>
          <cell r="AH244" t="str">
            <v/>
          </cell>
          <cell r="AK244" t="str">
            <v/>
          </cell>
          <cell r="AM244" t="str">
            <v/>
          </cell>
          <cell r="AO244" t="str">
            <v/>
          </cell>
          <cell r="AS244" t="str">
            <v/>
          </cell>
          <cell r="AT244" t="str">
            <v/>
          </cell>
          <cell r="AU244" t="str">
            <v/>
          </cell>
          <cell r="AW244" t="str">
            <v/>
          </cell>
          <cell r="AX244" t="str">
            <v/>
          </cell>
        </row>
        <row r="245">
          <cell r="G245" t="str">
            <v/>
          </cell>
          <cell r="H245" t="str">
            <v/>
          </cell>
          <cell r="M245" t="str">
            <v/>
          </cell>
          <cell r="N245" t="str">
            <v/>
          </cell>
          <cell r="O245" t="str">
            <v/>
          </cell>
          <cell r="T245" t="str">
            <v/>
          </cell>
          <cell r="U245" t="str">
            <v/>
          </cell>
          <cell r="X245" t="str">
            <v/>
          </cell>
          <cell r="AH245" t="str">
            <v/>
          </cell>
          <cell r="AK245" t="str">
            <v/>
          </cell>
          <cell r="AM245" t="str">
            <v/>
          </cell>
          <cell r="AO245" t="str">
            <v/>
          </cell>
          <cell r="AS245" t="str">
            <v/>
          </cell>
          <cell r="AT245" t="str">
            <v/>
          </cell>
          <cell r="AU245" t="str">
            <v/>
          </cell>
          <cell r="AW245" t="str">
            <v/>
          </cell>
          <cell r="AX245" t="str">
            <v/>
          </cell>
        </row>
        <row r="246">
          <cell r="G246" t="str">
            <v/>
          </cell>
          <cell r="H246" t="str">
            <v/>
          </cell>
          <cell r="M246" t="str">
            <v/>
          </cell>
          <cell r="N246" t="str">
            <v/>
          </cell>
          <cell r="O246" t="str">
            <v/>
          </cell>
          <cell r="T246" t="str">
            <v/>
          </cell>
          <cell r="U246" t="str">
            <v/>
          </cell>
          <cell r="X246" t="str">
            <v/>
          </cell>
          <cell r="AH246" t="str">
            <v/>
          </cell>
          <cell r="AK246" t="str">
            <v/>
          </cell>
          <cell r="AM246" t="str">
            <v/>
          </cell>
          <cell r="AO246" t="str">
            <v/>
          </cell>
          <cell r="AS246" t="str">
            <v/>
          </cell>
          <cell r="AT246" t="str">
            <v/>
          </cell>
          <cell r="AU246" t="str">
            <v/>
          </cell>
          <cell r="AW246" t="str">
            <v/>
          </cell>
          <cell r="AX246" t="str">
            <v/>
          </cell>
        </row>
        <row r="247">
          <cell r="G247" t="str">
            <v/>
          </cell>
          <cell r="H247" t="str">
            <v/>
          </cell>
          <cell r="M247" t="str">
            <v/>
          </cell>
          <cell r="N247" t="str">
            <v/>
          </cell>
          <cell r="O247" t="str">
            <v/>
          </cell>
          <cell r="T247" t="str">
            <v/>
          </cell>
          <cell r="U247" t="str">
            <v/>
          </cell>
          <cell r="X247" t="str">
            <v/>
          </cell>
          <cell r="AH247" t="str">
            <v/>
          </cell>
          <cell r="AK247" t="str">
            <v/>
          </cell>
          <cell r="AM247" t="str">
            <v/>
          </cell>
          <cell r="AO247" t="str">
            <v/>
          </cell>
          <cell r="AS247" t="str">
            <v/>
          </cell>
          <cell r="AT247" t="str">
            <v/>
          </cell>
          <cell r="AU247" t="str">
            <v/>
          </cell>
          <cell r="AW247" t="str">
            <v/>
          </cell>
          <cell r="AX247" t="str">
            <v/>
          </cell>
        </row>
        <row r="248">
          <cell r="G248" t="str">
            <v/>
          </cell>
          <cell r="H248" t="str">
            <v/>
          </cell>
          <cell r="M248" t="str">
            <v/>
          </cell>
          <cell r="N248" t="str">
            <v/>
          </cell>
          <cell r="O248" t="str">
            <v/>
          </cell>
          <cell r="T248" t="str">
            <v/>
          </cell>
          <cell r="U248" t="str">
            <v/>
          </cell>
          <cell r="X248" t="str">
            <v/>
          </cell>
          <cell r="AH248" t="str">
            <v/>
          </cell>
          <cell r="AK248" t="str">
            <v/>
          </cell>
          <cell r="AM248" t="str">
            <v/>
          </cell>
          <cell r="AO248" t="str">
            <v/>
          </cell>
          <cell r="AS248" t="str">
            <v/>
          </cell>
          <cell r="AT248" t="str">
            <v/>
          </cell>
          <cell r="AU248" t="str">
            <v/>
          </cell>
          <cell r="AW248" t="str">
            <v/>
          </cell>
          <cell r="AX248" t="str">
            <v/>
          </cell>
        </row>
        <row r="249">
          <cell r="G249" t="str">
            <v/>
          </cell>
          <cell r="H249" t="str">
            <v/>
          </cell>
          <cell r="M249" t="str">
            <v/>
          </cell>
          <cell r="N249" t="str">
            <v/>
          </cell>
          <cell r="O249" t="str">
            <v/>
          </cell>
          <cell r="T249" t="str">
            <v/>
          </cell>
          <cell r="U249" t="str">
            <v/>
          </cell>
          <cell r="X249" t="str">
            <v/>
          </cell>
          <cell r="AH249" t="str">
            <v/>
          </cell>
          <cell r="AK249" t="str">
            <v/>
          </cell>
          <cell r="AM249" t="str">
            <v/>
          </cell>
          <cell r="AO249" t="str">
            <v/>
          </cell>
          <cell r="AS249" t="str">
            <v/>
          </cell>
          <cell r="AT249" t="str">
            <v/>
          </cell>
          <cell r="AU249" t="str">
            <v/>
          </cell>
          <cell r="AW249" t="str">
            <v/>
          </cell>
          <cell r="AX249" t="str">
            <v/>
          </cell>
        </row>
        <row r="250">
          <cell r="G250" t="str">
            <v/>
          </cell>
          <cell r="H250" t="str">
            <v/>
          </cell>
          <cell r="M250" t="str">
            <v/>
          </cell>
          <cell r="N250" t="str">
            <v/>
          </cell>
          <cell r="O250" t="str">
            <v/>
          </cell>
          <cell r="T250" t="str">
            <v/>
          </cell>
          <cell r="U250" t="str">
            <v/>
          </cell>
          <cell r="X250" t="str">
            <v/>
          </cell>
          <cell r="AH250" t="str">
            <v/>
          </cell>
          <cell r="AK250" t="str">
            <v/>
          </cell>
          <cell r="AM250" t="str">
            <v/>
          </cell>
          <cell r="AO250" t="str">
            <v/>
          </cell>
          <cell r="AS250" t="str">
            <v/>
          </cell>
          <cell r="AT250" t="str">
            <v/>
          </cell>
          <cell r="AU250" t="str">
            <v/>
          </cell>
          <cell r="AW250" t="str">
            <v/>
          </cell>
          <cell r="AX250" t="str">
            <v/>
          </cell>
        </row>
        <row r="251">
          <cell r="G251" t="str">
            <v/>
          </cell>
          <cell r="H251" t="str">
            <v/>
          </cell>
          <cell r="M251" t="str">
            <v/>
          </cell>
          <cell r="N251" t="str">
            <v/>
          </cell>
          <cell r="O251" t="str">
            <v/>
          </cell>
          <cell r="T251" t="str">
            <v/>
          </cell>
          <cell r="U251" t="str">
            <v/>
          </cell>
          <cell r="X251" t="str">
            <v/>
          </cell>
          <cell r="AH251" t="str">
            <v/>
          </cell>
          <cell r="AK251" t="str">
            <v/>
          </cell>
          <cell r="AM251" t="str">
            <v/>
          </cell>
          <cell r="AO251" t="str">
            <v/>
          </cell>
          <cell r="AS251" t="str">
            <v/>
          </cell>
          <cell r="AT251" t="str">
            <v/>
          </cell>
          <cell r="AU251" t="str">
            <v/>
          </cell>
          <cell r="AW251" t="str">
            <v/>
          </cell>
          <cell r="AX251" t="str">
            <v/>
          </cell>
        </row>
        <row r="252">
          <cell r="G252" t="str">
            <v/>
          </cell>
          <cell r="H252" t="str">
            <v/>
          </cell>
          <cell r="M252" t="str">
            <v/>
          </cell>
          <cell r="N252" t="str">
            <v/>
          </cell>
          <cell r="O252" t="str">
            <v/>
          </cell>
          <cell r="T252" t="str">
            <v/>
          </cell>
          <cell r="U252" t="str">
            <v/>
          </cell>
          <cell r="X252" t="str">
            <v/>
          </cell>
          <cell r="AH252" t="str">
            <v/>
          </cell>
          <cell r="AK252" t="str">
            <v/>
          </cell>
          <cell r="AM252" t="str">
            <v/>
          </cell>
          <cell r="AO252" t="str">
            <v/>
          </cell>
          <cell r="AS252" t="str">
            <v/>
          </cell>
          <cell r="AT252" t="str">
            <v/>
          </cell>
          <cell r="AU252" t="str">
            <v/>
          </cell>
          <cell r="AW252" t="str">
            <v/>
          </cell>
          <cell r="AX252" t="str">
            <v/>
          </cell>
        </row>
        <row r="253">
          <cell r="G253" t="str">
            <v/>
          </cell>
          <cell r="H253" t="str">
            <v/>
          </cell>
          <cell r="M253" t="str">
            <v/>
          </cell>
          <cell r="N253" t="str">
            <v/>
          </cell>
          <cell r="O253" t="str">
            <v/>
          </cell>
          <cell r="T253" t="str">
            <v/>
          </cell>
          <cell r="U253" t="str">
            <v/>
          </cell>
          <cell r="X253" t="str">
            <v/>
          </cell>
          <cell r="AH253" t="str">
            <v/>
          </cell>
          <cell r="AK253" t="str">
            <v/>
          </cell>
          <cell r="AM253" t="str">
            <v/>
          </cell>
          <cell r="AO253" t="str">
            <v/>
          </cell>
          <cell r="AS253" t="str">
            <v/>
          </cell>
          <cell r="AT253" t="str">
            <v/>
          </cell>
          <cell r="AU253" t="str">
            <v/>
          </cell>
          <cell r="AW253" t="str">
            <v/>
          </cell>
          <cell r="AX253" t="str">
            <v/>
          </cell>
        </row>
        <row r="254">
          <cell r="G254" t="str">
            <v/>
          </cell>
          <cell r="H254" t="str">
            <v/>
          </cell>
          <cell r="M254" t="str">
            <v/>
          </cell>
          <cell r="N254" t="str">
            <v/>
          </cell>
          <cell r="O254" t="str">
            <v/>
          </cell>
          <cell r="T254" t="str">
            <v/>
          </cell>
          <cell r="U254" t="str">
            <v/>
          </cell>
          <cell r="X254" t="str">
            <v/>
          </cell>
          <cell r="AH254" t="str">
            <v/>
          </cell>
          <cell r="AK254" t="str">
            <v/>
          </cell>
          <cell r="AM254" t="str">
            <v/>
          </cell>
          <cell r="AO254" t="str">
            <v/>
          </cell>
          <cell r="AS254" t="str">
            <v/>
          </cell>
          <cell r="AT254" t="str">
            <v/>
          </cell>
          <cell r="AU254" t="str">
            <v/>
          </cell>
          <cell r="AW254" t="str">
            <v/>
          </cell>
          <cell r="AX254" t="str">
            <v/>
          </cell>
        </row>
        <row r="255">
          <cell r="G255" t="str">
            <v/>
          </cell>
          <cell r="H255" t="str">
            <v/>
          </cell>
          <cell r="M255" t="str">
            <v/>
          </cell>
          <cell r="N255" t="str">
            <v/>
          </cell>
          <cell r="O255" t="str">
            <v/>
          </cell>
          <cell r="T255" t="str">
            <v/>
          </cell>
          <cell r="U255" t="str">
            <v/>
          </cell>
          <cell r="X255" t="str">
            <v/>
          </cell>
          <cell r="AH255" t="str">
            <v/>
          </cell>
          <cell r="AK255" t="str">
            <v/>
          </cell>
          <cell r="AM255" t="str">
            <v/>
          </cell>
          <cell r="AO255" t="str">
            <v/>
          </cell>
          <cell r="AS255" t="str">
            <v/>
          </cell>
          <cell r="AT255" t="str">
            <v/>
          </cell>
          <cell r="AU255" t="str">
            <v/>
          </cell>
          <cell r="AW255" t="str">
            <v/>
          </cell>
          <cell r="AX255" t="str">
            <v/>
          </cell>
        </row>
        <row r="256">
          <cell r="G256" t="str">
            <v/>
          </cell>
          <cell r="H256" t="str">
            <v/>
          </cell>
          <cell r="M256" t="str">
            <v/>
          </cell>
          <cell r="N256" t="str">
            <v/>
          </cell>
          <cell r="O256" t="str">
            <v/>
          </cell>
          <cell r="T256" t="str">
            <v/>
          </cell>
          <cell r="U256" t="str">
            <v/>
          </cell>
          <cell r="X256" t="str">
            <v/>
          </cell>
          <cell r="AH256" t="str">
            <v/>
          </cell>
          <cell r="AK256" t="str">
            <v/>
          </cell>
          <cell r="AM256" t="str">
            <v/>
          </cell>
          <cell r="AO256" t="str">
            <v/>
          </cell>
          <cell r="AS256" t="str">
            <v/>
          </cell>
          <cell r="AT256" t="str">
            <v/>
          </cell>
          <cell r="AU256" t="str">
            <v/>
          </cell>
          <cell r="AW256" t="str">
            <v/>
          </cell>
          <cell r="AX256" t="str">
            <v/>
          </cell>
        </row>
        <row r="257">
          <cell r="G257" t="str">
            <v/>
          </cell>
          <cell r="H257" t="str">
            <v/>
          </cell>
          <cell r="M257" t="str">
            <v/>
          </cell>
          <cell r="N257" t="str">
            <v/>
          </cell>
          <cell r="O257" t="str">
            <v/>
          </cell>
          <cell r="T257" t="str">
            <v/>
          </cell>
          <cell r="U257" t="str">
            <v/>
          </cell>
          <cell r="X257" t="str">
            <v/>
          </cell>
          <cell r="AH257" t="str">
            <v/>
          </cell>
          <cell r="AK257" t="str">
            <v/>
          </cell>
          <cell r="AM257" t="str">
            <v/>
          </cell>
          <cell r="AO257" t="str">
            <v/>
          </cell>
          <cell r="AS257" t="str">
            <v/>
          </cell>
          <cell r="AT257" t="str">
            <v/>
          </cell>
          <cell r="AU257" t="str">
            <v/>
          </cell>
          <cell r="AW257" t="str">
            <v/>
          </cell>
          <cell r="AX257" t="str">
            <v/>
          </cell>
        </row>
        <row r="258">
          <cell r="G258" t="str">
            <v/>
          </cell>
          <cell r="H258" t="str">
            <v/>
          </cell>
          <cell r="M258" t="str">
            <v/>
          </cell>
          <cell r="N258" t="str">
            <v/>
          </cell>
          <cell r="O258" t="str">
            <v/>
          </cell>
          <cell r="T258" t="str">
            <v/>
          </cell>
          <cell r="U258" t="str">
            <v/>
          </cell>
          <cell r="X258" t="str">
            <v/>
          </cell>
          <cell r="AH258" t="str">
            <v/>
          </cell>
          <cell r="AK258" t="str">
            <v/>
          </cell>
          <cell r="AM258" t="str">
            <v/>
          </cell>
          <cell r="AO258" t="str">
            <v/>
          </cell>
          <cell r="AS258" t="str">
            <v/>
          </cell>
          <cell r="AT258" t="str">
            <v/>
          </cell>
          <cell r="AU258" t="str">
            <v/>
          </cell>
          <cell r="AW258" t="str">
            <v/>
          </cell>
          <cell r="AX258" t="str">
            <v/>
          </cell>
        </row>
        <row r="259">
          <cell r="G259" t="str">
            <v/>
          </cell>
          <cell r="H259" t="str">
            <v/>
          </cell>
          <cell r="M259" t="str">
            <v/>
          </cell>
          <cell r="N259" t="str">
            <v/>
          </cell>
          <cell r="O259" t="str">
            <v/>
          </cell>
          <cell r="T259" t="str">
            <v/>
          </cell>
          <cell r="U259" t="str">
            <v/>
          </cell>
          <cell r="X259" t="str">
            <v/>
          </cell>
          <cell r="AH259" t="str">
            <v/>
          </cell>
          <cell r="AK259" t="str">
            <v/>
          </cell>
          <cell r="AM259" t="str">
            <v/>
          </cell>
          <cell r="AO259" t="str">
            <v/>
          </cell>
          <cell r="AS259" t="str">
            <v/>
          </cell>
          <cell r="AT259" t="str">
            <v/>
          </cell>
          <cell r="AU259" t="str">
            <v/>
          </cell>
          <cell r="AW259" t="str">
            <v/>
          </cell>
          <cell r="AX259" t="str">
            <v/>
          </cell>
        </row>
        <row r="260">
          <cell r="G260" t="str">
            <v/>
          </cell>
          <cell r="H260" t="str">
            <v/>
          </cell>
          <cell r="M260" t="str">
            <v/>
          </cell>
          <cell r="N260" t="str">
            <v/>
          </cell>
          <cell r="O260" t="str">
            <v/>
          </cell>
          <cell r="T260" t="str">
            <v/>
          </cell>
          <cell r="U260" t="str">
            <v/>
          </cell>
          <cell r="X260" t="str">
            <v/>
          </cell>
          <cell r="AH260" t="str">
            <v/>
          </cell>
          <cell r="AK260" t="str">
            <v/>
          </cell>
          <cell r="AM260" t="str">
            <v/>
          </cell>
          <cell r="AO260" t="str">
            <v/>
          </cell>
          <cell r="AS260" t="str">
            <v/>
          </cell>
          <cell r="AT260" t="str">
            <v/>
          </cell>
          <cell r="AU260" t="str">
            <v/>
          </cell>
          <cell r="AW260" t="str">
            <v/>
          </cell>
          <cell r="AX260" t="str">
            <v/>
          </cell>
        </row>
        <row r="261">
          <cell r="G261" t="str">
            <v/>
          </cell>
          <cell r="H261" t="str">
            <v/>
          </cell>
          <cell r="M261" t="str">
            <v/>
          </cell>
          <cell r="N261" t="str">
            <v/>
          </cell>
          <cell r="O261" t="str">
            <v/>
          </cell>
          <cell r="T261" t="str">
            <v/>
          </cell>
          <cell r="U261" t="str">
            <v/>
          </cell>
          <cell r="X261" t="str">
            <v/>
          </cell>
          <cell r="AH261" t="str">
            <v/>
          </cell>
          <cell r="AK261" t="str">
            <v/>
          </cell>
          <cell r="AM261" t="str">
            <v/>
          </cell>
          <cell r="AO261" t="str">
            <v/>
          </cell>
          <cell r="AS261" t="str">
            <v/>
          </cell>
          <cell r="AT261" t="str">
            <v/>
          </cell>
          <cell r="AU261" t="str">
            <v/>
          </cell>
          <cell r="AW261" t="str">
            <v/>
          </cell>
          <cell r="AX261" t="str">
            <v/>
          </cell>
        </row>
        <row r="262">
          <cell r="G262" t="str">
            <v/>
          </cell>
          <cell r="H262" t="str">
            <v/>
          </cell>
          <cell r="M262" t="str">
            <v/>
          </cell>
          <cell r="N262" t="str">
            <v/>
          </cell>
          <cell r="O262" t="str">
            <v/>
          </cell>
          <cell r="T262" t="str">
            <v/>
          </cell>
          <cell r="U262" t="str">
            <v/>
          </cell>
          <cell r="X262" t="str">
            <v/>
          </cell>
          <cell r="AH262" t="str">
            <v/>
          </cell>
          <cell r="AK262" t="str">
            <v/>
          </cell>
          <cell r="AM262" t="str">
            <v/>
          </cell>
          <cell r="AO262" t="str">
            <v/>
          </cell>
          <cell r="AS262" t="str">
            <v/>
          </cell>
          <cell r="AT262" t="str">
            <v/>
          </cell>
          <cell r="AU262" t="str">
            <v/>
          </cell>
          <cell r="AW262" t="str">
            <v/>
          </cell>
          <cell r="AX262" t="str">
            <v/>
          </cell>
        </row>
        <row r="263">
          <cell r="G263" t="str">
            <v/>
          </cell>
          <cell r="H263" t="str">
            <v/>
          </cell>
          <cell r="M263" t="str">
            <v/>
          </cell>
          <cell r="N263" t="str">
            <v/>
          </cell>
          <cell r="O263" t="str">
            <v/>
          </cell>
          <cell r="T263" t="str">
            <v/>
          </cell>
          <cell r="U263" t="str">
            <v/>
          </cell>
          <cell r="X263" t="str">
            <v/>
          </cell>
          <cell r="AH263" t="str">
            <v/>
          </cell>
          <cell r="AK263" t="str">
            <v/>
          </cell>
          <cell r="AM263" t="str">
            <v/>
          </cell>
          <cell r="AO263" t="str">
            <v/>
          </cell>
          <cell r="AS263" t="str">
            <v/>
          </cell>
          <cell r="AT263" t="str">
            <v/>
          </cell>
          <cell r="AU263" t="str">
            <v/>
          </cell>
          <cell r="AW263" t="str">
            <v/>
          </cell>
          <cell r="AX263" t="str">
            <v/>
          </cell>
        </row>
        <row r="264">
          <cell r="G264" t="str">
            <v/>
          </cell>
          <cell r="H264" t="str">
            <v/>
          </cell>
          <cell r="M264" t="str">
            <v/>
          </cell>
          <cell r="N264" t="str">
            <v/>
          </cell>
          <cell r="O264" t="str">
            <v/>
          </cell>
          <cell r="T264" t="str">
            <v/>
          </cell>
          <cell r="U264" t="str">
            <v/>
          </cell>
          <cell r="X264" t="str">
            <v/>
          </cell>
          <cell r="AH264" t="str">
            <v/>
          </cell>
          <cell r="AK264" t="str">
            <v/>
          </cell>
          <cell r="AM264" t="str">
            <v/>
          </cell>
          <cell r="AO264" t="str">
            <v/>
          </cell>
          <cell r="AS264" t="str">
            <v/>
          </cell>
          <cell r="AT264" t="str">
            <v/>
          </cell>
          <cell r="AU264" t="str">
            <v/>
          </cell>
          <cell r="AW264" t="str">
            <v/>
          </cell>
          <cell r="AX264" t="str">
            <v/>
          </cell>
        </row>
        <row r="265">
          <cell r="G265" t="str">
            <v/>
          </cell>
          <cell r="H265" t="str">
            <v/>
          </cell>
          <cell r="M265" t="str">
            <v/>
          </cell>
          <cell r="N265" t="str">
            <v/>
          </cell>
          <cell r="O265" t="str">
            <v/>
          </cell>
          <cell r="T265" t="str">
            <v/>
          </cell>
          <cell r="U265" t="str">
            <v/>
          </cell>
          <cell r="X265" t="str">
            <v/>
          </cell>
          <cell r="AH265" t="str">
            <v/>
          </cell>
          <cell r="AK265" t="str">
            <v/>
          </cell>
          <cell r="AM265" t="str">
            <v/>
          </cell>
          <cell r="AO265" t="str">
            <v/>
          </cell>
          <cell r="AS265" t="str">
            <v/>
          </cell>
          <cell r="AT265" t="str">
            <v/>
          </cell>
          <cell r="AU265" t="str">
            <v/>
          </cell>
          <cell r="AW265" t="str">
            <v/>
          </cell>
          <cell r="AX265" t="str">
            <v/>
          </cell>
        </row>
        <row r="266">
          <cell r="G266" t="str">
            <v/>
          </cell>
          <cell r="H266" t="str">
            <v/>
          </cell>
          <cell r="M266" t="str">
            <v/>
          </cell>
          <cell r="N266" t="str">
            <v/>
          </cell>
          <cell r="O266" t="str">
            <v/>
          </cell>
          <cell r="T266" t="str">
            <v/>
          </cell>
          <cell r="U266" t="str">
            <v/>
          </cell>
          <cell r="X266" t="str">
            <v/>
          </cell>
          <cell r="AH266" t="str">
            <v/>
          </cell>
          <cell r="AK266" t="str">
            <v/>
          </cell>
          <cell r="AM266" t="str">
            <v/>
          </cell>
          <cell r="AO266" t="str">
            <v/>
          </cell>
          <cell r="AS266" t="str">
            <v/>
          </cell>
          <cell r="AT266" t="str">
            <v/>
          </cell>
          <cell r="AU266" t="str">
            <v/>
          </cell>
          <cell r="AW266" t="str">
            <v/>
          </cell>
          <cell r="AX266" t="str">
            <v/>
          </cell>
        </row>
        <row r="267">
          <cell r="G267" t="str">
            <v/>
          </cell>
          <cell r="H267" t="str">
            <v/>
          </cell>
          <cell r="M267" t="str">
            <v/>
          </cell>
          <cell r="N267" t="str">
            <v/>
          </cell>
          <cell r="O267" t="str">
            <v/>
          </cell>
          <cell r="T267" t="str">
            <v/>
          </cell>
          <cell r="U267" t="str">
            <v/>
          </cell>
          <cell r="X267" t="str">
            <v/>
          </cell>
          <cell r="AH267" t="str">
            <v/>
          </cell>
          <cell r="AK267" t="str">
            <v/>
          </cell>
          <cell r="AM267" t="str">
            <v/>
          </cell>
          <cell r="AO267" t="str">
            <v/>
          </cell>
          <cell r="AS267" t="str">
            <v/>
          </cell>
          <cell r="AT267" t="str">
            <v/>
          </cell>
          <cell r="AU267" t="str">
            <v/>
          </cell>
          <cell r="AW267" t="str">
            <v/>
          </cell>
          <cell r="AX267" t="str">
            <v/>
          </cell>
        </row>
        <row r="268">
          <cell r="G268" t="str">
            <v/>
          </cell>
          <cell r="H268" t="str">
            <v/>
          </cell>
          <cell r="M268" t="str">
            <v/>
          </cell>
          <cell r="N268" t="str">
            <v/>
          </cell>
          <cell r="O268" t="str">
            <v/>
          </cell>
          <cell r="T268" t="str">
            <v/>
          </cell>
          <cell r="U268" t="str">
            <v/>
          </cell>
          <cell r="X268" t="str">
            <v/>
          </cell>
          <cell r="AH268" t="str">
            <v/>
          </cell>
          <cell r="AK268" t="str">
            <v/>
          </cell>
          <cell r="AM268" t="str">
            <v/>
          </cell>
          <cell r="AO268" t="str">
            <v/>
          </cell>
          <cell r="AS268" t="str">
            <v/>
          </cell>
          <cell r="AT268" t="str">
            <v/>
          </cell>
          <cell r="AU268" t="str">
            <v/>
          </cell>
          <cell r="AW268" t="str">
            <v/>
          </cell>
          <cell r="AX268" t="str">
            <v/>
          </cell>
        </row>
        <row r="269">
          <cell r="G269" t="str">
            <v/>
          </cell>
          <cell r="H269" t="str">
            <v/>
          </cell>
          <cell r="M269" t="str">
            <v/>
          </cell>
          <cell r="N269" t="str">
            <v/>
          </cell>
          <cell r="O269" t="str">
            <v/>
          </cell>
          <cell r="T269" t="str">
            <v/>
          </cell>
          <cell r="U269" t="str">
            <v/>
          </cell>
          <cell r="X269" t="str">
            <v/>
          </cell>
          <cell r="AH269" t="str">
            <v/>
          </cell>
          <cell r="AK269" t="str">
            <v/>
          </cell>
          <cell r="AM269" t="str">
            <v/>
          </cell>
          <cell r="AO269" t="str">
            <v/>
          </cell>
          <cell r="AS269" t="str">
            <v/>
          </cell>
          <cell r="AT269" t="str">
            <v/>
          </cell>
          <cell r="AU269" t="str">
            <v/>
          </cell>
          <cell r="AW269" t="str">
            <v/>
          </cell>
          <cell r="AX269" t="str">
            <v/>
          </cell>
        </row>
        <row r="270">
          <cell r="G270" t="str">
            <v/>
          </cell>
          <cell r="H270" t="str">
            <v/>
          </cell>
          <cell r="M270" t="str">
            <v/>
          </cell>
          <cell r="N270" t="str">
            <v/>
          </cell>
          <cell r="O270" t="str">
            <v/>
          </cell>
          <cell r="T270" t="str">
            <v/>
          </cell>
          <cell r="U270" t="str">
            <v/>
          </cell>
          <cell r="X270" t="str">
            <v/>
          </cell>
          <cell r="AH270" t="str">
            <v/>
          </cell>
          <cell r="AK270" t="str">
            <v/>
          </cell>
          <cell r="AM270" t="str">
            <v/>
          </cell>
          <cell r="AO270" t="str">
            <v/>
          </cell>
          <cell r="AS270" t="str">
            <v/>
          </cell>
          <cell r="AT270" t="str">
            <v/>
          </cell>
          <cell r="AU270" t="str">
            <v/>
          </cell>
          <cell r="AW270" t="str">
            <v/>
          </cell>
          <cell r="AX270" t="str">
            <v/>
          </cell>
        </row>
        <row r="271">
          <cell r="G271" t="str">
            <v/>
          </cell>
          <cell r="H271" t="str">
            <v/>
          </cell>
          <cell r="M271" t="str">
            <v/>
          </cell>
          <cell r="N271" t="str">
            <v/>
          </cell>
          <cell r="O271" t="str">
            <v/>
          </cell>
          <cell r="T271" t="str">
            <v/>
          </cell>
          <cell r="U271" t="str">
            <v/>
          </cell>
          <cell r="X271" t="str">
            <v/>
          </cell>
          <cell r="AH271" t="str">
            <v/>
          </cell>
          <cell r="AK271" t="str">
            <v/>
          </cell>
          <cell r="AM271" t="str">
            <v/>
          </cell>
          <cell r="AO271" t="str">
            <v/>
          </cell>
          <cell r="AS271" t="str">
            <v/>
          </cell>
          <cell r="AT271" t="str">
            <v/>
          </cell>
          <cell r="AU271" t="str">
            <v/>
          </cell>
          <cell r="AW271" t="str">
            <v/>
          </cell>
          <cell r="AX271" t="str">
            <v/>
          </cell>
        </row>
        <row r="272">
          <cell r="G272" t="str">
            <v/>
          </cell>
          <cell r="H272" t="str">
            <v/>
          </cell>
          <cell r="M272" t="str">
            <v/>
          </cell>
          <cell r="N272" t="str">
            <v/>
          </cell>
          <cell r="O272" t="str">
            <v/>
          </cell>
          <cell r="T272" t="str">
            <v/>
          </cell>
          <cell r="U272" t="str">
            <v/>
          </cell>
          <cell r="X272" t="str">
            <v/>
          </cell>
          <cell r="AH272" t="str">
            <v/>
          </cell>
          <cell r="AK272" t="str">
            <v/>
          </cell>
          <cell r="AM272" t="str">
            <v/>
          </cell>
          <cell r="AO272" t="str">
            <v/>
          </cell>
          <cell r="AS272" t="str">
            <v/>
          </cell>
          <cell r="AT272" t="str">
            <v/>
          </cell>
          <cell r="AU272" t="str">
            <v/>
          </cell>
          <cell r="AW272" t="str">
            <v/>
          </cell>
          <cell r="AX272" t="str">
            <v/>
          </cell>
        </row>
        <row r="273">
          <cell r="G273" t="str">
            <v/>
          </cell>
          <cell r="H273" t="str">
            <v/>
          </cell>
          <cell r="M273" t="str">
            <v/>
          </cell>
          <cell r="N273" t="str">
            <v/>
          </cell>
          <cell r="O273" t="str">
            <v/>
          </cell>
          <cell r="T273" t="str">
            <v/>
          </cell>
          <cell r="U273" t="str">
            <v/>
          </cell>
          <cell r="X273" t="str">
            <v/>
          </cell>
          <cell r="AH273" t="str">
            <v/>
          </cell>
          <cell r="AK273" t="str">
            <v/>
          </cell>
          <cell r="AM273" t="str">
            <v/>
          </cell>
          <cell r="AO273" t="str">
            <v/>
          </cell>
          <cell r="AS273" t="str">
            <v/>
          </cell>
          <cell r="AT273" t="str">
            <v/>
          </cell>
          <cell r="AU273" t="str">
            <v/>
          </cell>
          <cell r="AW273" t="str">
            <v/>
          </cell>
          <cell r="AX273" t="str">
            <v/>
          </cell>
        </row>
        <row r="274">
          <cell r="G274" t="str">
            <v/>
          </cell>
          <cell r="H274" t="str">
            <v/>
          </cell>
          <cell r="M274" t="str">
            <v/>
          </cell>
          <cell r="N274" t="str">
            <v/>
          </cell>
          <cell r="O274" t="str">
            <v/>
          </cell>
          <cell r="T274" t="str">
            <v/>
          </cell>
          <cell r="U274" t="str">
            <v/>
          </cell>
          <cell r="X274" t="str">
            <v/>
          </cell>
          <cell r="AH274" t="str">
            <v/>
          </cell>
          <cell r="AK274" t="str">
            <v/>
          </cell>
          <cell r="AM274" t="str">
            <v/>
          </cell>
          <cell r="AO274" t="str">
            <v/>
          </cell>
          <cell r="AS274" t="str">
            <v/>
          </cell>
          <cell r="AT274" t="str">
            <v/>
          </cell>
          <cell r="AU274" t="str">
            <v/>
          </cell>
          <cell r="AW274" t="str">
            <v/>
          </cell>
          <cell r="AX274" t="str">
            <v/>
          </cell>
        </row>
        <row r="275">
          <cell r="G275" t="str">
            <v/>
          </cell>
          <cell r="H275" t="str">
            <v/>
          </cell>
          <cell r="M275" t="str">
            <v/>
          </cell>
          <cell r="N275" t="str">
            <v/>
          </cell>
          <cell r="O275" t="str">
            <v/>
          </cell>
          <cell r="T275" t="str">
            <v/>
          </cell>
          <cell r="U275" t="str">
            <v/>
          </cell>
          <cell r="X275" t="str">
            <v/>
          </cell>
          <cell r="AH275" t="str">
            <v/>
          </cell>
          <cell r="AK275" t="str">
            <v/>
          </cell>
          <cell r="AM275" t="str">
            <v/>
          </cell>
          <cell r="AO275" t="str">
            <v/>
          </cell>
          <cell r="AS275" t="str">
            <v/>
          </cell>
          <cell r="AT275" t="str">
            <v/>
          </cell>
          <cell r="AU275" t="str">
            <v/>
          </cell>
          <cell r="AW275" t="str">
            <v/>
          </cell>
          <cell r="AX275" t="str">
            <v/>
          </cell>
        </row>
        <row r="276">
          <cell r="G276" t="str">
            <v/>
          </cell>
          <cell r="H276" t="str">
            <v/>
          </cell>
          <cell r="M276" t="str">
            <v/>
          </cell>
          <cell r="N276" t="str">
            <v/>
          </cell>
          <cell r="O276" t="str">
            <v/>
          </cell>
          <cell r="T276" t="str">
            <v/>
          </cell>
          <cell r="U276" t="str">
            <v/>
          </cell>
          <cell r="X276" t="str">
            <v/>
          </cell>
          <cell r="AH276" t="str">
            <v/>
          </cell>
          <cell r="AK276" t="str">
            <v/>
          </cell>
          <cell r="AM276" t="str">
            <v/>
          </cell>
          <cell r="AO276" t="str">
            <v/>
          </cell>
          <cell r="AS276" t="str">
            <v/>
          </cell>
          <cell r="AT276" t="str">
            <v/>
          </cell>
          <cell r="AU276" t="str">
            <v/>
          </cell>
          <cell r="AW276" t="str">
            <v/>
          </cell>
          <cell r="AX276" t="str">
            <v/>
          </cell>
        </row>
        <row r="277">
          <cell r="G277" t="str">
            <v/>
          </cell>
          <cell r="H277" t="str">
            <v/>
          </cell>
          <cell r="M277" t="str">
            <v/>
          </cell>
          <cell r="N277" t="str">
            <v/>
          </cell>
          <cell r="O277" t="str">
            <v/>
          </cell>
          <cell r="T277" t="str">
            <v/>
          </cell>
          <cell r="U277" t="str">
            <v/>
          </cell>
          <cell r="X277" t="str">
            <v/>
          </cell>
          <cell r="AH277" t="str">
            <v/>
          </cell>
          <cell r="AK277" t="str">
            <v/>
          </cell>
          <cell r="AM277" t="str">
            <v/>
          </cell>
          <cell r="AO277" t="str">
            <v/>
          </cell>
          <cell r="AS277" t="str">
            <v/>
          </cell>
          <cell r="AT277" t="str">
            <v/>
          </cell>
          <cell r="AU277" t="str">
            <v/>
          </cell>
          <cell r="AW277" t="str">
            <v/>
          </cell>
          <cell r="AX277" t="str">
            <v/>
          </cell>
        </row>
        <row r="278">
          <cell r="G278" t="str">
            <v/>
          </cell>
          <cell r="H278" t="str">
            <v/>
          </cell>
          <cell r="M278" t="str">
            <v/>
          </cell>
          <cell r="N278" t="str">
            <v/>
          </cell>
          <cell r="O278" t="str">
            <v/>
          </cell>
          <cell r="T278" t="str">
            <v/>
          </cell>
          <cell r="U278" t="str">
            <v/>
          </cell>
          <cell r="X278" t="str">
            <v/>
          </cell>
          <cell r="AH278" t="str">
            <v/>
          </cell>
          <cell r="AK278" t="str">
            <v/>
          </cell>
          <cell r="AM278" t="str">
            <v/>
          </cell>
          <cell r="AO278" t="str">
            <v/>
          </cell>
          <cell r="AS278" t="str">
            <v/>
          </cell>
          <cell r="AT278" t="str">
            <v/>
          </cell>
          <cell r="AU278" t="str">
            <v/>
          </cell>
          <cell r="AW278" t="str">
            <v/>
          </cell>
          <cell r="AX278" t="str">
            <v/>
          </cell>
        </row>
        <row r="279">
          <cell r="G279" t="str">
            <v/>
          </cell>
          <cell r="H279" t="str">
            <v/>
          </cell>
          <cell r="M279" t="str">
            <v/>
          </cell>
          <cell r="N279" t="str">
            <v/>
          </cell>
          <cell r="O279" t="str">
            <v/>
          </cell>
          <cell r="T279" t="str">
            <v/>
          </cell>
          <cell r="U279" t="str">
            <v/>
          </cell>
          <cell r="X279" t="str">
            <v/>
          </cell>
          <cell r="AH279" t="str">
            <v/>
          </cell>
          <cell r="AK279" t="str">
            <v/>
          </cell>
          <cell r="AM279" t="str">
            <v/>
          </cell>
          <cell r="AO279" t="str">
            <v/>
          </cell>
          <cell r="AS279" t="str">
            <v/>
          </cell>
          <cell r="AT279" t="str">
            <v/>
          </cell>
          <cell r="AU279" t="str">
            <v/>
          </cell>
          <cell r="AW279" t="str">
            <v/>
          </cell>
          <cell r="AX279" t="str">
            <v/>
          </cell>
        </row>
        <row r="280">
          <cell r="G280" t="str">
            <v/>
          </cell>
          <cell r="H280" t="str">
            <v/>
          </cell>
          <cell r="M280" t="str">
            <v/>
          </cell>
          <cell r="N280" t="str">
            <v/>
          </cell>
          <cell r="O280" t="str">
            <v/>
          </cell>
          <cell r="T280" t="str">
            <v/>
          </cell>
          <cell r="U280" t="str">
            <v/>
          </cell>
          <cell r="X280" t="str">
            <v/>
          </cell>
          <cell r="AH280" t="str">
            <v/>
          </cell>
          <cell r="AK280" t="str">
            <v/>
          </cell>
          <cell r="AM280" t="str">
            <v/>
          </cell>
          <cell r="AO280" t="str">
            <v/>
          </cell>
          <cell r="AS280" t="str">
            <v/>
          </cell>
          <cell r="AT280" t="str">
            <v/>
          </cell>
          <cell r="AU280" t="str">
            <v/>
          </cell>
          <cell r="AW280" t="str">
            <v/>
          </cell>
          <cell r="AX280" t="str">
            <v/>
          </cell>
        </row>
        <row r="281">
          <cell r="G281" t="str">
            <v/>
          </cell>
          <cell r="H281" t="str">
            <v/>
          </cell>
          <cell r="M281" t="str">
            <v/>
          </cell>
          <cell r="N281" t="str">
            <v/>
          </cell>
          <cell r="O281" t="str">
            <v/>
          </cell>
          <cell r="T281" t="str">
            <v/>
          </cell>
          <cell r="U281" t="str">
            <v/>
          </cell>
          <cell r="X281" t="str">
            <v/>
          </cell>
          <cell r="AH281" t="str">
            <v/>
          </cell>
          <cell r="AK281" t="str">
            <v/>
          </cell>
          <cell r="AM281" t="str">
            <v/>
          </cell>
          <cell r="AO281" t="str">
            <v/>
          </cell>
          <cell r="AS281" t="str">
            <v/>
          </cell>
          <cell r="AT281" t="str">
            <v/>
          </cell>
          <cell r="AU281" t="str">
            <v/>
          </cell>
          <cell r="AW281" t="str">
            <v/>
          </cell>
          <cell r="AX281" t="str">
            <v/>
          </cell>
        </row>
        <row r="282">
          <cell r="G282" t="str">
            <v/>
          </cell>
          <cell r="H282" t="str">
            <v/>
          </cell>
          <cell r="M282" t="str">
            <v/>
          </cell>
          <cell r="N282" t="str">
            <v/>
          </cell>
          <cell r="O282" t="str">
            <v/>
          </cell>
          <cell r="T282" t="str">
            <v/>
          </cell>
          <cell r="U282" t="str">
            <v/>
          </cell>
          <cell r="X282" t="str">
            <v/>
          </cell>
          <cell r="AH282" t="str">
            <v/>
          </cell>
          <cell r="AK282" t="str">
            <v/>
          </cell>
          <cell r="AM282" t="str">
            <v/>
          </cell>
          <cell r="AO282" t="str">
            <v/>
          </cell>
          <cell r="AS282" t="str">
            <v/>
          </cell>
          <cell r="AT282" t="str">
            <v/>
          </cell>
          <cell r="AU282" t="str">
            <v/>
          </cell>
          <cell r="AW282" t="str">
            <v/>
          </cell>
          <cell r="AX282" t="str">
            <v/>
          </cell>
        </row>
        <row r="283">
          <cell r="G283" t="str">
            <v/>
          </cell>
          <cell r="H283" t="str">
            <v/>
          </cell>
          <cell r="M283" t="str">
            <v/>
          </cell>
          <cell r="N283" t="str">
            <v/>
          </cell>
          <cell r="O283" t="str">
            <v/>
          </cell>
          <cell r="T283" t="str">
            <v/>
          </cell>
          <cell r="U283" t="str">
            <v/>
          </cell>
          <cell r="X283" t="str">
            <v/>
          </cell>
          <cell r="AH283" t="str">
            <v/>
          </cell>
          <cell r="AK283" t="str">
            <v/>
          </cell>
          <cell r="AM283" t="str">
            <v/>
          </cell>
          <cell r="AO283" t="str">
            <v/>
          </cell>
          <cell r="AS283" t="str">
            <v/>
          </cell>
          <cell r="AT283" t="str">
            <v/>
          </cell>
          <cell r="AU283" t="str">
            <v/>
          </cell>
          <cell r="AW283" t="str">
            <v/>
          </cell>
          <cell r="AX283" t="str">
            <v/>
          </cell>
        </row>
        <row r="284">
          <cell r="G284" t="str">
            <v/>
          </cell>
          <cell r="H284" t="str">
            <v/>
          </cell>
          <cell r="M284" t="str">
            <v/>
          </cell>
          <cell r="N284" t="str">
            <v/>
          </cell>
          <cell r="O284" t="str">
            <v/>
          </cell>
          <cell r="T284" t="str">
            <v/>
          </cell>
          <cell r="U284" t="str">
            <v/>
          </cell>
          <cell r="X284" t="str">
            <v/>
          </cell>
          <cell r="AH284" t="str">
            <v/>
          </cell>
          <cell r="AK284" t="str">
            <v/>
          </cell>
          <cell r="AM284" t="str">
            <v/>
          </cell>
          <cell r="AO284" t="str">
            <v/>
          </cell>
          <cell r="AS284" t="str">
            <v/>
          </cell>
          <cell r="AT284" t="str">
            <v/>
          </cell>
          <cell r="AU284" t="str">
            <v/>
          </cell>
          <cell r="AW284" t="str">
            <v/>
          </cell>
          <cell r="AX284" t="str">
            <v/>
          </cell>
        </row>
        <row r="285">
          <cell r="G285" t="str">
            <v/>
          </cell>
          <cell r="H285" t="str">
            <v/>
          </cell>
          <cell r="M285" t="str">
            <v/>
          </cell>
          <cell r="N285" t="str">
            <v/>
          </cell>
          <cell r="O285" t="str">
            <v/>
          </cell>
          <cell r="T285" t="str">
            <v/>
          </cell>
          <cell r="U285" t="str">
            <v/>
          </cell>
          <cell r="X285" t="str">
            <v/>
          </cell>
          <cell r="AH285" t="str">
            <v/>
          </cell>
          <cell r="AK285" t="str">
            <v/>
          </cell>
          <cell r="AM285" t="str">
            <v/>
          </cell>
          <cell r="AO285" t="str">
            <v/>
          </cell>
          <cell r="AS285" t="str">
            <v/>
          </cell>
          <cell r="AT285" t="str">
            <v/>
          </cell>
          <cell r="AU285" t="str">
            <v/>
          </cell>
          <cell r="AW285" t="str">
            <v/>
          </cell>
          <cell r="AX285" t="str">
            <v/>
          </cell>
        </row>
        <row r="286">
          <cell r="G286" t="str">
            <v/>
          </cell>
          <cell r="H286" t="str">
            <v/>
          </cell>
          <cell r="M286" t="str">
            <v/>
          </cell>
          <cell r="N286" t="str">
            <v/>
          </cell>
          <cell r="O286" t="str">
            <v/>
          </cell>
          <cell r="T286" t="str">
            <v/>
          </cell>
          <cell r="U286" t="str">
            <v/>
          </cell>
          <cell r="X286" t="str">
            <v/>
          </cell>
          <cell r="AH286" t="str">
            <v/>
          </cell>
          <cell r="AK286" t="str">
            <v/>
          </cell>
          <cell r="AM286" t="str">
            <v/>
          </cell>
          <cell r="AO286" t="str">
            <v/>
          </cell>
          <cell r="AS286" t="str">
            <v/>
          </cell>
          <cell r="AT286" t="str">
            <v/>
          </cell>
          <cell r="AU286" t="str">
            <v/>
          </cell>
          <cell r="AW286" t="str">
            <v/>
          </cell>
          <cell r="AX286" t="str">
            <v/>
          </cell>
        </row>
        <row r="287">
          <cell r="G287" t="str">
            <v/>
          </cell>
          <cell r="H287" t="str">
            <v/>
          </cell>
          <cell r="M287" t="str">
            <v/>
          </cell>
          <cell r="N287" t="str">
            <v/>
          </cell>
          <cell r="O287" t="str">
            <v/>
          </cell>
          <cell r="T287" t="str">
            <v/>
          </cell>
          <cell r="U287" t="str">
            <v/>
          </cell>
          <cell r="X287" t="str">
            <v/>
          </cell>
          <cell r="AH287" t="str">
            <v/>
          </cell>
          <cell r="AK287" t="str">
            <v/>
          </cell>
          <cell r="AM287" t="str">
            <v/>
          </cell>
          <cell r="AO287" t="str">
            <v/>
          </cell>
          <cell r="AS287" t="str">
            <v/>
          </cell>
          <cell r="AT287" t="str">
            <v/>
          </cell>
          <cell r="AU287" t="str">
            <v/>
          </cell>
          <cell r="AW287" t="str">
            <v/>
          </cell>
          <cell r="AX287" t="str">
            <v/>
          </cell>
        </row>
        <row r="288">
          <cell r="G288" t="str">
            <v/>
          </cell>
          <cell r="H288" t="str">
            <v/>
          </cell>
          <cell r="M288" t="str">
            <v/>
          </cell>
          <cell r="N288" t="str">
            <v/>
          </cell>
          <cell r="O288" t="str">
            <v/>
          </cell>
          <cell r="T288" t="str">
            <v/>
          </cell>
          <cell r="U288" t="str">
            <v/>
          </cell>
          <cell r="X288" t="str">
            <v/>
          </cell>
          <cell r="AH288" t="str">
            <v/>
          </cell>
          <cell r="AK288" t="str">
            <v/>
          </cell>
          <cell r="AM288" t="str">
            <v/>
          </cell>
          <cell r="AO288" t="str">
            <v/>
          </cell>
          <cell r="AS288" t="str">
            <v/>
          </cell>
          <cell r="AT288" t="str">
            <v/>
          </cell>
          <cell r="AU288" t="str">
            <v/>
          </cell>
          <cell r="AW288" t="str">
            <v/>
          </cell>
          <cell r="AX288" t="str">
            <v/>
          </cell>
        </row>
        <row r="289">
          <cell r="G289" t="str">
            <v/>
          </cell>
          <cell r="H289" t="str">
            <v/>
          </cell>
          <cell r="M289" t="str">
            <v/>
          </cell>
          <cell r="N289" t="str">
            <v/>
          </cell>
          <cell r="O289" t="str">
            <v/>
          </cell>
          <cell r="T289" t="str">
            <v/>
          </cell>
          <cell r="U289" t="str">
            <v/>
          </cell>
          <cell r="X289" t="str">
            <v/>
          </cell>
          <cell r="AH289" t="str">
            <v/>
          </cell>
          <cell r="AK289" t="str">
            <v/>
          </cell>
          <cell r="AM289" t="str">
            <v/>
          </cell>
          <cell r="AO289" t="str">
            <v/>
          </cell>
          <cell r="AS289" t="str">
            <v/>
          </cell>
          <cell r="AT289" t="str">
            <v/>
          </cell>
          <cell r="AU289" t="str">
            <v/>
          </cell>
          <cell r="AW289" t="str">
            <v/>
          </cell>
          <cell r="AX289" t="str">
            <v/>
          </cell>
        </row>
        <row r="290">
          <cell r="G290" t="str">
            <v/>
          </cell>
          <cell r="H290" t="str">
            <v/>
          </cell>
          <cell r="M290" t="str">
            <v/>
          </cell>
          <cell r="N290" t="str">
            <v/>
          </cell>
          <cell r="O290" t="str">
            <v/>
          </cell>
          <cell r="T290" t="str">
            <v/>
          </cell>
          <cell r="U290" t="str">
            <v/>
          </cell>
          <cell r="X290" t="str">
            <v/>
          </cell>
          <cell r="AH290" t="str">
            <v/>
          </cell>
          <cell r="AK290" t="str">
            <v/>
          </cell>
          <cell r="AM290" t="str">
            <v/>
          </cell>
          <cell r="AO290" t="str">
            <v/>
          </cell>
          <cell r="AS290" t="str">
            <v/>
          </cell>
          <cell r="AT290" t="str">
            <v/>
          </cell>
          <cell r="AU290" t="str">
            <v/>
          </cell>
          <cell r="AW290" t="str">
            <v/>
          </cell>
          <cell r="AX290" t="str">
            <v/>
          </cell>
        </row>
        <row r="291">
          <cell r="G291" t="str">
            <v/>
          </cell>
          <cell r="H291" t="str">
            <v/>
          </cell>
          <cell r="M291" t="str">
            <v/>
          </cell>
          <cell r="N291" t="str">
            <v/>
          </cell>
          <cell r="O291" t="str">
            <v/>
          </cell>
          <cell r="T291" t="str">
            <v/>
          </cell>
          <cell r="U291" t="str">
            <v/>
          </cell>
          <cell r="X291" t="str">
            <v/>
          </cell>
          <cell r="AH291" t="str">
            <v/>
          </cell>
          <cell r="AK291" t="str">
            <v/>
          </cell>
          <cell r="AM291" t="str">
            <v/>
          </cell>
          <cell r="AO291" t="str">
            <v/>
          </cell>
          <cell r="AS291" t="str">
            <v/>
          </cell>
          <cell r="AT291" t="str">
            <v/>
          </cell>
          <cell r="AU291" t="str">
            <v/>
          </cell>
          <cell r="AW291" t="str">
            <v/>
          </cell>
          <cell r="AX291" t="str">
            <v/>
          </cell>
        </row>
        <row r="292">
          <cell r="G292" t="str">
            <v/>
          </cell>
          <cell r="H292" t="str">
            <v/>
          </cell>
          <cell r="M292" t="str">
            <v/>
          </cell>
          <cell r="N292" t="str">
            <v/>
          </cell>
          <cell r="O292" t="str">
            <v/>
          </cell>
          <cell r="T292" t="str">
            <v/>
          </cell>
          <cell r="U292" t="str">
            <v/>
          </cell>
          <cell r="X292" t="str">
            <v/>
          </cell>
          <cell r="AH292" t="str">
            <v/>
          </cell>
          <cell r="AK292" t="str">
            <v/>
          </cell>
          <cell r="AM292" t="str">
            <v/>
          </cell>
          <cell r="AO292" t="str">
            <v/>
          </cell>
          <cell r="AS292" t="str">
            <v/>
          </cell>
          <cell r="AT292" t="str">
            <v/>
          </cell>
          <cell r="AU292" t="str">
            <v/>
          </cell>
          <cell r="AW292" t="str">
            <v/>
          </cell>
          <cell r="AX292" t="str">
            <v/>
          </cell>
        </row>
        <row r="293">
          <cell r="G293" t="str">
            <v/>
          </cell>
          <cell r="H293" t="str">
            <v/>
          </cell>
          <cell r="M293" t="str">
            <v/>
          </cell>
          <cell r="N293" t="str">
            <v/>
          </cell>
          <cell r="O293" t="str">
            <v/>
          </cell>
          <cell r="T293" t="str">
            <v/>
          </cell>
          <cell r="U293" t="str">
            <v/>
          </cell>
          <cell r="X293" t="str">
            <v/>
          </cell>
          <cell r="AH293" t="str">
            <v/>
          </cell>
          <cell r="AK293" t="str">
            <v/>
          </cell>
          <cell r="AM293" t="str">
            <v/>
          </cell>
          <cell r="AO293" t="str">
            <v/>
          </cell>
          <cell r="AS293" t="str">
            <v/>
          </cell>
          <cell r="AT293" t="str">
            <v/>
          </cell>
          <cell r="AU293" t="str">
            <v/>
          </cell>
          <cell r="AW293" t="str">
            <v/>
          </cell>
          <cell r="AX293" t="str">
            <v/>
          </cell>
        </row>
        <row r="294">
          <cell r="G294" t="str">
            <v/>
          </cell>
          <cell r="H294" t="str">
            <v/>
          </cell>
          <cell r="M294" t="str">
            <v/>
          </cell>
          <cell r="N294" t="str">
            <v/>
          </cell>
          <cell r="O294" t="str">
            <v/>
          </cell>
          <cell r="T294" t="str">
            <v/>
          </cell>
          <cell r="U294" t="str">
            <v/>
          </cell>
          <cell r="X294" t="str">
            <v/>
          </cell>
          <cell r="AH294" t="str">
            <v/>
          </cell>
          <cell r="AK294" t="str">
            <v/>
          </cell>
          <cell r="AM294" t="str">
            <v/>
          </cell>
          <cell r="AO294" t="str">
            <v/>
          </cell>
          <cell r="AS294" t="str">
            <v/>
          </cell>
          <cell r="AT294" t="str">
            <v/>
          </cell>
          <cell r="AU294" t="str">
            <v/>
          </cell>
          <cell r="AW294" t="str">
            <v/>
          </cell>
          <cell r="AX294" t="str">
            <v/>
          </cell>
        </row>
        <row r="295">
          <cell r="G295" t="str">
            <v/>
          </cell>
          <cell r="H295" t="str">
            <v/>
          </cell>
          <cell r="M295" t="str">
            <v/>
          </cell>
          <cell r="N295" t="str">
            <v/>
          </cell>
          <cell r="O295" t="str">
            <v/>
          </cell>
          <cell r="T295" t="str">
            <v/>
          </cell>
          <cell r="U295" t="str">
            <v/>
          </cell>
          <cell r="X295" t="str">
            <v/>
          </cell>
          <cell r="AH295" t="str">
            <v/>
          </cell>
          <cell r="AK295" t="str">
            <v/>
          </cell>
          <cell r="AM295" t="str">
            <v/>
          </cell>
          <cell r="AO295" t="str">
            <v/>
          </cell>
          <cell r="AS295" t="str">
            <v/>
          </cell>
          <cell r="AT295" t="str">
            <v/>
          </cell>
          <cell r="AU295" t="str">
            <v/>
          </cell>
          <cell r="AW295" t="str">
            <v/>
          </cell>
          <cell r="AX295" t="str">
            <v/>
          </cell>
        </row>
        <row r="296">
          <cell r="G296" t="str">
            <v/>
          </cell>
          <cell r="H296" t="str">
            <v/>
          </cell>
          <cell r="M296" t="str">
            <v/>
          </cell>
          <cell r="N296" t="str">
            <v/>
          </cell>
          <cell r="O296" t="str">
            <v/>
          </cell>
          <cell r="T296" t="str">
            <v/>
          </cell>
          <cell r="U296" t="str">
            <v/>
          </cell>
          <cell r="X296" t="str">
            <v/>
          </cell>
          <cell r="AH296" t="str">
            <v/>
          </cell>
          <cell r="AK296" t="str">
            <v/>
          </cell>
          <cell r="AM296" t="str">
            <v/>
          </cell>
          <cell r="AO296" t="str">
            <v/>
          </cell>
          <cell r="AS296" t="str">
            <v/>
          </cell>
          <cell r="AT296" t="str">
            <v/>
          </cell>
          <cell r="AU296" t="str">
            <v/>
          </cell>
          <cell r="AW296" t="str">
            <v/>
          </cell>
          <cell r="AX296" t="str">
            <v/>
          </cell>
        </row>
        <row r="297">
          <cell r="G297" t="str">
            <v/>
          </cell>
          <cell r="H297" t="str">
            <v/>
          </cell>
          <cell r="M297" t="str">
            <v/>
          </cell>
          <cell r="N297" t="str">
            <v/>
          </cell>
          <cell r="O297" t="str">
            <v/>
          </cell>
          <cell r="T297" t="str">
            <v/>
          </cell>
          <cell r="U297" t="str">
            <v/>
          </cell>
          <cell r="X297" t="str">
            <v/>
          </cell>
          <cell r="AH297" t="str">
            <v/>
          </cell>
          <cell r="AK297" t="str">
            <v/>
          </cell>
          <cell r="AM297" t="str">
            <v/>
          </cell>
          <cell r="AO297" t="str">
            <v/>
          </cell>
          <cell r="AS297" t="str">
            <v/>
          </cell>
          <cell r="AT297" t="str">
            <v/>
          </cell>
          <cell r="AU297" t="str">
            <v/>
          </cell>
          <cell r="AW297" t="str">
            <v/>
          </cell>
          <cell r="AX297" t="str">
            <v/>
          </cell>
        </row>
        <row r="298">
          <cell r="G298" t="str">
            <v/>
          </cell>
          <cell r="H298" t="str">
            <v/>
          </cell>
          <cell r="M298" t="str">
            <v/>
          </cell>
          <cell r="N298" t="str">
            <v/>
          </cell>
          <cell r="O298" t="str">
            <v/>
          </cell>
          <cell r="T298" t="str">
            <v/>
          </cell>
          <cell r="U298" t="str">
            <v/>
          </cell>
          <cell r="X298" t="str">
            <v/>
          </cell>
          <cell r="AH298" t="str">
            <v/>
          </cell>
          <cell r="AK298" t="str">
            <v/>
          </cell>
          <cell r="AM298" t="str">
            <v/>
          </cell>
          <cell r="AO298" t="str">
            <v/>
          </cell>
          <cell r="AS298" t="str">
            <v/>
          </cell>
          <cell r="AT298" t="str">
            <v/>
          </cell>
          <cell r="AU298" t="str">
            <v/>
          </cell>
          <cell r="AW298" t="str">
            <v/>
          </cell>
          <cell r="AX298" t="str">
            <v/>
          </cell>
        </row>
        <row r="299">
          <cell r="G299" t="str">
            <v/>
          </cell>
          <cell r="H299" t="str">
            <v/>
          </cell>
          <cell r="M299" t="str">
            <v/>
          </cell>
          <cell r="N299" t="str">
            <v/>
          </cell>
          <cell r="O299" t="str">
            <v/>
          </cell>
          <cell r="T299" t="str">
            <v/>
          </cell>
          <cell r="U299" t="str">
            <v/>
          </cell>
          <cell r="X299" t="str">
            <v/>
          </cell>
          <cell r="AH299" t="str">
            <v/>
          </cell>
          <cell r="AK299" t="str">
            <v/>
          </cell>
          <cell r="AM299" t="str">
            <v/>
          </cell>
          <cell r="AO299" t="str">
            <v/>
          </cell>
          <cell r="AS299" t="str">
            <v/>
          </cell>
          <cell r="AT299" t="str">
            <v/>
          </cell>
          <cell r="AU299" t="str">
            <v/>
          </cell>
          <cell r="AW299" t="str">
            <v/>
          </cell>
          <cell r="AX299" t="str">
            <v/>
          </cell>
        </row>
        <row r="300">
          <cell r="G300" t="str">
            <v/>
          </cell>
          <cell r="H300" t="str">
            <v/>
          </cell>
          <cell r="M300" t="str">
            <v/>
          </cell>
          <cell r="N300" t="str">
            <v/>
          </cell>
          <cell r="O300" t="str">
            <v/>
          </cell>
          <cell r="T300" t="str">
            <v/>
          </cell>
          <cell r="U300" t="str">
            <v/>
          </cell>
          <cell r="X300" t="str">
            <v/>
          </cell>
          <cell r="AH300" t="str">
            <v/>
          </cell>
          <cell r="AK300" t="str">
            <v/>
          </cell>
          <cell r="AM300" t="str">
            <v/>
          </cell>
          <cell r="AO300" t="str">
            <v/>
          </cell>
          <cell r="AS300" t="str">
            <v/>
          </cell>
          <cell r="AT300" t="str">
            <v/>
          </cell>
          <cell r="AU300" t="str">
            <v/>
          </cell>
          <cell r="AW300" t="str">
            <v/>
          </cell>
          <cell r="AX300" t="str">
            <v/>
          </cell>
        </row>
        <row r="301">
          <cell r="G301" t="str">
            <v/>
          </cell>
          <cell r="H301" t="str">
            <v/>
          </cell>
          <cell r="M301" t="str">
            <v/>
          </cell>
          <cell r="N301" t="str">
            <v/>
          </cell>
          <cell r="O301" t="str">
            <v/>
          </cell>
          <cell r="T301" t="str">
            <v/>
          </cell>
          <cell r="U301" t="str">
            <v/>
          </cell>
          <cell r="X301" t="str">
            <v/>
          </cell>
          <cell r="AH301" t="str">
            <v/>
          </cell>
          <cell r="AK301" t="str">
            <v/>
          </cell>
          <cell r="AM301" t="str">
            <v/>
          </cell>
          <cell r="AO301" t="str">
            <v/>
          </cell>
          <cell r="AS301" t="str">
            <v/>
          </cell>
          <cell r="AT301" t="str">
            <v/>
          </cell>
          <cell r="AU301" t="str">
            <v/>
          </cell>
          <cell r="AW301" t="str">
            <v/>
          </cell>
          <cell r="AX301" t="str">
            <v/>
          </cell>
        </row>
        <row r="302">
          <cell r="G302" t="str">
            <v/>
          </cell>
          <cell r="H302" t="str">
            <v/>
          </cell>
          <cell r="M302" t="str">
            <v/>
          </cell>
          <cell r="N302" t="str">
            <v/>
          </cell>
          <cell r="O302" t="str">
            <v/>
          </cell>
          <cell r="T302" t="str">
            <v/>
          </cell>
          <cell r="U302" t="str">
            <v/>
          </cell>
          <cell r="X302" t="str">
            <v/>
          </cell>
          <cell r="AH302" t="str">
            <v/>
          </cell>
          <cell r="AK302" t="str">
            <v/>
          </cell>
          <cell r="AM302" t="str">
            <v/>
          </cell>
          <cell r="AO302" t="str">
            <v/>
          </cell>
          <cell r="AS302" t="str">
            <v/>
          </cell>
          <cell r="AT302" t="str">
            <v/>
          </cell>
          <cell r="AU302" t="str">
            <v/>
          </cell>
          <cell r="AW302" t="str">
            <v/>
          </cell>
          <cell r="AX302" t="str">
            <v/>
          </cell>
        </row>
        <row r="303">
          <cell r="G303" t="str">
            <v/>
          </cell>
          <cell r="H303" t="str">
            <v/>
          </cell>
          <cell r="M303" t="str">
            <v/>
          </cell>
          <cell r="N303" t="str">
            <v/>
          </cell>
          <cell r="O303" t="str">
            <v/>
          </cell>
          <cell r="T303" t="str">
            <v/>
          </cell>
          <cell r="U303" t="str">
            <v/>
          </cell>
          <cell r="X303" t="str">
            <v/>
          </cell>
          <cell r="AH303" t="str">
            <v/>
          </cell>
          <cell r="AK303" t="str">
            <v/>
          </cell>
          <cell r="AM303" t="str">
            <v/>
          </cell>
          <cell r="AO303" t="str">
            <v/>
          </cell>
          <cell r="AS303" t="str">
            <v/>
          </cell>
          <cell r="AT303" t="str">
            <v/>
          </cell>
          <cell r="AU303" t="str">
            <v/>
          </cell>
          <cell r="AW303" t="str">
            <v/>
          </cell>
          <cell r="AX303" t="str">
            <v/>
          </cell>
        </row>
        <row r="304">
          <cell r="G304" t="str">
            <v/>
          </cell>
          <cell r="H304" t="str">
            <v/>
          </cell>
          <cell r="M304" t="str">
            <v/>
          </cell>
          <cell r="N304" t="str">
            <v/>
          </cell>
          <cell r="O304" t="str">
            <v/>
          </cell>
          <cell r="T304" t="str">
            <v/>
          </cell>
          <cell r="U304" t="str">
            <v/>
          </cell>
          <cell r="X304" t="str">
            <v/>
          </cell>
          <cell r="AH304" t="str">
            <v/>
          </cell>
          <cell r="AK304" t="str">
            <v/>
          </cell>
          <cell r="AM304" t="str">
            <v/>
          </cell>
          <cell r="AO304" t="str">
            <v/>
          </cell>
          <cell r="AS304" t="str">
            <v/>
          </cell>
          <cell r="AT304" t="str">
            <v/>
          </cell>
          <cell r="AU304" t="str">
            <v/>
          </cell>
          <cell r="AW304" t="str">
            <v/>
          </cell>
          <cell r="AX304" t="str">
            <v/>
          </cell>
        </row>
        <row r="305">
          <cell r="G305" t="str">
            <v/>
          </cell>
          <cell r="H305" t="str">
            <v/>
          </cell>
          <cell r="M305" t="str">
            <v/>
          </cell>
          <cell r="N305" t="str">
            <v/>
          </cell>
          <cell r="O305" t="str">
            <v/>
          </cell>
          <cell r="T305" t="str">
            <v/>
          </cell>
          <cell r="U305" t="str">
            <v/>
          </cell>
          <cell r="X305" t="str">
            <v/>
          </cell>
          <cell r="AH305" t="str">
            <v/>
          </cell>
          <cell r="AK305" t="str">
            <v/>
          </cell>
          <cell r="AM305" t="str">
            <v/>
          </cell>
          <cell r="AO305" t="str">
            <v/>
          </cell>
          <cell r="AS305" t="str">
            <v/>
          </cell>
          <cell r="AT305" t="str">
            <v/>
          </cell>
          <cell r="AU305" t="str">
            <v/>
          </cell>
          <cell r="AW305" t="str">
            <v/>
          </cell>
          <cell r="AX305" t="str">
            <v/>
          </cell>
        </row>
        <row r="306">
          <cell r="G306" t="str">
            <v/>
          </cell>
          <cell r="H306" t="str">
            <v/>
          </cell>
          <cell r="M306" t="str">
            <v/>
          </cell>
          <cell r="N306" t="str">
            <v/>
          </cell>
          <cell r="O306" t="str">
            <v/>
          </cell>
          <cell r="T306" t="str">
            <v/>
          </cell>
          <cell r="U306" t="str">
            <v/>
          </cell>
          <cell r="X306" t="str">
            <v/>
          </cell>
          <cell r="AH306" t="str">
            <v/>
          </cell>
          <cell r="AK306" t="str">
            <v/>
          </cell>
          <cell r="AM306" t="str">
            <v/>
          </cell>
          <cell r="AO306" t="str">
            <v/>
          </cell>
          <cell r="AS306" t="str">
            <v/>
          </cell>
          <cell r="AT306" t="str">
            <v/>
          </cell>
          <cell r="AU306" t="str">
            <v/>
          </cell>
          <cell r="AW306" t="str">
            <v/>
          </cell>
          <cell r="AX306" t="str">
            <v/>
          </cell>
        </row>
        <row r="307">
          <cell r="G307" t="str">
            <v/>
          </cell>
          <cell r="H307" t="str">
            <v/>
          </cell>
          <cell r="M307" t="str">
            <v/>
          </cell>
          <cell r="N307" t="str">
            <v/>
          </cell>
          <cell r="O307" t="str">
            <v/>
          </cell>
          <cell r="T307" t="str">
            <v/>
          </cell>
          <cell r="U307" t="str">
            <v/>
          </cell>
          <cell r="X307" t="str">
            <v/>
          </cell>
          <cell r="AH307" t="str">
            <v/>
          </cell>
          <cell r="AK307" t="str">
            <v/>
          </cell>
          <cell r="AM307" t="str">
            <v/>
          </cell>
          <cell r="AO307" t="str">
            <v/>
          </cell>
          <cell r="AS307" t="str">
            <v/>
          </cell>
          <cell r="AT307" t="str">
            <v/>
          </cell>
          <cell r="AU307" t="str">
            <v/>
          </cell>
          <cell r="AW307" t="str">
            <v/>
          </cell>
          <cell r="AX307" t="str">
            <v/>
          </cell>
        </row>
        <row r="308">
          <cell r="G308" t="str">
            <v/>
          </cell>
          <cell r="H308" t="str">
            <v/>
          </cell>
          <cell r="M308" t="str">
            <v/>
          </cell>
          <cell r="N308" t="str">
            <v/>
          </cell>
          <cell r="O308" t="str">
            <v/>
          </cell>
          <cell r="T308" t="str">
            <v/>
          </cell>
          <cell r="U308" t="str">
            <v/>
          </cell>
          <cell r="X308" t="str">
            <v/>
          </cell>
          <cell r="AH308" t="str">
            <v/>
          </cell>
          <cell r="AK308" t="str">
            <v/>
          </cell>
          <cell r="AM308" t="str">
            <v/>
          </cell>
          <cell r="AO308" t="str">
            <v/>
          </cell>
          <cell r="AS308" t="str">
            <v/>
          </cell>
          <cell r="AT308" t="str">
            <v/>
          </cell>
          <cell r="AU308" t="str">
            <v/>
          </cell>
          <cell r="AW308" t="str">
            <v/>
          </cell>
          <cell r="AX308" t="str">
            <v/>
          </cell>
        </row>
        <row r="309">
          <cell r="G309" t="str">
            <v/>
          </cell>
          <cell r="H309" t="str">
            <v/>
          </cell>
          <cell r="M309" t="str">
            <v/>
          </cell>
          <cell r="N309" t="str">
            <v/>
          </cell>
          <cell r="O309" t="str">
            <v/>
          </cell>
          <cell r="T309" t="str">
            <v/>
          </cell>
          <cell r="U309" t="str">
            <v/>
          </cell>
          <cell r="X309" t="str">
            <v/>
          </cell>
          <cell r="AH309" t="str">
            <v/>
          </cell>
          <cell r="AK309" t="str">
            <v/>
          </cell>
          <cell r="AM309" t="str">
            <v/>
          </cell>
          <cell r="AO309" t="str">
            <v/>
          </cell>
          <cell r="AS309" t="str">
            <v/>
          </cell>
          <cell r="AT309" t="str">
            <v/>
          </cell>
          <cell r="AU309" t="str">
            <v/>
          </cell>
          <cell r="AW309" t="str">
            <v/>
          </cell>
          <cell r="AX309" t="str">
            <v/>
          </cell>
        </row>
        <row r="310">
          <cell r="G310" t="str">
            <v/>
          </cell>
          <cell r="H310" t="str">
            <v/>
          </cell>
          <cell r="M310" t="str">
            <v/>
          </cell>
          <cell r="N310" t="str">
            <v/>
          </cell>
          <cell r="O310" t="str">
            <v/>
          </cell>
          <cell r="T310" t="str">
            <v/>
          </cell>
          <cell r="U310" t="str">
            <v/>
          </cell>
          <cell r="X310" t="str">
            <v/>
          </cell>
          <cell r="AH310" t="str">
            <v/>
          </cell>
          <cell r="AK310" t="str">
            <v/>
          </cell>
          <cell r="AM310" t="str">
            <v/>
          </cell>
          <cell r="AO310" t="str">
            <v/>
          </cell>
          <cell r="AS310" t="str">
            <v/>
          </cell>
          <cell r="AT310" t="str">
            <v/>
          </cell>
          <cell r="AU310" t="str">
            <v/>
          </cell>
          <cell r="AW310" t="str">
            <v/>
          </cell>
          <cell r="AX310" t="str">
            <v/>
          </cell>
        </row>
        <row r="311">
          <cell r="G311" t="str">
            <v/>
          </cell>
          <cell r="H311" t="str">
            <v/>
          </cell>
          <cell r="M311" t="str">
            <v/>
          </cell>
          <cell r="N311" t="str">
            <v/>
          </cell>
          <cell r="O311" t="str">
            <v/>
          </cell>
          <cell r="T311" t="str">
            <v/>
          </cell>
          <cell r="U311" t="str">
            <v/>
          </cell>
          <cell r="X311" t="str">
            <v/>
          </cell>
          <cell r="AH311" t="str">
            <v/>
          </cell>
          <cell r="AK311" t="str">
            <v/>
          </cell>
          <cell r="AM311" t="str">
            <v/>
          </cell>
          <cell r="AO311" t="str">
            <v/>
          </cell>
          <cell r="AS311" t="str">
            <v/>
          </cell>
          <cell r="AT311" t="str">
            <v/>
          </cell>
          <cell r="AU311" t="str">
            <v/>
          </cell>
          <cell r="AW311" t="str">
            <v/>
          </cell>
          <cell r="AX311" t="str">
            <v/>
          </cell>
        </row>
        <row r="312">
          <cell r="G312" t="str">
            <v/>
          </cell>
          <cell r="H312" t="str">
            <v/>
          </cell>
          <cell r="M312" t="str">
            <v/>
          </cell>
          <cell r="N312" t="str">
            <v/>
          </cell>
          <cell r="O312" t="str">
            <v/>
          </cell>
          <cell r="T312" t="str">
            <v/>
          </cell>
          <cell r="U312" t="str">
            <v/>
          </cell>
          <cell r="X312" t="str">
            <v/>
          </cell>
          <cell r="AH312" t="str">
            <v/>
          </cell>
          <cell r="AK312" t="str">
            <v/>
          </cell>
          <cell r="AM312" t="str">
            <v/>
          </cell>
          <cell r="AO312" t="str">
            <v/>
          </cell>
          <cell r="AS312" t="str">
            <v/>
          </cell>
          <cell r="AT312" t="str">
            <v/>
          </cell>
          <cell r="AU312" t="str">
            <v/>
          </cell>
          <cell r="AW312" t="str">
            <v/>
          </cell>
          <cell r="AX312" t="str">
            <v/>
          </cell>
        </row>
        <row r="313">
          <cell r="G313" t="str">
            <v/>
          </cell>
          <cell r="H313" t="str">
            <v/>
          </cell>
          <cell r="M313" t="str">
            <v/>
          </cell>
          <cell r="N313" t="str">
            <v/>
          </cell>
          <cell r="O313" t="str">
            <v/>
          </cell>
          <cell r="T313" t="str">
            <v/>
          </cell>
          <cell r="U313" t="str">
            <v/>
          </cell>
          <cell r="X313" t="str">
            <v/>
          </cell>
          <cell r="AH313" t="str">
            <v/>
          </cell>
          <cell r="AK313" t="str">
            <v/>
          </cell>
          <cell r="AM313" t="str">
            <v/>
          </cell>
          <cell r="AO313" t="str">
            <v/>
          </cell>
          <cell r="AS313" t="str">
            <v/>
          </cell>
          <cell r="AT313" t="str">
            <v/>
          </cell>
          <cell r="AU313" t="str">
            <v/>
          </cell>
          <cell r="AW313" t="str">
            <v/>
          </cell>
          <cell r="AX313" t="str">
            <v/>
          </cell>
        </row>
        <row r="314">
          <cell r="G314" t="str">
            <v/>
          </cell>
          <cell r="H314" t="str">
            <v/>
          </cell>
          <cell r="M314" t="str">
            <v/>
          </cell>
          <cell r="N314" t="str">
            <v/>
          </cell>
          <cell r="O314" t="str">
            <v/>
          </cell>
          <cell r="T314" t="str">
            <v/>
          </cell>
          <cell r="U314" t="str">
            <v/>
          </cell>
          <cell r="X314" t="str">
            <v/>
          </cell>
          <cell r="AH314" t="str">
            <v/>
          </cell>
          <cell r="AK314" t="str">
            <v/>
          </cell>
          <cell r="AM314" t="str">
            <v/>
          </cell>
          <cell r="AO314" t="str">
            <v/>
          </cell>
          <cell r="AS314" t="str">
            <v/>
          </cell>
          <cell r="AT314" t="str">
            <v/>
          </cell>
          <cell r="AU314" t="str">
            <v/>
          </cell>
          <cell r="AW314" t="str">
            <v/>
          </cell>
          <cell r="AX314" t="str">
            <v/>
          </cell>
        </row>
        <row r="315">
          <cell r="G315" t="str">
            <v/>
          </cell>
          <cell r="H315" t="str">
            <v/>
          </cell>
          <cell r="M315" t="str">
            <v/>
          </cell>
          <cell r="N315" t="str">
            <v/>
          </cell>
          <cell r="O315" t="str">
            <v/>
          </cell>
          <cell r="T315" t="str">
            <v/>
          </cell>
          <cell r="U315" t="str">
            <v/>
          </cell>
          <cell r="X315" t="str">
            <v/>
          </cell>
          <cell r="AH315" t="str">
            <v/>
          </cell>
          <cell r="AK315" t="str">
            <v/>
          </cell>
          <cell r="AM315" t="str">
            <v/>
          </cell>
          <cell r="AO315" t="str">
            <v/>
          </cell>
          <cell r="AS315" t="str">
            <v/>
          </cell>
          <cell r="AT315" t="str">
            <v/>
          </cell>
          <cell r="AU315" t="str">
            <v/>
          </cell>
          <cell r="AW315" t="str">
            <v/>
          </cell>
          <cell r="AX315" t="str">
            <v/>
          </cell>
        </row>
        <row r="316">
          <cell r="G316" t="str">
            <v/>
          </cell>
          <cell r="H316" t="str">
            <v/>
          </cell>
          <cell r="M316" t="str">
            <v/>
          </cell>
          <cell r="N316" t="str">
            <v/>
          </cell>
          <cell r="O316" t="str">
            <v/>
          </cell>
          <cell r="T316" t="str">
            <v/>
          </cell>
          <cell r="U316" t="str">
            <v/>
          </cell>
          <cell r="X316" t="str">
            <v/>
          </cell>
          <cell r="AH316" t="str">
            <v/>
          </cell>
          <cell r="AK316" t="str">
            <v/>
          </cell>
          <cell r="AM316" t="str">
            <v/>
          </cell>
          <cell r="AO316" t="str">
            <v/>
          </cell>
          <cell r="AS316" t="str">
            <v/>
          </cell>
          <cell r="AT316" t="str">
            <v/>
          </cell>
          <cell r="AU316" t="str">
            <v/>
          </cell>
          <cell r="AW316" t="str">
            <v/>
          </cell>
          <cell r="AX316" t="str">
            <v/>
          </cell>
        </row>
        <row r="317">
          <cell r="G317" t="str">
            <v/>
          </cell>
          <cell r="H317" t="str">
            <v/>
          </cell>
          <cell r="M317" t="str">
            <v/>
          </cell>
          <cell r="N317" t="str">
            <v/>
          </cell>
          <cell r="O317" t="str">
            <v/>
          </cell>
          <cell r="T317" t="str">
            <v/>
          </cell>
          <cell r="U317" t="str">
            <v/>
          </cell>
          <cell r="X317" t="str">
            <v/>
          </cell>
          <cell r="AH317" t="str">
            <v/>
          </cell>
          <cell r="AK317" t="str">
            <v/>
          </cell>
          <cell r="AM317" t="str">
            <v/>
          </cell>
          <cell r="AO317" t="str">
            <v/>
          </cell>
          <cell r="AS317" t="str">
            <v/>
          </cell>
          <cell r="AT317" t="str">
            <v/>
          </cell>
          <cell r="AU317" t="str">
            <v/>
          </cell>
          <cell r="AW317" t="str">
            <v/>
          </cell>
          <cell r="AX317" t="str">
            <v/>
          </cell>
        </row>
        <row r="318">
          <cell r="G318" t="str">
            <v/>
          </cell>
          <cell r="H318" t="str">
            <v/>
          </cell>
          <cell r="M318" t="str">
            <v/>
          </cell>
          <cell r="N318" t="str">
            <v/>
          </cell>
          <cell r="O318" t="str">
            <v/>
          </cell>
          <cell r="T318" t="str">
            <v/>
          </cell>
          <cell r="U318" t="str">
            <v/>
          </cell>
          <cell r="X318" t="str">
            <v/>
          </cell>
          <cell r="AH318" t="str">
            <v/>
          </cell>
          <cell r="AK318" t="str">
            <v/>
          </cell>
          <cell r="AM318" t="str">
            <v/>
          </cell>
          <cell r="AO318" t="str">
            <v/>
          </cell>
          <cell r="AS318" t="str">
            <v/>
          </cell>
          <cell r="AT318" t="str">
            <v/>
          </cell>
          <cell r="AU318" t="str">
            <v/>
          </cell>
          <cell r="AW318" t="str">
            <v/>
          </cell>
          <cell r="AX318" t="str">
            <v/>
          </cell>
        </row>
        <row r="319">
          <cell r="G319" t="str">
            <v/>
          </cell>
          <cell r="H319" t="str">
            <v/>
          </cell>
          <cell r="M319" t="str">
            <v/>
          </cell>
          <cell r="N319" t="str">
            <v/>
          </cell>
          <cell r="O319" t="str">
            <v/>
          </cell>
          <cell r="T319" t="str">
            <v/>
          </cell>
          <cell r="U319" t="str">
            <v/>
          </cell>
          <cell r="X319" t="str">
            <v/>
          </cell>
          <cell r="AH319" t="str">
            <v/>
          </cell>
          <cell r="AK319" t="str">
            <v/>
          </cell>
          <cell r="AM319" t="str">
            <v/>
          </cell>
          <cell r="AO319" t="str">
            <v/>
          </cell>
          <cell r="AS319" t="str">
            <v/>
          </cell>
          <cell r="AT319" t="str">
            <v/>
          </cell>
          <cell r="AU319" t="str">
            <v/>
          </cell>
          <cell r="AW319" t="str">
            <v/>
          </cell>
          <cell r="AX319" t="str">
            <v/>
          </cell>
        </row>
        <row r="320">
          <cell r="G320" t="str">
            <v/>
          </cell>
          <cell r="H320" t="str">
            <v/>
          </cell>
          <cell r="M320" t="str">
            <v/>
          </cell>
          <cell r="N320" t="str">
            <v/>
          </cell>
          <cell r="O320" t="str">
            <v/>
          </cell>
          <cell r="T320" t="str">
            <v/>
          </cell>
          <cell r="U320" t="str">
            <v/>
          </cell>
          <cell r="X320" t="str">
            <v/>
          </cell>
          <cell r="AH320" t="str">
            <v/>
          </cell>
          <cell r="AK320" t="str">
            <v/>
          </cell>
          <cell r="AM320" t="str">
            <v/>
          </cell>
          <cell r="AO320" t="str">
            <v/>
          </cell>
          <cell r="AS320" t="str">
            <v/>
          </cell>
          <cell r="AT320" t="str">
            <v/>
          </cell>
          <cell r="AU320" t="str">
            <v/>
          </cell>
          <cell r="AW320" t="str">
            <v/>
          </cell>
          <cell r="AX320" t="str">
            <v/>
          </cell>
        </row>
        <row r="321">
          <cell r="G321" t="str">
            <v/>
          </cell>
          <cell r="H321" t="str">
            <v/>
          </cell>
          <cell r="M321" t="str">
            <v/>
          </cell>
          <cell r="N321" t="str">
            <v/>
          </cell>
          <cell r="O321" t="str">
            <v/>
          </cell>
          <cell r="T321" t="str">
            <v/>
          </cell>
          <cell r="U321" t="str">
            <v/>
          </cell>
          <cell r="X321" t="str">
            <v/>
          </cell>
          <cell r="AH321" t="str">
            <v/>
          </cell>
          <cell r="AK321" t="str">
            <v/>
          </cell>
          <cell r="AM321" t="str">
            <v/>
          </cell>
          <cell r="AO321" t="str">
            <v/>
          </cell>
          <cell r="AS321" t="str">
            <v/>
          </cell>
          <cell r="AT321" t="str">
            <v/>
          </cell>
          <cell r="AU321" t="str">
            <v/>
          </cell>
          <cell r="AW321" t="str">
            <v/>
          </cell>
          <cell r="AX321" t="str">
            <v/>
          </cell>
        </row>
        <row r="322">
          <cell r="G322" t="str">
            <v/>
          </cell>
          <cell r="H322" t="str">
            <v/>
          </cell>
          <cell r="M322" t="str">
            <v/>
          </cell>
          <cell r="N322" t="str">
            <v/>
          </cell>
          <cell r="O322" t="str">
            <v/>
          </cell>
          <cell r="T322" t="str">
            <v/>
          </cell>
          <cell r="U322" t="str">
            <v/>
          </cell>
          <cell r="X322" t="str">
            <v/>
          </cell>
          <cell r="AH322" t="str">
            <v/>
          </cell>
          <cell r="AK322" t="str">
            <v/>
          </cell>
          <cell r="AM322" t="str">
            <v/>
          </cell>
          <cell r="AO322" t="str">
            <v/>
          </cell>
          <cell r="AS322" t="str">
            <v/>
          </cell>
          <cell r="AT322" t="str">
            <v/>
          </cell>
          <cell r="AU322" t="str">
            <v/>
          </cell>
          <cell r="AW322" t="str">
            <v/>
          </cell>
          <cell r="AX322" t="str">
            <v/>
          </cell>
        </row>
        <row r="323">
          <cell r="G323" t="str">
            <v/>
          </cell>
          <cell r="H323" t="str">
            <v/>
          </cell>
          <cell r="M323" t="str">
            <v/>
          </cell>
          <cell r="N323" t="str">
            <v/>
          </cell>
          <cell r="O323" t="str">
            <v/>
          </cell>
          <cell r="T323" t="str">
            <v/>
          </cell>
          <cell r="U323" t="str">
            <v/>
          </cell>
          <cell r="X323" t="str">
            <v/>
          </cell>
          <cell r="AH323" t="str">
            <v/>
          </cell>
          <cell r="AK323" t="str">
            <v/>
          </cell>
          <cell r="AM323" t="str">
            <v/>
          </cell>
          <cell r="AO323" t="str">
            <v/>
          </cell>
          <cell r="AS323" t="str">
            <v/>
          </cell>
          <cell r="AT323" t="str">
            <v/>
          </cell>
          <cell r="AU323" t="str">
            <v/>
          </cell>
          <cell r="AW323" t="str">
            <v/>
          </cell>
          <cell r="AX323" t="str">
            <v/>
          </cell>
        </row>
        <row r="324">
          <cell r="G324" t="str">
            <v/>
          </cell>
          <cell r="H324" t="str">
            <v/>
          </cell>
          <cell r="M324" t="str">
            <v/>
          </cell>
          <cell r="N324" t="str">
            <v/>
          </cell>
          <cell r="O324" t="str">
            <v/>
          </cell>
          <cell r="T324" t="str">
            <v/>
          </cell>
          <cell r="U324" t="str">
            <v/>
          </cell>
          <cell r="X324" t="str">
            <v/>
          </cell>
          <cell r="AH324" t="str">
            <v/>
          </cell>
          <cell r="AK324" t="str">
            <v/>
          </cell>
          <cell r="AM324" t="str">
            <v/>
          </cell>
          <cell r="AO324" t="str">
            <v/>
          </cell>
          <cell r="AS324" t="str">
            <v/>
          </cell>
          <cell r="AT324" t="str">
            <v/>
          </cell>
          <cell r="AU324" t="str">
            <v/>
          </cell>
          <cell r="AW324" t="str">
            <v/>
          </cell>
          <cell r="AX324" t="str">
            <v/>
          </cell>
        </row>
        <row r="325">
          <cell r="G325" t="str">
            <v/>
          </cell>
          <cell r="H325" t="str">
            <v/>
          </cell>
          <cell r="M325" t="str">
            <v/>
          </cell>
          <cell r="N325" t="str">
            <v/>
          </cell>
          <cell r="O325" t="str">
            <v/>
          </cell>
          <cell r="T325" t="str">
            <v/>
          </cell>
          <cell r="U325" t="str">
            <v/>
          </cell>
          <cell r="X325" t="str">
            <v/>
          </cell>
          <cell r="AH325" t="str">
            <v/>
          </cell>
          <cell r="AK325" t="str">
            <v/>
          </cell>
          <cell r="AM325" t="str">
            <v/>
          </cell>
          <cell r="AO325" t="str">
            <v/>
          </cell>
          <cell r="AS325" t="str">
            <v/>
          </cell>
          <cell r="AT325" t="str">
            <v/>
          </cell>
          <cell r="AU325" t="str">
            <v/>
          </cell>
          <cell r="AW325" t="str">
            <v/>
          </cell>
          <cell r="AX325" t="str">
            <v/>
          </cell>
        </row>
        <row r="326">
          <cell r="G326" t="str">
            <v/>
          </cell>
          <cell r="H326" t="str">
            <v/>
          </cell>
          <cell r="M326" t="str">
            <v/>
          </cell>
          <cell r="N326" t="str">
            <v/>
          </cell>
          <cell r="O326" t="str">
            <v/>
          </cell>
          <cell r="T326" t="str">
            <v/>
          </cell>
          <cell r="U326" t="str">
            <v/>
          </cell>
          <cell r="X326" t="str">
            <v/>
          </cell>
          <cell r="AH326" t="str">
            <v/>
          </cell>
          <cell r="AK326" t="str">
            <v/>
          </cell>
          <cell r="AM326" t="str">
            <v/>
          </cell>
          <cell r="AO326" t="str">
            <v/>
          </cell>
          <cell r="AS326" t="str">
            <v/>
          </cell>
          <cell r="AT326" t="str">
            <v/>
          </cell>
          <cell r="AU326" t="str">
            <v/>
          </cell>
          <cell r="AW326" t="str">
            <v/>
          </cell>
          <cell r="AX326" t="str">
            <v/>
          </cell>
        </row>
        <row r="327">
          <cell r="G327" t="str">
            <v/>
          </cell>
          <cell r="H327" t="str">
            <v/>
          </cell>
          <cell r="M327" t="str">
            <v/>
          </cell>
          <cell r="N327" t="str">
            <v/>
          </cell>
          <cell r="O327" t="str">
            <v/>
          </cell>
          <cell r="T327" t="str">
            <v/>
          </cell>
          <cell r="U327" t="str">
            <v/>
          </cell>
          <cell r="X327" t="str">
            <v/>
          </cell>
          <cell r="AH327" t="str">
            <v/>
          </cell>
          <cell r="AK327" t="str">
            <v/>
          </cell>
          <cell r="AM327" t="str">
            <v/>
          </cell>
          <cell r="AO327" t="str">
            <v/>
          </cell>
          <cell r="AS327" t="str">
            <v/>
          </cell>
          <cell r="AT327" t="str">
            <v/>
          </cell>
          <cell r="AU327" t="str">
            <v/>
          </cell>
          <cell r="AW327" t="str">
            <v/>
          </cell>
          <cell r="AX327" t="str">
            <v/>
          </cell>
        </row>
        <row r="328">
          <cell r="G328" t="str">
            <v/>
          </cell>
          <cell r="H328" t="str">
            <v/>
          </cell>
          <cell r="M328" t="str">
            <v/>
          </cell>
          <cell r="N328" t="str">
            <v/>
          </cell>
          <cell r="O328" t="str">
            <v/>
          </cell>
          <cell r="T328" t="str">
            <v/>
          </cell>
          <cell r="U328" t="str">
            <v/>
          </cell>
          <cell r="X328" t="str">
            <v/>
          </cell>
          <cell r="AH328" t="str">
            <v/>
          </cell>
          <cell r="AK328" t="str">
            <v/>
          </cell>
          <cell r="AM328" t="str">
            <v/>
          </cell>
          <cell r="AO328" t="str">
            <v/>
          </cell>
          <cell r="AS328" t="str">
            <v/>
          </cell>
          <cell r="AT328" t="str">
            <v/>
          </cell>
          <cell r="AU328" t="str">
            <v/>
          </cell>
          <cell r="AW328" t="str">
            <v/>
          </cell>
          <cell r="AX328" t="str">
            <v/>
          </cell>
        </row>
        <row r="329">
          <cell r="G329" t="str">
            <v/>
          </cell>
          <cell r="H329" t="str">
            <v/>
          </cell>
          <cell r="M329" t="str">
            <v/>
          </cell>
          <cell r="N329" t="str">
            <v/>
          </cell>
          <cell r="O329" t="str">
            <v/>
          </cell>
          <cell r="T329" t="str">
            <v/>
          </cell>
          <cell r="U329" t="str">
            <v/>
          </cell>
          <cell r="X329" t="str">
            <v/>
          </cell>
          <cell r="AH329" t="str">
            <v/>
          </cell>
          <cell r="AK329" t="str">
            <v/>
          </cell>
          <cell r="AM329" t="str">
            <v/>
          </cell>
          <cell r="AO329" t="str">
            <v/>
          </cell>
          <cell r="AS329" t="str">
            <v/>
          </cell>
          <cell r="AT329" t="str">
            <v/>
          </cell>
          <cell r="AU329" t="str">
            <v/>
          </cell>
          <cell r="AW329" t="str">
            <v/>
          </cell>
          <cell r="AX329" t="str">
            <v/>
          </cell>
        </row>
        <row r="330">
          <cell r="G330" t="str">
            <v/>
          </cell>
          <cell r="H330" t="str">
            <v/>
          </cell>
          <cell r="M330" t="str">
            <v/>
          </cell>
          <cell r="N330" t="str">
            <v/>
          </cell>
          <cell r="O330" t="str">
            <v/>
          </cell>
          <cell r="T330" t="str">
            <v/>
          </cell>
          <cell r="U330" t="str">
            <v/>
          </cell>
          <cell r="X330" t="str">
            <v/>
          </cell>
          <cell r="AH330" t="str">
            <v/>
          </cell>
          <cell r="AK330" t="str">
            <v/>
          </cell>
          <cell r="AM330" t="str">
            <v/>
          </cell>
          <cell r="AO330" t="str">
            <v/>
          </cell>
          <cell r="AS330" t="str">
            <v/>
          </cell>
          <cell r="AT330" t="str">
            <v/>
          </cell>
          <cell r="AU330" t="str">
            <v/>
          </cell>
          <cell r="AW330" t="str">
            <v/>
          </cell>
          <cell r="AX330" t="str">
            <v/>
          </cell>
        </row>
        <row r="331">
          <cell r="G331" t="str">
            <v/>
          </cell>
          <cell r="H331" t="str">
            <v/>
          </cell>
          <cell r="M331" t="str">
            <v/>
          </cell>
          <cell r="N331" t="str">
            <v/>
          </cell>
          <cell r="O331" t="str">
            <v/>
          </cell>
          <cell r="T331" t="str">
            <v/>
          </cell>
          <cell r="U331" t="str">
            <v/>
          </cell>
          <cell r="X331" t="str">
            <v/>
          </cell>
          <cell r="AH331" t="str">
            <v/>
          </cell>
          <cell r="AK331" t="str">
            <v/>
          </cell>
          <cell r="AM331" t="str">
            <v/>
          </cell>
          <cell r="AO331" t="str">
            <v/>
          </cell>
          <cell r="AS331" t="str">
            <v/>
          </cell>
          <cell r="AT331" t="str">
            <v/>
          </cell>
          <cell r="AU331" t="str">
            <v/>
          </cell>
          <cell r="AW331" t="str">
            <v/>
          </cell>
          <cell r="AX331" t="str">
            <v/>
          </cell>
        </row>
        <row r="332">
          <cell r="G332" t="str">
            <v/>
          </cell>
          <cell r="H332" t="str">
            <v/>
          </cell>
          <cell r="M332" t="str">
            <v/>
          </cell>
          <cell r="N332" t="str">
            <v/>
          </cell>
          <cell r="O332" t="str">
            <v/>
          </cell>
          <cell r="T332" t="str">
            <v/>
          </cell>
          <cell r="U332" t="str">
            <v/>
          </cell>
          <cell r="X332" t="str">
            <v/>
          </cell>
          <cell r="AH332" t="str">
            <v/>
          </cell>
          <cell r="AK332" t="str">
            <v/>
          </cell>
          <cell r="AM332" t="str">
            <v/>
          </cell>
          <cell r="AO332" t="str">
            <v/>
          </cell>
          <cell r="AS332" t="str">
            <v/>
          </cell>
          <cell r="AT332" t="str">
            <v/>
          </cell>
          <cell r="AU332" t="str">
            <v/>
          </cell>
          <cell r="AW332" t="str">
            <v/>
          </cell>
          <cell r="AX332" t="str">
            <v/>
          </cell>
        </row>
        <row r="333">
          <cell r="G333" t="str">
            <v/>
          </cell>
          <cell r="H333" t="str">
            <v/>
          </cell>
          <cell r="M333" t="str">
            <v/>
          </cell>
          <cell r="N333" t="str">
            <v/>
          </cell>
          <cell r="O333" t="str">
            <v/>
          </cell>
          <cell r="T333" t="str">
            <v/>
          </cell>
          <cell r="U333" t="str">
            <v/>
          </cell>
          <cell r="X333" t="str">
            <v/>
          </cell>
          <cell r="AH333" t="str">
            <v/>
          </cell>
          <cell r="AK333" t="str">
            <v/>
          </cell>
          <cell r="AM333" t="str">
            <v/>
          </cell>
          <cell r="AO333" t="str">
            <v/>
          </cell>
          <cell r="AS333" t="str">
            <v/>
          </cell>
          <cell r="AT333" t="str">
            <v/>
          </cell>
          <cell r="AU333" t="str">
            <v/>
          </cell>
          <cell r="AW333" t="str">
            <v/>
          </cell>
          <cell r="AX333" t="str">
            <v/>
          </cell>
        </row>
        <row r="334">
          <cell r="G334" t="str">
            <v/>
          </cell>
          <cell r="H334" t="str">
            <v/>
          </cell>
          <cell r="M334" t="str">
            <v/>
          </cell>
          <cell r="N334" t="str">
            <v/>
          </cell>
          <cell r="O334" t="str">
            <v/>
          </cell>
          <cell r="T334" t="str">
            <v/>
          </cell>
          <cell r="U334" t="str">
            <v/>
          </cell>
          <cell r="X334" t="str">
            <v/>
          </cell>
          <cell r="AH334" t="str">
            <v/>
          </cell>
          <cell r="AK334" t="str">
            <v/>
          </cell>
          <cell r="AM334" t="str">
            <v/>
          </cell>
          <cell r="AO334" t="str">
            <v/>
          </cell>
          <cell r="AS334" t="str">
            <v/>
          </cell>
          <cell r="AT334" t="str">
            <v/>
          </cell>
          <cell r="AU334" t="str">
            <v/>
          </cell>
          <cell r="AW334" t="str">
            <v/>
          </cell>
          <cell r="AX334" t="str">
            <v/>
          </cell>
        </row>
        <row r="335">
          <cell r="G335" t="str">
            <v/>
          </cell>
          <cell r="H335" t="str">
            <v/>
          </cell>
          <cell r="M335" t="str">
            <v/>
          </cell>
          <cell r="N335" t="str">
            <v/>
          </cell>
          <cell r="O335" t="str">
            <v/>
          </cell>
          <cell r="T335" t="str">
            <v/>
          </cell>
          <cell r="U335" t="str">
            <v/>
          </cell>
          <cell r="X335" t="str">
            <v/>
          </cell>
          <cell r="AH335" t="str">
            <v/>
          </cell>
          <cell r="AK335" t="str">
            <v/>
          </cell>
          <cell r="AM335" t="str">
            <v/>
          </cell>
          <cell r="AO335" t="str">
            <v/>
          </cell>
          <cell r="AS335" t="str">
            <v/>
          </cell>
          <cell r="AT335" t="str">
            <v/>
          </cell>
          <cell r="AU335" t="str">
            <v/>
          </cell>
          <cell r="AW335" t="str">
            <v/>
          </cell>
          <cell r="AX335" t="str">
            <v/>
          </cell>
        </row>
        <row r="336">
          <cell r="G336" t="str">
            <v/>
          </cell>
          <cell r="H336" t="str">
            <v/>
          </cell>
          <cell r="M336" t="str">
            <v/>
          </cell>
          <cell r="N336" t="str">
            <v/>
          </cell>
          <cell r="O336" t="str">
            <v/>
          </cell>
          <cell r="T336" t="str">
            <v/>
          </cell>
          <cell r="U336" t="str">
            <v/>
          </cell>
          <cell r="X336" t="str">
            <v/>
          </cell>
          <cell r="AH336" t="str">
            <v/>
          </cell>
          <cell r="AK336" t="str">
            <v/>
          </cell>
          <cell r="AM336" t="str">
            <v/>
          </cell>
          <cell r="AO336" t="str">
            <v/>
          </cell>
          <cell r="AS336" t="str">
            <v/>
          </cell>
          <cell r="AT336" t="str">
            <v/>
          </cell>
          <cell r="AU336" t="str">
            <v/>
          </cell>
          <cell r="AW336" t="str">
            <v/>
          </cell>
          <cell r="AX336" t="str">
            <v/>
          </cell>
        </row>
        <row r="337">
          <cell r="G337" t="str">
            <v/>
          </cell>
          <cell r="H337" t="str">
            <v/>
          </cell>
          <cell r="M337" t="str">
            <v/>
          </cell>
          <cell r="N337" t="str">
            <v/>
          </cell>
          <cell r="O337" t="str">
            <v/>
          </cell>
          <cell r="T337" t="str">
            <v/>
          </cell>
          <cell r="U337" t="str">
            <v/>
          </cell>
          <cell r="X337" t="str">
            <v/>
          </cell>
          <cell r="AH337" t="str">
            <v/>
          </cell>
          <cell r="AK337" t="str">
            <v/>
          </cell>
          <cell r="AM337" t="str">
            <v/>
          </cell>
          <cell r="AO337" t="str">
            <v/>
          </cell>
          <cell r="AS337" t="str">
            <v/>
          </cell>
          <cell r="AT337" t="str">
            <v/>
          </cell>
          <cell r="AU337" t="str">
            <v/>
          </cell>
          <cell r="AW337" t="str">
            <v/>
          </cell>
          <cell r="AX337" t="str">
            <v/>
          </cell>
        </row>
        <row r="338">
          <cell r="G338" t="str">
            <v/>
          </cell>
          <cell r="H338" t="str">
            <v/>
          </cell>
          <cell r="M338" t="str">
            <v/>
          </cell>
          <cell r="N338" t="str">
            <v/>
          </cell>
          <cell r="O338" t="str">
            <v/>
          </cell>
          <cell r="T338" t="str">
            <v/>
          </cell>
          <cell r="U338" t="str">
            <v/>
          </cell>
          <cell r="X338" t="str">
            <v/>
          </cell>
          <cell r="AH338" t="str">
            <v/>
          </cell>
          <cell r="AK338" t="str">
            <v/>
          </cell>
          <cell r="AM338" t="str">
            <v/>
          </cell>
          <cell r="AO338" t="str">
            <v/>
          </cell>
          <cell r="AS338" t="str">
            <v/>
          </cell>
          <cell r="AT338" t="str">
            <v/>
          </cell>
          <cell r="AU338" t="str">
            <v/>
          </cell>
          <cell r="AW338" t="str">
            <v/>
          </cell>
          <cell r="AX338" t="str">
            <v/>
          </cell>
        </row>
        <row r="339">
          <cell r="G339" t="str">
            <v/>
          </cell>
          <cell r="H339" t="str">
            <v/>
          </cell>
          <cell r="M339" t="str">
            <v/>
          </cell>
          <cell r="N339" t="str">
            <v/>
          </cell>
          <cell r="O339" t="str">
            <v/>
          </cell>
          <cell r="T339" t="str">
            <v/>
          </cell>
          <cell r="U339" t="str">
            <v/>
          </cell>
          <cell r="X339" t="str">
            <v/>
          </cell>
          <cell r="AH339" t="str">
            <v/>
          </cell>
          <cell r="AK339" t="str">
            <v/>
          </cell>
          <cell r="AM339" t="str">
            <v/>
          </cell>
          <cell r="AO339" t="str">
            <v/>
          </cell>
          <cell r="AS339" t="str">
            <v/>
          </cell>
          <cell r="AT339" t="str">
            <v/>
          </cell>
          <cell r="AU339" t="str">
            <v/>
          </cell>
          <cell r="AW339" t="str">
            <v/>
          </cell>
          <cell r="AX339" t="str">
            <v/>
          </cell>
        </row>
        <row r="340">
          <cell r="G340" t="str">
            <v/>
          </cell>
          <cell r="H340" t="str">
            <v/>
          </cell>
          <cell r="M340" t="str">
            <v/>
          </cell>
          <cell r="N340" t="str">
            <v/>
          </cell>
          <cell r="O340" t="str">
            <v/>
          </cell>
          <cell r="T340" t="str">
            <v/>
          </cell>
          <cell r="U340" t="str">
            <v/>
          </cell>
          <cell r="X340" t="str">
            <v/>
          </cell>
          <cell r="AH340" t="str">
            <v/>
          </cell>
          <cell r="AK340" t="str">
            <v/>
          </cell>
          <cell r="AM340" t="str">
            <v/>
          </cell>
          <cell r="AO340" t="str">
            <v/>
          </cell>
          <cell r="AS340" t="str">
            <v/>
          </cell>
          <cell r="AT340" t="str">
            <v/>
          </cell>
          <cell r="AU340" t="str">
            <v/>
          </cell>
          <cell r="AW340" t="str">
            <v/>
          </cell>
          <cell r="AX340" t="str">
            <v/>
          </cell>
        </row>
        <row r="341">
          <cell r="G341" t="str">
            <v/>
          </cell>
          <cell r="H341" t="str">
            <v/>
          </cell>
          <cell r="M341" t="str">
            <v/>
          </cell>
          <cell r="N341" t="str">
            <v/>
          </cell>
          <cell r="O341" t="str">
            <v/>
          </cell>
          <cell r="T341" t="str">
            <v/>
          </cell>
          <cell r="U341" t="str">
            <v/>
          </cell>
          <cell r="X341" t="str">
            <v/>
          </cell>
          <cell r="AH341" t="str">
            <v/>
          </cell>
          <cell r="AK341" t="str">
            <v/>
          </cell>
          <cell r="AM341" t="str">
            <v/>
          </cell>
          <cell r="AO341" t="str">
            <v/>
          </cell>
          <cell r="AS341" t="str">
            <v/>
          </cell>
          <cell r="AT341" t="str">
            <v/>
          </cell>
          <cell r="AU341" t="str">
            <v/>
          </cell>
          <cell r="AW341" t="str">
            <v/>
          </cell>
          <cell r="AX341" t="str">
            <v/>
          </cell>
        </row>
        <row r="342">
          <cell r="G342" t="str">
            <v/>
          </cell>
          <cell r="H342" t="str">
            <v/>
          </cell>
          <cell r="M342" t="str">
            <v/>
          </cell>
          <cell r="N342" t="str">
            <v/>
          </cell>
          <cell r="O342" t="str">
            <v/>
          </cell>
          <cell r="T342" t="str">
            <v/>
          </cell>
          <cell r="U342" t="str">
            <v/>
          </cell>
          <cell r="X342" t="str">
            <v/>
          </cell>
          <cell r="AH342" t="str">
            <v/>
          </cell>
          <cell r="AK342" t="str">
            <v/>
          </cell>
          <cell r="AM342" t="str">
            <v/>
          </cell>
          <cell r="AO342" t="str">
            <v/>
          </cell>
          <cell r="AS342" t="str">
            <v/>
          </cell>
          <cell r="AT342" t="str">
            <v/>
          </cell>
          <cell r="AU342" t="str">
            <v/>
          </cell>
          <cell r="AW342" t="str">
            <v/>
          </cell>
          <cell r="AX342" t="str">
            <v/>
          </cell>
        </row>
        <row r="343">
          <cell r="G343" t="str">
            <v/>
          </cell>
          <cell r="H343" t="str">
            <v/>
          </cell>
          <cell r="M343" t="str">
            <v/>
          </cell>
          <cell r="N343" t="str">
            <v/>
          </cell>
          <cell r="O343" t="str">
            <v/>
          </cell>
          <cell r="T343" t="str">
            <v/>
          </cell>
          <cell r="U343" t="str">
            <v/>
          </cell>
          <cell r="X343" t="str">
            <v/>
          </cell>
          <cell r="AH343" t="str">
            <v/>
          </cell>
          <cell r="AK343" t="str">
            <v/>
          </cell>
          <cell r="AM343" t="str">
            <v/>
          </cell>
          <cell r="AO343" t="str">
            <v/>
          </cell>
          <cell r="AS343" t="str">
            <v/>
          </cell>
          <cell r="AT343" t="str">
            <v/>
          </cell>
          <cell r="AU343" t="str">
            <v/>
          </cell>
          <cell r="AW343" t="str">
            <v/>
          </cell>
          <cell r="AX343" t="str">
            <v/>
          </cell>
        </row>
        <row r="344">
          <cell r="G344" t="str">
            <v/>
          </cell>
          <cell r="H344" t="str">
            <v/>
          </cell>
          <cell r="M344" t="str">
            <v/>
          </cell>
          <cell r="N344" t="str">
            <v/>
          </cell>
          <cell r="O344" t="str">
            <v/>
          </cell>
          <cell r="T344" t="str">
            <v/>
          </cell>
          <cell r="U344" t="str">
            <v/>
          </cell>
          <cell r="X344" t="str">
            <v/>
          </cell>
          <cell r="AH344" t="str">
            <v/>
          </cell>
          <cell r="AK344" t="str">
            <v/>
          </cell>
          <cell r="AM344" t="str">
            <v/>
          </cell>
          <cell r="AO344" t="str">
            <v/>
          </cell>
          <cell r="AS344" t="str">
            <v/>
          </cell>
          <cell r="AT344" t="str">
            <v/>
          </cell>
          <cell r="AU344" t="str">
            <v/>
          </cell>
          <cell r="AW344" t="str">
            <v/>
          </cell>
          <cell r="AX344" t="str">
            <v/>
          </cell>
        </row>
        <row r="345">
          <cell r="G345" t="str">
            <v/>
          </cell>
          <cell r="H345" t="str">
            <v/>
          </cell>
          <cell r="M345" t="str">
            <v/>
          </cell>
          <cell r="N345" t="str">
            <v/>
          </cell>
          <cell r="O345" t="str">
            <v/>
          </cell>
          <cell r="T345" t="str">
            <v/>
          </cell>
          <cell r="U345" t="str">
            <v/>
          </cell>
          <cell r="X345" t="str">
            <v/>
          </cell>
          <cell r="AH345" t="str">
            <v/>
          </cell>
          <cell r="AK345" t="str">
            <v/>
          </cell>
          <cell r="AM345" t="str">
            <v/>
          </cell>
          <cell r="AO345" t="str">
            <v/>
          </cell>
          <cell r="AS345" t="str">
            <v/>
          </cell>
          <cell r="AT345" t="str">
            <v/>
          </cell>
          <cell r="AU345" t="str">
            <v/>
          </cell>
          <cell r="AW345" t="str">
            <v/>
          </cell>
          <cell r="AX345" t="str">
            <v/>
          </cell>
        </row>
        <row r="346">
          <cell r="G346" t="str">
            <v/>
          </cell>
          <cell r="H346" t="str">
            <v/>
          </cell>
          <cell r="M346" t="str">
            <v/>
          </cell>
          <cell r="N346" t="str">
            <v/>
          </cell>
          <cell r="O346" t="str">
            <v/>
          </cell>
          <cell r="T346" t="str">
            <v/>
          </cell>
          <cell r="U346" t="str">
            <v/>
          </cell>
          <cell r="X346" t="str">
            <v/>
          </cell>
          <cell r="AH346" t="str">
            <v/>
          </cell>
          <cell r="AK346" t="str">
            <v/>
          </cell>
          <cell r="AM346" t="str">
            <v/>
          </cell>
          <cell r="AO346" t="str">
            <v/>
          </cell>
          <cell r="AS346" t="str">
            <v/>
          </cell>
          <cell r="AT346" t="str">
            <v/>
          </cell>
          <cell r="AU346" t="str">
            <v/>
          </cell>
          <cell r="AW346" t="str">
            <v/>
          </cell>
          <cell r="AX346" t="str">
            <v/>
          </cell>
        </row>
        <row r="347">
          <cell r="G347" t="str">
            <v/>
          </cell>
          <cell r="H347" t="str">
            <v/>
          </cell>
          <cell r="M347" t="str">
            <v/>
          </cell>
          <cell r="N347" t="str">
            <v/>
          </cell>
          <cell r="O347" t="str">
            <v/>
          </cell>
          <cell r="T347" t="str">
            <v/>
          </cell>
          <cell r="U347" t="str">
            <v/>
          </cell>
          <cell r="X347" t="str">
            <v/>
          </cell>
          <cell r="AH347" t="str">
            <v/>
          </cell>
          <cell r="AK347" t="str">
            <v/>
          </cell>
          <cell r="AM347" t="str">
            <v/>
          </cell>
          <cell r="AO347" t="str">
            <v/>
          </cell>
          <cell r="AS347" t="str">
            <v/>
          </cell>
          <cell r="AT347" t="str">
            <v/>
          </cell>
          <cell r="AU347" t="str">
            <v/>
          </cell>
          <cell r="AW347" t="str">
            <v/>
          </cell>
          <cell r="AX347" t="str">
            <v/>
          </cell>
        </row>
        <row r="348">
          <cell r="G348" t="str">
            <v/>
          </cell>
          <cell r="H348" t="str">
            <v/>
          </cell>
          <cell r="M348" t="str">
            <v/>
          </cell>
          <cell r="N348" t="str">
            <v/>
          </cell>
          <cell r="O348" t="str">
            <v/>
          </cell>
          <cell r="T348" t="str">
            <v/>
          </cell>
          <cell r="U348" t="str">
            <v/>
          </cell>
          <cell r="X348" t="str">
            <v/>
          </cell>
          <cell r="AH348" t="str">
            <v/>
          </cell>
          <cell r="AK348" t="str">
            <v/>
          </cell>
          <cell r="AM348" t="str">
            <v/>
          </cell>
          <cell r="AO348" t="str">
            <v/>
          </cell>
          <cell r="AS348" t="str">
            <v/>
          </cell>
          <cell r="AT348" t="str">
            <v/>
          </cell>
          <cell r="AU348" t="str">
            <v/>
          </cell>
          <cell r="AW348" t="str">
            <v/>
          </cell>
          <cell r="AX348" t="str">
            <v/>
          </cell>
        </row>
        <row r="349">
          <cell r="G349" t="str">
            <v/>
          </cell>
          <cell r="H349" t="str">
            <v/>
          </cell>
          <cell r="M349" t="str">
            <v/>
          </cell>
          <cell r="N349" t="str">
            <v/>
          </cell>
          <cell r="O349" t="str">
            <v/>
          </cell>
          <cell r="T349" t="str">
            <v/>
          </cell>
          <cell r="U349" t="str">
            <v/>
          </cell>
          <cell r="X349" t="str">
            <v/>
          </cell>
          <cell r="AH349" t="str">
            <v/>
          </cell>
          <cell r="AK349" t="str">
            <v/>
          </cell>
          <cell r="AM349" t="str">
            <v/>
          </cell>
          <cell r="AO349" t="str">
            <v/>
          </cell>
          <cell r="AS349" t="str">
            <v/>
          </cell>
          <cell r="AT349" t="str">
            <v/>
          </cell>
          <cell r="AU349" t="str">
            <v/>
          </cell>
          <cell r="AW349" t="str">
            <v/>
          </cell>
          <cell r="AX349" t="str">
            <v/>
          </cell>
        </row>
        <row r="350">
          <cell r="G350" t="str">
            <v/>
          </cell>
          <cell r="H350" t="str">
            <v/>
          </cell>
          <cell r="M350" t="str">
            <v/>
          </cell>
          <cell r="N350" t="str">
            <v/>
          </cell>
          <cell r="O350" t="str">
            <v/>
          </cell>
          <cell r="T350" t="str">
            <v/>
          </cell>
          <cell r="U350" t="str">
            <v/>
          </cell>
          <cell r="X350" t="str">
            <v/>
          </cell>
          <cell r="AH350" t="str">
            <v/>
          </cell>
          <cell r="AK350" t="str">
            <v/>
          </cell>
          <cell r="AM350" t="str">
            <v/>
          </cell>
          <cell r="AO350" t="str">
            <v/>
          </cell>
          <cell r="AS350" t="str">
            <v/>
          </cell>
          <cell r="AT350" t="str">
            <v/>
          </cell>
          <cell r="AU350" t="str">
            <v/>
          </cell>
          <cell r="AW350" t="str">
            <v/>
          </cell>
          <cell r="AX350" t="str">
            <v/>
          </cell>
        </row>
        <row r="351">
          <cell r="G351" t="str">
            <v/>
          </cell>
          <cell r="H351" t="str">
            <v/>
          </cell>
          <cell r="M351" t="str">
            <v/>
          </cell>
          <cell r="N351" t="str">
            <v/>
          </cell>
          <cell r="O351" t="str">
            <v/>
          </cell>
          <cell r="T351" t="str">
            <v/>
          </cell>
          <cell r="U351" t="str">
            <v/>
          </cell>
          <cell r="X351" t="str">
            <v/>
          </cell>
          <cell r="AH351" t="str">
            <v/>
          </cell>
          <cell r="AK351" t="str">
            <v/>
          </cell>
          <cell r="AM351" t="str">
            <v/>
          </cell>
          <cell r="AO351" t="str">
            <v/>
          </cell>
          <cell r="AS351" t="str">
            <v/>
          </cell>
          <cell r="AT351" t="str">
            <v/>
          </cell>
          <cell r="AU351" t="str">
            <v/>
          </cell>
          <cell r="AW351" t="str">
            <v/>
          </cell>
          <cell r="AX351" t="str">
            <v/>
          </cell>
        </row>
        <row r="352">
          <cell r="G352" t="str">
            <v/>
          </cell>
          <cell r="H352" t="str">
            <v/>
          </cell>
          <cell r="M352" t="str">
            <v/>
          </cell>
          <cell r="N352" t="str">
            <v/>
          </cell>
          <cell r="O352" t="str">
            <v/>
          </cell>
          <cell r="T352" t="str">
            <v/>
          </cell>
          <cell r="U352" t="str">
            <v/>
          </cell>
          <cell r="X352" t="str">
            <v/>
          </cell>
          <cell r="AH352" t="str">
            <v/>
          </cell>
          <cell r="AK352" t="str">
            <v/>
          </cell>
          <cell r="AM352" t="str">
            <v/>
          </cell>
          <cell r="AO352" t="str">
            <v/>
          </cell>
          <cell r="AS352" t="str">
            <v/>
          </cell>
          <cell r="AT352" t="str">
            <v/>
          </cell>
          <cell r="AU352" t="str">
            <v/>
          </cell>
          <cell r="AW352" t="str">
            <v/>
          </cell>
          <cell r="AX352" t="str">
            <v/>
          </cell>
        </row>
        <row r="353">
          <cell r="G353" t="str">
            <v/>
          </cell>
          <cell r="H353" t="str">
            <v/>
          </cell>
          <cell r="M353" t="str">
            <v/>
          </cell>
          <cell r="N353" t="str">
            <v/>
          </cell>
          <cell r="O353" t="str">
            <v/>
          </cell>
          <cell r="T353" t="str">
            <v/>
          </cell>
          <cell r="U353" t="str">
            <v/>
          </cell>
          <cell r="X353" t="str">
            <v/>
          </cell>
          <cell r="AH353" t="str">
            <v/>
          </cell>
          <cell r="AK353" t="str">
            <v/>
          </cell>
          <cell r="AM353" t="str">
            <v/>
          </cell>
          <cell r="AO353" t="str">
            <v/>
          </cell>
          <cell r="AS353" t="str">
            <v/>
          </cell>
          <cell r="AT353" t="str">
            <v/>
          </cell>
          <cell r="AU353" t="str">
            <v/>
          </cell>
          <cell r="AW353" t="str">
            <v/>
          </cell>
          <cell r="AX353" t="str">
            <v/>
          </cell>
        </row>
        <row r="354">
          <cell r="G354" t="str">
            <v/>
          </cell>
          <cell r="H354" t="str">
            <v/>
          </cell>
          <cell r="M354" t="str">
            <v/>
          </cell>
          <cell r="N354" t="str">
            <v/>
          </cell>
          <cell r="O354" t="str">
            <v/>
          </cell>
          <cell r="T354" t="str">
            <v/>
          </cell>
          <cell r="U354" t="str">
            <v/>
          </cell>
          <cell r="X354" t="str">
            <v/>
          </cell>
          <cell r="AH354" t="str">
            <v/>
          </cell>
          <cell r="AK354" t="str">
            <v/>
          </cell>
          <cell r="AM354" t="str">
            <v/>
          </cell>
          <cell r="AO354" t="str">
            <v/>
          </cell>
          <cell r="AS354" t="str">
            <v/>
          </cell>
          <cell r="AT354" t="str">
            <v/>
          </cell>
          <cell r="AU354" t="str">
            <v/>
          </cell>
          <cell r="AW354" t="str">
            <v/>
          </cell>
          <cell r="AX354" t="str">
            <v/>
          </cell>
        </row>
        <row r="355">
          <cell r="G355" t="str">
            <v/>
          </cell>
          <cell r="H355" t="str">
            <v/>
          </cell>
          <cell r="M355" t="str">
            <v/>
          </cell>
          <cell r="N355" t="str">
            <v/>
          </cell>
          <cell r="O355" t="str">
            <v/>
          </cell>
          <cell r="T355" t="str">
            <v/>
          </cell>
          <cell r="U355" t="str">
            <v/>
          </cell>
          <cell r="X355" t="str">
            <v/>
          </cell>
          <cell r="AH355" t="str">
            <v/>
          </cell>
          <cell r="AK355" t="str">
            <v/>
          </cell>
          <cell r="AM355" t="str">
            <v/>
          </cell>
          <cell r="AO355" t="str">
            <v/>
          </cell>
          <cell r="AS355" t="str">
            <v/>
          </cell>
          <cell r="AT355" t="str">
            <v/>
          </cell>
          <cell r="AU355" t="str">
            <v/>
          </cell>
          <cell r="AW355" t="str">
            <v/>
          </cell>
          <cell r="AX355" t="str">
            <v/>
          </cell>
        </row>
        <row r="356">
          <cell r="G356" t="str">
            <v/>
          </cell>
          <cell r="H356" t="str">
            <v/>
          </cell>
          <cell r="M356" t="str">
            <v/>
          </cell>
          <cell r="N356" t="str">
            <v/>
          </cell>
          <cell r="O356" t="str">
            <v/>
          </cell>
          <cell r="T356" t="str">
            <v/>
          </cell>
          <cell r="U356" t="str">
            <v/>
          </cell>
          <cell r="X356" t="str">
            <v/>
          </cell>
          <cell r="AH356" t="str">
            <v/>
          </cell>
          <cell r="AK356" t="str">
            <v/>
          </cell>
          <cell r="AM356" t="str">
            <v/>
          </cell>
          <cell r="AO356" t="str">
            <v/>
          </cell>
          <cell r="AS356" t="str">
            <v/>
          </cell>
          <cell r="AT356" t="str">
            <v/>
          </cell>
          <cell r="AU356" t="str">
            <v/>
          </cell>
          <cell r="AW356" t="str">
            <v/>
          </cell>
          <cell r="AX356" t="str">
            <v/>
          </cell>
        </row>
        <row r="357">
          <cell r="G357" t="str">
            <v/>
          </cell>
          <cell r="H357" t="str">
            <v/>
          </cell>
          <cell r="M357" t="str">
            <v/>
          </cell>
          <cell r="N357" t="str">
            <v/>
          </cell>
          <cell r="O357" t="str">
            <v/>
          </cell>
          <cell r="T357" t="str">
            <v/>
          </cell>
          <cell r="U357" t="str">
            <v/>
          </cell>
          <cell r="X357" t="str">
            <v/>
          </cell>
          <cell r="AH357" t="str">
            <v/>
          </cell>
          <cell r="AK357" t="str">
            <v/>
          </cell>
          <cell r="AM357" t="str">
            <v/>
          </cell>
          <cell r="AO357" t="str">
            <v/>
          </cell>
          <cell r="AS357" t="str">
            <v/>
          </cell>
          <cell r="AT357" t="str">
            <v/>
          </cell>
          <cell r="AU357" t="str">
            <v/>
          </cell>
          <cell r="AW357" t="str">
            <v/>
          </cell>
          <cell r="AX357" t="str">
            <v/>
          </cell>
        </row>
        <row r="358">
          <cell r="G358" t="str">
            <v/>
          </cell>
          <cell r="H358" t="str">
            <v/>
          </cell>
          <cell r="M358" t="str">
            <v/>
          </cell>
          <cell r="N358" t="str">
            <v/>
          </cell>
          <cell r="O358" t="str">
            <v/>
          </cell>
          <cell r="T358" t="str">
            <v/>
          </cell>
          <cell r="U358" t="str">
            <v/>
          </cell>
          <cell r="X358" t="str">
            <v/>
          </cell>
          <cell r="AH358" t="str">
            <v/>
          </cell>
          <cell r="AK358" t="str">
            <v/>
          </cell>
          <cell r="AM358" t="str">
            <v/>
          </cell>
          <cell r="AO358" t="str">
            <v/>
          </cell>
          <cell r="AS358" t="str">
            <v/>
          </cell>
          <cell r="AT358" t="str">
            <v/>
          </cell>
          <cell r="AU358" t="str">
            <v/>
          </cell>
          <cell r="AW358" t="str">
            <v/>
          </cell>
          <cell r="AX358" t="str">
            <v/>
          </cell>
        </row>
        <row r="359">
          <cell r="G359" t="str">
            <v/>
          </cell>
          <cell r="H359" t="str">
            <v/>
          </cell>
          <cell r="M359" t="str">
            <v/>
          </cell>
          <cell r="N359" t="str">
            <v/>
          </cell>
          <cell r="O359" t="str">
            <v/>
          </cell>
          <cell r="T359" t="str">
            <v/>
          </cell>
          <cell r="U359" t="str">
            <v/>
          </cell>
          <cell r="X359" t="str">
            <v/>
          </cell>
          <cell r="AH359" t="str">
            <v/>
          </cell>
          <cell r="AK359" t="str">
            <v/>
          </cell>
          <cell r="AM359" t="str">
            <v/>
          </cell>
          <cell r="AO359" t="str">
            <v/>
          </cell>
          <cell r="AS359" t="str">
            <v/>
          </cell>
          <cell r="AT359" t="str">
            <v/>
          </cell>
          <cell r="AU359" t="str">
            <v/>
          </cell>
          <cell r="AW359" t="str">
            <v/>
          </cell>
          <cell r="AX359" t="str">
            <v/>
          </cell>
        </row>
        <row r="360">
          <cell r="G360" t="str">
            <v/>
          </cell>
          <cell r="H360" t="str">
            <v/>
          </cell>
          <cell r="M360" t="str">
            <v/>
          </cell>
          <cell r="N360" t="str">
            <v/>
          </cell>
          <cell r="O360" t="str">
            <v/>
          </cell>
          <cell r="T360" t="str">
            <v/>
          </cell>
          <cell r="U360" t="str">
            <v/>
          </cell>
          <cell r="X360" t="str">
            <v/>
          </cell>
          <cell r="AH360" t="str">
            <v/>
          </cell>
          <cell r="AK360" t="str">
            <v/>
          </cell>
          <cell r="AM360" t="str">
            <v/>
          </cell>
          <cell r="AO360" t="str">
            <v/>
          </cell>
          <cell r="AS360" t="str">
            <v/>
          </cell>
          <cell r="AT360" t="str">
            <v/>
          </cell>
          <cell r="AU360" t="str">
            <v/>
          </cell>
          <cell r="AW360" t="str">
            <v/>
          </cell>
          <cell r="AX360" t="str">
            <v/>
          </cell>
        </row>
        <row r="361">
          <cell r="G361" t="str">
            <v/>
          </cell>
          <cell r="H361" t="str">
            <v/>
          </cell>
          <cell r="M361" t="str">
            <v/>
          </cell>
          <cell r="N361" t="str">
            <v/>
          </cell>
          <cell r="O361" t="str">
            <v/>
          </cell>
          <cell r="T361" t="str">
            <v/>
          </cell>
          <cell r="U361" t="str">
            <v/>
          </cell>
          <cell r="X361" t="str">
            <v/>
          </cell>
          <cell r="AH361" t="str">
            <v/>
          </cell>
          <cell r="AK361" t="str">
            <v/>
          </cell>
          <cell r="AM361" t="str">
            <v/>
          </cell>
          <cell r="AO361" t="str">
            <v/>
          </cell>
          <cell r="AS361" t="str">
            <v/>
          </cell>
          <cell r="AT361" t="str">
            <v/>
          </cell>
          <cell r="AU361" t="str">
            <v/>
          </cell>
          <cell r="AW361" t="str">
            <v/>
          </cell>
          <cell r="AX361" t="str">
            <v/>
          </cell>
        </row>
        <row r="362">
          <cell r="G362" t="str">
            <v/>
          </cell>
          <cell r="H362" t="str">
            <v/>
          </cell>
          <cell r="M362" t="str">
            <v/>
          </cell>
          <cell r="N362" t="str">
            <v/>
          </cell>
          <cell r="O362" t="str">
            <v/>
          </cell>
          <cell r="T362" t="str">
            <v/>
          </cell>
          <cell r="U362" t="str">
            <v/>
          </cell>
          <cell r="X362" t="str">
            <v/>
          </cell>
          <cell r="AH362" t="str">
            <v/>
          </cell>
          <cell r="AK362" t="str">
            <v/>
          </cell>
          <cell r="AM362" t="str">
            <v/>
          </cell>
          <cell r="AO362" t="str">
            <v/>
          </cell>
          <cell r="AS362" t="str">
            <v/>
          </cell>
          <cell r="AT362" t="str">
            <v/>
          </cell>
          <cell r="AU362" t="str">
            <v/>
          </cell>
          <cell r="AW362" t="str">
            <v/>
          </cell>
          <cell r="AX362" t="str">
            <v/>
          </cell>
        </row>
        <row r="363">
          <cell r="G363" t="str">
            <v/>
          </cell>
          <cell r="H363" t="str">
            <v/>
          </cell>
          <cell r="M363" t="str">
            <v/>
          </cell>
          <cell r="N363" t="str">
            <v/>
          </cell>
          <cell r="O363" t="str">
            <v/>
          </cell>
          <cell r="T363" t="str">
            <v/>
          </cell>
          <cell r="U363" t="str">
            <v/>
          </cell>
          <cell r="X363" t="str">
            <v/>
          </cell>
          <cell r="AH363" t="str">
            <v/>
          </cell>
          <cell r="AK363" t="str">
            <v/>
          </cell>
          <cell r="AM363" t="str">
            <v/>
          </cell>
          <cell r="AO363" t="str">
            <v/>
          </cell>
          <cell r="AS363" t="str">
            <v/>
          </cell>
          <cell r="AT363" t="str">
            <v/>
          </cell>
          <cell r="AU363" t="str">
            <v/>
          </cell>
          <cell r="AW363" t="str">
            <v/>
          </cell>
          <cell r="AX363" t="str">
            <v/>
          </cell>
        </row>
        <row r="364">
          <cell r="G364" t="str">
            <v/>
          </cell>
          <cell r="H364" t="str">
            <v/>
          </cell>
          <cell r="M364" t="str">
            <v/>
          </cell>
          <cell r="N364" t="str">
            <v/>
          </cell>
          <cell r="O364" t="str">
            <v/>
          </cell>
          <cell r="T364" t="str">
            <v/>
          </cell>
          <cell r="U364" t="str">
            <v/>
          </cell>
          <cell r="X364" t="str">
            <v/>
          </cell>
          <cell r="AH364" t="str">
            <v/>
          </cell>
          <cell r="AK364" t="str">
            <v/>
          </cell>
          <cell r="AM364" t="str">
            <v/>
          </cell>
          <cell r="AO364" t="str">
            <v/>
          </cell>
          <cell r="AS364" t="str">
            <v/>
          </cell>
          <cell r="AT364" t="str">
            <v/>
          </cell>
          <cell r="AU364" t="str">
            <v/>
          </cell>
          <cell r="AW364" t="str">
            <v/>
          </cell>
          <cell r="AX364" t="str">
            <v/>
          </cell>
        </row>
        <row r="365">
          <cell r="G365" t="str">
            <v/>
          </cell>
          <cell r="H365" t="str">
            <v/>
          </cell>
          <cell r="M365" t="str">
            <v/>
          </cell>
          <cell r="N365" t="str">
            <v/>
          </cell>
          <cell r="O365" t="str">
            <v/>
          </cell>
          <cell r="T365" t="str">
            <v/>
          </cell>
          <cell r="U365" t="str">
            <v/>
          </cell>
          <cell r="X365" t="str">
            <v/>
          </cell>
          <cell r="AH365" t="str">
            <v/>
          </cell>
          <cell r="AK365" t="str">
            <v/>
          </cell>
          <cell r="AM365" t="str">
            <v/>
          </cell>
          <cell r="AO365" t="str">
            <v/>
          </cell>
          <cell r="AS365" t="str">
            <v/>
          </cell>
          <cell r="AT365" t="str">
            <v/>
          </cell>
          <cell r="AU365" t="str">
            <v/>
          </cell>
          <cell r="AW365" t="str">
            <v/>
          </cell>
          <cell r="AX365" t="str">
            <v/>
          </cell>
        </row>
        <row r="366">
          <cell r="G366" t="str">
            <v/>
          </cell>
          <cell r="H366" t="str">
            <v/>
          </cell>
          <cell r="M366" t="str">
            <v/>
          </cell>
          <cell r="N366" t="str">
            <v/>
          </cell>
          <cell r="O366" t="str">
            <v/>
          </cell>
          <cell r="T366" t="str">
            <v/>
          </cell>
          <cell r="U366" t="str">
            <v/>
          </cell>
          <cell r="X366" t="str">
            <v/>
          </cell>
          <cell r="AH366" t="str">
            <v/>
          </cell>
          <cell r="AK366" t="str">
            <v/>
          </cell>
          <cell r="AM366" t="str">
            <v/>
          </cell>
          <cell r="AO366" t="str">
            <v/>
          </cell>
          <cell r="AS366" t="str">
            <v/>
          </cell>
          <cell r="AT366" t="str">
            <v/>
          </cell>
          <cell r="AU366" t="str">
            <v/>
          </cell>
          <cell r="AW366" t="str">
            <v/>
          </cell>
          <cell r="AX366" t="str">
            <v/>
          </cell>
        </row>
        <row r="367">
          <cell r="G367" t="str">
            <v/>
          </cell>
          <cell r="H367" t="str">
            <v/>
          </cell>
          <cell r="M367" t="str">
            <v/>
          </cell>
          <cell r="N367" t="str">
            <v/>
          </cell>
          <cell r="O367" t="str">
            <v/>
          </cell>
          <cell r="T367" t="str">
            <v/>
          </cell>
          <cell r="U367" t="str">
            <v/>
          </cell>
          <cell r="X367" t="str">
            <v/>
          </cell>
          <cell r="AH367" t="str">
            <v/>
          </cell>
          <cell r="AK367" t="str">
            <v/>
          </cell>
          <cell r="AM367" t="str">
            <v/>
          </cell>
          <cell r="AO367" t="str">
            <v/>
          </cell>
          <cell r="AS367" t="str">
            <v/>
          </cell>
          <cell r="AT367" t="str">
            <v/>
          </cell>
          <cell r="AU367" t="str">
            <v/>
          </cell>
          <cell r="AW367" t="str">
            <v/>
          </cell>
          <cell r="AX367" t="str">
            <v/>
          </cell>
        </row>
        <row r="368">
          <cell r="G368" t="str">
            <v/>
          </cell>
          <cell r="H368" t="str">
            <v/>
          </cell>
          <cell r="M368" t="str">
            <v/>
          </cell>
          <cell r="N368" t="str">
            <v/>
          </cell>
          <cell r="O368" t="str">
            <v/>
          </cell>
          <cell r="T368" t="str">
            <v/>
          </cell>
          <cell r="U368" t="str">
            <v/>
          </cell>
          <cell r="X368" t="str">
            <v/>
          </cell>
          <cell r="AH368" t="str">
            <v/>
          </cell>
          <cell r="AK368" t="str">
            <v/>
          </cell>
          <cell r="AM368" t="str">
            <v/>
          </cell>
          <cell r="AO368" t="str">
            <v/>
          </cell>
          <cell r="AS368" t="str">
            <v/>
          </cell>
          <cell r="AT368" t="str">
            <v/>
          </cell>
          <cell r="AU368" t="str">
            <v/>
          </cell>
          <cell r="AW368" t="str">
            <v/>
          </cell>
          <cell r="AX368" t="str">
            <v/>
          </cell>
        </row>
        <row r="369">
          <cell r="G369" t="str">
            <v/>
          </cell>
          <cell r="H369" t="str">
            <v/>
          </cell>
          <cell r="M369" t="str">
            <v/>
          </cell>
          <cell r="N369" t="str">
            <v/>
          </cell>
          <cell r="O369" t="str">
            <v/>
          </cell>
          <cell r="T369" t="str">
            <v/>
          </cell>
          <cell r="U369" t="str">
            <v/>
          </cell>
          <cell r="X369" t="str">
            <v/>
          </cell>
          <cell r="AH369" t="str">
            <v/>
          </cell>
          <cell r="AK369" t="str">
            <v/>
          </cell>
          <cell r="AM369" t="str">
            <v/>
          </cell>
          <cell r="AO369" t="str">
            <v/>
          </cell>
          <cell r="AS369" t="str">
            <v/>
          </cell>
          <cell r="AT369" t="str">
            <v/>
          </cell>
          <cell r="AU369" t="str">
            <v/>
          </cell>
          <cell r="AW369" t="str">
            <v/>
          </cell>
          <cell r="AX369" t="str">
            <v/>
          </cell>
        </row>
        <row r="370">
          <cell r="G370" t="str">
            <v/>
          </cell>
          <cell r="H370" t="str">
            <v/>
          </cell>
          <cell r="M370" t="str">
            <v/>
          </cell>
          <cell r="N370" t="str">
            <v/>
          </cell>
          <cell r="O370" t="str">
            <v/>
          </cell>
          <cell r="T370" t="str">
            <v/>
          </cell>
          <cell r="U370" t="str">
            <v/>
          </cell>
          <cell r="X370" t="str">
            <v/>
          </cell>
          <cell r="AH370" t="str">
            <v/>
          </cell>
          <cell r="AK370" t="str">
            <v/>
          </cell>
          <cell r="AM370" t="str">
            <v/>
          </cell>
          <cell r="AO370" t="str">
            <v/>
          </cell>
          <cell r="AS370" t="str">
            <v/>
          </cell>
          <cell r="AT370" t="str">
            <v/>
          </cell>
          <cell r="AU370" t="str">
            <v/>
          </cell>
          <cell r="AW370" t="str">
            <v/>
          </cell>
          <cell r="AX370" t="str">
            <v/>
          </cell>
        </row>
        <row r="371">
          <cell r="G371" t="str">
            <v/>
          </cell>
          <cell r="H371" t="str">
            <v/>
          </cell>
          <cell r="M371" t="str">
            <v/>
          </cell>
          <cell r="N371" t="str">
            <v/>
          </cell>
          <cell r="O371" t="str">
            <v/>
          </cell>
          <cell r="T371" t="str">
            <v/>
          </cell>
          <cell r="U371" t="str">
            <v/>
          </cell>
          <cell r="X371" t="str">
            <v/>
          </cell>
          <cell r="AH371" t="str">
            <v/>
          </cell>
          <cell r="AK371" t="str">
            <v/>
          </cell>
          <cell r="AM371" t="str">
            <v/>
          </cell>
          <cell r="AO371" t="str">
            <v/>
          </cell>
          <cell r="AS371" t="str">
            <v/>
          </cell>
          <cell r="AT371" t="str">
            <v/>
          </cell>
          <cell r="AU371" t="str">
            <v/>
          </cell>
          <cell r="AW371" t="str">
            <v/>
          </cell>
          <cell r="AX371" t="str">
            <v/>
          </cell>
        </row>
        <row r="372">
          <cell r="G372" t="str">
            <v/>
          </cell>
          <cell r="H372" t="str">
            <v/>
          </cell>
          <cell r="M372" t="str">
            <v/>
          </cell>
          <cell r="N372" t="str">
            <v/>
          </cell>
          <cell r="O372" t="str">
            <v/>
          </cell>
          <cell r="T372" t="str">
            <v/>
          </cell>
          <cell r="U372" t="str">
            <v/>
          </cell>
          <cell r="X372" t="str">
            <v/>
          </cell>
          <cell r="AH372" t="str">
            <v/>
          </cell>
          <cell r="AK372" t="str">
            <v/>
          </cell>
          <cell r="AM372" t="str">
            <v/>
          </cell>
          <cell r="AO372" t="str">
            <v/>
          </cell>
          <cell r="AS372" t="str">
            <v/>
          </cell>
          <cell r="AT372" t="str">
            <v/>
          </cell>
          <cell r="AU372" t="str">
            <v/>
          </cell>
          <cell r="AW372" t="str">
            <v/>
          </cell>
          <cell r="AX372" t="str">
            <v/>
          </cell>
        </row>
        <row r="373">
          <cell r="G373" t="str">
            <v/>
          </cell>
          <cell r="H373" t="str">
            <v/>
          </cell>
          <cell r="M373" t="str">
            <v/>
          </cell>
          <cell r="N373" t="str">
            <v/>
          </cell>
          <cell r="O373" t="str">
            <v/>
          </cell>
          <cell r="T373" t="str">
            <v/>
          </cell>
          <cell r="U373" t="str">
            <v/>
          </cell>
          <cell r="X373" t="str">
            <v/>
          </cell>
          <cell r="AH373" t="str">
            <v/>
          </cell>
          <cell r="AK373" t="str">
            <v/>
          </cell>
          <cell r="AM373" t="str">
            <v/>
          </cell>
          <cell r="AO373" t="str">
            <v/>
          </cell>
          <cell r="AS373" t="str">
            <v/>
          </cell>
          <cell r="AT373" t="str">
            <v/>
          </cell>
          <cell r="AU373" t="str">
            <v/>
          </cell>
          <cell r="AW373" t="str">
            <v/>
          </cell>
          <cell r="AX373" t="str">
            <v/>
          </cell>
        </row>
        <row r="374">
          <cell r="G374" t="str">
            <v/>
          </cell>
          <cell r="H374" t="str">
            <v/>
          </cell>
          <cell r="M374" t="str">
            <v/>
          </cell>
          <cell r="N374" t="str">
            <v/>
          </cell>
          <cell r="O374" t="str">
            <v/>
          </cell>
          <cell r="T374" t="str">
            <v/>
          </cell>
          <cell r="U374" t="str">
            <v/>
          </cell>
          <cell r="X374" t="str">
            <v/>
          </cell>
          <cell r="AH374" t="str">
            <v/>
          </cell>
          <cell r="AK374" t="str">
            <v/>
          </cell>
          <cell r="AM374" t="str">
            <v/>
          </cell>
          <cell r="AO374" t="str">
            <v/>
          </cell>
          <cell r="AS374" t="str">
            <v/>
          </cell>
          <cell r="AT374" t="str">
            <v/>
          </cell>
          <cell r="AU374" t="str">
            <v/>
          </cell>
          <cell r="AW374" t="str">
            <v/>
          </cell>
          <cell r="AX374" t="str">
            <v/>
          </cell>
        </row>
        <row r="375">
          <cell r="G375" t="str">
            <v/>
          </cell>
          <cell r="H375" t="str">
            <v/>
          </cell>
          <cell r="M375" t="str">
            <v/>
          </cell>
          <cell r="N375" t="str">
            <v/>
          </cell>
          <cell r="O375" t="str">
            <v/>
          </cell>
          <cell r="T375" t="str">
            <v/>
          </cell>
          <cell r="U375" t="str">
            <v/>
          </cell>
          <cell r="X375" t="str">
            <v/>
          </cell>
          <cell r="AH375" t="str">
            <v/>
          </cell>
          <cell r="AK375" t="str">
            <v/>
          </cell>
          <cell r="AM375" t="str">
            <v/>
          </cell>
          <cell r="AO375" t="str">
            <v/>
          </cell>
          <cell r="AS375" t="str">
            <v/>
          </cell>
          <cell r="AT375" t="str">
            <v/>
          </cell>
          <cell r="AU375" t="str">
            <v/>
          </cell>
          <cell r="AW375" t="str">
            <v/>
          </cell>
          <cell r="AX375" t="str">
            <v/>
          </cell>
        </row>
        <row r="376">
          <cell r="G376" t="str">
            <v/>
          </cell>
          <cell r="H376" t="str">
            <v/>
          </cell>
          <cell r="M376" t="str">
            <v/>
          </cell>
          <cell r="N376" t="str">
            <v/>
          </cell>
          <cell r="O376" t="str">
            <v/>
          </cell>
          <cell r="T376" t="str">
            <v/>
          </cell>
          <cell r="U376" t="str">
            <v/>
          </cell>
          <cell r="X376" t="str">
            <v/>
          </cell>
          <cell r="AH376" t="str">
            <v/>
          </cell>
          <cell r="AK376" t="str">
            <v/>
          </cell>
          <cell r="AM376" t="str">
            <v/>
          </cell>
          <cell r="AO376" t="str">
            <v/>
          </cell>
          <cell r="AS376" t="str">
            <v/>
          </cell>
          <cell r="AT376" t="str">
            <v/>
          </cell>
          <cell r="AU376" t="str">
            <v/>
          </cell>
          <cell r="AW376" t="str">
            <v/>
          </cell>
          <cell r="AX376" t="str">
            <v/>
          </cell>
        </row>
        <row r="377">
          <cell r="G377" t="str">
            <v/>
          </cell>
          <cell r="H377" t="str">
            <v/>
          </cell>
          <cell r="M377" t="str">
            <v/>
          </cell>
          <cell r="N377" t="str">
            <v/>
          </cell>
          <cell r="O377" t="str">
            <v/>
          </cell>
          <cell r="T377" t="str">
            <v/>
          </cell>
          <cell r="U377" t="str">
            <v/>
          </cell>
          <cell r="X377" t="str">
            <v/>
          </cell>
          <cell r="AH377" t="str">
            <v/>
          </cell>
          <cell r="AK377" t="str">
            <v/>
          </cell>
          <cell r="AM377" t="str">
            <v/>
          </cell>
          <cell r="AO377" t="str">
            <v/>
          </cell>
          <cell r="AS377" t="str">
            <v/>
          </cell>
          <cell r="AT377" t="str">
            <v/>
          </cell>
          <cell r="AU377" t="str">
            <v/>
          </cell>
          <cell r="AW377" t="str">
            <v/>
          </cell>
          <cell r="AX377" t="str">
            <v/>
          </cell>
        </row>
        <row r="378">
          <cell r="G378" t="str">
            <v/>
          </cell>
          <cell r="H378" t="str">
            <v/>
          </cell>
          <cell r="M378" t="str">
            <v/>
          </cell>
          <cell r="N378" t="str">
            <v/>
          </cell>
          <cell r="O378" t="str">
            <v/>
          </cell>
          <cell r="T378" t="str">
            <v/>
          </cell>
          <cell r="U378" t="str">
            <v/>
          </cell>
          <cell r="X378" t="str">
            <v/>
          </cell>
          <cell r="AH378" t="str">
            <v/>
          </cell>
          <cell r="AK378" t="str">
            <v/>
          </cell>
          <cell r="AM378" t="str">
            <v/>
          </cell>
          <cell r="AO378" t="str">
            <v/>
          </cell>
          <cell r="AS378" t="str">
            <v/>
          </cell>
          <cell r="AT378" t="str">
            <v/>
          </cell>
          <cell r="AU378" t="str">
            <v/>
          </cell>
          <cell r="AW378" t="str">
            <v/>
          </cell>
          <cell r="AX378" t="str">
            <v/>
          </cell>
        </row>
        <row r="379">
          <cell r="G379" t="str">
            <v/>
          </cell>
          <cell r="H379" t="str">
            <v/>
          </cell>
          <cell r="M379" t="str">
            <v/>
          </cell>
          <cell r="N379" t="str">
            <v/>
          </cell>
          <cell r="O379" t="str">
            <v/>
          </cell>
          <cell r="T379" t="str">
            <v/>
          </cell>
          <cell r="U379" t="str">
            <v/>
          </cell>
          <cell r="X379" t="str">
            <v/>
          </cell>
          <cell r="AH379" t="str">
            <v/>
          </cell>
          <cell r="AK379" t="str">
            <v/>
          </cell>
          <cell r="AM379" t="str">
            <v/>
          </cell>
          <cell r="AO379" t="str">
            <v/>
          </cell>
          <cell r="AS379" t="str">
            <v/>
          </cell>
          <cell r="AT379" t="str">
            <v/>
          </cell>
          <cell r="AU379" t="str">
            <v/>
          </cell>
          <cell r="AW379" t="str">
            <v/>
          </cell>
          <cell r="AX379" t="str">
            <v/>
          </cell>
        </row>
        <row r="380">
          <cell r="G380" t="str">
            <v/>
          </cell>
          <cell r="H380" t="str">
            <v/>
          </cell>
          <cell r="M380" t="str">
            <v/>
          </cell>
          <cell r="N380" t="str">
            <v/>
          </cell>
          <cell r="O380" t="str">
            <v/>
          </cell>
          <cell r="T380" t="str">
            <v/>
          </cell>
          <cell r="U380" t="str">
            <v/>
          </cell>
          <cell r="X380" t="str">
            <v/>
          </cell>
          <cell r="AH380" t="str">
            <v/>
          </cell>
          <cell r="AK380" t="str">
            <v/>
          </cell>
          <cell r="AM380" t="str">
            <v/>
          </cell>
          <cell r="AO380" t="str">
            <v/>
          </cell>
          <cell r="AS380" t="str">
            <v/>
          </cell>
          <cell r="AT380" t="str">
            <v/>
          </cell>
          <cell r="AU380" t="str">
            <v/>
          </cell>
          <cell r="AW380" t="str">
            <v/>
          </cell>
          <cell r="AX380" t="str">
            <v/>
          </cell>
        </row>
        <row r="381">
          <cell r="G381" t="str">
            <v/>
          </cell>
          <cell r="H381" t="str">
            <v/>
          </cell>
          <cell r="M381" t="str">
            <v/>
          </cell>
          <cell r="N381" t="str">
            <v/>
          </cell>
          <cell r="O381" t="str">
            <v/>
          </cell>
          <cell r="T381" t="str">
            <v/>
          </cell>
          <cell r="U381" t="str">
            <v/>
          </cell>
          <cell r="X381" t="str">
            <v/>
          </cell>
          <cell r="AH381" t="str">
            <v/>
          </cell>
          <cell r="AK381" t="str">
            <v/>
          </cell>
          <cell r="AM381" t="str">
            <v/>
          </cell>
          <cell r="AO381" t="str">
            <v/>
          </cell>
          <cell r="AS381" t="str">
            <v/>
          </cell>
          <cell r="AT381" t="str">
            <v/>
          </cell>
          <cell r="AU381" t="str">
            <v/>
          </cell>
          <cell r="AW381" t="str">
            <v/>
          </cell>
          <cell r="AX381" t="str">
            <v/>
          </cell>
        </row>
        <row r="382">
          <cell r="G382" t="str">
            <v/>
          </cell>
          <cell r="H382" t="str">
            <v/>
          </cell>
          <cell r="M382" t="str">
            <v/>
          </cell>
          <cell r="N382" t="str">
            <v/>
          </cell>
          <cell r="O382" t="str">
            <v/>
          </cell>
          <cell r="T382" t="str">
            <v/>
          </cell>
          <cell r="U382" t="str">
            <v/>
          </cell>
          <cell r="X382" t="str">
            <v/>
          </cell>
          <cell r="AH382" t="str">
            <v/>
          </cell>
          <cell r="AK382" t="str">
            <v/>
          </cell>
          <cell r="AM382" t="str">
            <v/>
          </cell>
          <cell r="AO382" t="str">
            <v/>
          </cell>
          <cell r="AS382" t="str">
            <v/>
          </cell>
          <cell r="AT382" t="str">
            <v/>
          </cell>
          <cell r="AU382" t="str">
            <v/>
          </cell>
          <cell r="AW382" t="str">
            <v/>
          </cell>
          <cell r="AX382" t="str">
            <v/>
          </cell>
        </row>
        <row r="383">
          <cell r="G383" t="str">
            <v/>
          </cell>
          <cell r="H383" t="str">
            <v/>
          </cell>
          <cell r="M383" t="str">
            <v/>
          </cell>
          <cell r="N383" t="str">
            <v/>
          </cell>
          <cell r="O383" t="str">
            <v/>
          </cell>
          <cell r="T383" t="str">
            <v/>
          </cell>
          <cell r="U383" t="str">
            <v/>
          </cell>
          <cell r="X383" t="str">
            <v/>
          </cell>
          <cell r="AH383" t="str">
            <v/>
          </cell>
          <cell r="AK383" t="str">
            <v/>
          </cell>
          <cell r="AM383" t="str">
            <v/>
          </cell>
          <cell r="AO383" t="str">
            <v/>
          </cell>
          <cell r="AS383" t="str">
            <v/>
          </cell>
          <cell r="AT383" t="str">
            <v/>
          </cell>
          <cell r="AU383" t="str">
            <v/>
          </cell>
          <cell r="AW383" t="str">
            <v/>
          </cell>
          <cell r="AX383" t="str">
            <v/>
          </cell>
        </row>
        <row r="384">
          <cell r="G384" t="str">
            <v/>
          </cell>
          <cell r="H384" t="str">
            <v/>
          </cell>
          <cell r="M384" t="str">
            <v/>
          </cell>
          <cell r="N384" t="str">
            <v/>
          </cell>
          <cell r="O384" t="str">
            <v/>
          </cell>
          <cell r="T384" t="str">
            <v/>
          </cell>
          <cell r="U384" t="str">
            <v/>
          </cell>
          <cell r="X384" t="str">
            <v/>
          </cell>
          <cell r="AH384" t="str">
            <v/>
          </cell>
          <cell r="AK384" t="str">
            <v/>
          </cell>
          <cell r="AM384" t="str">
            <v/>
          </cell>
          <cell r="AO384" t="str">
            <v/>
          </cell>
          <cell r="AS384" t="str">
            <v/>
          </cell>
          <cell r="AT384" t="str">
            <v/>
          </cell>
          <cell r="AU384" t="str">
            <v/>
          </cell>
          <cell r="AW384" t="str">
            <v/>
          </cell>
          <cell r="AX384" t="str">
            <v/>
          </cell>
        </row>
        <row r="385">
          <cell r="G385" t="str">
            <v/>
          </cell>
          <cell r="H385" t="str">
            <v/>
          </cell>
          <cell r="M385" t="str">
            <v/>
          </cell>
          <cell r="N385" t="str">
            <v/>
          </cell>
          <cell r="O385" t="str">
            <v/>
          </cell>
          <cell r="T385" t="str">
            <v/>
          </cell>
          <cell r="U385" t="str">
            <v/>
          </cell>
          <cell r="X385" t="str">
            <v/>
          </cell>
          <cell r="AH385" t="str">
            <v/>
          </cell>
          <cell r="AK385" t="str">
            <v/>
          </cell>
          <cell r="AM385" t="str">
            <v/>
          </cell>
          <cell r="AO385" t="str">
            <v/>
          </cell>
          <cell r="AS385" t="str">
            <v/>
          </cell>
          <cell r="AT385" t="str">
            <v/>
          </cell>
          <cell r="AU385" t="str">
            <v/>
          </cell>
          <cell r="AW385" t="str">
            <v/>
          </cell>
          <cell r="AX385" t="str">
            <v/>
          </cell>
        </row>
        <row r="386">
          <cell r="G386" t="str">
            <v/>
          </cell>
          <cell r="H386" t="str">
            <v/>
          </cell>
          <cell r="M386" t="str">
            <v/>
          </cell>
          <cell r="N386" t="str">
            <v/>
          </cell>
          <cell r="O386" t="str">
            <v/>
          </cell>
          <cell r="T386" t="str">
            <v/>
          </cell>
          <cell r="U386" t="str">
            <v/>
          </cell>
          <cell r="X386" t="str">
            <v/>
          </cell>
          <cell r="AH386" t="str">
            <v/>
          </cell>
          <cell r="AK386" t="str">
            <v/>
          </cell>
          <cell r="AM386" t="str">
            <v/>
          </cell>
          <cell r="AO386" t="str">
            <v/>
          </cell>
          <cell r="AS386" t="str">
            <v/>
          </cell>
          <cell r="AT386" t="str">
            <v/>
          </cell>
          <cell r="AU386" t="str">
            <v/>
          </cell>
          <cell r="AW386" t="str">
            <v/>
          </cell>
          <cell r="AX386" t="str">
            <v/>
          </cell>
        </row>
        <row r="387">
          <cell r="G387" t="str">
            <v/>
          </cell>
          <cell r="H387" t="str">
            <v/>
          </cell>
          <cell r="M387" t="str">
            <v/>
          </cell>
          <cell r="N387" t="str">
            <v/>
          </cell>
          <cell r="O387" t="str">
            <v/>
          </cell>
          <cell r="T387" t="str">
            <v/>
          </cell>
          <cell r="U387" t="str">
            <v/>
          </cell>
          <cell r="X387" t="str">
            <v/>
          </cell>
          <cell r="AH387" t="str">
            <v/>
          </cell>
          <cell r="AK387" t="str">
            <v/>
          </cell>
          <cell r="AM387" t="str">
            <v/>
          </cell>
          <cell r="AO387" t="str">
            <v/>
          </cell>
          <cell r="AS387" t="str">
            <v/>
          </cell>
          <cell r="AT387" t="str">
            <v/>
          </cell>
          <cell r="AU387" t="str">
            <v/>
          </cell>
          <cell r="AW387" t="str">
            <v/>
          </cell>
          <cell r="AX387" t="str">
            <v/>
          </cell>
        </row>
        <row r="388">
          <cell r="G388" t="str">
            <v/>
          </cell>
          <cell r="H388" t="str">
            <v/>
          </cell>
          <cell r="M388" t="str">
            <v/>
          </cell>
          <cell r="N388" t="str">
            <v/>
          </cell>
          <cell r="O388" t="str">
            <v/>
          </cell>
          <cell r="T388" t="str">
            <v/>
          </cell>
          <cell r="U388" t="str">
            <v/>
          </cell>
          <cell r="X388" t="str">
            <v/>
          </cell>
          <cell r="AH388" t="str">
            <v/>
          </cell>
          <cell r="AK388" t="str">
            <v/>
          </cell>
          <cell r="AM388" t="str">
            <v/>
          </cell>
          <cell r="AO388" t="str">
            <v/>
          </cell>
          <cell r="AS388" t="str">
            <v/>
          </cell>
          <cell r="AT388" t="str">
            <v/>
          </cell>
          <cell r="AU388" t="str">
            <v/>
          </cell>
          <cell r="AW388" t="str">
            <v/>
          </cell>
          <cell r="AX388" t="str">
            <v/>
          </cell>
        </row>
        <row r="389">
          <cell r="G389" t="str">
            <v/>
          </cell>
          <cell r="H389" t="str">
            <v/>
          </cell>
          <cell r="M389" t="str">
            <v/>
          </cell>
          <cell r="N389" t="str">
            <v/>
          </cell>
          <cell r="O389" t="str">
            <v/>
          </cell>
          <cell r="T389" t="str">
            <v/>
          </cell>
          <cell r="U389" t="str">
            <v/>
          </cell>
          <cell r="X389" t="str">
            <v/>
          </cell>
          <cell r="AH389" t="str">
            <v/>
          </cell>
          <cell r="AK389" t="str">
            <v/>
          </cell>
          <cell r="AM389" t="str">
            <v/>
          </cell>
          <cell r="AO389" t="str">
            <v/>
          </cell>
          <cell r="AS389" t="str">
            <v/>
          </cell>
          <cell r="AT389" t="str">
            <v/>
          </cell>
          <cell r="AU389" t="str">
            <v/>
          </cell>
          <cell r="AW389" t="str">
            <v/>
          </cell>
          <cell r="AX389" t="str">
            <v/>
          </cell>
        </row>
        <row r="390">
          <cell r="G390" t="str">
            <v/>
          </cell>
          <cell r="H390" t="str">
            <v/>
          </cell>
          <cell r="M390" t="str">
            <v/>
          </cell>
          <cell r="N390" t="str">
            <v/>
          </cell>
          <cell r="O390" t="str">
            <v/>
          </cell>
          <cell r="T390" t="str">
            <v/>
          </cell>
          <cell r="U390" t="str">
            <v/>
          </cell>
          <cell r="X390" t="str">
            <v/>
          </cell>
          <cell r="AH390" t="str">
            <v/>
          </cell>
          <cell r="AK390" t="str">
            <v/>
          </cell>
          <cell r="AM390" t="str">
            <v/>
          </cell>
          <cell r="AO390" t="str">
            <v/>
          </cell>
          <cell r="AS390" t="str">
            <v/>
          </cell>
          <cell r="AT390" t="str">
            <v/>
          </cell>
          <cell r="AU390" t="str">
            <v/>
          </cell>
          <cell r="AW390" t="str">
            <v/>
          </cell>
          <cell r="AX390" t="str">
            <v/>
          </cell>
        </row>
        <row r="391">
          <cell r="G391" t="str">
            <v/>
          </cell>
          <cell r="H391" t="str">
            <v/>
          </cell>
          <cell r="M391" t="str">
            <v/>
          </cell>
          <cell r="N391" t="str">
            <v/>
          </cell>
          <cell r="O391" t="str">
            <v/>
          </cell>
          <cell r="T391" t="str">
            <v/>
          </cell>
          <cell r="U391" t="str">
            <v/>
          </cell>
          <cell r="X391" t="str">
            <v/>
          </cell>
          <cell r="AH391" t="str">
            <v/>
          </cell>
          <cell r="AK391" t="str">
            <v/>
          </cell>
          <cell r="AM391" t="str">
            <v/>
          </cell>
          <cell r="AO391" t="str">
            <v/>
          </cell>
          <cell r="AS391" t="str">
            <v/>
          </cell>
          <cell r="AT391" t="str">
            <v/>
          </cell>
          <cell r="AU391" t="str">
            <v/>
          </cell>
          <cell r="AW391" t="str">
            <v/>
          </cell>
          <cell r="AX391" t="str">
            <v/>
          </cell>
        </row>
        <row r="392">
          <cell r="G392" t="str">
            <v/>
          </cell>
          <cell r="H392" t="str">
            <v/>
          </cell>
          <cell r="M392" t="str">
            <v/>
          </cell>
          <cell r="N392" t="str">
            <v/>
          </cell>
          <cell r="O392" t="str">
            <v/>
          </cell>
          <cell r="T392" t="str">
            <v/>
          </cell>
          <cell r="U392" t="str">
            <v/>
          </cell>
          <cell r="X392" t="str">
            <v/>
          </cell>
          <cell r="AH392" t="str">
            <v/>
          </cell>
          <cell r="AK392" t="str">
            <v/>
          </cell>
          <cell r="AM392" t="str">
            <v/>
          </cell>
          <cell r="AO392" t="str">
            <v/>
          </cell>
          <cell r="AS392" t="str">
            <v/>
          </cell>
          <cell r="AT392" t="str">
            <v/>
          </cell>
          <cell r="AU392" t="str">
            <v/>
          </cell>
          <cell r="AW392" t="str">
            <v/>
          </cell>
          <cell r="AX392" t="str">
            <v/>
          </cell>
        </row>
        <row r="393">
          <cell r="G393" t="str">
            <v/>
          </cell>
          <cell r="H393" t="str">
            <v/>
          </cell>
          <cell r="M393" t="str">
            <v/>
          </cell>
          <cell r="N393" t="str">
            <v/>
          </cell>
          <cell r="O393" t="str">
            <v/>
          </cell>
          <cell r="T393" t="str">
            <v/>
          </cell>
          <cell r="U393" t="str">
            <v/>
          </cell>
          <cell r="X393" t="str">
            <v/>
          </cell>
          <cell r="AH393" t="str">
            <v/>
          </cell>
          <cell r="AK393" t="str">
            <v/>
          </cell>
          <cell r="AM393" t="str">
            <v/>
          </cell>
          <cell r="AO393" t="str">
            <v/>
          </cell>
          <cell r="AS393" t="str">
            <v/>
          </cell>
          <cell r="AT393" t="str">
            <v/>
          </cell>
          <cell r="AU393" t="str">
            <v/>
          </cell>
          <cell r="AW393" t="str">
            <v/>
          </cell>
          <cell r="AX393" t="str">
            <v/>
          </cell>
        </row>
        <row r="394">
          <cell r="G394" t="str">
            <v/>
          </cell>
          <cell r="H394" t="str">
            <v/>
          </cell>
          <cell r="M394" t="str">
            <v/>
          </cell>
          <cell r="N394" t="str">
            <v/>
          </cell>
          <cell r="O394" t="str">
            <v/>
          </cell>
          <cell r="T394" t="str">
            <v/>
          </cell>
          <cell r="U394" t="str">
            <v/>
          </cell>
          <cell r="X394" t="str">
            <v/>
          </cell>
          <cell r="AH394" t="str">
            <v/>
          </cell>
          <cell r="AK394" t="str">
            <v/>
          </cell>
          <cell r="AM394" t="str">
            <v/>
          </cell>
          <cell r="AO394" t="str">
            <v/>
          </cell>
          <cell r="AS394" t="str">
            <v/>
          </cell>
          <cell r="AT394" t="str">
            <v/>
          </cell>
          <cell r="AU394" t="str">
            <v/>
          </cell>
          <cell r="AW394" t="str">
            <v/>
          </cell>
          <cell r="AX394" t="str">
            <v/>
          </cell>
        </row>
        <row r="395">
          <cell r="G395" t="str">
            <v/>
          </cell>
          <cell r="H395" t="str">
            <v/>
          </cell>
          <cell r="M395" t="str">
            <v/>
          </cell>
          <cell r="N395" t="str">
            <v/>
          </cell>
          <cell r="O395" t="str">
            <v/>
          </cell>
          <cell r="T395" t="str">
            <v/>
          </cell>
          <cell r="U395" t="str">
            <v/>
          </cell>
          <cell r="X395" t="str">
            <v/>
          </cell>
          <cell r="AH395" t="str">
            <v/>
          </cell>
          <cell r="AK395" t="str">
            <v/>
          </cell>
          <cell r="AM395" t="str">
            <v/>
          </cell>
          <cell r="AO395" t="str">
            <v/>
          </cell>
          <cell r="AS395" t="str">
            <v/>
          </cell>
          <cell r="AT395" t="str">
            <v/>
          </cell>
          <cell r="AU395" t="str">
            <v/>
          </cell>
          <cell r="AW395" t="str">
            <v/>
          </cell>
          <cell r="AX395" t="str">
            <v/>
          </cell>
        </row>
        <row r="396">
          <cell r="G396" t="str">
            <v/>
          </cell>
          <cell r="H396" t="str">
            <v/>
          </cell>
          <cell r="M396" t="str">
            <v/>
          </cell>
          <cell r="N396" t="str">
            <v/>
          </cell>
          <cell r="O396" t="str">
            <v/>
          </cell>
          <cell r="T396" t="str">
            <v/>
          </cell>
          <cell r="U396" t="str">
            <v/>
          </cell>
          <cell r="X396" t="str">
            <v/>
          </cell>
          <cell r="AH396" t="str">
            <v/>
          </cell>
          <cell r="AK396" t="str">
            <v/>
          </cell>
          <cell r="AM396" t="str">
            <v/>
          </cell>
          <cell r="AO396" t="str">
            <v/>
          </cell>
          <cell r="AS396" t="str">
            <v/>
          </cell>
          <cell r="AT396" t="str">
            <v/>
          </cell>
          <cell r="AU396" t="str">
            <v/>
          </cell>
          <cell r="AW396" t="str">
            <v/>
          </cell>
          <cell r="AX396" t="str">
            <v/>
          </cell>
        </row>
        <row r="397">
          <cell r="G397" t="str">
            <v/>
          </cell>
          <cell r="H397" t="str">
            <v/>
          </cell>
          <cell r="M397" t="str">
            <v/>
          </cell>
          <cell r="N397" t="str">
            <v/>
          </cell>
          <cell r="O397" t="str">
            <v/>
          </cell>
          <cell r="T397" t="str">
            <v/>
          </cell>
          <cell r="U397" t="str">
            <v/>
          </cell>
          <cell r="X397" t="str">
            <v/>
          </cell>
          <cell r="AH397" t="str">
            <v/>
          </cell>
          <cell r="AK397" t="str">
            <v/>
          </cell>
          <cell r="AM397" t="str">
            <v/>
          </cell>
          <cell r="AO397" t="str">
            <v/>
          </cell>
          <cell r="AS397" t="str">
            <v/>
          </cell>
          <cell r="AT397" t="str">
            <v/>
          </cell>
          <cell r="AU397" t="str">
            <v/>
          </cell>
          <cell r="AW397" t="str">
            <v/>
          </cell>
          <cell r="AX397" t="str">
            <v/>
          </cell>
        </row>
        <row r="398">
          <cell r="G398" t="str">
            <v/>
          </cell>
          <cell r="H398" t="str">
            <v/>
          </cell>
          <cell r="M398" t="str">
            <v/>
          </cell>
          <cell r="N398" t="str">
            <v/>
          </cell>
          <cell r="O398" t="str">
            <v/>
          </cell>
          <cell r="T398" t="str">
            <v/>
          </cell>
          <cell r="U398" t="str">
            <v/>
          </cell>
          <cell r="X398" t="str">
            <v/>
          </cell>
          <cell r="AH398" t="str">
            <v/>
          </cell>
          <cell r="AK398" t="str">
            <v/>
          </cell>
          <cell r="AM398" t="str">
            <v/>
          </cell>
          <cell r="AO398" t="str">
            <v/>
          </cell>
          <cell r="AS398" t="str">
            <v/>
          </cell>
          <cell r="AT398" t="str">
            <v/>
          </cell>
          <cell r="AU398" t="str">
            <v/>
          </cell>
          <cell r="AW398" t="str">
            <v/>
          </cell>
          <cell r="AX398" t="str">
            <v/>
          </cell>
        </row>
        <row r="399">
          <cell r="G399" t="str">
            <v/>
          </cell>
          <cell r="H399" t="str">
            <v/>
          </cell>
          <cell r="M399" t="str">
            <v/>
          </cell>
          <cell r="N399" t="str">
            <v/>
          </cell>
          <cell r="O399" t="str">
            <v/>
          </cell>
          <cell r="T399" t="str">
            <v/>
          </cell>
          <cell r="U399" t="str">
            <v/>
          </cell>
          <cell r="X399" t="str">
            <v/>
          </cell>
          <cell r="AH399" t="str">
            <v/>
          </cell>
          <cell r="AK399" t="str">
            <v/>
          </cell>
          <cell r="AM399" t="str">
            <v/>
          </cell>
          <cell r="AO399" t="str">
            <v/>
          </cell>
          <cell r="AS399" t="str">
            <v/>
          </cell>
          <cell r="AT399" t="str">
            <v/>
          </cell>
          <cell r="AU399" t="str">
            <v/>
          </cell>
          <cell r="AW399" t="str">
            <v/>
          </cell>
          <cell r="AX399" t="str">
            <v/>
          </cell>
        </row>
        <row r="400">
          <cell r="G400" t="str">
            <v/>
          </cell>
          <cell r="H400" t="str">
            <v/>
          </cell>
          <cell r="M400" t="str">
            <v/>
          </cell>
          <cell r="N400" t="str">
            <v/>
          </cell>
          <cell r="O400" t="str">
            <v/>
          </cell>
          <cell r="T400" t="str">
            <v/>
          </cell>
          <cell r="U400" t="str">
            <v/>
          </cell>
          <cell r="X400" t="str">
            <v/>
          </cell>
          <cell r="AH400" t="str">
            <v/>
          </cell>
          <cell r="AK400" t="str">
            <v/>
          </cell>
          <cell r="AM400" t="str">
            <v/>
          </cell>
          <cell r="AO400" t="str">
            <v/>
          </cell>
          <cell r="AS400" t="str">
            <v/>
          </cell>
          <cell r="AT400" t="str">
            <v/>
          </cell>
          <cell r="AU400" t="str">
            <v/>
          </cell>
          <cell r="AW400" t="str">
            <v/>
          </cell>
          <cell r="AX400" t="str">
            <v/>
          </cell>
        </row>
        <row r="401">
          <cell r="G401" t="str">
            <v/>
          </cell>
          <cell r="H401" t="str">
            <v/>
          </cell>
          <cell r="M401" t="str">
            <v/>
          </cell>
          <cell r="N401" t="str">
            <v/>
          </cell>
          <cell r="O401" t="str">
            <v/>
          </cell>
          <cell r="T401" t="str">
            <v/>
          </cell>
          <cell r="U401" t="str">
            <v/>
          </cell>
          <cell r="X401" t="str">
            <v/>
          </cell>
          <cell r="AH401" t="str">
            <v/>
          </cell>
          <cell r="AK401" t="str">
            <v/>
          </cell>
          <cell r="AM401" t="str">
            <v/>
          </cell>
          <cell r="AO401" t="str">
            <v/>
          </cell>
          <cell r="AS401" t="str">
            <v/>
          </cell>
          <cell r="AT401" t="str">
            <v/>
          </cell>
          <cell r="AU401" t="str">
            <v/>
          </cell>
          <cell r="AW401" t="str">
            <v/>
          </cell>
          <cell r="AX401" t="str">
            <v/>
          </cell>
        </row>
        <row r="402">
          <cell r="G402" t="str">
            <v/>
          </cell>
          <cell r="H402" t="str">
            <v/>
          </cell>
          <cell r="M402" t="str">
            <v/>
          </cell>
          <cell r="N402" t="str">
            <v/>
          </cell>
          <cell r="O402" t="str">
            <v/>
          </cell>
          <cell r="T402" t="str">
            <v/>
          </cell>
          <cell r="U402" t="str">
            <v/>
          </cell>
          <cell r="X402" t="str">
            <v/>
          </cell>
          <cell r="AH402" t="str">
            <v/>
          </cell>
          <cell r="AK402" t="str">
            <v/>
          </cell>
          <cell r="AM402" t="str">
            <v/>
          </cell>
          <cell r="AO402" t="str">
            <v/>
          </cell>
          <cell r="AS402" t="str">
            <v/>
          </cell>
          <cell r="AT402" t="str">
            <v/>
          </cell>
          <cell r="AU402" t="str">
            <v/>
          </cell>
          <cell r="AW402" t="str">
            <v/>
          </cell>
          <cell r="AX402" t="str">
            <v/>
          </cell>
        </row>
        <row r="403">
          <cell r="G403" t="str">
            <v/>
          </cell>
          <cell r="H403" t="str">
            <v/>
          </cell>
          <cell r="M403" t="str">
            <v/>
          </cell>
          <cell r="N403" t="str">
            <v/>
          </cell>
          <cell r="O403" t="str">
            <v/>
          </cell>
          <cell r="T403" t="str">
            <v/>
          </cell>
          <cell r="U403" t="str">
            <v/>
          </cell>
          <cell r="X403" t="str">
            <v/>
          </cell>
          <cell r="AH403" t="str">
            <v/>
          </cell>
          <cell r="AK403" t="str">
            <v/>
          </cell>
          <cell r="AM403" t="str">
            <v/>
          </cell>
          <cell r="AO403" t="str">
            <v/>
          </cell>
          <cell r="AS403" t="str">
            <v/>
          </cell>
          <cell r="AT403" t="str">
            <v/>
          </cell>
          <cell r="AU403" t="str">
            <v/>
          </cell>
          <cell r="AW403" t="str">
            <v/>
          </cell>
          <cell r="AX403" t="str">
            <v/>
          </cell>
        </row>
        <row r="404">
          <cell r="G404" t="str">
            <v/>
          </cell>
          <cell r="H404" t="str">
            <v/>
          </cell>
          <cell r="M404" t="str">
            <v/>
          </cell>
          <cell r="N404" t="str">
            <v/>
          </cell>
          <cell r="O404" t="str">
            <v/>
          </cell>
          <cell r="T404" t="str">
            <v/>
          </cell>
          <cell r="U404" t="str">
            <v/>
          </cell>
          <cell r="X404" t="str">
            <v/>
          </cell>
          <cell r="AH404" t="str">
            <v/>
          </cell>
          <cell r="AK404" t="str">
            <v/>
          </cell>
          <cell r="AM404" t="str">
            <v/>
          </cell>
          <cell r="AO404" t="str">
            <v/>
          </cell>
          <cell r="AS404" t="str">
            <v/>
          </cell>
          <cell r="AT404" t="str">
            <v/>
          </cell>
          <cell r="AU404" t="str">
            <v/>
          </cell>
          <cell r="AW404" t="str">
            <v/>
          </cell>
          <cell r="AX404" t="str">
            <v/>
          </cell>
        </row>
        <row r="405">
          <cell r="G405" t="str">
            <v/>
          </cell>
          <cell r="H405" t="str">
            <v/>
          </cell>
          <cell r="M405" t="str">
            <v/>
          </cell>
          <cell r="N405" t="str">
            <v/>
          </cell>
          <cell r="O405" t="str">
            <v/>
          </cell>
          <cell r="T405" t="str">
            <v/>
          </cell>
          <cell r="U405" t="str">
            <v/>
          </cell>
          <cell r="X405" t="str">
            <v/>
          </cell>
          <cell r="AH405" t="str">
            <v/>
          </cell>
          <cell r="AK405" t="str">
            <v/>
          </cell>
          <cell r="AM405" t="str">
            <v/>
          </cell>
          <cell r="AO405" t="str">
            <v/>
          </cell>
          <cell r="AS405" t="str">
            <v/>
          </cell>
          <cell r="AT405" t="str">
            <v/>
          </cell>
          <cell r="AU405" t="str">
            <v/>
          </cell>
          <cell r="AW405" t="str">
            <v/>
          </cell>
          <cell r="AX405" t="str">
            <v/>
          </cell>
        </row>
        <row r="406">
          <cell r="G406" t="str">
            <v/>
          </cell>
          <cell r="H406" t="str">
            <v/>
          </cell>
          <cell r="M406" t="str">
            <v/>
          </cell>
          <cell r="N406" t="str">
            <v/>
          </cell>
          <cell r="O406" t="str">
            <v/>
          </cell>
          <cell r="T406" t="str">
            <v/>
          </cell>
          <cell r="U406" t="str">
            <v/>
          </cell>
          <cell r="X406" t="str">
            <v/>
          </cell>
          <cell r="AH406" t="str">
            <v/>
          </cell>
          <cell r="AK406" t="str">
            <v/>
          </cell>
          <cell r="AM406" t="str">
            <v/>
          </cell>
          <cell r="AO406" t="str">
            <v/>
          </cell>
          <cell r="AS406" t="str">
            <v/>
          </cell>
          <cell r="AT406" t="str">
            <v/>
          </cell>
          <cell r="AU406" t="str">
            <v/>
          </cell>
          <cell r="AW406" t="str">
            <v/>
          </cell>
          <cell r="AX406" t="str">
            <v/>
          </cell>
        </row>
        <row r="407">
          <cell r="G407" t="str">
            <v/>
          </cell>
          <cell r="H407" t="str">
            <v/>
          </cell>
          <cell r="M407" t="str">
            <v/>
          </cell>
          <cell r="N407" t="str">
            <v/>
          </cell>
          <cell r="O407" t="str">
            <v/>
          </cell>
          <cell r="T407" t="str">
            <v/>
          </cell>
          <cell r="U407" t="str">
            <v/>
          </cell>
          <cell r="X407" t="str">
            <v/>
          </cell>
          <cell r="AH407" t="str">
            <v/>
          </cell>
          <cell r="AK407" t="str">
            <v/>
          </cell>
          <cell r="AM407" t="str">
            <v/>
          </cell>
          <cell r="AO407" t="str">
            <v/>
          </cell>
          <cell r="AS407" t="str">
            <v/>
          </cell>
          <cell r="AT407" t="str">
            <v/>
          </cell>
          <cell r="AU407" t="str">
            <v/>
          </cell>
          <cell r="AW407" t="str">
            <v/>
          </cell>
          <cell r="AX407" t="str">
            <v/>
          </cell>
        </row>
        <row r="408">
          <cell r="G408" t="str">
            <v/>
          </cell>
          <cell r="H408" t="str">
            <v/>
          </cell>
          <cell r="M408" t="str">
            <v/>
          </cell>
          <cell r="N408" t="str">
            <v/>
          </cell>
          <cell r="O408" t="str">
            <v/>
          </cell>
          <cell r="T408" t="str">
            <v/>
          </cell>
          <cell r="U408" t="str">
            <v/>
          </cell>
          <cell r="X408" t="str">
            <v/>
          </cell>
          <cell r="AH408" t="str">
            <v/>
          </cell>
          <cell r="AK408" t="str">
            <v/>
          </cell>
          <cell r="AM408" t="str">
            <v/>
          </cell>
          <cell r="AO408" t="str">
            <v/>
          </cell>
          <cell r="AS408" t="str">
            <v/>
          </cell>
          <cell r="AT408" t="str">
            <v/>
          </cell>
          <cell r="AU408" t="str">
            <v/>
          </cell>
          <cell r="AW408" t="str">
            <v/>
          </cell>
          <cell r="AX408" t="str">
            <v/>
          </cell>
        </row>
        <row r="409">
          <cell r="G409" t="str">
            <v/>
          </cell>
          <cell r="H409" t="str">
            <v/>
          </cell>
          <cell r="M409" t="str">
            <v/>
          </cell>
          <cell r="N409" t="str">
            <v/>
          </cell>
          <cell r="O409" t="str">
            <v/>
          </cell>
          <cell r="T409" t="str">
            <v/>
          </cell>
          <cell r="U409" t="str">
            <v/>
          </cell>
          <cell r="X409" t="str">
            <v/>
          </cell>
          <cell r="AH409" t="str">
            <v/>
          </cell>
          <cell r="AK409" t="str">
            <v/>
          </cell>
          <cell r="AM409" t="str">
            <v/>
          </cell>
          <cell r="AO409" t="str">
            <v/>
          </cell>
          <cell r="AS409" t="str">
            <v/>
          </cell>
          <cell r="AT409" t="str">
            <v/>
          </cell>
          <cell r="AU409" t="str">
            <v/>
          </cell>
          <cell r="AW409" t="str">
            <v/>
          </cell>
          <cell r="AX409" t="str">
            <v/>
          </cell>
        </row>
        <row r="410">
          <cell r="G410" t="str">
            <v/>
          </cell>
          <cell r="H410" t="str">
            <v/>
          </cell>
          <cell r="M410" t="str">
            <v/>
          </cell>
          <cell r="N410" t="str">
            <v/>
          </cell>
          <cell r="O410" t="str">
            <v/>
          </cell>
          <cell r="T410" t="str">
            <v/>
          </cell>
          <cell r="U410" t="str">
            <v/>
          </cell>
          <cell r="X410" t="str">
            <v/>
          </cell>
          <cell r="AH410" t="str">
            <v/>
          </cell>
          <cell r="AK410" t="str">
            <v/>
          </cell>
          <cell r="AM410" t="str">
            <v/>
          </cell>
          <cell r="AO410" t="str">
            <v/>
          </cell>
          <cell r="AS410" t="str">
            <v/>
          </cell>
          <cell r="AT410" t="str">
            <v/>
          </cell>
          <cell r="AU410" t="str">
            <v/>
          </cell>
          <cell r="AW410" t="str">
            <v/>
          </cell>
          <cell r="AX410" t="str">
            <v/>
          </cell>
        </row>
        <row r="411">
          <cell r="G411" t="str">
            <v/>
          </cell>
          <cell r="H411" t="str">
            <v/>
          </cell>
          <cell r="M411" t="str">
            <v/>
          </cell>
          <cell r="N411" t="str">
            <v/>
          </cell>
          <cell r="O411" t="str">
            <v/>
          </cell>
          <cell r="T411" t="str">
            <v/>
          </cell>
          <cell r="U411" t="str">
            <v/>
          </cell>
          <cell r="X411" t="str">
            <v/>
          </cell>
          <cell r="AH411" t="str">
            <v/>
          </cell>
          <cell r="AK411" t="str">
            <v/>
          </cell>
          <cell r="AM411" t="str">
            <v/>
          </cell>
          <cell r="AO411" t="str">
            <v/>
          </cell>
          <cell r="AS411" t="str">
            <v/>
          </cell>
          <cell r="AT411" t="str">
            <v/>
          </cell>
          <cell r="AU411" t="str">
            <v/>
          </cell>
          <cell r="AW411" t="str">
            <v/>
          </cell>
          <cell r="AX411" t="str">
            <v/>
          </cell>
        </row>
        <row r="412">
          <cell r="G412" t="str">
            <v/>
          </cell>
          <cell r="H412" t="str">
            <v/>
          </cell>
          <cell r="M412" t="str">
            <v/>
          </cell>
          <cell r="N412" t="str">
            <v/>
          </cell>
          <cell r="O412" t="str">
            <v/>
          </cell>
          <cell r="T412" t="str">
            <v/>
          </cell>
          <cell r="U412" t="str">
            <v/>
          </cell>
          <cell r="X412" t="str">
            <v/>
          </cell>
          <cell r="AH412" t="str">
            <v/>
          </cell>
          <cell r="AK412" t="str">
            <v/>
          </cell>
          <cell r="AM412" t="str">
            <v/>
          </cell>
          <cell r="AO412" t="str">
            <v/>
          </cell>
          <cell r="AS412" t="str">
            <v/>
          </cell>
          <cell r="AT412" t="str">
            <v/>
          </cell>
          <cell r="AU412" t="str">
            <v/>
          </cell>
          <cell r="AW412" t="str">
            <v/>
          </cell>
          <cell r="AX412" t="str">
            <v/>
          </cell>
        </row>
        <row r="413">
          <cell r="G413" t="str">
            <v/>
          </cell>
          <cell r="H413" t="str">
            <v/>
          </cell>
          <cell r="M413" t="str">
            <v/>
          </cell>
          <cell r="N413" t="str">
            <v/>
          </cell>
          <cell r="O413" t="str">
            <v/>
          </cell>
          <cell r="T413" t="str">
            <v/>
          </cell>
          <cell r="U413" t="str">
            <v/>
          </cell>
          <cell r="X413" t="str">
            <v/>
          </cell>
          <cell r="AH413" t="str">
            <v/>
          </cell>
          <cell r="AK413" t="str">
            <v/>
          </cell>
          <cell r="AM413" t="str">
            <v/>
          </cell>
          <cell r="AO413" t="str">
            <v/>
          </cell>
          <cell r="AS413" t="str">
            <v/>
          </cell>
          <cell r="AT413" t="str">
            <v/>
          </cell>
          <cell r="AU413" t="str">
            <v/>
          </cell>
          <cell r="AW413" t="str">
            <v/>
          </cell>
          <cell r="AX413" t="str">
            <v/>
          </cell>
        </row>
        <row r="414">
          <cell r="G414" t="str">
            <v/>
          </cell>
          <cell r="H414" t="str">
            <v/>
          </cell>
          <cell r="M414" t="str">
            <v/>
          </cell>
          <cell r="N414" t="str">
            <v/>
          </cell>
          <cell r="O414" t="str">
            <v/>
          </cell>
          <cell r="T414" t="str">
            <v/>
          </cell>
          <cell r="U414" t="str">
            <v/>
          </cell>
          <cell r="X414" t="str">
            <v/>
          </cell>
          <cell r="AH414" t="str">
            <v/>
          </cell>
          <cell r="AK414" t="str">
            <v/>
          </cell>
          <cell r="AM414" t="str">
            <v/>
          </cell>
          <cell r="AO414" t="str">
            <v/>
          </cell>
          <cell r="AS414" t="str">
            <v/>
          </cell>
          <cell r="AT414" t="str">
            <v/>
          </cell>
          <cell r="AU414" t="str">
            <v/>
          </cell>
          <cell r="AW414" t="str">
            <v/>
          </cell>
          <cell r="AX414" t="str">
            <v/>
          </cell>
        </row>
        <row r="415">
          <cell r="G415" t="str">
            <v/>
          </cell>
          <cell r="H415" t="str">
            <v/>
          </cell>
          <cell r="M415" t="str">
            <v/>
          </cell>
          <cell r="N415" t="str">
            <v/>
          </cell>
          <cell r="O415" t="str">
            <v/>
          </cell>
          <cell r="T415" t="str">
            <v/>
          </cell>
          <cell r="U415" t="str">
            <v/>
          </cell>
          <cell r="X415" t="str">
            <v/>
          </cell>
          <cell r="AH415" t="str">
            <v/>
          </cell>
          <cell r="AK415" t="str">
            <v/>
          </cell>
          <cell r="AM415" t="str">
            <v/>
          </cell>
          <cell r="AO415" t="str">
            <v/>
          </cell>
          <cell r="AS415" t="str">
            <v/>
          </cell>
          <cell r="AT415" t="str">
            <v/>
          </cell>
          <cell r="AU415" t="str">
            <v/>
          </cell>
          <cell r="AW415" t="str">
            <v/>
          </cell>
          <cell r="AX415" t="str">
            <v/>
          </cell>
        </row>
        <row r="416">
          <cell r="G416" t="str">
            <v/>
          </cell>
          <cell r="H416" t="str">
            <v/>
          </cell>
          <cell r="M416" t="str">
            <v/>
          </cell>
          <cell r="N416" t="str">
            <v/>
          </cell>
          <cell r="O416" t="str">
            <v/>
          </cell>
          <cell r="T416" t="str">
            <v/>
          </cell>
          <cell r="U416" t="str">
            <v/>
          </cell>
          <cell r="X416" t="str">
            <v/>
          </cell>
          <cell r="AH416" t="str">
            <v/>
          </cell>
          <cell r="AK416" t="str">
            <v/>
          </cell>
          <cell r="AM416" t="str">
            <v/>
          </cell>
          <cell r="AO416" t="str">
            <v/>
          </cell>
          <cell r="AS416" t="str">
            <v/>
          </cell>
          <cell r="AT416" t="str">
            <v/>
          </cell>
          <cell r="AU416" t="str">
            <v/>
          </cell>
          <cell r="AW416" t="str">
            <v/>
          </cell>
          <cell r="AX416" t="str">
            <v/>
          </cell>
        </row>
        <row r="417">
          <cell r="G417" t="str">
            <v/>
          </cell>
          <cell r="H417" t="str">
            <v/>
          </cell>
          <cell r="M417" t="str">
            <v/>
          </cell>
          <cell r="N417" t="str">
            <v/>
          </cell>
          <cell r="O417" t="str">
            <v/>
          </cell>
          <cell r="T417" t="str">
            <v/>
          </cell>
          <cell r="U417" t="str">
            <v/>
          </cell>
          <cell r="X417" t="str">
            <v/>
          </cell>
          <cell r="AH417" t="str">
            <v/>
          </cell>
          <cell r="AK417" t="str">
            <v/>
          </cell>
          <cell r="AM417" t="str">
            <v/>
          </cell>
          <cell r="AO417" t="str">
            <v/>
          </cell>
          <cell r="AS417" t="str">
            <v/>
          </cell>
          <cell r="AT417" t="str">
            <v/>
          </cell>
          <cell r="AU417" t="str">
            <v/>
          </cell>
          <cell r="AW417" t="str">
            <v/>
          </cell>
          <cell r="AX417" t="str">
            <v/>
          </cell>
        </row>
        <row r="418">
          <cell r="G418" t="str">
            <v/>
          </cell>
          <cell r="H418" t="str">
            <v/>
          </cell>
          <cell r="M418" t="str">
            <v/>
          </cell>
          <cell r="N418" t="str">
            <v/>
          </cell>
          <cell r="O418" t="str">
            <v/>
          </cell>
          <cell r="T418" t="str">
            <v/>
          </cell>
          <cell r="U418" t="str">
            <v/>
          </cell>
          <cell r="X418" t="str">
            <v/>
          </cell>
          <cell r="AH418" t="str">
            <v/>
          </cell>
          <cell r="AK418" t="str">
            <v/>
          </cell>
          <cell r="AM418" t="str">
            <v/>
          </cell>
          <cell r="AO418" t="str">
            <v/>
          </cell>
          <cell r="AS418" t="str">
            <v/>
          </cell>
          <cell r="AT418" t="str">
            <v/>
          </cell>
          <cell r="AU418" t="str">
            <v/>
          </cell>
          <cell r="AW418" t="str">
            <v/>
          </cell>
          <cell r="AX418" t="str">
            <v/>
          </cell>
        </row>
        <row r="419">
          <cell r="G419" t="str">
            <v/>
          </cell>
          <cell r="H419" t="str">
            <v/>
          </cell>
          <cell r="M419" t="str">
            <v/>
          </cell>
          <cell r="N419" t="str">
            <v/>
          </cell>
          <cell r="O419" t="str">
            <v/>
          </cell>
          <cell r="T419" t="str">
            <v/>
          </cell>
          <cell r="U419" t="str">
            <v/>
          </cell>
          <cell r="X419" t="str">
            <v/>
          </cell>
          <cell r="AH419" t="str">
            <v/>
          </cell>
          <cell r="AK419" t="str">
            <v/>
          </cell>
          <cell r="AM419" t="str">
            <v/>
          </cell>
          <cell r="AO419" t="str">
            <v/>
          </cell>
          <cell r="AS419" t="str">
            <v/>
          </cell>
          <cell r="AT419" t="str">
            <v/>
          </cell>
          <cell r="AU419" t="str">
            <v/>
          </cell>
          <cell r="AW419" t="str">
            <v/>
          </cell>
          <cell r="AX419" t="str">
            <v/>
          </cell>
        </row>
        <row r="420">
          <cell r="G420" t="str">
            <v/>
          </cell>
          <cell r="H420" t="str">
            <v/>
          </cell>
          <cell r="M420" t="str">
            <v/>
          </cell>
          <cell r="N420" t="str">
            <v/>
          </cell>
          <cell r="O420" t="str">
            <v/>
          </cell>
          <cell r="T420" t="str">
            <v/>
          </cell>
          <cell r="U420" t="str">
            <v/>
          </cell>
          <cell r="X420" t="str">
            <v/>
          </cell>
          <cell r="AH420" t="str">
            <v/>
          </cell>
          <cell r="AK420" t="str">
            <v/>
          </cell>
          <cell r="AM420" t="str">
            <v/>
          </cell>
          <cell r="AO420" t="str">
            <v/>
          </cell>
          <cell r="AS420" t="str">
            <v/>
          </cell>
          <cell r="AT420" t="str">
            <v/>
          </cell>
          <cell r="AU420" t="str">
            <v/>
          </cell>
          <cell r="AW420" t="str">
            <v/>
          </cell>
          <cell r="AX420" t="str">
            <v/>
          </cell>
        </row>
        <row r="421">
          <cell r="G421" t="str">
            <v/>
          </cell>
          <cell r="H421" t="str">
            <v/>
          </cell>
          <cell r="M421" t="str">
            <v/>
          </cell>
          <cell r="N421" t="str">
            <v/>
          </cell>
          <cell r="O421" t="str">
            <v/>
          </cell>
          <cell r="T421" t="str">
            <v/>
          </cell>
          <cell r="U421" t="str">
            <v/>
          </cell>
          <cell r="X421" t="str">
            <v/>
          </cell>
          <cell r="AH421" t="str">
            <v/>
          </cell>
          <cell r="AK421" t="str">
            <v/>
          </cell>
          <cell r="AM421" t="str">
            <v/>
          </cell>
          <cell r="AO421" t="str">
            <v/>
          </cell>
          <cell r="AS421" t="str">
            <v/>
          </cell>
          <cell r="AT421" t="str">
            <v/>
          </cell>
          <cell r="AU421" t="str">
            <v/>
          </cell>
          <cell r="AW421" t="str">
            <v/>
          </cell>
          <cell r="AX421" t="str">
            <v/>
          </cell>
        </row>
        <row r="422">
          <cell r="G422" t="str">
            <v/>
          </cell>
          <cell r="H422" t="str">
            <v/>
          </cell>
          <cell r="M422" t="str">
            <v/>
          </cell>
          <cell r="N422" t="str">
            <v/>
          </cell>
          <cell r="O422" t="str">
            <v/>
          </cell>
          <cell r="T422" t="str">
            <v/>
          </cell>
          <cell r="U422" t="str">
            <v/>
          </cell>
          <cell r="X422" t="str">
            <v/>
          </cell>
          <cell r="AH422" t="str">
            <v/>
          </cell>
          <cell r="AK422" t="str">
            <v/>
          </cell>
          <cell r="AM422" t="str">
            <v/>
          </cell>
          <cell r="AO422" t="str">
            <v/>
          </cell>
          <cell r="AS422" t="str">
            <v/>
          </cell>
          <cell r="AT422" t="str">
            <v/>
          </cell>
          <cell r="AU422" t="str">
            <v/>
          </cell>
          <cell r="AW422" t="str">
            <v/>
          </cell>
          <cell r="AX422" t="str">
            <v/>
          </cell>
        </row>
        <row r="423">
          <cell r="G423" t="str">
            <v/>
          </cell>
          <cell r="H423" t="str">
            <v/>
          </cell>
          <cell r="M423" t="str">
            <v/>
          </cell>
          <cell r="N423" t="str">
            <v/>
          </cell>
          <cell r="O423" t="str">
            <v/>
          </cell>
          <cell r="T423" t="str">
            <v/>
          </cell>
          <cell r="U423" t="str">
            <v/>
          </cell>
          <cell r="X423" t="str">
            <v/>
          </cell>
          <cell r="AH423" t="str">
            <v/>
          </cell>
          <cell r="AK423" t="str">
            <v/>
          </cell>
          <cell r="AM423" t="str">
            <v/>
          </cell>
          <cell r="AO423" t="str">
            <v/>
          </cell>
          <cell r="AS423" t="str">
            <v/>
          </cell>
          <cell r="AT423" t="str">
            <v/>
          </cell>
          <cell r="AU423" t="str">
            <v/>
          </cell>
          <cell r="AW423" t="str">
            <v/>
          </cell>
          <cell r="AX423" t="str">
            <v/>
          </cell>
        </row>
        <row r="424">
          <cell r="G424" t="str">
            <v/>
          </cell>
          <cell r="H424" t="str">
            <v/>
          </cell>
          <cell r="M424" t="str">
            <v/>
          </cell>
          <cell r="N424" t="str">
            <v/>
          </cell>
          <cell r="O424" t="str">
            <v/>
          </cell>
          <cell r="T424" t="str">
            <v/>
          </cell>
          <cell r="U424" t="str">
            <v/>
          </cell>
          <cell r="X424" t="str">
            <v/>
          </cell>
          <cell r="AH424" t="str">
            <v/>
          </cell>
          <cell r="AK424" t="str">
            <v/>
          </cell>
          <cell r="AM424" t="str">
            <v/>
          </cell>
          <cell r="AO424" t="str">
            <v/>
          </cell>
          <cell r="AS424" t="str">
            <v/>
          </cell>
          <cell r="AT424" t="str">
            <v/>
          </cell>
          <cell r="AU424" t="str">
            <v/>
          </cell>
          <cell r="AW424" t="str">
            <v/>
          </cell>
          <cell r="AX424" t="str">
            <v/>
          </cell>
        </row>
        <row r="425">
          <cell r="G425" t="str">
            <v/>
          </cell>
          <cell r="H425" t="str">
            <v/>
          </cell>
          <cell r="M425" t="str">
            <v/>
          </cell>
          <cell r="N425" t="str">
            <v/>
          </cell>
          <cell r="O425" t="str">
            <v/>
          </cell>
          <cell r="T425" t="str">
            <v/>
          </cell>
          <cell r="U425" t="str">
            <v/>
          </cell>
          <cell r="X425" t="str">
            <v/>
          </cell>
          <cell r="AH425" t="str">
            <v/>
          </cell>
          <cell r="AK425" t="str">
            <v/>
          </cell>
          <cell r="AM425" t="str">
            <v/>
          </cell>
          <cell r="AO425" t="str">
            <v/>
          </cell>
          <cell r="AS425" t="str">
            <v/>
          </cell>
          <cell r="AT425" t="str">
            <v/>
          </cell>
          <cell r="AU425" t="str">
            <v/>
          </cell>
          <cell r="AW425" t="str">
            <v/>
          </cell>
          <cell r="AX425" t="str">
            <v/>
          </cell>
        </row>
        <row r="426">
          <cell r="G426" t="str">
            <v/>
          </cell>
          <cell r="H426" t="str">
            <v/>
          </cell>
          <cell r="M426" t="str">
            <v/>
          </cell>
          <cell r="N426" t="str">
            <v/>
          </cell>
          <cell r="O426" t="str">
            <v/>
          </cell>
          <cell r="T426" t="str">
            <v/>
          </cell>
          <cell r="U426" t="str">
            <v/>
          </cell>
          <cell r="X426" t="str">
            <v/>
          </cell>
          <cell r="AH426" t="str">
            <v/>
          </cell>
          <cell r="AK426" t="str">
            <v/>
          </cell>
          <cell r="AM426" t="str">
            <v/>
          </cell>
          <cell r="AO426" t="str">
            <v/>
          </cell>
          <cell r="AS426" t="str">
            <v/>
          </cell>
          <cell r="AT426" t="str">
            <v/>
          </cell>
          <cell r="AU426" t="str">
            <v/>
          </cell>
          <cell r="AW426" t="str">
            <v/>
          </cell>
          <cell r="AX426" t="str">
            <v/>
          </cell>
        </row>
        <row r="427">
          <cell r="G427" t="str">
            <v/>
          </cell>
          <cell r="H427" t="str">
            <v/>
          </cell>
          <cell r="M427" t="str">
            <v/>
          </cell>
          <cell r="N427" t="str">
            <v/>
          </cell>
          <cell r="O427" t="str">
            <v/>
          </cell>
          <cell r="T427" t="str">
            <v/>
          </cell>
          <cell r="U427" t="str">
            <v/>
          </cell>
          <cell r="X427" t="str">
            <v/>
          </cell>
          <cell r="AH427" t="str">
            <v/>
          </cell>
          <cell r="AK427" t="str">
            <v/>
          </cell>
          <cell r="AM427" t="str">
            <v/>
          </cell>
          <cell r="AO427" t="str">
            <v/>
          </cell>
          <cell r="AS427" t="str">
            <v/>
          </cell>
          <cell r="AT427" t="str">
            <v/>
          </cell>
          <cell r="AU427" t="str">
            <v/>
          </cell>
          <cell r="AW427" t="str">
            <v/>
          </cell>
          <cell r="AX427" t="str">
            <v/>
          </cell>
        </row>
        <row r="428">
          <cell r="G428" t="str">
            <v/>
          </cell>
          <cell r="H428" t="str">
            <v/>
          </cell>
          <cell r="M428" t="str">
            <v/>
          </cell>
          <cell r="N428" t="str">
            <v/>
          </cell>
          <cell r="O428" t="str">
            <v/>
          </cell>
          <cell r="T428" t="str">
            <v/>
          </cell>
          <cell r="U428" t="str">
            <v/>
          </cell>
          <cell r="X428" t="str">
            <v/>
          </cell>
          <cell r="AH428" t="str">
            <v/>
          </cell>
          <cell r="AK428" t="str">
            <v/>
          </cell>
          <cell r="AM428" t="str">
            <v/>
          </cell>
          <cell r="AO428" t="str">
            <v/>
          </cell>
          <cell r="AS428" t="str">
            <v/>
          </cell>
          <cell r="AT428" t="str">
            <v/>
          </cell>
          <cell r="AU428" t="str">
            <v/>
          </cell>
          <cell r="AW428" t="str">
            <v/>
          </cell>
          <cell r="AX428" t="str">
            <v/>
          </cell>
        </row>
        <row r="429">
          <cell r="G429" t="str">
            <v/>
          </cell>
          <cell r="H429" t="str">
            <v/>
          </cell>
          <cell r="M429" t="str">
            <v/>
          </cell>
          <cell r="N429" t="str">
            <v/>
          </cell>
          <cell r="O429" t="str">
            <v/>
          </cell>
          <cell r="T429" t="str">
            <v/>
          </cell>
          <cell r="U429" t="str">
            <v/>
          </cell>
          <cell r="X429" t="str">
            <v/>
          </cell>
          <cell r="AH429" t="str">
            <v/>
          </cell>
          <cell r="AK429" t="str">
            <v/>
          </cell>
          <cell r="AM429" t="str">
            <v/>
          </cell>
          <cell r="AO429" t="str">
            <v/>
          </cell>
          <cell r="AS429" t="str">
            <v/>
          </cell>
          <cell r="AT429" t="str">
            <v/>
          </cell>
          <cell r="AU429" t="str">
            <v/>
          </cell>
          <cell r="AW429" t="str">
            <v/>
          </cell>
          <cell r="AX429" t="str">
            <v/>
          </cell>
        </row>
        <row r="430">
          <cell r="G430" t="str">
            <v/>
          </cell>
          <cell r="H430" t="str">
            <v/>
          </cell>
          <cell r="M430" t="str">
            <v/>
          </cell>
          <cell r="N430" t="str">
            <v/>
          </cell>
          <cell r="O430" t="str">
            <v/>
          </cell>
          <cell r="T430" t="str">
            <v/>
          </cell>
          <cell r="U430" t="str">
            <v/>
          </cell>
          <cell r="X430" t="str">
            <v/>
          </cell>
          <cell r="AH430" t="str">
            <v/>
          </cell>
          <cell r="AK430" t="str">
            <v/>
          </cell>
          <cell r="AM430" t="str">
            <v/>
          </cell>
          <cell r="AO430" t="str">
            <v/>
          </cell>
          <cell r="AS430" t="str">
            <v/>
          </cell>
          <cell r="AT430" t="str">
            <v/>
          </cell>
          <cell r="AU430" t="str">
            <v/>
          </cell>
          <cell r="AW430" t="str">
            <v/>
          </cell>
          <cell r="AX430" t="str">
            <v/>
          </cell>
        </row>
        <row r="431">
          <cell r="G431" t="str">
            <v/>
          </cell>
          <cell r="H431" t="str">
            <v/>
          </cell>
          <cell r="M431" t="str">
            <v/>
          </cell>
          <cell r="N431" t="str">
            <v/>
          </cell>
          <cell r="O431" t="str">
            <v/>
          </cell>
          <cell r="T431" t="str">
            <v/>
          </cell>
          <cell r="U431" t="str">
            <v/>
          </cell>
          <cell r="X431" t="str">
            <v/>
          </cell>
          <cell r="AH431" t="str">
            <v/>
          </cell>
          <cell r="AK431" t="str">
            <v/>
          </cell>
          <cell r="AM431" t="str">
            <v/>
          </cell>
          <cell r="AO431" t="str">
            <v/>
          </cell>
          <cell r="AS431" t="str">
            <v/>
          </cell>
          <cell r="AT431" t="str">
            <v/>
          </cell>
          <cell r="AU431" t="str">
            <v/>
          </cell>
          <cell r="AW431" t="str">
            <v/>
          </cell>
          <cell r="AX431" t="str">
            <v/>
          </cell>
        </row>
        <row r="432">
          <cell r="G432" t="str">
            <v/>
          </cell>
          <cell r="H432" t="str">
            <v/>
          </cell>
          <cell r="M432" t="str">
            <v/>
          </cell>
          <cell r="N432" t="str">
            <v/>
          </cell>
          <cell r="O432" t="str">
            <v/>
          </cell>
          <cell r="T432" t="str">
            <v/>
          </cell>
          <cell r="U432" t="str">
            <v/>
          </cell>
          <cell r="X432" t="str">
            <v/>
          </cell>
          <cell r="AH432" t="str">
            <v/>
          </cell>
          <cell r="AK432" t="str">
            <v/>
          </cell>
          <cell r="AM432" t="str">
            <v/>
          </cell>
          <cell r="AO432" t="str">
            <v/>
          </cell>
          <cell r="AS432" t="str">
            <v/>
          </cell>
          <cell r="AT432" t="str">
            <v/>
          </cell>
          <cell r="AU432" t="str">
            <v/>
          </cell>
          <cell r="AW432" t="str">
            <v/>
          </cell>
          <cell r="AX432" t="str">
            <v/>
          </cell>
        </row>
        <row r="433">
          <cell r="G433" t="str">
            <v/>
          </cell>
          <cell r="H433" t="str">
            <v/>
          </cell>
          <cell r="M433" t="str">
            <v/>
          </cell>
          <cell r="N433" t="str">
            <v/>
          </cell>
          <cell r="O433" t="str">
            <v/>
          </cell>
          <cell r="T433" t="str">
            <v/>
          </cell>
          <cell r="U433" t="str">
            <v/>
          </cell>
          <cell r="X433" t="str">
            <v/>
          </cell>
          <cell r="AH433" t="str">
            <v/>
          </cell>
          <cell r="AK433" t="str">
            <v/>
          </cell>
          <cell r="AM433" t="str">
            <v/>
          </cell>
          <cell r="AO433" t="str">
            <v/>
          </cell>
          <cell r="AS433" t="str">
            <v/>
          </cell>
          <cell r="AT433" t="str">
            <v/>
          </cell>
          <cell r="AU433" t="str">
            <v/>
          </cell>
          <cell r="AW433" t="str">
            <v/>
          </cell>
          <cell r="AX433" t="str">
            <v/>
          </cell>
        </row>
        <row r="434">
          <cell r="G434" t="str">
            <v/>
          </cell>
          <cell r="H434" t="str">
            <v/>
          </cell>
          <cell r="M434" t="str">
            <v/>
          </cell>
          <cell r="N434" t="str">
            <v/>
          </cell>
          <cell r="O434" t="str">
            <v/>
          </cell>
          <cell r="T434" t="str">
            <v/>
          </cell>
          <cell r="U434" t="str">
            <v/>
          </cell>
          <cell r="X434" t="str">
            <v/>
          </cell>
          <cell r="AH434" t="str">
            <v/>
          </cell>
          <cell r="AK434" t="str">
            <v/>
          </cell>
          <cell r="AM434" t="str">
            <v/>
          </cell>
          <cell r="AO434" t="str">
            <v/>
          </cell>
          <cell r="AS434" t="str">
            <v/>
          </cell>
          <cell r="AT434" t="str">
            <v/>
          </cell>
          <cell r="AU434" t="str">
            <v/>
          </cell>
          <cell r="AW434" t="str">
            <v/>
          </cell>
          <cell r="AX434" t="str">
            <v/>
          </cell>
        </row>
        <row r="435">
          <cell r="G435" t="str">
            <v/>
          </cell>
          <cell r="H435" t="str">
            <v/>
          </cell>
          <cell r="M435" t="str">
            <v/>
          </cell>
          <cell r="N435" t="str">
            <v/>
          </cell>
          <cell r="O435" t="str">
            <v/>
          </cell>
          <cell r="T435" t="str">
            <v/>
          </cell>
          <cell r="U435" t="str">
            <v/>
          </cell>
          <cell r="X435" t="str">
            <v/>
          </cell>
          <cell r="AH435" t="str">
            <v/>
          </cell>
          <cell r="AK435" t="str">
            <v/>
          </cell>
          <cell r="AM435" t="str">
            <v/>
          </cell>
          <cell r="AO435" t="str">
            <v/>
          </cell>
          <cell r="AS435" t="str">
            <v/>
          </cell>
          <cell r="AT435" t="str">
            <v/>
          </cell>
          <cell r="AU435" t="str">
            <v/>
          </cell>
          <cell r="AW435" t="str">
            <v/>
          </cell>
          <cell r="AX435" t="str">
            <v/>
          </cell>
        </row>
        <row r="436">
          <cell r="G436" t="str">
            <v/>
          </cell>
          <cell r="H436" t="str">
            <v/>
          </cell>
          <cell r="M436" t="str">
            <v/>
          </cell>
          <cell r="N436" t="str">
            <v/>
          </cell>
          <cell r="O436" t="str">
            <v/>
          </cell>
          <cell r="T436" t="str">
            <v/>
          </cell>
          <cell r="U436" t="str">
            <v/>
          </cell>
          <cell r="X436" t="str">
            <v/>
          </cell>
          <cell r="AH436" t="str">
            <v/>
          </cell>
          <cell r="AK436" t="str">
            <v/>
          </cell>
          <cell r="AM436" t="str">
            <v/>
          </cell>
          <cell r="AO436" t="str">
            <v/>
          </cell>
          <cell r="AS436" t="str">
            <v/>
          </cell>
          <cell r="AT436" t="str">
            <v/>
          </cell>
          <cell r="AU436" t="str">
            <v/>
          </cell>
          <cell r="AW436" t="str">
            <v/>
          </cell>
          <cell r="AX436" t="str">
            <v/>
          </cell>
        </row>
        <row r="437">
          <cell r="G437" t="str">
            <v/>
          </cell>
          <cell r="H437" t="str">
            <v/>
          </cell>
          <cell r="M437" t="str">
            <v/>
          </cell>
          <cell r="N437" t="str">
            <v/>
          </cell>
          <cell r="O437" t="str">
            <v/>
          </cell>
          <cell r="T437" t="str">
            <v/>
          </cell>
          <cell r="U437" t="str">
            <v/>
          </cell>
          <cell r="X437" t="str">
            <v/>
          </cell>
          <cell r="AH437" t="str">
            <v/>
          </cell>
          <cell r="AK437" t="str">
            <v/>
          </cell>
          <cell r="AM437" t="str">
            <v/>
          </cell>
          <cell r="AO437" t="str">
            <v/>
          </cell>
          <cell r="AS437" t="str">
            <v/>
          </cell>
          <cell r="AT437" t="str">
            <v/>
          </cell>
          <cell r="AU437" t="str">
            <v/>
          </cell>
          <cell r="AW437" t="str">
            <v/>
          </cell>
          <cell r="AX437" t="str">
            <v/>
          </cell>
        </row>
        <row r="438">
          <cell r="G438" t="str">
            <v/>
          </cell>
          <cell r="H438" t="str">
            <v/>
          </cell>
          <cell r="M438" t="str">
            <v/>
          </cell>
          <cell r="N438" t="str">
            <v/>
          </cell>
          <cell r="O438" t="str">
            <v/>
          </cell>
          <cell r="T438" t="str">
            <v/>
          </cell>
          <cell r="U438" t="str">
            <v/>
          </cell>
          <cell r="X438" t="str">
            <v/>
          </cell>
          <cell r="AH438" t="str">
            <v/>
          </cell>
          <cell r="AK438" t="str">
            <v/>
          </cell>
          <cell r="AM438" t="str">
            <v/>
          </cell>
          <cell r="AO438" t="str">
            <v/>
          </cell>
          <cell r="AS438" t="str">
            <v/>
          </cell>
          <cell r="AT438" t="str">
            <v/>
          </cell>
          <cell r="AU438" t="str">
            <v/>
          </cell>
          <cell r="AW438" t="str">
            <v/>
          </cell>
          <cell r="AX438" t="str">
            <v/>
          </cell>
        </row>
        <row r="439">
          <cell r="G439" t="str">
            <v/>
          </cell>
          <cell r="H439" t="str">
            <v/>
          </cell>
          <cell r="M439" t="str">
            <v/>
          </cell>
          <cell r="N439" t="str">
            <v/>
          </cell>
          <cell r="O439" t="str">
            <v/>
          </cell>
          <cell r="T439" t="str">
            <v/>
          </cell>
          <cell r="U439" t="str">
            <v/>
          </cell>
          <cell r="X439" t="str">
            <v/>
          </cell>
          <cell r="AH439" t="str">
            <v/>
          </cell>
          <cell r="AK439" t="str">
            <v/>
          </cell>
          <cell r="AM439" t="str">
            <v/>
          </cell>
          <cell r="AO439" t="str">
            <v/>
          </cell>
          <cell r="AS439" t="str">
            <v/>
          </cell>
          <cell r="AT439" t="str">
            <v/>
          </cell>
          <cell r="AU439" t="str">
            <v/>
          </cell>
          <cell r="AW439" t="str">
            <v/>
          </cell>
          <cell r="AX439" t="str">
            <v/>
          </cell>
        </row>
        <row r="440">
          <cell r="G440" t="str">
            <v/>
          </cell>
          <cell r="H440" t="str">
            <v/>
          </cell>
          <cell r="M440" t="str">
            <v/>
          </cell>
          <cell r="N440" t="str">
            <v/>
          </cell>
          <cell r="O440" t="str">
            <v/>
          </cell>
          <cell r="T440" t="str">
            <v/>
          </cell>
          <cell r="U440" t="str">
            <v/>
          </cell>
          <cell r="X440" t="str">
            <v/>
          </cell>
          <cell r="AH440" t="str">
            <v/>
          </cell>
          <cell r="AK440" t="str">
            <v/>
          </cell>
          <cell r="AM440" t="str">
            <v/>
          </cell>
          <cell r="AO440" t="str">
            <v/>
          </cell>
          <cell r="AS440" t="str">
            <v/>
          </cell>
          <cell r="AT440" t="str">
            <v/>
          </cell>
          <cell r="AU440" t="str">
            <v/>
          </cell>
          <cell r="AW440" t="str">
            <v/>
          </cell>
          <cell r="AX440" t="str">
            <v/>
          </cell>
        </row>
        <row r="441">
          <cell r="G441" t="str">
            <v/>
          </cell>
          <cell r="H441" t="str">
            <v/>
          </cell>
          <cell r="M441" t="str">
            <v/>
          </cell>
          <cell r="N441" t="str">
            <v/>
          </cell>
          <cell r="O441" t="str">
            <v/>
          </cell>
          <cell r="T441" t="str">
            <v/>
          </cell>
          <cell r="U441" t="str">
            <v/>
          </cell>
          <cell r="X441" t="str">
            <v/>
          </cell>
          <cell r="AH441" t="str">
            <v/>
          </cell>
          <cell r="AK441" t="str">
            <v/>
          </cell>
          <cell r="AM441" t="str">
            <v/>
          </cell>
          <cell r="AO441" t="str">
            <v/>
          </cell>
          <cell r="AS441" t="str">
            <v/>
          </cell>
          <cell r="AT441" t="str">
            <v/>
          </cell>
          <cell r="AU441" t="str">
            <v/>
          </cell>
          <cell r="AW441" t="str">
            <v/>
          </cell>
          <cell r="AX441" t="str">
            <v/>
          </cell>
        </row>
        <row r="442">
          <cell r="G442" t="str">
            <v/>
          </cell>
          <cell r="H442" t="str">
            <v/>
          </cell>
          <cell r="M442" t="str">
            <v/>
          </cell>
          <cell r="N442" t="str">
            <v/>
          </cell>
          <cell r="O442" t="str">
            <v/>
          </cell>
          <cell r="T442" t="str">
            <v/>
          </cell>
          <cell r="U442" t="str">
            <v/>
          </cell>
          <cell r="X442" t="str">
            <v/>
          </cell>
          <cell r="AH442" t="str">
            <v/>
          </cell>
          <cell r="AK442" t="str">
            <v/>
          </cell>
          <cell r="AM442" t="str">
            <v/>
          </cell>
          <cell r="AO442" t="str">
            <v/>
          </cell>
          <cell r="AS442" t="str">
            <v/>
          </cell>
          <cell r="AT442" t="str">
            <v/>
          </cell>
          <cell r="AU442" t="str">
            <v/>
          </cell>
          <cell r="AW442" t="str">
            <v/>
          </cell>
          <cell r="AX442" t="str">
            <v/>
          </cell>
        </row>
        <row r="443">
          <cell r="G443" t="str">
            <v/>
          </cell>
          <cell r="H443" t="str">
            <v/>
          </cell>
          <cell r="M443" t="str">
            <v/>
          </cell>
          <cell r="N443" t="str">
            <v/>
          </cell>
          <cell r="O443" t="str">
            <v/>
          </cell>
          <cell r="T443" t="str">
            <v/>
          </cell>
          <cell r="U443" t="str">
            <v/>
          </cell>
          <cell r="X443" t="str">
            <v/>
          </cell>
          <cell r="AH443" t="str">
            <v/>
          </cell>
          <cell r="AK443" t="str">
            <v/>
          </cell>
          <cell r="AM443" t="str">
            <v/>
          </cell>
          <cell r="AO443" t="str">
            <v/>
          </cell>
          <cell r="AS443" t="str">
            <v/>
          </cell>
          <cell r="AT443" t="str">
            <v/>
          </cell>
          <cell r="AU443" t="str">
            <v/>
          </cell>
          <cell r="AW443" t="str">
            <v/>
          </cell>
          <cell r="AX443" t="str">
            <v/>
          </cell>
        </row>
        <row r="444">
          <cell r="G444" t="str">
            <v/>
          </cell>
          <cell r="H444" t="str">
            <v/>
          </cell>
          <cell r="M444" t="str">
            <v/>
          </cell>
          <cell r="N444" t="str">
            <v/>
          </cell>
          <cell r="O444" t="str">
            <v/>
          </cell>
          <cell r="T444" t="str">
            <v/>
          </cell>
          <cell r="U444" t="str">
            <v/>
          </cell>
          <cell r="X444" t="str">
            <v/>
          </cell>
          <cell r="AH444" t="str">
            <v/>
          </cell>
          <cell r="AK444" t="str">
            <v/>
          </cell>
          <cell r="AM444" t="str">
            <v/>
          </cell>
          <cell r="AO444" t="str">
            <v/>
          </cell>
          <cell r="AS444" t="str">
            <v/>
          </cell>
          <cell r="AT444" t="str">
            <v/>
          </cell>
          <cell r="AU444" t="str">
            <v/>
          </cell>
          <cell r="AW444" t="str">
            <v/>
          </cell>
          <cell r="AX444" t="str">
            <v/>
          </cell>
        </row>
        <row r="445">
          <cell r="G445" t="str">
            <v/>
          </cell>
          <cell r="H445" t="str">
            <v/>
          </cell>
          <cell r="M445" t="str">
            <v/>
          </cell>
          <cell r="N445" t="str">
            <v/>
          </cell>
          <cell r="O445" t="str">
            <v/>
          </cell>
          <cell r="T445" t="str">
            <v/>
          </cell>
          <cell r="U445" t="str">
            <v/>
          </cell>
          <cell r="X445" t="str">
            <v/>
          </cell>
          <cell r="AH445" t="str">
            <v/>
          </cell>
          <cell r="AK445" t="str">
            <v/>
          </cell>
          <cell r="AM445" t="str">
            <v/>
          </cell>
          <cell r="AO445" t="str">
            <v/>
          </cell>
          <cell r="AS445" t="str">
            <v/>
          </cell>
          <cell r="AT445" t="str">
            <v/>
          </cell>
          <cell r="AU445" t="str">
            <v/>
          </cell>
          <cell r="AW445" t="str">
            <v/>
          </cell>
          <cell r="AX445" t="str">
            <v/>
          </cell>
        </row>
        <row r="446">
          <cell r="G446" t="str">
            <v/>
          </cell>
          <cell r="H446" t="str">
            <v/>
          </cell>
          <cell r="M446" t="str">
            <v/>
          </cell>
          <cell r="N446" t="str">
            <v/>
          </cell>
          <cell r="O446" t="str">
            <v/>
          </cell>
          <cell r="T446" t="str">
            <v/>
          </cell>
          <cell r="U446" t="str">
            <v/>
          </cell>
          <cell r="X446" t="str">
            <v/>
          </cell>
          <cell r="AH446" t="str">
            <v/>
          </cell>
          <cell r="AK446" t="str">
            <v/>
          </cell>
          <cell r="AM446" t="str">
            <v/>
          </cell>
          <cell r="AO446" t="str">
            <v/>
          </cell>
          <cell r="AS446" t="str">
            <v/>
          </cell>
          <cell r="AT446" t="str">
            <v/>
          </cell>
          <cell r="AU446" t="str">
            <v/>
          </cell>
          <cell r="AW446" t="str">
            <v/>
          </cell>
          <cell r="AX446" t="str">
            <v/>
          </cell>
        </row>
        <row r="447">
          <cell r="G447" t="str">
            <v/>
          </cell>
          <cell r="H447" t="str">
            <v/>
          </cell>
          <cell r="M447" t="str">
            <v/>
          </cell>
          <cell r="N447" t="str">
            <v/>
          </cell>
          <cell r="O447" t="str">
            <v/>
          </cell>
          <cell r="T447" t="str">
            <v/>
          </cell>
          <cell r="U447" t="str">
            <v/>
          </cell>
          <cell r="X447" t="str">
            <v/>
          </cell>
          <cell r="AH447" t="str">
            <v/>
          </cell>
          <cell r="AK447" t="str">
            <v/>
          </cell>
          <cell r="AM447" t="str">
            <v/>
          </cell>
          <cell r="AO447" t="str">
            <v/>
          </cell>
          <cell r="AS447" t="str">
            <v/>
          </cell>
          <cell r="AT447" t="str">
            <v/>
          </cell>
          <cell r="AU447" t="str">
            <v/>
          </cell>
          <cell r="AW447" t="str">
            <v/>
          </cell>
          <cell r="AX447" t="str">
            <v/>
          </cell>
        </row>
        <row r="448">
          <cell r="G448" t="str">
            <v/>
          </cell>
          <cell r="H448" t="str">
            <v/>
          </cell>
          <cell r="M448" t="str">
            <v/>
          </cell>
          <cell r="N448" t="str">
            <v/>
          </cell>
          <cell r="O448" t="str">
            <v/>
          </cell>
          <cell r="T448" t="str">
            <v/>
          </cell>
          <cell r="U448" t="str">
            <v/>
          </cell>
          <cell r="X448" t="str">
            <v/>
          </cell>
          <cell r="AH448" t="str">
            <v/>
          </cell>
          <cell r="AK448" t="str">
            <v/>
          </cell>
          <cell r="AM448" t="str">
            <v/>
          </cell>
          <cell r="AO448" t="str">
            <v/>
          </cell>
          <cell r="AS448" t="str">
            <v/>
          </cell>
          <cell r="AT448" t="str">
            <v/>
          </cell>
          <cell r="AU448" t="str">
            <v/>
          </cell>
          <cell r="AW448" t="str">
            <v/>
          </cell>
          <cell r="AX448" t="str">
            <v/>
          </cell>
        </row>
        <row r="449">
          <cell r="G449" t="str">
            <v/>
          </cell>
          <cell r="H449" t="str">
            <v/>
          </cell>
          <cell r="M449" t="str">
            <v/>
          </cell>
          <cell r="N449" t="str">
            <v/>
          </cell>
          <cell r="O449" t="str">
            <v/>
          </cell>
          <cell r="T449" t="str">
            <v/>
          </cell>
          <cell r="U449" t="str">
            <v/>
          </cell>
          <cell r="X449" t="str">
            <v/>
          </cell>
          <cell r="AH449" t="str">
            <v/>
          </cell>
          <cell r="AK449" t="str">
            <v/>
          </cell>
          <cell r="AM449" t="str">
            <v/>
          </cell>
          <cell r="AO449" t="str">
            <v/>
          </cell>
          <cell r="AS449" t="str">
            <v/>
          </cell>
          <cell r="AT449" t="str">
            <v/>
          </cell>
          <cell r="AU449" t="str">
            <v/>
          </cell>
          <cell r="AW449" t="str">
            <v/>
          </cell>
          <cell r="AX449" t="str">
            <v/>
          </cell>
        </row>
        <row r="450">
          <cell r="G450" t="str">
            <v/>
          </cell>
          <cell r="H450" t="str">
            <v/>
          </cell>
          <cell r="M450" t="str">
            <v/>
          </cell>
          <cell r="N450" t="str">
            <v/>
          </cell>
          <cell r="O450" t="str">
            <v/>
          </cell>
          <cell r="T450" t="str">
            <v/>
          </cell>
          <cell r="U450" t="str">
            <v/>
          </cell>
          <cell r="X450" t="str">
            <v/>
          </cell>
          <cell r="AH450" t="str">
            <v/>
          </cell>
          <cell r="AK450" t="str">
            <v/>
          </cell>
          <cell r="AM450" t="str">
            <v/>
          </cell>
          <cell r="AO450" t="str">
            <v/>
          </cell>
          <cell r="AS450" t="str">
            <v/>
          </cell>
          <cell r="AT450" t="str">
            <v/>
          </cell>
          <cell r="AU450" t="str">
            <v/>
          </cell>
          <cell r="AW450" t="str">
            <v/>
          </cell>
          <cell r="AX450" t="str">
            <v/>
          </cell>
        </row>
        <row r="451">
          <cell r="G451" t="str">
            <v/>
          </cell>
          <cell r="H451" t="str">
            <v/>
          </cell>
          <cell r="M451" t="str">
            <v/>
          </cell>
          <cell r="N451" t="str">
            <v/>
          </cell>
          <cell r="O451" t="str">
            <v/>
          </cell>
          <cell r="T451" t="str">
            <v/>
          </cell>
          <cell r="U451" t="str">
            <v/>
          </cell>
          <cell r="X451" t="str">
            <v/>
          </cell>
          <cell r="AH451" t="str">
            <v/>
          </cell>
          <cell r="AK451" t="str">
            <v/>
          </cell>
          <cell r="AM451" t="str">
            <v/>
          </cell>
          <cell r="AO451" t="str">
            <v/>
          </cell>
          <cell r="AS451" t="str">
            <v/>
          </cell>
          <cell r="AT451" t="str">
            <v/>
          </cell>
          <cell r="AU451" t="str">
            <v/>
          </cell>
          <cell r="AW451" t="str">
            <v/>
          </cell>
          <cell r="AX451" t="str">
            <v/>
          </cell>
        </row>
        <row r="452">
          <cell r="G452" t="str">
            <v/>
          </cell>
          <cell r="H452" t="str">
            <v/>
          </cell>
          <cell r="M452" t="str">
            <v/>
          </cell>
          <cell r="N452" t="str">
            <v/>
          </cell>
          <cell r="O452" t="str">
            <v/>
          </cell>
          <cell r="T452" t="str">
            <v/>
          </cell>
          <cell r="U452" t="str">
            <v/>
          </cell>
          <cell r="X452" t="str">
            <v/>
          </cell>
          <cell r="AH452" t="str">
            <v/>
          </cell>
          <cell r="AK452" t="str">
            <v/>
          </cell>
          <cell r="AM452" t="str">
            <v/>
          </cell>
          <cell r="AO452" t="str">
            <v/>
          </cell>
          <cell r="AS452" t="str">
            <v/>
          </cell>
          <cell r="AT452" t="str">
            <v/>
          </cell>
          <cell r="AU452" t="str">
            <v/>
          </cell>
          <cell r="AW452" t="str">
            <v/>
          </cell>
          <cell r="AX452" t="str">
            <v/>
          </cell>
        </row>
        <row r="453">
          <cell r="G453" t="str">
            <v/>
          </cell>
          <cell r="H453" t="str">
            <v/>
          </cell>
          <cell r="M453" t="str">
            <v/>
          </cell>
          <cell r="N453" t="str">
            <v/>
          </cell>
          <cell r="O453" t="str">
            <v/>
          </cell>
          <cell r="T453" t="str">
            <v/>
          </cell>
          <cell r="U453" t="str">
            <v/>
          </cell>
          <cell r="X453" t="str">
            <v/>
          </cell>
          <cell r="AH453" t="str">
            <v/>
          </cell>
          <cell r="AK453" t="str">
            <v/>
          </cell>
          <cell r="AM453" t="str">
            <v/>
          </cell>
          <cell r="AO453" t="str">
            <v/>
          </cell>
          <cell r="AS453" t="str">
            <v/>
          </cell>
          <cell r="AT453" t="str">
            <v/>
          </cell>
          <cell r="AU453" t="str">
            <v/>
          </cell>
          <cell r="AW453" t="str">
            <v/>
          </cell>
          <cell r="AX453" t="str">
            <v/>
          </cell>
        </row>
        <row r="454">
          <cell r="G454" t="str">
            <v/>
          </cell>
          <cell r="H454" t="str">
            <v/>
          </cell>
          <cell r="M454" t="str">
            <v/>
          </cell>
          <cell r="N454" t="str">
            <v/>
          </cell>
          <cell r="O454" t="str">
            <v/>
          </cell>
          <cell r="T454" t="str">
            <v/>
          </cell>
          <cell r="U454" t="str">
            <v/>
          </cell>
          <cell r="X454" t="str">
            <v/>
          </cell>
          <cell r="AH454" t="str">
            <v/>
          </cell>
          <cell r="AK454" t="str">
            <v/>
          </cell>
          <cell r="AM454" t="str">
            <v/>
          </cell>
          <cell r="AO454" t="str">
            <v/>
          </cell>
          <cell r="AS454" t="str">
            <v/>
          </cell>
          <cell r="AT454" t="str">
            <v/>
          </cell>
          <cell r="AU454" t="str">
            <v/>
          </cell>
          <cell r="AW454" t="str">
            <v/>
          </cell>
          <cell r="AX454" t="str">
            <v/>
          </cell>
        </row>
        <row r="455">
          <cell r="G455" t="str">
            <v/>
          </cell>
          <cell r="H455" t="str">
            <v/>
          </cell>
          <cell r="M455" t="str">
            <v/>
          </cell>
          <cell r="N455" t="str">
            <v/>
          </cell>
          <cell r="O455" t="str">
            <v/>
          </cell>
          <cell r="T455" t="str">
            <v/>
          </cell>
          <cell r="U455" t="str">
            <v/>
          </cell>
          <cell r="X455" t="str">
            <v/>
          </cell>
          <cell r="AH455" t="str">
            <v/>
          </cell>
          <cell r="AK455" t="str">
            <v/>
          </cell>
          <cell r="AM455" t="str">
            <v/>
          </cell>
          <cell r="AO455" t="str">
            <v/>
          </cell>
          <cell r="AS455" t="str">
            <v/>
          </cell>
          <cell r="AT455" t="str">
            <v/>
          </cell>
          <cell r="AU455" t="str">
            <v/>
          </cell>
          <cell r="AW455" t="str">
            <v/>
          </cell>
          <cell r="AX455" t="str">
            <v/>
          </cell>
        </row>
        <row r="456">
          <cell r="G456" t="str">
            <v/>
          </cell>
          <cell r="H456" t="str">
            <v/>
          </cell>
          <cell r="M456" t="str">
            <v/>
          </cell>
          <cell r="N456" t="str">
            <v/>
          </cell>
          <cell r="O456" t="str">
            <v/>
          </cell>
          <cell r="T456" t="str">
            <v/>
          </cell>
          <cell r="U456" t="str">
            <v/>
          </cell>
          <cell r="X456" t="str">
            <v/>
          </cell>
          <cell r="AH456" t="str">
            <v/>
          </cell>
          <cell r="AK456" t="str">
            <v/>
          </cell>
          <cell r="AM456" t="str">
            <v/>
          </cell>
          <cell r="AO456" t="str">
            <v/>
          </cell>
          <cell r="AS456" t="str">
            <v/>
          </cell>
          <cell r="AT456" t="str">
            <v/>
          </cell>
          <cell r="AU456" t="str">
            <v/>
          </cell>
          <cell r="AW456" t="str">
            <v/>
          </cell>
          <cell r="AX456" t="str">
            <v/>
          </cell>
        </row>
        <row r="457">
          <cell r="G457" t="str">
            <v/>
          </cell>
          <cell r="H457" t="str">
            <v/>
          </cell>
          <cell r="M457" t="str">
            <v/>
          </cell>
          <cell r="N457" t="str">
            <v/>
          </cell>
          <cell r="O457" t="str">
            <v/>
          </cell>
          <cell r="T457" t="str">
            <v/>
          </cell>
          <cell r="U457" t="str">
            <v/>
          </cell>
          <cell r="X457" t="str">
            <v/>
          </cell>
          <cell r="AH457" t="str">
            <v/>
          </cell>
          <cell r="AK457" t="str">
            <v/>
          </cell>
          <cell r="AM457" t="str">
            <v/>
          </cell>
          <cell r="AO457" t="str">
            <v/>
          </cell>
          <cell r="AS457" t="str">
            <v/>
          </cell>
          <cell r="AT457" t="str">
            <v/>
          </cell>
          <cell r="AU457" t="str">
            <v/>
          </cell>
          <cell r="AW457" t="str">
            <v/>
          </cell>
          <cell r="AX457" t="str">
            <v/>
          </cell>
        </row>
        <row r="458">
          <cell r="G458" t="str">
            <v/>
          </cell>
          <cell r="H458" t="str">
            <v/>
          </cell>
          <cell r="M458" t="str">
            <v/>
          </cell>
          <cell r="N458" t="str">
            <v/>
          </cell>
          <cell r="O458" t="str">
            <v/>
          </cell>
          <cell r="T458" t="str">
            <v/>
          </cell>
          <cell r="U458" t="str">
            <v/>
          </cell>
          <cell r="X458" t="str">
            <v/>
          </cell>
          <cell r="AH458" t="str">
            <v/>
          </cell>
          <cell r="AK458" t="str">
            <v/>
          </cell>
          <cell r="AM458" t="str">
            <v/>
          </cell>
          <cell r="AO458" t="str">
            <v/>
          </cell>
          <cell r="AS458" t="str">
            <v/>
          </cell>
          <cell r="AT458" t="str">
            <v/>
          </cell>
          <cell r="AU458" t="str">
            <v/>
          </cell>
          <cell r="AW458" t="str">
            <v/>
          </cell>
          <cell r="AX458" t="str">
            <v/>
          </cell>
        </row>
        <row r="459">
          <cell r="G459" t="str">
            <v/>
          </cell>
          <cell r="H459" t="str">
            <v/>
          </cell>
          <cell r="M459" t="str">
            <v/>
          </cell>
          <cell r="N459" t="str">
            <v/>
          </cell>
          <cell r="O459" t="str">
            <v/>
          </cell>
          <cell r="T459" t="str">
            <v/>
          </cell>
          <cell r="U459" t="str">
            <v/>
          </cell>
          <cell r="X459" t="str">
            <v/>
          </cell>
          <cell r="AH459" t="str">
            <v/>
          </cell>
          <cell r="AK459" t="str">
            <v/>
          </cell>
          <cell r="AM459" t="str">
            <v/>
          </cell>
          <cell r="AO459" t="str">
            <v/>
          </cell>
          <cell r="AS459" t="str">
            <v/>
          </cell>
          <cell r="AT459" t="str">
            <v/>
          </cell>
          <cell r="AU459" t="str">
            <v/>
          </cell>
          <cell r="AW459" t="str">
            <v/>
          </cell>
          <cell r="AX459" t="str">
            <v/>
          </cell>
        </row>
        <row r="460">
          <cell r="G460" t="str">
            <v/>
          </cell>
          <cell r="H460" t="str">
            <v/>
          </cell>
          <cell r="M460" t="str">
            <v/>
          </cell>
          <cell r="N460" t="str">
            <v/>
          </cell>
          <cell r="O460" t="str">
            <v/>
          </cell>
          <cell r="T460" t="str">
            <v/>
          </cell>
          <cell r="U460" t="str">
            <v/>
          </cell>
          <cell r="X460" t="str">
            <v/>
          </cell>
          <cell r="AH460" t="str">
            <v/>
          </cell>
          <cell r="AK460" t="str">
            <v/>
          </cell>
          <cell r="AM460" t="str">
            <v/>
          </cell>
          <cell r="AO460" t="str">
            <v/>
          </cell>
          <cell r="AS460" t="str">
            <v/>
          </cell>
          <cell r="AT460" t="str">
            <v/>
          </cell>
          <cell r="AU460" t="str">
            <v/>
          </cell>
          <cell r="AW460" t="str">
            <v/>
          </cell>
          <cell r="AX460" t="str">
            <v/>
          </cell>
        </row>
        <row r="461">
          <cell r="G461" t="str">
            <v/>
          </cell>
          <cell r="H461" t="str">
            <v/>
          </cell>
          <cell r="M461" t="str">
            <v/>
          </cell>
          <cell r="N461" t="str">
            <v/>
          </cell>
          <cell r="O461" t="str">
            <v/>
          </cell>
          <cell r="T461" t="str">
            <v/>
          </cell>
          <cell r="U461" t="str">
            <v/>
          </cell>
          <cell r="X461" t="str">
            <v/>
          </cell>
          <cell r="AH461" t="str">
            <v/>
          </cell>
          <cell r="AK461" t="str">
            <v/>
          </cell>
          <cell r="AM461" t="str">
            <v/>
          </cell>
          <cell r="AO461" t="str">
            <v/>
          </cell>
          <cell r="AS461" t="str">
            <v/>
          </cell>
          <cell r="AT461" t="str">
            <v/>
          </cell>
          <cell r="AU461" t="str">
            <v/>
          </cell>
          <cell r="AW461" t="str">
            <v/>
          </cell>
          <cell r="AX461" t="str">
            <v/>
          </cell>
        </row>
        <row r="462">
          <cell r="G462" t="str">
            <v/>
          </cell>
          <cell r="H462" t="str">
            <v/>
          </cell>
          <cell r="M462" t="str">
            <v/>
          </cell>
          <cell r="N462" t="str">
            <v/>
          </cell>
          <cell r="O462" t="str">
            <v/>
          </cell>
          <cell r="T462" t="str">
            <v/>
          </cell>
          <cell r="U462" t="str">
            <v/>
          </cell>
          <cell r="X462" t="str">
            <v/>
          </cell>
          <cell r="AH462" t="str">
            <v/>
          </cell>
          <cell r="AK462" t="str">
            <v/>
          </cell>
          <cell r="AM462" t="str">
            <v/>
          </cell>
          <cell r="AO462" t="str">
            <v/>
          </cell>
          <cell r="AS462" t="str">
            <v/>
          </cell>
          <cell r="AT462" t="str">
            <v/>
          </cell>
          <cell r="AU462" t="str">
            <v/>
          </cell>
          <cell r="AW462" t="str">
            <v/>
          </cell>
          <cell r="AX462" t="str">
            <v/>
          </cell>
        </row>
        <row r="463">
          <cell r="G463" t="str">
            <v/>
          </cell>
          <cell r="H463" t="str">
            <v/>
          </cell>
          <cell r="M463" t="str">
            <v/>
          </cell>
          <cell r="N463" t="str">
            <v/>
          </cell>
          <cell r="O463" t="str">
            <v/>
          </cell>
          <cell r="T463" t="str">
            <v/>
          </cell>
          <cell r="U463" t="str">
            <v/>
          </cell>
          <cell r="X463" t="str">
            <v/>
          </cell>
          <cell r="AH463" t="str">
            <v/>
          </cell>
          <cell r="AK463" t="str">
            <v/>
          </cell>
          <cell r="AM463" t="str">
            <v/>
          </cell>
          <cell r="AO463" t="str">
            <v/>
          </cell>
          <cell r="AS463" t="str">
            <v/>
          </cell>
          <cell r="AT463" t="str">
            <v/>
          </cell>
          <cell r="AU463" t="str">
            <v/>
          </cell>
          <cell r="AW463" t="str">
            <v/>
          </cell>
          <cell r="AX463" t="str">
            <v/>
          </cell>
        </row>
        <row r="464">
          <cell r="G464" t="str">
            <v/>
          </cell>
          <cell r="H464" t="str">
            <v/>
          </cell>
          <cell r="M464" t="str">
            <v/>
          </cell>
          <cell r="N464" t="str">
            <v/>
          </cell>
          <cell r="O464" t="str">
            <v/>
          </cell>
          <cell r="T464" t="str">
            <v/>
          </cell>
          <cell r="U464" t="str">
            <v/>
          </cell>
          <cell r="X464" t="str">
            <v/>
          </cell>
          <cell r="AH464" t="str">
            <v/>
          </cell>
          <cell r="AK464" t="str">
            <v/>
          </cell>
          <cell r="AM464" t="str">
            <v/>
          </cell>
          <cell r="AO464" t="str">
            <v/>
          </cell>
          <cell r="AS464" t="str">
            <v/>
          </cell>
          <cell r="AT464" t="str">
            <v/>
          </cell>
          <cell r="AU464" t="str">
            <v/>
          </cell>
          <cell r="AW464" t="str">
            <v/>
          </cell>
          <cell r="AX464" t="str">
            <v/>
          </cell>
        </row>
        <row r="465">
          <cell r="G465" t="str">
            <v/>
          </cell>
          <cell r="H465" t="str">
            <v/>
          </cell>
          <cell r="M465" t="str">
            <v/>
          </cell>
          <cell r="N465" t="str">
            <v/>
          </cell>
          <cell r="O465" t="str">
            <v/>
          </cell>
          <cell r="T465" t="str">
            <v/>
          </cell>
          <cell r="U465" t="str">
            <v/>
          </cell>
          <cell r="X465" t="str">
            <v/>
          </cell>
          <cell r="AH465" t="str">
            <v/>
          </cell>
          <cell r="AK465" t="str">
            <v/>
          </cell>
          <cell r="AM465" t="str">
            <v/>
          </cell>
          <cell r="AO465" t="str">
            <v/>
          </cell>
          <cell r="AS465" t="str">
            <v/>
          </cell>
          <cell r="AT465" t="str">
            <v/>
          </cell>
          <cell r="AU465" t="str">
            <v/>
          </cell>
          <cell r="AW465" t="str">
            <v/>
          </cell>
          <cell r="AX465" t="str">
            <v/>
          </cell>
        </row>
        <row r="466">
          <cell r="G466" t="str">
            <v/>
          </cell>
          <cell r="H466" t="str">
            <v/>
          </cell>
          <cell r="M466" t="str">
            <v/>
          </cell>
          <cell r="N466" t="str">
            <v/>
          </cell>
          <cell r="O466" t="str">
            <v/>
          </cell>
          <cell r="T466" t="str">
            <v/>
          </cell>
          <cell r="U466" t="str">
            <v/>
          </cell>
          <cell r="X466" t="str">
            <v/>
          </cell>
          <cell r="AH466" t="str">
            <v/>
          </cell>
          <cell r="AK466" t="str">
            <v/>
          </cell>
          <cell r="AM466" t="str">
            <v/>
          </cell>
          <cell r="AO466" t="str">
            <v/>
          </cell>
          <cell r="AS466" t="str">
            <v/>
          </cell>
          <cell r="AT466" t="str">
            <v/>
          </cell>
          <cell r="AU466" t="str">
            <v/>
          </cell>
          <cell r="AW466" t="str">
            <v/>
          </cell>
          <cell r="AX466" t="str">
            <v/>
          </cell>
        </row>
        <row r="467">
          <cell r="G467" t="str">
            <v/>
          </cell>
          <cell r="H467" t="str">
            <v/>
          </cell>
          <cell r="M467" t="str">
            <v/>
          </cell>
          <cell r="N467" t="str">
            <v/>
          </cell>
          <cell r="O467" t="str">
            <v/>
          </cell>
          <cell r="T467" t="str">
            <v/>
          </cell>
          <cell r="U467" t="str">
            <v/>
          </cell>
          <cell r="X467" t="str">
            <v/>
          </cell>
          <cell r="AH467" t="str">
            <v/>
          </cell>
          <cell r="AK467" t="str">
            <v/>
          </cell>
          <cell r="AM467" t="str">
            <v/>
          </cell>
          <cell r="AO467" t="str">
            <v/>
          </cell>
          <cell r="AS467" t="str">
            <v/>
          </cell>
          <cell r="AT467" t="str">
            <v/>
          </cell>
          <cell r="AU467" t="str">
            <v/>
          </cell>
          <cell r="AW467" t="str">
            <v/>
          </cell>
          <cell r="AX467" t="str">
            <v/>
          </cell>
        </row>
        <row r="468">
          <cell r="G468" t="str">
            <v/>
          </cell>
          <cell r="H468" t="str">
            <v/>
          </cell>
          <cell r="M468" t="str">
            <v/>
          </cell>
          <cell r="N468" t="str">
            <v/>
          </cell>
          <cell r="O468" t="str">
            <v/>
          </cell>
          <cell r="T468" t="str">
            <v/>
          </cell>
          <cell r="U468" t="str">
            <v/>
          </cell>
          <cell r="X468" t="str">
            <v/>
          </cell>
          <cell r="AH468" t="str">
            <v/>
          </cell>
          <cell r="AK468" t="str">
            <v/>
          </cell>
          <cell r="AM468" t="str">
            <v/>
          </cell>
          <cell r="AO468" t="str">
            <v/>
          </cell>
          <cell r="AS468" t="str">
            <v/>
          </cell>
          <cell r="AT468" t="str">
            <v/>
          </cell>
          <cell r="AU468" t="str">
            <v/>
          </cell>
          <cell r="AW468" t="str">
            <v/>
          </cell>
          <cell r="AX468" t="str">
            <v/>
          </cell>
        </row>
        <row r="469">
          <cell r="G469" t="str">
            <v/>
          </cell>
          <cell r="H469" t="str">
            <v/>
          </cell>
          <cell r="M469" t="str">
            <v/>
          </cell>
          <cell r="N469" t="str">
            <v/>
          </cell>
          <cell r="O469" t="str">
            <v/>
          </cell>
          <cell r="T469" t="str">
            <v/>
          </cell>
          <cell r="U469" t="str">
            <v/>
          </cell>
          <cell r="X469" t="str">
            <v/>
          </cell>
          <cell r="AH469" t="str">
            <v/>
          </cell>
          <cell r="AK469" t="str">
            <v/>
          </cell>
          <cell r="AM469" t="str">
            <v/>
          </cell>
          <cell r="AO469" t="str">
            <v/>
          </cell>
          <cell r="AS469" t="str">
            <v/>
          </cell>
          <cell r="AT469" t="str">
            <v/>
          </cell>
          <cell r="AU469" t="str">
            <v/>
          </cell>
          <cell r="AW469" t="str">
            <v/>
          </cell>
          <cell r="AX469" t="str">
            <v/>
          </cell>
        </row>
        <row r="470">
          <cell r="G470" t="str">
            <v/>
          </cell>
          <cell r="H470" t="str">
            <v/>
          </cell>
          <cell r="M470" t="str">
            <v/>
          </cell>
          <cell r="N470" t="str">
            <v/>
          </cell>
          <cell r="O470" t="str">
            <v/>
          </cell>
          <cell r="T470" t="str">
            <v/>
          </cell>
          <cell r="U470" t="str">
            <v/>
          </cell>
          <cell r="X470" t="str">
            <v/>
          </cell>
          <cell r="AH470" t="str">
            <v/>
          </cell>
          <cell r="AK470" t="str">
            <v/>
          </cell>
          <cell r="AM470" t="str">
            <v/>
          </cell>
          <cell r="AO470" t="str">
            <v/>
          </cell>
          <cell r="AS470" t="str">
            <v/>
          </cell>
          <cell r="AT470" t="str">
            <v/>
          </cell>
          <cell r="AU470" t="str">
            <v/>
          </cell>
          <cell r="AW470" t="str">
            <v/>
          </cell>
          <cell r="AX470" t="str">
            <v/>
          </cell>
        </row>
        <row r="471">
          <cell r="G471" t="str">
            <v/>
          </cell>
          <cell r="H471" t="str">
            <v/>
          </cell>
          <cell r="M471" t="str">
            <v/>
          </cell>
          <cell r="N471" t="str">
            <v/>
          </cell>
          <cell r="O471" t="str">
            <v/>
          </cell>
          <cell r="T471" t="str">
            <v/>
          </cell>
          <cell r="U471" t="str">
            <v/>
          </cell>
          <cell r="X471" t="str">
            <v/>
          </cell>
          <cell r="AH471" t="str">
            <v/>
          </cell>
          <cell r="AK471" t="str">
            <v/>
          </cell>
          <cell r="AM471" t="str">
            <v/>
          </cell>
          <cell r="AO471" t="str">
            <v/>
          </cell>
          <cell r="AS471" t="str">
            <v/>
          </cell>
          <cell r="AT471" t="str">
            <v/>
          </cell>
          <cell r="AU471" t="str">
            <v/>
          </cell>
          <cell r="AW471" t="str">
            <v/>
          </cell>
          <cell r="AX471" t="str">
            <v/>
          </cell>
        </row>
        <row r="472">
          <cell r="G472" t="str">
            <v/>
          </cell>
          <cell r="H472" t="str">
            <v/>
          </cell>
          <cell r="M472" t="str">
            <v/>
          </cell>
          <cell r="N472" t="str">
            <v/>
          </cell>
          <cell r="O472" t="str">
            <v/>
          </cell>
          <cell r="T472" t="str">
            <v/>
          </cell>
          <cell r="U472" t="str">
            <v/>
          </cell>
          <cell r="X472" t="str">
            <v/>
          </cell>
          <cell r="AH472" t="str">
            <v/>
          </cell>
          <cell r="AK472" t="str">
            <v/>
          </cell>
          <cell r="AM472" t="str">
            <v/>
          </cell>
          <cell r="AO472" t="str">
            <v/>
          </cell>
          <cell r="AS472" t="str">
            <v/>
          </cell>
          <cell r="AT472" t="str">
            <v/>
          </cell>
          <cell r="AU472" t="str">
            <v/>
          </cell>
          <cell r="AW472" t="str">
            <v/>
          </cell>
          <cell r="AX472" t="str">
            <v/>
          </cell>
        </row>
        <row r="473">
          <cell r="G473" t="str">
            <v/>
          </cell>
          <cell r="H473" t="str">
            <v/>
          </cell>
          <cell r="M473" t="str">
            <v/>
          </cell>
          <cell r="N473" t="str">
            <v/>
          </cell>
          <cell r="O473" t="str">
            <v/>
          </cell>
          <cell r="T473" t="str">
            <v/>
          </cell>
          <cell r="U473" t="str">
            <v/>
          </cell>
          <cell r="X473" t="str">
            <v/>
          </cell>
          <cell r="AH473" t="str">
            <v/>
          </cell>
          <cell r="AK473" t="str">
            <v/>
          </cell>
          <cell r="AM473" t="str">
            <v/>
          </cell>
          <cell r="AO473" t="str">
            <v/>
          </cell>
          <cell r="AS473" t="str">
            <v/>
          </cell>
          <cell r="AT473" t="str">
            <v/>
          </cell>
          <cell r="AU473" t="str">
            <v/>
          </cell>
          <cell r="AW473" t="str">
            <v/>
          </cell>
          <cell r="AX473" t="str">
            <v/>
          </cell>
        </row>
        <row r="474">
          <cell r="G474" t="str">
            <v/>
          </cell>
          <cell r="H474" t="str">
            <v/>
          </cell>
          <cell r="M474" t="str">
            <v/>
          </cell>
          <cell r="N474" t="str">
            <v/>
          </cell>
          <cell r="O474" t="str">
            <v/>
          </cell>
          <cell r="T474" t="str">
            <v/>
          </cell>
          <cell r="U474" t="str">
            <v/>
          </cell>
          <cell r="X474" t="str">
            <v/>
          </cell>
          <cell r="AH474" t="str">
            <v/>
          </cell>
          <cell r="AK474" t="str">
            <v/>
          </cell>
          <cell r="AM474" t="str">
            <v/>
          </cell>
          <cell r="AO474" t="str">
            <v/>
          </cell>
          <cell r="AS474" t="str">
            <v/>
          </cell>
          <cell r="AT474" t="str">
            <v/>
          </cell>
          <cell r="AU474" t="str">
            <v/>
          </cell>
          <cell r="AW474" t="str">
            <v/>
          </cell>
          <cell r="AX474" t="str">
            <v/>
          </cell>
        </row>
        <row r="475">
          <cell r="G475" t="str">
            <v/>
          </cell>
          <cell r="H475" t="str">
            <v/>
          </cell>
          <cell r="M475" t="str">
            <v/>
          </cell>
          <cell r="N475" t="str">
            <v/>
          </cell>
          <cell r="O475" t="str">
            <v/>
          </cell>
          <cell r="T475" t="str">
            <v/>
          </cell>
          <cell r="U475" t="str">
            <v/>
          </cell>
          <cell r="X475" t="str">
            <v/>
          </cell>
          <cell r="AH475" t="str">
            <v/>
          </cell>
          <cell r="AK475" t="str">
            <v/>
          </cell>
          <cell r="AM475" t="str">
            <v/>
          </cell>
          <cell r="AO475" t="str">
            <v/>
          </cell>
          <cell r="AS475" t="str">
            <v/>
          </cell>
          <cell r="AT475" t="str">
            <v/>
          </cell>
          <cell r="AU475" t="str">
            <v/>
          </cell>
          <cell r="AW475" t="str">
            <v/>
          </cell>
          <cell r="AX475" t="str">
            <v/>
          </cell>
        </row>
        <row r="476">
          <cell r="G476" t="str">
            <v/>
          </cell>
          <cell r="H476" t="str">
            <v/>
          </cell>
          <cell r="M476" t="str">
            <v/>
          </cell>
          <cell r="N476" t="str">
            <v/>
          </cell>
          <cell r="O476" t="str">
            <v/>
          </cell>
          <cell r="T476" t="str">
            <v/>
          </cell>
          <cell r="U476" t="str">
            <v/>
          </cell>
          <cell r="X476" t="str">
            <v/>
          </cell>
          <cell r="AH476" t="str">
            <v/>
          </cell>
          <cell r="AK476" t="str">
            <v/>
          </cell>
          <cell r="AM476" t="str">
            <v/>
          </cell>
          <cell r="AO476" t="str">
            <v/>
          </cell>
          <cell r="AS476" t="str">
            <v/>
          </cell>
          <cell r="AT476" t="str">
            <v/>
          </cell>
          <cell r="AU476" t="str">
            <v/>
          </cell>
          <cell r="AW476" t="str">
            <v/>
          </cell>
          <cell r="AX476" t="str">
            <v/>
          </cell>
        </row>
        <row r="477">
          <cell r="G477" t="str">
            <v/>
          </cell>
          <cell r="H477" t="str">
            <v/>
          </cell>
          <cell r="M477" t="str">
            <v/>
          </cell>
          <cell r="N477" t="str">
            <v/>
          </cell>
          <cell r="O477" t="str">
            <v/>
          </cell>
          <cell r="T477" t="str">
            <v/>
          </cell>
          <cell r="U477" t="str">
            <v/>
          </cell>
          <cell r="X477" t="str">
            <v/>
          </cell>
          <cell r="AH477" t="str">
            <v/>
          </cell>
          <cell r="AK477" t="str">
            <v/>
          </cell>
          <cell r="AM477" t="str">
            <v/>
          </cell>
          <cell r="AO477" t="str">
            <v/>
          </cell>
          <cell r="AS477" t="str">
            <v/>
          </cell>
          <cell r="AT477" t="str">
            <v/>
          </cell>
          <cell r="AU477" t="str">
            <v/>
          </cell>
          <cell r="AW477" t="str">
            <v/>
          </cell>
          <cell r="AX477" t="str">
            <v/>
          </cell>
        </row>
        <row r="478">
          <cell r="G478" t="str">
            <v/>
          </cell>
          <cell r="H478" t="str">
            <v/>
          </cell>
          <cell r="M478" t="str">
            <v/>
          </cell>
          <cell r="N478" t="str">
            <v/>
          </cell>
          <cell r="O478" t="str">
            <v/>
          </cell>
          <cell r="T478" t="str">
            <v/>
          </cell>
          <cell r="U478" t="str">
            <v/>
          </cell>
          <cell r="X478" t="str">
            <v/>
          </cell>
          <cell r="AH478" t="str">
            <v/>
          </cell>
          <cell r="AK478" t="str">
            <v/>
          </cell>
          <cell r="AM478" t="str">
            <v/>
          </cell>
          <cell r="AO478" t="str">
            <v/>
          </cell>
          <cell r="AS478" t="str">
            <v/>
          </cell>
          <cell r="AT478" t="str">
            <v/>
          </cell>
          <cell r="AU478" t="str">
            <v/>
          </cell>
          <cell r="AW478" t="str">
            <v/>
          </cell>
          <cell r="AX478" t="str">
            <v/>
          </cell>
        </row>
        <row r="479">
          <cell r="G479" t="str">
            <v/>
          </cell>
          <cell r="H479" t="str">
            <v/>
          </cell>
          <cell r="M479" t="str">
            <v/>
          </cell>
          <cell r="N479" t="str">
            <v/>
          </cell>
          <cell r="O479" t="str">
            <v/>
          </cell>
          <cell r="T479" t="str">
            <v/>
          </cell>
          <cell r="U479" t="str">
            <v/>
          </cell>
          <cell r="X479" t="str">
            <v/>
          </cell>
          <cell r="AH479" t="str">
            <v/>
          </cell>
          <cell r="AK479" t="str">
            <v/>
          </cell>
          <cell r="AM479" t="str">
            <v/>
          </cell>
          <cell r="AO479" t="str">
            <v/>
          </cell>
          <cell r="AS479" t="str">
            <v/>
          </cell>
          <cell r="AT479" t="str">
            <v/>
          </cell>
          <cell r="AU479" t="str">
            <v/>
          </cell>
          <cell r="AW479" t="str">
            <v/>
          </cell>
          <cell r="AX479" t="str">
            <v/>
          </cell>
        </row>
        <row r="480">
          <cell r="G480" t="str">
            <v/>
          </cell>
          <cell r="H480" t="str">
            <v/>
          </cell>
          <cell r="M480" t="str">
            <v/>
          </cell>
          <cell r="N480" t="str">
            <v/>
          </cell>
          <cell r="O480" t="str">
            <v/>
          </cell>
          <cell r="T480" t="str">
            <v/>
          </cell>
          <cell r="U480" t="str">
            <v/>
          </cell>
          <cell r="X480" t="str">
            <v/>
          </cell>
          <cell r="AH480" t="str">
            <v/>
          </cell>
          <cell r="AK480" t="str">
            <v/>
          </cell>
          <cell r="AM480" t="str">
            <v/>
          </cell>
          <cell r="AO480" t="str">
            <v/>
          </cell>
          <cell r="AS480" t="str">
            <v/>
          </cell>
          <cell r="AT480" t="str">
            <v/>
          </cell>
          <cell r="AU480" t="str">
            <v/>
          </cell>
          <cell r="AW480" t="str">
            <v/>
          </cell>
          <cell r="AX480" t="str">
            <v/>
          </cell>
        </row>
        <row r="481">
          <cell r="G481" t="str">
            <v/>
          </cell>
          <cell r="H481" t="str">
            <v/>
          </cell>
          <cell r="M481" t="str">
            <v/>
          </cell>
          <cell r="N481" t="str">
            <v/>
          </cell>
          <cell r="O481" t="str">
            <v/>
          </cell>
          <cell r="T481" t="str">
            <v/>
          </cell>
          <cell r="U481" t="str">
            <v/>
          </cell>
          <cell r="X481" t="str">
            <v/>
          </cell>
          <cell r="AH481" t="str">
            <v/>
          </cell>
          <cell r="AK481" t="str">
            <v/>
          </cell>
          <cell r="AM481" t="str">
            <v/>
          </cell>
          <cell r="AO481" t="str">
            <v/>
          </cell>
          <cell r="AS481" t="str">
            <v/>
          </cell>
          <cell r="AT481" t="str">
            <v/>
          </cell>
          <cell r="AU481" t="str">
            <v/>
          </cell>
          <cell r="AW481" t="str">
            <v/>
          </cell>
          <cell r="AX481" t="str">
            <v/>
          </cell>
        </row>
        <row r="482">
          <cell r="G482" t="str">
            <v/>
          </cell>
          <cell r="H482" t="str">
            <v/>
          </cell>
          <cell r="M482" t="str">
            <v/>
          </cell>
          <cell r="N482" t="str">
            <v/>
          </cell>
          <cell r="O482" t="str">
            <v/>
          </cell>
          <cell r="T482" t="str">
            <v/>
          </cell>
          <cell r="U482" t="str">
            <v/>
          </cell>
          <cell r="X482" t="str">
            <v/>
          </cell>
          <cell r="AH482" t="str">
            <v/>
          </cell>
          <cell r="AK482" t="str">
            <v/>
          </cell>
          <cell r="AM482" t="str">
            <v/>
          </cell>
          <cell r="AO482" t="str">
            <v/>
          </cell>
          <cell r="AS482" t="str">
            <v/>
          </cell>
          <cell r="AT482" t="str">
            <v/>
          </cell>
          <cell r="AU482" t="str">
            <v/>
          </cell>
          <cell r="AW482" t="str">
            <v/>
          </cell>
          <cell r="AX482" t="str">
            <v/>
          </cell>
        </row>
        <row r="483">
          <cell r="G483" t="str">
            <v/>
          </cell>
          <cell r="H483" t="str">
            <v/>
          </cell>
          <cell r="M483" t="str">
            <v/>
          </cell>
          <cell r="N483" t="str">
            <v/>
          </cell>
          <cell r="O483" t="str">
            <v/>
          </cell>
          <cell r="T483" t="str">
            <v/>
          </cell>
          <cell r="U483" t="str">
            <v/>
          </cell>
          <cell r="X483" t="str">
            <v/>
          </cell>
          <cell r="AH483" t="str">
            <v/>
          </cell>
          <cell r="AK483" t="str">
            <v/>
          </cell>
          <cell r="AM483" t="str">
            <v/>
          </cell>
          <cell r="AO483" t="str">
            <v/>
          </cell>
          <cell r="AS483" t="str">
            <v/>
          </cell>
          <cell r="AT483" t="str">
            <v/>
          </cell>
          <cell r="AU483" t="str">
            <v/>
          </cell>
          <cell r="AW483" t="str">
            <v/>
          </cell>
          <cell r="AX483" t="str">
            <v/>
          </cell>
        </row>
        <row r="484">
          <cell r="G484" t="str">
            <v/>
          </cell>
          <cell r="H484" t="str">
            <v/>
          </cell>
          <cell r="M484" t="str">
            <v/>
          </cell>
          <cell r="N484" t="str">
            <v/>
          </cell>
          <cell r="O484" t="str">
            <v/>
          </cell>
          <cell r="T484" t="str">
            <v/>
          </cell>
          <cell r="U484" t="str">
            <v/>
          </cell>
          <cell r="X484" t="str">
            <v/>
          </cell>
          <cell r="AH484" t="str">
            <v/>
          </cell>
          <cell r="AK484" t="str">
            <v/>
          </cell>
          <cell r="AM484" t="str">
            <v/>
          </cell>
          <cell r="AO484" t="str">
            <v/>
          </cell>
          <cell r="AS484" t="str">
            <v/>
          </cell>
          <cell r="AT484" t="str">
            <v/>
          </cell>
          <cell r="AU484" t="str">
            <v/>
          </cell>
          <cell r="AW484" t="str">
            <v/>
          </cell>
          <cell r="AX484" t="str">
            <v/>
          </cell>
        </row>
        <row r="485">
          <cell r="G485" t="str">
            <v/>
          </cell>
          <cell r="H485" t="str">
            <v/>
          </cell>
          <cell r="M485" t="str">
            <v/>
          </cell>
          <cell r="N485" t="str">
            <v/>
          </cell>
          <cell r="O485" t="str">
            <v/>
          </cell>
          <cell r="T485" t="str">
            <v/>
          </cell>
          <cell r="U485" t="str">
            <v/>
          </cell>
          <cell r="X485" t="str">
            <v/>
          </cell>
          <cell r="AH485" t="str">
            <v/>
          </cell>
          <cell r="AK485" t="str">
            <v/>
          </cell>
          <cell r="AM485" t="str">
            <v/>
          </cell>
          <cell r="AO485" t="str">
            <v/>
          </cell>
          <cell r="AS485" t="str">
            <v/>
          </cell>
          <cell r="AT485" t="str">
            <v/>
          </cell>
          <cell r="AU485" t="str">
            <v/>
          </cell>
          <cell r="AW485" t="str">
            <v/>
          </cell>
          <cell r="AX485" t="str">
            <v/>
          </cell>
        </row>
        <row r="486">
          <cell r="G486" t="str">
            <v/>
          </cell>
          <cell r="H486" t="str">
            <v/>
          </cell>
          <cell r="M486" t="str">
            <v/>
          </cell>
          <cell r="N486" t="str">
            <v/>
          </cell>
          <cell r="O486" t="str">
            <v/>
          </cell>
          <cell r="T486" t="str">
            <v/>
          </cell>
          <cell r="U486" t="str">
            <v/>
          </cell>
          <cell r="X486" t="str">
            <v/>
          </cell>
          <cell r="AH486" t="str">
            <v/>
          </cell>
          <cell r="AK486" t="str">
            <v/>
          </cell>
          <cell r="AM486" t="str">
            <v/>
          </cell>
          <cell r="AO486" t="str">
            <v/>
          </cell>
          <cell r="AS486" t="str">
            <v/>
          </cell>
          <cell r="AT486" t="str">
            <v/>
          </cell>
          <cell r="AU486" t="str">
            <v/>
          </cell>
          <cell r="AW486" t="str">
            <v/>
          </cell>
          <cell r="AX486" t="str">
            <v/>
          </cell>
        </row>
        <row r="487">
          <cell r="G487" t="str">
            <v/>
          </cell>
          <cell r="H487" t="str">
            <v/>
          </cell>
          <cell r="M487" t="str">
            <v/>
          </cell>
          <cell r="N487" t="str">
            <v/>
          </cell>
          <cell r="O487" t="str">
            <v/>
          </cell>
          <cell r="T487" t="str">
            <v/>
          </cell>
          <cell r="U487" t="str">
            <v/>
          </cell>
          <cell r="X487" t="str">
            <v/>
          </cell>
          <cell r="AH487" t="str">
            <v/>
          </cell>
          <cell r="AK487" t="str">
            <v/>
          </cell>
          <cell r="AM487" t="str">
            <v/>
          </cell>
          <cell r="AO487" t="str">
            <v/>
          </cell>
          <cell r="AS487" t="str">
            <v/>
          </cell>
          <cell r="AT487" t="str">
            <v/>
          </cell>
          <cell r="AU487" t="str">
            <v/>
          </cell>
          <cell r="AW487" t="str">
            <v/>
          </cell>
          <cell r="AX487" t="str">
            <v/>
          </cell>
        </row>
        <row r="488">
          <cell r="G488" t="str">
            <v/>
          </cell>
          <cell r="H488" t="str">
            <v/>
          </cell>
          <cell r="M488" t="str">
            <v/>
          </cell>
          <cell r="N488" t="str">
            <v/>
          </cell>
          <cell r="O488" t="str">
            <v/>
          </cell>
          <cell r="T488" t="str">
            <v/>
          </cell>
          <cell r="U488" t="str">
            <v/>
          </cell>
          <cell r="X488" t="str">
            <v/>
          </cell>
          <cell r="AH488" t="str">
            <v/>
          </cell>
          <cell r="AK488" t="str">
            <v/>
          </cell>
          <cell r="AM488" t="str">
            <v/>
          </cell>
          <cell r="AO488" t="str">
            <v/>
          </cell>
          <cell r="AS488" t="str">
            <v/>
          </cell>
          <cell r="AT488" t="str">
            <v/>
          </cell>
          <cell r="AU488" t="str">
            <v/>
          </cell>
          <cell r="AW488" t="str">
            <v/>
          </cell>
          <cell r="AX488" t="str">
            <v/>
          </cell>
        </row>
        <row r="489">
          <cell r="G489" t="str">
            <v/>
          </cell>
          <cell r="H489" t="str">
            <v/>
          </cell>
          <cell r="M489" t="str">
            <v/>
          </cell>
          <cell r="N489" t="str">
            <v/>
          </cell>
          <cell r="O489" t="str">
            <v/>
          </cell>
          <cell r="T489" t="str">
            <v/>
          </cell>
          <cell r="U489" t="str">
            <v/>
          </cell>
          <cell r="X489" t="str">
            <v/>
          </cell>
          <cell r="AH489" t="str">
            <v/>
          </cell>
          <cell r="AK489" t="str">
            <v/>
          </cell>
          <cell r="AM489" t="str">
            <v/>
          </cell>
          <cell r="AO489" t="str">
            <v/>
          </cell>
          <cell r="AS489" t="str">
            <v/>
          </cell>
          <cell r="AT489" t="str">
            <v/>
          </cell>
          <cell r="AU489" t="str">
            <v/>
          </cell>
          <cell r="AW489" t="str">
            <v/>
          </cell>
          <cell r="AX489" t="str">
            <v/>
          </cell>
        </row>
        <row r="490">
          <cell r="G490" t="str">
            <v/>
          </cell>
          <cell r="H490" t="str">
            <v/>
          </cell>
          <cell r="M490" t="str">
            <v/>
          </cell>
          <cell r="N490" t="str">
            <v/>
          </cell>
          <cell r="O490" t="str">
            <v/>
          </cell>
          <cell r="T490" t="str">
            <v/>
          </cell>
          <cell r="U490" t="str">
            <v/>
          </cell>
          <cell r="X490" t="str">
            <v/>
          </cell>
          <cell r="AH490" t="str">
            <v/>
          </cell>
          <cell r="AK490" t="str">
            <v/>
          </cell>
          <cell r="AM490" t="str">
            <v/>
          </cell>
          <cell r="AO490" t="str">
            <v/>
          </cell>
          <cell r="AS490" t="str">
            <v/>
          </cell>
          <cell r="AT490" t="str">
            <v/>
          </cell>
          <cell r="AU490" t="str">
            <v/>
          </cell>
          <cell r="AW490" t="str">
            <v/>
          </cell>
          <cell r="AX490" t="str">
            <v/>
          </cell>
        </row>
        <row r="491">
          <cell r="G491" t="str">
            <v/>
          </cell>
          <cell r="H491" t="str">
            <v/>
          </cell>
          <cell r="M491" t="str">
            <v/>
          </cell>
          <cell r="N491" t="str">
            <v/>
          </cell>
          <cell r="O491" t="str">
            <v/>
          </cell>
          <cell r="T491" t="str">
            <v/>
          </cell>
          <cell r="U491" t="str">
            <v/>
          </cell>
          <cell r="X491" t="str">
            <v/>
          </cell>
          <cell r="AH491" t="str">
            <v/>
          </cell>
          <cell r="AK491" t="str">
            <v/>
          </cell>
          <cell r="AM491" t="str">
            <v/>
          </cell>
          <cell r="AO491" t="str">
            <v/>
          </cell>
          <cell r="AS491" t="str">
            <v/>
          </cell>
          <cell r="AT491" t="str">
            <v/>
          </cell>
          <cell r="AU491" t="str">
            <v/>
          </cell>
          <cell r="AW491" t="str">
            <v/>
          </cell>
          <cell r="AX491" t="str">
            <v/>
          </cell>
        </row>
        <row r="492">
          <cell r="G492" t="str">
            <v/>
          </cell>
          <cell r="H492" t="str">
            <v/>
          </cell>
          <cell r="M492" t="str">
            <v/>
          </cell>
          <cell r="N492" t="str">
            <v/>
          </cell>
          <cell r="O492" t="str">
            <v/>
          </cell>
          <cell r="T492" t="str">
            <v/>
          </cell>
          <cell r="U492" t="str">
            <v/>
          </cell>
          <cell r="X492" t="str">
            <v/>
          </cell>
          <cell r="AH492" t="str">
            <v/>
          </cell>
          <cell r="AK492" t="str">
            <v/>
          </cell>
          <cell r="AM492" t="str">
            <v/>
          </cell>
          <cell r="AO492" t="str">
            <v/>
          </cell>
          <cell r="AS492" t="str">
            <v/>
          </cell>
          <cell r="AT492" t="str">
            <v/>
          </cell>
          <cell r="AU492" t="str">
            <v/>
          </cell>
          <cell r="AW492" t="str">
            <v/>
          </cell>
          <cell r="AX492" t="str">
            <v/>
          </cell>
        </row>
        <row r="493">
          <cell r="G493" t="str">
            <v/>
          </cell>
          <cell r="H493" t="str">
            <v/>
          </cell>
          <cell r="M493" t="str">
            <v/>
          </cell>
          <cell r="N493" t="str">
            <v/>
          </cell>
          <cell r="O493" t="str">
            <v/>
          </cell>
          <cell r="T493" t="str">
            <v/>
          </cell>
          <cell r="U493" t="str">
            <v/>
          </cell>
          <cell r="X493" t="str">
            <v/>
          </cell>
          <cell r="AH493" t="str">
            <v/>
          </cell>
          <cell r="AK493" t="str">
            <v/>
          </cell>
          <cell r="AM493" t="str">
            <v/>
          </cell>
          <cell r="AO493" t="str">
            <v/>
          </cell>
          <cell r="AS493" t="str">
            <v/>
          </cell>
          <cell r="AT493" t="str">
            <v/>
          </cell>
          <cell r="AU493" t="str">
            <v/>
          </cell>
          <cell r="AW493" t="str">
            <v/>
          </cell>
          <cell r="AX493" t="str">
            <v/>
          </cell>
        </row>
        <row r="494">
          <cell r="G494" t="str">
            <v/>
          </cell>
          <cell r="H494" t="str">
            <v/>
          </cell>
          <cell r="M494" t="str">
            <v/>
          </cell>
          <cell r="N494" t="str">
            <v/>
          </cell>
          <cell r="O494" t="str">
            <v/>
          </cell>
          <cell r="T494" t="str">
            <v/>
          </cell>
          <cell r="U494" t="str">
            <v/>
          </cell>
          <cell r="X494" t="str">
            <v/>
          </cell>
          <cell r="AH494" t="str">
            <v/>
          </cell>
          <cell r="AK494" t="str">
            <v/>
          </cell>
          <cell r="AM494" t="str">
            <v/>
          </cell>
          <cell r="AO494" t="str">
            <v/>
          </cell>
          <cell r="AS494" t="str">
            <v/>
          </cell>
          <cell r="AT494" t="str">
            <v/>
          </cell>
          <cell r="AU494" t="str">
            <v/>
          </cell>
          <cell r="AW494" t="str">
            <v/>
          </cell>
          <cell r="AX494" t="str">
            <v/>
          </cell>
        </row>
        <row r="495">
          <cell r="G495" t="str">
            <v/>
          </cell>
          <cell r="H495" t="str">
            <v/>
          </cell>
          <cell r="M495" t="str">
            <v/>
          </cell>
          <cell r="N495" t="str">
            <v/>
          </cell>
          <cell r="O495" t="str">
            <v/>
          </cell>
          <cell r="T495" t="str">
            <v/>
          </cell>
          <cell r="U495" t="str">
            <v/>
          </cell>
          <cell r="X495" t="str">
            <v/>
          </cell>
          <cell r="AH495" t="str">
            <v/>
          </cell>
          <cell r="AK495" t="str">
            <v/>
          </cell>
          <cell r="AM495" t="str">
            <v/>
          </cell>
          <cell r="AO495" t="str">
            <v/>
          </cell>
          <cell r="AS495" t="str">
            <v/>
          </cell>
          <cell r="AT495" t="str">
            <v/>
          </cell>
          <cell r="AU495" t="str">
            <v/>
          </cell>
          <cell r="AW495" t="str">
            <v/>
          </cell>
          <cell r="AX495" t="str">
            <v/>
          </cell>
        </row>
        <row r="496">
          <cell r="G496" t="str">
            <v/>
          </cell>
          <cell r="H496" t="str">
            <v/>
          </cell>
          <cell r="M496" t="str">
            <v/>
          </cell>
          <cell r="N496" t="str">
            <v/>
          </cell>
          <cell r="O496" t="str">
            <v/>
          </cell>
          <cell r="T496" t="str">
            <v/>
          </cell>
          <cell r="U496" t="str">
            <v/>
          </cell>
          <cell r="X496" t="str">
            <v/>
          </cell>
          <cell r="AH496" t="str">
            <v/>
          </cell>
          <cell r="AK496" t="str">
            <v/>
          </cell>
          <cell r="AM496" t="str">
            <v/>
          </cell>
          <cell r="AO496" t="str">
            <v/>
          </cell>
          <cell r="AS496" t="str">
            <v/>
          </cell>
          <cell r="AT496" t="str">
            <v/>
          </cell>
          <cell r="AU496" t="str">
            <v/>
          </cell>
          <cell r="AW496" t="str">
            <v/>
          </cell>
          <cell r="AX496" t="str">
            <v/>
          </cell>
        </row>
        <row r="497">
          <cell r="G497" t="str">
            <v/>
          </cell>
          <cell r="H497" t="str">
            <v/>
          </cell>
          <cell r="M497" t="str">
            <v/>
          </cell>
          <cell r="N497" t="str">
            <v/>
          </cell>
          <cell r="O497" t="str">
            <v/>
          </cell>
          <cell r="T497" t="str">
            <v/>
          </cell>
          <cell r="U497" t="str">
            <v/>
          </cell>
          <cell r="X497" t="str">
            <v/>
          </cell>
          <cell r="AH497" t="str">
            <v/>
          </cell>
          <cell r="AK497" t="str">
            <v/>
          </cell>
          <cell r="AM497" t="str">
            <v/>
          </cell>
          <cell r="AO497" t="str">
            <v/>
          </cell>
          <cell r="AS497" t="str">
            <v/>
          </cell>
          <cell r="AT497" t="str">
            <v/>
          </cell>
          <cell r="AU497" t="str">
            <v/>
          </cell>
          <cell r="AW497" t="str">
            <v/>
          </cell>
          <cell r="AX497" t="str">
            <v/>
          </cell>
        </row>
        <row r="498">
          <cell r="G498" t="str">
            <v/>
          </cell>
          <cell r="H498" t="str">
            <v/>
          </cell>
          <cell r="M498" t="str">
            <v/>
          </cell>
          <cell r="N498" t="str">
            <v/>
          </cell>
          <cell r="O498" t="str">
            <v/>
          </cell>
          <cell r="T498" t="str">
            <v/>
          </cell>
          <cell r="U498" t="str">
            <v/>
          </cell>
          <cell r="X498" t="str">
            <v/>
          </cell>
          <cell r="AH498" t="str">
            <v/>
          </cell>
          <cell r="AK498" t="str">
            <v/>
          </cell>
          <cell r="AM498" t="str">
            <v/>
          </cell>
          <cell r="AO498" t="str">
            <v/>
          </cell>
          <cell r="AS498" t="str">
            <v/>
          </cell>
          <cell r="AT498" t="str">
            <v/>
          </cell>
          <cell r="AU498" t="str">
            <v/>
          </cell>
          <cell r="AW498" t="str">
            <v/>
          </cell>
          <cell r="AX498" t="str">
            <v/>
          </cell>
        </row>
        <row r="499">
          <cell r="G499" t="str">
            <v/>
          </cell>
          <cell r="H499" t="str">
            <v/>
          </cell>
          <cell r="M499" t="str">
            <v/>
          </cell>
          <cell r="N499" t="str">
            <v/>
          </cell>
          <cell r="O499" t="str">
            <v/>
          </cell>
          <cell r="T499" t="str">
            <v/>
          </cell>
          <cell r="U499" t="str">
            <v/>
          </cell>
          <cell r="X499" t="str">
            <v/>
          </cell>
          <cell r="AH499" t="str">
            <v/>
          </cell>
          <cell r="AK499" t="str">
            <v/>
          </cell>
          <cell r="AM499" t="str">
            <v/>
          </cell>
          <cell r="AO499" t="str">
            <v/>
          </cell>
          <cell r="AS499" t="str">
            <v/>
          </cell>
          <cell r="AT499" t="str">
            <v/>
          </cell>
          <cell r="AU499" t="str">
            <v/>
          </cell>
          <cell r="AW499" t="str">
            <v/>
          </cell>
          <cell r="AX499" t="str">
            <v/>
          </cell>
        </row>
        <row r="500">
          <cell r="G500" t="str">
            <v/>
          </cell>
          <cell r="H500" t="str">
            <v/>
          </cell>
          <cell r="M500" t="str">
            <v/>
          </cell>
          <cell r="N500" t="str">
            <v/>
          </cell>
          <cell r="O500" t="str">
            <v/>
          </cell>
          <cell r="T500" t="str">
            <v/>
          </cell>
          <cell r="U500" t="str">
            <v/>
          </cell>
          <cell r="X500" t="str">
            <v/>
          </cell>
          <cell r="AH500" t="str">
            <v/>
          </cell>
          <cell r="AK500" t="str">
            <v/>
          </cell>
          <cell r="AM500" t="str">
            <v/>
          </cell>
          <cell r="AO500" t="str">
            <v/>
          </cell>
          <cell r="AS500" t="str">
            <v/>
          </cell>
          <cell r="AT500" t="str">
            <v/>
          </cell>
          <cell r="AU500" t="str">
            <v/>
          </cell>
          <cell r="AW500" t="str">
            <v/>
          </cell>
          <cell r="AX500" t="str">
            <v/>
          </cell>
        </row>
        <row r="501">
          <cell r="G501" t="str">
            <v/>
          </cell>
          <cell r="H501" t="str">
            <v/>
          </cell>
          <cell r="M501" t="str">
            <v/>
          </cell>
          <cell r="N501" t="str">
            <v/>
          </cell>
          <cell r="O501" t="str">
            <v/>
          </cell>
          <cell r="T501" t="str">
            <v/>
          </cell>
          <cell r="U501" t="str">
            <v/>
          </cell>
          <cell r="X501" t="str">
            <v/>
          </cell>
          <cell r="AH501" t="str">
            <v/>
          </cell>
          <cell r="AK501" t="str">
            <v/>
          </cell>
          <cell r="AM501" t="str">
            <v/>
          </cell>
          <cell r="AO501" t="str">
            <v/>
          </cell>
          <cell r="AS501" t="str">
            <v/>
          </cell>
          <cell r="AT501" t="str">
            <v/>
          </cell>
          <cell r="AU501" t="str">
            <v/>
          </cell>
          <cell r="AW501" t="str">
            <v/>
          </cell>
          <cell r="AX501" t="str">
            <v/>
          </cell>
        </row>
        <row r="502">
          <cell r="G502" t="str">
            <v/>
          </cell>
          <cell r="H502" t="str">
            <v/>
          </cell>
          <cell r="M502" t="str">
            <v/>
          </cell>
          <cell r="N502" t="str">
            <v/>
          </cell>
          <cell r="O502" t="str">
            <v/>
          </cell>
          <cell r="T502" t="str">
            <v/>
          </cell>
          <cell r="U502" t="str">
            <v/>
          </cell>
          <cell r="X502" t="str">
            <v/>
          </cell>
          <cell r="AH502" t="str">
            <v/>
          </cell>
          <cell r="AK502" t="str">
            <v/>
          </cell>
          <cell r="AM502" t="str">
            <v/>
          </cell>
          <cell r="AO502" t="str">
            <v/>
          </cell>
          <cell r="AS502" t="str">
            <v/>
          </cell>
          <cell r="AT502" t="str">
            <v/>
          </cell>
          <cell r="AU502" t="str">
            <v/>
          </cell>
          <cell r="AW502" t="str">
            <v/>
          </cell>
          <cell r="AX502" t="str">
            <v/>
          </cell>
        </row>
        <row r="503">
          <cell r="G503" t="str">
            <v/>
          </cell>
          <cell r="H503" t="str">
            <v/>
          </cell>
          <cell r="M503" t="str">
            <v/>
          </cell>
          <cell r="N503" t="str">
            <v/>
          </cell>
          <cell r="O503" t="str">
            <v/>
          </cell>
          <cell r="T503" t="str">
            <v/>
          </cell>
          <cell r="U503" t="str">
            <v/>
          </cell>
          <cell r="X503" t="str">
            <v/>
          </cell>
          <cell r="AH503" t="str">
            <v/>
          </cell>
          <cell r="AK503" t="str">
            <v/>
          </cell>
          <cell r="AM503" t="str">
            <v/>
          </cell>
          <cell r="AO503" t="str">
            <v/>
          </cell>
          <cell r="AS503" t="str">
            <v/>
          </cell>
          <cell r="AT503" t="str">
            <v/>
          </cell>
          <cell r="AU503" t="str">
            <v/>
          </cell>
          <cell r="AW503" t="str">
            <v/>
          </cell>
          <cell r="AX503" t="str">
            <v/>
          </cell>
        </row>
        <row r="504">
          <cell r="G504" t="str">
            <v/>
          </cell>
          <cell r="H504" t="str">
            <v/>
          </cell>
          <cell r="M504" t="str">
            <v/>
          </cell>
          <cell r="N504" t="str">
            <v/>
          </cell>
          <cell r="O504" t="str">
            <v/>
          </cell>
          <cell r="T504" t="str">
            <v/>
          </cell>
          <cell r="U504" t="str">
            <v/>
          </cell>
          <cell r="X504" t="str">
            <v/>
          </cell>
          <cell r="AH504" t="str">
            <v/>
          </cell>
          <cell r="AK504" t="str">
            <v/>
          </cell>
          <cell r="AM504" t="str">
            <v/>
          </cell>
          <cell r="AO504" t="str">
            <v/>
          </cell>
          <cell r="AS504" t="str">
            <v/>
          </cell>
          <cell r="AT504" t="str">
            <v/>
          </cell>
          <cell r="AU504" t="str">
            <v/>
          </cell>
          <cell r="AW504" t="str">
            <v/>
          </cell>
          <cell r="AX504" t="str">
            <v/>
          </cell>
        </row>
        <row r="505">
          <cell r="G505" t="str">
            <v/>
          </cell>
          <cell r="H505" t="str">
            <v/>
          </cell>
          <cell r="M505" t="str">
            <v/>
          </cell>
          <cell r="N505" t="str">
            <v/>
          </cell>
          <cell r="O505" t="str">
            <v/>
          </cell>
          <cell r="T505" t="str">
            <v/>
          </cell>
          <cell r="U505" t="str">
            <v/>
          </cell>
          <cell r="X505" t="str">
            <v/>
          </cell>
          <cell r="AH505" t="str">
            <v/>
          </cell>
          <cell r="AK505" t="str">
            <v/>
          </cell>
          <cell r="AM505" t="str">
            <v/>
          </cell>
          <cell r="AO505" t="str">
            <v/>
          </cell>
          <cell r="AS505" t="str">
            <v/>
          </cell>
          <cell r="AT505" t="str">
            <v/>
          </cell>
          <cell r="AU505" t="str">
            <v/>
          </cell>
          <cell r="AW505" t="str">
            <v/>
          </cell>
          <cell r="AX505" t="str">
            <v/>
          </cell>
        </row>
        <row r="506">
          <cell r="G506" t="str">
            <v/>
          </cell>
          <cell r="H506" t="str">
            <v/>
          </cell>
          <cell r="M506" t="str">
            <v/>
          </cell>
          <cell r="N506" t="str">
            <v/>
          </cell>
          <cell r="O506" t="str">
            <v/>
          </cell>
          <cell r="T506" t="str">
            <v/>
          </cell>
          <cell r="U506" t="str">
            <v/>
          </cell>
          <cell r="X506" t="str">
            <v/>
          </cell>
          <cell r="AH506" t="str">
            <v/>
          </cell>
          <cell r="AK506" t="str">
            <v/>
          </cell>
          <cell r="AM506" t="str">
            <v/>
          </cell>
          <cell r="AO506" t="str">
            <v/>
          </cell>
          <cell r="AS506" t="str">
            <v/>
          </cell>
          <cell r="AT506" t="str">
            <v/>
          </cell>
          <cell r="AU506" t="str">
            <v/>
          </cell>
          <cell r="AW506" t="str">
            <v/>
          </cell>
          <cell r="AX506" t="str">
            <v/>
          </cell>
        </row>
        <row r="507">
          <cell r="G507" t="str">
            <v/>
          </cell>
          <cell r="H507" t="str">
            <v/>
          </cell>
          <cell r="M507" t="str">
            <v/>
          </cell>
          <cell r="N507" t="str">
            <v/>
          </cell>
          <cell r="O507" t="str">
            <v/>
          </cell>
          <cell r="T507" t="str">
            <v/>
          </cell>
          <cell r="U507" t="str">
            <v/>
          </cell>
          <cell r="X507" t="str">
            <v/>
          </cell>
          <cell r="AH507" t="str">
            <v/>
          </cell>
          <cell r="AK507" t="str">
            <v/>
          </cell>
          <cell r="AM507" t="str">
            <v/>
          </cell>
          <cell r="AO507" t="str">
            <v/>
          </cell>
          <cell r="AS507" t="str">
            <v/>
          </cell>
          <cell r="AT507" t="str">
            <v/>
          </cell>
          <cell r="AU507" t="str">
            <v/>
          </cell>
          <cell r="AW507" t="str">
            <v/>
          </cell>
          <cell r="AX507" t="str">
            <v/>
          </cell>
        </row>
        <row r="508">
          <cell r="G508" t="str">
            <v/>
          </cell>
          <cell r="H508" t="str">
            <v/>
          </cell>
          <cell r="M508" t="str">
            <v/>
          </cell>
          <cell r="N508" t="str">
            <v/>
          </cell>
          <cell r="O508" t="str">
            <v/>
          </cell>
          <cell r="T508" t="str">
            <v/>
          </cell>
          <cell r="U508" t="str">
            <v/>
          </cell>
          <cell r="X508" t="str">
            <v/>
          </cell>
          <cell r="AH508" t="str">
            <v/>
          </cell>
          <cell r="AK508" t="str">
            <v/>
          </cell>
          <cell r="AM508" t="str">
            <v/>
          </cell>
          <cell r="AO508" t="str">
            <v/>
          </cell>
          <cell r="AS508" t="str">
            <v/>
          </cell>
          <cell r="AT508" t="str">
            <v/>
          </cell>
          <cell r="AU508" t="str">
            <v/>
          </cell>
          <cell r="AW508" t="str">
            <v/>
          </cell>
          <cell r="AX508" t="str">
            <v/>
          </cell>
        </row>
        <row r="509">
          <cell r="G509" t="str">
            <v/>
          </cell>
          <cell r="H509" t="str">
            <v/>
          </cell>
          <cell r="M509" t="str">
            <v/>
          </cell>
          <cell r="N509" t="str">
            <v/>
          </cell>
          <cell r="O509" t="str">
            <v/>
          </cell>
          <cell r="T509" t="str">
            <v/>
          </cell>
          <cell r="U509" t="str">
            <v/>
          </cell>
          <cell r="X509" t="str">
            <v/>
          </cell>
          <cell r="AH509" t="str">
            <v/>
          </cell>
          <cell r="AK509" t="str">
            <v/>
          </cell>
          <cell r="AM509" t="str">
            <v/>
          </cell>
          <cell r="AO509" t="str">
            <v/>
          </cell>
          <cell r="AS509" t="str">
            <v/>
          </cell>
          <cell r="AT509" t="str">
            <v/>
          </cell>
          <cell r="AU509" t="str">
            <v/>
          </cell>
          <cell r="AW509" t="str">
            <v/>
          </cell>
          <cell r="AX509" t="str">
            <v/>
          </cell>
        </row>
        <row r="510">
          <cell r="G510" t="str">
            <v/>
          </cell>
          <cell r="H510" t="str">
            <v/>
          </cell>
          <cell r="M510" t="str">
            <v/>
          </cell>
          <cell r="N510" t="str">
            <v/>
          </cell>
          <cell r="O510" t="str">
            <v/>
          </cell>
          <cell r="T510" t="str">
            <v/>
          </cell>
          <cell r="U510" t="str">
            <v/>
          </cell>
          <cell r="X510" t="str">
            <v/>
          </cell>
          <cell r="AH510" t="str">
            <v/>
          </cell>
          <cell r="AK510" t="str">
            <v/>
          </cell>
          <cell r="AM510" t="str">
            <v/>
          </cell>
          <cell r="AO510" t="str">
            <v/>
          </cell>
          <cell r="AS510" t="str">
            <v/>
          </cell>
          <cell r="AT510" t="str">
            <v/>
          </cell>
          <cell r="AU510" t="str">
            <v/>
          </cell>
          <cell r="AW510" t="str">
            <v/>
          </cell>
          <cell r="AX510" t="str">
            <v/>
          </cell>
        </row>
        <row r="511">
          <cell r="G511" t="str">
            <v/>
          </cell>
          <cell r="H511" t="str">
            <v/>
          </cell>
          <cell r="M511" t="str">
            <v/>
          </cell>
          <cell r="N511" t="str">
            <v/>
          </cell>
          <cell r="O511" t="str">
            <v/>
          </cell>
          <cell r="T511" t="str">
            <v/>
          </cell>
          <cell r="U511" t="str">
            <v/>
          </cell>
          <cell r="X511" t="str">
            <v/>
          </cell>
          <cell r="AH511" t="str">
            <v/>
          </cell>
          <cell r="AK511" t="str">
            <v/>
          </cell>
          <cell r="AM511" t="str">
            <v/>
          </cell>
          <cell r="AO511" t="str">
            <v/>
          </cell>
          <cell r="AS511" t="str">
            <v/>
          </cell>
          <cell r="AT511" t="str">
            <v/>
          </cell>
          <cell r="AU511" t="str">
            <v/>
          </cell>
          <cell r="AW511" t="str">
            <v/>
          </cell>
          <cell r="AX511" t="str">
            <v/>
          </cell>
        </row>
        <row r="512">
          <cell r="G512" t="str">
            <v/>
          </cell>
          <cell r="H512" t="str">
            <v/>
          </cell>
          <cell r="M512" t="str">
            <v/>
          </cell>
          <cell r="N512" t="str">
            <v/>
          </cell>
          <cell r="O512" t="str">
            <v/>
          </cell>
          <cell r="T512" t="str">
            <v/>
          </cell>
          <cell r="U512" t="str">
            <v/>
          </cell>
          <cell r="X512" t="str">
            <v/>
          </cell>
          <cell r="AH512" t="str">
            <v/>
          </cell>
          <cell r="AK512" t="str">
            <v/>
          </cell>
          <cell r="AM512" t="str">
            <v/>
          </cell>
          <cell r="AO512" t="str">
            <v/>
          </cell>
          <cell r="AS512" t="str">
            <v/>
          </cell>
          <cell r="AT512" t="str">
            <v/>
          </cell>
          <cell r="AU512" t="str">
            <v/>
          </cell>
          <cell r="AW512" t="str">
            <v/>
          </cell>
          <cell r="AX512" t="str">
            <v/>
          </cell>
        </row>
        <row r="513">
          <cell r="G513" t="str">
            <v/>
          </cell>
          <cell r="H513" t="str">
            <v/>
          </cell>
          <cell r="M513" t="str">
            <v/>
          </cell>
          <cell r="N513" t="str">
            <v/>
          </cell>
          <cell r="O513" t="str">
            <v/>
          </cell>
          <cell r="T513" t="str">
            <v/>
          </cell>
          <cell r="U513" t="str">
            <v/>
          </cell>
          <cell r="X513" t="str">
            <v/>
          </cell>
          <cell r="AH513" t="str">
            <v/>
          </cell>
          <cell r="AK513" t="str">
            <v/>
          </cell>
          <cell r="AM513" t="str">
            <v/>
          </cell>
          <cell r="AO513" t="str">
            <v/>
          </cell>
          <cell r="AS513" t="str">
            <v/>
          </cell>
          <cell r="AT513" t="str">
            <v/>
          </cell>
          <cell r="AU513" t="str">
            <v/>
          </cell>
          <cell r="AW513" t="str">
            <v/>
          </cell>
          <cell r="AX513" t="str">
            <v/>
          </cell>
        </row>
        <row r="514">
          <cell r="G514" t="str">
            <v/>
          </cell>
          <cell r="H514" t="str">
            <v/>
          </cell>
          <cell r="M514" t="str">
            <v/>
          </cell>
          <cell r="N514" t="str">
            <v/>
          </cell>
          <cell r="O514" t="str">
            <v/>
          </cell>
          <cell r="T514" t="str">
            <v/>
          </cell>
          <cell r="U514" t="str">
            <v/>
          </cell>
          <cell r="X514" t="str">
            <v/>
          </cell>
          <cell r="AH514" t="str">
            <v/>
          </cell>
          <cell r="AK514" t="str">
            <v/>
          </cell>
          <cell r="AM514" t="str">
            <v/>
          </cell>
          <cell r="AO514" t="str">
            <v/>
          </cell>
          <cell r="AS514" t="str">
            <v/>
          </cell>
          <cell r="AT514" t="str">
            <v/>
          </cell>
          <cell r="AU514" t="str">
            <v/>
          </cell>
          <cell r="AW514" t="str">
            <v/>
          </cell>
          <cell r="AX514" t="str">
            <v/>
          </cell>
        </row>
        <row r="515">
          <cell r="G515" t="str">
            <v/>
          </cell>
          <cell r="H515" t="str">
            <v/>
          </cell>
          <cell r="M515" t="str">
            <v/>
          </cell>
          <cell r="N515" t="str">
            <v/>
          </cell>
          <cell r="O515" t="str">
            <v/>
          </cell>
          <cell r="T515" t="str">
            <v/>
          </cell>
          <cell r="U515" t="str">
            <v/>
          </cell>
          <cell r="X515" t="str">
            <v/>
          </cell>
          <cell r="AH515" t="str">
            <v/>
          </cell>
          <cell r="AK515" t="str">
            <v/>
          </cell>
          <cell r="AM515" t="str">
            <v/>
          </cell>
          <cell r="AO515" t="str">
            <v/>
          </cell>
          <cell r="AS515" t="str">
            <v/>
          </cell>
          <cell r="AT515" t="str">
            <v/>
          </cell>
          <cell r="AU515" t="str">
            <v/>
          </cell>
          <cell r="AW515" t="str">
            <v/>
          </cell>
          <cell r="AX515" t="str">
            <v/>
          </cell>
        </row>
        <row r="516">
          <cell r="G516" t="str">
            <v/>
          </cell>
          <cell r="H516" t="str">
            <v/>
          </cell>
          <cell r="M516" t="str">
            <v/>
          </cell>
          <cell r="N516" t="str">
            <v/>
          </cell>
          <cell r="O516" t="str">
            <v/>
          </cell>
          <cell r="T516" t="str">
            <v/>
          </cell>
          <cell r="U516" t="str">
            <v/>
          </cell>
          <cell r="X516" t="str">
            <v/>
          </cell>
          <cell r="AH516" t="str">
            <v/>
          </cell>
          <cell r="AK516" t="str">
            <v/>
          </cell>
          <cell r="AM516" t="str">
            <v/>
          </cell>
          <cell r="AO516" t="str">
            <v/>
          </cell>
          <cell r="AS516" t="str">
            <v/>
          </cell>
          <cell r="AT516" t="str">
            <v/>
          </cell>
          <cell r="AU516" t="str">
            <v/>
          </cell>
          <cell r="AW516" t="str">
            <v/>
          </cell>
          <cell r="AX516" t="str">
            <v/>
          </cell>
        </row>
        <row r="517">
          <cell r="G517" t="str">
            <v/>
          </cell>
          <cell r="H517" t="str">
            <v/>
          </cell>
          <cell r="M517" t="str">
            <v/>
          </cell>
          <cell r="N517" t="str">
            <v/>
          </cell>
          <cell r="O517" t="str">
            <v/>
          </cell>
          <cell r="T517" t="str">
            <v/>
          </cell>
          <cell r="U517" t="str">
            <v/>
          </cell>
          <cell r="X517" t="str">
            <v/>
          </cell>
          <cell r="AH517" t="str">
            <v/>
          </cell>
          <cell r="AK517" t="str">
            <v/>
          </cell>
          <cell r="AM517" t="str">
            <v/>
          </cell>
          <cell r="AO517" t="str">
            <v/>
          </cell>
          <cell r="AS517" t="str">
            <v/>
          </cell>
          <cell r="AT517" t="str">
            <v/>
          </cell>
          <cell r="AU517" t="str">
            <v/>
          </cell>
          <cell r="AW517" t="str">
            <v/>
          </cell>
          <cell r="AX517" t="str">
            <v/>
          </cell>
        </row>
        <row r="518">
          <cell r="G518" t="str">
            <v/>
          </cell>
          <cell r="H518" t="str">
            <v/>
          </cell>
          <cell r="M518" t="str">
            <v/>
          </cell>
          <cell r="N518" t="str">
            <v/>
          </cell>
          <cell r="O518" t="str">
            <v/>
          </cell>
          <cell r="T518" t="str">
            <v/>
          </cell>
          <cell r="U518" t="str">
            <v/>
          </cell>
          <cell r="X518" t="str">
            <v/>
          </cell>
          <cell r="AH518" t="str">
            <v/>
          </cell>
          <cell r="AK518" t="str">
            <v/>
          </cell>
          <cell r="AM518" t="str">
            <v/>
          </cell>
          <cell r="AO518" t="str">
            <v/>
          </cell>
          <cell r="AS518" t="str">
            <v/>
          </cell>
          <cell r="AT518" t="str">
            <v/>
          </cell>
          <cell r="AU518" t="str">
            <v/>
          </cell>
          <cell r="AW518" t="str">
            <v/>
          </cell>
          <cell r="AX518" t="str">
            <v/>
          </cell>
        </row>
        <row r="519">
          <cell r="G519" t="str">
            <v/>
          </cell>
          <cell r="H519" t="str">
            <v/>
          </cell>
          <cell r="M519" t="str">
            <v/>
          </cell>
          <cell r="N519" t="str">
            <v/>
          </cell>
          <cell r="O519" t="str">
            <v/>
          </cell>
          <cell r="T519" t="str">
            <v/>
          </cell>
          <cell r="U519" t="str">
            <v/>
          </cell>
          <cell r="X519" t="str">
            <v/>
          </cell>
          <cell r="AH519" t="str">
            <v/>
          </cell>
          <cell r="AK519" t="str">
            <v/>
          </cell>
          <cell r="AM519" t="str">
            <v/>
          </cell>
          <cell r="AO519" t="str">
            <v/>
          </cell>
          <cell r="AS519" t="str">
            <v/>
          </cell>
          <cell r="AT519" t="str">
            <v/>
          </cell>
          <cell r="AU519" t="str">
            <v/>
          </cell>
          <cell r="AW519" t="str">
            <v/>
          </cell>
          <cell r="AX519" t="str">
            <v/>
          </cell>
        </row>
        <row r="520">
          <cell r="G520" t="str">
            <v/>
          </cell>
          <cell r="H520" t="str">
            <v/>
          </cell>
          <cell r="M520" t="str">
            <v/>
          </cell>
          <cell r="N520" t="str">
            <v/>
          </cell>
          <cell r="O520" t="str">
            <v/>
          </cell>
          <cell r="T520" t="str">
            <v/>
          </cell>
          <cell r="U520" t="str">
            <v/>
          </cell>
          <cell r="X520" t="str">
            <v/>
          </cell>
          <cell r="AH520" t="str">
            <v/>
          </cell>
          <cell r="AK520" t="str">
            <v/>
          </cell>
          <cell r="AM520" t="str">
            <v/>
          </cell>
          <cell r="AO520" t="str">
            <v/>
          </cell>
          <cell r="AS520" t="str">
            <v/>
          </cell>
          <cell r="AT520" t="str">
            <v/>
          </cell>
          <cell r="AU520" t="str">
            <v/>
          </cell>
          <cell r="AW520" t="str">
            <v/>
          </cell>
          <cell r="AX520" t="str">
            <v/>
          </cell>
        </row>
        <row r="521">
          <cell r="G521" t="str">
            <v/>
          </cell>
          <cell r="H521" t="str">
            <v/>
          </cell>
          <cell r="M521" t="str">
            <v/>
          </cell>
          <cell r="N521" t="str">
            <v/>
          </cell>
          <cell r="O521" t="str">
            <v/>
          </cell>
          <cell r="T521" t="str">
            <v/>
          </cell>
          <cell r="U521" t="str">
            <v/>
          </cell>
          <cell r="X521" t="str">
            <v/>
          </cell>
          <cell r="AH521" t="str">
            <v/>
          </cell>
          <cell r="AK521" t="str">
            <v/>
          </cell>
          <cell r="AM521" t="str">
            <v/>
          </cell>
          <cell r="AO521" t="str">
            <v/>
          </cell>
          <cell r="AS521" t="str">
            <v/>
          </cell>
          <cell r="AT521" t="str">
            <v/>
          </cell>
          <cell r="AU521" t="str">
            <v/>
          </cell>
          <cell r="AW521" t="str">
            <v/>
          </cell>
          <cell r="AX521" t="str">
            <v/>
          </cell>
        </row>
        <row r="522">
          <cell r="G522" t="str">
            <v/>
          </cell>
          <cell r="H522" t="str">
            <v/>
          </cell>
          <cell r="M522" t="str">
            <v/>
          </cell>
          <cell r="N522" t="str">
            <v/>
          </cell>
          <cell r="O522" t="str">
            <v/>
          </cell>
          <cell r="T522" t="str">
            <v/>
          </cell>
          <cell r="U522" t="str">
            <v/>
          </cell>
          <cell r="X522" t="str">
            <v/>
          </cell>
          <cell r="AH522" t="str">
            <v/>
          </cell>
          <cell r="AK522" t="str">
            <v/>
          </cell>
          <cell r="AM522" t="str">
            <v/>
          </cell>
          <cell r="AO522" t="str">
            <v/>
          </cell>
          <cell r="AS522" t="str">
            <v/>
          </cell>
          <cell r="AT522" t="str">
            <v/>
          </cell>
          <cell r="AU522" t="str">
            <v/>
          </cell>
          <cell r="AW522" t="str">
            <v/>
          </cell>
          <cell r="AX522" t="str">
            <v/>
          </cell>
        </row>
        <row r="523">
          <cell r="G523" t="str">
            <v/>
          </cell>
          <cell r="H523" t="str">
            <v/>
          </cell>
          <cell r="M523" t="str">
            <v/>
          </cell>
          <cell r="N523" t="str">
            <v/>
          </cell>
          <cell r="O523" t="str">
            <v/>
          </cell>
          <cell r="T523" t="str">
            <v/>
          </cell>
          <cell r="U523" t="str">
            <v/>
          </cell>
          <cell r="X523" t="str">
            <v/>
          </cell>
          <cell r="AH523" t="str">
            <v/>
          </cell>
          <cell r="AK523" t="str">
            <v/>
          </cell>
          <cell r="AM523" t="str">
            <v/>
          </cell>
          <cell r="AO523" t="str">
            <v/>
          </cell>
          <cell r="AS523" t="str">
            <v/>
          </cell>
          <cell r="AT523" t="str">
            <v/>
          </cell>
          <cell r="AU523" t="str">
            <v/>
          </cell>
          <cell r="AW523" t="str">
            <v/>
          </cell>
          <cell r="AX523" t="str">
            <v/>
          </cell>
        </row>
        <row r="524">
          <cell r="G524" t="str">
            <v/>
          </cell>
          <cell r="H524" t="str">
            <v/>
          </cell>
          <cell r="M524" t="str">
            <v/>
          </cell>
          <cell r="N524" t="str">
            <v/>
          </cell>
          <cell r="O524" t="str">
            <v/>
          </cell>
          <cell r="T524" t="str">
            <v/>
          </cell>
          <cell r="U524" t="str">
            <v/>
          </cell>
          <cell r="X524" t="str">
            <v/>
          </cell>
          <cell r="AH524" t="str">
            <v/>
          </cell>
          <cell r="AK524" t="str">
            <v/>
          </cell>
          <cell r="AM524" t="str">
            <v/>
          </cell>
          <cell r="AO524" t="str">
            <v/>
          </cell>
          <cell r="AS524" t="str">
            <v/>
          </cell>
          <cell r="AT524" t="str">
            <v/>
          </cell>
          <cell r="AU524" t="str">
            <v/>
          </cell>
          <cell r="AW524" t="str">
            <v/>
          </cell>
          <cell r="AX524" t="str">
            <v/>
          </cell>
        </row>
        <row r="525">
          <cell r="G525" t="str">
            <v/>
          </cell>
          <cell r="H525" t="str">
            <v/>
          </cell>
          <cell r="M525" t="str">
            <v/>
          </cell>
          <cell r="N525" t="str">
            <v/>
          </cell>
          <cell r="O525" t="str">
            <v/>
          </cell>
          <cell r="T525" t="str">
            <v/>
          </cell>
          <cell r="U525" t="str">
            <v/>
          </cell>
          <cell r="X525" t="str">
            <v/>
          </cell>
          <cell r="AH525" t="str">
            <v/>
          </cell>
          <cell r="AK525" t="str">
            <v/>
          </cell>
          <cell r="AM525" t="str">
            <v/>
          </cell>
          <cell r="AO525" t="str">
            <v/>
          </cell>
          <cell r="AS525" t="str">
            <v/>
          </cell>
          <cell r="AT525" t="str">
            <v/>
          </cell>
          <cell r="AU525" t="str">
            <v/>
          </cell>
          <cell r="AW525" t="str">
            <v/>
          </cell>
          <cell r="AX525" t="str">
            <v/>
          </cell>
        </row>
        <row r="526">
          <cell r="G526" t="str">
            <v/>
          </cell>
          <cell r="H526" t="str">
            <v/>
          </cell>
          <cell r="M526" t="str">
            <v/>
          </cell>
          <cell r="N526" t="str">
            <v/>
          </cell>
          <cell r="O526" t="str">
            <v/>
          </cell>
          <cell r="T526" t="str">
            <v/>
          </cell>
          <cell r="U526" t="str">
            <v/>
          </cell>
          <cell r="X526" t="str">
            <v/>
          </cell>
          <cell r="AH526" t="str">
            <v/>
          </cell>
          <cell r="AK526" t="str">
            <v/>
          </cell>
          <cell r="AM526" t="str">
            <v/>
          </cell>
          <cell r="AO526" t="str">
            <v/>
          </cell>
          <cell r="AS526" t="str">
            <v/>
          </cell>
          <cell r="AT526" t="str">
            <v/>
          </cell>
          <cell r="AU526" t="str">
            <v/>
          </cell>
          <cell r="AW526" t="str">
            <v/>
          </cell>
          <cell r="AX526" t="str">
            <v/>
          </cell>
        </row>
        <row r="527">
          <cell r="G527" t="str">
            <v/>
          </cell>
          <cell r="H527" t="str">
            <v/>
          </cell>
          <cell r="M527" t="str">
            <v/>
          </cell>
          <cell r="N527" t="str">
            <v/>
          </cell>
          <cell r="O527" t="str">
            <v/>
          </cell>
          <cell r="T527" t="str">
            <v/>
          </cell>
          <cell r="U527" t="str">
            <v/>
          </cell>
          <cell r="X527" t="str">
            <v/>
          </cell>
          <cell r="AH527" t="str">
            <v/>
          </cell>
          <cell r="AK527" t="str">
            <v/>
          </cell>
          <cell r="AM527" t="str">
            <v/>
          </cell>
          <cell r="AO527" t="str">
            <v/>
          </cell>
          <cell r="AS527" t="str">
            <v/>
          </cell>
          <cell r="AT527" t="str">
            <v/>
          </cell>
          <cell r="AU527" t="str">
            <v/>
          </cell>
          <cell r="AW527" t="str">
            <v/>
          </cell>
          <cell r="AX527" t="str">
            <v/>
          </cell>
        </row>
        <row r="528">
          <cell r="G528" t="str">
            <v/>
          </cell>
          <cell r="H528" t="str">
            <v/>
          </cell>
          <cell r="M528" t="str">
            <v/>
          </cell>
          <cell r="N528" t="str">
            <v/>
          </cell>
          <cell r="O528" t="str">
            <v/>
          </cell>
          <cell r="T528" t="str">
            <v/>
          </cell>
          <cell r="U528" t="str">
            <v/>
          </cell>
          <cell r="X528" t="str">
            <v/>
          </cell>
          <cell r="AH528" t="str">
            <v/>
          </cell>
          <cell r="AK528" t="str">
            <v/>
          </cell>
          <cell r="AM528" t="str">
            <v/>
          </cell>
          <cell r="AO528" t="str">
            <v/>
          </cell>
          <cell r="AS528" t="str">
            <v/>
          </cell>
          <cell r="AT528" t="str">
            <v/>
          </cell>
          <cell r="AU528" t="str">
            <v/>
          </cell>
          <cell r="AW528" t="str">
            <v/>
          </cell>
          <cell r="AX528" t="str">
            <v/>
          </cell>
        </row>
        <row r="529">
          <cell r="G529" t="str">
            <v/>
          </cell>
          <cell r="H529" t="str">
            <v/>
          </cell>
          <cell r="M529" t="str">
            <v/>
          </cell>
          <cell r="N529" t="str">
            <v/>
          </cell>
          <cell r="O529" t="str">
            <v/>
          </cell>
          <cell r="T529" t="str">
            <v/>
          </cell>
          <cell r="U529" t="str">
            <v/>
          </cell>
          <cell r="X529" t="str">
            <v/>
          </cell>
          <cell r="AH529" t="str">
            <v/>
          </cell>
          <cell r="AK529" t="str">
            <v/>
          </cell>
          <cell r="AM529" t="str">
            <v/>
          </cell>
          <cell r="AO529" t="str">
            <v/>
          </cell>
          <cell r="AS529" t="str">
            <v/>
          </cell>
          <cell r="AT529" t="str">
            <v/>
          </cell>
          <cell r="AU529" t="str">
            <v/>
          </cell>
          <cell r="AW529" t="str">
            <v/>
          </cell>
          <cell r="AX529" t="str">
            <v/>
          </cell>
        </row>
        <row r="530">
          <cell r="G530" t="str">
            <v/>
          </cell>
          <cell r="H530" t="str">
            <v/>
          </cell>
          <cell r="M530" t="str">
            <v/>
          </cell>
          <cell r="N530" t="str">
            <v/>
          </cell>
          <cell r="O530" t="str">
            <v/>
          </cell>
          <cell r="T530" t="str">
            <v/>
          </cell>
          <cell r="U530" t="str">
            <v/>
          </cell>
          <cell r="X530" t="str">
            <v/>
          </cell>
          <cell r="AH530" t="str">
            <v/>
          </cell>
          <cell r="AK530" t="str">
            <v/>
          </cell>
          <cell r="AM530" t="str">
            <v/>
          </cell>
          <cell r="AO530" t="str">
            <v/>
          </cell>
          <cell r="AS530" t="str">
            <v/>
          </cell>
          <cell r="AT530" t="str">
            <v/>
          </cell>
          <cell r="AU530" t="str">
            <v/>
          </cell>
          <cell r="AW530" t="str">
            <v/>
          </cell>
          <cell r="AX530" t="str">
            <v/>
          </cell>
        </row>
        <row r="531">
          <cell r="G531" t="str">
            <v/>
          </cell>
          <cell r="H531" t="str">
            <v/>
          </cell>
          <cell r="M531" t="str">
            <v/>
          </cell>
          <cell r="N531" t="str">
            <v/>
          </cell>
          <cell r="O531" t="str">
            <v/>
          </cell>
          <cell r="T531" t="str">
            <v/>
          </cell>
          <cell r="U531" t="str">
            <v/>
          </cell>
          <cell r="X531" t="str">
            <v/>
          </cell>
          <cell r="AH531" t="str">
            <v/>
          </cell>
          <cell r="AK531" t="str">
            <v/>
          </cell>
          <cell r="AM531" t="str">
            <v/>
          </cell>
          <cell r="AO531" t="str">
            <v/>
          </cell>
          <cell r="AS531" t="str">
            <v/>
          </cell>
          <cell r="AT531" t="str">
            <v/>
          </cell>
          <cell r="AU531" t="str">
            <v/>
          </cell>
          <cell r="AW531" t="str">
            <v/>
          </cell>
          <cell r="AX531" t="str">
            <v/>
          </cell>
        </row>
        <row r="532">
          <cell r="G532" t="str">
            <v/>
          </cell>
          <cell r="H532" t="str">
            <v/>
          </cell>
          <cell r="M532" t="str">
            <v/>
          </cell>
          <cell r="N532" t="str">
            <v/>
          </cell>
          <cell r="O532" t="str">
            <v/>
          </cell>
          <cell r="T532" t="str">
            <v/>
          </cell>
          <cell r="U532" t="str">
            <v/>
          </cell>
          <cell r="X532" t="str">
            <v/>
          </cell>
          <cell r="AH532" t="str">
            <v/>
          </cell>
          <cell r="AK532" t="str">
            <v/>
          </cell>
          <cell r="AM532" t="str">
            <v/>
          </cell>
          <cell r="AO532" t="str">
            <v/>
          </cell>
          <cell r="AS532" t="str">
            <v/>
          </cell>
          <cell r="AT532" t="str">
            <v/>
          </cell>
          <cell r="AU532" t="str">
            <v/>
          </cell>
          <cell r="AW532" t="str">
            <v/>
          </cell>
          <cell r="AX532" t="str">
            <v/>
          </cell>
        </row>
        <row r="533">
          <cell r="G533" t="str">
            <v/>
          </cell>
          <cell r="H533" t="str">
            <v/>
          </cell>
          <cell r="M533" t="str">
            <v/>
          </cell>
          <cell r="N533" t="str">
            <v/>
          </cell>
          <cell r="O533" t="str">
            <v/>
          </cell>
          <cell r="T533" t="str">
            <v/>
          </cell>
          <cell r="U533" t="str">
            <v/>
          </cell>
          <cell r="X533" t="str">
            <v/>
          </cell>
          <cell r="AH533" t="str">
            <v/>
          </cell>
          <cell r="AK533" t="str">
            <v/>
          </cell>
          <cell r="AM533" t="str">
            <v/>
          </cell>
          <cell r="AO533" t="str">
            <v/>
          </cell>
          <cell r="AS533" t="str">
            <v/>
          </cell>
          <cell r="AT533" t="str">
            <v/>
          </cell>
          <cell r="AU533" t="str">
            <v/>
          </cell>
          <cell r="AW533" t="str">
            <v/>
          </cell>
          <cell r="AX533" t="str">
            <v/>
          </cell>
        </row>
        <row r="534">
          <cell r="G534" t="str">
            <v/>
          </cell>
          <cell r="H534" t="str">
            <v/>
          </cell>
          <cell r="M534" t="str">
            <v/>
          </cell>
          <cell r="N534" t="str">
            <v/>
          </cell>
          <cell r="O534" t="str">
            <v/>
          </cell>
          <cell r="T534" t="str">
            <v/>
          </cell>
          <cell r="U534" t="str">
            <v/>
          </cell>
          <cell r="X534" t="str">
            <v/>
          </cell>
          <cell r="AH534" t="str">
            <v/>
          </cell>
          <cell r="AK534" t="str">
            <v/>
          </cell>
          <cell r="AM534" t="str">
            <v/>
          </cell>
          <cell r="AO534" t="str">
            <v/>
          </cell>
          <cell r="AS534" t="str">
            <v/>
          </cell>
          <cell r="AT534" t="str">
            <v/>
          </cell>
          <cell r="AU534" t="str">
            <v/>
          </cell>
          <cell r="AW534" t="str">
            <v/>
          </cell>
          <cell r="AX534" t="str">
            <v/>
          </cell>
        </row>
        <row r="535">
          <cell r="G535" t="str">
            <v/>
          </cell>
          <cell r="H535" t="str">
            <v/>
          </cell>
          <cell r="M535" t="str">
            <v/>
          </cell>
          <cell r="N535" t="str">
            <v/>
          </cell>
          <cell r="O535" t="str">
            <v/>
          </cell>
          <cell r="T535" t="str">
            <v/>
          </cell>
          <cell r="U535" t="str">
            <v/>
          </cell>
          <cell r="X535" t="str">
            <v/>
          </cell>
          <cell r="AH535" t="str">
            <v/>
          </cell>
          <cell r="AK535" t="str">
            <v/>
          </cell>
          <cell r="AM535" t="str">
            <v/>
          </cell>
          <cell r="AO535" t="str">
            <v/>
          </cell>
          <cell r="AS535" t="str">
            <v/>
          </cell>
          <cell r="AT535" t="str">
            <v/>
          </cell>
          <cell r="AU535" t="str">
            <v/>
          </cell>
          <cell r="AW535" t="str">
            <v/>
          </cell>
          <cell r="AX535" t="str">
            <v/>
          </cell>
        </row>
        <row r="536">
          <cell r="G536" t="str">
            <v/>
          </cell>
          <cell r="H536" t="str">
            <v/>
          </cell>
          <cell r="M536" t="str">
            <v/>
          </cell>
          <cell r="N536" t="str">
            <v/>
          </cell>
          <cell r="O536" t="str">
            <v/>
          </cell>
          <cell r="T536" t="str">
            <v/>
          </cell>
          <cell r="U536" t="str">
            <v/>
          </cell>
          <cell r="X536" t="str">
            <v/>
          </cell>
          <cell r="AH536" t="str">
            <v/>
          </cell>
          <cell r="AK536" t="str">
            <v/>
          </cell>
          <cell r="AM536" t="str">
            <v/>
          </cell>
          <cell r="AO536" t="str">
            <v/>
          </cell>
          <cell r="AS536" t="str">
            <v/>
          </cell>
          <cell r="AT536" t="str">
            <v/>
          </cell>
          <cell r="AU536" t="str">
            <v/>
          </cell>
          <cell r="AW536" t="str">
            <v/>
          </cell>
          <cell r="AX536" t="str">
            <v/>
          </cell>
        </row>
        <row r="537">
          <cell r="G537" t="str">
            <v/>
          </cell>
          <cell r="H537" t="str">
            <v/>
          </cell>
          <cell r="M537" t="str">
            <v/>
          </cell>
          <cell r="N537" t="str">
            <v/>
          </cell>
          <cell r="O537" t="str">
            <v/>
          </cell>
          <cell r="T537" t="str">
            <v/>
          </cell>
          <cell r="U537" t="str">
            <v/>
          </cell>
          <cell r="X537" t="str">
            <v/>
          </cell>
          <cell r="AH537" t="str">
            <v/>
          </cell>
          <cell r="AK537" t="str">
            <v/>
          </cell>
          <cell r="AM537" t="str">
            <v/>
          </cell>
          <cell r="AO537" t="str">
            <v/>
          </cell>
          <cell r="AS537" t="str">
            <v/>
          </cell>
          <cell r="AT537" t="str">
            <v/>
          </cell>
          <cell r="AU537" t="str">
            <v/>
          </cell>
          <cell r="AW537" t="str">
            <v/>
          </cell>
          <cell r="AX537" t="str">
            <v/>
          </cell>
        </row>
        <row r="538">
          <cell r="G538" t="str">
            <v/>
          </cell>
          <cell r="H538" t="str">
            <v/>
          </cell>
          <cell r="M538" t="str">
            <v/>
          </cell>
          <cell r="N538" t="str">
            <v/>
          </cell>
          <cell r="O538" t="str">
            <v/>
          </cell>
          <cell r="T538" t="str">
            <v/>
          </cell>
          <cell r="U538" t="str">
            <v/>
          </cell>
          <cell r="X538" t="str">
            <v/>
          </cell>
          <cell r="AH538" t="str">
            <v/>
          </cell>
          <cell r="AK538" t="str">
            <v/>
          </cell>
          <cell r="AM538" t="str">
            <v/>
          </cell>
          <cell r="AO538" t="str">
            <v/>
          </cell>
          <cell r="AS538" t="str">
            <v/>
          </cell>
          <cell r="AT538" t="str">
            <v/>
          </cell>
          <cell r="AU538" t="str">
            <v/>
          </cell>
          <cell r="AW538" t="str">
            <v/>
          </cell>
          <cell r="AX538" t="str">
            <v/>
          </cell>
        </row>
        <row r="539">
          <cell r="G539" t="str">
            <v/>
          </cell>
          <cell r="H539" t="str">
            <v/>
          </cell>
          <cell r="M539" t="str">
            <v/>
          </cell>
          <cell r="N539" t="str">
            <v/>
          </cell>
          <cell r="O539" t="str">
            <v/>
          </cell>
          <cell r="T539" t="str">
            <v/>
          </cell>
          <cell r="U539" t="str">
            <v/>
          </cell>
          <cell r="X539" t="str">
            <v/>
          </cell>
          <cell r="AH539" t="str">
            <v/>
          </cell>
          <cell r="AK539" t="str">
            <v/>
          </cell>
          <cell r="AM539" t="str">
            <v/>
          </cell>
          <cell r="AO539" t="str">
            <v/>
          </cell>
          <cell r="AS539" t="str">
            <v/>
          </cell>
          <cell r="AT539" t="str">
            <v/>
          </cell>
          <cell r="AU539" t="str">
            <v/>
          </cell>
          <cell r="AW539" t="str">
            <v/>
          </cell>
          <cell r="AX539" t="str">
            <v/>
          </cell>
        </row>
        <row r="540">
          <cell r="G540" t="str">
            <v/>
          </cell>
          <cell r="H540" t="str">
            <v/>
          </cell>
          <cell r="M540" t="str">
            <v/>
          </cell>
          <cell r="N540" t="str">
            <v/>
          </cell>
          <cell r="O540" t="str">
            <v/>
          </cell>
          <cell r="T540" t="str">
            <v/>
          </cell>
          <cell r="U540" t="str">
            <v/>
          </cell>
          <cell r="X540" t="str">
            <v/>
          </cell>
          <cell r="AH540" t="str">
            <v/>
          </cell>
          <cell r="AK540" t="str">
            <v/>
          </cell>
          <cell r="AM540" t="str">
            <v/>
          </cell>
          <cell r="AO540" t="str">
            <v/>
          </cell>
          <cell r="AS540" t="str">
            <v/>
          </cell>
          <cell r="AT540" t="str">
            <v/>
          </cell>
          <cell r="AU540" t="str">
            <v/>
          </cell>
          <cell r="AW540" t="str">
            <v/>
          </cell>
          <cell r="AX540" t="str">
            <v/>
          </cell>
        </row>
        <row r="541">
          <cell r="G541" t="str">
            <v/>
          </cell>
          <cell r="H541" t="str">
            <v/>
          </cell>
          <cell r="M541" t="str">
            <v/>
          </cell>
          <cell r="N541" t="str">
            <v/>
          </cell>
          <cell r="O541" t="str">
            <v/>
          </cell>
          <cell r="T541" t="str">
            <v/>
          </cell>
          <cell r="U541" t="str">
            <v/>
          </cell>
          <cell r="X541" t="str">
            <v/>
          </cell>
          <cell r="AH541" t="str">
            <v/>
          </cell>
          <cell r="AK541" t="str">
            <v/>
          </cell>
          <cell r="AM541" t="str">
            <v/>
          </cell>
          <cell r="AO541" t="str">
            <v/>
          </cell>
          <cell r="AS541" t="str">
            <v/>
          </cell>
          <cell r="AT541" t="str">
            <v/>
          </cell>
          <cell r="AU541" t="str">
            <v/>
          </cell>
          <cell r="AW541" t="str">
            <v/>
          </cell>
          <cell r="AX541" t="str">
            <v/>
          </cell>
        </row>
        <row r="542">
          <cell r="G542" t="str">
            <v/>
          </cell>
          <cell r="H542" t="str">
            <v/>
          </cell>
          <cell r="M542" t="str">
            <v/>
          </cell>
          <cell r="N542" t="str">
            <v/>
          </cell>
          <cell r="O542" t="str">
            <v/>
          </cell>
          <cell r="T542" t="str">
            <v/>
          </cell>
          <cell r="U542" t="str">
            <v/>
          </cell>
          <cell r="X542" t="str">
            <v/>
          </cell>
          <cell r="AH542" t="str">
            <v/>
          </cell>
          <cell r="AK542" t="str">
            <v/>
          </cell>
          <cell r="AM542" t="str">
            <v/>
          </cell>
          <cell r="AO542" t="str">
            <v/>
          </cell>
          <cell r="AS542" t="str">
            <v/>
          </cell>
          <cell r="AT542" t="str">
            <v/>
          </cell>
          <cell r="AU542" t="str">
            <v/>
          </cell>
          <cell r="AW542" t="str">
            <v/>
          </cell>
          <cell r="AX542" t="str">
            <v/>
          </cell>
        </row>
        <row r="543">
          <cell r="G543" t="str">
            <v/>
          </cell>
          <cell r="H543" t="str">
            <v/>
          </cell>
          <cell r="M543" t="str">
            <v/>
          </cell>
          <cell r="N543" t="str">
            <v/>
          </cell>
          <cell r="O543" t="str">
            <v/>
          </cell>
          <cell r="T543" t="str">
            <v/>
          </cell>
          <cell r="U543" t="str">
            <v/>
          </cell>
          <cell r="X543" t="str">
            <v/>
          </cell>
          <cell r="AH543" t="str">
            <v/>
          </cell>
          <cell r="AK543" t="str">
            <v/>
          </cell>
          <cell r="AM543" t="str">
            <v/>
          </cell>
          <cell r="AO543" t="str">
            <v/>
          </cell>
          <cell r="AS543" t="str">
            <v/>
          </cell>
          <cell r="AT543" t="str">
            <v/>
          </cell>
          <cell r="AU543" t="str">
            <v/>
          </cell>
          <cell r="AW543" t="str">
            <v/>
          </cell>
          <cell r="AX543" t="str">
            <v/>
          </cell>
        </row>
        <row r="544">
          <cell r="G544" t="str">
            <v/>
          </cell>
          <cell r="H544" t="str">
            <v/>
          </cell>
          <cell r="M544" t="str">
            <v/>
          </cell>
          <cell r="N544" t="str">
            <v/>
          </cell>
          <cell r="O544" t="str">
            <v/>
          </cell>
          <cell r="T544" t="str">
            <v/>
          </cell>
          <cell r="U544" t="str">
            <v/>
          </cell>
          <cell r="X544" t="str">
            <v/>
          </cell>
          <cell r="AH544" t="str">
            <v/>
          </cell>
          <cell r="AK544" t="str">
            <v/>
          </cell>
          <cell r="AM544" t="str">
            <v/>
          </cell>
          <cell r="AO544" t="str">
            <v/>
          </cell>
          <cell r="AS544" t="str">
            <v/>
          </cell>
          <cell r="AT544" t="str">
            <v/>
          </cell>
          <cell r="AU544" t="str">
            <v/>
          </cell>
          <cell r="AW544" t="str">
            <v/>
          </cell>
          <cell r="AX544" t="str">
            <v/>
          </cell>
        </row>
        <row r="545">
          <cell r="G545" t="str">
            <v/>
          </cell>
          <cell r="H545" t="str">
            <v/>
          </cell>
          <cell r="M545" t="str">
            <v/>
          </cell>
          <cell r="N545" t="str">
            <v/>
          </cell>
          <cell r="O545" t="str">
            <v/>
          </cell>
          <cell r="T545" t="str">
            <v/>
          </cell>
          <cell r="U545" t="str">
            <v/>
          </cell>
          <cell r="X545" t="str">
            <v/>
          </cell>
          <cell r="AH545" t="str">
            <v/>
          </cell>
          <cell r="AK545" t="str">
            <v/>
          </cell>
          <cell r="AM545" t="str">
            <v/>
          </cell>
          <cell r="AO545" t="str">
            <v/>
          </cell>
          <cell r="AS545" t="str">
            <v/>
          </cell>
          <cell r="AT545" t="str">
            <v/>
          </cell>
          <cell r="AU545" t="str">
            <v/>
          </cell>
          <cell r="AW545" t="str">
            <v/>
          </cell>
          <cell r="AX545" t="str">
            <v/>
          </cell>
        </row>
        <row r="546">
          <cell r="G546" t="str">
            <v/>
          </cell>
          <cell r="H546" t="str">
            <v/>
          </cell>
          <cell r="M546" t="str">
            <v/>
          </cell>
          <cell r="N546" t="str">
            <v/>
          </cell>
          <cell r="O546" t="str">
            <v/>
          </cell>
          <cell r="T546" t="str">
            <v/>
          </cell>
          <cell r="U546" t="str">
            <v/>
          </cell>
          <cell r="X546" t="str">
            <v/>
          </cell>
          <cell r="AH546" t="str">
            <v/>
          </cell>
          <cell r="AK546" t="str">
            <v/>
          </cell>
          <cell r="AM546" t="str">
            <v/>
          </cell>
          <cell r="AO546" t="str">
            <v/>
          </cell>
          <cell r="AS546" t="str">
            <v/>
          </cell>
          <cell r="AT546" t="str">
            <v/>
          </cell>
          <cell r="AU546" t="str">
            <v/>
          </cell>
          <cell r="AW546" t="str">
            <v/>
          </cell>
          <cell r="AX546" t="str">
            <v/>
          </cell>
        </row>
        <row r="547">
          <cell r="G547" t="str">
            <v/>
          </cell>
          <cell r="H547" t="str">
            <v/>
          </cell>
          <cell r="M547" t="str">
            <v/>
          </cell>
          <cell r="N547" t="str">
            <v/>
          </cell>
          <cell r="O547" t="str">
            <v/>
          </cell>
          <cell r="T547" t="str">
            <v/>
          </cell>
          <cell r="U547" t="str">
            <v/>
          </cell>
          <cell r="X547" t="str">
            <v/>
          </cell>
          <cell r="AH547" t="str">
            <v/>
          </cell>
          <cell r="AK547" t="str">
            <v/>
          </cell>
          <cell r="AM547" t="str">
            <v/>
          </cell>
          <cell r="AO547" t="str">
            <v/>
          </cell>
          <cell r="AS547" t="str">
            <v/>
          </cell>
          <cell r="AT547" t="str">
            <v/>
          </cell>
          <cell r="AU547" t="str">
            <v/>
          </cell>
          <cell r="AW547" t="str">
            <v/>
          </cell>
          <cell r="AX547" t="str">
            <v/>
          </cell>
        </row>
        <row r="548">
          <cell r="G548" t="str">
            <v/>
          </cell>
          <cell r="H548" t="str">
            <v/>
          </cell>
          <cell r="M548" t="str">
            <v/>
          </cell>
          <cell r="N548" t="str">
            <v/>
          </cell>
          <cell r="O548" t="str">
            <v/>
          </cell>
          <cell r="T548" t="str">
            <v/>
          </cell>
          <cell r="U548" t="str">
            <v/>
          </cell>
          <cell r="X548" t="str">
            <v/>
          </cell>
          <cell r="AH548" t="str">
            <v/>
          </cell>
          <cell r="AK548" t="str">
            <v/>
          </cell>
          <cell r="AM548" t="str">
            <v/>
          </cell>
          <cell r="AO548" t="str">
            <v/>
          </cell>
          <cell r="AS548" t="str">
            <v/>
          </cell>
          <cell r="AT548" t="str">
            <v/>
          </cell>
          <cell r="AU548" t="str">
            <v/>
          </cell>
          <cell r="AW548" t="str">
            <v/>
          </cell>
          <cell r="AX548" t="str">
            <v/>
          </cell>
        </row>
        <row r="549">
          <cell r="G549" t="str">
            <v/>
          </cell>
          <cell r="H549" t="str">
            <v/>
          </cell>
          <cell r="M549" t="str">
            <v/>
          </cell>
          <cell r="N549" t="str">
            <v/>
          </cell>
          <cell r="O549" t="str">
            <v/>
          </cell>
          <cell r="T549" t="str">
            <v/>
          </cell>
          <cell r="U549" t="str">
            <v/>
          </cell>
          <cell r="X549" t="str">
            <v/>
          </cell>
          <cell r="AH549" t="str">
            <v/>
          </cell>
          <cell r="AK549" t="str">
            <v/>
          </cell>
          <cell r="AM549" t="str">
            <v/>
          </cell>
          <cell r="AO549" t="str">
            <v/>
          </cell>
          <cell r="AS549" t="str">
            <v/>
          </cell>
          <cell r="AT549" t="str">
            <v/>
          </cell>
          <cell r="AU549" t="str">
            <v/>
          </cell>
          <cell r="AW549" t="str">
            <v/>
          </cell>
          <cell r="AX549" t="str">
            <v/>
          </cell>
        </row>
        <row r="550">
          <cell r="G550" t="str">
            <v/>
          </cell>
          <cell r="H550" t="str">
            <v/>
          </cell>
          <cell r="M550" t="str">
            <v/>
          </cell>
          <cell r="N550" t="str">
            <v/>
          </cell>
          <cell r="O550" t="str">
            <v/>
          </cell>
          <cell r="T550" t="str">
            <v/>
          </cell>
          <cell r="U550" t="str">
            <v/>
          </cell>
          <cell r="X550" t="str">
            <v/>
          </cell>
          <cell r="AH550" t="str">
            <v/>
          </cell>
          <cell r="AK550" t="str">
            <v/>
          </cell>
          <cell r="AM550" t="str">
            <v/>
          </cell>
          <cell r="AO550" t="str">
            <v/>
          </cell>
          <cell r="AS550" t="str">
            <v/>
          </cell>
          <cell r="AT550" t="str">
            <v/>
          </cell>
          <cell r="AU550" t="str">
            <v/>
          </cell>
          <cell r="AW550" t="str">
            <v/>
          </cell>
          <cell r="AX550" t="str">
            <v/>
          </cell>
        </row>
        <row r="551">
          <cell r="G551" t="str">
            <v/>
          </cell>
          <cell r="H551" t="str">
            <v/>
          </cell>
          <cell r="M551" t="str">
            <v/>
          </cell>
          <cell r="N551" t="str">
            <v/>
          </cell>
          <cell r="O551" t="str">
            <v/>
          </cell>
          <cell r="T551" t="str">
            <v/>
          </cell>
          <cell r="U551" t="str">
            <v/>
          </cell>
          <cell r="X551" t="str">
            <v/>
          </cell>
          <cell r="AH551" t="str">
            <v/>
          </cell>
          <cell r="AK551" t="str">
            <v/>
          </cell>
          <cell r="AM551" t="str">
            <v/>
          </cell>
          <cell r="AO551" t="str">
            <v/>
          </cell>
          <cell r="AS551" t="str">
            <v/>
          </cell>
          <cell r="AT551" t="str">
            <v/>
          </cell>
          <cell r="AU551" t="str">
            <v/>
          </cell>
          <cell r="AW551" t="str">
            <v/>
          </cell>
          <cell r="AX551" t="str">
            <v/>
          </cell>
        </row>
        <row r="552">
          <cell r="G552" t="str">
            <v/>
          </cell>
          <cell r="H552" t="str">
            <v/>
          </cell>
          <cell r="M552" t="str">
            <v/>
          </cell>
          <cell r="N552" t="str">
            <v/>
          </cell>
          <cell r="O552" t="str">
            <v/>
          </cell>
          <cell r="T552" t="str">
            <v/>
          </cell>
          <cell r="U552" t="str">
            <v/>
          </cell>
          <cell r="X552" t="str">
            <v/>
          </cell>
          <cell r="AH552" t="str">
            <v/>
          </cell>
          <cell r="AK552" t="str">
            <v/>
          </cell>
          <cell r="AM552" t="str">
            <v/>
          </cell>
          <cell r="AO552" t="str">
            <v/>
          </cell>
          <cell r="AS552" t="str">
            <v/>
          </cell>
          <cell r="AT552" t="str">
            <v/>
          </cell>
          <cell r="AU552" t="str">
            <v/>
          </cell>
          <cell r="AW552" t="str">
            <v/>
          </cell>
          <cell r="AX552" t="str">
            <v/>
          </cell>
        </row>
        <row r="553">
          <cell r="G553" t="str">
            <v/>
          </cell>
          <cell r="H553" t="str">
            <v/>
          </cell>
          <cell r="M553" t="str">
            <v/>
          </cell>
          <cell r="N553" t="str">
            <v/>
          </cell>
          <cell r="O553" t="str">
            <v/>
          </cell>
          <cell r="T553" t="str">
            <v/>
          </cell>
          <cell r="U553" t="str">
            <v/>
          </cell>
          <cell r="X553" t="str">
            <v/>
          </cell>
          <cell r="AH553" t="str">
            <v/>
          </cell>
          <cell r="AK553" t="str">
            <v/>
          </cell>
          <cell r="AM553" t="str">
            <v/>
          </cell>
          <cell r="AO553" t="str">
            <v/>
          </cell>
          <cell r="AS553" t="str">
            <v/>
          </cell>
          <cell r="AT553" t="str">
            <v/>
          </cell>
          <cell r="AU553" t="str">
            <v/>
          </cell>
          <cell r="AW553" t="str">
            <v/>
          </cell>
          <cell r="AX553" t="str">
            <v/>
          </cell>
        </row>
        <row r="554">
          <cell r="G554" t="str">
            <v/>
          </cell>
          <cell r="H554" t="str">
            <v/>
          </cell>
          <cell r="M554" t="str">
            <v/>
          </cell>
          <cell r="N554" t="str">
            <v/>
          </cell>
          <cell r="O554" t="str">
            <v/>
          </cell>
          <cell r="T554" t="str">
            <v/>
          </cell>
          <cell r="U554" t="str">
            <v/>
          </cell>
          <cell r="X554" t="str">
            <v/>
          </cell>
          <cell r="AH554" t="str">
            <v/>
          </cell>
          <cell r="AK554" t="str">
            <v/>
          </cell>
          <cell r="AM554" t="str">
            <v/>
          </cell>
          <cell r="AO554" t="str">
            <v/>
          </cell>
          <cell r="AS554" t="str">
            <v/>
          </cell>
          <cell r="AT554" t="str">
            <v/>
          </cell>
          <cell r="AU554" t="str">
            <v/>
          </cell>
          <cell r="AW554" t="str">
            <v/>
          </cell>
          <cell r="AX554" t="str">
            <v/>
          </cell>
        </row>
        <row r="555">
          <cell r="G555" t="str">
            <v/>
          </cell>
          <cell r="H555" t="str">
            <v/>
          </cell>
          <cell r="M555" t="str">
            <v/>
          </cell>
          <cell r="N555" t="str">
            <v/>
          </cell>
          <cell r="O555" t="str">
            <v/>
          </cell>
          <cell r="T555" t="str">
            <v/>
          </cell>
          <cell r="U555" t="str">
            <v/>
          </cell>
          <cell r="X555" t="str">
            <v/>
          </cell>
          <cell r="AH555" t="str">
            <v/>
          </cell>
          <cell r="AK555" t="str">
            <v/>
          </cell>
          <cell r="AM555" t="str">
            <v/>
          </cell>
          <cell r="AO555" t="str">
            <v/>
          </cell>
          <cell r="AS555" t="str">
            <v/>
          </cell>
          <cell r="AT555" t="str">
            <v/>
          </cell>
          <cell r="AU555" t="str">
            <v/>
          </cell>
          <cell r="AW555" t="str">
            <v/>
          </cell>
          <cell r="AX555" t="str">
            <v/>
          </cell>
        </row>
        <row r="556">
          <cell r="G556" t="str">
            <v/>
          </cell>
          <cell r="H556" t="str">
            <v/>
          </cell>
          <cell r="M556" t="str">
            <v/>
          </cell>
          <cell r="N556" t="str">
            <v/>
          </cell>
          <cell r="O556" t="str">
            <v/>
          </cell>
          <cell r="T556" t="str">
            <v/>
          </cell>
          <cell r="U556" t="str">
            <v/>
          </cell>
          <cell r="X556" t="str">
            <v/>
          </cell>
          <cell r="AH556" t="str">
            <v/>
          </cell>
          <cell r="AK556" t="str">
            <v/>
          </cell>
          <cell r="AM556" t="str">
            <v/>
          </cell>
          <cell r="AO556" t="str">
            <v/>
          </cell>
          <cell r="AS556" t="str">
            <v/>
          </cell>
          <cell r="AT556" t="str">
            <v/>
          </cell>
          <cell r="AU556" t="str">
            <v/>
          </cell>
          <cell r="AW556" t="str">
            <v/>
          </cell>
          <cell r="AX556" t="str">
            <v/>
          </cell>
        </row>
        <row r="557">
          <cell r="G557" t="str">
            <v/>
          </cell>
          <cell r="H557" t="str">
            <v/>
          </cell>
          <cell r="M557" t="str">
            <v/>
          </cell>
          <cell r="N557" t="str">
            <v/>
          </cell>
          <cell r="O557" t="str">
            <v/>
          </cell>
          <cell r="T557" t="str">
            <v/>
          </cell>
          <cell r="U557" t="str">
            <v/>
          </cell>
          <cell r="X557" t="str">
            <v/>
          </cell>
          <cell r="AH557" t="str">
            <v/>
          </cell>
          <cell r="AK557" t="str">
            <v/>
          </cell>
          <cell r="AM557" t="str">
            <v/>
          </cell>
          <cell r="AO557" t="str">
            <v/>
          </cell>
          <cell r="AS557" t="str">
            <v/>
          </cell>
          <cell r="AT557" t="str">
            <v/>
          </cell>
          <cell r="AU557" t="str">
            <v/>
          </cell>
          <cell r="AW557" t="str">
            <v/>
          </cell>
          <cell r="AX557" t="str">
            <v/>
          </cell>
        </row>
        <row r="558">
          <cell r="G558" t="str">
            <v/>
          </cell>
          <cell r="H558" t="str">
            <v/>
          </cell>
          <cell r="M558" t="str">
            <v/>
          </cell>
          <cell r="N558" t="str">
            <v/>
          </cell>
          <cell r="O558" t="str">
            <v/>
          </cell>
          <cell r="T558" t="str">
            <v/>
          </cell>
          <cell r="U558" t="str">
            <v/>
          </cell>
          <cell r="X558" t="str">
            <v/>
          </cell>
          <cell r="AH558" t="str">
            <v/>
          </cell>
          <cell r="AK558" t="str">
            <v/>
          </cell>
          <cell r="AM558" t="str">
            <v/>
          </cell>
          <cell r="AO558" t="str">
            <v/>
          </cell>
          <cell r="AS558" t="str">
            <v/>
          </cell>
          <cell r="AT558" t="str">
            <v/>
          </cell>
          <cell r="AU558" t="str">
            <v/>
          </cell>
          <cell r="AW558" t="str">
            <v/>
          </cell>
          <cell r="AX558" t="str">
            <v/>
          </cell>
        </row>
        <row r="559">
          <cell r="G559" t="str">
            <v/>
          </cell>
          <cell r="H559" t="str">
            <v/>
          </cell>
          <cell r="M559" t="str">
            <v/>
          </cell>
          <cell r="N559" t="str">
            <v/>
          </cell>
          <cell r="O559" t="str">
            <v/>
          </cell>
          <cell r="T559" t="str">
            <v/>
          </cell>
          <cell r="U559" t="str">
            <v/>
          </cell>
          <cell r="X559" t="str">
            <v/>
          </cell>
          <cell r="AH559" t="str">
            <v/>
          </cell>
          <cell r="AK559" t="str">
            <v/>
          </cell>
          <cell r="AM559" t="str">
            <v/>
          </cell>
          <cell r="AO559" t="str">
            <v/>
          </cell>
          <cell r="AS559" t="str">
            <v/>
          </cell>
          <cell r="AT559" t="str">
            <v/>
          </cell>
          <cell r="AU559" t="str">
            <v/>
          </cell>
          <cell r="AW559" t="str">
            <v/>
          </cell>
          <cell r="AX559" t="str">
            <v/>
          </cell>
        </row>
        <row r="560">
          <cell r="G560" t="str">
            <v/>
          </cell>
          <cell r="H560" t="str">
            <v/>
          </cell>
          <cell r="M560" t="str">
            <v/>
          </cell>
          <cell r="N560" t="str">
            <v/>
          </cell>
          <cell r="O560" t="str">
            <v/>
          </cell>
          <cell r="T560" t="str">
            <v/>
          </cell>
          <cell r="U560" t="str">
            <v/>
          </cell>
          <cell r="X560" t="str">
            <v/>
          </cell>
          <cell r="AH560" t="str">
            <v/>
          </cell>
          <cell r="AK560" t="str">
            <v/>
          </cell>
          <cell r="AM560" t="str">
            <v/>
          </cell>
          <cell r="AO560" t="str">
            <v/>
          </cell>
          <cell r="AS560" t="str">
            <v/>
          </cell>
          <cell r="AT560" t="str">
            <v/>
          </cell>
          <cell r="AU560" t="str">
            <v/>
          </cell>
          <cell r="AW560" t="str">
            <v/>
          </cell>
          <cell r="AX560" t="str">
            <v/>
          </cell>
        </row>
        <row r="561">
          <cell r="G561" t="str">
            <v/>
          </cell>
          <cell r="H561" t="str">
            <v/>
          </cell>
          <cell r="M561" t="str">
            <v/>
          </cell>
          <cell r="N561" t="str">
            <v/>
          </cell>
          <cell r="O561" t="str">
            <v/>
          </cell>
          <cell r="T561" t="str">
            <v/>
          </cell>
          <cell r="U561" t="str">
            <v/>
          </cell>
          <cell r="X561" t="str">
            <v/>
          </cell>
          <cell r="AH561" t="str">
            <v/>
          </cell>
          <cell r="AK561" t="str">
            <v/>
          </cell>
          <cell r="AM561" t="str">
            <v/>
          </cell>
          <cell r="AO561" t="str">
            <v/>
          </cell>
          <cell r="AS561" t="str">
            <v/>
          </cell>
          <cell r="AT561" t="str">
            <v/>
          </cell>
          <cell r="AU561" t="str">
            <v/>
          </cell>
          <cell r="AW561" t="str">
            <v/>
          </cell>
          <cell r="AX561" t="str">
            <v/>
          </cell>
        </row>
        <row r="562">
          <cell r="G562" t="str">
            <v/>
          </cell>
          <cell r="H562" t="str">
            <v/>
          </cell>
          <cell r="M562" t="str">
            <v/>
          </cell>
          <cell r="N562" t="str">
            <v/>
          </cell>
          <cell r="O562" t="str">
            <v/>
          </cell>
          <cell r="T562" t="str">
            <v/>
          </cell>
          <cell r="U562" t="str">
            <v/>
          </cell>
          <cell r="X562" t="str">
            <v/>
          </cell>
          <cell r="AH562" t="str">
            <v/>
          </cell>
          <cell r="AK562" t="str">
            <v/>
          </cell>
          <cell r="AM562" t="str">
            <v/>
          </cell>
          <cell r="AO562" t="str">
            <v/>
          </cell>
          <cell r="AS562" t="str">
            <v/>
          </cell>
          <cell r="AT562" t="str">
            <v/>
          </cell>
          <cell r="AU562" t="str">
            <v/>
          </cell>
          <cell r="AW562" t="str">
            <v/>
          </cell>
          <cell r="AX562" t="str">
            <v/>
          </cell>
        </row>
        <row r="563">
          <cell r="G563" t="str">
            <v/>
          </cell>
          <cell r="H563" t="str">
            <v/>
          </cell>
          <cell r="M563" t="str">
            <v/>
          </cell>
          <cell r="N563" t="str">
            <v/>
          </cell>
          <cell r="O563" t="str">
            <v/>
          </cell>
          <cell r="T563" t="str">
            <v/>
          </cell>
          <cell r="U563" t="str">
            <v/>
          </cell>
          <cell r="X563" t="str">
            <v/>
          </cell>
          <cell r="AH563" t="str">
            <v/>
          </cell>
          <cell r="AK563" t="str">
            <v/>
          </cell>
          <cell r="AM563" t="str">
            <v/>
          </cell>
          <cell r="AO563" t="str">
            <v/>
          </cell>
          <cell r="AS563" t="str">
            <v/>
          </cell>
          <cell r="AT563" t="str">
            <v/>
          </cell>
          <cell r="AU563" t="str">
            <v/>
          </cell>
          <cell r="AW563" t="str">
            <v/>
          </cell>
          <cell r="AX563" t="str">
            <v/>
          </cell>
        </row>
        <row r="564">
          <cell r="G564" t="str">
            <v/>
          </cell>
          <cell r="H564" t="str">
            <v/>
          </cell>
          <cell r="M564" t="str">
            <v/>
          </cell>
          <cell r="N564" t="str">
            <v/>
          </cell>
          <cell r="O564" t="str">
            <v/>
          </cell>
          <cell r="T564" t="str">
            <v/>
          </cell>
          <cell r="U564" t="str">
            <v/>
          </cell>
          <cell r="X564" t="str">
            <v/>
          </cell>
          <cell r="AH564" t="str">
            <v/>
          </cell>
          <cell r="AK564" t="str">
            <v/>
          </cell>
          <cell r="AM564" t="str">
            <v/>
          </cell>
          <cell r="AO564" t="str">
            <v/>
          </cell>
          <cell r="AS564" t="str">
            <v/>
          </cell>
          <cell r="AT564" t="str">
            <v/>
          </cell>
          <cell r="AU564" t="str">
            <v/>
          </cell>
          <cell r="AW564" t="str">
            <v/>
          </cell>
          <cell r="AX564" t="str">
            <v/>
          </cell>
        </row>
        <row r="565">
          <cell r="G565" t="str">
            <v/>
          </cell>
          <cell r="H565" t="str">
            <v/>
          </cell>
          <cell r="M565" t="str">
            <v/>
          </cell>
          <cell r="N565" t="str">
            <v/>
          </cell>
          <cell r="O565" t="str">
            <v/>
          </cell>
          <cell r="T565" t="str">
            <v/>
          </cell>
          <cell r="U565" t="str">
            <v/>
          </cell>
          <cell r="X565" t="str">
            <v/>
          </cell>
          <cell r="AH565" t="str">
            <v/>
          </cell>
          <cell r="AK565" t="str">
            <v/>
          </cell>
          <cell r="AM565" t="str">
            <v/>
          </cell>
          <cell r="AO565" t="str">
            <v/>
          </cell>
          <cell r="AS565" t="str">
            <v/>
          </cell>
          <cell r="AT565" t="str">
            <v/>
          </cell>
          <cell r="AU565" t="str">
            <v/>
          </cell>
          <cell r="AW565" t="str">
            <v/>
          </cell>
          <cell r="AX565" t="str">
            <v/>
          </cell>
        </row>
        <row r="566">
          <cell r="G566" t="str">
            <v/>
          </cell>
          <cell r="H566" t="str">
            <v/>
          </cell>
          <cell r="M566" t="str">
            <v/>
          </cell>
          <cell r="N566" t="str">
            <v/>
          </cell>
          <cell r="O566" t="str">
            <v/>
          </cell>
          <cell r="T566" t="str">
            <v/>
          </cell>
          <cell r="U566" t="str">
            <v/>
          </cell>
          <cell r="X566" t="str">
            <v/>
          </cell>
          <cell r="AH566" t="str">
            <v/>
          </cell>
          <cell r="AK566" t="str">
            <v/>
          </cell>
          <cell r="AM566" t="str">
            <v/>
          </cell>
          <cell r="AO566" t="str">
            <v/>
          </cell>
          <cell r="AS566" t="str">
            <v/>
          </cell>
          <cell r="AT566" t="str">
            <v/>
          </cell>
          <cell r="AU566" t="str">
            <v/>
          </cell>
          <cell r="AW566" t="str">
            <v/>
          </cell>
          <cell r="AX566" t="str">
            <v/>
          </cell>
        </row>
        <row r="567">
          <cell r="G567" t="str">
            <v/>
          </cell>
          <cell r="H567" t="str">
            <v/>
          </cell>
          <cell r="M567" t="str">
            <v/>
          </cell>
          <cell r="N567" t="str">
            <v/>
          </cell>
          <cell r="O567" t="str">
            <v/>
          </cell>
          <cell r="T567" t="str">
            <v/>
          </cell>
          <cell r="U567" t="str">
            <v/>
          </cell>
          <cell r="X567" t="str">
            <v/>
          </cell>
          <cell r="AH567" t="str">
            <v/>
          </cell>
          <cell r="AK567" t="str">
            <v/>
          </cell>
          <cell r="AM567" t="str">
            <v/>
          </cell>
          <cell r="AO567" t="str">
            <v/>
          </cell>
          <cell r="AS567" t="str">
            <v/>
          </cell>
          <cell r="AT567" t="str">
            <v/>
          </cell>
          <cell r="AU567" t="str">
            <v/>
          </cell>
          <cell r="AW567" t="str">
            <v/>
          </cell>
          <cell r="AX567" t="str">
            <v/>
          </cell>
        </row>
        <row r="568">
          <cell r="G568" t="str">
            <v/>
          </cell>
          <cell r="H568" t="str">
            <v/>
          </cell>
          <cell r="M568" t="str">
            <v/>
          </cell>
          <cell r="N568" t="str">
            <v/>
          </cell>
          <cell r="O568" t="str">
            <v/>
          </cell>
          <cell r="T568" t="str">
            <v/>
          </cell>
          <cell r="U568" t="str">
            <v/>
          </cell>
          <cell r="X568" t="str">
            <v/>
          </cell>
          <cell r="AH568" t="str">
            <v/>
          </cell>
          <cell r="AK568" t="str">
            <v/>
          </cell>
          <cell r="AM568" t="str">
            <v/>
          </cell>
          <cell r="AO568" t="str">
            <v/>
          </cell>
          <cell r="AS568" t="str">
            <v/>
          </cell>
          <cell r="AT568" t="str">
            <v/>
          </cell>
          <cell r="AU568" t="str">
            <v/>
          </cell>
          <cell r="AW568" t="str">
            <v/>
          </cell>
          <cell r="AX568" t="str">
            <v/>
          </cell>
        </row>
        <row r="569">
          <cell r="G569" t="str">
            <v/>
          </cell>
          <cell r="H569" t="str">
            <v/>
          </cell>
          <cell r="M569" t="str">
            <v/>
          </cell>
          <cell r="N569" t="str">
            <v/>
          </cell>
          <cell r="O569" t="str">
            <v/>
          </cell>
          <cell r="T569" t="str">
            <v/>
          </cell>
          <cell r="U569" t="str">
            <v/>
          </cell>
          <cell r="X569" t="str">
            <v/>
          </cell>
          <cell r="AH569" t="str">
            <v/>
          </cell>
          <cell r="AK569" t="str">
            <v/>
          </cell>
          <cell r="AM569" t="str">
            <v/>
          </cell>
          <cell r="AO569" t="str">
            <v/>
          </cell>
          <cell r="AS569" t="str">
            <v/>
          </cell>
          <cell r="AT569" t="str">
            <v/>
          </cell>
          <cell r="AU569" t="str">
            <v/>
          </cell>
          <cell r="AW569" t="str">
            <v/>
          </cell>
          <cell r="AX569" t="str">
            <v/>
          </cell>
        </row>
        <row r="570">
          <cell r="G570" t="str">
            <v/>
          </cell>
          <cell r="H570" t="str">
            <v/>
          </cell>
          <cell r="M570" t="str">
            <v/>
          </cell>
          <cell r="N570" t="str">
            <v/>
          </cell>
          <cell r="O570" t="str">
            <v/>
          </cell>
          <cell r="T570" t="str">
            <v/>
          </cell>
          <cell r="U570" t="str">
            <v/>
          </cell>
          <cell r="X570" t="str">
            <v/>
          </cell>
          <cell r="AH570" t="str">
            <v/>
          </cell>
          <cell r="AK570" t="str">
            <v/>
          </cell>
          <cell r="AM570" t="str">
            <v/>
          </cell>
          <cell r="AO570" t="str">
            <v/>
          </cell>
          <cell r="AS570" t="str">
            <v/>
          </cell>
          <cell r="AT570" t="str">
            <v/>
          </cell>
          <cell r="AU570" t="str">
            <v/>
          </cell>
          <cell r="AW570" t="str">
            <v/>
          </cell>
          <cell r="AX570" t="str">
            <v/>
          </cell>
        </row>
        <row r="571">
          <cell r="G571" t="str">
            <v/>
          </cell>
          <cell r="H571" t="str">
            <v/>
          </cell>
          <cell r="M571" t="str">
            <v/>
          </cell>
          <cell r="N571" t="str">
            <v/>
          </cell>
          <cell r="O571" t="str">
            <v/>
          </cell>
          <cell r="T571" t="str">
            <v/>
          </cell>
          <cell r="U571" t="str">
            <v/>
          </cell>
          <cell r="X571" t="str">
            <v/>
          </cell>
          <cell r="AH571" t="str">
            <v/>
          </cell>
          <cell r="AK571" t="str">
            <v/>
          </cell>
          <cell r="AM571" t="str">
            <v/>
          </cell>
          <cell r="AO571" t="str">
            <v/>
          </cell>
          <cell r="AS571" t="str">
            <v/>
          </cell>
          <cell r="AT571" t="str">
            <v/>
          </cell>
          <cell r="AU571" t="str">
            <v/>
          </cell>
          <cell r="AW571" t="str">
            <v/>
          </cell>
          <cell r="AX571" t="str">
            <v/>
          </cell>
        </row>
        <row r="572">
          <cell r="G572" t="str">
            <v/>
          </cell>
          <cell r="H572" t="str">
            <v/>
          </cell>
          <cell r="M572" t="str">
            <v/>
          </cell>
          <cell r="N572" t="str">
            <v/>
          </cell>
          <cell r="O572" t="str">
            <v/>
          </cell>
          <cell r="T572" t="str">
            <v/>
          </cell>
          <cell r="U572" t="str">
            <v/>
          </cell>
          <cell r="X572" t="str">
            <v/>
          </cell>
          <cell r="AH572" t="str">
            <v/>
          </cell>
          <cell r="AK572" t="str">
            <v/>
          </cell>
          <cell r="AM572" t="str">
            <v/>
          </cell>
          <cell r="AO572" t="str">
            <v/>
          </cell>
          <cell r="AS572" t="str">
            <v/>
          </cell>
          <cell r="AT572" t="str">
            <v/>
          </cell>
          <cell r="AU572" t="str">
            <v/>
          </cell>
          <cell r="AW572" t="str">
            <v/>
          </cell>
          <cell r="AX572" t="str">
            <v/>
          </cell>
        </row>
        <row r="573">
          <cell r="G573" t="str">
            <v/>
          </cell>
          <cell r="H573" t="str">
            <v/>
          </cell>
          <cell r="M573" t="str">
            <v/>
          </cell>
          <cell r="N573" t="str">
            <v/>
          </cell>
          <cell r="O573" t="str">
            <v/>
          </cell>
          <cell r="T573" t="str">
            <v/>
          </cell>
          <cell r="U573" t="str">
            <v/>
          </cell>
          <cell r="X573" t="str">
            <v/>
          </cell>
          <cell r="AH573" t="str">
            <v/>
          </cell>
          <cell r="AK573" t="str">
            <v/>
          </cell>
          <cell r="AM573" t="str">
            <v/>
          </cell>
          <cell r="AO573" t="str">
            <v/>
          </cell>
          <cell r="AS573" t="str">
            <v/>
          </cell>
          <cell r="AT573" t="str">
            <v/>
          </cell>
          <cell r="AU573" t="str">
            <v/>
          </cell>
          <cell r="AW573" t="str">
            <v/>
          </cell>
          <cell r="AX573" t="str">
            <v/>
          </cell>
        </row>
        <row r="574">
          <cell r="G574" t="str">
            <v/>
          </cell>
          <cell r="H574" t="str">
            <v/>
          </cell>
          <cell r="M574" t="str">
            <v/>
          </cell>
          <cell r="N574" t="str">
            <v/>
          </cell>
          <cell r="O574" t="str">
            <v/>
          </cell>
          <cell r="T574" t="str">
            <v/>
          </cell>
          <cell r="U574" t="str">
            <v/>
          </cell>
          <cell r="X574" t="str">
            <v/>
          </cell>
          <cell r="AH574" t="str">
            <v/>
          </cell>
          <cell r="AK574" t="str">
            <v/>
          </cell>
          <cell r="AM574" t="str">
            <v/>
          </cell>
          <cell r="AO574" t="str">
            <v/>
          </cell>
          <cell r="AS574" t="str">
            <v/>
          </cell>
          <cell r="AT574" t="str">
            <v/>
          </cell>
          <cell r="AU574" t="str">
            <v/>
          </cell>
          <cell r="AW574" t="str">
            <v/>
          </cell>
          <cell r="AX574" t="str">
            <v/>
          </cell>
        </row>
        <row r="575">
          <cell r="G575" t="str">
            <v/>
          </cell>
          <cell r="H575" t="str">
            <v/>
          </cell>
          <cell r="M575" t="str">
            <v/>
          </cell>
          <cell r="N575" t="str">
            <v/>
          </cell>
          <cell r="O575" t="str">
            <v/>
          </cell>
          <cell r="T575" t="str">
            <v/>
          </cell>
          <cell r="U575" t="str">
            <v/>
          </cell>
          <cell r="X575" t="str">
            <v/>
          </cell>
          <cell r="AH575" t="str">
            <v/>
          </cell>
          <cell r="AK575" t="str">
            <v/>
          </cell>
          <cell r="AM575" t="str">
            <v/>
          </cell>
          <cell r="AO575" t="str">
            <v/>
          </cell>
          <cell r="AS575" t="str">
            <v/>
          </cell>
          <cell r="AT575" t="str">
            <v/>
          </cell>
          <cell r="AU575" t="str">
            <v/>
          </cell>
          <cell r="AW575" t="str">
            <v/>
          </cell>
          <cell r="AX575" t="str">
            <v/>
          </cell>
        </row>
        <row r="576">
          <cell r="G576" t="str">
            <v/>
          </cell>
          <cell r="H576" t="str">
            <v/>
          </cell>
          <cell r="M576" t="str">
            <v/>
          </cell>
          <cell r="N576" t="str">
            <v/>
          </cell>
          <cell r="O576" t="str">
            <v/>
          </cell>
          <cell r="T576" t="str">
            <v/>
          </cell>
          <cell r="U576" t="str">
            <v/>
          </cell>
          <cell r="X576" t="str">
            <v/>
          </cell>
          <cell r="AH576" t="str">
            <v/>
          </cell>
          <cell r="AK576" t="str">
            <v/>
          </cell>
          <cell r="AM576" t="str">
            <v/>
          </cell>
          <cell r="AO576" t="str">
            <v/>
          </cell>
          <cell r="AS576" t="str">
            <v/>
          </cell>
          <cell r="AT576" t="str">
            <v/>
          </cell>
          <cell r="AU576" t="str">
            <v/>
          </cell>
          <cell r="AW576" t="str">
            <v/>
          </cell>
          <cell r="AX576" t="str">
            <v/>
          </cell>
        </row>
        <row r="577">
          <cell r="G577" t="str">
            <v/>
          </cell>
          <cell r="H577" t="str">
            <v/>
          </cell>
          <cell r="M577" t="str">
            <v/>
          </cell>
          <cell r="N577" t="str">
            <v/>
          </cell>
          <cell r="O577" t="str">
            <v/>
          </cell>
          <cell r="T577" t="str">
            <v/>
          </cell>
          <cell r="U577" t="str">
            <v/>
          </cell>
          <cell r="X577" t="str">
            <v/>
          </cell>
          <cell r="AH577" t="str">
            <v/>
          </cell>
          <cell r="AK577" t="str">
            <v/>
          </cell>
          <cell r="AM577" t="str">
            <v/>
          </cell>
          <cell r="AO577" t="str">
            <v/>
          </cell>
          <cell r="AS577" t="str">
            <v/>
          </cell>
          <cell r="AT577" t="str">
            <v/>
          </cell>
          <cell r="AU577" t="str">
            <v/>
          </cell>
          <cell r="AW577" t="str">
            <v/>
          </cell>
          <cell r="AX577" t="str">
            <v/>
          </cell>
        </row>
        <row r="578">
          <cell r="G578" t="str">
            <v/>
          </cell>
          <cell r="H578" t="str">
            <v/>
          </cell>
          <cell r="M578" t="str">
            <v/>
          </cell>
          <cell r="N578" t="str">
            <v/>
          </cell>
          <cell r="O578" t="str">
            <v/>
          </cell>
          <cell r="T578" t="str">
            <v/>
          </cell>
          <cell r="U578" t="str">
            <v/>
          </cell>
          <cell r="X578" t="str">
            <v/>
          </cell>
          <cell r="AH578" t="str">
            <v/>
          </cell>
          <cell r="AK578" t="str">
            <v/>
          </cell>
          <cell r="AM578" t="str">
            <v/>
          </cell>
          <cell r="AO578" t="str">
            <v/>
          </cell>
          <cell r="AS578" t="str">
            <v/>
          </cell>
          <cell r="AT578" t="str">
            <v/>
          </cell>
          <cell r="AU578" t="str">
            <v/>
          </cell>
          <cell r="AW578" t="str">
            <v/>
          </cell>
          <cell r="AX578" t="str">
            <v/>
          </cell>
        </row>
        <row r="579">
          <cell r="G579" t="str">
            <v/>
          </cell>
          <cell r="H579" t="str">
            <v/>
          </cell>
          <cell r="M579" t="str">
            <v/>
          </cell>
          <cell r="N579" t="str">
            <v/>
          </cell>
          <cell r="O579" t="str">
            <v/>
          </cell>
          <cell r="T579" t="str">
            <v/>
          </cell>
          <cell r="U579" t="str">
            <v/>
          </cell>
          <cell r="X579" t="str">
            <v/>
          </cell>
          <cell r="AH579" t="str">
            <v/>
          </cell>
          <cell r="AK579" t="str">
            <v/>
          </cell>
          <cell r="AM579" t="str">
            <v/>
          </cell>
          <cell r="AO579" t="str">
            <v/>
          </cell>
          <cell r="AS579" t="str">
            <v/>
          </cell>
          <cell r="AT579" t="str">
            <v/>
          </cell>
          <cell r="AU579" t="str">
            <v/>
          </cell>
          <cell r="AW579" t="str">
            <v/>
          </cell>
          <cell r="AX579" t="str">
            <v/>
          </cell>
        </row>
        <row r="580">
          <cell r="G580" t="str">
            <v/>
          </cell>
          <cell r="H580" t="str">
            <v/>
          </cell>
          <cell r="M580" t="str">
            <v/>
          </cell>
          <cell r="N580" t="str">
            <v/>
          </cell>
          <cell r="O580" t="str">
            <v/>
          </cell>
          <cell r="T580" t="str">
            <v/>
          </cell>
          <cell r="U580" t="str">
            <v/>
          </cell>
          <cell r="X580" t="str">
            <v/>
          </cell>
          <cell r="AH580" t="str">
            <v/>
          </cell>
          <cell r="AK580" t="str">
            <v/>
          </cell>
          <cell r="AM580" t="str">
            <v/>
          </cell>
          <cell r="AO580" t="str">
            <v/>
          </cell>
          <cell r="AS580" t="str">
            <v/>
          </cell>
          <cell r="AT580" t="str">
            <v/>
          </cell>
          <cell r="AU580" t="str">
            <v/>
          </cell>
          <cell r="AW580" t="str">
            <v/>
          </cell>
          <cell r="AX580" t="str">
            <v/>
          </cell>
        </row>
        <row r="581">
          <cell r="G581" t="str">
            <v/>
          </cell>
          <cell r="H581" t="str">
            <v/>
          </cell>
          <cell r="M581" t="str">
            <v/>
          </cell>
          <cell r="N581" t="str">
            <v/>
          </cell>
          <cell r="O581" t="str">
            <v/>
          </cell>
          <cell r="T581" t="str">
            <v/>
          </cell>
          <cell r="U581" t="str">
            <v/>
          </cell>
          <cell r="X581" t="str">
            <v/>
          </cell>
          <cell r="AH581" t="str">
            <v/>
          </cell>
          <cell r="AK581" t="str">
            <v/>
          </cell>
          <cell r="AM581" t="str">
            <v/>
          </cell>
          <cell r="AO581" t="str">
            <v/>
          </cell>
          <cell r="AS581" t="str">
            <v/>
          </cell>
          <cell r="AT581" t="str">
            <v/>
          </cell>
          <cell r="AU581" t="str">
            <v/>
          </cell>
          <cell r="AW581" t="str">
            <v/>
          </cell>
          <cell r="AX581" t="str">
            <v/>
          </cell>
        </row>
        <row r="582">
          <cell r="G582" t="str">
            <v/>
          </cell>
          <cell r="H582" t="str">
            <v/>
          </cell>
          <cell r="M582" t="str">
            <v/>
          </cell>
          <cell r="N582" t="str">
            <v/>
          </cell>
          <cell r="O582" t="str">
            <v/>
          </cell>
          <cell r="T582" t="str">
            <v/>
          </cell>
          <cell r="U582" t="str">
            <v/>
          </cell>
          <cell r="X582" t="str">
            <v/>
          </cell>
          <cell r="AH582" t="str">
            <v/>
          </cell>
          <cell r="AK582" t="str">
            <v/>
          </cell>
          <cell r="AM582" t="str">
            <v/>
          </cell>
          <cell r="AO582" t="str">
            <v/>
          </cell>
          <cell r="AS582" t="str">
            <v/>
          </cell>
          <cell r="AT582" t="str">
            <v/>
          </cell>
          <cell r="AU582" t="str">
            <v/>
          </cell>
          <cell r="AW582" t="str">
            <v/>
          </cell>
          <cell r="AX582" t="str">
            <v/>
          </cell>
        </row>
        <row r="583">
          <cell r="G583" t="str">
            <v/>
          </cell>
          <cell r="H583" t="str">
            <v/>
          </cell>
          <cell r="M583" t="str">
            <v/>
          </cell>
          <cell r="N583" t="str">
            <v/>
          </cell>
          <cell r="O583" t="str">
            <v/>
          </cell>
          <cell r="T583" t="str">
            <v/>
          </cell>
          <cell r="U583" t="str">
            <v/>
          </cell>
          <cell r="X583" t="str">
            <v/>
          </cell>
          <cell r="AH583" t="str">
            <v/>
          </cell>
          <cell r="AK583" t="str">
            <v/>
          </cell>
          <cell r="AM583" t="str">
            <v/>
          </cell>
          <cell r="AO583" t="str">
            <v/>
          </cell>
          <cell r="AS583" t="str">
            <v/>
          </cell>
          <cell r="AT583" t="str">
            <v/>
          </cell>
          <cell r="AU583" t="str">
            <v/>
          </cell>
          <cell r="AW583" t="str">
            <v/>
          </cell>
          <cell r="AX583" t="str">
            <v/>
          </cell>
        </row>
        <row r="584">
          <cell r="G584" t="str">
            <v/>
          </cell>
          <cell r="H584" t="str">
            <v/>
          </cell>
          <cell r="M584" t="str">
            <v/>
          </cell>
          <cell r="N584" t="str">
            <v/>
          </cell>
          <cell r="O584" t="str">
            <v/>
          </cell>
          <cell r="T584" t="str">
            <v/>
          </cell>
          <cell r="U584" t="str">
            <v/>
          </cell>
          <cell r="X584" t="str">
            <v/>
          </cell>
          <cell r="AH584" t="str">
            <v/>
          </cell>
          <cell r="AK584" t="str">
            <v/>
          </cell>
          <cell r="AM584" t="str">
            <v/>
          </cell>
          <cell r="AO584" t="str">
            <v/>
          </cell>
          <cell r="AS584" t="str">
            <v/>
          </cell>
          <cell r="AT584" t="str">
            <v/>
          </cell>
          <cell r="AU584" t="str">
            <v/>
          </cell>
          <cell r="AW584" t="str">
            <v/>
          </cell>
          <cell r="AX584" t="str">
            <v/>
          </cell>
        </row>
        <row r="585">
          <cell r="G585" t="str">
            <v/>
          </cell>
          <cell r="H585" t="str">
            <v/>
          </cell>
          <cell r="M585" t="str">
            <v/>
          </cell>
          <cell r="N585" t="str">
            <v/>
          </cell>
          <cell r="O585" t="str">
            <v/>
          </cell>
          <cell r="T585" t="str">
            <v/>
          </cell>
          <cell r="U585" t="str">
            <v/>
          </cell>
          <cell r="X585" t="str">
            <v/>
          </cell>
          <cell r="AH585" t="str">
            <v/>
          </cell>
          <cell r="AK585" t="str">
            <v/>
          </cell>
          <cell r="AM585" t="str">
            <v/>
          </cell>
          <cell r="AO585" t="str">
            <v/>
          </cell>
          <cell r="AS585" t="str">
            <v/>
          </cell>
          <cell r="AT585" t="str">
            <v/>
          </cell>
          <cell r="AU585" t="str">
            <v/>
          </cell>
          <cell r="AW585" t="str">
            <v/>
          </cell>
          <cell r="AX585" t="str">
            <v/>
          </cell>
        </row>
        <row r="586">
          <cell r="G586" t="str">
            <v/>
          </cell>
          <cell r="H586" t="str">
            <v/>
          </cell>
          <cell r="M586" t="str">
            <v/>
          </cell>
          <cell r="N586" t="str">
            <v/>
          </cell>
          <cell r="O586" t="str">
            <v/>
          </cell>
          <cell r="T586" t="str">
            <v/>
          </cell>
          <cell r="U586" t="str">
            <v/>
          </cell>
          <cell r="X586" t="str">
            <v/>
          </cell>
          <cell r="AH586" t="str">
            <v/>
          </cell>
          <cell r="AK586" t="str">
            <v/>
          </cell>
          <cell r="AM586" t="str">
            <v/>
          </cell>
          <cell r="AO586" t="str">
            <v/>
          </cell>
          <cell r="AS586" t="str">
            <v/>
          </cell>
          <cell r="AT586" t="str">
            <v/>
          </cell>
          <cell r="AU586" t="str">
            <v/>
          </cell>
          <cell r="AW586" t="str">
            <v/>
          </cell>
          <cell r="AX586" t="str">
            <v/>
          </cell>
        </row>
        <row r="587">
          <cell r="G587" t="str">
            <v/>
          </cell>
          <cell r="H587" t="str">
            <v/>
          </cell>
          <cell r="M587" t="str">
            <v/>
          </cell>
          <cell r="N587" t="str">
            <v/>
          </cell>
          <cell r="O587" t="str">
            <v/>
          </cell>
          <cell r="T587" t="str">
            <v/>
          </cell>
          <cell r="U587" t="str">
            <v/>
          </cell>
          <cell r="X587" t="str">
            <v/>
          </cell>
          <cell r="AH587" t="str">
            <v/>
          </cell>
          <cell r="AK587" t="str">
            <v/>
          </cell>
          <cell r="AM587" t="str">
            <v/>
          </cell>
          <cell r="AO587" t="str">
            <v/>
          </cell>
          <cell r="AS587" t="str">
            <v/>
          </cell>
          <cell r="AT587" t="str">
            <v/>
          </cell>
          <cell r="AU587" t="str">
            <v/>
          </cell>
          <cell r="AW587" t="str">
            <v/>
          </cell>
          <cell r="AX587" t="str">
            <v/>
          </cell>
        </row>
        <row r="588">
          <cell r="G588" t="str">
            <v/>
          </cell>
          <cell r="H588" t="str">
            <v/>
          </cell>
          <cell r="M588" t="str">
            <v/>
          </cell>
          <cell r="N588" t="str">
            <v/>
          </cell>
          <cell r="O588" t="str">
            <v/>
          </cell>
          <cell r="T588" t="str">
            <v/>
          </cell>
          <cell r="U588" t="str">
            <v/>
          </cell>
          <cell r="X588" t="str">
            <v/>
          </cell>
          <cell r="AH588" t="str">
            <v/>
          </cell>
          <cell r="AK588" t="str">
            <v/>
          </cell>
          <cell r="AM588" t="str">
            <v/>
          </cell>
          <cell r="AO588" t="str">
            <v/>
          </cell>
          <cell r="AS588" t="str">
            <v/>
          </cell>
          <cell r="AT588" t="str">
            <v/>
          </cell>
          <cell r="AU588" t="str">
            <v/>
          </cell>
          <cell r="AW588" t="str">
            <v/>
          </cell>
          <cell r="AX588" t="str">
            <v/>
          </cell>
        </row>
        <row r="589">
          <cell r="G589" t="str">
            <v/>
          </cell>
          <cell r="H589" t="str">
            <v/>
          </cell>
          <cell r="M589" t="str">
            <v/>
          </cell>
          <cell r="N589" t="str">
            <v/>
          </cell>
          <cell r="O589" t="str">
            <v/>
          </cell>
          <cell r="T589" t="str">
            <v/>
          </cell>
          <cell r="U589" t="str">
            <v/>
          </cell>
          <cell r="X589" t="str">
            <v/>
          </cell>
          <cell r="AH589" t="str">
            <v/>
          </cell>
          <cell r="AK589" t="str">
            <v/>
          </cell>
          <cell r="AM589" t="str">
            <v/>
          </cell>
          <cell r="AO589" t="str">
            <v/>
          </cell>
          <cell r="AS589" t="str">
            <v/>
          </cell>
          <cell r="AT589" t="str">
            <v/>
          </cell>
          <cell r="AU589" t="str">
            <v/>
          </cell>
          <cell r="AW589" t="str">
            <v/>
          </cell>
          <cell r="AX589" t="str">
            <v/>
          </cell>
        </row>
        <row r="590">
          <cell r="G590" t="str">
            <v/>
          </cell>
          <cell r="H590" t="str">
            <v/>
          </cell>
          <cell r="M590" t="str">
            <v/>
          </cell>
          <cell r="N590" t="str">
            <v/>
          </cell>
          <cell r="O590" t="str">
            <v/>
          </cell>
          <cell r="T590" t="str">
            <v/>
          </cell>
          <cell r="U590" t="str">
            <v/>
          </cell>
          <cell r="X590" t="str">
            <v/>
          </cell>
          <cell r="AH590" t="str">
            <v/>
          </cell>
          <cell r="AK590" t="str">
            <v/>
          </cell>
          <cell r="AM590" t="str">
            <v/>
          </cell>
          <cell r="AO590" t="str">
            <v/>
          </cell>
          <cell r="AS590" t="str">
            <v/>
          </cell>
          <cell r="AT590" t="str">
            <v/>
          </cell>
          <cell r="AU590" t="str">
            <v/>
          </cell>
          <cell r="AW590" t="str">
            <v/>
          </cell>
          <cell r="AX590" t="str">
            <v/>
          </cell>
        </row>
        <row r="591">
          <cell r="G591" t="str">
            <v/>
          </cell>
          <cell r="H591" t="str">
            <v/>
          </cell>
          <cell r="M591" t="str">
            <v/>
          </cell>
          <cell r="N591" t="str">
            <v/>
          </cell>
          <cell r="O591" t="str">
            <v/>
          </cell>
          <cell r="T591" t="str">
            <v/>
          </cell>
          <cell r="U591" t="str">
            <v/>
          </cell>
          <cell r="X591" t="str">
            <v/>
          </cell>
          <cell r="AH591" t="str">
            <v/>
          </cell>
          <cell r="AK591" t="str">
            <v/>
          </cell>
          <cell r="AM591" t="str">
            <v/>
          </cell>
          <cell r="AO591" t="str">
            <v/>
          </cell>
          <cell r="AS591" t="str">
            <v/>
          </cell>
          <cell r="AT591" t="str">
            <v/>
          </cell>
          <cell r="AU591" t="str">
            <v/>
          </cell>
          <cell r="AW591" t="str">
            <v/>
          </cell>
          <cell r="AX591" t="str">
            <v/>
          </cell>
        </row>
        <row r="592">
          <cell r="G592" t="str">
            <v/>
          </cell>
          <cell r="H592" t="str">
            <v/>
          </cell>
          <cell r="M592" t="str">
            <v/>
          </cell>
          <cell r="N592" t="str">
            <v/>
          </cell>
          <cell r="O592" t="str">
            <v/>
          </cell>
          <cell r="T592" t="str">
            <v/>
          </cell>
          <cell r="U592" t="str">
            <v/>
          </cell>
          <cell r="X592" t="str">
            <v/>
          </cell>
          <cell r="AH592" t="str">
            <v/>
          </cell>
          <cell r="AK592" t="str">
            <v/>
          </cell>
          <cell r="AM592" t="str">
            <v/>
          </cell>
          <cell r="AO592" t="str">
            <v/>
          </cell>
          <cell r="AS592" t="str">
            <v/>
          </cell>
          <cell r="AT592" t="str">
            <v/>
          </cell>
          <cell r="AU592" t="str">
            <v/>
          </cell>
          <cell r="AW592" t="str">
            <v/>
          </cell>
          <cell r="AX592" t="str">
            <v/>
          </cell>
        </row>
        <row r="593">
          <cell r="G593" t="str">
            <v/>
          </cell>
          <cell r="H593" t="str">
            <v/>
          </cell>
          <cell r="M593" t="str">
            <v/>
          </cell>
          <cell r="N593" t="str">
            <v/>
          </cell>
          <cell r="O593" t="str">
            <v/>
          </cell>
          <cell r="T593" t="str">
            <v/>
          </cell>
          <cell r="U593" t="str">
            <v/>
          </cell>
          <cell r="X593" t="str">
            <v/>
          </cell>
          <cell r="AH593" t="str">
            <v/>
          </cell>
          <cell r="AK593" t="str">
            <v/>
          </cell>
          <cell r="AM593" t="str">
            <v/>
          </cell>
          <cell r="AO593" t="str">
            <v/>
          </cell>
          <cell r="AS593" t="str">
            <v/>
          </cell>
          <cell r="AT593" t="str">
            <v/>
          </cell>
          <cell r="AU593" t="str">
            <v/>
          </cell>
          <cell r="AW593" t="str">
            <v/>
          </cell>
          <cell r="AX593" t="str">
            <v/>
          </cell>
        </row>
        <row r="594">
          <cell r="G594" t="str">
            <v/>
          </cell>
          <cell r="H594" t="str">
            <v/>
          </cell>
          <cell r="M594" t="str">
            <v/>
          </cell>
          <cell r="N594" t="str">
            <v/>
          </cell>
          <cell r="O594" t="str">
            <v/>
          </cell>
          <cell r="T594" t="str">
            <v/>
          </cell>
          <cell r="U594" t="str">
            <v/>
          </cell>
          <cell r="X594" t="str">
            <v/>
          </cell>
          <cell r="AH594" t="str">
            <v/>
          </cell>
          <cell r="AK594" t="str">
            <v/>
          </cell>
          <cell r="AM594" t="str">
            <v/>
          </cell>
          <cell r="AO594" t="str">
            <v/>
          </cell>
          <cell r="AS594" t="str">
            <v/>
          </cell>
          <cell r="AT594" t="str">
            <v/>
          </cell>
          <cell r="AU594" t="str">
            <v/>
          </cell>
          <cell r="AW594" t="str">
            <v/>
          </cell>
          <cell r="AX594" t="str">
            <v/>
          </cell>
        </row>
        <row r="595">
          <cell r="G595" t="str">
            <v/>
          </cell>
          <cell r="H595" t="str">
            <v/>
          </cell>
          <cell r="M595" t="str">
            <v/>
          </cell>
          <cell r="N595" t="str">
            <v/>
          </cell>
          <cell r="O595" t="str">
            <v/>
          </cell>
          <cell r="T595" t="str">
            <v/>
          </cell>
          <cell r="U595" t="str">
            <v/>
          </cell>
          <cell r="X595" t="str">
            <v/>
          </cell>
          <cell r="AH595" t="str">
            <v/>
          </cell>
          <cell r="AK595" t="str">
            <v/>
          </cell>
          <cell r="AM595" t="str">
            <v/>
          </cell>
          <cell r="AO595" t="str">
            <v/>
          </cell>
          <cell r="AS595" t="str">
            <v/>
          </cell>
          <cell r="AT595" t="str">
            <v/>
          </cell>
          <cell r="AU595" t="str">
            <v/>
          </cell>
          <cell r="AW595" t="str">
            <v/>
          </cell>
          <cell r="AX595" t="str">
            <v/>
          </cell>
        </row>
        <row r="596">
          <cell r="G596" t="str">
            <v/>
          </cell>
          <cell r="H596" t="str">
            <v/>
          </cell>
          <cell r="M596" t="str">
            <v/>
          </cell>
          <cell r="N596" t="str">
            <v/>
          </cell>
          <cell r="O596" t="str">
            <v/>
          </cell>
          <cell r="T596" t="str">
            <v/>
          </cell>
          <cell r="U596" t="str">
            <v/>
          </cell>
          <cell r="X596" t="str">
            <v/>
          </cell>
          <cell r="AH596" t="str">
            <v/>
          </cell>
          <cell r="AK596" t="str">
            <v/>
          </cell>
          <cell r="AM596" t="str">
            <v/>
          </cell>
          <cell r="AO596" t="str">
            <v/>
          </cell>
          <cell r="AS596" t="str">
            <v/>
          </cell>
          <cell r="AT596" t="str">
            <v/>
          </cell>
          <cell r="AU596" t="str">
            <v/>
          </cell>
          <cell r="AW596" t="str">
            <v/>
          </cell>
          <cell r="AX596" t="str">
            <v/>
          </cell>
        </row>
        <row r="597">
          <cell r="G597" t="str">
            <v/>
          </cell>
          <cell r="H597" t="str">
            <v/>
          </cell>
          <cell r="M597" t="str">
            <v/>
          </cell>
          <cell r="N597" t="str">
            <v/>
          </cell>
          <cell r="O597" t="str">
            <v/>
          </cell>
          <cell r="T597" t="str">
            <v/>
          </cell>
          <cell r="U597" t="str">
            <v/>
          </cell>
          <cell r="X597" t="str">
            <v/>
          </cell>
          <cell r="AH597" t="str">
            <v/>
          </cell>
          <cell r="AK597" t="str">
            <v/>
          </cell>
          <cell r="AM597" t="str">
            <v/>
          </cell>
          <cell r="AO597" t="str">
            <v/>
          </cell>
          <cell r="AS597" t="str">
            <v/>
          </cell>
          <cell r="AT597" t="str">
            <v/>
          </cell>
          <cell r="AU597" t="str">
            <v/>
          </cell>
          <cell r="AW597" t="str">
            <v/>
          </cell>
          <cell r="AX597" t="str">
            <v/>
          </cell>
        </row>
        <row r="598">
          <cell r="G598" t="str">
            <v/>
          </cell>
          <cell r="H598" t="str">
            <v/>
          </cell>
          <cell r="M598" t="str">
            <v/>
          </cell>
          <cell r="N598" t="str">
            <v/>
          </cell>
          <cell r="O598" t="str">
            <v/>
          </cell>
          <cell r="T598" t="str">
            <v/>
          </cell>
          <cell r="U598" t="str">
            <v/>
          </cell>
          <cell r="X598" t="str">
            <v/>
          </cell>
          <cell r="AH598" t="str">
            <v/>
          </cell>
          <cell r="AK598" t="str">
            <v/>
          </cell>
          <cell r="AM598" t="str">
            <v/>
          </cell>
          <cell r="AO598" t="str">
            <v/>
          </cell>
          <cell r="AS598" t="str">
            <v/>
          </cell>
          <cell r="AT598" t="str">
            <v/>
          </cell>
          <cell r="AU598" t="str">
            <v/>
          </cell>
          <cell r="AW598" t="str">
            <v/>
          </cell>
          <cell r="AX598" t="str">
            <v/>
          </cell>
        </row>
        <row r="599">
          <cell r="G599" t="str">
            <v/>
          </cell>
          <cell r="H599" t="str">
            <v/>
          </cell>
          <cell r="M599" t="str">
            <v/>
          </cell>
          <cell r="N599" t="str">
            <v/>
          </cell>
          <cell r="O599" t="str">
            <v/>
          </cell>
          <cell r="T599" t="str">
            <v/>
          </cell>
          <cell r="U599" t="str">
            <v/>
          </cell>
          <cell r="X599" t="str">
            <v/>
          </cell>
          <cell r="AH599" t="str">
            <v/>
          </cell>
          <cell r="AK599" t="str">
            <v/>
          </cell>
          <cell r="AM599" t="str">
            <v/>
          </cell>
          <cell r="AO599" t="str">
            <v/>
          </cell>
          <cell r="AS599" t="str">
            <v/>
          </cell>
          <cell r="AT599" t="str">
            <v/>
          </cell>
          <cell r="AU599" t="str">
            <v/>
          </cell>
          <cell r="AW599" t="str">
            <v/>
          </cell>
          <cell r="AX599" t="str">
            <v/>
          </cell>
        </row>
        <row r="600">
          <cell r="G600" t="str">
            <v/>
          </cell>
          <cell r="H600" t="str">
            <v/>
          </cell>
          <cell r="M600" t="str">
            <v/>
          </cell>
          <cell r="N600" t="str">
            <v/>
          </cell>
          <cell r="O600" t="str">
            <v/>
          </cell>
          <cell r="T600" t="str">
            <v/>
          </cell>
          <cell r="U600" t="str">
            <v/>
          </cell>
          <cell r="X600" t="str">
            <v/>
          </cell>
          <cell r="AH600" t="str">
            <v/>
          </cell>
          <cell r="AK600" t="str">
            <v/>
          </cell>
          <cell r="AM600" t="str">
            <v/>
          </cell>
          <cell r="AO600" t="str">
            <v/>
          </cell>
          <cell r="AS600" t="str">
            <v/>
          </cell>
          <cell r="AT600" t="str">
            <v/>
          </cell>
          <cell r="AU600" t="str">
            <v/>
          </cell>
          <cell r="AW600" t="str">
            <v/>
          </cell>
          <cell r="AX600" t="str">
            <v/>
          </cell>
        </row>
        <row r="601">
          <cell r="G601" t="str">
            <v/>
          </cell>
          <cell r="H601" t="str">
            <v/>
          </cell>
          <cell r="M601" t="str">
            <v/>
          </cell>
          <cell r="N601" t="str">
            <v/>
          </cell>
          <cell r="O601" t="str">
            <v/>
          </cell>
          <cell r="T601" t="str">
            <v/>
          </cell>
          <cell r="U601" t="str">
            <v/>
          </cell>
          <cell r="X601" t="str">
            <v/>
          </cell>
          <cell r="AH601" t="str">
            <v/>
          </cell>
          <cell r="AK601" t="str">
            <v/>
          </cell>
          <cell r="AM601" t="str">
            <v/>
          </cell>
          <cell r="AO601" t="str">
            <v/>
          </cell>
          <cell r="AS601" t="str">
            <v/>
          </cell>
          <cell r="AT601" t="str">
            <v/>
          </cell>
          <cell r="AU601" t="str">
            <v/>
          </cell>
          <cell r="AW601" t="str">
            <v/>
          </cell>
          <cell r="AX601" t="str">
            <v/>
          </cell>
        </row>
        <row r="602">
          <cell r="G602" t="str">
            <v/>
          </cell>
          <cell r="H602" t="str">
            <v/>
          </cell>
          <cell r="M602" t="str">
            <v/>
          </cell>
          <cell r="N602" t="str">
            <v/>
          </cell>
          <cell r="O602" t="str">
            <v/>
          </cell>
          <cell r="T602" t="str">
            <v/>
          </cell>
          <cell r="U602" t="str">
            <v/>
          </cell>
          <cell r="X602" t="str">
            <v/>
          </cell>
          <cell r="AH602" t="str">
            <v/>
          </cell>
          <cell r="AK602" t="str">
            <v/>
          </cell>
          <cell r="AM602" t="str">
            <v/>
          </cell>
          <cell r="AO602" t="str">
            <v/>
          </cell>
          <cell r="AS602" t="str">
            <v/>
          </cell>
          <cell r="AT602" t="str">
            <v/>
          </cell>
          <cell r="AU602" t="str">
            <v/>
          </cell>
          <cell r="AW602" t="str">
            <v/>
          </cell>
          <cell r="AX602" t="str">
            <v/>
          </cell>
        </row>
        <row r="603">
          <cell r="G603" t="str">
            <v/>
          </cell>
          <cell r="H603" t="str">
            <v/>
          </cell>
          <cell r="M603" t="str">
            <v/>
          </cell>
          <cell r="N603" t="str">
            <v/>
          </cell>
          <cell r="O603" t="str">
            <v/>
          </cell>
          <cell r="T603" t="str">
            <v/>
          </cell>
          <cell r="U603" t="str">
            <v/>
          </cell>
          <cell r="X603" t="str">
            <v/>
          </cell>
          <cell r="AH603" t="str">
            <v/>
          </cell>
          <cell r="AK603" t="str">
            <v/>
          </cell>
          <cell r="AM603" t="str">
            <v/>
          </cell>
          <cell r="AO603" t="str">
            <v/>
          </cell>
          <cell r="AS603" t="str">
            <v/>
          </cell>
          <cell r="AT603" t="str">
            <v/>
          </cell>
          <cell r="AU603" t="str">
            <v/>
          </cell>
          <cell r="AW603" t="str">
            <v/>
          </cell>
          <cell r="AX603" t="str">
            <v/>
          </cell>
        </row>
        <row r="604">
          <cell r="G604" t="str">
            <v/>
          </cell>
          <cell r="H604" t="str">
            <v/>
          </cell>
          <cell r="M604" t="str">
            <v/>
          </cell>
          <cell r="N604" t="str">
            <v/>
          </cell>
          <cell r="O604" t="str">
            <v/>
          </cell>
          <cell r="T604" t="str">
            <v/>
          </cell>
          <cell r="U604" t="str">
            <v/>
          </cell>
          <cell r="X604" t="str">
            <v/>
          </cell>
          <cell r="AH604" t="str">
            <v/>
          </cell>
          <cell r="AK604" t="str">
            <v/>
          </cell>
          <cell r="AM604" t="str">
            <v/>
          </cell>
          <cell r="AO604" t="str">
            <v/>
          </cell>
          <cell r="AS604" t="str">
            <v/>
          </cell>
          <cell r="AT604" t="str">
            <v/>
          </cell>
          <cell r="AU604" t="str">
            <v/>
          </cell>
          <cell r="AW604" t="str">
            <v/>
          </cell>
          <cell r="AX604" t="str">
            <v/>
          </cell>
        </row>
        <row r="605">
          <cell r="G605" t="str">
            <v/>
          </cell>
          <cell r="H605" t="str">
            <v/>
          </cell>
          <cell r="M605" t="str">
            <v/>
          </cell>
          <cell r="N605" t="str">
            <v/>
          </cell>
          <cell r="O605" t="str">
            <v/>
          </cell>
          <cell r="T605" t="str">
            <v/>
          </cell>
          <cell r="U605" t="str">
            <v/>
          </cell>
          <cell r="X605" t="str">
            <v/>
          </cell>
          <cell r="AH605" t="str">
            <v/>
          </cell>
          <cell r="AK605" t="str">
            <v/>
          </cell>
          <cell r="AM605" t="str">
            <v/>
          </cell>
          <cell r="AO605" t="str">
            <v/>
          </cell>
          <cell r="AS605" t="str">
            <v/>
          </cell>
          <cell r="AT605" t="str">
            <v/>
          </cell>
          <cell r="AU605" t="str">
            <v/>
          </cell>
          <cell r="AW605" t="str">
            <v/>
          </cell>
          <cell r="AX605" t="str">
            <v/>
          </cell>
        </row>
        <row r="606">
          <cell r="G606" t="str">
            <v/>
          </cell>
          <cell r="H606" t="str">
            <v/>
          </cell>
          <cell r="M606" t="str">
            <v/>
          </cell>
          <cell r="N606" t="str">
            <v/>
          </cell>
          <cell r="O606" t="str">
            <v/>
          </cell>
          <cell r="T606" t="str">
            <v/>
          </cell>
          <cell r="U606" t="str">
            <v/>
          </cell>
          <cell r="X606" t="str">
            <v/>
          </cell>
          <cell r="AH606" t="str">
            <v/>
          </cell>
          <cell r="AK606" t="str">
            <v/>
          </cell>
          <cell r="AM606" t="str">
            <v/>
          </cell>
          <cell r="AO606" t="str">
            <v/>
          </cell>
          <cell r="AS606" t="str">
            <v/>
          </cell>
          <cell r="AT606" t="str">
            <v/>
          </cell>
          <cell r="AU606" t="str">
            <v/>
          </cell>
          <cell r="AW606" t="str">
            <v/>
          </cell>
          <cell r="AX606" t="str">
            <v/>
          </cell>
        </row>
        <row r="607">
          <cell r="G607" t="str">
            <v/>
          </cell>
          <cell r="H607" t="str">
            <v/>
          </cell>
          <cell r="M607" t="str">
            <v/>
          </cell>
          <cell r="N607" t="str">
            <v/>
          </cell>
          <cell r="O607" t="str">
            <v/>
          </cell>
          <cell r="T607" t="str">
            <v/>
          </cell>
          <cell r="U607" t="str">
            <v/>
          </cell>
          <cell r="X607" t="str">
            <v/>
          </cell>
          <cell r="AH607" t="str">
            <v/>
          </cell>
          <cell r="AK607" t="str">
            <v/>
          </cell>
          <cell r="AM607" t="str">
            <v/>
          </cell>
          <cell r="AO607" t="str">
            <v/>
          </cell>
          <cell r="AS607" t="str">
            <v/>
          </cell>
          <cell r="AT607" t="str">
            <v/>
          </cell>
          <cell r="AU607" t="str">
            <v/>
          </cell>
          <cell r="AW607" t="str">
            <v/>
          </cell>
          <cell r="AX607" t="str">
            <v/>
          </cell>
        </row>
        <row r="608">
          <cell r="G608" t="str">
            <v/>
          </cell>
          <cell r="H608" t="str">
            <v/>
          </cell>
          <cell r="M608" t="str">
            <v/>
          </cell>
          <cell r="N608" t="str">
            <v/>
          </cell>
          <cell r="O608" t="str">
            <v/>
          </cell>
          <cell r="T608" t="str">
            <v/>
          </cell>
          <cell r="U608" t="str">
            <v/>
          </cell>
          <cell r="X608" t="str">
            <v/>
          </cell>
          <cell r="AH608" t="str">
            <v/>
          </cell>
          <cell r="AK608" t="str">
            <v/>
          </cell>
          <cell r="AM608" t="str">
            <v/>
          </cell>
          <cell r="AO608" t="str">
            <v/>
          </cell>
          <cell r="AS608" t="str">
            <v/>
          </cell>
          <cell r="AT608" t="str">
            <v/>
          </cell>
          <cell r="AU608" t="str">
            <v/>
          </cell>
          <cell r="AW608" t="str">
            <v/>
          </cell>
          <cell r="AX608" t="str">
            <v/>
          </cell>
        </row>
        <row r="609">
          <cell r="G609" t="str">
            <v/>
          </cell>
          <cell r="H609" t="str">
            <v/>
          </cell>
          <cell r="M609" t="str">
            <v/>
          </cell>
          <cell r="N609" t="str">
            <v/>
          </cell>
          <cell r="O609" t="str">
            <v/>
          </cell>
          <cell r="T609" t="str">
            <v/>
          </cell>
          <cell r="U609" t="str">
            <v/>
          </cell>
          <cell r="X609" t="str">
            <v/>
          </cell>
          <cell r="AH609" t="str">
            <v/>
          </cell>
          <cell r="AK609" t="str">
            <v/>
          </cell>
          <cell r="AM609" t="str">
            <v/>
          </cell>
          <cell r="AO609" t="str">
            <v/>
          </cell>
          <cell r="AS609" t="str">
            <v/>
          </cell>
          <cell r="AT609" t="str">
            <v/>
          </cell>
          <cell r="AU609" t="str">
            <v/>
          </cell>
          <cell r="AW609" t="str">
            <v/>
          </cell>
          <cell r="AX609" t="str">
            <v/>
          </cell>
        </row>
        <row r="610">
          <cell r="G610" t="str">
            <v/>
          </cell>
          <cell r="H610" t="str">
            <v/>
          </cell>
          <cell r="M610" t="str">
            <v/>
          </cell>
          <cell r="N610" t="str">
            <v/>
          </cell>
          <cell r="O610" t="str">
            <v/>
          </cell>
          <cell r="T610" t="str">
            <v/>
          </cell>
          <cell r="U610" t="str">
            <v/>
          </cell>
          <cell r="X610" t="str">
            <v/>
          </cell>
          <cell r="AH610" t="str">
            <v/>
          </cell>
          <cell r="AK610" t="str">
            <v/>
          </cell>
          <cell r="AM610" t="str">
            <v/>
          </cell>
          <cell r="AO610" t="str">
            <v/>
          </cell>
          <cell r="AS610" t="str">
            <v/>
          </cell>
          <cell r="AT610" t="str">
            <v/>
          </cell>
          <cell r="AU610" t="str">
            <v/>
          </cell>
          <cell r="AW610" t="str">
            <v/>
          </cell>
          <cell r="AX610" t="str">
            <v/>
          </cell>
        </row>
        <row r="611">
          <cell r="G611" t="str">
            <v/>
          </cell>
          <cell r="H611" t="str">
            <v/>
          </cell>
          <cell r="M611" t="str">
            <v/>
          </cell>
          <cell r="N611" t="str">
            <v/>
          </cell>
          <cell r="O611" t="str">
            <v/>
          </cell>
          <cell r="T611" t="str">
            <v/>
          </cell>
          <cell r="U611" t="str">
            <v/>
          </cell>
          <cell r="X611" t="str">
            <v/>
          </cell>
          <cell r="AH611" t="str">
            <v/>
          </cell>
          <cell r="AK611" t="str">
            <v/>
          </cell>
          <cell r="AM611" t="str">
            <v/>
          </cell>
          <cell r="AO611" t="str">
            <v/>
          </cell>
          <cell r="AS611" t="str">
            <v/>
          </cell>
          <cell r="AT611" t="str">
            <v/>
          </cell>
          <cell r="AU611" t="str">
            <v/>
          </cell>
          <cell r="AW611" t="str">
            <v/>
          </cell>
          <cell r="AX611" t="str">
            <v/>
          </cell>
        </row>
        <row r="612">
          <cell r="G612" t="str">
            <v/>
          </cell>
          <cell r="H612" t="str">
            <v/>
          </cell>
          <cell r="M612" t="str">
            <v/>
          </cell>
          <cell r="N612" t="str">
            <v/>
          </cell>
          <cell r="O612" t="str">
            <v/>
          </cell>
          <cell r="T612" t="str">
            <v/>
          </cell>
          <cell r="U612" t="str">
            <v/>
          </cell>
          <cell r="X612" t="str">
            <v/>
          </cell>
          <cell r="AH612" t="str">
            <v/>
          </cell>
          <cell r="AK612" t="str">
            <v/>
          </cell>
          <cell r="AM612" t="str">
            <v/>
          </cell>
          <cell r="AO612" t="str">
            <v/>
          </cell>
          <cell r="AS612" t="str">
            <v/>
          </cell>
          <cell r="AT612" t="str">
            <v/>
          </cell>
          <cell r="AU612" t="str">
            <v/>
          </cell>
          <cell r="AW612" t="str">
            <v/>
          </cell>
          <cell r="AX612" t="str">
            <v/>
          </cell>
        </row>
        <row r="613">
          <cell r="G613" t="str">
            <v/>
          </cell>
          <cell r="H613" t="str">
            <v/>
          </cell>
          <cell r="M613" t="str">
            <v/>
          </cell>
          <cell r="N613" t="str">
            <v/>
          </cell>
          <cell r="O613" t="str">
            <v/>
          </cell>
          <cell r="T613" t="str">
            <v/>
          </cell>
          <cell r="U613" t="str">
            <v/>
          </cell>
          <cell r="X613" t="str">
            <v/>
          </cell>
          <cell r="AH613" t="str">
            <v/>
          </cell>
          <cell r="AK613" t="str">
            <v/>
          </cell>
          <cell r="AM613" t="str">
            <v/>
          </cell>
          <cell r="AO613" t="str">
            <v/>
          </cell>
          <cell r="AS613" t="str">
            <v/>
          </cell>
          <cell r="AT613" t="str">
            <v/>
          </cell>
          <cell r="AU613" t="str">
            <v/>
          </cell>
          <cell r="AW613" t="str">
            <v/>
          </cell>
          <cell r="AX613" t="str">
            <v/>
          </cell>
        </row>
        <row r="614">
          <cell r="G614" t="str">
            <v/>
          </cell>
          <cell r="H614" t="str">
            <v/>
          </cell>
          <cell r="M614" t="str">
            <v/>
          </cell>
          <cell r="N614" t="str">
            <v/>
          </cell>
          <cell r="O614" t="str">
            <v/>
          </cell>
          <cell r="T614" t="str">
            <v/>
          </cell>
          <cell r="U614" t="str">
            <v/>
          </cell>
          <cell r="X614" t="str">
            <v/>
          </cell>
          <cell r="AH614" t="str">
            <v/>
          </cell>
          <cell r="AK614" t="str">
            <v/>
          </cell>
          <cell r="AM614" t="str">
            <v/>
          </cell>
          <cell r="AO614" t="str">
            <v/>
          </cell>
          <cell r="AS614" t="str">
            <v/>
          </cell>
          <cell r="AT614" t="str">
            <v/>
          </cell>
          <cell r="AU614" t="str">
            <v/>
          </cell>
          <cell r="AW614" t="str">
            <v/>
          </cell>
          <cell r="AX614" t="str">
            <v/>
          </cell>
        </row>
        <row r="615">
          <cell r="G615" t="str">
            <v/>
          </cell>
          <cell r="H615" t="str">
            <v/>
          </cell>
          <cell r="M615" t="str">
            <v/>
          </cell>
          <cell r="N615" t="str">
            <v/>
          </cell>
          <cell r="O615" t="str">
            <v/>
          </cell>
          <cell r="T615" t="str">
            <v/>
          </cell>
          <cell r="U615" t="str">
            <v/>
          </cell>
          <cell r="X615" t="str">
            <v/>
          </cell>
          <cell r="AH615" t="str">
            <v/>
          </cell>
          <cell r="AK615" t="str">
            <v/>
          </cell>
          <cell r="AM615" t="str">
            <v/>
          </cell>
          <cell r="AO615" t="str">
            <v/>
          </cell>
          <cell r="AS615" t="str">
            <v/>
          </cell>
          <cell r="AT615" t="str">
            <v/>
          </cell>
          <cell r="AU615" t="str">
            <v/>
          </cell>
          <cell r="AW615" t="str">
            <v/>
          </cell>
          <cell r="AX615" t="str">
            <v/>
          </cell>
        </row>
        <row r="616">
          <cell r="G616" t="str">
            <v/>
          </cell>
          <cell r="H616" t="str">
            <v/>
          </cell>
          <cell r="M616" t="str">
            <v/>
          </cell>
          <cell r="N616" t="str">
            <v/>
          </cell>
          <cell r="O616" t="str">
            <v/>
          </cell>
          <cell r="T616" t="str">
            <v/>
          </cell>
          <cell r="U616" t="str">
            <v/>
          </cell>
          <cell r="X616" t="str">
            <v/>
          </cell>
          <cell r="AH616" t="str">
            <v/>
          </cell>
          <cell r="AK616" t="str">
            <v/>
          </cell>
          <cell r="AM616" t="str">
            <v/>
          </cell>
          <cell r="AO616" t="str">
            <v/>
          </cell>
          <cell r="AS616" t="str">
            <v/>
          </cell>
          <cell r="AT616" t="str">
            <v/>
          </cell>
          <cell r="AU616" t="str">
            <v/>
          </cell>
          <cell r="AW616" t="str">
            <v/>
          </cell>
          <cell r="AX616" t="str">
            <v/>
          </cell>
        </row>
        <row r="617">
          <cell r="G617" t="str">
            <v/>
          </cell>
          <cell r="H617" t="str">
            <v/>
          </cell>
          <cell r="M617" t="str">
            <v/>
          </cell>
          <cell r="N617" t="str">
            <v/>
          </cell>
          <cell r="O617" t="str">
            <v/>
          </cell>
          <cell r="T617" t="str">
            <v/>
          </cell>
          <cell r="U617" t="str">
            <v/>
          </cell>
          <cell r="X617" t="str">
            <v/>
          </cell>
          <cell r="AH617" t="str">
            <v/>
          </cell>
          <cell r="AK617" t="str">
            <v/>
          </cell>
          <cell r="AM617" t="str">
            <v/>
          </cell>
          <cell r="AO617" t="str">
            <v/>
          </cell>
          <cell r="AS617" t="str">
            <v/>
          </cell>
          <cell r="AT617" t="str">
            <v/>
          </cell>
          <cell r="AU617" t="str">
            <v/>
          </cell>
          <cell r="AW617" t="str">
            <v/>
          </cell>
          <cell r="AX617" t="str">
            <v/>
          </cell>
        </row>
        <row r="618">
          <cell r="G618" t="str">
            <v/>
          </cell>
          <cell r="H618" t="str">
            <v/>
          </cell>
          <cell r="M618" t="str">
            <v/>
          </cell>
          <cell r="N618" t="str">
            <v/>
          </cell>
          <cell r="O618" t="str">
            <v/>
          </cell>
          <cell r="T618" t="str">
            <v/>
          </cell>
          <cell r="U618" t="str">
            <v/>
          </cell>
          <cell r="X618" t="str">
            <v/>
          </cell>
          <cell r="AH618" t="str">
            <v/>
          </cell>
          <cell r="AK618" t="str">
            <v/>
          </cell>
          <cell r="AM618" t="str">
            <v/>
          </cell>
          <cell r="AO618" t="str">
            <v/>
          </cell>
          <cell r="AS618" t="str">
            <v/>
          </cell>
          <cell r="AT618" t="str">
            <v/>
          </cell>
          <cell r="AU618" t="str">
            <v/>
          </cell>
          <cell r="AW618" t="str">
            <v/>
          </cell>
          <cell r="AX618" t="str">
            <v/>
          </cell>
        </row>
        <row r="619">
          <cell r="G619" t="str">
            <v/>
          </cell>
          <cell r="H619" t="str">
            <v/>
          </cell>
          <cell r="M619" t="str">
            <v/>
          </cell>
          <cell r="N619" t="str">
            <v/>
          </cell>
          <cell r="O619" t="str">
            <v/>
          </cell>
          <cell r="T619" t="str">
            <v/>
          </cell>
          <cell r="U619" t="str">
            <v/>
          </cell>
          <cell r="X619" t="str">
            <v/>
          </cell>
          <cell r="AH619" t="str">
            <v/>
          </cell>
          <cell r="AK619" t="str">
            <v/>
          </cell>
          <cell r="AM619" t="str">
            <v/>
          </cell>
          <cell r="AO619" t="str">
            <v/>
          </cell>
          <cell r="AS619" t="str">
            <v/>
          </cell>
          <cell r="AT619" t="str">
            <v/>
          </cell>
          <cell r="AU619" t="str">
            <v/>
          </cell>
          <cell r="AW619" t="str">
            <v/>
          </cell>
          <cell r="AX619" t="str">
            <v/>
          </cell>
        </row>
        <row r="620">
          <cell r="G620" t="str">
            <v/>
          </cell>
          <cell r="H620" t="str">
            <v/>
          </cell>
          <cell r="M620" t="str">
            <v/>
          </cell>
          <cell r="N620" t="str">
            <v/>
          </cell>
          <cell r="O620" t="str">
            <v/>
          </cell>
          <cell r="T620" t="str">
            <v/>
          </cell>
          <cell r="U620" t="str">
            <v/>
          </cell>
          <cell r="X620" t="str">
            <v/>
          </cell>
          <cell r="AH620" t="str">
            <v/>
          </cell>
          <cell r="AK620" t="str">
            <v/>
          </cell>
          <cell r="AM620" t="str">
            <v/>
          </cell>
          <cell r="AO620" t="str">
            <v/>
          </cell>
          <cell r="AS620" t="str">
            <v/>
          </cell>
          <cell r="AT620" t="str">
            <v/>
          </cell>
          <cell r="AU620" t="str">
            <v/>
          </cell>
          <cell r="AW620" t="str">
            <v/>
          </cell>
          <cell r="AX620" t="str">
            <v/>
          </cell>
        </row>
        <row r="621">
          <cell r="G621" t="str">
            <v/>
          </cell>
          <cell r="H621" t="str">
            <v/>
          </cell>
          <cell r="M621" t="str">
            <v/>
          </cell>
          <cell r="N621" t="str">
            <v/>
          </cell>
          <cell r="O621" t="str">
            <v/>
          </cell>
          <cell r="T621" t="str">
            <v/>
          </cell>
          <cell r="U621" t="str">
            <v/>
          </cell>
          <cell r="X621" t="str">
            <v/>
          </cell>
          <cell r="AH621" t="str">
            <v/>
          </cell>
          <cell r="AK621" t="str">
            <v/>
          </cell>
          <cell r="AM621" t="str">
            <v/>
          </cell>
          <cell r="AO621" t="str">
            <v/>
          </cell>
          <cell r="AS621" t="str">
            <v/>
          </cell>
          <cell r="AT621" t="str">
            <v/>
          </cell>
          <cell r="AU621" t="str">
            <v/>
          </cell>
          <cell r="AW621" t="str">
            <v/>
          </cell>
          <cell r="AX621" t="str">
            <v/>
          </cell>
        </row>
        <row r="622">
          <cell r="G622" t="str">
            <v/>
          </cell>
          <cell r="H622" t="str">
            <v/>
          </cell>
          <cell r="M622" t="str">
            <v/>
          </cell>
          <cell r="N622" t="str">
            <v/>
          </cell>
          <cell r="O622" t="str">
            <v/>
          </cell>
          <cell r="T622" t="str">
            <v/>
          </cell>
          <cell r="U622" t="str">
            <v/>
          </cell>
          <cell r="X622" t="str">
            <v/>
          </cell>
          <cell r="AH622" t="str">
            <v/>
          </cell>
          <cell r="AK622" t="str">
            <v/>
          </cell>
          <cell r="AM622" t="str">
            <v/>
          </cell>
          <cell r="AO622" t="str">
            <v/>
          </cell>
          <cell r="AS622" t="str">
            <v/>
          </cell>
          <cell r="AT622" t="str">
            <v/>
          </cell>
          <cell r="AU622" t="str">
            <v/>
          </cell>
          <cell r="AW622" t="str">
            <v/>
          </cell>
          <cell r="AX622" t="str">
            <v/>
          </cell>
        </row>
        <row r="623">
          <cell r="G623" t="str">
            <v/>
          </cell>
          <cell r="H623" t="str">
            <v/>
          </cell>
          <cell r="M623" t="str">
            <v/>
          </cell>
          <cell r="N623" t="str">
            <v/>
          </cell>
          <cell r="O623" t="str">
            <v/>
          </cell>
          <cell r="T623" t="str">
            <v/>
          </cell>
          <cell r="U623" t="str">
            <v/>
          </cell>
          <cell r="X623" t="str">
            <v/>
          </cell>
          <cell r="AH623" t="str">
            <v/>
          </cell>
          <cell r="AK623" t="str">
            <v/>
          </cell>
          <cell r="AM623" t="str">
            <v/>
          </cell>
          <cell r="AO623" t="str">
            <v/>
          </cell>
          <cell r="AS623" t="str">
            <v/>
          </cell>
          <cell r="AT623" t="str">
            <v/>
          </cell>
          <cell r="AU623" t="str">
            <v/>
          </cell>
          <cell r="AW623" t="str">
            <v/>
          </cell>
          <cell r="AX623" t="str">
            <v/>
          </cell>
        </row>
        <row r="624">
          <cell r="G624" t="str">
            <v/>
          </cell>
          <cell r="H624" t="str">
            <v/>
          </cell>
          <cell r="M624" t="str">
            <v/>
          </cell>
          <cell r="N624" t="str">
            <v/>
          </cell>
          <cell r="O624" t="str">
            <v/>
          </cell>
          <cell r="T624" t="str">
            <v/>
          </cell>
          <cell r="U624" t="str">
            <v/>
          </cell>
          <cell r="X624" t="str">
            <v/>
          </cell>
          <cell r="AH624" t="str">
            <v/>
          </cell>
          <cell r="AK624" t="str">
            <v/>
          </cell>
          <cell r="AM624" t="str">
            <v/>
          </cell>
          <cell r="AO624" t="str">
            <v/>
          </cell>
          <cell r="AS624" t="str">
            <v/>
          </cell>
          <cell r="AT624" t="str">
            <v/>
          </cell>
          <cell r="AU624" t="str">
            <v/>
          </cell>
          <cell r="AW624" t="str">
            <v/>
          </cell>
          <cell r="AX624" t="str">
            <v/>
          </cell>
        </row>
        <row r="625">
          <cell r="G625" t="str">
            <v/>
          </cell>
          <cell r="H625" t="str">
            <v/>
          </cell>
          <cell r="M625" t="str">
            <v/>
          </cell>
          <cell r="N625" t="str">
            <v/>
          </cell>
          <cell r="O625" t="str">
            <v/>
          </cell>
          <cell r="T625" t="str">
            <v/>
          </cell>
          <cell r="U625" t="str">
            <v/>
          </cell>
          <cell r="X625" t="str">
            <v/>
          </cell>
          <cell r="AH625" t="str">
            <v/>
          </cell>
          <cell r="AK625" t="str">
            <v/>
          </cell>
          <cell r="AM625" t="str">
            <v/>
          </cell>
          <cell r="AO625" t="str">
            <v/>
          </cell>
          <cell r="AS625" t="str">
            <v/>
          </cell>
          <cell r="AT625" t="str">
            <v/>
          </cell>
          <cell r="AU625" t="str">
            <v/>
          </cell>
          <cell r="AW625" t="str">
            <v/>
          </cell>
          <cell r="AX625" t="str">
            <v/>
          </cell>
        </row>
        <row r="626">
          <cell r="G626" t="str">
            <v/>
          </cell>
          <cell r="H626" t="str">
            <v/>
          </cell>
          <cell r="M626" t="str">
            <v/>
          </cell>
          <cell r="N626" t="str">
            <v/>
          </cell>
          <cell r="O626" t="str">
            <v/>
          </cell>
          <cell r="T626" t="str">
            <v/>
          </cell>
          <cell r="U626" t="str">
            <v/>
          </cell>
          <cell r="X626" t="str">
            <v/>
          </cell>
          <cell r="AH626" t="str">
            <v/>
          </cell>
          <cell r="AK626" t="str">
            <v/>
          </cell>
          <cell r="AM626" t="str">
            <v/>
          </cell>
          <cell r="AO626" t="str">
            <v/>
          </cell>
          <cell r="AS626" t="str">
            <v/>
          </cell>
          <cell r="AT626" t="str">
            <v/>
          </cell>
          <cell r="AU626" t="str">
            <v/>
          </cell>
          <cell r="AW626" t="str">
            <v/>
          </cell>
          <cell r="AX626" t="str">
            <v/>
          </cell>
        </row>
        <row r="627">
          <cell r="G627" t="str">
            <v/>
          </cell>
          <cell r="H627" t="str">
            <v/>
          </cell>
          <cell r="M627" t="str">
            <v/>
          </cell>
          <cell r="N627" t="str">
            <v/>
          </cell>
          <cell r="O627" t="str">
            <v/>
          </cell>
          <cell r="T627" t="str">
            <v/>
          </cell>
          <cell r="U627" t="str">
            <v/>
          </cell>
          <cell r="X627" t="str">
            <v/>
          </cell>
          <cell r="AH627" t="str">
            <v/>
          </cell>
          <cell r="AK627" t="str">
            <v/>
          </cell>
          <cell r="AM627" t="str">
            <v/>
          </cell>
          <cell r="AO627" t="str">
            <v/>
          </cell>
          <cell r="AS627" t="str">
            <v/>
          </cell>
          <cell r="AT627" t="str">
            <v/>
          </cell>
          <cell r="AU627" t="str">
            <v/>
          </cell>
          <cell r="AW627" t="str">
            <v/>
          </cell>
          <cell r="AX627" t="str">
            <v/>
          </cell>
        </row>
        <row r="628">
          <cell r="G628" t="str">
            <v/>
          </cell>
          <cell r="H628" t="str">
            <v/>
          </cell>
          <cell r="M628" t="str">
            <v/>
          </cell>
          <cell r="N628" t="str">
            <v/>
          </cell>
          <cell r="O628" t="str">
            <v/>
          </cell>
          <cell r="T628" t="str">
            <v/>
          </cell>
          <cell r="U628" t="str">
            <v/>
          </cell>
          <cell r="X628" t="str">
            <v/>
          </cell>
          <cell r="AH628" t="str">
            <v/>
          </cell>
          <cell r="AK628" t="str">
            <v/>
          </cell>
          <cell r="AM628" t="str">
            <v/>
          </cell>
          <cell r="AO628" t="str">
            <v/>
          </cell>
          <cell r="AS628" t="str">
            <v/>
          </cell>
          <cell r="AT628" t="str">
            <v/>
          </cell>
          <cell r="AU628" t="str">
            <v/>
          </cell>
          <cell r="AW628" t="str">
            <v/>
          </cell>
          <cell r="AX628" t="str">
            <v/>
          </cell>
        </row>
        <row r="629">
          <cell r="G629" t="str">
            <v/>
          </cell>
          <cell r="H629" t="str">
            <v/>
          </cell>
          <cell r="M629" t="str">
            <v/>
          </cell>
          <cell r="N629" t="str">
            <v/>
          </cell>
          <cell r="O629" t="str">
            <v/>
          </cell>
          <cell r="T629" t="str">
            <v/>
          </cell>
          <cell r="U629" t="str">
            <v/>
          </cell>
          <cell r="X629" t="str">
            <v/>
          </cell>
          <cell r="AH629" t="str">
            <v/>
          </cell>
          <cell r="AK629" t="str">
            <v/>
          </cell>
          <cell r="AM629" t="str">
            <v/>
          </cell>
          <cell r="AO629" t="str">
            <v/>
          </cell>
          <cell r="AS629" t="str">
            <v/>
          </cell>
          <cell r="AT629" t="str">
            <v/>
          </cell>
          <cell r="AU629" t="str">
            <v/>
          </cell>
          <cell r="AW629" t="str">
            <v/>
          </cell>
          <cell r="AX629" t="str">
            <v/>
          </cell>
        </row>
        <row r="630">
          <cell r="G630" t="str">
            <v/>
          </cell>
          <cell r="H630" t="str">
            <v/>
          </cell>
          <cell r="M630" t="str">
            <v/>
          </cell>
          <cell r="N630" t="str">
            <v/>
          </cell>
          <cell r="O630" t="str">
            <v/>
          </cell>
          <cell r="T630" t="str">
            <v/>
          </cell>
          <cell r="U630" t="str">
            <v/>
          </cell>
          <cell r="X630" t="str">
            <v/>
          </cell>
          <cell r="AH630" t="str">
            <v/>
          </cell>
          <cell r="AK630" t="str">
            <v/>
          </cell>
          <cell r="AM630" t="str">
            <v/>
          </cell>
          <cell r="AO630" t="str">
            <v/>
          </cell>
          <cell r="AS630" t="str">
            <v/>
          </cell>
          <cell r="AT630" t="str">
            <v/>
          </cell>
          <cell r="AU630" t="str">
            <v/>
          </cell>
          <cell r="AW630" t="str">
            <v/>
          </cell>
          <cell r="AX630" t="str">
            <v/>
          </cell>
        </row>
        <row r="631">
          <cell r="G631" t="str">
            <v/>
          </cell>
          <cell r="H631" t="str">
            <v/>
          </cell>
          <cell r="M631" t="str">
            <v/>
          </cell>
          <cell r="N631" t="str">
            <v/>
          </cell>
          <cell r="O631" t="str">
            <v/>
          </cell>
          <cell r="T631" t="str">
            <v/>
          </cell>
          <cell r="U631" t="str">
            <v/>
          </cell>
          <cell r="X631" t="str">
            <v/>
          </cell>
          <cell r="AH631" t="str">
            <v/>
          </cell>
          <cell r="AK631" t="str">
            <v/>
          </cell>
          <cell r="AM631" t="str">
            <v/>
          </cell>
          <cell r="AO631" t="str">
            <v/>
          </cell>
          <cell r="AS631" t="str">
            <v/>
          </cell>
          <cell r="AT631" t="str">
            <v/>
          </cell>
          <cell r="AU631" t="str">
            <v/>
          </cell>
          <cell r="AW631" t="str">
            <v/>
          </cell>
          <cell r="AX631" t="str">
            <v/>
          </cell>
        </row>
        <row r="632">
          <cell r="G632" t="str">
            <v/>
          </cell>
          <cell r="H632" t="str">
            <v/>
          </cell>
          <cell r="M632" t="str">
            <v/>
          </cell>
          <cell r="N632" t="str">
            <v/>
          </cell>
          <cell r="O632" t="str">
            <v/>
          </cell>
          <cell r="T632" t="str">
            <v/>
          </cell>
          <cell r="U632" t="str">
            <v/>
          </cell>
          <cell r="X632" t="str">
            <v/>
          </cell>
          <cell r="AH632" t="str">
            <v/>
          </cell>
          <cell r="AK632" t="str">
            <v/>
          </cell>
          <cell r="AM632" t="str">
            <v/>
          </cell>
          <cell r="AO632" t="str">
            <v/>
          </cell>
          <cell r="AS632" t="str">
            <v/>
          </cell>
          <cell r="AT632" t="str">
            <v/>
          </cell>
          <cell r="AU632" t="str">
            <v/>
          </cell>
          <cell r="AW632" t="str">
            <v/>
          </cell>
          <cell r="AX632" t="str">
            <v/>
          </cell>
        </row>
        <row r="633">
          <cell r="G633" t="str">
            <v/>
          </cell>
          <cell r="H633" t="str">
            <v/>
          </cell>
          <cell r="M633" t="str">
            <v/>
          </cell>
          <cell r="N633" t="str">
            <v/>
          </cell>
          <cell r="O633" t="str">
            <v/>
          </cell>
          <cell r="T633" t="str">
            <v/>
          </cell>
          <cell r="U633" t="str">
            <v/>
          </cell>
          <cell r="X633" t="str">
            <v/>
          </cell>
          <cell r="AH633" t="str">
            <v/>
          </cell>
          <cell r="AK633" t="str">
            <v/>
          </cell>
          <cell r="AM633" t="str">
            <v/>
          </cell>
          <cell r="AO633" t="str">
            <v/>
          </cell>
          <cell r="AS633" t="str">
            <v/>
          </cell>
          <cell r="AT633" t="str">
            <v/>
          </cell>
          <cell r="AU633" t="str">
            <v/>
          </cell>
          <cell r="AW633" t="str">
            <v/>
          </cell>
          <cell r="AX633" t="str">
            <v/>
          </cell>
        </row>
        <row r="634">
          <cell r="G634" t="str">
            <v/>
          </cell>
          <cell r="H634" t="str">
            <v/>
          </cell>
          <cell r="M634" t="str">
            <v/>
          </cell>
          <cell r="N634" t="str">
            <v/>
          </cell>
          <cell r="O634" t="str">
            <v/>
          </cell>
          <cell r="T634" t="str">
            <v/>
          </cell>
          <cell r="U634" t="str">
            <v/>
          </cell>
          <cell r="X634" t="str">
            <v/>
          </cell>
          <cell r="AH634" t="str">
            <v/>
          </cell>
          <cell r="AK634" t="str">
            <v/>
          </cell>
          <cell r="AM634" t="str">
            <v/>
          </cell>
          <cell r="AO634" t="str">
            <v/>
          </cell>
          <cell r="AS634" t="str">
            <v/>
          </cell>
          <cell r="AT634" t="str">
            <v/>
          </cell>
          <cell r="AU634" t="str">
            <v/>
          </cell>
          <cell r="AW634" t="str">
            <v/>
          </cell>
          <cell r="AX634" t="str">
            <v/>
          </cell>
        </row>
        <row r="635">
          <cell r="G635" t="str">
            <v/>
          </cell>
          <cell r="H635" t="str">
            <v/>
          </cell>
          <cell r="M635" t="str">
            <v/>
          </cell>
          <cell r="N635" t="str">
            <v/>
          </cell>
          <cell r="O635" t="str">
            <v/>
          </cell>
          <cell r="T635" t="str">
            <v/>
          </cell>
          <cell r="U635" t="str">
            <v/>
          </cell>
          <cell r="X635" t="str">
            <v/>
          </cell>
          <cell r="AH635" t="str">
            <v/>
          </cell>
          <cell r="AK635" t="str">
            <v/>
          </cell>
          <cell r="AM635" t="str">
            <v/>
          </cell>
          <cell r="AO635" t="str">
            <v/>
          </cell>
          <cell r="AS635" t="str">
            <v/>
          </cell>
          <cell r="AT635" t="str">
            <v/>
          </cell>
          <cell r="AU635" t="str">
            <v/>
          </cell>
          <cell r="AW635" t="str">
            <v/>
          </cell>
          <cell r="AX635" t="str">
            <v/>
          </cell>
        </row>
        <row r="636">
          <cell r="G636" t="str">
            <v/>
          </cell>
          <cell r="H636" t="str">
            <v/>
          </cell>
          <cell r="M636" t="str">
            <v/>
          </cell>
          <cell r="N636" t="str">
            <v/>
          </cell>
          <cell r="O636" t="str">
            <v/>
          </cell>
          <cell r="T636" t="str">
            <v/>
          </cell>
          <cell r="U636" t="str">
            <v/>
          </cell>
          <cell r="X636" t="str">
            <v/>
          </cell>
          <cell r="AH636" t="str">
            <v/>
          </cell>
          <cell r="AK636" t="str">
            <v/>
          </cell>
          <cell r="AM636" t="str">
            <v/>
          </cell>
          <cell r="AO636" t="str">
            <v/>
          </cell>
          <cell r="AS636" t="str">
            <v/>
          </cell>
          <cell r="AT636" t="str">
            <v/>
          </cell>
          <cell r="AU636" t="str">
            <v/>
          </cell>
          <cell r="AW636" t="str">
            <v/>
          </cell>
          <cell r="AX636" t="str">
            <v/>
          </cell>
        </row>
        <row r="637">
          <cell r="G637" t="str">
            <v/>
          </cell>
          <cell r="H637" t="str">
            <v/>
          </cell>
          <cell r="M637" t="str">
            <v/>
          </cell>
          <cell r="N637" t="str">
            <v/>
          </cell>
          <cell r="O637" t="str">
            <v/>
          </cell>
          <cell r="T637" t="str">
            <v/>
          </cell>
          <cell r="U637" t="str">
            <v/>
          </cell>
          <cell r="X637" t="str">
            <v/>
          </cell>
          <cell r="AH637" t="str">
            <v/>
          </cell>
          <cell r="AK637" t="str">
            <v/>
          </cell>
          <cell r="AM637" t="str">
            <v/>
          </cell>
          <cell r="AO637" t="str">
            <v/>
          </cell>
          <cell r="AS637" t="str">
            <v/>
          </cell>
          <cell r="AT637" t="str">
            <v/>
          </cell>
          <cell r="AU637" t="str">
            <v/>
          </cell>
          <cell r="AW637" t="str">
            <v/>
          </cell>
          <cell r="AX637" t="str">
            <v/>
          </cell>
        </row>
        <row r="638">
          <cell r="G638" t="str">
            <v/>
          </cell>
          <cell r="H638" t="str">
            <v/>
          </cell>
          <cell r="M638" t="str">
            <v/>
          </cell>
          <cell r="N638" t="str">
            <v/>
          </cell>
          <cell r="O638" t="str">
            <v/>
          </cell>
          <cell r="T638" t="str">
            <v/>
          </cell>
          <cell r="U638" t="str">
            <v/>
          </cell>
          <cell r="X638" t="str">
            <v/>
          </cell>
          <cell r="AH638" t="str">
            <v/>
          </cell>
          <cell r="AK638" t="str">
            <v/>
          </cell>
          <cell r="AM638" t="str">
            <v/>
          </cell>
          <cell r="AO638" t="str">
            <v/>
          </cell>
          <cell r="AS638" t="str">
            <v/>
          </cell>
          <cell r="AT638" t="str">
            <v/>
          </cell>
          <cell r="AU638" t="str">
            <v/>
          </cell>
          <cell r="AW638" t="str">
            <v/>
          </cell>
          <cell r="AX638" t="str">
            <v/>
          </cell>
        </row>
        <row r="639">
          <cell r="G639" t="str">
            <v/>
          </cell>
          <cell r="H639" t="str">
            <v/>
          </cell>
          <cell r="M639" t="str">
            <v/>
          </cell>
          <cell r="N639" t="str">
            <v/>
          </cell>
          <cell r="O639" t="str">
            <v/>
          </cell>
          <cell r="T639" t="str">
            <v/>
          </cell>
          <cell r="U639" t="str">
            <v/>
          </cell>
          <cell r="X639" t="str">
            <v/>
          </cell>
          <cell r="AH639" t="str">
            <v/>
          </cell>
          <cell r="AK639" t="str">
            <v/>
          </cell>
          <cell r="AM639" t="str">
            <v/>
          </cell>
          <cell r="AO639" t="str">
            <v/>
          </cell>
          <cell r="AS639" t="str">
            <v/>
          </cell>
          <cell r="AT639" t="str">
            <v/>
          </cell>
          <cell r="AU639" t="str">
            <v/>
          </cell>
          <cell r="AW639" t="str">
            <v/>
          </cell>
          <cell r="AX639" t="str">
            <v/>
          </cell>
        </row>
        <row r="640">
          <cell r="G640" t="str">
            <v/>
          </cell>
          <cell r="H640" t="str">
            <v/>
          </cell>
          <cell r="M640" t="str">
            <v/>
          </cell>
          <cell r="N640" t="str">
            <v/>
          </cell>
          <cell r="O640" t="str">
            <v/>
          </cell>
          <cell r="T640" t="str">
            <v/>
          </cell>
          <cell r="U640" t="str">
            <v/>
          </cell>
          <cell r="X640" t="str">
            <v/>
          </cell>
          <cell r="AH640" t="str">
            <v/>
          </cell>
          <cell r="AK640" t="str">
            <v/>
          </cell>
          <cell r="AM640" t="str">
            <v/>
          </cell>
          <cell r="AO640" t="str">
            <v/>
          </cell>
          <cell r="AS640" t="str">
            <v/>
          </cell>
          <cell r="AT640" t="str">
            <v/>
          </cell>
          <cell r="AU640" t="str">
            <v/>
          </cell>
          <cell r="AW640" t="str">
            <v/>
          </cell>
          <cell r="AX640" t="str">
            <v/>
          </cell>
        </row>
        <row r="641">
          <cell r="G641" t="str">
            <v/>
          </cell>
          <cell r="H641" t="str">
            <v/>
          </cell>
          <cell r="M641" t="str">
            <v/>
          </cell>
          <cell r="N641" t="str">
            <v/>
          </cell>
          <cell r="O641" t="str">
            <v/>
          </cell>
          <cell r="T641" t="str">
            <v/>
          </cell>
          <cell r="U641" t="str">
            <v/>
          </cell>
          <cell r="X641" t="str">
            <v/>
          </cell>
          <cell r="AH641" t="str">
            <v/>
          </cell>
          <cell r="AK641" t="str">
            <v/>
          </cell>
          <cell r="AM641" t="str">
            <v/>
          </cell>
          <cell r="AO641" t="str">
            <v/>
          </cell>
          <cell r="AS641" t="str">
            <v/>
          </cell>
          <cell r="AT641" t="str">
            <v/>
          </cell>
          <cell r="AU641" t="str">
            <v/>
          </cell>
          <cell r="AW641" t="str">
            <v/>
          </cell>
          <cell r="AX641" t="str">
            <v/>
          </cell>
        </row>
        <row r="642">
          <cell r="G642" t="str">
            <v/>
          </cell>
          <cell r="H642" t="str">
            <v/>
          </cell>
          <cell r="M642" t="str">
            <v/>
          </cell>
          <cell r="N642" t="str">
            <v/>
          </cell>
          <cell r="O642" t="str">
            <v/>
          </cell>
          <cell r="T642" t="str">
            <v/>
          </cell>
          <cell r="U642" t="str">
            <v/>
          </cell>
          <cell r="X642" t="str">
            <v/>
          </cell>
          <cell r="AH642" t="str">
            <v/>
          </cell>
          <cell r="AK642" t="str">
            <v/>
          </cell>
          <cell r="AM642" t="str">
            <v/>
          </cell>
          <cell r="AO642" t="str">
            <v/>
          </cell>
          <cell r="AS642" t="str">
            <v/>
          </cell>
          <cell r="AT642" t="str">
            <v/>
          </cell>
          <cell r="AU642" t="str">
            <v/>
          </cell>
          <cell r="AW642" t="str">
            <v/>
          </cell>
          <cell r="AX642" t="str">
            <v/>
          </cell>
        </row>
        <row r="643">
          <cell r="G643" t="str">
            <v/>
          </cell>
          <cell r="H643" t="str">
            <v/>
          </cell>
          <cell r="M643" t="str">
            <v/>
          </cell>
          <cell r="N643" t="str">
            <v/>
          </cell>
          <cell r="O643" t="str">
            <v/>
          </cell>
          <cell r="T643" t="str">
            <v/>
          </cell>
          <cell r="U643" t="str">
            <v/>
          </cell>
          <cell r="X643" t="str">
            <v/>
          </cell>
          <cell r="AH643" t="str">
            <v/>
          </cell>
          <cell r="AK643" t="str">
            <v/>
          </cell>
          <cell r="AM643" t="str">
            <v/>
          </cell>
          <cell r="AO643" t="str">
            <v/>
          </cell>
          <cell r="AS643" t="str">
            <v/>
          </cell>
          <cell r="AT643" t="str">
            <v/>
          </cell>
          <cell r="AU643" t="str">
            <v/>
          </cell>
          <cell r="AW643" t="str">
            <v/>
          </cell>
          <cell r="AX643" t="str">
            <v/>
          </cell>
        </row>
        <row r="644">
          <cell r="G644" t="str">
            <v/>
          </cell>
          <cell r="H644" t="str">
            <v/>
          </cell>
          <cell r="M644" t="str">
            <v/>
          </cell>
          <cell r="N644" t="str">
            <v/>
          </cell>
          <cell r="O644" t="str">
            <v/>
          </cell>
          <cell r="T644" t="str">
            <v/>
          </cell>
          <cell r="U644" t="str">
            <v/>
          </cell>
          <cell r="X644" t="str">
            <v/>
          </cell>
          <cell r="AH644" t="str">
            <v/>
          </cell>
          <cell r="AK644" t="str">
            <v/>
          </cell>
          <cell r="AM644" t="str">
            <v/>
          </cell>
          <cell r="AO644" t="str">
            <v/>
          </cell>
          <cell r="AS644" t="str">
            <v/>
          </cell>
          <cell r="AT644" t="str">
            <v/>
          </cell>
          <cell r="AU644" t="str">
            <v/>
          </cell>
          <cell r="AW644" t="str">
            <v/>
          </cell>
          <cell r="AX644" t="str">
            <v/>
          </cell>
        </row>
        <row r="645">
          <cell r="G645" t="str">
            <v/>
          </cell>
          <cell r="H645" t="str">
            <v/>
          </cell>
          <cell r="M645" t="str">
            <v/>
          </cell>
          <cell r="N645" t="str">
            <v/>
          </cell>
          <cell r="O645" t="str">
            <v/>
          </cell>
          <cell r="T645" t="str">
            <v/>
          </cell>
          <cell r="U645" t="str">
            <v/>
          </cell>
          <cell r="X645" t="str">
            <v/>
          </cell>
          <cell r="AH645" t="str">
            <v/>
          </cell>
          <cell r="AK645" t="str">
            <v/>
          </cell>
          <cell r="AM645" t="str">
            <v/>
          </cell>
          <cell r="AO645" t="str">
            <v/>
          </cell>
          <cell r="AS645" t="str">
            <v/>
          </cell>
          <cell r="AT645" t="str">
            <v/>
          </cell>
          <cell r="AU645" t="str">
            <v/>
          </cell>
          <cell r="AW645" t="str">
            <v/>
          </cell>
          <cell r="AX645" t="str">
            <v/>
          </cell>
        </row>
        <row r="646">
          <cell r="G646" t="str">
            <v/>
          </cell>
          <cell r="H646" t="str">
            <v/>
          </cell>
          <cell r="M646" t="str">
            <v/>
          </cell>
          <cell r="N646" t="str">
            <v/>
          </cell>
          <cell r="O646" t="str">
            <v/>
          </cell>
          <cell r="T646" t="str">
            <v/>
          </cell>
          <cell r="U646" t="str">
            <v/>
          </cell>
          <cell r="X646" t="str">
            <v/>
          </cell>
          <cell r="AH646" t="str">
            <v/>
          </cell>
          <cell r="AK646" t="str">
            <v/>
          </cell>
          <cell r="AM646" t="str">
            <v/>
          </cell>
          <cell r="AO646" t="str">
            <v/>
          </cell>
          <cell r="AS646" t="str">
            <v/>
          </cell>
          <cell r="AT646" t="str">
            <v/>
          </cell>
          <cell r="AU646" t="str">
            <v/>
          </cell>
          <cell r="AW646" t="str">
            <v/>
          </cell>
          <cell r="AX646" t="str">
            <v/>
          </cell>
        </row>
        <row r="647">
          <cell r="G647" t="str">
            <v/>
          </cell>
          <cell r="H647" t="str">
            <v/>
          </cell>
          <cell r="M647" t="str">
            <v/>
          </cell>
          <cell r="N647" t="str">
            <v/>
          </cell>
          <cell r="O647" t="str">
            <v/>
          </cell>
          <cell r="T647" t="str">
            <v/>
          </cell>
          <cell r="U647" t="str">
            <v/>
          </cell>
          <cell r="X647" t="str">
            <v/>
          </cell>
          <cell r="AH647" t="str">
            <v/>
          </cell>
          <cell r="AK647" t="str">
            <v/>
          </cell>
          <cell r="AM647" t="str">
            <v/>
          </cell>
          <cell r="AO647" t="str">
            <v/>
          </cell>
          <cell r="AS647" t="str">
            <v/>
          </cell>
          <cell r="AT647" t="str">
            <v/>
          </cell>
          <cell r="AU647" t="str">
            <v/>
          </cell>
          <cell r="AW647" t="str">
            <v/>
          </cell>
          <cell r="AX647" t="str">
            <v/>
          </cell>
        </row>
        <row r="648">
          <cell r="G648" t="str">
            <v/>
          </cell>
          <cell r="H648" t="str">
            <v/>
          </cell>
          <cell r="M648" t="str">
            <v/>
          </cell>
          <cell r="N648" t="str">
            <v/>
          </cell>
          <cell r="O648" t="str">
            <v/>
          </cell>
          <cell r="T648" t="str">
            <v/>
          </cell>
          <cell r="U648" t="str">
            <v/>
          </cell>
          <cell r="X648" t="str">
            <v/>
          </cell>
          <cell r="AH648" t="str">
            <v/>
          </cell>
          <cell r="AK648" t="str">
            <v/>
          </cell>
          <cell r="AM648" t="str">
            <v/>
          </cell>
          <cell r="AO648" t="str">
            <v/>
          </cell>
          <cell r="AS648" t="str">
            <v/>
          </cell>
          <cell r="AT648" t="str">
            <v/>
          </cell>
          <cell r="AU648" t="str">
            <v/>
          </cell>
          <cell r="AW648" t="str">
            <v/>
          </cell>
          <cell r="AX648" t="str">
            <v/>
          </cell>
        </row>
        <row r="649">
          <cell r="G649" t="str">
            <v/>
          </cell>
          <cell r="H649" t="str">
            <v/>
          </cell>
          <cell r="M649" t="str">
            <v/>
          </cell>
          <cell r="N649" t="str">
            <v/>
          </cell>
          <cell r="O649" t="str">
            <v/>
          </cell>
          <cell r="T649" t="str">
            <v/>
          </cell>
          <cell r="U649" t="str">
            <v/>
          </cell>
          <cell r="X649" t="str">
            <v/>
          </cell>
          <cell r="AH649" t="str">
            <v/>
          </cell>
          <cell r="AK649" t="str">
            <v/>
          </cell>
          <cell r="AM649" t="str">
            <v/>
          </cell>
          <cell r="AO649" t="str">
            <v/>
          </cell>
          <cell r="AS649" t="str">
            <v/>
          </cell>
          <cell r="AT649" t="str">
            <v/>
          </cell>
          <cell r="AU649" t="str">
            <v/>
          </cell>
          <cell r="AW649" t="str">
            <v/>
          </cell>
          <cell r="AX649" t="str">
            <v/>
          </cell>
        </row>
        <row r="650">
          <cell r="G650" t="str">
            <v/>
          </cell>
          <cell r="H650" t="str">
            <v/>
          </cell>
          <cell r="M650" t="str">
            <v/>
          </cell>
          <cell r="N650" t="str">
            <v/>
          </cell>
          <cell r="O650" t="str">
            <v/>
          </cell>
          <cell r="T650" t="str">
            <v/>
          </cell>
          <cell r="U650" t="str">
            <v/>
          </cell>
          <cell r="X650" t="str">
            <v/>
          </cell>
          <cell r="AH650" t="str">
            <v/>
          </cell>
          <cell r="AK650" t="str">
            <v/>
          </cell>
          <cell r="AM650" t="str">
            <v/>
          </cell>
          <cell r="AO650" t="str">
            <v/>
          </cell>
          <cell r="AS650" t="str">
            <v/>
          </cell>
          <cell r="AT650" t="str">
            <v/>
          </cell>
          <cell r="AU650" t="str">
            <v/>
          </cell>
          <cell r="AW650" t="str">
            <v/>
          </cell>
          <cell r="AX650" t="str">
            <v/>
          </cell>
        </row>
        <row r="651">
          <cell r="G651" t="str">
            <v/>
          </cell>
          <cell r="H651" t="str">
            <v/>
          </cell>
          <cell r="M651" t="str">
            <v/>
          </cell>
          <cell r="N651" t="str">
            <v/>
          </cell>
          <cell r="O651" t="str">
            <v/>
          </cell>
          <cell r="T651" t="str">
            <v/>
          </cell>
          <cell r="U651" t="str">
            <v/>
          </cell>
          <cell r="X651" t="str">
            <v/>
          </cell>
          <cell r="AH651" t="str">
            <v/>
          </cell>
          <cell r="AK651" t="str">
            <v/>
          </cell>
          <cell r="AM651" t="str">
            <v/>
          </cell>
          <cell r="AO651" t="str">
            <v/>
          </cell>
          <cell r="AS651" t="str">
            <v/>
          </cell>
          <cell r="AT651" t="str">
            <v/>
          </cell>
          <cell r="AU651" t="str">
            <v/>
          </cell>
          <cell r="AW651" t="str">
            <v/>
          </cell>
          <cell r="AX651" t="str">
            <v/>
          </cell>
        </row>
        <row r="652">
          <cell r="G652" t="str">
            <v/>
          </cell>
          <cell r="H652" t="str">
            <v/>
          </cell>
          <cell r="M652" t="str">
            <v/>
          </cell>
          <cell r="N652" t="str">
            <v/>
          </cell>
          <cell r="O652" t="str">
            <v/>
          </cell>
          <cell r="T652" t="str">
            <v/>
          </cell>
          <cell r="U652" t="str">
            <v/>
          </cell>
          <cell r="X652" t="str">
            <v/>
          </cell>
          <cell r="AH652" t="str">
            <v/>
          </cell>
          <cell r="AK652" t="str">
            <v/>
          </cell>
          <cell r="AM652" t="str">
            <v/>
          </cell>
          <cell r="AO652" t="str">
            <v/>
          </cell>
          <cell r="AS652" t="str">
            <v/>
          </cell>
          <cell r="AT652" t="str">
            <v/>
          </cell>
          <cell r="AU652" t="str">
            <v/>
          </cell>
          <cell r="AW652" t="str">
            <v/>
          </cell>
          <cell r="AX652" t="str">
            <v/>
          </cell>
        </row>
        <row r="653">
          <cell r="G653" t="str">
            <v/>
          </cell>
          <cell r="H653" t="str">
            <v/>
          </cell>
          <cell r="M653" t="str">
            <v/>
          </cell>
          <cell r="N653" t="str">
            <v/>
          </cell>
          <cell r="O653" t="str">
            <v/>
          </cell>
          <cell r="T653" t="str">
            <v/>
          </cell>
          <cell r="U653" t="str">
            <v/>
          </cell>
          <cell r="X653" t="str">
            <v/>
          </cell>
          <cell r="AH653" t="str">
            <v/>
          </cell>
          <cell r="AK653" t="str">
            <v/>
          </cell>
          <cell r="AM653" t="str">
            <v/>
          </cell>
          <cell r="AO653" t="str">
            <v/>
          </cell>
          <cell r="AS653" t="str">
            <v/>
          </cell>
          <cell r="AT653" t="str">
            <v/>
          </cell>
          <cell r="AU653" t="str">
            <v/>
          </cell>
          <cell r="AW653" t="str">
            <v/>
          </cell>
          <cell r="AX653" t="str">
            <v/>
          </cell>
        </row>
        <row r="654">
          <cell r="G654" t="str">
            <v/>
          </cell>
          <cell r="H654" t="str">
            <v/>
          </cell>
          <cell r="M654" t="str">
            <v/>
          </cell>
          <cell r="N654" t="str">
            <v/>
          </cell>
          <cell r="O654" t="str">
            <v/>
          </cell>
          <cell r="T654" t="str">
            <v/>
          </cell>
          <cell r="U654" t="str">
            <v/>
          </cell>
          <cell r="X654" t="str">
            <v/>
          </cell>
          <cell r="AH654" t="str">
            <v/>
          </cell>
          <cell r="AK654" t="str">
            <v/>
          </cell>
          <cell r="AM654" t="str">
            <v/>
          </cell>
          <cell r="AO654" t="str">
            <v/>
          </cell>
          <cell r="AS654" t="str">
            <v/>
          </cell>
          <cell r="AT654" t="str">
            <v/>
          </cell>
          <cell r="AU654" t="str">
            <v/>
          </cell>
          <cell r="AW654" t="str">
            <v/>
          </cell>
          <cell r="AX654" t="str">
            <v/>
          </cell>
        </row>
        <row r="655">
          <cell r="G655" t="str">
            <v/>
          </cell>
          <cell r="H655" t="str">
            <v/>
          </cell>
          <cell r="M655" t="str">
            <v/>
          </cell>
          <cell r="N655" t="str">
            <v/>
          </cell>
          <cell r="O655" t="str">
            <v/>
          </cell>
          <cell r="T655" t="str">
            <v/>
          </cell>
          <cell r="U655" t="str">
            <v/>
          </cell>
          <cell r="X655" t="str">
            <v/>
          </cell>
          <cell r="AH655" t="str">
            <v/>
          </cell>
          <cell r="AK655" t="str">
            <v/>
          </cell>
          <cell r="AM655" t="str">
            <v/>
          </cell>
          <cell r="AO655" t="str">
            <v/>
          </cell>
          <cell r="AS655" t="str">
            <v/>
          </cell>
          <cell r="AT655" t="str">
            <v/>
          </cell>
          <cell r="AU655" t="str">
            <v/>
          </cell>
          <cell r="AW655" t="str">
            <v/>
          </cell>
          <cell r="AX655" t="str">
            <v/>
          </cell>
        </row>
        <row r="656">
          <cell r="G656" t="str">
            <v/>
          </cell>
          <cell r="H656" t="str">
            <v/>
          </cell>
          <cell r="M656" t="str">
            <v/>
          </cell>
          <cell r="N656" t="str">
            <v/>
          </cell>
          <cell r="O656" t="str">
            <v/>
          </cell>
          <cell r="T656" t="str">
            <v/>
          </cell>
          <cell r="U656" t="str">
            <v/>
          </cell>
          <cell r="X656" t="str">
            <v/>
          </cell>
          <cell r="AH656" t="str">
            <v/>
          </cell>
          <cell r="AK656" t="str">
            <v/>
          </cell>
          <cell r="AM656" t="str">
            <v/>
          </cell>
          <cell r="AO656" t="str">
            <v/>
          </cell>
          <cell r="AS656" t="str">
            <v/>
          </cell>
          <cell r="AT656" t="str">
            <v/>
          </cell>
          <cell r="AU656" t="str">
            <v/>
          </cell>
          <cell r="AW656" t="str">
            <v/>
          </cell>
          <cell r="AX656" t="str">
            <v/>
          </cell>
        </row>
        <row r="657">
          <cell r="G657" t="str">
            <v/>
          </cell>
          <cell r="H657" t="str">
            <v/>
          </cell>
          <cell r="M657" t="str">
            <v/>
          </cell>
          <cell r="N657" t="str">
            <v/>
          </cell>
          <cell r="O657" t="str">
            <v/>
          </cell>
          <cell r="T657" t="str">
            <v/>
          </cell>
          <cell r="U657" t="str">
            <v/>
          </cell>
          <cell r="X657" t="str">
            <v/>
          </cell>
          <cell r="AH657" t="str">
            <v/>
          </cell>
          <cell r="AK657" t="str">
            <v/>
          </cell>
          <cell r="AM657" t="str">
            <v/>
          </cell>
          <cell r="AO657" t="str">
            <v/>
          </cell>
          <cell r="AS657" t="str">
            <v/>
          </cell>
          <cell r="AT657" t="str">
            <v/>
          </cell>
          <cell r="AU657" t="str">
            <v/>
          </cell>
          <cell r="AW657" t="str">
            <v/>
          </cell>
          <cell r="AX657" t="str">
            <v/>
          </cell>
        </row>
        <row r="658">
          <cell r="G658" t="str">
            <v/>
          </cell>
          <cell r="H658" t="str">
            <v/>
          </cell>
          <cell r="M658" t="str">
            <v/>
          </cell>
          <cell r="N658" t="str">
            <v/>
          </cell>
          <cell r="O658" t="str">
            <v/>
          </cell>
          <cell r="T658" t="str">
            <v/>
          </cell>
          <cell r="U658" t="str">
            <v/>
          </cell>
          <cell r="X658" t="str">
            <v/>
          </cell>
          <cell r="AH658" t="str">
            <v/>
          </cell>
          <cell r="AK658" t="str">
            <v/>
          </cell>
          <cell r="AM658" t="str">
            <v/>
          </cell>
          <cell r="AO658" t="str">
            <v/>
          </cell>
          <cell r="AS658" t="str">
            <v/>
          </cell>
          <cell r="AT658" t="str">
            <v/>
          </cell>
          <cell r="AU658" t="str">
            <v/>
          </cell>
          <cell r="AW658" t="str">
            <v/>
          </cell>
          <cell r="AX658" t="str">
            <v/>
          </cell>
        </row>
        <row r="659">
          <cell r="G659" t="str">
            <v/>
          </cell>
          <cell r="H659" t="str">
            <v/>
          </cell>
          <cell r="M659" t="str">
            <v/>
          </cell>
          <cell r="N659" t="str">
            <v/>
          </cell>
          <cell r="O659" t="str">
            <v/>
          </cell>
          <cell r="T659" t="str">
            <v/>
          </cell>
          <cell r="U659" t="str">
            <v/>
          </cell>
          <cell r="X659" t="str">
            <v/>
          </cell>
          <cell r="AH659" t="str">
            <v/>
          </cell>
          <cell r="AK659" t="str">
            <v/>
          </cell>
          <cell r="AM659" t="str">
            <v/>
          </cell>
          <cell r="AO659" t="str">
            <v/>
          </cell>
          <cell r="AS659" t="str">
            <v/>
          </cell>
          <cell r="AT659" t="str">
            <v/>
          </cell>
          <cell r="AU659" t="str">
            <v/>
          </cell>
          <cell r="AW659" t="str">
            <v/>
          </cell>
          <cell r="AX659" t="str">
            <v/>
          </cell>
        </row>
        <row r="660">
          <cell r="G660" t="str">
            <v/>
          </cell>
          <cell r="H660" t="str">
            <v/>
          </cell>
          <cell r="M660" t="str">
            <v/>
          </cell>
          <cell r="N660" t="str">
            <v/>
          </cell>
          <cell r="O660" t="str">
            <v/>
          </cell>
          <cell r="T660" t="str">
            <v/>
          </cell>
          <cell r="U660" t="str">
            <v/>
          </cell>
          <cell r="X660" t="str">
            <v/>
          </cell>
          <cell r="AH660" t="str">
            <v/>
          </cell>
          <cell r="AK660" t="str">
            <v/>
          </cell>
          <cell r="AM660" t="str">
            <v/>
          </cell>
          <cell r="AO660" t="str">
            <v/>
          </cell>
          <cell r="AS660" t="str">
            <v/>
          </cell>
          <cell r="AT660" t="str">
            <v/>
          </cell>
          <cell r="AU660" t="str">
            <v/>
          </cell>
          <cell r="AW660" t="str">
            <v/>
          </cell>
          <cell r="AX660" t="str">
            <v/>
          </cell>
        </row>
        <row r="661">
          <cell r="G661" t="str">
            <v/>
          </cell>
          <cell r="H661" t="str">
            <v/>
          </cell>
          <cell r="M661" t="str">
            <v/>
          </cell>
          <cell r="N661" t="str">
            <v/>
          </cell>
          <cell r="O661" t="str">
            <v/>
          </cell>
          <cell r="T661" t="str">
            <v/>
          </cell>
          <cell r="U661" t="str">
            <v/>
          </cell>
          <cell r="X661" t="str">
            <v/>
          </cell>
          <cell r="AH661" t="str">
            <v/>
          </cell>
          <cell r="AK661" t="str">
            <v/>
          </cell>
          <cell r="AM661" t="str">
            <v/>
          </cell>
          <cell r="AO661" t="str">
            <v/>
          </cell>
          <cell r="AS661" t="str">
            <v/>
          </cell>
          <cell r="AT661" t="str">
            <v/>
          </cell>
          <cell r="AU661" t="str">
            <v/>
          </cell>
          <cell r="AW661" t="str">
            <v/>
          </cell>
          <cell r="AX661" t="str">
            <v/>
          </cell>
        </row>
        <row r="662">
          <cell r="G662" t="str">
            <v/>
          </cell>
          <cell r="H662" t="str">
            <v/>
          </cell>
          <cell r="M662" t="str">
            <v/>
          </cell>
          <cell r="N662" t="str">
            <v/>
          </cell>
          <cell r="O662" t="str">
            <v/>
          </cell>
          <cell r="T662" t="str">
            <v/>
          </cell>
          <cell r="U662" t="str">
            <v/>
          </cell>
          <cell r="X662" t="str">
            <v/>
          </cell>
          <cell r="AH662" t="str">
            <v/>
          </cell>
          <cell r="AK662" t="str">
            <v/>
          </cell>
          <cell r="AM662" t="str">
            <v/>
          </cell>
          <cell r="AO662" t="str">
            <v/>
          </cell>
          <cell r="AS662" t="str">
            <v/>
          </cell>
          <cell r="AT662" t="str">
            <v/>
          </cell>
          <cell r="AU662" t="str">
            <v/>
          </cell>
          <cell r="AW662" t="str">
            <v/>
          </cell>
          <cell r="AX662" t="str">
            <v/>
          </cell>
        </row>
        <row r="663">
          <cell r="G663" t="str">
            <v/>
          </cell>
          <cell r="H663" t="str">
            <v/>
          </cell>
          <cell r="M663" t="str">
            <v/>
          </cell>
          <cell r="N663" t="str">
            <v/>
          </cell>
          <cell r="O663" t="str">
            <v/>
          </cell>
          <cell r="T663" t="str">
            <v/>
          </cell>
          <cell r="U663" t="str">
            <v/>
          </cell>
          <cell r="X663" t="str">
            <v/>
          </cell>
          <cell r="AH663" t="str">
            <v/>
          </cell>
          <cell r="AK663" t="str">
            <v/>
          </cell>
          <cell r="AM663" t="str">
            <v/>
          </cell>
          <cell r="AO663" t="str">
            <v/>
          </cell>
          <cell r="AS663" t="str">
            <v/>
          </cell>
          <cell r="AT663" t="str">
            <v/>
          </cell>
          <cell r="AU663" t="str">
            <v/>
          </cell>
          <cell r="AW663" t="str">
            <v/>
          </cell>
          <cell r="AX663" t="str">
            <v/>
          </cell>
        </row>
        <row r="664">
          <cell r="G664" t="str">
            <v/>
          </cell>
          <cell r="H664" t="str">
            <v/>
          </cell>
          <cell r="M664" t="str">
            <v/>
          </cell>
          <cell r="N664" t="str">
            <v/>
          </cell>
          <cell r="O664" t="str">
            <v/>
          </cell>
          <cell r="T664" t="str">
            <v/>
          </cell>
          <cell r="U664" t="str">
            <v/>
          </cell>
          <cell r="X664" t="str">
            <v/>
          </cell>
          <cell r="AH664" t="str">
            <v/>
          </cell>
          <cell r="AK664" t="str">
            <v/>
          </cell>
          <cell r="AM664" t="str">
            <v/>
          </cell>
          <cell r="AO664" t="str">
            <v/>
          </cell>
          <cell r="AS664" t="str">
            <v/>
          </cell>
          <cell r="AT664" t="str">
            <v/>
          </cell>
          <cell r="AU664" t="str">
            <v/>
          </cell>
          <cell r="AW664" t="str">
            <v/>
          </cell>
          <cell r="AX664" t="str">
            <v/>
          </cell>
        </row>
        <row r="665">
          <cell r="G665" t="str">
            <v/>
          </cell>
          <cell r="H665" t="str">
            <v/>
          </cell>
          <cell r="M665" t="str">
            <v/>
          </cell>
          <cell r="N665" t="str">
            <v/>
          </cell>
          <cell r="O665" t="str">
            <v/>
          </cell>
          <cell r="T665" t="str">
            <v/>
          </cell>
          <cell r="U665" t="str">
            <v/>
          </cell>
          <cell r="X665" t="str">
            <v/>
          </cell>
          <cell r="AH665" t="str">
            <v/>
          </cell>
          <cell r="AK665" t="str">
            <v/>
          </cell>
          <cell r="AM665" t="str">
            <v/>
          </cell>
          <cell r="AO665" t="str">
            <v/>
          </cell>
          <cell r="AS665" t="str">
            <v/>
          </cell>
          <cell r="AT665" t="str">
            <v/>
          </cell>
          <cell r="AU665" t="str">
            <v/>
          </cell>
          <cell r="AW665" t="str">
            <v/>
          </cell>
          <cell r="AX665" t="str">
            <v/>
          </cell>
        </row>
        <row r="666">
          <cell r="G666" t="str">
            <v/>
          </cell>
          <cell r="H666" t="str">
            <v/>
          </cell>
          <cell r="M666" t="str">
            <v/>
          </cell>
          <cell r="N666" t="str">
            <v/>
          </cell>
          <cell r="O666" t="str">
            <v/>
          </cell>
          <cell r="T666" t="str">
            <v/>
          </cell>
          <cell r="U666" t="str">
            <v/>
          </cell>
          <cell r="X666" t="str">
            <v/>
          </cell>
          <cell r="AH666" t="str">
            <v/>
          </cell>
          <cell r="AK666" t="str">
            <v/>
          </cell>
          <cell r="AM666" t="str">
            <v/>
          </cell>
          <cell r="AO666" t="str">
            <v/>
          </cell>
          <cell r="AS666" t="str">
            <v/>
          </cell>
          <cell r="AT666" t="str">
            <v/>
          </cell>
          <cell r="AU666" t="str">
            <v/>
          </cell>
          <cell r="AW666" t="str">
            <v/>
          </cell>
          <cell r="AX666" t="str">
            <v/>
          </cell>
        </row>
        <row r="667">
          <cell r="G667" t="str">
            <v/>
          </cell>
          <cell r="H667" t="str">
            <v/>
          </cell>
          <cell r="M667" t="str">
            <v/>
          </cell>
          <cell r="N667" t="str">
            <v/>
          </cell>
          <cell r="O667" t="str">
            <v/>
          </cell>
          <cell r="T667" t="str">
            <v/>
          </cell>
          <cell r="U667" t="str">
            <v/>
          </cell>
          <cell r="X667" t="str">
            <v/>
          </cell>
          <cell r="AH667" t="str">
            <v/>
          </cell>
          <cell r="AK667" t="str">
            <v/>
          </cell>
          <cell r="AM667" t="str">
            <v/>
          </cell>
          <cell r="AO667" t="str">
            <v/>
          </cell>
          <cell r="AS667" t="str">
            <v/>
          </cell>
          <cell r="AT667" t="str">
            <v/>
          </cell>
          <cell r="AU667" t="str">
            <v/>
          </cell>
          <cell r="AW667" t="str">
            <v/>
          </cell>
          <cell r="AX667" t="str">
            <v/>
          </cell>
        </row>
        <row r="668">
          <cell r="G668" t="str">
            <v/>
          </cell>
          <cell r="H668" t="str">
            <v/>
          </cell>
          <cell r="M668" t="str">
            <v/>
          </cell>
          <cell r="N668" t="str">
            <v/>
          </cell>
          <cell r="O668" t="str">
            <v/>
          </cell>
          <cell r="T668" t="str">
            <v/>
          </cell>
          <cell r="U668" t="str">
            <v/>
          </cell>
          <cell r="X668" t="str">
            <v/>
          </cell>
          <cell r="AH668" t="str">
            <v/>
          </cell>
          <cell r="AK668" t="str">
            <v/>
          </cell>
          <cell r="AM668" t="str">
            <v/>
          </cell>
          <cell r="AO668" t="str">
            <v/>
          </cell>
          <cell r="AS668" t="str">
            <v/>
          </cell>
          <cell r="AT668" t="str">
            <v/>
          </cell>
          <cell r="AU668" t="str">
            <v/>
          </cell>
          <cell r="AW668" t="str">
            <v/>
          </cell>
          <cell r="AX668" t="str">
            <v/>
          </cell>
        </row>
        <row r="669">
          <cell r="G669" t="str">
            <v/>
          </cell>
          <cell r="H669" t="str">
            <v/>
          </cell>
          <cell r="M669" t="str">
            <v/>
          </cell>
          <cell r="N669" t="str">
            <v/>
          </cell>
          <cell r="O669" t="str">
            <v/>
          </cell>
          <cell r="T669" t="str">
            <v/>
          </cell>
          <cell r="U669" t="str">
            <v/>
          </cell>
          <cell r="X669" t="str">
            <v/>
          </cell>
          <cell r="AH669" t="str">
            <v/>
          </cell>
          <cell r="AK669" t="str">
            <v/>
          </cell>
          <cell r="AM669" t="str">
            <v/>
          </cell>
          <cell r="AO669" t="str">
            <v/>
          </cell>
          <cell r="AS669" t="str">
            <v/>
          </cell>
          <cell r="AT669" t="str">
            <v/>
          </cell>
          <cell r="AU669" t="str">
            <v/>
          </cell>
          <cell r="AW669" t="str">
            <v/>
          </cell>
          <cell r="AX669" t="str">
            <v/>
          </cell>
        </row>
        <row r="670">
          <cell r="G670" t="str">
            <v/>
          </cell>
          <cell r="H670" t="str">
            <v/>
          </cell>
          <cell r="M670" t="str">
            <v/>
          </cell>
          <cell r="N670" t="str">
            <v/>
          </cell>
          <cell r="O670" t="str">
            <v/>
          </cell>
          <cell r="T670" t="str">
            <v/>
          </cell>
          <cell r="U670" t="str">
            <v/>
          </cell>
          <cell r="X670" t="str">
            <v/>
          </cell>
          <cell r="AH670" t="str">
            <v/>
          </cell>
          <cell r="AK670" t="str">
            <v/>
          </cell>
          <cell r="AM670" t="str">
            <v/>
          </cell>
          <cell r="AO670" t="str">
            <v/>
          </cell>
          <cell r="AS670" t="str">
            <v/>
          </cell>
          <cell r="AT670" t="str">
            <v/>
          </cell>
          <cell r="AU670" t="str">
            <v/>
          </cell>
          <cell r="AW670" t="str">
            <v/>
          </cell>
          <cell r="AX670" t="str">
            <v/>
          </cell>
        </row>
        <row r="671">
          <cell r="G671" t="str">
            <v/>
          </cell>
          <cell r="H671" t="str">
            <v/>
          </cell>
          <cell r="M671" t="str">
            <v/>
          </cell>
          <cell r="N671" t="str">
            <v/>
          </cell>
          <cell r="O671" t="str">
            <v/>
          </cell>
          <cell r="T671" t="str">
            <v/>
          </cell>
          <cell r="U671" t="str">
            <v/>
          </cell>
          <cell r="X671" t="str">
            <v/>
          </cell>
          <cell r="AH671" t="str">
            <v/>
          </cell>
          <cell r="AK671" t="str">
            <v/>
          </cell>
          <cell r="AM671" t="str">
            <v/>
          </cell>
          <cell r="AO671" t="str">
            <v/>
          </cell>
          <cell r="AS671" t="str">
            <v/>
          </cell>
          <cell r="AT671" t="str">
            <v/>
          </cell>
          <cell r="AU671" t="str">
            <v/>
          </cell>
          <cell r="AW671" t="str">
            <v/>
          </cell>
          <cell r="AX671" t="str">
            <v/>
          </cell>
        </row>
        <row r="672">
          <cell r="G672" t="str">
            <v/>
          </cell>
          <cell r="H672" t="str">
            <v/>
          </cell>
          <cell r="M672" t="str">
            <v/>
          </cell>
          <cell r="N672" t="str">
            <v/>
          </cell>
          <cell r="O672" t="str">
            <v/>
          </cell>
          <cell r="T672" t="str">
            <v/>
          </cell>
          <cell r="U672" t="str">
            <v/>
          </cell>
          <cell r="X672" t="str">
            <v/>
          </cell>
          <cell r="AH672" t="str">
            <v/>
          </cell>
          <cell r="AK672" t="str">
            <v/>
          </cell>
          <cell r="AM672" t="str">
            <v/>
          </cell>
          <cell r="AO672" t="str">
            <v/>
          </cell>
          <cell r="AS672" t="str">
            <v/>
          </cell>
          <cell r="AT672" t="str">
            <v/>
          </cell>
          <cell r="AU672" t="str">
            <v/>
          </cell>
          <cell r="AW672" t="str">
            <v/>
          </cell>
          <cell r="AX672" t="str">
            <v/>
          </cell>
        </row>
        <row r="673">
          <cell r="G673" t="str">
            <v/>
          </cell>
          <cell r="H673" t="str">
            <v/>
          </cell>
          <cell r="M673" t="str">
            <v/>
          </cell>
          <cell r="N673" t="str">
            <v/>
          </cell>
          <cell r="O673" t="str">
            <v/>
          </cell>
          <cell r="T673" t="str">
            <v/>
          </cell>
          <cell r="U673" t="str">
            <v/>
          </cell>
          <cell r="X673" t="str">
            <v/>
          </cell>
          <cell r="AH673" t="str">
            <v/>
          </cell>
          <cell r="AK673" t="str">
            <v/>
          </cell>
          <cell r="AM673" t="str">
            <v/>
          </cell>
          <cell r="AO673" t="str">
            <v/>
          </cell>
          <cell r="AS673" t="str">
            <v/>
          </cell>
          <cell r="AT673" t="str">
            <v/>
          </cell>
          <cell r="AU673" t="str">
            <v/>
          </cell>
          <cell r="AW673" t="str">
            <v/>
          </cell>
          <cell r="AX673" t="str">
            <v/>
          </cell>
        </row>
        <row r="674">
          <cell r="G674" t="str">
            <v/>
          </cell>
          <cell r="H674" t="str">
            <v/>
          </cell>
          <cell r="M674" t="str">
            <v/>
          </cell>
          <cell r="N674" t="str">
            <v/>
          </cell>
          <cell r="O674" t="str">
            <v/>
          </cell>
          <cell r="T674" t="str">
            <v/>
          </cell>
          <cell r="U674" t="str">
            <v/>
          </cell>
          <cell r="X674" t="str">
            <v/>
          </cell>
          <cell r="AH674" t="str">
            <v/>
          </cell>
          <cell r="AK674" t="str">
            <v/>
          </cell>
          <cell r="AM674" t="str">
            <v/>
          </cell>
          <cell r="AO674" t="str">
            <v/>
          </cell>
          <cell r="AS674" t="str">
            <v/>
          </cell>
          <cell r="AT674" t="str">
            <v/>
          </cell>
          <cell r="AU674" t="str">
            <v/>
          </cell>
          <cell r="AW674" t="str">
            <v/>
          </cell>
          <cell r="AX674" t="str">
            <v/>
          </cell>
        </row>
        <row r="675">
          <cell r="G675" t="str">
            <v/>
          </cell>
          <cell r="H675" t="str">
            <v/>
          </cell>
          <cell r="M675" t="str">
            <v/>
          </cell>
          <cell r="N675" t="str">
            <v/>
          </cell>
          <cell r="O675" t="str">
            <v/>
          </cell>
          <cell r="T675" t="str">
            <v/>
          </cell>
          <cell r="U675" t="str">
            <v/>
          </cell>
          <cell r="X675" t="str">
            <v/>
          </cell>
          <cell r="AH675" t="str">
            <v/>
          </cell>
          <cell r="AK675" t="str">
            <v/>
          </cell>
          <cell r="AM675" t="str">
            <v/>
          </cell>
          <cell r="AO675" t="str">
            <v/>
          </cell>
          <cell r="AS675" t="str">
            <v/>
          </cell>
          <cell r="AT675" t="str">
            <v/>
          </cell>
          <cell r="AU675" t="str">
            <v/>
          </cell>
          <cell r="AW675" t="str">
            <v/>
          </cell>
          <cell r="AX675" t="str">
            <v/>
          </cell>
        </row>
        <row r="676">
          <cell r="G676" t="str">
            <v/>
          </cell>
          <cell r="H676" t="str">
            <v/>
          </cell>
          <cell r="M676" t="str">
            <v/>
          </cell>
          <cell r="N676" t="str">
            <v/>
          </cell>
          <cell r="O676" t="str">
            <v/>
          </cell>
          <cell r="T676" t="str">
            <v/>
          </cell>
          <cell r="U676" t="str">
            <v/>
          </cell>
          <cell r="X676" t="str">
            <v/>
          </cell>
          <cell r="AH676" t="str">
            <v/>
          </cell>
          <cell r="AK676" t="str">
            <v/>
          </cell>
          <cell r="AM676" t="str">
            <v/>
          </cell>
          <cell r="AO676" t="str">
            <v/>
          </cell>
          <cell r="AS676" t="str">
            <v/>
          </cell>
          <cell r="AT676" t="str">
            <v/>
          </cell>
          <cell r="AU676" t="str">
            <v/>
          </cell>
          <cell r="AW676" t="str">
            <v/>
          </cell>
          <cell r="AX676" t="str">
            <v/>
          </cell>
        </row>
        <row r="677">
          <cell r="G677" t="str">
            <v/>
          </cell>
          <cell r="H677" t="str">
            <v/>
          </cell>
          <cell r="M677" t="str">
            <v/>
          </cell>
          <cell r="N677" t="str">
            <v/>
          </cell>
          <cell r="O677" t="str">
            <v/>
          </cell>
          <cell r="T677" t="str">
            <v/>
          </cell>
          <cell r="U677" t="str">
            <v/>
          </cell>
          <cell r="X677" t="str">
            <v/>
          </cell>
          <cell r="AH677" t="str">
            <v/>
          </cell>
          <cell r="AK677" t="str">
            <v/>
          </cell>
          <cell r="AM677" t="str">
            <v/>
          </cell>
          <cell r="AO677" t="str">
            <v/>
          </cell>
          <cell r="AS677" t="str">
            <v/>
          </cell>
          <cell r="AT677" t="str">
            <v/>
          </cell>
          <cell r="AU677" t="str">
            <v/>
          </cell>
          <cell r="AW677" t="str">
            <v/>
          </cell>
          <cell r="AX677" t="str">
            <v/>
          </cell>
        </row>
        <row r="678">
          <cell r="G678" t="str">
            <v/>
          </cell>
          <cell r="H678" t="str">
            <v/>
          </cell>
          <cell r="M678" t="str">
            <v/>
          </cell>
          <cell r="N678" t="str">
            <v/>
          </cell>
          <cell r="O678" t="str">
            <v/>
          </cell>
          <cell r="T678" t="str">
            <v/>
          </cell>
          <cell r="U678" t="str">
            <v/>
          </cell>
          <cell r="X678" t="str">
            <v/>
          </cell>
          <cell r="AH678" t="str">
            <v/>
          </cell>
          <cell r="AK678" t="str">
            <v/>
          </cell>
          <cell r="AM678" t="str">
            <v/>
          </cell>
          <cell r="AO678" t="str">
            <v/>
          </cell>
          <cell r="AS678" t="str">
            <v/>
          </cell>
          <cell r="AT678" t="str">
            <v/>
          </cell>
          <cell r="AU678" t="str">
            <v/>
          </cell>
          <cell r="AW678" t="str">
            <v/>
          </cell>
          <cell r="AX678" t="str">
            <v/>
          </cell>
        </row>
        <row r="679">
          <cell r="G679" t="str">
            <v/>
          </cell>
          <cell r="H679" t="str">
            <v/>
          </cell>
          <cell r="M679" t="str">
            <v/>
          </cell>
          <cell r="N679" t="str">
            <v/>
          </cell>
          <cell r="O679" t="str">
            <v/>
          </cell>
          <cell r="T679" t="str">
            <v/>
          </cell>
          <cell r="U679" t="str">
            <v/>
          </cell>
          <cell r="X679" t="str">
            <v/>
          </cell>
          <cell r="AH679" t="str">
            <v/>
          </cell>
          <cell r="AK679" t="str">
            <v/>
          </cell>
          <cell r="AM679" t="str">
            <v/>
          </cell>
          <cell r="AO679" t="str">
            <v/>
          </cell>
          <cell r="AS679" t="str">
            <v/>
          </cell>
          <cell r="AT679" t="str">
            <v/>
          </cell>
          <cell r="AU679" t="str">
            <v/>
          </cell>
          <cell r="AW679" t="str">
            <v/>
          </cell>
          <cell r="AX679" t="str">
            <v/>
          </cell>
        </row>
        <row r="680">
          <cell r="G680" t="str">
            <v/>
          </cell>
          <cell r="H680" t="str">
            <v/>
          </cell>
          <cell r="M680" t="str">
            <v/>
          </cell>
          <cell r="N680" t="str">
            <v/>
          </cell>
          <cell r="O680" t="str">
            <v/>
          </cell>
          <cell r="T680" t="str">
            <v/>
          </cell>
          <cell r="U680" t="str">
            <v/>
          </cell>
          <cell r="X680" t="str">
            <v/>
          </cell>
          <cell r="AH680" t="str">
            <v/>
          </cell>
          <cell r="AK680" t="str">
            <v/>
          </cell>
          <cell r="AM680" t="str">
            <v/>
          </cell>
          <cell r="AO680" t="str">
            <v/>
          </cell>
          <cell r="AS680" t="str">
            <v/>
          </cell>
          <cell r="AT680" t="str">
            <v/>
          </cell>
          <cell r="AU680" t="str">
            <v/>
          </cell>
          <cell r="AW680" t="str">
            <v/>
          </cell>
          <cell r="AX680" t="str">
            <v/>
          </cell>
        </row>
        <row r="681">
          <cell r="G681" t="str">
            <v/>
          </cell>
          <cell r="H681" t="str">
            <v/>
          </cell>
          <cell r="M681" t="str">
            <v/>
          </cell>
          <cell r="N681" t="str">
            <v/>
          </cell>
          <cell r="O681" t="str">
            <v/>
          </cell>
          <cell r="T681" t="str">
            <v/>
          </cell>
          <cell r="U681" t="str">
            <v/>
          </cell>
          <cell r="X681" t="str">
            <v/>
          </cell>
          <cell r="AH681" t="str">
            <v/>
          </cell>
          <cell r="AK681" t="str">
            <v/>
          </cell>
          <cell r="AM681" t="str">
            <v/>
          </cell>
          <cell r="AO681" t="str">
            <v/>
          </cell>
          <cell r="AS681" t="str">
            <v/>
          </cell>
          <cell r="AT681" t="str">
            <v/>
          </cell>
          <cell r="AU681" t="str">
            <v/>
          </cell>
          <cell r="AW681" t="str">
            <v/>
          </cell>
          <cell r="AX681" t="str">
            <v/>
          </cell>
        </row>
        <row r="682">
          <cell r="G682" t="str">
            <v/>
          </cell>
          <cell r="H682" t="str">
            <v/>
          </cell>
          <cell r="M682" t="str">
            <v/>
          </cell>
          <cell r="N682" t="str">
            <v/>
          </cell>
          <cell r="O682" t="str">
            <v/>
          </cell>
          <cell r="T682" t="str">
            <v/>
          </cell>
          <cell r="U682" t="str">
            <v/>
          </cell>
          <cell r="X682" t="str">
            <v/>
          </cell>
          <cell r="AH682" t="str">
            <v/>
          </cell>
          <cell r="AK682" t="str">
            <v/>
          </cell>
          <cell r="AM682" t="str">
            <v/>
          </cell>
          <cell r="AO682" t="str">
            <v/>
          </cell>
          <cell r="AS682" t="str">
            <v/>
          </cell>
          <cell r="AT682" t="str">
            <v/>
          </cell>
          <cell r="AU682" t="str">
            <v/>
          </cell>
          <cell r="AW682" t="str">
            <v/>
          </cell>
          <cell r="AX682" t="str">
            <v/>
          </cell>
        </row>
        <row r="683">
          <cell r="G683" t="str">
            <v/>
          </cell>
          <cell r="H683" t="str">
            <v/>
          </cell>
          <cell r="M683" t="str">
            <v/>
          </cell>
          <cell r="N683" t="str">
            <v/>
          </cell>
          <cell r="O683" t="str">
            <v/>
          </cell>
          <cell r="T683" t="str">
            <v/>
          </cell>
          <cell r="U683" t="str">
            <v/>
          </cell>
          <cell r="X683" t="str">
            <v/>
          </cell>
          <cell r="AH683" t="str">
            <v/>
          </cell>
          <cell r="AK683" t="str">
            <v/>
          </cell>
          <cell r="AM683" t="str">
            <v/>
          </cell>
          <cell r="AO683" t="str">
            <v/>
          </cell>
          <cell r="AS683" t="str">
            <v/>
          </cell>
          <cell r="AT683" t="str">
            <v/>
          </cell>
          <cell r="AU683" t="str">
            <v/>
          </cell>
          <cell r="AW683" t="str">
            <v/>
          </cell>
          <cell r="AX683" t="str">
            <v/>
          </cell>
        </row>
        <row r="684">
          <cell r="G684" t="str">
            <v/>
          </cell>
          <cell r="H684" t="str">
            <v/>
          </cell>
          <cell r="M684" t="str">
            <v/>
          </cell>
          <cell r="N684" t="str">
            <v/>
          </cell>
          <cell r="O684" t="str">
            <v/>
          </cell>
          <cell r="T684" t="str">
            <v/>
          </cell>
          <cell r="U684" t="str">
            <v/>
          </cell>
          <cell r="X684" t="str">
            <v/>
          </cell>
          <cell r="AH684" t="str">
            <v/>
          </cell>
          <cell r="AK684" t="str">
            <v/>
          </cell>
          <cell r="AM684" t="str">
            <v/>
          </cell>
          <cell r="AO684" t="str">
            <v/>
          </cell>
          <cell r="AS684" t="str">
            <v/>
          </cell>
          <cell r="AT684" t="str">
            <v/>
          </cell>
          <cell r="AU684" t="str">
            <v/>
          </cell>
          <cell r="AW684" t="str">
            <v/>
          </cell>
          <cell r="AX684" t="str">
            <v/>
          </cell>
        </row>
        <row r="685">
          <cell r="G685" t="str">
            <v/>
          </cell>
          <cell r="H685" t="str">
            <v/>
          </cell>
          <cell r="M685" t="str">
            <v/>
          </cell>
          <cell r="N685" t="str">
            <v/>
          </cell>
          <cell r="O685" t="str">
            <v/>
          </cell>
          <cell r="T685" t="str">
            <v/>
          </cell>
          <cell r="U685" t="str">
            <v/>
          </cell>
          <cell r="X685" t="str">
            <v/>
          </cell>
          <cell r="AH685" t="str">
            <v/>
          </cell>
          <cell r="AK685" t="str">
            <v/>
          </cell>
          <cell r="AM685" t="str">
            <v/>
          </cell>
          <cell r="AO685" t="str">
            <v/>
          </cell>
          <cell r="AS685" t="str">
            <v/>
          </cell>
          <cell r="AT685" t="str">
            <v/>
          </cell>
          <cell r="AU685" t="str">
            <v/>
          </cell>
          <cell r="AW685" t="str">
            <v/>
          </cell>
          <cell r="AX685" t="str">
            <v/>
          </cell>
        </row>
        <row r="686">
          <cell r="G686" t="str">
            <v/>
          </cell>
          <cell r="H686" t="str">
            <v/>
          </cell>
          <cell r="M686" t="str">
            <v/>
          </cell>
          <cell r="N686" t="str">
            <v/>
          </cell>
          <cell r="O686" t="str">
            <v/>
          </cell>
          <cell r="T686" t="str">
            <v/>
          </cell>
          <cell r="U686" t="str">
            <v/>
          </cell>
          <cell r="X686" t="str">
            <v/>
          </cell>
          <cell r="AH686" t="str">
            <v/>
          </cell>
          <cell r="AK686" t="str">
            <v/>
          </cell>
          <cell r="AM686" t="str">
            <v/>
          </cell>
          <cell r="AO686" t="str">
            <v/>
          </cell>
          <cell r="AS686" t="str">
            <v/>
          </cell>
          <cell r="AT686" t="str">
            <v/>
          </cell>
          <cell r="AU686" t="str">
            <v/>
          </cell>
          <cell r="AW686" t="str">
            <v/>
          </cell>
          <cell r="AX686" t="str">
            <v/>
          </cell>
        </row>
        <row r="687">
          <cell r="G687" t="str">
            <v/>
          </cell>
          <cell r="H687" t="str">
            <v/>
          </cell>
          <cell r="M687" t="str">
            <v/>
          </cell>
          <cell r="N687" t="str">
            <v/>
          </cell>
          <cell r="O687" t="str">
            <v/>
          </cell>
          <cell r="T687" t="str">
            <v/>
          </cell>
          <cell r="U687" t="str">
            <v/>
          </cell>
          <cell r="X687" t="str">
            <v/>
          </cell>
          <cell r="AH687" t="str">
            <v/>
          </cell>
          <cell r="AK687" t="str">
            <v/>
          </cell>
          <cell r="AM687" t="str">
            <v/>
          </cell>
          <cell r="AO687" t="str">
            <v/>
          </cell>
          <cell r="AS687" t="str">
            <v/>
          </cell>
          <cell r="AT687" t="str">
            <v/>
          </cell>
          <cell r="AU687" t="str">
            <v/>
          </cell>
          <cell r="AW687" t="str">
            <v/>
          </cell>
          <cell r="AX687" t="str">
            <v/>
          </cell>
        </row>
        <row r="688">
          <cell r="G688" t="str">
            <v/>
          </cell>
          <cell r="H688" t="str">
            <v/>
          </cell>
          <cell r="M688" t="str">
            <v/>
          </cell>
          <cell r="N688" t="str">
            <v/>
          </cell>
          <cell r="O688" t="str">
            <v/>
          </cell>
          <cell r="T688" t="str">
            <v/>
          </cell>
          <cell r="U688" t="str">
            <v/>
          </cell>
          <cell r="X688" t="str">
            <v/>
          </cell>
          <cell r="AH688" t="str">
            <v/>
          </cell>
          <cell r="AK688" t="str">
            <v/>
          </cell>
          <cell r="AM688" t="str">
            <v/>
          </cell>
          <cell r="AO688" t="str">
            <v/>
          </cell>
          <cell r="AS688" t="str">
            <v/>
          </cell>
          <cell r="AT688" t="str">
            <v/>
          </cell>
          <cell r="AU688" t="str">
            <v/>
          </cell>
          <cell r="AW688" t="str">
            <v/>
          </cell>
          <cell r="AX688" t="str">
            <v/>
          </cell>
        </row>
        <row r="689">
          <cell r="G689" t="str">
            <v/>
          </cell>
          <cell r="H689" t="str">
            <v/>
          </cell>
          <cell r="M689" t="str">
            <v/>
          </cell>
          <cell r="N689" t="str">
            <v/>
          </cell>
          <cell r="O689" t="str">
            <v/>
          </cell>
          <cell r="T689" t="str">
            <v/>
          </cell>
          <cell r="U689" t="str">
            <v/>
          </cell>
          <cell r="X689" t="str">
            <v/>
          </cell>
          <cell r="AH689" t="str">
            <v/>
          </cell>
          <cell r="AK689" t="str">
            <v/>
          </cell>
          <cell r="AM689" t="str">
            <v/>
          </cell>
          <cell r="AO689" t="str">
            <v/>
          </cell>
          <cell r="AS689" t="str">
            <v/>
          </cell>
          <cell r="AT689" t="str">
            <v/>
          </cell>
          <cell r="AU689" t="str">
            <v/>
          </cell>
          <cell r="AW689" t="str">
            <v/>
          </cell>
          <cell r="AX689" t="str">
            <v/>
          </cell>
        </row>
        <row r="690">
          <cell r="G690" t="str">
            <v/>
          </cell>
          <cell r="H690" t="str">
            <v/>
          </cell>
          <cell r="M690" t="str">
            <v/>
          </cell>
          <cell r="N690" t="str">
            <v/>
          </cell>
          <cell r="O690" t="str">
            <v/>
          </cell>
          <cell r="T690" t="str">
            <v/>
          </cell>
          <cell r="U690" t="str">
            <v/>
          </cell>
          <cell r="X690" t="str">
            <v/>
          </cell>
          <cell r="AH690" t="str">
            <v/>
          </cell>
          <cell r="AK690" t="str">
            <v/>
          </cell>
          <cell r="AM690" t="str">
            <v/>
          </cell>
          <cell r="AO690" t="str">
            <v/>
          </cell>
          <cell r="AS690" t="str">
            <v/>
          </cell>
          <cell r="AT690" t="str">
            <v/>
          </cell>
          <cell r="AU690" t="str">
            <v/>
          </cell>
          <cell r="AW690" t="str">
            <v/>
          </cell>
          <cell r="AX690" t="str">
            <v/>
          </cell>
        </row>
        <row r="691">
          <cell r="G691" t="str">
            <v/>
          </cell>
          <cell r="H691" t="str">
            <v/>
          </cell>
          <cell r="M691" t="str">
            <v/>
          </cell>
          <cell r="N691" t="str">
            <v/>
          </cell>
          <cell r="O691" t="str">
            <v/>
          </cell>
          <cell r="T691" t="str">
            <v/>
          </cell>
          <cell r="U691" t="str">
            <v/>
          </cell>
          <cell r="X691" t="str">
            <v/>
          </cell>
          <cell r="AH691" t="str">
            <v/>
          </cell>
          <cell r="AK691" t="str">
            <v/>
          </cell>
          <cell r="AM691" t="str">
            <v/>
          </cell>
          <cell r="AO691" t="str">
            <v/>
          </cell>
          <cell r="AS691" t="str">
            <v/>
          </cell>
          <cell r="AT691" t="str">
            <v/>
          </cell>
          <cell r="AU691" t="str">
            <v/>
          </cell>
          <cell r="AW691" t="str">
            <v/>
          </cell>
          <cell r="AX691" t="str">
            <v/>
          </cell>
        </row>
        <row r="692">
          <cell r="G692" t="str">
            <v/>
          </cell>
          <cell r="H692" t="str">
            <v/>
          </cell>
          <cell r="M692" t="str">
            <v/>
          </cell>
          <cell r="N692" t="str">
            <v/>
          </cell>
          <cell r="O692" t="str">
            <v/>
          </cell>
          <cell r="T692" t="str">
            <v/>
          </cell>
          <cell r="U692" t="str">
            <v/>
          </cell>
          <cell r="X692" t="str">
            <v/>
          </cell>
          <cell r="AH692" t="str">
            <v/>
          </cell>
          <cell r="AK692" t="str">
            <v/>
          </cell>
          <cell r="AM692" t="str">
            <v/>
          </cell>
          <cell r="AO692" t="str">
            <v/>
          </cell>
          <cell r="AS692" t="str">
            <v/>
          </cell>
          <cell r="AT692" t="str">
            <v/>
          </cell>
          <cell r="AU692" t="str">
            <v/>
          </cell>
          <cell r="AW692" t="str">
            <v/>
          </cell>
          <cell r="AX692" t="str">
            <v/>
          </cell>
        </row>
        <row r="693">
          <cell r="G693" t="str">
            <v/>
          </cell>
          <cell r="H693" t="str">
            <v/>
          </cell>
          <cell r="M693" t="str">
            <v/>
          </cell>
          <cell r="N693" t="str">
            <v/>
          </cell>
          <cell r="O693" t="str">
            <v/>
          </cell>
          <cell r="T693" t="str">
            <v/>
          </cell>
          <cell r="U693" t="str">
            <v/>
          </cell>
          <cell r="X693" t="str">
            <v/>
          </cell>
          <cell r="AH693" t="str">
            <v/>
          </cell>
          <cell r="AK693" t="str">
            <v/>
          </cell>
          <cell r="AM693" t="str">
            <v/>
          </cell>
          <cell r="AO693" t="str">
            <v/>
          </cell>
          <cell r="AS693" t="str">
            <v/>
          </cell>
          <cell r="AT693" t="str">
            <v/>
          </cell>
          <cell r="AU693" t="str">
            <v/>
          </cell>
          <cell r="AW693" t="str">
            <v/>
          </cell>
          <cell r="AX693" t="str">
            <v/>
          </cell>
        </row>
        <row r="694">
          <cell r="G694" t="str">
            <v/>
          </cell>
          <cell r="H694" t="str">
            <v/>
          </cell>
          <cell r="M694" t="str">
            <v/>
          </cell>
          <cell r="N694" t="str">
            <v/>
          </cell>
          <cell r="O694" t="str">
            <v/>
          </cell>
          <cell r="T694" t="str">
            <v/>
          </cell>
          <cell r="U694" t="str">
            <v/>
          </cell>
          <cell r="X694" t="str">
            <v/>
          </cell>
          <cell r="AH694" t="str">
            <v/>
          </cell>
          <cell r="AK694" t="str">
            <v/>
          </cell>
          <cell r="AM694" t="str">
            <v/>
          </cell>
          <cell r="AO694" t="str">
            <v/>
          </cell>
          <cell r="AS694" t="str">
            <v/>
          </cell>
          <cell r="AT694" t="str">
            <v/>
          </cell>
          <cell r="AU694" t="str">
            <v/>
          </cell>
          <cell r="AW694" t="str">
            <v/>
          </cell>
          <cell r="AX694" t="str">
            <v/>
          </cell>
        </row>
        <row r="695">
          <cell r="G695" t="str">
            <v/>
          </cell>
          <cell r="H695" t="str">
            <v/>
          </cell>
          <cell r="M695" t="str">
            <v/>
          </cell>
          <cell r="N695" t="str">
            <v/>
          </cell>
          <cell r="O695" t="str">
            <v/>
          </cell>
          <cell r="T695" t="str">
            <v/>
          </cell>
          <cell r="U695" t="str">
            <v/>
          </cell>
          <cell r="X695" t="str">
            <v/>
          </cell>
          <cell r="AH695" t="str">
            <v/>
          </cell>
          <cell r="AK695" t="str">
            <v/>
          </cell>
          <cell r="AM695" t="str">
            <v/>
          </cell>
          <cell r="AO695" t="str">
            <v/>
          </cell>
          <cell r="AS695" t="str">
            <v/>
          </cell>
          <cell r="AT695" t="str">
            <v/>
          </cell>
          <cell r="AU695" t="str">
            <v/>
          </cell>
          <cell r="AW695" t="str">
            <v/>
          </cell>
          <cell r="AX695" t="str">
            <v/>
          </cell>
        </row>
        <row r="696">
          <cell r="G696" t="str">
            <v/>
          </cell>
          <cell r="H696" t="str">
            <v/>
          </cell>
          <cell r="M696" t="str">
            <v/>
          </cell>
          <cell r="N696" t="str">
            <v/>
          </cell>
          <cell r="O696" t="str">
            <v/>
          </cell>
          <cell r="T696" t="str">
            <v/>
          </cell>
          <cell r="U696" t="str">
            <v/>
          </cell>
          <cell r="X696" t="str">
            <v/>
          </cell>
          <cell r="AH696" t="str">
            <v/>
          </cell>
          <cell r="AK696" t="str">
            <v/>
          </cell>
          <cell r="AM696" t="str">
            <v/>
          </cell>
          <cell r="AO696" t="str">
            <v/>
          </cell>
          <cell r="AS696" t="str">
            <v/>
          </cell>
          <cell r="AT696" t="str">
            <v/>
          </cell>
          <cell r="AU696" t="str">
            <v/>
          </cell>
          <cell r="AW696" t="str">
            <v/>
          </cell>
          <cell r="AX696" t="str">
            <v/>
          </cell>
        </row>
        <row r="697">
          <cell r="G697" t="str">
            <v/>
          </cell>
          <cell r="H697" t="str">
            <v/>
          </cell>
          <cell r="M697" t="str">
            <v/>
          </cell>
          <cell r="N697" t="str">
            <v/>
          </cell>
          <cell r="O697" t="str">
            <v/>
          </cell>
          <cell r="T697" t="str">
            <v/>
          </cell>
          <cell r="U697" t="str">
            <v/>
          </cell>
          <cell r="X697" t="str">
            <v/>
          </cell>
          <cell r="AH697" t="str">
            <v/>
          </cell>
          <cell r="AK697" t="str">
            <v/>
          </cell>
          <cell r="AM697" t="str">
            <v/>
          </cell>
          <cell r="AO697" t="str">
            <v/>
          </cell>
          <cell r="AS697" t="str">
            <v/>
          </cell>
          <cell r="AT697" t="str">
            <v/>
          </cell>
          <cell r="AU697" t="str">
            <v/>
          </cell>
          <cell r="AW697" t="str">
            <v/>
          </cell>
          <cell r="AX697" t="str">
            <v/>
          </cell>
        </row>
        <row r="698">
          <cell r="G698" t="str">
            <v/>
          </cell>
          <cell r="H698" t="str">
            <v/>
          </cell>
          <cell r="M698" t="str">
            <v/>
          </cell>
          <cell r="N698" t="str">
            <v/>
          </cell>
          <cell r="O698" t="str">
            <v/>
          </cell>
          <cell r="T698" t="str">
            <v/>
          </cell>
          <cell r="U698" t="str">
            <v/>
          </cell>
          <cell r="X698" t="str">
            <v/>
          </cell>
          <cell r="AH698" t="str">
            <v/>
          </cell>
          <cell r="AK698" t="str">
            <v/>
          </cell>
          <cell r="AM698" t="str">
            <v/>
          </cell>
          <cell r="AO698" t="str">
            <v/>
          </cell>
          <cell r="AS698" t="str">
            <v/>
          </cell>
          <cell r="AT698" t="str">
            <v/>
          </cell>
          <cell r="AU698" t="str">
            <v/>
          </cell>
          <cell r="AW698" t="str">
            <v/>
          </cell>
          <cell r="AX698" t="str">
            <v/>
          </cell>
        </row>
        <row r="699">
          <cell r="G699" t="str">
            <v/>
          </cell>
          <cell r="H699" t="str">
            <v/>
          </cell>
          <cell r="M699" t="str">
            <v/>
          </cell>
          <cell r="N699" t="str">
            <v/>
          </cell>
          <cell r="O699" t="str">
            <v/>
          </cell>
          <cell r="T699" t="str">
            <v/>
          </cell>
          <cell r="U699" t="str">
            <v/>
          </cell>
          <cell r="X699" t="str">
            <v/>
          </cell>
          <cell r="AH699" t="str">
            <v/>
          </cell>
          <cell r="AK699" t="str">
            <v/>
          </cell>
          <cell r="AM699" t="str">
            <v/>
          </cell>
          <cell r="AO699" t="str">
            <v/>
          </cell>
          <cell r="AS699" t="str">
            <v/>
          </cell>
          <cell r="AT699" t="str">
            <v/>
          </cell>
          <cell r="AU699" t="str">
            <v/>
          </cell>
          <cell r="AW699" t="str">
            <v/>
          </cell>
          <cell r="AX699" t="str">
            <v/>
          </cell>
        </row>
        <row r="700">
          <cell r="G700" t="str">
            <v/>
          </cell>
          <cell r="H700" t="str">
            <v/>
          </cell>
          <cell r="M700" t="str">
            <v/>
          </cell>
          <cell r="N700" t="str">
            <v/>
          </cell>
          <cell r="O700" t="str">
            <v/>
          </cell>
          <cell r="T700" t="str">
            <v/>
          </cell>
          <cell r="U700" t="str">
            <v/>
          </cell>
          <cell r="X700" t="str">
            <v/>
          </cell>
          <cell r="AH700" t="str">
            <v/>
          </cell>
          <cell r="AK700" t="str">
            <v/>
          </cell>
          <cell r="AM700" t="str">
            <v/>
          </cell>
          <cell r="AO700" t="str">
            <v/>
          </cell>
          <cell r="AS700" t="str">
            <v/>
          </cell>
          <cell r="AT700" t="str">
            <v/>
          </cell>
          <cell r="AU700" t="str">
            <v/>
          </cell>
          <cell r="AW700" t="str">
            <v/>
          </cell>
          <cell r="AX700" t="str">
            <v/>
          </cell>
        </row>
        <row r="701">
          <cell r="G701" t="str">
            <v/>
          </cell>
          <cell r="H701" t="str">
            <v/>
          </cell>
          <cell r="M701" t="str">
            <v/>
          </cell>
          <cell r="N701" t="str">
            <v/>
          </cell>
          <cell r="O701" t="str">
            <v/>
          </cell>
          <cell r="T701" t="str">
            <v/>
          </cell>
          <cell r="U701" t="str">
            <v/>
          </cell>
          <cell r="X701" t="str">
            <v/>
          </cell>
          <cell r="AH701" t="str">
            <v/>
          </cell>
          <cell r="AK701" t="str">
            <v/>
          </cell>
          <cell r="AM701" t="str">
            <v/>
          </cell>
          <cell r="AO701" t="str">
            <v/>
          </cell>
          <cell r="AS701" t="str">
            <v/>
          </cell>
          <cell r="AT701" t="str">
            <v/>
          </cell>
          <cell r="AU701" t="str">
            <v/>
          </cell>
          <cell r="AW701" t="str">
            <v/>
          </cell>
          <cell r="AX701" t="str">
            <v/>
          </cell>
        </row>
        <row r="702">
          <cell r="G702" t="str">
            <v/>
          </cell>
          <cell r="H702" t="str">
            <v/>
          </cell>
          <cell r="M702" t="str">
            <v/>
          </cell>
          <cell r="N702" t="str">
            <v/>
          </cell>
          <cell r="O702" t="str">
            <v/>
          </cell>
          <cell r="T702" t="str">
            <v/>
          </cell>
          <cell r="U702" t="str">
            <v/>
          </cell>
          <cell r="X702" t="str">
            <v/>
          </cell>
          <cell r="AH702" t="str">
            <v/>
          </cell>
          <cell r="AK702" t="str">
            <v/>
          </cell>
          <cell r="AM702" t="str">
            <v/>
          </cell>
          <cell r="AO702" t="str">
            <v/>
          </cell>
          <cell r="AS702" t="str">
            <v/>
          </cell>
          <cell r="AT702" t="str">
            <v/>
          </cell>
          <cell r="AU702" t="str">
            <v/>
          </cell>
          <cell r="AW702" t="str">
            <v/>
          </cell>
          <cell r="AX702" t="str">
            <v/>
          </cell>
        </row>
        <row r="703">
          <cell r="G703" t="str">
            <v/>
          </cell>
          <cell r="H703" t="str">
            <v/>
          </cell>
          <cell r="M703" t="str">
            <v/>
          </cell>
          <cell r="N703" t="str">
            <v/>
          </cell>
          <cell r="O703" t="str">
            <v/>
          </cell>
          <cell r="T703" t="str">
            <v/>
          </cell>
          <cell r="U703" t="str">
            <v/>
          </cell>
          <cell r="X703" t="str">
            <v/>
          </cell>
          <cell r="AH703" t="str">
            <v/>
          </cell>
          <cell r="AK703" t="str">
            <v/>
          </cell>
          <cell r="AM703" t="str">
            <v/>
          </cell>
          <cell r="AO703" t="str">
            <v/>
          </cell>
          <cell r="AS703" t="str">
            <v/>
          </cell>
          <cell r="AT703" t="str">
            <v/>
          </cell>
          <cell r="AU703" t="str">
            <v/>
          </cell>
          <cell r="AW703" t="str">
            <v/>
          </cell>
          <cell r="AX703" t="str">
            <v/>
          </cell>
        </row>
        <row r="704">
          <cell r="G704" t="str">
            <v/>
          </cell>
          <cell r="H704" t="str">
            <v/>
          </cell>
          <cell r="M704" t="str">
            <v/>
          </cell>
          <cell r="N704" t="str">
            <v/>
          </cell>
          <cell r="O704" t="str">
            <v/>
          </cell>
          <cell r="T704" t="str">
            <v/>
          </cell>
          <cell r="U704" t="str">
            <v/>
          </cell>
          <cell r="X704" t="str">
            <v/>
          </cell>
          <cell r="AH704" t="str">
            <v/>
          </cell>
          <cell r="AK704" t="str">
            <v/>
          </cell>
          <cell r="AM704" t="str">
            <v/>
          </cell>
          <cell r="AO704" t="str">
            <v/>
          </cell>
          <cell r="AS704" t="str">
            <v/>
          </cell>
          <cell r="AT704" t="str">
            <v/>
          </cell>
          <cell r="AU704" t="str">
            <v/>
          </cell>
          <cell r="AW704" t="str">
            <v/>
          </cell>
          <cell r="AX704" t="str">
            <v/>
          </cell>
        </row>
        <row r="705">
          <cell r="G705" t="str">
            <v/>
          </cell>
          <cell r="H705" t="str">
            <v/>
          </cell>
          <cell r="M705" t="str">
            <v/>
          </cell>
          <cell r="N705" t="str">
            <v/>
          </cell>
          <cell r="O705" t="str">
            <v/>
          </cell>
          <cell r="T705" t="str">
            <v/>
          </cell>
          <cell r="U705" t="str">
            <v/>
          </cell>
          <cell r="X705" t="str">
            <v/>
          </cell>
          <cell r="AH705" t="str">
            <v/>
          </cell>
          <cell r="AK705" t="str">
            <v/>
          </cell>
          <cell r="AM705" t="str">
            <v/>
          </cell>
          <cell r="AO705" t="str">
            <v/>
          </cell>
          <cell r="AS705" t="str">
            <v/>
          </cell>
          <cell r="AT705" t="str">
            <v/>
          </cell>
          <cell r="AU705" t="str">
            <v/>
          </cell>
          <cell r="AW705" t="str">
            <v/>
          </cell>
          <cell r="AX705" t="str">
            <v/>
          </cell>
        </row>
        <row r="706">
          <cell r="G706" t="str">
            <v/>
          </cell>
          <cell r="H706" t="str">
            <v/>
          </cell>
          <cell r="M706" t="str">
            <v/>
          </cell>
          <cell r="N706" t="str">
            <v/>
          </cell>
          <cell r="O706" t="str">
            <v/>
          </cell>
          <cell r="T706" t="str">
            <v/>
          </cell>
          <cell r="U706" t="str">
            <v/>
          </cell>
          <cell r="X706" t="str">
            <v/>
          </cell>
          <cell r="AH706" t="str">
            <v/>
          </cell>
          <cell r="AK706" t="str">
            <v/>
          </cell>
          <cell r="AM706" t="str">
            <v/>
          </cell>
          <cell r="AO706" t="str">
            <v/>
          </cell>
          <cell r="AS706" t="str">
            <v/>
          </cell>
          <cell r="AT706" t="str">
            <v/>
          </cell>
          <cell r="AU706" t="str">
            <v/>
          </cell>
          <cell r="AW706" t="str">
            <v/>
          </cell>
          <cell r="AX706" t="str">
            <v/>
          </cell>
        </row>
        <row r="707">
          <cell r="G707" t="str">
            <v/>
          </cell>
          <cell r="H707" t="str">
            <v/>
          </cell>
          <cell r="M707" t="str">
            <v/>
          </cell>
          <cell r="N707" t="str">
            <v/>
          </cell>
          <cell r="O707" t="str">
            <v/>
          </cell>
          <cell r="T707" t="str">
            <v/>
          </cell>
          <cell r="U707" t="str">
            <v/>
          </cell>
          <cell r="X707" t="str">
            <v/>
          </cell>
          <cell r="AH707" t="str">
            <v/>
          </cell>
          <cell r="AK707" t="str">
            <v/>
          </cell>
          <cell r="AM707" t="str">
            <v/>
          </cell>
          <cell r="AO707" t="str">
            <v/>
          </cell>
          <cell r="AS707" t="str">
            <v/>
          </cell>
          <cell r="AT707" t="str">
            <v/>
          </cell>
          <cell r="AU707" t="str">
            <v/>
          </cell>
          <cell r="AW707" t="str">
            <v/>
          </cell>
          <cell r="AX707" t="str">
            <v/>
          </cell>
        </row>
        <row r="708">
          <cell r="G708" t="str">
            <v/>
          </cell>
          <cell r="H708" t="str">
            <v/>
          </cell>
          <cell r="M708" t="str">
            <v/>
          </cell>
          <cell r="N708" t="str">
            <v/>
          </cell>
          <cell r="O708" t="str">
            <v/>
          </cell>
          <cell r="T708" t="str">
            <v/>
          </cell>
          <cell r="U708" t="str">
            <v/>
          </cell>
          <cell r="X708" t="str">
            <v/>
          </cell>
          <cell r="AH708" t="str">
            <v/>
          </cell>
          <cell r="AK708" t="str">
            <v/>
          </cell>
          <cell r="AM708" t="str">
            <v/>
          </cell>
          <cell r="AO708" t="str">
            <v/>
          </cell>
          <cell r="AS708" t="str">
            <v/>
          </cell>
          <cell r="AT708" t="str">
            <v/>
          </cell>
          <cell r="AU708" t="str">
            <v/>
          </cell>
          <cell r="AW708" t="str">
            <v/>
          </cell>
          <cell r="AX708" t="str">
            <v/>
          </cell>
        </row>
        <row r="709">
          <cell r="G709" t="str">
            <v/>
          </cell>
          <cell r="H709" t="str">
            <v/>
          </cell>
          <cell r="M709" t="str">
            <v/>
          </cell>
          <cell r="N709" t="str">
            <v/>
          </cell>
          <cell r="O709" t="str">
            <v/>
          </cell>
          <cell r="T709" t="str">
            <v/>
          </cell>
          <cell r="U709" t="str">
            <v/>
          </cell>
          <cell r="X709" t="str">
            <v/>
          </cell>
          <cell r="AH709" t="str">
            <v/>
          </cell>
          <cell r="AK709" t="str">
            <v/>
          </cell>
          <cell r="AM709" t="str">
            <v/>
          </cell>
          <cell r="AO709" t="str">
            <v/>
          </cell>
          <cell r="AS709" t="str">
            <v/>
          </cell>
          <cell r="AT709" t="str">
            <v/>
          </cell>
          <cell r="AU709" t="str">
            <v/>
          </cell>
          <cell r="AW709" t="str">
            <v/>
          </cell>
          <cell r="AX709" t="str">
            <v/>
          </cell>
        </row>
        <row r="710">
          <cell r="G710" t="str">
            <v/>
          </cell>
          <cell r="H710" t="str">
            <v/>
          </cell>
          <cell r="M710" t="str">
            <v/>
          </cell>
          <cell r="N710" t="str">
            <v/>
          </cell>
          <cell r="O710" t="str">
            <v/>
          </cell>
          <cell r="T710" t="str">
            <v/>
          </cell>
          <cell r="U710" t="str">
            <v/>
          </cell>
          <cell r="X710" t="str">
            <v/>
          </cell>
          <cell r="AH710" t="str">
            <v/>
          </cell>
          <cell r="AK710" t="str">
            <v/>
          </cell>
          <cell r="AM710" t="str">
            <v/>
          </cell>
          <cell r="AO710" t="str">
            <v/>
          </cell>
          <cell r="AS710" t="str">
            <v/>
          </cell>
          <cell r="AT710" t="str">
            <v/>
          </cell>
          <cell r="AU710" t="str">
            <v/>
          </cell>
          <cell r="AW710" t="str">
            <v/>
          </cell>
          <cell r="AX710" t="str">
            <v/>
          </cell>
        </row>
        <row r="711">
          <cell r="G711" t="str">
            <v/>
          </cell>
          <cell r="H711" t="str">
            <v/>
          </cell>
          <cell r="M711" t="str">
            <v/>
          </cell>
          <cell r="N711" t="str">
            <v/>
          </cell>
          <cell r="O711" t="str">
            <v/>
          </cell>
          <cell r="T711" t="str">
            <v/>
          </cell>
          <cell r="U711" t="str">
            <v/>
          </cell>
          <cell r="X711" t="str">
            <v/>
          </cell>
          <cell r="AH711" t="str">
            <v/>
          </cell>
          <cell r="AK711" t="str">
            <v/>
          </cell>
          <cell r="AM711" t="str">
            <v/>
          </cell>
          <cell r="AO711" t="str">
            <v/>
          </cell>
          <cell r="AS711" t="str">
            <v/>
          </cell>
          <cell r="AT711" t="str">
            <v/>
          </cell>
          <cell r="AU711" t="str">
            <v/>
          </cell>
          <cell r="AW711" t="str">
            <v/>
          </cell>
          <cell r="AX711" t="str">
            <v/>
          </cell>
        </row>
        <row r="712">
          <cell r="G712" t="str">
            <v/>
          </cell>
          <cell r="H712" t="str">
            <v/>
          </cell>
          <cell r="M712" t="str">
            <v/>
          </cell>
          <cell r="N712" t="str">
            <v/>
          </cell>
          <cell r="O712" t="str">
            <v/>
          </cell>
          <cell r="T712" t="str">
            <v/>
          </cell>
          <cell r="U712" t="str">
            <v/>
          </cell>
          <cell r="X712" t="str">
            <v/>
          </cell>
          <cell r="AH712" t="str">
            <v/>
          </cell>
          <cell r="AK712" t="str">
            <v/>
          </cell>
          <cell r="AM712" t="str">
            <v/>
          </cell>
          <cell r="AO712" t="str">
            <v/>
          </cell>
          <cell r="AS712" t="str">
            <v/>
          </cell>
          <cell r="AT712" t="str">
            <v/>
          </cell>
          <cell r="AU712" t="str">
            <v/>
          </cell>
          <cell r="AW712" t="str">
            <v/>
          </cell>
          <cell r="AX712" t="str">
            <v/>
          </cell>
        </row>
        <row r="713">
          <cell r="G713" t="str">
            <v/>
          </cell>
          <cell r="H713" t="str">
            <v/>
          </cell>
          <cell r="M713" t="str">
            <v/>
          </cell>
          <cell r="N713" t="str">
            <v/>
          </cell>
          <cell r="O713" t="str">
            <v/>
          </cell>
          <cell r="T713" t="str">
            <v/>
          </cell>
          <cell r="U713" t="str">
            <v/>
          </cell>
          <cell r="X713" t="str">
            <v/>
          </cell>
          <cell r="AH713" t="str">
            <v/>
          </cell>
          <cell r="AK713" t="str">
            <v/>
          </cell>
          <cell r="AM713" t="str">
            <v/>
          </cell>
          <cell r="AO713" t="str">
            <v/>
          </cell>
          <cell r="AS713" t="str">
            <v/>
          </cell>
          <cell r="AT713" t="str">
            <v/>
          </cell>
          <cell r="AU713" t="str">
            <v/>
          </cell>
          <cell r="AW713" t="str">
            <v/>
          </cell>
          <cell r="AX713" t="str">
            <v/>
          </cell>
        </row>
        <row r="714">
          <cell r="G714" t="str">
            <v/>
          </cell>
          <cell r="H714" t="str">
            <v/>
          </cell>
          <cell r="M714" t="str">
            <v/>
          </cell>
          <cell r="N714" t="str">
            <v/>
          </cell>
          <cell r="O714" t="str">
            <v/>
          </cell>
          <cell r="T714" t="str">
            <v/>
          </cell>
          <cell r="U714" t="str">
            <v/>
          </cell>
          <cell r="X714" t="str">
            <v/>
          </cell>
          <cell r="AH714" t="str">
            <v/>
          </cell>
          <cell r="AK714" t="str">
            <v/>
          </cell>
          <cell r="AM714" t="str">
            <v/>
          </cell>
          <cell r="AO714" t="str">
            <v/>
          </cell>
          <cell r="AS714" t="str">
            <v/>
          </cell>
          <cell r="AT714" t="str">
            <v/>
          </cell>
          <cell r="AU714" t="str">
            <v/>
          </cell>
          <cell r="AW714" t="str">
            <v/>
          </cell>
          <cell r="AX714" t="str">
            <v/>
          </cell>
        </row>
        <row r="715">
          <cell r="G715" t="str">
            <v/>
          </cell>
          <cell r="H715" t="str">
            <v/>
          </cell>
          <cell r="M715" t="str">
            <v/>
          </cell>
          <cell r="N715" t="str">
            <v/>
          </cell>
          <cell r="O715" t="str">
            <v/>
          </cell>
          <cell r="T715" t="str">
            <v/>
          </cell>
          <cell r="U715" t="str">
            <v/>
          </cell>
          <cell r="X715" t="str">
            <v/>
          </cell>
          <cell r="AH715" t="str">
            <v/>
          </cell>
          <cell r="AK715" t="str">
            <v/>
          </cell>
          <cell r="AM715" t="str">
            <v/>
          </cell>
          <cell r="AO715" t="str">
            <v/>
          </cell>
          <cell r="AS715" t="str">
            <v/>
          </cell>
          <cell r="AT715" t="str">
            <v/>
          </cell>
          <cell r="AU715" t="str">
            <v/>
          </cell>
          <cell r="AW715" t="str">
            <v/>
          </cell>
          <cell r="AX715" t="str">
            <v/>
          </cell>
        </row>
        <row r="716">
          <cell r="G716" t="str">
            <v/>
          </cell>
          <cell r="H716" t="str">
            <v/>
          </cell>
          <cell r="M716" t="str">
            <v/>
          </cell>
          <cell r="N716" t="str">
            <v/>
          </cell>
          <cell r="O716" t="str">
            <v/>
          </cell>
          <cell r="T716" t="str">
            <v/>
          </cell>
          <cell r="U716" t="str">
            <v/>
          </cell>
          <cell r="X716" t="str">
            <v/>
          </cell>
          <cell r="AH716" t="str">
            <v/>
          </cell>
          <cell r="AK716" t="str">
            <v/>
          </cell>
          <cell r="AM716" t="str">
            <v/>
          </cell>
          <cell r="AO716" t="str">
            <v/>
          </cell>
          <cell r="AS716" t="str">
            <v/>
          </cell>
          <cell r="AT716" t="str">
            <v/>
          </cell>
          <cell r="AU716" t="str">
            <v/>
          </cell>
          <cell r="AW716" t="str">
            <v/>
          </cell>
          <cell r="AX716" t="str">
            <v/>
          </cell>
        </row>
        <row r="717">
          <cell r="G717" t="str">
            <v/>
          </cell>
          <cell r="H717" t="str">
            <v/>
          </cell>
          <cell r="M717" t="str">
            <v/>
          </cell>
          <cell r="N717" t="str">
            <v/>
          </cell>
          <cell r="O717" t="str">
            <v/>
          </cell>
          <cell r="T717" t="str">
            <v/>
          </cell>
          <cell r="U717" t="str">
            <v/>
          </cell>
          <cell r="X717" t="str">
            <v/>
          </cell>
          <cell r="AH717" t="str">
            <v/>
          </cell>
          <cell r="AK717" t="str">
            <v/>
          </cell>
          <cell r="AM717" t="str">
            <v/>
          </cell>
          <cell r="AO717" t="str">
            <v/>
          </cell>
          <cell r="AS717" t="str">
            <v/>
          </cell>
          <cell r="AT717" t="str">
            <v/>
          </cell>
          <cell r="AU717" t="str">
            <v/>
          </cell>
          <cell r="AW717" t="str">
            <v/>
          </cell>
          <cell r="AX717" t="str">
            <v/>
          </cell>
        </row>
        <row r="718">
          <cell r="G718" t="str">
            <v/>
          </cell>
          <cell r="H718" t="str">
            <v/>
          </cell>
          <cell r="M718" t="str">
            <v/>
          </cell>
          <cell r="N718" t="str">
            <v/>
          </cell>
          <cell r="O718" t="str">
            <v/>
          </cell>
          <cell r="T718" t="str">
            <v/>
          </cell>
          <cell r="U718" t="str">
            <v/>
          </cell>
          <cell r="X718" t="str">
            <v/>
          </cell>
          <cell r="AH718" t="str">
            <v/>
          </cell>
          <cell r="AK718" t="str">
            <v/>
          </cell>
          <cell r="AM718" t="str">
            <v/>
          </cell>
          <cell r="AO718" t="str">
            <v/>
          </cell>
          <cell r="AS718" t="str">
            <v/>
          </cell>
          <cell r="AT718" t="str">
            <v/>
          </cell>
          <cell r="AU718" t="str">
            <v/>
          </cell>
          <cell r="AW718" t="str">
            <v/>
          </cell>
          <cell r="AX718" t="str">
            <v/>
          </cell>
        </row>
        <row r="719">
          <cell r="G719" t="str">
            <v/>
          </cell>
          <cell r="H719" t="str">
            <v/>
          </cell>
          <cell r="M719" t="str">
            <v/>
          </cell>
          <cell r="N719" t="str">
            <v/>
          </cell>
          <cell r="O719" t="str">
            <v/>
          </cell>
          <cell r="T719" t="str">
            <v/>
          </cell>
          <cell r="U719" t="str">
            <v/>
          </cell>
          <cell r="X719" t="str">
            <v/>
          </cell>
          <cell r="AH719" t="str">
            <v/>
          </cell>
          <cell r="AK719" t="str">
            <v/>
          </cell>
          <cell r="AM719" t="str">
            <v/>
          </cell>
          <cell r="AO719" t="str">
            <v/>
          </cell>
          <cell r="AS719" t="str">
            <v/>
          </cell>
          <cell r="AT719" t="str">
            <v/>
          </cell>
          <cell r="AU719" t="str">
            <v/>
          </cell>
          <cell r="AW719" t="str">
            <v/>
          </cell>
          <cell r="AX719" t="str">
            <v/>
          </cell>
        </row>
        <row r="720">
          <cell r="G720" t="str">
            <v/>
          </cell>
          <cell r="H720" t="str">
            <v/>
          </cell>
          <cell r="M720" t="str">
            <v/>
          </cell>
          <cell r="N720" t="str">
            <v/>
          </cell>
          <cell r="O720" t="str">
            <v/>
          </cell>
          <cell r="T720" t="str">
            <v/>
          </cell>
          <cell r="U720" t="str">
            <v/>
          </cell>
          <cell r="X720" t="str">
            <v/>
          </cell>
          <cell r="AH720" t="str">
            <v/>
          </cell>
          <cell r="AK720" t="str">
            <v/>
          </cell>
          <cell r="AM720" t="str">
            <v/>
          </cell>
          <cell r="AO720" t="str">
            <v/>
          </cell>
          <cell r="AS720" t="str">
            <v/>
          </cell>
          <cell r="AT720" t="str">
            <v/>
          </cell>
          <cell r="AU720" t="str">
            <v/>
          </cell>
          <cell r="AW720" t="str">
            <v/>
          </cell>
          <cell r="AX720" t="str">
            <v/>
          </cell>
        </row>
        <row r="721">
          <cell r="G721" t="str">
            <v/>
          </cell>
          <cell r="H721" t="str">
            <v/>
          </cell>
          <cell r="M721" t="str">
            <v/>
          </cell>
          <cell r="N721" t="str">
            <v/>
          </cell>
          <cell r="O721" t="str">
            <v/>
          </cell>
          <cell r="T721" t="str">
            <v/>
          </cell>
          <cell r="U721" t="str">
            <v/>
          </cell>
          <cell r="X721" t="str">
            <v/>
          </cell>
          <cell r="AH721" t="str">
            <v/>
          </cell>
          <cell r="AK721" t="str">
            <v/>
          </cell>
          <cell r="AM721" t="str">
            <v/>
          </cell>
          <cell r="AO721" t="str">
            <v/>
          </cell>
          <cell r="AS721" t="str">
            <v/>
          </cell>
          <cell r="AT721" t="str">
            <v/>
          </cell>
          <cell r="AU721" t="str">
            <v/>
          </cell>
          <cell r="AW721" t="str">
            <v/>
          </cell>
          <cell r="AX721" t="str">
            <v/>
          </cell>
        </row>
        <row r="722">
          <cell r="G722" t="str">
            <v/>
          </cell>
          <cell r="H722" t="str">
            <v/>
          </cell>
          <cell r="M722" t="str">
            <v/>
          </cell>
          <cell r="N722" t="str">
            <v/>
          </cell>
          <cell r="O722" t="str">
            <v/>
          </cell>
          <cell r="T722" t="str">
            <v/>
          </cell>
          <cell r="U722" t="str">
            <v/>
          </cell>
          <cell r="X722" t="str">
            <v/>
          </cell>
          <cell r="AH722" t="str">
            <v/>
          </cell>
          <cell r="AK722" t="str">
            <v/>
          </cell>
          <cell r="AM722" t="str">
            <v/>
          </cell>
          <cell r="AO722" t="str">
            <v/>
          </cell>
          <cell r="AS722" t="str">
            <v/>
          </cell>
          <cell r="AT722" t="str">
            <v/>
          </cell>
          <cell r="AU722" t="str">
            <v/>
          </cell>
          <cell r="AW722" t="str">
            <v/>
          </cell>
          <cell r="AX722" t="str">
            <v/>
          </cell>
        </row>
        <row r="723">
          <cell r="G723" t="str">
            <v/>
          </cell>
          <cell r="H723" t="str">
            <v/>
          </cell>
          <cell r="M723" t="str">
            <v/>
          </cell>
          <cell r="N723" t="str">
            <v/>
          </cell>
          <cell r="O723" t="str">
            <v/>
          </cell>
          <cell r="T723" t="str">
            <v/>
          </cell>
          <cell r="U723" t="str">
            <v/>
          </cell>
          <cell r="X723" t="str">
            <v/>
          </cell>
          <cell r="AH723" t="str">
            <v/>
          </cell>
          <cell r="AK723" t="str">
            <v/>
          </cell>
          <cell r="AM723" t="str">
            <v/>
          </cell>
          <cell r="AO723" t="str">
            <v/>
          </cell>
          <cell r="AS723" t="str">
            <v/>
          </cell>
          <cell r="AT723" t="str">
            <v/>
          </cell>
          <cell r="AU723" t="str">
            <v/>
          </cell>
          <cell r="AW723" t="str">
            <v/>
          </cell>
          <cell r="AX723" t="str">
            <v/>
          </cell>
        </row>
        <row r="724">
          <cell r="G724" t="str">
            <v/>
          </cell>
          <cell r="H724" t="str">
            <v/>
          </cell>
          <cell r="M724" t="str">
            <v/>
          </cell>
          <cell r="N724" t="str">
            <v/>
          </cell>
          <cell r="O724" t="str">
            <v/>
          </cell>
          <cell r="T724" t="str">
            <v/>
          </cell>
          <cell r="U724" t="str">
            <v/>
          </cell>
          <cell r="X724" t="str">
            <v/>
          </cell>
          <cell r="AH724" t="str">
            <v/>
          </cell>
          <cell r="AK724" t="str">
            <v/>
          </cell>
          <cell r="AM724" t="str">
            <v/>
          </cell>
          <cell r="AO724" t="str">
            <v/>
          </cell>
          <cell r="AS724" t="str">
            <v/>
          </cell>
          <cell r="AT724" t="str">
            <v/>
          </cell>
          <cell r="AU724" t="str">
            <v/>
          </cell>
          <cell r="AW724" t="str">
            <v/>
          </cell>
          <cell r="AX724" t="str">
            <v/>
          </cell>
        </row>
        <row r="725">
          <cell r="G725" t="str">
            <v/>
          </cell>
          <cell r="H725" t="str">
            <v/>
          </cell>
          <cell r="M725" t="str">
            <v/>
          </cell>
          <cell r="N725" t="str">
            <v/>
          </cell>
          <cell r="O725" t="str">
            <v/>
          </cell>
          <cell r="T725" t="str">
            <v/>
          </cell>
          <cell r="U725" t="str">
            <v/>
          </cell>
          <cell r="X725" t="str">
            <v/>
          </cell>
          <cell r="AH725" t="str">
            <v/>
          </cell>
          <cell r="AK725" t="str">
            <v/>
          </cell>
          <cell r="AM725" t="str">
            <v/>
          </cell>
          <cell r="AO725" t="str">
            <v/>
          </cell>
          <cell r="AS725" t="str">
            <v/>
          </cell>
          <cell r="AT725" t="str">
            <v/>
          </cell>
          <cell r="AU725" t="str">
            <v/>
          </cell>
          <cell r="AW725" t="str">
            <v/>
          </cell>
          <cell r="AX725" t="str">
            <v/>
          </cell>
        </row>
        <row r="726">
          <cell r="G726" t="str">
            <v/>
          </cell>
          <cell r="H726" t="str">
            <v/>
          </cell>
          <cell r="M726" t="str">
            <v/>
          </cell>
          <cell r="N726" t="str">
            <v/>
          </cell>
          <cell r="O726" t="str">
            <v/>
          </cell>
          <cell r="T726" t="str">
            <v/>
          </cell>
          <cell r="U726" t="str">
            <v/>
          </cell>
          <cell r="X726" t="str">
            <v/>
          </cell>
          <cell r="AH726" t="str">
            <v/>
          </cell>
          <cell r="AK726" t="str">
            <v/>
          </cell>
          <cell r="AM726" t="str">
            <v/>
          </cell>
          <cell r="AO726" t="str">
            <v/>
          </cell>
          <cell r="AS726" t="str">
            <v/>
          </cell>
          <cell r="AT726" t="str">
            <v/>
          </cell>
          <cell r="AU726" t="str">
            <v/>
          </cell>
          <cell r="AW726" t="str">
            <v/>
          </cell>
          <cell r="AX726" t="str">
            <v/>
          </cell>
        </row>
        <row r="727">
          <cell r="G727" t="str">
            <v/>
          </cell>
          <cell r="H727" t="str">
            <v/>
          </cell>
          <cell r="M727" t="str">
            <v/>
          </cell>
          <cell r="N727" t="str">
            <v/>
          </cell>
          <cell r="O727" t="str">
            <v/>
          </cell>
          <cell r="T727" t="str">
            <v/>
          </cell>
          <cell r="U727" t="str">
            <v/>
          </cell>
          <cell r="X727" t="str">
            <v/>
          </cell>
          <cell r="AH727" t="str">
            <v/>
          </cell>
          <cell r="AK727" t="str">
            <v/>
          </cell>
          <cell r="AM727" t="str">
            <v/>
          </cell>
          <cell r="AO727" t="str">
            <v/>
          </cell>
          <cell r="AS727" t="str">
            <v/>
          </cell>
          <cell r="AT727" t="str">
            <v/>
          </cell>
          <cell r="AU727" t="str">
            <v/>
          </cell>
          <cell r="AW727" t="str">
            <v/>
          </cell>
          <cell r="AX727" t="str">
            <v/>
          </cell>
        </row>
        <row r="728">
          <cell r="G728" t="str">
            <v/>
          </cell>
          <cell r="H728" t="str">
            <v/>
          </cell>
          <cell r="M728" t="str">
            <v/>
          </cell>
          <cell r="N728" t="str">
            <v/>
          </cell>
          <cell r="O728" t="str">
            <v/>
          </cell>
          <cell r="T728" t="str">
            <v/>
          </cell>
          <cell r="U728" t="str">
            <v/>
          </cell>
          <cell r="X728" t="str">
            <v/>
          </cell>
          <cell r="AH728" t="str">
            <v/>
          </cell>
          <cell r="AK728" t="str">
            <v/>
          </cell>
          <cell r="AM728" t="str">
            <v/>
          </cell>
          <cell r="AO728" t="str">
            <v/>
          </cell>
          <cell r="AS728" t="str">
            <v/>
          </cell>
          <cell r="AT728" t="str">
            <v/>
          </cell>
          <cell r="AU728" t="str">
            <v/>
          </cell>
          <cell r="AW728" t="str">
            <v/>
          </cell>
          <cell r="AX728" t="str">
            <v/>
          </cell>
        </row>
        <row r="729">
          <cell r="G729" t="str">
            <v/>
          </cell>
          <cell r="H729" t="str">
            <v/>
          </cell>
          <cell r="M729" t="str">
            <v/>
          </cell>
          <cell r="N729" t="str">
            <v/>
          </cell>
          <cell r="O729" t="str">
            <v/>
          </cell>
          <cell r="T729" t="str">
            <v/>
          </cell>
          <cell r="U729" t="str">
            <v/>
          </cell>
          <cell r="X729" t="str">
            <v/>
          </cell>
          <cell r="AH729" t="str">
            <v/>
          </cell>
          <cell r="AK729" t="str">
            <v/>
          </cell>
          <cell r="AM729" t="str">
            <v/>
          </cell>
          <cell r="AO729" t="str">
            <v/>
          </cell>
          <cell r="AS729" t="str">
            <v/>
          </cell>
          <cell r="AT729" t="str">
            <v/>
          </cell>
          <cell r="AU729" t="str">
            <v/>
          </cell>
          <cell r="AW729" t="str">
            <v/>
          </cell>
          <cell r="AX729" t="str">
            <v/>
          </cell>
        </row>
        <row r="730">
          <cell r="G730" t="str">
            <v/>
          </cell>
          <cell r="H730" t="str">
            <v/>
          </cell>
          <cell r="M730" t="str">
            <v/>
          </cell>
          <cell r="N730" t="str">
            <v/>
          </cell>
          <cell r="O730" t="str">
            <v/>
          </cell>
          <cell r="T730" t="str">
            <v/>
          </cell>
          <cell r="U730" t="str">
            <v/>
          </cell>
          <cell r="X730" t="str">
            <v/>
          </cell>
          <cell r="AH730" t="str">
            <v/>
          </cell>
          <cell r="AK730" t="str">
            <v/>
          </cell>
          <cell r="AM730" t="str">
            <v/>
          </cell>
          <cell r="AO730" t="str">
            <v/>
          </cell>
          <cell r="AS730" t="str">
            <v/>
          </cell>
          <cell r="AT730" t="str">
            <v/>
          </cell>
          <cell r="AU730" t="str">
            <v/>
          </cell>
          <cell r="AW730" t="str">
            <v/>
          </cell>
          <cell r="AX730" t="str">
            <v/>
          </cell>
        </row>
        <row r="731">
          <cell r="G731" t="str">
            <v/>
          </cell>
          <cell r="H731" t="str">
            <v/>
          </cell>
          <cell r="M731" t="str">
            <v/>
          </cell>
          <cell r="N731" t="str">
            <v/>
          </cell>
          <cell r="O731" t="str">
            <v/>
          </cell>
          <cell r="T731" t="str">
            <v/>
          </cell>
          <cell r="U731" t="str">
            <v/>
          </cell>
          <cell r="X731" t="str">
            <v/>
          </cell>
          <cell r="AH731" t="str">
            <v/>
          </cell>
          <cell r="AK731" t="str">
            <v/>
          </cell>
          <cell r="AM731" t="str">
            <v/>
          </cell>
          <cell r="AO731" t="str">
            <v/>
          </cell>
          <cell r="AS731" t="str">
            <v/>
          </cell>
          <cell r="AT731" t="str">
            <v/>
          </cell>
          <cell r="AU731" t="str">
            <v/>
          </cell>
          <cell r="AW731" t="str">
            <v/>
          </cell>
          <cell r="AX731" t="str">
            <v/>
          </cell>
        </row>
        <row r="732">
          <cell r="G732" t="str">
            <v/>
          </cell>
          <cell r="H732" t="str">
            <v/>
          </cell>
          <cell r="M732" t="str">
            <v/>
          </cell>
          <cell r="N732" t="str">
            <v/>
          </cell>
          <cell r="O732" t="str">
            <v/>
          </cell>
          <cell r="T732" t="str">
            <v/>
          </cell>
          <cell r="U732" t="str">
            <v/>
          </cell>
          <cell r="X732" t="str">
            <v/>
          </cell>
          <cell r="AH732" t="str">
            <v/>
          </cell>
          <cell r="AK732" t="str">
            <v/>
          </cell>
          <cell r="AM732" t="str">
            <v/>
          </cell>
          <cell r="AO732" t="str">
            <v/>
          </cell>
          <cell r="AS732" t="str">
            <v/>
          </cell>
          <cell r="AT732" t="str">
            <v/>
          </cell>
          <cell r="AU732" t="str">
            <v/>
          </cell>
          <cell r="AW732" t="str">
            <v/>
          </cell>
          <cell r="AX732" t="str">
            <v/>
          </cell>
        </row>
        <row r="733">
          <cell r="G733" t="str">
            <v/>
          </cell>
          <cell r="H733" t="str">
            <v/>
          </cell>
          <cell r="M733" t="str">
            <v/>
          </cell>
          <cell r="N733" t="str">
            <v/>
          </cell>
          <cell r="O733" t="str">
            <v/>
          </cell>
          <cell r="T733" t="str">
            <v/>
          </cell>
          <cell r="U733" t="str">
            <v/>
          </cell>
          <cell r="X733" t="str">
            <v/>
          </cell>
          <cell r="AH733" t="str">
            <v/>
          </cell>
          <cell r="AK733" t="str">
            <v/>
          </cell>
          <cell r="AM733" t="str">
            <v/>
          </cell>
          <cell r="AO733" t="str">
            <v/>
          </cell>
          <cell r="AS733" t="str">
            <v/>
          </cell>
          <cell r="AT733" t="str">
            <v/>
          </cell>
          <cell r="AU733" t="str">
            <v/>
          </cell>
          <cell r="AW733" t="str">
            <v/>
          </cell>
          <cell r="AX733" t="str">
            <v/>
          </cell>
        </row>
        <row r="734">
          <cell r="G734" t="str">
            <v/>
          </cell>
          <cell r="H734" t="str">
            <v/>
          </cell>
          <cell r="M734" t="str">
            <v/>
          </cell>
          <cell r="N734" t="str">
            <v/>
          </cell>
          <cell r="O734" t="str">
            <v/>
          </cell>
          <cell r="T734" t="str">
            <v/>
          </cell>
          <cell r="U734" t="str">
            <v/>
          </cell>
          <cell r="X734" t="str">
            <v/>
          </cell>
          <cell r="AH734" t="str">
            <v/>
          </cell>
          <cell r="AK734" t="str">
            <v/>
          </cell>
          <cell r="AM734" t="str">
            <v/>
          </cell>
          <cell r="AO734" t="str">
            <v/>
          </cell>
          <cell r="AS734" t="str">
            <v/>
          </cell>
          <cell r="AT734" t="str">
            <v/>
          </cell>
          <cell r="AU734" t="str">
            <v/>
          </cell>
          <cell r="AW734" t="str">
            <v/>
          </cell>
          <cell r="AX734" t="str">
            <v/>
          </cell>
        </row>
        <row r="735">
          <cell r="G735" t="str">
            <v/>
          </cell>
          <cell r="H735" t="str">
            <v/>
          </cell>
          <cell r="M735" t="str">
            <v/>
          </cell>
          <cell r="N735" t="str">
            <v/>
          </cell>
          <cell r="O735" t="str">
            <v/>
          </cell>
          <cell r="T735" t="str">
            <v/>
          </cell>
          <cell r="U735" t="str">
            <v/>
          </cell>
          <cell r="X735" t="str">
            <v/>
          </cell>
          <cell r="AH735" t="str">
            <v/>
          </cell>
          <cell r="AK735" t="str">
            <v/>
          </cell>
          <cell r="AM735" t="str">
            <v/>
          </cell>
          <cell r="AO735" t="str">
            <v/>
          </cell>
          <cell r="AS735" t="str">
            <v/>
          </cell>
          <cell r="AT735" t="str">
            <v/>
          </cell>
          <cell r="AU735" t="str">
            <v/>
          </cell>
          <cell r="AW735" t="str">
            <v/>
          </cell>
          <cell r="AX735" t="str">
            <v/>
          </cell>
        </row>
        <row r="736">
          <cell r="G736" t="str">
            <v/>
          </cell>
          <cell r="H736" t="str">
            <v/>
          </cell>
          <cell r="M736" t="str">
            <v/>
          </cell>
          <cell r="N736" t="str">
            <v/>
          </cell>
          <cell r="O736" t="str">
            <v/>
          </cell>
          <cell r="T736" t="str">
            <v/>
          </cell>
          <cell r="U736" t="str">
            <v/>
          </cell>
          <cell r="X736" t="str">
            <v/>
          </cell>
          <cell r="AH736" t="str">
            <v/>
          </cell>
          <cell r="AK736" t="str">
            <v/>
          </cell>
          <cell r="AM736" t="str">
            <v/>
          </cell>
          <cell r="AO736" t="str">
            <v/>
          </cell>
          <cell r="AS736" t="str">
            <v/>
          </cell>
          <cell r="AT736" t="str">
            <v/>
          </cell>
          <cell r="AU736" t="str">
            <v/>
          </cell>
          <cell r="AW736" t="str">
            <v/>
          </cell>
          <cell r="AX736" t="str">
            <v/>
          </cell>
        </row>
        <row r="737">
          <cell r="G737" t="str">
            <v/>
          </cell>
          <cell r="H737" t="str">
            <v/>
          </cell>
          <cell r="M737" t="str">
            <v/>
          </cell>
          <cell r="N737" t="str">
            <v/>
          </cell>
          <cell r="O737" t="str">
            <v/>
          </cell>
          <cell r="T737" t="str">
            <v/>
          </cell>
          <cell r="U737" t="str">
            <v/>
          </cell>
          <cell r="X737" t="str">
            <v/>
          </cell>
          <cell r="AH737" t="str">
            <v/>
          </cell>
          <cell r="AK737" t="str">
            <v/>
          </cell>
          <cell r="AM737" t="str">
            <v/>
          </cell>
          <cell r="AO737" t="str">
            <v/>
          </cell>
          <cell r="AS737" t="str">
            <v/>
          </cell>
          <cell r="AT737" t="str">
            <v/>
          </cell>
          <cell r="AU737" t="str">
            <v/>
          </cell>
          <cell r="AW737" t="str">
            <v/>
          </cell>
          <cell r="AX737" t="str">
            <v/>
          </cell>
        </row>
        <row r="738">
          <cell r="G738" t="str">
            <v/>
          </cell>
          <cell r="H738" t="str">
            <v/>
          </cell>
          <cell r="M738" t="str">
            <v/>
          </cell>
          <cell r="N738" t="str">
            <v/>
          </cell>
          <cell r="O738" t="str">
            <v/>
          </cell>
          <cell r="T738" t="str">
            <v/>
          </cell>
          <cell r="U738" t="str">
            <v/>
          </cell>
          <cell r="X738" t="str">
            <v/>
          </cell>
          <cell r="AH738" t="str">
            <v/>
          </cell>
          <cell r="AK738" t="str">
            <v/>
          </cell>
          <cell r="AM738" t="str">
            <v/>
          </cell>
          <cell r="AO738" t="str">
            <v/>
          </cell>
          <cell r="AS738" t="str">
            <v/>
          </cell>
          <cell r="AT738" t="str">
            <v/>
          </cell>
          <cell r="AU738" t="str">
            <v/>
          </cell>
          <cell r="AW738" t="str">
            <v/>
          </cell>
          <cell r="AX738" t="str">
            <v/>
          </cell>
        </row>
        <row r="739">
          <cell r="G739" t="str">
            <v/>
          </cell>
          <cell r="H739" t="str">
            <v/>
          </cell>
          <cell r="M739" t="str">
            <v/>
          </cell>
          <cell r="N739" t="str">
            <v/>
          </cell>
          <cell r="O739" t="str">
            <v/>
          </cell>
          <cell r="T739" t="str">
            <v/>
          </cell>
          <cell r="U739" t="str">
            <v/>
          </cell>
          <cell r="X739" t="str">
            <v/>
          </cell>
          <cell r="AH739" t="str">
            <v/>
          </cell>
          <cell r="AK739" t="str">
            <v/>
          </cell>
          <cell r="AM739" t="str">
            <v/>
          </cell>
          <cell r="AO739" t="str">
            <v/>
          </cell>
          <cell r="AS739" t="str">
            <v/>
          </cell>
          <cell r="AT739" t="str">
            <v/>
          </cell>
          <cell r="AU739" t="str">
            <v/>
          </cell>
          <cell r="AW739" t="str">
            <v/>
          </cell>
          <cell r="AX739" t="str">
            <v/>
          </cell>
        </row>
        <row r="740">
          <cell r="G740" t="str">
            <v/>
          </cell>
          <cell r="H740" t="str">
            <v/>
          </cell>
          <cell r="M740" t="str">
            <v/>
          </cell>
          <cell r="N740" t="str">
            <v/>
          </cell>
          <cell r="O740" t="str">
            <v/>
          </cell>
          <cell r="T740" t="str">
            <v/>
          </cell>
          <cell r="U740" t="str">
            <v/>
          </cell>
          <cell r="X740" t="str">
            <v/>
          </cell>
          <cell r="AH740" t="str">
            <v/>
          </cell>
          <cell r="AK740" t="str">
            <v/>
          </cell>
          <cell r="AM740" t="str">
            <v/>
          </cell>
          <cell r="AO740" t="str">
            <v/>
          </cell>
          <cell r="AS740" t="str">
            <v/>
          </cell>
          <cell r="AT740" t="str">
            <v/>
          </cell>
          <cell r="AU740" t="str">
            <v/>
          </cell>
          <cell r="AW740" t="str">
            <v/>
          </cell>
          <cell r="AX740" t="str">
            <v/>
          </cell>
        </row>
        <row r="741">
          <cell r="G741" t="str">
            <v/>
          </cell>
          <cell r="H741" t="str">
            <v/>
          </cell>
          <cell r="M741" t="str">
            <v/>
          </cell>
          <cell r="N741" t="str">
            <v/>
          </cell>
          <cell r="O741" t="str">
            <v/>
          </cell>
          <cell r="T741" t="str">
            <v/>
          </cell>
          <cell r="U741" t="str">
            <v/>
          </cell>
          <cell r="X741" t="str">
            <v/>
          </cell>
          <cell r="AH741" t="str">
            <v/>
          </cell>
          <cell r="AK741" t="str">
            <v/>
          </cell>
          <cell r="AM741" t="str">
            <v/>
          </cell>
          <cell r="AO741" t="str">
            <v/>
          </cell>
          <cell r="AS741" t="str">
            <v/>
          </cell>
          <cell r="AT741" t="str">
            <v/>
          </cell>
          <cell r="AU741" t="str">
            <v/>
          </cell>
          <cell r="AW741" t="str">
            <v/>
          </cell>
          <cell r="AX741" t="str">
            <v/>
          </cell>
        </row>
        <row r="742">
          <cell r="G742" t="str">
            <v/>
          </cell>
          <cell r="H742" t="str">
            <v/>
          </cell>
          <cell r="M742" t="str">
            <v/>
          </cell>
          <cell r="N742" t="str">
            <v/>
          </cell>
          <cell r="O742" t="str">
            <v/>
          </cell>
          <cell r="T742" t="str">
            <v/>
          </cell>
          <cell r="U742" t="str">
            <v/>
          </cell>
          <cell r="X742" t="str">
            <v/>
          </cell>
          <cell r="AH742" t="str">
            <v/>
          </cell>
          <cell r="AK742" t="str">
            <v/>
          </cell>
          <cell r="AM742" t="str">
            <v/>
          </cell>
          <cell r="AO742" t="str">
            <v/>
          </cell>
          <cell r="AS742" t="str">
            <v/>
          </cell>
          <cell r="AT742" t="str">
            <v/>
          </cell>
          <cell r="AU742" t="str">
            <v/>
          </cell>
          <cell r="AW742" t="str">
            <v/>
          </cell>
          <cell r="AX742" t="str">
            <v/>
          </cell>
        </row>
        <row r="743">
          <cell r="G743" t="str">
            <v/>
          </cell>
          <cell r="H743" t="str">
            <v/>
          </cell>
          <cell r="M743" t="str">
            <v/>
          </cell>
          <cell r="N743" t="str">
            <v/>
          </cell>
          <cell r="O743" t="str">
            <v/>
          </cell>
          <cell r="T743" t="str">
            <v/>
          </cell>
          <cell r="U743" t="str">
            <v/>
          </cell>
          <cell r="X743" t="str">
            <v/>
          </cell>
          <cell r="AH743" t="str">
            <v/>
          </cell>
          <cell r="AK743" t="str">
            <v/>
          </cell>
          <cell r="AM743" t="str">
            <v/>
          </cell>
          <cell r="AO743" t="str">
            <v/>
          </cell>
          <cell r="AS743" t="str">
            <v/>
          </cell>
          <cell r="AT743" t="str">
            <v/>
          </cell>
          <cell r="AU743" t="str">
            <v/>
          </cell>
          <cell r="AW743" t="str">
            <v/>
          </cell>
          <cell r="AX743" t="str">
            <v/>
          </cell>
        </row>
        <row r="744">
          <cell r="G744" t="str">
            <v/>
          </cell>
          <cell r="H744" t="str">
            <v/>
          </cell>
          <cell r="M744" t="str">
            <v/>
          </cell>
          <cell r="N744" t="str">
            <v/>
          </cell>
          <cell r="O744" t="str">
            <v/>
          </cell>
          <cell r="T744" t="str">
            <v/>
          </cell>
          <cell r="U744" t="str">
            <v/>
          </cell>
          <cell r="X744" t="str">
            <v/>
          </cell>
          <cell r="AH744" t="str">
            <v/>
          </cell>
          <cell r="AK744" t="str">
            <v/>
          </cell>
          <cell r="AM744" t="str">
            <v/>
          </cell>
          <cell r="AO744" t="str">
            <v/>
          </cell>
          <cell r="AS744" t="str">
            <v/>
          </cell>
          <cell r="AT744" t="str">
            <v/>
          </cell>
          <cell r="AU744" t="str">
            <v/>
          </cell>
          <cell r="AW744" t="str">
            <v/>
          </cell>
          <cell r="AX744" t="str">
            <v/>
          </cell>
        </row>
        <row r="745">
          <cell r="G745" t="str">
            <v/>
          </cell>
          <cell r="H745" t="str">
            <v/>
          </cell>
          <cell r="M745" t="str">
            <v/>
          </cell>
          <cell r="N745" t="str">
            <v/>
          </cell>
          <cell r="O745" t="str">
            <v/>
          </cell>
          <cell r="T745" t="str">
            <v/>
          </cell>
          <cell r="U745" t="str">
            <v/>
          </cell>
          <cell r="X745" t="str">
            <v/>
          </cell>
          <cell r="AH745" t="str">
            <v/>
          </cell>
          <cell r="AK745" t="str">
            <v/>
          </cell>
          <cell r="AM745" t="str">
            <v/>
          </cell>
          <cell r="AO745" t="str">
            <v/>
          </cell>
          <cell r="AS745" t="str">
            <v/>
          </cell>
          <cell r="AT745" t="str">
            <v/>
          </cell>
          <cell r="AU745" t="str">
            <v/>
          </cell>
          <cell r="AW745" t="str">
            <v/>
          </cell>
          <cell r="AX745" t="str">
            <v/>
          </cell>
        </row>
        <row r="746">
          <cell r="G746" t="str">
            <v/>
          </cell>
          <cell r="H746" t="str">
            <v/>
          </cell>
          <cell r="M746" t="str">
            <v/>
          </cell>
          <cell r="N746" t="str">
            <v/>
          </cell>
          <cell r="O746" t="str">
            <v/>
          </cell>
          <cell r="T746" t="str">
            <v/>
          </cell>
          <cell r="U746" t="str">
            <v/>
          </cell>
          <cell r="X746" t="str">
            <v/>
          </cell>
          <cell r="AH746" t="str">
            <v/>
          </cell>
          <cell r="AK746" t="str">
            <v/>
          </cell>
          <cell r="AM746" t="str">
            <v/>
          </cell>
          <cell r="AO746" t="str">
            <v/>
          </cell>
          <cell r="AS746" t="str">
            <v/>
          </cell>
          <cell r="AT746" t="str">
            <v/>
          </cell>
          <cell r="AU746" t="str">
            <v/>
          </cell>
          <cell r="AW746" t="str">
            <v/>
          </cell>
          <cell r="AX746" t="str">
            <v/>
          </cell>
        </row>
        <row r="747">
          <cell r="G747" t="str">
            <v/>
          </cell>
          <cell r="H747" t="str">
            <v/>
          </cell>
          <cell r="M747" t="str">
            <v/>
          </cell>
          <cell r="N747" t="str">
            <v/>
          </cell>
          <cell r="O747" t="str">
            <v/>
          </cell>
          <cell r="T747" t="str">
            <v/>
          </cell>
          <cell r="U747" t="str">
            <v/>
          </cell>
          <cell r="X747" t="str">
            <v/>
          </cell>
          <cell r="AH747" t="str">
            <v/>
          </cell>
          <cell r="AK747" t="str">
            <v/>
          </cell>
          <cell r="AM747" t="str">
            <v/>
          </cell>
          <cell r="AO747" t="str">
            <v/>
          </cell>
          <cell r="AS747" t="str">
            <v/>
          </cell>
          <cell r="AT747" t="str">
            <v/>
          </cell>
          <cell r="AU747" t="str">
            <v/>
          </cell>
          <cell r="AW747" t="str">
            <v/>
          </cell>
          <cell r="AX747" t="str">
            <v/>
          </cell>
        </row>
        <row r="748">
          <cell r="G748" t="str">
            <v/>
          </cell>
          <cell r="H748" t="str">
            <v/>
          </cell>
          <cell r="M748" t="str">
            <v/>
          </cell>
          <cell r="N748" t="str">
            <v/>
          </cell>
          <cell r="O748" t="str">
            <v/>
          </cell>
          <cell r="T748" t="str">
            <v/>
          </cell>
          <cell r="U748" t="str">
            <v/>
          </cell>
          <cell r="X748" t="str">
            <v/>
          </cell>
          <cell r="AH748" t="str">
            <v/>
          </cell>
          <cell r="AK748" t="str">
            <v/>
          </cell>
          <cell r="AM748" t="str">
            <v/>
          </cell>
          <cell r="AO748" t="str">
            <v/>
          </cell>
          <cell r="AS748" t="str">
            <v/>
          </cell>
          <cell r="AT748" t="str">
            <v/>
          </cell>
          <cell r="AU748" t="str">
            <v/>
          </cell>
          <cell r="AW748" t="str">
            <v/>
          </cell>
          <cell r="AX748" t="str">
            <v/>
          </cell>
        </row>
        <row r="749">
          <cell r="G749" t="str">
            <v/>
          </cell>
          <cell r="H749" t="str">
            <v/>
          </cell>
          <cell r="M749" t="str">
            <v/>
          </cell>
          <cell r="N749" t="str">
            <v/>
          </cell>
          <cell r="O749" t="str">
            <v/>
          </cell>
          <cell r="T749" t="str">
            <v/>
          </cell>
          <cell r="U749" t="str">
            <v/>
          </cell>
          <cell r="X749" t="str">
            <v/>
          </cell>
          <cell r="AH749" t="str">
            <v/>
          </cell>
          <cell r="AK749" t="str">
            <v/>
          </cell>
          <cell r="AM749" t="str">
            <v/>
          </cell>
          <cell r="AO749" t="str">
            <v/>
          </cell>
          <cell r="AS749" t="str">
            <v/>
          </cell>
          <cell r="AT749" t="str">
            <v/>
          </cell>
          <cell r="AU749" t="str">
            <v/>
          </cell>
          <cell r="AW749" t="str">
            <v/>
          </cell>
          <cell r="AX749" t="str">
            <v/>
          </cell>
        </row>
        <row r="750">
          <cell r="G750" t="str">
            <v/>
          </cell>
          <cell r="H750" t="str">
            <v/>
          </cell>
          <cell r="M750" t="str">
            <v/>
          </cell>
          <cell r="N750" t="str">
            <v/>
          </cell>
          <cell r="O750" t="str">
            <v/>
          </cell>
          <cell r="T750" t="str">
            <v/>
          </cell>
          <cell r="U750" t="str">
            <v/>
          </cell>
          <cell r="X750" t="str">
            <v/>
          </cell>
          <cell r="AH750" t="str">
            <v/>
          </cell>
          <cell r="AK750" t="str">
            <v/>
          </cell>
          <cell r="AM750" t="str">
            <v/>
          </cell>
          <cell r="AO750" t="str">
            <v/>
          </cell>
          <cell r="AS750" t="str">
            <v/>
          </cell>
          <cell r="AT750" t="str">
            <v/>
          </cell>
          <cell r="AU750" t="str">
            <v/>
          </cell>
          <cell r="AW750" t="str">
            <v/>
          </cell>
          <cell r="AX750" t="str">
            <v/>
          </cell>
        </row>
        <row r="751">
          <cell r="G751" t="str">
            <v/>
          </cell>
          <cell r="H751" t="str">
            <v/>
          </cell>
          <cell r="M751" t="str">
            <v/>
          </cell>
          <cell r="N751" t="str">
            <v/>
          </cell>
          <cell r="O751" t="str">
            <v/>
          </cell>
          <cell r="T751" t="str">
            <v/>
          </cell>
          <cell r="U751" t="str">
            <v/>
          </cell>
          <cell r="X751" t="str">
            <v/>
          </cell>
          <cell r="AH751" t="str">
            <v/>
          </cell>
          <cell r="AK751" t="str">
            <v/>
          </cell>
          <cell r="AM751" t="str">
            <v/>
          </cell>
          <cell r="AO751" t="str">
            <v/>
          </cell>
          <cell r="AS751" t="str">
            <v/>
          </cell>
          <cell r="AT751" t="str">
            <v/>
          </cell>
          <cell r="AU751" t="str">
            <v/>
          </cell>
          <cell r="AW751" t="str">
            <v/>
          </cell>
          <cell r="AX751" t="str">
            <v/>
          </cell>
        </row>
        <row r="752">
          <cell r="G752" t="str">
            <v/>
          </cell>
          <cell r="H752" t="str">
            <v/>
          </cell>
          <cell r="M752" t="str">
            <v/>
          </cell>
          <cell r="N752" t="str">
            <v/>
          </cell>
          <cell r="O752" t="str">
            <v/>
          </cell>
          <cell r="T752" t="str">
            <v/>
          </cell>
          <cell r="U752" t="str">
            <v/>
          </cell>
          <cell r="X752" t="str">
            <v/>
          </cell>
          <cell r="AH752" t="str">
            <v/>
          </cell>
          <cell r="AK752" t="str">
            <v/>
          </cell>
          <cell r="AM752" t="str">
            <v/>
          </cell>
          <cell r="AO752" t="str">
            <v/>
          </cell>
          <cell r="AS752" t="str">
            <v/>
          </cell>
          <cell r="AT752" t="str">
            <v/>
          </cell>
          <cell r="AU752" t="str">
            <v/>
          </cell>
          <cell r="AW752" t="str">
            <v/>
          </cell>
          <cell r="AX752" t="str">
            <v/>
          </cell>
        </row>
        <row r="753">
          <cell r="G753" t="str">
            <v/>
          </cell>
          <cell r="H753" t="str">
            <v/>
          </cell>
          <cell r="M753" t="str">
            <v/>
          </cell>
          <cell r="N753" t="str">
            <v/>
          </cell>
          <cell r="O753" t="str">
            <v/>
          </cell>
          <cell r="T753" t="str">
            <v/>
          </cell>
          <cell r="U753" t="str">
            <v/>
          </cell>
          <cell r="X753" t="str">
            <v/>
          </cell>
          <cell r="AH753" t="str">
            <v/>
          </cell>
          <cell r="AK753" t="str">
            <v/>
          </cell>
          <cell r="AM753" t="str">
            <v/>
          </cell>
          <cell r="AO753" t="str">
            <v/>
          </cell>
          <cell r="AS753" t="str">
            <v/>
          </cell>
          <cell r="AT753" t="str">
            <v/>
          </cell>
          <cell r="AU753" t="str">
            <v/>
          </cell>
          <cell r="AW753" t="str">
            <v/>
          </cell>
          <cell r="AX753" t="str">
            <v/>
          </cell>
        </row>
        <row r="754">
          <cell r="G754" t="str">
            <v/>
          </cell>
          <cell r="H754" t="str">
            <v/>
          </cell>
          <cell r="M754" t="str">
            <v/>
          </cell>
          <cell r="N754" t="str">
            <v/>
          </cell>
          <cell r="O754" t="str">
            <v/>
          </cell>
          <cell r="T754" t="str">
            <v/>
          </cell>
          <cell r="U754" t="str">
            <v/>
          </cell>
          <cell r="X754" t="str">
            <v/>
          </cell>
          <cell r="AH754" t="str">
            <v/>
          </cell>
          <cell r="AK754" t="str">
            <v/>
          </cell>
          <cell r="AM754" t="str">
            <v/>
          </cell>
          <cell r="AO754" t="str">
            <v/>
          </cell>
          <cell r="AS754" t="str">
            <v/>
          </cell>
          <cell r="AT754" t="str">
            <v/>
          </cell>
          <cell r="AU754" t="str">
            <v/>
          </cell>
          <cell r="AW754" t="str">
            <v/>
          </cell>
          <cell r="AX754" t="str">
            <v/>
          </cell>
        </row>
        <row r="755">
          <cell r="G755" t="str">
            <v/>
          </cell>
          <cell r="H755" t="str">
            <v/>
          </cell>
          <cell r="M755" t="str">
            <v/>
          </cell>
          <cell r="N755" t="str">
            <v/>
          </cell>
          <cell r="O755" t="str">
            <v/>
          </cell>
          <cell r="T755" t="str">
            <v/>
          </cell>
          <cell r="U755" t="str">
            <v/>
          </cell>
          <cell r="X755" t="str">
            <v/>
          </cell>
          <cell r="AH755" t="str">
            <v/>
          </cell>
          <cell r="AK755" t="str">
            <v/>
          </cell>
          <cell r="AM755" t="str">
            <v/>
          </cell>
          <cell r="AO755" t="str">
            <v/>
          </cell>
          <cell r="AS755" t="str">
            <v/>
          </cell>
          <cell r="AT755" t="str">
            <v/>
          </cell>
          <cell r="AU755" t="str">
            <v/>
          </cell>
          <cell r="AW755" t="str">
            <v/>
          </cell>
          <cell r="AX755" t="str">
            <v/>
          </cell>
        </row>
        <row r="756">
          <cell r="G756" t="str">
            <v/>
          </cell>
          <cell r="H756" t="str">
            <v/>
          </cell>
          <cell r="M756" t="str">
            <v/>
          </cell>
          <cell r="N756" t="str">
            <v/>
          </cell>
          <cell r="O756" t="str">
            <v/>
          </cell>
          <cell r="T756" t="str">
            <v/>
          </cell>
          <cell r="U756" t="str">
            <v/>
          </cell>
          <cell r="X756" t="str">
            <v/>
          </cell>
          <cell r="AH756" t="str">
            <v/>
          </cell>
          <cell r="AK756" t="str">
            <v/>
          </cell>
          <cell r="AM756" t="str">
            <v/>
          </cell>
          <cell r="AO756" t="str">
            <v/>
          </cell>
          <cell r="AS756" t="str">
            <v/>
          </cell>
          <cell r="AT756" t="str">
            <v/>
          </cell>
          <cell r="AU756" t="str">
            <v/>
          </cell>
          <cell r="AW756" t="str">
            <v/>
          </cell>
          <cell r="AX756" t="str">
            <v/>
          </cell>
        </row>
        <row r="757">
          <cell r="G757" t="str">
            <v/>
          </cell>
          <cell r="H757" t="str">
            <v/>
          </cell>
          <cell r="M757" t="str">
            <v/>
          </cell>
          <cell r="N757" t="str">
            <v/>
          </cell>
          <cell r="O757" t="str">
            <v/>
          </cell>
          <cell r="T757" t="str">
            <v/>
          </cell>
          <cell r="U757" t="str">
            <v/>
          </cell>
          <cell r="X757" t="str">
            <v/>
          </cell>
          <cell r="AH757" t="str">
            <v/>
          </cell>
          <cell r="AK757" t="str">
            <v/>
          </cell>
          <cell r="AM757" t="str">
            <v/>
          </cell>
          <cell r="AO757" t="str">
            <v/>
          </cell>
          <cell r="AS757" t="str">
            <v/>
          </cell>
          <cell r="AT757" t="str">
            <v/>
          </cell>
          <cell r="AU757" t="str">
            <v/>
          </cell>
          <cell r="AW757" t="str">
            <v/>
          </cell>
          <cell r="AX757" t="str">
            <v/>
          </cell>
        </row>
        <row r="758">
          <cell r="G758" t="str">
            <v/>
          </cell>
          <cell r="H758" t="str">
            <v/>
          </cell>
          <cell r="M758" t="str">
            <v/>
          </cell>
          <cell r="N758" t="str">
            <v/>
          </cell>
          <cell r="O758" t="str">
            <v/>
          </cell>
          <cell r="T758" t="str">
            <v/>
          </cell>
          <cell r="U758" t="str">
            <v/>
          </cell>
          <cell r="X758" t="str">
            <v/>
          </cell>
          <cell r="AH758" t="str">
            <v/>
          </cell>
          <cell r="AK758" t="str">
            <v/>
          </cell>
          <cell r="AM758" t="str">
            <v/>
          </cell>
          <cell r="AO758" t="str">
            <v/>
          </cell>
          <cell r="AS758" t="str">
            <v/>
          </cell>
          <cell r="AT758" t="str">
            <v/>
          </cell>
          <cell r="AU758" t="str">
            <v/>
          </cell>
          <cell r="AW758" t="str">
            <v/>
          </cell>
          <cell r="AX758" t="str">
            <v/>
          </cell>
        </row>
        <row r="759">
          <cell r="G759" t="str">
            <v/>
          </cell>
          <cell r="H759" t="str">
            <v/>
          </cell>
          <cell r="M759" t="str">
            <v/>
          </cell>
          <cell r="N759" t="str">
            <v/>
          </cell>
          <cell r="O759" t="str">
            <v/>
          </cell>
          <cell r="T759" t="str">
            <v/>
          </cell>
          <cell r="U759" t="str">
            <v/>
          </cell>
          <cell r="X759" t="str">
            <v/>
          </cell>
          <cell r="AH759" t="str">
            <v/>
          </cell>
          <cell r="AK759" t="str">
            <v/>
          </cell>
          <cell r="AM759" t="str">
            <v/>
          </cell>
          <cell r="AO759" t="str">
            <v/>
          </cell>
          <cell r="AS759" t="str">
            <v/>
          </cell>
          <cell r="AT759" t="str">
            <v/>
          </cell>
          <cell r="AU759" t="str">
            <v/>
          </cell>
          <cell r="AW759" t="str">
            <v/>
          </cell>
          <cell r="AX759" t="str">
            <v/>
          </cell>
        </row>
        <row r="760">
          <cell r="G760" t="str">
            <v/>
          </cell>
          <cell r="H760" t="str">
            <v/>
          </cell>
          <cell r="M760" t="str">
            <v/>
          </cell>
          <cell r="N760" t="str">
            <v/>
          </cell>
          <cell r="O760" t="str">
            <v/>
          </cell>
          <cell r="T760" t="str">
            <v/>
          </cell>
          <cell r="U760" t="str">
            <v/>
          </cell>
          <cell r="X760" t="str">
            <v/>
          </cell>
          <cell r="AH760" t="str">
            <v/>
          </cell>
          <cell r="AK760" t="str">
            <v/>
          </cell>
          <cell r="AM760" t="str">
            <v/>
          </cell>
          <cell r="AO760" t="str">
            <v/>
          </cell>
          <cell r="AS760" t="str">
            <v/>
          </cell>
          <cell r="AT760" t="str">
            <v/>
          </cell>
          <cell r="AU760" t="str">
            <v/>
          </cell>
          <cell r="AW760" t="str">
            <v/>
          </cell>
          <cell r="AX760" t="str">
            <v/>
          </cell>
        </row>
        <row r="761">
          <cell r="G761" t="str">
            <v/>
          </cell>
          <cell r="H761" t="str">
            <v/>
          </cell>
          <cell r="M761" t="str">
            <v/>
          </cell>
          <cell r="N761" t="str">
            <v/>
          </cell>
          <cell r="O761" t="str">
            <v/>
          </cell>
          <cell r="T761" t="str">
            <v/>
          </cell>
          <cell r="U761" t="str">
            <v/>
          </cell>
          <cell r="X761" t="str">
            <v/>
          </cell>
          <cell r="AH761" t="str">
            <v/>
          </cell>
          <cell r="AK761" t="str">
            <v/>
          </cell>
          <cell r="AM761" t="str">
            <v/>
          </cell>
          <cell r="AO761" t="str">
            <v/>
          </cell>
          <cell r="AS761" t="str">
            <v/>
          </cell>
          <cell r="AT761" t="str">
            <v/>
          </cell>
          <cell r="AU761" t="str">
            <v/>
          </cell>
          <cell r="AW761" t="str">
            <v/>
          </cell>
          <cell r="AX761" t="str">
            <v/>
          </cell>
        </row>
        <row r="762">
          <cell r="G762" t="str">
            <v/>
          </cell>
          <cell r="H762" t="str">
            <v/>
          </cell>
          <cell r="M762" t="str">
            <v/>
          </cell>
          <cell r="N762" t="str">
            <v/>
          </cell>
          <cell r="O762" t="str">
            <v/>
          </cell>
          <cell r="T762" t="str">
            <v/>
          </cell>
          <cell r="U762" t="str">
            <v/>
          </cell>
          <cell r="X762" t="str">
            <v/>
          </cell>
          <cell r="AH762" t="str">
            <v/>
          </cell>
          <cell r="AK762" t="str">
            <v/>
          </cell>
          <cell r="AM762" t="str">
            <v/>
          </cell>
          <cell r="AO762" t="str">
            <v/>
          </cell>
          <cell r="AS762" t="str">
            <v/>
          </cell>
          <cell r="AT762" t="str">
            <v/>
          </cell>
          <cell r="AU762" t="str">
            <v/>
          </cell>
          <cell r="AW762" t="str">
            <v/>
          </cell>
          <cell r="AX762" t="str">
            <v/>
          </cell>
        </row>
        <row r="763">
          <cell r="G763" t="str">
            <v/>
          </cell>
          <cell r="H763" t="str">
            <v/>
          </cell>
          <cell r="M763" t="str">
            <v/>
          </cell>
          <cell r="N763" t="str">
            <v/>
          </cell>
          <cell r="O763" t="str">
            <v/>
          </cell>
          <cell r="T763" t="str">
            <v/>
          </cell>
          <cell r="U763" t="str">
            <v/>
          </cell>
          <cell r="X763" t="str">
            <v/>
          </cell>
          <cell r="AH763" t="str">
            <v/>
          </cell>
          <cell r="AK763" t="str">
            <v/>
          </cell>
          <cell r="AM763" t="str">
            <v/>
          </cell>
          <cell r="AO763" t="str">
            <v/>
          </cell>
          <cell r="AS763" t="str">
            <v/>
          </cell>
          <cell r="AT763" t="str">
            <v/>
          </cell>
          <cell r="AU763" t="str">
            <v/>
          </cell>
          <cell r="AW763" t="str">
            <v/>
          </cell>
          <cell r="AX763" t="str">
            <v/>
          </cell>
        </row>
        <row r="764">
          <cell r="G764" t="str">
            <v/>
          </cell>
          <cell r="H764" t="str">
            <v/>
          </cell>
          <cell r="M764" t="str">
            <v/>
          </cell>
          <cell r="N764" t="str">
            <v/>
          </cell>
          <cell r="O764" t="str">
            <v/>
          </cell>
          <cell r="T764" t="str">
            <v/>
          </cell>
          <cell r="U764" t="str">
            <v/>
          </cell>
          <cell r="X764" t="str">
            <v/>
          </cell>
          <cell r="AH764" t="str">
            <v/>
          </cell>
          <cell r="AK764" t="str">
            <v/>
          </cell>
          <cell r="AM764" t="str">
            <v/>
          </cell>
          <cell r="AO764" t="str">
            <v/>
          </cell>
          <cell r="AS764" t="str">
            <v/>
          </cell>
          <cell r="AT764" t="str">
            <v/>
          </cell>
          <cell r="AU764" t="str">
            <v/>
          </cell>
          <cell r="AW764" t="str">
            <v/>
          </cell>
          <cell r="AX764" t="str">
            <v/>
          </cell>
        </row>
        <row r="765">
          <cell r="G765" t="str">
            <v/>
          </cell>
          <cell r="H765" t="str">
            <v/>
          </cell>
          <cell r="M765" t="str">
            <v/>
          </cell>
          <cell r="N765" t="str">
            <v/>
          </cell>
          <cell r="O765" t="str">
            <v/>
          </cell>
          <cell r="T765" t="str">
            <v/>
          </cell>
          <cell r="U765" t="str">
            <v/>
          </cell>
          <cell r="X765" t="str">
            <v/>
          </cell>
          <cell r="AH765" t="str">
            <v/>
          </cell>
          <cell r="AK765" t="str">
            <v/>
          </cell>
          <cell r="AM765" t="str">
            <v/>
          </cell>
          <cell r="AO765" t="str">
            <v/>
          </cell>
          <cell r="AS765" t="str">
            <v/>
          </cell>
          <cell r="AT765" t="str">
            <v/>
          </cell>
          <cell r="AU765" t="str">
            <v/>
          </cell>
          <cell r="AW765" t="str">
            <v/>
          </cell>
          <cell r="AX765" t="str">
            <v/>
          </cell>
        </row>
        <row r="766">
          <cell r="G766" t="str">
            <v/>
          </cell>
          <cell r="H766" t="str">
            <v/>
          </cell>
          <cell r="M766" t="str">
            <v/>
          </cell>
          <cell r="N766" t="str">
            <v/>
          </cell>
          <cell r="O766" t="str">
            <v/>
          </cell>
          <cell r="T766" t="str">
            <v/>
          </cell>
          <cell r="U766" t="str">
            <v/>
          </cell>
          <cell r="X766" t="str">
            <v/>
          </cell>
          <cell r="AH766" t="str">
            <v/>
          </cell>
          <cell r="AK766" t="str">
            <v/>
          </cell>
          <cell r="AM766" t="str">
            <v/>
          </cell>
          <cell r="AO766" t="str">
            <v/>
          </cell>
          <cell r="AS766" t="str">
            <v/>
          </cell>
          <cell r="AT766" t="str">
            <v/>
          </cell>
          <cell r="AU766" t="str">
            <v/>
          </cell>
          <cell r="AW766" t="str">
            <v/>
          </cell>
          <cell r="AX766" t="str">
            <v/>
          </cell>
        </row>
        <row r="767">
          <cell r="G767" t="str">
            <v/>
          </cell>
          <cell r="H767" t="str">
            <v/>
          </cell>
          <cell r="M767" t="str">
            <v/>
          </cell>
          <cell r="N767" t="str">
            <v/>
          </cell>
          <cell r="O767" t="str">
            <v/>
          </cell>
          <cell r="T767" t="str">
            <v/>
          </cell>
          <cell r="U767" t="str">
            <v/>
          </cell>
          <cell r="X767" t="str">
            <v/>
          </cell>
          <cell r="AH767" t="str">
            <v/>
          </cell>
          <cell r="AK767" t="str">
            <v/>
          </cell>
          <cell r="AM767" t="str">
            <v/>
          </cell>
          <cell r="AO767" t="str">
            <v/>
          </cell>
          <cell r="AS767" t="str">
            <v/>
          </cell>
          <cell r="AT767" t="str">
            <v/>
          </cell>
          <cell r="AU767" t="str">
            <v/>
          </cell>
          <cell r="AW767" t="str">
            <v/>
          </cell>
          <cell r="AX767" t="str">
            <v/>
          </cell>
        </row>
        <row r="768">
          <cell r="G768" t="str">
            <v/>
          </cell>
          <cell r="H768" t="str">
            <v/>
          </cell>
          <cell r="M768" t="str">
            <v/>
          </cell>
          <cell r="N768" t="str">
            <v/>
          </cell>
          <cell r="O768" t="str">
            <v/>
          </cell>
          <cell r="T768" t="str">
            <v/>
          </cell>
          <cell r="U768" t="str">
            <v/>
          </cell>
          <cell r="X768" t="str">
            <v/>
          </cell>
          <cell r="AH768" t="str">
            <v/>
          </cell>
          <cell r="AK768" t="str">
            <v/>
          </cell>
          <cell r="AM768" t="str">
            <v/>
          </cell>
          <cell r="AO768" t="str">
            <v/>
          </cell>
          <cell r="AS768" t="str">
            <v/>
          </cell>
          <cell r="AT768" t="str">
            <v/>
          </cell>
          <cell r="AU768" t="str">
            <v/>
          </cell>
          <cell r="AW768" t="str">
            <v/>
          </cell>
          <cell r="AX768" t="str">
            <v/>
          </cell>
        </row>
        <row r="769">
          <cell r="G769" t="str">
            <v/>
          </cell>
          <cell r="H769" t="str">
            <v/>
          </cell>
          <cell r="M769" t="str">
            <v/>
          </cell>
          <cell r="N769" t="str">
            <v/>
          </cell>
          <cell r="O769" t="str">
            <v/>
          </cell>
          <cell r="T769" t="str">
            <v/>
          </cell>
          <cell r="U769" t="str">
            <v/>
          </cell>
          <cell r="X769" t="str">
            <v/>
          </cell>
          <cell r="AH769" t="str">
            <v/>
          </cell>
          <cell r="AK769" t="str">
            <v/>
          </cell>
          <cell r="AM769" t="str">
            <v/>
          </cell>
          <cell r="AO769" t="str">
            <v/>
          </cell>
          <cell r="AS769" t="str">
            <v/>
          </cell>
          <cell r="AT769" t="str">
            <v/>
          </cell>
          <cell r="AU769" t="str">
            <v/>
          </cell>
          <cell r="AW769" t="str">
            <v/>
          </cell>
          <cell r="AX769" t="str">
            <v/>
          </cell>
        </row>
        <row r="770">
          <cell r="G770" t="str">
            <v/>
          </cell>
          <cell r="H770" t="str">
            <v/>
          </cell>
          <cell r="M770" t="str">
            <v/>
          </cell>
          <cell r="N770" t="str">
            <v/>
          </cell>
          <cell r="O770" t="str">
            <v/>
          </cell>
          <cell r="T770" t="str">
            <v/>
          </cell>
          <cell r="U770" t="str">
            <v/>
          </cell>
          <cell r="X770" t="str">
            <v/>
          </cell>
          <cell r="AH770" t="str">
            <v/>
          </cell>
          <cell r="AK770" t="str">
            <v/>
          </cell>
          <cell r="AM770" t="str">
            <v/>
          </cell>
          <cell r="AO770" t="str">
            <v/>
          </cell>
          <cell r="AS770" t="str">
            <v/>
          </cell>
          <cell r="AT770" t="str">
            <v/>
          </cell>
          <cell r="AU770" t="str">
            <v/>
          </cell>
          <cell r="AW770" t="str">
            <v/>
          </cell>
          <cell r="AX770" t="str">
            <v/>
          </cell>
        </row>
        <row r="771">
          <cell r="G771" t="str">
            <v/>
          </cell>
          <cell r="H771" t="str">
            <v/>
          </cell>
          <cell r="M771" t="str">
            <v/>
          </cell>
          <cell r="N771" t="str">
            <v/>
          </cell>
          <cell r="O771" t="str">
            <v/>
          </cell>
          <cell r="T771" t="str">
            <v/>
          </cell>
          <cell r="U771" t="str">
            <v/>
          </cell>
          <cell r="X771" t="str">
            <v/>
          </cell>
          <cell r="AH771" t="str">
            <v/>
          </cell>
          <cell r="AK771" t="str">
            <v/>
          </cell>
          <cell r="AM771" t="str">
            <v/>
          </cell>
          <cell r="AO771" t="str">
            <v/>
          </cell>
          <cell r="AS771" t="str">
            <v/>
          </cell>
          <cell r="AT771" t="str">
            <v/>
          </cell>
          <cell r="AU771" t="str">
            <v/>
          </cell>
          <cell r="AW771" t="str">
            <v/>
          </cell>
          <cell r="AX771" t="str">
            <v/>
          </cell>
        </row>
        <row r="772">
          <cell r="G772" t="str">
            <v/>
          </cell>
          <cell r="H772" t="str">
            <v/>
          </cell>
          <cell r="M772" t="str">
            <v/>
          </cell>
          <cell r="N772" t="str">
            <v/>
          </cell>
          <cell r="O772" t="str">
            <v/>
          </cell>
          <cell r="T772" t="str">
            <v/>
          </cell>
          <cell r="U772" t="str">
            <v/>
          </cell>
          <cell r="X772" t="str">
            <v/>
          </cell>
          <cell r="AH772" t="str">
            <v/>
          </cell>
          <cell r="AK772" t="str">
            <v/>
          </cell>
          <cell r="AM772" t="str">
            <v/>
          </cell>
          <cell r="AO772" t="str">
            <v/>
          </cell>
          <cell r="AS772" t="str">
            <v/>
          </cell>
          <cell r="AT772" t="str">
            <v/>
          </cell>
          <cell r="AU772" t="str">
            <v/>
          </cell>
          <cell r="AW772" t="str">
            <v/>
          </cell>
          <cell r="AX772" t="str">
            <v/>
          </cell>
        </row>
        <row r="773">
          <cell r="G773" t="str">
            <v/>
          </cell>
          <cell r="H773" t="str">
            <v/>
          </cell>
          <cell r="M773" t="str">
            <v/>
          </cell>
          <cell r="N773" t="str">
            <v/>
          </cell>
          <cell r="O773" t="str">
            <v/>
          </cell>
          <cell r="T773" t="str">
            <v/>
          </cell>
          <cell r="U773" t="str">
            <v/>
          </cell>
          <cell r="X773" t="str">
            <v/>
          </cell>
          <cell r="AH773" t="str">
            <v/>
          </cell>
          <cell r="AK773" t="str">
            <v/>
          </cell>
          <cell r="AM773" t="str">
            <v/>
          </cell>
          <cell r="AO773" t="str">
            <v/>
          </cell>
          <cell r="AS773" t="str">
            <v/>
          </cell>
          <cell r="AT773" t="str">
            <v/>
          </cell>
          <cell r="AU773" t="str">
            <v/>
          </cell>
          <cell r="AW773" t="str">
            <v/>
          </cell>
          <cell r="AX773" t="str">
            <v/>
          </cell>
        </row>
        <row r="774">
          <cell r="G774" t="str">
            <v/>
          </cell>
          <cell r="H774" t="str">
            <v/>
          </cell>
          <cell r="M774" t="str">
            <v/>
          </cell>
          <cell r="N774" t="str">
            <v/>
          </cell>
          <cell r="O774" t="str">
            <v/>
          </cell>
          <cell r="T774" t="str">
            <v/>
          </cell>
          <cell r="U774" t="str">
            <v/>
          </cell>
          <cell r="X774" t="str">
            <v/>
          </cell>
          <cell r="AH774" t="str">
            <v/>
          </cell>
          <cell r="AK774" t="str">
            <v/>
          </cell>
          <cell r="AM774" t="str">
            <v/>
          </cell>
          <cell r="AO774" t="str">
            <v/>
          </cell>
          <cell r="AS774" t="str">
            <v/>
          </cell>
          <cell r="AT774" t="str">
            <v/>
          </cell>
          <cell r="AU774" t="str">
            <v/>
          </cell>
          <cell r="AW774" t="str">
            <v/>
          </cell>
          <cell r="AX774" t="str">
            <v/>
          </cell>
        </row>
        <row r="775">
          <cell r="G775" t="str">
            <v/>
          </cell>
          <cell r="H775" t="str">
            <v/>
          </cell>
          <cell r="M775" t="str">
            <v/>
          </cell>
          <cell r="N775" t="str">
            <v/>
          </cell>
          <cell r="O775" t="str">
            <v/>
          </cell>
          <cell r="T775" t="str">
            <v/>
          </cell>
          <cell r="U775" t="str">
            <v/>
          </cell>
          <cell r="X775" t="str">
            <v/>
          </cell>
          <cell r="AH775" t="str">
            <v/>
          </cell>
          <cell r="AK775" t="str">
            <v/>
          </cell>
          <cell r="AM775" t="str">
            <v/>
          </cell>
          <cell r="AO775" t="str">
            <v/>
          </cell>
          <cell r="AS775" t="str">
            <v/>
          </cell>
          <cell r="AT775" t="str">
            <v/>
          </cell>
          <cell r="AU775" t="str">
            <v/>
          </cell>
          <cell r="AW775" t="str">
            <v/>
          </cell>
          <cell r="AX775" t="str">
            <v/>
          </cell>
        </row>
        <row r="776">
          <cell r="G776" t="str">
            <v/>
          </cell>
          <cell r="H776" t="str">
            <v/>
          </cell>
          <cell r="M776" t="str">
            <v/>
          </cell>
          <cell r="N776" t="str">
            <v/>
          </cell>
          <cell r="O776" t="str">
            <v/>
          </cell>
          <cell r="T776" t="str">
            <v/>
          </cell>
          <cell r="U776" t="str">
            <v/>
          </cell>
          <cell r="X776" t="str">
            <v/>
          </cell>
          <cell r="AH776" t="str">
            <v/>
          </cell>
          <cell r="AK776" t="str">
            <v/>
          </cell>
          <cell r="AM776" t="str">
            <v/>
          </cell>
          <cell r="AO776" t="str">
            <v/>
          </cell>
          <cell r="AS776" t="str">
            <v/>
          </cell>
          <cell r="AT776" t="str">
            <v/>
          </cell>
          <cell r="AU776" t="str">
            <v/>
          </cell>
          <cell r="AW776" t="str">
            <v/>
          </cell>
          <cell r="AX776" t="str">
            <v/>
          </cell>
        </row>
        <row r="777">
          <cell r="G777" t="str">
            <v/>
          </cell>
          <cell r="H777" t="str">
            <v/>
          </cell>
          <cell r="M777" t="str">
            <v/>
          </cell>
          <cell r="N777" t="str">
            <v/>
          </cell>
          <cell r="O777" t="str">
            <v/>
          </cell>
          <cell r="T777" t="str">
            <v/>
          </cell>
          <cell r="U777" t="str">
            <v/>
          </cell>
          <cell r="X777" t="str">
            <v/>
          </cell>
          <cell r="AH777" t="str">
            <v/>
          </cell>
          <cell r="AK777" t="str">
            <v/>
          </cell>
          <cell r="AM777" t="str">
            <v/>
          </cell>
          <cell r="AO777" t="str">
            <v/>
          </cell>
          <cell r="AS777" t="str">
            <v/>
          </cell>
          <cell r="AT777" t="str">
            <v/>
          </cell>
          <cell r="AU777" t="str">
            <v/>
          </cell>
          <cell r="AW777" t="str">
            <v/>
          </cell>
          <cell r="AX777" t="str">
            <v/>
          </cell>
        </row>
        <row r="778">
          <cell r="G778" t="str">
            <v/>
          </cell>
          <cell r="H778" t="str">
            <v/>
          </cell>
          <cell r="M778" t="str">
            <v/>
          </cell>
          <cell r="N778" t="str">
            <v/>
          </cell>
          <cell r="O778" t="str">
            <v/>
          </cell>
          <cell r="T778" t="str">
            <v/>
          </cell>
          <cell r="U778" t="str">
            <v/>
          </cell>
          <cell r="X778" t="str">
            <v/>
          </cell>
          <cell r="AH778" t="str">
            <v/>
          </cell>
          <cell r="AK778" t="str">
            <v/>
          </cell>
          <cell r="AM778" t="str">
            <v/>
          </cell>
          <cell r="AO778" t="str">
            <v/>
          </cell>
          <cell r="AS778" t="str">
            <v/>
          </cell>
          <cell r="AT778" t="str">
            <v/>
          </cell>
          <cell r="AU778" t="str">
            <v/>
          </cell>
          <cell r="AW778" t="str">
            <v/>
          </cell>
          <cell r="AX778" t="str">
            <v/>
          </cell>
        </row>
        <row r="779">
          <cell r="G779" t="str">
            <v/>
          </cell>
          <cell r="H779" t="str">
            <v/>
          </cell>
          <cell r="M779" t="str">
            <v/>
          </cell>
          <cell r="N779" t="str">
            <v/>
          </cell>
          <cell r="O779" t="str">
            <v/>
          </cell>
          <cell r="T779" t="str">
            <v/>
          </cell>
          <cell r="U779" t="str">
            <v/>
          </cell>
          <cell r="X779" t="str">
            <v/>
          </cell>
          <cell r="AH779" t="str">
            <v/>
          </cell>
          <cell r="AK779" t="str">
            <v/>
          </cell>
          <cell r="AM779" t="str">
            <v/>
          </cell>
          <cell r="AO779" t="str">
            <v/>
          </cell>
          <cell r="AS779" t="str">
            <v/>
          </cell>
          <cell r="AT779" t="str">
            <v/>
          </cell>
          <cell r="AU779" t="str">
            <v/>
          </cell>
          <cell r="AW779" t="str">
            <v/>
          </cell>
          <cell r="AX779" t="str">
            <v/>
          </cell>
        </row>
        <row r="780">
          <cell r="G780" t="str">
            <v/>
          </cell>
          <cell r="H780" t="str">
            <v/>
          </cell>
          <cell r="M780" t="str">
            <v/>
          </cell>
          <cell r="N780" t="str">
            <v/>
          </cell>
          <cell r="O780" t="str">
            <v/>
          </cell>
          <cell r="T780" t="str">
            <v/>
          </cell>
          <cell r="U780" t="str">
            <v/>
          </cell>
          <cell r="X780" t="str">
            <v/>
          </cell>
          <cell r="AH780" t="str">
            <v/>
          </cell>
          <cell r="AK780" t="str">
            <v/>
          </cell>
          <cell r="AM780" t="str">
            <v/>
          </cell>
          <cell r="AO780" t="str">
            <v/>
          </cell>
          <cell r="AS780" t="str">
            <v/>
          </cell>
          <cell r="AT780" t="str">
            <v/>
          </cell>
          <cell r="AU780" t="str">
            <v/>
          </cell>
          <cell r="AW780" t="str">
            <v/>
          </cell>
          <cell r="AX780" t="str">
            <v/>
          </cell>
        </row>
        <row r="781">
          <cell r="G781" t="str">
            <v/>
          </cell>
          <cell r="H781" t="str">
            <v/>
          </cell>
          <cell r="M781" t="str">
            <v/>
          </cell>
          <cell r="N781" t="str">
            <v/>
          </cell>
          <cell r="O781" t="str">
            <v/>
          </cell>
          <cell r="T781" t="str">
            <v/>
          </cell>
          <cell r="U781" t="str">
            <v/>
          </cell>
          <cell r="X781" t="str">
            <v/>
          </cell>
          <cell r="AH781" t="str">
            <v/>
          </cell>
          <cell r="AK781" t="str">
            <v/>
          </cell>
          <cell r="AM781" t="str">
            <v/>
          </cell>
          <cell r="AO781" t="str">
            <v/>
          </cell>
          <cell r="AS781" t="str">
            <v/>
          </cell>
          <cell r="AT781" t="str">
            <v/>
          </cell>
          <cell r="AU781" t="str">
            <v/>
          </cell>
          <cell r="AW781" t="str">
            <v/>
          </cell>
          <cell r="AX781" t="str">
            <v/>
          </cell>
        </row>
        <row r="782">
          <cell r="G782" t="str">
            <v/>
          </cell>
          <cell r="H782" t="str">
            <v/>
          </cell>
          <cell r="M782" t="str">
            <v/>
          </cell>
          <cell r="N782" t="str">
            <v/>
          </cell>
          <cell r="O782" t="str">
            <v/>
          </cell>
          <cell r="T782" t="str">
            <v/>
          </cell>
          <cell r="U782" t="str">
            <v/>
          </cell>
          <cell r="X782" t="str">
            <v/>
          </cell>
          <cell r="AH782" t="str">
            <v/>
          </cell>
          <cell r="AK782" t="str">
            <v/>
          </cell>
          <cell r="AM782" t="str">
            <v/>
          </cell>
          <cell r="AO782" t="str">
            <v/>
          </cell>
          <cell r="AS782" t="str">
            <v/>
          </cell>
          <cell r="AT782" t="str">
            <v/>
          </cell>
          <cell r="AU782" t="str">
            <v/>
          </cell>
          <cell r="AW782" t="str">
            <v/>
          </cell>
          <cell r="AX782" t="str">
            <v/>
          </cell>
        </row>
        <row r="783">
          <cell r="G783" t="str">
            <v/>
          </cell>
          <cell r="H783" t="str">
            <v/>
          </cell>
          <cell r="M783" t="str">
            <v/>
          </cell>
          <cell r="N783" t="str">
            <v/>
          </cell>
          <cell r="O783" t="str">
            <v/>
          </cell>
          <cell r="T783" t="str">
            <v/>
          </cell>
          <cell r="U783" t="str">
            <v/>
          </cell>
          <cell r="X783" t="str">
            <v/>
          </cell>
          <cell r="AH783" t="str">
            <v/>
          </cell>
          <cell r="AK783" t="str">
            <v/>
          </cell>
          <cell r="AM783" t="str">
            <v/>
          </cell>
          <cell r="AO783" t="str">
            <v/>
          </cell>
          <cell r="AS783" t="str">
            <v/>
          </cell>
          <cell r="AT783" t="str">
            <v/>
          </cell>
          <cell r="AU783" t="str">
            <v/>
          </cell>
          <cell r="AW783" t="str">
            <v/>
          </cell>
          <cell r="AX783" t="str">
            <v/>
          </cell>
        </row>
        <row r="784">
          <cell r="G784" t="str">
            <v/>
          </cell>
          <cell r="H784" t="str">
            <v/>
          </cell>
          <cell r="M784" t="str">
            <v/>
          </cell>
          <cell r="N784" t="str">
            <v/>
          </cell>
          <cell r="O784" t="str">
            <v/>
          </cell>
          <cell r="T784" t="str">
            <v/>
          </cell>
          <cell r="U784" t="str">
            <v/>
          </cell>
          <cell r="X784" t="str">
            <v/>
          </cell>
          <cell r="AH784" t="str">
            <v/>
          </cell>
          <cell r="AK784" t="str">
            <v/>
          </cell>
          <cell r="AM784" t="str">
            <v/>
          </cell>
          <cell r="AO784" t="str">
            <v/>
          </cell>
          <cell r="AS784" t="str">
            <v/>
          </cell>
          <cell r="AT784" t="str">
            <v/>
          </cell>
          <cell r="AU784" t="str">
            <v/>
          </cell>
          <cell r="AW784" t="str">
            <v/>
          </cell>
          <cell r="AX784" t="str">
            <v/>
          </cell>
        </row>
        <row r="785">
          <cell r="G785" t="str">
            <v/>
          </cell>
          <cell r="H785" t="str">
            <v/>
          </cell>
          <cell r="M785" t="str">
            <v/>
          </cell>
          <cell r="N785" t="str">
            <v/>
          </cell>
          <cell r="O785" t="str">
            <v/>
          </cell>
          <cell r="T785" t="str">
            <v/>
          </cell>
          <cell r="U785" t="str">
            <v/>
          </cell>
          <cell r="X785" t="str">
            <v/>
          </cell>
          <cell r="AH785" t="str">
            <v/>
          </cell>
          <cell r="AK785" t="str">
            <v/>
          </cell>
          <cell r="AM785" t="str">
            <v/>
          </cell>
          <cell r="AO785" t="str">
            <v/>
          </cell>
          <cell r="AS785" t="str">
            <v/>
          </cell>
          <cell r="AT785" t="str">
            <v/>
          </cell>
          <cell r="AU785" t="str">
            <v/>
          </cell>
          <cell r="AW785" t="str">
            <v/>
          </cell>
          <cell r="AX785" t="str">
            <v/>
          </cell>
        </row>
        <row r="786">
          <cell r="G786" t="str">
            <v/>
          </cell>
          <cell r="H786" t="str">
            <v/>
          </cell>
          <cell r="M786" t="str">
            <v/>
          </cell>
          <cell r="N786" t="str">
            <v/>
          </cell>
          <cell r="O786" t="str">
            <v/>
          </cell>
          <cell r="T786" t="str">
            <v/>
          </cell>
          <cell r="U786" t="str">
            <v/>
          </cell>
          <cell r="X786" t="str">
            <v/>
          </cell>
          <cell r="AH786" t="str">
            <v/>
          </cell>
          <cell r="AK786" t="str">
            <v/>
          </cell>
          <cell r="AM786" t="str">
            <v/>
          </cell>
          <cell r="AO786" t="str">
            <v/>
          </cell>
          <cell r="AS786" t="str">
            <v/>
          </cell>
          <cell r="AT786" t="str">
            <v/>
          </cell>
          <cell r="AU786" t="str">
            <v/>
          </cell>
          <cell r="AW786" t="str">
            <v/>
          </cell>
          <cell r="AX786" t="str">
            <v/>
          </cell>
        </row>
        <row r="787">
          <cell r="G787" t="str">
            <v/>
          </cell>
          <cell r="H787" t="str">
            <v/>
          </cell>
          <cell r="M787" t="str">
            <v/>
          </cell>
          <cell r="N787" t="str">
            <v/>
          </cell>
          <cell r="O787" t="str">
            <v/>
          </cell>
          <cell r="T787" t="str">
            <v/>
          </cell>
          <cell r="U787" t="str">
            <v/>
          </cell>
          <cell r="X787" t="str">
            <v/>
          </cell>
          <cell r="AH787" t="str">
            <v/>
          </cell>
          <cell r="AK787" t="str">
            <v/>
          </cell>
          <cell r="AM787" t="str">
            <v/>
          </cell>
          <cell r="AO787" t="str">
            <v/>
          </cell>
          <cell r="AS787" t="str">
            <v/>
          </cell>
          <cell r="AT787" t="str">
            <v/>
          </cell>
          <cell r="AU787" t="str">
            <v/>
          </cell>
          <cell r="AW787" t="str">
            <v/>
          </cell>
          <cell r="AX787" t="str">
            <v/>
          </cell>
        </row>
        <row r="788">
          <cell r="G788" t="str">
            <v/>
          </cell>
          <cell r="H788" t="str">
            <v/>
          </cell>
          <cell r="M788" t="str">
            <v/>
          </cell>
          <cell r="N788" t="str">
            <v/>
          </cell>
          <cell r="O788" t="str">
            <v/>
          </cell>
          <cell r="T788" t="str">
            <v/>
          </cell>
          <cell r="U788" t="str">
            <v/>
          </cell>
          <cell r="X788" t="str">
            <v/>
          </cell>
          <cell r="AH788" t="str">
            <v/>
          </cell>
          <cell r="AK788" t="str">
            <v/>
          </cell>
          <cell r="AM788" t="str">
            <v/>
          </cell>
          <cell r="AO788" t="str">
            <v/>
          </cell>
          <cell r="AS788" t="str">
            <v/>
          </cell>
          <cell r="AT788" t="str">
            <v/>
          </cell>
          <cell r="AU788" t="str">
            <v/>
          </cell>
          <cell r="AW788" t="str">
            <v/>
          </cell>
          <cell r="AX788" t="str">
            <v/>
          </cell>
        </row>
        <row r="789">
          <cell r="G789" t="str">
            <v/>
          </cell>
          <cell r="H789" t="str">
            <v/>
          </cell>
          <cell r="M789" t="str">
            <v/>
          </cell>
          <cell r="N789" t="str">
            <v/>
          </cell>
          <cell r="O789" t="str">
            <v/>
          </cell>
          <cell r="T789" t="str">
            <v/>
          </cell>
          <cell r="U789" t="str">
            <v/>
          </cell>
          <cell r="X789" t="str">
            <v/>
          </cell>
          <cell r="AH789" t="str">
            <v/>
          </cell>
          <cell r="AK789" t="str">
            <v/>
          </cell>
          <cell r="AM789" t="str">
            <v/>
          </cell>
          <cell r="AO789" t="str">
            <v/>
          </cell>
          <cell r="AS789" t="str">
            <v/>
          </cell>
          <cell r="AT789" t="str">
            <v/>
          </cell>
          <cell r="AU789" t="str">
            <v/>
          </cell>
          <cell r="AW789" t="str">
            <v/>
          </cell>
          <cell r="AX789" t="str">
            <v/>
          </cell>
        </row>
        <row r="790">
          <cell r="G790" t="str">
            <v/>
          </cell>
          <cell r="H790" t="str">
            <v/>
          </cell>
          <cell r="M790" t="str">
            <v/>
          </cell>
          <cell r="N790" t="str">
            <v/>
          </cell>
          <cell r="O790" t="str">
            <v/>
          </cell>
          <cell r="T790" t="str">
            <v/>
          </cell>
          <cell r="U790" t="str">
            <v/>
          </cell>
          <cell r="X790" t="str">
            <v/>
          </cell>
          <cell r="AH790" t="str">
            <v/>
          </cell>
          <cell r="AK790" t="str">
            <v/>
          </cell>
          <cell r="AM790" t="str">
            <v/>
          </cell>
          <cell r="AO790" t="str">
            <v/>
          </cell>
          <cell r="AS790" t="str">
            <v/>
          </cell>
          <cell r="AT790" t="str">
            <v/>
          </cell>
          <cell r="AU790" t="str">
            <v/>
          </cell>
          <cell r="AW790" t="str">
            <v/>
          </cell>
          <cell r="AX790" t="str">
            <v/>
          </cell>
        </row>
        <row r="791">
          <cell r="G791" t="str">
            <v/>
          </cell>
          <cell r="H791" t="str">
            <v/>
          </cell>
          <cell r="M791" t="str">
            <v/>
          </cell>
          <cell r="N791" t="str">
            <v/>
          </cell>
          <cell r="O791" t="str">
            <v/>
          </cell>
          <cell r="T791" t="str">
            <v/>
          </cell>
          <cell r="U791" t="str">
            <v/>
          </cell>
          <cell r="X791" t="str">
            <v/>
          </cell>
          <cell r="AH791" t="str">
            <v/>
          </cell>
          <cell r="AK791" t="str">
            <v/>
          </cell>
          <cell r="AM791" t="str">
            <v/>
          </cell>
          <cell r="AO791" t="str">
            <v/>
          </cell>
          <cell r="AS791" t="str">
            <v/>
          </cell>
          <cell r="AT791" t="str">
            <v/>
          </cell>
          <cell r="AU791" t="str">
            <v/>
          </cell>
          <cell r="AW791" t="str">
            <v/>
          </cell>
          <cell r="AX791" t="str">
            <v/>
          </cell>
        </row>
        <row r="792">
          <cell r="G792" t="str">
            <v/>
          </cell>
          <cell r="H792" t="str">
            <v/>
          </cell>
          <cell r="M792" t="str">
            <v/>
          </cell>
          <cell r="N792" t="str">
            <v/>
          </cell>
          <cell r="O792" t="str">
            <v/>
          </cell>
          <cell r="T792" t="str">
            <v/>
          </cell>
          <cell r="U792" t="str">
            <v/>
          </cell>
          <cell r="X792" t="str">
            <v/>
          </cell>
          <cell r="AH792" t="str">
            <v/>
          </cell>
          <cell r="AK792" t="str">
            <v/>
          </cell>
          <cell r="AM792" t="str">
            <v/>
          </cell>
          <cell r="AO792" t="str">
            <v/>
          </cell>
          <cell r="AS792" t="str">
            <v/>
          </cell>
          <cell r="AT792" t="str">
            <v/>
          </cell>
          <cell r="AU792" t="str">
            <v/>
          </cell>
          <cell r="AW792" t="str">
            <v/>
          </cell>
          <cell r="AX792" t="str">
            <v/>
          </cell>
        </row>
        <row r="793">
          <cell r="G793" t="str">
            <v/>
          </cell>
          <cell r="H793" t="str">
            <v/>
          </cell>
          <cell r="M793" t="str">
            <v/>
          </cell>
          <cell r="N793" t="str">
            <v/>
          </cell>
          <cell r="O793" t="str">
            <v/>
          </cell>
          <cell r="T793" t="str">
            <v/>
          </cell>
          <cell r="U793" t="str">
            <v/>
          </cell>
          <cell r="X793" t="str">
            <v/>
          </cell>
          <cell r="AH793" t="str">
            <v/>
          </cell>
          <cell r="AK793" t="str">
            <v/>
          </cell>
          <cell r="AM793" t="str">
            <v/>
          </cell>
          <cell r="AO793" t="str">
            <v/>
          </cell>
          <cell r="AS793" t="str">
            <v/>
          </cell>
          <cell r="AT793" t="str">
            <v/>
          </cell>
          <cell r="AU793" t="str">
            <v/>
          </cell>
          <cell r="AW793" t="str">
            <v/>
          </cell>
          <cell r="AX793" t="str">
            <v/>
          </cell>
        </row>
        <row r="794">
          <cell r="G794" t="str">
            <v/>
          </cell>
          <cell r="H794" t="str">
            <v/>
          </cell>
          <cell r="M794" t="str">
            <v/>
          </cell>
          <cell r="N794" t="str">
            <v/>
          </cell>
          <cell r="O794" t="str">
            <v/>
          </cell>
          <cell r="T794" t="str">
            <v/>
          </cell>
          <cell r="U794" t="str">
            <v/>
          </cell>
          <cell r="X794" t="str">
            <v/>
          </cell>
          <cell r="AH794" t="str">
            <v/>
          </cell>
          <cell r="AK794" t="str">
            <v/>
          </cell>
          <cell r="AM794" t="str">
            <v/>
          </cell>
          <cell r="AO794" t="str">
            <v/>
          </cell>
          <cell r="AS794" t="str">
            <v/>
          </cell>
          <cell r="AT794" t="str">
            <v/>
          </cell>
          <cell r="AU794" t="str">
            <v/>
          </cell>
          <cell r="AW794" t="str">
            <v/>
          </cell>
          <cell r="AX794" t="str">
            <v/>
          </cell>
        </row>
        <row r="795">
          <cell r="G795" t="str">
            <v/>
          </cell>
          <cell r="H795" t="str">
            <v/>
          </cell>
          <cell r="M795" t="str">
            <v/>
          </cell>
          <cell r="N795" t="str">
            <v/>
          </cell>
          <cell r="O795" t="str">
            <v/>
          </cell>
          <cell r="T795" t="str">
            <v/>
          </cell>
          <cell r="U795" t="str">
            <v/>
          </cell>
          <cell r="X795" t="str">
            <v/>
          </cell>
          <cell r="AH795" t="str">
            <v/>
          </cell>
          <cell r="AK795" t="str">
            <v/>
          </cell>
          <cell r="AM795" t="str">
            <v/>
          </cell>
          <cell r="AO795" t="str">
            <v/>
          </cell>
          <cell r="AS795" t="str">
            <v/>
          </cell>
          <cell r="AT795" t="str">
            <v/>
          </cell>
          <cell r="AU795" t="str">
            <v/>
          </cell>
          <cell r="AW795" t="str">
            <v/>
          </cell>
          <cell r="AX795" t="str">
            <v/>
          </cell>
        </row>
        <row r="796">
          <cell r="G796" t="str">
            <v/>
          </cell>
          <cell r="H796" t="str">
            <v/>
          </cell>
          <cell r="M796" t="str">
            <v/>
          </cell>
          <cell r="N796" t="str">
            <v/>
          </cell>
          <cell r="O796" t="str">
            <v/>
          </cell>
          <cell r="T796" t="str">
            <v/>
          </cell>
          <cell r="U796" t="str">
            <v/>
          </cell>
          <cell r="X796" t="str">
            <v/>
          </cell>
          <cell r="AH796" t="str">
            <v/>
          </cell>
          <cell r="AK796" t="str">
            <v/>
          </cell>
          <cell r="AM796" t="str">
            <v/>
          </cell>
          <cell r="AO796" t="str">
            <v/>
          </cell>
          <cell r="AS796" t="str">
            <v/>
          </cell>
          <cell r="AT796" t="str">
            <v/>
          </cell>
          <cell r="AU796" t="str">
            <v/>
          </cell>
          <cell r="AW796" t="str">
            <v/>
          </cell>
          <cell r="AX796" t="str">
            <v/>
          </cell>
        </row>
        <row r="797">
          <cell r="G797" t="str">
            <v/>
          </cell>
          <cell r="H797" t="str">
            <v/>
          </cell>
          <cell r="M797" t="str">
            <v/>
          </cell>
          <cell r="N797" t="str">
            <v/>
          </cell>
          <cell r="O797" t="str">
            <v/>
          </cell>
          <cell r="T797" t="str">
            <v/>
          </cell>
          <cell r="U797" t="str">
            <v/>
          </cell>
          <cell r="X797" t="str">
            <v/>
          </cell>
          <cell r="AH797" t="str">
            <v/>
          </cell>
          <cell r="AK797" t="str">
            <v/>
          </cell>
          <cell r="AM797" t="str">
            <v/>
          </cell>
          <cell r="AO797" t="str">
            <v/>
          </cell>
          <cell r="AS797" t="str">
            <v/>
          </cell>
          <cell r="AT797" t="str">
            <v/>
          </cell>
          <cell r="AU797" t="str">
            <v/>
          </cell>
          <cell r="AW797" t="str">
            <v/>
          </cell>
          <cell r="AX797" t="str">
            <v/>
          </cell>
        </row>
        <row r="798">
          <cell r="G798" t="str">
            <v/>
          </cell>
          <cell r="H798" t="str">
            <v/>
          </cell>
          <cell r="M798" t="str">
            <v/>
          </cell>
          <cell r="N798" t="str">
            <v/>
          </cell>
          <cell r="O798" t="str">
            <v/>
          </cell>
          <cell r="T798" t="str">
            <v/>
          </cell>
          <cell r="U798" t="str">
            <v/>
          </cell>
          <cell r="X798" t="str">
            <v/>
          </cell>
          <cell r="AH798" t="str">
            <v/>
          </cell>
          <cell r="AK798" t="str">
            <v/>
          </cell>
          <cell r="AM798" t="str">
            <v/>
          </cell>
          <cell r="AO798" t="str">
            <v/>
          </cell>
          <cell r="AS798" t="str">
            <v/>
          </cell>
          <cell r="AT798" t="str">
            <v/>
          </cell>
          <cell r="AU798" t="str">
            <v/>
          </cell>
          <cell r="AW798" t="str">
            <v/>
          </cell>
          <cell r="AX798" t="str">
            <v/>
          </cell>
        </row>
        <row r="799">
          <cell r="G799" t="str">
            <v/>
          </cell>
          <cell r="H799" t="str">
            <v/>
          </cell>
          <cell r="M799" t="str">
            <v/>
          </cell>
          <cell r="N799" t="str">
            <v/>
          </cell>
          <cell r="O799" t="str">
            <v/>
          </cell>
          <cell r="T799" t="str">
            <v/>
          </cell>
          <cell r="U799" t="str">
            <v/>
          </cell>
          <cell r="X799" t="str">
            <v/>
          </cell>
          <cell r="AH799" t="str">
            <v/>
          </cell>
          <cell r="AK799" t="str">
            <v/>
          </cell>
          <cell r="AM799" t="str">
            <v/>
          </cell>
          <cell r="AO799" t="str">
            <v/>
          </cell>
          <cell r="AS799" t="str">
            <v/>
          </cell>
          <cell r="AT799" t="str">
            <v/>
          </cell>
          <cell r="AU799" t="str">
            <v/>
          </cell>
          <cell r="AW799" t="str">
            <v/>
          </cell>
          <cell r="AX799" t="str">
            <v/>
          </cell>
        </row>
        <row r="800">
          <cell r="G800" t="str">
            <v/>
          </cell>
          <cell r="H800" t="str">
            <v/>
          </cell>
          <cell r="M800" t="str">
            <v/>
          </cell>
          <cell r="N800" t="str">
            <v/>
          </cell>
          <cell r="O800" t="str">
            <v/>
          </cell>
          <cell r="T800" t="str">
            <v/>
          </cell>
          <cell r="U800" t="str">
            <v/>
          </cell>
          <cell r="X800" t="str">
            <v/>
          </cell>
          <cell r="AH800" t="str">
            <v/>
          </cell>
          <cell r="AK800" t="str">
            <v/>
          </cell>
          <cell r="AM800" t="str">
            <v/>
          </cell>
          <cell r="AO800" t="str">
            <v/>
          </cell>
          <cell r="AS800" t="str">
            <v/>
          </cell>
          <cell r="AT800" t="str">
            <v/>
          </cell>
          <cell r="AU800" t="str">
            <v/>
          </cell>
          <cell r="AW800" t="str">
            <v/>
          </cell>
          <cell r="AX800" t="str">
            <v/>
          </cell>
        </row>
        <row r="801">
          <cell r="G801" t="str">
            <v/>
          </cell>
          <cell r="H801" t="str">
            <v/>
          </cell>
          <cell r="M801" t="str">
            <v/>
          </cell>
          <cell r="N801" t="str">
            <v/>
          </cell>
          <cell r="O801" t="str">
            <v/>
          </cell>
          <cell r="T801" t="str">
            <v/>
          </cell>
          <cell r="U801" t="str">
            <v/>
          </cell>
          <cell r="X801" t="str">
            <v/>
          </cell>
          <cell r="AH801" t="str">
            <v/>
          </cell>
          <cell r="AK801" t="str">
            <v/>
          </cell>
          <cell r="AM801" t="str">
            <v/>
          </cell>
          <cell r="AO801" t="str">
            <v/>
          </cell>
          <cell r="AS801" t="str">
            <v/>
          </cell>
          <cell r="AT801" t="str">
            <v/>
          </cell>
          <cell r="AU801" t="str">
            <v/>
          </cell>
          <cell r="AW801" t="str">
            <v/>
          </cell>
          <cell r="AX801" t="str">
            <v/>
          </cell>
        </row>
        <row r="802">
          <cell r="G802" t="str">
            <v/>
          </cell>
          <cell r="H802" t="str">
            <v/>
          </cell>
          <cell r="M802" t="str">
            <v/>
          </cell>
          <cell r="N802" t="str">
            <v/>
          </cell>
          <cell r="O802" t="str">
            <v/>
          </cell>
          <cell r="T802" t="str">
            <v/>
          </cell>
          <cell r="U802" t="str">
            <v/>
          </cell>
          <cell r="X802" t="str">
            <v/>
          </cell>
          <cell r="AH802" t="str">
            <v/>
          </cell>
          <cell r="AK802" t="str">
            <v/>
          </cell>
          <cell r="AM802" t="str">
            <v/>
          </cell>
          <cell r="AO802" t="str">
            <v/>
          </cell>
          <cell r="AS802" t="str">
            <v/>
          </cell>
          <cell r="AT802" t="str">
            <v/>
          </cell>
          <cell r="AU802" t="str">
            <v/>
          </cell>
          <cell r="AW802" t="str">
            <v/>
          </cell>
          <cell r="AX802" t="str">
            <v/>
          </cell>
        </row>
        <row r="803">
          <cell r="G803" t="str">
            <v/>
          </cell>
          <cell r="H803" t="str">
            <v/>
          </cell>
          <cell r="M803" t="str">
            <v/>
          </cell>
          <cell r="N803" t="str">
            <v/>
          </cell>
          <cell r="O803" t="str">
            <v/>
          </cell>
          <cell r="T803" t="str">
            <v/>
          </cell>
          <cell r="U803" t="str">
            <v/>
          </cell>
          <cell r="X803" t="str">
            <v/>
          </cell>
          <cell r="AH803" t="str">
            <v/>
          </cell>
          <cell r="AK803" t="str">
            <v/>
          </cell>
          <cell r="AM803" t="str">
            <v/>
          </cell>
          <cell r="AO803" t="str">
            <v/>
          </cell>
          <cell r="AS803" t="str">
            <v/>
          </cell>
          <cell r="AT803" t="str">
            <v/>
          </cell>
          <cell r="AU803" t="str">
            <v/>
          </cell>
          <cell r="AW803" t="str">
            <v/>
          </cell>
          <cell r="AX803" t="str">
            <v/>
          </cell>
        </row>
        <row r="804">
          <cell r="G804" t="str">
            <v/>
          </cell>
          <cell r="H804" t="str">
            <v/>
          </cell>
          <cell r="M804" t="str">
            <v/>
          </cell>
          <cell r="N804" t="str">
            <v/>
          </cell>
          <cell r="O804" t="str">
            <v/>
          </cell>
          <cell r="T804" t="str">
            <v/>
          </cell>
          <cell r="U804" t="str">
            <v/>
          </cell>
          <cell r="X804" t="str">
            <v/>
          </cell>
          <cell r="AH804" t="str">
            <v/>
          </cell>
          <cell r="AK804" t="str">
            <v/>
          </cell>
          <cell r="AM804" t="str">
            <v/>
          </cell>
          <cell r="AO804" t="str">
            <v/>
          </cell>
          <cell r="AS804" t="str">
            <v/>
          </cell>
          <cell r="AT804" t="str">
            <v/>
          </cell>
          <cell r="AU804" t="str">
            <v/>
          </cell>
          <cell r="AW804" t="str">
            <v/>
          </cell>
          <cell r="AX804" t="str">
            <v/>
          </cell>
        </row>
        <row r="805">
          <cell r="G805" t="str">
            <v/>
          </cell>
          <cell r="H805" t="str">
            <v/>
          </cell>
          <cell r="M805" t="str">
            <v/>
          </cell>
          <cell r="N805" t="str">
            <v/>
          </cell>
          <cell r="O805" t="str">
            <v/>
          </cell>
          <cell r="T805" t="str">
            <v/>
          </cell>
          <cell r="U805" t="str">
            <v/>
          </cell>
          <cell r="X805" t="str">
            <v/>
          </cell>
          <cell r="AH805" t="str">
            <v/>
          </cell>
          <cell r="AK805" t="str">
            <v/>
          </cell>
          <cell r="AM805" t="str">
            <v/>
          </cell>
          <cell r="AO805" t="str">
            <v/>
          </cell>
          <cell r="AS805" t="str">
            <v/>
          </cell>
          <cell r="AT805" t="str">
            <v/>
          </cell>
          <cell r="AU805" t="str">
            <v/>
          </cell>
          <cell r="AW805" t="str">
            <v/>
          </cell>
          <cell r="AX805" t="str">
            <v/>
          </cell>
        </row>
        <row r="806">
          <cell r="G806" t="str">
            <v/>
          </cell>
          <cell r="H806" t="str">
            <v/>
          </cell>
          <cell r="M806" t="str">
            <v/>
          </cell>
          <cell r="N806" t="str">
            <v/>
          </cell>
          <cell r="O806" t="str">
            <v/>
          </cell>
          <cell r="T806" t="str">
            <v/>
          </cell>
          <cell r="U806" t="str">
            <v/>
          </cell>
          <cell r="X806" t="str">
            <v/>
          </cell>
          <cell r="AH806" t="str">
            <v/>
          </cell>
          <cell r="AK806" t="str">
            <v/>
          </cell>
          <cell r="AM806" t="str">
            <v/>
          </cell>
          <cell r="AO806" t="str">
            <v/>
          </cell>
          <cell r="AS806" t="str">
            <v/>
          </cell>
          <cell r="AT806" t="str">
            <v/>
          </cell>
          <cell r="AU806" t="str">
            <v/>
          </cell>
          <cell r="AW806" t="str">
            <v/>
          </cell>
          <cell r="AX806" t="str">
            <v/>
          </cell>
        </row>
        <row r="807">
          <cell r="G807" t="str">
            <v/>
          </cell>
          <cell r="H807" t="str">
            <v/>
          </cell>
          <cell r="M807" t="str">
            <v/>
          </cell>
          <cell r="N807" t="str">
            <v/>
          </cell>
          <cell r="O807" t="str">
            <v/>
          </cell>
          <cell r="T807" t="str">
            <v/>
          </cell>
          <cell r="U807" t="str">
            <v/>
          </cell>
          <cell r="X807" t="str">
            <v/>
          </cell>
          <cell r="AH807" t="str">
            <v/>
          </cell>
          <cell r="AK807" t="str">
            <v/>
          </cell>
          <cell r="AM807" t="str">
            <v/>
          </cell>
          <cell r="AO807" t="str">
            <v/>
          </cell>
          <cell r="AS807" t="str">
            <v/>
          </cell>
          <cell r="AT807" t="str">
            <v/>
          </cell>
          <cell r="AU807" t="str">
            <v/>
          </cell>
          <cell r="AW807" t="str">
            <v/>
          </cell>
          <cell r="AX807" t="str">
            <v/>
          </cell>
        </row>
        <row r="808">
          <cell r="G808" t="str">
            <v/>
          </cell>
          <cell r="H808" t="str">
            <v/>
          </cell>
          <cell r="M808" t="str">
            <v/>
          </cell>
          <cell r="N808" t="str">
            <v/>
          </cell>
          <cell r="O808" t="str">
            <v/>
          </cell>
          <cell r="T808" t="str">
            <v/>
          </cell>
          <cell r="U808" t="str">
            <v/>
          </cell>
          <cell r="X808" t="str">
            <v/>
          </cell>
          <cell r="AH808" t="str">
            <v/>
          </cell>
          <cell r="AK808" t="str">
            <v/>
          </cell>
          <cell r="AM808" t="str">
            <v/>
          </cell>
          <cell r="AO808" t="str">
            <v/>
          </cell>
          <cell r="AS808" t="str">
            <v/>
          </cell>
          <cell r="AT808" t="str">
            <v/>
          </cell>
          <cell r="AU808" t="str">
            <v/>
          </cell>
          <cell r="AW808" t="str">
            <v/>
          </cell>
          <cell r="AX808" t="str">
            <v/>
          </cell>
        </row>
        <row r="809">
          <cell r="G809" t="str">
            <v/>
          </cell>
          <cell r="H809" t="str">
            <v/>
          </cell>
          <cell r="M809" t="str">
            <v/>
          </cell>
          <cell r="N809" t="str">
            <v/>
          </cell>
          <cell r="O809" t="str">
            <v/>
          </cell>
          <cell r="T809" t="str">
            <v/>
          </cell>
          <cell r="U809" t="str">
            <v/>
          </cell>
          <cell r="X809" t="str">
            <v/>
          </cell>
          <cell r="AH809" t="str">
            <v/>
          </cell>
          <cell r="AK809" t="str">
            <v/>
          </cell>
          <cell r="AM809" t="str">
            <v/>
          </cell>
          <cell r="AO809" t="str">
            <v/>
          </cell>
          <cell r="AS809" t="str">
            <v/>
          </cell>
          <cell r="AT809" t="str">
            <v/>
          </cell>
          <cell r="AU809" t="str">
            <v/>
          </cell>
          <cell r="AW809" t="str">
            <v/>
          </cell>
          <cell r="AX809" t="str">
            <v/>
          </cell>
        </row>
        <row r="810">
          <cell r="G810" t="str">
            <v/>
          </cell>
          <cell r="H810" t="str">
            <v/>
          </cell>
          <cell r="M810" t="str">
            <v/>
          </cell>
          <cell r="N810" t="str">
            <v/>
          </cell>
          <cell r="O810" t="str">
            <v/>
          </cell>
          <cell r="T810" t="str">
            <v/>
          </cell>
          <cell r="U810" t="str">
            <v/>
          </cell>
          <cell r="X810" t="str">
            <v/>
          </cell>
          <cell r="AH810" t="str">
            <v/>
          </cell>
          <cell r="AK810" t="str">
            <v/>
          </cell>
          <cell r="AM810" t="str">
            <v/>
          </cell>
          <cell r="AO810" t="str">
            <v/>
          </cell>
          <cell r="AS810" t="str">
            <v/>
          </cell>
          <cell r="AT810" t="str">
            <v/>
          </cell>
          <cell r="AU810" t="str">
            <v/>
          </cell>
          <cell r="AW810" t="str">
            <v/>
          </cell>
          <cell r="AX810" t="str">
            <v/>
          </cell>
        </row>
        <row r="811">
          <cell r="G811" t="str">
            <v/>
          </cell>
          <cell r="H811" t="str">
            <v/>
          </cell>
          <cell r="M811" t="str">
            <v/>
          </cell>
          <cell r="N811" t="str">
            <v/>
          </cell>
          <cell r="O811" t="str">
            <v/>
          </cell>
          <cell r="T811" t="str">
            <v/>
          </cell>
          <cell r="U811" t="str">
            <v/>
          </cell>
          <cell r="X811" t="str">
            <v/>
          </cell>
          <cell r="AH811" t="str">
            <v/>
          </cell>
          <cell r="AK811" t="str">
            <v/>
          </cell>
          <cell r="AM811" t="str">
            <v/>
          </cell>
          <cell r="AO811" t="str">
            <v/>
          </cell>
          <cell r="AS811" t="str">
            <v/>
          </cell>
          <cell r="AT811" t="str">
            <v/>
          </cell>
          <cell r="AU811" t="str">
            <v/>
          </cell>
          <cell r="AW811" t="str">
            <v/>
          </cell>
          <cell r="AX811" t="str">
            <v/>
          </cell>
        </row>
        <row r="812">
          <cell r="G812" t="str">
            <v/>
          </cell>
          <cell r="H812" t="str">
            <v/>
          </cell>
          <cell r="M812" t="str">
            <v/>
          </cell>
          <cell r="N812" t="str">
            <v/>
          </cell>
          <cell r="O812" t="str">
            <v/>
          </cell>
          <cell r="T812" t="str">
            <v/>
          </cell>
          <cell r="U812" t="str">
            <v/>
          </cell>
          <cell r="X812" t="str">
            <v/>
          </cell>
          <cell r="AH812" t="str">
            <v/>
          </cell>
          <cell r="AK812" t="str">
            <v/>
          </cell>
          <cell r="AM812" t="str">
            <v/>
          </cell>
          <cell r="AO812" t="str">
            <v/>
          </cell>
          <cell r="AS812" t="str">
            <v/>
          </cell>
          <cell r="AT812" t="str">
            <v/>
          </cell>
          <cell r="AU812" t="str">
            <v/>
          </cell>
          <cell r="AW812" t="str">
            <v/>
          </cell>
          <cell r="AX812" t="str">
            <v/>
          </cell>
        </row>
        <row r="813">
          <cell r="G813" t="str">
            <v/>
          </cell>
          <cell r="H813" t="str">
            <v/>
          </cell>
          <cell r="M813" t="str">
            <v/>
          </cell>
          <cell r="N813" t="str">
            <v/>
          </cell>
          <cell r="O813" t="str">
            <v/>
          </cell>
          <cell r="T813" t="str">
            <v/>
          </cell>
          <cell r="U813" t="str">
            <v/>
          </cell>
          <cell r="X813" t="str">
            <v/>
          </cell>
          <cell r="AH813" t="str">
            <v/>
          </cell>
          <cell r="AK813" t="str">
            <v/>
          </cell>
          <cell r="AM813" t="str">
            <v/>
          </cell>
          <cell r="AO813" t="str">
            <v/>
          </cell>
          <cell r="AS813" t="str">
            <v/>
          </cell>
          <cell r="AT813" t="str">
            <v/>
          </cell>
          <cell r="AU813" t="str">
            <v/>
          </cell>
          <cell r="AW813" t="str">
            <v/>
          </cell>
          <cell r="AX813" t="str">
            <v/>
          </cell>
        </row>
        <row r="814">
          <cell r="G814" t="str">
            <v/>
          </cell>
          <cell r="H814" t="str">
            <v/>
          </cell>
          <cell r="M814" t="str">
            <v/>
          </cell>
          <cell r="N814" t="str">
            <v/>
          </cell>
          <cell r="O814" t="str">
            <v/>
          </cell>
          <cell r="T814" t="str">
            <v/>
          </cell>
          <cell r="U814" t="str">
            <v/>
          </cell>
          <cell r="X814" t="str">
            <v/>
          </cell>
          <cell r="AH814" t="str">
            <v/>
          </cell>
          <cell r="AK814" t="str">
            <v/>
          </cell>
          <cell r="AM814" t="str">
            <v/>
          </cell>
          <cell r="AO814" t="str">
            <v/>
          </cell>
          <cell r="AS814" t="str">
            <v/>
          </cell>
          <cell r="AT814" t="str">
            <v/>
          </cell>
          <cell r="AU814" t="str">
            <v/>
          </cell>
          <cell r="AW814" t="str">
            <v/>
          </cell>
          <cell r="AX814" t="str">
            <v/>
          </cell>
        </row>
        <row r="815">
          <cell r="G815" t="str">
            <v/>
          </cell>
          <cell r="H815" t="str">
            <v/>
          </cell>
          <cell r="M815" t="str">
            <v/>
          </cell>
          <cell r="N815" t="str">
            <v/>
          </cell>
          <cell r="O815" t="str">
            <v/>
          </cell>
          <cell r="T815" t="str">
            <v/>
          </cell>
          <cell r="U815" t="str">
            <v/>
          </cell>
          <cell r="X815" t="str">
            <v/>
          </cell>
          <cell r="AH815" t="str">
            <v/>
          </cell>
          <cell r="AK815" t="str">
            <v/>
          </cell>
          <cell r="AM815" t="str">
            <v/>
          </cell>
          <cell r="AO815" t="str">
            <v/>
          </cell>
          <cell r="AS815" t="str">
            <v/>
          </cell>
          <cell r="AT815" t="str">
            <v/>
          </cell>
          <cell r="AU815" t="str">
            <v/>
          </cell>
          <cell r="AW815" t="str">
            <v/>
          </cell>
          <cell r="AX815" t="str">
            <v/>
          </cell>
        </row>
        <row r="816">
          <cell r="G816" t="str">
            <v/>
          </cell>
          <cell r="H816" t="str">
            <v/>
          </cell>
          <cell r="M816" t="str">
            <v/>
          </cell>
          <cell r="N816" t="str">
            <v/>
          </cell>
          <cell r="O816" t="str">
            <v/>
          </cell>
          <cell r="T816" t="str">
            <v/>
          </cell>
          <cell r="U816" t="str">
            <v/>
          </cell>
          <cell r="X816" t="str">
            <v/>
          </cell>
          <cell r="AH816" t="str">
            <v/>
          </cell>
          <cell r="AK816" t="str">
            <v/>
          </cell>
          <cell r="AM816" t="str">
            <v/>
          </cell>
          <cell r="AO816" t="str">
            <v/>
          </cell>
          <cell r="AS816" t="str">
            <v/>
          </cell>
          <cell r="AT816" t="str">
            <v/>
          </cell>
          <cell r="AU816" t="str">
            <v/>
          </cell>
          <cell r="AW816" t="str">
            <v/>
          </cell>
          <cell r="AX816" t="str">
            <v/>
          </cell>
        </row>
        <row r="817">
          <cell r="G817" t="str">
            <v/>
          </cell>
          <cell r="H817" t="str">
            <v/>
          </cell>
          <cell r="M817" t="str">
            <v/>
          </cell>
          <cell r="N817" t="str">
            <v/>
          </cell>
          <cell r="O817" t="str">
            <v/>
          </cell>
          <cell r="T817" t="str">
            <v/>
          </cell>
          <cell r="U817" t="str">
            <v/>
          </cell>
          <cell r="X817" t="str">
            <v/>
          </cell>
          <cell r="AH817" t="str">
            <v/>
          </cell>
          <cell r="AK817" t="str">
            <v/>
          </cell>
          <cell r="AM817" t="str">
            <v/>
          </cell>
          <cell r="AO817" t="str">
            <v/>
          </cell>
          <cell r="AS817" t="str">
            <v/>
          </cell>
          <cell r="AT817" t="str">
            <v/>
          </cell>
          <cell r="AU817" t="str">
            <v/>
          </cell>
          <cell r="AW817" t="str">
            <v/>
          </cell>
          <cell r="AX817" t="str">
            <v/>
          </cell>
        </row>
        <row r="818">
          <cell r="G818" t="str">
            <v/>
          </cell>
          <cell r="H818" t="str">
            <v/>
          </cell>
          <cell r="M818" t="str">
            <v/>
          </cell>
          <cell r="N818" t="str">
            <v/>
          </cell>
          <cell r="O818" t="str">
            <v/>
          </cell>
          <cell r="T818" t="str">
            <v/>
          </cell>
          <cell r="U818" t="str">
            <v/>
          </cell>
          <cell r="X818" t="str">
            <v/>
          </cell>
          <cell r="AH818" t="str">
            <v/>
          </cell>
          <cell r="AK818" t="str">
            <v/>
          </cell>
          <cell r="AM818" t="str">
            <v/>
          </cell>
          <cell r="AO818" t="str">
            <v/>
          </cell>
          <cell r="AS818" t="str">
            <v/>
          </cell>
          <cell r="AT818" t="str">
            <v/>
          </cell>
          <cell r="AU818" t="str">
            <v/>
          </cell>
          <cell r="AW818" t="str">
            <v/>
          </cell>
          <cell r="AX818" t="str">
            <v/>
          </cell>
        </row>
        <row r="819">
          <cell r="G819" t="str">
            <v/>
          </cell>
          <cell r="H819" t="str">
            <v/>
          </cell>
          <cell r="M819" t="str">
            <v/>
          </cell>
          <cell r="N819" t="str">
            <v/>
          </cell>
          <cell r="O819" t="str">
            <v/>
          </cell>
          <cell r="T819" t="str">
            <v/>
          </cell>
          <cell r="U819" t="str">
            <v/>
          </cell>
          <cell r="X819" t="str">
            <v/>
          </cell>
          <cell r="AH819" t="str">
            <v/>
          </cell>
          <cell r="AK819" t="str">
            <v/>
          </cell>
          <cell r="AM819" t="str">
            <v/>
          </cell>
          <cell r="AO819" t="str">
            <v/>
          </cell>
          <cell r="AS819" t="str">
            <v/>
          </cell>
          <cell r="AT819" t="str">
            <v/>
          </cell>
          <cell r="AU819" t="str">
            <v/>
          </cell>
          <cell r="AW819" t="str">
            <v/>
          </cell>
          <cell r="AX819" t="str">
            <v/>
          </cell>
        </row>
        <row r="820">
          <cell r="G820" t="str">
            <v/>
          </cell>
          <cell r="H820" t="str">
            <v/>
          </cell>
          <cell r="M820" t="str">
            <v/>
          </cell>
          <cell r="N820" t="str">
            <v/>
          </cell>
          <cell r="O820" t="str">
            <v/>
          </cell>
          <cell r="T820" t="str">
            <v/>
          </cell>
          <cell r="U820" t="str">
            <v/>
          </cell>
          <cell r="X820" t="str">
            <v/>
          </cell>
          <cell r="AH820" t="str">
            <v/>
          </cell>
          <cell r="AK820" t="str">
            <v/>
          </cell>
          <cell r="AM820" t="str">
            <v/>
          </cell>
          <cell r="AO820" t="str">
            <v/>
          </cell>
          <cell r="AS820" t="str">
            <v/>
          </cell>
          <cell r="AT820" t="str">
            <v/>
          </cell>
          <cell r="AU820" t="str">
            <v/>
          </cell>
          <cell r="AW820" t="str">
            <v/>
          </cell>
          <cell r="AX820" t="str">
            <v/>
          </cell>
        </row>
        <row r="821">
          <cell r="G821" t="str">
            <v/>
          </cell>
          <cell r="H821" t="str">
            <v/>
          </cell>
          <cell r="M821" t="str">
            <v/>
          </cell>
          <cell r="N821" t="str">
            <v/>
          </cell>
          <cell r="O821" t="str">
            <v/>
          </cell>
          <cell r="T821" t="str">
            <v/>
          </cell>
          <cell r="U821" t="str">
            <v/>
          </cell>
          <cell r="X821" t="str">
            <v/>
          </cell>
          <cell r="AH821" t="str">
            <v/>
          </cell>
          <cell r="AK821" t="str">
            <v/>
          </cell>
          <cell r="AM821" t="str">
            <v/>
          </cell>
          <cell r="AO821" t="str">
            <v/>
          </cell>
          <cell r="AS821" t="str">
            <v/>
          </cell>
          <cell r="AT821" t="str">
            <v/>
          </cell>
          <cell r="AU821" t="str">
            <v/>
          </cell>
          <cell r="AW821" t="str">
            <v/>
          </cell>
          <cell r="AX821" t="str">
            <v/>
          </cell>
        </row>
        <row r="822">
          <cell r="G822" t="str">
            <v/>
          </cell>
          <cell r="H822" t="str">
            <v/>
          </cell>
          <cell r="M822" t="str">
            <v/>
          </cell>
          <cell r="N822" t="str">
            <v/>
          </cell>
          <cell r="O822" t="str">
            <v/>
          </cell>
          <cell r="T822" t="str">
            <v/>
          </cell>
          <cell r="U822" t="str">
            <v/>
          </cell>
          <cell r="X822" t="str">
            <v/>
          </cell>
          <cell r="AH822" t="str">
            <v/>
          </cell>
          <cell r="AK822" t="str">
            <v/>
          </cell>
          <cell r="AM822" t="str">
            <v/>
          </cell>
          <cell r="AO822" t="str">
            <v/>
          </cell>
          <cell r="AS822" t="str">
            <v/>
          </cell>
          <cell r="AT822" t="str">
            <v/>
          </cell>
          <cell r="AU822" t="str">
            <v/>
          </cell>
          <cell r="AW822" t="str">
            <v/>
          </cell>
          <cell r="AX822" t="str">
            <v/>
          </cell>
        </row>
        <row r="823">
          <cell r="G823" t="str">
            <v/>
          </cell>
          <cell r="H823" t="str">
            <v/>
          </cell>
          <cell r="M823" t="str">
            <v/>
          </cell>
          <cell r="N823" t="str">
            <v/>
          </cell>
          <cell r="O823" t="str">
            <v/>
          </cell>
          <cell r="T823" t="str">
            <v/>
          </cell>
          <cell r="U823" t="str">
            <v/>
          </cell>
          <cell r="X823" t="str">
            <v/>
          </cell>
          <cell r="AH823" t="str">
            <v/>
          </cell>
          <cell r="AK823" t="str">
            <v/>
          </cell>
          <cell r="AM823" t="str">
            <v/>
          </cell>
          <cell r="AO823" t="str">
            <v/>
          </cell>
          <cell r="AS823" t="str">
            <v/>
          </cell>
          <cell r="AT823" t="str">
            <v/>
          </cell>
          <cell r="AU823" t="str">
            <v/>
          </cell>
          <cell r="AW823" t="str">
            <v/>
          </cell>
          <cell r="AX823" t="str">
            <v/>
          </cell>
        </row>
        <row r="824">
          <cell r="G824" t="str">
            <v/>
          </cell>
          <cell r="H824" t="str">
            <v/>
          </cell>
          <cell r="M824" t="str">
            <v/>
          </cell>
          <cell r="N824" t="str">
            <v/>
          </cell>
          <cell r="O824" t="str">
            <v/>
          </cell>
          <cell r="T824" t="str">
            <v/>
          </cell>
          <cell r="U824" t="str">
            <v/>
          </cell>
          <cell r="X824" t="str">
            <v/>
          </cell>
          <cell r="AH824" t="str">
            <v/>
          </cell>
          <cell r="AK824" t="str">
            <v/>
          </cell>
          <cell r="AM824" t="str">
            <v/>
          </cell>
          <cell r="AO824" t="str">
            <v/>
          </cell>
          <cell r="AS824" t="str">
            <v/>
          </cell>
          <cell r="AT824" t="str">
            <v/>
          </cell>
          <cell r="AU824" t="str">
            <v/>
          </cell>
          <cell r="AW824" t="str">
            <v/>
          </cell>
          <cell r="AX824" t="str">
            <v/>
          </cell>
        </row>
        <row r="825">
          <cell r="G825" t="str">
            <v/>
          </cell>
          <cell r="H825" t="str">
            <v/>
          </cell>
          <cell r="M825" t="str">
            <v/>
          </cell>
          <cell r="N825" t="str">
            <v/>
          </cell>
          <cell r="O825" t="str">
            <v/>
          </cell>
          <cell r="T825" t="str">
            <v/>
          </cell>
          <cell r="U825" t="str">
            <v/>
          </cell>
          <cell r="X825" t="str">
            <v/>
          </cell>
          <cell r="AH825" t="str">
            <v/>
          </cell>
          <cell r="AK825" t="str">
            <v/>
          </cell>
          <cell r="AM825" t="str">
            <v/>
          </cell>
          <cell r="AO825" t="str">
            <v/>
          </cell>
          <cell r="AS825" t="str">
            <v/>
          </cell>
          <cell r="AT825" t="str">
            <v/>
          </cell>
          <cell r="AU825" t="str">
            <v/>
          </cell>
          <cell r="AW825" t="str">
            <v/>
          </cell>
          <cell r="AX825" t="str">
            <v/>
          </cell>
        </row>
        <row r="826">
          <cell r="G826" t="str">
            <v/>
          </cell>
          <cell r="H826" t="str">
            <v/>
          </cell>
          <cell r="M826" t="str">
            <v/>
          </cell>
          <cell r="N826" t="str">
            <v/>
          </cell>
          <cell r="O826" t="str">
            <v/>
          </cell>
          <cell r="T826" t="str">
            <v/>
          </cell>
          <cell r="U826" t="str">
            <v/>
          </cell>
          <cell r="X826" t="str">
            <v/>
          </cell>
          <cell r="AH826" t="str">
            <v/>
          </cell>
          <cell r="AK826" t="str">
            <v/>
          </cell>
          <cell r="AM826" t="str">
            <v/>
          </cell>
          <cell r="AO826" t="str">
            <v/>
          </cell>
          <cell r="AS826" t="str">
            <v/>
          </cell>
          <cell r="AT826" t="str">
            <v/>
          </cell>
          <cell r="AU826" t="str">
            <v/>
          </cell>
          <cell r="AW826" t="str">
            <v/>
          </cell>
          <cell r="AX826" t="str">
            <v/>
          </cell>
        </row>
        <row r="827">
          <cell r="G827" t="str">
            <v/>
          </cell>
          <cell r="H827" t="str">
            <v/>
          </cell>
          <cell r="M827" t="str">
            <v/>
          </cell>
          <cell r="N827" t="str">
            <v/>
          </cell>
          <cell r="O827" t="str">
            <v/>
          </cell>
          <cell r="T827" t="str">
            <v/>
          </cell>
          <cell r="U827" t="str">
            <v/>
          </cell>
          <cell r="X827" t="str">
            <v/>
          </cell>
          <cell r="AH827" t="str">
            <v/>
          </cell>
          <cell r="AK827" t="str">
            <v/>
          </cell>
          <cell r="AM827" t="str">
            <v/>
          </cell>
          <cell r="AO827" t="str">
            <v/>
          </cell>
          <cell r="AS827" t="str">
            <v/>
          </cell>
          <cell r="AT827" t="str">
            <v/>
          </cell>
          <cell r="AU827" t="str">
            <v/>
          </cell>
          <cell r="AW827" t="str">
            <v/>
          </cell>
          <cell r="AX827" t="str">
            <v/>
          </cell>
        </row>
        <row r="828">
          <cell r="G828" t="str">
            <v/>
          </cell>
          <cell r="H828" t="str">
            <v/>
          </cell>
          <cell r="M828" t="str">
            <v/>
          </cell>
          <cell r="N828" t="str">
            <v/>
          </cell>
          <cell r="O828" t="str">
            <v/>
          </cell>
          <cell r="T828" t="str">
            <v/>
          </cell>
          <cell r="U828" t="str">
            <v/>
          </cell>
          <cell r="X828" t="str">
            <v/>
          </cell>
          <cell r="AH828" t="str">
            <v/>
          </cell>
          <cell r="AK828" t="str">
            <v/>
          </cell>
          <cell r="AM828" t="str">
            <v/>
          </cell>
          <cell r="AO828" t="str">
            <v/>
          </cell>
          <cell r="AS828" t="str">
            <v/>
          </cell>
          <cell r="AT828" t="str">
            <v/>
          </cell>
          <cell r="AU828" t="str">
            <v/>
          </cell>
          <cell r="AW828" t="str">
            <v/>
          </cell>
          <cell r="AX828" t="str">
            <v/>
          </cell>
        </row>
        <row r="829">
          <cell r="G829" t="str">
            <v/>
          </cell>
          <cell r="H829" t="str">
            <v/>
          </cell>
          <cell r="M829" t="str">
            <v/>
          </cell>
          <cell r="N829" t="str">
            <v/>
          </cell>
          <cell r="O829" t="str">
            <v/>
          </cell>
          <cell r="T829" t="str">
            <v/>
          </cell>
          <cell r="U829" t="str">
            <v/>
          </cell>
          <cell r="X829" t="str">
            <v/>
          </cell>
          <cell r="AH829" t="str">
            <v/>
          </cell>
          <cell r="AK829" t="str">
            <v/>
          </cell>
          <cell r="AM829" t="str">
            <v/>
          </cell>
          <cell r="AO829" t="str">
            <v/>
          </cell>
          <cell r="AS829" t="str">
            <v/>
          </cell>
          <cell r="AT829" t="str">
            <v/>
          </cell>
          <cell r="AU829" t="str">
            <v/>
          </cell>
          <cell r="AW829" t="str">
            <v/>
          </cell>
          <cell r="AX829" t="str">
            <v/>
          </cell>
        </row>
        <row r="830">
          <cell r="G830" t="str">
            <v/>
          </cell>
          <cell r="H830" t="str">
            <v/>
          </cell>
          <cell r="M830" t="str">
            <v/>
          </cell>
          <cell r="N830" t="str">
            <v/>
          </cell>
          <cell r="O830" t="str">
            <v/>
          </cell>
          <cell r="T830" t="str">
            <v/>
          </cell>
          <cell r="U830" t="str">
            <v/>
          </cell>
          <cell r="X830" t="str">
            <v/>
          </cell>
          <cell r="AH830" t="str">
            <v/>
          </cell>
          <cell r="AK830" t="str">
            <v/>
          </cell>
          <cell r="AM830" t="str">
            <v/>
          </cell>
          <cell r="AO830" t="str">
            <v/>
          </cell>
          <cell r="AS830" t="str">
            <v/>
          </cell>
          <cell r="AT830" t="str">
            <v/>
          </cell>
          <cell r="AU830" t="str">
            <v/>
          </cell>
          <cell r="AW830" t="str">
            <v/>
          </cell>
          <cell r="AX830" t="str">
            <v/>
          </cell>
        </row>
        <row r="831">
          <cell r="G831" t="str">
            <v/>
          </cell>
          <cell r="H831" t="str">
            <v/>
          </cell>
          <cell r="M831" t="str">
            <v/>
          </cell>
          <cell r="N831" t="str">
            <v/>
          </cell>
          <cell r="O831" t="str">
            <v/>
          </cell>
          <cell r="T831" t="str">
            <v/>
          </cell>
          <cell r="U831" t="str">
            <v/>
          </cell>
          <cell r="X831" t="str">
            <v/>
          </cell>
          <cell r="AH831" t="str">
            <v/>
          </cell>
          <cell r="AK831" t="str">
            <v/>
          </cell>
          <cell r="AM831" t="str">
            <v/>
          </cell>
          <cell r="AO831" t="str">
            <v/>
          </cell>
          <cell r="AS831" t="str">
            <v/>
          </cell>
          <cell r="AT831" t="str">
            <v/>
          </cell>
          <cell r="AU831" t="str">
            <v/>
          </cell>
          <cell r="AW831" t="str">
            <v/>
          </cell>
          <cell r="AX831" t="str">
            <v/>
          </cell>
        </row>
        <row r="832">
          <cell r="G832" t="str">
            <v/>
          </cell>
          <cell r="H832" t="str">
            <v/>
          </cell>
          <cell r="M832" t="str">
            <v/>
          </cell>
          <cell r="N832" t="str">
            <v/>
          </cell>
          <cell r="O832" t="str">
            <v/>
          </cell>
          <cell r="T832" t="str">
            <v/>
          </cell>
          <cell r="U832" t="str">
            <v/>
          </cell>
          <cell r="X832" t="str">
            <v/>
          </cell>
          <cell r="AH832" t="str">
            <v/>
          </cell>
          <cell r="AK832" t="str">
            <v/>
          </cell>
          <cell r="AM832" t="str">
            <v/>
          </cell>
          <cell r="AO832" t="str">
            <v/>
          </cell>
          <cell r="AS832" t="str">
            <v/>
          </cell>
          <cell r="AT832" t="str">
            <v/>
          </cell>
          <cell r="AU832" t="str">
            <v/>
          </cell>
          <cell r="AW832" t="str">
            <v/>
          </cell>
          <cell r="AX832" t="str">
            <v/>
          </cell>
        </row>
        <row r="833">
          <cell r="G833" t="str">
            <v/>
          </cell>
          <cell r="H833" t="str">
            <v/>
          </cell>
          <cell r="M833" t="str">
            <v/>
          </cell>
          <cell r="N833" t="str">
            <v/>
          </cell>
          <cell r="O833" t="str">
            <v/>
          </cell>
          <cell r="T833" t="str">
            <v/>
          </cell>
          <cell r="U833" t="str">
            <v/>
          </cell>
          <cell r="X833" t="str">
            <v/>
          </cell>
          <cell r="AH833" t="str">
            <v/>
          </cell>
          <cell r="AK833" t="str">
            <v/>
          </cell>
          <cell r="AM833" t="str">
            <v/>
          </cell>
          <cell r="AO833" t="str">
            <v/>
          </cell>
          <cell r="AS833" t="str">
            <v/>
          </cell>
          <cell r="AT833" t="str">
            <v/>
          </cell>
          <cell r="AU833" t="str">
            <v/>
          </cell>
          <cell r="AW833" t="str">
            <v/>
          </cell>
          <cell r="AX833" t="str">
            <v/>
          </cell>
        </row>
        <row r="834">
          <cell r="G834" t="str">
            <v/>
          </cell>
          <cell r="H834" t="str">
            <v/>
          </cell>
          <cell r="M834" t="str">
            <v/>
          </cell>
          <cell r="N834" t="str">
            <v/>
          </cell>
          <cell r="O834" t="str">
            <v/>
          </cell>
          <cell r="T834" t="str">
            <v/>
          </cell>
          <cell r="U834" t="str">
            <v/>
          </cell>
          <cell r="X834" t="str">
            <v/>
          </cell>
          <cell r="AH834" t="str">
            <v/>
          </cell>
          <cell r="AK834" t="str">
            <v/>
          </cell>
          <cell r="AM834" t="str">
            <v/>
          </cell>
          <cell r="AO834" t="str">
            <v/>
          </cell>
          <cell r="AS834" t="str">
            <v/>
          </cell>
          <cell r="AT834" t="str">
            <v/>
          </cell>
          <cell r="AU834" t="str">
            <v/>
          </cell>
          <cell r="AW834" t="str">
            <v/>
          </cell>
          <cell r="AX834" t="str">
            <v/>
          </cell>
        </row>
        <row r="835">
          <cell r="G835" t="str">
            <v/>
          </cell>
          <cell r="H835" t="str">
            <v/>
          </cell>
          <cell r="M835" t="str">
            <v/>
          </cell>
          <cell r="N835" t="str">
            <v/>
          </cell>
          <cell r="O835" t="str">
            <v/>
          </cell>
          <cell r="T835" t="str">
            <v/>
          </cell>
          <cell r="U835" t="str">
            <v/>
          </cell>
          <cell r="X835" t="str">
            <v/>
          </cell>
          <cell r="AH835" t="str">
            <v/>
          </cell>
          <cell r="AK835" t="str">
            <v/>
          </cell>
          <cell r="AM835" t="str">
            <v/>
          </cell>
          <cell r="AO835" t="str">
            <v/>
          </cell>
          <cell r="AS835" t="str">
            <v/>
          </cell>
          <cell r="AT835" t="str">
            <v/>
          </cell>
          <cell r="AU835" t="str">
            <v/>
          </cell>
          <cell r="AW835" t="str">
            <v/>
          </cell>
          <cell r="AX835" t="str">
            <v/>
          </cell>
        </row>
        <row r="836">
          <cell r="G836" t="str">
            <v/>
          </cell>
          <cell r="H836" t="str">
            <v/>
          </cell>
          <cell r="M836" t="str">
            <v/>
          </cell>
          <cell r="N836" t="str">
            <v/>
          </cell>
          <cell r="O836" t="str">
            <v/>
          </cell>
          <cell r="T836" t="str">
            <v/>
          </cell>
          <cell r="U836" t="str">
            <v/>
          </cell>
          <cell r="X836" t="str">
            <v/>
          </cell>
          <cell r="AH836" t="str">
            <v/>
          </cell>
          <cell r="AK836" t="str">
            <v/>
          </cell>
          <cell r="AM836" t="str">
            <v/>
          </cell>
          <cell r="AO836" t="str">
            <v/>
          </cell>
          <cell r="AS836" t="str">
            <v/>
          </cell>
          <cell r="AT836" t="str">
            <v/>
          </cell>
          <cell r="AU836" t="str">
            <v/>
          </cell>
          <cell r="AW836" t="str">
            <v/>
          </cell>
          <cell r="AX836" t="str">
            <v/>
          </cell>
        </row>
        <row r="837">
          <cell r="G837" t="str">
            <v/>
          </cell>
          <cell r="H837" t="str">
            <v/>
          </cell>
          <cell r="M837" t="str">
            <v/>
          </cell>
          <cell r="N837" t="str">
            <v/>
          </cell>
          <cell r="O837" t="str">
            <v/>
          </cell>
          <cell r="T837" t="str">
            <v/>
          </cell>
          <cell r="U837" t="str">
            <v/>
          </cell>
          <cell r="X837" t="str">
            <v/>
          </cell>
          <cell r="AH837" t="str">
            <v/>
          </cell>
          <cell r="AK837" t="str">
            <v/>
          </cell>
          <cell r="AM837" t="str">
            <v/>
          </cell>
          <cell r="AO837" t="str">
            <v/>
          </cell>
          <cell r="AS837" t="str">
            <v/>
          </cell>
          <cell r="AT837" t="str">
            <v/>
          </cell>
          <cell r="AU837" t="str">
            <v/>
          </cell>
          <cell r="AW837" t="str">
            <v/>
          </cell>
          <cell r="AX837" t="str">
            <v/>
          </cell>
        </row>
        <row r="838">
          <cell r="G838" t="str">
            <v/>
          </cell>
          <cell r="H838" t="str">
            <v/>
          </cell>
          <cell r="M838" t="str">
            <v/>
          </cell>
          <cell r="N838" t="str">
            <v/>
          </cell>
          <cell r="O838" t="str">
            <v/>
          </cell>
          <cell r="T838" t="str">
            <v/>
          </cell>
          <cell r="U838" t="str">
            <v/>
          </cell>
          <cell r="X838" t="str">
            <v/>
          </cell>
          <cell r="AH838" t="str">
            <v/>
          </cell>
          <cell r="AK838" t="str">
            <v/>
          </cell>
          <cell r="AM838" t="str">
            <v/>
          </cell>
          <cell r="AO838" t="str">
            <v/>
          </cell>
          <cell r="AS838" t="str">
            <v/>
          </cell>
          <cell r="AT838" t="str">
            <v/>
          </cell>
          <cell r="AU838" t="str">
            <v/>
          </cell>
          <cell r="AW838" t="str">
            <v/>
          </cell>
          <cell r="AX838" t="str">
            <v/>
          </cell>
        </row>
        <row r="839">
          <cell r="G839" t="str">
            <v/>
          </cell>
          <cell r="H839" t="str">
            <v/>
          </cell>
          <cell r="M839" t="str">
            <v/>
          </cell>
          <cell r="N839" t="str">
            <v/>
          </cell>
          <cell r="O839" t="str">
            <v/>
          </cell>
          <cell r="T839" t="str">
            <v/>
          </cell>
          <cell r="U839" t="str">
            <v/>
          </cell>
          <cell r="X839" t="str">
            <v/>
          </cell>
          <cell r="AH839" t="str">
            <v/>
          </cell>
          <cell r="AK839" t="str">
            <v/>
          </cell>
          <cell r="AM839" t="str">
            <v/>
          </cell>
          <cell r="AO839" t="str">
            <v/>
          </cell>
          <cell r="AS839" t="str">
            <v/>
          </cell>
          <cell r="AT839" t="str">
            <v/>
          </cell>
          <cell r="AU839" t="str">
            <v/>
          </cell>
          <cell r="AW839" t="str">
            <v/>
          </cell>
          <cell r="AX839" t="str">
            <v/>
          </cell>
        </row>
        <row r="840">
          <cell r="G840" t="str">
            <v/>
          </cell>
          <cell r="H840" t="str">
            <v/>
          </cell>
          <cell r="M840" t="str">
            <v/>
          </cell>
          <cell r="N840" t="str">
            <v/>
          </cell>
          <cell r="O840" t="str">
            <v/>
          </cell>
          <cell r="T840" t="str">
            <v/>
          </cell>
          <cell r="U840" t="str">
            <v/>
          </cell>
          <cell r="X840" t="str">
            <v/>
          </cell>
          <cell r="AH840" t="str">
            <v/>
          </cell>
          <cell r="AK840" t="str">
            <v/>
          </cell>
          <cell r="AM840" t="str">
            <v/>
          </cell>
          <cell r="AO840" t="str">
            <v/>
          </cell>
          <cell r="AS840" t="str">
            <v/>
          </cell>
          <cell r="AT840" t="str">
            <v/>
          </cell>
          <cell r="AU840" t="str">
            <v/>
          </cell>
          <cell r="AW840" t="str">
            <v/>
          </cell>
          <cell r="AX840" t="str">
            <v/>
          </cell>
        </row>
        <row r="841">
          <cell r="G841" t="str">
            <v/>
          </cell>
          <cell r="H841" t="str">
            <v/>
          </cell>
          <cell r="M841" t="str">
            <v/>
          </cell>
          <cell r="N841" t="str">
            <v/>
          </cell>
          <cell r="O841" t="str">
            <v/>
          </cell>
          <cell r="T841" t="str">
            <v/>
          </cell>
          <cell r="U841" t="str">
            <v/>
          </cell>
          <cell r="X841" t="str">
            <v/>
          </cell>
          <cell r="AH841" t="str">
            <v/>
          </cell>
          <cell r="AK841" t="str">
            <v/>
          </cell>
          <cell r="AM841" t="str">
            <v/>
          </cell>
          <cell r="AO841" t="str">
            <v/>
          </cell>
          <cell r="AS841" t="str">
            <v/>
          </cell>
          <cell r="AT841" t="str">
            <v/>
          </cell>
          <cell r="AU841" t="str">
            <v/>
          </cell>
          <cell r="AW841" t="str">
            <v/>
          </cell>
          <cell r="AX841" t="str">
            <v/>
          </cell>
        </row>
        <row r="842">
          <cell r="G842" t="str">
            <v/>
          </cell>
          <cell r="H842" t="str">
            <v/>
          </cell>
          <cell r="M842" t="str">
            <v/>
          </cell>
          <cell r="N842" t="str">
            <v/>
          </cell>
          <cell r="O842" t="str">
            <v/>
          </cell>
          <cell r="T842" t="str">
            <v/>
          </cell>
          <cell r="U842" t="str">
            <v/>
          </cell>
          <cell r="X842" t="str">
            <v/>
          </cell>
          <cell r="AH842" t="str">
            <v/>
          </cell>
          <cell r="AK842" t="str">
            <v/>
          </cell>
          <cell r="AM842" t="str">
            <v/>
          </cell>
          <cell r="AO842" t="str">
            <v/>
          </cell>
          <cell r="AS842" t="str">
            <v/>
          </cell>
          <cell r="AT842" t="str">
            <v/>
          </cell>
          <cell r="AU842" t="str">
            <v/>
          </cell>
          <cell r="AW842" t="str">
            <v/>
          </cell>
          <cell r="AX842" t="str">
            <v/>
          </cell>
        </row>
        <row r="843">
          <cell r="G843" t="str">
            <v/>
          </cell>
          <cell r="H843" t="str">
            <v/>
          </cell>
          <cell r="M843" t="str">
            <v/>
          </cell>
          <cell r="N843" t="str">
            <v/>
          </cell>
          <cell r="O843" t="str">
            <v/>
          </cell>
          <cell r="T843" t="str">
            <v/>
          </cell>
          <cell r="U843" t="str">
            <v/>
          </cell>
          <cell r="X843" t="str">
            <v/>
          </cell>
          <cell r="AH843" t="str">
            <v/>
          </cell>
          <cell r="AK843" t="str">
            <v/>
          </cell>
          <cell r="AM843" t="str">
            <v/>
          </cell>
          <cell r="AO843" t="str">
            <v/>
          </cell>
          <cell r="AS843" t="str">
            <v/>
          </cell>
          <cell r="AT843" t="str">
            <v/>
          </cell>
          <cell r="AU843" t="str">
            <v/>
          </cell>
          <cell r="AW843" t="str">
            <v/>
          </cell>
          <cell r="AX843" t="str">
            <v/>
          </cell>
        </row>
        <row r="844">
          <cell r="G844" t="str">
            <v/>
          </cell>
          <cell r="H844" t="str">
            <v/>
          </cell>
          <cell r="M844" t="str">
            <v/>
          </cell>
          <cell r="N844" t="str">
            <v/>
          </cell>
          <cell r="O844" t="str">
            <v/>
          </cell>
          <cell r="T844" t="str">
            <v/>
          </cell>
          <cell r="U844" t="str">
            <v/>
          </cell>
          <cell r="X844" t="str">
            <v/>
          </cell>
          <cell r="AH844" t="str">
            <v/>
          </cell>
          <cell r="AK844" t="str">
            <v/>
          </cell>
          <cell r="AM844" t="str">
            <v/>
          </cell>
          <cell r="AO844" t="str">
            <v/>
          </cell>
          <cell r="AS844" t="str">
            <v/>
          </cell>
          <cell r="AT844" t="str">
            <v/>
          </cell>
          <cell r="AU844" t="str">
            <v/>
          </cell>
          <cell r="AW844" t="str">
            <v/>
          </cell>
          <cell r="AX844" t="str">
            <v/>
          </cell>
        </row>
        <row r="845">
          <cell r="G845" t="str">
            <v/>
          </cell>
          <cell r="H845" t="str">
            <v/>
          </cell>
          <cell r="M845" t="str">
            <v/>
          </cell>
          <cell r="N845" t="str">
            <v/>
          </cell>
          <cell r="O845" t="str">
            <v/>
          </cell>
          <cell r="T845" t="str">
            <v/>
          </cell>
          <cell r="U845" t="str">
            <v/>
          </cell>
          <cell r="X845" t="str">
            <v/>
          </cell>
          <cell r="AH845" t="str">
            <v/>
          </cell>
          <cell r="AK845" t="str">
            <v/>
          </cell>
          <cell r="AM845" t="str">
            <v/>
          </cell>
          <cell r="AO845" t="str">
            <v/>
          </cell>
          <cell r="AS845" t="str">
            <v/>
          </cell>
          <cell r="AT845" t="str">
            <v/>
          </cell>
          <cell r="AU845" t="str">
            <v/>
          </cell>
          <cell r="AW845" t="str">
            <v/>
          </cell>
          <cell r="AX845" t="str">
            <v/>
          </cell>
        </row>
        <row r="846">
          <cell r="G846" t="str">
            <v/>
          </cell>
          <cell r="H846" t="str">
            <v/>
          </cell>
          <cell r="M846" t="str">
            <v/>
          </cell>
          <cell r="N846" t="str">
            <v/>
          </cell>
          <cell r="O846" t="str">
            <v/>
          </cell>
          <cell r="T846" t="str">
            <v/>
          </cell>
          <cell r="U846" t="str">
            <v/>
          </cell>
          <cell r="X846" t="str">
            <v/>
          </cell>
          <cell r="AH846" t="str">
            <v/>
          </cell>
          <cell r="AK846" t="str">
            <v/>
          </cell>
          <cell r="AM846" t="str">
            <v/>
          </cell>
          <cell r="AO846" t="str">
            <v/>
          </cell>
          <cell r="AS846" t="str">
            <v/>
          </cell>
          <cell r="AT846" t="str">
            <v/>
          </cell>
          <cell r="AU846" t="str">
            <v/>
          </cell>
          <cell r="AW846" t="str">
            <v/>
          </cell>
          <cell r="AX846" t="str">
            <v/>
          </cell>
        </row>
        <row r="847">
          <cell r="G847" t="str">
            <v/>
          </cell>
          <cell r="H847" t="str">
            <v/>
          </cell>
          <cell r="M847" t="str">
            <v/>
          </cell>
          <cell r="N847" t="str">
            <v/>
          </cell>
          <cell r="O847" t="str">
            <v/>
          </cell>
          <cell r="T847" t="str">
            <v/>
          </cell>
          <cell r="U847" t="str">
            <v/>
          </cell>
          <cell r="X847" t="str">
            <v/>
          </cell>
          <cell r="AH847" t="str">
            <v/>
          </cell>
          <cell r="AK847" t="str">
            <v/>
          </cell>
          <cell r="AM847" t="str">
            <v/>
          </cell>
          <cell r="AO847" t="str">
            <v/>
          </cell>
          <cell r="AS847" t="str">
            <v/>
          </cell>
          <cell r="AT847" t="str">
            <v/>
          </cell>
          <cell r="AU847" t="str">
            <v/>
          </cell>
          <cell r="AW847" t="str">
            <v/>
          </cell>
          <cell r="AX847" t="str">
            <v/>
          </cell>
        </row>
        <row r="848">
          <cell r="G848" t="str">
            <v/>
          </cell>
          <cell r="H848" t="str">
            <v/>
          </cell>
          <cell r="M848" t="str">
            <v/>
          </cell>
          <cell r="N848" t="str">
            <v/>
          </cell>
          <cell r="O848" t="str">
            <v/>
          </cell>
          <cell r="T848" t="str">
            <v/>
          </cell>
          <cell r="U848" t="str">
            <v/>
          </cell>
          <cell r="X848" t="str">
            <v/>
          </cell>
          <cell r="AH848" t="str">
            <v/>
          </cell>
          <cell r="AK848" t="str">
            <v/>
          </cell>
          <cell r="AM848" t="str">
            <v/>
          </cell>
          <cell r="AO848" t="str">
            <v/>
          </cell>
          <cell r="AS848" t="str">
            <v/>
          </cell>
          <cell r="AT848" t="str">
            <v/>
          </cell>
          <cell r="AU848" t="str">
            <v/>
          </cell>
          <cell r="AW848" t="str">
            <v/>
          </cell>
          <cell r="AX848" t="str">
            <v/>
          </cell>
        </row>
        <row r="849">
          <cell r="G849" t="str">
            <v/>
          </cell>
          <cell r="H849" t="str">
            <v/>
          </cell>
          <cell r="M849" t="str">
            <v/>
          </cell>
          <cell r="N849" t="str">
            <v/>
          </cell>
          <cell r="O849" t="str">
            <v/>
          </cell>
          <cell r="T849" t="str">
            <v/>
          </cell>
          <cell r="U849" t="str">
            <v/>
          </cell>
          <cell r="X849" t="str">
            <v/>
          </cell>
          <cell r="AH849" t="str">
            <v/>
          </cell>
          <cell r="AK849" t="str">
            <v/>
          </cell>
          <cell r="AM849" t="str">
            <v/>
          </cell>
          <cell r="AO849" t="str">
            <v/>
          </cell>
          <cell r="AS849" t="str">
            <v/>
          </cell>
          <cell r="AT849" t="str">
            <v/>
          </cell>
          <cell r="AU849" t="str">
            <v/>
          </cell>
          <cell r="AW849" t="str">
            <v/>
          </cell>
          <cell r="AX849" t="str">
            <v/>
          </cell>
        </row>
        <row r="850">
          <cell r="G850" t="str">
            <v/>
          </cell>
          <cell r="H850" t="str">
            <v/>
          </cell>
          <cell r="M850" t="str">
            <v/>
          </cell>
          <cell r="N850" t="str">
            <v/>
          </cell>
          <cell r="O850" t="str">
            <v/>
          </cell>
          <cell r="T850" t="str">
            <v/>
          </cell>
          <cell r="U850" t="str">
            <v/>
          </cell>
          <cell r="X850" t="str">
            <v/>
          </cell>
          <cell r="AH850" t="str">
            <v/>
          </cell>
          <cell r="AK850" t="str">
            <v/>
          </cell>
          <cell r="AM850" t="str">
            <v/>
          </cell>
          <cell r="AO850" t="str">
            <v/>
          </cell>
          <cell r="AS850" t="str">
            <v/>
          </cell>
          <cell r="AT850" t="str">
            <v/>
          </cell>
          <cell r="AU850" t="str">
            <v/>
          </cell>
          <cell r="AW850" t="str">
            <v/>
          </cell>
          <cell r="AX850" t="str">
            <v/>
          </cell>
        </row>
        <row r="851">
          <cell r="G851" t="str">
            <v/>
          </cell>
          <cell r="H851" t="str">
            <v/>
          </cell>
          <cell r="M851" t="str">
            <v/>
          </cell>
          <cell r="N851" t="str">
            <v/>
          </cell>
          <cell r="O851" t="str">
            <v/>
          </cell>
          <cell r="T851" t="str">
            <v/>
          </cell>
          <cell r="U851" t="str">
            <v/>
          </cell>
          <cell r="X851" t="str">
            <v/>
          </cell>
          <cell r="AH851" t="str">
            <v/>
          </cell>
          <cell r="AK851" t="str">
            <v/>
          </cell>
          <cell r="AM851" t="str">
            <v/>
          </cell>
          <cell r="AO851" t="str">
            <v/>
          </cell>
          <cell r="AS851" t="str">
            <v/>
          </cell>
          <cell r="AT851" t="str">
            <v/>
          </cell>
          <cell r="AU851" t="str">
            <v/>
          </cell>
          <cell r="AW851" t="str">
            <v/>
          </cell>
          <cell r="AX851" t="str">
            <v/>
          </cell>
        </row>
        <row r="852">
          <cell r="G852" t="str">
            <v/>
          </cell>
          <cell r="H852" t="str">
            <v/>
          </cell>
          <cell r="M852" t="str">
            <v/>
          </cell>
          <cell r="N852" t="str">
            <v/>
          </cell>
          <cell r="O852" t="str">
            <v/>
          </cell>
          <cell r="T852" t="str">
            <v/>
          </cell>
          <cell r="U852" t="str">
            <v/>
          </cell>
          <cell r="X852" t="str">
            <v/>
          </cell>
          <cell r="AH852" t="str">
            <v/>
          </cell>
          <cell r="AK852" t="str">
            <v/>
          </cell>
          <cell r="AM852" t="str">
            <v/>
          </cell>
          <cell r="AO852" t="str">
            <v/>
          </cell>
          <cell r="AS852" t="str">
            <v/>
          </cell>
          <cell r="AT852" t="str">
            <v/>
          </cell>
          <cell r="AU852" t="str">
            <v/>
          </cell>
          <cell r="AW852" t="str">
            <v/>
          </cell>
          <cell r="AX852" t="str">
            <v/>
          </cell>
        </row>
        <row r="853">
          <cell r="G853" t="str">
            <v/>
          </cell>
          <cell r="H853" t="str">
            <v/>
          </cell>
          <cell r="M853" t="str">
            <v/>
          </cell>
          <cell r="N853" t="str">
            <v/>
          </cell>
          <cell r="O853" t="str">
            <v/>
          </cell>
          <cell r="T853" t="str">
            <v/>
          </cell>
          <cell r="U853" t="str">
            <v/>
          </cell>
          <cell r="X853" t="str">
            <v/>
          </cell>
          <cell r="AH853" t="str">
            <v/>
          </cell>
          <cell r="AK853" t="str">
            <v/>
          </cell>
          <cell r="AM853" t="str">
            <v/>
          </cell>
          <cell r="AO853" t="str">
            <v/>
          </cell>
          <cell r="AS853" t="str">
            <v/>
          </cell>
          <cell r="AT853" t="str">
            <v/>
          </cell>
          <cell r="AU853" t="str">
            <v/>
          </cell>
          <cell r="AW853" t="str">
            <v/>
          </cell>
          <cell r="AX853" t="str">
            <v/>
          </cell>
        </row>
        <row r="854">
          <cell r="G854" t="str">
            <v/>
          </cell>
          <cell r="H854" t="str">
            <v/>
          </cell>
          <cell r="M854" t="str">
            <v/>
          </cell>
          <cell r="N854" t="str">
            <v/>
          </cell>
          <cell r="O854" t="str">
            <v/>
          </cell>
          <cell r="T854" t="str">
            <v/>
          </cell>
          <cell r="U854" t="str">
            <v/>
          </cell>
          <cell r="X854" t="str">
            <v/>
          </cell>
          <cell r="AH854" t="str">
            <v/>
          </cell>
          <cell r="AK854" t="str">
            <v/>
          </cell>
          <cell r="AM854" t="str">
            <v/>
          </cell>
          <cell r="AO854" t="str">
            <v/>
          </cell>
          <cell r="AS854" t="str">
            <v/>
          </cell>
          <cell r="AT854" t="str">
            <v/>
          </cell>
          <cell r="AU854" t="str">
            <v/>
          </cell>
          <cell r="AW854" t="str">
            <v/>
          </cell>
          <cell r="AX854" t="str">
            <v/>
          </cell>
        </row>
        <row r="855">
          <cell r="G855" t="str">
            <v/>
          </cell>
          <cell r="H855" t="str">
            <v/>
          </cell>
          <cell r="M855" t="str">
            <v/>
          </cell>
          <cell r="N855" t="str">
            <v/>
          </cell>
          <cell r="O855" t="str">
            <v/>
          </cell>
          <cell r="T855" t="str">
            <v/>
          </cell>
          <cell r="U855" t="str">
            <v/>
          </cell>
          <cell r="X855" t="str">
            <v/>
          </cell>
          <cell r="AH855" t="str">
            <v/>
          </cell>
          <cell r="AK855" t="str">
            <v/>
          </cell>
          <cell r="AM855" t="str">
            <v/>
          </cell>
          <cell r="AO855" t="str">
            <v/>
          </cell>
          <cell r="AS855" t="str">
            <v/>
          </cell>
          <cell r="AT855" t="str">
            <v/>
          </cell>
          <cell r="AU855" t="str">
            <v/>
          </cell>
          <cell r="AW855" t="str">
            <v/>
          </cell>
          <cell r="AX855" t="str">
            <v/>
          </cell>
        </row>
        <row r="856">
          <cell r="G856" t="str">
            <v/>
          </cell>
          <cell r="H856" t="str">
            <v/>
          </cell>
          <cell r="M856" t="str">
            <v/>
          </cell>
          <cell r="N856" t="str">
            <v/>
          </cell>
          <cell r="O856" t="str">
            <v/>
          </cell>
          <cell r="T856" t="str">
            <v/>
          </cell>
          <cell r="U856" t="str">
            <v/>
          </cell>
          <cell r="X856" t="str">
            <v/>
          </cell>
          <cell r="AH856" t="str">
            <v/>
          </cell>
          <cell r="AK856" t="str">
            <v/>
          </cell>
          <cell r="AM856" t="str">
            <v/>
          </cell>
          <cell r="AO856" t="str">
            <v/>
          </cell>
          <cell r="AS856" t="str">
            <v/>
          </cell>
          <cell r="AT856" t="str">
            <v/>
          </cell>
          <cell r="AU856" t="str">
            <v/>
          </cell>
          <cell r="AW856" t="str">
            <v/>
          </cell>
          <cell r="AX856" t="str">
            <v/>
          </cell>
        </row>
        <row r="857">
          <cell r="G857" t="str">
            <v/>
          </cell>
          <cell r="H857" t="str">
            <v/>
          </cell>
          <cell r="M857" t="str">
            <v/>
          </cell>
          <cell r="N857" t="str">
            <v/>
          </cell>
          <cell r="O857" t="str">
            <v/>
          </cell>
          <cell r="T857" t="str">
            <v/>
          </cell>
          <cell r="U857" t="str">
            <v/>
          </cell>
          <cell r="X857" t="str">
            <v/>
          </cell>
          <cell r="AH857" t="str">
            <v/>
          </cell>
          <cell r="AK857" t="str">
            <v/>
          </cell>
          <cell r="AM857" t="str">
            <v/>
          </cell>
          <cell r="AO857" t="str">
            <v/>
          </cell>
          <cell r="AS857" t="str">
            <v/>
          </cell>
          <cell r="AT857" t="str">
            <v/>
          </cell>
          <cell r="AU857" t="str">
            <v/>
          </cell>
          <cell r="AW857" t="str">
            <v/>
          </cell>
          <cell r="AX857" t="str">
            <v/>
          </cell>
        </row>
        <row r="858">
          <cell r="G858" t="str">
            <v/>
          </cell>
          <cell r="H858" t="str">
            <v/>
          </cell>
          <cell r="M858" t="str">
            <v/>
          </cell>
          <cell r="N858" t="str">
            <v/>
          </cell>
          <cell r="O858" t="str">
            <v/>
          </cell>
          <cell r="T858" t="str">
            <v/>
          </cell>
          <cell r="U858" t="str">
            <v/>
          </cell>
          <cell r="X858" t="str">
            <v/>
          </cell>
          <cell r="AH858" t="str">
            <v/>
          </cell>
          <cell r="AK858" t="str">
            <v/>
          </cell>
          <cell r="AM858" t="str">
            <v/>
          </cell>
          <cell r="AO858" t="str">
            <v/>
          </cell>
          <cell r="AS858" t="str">
            <v/>
          </cell>
          <cell r="AT858" t="str">
            <v/>
          </cell>
          <cell r="AU858" t="str">
            <v/>
          </cell>
          <cell r="AW858" t="str">
            <v/>
          </cell>
          <cell r="AX858" t="str">
            <v/>
          </cell>
        </row>
        <row r="859">
          <cell r="G859" t="str">
            <v/>
          </cell>
          <cell r="H859" t="str">
            <v/>
          </cell>
          <cell r="M859" t="str">
            <v/>
          </cell>
          <cell r="N859" t="str">
            <v/>
          </cell>
          <cell r="O859" t="str">
            <v/>
          </cell>
          <cell r="T859" t="str">
            <v/>
          </cell>
          <cell r="U859" t="str">
            <v/>
          </cell>
          <cell r="X859" t="str">
            <v/>
          </cell>
          <cell r="AH859" t="str">
            <v/>
          </cell>
          <cell r="AK859" t="str">
            <v/>
          </cell>
          <cell r="AM859" t="str">
            <v/>
          </cell>
          <cell r="AO859" t="str">
            <v/>
          </cell>
          <cell r="AS859" t="str">
            <v/>
          </cell>
          <cell r="AT859" t="str">
            <v/>
          </cell>
          <cell r="AU859" t="str">
            <v/>
          </cell>
          <cell r="AW859" t="str">
            <v/>
          </cell>
          <cell r="AX859" t="str">
            <v/>
          </cell>
        </row>
        <row r="860">
          <cell r="G860" t="str">
            <v/>
          </cell>
          <cell r="H860" t="str">
            <v/>
          </cell>
          <cell r="M860" t="str">
            <v/>
          </cell>
          <cell r="N860" t="str">
            <v/>
          </cell>
          <cell r="O860" t="str">
            <v/>
          </cell>
          <cell r="T860" t="str">
            <v/>
          </cell>
          <cell r="U860" t="str">
            <v/>
          </cell>
          <cell r="X860" t="str">
            <v/>
          </cell>
          <cell r="AH860" t="str">
            <v/>
          </cell>
          <cell r="AK860" t="str">
            <v/>
          </cell>
          <cell r="AM860" t="str">
            <v/>
          </cell>
          <cell r="AO860" t="str">
            <v/>
          </cell>
          <cell r="AS860" t="str">
            <v/>
          </cell>
          <cell r="AT860" t="str">
            <v/>
          </cell>
          <cell r="AU860" t="str">
            <v/>
          </cell>
          <cell r="AW860" t="str">
            <v/>
          </cell>
          <cell r="AX860" t="str">
            <v/>
          </cell>
        </row>
        <row r="861">
          <cell r="G861" t="str">
            <v/>
          </cell>
          <cell r="H861" t="str">
            <v/>
          </cell>
          <cell r="M861" t="str">
            <v/>
          </cell>
          <cell r="N861" t="str">
            <v/>
          </cell>
          <cell r="O861" t="str">
            <v/>
          </cell>
          <cell r="T861" t="str">
            <v/>
          </cell>
          <cell r="U861" t="str">
            <v/>
          </cell>
          <cell r="X861" t="str">
            <v/>
          </cell>
          <cell r="AH861" t="str">
            <v/>
          </cell>
          <cell r="AK861" t="str">
            <v/>
          </cell>
          <cell r="AM861" t="str">
            <v/>
          </cell>
          <cell r="AO861" t="str">
            <v/>
          </cell>
          <cell r="AS861" t="str">
            <v/>
          </cell>
          <cell r="AT861" t="str">
            <v/>
          </cell>
          <cell r="AU861" t="str">
            <v/>
          </cell>
          <cell r="AW861" t="str">
            <v/>
          </cell>
          <cell r="AX861" t="str">
            <v/>
          </cell>
        </row>
        <row r="862">
          <cell r="G862" t="str">
            <v/>
          </cell>
          <cell r="H862" t="str">
            <v/>
          </cell>
          <cell r="M862" t="str">
            <v/>
          </cell>
          <cell r="N862" t="str">
            <v/>
          </cell>
          <cell r="O862" t="str">
            <v/>
          </cell>
          <cell r="T862" t="str">
            <v/>
          </cell>
          <cell r="U862" t="str">
            <v/>
          </cell>
          <cell r="X862" t="str">
            <v/>
          </cell>
          <cell r="AH862" t="str">
            <v/>
          </cell>
          <cell r="AK862" t="str">
            <v/>
          </cell>
          <cell r="AM862" t="str">
            <v/>
          </cell>
          <cell r="AO862" t="str">
            <v/>
          </cell>
          <cell r="AS862" t="str">
            <v/>
          </cell>
          <cell r="AT862" t="str">
            <v/>
          </cell>
          <cell r="AU862" t="str">
            <v/>
          </cell>
          <cell r="AW862" t="str">
            <v/>
          </cell>
          <cell r="AX862" t="str">
            <v/>
          </cell>
        </row>
        <row r="863">
          <cell r="G863" t="str">
            <v/>
          </cell>
          <cell r="H863" t="str">
            <v/>
          </cell>
          <cell r="M863" t="str">
            <v/>
          </cell>
          <cell r="N863" t="str">
            <v/>
          </cell>
          <cell r="O863" t="str">
            <v/>
          </cell>
          <cell r="T863" t="str">
            <v/>
          </cell>
          <cell r="U863" t="str">
            <v/>
          </cell>
          <cell r="X863" t="str">
            <v/>
          </cell>
          <cell r="AH863" t="str">
            <v/>
          </cell>
          <cell r="AK863" t="str">
            <v/>
          </cell>
          <cell r="AM863" t="str">
            <v/>
          </cell>
          <cell r="AO863" t="str">
            <v/>
          </cell>
          <cell r="AS863" t="str">
            <v/>
          </cell>
          <cell r="AT863" t="str">
            <v/>
          </cell>
          <cell r="AU863" t="str">
            <v/>
          </cell>
          <cell r="AW863" t="str">
            <v/>
          </cell>
          <cell r="AX863" t="str">
            <v/>
          </cell>
        </row>
        <row r="864">
          <cell r="G864" t="str">
            <v/>
          </cell>
          <cell r="H864" t="str">
            <v/>
          </cell>
          <cell r="M864" t="str">
            <v/>
          </cell>
          <cell r="N864" t="str">
            <v/>
          </cell>
          <cell r="O864" t="str">
            <v/>
          </cell>
          <cell r="T864" t="str">
            <v/>
          </cell>
          <cell r="U864" t="str">
            <v/>
          </cell>
          <cell r="X864" t="str">
            <v/>
          </cell>
          <cell r="AH864" t="str">
            <v/>
          </cell>
          <cell r="AK864" t="str">
            <v/>
          </cell>
          <cell r="AM864" t="str">
            <v/>
          </cell>
          <cell r="AO864" t="str">
            <v/>
          </cell>
          <cell r="AS864" t="str">
            <v/>
          </cell>
          <cell r="AT864" t="str">
            <v/>
          </cell>
          <cell r="AU864" t="str">
            <v/>
          </cell>
          <cell r="AW864" t="str">
            <v/>
          </cell>
          <cell r="AX864" t="str">
            <v/>
          </cell>
        </row>
        <row r="865">
          <cell r="G865" t="str">
            <v/>
          </cell>
          <cell r="H865" t="str">
            <v/>
          </cell>
          <cell r="M865" t="str">
            <v/>
          </cell>
          <cell r="N865" t="str">
            <v/>
          </cell>
          <cell r="O865" t="str">
            <v/>
          </cell>
          <cell r="T865" t="str">
            <v/>
          </cell>
          <cell r="U865" t="str">
            <v/>
          </cell>
          <cell r="X865" t="str">
            <v/>
          </cell>
          <cell r="AH865" t="str">
            <v/>
          </cell>
          <cell r="AK865" t="str">
            <v/>
          </cell>
          <cell r="AM865" t="str">
            <v/>
          </cell>
          <cell r="AO865" t="str">
            <v/>
          </cell>
          <cell r="AS865" t="str">
            <v/>
          </cell>
          <cell r="AT865" t="str">
            <v/>
          </cell>
          <cell r="AU865" t="str">
            <v/>
          </cell>
          <cell r="AW865" t="str">
            <v/>
          </cell>
          <cell r="AX865" t="str">
            <v/>
          </cell>
        </row>
        <row r="866">
          <cell r="G866" t="str">
            <v/>
          </cell>
          <cell r="H866" t="str">
            <v/>
          </cell>
          <cell r="M866" t="str">
            <v/>
          </cell>
          <cell r="N866" t="str">
            <v/>
          </cell>
          <cell r="O866" t="str">
            <v/>
          </cell>
          <cell r="T866" t="str">
            <v/>
          </cell>
          <cell r="U866" t="str">
            <v/>
          </cell>
          <cell r="X866" t="str">
            <v/>
          </cell>
          <cell r="AH866" t="str">
            <v/>
          </cell>
          <cell r="AK866" t="str">
            <v/>
          </cell>
          <cell r="AM866" t="str">
            <v/>
          </cell>
          <cell r="AO866" t="str">
            <v/>
          </cell>
          <cell r="AS866" t="str">
            <v/>
          </cell>
          <cell r="AT866" t="str">
            <v/>
          </cell>
          <cell r="AU866" t="str">
            <v/>
          </cell>
          <cell r="AW866" t="str">
            <v/>
          </cell>
          <cell r="AX866" t="str">
            <v/>
          </cell>
        </row>
        <row r="867">
          <cell r="G867" t="str">
            <v/>
          </cell>
          <cell r="H867" t="str">
            <v/>
          </cell>
          <cell r="M867" t="str">
            <v/>
          </cell>
          <cell r="N867" t="str">
            <v/>
          </cell>
          <cell r="O867" t="str">
            <v/>
          </cell>
          <cell r="T867" t="str">
            <v/>
          </cell>
          <cell r="U867" t="str">
            <v/>
          </cell>
          <cell r="X867" t="str">
            <v/>
          </cell>
          <cell r="AH867" t="str">
            <v/>
          </cell>
          <cell r="AK867" t="str">
            <v/>
          </cell>
          <cell r="AM867" t="str">
            <v/>
          </cell>
          <cell r="AO867" t="str">
            <v/>
          </cell>
          <cell r="AS867" t="str">
            <v/>
          </cell>
          <cell r="AT867" t="str">
            <v/>
          </cell>
          <cell r="AU867" t="str">
            <v/>
          </cell>
          <cell r="AW867" t="str">
            <v/>
          </cell>
          <cell r="AX867" t="str">
            <v/>
          </cell>
        </row>
        <row r="868">
          <cell r="G868" t="str">
            <v/>
          </cell>
          <cell r="H868" t="str">
            <v/>
          </cell>
          <cell r="M868" t="str">
            <v/>
          </cell>
          <cell r="N868" t="str">
            <v/>
          </cell>
          <cell r="O868" t="str">
            <v/>
          </cell>
          <cell r="T868" t="str">
            <v/>
          </cell>
          <cell r="U868" t="str">
            <v/>
          </cell>
          <cell r="X868" t="str">
            <v/>
          </cell>
          <cell r="AH868" t="str">
            <v/>
          </cell>
          <cell r="AK868" t="str">
            <v/>
          </cell>
          <cell r="AM868" t="str">
            <v/>
          </cell>
          <cell r="AO868" t="str">
            <v/>
          </cell>
          <cell r="AS868" t="str">
            <v/>
          </cell>
          <cell r="AT868" t="str">
            <v/>
          </cell>
          <cell r="AU868" t="str">
            <v/>
          </cell>
          <cell r="AW868" t="str">
            <v/>
          </cell>
          <cell r="AX868" t="str">
            <v/>
          </cell>
        </row>
        <row r="869">
          <cell r="G869" t="str">
            <v/>
          </cell>
          <cell r="H869" t="str">
            <v/>
          </cell>
          <cell r="M869" t="str">
            <v/>
          </cell>
          <cell r="N869" t="str">
            <v/>
          </cell>
          <cell r="O869" t="str">
            <v/>
          </cell>
          <cell r="T869" t="str">
            <v/>
          </cell>
          <cell r="U869" t="str">
            <v/>
          </cell>
          <cell r="X869" t="str">
            <v/>
          </cell>
          <cell r="AH869" t="str">
            <v/>
          </cell>
          <cell r="AK869" t="str">
            <v/>
          </cell>
          <cell r="AM869" t="str">
            <v/>
          </cell>
          <cell r="AO869" t="str">
            <v/>
          </cell>
          <cell r="AS869" t="str">
            <v/>
          </cell>
          <cell r="AT869" t="str">
            <v/>
          </cell>
          <cell r="AU869" t="str">
            <v/>
          </cell>
          <cell r="AW869" t="str">
            <v/>
          </cell>
          <cell r="AX869" t="str">
            <v/>
          </cell>
        </row>
        <row r="870">
          <cell r="G870" t="str">
            <v/>
          </cell>
          <cell r="H870" t="str">
            <v/>
          </cell>
          <cell r="M870" t="str">
            <v/>
          </cell>
          <cell r="N870" t="str">
            <v/>
          </cell>
          <cell r="O870" t="str">
            <v/>
          </cell>
          <cell r="T870" t="str">
            <v/>
          </cell>
          <cell r="U870" t="str">
            <v/>
          </cell>
          <cell r="X870" t="str">
            <v/>
          </cell>
          <cell r="AH870" t="str">
            <v/>
          </cell>
          <cell r="AK870" t="str">
            <v/>
          </cell>
          <cell r="AM870" t="str">
            <v/>
          </cell>
          <cell r="AO870" t="str">
            <v/>
          </cell>
          <cell r="AS870" t="str">
            <v/>
          </cell>
          <cell r="AT870" t="str">
            <v/>
          </cell>
          <cell r="AU870" t="str">
            <v/>
          </cell>
          <cell r="AW870" t="str">
            <v/>
          </cell>
          <cell r="AX870" t="str">
            <v/>
          </cell>
        </row>
        <row r="871">
          <cell r="G871" t="str">
            <v/>
          </cell>
          <cell r="H871" t="str">
            <v/>
          </cell>
          <cell r="M871" t="str">
            <v/>
          </cell>
          <cell r="N871" t="str">
            <v/>
          </cell>
          <cell r="O871" t="str">
            <v/>
          </cell>
          <cell r="T871" t="str">
            <v/>
          </cell>
          <cell r="U871" t="str">
            <v/>
          </cell>
          <cell r="X871" t="str">
            <v/>
          </cell>
          <cell r="AH871" t="str">
            <v/>
          </cell>
          <cell r="AK871" t="str">
            <v/>
          </cell>
          <cell r="AM871" t="str">
            <v/>
          </cell>
          <cell r="AO871" t="str">
            <v/>
          </cell>
          <cell r="AS871" t="str">
            <v/>
          </cell>
          <cell r="AT871" t="str">
            <v/>
          </cell>
          <cell r="AU871" t="str">
            <v/>
          </cell>
          <cell r="AW871" t="str">
            <v/>
          </cell>
          <cell r="AX871" t="str">
            <v/>
          </cell>
        </row>
        <row r="872">
          <cell r="G872" t="str">
            <v/>
          </cell>
          <cell r="H872" t="str">
            <v/>
          </cell>
          <cell r="M872" t="str">
            <v/>
          </cell>
          <cell r="N872" t="str">
            <v/>
          </cell>
          <cell r="O872" t="str">
            <v/>
          </cell>
          <cell r="T872" t="str">
            <v/>
          </cell>
          <cell r="U872" t="str">
            <v/>
          </cell>
          <cell r="X872" t="str">
            <v/>
          </cell>
          <cell r="AH872" t="str">
            <v/>
          </cell>
          <cell r="AK872" t="str">
            <v/>
          </cell>
          <cell r="AM872" t="str">
            <v/>
          </cell>
          <cell r="AO872" t="str">
            <v/>
          </cell>
          <cell r="AS872" t="str">
            <v/>
          </cell>
          <cell r="AT872" t="str">
            <v/>
          </cell>
          <cell r="AU872" t="str">
            <v/>
          </cell>
          <cell r="AW872" t="str">
            <v/>
          </cell>
          <cell r="AX872" t="str">
            <v/>
          </cell>
        </row>
        <row r="873">
          <cell r="G873" t="str">
            <v/>
          </cell>
          <cell r="H873" t="str">
            <v/>
          </cell>
          <cell r="M873" t="str">
            <v/>
          </cell>
          <cell r="N873" t="str">
            <v/>
          </cell>
          <cell r="O873" t="str">
            <v/>
          </cell>
          <cell r="T873" t="str">
            <v/>
          </cell>
          <cell r="U873" t="str">
            <v/>
          </cell>
          <cell r="X873" t="str">
            <v/>
          </cell>
          <cell r="AH873" t="str">
            <v/>
          </cell>
          <cell r="AK873" t="str">
            <v/>
          </cell>
          <cell r="AM873" t="str">
            <v/>
          </cell>
          <cell r="AO873" t="str">
            <v/>
          </cell>
          <cell r="AS873" t="str">
            <v/>
          </cell>
          <cell r="AT873" t="str">
            <v/>
          </cell>
          <cell r="AU873" t="str">
            <v/>
          </cell>
          <cell r="AW873" t="str">
            <v/>
          </cell>
          <cell r="AX873" t="str">
            <v/>
          </cell>
        </row>
        <row r="874">
          <cell r="G874" t="str">
            <v/>
          </cell>
          <cell r="H874" t="str">
            <v/>
          </cell>
          <cell r="M874" t="str">
            <v/>
          </cell>
          <cell r="N874" t="str">
            <v/>
          </cell>
          <cell r="O874" t="str">
            <v/>
          </cell>
          <cell r="T874" t="str">
            <v/>
          </cell>
          <cell r="U874" t="str">
            <v/>
          </cell>
          <cell r="X874" t="str">
            <v/>
          </cell>
          <cell r="AH874" t="str">
            <v/>
          </cell>
          <cell r="AK874" t="str">
            <v/>
          </cell>
          <cell r="AM874" t="str">
            <v/>
          </cell>
          <cell r="AO874" t="str">
            <v/>
          </cell>
          <cell r="AS874" t="str">
            <v/>
          </cell>
          <cell r="AT874" t="str">
            <v/>
          </cell>
          <cell r="AU874" t="str">
            <v/>
          </cell>
          <cell r="AW874" t="str">
            <v/>
          </cell>
          <cell r="AX874" t="str">
            <v/>
          </cell>
        </row>
        <row r="875">
          <cell r="G875" t="str">
            <v/>
          </cell>
          <cell r="H875" t="str">
            <v/>
          </cell>
          <cell r="M875" t="str">
            <v/>
          </cell>
          <cell r="N875" t="str">
            <v/>
          </cell>
          <cell r="O875" t="str">
            <v/>
          </cell>
          <cell r="T875" t="str">
            <v/>
          </cell>
          <cell r="U875" t="str">
            <v/>
          </cell>
          <cell r="X875" t="str">
            <v/>
          </cell>
          <cell r="AH875" t="str">
            <v/>
          </cell>
          <cell r="AK875" t="str">
            <v/>
          </cell>
          <cell r="AM875" t="str">
            <v/>
          </cell>
          <cell r="AO875" t="str">
            <v/>
          </cell>
          <cell r="AS875" t="str">
            <v/>
          </cell>
          <cell r="AT875" t="str">
            <v/>
          </cell>
          <cell r="AU875" t="str">
            <v/>
          </cell>
          <cell r="AW875" t="str">
            <v/>
          </cell>
          <cell r="AX875" t="str">
            <v/>
          </cell>
        </row>
        <row r="876">
          <cell r="G876" t="str">
            <v/>
          </cell>
          <cell r="H876" t="str">
            <v/>
          </cell>
          <cell r="M876" t="str">
            <v/>
          </cell>
          <cell r="N876" t="str">
            <v/>
          </cell>
          <cell r="O876" t="str">
            <v/>
          </cell>
          <cell r="T876" t="str">
            <v/>
          </cell>
          <cell r="U876" t="str">
            <v/>
          </cell>
          <cell r="X876" t="str">
            <v/>
          </cell>
          <cell r="AH876" t="str">
            <v/>
          </cell>
          <cell r="AK876" t="str">
            <v/>
          </cell>
          <cell r="AM876" t="str">
            <v/>
          </cell>
          <cell r="AO876" t="str">
            <v/>
          </cell>
          <cell r="AS876" t="str">
            <v/>
          </cell>
          <cell r="AT876" t="str">
            <v/>
          </cell>
          <cell r="AU876" t="str">
            <v/>
          </cell>
          <cell r="AW876" t="str">
            <v/>
          </cell>
          <cell r="AX876" t="str">
            <v/>
          </cell>
        </row>
        <row r="877">
          <cell r="G877" t="str">
            <v/>
          </cell>
          <cell r="H877" t="str">
            <v/>
          </cell>
          <cell r="M877" t="str">
            <v/>
          </cell>
          <cell r="N877" t="str">
            <v/>
          </cell>
          <cell r="O877" t="str">
            <v/>
          </cell>
          <cell r="T877" t="str">
            <v/>
          </cell>
          <cell r="U877" t="str">
            <v/>
          </cell>
          <cell r="X877" t="str">
            <v/>
          </cell>
          <cell r="AH877" t="str">
            <v/>
          </cell>
          <cell r="AK877" t="str">
            <v/>
          </cell>
          <cell r="AM877" t="str">
            <v/>
          </cell>
          <cell r="AO877" t="str">
            <v/>
          </cell>
          <cell r="AS877" t="str">
            <v/>
          </cell>
          <cell r="AT877" t="str">
            <v/>
          </cell>
          <cell r="AU877" t="str">
            <v/>
          </cell>
          <cell r="AW877" t="str">
            <v/>
          </cell>
          <cell r="AX877" t="str">
            <v/>
          </cell>
        </row>
        <row r="878">
          <cell r="G878" t="str">
            <v/>
          </cell>
          <cell r="H878" t="str">
            <v/>
          </cell>
          <cell r="M878" t="str">
            <v/>
          </cell>
          <cell r="N878" t="str">
            <v/>
          </cell>
          <cell r="O878" t="str">
            <v/>
          </cell>
          <cell r="T878" t="str">
            <v/>
          </cell>
          <cell r="U878" t="str">
            <v/>
          </cell>
          <cell r="X878" t="str">
            <v/>
          </cell>
          <cell r="AH878" t="str">
            <v/>
          </cell>
          <cell r="AK878" t="str">
            <v/>
          </cell>
          <cell r="AM878" t="str">
            <v/>
          </cell>
          <cell r="AO878" t="str">
            <v/>
          </cell>
          <cell r="AS878" t="str">
            <v/>
          </cell>
          <cell r="AT878" t="str">
            <v/>
          </cell>
          <cell r="AU878" t="str">
            <v/>
          </cell>
          <cell r="AW878" t="str">
            <v/>
          </cell>
          <cell r="AX878" t="str">
            <v/>
          </cell>
        </row>
        <row r="879">
          <cell r="G879" t="str">
            <v/>
          </cell>
          <cell r="H879" t="str">
            <v/>
          </cell>
          <cell r="M879" t="str">
            <v/>
          </cell>
          <cell r="N879" t="str">
            <v/>
          </cell>
          <cell r="O879" t="str">
            <v/>
          </cell>
          <cell r="T879" t="str">
            <v/>
          </cell>
          <cell r="U879" t="str">
            <v/>
          </cell>
          <cell r="X879" t="str">
            <v/>
          </cell>
          <cell r="AH879" t="str">
            <v/>
          </cell>
          <cell r="AK879" t="str">
            <v/>
          </cell>
          <cell r="AM879" t="str">
            <v/>
          </cell>
          <cell r="AO879" t="str">
            <v/>
          </cell>
          <cell r="AS879" t="str">
            <v/>
          </cell>
          <cell r="AT879" t="str">
            <v/>
          </cell>
          <cell r="AU879" t="str">
            <v/>
          </cell>
          <cell r="AW879" t="str">
            <v/>
          </cell>
          <cell r="AX879" t="str">
            <v/>
          </cell>
        </row>
        <row r="880">
          <cell r="G880" t="str">
            <v/>
          </cell>
          <cell r="H880" t="str">
            <v/>
          </cell>
          <cell r="M880" t="str">
            <v/>
          </cell>
          <cell r="N880" t="str">
            <v/>
          </cell>
          <cell r="O880" t="str">
            <v/>
          </cell>
          <cell r="T880" t="str">
            <v/>
          </cell>
          <cell r="U880" t="str">
            <v/>
          </cell>
          <cell r="X880" t="str">
            <v/>
          </cell>
          <cell r="AH880" t="str">
            <v/>
          </cell>
          <cell r="AK880" t="str">
            <v/>
          </cell>
          <cell r="AM880" t="str">
            <v/>
          </cell>
          <cell r="AO880" t="str">
            <v/>
          </cell>
          <cell r="AS880" t="str">
            <v/>
          </cell>
          <cell r="AT880" t="str">
            <v/>
          </cell>
          <cell r="AU880" t="str">
            <v/>
          </cell>
          <cell r="AW880" t="str">
            <v/>
          </cell>
          <cell r="AX880" t="str">
            <v/>
          </cell>
        </row>
        <row r="881">
          <cell r="G881" t="str">
            <v/>
          </cell>
          <cell r="H881" t="str">
            <v/>
          </cell>
          <cell r="M881" t="str">
            <v/>
          </cell>
          <cell r="N881" t="str">
            <v/>
          </cell>
          <cell r="O881" t="str">
            <v/>
          </cell>
          <cell r="T881" t="str">
            <v/>
          </cell>
          <cell r="U881" t="str">
            <v/>
          </cell>
          <cell r="X881" t="str">
            <v/>
          </cell>
          <cell r="AH881" t="str">
            <v/>
          </cell>
          <cell r="AK881" t="str">
            <v/>
          </cell>
          <cell r="AM881" t="str">
            <v/>
          </cell>
          <cell r="AO881" t="str">
            <v/>
          </cell>
          <cell r="AS881" t="str">
            <v/>
          </cell>
          <cell r="AT881" t="str">
            <v/>
          </cell>
          <cell r="AU881" t="str">
            <v/>
          </cell>
          <cell r="AW881" t="str">
            <v/>
          </cell>
          <cell r="AX881" t="str">
            <v/>
          </cell>
        </row>
        <row r="882">
          <cell r="G882" t="str">
            <v/>
          </cell>
          <cell r="H882" t="str">
            <v/>
          </cell>
          <cell r="M882" t="str">
            <v/>
          </cell>
          <cell r="N882" t="str">
            <v/>
          </cell>
          <cell r="O882" t="str">
            <v/>
          </cell>
          <cell r="T882" t="str">
            <v/>
          </cell>
          <cell r="U882" t="str">
            <v/>
          </cell>
          <cell r="X882" t="str">
            <v/>
          </cell>
          <cell r="AH882" t="str">
            <v/>
          </cell>
          <cell r="AK882" t="str">
            <v/>
          </cell>
          <cell r="AM882" t="str">
            <v/>
          </cell>
          <cell r="AO882" t="str">
            <v/>
          </cell>
          <cell r="AS882" t="str">
            <v/>
          </cell>
          <cell r="AT882" t="str">
            <v/>
          </cell>
          <cell r="AU882" t="str">
            <v/>
          </cell>
          <cell r="AW882" t="str">
            <v/>
          </cell>
          <cell r="AX882" t="str">
            <v/>
          </cell>
        </row>
        <row r="883">
          <cell r="G883" t="str">
            <v/>
          </cell>
          <cell r="H883" t="str">
            <v/>
          </cell>
          <cell r="M883" t="str">
            <v/>
          </cell>
          <cell r="N883" t="str">
            <v/>
          </cell>
          <cell r="O883" t="str">
            <v/>
          </cell>
          <cell r="T883" t="str">
            <v/>
          </cell>
          <cell r="U883" t="str">
            <v/>
          </cell>
          <cell r="X883" t="str">
            <v/>
          </cell>
          <cell r="AH883" t="str">
            <v/>
          </cell>
          <cell r="AK883" t="str">
            <v/>
          </cell>
          <cell r="AM883" t="str">
            <v/>
          </cell>
          <cell r="AO883" t="str">
            <v/>
          </cell>
          <cell r="AS883" t="str">
            <v/>
          </cell>
          <cell r="AT883" t="str">
            <v/>
          </cell>
          <cell r="AU883" t="str">
            <v/>
          </cell>
          <cell r="AW883" t="str">
            <v/>
          </cell>
          <cell r="AX883" t="str">
            <v/>
          </cell>
        </row>
        <row r="884">
          <cell r="G884" t="str">
            <v/>
          </cell>
          <cell r="H884" t="str">
            <v/>
          </cell>
          <cell r="M884" t="str">
            <v/>
          </cell>
          <cell r="N884" t="str">
            <v/>
          </cell>
          <cell r="O884" t="str">
            <v/>
          </cell>
          <cell r="T884" t="str">
            <v/>
          </cell>
          <cell r="U884" t="str">
            <v/>
          </cell>
          <cell r="X884" t="str">
            <v/>
          </cell>
          <cell r="AH884" t="str">
            <v/>
          </cell>
          <cell r="AK884" t="str">
            <v/>
          </cell>
          <cell r="AM884" t="str">
            <v/>
          </cell>
          <cell r="AO884" t="str">
            <v/>
          </cell>
          <cell r="AS884" t="str">
            <v/>
          </cell>
          <cell r="AT884" t="str">
            <v/>
          </cell>
          <cell r="AU884" t="str">
            <v/>
          </cell>
          <cell r="AW884" t="str">
            <v/>
          </cell>
          <cell r="AX884" t="str">
            <v/>
          </cell>
        </row>
        <row r="885">
          <cell r="G885" t="str">
            <v/>
          </cell>
          <cell r="H885" t="str">
            <v/>
          </cell>
          <cell r="M885" t="str">
            <v/>
          </cell>
          <cell r="N885" t="str">
            <v/>
          </cell>
          <cell r="O885" t="str">
            <v/>
          </cell>
          <cell r="T885" t="str">
            <v/>
          </cell>
          <cell r="U885" t="str">
            <v/>
          </cell>
          <cell r="X885" t="str">
            <v/>
          </cell>
          <cell r="AH885" t="str">
            <v/>
          </cell>
          <cell r="AK885" t="str">
            <v/>
          </cell>
          <cell r="AM885" t="str">
            <v/>
          </cell>
          <cell r="AO885" t="str">
            <v/>
          </cell>
          <cell r="AS885" t="str">
            <v/>
          </cell>
          <cell r="AT885" t="str">
            <v/>
          </cell>
          <cell r="AU885" t="str">
            <v/>
          </cell>
          <cell r="AW885" t="str">
            <v/>
          </cell>
          <cell r="AX885" t="str">
            <v/>
          </cell>
        </row>
        <row r="886">
          <cell r="G886" t="str">
            <v/>
          </cell>
          <cell r="H886" t="str">
            <v/>
          </cell>
          <cell r="M886" t="str">
            <v/>
          </cell>
          <cell r="N886" t="str">
            <v/>
          </cell>
          <cell r="O886" t="str">
            <v/>
          </cell>
          <cell r="T886" t="str">
            <v/>
          </cell>
          <cell r="U886" t="str">
            <v/>
          </cell>
          <cell r="X886" t="str">
            <v/>
          </cell>
          <cell r="AH886" t="str">
            <v/>
          </cell>
          <cell r="AK886" t="str">
            <v/>
          </cell>
          <cell r="AM886" t="str">
            <v/>
          </cell>
          <cell r="AO886" t="str">
            <v/>
          </cell>
          <cell r="AS886" t="str">
            <v/>
          </cell>
          <cell r="AT886" t="str">
            <v/>
          </cell>
          <cell r="AU886" t="str">
            <v/>
          </cell>
          <cell r="AW886" t="str">
            <v/>
          </cell>
          <cell r="AX886" t="str">
            <v/>
          </cell>
        </row>
        <row r="887">
          <cell r="G887" t="str">
            <v/>
          </cell>
          <cell r="H887" t="str">
            <v/>
          </cell>
          <cell r="M887" t="str">
            <v/>
          </cell>
          <cell r="N887" t="str">
            <v/>
          </cell>
          <cell r="O887" t="str">
            <v/>
          </cell>
          <cell r="T887" t="str">
            <v/>
          </cell>
          <cell r="U887" t="str">
            <v/>
          </cell>
          <cell r="X887" t="str">
            <v/>
          </cell>
          <cell r="AH887" t="str">
            <v/>
          </cell>
          <cell r="AK887" t="str">
            <v/>
          </cell>
          <cell r="AM887" t="str">
            <v/>
          </cell>
          <cell r="AO887" t="str">
            <v/>
          </cell>
          <cell r="AS887" t="str">
            <v/>
          </cell>
          <cell r="AT887" t="str">
            <v/>
          </cell>
          <cell r="AU887" t="str">
            <v/>
          </cell>
          <cell r="AW887" t="str">
            <v/>
          </cell>
          <cell r="AX887" t="str">
            <v/>
          </cell>
        </row>
        <row r="888">
          <cell r="G888" t="str">
            <v/>
          </cell>
          <cell r="H888" t="str">
            <v/>
          </cell>
          <cell r="M888" t="str">
            <v/>
          </cell>
          <cell r="N888" t="str">
            <v/>
          </cell>
          <cell r="O888" t="str">
            <v/>
          </cell>
          <cell r="T888" t="str">
            <v/>
          </cell>
          <cell r="U888" t="str">
            <v/>
          </cell>
          <cell r="X888" t="str">
            <v/>
          </cell>
          <cell r="AH888" t="str">
            <v/>
          </cell>
          <cell r="AK888" t="str">
            <v/>
          </cell>
          <cell r="AM888" t="str">
            <v/>
          </cell>
          <cell r="AO888" t="str">
            <v/>
          </cell>
          <cell r="AS888" t="str">
            <v/>
          </cell>
          <cell r="AT888" t="str">
            <v/>
          </cell>
          <cell r="AU888" t="str">
            <v/>
          </cell>
          <cell r="AW888" t="str">
            <v/>
          </cell>
          <cell r="AX888" t="str">
            <v/>
          </cell>
        </row>
        <row r="889">
          <cell r="G889" t="str">
            <v/>
          </cell>
          <cell r="H889" t="str">
            <v/>
          </cell>
          <cell r="M889" t="str">
            <v/>
          </cell>
          <cell r="N889" t="str">
            <v/>
          </cell>
          <cell r="O889" t="str">
            <v/>
          </cell>
          <cell r="T889" t="str">
            <v/>
          </cell>
          <cell r="U889" t="str">
            <v/>
          </cell>
          <cell r="X889" t="str">
            <v/>
          </cell>
          <cell r="AH889" t="str">
            <v/>
          </cell>
          <cell r="AK889" t="str">
            <v/>
          </cell>
          <cell r="AM889" t="str">
            <v/>
          </cell>
          <cell r="AO889" t="str">
            <v/>
          </cell>
          <cell r="AS889" t="str">
            <v/>
          </cell>
          <cell r="AT889" t="str">
            <v/>
          </cell>
          <cell r="AU889" t="str">
            <v/>
          </cell>
          <cell r="AW889" t="str">
            <v/>
          </cell>
          <cell r="AX889" t="str">
            <v/>
          </cell>
        </row>
        <row r="890">
          <cell r="G890" t="str">
            <v/>
          </cell>
          <cell r="H890" t="str">
            <v/>
          </cell>
          <cell r="M890" t="str">
            <v/>
          </cell>
          <cell r="N890" t="str">
            <v/>
          </cell>
          <cell r="O890" t="str">
            <v/>
          </cell>
          <cell r="T890" t="str">
            <v/>
          </cell>
          <cell r="U890" t="str">
            <v/>
          </cell>
          <cell r="X890" t="str">
            <v/>
          </cell>
          <cell r="AH890" t="str">
            <v/>
          </cell>
          <cell r="AK890" t="str">
            <v/>
          </cell>
          <cell r="AM890" t="str">
            <v/>
          </cell>
          <cell r="AO890" t="str">
            <v/>
          </cell>
          <cell r="AS890" t="str">
            <v/>
          </cell>
          <cell r="AT890" t="str">
            <v/>
          </cell>
          <cell r="AU890" t="str">
            <v/>
          </cell>
          <cell r="AW890" t="str">
            <v/>
          </cell>
          <cell r="AX890" t="str">
            <v/>
          </cell>
        </row>
        <row r="891">
          <cell r="G891" t="str">
            <v/>
          </cell>
          <cell r="H891" t="str">
            <v/>
          </cell>
          <cell r="M891" t="str">
            <v/>
          </cell>
          <cell r="N891" t="str">
            <v/>
          </cell>
          <cell r="O891" t="str">
            <v/>
          </cell>
          <cell r="T891" t="str">
            <v/>
          </cell>
          <cell r="U891" t="str">
            <v/>
          </cell>
          <cell r="X891" t="str">
            <v/>
          </cell>
          <cell r="AH891" t="str">
            <v/>
          </cell>
          <cell r="AK891" t="str">
            <v/>
          </cell>
          <cell r="AM891" t="str">
            <v/>
          </cell>
          <cell r="AO891" t="str">
            <v/>
          </cell>
          <cell r="AS891" t="str">
            <v/>
          </cell>
          <cell r="AT891" t="str">
            <v/>
          </cell>
          <cell r="AU891" t="str">
            <v/>
          </cell>
          <cell r="AW891" t="str">
            <v/>
          </cell>
          <cell r="AX891" t="str">
            <v/>
          </cell>
        </row>
        <row r="892">
          <cell r="G892" t="str">
            <v/>
          </cell>
          <cell r="H892" t="str">
            <v/>
          </cell>
          <cell r="M892" t="str">
            <v/>
          </cell>
          <cell r="N892" t="str">
            <v/>
          </cell>
          <cell r="O892" t="str">
            <v/>
          </cell>
          <cell r="T892" t="str">
            <v/>
          </cell>
          <cell r="U892" t="str">
            <v/>
          </cell>
          <cell r="X892" t="str">
            <v/>
          </cell>
          <cell r="AH892" t="str">
            <v/>
          </cell>
          <cell r="AK892" t="str">
            <v/>
          </cell>
          <cell r="AM892" t="str">
            <v/>
          </cell>
          <cell r="AO892" t="str">
            <v/>
          </cell>
          <cell r="AS892" t="str">
            <v/>
          </cell>
          <cell r="AT892" t="str">
            <v/>
          </cell>
          <cell r="AU892" t="str">
            <v/>
          </cell>
          <cell r="AW892" t="str">
            <v/>
          </cell>
          <cell r="AX892" t="str">
            <v/>
          </cell>
        </row>
        <row r="893">
          <cell r="G893" t="str">
            <v/>
          </cell>
          <cell r="H893" t="str">
            <v/>
          </cell>
          <cell r="M893" t="str">
            <v/>
          </cell>
          <cell r="N893" t="str">
            <v/>
          </cell>
          <cell r="O893" t="str">
            <v/>
          </cell>
          <cell r="T893" t="str">
            <v/>
          </cell>
          <cell r="U893" t="str">
            <v/>
          </cell>
          <cell r="X893" t="str">
            <v/>
          </cell>
          <cell r="AH893" t="str">
            <v/>
          </cell>
          <cell r="AK893" t="str">
            <v/>
          </cell>
          <cell r="AM893" t="str">
            <v/>
          </cell>
          <cell r="AO893" t="str">
            <v/>
          </cell>
          <cell r="AS893" t="str">
            <v/>
          </cell>
          <cell r="AT893" t="str">
            <v/>
          </cell>
          <cell r="AU893" t="str">
            <v/>
          </cell>
          <cell r="AW893" t="str">
            <v/>
          </cell>
          <cell r="AX893" t="str">
            <v/>
          </cell>
        </row>
        <row r="894">
          <cell r="G894" t="str">
            <v/>
          </cell>
          <cell r="H894" t="str">
            <v/>
          </cell>
          <cell r="M894" t="str">
            <v/>
          </cell>
          <cell r="N894" t="str">
            <v/>
          </cell>
          <cell r="O894" t="str">
            <v/>
          </cell>
          <cell r="T894" t="str">
            <v/>
          </cell>
          <cell r="U894" t="str">
            <v/>
          </cell>
          <cell r="X894" t="str">
            <v/>
          </cell>
          <cell r="AH894" t="str">
            <v/>
          </cell>
          <cell r="AK894" t="str">
            <v/>
          </cell>
          <cell r="AM894" t="str">
            <v/>
          </cell>
          <cell r="AO894" t="str">
            <v/>
          </cell>
          <cell r="AS894" t="str">
            <v/>
          </cell>
          <cell r="AT894" t="str">
            <v/>
          </cell>
          <cell r="AU894" t="str">
            <v/>
          </cell>
          <cell r="AW894" t="str">
            <v/>
          </cell>
          <cell r="AX894" t="str">
            <v/>
          </cell>
        </row>
        <row r="895">
          <cell r="G895" t="str">
            <v/>
          </cell>
          <cell r="H895" t="str">
            <v/>
          </cell>
          <cell r="M895" t="str">
            <v/>
          </cell>
          <cell r="N895" t="str">
            <v/>
          </cell>
          <cell r="O895" t="str">
            <v/>
          </cell>
          <cell r="T895" t="str">
            <v/>
          </cell>
          <cell r="U895" t="str">
            <v/>
          </cell>
          <cell r="X895" t="str">
            <v/>
          </cell>
          <cell r="AH895" t="str">
            <v/>
          </cell>
          <cell r="AK895" t="str">
            <v/>
          </cell>
          <cell r="AM895" t="str">
            <v/>
          </cell>
          <cell r="AO895" t="str">
            <v/>
          </cell>
          <cell r="AS895" t="str">
            <v/>
          </cell>
          <cell r="AT895" t="str">
            <v/>
          </cell>
          <cell r="AU895" t="str">
            <v/>
          </cell>
          <cell r="AW895" t="str">
            <v/>
          </cell>
          <cell r="AX895" t="str">
            <v/>
          </cell>
        </row>
        <row r="896">
          <cell r="G896" t="str">
            <v/>
          </cell>
          <cell r="H896" t="str">
            <v/>
          </cell>
          <cell r="M896" t="str">
            <v/>
          </cell>
          <cell r="N896" t="str">
            <v/>
          </cell>
          <cell r="O896" t="str">
            <v/>
          </cell>
          <cell r="T896" t="str">
            <v/>
          </cell>
          <cell r="U896" t="str">
            <v/>
          </cell>
          <cell r="X896" t="str">
            <v/>
          </cell>
          <cell r="AH896" t="str">
            <v/>
          </cell>
          <cell r="AK896" t="str">
            <v/>
          </cell>
          <cell r="AM896" t="str">
            <v/>
          </cell>
          <cell r="AO896" t="str">
            <v/>
          </cell>
          <cell r="AS896" t="str">
            <v/>
          </cell>
          <cell r="AT896" t="str">
            <v/>
          </cell>
          <cell r="AU896" t="str">
            <v/>
          </cell>
          <cell r="AW896" t="str">
            <v/>
          </cell>
          <cell r="AX896" t="str">
            <v/>
          </cell>
        </row>
        <row r="897">
          <cell r="G897" t="str">
            <v/>
          </cell>
          <cell r="H897" t="str">
            <v/>
          </cell>
          <cell r="M897" t="str">
            <v/>
          </cell>
          <cell r="N897" t="str">
            <v/>
          </cell>
          <cell r="O897" t="str">
            <v/>
          </cell>
          <cell r="T897" t="str">
            <v/>
          </cell>
          <cell r="U897" t="str">
            <v/>
          </cell>
          <cell r="X897" t="str">
            <v/>
          </cell>
          <cell r="AH897" t="str">
            <v/>
          </cell>
          <cell r="AK897" t="str">
            <v/>
          </cell>
          <cell r="AM897" t="str">
            <v/>
          </cell>
          <cell r="AO897" t="str">
            <v/>
          </cell>
          <cell r="AS897" t="str">
            <v/>
          </cell>
          <cell r="AT897" t="str">
            <v/>
          </cell>
          <cell r="AU897" t="str">
            <v/>
          </cell>
          <cell r="AW897" t="str">
            <v/>
          </cell>
          <cell r="AX897" t="str">
            <v/>
          </cell>
        </row>
        <row r="898">
          <cell r="G898" t="str">
            <v/>
          </cell>
          <cell r="H898" t="str">
            <v/>
          </cell>
          <cell r="M898" t="str">
            <v/>
          </cell>
          <cell r="N898" t="str">
            <v/>
          </cell>
          <cell r="O898" t="str">
            <v/>
          </cell>
          <cell r="T898" t="str">
            <v/>
          </cell>
          <cell r="U898" t="str">
            <v/>
          </cell>
          <cell r="X898" t="str">
            <v/>
          </cell>
          <cell r="AH898" t="str">
            <v/>
          </cell>
          <cell r="AK898" t="str">
            <v/>
          </cell>
          <cell r="AM898" t="str">
            <v/>
          </cell>
          <cell r="AO898" t="str">
            <v/>
          </cell>
          <cell r="AS898" t="str">
            <v/>
          </cell>
          <cell r="AT898" t="str">
            <v/>
          </cell>
          <cell r="AU898" t="str">
            <v/>
          </cell>
          <cell r="AW898" t="str">
            <v/>
          </cell>
          <cell r="AX898" t="str">
            <v/>
          </cell>
        </row>
        <row r="899">
          <cell r="G899" t="str">
            <v/>
          </cell>
          <cell r="H899" t="str">
            <v/>
          </cell>
          <cell r="M899" t="str">
            <v/>
          </cell>
          <cell r="N899" t="str">
            <v/>
          </cell>
          <cell r="O899" t="str">
            <v/>
          </cell>
          <cell r="T899" t="str">
            <v/>
          </cell>
          <cell r="U899" t="str">
            <v/>
          </cell>
          <cell r="X899" t="str">
            <v/>
          </cell>
          <cell r="AH899" t="str">
            <v/>
          </cell>
          <cell r="AK899" t="str">
            <v/>
          </cell>
          <cell r="AM899" t="str">
            <v/>
          </cell>
          <cell r="AO899" t="str">
            <v/>
          </cell>
          <cell r="AS899" t="str">
            <v/>
          </cell>
          <cell r="AT899" t="str">
            <v/>
          </cell>
          <cell r="AU899" t="str">
            <v/>
          </cell>
          <cell r="AW899" t="str">
            <v/>
          </cell>
          <cell r="AX899" t="str">
            <v/>
          </cell>
        </row>
        <row r="900">
          <cell r="G900" t="str">
            <v/>
          </cell>
          <cell r="H900" t="str">
            <v/>
          </cell>
          <cell r="M900" t="str">
            <v/>
          </cell>
          <cell r="N900" t="str">
            <v/>
          </cell>
          <cell r="O900" t="str">
            <v/>
          </cell>
          <cell r="T900" t="str">
            <v/>
          </cell>
          <cell r="U900" t="str">
            <v/>
          </cell>
          <cell r="X900" t="str">
            <v/>
          </cell>
          <cell r="AH900" t="str">
            <v/>
          </cell>
          <cell r="AK900" t="str">
            <v/>
          </cell>
          <cell r="AM900" t="str">
            <v/>
          </cell>
          <cell r="AO900" t="str">
            <v/>
          </cell>
          <cell r="AS900" t="str">
            <v/>
          </cell>
          <cell r="AT900" t="str">
            <v/>
          </cell>
          <cell r="AU900" t="str">
            <v/>
          </cell>
          <cell r="AW900" t="str">
            <v/>
          </cell>
          <cell r="AX900" t="str">
            <v/>
          </cell>
        </row>
        <row r="901">
          <cell r="G901" t="str">
            <v/>
          </cell>
          <cell r="H901" t="str">
            <v/>
          </cell>
          <cell r="M901" t="str">
            <v/>
          </cell>
          <cell r="N901" t="str">
            <v/>
          </cell>
          <cell r="O901" t="str">
            <v/>
          </cell>
          <cell r="T901" t="str">
            <v/>
          </cell>
          <cell r="U901" t="str">
            <v/>
          </cell>
          <cell r="X901" t="str">
            <v/>
          </cell>
          <cell r="AH901" t="str">
            <v/>
          </cell>
          <cell r="AK901" t="str">
            <v/>
          </cell>
          <cell r="AM901" t="str">
            <v/>
          </cell>
          <cell r="AO901" t="str">
            <v/>
          </cell>
          <cell r="AS901" t="str">
            <v/>
          </cell>
          <cell r="AT901" t="str">
            <v/>
          </cell>
          <cell r="AU901" t="str">
            <v/>
          </cell>
          <cell r="AW901" t="str">
            <v/>
          </cell>
          <cell r="AX901" t="str">
            <v/>
          </cell>
        </row>
        <row r="902">
          <cell r="G902" t="str">
            <v/>
          </cell>
          <cell r="H902" t="str">
            <v/>
          </cell>
          <cell r="M902" t="str">
            <v/>
          </cell>
          <cell r="N902" t="str">
            <v/>
          </cell>
          <cell r="O902" t="str">
            <v/>
          </cell>
          <cell r="T902" t="str">
            <v/>
          </cell>
          <cell r="U902" t="str">
            <v/>
          </cell>
          <cell r="X902" t="str">
            <v/>
          </cell>
          <cell r="AH902" t="str">
            <v/>
          </cell>
          <cell r="AK902" t="str">
            <v/>
          </cell>
          <cell r="AM902" t="str">
            <v/>
          </cell>
          <cell r="AO902" t="str">
            <v/>
          </cell>
          <cell r="AS902" t="str">
            <v/>
          </cell>
          <cell r="AT902" t="str">
            <v/>
          </cell>
          <cell r="AU902" t="str">
            <v/>
          </cell>
          <cell r="AW902" t="str">
            <v/>
          </cell>
          <cell r="AX902" t="str">
            <v/>
          </cell>
        </row>
        <row r="903">
          <cell r="G903" t="str">
            <v/>
          </cell>
          <cell r="H903" t="str">
            <v/>
          </cell>
          <cell r="M903" t="str">
            <v/>
          </cell>
          <cell r="N903" t="str">
            <v/>
          </cell>
          <cell r="O903" t="str">
            <v/>
          </cell>
          <cell r="T903" t="str">
            <v/>
          </cell>
          <cell r="U903" t="str">
            <v/>
          </cell>
          <cell r="X903" t="str">
            <v/>
          </cell>
          <cell r="AH903" t="str">
            <v/>
          </cell>
          <cell r="AK903" t="str">
            <v/>
          </cell>
          <cell r="AM903" t="str">
            <v/>
          </cell>
          <cell r="AO903" t="str">
            <v/>
          </cell>
          <cell r="AS903" t="str">
            <v/>
          </cell>
          <cell r="AT903" t="str">
            <v/>
          </cell>
          <cell r="AU903" t="str">
            <v/>
          </cell>
          <cell r="AW903" t="str">
            <v/>
          </cell>
          <cell r="AX903" t="str">
            <v/>
          </cell>
        </row>
        <row r="904">
          <cell r="G904" t="str">
            <v/>
          </cell>
          <cell r="H904" t="str">
            <v/>
          </cell>
          <cell r="M904" t="str">
            <v/>
          </cell>
          <cell r="N904" t="str">
            <v/>
          </cell>
          <cell r="O904" t="str">
            <v/>
          </cell>
          <cell r="T904" t="str">
            <v/>
          </cell>
          <cell r="U904" t="str">
            <v/>
          </cell>
          <cell r="X904" t="str">
            <v/>
          </cell>
          <cell r="AH904" t="str">
            <v/>
          </cell>
          <cell r="AK904" t="str">
            <v/>
          </cell>
          <cell r="AM904" t="str">
            <v/>
          </cell>
          <cell r="AO904" t="str">
            <v/>
          </cell>
          <cell r="AS904" t="str">
            <v/>
          </cell>
          <cell r="AT904" t="str">
            <v/>
          </cell>
          <cell r="AU904" t="str">
            <v/>
          </cell>
          <cell r="AW904" t="str">
            <v/>
          </cell>
          <cell r="AX904" t="str">
            <v/>
          </cell>
        </row>
        <row r="905">
          <cell r="G905" t="str">
            <v/>
          </cell>
          <cell r="H905" t="str">
            <v/>
          </cell>
          <cell r="M905" t="str">
            <v/>
          </cell>
          <cell r="N905" t="str">
            <v/>
          </cell>
          <cell r="O905" t="str">
            <v/>
          </cell>
          <cell r="T905" t="str">
            <v/>
          </cell>
          <cell r="U905" t="str">
            <v/>
          </cell>
          <cell r="X905" t="str">
            <v/>
          </cell>
          <cell r="AH905" t="str">
            <v/>
          </cell>
          <cell r="AK905" t="str">
            <v/>
          </cell>
          <cell r="AM905" t="str">
            <v/>
          </cell>
          <cell r="AO905" t="str">
            <v/>
          </cell>
          <cell r="AS905" t="str">
            <v/>
          </cell>
          <cell r="AT905" t="str">
            <v/>
          </cell>
          <cell r="AU905" t="str">
            <v/>
          </cell>
          <cell r="AW905" t="str">
            <v/>
          </cell>
          <cell r="AX905" t="str">
            <v/>
          </cell>
        </row>
        <row r="906">
          <cell r="G906" t="str">
            <v/>
          </cell>
          <cell r="H906" t="str">
            <v/>
          </cell>
          <cell r="M906" t="str">
            <v/>
          </cell>
          <cell r="N906" t="str">
            <v/>
          </cell>
          <cell r="O906" t="str">
            <v/>
          </cell>
          <cell r="T906" t="str">
            <v/>
          </cell>
          <cell r="U906" t="str">
            <v/>
          </cell>
          <cell r="X906" t="str">
            <v/>
          </cell>
          <cell r="AH906" t="str">
            <v/>
          </cell>
          <cell r="AK906" t="str">
            <v/>
          </cell>
          <cell r="AM906" t="str">
            <v/>
          </cell>
          <cell r="AO906" t="str">
            <v/>
          </cell>
          <cell r="AS906" t="str">
            <v/>
          </cell>
          <cell r="AT906" t="str">
            <v/>
          </cell>
          <cell r="AU906" t="str">
            <v/>
          </cell>
          <cell r="AW906" t="str">
            <v/>
          </cell>
          <cell r="AX906" t="str">
            <v/>
          </cell>
        </row>
        <row r="907">
          <cell r="G907" t="str">
            <v/>
          </cell>
          <cell r="H907" t="str">
            <v/>
          </cell>
          <cell r="M907" t="str">
            <v/>
          </cell>
          <cell r="N907" t="str">
            <v/>
          </cell>
          <cell r="O907" t="str">
            <v/>
          </cell>
          <cell r="T907" t="str">
            <v/>
          </cell>
          <cell r="U907" t="str">
            <v/>
          </cell>
          <cell r="X907" t="str">
            <v/>
          </cell>
          <cell r="AH907" t="str">
            <v/>
          </cell>
          <cell r="AK907" t="str">
            <v/>
          </cell>
          <cell r="AM907" t="str">
            <v/>
          </cell>
          <cell r="AO907" t="str">
            <v/>
          </cell>
          <cell r="AS907" t="str">
            <v/>
          </cell>
          <cell r="AT907" t="str">
            <v/>
          </cell>
          <cell r="AU907" t="str">
            <v/>
          </cell>
          <cell r="AW907" t="str">
            <v/>
          </cell>
          <cell r="AX907" t="str">
            <v/>
          </cell>
        </row>
        <row r="908">
          <cell r="G908" t="str">
            <v/>
          </cell>
          <cell r="H908" t="str">
            <v/>
          </cell>
          <cell r="M908" t="str">
            <v/>
          </cell>
          <cell r="N908" t="str">
            <v/>
          </cell>
          <cell r="O908" t="str">
            <v/>
          </cell>
          <cell r="T908" t="str">
            <v/>
          </cell>
          <cell r="U908" t="str">
            <v/>
          </cell>
          <cell r="X908" t="str">
            <v/>
          </cell>
          <cell r="AH908" t="str">
            <v/>
          </cell>
          <cell r="AK908" t="str">
            <v/>
          </cell>
          <cell r="AM908" t="str">
            <v/>
          </cell>
          <cell r="AO908" t="str">
            <v/>
          </cell>
          <cell r="AS908" t="str">
            <v/>
          </cell>
          <cell r="AT908" t="str">
            <v/>
          </cell>
          <cell r="AU908" t="str">
            <v/>
          </cell>
          <cell r="AW908" t="str">
            <v/>
          </cell>
          <cell r="AX908" t="str">
            <v/>
          </cell>
        </row>
        <row r="909">
          <cell r="G909" t="str">
            <v/>
          </cell>
          <cell r="H909" t="str">
            <v/>
          </cell>
          <cell r="M909" t="str">
            <v/>
          </cell>
          <cell r="N909" t="str">
            <v/>
          </cell>
          <cell r="O909" t="str">
            <v/>
          </cell>
          <cell r="T909" t="str">
            <v/>
          </cell>
          <cell r="U909" t="str">
            <v/>
          </cell>
          <cell r="X909" t="str">
            <v/>
          </cell>
          <cell r="AH909" t="str">
            <v/>
          </cell>
          <cell r="AK909" t="str">
            <v/>
          </cell>
          <cell r="AM909" t="str">
            <v/>
          </cell>
          <cell r="AO909" t="str">
            <v/>
          </cell>
          <cell r="AS909" t="str">
            <v/>
          </cell>
          <cell r="AT909" t="str">
            <v/>
          </cell>
          <cell r="AU909" t="str">
            <v/>
          </cell>
          <cell r="AW909" t="str">
            <v/>
          </cell>
          <cell r="AX909" t="str">
            <v/>
          </cell>
        </row>
        <row r="910">
          <cell r="G910" t="str">
            <v/>
          </cell>
          <cell r="H910" t="str">
            <v/>
          </cell>
          <cell r="M910" t="str">
            <v/>
          </cell>
          <cell r="N910" t="str">
            <v/>
          </cell>
          <cell r="O910" t="str">
            <v/>
          </cell>
          <cell r="T910" t="str">
            <v/>
          </cell>
          <cell r="U910" t="str">
            <v/>
          </cell>
          <cell r="X910" t="str">
            <v/>
          </cell>
          <cell r="AH910" t="str">
            <v/>
          </cell>
          <cell r="AK910" t="str">
            <v/>
          </cell>
          <cell r="AM910" t="str">
            <v/>
          </cell>
          <cell r="AO910" t="str">
            <v/>
          </cell>
          <cell r="AS910" t="str">
            <v/>
          </cell>
          <cell r="AT910" t="str">
            <v/>
          </cell>
          <cell r="AU910" t="str">
            <v/>
          </cell>
          <cell r="AW910" t="str">
            <v/>
          </cell>
          <cell r="AX910" t="str">
            <v/>
          </cell>
        </row>
        <row r="911">
          <cell r="G911" t="str">
            <v/>
          </cell>
          <cell r="H911" t="str">
            <v/>
          </cell>
          <cell r="M911" t="str">
            <v/>
          </cell>
          <cell r="N911" t="str">
            <v/>
          </cell>
          <cell r="O911" t="str">
            <v/>
          </cell>
          <cell r="T911" t="str">
            <v/>
          </cell>
          <cell r="U911" t="str">
            <v/>
          </cell>
          <cell r="X911" t="str">
            <v/>
          </cell>
          <cell r="AH911" t="str">
            <v/>
          </cell>
          <cell r="AK911" t="str">
            <v/>
          </cell>
          <cell r="AM911" t="str">
            <v/>
          </cell>
          <cell r="AO911" t="str">
            <v/>
          </cell>
          <cell r="AS911" t="str">
            <v/>
          </cell>
          <cell r="AT911" t="str">
            <v/>
          </cell>
          <cell r="AU911" t="str">
            <v/>
          </cell>
          <cell r="AW911" t="str">
            <v/>
          </cell>
          <cell r="AX911" t="str">
            <v/>
          </cell>
        </row>
        <row r="912">
          <cell r="G912" t="str">
            <v/>
          </cell>
          <cell r="H912" t="str">
            <v/>
          </cell>
          <cell r="M912" t="str">
            <v/>
          </cell>
          <cell r="N912" t="str">
            <v/>
          </cell>
          <cell r="O912" t="str">
            <v/>
          </cell>
          <cell r="T912" t="str">
            <v/>
          </cell>
          <cell r="U912" t="str">
            <v/>
          </cell>
          <cell r="X912" t="str">
            <v/>
          </cell>
          <cell r="AH912" t="str">
            <v/>
          </cell>
          <cell r="AK912" t="str">
            <v/>
          </cell>
          <cell r="AM912" t="str">
            <v/>
          </cell>
          <cell r="AO912" t="str">
            <v/>
          </cell>
          <cell r="AS912" t="str">
            <v/>
          </cell>
          <cell r="AT912" t="str">
            <v/>
          </cell>
          <cell r="AU912" t="str">
            <v/>
          </cell>
          <cell r="AW912" t="str">
            <v/>
          </cell>
          <cell r="AX912" t="str">
            <v/>
          </cell>
        </row>
        <row r="913">
          <cell r="G913" t="str">
            <v/>
          </cell>
          <cell r="H913" t="str">
            <v/>
          </cell>
          <cell r="M913" t="str">
            <v/>
          </cell>
          <cell r="N913" t="str">
            <v/>
          </cell>
          <cell r="O913" t="str">
            <v/>
          </cell>
          <cell r="T913" t="str">
            <v/>
          </cell>
          <cell r="U913" t="str">
            <v/>
          </cell>
          <cell r="X913" t="str">
            <v/>
          </cell>
          <cell r="AH913" t="str">
            <v/>
          </cell>
          <cell r="AK913" t="str">
            <v/>
          </cell>
          <cell r="AM913" t="str">
            <v/>
          </cell>
          <cell r="AO913" t="str">
            <v/>
          </cell>
          <cell r="AS913" t="str">
            <v/>
          </cell>
          <cell r="AT913" t="str">
            <v/>
          </cell>
          <cell r="AU913" t="str">
            <v/>
          </cell>
          <cell r="AW913" t="str">
            <v/>
          </cell>
          <cell r="AX913" t="str">
            <v/>
          </cell>
        </row>
        <row r="914">
          <cell r="G914" t="str">
            <v/>
          </cell>
          <cell r="H914" t="str">
            <v/>
          </cell>
          <cell r="M914" t="str">
            <v/>
          </cell>
          <cell r="N914" t="str">
            <v/>
          </cell>
          <cell r="O914" t="str">
            <v/>
          </cell>
          <cell r="T914" t="str">
            <v/>
          </cell>
          <cell r="U914" t="str">
            <v/>
          </cell>
          <cell r="X914" t="str">
            <v/>
          </cell>
          <cell r="AH914" t="str">
            <v/>
          </cell>
          <cell r="AK914" t="str">
            <v/>
          </cell>
          <cell r="AM914" t="str">
            <v/>
          </cell>
          <cell r="AO914" t="str">
            <v/>
          </cell>
          <cell r="AS914" t="str">
            <v/>
          </cell>
          <cell r="AT914" t="str">
            <v/>
          </cell>
          <cell r="AU914" t="str">
            <v/>
          </cell>
          <cell r="AW914" t="str">
            <v/>
          </cell>
          <cell r="AX914" t="str">
            <v/>
          </cell>
        </row>
        <row r="915">
          <cell r="G915" t="str">
            <v/>
          </cell>
          <cell r="H915" t="str">
            <v/>
          </cell>
          <cell r="M915" t="str">
            <v/>
          </cell>
          <cell r="N915" t="str">
            <v/>
          </cell>
          <cell r="O915" t="str">
            <v/>
          </cell>
          <cell r="T915" t="str">
            <v/>
          </cell>
          <cell r="U915" t="str">
            <v/>
          </cell>
          <cell r="X915" t="str">
            <v/>
          </cell>
          <cell r="AH915" t="str">
            <v/>
          </cell>
          <cell r="AK915" t="str">
            <v/>
          </cell>
          <cell r="AM915" t="str">
            <v/>
          </cell>
          <cell r="AO915" t="str">
            <v/>
          </cell>
          <cell r="AS915" t="str">
            <v/>
          </cell>
          <cell r="AT915" t="str">
            <v/>
          </cell>
          <cell r="AU915" t="str">
            <v/>
          </cell>
          <cell r="AW915" t="str">
            <v/>
          </cell>
          <cell r="AX915" t="str">
            <v/>
          </cell>
        </row>
        <row r="916">
          <cell r="G916" t="str">
            <v/>
          </cell>
          <cell r="H916" t="str">
            <v/>
          </cell>
          <cell r="M916" t="str">
            <v/>
          </cell>
          <cell r="N916" t="str">
            <v/>
          </cell>
          <cell r="O916" t="str">
            <v/>
          </cell>
          <cell r="T916" t="str">
            <v/>
          </cell>
          <cell r="U916" t="str">
            <v/>
          </cell>
          <cell r="X916" t="str">
            <v/>
          </cell>
          <cell r="AH916" t="str">
            <v/>
          </cell>
          <cell r="AK916" t="str">
            <v/>
          </cell>
          <cell r="AM916" t="str">
            <v/>
          </cell>
          <cell r="AO916" t="str">
            <v/>
          </cell>
          <cell r="AS916" t="str">
            <v/>
          </cell>
          <cell r="AT916" t="str">
            <v/>
          </cell>
          <cell r="AU916" t="str">
            <v/>
          </cell>
          <cell r="AW916" t="str">
            <v/>
          </cell>
          <cell r="AX916" t="str">
            <v/>
          </cell>
        </row>
        <row r="917">
          <cell r="G917" t="str">
            <v/>
          </cell>
          <cell r="H917" t="str">
            <v/>
          </cell>
          <cell r="M917" t="str">
            <v/>
          </cell>
          <cell r="N917" t="str">
            <v/>
          </cell>
          <cell r="O917" t="str">
            <v/>
          </cell>
          <cell r="T917" t="str">
            <v/>
          </cell>
          <cell r="U917" t="str">
            <v/>
          </cell>
          <cell r="X917" t="str">
            <v/>
          </cell>
          <cell r="AH917" t="str">
            <v/>
          </cell>
          <cell r="AK917" t="str">
            <v/>
          </cell>
          <cell r="AM917" t="str">
            <v/>
          </cell>
          <cell r="AO917" t="str">
            <v/>
          </cell>
          <cell r="AS917" t="str">
            <v/>
          </cell>
          <cell r="AT917" t="str">
            <v/>
          </cell>
          <cell r="AU917" t="str">
            <v/>
          </cell>
          <cell r="AW917" t="str">
            <v/>
          </cell>
          <cell r="AX917" t="str">
            <v/>
          </cell>
        </row>
        <row r="918">
          <cell r="G918" t="str">
            <v/>
          </cell>
          <cell r="H918" t="str">
            <v/>
          </cell>
          <cell r="M918" t="str">
            <v/>
          </cell>
          <cell r="N918" t="str">
            <v/>
          </cell>
          <cell r="O918" t="str">
            <v/>
          </cell>
          <cell r="T918" t="str">
            <v/>
          </cell>
          <cell r="U918" t="str">
            <v/>
          </cell>
          <cell r="X918" t="str">
            <v/>
          </cell>
          <cell r="AH918" t="str">
            <v/>
          </cell>
          <cell r="AK918" t="str">
            <v/>
          </cell>
          <cell r="AM918" t="str">
            <v/>
          </cell>
          <cell r="AO918" t="str">
            <v/>
          </cell>
          <cell r="AS918" t="str">
            <v/>
          </cell>
          <cell r="AT918" t="str">
            <v/>
          </cell>
          <cell r="AU918" t="str">
            <v/>
          </cell>
          <cell r="AW918" t="str">
            <v/>
          </cell>
          <cell r="AX918" t="str">
            <v/>
          </cell>
        </row>
        <row r="919">
          <cell r="G919" t="str">
            <v/>
          </cell>
          <cell r="H919" t="str">
            <v/>
          </cell>
          <cell r="M919" t="str">
            <v/>
          </cell>
          <cell r="N919" t="str">
            <v/>
          </cell>
          <cell r="O919" t="str">
            <v/>
          </cell>
          <cell r="T919" t="str">
            <v/>
          </cell>
          <cell r="U919" t="str">
            <v/>
          </cell>
          <cell r="X919" t="str">
            <v/>
          </cell>
          <cell r="AH919" t="str">
            <v/>
          </cell>
          <cell r="AK919" t="str">
            <v/>
          </cell>
          <cell r="AM919" t="str">
            <v/>
          </cell>
          <cell r="AO919" t="str">
            <v/>
          </cell>
          <cell r="AS919" t="str">
            <v/>
          </cell>
          <cell r="AT919" t="str">
            <v/>
          </cell>
          <cell r="AU919" t="str">
            <v/>
          </cell>
          <cell r="AW919" t="str">
            <v/>
          </cell>
          <cell r="AX919" t="str">
            <v/>
          </cell>
        </row>
        <row r="920">
          <cell r="G920" t="str">
            <v/>
          </cell>
          <cell r="H920" t="str">
            <v/>
          </cell>
          <cell r="M920" t="str">
            <v/>
          </cell>
          <cell r="N920" t="str">
            <v/>
          </cell>
          <cell r="O920" t="str">
            <v/>
          </cell>
          <cell r="T920" t="str">
            <v/>
          </cell>
          <cell r="U920" t="str">
            <v/>
          </cell>
          <cell r="X920" t="str">
            <v/>
          </cell>
          <cell r="AH920" t="str">
            <v/>
          </cell>
          <cell r="AK920" t="str">
            <v/>
          </cell>
          <cell r="AM920" t="str">
            <v/>
          </cell>
          <cell r="AO920" t="str">
            <v/>
          </cell>
          <cell r="AS920" t="str">
            <v/>
          </cell>
          <cell r="AT920" t="str">
            <v/>
          </cell>
          <cell r="AU920" t="str">
            <v/>
          </cell>
          <cell r="AW920" t="str">
            <v/>
          </cell>
          <cell r="AX920" t="str">
            <v/>
          </cell>
        </row>
        <row r="921">
          <cell r="G921" t="str">
            <v/>
          </cell>
          <cell r="H921" t="str">
            <v/>
          </cell>
          <cell r="M921" t="str">
            <v/>
          </cell>
          <cell r="N921" t="str">
            <v/>
          </cell>
          <cell r="O921" t="str">
            <v/>
          </cell>
          <cell r="T921" t="str">
            <v/>
          </cell>
          <cell r="U921" t="str">
            <v/>
          </cell>
          <cell r="X921" t="str">
            <v/>
          </cell>
          <cell r="AH921" t="str">
            <v/>
          </cell>
          <cell r="AK921" t="str">
            <v/>
          </cell>
          <cell r="AM921" t="str">
            <v/>
          </cell>
          <cell r="AO921" t="str">
            <v/>
          </cell>
          <cell r="AS921" t="str">
            <v/>
          </cell>
          <cell r="AT921" t="str">
            <v/>
          </cell>
          <cell r="AU921" t="str">
            <v/>
          </cell>
          <cell r="AW921" t="str">
            <v/>
          </cell>
          <cell r="AX921" t="str">
            <v/>
          </cell>
        </row>
        <row r="922">
          <cell r="G922" t="str">
            <v/>
          </cell>
          <cell r="H922" t="str">
            <v/>
          </cell>
          <cell r="M922" t="str">
            <v/>
          </cell>
          <cell r="N922" t="str">
            <v/>
          </cell>
          <cell r="O922" t="str">
            <v/>
          </cell>
          <cell r="T922" t="str">
            <v/>
          </cell>
          <cell r="U922" t="str">
            <v/>
          </cell>
          <cell r="X922" t="str">
            <v/>
          </cell>
          <cell r="AH922" t="str">
            <v/>
          </cell>
          <cell r="AK922" t="str">
            <v/>
          </cell>
          <cell r="AM922" t="str">
            <v/>
          </cell>
          <cell r="AO922" t="str">
            <v/>
          </cell>
          <cell r="AS922" t="str">
            <v/>
          </cell>
          <cell r="AT922" t="str">
            <v/>
          </cell>
          <cell r="AU922" t="str">
            <v/>
          </cell>
          <cell r="AW922" t="str">
            <v/>
          </cell>
          <cell r="AX922" t="str">
            <v/>
          </cell>
        </row>
        <row r="923">
          <cell r="G923" t="str">
            <v/>
          </cell>
          <cell r="H923" t="str">
            <v/>
          </cell>
          <cell r="M923" t="str">
            <v/>
          </cell>
          <cell r="N923" t="str">
            <v/>
          </cell>
          <cell r="O923" t="str">
            <v/>
          </cell>
          <cell r="T923" t="str">
            <v/>
          </cell>
          <cell r="U923" t="str">
            <v/>
          </cell>
          <cell r="X923" t="str">
            <v/>
          </cell>
          <cell r="AH923" t="str">
            <v/>
          </cell>
          <cell r="AK923" t="str">
            <v/>
          </cell>
          <cell r="AM923" t="str">
            <v/>
          </cell>
          <cell r="AO923" t="str">
            <v/>
          </cell>
          <cell r="AS923" t="str">
            <v/>
          </cell>
          <cell r="AT923" t="str">
            <v/>
          </cell>
          <cell r="AU923" t="str">
            <v/>
          </cell>
          <cell r="AW923" t="str">
            <v/>
          </cell>
          <cell r="AX923" t="str">
            <v/>
          </cell>
        </row>
        <row r="924">
          <cell r="G924" t="str">
            <v/>
          </cell>
          <cell r="H924" t="str">
            <v/>
          </cell>
          <cell r="M924" t="str">
            <v/>
          </cell>
          <cell r="N924" t="str">
            <v/>
          </cell>
          <cell r="O924" t="str">
            <v/>
          </cell>
          <cell r="T924" t="str">
            <v/>
          </cell>
          <cell r="U924" t="str">
            <v/>
          </cell>
          <cell r="X924" t="str">
            <v/>
          </cell>
          <cell r="AH924" t="str">
            <v/>
          </cell>
          <cell r="AK924" t="str">
            <v/>
          </cell>
          <cell r="AM924" t="str">
            <v/>
          </cell>
          <cell r="AO924" t="str">
            <v/>
          </cell>
          <cell r="AS924" t="str">
            <v/>
          </cell>
          <cell r="AT924" t="str">
            <v/>
          </cell>
          <cell r="AU924" t="str">
            <v/>
          </cell>
          <cell r="AW924" t="str">
            <v/>
          </cell>
          <cell r="AX924" t="str">
            <v/>
          </cell>
        </row>
        <row r="925">
          <cell r="G925" t="str">
            <v/>
          </cell>
          <cell r="H925" t="str">
            <v/>
          </cell>
          <cell r="M925" t="str">
            <v/>
          </cell>
          <cell r="N925" t="str">
            <v/>
          </cell>
          <cell r="O925" t="str">
            <v/>
          </cell>
          <cell r="T925" t="str">
            <v/>
          </cell>
          <cell r="U925" t="str">
            <v/>
          </cell>
          <cell r="X925" t="str">
            <v/>
          </cell>
          <cell r="AH925" t="str">
            <v/>
          </cell>
          <cell r="AK925" t="str">
            <v/>
          </cell>
          <cell r="AM925" t="str">
            <v/>
          </cell>
          <cell r="AO925" t="str">
            <v/>
          </cell>
          <cell r="AS925" t="str">
            <v/>
          </cell>
          <cell r="AT925" t="str">
            <v/>
          </cell>
          <cell r="AU925" t="str">
            <v/>
          </cell>
          <cell r="AW925" t="str">
            <v/>
          </cell>
          <cell r="AX925" t="str">
            <v/>
          </cell>
        </row>
        <row r="926">
          <cell r="G926" t="str">
            <v/>
          </cell>
          <cell r="H926" t="str">
            <v/>
          </cell>
          <cell r="M926" t="str">
            <v/>
          </cell>
          <cell r="N926" t="str">
            <v/>
          </cell>
          <cell r="O926" t="str">
            <v/>
          </cell>
          <cell r="T926" t="str">
            <v/>
          </cell>
          <cell r="U926" t="str">
            <v/>
          </cell>
          <cell r="X926" t="str">
            <v/>
          </cell>
          <cell r="AH926" t="str">
            <v/>
          </cell>
          <cell r="AK926" t="str">
            <v/>
          </cell>
          <cell r="AM926" t="str">
            <v/>
          </cell>
          <cell r="AO926" t="str">
            <v/>
          </cell>
          <cell r="AS926" t="str">
            <v/>
          </cell>
          <cell r="AT926" t="str">
            <v/>
          </cell>
          <cell r="AU926" t="str">
            <v/>
          </cell>
          <cell r="AW926" t="str">
            <v/>
          </cell>
          <cell r="AX926" t="str">
            <v/>
          </cell>
        </row>
        <row r="927">
          <cell r="G927" t="str">
            <v/>
          </cell>
          <cell r="H927" t="str">
            <v/>
          </cell>
          <cell r="M927" t="str">
            <v/>
          </cell>
          <cell r="N927" t="str">
            <v/>
          </cell>
          <cell r="O927" t="str">
            <v/>
          </cell>
          <cell r="T927" t="str">
            <v/>
          </cell>
          <cell r="U927" t="str">
            <v/>
          </cell>
          <cell r="X927" t="str">
            <v/>
          </cell>
          <cell r="AH927" t="str">
            <v/>
          </cell>
          <cell r="AK927" t="str">
            <v/>
          </cell>
          <cell r="AM927" t="str">
            <v/>
          </cell>
          <cell r="AO927" t="str">
            <v/>
          </cell>
          <cell r="AS927" t="str">
            <v/>
          </cell>
          <cell r="AT927" t="str">
            <v/>
          </cell>
          <cell r="AU927" t="str">
            <v/>
          </cell>
          <cell r="AW927" t="str">
            <v/>
          </cell>
          <cell r="AX927" t="str">
            <v/>
          </cell>
        </row>
        <row r="928">
          <cell r="G928" t="str">
            <v/>
          </cell>
          <cell r="H928" t="str">
            <v/>
          </cell>
          <cell r="M928" t="str">
            <v/>
          </cell>
          <cell r="N928" t="str">
            <v/>
          </cell>
          <cell r="O928" t="str">
            <v/>
          </cell>
          <cell r="T928" t="str">
            <v/>
          </cell>
          <cell r="U928" t="str">
            <v/>
          </cell>
          <cell r="X928" t="str">
            <v/>
          </cell>
          <cell r="AH928" t="str">
            <v/>
          </cell>
          <cell r="AK928" t="str">
            <v/>
          </cell>
          <cell r="AM928" t="str">
            <v/>
          </cell>
          <cell r="AO928" t="str">
            <v/>
          </cell>
          <cell r="AS928" t="str">
            <v/>
          </cell>
          <cell r="AT928" t="str">
            <v/>
          </cell>
          <cell r="AU928" t="str">
            <v/>
          </cell>
          <cell r="AW928" t="str">
            <v/>
          </cell>
          <cell r="AX928" t="str">
            <v/>
          </cell>
        </row>
        <row r="929">
          <cell r="G929" t="str">
            <v/>
          </cell>
          <cell r="H929" t="str">
            <v/>
          </cell>
          <cell r="M929" t="str">
            <v/>
          </cell>
          <cell r="N929" t="str">
            <v/>
          </cell>
          <cell r="O929" t="str">
            <v/>
          </cell>
          <cell r="T929" t="str">
            <v/>
          </cell>
          <cell r="U929" t="str">
            <v/>
          </cell>
          <cell r="X929" t="str">
            <v/>
          </cell>
          <cell r="AH929" t="str">
            <v/>
          </cell>
          <cell r="AK929" t="str">
            <v/>
          </cell>
          <cell r="AM929" t="str">
            <v/>
          </cell>
          <cell r="AO929" t="str">
            <v/>
          </cell>
          <cell r="AS929" t="str">
            <v/>
          </cell>
          <cell r="AT929" t="str">
            <v/>
          </cell>
          <cell r="AU929" t="str">
            <v/>
          </cell>
          <cell r="AW929" t="str">
            <v/>
          </cell>
          <cell r="AX929" t="str">
            <v/>
          </cell>
        </row>
        <row r="930">
          <cell r="G930" t="str">
            <v/>
          </cell>
          <cell r="H930" t="str">
            <v/>
          </cell>
          <cell r="M930" t="str">
            <v/>
          </cell>
          <cell r="N930" t="str">
            <v/>
          </cell>
          <cell r="O930" t="str">
            <v/>
          </cell>
          <cell r="T930" t="str">
            <v/>
          </cell>
          <cell r="U930" t="str">
            <v/>
          </cell>
          <cell r="X930" t="str">
            <v/>
          </cell>
          <cell r="AH930" t="str">
            <v/>
          </cell>
          <cell r="AK930" t="str">
            <v/>
          </cell>
          <cell r="AM930" t="str">
            <v/>
          </cell>
          <cell r="AO930" t="str">
            <v/>
          </cell>
          <cell r="AS930" t="str">
            <v/>
          </cell>
          <cell r="AT930" t="str">
            <v/>
          </cell>
          <cell r="AU930" t="str">
            <v/>
          </cell>
          <cell r="AW930" t="str">
            <v/>
          </cell>
          <cell r="AX930" t="str">
            <v/>
          </cell>
        </row>
        <row r="931">
          <cell r="G931" t="str">
            <v/>
          </cell>
          <cell r="H931" t="str">
            <v/>
          </cell>
          <cell r="M931" t="str">
            <v/>
          </cell>
          <cell r="N931" t="str">
            <v/>
          </cell>
          <cell r="O931" t="str">
            <v/>
          </cell>
          <cell r="T931" t="str">
            <v/>
          </cell>
          <cell r="U931" t="str">
            <v/>
          </cell>
          <cell r="X931" t="str">
            <v/>
          </cell>
          <cell r="AH931" t="str">
            <v/>
          </cell>
          <cell r="AK931" t="str">
            <v/>
          </cell>
          <cell r="AM931" t="str">
            <v/>
          </cell>
          <cell r="AO931" t="str">
            <v/>
          </cell>
          <cell r="AS931" t="str">
            <v/>
          </cell>
          <cell r="AT931" t="str">
            <v/>
          </cell>
          <cell r="AU931" t="str">
            <v/>
          </cell>
          <cell r="AW931" t="str">
            <v/>
          </cell>
          <cell r="AX931" t="str">
            <v/>
          </cell>
        </row>
        <row r="932">
          <cell r="G932" t="str">
            <v/>
          </cell>
          <cell r="H932" t="str">
            <v/>
          </cell>
          <cell r="M932" t="str">
            <v/>
          </cell>
          <cell r="N932" t="str">
            <v/>
          </cell>
          <cell r="O932" t="str">
            <v/>
          </cell>
          <cell r="T932" t="str">
            <v/>
          </cell>
          <cell r="U932" t="str">
            <v/>
          </cell>
          <cell r="X932" t="str">
            <v/>
          </cell>
          <cell r="AH932" t="str">
            <v/>
          </cell>
          <cell r="AK932" t="str">
            <v/>
          </cell>
          <cell r="AM932" t="str">
            <v/>
          </cell>
          <cell r="AO932" t="str">
            <v/>
          </cell>
          <cell r="AS932" t="str">
            <v/>
          </cell>
          <cell r="AT932" t="str">
            <v/>
          </cell>
          <cell r="AU932" t="str">
            <v/>
          </cell>
          <cell r="AW932" t="str">
            <v/>
          </cell>
          <cell r="AX932" t="str">
            <v/>
          </cell>
        </row>
        <row r="933">
          <cell r="G933" t="str">
            <v/>
          </cell>
          <cell r="H933" t="str">
            <v/>
          </cell>
          <cell r="M933" t="str">
            <v/>
          </cell>
          <cell r="N933" t="str">
            <v/>
          </cell>
          <cell r="O933" t="str">
            <v/>
          </cell>
          <cell r="T933" t="str">
            <v/>
          </cell>
          <cell r="U933" t="str">
            <v/>
          </cell>
          <cell r="X933" t="str">
            <v/>
          </cell>
          <cell r="AH933" t="str">
            <v/>
          </cell>
          <cell r="AK933" t="str">
            <v/>
          </cell>
          <cell r="AM933" t="str">
            <v/>
          </cell>
          <cell r="AO933" t="str">
            <v/>
          </cell>
          <cell r="AS933" t="str">
            <v/>
          </cell>
          <cell r="AT933" t="str">
            <v/>
          </cell>
          <cell r="AU933" t="str">
            <v/>
          </cell>
          <cell r="AW933" t="str">
            <v/>
          </cell>
          <cell r="AX933" t="str">
            <v/>
          </cell>
        </row>
        <row r="934">
          <cell r="G934" t="str">
            <v/>
          </cell>
          <cell r="H934" t="str">
            <v/>
          </cell>
          <cell r="M934" t="str">
            <v/>
          </cell>
          <cell r="N934" t="str">
            <v/>
          </cell>
          <cell r="O934" t="str">
            <v/>
          </cell>
          <cell r="T934" t="str">
            <v/>
          </cell>
          <cell r="U934" t="str">
            <v/>
          </cell>
          <cell r="X934" t="str">
            <v/>
          </cell>
          <cell r="AH934" t="str">
            <v/>
          </cell>
          <cell r="AK934" t="str">
            <v/>
          </cell>
          <cell r="AM934" t="str">
            <v/>
          </cell>
          <cell r="AO934" t="str">
            <v/>
          </cell>
          <cell r="AS934" t="str">
            <v/>
          </cell>
          <cell r="AT934" t="str">
            <v/>
          </cell>
          <cell r="AU934" t="str">
            <v/>
          </cell>
          <cell r="AW934" t="str">
            <v/>
          </cell>
          <cell r="AX934" t="str">
            <v/>
          </cell>
        </row>
        <row r="935">
          <cell r="G935" t="str">
            <v/>
          </cell>
          <cell r="H935" t="str">
            <v/>
          </cell>
          <cell r="M935" t="str">
            <v/>
          </cell>
          <cell r="N935" t="str">
            <v/>
          </cell>
          <cell r="O935" t="str">
            <v/>
          </cell>
          <cell r="T935" t="str">
            <v/>
          </cell>
          <cell r="U935" t="str">
            <v/>
          </cell>
          <cell r="X935" t="str">
            <v/>
          </cell>
          <cell r="AH935" t="str">
            <v/>
          </cell>
          <cell r="AK935" t="str">
            <v/>
          </cell>
          <cell r="AM935" t="str">
            <v/>
          </cell>
          <cell r="AO935" t="str">
            <v/>
          </cell>
          <cell r="AS935" t="str">
            <v/>
          </cell>
          <cell r="AT935" t="str">
            <v/>
          </cell>
          <cell r="AU935" t="str">
            <v/>
          </cell>
          <cell r="AW935" t="str">
            <v/>
          </cell>
          <cell r="AX935" t="str">
            <v/>
          </cell>
        </row>
        <row r="936">
          <cell r="G936" t="str">
            <v/>
          </cell>
          <cell r="H936" t="str">
            <v/>
          </cell>
          <cell r="M936" t="str">
            <v/>
          </cell>
          <cell r="N936" t="str">
            <v/>
          </cell>
          <cell r="O936" t="str">
            <v/>
          </cell>
          <cell r="T936" t="str">
            <v/>
          </cell>
          <cell r="U936" t="str">
            <v/>
          </cell>
          <cell r="X936" t="str">
            <v/>
          </cell>
          <cell r="AH936" t="str">
            <v/>
          </cell>
          <cell r="AK936" t="str">
            <v/>
          </cell>
          <cell r="AM936" t="str">
            <v/>
          </cell>
          <cell r="AO936" t="str">
            <v/>
          </cell>
          <cell r="AS936" t="str">
            <v/>
          </cell>
          <cell r="AT936" t="str">
            <v/>
          </cell>
          <cell r="AU936" t="str">
            <v/>
          </cell>
          <cell r="AW936" t="str">
            <v/>
          </cell>
          <cell r="AX936" t="str">
            <v/>
          </cell>
        </row>
        <row r="937">
          <cell r="G937" t="str">
            <v/>
          </cell>
          <cell r="H937" t="str">
            <v/>
          </cell>
          <cell r="M937" t="str">
            <v/>
          </cell>
          <cell r="N937" t="str">
            <v/>
          </cell>
          <cell r="O937" t="str">
            <v/>
          </cell>
          <cell r="T937" t="str">
            <v/>
          </cell>
          <cell r="U937" t="str">
            <v/>
          </cell>
          <cell r="X937" t="str">
            <v/>
          </cell>
          <cell r="AH937" t="str">
            <v/>
          </cell>
          <cell r="AK937" t="str">
            <v/>
          </cell>
          <cell r="AM937" t="str">
            <v/>
          </cell>
          <cell r="AO937" t="str">
            <v/>
          </cell>
          <cell r="AS937" t="str">
            <v/>
          </cell>
          <cell r="AT937" t="str">
            <v/>
          </cell>
          <cell r="AU937" t="str">
            <v/>
          </cell>
          <cell r="AW937" t="str">
            <v/>
          </cell>
          <cell r="AX937" t="str">
            <v/>
          </cell>
        </row>
        <row r="938">
          <cell r="G938" t="str">
            <v/>
          </cell>
          <cell r="H938" t="str">
            <v/>
          </cell>
          <cell r="M938" t="str">
            <v/>
          </cell>
          <cell r="N938" t="str">
            <v/>
          </cell>
          <cell r="O938" t="str">
            <v/>
          </cell>
          <cell r="T938" t="str">
            <v/>
          </cell>
          <cell r="U938" t="str">
            <v/>
          </cell>
          <cell r="X938" t="str">
            <v/>
          </cell>
          <cell r="AH938" t="str">
            <v/>
          </cell>
          <cell r="AK938" t="str">
            <v/>
          </cell>
          <cell r="AM938" t="str">
            <v/>
          </cell>
          <cell r="AO938" t="str">
            <v/>
          </cell>
          <cell r="AS938" t="str">
            <v/>
          </cell>
          <cell r="AT938" t="str">
            <v/>
          </cell>
          <cell r="AU938" t="str">
            <v/>
          </cell>
          <cell r="AW938" t="str">
            <v/>
          </cell>
          <cell r="AX938" t="str">
            <v/>
          </cell>
        </row>
        <row r="939">
          <cell r="G939" t="str">
            <v/>
          </cell>
          <cell r="H939" t="str">
            <v/>
          </cell>
          <cell r="M939" t="str">
            <v/>
          </cell>
          <cell r="N939" t="str">
            <v/>
          </cell>
          <cell r="O939" t="str">
            <v/>
          </cell>
          <cell r="T939" t="str">
            <v/>
          </cell>
          <cell r="U939" t="str">
            <v/>
          </cell>
          <cell r="X939" t="str">
            <v/>
          </cell>
          <cell r="AH939" t="str">
            <v/>
          </cell>
          <cell r="AK939" t="str">
            <v/>
          </cell>
          <cell r="AM939" t="str">
            <v/>
          </cell>
          <cell r="AO939" t="str">
            <v/>
          </cell>
          <cell r="AS939" t="str">
            <v/>
          </cell>
          <cell r="AT939" t="str">
            <v/>
          </cell>
          <cell r="AU939" t="str">
            <v/>
          </cell>
          <cell r="AW939" t="str">
            <v/>
          </cell>
          <cell r="AX939" t="str">
            <v/>
          </cell>
        </row>
        <row r="940">
          <cell r="G940" t="str">
            <v/>
          </cell>
          <cell r="H940" t="str">
            <v/>
          </cell>
          <cell r="M940" t="str">
            <v/>
          </cell>
          <cell r="N940" t="str">
            <v/>
          </cell>
          <cell r="O940" t="str">
            <v/>
          </cell>
          <cell r="T940" t="str">
            <v/>
          </cell>
          <cell r="U940" t="str">
            <v/>
          </cell>
          <cell r="X940" t="str">
            <v/>
          </cell>
          <cell r="AH940" t="str">
            <v/>
          </cell>
          <cell r="AK940" t="str">
            <v/>
          </cell>
          <cell r="AM940" t="str">
            <v/>
          </cell>
          <cell r="AO940" t="str">
            <v/>
          </cell>
          <cell r="AS940" t="str">
            <v/>
          </cell>
          <cell r="AT940" t="str">
            <v/>
          </cell>
          <cell r="AU940" t="str">
            <v/>
          </cell>
          <cell r="AW940" t="str">
            <v/>
          </cell>
          <cell r="AX940" t="str">
            <v/>
          </cell>
        </row>
        <row r="941">
          <cell r="G941" t="str">
            <v/>
          </cell>
          <cell r="H941" t="str">
            <v/>
          </cell>
          <cell r="M941" t="str">
            <v/>
          </cell>
          <cell r="N941" t="str">
            <v/>
          </cell>
          <cell r="O941" t="str">
            <v/>
          </cell>
          <cell r="T941" t="str">
            <v/>
          </cell>
          <cell r="U941" t="str">
            <v/>
          </cell>
          <cell r="X941" t="str">
            <v/>
          </cell>
          <cell r="AH941" t="str">
            <v/>
          </cell>
          <cell r="AK941" t="str">
            <v/>
          </cell>
          <cell r="AM941" t="str">
            <v/>
          </cell>
          <cell r="AO941" t="str">
            <v/>
          </cell>
          <cell r="AS941" t="str">
            <v/>
          </cell>
          <cell r="AT941" t="str">
            <v/>
          </cell>
          <cell r="AU941" t="str">
            <v/>
          </cell>
          <cell r="AW941" t="str">
            <v/>
          </cell>
          <cell r="AX941" t="str">
            <v/>
          </cell>
        </row>
        <row r="942">
          <cell r="G942" t="str">
            <v/>
          </cell>
          <cell r="H942" t="str">
            <v/>
          </cell>
          <cell r="M942" t="str">
            <v/>
          </cell>
          <cell r="N942" t="str">
            <v/>
          </cell>
          <cell r="O942" t="str">
            <v/>
          </cell>
          <cell r="T942" t="str">
            <v/>
          </cell>
          <cell r="U942" t="str">
            <v/>
          </cell>
          <cell r="X942" t="str">
            <v/>
          </cell>
          <cell r="AH942" t="str">
            <v/>
          </cell>
          <cell r="AK942" t="str">
            <v/>
          </cell>
          <cell r="AM942" t="str">
            <v/>
          </cell>
          <cell r="AO942" t="str">
            <v/>
          </cell>
          <cell r="AS942" t="str">
            <v/>
          </cell>
          <cell r="AT942" t="str">
            <v/>
          </cell>
          <cell r="AU942" t="str">
            <v/>
          </cell>
          <cell r="AW942" t="str">
            <v/>
          </cell>
          <cell r="AX942" t="str">
            <v/>
          </cell>
        </row>
        <row r="943">
          <cell r="G943" t="str">
            <v/>
          </cell>
          <cell r="H943" t="str">
            <v/>
          </cell>
          <cell r="M943" t="str">
            <v/>
          </cell>
          <cell r="N943" t="str">
            <v/>
          </cell>
          <cell r="O943" t="str">
            <v/>
          </cell>
          <cell r="T943" t="str">
            <v/>
          </cell>
          <cell r="U943" t="str">
            <v/>
          </cell>
          <cell r="X943" t="str">
            <v/>
          </cell>
          <cell r="AH943" t="str">
            <v/>
          </cell>
          <cell r="AK943" t="str">
            <v/>
          </cell>
          <cell r="AM943" t="str">
            <v/>
          </cell>
          <cell r="AO943" t="str">
            <v/>
          </cell>
          <cell r="AS943" t="str">
            <v/>
          </cell>
          <cell r="AT943" t="str">
            <v/>
          </cell>
          <cell r="AU943" t="str">
            <v/>
          </cell>
          <cell r="AW943" t="str">
            <v/>
          </cell>
          <cell r="AX943" t="str">
            <v/>
          </cell>
        </row>
        <row r="944">
          <cell r="G944" t="str">
            <v/>
          </cell>
          <cell r="H944" t="str">
            <v/>
          </cell>
          <cell r="M944" t="str">
            <v/>
          </cell>
          <cell r="N944" t="str">
            <v/>
          </cell>
          <cell r="O944" t="str">
            <v/>
          </cell>
          <cell r="T944" t="str">
            <v/>
          </cell>
          <cell r="U944" t="str">
            <v/>
          </cell>
          <cell r="X944" t="str">
            <v/>
          </cell>
          <cell r="AH944" t="str">
            <v/>
          </cell>
          <cell r="AK944" t="str">
            <v/>
          </cell>
          <cell r="AM944" t="str">
            <v/>
          </cell>
          <cell r="AO944" t="str">
            <v/>
          </cell>
          <cell r="AS944" t="str">
            <v/>
          </cell>
          <cell r="AT944" t="str">
            <v/>
          </cell>
          <cell r="AU944" t="str">
            <v/>
          </cell>
          <cell r="AW944" t="str">
            <v/>
          </cell>
          <cell r="AX944" t="str">
            <v/>
          </cell>
        </row>
        <row r="945">
          <cell r="G945" t="str">
            <v/>
          </cell>
          <cell r="H945" t="str">
            <v/>
          </cell>
          <cell r="M945" t="str">
            <v/>
          </cell>
          <cell r="N945" t="str">
            <v/>
          </cell>
          <cell r="O945" t="str">
            <v/>
          </cell>
          <cell r="T945" t="str">
            <v/>
          </cell>
          <cell r="U945" t="str">
            <v/>
          </cell>
          <cell r="X945" t="str">
            <v/>
          </cell>
          <cell r="AH945" t="str">
            <v/>
          </cell>
          <cell r="AK945" t="str">
            <v/>
          </cell>
          <cell r="AM945" t="str">
            <v/>
          </cell>
          <cell r="AO945" t="str">
            <v/>
          </cell>
          <cell r="AS945" t="str">
            <v/>
          </cell>
          <cell r="AT945" t="str">
            <v/>
          </cell>
          <cell r="AU945" t="str">
            <v/>
          </cell>
          <cell r="AW945" t="str">
            <v/>
          </cell>
          <cell r="AX945" t="str">
            <v/>
          </cell>
        </row>
        <row r="946">
          <cell r="G946" t="str">
            <v/>
          </cell>
          <cell r="H946" t="str">
            <v/>
          </cell>
          <cell r="M946" t="str">
            <v/>
          </cell>
          <cell r="N946" t="str">
            <v/>
          </cell>
          <cell r="O946" t="str">
            <v/>
          </cell>
          <cell r="T946" t="str">
            <v/>
          </cell>
          <cell r="U946" t="str">
            <v/>
          </cell>
          <cell r="X946" t="str">
            <v/>
          </cell>
          <cell r="AH946" t="str">
            <v/>
          </cell>
          <cell r="AK946" t="str">
            <v/>
          </cell>
          <cell r="AM946" t="str">
            <v/>
          </cell>
          <cell r="AO946" t="str">
            <v/>
          </cell>
          <cell r="AS946" t="str">
            <v/>
          </cell>
          <cell r="AT946" t="str">
            <v/>
          </cell>
          <cell r="AU946" t="str">
            <v/>
          </cell>
          <cell r="AW946" t="str">
            <v/>
          </cell>
          <cell r="AX946" t="str">
            <v/>
          </cell>
        </row>
        <row r="947">
          <cell r="G947" t="str">
            <v/>
          </cell>
          <cell r="H947" t="str">
            <v/>
          </cell>
          <cell r="M947" t="str">
            <v/>
          </cell>
          <cell r="N947" t="str">
            <v/>
          </cell>
          <cell r="O947" t="str">
            <v/>
          </cell>
          <cell r="T947" t="str">
            <v/>
          </cell>
          <cell r="U947" t="str">
            <v/>
          </cell>
          <cell r="X947" t="str">
            <v/>
          </cell>
          <cell r="AH947" t="str">
            <v/>
          </cell>
          <cell r="AK947" t="str">
            <v/>
          </cell>
          <cell r="AM947" t="str">
            <v/>
          </cell>
          <cell r="AO947" t="str">
            <v/>
          </cell>
          <cell r="AS947" t="str">
            <v/>
          </cell>
          <cell r="AT947" t="str">
            <v/>
          </cell>
          <cell r="AU947" t="str">
            <v/>
          </cell>
          <cell r="AW947" t="str">
            <v/>
          </cell>
          <cell r="AX947" t="str">
            <v/>
          </cell>
        </row>
        <row r="948">
          <cell r="G948" t="str">
            <v/>
          </cell>
          <cell r="H948" t="str">
            <v/>
          </cell>
          <cell r="M948" t="str">
            <v/>
          </cell>
          <cell r="N948" t="str">
            <v/>
          </cell>
          <cell r="O948" t="str">
            <v/>
          </cell>
          <cell r="T948" t="str">
            <v/>
          </cell>
          <cell r="U948" t="str">
            <v/>
          </cell>
          <cell r="X948" t="str">
            <v/>
          </cell>
          <cell r="AH948" t="str">
            <v/>
          </cell>
          <cell r="AK948" t="str">
            <v/>
          </cell>
          <cell r="AM948" t="str">
            <v/>
          </cell>
          <cell r="AO948" t="str">
            <v/>
          </cell>
          <cell r="AS948" t="str">
            <v/>
          </cell>
          <cell r="AT948" t="str">
            <v/>
          </cell>
          <cell r="AU948" t="str">
            <v/>
          </cell>
          <cell r="AW948" t="str">
            <v/>
          </cell>
          <cell r="AX948" t="str">
            <v/>
          </cell>
        </row>
        <row r="949">
          <cell r="G949" t="str">
            <v/>
          </cell>
          <cell r="H949" t="str">
            <v/>
          </cell>
          <cell r="M949" t="str">
            <v/>
          </cell>
          <cell r="N949" t="str">
            <v/>
          </cell>
          <cell r="O949" t="str">
            <v/>
          </cell>
          <cell r="T949" t="str">
            <v/>
          </cell>
          <cell r="U949" t="str">
            <v/>
          </cell>
          <cell r="X949" t="str">
            <v/>
          </cell>
          <cell r="AH949" t="str">
            <v/>
          </cell>
          <cell r="AK949" t="str">
            <v/>
          </cell>
          <cell r="AM949" t="str">
            <v/>
          </cell>
          <cell r="AO949" t="str">
            <v/>
          </cell>
          <cell r="AS949" t="str">
            <v/>
          </cell>
          <cell r="AT949" t="str">
            <v/>
          </cell>
          <cell r="AU949" t="str">
            <v/>
          </cell>
          <cell r="AW949" t="str">
            <v/>
          </cell>
          <cell r="AX949" t="str">
            <v/>
          </cell>
        </row>
        <row r="950">
          <cell r="G950" t="str">
            <v/>
          </cell>
          <cell r="H950" t="str">
            <v/>
          </cell>
          <cell r="M950" t="str">
            <v/>
          </cell>
          <cell r="N950" t="str">
            <v/>
          </cell>
          <cell r="O950" t="str">
            <v/>
          </cell>
          <cell r="T950" t="str">
            <v/>
          </cell>
          <cell r="U950" t="str">
            <v/>
          </cell>
          <cell r="X950" t="str">
            <v/>
          </cell>
          <cell r="AH950" t="str">
            <v/>
          </cell>
          <cell r="AK950" t="str">
            <v/>
          </cell>
          <cell r="AM950" t="str">
            <v/>
          </cell>
          <cell r="AO950" t="str">
            <v/>
          </cell>
          <cell r="AS950" t="str">
            <v/>
          </cell>
          <cell r="AT950" t="str">
            <v/>
          </cell>
          <cell r="AU950" t="str">
            <v/>
          </cell>
          <cell r="AW950" t="str">
            <v/>
          </cell>
          <cell r="AX950" t="str">
            <v/>
          </cell>
        </row>
        <row r="951">
          <cell r="G951" t="str">
            <v/>
          </cell>
          <cell r="H951" t="str">
            <v/>
          </cell>
          <cell r="M951" t="str">
            <v/>
          </cell>
          <cell r="N951" t="str">
            <v/>
          </cell>
          <cell r="O951" t="str">
            <v/>
          </cell>
          <cell r="T951" t="str">
            <v/>
          </cell>
          <cell r="U951" t="str">
            <v/>
          </cell>
          <cell r="X951" t="str">
            <v/>
          </cell>
          <cell r="AH951" t="str">
            <v/>
          </cell>
          <cell r="AK951" t="str">
            <v/>
          </cell>
          <cell r="AM951" t="str">
            <v/>
          </cell>
          <cell r="AO951" t="str">
            <v/>
          </cell>
          <cell r="AS951" t="str">
            <v/>
          </cell>
          <cell r="AT951" t="str">
            <v/>
          </cell>
          <cell r="AU951" t="str">
            <v/>
          </cell>
          <cell r="AW951" t="str">
            <v/>
          </cell>
          <cell r="AX951" t="str">
            <v/>
          </cell>
        </row>
        <row r="952">
          <cell r="G952" t="str">
            <v/>
          </cell>
          <cell r="H952" t="str">
            <v/>
          </cell>
          <cell r="M952" t="str">
            <v/>
          </cell>
          <cell r="N952" t="str">
            <v/>
          </cell>
          <cell r="O952" t="str">
            <v/>
          </cell>
          <cell r="T952" t="str">
            <v/>
          </cell>
          <cell r="U952" t="str">
            <v/>
          </cell>
          <cell r="X952" t="str">
            <v/>
          </cell>
          <cell r="AH952" t="str">
            <v/>
          </cell>
          <cell r="AK952" t="str">
            <v/>
          </cell>
          <cell r="AM952" t="str">
            <v/>
          </cell>
          <cell r="AO952" t="str">
            <v/>
          </cell>
          <cell r="AS952" t="str">
            <v/>
          </cell>
          <cell r="AT952" t="str">
            <v/>
          </cell>
          <cell r="AU952" t="str">
            <v/>
          </cell>
          <cell r="AW952" t="str">
            <v/>
          </cell>
          <cell r="AX952" t="str">
            <v/>
          </cell>
        </row>
        <row r="953">
          <cell r="G953" t="str">
            <v/>
          </cell>
          <cell r="H953" t="str">
            <v/>
          </cell>
          <cell r="M953" t="str">
            <v/>
          </cell>
          <cell r="N953" t="str">
            <v/>
          </cell>
          <cell r="O953" t="str">
            <v/>
          </cell>
          <cell r="T953" t="str">
            <v/>
          </cell>
          <cell r="U953" t="str">
            <v/>
          </cell>
          <cell r="X953" t="str">
            <v/>
          </cell>
          <cell r="AH953" t="str">
            <v/>
          </cell>
          <cell r="AK953" t="str">
            <v/>
          </cell>
          <cell r="AM953" t="str">
            <v/>
          </cell>
          <cell r="AO953" t="str">
            <v/>
          </cell>
          <cell r="AS953" t="str">
            <v/>
          </cell>
          <cell r="AT953" t="str">
            <v/>
          </cell>
          <cell r="AU953" t="str">
            <v/>
          </cell>
          <cell r="AW953" t="str">
            <v/>
          </cell>
          <cell r="AX953" t="str">
            <v/>
          </cell>
        </row>
        <row r="954">
          <cell r="G954" t="str">
            <v/>
          </cell>
          <cell r="H954" t="str">
            <v/>
          </cell>
          <cell r="M954" t="str">
            <v/>
          </cell>
          <cell r="N954" t="str">
            <v/>
          </cell>
          <cell r="O954" t="str">
            <v/>
          </cell>
          <cell r="T954" t="str">
            <v/>
          </cell>
          <cell r="U954" t="str">
            <v/>
          </cell>
          <cell r="X954" t="str">
            <v/>
          </cell>
          <cell r="AH954" t="str">
            <v/>
          </cell>
          <cell r="AK954" t="str">
            <v/>
          </cell>
          <cell r="AM954" t="str">
            <v/>
          </cell>
          <cell r="AO954" t="str">
            <v/>
          </cell>
          <cell r="AS954" t="str">
            <v/>
          </cell>
          <cell r="AT954" t="str">
            <v/>
          </cell>
          <cell r="AU954" t="str">
            <v/>
          </cell>
          <cell r="AW954" t="str">
            <v/>
          </cell>
          <cell r="AX954" t="str">
            <v/>
          </cell>
        </row>
        <row r="955">
          <cell r="G955" t="str">
            <v/>
          </cell>
          <cell r="H955" t="str">
            <v/>
          </cell>
          <cell r="M955" t="str">
            <v/>
          </cell>
          <cell r="N955" t="str">
            <v/>
          </cell>
          <cell r="O955" t="str">
            <v/>
          </cell>
          <cell r="T955" t="str">
            <v/>
          </cell>
          <cell r="U955" t="str">
            <v/>
          </cell>
          <cell r="X955" t="str">
            <v/>
          </cell>
          <cell r="AH955" t="str">
            <v/>
          </cell>
          <cell r="AK955" t="str">
            <v/>
          </cell>
          <cell r="AM955" t="str">
            <v/>
          </cell>
          <cell r="AO955" t="str">
            <v/>
          </cell>
          <cell r="AS955" t="str">
            <v/>
          </cell>
          <cell r="AT955" t="str">
            <v/>
          </cell>
          <cell r="AU955" t="str">
            <v/>
          </cell>
          <cell r="AW955" t="str">
            <v/>
          </cell>
          <cell r="AX955" t="str">
            <v/>
          </cell>
        </row>
        <row r="956">
          <cell r="G956" t="str">
            <v/>
          </cell>
          <cell r="H956" t="str">
            <v/>
          </cell>
          <cell r="M956" t="str">
            <v/>
          </cell>
          <cell r="N956" t="str">
            <v/>
          </cell>
          <cell r="O956" t="str">
            <v/>
          </cell>
          <cell r="T956" t="str">
            <v/>
          </cell>
          <cell r="U956" t="str">
            <v/>
          </cell>
          <cell r="X956" t="str">
            <v/>
          </cell>
          <cell r="AH956" t="str">
            <v/>
          </cell>
          <cell r="AK956" t="str">
            <v/>
          </cell>
          <cell r="AM956" t="str">
            <v/>
          </cell>
          <cell r="AO956" t="str">
            <v/>
          </cell>
          <cell r="AS956" t="str">
            <v/>
          </cell>
          <cell r="AT956" t="str">
            <v/>
          </cell>
          <cell r="AU956" t="str">
            <v/>
          </cell>
          <cell r="AW956" t="str">
            <v/>
          </cell>
          <cell r="AX956" t="str">
            <v/>
          </cell>
        </row>
        <row r="957">
          <cell r="G957" t="str">
            <v/>
          </cell>
          <cell r="H957" t="str">
            <v/>
          </cell>
          <cell r="M957" t="str">
            <v/>
          </cell>
          <cell r="N957" t="str">
            <v/>
          </cell>
          <cell r="O957" t="str">
            <v/>
          </cell>
          <cell r="T957" t="str">
            <v/>
          </cell>
          <cell r="U957" t="str">
            <v/>
          </cell>
          <cell r="X957" t="str">
            <v/>
          </cell>
          <cell r="AH957" t="str">
            <v/>
          </cell>
          <cell r="AK957" t="str">
            <v/>
          </cell>
          <cell r="AM957" t="str">
            <v/>
          </cell>
          <cell r="AO957" t="str">
            <v/>
          </cell>
          <cell r="AS957" t="str">
            <v/>
          </cell>
          <cell r="AT957" t="str">
            <v/>
          </cell>
          <cell r="AU957" t="str">
            <v/>
          </cell>
          <cell r="AW957" t="str">
            <v/>
          </cell>
          <cell r="AX957" t="str">
            <v/>
          </cell>
        </row>
        <row r="958">
          <cell r="G958" t="str">
            <v/>
          </cell>
          <cell r="H958" t="str">
            <v/>
          </cell>
          <cell r="M958" t="str">
            <v/>
          </cell>
          <cell r="N958" t="str">
            <v/>
          </cell>
          <cell r="O958" t="str">
            <v/>
          </cell>
          <cell r="T958" t="str">
            <v/>
          </cell>
          <cell r="U958" t="str">
            <v/>
          </cell>
          <cell r="X958" t="str">
            <v/>
          </cell>
          <cell r="AH958" t="str">
            <v/>
          </cell>
          <cell r="AK958" t="str">
            <v/>
          </cell>
          <cell r="AM958" t="str">
            <v/>
          </cell>
          <cell r="AO958" t="str">
            <v/>
          </cell>
          <cell r="AS958" t="str">
            <v/>
          </cell>
          <cell r="AT958" t="str">
            <v/>
          </cell>
          <cell r="AU958" t="str">
            <v/>
          </cell>
          <cell r="AW958" t="str">
            <v/>
          </cell>
          <cell r="AX958" t="str">
            <v/>
          </cell>
        </row>
        <row r="959">
          <cell r="G959" t="str">
            <v/>
          </cell>
          <cell r="H959" t="str">
            <v/>
          </cell>
          <cell r="M959" t="str">
            <v/>
          </cell>
          <cell r="N959" t="str">
            <v/>
          </cell>
          <cell r="O959" t="str">
            <v/>
          </cell>
          <cell r="T959" t="str">
            <v/>
          </cell>
          <cell r="U959" t="str">
            <v/>
          </cell>
          <cell r="X959" t="str">
            <v/>
          </cell>
          <cell r="AH959" t="str">
            <v/>
          </cell>
          <cell r="AK959" t="str">
            <v/>
          </cell>
          <cell r="AM959" t="str">
            <v/>
          </cell>
          <cell r="AO959" t="str">
            <v/>
          </cell>
          <cell r="AS959" t="str">
            <v/>
          </cell>
          <cell r="AT959" t="str">
            <v/>
          </cell>
          <cell r="AU959" t="str">
            <v/>
          </cell>
          <cell r="AW959" t="str">
            <v/>
          </cell>
          <cell r="AX959" t="str">
            <v/>
          </cell>
        </row>
        <row r="960">
          <cell r="G960" t="str">
            <v/>
          </cell>
          <cell r="H960" t="str">
            <v/>
          </cell>
          <cell r="M960" t="str">
            <v/>
          </cell>
          <cell r="N960" t="str">
            <v/>
          </cell>
          <cell r="O960" t="str">
            <v/>
          </cell>
          <cell r="T960" t="str">
            <v/>
          </cell>
          <cell r="U960" t="str">
            <v/>
          </cell>
          <cell r="X960" t="str">
            <v/>
          </cell>
          <cell r="AH960" t="str">
            <v/>
          </cell>
          <cell r="AK960" t="str">
            <v/>
          </cell>
          <cell r="AM960" t="str">
            <v/>
          </cell>
          <cell r="AO960" t="str">
            <v/>
          </cell>
          <cell r="AS960" t="str">
            <v/>
          </cell>
          <cell r="AT960" t="str">
            <v/>
          </cell>
          <cell r="AU960" t="str">
            <v/>
          </cell>
          <cell r="AW960" t="str">
            <v/>
          </cell>
          <cell r="AX960" t="str">
            <v/>
          </cell>
        </row>
        <row r="961">
          <cell r="G961" t="str">
            <v/>
          </cell>
          <cell r="H961" t="str">
            <v/>
          </cell>
          <cell r="M961" t="str">
            <v/>
          </cell>
          <cell r="N961" t="str">
            <v/>
          </cell>
          <cell r="O961" t="str">
            <v/>
          </cell>
          <cell r="T961" t="str">
            <v/>
          </cell>
          <cell r="U961" t="str">
            <v/>
          </cell>
          <cell r="X961" t="str">
            <v/>
          </cell>
          <cell r="AH961" t="str">
            <v/>
          </cell>
          <cell r="AK961" t="str">
            <v/>
          </cell>
          <cell r="AM961" t="str">
            <v/>
          </cell>
          <cell r="AO961" t="str">
            <v/>
          </cell>
          <cell r="AS961" t="str">
            <v/>
          </cell>
          <cell r="AT961" t="str">
            <v/>
          </cell>
          <cell r="AU961" t="str">
            <v/>
          </cell>
          <cell r="AW961" t="str">
            <v/>
          </cell>
          <cell r="AX961" t="str">
            <v/>
          </cell>
        </row>
        <row r="962">
          <cell r="G962" t="str">
            <v/>
          </cell>
          <cell r="H962" t="str">
            <v/>
          </cell>
          <cell r="M962" t="str">
            <v/>
          </cell>
          <cell r="N962" t="str">
            <v/>
          </cell>
          <cell r="O962" t="str">
            <v/>
          </cell>
          <cell r="T962" t="str">
            <v/>
          </cell>
          <cell r="U962" t="str">
            <v/>
          </cell>
          <cell r="X962" t="str">
            <v/>
          </cell>
          <cell r="AH962" t="str">
            <v/>
          </cell>
          <cell r="AK962" t="str">
            <v/>
          </cell>
          <cell r="AM962" t="str">
            <v/>
          </cell>
          <cell r="AO962" t="str">
            <v/>
          </cell>
          <cell r="AS962" t="str">
            <v/>
          </cell>
          <cell r="AT962" t="str">
            <v/>
          </cell>
          <cell r="AU962" t="str">
            <v/>
          </cell>
          <cell r="AW962" t="str">
            <v/>
          </cell>
          <cell r="AX962" t="str">
            <v/>
          </cell>
        </row>
        <row r="963">
          <cell r="G963" t="str">
            <v/>
          </cell>
          <cell r="H963" t="str">
            <v/>
          </cell>
          <cell r="M963" t="str">
            <v/>
          </cell>
          <cell r="N963" t="str">
            <v/>
          </cell>
          <cell r="O963" t="str">
            <v/>
          </cell>
          <cell r="T963" t="str">
            <v/>
          </cell>
          <cell r="U963" t="str">
            <v/>
          </cell>
          <cell r="X963" t="str">
            <v/>
          </cell>
          <cell r="AH963" t="str">
            <v/>
          </cell>
          <cell r="AK963" t="str">
            <v/>
          </cell>
          <cell r="AM963" t="str">
            <v/>
          </cell>
          <cell r="AO963" t="str">
            <v/>
          </cell>
          <cell r="AS963" t="str">
            <v/>
          </cell>
          <cell r="AT963" t="str">
            <v/>
          </cell>
          <cell r="AU963" t="str">
            <v/>
          </cell>
          <cell r="AW963" t="str">
            <v/>
          </cell>
          <cell r="AX963" t="str">
            <v/>
          </cell>
        </row>
        <row r="964">
          <cell r="G964" t="str">
            <v/>
          </cell>
          <cell r="H964" t="str">
            <v/>
          </cell>
          <cell r="M964" t="str">
            <v/>
          </cell>
          <cell r="N964" t="str">
            <v/>
          </cell>
          <cell r="O964" t="str">
            <v/>
          </cell>
          <cell r="T964" t="str">
            <v/>
          </cell>
          <cell r="U964" t="str">
            <v/>
          </cell>
          <cell r="X964" t="str">
            <v/>
          </cell>
          <cell r="AH964" t="str">
            <v/>
          </cell>
          <cell r="AK964" t="str">
            <v/>
          </cell>
          <cell r="AM964" t="str">
            <v/>
          </cell>
          <cell r="AO964" t="str">
            <v/>
          </cell>
          <cell r="AS964" t="str">
            <v/>
          </cell>
          <cell r="AT964" t="str">
            <v/>
          </cell>
          <cell r="AU964" t="str">
            <v/>
          </cell>
          <cell r="AW964" t="str">
            <v/>
          </cell>
          <cell r="AX964" t="str">
            <v/>
          </cell>
        </row>
        <row r="965">
          <cell r="G965" t="str">
            <v/>
          </cell>
          <cell r="H965" t="str">
            <v/>
          </cell>
          <cell r="M965" t="str">
            <v/>
          </cell>
          <cell r="N965" t="str">
            <v/>
          </cell>
          <cell r="O965" t="str">
            <v/>
          </cell>
          <cell r="T965" t="str">
            <v/>
          </cell>
          <cell r="U965" t="str">
            <v/>
          </cell>
          <cell r="X965" t="str">
            <v/>
          </cell>
          <cell r="AH965" t="str">
            <v/>
          </cell>
          <cell r="AK965" t="str">
            <v/>
          </cell>
          <cell r="AM965" t="str">
            <v/>
          </cell>
          <cell r="AO965" t="str">
            <v/>
          </cell>
          <cell r="AS965" t="str">
            <v/>
          </cell>
          <cell r="AT965" t="str">
            <v/>
          </cell>
          <cell r="AU965" t="str">
            <v/>
          </cell>
          <cell r="AW965" t="str">
            <v/>
          </cell>
          <cell r="AX965" t="str">
            <v/>
          </cell>
        </row>
        <row r="966">
          <cell r="G966" t="str">
            <v/>
          </cell>
          <cell r="H966" t="str">
            <v/>
          </cell>
          <cell r="M966" t="str">
            <v/>
          </cell>
          <cell r="N966" t="str">
            <v/>
          </cell>
          <cell r="O966" t="str">
            <v/>
          </cell>
          <cell r="T966" t="str">
            <v/>
          </cell>
          <cell r="U966" t="str">
            <v/>
          </cell>
          <cell r="X966" t="str">
            <v/>
          </cell>
          <cell r="AH966" t="str">
            <v/>
          </cell>
          <cell r="AK966" t="str">
            <v/>
          </cell>
          <cell r="AM966" t="str">
            <v/>
          </cell>
          <cell r="AO966" t="str">
            <v/>
          </cell>
          <cell r="AS966" t="str">
            <v/>
          </cell>
          <cell r="AT966" t="str">
            <v/>
          </cell>
          <cell r="AU966" t="str">
            <v/>
          </cell>
          <cell r="AW966" t="str">
            <v/>
          </cell>
          <cell r="AX966" t="str">
            <v/>
          </cell>
        </row>
        <row r="967">
          <cell r="G967" t="str">
            <v/>
          </cell>
          <cell r="H967" t="str">
            <v/>
          </cell>
          <cell r="M967" t="str">
            <v/>
          </cell>
          <cell r="N967" t="str">
            <v/>
          </cell>
          <cell r="O967" t="str">
            <v/>
          </cell>
          <cell r="T967" t="str">
            <v/>
          </cell>
          <cell r="U967" t="str">
            <v/>
          </cell>
          <cell r="X967" t="str">
            <v/>
          </cell>
          <cell r="AH967" t="str">
            <v/>
          </cell>
          <cell r="AK967" t="str">
            <v/>
          </cell>
          <cell r="AM967" t="str">
            <v/>
          </cell>
          <cell r="AO967" t="str">
            <v/>
          </cell>
          <cell r="AS967" t="str">
            <v/>
          </cell>
          <cell r="AT967" t="str">
            <v/>
          </cell>
          <cell r="AU967" t="str">
            <v/>
          </cell>
          <cell r="AW967" t="str">
            <v/>
          </cell>
          <cell r="AX967" t="str">
            <v/>
          </cell>
        </row>
        <row r="968">
          <cell r="G968" t="str">
            <v/>
          </cell>
          <cell r="H968" t="str">
            <v/>
          </cell>
          <cell r="M968" t="str">
            <v/>
          </cell>
          <cell r="N968" t="str">
            <v/>
          </cell>
          <cell r="O968" t="str">
            <v/>
          </cell>
          <cell r="T968" t="str">
            <v/>
          </cell>
          <cell r="U968" t="str">
            <v/>
          </cell>
          <cell r="X968" t="str">
            <v/>
          </cell>
          <cell r="AH968" t="str">
            <v/>
          </cell>
          <cell r="AK968" t="str">
            <v/>
          </cell>
          <cell r="AM968" t="str">
            <v/>
          </cell>
          <cell r="AO968" t="str">
            <v/>
          </cell>
          <cell r="AS968" t="str">
            <v/>
          </cell>
          <cell r="AT968" t="str">
            <v/>
          </cell>
          <cell r="AU968" t="str">
            <v/>
          </cell>
          <cell r="AW968" t="str">
            <v/>
          </cell>
          <cell r="AX968" t="str">
            <v/>
          </cell>
        </row>
        <row r="969">
          <cell r="G969" t="str">
            <v/>
          </cell>
          <cell r="H969" t="str">
            <v/>
          </cell>
          <cell r="M969" t="str">
            <v/>
          </cell>
          <cell r="N969" t="str">
            <v/>
          </cell>
          <cell r="O969" t="str">
            <v/>
          </cell>
          <cell r="T969" t="str">
            <v/>
          </cell>
          <cell r="U969" t="str">
            <v/>
          </cell>
          <cell r="X969" t="str">
            <v/>
          </cell>
          <cell r="AH969" t="str">
            <v/>
          </cell>
          <cell r="AK969" t="str">
            <v/>
          </cell>
          <cell r="AM969" t="str">
            <v/>
          </cell>
          <cell r="AO969" t="str">
            <v/>
          </cell>
          <cell r="AS969" t="str">
            <v/>
          </cell>
          <cell r="AT969" t="str">
            <v/>
          </cell>
          <cell r="AU969" t="str">
            <v/>
          </cell>
          <cell r="AW969" t="str">
            <v/>
          </cell>
          <cell r="AX969" t="str">
            <v/>
          </cell>
        </row>
        <row r="970">
          <cell r="G970" t="str">
            <v/>
          </cell>
          <cell r="H970" t="str">
            <v/>
          </cell>
          <cell r="M970" t="str">
            <v/>
          </cell>
          <cell r="N970" t="str">
            <v/>
          </cell>
          <cell r="O970" t="str">
            <v/>
          </cell>
          <cell r="T970" t="str">
            <v/>
          </cell>
          <cell r="U970" t="str">
            <v/>
          </cell>
          <cell r="X970" t="str">
            <v/>
          </cell>
          <cell r="AH970" t="str">
            <v/>
          </cell>
          <cell r="AK970" t="str">
            <v/>
          </cell>
          <cell r="AM970" t="str">
            <v/>
          </cell>
          <cell r="AO970" t="str">
            <v/>
          </cell>
          <cell r="AS970" t="str">
            <v/>
          </cell>
          <cell r="AT970" t="str">
            <v/>
          </cell>
          <cell r="AU970" t="str">
            <v/>
          </cell>
          <cell r="AW970" t="str">
            <v/>
          </cell>
          <cell r="AX970" t="str">
            <v/>
          </cell>
        </row>
        <row r="971">
          <cell r="G971" t="str">
            <v/>
          </cell>
          <cell r="H971" t="str">
            <v/>
          </cell>
          <cell r="M971" t="str">
            <v/>
          </cell>
          <cell r="N971" t="str">
            <v/>
          </cell>
          <cell r="O971" t="str">
            <v/>
          </cell>
          <cell r="T971" t="str">
            <v/>
          </cell>
          <cell r="U971" t="str">
            <v/>
          </cell>
          <cell r="X971" t="str">
            <v/>
          </cell>
          <cell r="AH971" t="str">
            <v/>
          </cell>
          <cell r="AK971" t="str">
            <v/>
          </cell>
          <cell r="AM971" t="str">
            <v/>
          </cell>
          <cell r="AO971" t="str">
            <v/>
          </cell>
          <cell r="AS971" t="str">
            <v/>
          </cell>
          <cell r="AT971" t="str">
            <v/>
          </cell>
          <cell r="AU971" t="str">
            <v/>
          </cell>
          <cell r="AW971" t="str">
            <v/>
          </cell>
          <cell r="AX971" t="str">
            <v/>
          </cell>
        </row>
        <row r="972">
          <cell r="G972" t="str">
            <v/>
          </cell>
          <cell r="H972" t="str">
            <v/>
          </cell>
          <cell r="M972" t="str">
            <v/>
          </cell>
          <cell r="N972" t="str">
            <v/>
          </cell>
          <cell r="O972" t="str">
            <v/>
          </cell>
          <cell r="T972" t="str">
            <v/>
          </cell>
          <cell r="U972" t="str">
            <v/>
          </cell>
          <cell r="X972" t="str">
            <v/>
          </cell>
          <cell r="AH972" t="str">
            <v/>
          </cell>
          <cell r="AK972" t="str">
            <v/>
          </cell>
          <cell r="AM972" t="str">
            <v/>
          </cell>
          <cell r="AO972" t="str">
            <v/>
          </cell>
          <cell r="AS972" t="str">
            <v/>
          </cell>
          <cell r="AT972" t="str">
            <v/>
          </cell>
          <cell r="AU972" t="str">
            <v/>
          </cell>
          <cell r="AW972" t="str">
            <v/>
          </cell>
          <cell r="AX972" t="str">
            <v/>
          </cell>
        </row>
        <row r="973">
          <cell r="G973" t="str">
            <v/>
          </cell>
          <cell r="H973" t="str">
            <v/>
          </cell>
          <cell r="M973" t="str">
            <v/>
          </cell>
          <cell r="N973" t="str">
            <v/>
          </cell>
          <cell r="O973" t="str">
            <v/>
          </cell>
          <cell r="T973" t="str">
            <v/>
          </cell>
          <cell r="U973" t="str">
            <v/>
          </cell>
          <cell r="X973" t="str">
            <v/>
          </cell>
          <cell r="AH973" t="str">
            <v/>
          </cell>
          <cell r="AK973" t="str">
            <v/>
          </cell>
          <cell r="AM973" t="str">
            <v/>
          </cell>
          <cell r="AO973" t="str">
            <v/>
          </cell>
          <cell r="AS973" t="str">
            <v/>
          </cell>
          <cell r="AT973" t="str">
            <v/>
          </cell>
          <cell r="AU973" t="str">
            <v/>
          </cell>
          <cell r="AW973" t="str">
            <v/>
          </cell>
          <cell r="AX973" t="str">
            <v/>
          </cell>
        </row>
        <row r="974">
          <cell r="G974" t="str">
            <v/>
          </cell>
          <cell r="H974" t="str">
            <v/>
          </cell>
          <cell r="M974" t="str">
            <v/>
          </cell>
          <cell r="N974" t="str">
            <v/>
          </cell>
          <cell r="O974" t="str">
            <v/>
          </cell>
          <cell r="T974" t="str">
            <v/>
          </cell>
          <cell r="U974" t="str">
            <v/>
          </cell>
          <cell r="X974" t="str">
            <v/>
          </cell>
          <cell r="AH974" t="str">
            <v/>
          </cell>
          <cell r="AK974" t="str">
            <v/>
          </cell>
          <cell r="AM974" t="str">
            <v/>
          </cell>
          <cell r="AO974" t="str">
            <v/>
          </cell>
          <cell r="AS974" t="str">
            <v/>
          </cell>
          <cell r="AT974" t="str">
            <v/>
          </cell>
          <cell r="AU974" t="str">
            <v/>
          </cell>
          <cell r="AW974" t="str">
            <v/>
          </cell>
          <cell r="AX974" t="str">
            <v/>
          </cell>
        </row>
        <row r="975">
          <cell r="G975" t="str">
            <v/>
          </cell>
          <cell r="H975" t="str">
            <v/>
          </cell>
          <cell r="M975" t="str">
            <v/>
          </cell>
          <cell r="N975" t="str">
            <v/>
          </cell>
          <cell r="O975" t="str">
            <v/>
          </cell>
          <cell r="T975" t="str">
            <v/>
          </cell>
          <cell r="U975" t="str">
            <v/>
          </cell>
          <cell r="X975" t="str">
            <v/>
          </cell>
          <cell r="AH975" t="str">
            <v/>
          </cell>
          <cell r="AK975" t="str">
            <v/>
          </cell>
          <cell r="AM975" t="str">
            <v/>
          </cell>
          <cell r="AO975" t="str">
            <v/>
          </cell>
          <cell r="AS975" t="str">
            <v/>
          </cell>
          <cell r="AT975" t="str">
            <v/>
          </cell>
          <cell r="AU975" t="str">
            <v/>
          </cell>
          <cell r="AW975" t="str">
            <v/>
          </cell>
          <cell r="AX975" t="str">
            <v/>
          </cell>
        </row>
        <row r="976">
          <cell r="G976" t="str">
            <v/>
          </cell>
          <cell r="H976" t="str">
            <v/>
          </cell>
          <cell r="M976" t="str">
            <v/>
          </cell>
          <cell r="N976" t="str">
            <v/>
          </cell>
          <cell r="O976" t="str">
            <v/>
          </cell>
          <cell r="T976" t="str">
            <v/>
          </cell>
          <cell r="U976" t="str">
            <v/>
          </cell>
          <cell r="X976" t="str">
            <v/>
          </cell>
          <cell r="AH976" t="str">
            <v/>
          </cell>
          <cell r="AK976" t="str">
            <v/>
          </cell>
          <cell r="AM976" t="str">
            <v/>
          </cell>
          <cell r="AO976" t="str">
            <v/>
          </cell>
          <cell r="AS976" t="str">
            <v/>
          </cell>
          <cell r="AT976" t="str">
            <v/>
          </cell>
          <cell r="AU976" t="str">
            <v/>
          </cell>
          <cell r="AW976" t="str">
            <v/>
          </cell>
          <cell r="AX976" t="str">
            <v/>
          </cell>
        </row>
        <row r="977">
          <cell r="G977" t="str">
            <v/>
          </cell>
          <cell r="H977" t="str">
            <v/>
          </cell>
          <cell r="M977" t="str">
            <v/>
          </cell>
          <cell r="N977" t="str">
            <v/>
          </cell>
          <cell r="O977" t="str">
            <v/>
          </cell>
          <cell r="T977" t="str">
            <v/>
          </cell>
          <cell r="U977" t="str">
            <v/>
          </cell>
          <cell r="X977" t="str">
            <v/>
          </cell>
          <cell r="AH977" t="str">
            <v/>
          </cell>
          <cell r="AK977" t="str">
            <v/>
          </cell>
          <cell r="AM977" t="str">
            <v/>
          </cell>
          <cell r="AO977" t="str">
            <v/>
          </cell>
          <cell r="AS977" t="str">
            <v/>
          </cell>
          <cell r="AT977" t="str">
            <v/>
          </cell>
          <cell r="AU977" t="str">
            <v/>
          </cell>
          <cell r="AW977" t="str">
            <v/>
          </cell>
          <cell r="AX977" t="str">
            <v/>
          </cell>
        </row>
        <row r="978">
          <cell r="G978" t="str">
            <v/>
          </cell>
          <cell r="H978" t="str">
            <v/>
          </cell>
          <cell r="M978" t="str">
            <v/>
          </cell>
          <cell r="N978" t="str">
            <v/>
          </cell>
          <cell r="O978" t="str">
            <v/>
          </cell>
          <cell r="T978" t="str">
            <v/>
          </cell>
          <cell r="U978" t="str">
            <v/>
          </cell>
          <cell r="X978" t="str">
            <v/>
          </cell>
          <cell r="AH978" t="str">
            <v/>
          </cell>
          <cell r="AK978" t="str">
            <v/>
          </cell>
          <cell r="AM978" t="str">
            <v/>
          </cell>
          <cell r="AO978" t="str">
            <v/>
          </cell>
          <cell r="AS978" t="str">
            <v/>
          </cell>
          <cell r="AT978" t="str">
            <v/>
          </cell>
          <cell r="AU978" t="str">
            <v/>
          </cell>
          <cell r="AW978" t="str">
            <v/>
          </cell>
          <cell r="AX978" t="str">
            <v/>
          </cell>
        </row>
        <row r="979">
          <cell r="G979" t="str">
            <v/>
          </cell>
          <cell r="H979" t="str">
            <v/>
          </cell>
          <cell r="M979" t="str">
            <v/>
          </cell>
          <cell r="N979" t="str">
            <v/>
          </cell>
          <cell r="O979" t="str">
            <v/>
          </cell>
          <cell r="T979" t="str">
            <v/>
          </cell>
          <cell r="U979" t="str">
            <v/>
          </cell>
          <cell r="X979" t="str">
            <v/>
          </cell>
          <cell r="AH979" t="str">
            <v/>
          </cell>
          <cell r="AK979" t="str">
            <v/>
          </cell>
          <cell r="AM979" t="str">
            <v/>
          </cell>
          <cell r="AO979" t="str">
            <v/>
          </cell>
          <cell r="AS979" t="str">
            <v/>
          </cell>
          <cell r="AT979" t="str">
            <v/>
          </cell>
          <cell r="AU979" t="str">
            <v/>
          </cell>
          <cell r="AW979" t="str">
            <v/>
          </cell>
          <cell r="AX979" t="str">
            <v/>
          </cell>
        </row>
        <row r="980">
          <cell r="G980" t="str">
            <v/>
          </cell>
          <cell r="H980" t="str">
            <v/>
          </cell>
          <cell r="M980" t="str">
            <v/>
          </cell>
          <cell r="N980" t="str">
            <v/>
          </cell>
          <cell r="O980" t="str">
            <v/>
          </cell>
          <cell r="T980" t="str">
            <v/>
          </cell>
          <cell r="U980" t="str">
            <v/>
          </cell>
          <cell r="X980" t="str">
            <v/>
          </cell>
          <cell r="AH980" t="str">
            <v/>
          </cell>
          <cell r="AK980" t="str">
            <v/>
          </cell>
          <cell r="AM980" t="str">
            <v/>
          </cell>
          <cell r="AO980" t="str">
            <v/>
          </cell>
          <cell r="AS980" t="str">
            <v/>
          </cell>
          <cell r="AT980" t="str">
            <v/>
          </cell>
          <cell r="AU980" t="str">
            <v/>
          </cell>
          <cell r="AW980" t="str">
            <v/>
          </cell>
          <cell r="AX980" t="str">
            <v/>
          </cell>
        </row>
        <row r="981">
          <cell r="G981" t="str">
            <v/>
          </cell>
          <cell r="H981" t="str">
            <v/>
          </cell>
          <cell r="M981" t="str">
            <v/>
          </cell>
          <cell r="N981" t="str">
            <v/>
          </cell>
          <cell r="O981" t="str">
            <v/>
          </cell>
          <cell r="T981" t="str">
            <v/>
          </cell>
          <cell r="U981" t="str">
            <v/>
          </cell>
          <cell r="X981" t="str">
            <v/>
          </cell>
          <cell r="AH981" t="str">
            <v/>
          </cell>
          <cell r="AK981" t="str">
            <v/>
          </cell>
          <cell r="AM981" t="str">
            <v/>
          </cell>
          <cell r="AO981" t="str">
            <v/>
          </cell>
          <cell r="AS981" t="str">
            <v/>
          </cell>
          <cell r="AT981" t="str">
            <v/>
          </cell>
          <cell r="AU981" t="str">
            <v/>
          </cell>
          <cell r="AW981" t="str">
            <v/>
          </cell>
          <cell r="AX981" t="str">
            <v/>
          </cell>
        </row>
        <row r="982">
          <cell r="G982" t="str">
            <v/>
          </cell>
          <cell r="H982" t="str">
            <v/>
          </cell>
          <cell r="M982" t="str">
            <v/>
          </cell>
          <cell r="N982" t="str">
            <v/>
          </cell>
          <cell r="O982" t="str">
            <v/>
          </cell>
          <cell r="T982" t="str">
            <v/>
          </cell>
          <cell r="U982" t="str">
            <v/>
          </cell>
          <cell r="X982" t="str">
            <v/>
          </cell>
          <cell r="AH982" t="str">
            <v/>
          </cell>
          <cell r="AK982" t="str">
            <v/>
          </cell>
          <cell r="AM982" t="str">
            <v/>
          </cell>
          <cell r="AO982" t="str">
            <v/>
          </cell>
          <cell r="AS982" t="str">
            <v/>
          </cell>
          <cell r="AT982" t="str">
            <v/>
          </cell>
          <cell r="AU982" t="str">
            <v/>
          </cell>
          <cell r="AW982" t="str">
            <v/>
          </cell>
          <cell r="AX982" t="str">
            <v/>
          </cell>
        </row>
        <row r="983">
          <cell r="G983" t="str">
            <v/>
          </cell>
          <cell r="H983" t="str">
            <v/>
          </cell>
          <cell r="M983" t="str">
            <v/>
          </cell>
          <cell r="N983" t="str">
            <v/>
          </cell>
          <cell r="O983" t="str">
            <v/>
          </cell>
          <cell r="T983" t="str">
            <v/>
          </cell>
          <cell r="U983" t="str">
            <v/>
          </cell>
          <cell r="X983" t="str">
            <v/>
          </cell>
          <cell r="AH983" t="str">
            <v/>
          </cell>
          <cell r="AK983" t="str">
            <v/>
          </cell>
          <cell r="AM983" t="str">
            <v/>
          </cell>
          <cell r="AO983" t="str">
            <v/>
          </cell>
          <cell r="AS983" t="str">
            <v/>
          </cell>
          <cell r="AT983" t="str">
            <v/>
          </cell>
          <cell r="AU983" t="str">
            <v/>
          </cell>
          <cell r="AW983" t="str">
            <v/>
          </cell>
          <cell r="AX983" t="str">
            <v/>
          </cell>
        </row>
        <row r="984">
          <cell r="G984" t="str">
            <v/>
          </cell>
          <cell r="H984" t="str">
            <v/>
          </cell>
          <cell r="M984" t="str">
            <v/>
          </cell>
          <cell r="N984" t="str">
            <v/>
          </cell>
          <cell r="O984" t="str">
            <v/>
          </cell>
          <cell r="T984" t="str">
            <v/>
          </cell>
          <cell r="U984" t="str">
            <v/>
          </cell>
          <cell r="X984" t="str">
            <v/>
          </cell>
          <cell r="AH984" t="str">
            <v/>
          </cell>
          <cell r="AK984" t="str">
            <v/>
          </cell>
          <cell r="AM984" t="str">
            <v/>
          </cell>
          <cell r="AO984" t="str">
            <v/>
          </cell>
          <cell r="AS984" t="str">
            <v/>
          </cell>
          <cell r="AT984" t="str">
            <v/>
          </cell>
          <cell r="AU984" t="str">
            <v/>
          </cell>
          <cell r="AW984" t="str">
            <v/>
          </cell>
          <cell r="AX984" t="str">
            <v/>
          </cell>
        </row>
        <row r="985">
          <cell r="G985" t="str">
            <v/>
          </cell>
          <cell r="H985" t="str">
            <v/>
          </cell>
          <cell r="M985" t="str">
            <v/>
          </cell>
          <cell r="N985" t="str">
            <v/>
          </cell>
          <cell r="O985" t="str">
            <v/>
          </cell>
          <cell r="T985" t="str">
            <v/>
          </cell>
          <cell r="U985" t="str">
            <v/>
          </cell>
          <cell r="X985" t="str">
            <v/>
          </cell>
          <cell r="AH985" t="str">
            <v/>
          </cell>
          <cell r="AK985" t="str">
            <v/>
          </cell>
          <cell r="AM985" t="str">
            <v/>
          </cell>
          <cell r="AO985" t="str">
            <v/>
          </cell>
          <cell r="AS985" t="str">
            <v/>
          </cell>
          <cell r="AT985" t="str">
            <v/>
          </cell>
          <cell r="AU985" t="str">
            <v/>
          </cell>
          <cell r="AW985" t="str">
            <v/>
          </cell>
          <cell r="AX985" t="str">
            <v/>
          </cell>
        </row>
        <row r="986">
          <cell r="G986" t="str">
            <v/>
          </cell>
          <cell r="H986" t="str">
            <v/>
          </cell>
          <cell r="M986" t="str">
            <v/>
          </cell>
          <cell r="N986" t="str">
            <v/>
          </cell>
          <cell r="O986" t="str">
            <v/>
          </cell>
          <cell r="T986" t="str">
            <v/>
          </cell>
          <cell r="U986" t="str">
            <v/>
          </cell>
          <cell r="X986" t="str">
            <v/>
          </cell>
          <cell r="AH986" t="str">
            <v/>
          </cell>
          <cell r="AK986" t="str">
            <v/>
          </cell>
          <cell r="AM986" t="str">
            <v/>
          </cell>
          <cell r="AO986" t="str">
            <v/>
          </cell>
          <cell r="AS986" t="str">
            <v/>
          </cell>
          <cell r="AT986" t="str">
            <v/>
          </cell>
          <cell r="AU986" t="str">
            <v/>
          </cell>
          <cell r="AW986" t="str">
            <v/>
          </cell>
          <cell r="AX986" t="str">
            <v/>
          </cell>
        </row>
        <row r="987">
          <cell r="G987" t="str">
            <v/>
          </cell>
          <cell r="H987" t="str">
            <v/>
          </cell>
          <cell r="M987" t="str">
            <v/>
          </cell>
          <cell r="N987" t="str">
            <v/>
          </cell>
          <cell r="O987" t="str">
            <v/>
          </cell>
          <cell r="T987" t="str">
            <v/>
          </cell>
          <cell r="U987" t="str">
            <v/>
          </cell>
          <cell r="X987" t="str">
            <v/>
          </cell>
          <cell r="AH987" t="str">
            <v/>
          </cell>
          <cell r="AK987" t="str">
            <v/>
          </cell>
          <cell r="AM987" t="str">
            <v/>
          </cell>
          <cell r="AO987" t="str">
            <v/>
          </cell>
          <cell r="AS987" t="str">
            <v/>
          </cell>
          <cell r="AT987" t="str">
            <v/>
          </cell>
          <cell r="AU987" t="str">
            <v/>
          </cell>
          <cell r="AW987" t="str">
            <v/>
          </cell>
          <cell r="AX987" t="str">
            <v/>
          </cell>
        </row>
        <row r="988">
          <cell r="G988" t="str">
            <v/>
          </cell>
          <cell r="H988" t="str">
            <v/>
          </cell>
          <cell r="M988" t="str">
            <v/>
          </cell>
          <cell r="N988" t="str">
            <v/>
          </cell>
          <cell r="O988" t="str">
            <v/>
          </cell>
          <cell r="T988" t="str">
            <v/>
          </cell>
          <cell r="U988" t="str">
            <v/>
          </cell>
          <cell r="X988" t="str">
            <v/>
          </cell>
          <cell r="AH988" t="str">
            <v/>
          </cell>
          <cell r="AK988" t="str">
            <v/>
          </cell>
          <cell r="AM988" t="str">
            <v/>
          </cell>
          <cell r="AO988" t="str">
            <v/>
          </cell>
          <cell r="AS988" t="str">
            <v/>
          </cell>
          <cell r="AT988" t="str">
            <v/>
          </cell>
          <cell r="AU988" t="str">
            <v/>
          </cell>
          <cell r="AW988" t="str">
            <v/>
          </cell>
          <cell r="AX988" t="str">
            <v/>
          </cell>
        </row>
        <row r="989">
          <cell r="G989" t="str">
            <v/>
          </cell>
          <cell r="H989" t="str">
            <v/>
          </cell>
          <cell r="M989" t="str">
            <v/>
          </cell>
          <cell r="N989" t="str">
            <v/>
          </cell>
          <cell r="O989" t="str">
            <v/>
          </cell>
          <cell r="T989" t="str">
            <v/>
          </cell>
          <cell r="U989" t="str">
            <v/>
          </cell>
          <cell r="X989" t="str">
            <v/>
          </cell>
          <cell r="AH989" t="str">
            <v/>
          </cell>
          <cell r="AK989" t="str">
            <v/>
          </cell>
          <cell r="AM989" t="str">
            <v/>
          </cell>
          <cell r="AO989" t="str">
            <v/>
          </cell>
          <cell r="AS989" t="str">
            <v/>
          </cell>
          <cell r="AT989" t="str">
            <v/>
          </cell>
          <cell r="AU989" t="str">
            <v/>
          </cell>
          <cell r="AW989" t="str">
            <v/>
          </cell>
          <cell r="AX989" t="str">
            <v/>
          </cell>
        </row>
        <row r="990">
          <cell r="G990" t="str">
            <v/>
          </cell>
          <cell r="H990" t="str">
            <v/>
          </cell>
          <cell r="M990" t="str">
            <v/>
          </cell>
          <cell r="N990" t="str">
            <v/>
          </cell>
          <cell r="O990" t="str">
            <v/>
          </cell>
          <cell r="T990" t="str">
            <v/>
          </cell>
          <cell r="U990" t="str">
            <v/>
          </cell>
          <cell r="X990" t="str">
            <v/>
          </cell>
          <cell r="AH990" t="str">
            <v/>
          </cell>
          <cell r="AK990" t="str">
            <v/>
          </cell>
          <cell r="AM990" t="str">
            <v/>
          </cell>
          <cell r="AO990" t="str">
            <v/>
          </cell>
          <cell r="AS990" t="str">
            <v/>
          </cell>
          <cell r="AT990" t="str">
            <v/>
          </cell>
          <cell r="AU990" t="str">
            <v/>
          </cell>
          <cell r="AW990" t="str">
            <v/>
          </cell>
          <cell r="AX990" t="str">
            <v/>
          </cell>
        </row>
        <row r="991">
          <cell r="G991" t="str">
            <v/>
          </cell>
          <cell r="H991" t="str">
            <v/>
          </cell>
          <cell r="M991" t="str">
            <v/>
          </cell>
          <cell r="N991" t="str">
            <v/>
          </cell>
          <cell r="O991" t="str">
            <v/>
          </cell>
          <cell r="T991" t="str">
            <v/>
          </cell>
          <cell r="U991" t="str">
            <v/>
          </cell>
          <cell r="X991" t="str">
            <v/>
          </cell>
          <cell r="AH991" t="str">
            <v/>
          </cell>
          <cell r="AK991" t="str">
            <v/>
          </cell>
          <cell r="AM991" t="str">
            <v/>
          </cell>
          <cell r="AO991" t="str">
            <v/>
          </cell>
          <cell r="AS991" t="str">
            <v/>
          </cell>
          <cell r="AT991" t="str">
            <v/>
          </cell>
          <cell r="AU991" t="str">
            <v/>
          </cell>
          <cell r="AW991" t="str">
            <v/>
          </cell>
          <cell r="AX991" t="str">
            <v/>
          </cell>
        </row>
        <row r="992">
          <cell r="G992" t="str">
            <v/>
          </cell>
          <cell r="H992" t="str">
            <v/>
          </cell>
          <cell r="M992" t="str">
            <v/>
          </cell>
          <cell r="N992" t="str">
            <v/>
          </cell>
          <cell r="O992" t="str">
            <v/>
          </cell>
          <cell r="T992" t="str">
            <v/>
          </cell>
          <cell r="U992" t="str">
            <v/>
          </cell>
          <cell r="X992" t="str">
            <v/>
          </cell>
          <cell r="AH992" t="str">
            <v/>
          </cell>
          <cell r="AK992" t="str">
            <v/>
          </cell>
          <cell r="AM992" t="str">
            <v/>
          </cell>
          <cell r="AO992" t="str">
            <v/>
          </cell>
          <cell r="AS992" t="str">
            <v/>
          </cell>
          <cell r="AT992" t="str">
            <v/>
          </cell>
          <cell r="AU992" t="str">
            <v/>
          </cell>
          <cell r="AW992" t="str">
            <v/>
          </cell>
          <cell r="AX992" t="str">
            <v/>
          </cell>
        </row>
        <row r="993">
          <cell r="G993" t="str">
            <v/>
          </cell>
          <cell r="H993" t="str">
            <v/>
          </cell>
          <cell r="M993" t="str">
            <v/>
          </cell>
          <cell r="N993" t="str">
            <v/>
          </cell>
          <cell r="O993" t="str">
            <v/>
          </cell>
          <cell r="T993" t="str">
            <v/>
          </cell>
          <cell r="U993" t="str">
            <v/>
          </cell>
          <cell r="X993" t="str">
            <v/>
          </cell>
          <cell r="AH993" t="str">
            <v/>
          </cell>
          <cell r="AK993" t="str">
            <v/>
          </cell>
          <cell r="AM993" t="str">
            <v/>
          </cell>
          <cell r="AO993" t="str">
            <v/>
          </cell>
          <cell r="AS993" t="str">
            <v/>
          </cell>
          <cell r="AT993" t="str">
            <v/>
          </cell>
          <cell r="AU993" t="str">
            <v/>
          </cell>
          <cell r="AW993" t="str">
            <v/>
          </cell>
          <cell r="AX993" t="str">
            <v/>
          </cell>
        </row>
        <row r="994">
          <cell r="G994" t="str">
            <v/>
          </cell>
          <cell r="H994" t="str">
            <v/>
          </cell>
          <cell r="M994" t="str">
            <v/>
          </cell>
          <cell r="N994" t="str">
            <v/>
          </cell>
          <cell r="O994" t="str">
            <v/>
          </cell>
          <cell r="T994" t="str">
            <v/>
          </cell>
          <cell r="U994" t="str">
            <v/>
          </cell>
          <cell r="X994" t="str">
            <v/>
          </cell>
          <cell r="AH994" t="str">
            <v/>
          </cell>
          <cell r="AK994" t="str">
            <v/>
          </cell>
          <cell r="AM994" t="str">
            <v/>
          </cell>
          <cell r="AO994" t="str">
            <v/>
          </cell>
          <cell r="AS994" t="str">
            <v/>
          </cell>
          <cell r="AT994" t="str">
            <v/>
          </cell>
          <cell r="AU994" t="str">
            <v/>
          </cell>
          <cell r="AW994" t="str">
            <v/>
          </cell>
          <cell r="AX994" t="str">
            <v/>
          </cell>
        </row>
        <row r="995">
          <cell r="G995" t="str">
            <v/>
          </cell>
          <cell r="H995" t="str">
            <v/>
          </cell>
          <cell r="M995" t="str">
            <v/>
          </cell>
          <cell r="N995" t="str">
            <v/>
          </cell>
          <cell r="O995" t="str">
            <v/>
          </cell>
          <cell r="T995" t="str">
            <v/>
          </cell>
          <cell r="U995" t="str">
            <v/>
          </cell>
          <cell r="X995" t="str">
            <v/>
          </cell>
          <cell r="AH995" t="str">
            <v/>
          </cell>
          <cell r="AK995" t="str">
            <v/>
          </cell>
          <cell r="AM995" t="str">
            <v/>
          </cell>
          <cell r="AO995" t="str">
            <v/>
          </cell>
          <cell r="AS995" t="str">
            <v/>
          </cell>
          <cell r="AT995" t="str">
            <v/>
          </cell>
          <cell r="AU995" t="str">
            <v/>
          </cell>
          <cell r="AW995" t="str">
            <v/>
          </cell>
          <cell r="AX995" t="str">
            <v/>
          </cell>
        </row>
        <row r="996">
          <cell r="G996" t="str">
            <v/>
          </cell>
          <cell r="H996" t="str">
            <v/>
          </cell>
          <cell r="M996" t="str">
            <v/>
          </cell>
          <cell r="N996" t="str">
            <v/>
          </cell>
          <cell r="O996" t="str">
            <v/>
          </cell>
          <cell r="T996" t="str">
            <v/>
          </cell>
          <cell r="U996" t="str">
            <v/>
          </cell>
          <cell r="X996" t="str">
            <v/>
          </cell>
          <cell r="AH996" t="str">
            <v/>
          </cell>
          <cell r="AK996" t="str">
            <v/>
          </cell>
          <cell r="AM996" t="str">
            <v/>
          </cell>
          <cell r="AO996" t="str">
            <v/>
          </cell>
          <cell r="AS996" t="str">
            <v/>
          </cell>
          <cell r="AT996" t="str">
            <v/>
          </cell>
          <cell r="AU996" t="str">
            <v/>
          </cell>
          <cell r="AW996" t="str">
            <v/>
          </cell>
          <cell r="AX996" t="str">
            <v/>
          </cell>
        </row>
        <row r="997">
          <cell r="G997" t="str">
            <v/>
          </cell>
          <cell r="H997" t="str">
            <v/>
          </cell>
          <cell r="M997" t="str">
            <v/>
          </cell>
          <cell r="N997" t="str">
            <v/>
          </cell>
          <cell r="O997" t="str">
            <v/>
          </cell>
          <cell r="T997" t="str">
            <v/>
          </cell>
          <cell r="U997" t="str">
            <v/>
          </cell>
          <cell r="X997" t="str">
            <v/>
          </cell>
          <cell r="AH997" t="str">
            <v/>
          </cell>
          <cell r="AK997" t="str">
            <v/>
          </cell>
          <cell r="AM997" t="str">
            <v/>
          </cell>
          <cell r="AO997" t="str">
            <v/>
          </cell>
          <cell r="AS997" t="str">
            <v/>
          </cell>
          <cell r="AT997" t="str">
            <v/>
          </cell>
          <cell r="AU997" t="str">
            <v/>
          </cell>
          <cell r="AW997" t="str">
            <v/>
          </cell>
          <cell r="AX997" t="str">
            <v/>
          </cell>
        </row>
        <row r="998">
          <cell r="G998" t="str">
            <v/>
          </cell>
          <cell r="H998" t="str">
            <v/>
          </cell>
          <cell r="M998" t="str">
            <v/>
          </cell>
          <cell r="N998" t="str">
            <v/>
          </cell>
          <cell r="O998" t="str">
            <v/>
          </cell>
          <cell r="T998" t="str">
            <v/>
          </cell>
          <cell r="U998" t="str">
            <v/>
          </cell>
          <cell r="X998" t="str">
            <v/>
          </cell>
          <cell r="AH998" t="str">
            <v/>
          </cell>
          <cell r="AK998" t="str">
            <v/>
          </cell>
          <cell r="AM998" t="str">
            <v/>
          </cell>
          <cell r="AO998" t="str">
            <v/>
          </cell>
          <cell r="AS998" t="str">
            <v/>
          </cell>
          <cell r="AT998" t="str">
            <v/>
          </cell>
          <cell r="AU998" t="str">
            <v/>
          </cell>
          <cell r="AW998" t="str">
            <v/>
          </cell>
          <cell r="AX998" t="str">
            <v/>
          </cell>
        </row>
        <row r="999">
          <cell r="G999" t="str">
            <v/>
          </cell>
          <cell r="H999" t="str">
            <v/>
          </cell>
          <cell r="M999" t="str">
            <v/>
          </cell>
          <cell r="N999" t="str">
            <v/>
          </cell>
          <cell r="O999" t="str">
            <v/>
          </cell>
          <cell r="T999" t="str">
            <v/>
          </cell>
          <cell r="U999" t="str">
            <v/>
          </cell>
          <cell r="X999" t="str">
            <v/>
          </cell>
          <cell r="AH999" t="str">
            <v/>
          </cell>
          <cell r="AK999" t="str">
            <v/>
          </cell>
          <cell r="AM999" t="str">
            <v/>
          </cell>
          <cell r="AO999" t="str">
            <v/>
          </cell>
          <cell r="AS999" t="str">
            <v/>
          </cell>
          <cell r="AT999" t="str">
            <v/>
          </cell>
          <cell r="AU999" t="str">
            <v/>
          </cell>
          <cell r="AW999" t="str">
            <v/>
          </cell>
          <cell r="AX999" t="str">
            <v/>
          </cell>
        </row>
        <row r="1000">
          <cell r="G1000" t="str">
            <v/>
          </cell>
          <cell r="H1000" t="str">
            <v/>
          </cell>
          <cell r="M1000" t="str">
            <v/>
          </cell>
          <cell r="N1000" t="str">
            <v/>
          </cell>
          <cell r="O1000" t="str">
            <v/>
          </cell>
          <cell r="T1000" t="str">
            <v/>
          </cell>
          <cell r="U1000" t="str">
            <v/>
          </cell>
          <cell r="X1000" t="str">
            <v/>
          </cell>
          <cell r="AH1000" t="str">
            <v/>
          </cell>
          <cell r="AK1000" t="str">
            <v/>
          </cell>
          <cell r="AM1000" t="str">
            <v/>
          </cell>
          <cell r="AO1000" t="str">
            <v/>
          </cell>
          <cell r="AS1000" t="str">
            <v/>
          </cell>
          <cell r="AT1000" t="str">
            <v/>
          </cell>
          <cell r="AU1000" t="str">
            <v/>
          </cell>
          <cell r="AW1000" t="str">
            <v/>
          </cell>
          <cell r="AX1000" t="str">
            <v/>
          </cell>
        </row>
        <row r="1001">
          <cell r="G1001" t="str">
            <v/>
          </cell>
          <cell r="H1001" t="str">
            <v/>
          </cell>
          <cell r="M1001" t="str">
            <v/>
          </cell>
          <cell r="N1001" t="str">
            <v/>
          </cell>
          <cell r="O1001" t="str">
            <v/>
          </cell>
          <cell r="T1001" t="str">
            <v/>
          </cell>
          <cell r="U1001" t="str">
            <v/>
          </cell>
          <cell r="X1001" t="str">
            <v/>
          </cell>
          <cell r="AH1001" t="str">
            <v/>
          </cell>
          <cell r="AK1001" t="str">
            <v/>
          </cell>
          <cell r="AM1001" t="str">
            <v/>
          </cell>
          <cell r="AO1001" t="str">
            <v/>
          </cell>
          <cell r="AS1001" t="str">
            <v/>
          </cell>
          <cell r="AT1001" t="str">
            <v/>
          </cell>
          <cell r="AU1001" t="str">
            <v/>
          </cell>
          <cell r="AW1001" t="str">
            <v/>
          </cell>
          <cell r="AX1001" t="str">
            <v/>
          </cell>
        </row>
        <row r="1002">
          <cell r="G1002" t="str">
            <v/>
          </cell>
          <cell r="H1002" t="str">
            <v/>
          </cell>
          <cell r="M1002" t="str">
            <v/>
          </cell>
          <cell r="N1002" t="str">
            <v/>
          </cell>
          <cell r="O1002" t="str">
            <v/>
          </cell>
          <cell r="T1002" t="str">
            <v/>
          </cell>
          <cell r="U1002" t="str">
            <v/>
          </cell>
          <cell r="X1002" t="str">
            <v/>
          </cell>
          <cell r="AH1002" t="str">
            <v/>
          </cell>
          <cell r="AK1002" t="str">
            <v/>
          </cell>
          <cell r="AM1002" t="str">
            <v/>
          </cell>
          <cell r="AO1002" t="str">
            <v/>
          </cell>
          <cell r="AS1002" t="str">
            <v/>
          </cell>
          <cell r="AT1002" t="str">
            <v/>
          </cell>
          <cell r="AU1002" t="str">
            <v/>
          </cell>
          <cell r="AW1002" t="str">
            <v/>
          </cell>
          <cell r="AX1002" t="str">
            <v/>
          </cell>
        </row>
        <row r="1003">
          <cell r="G1003" t="str">
            <v/>
          </cell>
          <cell r="H1003" t="str">
            <v/>
          </cell>
          <cell r="M1003" t="str">
            <v/>
          </cell>
          <cell r="N1003" t="str">
            <v/>
          </cell>
          <cell r="O1003" t="str">
            <v/>
          </cell>
          <cell r="T1003" t="str">
            <v/>
          </cell>
          <cell r="U1003" t="str">
            <v/>
          </cell>
          <cell r="X1003" t="str">
            <v/>
          </cell>
          <cell r="AH1003" t="str">
            <v/>
          </cell>
          <cell r="AK1003" t="str">
            <v/>
          </cell>
          <cell r="AM1003" t="str">
            <v/>
          </cell>
          <cell r="AO1003" t="str">
            <v/>
          </cell>
          <cell r="AS1003" t="str">
            <v/>
          </cell>
          <cell r="AT1003" t="str">
            <v/>
          </cell>
          <cell r="AU1003" t="str">
            <v/>
          </cell>
          <cell r="AW1003" t="str">
            <v/>
          </cell>
          <cell r="AX1003" t="str">
            <v/>
          </cell>
        </row>
        <row r="1004">
          <cell r="G1004" t="str">
            <v/>
          </cell>
          <cell r="H1004" t="str">
            <v/>
          </cell>
          <cell r="M1004" t="str">
            <v/>
          </cell>
          <cell r="N1004" t="str">
            <v/>
          </cell>
          <cell r="O1004" t="str">
            <v/>
          </cell>
          <cell r="T1004" t="str">
            <v/>
          </cell>
          <cell r="U1004" t="str">
            <v/>
          </cell>
          <cell r="X1004" t="str">
            <v/>
          </cell>
          <cell r="AH1004" t="str">
            <v/>
          </cell>
          <cell r="AK1004" t="str">
            <v/>
          </cell>
          <cell r="AM1004" t="str">
            <v/>
          </cell>
          <cell r="AO1004" t="str">
            <v/>
          </cell>
          <cell r="AS1004" t="str">
            <v/>
          </cell>
          <cell r="AT1004" t="str">
            <v/>
          </cell>
          <cell r="AU1004" t="str">
            <v/>
          </cell>
          <cell r="AW1004" t="str">
            <v/>
          </cell>
          <cell r="AX1004" t="str">
            <v/>
          </cell>
        </row>
        <row r="1005">
          <cell r="G1005" t="str">
            <v/>
          </cell>
          <cell r="H1005" t="str">
            <v/>
          </cell>
          <cell r="M1005" t="str">
            <v/>
          </cell>
          <cell r="N1005" t="str">
            <v/>
          </cell>
          <cell r="O1005" t="str">
            <v/>
          </cell>
          <cell r="T1005" t="str">
            <v/>
          </cell>
          <cell r="U1005" t="str">
            <v/>
          </cell>
          <cell r="X1005" t="str">
            <v/>
          </cell>
          <cell r="AH1005" t="str">
            <v/>
          </cell>
          <cell r="AK1005" t="str">
            <v/>
          </cell>
          <cell r="AM1005" t="str">
            <v/>
          </cell>
          <cell r="AO1005" t="str">
            <v/>
          </cell>
          <cell r="AS1005" t="str">
            <v/>
          </cell>
          <cell r="AT1005" t="str">
            <v/>
          </cell>
          <cell r="AU1005" t="str">
            <v/>
          </cell>
          <cell r="AW1005" t="str">
            <v/>
          </cell>
          <cell r="AX1005" t="str">
            <v/>
          </cell>
        </row>
        <row r="1006">
          <cell r="G1006" t="str">
            <v/>
          </cell>
          <cell r="H1006" t="str">
            <v/>
          </cell>
          <cell r="M1006" t="str">
            <v/>
          </cell>
          <cell r="N1006" t="str">
            <v/>
          </cell>
          <cell r="O1006" t="str">
            <v/>
          </cell>
          <cell r="T1006" t="str">
            <v/>
          </cell>
          <cell r="U1006" t="str">
            <v/>
          </cell>
          <cell r="X1006" t="str">
            <v/>
          </cell>
          <cell r="AH1006" t="str">
            <v/>
          </cell>
          <cell r="AK1006" t="str">
            <v/>
          </cell>
          <cell r="AM1006" t="str">
            <v/>
          </cell>
          <cell r="AO1006" t="str">
            <v/>
          </cell>
          <cell r="AS1006" t="str">
            <v/>
          </cell>
          <cell r="AT1006" t="str">
            <v/>
          </cell>
          <cell r="AU1006" t="str">
            <v/>
          </cell>
          <cell r="AW1006" t="str">
            <v/>
          </cell>
          <cell r="AX1006" t="str">
            <v/>
          </cell>
        </row>
        <row r="1007">
          <cell r="G1007" t="str">
            <v/>
          </cell>
          <cell r="H1007" t="str">
            <v/>
          </cell>
          <cell r="M1007" t="str">
            <v/>
          </cell>
          <cell r="N1007" t="str">
            <v/>
          </cell>
          <cell r="O1007" t="str">
            <v/>
          </cell>
          <cell r="T1007" t="str">
            <v/>
          </cell>
          <cell r="U1007" t="str">
            <v/>
          </cell>
          <cell r="X1007" t="str">
            <v/>
          </cell>
          <cell r="AH1007" t="str">
            <v/>
          </cell>
          <cell r="AK1007" t="str">
            <v/>
          </cell>
          <cell r="AM1007" t="str">
            <v/>
          </cell>
          <cell r="AO1007" t="str">
            <v/>
          </cell>
          <cell r="AS1007" t="str">
            <v/>
          </cell>
          <cell r="AT1007" t="str">
            <v/>
          </cell>
          <cell r="AU1007" t="str">
            <v/>
          </cell>
          <cell r="AW1007" t="str">
            <v/>
          </cell>
          <cell r="AX1007" t="str">
            <v/>
          </cell>
        </row>
        <row r="1008">
          <cell r="G1008" t="str">
            <v/>
          </cell>
          <cell r="H1008" t="str">
            <v/>
          </cell>
          <cell r="M1008" t="str">
            <v/>
          </cell>
          <cell r="N1008" t="str">
            <v/>
          </cell>
          <cell r="O1008" t="str">
            <v/>
          </cell>
          <cell r="T1008" t="str">
            <v/>
          </cell>
          <cell r="U1008" t="str">
            <v/>
          </cell>
          <cell r="X1008" t="str">
            <v/>
          </cell>
          <cell r="AH1008" t="str">
            <v/>
          </cell>
          <cell r="AK1008" t="str">
            <v/>
          </cell>
          <cell r="AM1008" t="str">
            <v/>
          </cell>
          <cell r="AO1008" t="str">
            <v/>
          </cell>
          <cell r="AS1008" t="str">
            <v/>
          </cell>
          <cell r="AT1008" t="str">
            <v/>
          </cell>
          <cell r="AU1008" t="str">
            <v/>
          </cell>
          <cell r="AW1008" t="str">
            <v/>
          </cell>
          <cell r="AX1008" t="str">
            <v/>
          </cell>
        </row>
        <row r="1009">
          <cell r="G1009" t="str">
            <v/>
          </cell>
          <cell r="H1009" t="str">
            <v/>
          </cell>
          <cell r="M1009" t="str">
            <v/>
          </cell>
          <cell r="N1009" t="str">
            <v/>
          </cell>
          <cell r="O1009" t="str">
            <v/>
          </cell>
          <cell r="T1009" t="str">
            <v/>
          </cell>
          <cell r="U1009" t="str">
            <v/>
          </cell>
          <cell r="X1009" t="str">
            <v/>
          </cell>
          <cell r="AH1009" t="str">
            <v/>
          </cell>
          <cell r="AK1009" t="str">
            <v/>
          </cell>
          <cell r="AM1009" t="str">
            <v/>
          </cell>
          <cell r="AO1009" t="str">
            <v/>
          </cell>
          <cell r="AS1009" t="str">
            <v/>
          </cell>
          <cell r="AT1009" t="str">
            <v/>
          </cell>
          <cell r="AU1009" t="str">
            <v/>
          </cell>
          <cell r="AW1009" t="str">
            <v/>
          </cell>
          <cell r="AX1009" t="str">
            <v/>
          </cell>
        </row>
        <row r="1010">
          <cell r="G1010" t="str">
            <v/>
          </cell>
          <cell r="H1010" t="str">
            <v/>
          </cell>
          <cell r="M1010" t="str">
            <v/>
          </cell>
          <cell r="N1010" t="str">
            <v/>
          </cell>
          <cell r="O1010" t="str">
            <v/>
          </cell>
          <cell r="T1010" t="str">
            <v/>
          </cell>
          <cell r="U1010" t="str">
            <v/>
          </cell>
          <cell r="X1010" t="str">
            <v/>
          </cell>
          <cell r="AH1010" t="str">
            <v/>
          </cell>
          <cell r="AK1010" t="str">
            <v/>
          </cell>
          <cell r="AM1010" t="str">
            <v/>
          </cell>
          <cell r="AO1010" t="str">
            <v/>
          </cell>
          <cell r="AS1010" t="str">
            <v/>
          </cell>
          <cell r="AT1010" t="str">
            <v/>
          </cell>
          <cell r="AU1010" t="str">
            <v/>
          </cell>
          <cell r="AW1010" t="str">
            <v/>
          </cell>
          <cell r="AX1010" t="str">
            <v/>
          </cell>
        </row>
        <row r="1011">
          <cell r="G1011" t="str">
            <v/>
          </cell>
          <cell r="H1011" t="str">
            <v/>
          </cell>
          <cell r="M1011" t="str">
            <v/>
          </cell>
          <cell r="N1011" t="str">
            <v/>
          </cell>
          <cell r="O1011" t="str">
            <v/>
          </cell>
          <cell r="T1011" t="str">
            <v/>
          </cell>
          <cell r="U1011" t="str">
            <v/>
          </cell>
          <cell r="X1011" t="str">
            <v/>
          </cell>
          <cell r="AH1011" t="str">
            <v/>
          </cell>
          <cell r="AK1011" t="str">
            <v/>
          </cell>
          <cell r="AM1011" t="str">
            <v/>
          </cell>
          <cell r="AO1011" t="str">
            <v/>
          </cell>
          <cell r="AS1011" t="str">
            <v/>
          </cell>
          <cell r="AT1011" t="str">
            <v/>
          </cell>
          <cell r="AU1011" t="str">
            <v/>
          </cell>
          <cell r="AW1011" t="str">
            <v/>
          </cell>
          <cell r="AX1011" t="str">
            <v/>
          </cell>
        </row>
        <row r="1012">
          <cell r="G1012" t="str">
            <v/>
          </cell>
          <cell r="H1012" t="str">
            <v/>
          </cell>
          <cell r="M1012" t="str">
            <v/>
          </cell>
          <cell r="N1012" t="str">
            <v/>
          </cell>
          <cell r="O1012" t="str">
            <v/>
          </cell>
          <cell r="T1012" t="str">
            <v/>
          </cell>
          <cell r="U1012" t="str">
            <v/>
          </cell>
          <cell r="X1012" t="str">
            <v/>
          </cell>
          <cell r="AH1012" t="str">
            <v/>
          </cell>
          <cell r="AK1012" t="str">
            <v/>
          </cell>
          <cell r="AM1012" t="str">
            <v/>
          </cell>
          <cell r="AO1012" t="str">
            <v/>
          </cell>
          <cell r="AS1012" t="str">
            <v/>
          </cell>
          <cell r="AT1012" t="str">
            <v/>
          </cell>
          <cell r="AU1012" t="str">
            <v/>
          </cell>
          <cell r="AW1012" t="str">
            <v/>
          </cell>
          <cell r="AX1012" t="str">
            <v/>
          </cell>
        </row>
        <row r="1013">
          <cell r="G1013" t="str">
            <v/>
          </cell>
          <cell r="H1013" t="str">
            <v/>
          </cell>
          <cell r="M1013" t="str">
            <v/>
          </cell>
          <cell r="N1013" t="str">
            <v/>
          </cell>
          <cell r="O1013" t="str">
            <v/>
          </cell>
          <cell r="T1013" t="str">
            <v/>
          </cell>
          <cell r="U1013" t="str">
            <v/>
          </cell>
          <cell r="X1013" t="str">
            <v/>
          </cell>
          <cell r="AH1013" t="str">
            <v/>
          </cell>
          <cell r="AK1013" t="str">
            <v/>
          </cell>
          <cell r="AM1013" t="str">
            <v/>
          </cell>
          <cell r="AO1013" t="str">
            <v/>
          </cell>
          <cell r="AS1013" t="str">
            <v/>
          </cell>
          <cell r="AT1013" t="str">
            <v/>
          </cell>
          <cell r="AU1013" t="str">
            <v/>
          </cell>
          <cell r="AW1013" t="str">
            <v/>
          </cell>
          <cell r="AX1013" t="str">
            <v/>
          </cell>
        </row>
        <row r="1014">
          <cell r="G1014" t="str">
            <v/>
          </cell>
          <cell r="H1014" t="str">
            <v/>
          </cell>
          <cell r="M1014" t="str">
            <v/>
          </cell>
          <cell r="N1014" t="str">
            <v/>
          </cell>
          <cell r="O1014" t="str">
            <v/>
          </cell>
          <cell r="T1014" t="str">
            <v/>
          </cell>
          <cell r="U1014" t="str">
            <v/>
          </cell>
          <cell r="X1014" t="str">
            <v/>
          </cell>
          <cell r="AH1014" t="str">
            <v/>
          </cell>
          <cell r="AK1014" t="str">
            <v/>
          </cell>
          <cell r="AM1014" t="str">
            <v/>
          </cell>
          <cell r="AO1014" t="str">
            <v/>
          </cell>
          <cell r="AS1014" t="str">
            <v/>
          </cell>
          <cell r="AT1014" t="str">
            <v/>
          </cell>
          <cell r="AU1014" t="str">
            <v/>
          </cell>
          <cell r="AW1014" t="str">
            <v/>
          </cell>
          <cell r="AX1014" t="str">
            <v/>
          </cell>
        </row>
        <row r="1015">
          <cell r="G1015" t="str">
            <v/>
          </cell>
          <cell r="H1015" t="str">
            <v/>
          </cell>
          <cell r="M1015" t="str">
            <v/>
          </cell>
          <cell r="N1015" t="str">
            <v/>
          </cell>
          <cell r="O1015" t="str">
            <v/>
          </cell>
          <cell r="T1015" t="str">
            <v/>
          </cell>
          <cell r="U1015" t="str">
            <v/>
          </cell>
          <cell r="X1015" t="str">
            <v/>
          </cell>
          <cell r="AH1015" t="str">
            <v/>
          </cell>
          <cell r="AK1015" t="str">
            <v/>
          </cell>
          <cell r="AM1015" t="str">
            <v/>
          </cell>
          <cell r="AO1015" t="str">
            <v/>
          </cell>
          <cell r="AS1015" t="str">
            <v/>
          </cell>
          <cell r="AT1015" t="str">
            <v/>
          </cell>
          <cell r="AU1015" t="str">
            <v/>
          </cell>
          <cell r="AW1015" t="str">
            <v/>
          </cell>
          <cell r="AX1015" t="str">
            <v/>
          </cell>
        </row>
        <row r="1016">
          <cell r="G1016" t="str">
            <v/>
          </cell>
          <cell r="H1016" t="str">
            <v/>
          </cell>
          <cell r="M1016" t="str">
            <v/>
          </cell>
          <cell r="N1016" t="str">
            <v/>
          </cell>
          <cell r="O1016" t="str">
            <v/>
          </cell>
          <cell r="T1016" t="str">
            <v/>
          </cell>
          <cell r="U1016" t="str">
            <v/>
          </cell>
          <cell r="X1016" t="str">
            <v/>
          </cell>
          <cell r="AH1016" t="str">
            <v/>
          </cell>
          <cell r="AK1016" t="str">
            <v/>
          </cell>
          <cell r="AM1016" t="str">
            <v/>
          </cell>
          <cell r="AO1016" t="str">
            <v/>
          </cell>
          <cell r="AS1016" t="str">
            <v/>
          </cell>
          <cell r="AT1016" t="str">
            <v/>
          </cell>
          <cell r="AU1016" t="str">
            <v/>
          </cell>
          <cell r="AW1016" t="str">
            <v/>
          </cell>
          <cell r="AX1016" t="str">
            <v/>
          </cell>
        </row>
        <row r="1017">
          <cell r="G1017" t="str">
            <v/>
          </cell>
          <cell r="H1017" t="str">
            <v/>
          </cell>
          <cell r="M1017" t="str">
            <v/>
          </cell>
          <cell r="N1017" t="str">
            <v/>
          </cell>
          <cell r="O1017" t="str">
            <v/>
          </cell>
          <cell r="T1017" t="str">
            <v/>
          </cell>
          <cell r="U1017" t="str">
            <v/>
          </cell>
          <cell r="X1017" t="str">
            <v/>
          </cell>
          <cell r="AH1017" t="str">
            <v/>
          </cell>
          <cell r="AK1017" t="str">
            <v/>
          </cell>
          <cell r="AM1017" t="str">
            <v/>
          </cell>
          <cell r="AO1017" t="str">
            <v/>
          </cell>
          <cell r="AS1017" t="str">
            <v/>
          </cell>
          <cell r="AT1017" t="str">
            <v/>
          </cell>
          <cell r="AU1017" t="str">
            <v/>
          </cell>
          <cell r="AW1017" t="str">
            <v/>
          </cell>
          <cell r="AX1017" t="str">
            <v/>
          </cell>
        </row>
        <row r="1018">
          <cell r="G1018" t="str">
            <v/>
          </cell>
          <cell r="H1018" t="str">
            <v/>
          </cell>
          <cell r="M1018" t="str">
            <v/>
          </cell>
          <cell r="N1018" t="str">
            <v/>
          </cell>
          <cell r="O1018" t="str">
            <v/>
          </cell>
          <cell r="T1018" t="str">
            <v/>
          </cell>
          <cell r="U1018" t="str">
            <v/>
          </cell>
          <cell r="X1018" t="str">
            <v/>
          </cell>
          <cell r="AH1018" t="str">
            <v/>
          </cell>
          <cell r="AK1018" t="str">
            <v/>
          </cell>
          <cell r="AM1018" t="str">
            <v/>
          </cell>
          <cell r="AO1018" t="str">
            <v/>
          </cell>
          <cell r="AS1018" t="str">
            <v/>
          </cell>
          <cell r="AT1018" t="str">
            <v/>
          </cell>
          <cell r="AU1018" t="str">
            <v/>
          </cell>
          <cell r="AW1018" t="str">
            <v/>
          </cell>
          <cell r="AX1018" t="str">
            <v/>
          </cell>
        </row>
        <row r="1019">
          <cell r="G1019" t="str">
            <v/>
          </cell>
          <cell r="H1019" t="str">
            <v/>
          </cell>
          <cell r="M1019" t="str">
            <v/>
          </cell>
          <cell r="N1019" t="str">
            <v/>
          </cell>
          <cell r="O1019" t="str">
            <v/>
          </cell>
          <cell r="T1019" t="str">
            <v/>
          </cell>
          <cell r="U1019" t="str">
            <v/>
          </cell>
          <cell r="X1019" t="str">
            <v/>
          </cell>
          <cell r="AH1019" t="str">
            <v/>
          </cell>
          <cell r="AK1019" t="str">
            <v/>
          </cell>
          <cell r="AM1019" t="str">
            <v/>
          </cell>
          <cell r="AO1019" t="str">
            <v/>
          </cell>
          <cell r="AS1019" t="str">
            <v/>
          </cell>
          <cell r="AT1019" t="str">
            <v/>
          </cell>
          <cell r="AU1019" t="str">
            <v/>
          </cell>
          <cell r="AW1019" t="str">
            <v/>
          </cell>
          <cell r="AX1019" t="str">
            <v/>
          </cell>
        </row>
        <row r="1020">
          <cell r="G1020" t="str">
            <v/>
          </cell>
          <cell r="H1020" t="str">
            <v/>
          </cell>
          <cell r="M1020" t="str">
            <v/>
          </cell>
          <cell r="N1020" t="str">
            <v/>
          </cell>
          <cell r="O1020" t="str">
            <v/>
          </cell>
          <cell r="T1020" t="str">
            <v/>
          </cell>
          <cell r="U1020" t="str">
            <v/>
          </cell>
          <cell r="X1020" t="str">
            <v/>
          </cell>
          <cell r="AH1020" t="str">
            <v/>
          </cell>
          <cell r="AK1020" t="str">
            <v/>
          </cell>
          <cell r="AM1020" t="str">
            <v/>
          </cell>
          <cell r="AO1020" t="str">
            <v/>
          </cell>
          <cell r="AS1020" t="str">
            <v/>
          </cell>
          <cell r="AT1020" t="str">
            <v/>
          </cell>
          <cell r="AU1020" t="str">
            <v/>
          </cell>
          <cell r="AW1020" t="str">
            <v/>
          </cell>
          <cell r="AX1020" t="str">
            <v/>
          </cell>
        </row>
        <row r="1021">
          <cell r="G1021" t="str">
            <v/>
          </cell>
          <cell r="H1021" t="str">
            <v/>
          </cell>
          <cell r="M1021" t="str">
            <v/>
          </cell>
          <cell r="N1021" t="str">
            <v/>
          </cell>
          <cell r="O1021" t="str">
            <v/>
          </cell>
          <cell r="T1021" t="str">
            <v/>
          </cell>
          <cell r="U1021" t="str">
            <v/>
          </cell>
          <cell r="X1021" t="str">
            <v/>
          </cell>
          <cell r="AH1021" t="str">
            <v/>
          </cell>
          <cell r="AK1021" t="str">
            <v/>
          </cell>
          <cell r="AM1021" t="str">
            <v/>
          </cell>
          <cell r="AO1021" t="str">
            <v/>
          </cell>
          <cell r="AS1021" t="str">
            <v/>
          </cell>
          <cell r="AT1021" t="str">
            <v/>
          </cell>
          <cell r="AU1021" t="str">
            <v/>
          </cell>
          <cell r="AW1021" t="str">
            <v/>
          </cell>
          <cell r="AX1021" t="str">
            <v/>
          </cell>
        </row>
        <row r="1022">
          <cell r="G1022" t="str">
            <v/>
          </cell>
          <cell r="H1022" t="str">
            <v/>
          </cell>
          <cell r="M1022" t="str">
            <v/>
          </cell>
          <cell r="N1022" t="str">
            <v/>
          </cell>
          <cell r="O1022" t="str">
            <v/>
          </cell>
          <cell r="T1022" t="str">
            <v/>
          </cell>
          <cell r="U1022" t="str">
            <v/>
          </cell>
          <cell r="X1022" t="str">
            <v/>
          </cell>
          <cell r="AH1022" t="str">
            <v/>
          </cell>
          <cell r="AK1022" t="str">
            <v/>
          </cell>
          <cell r="AM1022" t="str">
            <v/>
          </cell>
          <cell r="AO1022" t="str">
            <v/>
          </cell>
          <cell r="AS1022" t="str">
            <v/>
          </cell>
          <cell r="AT1022" t="str">
            <v/>
          </cell>
          <cell r="AU1022" t="str">
            <v/>
          </cell>
          <cell r="AW1022" t="str">
            <v/>
          </cell>
          <cell r="AX1022" t="str">
            <v/>
          </cell>
        </row>
        <row r="1023">
          <cell r="G1023" t="str">
            <v/>
          </cell>
          <cell r="H1023" t="str">
            <v/>
          </cell>
          <cell r="M1023" t="str">
            <v/>
          </cell>
          <cell r="N1023" t="str">
            <v/>
          </cell>
          <cell r="O1023" t="str">
            <v/>
          </cell>
          <cell r="T1023" t="str">
            <v/>
          </cell>
          <cell r="U1023" t="str">
            <v/>
          </cell>
          <cell r="X1023" t="str">
            <v/>
          </cell>
          <cell r="AH1023" t="str">
            <v/>
          </cell>
          <cell r="AK1023" t="str">
            <v/>
          </cell>
          <cell r="AM1023" t="str">
            <v/>
          </cell>
          <cell r="AO1023" t="str">
            <v/>
          </cell>
          <cell r="AS1023" t="str">
            <v/>
          </cell>
          <cell r="AT1023" t="str">
            <v/>
          </cell>
          <cell r="AU1023" t="str">
            <v/>
          </cell>
          <cell r="AW1023" t="str">
            <v/>
          </cell>
          <cell r="AX1023" t="str">
            <v/>
          </cell>
        </row>
        <row r="1024">
          <cell r="G1024" t="str">
            <v/>
          </cell>
          <cell r="H1024" t="str">
            <v/>
          </cell>
          <cell r="M1024" t="str">
            <v/>
          </cell>
          <cell r="N1024" t="str">
            <v/>
          </cell>
          <cell r="O1024" t="str">
            <v/>
          </cell>
          <cell r="T1024" t="str">
            <v/>
          </cell>
          <cell r="U1024" t="str">
            <v/>
          </cell>
          <cell r="X1024" t="str">
            <v/>
          </cell>
          <cell r="AH1024" t="str">
            <v/>
          </cell>
          <cell r="AK1024" t="str">
            <v/>
          </cell>
          <cell r="AM1024" t="str">
            <v/>
          </cell>
          <cell r="AO1024" t="str">
            <v/>
          </cell>
          <cell r="AS1024" t="str">
            <v/>
          </cell>
          <cell r="AT1024" t="str">
            <v/>
          </cell>
          <cell r="AU1024" t="str">
            <v/>
          </cell>
          <cell r="AW1024" t="str">
            <v/>
          </cell>
          <cell r="AX1024" t="str">
            <v/>
          </cell>
        </row>
        <row r="1025">
          <cell r="G1025" t="str">
            <v/>
          </cell>
          <cell r="H1025" t="str">
            <v/>
          </cell>
          <cell r="M1025" t="str">
            <v/>
          </cell>
          <cell r="N1025" t="str">
            <v/>
          </cell>
          <cell r="O1025" t="str">
            <v/>
          </cell>
          <cell r="T1025" t="str">
            <v/>
          </cell>
          <cell r="U1025" t="str">
            <v/>
          </cell>
          <cell r="X1025" t="str">
            <v/>
          </cell>
          <cell r="AH1025" t="str">
            <v/>
          </cell>
          <cell r="AK1025" t="str">
            <v/>
          </cell>
          <cell r="AM1025" t="str">
            <v/>
          </cell>
          <cell r="AO1025" t="str">
            <v/>
          </cell>
          <cell r="AS1025" t="str">
            <v/>
          </cell>
          <cell r="AT1025" t="str">
            <v/>
          </cell>
          <cell r="AU1025" t="str">
            <v/>
          </cell>
          <cell r="AW1025" t="str">
            <v/>
          </cell>
          <cell r="AX1025" t="str">
            <v/>
          </cell>
        </row>
        <row r="1026">
          <cell r="G1026" t="str">
            <v/>
          </cell>
          <cell r="H1026" t="str">
            <v/>
          </cell>
          <cell r="M1026" t="str">
            <v/>
          </cell>
          <cell r="N1026" t="str">
            <v/>
          </cell>
          <cell r="O1026" t="str">
            <v/>
          </cell>
          <cell r="T1026" t="str">
            <v/>
          </cell>
          <cell r="U1026" t="str">
            <v/>
          </cell>
          <cell r="X1026" t="str">
            <v/>
          </cell>
          <cell r="AH1026" t="str">
            <v/>
          </cell>
          <cell r="AK1026" t="str">
            <v/>
          </cell>
          <cell r="AM1026" t="str">
            <v/>
          </cell>
          <cell r="AO1026" t="str">
            <v/>
          </cell>
          <cell r="AS1026" t="str">
            <v/>
          </cell>
          <cell r="AT1026" t="str">
            <v/>
          </cell>
          <cell r="AU1026" t="str">
            <v/>
          </cell>
          <cell r="AW1026" t="str">
            <v/>
          </cell>
          <cell r="AX1026" t="str">
            <v/>
          </cell>
        </row>
        <row r="1027">
          <cell r="G1027" t="str">
            <v/>
          </cell>
          <cell r="H1027" t="str">
            <v/>
          </cell>
          <cell r="M1027" t="str">
            <v/>
          </cell>
          <cell r="N1027" t="str">
            <v/>
          </cell>
          <cell r="O1027" t="str">
            <v/>
          </cell>
          <cell r="T1027" t="str">
            <v/>
          </cell>
          <cell r="U1027" t="str">
            <v/>
          </cell>
          <cell r="X1027" t="str">
            <v/>
          </cell>
          <cell r="AH1027" t="str">
            <v/>
          </cell>
          <cell r="AK1027" t="str">
            <v/>
          </cell>
          <cell r="AM1027" t="str">
            <v/>
          </cell>
          <cell r="AO1027" t="str">
            <v/>
          </cell>
          <cell r="AS1027" t="str">
            <v/>
          </cell>
          <cell r="AT1027" t="str">
            <v/>
          </cell>
          <cell r="AU1027" t="str">
            <v/>
          </cell>
          <cell r="AW1027" t="str">
            <v/>
          </cell>
          <cell r="AX1027" t="str">
            <v/>
          </cell>
        </row>
        <row r="1028">
          <cell r="G1028" t="str">
            <v/>
          </cell>
          <cell r="H1028" t="str">
            <v/>
          </cell>
          <cell r="M1028" t="str">
            <v/>
          </cell>
          <cell r="N1028" t="str">
            <v/>
          </cell>
          <cell r="O1028" t="str">
            <v/>
          </cell>
          <cell r="T1028" t="str">
            <v/>
          </cell>
          <cell r="U1028" t="str">
            <v/>
          </cell>
          <cell r="X1028" t="str">
            <v/>
          </cell>
          <cell r="AH1028" t="str">
            <v/>
          </cell>
          <cell r="AK1028" t="str">
            <v/>
          </cell>
          <cell r="AM1028" t="str">
            <v/>
          </cell>
          <cell r="AO1028" t="str">
            <v/>
          </cell>
          <cell r="AS1028" t="str">
            <v/>
          </cell>
          <cell r="AT1028" t="str">
            <v/>
          </cell>
          <cell r="AU1028" t="str">
            <v/>
          </cell>
          <cell r="AW1028" t="str">
            <v/>
          </cell>
          <cell r="AX1028" t="str">
            <v/>
          </cell>
        </row>
        <row r="1029">
          <cell r="G1029" t="str">
            <v/>
          </cell>
          <cell r="H1029" t="str">
            <v/>
          </cell>
          <cell r="M1029" t="str">
            <v/>
          </cell>
          <cell r="N1029" t="str">
            <v/>
          </cell>
          <cell r="O1029" t="str">
            <v/>
          </cell>
          <cell r="T1029" t="str">
            <v/>
          </cell>
          <cell r="U1029" t="str">
            <v/>
          </cell>
          <cell r="X1029" t="str">
            <v/>
          </cell>
          <cell r="AH1029" t="str">
            <v/>
          </cell>
          <cell r="AK1029" t="str">
            <v/>
          </cell>
          <cell r="AM1029" t="str">
            <v/>
          </cell>
          <cell r="AO1029" t="str">
            <v/>
          </cell>
          <cell r="AS1029" t="str">
            <v/>
          </cell>
          <cell r="AT1029" t="str">
            <v/>
          </cell>
          <cell r="AU1029" t="str">
            <v/>
          </cell>
          <cell r="AW1029" t="str">
            <v/>
          </cell>
          <cell r="AX1029" t="str">
            <v/>
          </cell>
        </row>
        <row r="1030">
          <cell r="G1030" t="str">
            <v/>
          </cell>
          <cell r="H1030" t="str">
            <v/>
          </cell>
          <cell r="M1030" t="str">
            <v/>
          </cell>
          <cell r="N1030" t="str">
            <v/>
          </cell>
          <cell r="O1030" t="str">
            <v/>
          </cell>
          <cell r="T1030" t="str">
            <v/>
          </cell>
          <cell r="U1030" t="str">
            <v/>
          </cell>
          <cell r="X1030" t="str">
            <v/>
          </cell>
          <cell r="AH1030" t="str">
            <v/>
          </cell>
          <cell r="AK1030" t="str">
            <v/>
          </cell>
          <cell r="AM1030" t="str">
            <v/>
          </cell>
          <cell r="AO1030" t="str">
            <v/>
          </cell>
          <cell r="AS1030" t="str">
            <v/>
          </cell>
          <cell r="AT1030" t="str">
            <v/>
          </cell>
          <cell r="AU1030" t="str">
            <v/>
          </cell>
          <cell r="AW1030" t="str">
            <v/>
          </cell>
          <cell r="AX1030" t="str">
            <v/>
          </cell>
        </row>
        <row r="1031">
          <cell r="G1031" t="str">
            <v/>
          </cell>
          <cell r="H1031" t="str">
            <v/>
          </cell>
          <cell r="M1031" t="str">
            <v/>
          </cell>
          <cell r="N1031" t="str">
            <v/>
          </cell>
          <cell r="O1031" t="str">
            <v/>
          </cell>
          <cell r="T1031" t="str">
            <v/>
          </cell>
          <cell r="U1031" t="str">
            <v/>
          </cell>
          <cell r="X1031" t="str">
            <v/>
          </cell>
          <cell r="AH1031" t="str">
            <v/>
          </cell>
          <cell r="AK1031" t="str">
            <v/>
          </cell>
          <cell r="AM1031" t="str">
            <v/>
          </cell>
          <cell r="AO1031" t="str">
            <v/>
          </cell>
          <cell r="AS1031" t="str">
            <v/>
          </cell>
          <cell r="AT1031" t="str">
            <v/>
          </cell>
          <cell r="AU1031" t="str">
            <v/>
          </cell>
          <cell r="AW1031" t="str">
            <v/>
          </cell>
          <cell r="AX1031" t="str">
            <v/>
          </cell>
        </row>
        <row r="1032">
          <cell r="G1032" t="str">
            <v/>
          </cell>
          <cell r="H1032" t="str">
            <v/>
          </cell>
          <cell r="M1032" t="str">
            <v/>
          </cell>
          <cell r="N1032" t="str">
            <v/>
          </cell>
          <cell r="O1032" t="str">
            <v/>
          </cell>
          <cell r="T1032" t="str">
            <v/>
          </cell>
          <cell r="U1032" t="str">
            <v/>
          </cell>
          <cell r="X1032" t="str">
            <v/>
          </cell>
          <cell r="AH1032" t="str">
            <v/>
          </cell>
          <cell r="AK1032" t="str">
            <v/>
          </cell>
          <cell r="AM1032" t="str">
            <v/>
          </cell>
          <cell r="AO1032" t="str">
            <v/>
          </cell>
          <cell r="AS1032" t="str">
            <v/>
          </cell>
          <cell r="AT1032" t="str">
            <v/>
          </cell>
          <cell r="AU1032" t="str">
            <v/>
          </cell>
          <cell r="AW1032" t="str">
            <v/>
          </cell>
          <cell r="AX1032" t="str">
            <v/>
          </cell>
        </row>
        <row r="1033">
          <cell r="G1033" t="str">
            <v/>
          </cell>
          <cell r="H1033" t="str">
            <v/>
          </cell>
          <cell r="M1033" t="str">
            <v/>
          </cell>
          <cell r="N1033" t="str">
            <v/>
          </cell>
          <cell r="O1033" t="str">
            <v/>
          </cell>
          <cell r="T1033" t="str">
            <v/>
          </cell>
          <cell r="U1033" t="str">
            <v/>
          </cell>
          <cell r="X1033" t="str">
            <v/>
          </cell>
          <cell r="AH1033" t="str">
            <v/>
          </cell>
          <cell r="AK1033" t="str">
            <v/>
          </cell>
          <cell r="AM1033" t="str">
            <v/>
          </cell>
          <cell r="AO1033" t="str">
            <v/>
          </cell>
          <cell r="AS1033" t="str">
            <v/>
          </cell>
          <cell r="AT1033" t="str">
            <v/>
          </cell>
          <cell r="AU1033" t="str">
            <v/>
          </cell>
          <cell r="AW1033" t="str">
            <v/>
          </cell>
          <cell r="AX1033" t="str">
            <v/>
          </cell>
        </row>
        <row r="1034">
          <cell r="G1034" t="str">
            <v/>
          </cell>
          <cell r="H1034" t="str">
            <v/>
          </cell>
          <cell r="M1034" t="str">
            <v/>
          </cell>
          <cell r="N1034" t="str">
            <v/>
          </cell>
          <cell r="O1034" t="str">
            <v/>
          </cell>
          <cell r="T1034" t="str">
            <v/>
          </cell>
          <cell r="U1034" t="str">
            <v/>
          </cell>
          <cell r="X1034" t="str">
            <v/>
          </cell>
          <cell r="AH1034" t="str">
            <v/>
          </cell>
          <cell r="AK1034" t="str">
            <v/>
          </cell>
          <cell r="AM1034" t="str">
            <v/>
          </cell>
          <cell r="AO1034" t="str">
            <v/>
          </cell>
          <cell r="AS1034" t="str">
            <v/>
          </cell>
          <cell r="AT1034" t="str">
            <v/>
          </cell>
          <cell r="AU1034" t="str">
            <v/>
          </cell>
          <cell r="AW1034" t="str">
            <v/>
          </cell>
          <cell r="AX1034" t="str">
            <v/>
          </cell>
        </row>
        <row r="1035">
          <cell r="G1035" t="str">
            <v/>
          </cell>
          <cell r="H1035" t="str">
            <v/>
          </cell>
          <cell r="M1035" t="str">
            <v/>
          </cell>
          <cell r="N1035" t="str">
            <v/>
          </cell>
          <cell r="O1035" t="str">
            <v/>
          </cell>
          <cell r="T1035" t="str">
            <v/>
          </cell>
          <cell r="U1035" t="str">
            <v/>
          </cell>
          <cell r="X1035" t="str">
            <v/>
          </cell>
          <cell r="AH1035" t="str">
            <v/>
          </cell>
          <cell r="AK1035" t="str">
            <v/>
          </cell>
          <cell r="AM1035" t="str">
            <v/>
          </cell>
          <cell r="AO1035" t="str">
            <v/>
          </cell>
          <cell r="AS1035" t="str">
            <v/>
          </cell>
          <cell r="AT1035" t="str">
            <v/>
          </cell>
          <cell r="AU1035" t="str">
            <v/>
          </cell>
          <cell r="AW1035" t="str">
            <v/>
          </cell>
          <cell r="AX1035" t="str">
            <v/>
          </cell>
        </row>
        <row r="1036">
          <cell r="G1036" t="str">
            <v/>
          </cell>
          <cell r="H1036" t="str">
            <v/>
          </cell>
          <cell r="M1036" t="str">
            <v/>
          </cell>
          <cell r="N1036" t="str">
            <v/>
          </cell>
          <cell r="O1036" t="str">
            <v/>
          </cell>
          <cell r="T1036" t="str">
            <v/>
          </cell>
          <cell r="U1036" t="str">
            <v/>
          </cell>
          <cell r="X1036" t="str">
            <v/>
          </cell>
          <cell r="AH1036" t="str">
            <v/>
          </cell>
          <cell r="AK1036" t="str">
            <v/>
          </cell>
          <cell r="AM1036" t="str">
            <v/>
          </cell>
          <cell r="AO1036" t="str">
            <v/>
          </cell>
          <cell r="AS1036" t="str">
            <v/>
          </cell>
          <cell r="AT1036" t="str">
            <v/>
          </cell>
          <cell r="AU1036" t="str">
            <v/>
          </cell>
          <cell r="AW1036" t="str">
            <v/>
          </cell>
          <cell r="AX1036" t="str">
            <v/>
          </cell>
        </row>
        <row r="1037">
          <cell r="G1037" t="str">
            <v/>
          </cell>
          <cell r="H1037" t="str">
            <v/>
          </cell>
          <cell r="M1037" t="str">
            <v/>
          </cell>
          <cell r="N1037" t="str">
            <v/>
          </cell>
          <cell r="O1037" t="str">
            <v/>
          </cell>
          <cell r="T1037" t="str">
            <v/>
          </cell>
          <cell r="U1037" t="str">
            <v/>
          </cell>
          <cell r="X1037" t="str">
            <v/>
          </cell>
          <cell r="AH1037" t="str">
            <v/>
          </cell>
          <cell r="AK1037" t="str">
            <v/>
          </cell>
          <cell r="AM1037" t="str">
            <v/>
          </cell>
          <cell r="AO1037" t="str">
            <v/>
          </cell>
          <cell r="AS1037" t="str">
            <v/>
          </cell>
          <cell r="AT1037" t="str">
            <v/>
          </cell>
          <cell r="AU1037" t="str">
            <v/>
          </cell>
          <cell r="AW1037" t="str">
            <v/>
          </cell>
          <cell r="AX1037" t="str">
            <v/>
          </cell>
        </row>
        <row r="1038">
          <cell r="G1038" t="str">
            <v/>
          </cell>
          <cell r="H1038" t="str">
            <v/>
          </cell>
          <cell r="M1038" t="str">
            <v/>
          </cell>
          <cell r="N1038" t="str">
            <v/>
          </cell>
          <cell r="O1038" t="str">
            <v/>
          </cell>
          <cell r="T1038" t="str">
            <v/>
          </cell>
          <cell r="U1038" t="str">
            <v/>
          </cell>
          <cell r="X1038" t="str">
            <v/>
          </cell>
          <cell r="AH1038" t="str">
            <v/>
          </cell>
          <cell r="AK1038" t="str">
            <v/>
          </cell>
          <cell r="AM1038" t="str">
            <v/>
          </cell>
          <cell r="AO1038" t="str">
            <v/>
          </cell>
          <cell r="AS1038" t="str">
            <v/>
          </cell>
          <cell r="AT1038" t="str">
            <v/>
          </cell>
          <cell r="AU1038" t="str">
            <v/>
          </cell>
          <cell r="AW1038" t="str">
            <v/>
          </cell>
          <cell r="AX1038" t="str">
            <v/>
          </cell>
        </row>
        <row r="1039">
          <cell r="G1039" t="str">
            <v/>
          </cell>
          <cell r="H1039" t="str">
            <v/>
          </cell>
          <cell r="M1039" t="str">
            <v/>
          </cell>
          <cell r="N1039" t="str">
            <v/>
          </cell>
          <cell r="O1039" t="str">
            <v/>
          </cell>
          <cell r="T1039" t="str">
            <v/>
          </cell>
          <cell r="U1039" t="str">
            <v/>
          </cell>
          <cell r="X1039" t="str">
            <v/>
          </cell>
          <cell r="AH1039" t="str">
            <v/>
          </cell>
          <cell r="AK1039" t="str">
            <v/>
          </cell>
          <cell r="AM1039" t="str">
            <v/>
          </cell>
          <cell r="AO1039" t="str">
            <v/>
          </cell>
          <cell r="AS1039" t="str">
            <v/>
          </cell>
          <cell r="AT1039" t="str">
            <v/>
          </cell>
          <cell r="AU1039" t="str">
            <v/>
          </cell>
          <cell r="AW1039" t="str">
            <v/>
          </cell>
          <cell r="AX1039" t="str">
            <v/>
          </cell>
        </row>
        <row r="1040">
          <cell r="G1040" t="str">
            <v/>
          </cell>
          <cell r="H1040" t="str">
            <v/>
          </cell>
          <cell r="M1040" t="str">
            <v/>
          </cell>
          <cell r="N1040" t="str">
            <v/>
          </cell>
          <cell r="O1040" t="str">
            <v/>
          </cell>
          <cell r="T1040" t="str">
            <v/>
          </cell>
          <cell r="U1040" t="str">
            <v/>
          </cell>
          <cell r="X1040" t="str">
            <v/>
          </cell>
          <cell r="AH1040" t="str">
            <v/>
          </cell>
          <cell r="AK1040" t="str">
            <v/>
          </cell>
          <cell r="AM1040" t="str">
            <v/>
          </cell>
          <cell r="AO1040" t="str">
            <v/>
          </cell>
          <cell r="AS1040" t="str">
            <v/>
          </cell>
          <cell r="AT1040" t="str">
            <v/>
          </cell>
          <cell r="AU1040" t="str">
            <v/>
          </cell>
          <cell r="AW1040" t="str">
            <v/>
          </cell>
          <cell r="AX1040" t="str">
            <v/>
          </cell>
        </row>
        <row r="1041">
          <cell r="G1041" t="str">
            <v/>
          </cell>
          <cell r="H1041" t="str">
            <v/>
          </cell>
          <cell r="M1041" t="str">
            <v/>
          </cell>
          <cell r="N1041" t="str">
            <v/>
          </cell>
          <cell r="O1041" t="str">
            <v/>
          </cell>
          <cell r="T1041" t="str">
            <v/>
          </cell>
          <cell r="U1041" t="str">
            <v/>
          </cell>
          <cell r="X1041" t="str">
            <v/>
          </cell>
          <cell r="AH1041" t="str">
            <v/>
          </cell>
          <cell r="AK1041" t="str">
            <v/>
          </cell>
          <cell r="AM1041" t="str">
            <v/>
          </cell>
          <cell r="AO1041" t="str">
            <v/>
          </cell>
          <cell r="AS1041" t="str">
            <v/>
          </cell>
          <cell r="AT1041" t="str">
            <v/>
          </cell>
          <cell r="AU1041" t="str">
            <v/>
          </cell>
          <cell r="AW1041" t="str">
            <v/>
          </cell>
          <cell r="AX1041" t="str">
            <v/>
          </cell>
        </row>
        <row r="1042">
          <cell r="G1042" t="str">
            <v/>
          </cell>
          <cell r="H1042" t="str">
            <v/>
          </cell>
          <cell r="M1042" t="str">
            <v/>
          </cell>
          <cell r="N1042" t="str">
            <v/>
          </cell>
          <cell r="O1042" t="str">
            <v/>
          </cell>
          <cell r="T1042" t="str">
            <v/>
          </cell>
          <cell r="U1042" t="str">
            <v/>
          </cell>
          <cell r="X1042" t="str">
            <v/>
          </cell>
          <cell r="AH1042" t="str">
            <v/>
          </cell>
          <cell r="AK1042" t="str">
            <v/>
          </cell>
          <cell r="AM1042" t="str">
            <v/>
          </cell>
          <cell r="AO1042" t="str">
            <v/>
          </cell>
          <cell r="AS1042" t="str">
            <v/>
          </cell>
          <cell r="AT1042" t="str">
            <v/>
          </cell>
          <cell r="AU1042" t="str">
            <v/>
          </cell>
          <cell r="AW1042" t="str">
            <v/>
          </cell>
          <cell r="AX1042" t="str">
            <v/>
          </cell>
        </row>
        <row r="1043">
          <cell r="G1043" t="str">
            <v/>
          </cell>
          <cell r="H1043" t="str">
            <v/>
          </cell>
          <cell r="M1043" t="str">
            <v/>
          </cell>
          <cell r="N1043" t="str">
            <v/>
          </cell>
          <cell r="O1043" t="str">
            <v/>
          </cell>
          <cell r="T1043" t="str">
            <v/>
          </cell>
          <cell r="U1043" t="str">
            <v/>
          </cell>
          <cell r="X1043" t="str">
            <v/>
          </cell>
          <cell r="AH1043" t="str">
            <v/>
          </cell>
          <cell r="AK1043" t="str">
            <v/>
          </cell>
          <cell r="AM1043" t="str">
            <v/>
          </cell>
          <cell r="AO1043" t="str">
            <v/>
          </cell>
          <cell r="AS1043" t="str">
            <v/>
          </cell>
          <cell r="AT1043" t="str">
            <v/>
          </cell>
          <cell r="AU1043" t="str">
            <v/>
          </cell>
          <cell r="AW1043" t="str">
            <v/>
          </cell>
          <cell r="AX1043" t="str">
            <v/>
          </cell>
        </row>
        <row r="1044">
          <cell r="G1044" t="str">
            <v/>
          </cell>
          <cell r="H1044" t="str">
            <v/>
          </cell>
          <cell r="M1044" t="str">
            <v/>
          </cell>
          <cell r="N1044" t="str">
            <v/>
          </cell>
          <cell r="O1044" t="str">
            <v/>
          </cell>
          <cell r="T1044" t="str">
            <v/>
          </cell>
          <cell r="U1044" t="str">
            <v/>
          </cell>
          <cell r="X1044" t="str">
            <v/>
          </cell>
          <cell r="AH1044" t="str">
            <v/>
          </cell>
          <cell r="AK1044" t="str">
            <v/>
          </cell>
          <cell r="AM1044" t="str">
            <v/>
          </cell>
          <cell r="AO1044" t="str">
            <v/>
          </cell>
          <cell r="AS1044" t="str">
            <v/>
          </cell>
          <cell r="AT1044" t="str">
            <v/>
          </cell>
          <cell r="AU1044" t="str">
            <v/>
          </cell>
          <cell r="AW1044" t="str">
            <v/>
          </cell>
          <cell r="AX1044" t="str">
            <v/>
          </cell>
        </row>
        <row r="1045">
          <cell r="G1045" t="str">
            <v/>
          </cell>
          <cell r="H1045" t="str">
            <v/>
          </cell>
          <cell r="M1045" t="str">
            <v/>
          </cell>
          <cell r="N1045" t="str">
            <v/>
          </cell>
          <cell r="O1045" t="str">
            <v/>
          </cell>
          <cell r="T1045" t="str">
            <v/>
          </cell>
          <cell r="U1045" t="str">
            <v/>
          </cell>
          <cell r="X1045" t="str">
            <v/>
          </cell>
          <cell r="AH1045" t="str">
            <v/>
          </cell>
          <cell r="AK1045" t="str">
            <v/>
          </cell>
          <cell r="AM1045" t="str">
            <v/>
          </cell>
          <cell r="AO1045" t="str">
            <v/>
          </cell>
          <cell r="AS1045" t="str">
            <v/>
          </cell>
          <cell r="AT1045" t="str">
            <v/>
          </cell>
          <cell r="AU1045" t="str">
            <v/>
          </cell>
          <cell r="AW1045" t="str">
            <v/>
          </cell>
          <cell r="AX1045" t="str">
            <v/>
          </cell>
        </row>
        <row r="1046">
          <cell r="G1046" t="str">
            <v/>
          </cell>
          <cell r="H1046" t="str">
            <v/>
          </cell>
          <cell r="M1046" t="str">
            <v/>
          </cell>
          <cell r="N1046" t="str">
            <v/>
          </cell>
          <cell r="O1046" t="str">
            <v/>
          </cell>
          <cell r="T1046" t="str">
            <v/>
          </cell>
          <cell r="U1046" t="str">
            <v/>
          </cell>
          <cell r="X1046" t="str">
            <v/>
          </cell>
          <cell r="AH1046" t="str">
            <v/>
          </cell>
          <cell r="AK1046" t="str">
            <v/>
          </cell>
          <cell r="AM1046" t="str">
            <v/>
          </cell>
          <cell r="AO1046" t="str">
            <v/>
          </cell>
          <cell r="AS1046" t="str">
            <v/>
          </cell>
          <cell r="AT1046" t="str">
            <v/>
          </cell>
          <cell r="AU1046" t="str">
            <v/>
          </cell>
          <cell r="AW1046" t="str">
            <v/>
          </cell>
          <cell r="AX1046" t="str">
            <v/>
          </cell>
        </row>
        <row r="1047">
          <cell r="G1047" t="str">
            <v/>
          </cell>
          <cell r="H1047" t="str">
            <v/>
          </cell>
          <cell r="M1047" t="str">
            <v/>
          </cell>
          <cell r="N1047" t="str">
            <v/>
          </cell>
          <cell r="O1047" t="str">
            <v/>
          </cell>
          <cell r="T1047" t="str">
            <v/>
          </cell>
          <cell r="U1047" t="str">
            <v/>
          </cell>
          <cell r="X1047" t="str">
            <v/>
          </cell>
          <cell r="AH1047" t="str">
            <v/>
          </cell>
          <cell r="AK1047" t="str">
            <v/>
          </cell>
          <cell r="AM1047" t="str">
            <v/>
          </cell>
          <cell r="AO1047" t="str">
            <v/>
          </cell>
          <cell r="AS1047" t="str">
            <v/>
          </cell>
          <cell r="AT1047" t="str">
            <v/>
          </cell>
          <cell r="AU1047" t="str">
            <v/>
          </cell>
          <cell r="AW1047" t="str">
            <v/>
          </cell>
          <cell r="AX1047" t="str">
            <v/>
          </cell>
        </row>
        <row r="1048">
          <cell r="G1048" t="str">
            <v/>
          </cell>
          <cell r="H1048" t="str">
            <v/>
          </cell>
          <cell r="M1048" t="str">
            <v/>
          </cell>
          <cell r="N1048" t="str">
            <v/>
          </cell>
          <cell r="O1048" t="str">
            <v/>
          </cell>
          <cell r="T1048" t="str">
            <v/>
          </cell>
          <cell r="U1048" t="str">
            <v/>
          </cell>
          <cell r="X1048" t="str">
            <v/>
          </cell>
          <cell r="AH1048" t="str">
            <v/>
          </cell>
          <cell r="AK1048" t="str">
            <v/>
          </cell>
          <cell r="AM1048" t="str">
            <v/>
          </cell>
          <cell r="AO1048" t="str">
            <v/>
          </cell>
          <cell r="AS1048" t="str">
            <v/>
          </cell>
          <cell r="AT1048" t="str">
            <v/>
          </cell>
          <cell r="AU1048" t="str">
            <v/>
          </cell>
          <cell r="AW1048" t="str">
            <v/>
          </cell>
          <cell r="AX1048" t="str">
            <v/>
          </cell>
        </row>
        <row r="1049">
          <cell r="G1049" t="str">
            <v/>
          </cell>
          <cell r="H1049" t="str">
            <v/>
          </cell>
          <cell r="M1049" t="str">
            <v/>
          </cell>
          <cell r="N1049" t="str">
            <v/>
          </cell>
          <cell r="O1049" t="str">
            <v/>
          </cell>
          <cell r="T1049" t="str">
            <v/>
          </cell>
          <cell r="U1049" t="str">
            <v/>
          </cell>
          <cell r="X1049" t="str">
            <v/>
          </cell>
          <cell r="AH1049" t="str">
            <v/>
          </cell>
          <cell r="AK1049" t="str">
            <v/>
          </cell>
          <cell r="AM1049" t="str">
            <v/>
          </cell>
          <cell r="AO1049" t="str">
            <v/>
          </cell>
          <cell r="AS1049" t="str">
            <v/>
          </cell>
          <cell r="AT1049" t="str">
            <v/>
          </cell>
          <cell r="AU1049" t="str">
            <v/>
          </cell>
          <cell r="AW1049" t="str">
            <v/>
          </cell>
          <cell r="AX1049" t="str">
            <v/>
          </cell>
        </row>
        <row r="1050">
          <cell r="G1050" t="str">
            <v/>
          </cell>
          <cell r="H1050" t="str">
            <v/>
          </cell>
          <cell r="M1050" t="str">
            <v/>
          </cell>
          <cell r="N1050" t="str">
            <v/>
          </cell>
          <cell r="O1050" t="str">
            <v/>
          </cell>
          <cell r="T1050" t="str">
            <v/>
          </cell>
          <cell r="U1050" t="str">
            <v/>
          </cell>
          <cell r="X1050" t="str">
            <v/>
          </cell>
          <cell r="AH1050" t="str">
            <v/>
          </cell>
          <cell r="AK1050" t="str">
            <v/>
          </cell>
          <cell r="AM1050" t="str">
            <v/>
          </cell>
          <cell r="AO1050" t="str">
            <v/>
          </cell>
          <cell r="AS1050" t="str">
            <v/>
          </cell>
          <cell r="AT1050" t="str">
            <v/>
          </cell>
          <cell r="AU1050" t="str">
            <v/>
          </cell>
          <cell r="AW1050" t="str">
            <v/>
          </cell>
          <cell r="AX1050" t="str">
            <v/>
          </cell>
        </row>
        <row r="1051">
          <cell r="G1051" t="str">
            <v/>
          </cell>
          <cell r="H1051" t="str">
            <v/>
          </cell>
          <cell r="M1051" t="str">
            <v/>
          </cell>
          <cell r="N1051" t="str">
            <v/>
          </cell>
          <cell r="O1051" t="str">
            <v/>
          </cell>
          <cell r="T1051" t="str">
            <v/>
          </cell>
          <cell r="U1051" t="str">
            <v/>
          </cell>
          <cell r="X1051" t="str">
            <v/>
          </cell>
          <cell r="AH1051" t="str">
            <v/>
          </cell>
          <cell r="AK1051" t="str">
            <v/>
          </cell>
          <cell r="AM1051" t="str">
            <v/>
          </cell>
          <cell r="AO1051" t="str">
            <v/>
          </cell>
          <cell r="AS1051" t="str">
            <v/>
          </cell>
          <cell r="AT1051" t="str">
            <v/>
          </cell>
          <cell r="AU1051" t="str">
            <v/>
          </cell>
          <cell r="AW1051" t="str">
            <v/>
          </cell>
          <cell r="AX1051" t="str">
            <v/>
          </cell>
        </row>
        <row r="1052">
          <cell r="G1052" t="str">
            <v/>
          </cell>
          <cell r="H1052" t="str">
            <v/>
          </cell>
          <cell r="M1052" t="str">
            <v/>
          </cell>
          <cell r="N1052" t="str">
            <v/>
          </cell>
          <cell r="O1052" t="str">
            <v/>
          </cell>
          <cell r="T1052" t="str">
            <v/>
          </cell>
          <cell r="U1052" t="str">
            <v/>
          </cell>
          <cell r="X1052" t="str">
            <v/>
          </cell>
          <cell r="AH1052" t="str">
            <v/>
          </cell>
          <cell r="AK1052" t="str">
            <v/>
          </cell>
          <cell r="AM1052" t="str">
            <v/>
          </cell>
          <cell r="AO1052" t="str">
            <v/>
          </cell>
          <cell r="AS1052" t="str">
            <v/>
          </cell>
          <cell r="AT1052" t="str">
            <v/>
          </cell>
          <cell r="AU1052" t="str">
            <v/>
          </cell>
          <cell r="AW1052" t="str">
            <v/>
          </cell>
          <cell r="AX1052" t="str">
            <v/>
          </cell>
        </row>
        <row r="1053">
          <cell r="G1053" t="str">
            <v/>
          </cell>
          <cell r="H1053" t="str">
            <v/>
          </cell>
          <cell r="M1053" t="str">
            <v/>
          </cell>
          <cell r="N1053" t="str">
            <v/>
          </cell>
          <cell r="O1053" t="str">
            <v/>
          </cell>
          <cell r="T1053" t="str">
            <v/>
          </cell>
          <cell r="U1053" t="str">
            <v/>
          </cell>
          <cell r="X1053" t="str">
            <v/>
          </cell>
          <cell r="AH1053" t="str">
            <v/>
          </cell>
          <cell r="AK1053" t="str">
            <v/>
          </cell>
          <cell r="AM1053" t="str">
            <v/>
          </cell>
          <cell r="AO1053" t="str">
            <v/>
          </cell>
          <cell r="AS1053" t="str">
            <v/>
          </cell>
          <cell r="AT1053" t="str">
            <v/>
          </cell>
          <cell r="AU1053" t="str">
            <v/>
          </cell>
          <cell r="AW1053" t="str">
            <v/>
          </cell>
          <cell r="AX1053" t="str">
            <v/>
          </cell>
        </row>
        <row r="1054">
          <cell r="G1054" t="str">
            <v/>
          </cell>
          <cell r="H1054" t="str">
            <v/>
          </cell>
          <cell r="M1054" t="str">
            <v/>
          </cell>
          <cell r="N1054" t="str">
            <v/>
          </cell>
          <cell r="O1054" t="str">
            <v/>
          </cell>
          <cell r="T1054" t="str">
            <v/>
          </cell>
          <cell r="U1054" t="str">
            <v/>
          </cell>
          <cell r="X1054" t="str">
            <v/>
          </cell>
          <cell r="AH1054" t="str">
            <v/>
          </cell>
          <cell r="AK1054" t="str">
            <v/>
          </cell>
          <cell r="AM1054" t="str">
            <v/>
          </cell>
          <cell r="AO1054" t="str">
            <v/>
          </cell>
          <cell r="AS1054" t="str">
            <v/>
          </cell>
          <cell r="AT1054" t="str">
            <v/>
          </cell>
          <cell r="AU1054" t="str">
            <v/>
          </cell>
          <cell r="AW1054" t="str">
            <v/>
          </cell>
          <cell r="AX1054" t="str">
            <v/>
          </cell>
        </row>
        <row r="1055">
          <cell r="G1055" t="str">
            <v/>
          </cell>
          <cell r="H1055" t="str">
            <v/>
          </cell>
          <cell r="M1055" t="str">
            <v/>
          </cell>
          <cell r="N1055" t="str">
            <v/>
          </cell>
          <cell r="O1055" t="str">
            <v/>
          </cell>
          <cell r="T1055" t="str">
            <v/>
          </cell>
          <cell r="U1055" t="str">
            <v/>
          </cell>
          <cell r="X1055" t="str">
            <v/>
          </cell>
          <cell r="AH1055" t="str">
            <v/>
          </cell>
          <cell r="AK1055" t="str">
            <v/>
          </cell>
          <cell r="AM1055" t="str">
            <v/>
          </cell>
          <cell r="AO1055" t="str">
            <v/>
          </cell>
          <cell r="AS1055" t="str">
            <v/>
          </cell>
          <cell r="AT1055" t="str">
            <v/>
          </cell>
          <cell r="AU1055" t="str">
            <v/>
          </cell>
          <cell r="AW1055" t="str">
            <v/>
          </cell>
          <cell r="AX1055" t="str">
            <v/>
          </cell>
        </row>
        <row r="1056">
          <cell r="G1056" t="str">
            <v/>
          </cell>
          <cell r="H1056" t="str">
            <v/>
          </cell>
          <cell r="M1056" t="str">
            <v/>
          </cell>
          <cell r="N1056" t="str">
            <v/>
          </cell>
          <cell r="O1056" t="str">
            <v/>
          </cell>
          <cell r="T1056" t="str">
            <v/>
          </cell>
          <cell r="U1056" t="str">
            <v/>
          </cell>
          <cell r="X1056" t="str">
            <v/>
          </cell>
          <cell r="AH1056" t="str">
            <v/>
          </cell>
          <cell r="AK1056" t="str">
            <v/>
          </cell>
          <cell r="AM1056" t="str">
            <v/>
          </cell>
          <cell r="AO1056" t="str">
            <v/>
          </cell>
          <cell r="AS1056" t="str">
            <v/>
          </cell>
          <cell r="AT1056" t="str">
            <v/>
          </cell>
          <cell r="AU1056" t="str">
            <v/>
          </cell>
          <cell r="AW1056" t="str">
            <v/>
          </cell>
          <cell r="AX1056" t="str">
            <v/>
          </cell>
        </row>
        <row r="1057">
          <cell r="G1057" t="str">
            <v/>
          </cell>
          <cell r="H1057" t="str">
            <v/>
          </cell>
          <cell r="M1057" t="str">
            <v/>
          </cell>
          <cell r="N1057" t="str">
            <v/>
          </cell>
          <cell r="O1057" t="str">
            <v/>
          </cell>
          <cell r="T1057" t="str">
            <v/>
          </cell>
          <cell r="U1057" t="str">
            <v/>
          </cell>
          <cell r="X1057" t="str">
            <v/>
          </cell>
          <cell r="AH1057" t="str">
            <v/>
          </cell>
          <cell r="AK1057" t="str">
            <v/>
          </cell>
          <cell r="AM1057" t="str">
            <v/>
          </cell>
          <cell r="AO1057" t="str">
            <v/>
          </cell>
          <cell r="AS1057" t="str">
            <v/>
          </cell>
          <cell r="AT1057" t="str">
            <v/>
          </cell>
          <cell r="AU1057" t="str">
            <v/>
          </cell>
          <cell r="AW1057" t="str">
            <v/>
          </cell>
          <cell r="AX1057" t="str">
            <v/>
          </cell>
        </row>
        <row r="1058">
          <cell r="G1058" t="str">
            <v/>
          </cell>
          <cell r="H1058" t="str">
            <v/>
          </cell>
          <cell r="M1058" t="str">
            <v/>
          </cell>
          <cell r="N1058" t="str">
            <v/>
          </cell>
          <cell r="O1058" t="str">
            <v/>
          </cell>
          <cell r="T1058" t="str">
            <v/>
          </cell>
          <cell r="U1058" t="str">
            <v/>
          </cell>
          <cell r="X1058" t="str">
            <v/>
          </cell>
          <cell r="AH1058" t="str">
            <v/>
          </cell>
          <cell r="AK1058" t="str">
            <v/>
          </cell>
          <cell r="AM1058" t="str">
            <v/>
          </cell>
          <cell r="AO1058" t="str">
            <v/>
          </cell>
          <cell r="AS1058" t="str">
            <v/>
          </cell>
          <cell r="AT1058" t="str">
            <v/>
          </cell>
          <cell r="AU1058" t="str">
            <v/>
          </cell>
          <cell r="AW1058" t="str">
            <v/>
          </cell>
          <cell r="AX1058" t="str">
            <v/>
          </cell>
        </row>
        <row r="1059">
          <cell r="G1059" t="str">
            <v/>
          </cell>
          <cell r="H1059" t="str">
            <v/>
          </cell>
          <cell r="M1059" t="str">
            <v/>
          </cell>
          <cell r="N1059" t="str">
            <v/>
          </cell>
          <cell r="O1059" t="str">
            <v/>
          </cell>
          <cell r="T1059" t="str">
            <v/>
          </cell>
          <cell r="U1059" t="str">
            <v/>
          </cell>
          <cell r="X1059" t="str">
            <v/>
          </cell>
          <cell r="AH1059" t="str">
            <v/>
          </cell>
          <cell r="AK1059" t="str">
            <v/>
          </cell>
          <cell r="AM1059" t="str">
            <v/>
          </cell>
          <cell r="AO1059" t="str">
            <v/>
          </cell>
          <cell r="AS1059" t="str">
            <v/>
          </cell>
          <cell r="AT1059" t="str">
            <v/>
          </cell>
          <cell r="AU1059" t="str">
            <v/>
          </cell>
          <cell r="AW1059" t="str">
            <v/>
          </cell>
          <cell r="AX1059" t="str">
            <v/>
          </cell>
        </row>
        <row r="1060">
          <cell r="G1060" t="str">
            <v/>
          </cell>
          <cell r="H1060" t="str">
            <v/>
          </cell>
          <cell r="M1060" t="str">
            <v/>
          </cell>
          <cell r="N1060" t="str">
            <v/>
          </cell>
          <cell r="O1060" t="str">
            <v/>
          </cell>
          <cell r="T1060" t="str">
            <v/>
          </cell>
          <cell r="U1060" t="str">
            <v/>
          </cell>
          <cell r="X1060" t="str">
            <v/>
          </cell>
          <cell r="AH1060" t="str">
            <v/>
          </cell>
          <cell r="AK1060" t="str">
            <v/>
          </cell>
          <cell r="AM1060" t="str">
            <v/>
          </cell>
          <cell r="AO1060" t="str">
            <v/>
          </cell>
          <cell r="AS1060" t="str">
            <v/>
          </cell>
          <cell r="AT1060" t="str">
            <v/>
          </cell>
          <cell r="AU1060" t="str">
            <v/>
          </cell>
          <cell r="AW1060" t="str">
            <v/>
          </cell>
          <cell r="AX1060" t="str">
            <v/>
          </cell>
        </row>
        <row r="1061">
          <cell r="G1061" t="str">
            <v/>
          </cell>
          <cell r="H1061" t="str">
            <v/>
          </cell>
          <cell r="M1061" t="str">
            <v/>
          </cell>
          <cell r="N1061" t="str">
            <v/>
          </cell>
          <cell r="O1061" t="str">
            <v/>
          </cell>
          <cell r="T1061" t="str">
            <v/>
          </cell>
          <cell r="U1061" t="str">
            <v/>
          </cell>
          <cell r="X1061" t="str">
            <v/>
          </cell>
          <cell r="AH1061" t="str">
            <v/>
          </cell>
          <cell r="AK1061" t="str">
            <v/>
          </cell>
          <cell r="AM1061" t="str">
            <v/>
          </cell>
          <cell r="AO1061" t="str">
            <v/>
          </cell>
          <cell r="AS1061" t="str">
            <v/>
          </cell>
          <cell r="AT1061" t="str">
            <v/>
          </cell>
          <cell r="AU1061" t="str">
            <v/>
          </cell>
          <cell r="AW1061" t="str">
            <v/>
          </cell>
          <cell r="AX1061" t="str">
            <v/>
          </cell>
        </row>
        <row r="1062">
          <cell r="G1062" t="str">
            <v/>
          </cell>
          <cell r="H1062" t="str">
            <v/>
          </cell>
          <cell r="M1062" t="str">
            <v/>
          </cell>
          <cell r="N1062" t="str">
            <v/>
          </cell>
          <cell r="O1062" t="str">
            <v/>
          </cell>
          <cell r="T1062" t="str">
            <v/>
          </cell>
          <cell r="U1062" t="str">
            <v/>
          </cell>
          <cell r="X1062" t="str">
            <v/>
          </cell>
          <cell r="AH1062" t="str">
            <v/>
          </cell>
          <cell r="AK1062" t="str">
            <v/>
          </cell>
          <cell r="AM1062" t="str">
            <v/>
          </cell>
          <cell r="AO1062" t="str">
            <v/>
          </cell>
          <cell r="AS1062" t="str">
            <v/>
          </cell>
          <cell r="AT1062" t="str">
            <v/>
          </cell>
          <cell r="AU1062" t="str">
            <v/>
          </cell>
          <cell r="AW1062" t="str">
            <v/>
          </cell>
          <cell r="AX1062" t="str">
            <v/>
          </cell>
        </row>
        <row r="1063">
          <cell r="G1063" t="str">
            <v/>
          </cell>
          <cell r="H1063" t="str">
            <v/>
          </cell>
          <cell r="M1063" t="str">
            <v/>
          </cell>
          <cell r="N1063" t="str">
            <v/>
          </cell>
          <cell r="O1063" t="str">
            <v/>
          </cell>
          <cell r="T1063" t="str">
            <v/>
          </cell>
          <cell r="U1063" t="str">
            <v/>
          </cell>
          <cell r="X1063" t="str">
            <v/>
          </cell>
          <cell r="AH1063" t="str">
            <v/>
          </cell>
          <cell r="AK1063" t="str">
            <v/>
          </cell>
          <cell r="AM1063" t="str">
            <v/>
          </cell>
          <cell r="AO1063" t="str">
            <v/>
          </cell>
          <cell r="AS1063" t="str">
            <v/>
          </cell>
          <cell r="AT1063" t="str">
            <v/>
          </cell>
          <cell r="AU1063" t="str">
            <v/>
          </cell>
          <cell r="AW1063" t="str">
            <v/>
          </cell>
          <cell r="AX1063" t="str">
            <v/>
          </cell>
        </row>
        <row r="1064">
          <cell r="G1064" t="str">
            <v/>
          </cell>
          <cell r="H1064" t="str">
            <v/>
          </cell>
          <cell r="M1064" t="str">
            <v/>
          </cell>
          <cell r="N1064" t="str">
            <v/>
          </cell>
          <cell r="O1064" t="str">
            <v/>
          </cell>
          <cell r="T1064" t="str">
            <v/>
          </cell>
          <cell r="U1064" t="str">
            <v/>
          </cell>
          <cell r="X1064" t="str">
            <v/>
          </cell>
          <cell r="AH1064" t="str">
            <v/>
          </cell>
          <cell r="AK1064" t="str">
            <v/>
          </cell>
          <cell r="AM1064" t="str">
            <v/>
          </cell>
          <cell r="AO1064" t="str">
            <v/>
          </cell>
          <cell r="AS1064" t="str">
            <v/>
          </cell>
          <cell r="AT1064" t="str">
            <v/>
          </cell>
          <cell r="AU1064" t="str">
            <v/>
          </cell>
          <cell r="AW1064" t="str">
            <v/>
          </cell>
          <cell r="AX1064" t="str">
            <v/>
          </cell>
        </row>
        <row r="1065">
          <cell r="G1065" t="str">
            <v/>
          </cell>
          <cell r="H1065" t="str">
            <v/>
          </cell>
          <cell r="M1065" t="str">
            <v/>
          </cell>
          <cell r="N1065" t="str">
            <v/>
          </cell>
          <cell r="O1065" t="str">
            <v/>
          </cell>
          <cell r="T1065" t="str">
            <v/>
          </cell>
          <cell r="U1065" t="str">
            <v/>
          </cell>
          <cell r="X1065" t="str">
            <v/>
          </cell>
          <cell r="AH1065" t="str">
            <v/>
          </cell>
          <cell r="AK1065" t="str">
            <v/>
          </cell>
          <cell r="AM1065" t="str">
            <v/>
          </cell>
          <cell r="AO1065" t="str">
            <v/>
          </cell>
          <cell r="AS1065" t="str">
            <v/>
          </cell>
          <cell r="AT1065" t="str">
            <v/>
          </cell>
          <cell r="AU1065" t="str">
            <v/>
          </cell>
          <cell r="AW1065" t="str">
            <v/>
          </cell>
          <cell r="AX1065" t="str">
            <v/>
          </cell>
        </row>
        <row r="1066">
          <cell r="G1066" t="str">
            <v/>
          </cell>
          <cell r="H1066" t="str">
            <v/>
          </cell>
          <cell r="M1066" t="str">
            <v/>
          </cell>
          <cell r="N1066" t="str">
            <v/>
          </cell>
          <cell r="O1066" t="str">
            <v/>
          </cell>
          <cell r="T1066" t="str">
            <v/>
          </cell>
          <cell r="U1066" t="str">
            <v/>
          </cell>
          <cell r="X1066" t="str">
            <v/>
          </cell>
          <cell r="AH1066" t="str">
            <v/>
          </cell>
          <cell r="AK1066" t="str">
            <v/>
          </cell>
          <cell r="AM1066" t="str">
            <v/>
          </cell>
          <cell r="AO1066" t="str">
            <v/>
          </cell>
          <cell r="AS1066" t="str">
            <v/>
          </cell>
          <cell r="AT1066" t="str">
            <v/>
          </cell>
          <cell r="AU1066" t="str">
            <v/>
          </cell>
          <cell r="AW1066" t="str">
            <v/>
          </cell>
          <cell r="AX1066" t="str">
            <v/>
          </cell>
        </row>
        <row r="1067">
          <cell r="G1067" t="str">
            <v/>
          </cell>
          <cell r="H1067" t="str">
            <v/>
          </cell>
          <cell r="M1067" t="str">
            <v/>
          </cell>
          <cell r="N1067" t="str">
            <v/>
          </cell>
          <cell r="O1067" t="str">
            <v/>
          </cell>
          <cell r="T1067" t="str">
            <v/>
          </cell>
          <cell r="U1067" t="str">
            <v/>
          </cell>
          <cell r="X1067" t="str">
            <v/>
          </cell>
          <cell r="AH1067" t="str">
            <v/>
          </cell>
          <cell r="AK1067" t="str">
            <v/>
          </cell>
          <cell r="AM1067" t="str">
            <v/>
          </cell>
          <cell r="AO1067" t="str">
            <v/>
          </cell>
          <cell r="AS1067" t="str">
            <v/>
          </cell>
          <cell r="AT1067" t="str">
            <v/>
          </cell>
          <cell r="AU1067" t="str">
            <v/>
          </cell>
          <cell r="AW1067" t="str">
            <v/>
          </cell>
          <cell r="AX1067" t="str">
            <v/>
          </cell>
        </row>
        <row r="1068">
          <cell r="G1068" t="str">
            <v/>
          </cell>
          <cell r="H1068" t="str">
            <v/>
          </cell>
          <cell r="M1068" t="str">
            <v/>
          </cell>
          <cell r="N1068" t="str">
            <v/>
          </cell>
          <cell r="O1068" t="str">
            <v/>
          </cell>
          <cell r="T1068" t="str">
            <v/>
          </cell>
          <cell r="U1068" t="str">
            <v/>
          </cell>
          <cell r="X1068" t="str">
            <v/>
          </cell>
          <cell r="AH1068" t="str">
            <v/>
          </cell>
          <cell r="AK1068" t="str">
            <v/>
          </cell>
          <cell r="AM1068" t="str">
            <v/>
          </cell>
          <cell r="AO1068" t="str">
            <v/>
          </cell>
          <cell r="AS1068" t="str">
            <v/>
          </cell>
          <cell r="AT1068" t="str">
            <v/>
          </cell>
          <cell r="AU1068" t="str">
            <v/>
          </cell>
          <cell r="AW1068" t="str">
            <v/>
          </cell>
          <cell r="AX1068" t="str">
            <v/>
          </cell>
        </row>
        <row r="1069">
          <cell r="G1069" t="str">
            <v/>
          </cell>
          <cell r="H1069" t="str">
            <v/>
          </cell>
          <cell r="M1069" t="str">
            <v/>
          </cell>
          <cell r="N1069" t="str">
            <v/>
          </cell>
          <cell r="O1069" t="str">
            <v/>
          </cell>
          <cell r="T1069" t="str">
            <v/>
          </cell>
          <cell r="U1069" t="str">
            <v/>
          </cell>
          <cell r="X1069" t="str">
            <v/>
          </cell>
          <cell r="AH1069" t="str">
            <v/>
          </cell>
          <cell r="AK1069" t="str">
            <v/>
          </cell>
          <cell r="AM1069" t="str">
            <v/>
          </cell>
          <cell r="AO1069" t="str">
            <v/>
          </cell>
          <cell r="AS1069" t="str">
            <v/>
          </cell>
          <cell r="AT1069" t="str">
            <v/>
          </cell>
          <cell r="AU1069" t="str">
            <v/>
          </cell>
          <cell r="AW1069" t="str">
            <v/>
          </cell>
          <cell r="AX1069" t="str">
            <v/>
          </cell>
        </row>
        <row r="1070">
          <cell r="G1070" t="str">
            <v/>
          </cell>
          <cell r="H1070" t="str">
            <v/>
          </cell>
          <cell r="M1070" t="str">
            <v/>
          </cell>
          <cell r="N1070" t="str">
            <v/>
          </cell>
          <cell r="O1070" t="str">
            <v/>
          </cell>
          <cell r="T1070" t="str">
            <v/>
          </cell>
          <cell r="U1070" t="str">
            <v/>
          </cell>
          <cell r="X1070" t="str">
            <v/>
          </cell>
          <cell r="AH1070" t="str">
            <v/>
          </cell>
          <cell r="AK1070" t="str">
            <v/>
          </cell>
          <cell r="AM1070" t="str">
            <v/>
          </cell>
          <cell r="AO1070" t="str">
            <v/>
          </cell>
          <cell r="AS1070" t="str">
            <v/>
          </cell>
          <cell r="AT1070" t="str">
            <v/>
          </cell>
          <cell r="AU1070" t="str">
            <v/>
          </cell>
          <cell r="AW1070" t="str">
            <v/>
          </cell>
          <cell r="AX1070" t="str">
            <v/>
          </cell>
        </row>
        <row r="1071">
          <cell r="G1071" t="str">
            <v/>
          </cell>
          <cell r="H1071" t="str">
            <v/>
          </cell>
          <cell r="M1071" t="str">
            <v/>
          </cell>
          <cell r="N1071" t="str">
            <v/>
          </cell>
          <cell r="O1071" t="str">
            <v/>
          </cell>
          <cell r="T1071" t="str">
            <v/>
          </cell>
          <cell r="U1071" t="str">
            <v/>
          </cell>
          <cell r="X1071" t="str">
            <v/>
          </cell>
          <cell r="AH1071" t="str">
            <v/>
          </cell>
          <cell r="AK1071" t="str">
            <v/>
          </cell>
          <cell r="AM1071" t="str">
            <v/>
          </cell>
          <cell r="AO1071" t="str">
            <v/>
          </cell>
          <cell r="AS1071" t="str">
            <v/>
          </cell>
          <cell r="AT1071" t="str">
            <v/>
          </cell>
          <cell r="AU1071" t="str">
            <v/>
          </cell>
          <cell r="AW1071" t="str">
            <v/>
          </cell>
          <cell r="AX1071" t="str">
            <v/>
          </cell>
        </row>
        <row r="1072">
          <cell r="G1072" t="str">
            <v/>
          </cell>
          <cell r="H1072" t="str">
            <v/>
          </cell>
          <cell r="M1072" t="str">
            <v/>
          </cell>
          <cell r="N1072" t="str">
            <v/>
          </cell>
          <cell r="O1072" t="str">
            <v/>
          </cell>
          <cell r="T1072" t="str">
            <v/>
          </cell>
          <cell r="U1072" t="str">
            <v/>
          </cell>
          <cell r="X1072" t="str">
            <v/>
          </cell>
          <cell r="AH1072" t="str">
            <v/>
          </cell>
          <cell r="AK1072" t="str">
            <v/>
          </cell>
          <cell r="AM1072" t="str">
            <v/>
          </cell>
          <cell r="AO1072" t="str">
            <v/>
          </cell>
          <cell r="AS1072" t="str">
            <v/>
          </cell>
          <cell r="AT1072" t="str">
            <v/>
          </cell>
          <cell r="AU1072" t="str">
            <v/>
          </cell>
          <cell r="AW1072" t="str">
            <v/>
          </cell>
          <cell r="AX1072" t="str">
            <v/>
          </cell>
        </row>
        <row r="1073">
          <cell r="G1073" t="str">
            <v/>
          </cell>
          <cell r="H1073" t="str">
            <v/>
          </cell>
          <cell r="M1073" t="str">
            <v/>
          </cell>
          <cell r="N1073" t="str">
            <v/>
          </cell>
          <cell r="O1073" t="str">
            <v/>
          </cell>
          <cell r="T1073" t="str">
            <v/>
          </cell>
          <cell r="U1073" t="str">
            <v/>
          </cell>
          <cell r="X1073" t="str">
            <v/>
          </cell>
          <cell r="AH1073" t="str">
            <v/>
          </cell>
          <cell r="AK1073" t="str">
            <v/>
          </cell>
          <cell r="AM1073" t="str">
            <v/>
          </cell>
          <cell r="AO1073" t="str">
            <v/>
          </cell>
          <cell r="AS1073" t="str">
            <v/>
          </cell>
          <cell r="AT1073" t="str">
            <v/>
          </cell>
          <cell r="AU1073" t="str">
            <v/>
          </cell>
          <cell r="AW1073" t="str">
            <v/>
          </cell>
          <cell r="AX1073" t="str">
            <v/>
          </cell>
        </row>
        <row r="1074">
          <cell r="G1074" t="str">
            <v/>
          </cell>
          <cell r="H1074" t="str">
            <v/>
          </cell>
          <cell r="M1074" t="str">
            <v/>
          </cell>
          <cell r="N1074" t="str">
            <v/>
          </cell>
          <cell r="O1074" t="str">
            <v/>
          </cell>
          <cell r="T1074" t="str">
            <v/>
          </cell>
          <cell r="U1074" t="str">
            <v/>
          </cell>
          <cell r="X1074" t="str">
            <v/>
          </cell>
          <cell r="AH1074" t="str">
            <v/>
          </cell>
          <cell r="AK1074" t="str">
            <v/>
          </cell>
          <cell r="AM1074" t="str">
            <v/>
          </cell>
          <cell r="AO1074" t="str">
            <v/>
          </cell>
          <cell r="AS1074" t="str">
            <v/>
          </cell>
          <cell r="AT1074" t="str">
            <v/>
          </cell>
          <cell r="AU1074" t="str">
            <v/>
          </cell>
          <cell r="AW1074" t="str">
            <v/>
          </cell>
          <cell r="AX1074" t="str">
            <v/>
          </cell>
        </row>
        <row r="1075">
          <cell r="G1075" t="str">
            <v/>
          </cell>
          <cell r="H1075" t="str">
            <v/>
          </cell>
          <cell r="M1075" t="str">
            <v/>
          </cell>
          <cell r="N1075" t="str">
            <v/>
          </cell>
          <cell r="O1075" t="str">
            <v/>
          </cell>
          <cell r="T1075" t="str">
            <v/>
          </cell>
          <cell r="U1075" t="str">
            <v/>
          </cell>
          <cell r="X1075" t="str">
            <v/>
          </cell>
          <cell r="AH1075" t="str">
            <v/>
          </cell>
          <cell r="AK1075" t="str">
            <v/>
          </cell>
          <cell r="AM1075" t="str">
            <v/>
          </cell>
          <cell r="AO1075" t="str">
            <v/>
          </cell>
          <cell r="AS1075" t="str">
            <v/>
          </cell>
          <cell r="AT1075" t="str">
            <v/>
          </cell>
          <cell r="AU1075" t="str">
            <v/>
          </cell>
          <cell r="AW1075" t="str">
            <v/>
          </cell>
          <cell r="AX1075" t="str">
            <v/>
          </cell>
        </row>
        <row r="1076">
          <cell r="G1076" t="str">
            <v/>
          </cell>
          <cell r="H1076" t="str">
            <v/>
          </cell>
          <cell r="M1076" t="str">
            <v/>
          </cell>
          <cell r="N1076" t="str">
            <v/>
          </cell>
          <cell r="O1076" t="str">
            <v/>
          </cell>
          <cell r="T1076" t="str">
            <v/>
          </cell>
          <cell r="U1076" t="str">
            <v/>
          </cell>
          <cell r="X1076" t="str">
            <v/>
          </cell>
          <cell r="AH1076" t="str">
            <v/>
          </cell>
          <cell r="AK1076" t="str">
            <v/>
          </cell>
          <cell r="AM1076" t="str">
            <v/>
          </cell>
          <cell r="AO1076" t="str">
            <v/>
          </cell>
          <cell r="AS1076" t="str">
            <v/>
          </cell>
          <cell r="AT1076" t="str">
            <v/>
          </cell>
          <cell r="AU1076" t="str">
            <v/>
          </cell>
          <cell r="AW1076" t="str">
            <v/>
          </cell>
          <cell r="AX1076" t="str">
            <v/>
          </cell>
        </row>
        <row r="1077">
          <cell r="G1077" t="str">
            <v/>
          </cell>
          <cell r="H1077" t="str">
            <v/>
          </cell>
          <cell r="M1077" t="str">
            <v/>
          </cell>
          <cell r="N1077" t="str">
            <v/>
          </cell>
          <cell r="O1077" t="str">
            <v/>
          </cell>
          <cell r="T1077" t="str">
            <v/>
          </cell>
          <cell r="U1077" t="str">
            <v/>
          </cell>
          <cell r="X1077" t="str">
            <v/>
          </cell>
          <cell r="AH1077" t="str">
            <v/>
          </cell>
          <cell r="AK1077" t="str">
            <v/>
          </cell>
          <cell r="AM1077" t="str">
            <v/>
          </cell>
          <cell r="AO1077" t="str">
            <v/>
          </cell>
          <cell r="AS1077" t="str">
            <v/>
          </cell>
          <cell r="AT1077" t="str">
            <v/>
          </cell>
          <cell r="AU1077" t="str">
            <v/>
          </cell>
          <cell r="AW1077" t="str">
            <v/>
          </cell>
          <cell r="AX1077" t="str">
            <v/>
          </cell>
        </row>
        <row r="1078">
          <cell r="G1078" t="str">
            <v/>
          </cell>
          <cell r="H1078" t="str">
            <v/>
          </cell>
          <cell r="M1078" t="str">
            <v/>
          </cell>
          <cell r="N1078" t="str">
            <v/>
          </cell>
          <cell r="O1078" t="str">
            <v/>
          </cell>
          <cell r="T1078" t="str">
            <v/>
          </cell>
          <cell r="U1078" t="str">
            <v/>
          </cell>
          <cell r="X1078" t="str">
            <v/>
          </cell>
          <cell r="AH1078" t="str">
            <v/>
          </cell>
          <cell r="AK1078" t="str">
            <v/>
          </cell>
          <cell r="AM1078" t="str">
            <v/>
          </cell>
          <cell r="AO1078" t="str">
            <v/>
          </cell>
          <cell r="AS1078" t="str">
            <v/>
          </cell>
          <cell r="AT1078" t="str">
            <v/>
          </cell>
          <cell r="AU1078" t="str">
            <v/>
          </cell>
          <cell r="AW1078" t="str">
            <v/>
          </cell>
          <cell r="AX1078" t="str">
            <v/>
          </cell>
        </row>
        <row r="1079">
          <cell r="G1079" t="str">
            <v/>
          </cell>
          <cell r="H1079" t="str">
            <v/>
          </cell>
          <cell r="M1079" t="str">
            <v/>
          </cell>
          <cell r="N1079" t="str">
            <v/>
          </cell>
          <cell r="O1079" t="str">
            <v/>
          </cell>
          <cell r="T1079" t="str">
            <v/>
          </cell>
          <cell r="U1079" t="str">
            <v/>
          </cell>
          <cell r="X1079" t="str">
            <v/>
          </cell>
          <cell r="AH1079" t="str">
            <v/>
          </cell>
          <cell r="AK1079" t="str">
            <v/>
          </cell>
          <cell r="AM1079" t="str">
            <v/>
          </cell>
          <cell r="AO1079" t="str">
            <v/>
          </cell>
          <cell r="AS1079" t="str">
            <v/>
          </cell>
          <cell r="AT1079" t="str">
            <v/>
          </cell>
          <cell r="AU1079" t="str">
            <v/>
          </cell>
          <cell r="AW1079" t="str">
            <v/>
          </cell>
          <cell r="AX1079" t="str">
            <v/>
          </cell>
        </row>
        <row r="1080">
          <cell r="G1080" t="str">
            <v/>
          </cell>
          <cell r="H1080" t="str">
            <v/>
          </cell>
          <cell r="M1080" t="str">
            <v/>
          </cell>
          <cell r="N1080" t="str">
            <v/>
          </cell>
          <cell r="O1080" t="str">
            <v/>
          </cell>
          <cell r="T1080" t="str">
            <v/>
          </cell>
          <cell r="U1080" t="str">
            <v/>
          </cell>
          <cell r="X1080" t="str">
            <v/>
          </cell>
          <cell r="AH1080" t="str">
            <v/>
          </cell>
          <cell r="AK1080" t="str">
            <v/>
          </cell>
          <cell r="AM1080" t="str">
            <v/>
          </cell>
          <cell r="AO1080" t="str">
            <v/>
          </cell>
          <cell r="AS1080" t="str">
            <v/>
          </cell>
          <cell r="AT1080" t="str">
            <v/>
          </cell>
          <cell r="AU1080" t="str">
            <v/>
          </cell>
          <cell r="AW1080" t="str">
            <v/>
          </cell>
          <cell r="AX1080" t="str">
            <v/>
          </cell>
        </row>
        <row r="1081">
          <cell r="G1081" t="str">
            <v/>
          </cell>
          <cell r="H1081" t="str">
            <v/>
          </cell>
          <cell r="M1081" t="str">
            <v/>
          </cell>
          <cell r="N1081" t="str">
            <v/>
          </cell>
          <cell r="O1081" t="str">
            <v/>
          </cell>
          <cell r="T1081" t="str">
            <v/>
          </cell>
          <cell r="U1081" t="str">
            <v/>
          </cell>
          <cell r="X1081" t="str">
            <v/>
          </cell>
          <cell r="AH1081" t="str">
            <v/>
          </cell>
          <cell r="AK1081" t="str">
            <v/>
          </cell>
          <cell r="AM1081" t="str">
            <v/>
          </cell>
          <cell r="AO1081" t="str">
            <v/>
          </cell>
          <cell r="AS1081" t="str">
            <v/>
          </cell>
          <cell r="AT1081" t="str">
            <v/>
          </cell>
          <cell r="AU1081" t="str">
            <v/>
          </cell>
          <cell r="AW1081" t="str">
            <v/>
          </cell>
          <cell r="AX1081" t="str">
            <v/>
          </cell>
        </row>
        <row r="1082">
          <cell r="G1082" t="str">
            <v/>
          </cell>
          <cell r="H1082" t="str">
            <v/>
          </cell>
          <cell r="M1082" t="str">
            <v/>
          </cell>
          <cell r="N1082" t="str">
            <v/>
          </cell>
          <cell r="O1082" t="str">
            <v/>
          </cell>
          <cell r="T1082" t="str">
            <v/>
          </cell>
          <cell r="U1082" t="str">
            <v/>
          </cell>
          <cell r="X1082" t="str">
            <v/>
          </cell>
          <cell r="AH1082" t="str">
            <v/>
          </cell>
          <cell r="AK1082" t="str">
            <v/>
          </cell>
          <cell r="AM1082" t="str">
            <v/>
          </cell>
          <cell r="AO1082" t="str">
            <v/>
          </cell>
          <cell r="AS1082" t="str">
            <v/>
          </cell>
          <cell r="AT1082" t="str">
            <v/>
          </cell>
          <cell r="AU1082" t="str">
            <v/>
          </cell>
          <cell r="AW1082" t="str">
            <v/>
          </cell>
          <cell r="AX1082" t="str">
            <v/>
          </cell>
        </row>
        <row r="1083">
          <cell r="G1083" t="str">
            <v/>
          </cell>
          <cell r="H1083" t="str">
            <v/>
          </cell>
          <cell r="M1083" t="str">
            <v/>
          </cell>
          <cell r="N1083" t="str">
            <v/>
          </cell>
          <cell r="O1083" t="str">
            <v/>
          </cell>
          <cell r="T1083" t="str">
            <v/>
          </cell>
          <cell r="U1083" t="str">
            <v/>
          </cell>
          <cell r="X1083" t="str">
            <v/>
          </cell>
          <cell r="AH1083" t="str">
            <v/>
          </cell>
          <cell r="AK1083" t="str">
            <v/>
          </cell>
          <cell r="AM1083" t="str">
            <v/>
          </cell>
          <cell r="AO1083" t="str">
            <v/>
          </cell>
          <cell r="AS1083" t="str">
            <v/>
          </cell>
          <cell r="AT1083" t="str">
            <v/>
          </cell>
          <cell r="AU1083" t="str">
            <v/>
          </cell>
          <cell r="AW1083" t="str">
            <v/>
          </cell>
          <cell r="AX1083" t="str">
            <v/>
          </cell>
        </row>
        <row r="1084">
          <cell r="G1084" t="str">
            <v/>
          </cell>
          <cell r="H1084" t="str">
            <v/>
          </cell>
          <cell r="M1084" t="str">
            <v/>
          </cell>
          <cell r="N1084" t="str">
            <v/>
          </cell>
          <cell r="O1084" t="str">
            <v/>
          </cell>
          <cell r="T1084" t="str">
            <v/>
          </cell>
          <cell r="U1084" t="str">
            <v/>
          </cell>
          <cell r="X1084" t="str">
            <v/>
          </cell>
          <cell r="AH1084" t="str">
            <v/>
          </cell>
          <cell r="AK1084" t="str">
            <v/>
          </cell>
          <cell r="AM1084" t="str">
            <v/>
          </cell>
          <cell r="AO1084" t="str">
            <v/>
          </cell>
          <cell r="AS1084" t="str">
            <v/>
          </cell>
          <cell r="AT1084" t="str">
            <v/>
          </cell>
          <cell r="AU1084" t="str">
            <v/>
          </cell>
          <cell r="AW1084" t="str">
            <v/>
          </cell>
          <cell r="AX1084" t="str">
            <v/>
          </cell>
        </row>
        <row r="1085">
          <cell r="G1085" t="str">
            <v/>
          </cell>
          <cell r="H1085" t="str">
            <v/>
          </cell>
          <cell r="M1085" t="str">
            <v/>
          </cell>
          <cell r="N1085" t="str">
            <v/>
          </cell>
          <cell r="O1085" t="str">
            <v/>
          </cell>
          <cell r="T1085" t="str">
            <v/>
          </cell>
          <cell r="U1085" t="str">
            <v/>
          </cell>
          <cell r="X1085" t="str">
            <v/>
          </cell>
          <cell r="AH1085" t="str">
            <v/>
          </cell>
          <cell r="AK1085" t="str">
            <v/>
          </cell>
          <cell r="AM1085" t="str">
            <v/>
          </cell>
          <cell r="AO1085" t="str">
            <v/>
          </cell>
          <cell r="AS1085" t="str">
            <v/>
          </cell>
          <cell r="AT1085" t="str">
            <v/>
          </cell>
          <cell r="AU1085" t="str">
            <v/>
          </cell>
          <cell r="AW1085" t="str">
            <v/>
          </cell>
          <cell r="AX1085" t="str">
            <v/>
          </cell>
        </row>
        <row r="1086">
          <cell r="G1086" t="str">
            <v/>
          </cell>
          <cell r="H1086" t="str">
            <v/>
          </cell>
          <cell r="M1086" t="str">
            <v/>
          </cell>
          <cell r="N1086" t="str">
            <v/>
          </cell>
          <cell r="O1086" t="str">
            <v/>
          </cell>
          <cell r="T1086" t="str">
            <v/>
          </cell>
          <cell r="U1086" t="str">
            <v/>
          </cell>
          <cell r="X1086" t="str">
            <v/>
          </cell>
          <cell r="AH1086" t="str">
            <v/>
          </cell>
          <cell r="AK1086" t="str">
            <v/>
          </cell>
          <cell r="AM1086" t="str">
            <v/>
          </cell>
          <cell r="AO1086" t="str">
            <v/>
          </cell>
          <cell r="AS1086" t="str">
            <v/>
          </cell>
          <cell r="AT1086" t="str">
            <v/>
          </cell>
          <cell r="AU1086" t="str">
            <v/>
          </cell>
          <cell r="AW1086" t="str">
            <v/>
          </cell>
          <cell r="AX1086" t="str">
            <v/>
          </cell>
        </row>
        <row r="1087">
          <cell r="G1087" t="str">
            <v/>
          </cell>
          <cell r="H1087" t="str">
            <v/>
          </cell>
          <cell r="M1087" t="str">
            <v/>
          </cell>
          <cell r="N1087" t="str">
            <v/>
          </cell>
          <cell r="O1087" t="str">
            <v/>
          </cell>
          <cell r="T1087" t="str">
            <v/>
          </cell>
          <cell r="U1087" t="str">
            <v/>
          </cell>
          <cell r="X1087" t="str">
            <v/>
          </cell>
          <cell r="AH1087" t="str">
            <v/>
          </cell>
          <cell r="AK1087" t="str">
            <v/>
          </cell>
          <cell r="AM1087" t="str">
            <v/>
          </cell>
          <cell r="AO1087" t="str">
            <v/>
          </cell>
          <cell r="AS1087" t="str">
            <v/>
          </cell>
          <cell r="AT1087" t="str">
            <v/>
          </cell>
          <cell r="AU1087" t="str">
            <v/>
          </cell>
          <cell r="AW1087" t="str">
            <v/>
          </cell>
          <cell r="AX1087" t="str">
            <v/>
          </cell>
        </row>
        <row r="1088">
          <cell r="G1088" t="str">
            <v/>
          </cell>
          <cell r="H1088" t="str">
            <v/>
          </cell>
          <cell r="M1088" t="str">
            <v/>
          </cell>
          <cell r="N1088" t="str">
            <v/>
          </cell>
          <cell r="O1088" t="str">
            <v/>
          </cell>
          <cell r="T1088" t="str">
            <v/>
          </cell>
          <cell r="U1088" t="str">
            <v/>
          </cell>
          <cell r="X1088" t="str">
            <v/>
          </cell>
          <cell r="AH1088" t="str">
            <v/>
          </cell>
          <cell r="AK1088" t="str">
            <v/>
          </cell>
          <cell r="AM1088" t="str">
            <v/>
          </cell>
          <cell r="AO1088" t="str">
            <v/>
          </cell>
          <cell r="AS1088" t="str">
            <v/>
          </cell>
          <cell r="AT1088" t="str">
            <v/>
          </cell>
          <cell r="AU1088" t="str">
            <v/>
          </cell>
          <cell r="AW1088" t="str">
            <v/>
          </cell>
          <cell r="AX1088" t="str">
            <v/>
          </cell>
        </row>
        <row r="1089">
          <cell r="G1089" t="str">
            <v/>
          </cell>
          <cell r="H1089" t="str">
            <v/>
          </cell>
          <cell r="M1089" t="str">
            <v/>
          </cell>
          <cell r="N1089" t="str">
            <v/>
          </cell>
          <cell r="O1089" t="str">
            <v/>
          </cell>
          <cell r="T1089" t="str">
            <v/>
          </cell>
          <cell r="U1089" t="str">
            <v/>
          </cell>
          <cell r="X1089" t="str">
            <v/>
          </cell>
          <cell r="AH1089" t="str">
            <v/>
          </cell>
          <cell r="AK1089" t="str">
            <v/>
          </cell>
          <cell r="AM1089" t="str">
            <v/>
          </cell>
          <cell r="AO1089" t="str">
            <v/>
          </cell>
          <cell r="AS1089" t="str">
            <v/>
          </cell>
          <cell r="AT1089" t="str">
            <v/>
          </cell>
          <cell r="AU1089" t="str">
            <v/>
          </cell>
          <cell r="AW1089" t="str">
            <v/>
          </cell>
          <cell r="AX1089" t="str">
            <v/>
          </cell>
        </row>
        <row r="1090">
          <cell r="G1090" t="str">
            <v/>
          </cell>
          <cell r="H1090" t="str">
            <v/>
          </cell>
          <cell r="M1090" t="str">
            <v/>
          </cell>
          <cell r="N1090" t="str">
            <v/>
          </cell>
          <cell r="O1090" t="str">
            <v/>
          </cell>
          <cell r="T1090" t="str">
            <v/>
          </cell>
          <cell r="U1090" t="str">
            <v/>
          </cell>
          <cell r="X1090" t="str">
            <v/>
          </cell>
          <cell r="AH1090" t="str">
            <v/>
          </cell>
          <cell r="AK1090" t="str">
            <v/>
          </cell>
          <cell r="AM1090" t="str">
            <v/>
          </cell>
          <cell r="AO1090" t="str">
            <v/>
          </cell>
          <cell r="AS1090" t="str">
            <v/>
          </cell>
          <cell r="AT1090" t="str">
            <v/>
          </cell>
          <cell r="AU1090" t="str">
            <v/>
          </cell>
          <cell r="AW1090" t="str">
            <v/>
          </cell>
          <cell r="AX1090" t="str">
            <v/>
          </cell>
        </row>
        <row r="1091">
          <cell r="G1091" t="str">
            <v/>
          </cell>
          <cell r="H1091" t="str">
            <v/>
          </cell>
          <cell r="M1091" t="str">
            <v/>
          </cell>
          <cell r="N1091" t="str">
            <v/>
          </cell>
          <cell r="O1091" t="str">
            <v/>
          </cell>
          <cell r="T1091" t="str">
            <v/>
          </cell>
          <cell r="U1091" t="str">
            <v/>
          </cell>
          <cell r="X1091" t="str">
            <v/>
          </cell>
          <cell r="AH1091" t="str">
            <v/>
          </cell>
          <cell r="AK1091" t="str">
            <v/>
          </cell>
          <cell r="AM1091" t="str">
            <v/>
          </cell>
          <cell r="AO1091" t="str">
            <v/>
          </cell>
          <cell r="AS1091" t="str">
            <v/>
          </cell>
          <cell r="AT1091" t="str">
            <v/>
          </cell>
          <cell r="AU1091" t="str">
            <v/>
          </cell>
          <cell r="AW1091" t="str">
            <v/>
          </cell>
          <cell r="AX1091" t="str">
            <v/>
          </cell>
        </row>
        <row r="1092">
          <cell r="G1092" t="str">
            <v/>
          </cell>
          <cell r="H1092" t="str">
            <v/>
          </cell>
          <cell r="M1092" t="str">
            <v/>
          </cell>
          <cell r="N1092" t="str">
            <v/>
          </cell>
          <cell r="O1092" t="str">
            <v/>
          </cell>
          <cell r="T1092" t="str">
            <v/>
          </cell>
          <cell r="U1092" t="str">
            <v/>
          </cell>
          <cell r="X1092" t="str">
            <v/>
          </cell>
          <cell r="AH1092" t="str">
            <v/>
          </cell>
          <cell r="AK1092" t="str">
            <v/>
          </cell>
          <cell r="AM1092" t="str">
            <v/>
          </cell>
          <cell r="AO1092" t="str">
            <v/>
          </cell>
          <cell r="AS1092" t="str">
            <v/>
          </cell>
          <cell r="AT1092" t="str">
            <v/>
          </cell>
          <cell r="AU1092" t="str">
            <v/>
          </cell>
          <cell r="AW1092" t="str">
            <v/>
          </cell>
          <cell r="AX1092" t="str">
            <v/>
          </cell>
        </row>
        <row r="1093">
          <cell r="G1093" t="str">
            <v/>
          </cell>
          <cell r="H1093" t="str">
            <v/>
          </cell>
          <cell r="M1093" t="str">
            <v/>
          </cell>
          <cell r="N1093" t="str">
            <v/>
          </cell>
          <cell r="O1093" t="str">
            <v/>
          </cell>
          <cell r="T1093" t="str">
            <v/>
          </cell>
          <cell r="U1093" t="str">
            <v/>
          </cell>
          <cell r="X1093" t="str">
            <v/>
          </cell>
          <cell r="AH1093" t="str">
            <v/>
          </cell>
          <cell r="AK1093" t="str">
            <v/>
          </cell>
          <cell r="AM1093" t="str">
            <v/>
          </cell>
          <cell r="AO1093" t="str">
            <v/>
          </cell>
          <cell r="AS1093" t="str">
            <v/>
          </cell>
          <cell r="AT1093" t="str">
            <v/>
          </cell>
          <cell r="AU1093" t="str">
            <v/>
          </cell>
          <cell r="AW1093" t="str">
            <v/>
          </cell>
          <cell r="AX1093" t="str">
            <v/>
          </cell>
        </row>
        <row r="1094">
          <cell r="G1094" t="str">
            <v/>
          </cell>
          <cell r="H1094" t="str">
            <v/>
          </cell>
          <cell r="M1094" t="str">
            <v/>
          </cell>
          <cell r="N1094" t="str">
            <v/>
          </cell>
          <cell r="O1094" t="str">
            <v/>
          </cell>
          <cell r="T1094" t="str">
            <v/>
          </cell>
          <cell r="U1094" t="str">
            <v/>
          </cell>
          <cell r="X1094" t="str">
            <v/>
          </cell>
          <cell r="AH1094" t="str">
            <v/>
          </cell>
          <cell r="AK1094" t="str">
            <v/>
          </cell>
          <cell r="AM1094" t="str">
            <v/>
          </cell>
          <cell r="AO1094" t="str">
            <v/>
          </cell>
          <cell r="AS1094" t="str">
            <v/>
          </cell>
          <cell r="AT1094" t="str">
            <v/>
          </cell>
          <cell r="AU1094" t="str">
            <v/>
          </cell>
          <cell r="AW1094" t="str">
            <v/>
          </cell>
          <cell r="AX1094" t="str">
            <v/>
          </cell>
        </row>
        <row r="1095">
          <cell r="G1095" t="str">
            <v/>
          </cell>
          <cell r="H1095" t="str">
            <v/>
          </cell>
          <cell r="M1095" t="str">
            <v/>
          </cell>
          <cell r="N1095" t="str">
            <v/>
          </cell>
          <cell r="O1095" t="str">
            <v/>
          </cell>
          <cell r="T1095" t="str">
            <v/>
          </cell>
          <cell r="U1095" t="str">
            <v/>
          </cell>
          <cell r="X1095" t="str">
            <v/>
          </cell>
          <cell r="AH1095" t="str">
            <v/>
          </cell>
          <cell r="AK1095" t="str">
            <v/>
          </cell>
          <cell r="AM1095" t="str">
            <v/>
          </cell>
          <cell r="AO1095" t="str">
            <v/>
          </cell>
          <cell r="AS1095" t="str">
            <v/>
          </cell>
          <cell r="AT1095" t="str">
            <v/>
          </cell>
          <cell r="AU1095" t="str">
            <v/>
          </cell>
          <cell r="AW1095" t="str">
            <v/>
          </cell>
          <cell r="AX1095" t="str">
            <v/>
          </cell>
        </row>
        <row r="1096">
          <cell r="G1096" t="str">
            <v/>
          </cell>
          <cell r="H1096" t="str">
            <v/>
          </cell>
          <cell r="M1096" t="str">
            <v/>
          </cell>
          <cell r="N1096" t="str">
            <v/>
          </cell>
          <cell r="O1096" t="str">
            <v/>
          </cell>
          <cell r="T1096" t="str">
            <v/>
          </cell>
          <cell r="U1096" t="str">
            <v/>
          </cell>
          <cell r="X1096" t="str">
            <v/>
          </cell>
          <cell r="AH1096" t="str">
            <v/>
          </cell>
          <cell r="AK1096" t="str">
            <v/>
          </cell>
          <cell r="AM1096" t="str">
            <v/>
          </cell>
          <cell r="AO1096" t="str">
            <v/>
          </cell>
          <cell r="AS1096" t="str">
            <v/>
          </cell>
          <cell r="AT1096" t="str">
            <v/>
          </cell>
          <cell r="AU1096" t="str">
            <v/>
          </cell>
          <cell r="AW1096" t="str">
            <v/>
          </cell>
          <cell r="AX1096" t="str">
            <v/>
          </cell>
        </row>
        <row r="1097">
          <cell r="G1097" t="str">
            <v/>
          </cell>
          <cell r="H1097" t="str">
            <v/>
          </cell>
          <cell r="M1097" t="str">
            <v/>
          </cell>
          <cell r="N1097" t="str">
            <v/>
          </cell>
          <cell r="O1097" t="str">
            <v/>
          </cell>
          <cell r="T1097" t="str">
            <v/>
          </cell>
          <cell r="U1097" t="str">
            <v/>
          </cell>
          <cell r="X1097" t="str">
            <v/>
          </cell>
          <cell r="AH1097" t="str">
            <v/>
          </cell>
          <cell r="AK1097" t="str">
            <v/>
          </cell>
          <cell r="AM1097" t="str">
            <v/>
          </cell>
          <cell r="AO1097" t="str">
            <v/>
          </cell>
          <cell r="AS1097" t="str">
            <v/>
          </cell>
          <cell r="AT1097" t="str">
            <v/>
          </cell>
          <cell r="AU1097" t="str">
            <v/>
          </cell>
          <cell r="AW1097" t="str">
            <v/>
          </cell>
          <cell r="AX1097" t="str">
            <v/>
          </cell>
        </row>
        <row r="1098">
          <cell r="G1098" t="str">
            <v/>
          </cell>
          <cell r="H1098" t="str">
            <v/>
          </cell>
          <cell r="M1098" t="str">
            <v/>
          </cell>
          <cell r="N1098" t="str">
            <v/>
          </cell>
          <cell r="O1098" t="str">
            <v/>
          </cell>
          <cell r="T1098" t="str">
            <v/>
          </cell>
          <cell r="U1098" t="str">
            <v/>
          </cell>
          <cell r="X1098" t="str">
            <v/>
          </cell>
          <cell r="AH1098" t="str">
            <v/>
          </cell>
          <cell r="AK1098" t="str">
            <v/>
          </cell>
          <cell r="AM1098" t="str">
            <v/>
          </cell>
          <cell r="AO1098" t="str">
            <v/>
          </cell>
          <cell r="AS1098" t="str">
            <v/>
          </cell>
          <cell r="AT1098" t="str">
            <v/>
          </cell>
          <cell r="AU1098" t="str">
            <v/>
          </cell>
          <cell r="AW1098" t="str">
            <v/>
          </cell>
          <cell r="AX1098" t="str">
            <v/>
          </cell>
        </row>
        <row r="1099">
          <cell r="G1099" t="str">
            <v/>
          </cell>
          <cell r="H1099" t="str">
            <v/>
          </cell>
          <cell r="M1099" t="str">
            <v/>
          </cell>
          <cell r="N1099" t="str">
            <v/>
          </cell>
          <cell r="O1099" t="str">
            <v/>
          </cell>
          <cell r="T1099" t="str">
            <v/>
          </cell>
          <cell r="U1099" t="str">
            <v/>
          </cell>
          <cell r="X1099" t="str">
            <v/>
          </cell>
          <cell r="AH1099" t="str">
            <v/>
          </cell>
          <cell r="AK1099" t="str">
            <v/>
          </cell>
          <cell r="AM1099" t="str">
            <v/>
          </cell>
          <cell r="AO1099" t="str">
            <v/>
          </cell>
          <cell r="AS1099" t="str">
            <v/>
          </cell>
          <cell r="AT1099" t="str">
            <v/>
          </cell>
          <cell r="AU1099" t="str">
            <v/>
          </cell>
          <cell r="AW1099" t="str">
            <v/>
          </cell>
          <cell r="AX1099" t="str">
            <v/>
          </cell>
        </row>
        <row r="1100">
          <cell r="G1100" t="str">
            <v/>
          </cell>
          <cell r="H1100" t="str">
            <v/>
          </cell>
          <cell r="M1100" t="str">
            <v/>
          </cell>
          <cell r="N1100" t="str">
            <v/>
          </cell>
          <cell r="O1100" t="str">
            <v/>
          </cell>
          <cell r="T1100" t="str">
            <v/>
          </cell>
          <cell r="U1100" t="str">
            <v/>
          </cell>
          <cell r="X1100" t="str">
            <v/>
          </cell>
          <cell r="AH1100" t="str">
            <v/>
          </cell>
          <cell r="AK1100" t="str">
            <v/>
          </cell>
          <cell r="AM1100" t="str">
            <v/>
          </cell>
          <cell r="AO1100" t="str">
            <v/>
          </cell>
          <cell r="AS1100" t="str">
            <v/>
          </cell>
          <cell r="AT1100" t="str">
            <v/>
          </cell>
          <cell r="AU1100" t="str">
            <v/>
          </cell>
          <cell r="AW1100" t="str">
            <v/>
          </cell>
          <cell r="AX1100" t="str">
            <v/>
          </cell>
        </row>
        <row r="1101">
          <cell r="G1101" t="str">
            <v/>
          </cell>
          <cell r="H1101" t="str">
            <v/>
          </cell>
          <cell r="M1101" t="str">
            <v/>
          </cell>
          <cell r="N1101" t="str">
            <v/>
          </cell>
          <cell r="O1101" t="str">
            <v/>
          </cell>
          <cell r="T1101" t="str">
            <v/>
          </cell>
          <cell r="U1101" t="str">
            <v/>
          </cell>
          <cell r="X1101" t="str">
            <v/>
          </cell>
          <cell r="AH1101" t="str">
            <v/>
          </cell>
          <cell r="AK1101" t="str">
            <v/>
          </cell>
          <cell r="AM1101" t="str">
            <v/>
          </cell>
          <cell r="AO1101" t="str">
            <v/>
          </cell>
          <cell r="AS1101" t="str">
            <v/>
          </cell>
          <cell r="AT1101" t="str">
            <v/>
          </cell>
          <cell r="AU1101" t="str">
            <v/>
          </cell>
          <cell r="AW1101" t="str">
            <v/>
          </cell>
          <cell r="AX1101" t="str">
            <v/>
          </cell>
        </row>
        <row r="1102">
          <cell r="G1102" t="str">
            <v/>
          </cell>
          <cell r="H1102" t="str">
            <v/>
          </cell>
          <cell r="M1102" t="str">
            <v/>
          </cell>
          <cell r="N1102" t="str">
            <v/>
          </cell>
          <cell r="O1102" t="str">
            <v/>
          </cell>
          <cell r="T1102" t="str">
            <v/>
          </cell>
          <cell r="U1102" t="str">
            <v/>
          </cell>
          <cell r="X1102" t="str">
            <v/>
          </cell>
          <cell r="AH1102" t="str">
            <v/>
          </cell>
          <cell r="AK1102" t="str">
            <v/>
          </cell>
          <cell r="AM1102" t="str">
            <v/>
          </cell>
          <cell r="AO1102" t="str">
            <v/>
          </cell>
          <cell r="AS1102" t="str">
            <v/>
          </cell>
          <cell r="AT1102" t="str">
            <v/>
          </cell>
          <cell r="AU1102" t="str">
            <v/>
          </cell>
          <cell r="AW1102" t="str">
            <v/>
          </cell>
          <cell r="AX1102" t="str">
            <v/>
          </cell>
        </row>
        <row r="1103">
          <cell r="G1103" t="str">
            <v/>
          </cell>
          <cell r="H1103" t="str">
            <v/>
          </cell>
          <cell r="M1103" t="str">
            <v/>
          </cell>
          <cell r="N1103" t="str">
            <v/>
          </cell>
          <cell r="O1103" t="str">
            <v/>
          </cell>
          <cell r="T1103" t="str">
            <v/>
          </cell>
          <cell r="U1103" t="str">
            <v/>
          </cell>
          <cell r="X1103" t="str">
            <v/>
          </cell>
          <cell r="AH1103" t="str">
            <v/>
          </cell>
          <cell r="AK1103" t="str">
            <v/>
          </cell>
          <cell r="AM1103" t="str">
            <v/>
          </cell>
          <cell r="AO1103" t="str">
            <v/>
          </cell>
          <cell r="AS1103" t="str">
            <v/>
          </cell>
          <cell r="AT1103" t="str">
            <v/>
          </cell>
          <cell r="AU1103" t="str">
            <v/>
          </cell>
          <cell r="AW1103" t="str">
            <v/>
          </cell>
          <cell r="AX1103" t="str">
            <v/>
          </cell>
        </row>
        <row r="1104">
          <cell r="G1104" t="str">
            <v/>
          </cell>
          <cell r="H1104" t="str">
            <v/>
          </cell>
          <cell r="M1104" t="str">
            <v/>
          </cell>
          <cell r="N1104" t="str">
            <v/>
          </cell>
          <cell r="O1104" t="str">
            <v/>
          </cell>
          <cell r="T1104" t="str">
            <v/>
          </cell>
          <cell r="U1104" t="str">
            <v/>
          </cell>
          <cell r="X1104" t="str">
            <v/>
          </cell>
          <cell r="AH1104" t="str">
            <v/>
          </cell>
          <cell r="AK1104" t="str">
            <v/>
          </cell>
          <cell r="AM1104" t="str">
            <v/>
          </cell>
          <cell r="AO1104" t="str">
            <v/>
          </cell>
          <cell r="AS1104" t="str">
            <v/>
          </cell>
          <cell r="AT1104" t="str">
            <v/>
          </cell>
          <cell r="AU1104" t="str">
            <v/>
          </cell>
          <cell r="AW1104" t="str">
            <v/>
          </cell>
          <cell r="AX1104" t="str">
            <v/>
          </cell>
        </row>
        <row r="1105">
          <cell r="G1105" t="str">
            <v/>
          </cell>
          <cell r="H1105" t="str">
            <v/>
          </cell>
          <cell r="M1105" t="str">
            <v/>
          </cell>
          <cell r="N1105" t="str">
            <v/>
          </cell>
          <cell r="O1105" t="str">
            <v/>
          </cell>
          <cell r="T1105" t="str">
            <v/>
          </cell>
          <cell r="U1105" t="str">
            <v/>
          </cell>
          <cell r="X1105" t="str">
            <v/>
          </cell>
          <cell r="AH1105" t="str">
            <v/>
          </cell>
          <cell r="AK1105" t="str">
            <v/>
          </cell>
          <cell r="AM1105" t="str">
            <v/>
          </cell>
          <cell r="AO1105" t="str">
            <v/>
          </cell>
          <cell r="AS1105" t="str">
            <v/>
          </cell>
          <cell r="AT1105" t="str">
            <v/>
          </cell>
          <cell r="AU1105" t="str">
            <v/>
          </cell>
          <cell r="AW1105" t="str">
            <v/>
          </cell>
          <cell r="AX1105" t="str">
            <v/>
          </cell>
        </row>
        <row r="1106">
          <cell r="G1106" t="str">
            <v/>
          </cell>
          <cell r="H1106" t="str">
            <v/>
          </cell>
          <cell r="M1106" t="str">
            <v/>
          </cell>
          <cell r="N1106" t="str">
            <v/>
          </cell>
          <cell r="O1106" t="str">
            <v/>
          </cell>
          <cell r="T1106" t="str">
            <v/>
          </cell>
          <cell r="U1106" t="str">
            <v/>
          </cell>
          <cell r="X1106" t="str">
            <v/>
          </cell>
          <cell r="AH1106" t="str">
            <v/>
          </cell>
          <cell r="AK1106" t="str">
            <v/>
          </cell>
          <cell r="AM1106" t="str">
            <v/>
          </cell>
          <cell r="AO1106" t="str">
            <v/>
          </cell>
          <cell r="AS1106" t="str">
            <v/>
          </cell>
          <cell r="AT1106" t="str">
            <v/>
          </cell>
          <cell r="AU1106" t="str">
            <v/>
          </cell>
          <cell r="AW1106" t="str">
            <v/>
          </cell>
          <cell r="AX1106" t="str">
            <v/>
          </cell>
        </row>
        <row r="1107">
          <cell r="G1107" t="str">
            <v/>
          </cell>
          <cell r="H1107" t="str">
            <v/>
          </cell>
          <cell r="M1107" t="str">
            <v/>
          </cell>
          <cell r="N1107" t="str">
            <v/>
          </cell>
          <cell r="O1107" t="str">
            <v/>
          </cell>
          <cell r="T1107" t="str">
            <v/>
          </cell>
          <cell r="U1107" t="str">
            <v/>
          </cell>
          <cell r="X1107" t="str">
            <v/>
          </cell>
          <cell r="AH1107" t="str">
            <v/>
          </cell>
          <cell r="AK1107" t="str">
            <v/>
          </cell>
          <cell r="AM1107" t="str">
            <v/>
          </cell>
          <cell r="AO1107" t="str">
            <v/>
          </cell>
          <cell r="AS1107" t="str">
            <v/>
          </cell>
          <cell r="AT1107" t="str">
            <v/>
          </cell>
          <cell r="AU1107" t="str">
            <v/>
          </cell>
          <cell r="AW1107" t="str">
            <v/>
          </cell>
          <cell r="AX1107" t="str">
            <v/>
          </cell>
        </row>
        <row r="1108">
          <cell r="G1108" t="str">
            <v/>
          </cell>
          <cell r="H1108" t="str">
            <v/>
          </cell>
          <cell r="M1108" t="str">
            <v/>
          </cell>
          <cell r="N1108" t="str">
            <v/>
          </cell>
          <cell r="O1108" t="str">
            <v/>
          </cell>
          <cell r="T1108" t="str">
            <v/>
          </cell>
          <cell r="U1108" t="str">
            <v/>
          </cell>
          <cell r="X1108" t="str">
            <v/>
          </cell>
          <cell r="AH1108" t="str">
            <v/>
          </cell>
          <cell r="AK1108" t="str">
            <v/>
          </cell>
          <cell r="AM1108" t="str">
            <v/>
          </cell>
          <cell r="AO1108" t="str">
            <v/>
          </cell>
          <cell r="AS1108" t="str">
            <v/>
          </cell>
          <cell r="AT1108" t="str">
            <v/>
          </cell>
          <cell r="AU1108" t="str">
            <v/>
          </cell>
          <cell r="AW1108" t="str">
            <v/>
          </cell>
          <cell r="AX1108" t="str">
            <v/>
          </cell>
        </row>
        <row r="1109">
          <cell r="G1109" t="str">
            <v/>
          </cell>
          <cell r="H1109" t="str">
            <v/>
          </cell>
          <cell r="M1109" t="str">
            <v/>
          </cell>
          <cell r="N1109" t="str">
            <v/>
          </cell>
          <cell r="O1109" t="str">
            <v/>
          </cell>
          <cell r="T1109" t="str">
            <v/>
          </cell>
          <cell r="U1109" t="str">
            <v/>
          </cell>
          <cell r="X1109" t="str">
            <v/>
          </cell>
          <cell r="AH1109" t="str">
            <v/>
          </cell>
          <cell r="AK1109" t="str">
            <v/>
          </cell>
          <cell r="AM1109" t="str">
            <v/>
          </cell>
          <cell r="AO1109" t="str">
            <v/>
          </cell>
          <cell r="AS1109" t="str">
            <v/>
          </cell>
          <cell r="AT1109" t="str">
            <v/>
          </cell>
          <cell r="AU1109" t="str">
            <v/>
          </cell>
          <cell r="AW1109" t="str">
            <v/>
          </cell>
          <cell r="AX1109" t="str">
            <v/>
          </cell>
        </row>
        <row r="1110">
          <cell r="G1110" t="str">
            <v/>
          </cell>
          <cell r="H1110" t="str">
            <v/>
          </cell>
          <cell r="M1110" t="str">
            <v/>
          </cell>
          <cell r="N1110" t="str">
            <v/>
          </cell>
          <cell r="O1110" t="str">
            <v/>
          </cell>
          <cell r="T1110" t="str">
            <v/>
          </cell>
          <cell r="U1110" t="str">
            <v/>
          </cell>
          <cell r="X1110" t="str">
            <v/>
          </cell>
          <cell r="AH1110" t="str">
            <v/>
          </cell>
          <cell r="AK1110" t="str">
            <v/>
          </cell>
          <cell r="AM1110" t="str">
            <v/>
          </cell>
          <cell r="AO1110" t="str">
            <v/>
          </cell>
          <cell r="AS1110" t="str">
            <v/>
          </cell>
          <cell r="AT1110" t="str">
            <v/>
          </cell>
          <cell r="AU1110" t="str">
            <v/>
          </cell>
          <cell r="AW1110" t="str">
            <v/>
          </cell>
          <cell r="AX1110" t="str">
            <v/>
          </cell>
        </row>
        <row r="1111">
          <cell r="G1111" t="str">
            <v/>
          </cell>
          <cell r="H1111" t="str">
            <v/>
          </cell>
          <cell r="M1111" t="str">
            <v/>
          </cell>
          <cell r="N1111" t="str">
            <v/>
          </cell>
          <cell r="O1111" t="str">
            <v/>
          </cell>
          <cell r="T1111" t="str">
            <v/>
          </cell>
          <cell r="U1111" t="str">
            <v/>
          </cell>
          <cell r="X1111" t="str">
            <v/>
          </cell>
          <cell r="AH1111" t="str">
            <v/>
          </cell>
          <cell r="AK1111" t="str">
            <v/>
          </cell>
          <cell r="AM1111" t="str">
            <v/>
          </cell>
          <cell r="AO1111" t="str">
            <v/>
          </cell>
          <cell r="AS1111" t="str">
            <v/>
          </cell>
          <cell r="AT1111" t="str">
            <v/>
          </cell>
          <cell r="AU1111" t="str">
            <v/>
          </cell>
          <cell r="AW1111" t="str">
            <v/>
          </cell>
          <cell r="AX1111" t="str">
            <v/>
          </cell>
        </row>
        <row r="1112">
          <cell r="G1112" t="str">
            <v/>
          </cell>
          <cell r="H1112" t="str">
            <v/>
          </cell>
          <cell r="M1112" t="str">
            <v/>
          </cell>
          <cell r="N1112" t="str">
            <v/>
          </cell>
          <cell r="O1112" t="str">
            <v/>
          </cell>
          <cell r="T1112" t="str">
            <v/>
          </cell>
          <cell r="U1112" t="str">
            <v/>
          </cell>
          <cell r="X1112" t="str">
            <v/>
          </cell>
          <cell r="AH1112" t="str">
            <v/>
          </cell>
          <cell r="AK1112" t="str">
            <v/>
          </cell>
          <cell r="AM1112" t="str">
            <v/>
          </cell>
          <cell r="AO1112" t="str">
            <v/>
          </cell>
          <cell r="AS1112" t="str">
            <v/>
          </cell>
          <cell r="AT1112" t="str">
            <v/>
          </cell>
          <cell r="AU1112" t="str">
            <v/>
          </cell>
          <cell r="AW1112" t="str">
            <v/>
          </cell>
          <cell r="AX1112" t="str">
            <v/>
          </cell>
        </row>
        <row r="1113">
          <cell r="G1113" t="str">
            <v/>
          </cell>
          <cell r="H1113" t="str">
            <v/>
          </cell>
          <cell r="M1113" t="str">
            <v/>
          </cell>
          <cell r="N1113" t="str">
            <v/>
          </cell>
          <cell r="O1113" t="str">
            <v/>
          </cell>
          <cell r="T1113" t="str">
            <v/>
          </cell>
          <cell r="U1113" t="str">
            <v/>
          </cell>
          <cell r="X1113" t="str">
            <v/>
          </cell>
          <cell r="AH1113" t="str">
            <v/>
          </cell>
          <cell r="AK1113" t="str">
            <v/>
          </cell>
          <cell r="AM1113" t="str">
            <v/>
          </cell>
          <cell r="AO1113" t="str">
            <v/>
          </cell>
          <cell r="AS1113" t="str">
            <v/>
          </cell>
          <cell r="AT1113" t="str">
            <v/>
          </cell>
          <cell r="AU1113" t="str">
            <v/>
          </cell>
          <cell r="AW1113" t="str">
            <v/>
          </cell>
          <cell r="AX1113" t="str">
            <v/>
          </cell>
        </row>
        <row r="1114">
          <cell r="G1114" t="str">
            <v/>
          </cell>
          <cell r="H1114" t="str">
            <v/>
          </cell>
          <cell r="M1114" t="str">
            <v/>
          </cell>
          <cell r="N1114" t="str">
            <v/>
          </cell>
          <cell r="O1114" t="str">
            <v/>
          </cell>
          <cell r="T1114" t="str">
            <v/>
          </cell>
          <cell r="U1114" t="str">
            <v/>
          </cell>
          <cell r="X1114" t="str">
            <v/>
          </cell>
          <cell r="AH1114" t="str">
            <v/>
          </cell>
          <cell r="AK1114" t="str">
            <v/>
          </cell>
          <cell r="AM1114" t="str">
            <v/>
          </cell>
          <cell r="AO1114" t="str">
            <v/>
          </cell>
          <cell r="AS1114" t="str">
            <v/>
          </cell>
          <cell r="AT1114" t="str">
            <v/>
          </cell>
          <cell r="AU1114" t="str">
            <v/>
          </cell>
          <cell r="AW1114" t="str">
            <v/>
          </cell>
          <cell r="AX1114" t="str">
            <v/>
          </cell>
        </row>
        <row r="1115">
          <cell r="G1115" t="str">
            <v/>
          </cell>
          <cell r="H1115" t="str">
            <v/>
          </cell>
          <cell r="M1115" t="str">
            <v/>
          </cell>
          <cell r="N1115" t="str">
            <v/>
          </cell>
          <cell r="O1115" t="str">
            <v/>
          </cell>
          <cell r="T1115" t="str">
            <v/>
          </cell>
          <cell r="U1115" t="str">
            <v/>
          </cell>
          <cell r="X1115" t="str">
            <v/>
          </cell>
          <cell r="AH1115" t="str">
            <v/>
          </cell>
          <cell r="AK1115" t="str">
            <v/>
          </cell>
          <cell r="AM1115" t="str">
            <v/>
          </cell>
          <cell r="AO1115" t="str">
            <v/>
          </cell>
          <cell r="AS1115" t="str">
            <v/>
          </cell>
          <cell r="AT1115" t="str">
            <v/>
          </cell>
          <cell r="AU1115" t="str">
            <v/>
          </cell>
          <cell r="AW1115" t="str">
            <v/>
          </cell>
          <cell r="AX1115" t="str">
            <v/>
          </cell>
        </row>
        <row r="1116">
          <cell r="G1116" t="str">
            <v/>
          </cell>
          <cell r="H1116" t="str">
            <v/>
          </cell>
          <cell r="M1116" t="str">
            <v/>
          </cell>
          <cell r="N1116" t="str">
            <v/>
          </cell>
          <cell r="O1116" t="str">
            <v/>
          </cell>
          <cell r="T1116" t="str">
            <v/>
          </cell>
          <cell r="U1116" t="str">
            <v/>
          </cell>
          <cell r="X1116" t="str">
            <v/>
          </cell>
          <cell r="AH1116" t="str">
            <v/>
          </cell>
          <cell r="AK1116" t="str">
            <v/>
          </cell>
          <cell r="AM1116" t="str">
            <v/>
          </cell>
          <cell r="AO1116" t="str">
            <v/>
          </cell>
          <cell r="AS1116" t="str">
            <v/>
          </cell>
          <cell r="AT1116" t="str">
            <v/>
          </cell>
          <cell r="AU1116" t="str">
            <v/>
          </cell>
          <cell r="AW1116" t="str">
            <v/>
          </cell>
          <cell r="AX1116" t="str">
            <v/>
          </cell>
        </row>
        <row r="1117">
          <cell r="G1117" t="str">
            <v/>
          </cell>
          <cell r="H1117" t="str">
            <v/>
          </cell>
          <cell r="M1117" t="str">
            <v/>
          </cell>
          <cell r="N1117" t="str">
            <v/>
          </cell>
          <cell r="O1117" t="str">
            <v/>
          </cell>
          <cell r="T1117" t="str">
            <v/>
          </cell>
          <cell r="U1117" t="str">
            <v/>
          </cell>
          <cell r="X1117" t="str">
            <v/>
          </cell>
          <cell r="AH1117" t="str">
            <v/>
          </cell>
          <cell r="AK1117" t="str">
            <v/>
          </cell>
          <cell r="AM1117" t="str">
            <v/>
          </cell>
          <cell r="AO1117" t="str">
            <v/>
          </cell>
          <cell r="AS1117" t="str">
            <v/>
          </cell>
          <cell r="AT1117" t="str">
            <v/>
          </cell>
          <cell r="AU1117" t="str">
            <v/>
          </cell>
          <cell r="AW1117" t="str">
            <v/>
          </cell>
          <cell r="AX1117" t="str">
            <v/>
          </cell>
        </row>
        <row r="1118">
          <cell r="G1118" t="str">
            <v/>
          </cell>
          <cell r="H1118" t="str">
            <v/>
          </cell>
          <cell r="M1118" t="str">
            <v/>
          </cell>
          <cell r="N1118" t="str">
            <v/>
          </cell>
          <cell r="O1118" t="str">
            <v/>
          </cell>
          <cell r="T1118" t="str">
            <v/>
          </cell>
          <cell r="U1118" t="str">
            <v/>
          </cell>
          <cell r="X1118" t="str">
            <v/>
          </cell>
          <cell r="AH1118" t="str">
            <v/>
          </cell>
          <cell r="AK1118" t="str">
            <v/>
          </cell>
          <cell r="AM1118" t="str">
            <v/>
          </cell>
          <cell r="AO1118" t="str">
            <v/>
          </cell>
          <cell r="AS1118" t="str">
            <v/>
          </cell>
          <cell r="AT1118" t="str">
            <v/>
          </cell>
          <cell r="AU1118" t="str">
            <v/>
          </cell>
          <cell r="AW1118" t="str">
            <v/>
          </cell>
          <cell r="AX1118" t="str">
            <v/>
          </cell>
        </row>
        <row r="1119">
          <cell r="G1119" t="str">
            <v/>
          </cell>
          <cell r="H1119" t="str">
            <v/>
          </cell>
          <cell r="M1119" t="str">
            <v/>
          </cell>
          <cell r="N1119" t="str">
            <v/>
          </cell>
          <cell r="O1119" t="str">
            <v/>
          </cell>
          <cell r="T1119" t="str">
            <v/>
          </cell>
          <cell r="U1119" t="str">
            <v/>
          </cell>
          <cell r="X1119" t="str">
            <v/>
          </cell>
          <cell r="AH1119" t="str">
            <v/>
          </cell>
          <cell r="AK1119" t="str">
            <v/>
          </cell>
          <cell r="AM1119" t="str">
            <v/>
          </cell>
          <cell r="AO1119" t="str">
            <v/>
          </cell>
          <cell r="AS1119" t="str">
            <v/>
          </cell>
          <cell r="AT1119" t="str">
            <v/>
          </cell>
          <cell r="AU1119" t="str">
            <v/>
          </cell>
          <cell r="AW1119" t="str">
            <v/>
          </cell>
          <cell r="AX1119" t="str">
            <v/>
          </cell>
        </row>
        <row r="1120">
          <cell r="G1120" t="str">
            <v/>
          </cell>
          <cell r="H1120" t="str">
            <v/>
          </cell>
          <cell r="M1120" t="str">
            <v/>
          </cell>
          <cell r="N1120" t="str">
            <v/>
          </cell>
          <cell r="O1120" t="str">
            <v/>
          </cell>
          <cell r="T1120" t="str">
            <v/>
          </cell>
          <cell r="U1120" t="str">
            <v/>
          </cell>
          <cell r="X1120" t="str">
            <v/>
          </cell>
          <cell r="AH1120" t="str">
            <v/>
          </cell>
          <cell r="AK1120" t="str">
            <v/>
          </cell>
          <cell r="AM1120" t="str">
            <v/>
          </cell>
          <cell r="AO1120" t="str">
            <v/>
          </cell>
          <cell r="AS1120" t="str">
            <v/>
          </cell>
          <cell r="AT1120" t="str">
            <v/>
          </cell>
          <cell r="AU1120" t="str">
            <v/>
          </cell>
          <cell r="AW1120" t="str">
            <v/>
          </cell>
          <cell r="AX1120" t="str">
            <v/>
          </cell>
        </row>
        <row r="1121">
          <cell r="G1121" t="str">
            <v/>
          </cell>
          <cell r="H1121" t="str">
            <v/>
          </cell>
          <cell r="M1121" t="str">
            <v/>
          </cell>
          <cell r="N1121" t="str">
            <v/>
          </cell>
          <cell r="O1121" t="str">
            <v/>
          </cell>
          <cell r="T1121" t="str">
            <v/>
          </cell>
          <cell r="U1121" t="str">
            <v/>
          </cell>
          <cell r="X1121" t="str">
            <v/>
          </cell>
          <cell r="AH1121" t="str">
            <v/>
          </cell>
          <cell r="AK1121" t="str">
            <v/>
          </cell>
          <cell r="AM1121" t="str">
            <v/>
          </cell>
          <cell r="AO1121" t="str">
            <v/>
          </cell>
          <cell r="AS1121" t="str">
            <v/>
          </cell>
          <cell r="AT1121" t="str">
            <v/>
          </cell>
          <cell r="AU1121" t="str">
            <v/>
          </cell>
          <cell r="AW1121" t="str">
            <v/>
          </cell>
          <cell r="AX1121" t="str">
            <v/>
          </cell>
        </row>
        <row r="1122">
          <cell r="G1122" t="str">
            <v/>
          </cell>
          <cell r="H1122" t="str">
            <v/>
          </cell>
          <cell r="M1122" t="str">
            <v/>
          </cell>
          <cell r="N1122" t="str">
            <v/>
          </cell>
          <cell r="O1122" t="str">
            <v/>
          </cell>
          <cell r="T1122" t="str">
            <v/>
          </cell>
          <cell r="U1122" t="str">
            <v/>
          </cell>
          <cell r="X1122" t="str">
            <v/>
          </cell>
          <cell r="AH1122" t="str">
            <v/>
          </cell>
          <cell r="AK1122" t="str">
            <v/>
          </cell>
          <cell r="AM1122" t="str">
            <v/>
          </cell>
          <cell r="AO1122" t="str">
            <v/>
          </cell>
          <cell r="AS1122" t="str">
            <v/>
          </cell>
          <cell r="AT1122" t="str">
            <v/>
          </cell>
          <cell r="AU1122" t="str">
            <v/>
          </cell>
          <cell r="AW1122" t="str">
            <v/>
          </cell>
          <cell r="AX1122" t="str">
            <v/>
          </cell>
        </row>
        <row r="1123">
          <cell r="G1123" t="str">
            <v/>
          </cell>
          <cell r="H1123" t="str">
            <v/>
          </cell>
          <cell r="M1123" t="str">
            <v/>
          </cell>
          <cell r="N1123" t="str">
            <v/>
          </cell>
          <cell r="O1123" t="str">
            <v/>
          </cell>
          <cell r="T1123" t="str">
            <v/>
          </cell>
          <cell r="U1123" t="str">
            <v/>
          </cell>
          <cell r="X1123" t="str">
            <v/>
          </cell>
          <cell r="AH1123" t="str">
            <v/>
          </cell>
          <cell r="AK1123" t="str">
            <v/>
          </cell>
          <cell r="AM1123" t="str">
            <v/>
          </cell>
          <cell r="AO1123" t="str">
            <v/>
          </cell>
          <cell r="AS1123" t="str">
            <v/>
          </cell>
          <cell r="AT1123" t="str">
            <v/>
          </cell>
          <cell r="AU1123" t="str">
            <v/>
          </cell>
          <cell r="AW1123" t="str">
            <v/>
          </cell>
          <cell r="AX1123" t="str">
            <v/>
          </cell>
        </row>
        <row r="1124">
          <cell r="G1124" t="str">
            <v/>
          </cell>
          <cell r="H1124" t="str">
            <v/>
          </cell>
          <cell r="M1124" t="str">
            <v/>
          </cell>
          <cell r="N1124" t="str">
            <v/>
          </cell>
          <cell r="O1124" t="str">
            <v/>
          </cell>
          <cell r="T1124" t="str">
            <v/>
          </cell>
          <cell r="U1124" t="str">
            <v/>
          </cell>
          <cell r="X1124" t="str">
            <v/>
          </cell>
          <cell r="AH1124" t="str">
            <v/>
          </cell>
          <cell r="AK1124" t="str">
            <v/>
          </cell>
          <cell r="AM1124" t="str">
            <v/>
          </cell>
          <cell r="AO1124" t="str">
            <v/>
          </cell>
          <cell r="AS1124" t="str">
            <v/>
          </cell>
          <cell r="AT1124" t="str">
            <v/>
          </cell>
          <cell r="AU1124" t="str">
            <v/>
          </cell>
          <cell r="AW1124" t="str">
            <v/>
          </cell>
          <cell r="AX1124" t="str">
            <v/>
          </cell>
        </row>
        <row r="1125">
          <cell r="G1125" t="str">
            <v/>
          </cell>
          <cell r="H1125" t="str">
            <v/>
          </cell>
          <cell r="M1125" t="str">
            <v/>
          </cell>
          <cell r="N1125" t="str">
            <v/>
          </cell>
          <cell r="O1125" t="str">
            <v/>
          </cell>
          <cell r="T1125" t="str">
            <v/>
          </cell>
          <cell r="U1125" t="str">
            <v/>
          </cell>
          <cell r="X1125" t="str">
            <v/>
          </cell>
          <cell r="AH1125" t="str">
            <v/>
          </cell>
          <cell r="AK1125" t="str">
            <v/>
          </cell>
          <cell r="AM1125" t="str">
            <v/>
          </cell>
          <cell r="AO1125" t="str">
            <v/>
          </cell>
          <cell r="AS1125" t="str">
            <v/>
          </cell>
          <cell r="AT1125" t="str">
            <v/>
          </cell>
          <cell r="AU1125" t="str">
            <v/>
          </cell>
          <cell r="AW1125" t="str">
            <v/>
          </cell>
          <cell r="AX1125" t="str">
            <v/>
          </cell>
        </row>
        <row r="1126">
          <cell r="G1126" t="str">
            <v/>
          </cell>
          <cell r="H1126" t="str">
            <v/>
          </cell>
          <cell r="M1126" t="str">
            <v/>
          </cell>
          <cell r="N1126" t="str">
            <v/>
          </cell>
          <cell r="O1126" t="str">
            <v/>
          </cell>
          <cell r="T1126" t="str">
            <v/>
          </cell>
          <cell r="U1126" t="str">
            <v/>
          </cell>
          <cell r="X1126" t="str">
            <v/>
          </cell>
          <cell r="AH1126" t="str">
            <v/>
          </cell>
          <cell r="AK1126" t="str">
            <v/>
          </cell>
          <cell r="AM1126" t="str">
            <v/>
          </cell>
          <cell r="AO1126" t="str">
            <v/>
          </cell>
          <cell r="AS1126" t="str">
            <v/>
          </cell>
          <cell r="AT1126" t="str">
            <v/>
          </cell>
          <cell r="AU1126" t="str">
            <v/>
          </cell>
          <cell r="AW1126" t="str">
            <v/>
          </cell>
          <cell r="AX1126" t="str">
            <v/>
          </cell>
        </row>
        <row r="1127">
          <cell r="G1127" t="str">
            <v/>
          </cell>
          <cell r="H1127" t="str">
            <v/>
          </cell>
          <cell r="M1127" t="str">
            <v/>
          </cell>
          <cell r="N1127" t="str">
            <v/>
          </cell>
          <cell r="O1127" t="str">
            <v/>
          </cell>
          <cell r="T1127" t="str">
            <v/>
          </cell>
          <cell r="U1127" t="str">
            <v/>
          </cell>
          <cell r="X1127" t="str">
            <v/>
          </cell>
          <cell r="AH1127" t="str">
            <v/>
          </cell>
          <cell r="AK1127" t="str">
            <v/>
          </cell>
          <cell r="AM1127" t="str">
            <v/>
          </cell>
          <cell r="AO1127" t="str">
            <v/>
          </cell>
          <cell r="AS1127" t="str">
            <v/>
          </cell>
          <cell r="AT1127" t="str">
            <v/>
          </cell>
          <cell r="AU1127" t="str">
            <v/>
          </cell>
          <cell r="AW1127" t="str">
            <v/>
          </cell>
          <cell r="AX1127" t="str">
            <v/>
          </cell>
        </row>
        <row r="1128">
          <cell r="G1128" t="str">
            <v/>
          </cell>
          <cell r="H1128" t="str">
            <v/>
          </cell>
          <cell r="M1128" t="str">
            <v/>
          </cell>
          <cell r="N1128" t="str">
            <v/>
          </cell>
          <cell r="O1128" t="str">
            <v/>
          </cell>
          <cell r="T1128" t="str">
            <v/>
          </cell>
          <cell r="U1128" t="str">
            <v/>
          </cell>
          <cell r="X1128" t="str">
            <v/>
          </cell>
          <cell r="AH1128" t="str">
            <v/>
          </cell>
          <cell r="AK1128" t="str">
            <v/>
          </cell>
          <cell r="AM1128" t="str">
            <v/>
          </cell>
          <cell r="AO1128" t="str">
            <v/>
          </cell>
          <cell r="AS1128" t="str">
            <v/>
          </cell>
          <cell r="AT1128" t="str">
            <v/>
          </cell>
          <cell r="AU1128" t="str">
            <v/>
          </cell>
          <cell r="AW1128" t="str">
            <v/>
          </cell>
          <cell r="AX1128" t="str">
            <v/>
          </cell>
        </row>
        <row r="1129">
          <cell r="G1129" t="str">
            <v/>
          </cell>
          <cell r="H1129" t="str">
            <v/>
          </cell>
          <cell r="M1129" t="str">
            <v/>
          </cell>
          <cell r="N1129" t="str">
            <v/>
          </cell>
          <cell r="O1129" t="str">
            <v/>
          </cell>
          <cell r="T1129" t="str">
            <v/>
          </cell>
          <cell r="U1129" t="str">
            <v/>
          </cell>
          <cell r="X1129" t="str">
            <v/>
          </cell>
          <cell r="AH1129" t="str">
            <v/>
          </cell>
          <cell r="AK1129" t="str">
            <v/>
          </cell>
          <cell r="AM1129" t="str">
            <v/>
          </cell>
          <cell r="AO1129" t="str">
            <v/>
          </cell>
          <cell r="AS1129" t="str">
            <v/>
          </cell>
          <cell r="AT1129" t="str">
            <v/>
          </cell>
          <cell r="AU1129" t="str">
            <v/>
          </cell>
          <cell r="AW1129" t="str">
            <v/>
          </cell>
          <cell r="AX1129" t="str">
            <v/>
          </cell>
        </row>
        <row r="1130">
          <cell r="G1130" t="str">
            <v/>
          </cell>
          <cell r="H1130" t="str">
            <v/>
          </cell>
          <cell r="M1130" t="str">
            <v/>
          </cell>
          <cell r="N1130" t="str">
            <v/>
          </cell>
          <cell r="O1130" t="str">
            <v/>
          </cell>
          <cell r="T1130" t="str">
            <v/>
          </cell>
          <cell r="U1130" t="str">
            <v/>
          </cell>
          <cell r="X1130" t="str">
            <v/>
          </cell>
          <cell r="AH1130" t="str">
            <v/>
          </cell>
          <cell r="AK1130" t="str">
            <v/>
          </cell>
          <cell r="AM1130" t="str">
            <v/>
          </cell>
          <cell r="AO1130" t="str">
            <v/>
          </cell>
          <cell r="AS1130" t="str">
            <v/>
          </cell>
          <cell r="AT1130" t="str">
            <v/>
          </cell>
          <cell r="AU1130" t="str">
            <v/>
          </cell>
          <cell r="AW1130" t="str">
            <v/>
          </cell>
          <cell r="AX1130" t="str">
            <v/>
          </cell>
        </row>
        <row r="1131">
          <cell r="G1131" t="str">
            <v/>
          </cell>
          <cell r="H1131" t="str">
            <v/>
          </cell>
          <cell r="M1131" t="str">
            <v/>
          </cell>
          <cell r="N1131" t="str">
            <v/>
          </cell>
          <cell r="O1131" t="str">
            <v/>
          </cell>
          <cell r="T1131" t="str">
            <v/>
          </cell>
          <cell r="U1131" t="str">
            <v/>
          </cell>
          <cell r="X1131" t="str">
            <v/>
          </cell>
          <cell r="AH1131" t="str">
            <v/>
          </cell>
          <cell r="AK1131" t="str">
            <v/>
          </cell>
          <cell r="AM1131" t="str">
            <v/>
          </cell>
          <cell r="AO1131" t="str">
            <v/>
          </cell>
          <cell r="AS1131" t="str">
            <v/>
          </cell>
          <cell r="AT1131" t="str">
            <v/>
          </cell>
          <cell r="AU1131" t="str">
            <v/>
          </cell>
          <cell r="AW1131" t="str">
            <v/>
          </cell>
          <cell r="AX1131" t="str">
            <v/>
          </cell>
        </row>
        <row r="1132">
          <cell r="G1132" t="str">
            <v/>
          </cell>
          <cell r="H1132" t="str">
            <v/>
          </cell>
          <cell r="M1132" t="str">
            <v/>
          </cell>
          <cell r="N1132" t="str">
            <v/>
          </cell>
          <cell r="O1132" t="str">
            <v/>
          </cell>
          <cell r="T1132" t="str">
            <v/>
          </cell>
          <cell r="U1132" t="str">
            <v/>
          </cell>
          <cell r="X1132" t="str">
            <v/>
          </cell>
          <cell r="AH1132" t="str">
            <v/>
          </cell>
          <cell r="AK1132" t="str">
            <v/>
          </cell>
          <cell r="AM1132" t="str">
            <v/>
          </cell>
          <cell r="AO1132" t="str">
            <v/>
          </cell>
          <cell r="AS1132" t="str">
            <v/>
          </cell>
          <cell r="AT1132" t="str">
            <v/>
          </cell>
          <cell r="AU1132" t="str">
            <v/>
          </cell>
          <cell r="AW1132" t="str">
            <v/>
          </cell>
          <cell r="AX1132" t="str">
            <v/>
          </cell>
        </row>
        <row r="1133">
          <cell r="G1133" t="str">
            <v/>
          </cell>
          <cell r="H1133" t="str">
            <v/>
          </cell>
          <cell r="M1133" t="str">
            <v/>
          </cell>
          <cell r="N1133" t="str">
            <v/>
          </cell>
          <cell r="O1133" t="str">
            <v/>
          </cell>
          <cell r="T1133" t="str">
            <v/>
          </cell>
          <cell r="U1133" t="str">
            <v/>
          </cell>
          <cell r="X1133" t="str">
            <v/>
          </cell>
          <cell r="AH1133" t="str">
            <v/>
          </cell>
          <cell r="AK1133" t="str">
            <v/>
          </cell>
          <cell r="AM1133" t="str">
            <v/>
          </cell>
          <cell r="AO1133" t="str">
            <v/>
          </cell>
          <cell r="AS1133" t="str">
            <v/>
          </cell>
          <cell r="AT1133" t="str">
            <v/>
          </cell>
          <cell r="AU1133" t="str">
            <v/>
          </cell>
          <cell r="AW1133" t="str">
            <v/>
          </cell>
          <cell r="AX1133" t="str">
            <v/>
          </cell>
        </row>
        <row r="1134">
          <cell r="G1134" t="str">
            <v/>
          </cell>
          <cell r="H1134" t="str">
            <v/>
          </cell>
          <cell r="M1134" t="str">
            <v/>
          </cell>
          <cell r="N1134" t="str">
            <v/>
          </cell>
          <cell r="O1134" t="str">
            <v/>
          </cell>
          <cell r="T1134" t="str">
            <v/>
          </cell>
          <cell r="U1134" t="str">
            <v/>
          </cell>
          <cell r="X1134" t="str">
            <v/>
          </cell>
          <cell r="AH1134" t="str">
            <v/>
          </cell>
          <cell r="AK1134" t="str">
            <v/>
          </cell>
          <cell r="AM1134" t="str">
            <v/>
          </cell>
          <cell r="AO1134" t="str">
            <v/>
          </cell>
          <cell r="AS1134" t="str">
            <v/>
          </cell>
          <cell r="AT1134" t="str">
            <v/>
          </cell>
          <cell r="AU1134" t="str">
            <v/>
          </cell>
          <cell r="AW1134" t="str">
            <v/>
          </cell>
          <cell r="AX1134" t="str">
            <v/>
          </cell>
        </row>
        <row r="1135">
          <cell r="G1135" t="str">
            <v/>
          </cell>
          <cell r="H1135" t="str">
            <v/>
          </cell>
          <cell r="M1135" t="str">
            <v/>
          </cell>
          <cell r="N1135" t="str">
            <v/>
          </cell>
          <cell r="O1135" t="str">
            <v/>
          </cell>
          <cell r="T1135" t="str">
            <v/>
          </cell>
          <cell r="U1135" t="str">
            <v/>
          </cell>
          <cell r="X1135" t="str">
            <v/>
          </cell>
          <cell r="AH1135" t="str">
            <v/>
          </cell>
          <cell r="AK1135" t="str">
            <v/>
          </cell>
          <cell r="AM1135" t="str">
            <v/>
          </cell>
          <cell r="AO1135" t="str">
            <v/>
          </cell>
          <cell r="AS1135" t="str">
            <v/>
          </cell>
          <cell r="AT1135" t="str">
            <v/>
          </cell>
          <cell r="AU1135" t="str">
            <v/>
          </cell>
          <cell r="AW1135" t="str">
            <v/>
          </cell>
          <cell r="AX1135" t="str">
            <v/>
          </cell>
        </row>
        <row r="1136">
          <cell r="G1136" t="str">
            <v/>
          </cell>
          <cell r="H1136" t="str">
            <v/>
          </cell>
          <cell r="M1136" t="str">
            <v/>
          </cell>
          <cell r="N1136" t="str">
            <v/>
          </cell>
          <cell r="O1136" t="str">
            <v/>
          </cell>
          <cell r="T1136" t="str">
            <v/>
          </cell>
          <cell r="U1136" t="str">
            <v/>
          </cell>
          <cell r="X1136" t="str">
            <v/>
          </cell>
          <cell r="AH1136" t="str">
            <v/>
          </cell>
          <cell r="AK1136" t="str">
            <v/>
          </cell>
          <cell r="AM1136" t="str">
            <v/>
          </cell>
          <cell r="AO1136" t="str">
            <v/>
          </cell>
          <cell r="AS1136" t="str">
            <v/>
          </cell>
          <cell r="AT1136" t="str">
            <v/>
          </cell>
          <cell r="AU1136" t="str">
            <v/>
          </cell>
          <cell r="AW1136" t="str">
            <v/>
          </cell>
          <cell r="AX1136" t="str">
            <v/>
          </cell>
        </row>
        <row r="1137">
          <cell r="G1137" t="str">
            <v/>
          </cell>
          <cell r="H1137" t="str">
            <v/>
          </cell>
          <cell r="M1137" t="str">
            <v/>
          </cell>
          <cell r="N1137" t="str">
            <v/>
          </cell>
          <cell r="O1137" t="str">
            <v/>
          </cell>
          <cell r="T1137" t="str">
            <v/>
          </cell>
          <cell r="U1137" t="str">
            <v/>
          </cell>
          <cell r="X1137" t="str">
            <v/>
          </cell>
          <cell r="AH1137" t="str">
            <v/>
          </cell>
          <cell r="AK1137" t="str">
            <v/>
          </cell>
          <cell r="AM1137" t="str">
            <v/>
          </cell>
          <cell r="AO1137" t="str">
            <v/>
          </cell>
          <cell r="AS1137" t="str">
            <v/>
          </cell>
          <cell r="AT1137" t="str">
            <v/>
          </cell>
          <cell r="AU1137" t="str">
            <v/>
          </cell>
          <cell r="AW1137" t="str">
            <v/>
          </cell>
          <cell r="AX1137" t="str">
            <v/>
          </cell>
        </row>
        <row r="1138">
          <cell r="G1138" t="str">
            <v/>
          </cell>
          <cell r="H1138" t="str">
            <v/>
          </cell>
          <cell r="M1138" t="str">
            <v/>
          </cell>
          <cell r="N1138" t="str">
            <v/>
          </cell>
          <cell r="O1138" t="str">
            <v/>
          </cell>
          <cell r="T1138" t="str">
            <v/>
          </cell>
          <cell r="U1138" t="str">
            <v/>
          </cell>
          <cell r="X1138" t="str">
            <v/>
          </cell>
          <cell r="AH1138" t="str">
            <v/>
          </cell>
          <cell r="AK1138" t="str">
            <v/>
          </cell>
          <cell r="AM1138" t="str">
            <v/>
          </cell>
          <cell r="AO1138" t="str">
            <v/>
          </cell>
          <cell r="AS1138" t="str">
            <v/>
          </cell>
          <cell r="AT1138" t="str">
            <v/>
          </cell>
          <cell r="AU1138" t="str">
            <v/>
          </cell>
          <cell r="AW1138" t="str">
            <v/>
          </cell>
          <cell r="AX1138" t="str">
            <v/>
          </cell>
        </row>
        <row r="1139">
          <cell r="G1139" t="str">
            <v/>
          </cell>
          <cell r="H1139" t="str">
            <v/>
          </cell>
          <cell r="M1139" t="str">
            <v/>
          </cell>
          <cell r="N1139" t="str">
            <v/>
          </cell>
          <cell r="O1139" t="str">
            <v/>
          </cell>
          <cell r="T1139" t="str">
            <v/>
          </cell>
          <cell r="U1139" t="str">
            <v/>
          </cell>
          <cell r="X1139" t="str">
            <v/>
          </cell>
          <cell r="AH1139" t="str">
            <v/>
          </cell>
          <cell r="AK1139" t="str">
            <v/>
          </cell>
          <cell r="AM1139" t="str">
            <v/>
          </cell>
          <cell r="AO1139" t="str">
            <v/>
          </cell>
          <cell r="AS1139" t="str">
            <v/>
          </cell>
          <cell r="AT1139" t="str">
            <v/>
          </cell>
          <cell r="AU1139" t="str">
            <v/>
          </cell>
          <cell r="AW1139" t="str">
            <v/>
          </cell>
          <cell r="AX1139" t="str">
            <v/>
          </cell>
        </row>
        <row r="1140">
          <cell r="G1140" t="str">
            <v/>
          </cell>
          <cell r="H1140" t="str">
            <v/>
          </cell>
          <cell r="M1140" t="str">
            <v/>
          </cell>
          <cell r="N1140" t="str">
            <v/>
          </cell>
          <cell r="O1140" t="str">
            <v/>
          </cell>
          <cell r="T1140" t="str">
            <v/>
          </cell>
          <cell r="U1140" t="str">
            <v/>
          </cell>
          <cell r="X1140" t="str">
            <v/>
          </cell>
          <cell r="AH1140" t="str">
            <v/>
          </cell>
          <cell r="AK1140" t="str">
            <v/>
          </cell>
          <cell r="AM1140" t="str">
            <v/>
          </cell>
          <cell r="AO1140" t="str">
            <v/>
          </cell>
          <cell r="AS1140" t="str">
            <v/>
          </cell>
          <cell r="AT1140" t="str">
            <v/>
          </cell>
          <cell r="AU1140" t="str">
            <v/>
          </cell>
          <cell r="AW1140" t="str">
            <v/>
          </cell>
          <cell r="AX1140" t="str">
            <v/>
          </cell>
        </row>
        <row r="1141">
          <cell r="G1141" t="str">
            <v/>
          </cell>
          <cell r="H1141" t="str">
            <v/>
          </cell>
          <cell r="M1141" t="str">
            <v/>
          </cell>
          <cell r="N1141" t="str">
            <v/>
          </cell>
          <cell r="O1141" t="str">
            <v/>
          </cell>
          <cell r="T1141" t="str">
            <v/>
          </cell>
          <cell r="U1141" t="str">
            <v/>
          </cell>
          <cell r="X1141" t="str">
            <v/>
          </cell>
          <cell r="AH1141" t="str">
            <v/>
          </cell>
          <cell r="AK1141" t="str">
            <v/>
          </cell>
          <cell r="AM1141" t="str">
            <v/>
          </cell>
          <cell r="AO1141" t="str">
            <v/>
          </cell>
          <cell r="AS1141" t="str">
            <v/>
          </cell>
          <cell r="AT1141" t="str">
            <v/>
          </cell>
          <cell r="AU1141" t="str">
            <v/>
          </cell>
          <cell r="AW1141" t="str">
            <v/>
          </cell>
          <cell r="AX1141" t="str">
            <v/>
          </cell>
        </row>
        <row r="1142">
          <cell r="G1142" t="str">
            <v/>
          </cell>
          <cell r="H1142" t="str">
            <v/>
          </cell>
          <cell r="M1142" t="str">
            <v/>
          </cell>
          <cell r="N1142" t="str">
            <v/>
          </cell>
          <cell r="O1142" t="str">
            <v/>
          </cell>
          <cell r="T1142" t="str">
            <v/>
          </cell>
          <cell r="U1142" t="str">
            <v/>
          </cell>
          <cell r="X1142" t="str">
            <v/>
          </cell>
          <cell r="AH1142" t="str">
            <v/>
          </cell>
          <cell r="AK1142" t="str">
            <v/>
          </cell>
          <cell r="AM1142" t="str">
            <v/>
          </cell>
          <cell r="AO1142" t="str">
            <v/>
          </cell>
          <cell r="AS1142" t="str">
            <v/>
          </cell>
          <cell r="AT1142" t="str">
            <v/>
          </cell>
          <cell r="AU1142" t="str">
            <v/>
          </cell>
          <cell r="AW1142" t="str">
            <v/>
          </cell>
          <cell r="AX1142" t="str">
            <v/>
          </cell>
        </row>
        <row r="1143">
          <cell r="G1143" t="str">
            <v/>
          </cell>
          <cell r="H1143" t="str">
            <v/>
          </cell>
          <cell r="M1143" t="str">
            <v/>
          </cell>
          <cell r="N1143" t="str">
            <v/>
          </cell>
          <cell r="O1143" t="str">
            <v/>
          </cell>
          <cell r="T1143" t="str">
            <v/>
          </cell>
          <cell r="U1143" t="str">
            <v/>
          </cell>
          <cell r="X1143" t="str">
            <v/>
          </cell>
          <cell r="AH1143" t="str">
            <v/>
          </cell>
          <cell r="AK1143" t="str">
            <v/>
          </cell>
          <cell r="AM1143" t="str">
            <v/>
          </cell>
          <cell r="AO1143" t="str">
            <v/>
          </cell>
          <cell r="AS1143" t="str">
            <v/>
          </cell>
          <cell r="AT1143" t="str">
            <v/>
          </cell>
          <cell r="AU1143" t="str">
            <v/>
          </cell>
          <cell r="AW1143" t="str">
            <v/>
          </cell>
          <cell r="AX1143" t="str">
            <v/>
          </cell>
        </row>
        <row r="1144">
          <cell r="G1144" t="str">
            <v/>
          </cell>
          <cell r="H1144" t="str">
            <v/>
          </cell>
          <cell r="M1144" t="str">
            <v/>
          </cell>
          <cell r="N1144" t="str">
            <v/>
          </cell>
          <cell r="O1144" t="str">
            <v/>
          </cell>
          <cell r="T1144" t="str">
            <v/>
          </cell>
          <cell r="U1144" t="str">
            <v/>
          </cell>
          <cell r="X1144" t="str">
            <v/>
          </cell>
          <cell r="AH1144" t="str">
            <v/>
          </cell>
          <cell r="AK1144" t="str">
            <v/>
          </cell>
          <cell r="AM1144" t="str">
            <v/>
          </cell>
          <cell r="AO1144" t="str">
            <v/>
          </cell>
          <cell r="AS1144" t="str">
            <v/>
          </cell>
          <cell r="AT1144" t="str">
            <v/>
          </cell>
          <cell r="AU1144" t="str">
            <v/>
          </cell>
          <cell r="AW1144" t="str">
            <v/>
          </cell>
          <cell r="AX1144" t="str">
            <v/>
          </cell>
        </row>
        <row r="1145">
          <cell r="G1145" t="str">
            <v/>
          </cell>
          <cell r="H1145" t="str">
            <v/>
          </cell>
          <cell r="M1145" t="str">
            <v/>
          </cell>
          <cell r="N1145" t="str">
            <v/>
          </cell>
          <cell r="O1145" t="str">
            <v/>
          </cell>
          <cell r="T1145" t="str">
            <v/>
          </cell>
          <cell r="U1145" t="str">
            <v/>
          </cell>
          <cell r="X1145" t="str">
            <v/>
          </cell>
          <cell r="AH1145" t="str">
            <v/>
          </cell>
          <cell r="AK1145" t="str">
            <v/>
          </cell>
          <cell r="AM1145" t="str">
            <v/>
          </cell>
          <cell r="AO1145" t="str">
            <v/>
          </cell>
          <cell r="AS1145" t="str">
            <v/>
          </cell>
          <cell r="AT1145" t="str">
            <v/>
          </cell>
          <cell r="AU1145" t="str">
            <v/>
          </cell>
          <cell r="AW1145" t="str">
            <v/>
          </cell>
          <cell r="AX1145" t="str">
            <v/>
          </cell>
        </row>
        <row r="1146">
          <cell r="G1146" t="str">
            <v/>
          </cell>
          <cell r="H1146" t="str">
            <v/>
          </cell>
          <cell r="M1146" t="str">
            <v/>
          </cell>
          <cell r="N1146" t="str">
            <v/>
          </cell>
          <cell r="O1146" t="str">
            <v/>
          </cell>
          <cell r="T1146" t="str">
            <v/>
          </cell>
          <cell r="U1146" t="str">
            <v/>
          </cell>
          <cell r="X1146" t="str">
            <v/>
          </cell>
          <cell r="AH1146" t="str">
            <v/>
          </cell>
          <cell r="AK1146" t="str">
            <v/>
          </cell>
          <cell r="AM1146" t="str">
            <v/>
          </cell>
          <cell r="AO1146" t="str">
            <v/>
          </cell>
          <cell r="AS1146" t="str">
            <v/>
          </cell>
          <cell r="AT1146" t="str">
            <v/>
          </cell>
          <cell r="AU1146" t="str">
            <v/>
          </cell>
          <cell r="AW1146" t="str">
            <v/>
          </cell>
          <cell r="AX1146" t="str">
            <v/>
          </cell>
        </row>
        <row r="1147">
          <cell r="G1147" t="str">
            <v/>
          </cell>
          <cell r="H1147" t="str">
            <v/>
          </cell>
          <cell r="M1147" t="str">
            <v/>
          </cell>
          <cell r="N1147" t="str">
            <v/>
          </cell>
          <cell r="O1147" t="str">
            <v/>
          </cell>
          <cell r="T1147" t="str">
            <v/>
          </cell>
          <cell r="U1147" t="str">
            <v/>
          </cell>
          <cell r="X1147" t="str">
            <v/>
          </cell>
          <cell r="AH1147" t="str">
            <v/>
          </cell>
          <cell r="AK1147" t="str">
            <v/>
          </cell>
          <cell r="AM1147" t="str">
            <v/>
          </cell>
          <cell r="AO1147" t="str">
            <v/>
          </cell>
          <cell r="AS1147" t="str">
            <v/>
          </cell>
          <cell r="AT1147" t="str">
            <v/>
          </cell>
          <cell r="AU1147" t="str">
            <v/>
          </cell>
          <cell r="AW1147" t="str">
            <v/>
          </cell>
          <cell r="AX1147" t="str">
            <v/>
          </cell>
        </row>
        <row r="1148">
          <cell r="G1148" t="str">
            <v/>
          </cell>
          <cell r="H1148" t="str">
            <v/>
          </cell>
          <cell r="M1148" t="str">
            <v/>
          </cell>
          <cell r="N1148" t="str">
            <v/>
          </cell>
          <cell r="O1148" t="str">
            <v/>
          </cell>
          <cell r="T1148" t="str">
            <v/>
          </cell>
          <cell r="U1148" t="str">
            <v/>
          </cell>
          <cell r="X1148" t="str">
            <v/>
          </cell>
          <cell r="AH1148" t="str">
            <v/>
          </cell>
          <cell r="AK1148" t="str">
            <v/>
          </cell>
          <cell r="AM1148" t="str">
            <v/>
          </cell>
          <cell r="AO1148" t="str">
            <v/>
          </cell>
          <cell r="AS1148" t="str">
            <v/>
          </cell>
          <cell r="AT1148" t="str">
            <v/>
          </cell>
          <cell r="AU1148" t="str">
            <v/>
          </cell>
          <cell r="AW1148" t="str">
            <v/>
          </cell>
          <cell r="AX1148" t="str">
            <v/>
          </cell>
        </row>
        <row r="1149">
          <cell r="G1149" t="str">
            <v/>
          </cell>
          <cell r="H1149" t="str">
            <v/>
          </cell>
          <cell r="M1149" t="str">
            <v/>
          </cell>
          <cell r="N1149" t="str">
            <v/>
          </cell>
          <cell r="O1149" t="str">
            <v/>
          </cell>
          <cell r="T1149" t="str">
            <v/>
          </cell>
          <cell r="U1149" t="str">
            <v/>
          </cell>
          <cell r="X1149" t="str">
            <v/>
          </cell>
          <cell r="AH1149" t="str">
            <v/>
          </cell>
          <cell r="AK1149" t="str">
            <v/>
          </cell>
          <cell r="AM1149" t="str">
            <v/>
          </cell>
          <cell r="AO1149" t="str">
            <v/>
          </cell>
          <cell r="AS1149" t="str">
            <v/>
          </cell>
          <cell r="AT1149" t="str">
            <v/>
          </cell>
          <cell r="AU1149" t="str">
            <v/>
          </cell>
          <cell r="AW1149" t="str">
            <v/>
          </cell>
          <cell r="AX1149" t="str">
            <v/>
          </cell>
        </row>
        <row r="1150">
          <cell r="G1150" t="str">
            <v/>
          </cell>
          <cell r="H1150" t="str">
            <v/>
          </cell>
          <cell r="M1150" t="str">
            <v/>
          </cell>
          <cell r="N1150" t="str">
            <v/>
          </cell>
          <cell r="O1150" t="str">
            <v/>
          </cell>
          <cell r="T1150" t="str">
            <v/>
          </cell>
          <cell r="U1150" t="str">
            <v/>
          </cell>
          <cell r="X1150" t="str">
            <v/>
          </cell>
          <cell r="AH1150" t="str">
            <v/>
          </cell>
          <cell r="AK1150" t="str">
            <v/>
          </cell>
          <cell r="AM1150" t="str">
            <v/>
          </cell>
          <cell r="AO1150" t="str">
            <v/>
          </cell>
          <cell r="AS1150" t="str">
            <v/>
          </cell>
          <cell r="AT1150" t="str">
            <v/>
          </cell>
          <cell r="AU1150" t="str">
            <v/>
          </cell>
          <cell r="AW1150" t="str">
            <v/>
          </cell>
          <cell r="AX1150" t="str">
            <v/>
          </cell>
        </row>
        <row r="1151">
          <cell r="G1151" t="str">
            <v/>
          </cell>
          <cell r="H1151" t="str">
            <v/>
          </cell>
          <cell r="M1151" t="str">
            <v/>
          </cell>
          <cell r="N1151" t="str">
            <v/>
          </cell>
          <cell r="O1151" t="str">
            <v/>
          </cell>
          <cell r="T1151" t="str">
            <v/>
          </cell>
          <cell r="U1151" t="str">
            <v/>
          </cell>
          <cell r="X1151" t="str">
            <v/>
          </cell>
          <cell r="AH1151" t="str">
            <v/>
          </cell>
          <cell r="AK1151" t="str">
            <v/>
          </cell>
          <cell r="AM1151" t="str">
            <v/>
          </cell>
          <cell r="AO1151" t="str">
            <v/>
          </cell>
          <cell r="AS1151" t="str">
            <v/>
          </cell>
          <cell r="AT1151" t="str">
            <v/>
          </cell>
          <cell r="AU1151" t="str">
            <v/>
          </cell>
          <cell r="AW1151" t="str">
            <v/>
          </cell>
          <cell r="AX1151" t="str">
            <v/>
          </cell>
        </row>
        <row r="1152">
          <cell r="G1152" t="str">
            <v/>
          </cell>
          <cell r="H1152" t="str">
            <v/>
          </cell>
          <cell r="M1152" t="str">
            <v/>
          </cell>
          <cell r="N1152" t="str">
            <v/>
          </cell>
          <cell r="O1152" t="str">
            <v/>
          </cell>
          <cell r="T1152" t="str">
            <v/>
          </cell>
          <cell r="U1152" t="str">
            <v/>
          </cell>
          <cell r="X1152" t="str">
            <v/>
          </cell>
          <cell r="AH1152" t="str">
            <v/>
          </cell>
          <cell r="AK1152" t="str">
            <v/>
          </cell>
          <cell r="AM1152" t="str">
            <v/>
          </cell>
          <cell r="AO1152" t="str">
            <v/>
          </cell>
          <cell r="AS1152" t="str">
            <v/>
          </cell>
          <cell r="AT1152" t="str">
            <v/>
          </cell>
          <cell r="AU1152" t="str">
            <v/>
          </cell>
          <cell r="AW1152" t="str">
            <v/>
          </cell>
          <cell r="AX1152" t="str">
            <v/>
          </cell>
        </row>
        <row r="1153">
          <cell r="G1153" t="str">
            <v/>
          </cell>
          <cell r="H1153" t="str">
            <v/>
          </cell>
          <cell r="M1153" t="str">
            <v/>
          </cell>
          <cell r="N1153" t="str">
            <v/>
          </cell>
          <cell r="O1153" t="str">
            <v/>
          </cell>
          <cell r="T1153" t="str">
            <v/>
          </cell>
          <cell r="U1153" t="str">
            <v/>
          </cell>
          <cell r="X1153" t="str">
            <v/>
          </cell>
          <cell r="AH1153" t="str">
            <v/>
          </cell>
          <cell r="AK1153" t="str">
            <v/>
          </cell>
          <cell r="AM1153" t="str">
            <v/>
          </cell>
          <cell r="AO1153" t="str">
            <v/>
          </cell>
          <cell r="AS1153" t="str">
            <v/>
          </cell>
          <cell r="AT1153" t="str">
            <v/>
          </cell>
          <cell r="AU1153" t="str">
            <v/>
          </cell>
          <cell r="AW1153" t="str">
            <v/>
          </cell>
          <cell r="AX1153" t="str">
            <v/>
          </cell>
        </row>
        <row r="1154">
          <cell r="G1154" t="str">
            <v/>
          </cell>
          <cell r="H1154" t="str">
            <v/>
          </cell>
          <cell r="M1154" t="str">
            <v/>
          </cell>
          <cell r="N1154" t="str">
            <v/>
          </cell>
          <cell r="O1154" t="str">
            <v/>
          </cell>
          <cell r="T1154" t="str">
            <v/>
          </cell>
          <cell r="U1154" t="str">
            <v/>
          </cell>
          <cell r="X1154" t="str">
            <v/>
          </cell>
          <cell r="AH1154" t="str">
            <v/>
          </cell>
          <cell r="AK1154" t="str">
            <v/>
          </cell>
          <cell r="AM1154" t="str">
            <v/>
          </cell>
          <cell r="AO1154" t="str">
            <v/>
          </cell>
          <cell r="AS1154" t="str">
            <v/>
          </cell>
          <cell r="AT1154" t="str">
            <v/>
          </cell>
          <cell r="AU1154" t="str">
            <v/>
          </cell>
          <cell r="AW1154" t="str">
            <v/>
          </cell>
          <cell r="AX1154" t="str">
            <v/>
          </cell>
        </row>
        <row r="1155">
          <cell r="G1155" t="str">
            <v/>
          </cell>
          <cell r="H1155" t="str">
            <v/>
          </cell>
          <cell r="M1155" t="str">
            <v/>
          </cell>
          <cell r="N1155" t="str">
            <v/>
          </cell>
          <cell r="O1155" t="str">
            <v/>
          </cell>
          <cell r="T1155" t="str">
            <v/>
          </cell>
          <cell r="U1155" t="str">
            <v/>
          </cell>
          <cell r="X1155" t="str">
            <v/>
          </cell>
          <cell r="AH1155" t="str">
            <v/>
          </cell>
          <cell r="AK1155" t="str">
            <v/>
          </cell>
          <cell r="AM1155" t="str">
            <v/>
          </cell>
          <cell r="AO1155" t="str">
            <v/>
          </cell>
          <cell r="AS1155" t="str">
            <v/>
          </cell>
          <cell r="AT1155" t="str">
            <v/>
          </cell>
          <cell r="AU1155" t="str">
            <v/>
          </cell>
          <cell r="AW1155" t="str">
            <v/>
          </cell>
          <cell r="AX1155" t="str">
            <v/>
          </cell>
        </row>
        <row r="1156">
          <cell r="G1156" t="str">
            <v/>
          </cell>
          <cell r="H1156" t="str">
            <v/>
          </cell>
          <cell r="M1156" t="str">
            <v/>
          </cell>
          <cell r="N1156" t="str">
            <v/>
          </cell>
          <cell r="O1156" t="str">
            <v/>
          </cell>
          <cell r="T1156" t="str">
            <v/>
          </cell>
          <cell r="U1156" t="str">
            <v/>
          </cell>
          <cell r="X1156" t="str">
            <v/>
          </cell>
          <cell r="AH1156" t="str">
            <v/>
          </cell>
          <cell r="AK1156" t="str">
            <v/>
          </cell>
          <cell r="AM1156" t="str">
            <v/>
          </cell>
          <cell r="AO1156" t="str">
            <v/>
          </cell>
          <cell r="AS1156" t="str">
            <v/>
          </cell>
          <cell r="AT1156" t="str">
            <v/>
          </cell>
          <cell r="AU1156" t="str">
            <v/>
          </cell>
          <cell r="AW1156" t="str">
            <v/>
          </cell>
          <cell r="AX1156" t="str">
            <v/>
          </cell>
        </row>
        <row r="1157">
          <cell r="G1157" t="str">
            <v/>
          </cell>
          <cell r="H1157" t="str">
            <v/>
          </cell>
          <cell r="M1157" t="str">
            <v/>
          </cell>
          <cell r="N1157" t="str">
            <v/>
          </cell>
          <cell r="O1157" t="str">
            <v/>
          </cell>
          <cell r="T1157" t="str">
            <v/>
          </cell>
          <cell r="U1157" t="str">
            <v/>
          </cell>
          <cell r="X1157" t="str">
            <v/>
          </cell>
          <cell r="AH1157" t="str">
            <v/>
          </cell>
          <cell r="AK1157" t="str">
            <v/>
          </cell>
          <cell r="AM1157" t="str">
            <v/>
          </cell>
          <cell r="AO1157" t="str">
            <v/>
          </cell>
          <cell r="AS1157" t="str">
            <v/>
          </cell>
          <cell r="AT1157" t="str">
            <v/>
          </cell>
          <cell r="AU1157" t="str">
            <v/>
          </cell>
          <cell r="AW1157" t="str">
            <v/>
          </cell>
          <cell r="AX1157" t="str">
            <v/>
          </cell>
        </row>
        <row r="1158">
          <cell r="G1158" t="str">
            <v/>
          </cell>
          <cell r="H1158" t="str">
            <v/>
          </cell>
          <cell r="M1158" t="str">
            <v/>
          </cell>
          <cell r="N1158" t="str">
            <v/>
          </cell>
          <cell r="O1158" t="str">
            <v/>
          </cell>
          <cell r="T1158" t="str">
            <v/>
          </cell>
          <cell r="U1158" t="str">
            <v/>
          </cell>
          <cell r="X1158" t="str">
            <v/>
          </cell>
          <cell r="AH1158" t="str">
            <v/>
          </cell>
          <cell r="AK1158" t="str">
            <v/>
          </cell>
          <cell r="AM1158" t="str">
            <v/>
          </cell>
          <cell r="AO1158" t="str">
            <v/>
          </cell>
          <cell r="AS1158" t="str">
            <v/>
          </cell>
          <cell r="AT1158" t="str">
            <v/>
          </cell>
          <cell r="AU1158" t="str">
            <v/>
          </cell>
          <cell r="AW1158" t="str">
            <v/>
          </cell>
          <cell r="AX1158" t="str">
            <v/>
          </cell>
        </row>
        <row r="1159">
          <cell r="G1159" t="str">
            <v/>
          </cell>
          <cell r="H1159" t="str">
            <v/>
          </cell>
          <cell r="M1159" t="str">
            <v/>
          </cell>
          <cell r="N1159" t="str">
            <v/>
          </cell>
          <cell r="O1159" t="str">
            <v/>
          </cell>
          <cell r="T1159" t="str">
            <v/>
          </cell>
          <cell r="U1159" t="str">
            <v/>
          </cell>
          <cell r="X1159" t="str">
            <v/>
          </cell>
          <cell r="AH1159" t="str">
            <v/>
          </cell>
          <cell r="AK1159" t="str">
            <v/>
          </cell>
          <cell r="AM1159" t="str">
            <v/>
          </cell>
          <cell r="AO1159" t="str">
            <v/>
          </cell>
          <cell r="AS1159" t="str">
            <v/>
          </cell>
          <cell r="AT1159" t="str">
            <v/>
          </cell>
          <cell r="AU1159" t="str">
            <v/>
          </cell>
          <cell r="AW1159" t="str">
            <v/>
          </cell>
          <cell r="AX1159" t="str">
            <v/>
          </cell>
        </row>
        <row r="1160">
          <cell r="G1160" t="str">
            <v/>
          </cell>
          <cell r="H1160" t="str">
            <v/>
          </cell>
          <cell r="M1160" t="str">
            <v/>
          </cell>
          <cell r="N1160" t="str">
            <v/>
          </cell>
          <cell r="O1160" t="str">
            <v/>
          </cell>
          <cell r="T1160" t="str">
            <v/>
          </cell>
          <cell r="U1160" t="str">
            <v/>
          </cell>
          <cell r="X1160" t="str">
            <v/>
          </cell>
          <cell r="AH1160" t="str">
            <v/>
          </cell>
          <cell r="AK1160" t="str">
            <v/>
          </cell>
          <cell r="AM1160" t="str">
            <v/>
          </cell>
          <cell r="AO1160" t="str">
            <v/>
          </cell>
          <cell r="AS1160" t="str">
            <v/>
          </cell>
          <cell r="AT1160" t="str">
            <v/>
          </cell>
          <cell r="AU1160" t="str">
            <v/>
          </cell>
          <cell r="AW1160" t="str">
            <v/>
          </cell>
          <cell r="AX1160" t="str">
            <v/>
          </cell>
        </row>
        <row r="1161">
          <cell r="G1161" t="str">
            <v/>
          </cell>
          <cell r="H1161" t="str">
            <v/>
          </cell>
          <cell r="M1161" t="str">
            <v/>
          </cell>
          <cell r="N1161" t="str">
            <v/>
          </cell>
          <cell r="O1161" t="str">
            <v/>
          </cell>
          <cell r="T1161" t="str">
            <v/>
          </cell>
          <cell r="U1161" t="str">
            <v/>
          </cell>
          <cell r="X1161" t="str">
            <v/>
          </cell>
          <cell r="AH1161" t="str">
            <v/>
          </cell>
          <cell r="AK1161" t="str">
            <v/>
          </cell>
          <cell r="AM1161" t="str">
            <v/>
          </cell>
          <cell r="AO1161" t="str">
            <v/>
          </cell>
          <cell r="AS1161" t="str">
            <v/>
          </cell>
          <cell r="AT1161" t="str">
            <v/>
          </cell>
          <cell r="AU1161" t="str">
            <v/>
          </cell>
          <cell r="AW1161" t="str">
            <v/>
          </cell>
          <cell r="AX1161" t="str">
            <v/>
          </cell>
        </row>
        <row r="1162">
          <cell r="G1162" t="str">
            <v/>
          </cell>
          <cell r="H1162" t="str">
            <v/>
          </cell>
          <cell r="M1162" t="str">
            <v/>
          </cell>
          <cell r="N1162" t="str">
            <v/>
          </cell>
          <cell r="O1162" t="str">
            <v/>
          </cell>
          <cell r="T1162" t="str">
            <v/>
          </cell>
          <cell r="U1162" t="str">
            <v/>
          </cell>
          <cell r="X1162" t="str">
            <v/>
          </cell>
          <cell r="AH1162" t="str">
            <v/>
          </cell>
          <cell r="AK1162" t="str">
            <v/>
          </cell>
          <cell r="AM1162" t="str">
            <v/>
          </cell>
          <cell r="AO1162" t="str">
            <v/>
          </cell>
          <cell r="AS1162" t="str">
            <v/>
          </cell>
          <cell r="AT1162" t="str">
            <v/>
          </cell>
          <cell r="AU1162" t="str">
            <v/>
          </cell>
          <cell r="AW1162" t="str">
            <v/>
          </cell>
          <cell r="AX1162" t="str">
            <v/>
          </cell>
        </row>
        <row r="1163">
          <cell r="G1163" t="str">
            <v/>
          </cell>
          <cell r="H1163" t="str">
            <v/>
          </cell>
          <cell r="M1163" t="str">
            <v/>
          </cell>
          <cell r="N1163" t="str">
            <v/>
          </cell>
          <cell r="O1163" t="str">
            <v/>
          </cell>
          <cell r="T1163" t="str">
            <v/>
          </cell>
          <cell r="U1163" t="str">
            <v/>
          </cell>
          <cell r="X1163" t="str">
            <v/>
          </cell>
          <cell r="AH1163" t="str">
            <v/>
          </cell>
          <cell r="AK1163" t="str">
            <v/>
          </cell>
          <cell r="AM1163" t="str">
            <v/>
          </cell>
          <cell r="AO1163" t="str">
            <v/>
          </cell>
          <cell r="AS1163" t="str">
            <v/>
          </cell>
          <cell r="AT1163" t="str">
            <v/>
          </cell>
          <cell r="AU1163" t="str">
            <v/>
          </cell>
          <cell r="AW1163" t="str">
            <v/>
          </cell>
          <cell r="AX1163" t="str">
            <v/>
          </cell>
        </row>
        <row r="1164">
          <cell r="G1164" t="str">
            <v/>
          </cell>
          <cell r="H1164" t="str">
            <v/>
          </cell>
          <cell r="M1164" t="str">
            <v/>
          </cell>
          <cell r="N1164" t="str">
            <v/>
          </cell>
          <cell r="O1164" t="str">
            <v/>
          </cell>
          <cell r="T1164" t="str">
            <v/>
          </cell>
          <cell r="U1164" t="str">
            <v/>
          </cell>
          <cell r="X1164" t="str">
            <v/>
          </cell>
          <cell r="AH1164" t="str">
            <v/>
          </cell>
          <cell r="AK1164" t="str">
            <v/>
          </cell>
          <cell r="AM1164" t="str">
            <v/>
          </cell>
          <cell r="AO1164" t="str">
            <v/>
          </cell>
          <cell r="AS1164" t="str">
            <v/>
          </cell>
          <cell r="AT1164" t="str">
            <v/>
          </cell>
          <cell r="AU1164" t="str">
            <v/>
          </cell>
          <cell r="AW1164" t="str">
            <v/>
          </cell>
          <cell r="AX1164" t="str">
            <v/>
          </cell>
        </row>
        <row r="1165">
          <cell r="G1165" t="str">
            <v/>
          </cell>
          <cell r="H1165" t="str">
            <v/>
          </cell>
          <cell r="M1165" t="str">
            <v/>
          </cell>
          <cell r="N1165" t="str">
            <v/>
          </cell>
          <cell r="O1165" t="str">
            <v/>
          </cell>
          <cell r="T1165" t="str">
            <v/>
          </cell>
          <cell r="U1165" t="str">
            <v/>
          </cell>
          <cell r="X1165" t="str">
            <v/>
          </cell>
          <cell r="AH1165" t="str">
            <v/>
          </cell>
          <cell r="AK1165" t="str">
            <v/>
          </cell>
          <cell r="AM1165" t="str">
            <v/>
          </cell>
          <cell r="AO1165" t="str">
            <v/>
          </cell>
          <cell r="AS1165" t="str">
            <v/>
          </cell>
          <cell r="AT1165" t="str">
            <v/>
          </cell>
          <cell r="AU1165" t="str">
            <v/>
          </cell>
          <cell r="AW1165" t="str">
            <v/>
          </cell>
          <cell r="AX1165" t="str">
            <v/>
          </cell>
        </row>
        <row r="1166">
          <cell r="G1166" t="str">
            <v/>
          </cell>
          <cell r="H1166" t="str">
            <v/>
          </cell>
          <cell r="M1166" t="str">
            <v/>
          </cell>
          <cell r="N1166" t="str">
            <v/>
          </cell>
          <cell r="O1166" t="str">
            <v/>
          </cell>
          <cell r="T1166" t="str">
            <v/>
          </cell>
          <cell r="U1166" t="str">
            <v/>
          </cell>
          <cell r="X1166" t="str">
            <v/>
          </cell>
          <cell r="AH1166" t="str">
            <v/>
          </cell>
          <cell r="AK1166" t="str">
            <v/>
          </cell>
          <cell r="AM1166" t="str">
            <v/>
          </cell>
          <cell r="AO1166" t="str">
            <v/>
          </cell>
          <cell r="AS1166" t="str">
            <v/>
          </cell>
          <cell r="AT1166" t="str">
            <v/>
          </cell>
          <cell r="AU1166" t="str">
            <v/>
          </cell>
          <cell r="AW1166" t="str">
            <v/>
          </cell>
          <cell r="AX1166" t="str">
            <v/>
          </cell>
        </row>
        <row r="1167">
          <cell r="G1167" t="str">
            <v/>
          </cell>
          <cell r="H1167" t="str">
            <v/>
          </cell>
          <cell r="M1167" t="str">
            <v/>
          </cell>
          <cell r="N1167" t="str">
            <v/>
          </cell>
          <cell r="O1167" t="str">
            <v/>
          </cell>
          <cell r="T1167" t="str">
            <v/>
          </cell>
          <cell r="U1167" t="str">
            <v/>
          </cell>
          <cell r="X1167" t="str">
            <v/>
          </cell>
          <cell r="AH1167" t="str">
            <v/>
          </cell>
          <cell r="AK1167" t="str">
            <v/>
          </cell>
          <cell r="AM1167" t="str">
            <v/>
          </cell>
          <cell r="AO1167" t="str">
            <v/>
          </cell>
          <cell r="AS1167" t="str">
            <v/>
          </cell>
          <cell r="AT1167" t="str">
            <v/>
          </cell>
          <cell r="AU1167" t="str">
            <v/>
          </cell>
          <cell r="AW1167" t="str">
            <v/>
          </cell>
          <cell r="AX1167" t="str">
            <v/>
          </cell>
        </row>
        <row r="1168">
          <cell r="G1168" t="str">
            <v/>
          </cell>
          <cell r="H1168" t="str">
            <v/>
          </cell>
          <cell r="M1168" t="str">
            <v/>
          </cell>
          <cell r="N1168" t="str">
            <v/>
          </cell>
          <cell r="O1168" t="str">
            <v/>
          </cell>
          <cell r="T1168" t="str">
            <v/>
          </cell>
          <cell r="U1168" t="str">
            <v/>
          </cell>
          <cell r="X1168" t="str">
            <v/>
          </cell>
          <cell r="AH1168" t="str">
            <v/>
          </cell>
          <cell r="AK1168" t="str">
            <v/>
          </cell>
          <cell r="AM1168" t="str">
            <v/>
          </cell>
          <cell r="AO1168" t="str">
            <v/>
          </cell>
          <cell r="AS1168" t="str">
            <v/>
          </cell>
          <cell r="AT1168" t="str">
            <v/>
          </cell>
          <cell r="AU1168" t="str">
            <v/>
          </cell>
          <cell r="AW1168" t="str">
            <v/>
          </cell>
          <cell r="AX1168" t="str">
            <v/>
          </cell>
        </row>
        <row r="1169">
          <cell r="G1169" t="str">
            <v/>
          </cell>
          <cell r="H1169" t="str">
            <v/>
          </cell>
          <cell r="M1169" t="str">
            <v/>
          </cell>
          <cell r="N1169" t="str">
            <v/>
          </cell>
          <cell r="O1169" t="str">
            <v/>
          </cell>
          <cell r="T1169" t="str">
            <v/>
          </cell>
          <cell r="U1169" t="str">
            <v/>
          </cell>
          <cell r="X1169" t="str">
            <v/>
          </cell>
          <cell r="AH1169" t="str">
            <v/>
          </cell>
          <cell r="AK1169" t="str">
            <v/>
          </cell>
          <cell r="AM1169" t="str">
            <v/>
          </cell>
          <cell r="AO1169" t="str">
            <v/>
          </cell>
          <cell r="AS1169" t="str">
            <v/>
          </cell>
          <cell r="AT1169" t="str">
            <v/>
          </cell>
          <cell r="AU1169" t="str">
            <v/>
          </cell>
          <cell r="AW1169" t="str">
            <v/>
          </cell>
          <cell r="AX1169" t="str">
            <v/>
          </cell>
        </row>
        <row r="1170">
          <cell r="G1170" t="str">
            <v/>
          </cell>
          <cell r="H1170" t="str">
            <v/>
          </cell>
          <cell r="M1170" t="str">
            <v/>
          </cell>
          <cell r="N1170" t="str">
            <v/>
          </cell>
          <cell r="O1170" t="str">
            <v/>
          </cell>
          <cell r="T1170" t="str">
            <v/>
          </cell>
          <cell r="U1170" t="str">
            <v/>
          </cell>
          <cell r="X1170" t="str">
            <v/>
          </cell>
          <cell r="AH1170" t="str">
            <v/>
          </cell>
          <cell r="AK1170" t="str">
            <v/>
          </cell>
          <cell r="AM1170" t="str">
            <v/>
          </cell>
          <cell r="AO1170" t="str">
            <v/>
          </cell>
          <cell r="AS1170" t="str">
            <v/>
          </cell>
          <cell r="AT1170" t="str">
            <v/>
          </cell>
          <cell r="AU1170" t="str">
            <v/>
          </cell>
          <cell r="AW1170" t="str">
            <v/>
          </cell>
          <cell r="AX1170" t="str">
            <v/>
          </cell>
        </row>
        <row r="1171">
          <cell r="G1171" t="str">
            <v/>
          </cell>
          <cell r="H1171" t="str">
            <v/>
          </cell>
          <cell r="M1171" t="str">
            <v/>
          </cell>
          <cell r="N1171" t="str">
            <v/>
          </cell>
          <cell r="O1171" t="str">
            <v/>
          </cell>
          <cell r="T1171" t="str">
            <v/>
          </cell>
          <cell r="U1171" t="str">
            <v/>
          </cell>
          <cell r="X1171" t="str">
            <v/>
          </cell>
          <cell r="AH1171" t="str">
            <v/>
          </cell>
          <cell r="AK1171" t="str">
            <v/>
          </cell>
          <cell r="AM1171" t="str">
            <v/>
          </cell>
          <cell r="AO1171" t="str">
            <v/>
          </cell>
          <cell r="AS1171" t="str">
            <v/>
          </cell>
          <cell r="AT1171" t="str">
            <v/>
          </cell>
          <cell r="AU1171" t="str">
            <v/>
          </cell>
          <cell r="AW1171" t="str">
            <v/>
          </cell>
          <cell r="AX1171" t="str">
            <v/>
          </cell>
        </row>
        <row r="1172">
          <cell r="G1172" t="str">
            <v/>
          </cell>
          <cell r="H1172" t="str">
            <v/>
          </cell>
          <cell r="M1172" t="str">
            <v/>
          </cell>
          <cell r="N1172" t="str">
            <v/>
          </cell>
          <cell r="O1172" t="str">
            <v/>
          </cell>
          <cell r="T1172" t="str">
            <v/>
          </cell>
          <cell r="U1172" t="str">
            <v/>
          </cell>
          <cell r="X1172" t="str">
            <v/>
          </cell>
          <cell r="AH1172" t="str">
            <v/>
          </cell>
          <cell r="AK1172" t="str">
            <v/>
          </cell>
          <cell r="AM1172" t="str">
            <v/>
          </cell>
          <cell r="AO1172" t="str">
            <v/>
          </cell>
          <cell r="AS1172" t="str">
            <v/>
          </cell>
          <cell r="AT1172" t="str">
            <v/>
          </cell>
          <cell r="AU1172" t="str">
            <v/>
          </cell>
          <cell r="AW1172" t="str">
            <v/>
          </cell>
          <cell r="AX1172" t="str">
            <v/>
          </cell>
        </row>
        <row r="1173">
          <cell r="G1173" t="str">
            <v/>
          </cell>
          <cell r="H1173" t="str">
            <v/>
          </cell>
          <cell r="M1173" t="str">
            <v/>
          </cell>
          <cell r="N1173" t="str">
            <v/>
          </cell>
          <cell r="O1173" t="str">
            <v/>
          </cell>
          <cell r="T1173" t="str">
            <v/>
          </cell>
          <cell r="U1173" t="str">
            <v/>
          </cell>
          <cell r="X1173" t="str">
            <v/>
          </cell>
          <cell r="AH1173" t="str">
            <v/>
          </cell>
          <cell r="AK1173" t="str">
            <v/>
          </cell>
          <cell r="AM1173" t="str">
            <v/>
          </cell>
          <cell r="AO1173" t="str">
            <v/>
          </cell>
          <cell r="AS1173" t="str">
            <v/>
          </cell>
          <cell r="AT1173" t="str">
            <v/>
          </cell>
          <cell r="AU1173" t="str">
            <v/>
          </cell>
          <cell r="AW1173" t="str">
            <v/>
          </cell>
          <cell r="AX1173" t="str">
            <v/>
          </cell>
        </row>
        <row r="1174">
          <cell r="G1174" t="str">
            <v/>
          </cell>
          <cell r="H1174" t="str">
            <v/>
          </cell>
          <cell r="M1174" t="str">
            <v/>
          </cell>
          <cell r="N1174" t="str">
            <v/>
          </cell>
          <cell r="O1174" t="str">
            <v/>
          </cell>
          <cell r="T1174" t="str">
            <v/>
          </cell>
          <cell r="U1174" t="str">
            <v/>
          </cell>
          <cell r="X1174" t="str">
            <v/>
          </cell>
          <cell r="AH1174" t="str">
            <v/>
          </cell>
          <cell r="AK1174" t="str">
            <v/>
          </cell>
          <cell r="AM1174" t="str">
            <v/>
          </cell>
          <cell r="AO1174" t="str">
            <v/>
          </cell>
          <cell r="AS1174" t="str">
            <v/>
          </cell>
          <cell r="AT1174" t="str">
            <v/>
          </cell>
          <cell r="AU1174" t="str">
            <v/>
          </cell>
          <cell r="AW1174" t="str">
            <v/>
          </cell>
          <cell r="AX1174" t="str">
            <v/>
          </cell>
        </row>
        <row r="1175">
          <cell r="G1175" t="str">
            <v/>
          </cell>
          <cell r="H1175" t="str">
            <v/>
          </cell>
          <cell r="M1175" t="str">
            <v/>
          </cell>
          <cell r="N1175" t="str">
            <v/>
          </cell>
          <cell r="O1175" t="str">
            <v/>
          </cell>
          <cell r="T1175" t="str">
            <v/>
          </cell>
          <cell r="U1175" t="str">
            <v/>
          </cell>
          <cell r="X1175" t="str">
            <v/>
          </cell>
          <cell r="AH1175" t="str">
            <v/>
          </cell>
          <cell r="AK1175" t="str">
            <v/>
          </cell>
          <cell r="AM1175" t="str">
            <v/>
          </cell>
          <cell r="AO1175" t="str">
            <v/>
          </cell>
          <cell r="AS1175" t="str">
            <v/>
          </cell>
          <cell r="AT1175" t="str">
            <v/>
          </cell>
          <cell r="AU1175" t="str">
            <v/>
          </cell>
          <cell r="AW1175" t="str">
            <v/>
          </cell>
          <cell r="AX1175" t="str">
            <v/>
          </cell>
        </row>
        <row r="1176">
          <cell r="G1176" t="str">
            <v/>
          </cell>
          <cell r="H1176" t="str">
            <v/>
          </cell>
          <cell r="M1176" t="str">
            <v/>
          </cell>
          <cell r="N1176" t="str">
            <v/>
          </cell>
          <cell r="O1176" t="str">
            <v/>
          </cell>
          <cell r="T1176" t="str">
            <v/>
          </cell>
          <cell r="U1176" t="str">
            <v/>
          </cell>
          <cell r="X1176" t="str">
            <v/>
          </cell>
          <cell r="AH1176" t="str">
            <v/>
          </cell>
          <cell r="AK1176" t="str">
            <v/>
          </cell>
          <cell r="AM1176" t="str">
            <v/>
          </cell>
          <cell r="AO1176" t="str">
            <v/>
          </cell>
          <cell r="AS1176" t="str">
            <v/>
          </cell>
          <cell r="AT1176" t="str">
            <v/>
          </cell>
          <cell r="AU1176" t="str">
            <v/>
          </cell>
          <cell r="AW1176" t="str">
            <v/>
          </cell>
          <cell r="AX1176" t="str">
            <v/>
          </cell>
        </row>
        <row r="1177">
          <cell r="G1177" t="str">
            <v/>
          </cell>
          <cell r="H1177" t="str">
            <v/>
          </cell>
          <cell r="M1177" t="str">
            <v/>
          </cell>
          <cell r="N1177" t="str">
            <v/>
          </cell>
          <cell r="O1177" t="str">
            <v/>
          </cell>
          <cell r="T1177" t="str">
            <v/>
          </cell>
          <cell r="U1177" t="str">
            <v/>
          </cell>
          <cell r="X1177" t="str">
            <v/>
          </cell>
          <cell r="AH1177" t="str">
            <v/>
          </cell>
          <cell r="AK1177" t="str">
            <v/>
          </cell>
          <cell r="AM1177" t="str">
            <v/>
          </cell>
          <cell r="AO1177" t="str">
            <v/>
          </cell>
          <cell r="AS1177" t="str">
            <v/>
          </cell>
          <cell r="AT1177" t="str">
            <v/>
          </cell>
          <cell r="AU1177" t="str">
            <v/>
          </cell>
          <cell r="AW1177" t="str">
            <v/>
          </cell>
          <cell r="AX1177" t="str">
            <v/>
          </cell>
        </row>
        <row r="1178">
          <cell r="G1178" t="str">
            <v/>
          </cell>
          <cell r="H1178" t="str">
            <v/>
          </cell>
          <cell r="M1178" t="str">
            <v/>
          </cell>
          <cell r="N1178" t="str">
            <v/>
          </cell>
          <cell r="O1178" t="str">
            <v/>
          </cell>
          <cell r="T1178" t="str">
            <v/>
          </cell>
          <cell r="U1178" t="str">
            <v/>
          </cell>
          <cell r="X1178" t="str">
            <v/>
          </cell>
          <cell r="AH1178" t="str">
            <v/>
          </cell>
          <cell r="AK1178" t="str">
            <v/>
          </cell>
          <cell r="AM1178" t="str">
            <v/>
          </cell>
          <cell r="AO1178" t="str">
            <v/>
          </cell>
          <cell r="AS1178" t="str">
            <v/>
          </cell>
          <cell r="AT1178" t="str">
            <v/>
          </cell>
          <cell r="AU1178" t="str">
            <v/>
          </cell>
          <cell r="AW1178" t="str">
            <v/>
          </cell>
          <cell r="AX1178" t="str">
            <v/>
          </cell>
        </row>
        <row r="1179">
          <cell r="G1179" t="str">
            <v/>
          </cell>
          <cell r="H1179" t="str">
            <v/>
          </cell>
          <cell r="M1179" t="str">
            <v/>
          </cell>
          <cell r="N1179" t="str">
            <v/>
          </cell>
          <cell r="O1179" t="str">
            <v/>
          </cell>
          <cell r="T1179" t="str">
            <v/>
          </cell>
          <cell r="U1179" t="str">
            <v/>
          </cell>
          <cell r="X1179" t="str">
            <v/>
          </cell>
          <cell r="AH1179" t="str">
            <v/>
          </cell>
          <cell r="AK1179" t="str">
            <v/>
          </cell>
          <cell r="AM1179" t="str">
            <v/>
          </cell>
          <cell r="AO1179" t="str">
            <v/>
          </cell>
          <cell r="AS1179" t="str">
            <v/>
          </cell>
          <cell r="AT1179" t="str">
            <v/>
          </cell>
          <cell r="AU1179" t="str">
            <v/>
          </cell>
          <cell r="AW1179" t="str">
            <v/>
          </cell>
          <cell r="AX1179" t="str">
            <v/>
          </cell>
        </row>
        <row r="1180">
          <cell r="G1180" t="str">
            <v/>
          </cell>
          <cell r="H1180" t="str">
            <v/>
          </cell>
          <cell r="M1180" t="str">
            <v/>
          </cell>
          <cell r="N1180" t="str">
            <v/>
          </cell>
          <cell r="O1180" t="str">
            <v/>
          </cell>
          <cell r="T1180" t="str">
            <v/>
          </cell>
          <cell r="U1180" t="str">
            <v/>
          </cell>
          <cell r="X1180" t="str">
            <v/>
          </cell>
          <cell r="AH1180" t="str">
            <v/>
          </cell>
          <cell r="AK1180" t="str">
            <v/>
          </cell>
          <cell r="AM1180" t="str">
            <v/>
          </cell>
          <cell r="AO1180" t="str">
            <v/>
          </cell>
          <cell r="AS1180" t="str">
            <v/>
          </cell>
          <cell r="AT1180" t="str">
            <v/>
          </cell>
          <cell r="AU1180" t="str">
            <v/>
          </cell>
          <cell r="AW1180" t="str">
            <v/>
          </cell>
          <cell r="AX1180" t="str">
            <v/>
          </cell>
        </row>
        <row r="1181">
          <cell r="G1181" t="str">
            <v/>
          </cell>
          <cell r="H1181" t="str">
            <v/>
          </cell>
          <cell r="M1181" t="str">
            <v/>
          </cell>
          <cell r="N1181" t="str">
            <v/>
          </cell>
          <cell r="O1181" t="str">
            <v/>
          </cell>
          <cell r="T1181" t="str">
            <v/>
          </cell>
          <cell r="U1181" t="str">
            <v/>
          </cell>
          <cell r="X1181" t="str">
            <v/>
          </cell>
          <cell r="AH1181" t="str">
            <v/>
          </cell>
          <cell r="AK1181" t="str">
            <v/>
          </cell>
          <cell r="AM1181" t="str">
            <v/>
          </cell>
          <cell r="AO1181" t="str">
            <v/>
          </cell>
          <cell r="AS1181" t="str">
            <v/>
          </cell>
          <cell r="AT1181" t="str">
            <v/>
          </cell>
          <cell r="AU1181" t="str">
            <v/>
          </cell>
          <cell r="AW1181" t="str">
            <v/>
          </cell>
          <cell r="AX1181" t="str">
            <v/>
          </cell>
        </row>
        <row r="1182">
          <cell r="G1182" t="str">
            <v/>
          </cell>
          <cell r="H1182" t="str">
            <v/>
          </cell>
          <cell r="M1182" t="str">
            <v/>
          </cell>
          <cell r="N1182" t="str">
            <v/>
          </cell>
          <cell r="O1182" t="str">
            <v/>
          </cell>
          <cell r="T1182" t="str">
            <v/>
          </cell>
          <cell r="U1182" t="str">
            <v/>
          </cell>
          <cell r="X1182" t="str">
            <v/>
          </cell>
          <cell r="AH1182" t="str">
            <v/>
          </cell>
          <cell r="AK1182" t="str">
            <v/>
          </cell>
          <cell r="AM1182" t="str">
            <v/>
          </cell>
          <cell r="AO1182" t="str">
            <v/>
          </cell>
          <cell r="AS1182" t="str">
            <v/>
          </cell>
          <cell r="AT1182" t="str">
            <v/>
          </cell>
          <cell r="AU1182" t="str">
            <v/>
          </cell>
          <cell r="AW1182" t="str">
            <v/>
          </cell>
          <cell r="AX1182" t="str">
            <v/>
          </cell>
        </row>
        <row r="1183">
          <cell r="G1183" t="str">
            <v/>
          </cell>
          <cell r="H1183" t="str">
            <v/>
          </cell>
          <cell r="M1183" t="str">
            <v/>
          </cell>
          <cell r="N1183" t="str">
            <v/>
          </cell>
          <cell r="O1183" t="str">
            <v/>
          </cell>
          <cell r="T1183" t="str">
            <v/>
          </cell>
          <cell r="U1183" t="str">
            <v/>
          </cell>
          <cell r="X1183" t="str">
            <v/>
          </cell>
          <cell r="AH1183" t="str">
            <v/>
          </cell>
          <cell r="AK1183" t="str">
            <v/>
          </cell>
          <cell r="AM1183" t="str">
            <v/>
          </cell>
          <cell r="AO1183" t="str">
            <v/>
          </cell>
          <cell r="AS1183" t="str">
            <v/>
          </cell>
          <cell r="AT1183" t="str">
            <v/>
          </cell>
          <cell r="AU1183" t="str">
            <v/>
          </cell>
          <cell r="AW1183" t="str">
            <v/>
          </cell>
          <cell r="AX1183" t="str">
            <v/>
          </cell>
        </row>
        <row r="1184">
          <cell r="G1184" t="str">
            <v/>
          </cell>
          <cell r="H1184" t="str">
            <v/>
          </cell>
          <cell r="M1184" t="str">
            <v/>
          </cell>
          <cell r="N1184" t="str">
            <v/>
          </cell>
          <cell r="O1184" t="str">
            <v/>
          </cell>
          <cell r="T1184" t="str">
            <v/>
          </cell>
          <cell r="U1184" t="str">
            <v/>
          </cell>
          <cell r="X1184" t="str">
            <v/>
          </cell>
          <cell r="AH1184" t="str">
            <v/>
          </cell>
          <cell r="AK1184" t="str">
            <v/>
          </cell>
          <cell r="AM1184" t="str">
            <v/>
          </cell>
          <cell r="AO1184" t="str">
            <v/>
          </cell>
          <cell r="AS1184" t="str">
            <v/>
          </cell>
          <cell r="AT1184" t="str">
            <v/>
          </cell>
          <cell r="AU1184" t="str">
            <v/>
          </cell>
          <cell r="AW1184" t="str">
            <v/>
          </cell>
          <cell r="AX1184" t="str">
            <v/>
          </cell>
        </row>
        <row r="1185">
          <cell r="G1185" t="str">
            <v/>
          </cell>
          <cell r="H1185" t="str">
            <v/>
          </cell>
          <cell r="M1185" t="str">
            <v/>
          </cell>
          <cell r="N1185" t="str">
            <v/>
          </cell>
          <cell r="O1185" t="str">
            <v/>
          </cell>
          <cell r="T1185" t="str">
            <v/>
          </cell>
          <cell r="U1185" t="str">
            <v/>
          </cell>
          <cell r="X1185" t="str">
            <v/>
          </cell>
          <cell r="AH1185" t="str">
            <v/>
          </cell>
          <cell r="AK1185" t="str">
            <v/>
          </cell>
          <cell r="AM1185" t="str">
            <v/>
          </cell>
          <cell r="AO1185" t="str">
            <v/>
          </cell>
          <cell r="AS1185" t="str">
            <v/>
          </cell>
          <cell r="AT1185" t="str">
            <v/>
          </cell>
          <cell r="AU1185" t="str">
            <v/>
          </cell>
          <cell r="AW1185" t="str">
            <v/>
          </cell>
          <cell r="AX1185" t="str">
            <v/>
          </cell>
        </row>
        <row r="1186">
          <cell r="G1186" t="str">
            <v/>
          </cell>
          <cell r="H1186" t="str">
            <v/>
          </cell>
          <cell r="M1186" t="str">
            <v/>
          </cell>
          <cell r="N1186" t="str">
            <v/>
          </cell>
          <cell r="O1186" t="str">
            <v/>
          </cell>
          <cell r="T1186" t="str">
            <v/>
          </cell>
          <cell r="U1186" t="str">
            <v/>
          </cell>
          <cell r="X1186" t="str">
            <v/>
          </cell>
          <cell r="AH1186" t="str">
            <v/>
          </cell>
          <cell r="AK1186" t="str">
            <v/>
          </cell>
          <cell r="AM1186" t="str">
            <v/>
          </cell>
          <cell r="AO1186" t="str">
            <v/>
          </cell>
          <cell r="AS1186" t="str">
            <v/>
          </cell>
          <cell r="AT1186" t="str">
            <v/>
          </cell>
          <cell r="AU1186" t="str">
            <v/>
          </cell>
          <cell r="AW1186" t="str">
            <v/>
          </cell>
          <cell r="AX1186" t="str">
            <v/>
          </cell>
        </row>
        <row r="1187">
          <cell r="G1187" t="str">
            <v/>
          </cell>
          <cell r="H1187" t="str">
            <v/>
          </cell>
          <cell r="M1187" t="str">
            <v/>
          </cell>
          <cell r="N1187" t="str">
            <v/>
          </cell>
          <cell r="O1187" t="str">
            <v/>
          </cell>
          <cell r="T1187" t="str">
            <v/>
          </cell>
          <cell r="U1187" t="str">
            <v/>
          </cell>
          <cell r="X1187" t="str">
            <v/>
          </cell>
          <cell r="AH1187" t="str">
            <v/>
          </cell>
          <cell r="AK1187" t="str">
            <v/>
          </cell>
          <cell r="AM1187" t="str">
            <v/>
          </cell>
          <cell r="AO1187" t="str">
            <v/>
          </cell>
          <cell r="AS1187" t="str">
            <v/>
          </cell>
          <cell r="AT1187" t="str">
            <v/>
          </cell>
          <cell r="AU1187" t="str">
            <v/>
          </cell>
          <cell r="AW1187" t="str">
            <v/>
          </cell>
          <cell r="AX1187" t="str">
            <v/>
          </cell>
        </row>
        <row r="1188">
          <cell r="G1188" t="str">
            <v/>
          </cell>
          <cell r="H1188" t="str">
            <v/>
          </cell>
          <cell r="M1188" t="str">
            <v/>
          </cell>
          <cell r="N1188" t="str">
            <v/>
          </cell>
          <cell r="O1188" t="str">
            <v/>
          </cell>
          <cell r="T1188" t="str">
            <v/>
          </cell>
          <cell r="U1188" t="str">
            <v/>
          </cell>
          <cell r="X1188" t="str">
            <v/>
          </cell>
          <cell r="AH1188" t="str">
            <v/>
          </cell>
          <cell r="AK1188" t="str">
            <v/>
          </cell>
          <cell r="AM1188" t="str">
            <v/>
          </cell>
          <cell r="AO1188" t="str">
            <v/>
          </cell>
          <cell r="AS1188" t="str">
            <v/>
          </cell>
          <cell r="AT1188" t="str">
            <v/>
          </cell>
          <cell r="AU1188" t="str">
            <v/>
          </cell>
          <cell r="AW1188" t="str">
            <v/>
          </cell>
          <cell r="AX1188" t="str">
            <v/>
          </cell>
        </row>
        <row r="1189">
          <cell r="G1189" t="str">
            <v/>
          </cell>
          <cell r="H1189" t="str">
            <v/>
          </cell>
          <cell r="M1189" t="str">
            <v/>
          </cell>
          <cell r="N1189" t="str">
            <v/>
          </cell>
          <cell r="O1189" t="str">
            <v/>
          </cell>
          <cell r="T1189" t="str">
            <v/>
          </cell>
          <cell r="U1189" t="str">
            <v/>
          </cell>
          <cell r="X1189" t="str">
            <v/>
          </cell>
          <cell r="AH1189" t="str">
            <v/>
          </cell>
          <cell r="AK1189" t="str">
            <v/>
          </cell>
          <cell r="AM1189" t="str">
            <v/>
          </cell>
          <cell r="AO1189" t="str">
            <v/>
          </cell>
          <cell r="AS1189" t="str">
            <v/>
          </cell>
          <cell r="AT1189" t="str">
            <v/>
          </cell>
          <cell r="AU1189" t="str">
            <v/>
          </cell>
          <cell r="AW1189" t="str">
            <v/>
          </cell>
          <cell r="AX1189" t="str">
            <v/>
          </cell>
        </row>
        <row r="1190">
          <cell r="G1190" t="str">
            <v/>
          </cell>
          <cell r="H1190" t="str">
            <v/>
          </cell>
          <cell r="M1190" t="str">
            <v/>
          </cell>
          <cell r="N1190" t="str">
            <v/>
          </cell>
          <cell r="O1190" t="str">
            <v/>
          </cell>
          <cell r="T1190" t="str">
            <v/>
          </cell>
          <cell r="U1190" t="str">
            <v/>
          </cell>
          <cell r="X1190" t="str">
            <v/>
          </cell>
          <cell r="AH1190" t="str">
            <v/>
          </cell>
          <cell r="AK1190" t="str">
            <v/>
          </cell>
          <cell r="AM1190" t="str">
            <v/>
          </cell>
          <cell r="AO1190" t="str">
            <v/>
          </cell>
          <cell r="AS1190" t="str">
            <v/>
          </cell>
          <cell r="AT1190" t="str">
            <v/>
          </cell>
          <cell r="AU1190" t="str">
            <v/>
          </cell>
          <cell r="AW1190" t="str">
            <v/>
          </cell>
          <cell r="AX1190" t="str">
            <v/>
          </cell>
        </row>
        <row r="1191">
          <cell r="G1191" t="str">
            <v/>
          </cell>
          <cell r="H1191" t="str">
            <v/>
          </cell>
          <cell r="M1191" t="str">
            <v/>
          </cell>
          <cell r="N1191" t="str">
            <v/>
          </cell>
          <cell r="O1191" t="str">
            <v/>
          </cell>
          <cell r="T1191" t="str">
            <v/>
          </cell>
          <cell r="U1191" t="str">
            <v/>
          </cell>
          <cell r="X1191" t="str">
            <v/>
          </cell>
          <cell r="AH1191" t="str">
            <v/>
          </cell>
          <cell r="AK1191" t="str">
            <v/>
          </cell>
          <cell r="AM1191" t="str">
            <v/>
          </cell>
          <cell r="AO1191" t="str">
            <v/>
          </cell>
          <cell r="AS1191" t="str">
            <v/>
          </cell>
          <cell r="AT1191" t="str">
            <v/>
          </cell>
          <cell r="AU1191" t="str">
            <v/>
          </cell>
          <cell r="AW1191" t="str">
            <v/>
          </cell>
          <cell r="AX1191" t="str">
            <v/>
          </cell>
        </row>
        <row r="1192">
          <cell r="G1192" t="str">
            <v/>
          </cell>
          <cell r="H1192" t="str">
            <v/>
          </cell>
          <cell r="M1192" t="str">
            <v/>
          </cell>
          <cell r="N1192" t="str">
            <v/>
          </cell>
          <cell r="O1192" t="str">
            <v/>
          </cell>
          <cell r="T1192" t="str">
            <v/>
          </cell>
          <cell r="U1192" t="str">
            <v/>
          </cell>
          <cell r="X1192" t="str">
            <v/>
          </cell>
          <cell r="AH1192" t="str">
            <v/>
          </cell>
          <cell r="AK1192" t="str">
            <v/>
          </cell>
          <cell r="AM1192" t="str">
            <v/>
          </cell>
          <cell r="AO1192" t="str">
            <v/>
          </cell>
          <cell r="AS1192" t="str">
            <v/>
          </cell>
          <cell r="AT1192" t="str">
            <v/>
          </cell>
          <cell r="AU1192" t="str">
            <v/>
          </cell>
          <cell r="AW1192" t="str">
            <v/>
          </cell>
          <cell r="AX1192" t="str">
            <v/>
          </cell>
        </row>
        <row r="1193">
          <cell r="G1193" t="str">
            <v/>
          </cell>
          <cell r="H1193" t="str">
            <v/>
          </cell>
          <cell r="M1193" t="str">
            <v/>
          </cell>
          <cell r="N1193" t="str">
            <v/>
          </cell>
          <cell r="O1193" t="str">
            <v/>
          </cell>
          <cell r="T1193" t="str">
            <v/>
          </cell>
          <cell r="U1193" t="str">
            <v/>
          </cell>
          <cell r="X1193" t="str">
            <v/>
          </cell>
          <cell r="AH1193" t="str">
            <v/>
          </cell>
          <cell r="AK1193" t="str">
            <v/>
          </cell>
          <cell r="AM1193" t="str">
            <v/>
          </cell>
          <cell r="AO1193" t="str">
            <v/>
          </cell>
          <cell r="AS1193" t="str">
            <v/>
          </cell>
          <cell r="AT1193" t="str">
            <v/>
          </cell>
          <cell r="AU1193" t="str">
            <v/>
          </cell>
          <cell r="AW1193" t="str">
            <v/>
          </cell>
          <cell r="AX1193" t="str">
            <v/>
          </cell>
        </row>
        <row r="1194">
          <cell r="G1194" t="str">
            <v/>
          </cell>
          <cell r="H1194" t="str">
            <v/>
          </cell>
          <cell r="M1194" t="str">
            <v/>
          </cell>
          <cell r="N1194" t="str">
            <v/>
          </cell>
          <cell r="O1194" t="str">
            <v/>
          </cell>
          <cell r="T1194" t="str">
            <v/>
          </cell>
          <cell r="U1194" t="str">
            <v/>
          </cell>
          <cell r="X1194" t="str">
            <v/>
          </cell>
          <cell r="AH1194" t="str">
            <v/>
          </cell>
          <cell r="AK1194" t="str">
            <v/>
          </cell>
          <cell r="AM1194" t="str">
            <v/>
          </cell>
          <cell r="AO1194" t="str">
            <v/>
          </cell>
          <cell r="AS1194" t="str">
            <v/>
          </cell>
          <cell r="AT1194" t="str">
            <v/>
          </cell>
          <cell r="AU1194" t="str">
            <v/>
          </cell>
          <cell r="AW1194" t="str">
            <v/>
          </cell>
          <cell r="AX1194" t="str">
            <v/>
          </cell>
        </row>
        <row r="1195">
          <cell r="G1195" t="str">
            <v/>
          </cell>
          <cell r="H1195" t="str">
            <v/>
          </cell>
          <cell r="M1195" t="str">
            <v/>
          </cell>
          <cell r="N1195" t="str">
            <v/>
          </cell>
          <cell r="O1195" t="str">
            <v/>
          </cell>
          <cell r="T1195" t="str">
            <v/>
          </cell>
          <cell r="U1195" t="str">
            <v/>
          </cell>
          <cell r="X1195" t="str">
            <v/>
          </cell>
          <cell r="AH1195" t="str">
            <v/>
          </cell>
          <cell r="AK1195" t="str">
            <v/>
          </cell>
          <cell r="AM1195" t="str">
            <v/>
          </cell>
          <cell r="AO1195" t="str">
            <v/>
          </cell>
          <cell r="AS1195" t="str">
            <v/>
          </cell>
          <cell r="AT1195" t="str">
            <v/>
          </cell>
          <cell r="AU1195" t="str">
            <v/>
          </cell>
          <cell r="AW1195" t="str">
            <v/>
          </cell>
          <cell r="AX1195" t="str">
            <v/>
          </cell>
        </row>
        <row r="1196">
          <cell r="G1196" t="str">
            <v/>
          </cell>
          <cell r="H1196" t="str">
            <v/>
          </cell>
          <cell r="M1196" t="str">
            <v/>
          </cell>
          <cell r="N1196" t="str">
            <v/>
          </cell>
          <cell r="O1196" t="str">
            <v/>
          </cell>
          <cell r="T1196" t="str">
            <v/>
          </cell>
          <cell r="U1196" t="str">
            <v/>
          </cell>
          <cell r="X1196" t="str">
            <v/>
          </cell>
          <cell r="AH1196" t="str">
            <v/>
          </cell>
          <cell r="AK1196" t="str">
            <v/>
          </cell>
          <cell r="AM1196" t="str">
            <v/>
          </cell>
          <cell r="AO1196" t="str">
            <v/>
          </cell>
          <cell r="AS1196" t="str">
            <v/>
          </cell>
          <cell r="AT1196" t="str">
            <v/>
          </cell>
          <cell r="AU1196" t="str">
            <v/>
          </cell>
          <cell r="AW1196" t="str">
            <v/>
          </cell>
          <cell r="AX1196" t="str">
            <v/>
          </cell>
        </row>
        <row r="1197">
          <cell r="G1197" t="str">
            <v/>
          </cell>
          <cell r="H1197" t="str">
            <v/>
          </cell>
          <cell r="M1197" t="str">
            <v/>
          </cell>
          <cell r="N1197" t="str">
            <v/>
          </cell>
          <cell r="O1197" t="str">
            <v/>
          </cell>
          <cell r="T1197" t="str">
            <v/>
          </cell>
          <cell r="U1197" t="str">
            <v/>
          </cell>
          <cell r="X1197" t="str">
            <v/>
          </cell>
          <cell r="AH1197" t="str">
            <v/>
          </cell>
          <cell r="AK1197" t="str">
            <v/>
          </cell>
          <cell r="AM1197" t="str">
            <v/>
          </cell>
          <cell r="AO1197" t="str">
            <v/>
          </cell>
          <cell r="AS1197" t="str">
            <v/>
          </cell>
          <cell r="AT1197" t="str">
            <v/>
          </cell>
          <cell r="AU1197" t="str">
            <v/>
          </cell>
          <cell r="AW1197" t="str">
            <v/>
          </cell>
          <cell r="AX1197" t="str">
            <v/>
          </cell>
        </row>
        <row r="1198">
          <cell r="G1198" t="str">
            <v/>
          </cell>
          <cell r="H1198" t="str">
            <v/>
          </cell>
          <cell r="M1198" t="str">
            <v/>
          </cell>
          <cell r="N1198" t="str">
            <v/>
          </cell>
          <cell r="O1198" t="str">
            <v/>
          </cell>
          <cell r="T1198" t="str">
            <v/>
          </cell>
          <cell r="U1198" t="str">
            <v/>
          </cell>
          <cell r="X1198" t="str">
            <v/>
          </cell>
          <cell r="AH1198" t="str">
            <v/>
          </cell>
          <cell r="AK1198" t="str">
            <v/>
          </cell>
          <cell r="AM1198" t="str">
            <v/>
          </cell>
          <cell r="AO1198" t="str">
            <v/>
          </cell>
          <cell r="AS1198" t="str">
            <v/>
          </cell>
          <cell r="AT1198" t="str">
            <v/>
          </cell>
          <cell r="AU1198" t="str">
            <v/>
          </cell>
          <cell r="AW1198" t="str">
            <v/>
          </cell>
          <cell r="AX1198" t="str">
            <v/>
          </cell>
        </row>
        <row r="1199">
          <cell r="G1199" t="str">
            <v/>
          </cell>
          <cell r="H1199" t="str">
            <v/>
          </cell>
          <cell r="M1199" t="str">
            <v/>
          </cell>
          <cell r="N1199" t="str">
            <v/>
          </cell>
          <cell r="O1199" t="str">
            <v/>
          </cell>
          <cell r="T1199" t="str">
            <v/>
          </cell>
          <cell r="U1199" t="str">
            <v/>
          </cell>
          <cell r="X1199" t="str">
            <v/>
          </cell>
          <cell r="AH1199" t="str">
            <v/>
          </cell>
          <cell r="AK1199" t="str">
            <v/>
          </cell>
          <cell r="AM1199" t="str">
            <v/>
          </cell>
          <cell r="AO1199" t="str">
            <v/>
          </cell>
          <cell r="AS1199" t="str">
            <v/>
          </cell>
          <cell r="AT1199" t="str">
            <v/>
          </cell>
          <cell r="AU1199" t="str">
            <v/>
          </cell>
          <cell r="AW1199" t="str">
            <v/>
          </cell>
          <cell r="AX1199" t="str">
            <v/>
          </cell>
        </row>
        <row r="1200">
          <cell r="G1200" t="str">
            <v/>
          </cell>
          <cell r="H1200" t="str">
            <v/>
          </cell>
          <cell r="M1200" t="str">
            <v/>
          </cell>
          <cell r="N1200" t="str">
            <v/>
          </cell>
          <cell r="O1200" t="str">
            <v/>
          </cell>
          <cell r="T1200" t="str">
            <v/>
          </cell>
          <cell r="U1200" t="str">
            <v/>
          </cell>
          <cell r="X1200" t="str">
            <v/>
          </cell>
          <cell r="AH1200" t="str">
            <v/>
          </cell>
          <cell r="AK1200" t="str">
            <v/>
          </cell>
          <cell r="AM1200" t="str">
            <v/>
          </cell>
          <cell r="AO1200" t="str">
            <v/>
          </cell>
          <cell r="AS1200" t="str">
            <v/>
          </cell>
          <cell r="AT1200" t="str">
            <v/>
          </cell>
          <cell r="AU1200" t="str">
            <v/>
          </cell>
          <cell r="AW1200" t="str">
            <v/>
          </cell>
          <cell r="AX1200" t="str">
            <v/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3">
          <cell r="BA3">
            <v>1</v>
          </cell>
          <cell r="BQ3">
            <v>1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51">
          <cell r="D51">
            <v>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8527E-97EE-490C-93CD-F43F3B659AEB}" name="Tab.o1" displayName="Tab.o1" ref="A4:AR1200" totalsRowShown="0" tableBorderDxfId="44">
  <autoFilter ref="A4:AR1200" xr:uid="{DD2593DE-49DD-4C27-8643-A6C660435AEE}">
    <filterColumn colId="2">
      <customFilters>
        <customFilter operator="notEqual" val=" "/>
      </customFilters>
    </filterColumn>
  </autoFilter>
  <sortState xmlns:xlrd2="http://schemas.microsoft.com/office/spreadsheetml/2017/richdata2" ref="A5:AH11">
    <sortCondition descending="1" ref="A4:A1000"/>
  </sortState>
  <tableColumns count="44">
    <tableColumn id="3" xr3:uid="{54D675D9-14B6-4414-9C71-3647742FF40C}" name=".x1" dataDxfId="43" dataCellStyle="Normal 2"/>
    <tableColumn id="18" xr3:uid="{DA95A6EC-6023-4C78-849C-1892B2AD9FEC}" name="x.3" dataDxfId="42" dataCellStyle="Normal 2"/>
    <tableColumn id="43" xr3:uid="{B7E654D8-41D6-4B00-AC29-75999766767E}" name="a1" dataDxfId="41" dataCellStyle="Normal 2">
      <calculatedColumnFormula>IF(C$1=[1]!T.in.A[[#This Row],[oo2]],1,"")</calculatedColumnFormula>
    </tableColumn>
    <tableColumn id="14" xr3:uid="{5B20E4D3-B0C6-430A-A85D-E9C7643D8277}" name="b1" dataDxfId="40" dataCellStyle="Normal 2">
      <calculatedColumnFormula>IF(Tab.o1[[#This Row],[a1]]=1,IF(SUM(C5:C6)=0,0,IF(SUM(C4:C5)=1,1,IF(SUM(C4:C6)&gt;1,D4+1,0))),"")</calculatedColumnFormula>
    </tableColumn>
    <tableColumn id="1" xr3:uid="{4EE78B8A-EEEE-4F9D-A04E-F3C1A5BE52DD}" name="ID_RES" dataDxfId="39" dataCellStyle="Normal 2">
      <calculatedColumnFormula>IF(Tab.o1[[#This Row],[a1]]=1,[1]!T.in.A[[#This Row],[oo1]],"")</calculatedColumnFormula>
    </tableColumn>
    <tableColumn id="33" xr3:uid="{F4D1DF36-83A0-4667-906F-A1E5A9A3E658}" name="O_PAR" dataDxfId="38" dataCellStyle="Normal 2">
      <calculatedColumnFormula>IF(Tab.o1[[#This Row],[a1]]=1,[1]!T.in.A[[#This Row],[pp1]],"")</calculatedColumnFormula>
    </tableColumn>
    <tableColumn id="7" xr3:uid="{F4D73B0B-B6CB-4E05-BCA0-2EE3704BE8A1}" name="MED" dataDxfId="37" dataCellStyle="Normal 2">
      <calculatedColumnFormula>IF(Tab.o1[[#This Row],[a1]]=1,G$2+IF(G$1=1,0,Tab.o1[[#This Row],[.x1]])+[1]!T.in.A[[#This Row],[oo3]],"")</calculatedColumnFormula>
    </tableColumn>
    <tableColumn id="47" xr3:uid="{69428025-5758-45B5-85D4-8FF886577DA6}" name="MOD" dataDxfId="36" dataCellStyle="Normal 2">
      <calculatedColumnFormula>IF(Tab.o1[[#This Row],[a1]]=1,IF(H$2=0,0,IF(G$1=1,0,Tab.o1[[#This Row],[.x1]])+[1]!T.in.A[[#This Row],[oo4]]),"")</calculatedColumnFormula>
    </tableColumn>
    <tableColumn id="21" xr3:uid="{4CE7F30B-0670-4F8C-95B9-1D99C28842F3}" name="MedMod" dataDxfId="35" dataCellStyle="Comma 2">
      <calculatedColumnFormula>IF(Tab.o1[[#This Row],[a1]]=1,IF(J$2=0,Tab.o1[[#This Row],[MED]],Tab.o1[[#This Row],[MOD]]),"")</calculatedColumnFormula>
    </tableColumn>
    <tableColumn id="15" xr3:uid="{C671B630-19AB-4758-9086-E7F53C3CA9C0}" name="Za" dataDxfId="34" dataCellStyle="Comma 2">
      <calculatedColumnFormula>IF(Tab.o1[[#This Row],[a1]]=1,((Tab.o1[[#This Row],[DIF_Target.]]-AVERAGE(Tab.o1[DIF_Target.]))/_xlfn.STDEV.P(Tab.o1[DIF_Target.])),"")</calculatedColumnFormula>
    </tableColumn>
    <tableColumn id="78" xr3:uid="{6728A560-D316-450E-AEB2-E1B10D30FFA7}" name="DIF_Target" dataDxfId="33" dataCellStyle="Percent">
      <calculatedColumnFormula>IF(Tab.o1[[#This Row],[a1]]=1,IF(J$2=0,Tab.o1[[#This Row],[MOD]]-Tab.o1[[#This Row],[B]],IF(J$2=1,0,-Tab.o1[[#This Row],[MED]])+Tab.o1[[#This Row],[B]]),"")</calculatedColumnFormula>
    </tableColumn>
    <tableColumn id="4" xr3:uid="{085DFFCB-1BF5-4E09-86D5-0A8DE60F8D03}" name="DIF_Target." dataDxfId="32" dataCellStyle="Percent">
      <calculatedColumnFormula>IF(Tab.o1[[#This Row],[DIF_Target]]=0,IF(L$2=0,Tab.o1[[#This Row],[DIF_Target]],AVERAGE(OFFSET(Tab.o1[[#This Row],[DIF_Target]],1,0,L$3,1)))/3,Tab.o1[[#This Row],[DIF_Target]])</calculatedColumnFormula>
    </tableColumn>
    <tableColumn id="37" xr3:uid="{CDFABE05-D893-4B51-8A1B-9F803FDDC66D}" name="CDFa" dataDxfId="31" dataCellStyle="Percent">
      <calculatedColumnFormula>IF(Tab.o1[[#This Row],[a1]]=1,NORMSDIST(Tab.o1[[#This Row],[Za]]),"")</calculatedColumnFormula>
    </tableColumn>
    <tableColumn id="77" xr3:uid="{2285339C-851F-416B-A9D7-9302DBD77430}" name="Zb" dataDxfId="30" dataCellStyle="Percent">
      <calculatedColumnFormula>IF(Tab.o1[[#This Row],[a1]]=1,((Tab.o1[[#This Row],[MedMod]]-AVERAGE(Tab.o1[MedMod]))/_xlfn.STDEV.P(Tab.o1[MedMod])*H$1205)+G$1205,"")</calculatedColumnFormula>
    </tableColumn>
    <tableColumn id="75" xr3:uid="{28A02AF5-675D-48B5-9EEE-1F7608C6F515}" name="B" dataDxfId="29" dataCellStyle="Percent">
      <calculatedColumnFormula>IF(Tab.o1[[#This Row],[a1]]=1,Tab.o1[[#This Row],[Zb]]*_xlfn.STDEV.P(Tab.o1[MedMod])+AVERAGE(Tab.o1[MedMod]),"")</calculatedColumnFormula>
    </tableColumn>
    <tableColumn id="10" xr3:uid="{B2EE68F7-4A79-4EC7-95AE-9189ACF4951F}" name="#B2" dataDxfId="28" dataCellStyle="Percent">
      <calculatedColumnFormula>IF(Tab.o1[[#This Row],[B]]=0,AVERAGE(OFFSET(Tab.o1[[#This Row],[B]],1,0,L$3,1)),Tab.o1[[#This Row],[B]])</calculatedColumnFormula>
    </tableColumn>
    <tableColumn id="12" xr3:uid="{AC1F35D2-CEFB-486F-A268-161C9C0F1E08}" name="CDFb" dataDxfId="27" dataCellStyle="Percent">
      <calculatedColumnFormula>IF(Tab.o1[[#This Row],[a1]]=1,NORMSDIST(Tab.o1[[#This Row],[Zb]]),"")</calculatedColumnFormula>
    </tableColumn>
    <tableColumn id="26" xr3:uid="{60E0B224-D702-4E84-80AD-120DD5E03E2D}" name="Z-" dataDxfId="26" dataCellStyle="Percent">
      <calculatedColumnFormula>IF(Tab.o1[[#This Row],[a1]]=1,((Tab.o1[[#This Row],[MedMod]]-AVERAGE(Tab.o1[MedMod]))/_xlfn.STDEV.P(Tab.o1[MedMod])*H$1203)+G$1203,"")</calculatedColumnFormula>
    </tableColumn>
    <tableColumn id="27" xr3:uid="{11C5E864-510B-4D27-B6EE-1BCD04B70D1C}" name="z+" dataDxfId="25" dataCellStyle="Percent">
      <calculatedColumnFormula>IF(Tab.o1[[#This Row],[a1]]=1,((Tab.o1[[#This Row],[MedMod]]-AVERAGE(Tab.o1[MedMod]))/_xlfn.STDEV.P(Tab.o1[MedMod])*H$1204)+G$1204,"")</calculatedColumnFormula>
    </tableColumn>
    <tableColumn id="93" xr3:uid="{AE88BA2C-F22E-4A22-87C3-5070DFF875C8}" name="Red" dataDxfId="24" dataCellStyle="Normal 2">
      <calculatedColumnFormula>IF(Tab.o1[[#This Row],[a1]]=1,Tab.o1[[#This Row],[Z-]]*_xlfn.STDEV.P(Tab.o1[B])+AVERAGE(Tab.o1[B]),"")</calculatedColumnFormula>
    </tableColumn>
    <tableColumn id="96" xr3:uid="{B77BE67F-4843-4EC7-A1C8-7E736AFABB2F}" name="Blue" dataDxfId="23" dataCellStyle="Normal 2">
      <calculatedColumnFormula>IF(Tab.o1[[#This Row],[a1]]=1,Tab.o1[[#This Row],[z+]]*_xlfn.STDEV.P(Tab.o1[B])+AVERAGE(Tab.o1[B]),"")</calculatedColumnFormula>
    </tableColumn>
    <tableColumn id="8" xr3:uid="{D27286C9-449A-4BBC-9609-387C84E2E275}" name="Amp." dataDxfId="22" dataCellStyle="Normal 2">
      <calculatedColumnFormula>IF(Tab.o1[[#This Row],[a1]]=1,ABS((ABS(Tab.o1[[#This Row],[Red]]-Tab.o1[[#This Row],[Blue]]))),"")</calculatedColumnFormula>
    </tableColumn>
    <tableColumn id="2" xr3:uid="{65868052-9165-4107-9D70-85CA63F29D6A}" name="i." dataDxfId="21" dataCellStyle="Normal 2">
      <calculatedColumnFormula>IF(Tab.o1[[#This Row],[a1]]=1,IF(W$3=0,1,Tab.o1[[#This Row],[Amp.]]*1/_xlfn.MINIFS(Tab.o1[Amp.],Tab.o1[Amp.],"&lt;&gt;0")),"")</calculatedColumnFormula>
    </tableColumn>
    <tableColumn id="50" xr3:uid="{EEF8B31C-B130-4117-B820-83F207553C68}" name="PDF" dataDxfId="20" dataCellStyle="Percent">
      <calculatedColumnFormula>IF(Tab.o1[[#This Row],[a1]]=1,IF(ISNUMBER(Tab.o1[[#This Row],[i.]]),NORMDIST(Tab.o1[[#This Row],[Za]],0,1,FALSE)*Tab.o1[[#This Row],[i.]],AP$3),"")</calculatedColumnFormula>
    </tableColumn>
    <tableColumn id="23" xr3:uid="{79A4B93E-43C6-4DAF-B521-13AA39E72D69}" name="PDF2" dataDxfId="19" dataCellStyle="Percent">
      <calculatedColumnFormula>IF(Tab.o1[[#This Row],[a1]]=1,0.01+0.94*Tab.o1[[#This Row],[PDF]]/MAX(Tab.o1[PDF]),"")</calculatedColumnFormula>
    </tableColumn>
    <tableColumn id="24" xr3:uid="{E3B3DB90-215C-41D7-8F7B-D6876ED68C56}" name="PDF3" dataDxfId="18" dataCellStyle="Percent">
      <calculatedColumnFormula>IF(Tab.o1[[#This Row],[a1]]=1,0.01+0.94*Tab.o1[[#This Row],[W1_PDF]]/MAX(Tab.o1[W1_PDF]),"")</calculatedColumnFormula>
    </tableColumn>
    <tableColumn id="19" xr3:uid="{121EDA51-24B4-4AA7-B4F1-D0B65A8D62AC}" name="W1_PDF" dataDxfId="17" dataCellStyle="Percent">
      <calculatedColumnFormula>IF(Tab.o1[[#This Row],[a1]]=1,ABS([1]!T.in.A[[#This Row],[oo6]]),"")</calculatedColumnFormula>
    </tableColumn>
    <tableColumn id="25" xr3:uid="{30D7811F-E76C-4973-A4ED-F00EDD47D6AB}" name="Wr" dataDxfId="16" dataCellStyle="Percent">
      <calculatedColumnFormula>IF(Tab.o1[[#This Row],[a1]]=1,IF(AE$3=0,"",IF(AB$3=0,ABS([1]!T.in.A[[#This Row],[oo9]]),ABS(Tab.o1[[#This Row],[DIF_Target.]]*Tab.o1[[#This Row],[W1_PDF]]))),"")</calculatedColumnFormula>
    </tableColumn>
    <tableColumn id="20" xr3:uid="{53425498-C959-4E34-AA8E-EBB0E69D2870}" name="Wr2" dataDxfId="15" dataCellStyle="Percent">
      <calculatedColumnFormula>IF(G$1=1,"",IF(Tab.o1[[#This Row],[a1]]=1,Tab.o1[[#This Row],[Wr]]^2,""))</calculatedColumnFormula>
    </tableColumn>
    <tableColumn id="6" xr3:uid="{87FA7C08-78EE-43E0-9635-7C646E423522}" name="ΣWr2" dataDxfId="14" dataCellStyle="Percent">
      <calculatedColumnFormula>IF(Tab.o1[[#This Row],[a1]]=1,IF(AE$3=0,"",Tab.o1[[#This Row],[Wr2]]/SUM(Tab.o1[Wr2])),"")</calculatedColumnFormula>
    </tableColumn>
    <tableColumn id="38" xr3:uid="{2C9E1F4B-43BF-4DBB-B944-1F9D2FE08320}" name="SD1" dataDxfId="13" dataCellStyle="Percent">
      <calculatedColumnFormula>IF(Tab.o1[[#This Row],[a1]]=1,[1]!T.in.A[[#This Row],[oo10]],"")</calculatedColumnFormula>
    </tableColumn>
    <tableColumn id="13" xr3:uid="{7750A699-5742-494A-8FD2-0BBDF9ABAD42}" name="rW" dataDxfId="12" dataCellStyle="Percent">
      <calculatedColumnFormula>IF(Tab.o1[[#This Row],[a1]]=1,ABS(Tab.o1[[#This Row],[DIF_Target.]]*Tab.o1[[#This Row],[PDF2]]*Tab.o1[[#This Row],[IN]]),"")</calculatedColumnFormula>
    </tableColumn>
    <tableColumn id="5" xr3:uid="{4C096D78-43FD-4E37-A02D-936C970C81B5}" name="rW2" dataDxfId="11" dataCellStyle="Percent">
      <calculatedColumnFormula>IF(Tab.o1[[#This Row],[a1]]=1,Tab.o1[[#This Row],[rW]]^2,"")</calculatedColumnFormula>
    </tableColumn>
    <tableColumn id="36" xr3:uid="{CC1DF376-71C5-41E2-A1D4-497CA44BFA5D}" name="ΣrW2" dataDxfId="10" dataCellStyle="Percent">
      <calculatedColumnFormula>IF(Tab.o1[[#This Row],[a1]]=1,IF(AH$3=0,Tab.o1[[#This Row],[rW2]],0.01+0.94*Tab.o1[[#This Row],[rW2]]/SUM(Tab.o1[rW2])),"")</calculatedColumnFormula>
    </tableColumn>
    <tableColumn id="44" xr3:uid="{B9C0E9B9-913E-44BB-83D3-3441AF1310EF}" name="SD2" dataDxfId="9" dataCellStyle="Percent">
      <calculatedColumnFormula>IF(Tab.o1[[#This Row],[a1]]=1,1/Tab.o1[[#This Row],[PDF]],"")</calculatedColumnFormula>
    </tableColumn>
    <tableColumn id="22" xr3:uid="{448A85A9-5641-4AFA-B9B3-79DB0193023C}" name="IN" dataDxfId="8" dataCellStyle="Percent">
      <calculatedColumnFormula>IF(Tab.o1[[#This Row],[a1]]=1,[1]!T_AA[[#This Row],[IN'']]*[1]!T_AA[[#This Row],[Qde'']],"")</calculatedColumnFormula>
    </tableColumn>
    <tableColumn id="49" xr3:uid="{B003657E-1AE5-474F-9883-F977275BB7F4}" name="Mode" dataDxfId="7" dataCellStyle="Percent">
      <calculatedColumnFormula>IF(Tab.o1[[#This Row],[a1]]=1,IF(AK$1=1,Tab.o1[[#This Row],[MED]]+Tab.o1[[#This Row],[MOD]]-Tab.o1[[#This Row],[MED]],""),"")</calculatedColumnFormula>
    </tableColumn>
    <tableColumn id="61" xr3:uid="{18A486AC-39AF-4BA0-8963-66E3D24A4146}" name="SUS" dataDxfId="6" dataCellStyle="Percent">
      <calculatedColumnFormula>IF(Tab.o1[[#This Row],[a1]]=1,[1]!T.in.A[[#This Row],[oo16]],"")</calculatedColumnFormula>
    </tableColumn>
    <tableColumn id="57" xr3:uid="{11A7B58C-B803-4A84-B5AB-2D2CFACCAF3F}" name="Sus_OBS" dataDxfId="5" dataCellStyle="Percent">
      <calculatedColumnFormula>IF(Tab.o1[[#This Row],[a1]]=1,IF(AM$3=1,[1]!T.in.A[[#This Row],[Σo16]],""),"")</calculatedColumnFormula>
    </tableColumn>
    <tableColumn id="42" xr3:uid="{6849B8E4-D6D9-45B0-A6D5-B6EDC2D4DB5E}" name="SEN" dataDxfId="4" dataCellStyle="Percent">
      <calculatedColumnFormula>IF(Tab.o1[[#This Row],[a1]]=1,[1]!T.in.A[[#This Row],[Σp5]],"")</calculatedColumnFormula>
    </tableColumn>
    <tableColumn id="59" xr3:uid="{265B8EB4-7719-4650-89C4-99322F18E100}" name="Sen_PAR" dataDxfId="3" dataCellStyle="Percent">
      <calculatedColumnFormula>IF(Tab.o1[[#This Row],[a1]]=1,IF(AO$3=1,[1]!T.in.A[[#This Row],[Σp5]],""),"")</calculatedColumnFormula>
    </tableColumn>
    <tableColumn id="9" xr3:uid="{6DB91748-846B-45B0-B98C-3734F53DAECB}" name="aux1" dataDxfId="2" dataCellStyle="Normal 2">
      <calculatedColumnFormula>IF(Tab.o1[[#This Row],[a1]]=1,IF(ISNUMBER(Tab.o1[[#This Row],[i.]]),NORMDIST(Tab.o1[[#This Row],[Za]],0,1,FALSE)*Tab.o1[[#This Row],[i.]],0),"")</calculatedColumnFormula>
    </tableColumn>
    <tableColumn id="11" xr3:uid="{8A45F6AE-AA14-4E52-954F-642F9B43C85F}" name="OBS" dataDxfId="1" dataCellStyle="Normal 2">
      <calculatedColumnFormula>IF(Tab.o1[[#This Row],[a1]]=1,ABS(Tab.o1[[#This Row],[MOD]]-AVERAGE(Tab.o1[MOD])),"")</calculatedColumnFormula>
    </tableColumn>
    <tableColumn id="16" xr3:uid="{C97161C7-B2E9-4617-92D3-D86532B3A716}" name="Σobs" dataDxfId="0" dataCellStyle="Normal 2">
      <calculatedColumnFormula>IF(Tab.o1[[#This Row],[a1]]=1,Tab.o1[[#This Row],[OBS]]/SUM(Tab.o1[OBS]),"")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62E8-BBB3-4C6F-807E-2E775331C430}">
  <sheetPr codeName="s01">
    <tabColor rgb="FF8FE2FF"/>
  </sheetPr>
  <dimension ref="A1:CX1259"/>
  <sheetViews>
    <sheetView tabSelected="1" zoomScale="110" zoomScaleNormal="110" workbookViewId="0">
      <pane ySplit="4125" topLeftCell="A65"/>
      <selection activeCell="T6" sqref="T6"/>
      <selection pane="bottomLeft" activeCell="H1205" sqref="H1205"/>
    </sheetView>
  </sheetViews>
  <sheetFormatPr defaultRowHeight="15"/>
  <cols>
    <col min="1" max="1" width="0.85546875" style="184" customWidth="1"/>
    <col min="2" max="2" width="1.28515625" customWidth="1"/>
    <col min="3" max="3" width="3.28515625" customWidth="1"/>
    <col min="4" max="4" width="2.85546875" customWidth="1"/>
    <col min="5" max="5" width="5.7109375" customWidth="1"/>
    <col min="6" max="6" width="5.140625" customWidth="1"/>
    <col min="7" max="8" width="12.85546875" customWidth="1"/>
    <col min="9" max="9" width="5.85546875" style="143" customWidth="1"/>
    <col min="10" max="10" width="7" style="143" customWidth="1"/>
    <col min="11" max="11" width="11.42578125" customWidth="1"/>
    <col min="12" max="12" width="7.28515625" style="185" customWidth="1"/>
    <col min="13" max="13" width="3.28515625" style="185" customWidth="1"/>
    <col min="14" max="14" width="6.7109375" customWidth="1"/>
    <col min="15" max="15" width="12.85546875" customWidth="1"/>
    <col min="16" max="18" width="6.140625" customWidth="1"/>
    <col min="19" max="21" width="6.7109375" customWidth="1"/>
    <col min="22" max="22" width="5.42578125" customWidth="1"/>
    <col min="23" max="23" width="4.42578125" customWidth="1"/>
    <col min="24" max="24" width="6.85546875" customWidth="1"/>
    <col min="25" max="27" width="0.5703125" customWidth="1"/>
    <col min="28" max="28" width="6.85546875" customWidth="1"/>
    <col min="29" max="29" width="6.140625" customWidth="1"/>
    <col min="30" max="31" width="4.28515625" customWidth="1"/>
    <col min="32" max="33" width="6.140625" customWidth="1"/>
    <col min="34" max="34" width="4.28515625" customWidth="1"/>
    <col min="35" max="35" width="7.140625" customWidth="1"/>
    <col min="36" max="36" width="4.5703125" customWidth="1"/>
    <col min="37" max="37" width="4.42578125" customWidth="1"/>
    <col min="38" max="38" width="2.42578125" hidden="1" customWidth="1"/>
    <col min="39" max="39" width="6.5703125" customWidth="1"/>
    <col min="40" max="40" width="0.7109375" customWidth="1"/>
    <col min="41" max="41" width="4.5703125" customWidth="1"/>
    <col min="42" max="42" width="3.42578125" customWidth="1"/>
    <col min="43" max="44" width="3.7109375" customWidth="1"/>
    <col min="45" max="45" width="3.42578125" customWidth="1"/>
    <col min="46" max="47" width="5.140625" customWidth="1"/>
    <col min="48" max="48" width="4.28515625" customWidth="1"/>
    <col min="49" max="49" width="2.7109375" customWidth="1"/>
    <col min="50" max="50" width="3.42578125" style="183" customWidth="1"/>
    <col min="51" max="51" width="3.85546875" customWidth="1"/>
    <col min="52" max="54" width="3.42578125" customWidth="1"/>
    <col min="55" max="57" width="5.7109375" customWidth="1"/>
    <col min="58" max="60" width="3.42578125" customWidth="1"/>
    <col min="61" max="79" width="5" customWidth="1"/>
  </cols>
  <sheetData>
    <row r="1" spans="1:102" ht="15" customHeight="1">
      <c r="A1" s="1">
        <v>1</v>
      </c>
      <c r="B1" s="2"/>
      <c r="C1" s="3" t="str">
        <f>IF(A1=0,"nope",INDEX([1]IN!IV5:IV15,A$1))</f>
        <v>Head</v>
      </c>
      <c r="D1" s="4"/>
      <c r="E1" s="1"/>
      <c r="F1" s="3">
        <f>SUM(Tab.o1[a1])</f>
        <v>64</v>
      </c>
      <c r="G1" s="5">
        <v>1</v>
      </c>
      <c r="H1" s="6"/>
      <c r="I1" s="7" t="str">
        <f>IF(J$2=0,"Med","Mod")</f>
        <v>Med</v>
      </c>
      <c r="J1" s="8" t="s">
        <v>0</v>
      </c>
      <c r="K1" s="7" t="str">
        <f>IF(J$2=1,"Med","Mod")</f>
        <v>Mod</v>
      </c>
      <c r="L1" s="7"/>
      <c r="M1" s="7"/>
      <c r="N1" s="9"/>
      <c r="O1" s="10" t="str">
        <f>[1]IN!DB2</f>
        <v>Trans.</v>
      </c>
      <c r="P1" s="9"/>
      <c r="Q1" s="9"/>
      <c r="R1" s="9"/>
      <c r="S1" s="9"/>
      <c r="T1" s="9"/>
      <c r="U1" s="9"/>
      <c r="V1" s="11"/>
      <c r="W1" s="11"/>
      <c r="X1" s="12"/>
      <c r="Y1" s="12"/>
      <c r="Z1" s="12"/>
      <c r="AA1" s="13"/>
      <c r="AB1" s="14"/>
      <c r="AC1" s="14"/>
      <c r="AD1" s="14"/>
      <c r="AE1" s="14"/>
      <c r="AF1" s="14"/>
      <c r="AG1" s="14"/>
      <c r="AH1" s="15"/>
      <c r="AI1" s="16"/>
      <c r="AJ1" s="16"/>
      <c r="AK1" s="6">
        <v>0</v>
      </c>
      <c r="AL1" s="12">
        <v>0</v>
      </c>
      <c r="AM1" s="12" t="s">
        <v>0</v>
      </c>
      <c r="AN1" s="17"/>
      <c r="AO1" s="18"/>
      <c r="AP1" s="19"/>
      <c r="AQ1" s="19"/>
      <c r="AR1" s="20" t="str">
        <f>IF([1]IN!$AB$3=0,"RES",[1]IN!F4)</f>
        <v>tES</v>
      </c>
      <c r="AS1" s="21"/>
      <c r="AT1" s="22"/>
      <c r="AU1" s="23"/>
      <c r="AV1" s="22">
        <f>COUNT($AV$5:$AV$1200)</f>
        <v>64</v>
      </c>
      <c r="AW1" s="24"/>
      <c r="AX1" s="24"/>
      <c r="AY1" s="24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</row>
    <row r="2" spans="1:102" ht="15" customHeight="1">
      <c r="A2" s="27">
        <f>IF(A1=0,"",SUM(Tab.o1[a1]))</f>
        <v>64</v>
      </c>
      <c r="B2" s="28" t="str">
        <f>IF(A2=0,"nope",_xlfn.CONCAT(C1," ",M3))</f>
        <v>Head 31 (%)</v>
      </c>
      <c r="C2" s="28"/>
      <c r="D2" s="28"/>
      <c r="E2" s="1"/>
      <c r="F2" s="1"/>
      <c r="G2" s="6">
        <v>0</v>
      </c>
      <c r="H2" s="6" t="s">
        <v>0</v>
      </c>
      <c r="I2" s="29"/>
      <c r="J2" s="29">
        <v>0</v>
      </c>
      <c r="K2" s="30"/>
      <c r="L2" s="31">
        <v>1</v>
      </c>
      <c r="M2" s="32" t="s">
        <v>1</v>
      </c>
      <c r="N2" s="33" t="str">
        <f>IF(L2=1,"OutLiners yes","OutLiners no")</f>
        <v>OutLiners yes</v>
      </c>
      <c r="O2" s="10" t="str">
        <f>[1]IN!DB3</f>
        <v>T_Long</v>
      </c>
      <c r="P2" s="34"/>
      <c r="Q2" s="9"/>
      <c r="R2" s="33"/>
      <c r="S2" s="33"/>
      <c r="T2" s="33"/>
      <c r="U2" s="33"/>
      <c r="V2" s="33"/>
      <c r="W2" s="33" t="str">
        <f>IF(W3=0,"Amp. No","Amp. Yes")</f>
        <v>Amp. No</v>
      </c>
      <c r="X2" s="33">
        <f ca="1">IF(ISNUMBER(AVERAGE(Tab.o1[PDF2])),AVERAGE(Tab.o1[PDF2]),1)</f>
        <v>0.61999263550200889</v>
      </c>
      <c r="Y2" s="33"/>
      <c r="Z2" s="35"/>
      <c r="AA2" s="36"/>
      <c r="AB2" s="37"/>
      <c r="AC2" s="36"/>
      <c r="AD2" s="38" t="str">
        <f>IF(AE3=1,".","off")</f>
        <v>.</v>
      </c>
      <c r="AE2" s="39" t="s">
        <v>2</v>
      </c>
      <c r="AF2" s="40" t="str">
        <f>IF(AF3=0,"ñ","Qde")</f>
        <v>ñ</v>
      </c>
      <c r="AG2" s="41"/>
      <c r="AH2" s="42" t="s">
        <v>3</v>
      </c>
      <c r="AI2" s="43"/>
      <c r="AJ2" s="16"/>
      <c r="AK2" s="6" t="s">
        <v>4</v>
      </c>
      <c r="AL2" s="12"/>
      <c r="AM2" s="44" t="str">
        <f>IF(AM3=0,"off","SEO")</f>
        <v>SEO</v>
      </c>
      <c r="AN2" s="17"/>
      <c r="AO2" s="45" t="str">
        <f>IF(AO3=0,"off","SEN")</f>
        <v>SEN</v>
      </c>
      <c r="AP2" s="28"/>
      <c r="AQ2" s="28"/>
      <c r="AR2" s="28"/>
      <c r="AS2" s="21"/>
      <c r="AT2" s="22">
        <f>_xlfn.PERCENTILE.INC($AV$5:$AV$1200,AU2)</f>
        <v>0</v>
      </c>
      <c r="AU2" s="24">
        <v>0.99</v>
      </c>
      <c r="AV2" s="46">
        <v>-0.1</v>
      </c>
      <c r="AW2" s="22"/>
      <c r="AX2" s="24"/>
      <c r="AY2" s="24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</row>
    <row r="3" spans="1:102" ht="15" customHeight="1">
      <c r="A3" s="5"/>
      <c r="B3" s="47"/>
      <c r="C3" s="5"/>
      <c r="D3" s="48"/>
      <c r="E3" s="33"/>
      <c r="F3" s="33"/>
      <c r="G3" s="33">
        <f>IF(J2=0,MAX(Tab.o1[MED]),MAX(Tab.o1[MOD]))</f>
        <v>840.8</v>
      </c>
      <c r="H3" s="33">
        <f>IF(J2=0,MIN(Tab.o1[MED]),MIN(Tab.o1[MOD]))</f>
        <v>836</v>
      </c>
      <c r="I3" s="33">
        <f>SQRT(SUMSQ(Tab.o1[DIF_Target])/A2)</f>
        <v>1.4991686692651522</v>
      </c>
      <c r="J3" s="49" t="str">
        <f>IF(J2=0,"MED","MOD")</f>
        <v>MED</v>
      </c>
      <c r="K3" s="30"/>
      <c r="L3" s="33">
        <v>1</v>
      </c>
      <c r="M3" s="33" t="str">
        <f>_xlfn.CONCAT(ROUND(N3,0),," ","(%)")</f>
        <v>31 (%)</v>
      </c>
      <c r="N3" s="33">
        <f>IF((G3-H3)=0,0,100*I3/(G3-H3))</f>
        <v>31.232680609690966</v>
      </c>
      <c r="O3" s="50" t="s">
        <v>5</v>
      </c>
      <c r="P3" s="33" t="s">
        <v>6</v>
      </c>
      <c r="Q3" s="51"/>
      <c r="R3" s="52"/>
      <c r="S3" s="52"/>
      <c r="T3" s="11"/>
      <c r="U3" s="53">
        <f>_xlfn.MINIFS(Tab.o1[Amp.],Tab.o1[Amp.],"&lt;&gt;0")</f>
        <v>6.8972820733968092</v>
      </c>
      <c r="V3" s="54" t="s">
        <v>0</v>
      </c>
      <c r="W3" s="55">
        <v>0</v>
      </c>
      <c r="X3" s="54"/>
      <c r="Y3" s="33"/>
      <c r="Z3" s="56"/>
      <c r="AA3" s="57" t="s">
        <v>0</v>
      </c>
      <c r="AB3" s="6">
        <v>1</v>
      </c>
      <c r="AC3" s="58" t="s">
        <v>7</v>
      </c>
      <c r="AD3" s="59"/>
      <c r="AE3" s="60">
        <f>[1]A!BA3</f>
        <v>1</v>
      </c>
      <c r="AF3" s="57">
        <v>0</v>
      </c>
      <c r="AG3" s="58" t="s">
        <v>7</v>
      </c>
      <c r="AH3" s="61">
        <v>1</v>
      </c>
      <c r="AI3" s="43"/>
      <c r="AJ3" s="6"/>
      <c r="AK3" s="6"/>
      <c r="AL3" s="12" t="s">
        <v>8</v>
      </c>
      <c r="AM3" s="62">
        <f>IF(ISNUMBER(AM1),AM1,[1]A!BQ3)</f>
        <v>1</v>
      </c>
      <c r="AN3" s="63"/>
      <c r="AO3" s="64">
        <f>AM3</f>
        <v>1</v>
      </c>
      <c r="AP3" s="65">
        <f ca="1">MAX(Tab.o1[aux1])</f>
        <v>0.39813493175410092</v>
      </c>
      <c r="AQ3" s="65"/>
      <c r="AR3" s="66">
        <f>COLUMN()</f>
        <v>44</v>
      </c>
      <c r="AS3" s="21"/>
      <c r="AT3" s="22">
        <f>_xlfn.PERCENTILE.INC($AV$5:$AV$1200,AU3)</f>
        <v>0</v>
      </c>
      <c r="AU3" s="24">
        <f>1-AU2</f>
        <v>1.0000000000000009E-2</v>
      </c>
      <c r="AV3" s="23">
        <f>SUM($AV5:$AV1200)</f>
        <v>0</v>
      </c>
      <c r="AW3" s="22"/>
      <c r="AX3" s="24"/>
      <c r="AY3" s="67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</row>
    <row r="4" spans="1:102" ht="49.5" customHeight="1">
      <c r="A4" s="70" t="s">
        <v>9</v>
      </c>
      <c r="B4" s="71" t="s">
        <v>10</v>
      </c>
      <c r="C4" s="72" t="s">
        <v>11</v>
      </c>
      <c r="D4" s="71" t="s">
        <v>12</v>
      </c>
      <c r="E4" s="71" t="s">
        <v>13</v>
      </c>
      <c r="F4" s="71" t="s">
        <v>14</v>
      </c>
      <c r="G4" s="73" t="s">
        <v>15</v>
      </c>
      <c r="H4" s="74" t="s">
        <v>16</v>
      </c>
      <c r="I4" s="75" t="s">
        <v>17</v>
      </c>
      <c r="J4" s="76" t="s">
        <v>18</v>
      </c>
      <c r="K4" s="77" t="s">
        <v>19</v>
      </c>
      <c r="L4" s="78" t="s">
        <v>20</v>
      </c>
      <c r="M4" s="79" t="s">
        <v>21</v>
      </c>
      <c r="N4" s="80" t="s">
        <v>22</v>
      </c>
      <c r="O4" s="81" t="s">
        <v>23</v>
      </c>
      <c r="P4" s="82" t="s">
        <v>24</v>
      </c>
      <c r="Q4" s="83" t="s">
        <v>25</v>
      </c>
      <c r="R4" s="84" t="s">
        <v>26</v>
      </c>
      <c r="S4" s="84" t="s">
        <v>27</v>
      </c>
      <c r="T4" s="85" t="s">
        <v>28</v>
      </c>
      <c r="U4" s="85" t="s">
        <v>29</v>
      </c>
      <c r="V4" s="86" t="s">
        <v>30</v>
      </c>
      <c r="W4" s="87" t="s">
        <v>31</v>
      </c>
      <c r="X4" s="88" t="s">
        <v>32</v>
      </c>
      <c r="Y4" s="79" t="s">
        <v>33</v>
      </c>
      <c r="Z4" s="79" t="s">
        <v>34</v>
      </c>
      <c r="AA4" s="89" t="s">
        <v>35</v>
      </c>
      <c r="AB4" s="90" t="s">
        <v>36</v>
      </c>
      <c r="AC4" s="91" t="s">
        <v>37</v>
      </c>
      <c r="AD4" s="92" t="s">
        <v>38</v>
      </c>
      <c r="AE4" s="93" t="s">
        <v>39</v>
      </c>
      <c r="AF4" s="94" t="s">
        <v>40</v>
      </c>
      <c r="AG4" s="95" t="s">
        <v>41</v>
      </c>
      <c r="AH4" s="96" t="s">
        <v>42</v>
      </c>
      <c r="AI4" s="97" t="s">
        <v>43</v>
      </c>
      <c r="AJ4" s="98" t="s">
        <v>44</v>
      </c>
      <c r="AK4" s="99" t="s">
        <v>45</v>
      </c>
      <c r="AL4" s="100" t="s">
        <v>46</v>
      </c>
      <c r="AM4" s="101" t="s">
        <v>47</v>
      </c>
      <c r="AN4" s="102" t="s">
        <v>48</v>
      </c>
      <c r="AO4" s="103" t="s">
        <v>49</v>
      </c>
      <c r="AP4" s="104" t="s">
        <v>50</v>
      </c>
      <c r="AQ4" s="104" t="s">
        <v>51</v>
      </c>
      <c r="AR4" s="105" t="s">
        <v>52</v>
      </c>
      <c r="AS4" s="21"/>
      <c r="AT4" s="106" t="s">
        <v>53</v>
      </c>
      <c r="AU4" s="107" t="s">
        <v>54</v>
      </c>
      <c r="AV4" s="106" t="s">
        <v>55</v>
      </c>
      <c r="AW4" s="108">
        <v>0</v>
      </c>
      <c r="AX4" s="108" t="s">
        <v>56</v>
      </c>
      <c r="AY4" s="108">
        <v>52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</row>
    <row r="5" spans="1:102" ht="15.75">
      <c r="A5" s="109">
        <v>5.9999999999999993E-6</v>
      </c>
      <c r="B5" s="110">
        <v>5</v>
      </c>
      <c r="C5" s="111">
        <f>IF(C$1=[1]!T.in.A[[#This Row],[oo2]],1,"")</f>
        <v>1</v>
      </c>
      <c r="D5" s="112">
        <f>IF(Tab.o1[[#This Row],[a1]]=1,IF(SUM(C5:C6)=0,0,IF(SUM(C4:C5)=1,1,IF(SUM(C4:C6)&gt;1,D4+1,0))),"")</f>
        <v>1</v>
      </c>
      <c r="E5" s="113" t="str">
        <f>IF(Tab.o1[[#This Row],[a1]]=1,[1]!T.in.A[[#This Row],[oo1]],"")</f>
        <v>hed1</v>
      </c>
      <c r="F5" s="113" t="str">
        <f>IF(Tab.o1[[#This Row],[a1]]=1,[1]!T.in.A[[#This Row],[pp1]],"")</f>
        <v/>
      </c>
      <c r="G5" s="114">
        <f>IF(Tab.o1[[#This Row],[a1]]=1,G$2+IF(G$1=1,0,Tab.o1[[#This Row],[.x1]])+[1]!T.in.A[[#This Row],[oo3]],"")</f>
        <v>840.8</v>
      </c>
      <c r="H5" s="115">
        <f>IF(Tab.o1[[#This Row],[a1]]=1,IF(H$2=0,0,IF(G$1=1,0,Tab.o1[[#This Row],[.x1]])+[1]!T.in.A[[#This Row],[oo4]]),"")</f>
        <v>840.94839999999999</v>
      </c>
      <c r="I5" s="142">
        <f>IF(Tab.o1[[#This Row],[a1]]=1,IF(J$2=0,Tab.o1[[#This Row],[MED]],Tab.o1[[#This Row],[MOD]]),"")</f>
        <v>840.8</v>
      </c>
      <c r="J5" s="187">
        <f ca="1">IF(Tab.o1[[#This Row],[a1]]=1,((Tab.o1[[#This Row],[DIF_Target.]]-AVERAGE(Tab.o1[DIF_Target.]))/_xlfn.STDEV.P(Tab.o1[DIF_Target.])),"")</f>
        <v>-0.43833797442798567</v>
      </c>
      <c r="K5" s="117">
        <f>IF(Tab.o1[[#This Row],[a1]]=1,IF(J$2=0,Tab.o1[[#This Row],[MOD]]-Tab.o1[[#This Row],[B]],IF(J$2=1,0,-Tab.o1[[#This Row],[MED]])+Tab.o1[[#This Row],[B]]),"")</f>
        <v>0.14840000000003783</v>
      </c>
      <c r="L5" s="186">
        <f ca="1">IF(Tab.o1[[#This Row],[DIF_Target]]=0,IF(L$2=0,Tab.o1[[#This Row],[DIF_Target]],AVERAGE(OFFSET(Tab.o1[[#This Row],[DIF_Target]],1,0,L$3,1)))/3,Tab.o1[[#This Row],[DIF_Target]])</f>
        <v>0.14840000000003783</v>
      </c>
      <c r="M5" s="118">
        <f ca="1">IF(Tab.o1[[#This Row],[a1]]=1,NORMSDIST(Tab.o1[[#This Row],[Za]]),"")</f>
        <v>0.33057065094594074</v>
      </c>
      <c r="N5" s="119">
        <f>IF(Tab.o1[[#This Row],[a1]]=1,((Tab.o1[[#This Row],[MedMod]]-AVERAGE(Tab.o1[MedMod]))/_xlfn.STDEV.P(Tab.o1[MedMod])*H$1205)+G$1205,"")</f>
        <v>1.254117188183919</v>
      </c>
      <c r="O5" s="120">
        <f>IF(Tab.o1[[#This Row],[a1]]=1,Tab.o1[[#This Row],[Zb]]*_xlfn.STDEV.P(Tab.o1[MedMod])+AVERAGE(Tab.o1[MedMod]),"")</f>
        <v>840.8</v>
      </c>
      <c r="P5" s="117">
        <f ca="1">IF(Tab.o1[[#This Row],[B]]=0,AVERAGE(OFFSET(Tab.o1[[#This Row],[B]],1,0,L$3,1)),Tab.o1[[#This Row],[B]])</f>
        <v>840.8</v>
      </c>
      <c r="Q5" s="121">
        <f>IF(Tab.o1[[#This Row],[a1]]=1,NORMSDIST(Tab.o1[[#This Row],[Zb]]),"")</f>
        <v>0.89510029310816286</v>
      </c>
      <c r="R5" s="122">
        <f>IF(Tab.o1[[#This Row],[a1]]=1,((Tab.o1[[#This Row],[MedMod]]-AVERAGE(Tab.o1[MedMod]))/_xlfn.STDEV.P(Tab.o1[MedMod])*H$1203)+G$1203,"")</f>
        <v>3.254117188183919</v>
      </c>
      <c r="S5" s="122">
        <f>IF(Tab.o1[[#This Row],[a1]]=1,((Tab.o1[[#This Row],[MedMod]]-AVERAGE(Tab.o1[MedMod]))/_xlfn.STDEV.P(Tab.o1[MedMod])*H$1204)+G$1204,"")</f>
        <v>-0.74588281181608096</v>
      </c>
      <c r="T5" s="123">
        <f>IF(Tab.o1[[#This Row],[a1]]=1,Tab.o1[[#This Row],[Z-]]*_xlfn.STDEV.P(Tab.o1[B])+AVERAGE(Tab.o1[B]),"")</f>
        <v>844.24864103669836</v>
      </c>
      <c r="U5" s="123">
        <f>IF(Tab.o1[[#This Row],[a1]]=1,Tab.o1[[#This Row],[z+]]*_xlfn.STDEV.P(Tab.o1[B])+AVERAGE(Tab.o1[B]),"")</f>
        <v>837.35135896330155</v>
      </c>
      <c r="V5" s="124">
        <f>IF(Tab.o1[[#This Row],[a1]]=1,ABS((ABS(Tab.o1[[#This Row],[Red]]-Tab.o1[[#This Row],[Blue]]))),"")</f>
        <v>6.8972820733968092</v>
      </c>
      <c r="W5" s="125">
        <f>IF(Tab.o1[[#This Row],[a1]]=1,IF(W$3=0,1,Tab.o1[[#This Row],[Amp.]]*1/_xlfn.MINIFS(Tab.o1[Amp.],Tab.o1[Amp.],"&lt;&gt;0")),"")</f>
        <v>1</v>
      </c>
      <c r="X5" s="126">
        <f ca="1">IF(Tab.o1[[#This Row],[a1]]=1,IF(ISNUMBER(Tab.o1[[#This Row],[i.]]),NORMDIST(Tab.o1[[#This Row],[Za]],0,1,FALSE)*Tab.o1[[#This Row],[i.]],AP$3),"")</f>
        <v>0.36239930480723392</v>
      </c>
      <c r="Y5" s="126">
        <f ca="1">IF(Tab.o1[[#This Row],[a1]]=1,0.01+0.94*Tab.o1[[#This Row],[PDF]]/MAX(Tab.o1[PDF]),"")</f>
        <v>0.86562787725744694</v>
      </c>
      <c r="Z5" s="126">
        <f>IF(Tab.o1[[#This Row],[a1]]=1,0.01+0.94*Tab.o1[[#This Row],[W1_PDF]]/MAX(Tab.o1[W1_PDF]),"")</f>
        <v>0.95</v>
      </c>
      <c r="AA5" s="118">
        <f>IF(Tab.o1[[#This Row],[a1]]=1,ABS([1]!T.in.A[[#This Row],[oo6]]),"")</f>
        <v>7.1269669999999993E-2</v>
      </c>
      <c r="AB5" s="127">
        <f ca="1">IF(Tab.o1[[#This Row],[a1]]=1,IF(AE$3=0,"",IF(AB$3=0,ABS([1]!T.in.A[[#This Row],[oo9]]),ABS(Tab.o1[[#This Row],[DIF_Target.]]*Tab.o1[[#This Row],[W1_PDF]]))),"")</f>
        <v>1.0576419028002696E-2</v>
      </c>
      <c r="AC5" s="127" t="str">
        <f>IF(G$1=1,"",IF(Tab.o1[[#This Row],[a1]]=1,Tab.o1[[#This Row],[Wr]]^2,""))</f>
        <v/>
      </c>
      <c r="AD5" s="118" t="e">
        <f>IF(Tab.o1[[#This Row],[a1]]=1,IF(AE$3=0,"",Tab.o1[[#This Row],[Wr2]]/SUM(Tab.o1[Wr2])),"")</f>
        <v>#VALUE!</v>
      </c>
      <c r="AE5" s="128">
        <f>IF(Tab.o1[[#This Row],[a1]]=1,[1]!T.in.A[[#This Row],[oo10]],"")</f>
        <v>0.9919173</v>
      </c>
      <c r="AF5" s="118" t="e">
        <f ca="1">IF(Tab.o1[[#This Row],[a1]]=1,ABS(Tab.o1[[#This Row],[DIF_Target.]]*Tab.o1[[#This Row],[PDF2]]*Tab.o1[[#This Row],[IN]]),"")</f>
        <v>#REF!</v>
      </c>
      <c r="AG5" s="129" t="e">
        <f ca="1">IF(Tab.o1[[#This Row],[a1]]=1,Tab.o1[[#This Row],[rW]]^2,"")</f>
        <v>#REF!</v>
      </c>
      <c r="AH5" s="130" t="e">
        <f ca="1">IF(Tab.o1[[#This Row],[a1]]=1,IF(AH$3=0,Tab.o1[[#This Row],[rW2]],0.01+0.94*Tab.o1[[#This Row],[rW2]]/SUM(Tab.o1[rW2])),"")</f>
        <v>#REF!</v>
      </c>
      <c r="AI5" s="128">
        <f ca="1">IF(Tab.o1[[#This Row],[a1]]=1,1/Tab.o1[[#This Row],[PDF]],"")</f>
        <v>2.7593871917936386</v>
      </c>
      <c r="AJ5" s="131" t="e">
        <f>IF(Tab.o1[[#This Row],[a1]]=1,[1]!T_AA[[#This Row],[IN'']]*[1]!T_AA[[#This Row],[Qde'']],"")</f>
        <v>#REF!</v>
      </c>
      <c r="AK5" s="132" t="str">
        <f>IF(Tab.o1[[#This Row],[a1]]=1,IF(AK$1=1,Tab.o1[[#This Row],[MED]]+Tab.o1[[#This Row],[MOD]]-Tab.o1[[#This Row],[MED]],""),"")</f>
        <v/>
      </c>
      <c r="AL5" s="133">
        <f>IF(Tab.o1[[#This Row],[a1]]=1,[1]!T.in.A[[#This Row],[oo16]],"")</f>
        <v>5.2618437E-4</v>
      </c>
      <c r="AM5" s="133">
        <f>IF(Tab.o1[[#This Row],[a1]]=1,IF(AM$3=1,[1]!T.in.A[[#This Row],[Σo16]],""),"")</f>
        <v>1.0171356804416423E-5</v>
      </c>
      <c r="AN5" s="126" t="str">
        <f>IF(Tab.o1[[#This Row],[a1]]=1,[1]!T.in.A[[#This Row],[Σp5]],"")</f>
        <v/>
      </c>
      <c r="AO5" s="126" t="str">
        <f>IF(Tab.o1[[#This Row],[a1]]=1,IF(AO$3=1,[1]!T.in.A[[#This Row],[Σp5]],""),"")</f>
        <v/>
      </c>
      <c r="AP5" s="110">
        <f ca="1">IF(Tab.o1[[#This Row],[a1]]=1,IF(ISNUMBER(Tab.o1[[#This Row],[i.]]),NORMDIST(Tab.o1[[#This Row],[Za]],0,1,FALSE)*Tab.o1[[#This Row],[i.]],0),"")</f>
        <v>0.36239930480723392</v>
      </c>
      <c r="AQ5" s="125">
        <f>IF(Tab.o1[[#This Row],[a1]]=1,ABS(Tab.o1[[#This Row],[MOD]]-AVERAGE(Tab.o1[MOD])),"")</f>
        <v>1.5870359374999907</v>
      </c>
      <c r="AR5" s="134">
        <f>IF(Tab.o1[[#This Row],[a1]]=1,Tab.o1[[#This Row],[OBS]]/SUM(Tab.o1[OBS]),"")</f>
        <v>1.6563515586585642E-2</v>
      </c>
      <c r="AS5" s="135">
        <f>IF(ISNUMBER(Tab.o1[[#This Row],[a1]]),ROW()-4,"")</f>
        <v>1</v>
      </c>
      <c r="AT5" s="136">
        <f>Tab.o1[[#This Row],[MOD]]</f>
        <v>840.94839999999999</v>
      </c>
      <c r="AU5" s="137">
        <f>AT5</f>
        <v>840.94839999999999</v>
      </c>
      <c r="AV5" s="138">
        <f>IF(AND(ISNUMBER(AT5),ISNUMBER(AU5)),H5-AU5,"")</f>
        <v>0</v>
      </c>
      <c r="AW5" s="138" t="str">
        <f>IF(AW$4=0,"",IF(AV5&lt;AV$2,AV5," "))</f>
        <v/>
      </c>
      <c r="AX5" s="139">
        <f>[1]!T.in.A[[#This Row],[ID_T_manu]]</f>
        <v>1</v>
      </c>
      <c r="AY5" s="140" t="e">
        <f>IF(ISNUMBER(Tab.o1[[#This Row],[a1]]),IF(AND(Tab.o1[[#This Row],[a1]]=1,Tab.o1[[#This Row],[b1]]&lt;=AY$4),#REF!,AY4),"")</f>
        <v>#REF!</v>
      </c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</row>
    <row r="6" spans="1:102" ht="15.75">
      <c r="A6" s="109">
        <v>6.9999999999999999E-6</v>
      </c>
      <c r="B6" s="110">
        <f t="shared" ref="B6:B69" si="0">B5+1</f>
        <v>6</v>
      </c>
      <c r="C6" s="111">
        <f>IF(C$1=[1]!T.in.A[[#This Row],[oo2]],1,"")</f>
        <v>1</v>
      </c>
      <c r="D6" s="112">
        <f>IF(Tab.o1[[#This Row],[a1]]=1,IF(SUM(C6:C7)=0,0,IF(SUM(C5:C6)=1,1,IF(SUM(C5:C7)&gt;1,D5+1,0))),"")</f>
        <v>2</v>
      </c>
      <c r="E6" s="113" t="str">
        <f>IF(Tab.o1[[#This Row],[a1]]=1,[1]!T.in.A[[#This Row],[oo1]],"")</f>
        <v>hed2</v>
      </c>
      <c r="F6" s="113" t="str">
        <f>IF(Tab.o1[[#This Row],[a1]]=1,[1]!T.in.A[[#This Row],[pp1]],"")</f>
        <v/>
      </c>
      <c r="G6" s="114">
        <f>IF(Tab.o1[[#This Row],[a1]]=1,G$2+IF(G$1=1,0,Tab.o1[[#This Row],[.x1]])+[1]!T.in.A[[#This Row],[oo3]],"")</f>
        <v>840.7</v>
      </c>
      <c r="H6" s="115">
        <f>IF(Tab.o1[[#This Row],[a1]]=1,IF(H$2=0,0,IF(G$1=1,0,Tab.o1[[#This Row],[.x1]])+[1]!T.in.A[[#This Row],[oo4]]),"")</f>
        <v>840.94780000000003</v>
      </c>
      <c r="I6" s="116">
        <f>IF(Tab.o1[[#This Row],[a1]]=1,IF(J$2=0,Tab.o1[[#This Row],[MED]],Tab.o1[[#This Row],[MOD]]),"")</f>
        <v>840.7</v>
      </c>
      <c r="J6" s="116">
        <f ca="1">IF(Tab.o1[[#This Row],[a1]]=1,((Tab.o1[[#This Row],[DIF_Target.]]-AVERAGE(Tab.o1[DIF_Target.]))/_xlfn.STDEV.P(Tab.o1[DIF_Target.])),"")</f>
        <v>-0.36262378565860282</v>
      </c>
      <c r="K6" s="117">
        <f>IF(Tab.o1[[#This Row],[a1]]=1,IF(J$2=0,Tab.o1[[#This Row],[MOD]]-Tab.o1[[#This Row],[B]],IF(J$2=1,0,-Tab.o1[[#This Row],[MED]])+Tab.o1[[#This Row],[B]]),"")</f>
        <v>0.24779999999998381</v>
      </c>
      <c r="L6" s="186">
        <f ca="1">IF(Tab.o1[[#This Row],[DIF_Target]]=0,IF(L$2=0,Tab.o1[[#This Row],[DIF_Target]],AVERAGE(OFFSET(Tab.o1[[#This Row],[DIF_Target]],1,0,L$3,1)))/3,Tab.o1[[#This Row],[DIF_Target]])</f>
        <v>0.24779999999998381</v>
      </c>
      <c r="M6" s="118">
        <f ca="1">IF(Tab.o1[[#This Row],[a1]]=1,NORMSDIST(Tab.o1[[#This Row],[Za]]),"")</f>
        <v>0.358442969814044</v>
      </c>
      <c r="N6" s="119">
        <f>IF(Tab.o1[[#This Row],[a1]]=1,((Tab.o1[[#This Row],[MedMod]]-AVERAGE(Tab.o1[MedMod]))/_xlfn.STDEV.P(Tab.o1[MedMod])*H$1205)+G$1205,"")</f>
        <v>1.1961233297708402</v>
      </c>
      <c r="O6" s="120">
        <f>IF(Tab.o1[[#This Row],[a1]]=1,Tab.o1[[#This Row],[Zb]]*_xlfn.STDEV.P(Tab.o1[MedMod])+AVERAGE(Tab.o1[MedMod]),"")</f>
        <v>840.7</v>
      </c>
      <c r="P6" s="117">
        <f ca="1">IF(Tab.o1[[#This Row],[B]]=0,AVERAGE(OFFSET(Tab.o1[[#This Row],[B]],1,0,L$3,1)),Tab.o1[[#This Row],[B]])</f>
        <v>840.7</v>
      </c>
      <c r="Q6" s="121">
        <f>IF(Tab.o1[[#This Row],[a1]]=1,NORMSDIST(Tab.o1[[#This Row],[Zb]]),"")</f>
        <v>0.88417578265032137</v>
      </c>
      <c r="R6" s="122">
        <f>IF(Tab.o1[[#This Row],[a1]]=1,((Tab.o1[[#This Row],[MedMod]]-AVERAGE(Tab.o1[MedMod]))/_xlfn.STDEV.P(Tab.o1[MedMod])*H$1203)+G$1203,"")</f>
        <v>3.19612332977084</v>
      </c>
      <c r="S6" s="122">
        <f>IF(Tab.o1[[#This Row],[a1]]=1,((Tab.o1[[#This Row],[MedMod]]-AVERAGE(Tab.o1[MedMod]))/_xlfn.STDEV.P(Tab.o1[MedMod])*H$1204)+G$1204,"")</f>
        <v>-0.80387667022915976</v>
      </c>
      <c r="T6" s="123">
        <f>IF(Tab.o1[[#This Row],[a1]]=1,Tab.o1[[#This Row],[Z-]]*_xlfn.STDEV.P(Tab.o1[B])+AVERAGE(Tab.o1[B]),"")</f>
        <v>844.14864103669845</v>
      </c>
      <c r="U6" s="123">
        <f>IF(Tab.o1[[#This Row],[a1]]=1,Tab.o1[[#This Row],[z+]]*_xlfn.STDEV.P(Tab.o1[B])+AVERAGE(Tab.o1[B]),"")</f>
        <v>837.25135896330164</v>
      </c>
      <c r="V6" s="124">
        <f>IF(Tab.o1[[#This Row],[a1]]=1,ABS((ABS(Tab.o1[[#This Row],[Red]]-Tab.o1[[#This Row],[Blue]]))),"")</f>
        <v>6.8972820733968092</v>
      </c>
      <c r="W6" s="125">
        <f>IF(Tab.o1[[#This Row],[a1]]=1,IF(W$3=0,1,Tab.o1[[#This Row],[Amp.]]*1/_xlfn.MINIFS(Tab.o1[Amp.],Tab.o1[Amp.],"&lt;&gt;0")),"")</f>
        <v>1</v>
      </c>
      <c r="X6" s="126">
        <f ca="1">IF(Tab.o1[[#This Row],[a1]]=1,IF(ISNUMBER(Tab.o1[[#This Row],[i.]]),NORMDIST(Tab.o1[[#This Row],[Za]],0,1,FALSE)*Tab.o1[[#This Row],[i.]],AP$3),"")</f>
        <v>0.37355630422978864</v>
      </c>
      <c r="Y6" s="126">
        <f ca="1">IF(Tab.o1[[#This Row],[a1]]=1,0.01+0.94*Tab.o1[[#This Row],[PDF]]/MAX(Tab.o1[PDF]),"")</f>
        <v>0.89196964890505215</v>
      </c>
      <c r="Z6" s="126">
        <f>IF(Tab.o1[[#This Row],[a1]]=1,0.01+0.94*Tab.o1[[#This Row],[W1_PDF]]/MAX(Tab.o1[W1_PDF]),"")</f>
        <v>0.95</v>
      </c>
      <c r="AA6" s="118">
        <f>IF(Tab.o1[[#This Row],[a1]]=1,ABS([1]!T.in.A[[#This Row],[oo6]]),"")</f>
        <v>7.1269669999999993E-2</v>
      </c>
      <c r="AB6" s="127">
        <f ca="1">IF(Tab.o1[[#This Row],[a1]]=1,IF(AE$3=0,"",IF(AB$3=0,ABS([1]!T.in.A[[#This Row],[oo9]]),ABS(Tab.o1[[#This Row],[DIF_Target.]]*Tab.o1[[#This Row],[W1_PDF]]))),"")</f>
        <v>1.7660624225998844E-2</v>
      </c>
      <c r="AC6" s="127" t="str">
        <f>IF(G$1=1,"",IF(Tab.o1[[#This Row],[a1]]=1,Tab.o1[[#This Row],[Wr]]^2,""))</f>
        <v/>
      </c>
      <c r="AD6" s="118" t="e">
        <f>IF(Tab.o1[[#This Row],[a1]]=1,IF(AE$3=0,"",Tab.o1[[#This Row],[Wr2]]/SUM(Tab.o1[Wr2])),"")</f>
        <v>#VALUE!</v>
      </c>
      <c r="AE6" s="128">
        <f>IF(Tab.o1[[#This Row],[a1]]=1,[1]!T.in.A[[#This Row],[oo10]],"")</f>
        <v>0.9919173</v>
      </c>
      <c r="AF6" s="118" t="e">
        <f ca="1">IF(Tab.o1[[#This Row],[a1]]=1,ABS(Tab.o1[[#This Row],[DIF_Target.]]*Tab.o1[[#This Row],[PDF2]]*Tab.o1[[#This Row],[IN]]),"")</f>
        <v>#REF!</v>
      </c>
      <c r="AG6" s="129" t="e">
        <f ca="1">IF(Tab.o1[[#This Row],[a1]]=1,Tab.o1[[#This Row],[rW]]^2,"")</f>
        <v>#REF!</v>
      </c>
      <c r="AH6" s="130" t="e">
        <f ca="1">IF(Tab.o1[[#This Row],[a1]]=1,IF(AH$3=0,Tab.o1[[#This Row],[rW2]],0.01+0.94*Tab.o1[[#This Row],[rW2]]/SUM(Tab.o1[rW2])),"")</f>
        <v>#REF!</v>
      </c>
      <c r="AI6" s="128">
        <f ca="1">IF(Tab.o1[[#This Row],[a1]]=1,1/Tab.o1[[#This Row],[PDF]],"")</f>
        <v>2.6769726241452001</v>
      </c>
      <c r="AJ6" s="131" t="e">
        <f>IF(Tab.o1[[#This Row],[a1]]=1,[1]!T_AA[[#This Row],[IN'']]*[1]!T_AA[[#This Row],[Qde'']],"")</f>
        <v>#REF!</v>
      </c>
      <c r="AK6" s="132" t="str">
        <f>IF(Tab.o1[[#This Row],[a1]]=1,IF(AK$1=1,Tab.o1[[#This Row],[MED]]+Tab.o1[[#This Row],[MOD]]-Tab.o1[[#This Row],[MED]],""),"")</f>
        <v/>
      </c>
      <c r="AL6" s="133">
        <f>IF(Tab.o1[[#This Row],[a1]]=1,[1]!T.in.A[[#This Row],[oo16]],"")</f>
        <v>5.2618437E-4</v>
      </c>
      <c r="AM6" s="133">
        <f>IF(Tab.o1[[#This Row],[a1]]=1,IF(AM$3=1,[1]!T.in.A[[#This Row],[Σo16]],""),"")</f>
        <v>1.0171356804416423E-5</v>
      </c>
      <c r="AN6" s="126" t="str">
        <f>IF(Tab.o1[[#This Row],[a1]]=1,[1]!T.in.A[[#This Row],[Σp5]],"")</f>
        <v/>
      </c>
      <c r="AO6" s="126" t="str">
        <f>IF(Tab.o1[[#This Row],[a1]]=1,IF(AO$3=1,[1]!T.in.A[[#This Row],[Σp5]],""),"")</f>
        <v/>
      </c>
      <c r="AP6" s="110">
        <f ca="1">IF(Tab.o1[[#This Row],[a1]]=1,IF(ISNUMBER(Tab.o1[[#This Row],[i.]]),NORMDIST(Tab.o1[[#This Row],[Za]],0,1,FALSE)*Tab.o1[[#This Row],[i.]],0),"")</f>
        <v>0.37355630422978864</v>
      </c>
      <c r="AQ6" s="125">
        <f>IF(Tab.o1[[#This Row],[a1]]=1,ABS(Tab.o1[[#This Row],[MOD]]-AVERAGE(Tab.o1[MOD])),"")</f>
        <v>1.5864359375000276</v>
      </c>
      <c r="AR6" s="134">
        <f>IF(Tab.o1[[#This Row],[a1]]=1,Tab.o1[[#This Row],[OBS]]/SUM(Tab.o1[OBS]),"")</f>
        <v>1.655725352968037E-2</v>
      </c>
      <c r="AS6" s="135">
        <f>IF(ISNUMBER(Tab.o1[[#This Row],[a1]]),ROW()-4,"")</f>
        <v>2</v>
      </c>
      <c r="AT6" s="136">
        <f>Tab.o1[[#This Row],[MOD]]</f>
        <v>840.94780000000003</v>
      </c>
      <c r="AU6" s="137">
        <f t="shared" ref="AU6:AU69" si="1">AT6</f>
        <v>840.94780000000003</v>
      </c>
      <c r="AV6" s="138">
        <f t="shared" ref="AV6:AV69" si="2">IF(AND(ISNUMBER(AT6),ISNUMBER(AU6)),H6-AU6,"")</f>
        <v>0</v>
      </c>
      <c r="AW6" s="138" t="str">
        <f t="shared" ref="AW6:AW69" si="3">IF(AW$4=0,"",IF(AV6&lt;AV$2,AV6," "))</f>
        <v/>
      </c>
      <c r="AX6" s="139" t="str">
        <f>[1]!T.in.A[[#This Row],[ID_T_manu]]</f>
        <v/>
      </c>
      <c r="AY6" s="140" t="e">
        <f>IF(ISNUMBER(Tab.o1[[#This Row],[a1]]),IF(AND(Tab.o1[[#This Row],[a1]]=1,Tab.o1[[#This Row],[b1]]&lt;=AY$4),#REF!,AY5),"")</f>
        <v>#REF!</v>
      </c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</row>
    <row r="7" spans="1:102" ht="15.75">
      <c r="A7" s="109">
        <v>9.0000000000000002E-6</v>
      </c>
      <c r="B7" s="110">
        <f t="shared" si="0"/>
        <v>7</v>
      </c>
      <c r="C7" s="111">
        <f>IF(C$1=[1]!T.in.A[[#This Row],[oo2]],1,"")</f>
        <v>1</v>
      </c>
      <c r="D7" s="112">
        <f>IF(Tab.o1[[#This Row],[a1]]=1,IF(SUM(C7:C8)=0,0,IF(SUM(C6:C7)=1,1,IF(SUM(C6:C8)&gt;1,D6+1,0))),"")</f>
        <v>3</v>
      </c>
      <c r="E7" s="113" t="str">
        <f>IF(Tab.o1[[#This Row],[a1]]=1,[1]!T.in.A[[#This Row],[oo1]],"")</f>
        <v>hed3</v>
      </c>
      <c r="F7" s="113" t="str">
        <f>IF(Tab.o1[[#This Row],[a1]]=1,[1]!T.in.A[[#This Row],[pp1]],"")</f>
        <v/>
      </c>
      <c r="G7" s="114">
        <f>IF(Tab.o1[[#This Row],[a1]]=1,G$2+IF(G$1=1,0,Tab.o1[[#This Row],[.x1]])+[1]!T.in.A[[#This Row],[oo3]],"")</f>
        <v>840.7</v>
      </c>
      <c r="H7" s="115">
        <f>IF(Tab.o1[[#This Row],[a1]]=1,IF(H$2=0,0,IF(G$1=1,0,Tab.o1[[#This Row],[.x1]])+[1]!T.in.A[[#This Row],[oo4]]),"")</f>
        <v>840.94719999999995</v>
      </c>
      <c r="I7" s="116">
        <f>IF(Tab.o1[[#This Row],[a1]]=1,IF(J$2=0,Tab.o1[[#This Row],[MED]],Tab.o1[[#This Row],[MOD]]),"")</f>
        <v>840.7</v>
      </c>
      <c r="J7" s="116">
        <f ca="1">IF(Tab.o1[[#This Row],[a1]]=1,((Tab.o1[[#This Row],[DIF_Target.]]-AVERAGE(Tab.o1[DIF_Target.]))/_xlfn.STDEV.P(Tab.o1[DIF_Target.])),"")</f>
        <v>-0.36308081295505623</v>
      </c>
      <c r="K7" s="117">
        <f>IF(Tab.o1[[#This Row],[a1]]=1,IF(J$2=0,Tab.o1[[#This Row],[MOD]]-Tab.o1[[#This Row],[B]],IF(J$2=1,0,-Tab.o1[[#This Row],[MED]])+Tab.o1[[#This Row],[B]]),"")</f>
        <v>0.24719999999990705</v>
      </c>
      <c r="L7" s="117">
        <f ca="1">IF(Tab.o1[[#This Row],[DIF_Target]]=0,IF(L$2=0,Tab.o1[[#This Row],[DIF_Target]],AVERAGE(OFFSET(Tab.o1[[#This Row],[DIF_Target]],1,0,L$3,1)))/3,Tab.o1[[#This Row],[DIF_Target]])</f>
        <v>0.24719999999990705</v>
      </c>
      <c r="M7" s="118">
        <f ca="1">IF(Tab.o1[[#This Row],[a1]]=1,NORMSDIST(Tab.o1[[#This Row],[Za]]),"")</f>
        <v>0.35827225853848438</v>
      </c>
      <c r="N7" s="119">
        <f>IF(Tab.o1[[#This Row],[a1]]=1,((Tab.o1[[#This Row],[MedMod]]-AVERAGE(Tab.o1[MedMod]))/_xlfn.STDEV.P(Tab.o1[MedMod])*H$1205)+G$1205,"")</f>
        <v>1.1961233297708402</v>
      </c>
      <c r="O7" s="120">
        <f>IF(Tab.o1[[#This Row],[a1]]=1,Tab.o1[[#This Row],[Zb]]*_xlfn.STDEV.P(Tab.o1[MedMod])+AVERAGE(Tab.o1[MedMod]),"")</f>
        <v>840.7</v>
      </c>
      <c r="P7" s="117">
        <f ca="1">IF(Tab.o1[[#This Row],[B]]=0,AVERAGE(OFFSET(Tab.o1[[#This Row],[B]],1,0,L$3,1)),Tab.o1[[#This Row],[B]])</f>
        <v>840.7</v>
      </c>
      <c r="Q7" s="121">
        <f>IF(Tab.o1[[#This Row],[a1]]=1,NORMSDIST(Tab.o1[[#This Row],[Zb]]),"")</f>
        <v>0.88417578265032137</v>
      </c>
      <c r="R7" s="122">
        <f>IF(Tab.o1[[#This Row],[a1]]=1,((Tab.o1[[#This Row],[MedMod]]-AVERAGE(Tab.o1[MedMod]))/_xlfn.STDEV.P(Tab.o1[MedMod])*H$1203)+G$1203,"")</f>
        <v>3.19612332977084</v>
      </c>
      <c r="S7" s="122">
        <f>IF(Tab.o1[[#This Row],[a1]]=1,((Tab.o1[[#This Row],[MedMod]]-AVERAGE(Tab.o1[MedMod]))/_xlfn.STDEV.P(Tab.o1[MedMod])*H$1204)+G$1204,"")</f>
        <v>-0.80387667022915976</v>
      </c>
      <c r="T7" s="123">
        <f>IF(Tab.o1[[#This Row],[a1]]=1,Tab.o1[[#This Row],[Z-]]*_xlfn.STDEV.P(Tab.o1[B])+AVERAGE(Tab.o1[B]),"")</f>
        <v>844.14864103669845</v>
      </c>
      <c r="U7" s="123">
        <f>IF(Tab.o1[[#This Row],[a1]]=1,Tab.o1[[#This Row],[z+]]*_xlfn.STDEV.P(Tab.o1[B])+AVERAGE(Tab.o1[B]),"")</f>
        <v>837.25135896330164</v>
      </c>
      <c r="V7" s="124">
        <f>IF(Tab.o1[[#This Row],[a1]]=1,ABS((ABS(Tab.o1[[#This Row],[Red]]-Tab.o1[[#This Row],[Blue]]))),"")</f>
        <v>6.8972820733968092</v>
      </c>
      <c r="W7" s="125">
        <f>IF(Tab.o1[[#This Row],[a1]]=1,IF(W$3=0,1,Tab.o1[[#This Row],[Amp.]]*1/_xlfn.MINIFS(Tab.o1[Amp.],Tab.o1[Amp.],"&lt;&gt;0")),"")</f>
        <v>1</v>
      </c>
      <c r="X7" s="126">
        <f ca="1">IF(Tab.o1[[#This Row],[a1]]=1,IF(ISNUMBER(Tab.o1[[#This Row],[i.]]),NORMDIST(Tab.o1[[#This Row],[Za]],0,1,FALSE)*Tab.o1[[#This Row],[i.]],AP$3),"")</f>
        <v>0.37349436125201241</v>
      </c>
      <c r="Y7" s="126">
        <f ca="1">IF(Tab.o1[[#This Row],[a1]]=1,0.01+0.94*Tab.o1[[#This Row],[PDF]]/MAX(Tab.o1[PDF]),"")</f>
        <v>0.89182340100147561</v>
      </c>
      <c r="Z7" s="126">
        <f>IF(Tab.o1[[#This Row],[a1]]=1,0.01+0.94*Tab.o1[[#This Row],[W1_PDF]]/MAX(Tab.o1[W1_PDF]),"")</f>
        <v>0.95</v>
      </c>
      <c r="AA7" s="118">
        <f>IF(Tab.o1[[#This Row],[a1]]=1,ABS([1]!T.in.A[[#This Row],[oo6]]),"")</f>
        <v>7.1269669999999993E-2</v>
      </c>
      <c r="AB7" s="127">
        <f ca="1">IF(Tab.o1[[#This Row],[a1]]=1,IF(AE$3=0,"",IF(AB$3=0,ABS([1]!T.in.A[[#This Row],[oo9]]),ABS(Tab.o1[[#This Row],[DIF_Target.]]*Tab.o1[[#This Row],[W1_PDF]]))),"")</f>
        <v>1.7617862423993373E-2</v>
      </c>
      <c r="AC7" s="127" t="str">
        <f>IF(G$1=1,"",IF(Tab.o1[[#This Row],[a1]]=1,Tab.o1[[#This Row],[Wr]]^2,""))</f>
        <v/>
      </c>
      <c r="AD7" s="118" t="e">
        <f>IF(Tab.o1[[#This Row],[a1]]=1,IF(AE$3=0,"",Tab.o1[[#This Row],[Wr2]]/SUM(Tab.o1[Wr2])),"")</f>
        <v>#VALUE!</v>
      </c>
      <c r="AE7" s="128">
        <f>IF(Tab.o1[[#This Row],[a1]]=1,[1]!T.in.A[[#This Row],[oo10]],"")</f>
        <v>0.9919173</v>
      </c>
      <c r="AF7" s="118" t="e">
        <f ca="1">IF(Tab.o1[[#This Row],[a1]]=1,ABS(Tab.o1[[#This Row],[DIF_Target.]]*Tab.o1[[#This Row],[PDF2]]*Tab.o1[[#This Row],[IN]]),"")</f>
        <v>#REF!</v>
      </c>
      <c r="AG7" s="129" t="e">
        <f ca="1">IF(Tab.o1[[#This Row],[a1]]=1,Tab.o1[[#This Row],[rW]]^2,"")</f>
        <v>#REF!</v>
      </c>
      <c r="AH7" s="130" t="e">
        <f ca="1">IF(Tab.o1[[#This Row],[a1]]=1,IF(AH$3=0,Tab.o1[[#This Row],[rW2]],0.01+0.94*Tab.o1[[#This Row],[rW2]]/SUM(Tab.o1[rW2])),"")</f>
        <v>#REF!</v>
      </c>
      <c r="AI7" s="128">
        <f ca="1">IF(Tab.o1[[#This Row],[a1]]=1,1/Tab.o1[[#This Row],[PDF]],"")</f>
        <v>2.6774165924428983</v>
      </c>
      <c r="AJ7" s="131" t="e">
        <f>IF(Tab.o1[[#This Row],[a1]]=1,[1]!T_AA[[#This Row],[IN'']]*[1]!T_AA[[#This Row],[Qde'']],"")</f>
        <v>#REF!</v>
      </c>
      <c r="AK7" s="132" t="str">
        <f>IF(Tab.o1[[#This Row],[a1]]=1,IF(AK$1=1,Tab.o1[[#This Row],[MED]]+Tab.o1[[#This Row],[MOD]]-Tab.o1[[#This Row],[MED]],""),"")</f>
        <v/>
      </c>
      <c r="AL7" s="133">
        <f>IF(Tab.o1[[#This Row],[a1]]=1,[1]!T.in.A[[#This Row],[oo16]],"")</f>
        <v>5.3540901999999996E-4</v>
      </c>
      <c r="AM7" s="133">
        <f>IF(Tab.o1[[#This Row],[a1]]=1,IF(AM$3=1,[1]!T.in.A[[#This Row],[Σo16]],""),"")</f>
        <v>1.0349673021878107E-5</v>
      </c>
      <c r="AN7" s="126" t="str">
        <f>IF(Tab.o1[[#This Row],[a1]]=1,[1]!T.in.A[[#This Row],[Σp5]],"")</f>
        <v/>
      </c>
      <c r="AO7" s="126" t="str">
        <f>IF(Tab.o1[[#This Row],[a1]]=1,IF(AO$3=1,[1]!T.in.A[[#This Row],[Σp5]],""),"")</f>
        <v/>
      </c>
      <c r="AP7" s="110">
        <f ca="1">IF(Tab.o1[[#This Row],[a1]]=1,IF(ISNUMBER(Tab.o1[[#This Row],[i.]]),NORMDIST(Tab.o1[[#This Row],[Za]],0,1,FALSE)*Tab.o1[[#This Row],[i.]],0),"")</f>
        <v>0.37349436125201241</v>
      </c>
      <c r="AQ7" s="125">
        <f>IF(Tab.o1[[#This Row],[a1]]=1,ABS(Tab.o1[[#This Row],[MOD]]-AVERAGE(Tab.o1[MOD])),"")</f>
        <v>1.5858359374999509</v>
      </c>
      <c r="AR7" s="134">
        <f>IF(Tab.o1[[#This Row],[a1]]=1,Tab.o1[[#This Row],[OBS]]/SUM(Tab.o1[OBS]),"")</f>
        <v>1.6550991472773908E-2</v>
      </c>
      <c r="AS7" s="135">
        <f>IF(ISNUMBER(Tab.o1[[#This Row],[a1]]),ROW()-4,"")</f>
        <v>3</v>
      </c>
      <c r="AT7" s="136">
        <f>Tab.o1[[#This Row],[MOD]]</f>
        <v>840.94719999999995</v>
      </c>
      <c r="AU7" s="137">
        <f t="shared" si="1"/>
        <v>840.94719999999995</v>
      </c>
      <c r="AV7" s="138">
        <f t="shared" si="2"/>
        <v>0</v>
      </c>
      <c r="AW7" s="138" t="str">
        <f t="shared" si="3"/>
        <v/>
      </c>
      <c r="AX7" s="139" t="str">
        <f>[1]!T.in.A[[#This Row],[ID_T_manu]]</f>
        <v/>
      </c>
      <c r="AY7" s="140" t="e">
        <f>IF(ISNUMBER(Tab.o1[[#This Row],[a1]]),IF(AND(Tab.o1[[#This Row],[a1]]=1,Tab.o1[[#This Row],[b1]]&lt;=AY$4),#REF!,AY6),"")</f>
        <v>#REF!</v>
      </c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</row>
    <row r="8" spans="1:102" ht="15.75">
      <c r="A8" s="109">
        <v>-2.0000000000000003E-6</v>
      </c>
      <c r="B8" s="110">
        <f t="shared" si="0"/>
        <v>8</v>
      </c>
      <c r="C8" s="111">
        <f>IF(C$1=[1]!T.in.A[[#This Row],[oo2]],1,"")</f>
        <v>1</v>
      </c>
      <c r="D8" s="112">
        <f>IF(Tab.o1[[#This Row],[a1]]=1,IF(SUM(C8:C9)=0,0,IF(SUM(C7:C8)=1,1,IF(SUM(C7:C9)&gt;1,D7+1,0))),"")</f>
        <v>4</v>
      </c>
      <c r="E8" s="113" t="str">
        <f>IF(Tab.o1[[#This Row],[a1]]=1,[1]!T.in.A[[#This Row],[oo1]],"")</f>
        <v>hed4</v>
      </c>
      <c r="F8" s="113" t="str">
        <f>IF(Tab.o1[[#This Row],[a1]]=1,[1]!T.in.A[[#This Row],[pp1]],"")</f>
        <v/>
      </c>
      <c r="G8" s="114">
        <f>IF(Tab.o1[[#This Row],[a1]]=1,G$2+IF(G$1=1,0,Tab.o1[[#This Row],[.x1]])+[1]!T.in.A[[#This Row],[oo3]],"")</f>
        <v>840.6</v>
      </c>
      <c r="H8" s="115">
        <f>IF(Tab.o1[[#This Row],[a1]]=1,IF(H$2=0,0,IF(G$1=1,0,Tab.o1[[#This Row],[.x1]])+[1]!T.in.A[[#This Row],[oo4]]),"")</f>
        <v>840.94659999999999</v>
      </c>
      <c r="I8" s="116">
        <f>IF(Tab.o1[[#This Row],[a1]]=1,IF(J$2=0,Tab.o1[[#This Row],[MED]],Tab.o1[[#This Row],[MOD]]),"")</f>
        <v>840.6</v>
      </c>
      <c r="J8" s="116">
        <f ca="1">IF(Tab.o1[[#This Row],[a1]]=1,((Tab.o1[[#This Row],[DIF_Target.]]-AVERAGE(Tab.o1[DIF_Target.]))/_xlfn.STDEV.P(Tab.o1[DIF_Target.])),"")</f>
        <v>-0.28736662418558678</v>
      </c>
      <c r="K8" s="117">
        <f>IF(Tab.o1[[#This Row],[a1]]=1,IF(J$2=0,Tab.o1[[#This Row],[MOD]]-Tab.o1[[#This Row],[B]],IF(J$2=1,0,-Tab.o1[[#This Row],[MED]])+Tab.o1[[#This Row],[B]]),"")</f>
        <v>0.34659999999996671</v>
      </c>
      <c r="L8" s="117">
        <f ca="1">IF(Tab.o1[[#This Row],[DIF_Target]]=0,IF(L$2=0,Tab.o1[[#This Row],[DIF_Target]],AVERAGE(OFFSET(Tab.o1[[#This Row],[DIF_Target]],1,0,L$3,1)))/3,Tab.o1[[#This Row],[DIF_Target]])</f>
        <v>0.34659999999996671</v>
      </c>
      <c r="M8" s="118">
        <f ca="1">IF(Tab.o1[[#This Row],[a1]]=1,NORMSDIST(Tab.o1[[#This Row],[Za]]),"")</f>
        <v>0.38691580698189543</v>
      </c>
      <c r="N8" s="119">
        <f>IF(Tab.o1[[#This Row],[a1]]=1,((Tab.o1[[#This Row],[MedMod]]-AVERAGE(Tab.o1[MedMod]))/_xlfn.STDEV.P(Tab.o1[MedMod])*H$1205)+G$1205,"")</f>
        <v>1.1381294713576953</v>
      </c>
      <c r="O8" s="120">
        <f>IF(Tab.o1[[#This Row],[a1]]=1,Tab.o1[[#This Row],[Zb]]*_xlfn.STDEV.P(Tab.o1[MedMod])+AVERAGE(Tab.o1[MedMod]),"")</f>
        <v>840.6</v>
      </c>
      <c r="P8" s="117">
        <f ca="1">IF(Tab.o1[[#This Row],[B]]=0,AVERAGE(OFFSET(Tab.o1[[#This Row],[B]],1,0,L$3,1)),Tab.o1[[#This Row],[B]])</f>
        <v>840.6</v>
      </c>
      <c r="Q8" s="121">
        <f>IF(Tab.o1[[#This Row],[a1]]=1,NORMSDIST(Tab.o1[[#This Row],[Zb]]),"")</f>
        <v>0.87246678824088542</v>
      </c>
      <c r="R8" s="122">
        <f>IF(Tab.o1[[#This Row],[a1]]=1,((Tab.o1[[#This Row],[MedMod]]-AVERAGE(Tab.o1[MedMod]))/_xlfn.STDEV.P(Tab.o1[MedMod])*H$1203)+G$1203,"")</f>
        <v>3.1381294713576953</v>
      </c>
      <c r="S8" s="122">
        <f>IF(Tab.o1[[#This Row],[a1]]=1,((Tab.o1[[#This Row],[MedMod]]-AVERAGE(Tab.o1[MedMod]))/_xlfn.STDEV.P(Tab.o1[MedMod])*H$1204)+G$1204,"")</f>
        <v>-0.86187052864230473</v>
      </c>
      <c r="T8" s="123">
        <f>IF(Tab.o1[[#This Row],[a1]]=1,Tab.o1[[#This Row],[Z-]]*_xlfn.STDEV.P(Tab.o1[B])+AVERAGE(Tab.o1[B]),"")</f>
        <v>844.04864103669843</v>
      </c>
      <c r="U8" s="123">
        <f>IF(Tab.o1[[#This Row],[a1]]=1,Tab.o1[[#This Row],[z+]]*_xlfn.STDEV.P(Tab.o1[B])+AVERAGE(Tab.o1[B]),"")</f>
        <v>837.15135896330162</v>
      </c>
      <c r="V8" s="124">
        <f>IF(Tab.o1[[#This Row],[a1]]=1,ABS((ABS(Tab.o1[[#This Row],[Red]]-Tab.o1[[#This Row],[Blue]]))),"")</f>
        <v>6.8972820733968092</v>
      </c>
      <c r="W8" s="125">
        <f>IF(Tab.o1[[#This Row],[a1]]=1,IF(W$3=0,1,Tab.o1[[#This Row],[Amp.]]*1/_xlfn.MINIFS(Tab.o1[Amp.],Tab.o1[Amp.],"&lt;&gt;0")),"")</f>
        <v>1</v>
      </c>
      <c r="X8" s="126">
        <f ca="1">IF(Tab.o1[[#This Row],[a1]]=1,IF(ISNUMBER(Tab.o1[[#This Row],[i.]]),NORMDIST(Tab.o1[[#This Row],[Za]],0,1,FALSE)*Tab.o1[[#This Row],[i.]],AP$3),"")</f>
        <v>0.38280547325639686</v>
      </c>
      <c r="Y8" s="126">
        <f ca="1">IF(Tab.o1[[#This Row],[a1]]=1,0.01+0.94*Tab.o1[[#This Row],[PDF]]/MAX(Tab.o1[PDF]),"")</f>
        <v>0.91380701657009678</v>
      </c>
      <c r="Z8" s="126">
        <f>IF(Tab.o1[[#This Row],[a1]]=1,0.01+0.94*Tab.o1[[#This Row],[W1_PDF]]/MAX(Tab.o1[W1_PDF]),"")</f>
        <v>0.95</v>
      </c>
      <c r="AA8" s="118">
        <f>IF(Tab.o1[[#This Row],[a1]]=1,ABS([1]!T.in.A[[#This Row],[oo6]]),"")</f>
        <v>7.1269669999999993E-2</v>
      </c>
      <c r="AB8" s="127">
        <f ca="1">IF(Tab.o1[[#This Row],[a1]]=1,IF(AE$3=0,"",IF(AB$3=0,ABS([1]!T.in.A[[#This Row],[oo9]]),ABS(Tab.o1[[#This Row],[DIF_Target.]]*Tab.o1[[#This Row],[W1_PDF]]))),"")</f>
        <v>2.4702067621997625E-2</v>
      </c>
      <c r="AC8" s="127" t="str">
        <f>IF(G$1=1,"",IF(Tab.o1[[#This Row],[a1]]=1,Tab.o1[[#This Row],[Wr]]^2,""))</f>
        <v/>
      </c>
      <c r="AD8" s="118" t="e">
        <f>IF(Tab.o1[[#This Row],[a1]]=1,IF(AE$3=0,"",Tab.o1[[#This Row],[Wr2]]/SUM(Tab.o1[Wr2])),"")</f>
        <v>#VALUE!</v>
      </c>
      <c r="AE8" s="128">
        <f>IF(Tab.o1[[#This Row],[a1]]=1,[1]!T.in.A[[#This Row],[oo10]],"")</f>
        <v>0.9919173</v>
      </c>
      <c r="AF8" s="118" t="e">
        <f ca="1">IF(Tab.o1[[#This Row],[a1]]=1,ABS(Tab.o1[[#This Row],[DIF_Target.]]*Tab.o1[[#This Row],[PDF2]]*Tab.o1[[#This Row],[IN]]),"")</f>
        <v>#REF!</v>
      </c>
      <c r="AG8" s="129" t="e">
        <f ca="1">IF(Tab.o1[[#This Row],[a1]]=1,Tab.o1[[#This Row],[rW]]^2,"")</f>
        <v>#REF!</v>
      </c>
      <c r="AH8" s="130" t="e">
        <f ca="1">IF(Tab.o1[[#This Row],[a1]]=1,IF(AH$3=0,Tab.o1[[#This Row],[rW2]],0.01+0.94*Tab.o1[[#This Row],[rW2]]/SUM(Tab.o1[rW2])),"")</f>
        <v>#REF!</v>
      </c>
      <c r="AI8" s="128">
        <f ca="1">IF(Tab.o1[[#This Row],[a1]]=1,1/Tab.o1[[#This Row],[PDF]],"")</f>
        <v>2.6122928480968097</v>
      </c>
      <c r="AJ8" s="131" t="e">
        <f>IF(Tab.o1[[#This Row],[a1]]=1,[1]!T_AA[[#This Row],[IN'']]*[1]!T_AA[[#This Row],[Qde'']],"")</f>
        <v>#REF!</v>
      </c>
      <c r="AK8" s="132" t="str">
        <f>IF(Tab.o1[[#This Row],[a1]]=1,IF(AK$1=1,Tab.o1[[#This Row],[MED]]+Tab.o1[[#This Row],[MOD]]-Tab.o1[[#This Row],[MED]],""),"")</f>
        <v/>
      </c>
      <c r="AL8" s="133">
        <f>IF(Tab.o1[[#This Row],[a1]]=1,[1]!T.in.A[[#This Row],[oo16]],"")</f>
        <v>5.3954991E-4</v>
      </c>
      <c r="AM8" s="133">
        <f>IF(Tab.o1[[#This Row],[a1]]=1,IF(AM$3=1,[1]!T.in.A[[#This Row],[Σo16]],""),"")</f>
        <v>1.0429718101282196E-5</v>
      </c>
      <c r="AN8" s="126" t="str">
        <f>IF(Tab.o1[[#This Row],[a1]]=1,[1]!T.in.A[[#This Row],[Σp5]],"")</f>
        <v/>
      </c>
      <c r="AO8" s="126" t="str">
        <f>IF(Tab.o1[[#This Row],[a1]]=1,IF(AO$3=1,[1]!T.in.A[[#This Row],[Σp5]],""),"")</f>
        <v/>
      </c>
      <c r="AP8" s="110">
        <f ca="1">IF(Tab.o1[[#This Row],[a1]]=1,IF(ISNUMBER(Tab.o1[[#This Row],[i.]]),NORMDIST(Tab.o1[[#This Row],[Za]],0,1,FALSE)*Tab.o1[[#This Row],[i.]],0),"")</f>
        <v>0.38280547325639686</v>
      </c>
      <c r="AQ8" s="125">
        <f>IF(Tab.o1[[#This Row],[a1]]=1,ABS(Tab.o1[[#This Row],[MOD]]-AVERAGE(Tab.o1[MOD])),"")</f>
        <v>1.5852359374999878</v>
      </c>
      <c r="AR8" s="134">
        <f>IF(Tab.o1[[#This Row],[a1]]=1,Tab.o1[[#This Row],[OBS]]/SUM(Tab.o1[OBS]),"")</f>
        <v>1.6544729415868636E-2</v>
      </c>
      <c r="AS8" s="135">
        <f>IF(ISNUMBER(Tab.o1[[#This Row],[a1]]),ROW()-4,"")</f>
        <v>4</v>
      </c>
      <c r="AT8" s="136">
        <f>Tab.o1[[#This Row],[MOD]]</f>
        <v>840.94659999999999</v>
      </c>
      <c r="AU8" s="137">
        <f t="shared" si="1"/>
        <v>840.94659999999999</v>
      </c>
      <c r="AV8" s="138">
        <f t="shared" si="2"/>
        <v>0</v>
      </c>
      <c r="AW8" s="138" t="str">
        <f t="shared" si="3"/>
        <v/>
      </c>
      <c r="AX8" s="139" t="str">
        <f>[1]!T.in.A[[#This Row],[ID_T_manu]]</f>
        <v/>
      </c>
      <c r="AY8" s="140" t="e">
        <f>IF(ISNUMBER(Tab.o1[[#This Row],[a1]]),IF(AND(Tab.o1[[#This Row],[a1]]=1,Tab.o1[[#This Row],[b1]]&lt;=AY$4),#REF!,AY7),"")</f>
        <v>#REF!</v>
      </c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</row>
    <row r="9" spans="1:102" ht="15.75">
      <c r="A9" s="109">
        <v>9.0000000000000002E-6</v>
      </c>
      <c r="B9" s="110">
        <f t="shared" si="0"/>
        <v>9</v>
      </c>
      <c r="C9" s="111">
        <f>IF(C$1=[1]!T.in.A[[#This Row],[oo2]],1,"")</f>
        <v>1</v>
      </c>
      <c r="D9" s="112">
        <f>IF(Tab.o1[[#This Row],[a1]]=1,IF(SUM(C9:C10)=0,0,IF(SUM(C8:C9)=1,1,IF(SUM(C8:C10)&gt;1,D8+1,0))),"")</f>
        <v>5</v>
      </c>
      <c r="E9" s="113" t="str">
        <f>IF(Tab.o1[[#This Row],[a1]]=1,[1]!T.in.A[[#This Row],[oo1]],"")</f>
        <v>hed5</v>
      </c>
      <c r="F9" s="113" t="str">
        <f>IF(Tab.o1[[#This Row],[a1]]=1,[1]!T.in.A[[#This Row],[pp1]],"")</f>
        <v/>
      </c>
      <c r="G9" s="114">
        <f>IF(Tab.o1[[#This Row],[a1]]=1,G$2+IF(G$1=1,0,Tab.o1[[#This Row],[.x1]])+[1]!T.in.A[[#This Row],[oo3]],"")</f>
        <v>840.6</v>
      </c>
      <c r="H9" s="115">
        <f>IF(Tab.o1[[#This Row],[a1]]=1,IF(H$2=0,0,IF(G$1=1,0,Tab.o1[[#This Row],[.x1]])+[1]!T.in.A[[#This Row],[oo4]]),"")</f>
        <v>840.94600000000003</v>
      </c>
      <c r="I9" s="116">
        <f>IF(Tab.o1[[#This Row],[a1]]=1,IF(J$2=0,Tab.o1[[#This Row],[MED]],Tab.o1[[#This Row],[MOD]]),"")</f>
        <v>840.6</v>
      </c>
      <c r="J9" s="116">
        <f ca="1">IF(Tab.o1[[#This Row],[a1]]=1,((Tab.o1[[#This Row],[DIF_Target.]]-AVERAGE(Tab.o1[DIF_Target.]))/_xlfn.STDEV.P(Tab.o1[DIF_Target.])),"")</f>
        <v>-0.2878236514819536</v>
      </c>
      <c r="K9" s="117">
        <f>IF(Tab.o1[[#This Row],[a1]]=1,IF(J$2=0,Tab.o1[[#This Row],[MOD]]-Tab.o1[[#This Row],[B]],IF(J$2=1,0,-Tab.o1[[#This Row],[MED]])+Tab.o1[[#This Row],[B]]),"")</f>
        <v>0.34600000000000364</v>
      </c>
      <c r="L9" s="117">
        <f ca="1">IF(Tab.o1[[#This Row],[DIF_Target]]=0,IF(L$2=0,Tab.o1[[#This Row],[DIF_Target]],AVERAGE(OFFSET(Tab.o1[[#This Row],[DIF_Target]],1,0,L$3,1)))/3,Tab.o1[[#This Row],[DIF_Target]])</f>
        <v>0.34600000000000364</v>
      </c>
      <c r="M9" s="118">
        <f ca="1">IF(Tab.o1[[#This Row],[a1]]=1,NORMSDIST(Tab.o1[[#This Row],[Za]]),"")</f>
        <v>0.38674086592564899</v>
      </c>
      <c r="N9" s="119">
        <f>IF(Tab.o1[[#This Row],[a1]]=1,((Tab.o1[[#This Row],[MedMod]]-AVERAGE(Tab.o1[MedMod]))/_xlfn.STDEV.P(Tab.o1[MedMod])*H$1205)+G$1205,"")</f>
        <v>1.1381294713576953</v>
      </c>
      <c r="O9" s="120">
        <f>IF(Tab.o1[[#This Row],[a1]]=1,Tab.o1[[#This Row],[Zb]]*_xlfn.STDEV.P(Tab.o1[MedMod])+AVERAGE(Tab.o1[MedMod]),"")</f>
        <v>840.6</v>
      </c>
      <c r="P9" s="117">
        <f ca="1">IF(Tab.o1[[#This Row],[B]]=0,AVERAGE(OFFSET(Tab.o1[[#This Row],[B]],1,0,L$3,1)),Tab.o1[[#This Row],[B]])</f>
        <v>840.6</v>
      </c>
      <c r="Q9" s="121">
        <f>IF(Tab.o1[[#This Row],[a1]]=1,NORMSDIST(Tab.o1[[#This Row],[Zb]]),"")</f>
        <v>0.87246678824088542</v>
      </c>
      <c r="R9" s="122">
        <f>IF(Tab.o1[[#This Row],[a1]]=1,((Tab.o1[[#This Row],[MedMod]]-AVERAGE(Tab.o1[MedMod]))/_xlfn.STDEV.P(Tab.o1[MedMod])*H$1203)+G$1203,"")</f>
        <v>3.1381294713576953</v>
      </c>
      <c r="S9" s="122">
        <f>IF(Tab.o1[[#This Row],[a1]]=1,((Tab.o1[[#This Row],[MedMod]]-AVERAGE(Tab.o1[MedMod]))/_xlfn.STDEV.P(Tab.o1[MedMod])*H$1204)+G$1204,"")</f>
        <v>-0.86187052864230473</v>
      </c>
      <c r="T9" s="123">
        <f>IF(Tab.o1[[#This Row],[a1]]=1,Tab.o1[[#This Row],[Z-]]*_xlfn.STDEV.P(Tab.o1[B])+AVERAGE(Tab.o1[B]),"")</f>
        <v>844.04864103669843</v>
      </c>
      <c r="U9" s="123">
        <f>IF(Tab.o1[[#This Row],[a1]]=1,Tab.o1[[#This Row],[z+]]*_xlfn.STDEV.P(Tab.o1[B])+AVERAGE(Tab.o1[B]),"")</f>
        <v>837.15135896330162</v>
      </c>
      <c r="V9" s="124">
        <f>IF(Tab.o1[[#This Row],[a1]]=1,ABS((ABS(Tab.o1[[#This Row],[Red]]-Tab.o1[[#This Row],[Blue]]))),"")</f>
        <v>6.8972820733968092</v>
      </c>
      <c r="W9" s="125">
        <f>IF(Tab.o1[[#This Row],[a1]]=1,IF(W$3=0,1,Tab.o1[[#This Row],[Amp.]]*1/_xlfn.MINIFS(Tab.o1[Amp.],Tab.o1[Amp.],"&lt;&gt;0")),"")</f>
        <v>1</v>
      </c>
      <c r="X9" s="126">
        <f ca="1">IF(Tab.o1[[#This Row],[a1]]=1,IF(ISNUMBER(Tab.o1[[#This Row],[i.]]),NORMDIST(Tab.o1[[#This Row],[Za]],0,1,FALSE)*Tab.o1[[#This Row],[i.]],AP$3),"")</f>
        <v>0.38275516106008861</v>
      </c>
      <c r="Y9" s="126">
        <f ca="1">IF(Tab.o1[[#This Row],[a1]]=1,0.01+0.94*Tab.o1[[#This Row],[PDF]]/MAX(Tab.o1[PDF]),"")</f>
        <v>0.91368822904165414</v>
      </c>
      <c r="Z9" s="126">
        <f>IF(Tab.o1[[#This Row],[a1]]=1,0.01+0.94*Tab.o1[[#This Row],[W1_PDF]]/MAX(Tab.o1[W1_PDF]),"")</f>
        <v>0.95</v>
      </c>
      <c r="AA9" s="118">
        <f>IF(Tab.o1[[#This Row],[a1]]=1,ABS([1]!T.in.A[[#This Row],[oo6]]),"")</f>
        <v>7.1269669999999993E-2</v>
      </c>
      <c r="AB9" s="127">
        <f ca="1">IF(Tab.o1[[#This Row],[a1]]=1,IF(AE$3=0,"",IF(AB$3=0,ABS([1]!T.in.A[[#This Row],[oo9]]),ABS(Tab.o1[[#This Row],[DIF_Target.]]*Tab.o1[[#This Row],[W1_PDF]]))),"")</f>
        <v>2.4659305820000258E-2</v>
      </c>
      <c r="AC9" s="127" t="str">
        <f>IF(G$1=1,"",IF(Tab.o1[[#This Row],[a1]]=1,Tab.o1[[#This Row],[Wr]]^2,""))</f>
        <v/>
      </c>
      <c r="AD9" s="118" t="e">
        <f>IF(Tab.o1[[#This Row],[a1]]=1,IF(AE$3=0,"",Tab.o1[[#This Row],[Wr2]]/SUM(Tab.o1[Wr2])),"")</f>
        <v>#VALUE!</v>
      </c>
      <c r="AE9" s="128">
        <f>IF(Tab.o1[[#This Row],[a1]]=1,[1]!T.in.A[[#This Row],[oo10]],"")</f>
        <v>0.9919173</v>
      </c>
      <c r="AF9" s="118" t="e">
        <f ca="1">IF(Tab.o1[[#This Row],[a1]]=1,ABS(Tab.o1[[#This Row],[DIF_Target.]]*Tab.o1[[#This Row],[PDF2]]*Tab.o1[[#This Row],[IN]]),"")</f>
        <v>#REF!</v>
      </c>
      <c r="AG9" s="129" t="e">
        <f ca="1">IF(Tab.o1[[#This Row],[a1]]=1,Tab.o1[[#This Row],[rW]]^2,"")</f>
        <v>#REF!</v>
      </c>
      <c r="AH9" s="130" t="e">
        <f ca="1">IF(Tab.o1[[#This Row],[a1]]=1,IF(AH$3=0,Tab.o1[[#This Row],[rW2]],0.01+0.94*Tab.o1[[#This Row],[rW2]]/SUM(Tab.o1[rW2])),"")</f>
        <v>#REF!</v>
      </c>
      <c r="AI9" s="128">
        <f ca="1">IF(Tab.o1[[#This Row],[a1]]=1,1/Tab.o1[[#This Row],[PDF]],"")</f>
        <v>2.6126362273741108</v>
      </c>
      <c r="AJ9" s="131" t="e">
        <f>IF(Tab.o1[[#This Row],[a1]]=1,[1]!T_AA[[#This Row],[IN'']]*[1]!T_AA[[#This Row],[Qde'']],"")</f>
        <v>#REF!</v>
      </c>
      <c r="AK9" s="132" t="str">
        <f>IF(Tab.o1[[#This Row],[a1]]=1,IF(AK$1=1,Tab.o1[[#This Row],[MED]]+Tab.o1[[#This Row],[MOD]]-Tab.o1[[#This Row],[MED]],""),"")</f>
        <v/>
      </c>
      <c r="AL9" s="133">
        <f>IF(Tab.o1[[#This Row],[a1]]=1,[1]!T.in.A[[#This Row],[oo16]],"")</f>
        <v>5.2955738000000005E-4</v>
      </c>
      <c r="AM9" s="133">
        <f>IF(Tab.o1[[#This Row],[a1]]=1,IF(AM$3=1,[1]!T.in.A[[#This Row],[Σo16]],""),"")</f>
        <v>1.0236558452680632E-5</v>
      </c>
      <c r="AN9" s="126" t="str">
        <f>IF(Tab.o1[[#This Row],[a1]]=1,[1]!T.in.A[[#This Row],[Σp5]],"")</f>
        <v/>
      </c>
      <c r="AO9" s="126" t="str">
        <f>IF(Tab.o1[[#This Row],[a1]]=1,IF(AO$3=1,[1]!T.in.A[[#This Row],[Σp5]],""),"")</f>
        <v/>
      </c>
      <c r="AP9" s="110">
        <f ca="1">IF(Tab.o1[[#This Row],[a1]]=1,IF(ISNUMBER(Tab.o1[[#This Row],[i.]]),NORMDIST(Tab.o1[[#This Row],[Za]],0,1,FALSE)*Tab.o1[[#This Row],[i.]],0),"")</f>
        <v>0.38275516106008861</v>
      </c>
      <c r="AQ9" s="125">
        <f>IF(Tab.o1[[#This Row],[a1]]=1,ABS(Tab.o1[[#This Row],[MOD]]-AVERAGE(Tab.o1[MOD])),"")</f>
        <v>1.5846359375000247</v>
      </c>
      <c r="AR9" s="134">
        <f>IF(Tab.o1[[#This Row],[a1]]=1,Tab.o1[[#This Row],[OBS]]/SUM(Tab.o1[OBS]),"")</f>
        <v>1.653846735896336E-2</v>
      </c>
      <c r="AS9" s="135">
        <f>IF(ISNUMBER(Tab.o1[[#This Row],[a1]]),ROW()-4,"")</f>
        <v>5</v>
      </c>
      <c r="AT9" s="136">
        <f>Tab.o1[[#This Row],[MOD]]</f>
        <v>840.94600000000003</v>
      </c>
      <c r="AU9" s="137">
        <f t="shared" si="1"/>
        <v>840.94600000000003</v>
      </c>
      <c r="AV9" s="138">
        <f t="shared" si="2"/>
        <v>0</v>
      </c>
      <c r="AW9" s="138" t="str">
        <f t="shared" si="3"/>
        <v/>
      </c>
      <c r="AX9" s="139" t="str">
        <f>[1]!T.in.A[[#This Row],[ID_T_manu]]</f>
        <v/>
      </c>
      <c r="AY9" s="140" t="e">
        <f>IF(ISNUMBER(Tab.o1[[#This Row],[a1]]),IF(AND(Tab.o1[[#This Row],[a1]]=1,Tab.o1[[#This Row],[b1]]&lt;=AY$4),#REF!,AY8),"")</f>
        <v>#REF!</v>
      </c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</row>
    <row r="10" spans="1:102" ht="15.75">
      <c r="A10" s="109">
        <v>-4.0000000000000007E-6</v>
      </c>
      <c r="B10" s="110">
        <f t="shared" si="0"/>
        <v>10</v>
      </c>
      <c r="C10" s="111">
        <f>IF(C$1=[1]!T.in.A[[#This Row],[oo2]],1,"")</f>
        <v>1</v>
      </c>
      <c r="D10" s="112">
        <f>IF(Tab.o1[[#This Row],[a1]]=1,IF(SUM(C10:C11)=0,0,IF(SUM(C9:C10)=1,1,IF(SUM(C9:C11)&gt;1,D9+1,0))),"")</f>
        <v>6</v>
      </c>
      <c r="E10" s="113" t="str">
        <f>IF(Tab.o1[[#This Row],[a1]]=1,[1]!T.in.A[[#This Row],[oo1]],"")</f>
        <v>hed6</v>
      </c>
      <c r="F10" s="113" t="str">
        <f>IF(Tab.o1[[#This Row],[a1]]=1,[1]!T.in.A[[#This Row],[pp1]],"")</f>
        <v/>
      </c>
      <c r="G10" s="114">
        <f>IF(Tab.o1[[#This Row],[a1]]=1,G$2+IF(G$1=1,0,Tab.o1[[#This Row],[.x1]])+[1]!T.in.A[[#This Row],[oo3]],"")</f>
        <v>840.4</v>
      </c>
      <c r="H10" s="115">
        <f>IF(Tab.o1[[#This Row],[a1]]=1,IF(H$2=0,0,IF(G$1=1,0,Tab.o1[[#This Row],[.x1]])+[1]!T.in.A[[#This Row],[oo4]]),"")</f>
        <v>840.94320000000005</v>
      </c>
      <c r="I10" s="116">
        <f>IF(Tab.o1[[#This Row],[a1]]=1,IF(J$2=0,Tab.o1[[#This Row],[MED]],Tab.o1[[#This Row],[MOD]]),"")</f>
        <v>840.4</v>
      </c>
      <c r="J10" s="116">
        <f ca="1">IF(Tab.o1[[#This Row],[a1]]=1,((Tab.o1[[#This Row],[DIF_Target.]]-AVERAGE(Tab.o1[DIF_Target.]))/_xlfn.STDEV.P(Tab.o1[DIF_Target.])),"")</f>
        <v>-0.13761401340010831</v>
      </c>
      <c r="K10" s="117">
        <f>IF(Tab.o1[[#This Row],[a1]]=1,IF(J$2=0,Tab.o1[[#This Row],[MOD]]-Tab.o1[[#This Row],[B]],IF(J$2=1,0,-Tab.o1[[#This Row],[MED]])+Tab.o1[[#This Row],[B]]),"")</f>
        <v>0.54320000000006985</v>
      </c>
      <c r="L10" s="117">
        <f ca="1">IF(Tab.o1[[#This Row],[DIF_Target]]=0,IF(L$2=0,Tab.o1[[#This Row],[DIF_Target]],AVERAGE(OFFSET(Tab.o1[[#This Row],[DIF_Target]],1,0,L$3,1)))/3,Tab.o1[[#This Row],[DIF_Target]])</f>
        <v>0.54320000000006985</v>
      </c>
      <c r="M10" s="118">
        <f ca="1">IF(Tab.o1[[#This Row],[a1]]=1,NORMSDIST(Tab.o1[[#This Row],[Za]]),"")</f>
        <v>0.44527273990713812</v>
      </c>
      <c r="N10" s="119">
        <f>IF(Tab.o1[[#This Row],[a1]]=1,((Tab.o1[[#This Row],[MedMod]]-AVERAGE(Tab.o1[MedMod]))/_xlfn.STDEV.P(Tab.o1[MedMod])*H$1205)+G$1205,"")</f>
        <v>1.0221417545314058</v>
      </c>
      <c r="O10" s="141">
        <f>IF(Tab.o1[[#This Row],[a1]]=1,Tab.o1[[#This Row],[Zb]]*_xlfn.STDEV.P(Tab.o1[MedMod])+AVERAGE(Tab.o1[MedMod]),"")</f>
        <v>840.4</v>
      </c>
      <c r="P10" s="117">
        <f ca="1">IF(Tab.o1[[#This Row],[B]]=0,AVERAGE(OFFSET(Tab.o1[[#This Row],[B]],1,0,L$3,1)),Tab.o1[[#This Row],[B]])</f>
        <v>840.4</v>
      </c>
      <c r="Q10" s="121">
        <f>IF(Tab.o1[[#This Row],[a1]]=1,NORMSDIST(Tab.o1[[#This Row],[Zb]]),"")</f>
        <v>0.846643093323169</v>
      </c>
      <c r="R10" s="122">
        <f>IF(Tab.o1[[#This Row],[a1]]=1,((Tab.o1[[#This Row],[MedMod]]-AVERAGE(Tab.o1[MedMod]))/_xlfn.STDEV.P(Tab.o1[MedMod])*H$1203)+G$1203,"")</f>
        <v>3.0221417545314058</v>
      </c>
      <c r="S10" s="122">
        <f>IF(Tab.o1[[#This Row],[a1]]=1,((Tab.o1[[#This Row],[MedMod]]-AVERAGE(Tab.o1[MedMod]))/_xlfn.STDEV.P(Tab.o1[MedMod])*H$1204)+G$1204,"")</f>
        <v>-0.97785824546859423</v>
      </c>
      <c r="T10" s="123">
        <f>IF(Tab.o1[[#This Row],[a1]]=1,Tab.o1[[#This Row],[Z-]]*_xlfn.STDEV.P(Tab.o1[B])+AVERAGE(Tab.o1[B]),"")</f>
        <v>843.84864103669838</v>
      </c>
      <c r="U10" s="123">
        <f>IF(Tab.o1[[#This Row],[a1]]=1,Tab.o1[[#This Row],[z+]]*_xlfn.STDEV.P(Tab.o1[B])+AVERAGE(Tab.o1[B]),"")</f>
        <v>836.95135896330157</v>
      </c>
      <c r="V10" s="124">
        <f>IF(Tab.o1[[#This Row],[a1]]=1,ABS((ABS(Tab.o1[[#This Row],[Red]]-Tab.o1[[#This Row],[Blue]]))),"")</f>
        <v>6.8972820733968092</v>
      </c>
      <c r="W10" s="125">
        <f>IF(Tab.o1[[#This Row],[a1]]=1,IF(W$3=0,1,Tab.o1[[#This Row],[Amp.]]*1/_xlfn.MINIFS(Tab.o1[Amp.],Tab.o1[Amp.],"&lt;&gt;0")),"")</f>
        <v>1</v>
      </c>
      <c r="X10" s="126">
        <f ca="1">IF(Tab.o1[[#This Row],[a1]]=1,IF(ISNUMBER(Tab.o1[[#This Row],[i.]]),NORMDIST(Tab.o1[[#This Row],[Za]],0,1,FALSE)*Tab.o1[[#This Row],[i.]],AP$3),"")</f>
        <v>0.39518260034423008</v>
      </c>
      <c r="Y10" s="126">
        <f ca="1">IF(Tab.o1[[#This Row],[a1]]=1,0.01+0.94*Tab.o1[[#This Row],[PDF]]/MAX(Tab.o1[PDF]),"")</f>
        <v>0.94302952013516705</v>
      </c>
      <c r="Z10" s="126">
        <f>IF(Tab.o1[[#This Row],[a1]]=1,0.01+0.94*Tab.o1[[#This Row],[W1_PDF]]/MAX(Tab.o1[W1_PDF]),"")</f>
        <v>0.95</v>
      </c>
      <c r="AA10" s="118">
        <f>IF(Tab.o1[[#This Row],[a1]]=1,ABS([1]!T.in.A[[#This Row],[oo6]]),"")</f>
        <v>7.1269669999999993E-2</v>
      </c>
      <c r="AB10" s="127">
        <f ca="1">IF(Tab.o1[[#This Row],[a1]]=1,IF(AE$3=0,"",IF(AB$3=0,ABS([1]!T.in.A[[#This Row],[oo9]]),ABS(Tab.o1[[#This Row],[DIF_Target.]]*Tab.o1[[#This Row],[W1_PDF]]))),"")</f>
        <v>3.8713684744004974E-2</v>
      </c>
      <c r="AC10" s="127" t="str">
        <f>IF(G$1=1,"",IF(Tab.o1[[#This Row],[a1]]=1,Tab.o1[[#This Row],[Wr]]^2,""))</f>
        <v/>
      </c>
      <c r="AD10" s="118" t="e">
        <f>IF(Tab.o1[[#This Row],[a1]]=1,IF(AE$3=0,"",Tab.o1[[#This Row],[Wr2]]/SUM(Tab.o1[Wr2])),"")</f>
        <v>#VALUE!</v>
      </c>
      <c r="AE10" s="128">
        <f>IF(Tab.o1[[#This Row],[a1]]=1,[1]!T.in.A[[#This Row],[oo10]],"")</f>
        <v>0.9919173</v>
      </c>
      <c r="AF10" s="118" t="e">
        <f ca="1">IF(Tab.o1[[#This Row],[a1]]=1,ABS(Tab.o1[[#This Row],[DIF_Target.]]*Tab.o1[[#This Row],[PDF2]]*Tab.o1[[#This Row],[IN]]),"")</f>
        <v>#REF!</v>
      </c>
      <c r="AG10" s="129" t="e">
        <f ca="1">IF(Tab.o1[[#This Row],[a1]]=1,Tab.o1[[#This Row],[rW]]^2,"")</f>
        <v>#REF!</v>
      </c>
      <c r="AH10" s="130" t="e">
        <f ca="1">IF(Tab.o1[[#This Row],[a1]]=1,IF(AH$3=0,Tab.o1[[#This Row],[rW2]],0.01+0.94*Tab.o1[[#This Row],[rW2]]/SUM(Tab.o1[rW2])),"")</f>
        <v>#REF!</v>
      </c>
      <c r="AI10" s="128">
        <f ca="1">IF(Tab.o1[[#This Row],[a1]]=1,1/Tab.o1[[#This Row],[PDF]],"")</f>
        <v>2.5304757829138582</v>
      </c>
      <c r="AJ10" s="131" t="e">
        <f>IF(Tab.o1[[#This Row],[a1]]=1,[1]!T_AA[[#This Row],[IN'']]*[1]!T_AA[[#This Row],[Qde'']],"")</f>
        <v>#REF!</v>
      </c>
      <c r="AK10" s="132" t="str">
        <f>IF(Tab.o1[[#This Row],[a1]]=1,IF(AK$1=1,Tab.o1[[#This Row],[MED]]+Tab.o1[[#This Row],[MOD]]-Tab.o1[[#This Row],[MED]],""),"")</f>
        <v/>
      </c>
      <c r="AL10" s="133">
        <f>IF(Tab.o1[[#This Row],[a1]]=1,[1]!T.in.A[[#This Row],[oo16]],"")</f>
        <v>5.3457698999999999E-4</v>
      </c>
      <c r="AM10" s="133">
        <f>IF(Tab.o1[[#This Row],[a1]]=1,IF(AM$3=1,[1]!T.in.A[[#This Row],[Σo16]],""),"")</f>
        <v>1.0333589545278492E-5</v>
      </c>
      <c r="AN10" s="126" t="str">
        <f>IF(Tab.o1[[#This Row],[a1]]=1,[1]!T.in.A[[#This Row],[Σp5]],"")</f>
        <v/>
      </c>
      <c r="AO10" s="126" t="str">
        <f>IF(Tab.o1[[#This Row],[a1]]=1,IF(AO$3=1,[1]!T.in.A[[#This Row],[Σp5]],""),"")</f>
        <v/>
      </c>
      <c r="AP10" s="110">
        <f ca="1">IF(Tab.o1[[#This Row],[a1]]=1,IF(ISNUMBER(Tab.o1[[#This Row],[i.]]),NORMDIST(Tab.o1[[#This Row],[Za]],0,1,FALSE)*Tab.o1[[#This Row],[i.]],0),"")</f>
        <v>0.39518260034423008</v>
      </c>
      <c r="AQ10" s="125">
        <f>IF(Tab.o1[[#This Row],[a1]]=1,ABS(Tab.o1[[#This Row],[MOD]]-AVERAGE(Tab.o1[MOD])),"")</f>
        <v>1.5818359375000455</v>
      </c>
      <c r="AR10" s="134">
        <f>IF(Tab.o1[[#This Row],[a1]]=1,Tab.o1[[#This Row],[OBS]]/SUM(Tab.o1[OBS]),"")</f>
        <v>1.6509244426737166E-2</v>
      </c>
      <c r="AS10" s="135">
        <f>IF(ISNUMBER(Tab.o1[[#This Row],[a1]]),ROW()-4,"")</f>
        <v>6</v>
      </c>
      <c r="AT10" s="136">
        <f>Tab.o1[[#This Row],[MOD]]</f>
        <v>840.94320000000005</v>
      </c>
      <c r="AU10" s="137">
        <f t="shared" si="1"/>
        <v>840.94320000000005</v>
      </c>
      <c r="AV10" s="138">
        <f t="shared" si="2"/>
        <v>0</v>
      </c>
      <c r="AW10" s="138" t="str">
        <f t="shared" si="3"/>
        <v/>
      </c>
      <c r="AX10" s="139" t="str">
        <f>[1]!T.in.A[[#This Row],[ID_T_manu]]</f>
        <v/>
      </c>
      <c r="AY10" s="140" t="e">
        <f>IF(ISNUMBER(Tab.o1[[#This Row],[a1]]),IF(AND(Tab.o1[[#This Row],[a1]]=1,Tab.o1[[#This Row],[b1]]&lt;=AY$4),#REF!,AY9),"")</f>
        <v>#REF!</v>
      </c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</row>
    <row r="11" spans="1:102" ht="15.75">
      <c r="A11" s="109">
        <v>9.0000000000000002E-6</v>
      </c>
      <c r="B11" s="110">
        <f t="shared" si="0"/>
        <v>11</v>
      </c>
      <c r="C11" s="111">
        <f>IF(C$1=[1]!T.in.A[[#This Row],[oo2]],1,"")</f>
        <v>1</v>
      </c>
      <c r="D11" s="112">
        <f>IF(Tab.o1[[#This Row],[a1]]=1,IF(SUM(C11:C12)=0,0,IF(SUM(C10:C11)=1,1,IF(SUM(C10:C12)&gt;1,D10+1,0))),"")</f>
        <v>7</v>
      </c>
      <c r="E11" s="113" t="str">
        <f>IF(Tab.o1[[#This Row],[a1]]=1,[1]!T.in.A[[#This Row],[oo1]],"")</f>
        <v>hed7</v>
      </c>
      <c r="F11" s="113" t="str">
        <f>IF(Tab.o1[[#This Row],[a1]]=1,[1]!T.in.A[[#This Row],[pp1]],"")</f>
        <v/>
      </c>
      <c r="G11" s="114">
        <f>IF(Tab.o1[[#This Row],[a1]]=1,G$2+IF(G$1=1,0,Tab.o1[[#This Row],[.x1]])+[1]!T.in.A[[#This Row],[oo3]],"")</f>
        <v>840.3</v>
      </c>
      <c r="H11" s="115">
        <f>IF(Tab.o1[[#This Row],[a1]]=1,IF(H$2=0,0,IF(G$1=1,0,Tab.o1[[#This Row],[.x1]])+[1]!T.in.A[[#This Row],[oo4]]),"")</f>
        <v>840.94029999999998</v>
      </c>
      <c r="I11" s="116">
        <f>IF(Tab.o1[[#This Row],[a1]]=1,IF(J$2=0,Tab.o1[[#This Row],[MED]],Tab.o1[[#This Row],[MOD]]),"")</f>
        <v>840.3</v>
      </c>
      <c r="J11" s="116">
        <f ca="1">IF(Tab.o1[[#This Row],[a1]]=1,((Tab.o1[[#This Row],[DIF_Target.]]-AVERAGE(Tab.o1[DIF_Target.]))/_xlfn.STDEV.P(Tab.o1[DIF_Target.])),"")</f>
        <v>-6.3651762600232531E-2</v>
      </c>
      <c r="K11" s="117">
        <f>IF(Tab.o1[[#This Row],[a1]]=1,IF(J$2=0,Tab.o1[[#This Row],[MOD]]-Tab.o1[[#This Row],[B]],IF(J$2=1,0,-Tab.o1[[#This Row],[MED]])+Tab.o1[[#This Row],[B]]),"")</f>
        <v>0.64030000000002474</v>
      </c>
      <c r="L11" s="117">
        <f ca="1">IF(Tab.o1[[#This Row],[DIF_Target]]=0,IF(L$2=0,Tab.o1[[#This Row],[DIF_Target]],AVERAGE(OFFSET(Tab.o1[[#This Row],[DIF_Target]],1,0,L$3,1)))/3,Tab.o1[[#This Row],[DIF_Target]])</f>
        <v>0.64030000000002474</v>
      </c>
      <c r="M11" s="118">
        <f ca="1">IF(Tab.o1[[#This Row],[a1]]=1,NORMSDIST(Tab.o1[[#This Row],[Za]]),"")</f>
        <v>0.47462375733869239</v>
      </c>
      <c r="N11" s="119">
        <f>IF(Tab.o1[[#This Row],[a1]]=1,((Tab.o1[[#This Row],[MedMod]]-AVERAGE(Tab.o1[MedMod]))/_xlfn.STDEV.P(Tab.o1[MedMod])*H$1205)+G$1205,"")</f>
        <v>0.96414789611826079</v>
      </c>
      <c r="O11" s="141">
        <f>IF(Tab.o1[[#This Row],[a1]]=1,Tab.o1[[#This Row],[Zb]]*_xlfn.STDEV.P(Tab.o1[MedMod])+AVERAGE(Tab.o1[MedMod]),"")</f>
        <v>840.3</v>
      </c>
      <c r="P11" s="117">
        <f ca="1">IF(Tab.o1[[#This Row],[B]]=0,AVERAGE(OFFSET(Tab.o1[[#This Row],[B]],1,0,L$3,1)),Tab.o1[[#This Row],[B]])</f>
        <v>840.3</v>
      </c>
      <c r="Q11" s="121">
        <f>IF(Tab.o1[[#This Row],[a1]]=1,NORMSDIST(Tab.o1[[#This Row],[Zb]]),"")</f>
        <v>0.83251410870559095</v>
      </c>
      <c r="R11" s="122">
        <f>IF(Tab.o1[[#This Row],[a1]]=1,((Tab.o1[[#This Row],[MedMod]]-AVERAGE(Tab.o1[MedMod]))/_xlfn.STDEV.P(Tab.o1[MedMod])*H$1203)+G$1203,"")</f>
        <v>2.964147896118261</v>
      </c>
      <c r="S11" s="122">
        <f>IF(Tab.o1[[#This Row],[a1]]=1,((Tab.o1[[#This Row],[MedMod]]-AVERAGE(Tab.o1[MedMod]))/_xlfn.STDEV.P(Tab.o1[MedMod])*H$1204)+G$1204,"")</f>
        <v>-1.0358521038817392</v>
      </c>
      <c r="T11" s="123">
        <f>IF(Tab.o1[[#This Row],[a1]]=1,Tab.o1[[#This Row],[Z-]]*_xlfn.STDEV.P(Tab.o1[B])+AVERAGE(Tab.o1[B]),"")</f>
        <v>843.74864103669836</v>
      </c>
      <c r="U11" s="123">
        <f>IF(Tab.o1[[#This Row],[a1]]=1,Tab.o1[[#This Row],[z+]]*_xlfn.STDEV.P(Tab.o1[B])+AVERAGE(Tab.o1[B]),"")</f>
        <v>836.85135896330155</v>
      </c>
      <c r="V11" s="124">
        <f>IF(Tab.o1[[#This Row],[a1]]=1,ABS((ABS(Tab.o1[[#This Row],[Red]]-Tab.o1[[#This Row],[Blue]]))),"")</f>
        <v>6.8972820733968092</v>
      </c>
      <c r="W11" s="125">
        <f>IF(Tab.o1[[#This Row],[a1]]=1,IF(W$3=0,1,Tab.o1[[#This Row],[Amp.]]*1/_xlfn.MINIFS(Tab.o1[Amp.],Tab.o1[Amp.],"&lt;&gt;0")),"")</f>
        <v>1</v>
      </c>
      <c r="X11" s="126">
        <f ca="1">IF(Tab.o1[[#This Row],[a1]]=1,IF(ISNUMBER(Tab.o1[[#This Row],[i.]]),NORMDIST(Tab.o1[[#This Row],[Za]],0,1,FALSE)*Tab.o1[[#This Row],[i.]],AP$3),"")</f>
        <v>0.39813493175410092</v>
      </c>
      <c r="Y11" s="126">
        <f ca="1">IF(Tab.o1[[#This Row],[a1]]=1,0.01+0.94*Tab.o1[[#This Row],[PDF]]/MAX(Tab.o1[PDF]),"")</f>
        <v>0.95</v>
      </c>
      <c r="Z11" s="126">
        <f>IF(Tab.o1[[#This Row],[a1]]=1,0.01+0.94*Tab.o1[[#This Row],[W1_PDF]]/MAX(Tab.o1[W1_PDF]),"")</f>
        <v>0.95</v>
      </c>
      <c r="AA11" s="118">
        <f>IF(Tab.o1[[#This Row],[a1]]=1,ABS([1]!T.in.A[[#This Row],[oo6]]),"")</f>
        <v>7.1269669999999993E-2</v>
      </c>
      <c r="AB11" s="127">
        <f ca="1">IF(Tab.o1[[#This Row],[a1]]=1,IF(AE$3=0,"",IF(AB$3=0,ABS([1]!T.in.A[[#This Row],[oo9]]),ABS(Tab.o1[[#This Row],[DIF_Target.]]*Tab.o1[[#This Row],[W1_PDF]]))),"")</f>
        <v>4.563396970100176E-2</v>
      </c>
      <c r="AC11" s="127" t="str">
        <f>IF(G$1=1,"",IF(Tab.o1[[#This Row],[a1]]=1,Tab.o1[[#This Row],[Wr]]^2,""))</f>
        <v/>
      </c>
      <c r="AD11" s="118" t="e">
        <f>IF(Tab.o1[[#This Row],[a1]]=1,IF(AE$3=0,"",Tab.o1[[#This Row],[Wr2]]/SUM(Tab.o1[Wr2])),"")</f>
        <v>#VALUE!</v>
      </c>
      <c r="AE11" s="128">
        <f>IF(Tab.o1[[#This Row],[a1]]=1,[1]!T.in.A[[#This Row],[oo10]],"")</f>
        <v>0.9919173</v>
      </c>
      <c r="AF11" s="118" t="e">
        <f ca="1">IF(Tab.o1[[#This Row],[a1]]=1,ABS(Tab.o1[[#This Row],[DIF_Target.]]*Tab.o1[[#This Row],[PDF2]]*Tab.o1[[#This Row],[IN]]),"")</f>
        <v>#REF!</v>
      </c>
      <c r="AG11" s="129" t="e">
        <f ca="1">IF(Tab.o1[[#This Row],[a1]]=1,Tab.o1[[#This Row],[rW]]^2,"")</f>
        <v>#REF!</v>
      </c>
      <c r="AH11" s="130" t="e">
        <f ca="1">IF(Tab.o1[[#This Row],[a1]]=1,IF(AH$3=0,Tab.o1[[#This Row],[rW2]],0.01+0.94*Tab.o1[[#This Row],[rW2]]/SUM(Tab.o1[rW2])),"")</f>
        <v>#REF!</v>
      </c>
      <c r="AI11" s="128">
        <f ca="1">IF(Tab.o1[[#This Row],[a1]]=1,1/Tab.o1[[#This Row],[PDF]],"")</f>
        <v>2.5117112823891259</v>
      </c>
      <c r="AJ11" s="131" t="e">
        <f>IF(Tab.o1[[#This Row],[a1]]=1,[1]!T_AA[[#This Row],[IN'']]*[1]!T_AA[[#This Row],[Qde'']],"")</f>
        <v>#REF!</v>
      </c>
      <c r="AK11" s="132" t="str">
        <f>IF(Tab.o1[[#This Row],[a1]]=1,IF(AK$1=1,Tab.o1[[#This Row],[MED]]+Tab.o1[[#This Row],[MOD]]-Tab.o1[[#This Row],[MED]],""),"")</f>
        <v/>
      </c>
      <c r="AL11" s="133">
        <f>IF(Tab.o1[[#This Row],[a1]]=1,[1]!T.in.A[[#This Row],[oo16]],"")</f>
        <v>5.2364035000000003E-4</v>
      </c>
      <c r="AM11" s="133">
        <f>IF(Tab.o1[[#This Row],[a1]]=1,IF(AM$3=1,[1]!T.in.A[[#This Row],[Σo16]],""),"")</f>
        <v>1.0122179868321625E-5</v>
      </c>
      <c r="AN11" s="126" t="str">
        <f>IF(Tab.o1[[#This Row],[a1]]=1,[1]!T.in.A[[#This Row],[Σp5]],"")</f>
        <v/>
      </c>
      <c r="AO11" s="126" t="str">
        <f>IF(Tab.o1[[#This Row],[a1]]=1,IF(AO$3=1,[1]!T.in.A[[#This Row],[Σp5]],""),"")</f>
        <v/>
      </c>
      <c r="AP11" s="110">
        <f ca="1">IF(Tab.o1[[#This Row],[a1]]=1,IF(ISNUMBER(Tab.o1[[#This Row],[i.]]),NORMDIST(Tab.o1[[#This Row],[Za]],0,1,FALSE)*Tab.o1[[#This Row],[i.]],0),"")</f>
        <v>0.39813493175410092</v>
      </c>
      <c r="AQ11" s="125">
        <f>IF(Tab.o1[[#This Row],[a1]]=1,ABS(Tab.o1[[#This Row],[MOD]]-AVERAGE(Tab.o1[MOD])),"")</f>
        <v>1.5789359374999776</v>
      </c>
      <c r="AR11" s="134">
        <f>IF(Tab.o1[[#This Row],[a1]]=1,Tab.o1[[#This Row],[OBS]]/SUM(Tab.o1[OBS]),"")</f>
        <v>1.6478977818359105E-2</v>
      </c>
      <c r="AS11" s="135">
        <f>IF(ISNUMBER(Tab.o1[[#This Row],[a1]]),ROW()-4,"")</f>
        <v>7</v>
      </c>
      <c r="AT11" s="136">
        <f>Tab.o1[[#This Row],[MOD]]</f>
        <v>840.94029999999998</v>
      </c>
      <c r="AU11" s="137">
        <f t="shared" si="1"/>
        <v>840.94029999999998</v>
      </c>
      <c r="AV11" s="138">
        <f t="shared" si="2"/>
        <v>0</v>
      </c>
      <c r="AW11" s="138" t="str">
        <f t="shared" si="3"/>
        <v/>
      </c>
      <c r="AX11" s="139" t="str">
        <f>[1]!T.in.A[[#This Row],[ID_T_manu]]</f>
        <v/>
      </c>
      <c r="AY11" s="140" t="e">
        <f>IF(ISNUMBER(Tab.o1[[#This Row],[a1]]),IF(AND(Tab.o1[[#This Row],[a1]]=1,Tab.o1[[#This Row],[b1]]&lt;=AY$4),#REF!,AY10),"")</f>
        <v>#REF!</v>
      </c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</row>
    <row r="12" spans="1:102" ht="15.75">
      <c r="A12" s="109">
        <v>2.9999999999999997E-6</v>
      </c>
      <c r="B12" s="110">
        <f t="shared" si="0"/>
        <v>12</v>
      </c>
      <c r="C12" s="111">
        <f>IF(C$1=[1]!T.in.A[[#This Row],[oo2]],1,"")</f>
        <v>1</v>
      </c>
      <c r="D12" s="112">
        <f>IF(Tab.o1[[#This Row],[a1]]=1,IF(SUM(C12:C13)=0,0,IF(SUM(C11:C12)=1,1,IF(SUM(C11:C13)&gt;1,D11+1,0))),"")</f>
        <v>8</v>
      </c>
      <c r="E12" s="113" t="str">
        <f>IF(Tab.o1[[#This Row],[a1]]=1,[1]!T.in.A[[#This Row],[oo1]],"")</f>
        <v>hed8</v>
      </c>
      <c r="F12" s="113" t="str">
        <f>IF(Tab.o1[[#This Row],[a1]]=1,[1]!T.in.A[[#This Row],[pp1]],"")</f>
        <v/>
      </c>
      <c r="G12" s="114">
        <f>IF(Tab.o1[[#This Row],[a1]]=1,G$2+IF(G$1=1,0,Tab.o1[[#This Row],[.x1]])+[1]!T.in.A[[#This Row],[oo3]],"")</f>
        <v>840.1</v>
      </c>
      <c r="H12" s="115">
        <f>IF(Tab.o1[[#This Row],[a1]]=1,IF(H$2=0,0,IF(G$1=1,0,Tab.o1[[#This Row],[.x1]])+[1]!T.in.A[[#This Row],[oo4]]),"")</f>
        <v>840.9357</v>
      </c>
      <c r="I12" s="116">
        <f>IF(Tab.o1[[#This Row],[a1]]=1,IF(J$2=0,Tab.o1[[#This Row],[MED]],Tab.o1[[#This Row],[MOD]]),"")</f>
        <v>840.1</v>
      </c>
      <c r="J12" s="116">
        <f ca="1">IF(Tab.o1[[#This Row],[a1]]=1,((Tab.o1[[#This Row],[DIF_Target.]]-AVERAGE(Tab.o1[DIF_Target.]))/_xlfn.STDEV.P(Tab.o1[DIF_Target.])),"")</f>
        <v>8.5186793592339202E-2</v>
      </c>
      <c r="K12" s="117">
        <f>IF(Tab.o1[[#This Row],[a1]]=1,IF(J$2=0,Tab.o1[[#This Row],[MOD]]-Tab.o1[[#This Row],[B]],IF(J$2=1,0,-Tab.o1[[#This Row],[MED]])+Tab.o1[[#This Row],[B]]),"")</f>
        <v>0.83569999999997435</v>
      </c>
      <c r="L12" s="117">
        <f ca="1">IF(Tab.o1[[#This Row],[DIF_Target]]=0,IF(L$2=0,Tab.o1[[#This Row],[DIF_Target]],AVERAGE(OFFSET(Tab.o1[[#This Row],[DIF_Target]],1,0,L$3,1)))/3,Tab.o1[[#This Row],[DIF_Target]])</f>
        <v>0.83569999999997435</v>
      </c>
      <c r="M12" s="118">
        <f ca="1">IF(Tab.o1[[#This Row],[a1]]=1,NORMSDIST(Tab.o1[[#This Row],[Za]]),"")</f>
        <v>0.53394355519909564</v>
      </c>
      <c r="N12" s="119">
        <f>IF(Tab.o1[[#This Row],[a1]]=1,((Tab.o1[[#This Row],[MedMod]]-AVERAGE(Tab.o1[MedMod]))/_xlfn.STDEV.P(Tab.o1[MedMod])*H$1205)+G$1205,"")</f>
        <v>0.84816017929203713</v>
      </c>
      <c r="O12" s="141">
        <f>IF(Tab.o1[[#This Row],[a1]]=1,Tab.o1[[#This Row],[Zb]]*_xlfn.STDEV.P(Tab.o1[MedMod])+AVERAGE(Tab.o1[MedMod]),"")</f>
        <v>840.1</v>
      </c>
      <c r="P12" s="117">
        <f ca="1">IF(Tab.o1[[#This Row],[B]]=0,AVERAGE(OFFSET(Tab.o1[[#This Row],[B]],1,0,L$3,1)),Tab.o1[[#This Row],[B]])</f>
        <v>840.1</v>
      </c>
      <c r="Q12" s="121">
        <f>IF(Tab.o1[[#This Row],[a1]]=1,NORMSDIST(Tab.o1[[#This Row],[Zb]]),"")</f>
        <v>0.80182561469868197</v>
      </c>
      <c r="R12" s="122">
        <f>IF(Tab.o1[[#This Row],[a1]]=1,((Tab.o1[[#This Row],[MedMod]]-AVERAGE(Tab.o1[MedMod]))/_xlfn.STDEV.P(Tab.o1[MedMod])*H$1203)+G$1203,"")</f>
        <v>2.8481601792920372</v>
      </c>
      <c r="S12" s="122">
        <f>IF(Tab.o1[[#This Row],[a1]]=1,((Tab.o1[[#This Row],[MedMod]]-AVERAGE(Tab.o1[MedMod]))/_xlfn.STDEV.P(Tab.o1[MedMod])*H$1204)+G$1204,"")</f>
        <v>-1.1518398207079628</v>
      </c>
      <c r="T12" s="123">
        <f>IF(Tab.o1[[#This Row],[a1]]=1,Tab.o1[[#This Row],[Z-]]*_xlfn.STDEV.P(Tab.o1[B])+AVERAGE(Tab.o1[B]),"")</f>
        <v>843.54864103669843</v>
      </c>
      <c r="U12" s="123">
        <f>IF(Tab.o1[[#This Row],[a1]]=1,Tab.o1[[#This Row],[z+]]*_xlfn.STDEV.P(Tab.o1[B])+AVERAGE(Tab.o1[B]),"")</f>
        <v>836.65135896330162</v>
      </c>
      <c r="V12" s="124">
        <f>IF(Tab.o1[[#This Row],[a1]]=1,ABS((ABS(Tab.o1[[#This Row],[Red]]-Tab.o1[[#This Row],[Blue]]))),"")</f>
        <v>6.8972820733968092</v>
      </c>
      <c r="W12" s="125">
        <f>IF(Tab.o1[[#This Row],[a1]]=1,IF(W$3=0,1,Tab.o1[[#This Row],[Amp.]]*1/_xlfn.MINIFS(Tab.o1[Amp.],Tab.o1[Amp.],"&lt;&gt;0")),"")</f>
        <v>1</v>
      </c>
      <c r="X12" s="126">
        <f ca="1">IF(Tab.o1[[#This Row],[a1]]=1,IF(ISNUMBER(Tab.o1[[#This Row],[i.]]),NORMDIST(Tab.o1[[#This Row],[Za]],0,1,FALSE)*Tab.o1[[#This Row],[i.]],AP$3),"")</f>
        <v>0.39749738317938144</v>
      </c>
      <c r="Y12" s="126">
        <f ca="1">IF(Tab.o1[[#This Row],[a1]]=1,0.01+0.94*Tab.o1[[#This Row],[PDF]]/MAX(Tab.o1[PDF]),"")</f>
        <v>0.94849474232869757</v>
      </c>
      <c r="Z12" s="126">
        <f>IF(Tab.o1[[#This Row],[a1]]=1,0.01+0.94*Tab.o1[[#This Row],[W1_PDF]]/MAX(Tab.o1[W1_PDF]),"")</f>
        <v>0.95</v>
      </c>
      <c r="AA12" s="118">
        <f>IF(Tab.o1[[#This Row],[a1]]=1,ABS([1]!T.in.A[[#This Row],[oo6]]),"")</f>
        <v>7.1269669999999993E-2</v>
      </c>
      <c r="AB12" s="127">
        <f ca="1">IF(Tab.o1[[#This Row],[a1]]=1,IF(AE$3=0,"",IF(AB$3=0,ABS([1]!T.in.A[[#This Row],[oo9]]),ABS(Tab.o1[[#This Row],[DIF_Target.]]*Tab.o1[[#This Row],[W1_PDF]]))),"")</f>
        <v>5.9560063218998163E-2</v>
      </c>
      <c r="AC12" s="127" t="str">
        <f>IF(G$1=1,"",IF(Tab.o1[[#This Row],[a1]]=1,Tab.o1[[#This Row],[Wr]]^2,""))</f>
        <v/>
      </c>
      <c r="AD12" s="118" t="e">
        <f>IF(Tab.o1[[#This Row],[a1]]=1,IF(AE$3=0,"",Tab.o1[[#This Row],[Wr2]]/SUM(Tab.o1[Wr2])),"")</f>
        <v>#VALUE!</v>
      </c>
      <c r="AE12" s="128">
        <f>IF(Tab.o1[[#This Row],[a1]]=1,[1]!T.in.A[[#This Row],[oo10]],"")</f>
        <v>0.9919173</v>
      </c>
      <c r="AF12" s="118" t="e">
        <f ca="1">IF(Tab.o1[[#This Row],[a1]]=1,ABS(Tab.o1[[#This Row],[DIF_Target.]]*Tab.o1[[#This Row],[PDF2]]*Tab.o1[[#This Row],[IN]]),"")</f>
        <v>#REF!</v>
      </c>
      <c r="AG12" s="129" t="e">
        <f ca="1">IF(Tab.o1[[#This Row],[a1]]=1,Tab.o1[[#This Row],[rW]]^2,"")</f>
        <v>#REF!</v>
      </c>
      <c r="AH12" s="130" t="e">
        <f ca="1">IF(Tab.o1[[#This Row],[a1]]=1,IF(AH$3=0,Tab.o1[[#This Row],[rW2]],0.01+0.94*Tab.o1[[#This Row],[rW2]]/SUM(Tab.o1[rW2])),"")</f>
        <v>#REF!</v>
      </c>
      <c r="AI12" s="128">
        <f ca="1">IF(Tab.o1[[#This Row],[a1]]=1,1/Tab.o1[[#This Row],[PDF]],"")</f>
        <v>2.5157398320499711</v>
      </c>
      <c r="AJ12" s="131" t="e">
        <f>IF(Tab.o1[[#This Row],[a1]]=1,[1]!T_AA[[#This Row],[IN'']]*[1]!T_AA[[#This Row],[Qde'']],"")</f>
        <v>#REF!</v>
      </c>
      <c r="AK12" s="132" t="str">
        <f>IF(Tab.o1[[#This Row],[a1]]=1,IF(AK$1=1,Tab.o1[[#This Row],[MED]]+Tab.o1[[#This Row],[MOD]]-Tab.o1[[#This Row],[MED]],""),"")</f>
        <v/>
      </c>
      <c r="AL12" s="133">
        <f>IF(Tab.o1[[#This Row],[a1]]=1,[1]!T.in.A[[#This Row],[oo16]],"")</f>
        <v>5.2787356999999999E-4</v>
      </c>
      <c r="AM12" s="133">
        <f>IF(Tab.o1[[#This Row],[a1]]=1,IF(AM$3=1,[1]!T.in.A[[#This Row],[Σo16]],""),"")</f>
        <v>1.020400972398912E-5</v>
      </c>
      <c r="AN12" s="126" t="str">
        <f>IF(Tab.o1[[#This Row],[a1]]=1,[1]!T.in.A[[#This Row],[Σp5]],"")</f>
        <v/>
      </c>
      <c r="AO12" s="126" t="str">
        <f>IF(Tab.o1[[#This Row],[a1]]=1,IF(AO$3=1,[1]!T.in.A[[#This Row],[Σp5]],""),"")</f>
        <v/>
      </c>
      <c r="AP12" s="110">
        <f ca="1">IF(Tab.o1[[#This Row],[a1]]=1,IF(ISNUMBER(Tab.o1[[#This Row],[i.]]),NORMDIST(Tab.o1[[#This Row],[Za]],0,1,FALSE)*Tab.o1[[#This Row],[i.]],0),"")</f>
        <v>0.39749738317938144</v>
      </c>
      <c r="AQ12" s="125">
        <f>IF(Tab.o1[[#This Row],[a1]]=1,ABS(Tab.o1[[#This Row],[MOD]]-AVERAGE(Tab.o1[MOD])),"")</f>
        <v>1.5743359374999955</v>
      </c>
      <c r="AR12" s="134">
        <f>IF(Tab.o1[[#This Row],[a1]]=1,Tab.o1[[#This Row],[OBS]]/SUM(Tab.o1[OBS]),"")</f>
        <v>1.6430968715415904E-2</v>
      </c>
      <c r="AS12" s="135">
        <f>IF(ISNUMBER(Tab.o1[[#This Row],[a1]]),ROW()-4,"")</f>
        <v>8</v>
      </c>
      <c r="AT12" s="136">
        <f>Tab.o1[[#This Row],[MOD]]</f>
        <v>840.9357</v>
      </c>
      <c r="AU12" s="137">
        <f t="shared" si="1"/>
        <v>840.9357</v>
      </c>
      <c r="AV12" s="138">
        <f t="shared" si="2"/>
        <v>0</v>
      </c>
      <c r="AW12" s="138" t="str">
        <f t="shared" si="3"/>
        <v/>
      </c>
      <c r="AX12" s="139" t="str">
        <f>[1]!T.in.A[[#This Row],[ID_T_manu]]</f>
        <v/>
      </c>
      <c r="AY12" s="140" t="e">
        <f>IF(ISNUMBER(Tab.o1[[#This Row],[a1]]),IF(AND(Tab.o1[[#This Row],[a1]]=1,Tab.o1[[#This Row],[b1]]&lt;=AY$4),#REF!,AY11),"")</f>
        <v>#REF!</v>
      </c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</row>
    <row r="13" spans="1:102" ht="15.75">
      <c r="A13" s="109">
        <v>-2.9999999999999997E-6</v>
      </c>
      <c r="B13" s="110">
        <f t="shared" si="0"/>
        <v>13</v>
      </c>
      <c r="C13" s="111">
        <f>IF(C$1=[1]!T.in.A[[#This Row],[oo2]],1,"")</f>
        <v>1</v>
      </c>
      <c r="D13" s="112">
        <f>IF(Tab.o1[[#This Row],[a1]]=1,IF(SUM(C13:C14)=0,0,IF(SUM(C12:C13)=1,1,IF(SUM(C12:C14)&gt;1,D12+1,0))),"")</f>
        <v>9</v>
      </c>
      <c r="E13" s="113" t="str">
        <f>IF(Tab.o1[[#This Row],[a1]]=1,[1]!T.in.A[[#This Row],[oo1]],"")</f>
        <v>hed9</v>
      </c>
      <c r="F13" s="113" t="str">
        <f>IF(Tab.o1[[#This Row],[a1]]=1,[1]!T.in.A[[#This Row],[pp1]],"")</f>
        <v/>
      </c>
      <c r="G13" s="114">
        <f>IF(Tab.o1[[#This Row],[a1]]=1,G$2+IF(G$1=1,0,Tab.o1[[#This Row],[.x1]])+[1]!T.in.A[[#This Row],[oo3]],"")</f>
        <v>839.9</v>
      </c>
      <c r="H13" s="115">
        <f>IF(Tab.o1[[#This Row],[a1]]=1,IF(H$2=0,0,IF(G$1=1,0,Tab.o1[[#This Row],[.x1]])+[1]!T.in.A[[#This Row],[oo4]]),"")</f>
        <v>840.92989999999998</v>
      </c>
      <c r="I13" s="116">
        <f>IF(Tab.o1[[#This Row],[a1]]=1,IF(J$2=0,Tab.o1[[#This Row],[MED]],Tab.o1[[#This Row],[MOD]]),"")</f>
        <v>839.9</v>
      </c>
      <c r="J13" s="116">
        <f ca="1">IF(Tab.o1[[#This Row],[a1]]=1,((Tab.o1[[#This Row],[DIF_Target.]]-AVERAGE(Tab.o1[DIF_Target.]))/_xlfn.STDEV.P(Tab.o1[DIF_Target.])),"")</f>
        <v>0.23311129519217735</v>
      </c>
      <c r="K13" s="117">
        <f>IF(Tab.o1[[#This Row],[a1]]=1,IF(J$2=0,Tab.o1[[#This Row],[MOD]]-Tab.o1[[#This Row],[B]],IF(J$2=1,0,-Tab.o1[[#This Row],[MED]])+Tab.o1[[#This Row],[B]]),"")</f>
        <v>1.0298999999999978</v>
      </c>
      <c r="L13" s="117">
        <f ca="1">IF(Tab.o1[[#This Row],[DIF_Target]]=0,IF(L$2=0,Tab.o1[[#This Row],[DIF_Target]],AVERAGE(OFFSET(Tab.o1[[#This Row],[DIF_Target]],1,0,L$3,1)))/3,Tab.o1[[#This Row],[DIF_Target]])</f>
        <v>1.0298999999999978</v>
      </c>
      <c r="M13" s="118">
        <f ca="1">IF(Tab.o1[[#This Row],[a1]]=1,NORMSDIST(Tab.o1[[#This Row],[Za]]),"")</f>
        <v>0.59216250789837921</v>
      </c>
      <c r="N13" s="119">
        <f>IF(Tab.o1[[#This Row],[a1]]=1,((Tab.o1[[#This Row],[MedMod]]-AVERAGE(Tab.o1[MedMod]))/_xlfn.STDEV.P(Tab.o1[MedMod])*H$1205)+G$1205,"")</f>
        <v>0.73217246246574741</v>
      </c>
      <c r="O13" s="141">
        <f>IF(Tab.o1[[#This Row],[a1]]=1,Tab.o1[[#This Row],[Zb]]*_xlfn.STDEV.P(Tab.o1[MedMod])+AVERAGE(Tab.o1[MedMod]),"")</f>
        <v>839.9</v>
      </c>
      <c r="P13" s="117">
        <f ca="1">IF(Tab.o1[[#This Row],[B]]=0,AVERAGE(OFFSET(Tab.o1[[#This Row],[B]],1,0,L$3,1)),Tab.o1[[#This Row],[B]])</f>
        <v>839.9</v>
      </c>
      <c r="Q13" s="121">
        <f>IF(Tab.o1[[#This Row],[a1]]=1,NORMSDIST(Tab.o1[[#This Row],[Zb]]),"")</f>
        <v>0.76796834504293576</v>
      </c>
      <c r="R13" s="122">
        <f>IF(Tab.o1[[#This Row],[a1]]=1,((Tab.o1[[#This Row],[MedMod]]-AVERAGE(Tab.o1[MedMod]))/_xlfn.STDEV.P(Tab.o1[MedMod])*H$1203)+G$1203,"")</f>
        <v>2.7321724624657473</v>
      </c>
      <c r="S13" s="122">
        <f>IF(Tab.o1[[#This Row],[a1]]=1,((Tab.o1[[#This Row],[MedMod]]-AVERAGE(Tab.o1[MedMod]))/_xlfn.STDEV.P(Tab.o1[MedMod])*H$1204)+G$1204,"")</f>
        <v>-1.2678275375342527</v>
      </c>
      <c r="T13" s="123">
        <f>IF(Tab.o1[[#This Row],[a1]]=1,Tab.o1[[#This Row],[Z-]]*_xlfn.STDEV.P(Tab.o1[B])+AVERAGE(Tab.o1[B]),"")</f>
        <v>843.34864103669838</v>
      </c>
      <c r="U13" s="123">
        <f>IF(Tab.o1[[#This Row],[a1]]=1,Tab.o1[[#This Row],[z+]]*_xlfn.STDEV.P(Tab.o1[B])+AVERAGE(Tab.o1[B]),"")</f>
        <v>836.45135896330157</v>
      </c>
      <c r="V13" s="124">
        <f>IF(Tab.o1[[#This Row],[a1]]=1,ABS((ABS(Tab.o1[[#This Row],[Red]]-Tab.o1[[#This Row],[Blue]]))),"")</f>
        <v>6.8972820733968092</v>
      </c>
      <c r="W13" s="125">
        <f>IF(Tab.o1[[#This Row],[a1]]=1,IF(W$3=0,1,Tab.o1[[#This Row],[Amp.]]*1/_xlfn.MINIFS(Tab.o1[Amp.],Tab.o1[Amp.],"&lt;&gt;0")),"")</f>
        <v>1</v>
      </c>
      <c r="X13" s="126">
        <f ca="1">IF(Tab.o1[[#This Row],[a1]]=1,IF(ISNUMBER(Tab.o1[[#This Row],[i.]]),NORMDIST(Tab.o1[[#This Row],[Za]],0,1,FALSE)*Tab.o1[[#This Row],[i.]],AP$3),"")</f>
        <v>0.38824877537430058</v>
      </c>
      <c r="Y13" s="126">
        <f ca="1">IF(Tab.o1[[#This Row],[a1]]=1,0.01+0.94*Tab.o1[[#This Row],[PDF]]/MAX(Tab.o1[PDF]),"")</f>
        <v>0.92665869971250869</v>
      </c>
      <c r="Z13" s="126">
        <f>IF(Tab.o1[[#This Row],[a1]]=1,0.01+0.94*Tab.o1[[#This Row],[W1_PDF]]/MAX(Tab.o1[W1_PDF]),"")</f>
        <v>0.95</v>
      </c>
      <c r="AA13" s="118">
        <f>IF(Tab.o1[[#This Row],[a1]]=1,ABS([1]!T.in.A[[#This Row],[oo6]]),"")</f>
        <v>7.1269669999999993E-2</v>
      </c>
      <c r="AB13" s="127">
        <f ca="1">IF(Tab.o1[[#This Row],[a1]]=1,IF(AE$3=0,"",IF(AB$3=0,ABS([1]!T.in.A[[#This Row],[oo9]]),ABS(Tab.o1[[#This Row],[DIF_Target.]]*Tab.o1[[#This Row],[W1_PDF]]))),"")</f>
        <v>7.340063313299984E-2</v>
      </c>
      <c r="AC13" s="127" t="str">
        <f>IF(G$1=1,"",IF(Tab.o1[[#This Row],[a1]]=1,Tab.o1[[#This Row],[Wr]]^2,""))</f>
        <v/>
      </c>
      <c r="AD13" s="118" t="e">
        <f>IF(Tab.o1[[#This Row],[a1]]=1,IF(AE$3=0,"",Tab.o1[[#This Row],[Wr2]]/SUM(Tab.o1[Wr2])),"")</f>
        <v>#VALUE!</v>
      </c>
      <c r="AE13" s="128">
        <f>IF(Tab.o1[[#This Row],[a1]]=1,[1]!T.in.A[[#This Row],[oo10]],"")</f>
        <v>0.9919173</v>
      </c>
      <c r="AF13" s="118" t="e">
        <f ca="1">IF(Tab.o1[[#This Row],[a1]]=1,ABS(Tab.o1[[#This Row],[DIF_Target.]]*Tab.o1[[#This Row],[PDF2]]*Tab.o1[[#This Row],[IN]]),"")</f>
        <v>#REF!</v>
      </c>
      <c r="AG13" s="129" t="e">
        <f ca="1">IF(Tab.o1[[#This Row],[a1]]=1,Tab.o1[[#This Row],[rW]]^2,"")</f>
        <v>#REF!</v>
      </c>
      <c r="AH13" s="130" t="e">
        <f ca="1">IF(Tab.o1[[#This Row],[a1]]=1,IF(AH$3=0,Tab.o1[[#This Row],[rW2]],0.01+0.94*Tab.o1[[#This Row],[rW2]]/SUM(Tab.o1[rW2])),"")</f>
        <v>#REF!</v>
      </c>
      <c r="AI13" s="128">
        <f ca="1">IF(Tab.o1[[#This Row],[a1]]=1,1/Tab.o1[[#This Row],[PDF]],"")</f>
        <v>2.5756681371008212</v>
      </c>
      <c r="AJ13" s="131" t="e">
        <f>IF(Tab.o1[[#This Row],[a1]]=1,[1]!T_AA[[#This Row],[IN'']]*[1]!T_AA[[#This Row],[Qde'']],"")</f>
        <v>#REF!</v>
      </c>
      <c r="AK13" s="132" t="str">
        <f>IF(Tab.o1[[#This Row],[a1]]=1,IF(AK$1=1,Tab.o1[[#This Row],[MED]]+Tab.o1[[#This Row],[MOD]]-Tab.o1[[#This Row],[MED]],""),"")</f>
        <v/>
      </c>
      <c r="AL13" s="133">
        <f>IF(Tab.o1[[#This Row],[a1]]=1,[1]!T.in.A[[#This Row],[oo16]],"")</f>
        <v>5.3623975999999999E-4</v>
      </c>
      <c r="AM13" s="133">
        <f>IF(Tab.o1[[#This Row],[a1]]=1,IF(AM$3=1,[1]!T.in.A[[#This Row],[Σo16]],""),"")</f>
        <v>1.0365731562255696E-5</v>
      </c>
      <c r="AN13" s="126" t="str">
        <f>IF(Tab.o1[[#This Row],[a1]]=1,[1]!T.in.A[[#This Row],[Σp5]],"")</f>
        <v/>
      </c>
      <c r="AO13" s="126" t="str">
        <f>IF(Tab.o1[[#This Row],[a1]]=1,IF(AO$3=1,[1]!T.in.A[[#This Row],[Σp5]],""),"")</f>
        <v/>
      </c>
      <c r="AP13" s="110">
        <f ca="1">IF(Tab.o1[[#This Row],[a1]]=1,IF(ISNUMBER(Tab.o1[[#This Row],[i.]]),NORMDIST(Tab.o1[[#This Row],[Za]],0,1,FALSE)*Tab.o1[[#This Row],[i.]],0),"")</f>
        <v>0.38824877537430058</v>
      </c>
      <c r="AQ13" s="125">
        <f>IF(Tab.o1[[#This Row],[a1]]=1,ABS(Tab.o1[[#This Row],[MOD]]-AVERAGE(Tab.o1[MOD])),"")</f>
        <v>1.5685359374999734</v>
      </c>
      <c r="AR13" s="134">
        <f>IF(Tab.o1[[#This Row],[a1]]=1,Tab.o1[[#This Row],[OBS]]/SUM(Tab.o1[OBS]),"")</f>
        <v>1.6370435498660966E-2</v>
      </c>
      <c r="AS13" s="135">
        <f>IF(ISNUMBER(Tab.o1[[#This Row],[a1]]),ROW()-4,"")</f>
        <v>9</v>
      </c>
      <c r="AT13" s="136">
        <f>Tab.o1[[#This Row],[MOD]]</f>
        <v>840.92989999999998</v>
      </c>
      <c r="AU13" s="137">
        <f t="shared" si="1"/>
        <v>840.92989999999998</v>
      </c>
      <c r="AV13" s="138">
        <f t="shared" si="2"/>
        <v>0</v>
      </c>
      <c r="AW13" s="138" t="str">
        <f t="shared" si="3"/>
        <v/>
      </c>
      <c r="AX13" s="139" t="str">
        <f>[1]!T.in.A[[#This Row],[ID_T_manu]]</f>
        <v/>
      </c>
      <c r="AY13" s="140" t="e">
        <f>IF(ISNUMBER(Tab.o1[[#This Row],[a1]]),IF(AND(Tab.o1[[#This Row],[a1]]=1,Tab.o1[[#This Row],[b1]]&lt;=AY$4),#REF!,AY12),"")</f>
        <v>#REF!</v>
      </c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</row>
    <row r="14" spans="1:102" ht="15.75">
      <c r="A14" s="109">
        <v>-4.0000000000000007E-6</v>
      </c>
      <c r="B14" s="110">
        <f t="shared" si="0"/>
        <v>14</v>
      </c>
      <c r="C14" s="111">
        <f>IF(C$1=[1]!T.in.A[[#This Row],[oo2]],1,"")</f>
        <v>1</v>
      </c>
      <c r="D14" s="112">
        <f>IF(Tab.o1[[#This Row],[a1]]=1,IF(SUM(C14:C15)=0,0,IF(SUM(C13:C14)=1,1,IF(SUM(C13:C15)&gt;1,D13+1,0))),"")</f>
        <v>10</v>
      </c>
      <c r="E14" s="113" t="str">
        <f>IF(Tab.o1[[#This Row],[a1]]=1,[1]!T.in.A[[#This Row],[oo1]],"")</f>
        <v>hed10</v>
      </c>
      <c r="F14" s="113" t="str">
        <f>IF(Tab.o1[[#This Row],[a1]]=1,[1]!T.in.A[[#This Row],[pp1]],"")</f>
        <v/>
      </c>
      <c r="G14" s="114">
        <f>IF(Tab.o1[[#This Row],[a1]]=1,G$2+IF(G$1=1,0,Tab.o1[[#This Row],[.x1]])+[1]!T.in.A[[#This Row],[oo3]],"")</f>
        <v>839.8</v>
      </c>
      <c r="H14" s="115">
        <f>IF(Tab.o1[[#This Row],[a1]]=1,IF(H$2=0,0,IF(G$1=1,0,Tab.o1[[#This Row],[.x1]])+[1]!T.in.A[[#This Row],[oo4]]),"")</f>
        <v>840.92409999999995</v>
      </c>
      <c r="I14" s="116">
        <f>IF(Tab.o1[[#This Row],[a1]]=1,IF(J$2=0,Tab.o1[[#This Row],[MED]],Tab.o1[[#This Row],[MOD]]),"")</f>
        <v>839.8</v>
      </c>
      <c r="J14" s="116">
        <f ca="1">IF(Tab.o1[[#This Row],[a1]]=1,((Tab.o1[[#This Row],[DIF_Target.]]-AVERAGE(Tab.o1[DIF_Target.]))/_xlfn.STDEV.P(Tab.o1[DIF_Target.])),"")</f>
        <v>0.30486458072617928</v>
      </c>
      <c r="K14" s="117">
        <f>IF(Tab.o1[[#This Row],[a1]]=1,IF(J$2=0,Tab.o1[[#This Row],[MOD]]-Tab.o1[[#This Row],[B]],IF(J$2=1,0,-Tab.o1[[#This Row],[MED]])+Tab.o1[[#This Row],[B]]),"")</f>
        <v>1.1240999999999985</v>
      </c>
      <c r="L14" s="117">
        <f ca="1">IF(Tab.o1[[#This Row],[DIF_Target]]=0,IF(L$2=0,Tab.o1[[#This Row],[DIF_Target]],AVERAGE(OFFSET(Tab.o1[[#This Row],[DIF_Target]],1,0,L$3,1)))/3,Tab.o1[[#This Row],[DIF_Target]])</f>
        <v>1.1240999999999985</v>
      </c>
      <c r="M14" s="118">
        <f ca="1">IF(Tab.o1[[#This Row],[a1]]=1,NORMSDIST(Tab.o1[[#This Row],[Za]]),"")</f>
        <v>0.61976535357175244</v>
      </c>
      <c r="N14" s="119">
        <f>IF(Tab.o1[[#This Row],[a1]]=1,((Tab.o1[[#This Row],[MedMod]]-AVERAGE(Tab.o1[MedMod]))/_xlfn.STDEV.P(Tab.o1[MedMod])*H$1205)+G$1205,"")</f>
        <v>0.67417860405260266</v>
      </c>
      <c r="O14" s="141">
        <f>IF(Tab.o1[[#This Row],[a1]]=1,Tab.o1[[#This Row],[Zb]]*_xlfn.STDEV.P(Tab.o1[MedMod])+AVERAGE(Tab.o1[MedMod]),"")</f>
        <v>839.8</v>
      </c>
      <c r="P14" s="117">
        <f ca="1">IF(Tab.o1[[#This Row],[B]]=0,AVERAGE(OFFSET(Tab.o1[[#This Row],[B]],1,0,L$3,1)),Tab.o1[[#This Row],[B]])</f>
        <v>839.8</v>
      </c>
      <c r="Q14" s="121">
        <f>IF(Tab.o1[[#This Row],[a1]]=1,NORMSDIST(Tab.o1[[#This Row],[Zb]]),"")</f>
        <v>0.74990111467060072</v>
      </c>
      <c r="R14" s="122">
        <f>IF(Tab.o1[[#This Row],[a1]]=1,((Tab.o1[[#This Row],[MedMod]]-AVERAGE(Tab.o1[MedMod]))/_xlfn.STDEV.P(Tab.o1[MedMod])*H$1203)+G$1203,"")</f>
        <v>2.6741786040526025</v>
      </c>
      <c r="S14" s="122">
        <f>IF(Tab.o1[[#This Row],[a1]]=1,((Tab.o1[[#This Row],[MedMod]]-AVERAGE(Tab.o1[MedMod]))/_xlfn.STDEV.P(Tab.o1[MedMod])*H$1204)+G$1204,"")</f>
        <v>-1.3258213959473975</v>
      </c>
      <c r="T14" s="123">
        <f>IF(Tab.o1[[#This Row],[a1]]=1,Tab.o1[[#This Row],[Z-]]*_xlfn.STDEV.P(Tab.o1[B])+AVERAGE(Tab.o1[B]),"")</f>
        <v>843.24864103669836</v>
      </c>
      <c r="U14" s="123">
        <f>IF(Tab.o1[[#This Row],[a1]]=1,Tab.o1[[#This Row],[z+]]*_xlfn.STDEV.P(Tab.o1[B])+AVERAGE(Tab.o1[B]),"")</f>
        <v>836.35135896330155</v>
      </c>
      <c r="V14" s="124">
        <f>IF(Tab.o1[[#This Row],[a1]]=1,ABS((ABS(Tab.o1[[#This Row],[Red]]-Tab.o1[[#This Row],[Blue]]))),"")</f>
        <v>6.8972820733968092</v>
      </c>
      <c r="W14" s="125">
        <f>IF(Tab.o1[[#This Row],[a1]]=1,IF(W$3=0,1,Tab.o1[[#This Row],[Amp.]]*1/_xlfn.MINIFS(Tab.o1[Amp.],Tab.o1[Amp.],"&lt;&gt;0")),"")</f>
        <v>1</v>
      </c>
      <c r="X14" s="126">
        <f ca="1">IF(Tab.o1[[#This Row],[a1]]=1,IF(ISNUMBER(Tab.o1[[#This Row],[i.]]),NORMDIST(Tab.o1[[#This Row],[Za]],0,1,FALSE)*Tab.o1[[#This Row],[i.]],AP$3),"")</f>
        <v>0.38082712785193201</v>
      </c>
      <c r="Y14" s="126">
        <f ca="1">IF(Tab.o1[[#This Row],[a1]]=1,0.01+0.94*Tab.o1[[#This Row],[PDF]]/MAX(Tab.o1[PDF]),"")</f>
        <v>0.90913612604561123</v>
      </c>
      <c r="Z14" s="126">
        <f>IF(Tab.o1[[#This Row],[a1]]=1,0.01+0.94*Tab.o1[[#This Row],[W1_PDF]]/MAX(Tab.o1[W1_PDF]),"")</f>
        <v>0.95</v>
      </c>
      <c r="AA14" s="118">
        <f>IF(Tab.o1[[#This Row],[a1]]=1,ABS([1]!T.in.A[[#This Row],[oo6]]),"")</f>
        <v>7.1269669999999993E-2</v>
      </c>
      <c r="AB14" s="127">
        <f ca="1">IF(Tab.o1[[#This Row],[a1]]=1,IF(AE$3=0,"",IF(AB$3=0,ABS([1]!T.in.A[[#This Row],[oo9]]),ABS(Tab.o1[[#This Row],[DIF_Target.]]*Tab.o1[[#This Row],[W1_PDF]]))),"")</f>
        <v>8.0114236046999895E-2</v>
      </c>
      <c r="AC14" s="127" t="str">
        <f>IF(G$1=1,"",IF(Tab.o1[[#This Row],[a1]]=1,Tab.o1[[#This Row],[Wr]]^2,""))</f>
        <v/>
      </c>
      <c r="AD14" s="118" t="e">
        <f>IF(Tab.o1[[#This Row],[a1]]=1,IF(AE$3=0,"",Tab.o1[[#This Row],[Wr2]]/SUM(Tab.o1[Wr2])),"")</f>
        <v>#VALUE!</v>
      </c>
      <c r="AE14" s="128">
        <f>IF(Tab.o1[[#This Row],[a1]]=1,[1]!T.in.A[[#This Row],[oo10]],"")</f>
        <v>0.9919173</v>
      </c>
      <c r="AF14" s="118" t="e">
        <f ca="1">IF(Tab.o1[[#This Row],[a1]]=1,ABS(Tab.o1[[#This Row],[DIF_Target.]]*Tab.o1[[#This Row],[PDF2]]*Tab.o1[[#This Row],[IN]]),"")</f>
        <v>#REF!</v>
      </c>
      <c r="AG14" s="129" t="e">
        <f ca="1">IF(Tab.o1[[#This Row],[a1]]=1,Tab.o1[[#This Row],[rW]]^2,"")</f>
        <v>#REF!</v>
      </c>
      <c r="AH14" s="130" t="e">
        <f ca="1">IF(Tab.o1[[#This Row],[a1]]=1,IF(AH$3=0,Tab.o1[[#This Row],[rW2]],0.01+0.94*Tab.o1[[#This Row],[rW2]]/SUM(Tab.o1[rW2])),"")</f>
        <v>#REF!</v>
      </c>
      <c r="AI14" s="128">
        <f ca="1">IF(Tab.o1[[#This Row],[a1]]=1,1/Tab.o1[[#This Row],[PDF]],"")</f>
        <v>2.6258633560075748</v>
      </c>
      <c r="AJ14" s="131" t="e">
        <f>IF(Tab.o1[[#This Row],[a1]]=1,[1]!T_AA[[#This Row],[IN'']]*[1]!T_AA[[#This Row],[Qde'']],"")</f>
        <v>#REF!</v>
      </c>
      <c r="AK14" s="132" t="str">
        <f>IF(Tab.o1[[#This Row],[a1]]=1,IF(AK$1=1,Tab.o1[[#This Row],[MED]]+Tab.o1[[#This Row],[MOD]]-Tab.o1[[#This Row],[MED]],""),"")</f>
        <v/>
      </c>
      <c r="AL14" s="133">
        <f>IF(Tab.o1[[#This Row],[a1]]=1,[1]!T.in.A[[#This Row],[oo16]],"")</f>
        <v>5.3457698999999999E-4</v>
      </c>
      <c r="AM14" s="133">
        <f>IF(Tab.o1[[#This Row],[a1]]=1,IF(AM$3=1,[1]!T.in.A[[#This Row],[Σo16]],""),"")</f>
        <v>1.0333589545278492E-5</v>
      </c>
      <c r="AN14" s="126" t="str">
        <f>IF(Tab.o1[[#This Row],[a1]]=1,[1]!T.in.A[[#This Row],[Σp5]],"")</f>
        <v/>
      </c>
      <c r="AO14" s="126" t="str">
        <f>IF(Tab.o1[[#This Row],[a1]]=1,IF(AO$3=1,[1]!T.in.A[[#This Row],[Σp5]],""),"")</f>
        <v/>
      </c>
      <c r="AP14" s="110">
        <f ca="1">IF(Tab.o1[[#This Row],[a1]]=1,IF(ISNUMBER(Tab.o1[[#This Row],[i.]]),NORMDIST(Tab.o1[[#This Row],[Za]],0,1,FALSE)*Tab.o1[[#This Row],[i.]],0),"")</f>
        <v>0.38082712785193201</v>
      </c>
      <c r="AQ14" s="125">
        <f>IF(Tab.o1[[#This Row],[a1]]=1,ABS(Tab.o1[[#This Row],[MOD]]-AVERAGE(Tab.o1[MOD])),"")</f>
        <v>1.5627359374999514</v>
      </c>
      <c r="AR14" s="134">
        <f>IF(Tab.o1[[#This Row],[a1]]=1,Tab.o1[[#This Row],[OBS]]/SUM(Tab.o1[OBS]),"")</f>
        <v>1.6309902281906031E-2</v>
      </c>
      <c r="AS14" s="135">
        <f>IF(ISNUMBER(Tab.o1[[#This Row],[a1]]),ROW()-4,"")</f>
        <v>10</v>
      </c>
      <c r="AT14" s="136">
        <f>Tab.o1[[#This Row],[MOD]]</f>
        <v>840.92409999999995</v>
      </c>
      <c r="AU14" s="137">
        <f t="shared" si="1"/>
        <v>840.92409999999995</v>
      </c>
      <c r="AV14" s="138">
        <f t="shared" si="2"/>
        <v>0</v>
      </c>
      <c r="AW14" s="138" t="str">
        <f t="shared" si="3"/>
        <v/>
      </c>
      <c r="AX14" s="139" t="str">
        <f>[1]!T.in.A[[#This Row],[ID_T_manu]]</f>
        <v/>
      </c>
      <c r="AY14" s="140" t="e">
        <f>IF(ISNUMBER(Tab.o1[[#This Row],[a1]]),IF(AND(Tab.o1[[#This Row],[a1]]=1,Tab.o1[[#This Row],[b1]]&lt;=AY$4),#REF!,AY13),"")</f>
        <v>#REF!</v>
      </c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</row>
    <row r="15" spans="1:102" ht="15.75">
      <c r="A15" s="109">
        <v>5.0000000000000004E-6</v>
      </c>
      <c r="B15" s="110">
        <f t="shared" si="0"/>
        <v>15</v>
      </c>
      <c r="C15" s="111">
        <f>IF(C$1=[1]!T.in.A[[#This Row],[oo2]],1,"")</f>
        <v>1</v>
      </c>
      <c r="D15" s="112">
        <f>IF(Tab.o1[[#This Row],[a1]]=1,IF(SUM(C15:C16)=0,0,IF(SUM(C14:C15)=1,1,IF(SUM(C14:C16)&gt;1,D14+1,0))),"")</f>
        <v>11</v>
      </c>
      <c r="E15" s="113" t="str">
        <f>IF(Tab.o1[[#This Row],[a1]]=1,[1]!T.in.A[[#This Row],[oo1]],"")</f>
        <v>hed11</v>
      </c>
      <c r="F15" s="113" t="str">
        <f>IF(Tab.o1[[#This Row],[a1]]=1,[1]!T.in.A[[#This Row],[pp1]],"")</f>
        <v/>
      </c>
      <c r="G15" s="114">
        <f>IF(Tab.o1[[#This Row],[a1]]=1,G$2+IF(G$1=1,0,Tab.o1[[#This Row],[.x1]])+[1]!T.in.A[[#This Row],[oo3]],"")</f>
        <v>839.5</v>
      </c>
      <c r="H15" s="115">
        <f>IF(Tab.o1[[#This Row],[a1]]=1,IF(H$2=0,0,IF(G$1=1,0,Tab.o1[[#This Row],[.x1]])+[1]!T.in.A[[#This Row],[oo4]]),"")</f>
        <v>840.91250000000002</v>
      </c>
      <c r="I15" s="116">
        <f>IF(Tab.o1[[#This Row],[a1]]=1,IF(J$2=0,Tab.o1[[#This Row],[MED]],Tab.o1[[#This Row],[MOD]]),"")</f>
        <v>839.5</v>
      </c>
      <c r="J15" s="116">
        <f ca="1">IF(Tab.o1[[#This Row],[a1]]=1,((Tab.o1[[#This Row],[DIF_Target.]]-AVERAGE(Tab.o1[DIF_Target.]))/_xlfn.STDEV.P(Tab.o1[DIF_Target.])),"")</f>
        <v>0.5245423678600194</v>
      </c>
      <c r="K15" s="117">
        <f>IF(Tab.o1[[#This Row],[a1]]=1,IF(J$2=0,Tab.o1[[#This Row],[MOD]]-Tab.o1[[#This Row],[B]],IF(J$2=1,0,-Tab.o1[[#This Row],[MED]])+Tab.o1[[#This Row],[B]]),"")</f>
        <v>1.4125000000000227</v>
      </c>
      <c r="L15" s="117">
        <f ca="1">IF(Tab.o1[[#This Row],[DIF_Target]]=0,IF(L$2=0,Tab.o1[[#This Row],[DIF_Target]],AVERAGE(OFFSET(Tab.o1[[#This Row],[DIF_Target]],1,0,L$3,1)))/3,Tab.o1[[#This Row],[DIF_Target]])</f>
        <v>1.4125000000000227</v>
      </c>
      <c r="M15" s="118">
        <f ca="1">IF(Tab.o1[[#This Row],[a1]]=1,NORMSDIST(Tab.o1[[#This Row],[Za]]),"")</f>
        <v>0.70004932015400478</v>
      </c>
      <c r="N15" s="119">
        <f>IF(Tab.o1[[#This Row],[a1]]=1,((Tab.o1[[#This Row],[MedMod]]-AVERAGE(Tab.o1[MedMod]))/_xlfn.STDEV.P(Tab.o1[MedMod])*H$1205)+G$1205,"")</f>
        <v>0.50019702881323402</v>
      </c>
      <c r="O15" s="141">
        <f>IF(Tab.o1[[#This Row],[a1]]=1,Tab.o1[[#This Row],[Zb]]*_xlfn.STDEV.P(Tab.o1[MedMod])+AVERAGE(Tab.o1[MedMod]),"")</f>
        <v>839.5</v>
      </c>
      <c r="P15" s="117">
        <f ca="1">IF(Tab.o1[[#This Row],[B]]=0,AVERAGE(OFFSET(Tab.o1[[#This Row],[B]],1,0,L$3,1)),Tab.o1[[#This Row],[B]])</f>
        <v>839.5</v>
      </c>
      <c r="Q15" s="121">
        <f>IF(Tab.o1[[#This Row],[a1]]=1,NORMSDIST(Tab.o1[[#This Row],[Zb]]),"")</f>
        <v>0.69153182487036469</v>
      </c>
      <c r="R15" s="122">
        <f>IF(Tab.o1[[#This Row],[a1]]=1,((Tab.o1[[#This Row],[MedMod]]-AVERAGE(Tab.o1[MedMod]))/_xlfn.STDEV.P(Tab.o1[MedMod])*H$1203)+G$1203,"")</f>
        <v>2.500197028813234</v>
      </c>
      <c r="S15" s="122">
        <f>IF(Tab.o1[[#This Row],[a1]]=1,((Tab.o1[[#This Row],[MedMod]]-AVERAGE(Tab.o1[MedMod]))/_xlfn.STDEV.P(Tab.o1[MedMod])*H$1204)+G$1204,"")</f>
        <v>-1.499802971186766</v>
      </c>
      <c r="T15" s="123">
        <f>IF(Tab.o1[[#This Row],[a1]]=1,Tab.o1[[#This Row],[Z-]]*_xlfn.STDEV.P(Tab.o1[B])+AVERAGE(Tab.o1[B]),"")</f>
        <v>842.9486410366984</v>
      </c>
      <c r="U15" s="123">
        <f>IF(Tab.o1[[#This Row],[a1]]=1,Tab.o1[[#This Row],[z+]]*_xlfn.STDEV.P(Tab.o1[B])+AVERAGE(Tab.o1[B]),"")</f>
        <v>836.0513589633016</v>
      </c>
      <c r="V15" s="124">
        <f>IF(Tab.o1[[#This Row],[a1]]=1,ABS((ABS(Tab.o1[[#This Row],[Red]]-Tab.o1[[#This Row],[Blue]]))),"")</f>
        <v>6.8972820733968092</v>
      </c>
      <c r="W15" s="125">
        <f>IF(Tab.o1[[#This Row],[a1]]=1,IF(W$3=0,1,Tab.o1[[#This Row],[Amp.]]*1/_xlfn.MINIFS(Tab.o1[Amp.],Tab.o1[Amp.],"&lt;&gt;0")),"")</f>
        <v>1</v>
      </c>
      <c r="X15" s="126">
        <f ca="1">IF(Tab.o1[[#This Row],[a1]]=1,IF(ISNUMBER(Tab.o1[[#This Row],[i.]]),NORMDIST(Tab.o1[[#This Row],[Za]],0,1,FALSE)*Tab.o1[[#This Row],[i.]],AP$3),"")</f>
        <v>0.3476667471879113</v>
      </c>
      <c r="Y15" s="126">
        <f ca="1">IF(Tab.o1[[#This Row],[a1]]=1,0.01+0.94*Tab.o1[[#This Row],[PDF]]/MAX(Tab.o1[PDF]),"")</f>
        <v>0.83084418193800047</v>
      </c>
      <c r="Z15" s="126">
        <f>IF(Tab.o1[[#This Row],[a1]]=1,0.01+0.94*Tab.o1[[#This Row],[W1_PDF]]/MAX(Tab.o1[W1_PDF]),"")</f>
        <v>0.95</v>
      </c>
      <c r="AA15" s="118">
        <f>IF(Tab.o1[[#This Row],[a1]]=1,ABS([1]!T.in.A[[#This Row],[oo6]]),"")</f>
        <v>7.1269669999999993E-2</v>
      </c>
      <c r="AB15" s="127">
        <f ca="1">IF(Tab.o1[[#This Row],[a1]]=1,IF(AE$3=0,"",IF(AB$3=0,ABS([1]!T.in.A[[#This Row],[oo9]]),ABS(Tab.o1[[#This Row],[DIF_Target.]]*Tab.o1[[#This Row],[W1_PDF]]))),"")</f>
        <v>0.10066840887500161</v>
      </c>
      <c r="AC15" s="127" t="str">
        <f>IF(G$1=1,"",IF(Tab.o1[[#This Row],[a1]]=1,Tab.o1[[#This Row],[Wr]]^2,""))</f>
        <v/>
      </c>
      <c r="AD15" s="118" t="e">
        <f>IF(Tab.o1[[#This Row],[a1]]=1,IF(AE$3=0,"",Tab.o1[[#This Row],[Wr2]]/SUM(Tab.o1[Wr2])),"")</f>
        <v>#VALUE!</v>
      </c>
      <c r="AE15" s="128">
        <f>IF(Tab.o1[[#This Row],[a1]]=1,[1]!T.in.A[[#This Row],[oo10]],"")</f>
        <v>0.9919173</v>
      </c>
      <c r="AF15" s="118" t="e">
        <f ca="1">IF(Tab.o1[[#This Row],[a1]]=1,ABS(Tab.o1[[#This Row],[DIF_Target.]]*Tab.o1[[#This Row],[PDF2]]*Tab.o1[[#This Row],[IN]]),"")</f>
        <v>#REF!</v>
      </c>
      <c r="AG15" s="129" t="e">
        <f ca="1">IF(Tab.o1[[#This Row],[a1]]=1,Tab.o1[[#This Row],[rW]]^2,"")</f>
        <v>#REF!</v>
      </c>
      <c r="AH15" s="130" t="e">
        <f ca="1">IF(Tab.o1[[#This Row],[a1]]=1,IF(AH$3=0,Tab.o1[[#This Row],[rW2]],0.01+0.94*Tab.o1[[#This Row],[rW2]]/SUM(Tab.o1[rW2])),"")</f>
        <v>#REF!</v>
      </c>
      <c r="AI15" s="128">
        <f ca="1">IF(Tab.o1[[#This Row],[a1]]=1,1/Tab.o1[[#This Row],[PDF]],"")</f>
        <v>2.8763176463911502</v>
      </c>
      <c r="AJ15" s="131" t="e">
        <f>IF(Tab.o1[[#This Row],[a1]]=1,[1]!T_AA[[#This Row],[IN'']]*[1]!T_AA[[#This Row],[Qde'']],"")</f>
        <v>#REF!</v>
      </c>
      <c r="AK15" s="132" t="str">
        <f>IF(Tab.o1[[#This Row],[a1]]=1,IF(AK$1=1,Tab.o1[[#This Row],[MED]]+Tab.o1[[#This Row],[MOD]]-Tab.o1[[#This Row],[MED]],""),"")</f>
        <v/>
      </c>
      <c r="AL15" s="133">
        <f>IF(Tab.o1[[#This Row],[a1]]=1,[1]!T.in.A[[#This Row],[oo16]],"")</f>
        <v>5.8696637999999996E-4</v>
      </c>
      <c r="AM15" s="133">
        <f>IF(Tab.o1[[#This Row],[a1]]=1,IF(AM$3=1,[1]!T.in.A[[#This Row],[Σo16]],""),"")</f>
        <v>1.1346297654521124E-5</v>
      </c>
      <c r="AN15" s="126" t="str">
        <f>IF(Tab.o1[[#This Row],[a1]]=1,[1]!T.in.A[[#This Row],[Σp5]],"")</f>
        <v/>
      </c>
      <c r="AO15" s="126" t="str">
        <f>IF(Tab.o1[[#This Row],[a1]]=1,IF(AO$3=1,[1]!T.in.A[[#This Row],[Σp5]],""),"")</f>
        <v/>
      </c>
      <c r="AP15" s="110">
        <f ca="1">IF(Tab.o1[[#This Row],[a1]]=1,IF(ISNUMBER(Tab.o1[[#This Row],[i.]]),NORMDIST(Tab.o1[[#This Row],[Za]],0,1,FALSE)*Tab.o1[[#This Row],[i.]],0),"")</f>
        <v>0.3476667471879113</v>
      </c>
      <c r="AQ15" s="125">
        <f>IF(Tab.o1[[#This Row],[a1]]=1,ABS(Tab.o1[[#This Row],[MOD]]-AVERAGE(Tab.o1[MOD])),"")</f>
        <v>1.5511359375000211</v>
      </c>
      <c r="AR15" s="134">
        <f>IF(Tab.o1[[#This Row],[a1]]=1,Tab.o1[[#This Row],[OBS]]/SUM(Tab.o1[OBS]),"")</f>
        <v>1.6188835848397344E-2</v>
      </c>
      <c r="AS15" s="135">
        <f>IF(ISNUMBER(Tab.o1[[#This Row],[a1]]),ROW()-4,"")</f>
        <v>11</v>
      </c>
      <c r="AT15" s="136">
        <f>Tab.o1[[#This Row],[MOD]]</f>
        <v>840.91250000000002</v>
      </c>
      <c r="AU15" s="137">
        <f t="shared" si="1"/>
        <v>840.91250000000002</v>
      </c>
      <c r="AV15" s="138">
        <f t="shared" si="2"/>
        <v>0</v>
      </c>
      <c r="AW15" s="138" t="str">
        <f t="shared" si="3"/>
        <v/>
      </c>
      <c r="AX15" s="139" t="str">
        <f>[1]!T.in.A[[#This Row],[ID_T_manu]]</f>
        <v/>
      </c>
      <c r="AY15" s="140" t="e">
        <f>IF(ISNUMBER(Tab.o1[[#This Row],[a1]]),IF(AND(Tab.o1[[#This Row],[a1]]=1,Tab.o1[[#This Row],[b1]]&lt;=AY$4),#REF!,AY14),"")</f>
        <v>#REF!</v>
      </c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</row>
    <row r="16" spans="1:102" ht="15.75">
      <c r="A16" s="109">
        <v>9.0000000000000002E-6</v>
      </c>
      <c r="B16" s="110">
        <f t="shared" si="0"/>
        <v>16</v>
      </c>
      <c r="C16" s="111">
        <f>IF(C$1=[1]!T.in.A[[#This Row],[oo2]],1,"")</f>
        <v>1</v>
      </c>
      <c r="D16" s="112">
        <f>IF(Tab.o1[[#This Row],[a1]]=1,IF(SUM(C16:C17)=0,0,IF(SUM(C15:C16)=1,1,IF(SUM(C15:C17)&gt;1,D15+1,0))),"")</f>
        <v>12</v>
      </c>
      <c r="E16" s="113" t="str">
        <f>IF(Tab.o1[[#This Row],[a1]]=1,[1]!T.in.A[[#This Row],[oo1]],"")</f>
        <v>hed12</v>
      </c>
      <c r="F16" s="113" t="str">
        <f>IF(Tab.o1[[#This Row],[a1]]=1,[1]!T.in.A[[#This Row],[pp1]],"")</f>
        <v/>
      </c>
      <c r="G16" s="114">
        <f>IF(Tab.o1[[#This Row],[a1]]=1,G$2+IF(G$1=1,0,Tab.o1[[#This Row],[.x1]])+[1]!T.in.A[[#This Row],[oo3]],"")</f>
        <v>839.3</v>
      </c>
      <c r="H16" s="115">
        <f>IF(Tab.o1[[#This Row],[a1]]=1,IF(H$2=0,0,IF(G$1=1,0,Tab.o1[[#This Row],[.x1]])+[1]!T.in.A[[#This Row],[oo4]]),"")</f>
        <v>840.89859999999999</v>
      </c>
      <c r="I16" s="116">
        <f>IF(Tab.o1[[#This Row],[a1]]=1,IF(J$2=0,Tab.o1[[#This Row],[MED]],Tab.o1[[#This Row],[MOD]]),"")</f>
        <v>839.3</v>
      </c>
      <c r="J16" s="116">
        <f ca="1">IF(Tab.o1[[#This Row],[a1]]=1,((Tab.o1[[#This Row],[DIF_Target.]]-AVERAGE(Tab.o1[DIF_Target.]))/_xlfn.STDEV.P(Tab.o1[DIF_Target.])),"")</f>
        <v>0.66629700095851629</v>
      </c>
      <c r="K16" s="117">
        <f>IF(Tab.o1[[#This Row],[a1]]=1,IF(J$2=0,Tab.o1[[#This Row],[MOD]]-Tab.o1[[#This Row],[B]],IF(J$2=1,0,-Tab.o1[[#This Row],[MED]])+Tab.o1[[#This Row],[B]]),"")</f>
        <v>1.5986000000000331</v>
      </c>
      <c r="L16" s="117">
        <f ca="1">IF(Tab.o1[[#This Row],[DIF_Target]]=0,IF(L$2=0,Tab.o1[[#This Row],[DIF_Target]],AVERAGE(OFFSET(Tab.o1[[#This Row],[DIF_Target]],1,0,L$3,1)))/3,Tab.o1[[#This Row],[DIF_Target]])</f>
        <v>1.5986000000000331</v>
      </c>
      <c r="M16" s="118">
        <f ca="1">IF(Tab.o1[[#This Row],[a1]]=1,NORMSDIST(Tab.o1[[#This Row],[Za]]),"")</f>
        <v>0.74738935893024516</v>
      </c>
      <c r="N16" s="119">
        <f>IF(Tab.o1[[#This Row],[a1]]=1,((Tab.o1[[#This Row],[MedMod]]-AVERAGE(Tab.o1[MedMod]))/_xlfn.STDEV.P(Tab.o1[MedMod])*H$1205)+G$1205,"")</f>
        <v>0.38420931198694441</v>
      </c>
      <c r="O16" s="141">
        <f>IF(Tab.o1[[#This Row],[a1]]=1,Tab.o1[[#This Row],[Zb]]*_xlfn.STDEV.P(Tab.o1[MedMod])+AVERAGE(Tab.o1[MedMod]),"")</f>
        <v>839.3</v>
      </c>
      <c r="P16" s="117">
        <f ca="1">IF(Tab.o1[[#This Row],[B]]=0,AVERAGE(OFFSET(Tab.o1[[#This Row],[B]],1,0,L$3,1)),Tab.o1[[#This Row],[B]])</f>
        <v>839.3</v>
      </c>
      <c r="Q16" s="121">
        <f>IF(Tab.o1[[#This Row],[a1]]=1,NORMSDIST(Tab.o1[[#This Row],[Zb]]),"")</f>
        <v>0.64958834147394695</v>
      </c>
      <c r="R16" s="122">
        <f>IF(Tab.o1[[#This Row],[a1]]=1,((Tab.o1[[#This Row],[MedMod]]-AVERAGE(Tab.o1[MedMod]))/_xlfn.STDEV.P(Tab.o1[MedMod])*H$1203)+G$1203,"")</f>
        <v>2.3842093119869445</v>
      </c>
      <c r="S16" s="122">
        <f>IF(Tab.o1[[#This Row],[a1]]=1,((Tab.o1[[#This Row],[MedMod]]-AVERAGE(Tab.o1[MedMod]))/_xlfn.STDEV.P(Tab.o1[MedMod])*H$1204)+G$1204,"")</f>
        <v>-1.6157906880130555</v>
      </c>
      <c r="T16" s="123">
        <f>IF(Tab.o1[[#This Row],[a1]]=1,Tab.o1[[#This Row],[Z-]]*_xlfn.STDEV.P(Tab.o1[B])+AVERAGE(Tab.o1[B]),"")</f>
        <v>842.74864103669836</v>
      </c>
      <c r="U16" s="123">
        <f>IF(Tab.o1[[#This Row],[a1]]=1,Tab.o1[[#This Row],[z+]]*_xlfn.STDEV.P(Tab.o1[B])+AVERAGE(Tab.o1[B]),"")</f>
        <v>835.85135896330155</v>
      </c>
      <c r="V16" s="124">
        <f>IF(Tab.o1[[#This Row],[a1]]=1,ABS((ABS(Tab.o1[[#This Row],[Red]]-Tab.o1[[#This Row],[Blue]]))),"")</f>
        <v>6.8972820733968092</v>
      </c>
      <c r="W16" s="125">
        <f>IF(Tab.o1[[#This Row],[a1]]=1,IF(W$3=0,1,Tab.o1[[#This Row],[Amp.]]*1/_xlfn.MINIFS(Tab.o1[Amp.],Tab.o1[Amp.],"&lt;&gt;0")),"")</f>
        <v>1</v>
      </c>
      <c r="X16" s="126">
        <f ca="1">IF(Tab.o1[[#This Row],[a1]]=1,IF(ISNUMBER(Tab.o1[[#This Row],[i.]]),NORMDIST(Tab.o1[[#This Row],[Za]],0,1,FALSE)*Tab.o1[[#This Row],[i.]],AP$3),"")</f>
        <v>0.31952671937393268</v>
      </c>
      <c r="Y16" s="126">
        <f ca="1">IF(Tab.o1[[#This Row],[a1]]=1,0.01+0.94*Tab.o1[[#This Row],[PDF]]/MAX(Tab.o1[PDF]),"")</f>
        <v>0.7644053341117133</v>
      </c>
      <c r="Z16" s="126">
        <f>IF(Tab.o1[[#This Row],[a1]]=1,0.01+0.94*Tab.o1[[#This Row],[W1_PDF]]/MAX(Tab.o1[W1_PDF]),"")</f>
        <v>0.95</v>
      </c>
      <c r="AA16" s="118">
        <f>IF(Tab.o1[[#This Row],[a1]]=1,ABS([1]!T.in.A[[#This Row],[oo6]]),"")</f>
        <v>7.1269669999999993E-2</v>
      </c>
      <c r="AB16" s="127">
        <f ca="1">IF(Tab.o1[[#This Row],[a1]]=1,IF(AE$3=0,"",IF(AB$3=0,ABS([1]!T.in.A[[#This Row],[oo9]]),ABS(Tab.o1[[#This Row],[DIF_Target.]]*Tab.o1[[#This Row],[W1_PDF]]))),"")</f>
        <v>0.11393169446200235</v>
      </c>
      <c r="AC16" s="127" t="str">
        <f>IF(G$1=1,"",IF(Tab.o1[[#This Row],[a1]]=1,Tab.o1[[#This Row],[Wr]]^2,""))</f>
        <v/>
      </c>
      <c r="AD16" s="118" t="e">
        <f>IF(Tab.o1[[#This Row],[a1]]=1,IF(AE$3=0,"",Tab.o1[[#This Row],[Wr2]]/SUM(Tab.o1[Wr2])),"")</f>
        <v>#VALUE!</v>
      </c>
      <c r="AE16" s="128">
        <f>IF(Tab.o1[[#This Row],[a1]]=1,[1]!T.in.A[[#This Row],[oo10]],"")</f>
        <v>0.9919173</v>
      </c>
      <c r="AF16" s="118" t="e">
        <f ca="1">IF(Tab.o1[[#This Row],[a1]]=1,ABS(Tab.o1[[#This Row],[DIF_Target.]]*Tab.o1[[#This Row],[PDF2]]*Tab.o1[[#This Row],[IN]]),"")</f>
        <v>#REF!</v>
      </c>
      <c r="AG16" s="129" t="e">
        <f ca="1">IF(Tab.o1[[#This Row],[a1]]=1,Tab.o1[[#This Row],[rW]]^2,"")</f>
        <v>#REF!</v>
      </c>
      <c r="AH16" s="130" t="e">
        <f ca="1">IF(Tab.o1[[#This Row],[a1]]=1,IF(AH$3=0,Tab.o1[[#This Row],[rW2]],0.01+0.94*Tab.o1[[#This Row],[rW2]]/SUM(Tab.o1[rW2])),"")</f>
        <v>#REF!</v>
      </c>
      <c r="AI16" s="128">
        <f ca="1">IF(Tab.o1[[#This Row],[a1]]=1,1/Tab.o1[[#This Row],[PDF]],"")</f>
        <v>3.129628727010243</v>
      </c>
      <c r="AJ16" s="131" t="e">
        <f>IF(Tab.o1[[#This Row],[a1]]=1,[1]!T_AA[[#This Row],[IN'']]*[1]!T_AA[[#This Row],[Qde'']],"")</f>
        <v>#REF!</v>
      </c>
      <c r="AK16" s="132" t="str">
        <f>IF(Tab.o1[[#This Row],[a1]]=1,IF(AK$1=1,Tab.o1[[#This Row],[MED]]+Tab.o1[[#This Row],[MOD]]-Tab.o1[[#This Row],[MED]],""),"")</f>
        <v/>
      </c>
      <c r="AL16" s="133">
        <f>IF(Tab.o1[[#This Row],[a1]]=1,[1]!T.in.A[[#This Row],[oo16]],"")</f>
        <v>5.9971986E-4</v>
      </c>
      <c r="AM16" s="133">
        <f>IF(Tab.o1[[#This Row],[a1]]=1,IF(AM$3=1,[1]!T.in.A[[#This Row],[Σo16]],""),"")</f>
        <v>1.1592827583903079E-5</v>
      </c>
      <c r="AN16" s="126" t="str">
        <f>IF(Tab.o1[[#This Row],[a1]]=1,[1]!T.in.A[[#This Row],[Σp5]],"")</f>
        <v/>
      </c>
      <c r="AO16" s="126" t="str">
        <f>IF(Tab.o1[[#This Row],[a1]]=1,IF(AO$3=1,[1]!T.in.A[[#This Row],[Σp5]],""),"")</f>
        <v/>
      </c>
      <c r="AP16" s="110">
        <f ca="1">IF(Tab.o1[[#This Row],[a1]]=1,IF(ISNUMBER(Tab.o1[[#This Row],[i.]]),NORMDIST(Tab.o1[[#This Row],[Za]],0,1,FALSE)*Tab.o1[[#This Row],[i.]],0),"")</f>
        <v>0.31952671937393268</v>
      </c>
      <c r="AQ16" s="125">
        <f>IF(Tab.o1[[#This Row],[a1]]=1,ABS(Tab.o1[[#This Row],[MOD]]-AVERAGE(Tab.o1[MOD])),"")</f>
        <v>1.537235937499986</v>
      </c>
      <c r="AR16" s="134">
        <f>IF(Tab.o1[[#This Row],[a1]]=1,Tab.o1[[#This Row],[OBS]]/SUM(Tab.o1[OBS]),"")</f>
        <v>1.6043764863415869E-2</v>
      </c>
      <c r="AS16" s="135">
        <f>IF(ISNUMBER(Tab.o1[[#This Row],[a1]]),ROW()-4,"")</f>
        <v>12</v>
      </c>
      <c r="AT16" s="136">
        <f>Tab.o1[[#This Row],[MOD]]</f>
        <v>840.89859999999999</v>
      </c>
      <c r="AU16" s="137">
        <f t="shared" si="1"/>
        <v>840.89859999999999</v>
      </c>
      <c r="AV16" s="138">
        <f t="shared" si="2"/>
        <v>0</v>
      </c>
      <c r="AW16" s="138" t="str">
        <f t="shared" si="3"/>
        <v/>
      </c>
      <c r="AX16" s="139" t="str">
        <f>[1]!T.in.A[[#This Row],[ID_T_manu]]</f>
        <v/>
      </c>
      <c r="AY16" s="140" t="e">
        <f>IF(ISNUMBER(Tab.o1[[#This Row],[a1]]),IF(AND(Tab.o1[[#This Row],[a1]]=1,Tab.o1[[#This Row],[b1]]&lt;=AY$4),#REF!,AY15),"")</f>
        <v>#REF!</v>
      </c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</row>
    <row r="17" spans="1:79" ht="15.75">
      <c r="A17" s="109">
        <v>2.9999999999999997E-6</v>
      </c>
      <c r="B17" s="110">
        <f t="shared" si="0"/>
        <v>17</v>
      </c>
      <c r="C17" s="111">
        <f>IF(C$1=[1]!T.in.A[[#This Row],[oo2]],1,"")</f>
        <v>1</v>
      </c>
      <c r="D17" s="112">
        <f>IF(Tab.o1[[#This Row],[a1]]=1,IF(SUM(C17:C18)=0,0,IF(SUM(C16:C17)=1,1,IF(SUM(C16:C18)&gt;1,D16+1,0))),"")</f>
        <v>13</v>
      </c>
      <c r="E17" s="113" t="str">
        <f>IF(Tab.o1[[#This Row],[a1]]=1,[1]!T.in.A[[#This Row],[oo1]],"")</f>
        <v>hed13</v>
      </c>
      <c r="F17" s="113" t="str">
        <f>IF(Tab.o1[[#This Row],[a1]]=1,[1]!T.in.A[[#This Row],[pp1]],"")</f>
        <v/>
      </c>
      <c r="G17" s="114">
        <f>IF(Tab.o1[[#This Row],[a1]]=1,G$2+IF(G$1=1,0,Tab.o1[[#This Row],[.x1]])+[1]!T.in.A[[#This Row],[oo3]],"")</f>
        <v>839.2</v>
      </c>
      <c r="H17" s="115">
        <f>IF(Tab.o1[[#This Row],[a1]]=1,IF(H$2=0,0,IF(G$1=1,0,Tab.o1[[#This Row],[.x1]])+[1]!T.in.A[[#This Row],[oo4]]),"")</f>
        <v>840.88369999999998</v>
      </c>
      <c r="I17" s="116">
        <f>IF(Tab.o1[[#This Row],[a1]]=1,IF(J$2=0,Tab.o1[[#This Row],[MED]],Tab.o1[[#This Row],[MOD]]),"")</f>
        <v>839.2</v>
      </c>
      <c r="J17" s="116">
        <f ca="1">IF(Tab.o1[[#This Row],[a1]]=1,((Tab.o1[[#This Row],[DIF_Target.]]-AVERAGE(Tab.o1[DIF_Target.]))/_xlfn.STDEV.P(Tab.o1[DIF_Target.])),"")</f>
        <v>0.73111870583045013</v>
      </c>
      <c r="K17" s="117">
        <f>IF(Tab.o1[[#This Row],[a1]]=1,IF(J$2=0,Tab.o1[[#This Row],[MOD]]-Tab.o1[[#This Row],[B]],IF(J$2=1,0,-Tab.o1[[#This Row],[MED]])+Tab.o1[[#This Row],[B]]),"")</f>
        <v>1.6836999999999307</v>
      </c>
      <c r="L17" s="117">
        <f ca="1">IF(Tab.o1[[#This Row],[DIF_Target]]=0,IF(L$2=0,Tab.o1[[#This Row],[DIF_Target]],AVERAGE(OFFSET(Tab.o1[[#This Row],[DIF_Target]],1,0,L$3,1)))/3,Tab.o1[[#This Row],[DIF_Target]])</f>
        <v>1.6836999999999307</v>
      </c>
      <c r="M17" s="118">
        <f ca="1">IF(Tab.o1[[#This Row],[a1]]=1,NORMSDIST(Tab.o1[[#This Row],[Za]]),"")</f>
        <v>0.76764667522123098</v>
      </c>
      <c r="N17" s="119">
        <f>IF(Tab.o1[[#This Row],[a1]]=1,((Tab.o1[[#This Row],[MedMod]]-AVERAGE(Tab.o1[MedMod]))/_xlfn.STDEV.P(Tab.o1[MedMod])*H$1205)+G$1205,"")</f>
        <v>0.3262154535738655</v>
      </c>
      <c r="O17" s="141">
        <f>IF(Tab.o1[[#This Row],[a1]]=1,Tab.o1[[#This Row],[Zb]]*_xlfn.STDEV.P(Tab.o1[MedMod])+AVERAGE(Tab.o1[MedMod]),"")</f>
        <v>839.2</v>
      </c>
      <c r="P17" s="117">
        <f ca="1">IF(Tab.o1[[#This Row],[B]]=0,AVERAGE(OFFSET(Tab.o1[[#This Row],[B]],1,0,L$3,1)),Tab.o1[[#This Row],[B]])</f>
        <v>839.2</v>
      </c>
      <c r="Q17" s="121">
        <f>IF(Tab.o1[[#This Row],[a1]]=1,NORMSDIST(Tab.o1[[#This Row],[Zb]]),"")</f>
        <v>0.62786932494355185</v>
      </c>
      <c r="R17" s="122">
        <f>IF(Tab.o1[[#This Row],[a1]]=1,((Tab.o1[[#This Row],[MedMod]]-AVERAGE(Tab.o1[MedMod]))/_xlfn.STDEV.P(Tab.o1[MedMod])*H$1203)+G$1203,"")</f>
        <v>2.3262154535738655</v>
      </c>
      <c r="S17" s="122">
        <f>IF(Tab.o1[[#This Row],[a1]]=1,((Tab.o1[[#This Row],[MedMod]]-AVERAGE(Tab.o1[MedMod]))/_xlfn.STDEV.P(Tab.o1[MedMod])*H$1204)+G$1204,"")</f>
        <v>-1.6737845464261345</v>
      </c>
      <c r="T17" s="123">
        <f>IF(Tab.o1[[#This Row],[a1]]=1,Tab.o1[[#This Row],[Z-]]*_xlfn.STDEV.P(Tab.o1[B])+AVERAGE(Tab.o1[B]),"")</f>
        <v>842.64864103669845</v>
      </c>
      <c r="U17" s="123">
        <f>IF(Tab.o1[[#This Row],[a1]]=1,Tab.o1[[#This Row],[z+]]*_xlfn.STDEV.P(Tab.o1[B])+AVERAGE(Tab.o1[B]),"")</f>
        <v>835.75135896330164</v>
      </c>
      <c r="V17" s="124">
        <f>IF(Tab.o1[[#This Row],[a1]]=1,ABS((ABS(Tab.o1[[#This Row],[Red]]-Tab.o1[[#This Row],[Blue]]))),"")</f>
        <v>6.8972820733968092</v>
      </c>
      <c r="W17" s="125">
        <f>IF(Tab.o1[[#This Row],[a1]]=1,IF(W$3=0,1,Tab.o1[[#This Row],[Amp.]]*1/_xlfn.MINIFS(Tab.o1[Amp.],Tab.o1[Amp.],"&lt;&gt;0")),"")</f>
        <v>1</v>
      </c>
      <c r="X17" s="126">
        <f ca="1">IF(Tab.o1[[#This Row],[a1]]=1,IF(ISNUMBER(Tab.o1[[#This Row],[i.]]),NORMDIST(Tab.o1[[#This Row],[Za]],0,1,FALSE)*Tab.o1[[#This Row],[i.]],AP$3),"")</f>
        <v>0.30537772859643619</v>
      </c>
      <c r="Y17" s="126">
        <f ca="1">IF(Tab.o1[[#This Row],[a1]]=1,0.01+0.94*Tab.o1[[#This Row],[PDF]]/MAX(Tab.o1[PDF]),"")</f>
        <v>0.73099944512767123</v>
      </c>
      <c r="Z17" s="126">
        <f>IF(Tab.o1[[#This Row],[a1]]=1,0.01+0.94*Tab.o1[[#This Row],[W1_PDF]]/MAX(Tab.o1[W1_PDF]),"")</f>
        <v>0.95</v>
      </c>
      <c r="AA17" s="118">
        <f>IF(Tab.o1[[#This Row],[a1]]=1,ABS([1]!T.in.A[[#This Row],[oo6]]),"")</f>
        <v>7.1269669999999993E-2</v>
      </c>
      <c r="AB17" s="127">
        <f ca="1">IF(Tab.o1[[#This Row],[a1]]=1,IF(AE$3=0,"",IF(AB$3=0,ABS([1]!T.in.A[[#This Row],[oo9]]),ABS(Tab.o1[[#This Row],[DIF_Target.]]*Tab.o1[[#This Row],[W1_PDF]]))),"")</f>
        <v>0.11999674337899505</v>
      </c>
      <c r="AC17" s="127" t="str">
        <f>IF(G$1=1,"",IF(Tab.o1[[#This Row],[a1]]=1,Tab.o1[[#This Row],[Wr]]^2,""))</f>
        <v/>
      </c>
      <c r="AD17" s="118" t="e">
        <f>IF(Tab.o1[[#This Row],[a1]]=1,IF(AE$3=0,"",Tab.o1[[#This Row],[Wr2]]/SUM(Tab.o1[Wr2])),"")</f>
        <v>#VALUE!</v>
      </c>
      <c r="AE17" s="128">
        <f>IF(Tab.o1[[#This Row],[a1]]=1,[1]!T.in.A[[#This Row],[oo10]],"")</f>
        <v>0.9919173</v>
      </c>
      <c r="AF17" s="118" t="e">
        <f ca="1">IF(Tab.o1[[#This Row],[a1]]=1,ABS(Tab.o1[[#This Row],[DIF_Target.]]*Tab.o1[[#This Row],[PDF2]]*Tab.o1[[#This Row],[IN]]),"")</f>
        <v>#REF!</v>
      </c>
      <c r="AG17" s="129" t="e">
        <f ca="1">IF(Tab.o1[[#This Row],[a1]]=1,Tab.o1[[#This Row],[rW]]^2,"")</f>
        <v>#REF!</v>
      </c>
      <c r="AH17" s="130" t="e">
        <f ca="1">IF(Tab.o1[[#This Row],[a1]]=1,IF(AH$3=0,Tab.o1[[#This Row],[rW2]],0.01+0.94*Tab.o1[[#This Row],[rW2]]/SUM(Tab.o1[rW2])),"")</f>
        <v>#REF!</v>
      </c>
      <c r="AI17" s="128">
        <f ca="1">IF(Tab.o1[[#This Row],[a1]]=1,1/Tab.o1[[#This Row],[PDF]],"")</f>
        <v>3.2746330408447153</v>
      </c>
      <c r="AJ17" s="131" t="e">
        <f>IF(Tab.o1[[#This Row],[a1]]=1,[1]!T_AA[[#This Row],[IN'']]*[1]!T_AA[[#This Row],[Qde'']],"")</f>
        <v>#REF!</v>
      </c>
      <c r="AK17" s="132" t="str">
        <f>IF(Tab.o1[[#This Row],[a1]]=1,IF(AK$1=1,Tab.o1[[#This Row],[MED]]+Tab.o1[[#This Row],[MOD]]-Tab.o1[[#This Row],[MED]],""),"")</f>
        <v/>
      </c>
      <c r="AL17" s="133">
        <f>IF(Tab.o1[[#This Row],[a1]]=1,[1]!T.in.A[[#This Row],[oo16]],"")</f>
        <v>6.4271249000000003E-4</v>
      </c>
      <c r="AM17" s="133">
        <f>IF(Tab.o1[[#This Row],[a1]]=1,IF(AM$3=1,[1]!T.in.A[[#This Row],[Σo16]],""),"")</f>
        <v>1.2423892519735853E-5</v>
      </c>
      <c r="AN17" s="126" t="str">
        <f>IF(Tab.o1[[#This Row],[a1]]=1,[1]!T.in.A[[#This Row],[Σp5]],"")</f>
        <v/>
      </c>
      <c r="AO17" s="126" t="str">
        <f>IF(Tab.o1[[#This Row],[a1]]=1,IF(AO$3=1,[1]!T.in.A[[#This Row],[Σp5]],""),"")</f>
        <v/>
      </c>
      <c r="AP17" s="110">
        <f ca="1">IF(Tab.o1[[#This Row],[a1]]=1,IF(ISNUMBER(Tab.o1[[#This Row],[i.]]),NORMDIST(Tab.o1[[#This Row],[Za]],0,1,FALSE)*Tab.o1[[#This Row],[i.]],0),"")</f>
        <v>0.30537772859643619</v>
      </c>
      <c r="AQ17" s="125">
        <f>IF(Tab.o1[[#This Row],[a1]]=1,ABS(Tab.o1[[#This Row],[MOD]]-AVERAGE(Tab.o1[MOD])),"")</f>
        <v>1.5223359374999745</v>
      </c>
      <c r="AR17" s="134">
        <f>IF(Tab.o1[[#This Row],[a1]]=1,Tab.o1[[#This Row],[OBS]]/SUM(Tab.o1[OBS]),"")</f>
        <v>1.5888257116925208E-2</v>
      </c>
      <c r="AS17" s="135">
        <f>IF(ISNUMBER(Tab.o1[[#This Row],[a1]]),ROW()-4,"")</f>
        <v>13</v>
      </c>
      <c r="AT17" s="136">
        <f>Tab.o1[[#This Row],[MOD]]</f>
        <v>840.88369999999998</v>
      </c>
      <c r="AU17" s="137">
        <f t="shared" si="1"/>
        <v>840.88369999999998</v>
      </c>
      <c r="AV17" s="138">
        <f t="shared" si="2"/>
        <v>0</v>
      </c>
      <c r="AW17" s="138" t="str">
        <f t="shared" si="3"/>
        <v/>
      </c>
      <c r="AX17" s="139" t="str">
        <f>[1]!T.in.A[[#This Row],[ID_T_manu]]</f>
        <v/>
      </c>
      <c r="AY17" s="140" t="e">
        <f>IF(ISNUMBER(Tab.o1[[#This Row],[a1]]),IF(AND(Tab.o1[[#This Row],[a1]]=1,Tab.o1[[#This Row],[b1]]&lt;=AY$4),#REF!,AY16),"")</f>
        <v>#REF!</v>
      </c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</row>
    <row r="18" spans="1:79" ht="15.75">
      <c r="A18" s="109">
        <v>-2.0000000000000003E-6</v>
      </c>
      <c r="B18" s="110">
        <f t="shared" si="0"/>
        <v>18</v>
      </c>
      <c r="C18" s="111">
        <f>IF(C$1=[1]!T.in.A[[#This Row],[oo2]],1,"")</f>
        <v>1</v>
      </c>
      <c r="D18" s="112">
        <f>IF(Tab.o1[[#This Row],[a1]]=1,IF(SUM(C18:C19)=0,0,IF(SUM(C17:C18)=1,1,IF(SUM(C17:C19)&gt;1,D17+1,0))),"")</f>
        <v>14</v>
      </c>
      <c r="E18" s="113" t="str">
        <f>IF(Tab.o1[[#This Row],[a1]]=1,[1]!T.in.A[[#This Row],[oo1]],"")</f>
        <v>hed14</v>
      </c>
      <c r="F18" s="113" t="str">
        <f>IF(Tab.o1[[#This Row],[a1]]=1,[1]!T.in.A[[#This Row],[pp1]],"")</f>
        <v/>
      </c>
      <c r="G18" s="114">
        <f>IF(Tab.o1[[#This Row],[a1]]=1,G$2+IF(G$1=1,0,Tab.o1[[#This Row],[.x1]])+[1]!T.in.A[[#This Row],[oo3]],"")</f>
        <v>838.8</v>
      </c>
      <c r="H18" s="115">
        <f>IF(Tab.o1[[#This Row],[a1]]=1,IF(H$2=0,0,IF(G$1=1,0,Tab.o1[[#This Row],[.x1]])+[1]!T.in.A[[#This Row],[oo4]]),"")</f>
        <v>840.84410000000003</v>
      </c>
      <c r="I18" s="116">
        <f>IF(Tab.o1[[#This Row],[a1]]=1,IF(J$2=0,Tab.o1[[#This Row],[MED]],Tab.o1[[#This Row],[MOD]]),"")</f>
        <v>838.8</v>
      </c>
      <c r="J18" s="116">
        <f ca="1">IF(Tab.o1[[#This Row],[a1]]=1,((Tab.o1[[#This Row],[DIF_Target.]]-AVERAGE(Tab.o1[DIF_Target.]))/_xlfn.STDEV.P(Tab.o1[DIF_Target.])),"")</f>
        <v>1.0056397685317684</v>
      </c>
      <c r="K18" s="117">
        <f>IF(Tab.o1[[#This Row],[a1]]=1,IF(J$2=0,Tab.o1[[#This Row],[MOD]]-Tab.o1[[#This Row],[B]],IF(J$2=1,0,-Tab.o1[[#This Row],[MED]])+Tab.o1[[#This Row],[B]]),"")</f>
        <v>2.0441000000000713</v>
      </c>
      <c r="L18" s="117">
        <f ca="1">IF(Tab.o1[[#This Row],[DIF_Target]]=0,IF(L$2=0,Tab.o1[[#This Row],[DIF_Target]],AVERAGE(OFFSET(Tab.o1[[#This Row],[DIF_Target]],1,0,L$3,1)))/3,Tab.o1[[#This Row],[DIF_Target]])</f>
        <v>2.0441000000000713</v>
      </c>
      <c r="M18" s="118">
        <f ca="1">IF(Tab.o1[[#This Row],[a1]]=1,NORMSDIST(Tab.o1[[#This Row],[Za]]),"")</f>
        <v>0.84270555678657433</v>
      </c>
      <c r="N18" s="119">
        <f>IF(Tab.o1[[#This Row],[a1]]=1,((Tab.o1[[#This Row],[MedMod]]-AVERAGE(Tab.o1[MedMod]))/_xlfn.STDEV.P(Tab.o1[MedMod])*H$1205)+G$1205,"")</f>
        <v>9.4240019921286181E-2</v>
      </c>
      <c r="O18" s="141">
        <f>IF(Tab.o1[[#This Row],[a1]]=1,Tab.o1[[#This Row],[Zb]]*_xlfn.STDEV.P(Tab.o1[MedMod])+AVERAGE(Tab.o1[MedMod]),"")</f>
        <v>838.8</v>
      </c>
      <c r="P18" s="117">
        <f ca="1">IF(Tab.o1[[#This Row],[B]]=0,AVERAGE(OFFSET(Tab.o1[[#This Row],[B]],1,0,L$3,1)),Tab.o1[[#This Row],[B]])</f>
        <v>838.8</v>
      </c>
      <c r="Q18" s="121">
        <f>IF(Tab.o1[[#This Row],[a1]]=1,NORMSDIST(Tab.o1[[#This Row],[Zb]]),"")</f>
        <v>0.53754075254123579</v>
      </c>
      <c r="R18" s="122">
        <f>IF(Tab.o1[[#This Row],[a1]]=1,((Tab.o1[[#This Row],[MedMod]]-AVERAGE(Tab.o1[MedMod]))/_xlfn.STDEV.P(Tab.o1[MedMod])*H$1203)+G$1203,"")</f>
        <v>2.0942400199212861</v>
      </c>
      <c r="S18" s="122">
        <f>IF(Tab.o1[[#This Row],[a1]]=1,((Tab.o1[[#This Row],[MedMod]]-AVERAGE(Tab.o1[MedMod]))/_xlfn.STDEV.P(Tab.o1[MedMod])*H$1204)+G$1204,"")</f>
        <v>-1.9057599800787137</v>
      </c>
      <c r="T18" s="123">
        <f>IF(Tab.o1[[#This Row],[a1]]=1,Tab.o1[[#This Row],[Z-]]*_xlfn.STDEV.P(Tab.o1[B])+AVERAGE(Tab.o1[B]),"")</f>
        <v>842.24864103669836</v>
      </c>
      <c r="U18" s="123">
        <f>IF(Tab.o1[[#This Row],[a1]]=1,Tab.o1[[#This Row],[z+]]*_xlfn.STDEV.P(Tab.o1[B])+AVERAGE(Tab.o1[B]),"")</f>
        <v>835.35135896330155</v>
      </c>
      <c r="V18" s="124">
        <f>IF(Tab.o1[[#This Row],[a1]]=1,ABS((ABS(Tab.o1[[#This Row],[Red]]-Tab.o1[[#This Row],[Blue]]))),"")</f>
        <v>6.8972820733968092</v>
      </c>
      <c r="W18" s="125">
        <f>IF(Tab.o1[[#This Row],[a1]]=1,IF(W$3=0,1,Tab.o1[[#This Row],[Amp.]]*1/_xlfn.MINIFS(Tab.o1[Amp.],Tab.o1[Amp.],"&lt;&gt;0")),"")</f>
        <v>1</v>
      </c>
      <c r="X18" s="126">
        <f ca="1">IF(Tab.o1[[#This Row],[a1]]=1,IF(ISNUMBER(Tab.o1[[#This Row],[i.]]),NORMDIST(Tab.o1[[#This Row],[Za]],0,1,FALSE)*Tab.o1[[#This Row],[i.]],AP$3),"")</f>
        <v>0.24060608008948575</v>
      </c>
      <c r="Y18" s="126">
        <f ca="1">IF(Tab.o1[[#This Row],[a1]]=1,0.01+0.94*Tab.o1[[#This Row],[PDF]]/MAX(Tab.o1[PDF]),"")</f>
        <v>0.57807302561385199</v>
      </c>
      <c r="Z18" s="126">
        <f>IF(Tab.o1[[#This Row],[a1]]=1,0.01+0.94*Tab.o1[[#This Row],[W1_PDF]]/MAX(Tab.o1[W1_PDF]),"")</f>
        <v>0.95</v>
      </c>
      <c r="AA18" s="118">
        <f>IF(Tab.o1[[#This Row],[a1]]=1,ABS([1]!T.in.A[[#This Row],[oo6]]),"")</f>
        <v>7.1269669999999993E-2</v>
      </c>
      <c r="AB18" s="127">
        <f ca="1">IF(Tab.o1[[#This Row],[a1]]=1,IF(AE$3=0,"",IF(AB$3=0,ABS([1]!T.in.A[[#This Row],[oo9]]),ABS(Tab.o1[[#This Row],[DIF_Target.]]*Tab.o1[[#This Row],[W1_PDF]]))),"")</f>
        <v>0.14568233244700507</v>
      </c>
      <c r="AC18" s="127" t="str">
        <f>IF(G$1=1,"",IF(Tab.o1[[#This Row],[a1]]=1,Tab.o1[[#This Row],[Wr]]^2,""))</f>
        <v/>
      </c>
      <c r="AD18" s="118" t="e">
        <f>IF(Tab.o1[[#This Row],[a1]]=1,IF(AE$3=0,"",Tab.o1[[#This Row],[Wr2]]/SUM(Tab.o1[Wr2])),"")</f>
        <v>#VALUE!</v>
      </c>
      <c r="AE18" s="128">
        <f>IF(Tab.o1[[#This Row],[a1]]=1,[1]!T.in.A[[#This Row],[oo10]],"")</f>
        <v>0.9919173</v>
      </c>
      <c r="AF18" s="118" t="e">
        <f ca="1">IF(Tab.o1[[#This Row],[a1]]=1,ABS(Tab.o1[[#This Row],[DIF_Target.]]*Tab.o1[[#This Row],[PDF2]]*Tab.o1[[#This Row],[IN]]),"")</f>
        <v>#REF!</v>
      </c>
      <c r="AG18" s="129" t="e">
        <f ca="1">IF(Tab.o1[[#This Row],[a1]]=1,Tab.o1[[#This Row],[rW]]^2,"")</f>
        <v>#REF!</v>
      </c>
      <c r="AH18" s="130" t="e">
        <f ca="1">IF(Tab.o1[[#This Row],[a1]]=1,IF(AH$3=0,Tab.o1[[#This Row],[rW2]],0.01+0.94*Tab.o1[[#This Row],[rW2]]/SUM(Tab.o1[rW2])),"")</f>
        <v>#REF!</v>
      </c>
      <c r="AI18" s="128">
        <f ca="1">IF(Tab.o1[[#This Row],[a1]]=1,1/Tab.o1[[#This Row],[PDF]],"")</f>
        <v>4.1561709480827833</v>
      </c>
      <c r="AJ18" s="131" t="e">
        <f>IF(Tab.o1[[#This Row],[a1]]=1,[1]!T_AA[[#This Row],[IN'']]*[1]!T_AA[[#This Row],[Qde'']],"")</f>
        <v>#REF!</v>
      </c>
      <c r="AK18" s="132" t="str">
        <f>IF(Tab.o1[[#This Row],[a1]]=1,IF(AK$1=1,Tab.o1[[#This Row],[MED]]+Tab.o1[[#This Row],[MOD]]-Tab.o1[[#This Row],[MED]],""),"")</f>
        <v/>
      </c>
      <c r="AL18" s="133">
        <f>IF(Tab.o1[[#This Row],[a1]]=1,[1]!T.in.A[[#This Row],[oo16]],"")</f>
        <v>8.6008221000000006E-3</v>
      </c>
      <c r="AM18" s="133">
        <f>IF(Tab.o1[[#This Row],[a1]]=1,IF(AM$3=1,[1]!T.in.A[[#This Row],[Σo16]],""),"")</f>
        <v>1.6625737170872283E-4</v>
      </c>
      <c r="AN18" s="126" t="str">
        <f>IF(Tab.o1[[#This Row],[a1]]=1,[1]!T.in.A[[#This Row],[Σp5]],"")</f>
        <v/>
      </c>
      <c r="AO18" s="126" t="str">
        <f>IF(Tab.o1[[#This Row],[a1]]=1,IF(AO$3=1,[1]!T.in.A[[#This Row],[Σp5]],""),"")</f>
        <v/>
      </c>
      <c r="AP18" s="110">
        <f ca="1">IF(Tab.o1[[#This Row],[a1]]=1,IF(ISNUMBER(Tab.o1[[#This Row],[i.]]),NORMDIST(Tab.o1[[#This Row],[Za]],0,1,FALSE)*Tab.o1[[#This Row],[i.]],0),"")</f>
        <v>0.24060608008948575</v>
      </c>
      <c r="AQ18" s="125">
        <f>IF(Tab.o1[[#This Row],[a1]]=1,ABS(Tab.o1[[#This Row],[MOD]]-AVERAGE(Tab.o1[MOD])),"")</f>
        <v>1.4827359375000242</v>
      </c>
      <c r="AR18" s="134">
        <f>IF(Tab.o1[[#This Row],[a1]]=1,Tab.o1[[#This Row],[OBS]]/SUM(Tab.o1[OBS]),"")</f>
        <v>1.5474961361152208E-2</v>
      </c>
      <c r="AS18" s="135">
        <f>IF(ISNUMBER(Tab.o1[[#This Row],[a1]]),ROW()-4,"")</f>
        <v>14</v>
      </c>
      <c r="AT18" s="136">
        <f>Tab.o1[[#This Row],[MOD]]</f>
        <v>840.84410000000003</v>
      </c>
      <c r="AU18" s="137">
        <f t="shared" si="1"/>
        <v>840.84410000000003</v>
      </c>
      <c r="AV18" s="138">
        <f t="shared" si="2"/>
        <v>0</v>
      </c>
      <c r="AW18" s="138" t="str">
        <f t="shared" si="3"/>
        <v/>
      </c>
      <c r="AX18" s="139" t="str">
        <f>[1]!T.in.A[[#This Row],[ID_T_manu]]</f>
        <v/>
      </c>
      <c r="AY18" s="140" t="e">
        <f>IF(ISNUMBER(Tab.o1[[#This Row],[a1]]),IF(AND(Tab.o1[[#This Row],[a1]]=1,Tab.o1[[#This Row],[b1]]&lt;=AY$4),#REF!,AY17),"")</f>
        <v>#REF!</v>
      </c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</row>
    <row r="19" spans="1:79" ht="15.75">
      <c r="A19" s="109">
        <v>-6.9999999999999999E-6</v>
      </c>
      <c r="B19" s="110">
        <f t="shared" si="0"/>
        <v>19</v>
      </c>
      <c r="C19" s="111">
        <f>IF(C$1=[1]!T.in.A[[#This Row],[oo2]],1,"")</f>
        <v>1</v>
      </c>
      <c r="D19" s="112">
        <f>IF(Tab.o1[[#This Row],[a1]]=1,IF(SUM(C19:C20)=0,0,IF(SUM(C18:C19)=1,1,IF(SUM(C18:C20)&gt;1,D18+1,0))),"")</f>
        <v>15</v>
      </c>
      <c r="E19" s="113" t="str">
        <f>IF(Tab.o1[[#This Row],[a1]]=1,[1]!T.in.A[[#This Row],[oo1]],"")</f>
        <v>hed15</v>
      </c>
      <c r="F19" s="113" t="str">
        <f>IF(Tab.o1[[#This Row],[a1]]=1,[1]!T.in.A[[#This Row],[pp1]],"")</f>
        <v/>
      </c>
      <c r="G19" s="114">
        <f>IF(Tab.o1[[#This Row],[a1]]=1,G$2+IF(G$1=1,0,Tab.o1[[#This Row],[.x1]])+[1]!T.in.A[[#This Row],[oo3]],"")</f>
        <v>838.5</v>
      </c>
      <c r="H19" s="115">
        <f>IF(Tab.o1[[#This Row],[a1]]=1,IF(H$2=0,0,IF(G$1=1,0,Tab.o1[[#This Row],[.x1]])+[1]!T.in.A[[#This Row],[oo4]]),"")</f>
        <v>840.80319999999995</v>
      </c>
      <c r="I19" s="116">
        <f>IF(Tab.o1[[#This Row],[a1]]=1,IF(J$2=0,Tab.o1[[#This Row],[MED]],Tab.o1[[#This Row],[MOD]]),"")</f>
        <v>838.5</v>
      </c>
      <c r="J19" s="116">
        <f ca="1">IF(Tab.o1[[#This Row],[a1]]=1,((Tab.o1[[#This Row],[DIF_Target.]]-AVERAGE(Tab.o1[DIF_Target.]))/_xlfn.STDEV.P(Tab.o1[DIF_Target.])),"")</f>
        <v>1.2029993893582105</v>
      </c>
      <c r="K19" s="117">
        <f>IF(Tab.o1[[#This Row],[a1]]=1,IF(J$2=0,Tab.o1[[#This Row],[MOD]]-Tab.o1[[#This Row],[B]],IF(J$2=1,0,-Tab.o1[[#This Row],[MED]])+Tab.o1[[#This Row],[B]]),"")</f>
        <v>2.3031999999999471</v>
      </c>
      <c r="L19" s="117">
        <f ca="1">IF(Tab.o1[[#This Row],[DIF_Target]]=0,IF(L$2=0,Tab.o1[[#This Row],[DIF_Target]],AVERAGE(OFFSET(Tab.o1[[#This Row],[DIF_Target]],1,0,L$3,1)))/3,Tab.o1[[#This Row],[DIF_Target]])</f>
        <v>2.3031999999999471</v>
      </c>
      <c r="M19" s="118">
        <f ca="1">IF(Tab.o1[[#This Row],[a1]]=1,NORMSDIST(Tab.o1[[#This Row],[Za]]),"")</f>
        <v>0.88551172157274027</v>
      </c>
      <c r="N19" s="119">
        <f>IF(Tab.o1[[#This Row],[a1]]=1,((Tab.o1[[#This Row],[MedMod]]-AVERAGE(Tab.o1[MedMod]))/_xlfn.STDEV.P(Tab.o1[MedMod])*H$1205)+G$1205,"")</f>
        <v>-7.9741555318082386E-2</v>
      </c>
      <c r="O19" s="141">
        <f>IF(Tab.o1[[#This Row],[a1]]=1,Tab.o1[[#This Row],[Zb]]*_xlfn.STDEV.P(Tab.o1[MedMod])+AVERAGE(Tab.o1[MedMod]),"")</f>
        <v>838.5</v>
      </c>
      <c r="P19" s="117">
        <f ca="1">IF(Tab.o1[[#This Row],[B]]=0,AVERAGE(OFFSET(Tab.o1[[#This Row],[B]],1,0,L$3,1)),Tab.o1[[#This Row],[B]])</f>
        <v>838.5</v>
      </c>
      <c r="Q19" s="121">
        <f>IF(Tab.o1[[#This Row],[a1]]=1,NORMSDIST(Tab.o1[[#This Row],[Zb]]),"")</f>
        <v>0.46822140415100283</v>
      </c>
      <c r="R19" s="122">
        <f>IF(Tab.o1[[#This Row],[a1]]=1,((Tab.o1[[#This Row],[MedMod]]-AVERAGE(Tab.o1[MedMod]))/_xlfn.STDEV.P(Tab.o1[MedMod])*H$1203)+G$1203,"")</f>
        <v>1.9202584446819175</v>
      </c>
      <c r="S19" s="122">
        <f>IF(Tab.o1[[#This Row],[a1]]=1,((Tab.o1[[#This Row],[MedMod]]-AVERAGE(Tab.o1[MedMod]))/_xlfn.STDEV.P(Tab.o1[MedMod])*H$1204)+G$1204,"")</f>
        <v>-2.0797415553180825</v>
      </c>
      <c r="T19" s="123">
        <f>IF(Tab.o1[[#This Row],[a1]]=1,Tab.o1[[#This Row],[Z-]]*_xlfn.STDEV.P(Tab.o1[B])+AVERAGE(Tab.o1[B]),"")</f>
        <v>841.9486410366984</v>
      </c>
      <c r="U19" s="123">
        <f>IF(Tab.o1[[#This Row],[a1]]=1,Tab.o1[[#This Row],[z+]]*_xlfn.STDEV.P(Tab.o1[B])+AVERAGE(Tab.o1[B]),"")</f>
        <v>835.0513589633016</v>
      </c>
      <c r="V19" s="124">
        <f>IF(Tab.o1[[#This Row],[a1]]=1,ABS((ABS(Tab.o1[[#This Row],[Red]]-Tab.o1[[#This Row],[Blue]]))),"")</f>
        <v>6.8972820733968092</v>
      </c>
      <c r="W19" s="125">
        <f>IF(Tab.o1[[#This Row],[a1]]=1,IF(W$3=0,1,Tab.o1[[#This Row],[Amp.]]*1/_xlfn.MINIFS(Tab.o1[Amp.],Tab.o1[Amp.],"&lt;&gt;0")),"")</f>
        <v>1</v>
      </c>
      <c r="X19" s="126">
        <f ca="1">IF(Tab.o1[[#This Row],[a1]]=1,IF(ISNUMBER(Tab.o1[[#This Row],[i.]]),NORMDIST(Tab.o1[[#This Row],[Za]],0,1,FALSE)*Tab.o1[[#This Row],[i.]],AP$3),"")</f>
        <v>0.19348751344338713</v>
      </c>
      <c r="Y19" s="126">
        <f ca="1">IF(Tab.o1[[#This Row],[a1]]=1,0.01+0.94*Tab.o1[[#This Row],[PDF]]/MAX(Tab.o1[PDF]),"")</f>
        <v>0.46682568428614274</v>
      </c>
      <c r="Z19" s="126">
        <f>IF(Tab.o1[[#This Row],[a1]]=1,0.01+0.94*Tab.o1[[#This Row],[W1_PDF]]/MAX(Tab.o1[W1_PDF]),"")</f>
        <v>0.95</v>
      </c>
      <c r="AA19" s="118">
        <f>IF(Tab.o1[[#This Row],[a1]]=1,ABS([1]!T.in.A[[#This Row],[oo6]]),"")</f>
        <v>7.1269669999999993E-2</v>
      </c>
      <c r="AB19" s="127">
        <f ca="1">IF(Tab.o1[[#This Row],[a1]]=1,IF(AE$3=0,"",IF(AB$3=0,ABS([1]!T.in.A[[#This Row],[oo9]]),ABS(Tab.o1[[#This Row],[DIF_Target.]]*Tab.o1[[#This Row],[W1_PDF]]))),"")</f>
        <v>0.16414830394399621</v>
      </c>
      <c r="AC19" s="127" t="str">
        <f>IF(G$1=1,"",IF(Tab.o1[[#This Row],[a1]]=1,Tab.o1[[#This Row],[Wr]]^2,""))</f>
        <v/>
      </c>
      <c r="AD19" s="118" t="e">
        <f>IF(Tab.o1[[#This Row],[a1]]=1,IF(AE$3=0,"",Tab.o1[[#This Row],[Wr2]]/SUM(Tab.o1[Wr2])),"")</f>
        <v>#VALUE!</v>
      </c>
      <c r="AE19" s="128">
        <f>IF(Tab.o1[[#This Row],[a1]]=1,[1]!T.in.A[[#This Row],[oo10]],"")</f>
        <v>0.9919173</v>
      </c>
      <c r="AF19" s="118" t="e">
        <f ca="1">IF(Tab.o1[[#This Row],[a1]]=1,ABS(Tab.o1[[#This Row],[DIF_Target.]]*Tab.o1[[#This Row],[PDF2]]*Tab.o1[[#This Row],[IN]]),"")</f>
        <v>#REF!</v>
      </c>
      <c r="AG19" s="129" t="e">
        <f ca="1">IF(Tab.o1[[#This Row],[a1]]=1,Tab.o1[[#This Row],[rW]]^2,"")</f>
        <v>#REF!</v>
      </c>
      <c r="AH19" s="130" t="e">
        <f ca="1">IF(Tab.o1[[#This Row],[a1]]=1,IF(AH$3=0,Tab.o1[[#This Row],[rW2]],0.01+0.94*Tab.o1[[#This Row],[rW2]]/SUM(Tab.o1[rW2])),"")</f>
        <v>#REF!</v>
      </c>
      <c r="AI19" s="128">
        <f ca="1">IF(Tab.o1[[#This Row],[a1]]=1,1/Tab.o1[[#This Row],[PDF]],"")</f>
        <v>5.1682921662673174</v>
      </c>
      <c r="AJ19" s="131" t="e">
        <f>IF(Tab.o1[[#This Row],[a1]]=1,[1]!T_AA[[#This Row],[IN'']]*[1]!T_AA[[#This Row],[Qde'']],"")</f>
        <v>#REF!</v>
      </c>
      <c r="AK19" s="132" t="str">
        <f>IF(Tab.o1[[#This Row],[a1]]=1,IF(AK$1=1,Tab.o1[[#This Row],[MED]]+Tab.o1[[#This Row],[MOD]]-Tab.o1[[#This Row],[MED]],""),"")</f>
        <v/>
      </c>
      <c r="AL19" s="133">
        <f>IF(Tab.o1[[#This Row],[a1]]=1,[1]!T.in.A[[#This Row],[oo16]],"")</f>
        <v>4.1575172000000001E-2</v>
      </c>
      <c r="AM19" s="133">
        <f>IF(Tab.o1[[#This Row],[a1]]=1,IF(AM$3=1,[1]!T.in.A[[#This Row],[Σo16]],""),"")</f>
        <v>8.036648990865752E-4</v>
      </c>
      <c r="AN19" s="126" t="str">
        <f>IF(Tab.o1[[#This Row],[a1]]=1,[1]!T.in.A[[#This Row],[Σp5]],"")</f>
        <v/>
      </c>
      <c r="AO19" s="126" t="str">
        <f>IF(Tab.o1[[#This Row],[a1]]=1,IF(AO$3=1,[1]!T.in.A[[#This Row],[Σp5]],""),"")</f>
        <v/>
      </c>
      <c r="AP19" s="110">
        <f ca="1">IF(Tab.o1[[#This Row],[a1]]=1,IF(ISNUMBER(Tab.o1[[#This Row],[i.]]),NORMDIST(Tab.o1[[#This Row],[Za]],0,1,FALSE)*Tab.o1[[#This Row],[i.]],0),"")</f>
        <v>0.19348751344338713</v>
      </c>
      <c r="AQ19" s="125">
        <f>IF(Tab.o1[[#This Row],[a1]]=1,ABS(Tab.o1[[#This Row],[MOD]]-AVERAGE(Tab.o1[MOD])),"")</f>
        <v>1.4418359374999454</v>
      </c>
      <c r="AR19" s="134">
        <f>IF(Tab.o1[[#This Row],[a1]]=1,Tab.o1[[#This Row],[OBS]]/SUM(Tab.o1[OBS]),"")</f>
        <v>1.5048097815415606E-2</v>
      </c>
      <c r="AS19" s="135">
        <f>IF(ISNUMBER(Tab.o1[[#This Row],[a1]]),ROW()-4,"")</f>
        <v>15</v>
      </c>
      <c r="AT19" s="136">
        <f>Tab.o1[[#This Row],[MOD]]</f>
        <v>840.80319999999995</v>
      </c>
      <c r="AU19" s="137">
        <f t="shared" si="1"/>
        <v>840.80319999999995</v>
      </c>
      <c r="AV19" s="138">
        <f t="shared" si="2"/>
        <v>0</v>
      </c>
      <c r="AW19" s="138" t="str">
        <f t="shared" si="3"/>
        <v/>
      </c>
      <c r="AX19" s="139" t="str">
        <f>[1]!T.in.A[[#This Row],[ID_T_manu]]</f>
        <v/>
      </c>
      <c r="AY19" s="140" t="e">
        <f>IF(ISNUMBER(Tab.o1[[#This Row],[a1]]),IF(AND(Tab.o1[[#This Row],[a1]]=1,Tab.o1[[#This Row],[b1]]&lt;=AY$4),#REF!,AY18),"")</f>
        <v>#REF!</v>
      </c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ht="15.75">
      <c r="A20" s="109">
        <v>2.0000000000000003E-6</v>
      </c>
      <c r="B20" s="110">
        <f t="shared" si="0"/>
        <v>20</v>
      </c>
      <c r="C20" s="111">
        <f>IF(C$1=[1]!T.in.A[[#This Row],[oo2]],1,"")</f>
        <v>1</v>
      </c>
      <c r="D20" s="112">
        <f>IF(Tab.o1[[#This Row],[a1]]=1,IF(SUM(C20:C21)=0,0,IF(SUM(C19:C20)=1,1,IF(SUM(C19:C21)&gt;1,D19+1,0))),"")</f>
        <v>16</v>
      </c>
      <c r="E20" s="113" t="str">
        <f>IF(Tab.o1[[#This Row],[a1]]=1,[1]!T.in.A[[#This Row],[oo1]],"")</f>
        <v>hed16</v>
      </c>
      <c r="F20" s="113" t="str">
        <f>IF(Tab.o1[[#This Row],[a1]]=1,[1]!T.in.A[[#This Row],[pp1]],"")</f>
        <v/>
      </c>
      <c r="G20" s="114">
        <f>IF(Tab.o1[[#This Row],[a1]]=1,G$2+IF(G$1=1,0,Tab.o1[[#This Row],[.x1]])+[1]!T.in.A[[#This Row],[oo3]],"")</f>
        <v>838.3</v>
      </c>
      <c r="H20" s="115">
        <f>IF(Tab.o1[[#This Row],[a1]]=1,IF(H$2=0,0,IF(G$1=1,0,Tab.o1[[#This Row],[.x1]])+[1]!T.in.A[[#This Row],[oo4]]),"")</f>
        <v>840.76869999999997</v>
      </c>
      <c r="I20" s="116">
        <f>IF(Tab.o1[[#This Row],[a1]]=1,IF(J$2=0,Tab.o1[[#This Row],[MED]],Tab.o1[[#This Row],[MOD]]),"")</f>
        <v>838.3</v>
      </c>
      <c r="J20" s="116">
        <f ca="1">IF(Tab.o1[[#This Row],[a1]]=1,((Tab.o1[[#This Row],[DIF_Target.]]-AVERAGE(Tab.o1[DIF_Target.]))/_xlfn.STDEV.P(Tab.o1[DIF_Target.])),"")</f>
        <v>1.3290627519471907</v>
      </c>
      <c r="K20" s="117">
        <f>IF(Tab.o1[[#This Row],[a1]]=1,IF(J$2=0,Tab.o1[[#This Row],[MOD]]-Tab.o1[[#This Row],[B]],IF(J$2=1,0,-Tab.o1[[#This Row],[MED]])+Tab.o1[[#This Row],[B]]),"")</f>
        <v>2.4687000000000126</v>
      </c>
      <c r="L20" s="117">
        <f ca="1">IF(Tab.o1[[#This Row],[DIF_Target]]=0,IF(L$2=0,Tab.o1[[#This Row],[DIF_Target]],AVERAGE(OFFSET(Tab.o1[[#This Row],[DIF_Target]],1,0,L$3,1)))/3,Tab.o1[[#This Row],[DIF_Target]])</f>
        <v>2.4687000000000126</v>
      </c>
      <c r="M20" s="118">
        <f ca="1">IF(Tab.o1[[#This Row],[a1]]=1,NORMSDIST(Tab.o1[[#This Row],[Za]]),"")</f>
        <v>0.90808636612077931</v>
      </c>
      <c r="N20" s="119">
        <f>IF(Tab.o1[[#This Row],[a1]]=1,((Tab.o1[[#This Row],[MedMod]]-AVERAGE(Tab.o1[MedMod]))/_xlfn.STDEV.P(Tab.o1[MedMod])*H$1205)+G$1205,"")</f>
        <v>-0.19572927214437205</v>
      </c>
      <c r="O20" s="141">
        <f>IF(Tab.o1[[#This Row],[a1]]=1,Tab.o1[[#This Row],[Zb]]*_xlfn.STDEV.P(Tab.o1[MedMod])+AVERAGE(Tab.o1[MedMod]),"")</f>
        <v>838.3</v>
      </c>
      <c r="P20" s="117">
        <f ca="1">IF(Tab.o1[[#This Row],[B]]=0,AVERAGE(OFFSET(Tab.o1[[#This Row],[B]],1,0,L$3,1)),Tab.o1[[#This Row],[B]])</f>
        <v>838.3</v>
      </c>
      <c r="Q20" s="121">
        <f>IF(Tab.o1[[#This Row],[a1]]=1,NORMSDIST(Tab.o1[[#This Row],[Zb]]),"")</f>
        <v>0.42241103583732398</v>
      </c>
      <c r="R20" s="122">
        <f>IF(Tab.o1[[#This Row],[a1]]=1,((Tab.o1[[#This Row],[MedMod]]-AVERAGE(Tab.o1[MedMod]))/_xlfn.STDEV.P(Tab.o1[MedMod])*H$1203)+G$1203,"")</f>
        <v>1.804270727855628</v>
      </c>
      <c r="S20" s="122">
        <f>IF(Tab.o1[[#This Row],[a1]]=1,((Tab.o1[[#This Row],[MedMod]]-AVERAGE(Tab.o1[MedMod]))/_xlfn.STDEV.P(Tab.o1[MedMod])*H$1204)+G$1204,"")</f>
        <v>-2.195729272144372</v>
      </c>
      <c r="T20" s="123">
        <f>IF(Tab.o1[[#This Row],[a1]]=1,Tab.o1[[#This Row],[Z-]]*_xlfn.STDEV.P(Tab.o1[B])+AVERAGE(Tab.o1[B]),"")</f>
        <v>841.74864103669836</v>
      </c>
      <c r="U20" s="123">
        <f>IF(Tab.o1[[#This Row],[a1]]=1,Tab.o1[[#This Row],[z+]]*_xlfn.STDEV.P(Tab.o1[B])+AVERAGE(Tab.o1[B]),"")</f>
        <v>834.85135896330155</v>
      </c>
      <c r="V20" s="124">
        <f>IF(Tab.o1[[#This Row],[a1]]=1,ABS((ABS(Tab.o1[[#This Row],[Red]]-Tab.o1[[#This Row],[Blue]]))),"")</f>
        <v>6.8972820733968092</v>
      </c>
      <c r="W20" s="125">
        <f>IF(Tab.o1[[#This Row],[a1]]=1,IF(W$3=0,1,Tab.o1[[#This Row],[Amp.]]*1/_xlfn.MINIFS(Tab.o1[Amp.],Tab.o1[Amp.],"&lt;&gt;0")),"")</f>
        <v>1</v>
      </c>
      <c r="X20" s="126">
        <f ca="1">IF(Tab.o1[[#This Row],[a1]]=1,IF(ISNUMBER(Tab.o1[[#This Row],[i.]]),NORMDIST(Tab.o1[[#This Row],[Za]],0,1,FALSE)*Tab.o1[[#This Row],[i.]],AP$3),"")</f>
        <v>0.16494512560094815</v>
      </c>
      <c r="Y20" s="126">
        <f ca="1">IF(Tab.o1[[#This Row],[a1]]=1,0.01+0.94*Tab.o1[[#This Row],[PDF]]/MAX(Tab.o1[PDF]),"")</f>
        <v>0.39943686097017334</v>
      </c>
      <c r="Z20" s="126">
        <f>IF(Tab.o1[[#This Row],[a1]]=1,0.01+0.94*Tab.o1[[#This Row],[W1_PDF]]/MAX(Tab.o1[W1_PDF]),"")</f>
        <v>0.95</v>
      </c>
      <c r="AA20" s="118">
        <f>IF(Tab.o1[[#This Row],[a1]]=1,ABS([1]!T.in.A[[#This Row],[oo6]]),"")</f>
        <v>7.1269669999999993E-2</v>
      </c>
      <c r="AB20" s="127">
        <f ca="1">IF(Tab.o1[[#This Row],[a1]]=1,IF(AE$3=0,"",IF(AB$3=0,ABS([1]!T.in.A[[#This Row],[oo9]]),ABS(Tab.o1[[#This Row],[DIF_Target.]]*Tab.o1[[#This Row],[W1_PDF]]))),"")</f>
        <v>0.17594343432900089</v>
      </c>
      <c r="AC20" s="127" t="str">
        <f>IF(G$1=1,"",IF(Tab.o1[[#This Row],[a1]]=1,Tab.o1[[#This Row],[Wr]]^2,""))</f>
        <v/>
      </c>
      <c r="AD20" s="118" t="e">
        <f>IF(Tab.o1[[#This Row],[a1]]=1,IF(AE$3=0,"",Tab.o1[[#This Row],[Wr2]]/SUM(Tab.o1[Wr2])),"")</f>
        <v>#VALUE!</v>
      </c>
      <c r="AE20" s="128">
        <f>IF(Tab.o1[[#This Row],[a1]]=1,[1]!T.in.A[[#This Row],[oo10]],"")</f>
        <v>0.9919173</v>
      </c>
      <c r="AF20" s="118" t="e">
        <f ca="1">IF(Tab.o1[[#This Row],[a1]]=1,ABS(Tab.o1[[#This Row],[DIF_Target.]]*Tab.o1[[#This Row],[PDF2]]*Tab.o1[[#This Row],[IN]]),"")</f>
        <v>#REF!</v>
      </c>
      <c r="AG20" s="129" t="e">
        <f ca="1">IF(Tab.o1[[#This Row],[a1]]=1,Tab.o1[[#This Row],[rW]]^2,"")</f>
        <v>#REF!</v>
      </c>
      <c r="AH20" s="130" t="e">
        <f ca="1">IF(Tab.o1[[#This Row],[a1]]=1,IF(AH$3=0,Tab.o1[[#This Row],[rW2]],0.01+0.94*Tab.o1[[#This Row],[rW2]]/SUM(Tab.o1[rW2])),"")</f>
        <v>#REF!</v>
      </c>
      <c r="AI20" s="128">
        <f ca="1">IF(Tab.o1[[#This Row],[a1]]=1,1/Tab.o1[[#This Row],[PDF]],"")</f>
        <v>6.0626223197362048</v>
      </c>
      <c r="AJ20" s="131" t="e">
        <f>IF(Tab.o1[[#This Row],[a1]]=1,[1]!T_AA[[#This Row],[IN'']]*[1]!T_AA[[#This Row],[Qde'']],"")</f>
        <v>#REF!</v>
      </c>
      <c r="AK20" s="132" t="str">
        <f>IF(Tab.o1[[#This Row],[a1]]=1,IF(AK$1=1,Tab.o1[[#This Row],[MED]]+Tab.o1[[#This Row],[MOD]]-Tab.o1[[#This Row],[MED]],""),"")</f>
        <v/>
      </c>
      <c r="AL20" s="133">
        <f>IF(Tab.o1[[#This Row],[a1]]=1,[1]!T.in.A[[#This Row],[oo16]],"")</f>
        <v>9.1438440999999995E-2</v>
      </c>
      <c r="AM20" s="133">
        <f>IF(Tab.o1[[#This Row],[a1]]=1,IF(AM$3=1,[1]!T.in.A[[#This Row],[Σo16]],""),"")</f>
        <v>1.7675420671476416E-3</v>
      </c>
      <c r="AN20" s="126" t="str">
        <f>IF(Tab.o1[[#This Row],[a1]]=1,[1]!T.in.A[[#This Row],[Σp5]],"")</f>
        <v/>
      </c>
      <c r="AO20" s="126" t="str">
        <f>IF(Tab.o1[[#This Row],[a1]]=1,IF(AO$3=1,[1]!T.in.A[[#This Row],[Σp5]],""),"")</f>
        <v/>
      </c>
      <c r="AP20" s="110">
        <f ca="1">IF(Tab.o1[[#This Row],[a1]]=1,IF(ISNUMBER(Tab.o1[[#This Row],[i.]]),NORMDIST(Tab.o1[[#This Row],[Za]],0,1,FALSE)*Tab.o1[[#This Row],[i.]],0),"")</f>
        <v>0.16494512560094815</v>
      </c>
      <c r="AQ20" s="125">
        <f>IF(Tab.o1[[#This Row],[a1]]=1,ABS(Tab.o1[[#This Row],[MOD]]-AVERAGE(Tab.o1[MOD])),"")</f>
        <v>1.4073359374999654</v>
      </c>
      <c r="AR20" s="134">
        <f>IF(Tab.o1[[#This Row],[a1]]=1,Tab.o1[[#This Row],[OBS]]/SUM(Tab.o1[OBS]),"")</f>
        <v>1.4688029543340402E-2</v>
      </c>
      <c r="AS20" s="135">
        <f>IF(ISNUMBER(Tab.o1[[#This Row],[a1]]),ROW()-4,"")</f>
        <v>16</v>
      </c>
      <c r="AT20" s="136">
        <f>Tab.o1[[#This Row],[MOD]]</f>
        <v>840.76869999999997</v>
      </c>
      <c r="AU20" s="137">
        <f t="shared" si="1"/>
        <v>840.76869999999997</v>
      </c>
      <c r="AV20" s="138">
        <f t="shared" si="2"/>
        <v>0</v>
      </c>
      <c r="AW20" s="138" t="str">
        <f t="shared" si="3"/>
        <v/>
      </c>
      <c r="AX20" s="139" t="str">
        <f>[1]!T.in.A[[#This Row],[ID_T_manu]]</f>
        <v/>
      </c>
      <c r="AY20" s="140" t="e">
        <f>IF(ISNUMBER(Tab.o1[[#This Row],[a1]]),IF(AND(Tab.o1[[#This Row],[a1]]=1,Tab.o1[[#This Row],[b1]]&lt;=AY$4),#REF!,AY19),"")</f>
        <v>#REF!</v>
      </c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</row>
    <row r="21" spans="1:79" ht="15.75">
      <c r="A21" s="109">
        <v>9.0000000000000002E-6</v>
      </c>
      <c r="B21" s="110">
        <f t="shared" si="0"/>
        <v>21</v>
      </c>
      <c r="C21" s="111">
        <f>IF(C$1=[1]!T.in.A[[#This Row],[oo2]],1,"")</f>
        <v>1</v>
      </c>
      <c r="D21" s="112">
        <f>IF(Tab.o1[[#This Row],[a1]]=1,IF(SUM(C21:C22)=0,0,IF(SUM(C20:C21)=1,1,IF(SUM(C20:C22)&gt;1,D20+1,0))),"")</f>
        <v>17</v>
      </c>
      <c r="E21" s="113" t="str">
        <f>IF(Tab.o1[[#This Row],[a1]]=1,[1]!T.in.A[[#This Row],[oo1]],"")</f>
        <v>hed17</v>
      </c>
      <c r="F21" s="113" t="str">
        <f>IF(Tab.o1[[#This Row],[a1]]=1,[1]!T.in.A[[#This Row],[pp1]],"")</f>
        <v/>
      </c>
      <c r="G21" s="114">
        <f>IF(Tab.o1[[#This Row],[a1]]=1,G$2+IF(G$1=1,0,Tab.o1[[#This Row],[.x1]])+[1]!T.in.A[[#This Row],[oo3]],"")</f>
        <v>838.1</v>
      </c>
      <c r="H21" s="115">
        <f>IF(Tab.o1[[#This Row],[a1]]=1,IF(H$2=0,0,IF(G$1=1,0,Tab.o1[[#This Row],[.x1]])+[1]!T.in.A[[#This Row],[oo4]]),"")</f>
        <v>840.69749999999999</v>
      </c>
      <c r="I21" s="116">
        <f>IF(Tab.o1[[#This Row],[a1]]=1,IF(J$2=0,Tab.o1[[#This Row],[MED]],Tab.o1[[#This Row],[MOD]]),"")</f>
        <v>838.1</v>
      </c>
      <c r="J21" s="116">
        <f ca="1">IF(Tab.o1[[#This Row],[a1]]=1,((Tab.o1[[#This Row],[DIF_Target.]]-AVERAGE(Tab.o1[DIF_Target.]))/_xlfn.STDEV.P(Tab.o1[DIF_Target.])),"")</f>
        <v>1.4271712782399317</v>
      </c>
      <c r="K21" s="117">
        <f>IF(Tab.o1[[#This Row],[a1]]=1,IF(J$2=0,Tab.o1[[#This Row],[MOD]]-Tab.o1[[#This Row],[B]],IF(J$2=1,0,-Tab.o1[[#This Row],[MED]])+Tab.o1[[#This Row],[B]]),"")</f>
        <v>2.5974999999999682</v>
      </c>
      <c r="L21" s="117">
        <f ca="1">IF(Tab.o1[[#This Row],[DIF_Target]]=0,IF(L$2=0,Tab.o1[[#This Row],[DIF_Target]],AVERAGE(OFFSET(Tab.o1[[#This Row],[DIF_Target]],1,0,L$3,1)))/3,Tab.o1[[#This Row],[DIF_Target]])</f>
        <v>2.5974999999999682</v>
      </c>
      <c r="M21" s="118">
        <f ca="1">IF(Tab.o1[[#This Row],[a1]]=1,NORMSDIST(Tab.o1[[#This Row],[Za]]),"")</f>
        <v>0.92323473443628579</v>
      </c>
      <c r="N21" s="119">
        <f>IF(Tab.o1[[#This Row],[a1]]=1,((Tab.o1[[#This Row],[MedMod]]-AVERAGE(Tab.o1[MedMod]))/_xlfn.STDEV.P(Tab.o1[MedMod])*H$1205)+G$1205,"")</f>
        <v>-0.3117169889705958</v>
      </c>
      <c r="O21" s="141">
        <f>IF(Tab.o1[[#This Row],[a1]]=1,Tab.o1[[#This Row],[Zb]]*_xlfn.STDEV.P(Tab.o1[MedMod])+AVERAGE(Tab.o1[MedMod]),"")</f>
        <v>838.1</v>
      </c>
      <c r="P21" s="117">
        <f ca="1">IF(Tab.o1[[#This Row],[B]]=0,AVERAGE(OFFSET(Tab.o1[[#This Row],[B]],1,0,L$3,1)),Tab.o1[[#This Row],[B]])</f>
        <v>838.1</v>
      </c>
      <c r="Q21" s="121">
        <f>IF(Tab.o1[[#This Row],[a1]]=1,NORMSDIST(Tab.o1[[#This Row],[Zb]]),"")</f>
        <v>0.37762780775400617</v>
      </c>
      <c r="R21" s="122">
        <f>IF(Tab.o1[[#This Row],[a1]]=1,((Tab.o1[[#This Row],[MedMod]]-AVERAGE(Tab.o1[MedMod]))/_xlfn.STDEV.P(Tab.o1[MedMod])*H$1203)+G$1203,"")</f>
        <v>1.6882830110294043</v>
      </c>
      <c r="S21" s="122">
        <f>IF(Tab.o1[[#This Row],[a1]]=1,((Tab.o1[[#This Row],[MedMod]]-AVERAGE(Tab.o1[MedMod]))/_xlfn.STDEV.P(Tab.o1[MedMod])*H$1204)+G$1204,"")</f>
        <v>-2.3117169889705957</v>
      </c>
      <c r="T21" s="123">
        <f>IF(Tab.o1[[#This Row],[a1]]=1,Tab.o1[[#This Row],[Z-]]*_xlfn.STDEV.P(Tab.o1[B])+AVERAGE(Tab.o1[B]),"")</f>
        <v>841.54864103669843</v>
      </c>
      <c r="U21" s="123">
        <f>IF(Tab.o1[[#This Row],[a1]]=1,Tab.o1[[#This Row],[z+]]*_xlfn.STDEV.P(Tab.o1[B])+AVERAGE(Tab.o1[B]),"")</f>
        <v>834.65135896330162</v>
      </c>
      <c r="V21" s="124">
        <f>IF(Tab.o1[[#This Row],[a1]]=1,ABS((ABS(Tab.o1[[#This Row],[Red]]-Tab.o1[[#This Row],[Blue]]))),"")</f>
        <v>6.8972820733968092</v>
      </c>
      <c r="W21" s="125">
        <f>IF(Tab.o1[[#This Row],[a1]]=1,IF(W$3=0,1,Tab.o1[[#This Row],[Amp.]]*1/_xlfn.MINIFS(Tab.o1[Amp.],Tab.o1[Amp.],"&lt;&gt;0")),"")</f>
        <v>1</v>
      </c>
      <c r="X21" s="126">
        <f ca="1">IF(Tab.o1[[#This Row],[a1]]=1,IF(ISNUMBER(Tab.o1[[#This Row],[i.]]),NORMDIST(Tab.o1[[#This Row],[Za]],0,1,FALSE)*Tab.o1[[#This Row],[i.]],AP$3),"")</f>
        <v>0.14408563597135354</v>
      </c>
      <c r="Y21" s="126">
        <f ca="1">IF(Tab.o1[[#This Row],[a1]]=1,0.01+0.94*Tab.o1[[#This Row],[PDF]]/MAX(Tab.o1[PDF]),"")</f>
        <v>0.35018742644949352</v>
      </c>
      <c r="Z21" s="126">
        <f>IF(Tab.o1[[#This Row],[a1]]=1,0.01+0.94*Tab.o1[[#This Row],[W1_PDF]]/MAX(Tab.o1[W1_PDF]),"")</f>
        <v>0.95</v>
      </c>
      <c r="AA21" s="118">
        <f>IF(Tab.o1[[#This Row],[a1]]=1,ABS([1]!T.in.A[[#This Row],[oo6]]),"")</f>
        <v>7.1269669999999993E-2</v>
      </c>
      <c r="AB21" s="127">
        <f ca="1">IF(Tab.o1[[#This Row],[a1]]=1,IF(AE$3=0,"",IF(AB$3=0,ABS([1]!T.in.A[[#This Row],[oo9]]),ABS(Tab.o1[[#This Row],[DIF_Target.]]*Tab.o1[[#This Row],[W1_PDF]]))),"")</f>
        <v>0.18512296782499771</v>
      </c>
      <c r="AC21" s="127" t="str">
        <f>IF(G$1=1,"",IF(Tab.o1[[#This Row],[a1]]=1,Tab.o1[[#This Row],[Wr]]^2,""))</f>
        <v/>
      </c>
      <c r="AD21" s="118" t="e">
        <f>IF(Tab.o1[[#This Row],[a1]]=1,IF(AE$3=0,"",Tab.o1[[#This Row],[Wr2]]/SUM(Tab.o1[Wr2])),"")</f>
        <v>#VALUE!</v>
      </c>
      <c r="AE21" s="128">
        <f>IF(Tab.o1[[#This Row],[a1]]=1,[1]!T.in.A[[#This Row],[oo10]],"")</f>
        <v>0.9919173</v>
      </c>
      <c r="AF21" s="118" t="e">
        <f ca="1">IF(Tab.o1[[#This Row],[a1]]=1,ABS(Tab.o1[[#This Row],[DIF_Target.]]*Tab.o1[[#This Row],[PDF2]]*Tab.o1[[#This Row],[IN]]),"")</f>
        <v>#REF!</v>
      </c>
      <c r="AG21" s="129" t="e">
        <f ca="1">IF(Tab.o1[[#This Row],[a1]]=1,Tab.o1[[#This Row],[rW]]^2,"")</f>
        <v>#REF!</v>
      </c>
      <c r="AH21" s="130" t="e">
        <f ca="1">IF(Tab.o1[[#This Row],[a1]]=1,IF(AH$3=0,Tab.o1[[#This Row],[rW2]],0.01+0.94*Tab.o1[[#This Row],[rW2]]/SUM(Tab.o1[rW2])),"")</f>
        <v>#REF!</v>
      </c>
      <c r="AI21" s="128">
        <f ca="1">IF(Tab.o1[[#This Row],[a1]]=1,1/Tab.o1[[#This Row],[PDF]],"")</f>
        <v>6.9403170778162471</v>
      </c>
      <c r="AJ21" s="131" t="e">
        <f>IF(Tab.o1[[#This Row],[a1]]=1,[1]!T_AA[[#This Row],[IN'']]*[1]!T_AA[[#This Row],[Qde'']],"")</f>
        <v>#REF!</v>
      </c>
      <c r="AK21" s="132" t="str">
        <f>IF(Tab.o1[[#This Row],[a1]]=1,IF(AK$1=1,Tab.o1[[#This Row],[MED]]+Tab.o1[[#This Row],[MOD]]-Tab.o1[[#This Row],[MED]],""),"")</f>
        <v/>
      </c>
      <c r="AL21" s="133">
        <f>IF(Tab.o1[[#This Row],[a1]]=1,[1]!T.in.A[[#This Row],[oo16]],"")</f>
        <v>0.20829929999999999</v>
      </c>
      <c r="AM21" s="133">
        <f>IF(Tab.o1[[#This Row],[a1]]=1,IF(AM$3=1,[1]!T.in.A[[#This Row],[Σo16]],""),"")</f>
        <v>4.0265097619873761E-3</v>
      </c>
      <c r="AN21" s="126" t="str">
        <f>IF(Tab.o1[[#This Row],[a1]]=1,[1]!T.in.A[[#This Row],[Σp5]],"")</f>
        <v/>
      </c>
      <c r="AO21" s="126" t="str">
        <f>IF(Tab.o1[[#This Row],[a1]]=1,IF(AO$3=1,[1]!T.in.A[[#This Row],[Σp5]],""),"")</f>
        <v/>
      </c>
      <c r="AP21" s="110">
        <f ca="1">IF(Tab.o1[[#This Row],[a1]]=1,IF(ISNUMBER(Tab.o1[[#This Row],[i.]]),NORMDIST(Tab.o1[[#This Row],[Za]],0,1,FALSE)*Tab.o1[[#This Row],[i.]],0),"")</f>
        <v>0.14408563597135354</v>
      </c>
      <c r="AQ21" s="125">
        <f>IF(Tab.o1[[#This Row],[a1]]=1,ABS(Tab.o1[[#This Row],[MOD]]-AVERAGE(Tab.o1[MOD])),"")</f>
        <v>1.3361359374999893</v>
      </c>
      <c r="AR21" s="134">
        <f>IF(Tab.o1[[#This Row],[a1]]=1,Tab.o1[[#This Row],[OBS]]/SUM(Tab.o1[OBS]),"")</f>
        <v>1.3944932123869075E-2</v>
      </c>
      <c r="AS21" s="135">
        <f>IF(ISNUMBER(Tab.o1[[#This Row],[a1]]),ROW()-4,"")</f>
        <v>17</v>
      </c>
      <c r="AT21" s="136">
        <f>Tab.o1[[#This Row],[MOD]]</f>
        <v>840.69749999999999</v>
      </c>
      <c r="AU21" s="137">
        <f t="shared" si="1"/>
        <v>840.69749999999999</v>
      </c>
      <c r="AV21" s="138">
        <f t="shared" si="2"/>
        <v>0</v>
      </c>
      <c r="AW21" s="138" t="str">
        <f t="shared" si="3"/>
        <v/>
      </c>
      <c r="AX21" s="139" t="str">
        <f>[1]!T.in.A[[#This Row],[ID_T_manu]]</f>
        <v/>
      </c>
      <c r="AY21" s="140" t="e">
        <f>IF(ISNUMBER(Tab.o1[[#This Row],[a1]]),IF(AND(Tab.o1[[#This Row],[a1]]=1,Tab.o1[[#This Row],[b1]]&lt;=AY$4),#REF!,AY20),"")</f>
        <v>#REF!</v>
      </c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</row>
    <row r="22" spans="1:79" ht="15.75">
      <c r="A22" s="109">
        <v>-1.0000000000000001E-5</v>
      </c>
      <c r="B22" s="110">
        <f t="shared" si="0"/>
        <v>22</v>
      </c>
      <c r="C22" s="111">
        <f>IF(C$1=[1]!T.in.A[[#This Row],[oo2]],1,"")</f>
        <v>1</v>
      </c>
      <c r="D22" s="112">
        <f>IF(Tab.o1[[#This Row],[a1]]=1,IF(SUM(C22:C23)=0,0,IF(SUM(C21:C22)=1,1,IF(SUM(C21:C23)&gt;1,D21+1,0))),"")</f>
        <v>18</v>
      </c>
      <c r="E22" s="113" t="str">
        <f>IF(Tab.o1[[#This Row],[a1]]=1,[1]!T.in.A[[#This Row],[oo1]],"")</f>
        <v>hed18</v>
      </c>
      <c r="F22" s="113" t="str">
        <f>IF(Tab.o1[[#This Row],[a1]]=1,[1]!T.in.A[[#This Row],[pp1]],"")</f>
        <v/>
      </c>
      <c r="G22" s="114">
        <f>IF(Tab.o1[[#This Row],[a1]]=1,G$2+IF(G$1=1,0,Tab.o1[[#This Row],[.x1]])+[1]!T.in.A[[#This Row],[oo3]],"")</f>
        <v>837.9</v>
      </c>
      <c r="H22" s="115">
        <f>IF(Tab.o1[[#This Row],[a1]]=1,IF(H$2=0,0,IF(G$1=1,0,Tab.o1[[#This Row],[.x1]])+[1]!T.in.A[[#This Row],[oo4]]),"")</f>
        <v>840.59870000000001</v>
      </c>
      <c r="I22" s="116">
        <f>IF(Tab.o1[[#This Row],[a1]]=1,IF(J$2=0,Tab.o1[[#This Row],[MED]],Tab.o1[[#This Row],[MOD]]),"")</f>
        <v>837.9</v>
      </c>
      <c r="J22" s="116">
        <f ca="1">IF(Tab.o1[[#This Row],[a1]]=1,((Tab.o1[[#This Row],[DIF_Target.]]-AVERAGE(Tab.o1[DIF_Target.]))/_xlfn.STDEV.P(Tab.o1[DIF_Target.])),"")</f>
        <v>1.504256548898588</v>
      </c>
      <c r="K22" s="117">
        <f>IF(Tab.o1[[#This Row],[a1]]=1,IF(J$2=0,Tab.o1[[#This Row],[MOD]]-Tab.o1[[#This Row],[B]],IF(J$2=1,0,-Tab.o1[[#This Row],[MED]])+Tab.o1[[#This Row],[B]]),"")</f>
        <v>2.6987000000000307</v>
      </c>
      <c r="L22" s="117">
        <f ca="1">IF(Tab.o1[[#This Row],[DIF_Target]]=0,IF(L$2=0,Tab.o1[[#This Row],[DIF_Target]],AVERAGE(OFFSET(Tab.o1[[#This Row],[DIF_Target]],1,0,L$3,1)))/3,Tab.o1[[#This Row],[DIF_Target]])</f>
        <v>2.6987000000000307</v>
      </c>
      <c r="M22" s="118">
        <f ca="1">IF(Tab.o1[[#This Row],[a1]]=1,NORMSDIST(Tab.o1[[#This Row],[Za]]),"")</f>
        <v>0.93374233882314572</v>
      </c>
      <c r="N22" s="119">
        <f>IF(Tab.o1[[#This Row],[a1]]=1,((Tab.o1[[#This Row],[MedMod]]-AVERAGE(Tab.o1[MedMod]))/_xlfn.STDEV.P(Tab.o1[MedMod])*H$1205)+G$1205,"")</f>
        <v>-0.42770470579688541</v>
      </c>
      <c r="O22" s="141">
        <f>IF(Tab.o1[[#This Row],[a1]]=1,Tab.o1[[#This Row],[Zb]]*_xlfn.STDEV.P(Tab.o1[MedMod])+AVERAGE(Tab.o1[MedMod]),"")</f>
        <v>837.9</v>
      </c>
      <c r="P22" s="117">
        <f ca="1">IF(Tab.o1[[#This Row],[B]]=0,AVERAGE(OFFSET(Tab.o1[[#This Row],[B]],1,0,L$3,1)),Tab.o1[[#This Row],[B]])</f>
        <v>837.9</v>
      </c>
      <c r="Q22" s="121">
        <f>IF(Tab.o1[[#This Row],[a1]]=1,NORMSDIST(Tab.o1[[#This Row],[Zb]]),"")</f>
        <v>0.33443306169464548</v>
      </c>
      <c r="R22" s="122">
        <f>IF(Tab.o1[[#This Row],[a1]]=1,((Tab.o1[[#This Row],[MedMod]]-AVERAGE(Tab.o1[MedMod]))/_xlfn.STDEV.P(Tab.o1[MedMod])*H$1203)+G$1203,"")</f>
        <v>1.5722952942031145</v>
      </c>
      <c r="S22" s="122">
        <f>IF(Tab.o1[[#This Row],[a1]]=1,((Tab.o1[[#This Row],[MedMod]]-AVERAGE(Tab.o1[MedMod]))/_xlfn.STDEV.P(Tab.o1[MedMod])*H$1204)+G$1204,"")</f>
        <v>-2.4277047057968852</v>
      </c>
      <c r="T22" s="123">
        <f>IF(Tab.o1[[#This Row],[a1]]=1,Tab.o1[[#This Row],[Z-]]*_xlfn.STDEV.P(Tab.o1[B])+AVERAGE(Tab.o1[B]),"")</f>
        <v>841.34864103669838</v>
      </c>
      <c r="U22" s="123">
        <f>IF(Tab.o1[[#This Row],[a1]]=1,Tab.o1[[#This Row],[z+]]*_xlfn.STDEV.P(Tab.o1[B])+AVERAGE(Tab.o1[B]),"")</f>
        <v>834.45135896330157</v>
      </c>
      <c r="V22" s="124">
        <f>IF(Tab.o1[[#This Row],[a1]]=1,ABS((ABS(Tab.o1[[#This Row],[Red]]-Tab.o1[[#This Row],[Blue]]))),"")</f>
        <v>6.8972820733968092</v>
      </c>
      <c r="W22" s="125">
        <f>IF(Tab.o1[[#This Row],[a1]]=1,IF(W$3=0,1,Tab.o1[[#This Row],[Amp.]]*1/_xlfn.MINIFS(Tab.o1[Amp.],Tab.o1[Amp.],"&lt;&gt;0")),"")</f>
        <v>1</v>
      </c>
      <c r="X22" s="126">
        <f ca="1">IF(Tab.o1[[#This Row],[a1]]=1,IF(ISNUMBER(Tab.o1[[#This Row],[i.]]),NORMDIST(Tab.o1[[#This Row],[Za]],0,1,FALSE)*Tab.o1[[#This Row],[i.]],AP$3),"")</f>
        <v>0.12869211720209897</v>
      </c>
      <c r="Y22" s="126">
        <f ca="1">IF(Tab.o1[[#This Row],[a1]]=1,0.01+0.94*Tab.o1[[#This Row],[PDF]]/MAX(Tab.o1[PDF]),"")</f>
        <v>0.31384319616719236</v>
      </c>
      <c r="Z22" s="126">
        <f>IF(Tab.o1[[#This Row],[a1]]=1,0.01+0.94*Tab.o1[[#This Row],[W1_PDF]]/MAX(Tab.o1[W1_PDF]),"")</f>
        <v>0.95</v>
      </c>
      <c r="AA22" s="118">
        <f>IF(Tab.o1[[#This Row],[a1]]=1,ABS([1]!T.in.A[[#This Row],[oo6]]),"")</f>
        <v>7.1269669999999993E-2</v>
      </c>
      <c r="AB22" s="127">
        <f ca="1">IF(Tab.o1[[#This Row],[a1]]=1,IF(AE$3=0,"",IF(AB$3=0,ABS([1]!T.in.A[[#This Row],[oo9]]),ABS(Tab.o1[[#This Row],[DIF_Target.]]*Tab.o1[[#This Row],[W1_PDF]]))),"")</f>
        <v>0.19233545842900218</v>
      </c>
      <c r="AC22" s="127" t="str">
        <f>IF(G$1=1,"",IF(Tab.o1[[#This Row],[a1]]=1,Tab.o1[[#This Row],[Wr]]^2,""))</f>
        <v/>
      </c>
      <c r="AD22" s="118" t="e">
        <f>IF(Tab.o1[[#This Row],[a1]]=1,IF(AE$3=0,"",Tab.o1[[#This Row],[Wr2]]/SUM(Tab.o1[Wr2])),"")</f>
        <v>#VALUE!</v>
      </c>
      <c r="AE22" s="128">
        <f>IF(Tab.o1[[#This Row],[a1]]=1,[1]!T.in.A[[#This Row],[oo10]],"")</f>
        <v>0.9919173</v>
      </c>
      <c r="AF22" s="118" t="e">
        <f ca="1">IF(Tab.o1[[#This Row],[a1]]=1,ABS(Tab.o1[[#This Row],[DIF_Target.]]*Tab.o1[[#This Row],[PDF2]]*Tab.o1[[#This Row],[IN]]),"")</f>
        <v>#REF!</v>
      </c>
      <c r="AG22" s="129" t="e">
        <f ca="1">IF(Tab.o1[[#This Row],[a1]]=1,Tab.o1[[#This Row],[rW]]^2,"")</f>
        <v>#REF!</v>
      </c>
      <c r="AH22" s="130" t="e">
        <f ca="1">IF(Tab.o1[[#This Row],[a1]]=1,IF(AH$3=0,Tab.o1[[#This Row],[rW2]],0.01+0.94*Tab.o1[[#This Row],[rW2]]/SUM(Tab.o1[rW2])),"")</f>
        <v>#REF!</v>
      </c>
      <c r="AI22" s="128">
        <f ca="1">IF(Tab.o1[[#This Row],[a1]]=1,1/Tab.o1[[#This Row],[PDF]],"")</f>
        <v>7.7704837074798698</v>
      </c>
      <c r="AJ22" s="131" t="e">
        <f>IF(Tab.o1[[#This Row],[a1]]=1,[1]!T_AA[[#This Row],[IN'']]*[1]!T_AA[[#This Row],[Qde'']],"")</f>
        <v>#REF!</v>
      </c>
      <c r="AK22" s="132" t="str">
        <f>IF(Tab.o1[[#This Row],[a1]]=1,IF(AK$1=1,Tab.o1[[#This Row],[MED]]+Tab.o1[[#This Row],[MOD]]-Tab.o1[[#This Row],[MED]],""),"")</f>
        <v/>
      </c>
      <c r="AL22" s="133">
        <f>IF(Tab.o1[[#This Row],[a1]]=1,[1]!T.in.A[[#This Row],[oo16]],"")</f>
        <v>0.34568189999999999</v>
      </c>
      <c r="AM22" s="133">
        <f>IF(Tab.o1[[#This Row],[a1]]=1,IF(AM$3=1,[1]!T.in.A[[#This Row],[Σo16]],""),"")</f>
        <v>6.6821710149402519E-3</v>
      </c>
      <c r="AN22" s="126" t="str">
        <f>IF(Tab.o1[[#This Row],[a1]]=1,[1]!T.in.A[[#This Row],[Σp5]],"")</f>
        <v/>
      </c>
      <c r="AO22" s="126" t="str">
        <f>IF(Tab.o1[[#This Row],[a1]]=1,IF(AO$3=1,[1]!T.in.A[[#This Row],[Σp5]],""),"")</f>
        <v/>
      </c>
      <c r="AP22" s="110">
        <f ca="1">IF(Tab.o1[[#This Row],[a1]]=1,IF(ISNUMBER(Tab.o1[[#This Row],[i.]]),NORMDIST(Tab.o1[[#This Row],[Za]],0,1,FALSE)*Tab.o1[[#This Row],[i.]],0),"")</f>
        <v>0.12869211720209897</v>
      </c>
      <c r="AQ22" s="125">
        <f>IF(Tab.o1[[#This Row],[a1]]=1,ABS(Tab.o1[[#This Row],[MOD]]-AVERAGE(Tab.o1[MOD])),"")</f>
        <v>1.2373359375000064</v>
      </c>
      <c r="AR22" s="134">
        <f>IF(Tab.o1[[#This Row],[a1]]=1,Tab.o1[[#This Row],[OBS]]/SUM(Tab.o1[OBS]),"")</f>
        <v>1.2913780086737346E-2</v>
      </c>
      <c r="AS22" s="135">
        <f>IF(ISNUMBER(Tab.o1[[#This Row],[a1]]),ROW()-4,"")</f>
        <v>18</v>
      </c>
      <c r="AT22" s="136">
        <f>Tab.o1[[#This Row],[MOD]]</f>
        <v>840.59870000000001</v>
      </c>
      <c r="AU22" s="137">
        <f t="shared" si="1"/>
        <v>840.59870000000001</v>
      </c>
      <c r="AV22" s="138">
        <f t="shared" si="2"/>
        <v>0</v>
      </c>
      <c r="AW22" s="138" t="str">
        <f t="shared" si="3"/>
        <v/>
      </c>
      <c r="AX22" s="139" t="str">
        <f>[1]!T.in.A[[#This Row],[ID_T_manu]]</f>
        <v/>
      </c>
      <c r="AY22" s="140" t="e">
        <f>IF(ISNUMBER(Tab.o1[[#This Row],[a1]]),IF(AND(Tab.o1[[#This Row],[a1]]=1,Tab.o1[[#This Row],[b1]]&lt;=AY$4),#REF!,AY21),"")</f>
        <v>#REF!</v>
      </c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</row>
    <row r="23" spans="1:79" ht="15.75">
      <c r="A23" s="109">
        <v>6.9999999999999999E-6</v>
      </c>
      <c r="B23" s="110">
        <f t="shared" si="0"/>
        <v>23</v>
      </c>
      <c r="C23" s="111">
        <f>IF(C$1=[1]!T.in.A[[#This Row],[oo2]],1,"")</f>
        <v>1</v>
      </c>
      <c r="D23" s="112">
        <f>IF(Tab.o1[[#This Row],[a1]]=1,IF(SUM(C23:C24)=0,0,IF(SUM(C22:C23)=1,1,IF(SUM(C22:C24)&gt;1,D22+1,0))),"")</f>
        <v>19</v>
      </c>
      <c r="E23" s="113" t="str">
        <f>IF(Tab.o1[[#This Row],[a1]]=1,[1]!T.in.A[[#This Row],[oo1]],"")</f>
        <v>hed19</v>
      </c>
      <c r="F23" s="113" t="str">
        <f>IF(Tab.o1[[#This Row],[a1]]=1,[1]!T.in.A[[#This Row],[pp1]],"")</f>
        <v/>
      </c>
      <c r="G23" s="114">
        <f>IF(Tab.o1[[#This Row],[a1]]=1,G$2+IF(G$1=1,0,Tab.o1[[#This Row],[.x1]])+[1]!T.in.A[[#This Row],[oo3]],"")</f>
        <v>837.9</v>
      </c>
      <c r="H23" s="115">
        <f>IF(Tab.o1[[#This Row],[a1]]=1,IF(H$2=0,0,IF(G$1=1,0,Tab.o1[[#This Row],[.x1]])+[1]!T.in.A[[#This Row],[oo4]]),"")</f>
        <v>840.54880000000003</v>
      </c>
      <c r="I23" s="116">
        <f>IF(Tab.o1[[#This Row],[a1]]=1,IF(J$2=0,Tab.o1[[#This Row],[MED]],Tab.o1[[#This Row],[MOD]]),"")</f>
        <v>837.9</v>
      </c>
      <c r="J23" s="116">
        <f ca="1">IF(Tab.o1[[#This Row],[a1]]=1,((Tab.o1[[#This Row],[DIF_Target.]]-AVERAGE(Tab.o1[DIF_Target.]))/_xlfn.STDEV.P(Tab.o1[DIF_Target.])),"")</f>
        <v>1.46624711208176</v>
      </c>
      <c r="K23" s="117">
        <f>IF(Tab.o1[[#This Row],[a1]]=1,IF(J$2=0,Tab.o1[[#This Row],[MOD]]-Tab.o1[[#This Row],[B]],IF(J$2=1,0,-Tab.o1[[#This Row],[MED]])+Tab.o1[[#This Row],[B]]),"")</f>
        <v>2.6488000000000511</v>
      </c>
      <c r="L23" s="117">
        <f ca="1">IF(Tab.o1[[#This Row],[DIF_Target]]=0,IF(L$2=0,Tab.o1[[#This Row],[DIF_Target]],AVERAGE(OFFSET(Tab.o1[[#This Row],[DIF_Target]],1,0,L$3,1)))/3,Tab.o1[[#This Row],[DIF_Target]])</f>
        <v>2.6488000000000511</v>
      </c>
      <c r="M23" s="118">
        <f ca="1">IF(Tab.o1[[#This Row],[a1]]=1,NORMSDIST(Tab.o1[[#This Row],[Za]]),"")</f>
        <v>0.92870951098835242</v>
      </c>
      <c r="N23" s="119">
        <f>IF(Tab.o1[[#This Row],[a1]]=1,((Tab.o1[[#This Row],[MedMod]]-AVERAGE(Tab.o1[MedMod]))/_xlfn.STDEV.P(Tab.o1[MedMod])*H$1205)+G$1205,"")</f>
        <v>-0.42770470579688541</v>
      </c>
      <c r="O23" s="141">
        <f>IF(Tab.o1[[#This Row],[a1]]=1,Tab.o1[[#This Row],[Zb]]*_xlfn.STDEV.P(Tab.o1[MedMod])+AVERAGE(Tab.o1[MedMod]),"")</f>
        <v>837.9</v>
      </c>
      <c r="P23" s="117">
        <f ca="1">IF(Tab.o1[[#This Row],[B]]=0,AVERAGE(OFFSET(Tab.o1[[#This Row],[B]],1,0,L$3,1)),Tab.o1[[#This Row],[B]])</f>
        <v>837.9</v>
      </c>
      <c r="Q23" s="121">
        <f>IF(Tab.o1[[#This Row],[a1]]=1,NORMSDIST(Tab.o1[[#This Row],[Zb]]),"")</f>
        <v>0.33443306169464548</v>
      </c>
      <c r="R23" s="122">
        <f>IF(Tab.o1[[#This Row],[a1]]=1,((Tab.o1[[#This Row],[MedMod]]-AVERAGE(Tab.o1[MedMod]))/_xlfn.STDEV.P(Tab.o1[MedMod])*H$1203)+G$1203,"")</f>
        <v>1.5722952942031145</v>
      </c>
      <c r="S23" s="122">
        <f>IF(Tab.o1[[#This Row],[a1]]=1,((Tab.o1[[#This Row],[MedMod]]-AVERAGE(Tab.o1[MedMod]))/_xlfn.STDEV.P(Tab.o1[MedMod])*H$1204)+G$1204,"")</f>
        <v>-2.4277047057968852</v>
      </c>
      <c r="T23" s="123">
        <f>IF(Tab.o1[[#This Row],[a1]]=1,Tab.o1[[#This Row],[Z-]]*_xlfn.STDEV.P(Tab.o1[B])+AVERAGE(Tab.o1[B]),"")</f>
        <v>841.34864103669838</v>
      </c>
      <c r="U23" s="123">
        <f>IF(Tab.o1[[#This Row],[a1]]=1,Tab.o1[[#This Row],[z+]]*_xlfn.STDEV.P(Tab.o1[B])+AVERAGE(Tab.o1[B]),"")</f>
        <v>834.45135896330157</v>
      </c>
      <c r="V23" s="124">
        <f>IF(Tab.o1[[#This Row],[a1]]=1,ABS((ABS(Tab.o1[[#This Row],[Red]]-Tab.o1[[#This Row],[Blue]]))),"")</f>
        <v>6.8972820733968092</v>
      </c>
      <c r="W23" s="125">
        <f>IF(Tab.o1[[#This Row],[a1]]=1,IF(W$3=0,1,Tab.o1[[#This Row],[Amp.]]*1/_xlfn.MINIFS(Tab.o1[Amp.],Tab.o1[Amp.],"&lt;&gt;0")),"")</f>
        <v>1</v>
      </c>
      <c r="X23" s="126">
        <f ca="1">IF(Tab.o1[[#This Row],[a1]]=1,IF(ISNUMBER(Tab.o1[[#This Row],[i.]]),NORMDIST(Tab.o1[[#This Row],[Za]],0,1,FALSE)*Tab.o1[[#This Row],[i.]],AP$3),"")</f>
        <v>0.13616623410690334</v>
      </c>
      <c r="Y23" s="126">
        <f ca="1">IF(Tab.o1[[#This Row],[a1]]=1,0.01+0.94*Tab.o1[[#This Row],[PDF]]/MAX(Tab.o1[PDF]),"")</f>
        <v>0.33148965049754325</v>
      </c>
      <c r="Z23" s="126">
        <f>IF(Tab.o1[[#This Row],[a1]]=1,0.01+0.94*Tab.o1[[#This Row],[W1_PDF]]/MAX(Tab.o1[W1_PDF]),"")</f>
        <v>0.95</v>
      </c>
      <c r="AA23" s="118">
        <f>IF(Tab.o1[[#This Row],[a1]]=1,ABS([1]!T.in.A[[#This Row],[oo6]]),"")</f>
        <v>7.1269669999999993E-2</v>
      </c>
      <c r="AB23" s="127">
        <f ca="1">IF(Tab.o1[[#This Row],[a1]]=1,IF(AE$3=0,"",IF(AB$3=0,ABS([1]!T.in.A[[#This Row],[oo9]]),ABS(Tab.o1[[#This Row],[DIF_Target.]]*Tab.o1[[#This Row],[W1_PDF]]))),"")</f>
        <v>0.18877910189600364</v>
      </c>
      <c r="AC23" s="127" t="str">
        <f>IF(G$1=1,"",IF(Tab.o1[[#This Row],[a1]]=1,Tab.o1[[#This Row],[Wr]]^2,""))</f>
        <v/>
      </c>
      <c r="AD23" s="118" t="e">
        <f>IF(Tab.o1[[#This Row],[a1]]=1,IF(AE$3=0,"",Tab.o1[[#This Row],[Wr2]]/SUM(Tab.o1[Wr2])),"")</f>
        <v>#VALUE!</v>
      </c>
      <c r="AE23" s="128">
        <f>IF(Tab.o1[[#This Row],[a1]]=1,[1]!T.in.A[[#This Row],[oo10]],"")</f>
        <v>0.9919173</v>
      </c>
      <c r="AF23" s="118" t="e">
        <f ca="1">IF(Tab.o1[[#This Row],[a1]]=1,ABS(Tab.o1[[#This Row],[DIF_Target.]]*Tab.o1[[#This Row],[PDF2]]*Tab.o1[[#This Row],[IN]]),"")</f>
        <v>#REF!</v>
      </c>
      <c r="AG23" s="129" t="e">
        <f ca="1">IF(Tab.o1[[#This Row],[a1]]=1,Tab.o1[[#This Row],[rW]]^2,"")</f>
        <v>#REF!</v>
      </c>
      <c r="AH23" s="130" t="e">
        <f ca="1">IF(Tab.o1[[#This Row],[a1]]=1,IF(AH$3=0,Tab.o1[[#This Row],[rW2]],0.01+0.94*Tab.o1[[#This Row],[rW2]]/SUM(Tab.o1[rW2])),"")</f>
        <v>#REF!</v>
      </c>
      <c r="AI23" s="128">
        <f ca="1">IF(Tab.o1[[#This Row],[a1]]=1,1/Tab.o1[[#This Row],[PDF]],"")</f>
        <v>7.3439645779944653</v>
      </c>
      <c r="AJ23" s="131" t="e">
        <f>IF(Tab.o1[[#This Row],[a1]]=1,[1]!T_AA[[#This Row],[IN'']]*[1]!T_AA[[#This Row],[Qde'']],"")</f>
        <v>#REF!</v>
      </c>
      <c r="AK23" s="132" t="str">
        <f>IF(Tab.o1[[#This Row],[a1]]=1,IF(AK$1=1,Tab.o1[[#This Row],[MED]]+Tab.o1[[#This Row],[MOD]]-Tab.o1[[#This Row],[MED]],""),"")</f>
        <v/>
      </c>
      <c r="AL23" s="133">
        <f>IF(Tab.o1[[#This Row],[a1]]=1,[1]!T.in.A[[#This Row],[oo16]],"")</f>
        <v>0.41503909999999999</v>
      </c>
      <c r="AM23" s="133">
        <f>IF(Tab.o1[[#This Row],[a1]]=1,IF(AM$3=1,[1]!T.in.A[[#This Row],[Σo16]],""),"")</f>
        <v>8.0228737578880733E-3</v>
      </c>
      <c r="AN23" s="126" t="str">
        <f>IF(Tab.o1[[#This Row],[a1]]=1,[1]!T.in.A[[#This Row],[Σp5]],"")</f>
        <v/>
      </c>
      <c r="AO23" s="126" t="str">
        <f>IF(Tab.o1[[#This Row],[a1]]=1,IF(AO$3=1,[1]!T.in.A[[#This Row],[Σp5]],""),"")</f>
        <v/>
      </c>
      <c r="AP23" s="110">
        <f ca="1">IF(Tab.o1[[#This Row],[a1]]=1,IF(ISNUMBER(Tab.o1[[#This Row],[i.]]),NORMDIST(Tab.o1[[#This Row],[Za]],0,1,FALSE)*Tab.o1[[#This Row],[i.]],0),"")</f>
        <v>0.13616623410690334</v>
      </c>
      <c r="AQ23" s="125">
        <f>IF(Tab.o1[[#This Row],[a1]]=1,ABS(Tab.o1[[#This Row],[MOD]]-AVERAGE(Tab.o1[MOD])),"")</f>
        <v>1.1874359375000267</v>
      </c>
      <c r="AR23" s="134">
        <f>IF(Tab.o1[[#This Row],[a1]]=1,Tab.o1[[#This Row],[OBS]]/SUM(Tab.o1[OBS]),"")</f>
        <v>1.2392985687416889E-2</v>
      </c>
      <c r="AS23" s="135">
        <f>IF(ISNUMBER(Tab.o1[[#This Row],[a1]]),ROW()-4,"")</f>
        <v>19</v>
      </c>
      <c r="AT23" s="136">
        <f>Tab.o1[[#This Row],[MOD]]</f>
        <v>840.54880000000003</v>
      </c>
      <c r="AU23" s="137">
        <f t="shared" si="1"/>
        <v>840.54880000000003</v>
      </c>
      <c r="AV23" s="138">
        <f t="shared" si="2"/>
        <v>0</v>
      </c>
      <c r="AW23" s="138" t="str">
        <f t="shared" si="3"/>
        <v/>
      </c>
      <c r="AX23" s="139" t="str">
        <f>[1]!T.in.A[[#This Row],[ID_T_manu]]</f>
        <v/>
      </c>
      <c r="AY23" s="140" t="e">
        <f>IF(ISNUMBER(Tab.o1[[#This Row],[a1]]),IF(AND(Tab.o1[[#This Row],[a1]]=1,Tab.o1[[#This Row],[b1]]&lt;=AY$4),#REF!,AY22),"")</f>
        <v>#REF!</v>
      </c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</row>
    <row r="24" spans="1:79" ht="15.75">
      <c r="A24" s="109">
        <v>-4.0000000000000007E-6</v>
      </c>
      <c r="B24" s="110">
        <f t="shared" si="0"/>
        <v>24</v>
      </c>
      <c r="C24" s="111">
        <f>IF(C$1=[1]!T.in.A[[#This Row],[oo2]],1,"")</f>
        <v>1</v>
      </c>
      <c r="D24" s="112">
        <f>IF(Tab.o1[[#This Row],[a1]]=1,IF(SUM(C24:C25)=0,0,IF(SUM(C23:C24)=1,1,IF(SUM(C23:C25)&gt;1,D23+1,0))),"")</f>
        <v>20</v>
      </c>
      <c r="E24" s="113" t="str">
        <f>IF(Tab.o1[[#This Row],[a1]]=1,[1]!T.in.A[[#This Row],[oo1]],"")</f>
        <v>hed20</v>
      </c>
      <c r="F24" s="113" t="str">
        <f>IF(Tab.o1[[#This Row],[a1]]=1,[1]!T.in.A[[#This Row],[pp1]],"")</f>
        <v/>
      </c>
      <c r="G24" s="114">
        <f>IF(Tab.o1[[#This Row],[a1]]=1,G$2+IF(G$1=1,0,Tab.o1[[#This Row],[.x1]])+[1]!T.in.A[[#This Row],[oo3]],"")</f>
        <v>837.7</v>
      </c>
      <c r="H24" s="115">
        <f>IF(Tab.o1[[#This Row],[a1]]=1,IF(H$2=0,0,IF(G$1=1,0,Tab.o1[[#This Row],[.x1]])+[1]!T.in.A[[#This Row],[oo4]]),"")</f>
        <v>840.44889999999998</v>
      </c>
      <c r="I24" s="116">
        <f>IF(Tab.o1[[#This Row],[a1]]=1,IF(J$2=0,Tab.o1[[#This Row],[MED]],Tab.o1[[#This Row],[MOD]]),"")</f>
        <v>837.7</v>
      </c>
      <c r="J24" s="116">
        <f ca="1">IF(Tab.o1[[#This Row],[a1]]=1,((Tab.o1[[#This Row],[DIF_Target.]]-AVERAGE(Tab.o1[DIF_Target.]))/_xlfn.STDEV.P(Tab.o1[DIF_Target.])),"")</f>
        <v>1.5424944993635563</v>
      </c>
      <c r="K24" s="117">
        <f>IF(Tab.o1[[#This Row],[a1]]=1,IF(J$2=0,Tab.o1[[#This Row],[MOD]]-Tab.o1[[#This Row],[B]],IF(J$2=1,0,-Tab.o1[[#This Row],[MED]])+Tab.o1[[#This Row],[B]]),"")</f>
        <v>2.7488999999999351</v>
      </c>
      <c r="L24" s="117">
        <f ca="1">IF(Tab.o1[[#This Row],[DIF_Target]]=0,IF(L$2=0,Tab.o1[[#This Row],[DIF_Target]],AVERAGE(OFFSET(Tab.o1[[#This Row],[DIF_Target]],1,0,L$3,1)))/3,Tab.o1[[#This Row],[DIF_Target]])</f>
        <v>2.7488999999999351</v>
      </c>
      <c r="M24" s="118">
        <f ca="1">IF(Tab.o1[[#This Row],[a1]]=1,NORMSDIST(Tab.o1[[#This Row],[Za]]),"")</f>
        <v>0.9385232632019701</v>
      </c>
      <c r="N24" s="119">
        <f>IF(Tab.o1[[#This Row],[a1]]=1,((Tab.o1[[#This Row],[MedMod]]-AVERAGE(Tab.o1[MedMod]))/_xlfn.STDEV.P(Tab.o1[MedMod])*H$1205)+G$1205,"")</f>
        <v>-0.54369242262310913</v>
      </c>
      <c r="O24" s="141">
        <f>IF(Tab.o1[[#This Row],[a1]]=1,Tab.o1[[#This Row],[Zb]]*_xlfn.STDEV.P(Tab.o1[MedMod])+AVERAGE(Tab.o1[MedMod]),"")</f>
        <v>837.7</v>
      </c>
      <c r="P24" s="117">
        <f ca="1">IF(Tab.o1[[#This Row],[B]]=0,AVERAGE(OFFSET(Tab.o1[[#This Row],[B]],1,0,L$3,1)),Tab.o1[[#This Row],[B]])</f>
        <v>837.7</v>
      </c>
      <c r="Q24" s="121">
        <f>IF(Tab.o1[[#This Row],[a1]]=1,NORMSDIST(Tab.o1[[#This Row],[Zb]]),"")</f>
        <v>0.29332657380765409</v>
      </c>
      <c r="R24" s="122">
        <f>IF(Tab.o1[[#This Row],[a1]]=1,((Tab.o1[[#This Row],[MedMod]]-AVERAGE(Tab.o1[MedMod]))/_xlfn.STDEV.P(Tab.o1[MedMod])*H$1203)+G$1203,"")</f>
        <v>1.456307577376891</v>
      </c>
      <c r="S24" s="122">
        <f>IF(Tab.o1[[#This Row],[a1]]=1,((Tab.o1[[#This Row],[MedMod]]-AVERAGE(Tab.o1[MedMod]))/_xlfn.STDEV.P(Tab.o1[MedMod])*H$1204)+G$1204,"")</f>
        <v>-2.543692422623109</v>
      </c>
      <c r="T24" s="123">
        <f>IF(Tab.o1[[#This Row],[a1]]=1,Tab.o1[[#This Row],[Z-]]*_xlfn.STDEV.P(Tab.o1[B])+AVERAGE(Tab.o1[B]),"")</f>
        <v>841.14864103669845</v>
      </c>
      <c r="U24" s="123">
        <f>IF(Tab.o1[[#This Row],[a1]]=1,Tab.o1[[#This Row],[z+]]*_xlfn.STDEV.P(Tab.o1[B])+AVERAGE(Tab.o1[B]),"")</f>
        <v>834.25135896330164</v>
      </c>
      <c r="V24" s="124">
        <f>IF(Tab.o1[[#This Row],[a1]]=1,ABS((ABS(Tab.o1[[#This Row],[Red]]-Tab.o1[[#This Row],[Blue]]))),"")</f>
        <v>6.8972820733968092</v>
      </c>
      <c r="W24" s="125">
        <f>IF(Tab.o1[[#This Row],[a1]]=1,IF(W$3=0,1,Tab.o1[[#This Row],[Amp.]]*1/_xlfn.MINIFS(Tab.o1[Amp.],Tab.o1[Amp.],"&lt;&gt;0")),"")</f>
        <v>1</v>
      </c>
      <c r="X24" s="126">
        <f ca="1">IF(Tab.o1[[#This Row],[a1]]=1,IF(ISNUMBER(Tab.o1[[#This Row],[i.]]),NORMDIST(Tab.o1[[#This Row],[Za]],0,1,FALSE)*Tab.o1[[#This Row],[i.]],AP$3),"")</f>
        <v>0.12140986134235195</v>
      </c>
      <c r="Y24" s="126">
        <f ca="1">IF(Tab.o1[[#This Row],[a1]]=1,0.01+0.94*Tab.o1[[#This Row],[PDF]]/MAX(Tab.o1[PDF]),"")</f>
        <v>0.29664972741527174</v>
      </c>
      <c r="Z24" s="126">
        <f>IF(Tab.o1[[#This Row],[a1]]=1,0.01+0.94*Tab.o1[[#This Row],[W1_PDF]]/MAX(Tab.o1[W1_PDF]),"")</f>
        <v>0.95</v>
      </c>
      <c r="AA24" s="118">
        <f>IF(Tab.o1[[#This Row],[a1]]=1,ABS([1]!T.in.A[[#This Row],[oo6]]),"")</f>
        <v>7.1269669999999993E-2</v>
      </c>
      <c r="AB24" s="127">
        <f ca="1">IF(Tab.o1[[#This Row],[a1]]=1,IF(AE$3=0,"",IF(AB$3=0,ABS([1]!T.in.A[[#This Row],[oo9]]),ABS(Tab.o1[[#This Row],[DIF_Target.]]*Tab.o1[[#This Row],[W1_PDF]]))),"")</f>
        <v>0.19591319586299535</v>
      </c>
      <c r="AC24" s="127" t="str">
        <f>IF(G$1=1,"",IF(Tab.o1[[#This Row],[a1]]=1,Tab.o1[[#This Row],[Wr]]^2,""))</f>
        <v/>
      </c>
      <c r="AD24" s="118" t="e">
        <f>IF(Tab.o1[[#This Row],[a1]]=1,IF(AE$3=0,"",Tab.o1[[#This Row],[Wr2]]/SUM(Tab.o1[Wr2])),"")</f>
        <v>#VALUE!</v>
      </c>
      <c r="AE24" s="128">
        <f>IF(Tab.o1[[#This Row],[a1]]=1,[1]!T.in.A[[#This Row],[oo10]],"")</f>
        <v>0.9919173</v>
      </c>
      <c r="AF24" s="118" t="e">
        <f ca="1">IF(Tab.o1[[#This Row],[a1]]=1,ABS(Tab.o1[[#This Row],[DIF_Target.]]*Tab.o1[[#This Row],[PDF2]]*Tab.o1[[#This Row],[IN]]),"")</f>
        <v>#REF!</v>
      </c>
      <c r="AG24" s="129" t="e">
        <f ca="1">IF(Tab.o1[[#This Row],[a1]]=1,Tab.o1[[#This Row],[rW]]^2,"")</f>
        <v>#REF!</v>
      </c>
      <c r="AH24" s="130" t="e">
        <f ca="1">IF(Tab.o1[[#This Row],[a1]]=1,IF(AH$3=0,Tab.o1[[#This Row],[rW2]],0.01+0.94*Tab.o1[[#This Row],[rW2]]/SUM(Tab.o1[rW2])),"")</f>
        <v>#REF!</v>
      </c>
      <c r="AI24" s="128">
        <f ca="1">IF(Tab.o1[[#This Row],[a1]]=1,1/Tab.o1[[#This Row],[PDF]],"")</f>
        <v>8.2365632325383888</v>
      </c>
      <c r="AJ24" s="131" t="e">
        <f>IF(Tab.o1[[#This Row],[a1]]=1,[1]!T_AA[[#This Row],[IN'']]*[1]!T_AA[[#This Row],[Qde'']],"")</f>
        <v>#REF!</v>
      </c>
      <c r="AK24" s="132" t="str">
        <f>IF(Tab.o1[[#This Row],[a1]]=1,IF(AK$1=1,Tab.o1[[#This Row],[MED]]+Tab.o1[[#This Row],[MOD]]-Tab.o1[[#This Row],[MED]],""),"")</f>
        <v/>
      </c>
      <c r="AL24" s="133">
        <f>IF(Tab.o1[[#This Row],[a1]]=1,[1]!T.in.A[[#This Row],[oo16]],"")</f>
        <v>0.54566990000000004</v>
      </c>
      <c r="AM24" s="133">
        <f>IF(Tab.o1[[#This Row],[a1]]=1,IF(AM$3=1,[1]!T.in.A[[#This Row],[Σo16]],""),"")</f>
        <v>1.0548019984573524E-2</v>
      </c>
      <c r="AN24" s="126" t="str">
        <f>IF(Tab.o1[[#This Row],[a1]]=1,[1]!T.in.A[[#This Row],[Σp5]],"")</f>
        <v/>
      </c>
      <c r="AO24" s="126" t="str">
        <f>IF(Tab.o1[[#This Row],[a1]]=1,IF(AO$3=1,[1]!T.in.A[[#This Row],[Σp5]],""),"")</f>
        <v/>
      </c>
      <c r="AP24" s="110">
        <f ca="1">IF(Tab.o1[[#This Row],[a1]]=1,IF(ISNUMBER(Tab.o1[[#This Row],[i.]]),NORMDIST(Tab.o1[[#This Row],[Za]],0,1,FALSE)*Tab.o1[[#This Row],[i.]],0),"")</f>
        <v>0.12140986134235195</v>
      </c>
      <c r="AQ24" s="125">
        <f>IF(Tab.o1[[#This Row],[a1]]=1,ABS(Tab.o1[[#This Row],[MOD]]-AVERAGE(Tab.o1[MOD])),"")</f>
        <v>1.0875359374999789</v>
      </c>
      <c r="AR24" s="134">
        <f>IF(Tab.o1[[#This Row],[a1]]=1,Tab.o1[[#This Row],[OBS]]/SUM(Tab.o1[OBS]),"")</f>
        <v>1.1350353212624106E-2</v>
      </c>
      <c r="AS24" s="135">
        <f>IF(ISNUMBER(Tab.o1[[#This Row],[a1]]),ROW()-4,"")</f>
        <v>20</v>
      </c>
      <c r="AT24" s="136">
        <f>Tab.o1[[#This Row],[MOD]]</f>
        <v>840.44889999999998</v>
      </c>
      <c r="AU24" s="137">
        <f t="shared" si="1"/>
        <v>840.44889999999998</v>
      </c>
      <c r="AV24" s="138">
        <f t="shared" si="2"/>
        <v>0</v>
      </c>
      <c r="AW24" s="138" t="str">
        <f t="shared" si="3"/>
        <v/>
      </c>
      <c r="AX24" s="139" t="str">
        <f>[1]!T.in.A[[#This Row],[ID_T_manu]]</f>
        <v/>
      </c>
      <c r="AY24" s="140" t="e">
        <f>IF(ISNUMBER(Tab.o1[[#This Row],[a1]]),IF(AND(Tab.o1[[#This Row],[a1]]=1,Tab.o1[[#This Row],[b1]]&lt;=AY$4),#REF!,AY23),"")</f>
        <v>#REF!</v>
      </c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</row>
    <row r="25" spans="1:79" ht="15.75">
      <c r="A25" s="109">
        <v>2.0000000000000003E-6</v>
      </c>
      <c r="B25" s="110">
        <f t="shared" si="0"/>
        <v>25</v>
      </c>
      <c r="C25" s="111">
        <f>IF(C$1=[1]!T.in.A[[#This Row],[oo2]],1,"")</f>
        <v>1</v>
      </c>
      <c r="D25" s="112">
        <f>IF(Tab.o1[[#This Row],[a1]]=1,IF(SUM(C25:C26)=0,0,IF(SUM(C24:C25)=1,1,IF(SUM(C24:C26)&gt;1,D24+1,0))),"")</f>
        <v>21</v>
      </c>
      <c r="E25" s="113" t="str">
        <f>IF(Tab.o1[[#This Row],[a1]]=1,[1]!T.in.A[[#This Row],[oo1]],"")</f>
        <v>hed21</v>
      </c>
      <c r="F25" s="113" t="str">
        <f>IF(Tab.o1[[#This Row],[a1]]=1,[1]!T.in.A[[#This Row],[pp1]],"")</f>
        <v/>
      </c>
      <c r="G25" s="114">
        <f>IF(Tab.o1[[#This Row],[a1]]=1,G$2+IF(G$1=1,0,Tab.o1[[#This Row],[.x1]])+[1]!T.in.A[[#This Row],[oo3]],"")</f>
        <v>837.6</v>
      </c>
      <c r="H25" s="115">
        <f>IF(Tab.o1[[#This Row],[a1]]=1,IF(H$2=0,0,IF(G$1=1,0,Tab.o1[[#This Row],[.x1]])+[1]!T.in.A[[#This Row],[oo4]]),"")</f>
        <v>840.34900000000005</v>
      </c>
      <c r="I25" s="116">
        <f>IF(Tab.o1[[#This Row],[a1]]=1,IF(J$2=0,Tab.o1[[#This Row],[MED]],Tab.o1[[#This Row],[MOD]]),"")</f>
        <v>837.6</v>
      </c>
      <c r="J25" s="116">
        <f ca="1">IF(Tab.o1[[#This Row],[a1]]=1,((Tab.o1[[#This Row],[DIF_Target.]]-AVERAGE(Tab.o1[DIF_Target.]))/_xlfn.STDEV.P(Tab.o1[DIF_Target.])),"")</f>
        <v>1.5425706705796896</v>
      </c>
      <c r="K25" s="117">
        <f>IF(Tab.o1[[#This Row],[a1]]=1,IF(J$2=0,Tab.o1[[#This Row],[MOD]]-Tab.o1[[#This Row],[B]],IF(J$2=1,0,-Tab.o1[[#This Row],[MED]])+Tab.o1[[#This Row],[B]]),"")</f>
        <v>2.7490000000000236</v>
      </c>
      <c r="L25" s="117">
        <f ca="1">IF(Tab.o1[[#This Row],[DIF_Target]]=0,IF(L$2=0,Tab.o1[[#This Row],[DIF_Target]],AVERAGE(OFFSET(Tab.o1[[#This Row],[DIF_Target]],1,0,L$3,1)))/3,Tab.o1[[#This Row],[DIF_Target]])</f>
        <v>2.7490000000000236</v>
      </c>
      <c r="M25" s="118">
        <f ca="1">IF(Tab.o1[[#This Row],[a1]]=1,NORMSDIST(Tab.o1[[#This Row],[Za]]),"")</f>
        <v>0.93853251059548437</v>
      </c>
      <c r="N25" s="119">
        <f>IF(Tab.o1[[#This Row],[a1]]=1,((Tab.o1[[#This Row],[MedMod]]-AVERAGE(Tab.o1[MedMod]))/_xlfn.STDEV.P(Tab.o1[MedMod])*H$1205)+G$1205,"")</f>
        <v>-0.60168628103625399</v>
      </c>
      <c r="O25" s="141">
        <f>IF(Tab.o1[[#This Row],[a1]]=1,Tab.o1[[#This Row],[Zb]]*_xlfn.STDEV.P(Tab.o1[MedMod])+AVERAGE(Tab.o1[MedMod]),"")</f>
        <v>837.6</v>
      </c>
      <c r="P25" s="117">
        <f ca="1">IF(Tab.o1[[#This Row],[B]]=0,AVERAGE(OFFSET(Tab.o1[[#This Row],[B]],1,0,L$3,1)),Tab.o1[[#This Row],[B]])</f>
        <v>837.6</v>
      </c>
      <c r="Q25" s="121">
        <f>IF(Tab.o1[[#This Row],[a1]]=1,NORMSDIST(Tab.o1[[#This Row],[Zb]]),"")</f>
        <v>0.27369149185327912</v>
      </c>
      <c r="R25" s="122">
        <f>IF(Tab.o1[[#This Row],[a1]]=1,((Tab.o1[[#This Row],[MedMod]]-AVERAGE(Tab.o1[MedMod]))/_xlfn.STDEV.P(Tab.o1[MedMod])*H$1203)+G$1203,"")</f>
        <v>1.398313718963746</v>
      </c>
      <c r="S25" s="122">
        <f>IF(Tab.o1[[#This Row],[a1]]=1,((Tab.o1[[#This Row],[MedMod]]-AVERAGE(Tab.o1[MedMod]))/_xlfn.STDEV.P(Tab.o1[MedMod])*H$1204)+G$1204,"")</f>
        <v>-2.6016862810362538</v>
      </c>
      <c r="T25" s="123">
        <f>IF(Tab.o1[[#This Row],[a1]]=1,Tab.o1[[#This Row],[Z-]]*_xlfn.STDEV.P(Tab.o1[B])+AVERAGE(Tab.o1[B]),"")</f>
        <v>841.04864103669843</v>
      </c>
      <c r="U25" s="123">
        <f>IF(Tab.o1[[#This Row],[a1]]=1,Tab.o1[[#This Row],[z+]]*_xlfn.STDEV.P(Tab.o1[B])+AVERAGE(Tab.o1[B]),"")</f>
        <v>834.15135896330162</v>
      </c>
      <c r="V25" s="124">
        <f>IF(Tab.o1[[#This Row],[a1]]=1,ABS((ABS(Tab.o1[[#This Row],[Red]]-Tab.o1[[#This Row],[Blue]]))),"")</f>
        <v>6.8972820733968092</v>
      </c>
      <c r="W25" s="125">
        <f>IF(Tab.o1[[#This Row],[a1]]=1,IF(W$3=0,1,Tab.o1[[#This Row],[Amp.]]*1/_xlfn.MINIFS(Tab.o1[Amp.],Tab.o1[Amp.],"&lt;&gt;0")),"")</f>
        <v>1</v>
      </c>
      <c r="X25" s="126">
        <f ca="1">IF(Tab.o1[[#This Row],[a1]]=1,IF(ISNUMBER(Tab.o1[[#This Row],[i.]]),NORMDIST(Tab.o1[[#This Row],[Za]],0,1,FALSE)*Tab.o1[[#This Row],[i.]],AP$3),"")</f>
        <v>0.12139559693653702</v>
      </c>
      <c r="Y25" s="126">
        <f ca="1">IF(Tab.o1[[#This Row],[a1]]=1,0.01+0.94*Tab.o1[[#This Row],[PDF]]/MAX(Tab.o1[PDF]),"")</f>
        <v>0.29661604903039107</v>
      </c>
      <c r="Z25" s="126">
        <f>IF(Tab.o1[[#This Row],[a1]]=1,0.01+0.94*Tab.o1[[#This Row],[W1_PDF]]/MAX(Tab.o1[W1_PDF]),"")</f>
        <v>0.95</v>
      </c>
      <c r="AA25" s="118">
        <f>IF(Tab.o1[[#This Row],[a1]]=1,ABS([1]!T.in.A[[#This Row],[oo6]]),"")</f>
        <v>7.1269669999999993E-2</v>
      </c>
      <c r="AB25" s="127">
        <f ca="1">IF(Tab.o1[[#This Row],[a1]]=1,IF(AE$3=0,"",IF(AB$3=0,ABS([1]!T.in.A[[#This Row],[oo9]]),ABS(Tab.o1[[#This Row],[DIF_Target.]]*Tab.o1[[#This Row],[W1_PDF]]))),"")</f>
        <v>0.19592032283000166</v>
      </c>
      <c r="AC25" s="127" t="str">
        <f>IF(G$1=1,"",IF(Tab.o1[[#This Row],[a1]]=1,Tab.o1[[#This Row],[Wr]]^2,""))</f>
        <v/>
      </c>
      <c r="AD25" s="118" t="e">
        <f>IF(Tab.o1[[#This Row],[a1]]=1,IF(AE$3=0,"",Tab.o1[[#This Row],[Wr2]]/SUM(Tab.o1[Wr2])),"")</f>
        <v>#VALUE!</v>
      </c>
      <c r="AE25" s="128">
        <f>IF(Tab.o1[[#This Row],[a1]]=1,[1]!T.in.A[[#This Row],[oo10]],"")</f>
        <v>0.9919173</v>
      </c>
      <c r="AF25" s="118" t="e">
        <f ca="1">IF(Tab.o1[[#This Row],[a1]]=1,ABS(Tab.o1[[#This Row],[DIF_Target.]]*Tab.o1[[#This Row],[PDF2]]*Tab.o1[[#This Row],[IN]]),"")</f>
        <v>#REF!</v>
      </c>
      <c r="AG25" s="129" t="e">
        <f ca="1">IF(Tab.o1[[#This Row],[a1]]=1,Tab.o1[[#This Row],[rW]]^2,"")</f>
        <v>#REF!</v>
      </c>
      <c r="AH25" s="130" t="e">
        <f ca="1">IF(Tab.o1[[#This Row],[a1]]=1,IF(AH$3=0,Tab.o1[[#This Row],[rW2]],0.01+0.94*Tab.o1[[#This Row],[rW2]]/SUM(Tab.o1[rW2])),"")</f>
        <v>#REF!</v>
      </c>
      <c r="AI25" s="128">
        <f ca="1">IF(Tab.o1[[#This Row],[a1]]=1,1/Tab.o1[[#This Row],[PDF]],"")</f>
        <v>8.2375310574301821</v>
      </c>
      <c r="AJ25" s="131" t="e">
        <f>IF(Tab.o1[[#This Row],[a1]]=1,[1]!T_AA[[#This Row],[IN'']]*[1]!T_AA[[#This Row],[Qde'']],"")</f>
        <v>#REF!</v>
      </c>
      <c r="AK25" s="132" t="str">
        <f>IF(Tab.o1[[#This Row],[a1]]=1,IF(AK$1=1,Tab.o1[[#This Row],[MED]]+Tab.o1[[#This Row],[MOD]]-Tab.o1[[#This Row],[MED]],""),"")</f>
        <v/>
      </c>
      <c r="AL25" s="133">
        <f>IF(Tab.o1[[#This Row],[a1]]=1,[1]!T.in.A[[#This Row],[oo16]],"")</f>
        <v>0.66077839999999999</v>
      </c>
      <c r="AM25" s="133">
        <f>IF(Tab.o1[[#This Row],[a1]]=1,IF(AM$3=1,[1]!T.in.A[[#This Row],[Σo16]],""),"")</f>
        <v>1.2773113870811854E-2</v>
      </c>
      <c r="AN25" s="126" t="str">
        <f>IF(Tab.o1[[#This Row],[a1]]=1,[1]!T.in.A[[#This Row],[Σp5]],"")</f>
        <v/>
      </c>
      <c r="AO25" s="126" t="str">
        <f>IF(Tab.o1[[#This Row],[a1]]=1,IF(AO$3=1,[1]!T.in.A[[#This Row],[Σp5]],""),"")</f>
        <v/>
      </c>
      <c r="AP25" s="110">
        <f ca="1">IF(Tab.o1[[#This Row],[a1]]=1,IF(ISNUMBER(Tab.o1[[#This Row],[i.]]),NORMDIST(Tab.o1[[#This Row],[Za]],0,1,FALSE)*Tab.o1[[#This Row],[i.]],0),"")</f>
        <v>0.12139559693653702</v>
      </c>
      <c r="AQ25" s="125">
        <f>IF(Tab.o1[[#This Row],[a1]]=1,ABS(Tab.o1[[#This Row],[MOD]]-AVERAGE(Tab.o1[MOD])),"")</f>
        <v>0.98763593750004475</v>
      </c>
      <c r="AR25" s="134">
        <f>IF(Tab.o1[[#This Row],[a1]]=1,Tab.o1[[#This Row],[OBS]]/SUM(Tab.o1[OBS]),"")</f>
        <v>1.0307720737832511E-2</v>
      </c>
      <c r="AS25" s="135">
        <f>IF(ISNUMBER(Tab.o1[[#This Row],[a1]]),ROW()-4,"")</f>
        <v>21</v>
      </c>
      <c r="AT25" s="136">
        <f>Tab.o1[[#This Row],[MOD]]</f>
        <v>840.34900000000005</v>
      </c>
      <c r="AU25" s="137">
        <f t="shared" si="1"/>
        <v>840.34900000000005</v>
      </c>
      <c r="AV25" s="138">
        <f t="shared" si="2"/>
        <v>0</v>
      </c>
      <c r="AW25" s="138" t="str">
        <f t="shared" si="3"/>
        <v/>
      </c>
      <c r="AX25" s="139" t="str">
        <f>[1]!T.in.A[[#This Row],[ID_T_manu]]</f>
        <v/>
      </c>
      <c r="AY25" s="140" t="e">
        <f>IF(ISNUMBER(Tab.o1[[#This Row],[a1]]),IF(AND(Tab.o1[[#This Row],[a1]]=1,Tab.o1[[#This Row],[b1]]&lt;=AY$4),#REF!,AY24),"")</f>
        <v>#REF!</v>
      </c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</row>
    <row r="26" spans="1:79" ht="15.75">
      <c r="A26" s="109">
        <v>-2.0000000000000003E-6</v>
      </c>
      <c r="B26" s="110">
        <f t="shared" si="0"/>
        <v>26</v>
      </c>
      <c r="C26" s="111">
        <f>IF(C$1=[1]!T.in.A[[#This Row],[oo2]],1,"")</f>
        <v>1</v>
      </c>
      <c r="D26" s="112">
        <f>IF(Tab.o1[[#This Row],[a1]]=1,IF(SUM(C26:C27)=0,0,IF(SUM(C25:C26)=1,1,IF(SUM(C25:C27)&gt;1,D25+1,0))),"")</f>
        <v>22</v>
      </c>
      <c r="E26" s="113" t="str">
        <f>IF(Tab.o1[[#This Row],[a1]]=1,[1]!T.in.A[[#This Row],[oo1]],"")</f>
        <v>hed22</v>
      </c>
      <c r="F26" s="113" t="str">
        <f>IF(Tab.o1[[#This Row],[a1]]=1,[1]!T.in.A[[#This Row],[pp1]],"")</f>
        <v/>
      </c>
      <c r="G26" s="114">
        <f>IF(Tab.o1[[#This Row],[a1]]=1,G$2+IF(G$1=1,0,Tab.o1[[#This Row],[.x1]])+[1]!T.in.A[[#This Row],[oo3]],"")</f>
        <v>837.6</v>
      </c>
      <c r="H26" s="115">
        <f>IF(Tab.o1[[#This Row],[a1]]=1,IF(H$2=0,0,IF(G$1=1,0,Tab.o1[[#This Row],[.x1]])+[1]!T.in.A[[#This Row],[oo4]]),"")</f>
        <v>840.17399999999998</v>
      </c>
      <c r="I26" s="116">
        <f>IF(Tab.o1[[#This Row],[a1]]=1,IF(J$2=0,Tab.o1[[#This Row],[MED]],Tab.o1[[#This Row],[MOD]]),"")</f>
        <v>837.6</v>
      </c>
      <c r="J26" s="116">
        <f ca="1">IF(Tab.o1[[#This Row],[a1]]=1,((Tab.o1[[#This Row],[DIF_Target.]]-AVERAGE(Tab.o1[DIF_Target.]))/_xlfn.STDEV.P(Tab.o1[DIF_Target.])),"")</f>
        <v>1.4092710424644546</v>
      </c>
      <c r="K26" s="117">
        <f>IF(Tab.o1[[#This Row],[a1]]=1,IF(J$2=0,Tab.o1[[#This Row],[MOD]]-Tab.o1[[#This Row],[B]],IF(J$2=1,0,-Tab.o1[[#This Row],[MED]])+Tab.o1[[#This Row],[B]]),"")</f>
        <v>2.5739999999999554</v>
      </c>
      <c r="L26" s="117">
        <f ca="1">IF(Tab.o1[[#This Row],[DIF_Target]]=0,IF(L$2=0,Tab.o1[[#This Row],[DIF_Target]],AVERAGE(OFFSET(Tab.o1[[#This Row],[DIF_Target]],1,0,L$3,1)))/3,Tab.o1[[#This Row],[DIF_Target]])</f>
        <v>2.5739999999999554</v>
      </c>
      <c r="M26" s="118">
        <f ca="1">IF(Tab.o1[[#This Row],[a1]]=1,NORMSDIST(Tab.o1[[#This Row],[Za]]),"")</f>
        <v>0.92062248102844957</v>
      </c>
      <c r="N26" s="119">
        <f>IF(Tab.o1[[#This Row],[a1]]=1,((Tab.o1[[#This Row],[MedMod]]-AVERAGE(Tab.o1[MedMod]))/_xlfn.STDEV.P(Tab.o1[MedMod])*H$1205)+G$1205,"")</f>
        <v>-0.60168628103625399</v>
      </c>
      <c r="O26" s="141">
        <f>IF(Tab.o1[[#This Row],[a1]]=1,Tab.o1[[#This Row],[Zb]]*_xlfn.STDEV.P(Tab.o1[MedMod])+AVERAGE(Tab.o1[MedMod]),"")</f>
        <v>837.6</v>
      </c>
      <c r="P26" s="117">
        <f ca="1">IF(Tab.o1[[#This Row],[B]]=0,AVERAGE(OFFSET(Tab.o1[[#This Row],[B]],1,0,L$3,1)),Tab.o1[[#This Row],[B]])</f>
        <v>837.6</v>
      </c>
      <c r="Q26" s="121">
        <f>IF(Tab.o1[[#This Row],[a1]]=1,NORMSDIST(Tab.o1[[#This Row],[Zb]]),"")</f>
        <v>0.27369149185327912</v>
      </c>
      <c r="R26" s="122">
        <f>IF(Tab.o1[[#This Row],[a1]]=1,((Tab.o1[[#This Row],[MedMod]]-AVERAGE(Tab.o1[MedMod]))/_xlfn.STDEV.P(Tab.o1[MedMod])*H$1203)+G$1203,"")</f>
        <v>1.398313718963746</v>
      </c>
      <c r="S26" s="122">
        <f>IF(Tab.o1[[#This Row],[a1]]=1,((Tab.o1[[#This Row],[MedMod]]-AVERAGE(Tab.o1[MedMod]))/_xlfn.STDEV.P(Tab.o1[MedMod])*H$1204)+G$1204,"")</f>
        <v>-2.6016862810362538</v>
      </c>
      <c r="T26" s="123">
        <f>IF(Tab.o1[[#This Row],[a1]]=1,Tab.o1[[#This Row],[Z-]]*_xlfn.STDEV.P(Tab.o1[B])+AVERAGE(Tab.o1[B]),"")</f>
        <v>841.04864103669843</v>
      </c>
      <c r="U26" s="123">
        <f>IF(Tab.o1[[#This Row],[a1]]=1,Tab.o1[[#This Row],[z+]]*_xlfn.STDEV.P(Tab.o1[B])+AVERAGE(Tab.o1[B]),"")</f>
        <v>834.15135896330162</v>
      </c>
      <c r="V26" s="124">
        <f>IF(Tab.o1[[#This Row],[a1]]=1,ABS((ABS(Tab.o1[[#This Row],[Red]]-Tab.o1[[#This Row],[Blue]]))),"")</f>
        <v>6.8972820733968092</v>
      </c>
      <c r="W26" s="125">
        <f>IF(Tab.o1[[#This Row],[a1]]=1,IF(W$3=0,1,Tab.o1[[#This Row],[Amp.]]*1/_xlfn.MINIFS(Tab.o1[Amp.],Tab.o1[Amp.],"&lt;&gt;0")),"")</f>
        <v>1</v>
      </c>
      <c r="X26" s="126">
        <f ca="1">IF(Tab.o1[[#This Row],[a1]]=1,IF(ISNUMBER(Tab.o1[[#This Row],[i.]]),NORMDIST(Tab.o1[[#This Row],[Za]],0,1,FALSE)*Tab.o1[[#This Row],[i.]],AP$3),"")</f>
        <v>0.14779029011006811</v>
      </c>
      <c r="Y26" s="126">
        <f ca="1">IF(Tab.o1[[#This Row],[a1]]=1,0.01+0.94*Tab.o1[[#This Row],[PDF]]/MAX(Tab.o1[PDF]),"")</f>
        <v>0.35893414675119889</v>
      </c>
      <c r="Z26" s="126">
        <f>IF(Tab.o1[[#This Row],[a1]]=1,0.01+0.94*Tab.o1[[#This Row],[W1_PDF]]/MAX(Tab.o1[W1_PDF]),"")</f>
        <v>0.95</v>
      </c>
      <c r="AA26" s="118">
        <f>IF(Tab.o1[[#This Row],[a1]]=1,ABS([1]!T.in.A[[#This Row],[oo6]]),"")</f>
        <v>7.1269669999999993E-2</v>
      </c>
      <c r="AB26" s="127">
        <f ca="1">IF(Tab.o1[[#This Row],[a1]]=1,IF(AE$3=0,"",IF(AB$3=0,ABS([1]!T.in.A[[#This Row],[oo9]]),ABS(Tab.o1[[#This Row],[DIF_Target.]]*Tab.o1[[#This Row],[W1_PDF]]))),"")</f>
        <v>0.18344813057999682</v>
      </c>
      <c r="AC26" s="127" t="str">
        <f>IF(G$1=1,"",IF(Tab.o1[[#This Row],[a1]]=1,Tab.o1[[#This Row],[Wr]]^2,""))</f>
        <v/>
      </c>
      <c r="AD26" s="118" t="e">
        <f>IF(Tab.o1[[#This Row],[a1]]=1,IF(AE$3=0,"",Tab.o1[[#This Row],[Wr2]]/SUM(Tab.o1[Wr2])),"")</f>
        <v>#VALUE!</v>
      </c>
      <c r="AE26" s="128">
        <f>IF(Tab.o1[[#This Row],[a1]]=1,[1]!T.in.A[[#This Row],[oo10]],"")</f>
        <v>0.9919173</v>
      </c>
      <c r="AF26" s="118" t="e">
        <f ca="1">IF(Tab.o1[[#This Row],[a1]]=1,ABS(Tab.o1[[#This Row],[DIF_Target.]]*Tab.o1[[#This Row],[PDF2]]*Tab.o1[[#This Row],[IN]]),"")</f>
        <v>#REF!</v>
      </c>
      <c r="AG26" s="129" t="e">
        <f ca="1">IF(Tab.o1[[#This Row],[a1]]=1,Tab.o1[[#This Row],[rW]]^2,"")</f>
        <v>#REF!</v>
      </c>
      <c r="AH26" s="130" t="e">
        <f ca="1">IF(Tab.o1[[#This Row],[a1]]=1,IF(AH$3=0,Tab.o1[[#This Row],[rW2]],0.01+0.94*Tab.o1[[#This Row],[rW2]]/SUM(Tab.o1[rW2])),"")</f>
        <v>#REF!</v>
      </c>
      <c r="AI26" s="128">
        <f ca="1">IF(Tab.o1[[#This Row],[a1]]=1,1/Tab.o1[[#This Row],[PDF]],"")</f>
        <v>6.7663443874103049</v>
      </c>
      <c r="AJ26" s="131" t="e">
        <f>IF(Tab.o1[[#This Row],[a1]]=1,[1]!T_AA[[#This Row],[IN'']]*[1]!T_AA[[#This Row],[Qde'']],"")</f>
        <v>#REF!</v>
      </c>
      <c r="AK26" s="132" t="str">
        <f>IF(Tab.o1[[#This Row],[a1]]=1,IF(AK$1=1,Tab.o1[[#This Row],[MED]]+Tab.o1[[#This Row],[MOD]]-Tab.o1[[#This Row],[MED]],""),"")</f>
        <v/>
      </c>
      <c r="AL26" s="133">
        <f>IF(Tab.o1[[#This Row],[a1]]=1,[1]!T.in.A[[#This Row],[oo16]],"")</f>
        <v>0.86271330000000002</v>
      </c>
      <c r="AM26" s="133">
        <f>IF(Tab.o1[[#This Row],[a1]]=1,IF(AM$3=1,[1]!T.in.A[[#This Row],[Σo16]],""),"")</f>
        <v>1.6676597205301912E-2</v>
      </c>
      <c r="AN26" s="126" t="str">
        <f>IF(Tab.o1[[#This Row],[a1]]=1,[1]!T.in.A[[#This Row],[Σp5]],"")</f>
        <v/>
      </c>
      <c r="AO26" s="126" t="str">
        <f>IF(Tab.o1[[#This Row],[a1]]=1,IF(AO$3=1,[1]!T.in.A[[#This Row],[Σp5]],""),"")</f>
        <v/>
      </c>
      <c r="AP26" s="110">
        <f ca="1">IF(Tab.o1[[#This Row],[a1]]=1,IF(ISNUMBER(Tab.o1[[#This Row],[i.]]),NORMDIST(Tab.o1[[#This Row],[Za]],0,1,FALSE)*Tab.o1[[#This Row],[i.]],0),"")</f>
        <v>0.14779029011006811</v>
      </c>
      <c r="AQ26" s="125">
        <f>IF(Tab.o1[[#This Row],[a1]]=1,ABS(Tab.o1[[#This Row],[MOD]]-AVERAGE(Tab.o1[MOD])),"")</f>
        <v>0.81263593749997654</v>
      </c>
      <c r="AR26" s="134">
        <f>IF(Tab.o1[[#This Row],[a1]]=1,Tab.o1[[#This Row],[OBS]]/SUM(Tab.o1[OBS]),"")</f>
        <v>8.4812874736811539E-3</v>
      </c>
      <c r="AS26" s="135">
        <f>IF(ISNUMBER(Tab.o1[[#This Row],[a1]]),ROW()-4,"")</f>
        <v>22</v>
      </c>
      <c r="AT26" s="136">
        <f>Tab.o1[[#This Row],[MOD]]</f>
        <v>840.17399999999998</v>
      </c>
      <c r="AU26" s="137">
        <f t="shared" si="1"/>
        <v>840.17399999999998</v>
      </c>
      <c r="AV26" s="138">
        <f t="shared" si="2"/>
        <v>0</v>
      </c>
      <c r="AW26" s="138" t="str">
        <f t="shared" si="3"/>
        <v/>
      </c>
      <c r="AX26" s="139" t="str">
        <f>[1]!T.in.A[[#This Row],[ID_T_manu]]</f>
        <v/>
      </c>
      <c r="AY26" s="140" t="e">
        <f>IF(ISNUMBER(Tab.o1[[#This Row],[a1]]),IF(AND(Tab.o1[[#This Row],[a1]]=1,Tab.o1[[#This Row],[b1]]&lt;=AY$4),#REF!,AY25),"")</f>
        <v>#REF!</v>
      </c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</row>
    <row r="27" spans="1:79" ht="15.75">
      <c r="A27" s="109">
        <v>-1.0000000000000002E-6</v>
      </c>
      <c r="B27" s="110">
        <f t="shared" si="0"/>
        <v>27</v>
      </c>
      <c r="C27" s="111">
        <f>IF(C$1=[1]!T.in.A[[#This Row],[oo2]],1,"")</f>
        <v>1</v>
      </c>
      <c r="D27" s="112">
        <f>IF(Tab.o1[[#This Row],[a1]]=1,IF(SUM(C27:C28)=0,0,IF(SUM(C26:C27)=1,1,IF(SUM(C26:C28)&gt;1,D26+1,0))),"")</f>
        <v>23</v>
      </c>
      <c r="E27" s="113" t="str">
        <f>IF(Tab.o1[[#This Row],[a1]]=1,[1]!T.in.A[[#This Row],[oo1]],"")</f>
        <v>hed23</v>
      </c>
      <c r="F27" s="113" t="str">
        <f>IF(Tab.o1[[#This Row],[a1]]=1,[1]!T.in.A[[#This Row],[pp1]],"")</f>
        <v/>
      </c>
      <c r="G27" s="114">
        <f>IF(Tab.o1[[#This Row],[a1]]=1,G$2+IF(G$1=1,0,Tab.o1[[#This Row],[.x1]])+[1]!T.in.A[[#This Row],[oo3]],"")</f>
        <v>837.5</v>
      </c>
      <c r="H27" s="115">
        <f>IF(Tab.o1[[#This Row],[a1]]=1,IF(H$2=0,0,IF(G$1=1,0,Tab.o1[[#This Row],[.x1]])+[1]!T.in.A[[#This Row],[oo4]]),"")</f>
        <v>840.11180000000002</v>
      </c>
      <c r="I27" s="116">
        <f>IF(Tab.o1[[#This Row],[a1]]=1,IF(J$2=0,Tab.o1[[#This Row],[MED]],Tab.o1[[#This Row],[MOD]]),"")</f>
        <v>837.5</v>
      </c>
      <c r="J27" s="116">
        <f ca="1">IF(Tab.o1[[#This Row],[a1]]=1,((Tab.o1[[#This Row],[DIF_Target.]]-AVERAGE(Tab.o1[DIF_Target.]))/_xlfn.STDEV.P(Tab.o1[DIF_Target.])),"")</f>
        <v>1.4380637621373806</v>
      </c>
      <c r="K27" s="117">
        <f>IF(Tab.o1[[#This Row],[a1]]=1,IF(J$2=0,Tab.o1[[#This Row],[MOD]]-Tab.o1[[#This Row],[B]],IF(J$2=1,0,-Tab.o1[[#This Row],[MED]])+Tab.o1[[#This Row],[B]]),"")</f>
        <v>2.6118000000000166</v>
      </c>
      <c r="L27" s="117">
        <f ca="1">IF(Tab.o1[[#This Row],[DIF_Target]]=0,IF(L$2=0,Tab.o1[[#This Row],[DIF_Target]],AVERAGE(OFFSET(Tab.o1[[#This Row],[DIF_Target]],1,0,L$3,1)))/3,Tab.o1[[#This Row],[DIF_Target]])</f>
        <v>2.6118000000000166</v>
      </c>
      <c r="M27" s="118">
        <f ca="1">IF(Tab.o1[[#This Row],[a1]]=1,NORMSDIST(Tab.o1[[#This Row],[Za]]),"")</f>
        <v>0.92479201829953905</v>
      </c>
      <c r="N27" s="119">
        <f>IF(Tab.o1[[#This Row],[a1]]=1,((Tab.o1[[#This Row],[MedMod]]-AVERAGE(Tab.o1[MedMod]))/_xlfn.STDEV.P(Tab.o1[MedMod])*H$1205)+G$1205,"")</f>
        <v>-0.65968013944939885</v>
      </c>
      <c r="O27" s="141">
        <f>IF(Tab.o1[[#This Row],[a1]]=1,Tab.o1[[#This Row],[Zb]]*_xlfn.STDEV.P(Tab.o1[MedMod])+AVERAGE(Tab.o1[MedMod]),"")</f>
        <v>837.5</v>
      </c>
      <c r="P27" s="117">
        <f ca="1">IF(Tab.o1[[#This Row],[B]]=0,AVERAGE(OFFSET(Tab.o1[[#This Row],[B]],1,0,L$3,1)),Tab.o1[[#This Row],[B]])</f>
        <v>837.5</v>
      </c>
      <c r="Q27" s="121">
        <f>IF(Tab.o1[[#This Row],[a1]]=1,NORMSDIST(Tab.o1[[#This Row],[Zb]]),"")</f>
        <v>0.25472955717647217</v>
      </c>
      <c r="R27" s="122">
        <f>IF(Tab.o1[[#This Row],[a1]]=1,((Tab.o1[[#This Row],[MedMod]]-AVERAGE(Tab.o1[MedMod]))/_xlfn.STDEV.P(Tab.o1[MedMod])*H$1203)+G$1203,"")</f>
        <v>1.340319860550601</v>
      </c>
      <c r="S27" s="122">
        <f>IF(Tab.o1[[#This Row],[a1]]=1,((Tab.o1[[#This Row],[MedMod]]-AVERAGE(Tab.o1[MedMod]))/_xlfn.STDEV.P(Tab.o1[MedMod])*H$1204)+G$1204,"")</f>
        <v>-2.659680139449399</v>
      </c>
      <c r="T27" s="123">
        <f>IF(Tab.o1[[#This Row],[a1]]=1,Tab.o1[[#This Row],[Z-]]*_xlfn.STDEV.P(Tab.o1[B])+AVERAGE(Tab.o1[B]),"")</f>
        <v>840.9486410366984</v>
      </c>
      <c r="U27" s="123">
        <f>IF(Tab.o1[[#This Row],[a1]]=1,Tab.o1[[#This Row],[z+]]*_xlfn.STDEV.P(Tab.o1[B])+AVERAGE(Tab.o1[B]),"")</f>
        <v>834.0513589633016</v>
      </c>
      <c r="V27" s="124">
        <f>IF(Tab.o1[[#This Row],[a1]]=1,ABS((ABS(Tab.o1[[#This Row],[Red]]-Tab.o1[[#This Row],[Blue]]))),"")</f>
        <v>6.8972820733968092</v>
      </c>
      <c r="W27" s="125">
        <f>IF(Tab.o1[[#This Row],[a1]]=1,IF(W$3=0,1,Tab.o1[[#This Row],[Amp.]]*1/_xlfn.MINIFS(Tab.o1[Amp.],Tab.o1[Amp.],"&lt;&gt;0")),"")</f>
        <v>1</v>
      </c>
      <c r="X27" s="126">
        <f ca="1">IF(Tab.o1[[#This Row],[a1]]=1,IF(ISNUMBER(Tab.o1[[#This Row],[i.]]),NORMDIST(Tab.o1[[#This Row],[Za]],0,1,FALSE)*Tab.o1[[#This Row],[i.]],AP$3),"")</f>
        <v>0.14185466588300236</v>
      </c>
      <c r="Y27" s="126">
        <f ca="1">IF(Tab.o1[[#This Row],[a1]]=1,0.01+0.94*Tab.o1[[#This Row],[PDF]]/MAX(Tab.o1[PDF]),"")</f>
        <v>0.34492008687240422</v>
      </c>
      <c r="Z27" s="126">
        <f>IF(Tab.o1[[#This Row],[a1]]=1,0.01+0.94*Tab.o1[[#This Row],[W1_PDF]]/MAX(Tab.o1[W1_PDF]),"")</f>
        <v>0.95</v>
      </c>
      <c r="AA27" s="118">
        <f>IF(Tab.o1[[#This Row],[a1]]=1,ABS([1]!T.in.A[[#This Row],[oo6]]),"")</f>
        <v>7.1269669999999993E-2</v>
      </c>
      <c r="AB27" s="127">
        <f ca="1">IF(Tab.o1[[#This Row],[a1]]=1,IF(AE$3=0,"",IF(AB$3=0,ABS([1]!T.in.A[[#This Row],[oo9]]),ABS(Tab.o1[[#This Row],[DIF_Target.]]*Tab.o1[[#This Row],[W1_PDF]]))),"")</f>
        <v>0.18614212410600117</v>
      </c>
      <c r="AC27" s="127" t="str">
        <f>IF(G$1=1,"",IF(Tab.o1[[#This Row],[a1]]=1,Tab.o1[[#This Row],[Wr]]^2,""))</f>
        <v/>
      </c>
      <c r="AD27" s="118" t="e">
        <f>IF(Tab.o1[[#This Row],[a1]]=1,IF(AE$3=0,"",Tab.o1[[#This Row],[Wr2]]/SUM(Tab.o1[Wr2])),"")</f>
        <v>#VALUE!</v>
      </c>
      <c r="AE27" s="128">
        <f>IF(Tab.o1[[#This Row],[a1]]=1,[1]!T.in.A[[#This Row],[oo10]],"")</f>
        <v>0.9919173</v>
      </c>
      <c r="AF27" s="118" t="e">
        <f ca="1">IF(Tab.o1[[#This Row],[a1]]=1,ABS(Tab.o1[[#This Row],[DIF_Target.]]*Tab.o1[[#This Row],[PDF2]]*Tab.o1[[#This Row],[IN]]),"")</f>
        <v>#REF!</v>
      </c>
      <c r="AG27" s="129" t="e">
        <f ca="1">IF(Tab.o1[[#This Row],[a1]]=1,Tab.o1[[#This Row],[rW]]^2,"")</f>
        <v>#REF!</v>
      </c>
      <c r="AH27" s="130" t="e">
        <f ca="1">IF(Tab.o1[[#This Row],[a1]]=1,IF(AH$3=0,Tab.o1[[#This Row],[rW2]],0.01+0.94*Tab.o1[[#This Row],[rW2]]/SUM(Tab.o1[rW2])),"")</f>
        <v>#REF!</v>
      </c>
      <c r="AI27" s="128">
        <f ca="1">IF(Tab.o1[[#This Row],[a1]]=1,1/Tab.o1[[#This Row],[PDF]],"")</f>
        <v>7.0494685090215583</v>
      </c>
      <c r="AJ27" s="131" t="e">
        <f>IF(Tab.o1[[#This Row],[a1]]=1,[1]!T_AA[[#This Row],[IN'']]*[1]!T_AA[[#This Row],[Qde'']],"")</f>
        <v>#REF!</v>
      </c>
      <c r="AK27" s="132" t="str">
        <f>IF(Tab.o1[[#This Row],[a1]]=1,IF(AK$1=1,Tab.o1[[#This Row],[MED]]+Tab.o1[[#This Row],[MOD]]-Tab.o1[[#This Row],[MED]],""),"")</f>
        <v/>
      </c>
      <c r="AL27" s="133">
        <f>IF(Tab.o1[[#This Row],[a1]]=1,[1]!T.in.A[[#This Row],[oo16]],"")</f>
        <v>0.91226600000000002</v>
      </c>
      <c r="AM27" s="133">
        <f>IF(Tab.o1[[#This Row],[a1]]=1,IF(AM$3=1,[1]!T.in.A[[#This Row],[Σo16]],""),"")</f>
        <v>1.7634470948914259E-2</v>
      </c>
      <c r="AN27" s="126" t="str">
        <f>IF(Tab.o1[[#This Row],[a1]]=1,[1]!T.in.A[[#This Row],[Σp5]],"")</f>
        <v/>
      </c>
      <c r="AO27" s="126" t="str">
        <f>IF(Tab.o1[[#This Row],[a1]]=1,IF(AO$3=1,[1]!T.in.A[[#This Row],[Σp5]],""),"")</f>
        <v/>
      </c>
      <c r="AP27" s="110">
        <f ca="1">IF(Tab.o1[[#This Row],[a1]]=1,IF(ISNUMBER(Tab.o1[[#This Row],[i.]]),NORMDIST(Tab.o1[[#This Row],[Za]],0,1,FALSE)*Tab.o1[[#This Row],[i.]],0),"")</f>
        <v>0.14185466588300236</v>
      </c>
      <c r="AQ27" s="125">
        <f>IF(Tab.o1[[#This Row],[a1]]=1,ABS(Tab.o1[[#This Row],[MOD]]-AVERAGE(Tab.o1[MOD])),"")</f>
        <v>0.75043593750001492</v>
      </c>
      <c r="AR27" s="134">
        <f>IF(Tab.o1[[#This Row],[a1]]=1,Tab.o1[[#This Row],[OBS]]/SUM(Tab.o1[OBS]),"")</f>
        <v>7.8321209077948685E-3</v>
      </c>
      <c r="AS27" s="135">
        <f>IF(ISNUMBER(Tab.o1[[#This Row],[a1]]),ROW()-4,"")</f>
        <v>23</v>
      </c>
      <c r="AT27" s="136">
        <f>Tab.o1[[#This Row],[MOD]]</f>
        <v>840.11180000000002</v>
      </c>
      <c r="AU27" s="137">
        <f t="shared" si="1"/>
        <v>840.11180000000002</v>
      </c>
      <c r="AV27" s="138">
        <f t="shared" si="2"/>
        <v>0</v>
      </c>
      <c r="AW27" s="138" t="str">
        <f t="shared" si="3"/>
        <v/>
      </c>
      <c r="AX27" s="139" t="str">
        <f>[1]!T.in.A[[#This Row],[ID_T_manu]]</f>
        <v/>
      </c>
      <c r="AY27" s="140" t="e">
        <f>IF(ISNUMBER(Tab.o1[[#This Row],[a1]]),IF(AND(Tab.o1[[#This Row],[a1]]=1,Tab.o1[[#This Row],[b1]]&lt;=AY$4),#REF!,AY26),"")</f>
        <v>#REF!</v>
      </c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</row>
    <row r="28" spans="1:79" ht="15.75">
      <c r="A28" s="109">
        <v>-8.0000000000000013E-6</v>
      </c>
      <c r="B28" s="110">
        <f t="shared" si="0"/>
        <v>28</v>
      </c>
      <c r="C28" s="111">
        <f>IF(C$1=[1]!T.in.A[[#This Row],[oo2]],1,"")</f>
        <v>1</v>
      </c>
      <c r="D28" s="112">
        <f>IF(Tab.o1[[#This Row],[a1]]=1,IF(SUM(C28:C29)=0,0,IF(SUM(C27:C28)=1,1,IF(SUM(C27:C29)&gt;1,D27+1,0))),"")</f>
        <v>24</v>
      </c>
      <c r="E28" s="113" t="str">
        <f>IF(Tab.o1[[#This Row],[a1]]=1,[1]!T.in.A[[#This Row],[oo1]],"")</f>
        <v>hed24</v>
      </c>
      <c r="F28" s="113" t="str">
        <f>IF(Tab.o1[[#This Row],[a1]]=1,[1]!T.in.A[[#This Row],[pp1]],"")</f>
        <v/>
      </c>
      <c r="G28" s="114">
        <f>IF(Tab.o1[[#This Row],[a1]]=1,G$2+IF(G$1=1,0,Tab.o1[[#This Row],[.x1]])+[1]!T.in.A[[#This Row],[oo3]],"")</f>
        <v>837.3</v>
      </c>
      <c r="H28" s="115">
        <f>IF(Tab.o1[[#This Row],[a1]]=1,IF(H$2=0,0,IF(G$1=1,0,Tab.o1[[#This Row],[.x1]])+[1]!T.in.A[[#This Row],[oo4]]),"")</f>
        <v>839.95100000000002</v>
      </c>
      <c r="I28" s="116">
        <f>IF(Tab.o1[[#This Row],[a1]]=1,IF(J$2=0,Tab.o1[[#This Row],[MED]],Tab.o1[[#This Row],[MOD]]),"")</f>
        <v>837.3</v>
      </c>
      <c r="J28" s="116">
        <f ca="1">IF(Tab.o1[[#This Row],[a1]]=1,((Tab.o1[[#This Row],[DIF_Target.]]-AVERAGE(Tab.o1[DIF_Target.]))/_xlfn.STDEV.P(Tab.o1[DIF_Target.])),"")</f>
        <v>1.4679228788352203</v>
      </c>
      <c r="K28" s="117">
        <f>IF(Tab.o1[[#This Row],[a1]]=1,IF(J$2=0,Tab.o1[[#This Row],[MOD]]-Tab.o1[[#This Row],[B]],IF(J$2=1,0,-Tab.o1[[#This Row],[MED]])+Tab.o1[[#This Row],[B]]),"")</f>
        <v>2.6510000000000673</v>
      </c>
      <c r="L28" s="117">
        <f ca="1">IF(Tab.o1[[#This Row],[DIF_Target]]=0,IF(L$2=0,Tab.o1[[#This Row],[DIF_Target]],AVERAGE(OFFSET(Tab.o1[[#This Row],[DIF_Target]],1,0,L$3,1)))/3,Tab.o1[[#This Row],[DIF_Target]])</f>
        <v>2.6510000000000673</v>
      </c>
      <c r="M28" s="118">
        <f ca="1">IF(Tab.o1[[#This Row],[a1]]=1,NORMSDIST(Tab.o1[[#This Row],[Za]]),"")</f>
        <v>0.92893741362658466</v>
      </c>
      <c r="N28" s="119">
        <f>IF(Tab.o1[[#This Row],[a1]]=1,((Tab.o1[[#This Row],[MedMod]]-AVERAGE(Tab.o1[MedMod]))/_xlfn.STDEV.P(Tab.o1[MedMod])*H$1205)+G$1205,"")</f>
        <v>-0.77566785627568846</v>
      </c>
      <c r="O28" s="141">
        <f>IF(Tab.o1[[#This Row],[a1]]=1,Tab.o1[[#This Row],[Zb]]*_xlfn.STDEV.P(Tab.o1[MedMod])+AVERAGE(Tab.o1[MedMod]),"")</f>
        <v>837.3</v>
      </c>
      <c r="P28" s="117">
        <f ca="1">IF(Tab.o1[[#This Row],[B]]=0,AVERAGE(OFFSET(Tab.o1[[#This Row],[B]],1,0,L$3,1)),Tab.o1[[#This Row],[B]])</f>
        <v>837.3</v>
      </c>
      <c r="Q28" s="121">
        <f>IF(Tab.o1[[#This Row],[a1]]=1,NORMSDIST(Tab.o1[[#This Row],[Zb]]),"")</f>
        <v>0.21897256181443792</v>
      </c>
      <c r="R28" s="122">
        <f>IF(Tab.o1[[#This Row],[a1]]=1,((Tab.o1[[#This Row],[MedMod]]-AVERAGE(Tab.o1[MedMod]))/_xlfn.STDEV.P(Tab.o1[MedMod])*H$1203)+G$1203,"")</f>
        <v>1.2243321437243115</v>
      </c>
      <c r="S28" s="122">
        <f>IF(Tab.o1[[#This Row],[a1]]=1,((Tab.o1[[#This Row],[MedMod]]-AVERAGE(Tab.o1[MedMod]))/_xlfn.STDEV.P(Tab.o1[MedMod])*H$1204)+G$1204,"")</f>
        <v>-2.7756678562756885</v>
      </c>
      <c r="T28" s="123">
        <f>IF(Tab.o1[[#This Row],[a1]]=1,Tab.o1[[#This Row],[Z-]]*_xlfn.STDEV.P(Tab.o1[B])+AVERAGE(Tab.o1[B]),"")</f>
        <v>840.74864103669836</v>
      </c>
      <c r="U28" s="123">
        <f>IF(Tab.o1[[#This Row],[a1]]=1,Tab.o1[[#This Row],[z+]]*_xlfn.STDEV.P(Tab.o1[B])+AVERAGE(Tab.o1[B]),"")</f>
        <v>833.85135896330155</v>
      </c>
      <c r="V28" s="124">
        <f>IF(Tab.o1[[#This Row],[a1]]=1,ABS((ABS(Tab.o1[[#This Row],[Red]]-Tab.o1[[#This Row],[Blue]]))),"")</f>
        <v>6.8972820733968092</v>
      </c>
      <c r="W28" s="125">
        <f>IF(Tab.o1[[#This Row],[a1]]=1,IF(W$3=0,1,Tab.o1[[#This Row],[Amp.]]*1/_xlfn.MINIFS(Tab.o1[Amp.],Tab.o1[Amp.],"&lt;&gt;0")),"")</f>
        <v>1</v>
      </c>
      <c r="X28" s="126">
        <f ca="1">IF(Tab.o1[[#This Row],[a1]]=1,IF(ISNUMBER(Tab.o1[[#This Row],[i.]]),NORMDIST(Tab.o1[[#This Row],[Za]],0,1,FALSE)*Tab.o1[[#This Row],[i.]],AP$3),"")</f>
        <v>0.13583188164417132</v>
      </c>
      <c r="Y28" s="126">
        <f ca="1">IF(Tab.o1[[#This Row],[a1]]=1,0.01+0.94*Tab.o1[[#This Row],[PDF]]/MAX(Tab.o1[PDF]),"")</f>
        <v>0.33070024145578097</v>
      </c>
      <c r="Z28" s="126">
        <f>IF(Tab.o1[[#This Row],[a1]]=1,0.01+0.94*Tab.o1[[#This Row],[W1_PDF]]/MAX(Tab.o1[W1_PDF]),"")</f>
        <v>0.95</v>
      </c>
      <c r="AA28" s="118">
        <f>IF(Tab.o1[[#This Row],[a1]]=1,ABS([1]!T.in.A[[#This Row],[oo6]]),"")</f>
        <v>7.1269669999999993E-2</v>
      </c>
      <c r="AB28" s="127">
        <f ca="1">IF(Tab.o1[[#This Row],[a1]]=1,IF(AE$3=0,"",IF(AB$3=0,ABS([1]!T.in.A[[#This Row],[oo9]]),ABS(Tab.o1[[#This Row],[DIF_Target.]]*Tab.o1[[#This Row],[W1_PDF]]))),"")</f>
        <v>0.18893589517000478</v>
      </c>
      <c r="AC28" s="127" t="str">
        <f>IF(G$1=1,"",IF(Tab.o1[[#This Row],[a1]]=1,Tab.o1[[#This Row],[Wr]]^2,""))</f>
        <v/>
      </c>
      <c r="AD28" s="118" t="e">
        <f>IF(Tab.o1[[#This Row],[a1]]=1,IF(AE$3=0,"",Tab.o1[[#This Row],[Wr2]]/SUM(Tab.o1[Wr2])),"")</f>
        <v>#VALUE!</v>
      </c>
      <c r="AE28" s="128">
        <f>IF(Tab.o1[[#This Row],[a1]]=1,[1]!T.in.A[[#This Row],[oo10]],"")</f>
        <v>0.9919173</v>
      </c>
      <c r="AF28" s="118" t="e">
        <f ca="1">IF(Tab.o1[[#This Row],[a1]]=1,ABS(Tab.o1[[#This Row],[DIF_Target.]]*Tab.o1[[#This Row],[PDF2]]*Tab.o1[[#This Row],[IN]]),"")</f>
        <v>#REF!</v>
      </c>
      <c r="AG28" s="129" t="e">
        <f ca="1">IF(Tab.o1[[#This Row],[a1]]=1,Tab.o1[[#This Row],[rW]]^2,"")</f>
        <v>#REF!</v>
      </c>
      <c r="AH28" s="130" t="e">
        <f ca="1">IF(Tab.o1[[#This Row],[a1]]=1,IF(AH$3=0,Tab.o1[[#This Row],[rW2]],0.01+0.94*Tab.o1[[#This Row],[rW2]]/SUM(Tab.o1[rW2])),"")</f>
        <v>#REF!</v>
      </c>
      <c r="AI28" s="128">
        <f ca="1">IF(Tab.o1[[#This Row],[a1]]=1,1/Tab.o1[[#This Row],[PDF]],"")</f>
        <v>7.3620418704028978</v>
      </c>
      <c r="AJ28" s="131" t="e">
        <f>IF(Tab.o1[[#This Row],[a1]]=1,[1]!T_AA[[#This Row],[IN'']]*[1]!T_AA[[#This Row],[Qde'']],"")</f>
        <v>#REF!</v>
      </c>
      <c r="AK28" s="132" t="str">
        <f>IF(Tab.o1[[#This Row],[a1]]=1,IF(AK$1=1,Tab.o1[[#This Row],[MED]]+Tab.o1[[#This Row],[MOD]]-Tab.o1[[#This Row],[MED]],""),"")</f>
        <v/>
      </c>
      <c r="AL28" s="133">
        <f>IF(Tab.o1[[#This Row],[a1]]=1,[1]!T.in.A[[#This Row],[oo16]],"")</f>
        <v>1.029217</v>
      </c>
      <c r="AM28" s="133">
        <f>IF(Tab.o1[[#This Row],[a1]]=1,IF(AM$3=1,[1]!T.in.A[[#This Row],[Σo16]],""),"")</f>
        <v>1.9895181105761574E-2</v>
      </c>
      <c r="AN28" s="126" t="str">
        <f>IF(Tab.o1[[#This Row],[a1]]=1,[1]!T.in.A[[#This Row],[Σp5]],"")</f>
        <v/>
      </c>
      <c r="AO28" s="126" t="str">
        <f>IF(Tab.o1[[#This Row],[a1]]=1,IF(AO$3=1,[1]!T.in.A[[#This Row],[Σp5]],""),"")</f>
        <v/>
      </c>
      <c r="AP28" s="110">
        <f ca="1">IF(Tab.o1[[#This Row],[a1]]=1,IF(ISNUMBER(Tab.o1[[#This Row],[i.]]),NORMDIST(Tab.o1[[#This Row],[Za]],0,1,FALSE)*Tab.o1[[#This Row],[i.]],0),"")</f>
        <v>0.13583188164417132</v>
      </c>
      <c r="AQ28" s="125">
        <f>IF(Tab.o1[[#This Row],[a1]]=1,ABS(Tab.o1[[#This Row],[MOD]]-AVERAGE(Tab.o1[MOD])),"")</f>
        <v>0.58963593750002019</v>
      </c>
      <c r="AR28" s="134">
        <f>IF(Tab.o1[[#This Row],[a1]]=1,Tab.o1[[#This Row],[OBS]]/SUM(Tab.o1[OBS]),"")</f>
        <v>6.1538896570782157E-3</v>
      </c>
      <c r="AS28" s="135">
        <f>IF(ISNUMBER(Tab.o1[[#This Row],[a1]]),ROW()-4,"")</f>
        <v>24</v>
      </c>
      <c r="AT28" s="136">
        <f>Tab.o1[[#This Row],[MOD]]</f>
        <v>839.95100000000002</v>
      </c>
      <c r="AU28" s="137">
        <f t="shared" si="1"/>
        <v>839.95100000000002</v>
      </c>
      <c r="AV28" s="138">
        <f t="shared" si="2"/>
        <v>0</v>
      </c>
      <c r="AW28" s="138" t="str">
        <f t="shared" si="3"/>
        <v/>
      </c>
      <c r="AX28" s="139" t="str">
        <f>[1]!T.in.A[[#This Row],[ID_T_manu]]</f>
        <v/>
      </c>
      <c r="AY28" s="140" t="e">
        <f>IF(ISNUMBER(Tab.o1[[#This Row],[a1]]),IF(AND(Tab.o1[[#This Row],[a1]]=1,Tab.o1[[#This Row],[b1]]&lt;=AY$4),#REF!,AY27),"")</f>
        <v>#REF!</v>
      </c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</row>
    <row r="29" spans="1:79" ht="15.75">
      <c r="A29" s="109">
        <v>-5.0000000000000004E-6</v>
      </c>
      <c r="B29" s="110">
        <f t="shared" si="0"/>
        <v>29</v>
      </c>
      <c r="C29" s="111">
        <f>IF(C$1=[1]!T.in.A[[#This Row],[oo2]],1,"")</f>
        <v>1</v>
      </c>
      <c r="D29" s="112">
        <f>IF(Tab.o1[[#This Row],[a1]]=1,IF(SUM(C29:C30)=0,0,IF(SUM(C28:C29)=1,1,IF(SUM(C28:C30)&gt;1,D28+1,0))),"")</f>
        <v>25</v>
      </c>
      <c r="E29" s="113" t="str">
        <f>IF(Tab.o1[[#This Row],[a1]]=1,[1]!T.in.A[[#This Row],[oo1]],"")</f>
        <v>hed25</v>
      </c>
      <c r="F29" s="113" t="str">
        <f>IF(Tab.o1[[#This Row],[a1]]=1,[1]!T.in.A[[#This Row],[pp1]],"")</f>
        <v/>
      </c>
      <c r="G29" s="114">
        <f>IF(Tab.o1[[#This Row],[a1]]=1,G$2+IF(G$1=1,0,Tab.o1[[#This Row],[.x1]])+[1]!T.in.A[[#This Row],[oo3]],"")</f>
        <v>837.2</v>
      </c>
      <c r="H29" s="115">
        <f>IF(Tab.o1[[#This Row],[a1]]=1,IF(H$2=0,0,IF(G$1=1,0,Tab.o1[[#This Row],[.x1]])+[1]!T.in.A[[#This Row],[oo4]]),"")</f>
        <v>839.79020000000003</v>
      </c>
      <c r="I29" s="116">
        <f>IF(Tab.o1[[#This Row],[a1]]=1,IF(J$2=0,Tab.o1[[#This Row],[MED]],Tab.o1[[#This Row],[MOD]]),"")</f>
        <v>837.2</v>
      </c>
      <c r="J29" s="116">
        <f ca="1">IF(Tab.o1[[#This Row],[a1]]=1,((Tab.o1[[#This Row],[DIF_Target.]]-AVERAGE(Tab.o1[DIF_Target.]))/_xlfn.STDEV.P(Tab.o1[DIF_Target.])),"")</f>
        <v>1.4216107794671371</v>
      </c>
      <c r="K29" s="117">
        <f>IF(Tab.o1[[#This Row],[a1]]=1,IF(J$2=0,Tab.o1[[#This Row],[MOD]]-Tab.o1[[#This Row],[B]],IF(J$2=1,0,-Tab.o1[[#This Row],[MED]])+Tab.o1[[#This Row],[B]]),"")</f>
        <v>2.5901999999999816</v>
      </c>
      <c r="L29" s="117">
        <f ca="1">IF(Tab.o1[[#This Row],[DIF_Target]]=0,IF(L$2=0,Tab.o1[[#This Row],[DIF_Target]],AVERAGE(OFFSET(Tab.o1[[#This Row],[DIF_Target]],1,0,L$3,1)))/3,Tab.o1[[#This Row],[DIF_Target]])</f>
        <v>2.5901999999999816</v>
      </c>
      <c r="M29" s="118">
        <f ca="1">IF(Tab.o1[[#This Row],[a1]]=1,NORMSDIST(Tab.o1[[#This Row],[Za]]),"")</f>
        <v>0.92243036313400761</v>
      </c>
      <c r="N29" s="119">
        <f>IF(Tab.o1[[#This Row],[a1]]=1,((Tab.o1[[#This Row],[MedMod]]-AVERAGE(Tab.o1[MedMod]))/_xlfn.STDEV.P(Tab.o1[MedMod])*H$1205)+G$1205,"")</f>
        <v>-0.83366171468876737</v>
      </c>
      <c r="O29" s="141">
        <f>IF(Tab.o1[[#This Row],[a1]]=1,Tab.o1[[#This Row],[Zb]]*_xlfn.STDEV.P(Tab.o1[MedMod])+AVERAGE(Tab.o1[MedMod]),"")</f>
        <v>837.2</v>
      </c>
      <c r="P29" s="117">
        <f ca="1">IF(Tab.o1[[#This Row],[B]]=0,AVERAGE(OFFSET(Tab.o1[[#This Row],[B]],1,0,L$3,1)),Tab.o1[[#This Row],[B]])</f>
        <v>837.2</v>
      </c>
      <c r="Q29" s="121">
        <f>IF(Tab.o1[[#This Row],[a1]]=1,NORMSDIST(Tab.o1[[#This Row],[Zb]]),"")</f>
        <v>0.20223581902696339</v>
      </c>
      <c r="R29" s="122">
        <f>IF(Tab.o1[[#This Row],[a1]]=1,((Tab.o1[[#This Row],[MedMod]]-AVERAGE(Tab.o1[MedMod]))/_xlfn.STDEV.P(Tab.o1[MedMod])*H$1203)+G$1203,"")</f>
        <v>1.1663382853112325</v>
      </c>
      <c r="S29" s="122">
        <f>IF(Tab.o1[[#This Row],[a1]]=1,((Tab.o1[[#This Row],[MedMod]]-AVERAGE(Tab.o1[MedMod]))/_xlfn.STDEV.P(Tab.o1[MedMod])*H$1204)+G$1204,"")</f>
        <v>-2.8336617146887675</v>
      </c>
      <c r="T29" s="123">
        <f>IF(Tab.o1[[#This Row],[a1]]=1,Tab.o1[[#This Row],[Z-]]*_xlfn.STDEV.P(Tab.o1[B])+AVERAGE(Tab.o1[B]),"")</f>
        <v>840.64864103669845</v>
      </c>
      <c r="U29" s="123">
        <f>IF(Tab.o1[[#This Row],[a1]]=1,Tab.o1[[#This Row],[z+]]*_xlfn.STDEV.P(Tab.o1[B])+AVERAGE(Tab.o1[B]),"")</f>
        <v>833.75135896330164</v>
      </c>
      <c r="V29" s="124">
        <f>IF(Tab.o1[[#This Row],[a1]]=1,ABS((ABS(Tab.o1[[#This Row],[Red]]-Tab.o1[[#This Row],[Blue]]))),"")</f>
        <v>6.8972820733968092</v>
      </c>
      <c r="W29" s="125">
        <f>IF(Tab.o1[[#This Row],[a1]]=1,IF(W$3=0,1,Tab.o1[[#This Row],[Amp.]]*1/_xlfn.MINIFS(Tab.o1[Amp.],Tab.o1[Amp.],"&lt;&gt;0")),"")</f>
        <v>1</v>
      </c>
      <c r="X29" s="126">
        <f ca="1">IF(Tab.o1[[#This Row],[a1]]=1,IF(ISNUMBER(Tab.o1[[#This Row],[i.]]),NORMDIST(Tab.o1[[#This Row],[Za]],0,1,FALSE)*Tab.o1[[#This Row],[i.]],AP$3),"")</f>
        <v>0.14523137228608529</v>
      </c>
      <c r="Y29" s="126">
        <f ca="1">IF(Tab.o1[[#This Row],[a1]]=1,0.01+0.94*Tab.o1[[#This Row],[PDF]]/MAX(Tab.o1[PDF]),"")</f>
        <v>0.35289251974814689</v>
      </c>
      <c r="Z29" s="126">
        <f>IF(Tab.o1[[#This Row],[a1]]=1,0.01+0.94*Tab.o1[[#This Row],[W1_PDF]]/MAX(Tab.o1[W1_PDF]),"")</f>
        <v>0.95</v>
      </c>
      <c r="AA29" s="118">
        <f>IF(Tab.o1[[#This Row],[a1]]=1,ABS([1]!T.in.A[[#This Row],[oo6]]),"")</f>
        <v>7.1269669999999993E-2</v>
      </c>
      <c r="AB29" s="127">
        <f ca="1">IF(Tab.o1[[#This Row],[a1]]=1,IF(AE$3=0,"",IF(AB$3=0,ABS([1]!T.in.A[[#This Row],[oo9]]),ABS(Tab.o1[[#This Row],[DIF_Target.]]*Tab.o1[[#This Row],[W1_PDF]]))),"")</f>
        <v>0.18460269923399866</v>
      </c>
      <c r="AC29" s="127" t="str">
        <f>IF(G$1=1,"",IF(Tab.o1[[#This Row],[a1]]=1,Tab.o1[[#This Row],[Wr]]^2,""))</f>
        <v/>
      </c>
      <c r="AD29" s="118" t="e">
        <f>IF(Tab.o1[[#This Row],[a1]]=1,IF(AE$3=0,"",Tab.o1[[#This Row],[Wr2]]/SUM(Tab.o1[Wr2])),"")</f>
        <v>#VALUE!</v>
      </c>
      <c r="AE29" s="128">
        <f>IF(Tab.o1[[#This Row],[a1]]=1,[1]!T.in.A[[#This Row],[oo10]],"")</f>
        <v>0.9919173</v>
      </c>
      <c r="AF29" s="118" t="e">
        <f ca="1">IF(Tab.o1[[#This Row],[a1]]=1,ABS(Tab.o1[[#This Row],[DIF_Target.]]*Tab.o1[[#This Row],[PDF2]]*Tab.o1[[#This Row],[IN]]),"")</f>
        <v>#REF!</v>
      </c>
      <c r="AG29" s="129" t="e">
        <f ca="1">IF(Tab.o1[[#This Row],[a1]]=1,Tab.o1[[#This Row],[rW]]^2,"")</f>
        <v>#REF!</v>
      </c>
      <c r="AH29" s="130" t="e">
        <f ca="1">IF(Tab.o1[[#This Row],[a1]]=1,IF(AH$3=0,Tab.o1[[#This Row],[rW2]],0.01+0.94*Tab.o1[[#This Row],[rW2]]/SUM(Tab.o1[rW2])),"")</f>
        <v>#REF!</v>
      </c>
      <c r="AI29" s="128">
        <f ca="1">IF(Tab.o1[[#This Row],[a1]]=1,1/Tab.o1[[#This Row],[PDF]],"")</f>
        <v>6.8855646287645156</v>
      </c>
      <c r="AJ29" s="131" t="e">
        <f>IF(Tab.o1[[#This Row],[a1]]=1,[1]!T_AA[[#This Row],[IN'']]*[1]!T_AA[[#This Row],[Qde'']],"")</f>
        <v>#REF!</v>
      </c>
      <c r="AK29" s="132" t="str">
        <f>IF(Tab.o1[[#This Row],[a1]]=1,IF(AK$1=1,Tab.o1[[#This Row],[MED]]+Tab.o1[[#This Row],[MOD]]-Tab.o1[[#This Row],[MED]],""),"")</f>
        <v/>
      </c>
      <c r="AL29" s="133">
        <f>IF(Tab.o1[[#This Row],[a1]]=1,[1]!T.in.A[[#This Row],[oo16]],"")</f>
        <v>1.1461209999999999</v>
      </c>
      <c r="AM29" s="133">
        <f>IF(Tab.o1[[#This Row],[a1]]=1,IF(AM$3=1,[1]!T.in.A[[#This Row],[Σo16]],""),"")</f>
        <v>2.2154982733589283E-2</v>
      </c>
      <c r="AN29" s="126" t="str">
        <f>IF(Tab.o1[[#This Row],[a1]]=1,[1]!T.in.A[[#This Row],[Σp5]],"")</f>
        <v/>
      </c>
      <c r="AO29" s="126" t="str">
        <f>IF(Tab.o1[[#This Row],[a1]]=1,IF(AO$3=1,[1]!T.in.A[[#This Row],[Σp5]],""),"")</f>
        <v/>
      </c>
      <c r="AP29" s="110">
        <f ca="1">IF(Tab.o1[[#This Row],[a1]]=1,IF(ISNUMBER(Tab.o1[[#This Row],[i.]]),NORMDIST(Tab.o1[[#This Row],[Za]],0,1,FALSE)*Tab.o1[[#This Row],[i.]],0),"")</f>
        <v>0.14523137228608529</v>
      </c>
      <c r="AQ29" s="125">
        <f>IF(Tab.o1[[#This Row],[a1]]=1,ABS(Tab.o1[[#This Row],[MOD]]-AVERAGE(Tab.o1[MOD])),"")</f>
        <v>0.42883593750002547</v>
      </c>
      <c r="AR29" s="134">
        <f>IF(Tab.o1[[#This Row],[a1]]=1,Tab.o1[[#This Row],[OBS]]/SUM(Tab.o1[OBS]),"")</f>
        <v>4.4756584063615637E-3</v>
      </c>
      <c r="AS29" s="135">
        <f>IF(ISNUMBER(Tab.o1[[#This Row],[a1]]),ROW()-4,"")</f>
        <v>25</v>
      </c>
      <c r="AT29" s="136">
        <f>Tab.o1[[#This Row],[MOD]]</f>
        <v>839.79020000000003</v>
      </c>
      <c r="AU29" s="137">
        <f t="shared" si="1"/>
        <v>839.79020000000003</v>
      </c>
      <c r="AV29" s="138">
        <f t="shared" si="2"/>
        <v>0</v>
      </c>
      <c r="AW29" s="138" t="str">
        <f t="shared" si="3"/>
        <v/>
      </c>
      <c r="AX29" s="139" t="str">
        <f>[1]!T.in.A[[#This Row],[ID_T_manu]]</f>
        <v/>
      </c>
      <c r="AY29" s="140" t="e">
        <f>IF(ISNUMBER(Tab.o1[[#This Row],[a1]]),IF(AND(Tab.o1[[#This Row],[a1]]=1,Tab.o1[[#This Row],[b1]]&lt;=AY$4),#REF!,AY28),"")</f>
        <v>#REF!</v>
      </c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</row>
    <row r="30" spans="1:79" ht="15.75">
      <c r="A30" s="109">
        <v>4.0000000000000007E-6</v>
      </c>
      <c r="B30" s="110">
        <f t="shared" si="0"/>
        <v>30</v>
      </c>
      <c r="C30" s="111">
        <f>IF(C$1=[1]!T.in.A[[#This Row],[oo2]],1,"")</f>
        <v>1</v>
      </c>
      <c r="D30" s="112">
        <f>IF(Tab.o1[[#This Row],[a1]]=1,IF(SUM(C30:C31)=0,0,IF(SUM(C29:C30)=1,1,IF(SUM(C29:C31)&gt;1,D29+1,0))),"")</f>
        <v>26</v>
      </c>
      <c r="E30" s="113" t="str">
        <f>IF(Tab.o1[[#This Row],[a1]]=1,[1]!T.in.A[[#This Row],[oo1]],"")</f>
        <v>hed26</v>
      </c>
      <c r="F30" s="113" t="str">
        <f>IF(Tab.o1[[#This Row],[a1]]=1,[1]!T.in.A[[#This Row],[pp1]],"")</f>
        <v/>
      </c>
      <c r="G30" s="114">
        <f>IF(Tab.o1[[#This Row],[a1]]=1,G$2+IF(G$1=1,0,Tab.o1[[#This Row],[.x1]])+[1]!T.in.A[[#This Row],[oo3]],"")</f>
        <v>837.2</v>
      </c>
      <c r="H30" s="115">
        <f>IF(Tab.o1[[#This Row],[a1]]=1,IF(H$2=0,0,IF(G$1=1,0,Tab.o1[[#This Row],[.x1]])+[1]!T.in.A[[#This Row],[oo4]]),"")</f>
        <v>839.74220000000003</v>
      </c>
      <c r="I30" s="116">
        <f>IF(Tab.o1[[#This Row],[a1]]=1,IF(J$2=0,Tab.o1[[#This Row],[MED]],Tab.o1[[#This Row],[MOD]]),"")</f>
        <v>837.2</v>
      </c>
      <c r="J30" s="116">
        <f ca="1">IF(Tab.o1[[#This Row],[a1]]=1,((Tab.o1[[#This Row],[DIF_Target.]]-AVERAGE(Tab.o1[DIF_Target.]))/_xlfn.STDEV.P(Tab.o1[DIF_Target.])),"")</f>
        <v>1.3850485957555427</v>
      </c>
      <c r="K30" s="117">
        <f>IF(Tab.o1[[#This Row],[a1]]=1,IF(J$2=0,Tab.o1[[#This Row],[MOD]]-Tab.o1[[#This Row],[B]],IF(J$2=1,0,-Tab.o1[[#This Row],[MED]])+Tab.o1[[#This Row],[B]]),"")</f>
        <v>2.5421999999999798</v>
      </c>
      <c r="L30" s="117">
        <f ca="1">IF(Tab.o1[[#This Row],[DIF_Target]]=0,IF(L$2=0,Tab.o1[[#This Row],[DIF_Target]],AVERAGE(OFFSET(Tab.o1[[#This Row],[DIF_Target]],1,0,L$3,1)))/3,Tab.o1[[#This Row],[DIF_Target]])</f>
        <v>2.5421999999999798</v>
      </c>
      <c r="M30" s="118">
        <f ca="1">IF(Tab.o1[[#This Row],[a1]]=1,NORMSDIST(Tab.o1[[#This Row],[Za]]),"")</f>
        <v>0.91698119576512105</v>
      </c>
      <c r="N30" s="119">
        <f>IF(Tab.o1[[#This Row],[a1]]=1,((Tab.o1[[#This Row],[MedMod]]-AVERAGE(Tab.o1[MedMod]))/_xlfn.STDEV.P(Tab.o1[MedMod])*H$1205)+G$1205,"")</f>
        <v>-0.83366171468876737</v>
      </c>
      <c r="O30" s="141">
        <f>IF(Tab.o1[[#This Row],[a1]]=1,Tab.o1[[#This Row],[Zb]]*_xlfn.STDEV.P(Tab.o1[MedMod])+AVERAGE(Tab.o1[MedMod]),"")</f>
        <v>837.2</v>
      </c>
      <c r="P30" s="117">
        <f ca="1">IF(Tab.o1[[#This Row],[B]]=0,AVERAGE(OFFSET(Tab.o1[[#This Row],[B]],1,0,L$3,1)),Tab.o1[[#This Row],[B]])</f>
        <v>837.2</v>
      </c>
      <c r="Q30" s="121">
        <f>IF(Tab.o1[[#This Row],[a1]]=1,NORMSDIST(Tab.o1[[#This Row],[Zb]]),"")</f>
        <v>0.20223581902696339</v>
      </c>
      <c r="R30" s="122">
        <f>IF(Tab.o1[[#This Row],[a1]]=1,((Tab.o1[[#This Row],[MedMod]]-AVERAGE(Tab.o1[MedMod]))/_xlfn.STDEV.P(Tab.o1[MedMod])*H$1203)+G$1203,"")</f>
        <v>1.1663382853112325</v>
      </c>
      <c r="S30" s="122">
        <f>IF(Tab.o1[[#This Row],[a1]]=1,((Tab.o1[[#This Row],[MedMod]]-AVERAGE(Tab.o1[MedMod]))/_xlfn.STDEV.P(Tab.o1[MedMod])*H$1204)+G$1204,"")</f>
        <v>-2.8336617146887675</v>
      </c>
      <c r="T30" s="123">
        <f>IF(Tab.o1[[#This Row],[a1]]=1,Tab.o1[[#This Row],[Z-]]*_xlfn.STDEV.P(Tab.o1[B])+AVERAGE(Tab.o1[B]),"")</f>
        <v>840.64864103669845</v>
      </c>
      <c r="U30" s="123">
        <f>IF(Tab.o1[[#This Row],[a1]]=1,Tab.o1[[#This Row],[z+]]*_xlfn.STDEV.P(Tab.o1[B])+AVERAGE(Tab.o1[B]),"")</f>
        <v>833.75135896330164</v>
      </c>
      <c r="V30" s="124">
        <f>IF(Tab.o1[[#This Row],[a1]]=1,ABS((ABS(Tab.o1[[#This Row],[Red]]-Tab.o1[[#This Row],[Blue]]))),"")</f>
        <v>6.8972820733968092</v>
      </c>
      <c r="W30" s="125">
        <f>IF(Tab.o1[[#This Row],[a1]]=1,IF(W$3=0,1,Tab.o1[[#This Row],[Amp.]]*1/_xlfn.MINIFS(Tab.o1[Amp.],Tab.o1[Amp.],"&lt;&gt;0")),"")</f>
        <v>1</v>
      </c>
      <c r="X30" s="126">
        <f ca="1">IF(Tab.o1[[#This Row],[a1]]=1,IF(ISNUMBER(Tab.o1[[#This Row],[i.]]),NORMDIST(Tab.o1[[#This Row],[Za]],0,1,FALSE)*Tab.o1[[#This Row],[i.]],AP$3),"")</f>
        <v>0.15287749883383167</v>
      </c>
      <c r="Y30" s="126">
        <f ca="1">IF(Tab.o1[[#This Row],[a1]]=1,0.01+0.94*Tab.o1[[#This Row],[PDF]]/MAX(Tab.o1[PDF]),"")</f>
        <v>0.3709450903257035</v>
      </c>
      <c r="Z30" s="126">
        <f>IF(Tab.o1[[#This Row],[a1]]=1,0.01+0.94*Tab.o1[[#This Row],[W1_PDF]]/MAX(Tab.o1[W1_PDF]),"")</f>
        <v>0.95</v>
      </c>
      <c r="AA30" s="118">
        <f>IF(Tab.o1[[#This Row],[a1]]=1,ABS([1]!T.in.A[[#This Row],[oo6]]),"")</f>
        <v>7.1269669999999993E-2</v>
      </c>
      <c r="AB30" s="127">
        <f ca="1">IF(Tab.o1[[#This Row],[a1]]=1,IF(AE$3=0,"",IF(AB$3=0,ABS([1]!T.in.A[[#This Row],[oo9]]),ABS(Tab.o1[[#This Row],[DIF_Target.]]*Tab.o1[[#This Row],[W1_PDF]]))),"")</f>
        <v>0.18118175507399856</v>
      </c>
      <c r="AC30" s="127" t="str">
        <f>IF(G$1=1,"",IF(Tab.o1[[#This Row],[a1]]=1,Tab.o1[[#This Row],[Wr]]^2,""))</f>
        <v/>
      </c>
      <c r="AD30" s="118" t="e">
        <f>IF(Tab.o1[[#This Row],[a1]]=1,IF(AE$3=0,"",Tab.o1[[#This Row],[Wr2]]/SUM(Tab.o1[Wr2])),"")</f>
        <v>#VALUE!</v>
      </c>
      <c r="AE30" s="128">
        <f>IF(Tab.o1[[#This Row],[a1]]=1,[1]!T.in.A[[#This Row],[oo10]],"")</f>
        <v>0.9919173</v>
      </c>
      <c r="AF30" s="118" t="e">
        <f ca="1">IF(Tab.o1[[#This Row],[a1]]=1,ABS(Tab.o1[[#This Row],[DIF_Target.]]*Tab.o1[[#This Row],[PDF2]]*Tab.o1[[#This Row],[IN]]),"")</f>
        <v>#REF!</v>
      </c>
      <c r="AG30" s="129" t="e">
        <f ca="1">IF(Tab.o1[[#This Row],[a1]]=1,Tab.o1[[#This Row],[rW]]^2,"")</f>
        <v>#REF!</v>
      </c>
      <c r="AH30" s="130" t="e">
        <f ca="1">IF(Tab.o1[[#This Row],[a1]]=1,IF(AH$3=0,Tab.o1[[#This Row],[rW2]],0.01+0.94*Tab.o1[[#This Row],[rW2]]/SUM(Tab.o1[rW2])),"")</f>
        <v>#REF!</v>
      </c>
      <c r="AI30" s="128">
        <f ca="1">IF(Tab.o1[[#This Row],[a1]]=1,1/Tab.o1[[#This Row],[PDF]],"")</f>
        <v>6.5411849855480551</v>
      </c>
      <c r="AJ30" s="131" t="e">
        <f>IF(Tab.o1[[#This Row],[a1]]=1,[1]!T_AA[[#This Row],[IN'']]*[1]!T_AA[[#This Row],[Qde'']],"")</f>
        <v>#REF!</v>
      </c>
      <c r="AK30" s="132" t="str">
        <f>IF(Tab.o1[[#This Row],[a1]]=1,IF(AK$1=1,Tab.o1[[#This Row],[MED]]+Tab.o1[[#This Row],[MOD]]-Tab.o1[[#This Row],[MED]],""),"")</f>
        <v/>
      </c>
      <c r="AL30" s="133">
        <f>IF(Tab.o1[[#This Row],[a1]]=1,[1]!T.in.A[[#This Row],[oo16]],"")</f>
        <v>1.236113</v>
      </c>
      <c r="AM30" s="133">
        <f>IF(Tab.o1[[#This Row],[a1]]=1,IF(AM$3=1,[1]!T.in.A[[#This Row],[Σo16]],""),"")</f>
        <v>2.3894564510872105E-2</v>
      </c>
      <c r="AN30" s="126" t="str">
        <f>IF(Tab.o1[[#This Row],[a1]]=1,[1]!T.in.A[[#This Row],[Σp5]],"")</f>
        <v/>
      </c>
      <c r="AO30" s="126" t="str">
        <f>IF(Tab.o1[[#This Row],[a1]]=1,IF(AO$3=1,[1]!T.in.A[[#This Row],[Σp5]],""),"")</f>
        <v/>
      </c>
      <c r="AP30" s="110">
        <f ca="1">IF(Tab.o1[[#This Row],[a1]]=1,IF(ISNUMBER(Tab.o1[[#This Row],[i.]]),NORMDIST(Tab.o1[[#This Row],[Za]],0,1,FALSE)*Tab.o1[[#This Row],[i.]],0),"")</f>
        <v>0.15287749883383167</v>
      </c>
      <c r="AQ30" s="125">
        <f>IF(Tab.o1[[#This Row],[a1]]=1,ABS(Tab.o1[[#This Row],[MOD]]-AVERAGE(Tab.o1[MOD])),"")</f>
        <v>0.38083593750002365</v>
      </c>
      <c r="AR30" s="134">
        <f>IF(Tab.o1[[#This Row],[a1]]=1,Tab.o1[[#This Row],[OBS]]/SUM(Tab.o1[OBS]),"")</f>
        <v>3.9746938539087966E-3</v>
      </c>
      <c r="AS30" s="135">
        <f>IF(ISNUMBER(Tab.o1[[#This Row],[a1]]),ROW()-4,"")</f>
        <v>26</v>
      </c>
      <c r="AT30" s="136">
        <f>Tab.o1[[#This Row],[MOD]]</f>
        <v>839.74220000000003</v>
      </c>
      <c r="AU30" s="137">
        <f t="shared" si="1"/>
        <v>839.74220000000003</v>
      </c>
      <c r="AV30" s="138">
        <f t="shared" si="2"/>
        <v>0</v>
      </c>
      <c r="AW30" s="138" t="str">
        <f t="shared" si="3"/>
        <v/>
      </c>
      <c r="AX30" s="139" t="str">
        <f>[1]!T.in.A[[#This Row],[ID_T_manu]]</f>
        <v/>
      </c>
      <c r="AY30" s="140" t="e">
        <f>IF(ISNUMBER(Tab.o1[[#This Row],[a1]]),IF(AND(Tab.o1[[#This Row],[a1]]=1,Tab.o1[[#This Row],[b1]]&lt;=AY$4),#REF!,AY29),"")</f>
        <v>#REF!</v>
      </c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</row>
    <row r="31" spans="1:79" ht="15.75">
      <c r="A31" s="109">
        <v>-8.0000000000000013E-6</v>
      </c>
      <c r="B31" s="110">
        <f t="shared" si="0"/>
        <v>31</v>
      </c>
      <c r="C31" s="111">
        <f>IF(C$1=[1]!T.in.A[[#This Row],[oo2]],1,"")</f>
        <v>1</v>
      </c>
      <c r="D31" s="112">
        <f>IF(Tab.o1[[#This Row],[a1]]=1,IF(SUM(C31:C32)=0,0,IF(SUM(C30:C31)=1,1,IF(SUM(C30:C32)&gt;1,D30+1,0))),"")</f>
        <v>27</v>
      </c>
      <c r="E31" s="113" t="str">
        <f>IF(Tab.o1[[#This Row],[a1]]=1,[1]!T.in.A[[#This Row],[oo1]],"")</f>
        <v>hed27</v>
      </c>
      <c r="F31" s="113" t="str">
        <f>IF(Tab.o1[[#This Row],[a1]]=1,[1]!T.in.A[[#This Row],[pp1]],"")</f>
        <v/>
      </c>
      <c r="G31" s="114">
        <f>IF(Tab.o1[[#This Row],[a1]]=1,G$2+IF(G$1=1,0,Tab.o1[[#This Row],[.x1]])+[1]!T.in.A[[#This Row],[oo3]],"")</f>
        <v>837.1</v>
      </c>
      <c r="H31" s="115">
        <f>IF(Tab.o1[[#This Row],[a1]]=1,IF(H$2=0,0,IF(G$1=1,0,Tab.o1[[#This Row],[.x1]])+[1]!T.in.A[[#This Row],[oo4]]),"")</f>
        <v>839.65660000000003</v>
      </c>
      <c r="I31" s="116">
        <f>IF(Tab.o1[[#This Row],[a1]]=1,IF(J$2=0,Tab.o1[[#This Row],[MED]],Tab.o1[[#This Row],[MOD]]),"")</f>
        <v>837.1</v>
      </c>
      <c r="J31" s="116">
        <f ca="1">IF(Tab.o1[[#This Row],[a1]]=1,((Tab.o1[[#This Row],[DIF_Target.]]-AVERAGE(Tab.o1[DIF_Target.]))/_xlfn.STDEV.P(Tab.o1[DIF_Target.])),"")</f>
        <v>1.3960172508690383</v>
      </c>
      <c r="K31" s="117">
        <f>IF(Tab.o1[[#This Row],[a1]]=1,IF(J$2=0,Tab.o1[[#This Row],[MOD]]-Tab.o1[[#This Row],[B]],IF(J$2=1,0,-Tab.o1[[#This Row],[MED]])+Tab.o1[[#This Row],[B]]),"")</f>
        <v>2.5566000000000031</v>
      </c>
      <c r="L31" s="117">
        <f ca="1">IF(Tab.o1[[#This Row],[DIF_Target]]=0,IF(L$2=0,Tab.o1[[#This Row],[DIF_Target]],AVERAGE(OFFSET(Tab.o1[[#This Row],[DIF_Target]],1,0,L$3,1)))/3,Tab.o1[[#This Row],[DIF_Target]])</f>
        <v>2.5566000000000031</v>
      </c>
      <c r="M31" s="118">
        <f ca="1">IF(Tab.o1[[#This Row],[a1]]=1,NORMSDIST(Tab.o1[[#This Row],[Za]]),"")</f>
        <v>0.91864534980701729</v>
      </c>
      <c r="N31" s="119">
        <f>IF(Tab.o1[[#This Row],[a1]]=1,((Tab.o1[[#This Row],[MedMod]]-AVERAGE(Tab.o1[MedMod]))/_xlfn.STDEV.P(Tab.o1[MedMod])*H$1205)+G$1205,"")</f>
        <v>-0.89165557310191224</v>
      </c>
      <c r="O31" s="141">
        <f>IF(Tab.o1[[#This Row],[a1]]=1,Tab.o1[[#This Row],[Zb]]*_xlfn.STDEV.P(Tab.o1[MedMod])+AVERAGE(Tab.o1[MedMod]),"")</f>
        <v>837.1</v>
      </c>
      <c r="P31" s="117">
        <f ca="1">IF(Tab.o1[[#This Row],[B]]=0,AVERAGE(OFFSET(Tab.o1[[#This Row],[B]],1,0,L$3,1)),Tab.o1[[#This Row],[B]])</f>
        <v>837.1</v>
      </c>
      <c r="Q31" s="121">
        <f>IF(Tab.o1[[#This Row],[a1]]=1,NORMSDIST(Tab.o1[[#This Row],[Zb]]),"")</f>
        <v>0.18628878657902001</v>
      </c>
      <c r="R31" s="122">
        <f>IF(Tab.o1[[#This Row],[a1]]=1,((Tab.o1[[#This Row],[MedMod]]-AVERAGE(Tab.o1[MedMod]))/_xlfn.STDEV.P(Tab.o1[MedMod])*H$1203)+G$1203,"")</f>
        <v>1.1083444268980878</v>
      </c>
      <c r="S31" s="122">
        <f>IF(Tab.o1[[#This Row],[a1]]=1,((Tab.o1[[#This Row],[MedMod]]-AVERAGE(Tab.o1[MedMod]))/_xlfn.STDEV.P(Tab.o1[MedMod])*H$1204)+G$1204,"")</f>
        <v>-2.8916555731019122</v>
      </c>
      <c r="T31" s="123">
        <f>IF(Tab.o1[[#This Row],[a1]]=1,Tab.o1[[#This Row],[Z-]]*_xlfn.STDEV.P(Tab.o1[B])+AVERAGE(Tab.o1[B]),"")</f>
        <v>840.54864103669843</v>
      </c>
      <c r="U31" s="123">
        <f>IF(Tab.o1[[#This Row],[a1]]=1,Tab.o1[[#This Row],[z+]]*_xlfn.STDEV.P(Tab.o1[B])+AVERAGE(Tab.o1[B]),"")</f>
        <v>833.65135896330162</v>
      </c>
      <c r="V31" s="124">
        <f>IF(Tab.o1[[#This Row],[a1]]=1,ABS((ABS(Tab.o1[[#This Row],[Red]]-Tab.o1[[#This Row],[Blue]]))),"")</f>
        <v>6.8972820733968092</v>
      </c>
      <c r="W31" s="125">
        <f>IF(Tab.o1[[#This Row],[a1]]=1,IF(W$3=0,1,Tab.o1[[#This Row],[Amp.]]*1/_xlfn.MINIFS(Tab.o1[Amp.],Tab.o1[Amp.],"&lt;&gt;0")),"")</f>
        <v>1</v>
      </c>
      <c r="X31" s="126">
        <f ca="1">IF(Tab.o1[[#This Row],[a1]]=1,IF(ISNUMBER(Tab.o1[[#This Row],[i.]]),NORMDIST(Tab.o1[[#This Row],[Za]],0,1,FALSE)*Tab.o1[[#This Row],[i.]],AP$3),"")</f>
        <v>0.15056346104958754</v>
      </c>
      <c r="Y31" s="126">
        <f ca="1">IF(Tab.o1[[#This Row],[a1]]=1,0.01+0.94*Tab.o1[[#This Row],[PDF]]/MAX(Tab.o1[PDF]),"")</f>
        <v>0.36548162720377647</v>
      </c>
      <c r="Z31" s="126">
        <f>IF(Tab.o1[[#This Row],[a1]]=1,0.01+0.94*Tab.o1[[#This Row],[W1_PDF]]/MAX(Tab.o1[W1_PDF]),"")</f>
        <v>0.95</v>
      </c>
      <c r="AA31" s="118">
        <f>IF(Tab.o1[[#This Row],[a1]]=1,ABS([1]!T.in.A[[#This Row],[oo6]]),"")</f>
        <v>7.1269669999999993E-2</v>
      </c>
      <c r="AB31" s="127">
        <f ca="1">IF(Tab.o1[[#This Row],[a1]]=1,IF(AE$3=0,"",IF(AB$3=0,ABS([1]!T.in.A[[#This Row],[oo9]]),ABS(Tab.o1[[#This Row],[DIF_Target.]]*Tab.o1[[#This Row],[W1_PDF]]))),"")</f>
        <v>0.18220803832200019</v>
      </c>
      <c r="AC31" s="127" t="str">
        <f>IF(G$1=1,"",IF(Tab.o1[[#This Row],[a1]]=1,Tab.o1[[#This Row],[Wr]]^2,""))</f>
        <v/>
      </c>
      <c r="AD31" s="118" t="e">
        <f>IF(Tab.o1[[#This Row],[a1]]=1,IF(AE$3=0,"",Tab.o1[[#This Row],[Wr2]]/SUM(Tab.o1[Wr2])),"")</f>
        <v>#VALUE!</v>
      </c>
      <c r="AE31" s="128">
        <f>IF(Tab.o1[[#This Row],[a1]]=1,[1]!T.in.A[[#This Row],[oo10]],"")</f>
        <v>0.9919173</v>
      </c>
      <c r="AF31" s="118" t="e">
        <f ca="1">IF(Tab.o1[[#This Row],[a1]]=1,ABS(Tab.o1[[#This Row],[DIF_Target.]]*Tab.o1[[#This Row],[PDF2]]*Tab.o1[[#This Row],[IN]]),"")</f>
        <v>#REF!</v>
      </c>
      <c r="AG31" s="129" t="e">
        <f ca="1">IF(Tab.o1[[#This Row],[a1]]=1,Tab.o1[[#This Row],[rW]]^2,"")</f>
        <v>#REF!</v>
      </c>
      <c r="AH31" s="130" t="e">
        <f ca="1">IF(Tab.o1[[#This Row],[a1]]=1,IF(AH$3=0,Tab.o1[[#This Row],[rW2]],0.01+0.94*Tab.o1[[#This Row],[rW2]]/SUM(Tab.o1[rW2])),"")</f>
        <v>#REF!</v>
      </c>
      <c r="AI31" s="128">
        <f ca="1">IF(Tab.o1[[#This Row],[a1]]=1,1/Tab.o1[[#This Row],[PDF]],"")</f>
        <v>6.6417176719300679</v>
      </c>
      <c r="AJ31" s="131" t="e">
        <f>IF(Tab.o1[[#This Row],[a1]]=1,[1]!T_AA[[#This Row],[IN'']]*[1]!T_AA[[#This Row],[Qde'']],"")</f>
        <v>#REF!</v>
      </c>
      <c r="AK31" s="132" t="str">
        <f>IF(Tab.o1[[#This Row],[a1]]=1,IF(AK$1=1,Tab.o1[[#This Row],[MED]]+Tab.o1[[#This Row],[MOD]]-Tab.o1[[#This Row],[MED]],""),"")</f>
        <v/>
      </c>
      <c r="AL31" s="133">
        <f>IF(Tab.o1[[#This Row],[a1]]=1,[1]!T.in.A[[#This Row],[oo16]],"")</f>
        <v>1.4263209999999999</v>
      </c>
      <c r="AM31" s="133">
        <f>IF(Tab.o1[[#This Row],[a1]]=1,IF(AM$3=1,[1]!T.in.A[[#This Row],[Σo16]],""),"")</f>
        <v>2.7571362122808848E-2</v>
      </c>
      <c r="AN31" s="126" t="str">
        <f>IF(Tab.o1[[#This Row],[a1]]=1,[1]!T.in.A[[#This Row],[Σp5]],"")</f>
        <v/>
      </c>
      <c r="AO31" s="126" t="str">
        <f>IF(Tab.o1[[#This Row],[a1]]=1,IF(AO$3=1,[1]!T.in.A[[#This Row],[Σp5]],""),"")</f>
        <v/>
      </c>
      <c r="AP31" s="110">
        <f ca="1">IF(Tab.o1[[#This Row],[a1]]=1,IF(ISNUMBER(Tab.o1[[#This Row],[i.]]),NORMDIST(Tab.o1[[#This Row],[Za]],0,1,FALSE)*Tab.o1[[#This Row],[i.]],0),"")</f>
        <v>0.15056346104958754</v>
      </c>
      <c r="AQ31" s="125">
        <f>IF(Tab.o1[[#This Row],[a1]]=1,ABS(Tab.o1[[#This Row],[MOD]]-AVERAGE(Tab.o1[MOD])),"")</f>
        <v>0.29523593750002419</v>
      </c>
      <c r="AR31" s="134">
        <f>IF(Tab.o1[[#This Row],[a1]]=1,Tab.o1[[#This Row],[OBS]]/SUM(Tab.o1[OBS]),"")</f>
        <v>3.0813070687014006E-3</v>
      </c>
      <c r="AS31" s="135">
        <f>IF(ISNUMBER(Tab.o1[[#This Row],[a1]]),ROW()-4,"")</f>
        <v>27</v>
      </c>
      <c r="AT31" s="136">
        <f>Tab.o1[[#This Row],[MOD]]</f>
        <v>839.65660000000003</v>
      </c>
      <c r="AU31" s="137">
        <f t="shared" si="1"/>
        <v>839.65660000000003</v>
      </c>
      <c r="AV31" s="138">
        <f t="shared" si="2"/>
        <v>0</v>
      </c>
      <c r="AW31" s="138" t="str">
        <f t="shared" si="3"/>
        <v/>
      </c>
      <c r="AX31" s="139" t="str">
        <f>[1]!T.in.A[[#This Row],[ID_T_manu]]</f>
        <v/>
      </c>
      <c r="AY31" s="140" t="e">
        <f>IF(ISNUMBER(Tab.o1[[#This Row],[a1]]),IF(AND(Tab.o1[[#This Row],[a1]]=1,Tab.o1[[#This Row],[b1]]&lt;=AY$4),#REF!,AY30),"")</f>
        <v>#REF!</v>
      </c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</row>
    <row r="32" spans="1:79" ht="15.75">
      <c r="A32" s="109">
        <v>-9.0000000000000002E-6</v>
      </c>
      <c r="B32" s="110">
        <f t="shared" si="0"/>
        <v>32</v>
      </c>
      <c r="C32" s="111">
        <f>IF(C$1=[1]!T.in.A[[#This Row],[oo2]],1,"")</f>
        <v>1</v>
      </c>
      <c r="D32" s="112">
        <f>IF(Tab.o1[[#This Row],[a1]]=1,IF(SUM(C32:C33)=0,0,IF(SUM(C31:C32)=1,1,IF(SUM(C31:C33)&gt;1,D31+1,0))),"")</f>
        <v>28</v>
      </c>
      <c r="E32" s="113" t="str">
        <f>IF(Tab.o1[[#This Row],[a1]]=1,[1]!T.in.A[[#This Row],[oo1]],"")</f>
        <v>hed28</v>
      </c>
      <c r="F32" s="113" t="str">
        <f>IF(Tab.o1[[#This Row],[a1]]=1,[1]!T.in.A[[#This Row],[pp1]],"")</f>
        <v/>
      </c>
      <c r="G32" s="114">
        <f>IF(Tab.o1[[#This Row],[a1]]=1,G$2+IF(G$1=1,0,Tab.o1[[#This Row],[.x1]])+[1]!T.in.A[[#This Row],[oo3]],"")</f>
        <v>837</v>
      </c>
      <c r="H32" s="115">
        <f>IF(Tab.o1[[#This Row],[a1]]=1,IF(H$2=0,0,IF(G$1=1,0,Tab.o1[[#This Row],[.x1]])+[1]!T.in.A[[#This Row],[oo4]]),"")</f>
        <v>839.43020000000001</v>
      </c>
      <c r="I32" s="116">
        <f>IF(Tab.o1[[#This Row],[a1]]=1,IF(J$2=0,Tab.o1[[#This Row],[MED]],Tab.o1[[#This Row],[MOD]]),"")</f>
        <v>837</v>
      </c>
      <c r="J32" s="116">
        <f ca="1">IF(Tab.o1[[#This Row],[a1]]=1,((Tab.o1[[#This Row],[DIF_Target.]]-AVERAGE(Tab.o1[DIF_Target.]))/_xlfn.STDEV.P(Tab.o1[DIF_Target.])),"")</f>
        <v>1.2997368337618511</v>
      </c>
      <c r="K32" s="117">
        <f>IF(Tab.o1[[#This Row],[a1]]=1,IF(J$2=0,Tab.o1[[#This Row],[MOD]]-Tab.o1[[#This Row],[B]],IF(J$2=1,0,-Tab.o1[[#This Row],[MED]])+Tab.o1[[#This Row],[B]]),"")</f>
        <v>2.4302000000000135</v>
      </c>
      <c r="L32" s="117">
        <f ca="1">IF(Tab.o1[[#This Row],[DIF_Target]]=0,IF(L$2=0,Tab.o1[[#This Row],[DIF_Target]],AVERAGE(OFFSET(Tab.o1[[#This Row],[DIF_Target]],1,0,L$3,1)))/3,Tab.o1[[#This Row],[DIF_Target]])</f>
        <v>2.4302000000000135</v>
      </c>
      <c r="M32" s="118">
        <f ca="1">IF(Tab.o1[[#This Row],[a1]]=1,NORMSDIST(Tab.o1[[#This Row],[Za]]),"")</f>
        <v>0.90315440927187507</v>
      </c>
      <c r="N32" s="119">
        <f>IF(Tab.o1[[#This Row],[a1]]=1,((Tab.o1[[#This Row],[MedMod]]-AVERAGE(Tab.o1[MedMod]))/_xlfn.STDEV.P(Tab.o1[MedMod])*H$1205)+G$1205,"")</f>
        <v>-0.9496494315150571</v>
      </c>
      <c r="O32" s="141">
        <f>IF(Tab.o1[[#This Row],[a1]]=1,Tab.o1[[#This Row],[Zb]]*_xlfn.STDEV.P(Tab.o1[MedMod])+AVERAGE(Tab.o1[MedMod]),"")</f>
        <v>837</v>
      </c>
      <c r="P32" s="117">
        <f ca="1">IF(Tab.o1[[#This Row],[B]]=0,AVERAGE(OFFSET(Tab.o1[[#This Row],[B]],1,0,L$3,1)),Tab.o1[[#This Row],[B]])</f>
        <v>837</v>
      </c>
      <c r="Q32" s="121">
        <f>IF(Tab.o1[[#This Row],[a1]]=1,NORMSDIST(Tab.o1[[#This Row],[Zb]]),"")</f>
        <v>0.17114520623793891</v>
      </c>
      <c r="R32" s="122">
        <f>IF(Tab.o1[[#This Row],[a1]]=1,((Tab.o1[[#This Row],[MedMod]]-AVERAGE(Tab.o1[MedMod]))/_xlfn.STDEV.P(Tab.o1[MedMod])*H$1203)+G$1203,"")</f>
        <v>1.050350568484943</v>
      </c>
      <c r="S32" s="122">
        <f>IF(Tab.o1[[#This Row],[a1]]=1,((Tab.o1[[#This Row],[MedMod]]-AVERAGE(Tab.o1[MedMod]))/_xlfn.STDEV.P(Tab.o1[MedMod])*H$1204)+G$1204,"")</f>
        <v>-2.949649431515057</v>
      </c>
      <c r="T32" s="123">
        <f>IF(Tab.o1[[#This Row],[a1]]=1,Tab.o1[[#This Row],[Z-]]*_xlfn.STDEV.P(Tab.o1[B])+AVERAGE(Tab.o1[B]),"")</f>
        <v>840.4486410366984</v>
      </c>
      <c r="U32" s="123">
        <f>IF(Tab.o1[[#This Row],[a1]]=1,Tab.o1[[#This Row],[z+]]*_xlfn.STDEV.P(Tab.o1[B])+AVERAGE(Tab.o1[B]),"")</f>
        <v>833.5513589633016</v>
      </c>
      <c r="V32" s="124">
        <f>IF(Tab.o1[[#This Row],[a1]]=1,ABS((ABS(Tab.o1[[#This Row],[Red]]-Tab.o1[[#This Row],[Blue]]))),"")</f>
        <v>6.8972820733968092</v>
      </c>
      <c r="W32" s="125">
        <f>IF(Tab.o1[[#This Row],[a1]]=1,IF(W$3=0,1,Tab.o1[[#This Row],[Amp.]]*1/_xlfn.MINIFS(Tab.o1[Amp.],Tab.o1[Amp.],"&lt;&gt;0")),"")</f>
        <v>1</v>
      </c>
      <c r="X32" s="126">
        <f ca="1">IF(Tab.o1[[#This Row],[a1]]=1,IF(ISNUMBER(Tab.o1[[#This Row],[i.]]),NORMDIST(Tab.o1[[#This Row],[Za]],0,1,FALSE)*Tab.o1[[#This Row],[i.]],AP$3),"")</f>
        <v>0.17142722409753097</v>
      </c>
      <c r="Y32" s="126">
        <f ca="1">IF(Tab.o1[[#This Row],[a1]]=1,0.01+0.94*Tab.o1[[#This Row],[PDF]]/MAX(Tab.o1[PDF]),"")</f>
        <v>0.41474115130195255</v>
      </c>
      <c r="Z32" s="126">
        <f>IF(Tab.o1[[#This Row],[a1]]=1,0.01+0.94*Tab.o1[[#This Row],[W1_PDF]]/MAX(Tab.o1[W1_PDF]),"")</f>
        <v>0.95</v>
      </c>
      <c r="AA32" s="118">
        <f>IF(Tab.o1[[#This Row],[a1]]=1,ABS([1]!T.in.A[[#This Row],[oo6]]),"")</f>
        <v>7.1269669999999993E-2</v>
      </c>
      <c r="AB32" s="127">
        <f ca="1">IF(Tab.o1[[#This Row],[a1]]=1,IF(AE$3=0,"",IF(AB$3=0,ABS([1]!T.in.A[[#This Row],[oo9]]),ABS(Tab.o1[[#This Row],[DIF_Target.]]*Tab.o1[[#This Row],[W1_PDF]]))),"")</f>
        <v>0.17319955203400095</v>
      </c>
      <c r="AC32" s="127" t="str">
        <f>IF(G$1=1,"",IF(Tab.o1[[#This Row],[a1]]=1,Tab.o1[[#This Row],[Wr]]^2,""))</f>
        <v/>
      </c>
      <c r="AD32" s="118" t="e">
        <f>IF(Tab.o1[[#This Row],[a1]]=1,IF(AE$3=0,"",Tab.o1[[#This Row],[Wr2]]/SUM(Tab.o1[Wr2])),"")</f>
        <v>#VALUE!</v>
      </c>
      <c r="AE32" s="128">
        <f>IF(Tab.o1[[#This Row],[a1]]=1,[1]!T.in.A[[#This Row],[oo10]],"")</f>
        <v>0.9919173</v>
      </c>
      <c r="AF32" s="118" t="e">
        <f ca="1">IF(Tab.o1[[#This Row],[a1]]=1,ABS(Tab.o1[[#This Row],[DIF_Target.]]*Tab.o1[[#This Row],[PDF2]]*Tab.o1[[#This Row],[IN]]),"")</f>
        <v>#REF!</v>
      </c>
      <c r="AG32" s="129" t="e">
        <f ca="1">IF(Tab.o1[[#This Row],[a1]]=1,Tab.o1[[#This Row],[rW]]^2,"")</f>
        <v>#REF!</v>
      </c>
      <c r="AH32" s="130" t="e">
        <f ca="1">IF(Tab.o1[[#This Row],[a1]]=1,IF(AH$3=0,Tab.o1[[#This Row],[rW2]],0.01+0.94*Tab.o1[[#This Row],[rW2]]/SUM(Tab.o1[rW2])),"")</f>
        <v>#REF!</v>
      </c>
      <c r="AI32" s="128">
        <f ca="1">IF(Tab.o1[[#This Row],[a1]]=1,1/Tab.o1[[#This Row],[PDF]],"")</f>
        <v>5.8333791803749024</v>
      </c>
      <c r="AJ32" s="131" t="e">
        <f>IF(Tab.o1[[#This Row],[a1]]=1,[1]!T_AA[[#This Row],[IN'']]*[1]!T_AA[[#This Row],[Qde'']],"")</f>
        <v>#REF!</v>
      </c>
      <c r="AK32" s="132" t="str">
        <f>IF(Tab.o1[[#This Row],[a1]]=1,IF(AK$1=1,Tab.o1[[#This Row],[MED]]+Tab.o1[[#This Row],[MOD]]-Tab.o1[[#This Row],[MED]],""),"")</f>
        <v/>
      </c>
      <c r="AL32" s="133">
        <f>IF(Tab.o1[[#This Row],[a1]]=1,[1]!T.in.A[[#This Row],[oo16]],"")</f>
        <v>1.8833029999999999</v>
      </c>
      <c r="AM32" s="133">
        <f>IF(Tab.o1[[#This Row],[a1]]=1,IF(AM$3=1,[1]!T.in.A[[#This Row],[Σo16]],""),"")</f>
        <v>3.6405009110832887E-2</v>
      </c>
      <c r="AN32" s="126" t="str">
        <f>IF(Tab.o1[[#This Row],[a1]]=1,[1]!T.in.A[[#This Row],[Σp5]],"")</f>
        <v/>
      </c>
      <c r="AO32" s="126" t="str">
        <f>IF(Tab.o1[[#This Row],[a1]]=1,IF(AO$3=1,[1]!T.in.A[[#This Row],[Σp5]],""),"")</f>
        <v/>
      </c>
      <c r="AP32" s="110">
        <f ca="1">IF(Tab.o1[[#This Row],[a1]]=1,IF(ISNUMBER(Tab.o1[[#This Row],[i.]]),NORMDIST(Tab.o1[[#This Row],[Za]],0,1,FALSE)*Tab.o1[[#This Row],[i.]],0),"")</f>
        <v>0.17142722409753097</v>
      </c>
      <c r="AQ32" s="125">
        <f>IF(Tab.o1[[#This Row],[a1]]=1,ABS(Tab.o1[[#This Row],[MOD]]-AVERAGE(Tab.o1[MOD])),"")</f>
        <v>6.8835937500011823E-2</v>
      </c>
      <c r="AR32" s="134">
        <f>IF(Tab.o1[[#This Row],[a1]]=1,Tab.o1[[#This Row],[OBS]]/SUM(Tab.o1[OBS]),"")</f>
        <v>7.1842426296580804E-4</v>
      </c>
      <c r="AS32" s="135">
        <f>IF(ISNUMBER(Tab.o1[[#This Row],[a1]]),ROW()-4,"")</f>
        <v>28</v>
      </c>
      <c r="AT32" s="136">
        <f>Tab.o1[[#This Row],[MOD]]</f>
        <v>839.43020000000001</v>
      </c>
      <c r="AU32" s="137">
        <f t="shared" si="1"/>
        <v>839.43020000000001</v>
      </c>
      <c r="AV32" s="138">
        <f t="shared" si="2"/>
        <v>0</v>
      </c>
      <c r="AW32" s="138" t="str">
        <f t="shared" si="3"/>
        <v/>
      </c>
      <c r="AX32" s="139" t="str">
        <f>[1]!T.in.A[[#This Row],[ID_T_manu]]</f>
        <v/>
      </c>
      <c r="AY32" s="140" t="e">
        <f>IF(ISNUMBER(Tab.o1[[#This Row],[a1]]),IF(AND(Tab.o1[[#This Row],[a1]]=1,Tab.o1[[#This Row],[b1]]&lt;=AY$4),#REF!,AY31),"")</f>
        <v>#REF!</v>
      </c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</row>
    <row r="33" spans="1:79" ht="15.75">
      <c r="A33" s="109">
        <v>-2.9999999999999997E-6</v>
      </c>
      <c r="B33" s="110">
        <f t="shared" si="0"/>
        <v>33</v>
      </c>
      <c r="C33" s="111">
        <f>IF(C$1=[1]!T.in.A[[#This Row],[oo2]],1,"")</f>
        <v>1</v>
      </c>
      <c r="D33" s="112">
        <f>IF(Tab.o1[[#This Row],[a1]]=1,IF(SUM(C33:C34)=0,0,IF(SUM(C32:C33)=1,1,IF(SUM(C32:C34)&gt;1,D32+1,0))),"")</f>
        <v>29</v>
      </c>
      <c r="E33" s="113" t="str">
        <f>IF(Tab.o1[[#This Row],[a1]]=1,[1]!T.in.A[[#This Row],[oo1]],"")</f>
        <v>hed29</v>
      </c>
      <c r="F33" s="113" t="str">
        <f>IF(Tab.o1[[#This Row],[a1]]=1,[1]!T.in.A[[#This Row],[pp1]],"")</f>
        <v/>
      </c>
      <c r="G33" s="114">
        <f>IF(Tab.o1[[#This Row],[a1]]=1,G$2+IF(G$1=1,0,Tab.o1[[#This Row],[.x1]])+[1]!T.in.A[[#This Row],[oo3]],"")</f>
        <v>836.8</v>
      </c>
      <c r="H33" s="115">
        <f>IF(Tab.o1[[#This Row],[a1]]=1,IF(H$2=0,0,IF(G$1=1,0,Tab.o1[[#This Row],[.x1]])+[1]!T.in.A[[#This Row],[oo4]]),"")</f>
        <v>838.94269999999995</v>
      </c>
      <c r="I33" s="116">
        <f>IF(Tab.o1[[#This Row],[a1]]=1,IF(J$2=0,Tab.o1[[#This Row],[MED]],Tab.o1[[#This Row],[MOD]]),"")</f>
        <v>836.8</v>
      </c>
      <c r="J33" s="116">
        <f ca="1">IF(Tab.o1[[#This Row],[a1]]=1,((Tab.o1[[#This Row],[DIF_Target.]]-AVERAGE(Tab.o1[DIF_Target.]))/_xlfn.STDEV.P(Tab.o1[DIF_Target.])),"")</f>
        <v>1.0807445875726045</v>
      </c>
      <c r="K33" s="117">
        <f>IF(Tab.o1[[#This Row],[a1]]=1,IF(J$2=0,Tab.o1[[#This Row],[MOD]]-Tab.o1[[#This Row],[B]],IF(J$2=1,0,-Tab.o1[[#This Row],[MED]])+Tab.o1[[#This Row],[B]]),"")</f>
        <v>2.1426999999999907</v>
      </c>
      <c r="L33" s="117">
        <f ca="1">IF(Tab.o1[[#This Row],[DIF_Target]]=0,IF(L$2=0,Tab.o1[[#This Row],[DIF_Target]],AVERAGE(OFFSET(Tab.o1[[#This Row],[DIF_Target]],1,0,L$3,1)))/3,Tab.o1[[#This Row],[DIF_Target]])</f>
        <v>2.1426999999999907</v>
      </c>
      <c r="M33" s="118">
        <f ca="1">IF(Tab.o1[[#This Row],[a1]]=1,NORMSDIST(Tab.o1[[#This Row],[Za]]),"")</f>
        <v>0.86009462828355843</v>
      </c>
      <c r="N33" s="119">
        <f>IF(Tab.o1[[#This Row],[a1]]=1,((Tab.o1[[#This Row],[MedMod]]-AVERAGE(Tab.o1[MedMod]))/_xlfn.STDEV.P(Tab.o1[MedMod])*H$1205)+G$1205,"")</f>
        <v>-1.0656371483413467</v>
      </c>
      <c r="O33" s="141">
        <f>IF(Tab.o1[[#This Row],[a1]]=1,Tab.o1[[#This Row],[Zb]]*_xlfn.STDEV.P(Tab.o1[MedMod])+AVERAGE(Tab.o1[MedMod]),"")</f>
        <v>836.8</v>
      </c>
      <c r="P33" s="117">
        <f ca="1">IF(Tab.o1[[#This Row],[B]]=0,AVERAGE(OFFSET(Tab.o1[[#This Row],[B]],1,0,L$3,1)),Tab.o1[[#This Row],[B]])</f>
        <v>836.8</v>
      </c>
      <c r="Q33" s="121">
        <f>IF(Tab.o1[[#This Row],[a1]]=1,NORMSDIST(Tab.o1[[#This Row],[Zb]]),"")</f>
        <v>0.14329384979773407</v>
      </c>
      <c r="R33" s="122">
        <f>IF(Tab.o1[[#This Row],[a1]]=1,((Tab.o1[[#This Row],[MedMod]]-AVERAGE(Tab.o1[MedMod]))/_xlfn.STDEV.P(Tab.o1[MedMod])*H$1203)+G$1203,"")</f>
        <v>0.93436285165865329</v>
      </c>
      <c r="S33" s="122">
        <f>IF(Tab.o1[[#This Row],[a1]]=1,((Tab.o1[[#This Row],[MedMod]]-AVERAGE(Tab.o1[MedMod]))/_xlfn.STDEV.P(Tab.o1[MedMod])*H$1204)+G$1204,"")</f>
        <v>-3.0656371483413469</v>
      </c>
      <c r="T33" s="123">
        <f>IF(Tab.o1[[#This Row],[a1]]=1,Tab.o1[[#This Row],[Z-]]*_xlfn.STDEV.P(Tab.o1[B])+AVERAGE(Tab.o1[B]),"")</f>
        <v>840.24864103669836</v>
      </c>
      <c r="U33" s="123">
        <f>IF(Tab.o1[[#This Row],[a1]]=1,Tab.o1[[#This Row],[z+]]*_xlfn.STDEV.P(Tab.o1[B])+AVERAGE(Tab.o1[B]),"")</f>
        <v>833.35135896330155</v>
      </c>
      <c r="V33" s="124">
        <f>IF(Tab.o1[[#This Row],[a1]]=1,ABS((ABS(Tab.o1[[#This Row],[Red]]-Tab.o1[[#This Row],[Blue]]))),"")</f>
        <v>6.8972820733968092</v>
      </c>
      <c r="W33" s="125">
        <f>IF(Tab.o1[[#This Row],[a1]]=1,IF(W$3=0,1,Tab.o1[[#This Row],[Amp.]]*1/_xlfn.MINIFS(Tab.o1[Amp.],Tab.o1[Amp.],"&lt;&gt;0")),"")</f>
        <v>1</v>
      </c>
      <c r="X33" s="126">
        <f ca="1">IF(Tab.o1[[#This Row],[a1]]=1,IF(ISNUMBER(Tab.o1[[#This Row],[i.]]),NORMDIST(Tab.o1[[#This Row],[Za]],0,1,FALSE)*Tab.o1[[#This Row],[i.]],AP$3),"")</f>
        <v>0.22247446122199888</v>
      </c>
      <c r="Y33" s="126">
        <f ca="1">IF(Tab.o1[[#This Row],[a1]]=1,0.01+0.94*Tab.o1[[#This Row],[PDF]]/MAX(Tab.o1[PDF]),"")</f>
        <v>0.53526411743705249</v>
      </c>
      <c r="Z33" s="126">
        <f>IF(Tab.o1[[#This Row],[a1]]=1,0.01+0.94*Tab.o1[[#This Row],[W1_PDF]]/MAX(Tab.o1[W1_PDF]),"")</f>
        <v>0.95</v>
      </c>
      <c r="AA33" s="118">
        <f>IF(Tab.o1[[#This Row],[a1]]=1,ABS([1]!T.in.A[[#This Row],[oo6]]),"")</f>
        <v>7.1269669999999993E-2</v>
      </c>
      <c r="AB33" s="127">
        <f ca="1">IF(Tab.o1[[#This Row],[a1]]=1,IF(AE$3=0,"",IF(AB$3=0,ABS([1]!T.in.A[[#This Row],[oo9]]),ABS(Tab.o1[[#This Row],[DIF_Target.]]*Tab.o1[[#This Row],[W1_PDF]]))),"")</f>
        <v>0.15270952190899933</v>
      </c>
      <c r="AC33" s="127" t="str">
        <f>IF(G$1=1,"",IF(Tab.o1[[#This Row],[a1]]=1,Tab.o1[[#This Row],[Wr]]^2,""))</f>
        <v/>
      </c>
      <c r="AD33" s="118" t="e">
        <f>IF(Tab.o1[[#This Row],[a1]]=1,IF(AE$3=0,"",Tab.o1[[#This Row],[Wr2]]/SUM(Tab.o1[Wr2])),"")</f>
        <v>#VALUE!</v>
      </c>
      <c r="AE33" s="128">
        <f>IF(Tab.o1[[#This Row],[a1]]=1,[1]!T.in.A[[#This Row],[oo10]],"")</f>
        <v>0.9919173</v>
      </c>
      <c r="AF33" s="118" t="e">
        <f ca="1">IF(Tab.o1[[#This Row],[a1]]=1,ABS(Tab.o1[[#This Row],[DIF_Target.]]*Tab.o1[[#This Row],[PDF2]]*Tab.o1[[#This Row],[IN]]),"")</f>
        <v>#REF!</v>
      </c>
      <c r="AG33" s="129" t="e">
        <f ca="1">IF(Tab.o1[[#This Row],[a1]]=1,Tab.o1[[#This Row],[rW]]^2,"")</f>
        <v>#REF!</v>
      </c>
      <c r="AH33" s="130" t="e">
        <f ca="1">IF(Tab.o1[[#This Row],[a1]]=1,IF(AH$3=0,Tab.o1[[#This Row],[rW2]],0.01+0.94*Tab.o1[[#This Row],[rW2]]/SUM(Tab.o1[rW2])),"")</f>
        <v>#REF!</v>
      </c>
      <c r="AI33" s="128">
        <f ca="1">IF(Tab.o1[[#This Row],[a1]]=1,1/Tab.o1[[#This Row],[PDF]],"")</f>
        <v>4.49489795146481</v>
      </c>
      <c r="AJ33" s="131" t="e">
        <f>IF(Tab.o1[[#This Row],[a1]]=1,[1]!T_AA[[#This Row],[IN'']]*[1]!T_AA[[#This Row],[Qde'']],"")</f>
        <v>#REF!</v>
      </c>
      <c r="AK33" s="132" t="str">
        <f>IF(Tab.o1[[#This Row],[a1]]=1,IF(AK$1=1,Tab.o1[[#This Row],[MED]]+Tab.o1[[#This Row],[MOD]]-Tab.o1[[#This Row],[MED]],""),"")</f>
        <v/>
      </c>
      <c r="AL33" s="133">
        <f>IF(Tab.o1[[#This Row],[a1]]=1,[1]!T.in.A[[#This Row],[oo16]],"")</f>
        <v>2.4235009999999999</v>
      </c>
      <c r="AM33" s="133">
        <f>IF(Tab.o1[[#This Row],[a1]]=1,IF(AM$3=1,[1]!T.in.A[[#This Row],[Σo16]],""),"")</f>
        <v>4.6847255054079245E-2</v>
      </c>
      <c r="AN33" s="126" t="str">
        <f>IF(Tab.o1[[#This Row],[a1]]=1,[1]!T.in.A[[#This Row],[Σp5]],"")</f>
        <v/>
      </c>
      <c r="AO33" s="126" t="str">
        <f>IF(Tab.o1[[#This Row],[a1]]=1,IF(AO$3=1,[1]!T.in.A[[#This Row],[Σp5]],""),"")</f>
        <v/>
      </c>
      <c r="AP33" s="110">
        <f ca="1">IF(Tab.o1[[#This Row],[a1]]=1,IF(ISNUMBER(Tab.o1[[#This Row],[i.]]),NORMDIST(Tab.o1[[#This Row],[Za]],0,1,FALSE)*Tab.o1[[#This Row],[i.]],0),"")</f>
        <v>0.22247446122199888</v>
      </c>
      <c r="AQ33" s="125">
        <f>IF(Tab.o1[[#This Row],[a1]]=1,ABS(Tab.o1[[#This Row],[MOD]]-AVERAGE(Tab.o1[MOD])),"")</f>
        <v>0.41866406250005639</v>
      </c>
      <c r="AR33" s="134">
        <f>IF(Tab.o1[[#This Row],[a1]]=1,Tab.o1[[#This Row],[OBS]]/SUM(Tab.o1[OBS]),"")</f>
        <v>4.3694969728831305E-3</v>
      </c>
      <c r="AS33" s="135">
        <f>IF(ISNUMBER(Tab.o1[[#This Row],[a1]]),ROW()-4,"")</f>
        <v>29</v>
      </c>
      <c r="AT33" s="136">
        <f>Tab.o1[[#This Row],[MOD]]</f>
        <v>838.94269999999995</v>
      </c>
      <c r="AU33" s="137">
        <f t="shared" si="1"/>
        <v>838.94269999999995</v>
      </c>
      <c r="AV33" s="138">
        <f t="shared" si="2"/>
        <v>0</v>
      </c>
      <c r="AW33" s="138" t="str">
        <f t="shared" si="3"/>
        <v/>
      </c>
      <c r="AX33" s="139" t="str">
        <f>[1]!T.in.A[[#This Row],[ID_T_manu]]</f>
        <v/>
      </c>
      <c r="AY33" s="140" t="e">
        <f>IF(ISNUMBER(Tab.o1[[#This Row],[a1]]),IF(AND(Tab.o1[[#This Row],[a1]]=1,Tab.o1[[#This Row],[b1]]&lt;=AY$4),#REF!,AY32),"")</f>
        <v>#REF!</v>
      </c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</row>
    <row r="34" spans="1:79" ht="15.75">
      <c r="A34" s="109">
        <v>-1.0000000000000002E-6</v>
      </c>
      <c r="B34" s="110">
        <f t="shared" si="0"/>
        <v>34</v>
      </c>
      <c r="C34" s="111">
        <f>IF(C$1=[1]!T.in.A[[#This Row],[oo2]],1,"")</f>
        <v>1</v>
      </c>
      <c r="D34" s="112">
        <f>IF(Tab.o1[[#This Row],[a1]]=1,IF(SUM(C34:C35)=0,0,IF(SUM(C33:C34)=1,1,IF(SUM(C33:C35)&gt;1,D33+1,0))),"")</f>
        <v>30</v>
      </c>
      <c r="E34" s="113" t="str">
        <f>IF(Tab.o1[[#This Row],[a1]]=1,[1]!T.in.A[[#This Row],[oo1]],"")</f>
        <v>hed30</v>
      </c>
      <c r="F34" s="113" t="str">
        <f>IF(Tab.o1[[#This Row],[a1]]=1,[1]!T.in.A[[#This Row],[pp1]],"")</f>
        <v/>
      </c>
      <c r="G34" s="114">
        <f>IF(Tab.o1[[#This Row],[a1]]=1,G$2+IF(G$1=1,0,Tab.o1[[#This Row],[.x1]])+[1]!T.in.A[[#This Row],[oo3]],"")</f>
        <v>836.6</v>
      </c>
      <c r="H34" s="115">
        <f>IF(Tab.o1[[#This Row],[a1]]=1,IF(H$2=0,0,IF(G$1=1,0,Tab.o1[[#This Row],[.x1]])+[1]!T.in.A[[#This Row],[oo4]]),"")</f>
        <v>838.56569999999999</v>
      </c>
      <c r="I34" s="116">
        <f>IF(Tab.o1[[#This Row],[a1]]=1,IF(J$2=0,Tab.o1[[#This Row],[MED]],Tab.o1[[#This Row],[MOD]]),"")</f>
        <v>836.6</v>
      </c>
      <c r="J34" s="116">
        <f ca="1">IF(Tab.o1[[#This Row],[a1]]=1,((Tab.o1[[#This Row],[DIF_Target.]]-AVERAGE(Tab.o1[DIF_Target.]))/_xlfn.STDEV.P(Tab.o1[DIF_Target.])),"")</f>
        <v>0.94592153513608912</v>
      </c>
      <c r="K34" s="117">
        <f>IF(Tab.o1[[#This Row],[a1]]=1,IF(J$2=0,Tab.o1[[#This Row],[MOD]]-Tab.o1[[#This Row],[B]],IF(J$2=1,0,-Tab.o1[[#This Row],[MED]])+Tab.o1[[#This Row],[B]]),"")</f>
        <v>1.9656999999999698</v>
      </c>
      <c r="L34" s="117">
        <f ca="1">IF(Tab.o1[[#This Row],[DIF_Target]]=0,IF(L$2=0,Tab.o1[[#This Row],[DIF_Target]],AVERAGE(OFFSET(Tab.o1[[#This Row],[DIF_Target]],1,0,L$3,1)))/3,Tab.o1[[#This Row],[DIF_Target]])</f>
        <v>1.9656999999999698</v>
      </c>
      <c r="M34" s="118">
        <f ca="1">IF(Tab.o1[[#This Row],[a1]]=1,NORMSDIST(Tab.o1[[#This Row],[Za]]),"")</f>
        <v>0.82790569569856065</v>
      </c>
      <c r="N34" s="119">
        <f>IF(Tab.o1[[#This Row],[a1]]=1,((Tab.o1[[#This Row],[MedMod]]-AVERAGE(Tab.o1[MedMod]))/_xlfn.STDEV.P(Tab.o1[MedMod])*H$1205)+G$1205,"")</f>
        <v>-1.1816248651675705</v>
      </c>
      <c r="O34" s="141">
        <f>IF(Tab.o1[[#This Row],[a1]]=1,Tab.o1[[#This Row],[Zb]]*_xlfn.STDEV.P(Tab.o1[MedMod])+AVERAGE(Tab.o1[MedMod]),"")</f>
        <v>836.6</v>
      </c>
      <c r="P34" s="117">
        <f ca="1">IF(Tab.o1[[#This Row],[B]]=0,AVERAGE(OFFSET(Tab.o1[[#This Row],[B]],1,0,L$3,1)),Tab.o1[[#This Row],[B]])</f>
        <v>836.6</v>
      </c>
      <c r="Q34" s="121">
        <f>IF(Tab.o1[[#This Row],[a1]]=1,NORMSDIST(Tab.o1[[#This Row],[Zb]]),"")</f>
        <v>0.11867729141460419</v>
      </c>
      <c r="R34" s="122">
        <f>IF(Tab.o1[[#This Row],[a1]]=1,((Tab.o1[[#This Row],[MedMod]]-AVERAGE(Tab.o1[MedMod]))/_xlfn.STDEV.P(Tab.o1[MedMod])*H$1203)+G$1203,"")</f>
        <v>0.81837513483242952</v>
      </c>
      <c r="S34" s="122">
        <f>IF(Tab.o1[[#This Row],[a1]]=1,((Tab.o1[[#This Row],[MedMod]]-AVERAGE(Tab.o1[MedMod]))/_xlfn.STDEV.P(Tab.o1[MedMod])*H$1204)+G$1204,"")</f>
        <v>-3.1816248651675707</v>
      </c>
      <c r="T34" s="123">
        <f>IF(Tab.o1[[#This Row],[a1]]=1,Tab.o1[[#This Row],[Z-]]*_xlfn.STDEV.P(Tab.o1[B])+AVERAGE(Tab.o1[B]),"")</f>
        <v>840.04864103669843</v>
      </c>
      <c r="U34" s="123">
        <f>IF(Tab.o1[[#This Row],[a1]]=1,Tab.o1[[#This Row],[z+]]*_xlfn.STDEV.P(Tab.o1[B])+AVERAGE(Tab.o1[B]),"")</f>
        <v>833.15135896330162</v>
      </c>
      <c r="V34" s="124">
        <f>IF(Tab.o1[[#This Row],[a1]]=1,ABS((ABS(Tab.o1[[#This Row],[Red]]-Tab.o1[[#This Row],[Blue]]))),"")</f>
        <v>6.8972820733968092</v>
      </c>
      <c r="W34" s="125">
        <f>IF(Tab.o1[[#This Row],[a1]]=1,IF(W$3=0,1,Tab.o1[[#This Row],[Amp.]]*1/_xlfn.MINIFS(Tab.o1[Amp.],Tab.o1[Amp.],"&lt;&gt;0")),"")</f>
        <v>1</v>
      </c>
      <c r="X34" s="126">
        <f ca="1">IF(Tab.o1[[#This Row],[a1]]=1,IF(ISNUMBER(Tab.o1[[#This Row],[i.]]),NORMDIST(Tab.o1[[#This Row],[Za]],0,1,FALSE)*Tab.o1[[#This Row],[i.]],AP$3),"")</f>
        <v>0.2550432071120779</v>
      </c>
      <c r="Y34" s="126">
        <f ca="1">IF(Tab.o1[[#This Row],[a1]]=1,0.01+0.94*Tab.o1[[#This Row],[PDF]]/MAX(Tab.o1[PDF]),"")</f>
        <v>0.61215920675210589</v>
      </c>
      <c r="Z34" s="126">
        <f>IF(Tab.o1[[#This Row],[a1]]=1,0.01+0.94*Tab.o1[[#This Row],[W1_PDF]]/MAX(Tab.o1[W1_PDF]),"")</f>
        <v>0.95</v>
      </c>
      <c r="AA34" s="118">
        <f>IF(Tab.o1[[#This Row],[a1]]=1,ABS([1]!T.in.A[[#This Row],[oo6]]),"")</f>
        <v>7.1269669999999993E-2</v>
      </c>
      <c r="AB34" s="127">
        <f ca="1">IF(Tab.o1[[#This Row],[a1]]=1,IF(AE$3=0,"",IF(AB$3=0,ABS([1]!T.in.A[[#This Row],[oo9]]),ABS(Tab.o1[[#This Row],[DIF_Target.]]*Tab.o1[[#This Row],[W1_PDF]]))),"")</f>
        <v>0.14009479031899782</v>
      </c>
      <c r="AC34" s="127" t="str">
        <f>IF(G$1=1,"",IF(Tab.o1[[#This Row],[a1]]=1,Tab.o1[[#This Row],[Wr]]^2,""))</f>
        <v/>
      </c>
      <c r="AD34" s="118" t="e">
        <f>IF(Tab.o1[[#This Row],[a1]]=1,IF(AE$3=0,"",Tab.o1[[#This Row],[Wr2]]/SUM(Tab.o1[Wr2])),"")</f>
        <v>#VALUE!</v>
      </c>
      <c r="AE34" s="128">
        <f>IF(Tab.o1[[#This Row],[a1]]=1,[1]!T.in.A[[#This Row],[oo10]],"")</f>
        <v>0.9919173</v>
      </c>
      <c r="AF34" s="118" t="e">
        <f ca="1">IF(Tab.o1[[#This Row],[a1]]=1,ABS(Tab.o1[[#This Row],[DIF_Target.]]*Tab.o1[[#This Row],[PDF2]]*Tab.o1[[#This Row],[IN]]),"")</f>
        <v>#REF!</v>
      </c>
      <c r="AG34" s="129" t="e">
        <f ca="1">IF(Tab.o1[[#This Row],[a1]]=1,Tab.o1[[#This Row],[rW]]^2,"")</f>
        <v>#REF!</v>
      </c>
      <c r="AH34" s="130" t="e">
        <f ca="1">IF(Tab.o1[[#This Row],[a1]]=1,IF(AH$3=0,Tab.o1[[#This Row],[rW2]],0.01+0.94*Tab.o1[[#This Row],[rW2]]/SUM(Tab.o1[rW2])),"")</f>
        <v>#REF!</v>
      </c>
      <c r="AI34" s="128">
        <f ca="1">IF(Tab.o1[[#This Row],[a1]]=1,1/Tab.o1[[#This Row],[PDF]],"")</f>
        <v>3.9209042707832373</v>
      </c>
      <c r="AJ34" s="131" t="e">
        <f>IF(Tab.o1[[#This Row],[a1]]=1,[1]!T_AA[[#This Row],[IN'']]*[1]!T_AA[[#This Row],[Qde'']],"")</f>
        <v>#REF!</v>
      </c>
      <c r="AK34" s="132" t="str">
        <f>IF(Tab.o1[[#This Row],[a1]]=1,IF(AK$1=1,Tab.o1[[#This Row],[MED]]+Tab.o1[[#This Row],[MOD]]-Tab.o1[[#This Row],[MED]],""),"")</f>
        <v/>
      </c>
      <c r="AL34" s="133">
        <f>IF(Tab.o1[[#This Row],[a1]]=1,[1]!T.in.A[[#This Row],[oo16]],"")</f>
        <v>2.7166869999999999</v>
      </c>
      <c r="AM34" s="133">
        <f>IF(Tab.o1[[#This Row],[a1]]=1,IF(AM$3=1,[1]!T.in.A[[#This Row],[Σo16]],""),"")</f>
        <v>5.25146590783752E-2</v>
      </c>
      <c r="AN34" s="126" t="str">
        <f>IF(Tab.o1[[#This Row],[a1]]=1,[1]!T.in.A[[#This Row],[Σp5]],"")</f>
        <v/>
      </c>
      <c r="AO34" s="126" t="str">
        <f>IF(Tab.o1[[#This Row],[a1]]=1,IF(AO$3=1,[1]!T.in.A[[#This Row],[Σp5]],""),"")</f>
        <v/>
      </c>
      <c r="AP34" s="110">
        <f ca="1">IF(Tab.o1[[#This Row],[a1]]=1,IF(ISNUMBER(Tab.o1[[#This Row],[i.]]),NORMDIST(Tab.o1[[#This Row],[Za]],0,1,FALSE)*Tab.o1[[#This Row],[i.]],0),"")</f>
        <v>0.2550432071120779</v>
      </c>
      <c r="AQ34" s="125">
        <f>IF(Tab.o1[[#This Row],[a1]]=1,ABS(Tab.o1[[#This Row],[MOD]]-AVERAGE(Tab.o1[MOD])),"")</f>
        <v>0.79566406250000909</v>
      </c>
      <c r="AR34" s="134">
        <f>IF(Tab.o1[[#This Row],[a1]]=1,Tab.o1[[#This Row],[OBS]]/SUM(Tab.o1[OBS]),"")</f>
        <v>8.3041560619385984E-3</v>
      </c>
      <c r="AS34" s="135">
        <f>IF(ISNUMBER(Tab.o1[[#This Row],[a1]]),ROW()-4,"")</f>
        <v>30</v>
      </c>
      <c r="AT34" s="136">
        <f>Tab.o1[[#This Row],[MOD]]</f>
        <v>838.56569999999999</v>
      </c>
      <c r="AU34" s="137">
        <f t="shared" si="1"/>
        <v>838.56569999999999</v>
      </c>
      <c r="AV34" s="138">
        <f t="shared" si="2"/>
        <v>0</v>
      </c>
      <c r="AW34" s="138" t="str">
        <f t="shared" si="3"/>
        <v/>
      </c>
      <c r="AX34" s="139" t="str">
        <f>[1]!T.in.A[[#This Row],[ID_T_manu]]</f>
        <v/>
      </c>
      <c r="AY34" s="140" t="e">
        <f>IF(ISNUMBER(Tab.o1[[#This Row],[a1]]),IF(AND(Tab.o1[[#This Row],[a1]]=1,Tab.o1[[#This Row],[b1]]&lt;=AY$4),#REF!,AY33),"")</f>
        <v>#REF!</v>
      </c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</row>
    <row r="35" spans="1:79" ht="15.75">
      <c r="A35" s="109">
        <v>-1.0000000000000001E-5</v>
      </c>
      <c r="B35" s="110">
        <f t="shared" si="0"/>
        <v>35</v>
      </c>
      <c r="C35" s="111">
        <f>IF(C$1=[1]!T.in.A[[#This Row],[oo2]],1,"")</f>
        <v>1</v>
      </c>
      <c r="D35" s="112">
        <f>IF(Tab.o1[[#This Row],[a1]]=1,IF(SUM(C35:C36)=0,0,IF(SUM(C34:C35)=1,1,IF(SUM(C34:C36)&gt;1,D34+1,0))),"")</f>
        <v>31</v>
      </c>
      <c r="E35" s="113" t="str">
        <f>IF(Tab.o1[[#This Row],[a1]]=1,[1]!T.in.A[[#This Row],[oo1]],"")</f>
        <v>hed31</v>
      </c>
      <c r="F35" s="113" t="str">
        <f>IF(Tab.o1[[#This Row],[a1]]=1,[1]!T.in.A[[#This Row],[pp1]],"")</f>
        <v/>
      </c>
      <c r="G35" s="114">
        <f>IF(Tab.o1[[#This Row],[a1]]=1,G$2+IF(G$1=1,0,Tab.o1[[#This Row],[.x1]])+[1]!T.in.A[[#This Row],[oo3]],"")</f>
        <v>836.5</v>
      </c>
      <c r="H35" s="115">
        <f>IF(Tab.o1[[#This Row],[a1]]=1,IF(H$2=0,0,IF(G$1=1,0,Tab.o1[[#This Row],[.x1]])+[1]!T.in.A[[#This Row],[oo4]]),"")</f>
        <v>838.39700000000005</v>
      </c>
      <c r="I35" s="116">
        <f>IF(Tab.o1[[#This Row],[a1]]=1,IF(J$2=0,Tab.o1[[#This Row],[MED]],Tab.o1[[#This Row],[MOD]]),"")</f>
        <v>836.5</v>
      </c>
      <c r="J35" s="116">
        <f ca="1">IF(Tab.o1[[#This Row],[a1]]=1,((Tab.o1[[#This Row],[DIF_Target.]]-AVERAGE(Tab.o1[DIF_Target.]))/_xlfn.STDEV.P(Tab.o1[DIF_Target.])),"")</f>
        <v>0.89359190969893132</v>
      </c>
      <c r="K35" s="117">
        <f>IF(Tab.o1[[#This Row],[a1]]=1,IF(J$2=0,Tab.o1[[#This Row],[MOD]]-Tab.o1[[#This Row],[B]],IF(J$2=1,0,-Tab.o1[[#This Row],[MED]])+Tab.o1[[#This Row],[B]]),"")</f>
        <v>1.8970000000000482</v>
      </c>
      <c r="L35" s="117">
        <f ca="1">IF(Tab.o1[[#This Row],[DIF_Target]]=0,IF(L$2=0,Tab.o1[[#This Row],[DIF_Target]],AVERAGE(OFFSET(Tab.o1[[#This Row],[DIF_Target]],1,0,L$3,1)))/3,Tab.o1[[#This Row],[DIF_Target]])</f>
        <v>1.8970000000000482</v>
      </c>
      <c r="M35" s="118">
        <f ca="1">IF(Tab.o1[[#This Row],[a1]]=1,NORMSDIST(Tab.o1[[#This Row],[Za]]),"")</f>
        <v>0.81422986170743283</v>
      </c>
      <c r="N35" s="119">
        <f>IF(Tab.o1[[#This Row],[a1]]=1,((Tab.o1[[#This Row],[MedMod]]-AVERAGE(Tab.o1[MedMod]))/_xlfn.STDEV.P(Tab.o1[MedMod])*H$1205)+G$1205,"")</f>
        <v>-1.2396187235807152</v>
      </c>
      <c r="O35" s="141">
        <f>IF(Tab.o1[[#This Row],[a1]]=1,Tab.o1[[#This Row],[Zb]]*_xlfn.STDEV.P(Tab.o1[MedMod])+AVERAGE(Tab.o1[MedMod]),"")</f>
        <v>836.5</v>
      </c>
      <c r="P35" s="117">
        <f ca="1">IF(Tab.o1[[#This Row],[B]]=0,AVERAGE(OFFSET(Tab.o1[[#This Row],[B]],1,0,L$3,1)),Tab.o1[[#This Row],[B]])</f>
        <v>836.5</v>
      </c>
      <c r="Q35" s="121">
        <f>IF(Tab.o1[[#This Row],[a1]]=1,NORMSDIST(Tab.o1[[#This Row],[Zb]]),"")</f>
        <v>0.10755822596826502</v>
      </c>
      <c r="R35" s="122">
        <f>IF(Tab.o1[[#This Row],[a1]]=1,((Tab.o1[[#This Row],[MedMod]]-AVERAGE(Tab.o1[MedMod]))/_xlfn.STDEV.P(Tab.o1[MedMod])*H$1203)+G$1203,"")</f>
        <v>0.76038127641928477</v>
      </c>
      <c r="S35" s="122">
        <f>IF(Tab.o1[[#This Row],[a1]]=1,((Tab.o1[[#This Row],[MedMod]]-AVERAGE(Tab.o1[MedMod]))/_xlfn.STDEV.P(Tab.o1[MedMod])*H$1204)+G$1204,"")</f>
        <v>-3.2396187235807155</v>
      </c>
      <c r="T35" s="123">
        <f>IF(Tab.o1[[#This Row],[a1]]=1,Tab.o1[[#This Row],[Z-]]*_xlfn.STDEV.P(Tab.o1[B])+AVERAGE(Tab.o1[B]),"")</f>
        <v>839.9486410366984</v>
      </c>
      <c r="U35" s="123">
        <f>IF(Tab.o1[[#This Row],[a1]]=1,Tab.o1[[#This Row],[z+]]*_xlfn.STDEV.P(Tab.o1[B])+AVERAGE(Tab.o1[B]),"")</f>
        <v>833.0513589633016</v>
      </c>
      <c r="V35" s="124">
        <f>IF(Tab.o1[[#This Row],[a1]]=1,ABS((ABS(Tab.o1[[#This Row],[Red]]-Tab.o1[[#This Row],[Blue]]))),"")</f>
        <v>6.8972820733968092</v>
      </c>
      <c r="W35" s="125">
        <f>IF(Tab.o1[[#This Row],[a1]]=1,IF(W$3=0,1,Tab.o1[[#This Row],[Amp.]]*1/_xlfn.MINIFS(Tab.o1[Amp.],Tab.o1[Amp.],"&lt;&gt;0")),"")</f>
        <v>1</v>
      </c>
      <c r="X35" s="126">
        <f ca="1">IF(Tab.o1[[#This Row],[a1]]=1,IF(ISNUMBER(Tab.o1[[#This Row],[i.]]),NORMDIST(Tab.o1[[#This Row],[Za]],0,1,FALSE)*Tab.o1[[#This Row],[i.]],AP$3),"")</f>
        <v>0.26761877734360506</v>
      </c>
      <c r="Y35" s="126">
        <f ca="1">IF(Tab.o1[[#This Row],[a1]]=1,0.01+0.94*Tab.o1[[#This Row],[PDF]]/MAX(Tab.o1[PDF]),"")</f>
        <v>0.64185023628712923</v>
      </c>
      <c r="Z35" s="126">
        <f>IF(Tab.o1[[#This Row],[a1]]=1,0.01+0.94*Tab.o1[[#This Row],[W1_PDF]]/MAX(Tab.o1[W1_PDF]),"")</f>
        <v>0.95</v>
      </c>
      <c r="AA35" s="118">
        <f>IF(Tab.o1[[#This Row],[a1]]=1,ABS([1]!T.in.A[[#This Row],[oo6]]),"")</f>
        <v>7.1269669999999993E-2</v>
      </c>
      <c r="AB35" s="127">
        <f ca="1">IF(Tab.o1[[#This Row],[a1]]=1,IF(AE$3=0,"",IF(AB$3=0,ABS([1]!T.in.A[[#This Row],[oo9]]),ABS(Tab.o1[[#This Row],[DIF_Target.]]*Tab.o1[[#This Row],[W1_PDF]]))),"")</f>
        <v>0.13519856399000343</v>
      </c>
      <c r="AC35" s="127" t="str">
        <f>IF(G$1=1,"",IF(Tab.o1[[#This Row],[a1]]=1,Tab.o1[[#This Row],[Wr]]^2,""))</f>
        <v/>
      </c>
      <c r="AD35" s="118" t="e">
        <f>IF(Tab.o1[[#This Row],[a1]]=1,IF(AE$3=0,"",Tab.o1[[#This Row],[Wr2]]/SUM(Tab.o1[Wr2])),"")</f>
        <v>#VALUE!</v>
      </c>
      <c r="AE35" s="128">
        <f>IF(Tab.o1[[#This Row],[a1]]=1,[1]!T.in.A[[#This Row],[oo10]],"")</f>
        <v>0.9919173</v>
      </c>
      <c r="AF35" s="118" t="e">
        <f ca="1">IF(Tab.o1[[#This Row],[a1]]=1,ABS(Tab.o1[[#This Row],[DIF_Target.]]*Tab.o1[[#This Row],[PDF2]]*Tab.o1[[#This Row],[IN]]),"")</f>
        <v>#REF!</v>
      </c>
      <c r="AG35" s="129" t="e">
        <f ca="1">IF(Tab.o1[[#This Row],[a1]]=1,Tab.o1[[#This Row],[rW]]^2,"")</f>
        <v>#REF!</v>
      </c>
      <c r="AH35" s="130" t="e">
        <f ca="1">IF(Tab.o1[[#This Row],[a1]]=1,IF(AH$3=0,Tab.o1[[#This Row],[rW2]],0.01+0.94*Tab.o1[[#This Row],[rW2]]/SUM(Tab.o1[rW2])),"")</f>
        <v>#REF!</v>
      </c>
      <c r="AI35" s="128">
        <f ca="1">IF(Tab.o1[[#This Row],[a1]]=1,1/Tab.o1[[#This Row],[PDF]],"")</f>
        <v>3.7366585780192292</v>
      </c>
      <c r="AJ35" s="131" t="e">
        <f>IF(Tab.o1[[#This Row],[a1]]=1,[1]!T_AA[[#This Row],[IN'']]*[1]!T_AA[[#This Row],[Qde'']],"")</f>
        <v>#REF!</v>
      </c>
      <c r="AK35" s="132" t="str">
        <f>IF(Tab.o1[[#This Row],[a1]]=1,IF(AK$1=1,Tab.o1[[#This Row],[MED]]+Tab.o1[[#This Row],[MOD]]-Tab.o1[[#This Row],[MED]],""),"")</f>
        <v/>
      </c>
      <c r="AL35" s="133">
        <f>IF(Tab.o1[[#This Row],[a1]]=1,[1]!T.in.A[[#This Row],[oo16]],"")</f>
        <v>2.8195160000000001</v>
      </c>
      <c r="AM35" s="133">
        <f>IF(Tab.o1[[#This Row],[a1]]=1,IF(AM$3=1,[1]!T.in.A[[#This Row],[Σo16]],""),"")</f>
        <v>5.4502385260438227E-2</v>
      </c>
      <c r="AN35" s="126" t="str">
        <f>IF(Tab.o1[[#This Row],[a1]]=1,[1]!T.in.A[[#This Row],[Σp5]],"")</f>
        <v/>
      </c>
      <c r="AO35" s="126" t="str">
        <f>IF(Tab.o1[[#This Row],[a1]]=1,IF(AO$3=1,[1]!T.in.A[[#This Row],[Σp5]],""),"")</f>
        <v/>
      </c>
      <c r="AP35" s="110">
        <f ca="1">IF(Tab.o1[[#This Row],[a1]]=1,IF(ISNUMBER(Tab.o1[[#This Row],[i.]]),NORMDIST(Tab.o1[[#This Row],[Za]],0,1,FALSE)*Tab.o1[[#This Row],[i.]],0),"")</f>
        <v>0.26761877734360506</v>
      </c>
      <c r="AQ35" s="125">
        <f>IF(Tab.o1[[#This Row],[a1]]=1,ABS(Tab.o1[[#This Row],[MOD]]-AVERAGE(Tab.o1[MOD])),"")</f>
        <v>0.96436406249995343</v>
      </c>
      <c r="AR35" s="134">
        <f>IF(Tab.o1[[#This Row],[a1]]=1,Tab.o1[[#This Row],[OBS]]/SUM(Tab.o1[OBS]),"")</f>
        <v>1.0064837728579239E-2</v>
      </c>
      <c r="AS35" s="135">
        <f>IF(ISNUMBER(Tab.o1[[#This Row],[a1]]),ROW()-4,"")</f>
        <v>31</v>
      </c>
      <c r="AT35" s="136">
        <f>Tab.o1[[#This Row],[MOD]]</f>
        <v>838.39700000000005</v>
      </c>
      <c r="AU35" s="137">
        <f t="shared" si="1"/>
        <v>838.39700000000005</v>
      </c>
      <c r="AV35" s="138">
        <f t="shared" si="2"/>
        <v>0</v>
      </c>
      <c r="AW35" s="138" t="str">
        <f t="shared" si="3"/>
        <v/>
      </c>
      <c r="AX35" s="139" t="str">
        <f>[1]!T.in.A[[#This Row],[ID_T_manu]]</f>
        <v/>
      </c>
      <c r="AY35" s="140" t="e">
        <f>IF(ISNUMBER(Tab.o1[[#This Row],[a1]]),IF(AND(Tab.o1[[#This Row],[a1]]=1,Tab.o1[[#This Row],[b1]]&lt;=AY$4),#REF!,AY34),"")</f>
        <v>#REF!</v>
      </c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</row>
    <row r="36" spans="1:79" ht="15.75">
      <c r="A36" s="109">
        <v>-5.0000000000000004E-6</v>
      </c>
      <c r="B36" s="110">
        <f t="shared" si="0"/>
        <v>36</v>
      </c>
      <c r="C36" s="111">
        <f>IF(C$1=[1]!T.in.A[[#This Row],[oo2]],1,"")</f>
        <v>1</v>
      </c>
      <c r="D36" s="112">
        <f>IF(Tab.o1[[#This Row],[a1]]=1,IF(SUM(C36:C37)=0,0,IF(SUM(C35:C36)=1,1,IF(SUM(C35:C37)&gt;1,D35+1,0))),"")</f>
        <v>32</v>
      </c>
      <c r="E36" s="113" t="str">
        <f>IF(Tab.o1[[#This Row],[a1]]=1,[1]!T.in.A[[#This Row],[oo1]],"")</f>
        <v>hed32</v>
      </c>
      <c r="F36" s="113" t="str">
        <f>IF(Tab.o1[[#This Row],[a1]]=1,[1]!T.in.A[[#This Row],[pp1]],"")</f>
        <v/>
      </c>
      <c r="G36" s="114">
        <f>IF(Tab.o1[[#This Row],[a1]]=1,G$2+IF(G$1=1,0,Tab.o1[[#This Row],[.x1]])+[1]!T.in.A[[#This Row],[oo3]],"")</f>
        <v>836.4</v>
      </c>
      <c r="H36" s="115">
        <f>IF(Tab.o1[[#This Row],[a1]]=1,IF(H$2=0,0,IF(G$1=1,0,Tab.o1[[#This Row],[.x1]])+[1]!T.in.A[[#This Row],[oo4]]),"")</f>
        <v>837.92679999999996</v>
      </c>
      <c r="I36" s="116">
        <f>IF(Tab.o1[[#This Row],[a1]]=1,IF(J$2=0,Tab.o1[[#This Row],[MED]],Tab.o1[[#This Row],[MOD]]),"")</f>
        <v>836.4</v>
      </c>
      <c r="J36" s="116">
        <f ca="1">IF(Tab.o1[[#This Row],[a1]]=1,((Tab.o1[[#This Row],[DIF_Target.]]-AVERAGE(Tab.o1[DIF_Target.]))/_xlfn.STDEV.P(Tab.o1[DIF_Target.])),"")</f>
        <v>0.61160606782321791</v>
      </c>
      <c r="K36" s="117">
        <f>IF(Tab.o1[[#This Row],[a1]]=1,IF(J$2=0,Tab.o1[[#This Row],[MOD]]-Tab.o1[[#This Row],[B]],IF(J$2=1,0,-Tab.o1[[#This Row],[MED]])+Tab.o1[[#This Row],[B]]),"")</f>
        <v>1.5267999999999802</v>
      </c>
      <c r="L36" s="117">
        <f ca="1">IF(Tab.o1[[#This Row],[DIF_Target]]=0,IF(L$2=0,Tab.o1[[#This Row],[DIF_Target]],AVERAGE(OFFSET(Tab.o1[[#This Row],[DIF_Target]],1,0,L$3,1)))/3,Tab.o1[[#This Row],[DIF_Target]])</f>
        <v>1.5267999999999802</v>
      </c>
      <c r="M36" s="118">
        <f ca="1">IF(Tab.o1[[#This Row],[a1]]=1,NORMSDIST(Tab.o1[[#This Row],[Za]]),"")</f>
        <v>0.72960078873631884</v>
      </c>
      <c r="N36" s="119">
        <f>IF(Tab.o1[[#This Row],[a1]]=1,((Tab.o1[[#This Row],[MedMod]]-AVERAGE(Tab.o1[MedMod]))/_xlfn.STDEV.P(Tab.o1[MedMod])*H$1205)+G$1205,"")</f>
        <v>-1.2976125819938602</v>
      </c>
      <c r="O36" s="141">
        <f>IF(Tab.o1[[#This Row],[a1]]=1,Tab.o1[[#This Row],[Zb]]*_xlfn.STDEV.P(Tab.o1[MedMod])+AVERAGE(Tab.o1[MedMod]),"")</f>
        <v>836.4</v>
      </c>
      <c r="P36" s="117">
        <f ca="1">IF(Tab.o1[[#This Row],[B]]=0,AVERAGE(OFFSET(Tab.o1[[#This Row],[B]],1,0,L$3,1)),Tab.o1[[#This Row],[B]])</f>
        <v>836.4</v>
      </c>
      <c r="Q36" s="121">
        <f>IF(Tab.o1[[#This Row],[a1]]=1,NORMSDIST(Tab.o1[[#This Row],[Zb]]),"")</f>
        <v>9.7210248210156766E-2</v>
      </c>
      <c r="R36" s="122">
        <f>IF(Tab.o1[[#This Row],[a1]]=1,((Tab.o1[[#This Row],[MedMod]]-AVERAGE(Tab.o1[MedMod]))/_xlfn.STDEV.P(Tab.o1[MedMod])*H$1203)+G$1203,"")</f>
        <v>0.7023874180061398</v>
      </c>
      <c r="S36" s="122">
        <f>IF(Tab.o1[[#This Row],[a1]]=1,((Tab.o1[[#This Row],[MedMod]]-AVERAGE(Tab.o1[MedMod]))/_xlfn.STDEV.P(Tab.o1[MedMod])*H$1204)+G$1204,"")</f>
        <v>-3.2976125819938602</v>
      </c>
      <c r="T36" s="123">
        <f>IF(Tab.o1[[#This Row],[a1]]=1,Tab.o1[[#This Row],[Z-]]*_xlfn.STDEV.P(Tab.o1[B])+AVERAGE(Tab.o1[B]),"")</f>
        <v>839.84864103669838</v>
      </c>
      <c r="U36" s="123">
        <f>IF(Tab.o1[[#This Row],[a1]]=1,Tab.o1[[#This Row],[z+]]*_xlfn.STDEV.P(Tab.o1[B])+AVERAGE(Tab.o1[B]),"")</f>
        <v>832.95135896330157</v>
      </c>
      <c r="V36" s="124">
        <f>IF(Tab.o1[[#This Row],[a1]]=1,ABS((ABS(Tab.o1[[#This Row],[Red]]-Tab.o1[[#This Row],[Blue]]))),"")</f>
        <v>6.8972820733968092</v>
      </c>
      <c r="W36" s="125">
        <f>IF(Tab.o1[[#This Row],[a1]]=1,IF(W$3=0,1,Tab.o1[[#This Row],[Amp.]]*1/_xlfn.MINIFS(Tab.o1[Amp.],Tab.o1[Amp.],"&lt;&gt;0")),"")</f>
        <v>1</v>
      </c>
      <c r="X36" s="126">
        <f ca="1">IF(Tab.o1[[#This Row],[a1]]=1,IF(ISNUMBER(Tab.o1[[#This Row],[i.]]),NORMDIST(Tab.o1[[#This Row],[Za]],0,1,FALSE)*Tab.o1[[#This Row],[i.]],AP$3),"")</f>
        <v>0.33088992085704994</v>
      </c>
      <c r="Y36" s="126">
        <f ca="1">IF(Tab.o1[[#This Row],[a1]]=1,0.01+0.94*Tab.o1[[#This Row],[PDF]]/MAX(Tab.o1[PDF]),"")</f>
        <v>0.79123395059876755</v>
      </c>
      <c r="Z36" s="126">
        <f>IF(Tab.o1[[#This Row],[a1]]=1,0.01+0.94*Tab.o1[[#This Row],[W1_PDF]]/MAX(Tab.o1[W1_PDF]),"")</f>
        <v>0.95</v>
      </c>
      <c r="AA36" s="118">
        <f>IF(Tab.o1[[#This Row],[a1]]=1,ABS([1]!T.in.A[[#This Row],[oo6]]),"")</f>
        <v>7.1269669999999993E-2</v>
      </c>
      <c r="AB36" s="127">
        <f ca="1">IF(Tab.o1[[#This Row],[a1]]=1,IF(AE$3=0,"",IF(AB$3=0,ABS([1]!T.in.A[[#This Row],[oo9]]),ABS(Tab.o1[[#This Row],[DIF_Target.]]*Tab.o1[[#This Row],[W1_PDF]]))),"")</f>
        <v>0.10881453215599858</v>
      </c>
      <c r="AC36" s="127" t="str">
        <f>IF(G$1=1,"",IF(Tab.o1[[#This Row],[a1]]=1,Tab.o1[[#This Row],[Wr]]^2,""))</f>
        <v/>
      </c>
      <c r="AD36" s="118" t="e">
        <f>IF(Tab.o1[[#This Row],[a1]]=1,IF(AE$3=0,"",Tab.o1[[#This Row],[Wr2]]/SUM(Tab.o1[Wr2])),"")</f>
        <v>#VALUE!</v>
      </c>
      <c r="AE36" s="128">
        <f>IF(Tab.o1[[#This Row],[a1]]=1,[1]!T.in.A[[#This Row],[oo10]],"")</f>
        <v>0.9919173</v>
      </c>
      <c r="AF36" s="118" t="e">
        <f ca="1">IF(Tab.o1[[#This Row],[a1]]=1,ABS(Tab.o1[[#This Row],[DIF_Target.]]*Tab.o1[[#This Row],[PDF2]]*Tab.o1[[#This Row],[IN]]),"")</f>
        <v>#REF!</v>
      </c>
      <c r="AG36" s="129" t="e">
        <f ca="1">IF(Tab.o1[[#This Row],[a1]]=1,Tab.o1[[#This Row],[rW]]^2,"")</f>
        <v>#REF!</v>
      </c>
      <c r="AH36" s="130" t="e">
        <f ca="1">IF(Tab.o1[[#This Row],[a1]]=1,IF(AH$3=0,Tab.o1[[#This Row],[rW2]],0.01+0.94*Tab.o1[[#This Row],[rW2]]/SUM(Tab.o1[rW2])),"")</f>
        <v>#REF!</v>
      </c>
      <c r="AI36" s="128">
        <f ca="1">IF(Tab.o1[[#This Row],[a1]]=1,1/Tab.o1[[#This Row],[PDF]],"")</f>
        <v>3.0221530997676322</v>
      </c>
      <c r="AJ36" s="131" t="e">
        <f>IF(Tab.o1[[#This Row],[a1]]=1,[1]!T_AA[[#This Row],[IN'']]*[1]!T_AA[[#This Row],[Qde'']],"")</f>
        <v>#REF!</v>
      </c>
      <c r="AK36" s="132" t="str">
        <f>IF(Tab.o1[[#This Row],[a1]]=1,IF(AK$1=1,Tab.o1[[#This Row],[MED]]+Tab.o1[[#This Row],[MOD]]-Tab.o1[[#This Row],[MED]],""),"")</f>
        <v/>
      </c>
      <c r="AL36" s="133">
        <f>IF(Tab.o1[[#This Row],[a1]]=1,[1]!T.in.A[[#This Row],[oo16]],"")</f>
        <v>2.6578879999999998</v>
      </c>
      <c r="AM36" s="133">
        <f>IF(Tab.o1[[#This Row],[a1]]=1,IF(AM$3=1,[1]!T.in.A[[#This Row],[Σo16]],""),"")</f>
        <v>5.1378050614040008E-2</v>
      </c>
      <c r="AN36" s="126" t="str">
        <f>IF(Tab.o1[[#This Row],[a1]]=1,[1]!T.in.A[[#This Row],[Σp5]],"")</f>
        <v/>
      </c>
      <c r="AO36" s="126" t="str">
        <f>IF(Tab.o1[[#This Row],[a1]]=1,IF(AO$3=1,[1]!T.in.A[[#This Row],[Σp5]],""),"")</f>
        <v/>
      </c>
      <c r="AP36" s="110">
        <f ca="1">IF(Tab.o1[[#This Row],[a1]]=1,IF(ISNUMBER(Tab.o1[[#This Row],[i.]]),NORMDIST(Tab.o1[[#This Row],[Za]],0,1,FALSE)*Tab.o1[[#This Row],[i.]],0),"")</f>
        <v>0.33088992085704994</v>
      </c>
      <c r="AQ36" s="125">
        <f>IF(Tab.o1[[#This Row],[a1]]=1,ABS(Tab.o1[[#This Row],[MOD]]-AVERAGE(Tab.o1[MOD])),"")</f>
        <v>1.4345640625000442</v>
      </c>
      <c r="AR36" s="134">
        <f>IF(Tab.o1[[#This Row],[a1]]=1,Tab.o1[[#This Row],[OBS]]/SUM(Tab.o1[OBS]),"")</f>
        <v>1.4972202990315235E-2</v>
      </c>
      <c r="AS36" s="135">
        <f>IF(ISNUMBER(Tab.o1[[#This Row],[a1]]),ROW()-4,"")</f>
        <v>32</v>
      </c>
      <c r="AT36" s="136">
        <f>Tab.o1[[#This Row],[MOD]]</f>
        <v>837.92679999999996</v>
      </c>
      <c r="AU36" s="137">
        <f t="shared" si="1"/>
        <v>837.92679999999996</v>
      </c>
      <c r="AV36" s="138">
        <f t="shared" si="2"/>
        <v>0</v>
      </c>
      <c r="AW36" s="138" t="str">
        <f t="shared" si="3"/>
        <v/>
      </c>
      <c r="AX36" s="139" t="str">
        <f>[1]!T.in.A[[#This Row],[ID_T_manu]]</f>
        <v/>
      </c>
      <c r="AY36" s="140" t="e">
        <f>IF(ISNUMBER(Tab.o1[[#This Row],[a1]]),IF(AND(Tab.o1[[#This Row],[a1]]=1,Tab.o1[[#This Row],[b1]]&lt;=AY$4),#REF!,AY35),"")</f>
        <v>#REF!</v>
      </c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</row>
    <row r="37" spans="1:79" ht="15.75">
      <c r="A37" s="109">
        <v>-9.0000000000000002E-6</v>
      </c>
      <c r="B37" s="110">
        <f t="shared" si="0"/>
        <v>37</v>
      </c>
      <c r="C37" s="111">
        <f>IF(C$1=[1]!T.in.A[[#This Row],[oo2]],1,"")</f>
        <v>1</v>
      </c>
      <c r="D37" s="112">
        <f>IF(Tab.o1[[#This Row],[a1]]=1,IF(SUM(C37:C38)=0,0,IF(SUM(C36:C37)=1,1,IF(SUM(C36:C38)&gt;1,D36+1,0))),"")</f>
        <v>33</v>
      </c>
      <c r="E37" s="113" t="str">
        <f>IF(Tab.o1[[#This Row],[a1]]=1,[1]!T.in.A[[#This Row],[oo1]],"")</f>
        <v>hed33</v>
      </c>
      <c r="F37" s="113" t="str">
        <f>IF(Tab.o1[[#This Row],[a1]]=1,[1]!T.in.A[[#This Row],[pp1]],"")</f>
        <v/>
      </c>
      <c r="G37" s="114">
        <f>IF(Tab.o1[[#This Row],[a1]]=1,G$2+IF(G$1=1,0,Tab.o1[[#This Row],[.x1]])+[1]!T.in.A[[#This Row],[oo3]],"")</f>
        <v>836.3</v>
      </c>
      <c r="H37" s="115">
        <f>IF(Tab.o1[[#This Row],[a1]]=1,IF(H$2=0,0,IF(G$1=1,0,Tab.o1[[#This Row],[.x1]])+[1]!T.in.A[[#This Row],[oo4]]),"")</f>
        <v>837.45259999999996</v>
      </c>
      <c r="I37" s="116">
        <f>IF(Tab.o1[[#This Row],[a1]]=1,IF(J$2=0,Tab.o1[[#This Row],[MED]],Tab.o1[[#This Row],[MOD]]),"")</f>
        <v>836.3</v>
      </c>
      <c r="J37" s="116">
        <f ca="1">IF(Tab.o1[[#This Row],[a1]]=1,((Tab.o1[[#This Row],[DIF_Target.]]-AVERAGE(Tab.o1[DIF_Target.]))/_xlfn.STDEV.P(Tab.o1[DIF_Target.])),"")</f>
        <v>0.3265733773049439</v>
      </c>
      <c r="K37" s="117">
        <f>IF(Tab.o1[[#This Row],[a1]]=1,IF(J$2=0,Tab.o1[[#This Row],[MOD]]-Tab.o1[[#This Row],[B]],IF(J$2=1,0,-Tab.o1[[#This Row],[MED]])+Tab.o1[[#This Row],[B]]),"")</f>
        <v>1.1526000000000067</v>
      </c>
      <c r="L37" s="117">
        <f ca="1">IF(Tab.o1[[#This Row],[DIF_Target]]=0,IF(L$2=0,Tab.o1[[#This Row],[DIF_Target]],AVERAGE(OFFSET(Tab.o1[[#This Row],[DIF_Target]],1,0,L$3,1)))/3,Tab.o1[[#This Row],[DIF_Target]])</f>
        <v>1.1526000000000067</v>
      </c>
      <c r="M37" s="118">
        <f ca="1">IF(Tab.o1[[#This Row],[a1]]=1,NORMSDIST(Tab.o1[[#This Row],[Za]]),"")</f>
        <v>0.62800470888150928</v>
      </c>
      <c r="N37" s="119">
        <f>IF(Tab.o1[[#This Row],[a1]]=1,((Tab.o1[[#This Row],[MedMod]]-AVERAGE(Tab.o1[MedMod]))/_xlfn.STDEV.P(Tab.o1[MedMod])*H$1205)+G$1205,"")</f>
        <v>-1.355606440407005</v>
      </c>
      <c r="O37" s="141">
        <f>IF(Tab.o1[[#This Row],[a1]]=1,Tab.o1[[#This Row],[Zb]]*_xlfn.STDEV.P(Tab.o1[MedMod])+AVERAGE(Tab.o1[MedMod]),"")</f>
        <v>836.3</v>
      </c>
      <c r="P37" s="117">
        <f ca="1">IF(Tab.o1[[#This Row],[B]]=0,AVERAGE(OFFSET(Tab.o1[[#This Row],[B]],1,0,L$3,1)),Tab.o1[[#This Row],[B]])</f>
        <v>836.3</v>
      </c>
      <c r="Q37" s="121">
        <f>IF(Tab.o1[[#This Row],[a1]]=1,NORMSDIST(Tab.o1[[#This Row],[Zb]]),"")</f>
        <v>8.7612210793255874E-2</v>
      </c>
      <c r="R37" s="122">
        <f>IF(Tab.o1[[#This Row],[a1]]=1,((Tab.o1[[#This Row],[MedMod]]-AVERAGE(Tab.o1[MedMod]))/_xlfn.STDEV.P(Tab.o1[MedMod])*H$1203)+G$1203,"")</f>
        <v>0.64439355959299505</v>
      </c>
      <c r="S37" s="122">
        <f>IF(Tab.o1[[#This Row],[a1]]=1,((Tab.o1[[#This Row],[MedMod]]-AVERAGE(Tab.o1[MedMod]))/_xlfn.STDEV.P(Tab.o1[MedMod])*H$1204)+G$1204,"")</f>
        <v>-3.355606440407005</v>
      </c>
      <c r="T37" s="123">
        <f>IF(Tab.o1[[#This Row],[a1]]=1,Tab.o1[[#This Row],[Z-]]*_xlfn.STDEV.P(Tab.o1[B])+AVERAGE(Tab.o1[B]),"")</f>
        <v>839.74864103669836</v>
      </c>
      <c r="U37" s="123">
        <f>IF(Tab.o1[[#This Row],[a1]]=1,Tab.o1[[#This Row],[z+]]*_xlfn.STDEV.P(Tab.o1[B])+AVERAGE(Tab.o1[B]),"")</f>
        <v>832.85135896330155</v>
      </c>
      <c r="V37" s="124">
        <f>IF(Tab.o1[[#This Row],[a1]]=1,ABS((ABS(Tab.o1[[#This Row],[Red]]-Tab.o1[[#This Row],[Blue]]))),"")</f>
        <v>6.8972820733968092</v>
      </c>
      <c r="W37" s="125">
        <f>IF(Tab.o1[[#This Row],[a1]]=1,IF(W$3=0,1,Tab.o1[[#This Row],[Amp.]]*1/_xlfn.MINIFS(Tab.o1[Amp.],Tab.o1[Amp.],"&lt;&gt;0")),"")</f>
        <v>1</v>
      </c>
      <c r="X37" s="126">
        <f ca="1">IF(Tab.o1[[#This Row],[a1]]=1,IF(ISNUMBER(Tab.o1[[#This Row],[i.]]),NORMDIST(Tab.o1[[#This Row],[Za]],0,1,FALSE)*Tab.o1[[#This Row],[i.]],AP$3),"")</f>
        <v>0.37822590916487803</v>
      </c>
      <c r="Y37" s="126">
        <f ca="1">IF(Tab.o1[[#This Row],[a1]]=1,0.01+0.94*Tab.o1[[#This Row],[PDF]]/MAX(Tab.o1[PDF]),"")</f>
        <v>0.90299462634083039</v>
      </c>
      <c r="Z37" s="126">
        <f>IF(Tab.o1[[#This Row],[a1]]=1,0.01+0.94*Tab.o1[[#This Row],[W1_PDF]]/MAX(Tab.o1[W1_PDF]),"")</f>
        <v>0.95</v>
      </c>
      <c r="AA37" s="118">
        <f>IF(Tab.o1[[#This Row],[a1]]=1,ABS([1]!T.in.A[[#This Row],[oo6]]),"")</f>
        <v>7.1269669999999993E-2</v>
      </c>
      <c r="AB37" s="127">
        <f ca="1">IF(Tab.o1[[#This Row],[a1]]=1,IF(AE$3=0,"",IF(AB$3=0,ABS([1]!T.in.A[[#This Row],[oo9]]),ABS(Tab.o1[[#This Row],[DIF_Target.]]*Tab.o1[[#This Row],[W1_PDF]]))),"")</f>
        <v>8.2145421642000477E-2</v>
      </c>
      <c r="AC37" s="127" t="str">
        <f>IF(G$1=1,"",IF(Tab.o1[[#This Row],[a1]]=1,Tab.o1[[#This Row],[Wr]]^2,""))</f>
        <v/>
      </c>
      <c r="AD37" s="118" t="e">
        <f>IF(Tab.o1[[#This Row],[a1]]=1,IF(AE$3=0,"",Tab.o1[[#This Row],[Wr2]]/SUM(Tab.o1[Wr2])),"")</f>
        <v>#VALUE!</v>
      </c>
      <c r="AE37" s="128">
        <f>IF(Tab.o1[[#This Row],[a1]]=1,[1]!T.in.A[[#This Row],[oo10]],"")</f>
        <v>0.9919173</v>
      </c>
      <c r="AF37" s="118" t="e">
        <f ca="1">IF(Tab.o1[[#This Row],[a1]]=1,ABS(Tab.o1[[#This Row],[DIF_Target.]]*Tab.o1[[#This Row],[PDF2]]*Tab.o1[[#This Row],[IN]]),"")</f>
        <v>#REF!</v>
      </c>
      <c r="AG37" s="129" t="e">
        <f ca="1">IF(Tab.o1[[#This Row],[a1]]=1,Tab.o1[[#This Row],[rW]]^2,"")</f>
        <v>#REF!</v>
      </c>
      <c r="AH37" s="130" t="e">
        <f ca="1">IF(Tab.o1[[#This Row],[a1]]=1,IF(AH$3=0,Tab.o1[[#This Row],[rW2]],0.01+0.94*Tab.o1[[#This Row],[rW2]]/SUM(Tab.o1[rW2])),"")</f>
        <v>#REF!</v>
      </c>
      <c r="AI37" s="128">
        <f ca="1">IF(Tab.o1[[#This Row],[a1]]=1,1/Tab.o1[[#This Row],[PDF]],"")</f>
        <v>2.6439225229387322</v>
      </c>
      <c r="AJ37" s="131" t="e">
        <f>IF(Tab.o1[[#This Row],[a1]]=1,[1]!T_AA[[#This Row],[IN'']]*[1]!T_AA[[#This Row],[Qde'']],"")</f>
        <v>#REF!</v>
      </c>
      <c r="AK37" s="132" t="str">
        <f>IF(Tab.o1[[#This Row],[a1]]=1,IF(AK$1=1,Tab.o1[[#This Row],[MED]]+Tab.o1[[#This Row],[MOD]]-Tab.o1[[#This Row],[MED]],""),"")</f>
        <v/>
      </c>
      <c r="AL37" s="133">
        <f>IF(Tab.o1[[#This Row],[a1]]=1,[1]!T.in.A[[#This Row],[oo16]],"")</f>
        <v>1.9511339999999999</v>
      </c>
      <c r="AM37" s="133">
        <f>IF(Tab.o1[[#This Row],[a1]]=1,IF(AM$3=1,[1]!T.in.A[[#This Row],[Σo16]],""),"")</f>
        <v>3.7716209790169618E-2</v>
      </c>
      <c r="AN37" s="126" t="str">
        <f>IF(Tab.o1[[#This Row],[a1]]=1,[1]!T.in.A[[#This Row],[Σp5]],"")</f>
        <v/>
      </c>
      <c r="AO37" s="126" t="str">
        <f>IF(Tab.o1[[#This Row],[a1]]=1,IF(AO$3=1,[1]!T.in.A[[#This Row],[Σp5]],""),"")</f>
        <v/>
      </c>
      <c r="AP37" s="110">
        <f ca="1">IF(Tab.o1[[#This Row],[a1]]=1,IF(ISNUMBER(Tab.o1[[#This Row],[i.]]),NORMDIST(Tab.o1[[#This Row],[Za]],0,1,FALSE)*Tab.o1[[#This Row],[i.]],0),"")</f>
        <v>0.37822590916487803</v>
      </c>
      <c r="AQ37" s="125">
        <f>IF(Tab.o1[[#This Row],[a1]]=1,ABS(Tab.o1[[#This Row],[MOD]]-AVERAGE(Tab.o1[MOD])),"")</f>
        <v>1.9087640625000404</v>
      </c>
      <c r="AR37" s="134">
        <f>IF(Tab.o1[[#This Row],[a1]]=1,Tab.o1[[#This Row],[OBS]]/SUM(Tab.o1[OBS]),"")</f>
        <v>1.9921315298087973E-2</v>
      </c>
      <c r="AS37" s="135">
        <f>IF(ISNUMBER(Tab.o1[[#This Row],[a1]]),ROW()-4,"")</f>
        <v>33</v>
      </c>
      <c r="AT37" s="136">
        <f>Tab.o1[[#This Row],[MOD]]</f>
        <v>837.45259999999996</v>
      </c>
      <c r="AU37" s="137">
        <f t="shared" si="1"/>
        <v>837.45259999999996</v>
      </c>
      <c r="AV37" s="138">
        <f t="shared" si="2"/>
        <v>0</v>
      </c>
      <c r="AW37" s="138" t="str">
        <f t="shared" si="3"/>
        <v/>
      </c>
      <c r="AX37" s="139" t="str">
        <f>[1]!T.in.A[[#This Row],[ID_T_manu]]</f>
        <v/>
      </c>
      <c r="AY37" s="140" t="e">
        <f>IF(ISNUMBER(Tab.o1[[#This Row],[a1]]),IF(AND(Tab.o1[[#This Row],[a1]]=1,Tab.o1[[#This Row],[b1]]&lt;=AY$4),#REF!,AY36),"")</f>
        <v>#REF!</v>
      </c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</row>
    <row r="38" spans="1:79" ht="15.75">
      <c r="A38" s="109">
        <v>-4.0000000000000007E-6</v>
      </c>
      <c r="B38" s="110">
        <f t="shared" si="0"/>
        <v>38</v>
      </c>
      <c r="C38" s="111">
        <f>IF(C$1=[1]!T.in.A[[#This Row],[oo2]],1,"")</f>
        <v>1</v>
      </c>
      <c r="D38" s="112">
        <f>IF(Tab.o1[[#This Row],[a1]]=1,IF(SUM(C38:C39)=0,0,IF(SUM(C37:C38)=1,1,IF(SUM(C37:C39)&gt;1,D37+1,0))),"")</f>
        <v>34</v>
      </c>
      <c r="E38" s="113" t="str">
        <f>IF(Tab.o1[[#This Row],[a1]]=1,[1]!T.in.A[[#This Row],[oo1]],"")</f>
        <v>hed34</v>
      </c>
      <c r="F38" s="113" t="str">
        <f>IF(Tab.o1[[#This Row],[a1]]=1,[1]!T.in.A[[#This Row],[pp1]],"")</f>
        <v/>
      </c>
      <c r="G38" s="114">
        <f>IF(Tab.o1[[#This Row],[a1]]=1,G$2+IF(G$1=1,0,Tab.o1[[#This Row],[.x1]])+[1]!T.in.A[[#This Row],[oo3]],"")</f>
        <v>836.2</v>
      </c>
      <c r="H38" s="115">
        <f>IF(Tab.o1[[#This Row],[a1]]=1,IF(H$2=0,0,IF(G$1=1,0,Tab.o1[[#This Row],[.x1]])+[1]!T.in.A[[#This Row],[oo4]]),"")</f>
        <v>836.50429999999994</v>
      </c>
      <c r="I38" s="116">
        <f>IF(Tab.o1[[#This Row],[a1]]=1,IF(J$2=0,Tab.o1[[#This Row],[MED]],Tab.o1[[#This Row],[MOD]]),"")</f>
        <v>836.2</v>
      </c>
      <c r="J38" s="116">
        <f ca="1">IF(Tab.o1[[#This Row],[a1]]=1,((Tab.o1[[#This Row],[DIF_Target.]]-AVERAGE(Tab.o1[DIF_Target.]))/_xlfn.STDEV.P(Tab.o1[DIF_Target.])),"")</f>
        <v>-0.31958704858148029</v>
      </c>
      <c r="K38" s="117">
        <f>IF(Tab.o1[[#This Row],[a1]]=1,IF(J$2=0,Tab.o1[[#This Row],[MOD]]-Tab.o1[[#This Row],[B]],IF(J$2=1,0,-Tab.o1[[#This Row],[MED]])+Tab.o1[[#This Row],[B]]),"")</f>
        <v>0.30429999999989832</v>
      </c>
      <c r="L38" s="117">
        <f ca="1">IF(Tab.o1[[#This Row],[DIF_Target]]=0,IF(L$2=0,Tab.o1[[#This Row],[DIF_Target]],AVERAGE(OFFSET(Tab.o1[[#This Row],[DIF_Target]],1,0,L$3,1)))/3,Tab.o1[[#This Row],[DIF_Target]])</f>
        <v>0.30429999999989832</v>
      </c>
      <c r="M38" s="118">
        <f ca="1">IF(Tab.o1[[#This Row],[a1]]=1,NORMSDIST(Tab.o1[[#This Row],[Za]]),"")</f>
        <v>0.37464069680782736</v>
      </c>
      <c r="N38" s="119">
        <f>IF(Tab.o1[[#This Row],[a1]]=1,((Tab.o1[[#This Row],[MedMod]]-AVERAGE(Tab.o1[MedMod]))/_xlfn.STDEV.P(Tab.o1[MedMod])*H$1205)+G$1205,"")</f>
        <v>-1.4136002988200838</v>
      </c>
      <c r="O38" s="141">
        <f>IF(Tab.o1[[#This Row],[a1]]=1,Tab.o1[[#This Row],[Zb]]*_xlfn.STDEV.P(Tab.o1[MedMod])+AVERAGE(Tab.o1[MedMod]),"")</f>
        <v>836.2</v>
      </c>
      <c r="P38" s="117">
        <f ca="1">IF(Tab.o1[[#This Row],[B]]=0,AVERAGE(OFFSET(Tab.o1[[#This Row],[B]],1,0,L$3,1)),Tab.o1[[#This Row],[B]])</f>
        <v>836.2</v>
      </c>
      <c r="Q38" s="121">
        <f>IF(Tab.o1[[#This Row],[a1]]=1,NORMSDIST(Tab.o1[[#This Row],[Zb]]),"")</f>
        <v>7.873964675272177E-2</v>
      </c>
      <c r="R38" s="122">
        <f>IF(Tab.o1[[#This Row],[a1]]=1,((Tab.o1[[#This Row],[MedMod]]-AVERAGE(Tab.o1[MedMod]))/_xlfn.STDEV.P(Tab.o1[MedMod])*H$1203)+G$1203,"")</f>
        <v>0.58639970117991624</v>
      </c>
      <c r="S38" s="122">
        <f>IF(Tab.o1[[#This Row],[a1]]=1,((Tab.o1[[#This Row],[MedMod]]-AVERAGE(Tab.o1[MedMod]))/_xlfn.STDEV.P(Tab.o1[MedMod])*H$1204)+G$1204,"")</f>
        <v>-3.413600298820084</v>
      </c>
      <c r="T38" s="123">
        <f>IF(Tab.o1[[#This Row],[a1]]=1,Tab.o1[[#This Row],[Z-]]*_xlfn.STDEV.P(Tab.o1[B])+AVERAGE(Tab.o1[B]),"")</f>
        <v>839.64864103669845</v>
      </c>
      <c r="U38" s="123">
        <f>IF(Tab.o1[[#This Row],[a1]]=1,Tab.o1[[#This Row],[z+]]*_xlfn.STDEV.P(Tab.o1[B])+AVERAGE(Tab.o1[B]),"")</f>
        <v>832.75135896330164</v>
      </c>
      <c r="V38" s="124">
        <f>IF(Tab.o1[[#This Row],[a1]]=1,ABS((ABS(Tab.o1[[#This Row],[Red]]-Tab.o1[[#This Row],[Blue]]))),"")</f>
        <v>6.8972820733968092</v>
      </c>
      <c r="W38" s="125">
        <f>IF(Tab.o1[[#This Row],[a1]]=1,IF(W$3=0,1,Tab.o1[[#This Row],[Amp.]]*1/_xlfn.MINIFS(Tab.o1[Amp.],Tab.o1[Amp.],"&lt;&gt;0")),"")</f>
        <v>1</v>
      </c>
      <c r="X38" s="126">
        <f ca="1">IF(Tab.o1[[#This Row],[a1]]=1,IF(ISNUMBER(Tab.o1[[#This Row],[i.]]),NORMDIST(Tab.o1[[#This Row],[Za]],0,1,FALSE)*Tab.o1[[#This Row],[i.]],AP$3),"")</f>
        <v>0.37908058392199856</v>
      </c>
      <c r="Y38" s="126">
        <f ca="1">IF(Tab.o1[[#This Row],[a1]]=1,0.01+0.94*Tab.o1[[#This Row],[PDF]]/MAX(Tab.o1[PDF]),"")</f>
        <v>0.90501252079724914</v>
      </c>
      <c r="Z38" s="126">
        <f>IF(Tab.o1[[#This Row],[a1]]=1,0.01+0.94*Tab.o1[[#This Row],[W1_PDF]]/MAX(Tab.o1[W1_PDF]),"")</f>
        <v>0.95</v>
      </c>
      <c r="AA38" s="118">
        <f>IF(Tab.o1[[#This Row],[a1]]=1,ABS([1]!T.in.A[[#This Row],[oo6]]),"")</f>
        <v>7.1269669999999993E-2</v>
      </c>
      <c r="AB38" s="127">
        <f ca="1">IF(Tab.o1[[#This Row],[a1]]=1,IF(AE$3=0,"",IF(AB$3=0,ABS([1]!T.in.A[[#This Row],[oo9]]),ABS(Tab.o1[[#This Row],[DIF_Target.]]*Tab.o1[[#This Row],[W1_PDF]]))),"")</f>
        <v>2.168736058099275E-2</v>
      </c>
      <c r="AC38" s="127" t="str">
        <f>IF(G$1=1,"",IF(Tab.o1[[#This Row],[a1]]=1,Tab.o1[[#This Row],[Wr]]^2,""))</f>
        <v/>
      </c>
      <c r="AD38" s="118" t="e">
        <f>IF(Tab.o1[[#This Row],[a1]]=1,IF(AE$3=0,"",Tab.o1[[#This Row],[Wr2]]/SUM(Tab.o1[Wr2])),"")</f>
        <v>#VALUE!</v>
      </c>
      <c r="AE38" s="128">
        <f>IF(Tab.o1[[#This Row],[a1]]=1,[1]!T.in.A[[#This Row],[oo10]],"")</f>
        <v>0.9919173</v>
      </c>
      <c r="AF38" s="118" t="e">
        <f ca="1">IF(Tab.o1[[#This Row],[a1]]=1,ABS(Tab.o1[[#This Row],[DIF_Target.]]*Tab.o1[[#This Row],[PDF2]]*Tab.o1[[#This Row],[IN]]),"")</f>
        <v>#REF!</v>
      </c>
      <c r="AG38" s="129" t="e">
        <f ca="1">IF(Tab.o1[[#This Row],[a1]]=1,Tab.o1[[#This Row],[rW]]^2,"")</f>
        <v>#REF!</v>
      </c>
      <c r="AH38" s="130" t="e">
        <f ca="1">IF(Tab.o1[[#This Row],[a1]]=1,IF(AH$3=0,Tab.o1[[#This Row],[rW2]],0.01+0.94*Tab.o1[[#This Row],[rW2]]/SUM(Tab.o1[rW2])),"")</f>
        <v>#REF!</v>
      </c>
      <c r="AI38" s="128">
        <f ca="1">IF(Tab.o1[[#This Row],[a1]]=1,1/Tab.o1[[#This Row],[PDF]],"")</f>
        <v>2.6379615375019174</v>
      </c>
      <c r="AJ38" s="131" t="e">
        <f>IF(Tab.o1[[#This Row],[a1]]=1,[1]!T_AA[[#This Row],[IN'']]*[1]!T_AA[[#This Row],[Qde'']],"")</f>
        <v>#REF!</v>
      </c>
      <c r="AK38" s="132" t="str">
        <f>IF(Tab.o1[[#This Row],[a1]]=1,IF(AK$1=1,Tab.o1[[#This Row],[MED]]+Tab.o1[[#This Row],[MOD]]-Tab.o1[[#This Row],[MED]],""),"")</f>
        <v/>
      </c>
      <c r="AL38" s="133">
        <f>IF(Tab.o1[[#This Row],[a1]]=1,[1]!T.in.A[[#This Row],[oo16]],"")</f>
        <v>1.1135349999999999</v>
      </c>
      <c r="AM38" s="133">
        <f>IF(Tab.o1[[#This Row],[a1]]=1,IF(AM$3=1,[1]!T.in.A[[#This Row],[Σo16]],""),"")</f>
        <v>2.1525082166932934E-2</v>
      </c>
      <c r="AN38" s="126" t="str">
        <f>IF(Tab.o1[[#This Row],[a1]]=1,[1]!T.in.A[[#This Row],[Σp5]],"")</f>
        <v/>
      </c>
      <c r="AO38" s="126" t="str">
        <f>IF(Tab.o1[[#This Row],[a1]]=1,IF(AO$3=1,[1]!T.in.A[[#This Row],[Σp5]],""),"")</f>
        <v/>
      </c>
      <c r="AP38" s="110">
        <f ca="1">IF(Tab.o1[[#This Row],[a1]]=1,IF(ISNUMBER(Tab.o1[[#This Row],[i.]]),NORMDIST(Tab.o1[[#This Row],[Za]],0,1,FALSE)*Tab.o1[[#This Row],[i.]],0),"")</f>
        <v>0.37908058392199856</v>
      </c>
      <c r="AQ38" s="125">
        <f>IF(Tab.o1[[#This Row],[a1]]=1,ABS(Tab.o1[[#This Row],[MOD]]-AVERAGE(Tab.o1[MOD])),"")</f>
        <v>2.8570640625000578</v>
      </c>
      <c r="AR38" s="134">
        <f>IF(Tab.o1[[#This Row],[a1]]=1,Tab.o1[[#This Row],[OBS]]/SUM(Tab.o1[OBS]),"")</f>
        <v>2.9818496237482766E-2</v>
      </c>
      <c r="AS38" s="135">
        <f>IF(ISNUMBER(Tab.o1[[#This Row],[a1]]),ROW()-4,"")</f>
        <v>34</v>
      </c>
      <c r="AT38" s="136">
        <f>Tab.o1[[#This Row],[MOD]]</f>
        <v>836.50429999999994</v>
      </c>
      <c r="AU38" s="137">
        <f t="shared" si="1"/>
        <v>836.50429999999994</v>
      </c>
      <c r="AV38" s="138">
        <f t="shared" si="2"/>
        <v>0</v>
      </c>
      <c r="AW38" s="138" t="str">
        <f t="shared" si="3"/>
        <v/>
      </c>
      <c r="AX38" s="139" t="str">
        <f>[1]!T.in.A[[#This Row],[ID_T_manu]]</f>
        <v/>
      </c>
      <c r="AY38" s="140" t="e">
        <f>IF(ISNUMBER(Tab.o1[[#This Row],[a1]]),IF(AND(Tab.o1[[#This Row],[a1]]=1,Tab.o1[[#This Row],[b1]]&lt;=AY$4),#REF!,AY37),"")</f>
        <v>#REF!</v>
      </c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</row>
    <row r="39" spans="1:79" ht="15.75">
      <c r="A39" s="109">
        <v>8.0000000000000013E-6</v>
      </c>
      <c r="B39" s="110">
        <f t="shared" si="0"/>
        <v>39</v>
      </c>
      <c r="C39" s="111">
        <f>IF(C$1=[1]!T.in.A[[#This Row],[oo2]],1,"")</f>
        <v>1</v>
      </c>
      <c r="D39" s="112">
        <f>IF(Tab.o1[[#This Row],[a1]]=1,IF(SUM(C39:C40)=0,0,IF(SUM(C38:C39)=1,1,IF(SUM(C38:C40)&gt;1,D38+1,0))),"")</f>
        <v>35</v>
      </c>
      <c r="E39" s="113" t="str">
        <f>IF(Tab.o1[[#This Row],[a1]]=1,[1]!T.in.A[[#This Row],[oo1]],"")</f>
        <v>hed35</v>
      </c>
      <c r="F39" s="113" t="str">
        <f>IF(Tab.o1[[#This Row],[a1]]=1,[1]!T.in.A[[#This Row],[pp1]],"")</f>
        <v/>
      </c>
      <c r="G39" s="114">
        <f>IF(Tab.o1[[#This Row],[a1]]=1,G$2+IF(G$1=1,0,Tab.o1[[#This Row],[.x1]])+[1]!T.in.A[[#This Row],[oo3]],"")</f>
        <v>836.1</v>
      </c>
      <c r="H39" s="115">
        <f>IF(Tab.o1[[#This Row],[a1]]=1,IF(H$2=0,0,IF(G$1=1,0,Tab.o1[[#This Row],[.x1]])+[1]!T.in.A[[#This Row],[oo4]]),"")</f>
        <v>835.55600000000004</v>
      </c>
      <c r="I39" s="116">
        <f>IF(Tab.o1[[#This Row],[a1]]=1,IF(J$2=0,Tab.o1[[#This Row],[MED]],Tab.o1[[#This Row],[MOD]]),"")</f>
        <v>836.1</v>
      </c>
      <c r="J39" s="116">
        <f ca="1">IF(Tab.o1[[#This Row],[a1]]=1,((Tab.o1[[#This Row],[DIF_Target.]]-AVERAGE(Tab.o1[DIF_Target.]))/_xlfn.STDEV.P(Tab.o1[DIF_Target.])),"")</f>
        <v>-0.96574747446773135</v>
      </c>
      <c r="K39" s="117">
        <f>IF(Tab.o1[[#This Row],[a1]]=1,IF(J$2=0,Tab.o1[[#This Row],[MOD]]-Tab.o1[[#This Row],[B]],IF(J$2=1,0,-Tab.o1[[#This Row],[MED]])+Tab.o1[[#This Row],[B]]),"")</f>
        <v>-0.54399999999998272</v>
      </c>
      <c r="L39" s="117">
        <f ca="1">IF(Tab.o1[[#This Row],[DIF_Target]]=0,IF(L$2=0,Tab.o1[[#This Row],[DIF_Target]],AVERAGE(OFFSET(Tab.o1[[#This Row],[DIF_Target]],1,0,L$3,1)))/3,Tab.o1[[#This Row],[DIF_Target]])</f>
        <v>-0.54399999999998272</v>
      </c>
      <c r="M39" s="118">
        <f ca="1">IF(Tab.o1[[#This Row],[a1]]=1,NORMSDIST(Tab.o1[[#This Row],[Za]]),"")</f>
        <v>0.1670852787312114</v>
      </c>
      <c r="N39" s="119">
        <f>IF(Tab.o1[[#This Row],[a1]]=1,((Tab.o1[[#This Row],[MedMod]]-AVERAGE(Tab.o1[MedMod]))/_xlfn.STDEV.P(Tab.o1[MedMod])*H$1205)+G$1205,"")</f>
        <v>-1.4715941572332287</v>
      </c>
      <c r="O39" s="141">
        <f>IF(Tab.o1[[#This Row],[a1]]=1,Tab.o1[[#This Row],[Zb]]*_xlfn.STDEV.P(Tab.o1[MedMod])+AVERAGE(Tab.o1[MedMod]),"")</f>
        <v>836.1</v>
      </c>
      <c r="P39" s="117">
        <f ca="1">IF(Tab.o1[[#This Row],[B]]=0,AVERAGE(OFFSET(Tab.o1[[#This Row],[B]],1,0,L$3,1)),Tab.o1[[#This Row],[B]])</f>
        <v>836.1</v>
      </c>
      <c r="Q39" s="121">
        <f>IF(Tab.o1[[#This Row],[a1]]=1,NORMSDIST(Tab.o1[[#This Row],[Zb]]),"")</f>
        <v>7.0565252148206165E-2</v>
      </c>
      <c r="R39" s="122">
        <f>IF(Tab.o1[[#This Row],[a1]]=1,((Tab.o1[[#This Row],[MedMod]]-AVERAGE(Tab.o1[MedMod]))/_xlfn.STDEV.P(Tab.o1[MedMod])*H$1203)+G$1203,"")</f>
        <v>0.52840584276677127</v>
      </c>
      <c r="S39" s="122">
        <f>IF(Tab.o1[[#This Row],[a1]]=1,((Tab.o1[[#This Row],[MedMod]]-AVERAGE(Tab.o1[MedMod]))/_xlfn.STDEV.P(Tab.o1[MedMod])*H$1204)+G$1204,"")</f>
        <v>-3.4715941572332287</v>
      </c>
      <c r="T39" s="123">
        <f>IF(Tab.o1[[#This Row],[a1]]=1,Tab.o1[[#This Row],[Z-]]*_xlfn.STDEV.P(Tab.o1[B])+AVERAGE(Tab.o1[B]),"")</f>
        <v>839.54864103669843</v>
      </c>
      <c r="U39" s="123">
        <f>IF(Tab.o1[[#This Row],[a1]]=1,Tab.o1[[#This Row],[z+]]*_xlfn.STDEV.P(Tab.o1[B])+AVERAGE(Tab.o1[B]),"")</f>
        <v>832.65135896330162</v>
      </c>
      <c r="V39" s="124">
        <f>IF(Tab.o1[[#This Row],[a1]]=1,ABS((ABS(Tab.o1[[#This Row],[Red]]-Tab.o1[[#This Row],[Blue]]))),"")</f>
        <v>6.8972820733968092</v>
      </c>
      <c r="W39" s="125">
        <f>IF(Tab.o1[[#This Row],[a1]]=1,IF(W$3=0,1,Tab.o1[[#This Row],[Amp.]]*1/_xlfn.MINIFS(Tab.o1[Amp.],Tab.o1[Amp.],"&lt;&gt;0")),"")</f>
        <v>1</v>
      </c>
      <c r="X39" s="126">
        <f ca="1">IF(Tab.o1[[#This Row],[a1]]=1,IF(ISNUMBER(Tab.o1[[#This Row],[i.]]),NORMDIST(Tab.o1[[#This Row],[Za]],0,1,FALSE)*Tab.o1[[#This Row],[i.]],AP$3),"")</f>
        <v>0.25025556446113756</v>
      </c>
      <c r="Y39" s="126">
        <f ca="1">IF(Tab.o1[[#This Row],[a1]]=1,0.01+0.94*Tab.o1[[#This Row],[PDF]]/MAX(Tab.o1[PDF]),"")</f>
        <v>0.60085554125343654</v>
      </c>
      <c r="Z39" s="126">
        <f>IF(Tab.o1[[#This Row],[a1]]=1,0.01+0.94*Tab.o1[[#This Row],[W1_PDF]]/MAX(Tab.o1[W1_PDF]),"")</f>
        <v>0.95</v>
      </c>
      <c r="AA39" s="118">
        <f>IF(Tab.o1[[#This Row],[a1]]=1,ABS([1]!T.in.A[[#This Row],[oo6]]),"")</f>
        <v>7.1269669999999993E-2</v>
      </c>
      <c r="AB39" s="127">
        <f ca="1">IF(Tab.o1[[#This Row],[a1]]=1,IF(AE$3=0,"",IF(AB$3=0,ABS([1]!T.in.A[[#This Row],[oo9]]),ABS(Tab.o1[[#This Row],[DIF_Target.]]*Tab.o1[[#This Row],[W1_PDF]]))),"")</f>
        <v>3.8770700479998768E-2</v>
      </c>
      <c r="AC39" s="127" t="str">
        <f>IF(G$1=1,"",IF(Tab.o1[[#This Row],[a1]]=1,Tab.o1[[#This Row],[Wr]]^2,""))</f>
        <v/>
      </c>
      <c r="AD39" s="118" t="e">
        <f>IF(Tab.o1[[#This Row],[a1]]=1,IF(AE$3=0,"",Tab.o1[[#This Row],[Wr2]]/SUM(Tab.o1[Wr2])),"")</f>
        <v>#VALUE!</v>
      </c>
      <c r="AE39" s="128">
        <f>IF(Tab.o1[[#This Row],[a1]]=1,[1]!T.in.A[[#This Row],[oo10]],"")</f>
        <v>0.9919173</v>
      </c>
      <c r="AF39" s="118" t="e">
        <f ca="1">IF(Tab.o1[[#This Row],[a1]]=1,ABS(Tab.o1[[#This Row],[DIF_Target.]]*Tab.o1[[#This Row],[PDF2]]*Tab.o1[[#This Row],[IN]]),"")</f>
        <v>#REF!</v>
      </c>
      <c r="AG39" s="129" t="e">
        <f ca="1">IF(Tab.o1[[#This Row],[a1]]=1,Tab.o1[[#This Row],[rW]]^2,"")</f>
        <v>#REF!</v>
      </c>
      <c r="AH39" s="130" t="e">
        <f ca="1">IF(Tab.o1[[#This Row],[a1]]=1,IF(AH$3=0,Tab.o1[[#This Row],[rW2]],0.01+0.94*Tab.o1[[#This Row],[rW2]]/SUM(Tab.o1[rW2])),"")</f>
        <v>#REF!</v>
      </c>
      <c r="AI39" s="128">
        <f ca="1">IF(Tab.o1[[#This Row],[a1]]=1,1/Tab.o1[[#This Row],[PDF]],"")</f>
        <v>3.9959151443974825</v>
      </c>
      <c r="AJ39" s="131" t="e">
        <f>IF(Tab.o1[[#This Row],[a1]]=1,[1]!T_AA[[#This Row],[IN'']]*[1]!T_AA[[#This Row],[Qde'']],"")</f>
        <v>#REF!</v>
      </c>
      <c r="AK39" s="132" t="str">
        <f>IF(Tab.o1[[#This Row],[a1]]=1,IF(AK$1=1,Tab.o1[[#This Row],[MED]]+Tab.o1[[#This Row],[MOD]]-Tab.o1[[#This Row],[MED]],""),"")</f>
        <v/>
      </c>
      <c r="AL39" s="133">
        <f>IF(Tab.o1[[#This Row],[a1]]=1,[1]!T.in.A[[#This Row],[oo16]],"")</f>
        <v>1.983554</v>
      </c>
      <c r="AM39" s="133">
        <f>IF(Tab.o1[[#This Row],[a1]]=1,IF(AM$3=1,[1]!T.in.A[[#This Row],[Σo16]],""),"")</f>
        <v>3.8342901509650341E-2</v>
      </c>
      <c r="AN39" s="126" t="str">
        <f>IF(Tab.o1[[#This Row],[a1]]=1,[1]!T.in.A[[#This Row],[Σp5]],"")</f>
        <v/>
      </c>
      <c r="AO39" s="126" t="str">
        <f>IF(Tab.o1[[#This Row],[a1]]=1,IF(AO$3=1,[1]!T.in.A[[#This Row],[Σp5]],""),"")</f>
        <v/>
      </c>
      <c r="AP39" s="110">
        <f ca="1">IF(Tab.o1[[#This Row],[a1]]=1,IF(ISNUMBER(Tab.o1[[#This Row],[i.]]),NORMDIST(Tab.o1[[#This Row],[Za]],0,1,FALSE)*Tab.o1[[#This Row],[i.]],0),"")</f>
        <v>0.25025556446113756</v>
      </c>
      <c r="AQ39" s="125">
        <f>IF(Tab.o1[[#This Row],[a1]]=1,ABS(Tab.o1[[#This Row],[MOD]]-AVERAGE(Tab.o1[MOD])),"")</f>
        <v>3.8053640624999616</v>
      </c>
      <c r="AR39" s="134">
        <f>IF(Tab.o1[[#This Row],[a1]]=1,Tab.o1[[#This Row],[OBS]]/SUM(Tab.o1[OBS]),"")</f>
        <v>3.9715677176876373E-2</v>
      </c>
      <c r="AS39" s="135">
        <f>IF(ISNUMBER(Tab.o1[[#This Row],[a1]]),ROW()-4,"")</f>
        <v>35</v>
      </c>
      <c r="AT39" s="136">
        <f>Tab.o1[[#This Row],[MOD]]</f>
        <v>835.55600000000004</v>
      </c>
      <c r="AU39" s="137">
        <f t="shared" si="1"/>
        <v>835.55600000000004</v>
      </c>
      <c r="AV39" s="138">
        <f t="shared" si="2"/>
        <v>0</v>
      </c>
      <c r="AW39" s="138" t="str">
        <f t="shared" si="3"/>
        <v/>
      </c>
      <c r="AX39" s="139" t="str">
        <f>[1]!T.in.A[[#This Row],[ID_T_manu]]</f>
        <v/>
      </c>
      <c r="AY39" s="140" t="e">
        <f>IF(ISNUMBER(Tab.o1[[#This Row],[a1]]),IF(AND(Tab.o1[[#This Row],[a1]]=1,Tab.o1[[#This Row],[b1]]&lt;=AY$4),#REF!,AY38),"")</f>
        <v>#REF!</v>
      </c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</row>
    <row r="40" spans="1:79" ht="15.75">
      <c r="A40" s="109">
        <v>-6.9999999999999999E-6</v>
      </c>
      <c r="B40" s="110">
        <f t="shared" si="0"/>
        <v>40</v>
      </c>
      <c r="C40" s="111">
        <f>IF(C$1=[1]!T.in.A[[#This Row],[oo2]],1,"")</f>
        <v>1</v>
      </c>
      <c r="D40" s="112">
        <f>IF(Tab.o1[[#This Row],[a1]]=1,IF(SUM(C40:C41)=0,0,IF(SUM(C39:C40)=1,1,IF(SUM(C39:C41)&gt;1,D39+1,0))),"")</f>
        <v>36</v>
      </c>
      <c r="E40" s="113" t="str">
        <f>IF(Tab.o1[[#This Row],[a1]]=1,[1]!T.in.A[[#This Row],[oo1]],"")</f>
        <v>hed36</v>
      </c>
      <c r="F40" s="113" t="str">
        <f>IF(Tab.o1[[#This Row],[a1]]=1,[1]!T.in.A[[#This Row],[pp1]],"")</f>
        <v/>
      </c>
      <c r="G40" s="114">
        <f>IF(Tab.o1[[#This Row],[a1]]=1,G$2+IF(G$1=1,0,Tab.o1[[#This Row],[.x1]])+[1]!T.in.A[[#This Row],[oo3]],"")</f>
        <v>836.1</v>
      </c>
      <c r="H40" s="115">
        <f>IF(Tab.o1[[#This Row],[a1]]=1,IF(H$2=0,0,IF(G$1=1,0,Tab.o1[[#This Row],[.x1]])+[1]!T.in.A[[#This Row],[oo4]]),"")</f>
        <v>835.27940000000001</v>
      </c>
      <c r="I40" s="116">
        <f>IF(Tab.o1[[#This Row],[a1]]=1,IF(J$2=0,Tab.o1[[#This Row],[MED]],Tab.o1[[#This Row],[MOD]]),"")</f>
        <v>836.1</v>
      </c>
      <c r="J40" s="116">
        <f ca="1">IF(Tab.o1[[#This Row],[a1]]=1,((Tab.o1[[#This Row],[DIF_Target.]]-AVERAGE(Tab.o1[DIF_Target.]))/_xlfn.STDEV.P(Tab.o1[DIF_Target.])),"")</f>
        <v>-1.1764370581058095</v>
      </c>
      <c r="K40" s="117">
        <f>IF(Tab.o1[[#This Row],[a1]]=1,IF(J$2=0,Tab.o1[[#This Row],[MOD]]-Tab.o1[[#This Row],[B]],IF(J$2=1,0,-Tab.o1[[#This Row],[MED]])+Tab.o1[[#This Row],[B]]),"")</f>
        <v>-0.8206000000000131</v>
      </c>
      <c r="L40" s="117">
        <f ca="1">IF(Tab.o1[[#This Row],[DIF_Target]]=0,IF(L$2=0,Tab.o1[[#This Row],[DIF_Target]],AVERAGE(OFFSET(Tab.o1[[#This Row],[DIF_Target]],1,0,L$3,1)))/3,Tab.o1[[#This Row],[DIF_Target]])</f>
        <v>-0.8206000000000131</v>
      </c>
      <c r="M40" s="118">
        <f ca="1">IF(Tab.o1[[#This Row],[a1]]=1,NORMSDIST(Tab.o1[[#This Row],[Za]]),"")</f>
        <v>0.11971013522267268</v>
      </c>
      <c r="N40" s="119">
        <f>IF(Tab.o1[[#This Row],[a1]]=1,((Tab.o1[[#This Row],[MedMod]]-AVERAGE(Tab.o1[MedMod]))/_xlfn.STDEV.P(Tab.o1[MedMod])*H$1205)+G$1205,"")</f>
        <v>-1.4715941572332287</v>
      </c>
      <c r="O40" s="141">
        <f>IF(Tab.o1[[#This Row],[a1]]=1,Tab.o1[[#This Row],[Zb]]*_xlfn.STDEV.P(Tab.o1[MedMod])+AVERAGE(Tab.o1[MedMod]),"")</f>
        <v>836.1</v>
      </c>
      <c r="P40" s="117">
        <f ca="1">IF(Tab.o1[[#This Row],[B]]=0,AVERAGE(OFFSET(Tab.o1[[#This Row],[B]],1,0,L$3,1)),Tab.o1[[#This Row],[B]])</f>
        <v>836.1</v>
      </c>
      <c r="Q40" s="121">
        <f>IF(Tab.o1[[#This Row],[a1]]=1,NORMSDIST(Tab.o1[[#This Row],[Zb]]),"")</f>
        <v>7.0565252148206165E-2</v>
      </c>
      <c r="R40" s="122">
        <f>IF(Tab.o1[[#This Row],[a1]]=1,((Tab.o1[[#This Row],[MedMod]]-AVERAGE(Tab.o1[MedMod]))/_xlfn.STDEV.P(Tab.o1[MedMod])*H$1203)+G$1203,"")</f>
        <v>0.52840584276677127</v>
      </c>
      <c r="S40" s="122">
        <f>IF(Tab.o1[[#This Row],[a1]]=1,((Tab.o1[[#This Row],[MedMod]]-AVERAGE(Tab.o1[MedMod]))/_xlfn.STDEV.P(Tab.o1[MedMod])*H$1204)+G$1204,"")</f>
        <v>-3.4715941572332287</v>
      </c>
      <c r="T40" s="123">
        <f>IF(Tab.o1[[#This Row],[a1]]=1,Tab.o1[[#This Row],[Z-]]*_xlfn.STDEV.P(Tab.o1[B])+AVERAGE(Tab.o1[B]),"")</f>
        <v>839.54864103669843</v>
      </c>
      <c r="U40" s="123">
        <f>IF(Tab.o1[[#This Row],[a1]]=1,Tab.o1[[#This Row],[z+]]*_xlfn.STDEV.P(Tab.o1[B])+AVERAGE(Tab.o1[B]),"")</f>
        <v>832.65135896330162</v>
      </c>
      <c r="V40" s="124">
        <f>IF(Tab.o1[[#This Row],[a1]]=1,ABS((ABS(Tab.o1[[#This Row],[Red]]-Tab.o1[[#This Row],[Blue]]))),"")</f>
        <v>6.8972820733968092</v>
      </c>
      <c r="W40" s="125">
        <f>IF(Tab.o1[[#This Row],[a1]]=1,IF(W$3=0,1,Tab.o1[[#This Row],[Amp.]]*1/_xlfn.MINIFS(Tab.o1[Amp.],Tab.o1[Amp.],"&lt;&gt;0")),"")</f>
        <v>1</v>
      </c>
      <c r="X40" s="126">
        <f ca="1">IF(Tab.o1[[#This Row],[a1]]=1,IF(ISNUMBER(Tab.o1[[#This Row],[i.]]),NORMDIST(Tab.o1[[#This Row],[Za]],0,1,FALSE)*Tab.o1[[#This Row],[i.]],AP$3),"")</f>
        <v>0.19969968637406607</v>
      </c>
      <c r="Y40" s="126">
        <f ca="1">IF(Tab.o1[[#This Row],[a1]]=1,0.01+0.94*Tab.o1[[#This Row],[PDF]]/MAX(Tab.o1[PDF]),"")</f>
        <v>0.48149267803399304</v>
      </c>
      <c r="Z40" s="126">
        <f>IF(Tab.o1[[#This Row],[a1]]=1,0.01+0.94*Tab.o1[[#This Row],[W1_PDF]]/MAX(Tab.o1[W1_PDF]),"")</f>
        <v>0.95</v>
      </c>
      <c r="AA40" s="118">
        <f>IF(Tab.o1[[#This Row],[a1]]=1,ABS([1]!T.in.A[[#This Row],[oo6]]),"")</f>
        <v>7.1269669999999993E-2</v>
      </c>
      <c r="AB40" s="127">
        <f ca="1">IF(Tab.o1[[#This Row],[a1]]=1,IF(AE$3=0,"",IF(AB$3=0,ABS([1]!T.in.A[[#This Row],[oo9]]),ABS(Tab.o1[[#This Row],[DIF_Target.]]*Tab.o1[[#This Row],[W1_PDF]]))),"")</f>
        <v>5.8483891202000926E-2</v>
      </c>
      <c r="AC40" s="127" t="str">
        <f>IF(G$1=1,"",IF(Tab.o1[[#This Row],[a1]]=1,Tab.o1[[#This Row],[Wr]]^2,""))</f>
        <v/>
      </c>
      <c r="AD40" s="118" t="e">
        <f>IF(Tab.o1[[#This Row],[a1]]=1,IF(AE$3=0,"",Tab.o1[[#This Row],[Wr2]]/SUM(Tab.o1[Wr2])),"")</f>
        <v>#VALUE!</v>
      </c>
      <c r="AE40" s="128">
        <f>IF(Tab.o1[[#This Row],[a1]]=1,[1]!T.in.A[[#This Row],[oo10]],"")</f>
        <v>0.9919173</v>
      </c>
      <c r="AF40" s="118" t="e">
        <f ca="1">IF(Tab.o1[[#This Row],[a1]]=1,ABS(Tab.o1[[#This Row],[DIF_Target.]]*Tab.o1[[#This Row],[PDF2]]*Tab.o1[[#This Row],[IN]]),"")</f>
        <v>#REF!</v>
      </c>
      <c r="AG40" s="129" t="e">
        <f ca="1">IF(Tab.o1[[#This Row],[a1]]=1,Tab.o1[[#This Row],[rW]]^2,"")</f>
        <v>#REF!</v>
      </c>
      <c r="AH40" s="130" t="e">
        <f ca="1">IF(Tab.o1[[#This Row],[a1]]=1,IF(AH$3=0,Tab.o1[[#This Row],[rW2]],0.01+0.94*Tab.o1[[#This Row],[rW2]]/SUM(Tab.o1[rW2])),"")</f>
        <v>#REF!</v>
      </c>
      <c r="AI40" s="128">
        <f ca="1">IF(Tab.o1[[#This Row],[a1]]=1,1/Tab.o1[[#This Row],[PDF]],"")</f>
        <v>5.007519131136025</v>
      </c>
      <c r="AJ40" s="131" t="e">
        <f>IF(Tab.o1[[#This Row],[a1]]=1,[1]!T_AA[[#This Row],[IN'']]*[1]!T_AA[[#This Row],[Qde'']],"")</f>
        <v>#REF!</v>
      </c>
      <c r="AK40" s="132" t="str">
        <f>IF(Tab.o1[[#This Row],[a1]]=1,IF(AK$1=1,Tab.o1[[#This Row],[MED]]+Tab.o1[[#This Row],[MOD]]-Tab.o1[[#This Row],[MED]],""),"")</f>
        <v/>
      </c>
      <c r="AL40" s="133">
        <f>IF(Tab.o1[[#This Row],[a1]]=1,[1]!T.in.A[[#This Row],[oo16]],"")</f>
        <v>2.3900229999999998</v>
      </c>
      <c r="AM40" s="133">
        <f>IF(Tab.o1[[#This Row],[a1]]=1,IF(AM$3=1,[1]!T.in.A[[#This Row],[Σo16]],""),"")</f>
        <v>4.6200111766455075E-2</v>
      </c>
      <c r="AN40" s="126" t="str">
        <f>IF(Tab.o1[[#This Row],[a1]]=1,[1]!T.in.A[[#This Row],[Σp5]],"")</f>
        <v/>
      </c>
      <c r="AO40" s="126" t="str">
        <f>IF(Tab.o1[[#This Row],[a1]]=1,IF(AO$3=1,[1]!T.in.A[[#This Row],[Σp5]],""),"")</f>
        <v/>
      </c>
      <c r="AP40" s="110">
        <f ca="1">IF(Tab.o1[[#This Row],[a1]]=1,IF(ISNUMBER(Tab.o1[[#This Row],[i.]]),NORMDIST(Tab.o1[[#This Row],[Za]],0,1,FALSE)*Tab.o1[[#This Row],[i.]],0),"")</f>
        <v>0.19969968637406607</v>
      </c>
      <c r="AQ40" s="125">
        <f>IF(Tab.o1[[#This Row],[a1]]=1,ABS(Tab.o1[[#This Row],[MOD]]-AVERAGE(Tab.o1[MOD])),"")</f>
        <v>4.081964062499992</v>
      </c>
      <c r="AR40" s="134">
        <f>IF(Tab.o1[[#This Row],[a1]]=1,Tab.o1[[#This Row],[OBS]]/SUM(Tab.o1[OBS]),"")</f>
        <v>4.2602485410385652E-2</v>
      </c>
      <c r="AS40" s="135">
        <f>IF(ISNUMBER(Tab.o1[[#This Row],[a1]]),ROW()-4,"")</f>
        <v>36</v>
      </c>
      <c r="AT40" s="136">
        <f>Tab.o1[[#This Row],[MOD]]</f>
        <v>835.27940000000001</v>
      </c>
      <c r="AU40" s="137">
        <f t="shared" si="1"/>
        <v>835.27940000000001</v>
      </c>
      <c r="AV40" s="138">
        <f t="shared" si="2"/>
        <v>0</v>
      </c>
      <c r="AW40" s="138" t="str">
        <f t="shared" si="3"/>
        <v/>
      </c>
      <c r="AX40" s="139" t="str">
        <f>[1]!T.in.A[[#This Row],[ID_T_manu]]</f>
        <v/>
      </c>
      <c r="AY40" s="140" t="e">
        <f>IF(ISNUMBER(Tab.o1[[#This Row],[a1]]),IF(AND(Tab.o1[[#This Row],[a1]]=1,Tab.o1[[#This Row],[b1]]&lt;=AY$4),#REF!,AY39),"")</f>
        <v>#REF!</v>
      </c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</row>
    <row r="41" spans="1:79" ht="15.75">
      <c r="A41" s="109">
        <v>-9.0000000000000002E-6</v>
      </c>
      <c r="B41" s="110">
        <f t="shared" si="0"/>
        <v>41</v>
      </c>
      <c r="C41" s="111">
        <f>IF(C$1=[1]!T.in.A[[#This Row],[oo2]],1,"")</f>
        <v>1</v>
      </c>
      <c r="D41" s="112">
        <f>IF(Tab.o1[[#This Row],[a1]]=1,IF(SUM(C41:C42)=0,0,IF(SUM(C40:C41)=1,1,IF(SUM(C40:C42)&gt;1,D40+1,0))),"")</f>
        <v>37</v>
      </c>
      <c r="E41" s="113" t="str">
        <f>IF(Tab.o1[[#This Row],[a1]]=1,[1]!T.in.A[[#This Row],[oo1]],"")</f>
        <v>hed37</v>
      </c>
      <c r="F41" s="113" t="str">
        <f>IF(Tab.o1[[#This Row],[a1]]=1,[1]!T.in.A[[#This Row],[pp1]],"")</f>
        <v/>
      </c>
      <c r="G41" s="114">
        <f>IF(Tab.o1[[#This Row],[a1]]=1,G$2+IF(G$1=1,0,Tab.o1[[#This Row],[.x1]])+[1]!T.in.A[[#This Row],[oo3]],"")</f>
        <v>836</v>
      </c>
      <c r="H41" s="115">
        <f>IF(Tab.o1[[#This Row],[a1]]=1,IF(H$2=0,0,IF(G$1=1,0,Tab.o1[[#This Row],[.x1]])+[1]!T.in.A[[#This Row],[oo4]]),"")</f>
        <v>835.38919999999996</v>
      </c>
      <c r="I41" s="116">
        <f>IF(Tab.o1[[#This Row],[a1]]=1,IF(J$2=0,Tab.o1[[#This Row],[MED]],Tab.o1[[#This Row],[MOD]]),"")</f>
        <v>836</v>
      </c>
      <c r="J41" s="116">
        <f ca="1">IF(Tab.o1[[#This Row],[a1]]=1,((Tab.o1[[#This Row],[DIF_Target.]]-AVERAGE(Tab.o1[DIF_Target.]))/_xlfn.STDEV.P(Tab.o1[DIF_Target.])),"")</f>
        <v>-1.0166298467997421</v>
      </c>
      <c r="K41" s="117">
        <f>IF(Tab.o1[[#This Row],[a1]]=1,IF(J$2=0,Tab.o1[[#This Row],[MOD]]-Tab.o1[[#This Row],[B]],IF(J$2=1,0,-Tab.o1[[#This Row],[MED]])+Tab.o1[[#This Row],[B]]),"")</f>
        <v>-0.6108000000000402</v>
      </c>
      <c r="L41" s="117">
        <f ca="1">IF(Tab.o1[[#This Row],[DIF_Target]]=0,IF(L$2=0,Tab.o1[[#This Row],[DIF_Target]],AVERAGE(OFFSET(Tab.o1[[#This Row],[DIF_Target]],1,0,L$3,1)))/3,Tab.o1[[#This Row],[DIF_Target]])</f>
        <v>-0.6108000000000402</v>
      </c>
      <c r="M41" s="118">
        <f ca="1">IF(Tab.o1[[#This Row],[a1]]=1,NORMSDIST(Tab.o1[[#This Row],[Za]]),"")</f>
        <v>0.15466477503593545</v>
      </c>
      <c r="N41" s="119">
        <f>IF(Tab.o1[[#This Row],[a1]]=1,((Tab.o1[[#This Row],[MedMod]]-AVERAGE(Tab.o1[MedMod]))/_xlfn.STDEV.P(Tab.o1[MedMod])*H$1205)+G$1205,"")</f>
        <v>-1.5295880156463735</v>
      </c>
      <c r="O41" s="141">
        <f>IF(Tab.o1[[#This Row],[a1]]=1,Tab.o1[[#This Row],[Zb]]*_xlfn.STDEV.P(Tab.o1[MedMod])+AVERAGE(Tab.o1[MedMod]),"")</f>
        <v>836</v>
      </c>
      <c r="P41" s="117">
        <f ca="1">IF(Tab.o1[[#This Row],[B]]=0,AVERAGE(OFFSET(Tab.o1[[#This Row],[B]],1,0,L$3,1)),Tab.o1[[#This Row],[B]])</f>
        <v>836</v>
      </c>
      <c r="Q41" s="121">
        <f>IF(Tab.o1[[#This Row],[a1]]=1,NORMSDIST(Tab.o1[[#This Row],[Zb]]),"")</f>
        <v>6.305936886864881E-2</v>
      </c>
      <c r="R41" s="122">
        <f>IF(Tab.o1[[#This Row],[a1]]=1,((Tab.o1[[#This Row],[MedMod]]-AVERAGE(Tab.o1[MedMod]))/_xlfn.STDEV.P(Tab.o1[MedMod])*H$1203)+G$1203,"")</f>
        <v>0.47041198435362652</v>
      </c>
      <c r="S41" s="122">
        <f>IF(Tab.o1[[#This Row],[a1]]=1,((Tab.o1[[#This Row],[MedMod]]-AVERAGE(Tab.o1[MedMod]))/_xlfn.STDEV.P(Tab.o1[MedMod])*H$1204)+G$1204,"")</f>
        <v>-3.5295880156463735</v>
      </c>
      <c r="T41" s="123">
        <f>IF(Tab.o1[[#This Row],[a1]]=1,Tab.o1[[#This Row],[Z-]]*_xlfn.STDEV.P(Tab.o1[B])+AVERAGE(Tab.o1[B]),"")</f>
        <v>839.4486410366984</v>
      </c>
      <c r="U41" s="123">
        <f>IF(Tab.o1[[#This Row],[a1]]=1,Tab.o1[[#This Row],[z+]]*_xlfn.STDEV.P(Tab.o1[B])+AVERAGE(Tab.o1[B]),"")</f>
        <v>832.5513589633016</v>
      </c>
      <c r="V41" s="124">
        <f>IF(Tab.o1[[#This Row],[a1]]=1,ABS((ABS(Tab.o1[[#This Row],[Red]]-Tab.o1[[#This Row],[Blue]]))),"")</f>
        <v>6.8972820733968092</v>
      </c>
      <c r="W41" s="125">
        <f>IF(Tab.o1[[#This Row],[a1]]=1,IF(W$3=0,1,Tab.o1[[#This Row],[Amp.]]*1/_xlfn.MINIFS(Tab.o1[Amp.],Tab.o1[Amp.],"&lt;&gt;0")),"")</f>
        <v>1</v>
      </c>
      <c r="X41" s="126">
        <f ca="1">IF(Tab.o1[[#This Row],[a1]]=1,IF(ISNUMBER(Tab.o1[[#This Row],[i.]]),NORMDIST(Tab.o1[[#This Row],[Za]],0,1,FALSE)*Tab.o1[[#This Row],[i.]],AP$3),"")</f>
        <v>0.23794715782517692</v>
      </c>
      <c r="Y41" s="126">
        <f ca="1">IF(Tab.o1[[#This Row],[a1]]=1,0.01+0.94*Tab.o1[[#This Row],[PDF]]/MAX(Tab.o1[PDF]),"")</f>
        <v>0.57179528726660755</v>
      </c>
      <c r="Z41" s="126">
        <f>IF(Tab.o1[[#This Row],[a1]]=1,0.01+0.94*Tab.o1[[#This Row],[W1_PDF]]/MAX(Tab.o1[W1_PDF]),"")</f>
        <v>0.95</v>
      </c>
      <c r="AA41" s="118">
        <f>IF(Tab.o1[[#This Row],[a1]]=1,ABS([1]!T.in.A[[#This Row],[oo6]]),"")</f>
        <v>7.1269669999999993E-2</v>
      </c>
      <c r="AB41" s="127">
        <f ca="1">IF(Tab.o1[[#This Row],[a1]]=1,IF(AE$3=0,"",IF(AB$3=0,ABS([1]!T.in.A[[#This Row],[oo9]]),ABS(Tab.o1[[#This Row],[DIF_Target.]]*Tab.o1[[#This Row],[W1_PDF]]))),"")</f>
        <v>4.3531514436002859E-2</v>
      </c>
      <c r="AC41" s="127" t="str">
        <f>IF(G$1=1,"",IF(Tab.o1[[#This Row],[a1]]=1,Tab.o1[[#This Row],[Wr]]^2,""))</f>
        <v/>
      </c>
      <c r="AD41" s="118" t="e">
        <f>IF(Tab.o1[[#This Row],[a1]]=1,IF(AE$3=0,"",Tab.o1[[#This Row],[Wr2]]/SUM(Tab.o1[Wr2])),"")</f>
        <v>#VALUE!</v>
      </c>
      <c r="AE41" s="128">
        <f>IF(Tab.o1[[#This Row],[a1]]=1,[1]!T.in.A[[#This Row],[oo10]],"")</f>
        <v>0.9919173</v>
      </c>
      <c r="AF41" s="118" t="e">
        <f ca="1">IF(Tab.o1[[#This Row],[a1]]=1,ABS(Tab.o1[[#This Row],[DIF_Target.]]*Tab.o1[[#This Row],[PDF2]]*Tab.o1[[#This Row],[IN]]),"")</f>
        <v>#REF!</v>
      </c>
      <c r="AG41" s="129" t="e">
        <f ca="1">IF(Tab.o1[[#This Row],[a1]]=1,Tab.o1[[#This Row],[rW]]^2,"")</f>
        <v>#REF!</v>
      </c>
      <c r="AH41" s="130" t="e">
        <f ca="1">IF(Tab.o1[[#This Row],[a1]]=1,IF(AH$3=0,Tab.o1[[#This Row],[rW2]],0.01+0.94*Tab.o1[[#This Row],[rW2]]/SUM(Tab.o1[rW2])),"")</f>
        <v>#REF!</v>
      </c>
      <c r="AI41" s="128">
        <f ca="1">IF(Tab.o1[[#This Row],[a1]]=1,1/Tab.o1[[#This Row],[PDF]],"")</f>
        <v>4.2026137615592534</v>
      </c>
      <c r="AJ41" s="131" t="e">
        <f>IF(Tab.o1[[#This Row],[a1]]=1,[1]!T_AA[[#This Row],[IN'']]*[1]!T_AA[[#This Row],[Qde'']],"")</f>
        <v>#REF!</v>
      </c>
      <c r="AK41" s="132" t="str">
        <f>IF(Tab.o1[[#This Row],[a1]]=1,IF(AK$1=1,Tab.o1[[#This Row],[MED]]+Tab.o1[[#This Row],[MOD]]-Tab.o1[[#This Row],[MED]],""),"")</f>
        <v/>
      </c>
      <c r="AL41" s="133">
        <f>IF(Tab.o1[[#This Row],[a1]]=1,[1]!T.in.A[[#This Row],[oo16]],"")</f>
        <v>2.2337989999999999</v>
      </c>
      <c r="AM41" s="133">
        <f>IF(Tab.o1[[#This Row],[a1]]=1,IF(AM$3=1,[1]!T.in.A[[#This Row],[Σo16]],""),"")</f>
        <v>4.3180238626906758E-2</v>
      </c>
      <c r="AN41" s="126" t="str">
        <f>IF(Tab.o1[[#This Row],[a1]]=1,[1]!T.in.A[[#This Row],[Σp5]],"")</f>
        <v/>
      </c>
      <c r="AO41" s="126" t="str">
        <f>IF(Tab.o1[[#This Row],[a1]]=1,IF(AO$3=1,[1]!T.in.A[[#This Row],[Σp5]],""),"")</f>
        <v/>
      </c>
      <c r="AP41" s="110">
        <f ca="1">IF(Tab.o1[[#This Row],[a1]]=1,IF(ISNUMBER(Tab.o1[[#This Row],[i.]]),NORMDIST(Tab.o1[[#This Row],[Za]],0,1,FALSE)*Tab.o1[[#This Row],[i.]],0),"")</f>
        <v>0.23794715782517692</v>
      </c>
      <c r="AQ41" s="125">
        <f>IF(Tab.o1[[#This Row],[a1]]=1,ABS(Tab.o1[[#This Row],[MOD]]-AVERAGE(Tab.o1[MOD])),"")</f>
        <v>3.9721640625000418</v>
      </c>
      <c r="AR41" s="134">
        <f>IF(Tab.o1[[#This Row],[a1]]=1,Tab.o1[[#This Row],[OBS]]/SUM(Tab.o1[OBS]),"")</f>
        <v>4.1456528996650512E-2</v>
      </c>
      <c r="AS41" s="135">
        <f>IF(ISNUMBER(Tab.o1[[#This Row],[a1]]),ROW()-4,"")</f>
        <v>37</v>
      </c>
      <c r="AT41" s="136">
        <f>Tab.o1[[#This Row],[MOD]]</f>
        <v>835.38919999999996</v>
      </c>
      <c r="AU41" s="137">
        <f t="shared" si="1"/>
        <v>835.38919999999996</v>
      </c>
      <c r="AV41" s="138">
        <f t="shared" si="2"/>
        <v>0</v>
      </c>
      <c r="AW41" s="138" t="str">
        <f t="shared" si="3"/>
        <v/>
      </c>
      <c r="AX41" s="139" t="str">
        <f>[1]!T.in.A[[#This Row],[ID_T_manu]]</f>
        <v/>
      </c>
      <c r="AY41" s="140" t="e">
        <f>IF(ISNUMBER(Tab.o1[[#This Row],[a1]]),IF(AND(Tab.o1[[#This Row],[a1]]=1,Tab.o1[[#This Row],[b1]]&lt;=AY$4),#REF!,AY40),"")</f>
        <v>#REF!</v>
      </c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</row>
    <row r="42" spans="1:79" ht="15.75">
      <c r="A42" s="109">
        <v>2.0000000000000003E-6</v>
      </c>
      <c r="B42" s="110">
        <f t="shared" si="0"/>
        <v>42</v>
      </c>
      <c r="C42" s="111">
        <f>IF(C$1=[1]!T.in.A[[#This Row],[oo2]],1,"")</f>
        <v>1</v>
      </c>
      <c r="D42" s="112">
        <f>IF(Tab.o1[[#This Row],[a1]]=1,IF(SUM(C42:C43)=0,0,IF(SUM(C41:C42)=1,1,IF(SUM(C41:C43)&gt;1,D41+1,0))),"")</f>
        <v>38</v>
      </c>
      <c r="E42" s="113" t="str">
        <f>IF(Tab.o1[[#This Row],[a1]]=1,[1]!T.in.A[[#This Row],[oo1]],"")</f>
        <v>hed38</v>
      </c>
      <c r="F42" s="113" t="str">
        <f>IF(Tab.o1[[#This Row],[a1]]=1,[1]!T.in.A[[#This Row],[pp1]],"")</f>
        <v/>
      </c>
      <c r="G42" s="114">
        <f>IF(Tab.o1[[#This Row],[a1]]=1,G$2+IF(G$1=1,0,Tab.o1[[#This Row],[.x1]])+[1]!T.in.A[[#This Row],[oo3]],"")</f>
        <v>836.1</v>
      </c>
      <c r="H42" s="115">
        <f>IF(Tab.o1[[#This Row],[a1]]=1,IF(H$2=0,0,IF(G$1=1,0,Tab.o1[[#This Row],[.x1]])+[1]!T.in.A[[#This Row],[oo4]]),"")</f>
        <v>835.43209999999999</v>
      </c>
      <c r="I42" s="116">
        <f>IF(Tab.o1[[#This Row],[a1]]=1,IF(J$2=0,Tab.o1[[#This Row],[MED]],Tab.o1[[#This Row],[MOD]]),"")</f>
        <v>836.1</v>
      </c>
      <c r="J42" s="116">
        <f ca="1">IF(Tab.o1[[#This Row],[a1]]=1,((Tab.o1[[#This Row],[DIF_Target.]]-AVERAGE(Tab.o1[DIF_Target.]))/_xlfn.STDEV.P(Tab.o1[DIF_Target.])),"")</f>
        <v>-1.0601236111733181</v>
      </c>
      <c r="K42" s="117">
        <f>IF(Tab.o1[[#This Row],[a1]]=1,IF(J$2=0,Tab.o1[[#This Row],[MOD]]-Tab.o1[[#This Row],[B]],IF(J$2=1,0,-Tab.o1[[#This Row],[MED]])+Tab.o1[[#This Row],[B]]),"")</f>
        <v>-0.66790000000003147</v>
      </c>
      <c r="L42" s="117">
        <f ca="1">IF(Tab.o1[[#This Row],[DIF_Target]]=0,IF(L$2=0,Tab.o1[[#This Row],[DIF_Target]],AVERAGE(OFFSET(Tab.o1[[#This Row],[DIF_Target]],1,0,L$3,1)))/3,Tab.o1[[#This Row],[DIF_Target]])</f>
        <v>-0.66790000000003147</v>
      </c>
      <c r="M42" s="118">
        <f ca="1">IF(Tab.o1[[#This Row],[a1]]=1,NORMSDIST(Tab.o1[[#This Row],[Za]]),"")</f>
        <v>0.144544183717845</v>
      </c>
      <c r="N42" s="119">
        <f>IF(Tab.o1[[#This Row],[a1]]=1,((Tab.o1[[#This Row],[MedMod]]-AVERAGE(Tab.o1[MedMod]))/_xlfn.STDEV.P(Tab.o1[MedMod])*H$1205)+G$1205,"")</f>
        <v>-1.4715941572332287</v>
      </c>
      <c r="O42" s="141">
        <f>IF(Tab.o1[[#This Row],[a1]]=1,Tab.o1[[#This Row],[Zb]]*_xlfn.STDEV.P(Tab.o1[MedMod])+AVERAGE(Tab.o1[MedMod]),"")</f>
        <v>836.1</v>
      </c>
      <c r="P42" s="117">
        <f ca="1">IF(Tab.o1[[#This Row],[B]]=0,AVERAGE(OFFSET(Tab.o1[[#This Row],[B]],1,0,L$3,1)),Tab.o1[[#This Row],[B]])</f>
        <v>836.1</v>
      </c>
      <c r="Q42" s="121">
        <f>IF(Tab.o1[[#This Row],[a1]]=1,NORMSDIST(Tab.o1[[#This Row],[Zb]]),"")</f>
        <v>7.0565252148206165E-2</v>
      </c>
      <c r="R42" s="122">
        <f>IF(Tab.o1[[#This Row],[a1]]=1,((Tab.o1[[#This Row],[MedMod]]-AVERAGE(Tab.o1[MedMod]))/_xlfn.STDEV.P(Tab.o1[MedMod])*H$1203)+G$1203,"")</f>
        <v>0.52840584276677127</v>
      </c>
      <c r="S42" s="122">
        <f>IF(Tab.o1[[#This Row],[a1]]=1,((Tab.o1[[#This Row],[MedMod]]-AVERAGE(Tab.o1[MedMod]))/_xlfn.STDEV.P(Tab.o1[MedMod])*H$1204)+G$1204,"")</f>
        <v>-3.4715941572332287</v>
      </c>
      <c r="T42" s="123">
        <f>IF(Tab.o1[[#This Row],[a1]]=1,Tab.o1[[#This Row],[Z-]]*_xlfn.STDEV.P(Tab.o1[B])+AVERAGE(Tab.o1[B]),"")</f>
        <v>839.54864103669843</v>
      </c>
      <c r="U42" s="123">
        <f>IF(Tab.o1[[#This Row],[a1]]=1,Tab.o1[[#This Row],[z+]]*_xlfn.STDEV.P(Tab.o1[B])+AVERAGE(Tab.o1[B]),"")</f>
        <v>832.65135896330162</v>
      </c>
      <c r="V42" s="124">
        <f>IF(Tab.o1[[#This Row],[a1]]=1,ABS((ABS(Tab.o1[[#This Row],[Red]]-Tab.o1[[#This Row],[Blue]]))),"")</f>
        <v>6.8972820733968092</v>
      </c>
      <c r="W42" s="125">
        <f>IF(Tab.o1[[#This Row],[a1]]=1,IF(W$3=0,1,Tab.o1[[#This Row],[Amp.]]*1/_xlfn.MINIFS(Tab.o1[Amp.],Tab.o1[Amp.],"&lt;&gt;0")),"")</f>
        <v>1</v>
      </c>
      <c r="X42" s="126">
        <f ca="1">IF(Tab.o1[[#This Row],[a1]]=1,IF(ISNUMBER(Tab.o1[[#This Row],[i.]]),NORMDIST(Tab.o1[[#This Row],[Za]],0,1,FALSE)*Tab.o1[[#This Row],[i.]],AP$3),"")</f>
        <v>0.22743982781687289</v>
      </c>
      <c r="Y42" s="126">
        <f ca="1">IF(Tab.o1[[#This Row],[a1]]=1,0.01+0.94*Tab.o1[[#This Row],[PDF]]/MAX(Tab.o1[PDF]),"")</f>
        <v>0.54698739069674307</v>
      </c>
      <c r="Z42" s="126">
        <f>IF(Tab.o1[[#This Row],[a1]]=1,0.01+0.94*Tab.o1[[#This Row],[W1_PDF]]/MAX(Tab.o1[W1_PDF]),"")</f>
        <v>0.95</v>
      </c>
      <c r="AA42" s="118">
        <f>IF(Tab.o1[[#This Row],[a1]]=1,ABS([1]!T.in.A[[#This Row],[oo6]]),"")</f>
        <v>7.1269669999999993E-2</v>
      </c>
      <c r="AB42" s="127">
        <f ca="1">IF(Tab.o1[[#This Row],[a1]]=1,IF(AE$3=0,"",IF(AB$3=0,ABS([1]!T.in.A[[#This Row],[oo9]]),ABS(Tab.o1[[#This Row],[DIF_Target.]]*Tab.o1[[#This Row],[W1_PDF]]))),"")</f>
        <v>4.7601012593002236E-2</v>
      </c>
      <c r="AC42" s="127" t="str">
        <f>IF(G$1=1,"",IF(Tab.o1[[#This Row],[a1]]=1,Tab.o1[[#This Row],[Wr]]^2,""))</f>
        <v/>
      </c>
      <c r="AD42" s="118" t="e">
        <f>IF(Tab.o1[[#This Row],[a1]]=1,IF(AE$3=0,"",Tab.o1[[#This Row],[Wr2]]/SUM(Tab.o1[Wr2])),"")</f>
        <v>#VALUE!</v>
      </c>
      <c r="AE42" s="128">
        <f>IF(Tab.o1[[#This Row],[a1]]=1,[1]!T.in.A[[#This Row],[oo10]],"")</f>
        <v>0.9919173</v>
      </c>
      <c r="AF42" s="118" t="e">
        <f ca="1">IF(Tab.o1[[#This Row],[a1]]=1,ABS(Tab.o1[[#This Row],[DIF_Target.]]*Tab.o1[[#This Row],[PDF2]]*Tab.o1[[#This Row],[IN]]),"")</f>
        <v>#REF!</v>
      </c>
      <c r="AG42" s="129" t="e">
        <f ca="1">IF(Tab.o1[[#This Row],[a1]]=1,Tab.o1[[#This Row],[rW]]^2,"")</f>
        <v>#REF!</v>
      </c>
      <c r="AH42" s="130" t="e">
        <f ca="1">IF(Tab.o1[[#This Row],[a1]]=1,IF(AH$3=0,Tab.o1[[#This Row],[rW2]],0.01+0.94*Tab.o1[[#This Row],[rW2]]/SUM(Tab.o1[rW2])),"")</f>
        <v>#REF!</v>
      </c>
      <c r="AI42" s="128">
        <f ca="1">IF(Tab.o1[[#This Row],[a1]]=1,1/Tab.o1[[#This Row],[PDF]],"")</f>
        <v>4.396767310275874</v>
      </c>
      <c r="AJ42" s="131" t="e">
        <f>IF(Tab.o1[[#This Row],[a1]]=1,[1]!T_AA[[#This Row],[IN'']]*[1]!T_AA[[#This Row],[Qde'']],"")</f>
        <v>#REF!</v>
      </c>
      <c r="AK42" s="132" t="str">
        <f>IF(Tab.o1[[#This Row],[a1]]=1,IF(AK$1=1,Tab.o1[[#This Row],[MED]]+Tab.o1[[#This Row],[MOD]]-Tab.o1[[#This Row],[MED]],""),"")</f>
        <v/>
      </c>
      <c r="AL42" s="133">
        <f>IF(Tab.o1[[#This Row],[a1]]=1,[1]!T.in.A[[#This Row],[oo16]],"")</f>
        <v>2.1743589999999999</v>
      </c>
      <c r="AM42" s="133">
        <f>IF(Tab.o1[[#This Row],[a1]]=1,IF(AM$3=1,[1]!T.in.A[[#This Row],[Σo16]],""),"")</f>
        <v>4.2031239373176529E-2</v>
      </c>
      <c r="AN42" s="126" t="str">
        <f>IF(Tab.o1[[#This Row],[a1]]=1,[1]!T.in.A[[#This Row],[Σp5]],"")</f>
        <v/>
      </c>
      <c r="AO42" s="126" t="str">
        <f>IF(Tab.o1[[#This Row],[a1]]=1,IF(AO$3=1,[1]!T.in.A[[#This Row],[Σp5]],""),"")</f>
        <v/>
      </c>
      <c r="AP42" s="110">
        <f ca="1">IF(Tab.o1[[#This Row],[a1]]=1,IF(ISNUMBER(Tab.o1[[#This Row],[i.]]),NORMDIST(Tab.o1[[#This Row],[Za]],0,1,FALSE)*Tab.o1[[#This Row],[i.]],0),"")</f>
        <v>0.22743982781687289</v>
      </c>
      <c r="AQ42" s="125">
        <f>IF(Tab.o1[[#This Row],[a1]]=1,ABS(Tab.o1[[#This Row],[MOD]]-AVERAGE(Tab.o1[MOD])),"")</f>
        <v>3.9292640625000104</v>
      </c>
      <c r="AR42" s="134">
        <f>IF(Tab.o1[[#This Row],[a1]]=1,Tab.o1[[#This Row],[OBS]]/SUM(Tab.o1[OBS]),"")</f>
        <v>4.1008791927895541E-2</v>
      </c>
      <c r="AS42" s="135">
        <f>IF(ISNUMBER(Tab.o1[[#This Row],[a1]]),ROW()-4,"")</f>
        <v>38</v>
      </c>
      <c r="AT42" s="136">
        <f>Tab.o1[[#This Row],[MOD]]</f>
        <v>835.43209999999999</v>
      </c>
      <c r="AU42" s="137">
        <f t="shared" si="1"/>
        <v>835.43209999999999</v>
      </c>
      <c r="AV42" s="138">
        <f t="shared" si="2"/>
        <v>0</v>
      </c>
      <c r="AW42" s="138" t="str">
        <f t="shared" si="3"/>
        <v/>
      </c>
      <c r="AX42" s="139" t="str">
        <f>[1]!T.in.A[[#This Row],[ID_T_manu]]</f>
        <v/>
      </c>
      <c r="AY42" s="140" t="e">
        <f>IF(ISNUMBER(Tab.o1[[#This Row],[a1]]),IF(AND(Tab.o1[[#This Row],[a1]]=1,Tab.o1[[#This Row],[b1]]&lt;=AY$4),#REF!,AY41),"")</f>
        <v>#REF!</v>
      </c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</row>
    <row r="43" spans="1:79" ht="15.75">
      <c r="A43" s="109">
        <v>-2.0000000000000003E-6</v>
      </c>
      <c r="B43" s="110">
        <f t="shared" si="0"/>
        <v>43</v>
      </c>
      <c r="C43" s="111">
        <f>IF(C$1=[1]!T.in.A[[#This Row],[oo2]],1,"")</f>
        <v>1</v>
      </c>
      <c r="D43" s="112">
        <f>IF(Tab.o1[[#This Row],[a1]]=1,IF(SUM(C43:C44)=0,0,IF(SUM(C42:C43)=1,1,IF(SUM(C42:C44)&gt;1,D42+1,0))),"")</f>
        <v>39</v>
      </c>
      <c r="E43" s="113" t="str">
        <f>IF(Tab.o1[[#This Row],[a1]]=1,[1]!T.in.A[[#This Row],[oo1]],"")</f>
        <v>hed39</v>
      </c>
      <c r="F43" s="113" t="str">
        <f>IF(Tab.o1[[#This Row],[a1]]=1,[1]!T.in.A[[#This Row],[pp1]],"")</f>
        <v/>
      </c>
      <c r="G43" s="114">
        <f>IF(Tab.o1[[#This Row],[a1]]=1,G$2+IF(G$1=1,0,Tab.o1[[#This Row],[.x1]])+[1]!T.in.A[[#This Row],[oo3]],"")</f>
        <v>836.2</v>
      </c>
      <c r="H43" s="115">
        <f>IF(Tab.o1[[#This Row],[a1]]=1,IF(H$2=0,0,IF(G$1=1,0,Tab.o1[[#This Row],[.x1]])+[1]!T.in.A[[#This Row],[oo4]]),"")</f>
        <v>835.47519999999997</v>
      </c>
      <c r="I43" s="116">
        <f>IF(Tab.o1[[#This Row],[a1]]=1,IF(J$2=0,Tab.o1[[#This Row],[MED]],Tab.o1[[#This Row],[MOD]]),"")</f>
        <v>836.2</v>
      </c>
      <c r="J43" s="116">
        <f ca="1">IF(Tab.o1[[#This Row],[a1]]=1,((Tab.o1[[#This Row],[DIF_Target.]]-AVERAGE(Tab.o1[DIF_Target.]))/_xlfn.STDEV.P(Tab.o1[DIF_Target.])),"")</f>
        <v>-1.1034650331148006</v>
      </c>
      <c r="K43" s="117">
        <f>IF(Tab.o1[[#This Row],[a1]]=1,IF(J$2=0,Tab.o1[[#This Row],[MOD]]-Tab.o1[[#This Row],[B]],IF(J$2=1,0,-Tab.o1[[#This Row],[MED]])+Tab.o1[[#This Row],[B]]),"")</f>
        <v>-0.72480000000007294</v>
      </c>
      <c r="L43" s="117">
        <f ca="1">IF(Tab.o1[[#This Row],[DIF_Target]]=0,IF(L$2=0,Tab.o1[[#This Row],[DIF_Target]],AVERAGE(OFFSET(Tab.o1[[#This Row],[DIF_Target]],1,0,L$3,1)))/3,Tab.o1[[#This Row],[DIF_Target]])</f>
        <v>-0.72480000000007294</v>
      </c>
      <c r="M43" s="118">
        <f ca="1">IF(Tab.o1[[#This Row],[a1]]=1,NORMSDIST(Tab.o1[[#This Row],[Za]]),"")</f>
        <v>0.13491263421678229</v>
      </c>
      <c r="N43" s="119">
        <f>IF(Tab.o1[[#This Row],[a1]]=1,((Tab.o1[[#This Row],[MedMod]]-AVERAGE(Tab.o1[MedMod]))/_xlfn.STDEV.P(Tab.o1[MedMod])*H$1205)+G$1205,"")</f>
        <v>-1.4136002988200838</v>
      </c>
      <c r="O43" s="141">
        <f>IF(Tab.o1[[#This Row],[a1]]=1,Tab.o1[[#This Row],[Zb]]*_xlfn.STDEV.P(Tab.o1[MedMod])+AVERAGE(Tab.o1[MedMod]),"")</f>
        <v>836.2</v>
      </c>
      <c r="P43" s="117">
        <f ca="1">IF(Tab.o1[[#This Row],[B]]=0,AVERAGE(OFFSET(Tab.o1[[#This Row],[B]],1,0,L$3,1)),Tab.o1[[#This Row],[B]])</f>
        <v>836.2</v>
      </c>
      <c r="Q43" s="121">
        <f>IF(Tab.o1[[#This Row],[a1]]=1,NORMSDIST(Tab.o1[[#This Row],[Zb]]),"")</f>
        <v>7.873964675272177E-2</v>
      </c>
      <c r="R43" s="122">
        <f>IF(Tab.o1[[#This Row],[a1]]=1,((Tab.o1[[#This Row],[MedMod]]-AVERAGE(Tab.o1[MedMod]))/_xlfn.STDEV.P(Tab.o1[MedMod])*H$1203)+G$1203,"")</f>
        <v>0.58639970117991624</v>
      </c>
      <c r="S43" s="122">
        <f>IF(Tab.o1[[#This Row],[a1]]=1,((Tab.o1[[#This Row],[MedMod]]-AVERAGE(Tab.o1[MedMod]))/_xlfn.STDEV.P(Tab.o1[MedMod])*H$1204)+G$1204,"")</f>
        <v>-3.413600298820084</v>
      </c>
      <c r="T43" s="123">
        <f>IF(Tab.o1[[#This Row],[a1]]=1,Tab.o1[[#This Row],[Z-]]*_xlfn.STDEV.P(Tab.o1[B])+AVERAGE(Tab.o1[B]),"")</f>
        <v>839.64864103669845</v>
      </c>
      <c r="U43" s="123">
        <f>IF(Tab.o1[[#This Row],[a1]]=1,Tab.o1[[#This Row],[z+]]*_xlfn.STDEV.P(Tab.o1[B])+AVERAGE(Tab.o1[B]),"")</f>
        <v>832.75135896330164</v>
      </c>
      <c r="V43" s="124">
        <f>IF(Tab.o1[[#This Row],[a1]]=1,ABS((ABS(Tab.o1[[#This Row],[Red]]-Tab.o1[[#This Row],[Blue]]))),"")</f>
        <v>6.8972820733968092</v>
      </c>
      <c r="W43" s="125">
        <f>IF(Tab.o1[[#This Row],[a1]]=1,IF(W$3=0,1,Tab.o1[[#This Row],[Amp.]]*1/_xlfn.MINIFS(Tab.o1[Amp.],Tab.o1[Amp.],"&lt;&gt;0")),"")</f>
        <v>1</v>
      </c>
      <c r="X43" s="126">
        <f ca="1">IF(Tab.o1[[#This Row],[a1]]=1,IF(ISNUMBER(Tab.o1[[#This Row],[i.]]),NORMDIST(Tab.o1[[#This Row],[Za]],0,1,FALSE)*Tab.o1[[#This Row],[i.]],AP$3),"")</f>
        <v>0.21702210313622697</v>
      </c>
      <c r="Y43" s="126">
        <f ca="1">IF(Tab.o1[[#This Row],[a1]]=1,0.01+0.94*Tab.o1[[#This Row],[PDF]]/MAX(Tab.o1[PDF]),"")</f>
        <v>0.52239105307657308</v>
      </c>
      <c r="Z43" s="126">
        <f>IF(Tab.o1[[#This Row],[a1]]=1,0.01+0.94*Tab.o1[[#This Row],[W1_PDF]]/MAX(Tab.o1[W1_PDF]),"")</f>
        <v>0.95</v>
      </c>
      <c r="AA43" s="118">
        <f>IF(Tab.o1[[#This Row],[a1]]=1,ABS([1]!T.in.A[[#This Row],[oo6]]),"")</f>
        <v>7.1269669999999993E-2</v>
      </c>
      <c r="AB43" s="127">
        <f ca="1">IF(Tab.o1[[#This Row],[a1]]=1,IF(AE$3=0,"",IF(AB$3=0,ABS([1]!T.in.A[[#This Row],[oo9]]),ABS(Tab.o1[[#This Row],[DIF_Target.]]*Tab.o1[[#This Row],[W1_PDF]]))),"")</f>
        <v>5.1656256816005192E-2</v>
      </c>
      <c r="AC43" s="127" t="str">
        <f>IF(G$1=1,"",IF(Tab.o1[[#This Row],[a1]]=1,Tab.o1[[#This Row],[Wr]]^2,""))</f>
        <v/>
      </c>
      <c r="AD43" s="118" t="e">
        <f>IF(Tab.o1[[#This Row],[a1]]=1,IF(AE$3=0,"",Tab.o1[[#This Row],[Wr2]]/SUM(Tab.o1[Wr2])),"")</f>
        <v>#VALUE!</v>
      </c>
      <c r="AE43" s="128">
        <f>IF(Tab.o1[[#This Row],[a1]]=1,[1]!T.in.A[[#This Row],[oo10]],"")</f>
        <v>0.9919173</v>
      </c>
      <c r="AF43" s="118" t="e">
        <f ca="1">IF(Tab.o1[[#This Row],[a1]]=1,ABS(Tab.o1[[#This Row],[DIF_Target.]]*Tab.o1[[#This Row],[PDF2]]*Tab.o1[[#This Row],[IN]]),"")</f>
        <v>#REF!</v>
      </c>
      <c r="AG43" s="129" t="e">
        <f ca="1">IF(Tab.o1[[#This Row],[a1]]=1,Tab.o1[[#This Row],[rW]]^2,"")</f>
        <v>#REF!</v>
      </c>
      <c r="AH43" s="130" t="e">
        <f ca="1">IF(Tab.o1[[#This Row],[a1]]=1,IF(AH$3=0,Tab.o1[[#This Row],[rW2]],0.01+0.94*Tab.o1[[#This Row],[rW2]]/SUM(Tab.o1[rW2])),"")</f>
        <v>#REF!</v>
      </c>
      <c r="AI43" s="128">
        <f ca="1">IF(Tab.o1[[#This Row],[a1]]=1,1/Tab.o1[[#This Row],[PDF]],"")</f>
        <v>4.6078255880337213</v>
      </c>
      <c r="AJ43" s="131" t="e">
        <f>IF(Tab.o1[[#This Row],[a1]]=1,[1]!T_AA[[#This Row],[IN'']]*[1]!T_AA[[#This Row],[Qde'']],"")</f>
        <v>#REF!</v>
      </c>
      <c r="AK43" s="132" t="str">
        <f>IF(Tab.o1[[#This Row],[a1]]=1,IF(AK$1=1,Tab.o1[[#This Row],[MED]]+Tab.o1[[#This Row],[MOD]]-Tab.o1[[#This Row],[MED]],""),"")</f>
        <v/>
      </c>
      <c r="AL43" s="133">
        <f>IF(Tab.o1[[#This Row],[a1]]=1,[1]!T.in.A[[#This Row],[oo16]],"")</f>
        <v>2.1159780000000001</v>
      </c>
      <c r="AM43" s="133">
        <f>IF(Tab.o1[[#This Row],[a1]]=1,IF(AM$3=1,[1]!T.in.A[[#This Row],[Σo16]],""),"")</f>
        <v>4.0902711017994427E-2</v>
      </c>
      <c r="AN43" s="126" t="str">
        <f>IF(Tab.o1[[#This Row],[a1]]=1,[1]!T.in.A[[#This Row],[Σp5]],"")</f>
        <v/>
      </c>
      <c r="AO43" s="126" t="str">
        <f>IF(Tab.o1[[#This Row],[a1]]=1,IF(AO$3=1,[1]!T.in.A[[#This Row],[Σp5]],""),"")</f>
        <v/>
      </c>
      <c r="AP43" s="110">
        <f ca="1">IF(Tab.o1[[#This Row],[a1]]=1,IF(ISNUMBER(Tab.o1[[#This Row],[i.]]),NORMDIST(Tab.o1[[#This Row],[Za]],0,1,FALSE)*Tab.o1[[#This Row],[i.]],0),"")</f>
        <v>0.21702210313622697</v>
      </c>
      <c r="AQ43" s="125">
        <f>IF(Tab.o1[[#This Row],[a1]]=1,ABS(Tab.o1[[#This Row],[MOD]]-AVERAGE(Tab.o1[MOD])),"")</f>
        <v>3.8861640625000291</v>
      </c>
      <c r="AR43" s="134">
        <f>IF(Tab.o1[[#This Row],[a1]]=1,Tab.o1[[#This Row],[OBS]]/SUM(Tab.o1[OBS]),"")</f>
        <v>4.0558967506839204E-2</v>
      </c>
      <c r="AS43" s="135">
        <f>IF(ISNUMBER(Tab.o1[[#This Row],[a1]]),ROW()-4,"")</f>
        <v>39</v>
      </c>
      <c r="AT43" s="136">
        <f>Tab.o1[[#This Row],[MOD]]</f>
        <v>835.47519999999997</v>
      </c>
      <c r="AU43" s="137">
        <f t="shared" si="1"/>
        <v>835.47519999999997</v>
      </c>
      <c r="AV43" s="138">
        <f t="shared" si="2"/>
        <v>0</v>
      </c>
      <c r="AW43" s="138" t="str">
        <f t="shared" si="3"/>
        <v/>
      </c>
      <c r="AX43" s="139" t="str">
        <f>[1]!T.in.A[[#This Row],[ID_T_manu]]</f>
        <v/>
      </c>
      <c r="AY43" s="140" t="e">
        <f>IF(ISNUMBER(Tab.o1[[#This Row],[a1]]),IF(AND(Tab.o1[[#This Row],[a1]]=1,Tab.o1[[#This Row],[b1]]&lt;=AY$4),#REF!,AY42),"")</f>
        <v>#REF!</v>
      </c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</row>
    <row r="44" spans="1:79" ht="15.75">
      <c r="A44" s="109">
        <v>-6.9999999999999999E-6</v>
      </c>
      <c r="B44" s="110">
        <f t="shared" si="0"/>
        <v>44</v>
      </c>
      <c r="C44" s="111">
        <f>IF(C$1=[1]!T.in.A[[#This Row],[oo2]],1,"")</f>
        <v>1</v>
      </c>
      <c r="D44" s="112">
        <f>IF(Tab.o1[[#This Row],[a1]]=1,IF(SUM(C44:C45)=0,0,IF(SUM(C43:C44)=1,1,IF(SUM(C43:C45)&gt;1,D43+1,0))),"")</f>
        <v>40</v>
      </c>
      <c r="E44" s="113" t="str">
        <f>IF(Tab.o1[[#This Row],[a1]]=1,[1]!T.in.A[[#This Row],[oo1]],"")</f>
        <v>hed40</v>
      </c>
      <c r="F44" s="113" t="str">
        <f>IF(Tab.o1[[#This Row],[a1]]=1,[1]!T.in.A[[#This Row],[pp1]],"")</f>
        <v/>
      </c>
      <c r="G44" s="114">
        <f>IF(Tab.o1[[#This Row],[a1]]=1,G$2+IF(G$1=1,0,Tab.o1[[#This Row],[.x1]])+[1]!T.in.A[[#This Row],[oo3]],"")</f>
        <v>836.4</v>
      </c>
      <c r="H44" s="115">
        <f>IF(Tab.o1[[#This Row],[a1]]=1,IF(H$2=0,0,IF(G$1=1,0,Tab.o1[[#This Row],[.x1]])+[1]!T.in.A[[#This Row],[oo4]]),"")</f>
        <v>835.56129999999996</v>
      </c>
      <c r="I44" s="116">
        <f>IF(Tab.o1[[#This Row],[a1]]=1,IF(J$2=0,Tab.o1[[#This Row],[MED]],Tab.o1[[#This Row],[MOD]]),"")</f>
        <v>836.4</v>
      </c>
      <c r="J44" s="116">
        <f ca="1">IF(Tab.o1[[#This Row],[a1]]=1,((Tab.o1[[#This Row],[DIF_Target.]]-AVERAGE(Tab.o1[DIF_Target.]))/_xlfn.STDEV.P(Tab.o1[DIF_Target.])),"")</f>
        <v>-1.1902240482137258</v>
      </c>
      <c r="K44" s="117">
        <f>IF(Tab.o1[[#This Row],[a1]]=1,IF(J$2=0,Tab.o1[[#This Row],[MOD]]-Tab.o1[[#This Row],[B]],IF(J$2=1,0,-Tab.o1[[#This Row],[MED]])+Tab.o1[[#This Row],[B]]),"")</f>
        <v>-0.8387000000000171</v>
      </c>
      <c r="L44" s="117">
        <f ca="1">IF(Tab.o1[[#This Row],[DIF_Target]]=0,IF(L$2=0,Tab.o1[[#This Row],[DIF_Target]],AVERAGE(OFFSET(Tab.o1[[#This Row],[DIF_Target]],1,0,L$3,1)))/3,Tab.o1[[#This Row],[DIF_Target]])</f>
        <v>-0.8387000000000171</v>
      </c>
      <c r="M44" s="118">
        <f ca="1">IF(Tab.o1[[#This Row],[a1]]=1,NORMSDIST(Tab.o1[[#This Row],[Za]]),"")</f>
        <v>0.1169791718258152</v>
      </c>
      <c r="N44" s="119">
        <f>IF(Tab.o1[[#This Row],[a1]]=1,((Tab.o1[[#This Row],[MedMod]]-AVERAGE(Tab.o1[MedMod]))/_xlfn.STDEV.P(Tab.o1[MedMod])*H$1205)+G$1205,"")</f>
        <v>-1.2976125819938602</v>
      </c>
      <c r="O44" s="141">
        <f>IF(Tab.o1[[#This Row],[a1]]=1,Tab.o1[[#This Row],[Zb]]*_xlfn.STDEV.P(Tab.o1[MedMod])+AVERAGE(Tab.o1[MedMod]),"")</f>
        <v>836.4</v>
      </c>
      <c r="P44" s="117">
        <f ca="1">IF(Tab.o1[[#This Row],[B]]=0,AVERAGE(OFFSET(Tab.o1[[#This Row],[B]],1,0,L$3,1)),Tab.o1[[#This Row],[B]])</f>
        <v>836.4</v>
      </c>
      <c r="Q44" s="121">
        <f>IF(Tab.o1[[#This Row],[a1]]=1,NORMSDIST(Tab.o1[[#This Row],[Zb]]),"")</f>
        <v>9.7210248210156766E-2</v>
      </c>
      <c r="R44" s="122">
        <f>IF(Tab.o1[[#This Row],[a1]]=1,((Tab.o1[[#This Row],[MedMod]]-AVERAGE(Tab.o1[MedMod]))/_xlfn.STDEV.P(Tab.o1[MedMod])*H$1203)+G$1203,"")</f>
        <v>0.7023874180061398</v>
      </c>
      <c r="S44" s="122">
        <f>IF(Tab.o1[[#This Row],[a1]]=1,((Tab.o1[[#This Row],[MedMod]]-AVERAGE(Tab.o1[MedMod]))/_xlfn.STDEV.P(Tab.o1[MedMod])*H$1204)+G$1204,"")</f>
        <v>-3.2976125819938602</v>
      </c>
      <c r="T44" s="123">
        <f>IF(Tab.o1[[#This Row],[a1]]=1,Tab.o1[[#This Row],[Z-]]*_xlfn.STDEV.P(Tab.o1[B])+AVERAGE(Tab.o1[B]),"")</f>
        <v>839.84864103669838</v>
      </c>
      <c r="U44" s="123">
        <f>IF(Tab.o1[[#This Row],[a1]]=1,Tab.o1[[#This Row],[z+]]*_xlfn.STDEV.P(Tab.o1[B])+AVERAGE(Tab.o1[B]),"")</f>
        <v>832.95135896330157</v>
      </c>
      <c r="V44" s="124">
        <f>IF(Tab.o1[[#This Row],[a1]]=1,ABS((ABS(Tab.o1[[#This Row],[Red]]-Tab.o1[[#This Row],[Blue]]))),"")</f>
        <v>6.8972820733968092</v>
      </c>
      <c r="W44" s="125">
        <f>IF(Tab.o1[[#This Row],[a1]]=1,IF(W$3=0,1,Tab.o1[[#This Row],[Amp.]]*1/_xlfn.MINIFS(Tab.o1[Amp.],Tab.o1[Amp.],"&lt;&gt;0")),"")</f>
        <v>1</v>
      </c>
      <c r="X44" s="126">
        <f ca="1">IF(Tab.o1[[#This Row],[a1]]=1,IF(ISNUMBER(Tab.o1[[#This Row],[i.]]),NORMDIST(Tab.o1[[#This Row],[Za]],0,1,FALSE)*Tab.o1[[#This Row],[i.]],AP$3),"")</f>
        <v>0.19646810513580507</v>
      </c>
      <c r="Y44" s="126">
        <f ca="1">IF(Tab.o1[[#This Row],[a1]]=1,0.01+0.94*Tab.o1[[#This Row],[PDF]]/MAX(Tab.o1[PDF]),"")</f>
        <v>0.47386288692126166</v>
      </c>
      <c r="Z44" s="126">
        <f>IF(Tab.o1[[#This Row],[a1]]=1,0.01+0.94*Tab.o1[[#This Row],[W1_PDF]]/MAX(Tab.o1[W1_PDF]),"")</f>
        <v>0.95</v>
      </c>
      <c r="AA44" s="118">
        <f>IF(Tab.o1[[#This Row],[a1]]=1,ABS([1]!T.in.A[[#This Row],[oo6]]),"")</f>
        <v>7.1269669999999993E-2</v>
      </c>
      <c r="AB44" s="127">
        <f ca="1">IF(Tab.o1[[#This Row],[a1]]=1,IF(AE$3=0,"",IF(AB$3=0,ABS([1]!T.in.A[[#This Row],[oo9]]),ABS(Tab.o1[[#This Row],[DIF_Target.]]*Tab.o1[[#This Row],[W1_PDF]]))),"")</f>
        <v>5.9773872229001213E-2</v>
      </c>
      <c r="AC44" s="127" t="str">
        <f>IF(G$1=1,"",IF(Tab.o1[[#This Row],[a1]]=1,Tab.o1[[#This Row],[Wr]]^2,""))</f>
        <v/>
      </c>
      <c r="AD44" s="118" t="e">
        <f>IF(Tab.o1[[#This Row],[a1]]=1,IF(AE$3=0,"",Tab.o1[[#This Row],[Wr2]]/SUM(Tab.o1[Wr2])),"")</f>
        <v>#VALUE!</v>
      </c>
      <c r="AE44" s="128">
        <f>IF(Tab.o1[[#This Row],[a1]]=1,[1]!T.in.A[[#This Row],[oo10]],"")</f>
        <v>0.9919173</v>
      </c>
      <c r="AF44" s="118" t="e">
        <f ca="1">IF(Tab.o1[[#This Row],[a1]]=1,ABS(Tab.o1[[#This Row],[DIF_Target.]]*Tab.o1[[#This Row],[PDF2]]*Tab.o1[[#This Row],[IN]]),"")</f>
        <v>#REF!</v>
      </c>
      <c r="AG44" s="129" t="e">
        <f ca="1">IF(Tab.o1[[#This Row],[a1]]=1,Tab.o1[[#This Row],[rW]]^2,"")</f>
        <v>#REF!</v>
      </c>
      <c r="AH44" s="130" t="e">
        <f ca="1">IF(Tab.o1[[#This Row],[a1]]=1,IF(AH$3=0,Tab.o1[[#This Row],[rW2]],0.01+0.94*Tab.o1[[#This Row],[rW2]]/SUM(Tab.o1[rW2])),"")</f>
        <v>#REF!</v>
      </c>
      <c r="AI44" s="128">
        <f ca="1">IF(Tab.o1[[#This Row],[a1]]=1,1/Tab.o1[[#This Row],[PDF]],"")</f>
        <v>5.0898846879434601</v>
      </c>
      <c r="AJ44" s="131" t="e">
        <f>IF(Tab.o1[[#This Row],[a1]]=1,[1]!T_AA[[#This Row],[IN'']]*[1]!T_AA[[#This Row],[Qde'']],"")</f>
        <v>#REF!</v>
      </c>
      <c r="AK44" s="132" t="str">
        <f>IF(Tab.o1[[#This Row],[a1]]=1,IF(AK$1=1,Tab.o1[[#This Row],[MED]]+Tab.o1[[#This Row],[MOD]]-Tab.o1[[#This Row],[MED]],""),"")</f>
        <v/>
      </c>
      <c r="AL44" s="133">
        <f>IF(Tab.o1[[#This Row],[a1]]=1,[1]!T.in.A[[#This Row],[oo16]],"")</f>
        <v>2.0038179999999999</v>
      </c>
      <c r="AM44" s="133">
        <f>IF(Tab.o1[[#This Row],[a1]]=1,IF(AM$3=1,[1]!T.in.A[[#This Row],[Σo16]],""),"")</f>
        <v>3.8734612829932798E-2</v>
      </c>
      <c r="AN44" s="126" t="str">
        <f>IF(Tab.o1[[#This Row],[a1]]=1,[1]!T.in.A[[#This Row],[Σp5]],"")</f>
        <v/>
      </c>
      <c r="AO44" s="126" t="str">
        <f>IF(Tab.o1[[#This Row],[a1]]=1,IF(AO$3=1,[1]!T.in.A[[#This Row],[Σp5]],""),"")</f>
        <v/>
      </c>
      <c r="AP44" s="110">
        <f ca="1">IF(Tab.o1[[#This Row],[a1]]=1,IF(ISNUMBER(Tab.o1[[#This Row],[i.]]),NORMDIST(Tab.o1[[#This Row],[Za]],0,1,FALSE)*Tab.o1[[#This Row],[i.]],0),"")</f>
        <v>0.19646810513580507</v>
      </c>
      <c r="AQ44" s="125">
        <f>IF(Tab.o1[[#This Row],[a1]]=1,ABS(Tab.o1[[#This Row],[MOD]]-AVERAGE(Tab.o1[MOD])),"")</f>
        <v>3.8000640625000415</v>
      </c>
      <c r="AR44" s="134">
        <f>IF(Tab.o1[[#This Row],[a1]]=1,Tab.o1[[#This Row],[OBS]]/SUM(Tab.o1[OBS]),"")</f>
        <v>3.9660362340877213E-2</v>
      </c>
      <c r="AS44" s="135">
        <f>IF(ISNUMBER(Tab.o1[[#This Row],[a1]]),ROW()-4,"")</f>
        <v>40</v>
      </c>
      <c r="AT44" s="136">
        <f>Tab.o1[[#This Row],[MOD]]</f>
        <v>835.56129999999996</v>
      </c>
      <c r="AU44" s="137">
        <f t="shared" si="1"/>
        <v>835.56129999999996</v>
      </c>
      <c r="AV44" s="138">
        <f t="shared" si="2"/>
        <v>0</v>
      </c>
      <c r="AW44" s="138" t="str">
        <f t="shared" si="3"/>
        <v/>
      </c>
      <c r="AX44" s="139" t="str">
        <f>[1]!T.in.A[[#This Row],[ID_T_manu]]</f>
        <v/>
      </c>
      <c r="AY44" s="140" t="e">
        <f>IF(ISNUMBER(Tab.o1[[#This Row],[a1]]),IF(AND(Tab.o1[[#This Row],[a1]]=1,Tab.o1[[#This Row],[b1]]&lt;=AY$4),#REF!,AY43),"")</f>
        <v>#REF!</v>
      </c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</row>
    <row r="45" spans="1:79" ht="15.75">
      <c r="A45" s="109">
        <v>-1.0000000000000001E-5</v>
      </c>
      <c r="B45" s="110">
        <f t="shared" si="0"/>
        <v>45</v>
      </c>
      <c r="C45" s="111">
        <f>IF(C$1=[1]!T.in.A[[#This Row],[oo2]],1,"")</f>
        <v>1</v>
      </c>
      <c r="D45" s="112">
        <f>IF(Tab.o1[[#This Row],[a1]]=1,IF(SUM(C45:C46)=0,0,IF(SUM(C44:C45)=1,1,IF(SUM(C44:C46)&gt;1,D44+1,0))),"")</f>
        <v>41</v>
      </c>
      <c r="E45" s="113" t="str">
        <f>IF(Tab.o1[[#This Row],[a1]]=1,[1]!T.in.A[[#This Row],[oo1]],"")</f>
        <v>hed41</v>
      </c>
      <c r="F45" s="113" t="str">
        <f>IF(Tab.o1[[#This Row],[a1]]=1,[1]!T.in.A[[#This Row],[pp1]],"")</f>
        <v/>
      </c>
      <c r="G45" s="114">
        <f>IF(Tab.o1[[#This Row],[a1]]=1,G$2+IF(G$1=1,0,Tab.o1[[#This Row],[.x1]])+[1]!T.in.A[[#This Row],[oo3]],"")</f>
        <v>836.6</v>
      </c>
      <c r="H45" s="115">
        <f>IF(Tab.o1[[#This Row],[a1]]=1,IF(H$2=0,0,IF(G$1=1,0,Tab.o1[[#This Row],[.x1]])+[1]!T.in.A[[#This Row],[oo4]]),"")</f>
        <v>835.6259</v>
      </c>
      <c r="I45" s="116">
        <f>IF(Tab.o1[[#This Row],[a1]]=1,IF(J$2=0,Tab.o1[[#This Row],[MED]],Tab.o1[[#This Row],[MOD]]),"")</f>
        <v>836.6</v>
      </c>
      <c r="J45" s="116">
        <f ca="1">IF(Tab.o1[[#This Row],[a1]]=1,((Tab.o1[[#This Row],[DIF_Target.]]-AVERAGE(Tab.o1[DIF_Target.]))/_xlfn.STDEV.P(Tab.o1[DIF_Target.])),"")</f>
        <v>-1.2933598747668478</v>
      </c>
      <c r="K45" s="117">
        <f>IF(Tab.o1[[#This Row],[a1]]=1,IF(J$2=0,Tab.o1[[#This Row],[MOD]]-Tab.o1[[#This Row],[B]],IF(J$2=1,0,-Tab.o1[[#This Row],[MED]])+Tab.o1[[#This Row],[B]]),"")</f>
        <v>-0.97410000000002128</v>
      </c>
      <c r="L45" s="117">
        <f ca="1">IF(Tab.o1[[#This Row],[DIF_Target]]=0,IF(L$2=0,Tab.o1[[#This Row],[DIF_Target]],AVERAGE(OFFSET(Tab.o1[[#This Row],[DIF_Target]],1,0,L$3,1)))/3,Tab.o1[[#This Row],[DIF_Target]])</f>
        <v>-0.97410000000002128</v>
      </c>
      <c r="M45" s="118">
        <f ca="1">IF(Tab.o1[[#This Row],[a1]]=1,NORMSDIST(Tab.o1[[#This Row],[Za]]),"")</f>
        <v>9.7943310551372675E-2</v>
      </c>
      <c r="N45" s="119">
        <f>IF(Tab.o1[[#This Row],[a1]]=1,((Tab.o1[[#This Row],[MedMod]]-AVERAGE(Tab.o1[MedMod]))/_xlfn.STDEV.P(Tab.o1[MedMod])*H$1205)+G$1205,"")</f>
        <v>-1.1816248651675705</v>
      </c>
      <c r="O45" s="141">
        <f>IF(Tab.o1[[#This Row],[a1]]=1,Tab.o1[[#This Row],[Zb]]*_xlfn.STDEV.P(Tab.o1[MedMod])+AVERAGE(Tab.o1[MedMod]),"")</f>
        <v>836.6</v>
      </c>
      <c r="P45" s="117">
        <f ca="1">IF(Tab.o1[[#This Row],[B]]=0,AVERAGE(OFFSET(Tab.o1[[#This Row],[B]],1,0,L$3,1)),Tab.o1[[#This Row],[B]])</f>
        <v>836.6</v>
      </c>
      <c r="Q45" s="121">
        <f>IF(Tab.o1[[#This Row],[a1]]=1,NORMSDIST(Tab.o1[[#This Row],[Zb]]),"")</f>
        <v>0.11867729141460419</v>
      </c>
      <c r="R45" s="122">
        <f>IF(Tab.o1[[#This Row],[a1]]=1,((Tab.o1[[#This Row],[MedMod]]-AVERAGE(Tab.o1[MedMod]))/_xlfn.STDEV.P(Tab.o1[MedMod])*H$1203)+G$1203,"")</f>
        <v>0.81837513483242952</v>
      </c>
      <c r="S45" s="122">
        <f>IF(Tab.o1[[#This Row],[a1]]=1,((Tab.o1[[#This Row],[MedMod]]-AVERAGE(Tab.o1[MedMod]))/_xlfn.STDEV.P(Tab.o1[MedMod])*H$1204)+G$1204,"")</f>
        <v>-3.1816248651675707</v>
      </c>
      <c r="T45" s="123">
        <f>IF(Tab.o1[[#This Row],[a1]]=1,Tab.o1[[#This Row],[Z-]]*_xlfn.STDEV.P(Tab.o1[B])+AVERAGE(Tab.o1[B]),"")</f>
        <v>840.04864103669843</v>
      </c>
      <c r="U45" s="123">
        <f>IF(Tab.o1[[#This Row],[a1]]=1,Tab.o1[[#This Row],[z+]]*_xlfn.STDEV.P(Tab.o1[B])+AVERAGE(Tab.o1[B]),"")</f>
        <v>833.15135896330162</v>
      </c>
      <c r="V45" s="124">
        <f>IF(Tab.o1[[#This Row],[a1]]=1,ABS((ABS(Tab.o1[[#This Row],[Red]]-Tab.o1[[#This Row],[Blue]]))),"")</f>
        <v>6.8972820733968092</v>
      </c>
      <c r="W45" s="125">
        <f>IF(Tab.o1[[#This Row],[a1]]=1,IF(W$3=0,1,Tab.o1[[#This Row],[Amp.]]*1/_xlfn.MINIFS(Tab.o1[Amp.],Tab.o1[Amp.],"&lt;&gt;0")),"")</f>
        <v>1</v>
      </c>
      <c r="X45" s="126">
        <f ca="1">IF(Tab.o1[[#This Row],[a1]]=1,IF(ISNUMBER(Tab.o1[[#This Row],[i.]]),NORMDIST(Tab.o1[[#This Row],[Za]],0,1,FALSE)*Tab.o1[[#This Row],[i.]],AP$3),"")</f>
        <v>0.17285046610471874</v>
      </c>
      <c r="Y45" s="126">
        <f ca="1">IF(Tab.o1[[#This Row],[a1]]=1,0.01+0.94*Tab.o1[[#This Row],[PDF]]/MAX(Tab.o1[PDF]),"")</f>
        <v>0.41810143792855475</v>
      </c>
      <c r="Z45" s="126">
        <f>IF(Tab.o1[[#This Row],[a1]]=1,0.01+0.94*Tab.o1[[#This Row],[W1_PDF]]/MAX(Tab.o1[W1_PDF]),"")</f>
        <v>0.95</v>
      </c>
      <c r="AA45" s="118">
        <f>IF(Tab.o1[[#This Row],[a1]]=1,ABS([1]!T.in.A[[#This Row],[oo6]]),"")</f>
        <v>7.1269669999999993E-2</v>
      </c>
      <c r="AB45" s="127">
        <f ca="1">IF(Tab.o1[[#This Row],[a1]]=1,IF(AE$3=0,"",IF(AB$3=0,ABS([1]!T.in.A[[#This Row],[oo9]]),ABS(Tab.o1[[#This Row],[DIF_Target.]]*Tab.o1[[#This Row],[W1_PDF]]))),"")</f>
        <v>6.9423785547001515E-2</v>
      </c>
      <c r="AC45" s="127" t="str">
        <f>IF(G$1=1,"",IF(Tab.o1[[#This Row],[a1]]=1,Tab.o1[[#This Row],[Wr]]^2,""))</f>
        <v/>
      </c>
      <c r="AD45" s="118" t="e">
        <f>IF(Tab.o1[[#This Row],[a1]]=1,IF(AE$3=0,"",Tab.o1[[#This Row],[Wr2]]/SUM(Tab.o1[Wr2])),"")</f>
        <v>#VALUE!</v>
      </c>
      <c r="AE45" s="128">
        <f>IF(Tab.o1[[#This Row],[a1]]=1,[1]!T.in.A[[#This Row],[oo10]],"")</f>
        <v>0.9919173</v>
      </c>
      <c r="AF45" s="118" t="e">
        <f ca="1">IF(Tab.o1[[#This Row],[a1]]=1,ABS(Tab.o1[[#This Row],[DIF_Target.]]*Tab.o1[[#This Row],[PDF2]]*Tab.o1[[#This Row],[IN]]),"")</f>
        <v>#REF!</v>
      </c>
      <c r="AG45" s="129" t="e">
        <f ca="1">IF(Tab.o1[[#This Row],[a1]]=1,Tab.o1[[#This Row],[rW]]^2,"")</f>
        <v>#REF!</v>
      </c>
      <c r="AH45" s="130" t="e">
        <f ca="1">IF(Tab.o1[[#This Row],[a1]]=1,IF(AH$3=0,Tab.o1[[#This Row],[rW2]],0.01+0.94*Tab.o1[[#This Row],[rW2]]/SUM(Tab.o1[rW2])),"")</f>
        <v>#REF!</v>
      </c>
      <c r="AI45" s="128">
        <f ca="1">IF(Tab.o1[[#This Row],[a1]]=1,1/Tab.o1[[#This Row],[PDF]],"")</f>
        <v>5.7853474308490771</v>
      </c>
      <c r="AJ45" s="131" t="e">
        <f>IF(Tab.o1[[#This Row],[a1]]=1,[1]!T_AA[[#This Row],[IN'']]*[1]!T_AA[[#This Row],[Qde'']],"")</f>
        <v>#REF!</v>
      </c>
      <c r="AK45" s="132" t="str">
        <f>IF(Tab.o1[[#This Row],[a1]]=1,IF(AK$1=1,Tab.o1[[#This Row],[MED]]+Tab.o1[[#This Row],[MOD]]-Tab.o1[[#This Row],[MED]],""),"")</f>
        <v/>
      </c>
      <c r="AL45" s="133">
        <f>IF(Tab.o1[[#This Row],[a1]]=1,[1]!T.in.A[[#This Row],[oo16]],"")</f>
        <v>1.9239310000000001</v>
      </c>
      <c r="AM45" s="133">
        <f>IF(Tab.o1[[#This Row],[a1]]=1,IF(AM$3=1,[1]!T.in.A[[#This Row],[Σo16]],""),"")</f>
        <v>3.7190364791865049E-2</v>
      </c>
      <c r="AN45" s="126" t="str">
        <f>IF(Tab.o1[[#This Row],[a1]]=1,[1]!T.in.A[[#This Row],[Σp5]],"")</f>
        <v/>
      </c>
      <c r="AO45" s="126" t="str">
        <f>IF(Tab.o1[[#This Row],[a1]]=1,IF(AO$3=1,[1]!T.in.A[[#This Row],[Σp5]],""),"")</f>
        <v/>
      </c>
      <c r="AP45" s="110">
        <f ca="1">IF(Tab.o1[[#This Row],[a1]]=1,IF(ISNUMBER(Tab.o1[[#This Row],[i.]]),NORMDIST(Tab.o1[[#This Row],[Za]],0,1,FALSE)*Tab.o1[[#This Row],[i.]],0),"")</f>
        <v>0.17285046610471874</v>
      </c>
      <c r="AQ45" s="125">
        <f>IF(Tab.o1[[#This Row],[a1]]=1,ABS(Tab.o1[[#This Row],[MOD]]-AVERAGE(Tab.o1[MOD])),"")</f>
        <v>3.7354640625000002</v>
      </c>
      <c r="AR45" s="134">
        <f>IF(Tab.o1[[#This Row],[a1]]=1,Tab.o1[[#This Row],[OBS]]/SUM(Tab.o1[OBS]),"")</f>
        <v>3.8986147547367463E-2</v>
      </c>
      <c r="AS45" s="135">
        <f>IF(ISNUMBER(Tab.o1[[#This Row],[a1]]),ROW()-4,"")</f>
        <v>41</v>
      </c>
      <c r="AT45" s="136">
        <f>Tab.o1[[#This Row],[MOD]]</f>
        <v>835.6259</v>
      </c>
      <c r="AU45" s="137">
        <f t="shared" si="1"/>
        <v>835.6259</v>
      </c>
      <c r="AV45" s="138">
        <f t="shared" si="2"/>
        <v>0</v>
      </c>
      <c r="AW45" s="138" t="str">
        <f t="shared" si="3"/>
        <v/>
      </c>
      <c r="AX45" s="139" t="str">
        <f>[1]!T.in.A[[#This Row],[ID_T_manu]]</f>
        <v/>
      </c>
      <c r="AY45" s="140" t="e">
        <f>IF(ISNUMBER(Tab.o1[[#This Row],[a1]]),IF(AND(Tab.o1[[#This Row],[a1]]=1,Tab.o1[[#This Row],[b1]]&lt;=AY$4),#REF!,AY44),"")</f>
        <v>#REF!</v>
      </c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</row>
    <row r="46" spans="1:79" ht="15.75">
      <c r="A46" s="109">
        <v>8.0000000000000013E-6</v>
      </c>
      <c r="B46" s="110">
        <f t="shared" si="0"/>
        <v>46</v>
      </c>
      <c r="C46" s="111">
        <f>IF(C$1=[1]!T.in.A[[#This Row],[oo2]],1,"")</f>
        <v>1</v>
      </c>
      <c r="D46" s="112">
        <f>IF(Tab.o1[[#This Row],[a1]]=1,IF(SUM(C46:C47)=0,0,IF(SUM(C45:C46)=1,1,IF(SUM(C45:C47)&gt;1,D45+1,0))),"")</f>
        <v>42</v>
      </c>
      <c r="E46" s="113" t="str">
        <f>IF(Tab.o1[[#This Row],[a1]]=1,[1]!T.in.A[[#This Row],[oo1]],"")</f>
        <v>hed42</v>
      </c>
      <c r="F46" s="113" t="str">
        <f>IF(Tab.o1[[#This Row],[a1]]=1,[1]!T.in.A[[#This Row],[pp1]],"")</f>
        <v/>
      </c>
      <c r="G46" s="114">
        <f>IF(Tab.o1[[#This Row],[a1]]=1,G$2+IF(G$1=1,0,Tab.o1[[#This Row],[.x1]])+[1]!T.in.A[[#This Row],[oo3]],"")</f>
        <v>837.5</v>
      </c>
      <c r="H46" s="115">
        <f>IF(Tab.o1[[#This Row],[a1]]=1,IF(H$2=0,0,IF(G$1=1,0,Tab.o1[[#This Row],[.x1]])+[1]!T.in.A[[#This Row],[oo4]]),"")</f>
        <v>836.32380000000001</v>
      </c>
      <c r="I46" s="116">
        <f>IF(Tab.o1[[#This Row],[a1]]=1,IF(J$2=0,Tab.o1[[#This Row],[MED]],Tab.o1[[#This Row],[MOD]]),"")</f>
        <v>837.5</v>
      </c>
      <c r="J46" s="116">
        <f ca="1">IF(Tab.o1[[#This Row],[a1]]=1,((Tab.o1[[#This Row],[DIF_Target.]]-AVERAGE(Tab.o1[DIF_Target.]))/_xlfn.STDEV.P(Tab.o1[DIF_Target.])),"")</f>
        <v>-1.4473019024358471</v>
      </c>
      <c r="K46" s="117">
        <f>IF(Tab.o1[[#This Row],[a1]]=1,IF(J$2=0,Tab.o1[[#This Row],[MOD]]-Tab.o1[[#This Row],[B]],IF(J$2=1,0,-Tab.o1[[#This Row],[MED]])+Tab.o1[[#This Row],[B]]),"")</f>
        <v>-1.1761999999999944</v>
      </c>
      <c r="L46" s="117">
        <f ca="1">IF(Tab.o1[[#This Row],[DIF_Target]]=0,IF(L$2=0,Tab.o1[[#This Row],[DIF_Target]],AVERAGE(OFFSET(Tab.o1[[#This Row],[DIF_Target]],1,0,L$3,1)))/3,Tab.o1[[#This Row],[DIF_Target]])</f>
        <v>-1.1761999999999944</v>
      </c>
      <c r="M46" s="118">
        <f ca="1">IF(Tab.o1[[#This Row],[a1]]=1,NORMSDIST(Tab.o1[[#This Row],[Za]]),"")</f>
        <v>7.3906193271445181E-2</v>
      </c>
      <c r="N46" s="119">
        <f>IF(Tab.o1[[#This Row],[a1]]=1,((Tab.o1[[#This Row],[MedMod]]-AVERAGE(Tab.o1[MedMod]))/_xlfn.STDEV.P(Tab.o1[MedMod])*H$1205)+G$1205,"")</f>
        <v>-0.65968013944939885</v>
      </c>
      <c r="O46" s="141">
        <f>IF(Tab.o1[[#This Row],[a1]]=1,Tab.o1[[#This Row],[Zb]]*_xlfn.STDEV.P(Tab.o1[MedMod])+AVERAGE(Tab.o1[MedMod]),"")</f>
        <v>837.5</v>
      </c>
      <c r="P46" s="117">
        <f ca="1">IF(Tab.o1[[#This Row],[B]]=0,AVERAGE(OFFSET(Tab.o1[[#This Row],[B]],1,0,L$3,1)),Tab.o1[[#This Row],[B]])</f>
        <v>837.5</v>
      </c>
      <c r="Q46" s="121">
        <f>IF(Tab.o1[[#This Row],[a1]]=1,NORMSDIST(Tab.o1[[#This Row],[Zb]]),"")</f>
        <v>0.25472955717647217</v>
      </c>
      <c r="R46" s="122">
        <f>IF(Tab.o1[[#This Row],[a1]]=1,((Tab.o1[[#This Row],[MedMod]]-AVERAGE(Tab.o1[MedMod]))/_xlfn.STDEV.P(Tab.o1[MedMod])*H$1203)+G$1203,"")</f>
        <v>1.340319860550601</v>
      </c>
      <c r="S46" s="122">
        <f>IF(Tab.o1[[#This Row],[a1]]=1,((Tab.o1[[#This Row],[MedMod]]-AVERAGE(Tab.o1[MedMod]))/_xlfn.STDEV.P(Tab.o1[MedMod])*H$1204)+G$1204,"")</f>
        <v>-2.659680139449399</v>
      </c>
      <c r="T46" s="123">
        <f>IF(Tab.o1[[#This Row],[a1]]=1,Tab.o1[[#This Row],[Z-]]*_xlfn.STDEV.P(Tab.o1[B])+AVERAGE(Tab.o1[B]),"")</f>
        <v>840.9486410366984</v>
      </c>
      <c r="U46" s="123">
        <f>IF(Tab.o1[[#This Row],[a1]]=1,Tab.o1[[#This Row],[z+]]*_xlfn.STDEV.P(Tab.o1[B])+AVERAGE(Tab.o1[B]),"")</f>
        <v>834.0513589633016</v>
      </c>
      <c r="V46" s="124">
        <f>IF(Tab.o1[[#This Row],[a1]]=1,ABS((ABS(Tab.o1[[#This Row],[Red]]-Tab.o1[[#This Row],[Blue]]))),"")</f>
        <v>6.8972820733968092</v>
      </c>
      <c r="W46" s="125">
        <f>IF(Tab.o1[[#This Row],[a1]]=1,IF(W$3=0,1,Tab.o1[[#This Row],[Amp.]]*1/_xlfn.MINIFS(Tab.o1[Amp.],Tab.o1[Amp.],"&lt;&gt;0")),"")</f>
        <v>1</v>
      </c>
      <c r="X46" s="126">
        <f ca="1">IF(Tab.o1[[#This Row],[a1]]=1,IF(ISNUMBER(Tab.o1[[#This Row],[i.]]),NORMDIST(Tab.o1[[#This Row],[Za]],0,1,FALSE)*Tab.o1[[#This Row],[i.]],AP$3),"")</f>
        <v>0.13997661142181331</v>
      </c>
      <c r="Y46" s="126">
        <f ca="1">IF(Tab.o1[[#This Row],[a1]]=1,0.01+0.94*Tab.o1[[#This Row],[PDF]]/MAX(Tab.o1[PDF]),"")</f>
        <v>0.34048598412804104</v>
      </c>
      <c r="Z46" s="126">
        <f>IF(Tab.o1[[#This Row],[a1]]=1,0.01+0.94*Tab.o1[[#This Row],[W1_PDF]]/MAX(Tab.o1[W1_PDF]),"")</f>
        <v>0.95</v>
      </c>
      <c r="AA46" s="118">
        <f>IF(Tab.o1[[#This Row],[a1]]=1,ABS([1]!T.in.A[[#This Row],[oo6]]),"")</f>
        <v>7.1269669999999993E-2</v>
      </c>
      <c r="AB46" s="127">
        <f ca="1">IF(Tab.o1[[#This Row],[a1]]=1,IF(AE$3=0,"",IF(AB$3=0,ABS([1]!T.in.A[[#This Row],[oo9]]),ABS(Tab.o1[[#This Row],[DIF_Target.]]*Tab.o1[[#This Row],[W1_PDF]]))),"")</f>
        <v>8.3827385853999584E-2</v>
      </c>
      <c r="AC46" s="127" t="str">
        <f>IF(G$1=1,"",IF(Tab.o1[[#This Row],[a1]]=1,Tab.o1[[#This Row],[Wr]]^2,""))</f>
        <v/>
      </c>
      <c r="AD46" s="118" t="e">
        <f>IF(Tab.o1[[#This Row],[a1]]=1,IF(AE$3=0,"",Tab.o1[[#This Row],[Wr2]]/SUM(Tab.o1[Wr2])),"")</f>
        <v>#VALUE!</v>
      </c>
      <c r="AE46" s="128">
        <f>IF(Tab.o1[[#This Row],[a1]]=1,[1]!T.in.A[[#This Row],[oo10]],"")</f>
        <v>0.9919173</v>
      </c>
      <c r="AF46" s="118" t="e">
        <f ca="1">IF(Tab.o1[[#This Row],[a1]]=1,ABS(Tab.o1[[#This Row],[DIF_Target.]]*Tab.o1[[#This Row],[PDF2]]*Tab.o1[[#This Row],[IN]]),"")</f>
        <v>#REF!</v>
      </c>
      <c r="AG46" s="129" t="e">
        <f ca="1">IF(Tab.o1[[#This Row],[a1]]=1,Tab.o1[[#This Row],[rW]]^2,"")</f>
        <v>#REF!</v>
      </c>
      <c r="AH46" s="130" t="e">
        <f ca="1">IF(Tab.o1[[#This Row],[a1]]=1,IF(AH$3=0,Tab.o1[[#This Row],[rW2]],0.01+0.94*Tab.o1[[#This Row],[rW2]]/SUM(Tab.o1[rW2])),"")</f>
        <v>#REF!</v>
      </c>
      <c r="AI46" s="128">
        <f ca="1">IF(Tab.o1[[#This Row],[a1]]=1,1/Tab.o1[[#This Row],[PDF]],"")</f>
        <v>7.1440506370492454</v>
      </c>
      <c r="AJ46" s="131" t="e">
        <f>IF(Tab.o1[[#This Row],[a1]]=1,[1]!T_AA[[#This Row],[IN'']]*[1]!T_AA[[#This Row],[Qde'']],"")</f>
        <v>#REF!</v>
      </c>
      <c r="AK46" s="132" t="str">
        <f>IF(Tab.o1[[#This Row],[a1]]=1,IF(AK$1=1,Tab.o1[[#This Row],[MED]]+Tab.o1[[#This Row],[MOD]]-Tab.o1[[#This Row],[MED]],""),"")</f>
        <v/>
      </c>
      <c r="AL46" s="133">
        <f>IF(Tab.o1[[#This Row],[a1]]=1,[1]!T.in.A[[#This Row],[oo16]],"")</f>
        <v>1.4319949999999999</v>
      </c>
      <c r="AM46" s="133">
        <f>IF(Tab.o1[[#This Row],[a1]]=1,IF(AM$3=1,[1]!T.in.A[[#This Row],[Σo16]],""),"")</f>
        <v>2.7681042838920308E-2</v>
      </c>
      <c r="AN46" s="126" t="str">
        <f>IF(Tab.o1[[#This Row],[a1]]=1,[1]!T.in.A[[#This Row],[Σp5]],"")</f>
        <v/>
      </c>
      <c r="AO46" s="126" t="str">
        <f>IF(Tab.o1[[#This Row],[a1]]=1,IF(AO$3=1,[1]!T.in.A[[#This Row],[Σp5]],""),"")</f>
        <v/>
      </c>
      <c r="AP46" s="110">
        <f ca="1">IF(Tab.o1[[#This Row],[a1]]=1,IF(ISNUMBER(Tab.o1[[#This Row],[i.]]),NORMDIST(Tab.o1[[#This Row],[Za]],0,1,FALSE)*Tab.o1[[#This Row],[i.]],0),"")</f>
        <v>0.13997661142181331</v>
      </c>
      <c r="AQ46" s="125">
        <f>IF(Tab.o1[[#This Row],[a1]]=1,ABS(Tab.o1[[#This Row],[MOD]]-AVERAGE(Tab.o1[MOD])),"")</f>
        <v>3.037564062499996</v>
      </c>
      <c r="AR46" s="134">
        <f>IF(Tab.o1[[#This Row],[a1]]=1,Tab.o1[[#This Row],[OBS]]/SUM(Tab.o1[OBS]),"")</f>
        <v>3.1702331689934644E-2</v>
      </c>
      <c r="AS46" s="135">
        <f>IF(ISNUMBER(Tab.o1[[#This Row],[a1]]),ROW()-4,"")</f>
        <v>42</v>
      </c>
      <c r="AT46" s="136">
        <f>Tab.o1[[#This Row],[MOD]]</f>
        <v>836.32380000000001</v>
      </c>
      <c r="AU46" s="137">
        <f t="shared" si="1"/>
        <v>836.32380000000001</v>
      </c>
      <c r="AV46" s="138">
        <f t="shared" si="2"/>
        <v>0</v>
      </c>
      <c r="AW46" s="138" t="str">
        <f t="shared" si="3"/>
        <v/>
      </c>
      <c r="AX46" s="139" t="str">
        <f>[1]!T.in.A[[#This Row],[ID_T_manu]]</f>
        <v/>
      </c>
      <c r="AY46" s="140" t="e">
        <f>IF(ISNUMBER(Tab.o1[[#This Row],[a1]]),IF(AND(Tab.o1[[#This Row],[a1]]=1,Tab.o1[[#This Row],[b1]]&lt;=AY$4),#REF!,AY45),"")</f>
        <v>#REF!</v>
      </c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</row>
    <row r="47" spans="1:79" ht="15.75">
      <c r="A47" s="109">
        <v>2.0000000000000003E-6</v>
      </c>
      <c r="B47" s="110">
        <f t="shared" si="0"/>
        <v>47</v>
      </c>
      <c r="C47" s="111">
        <f>IF(C$1=[1]!T.in.A[[#This Row],[oo2]],1,"")</f>
        <v>1</v>
      </c>
      <c r="D47" s="112">
        <f>IF(Tab.o1[[#This Row],[a1]]=1,IF(SUM(C47:C48)=0,0,IF(SUM(C46:C47)=1,1,IF(SUM(C46:C48)&gt;1,D46+1,0))),"")</f>
        <v>43</v>
      </c>
      <c r="E47" s="113" t="str">
        <f>IF(Tab.o1[[#This Row],[a1]]=1,[1]!T.in.A[[#This Row],[oo1]],"")</f>
        <v>hed43</v>
      </c>
      <c r="F47" s="113" t="str">
        <f>IF(Tab.o1[[#This Row],[a1]]=1,[1]!T.in.A[[#This Row],[pp1]],"")</f>
        <v/>
      </c>
      <c r="G47" s="114">
        <f>IF(Tab.o1[[#This Row],[a1]]=1,G$2+IF(G$1=1,0,Tab.o1[[#This Row],[.x1]])+[1]!T.in.A[[#This Row],[oo3]],"")</f>
        <v>837.8</v>
      </c>
      <c r="H47" s="115">
        <f>IF(Tab.o1[[#This Row],[a1]]=1,IF(H$2=0,0,IF(G$1=1,0,Tab.o1[[#This Row],[.x1]])+[1]!T.in.A[[#This Row],[oo4]]),"")</f>
        <v>836.721</v>
      </c>
      <c r="I47" s="116">
        <f>IF(Tab.o1[[#This Row],[a1]]=1,IF(J$2=0,Tab.o1[[#This Row],[MED]],Tab.o1[[#This Row],[MOD]]),"")</f>
        <v>837.8</v>
      </c>
      <c r="J47" s="116">
        <f ca="1">IF(Tab.o1[[#This Row],[a1]]=1,((Tab.o1[[#This Row],[DIF_Target.]]-AVERAGE(Tab.o1[DIF_Target.]))/_xlfn.STDEV.P(Tab.o1[DIF_Target.])),"")</f>
        <v>-1.373263480419838</v>
      </c>
      <c r="K47" s="117">
        <f>IF(Tab.o1[[#This Row],[a1]]=1,IF(J$2=0,Tab.o1[[#This Row],[MOD]]-Tab.o1[[#This Row],[B]],IF(J$2=1,0,-Tab.o1[[#This Row],[MED]])+Tab.o1[[#This Row],[B]]),"")</f>
        <v>-1.0789999999999509</v>
      </c>
      <c r="L47" s="117">
        <f ca="1">IF(Tab.o1[[#This Row],[DIF_Target]]=0,IF(L$2=0,Tab.o1[[#This Row],[DIF_Target]],AVERAGE(OFFSET(Tab.o1[[#This Row],[DIF_Target]],1,0,L$3,1)))/3,Tab.o1[[#This Row],[DIF_Target]])</f>
        <v>-1.0789999999999509</v>
      </c>
      <c r="M47" s="118">
        <f ca="1">IF(Tab.o1[[#This Row],[a1]]=1,NORMSDIST(Tab.o1[[#This Row],[Za]]),"")</f>
        <v>8.4835225670542816E-2</v>
      </c>
      <c r="N47" s="119">
        <f>IF(Tab.o1[[#This Row],[a1]]=1,((Tab.o1[[#This Row],[MedMod]]-AVERAGE(Tab.o1[MedMod]))/_xlfn.STDEV.P(Tab.o1[MedMod])*H$1205)+G$1205,"")</f>
        <v>-0.48569856421003027</v>
      </c>
      <c r="O47" s="141">
        <f>IF(Tab.o1[[#This Row],[a1]]=1,Tab.o1[[#This Row],[Zb]]*_xlfn.STDEV.P(Tab.o1[MedMod])+AVERAGE(Tab.o1[MedMod]),"")</f>
        <v>837.8</v>
      </c>
      <c r="P47" s="117">
        <f ca="1">IF(Tab.o1[[#This Row],[B]]=0,AVERAGE(OFFSET(Tab.o1[[#This Row],[B]],1,0,L$3,1)),Tab.o1[[#This Row],[B]])</f>
        <v>837.8</v>
      </c>
      <c r="Q47" s="121">
        <f>IF(Tab.o1[[#This Row],[a1]]=1,NORMSDIST(Tab.o1[[#This Row],[Zb]]),"")</f>
        <v>0.31359045089592441</v>
      </c>
      <c r="R47" s="122">
        <f>IF(Tab.o1[[#This Row],[a1]]=1,((Tab.o1[[#This Row],[MedMod]]-AVERAGE(Tab.o1[MedMod]))/_xlfn.STDEV.P(Tab.o1[MedMod])*H$1203)+G$1203,"")</f>
        <v>1.5143014357899698</v>
      </c>
      <c r="S47" s="122">
        <f>IF(Tab.o1[[#This Row],[a1]]=1,((Tab.o1[[#This Row],[MedMod]]-AVERAGE(Tab.o1[MedMod]))/_xlfn.STDEV.P(Tab.o1[MedMod])*H$1204)+G$1204,"")</f>
        <v>-2.4856985642100304</v>
      </c>
      <c r="T47" s="123">
        <f>IF(Tab.o1[[#This Row],[a1]]=1,Tab.o1[[#This Row],[Z-]]*_xlfn.STDEV.P(Tab.o1[B])+AVERAGE(Tab.o1[B]),"")</f>
        <v>841.24864103669836</v>
      </c>
      <c r="U47" s="123">
        <f>IF(Tab.o1[[#This Row],[a1]]=1,Tab.o1[[#This Row],[z+]]*_xlfn.STDEV.P(Tab.o1[B])+AVERAGE(Tab.o1[B]),"")</f>
        <v>834.35135896330155</v>
      </c>
      <c r="V47" s="124">
        <f>IF(Tab.o1[[#This Row],[a1]]=1,ABS((ABS(Tab.o1[[#This Row],[Red]]-Tab.o1[[#This Row],[Blue]]))),"")</f>
        <v>6.8972820733968092</v>
      </c>
      <c r="W47" s="125">
        <f>IF(Tab.o1[[#This Row],[a1]]=1,IF(W$3=0,1,Tab.o1[[#This Row],[Amp.]]*1/_xlfn.MINIFS(Tab.o1[Amp.],Tab.o1[Amp.],"&lt;&gt;0")),"")</f>
        <v>1</v>
      </c>
      <c r="X47" s="126">
        <f ca="1">IF(Tab.o1[[#This Row],[a1]]=1,IF(ISNUMBER(Tab.o1[[#This Row],[i.]]),NORMDIST(Tab.o1[[#This Row],[Za]],0,1,FALSE)*Tab.o1[[#This Row],[i.]],AP$3),"")</f>
        <v>0.15538259843024604</v>
      </c>
      <c r="Y47" s="126">
        <f ca="1">IF(Tab.o1[[#This Row],[a1]]=1,0.01+0.94*Tab.o1[[#This Row],[PDF]]/MAX(Tab.o1[PDF]),"")</f>
        <v>0.37685965203033661</v>
      </c>
      <c r="Z47" s="126">
        <f>IF(Tab.o1[[#This Row],[a1]]=1,0.01+0.94*Tab.o1[[#This Row],[W1_PDF]]/MAX(Tab.o1[W1_PDF]),"")</f>
        <v>0.95</v>
      </c>
      <c r="AA47" s="118">
        <f>IF(Tab.o1[[#This Row],[a1]]=1,ABS([1]!T.in.A[[#This Row],[oo6]]),"")</f>
        <v>7.1269669999999993E-2</v>
      </c>
      <c r="AB47" s="127">
        <f ca="1">IF(Tab.o1[[#This Row],[a1]]=1,IF(AE$3=0,"",IF(AB$3=0,ABS([1]!T.in.A[[#This Row],[oo9]]),ABS(Tab.o1[[#This Row],[DIF_Target.]]*Tab.o1[[#This Row],[W1_PDF]]))),"")</f>
        <v>7.6899973929996493E-2</v>
      </c>
      <c r="AC47" s="127" t="str">
        <f>IF(G$1=1,"",IF(Tab.o1[[#This Row],[a1]]=1,Tab.o1[[#This Row],[Wr]]^2,""))</f>
        <v/>
      </c>
      <c r="AD47" s="118" t="e">
        <f>IF(Tab.o1[[#This Row],[a1]]=1,IF(AE$3=0,"",Tab.o1[[#This Row],[Wr2]]/SUM(Tab.o1[Wr2])),"")</f>
        <v>#VALUE!</v>
      </c>
      <c r="AE47" s="128">
        <f>IF(Tab.o1[[#This Row],[a1]]=1,[1]!T.in.A[[#This Row],[oo10]],"")</f>
        <v>0.9919173</v>
      </c>
      <c r="AF47" s="118" t="e">
        <f ca="1">IF(Tab.o1[[#This Row],[a1]]=1,ABS(Tab.o1[[#This Row],[DIF_Target.]]*Tab.o1[[#This Row],[PDF2]]*Tab.o1[[#This Row],[IN]]),"")</f>
        <v>#REF!</v>
      </c>
      <c r="AG47" s="129" t="e">
        <f ca="1">IF(Tab.o1[[#This Row],[a1]]=1,Tab.o1[[#This Row],[rW]]^2,"")</f>
        <v>#REF!</v>
      </c>
      <c r="AH47" s="130" t="e">
        <f ca="1">IF(Tab.o1[[#This Row],[a1]]=1,IF(AH$3=0,Tab.o1[[#This Row],[rW2]],0.01+0.94*Tab.o1[[#This Row],[rW2]]/SUM(Tab.o1[rW2])),"")</f>
        <v>#REF!</v>
      </c>
      <c r="AI47" s="128">
        <f ca="1">IF(Tab.o1[[#This Row],[a1]]=1,1/Tab.o1[[#This Row],[PDF]],"")</f>
        <v>6.4357271026647007</v>
      </c>
      <c r="AJ47" s="131" t="e">
        <f>IF(Tab.o1[[#This Row],[a1]]=1,[1]!T_AA[[#This Row],[IN'']]*[1]!T_AA[[#This Row],[Qde'']],"")</f>
        <v>#REF!</v>
      </c>
      <c r="AK47" s="132" t="str">
        <f>IF(Tab.o1[[#This Row],[a1]]=1,IF(AK$1=1,Tab.o1[[#This Row],[MED]]+Tab.o1[[#This Row],[MOD]]-Tab.o1[[#This Row],[MED]],""),"")</f>
        <v/>
      </c>
      <c r="AL47" s="133">
        <f>IF(Tab.o1[[#This Row],[a1]]=1,[1]!T.in.A[[#This Row],[oo16]],"")</f>
        <v>1.254726</v>
      </c>
      <c r="AM47" s="133">
        <f>IF(Tab.o1[[#This Row],[a1]]=1,IF(AM$3=1,[1]!T.in.A[[#This Row],[Σo16]],""),"")</f>
        <v>2.4254361333040358E-2</v>
      </c>
      <c r="AN47" s="126" t="str">
        <f>IF(Tab.o1[[#This Row],[a1]]=1,[1]!T.in.A[[#This Row],[Σp5]],"")</f>
        <v/>
      </c>
      <c r="AO47" s="126" t="str">
        <f>IF(Tab.o1[[#This Row],[a1]]=1,IF(AO$3=1,[1]!T.in.A[[#This Row],[Σp5]],""),"")</f>
        <v/>
      </c>
      <c r="AP47" s="110">
        <f ca="1">IF(Tab.o1[[#This Row],[a1]]=1,IF(ISNUMBER(Tab.o1[[#This Row],[i.]]),NORMDIST(Tab.o1[[#This Row],[Za]],0,1,FALSE)*Tab.o1[[#This Row],[i.]],0),"")</f>
        <v>0.15538259843024604</v>
      </c>
      <c r="AQ47" s="125">
        <f>IF(Tab.o1[[#This Row],[a1]]=1,ABS(Tab.o1[[#This Row],[MOD]]-AVERAGE(Tab.o1[MOD])),"")</f>
        <v>2.640364062499998</v>
      </c>
      <c r="AR47" s="134">
        <f>IF(Tab.o1[[#This Row],[a1]]=1,Tab.o1[[#This Row],[OBS]]/SUM(Tab.o1[OBS]),"")</f>
        <v>2.755685001838817E-2</v>
      </c>
      <c r="AS47" s="135">
        <f>IF(ISNUMBER(Tab.o1[[#This Row],[a1]]),ROW()-4,"")</f>
        <v>43</v>
      </c>
      <c r="AT47" s="136">
        <f>Tab.o1[[#This Row],[MOD]]</f>
        <v>836.721</v>
      </c>
      <c r="AU47" s="137">
        <f t="shared" si="1"/>
        <v>836.721</v>
      </c>
      <c r="AV47" s="138">
        <f t="shared" si="2"/>
        <v>0</v>
      </c>
      <c r="AW47" s="138" t="str">
        <f t="shared" si="3"/>
        <v/>
      </c>
      <c r="AX47" s="139" t="str">
        <f>[1]!T.in.A[[#This Row],[ID_T_manu]]</f>
        <v/>
      </c>
      <c r="AY47" s="140" t="e">
        <f>IF(ISNUMBER(Tab.o1[[#This Row],[a1]]),IF(AND(Tab.o1[[#This Row],[a1]]=1,Tab.o1[[#This Row],[b1]]&lt;=AY$4),#REF!,AY46),"")</f>
        <v>#REF!</v>
      </c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</row>
    <row r="48" spans="1:79" ht="15.75">
      <c r="A48" s="109">
        <v>-1.0000000000000002E-6</v>
      </c>
      <c r="B48" s="110">
        <f t="shared" si="0"/>
        <v>48</v>
      </c>
      <c r="C48" s="111">
        <f>IF(C$1=[1]!T.in.A[[#This Row],[oo2]],1,"")</f>
        <v>1</v>
      </c>
      <c r="D48" s="112">
        <f>IF(Tab.o1[[#This Row],[a1]]=1,IF(SUM(C48:C49)=0,0,IF(SUM(C47:C48)=1,1,IF(SUM(C47:C49)&gt;1,D47+1,0))),"")</f>
        <v>44</v>
      </c>
      <c r="E48" s="113" t="str">
        <f>IF(Tab.o1[[#This Row],[a1]]=1,[1]!T.in.A[[#This Row],[oo1]],"")</f>
        <v>hed44</v>
      </c>
      <c r="F48" s="113" t="str">
        <f>IF(Tab.o1[[#This Row],[a1]]=1,[1]!T.in.A[[#This Row],[pp1]],"")</f>
        <v/>
      </c>
      <c r="G48" s="114">
        <f>IF(Tab.o1[[#This Row],[a1]]=1,G$2+IF(G$1=1,0,Tab.o1[[#This Row],[.x1]])+[1]!T.in.A[[#This Row],[oo3]],"")</f>
        <v>838.8</v>
      </c>
      <c r="H48" s="115">
        <f>IF(Tab.o1[[#This Row],[a1]]=1,IF(H$2=0,0,IF(G$1=1,0,Tab.o1[[#This Row],[.x1]])+[1]!T.in.A[[#This Row],[oo4]]),"")</f>
        <v>838.12789999999995</v>
      </c>
      <c r="I48" s="116">
        <f>IF(Tab.o1[[#This Row],[a1]]=1,IF(J$2=0,Tab.o1[[#This Row],[MED]],Tab.o1[[#This Row],[MOD]]),"")</f>
        <v>838.8</v>
      </c>
      <c r="J48" s="116">
        <f ca="1">IF(Tab.o1[[#This Row],[a1]]=1,((Tab.o1[[#This Row],[DIF_Target.]]-AVERAGE(Tab.o1[DIF_Target.]))/_xlfn.STDEV.P(Tab.o1[DIF_Target.])),"")</f>
        <v>-1.0633228022480588</v>
      </c>
      <c r="K48" s="117">
        <f>IF(Tab.o1[[#This Row],[a1]]=1,IF(J$2=0,Tab.o1[[#This Row],[MOD]]-Tab.o1[[#This Row],[B]],IF(J$2=1,0,-Tab.o1[[#This Row],[MED]])+Tab.o1[[#This Row],[B]]),"")</f>
        <v>-0.67210000000000036</v>
      </c>
      <c r="L48" s="117">
        <f ca="1">IF(Tab.o1[[#This Row],[DIF_Target]]=0,IF(L$2=0,Tab.o1[[#This Row],[DIF_Target]],AVERAGE(OFFSET(Tab.o1[[#This Row],[DIF_Target]],1,0,L$3,1)))/3,Tab.o1[[#This Row],[DIF_Target]])</f>
        <v>-0.67210000000000036</v>
      </c>
      <c r="M48" s="118">
        <f ca="1">IF(Tab.o1[[#This Row],[a1]]=1,NORMSDIST(Tab.o1[[#This Row],[Za]]),"")</f>
        <v>0.14381779397626188</v>
      </c>
      <c r="N48" s="119">
        <f>IF(Tab.o1[[#This Row],[a1]]=1,((Tab.o1[[#This Row],[MedMod]]-AVERAGE(Tab.o1[MedMod]))/_xlfn.STDEV.P(Tab.o1[MedMod])*H$1205)+G$1205,"")</f>
        <v>9.4240019921286181E-2</v>
      </c>
      <c r="O48" s="141">
        <f>IF(Tab.o1[[#This Row],[a1]]=1,Tab.o1[[#This Row],[Zb]]*_xlfn.STDEV.P(Tab.o1[MedMod])+AVERAGE(Tab.o1[MedMod]),"")</f>
        <v>838.8</v>
      </c>
      <c r="P48" s="117">
        <f ca="1">IF(Tab.o1[[#This Row],[B]]=0,AVERAGE(OFFSET(Tab.o1[[#This Row],[B]],1,0,L$3,1)),Tab.o1[[#This Row],[B]])</f>
        <v>838.8</v>
      </c>
      <c r="Q48" s="121">
        <f>IF(Tab.o1[[#This Row],[a1]]=1,NORMSDIST(Tab.o1[[#This Row],[Zb]]),"")</f>
        <v>0.53754075254123579</v>
      </c>
      <c r="R48" s="122">
        <f>IF(Tab.o1[[#This Row],[a1]]=1,((Tab.o1[[#This Row],[MedMod]]-AVERAGE(Tab.o1[MedMod]))/_xlfn.STDEV.P(Tab.o1[MedMod])*H$1203)+G$1203,"")</f>
        <v>2.0942400199212861</v>
      </c>
      <c r="S48" s="122">
        <f>IF(Tab.o1[[#This Row],[a1]]=1,((Tab.o1[[#This Row],[MedMod]]-AVERAGE(Tab.o1[MedMod]))/_xlfn.STDEV.P(Tab.o1[MedMod])*H$1204)+G$1204,"")</f>
        <v>-1.9057599800787137</v>
      </c>
      <c r="T48" s="123">
        <f>IF(Tab.o1[[#This Row],[a1]]=1,Tab.o1[[#This Row],[Z-]]*_xlfn.STDEV.P(Tab.o1[B])+AVERAGE(Tab.o1[B]),"")</f>
        <v>842.24864103669836</v>
      </c>
      <c r="U48" s="123">
        <f>IF(Tab.o1[[#This Row],[a1]]=1,Tab.o1[[#This Row],[z+]]*_xlfn.STDEV.P(Tab.o1[B])+AVERAGE(Tab.o1[B]),"")</f>
        <v>835.35135896330155</v>
      </c>
      <c r="V48" s="124">
        <f>IF(Tab.o1[[#This Row],[a1]]=1,ABS((ABS(Tab.o1[[#This Row],[Red]]-Tab.o1[[#This Row],[Blue]]))),"")</f>
        <v>6.8972820733968092</v>
      </c>
      <c r="W48" s="125">
        <f>IF(Tab.o1[[#This Row],[a1]]=1,IF(W$3=0,1,Tab.o1[[#This Row],[Amp.]]*1/_xlfn.MINIFS(Tab.o1[Amp.],Tab.o1[Amp.],"&lt;&gt;0")),"")</f>
        <v>1</v>
      </c>
      <c r="X48" s="126">
        <f ca="1">IF(Tab.o1[[#This Row],[a1]]=1,IF(ISNUMBER(Tab.o1[[#This Row],[i.]]),NORMDIST(Tab.o1[[#This Row],[Za]],0,1,FALSE)*Tab.o1[[#This Row],[i.]],AP$3),"")</f>
        <v>0.22666860362889638</v>
      </c>
      <c r="Y48" s="126">
        <f ca="1">IF(Tab.o1[[#This Row],[a1]]=1,0.01+0.94*Tab.o1[[#This Row],[PDF]]/MAX(Tab.o1[PDF]),"")</f>
        <v>0.54516652375220254</v>
      </c>
      <c r="Z48" s="126">
        <f>IF(Tab.o1[[#This Row],[a1]]=1,0.01+0.94*Tab.o1[[#This Row],[W1_PDF]]/MAX(Tab.o1[W1_PDF]),"")</f>
        <v>0.95</v>
      </c>
      <c r="AA48" s="118">
        <f>IF(Tab.o1[[#This Row],[a1]]=1,ABS([1]!T.in.A[[#This Row],[oo6]]),"")</f>
        <v>7.1269669999999993E-2</v>
      </c>
      <c r="AB48" s="127">
        <f ca="1">IF(Tab.o1[[#This Row],[a1]]=1,IF(AE$3=0,"",IF(AB$3=0,ABS([1]!T.in.A[[#This Row],[oo9]]),ABS(Tab.o1[[#This Row],[DIF_Target.]]*Tab.o1[[#This Row],[W1_PDF]]))),"")</f>
        <v>4.7900345207000018E-2</v>
      </c>
      <c r="AC48" s="127" t="str">
        <f>IF(G$1=1,"",IF(Tab.o1[[#This Row],[a1]]=1,Tab.o1[[#This Row],[Wr]]^2,""))</f>
        <v/>
      </c>
      <c r="AD48" s="118" t="e">
        <f>IF(Tab.o1[[#This Row],[a1]]=1,IF(AE$3=0,"",Tab.o1[[#This Row],[Wr2]]/SUM(Tab.o1[Wr2])),"")</f>
        <v>#VALUE!</v>
      </c>
      <c r="AE48" s="128">
        <f>IF(Tab.o1[[#This Row],[a1]]=1,[1]!T.in.A[[#This Row],[oo10]],"")</f>
        <v>0.9919173</v>
      </c>
      <c r="AF48" s="118" t="e">
        <f ca="1">IF(Tab.o1[[#This Row],[a1]]=1,ABS(Tab.o1[[#This Row],[DIF_Target.]]*Tab.o1[[#This Row],[PDF2]]*Tab.o1[[#This Row],[IN]]),"")</f>
        <v>#REF!</v>
      </c>
      <c r="AG48" s="129" t="e">
        <f ca="1">IF(Tab.o1[[#This Row],[a1]]=1,Tab.o1[[#This Row],[rW]]^2,"")</f>
        <v>#REF!</v>
      </c>
      <c r="AH48" s="130" t="e">
        <f ca="1">IF(Tab.o1[[#This Row],[a1]]=1,IF(AH$3=0,Tab.o1[[#This Row],[rW2]],0.01+0.94*Tab.o1[[#This Row],[rW2]]/SUM(Tab.o1[rW2])),"")</f>
        <v>#REF!</v>
      </c>
      <c r="AI48" s="128">
        <f ca="1">IF(Tab.o1[[#This Row],[a1]]=1,1/Tab.o1[[#This Row],[PDF]],"")</f>
        <v>4.4117270058150968</v>
      </c>
      <c r="AJ48" s="131" t="e">
        <f>IF(Tab.o1[[#This Row],[a1]]=1,[1]!T_AA[[#This Row],[IN'']]*[1]!T_AA[[#This Row],[Qde'']],"")</f>
        <v>#REF!</v>
      </c>
      <c r="AK48" s="132" t="str">
        <f>IF(Tab.o1[[#This Row],[a1]]=1,IF(AK$1=1,Tab.o1[[#This Row],[MED]]+Tab.o1[[#This Row],[MOD]]-Tab.o1[[#This Row],[MED]],""),"")</f>
        <v/>
      </c>
      <c r="AL48" s="133">
        <f>IF(Tab.o1[[#This Row],[a1]]=1,[1]!T.in.A[[#This Row],[oo16]],"")</f>
        <v>0.87283149999999998</v>
      </c>
      <c r="AM48" s="133">
        <f>IF(Tab.o1[[#This Row],[a1]]=1,IF(AM$3=1,[1]!T.in.A[[#This Row],[Σo16]],""),"")</f>
        <v>1.6872186105858659E-2</v>
      </c>
      <c r="AN48" s="126" t="str">
        <f>IF(Tab.o1[[#This Row],[a1]]=1,[1]!T.in.A[[#This Row],[Σp5]],"")</f>
        <v/>
      </c>
      <c r="AO48" s="126" t="str">
        <f>IF(Tab.o1[[#This Row],[a1]]=1,IF(AO$3=1,[1]!T.in.A[[#This Row],[Σp5]],""),"")</f>
        <v/>
      </c>
      <c r="AP48" s="110">
        <f ca="1">IF(Tab.o1[[#This Row],[a1]]=1,IF(ISNUMBER(Tab.o1[[#This Row],[i.]]),NORMDIST(Tab.o1[[#This Row],[Za]],0,1,FALSE)*Tab.o1[[#This Row],[i.]],0),"")</f>
        <v>0.22666860362889638</v>
      </c>
      <c r="AQ48" s="125">
        <f>IF(Tab.o1[[#This Row],[a1]]=1,ABS(Tab.o1[[#This Row],[MOD]]-AVERAGE(Tab.o1[MOD])),"")</f>
        <v>1.2334640625000475</v>
      </c>
      <c r="AR48" s="134">
        <f>IF(Tab.o1[[#This Row],[a1]]=1,Tab.o1[[#This Row],[OBS]]/SUM(Tab.o1[OBS]),"")</f>
        <v>1.2873370250768441E-2</v>
      </c>
      <c r="AS48" s="135">
        <f>IF(ISNUMBER(Tab.o1[[#This Row],[a1]]),ROW()-4,"")</f>
        <v>44</v>
      </c>
      <c r="AT48" s="136">
        <f>Tab.o1[[#This Row],[MOD]]</f>
        <v>838.12789999999995</v>
      </c>
      <c r="AU48" s="137">
        <f t="shared" si="1"/>
        <v>838.12789999999995</v>
      </c>
      <c r="AV48" s="138">
        <f t="shared" si="2"/>
        <v>0</v>
      </c>
      <c r="AW48" s="138" t="str">
        <f t="shared" si="3"/>
        <v/>
      </c>
      <c r="AX48" s="139" t="str">
        <f>[1]!T.in.A[[#This Row],[ID_T_manu]]</f>
        <v/>
      </c>
      <c r="AY48" s="140" t="e">
        <f>IF(ISNUMBER(Tab.o1[[#This Row],[a1]]),IF(AND(Tab.o1[[#This Row],[a1]]=1,Tab.o1[[#This Row],[b1]]&lt;=AY$4),#REF!,AY47),"")</f>
        <v>#REF!</v>
      </c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</row>
    <row r="49" spans="1:79" ht="15.75">
      <c r="A49" s="109">
        <v>9.0000000000000002E-6</v>
      </c>
      <c r="B49" s="110">
        <f t="shared" si="0"/>
        <v>49</v>
      </c>
      <c r="C49" s="111">
        <f>IF(C$1=[1]!T.in.A[[#This Row],[oo2]],1,"")</f>
        <v>1</v>
      </c>
      <c r="D49" s="112">
        <f>IF(Tab.o1[[#This Row],[a1]]=1,IF(SUM(C49:C50)=0,0,IF(SUM(C48:C49)=1,1,IF(SUM(C48:C50)&gt;1,D48+1,0))),"")</f>
        <v>45</v>
      </c>
      <c r="E49" s="113" t="str">
        <f>IF(Tab.o1[[#This Row],[a1]]=1,[1]!T.in.A[[#This Row],[oo1]],"")</f>
        <v>hed45</v>
      </c>
      <c r="F49" s="113" t="str">
        <f>IF(Tab.o1[[#This Row],[a1]]=1,[1]!T.in.A[[#This Row],[pp1]],"")</f>
        <v/>
      </c>
      <c r="G49" s="114">
        <f>IF(Tab.o1[[#This Row],[a1]]=1,G$2+IF(G$1=1,0,Tab.o1[[#This Row],[.x1]])+[1]!T.in.A[[#This Row],[oo3]],"")</f>
        <v>839.3</v>
      </c>
      <c r="H49" s="115">
        <f>IF(Tab.o1[[#This Row],[a1]]=1,IF(H$2=0,0,IF(G$1=1,0,Tab.o1[[#This Row],[.x1]])+[1]!T.in.A[[#This Row],[oo4]]),"")</f>
        <v>838.88670000000002</v>
      </c>
      <c r="I49" s="116">
        <f>IF(Tab.o1[[#This Row],[a1]]=1,IF(J$2=0,Tab.o1[[#This Row],[MED]],Tab.o1[[#This Row],[MOD]]),"")</f>
        <v>839.3</v>
      </c>
      <c r="J49" s="116">
        <f ca="1">IF(Tab.o1[[#This Row],[a1]]=1,((Tab.o1[[#This Row],[DIF_Target.]]-AVERAGE(Tab.o1[DIF_Target.]))/_xlfn.STDEV.P(Tab.o1[DIF_Target.])),"")</f>
        <v>-0.86619169506967009</v>
      </c>
      <c r="K49" s="117">
        <f>IF(Tab.o1[[#This Row],[a1]]=1,IF(J$2=0,Tab.o1[[#This Row],[MOD]]-Tab.o1[[#This Row],[B]],IF(J$2=1,0,-Tab.o1[[#This Row],[MED]])+Tab.o1[[#This Row],[B]]),"")</f>
        <v>-0.41329999999993561</v>
      </c>
      <c r="L49" s="117">
        <f ca="1">IF(Tab.o1[[#This Row],[DIF_Target]]=0,IF(L$2=0,Tab.o1[[#This Row],[DIF_Target]],AVERAGE(OFFSET(Tab.o1[[#This Row],[DIF_Target]],1,0,L$3,1)))/3,Tab.o1[[#This Row],[DIF_Target]])</f>
        <v>-0.41329999999993561</v>
      </c>
      <c r="M49" s="118">
        <f ca="1">IF(Tab.o1[[#This Row],[a1]]=1,NORMSDIST(Tab.o1[[#This Row],[Za]]),"")</f>
        <v>0.19319252346881227</v>
      </c>
      <c r="N49" s="119">
        <f>IF(Tab.o1[[#This Row],[a1]]=1,((Tab.o1[[#This Row],[MedMod]]-AVERAGE(Tab.o1[MedMod]))/_xlfn.STDEV.P(Tab.o1[MedMod])*H$1205)+G$1205,"")</f>
        <v>0.38420931198694441</v>
      </c>
      <c r="O49" s="141">
        <f>IF(Tab.o1[[#This Row],[a1]]=1,Tab.o1[[#This Row],[Zb]]*_xlfn.STDEV.P(Tab.o1[MedMod])+AVERAGE(Tab.o1[MedMod]),"")</f>
        <v>839.3</v>
      </c>
      <c r="P49" s="117">
        <f ca="1">IF(Tab.o1[[#This Row],[B]]=0,AVERAGE(OFFSET(Tab.o1[[#This Row],[B]],1,0,L$3,1)),Tab.o1[[#This Row],[B]])</f>
        <v>839.3</v>
      </c>
      <c r="Q49" s="121">
        <f>IF(Tab.o1[[#This Row],[a1]]=1,NORMSDIST(Tab.o1[[#This Row],[Zb]]),"")</f>
        <v>0.64958834147394695</v>
      </c>
      <c r="R49" s="122">
        <f>IF(Tab.o1[[#This Row],[a1]]=1,((Tab.o1[[#This Row],[MedMod]]-AVERAGE(Tab.o1[MedMod]))/_xlfn.STDEV.P(Tab.o1[MedMod])*H$1203)+G$1203,"")</f>
        <v>2.3842093119869445</v>
      </c>
      <c r="S49" s="122">
        <f>IF(Tab.o1[[#This Row],[a1]]=1,((Tab.o1[[#This Row],[MedMod]]-AVERAGE(Tab.o1[MedMod]))/_xlfn.STDEV.P(Tab.o1[MedMod])*H$1204)+G$1204,"")</f>
        <v>-1.6157906880130555</v>
      </c>
      <c r="T49" s="123">
        <f>IF(Tab.o1[[#This Row],[a1]]=1,Tab.o1[[#This Row],[Z-]]*_xlfn.STDEV.P(Tab.o1[B])+AVERAGE(Tab.o1[B]),"")</f>
        <v>842.74864103669836</v>
      </c>
      <c r="U49" s="123">
        <f>IF(Tab.o1[[#This Row],[a1]]=1,Tab.o1[[#This Row],[z+]]*_xlfn.STDEV.P(Tab.o1[B])+AVERAGE(Tab.o1[B]),"")</f>
        <v>835.85135896330155</v>
      </c>
      <c r="V49" s="124">
        <f>IF(Tab.o1[[#This Row],[a1]]=1,ABS((ABS(Tab.o1[[#This Row],[Red]]-Tab.o1[[#This Row],[Blue]]))),"")</f>
        <v>6.8972820733968092</v>
      </c>
      <c r="W49" s="125">
        <f>IF(Tab.o1[[#This Row],[a1]]=1,IF(W$3=0,1,Tab.o1[[#This Row],[Amp.]]*1/_xlfn.MINIFS(Tab.o1[Amp.],Tab.o1[Amp.],"&lt;&gt;0")),"")</f>
        <v>1</v>
      </c>
      <c r="X49" s="126">
        <f ca="1">IF(Tab.o1[[#This Row],[a1]]=1,IF(ISNUMBER(Tab.o1[[#This Row],[i.]]),NORMDIST(Tab.o1[[#This Row],[Za]],0,1,FALSE)*Tab.o1[[#This Row],[i.]],AP$3),"")</f>
        <v>0.27414926462748873</v>
      </c>
      <c r="Y49" s="126">
        <f ca="1">IF(Tab.o1[[#This Row],[a1]]=1,0.01+0.94*Tab.o1[[#This Row],[PDF]]/MAX(Tab.o1[PDF]),"")</f>
        <v>0.65726877296213282</v>
      </c>
      <c r="Z49" s="126">
        <f>IF(Tab.o1[[#This Row],[a1]]=1,0.01+0.94*Tab.o1[[#This Row],[W1_PDF]]/MAX(Tab.o1[W1_PDF]),"")</f>
        <v>0.95</v>
      </c>
      <c r="AA49" s="118">
        <f>IF(Tab.o1[[#This Row],[a1]]=1,ABS([1]!T.in.A[[#This Row],[oo6]]),"")</f>
        <v>7.1269669999999993E-2</v>
      </c>
      <c r="AB49" s="127">
        <f ca="1">IF(Tab.o1[[#This Row],[a1]]=1,IF(AE$3=0,"",IF(AB$3=0,ABS([1]!T.in.A[[#This Row],[oo9]]),ABS(Tab.o1[[#This Row],[DIF_Target.]]*Tab.o1[[#This Row],[W1_PDF]]))),"")</f>
        <v>2.9455754610995408E-2</v>
      </c>
      <c r="AC49" s="127" t="str">
        <f>IF(G$1=1,"",IF(Tab.o1[[#This Row],[a1]]=1,Tab.o1[[#This Row],[Wr]]^2,""))</f>
        <v/>
      </c>
      <c r="AD49" s="118" t="e">
        <f>IF(Tab.o1[[#This Row],[a1]]=1,IF(AE$3=0,"",Tab.o1[[#This Row],[Wr2]]/SUM(Tab.o1[Wr2])),"")</f>
        <v>#VALUE!</v>
      </c>
      <c r="AE49" s="128">
        <f>IF(Tab.o1[[#This Row],[a1]]=1,[1]!T.in.A[[#This Row],[oo10]],"")</f>
        <v>0.9919173</v>
      </c>
      <c r="AF49" s="118" t="e">
        <f ca="1">IF(Tab.o1[[#This Row],[a1]]=1,ABS(Tab.o1[[#This Row],[DIF_Target.]]*Tab.o1[[#This Row],[PDF2]]*Tab.o1[[#This Row],[IN]]),"")</f>
        <v>#REF!</v>
      </c>
      <c r="AG49" s="129" t="e">
        <f ca="1">IF(Tab.o1[[#This Row],[a1]]=1,Tab.o1[[#This Row],[rW]]^2,"")</f>
        <v>#REF!</v>
      </c>
      <c r="AH49" s="130" t="e">
        <f ca="1">IF(Tab.o1[[#This Row],[a1]]=1,IF(AH$3=0,Tab.o1[[#This Row],[rW2]],0.01+0.94*Tab.o1[[#This Row],[rW2]]/SUM(Tab.o1[rW2])),"")</f>
        <v>#REF!</v>
      </c>
      <c r="AI49" s="128">
        <f ca="1">IF(Tab.o1[[#This Row],[a1]]=1,1/Tab.o1[[#This Row],[PDF]],"")</f>
        <v>3.6476479386468168</v>
      </c>
      <c r="AJ49" s="131" t="e">
        <f>IF(Tab.o1[[#This Row],[a1]]=1,[1]!T_AA[[#This Row],[IN'']]*[1]!T_AA[[#This Row],[Qde'']],"")</f>
        <v>#REF!</v>
      </c>
      <c r="AK49" s="132" t="str">
        <f>IF(Tab.o1[[#This Row],[a1]]=1,IF(AK$1=1,Tab.o1[[#This Row],[MED]]+Tab.o1[[#This Row],[MOD]]-Tab.o1[[#This Row],[MED]],""),"")</f>
        <v/>
      </c>
      <c r="AL49" s="133">
        <f>IF(Tab.o1[[#This Row],[a1]]=1,[1]!T.in.A[[#This Row],[oo16]],"")</f>
        <v>0.66775759999999995</v>
      </c>
      <c r="AM49" s="133">
        <f>IF(Tab.o1[[#This Row],[a1]]=1,IF(AM$3=1,[1]!T.in.A[[#This Row],[Σo16]],""),"")</f>
        <v>1.2908024631101793E-2</v>
      </c>
      <c r="AN49" s="126" t="str">
        <f>IF(Tab.o1[[#This Row],[a1]]=1,[1]!T.in.A[[#This Row],[Σp5]],"")</f>
        <v/>
      </c>
      <c r="AO49" s="126" t="str">
        <f>IF(Tab.o1[[#This Row],[a1]]=1,IF(AO$3=1,[1]!T.in.A[[#This Row],[Σp5]],""),"")</f>
        <v/>
      </c>
      <c r="AP49" s="110">
        <f ca="1">IF(Tab.o1[[#This Row],[a1]]=1,IF(ISNUMBER(Tab.o1[[#This Row],[i.]]),NORMDIST(Tab.o1[[#This Row],[Za]],0,1,FALSE)*Tab.o1[[#This Row],[i.]],0),"")</f>
        <v>0.27414926462748873</v>
      </c>
      <c r="AQ49" s="125">
        <f>IF(Tab.o1[[#This Row],[a1]]=1,ABS(Tab.o1[[#This Row],[MOD]]-AVERAGE(Tab.o1[MOD])),"")</f>
        <v>0.47466406249998272</v>
      </c>
      <c r="AR49" s="134">
        <f>IF(Tab.o1[[#This Row],[a1]]=1,Tab.o1[[#This Row],[OBS]]/SUM(Tab.o1[OBS]),"")</f>
        <v>4.9539556174105675E-3</v>
      </c>
      <c r="AS49" s="135">
        <f>IF(ISNUMBER(Tab.o1[[#This Row],[a1]]),ROW()-4,"")</f>
        <v>45</v>
      </c>
      <c r="AT49" s="136">
        <f>Tab.o1[[#This Row],[MOD]]</f>
        <v>838.88670000000002</v>
      </c>
      <c r="AU49" s="137">
        <f t="shared" si="1"/>
        <v>838.88670000000002</v>
      </c>
      <c r="AV49" s="138">
        <f t="shared" si="2"/>
        <v>0</v>
      </c>
      <c r="AW49" s="138" t="str">
        <f t="shared" si="3"/>
        <v/>
      </c>
      <c r="AX49" s="139" t="str">
        <f>[1]!T.in.A[[#This Row],[ID_T_manu]]</f>
        <v/>
      </c>
      <c r="AY49" s="140" t="e">
        <f>IF(ISNUMBER(Tab.o1[[#This Row],[a1]]),IF(AND(Tab.o1[[#This Row],[a1]]=1,Tab.o1[[#This Row],[b1]]&lt;=AY$4),#REF!,AY48),"")</f>
        <v>#REF!</v>
      </c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</row>
    <row r="50" spans="1:79" ht="15.75">
      <c r="A50" s="109">
        <v>-9.0000000000000002E-6</v>
      </c>
      <c r="B50" s="110">
        <f t="shared" si="0"/>
        <v>50</v>
      </c>
      <c r="C50" s="111">
        <f>IF(C$1=[1]!T.in.A[[#This Row],[oo2]],1,"")</f>
        <v>1</v>
      </c>
      <c r="D50" s="112">
        <f>IF(Tab.o1[[#This Row],[a1]]=1,IF(SUM(C50:C51)=0,0,IF(SUM(C49:C50)=1,1,IF(SUM(C49:C51)&gt;1,D49+1,0))),"")</f>
        <v>46</v>
      </c>
      <c r="E50" s="113" t="str">
        <f>IF(Tab.o1[[#This Row],[a1]]=1,[1]!T.in.A[[#This Row],[oo1]],"")</f>
        <v>hed46</v>
      </c>
      <c r="F50" s="113" t="str">
        <f>IF(Tab.o1[[#This Row],[a1]]=1,[1]!T.in.A[[#This Row],[pp1]],"")</f>
        <v/>
      </c>
      <c r="G50" s="114">
        <f>IF(Tab.o1[[#This Row],[a1]]=1,G$2+IF(G$1=1,0,Tab.o1[[#This Row],[.x1]])+[1]!T.in.A[[#This Row],[oo3]],"")</f>
        <v>839.6</v>
      </c>
      <c r="H50" s="115">
        <f>IF(Tab.o1[[#This Row],[a1]]=1,IF(H$2=0,0,IF(G$1=1,0,Tab.o1[[#This Row],[.x1]])+[1]!T.in.A[[#This Row],[oo4]]),"")</f>
        <v>839.28070000000002</v>
      </c>
      <c r="I50" s="116">
        <f>IF(Tab.o1[[#This Row],[a1]]=1,IF(J$2=0,Tab.o1[[#This Row],[MED]],Tab.o1[[#This Row],[MOD]]),"")</f>
        <v>839.6</v>
      </c>
      <c r="J50" s="116">
        <f ca="1">IF(Tab.o1[[#This Row],[a1]]=1,((Tab.o1[[#This Row],[DIF_Target.]]-AVERAGE(Tab.o1[DIF_Target.]))/_xlfn.STDEV.P(Tab.o1[DIF_Target.])),"")</f>
        <v>-0.79459075196784812</v>
      </c>
      <c r="K50" s="117">
        <f>IF(Tab.o1[[#This Row],[a1]]=1,IF(J$2=0,Tab.o1[[#This Row],[MOD]]-Tab.o1[[#This Row],[B]],IF(J$2=1,0,-Tab.o1[[#This Row],[MED]])+Tab.o1[[#This Row],[B]]),"")</f>
        <v>-0.31929999999999836</v>
      </c>
      <c r="L50" s="117">
        <f ca="1">IF(Tab.o1[[#This Row],[DIF_Target]]=0,IF(L$2=0,Tab.o1[[#This Row],[DIF_Target]],AVERAGE(OFFSET(Tab.o1[[#This Row],[DIF_Target]],1,0,L$3,1)))/3,Tab.o1[[#This Row],[DIF_Target]])</f>
        <v>-0.31929999999999836</v>
      </c>
      <c r="M50" s="118">
        <f ca="1">IF(Tab.o1[[#This Row],[a1]]=1,NORMSDIST(Tab.o1[[#This Row],[Za]]),"")</f>
        <v>0.21342579982033538</v>
      </c>
      <c r="N50" s="119">
        <f>IF(Tab.o1[[#This Row],[a1]]=1,((Tab.o1[[#This Row],[MedMod]]-AVERAGE(Tab.o1[MedMod]))/_xlfn.STDEV.P(Tab.o1[MedMod])*H$1205)+G$1205,"")</f>
        <v>0.55819088722637888</v>
      </c>
      <c r="O50" s="141">
        <f>IF(Tab.o1[[#This Row],[a1]]=1,Tab.o1[[#This Row],[Zb]]*_xlfn.STDEV.P(Tab.o1[MedMod])+AVERAGE(Tab.o1[MedMod]),"")</f>
        <v>839.6</v>
      </c>
      <c r="P50" s="117">
        <f ca="1">IF(Tab.o1[[#This Row],[B]]=0,AVERAGE(OFFSET(Tab.o1[[#This Row],[B]],1,0,L$3,1)),Tab.o1[[#This Row],[B]])</f>
        <v>839.6</v>
      </c>
      <c r="Q50" s="121">
        <f>IF(Tab.o1[[#This Row],[a1]]=1,NORMSDIST(Tab.o1[[#This Row],[Zb]]),"")</f>
        <v>0.71164297855220815</v>
      </c>
      <c r="R50" s="122">
        <f>IF(Tab.o1[[#This Row],[a1]]=1,((Tab.o1[[#This Row],[MedMod]]-AVERAGE(Tab.o1[MedMod]))/_xlfn.STDEV.P(Tab.o1[MedMod])*H$1203)+G$1203,"")</f>
        <v>2.5581908872263788</v>
      </c>
      <c r="S50" s="122">
        <f>IF(Tab.o1[[#This Row],[a1]]=1,((Tab.o1[[#This Row],[MedMod]]-AVERAGE(Tab.o1[MedMod]))/_xlfn.STDEV.P(Tab.o1[MedMod])*H$1204)+G$1204,"")</f>
        <v>-1.4418091127736212</v>
      </c>
      <c r="T50" s="123">
        <f>IF(Tab.o1[[#This Row],[a1]]=1,Tab.o1[[#This Row],[Z-]]*_xlfn.STDEV.P(Tab.o1[B])+AVERAGE(Tab.o1[B]),"")</f>
        <v>843.04864103669843</v>
      </c>
      <c r="U50" s="123">
        <f>IF(Tab.o1[[#This Row],[a1]]=1,Tab.o1[[#This Row],[z+]]*_xlfn.STDEV.P(Tab.o1[B])+AVERAGE(Tab.o1[B]),"")</f>
        <v>836.15135896330162</v>
      </c>
      <c r="V50" s="124">
        <f>IF(Tab.o1[[#This Row],[a1]]=1,ABS((ABS(Tab.o1[[#This Row],[Red]]-Tab.o1[[#This Row],[Blue]]))),"")</f>
        <v>6.8972820733968092</v>
      </c>
      <c r="W50" s="125">
        <f>IF(Tab.o1[[#This Row],[a1]]=1,IF(W$3=0,1,Tab.o1[[#This Row],[Amp.]]*1/_xlfn.MINIFS(Tab.o1[Amp.],Tab.o1[Amp.],"&lt;&gt;0")),"")</f>
        <v>1</v>
      </c>
      <c r="X50" s="126">
        <f ca="1">IF(Tab.o1[[#This Row],[a1]]=1,IF(ISNUMBER(Tab.o1[[#This Row],[i.]]),NORMDIST(Tab.o1[[#This Row],[Za]],0,1,FALSE)*Tab.o1[[#This Row],[i.]],AP$3),"")</f>
        <v>0.2909436233531682</v>
      </c>
      <c r="Y50" s="126">
        <f ca="1">IF(Tab.o1[[#This Row],[a1]]=1,0.01+0.94*Tab.o1[[#This Row],[PDF]]/MAX(Tab.o1[PDF]),"")</f>
        <v>0.69692039843640552</v>
      </c>
      <c r="Z50" s="126">
        <f>IF(Tab.o1[[#This Row],[a1]]=1,0.01+0.94*Tab.o1[[#This Row],[W1_PDF]]/MAX(Tab.o1[W1_PDF]),"")</f>
        <v>0.95</v>
      </c>
      <c r="AA50" s="118">
        <f>IF(Tab.o1[[#This Row],[a1]]=1,ABS([1]!T.in.A[[#This Row],[oo6]]),"")</f>
        <v>7.1269669999999993E-2</v>
      </c>
      <c r="AB50" s="127">
        <f ca="1">IF(Tab.o1[[#This Row],[a1]]=1,IF(AE$3=0,"",IF(AB$3=0,ABS([1]!T.in.A[[#This Row],[oo9]]),ABS(Tab.o1[[#This Row],[DIF_Target.]]*Tab.o1[[#This Row],[W1_PDF]]))),"")</f>
        <v>2.2756405630999881E-2</v>
      </c>
      <c r="AC50" s="127" t="str">
        <f>IF(G$1=1,"",IF(Tab.o1[[#This Row],[a1]]=1,Tab.o1[[#This Row],[Wr]]^2,""))</f>
        <v/>
      </c>
      <c r="AD50" s="118" t="e">
        <f>IF(Tab.o1[[#This Row],[a1]]=1,IF(AE$3=0,"",Tab.o1[[#This Row],[Wr2]]/SUM(Tab.o1[Wr2])),"")</f>
        <v>#VALUE!</v>
      </c>
      <c r="AE50" s="128">
        <f>IF(Tab.o1[[#This Row],[a1]]=1,[1]!T.in.A[[#This Row],[oo10]],"")</f>
        <v>0.9919173</v>
      </c>
      <c r="AF50" s="118" t="e">
        <f ca="1">IF(Tab.o1[[#This Row],[a1]]=1,ABS(Tab.o1[[#This Row],[DIF_Target.]]*Tab.o1[[#This Row],[PDF2]]*Tab.o1[[#This Row],[IN]]),"")</f>
        <v>#REF!</v>
      </c>
      <c r="AG50" s="129" t="e">
        <f ca="1">IF(Tab.o1[[#This Row],[a1]]=1,Tab.o1[[#This Row],[rW]]^2,"")</f>
        <v>#REF!</v>
      </c>
      <c r="AH50" s="130" t="e">
        <f ca="1">IF(Tab.o1[[#This Row],[a1]]=1,IF(AH$3=0,Tab.o1[[#This Row],[rW2]],0.01+0.94*Tab.o1[[#This Row],[rW2]]/SUM(Tab.o1[rW2])),"")</f>
        <v>#REF!</v>
      </c>
      <c r="AI50" s="128">
        <f ca="1">IF(Tab.o1[[#This Row],[a1]]=1,1/Tab.o1[[#This Row],[PDF]],"")</f>
        <v>3.4370919990438438</v>
      </c>
      <c r="AJ50" s="131" t="e">
        <f>IF(Tab.o1[[#This Row],[a1]]=1,[1]!T_AA[[#This Row],[IN'']]*[1]!T_AA[[#This Row],[Qde'']],"")</f>
        <v>#REF!</v>
      </c>
      <c r="AK50" s="132" t="str">
        <f>IF(Tab.o1[[#This Row],[a1]]=1,IF(AK$1=1,Tab.o1[[#This Row],[MED]]+Tab.o1[[#This Row],[MOD]]-Tab.o1[[#This Row],[MED]],""),"")</f>
        <v/>
      </c>
      <c r="AL50" s="133">
        <f>IF(Tab.o1[[#This Row],[a1]]=1,[1]!T.in.A[[#This Row],[oo16]],"")</f>
        <v>0.56229459999999998</v>
      </c>
      <c r="AM50" s="133">
        <f>IF(Tab.o1[[#This Row],[a1]]=1,IF(AM$3=1,[1]!T.in.A[[#This Row],[Σo16]],""),"")</f>
        <v>1.0869382163131547E-2</v>
      </c>
      <c r="AN50" s="126" t="str">
        <f>IF(Tab.o1[[#This Row],[a1]]=1,[1]!T.in.A[[#This Row],[Σp5]],"")</f>
        <v/>
      </c>
      <c r="AO50" s="126" t="str">
        <f>IF(Tab.o1[[#This Row],[a1]]=1,IF(AO$3=1,[1]!T.in.A[[#This Row],[Σp5]],""),"")</f>
        <v/>
      </c>
      <c r="AP50" s="110">
        <f ca="1">IF(Tab.o1[[#This Row],[a1]]=1,IF(ISNUMBER(Tab.o1[[#This Row],[i.]]),NORMDIST(Tab.o1[[#This Row],[Za]],0,1,FALSE)*Tab.o1[[#This Row],[i.]],0),"")</f>
        <v>0.2909436233531682</v>
      </c>
      <c r="AQ50" s="125">
        <f>IF(Tab.o1[[#This Row],[a1]]=1,ABS(Tab.o1[[#This Row],[MOD]]-AVERAGE(Tab.o1[MOD])),"")</f>
        <v>8.0664062499977263E-2</v>
      </c>
      <c r="AR50" s="134">
        <f>IF(Tab.o1[[#This Row],[a1]]=1,Tab.o1[[#This Row],[OBS]]/SUM(Tab.o1[OBS]),"")</f>
        <v>8.4187158269420073E-4</v>
      </c>
      <c r="AS50" s="135">
        <f>IF(ISNUMBER(Tab.o1[[#This Row],[a1]]),ROW()-4,"")</f>
        <v>46</v>
      </c>
      <c r="AT50" s="136">
        <f>Tab.o1[[#This Row],[MOD]]</f>
        <v>839.28070000000002</v>
      </c>
      <c r="AU50" s="137">
        <f t="shared" si="1"/>
        <v>839.28070000000002</v>
      </c>
      <c r="AV50" s="138">
        <f t="shared" si="2"/>
        <v>0</v>
      </c>
      <c r="AW50" s="138" t="str">
        <f t="shared" si="3"/>
        <v/>
      </c>
      <c r="AX50" s="139" t="str">
        <f>[1]!T.in.A[[#This Row],[ID_T_manu]]</f>
        <v/>
      </c>
      <c r="AY50" s="140" t="e">
        <f>IF(ISNUMBER(Tab.o1[[#This Row],[a1]]),IF(AND(Tab.o1[[#This Row],[a1]]=1,Tab.o1[[#This Row],[b1]]&lt;=AY$4),#REF!,AY49),"")</f>
        <v>#REF!</v>
      </c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</row>
    <row r="51" spans="1:79" ht="15.75">
      <c r="A51" s="109">
        <v>8.0000000000000013E-6</v>
      </c>
      <c r="B51" s="110">
        <f t="shared" si="0"/>
        <v>51</v>
      </c>
      <c r="C51" s="111">
        <f>IF(C$1=[1]!T.in.A[[#This Row],[oo2]],1,"")</f>
        <v>1</v>
      </c>
      <c r="D51" s="112">
        <f>IF(Tab.o1[[#This Row],[a1]]=1,IF(SUM(C51:C52)=0,0,IF(SUM(C50:C51)=1,1,IF(SUM(C50:C52)&gt;1,D50+1,0))),"")</f>
        <v>47</v>
      </c>
      <c r="E51" s="113" t="str">
        <f>IF(Tab.o1[[#This Row],[a1]]=1,[1]!T.in.A[[#This Row],[oo1]],"")</f>
        <v>hed47</v>
      </c>
      <c r="F51" s="113" t="str">
        <f>IF(Tab.o1[[#This Row],[a1]]=1,[1]!T.in.A[[#This Row],[pp1]],"")</f>
        <v/>
      </c>
      <c r="G51" s="114">
        <f>IF(Tab.o1[[#This Row],[a1]]=1,G$2+IF(G$1=1,0,Tab.o1[[#This Row],[.x1]])+[1]!T.in.A[[#This Row],[oo3]],"")</f>
        <v>839.9</v>
      </c>
      <c r="H51" s="115">
        <f>IF(Tab.o1[[#This Row],[a1]]=1,IF(H$2=0,0,IF(G$1=1,0,Tab.o1[[#This Row],[.x1]])+[1]!T.in.A[[#This Row],[oo4]]),"")</f>
        <v>839.5634</v>
      </c>
      <c r="I51" s="116">
        <f>IF(Tab.o1[[#This Row],[a1]]=1,IF(J$2=0,Tab.o1[[#This Row],[MED]],Tab.o1[[#This Row],[MOD]]),"")</f>
        <v>839.9</v>
      </c>
      <c r="J51" s="116">
        <f ca="1">IF(Tab.o1[[#This Row],[a1]]=1,((Tab.o1[[#This Row],[DIF_Target.]]-AVERAGE(Tab.o1[DIF_Target.]))/_xlfn.STDEV.P(Tab.o1[DIF_Target.])),"")</f>
        <v>-0.80776837234721766</v>
      </c>
      <c r="K51" s="117">
        <f>IF(Tab.o1[[#This Row],[a1]]=1,IF(J$2=0,Tab.o1[[#This Row],[MOD]]-Tab.o1[[#This Row],[B]],IF(J$2=1,0,-Tab.o1[[#This Row],[MED]])+Tab.o1[[#This Row],[B]]),"")</f>
        <v>-0.33659999999997581</v>
      </c>
      <c r="L51" s="117">
        <f ca="1">IF(Tab.o1[[#This Row],[DIF_Target]]=0,IF(L$2=0,Tab.o1[[#This Row],[DIF_Target]],AVERAGE(OFFSET(Tab.o1[[#This Row],[DIF_Target]],1,0,L$3,1)))/3,Tab.o1[[#This Row],[DIF_Target]])</f>
        <v>-0.33659999999997581</v>
      </c>
      <c r="M51" s="118">
        <f ca="1">IF(Tab.o1[[#This Row],[a1]]=1,NORMSDIST(Tab.o1[[#This Row],[Za]]),"")</f>
        <v>0.20961196767824272</v>
      </c>
      <c r="N51" s="119">
        <f>IF(Tab.o1[[#This Row],[a1]]=1,((Tab.o1[[#This Row],[MedMod]]-AVERAGE(Tab.o1[MedMod]))/_xlfn.STDEV.P(Tab.o1[MedMod])*H$1205)+G$1205,"")</f>
        <v>0.73217246246574741</v>
      </c>
      <c r="O51" s="141">
        <f>IF(Tab.o1[[#This Row],[a1]]=1,Tab.o1[[#This Row],[Zb]]*_xlfn.STDEV.P(Tab.o1[MedMod])+AVERAGE(Tab.o1[MedMod]),"")</f>
        <v>839.9</v>
      </c>
      <c r="P51" s="117">
        <f ca="1">IF(Tab.o1[[#This Row],[B]]=0,AVERAGE(OFFSET(Tab.o1[[#This Row],[B]],1,0,L$3,1)),Tab.o1[[#This Row],[B]])</f>
        <v>839.9</v>
      </c>
      <c r="Q51" s="121">
        <f>IF(Tab.o1[[#This Row],[a1]]=1,NORMSDIST(Tab.o1[[#This Row],[Zb]]),"")</f>
        <v>0.76796834504293576</v>
      </c>
      <c r="R51" s="122">
        <f>IF(Tab.o1[[#This Row],[a1]]=1,((Tab.o1[[#This Row],[MedMod]]-AVERAGE(Tab.o1[MedMod]))/_xlfn.STDEV.P(Tab.o1[MedMod])*H$1203)+G$1203,"")</f>
        <v>2.7321724624657473</v>
      </c>
      <c r="S51" s="122">
        <f>IF(Tab.o1[[#This Row],[a1]]=1,((Tab.o1[[#This Row],[MedMod]]-AVERAGE(Tab.o1[MedMod]))/_xlfn.STDEV.P(Tab.o1[MedMod])*H$1204)+G$1204,"")</f>
        <v>-1.2678275375342527</v>
      </c>
      <c r="T51" s="123">
        <f>IF(Tab.o1[[#This Row],[a1]]=1,Tab.o1[[#This Row],[Z-]]*_xlfn.STDEV.P(Tab.o1[B])+AVERAGE(Tab.o1[B]),"")</f>
        <v>843.34864103669838</v>
      </c>
      <c r="U51" s="123">
        <f>IF(Tab.o1[[#This Row],[a1]]=1,Tab.o1[[#This Row],[z+]]*_xlfn.STDEV.P(Tab.o1[B])+AVERAGE(Tab.o1[B]),"")</f>
        <v>836.45135896330157</v>
      </c>
      <c r="V51" s="124">
        <f>IF(Tab.o1[[#This Row],[a1]]=1,ABS((ABS(Tab.o1[[#This Row],[Red]]-Tab.o1[[#This Row],[Blue]]))),"")</f>
        <v>6.8972820733968092</v>
      </c>
      <c r="W51" s="125">
        <f>IF(Tab.o1[[#This Row],[a1]]=1,IF(W$3=0,1,Tab.o1[[#This Row],[Amp.]]*1/_xlfn.MINIFS(Tab.o1[Amp.],Tab.o1[Amp.],"&lt;&gt;0")),"")</f>
        <v>1</v>
      </c>
      <c r="X51" s="126">
        <f ca="1">IF(Tab.o1[[#This Row],[a1]]=1,IF(ISNUMBER(Tab.o1[[#This Row],[i.]]),NORMDIST(Tab.o1[[#This Row],[Za]],0,1,FALSE)*Tab.o1[[#This Row],[i.]],AP$3),"")</f>
        <v>0.28788810320356684</v>
      </c>
      <c r="Y51" s="126">
        <f ca="1">IF(Tab.o1[[#This Row],[a1]]=1,0.01+0.94*Tab.o1[[#This Row],[PDF]]/MAX(Tab.o1[PDF]),"")</f>
        <v>0.68970628906908371</v>
      </c>
      <c r="Z51" s="126">
        <f>IF(Tab.o1[[#This Row],[a1]]=1,0.01+0.94*Tab.o1[[#This Row],[W1_PDF]]/MAX(Tab.o1[W1_PDF]),"")</f>
        <v>0.95</v>
      </c>
      <c r="AA51" s="118">
        <f>IF(Tab.o1[[#This Row],[a1]]=1,ABS([1]!T.in.A[[#This Row],[oo6]]),"")</f>
        <v>7.1269669999999993E-2</v>
      </c>
      <c r="AB51" s="127">
        <f ca="1">IF(Tab.o1[[#This Row],[a1]]=1,IF(AE$3=0,"",IF(AB$3=0,ABS([1]!T.in.A[[#This Row],[oo9]]),ABS(Tab.o1[[#This Row],[DIF_Target.]]*Tab.o1[[#This Row],[W1_PDF]]))),"")</f>
        <v>2.3989370921998272E-2</v>
      </c>
      <c r="AC51" s="127" t="str">
        <f>IF(G$1=1,"",IF(Tab.o1[[#This Row],[a1]]=1,Tab.o1[[#This Row],[Wr]]^2,""))</f>
        <v/>
      </c>
      <c r="AD51" s="118" t="e">
        <f>IF(Tab.o1[[#This Row],[a1]]=1,IF(AE$3=0,"",Tab.o1[[#This Row],[Wr2]]/SUM(Tab.o1[Wr2])),"")</f>
        <v>#VALUE!</v>
      </c>
      <c r="AE51" s="128">
        <f>IF(Tab.o1[[#This Row],[a1]]=1,[1]!T.in.A[[#This Row],[oo10]],"")</f>
        <v>0.9919173</v>
      </c>
      <c r="AF51" s="118" t="e">
        <f ca="1">IF(Tab.o1[[#This Row],[a1]]=1,ABS(Tab.o1[[#This Row],[DIF_Target.]]*Tab.o1[[#This Row],[PDF2]]*Tab.o1[[#This Row],[IN]]),"")</f>
        <v>#REF!</v>
      </c>
      <c r="AG51" s="129" t="e">
        <f ca="1">IF(Tab.o1[[#This Row],[a1]]=1,Tab.o1[[#This Row],[rW]]^2,"")</f>
        <v>#REF!</v>
      </c>
      <c r="AH51" s="130" t="e">
        <f ca="1">IF(Tab.o1[[#This Row],[a1]]=1,IF(AH$3=0,Tab.o1[[#This Row],[rW2]],0.01+0.94*Tab.o1[[#This Row],[rW2]]/SUM(Tab.o1[rW2])),"")</f>
        <v>#REF!</v>
      </c>
      <c r="AI51" s="128">
        <f ca="1">IF(Tab.o1[[#This Row],[a1]]=1,1/Tab.o1[[#This Row],[PDF]],"")</f>
        <v>3.4735718109646787</v>
      </c>
      <c r="AJ51" s="131" t="e">
        <f>IF(Tab.o1[[#This Row],[a1]]=1,[1]!T_AA[[#This Row],[IN'']]*[1]!T_AA[[#This Row],[Qde'']],"")</f>
        <v>#REF!</v>
      </c>
      <c r="AK51" s="132" t="str">
        <f>IF(Tab.o1[[#This Row],[a1]]=1,IF(AK$1=1,Tab.o1[[#This Row],[MED]]+Tab.o1[[#This Row],[MOD]]-Tab.o1[[#This Row],[MED]],""),"")</f>
        <v/>
      </c>
      <c r="AL51" s="133">
        <f>IF(Tab.o1[[#This Row],[a1]]=1,[1]!T.in.A[[#This Row],[oo16]],"")</f>
        <v>0.48153420000000002</v>
      </c>
      <c r="AM51" s="133">
        <f>IF(Tab.o1[[#This Row],[a1]]=1,IF(AM$3=1,[1]!T.in.A[[#This Row],[Σo16]],""),"")</f>
        <v>9.3082509496228844E-3</v>
      </c>
      <c r="AN51" s="126" t="str">
        <f>IF(Tab.o1[[#This Row],[a1]]=1,[1]!T.in.A[[#This Row],[Σp5]],"")</f>
        <v/>
      </c>
      <c r="AO51" s="126" t="str">
        <f>IF(Tab.o1[[#This Row],[a1]]=1,IF(AO$3=1,[1]!T.in.A[[#This Row],[Σp5]],""),"")</f>
        <v/>
      </c>
      <c r="AP51" s="110">
        <f ca="1">IF(Tab.o1[[#This Row],[a1]]=1,IF(ISNUMBER(Tab.o1[[#This Row],[i.]]),NORMDIST(Tab.o1[[#This Row],[Za]],0,1,FALSE)*Tab.o1[[#This Row],[i.]],0),"")</f>
        <v>0.28788810320356684</v>
      </c>
      <c r="AQ51" s="125">
        <f>IF(Tab.o1[[#This Row],[a1]]=1,ABS(Tab.o1[[#This Row],[MOD]]-AVERAGE(Tab.o1[MOD])),"")</f>
        <v>0.20203593749999982</v>
      </c>
      <c r="AR51" s="134">
        <f>IF(Tab.o1[[#This Row],[a1]]=1,Tab.o1[[#This Row],[OBS]]/SUM(Tab.o1[OBS]),"")</f>
        <v>2.1086008960220595E-3</v>
      </c>
      <c r="AS51" s="135">
        <f>IF(ISNUMBER(Tab.o1[[#This Row],[a1]]),ROW()-4,"")</f>
        <v>47</v>
      </c>
      <c r="AT51" s="136">
        <f>Tab.o1[[#This Row],[MOD]]</f>
        <v>839.5634</v>
      </c>
      <c r="AU51" s="137">
        <f t="shared" si="1"/>
        <v>839.5634</v>
      </c>
      <c r="AV51" s="138">
        <f t="shared" si="2"/>
        <v>0</v>
      </c>
      <c r="AW51" s="138" t="str">
        <f t="shared" si="3"/>
        <v/>
      </c>
      <c r="AX51" s="139" t="str">
        <f>[1]!T.in.A[[#This Row],[ID_T_manu]]</f>
        <v/>
      </c>
      <c r="AY51" s="140" t="e">
        <f>IF(ISNUMBER(Tab.o1[[#This Row],[a1]]),IF(AND(Tab.o1[[#This Row],[a1]]=1,Tab.o1[[#This Row],[b1]]&lt;=AY$4),#REF!,AY50),"")</f>
        <v>#REF!</v>
      </c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</row>
    <row r="52" spans="1:79" ht="15.75">
      <c r="A52" s="109">
        <v>-2.0000000000000003E-6</v>
      </c>
      <c r="B52" s="110">
        <f t="shared" si="0"/>
        <v>52</v>
      </c>
      <c r="C52" s="111">
        <f>IF(C$1=[1]!T.in.A[[#This Row],[oo2]],1,"")</f>
        <v>1</v>
      </c>
      <c r="D52" s="112">
        <f>IF(Tab.o1[[#This Row],[a1]]=1,IF(SUM(C52:C53)=0,0,IF(SUM(C51:C52)=1,1,IF(SUM(C51:C53)&gt;1,D51+1,0))),"")</f>
        <v>48</v>
      </c>
      <c r="E52" s="113" t="str">
        <f>IF(Tab.o1[[#This Row],[a1]]=1,[1]!T.in.A[[#This Row],[oo1]],"")</f>
        <v>hed48</v>
      </c>
      <c r="F52" s="113" t="str">
        <f>IF(Tab.o1[[#This Row],[a1]]=1,[1]!T.in.A[[#This Row],[pp1]],"")</f>
        <v/>
      </c>
      <c r="G52" s="114">
        <f>IF(Tab.o1[[#This Row],[a1]]=1,G$2+IF(G$1=1,0,Tab.o1[[#This Row],[.x1]])+[1]!T.in.A[[#This Row],[oo3]],"")</f>
        <v>840.1</v>
      </c>
      <c r="H52" s="115">
        <f>IF(Tab.o1[[#This Row],[a1]]=1,IF(H$2=0,0,IF(G$1=1,0,Tab.o1[[#This Row],[.x1]])+[1]!T.in.A[[#This Row],[oo4]]),"")</f>
        <v>839.73940000000005</v>
      </c>
      <c r="I52" s="116">
        <f>IF(Tab.o1[[#This Row],[a1]]=1,IF(J$2=0,Tab.o1[[#This Row],[MED]],Tab.o1[[#This Row],[MOD]]),"")</f>
        <v>840.1</v>
      </c>
      <c r="J52" s="142">
        <f ca="1">IF(Tab.o1[[#This Row],[a1]]=1,((Tab.o1[[#This Row],[DIF_Target.]]-AVERAGE(Tab.o1[DIF_Target.]))/_xlfn.STDEV.P(Tab.o1[DIF_Target.])),"")</f>
        <v>-0.82604946420301484</v>
      </c>
      <c r="K52" s="117">
        <f>IF(Tab.o1[[#This Row],[a1]]=1,IF(J$2=0,Tab.o1[[#This Row],[MOD]]-Tab.o1[[#This Row],[B]],IF(J$2=1,0,-Tab.o1[[#This Row],[MED]])+Tab.o1[[#This Row],[B]]),"")</f>
        <v>-0.36059999999997672</v>
      </c>
      <c r="L52" s="117">
        <f ca="1">IF(Tab.o1[[#This Row],[DIF_Target]]=0,IF(L$2=0,Tab.o1[[#This Row],[DIF_Target]],AVERAGE(OFFSET(Tab.o1[[#This Row],[DIF_Target]],1,0,L$3,1)))/3,Tab.o1[[#This Row],[DIF_Target]])</f>
        <v>-0.36059999999997672</v>
      </c>
      <c r="M52" s="118">
        <f ca="1">IF(Tab.o1[[#This Row],[a1]]=1,NORMSDIST(Tab.o1[[#This Row],[Za]]),"")</f>
        <v>0.20438801654380004</v>
      </c>
      <c r="N52" s="119">
        <f>IF(Tab.o1[[#This Row],[a1]]=1,((Tab.o1[[#This Row],[MedMod]]-AVERAGE(Tab.o1[MedMod]))/_xlfn.STDEV.P(Tab.o1[MedMod])*H$1205)+G$1205,"")</f>
        <v>0.84816017929203713</v>
      </c>
      <c r="O52" s="141">
        <f>IF(Tab.o1[[#This Row],[a1]]=1,Tab.o1[[#This Row],[Zb]]*_xlfn.STDEV.P(Tab.o1[MedMod])+AVERAGE(Tab.o1[MedMod]),"")</f>
        <v>840.1</v>
      </c>
      <c r="P52" s="117">
        <f ca="1">IF(Tab.o1[[#This Row],[B]]=0,AVERAGE(OFFSET(Tab.o1[[#This Row],[B]],1,0,L$3,1)),Tab.o1[[#This Row],[B]])</f>
        <v>840.1</v>
      </c>
      <c r="Q52" s="121">
        <f>IF(Tab.o1[[#This Row],[a1]]=1,NORMSDIST(Tab.o1[[#This Row],[Zb]]),"")</f>
        <v>0.80182561469868197</v>
      </c>
      <c r="R52" s="122">
        <f>IF(Tab.o1[[#This Row],[a1]]=1,((Tab.o1[[#This Row],[MedMod]]-AVERAGE(Tab.o1[MedMod]))/_xlfn.STDEV.P(Tab.o1[MedMod])*H$1203)+G$1203,"")</f>
        <v>2.8481601792920372</v>
      </c>
      <c r="S52" s="122">
        <f>IF(Tab.o1[[#This Row],[a1]]=1,((Tab.o1[[#This Row],[MedMod]]-AVERAGE(Tab.o1[MedMod]))/_xlfn.STDEV.P(Tab.o1[MedMod])*H$1204)+G$1204,"")</f>
        <v>-1.1518398207079628</v>
      </c>
      <c r="T52" s="123">
        <f>IF(Tab.o1[[#This Row],[a1]]=1,Tab.o1[[#This Row],[Z-]]*_xlfn.STDEV.P(Tab.o1[B])+AVERAGE(Tab.o1[B]),"")</f>
        <v>843.54864103669843</v>
      </c>
      <c r="U52" s="123">
        <f>IF(Tab.o1[[#This Row],[a1]]=1,Tab.o1[[#This Row],[z+]]*_xlfn.STDEV.P(Tab.o1[B])+AVERAGE(Tab.o1[B]),"")</f>
        <v>836.65135896330162</v>
      </c>
      <c r="V52" s="124">
        <f>IF(Tab.o1[[#This Row],[a1]]=1,ABS((ABS(Tab.o1[[#This Row],[Red]]-Tab.o1[[#This Row],[Blue]]))),"")</f>
        <v>6.8972820733968092</v>
      </c>
      <c r="W52" s="125">
        <f>IF(Tab.o1[[#This Row],[a1]]=1,IF(W$3=0,1,Tab.o1[[#This Row],[Amp.]]*1/_xlfn.MINIFS(Tab.o1[Amp.],Tab.o1[Amp.],"&lt;&gt;0")),"")</f>
        <v>1</v>
      </c>
      <c r="X52" s="126">
        <f ca="1">IF(Tab.o1[[#This Row],[a1]]=1,IF(ISNUMBER(Tab.o1[[#This Row],[i.]]),NORMDIST(Tab.o1[[#This Row],[Za]],0,1,FALSE)*Tab.o1[[#This Row],[i.]],AP$3),"")</f>
        <v>0.28362072978050357</v>
      </c>
      <c r="Y52" s="126">
        <f ca="1">IF(Tab.o1[[#This Row],[a1]]=1,0.01+0.94*Tab.o1[[#This Row],[PDF]]/MAX(Tab.o1[PDF]),"")</f>
        <v>0.67963098369458064</v>
      </c>
      <c r="Z52" s="126">
        <f>IF(Tab.o1[[#This Row],[a1]]=1,0.01+0.94*Tab.o1[[#This Row],[W1_PDF]]/MAX(Tab.o1[W1_PDF]),"")</f>
        <v>0.95</v>
      </c>
      <c r="AA52" s="118">
        <f>IF(Tab.o1[[#This Row],[a1]]=1,ABS([1]!T.in.A[[#This Row],[oo6]]),"")</f>
        <v>7.1269669999999993E-2</v>
      </c>
      <c r="AB52" s="118">
        <f ca="1">IF(Tab.o1[[#This Row],[a1]]=1,IF(AE$3=0,"",IF(AB$3=0,ABS([1]!T.in.A[[#This Row],[oo9]]),ABS(Tab.o1[[#This Row],[DIF_Target.]]*Tab.o1[[#This Row],[W1_PDF]]))),"")</f>
        <v>2.5699843001998339E-2</v>
      </c>
      <c r="AC52" s="118" t="str">
        <f>IF(G$1=1,"",IF(Tab.o1[[#This Row],[a1]]=1,Tab.o1[[#This Row],[Wr]]^2,""))</f>
        <v/>
      </c>
      <c r="AD52" s="118" t="e">
        <f>IF(Tab.o1[[#This Row],[a1]]=1,IF(AE$3=0,"",Tab.o1[[#This Row],[Wr2]]/SUM(Tab.o1[Wr2])),"")</f>
        <v>#VALUE!</v>
      </c>
      <c r="AE52" s="128">
        <f>IF(Tab.o1[[#This Row],[a1]]=1,[1]!T.in.A[[#This Row],[oo10]],"")</f>
        <v>0.9919173</v>
      </c>
      <c r="AF52" s="118" t="e">
        <f ca="1">IF(Tab.o1[[#This Row],[a1]]=1,ABS(Tab.o1[[#This Row],[DIF_Target.]]*Tab.o1[[#This Row],[PDF2]]*Tab.o1[[#This Row],[IN]]),"")</f>
        <v>#REF!</v>
      </c>
      <c r="AG52" s="129" t="e">
        <f ca="1">IF(Tab.o1[[#This Row],[a1]]=1,Tab.o1[[#This Row],[rW]]^2,"")</f>
        <v>#REF!</v>
      </c>
      <c r="AH52" s="130" t="e">
        <f ca="1">IF(Tab.o1[[#This Row],[a1]]=1,IF(AH$3=0,Tab.o1[[#This Row],[rW2]],0.01+0.94*Tab.o1[[#This Row],[rW2]]/SUM(Tab.o1[rW2])),"")</f>
        <v>#REF!</v>
      </c>
      <c r="AI52" s="128">
        <f ca="1">IF(Tab.o1[[#This Row],[a1]]=1,1/Tab.o1[[#This Row],[PDF]],"")</f>
        <v>3.5258353674426699</v>
      </c>
      <c r="AJ52" s="131" t="e">
        <f>IF(Tab.o1[[#This Row],[a1]]=1,[1]!T_AA[[#This Row],[IN'']]*[1]!T_AA[[#This Row],[Qde'']],"")</f>
        <v>#REF!</v>
      </c>
      <c r="AK52" s="132" t="str">
        <f>IF(Tab.o1[[#This Row],[a1]]=1,IF(AK$1=1,Tab.o1[[#This Row],[MED]]+Tab.o1[[#This Row],[MOD]]-Tab.o1[[#This Row],[MED]],""),"")</f>
        <v/>
      </c>
      <c r="AL52" s="133">
        <f>IF(Tab.o1[[#This Row],[a1]]=1,[1]!T.in.A[[#This Row],[oo16]],"")</f>
        <v>0.42318739999999999</v>
      </c>
      <c r="AM52" s="133">
        <f>IF(Tab.o1[[#This Row],[a1]]=1,IF(AM$3=1,[1]!T.in.A[[#This Row],[Σo16]],""),"")</f>
        <v>8.1803836942805699E-3</v>
      </c>
      <c r="AN52" s="126" t="str">
        <f>IF(Tab.o1[[#This Row],[a1]]=1,[1]!T.in.A[[#This Row],[Σp5]],"")</f>
        <v/>
      </c>
      <c r="AO52" s="126" t="str">
        <f>IF(Tab.o1[[#This Row],[a1]]=1,IF(AO$3=1,[1]!T.in.A[[#This Row],[Σp5]],""),"")</f>
        <v/>
      </c>
      <c r="AP52" s="110">
        <f ca="1">IF(Tab.o1[[#This Row],[a1]]=1,IF(ISNUMBER(Tab.o1[[#This Row],[i.]]),NORMDIST(Tab.o1[[#This Row],[Za]],0,1,FALSE)*Tab.o1[[#This Row],[i.]],0),"")</f>
        <v>0.28362072978050357</v>
      </c>
      <c r="AQ52" s="125">
        <f>IF(Tab.o1[[#This Row],[a1]]=1,ABS(Tab.o1[[#This Row],[MOD]]-AVERAGE(Tab.o1[MOD])),"")</f>
        <v>0.37803593750004438</v>
      </c>
      <c r="AR52" s="134">
        <f>IF(Tab.o1[[#This Row],[a1]]=1,Tab.o1[[#This Row],[OBS]]/SUM(Tab.o1[OBS]),"")</f>
        <v>3.9454709216826022E-3</v>
      </c>
      <c r="AS52" s="135">
        <f>IF(ISNUMBER(Tab.o1[[#This Row],[a1]]),ROW()-4,"")</f>
        <v>48</v>
      </c>
      <c r="AT52" s="136">
        <f>Tab.o1[[#This Row],[MOD]]</f>
        <v>839.73940000000005</v>
      </c>
      <c r="AU52" s="137">
        <f t="shared" si="1"/>
        <v>839.73940000000005</v>
      </c>
      <c r="AV52" s="138">
        <f t="shared" si="2"/>
        <v>0</v>
      </c>
      <c r="AW52" s="138" t="str">
        <f t="shared" si="3"/>
        <v/>
      </c>
      <c r="AX52" s="139" t="str">
        <f>[1]!T.in.A[[#This Row],[ID_T_manu]]</f>
        <v/>
      </c>
      <c r="AY52" s="140" t="e">
        <f>IF(ISNUMBER(Tab.o1[[#This Row],[a1]]),IF(AND(Tab.o1[[#This Row],[a1]]=1,Tab.o1[[#This Row],[b1]]&lt;=AY$4),#REF!,AY51),"")</f>
        <v>#REF!</v>
      </c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</row>
    <row r="53" spans="1:79" ht="15.75">
      <c r="A53" s="109">
        <v>5.0000000000000004E-6</v>
      </c>
      <c r="B53" s="110">
        <f t="shared" si="0"/>
        <v>53</v>
      </c>
      <c r="C53" s="111">
        <f>IF(C$1=[1]!T.in.A[[#This Row],[oo2]],1,"")</f>
        <v>1</v>
      </c>
      <c r="D53" s="112">
        <f>IF(Tab.o1[[#This Row],[a1]]=1,IF(SUM(C53:C54)=0,0,IF(SUM(C52:C53)=1,1,IF(SUM(C52:C54)&gt;1,D52+1,0))),"")</f>
        <v>49</v>
      </c>
      <c r="E53" s="113" t="str">
        <f>IF(Tab.o1[[#This Row],[a1]]=1,[1]!T.in.A[[#This Row],[oo1]],"")</f>
        <v>hed49</v>
      </c>
      <c r="F53" s="113" t="str">
        <f>IF(Tab.o1[[#This Row],[a1]]=1,[1]!T.in.A[[#This Row],[pp1]],"")</f>
        <v/>
      </c>
      <c r="G53" s="114">
        <f>IF(Tab.o1[[#This Row],[a1]]=1,G$2+IF(G$1=1,0,Tab.o1[[#This Row],[.x1]])+[1]!T.in.A[[#This Row],[oo3]],"")</f>
        <v>840.3</v>
      </c>
      <c r="H53" s="115">
        <f>IF(Tab.o1[[#This Row],[a1]]=1,IF(H$2=0,0,IF(G$1=1,0,Tab.o1[[#This Row],[.x1]])+[1]!T.in.A[[#This Row],[oo4]]),"")</f>
        <v>839.89279999999997</v>
      </c>
      <c r="I53" s="116">
        <f>IF(Tab.o1[[#This Row],[a1]]=1,IF(J$2=0,Tab.o1[[#This Row],[MED]],Tab.o1[[#This Row],[MOD]]),"")</f>
        <v>840.3</v>
      </c>
      <c r="J53" s="142">
        <f ca="1">IF(Tab.o1[[#This Row],[a1]]=1,((Tab.o1[[#This Row],[DIF_Target.]]-AVERAGE(Tab.o1[DIF_Target.]))/_xlfn.STDEV.P(Tab.o1[DIF_Target.])),"")</f>
        <v>-0.8615452508896958</v>
      </c>
      <c r="K53" s="117">
        <f>IF(Tab.o1[[#This Row],[a1]]=1,IF(J$2=0,Tab.o1[[#This Row],[MOD]]-Tab.o1[[#This Row],[B]],IF(J$2=1,0,-Tab.o1[[#This Row],[MED]])+Tab.o1[[#This Row],[B]]),"")</f>
        <v>-0.4071999999999889</v>
      </c>
      <c r="L53" s="117">
        <f ca="1">IF(Tab.o1[[#This Row],[DIF_Target]]=0,IF(L$2=0,Tab.o1[[#This Row],[DIF_Target]],AVERAGE(OFFSET(Tab.o1[[#This Row],[DIF_Target]],1,0,L$3,1)))/3,Tab.o1[[#This Row],[DIF_Target]])</f>
        <v>-0.4071999999999889</v>
      </c>
      <c r="M53" s="118">
        <f ca="1">IF(Tab.o1[[#This Row],[a1]]=1,NORMSDIST(Tab.o1[[#This Row],[Za]]),"")</f>
        <v>0.19446890494636165</v>
      </c>
      <c r="N53" s="119">
        <f>IF(Tab.o1[[#This Row],[a1]]=1,((Tab.o1[[#This Row],[MedMod]]-AVERAGE(Tab.o1[MedMod]))/_xlfn.STDEV.P(Tab.o1[MedMod])*H$1205)+G$1205,"")</f>
        <v>0.96414789611826079</v>
      </c>
      <c r="O53" s="141">
        <f>IF(Tab.o1[[#This Row],[a1]]=1,Tab.o1[[#This Row],[Zb]]*_xlfn.STDEV.P(Tab.o1[MedMod])+AVERAGE(Tab.o1[MedMod]),"")</f>
        <v>840.3</v>
      </c>
      <c r="P53" s="117">
        <f ca="1">IF(Tab.o1[[#This Row],[B]]=0,AVERAGE(OFFSET(Tab.o1[[#This Row],[B]],1,0,L$3,1)),Tab.o1[[#This Row],[B]])</f>
        <v>840.3</v>
      </c>
      <c r="Q53" s="121">
        <f>IF(Tab.o1[[#This Row],[a1]]=1,NORMSDIST(Tab.o1[[#This Row],[Zb]]),"")</f>
        <v>0.83251410870559095</v>
      </c>
      <c r="R53" s="122">
        <f>IF(Tab.o1[[#This Row],[a1]]=1,((Tab.o1[[#This Row],[MedMod]]-AVERAGE(Tab.o1[MedMod]))/_xlfn.STDEV.P(Tab.o1[MedMod])*H$1203)+G$1203,"")</f>
        <v>2.964147896118261</v>
      </c>
      <c r="S53" s="122">
        <f>IF(Tab.o1[[#This Row],[a1]]=1,((Tab.o1[[#This Row],[MedMod]]-AVERAGE(Tab.o1[MedMod]))/_xlfn.STDEV.P(Tab.o1[MedMod])*H$1204)+G$1204,"")</f>
        <v>-1.0358521038817392</v>
      </c>
      <c r="T53" s="123">
        <f>IF(Tab.o1[[#This Row],[a1]]=1,Tab.o1[[#This Row],[Z-]]*_xlfn.STDEV.P(Tab.o1[B])+AVERAGE(Tab.o1[B]),"")</f>
        <v>843.74864103669836</v>
      </c>
      <c r="U53" s="123">
        <f>IF(Tab.o1[[#This Row],[a1]]=1,Tab.o1[[#This Row],[z+]]*_xlfn.STDEV.P(Tab.o1[B])+AVERAGE(Tab.o1[B]),"")</f>
        <v>836.85135896330155</v>
      </c>
      <c r="V53" s="124">
        <f>IF(Tab.o1[[#This Row],[a1]]=1,ABS((ABS(Tab.o1[[#This Row],[Red]]-Tab.o1[[#This Row],[Blue]]))),"")</f>
        <v>6.8972820733968092</v>
      </c>
      <c r="W53" s="125">
        <f>IF(Tab.o1[[#This Row],[a1]]=1,IF(W$3=0,1,Tab.o1[[#This Row],[Amp.]]*1/_xlfn.MINIFS(Tab.o1[Amp.],Tab.o1[Amp.],"&lt;&gt;0")),"")</f>
        <v>1</v>
      </c>
      <c r="X53" s="126">
        <f ca="1">IF(Tab.o1[[#This Row],[a1]]=1,IF(ISNUMBER(Tab.o1[[#This Row],[i.]]),NORMDIST(Tab.o1[[#This Row],[Za]],0,1,FALSE)*Tab.o1[[#This Row],[i.]],AP$3),"")</f>
        <v>0.27525188836168457</v>
      </c>
      <c r="Y53" s="126">
        <f ca="1">IF(Tab.o1[[#This Row],[a1]]=1,0.01+0.94*Tab.o1[[#This Row],[PDF]]/MAX(Tab.o1[PDF]),"")</f>
        <v>0.65987207708713802</v>
      </c>
      <c r="Z53" s="126">
        <f>IF(Tab.o1[[#This Row],[a1]]=1,0.01+0.94*Tab.o1[[#This Row],[W1_PDF]]/MAX(Tab.o1[W1_PDF]),"")</f>
        <v>0.95</v>
      </c>
      <c r="AA53" s="118">
        <f>IF(Tab.o1[[#This Row],[a1]]=1,ABS([1]!T.in.A[[#This Row],[oo6]]),"")</f>
        <v>7.1269669999999993E-2</v>
      </c>
      <c r="AB53" s="118">
        <f ca="1">IF(Tab.o1[[#This Row],[a1]]=1,IF(AE$3=0,"",IF(AB$3=0,ABS([1]!T.in.A[[#This Row],[oo9]]),ABS(Tab.o1[[#This Row],[DIF_Target.]]*Tab.o1[[#This Row],[W1_PDF]]))),"")</f>
        <v>2.9021009623999207E-2</v>
      </c>
      <c r="AC53" s="118" t="str">
        <f>IF(G$1=1,"",IF(Tab.o1[[#This Row],[a1]]=1,Tab.o1[[#This Row],[Wr]]^2,""))</f>
        <v/>
      </c>
      <c r="AD53" s="118" t="e">
        <f>IF(Tab.o1[[#This Row],[a1]]=1,IF(AE$3=0,"",Tab.o1[[#This Row],[Wr2]]/SUM(Tab.o1[Wr2])),"")</f>
        <v>#VALUE!</v>
      </c>
      <c r="AE53" s="128">
        <f>IF(Tab.o1[[#This Row],[a1]]=1,[1]!T.in.A[[#This Row],[oo10]],"")</f>
        <v>0.9919173</v>
      </c>
      <c r="AF53" s="118" t="e">
        <f ca="1">IF(Tab.o1[[#This Row],[a1]]=1,ABS(Tab.o1[[#This Row],[DIF_Target.]]*Tab.o1[[#This Row],[PDF2]]*Tab.o1[[#This Row],[IN]]),"")</f>
        <v>#REF!</v>
      </c>
      <c r="AG53" s="129" t="e">
        <f ca="1">IF(Tab.o1[[#This Row],[a1]]=1,Tab.o1[[#This Row],[rW]]^2,"")</f>
        <v>#REF!</v>
      </c>
      <c r="AH53" s="130" t="e">
        <f ca="1">IF(Tab.o1[[#This Row],[a1]]=1,IF(AH$3=0,Tab.o1[[#This Row],[rW2]],0.01+0.94*Tab.o1[[#This Row],[rW2]]/SUM(Tab.o1[rW2])),"")</f>
        <v>#REF!</v>
      </c>
      <c r="AI53" s="128">
        <f ca="1">IF(Tab.o1[[#This Row],[a1]]=1,1/Tab.o1[[#This Row],[PDF]],"")</f>
        <v>3.6330359292067307</v>
      </c>
      <c r="AJ53" s="131" t="e">
        <f>IF(Tab.o1[[#This Row],[a1]]=1,[1]!T_AA[[#This Row],[IN'']]*[1]!T_AA[[#This Row],[Qde'']],"")</f>
        <v>#REF!</v>
      </c>
      <c r="AK53" s="132" t="str">
        <f>IF(Tab.o1[[#This Row],[a1]]=1,IF(AK$1=1,Tab.o1[[#This Row],[MED]]+Tab.o1[[#This Row],[MOD]]-Tab.o1[[#This Row],[MED]],""),"")</f>
        <v/>
      </c>
      <c r="AL53" s="133">
        <f>IF(Tab.o1[[#This Row],[a1]]=1,[1]!T.in.A[[#This Row],[oo16]],"")</f>
        <v>0.3724036</v>
      </c>
      <c r="AM53" s="133">
        <f>IF(Tab.o1[[#This Row],[a1]]=1,IF(AM$3=1,[1]!T.in.A[[#This Row],[Σo16]],""),"")</f>
        <v>7.1987122894759713E-3</v>
      </c>
      <c r="AN53" s="126" t="str">
        <f>IF(Tab.o1[[#This Row],[a1]]=1,[1]!T.in.A[[#This Row],[Σp5]],"")</f>
        <v/>
      </c>
      <c r="AO53" s="126" t="str">
        <f>IF(Tab.o1[[#This Row],[a1]]=1,IF(AO$3=1,[1]!T.in.A[[#This Row],[Σp5]],""),"")</f>
        <v/>
      </c>
      <c r="AP53" s="110">
        <f ca="1">IF(Tab.o1[[#This Row],[a1]]=1,IF(ISNUMBER(Tab.o1[[#This Row],[i.]]),NORMDIST(Tab.o1[[#This Row],[Za]],0,1,FALSE)*Tab.o1[[#This Row],[i.]],0),"")</f>
        <v>0.27525188836168457</v>
      </c>
      <c r="AQ53" s="125">
        <f>IF(Tab.o1[[#This Row],[a1]]=1,ABS(Tab.o1[[#This Row],[MOD]]-AVERAGE(Tab.o1[MOD])),"")</f>
        <v>0.53143593749996398</v>
      </c>
      <c r="AR53" s="134">
        <f>IF(Tab.o1[[#This Row],[a1]]=1,Tab.o1[[#This Row],[OBS]]/SUM(Tab.o1[OBS]),"")</f>
        <v>5.5464701372286715E-3</v>
      </c>
      <c r="AS53" s="135">
        <f>IF(ISNUMBER(Tab.o1[[#This Row],[a1]]),ROW()-4,"")</f>
        <v>49</v>
      </c>
      <c r="AT53" s="136">
        <f>Tab.o1[[#This Row],[MOD]]</f>
        <v>839.89279999999997</v>
      </c>
      <c r="AU53" s="137">
        <f t="shared" si="1"/>
        <v>839.89279999999997</v>
      </c>
      <c r="AV53" s="138">
        <f t="shared" si="2"/>
        <v>0</v>
      </c>
      <c r="AW53" s="138" t="str">
        <f t="shared" si="3"/>
        <v/>
      </c>
      <c r="AX53" s="139" t="str">
        <f>[1]!T.in.A[[#This Row],[ID_T_manu]]</f>
        <v/>
      </c>
      <c r="AY53" s="140" t="e">
        <f>IF(ISNUMBER(Tab.o1[[#This Row],[a1]]),IF(AND(Tab.o1[[#This Row],[a1]]=1,Tab.o1[[#This Row],[b1]]&lt;=AY$4),#REF!,AY52),"")</f>
        <v>#REF!</v>
      </c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</row>
    <row r="54" spans="1:79" ht="15.75">
      <c r="A54" s="109">
        <v>2.0000000000000003E-6</v>
      </c>
      <c r="B54" s="110">
        <f t="shared" si="0"/>
        <v>54</v>
      </c>
      <c r="C54" s="111">
        <f>IF(C$1=[1]!T.in.A[[#This Row],[oo2]],1,"")</f>
        <v>1</v>
      </c>
      <c r="D54" s="112">
        <f>IF(Tab.o1[[#This Row],[a1]]=1,IF(SUM(C54:C55)=0,0,IF(SUM(C53:C54)=1,1,IF(SUM(C53:C55)&gt;1,D53+1,0))),"")</f>
        <v>50</v>
      </c>
      <c r="E54" s="113" t="str">
        <f>IF(Tab.o1[[#This Row],[a1]]=1,[1]!T.in.A[[#This Row],[oo1]],"")</f>
        <v>hed50</v>
      </c>
      <c r="F54" s="113" t="str">
        <f>IF(Tab.o1[[#This Row],[a1]]=1,[1]!T.in.A[[#This Row],[pp1]],"")</f>
        <v/>
      </c>
      <c r="G54" s="114">
        <f>IF(Tab.o1[[#This Row],[a1]]=1,G$2+IF(G$1=1,0,Tab.o1[[#This Row],[.x1]])+[1]!T.in.A[[#This Row],[oo3]],"")</f>
        <v>840.4</v>
      </c>
      <c r="H54" s="115">
        <f>IF(Tab.o1[[#This Row],[a1]]=1,IF(H$2=0,0,IF(G$1=1,0,Tab.o1[[#This Row],[.x1]])+[1]!T.in.A[[#This Row],[oo4]]),"")</f>
        <v>839.97789999999998</v>
      </c>
      <c r="I54" s="116">
        <f>IF(Tab.o1[[#This Row],[a1]]=1,IF(J$2=0,Tab.o1[[#This Row],[MED]],Tab.o1[[#This Row],[MOD]]),"")</f>
        <v>840.4</v>
      </c>
      <c r="J54" s="142">
        <f ca="1">IF(Tab.o1[[#This Row],[a1]]=1,((Tab.o1[[#This Row],[DIF_Target.]]-AVERAGE(Tab.o1[DIF_Target.]))/_xlfn.STDEV.P(Tab.o1[DIF_Target.])),"")</f>
        <v>-0.87289476208351147</v>
      </c>
      <c r="K54" s="117">
        <f>IF(Tab.o1[[#This Row],[a1]]=1,IF(J$2=0,Tab.o1[[#This Row],[MOD]]-Tab.o1[[#This Row],[B]],IF(J$2=1,0,-Tab.o1[[#This Row],[MED]])+Tab.o1[[#This Row],[B]]),"")</f>
        <v>-0.42210000000000036</v>
      </c>
      <c r="L54" s="117">
        <f ca="1">IF(Tab.o1[[#This Row],[DIF_Target]]=0,IF(L$2=0,Tab.o1[[#This Row],[DIF_Target]],AVERAGE(OFFSET(Tab.o1[[#This Row],[DIF_Target]],1,0,L$3,1)))/3,Tab.o1[[#This Row],[DIF_Target]])</f>
        <v>-0.42210000000000036</v>
      </c>
      <c r="M54" s="118">
        <f ca="1">IF(Tab.o1[[#This Row],[a1]]=1,NORMSDIST(Tab.o1[[#This Row],[Za]]),"")</f>
        <v>0.19136022076869366</v>
      </c>
      <c r="N54" s="119">
        <f>IF(Tab.o1[[#This Row],[a1]]=1,((Tab.o1[[#This Row],[MedMod]]-AVERAGE(Tab.o1[MedMod]))/_xlfn.STDEV.P(Tab.o1[MedMod])*H$1205)+G$1205,"")</f>
        <v>1.0221417545314058</v>
      </c>
      <c r="O54" s="141">
        <f>IF(Tab.o1[[#This Row],[a1]]=1,Tab.o1[[#This Row],[Zb]]*_xlfn.STDEV.P(Tab.o1[MedMod])+AVERAGE(Tab.o1[MedMod]),"")</f>
        <v>840.4</v>
      </c>
      <c r="P54" s="117">
        <f ca="1">IF(Tab.o1[[#This Row],[B]]=0,AVERAGE(OFFSET(Tab.o1[[#This Row],[B]],1,0,L$3,1)),Tab.o1[[#This Row],[B]])</f>
        <v>840.4</v>
      </c>
      <c r="Q54" s="121">
        <f>IF(Tab.o1[[#This Row],[a1]]=1,NORMSDIST(Tab.o1[[#This Row],[Zb]]),"")</f>
        <v>0.846643093323169</v>
      </c>
      <c r="R54" s="122">
        <f>IF(Tab.o1[[#This Row],[a1]]=1,((Tab.o1[[#This Row],[MedMod]]-AVERAGE(Tab.o1[MedMod]))/_xlfn.STDEV.P(Tab.o1[MedMod])*H$1203)+G$1203,"")</f>
        <v>3.0221417545314058</v>
      </c>
      <c r="S54" s="122">
        <f>IF(Tab.o1[[#This Row],[a1]]=1,((Tab.o1[[#This Row],[MedMod]]-AVERAGE(Tab.o1[MedMod]))/_xlfn.STDEV.P(Tab.o1[MedMod])*H$1204)+G$1204,"")</f>
        <v>-0.97785824546859423</v>
      </c>
      <c r="T54" s="123">
        <f>IF(Tab.o1[[#This Row],[a1]]=1,Tab.o1[[#This Row],[Z-]]*_xlfn.STDEV.P(Tab.o1[B])+AVERAGE(Tab.o1[B]),"")</f>
        <v>843.84864103669838</v>
      </c>
      <c r="U54" s="123">
        <f>IF(Tab.o1[[#This Row],[a1]]=1,Tab.o1[[#This Row],[z+]]*_xlfn.STDEV.P(Tab.o1[B])+AVERAGE(Tab.o1[B]),"")</f>
        <v>836.95135896330157</v>
      </c>
      <c r="V54" s="124">
        <f>IF(Tab.o1[[#This Row],[a1]]=1,ABS((ABS(Tab.o1[[#This Row],[Red]]-Tab.o1[[#This Row],[Blue]]))),"")</f>
        <v>6.8972820733968092</v>
      </c>
      <c r="W54" s="125">
        <f>IF(Tab.o1[[#This Row],[a1]]=1,IF(W$3=0,1,Tab.o1[[#This Row],[Amp.]]*1/_xlfn.MINIFS(Tab.o1[Amp.],Tab.o1[Amp.],"&lt;&gt;0")),"")</f>
        <v>1</v>
      </c>
      <c r="X54" s="126">
        <f ca="1">IF(Tab.o1[[#This Row],[a1]]=1,IF(ISNUMBER(Tab.o1[[#This Row],[i.]]),NORMDIST(Tab.o1[[#This Row],[Za]],0,1,FALSE)*Tab.o1[[#This Row],[i.]],AP$3),"")</f>
        <v>0.27255600418748765</v>
      </c>
      <c r="Y54" s="126">
        <f ca="1">IF(Tab.o1[[#This Row],[a1]]=1,0.01+0.94*Tab.o1[[#This Row],[PDF]]/MAX(Tab.o1[PDF]),"")</f>
        <v>0.65350707135257391</v>
      </c>
      <c r="Z54" s="126">
        <f>IF(Tab.o1[[#This Row],[a1]]=1,0.01+0.94*Tab.o1[[#This Row],[W1_PDF]]/MAX(Tab.o1[W1_PDF]),"")</f>
        <v>0.95</v>
      </c>
      <c r="AA54" s="118">
        <f>IF(Tab.o1[[#This Row],[a1]]=1,ABS([1]!T.in.A[[#This Row],[oo6]]),"")</f>
        <v>7.1269669999999993E-2</v>
      </c>
      <c r="AB54" s="118">
        <f ca="1">IF(Tab.o1[[#This Row],[a1]]=1,IF(AE$3=0,"",IF(AB$3=0,ABS([1]!T.in.A[[#This Row],[oo9]]),ABS(Tab.o1[[#This Row],[DIF_Target.]]*Tab.o1[[#This Row],[W1_PDF]]))),"")</f>
        <v>3.0082927707000023E-2</v>
      </c>
      <c r="AC54" s="118" t="str">
        <f>IF(G$1=1,"",IF(Tab.o1[[#This Row],[a1]]=1,Tab.o1[[#This Row],[Wr]]^2,""))</f>
        <v/>
      </c>
      <c r="AD54" s="118" t="e">
        <f>IF(Tab.o1[[#This Row],[a1]]=1,IF(AE$3=0,"",Tab.o1[[#This Row],[Wr2]]/SUM(Tab.o1[Wr2])),"")</f>
        <v>#VALUE!</v>
      </c>
      <c r="AE54" s="128">
        <f>IF(Tab.o1[[#This Row],[a1]]=1,[1]!T.in.A[[#This Row],[oo10]],"")</f>
        <v>0.9919173</v>
      </c>
      <c r="AF54" s="118" t="e">
        <f ca="1">IF(Tab.o1[[#This Row],[a1]]=1,ABS(Tab.o1[[#This Row],[DIF_Target.]]*Tab.o1[[#This Row],[PDF2]]*Tab.o1[[#This Row],[IN]]),"")</f>
        <v>#REF!</v>
      </c>
      <c r="AG54" s="129" t="e">
        <f ca="1">IF(Tab.o1[[#This Row],[a1]]=1,Tab.o1[[#This Row],[rW]]^2,"")</f>
        <v>#REF!</v>
      </c>
      <c r="AH54" s="130" t="e">
        <f ca="1">IF(Tab.o1[[#This Row],[a1]]=1,IF(AH$3=0,Tab.o1[[#This Row],[rW2]],0.01+0.94*Tab.o1[[#This Row],[rW2]]/SUM(Tab.o1[rW2])),"")</f>
        <v>#REF!</v>
      </c>
      <c r="AI54" s="128">
        <f ca="1">IF(Tab.o1[[#This Row],[a1]]=1,1/Tab.o1[[#This Row],[PDF]],"")</f>
        <v>3.6689707239474836</v>
      </c>
      <c r="AJ54" s="131" t="e">
        <f>IF(Tab.o1[[#This Row],[a1]]=1,[1]!T_AA[[#This Row],[IN'']]*[1]!T_AA[[#This Row],[Qde'']],"")</f>
        <v>#REF!</v>
      </c>
      <c r="AK54" s="132" t="str">
        <f>IF(Tab.o1[[#This Row],[a1]]=1,IF(AK$1=1,Tab.o1[[#This Row],[MED]]+Tab.o1[[#This Row],[MOD]]-Tab.o1[[#This Row],[MED]],""),"")</f>
        <v/>
      </c>
      <c r="AL54" s="133">
        <f>IF(Tab.o1[[#This Row],[a1]]=1,[1]!T.in.A[[#This Row],[oo16]],"")</f>
        <v>0.34395550000000003</v>
      </c>
      <c r="AM54" s="133">
        <f>IF(Tab.o1[[#This Row],[a1]]=1,IF(AM$3=1,[1]!T.in.A[[#This Row],[Σo16]],""),"")</f>
        <v>6.6487990043137407E-3</v>
      </c>
      <c r="AN54" s="126" t="str">
        <f>IF(Tab.o1[[#This Row],[a1]]=1,[1]!T.in.A[[#This Row],[Σp5]],"")</f>
        <v/>
      </c>
      <c r="AO54" s="126" t="str">
        <f>IF(Tab.o1[[#This Row],[a1]]=1,IF(AO$3=1,[1]!T.in.A[[#This Row],[Σp5]],""),"")</f>
        <v/>
      </c>
      <c r="AP54" s="110">
        <f ca="1">IF(Tab.o1[[#This Row],[a1]]=1,IF(ISNUMBER(Tab.o1[[#This Row],[i.]]),NORMDIST(Tab.o1[[#This Row],[Za]],0,1,FALSE)*Tab.o1[[#This Row],[i.]],0),"")</f>
        <v>0.27255600418748765</v>
      </c>
      <c r="AQ54" s="125">
        <f>IF(Tab.o1[[#This Row],[a1]]=1,ABS(Tab.o1[[#This Row],[MOD]]-AVERAGE(Tab.o1[MOD])),"")</f>
        <v>0.61653593749997526</v>
      </c>
      <c r="AR54" s="134">
        <f>IF(Tab.o1[[#This Row],[a1]]=1,Tab.o1[[#This Row],[OBS]]/SUM(Tab.o1[OBS]),"")</f>
        <v>6.4346385416814752E-3</v>
      </c>
      <c r="AS54" s="135">
        <f>IF(ISNUMBER(Tab.o1[[#This Row],[a1]]),ROW()-4,"")</f>
        <v>50</v>
      </c>
      <c r="AT54" s="136">
        <f>Tab.o1[[#This Row],[MOD]]</f>
        <v>839.97789999999998</v>
      </c>
      <c r="AU54" s="137">
        <f t="shared" si="1"/>
        <v>839.97789999999998</v>
      </c>
      <c r="AV54" s="138">
        <f t="shared" si="2"/>
        <v>0</v>
      </c>
      <c r="AW54" s="138" t="str">
        <f t="shared" si="3"/>
        <v/>
      </c>
      <c r="AX54" s="139" t="str">
        <f>[1]!T.in.A[[#This Row],[ID_T_manu]]</f>
        <v/>
      </c>
      <c r="AY54" s="140" t="e">
        <f>IF(ISNUMBER(Tab.o1[[#This Row],[a1]]),IF(AND(Tab.o1[[#This Row],[a1]]=1,Tab.o1[[#This Row],[b1]]&lt;=AY$4),#REF!,AY53),"")</f>
        <v>#REF!</v>
      </c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</row>
    <row r="55" spans="1:79" ht="15.75">
      <c r="A55" s="109">
        <v>-1.0000000000000001E-5</v>
      </c>
      <c r="B55" s="110">
        <f t="shared" si="0"/>
        <v>55</v>
      </c>
      <c r="C55" s="111">
        <f>IF(C$1=[1]!T.in.A[[#This Row],[oo2]],1,"")</f>
        <v>1</v>
      </c>
      <c r="D55" s="112">
        <f>IF(Tab.o1[[#This Row],[a1]]=1,IF(SUM(C55:C56)=0,0,IF(SUM(C54:C55)=1,1,IF(SUM(C54:C56)&gt;1,D54+1,0))),"")</f>
        <v>51</v>
      </c>
      <c r="E55" s="113" t="str">
        <f>IF(Tab.o1[[#This Row],[a1]]=1,[1]!T.in.A[[#This Row],[oo1]],"")</f>
        <v>hed51</v>
      </c>
      <c r="F55" s="113" t="str">
        <f>IF(Tab.o1[[#This Row],[a1]]=1,[1]!T.in.A[[#This Row],[pp1]],"")</f>
        <v/>
      </c>
      <c r="G55" s="114">
        <f>IF(Tab.o1[[#This Row],[a1]]=1,G$2+IF(G$1=1,0,Tab.o1[[#This Row],[.x1]])+[1]!T.in.A[[#This Row],[oo3]],"")</f>
        <v>840.6</v>
      </c>
      <c r="H55" s="115">
        <f>IF(Tab.o1[[#This Row],[a1]]=1,IF(H$2=0,0,IF(G$1=1,0,Tab.o1[[#This Row],[.x1]])+[1]!T.in.A[[#This Row],[oo4]]),"")</f>
        <v>840.06309999999996</v>
      </c>
      <c r="I55" s="116">
        <f>IF(Tab.o1[[#This Row],[a1]]=1,IF(J$2=0,Tab.o1[[#This Row],[MED]],Tab.o1[[#This Row],[MOD]]),"")</f>
        <v>840.6</v>
      </c>
      <c r="J55" s="142">
        <f ca="1">IF(Tab.o1[[#This Row],[a1]]=1,((Tab.o1[[#This Row],[DIF_Target.]]-AVERAGE(Tab.o1[DIF_Target.]))/_xlfn.STDEV.P(Tab.o1[DIF_Target.])),"")</f>
        <v>-0.96033931812711681</v>
      </c>
      <c r="K55" s="117">
        <f>IF(Tab.o1[[#This Row],[a1]]=1,IF(J$2=0,Tab.o1[[#This Row],[MOD]]-Tab.o1[[#This Row],[B]],IF(J$2=1,0,-Tab.o1[[#This Row],[MED]])+Tab.o1[[#This Row],[B]]),"")</f>
        <v>-0.53690000000005966</v>
      </c>
      <c r="L55" s="117">
        <f ca="1">IF(Tab.o1[[#This Row],[DIF_Target]]=0,IF(L$2=0,Tab.o1[[#This Row],[DIF_Target]],AVERAGE(OFFSET(Tab.o1[[#This Row],[DIF_Target]],1,0,L$3,1)))/3,Tab.o1[[#This Row],[DIF_Target]])</f>
        <v>-0.53690000000005966</v>
      </c>
      <c r="M55" s="118">
        <f ca="1">IF(Tab.o1[[#This Row],[a1]]=1,NORMSDIST(Tab.o1[[#This Row],[Za]]),"")</f>
        <v>0.1684422338877356</v>
      </c>
      <c r="N55" s="119">
        <f>IF(Tab.o1[[#This Row],[a1]]=1,((Tab.o1[[#This Row],[MedMod]]-AVERAGE(Tab.o1[MedMod]))/_xlfn.STDEV.P(Tab.o1[MedMod])*H$1205)+G$1205,"")</f>
        <v>1.1381294713576953</v>
      </c>
      <c r="O55" s="141">
        <f>IF(Tab.o1[[#This Row],[a1]]=1,Tab.o1[[#This Row],[Zb]]*_xlfn.STDEV.P(Tab.o1[MedMod])+AVERAGE(Tab.o1[MedMod]),"")</f>
        <v>840.6</v>
      </c>
      <c r="P55" s="117">
        <f ca="1">IF(Tab.o1[[#This Row],[B]]=0,AVERAGE(OFFSET(Tab.o1[[#This Row],[B]],1,0,L$3,1)),Tab.o1[[#This Row],[B]])</f>
        <v>840.6</v>
      </c>
      <c r="Q55" s="121">
        <f>IF(Tab.o1[[#This Row],[a1]]=1,NORMSDIST(Tab.o1[[#This Row],[Zb]]),"")</f>
        <v>0.87246678824088542</v>
      </c>
      <c r="R55" s="122">
        <f>IF(Tab.o1[[#This Row],[a1]]=1,((Tab.o1[[#This Row],[MedMod]]-AVERAGE(Tab.o1[MedMod]))/_xlfn.STDEV.P(Tab.o1[MedMod])*H$1203)+G$1203,"")</f>
        <v>3.1381294713576953</v>
      </c>
      <c r="S55" s="122">
        <f>IF(Tab.o1[[#This Row],[a1]]=1,((Tab.o1[[#This Row],[MedMod]]-AVERAGE(Tab.o1[MedMod]))/_xlfn.STDEV.P(Tab.o1[MedMod])*H$1204)+G$1204,"")</f>
        <v>-0.86187052864230473</v>
      </c>
      <c r="T55" s="123">
        <f>IF(Tab.o1[[#This Row],[a1]]=1,Tab.o1[[#This Row],[Z-]]*_xlfn.STDEV.P(Tab.o1[B])+AVERAGE(Tab.o1[B]),"")</f>
        <v>844.04864103669843</v>
      </c>
      <c r="U55" s="123">
        <f>IF(Tab.o1[[#This Row],[a1]]=1,Tab.o1[[#This Row],[z+]]*_xlfn.STDEV.P(Tab.o1[B])+AVERAGE(Tab.o1[B]),"")</f>
        <v>837.15135896330162</v>
      </c>
      <c r="V55" s="124">
        <f>IF(Tab.o1[[#This Row],[a1]]=1,ABS((ABS(Tab.o1[[#This Row],[Red]]-Tab.o1[[#This Row],[Blue]]))),"")</f>
        <v>6.8972820733968092</v>
      </c>
      <c r="W55" s="125">
        <f>IF(Tab.o1[[#This Row],[a1]]=1,IF(W$3=0,1,Tab.o1[[#This Row],[Amp.]]*1/_xlfn.MINIFS(Tab.o1[Amp.],Tab.o1[Amp.],"&lt;&gt;0")),"")</f>
        <v>1</v>
      </c>
      <c r="X55" s="126">
        <f ca="1">IF(Tab.o1[[#This Row],[a1]]=1,IF(ISNUMBER(Tab.o1[[#This Row],[i.]]),NORMDIST(Tab.o1[[#This Row],[Za]],0,1,FALSE)*Tab.o1[[#This Row],[i.]],AP$3),"")</f>
        <v>0.25156236797856402</v>
      </c>
      <c r="Y55" s="126">
        <f ca="1">IF(Tab.o1[[#This Row],[a1]]=1,0.01+0.94*Tab.o1[[#This Row],[PDF]]/MAX(Tab.o1[PDF]),"")</f>
        <v>0.60394091560370711</v>
      </c>
      <c r="Z55" s="126">
        <f>IF(Tab.o1[[#This Row],[a1]]=1,0.01+0.94*Tab.o1[[#This Row],[W1_PDF]]/MAX(Tab.o1[W1_PDF]),"")</f>
        <v>0.95</v>
      </c>
      <c r="AA55" s="118">
        <f>IF(Tab.o1[[#This Row],[a1]]=1,ABS([1]!T.in.A[[#This Row],[oo6]]),"")</f>
        <v>7.1269669999999993E-2</v>
      </c>
      <c r="AB55" s="118">
        <f ca="1">IF(Tab.o1[[#This Row],[a1]]=1,IF(AE$3=0,"",IF(AB$3=0,ABS([1]!T.in.A[[#This Row],[oo9]]),ABS(Tab.o1[[#This Row],[DIF_Target.]]*Tab.o1[[#This Row],[W1_PDF]]))),"")</f>
        <v>3.8264685823004248E-2</v>
      </c>
      <c r="AC55" s="118" t="str">
        <f>IF(G$1=1,"",IF(Tab.o1[[#This Row],[a1]]=1,Tab.o1[[#This Row],[Wr]]^2,""))</f>
        <v/>
      </c>
      <c r="AD55" s="118" t="e">
        <f>IF(Tab.o1[[#This Row],[a1]]=1,IF(AE$3=0,"",Tab.o1[[#This Row],[Wr2]]/SUM(Tab.o1[Wr2])),"")</f>
        <v>#VALUE!</v>
      </c>
      <c r="AE55" s="128">
        <f>IF(Tab.o1[[#This Row],[a1]]=1,[1]!T.in.A[[#This Row],[oo10]],"")</f>
        <v>0.9919173</v>
      </c>
      <c r="AF55" s="118" t="e">
        <f ca="1">IF(Tab.o1[[#This Row],[a1]]=1,ABS(Tab.o1[[#This Row],[DIF_Target.]]*Tab.o1[[#This Row],[PDF2]]*Tab.o1[[#This Row],[IN]]),"")</f>
        <v>#REF!</v>
      </c>
      <c r="AG55" s="129" t="e">
        <f ca="1">IF(Tab.o1[[#This Row],[a1]]=1,Tab.o1[[#This Row],[rW]]^2,"")</f>
        <v>#REF!</v>
      </c>
      <c r="AH55" s="130" t="e">
        <f ca="1">IF(Tab.o1[[#This Row],[a1]]=1,IF(AH$3=0,Tab.o1[[#This Row],[rW2]],0.01+0.94*Tab.o1[[#This Row],[rW2]]/SUM(Tab.o1[rW2])),"")</f>
        <v>#REF!</v>
      </c>
      <c r="AI55" s="128">
        <f ca="1">IF(Tab.o1[[#This Row],[a1]]=1,1/Tab.o1[[#This Row],[PDF]],"")</f>
        <v>3.9751573656883825</v>
      </c>
      <c r="AJ55" s="131" t="e">
        <f>IF(Tab.o1[[#This Row],[a1]]=1,[1]!T_AA[[#This Row],[IN'']]*[1]!T_AA[[#This Row],[Qde'']],"")</f>
        <v>#REF!</v>
      </c>
      <c r="AK55" s="132" t="str">
        <f>IF(Tab.o1[[#This Row],[a1]]=1,IF(AK$1=1,Tab.o1[[#This Row],[MED]]+Tab.o1[[#This Row],[MOD]]-Tab.o1[[#This Row],[MED]],""),"")</f>
        <v/>
      </c>
      <c r="AL55" s="133">
        <f>IF(Tab.o1[[#This Row],[a1]]=1,[1]!T.in.A[[#This Row],[oo16]],"")</f>
        <v>0.31552010000000003</v>
      </c>
      <c r="AM55" s="133">
        <f>IF(Tab.o1[[#This Row],[a1]]=1,IF(AM$3=1,[1]!T.in.A[[#This Row],[Σo16]],""),"")</f>
        <v>6.0991312152908501E-3</v>
      </c>
      <c r="AN55" s="126" t="str">
        <f>IF(Tab.o1[[#This Row],[a1]]=1,[1]!T.in.A[[#This Row],[Σp5]],"")</f>
        <v/>
      </c>
      <c r="AO55" s="126" t="str">
        <f>IF(Tab.o1[[#This Row],[a1]]=1,IF(AO$3=1,[1]!T.in.A[[#This Row],[Σp5]],""),"")</f>
        <v/>
      </c>
      <c r="AP55" s="110">
        <f ca="1">IF(Tab.o1[[#This Row],[a1]]=1,IF(ISNUMBER(Tab.o1[[#This Row],[i.]]),NORMDIST(Tab.o1[[#This Row],[Za]],0,1,FALSE)*Tab.o1[[#This Row],[i.]],0),"")</f>
        <v>0.25156236797856402</v>
      </c>
      <c r="AQ55" s="125">
        <f>IF(Tab.o1[[#This Row],[a1]]=1,ABS(Tab.o1[[#This Row],[MOD]]-AVERAGE(Tab.o1[MOD])),"")</f>
        <v>0.70173593749996144</v>
      </c>
      <c r="AR55" s="134">
        <f>IF(Tab.o1[[#This Row],[a1]]=1,Tab.o1[[#This Row],[OBS]]/SUM(Tab.o1[OBS]),"")</f>
        <v>7.3238506222849586E-3</v>
      </c>
      <c r="AS55" s="135">
        <f>IF(ISNUMBER(Tab.o1[[#This Row],[a1]]),ROW()-4,"")</f>
        <v>51</v>
      </c>
      <c r="AT55" s="136">
        <f>Tab.o1[[#This Row],[MOD]]</f>
        <v>840.06309999999996</v>
      </c>
      <c r="AU55" s="137">
        <f t="shared" si="1"/>
        <v>840.06309999999996</v>
      </c>
      <c r="AV55" s="138">
        <f t="shared" si="2"/>
        <v>0</v>
      </c>
      <c r="AW55" s="138" t="str">
        <f t="shared" si="3"/>
        <v/>
      </c>
      <c r="AX55" s="139" t="str">
        <f>[1]!T.in.A[[#This Row],[ID_T_manu]]</f>
        <v/>
      </c>
      <c r="AY55" s="140" t="e">
        <f>IF(ISNUMBER(Tab.o1[[#This Row],[a1]]),IF(AND(Tab.o1[[#This Row],[a1]]=1,Tab.o1[[#This Row],[b1]]&lt;=AY$4),#REF!,AY54),"")</f>
        <v>#REF!</v>
      </c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</row>
    <row r="56" spans="1:79" ht="15.75">
      <c r="A56" s="109">
        <v>6.9999999999999999E-6</v>
      </c>
      <c r="B56" s="110">
        <f t="shared" si="0"/>
        <v>56</v>
      </c>
      <c r="C56" s="111">
        <f>IF(C$1=[1]!T.in.A[[#This Row],[oo2]],1,"")</f>
        <v>1</v>
      </c>
      <c r="D56" s="112">
        <f>IF(Tab.o1[[#This Row],[a1]]=1,IF(SUM(C56:C57)=0,0,IF(SUM(C55:C56)=1,1,IF(SUM(C55:C57)&gt;1,D55+1,0))),"")</f>
        <v>52</v>
      </c>
      <c r="E56" s="113" t="str">
        <f>IF(Tab.o1[[#This Row],[a1]]=1,[1]!T.in.A[[#This Row],[oo1]],"")</f>
        <v>hed52</v>
      </c>
      <c r="F56" s="113" t="str">
        <f>IF(Tab.o1[[#This Row],[a1]]=1,[1]!T.in.A[[#This Row],[pp1]],"")</f>
        <v/>
      </c>
      <c r="G56" s="114">
        <f>IF(Tab.o1[[#This Row],[a1]]=1,G$2+IF(G$1=1,0,Tab.o1[[#This Row],[.x1]])+[1]!T.in.A[[#This Row],[oo3]],"")</f>
        <v>840.8</v>
      </c>
      <c r="H56" s="115">
        <f>IF(Tab.o1[[#This Row],[a1]]=1,IF(H$2=0,0,IF(G$1=1,0,Tab.o1[[#This Row],[.x1]])+[1]!T.in.A[[#This Row],[oo4]]),"")</f>
        <v>840.1481</v>
      </c>
      <c r="I56" s="116">
        <f>IF(Tab.o1[[#This Row],[a1]]=1,IF(J$2=0,Tab.o1[[#This Row],[MED]],Tab.o1[[#This Row],[MOD]]),"")</f>
        <v>840.8</v>
      </c>
      <c r="J56" s="142">
        <f ca="1">IF(Tab.o1[[#This Row],[a1]]=1,((Tab.o1[[#This Row],[DIF_Target.]]-AVERAGE(Tab.o1[DIF_Target.]))/_xlfn.STDEV.P(Tab.o1[DIF_Target.])),"")</f>
        <v>-1.0479362166027288</v>
      </c>
      <c r="K56" s="117">
        <f>IF(Tab.o1[[#This Row],[a1]]=1,IF(J$2=0,Tab.o1[[#This Row],[MOD]]-Tab.o1[[#This Row],[B]],IF(J$2=1,0,-Tab.o1[[#This Row],[MED]])+Tab.o1[[#This Row],[B]]),"")</f>
        <v>-0.65189999999995507</v>
      </c>
      <c r="L56" s="117">
        <f ca="1">IF(Tab.o1[[#This Row],[DIF_Target]]=0,IF(L$2=0,Tab.o1[[#This Row],[DIF_Target]],AVERAGE(OFFSET(Tab.o1[[#This Row],[DIF_Target]],1,0,L$3,1)))/3,Tab.o1[[#This Row],[DIF_Target]])</f>
        <v>-0.65189999999995507</v>
      </c>
      <c r="M56" s="118">
        <f ca="1">IF(Tab.o1[[#This Row],[a1]]=1,NORMSDIST(Tab.o1[[#This Row],[Za]]),"")</f>
        <v>0.14733399739043057</v>
      </c>
      <c r="N56" s="119">
        <f>IF(Tab.o1[[#This Row],[a1]]=1,((Tab.o1[[#This Row],[MedMod]]-AVERAGE(Tab.o1[MedMod]))/_xlfn.STDEV.P(Tab.o1[MedMod])*H$1205)+G$1205,"")</f>
        <v>1.254117188183919</v>
      </c>
      <c r="O56" s="141">
        <f>IF(Tab.o1[[#This Row],[a1]]=1,Tab.o1[[#This Row],[Zb]]*_xlfn.STDEV.P(Tab.o1[MedMod])+AVERAGE(Tab.o1[MedMod]),"")</f>
        <v>840.8</v>
      </c>
      <c r="P56" s="117">
        <f ca="1">IF(Tab.o1[[#This Row],[B]]=0,AVERAGE(OFFSET(Tab.o1[[#This Row],[B]],1,0,L$3,1)),Tab.o1[[#This Row],[B]])</f>
        <v>840.8</v>
      </c>
      <c r="Q56" s="121">
        <f>IF(Tab.o1[[#This Row],[a1]]=1,NORMSDIST(Tab.o1[[#This Row],[Zb]]),"")</f>
        <v>0.89510029310816286</v>
      </c>
      <c r="R56" s="122">
        <f>IF(Tab.o1[[#This Row],[a1]]=1,((Tab.o1[[#This Row],[MedMod]]-AVERAGE(Tab.o1[MedMod]))/_xlfn.STDEV.P(Tab.o1[MedMod])*H$1203)+G$1203,"")</f>
        <v>3.254117188183919</v>
      </c>
      <c r="S56" s="122">
        <f>IF(Tab.o1[[#This Row],[a1]]=1,((Tab.o1[[#This Row],[MedMod]]-AVERAGE(Tab.o1[MedMod]))/_xlfn.STDEV.P(Tab.o1[MedMod])*H$1204)+G$1204,"")</f>
        <v>-0.74588281181608096</v>
      </c>
      <c r="T56" s="123">
        <f>IF(Tab.o1[[#This Row],[a1]]=1,Tab.o1[[#This Row],[Z-]]*_xlfn.STDEV.P(Tab.o1[B])+AVERAGE(Tab.o1[B]),"")</f>
        <v>844.24864103669836</v>
      </c>
      <c r="U56" s="123">
        <f>IF(Tab.o1[[#This Row],[a1]]=1,Tab.o1[[#This Row],[z+]]*_xlfn.STDEV.P(Tab.o1[B])+AVERAGE(Tab.o1[B]),"")</f>
        <v>837.35135896330155</v>
      </c>
      <c r="V56" s="124">
        <f>IF(Tab.o1[[#This Row],[a1]]=1,ABS((ABS(Tab.o1[[#This Row],[Red]]-Tab.o1[[#This Row],[Blue]]))),"")</f>
        <v>6.8972820733968092</v>
      </c>
      <c r="W56" s="125">
        <f>IF(Tab.o1[[#This Row],[a1]]=1,IF(W$3=0,1,Tab.o1[[#This Row],[Amp.]]*1/_xlfn.MINIFS(Tab.o1[Amp.],Tab.o1[Amp.],"&lt;&gt;0")),"")</f>
        <v>1</v>
      </c>
      <c r="X56" s="126">
        <f ca="1">IF(Tab.o1[[#This Row],[a1]]=1,IF(ISNUMBER(Tab.o1[[#This Row],[i.]]),NORMDIST(Tab.o1[[#This Row],[Za]],0,1,FALSE)*Tab.o1[[#This Row],[i.]],AP$3),"")</f>
        <v>0.23038033848497708</v>
      </c>
      <c r="Y56" s="126">
        <f ca="1">IF(Tab.o1[[#This Row],[a1]]=1,0.01+0.94*Tab.o1[[#This Row],[PDF]]/MAX(Tab.o1[PDF]),"")</f>
        <v>0.55392996168854214</v>
      </c>
      <c r="Z56" s="126">
        <f>IF(Tab.o1[[#This Row],[a1]]=1,0.01+0.94*Tab.o1[[#This Row],[W1_PDF]]/MAX(Tab.o1[W1_PDF]),"")</f>
        <v>0.95</v>
      </c>
      <c r="AA56" s="118">
        <f>IF(Tab.o1[[#This Row],[a1]]=1,ABS([1]!T.in.A[[#This Row],[oo6]]),"")</f>
        <v>7.1269669999999993E-2</v>
      </c>
      <c r="AB56" s="118">
        <f ca="1">IF(Tab.o1[[#This Row],[a1]]=1,IF(AE$3=0,"",IF(AB$3=0,ABS([1]!T.in.A[[#This Row],[oo9]]),ABS(Tab.o1[[#This Row],[DIF_Target.]]*Tab.o1[[#This Row],[W1_PDF]]))),"")</f>
        <v>4.6460697872996795E-2</v>
      </c>
      <c r="AC56" s="118" t="str">
        <f>IF(G$1=1,"",IF(Tab.o1[[#This Row],[a1]]=1,Tab.o1[[#This Row],[Wr]]^2,""))</f>
        <v/>
      </c>
      <c r="AD56" s="118" t="e">
        <f>IF(Tab.o1[[#This Row],[a1]]=1,IF(AE$3=0,"",Tab.o1[[#This Row],[Wr2]]/SUM(Tab.o1[Wr2])),"")</f>
        <v>#VALUE!</v>
      </c>
      <c r="AE56" s="128">
        <f>IF(Tab.o1[[#This Row],[a1]]=1,[1]!T.in.A[[#This Row],[oo10]],"")</f>
        <v>0.9919173</v>
      </c>
      <c r="AF56" s="118" t="e">
        <f ca="1">IF(Tab.o1[[#This Row],[a1]]=1,ABS(Tab.o1[[#This Row],[DIF_Target.]]*Tab.o1[[#This Row],[PDF2]]*Tab.o1[[#This Row],[IN]]),"")</f>
        <v>#REF!</v>
      </c>
      <c r="AG56" s="129" t="e">
        <f ca="1">IF(Tab.o1[[#This Row],[a1]]=1,Tab.o1[[#This Row],[rW]]^2,"")</f>
        <v>#REF!</v>
      </c>
      <c r="AH56" s="130" t="e">
        <f ca="1">IF(Tab.o1[[#This Row],[a1]]=1,IF(AH$3=0,Tab.o1[[#This Row],[rW2]],0.01+0.94*Tab.o1[[#This Row],[rW2]]/SUM(Tab.o1[rW2])),"")</f>
        <v>#REF!</v>
      </c>
      <c r="AI56" s="128">
        <f ca="1">IF(Tab.o1[[#This Row],[a1]]=1,1/Tab.o1[[#This Row],[PDF]],"")</f>
        <v>4.3406481932276924</v>
      </c>
      <c r="AJ56" s="131" t="e">
        <f>IF(Tab.o1[[#This Row],[a1]]=1,[1]!T_AA[[#This Row],[IN'']]*[1]!T_AA[[#This Row],[Qde'']],"")</f>
        <v>#REF!</v>
      </c>
      <c r="AK56" s="132" t="str">
        <f>IF(Tab.o1[[#This Row],[a1]]=1,IF(AK$1=1,Tab.o1[[#This Row],[MED]]+Tab.o1[[#This Row],[MOD]]-Tab.o1[[#This Row],[MED]],""),"")</f>
        <v/>
      </c>
      <c r="AL56" s="133">
        <f>IF(Tab.o1[[#This Row],[a1]]=1,[1]!T.in.A[[#This Row],[oo16]],"")</f>
        <v>0.28720980000000002</v>
      </c>
      <c r="AM56" s="133">
        <f>IF(Tab.o1[[#This Row],[a1]]=1,IF(AM$3=1,[1]!T.in.A[[#This Row],[Σo16]],""),"")</f>
        <v>5.5518816598924825E-3</v>
      </c>
      <c r="AN56" s="126" t="str">
        <f>IF(Tab.o1[[#This Row],[a1]]=1,[1]!T.in.A[[#This Row],[Σp5]],"")</f>
        <v/>
      </c>
      <c r="AO56" s="126" t="str">
        <f>IF(Tab.o1[[#This Row],[a1]]=1,IF(AO$3=1,[1]!T.in.A[[#This Row],[Σp5]],""),"")</f>
        <v/>
      </c>
      <c r="AP56" s="110">
        <f ca="1">IF(Tab.o1[[#This Row],[a1]]=1,IF(ISNUMBER(Tab.o1[[#This Row],[i.]]),NORMDIST(Tab.o1[[#This Row],[Za]],0,1,FALSE)*Tab.o1[[#This Row],[i.]],0),"")</f>
        <v>0.23038033848497708</v>
      </c>
      <c r="AQ56" s="125">
        <f>IF(Tab.o1[[#This Row],[a1]]=1,ABS(Tab.o1[[#This Row],[MOD]]-AVERAGE(Tab.o1[MOD])),"")</f>
        <v>0.78673593749999782</v>
      </c>
      <c r="AR56" s="134">
        <f>IF(Tab.o1[[#This Row],[a1]]=1,Tab.o1[[#This Row],[OBS]]/SUM(Tab.o1[OBS]),"")</f>
        <v>8.2109753505870808E-3</v>
      </c>
      <c r="AS56" s="135">
        <f>IF(ISNUMBER(Tab.o1[[#This Row],[a1]]),ROW()-4,"")</f>
        <v>52</v>
      </c>
      <c r="AT56" s="136">
        <f>Tab.o1[[#This Row],[MOD]]</f>
        <v>840.1481</v>
      </c>
      <c r="AU56" s="137">
        <f t="shared" si="1"/>
        <v>840.1481</v>
      </c>
      <c r="AV56" s="138">
        <f t="shared" si="2"/>
        <v>0</v>
      </c>
      <c r="AW56" s="138" t="str">
        <f t="shared" si="3"/>
        <v/>
      </c>
      <c r="AX56" s="139" t="str">
        <f>[1]!T.in.A[[#This Row],[ID_T_manu]]</f>
        <v/>
      </c>
      <c r="AY56" s="140" t="e">
        <f>IF(ISNUMBER(Tab.o1[[#This Row],[a1]]),IF(AND(Tab.o1[[#This Row],[a1]]=1,Tab.o1[[#This Row],[b1]]&lt;=AY$4),#REF!,AY55),"")</f>
        <v>#REF!</v>
      </c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</row>
    <row r="57" spans="1:79" ht="15.75">
      <c r="A57" s="109">
        <v>2.0000000000000003E-6</v>
      </c>
      <c r="B57" s="110">
        <f t="shared" si="0"/>
        <v>57</v>
      </c>
      <c r="C57" s="111">
        <f>IF(C$1=[1]!T.in.A[[#This Row],[oo2]],1,"")</f>
        <v>1</v>
      </c>
      <c r="D57" s="112">
        <f>IF(Tab.o1[[#This Row],[a1]]=1,IF(SUM(C57:C58)=0,0,IF(SUM(C56:C57)=1,1,IF(SUM(C56:C58)&gt;1,D56+1,0))),"")</f>
        <v>53</v>
      </c>
      <c r="E57" s="113" t="str">
        <f>IF(Tab.o1[[#This Row],[a1]]=1,[1]!T.in.A[[#This Row],[oo1]],"")</f>
        <v>hed74</v>
      </c>
      <c r="F57" s="113" t="str">
        <f>IF(Tab.o1[[#This Row],[a1]]=1,[1]!T.in.A[[#This Row],[pp1]],"")</f>
        <v/>
      </c>
      <c r="G57" s="114">
        <f>IF(Tab.o1[[#This Row],[a1]]=1,G$2+IF(G$1=1,0,Tab.o1[[#This Row],[.x1]])+[1]!T.in.A[[#This Row],[oo3]],"")</f>
        <v>840.7</v>
      </c>
      <c r="H57" s="115">
        <f>IF(Tab.o1[[#This Row],[a1]]=1,IF(H$2=0,0,IF(G$1=1,0,Tab.o1[[#This Row],[.x1]])+[1]!T.in.A[[#This Row],[oo4]]),"")</f>
        <v>840.83040000000005</v>
      </c>
      <c r="I57" s="116">
        <f>IF(Tab.o1[[#This Row],[a1]]=1,IF(J$2=0,Tab.o1[[#This Row],[MED]],Tab.o1[[#This Row],[MOD]]),"")</f>
        <v>840.7</v>
      </c>
      <c r="J57" s="142">
        <f ca="1">IF(Tab.o1[[#This Row],[a1]]=1,((Tab.o1[[#This Row],[DIF_Target.]]-AVERAGE(Tab.o1[DIF_Target.]))/_xlfn.STDEV.P(Tab.o1[DIF_Target.])),"")</f>
        <v>-0.45204879331985526</v>
      </c>
      <c r="K57" s="117">
        <f>IF(Tab.o1[[#This Row],[a1]]=1,IF(J$2=0,Tab.o1[[#This Row],[MOD]]-Tab.o1[[#This Row],[B]],IF(J$2=1,0,-Tab.o1[[#This Row],[MED]])+Tab.o1[[#This Row],[B]]),"")</f>
        <v>0.13040000000000873</v>
      </c>
      <c r="L57" s="117">
        <f ca="1">IF(Tab.o1[[#This Row],[DIF_Target]]=0,IF(L$2=0,Tab.o1[[#This Row],[DIF_Target]],AVERAGE(OFFSET(Tab.o1[[#This Row],[DIF_Target]],1,0,L$3,1)))/3,Tab.o1[[#This Row],[DIF_Target]])</f>
        <v>0.13040000000000873</v>
      </c>
      <c r="M57" s="118">
        <f ca="1">IF(Tab.o1[[#This Row],[a1]]=1,NORMSDIST(Tab.o1[[#This Row],[Za]]),"")</f>
        <v>0.32561691596694498</v>
      </c>
      <c r="N57" s="119">
        <f>IF(Tab.o1[[#This Row],[a1]]=1,((Tab.o1[[#This Row],[MedMod]]-AVERAGE(Tab.o1[MedMod]))/_xlfn.STDEV.P(Tab.o1[MedMod])*H$1205)+G$1205,"")</f>
        <v>1.1961233297708402</v>
      </c>
      <c r="O57" s="141">
        <f>IF(Tab.o1[[#This Row],[a1]]=1,Tab.o1[[#This Row],[Zb]]*_xlfn.STDEV.P(Tab.o1[MedMod])+AVERAGE(Tab.o1[MedMod]),"")</f>
        <v>840.7</v>
      </c>
      <c r="P57" s="117">
        <f ca="1">IF(Tab.o1[[#This Row],[B]]=0,AVERAGE(OFFSET(Tab.o1[[#This Row],[B]],1,0,L$3,1)),Tab.o1[[#This Row],[B]])</f>
        <v>840.7</v>
      </c>
      <c r="Q57" s="121">
        <f>IF(Tab.o1[[#This Row],[a1]]=1,NORMSDIST(Tab.o1[[#This Row],[Zb]]),"")</f>
        <v>0.88417578265032137</v>
      </c>
      <c r="R57" s="122">
        <f>IF(Tab.o1[[#This Row],[a1]]=1,((Tab.o1[[#This Row],[MedMod]]-AVERAGE(Tab.o1[MedMod]))/_xlfn.STDEV.P(Tab.o1[MedMod])*H$1203)+G$1203,"")</f>
        <v>3.19612332977084</v>
      </c>
      <c r="S57" s="122">
        <f>IF(Tab.o1[[#This Row],[a1]]=1,((Tab.o1[[#This Row],[MedMod]]-AVERAGE(Tab.o1[MedMod]))/_xlfn.STDEV.P(Tab.o1[MedMod])*H$1204)+G$1204,"")</f>
        <v>-0.80387667022915976</v>
      </c>
      <c r="T57" s="123">
        <f>IF(Tab.o1[[#This Row],[a1]]=1,Tab.o1[[#This Row],[Z-]]*_xlfn.STDEV.P(Tab.o1[B])+AVERAGE(Tab.o1[B]),"")</f>
        <v>844.14864103669845</v>
      </c>
      <c r="U57" s="123">
        <f>IF(Tab.o1[[#This Row],[a1]]=1,Tab.o1[[#This Row],[z+]]*_xlfn.STDEV.P(Tab.o1[B])+AVERAGE(Tab.o1[B]),"")</f>
        <v>837.25135896330164</v>
      </c>
      <c r="V57" s="124">
        <f>IF(Tab.o1[[#This Row],[a1]]=1,ABS((ABS(Tab.o1[[#This Row],[Red]]-Tab.o1[[#This Row],[Blue]]))),"")</f>
        <v>6.8972820733968092</v>
      </c>
      <c r="W57" s="125">
        <f>IF(Tab.o1[[#This Row],[a1]]=1,IF(W$3=0,1,Tab.o1[[#This Row],[Amp.]]*1/_xlfn.MINIFS(Tab.o1[Amp.],Tab.o1[Amp.],"&lt;&gt;0")),"")</f>
        <v>1</v>
      </c>
      <c r="X57" s="126">
        <f ca="1">IF(Tab.o1[[#This Row],[a1]]=1,IF(ISNUMBER(Tab.o1[[#This Row],[i.]]),NORMDIST(Tab.o1[[#This Row],[Za]],0,1,FALSE)*Tab.o1[[#This Row],[i.]],AP$3),"")</f>
        <v>0.36019396931720854</v>
      </c>
      <c r="Y57" s="126">
        <f ca="1">IF(Tab.o1[[#This Row],[a1]]=1,0.01+0.94*Tab.o1[[#This Row],[PDF]]/MAX(Tab.o1[PDF]),"")</f>
        <v>0.86042106118760198</v>
      </c>
      <c r="Z57" s="126">
        <f>IF(Tab.o1[[#This Row],[a1]]=1,0.01+0.94*Tab.o1[[#This Row],[W1_PDF]]/MAX(Tab.o1[W1_PDF]),"")</f>
        <v>0.77011664148297598</v>
      </c>
      <c r="AA57" s="118">
        <f>IF(Tab.o1[[#This Row],[a1]]=1,ABS([1]!T.in.A[[#This Row],[oo6]]),"")</f>
        <v>5.7631130000000003E-2</v>
      </c>
      <c r="AB57" s="118">
        <f ca="1">IF(Tab.o1[[#This Row],[a1]]=1,IF(AE$3=0,"",IF(AB$3=0,ABS([1]!T.in.A[[#This Row],[oo9]]),ABS(Tab.o1[[#This Row],[DIF_Target.]]*Tab.o1[[#This Row],[W1_PDF]]))),"")</f>
        <v>7.5150993520005033E-3</v>
      </c>
      <c r="AC57" s="118" t="str">
        <f>IF(G$1=1,"",IF(Tab.o1[[#This Row],[a1]]=1,Tab.o1[[#This Row],[Wr]]^2,""))</f>
        <v/>
      </c>
      <c r="AD57" s="118" t="e">
        <f>IF(Tab.o1[[#This Row],[a1]]=1,IF(AE$3=0,"",Tab.o1[[#This Row],[Wr2]]/SUM(Tab.o1[Wr2])),"")</f>
        <v>#VALUE!</v>
      </c>
      <c r="AE57" s="128">
        <f>IF(Tab.o1[[#This Row],[a1]]=1,[1]!T.in.A[[#This Row],[oo10]],"")</f>
        <v>1.2266570000000001</v>
      </c>
      <c r="AF57" s="118" t="e">
        <f ca="1">IF(Tab.o1[[#This Row],[a1]]=1,ABS(Tab.o1[[#This Row],[DIF_Target.]]*Tab.o1[[#This Row],[PDF2]]*Tab.o1[[#This Row],[IN]]),"")</f>
        <v>#REF!</v>
      </c>
      <c r="AG57" s="129" t="e">
        <f ca="1">IF(Tab.o1[[#This Row],[a1]]=1,Tab.o1[[#This Row],[rW]]^2,"")</f>
        <v>#REF!</v>
      </c>
      <c r="AH57" s="130" t="e">
        <f ca="1">IF(Tab.o1[[#This Row],[a1]]=1,IF(AH$3=0,Tab.o1[[#This Row],[rW2]],0.01+0.94*Tab.o1[[#This Row],[rW2]]/SUM(Tab.o1[rW2])),"")</f>
        <v>#REF!</v>
      </c>
      <c r="AI57" s="128">
        <f ca="1">IF(Tab.o1[[#This Row],[a1]]=1,1/Tab.o1[[#This Row],[PDF]],"")</f>
        <v>2.7762819069281521</v>
      </c>
      <c r="AJ57" s="131" t="e">
        <f>IF(Tab.o1[[#This Row],[a1]]=1,[1]!T_AA[[#This Row],[IN'']]*[1]!T_AA[[#This Row],[Qde'']],"")</f>
        <v>#REF!</v>
      </c>
      <c r="AK57" s="132" t="str">
        <f>IF(Tab.o1[[#This Row],[a1]]=1,IF(AK$1=1,Tab.o1[[#This Row],[MED]]+Tab.o1[[#This Row],[MOD]]-Tab.o1[[#This Row],[MED]],""),"")</f>
        <v/>
      </c>
      <c r="AL57" s="133">
        <f>IF(Tab.o1[[#This Row],[a1]]=1,[1]!T.in.A[[#This Row],[oo16]],"")</f>
        <v>4.7525424E-4</v>
      </c>
      <c r="AM57" s="133">
        <f>IF(Tab.o1[[#This Row],[a1]]=1,IF(AM$3=1,[1]!T.in.A[[#This Row],[Σo16]],""),"")</f>
        <v>9.1868567814961054E-6</v>
      </c>
      <c r="AN57" s="126" t="str">
        <f>IF(Tab.o1[[#This Row],[a1]]=1,[1]!T.in.A[[#This Row],[Σp5]],"")</f>
        <v/>
      </c>
      <c r="AO57" s="126" t="str">
        <f>IF(Tab.o1[[#This Row],[a1]]=1,IF(AO$3=1,[1]!T.in.A[[#This Row],[Σp5]],""),"")</f>
        <v/>
      </c>
      <c r="AP57" s="110">
        <f ca="1">IF(Tab.o1[[#This Row],[a1]]=1,IF(ISNUMBER(Tab.o1[[#This Row],[i.]]),NORMDIST(Tab.o1[[#This Row],[Za]],0,1,FALSE)*Tab.o1[[#This Row],[i.]],0),"")</f>
        <v>0.36019396931720854</v>
      </c>
      <c r="AQ57" s="125">
        <f>IF(Tab.o1[[#This Row],[a1]]=1,ABS(Tab.o1[[#This Row],[MOD]]-AVERAGE(Tab.o1[MOD])),"")</f>
        <v>1.4690359375000526</v>
      </c>
      <c r="AR57" s="134">
        <f>IF(Tab.o1[[#This Row],[a1]]=1,Tab.o1[[#This Row],[OBS]]/SUM(Tab.o1[OBS]),"")</f>
        <v>1.5331977728473282E-2</v>
      </c>
      <c r="AS57" s="135">
        <f>IF(ISNUMBER(Tab.o1[[#This Row],[a1]]),ROW()-4,"")</f>
        <v>53</v>
      </c>
      <c r="AT57" s="136">
        <f>Tab.o1[[#This Row],[MOD]]</f>
        <v>840.83040000000005</v>
      </c>
      <c r="AU57" s="137">
        <f t="shared" si="1"/>
        <v>840.83040000000005</v>
      </c>
      <c r="AV57" s="138">
        <f t="shared" si="2"/>
        <v>0</v>
      </c>
      <c r="AW57" s="138" t="str">
        <f t="shared" si="3"/>
        <v/>
      </c>
      <c r="AX57" s="139">
        <f>[1]!T.in.A[[#This Row],[ID_T_manu]]</f>
        <v>2</v>
      </c>
      <c r="AY57" s="140" t="e">
        <f>IF(ISNUMBER(Tab.o1[[#This Row],[a1]]),IF(AND(Tab.o1[[#This Row],[a1]]=1,Tab.o1[[#This Row],[b1]]&lt;=AY$4),#REF!,AY56),"")</f>
        <v>#REF!</v>
      </c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</row>
    <row r="58" spans="1:79" ht="15.75">
      <c r="A58" s="109">
        <v>8.0000000000000013E-6</v>
      </c>
      <c r="B58" s="110">
        <f t="shared" si="0"/>
        <v>58</v>
      </c>
      <c r="C58" s="111">
        <f>IF(C$1=[1]!T.in.A[[#This Row],[oo2]],1,"")</f>
        <v>1</v>
      </c>
      <c r="D58" s="112">
        <f>IF(Tab.o1[[#This Row],[a1]]=1,IF(SUM(C58:C59)=0,0,IF(SUM(C57:C58)=1,1,IF(SUM(C57:C59)&gt;1,D57+1,0))),"")</f>
        <v>54</v>
      </c>
      <c r="E58" s="113" t="str">
        <f>IF(Tab.o1[[#This Row],[a1]]=1,[1]!T.in.A[[#This Row],[oo1]],"")</f>
        <v>hed75</v>
      </c>
      <c r="F58" s="113" t="str">
        <f>IF(Tab.o1[[#This Row],[a1]]=1,[1]!T.in.A[[#This Row],[pp1]],"")</f>
        <v/>
      </c>
      <c r="G58" s="114">
        <f>IF(Tab.o1[[#This Row],[a1]]=1,G$2+IF(G$1=1,0,Tab.o1[[#This Row],[.x1]])+[1]!T.in.A[[#This Row],[oo3]],"")</f>
        <v>836</v>
      </c>
      <c r="H58" s="115">
        <f>IF(Tab.o1[[#This Row],[a1]]=1,IF(H$2=0,0,IF(G$1=1,0,Tab.o1[[#This Row],[.x1]])+[1]!T.in.A[[#This Row],[oo4]]),"")</f>
        <v>834.69320000000005</v>
      </c>
      <c r="I58" s="116">
        <f>IF(Tab.o1[[#This Row],[a1]]=1,IF(J$2=0,Tab.o1[[#This Row],[MED]],Tab.o1[[#This Row],[MOD]]),"")</f>
        <v>836</v>
      </c>
      <c r="J58" s="142">
        <f ca="1">IF(Tab.o1[[#This Row],[a1]]=1,((Tab.o1[[#This Row],[DIF_Target.]]-AVERAGE(Tab.o1[DIF_Target.]))/_xlfn.STDEV.P(Tab.o1[DIF_Target.])),"")</f>
        <v>-1.5467815106177751</v>
      </c>
      <c r="K58" s="117">
        <f>IF(Tab.o1[[#This Row],[a1]]=1,IF(J$2=0,Tab.o1[[#This Row],[MOD]]-Tab.o1[[#This Row],[B]],IF(J$2=1,0,-Tab.o1[[#This Row],[MED]])+Tab.o1[[#This Row],[B]]),"")</f>
        <v>-1.3067999999999529</v>
      </c>
      <c r="L58" s="117">
        <f ca="1">IF(Tab.o1[[#This Row],[DIF_Target]]=0,IF(L$2=0,Tab.o1[[#This Row],[DIF_Target]],AVERAGE(OFFSET(Tab.o1[[#This Row],[DIF_Target]],1,0,L$3,1)))/3,Tab.o1[[#This Row],[DIF_Target]])</f>
        <v>-1.3067999999999529</v>
      </c>
      <c r="M58" s="118">
        <f ca="1">IF(Tab.o1[[#This Row],[a1]]=1,NORMSDIST(Tab.o1[[#This Row],[Za]]),"")</f>
        <v>6.095797006024218E-2</v>
      </c>
      <c r="N58" s="119">
        <f>IF(Tab.o1[[#This Row],[a1]]=1,((Tab.o1[[#This Row],[MedMod]]-AVERAGE(Tab.o1[MedMod]))/_xlfn.STDEV.P(Tab.o1[MedMod])*H$1205)+G$1205,"")</f>
        <v>-1.5295880156463735</v>
      </c>
      <c r="O58" s="141">
        <f>IF(Tab.o1[[#This Row],[a1]]=1,Tab.o1[[#This Row],[Zb]]*_xlfn.STDEV.P(Tab.o1[MedMod])+AVERAGE(Tab.o1[MedMod]),"")</f>
        <v>836</v>
      </c>
      <c r="P58" s="117">
        <f ca="1">IF(Tab.o1[[#This Row],[B]]=0,AVERAGE(OFFSET(Tab.o1[[#This Row],[B]],1,0,L$3,1)),Tab.o1[[#This Row],[B]])</f>
        <v>836</v>
      </c>
      <c r="Q58" s="121">
        <f>IF(Tab.o1[[#This Row],[a1]]=1,NORMSDIST(Tab.o1[[#This Row],[Zb]]),"")</f>
        <v>6.305936886864881E-2</v>
      </c>
      <c r="R58" s="122">
        <f>IF(Tab.o1[[#This Row],[a1]]=1,((Tab.o1[[#This Row],[MedMod]]-AVERAGE(Tab.o1[MedMod]))/_xlfn.STDEV.P(Tab.o1[MedMod])*H$1203)+G$1203,"")</f>
        <v>0.47041198435362652</v>
      </c>
      <c r="S58" s="122">
        <f>IF(Tab.o1[[#This Row],[a1]]=1,((Tab.o1[[#This Row],[MedMod]]-AVERAGE(Tab.o1[MedMod]))/_xlfn.STDEV.P(Tab.o1[MedMod])*H$1204)+G$1204,"")</f>
        <v>-3.5295880156463735</v>
      </c>
      <c r="T58" s="123">
        <f>IF(Tab.o1[[#This Row],[a1]]=1,Tab.o1[[#This Row],[Z-]]*_xlfn.STDEV.P(Tab.o1[B])+AVERAGE(Tab.o1[B]),"")</f>
        <v>839.4486410366984</v>
      </c>
      <c r="U58" s="123">
        <f>IF(Tab.o1[[#This Row],[a1]]=1,Tab.o1[[#This Row],[z+]]*_xlfn.STDEV.P(Tab.o1[B])+AVERAGE(Tab.o1[B]),"")</f>
        <v>832.5513589633016</v>
      </c>
      <c r="V58" s="124">
        <f>IF(Tab.o1[[#This Row],[a1]]=1,ABS((ABS(Tab.o1[[#This Row],[Red]]-Tab.o1[[#This Row],[Blue]]))),"")</f>
        <v>6.8972820733968092</v>
      </c>
      <c r="W58" s="125">
        <f>IF(Tab.o1[[#This Row],[a1]]=1,IF(W$3=0,1,Tab.o1[[#This Row],[Amp.]]*1/_xlfn.MINIFS(Tab.o1[Amp.],Tab.o1[Amp.],"&lt;&gt;0")),"")</f>
        <v>1</v>
      </c>
      <c r="X58" s="126">
        <f ca="1">IF(Tab.o1[[#This Row],[a1]]=1,IF(ISNUMBER(Tab.o1[[#This Row],[i.]]),NORMDIST(Tab.o1[[#This Row],[Za]],0,1,FALSE)*Tab.o1[[#This Row],[i.]],AP$3),"")</f>
        <v>0.12060855575067091</v>
      </c>
      <c r="Y58" s="126">
        <f ca="1">IF(Tab.o1[[#This Row],[a1]]=1,0.01+0.94*Tab.o1[[#This Row],[PDF]]/MAX(Tab.o1[PDF]),"")</f>
        <v>0.29475783801772093</v>
      </c>
      <c r="Z58" s="126">
        <f>IF(Tab.o1[[#This Row],[a1]]=1,0.01+0.94*Tab.o1[[#This Row],[W1_PDF]]/MAX(Tab.o1[W1_PDF]),"")</f>
        <v>0.77011664148297598</v>
      </c>
      <c r="AA58" s="118">
        <f>IF(Tab.o1[[#This Row],[a1]]=1,ABS([1]!T.in.A[[#This Row],[oo6]]),"")</f>
        <v>5.7631130000000003E-2</v>
      </c>
      <c r="AB58" s="118">
        <f ca="1">IF(Tab.o1[[#This Row],[a1]]=1,IF(AE$3=0,"",IF(AB$3=0,ABS([1]!T.in.A[[#This Row],[oo9]]),ABS(Tab.o1[[#This Row],[DIF_Target.]]*Tab.o1[[#This Row],[W1_PDF]]))),"")</f>
        <v>7.5312360683997284E-2</v>
      </c>
      <c r="AC58" s="118" t="str">
        <f>IF(G$1=1,"",IF(Tab.o1[[#This Row],[a1]]=1,Tab.o1[[#This Row],[Wr]]^2,""))</f>
        <v/>
      </c>
      <c r="AD58" s="118" t="e">
        <f>IF(Tab.o1[[#This Row],[a1]]=1,IF(AE$3=0,"",Tab.o1[[#This Row],[Wr2]]/SUM(Tab.o1[Wr2])),"")</f>
        <v>#VALUE!</v>
      </c>
      <c r="AE58" s="128">
        <f>IF(Tab.o1[[#This Row],[a1]]=1,[1]!T.in.A[[#This Row],[oo10]],"")</f>
        <v>1.2266570000000001</v>
      </c>
      <c r="AF58" s="118" t="e">
        <f ca="1">IF(Tab.o1[[#This Row],[a1]]=1,ABS(Tab.o1[[#This Row],[DIF_Target.]]*Tab.o1[[#This Row],[PDF2]]*Tab.o1[[#This Row],[IN]]),"")</f>
        <v>#REF!</v>
      </c>
      <c r="AG58" s="129" t="e">
        <f ca="1">IF(Tab.o1[[#This Row],[a1]]=1,Tab.o1[[#This Row],[rW]]^2,"")</f>
        <v>#REF!</v>
      </c>
      <c r="AH58" s="130" t="e">
        <f ca="1">IF(Tab.o1[[#This Row],[a1]]=1,IF(AH$3=0,Tab.o1[[#This Row],[rW2]],0.01+0.94*Tab.o1[[#This Row],[rW2]]/SUM(Tab.o1[rW2])),"")</f>
        <v>#REF!</v>
      </c>
      <c r="AI58" s="128">
        <f ca="1">IF(Tab.o1[[#This Row],[a1]]=1,1/Tab.o1[[#This Row],[PDF]],"")</f>
        <v>8.2912857531206878</v>
      </c>
      <c r="AJ58" s="131" t="e">
        <f>IF(Tab.o1[[#This Row],[a1]]=1,[1]!T_AA[[#This Row],[IN'']]*[1]!T_AA[[#This Row],[Qde'']],"")</f>
        <v>#REF!</v>
      </c>
      <c r="AK58" s="132" t="str">
        <f>IF(Tab.o1[[#This Row],[a1]]=1,IF(AK$1=1,Tab.o1[[#This Row],[MED]]+Tab.o1[[#This Row],[MOD]]-Tab.o1[[#This Row],[MED]],""),"")</f>
        <v/>
      </c>
      <c r="AL58" s="133">
        <f>IF(Tab.o1[[#This Row],[a1]]=1,[1]!T.in.A[[#This Row],[oo16]],"")</f>
        <v>2.059358</v>
      </c>
      <c r="AM58" s="133">
        <f>IF(Tab.o1[[#This Row],[a1]]=1,IF(AM$3=1,[1]!T.in.A[[#This Row],[Σo16]],""),"")</f>
        <v>3.9808223505440492E-2</v>
      </c>
      <c r="AN58" s="126" t="str">
        <f>IF(Tab.o1[[#This Row],[a1]]=1,[1]!T.in.A[[#This Row],[Σp5]],"")</f>
        <v/>
      </c>
      <c r="AO58" s="126" t="str">
        <f>IF(Tab.o1[[#This Row],[a1]]=1,IF(AO$3=1,[1]!T.in.A[[#This Row],[Σp5]],""),"")</f>
        <v/>
      </c>
      <c r="AP58" s="110">
        <f ca="1">IF(Tab.o1[[#This Row],[a1]]=1,IF(ISNUMBER(Tab.o1[[#This Row],[i.]]),NORMDIST(Tab.o1[[#This Row],[Za]],0,1,FALSE)*Tab.o1[[#This Row],[i.]],0),"")</f>
        <v>0.12060855575067091</v>
      </c>
      <c r="AQ58" s="125">
        <f>IF(Tab.o1[[#This Row],[a1]]=1,ABS(Tab.o1[[#This Row],[MOD]]-AVERAGE(Tab.o1[MOD])),"")</f>
        <v>4.6681640624999545</v>
      </c>
      <c r="AR58" s="134">
        <f>IF(Tab.o1[[#This Row],[a1]]=1,Tab.o1[[#This Row],[OBS]]/SUM(Tab.o1[OBS]),"")</f>
        <v>4.872051500721445E-2</v>
      </c>
      <c r="AS58" s="135">
        <f>IF(ISNUMBER(Tab.o1[[#This Row],[a1]]),ROW()-4,"")</f>
        <v>54</v>
      </c>
      <c r="AT58" s="136">
        <f>Tab.o1[[#This Row],[MOD]]</f>
        <v>834.69320000000005</v>
      </c>
      <c r="AU58" s="137">
        <f t="shared" si="1"/>
        <v>834.69320000000005</v>
      </c>
      <c r="AV58" s="138">
        <f t="shared" si="2"/>
        <v>0</v>
      </c>
      <c r="AW58" s="138" t="str">
        <f t="shared" si="3"/>
        <v/>
      </c>
      <c r="AX58" s="139" t="str">
        <f>[1]!T.in.A[[#This Row],[ID_T_manu]]</f>
        <v/>
      </c>
      <c r="AY58" s="140" t="e">
        <f>IF(ISNUMBER(Tab.o1[[#This Row],[a1]]),IF(AND(Tab.o1[[#This Row],[a1]]=1,Tab.o1[[#This Row],[b1]]&lt;=AY$4),#REF!,AY57),"")</f>
        <v>#REF!</v>
      </c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</row>
    <row r="59" spans="1:79" ht="15.75">
      <c r="A59" s="109">
        <v>1.0000000000000002E-6</v>
      </c>
      <c r="B59" s="110">
        <f t="shared" si="0"/>
        <v>59</v>
      </c>
      <c r="C59" s="111">
        <f>IF(C$1=[1]!T.in.A[[#This Row],[oo2]],1,"")</f>
        <v>1</v>
      </c>
      <c r="D59" s="112">
        <f>IF(Tab.o1[[#This Row],[a1]]=1,IF(SUM(C59:C60)=0,0,IF(SUM(C58:C59)=1,1,IF(SUM(C58:C60)&gt;1,D58+1,0))),"")</f>
        <v>55</v>
      </c>
      <c r="E59" s="113" t="str">
        <f>IF(Tab.o1[[#This Row],[a1]]=1,[1]!T.in.A[[#This Row],[oo1]],"")</f>
        <v>hed76</v>
      </c>
      <c r="F59" s="113" t="str">
        <f>IF(Tab.o1[[#This Row],[a1]]=1,[1]!T.in.A[[#This Row],[pp1]],"")</f>
        <v/>
      </c>
      <c r="G59" s="114">
        <f>IF(Tab.o1[[#This Row],[a1]]=1,G$2+IF(G$1=1,0,Tab.o1[[#This Row],[.x1]])+[1]!T.in.A[[#This Row],[oo3]],"")</f>
        <v>840.7</v>
      </c>
      <c r="H59" s="115">
        <f>IF(Tab.o1[[#This Row],[a1]]=1,IF(H$2=0,0,IF(G$1=1,0,Tab.o1[[#This Row],[.x1]])+[1]!T.in.A[[#This Row],[oo4]]),"")</f>
        <v>839.94619999999998</v>
      </c>
      <c r="I59" s="116">
        <f>IF(Tab.o1[[#This Row],[a1]]=1,IF(J$2=0,Tab.o1[[#This Row],[MED]],Tab.o1[[#This Row],[MOD]]),"")</f>
        <v>840.7</v>
      </c>
      <c r="J59" s="142">
        <f ca="1">IF(Tab.o1[[#This Row],[a1]]=1,((Tab.o1[[#This Row],[DIF_Target.]]-AVERAGE(Tab.o1[DIF_Target.]))/_xlfn.STDEV.P(Tab.o1[DIF_Target.])),"")</f>
        <v>-1.1255546857738852</v>
      </c>
      <c r="K59" s="117">
        <f>IF(Tab.o1[[#This Row],[a1]]=1,IF(J$2=0,Tab.o1[[#This Row],[MOD]]-Tab.o1[[#This Row],[B]],IF(J$2=1,0,-Tab.o1[[#This Row],[MED]])+Tab.o1[[#This Row],[B]]),"")</f>
        <v>-0.7538000000000693</v>
      </c>
      <c r="L59" s="117">
        <f ca="1">IF(Tab.o1[[#This Row],[DIF_Target]]=0,IF(L$2=0,Tab.o1[[#This Row],[DIF_Target]],AVERAGE(OFFSET(Tab.o1[[#This Row],[DIF_Target]],1,0,L$3,1)))/3,Tab.o1[[#This Row],[DIF_Target]])</f>
        <v>-0.7538000000000693</v>
      </c>
      <c r="M59" s="118">
        <f ca="1">IF(Tab.o1[[#This Row],[a1]]=1,NORMSDIST(Tab.o1[[#This Row],[Za]]),"")</f>
        <v>0.13017702884302715</v>
      </c>
      <c r="N59" s="119">
        <f>IF(Tab.o1[[#This Row],[a1]]=1,((Tab.o1[[#This Row],[MedMod]]-AVERAGE(Tab.o1[MedMod]))/_xlfn.STDEV.P(Tab.o1[MedMod])*H$1205)+G$1205,"")</f>
        <v>1.1961233297708402</v>
      </c>
      <c r="O59" s="141">
        <f>IF(Tab.o1[[#This Row],[a1]]=1,Tab.o1[[#This Row],[Zb]]*_xlfn.STDEV.P(Tab.o1[MedMod])+AVERAGE(Tab.o1[MedMod]),"")</f>
        <v>840.7</v>
      </c>
      <c r="P59" s="117">
        <f ca="1">IF(Tab.o1[[#This Row],[B]]=0,AVERAGE(OFFSET(Tab.o1[[#This Row],[B]],1,0,L$3,1)),Tab.o1[[#This Row],[B]])</f>
        <v>840.7</v>
      </c>
      <c r="Q59" s="121">
        <f>IF(Tab.o1[[#This Row],[a1]]=1,NORMSDIST(Tab.o1[[#This Row],[Zb]]),"")</f>
        <v>0.88417578265032137</v>
      </c>
      <c r="R59" s="122">
        <f>IF(Tab.o1[[#This Row],[a1]]=1,((Tab.o1[[#This Row],[MedMod]]-AVERAGE(Tab.o1[MedMod]))/_xlfn.STDEV.P(Tab.o1[MedMod])*H$1203)+G$1203,"")</f>
        <v>3.19612332977084</v>
      </c>
      <c r="S59" s="122">
        <f>IF(Tab.o1[[#This Row],[a1]]=1,((Tab.o1[[#This Row],[MedMod]]-AVERAGE(Tab.o1[MedMod]))/_xlfn.STDEV.P(Tab.o1[MedMod])*H$1204)+G$1204,"")</f>
        <v>-0.80387667022915976</v>
      </c>
      <c r="T59" s="123">
        <f>IF(Tab.o1[[#This Row],[a1]]=1,Tab.o1[[#This Row],[Z-]]*_xlfn.STDEV.P(Tab.o1[B])+AVERAGE(Tab.o1[B]),"")</f>
        <v>844.14864103669845</v>
      </c>
      <c r="U59" s="123">
        <f>IF(Tab.o1[[#This Row],[a1]]=1,Tab.o1[[#This Row],[z+]]*_xlfn.STDEV.P(Tab.o1[B])+AVERAGE(Tab.o1[B]),"")</f>
        <v>837.25135896330164</v>
      </c>
      <c r="V59" s="124">
        <f>IF(Tab.o1[[#This Row],[a1]]=1,ABS((ABS(Tab.o1[[#This Row],[Red]]-Tab.o1[[#This Row],[Blue]]))),"")</f>
        <v>6.8972820733968092</v>
      </c>
      <c r="W59" s="125">
        <f>IF(Tab.o1[[#This Row],[a1]]=1,IF(W$3=0,1,Tab.o1[[#This Row],[Amp.]]*1/_xlfn.MINIFS(Tab.o1[Amp.],Tab.o1[Amp.],"&lt;&gt;0")),"")</f>
        <v>1</v>
      </c>
      <c r="X59" s="126">
        <f ca="1">IF(Tab.o1[[#This Row],[a1]]=1,IF(ISNUMBER(Tab.o1[[#This Row],[i.]]),NORMDIST(Tab.o1[[#This Row],[Za]],0,1,FALSE)*Tab.o1[[#This Row],[i.]],AP$3),"")</f>
        <v>0.21174443886404223</v>
      </c>
      <c r="Y59" s="126">
        <f ca="1">IF(Tab.o1[[#This Row],[a1]]=1,0.01+0.94*Tab.o1[[#This Row],[PDF]]/MAX(Tab.o1[PDF]),"")</f>
        <v>0.50993044231329121</v>
      </c>
      <c r="Z59" s="126">
        <f>IF(Tab.o1[[#This Row],[a1]]=1,0.01+0.94*Tab.o1[[#This Row],[W1_PDF]]/MAX(Tab.o1[W1_PDF]),"")</f>
        <v>0.77011664148297598</v>
      </c>
      <c r="AA59" s="118">
        <f>IF(Tab.o1[[#This Row],[a1]]=1,ABS([1]!T.in.A[[#This Row],[oo6]]),"")</f>
        <v>5.7631130000000003E-2</v>
      </c>
      <c r="AB59" s="118">
        <f ca="1">IF(Tab.o1[[#This Row],[a1]]=1,IF(AE$3=0,"",IF(AB$3=0,ABS([1]!T.in.A[[#This Row],[oo9]]),ABS(Tab.o1[[#This Row],[DIF_Target.]]*Tab.o1[[#This Row],[W1_PDF]]))),"")</f>
        <v>4.3442345794003995E-2</v>
      </c>
      <c r="AC59" s="118" t="str">
        <f>IF(G$1=1,"",IF(Tab.o1[[#This Row],[a1]]=1,Tab.o1[[#This Row],[Wr]]^2,""))</f>
        <v/>
      </c>
      <c r="AD59" s="118" t="e">
        <f>IF(Tab.o1[[#This Row],[a1]]=1,IF(AE$3=0,"",Tab.o1[[#This Row],[Wr2]]/SUM(Tab.o1[Wr2])),"")</f>
        <v>#VALUE!</v>
      </c>
      <c r="AE59" s="128">
        <f>IF(Tab.o1[[#This Row],[a1]]=1,[1]!T.in.A[[#This Row],[oo10]],"")</f>
        <v>1.2266570000000001</v>
      </c>
      <c r="AF59" s="118" t="e">
        <f ca="1">IF(Tab.o1[[#This Row],[a1]]=1,ABS(Tab.o1[[#This Row],[DIF_Target.]]*Tab.o1[[#This Row],[PDF2]]*Tab.o1[[#This Row],[IN]]),"")</f>
        <v>#REF!</v>
      </c>
      <c r="AG59" s="129" t="e">
        <f ca="1">IF(Tab.o1[[#This Row],[a1]]=1,Tab.o1[[#This Row],[rW]]^2,"")</f>
        <v>#REF!</v>
      </c>
      <c r="AH59" s="130" t="e">
        <f ca="1">IF(Tab.o1[[#This Row],[a1]]=1,IF(AH$3=0,Tab.o1[[#This Row],[rW2]],0.01+0.94*Tab.o1[[#This Row],[rW2]]/SUM(Tab.o1[rW2])),"")</f>
        <v>#REF!</v>
      </c>
      <c r="AI59" s="128">
        <f ca="1">IF(Tab.o1[[#This Row],[a1]]=1,1/Tab.o1[[#This Row],[PDF]],"")</f>
        <v>4.7226742074774597</v>
      </c>
      <c r="AJ59" s="131" t="e">
        <f>IF(Tab.o1[[#This Row],[a1]]=1,[1]!T_AA[[#This Row],[IN'']]*[1]!T_AA[[#This Row],[Qde'']],"")</f>
        <v>#REF!</v>
      </c>
      <c r="AK59" s="132" t="str">
        <f>IF(Tab.o1[[#This Row],[a1]]=1,IF(AK$1=1,Tab.o1[[#This Row],[MED]]+Tab.o1[[#This Row],[MOD]]-Tab.o1[[#This Row],[MED]],""),"")</f>
        <v/>
      </c>
      <c r="AL59" s="133">
        <f>IF(Tab.o1[[#This Row],[a1]]=1,[1]!T.in.A[[#This Row],[oo16]],"")</f>
        <v>0.239486</v>
      </c>
      <c r="AM59" s="133">
        <f>IF(Tab.o1[[#This Row],[a1]]=1,IF(AM$3=1,[1]!T.in.A[[#This Row],[Σo16]],""),"")</f>
        <v>4.6293612933855704E-3</v>
      </c>
      <c r="AN59" s="126" t="str">
        <f>IF(Tab.o1[[#This Row],[a1]]=1,[1]!T.in.A[[#This Row],[Σp5]],"")</f>
        <v/>
      </c>
      <c r="AO59" s="126" t="str">
        <f>IF(Tab.o1[[#This Row],[a1]]=1,IF(AO$3=1,[1]!T.in.A[[#This Row],[Σp5]],""),"")</f>
        <v/>
      </c>
      <c r="AP59" s="110">
        <f ca="1">IF(Tab.o1[[#This Row],[a1]]=1,IF(ISNUMBER(Tab.o1[[#This Row],[i.]]),NORMDIST(Tab.o1[[#This Row],[Za]],0,1,FALSE)*Tab.o1[[#This Row],[i.]],0),"")</f>
        <v>0.21174443886404223</v>
      </c>
      <c r="AQ59" s="125">
        <f>IF(Tab.o1[[#This Row],[a1]]=1,ABS(Tab.o1[[#This Row],[MOD]]-AVERAGE(Tab.o1[MOD])),"")</f>
        <v>0.58483593749997453</v>
      </c>
      <c r="AR59" s="134">
        <f>IF(Tab.o1[[#This Row],[a1]]=1,Tab.o1[[#This Row],[OBS]]/SUM(Tab.o1[OBS]),"")</f>
        <v>6.1037932018324645E-3</v>
      </c>
      <c r="AS59" s="135">
        <f>IF(ISNUMBER(Tab.o1[[#This Row],[a1]]),ROW()-4,"")</f>
        <v>55</v>
      </c>
      <c r="AT59" s="136">
        <f>Tab.o1[[#This Row],[MOD]]</f>
        <v>839.94619999999998</v>
      </c>
      <c r="AU59" s="137">
        <f t="shared" si="1"/>
        <v>839.94619999999998</v>
      </c>
      <c r="AV59" s="138">
        <f t="shared" si="2"/>
        <v>0</v>
      </c>
      <c r="AW59" s="138" t="str">
        <f t="shared" si="3"/>
        <v/>
      </c>
      <c r="AX59" s="139" t="str">
        <f>[1]!T.in.A[[#This Row],[ID_T_manu]]</f>
        <v/>
      </c>
      <c r="AY59" s="140" t="e">
        <f>IF(ISNUMBER(Tab.o1[[#This Row],[a1]]),IF(AND(Tab.o1[[#This Row],[a1]]=1,Tab.o1[[#This Row],[b1]]&lt;=AY$4),#REF!,AY58),"")</f>
        <v>#REF!</v>
      </c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</row>
    <row r="60" spans="1:79" ht="15.75">
      <c r="A60" s="109">
        <v>-2.0000000000000003E-6</v>
      </c>
      <c r="B60" s="110">
        <f t="shared" si="0"/>
        <v>60</v>
      </c>
      <c r="C60" s="111">
        <f>IF(C$1=[1]!T.in.A[[#This Row],[oo2]],1,"")</f>
        <v>1</v>
      </c>
      <c r="D60" s="112">
        <f>IF(Tab.o1[[#This Row],[a1]]=1,IF(SUM(C60:C61)=0,0,IF(SUM(C59:C60)=1,1,IF(SUM(C59:C61)&gt;1,D59+1,0))),"")</f>
        <v>56</v>
      </c>
      <c r="E60" s="113" t="str">
        <f>IF(Tab.o1[[#This Row],[a1]]=1,[1]!T.in.A[[#This Row],[oo1]],"")</f>
        <v>hed98</v>
      </c>
      <c r="F60" s="113" t="str">
        <f>IF(Tab.o1[[#This Row],[a1]]=1,[1]!T.in.A[[#This Row],[pp1]],"")</f>
        <v/>
      </c>
      <c r="G60" s="114">
        <f>IF(Tab.o1[[#This Row],[a1]]=1,G$2+IF(G$1=1,0,Tab.o1[[#This Row],[.x1]])+[1]!T.in.A[[#This Row],[oo3]],"")</f>
        <v>840.8</v>
      </c>
      <c r="H60" s="115">
        <f>IF(Tab.o1[[#This Row],[a1]]=1,IF(H$2=0,0,IF(G$1=1,0,Tab.o1[[#This Row],[.x1]])+[1]!T.in.A[[#This Row],[oo4]]),"")</f>
        <v>841.00440000000003</v>
      </c>
      <c r="I60" s="116">
        <f>IF(Tab.o1[[#This Row],[a1]]=1,IF(J$2=0,Tab.o1[[#This Row],[MED]],Tab.o1[[#This Row],[MOD]]),"")</f>
        <v>840.8</v>
      </c>
      <c r="J60" s="116">
        <f ca="1">IF(Tab.o1[[#This Row],[a1]]=1,((Tab.o1[[#This Row],[DIF_Target.]]-AVERAGE(Tab.o1[DIF_Target.]))/_xlfn.STDEV.P(Tab.o1[DIF_Target.])),"")</f>
        <v>-0.39568209343109662</v>
      </c>
      <c r="K60" s="117">
        <f>IF(Tab.o1[[#This Row],[a1]]=1,IF(J$2=0,Tab.o1[[#This Row],[MOD]]-Tab.o1[[#This Row],[B]],IF(J$2=1,0,-Tab.o1[[#This Row],[MED]])+Tab.o1[[#This Row],[B]]),"")</f>
        <v>0.20440000000007785</v>
      </c>
      <c r="L60" s="117">
        <f ca="1">IF(Tab.o1[[#This Row],[DIF_Target]]=0,IF(L$2=0,Tab.o1[[#This Row],[DIF_Target]],AVERAGE(OFFSET(Tab.o1[[#This Row],[DIF_Target]],1,0,L$3,1)))/3,Tab.o1[[#This Row],[DIF_Target]])</f>
        <v>0.20440000000007785</v>
      </c>
      <c r="M60" s="118">
        <f ca="1">IF(Tab.o1[[#This Row],[a1]]=1,NORMSDIST(Tab.o1[[#This Row],[Za]]),"")</f>
        <v>0.34616978351999794</v>
      </c>
      <c r="N60" s="119">
        <f>IF(Tab.o1[[#This Row],[a1]]=1,((Tab.o1[[#This Row],[MedMod]]-AVERAGE(Tab.o1[MedMod]))/_xlfn.STDEV.P(Tab.o1[MedMod])*H$1205)+G$1205,"")</f>
        <v>1.254117188183919</v>
      </c>
      <c r="O60" s="141">
        <f>IF(Tab.o1[[#This Row],[a1]]=1,Tab.o1[[#This Row],[Zb]]*_xlfn.STDEV.P(Tab.o1[MedMod])+AVERAGE(Tab.o1[MedMod]),"")</f>
        <v>840.8</v>
      </c>
      <c r="P60" s="117">
        <f ca="1">IF(Tab.o1[[#This Row],[B]]=0,AVERAGE(OFFSET(Tab.o1[[#This Row],[B]],1,0,L$3,1)),Tab.o1[[#This Row],[B]])</f>
        <v>840.8</v>
      </c>
      <c r="Q60" s="121">
        <f>IF(Tab.o1[[#This Row],[a1]]=1,NORMSDIST(Tab.o1[[#This Row],[Zb]]),"")</f>
        <v>0.89510029310816286</v>
      </c>
      <c r="R60" s="122">
        <f>IF(Tab.o1[[#This Row],[a1]]=1,((Tab.o1[[#This Row],[MedMod]]-AVERAGE(Tab.o1[MedMod]))/_xlfn.STDEV.P(Tab.o1[MedMod])*H$1203)+G$1203,"")</f>
        <v>3.254117188183919</v>
      </c>
      <c r="S60" s="122">
        <f>IF(Tab.o1[[#This Row],[a1]]=1,((Tab.o1[[#This Row],[MedMod]]-AVERAGE(Tab.o1[MedMod]))/_xlfn.STDEV.P(Tab.o1[MedMod])*H$1204)+G$1204,"")</f>
        <v>-0.74588281181608096</v>
      </c>
      <c r="T60" s="123">
        <f>IF(Tab.o1[[#This Row],[a1]]=1,Tab.o1[[#This Row],[Z-]]*_xlfn.STDEV.P(Tab.o1[B])+AVERAGE(Tab.o1[B]),"")</f>
        <v>844.24864103669836</v>
      </c>
      <c r="U60" s="123">
        <f>IF(Tab.o1[[#This Row],[a1]]=1,Tab.o1[[#This Row],[z+]]*_xlfn.STDEV.P(Tab.o1[B])+AVERAGE(Tab.o1[B]),"")</f>
        <v>837.35135896330155</v>
      </c>
      <c r="V60" s="124">
        <f>IF(Tab.o1[[#This Row],[a1]]=1,ABS((ABS(Tab.o1[[#This Row],[Red]]-Tab.o1[[#This Row],[Blue]]))),"")</f>
        <v>6.8972820733968092</v>
      </c>
      <c r="W60" s="125">
        <f>IF(Tab.o1[[#This Row],[a1]]=1,IF(W$3=0,1,Tab.o1[[#This Row],[Amp.]]*1/_xlfn.MINIFS(Tab.o1[Amp.],Tab.o1[Amp.],"&lt;&gt;0")),"")</f>
        <v>1</v>
      </c>
      <c r="X60" s="126">
        <f ca="1">IF(Tab.o1[[#This Row],[a1]]=1,IF(ISNUMBER(Tab.o1[[#This Row],[i.]]),NORMDIST(Tab.o1[[#This Row],[Za]],0,1,FALSE)*Tab.o1[[#This Row],[i.]],AP$3),"")</f>
        <v>0.36890331334328735</v>
      </c>
      <c r="Y60" s="126">
        <f ca="1">IF(Tab.o1[[#This Row],[a1]]=1,0.01+0.94*Tab.o1[[#This Row],[PDF]]/MAX(Tab.o1[PDF]),"")</f>
        <v>0.88098389738096194</v>
      </c>
      <c r="Z60" s="126">
        <f>IF(Tab.o1[[#This Row],[a1]]=1,0.01+0.94*Tab.o1[[#This Row],[W1_PDF]]/MAX(Tab.o1[W1_PDF]),"")</f>
        <v>0.2882168880535016</v>
      </c>
      <c r="AA60" s="118">
        <f>IF(Tab.o1[[#This Row],[a1]]=1,ABS([1]!T.in.A[[#This Row],[oo6]]),"")</f>
        <v>2.1094069999999999E-2</v>
      </c>
      <c r="AB60" s="127">
        <f ca="1">IF(Tab.o1[[#This Row],[a1]]=1,IF(AE$3=0,"",IF(AB$3=0,ABS([1]!T.in.A[[#This Row],[oo9]]),ABS(Tab.o1[[#This Row],[DIF_Target.]]*Tab.o1[[#This Row],[W1_PDF]]))),"")</f>
        <v>4.3116279080016419E-3</v>
      </c>
      <c r="AC60" s="127" t="str">
        <f>IF(G$1=1,"",IF(Tab.o1[[#This Row],[a1]]=1,Tab.o1[[#This Row],[Wr]]^2,""))</f>
        <v/>
      </c>
      <c r="AD60" s="118" t="e">
        <f>IF(Tab.o1[[#This Row],[a1]]=1,IF(AE$3=0,"",Tab.o1[[#This Row],[Wr2]]/SUM(Tab.o1[Wr2])),"")</f>
        <v>#VALUE!</v>
      </c>
      <c r="AE60" s="128">
        <f>IF(Tab.o1[[#This Row],[a1]]=1,[1]!T.in.A[[#This Row],[oo10]],"")</f>
        <v>3.3513500000000001</v>
      </c>
      <c r="AF60" s="118" t="e">
        <f ca="1">IF(Tab.o1[[#This Row],[a1]]=1,ABS(Tab.o1[[#This Row],[DIF_Target.]]*Tab.o1[[#This Row],[PDF2]]*Tab.o1[[#This Row],[IN]]),"")</f>
        <v>#REF!</v>
      </c>
      <c r="AG60" s="129" t="e">
        <f ca="1">IF(Tab.o1[[#This Row],[a1]]=1,Tab.o1[[#This Row],[rW]]^2,"")</f>
        <v>#REF!</v>
      </c>
      <c r="AH60" s="130" t="e">
        <f ca="1">IF(Tab.o1[[#This Row],[a1]]=1,IF(AH$3=0,Tab.o1[[#This Row],[rW2]],0.01+0.94*Tab.o1[[#This Row],[rW2]]/SUM(Tab.o1[rW2])),"")</f>
        <v>#REF!</v>
      </c>
      <c r="AI60" s="128">
        <f ca="1">IF(Tab.o1[[#This Row],[a1]]=1,1/Tab.o1[[#This Row],[PDF]],"")</f>
        <v>2.7107373770574896</v>
      </c>
      <c r="AJ60" s="131" t="e">
        <f>IF(Tab.o1[[#This Row],[a1]]=1,[1]!T_AA[[#This Row],[IN'']]*[1]!T_AA[[#This Row],[Qde'']],"")</f>
        <v>#REF!</v>
      </c>
      <c r="AK60" s="132" t="str">
        <f>IF(Tab.o1[[#This Row],[a1]]=1,IF(AK$1=1,Tab.o1[[#This Row],[MED]]+Tab.o1[[#This Row],[MOD]]-Tab.o1[[#This Row],[MED]],""),"")</f>
        <v/>
      </c>
      <c r="AL60" s="133">
        <f>IF(Tab.o1[[#This Row],[a1]]=1,[1]!T.in.A[[#This Row],[oo16]],"")</f>
        <v>1.303892E-4</v>
      </c>
      <c r="AM60" s="133">
        <f>IF(Tab.o1[[#This Row],[a1]]=1,IF(AM$3=1,[1]!T.in.A[[#This Row],[Σo16]],""),"")</f>
        <v>2.5204760009165871E-6</v>
      </c>
      <c r="AN60" s="126" t="str">
        <f>IF(Tab.o1[[#This Row],[a1]]=1,[1]!T.in.A[[#This Row],[Σp5]],"")</f>
        <v/>
      </c>
      <c r="AO60" s="126" t="str">
        <f>IF(Tab.o1[[#This Row],[a1]]=1,IF(AO$3=1,[1]!T.in.A[[#This Row],[Σp5]],""),"")</f>
        <v/>
      </c>
      <c r="AP60" s="110">
        <f ca="1">IF(Tab.o1[[#This Row],[a1]]=1,IF(ISNUMBER(Tab.o1[[#This Row],[i.]]),NORMDIST(Tab.o1[[#This Row],[Za]],0,1,FALSE)*Tab.o1[[#This Row],[i.]],0),"")</f>
        <v>0.36890331334328735</v>
      </c>
      <c r="AQ60" s="125">
        <f>IF(Tab.o1[[#This Row],[a1]]=1,ABS(Tab.o1[[#This Row],[MOD]]-AVERAGE(Tab.o1[MOD])),"")</f>
        <v>1.6430359375000307</v>
      </c>
      <c r="AR60" s="134">
        <f>IF(Tab.o1[[#This Row],[a1]]=1,Tab.o1[[#This Row],[OBS]]/SUM(Tab.o1[OBS]),"")</f>
        <v>1.7147974231114266E-2</v>
      </c>
      <c r="AS60" s="135">
        <f>IF(ISNUMBER(Tab.o1[[#This Row],[a1]]),ROW()-4,"")</f>
        <v>56</v>
      </c>
      <c r="AT60" s="136">
        <f>Tab.o1[[#This Row],[MOD]]</f>
        <v>841.00440000000003</v>
      </c>
      <c r="AU60" s="137">
        <f t="shared" si="1"/>
        <v>841.00440000000003</v>
      </c>
      <c r="AV60" s="138">
        <f t="shared" si="2"/>
        <v>0</v>
      </c>
      <c r="AW60" s="138" t="str">
        <f t="shared" si="3"/>
        <v/>
      </c>
      <c r="AX60" s="139">
        <f>[1]!T.in.A[[#This Row],[ID_T_manu]]</f>
        <v>3</v>
      </c>
      <c r="AY60" s="140" t="e">
        <f>IF(ISNUMBER(Tab.o1[[#This Row],[a1]]),IF(AND(Tab.o1[[#This Row],[a1]]=1,Tab.o1[[#This Row],[b1]]&lt;=AY$4),#REF!,AY59),"")</f>
        <v>#REF!</v>
      </c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</row>
    <row r="61" spans="1:79" ht="15.75">
      <c r="A61" s="109">
        <v>1.0000000000000001E-5</v>
      </c>
      <c r="B61" s="110">
        <f t="shared" si="0"/>
        <v>61</v>
      </c>
      <c r="C61" s="111">
        <f>IF(C$1=[1]!T.in.A[[#This Row],[oo2]],1,"")</f>
        <v>1</v>
      </c>
      <c r="D61" s="112">
        <f>IF(Tab.o1[[#This Row],[a1]]=1,IF(SUM(C61:C62)=0,0,IF(SUM(C60:C61)=1,1,IF(SUM(C60:C62)&gt;1,D60+1,0))),"")</f>
        <v>57</v>
      </c>
      <c r="E61" s="113" t="str">
        <f>IF(Tab.o1[[#This Row],[a1]]=1,[1]!T.in.A[[#This Row],[oo1]],"")</f>
        <v>hed99</v>
      </c>
      <c r="F61" s="113" t="str">
        <f>IF(Tab.o1[[#This Row],[a1]]=1,[1]!T.in.A[[#This Row],[pp1]],"")</f>
        <v/>
      </c>
      <c r="G61" s="114">
        <f>IF(Tab.o1[[#This Row],[a1]]=1,G$2+IF(G$1=1,0,Tab.o1[[#This Row],[.x1]])+[1]!T.in.A[[#This Row],[oo3]],"")</f>
        <v>837.7</v>
      </c>
      <c r="H61" s="115">
        <f>IF(Tab.o1[[#This Row],[a1]]=1,IF(H$2=0,0,IF(G$1=1,0,Tab.o1[[#This Row],[.x1]])+[1]!T.in.A[[#This Row],[oo4]]),"")</f>
        <v>839.71500000000003</v>
      </c>
      <c r="I61" s="116">
        <f>IF(Tab.o1[[#This Row],[a1]]=1,IF(J$2=0,Tab.o1[[#This Row],[MED]],Tab.o1[[#This Row],[MOD]]),"")</f>
        <v>837.7</v>
      </c>
      <c r="J61" s="116">
        <f ca="1">IF(Tab.o1[[#This Row],[a1]]=1,((Tab.o1[[#This Row],[DIF_Target.]]-AVERAGE(Tab.o1[DIF_Target.]))/_xlfn.STDEV.P(Tab.o1[DIF_Target.])),"")</f>
        <v>0.98347394465655047</v>
      </c>
      <c r="K61" s="117">
        <f>IF(Tab.o1[[#This Row],[a1]]=1,IF(J$2=0,Tab.o1[[#This Row],[MOD]]-Tab.o1[[#This Row],[B]],IF(J$2=1,0,-Tab.o1[[#This Row],[MED]])+Tab.o1[[#This Row],[B]]),"")</f>
        <v>2.0149999999999864</v>
      </c>
      <c r="L61" s="117">
        <f ca="1">IF(Tab.o1[[#This Row],[DIF_Target]]=0,IF(L$2=0,Tab.o1[[#This Row],[DIF_Target]],AVERAGE(OFFSET(Tab.o1[[#This Row],[DIF_Target]],1,0,L$3,1)))/3,Tab.o1[[#This Row],[DIF_Target]])</f>
        <v>2.0149999999999864</v>
      </c>
      <c r="M61" s="118">
        <f ca="1">IF(Tab.o1[[#This Row],[a1]]=1,NORMSDIST(Tab.o1[[#This Row],[Za]]),"")</f>
        <v>0.83731288361920109</v>
      </c>
      <c r="N61" s="119">
        <f>IF(Tab.o1[[#This Row],[a1]]=1,((Tab.o1[[#This Row],[MedMod]]-AVERAGE(Tab.o1[MedMod]))/_xlfn.STDEV.P(Tab.o1[MedMod])*H$1205)+G$1205,"")</f>
        <v>-0.54369242262310913</v>
      </c>
      <c r="O61" s="141">
        <f>IF(Tab.o1[[#This Row],[a1]]=1,Tab.o1[[#This Row],[Zb]]*_xlfn.STDEV.P(Tab.o1[MedMod])+AVERAGE(Tab.o1[MedMod]),"")</f>
        <v>837.7</v>
      </c>
      <c r="P61" s="117">
        <f ca="1">IF(Tab.o1[[#This Row],[B]]=0,AVERAGE(OFFSET(Tab.o1[[#This Row],[B]],1,0,L$3,1)),Tab.o1[[#This Row],[B]])</f>
        <v>837.7</v>
      </c>
      <c r="Q61" s="121">
        <f>IF(Tab.o1[[#This Row],[a1]]=1,NORMSDIST(Tab.o1[[#This Row],[Zb]]),"")</f>
        <v>0.29332657380765409</v>
      </c>
      <c r="R61" s="122">
        <f>IF(Tab.o1[[#This Row],[a1]]=1,((Tab.o1[[#This Row],[MedMod]]-AVERAGE(Tab.o1[MedMod]))/_xlfn.STDEV.P(Tab.o1[MedMod])*H$1203)+G$1203,"")</f>
        <v>1.456307577376891</v>
      </c>
      <c r="S61" s="122">
        <f>IF(Tab.o1[[#This Row],[a1]]=1,((Tab.o1[[#This Row],[MedMod]]-AVERAGE(Tab.o1[MedMod]))/_xlfn.STDEV.P(Tab.o1[MedMod])*H$1204)+G$1204,"")</f>
        <v>-2.543692422623109</v>
      </c>
      <c r="T61" s="123">
        <f>IF(Tab.o1[[#This Row],[a1]]=1,Tab.o1[[#This Row],[Z-]]*_xlfn.STDEV.P(Tab.o1[B])+AVERAGE(Tab.o1[B]),"")</f>
        <v>841.14864103669845</v>
      </c>
      <c r="U61" s="123">
        <f>IF(Tab.o1[[#This Row],[a1]]=1,Tab.o1[[#This Row],[z+]]*_xlfn.STDEV.P(Tab.o1[B])+AVERAGE(Tab.o1[B]),"")</f>
        <v>834.25135896330164</v>
      </c>
      <c r="V61" s="124">
        <f>IF(Tab.o1[[#This Row],[a1]]=1,ABS((ABS(Tab.o1[[#This Row],[Red]]-Tab.o1[[#This Row],[Blue]]))),"")</f>
        <v>6.8972820733968092</v>
      </c>
      <c r="W61" s="125">
        <f>IF(Tab.o1[[#This Row],[a1]]=1,IF(W$3=0,1,Tab.o1[[#This Row],[Amp.]]*1/_xlfn.MINIFS(Tab.o1[Amp.],Tab.o1[Amp.],"&lt;&gt;0")),"")</f>
        <v>1</v>
      </c>
      <c r="X61" s="126">
        <f ca="1">IF(Tab.o1[[#This Row],[a1]]=1,IF(ISNUMBER(Tab.o1[[#This Row],[i.]]),NORMDIST(Tab.o1[[#This Row],[Za]],0,1,FALSE)*Tab.o1[[#This Row],[i.]],AP$3),"")</f>
        <v>0.24596918057496636</v>
      </c>
      <c r="Y61" s="126">
        <f ca="1">IF(Tab.o1[[#This Row],[a1]]=1,0.01+0.94*Tab.o1[[#This Row],[PDF]]/MAX(Tab.o1[PDF]),"")</f>
        <v>0.59073535201194216</v>
      </c>
      <c r="Z61" s="126">
        <f>IF(Tab.o1[[#This Row],[a1]]=1,0.01+0.94*Tab.o1[[#This Row],[W1_PDF]]/MAX(Tab.o1[W1_PDF]),"")</f>
        <v>0.2882168880535016</v>
      </c>
      <c r="AA61" s="118">
        <f>IF(Tab.o1[[#This Row],[a1]]=1,ABS([1]!T.in.A[[#This Row],[oo6]]),"")</f>
        <v>2.1094069999999999E-2</v>
      </c>
      <c r="AB61" s="127">
        <f ca="1">IF(Tab.o1[[#This Row],[a1]]=1,IF(AE$3=0,"",IF(AB$3=0,ABS([1]!T.in.A[[#This Row],[oo9]]),ABS(Tab.o1[[#This Row],[DIF_Target.]]*Tab.o1[[#This Row],[W1_PDF]]))),"")</f>
        <v>4.2504551049999714E-2</v>
      </c>
      <c r="AC61" s="127" t="str">
        <f>IF(G$1=1,"",IF(Tab.o1[[#This Row],[a1]]=1,Tab.o1[[#This Row],[Wr]]^2,""))</f>
        <v/>
      </c>
      <c r="AD61" s="118" t="e">
        <f>IF(Tab.o1[[#This Row],[a1]]=1,IF(AE$3=0,"",Tab.o1[[#This Row],[Wr2]]/SUM(Tab.o1[Wr2])),"")</f>
        <v>#VALUE!</v>
      </c>
      <c r="AE61" s="128">
        <f>IF(Tab.o1[[#This Row],[a1]]=1,[1]!T.in.A[[#This Row],[oo10]],"")</f>
        <v>3.3513500000000001</v>
      </c>
      <c r="AF61" s="118" t="e">
        <f ca="1">IF(Tab.o1[[#This Row],[a1]]=1,ABS(Tab.o1[[#This Row],[DIF_Target.]]*Tab.o1[[#This Row],[PDF2]]*Tab.o1[[#This Row],[IN]]),"")</f>
        <v>#REF!</v>
      </c>
      <c r="AG61" s="129" t="e">
        <f ca="1">IF(Tab.o1[[#This Row],[a1]]=1,Tab.o1[[#This Row],[rW]]^2,"")</f>
        <v>#REF!</v>
      </c>
      <c r="AH61" s="130" t="e">
        <f ca="1">IF(Tab.o1[[#This Row],[a1]]=1,IF(AH$3=0,Tab.o1[[#This Row],[rW2]],0.01+0.94*Tab.o1[[#This Row],[rW2]]/SUM(Tab.o1[rW2])),"")</f>
        <v>#REF!</v>
      </c>
      <c r="AI61" s="128">
        <f ca="1">IF(Tab.o1[[#This Row],[a1]]=1,1/Tab.o1[[#This Row],[PDF]],"")</f>
        <v>4.0655499915170088</v>
      </c>
      <c r="AJ61" s="131" t="e">
        <f>IF(Tab.o1[[#This Row],[a1]]=1,[1]!T_AA[[#This Row],[IN'']]*[1]!T_AA[[#This Row],[Qde'']],"")</f>
        <v>#REF!</v>
      </c>
      <c r="AK61" s="132" t="str">
        <f>IF(Tab.o1[[#This Row],[a1]]=1,IF(AK$1=1,Tab.o1[[#This Row],[MED]]+Tab.o1[[#This Row],[MOD]]-Tab.o1[[#This Row],[MED]],""),"")</f>
        <v/>
      </c>
      <c r="AL61" s="133">
        <f>IF(Tab.o1[[#This Row],[a1]]=1,[1]!T.in.A[[#This Row],[oo16]],"")</f>
        <v>0.19279479999999999</v>
      </c>
      <c r="AM61" s="133">
        <f>IF(Tab.o1[[#This Row],[a1]]=1,IF(AM$3=1,[1]!T.in.A[[#This Row],[Σo16]],""),"")</f>
        <v>3.7268015027434264E-3</v>
      </c>
      <c r="AN61" s="126" t="str">
        <f>IF(Tab.o1[[#This Row],[a1]]=1,[1]!T.in.A[[#This Row],[Σp5]],"")</f>
        <v/>
      </c>
      <c r="AO61" s="126" t="str">
        <f>IF(Tab.o1[[#This Row],[a1]]=1,IF(AO$3=1,[1]!T.in.A[[#This Row],[Σp5]],""),"")</f>
        <v/>
      </c>
      <c r="AP61" s="110">
        <f ca="1">IF(Tab.o1[[#This Row],[a1]]=1,IF(ISNUMBER(Tab.o1[[#This Row],[i.]]),NORMDIST(Tab.o1[[#This Row],[Za]],0,1,FALSE)*Tab.o1[[#This Row],[i.]],0),"")</f>
        <v>0.24596918057496636</v>
      </c>
      <c r="AQ61" s="125">
        <f>IF(Tab.o1[[#This Row],[a1]]=1,ABS(Tab.o1[[#This Row],[MOD]]-AVERAGE(Tab.o1[MOD])),"")</f>
        <v>0.3536359375000302</v>
      </c>
      <c r="AR61" s="134">
        <f>IF(Tab.o1[[#This Row],[a1]]=1,Tab.o1[[#This Row],[OBS]]/SUM(Tab.o1[OBS]),"")</f>
        <v>3.6908139408523073E-3</v>
      </c>
      <c r="AS61" s="135">
        <f>IF(ISNUMBER(Tab.o1[[#This Row],[a1]]),ROW()-4,"")</f>
        <v>57</v>
      </c>
      <c r="AT61" s="136">
        <f>Tab.o1[[#This Row],[MOD]]</f>
        <v>839.71500000000003</v>
      </c>
      <c r="AU61" s="137">
        <f t="shared" si="1"/>
        <v>839.71500000000003</v>
      </c>
      <c r="AV61" s="138">
        <f t="shared" si="2"/>
        <v>0</v>
      </c>
      <c r="AW61" s="138" t="str">
        <f t="shared" si="3"/>
        <v/>
      </c>
      <c r="AX61" s="139" t="str">
        <f>[1]!T.in.A[[#This Row],[ID_T_manu]]</f>
        <v/>
      </c>
      <c r="AY61" s="140" t="e">
        <f>IF(ISNUMBER(Tab.o1[[#This Row],[a1]]),IF(AND(Tab.o1[[#This Row],[a1]]=1,Tab.o1[[#This Row],[b1]]&lt;=AY$4),#REF!,AY60),"")</f>
        <v>#REF!</v>
      </c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</row>
    <row r="62" spans="1:79" ht="15.75">
      <c r="A62" s="109">
        <v>-5.0000000000000004E-6</v>
      </c>
      <c r="B62" s="110">
        <f t="shared" si="0"/>
        <v>62</v>
      </c>
      <c r="C62" s="111">
        <f>IF(C$1=[1]!T.in.A[[#This Row],[oo2]],1,"")</f>
        <v>1</v>
      </c>
      <c r="D62" s="112">
        <f>IF(Tab.o1[[#This Row],[a1]]=1,IF(SUM(C62:C63)=0,0,IF(SUM(C61:C62)=1,1,IF(SUM(C61:C63)&gt;1,D61+1,0))),"")</f>
        <v>58</v>
      </c>
      <c r="E62" s="113" t="str">
        <f>IF(Tab.o1[[#This Row],[a1]]=1,[1]!T.in.A[[#This Row],[oo1]],"")</f>
        <v>hed100</v>
      </c>
      <c r="F62" s="113" t="str">
        <f>IF(Tab.o1[[#This Row],[a1]]=1,[1]!T.in.A[[#This Row],[pp1]],"")</f>
        <v/>
      </c>
      <c r="G62" s="114">
        <f>IF(Tab.o1[[#This Row],[a1]]=1,G$2+IF(G$1=1,0,Tab.o1[[#This Row],[.x1]])+[1]!T.in.A[[#This Row],[oo3]],"")</f>
        <v>840.8</v>
      </c>
      <c r="H62" s="115">
        <f>IF(Tab.o1[[#This Row],[a1]]=1,IF(H$2=0,0,IF(G$1=1,0,Tab.o1[[#This Row],[.x1]])+[1]!T.in.A[[#This Row],[oo4]]),"")</f>
        <v>840.36260000000004</v>
      </c>
      <c r="I62" s="116">
        <f>IF(Tab.o1[[#This Row],[a1]]=1,IF(J$2=0,Tab.o1[[#This Row],[MED]],Tab.o1[[#This Row],[MOD]]),"")</f>
        <v>840.8</v>
      </c>
      <c r="J62" s="116">
        <f ca="1">IF(Tab.o1[[#This Row],[a1]]=1,((Tab.o1[[#This Row],[DIF_Target.]]-AVERAGE(Tab.o1[DIF_Target.]))/_xlfn.STDEV.P(Tab.o1[DIF_Target.])),"")</f>
        <v>-0.88454895814151402</v>
      </c>
      <c r="K62" s="117">
        <f>IF(Tab.o1[[#This Row],[a1]]=1,IF(J$2=0,Tab.o1[[#This Row],[MOD]]-Tab.o1[[#This Row],[B]],IF(J$2=1,0,-Tab.o1[[#This Row],[MED]])+Tab.o1[[#This Row],[B]]),"")</f>
        <v>-0.43739999999991142</v>
      </c>
      <c r="L62" s="117">
        <f ca="1">IF(Tab.o1[[#This Row],[DIF_Target]]=0,IF(L$2=0,Tab.o1[[#This Row],[DIF_Target]],AVERAGE(OFFSET(Tab.o1[[#This Row],[DIF_Target]],1,0,L$3,1)))/3,Tab.o1[[#This Row],[DIF_Target]])</f>
        <v>-0.43739999999991142</v>
      </c>
      <c r="M62" s="118">
        <f ca="1">IF(Tab.o1[[#This Row],[a1]]=1,NORMSDIST(Tab.o1[[#This Row],[Za]]),"")</f>
        <v>0.18819997305337799</v>
      </c>
      <c r="N62" s="119">
        <f>IF(Tab.o1[[#This Row],[a1]]=1,((Tab.o1[[#This Row],[MedMod]]-AVERAGE(Tab.o1[MedMod]))/_xlfn.STDEV.P(Tab.o1[MedMod])*H$1205)+G$1205,"")</f>
        <v>1.254117188183919</v>
      </c>
      <c r="O62" s="141">
        <f>IF(Tab.o1[[#This Row],[a1]]=1,Tab.o1[[#This Row],[Zb]]*_xlfn.STDEV.P(Tab.o1[MedMod])+AVERAGE(Tab.o1[MedMod]),"")</f>
        <v>840.8</v>
      </c>
      <c r="P62" s="117">
        <f ca="1">IF(Tab.o1[[#This Row],[B]]=0,AVERAGE(OFFSET(Tab.o1[[#This Row],[B]],1,0,L$3,1)),Tab.o1[[#This Row],[B]])</f>
        <v>840.8</v>
      </c>
      <c r="Q62" s="121">
        <f>IF(Tab.o1[[#This Row],[a1]]=1,NORMSDIST(Tab.o1[[#This Row],[Zb]]),"")</f>
        <v>0.89510029310816286</v>
      </c>
      <c r="R62" s="122">
        <f>IF(Tab.o1[[#This Row],[a1]]=1,((Tab.o1[[#This Row],[MedMod]]-AVERAGE(Tab.o1[MedMod]))/_xlfn.STDEV.P(Tab.o1[MedMod])*H$1203)+G$1203,"")</f>
        <v>3.254117188183919</v>
      </c>
      <c r="S62" s="122">
        <f>IF(Tab.o1[[#This Row],[a1]]=1,((Tab.o1[[#This Row],[MedMod]]-AVERAGE(Tab.o1[MedMod]))/_xlfn.STDEV.P(Tab.o1[MedMod])*H$1204)+G$1204,"")</f>
        <v>-0.74588281181608096</v>
      </c>
      <c r="T62" s="123">
        <f>IF(Tab.o1[[#This Row],[a1]]=1,Tab.o1[[#This Row],[Z-]]*_xlfn.STDEV.P(Tab.o1[B])+AVERAGE(Tab.o1[B]),"")</f>
        <v>844.24864103669836</v>
      </c>
      <c r="U62" s="123">
        <f>IF(Tab.o1[[#This Row],[a1]]=1,Tab.o1[[#This Row],[z+]]*_xlfn.STDEV.P(Tab.o1[B])+AVERAGE(Tab.o1[B]),"")</f>
        <v>837.35135896330155</v>
      </c>
      <c r="V62" s="124">
        <f>IF(Tab.o1[[#This Row],[a1]]=1,ABS((ABS(Tab.o1[[#This Row],[Red]]-Tab.o1[[#This Row],[Blue]]))),"")</f>
        <v>6.8972820733968092</v>
      </c>
      <c r="W62" s="125">
        <f>IF(Tab.o1[[#This Row],[a1]]=1,IF(W$3=0,1,Tab.o1[[#This Row],[Amp.]]*1/_xlfn.MINIFS(Tab.o1[Amp.],Tab.o1[Amp.],"&lt;&gt;0")),"")</f>
        <v>1</v>
      </c>
      <c r="X62" s="126">
        <f ca="1">IF(Tab.o1[[#This Row],[a1]]=1,IF(ISNUMBER(Tab.o1[[#This Row],[i.]]),NORMDIST(Tab.o1[[#This Row],[Za]],0,1,FALSE)*Tab.o1[[#This Row],[i.]],AP$3),"")</f>
        <v>0.2697790568673093</v>
      </c>
      <c r="Y62" s="126">
        <f ca="1">IF(Tab.o1[[#This Row],[a1]]=1,0.01+0.94*Tab.o1[[#This Row],[PDF]]/MAX(Tab.o1[PDF]),"")</f>
        <v>0.64695067483276325</v>
      </c>
      <c r="Z62" s="126">
        <f>IF(Tab.o1[[#This Row],[a1]]=1,0.01+0.94*Tab.o1[[#This Row],[W1_PDF]]/MAX(Tab.o1[W1_PDF]),"")</f>
        <v>0.2882168880535016</v>
      </c>
      <c r="AA62" s="118">
        <f>IF(Tab.o1[[#This Row],[a1]]=1,ABS([1]!T.in.A[[#This Row],[oo6]]),"")</f>
        <v>2.1094069999999999E-2</v>
      </c>
      <c r="AB62" s="127">
        <f ca="1">IF(Tab.o1[[#This Row],[a1]]=1,IF(AE$3=0,"",IF(AB$3=0,ABS([1]!T.in.A[[#This Row],[oo9]]),ABS(Tab.o1[[#This Row],[DIF_Target.]]*Tab.o1[[#This Row],[W1_PDF]]))),"")</f>
        <v>9.2265462179981304E-3</v>
      </c>
      <c r="AC62" s="127" t="str">
        <f>IF(G$1=1,"",IF(Tab.o1[[#This Row],[a1]]=1,Tab.o1[[#This Row],[Wr]]^2,""))</f>
        <v/>
      </c>
      <c r="AD62" s="118" t="e">
        <f>IF(Tab.o1[[#This Row],[a1]]=1,IF(AE$3=0,"",Tab.o1[[#This Row],[Wr2]]/SUM(Tab.o1[Wr2])),"")</f>
        <v>#VALUE!</v>
      </c>
      <c r="AE62" s="128">
        <f>IF(Tab.o1[[#This Row],[a1]]=1,[1]!T.in.A[[#This Row],[oo10]],"")</f>
        <v>3.3513500000000001</v>
      </c>
      <c r="AF62" s="118" t="e">
        <f ca="1">IF(Tab.o1[[#This Row],[a1]]=1,ABS(Tab.o1[[#This Row],[DIF_Target.]]*Tab.o1[[#This Row],[PDF2]]*Tab.o1[[#This Row],[IN]]),"")</f>
        <v>#REF!</v>
      </c>
      <c r="AG62" s="129" t="e">
        <f ca="1">IF(Tab.o1[[#This Row],[a1]]=1,Tab.o1[[#This Row],[rW]]^2,"")</f>
        <v>#REF!</v>
      </c>
      <c r="AH62" s="130" t="e">
        <f ca="1">IF(Tab.o1[[#This Row],[a1]]=1,IF(AH$3=0,Tab.o1[[#This Row],[rW2]],0.01+0.94*Tab.o1[[#This Row],[rW2]]/SUM(Tab.o1[rW2])),"")</f>
        <v>#REF!</v>
      </c>
      <c r="AI62" s="128">
        <f ca="1">IF(Tab.o1[[#This Row],[a1]]=1,1/Tab.o1[[#This Row],[PDF]],"")</f>
        <v>3.7067369558336383</v>
      </c>
      <c r="AJ62" s="131" t="e">
        <f>IF(Tab.o1[[#This Row],[a1]]=1,[1]!T_AA[[#This Row],[IN'']]*[1]!T_AA[[#This Row],[Qde'']],"")</f>
        <v>#REF!</v>
      </c>
      <c r="AK62" s="132" t="str">
        <f>IF(Tab.o1[[#This Row],[a1]]=1,IF(AK$1=1,Tab.o1[[#This Row],[MED]]+Tab.o1[[#This Row],[MOD]]-Tab.o1[[#This Row],[MED]],""),"")</f>
        <v/>
      </c>
      <c r="AL62" s="133">
        <f>IF(Tab.o1[[#This Row],[a1]]=1,[1]!T.in.A[[#This Row],[oo16]],"")</f>
        <v>7.2096107000000006E-2</v>
      </c>
      <c r="AM62" s="133">
        <f>IF(Tab.o1[[#This Row],[a1]]=1,IF(AM$3=1,[1]!T.in.A[[#This Row],[Σo16]],""),"")</f>
        <v>1.3936469236180173E-3</v>
      </c>
      <c r="AN62" s="126" t="str">
        <f>IF(Tab.o1[[#This Row],[a1]]=1,[1]!T.in.A[[#This Row],[Σp5]],"")</f>
        <v/>
      </c>
      <c r="AO62" s="126" t="str">
        <f>IF(Tab.o1[[#This Row],[a1]]=1,IF(AO$3=1,[1]!T.in.A[[#This Row],[Σp5]],""),"")</f>
        <v/>
      </c>
      <c r="AP62" s="110">
        <f ca="1">IF(Tab.o1[[#This Row],[a1]]=1,IF(ISNUMBER(Tab.o1[[#This Row],[i.]]),NORMDIST(Tab.o1[[#This Row],[Za]],0,1,FALSE)*Tab.o1[[#This Row],[i.]],0),"")</f>
        <v>0.2697790568673093</v>
      </c>
      <c r="AQ62" s="125">
        <f>IF(Tab.o1[[#This Row],[a1]]=1,ABS(Tab.o1[[#This Row],[MOD]]-AVERAGE(Tab.o1[MOD])),"")</f>
        <v>1.0012359375000415</v>
      </c>
      <c r="AR62" s="134">
        <f>IF(Tab.o1[[#This Row],[a1]]=1,Tab.o1[[#This Row],[OBS]]/SUM(Tab.o1[OBS]),"")</f>
        <v>1.0449660694360756E-2</v>
      </c>
      <c r="AS62" s="135">
        <f>IF(ISNUMBER(Tab.o1[[#This Row],[a1]]),ROW()-4,"")</f>
        <v>58</v>
      </c>
      <c r="AT62" s="136">
        <f>Tab.o1[[#This Row],[MOD]]</f>
        <v>840.36260000000004</v>
      </c>
      <c r="AU62" s="137">
        <f t="shared" si="1"/>
        <v>840.36260000000004</v>
      </c>
      <c r="AV62" s="138">
        <f t="shared" si="2"/>
        <v>0</v>
      </c>
      <c r="AW62" s="138" t="str">
        <f t="shared" si="3"/>
        <v/>
      </c>
      <c r="AX62" s="139" t="str">
        <f>[1]!T.in.A[[#This Row],[ID_T_manu]]</f>
        <v/>
      </c>
      <c r="AY62" s="140" t="e">
        <f>IF(ISNUMBER(Tab.o1[[#This Row],[a1]]),IF(AND(Tab.o1[[#This Row],[a1]]=1,Tab.o1[[#This Row],[b1]]&lt;=AY$4),#REF!,AY61),"")</f>
        <v>#REF!</v>
      </c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</row>
    <row r="63" spans="1:79" ht="15.75">
      <c r="A63" s="109">
        <v>-8.0000000000000013E-6</v>
      </c>
      <c r="B63" s="110">
        <f t="shared" si="0"/>
        <v>63</v>
      </c>
      <c r="C63" s="111">
        <f>IF(C$1=[1]!T.in.A[[#This Row],[oo2]],1,"")</f>
        <v>1</v>
      </c>
      <c r="D63" s="112">
        <f>IF(Tab.o1[[#This Row],[a1]]=1,IF(SUM(C63:C64)=0,0,IF(SUM(C62:C63)=1,1,IF(SUM(C62:C64)&gt;1,D62+1,0))),"")</f>
        <v>59</v>
      </c>
      <c r="E63" s="113" t="str">
        <f>IF(Tab.o1[[#This Row],[a1]]=1,[1]!T.in.A[[#This Row],[oo1]],"")</f>
        <v>hed122</v>
      </c>
      <c r="F63" s="113" t="str">
        <f>IF(Tab.o1[[#This Row],[a1]]=1,[1]!T.in.A[[#This Row],[pp1]],"")</f>
        <v/>
      </c>
      <c r="G63" s="114">
        <f>IF(Tab.o1[[#This Row],[a1]]=1,G$2+IF(G$1=1,0,Tab.o1[[#This Row],[.x1]])+[1]!T.in.A[[#This Row],[oo3]],"")</f>
        <v>840.8</v>
      </c>
      <c r="H63" s="115">
        <f>IF(Tab.o1[[#This Row],[a1]]=1,IF(H$2=0,0,IF(G$1=1,0,Tab.o1[[#This Row],[.x1]])+[1]!T.in.A[[#This Row],[oo4]]),"")</f>
        <v>841.02359999999999</v>
      </c>
      <c r="I63" s="116">
        <f>IF(Tab.o1[[#This Row],[a1]]=1,IF(J$2=0,Tab.o1[[#This Row],[MED]],Tab.o1[[#This Row],[MOD]]),"")</f>
        <v>840.8</v>
      </c>
      <c r="J63" s="116">
        <f ca="1">IF(Tab.o1[[#This Row],[a1]]=1,((Tab.o1[[#This Row],[DIF_Target.]]-AVERAGE(Tab.o1[DIF_Target.]))/_xlfn.STDEV.P(Tab.o1[DIF_Target.])),"")</f>
        <v>-0.38105721994649344</v>
      </c>
      <c r="K63" s="117">
        <f>IF(Tab.o1[[#This Row],[a1]]=1,IF(J$2=0,Tab.o1[[#This Row],[MOD]]-Tab.o1[[#This Row],[B]],IF(J$2=1,0,-Tab.o1[[#This Row],[MED]])+Tab.o1[[#This Row],[B]]),"")</f>
        <v>0.22360000000003311</v>
      </c>
      <c r="L63" s="117">
        <f ca="1">IF(Tab.o1[[#This Row],[DIF_Target]]=0,IF(L$2=0,Tab.o1[[#This Row],[DIF_Target]],AVERAGE(OFFSET(Tab.o1[[#This Row],[DIF_Target]],1,0,L$3,1)))/3,Tab.o1[[#This Row],[DIF_Target]])</f>
        <v>0.22360000000003311</v>
      </c>
      <c r="M63" s="118">
        <f ca="1">IF(Tab.o1[[#This Row],[a1]]=1,NORMSDIST(Tab.o1[[#This Row],[Za]]),"")</f>
        <v>0.35158039517422029</v>
      </c>
      <c r="N63" s="119">
        <f>IF(Tab.o1[[#This Row],[a1]]=1,((Tab.o1[[#This Row],[MedMod]]-AVERAGE(Tab.o1[MedMod]))/_xlfn.STDEV.P(Tab.o1[MedMod])*H$1205)+G$1205,"")</f>
        <v>1.254117188183919</v>
      </c>
      <c r="O63" s="141">
        <f>IF(Tab.o1[[#This Row],[a1]]=1,Tab.o1[[#This Row],[Zb]]*_xlfn.STDEV.P(Tab.o1[MedMod])+AVERAGE(Tab.o1[MedMod]),"")</f>
        <v>840.8</v>
      </c>
      <c r="P63" s="117">
        <f ca="1">IF(Tab.o1[[#This Row],[B]]=0,AVERAGE(OFFSET(Tab.o1[[#This Row],[B]],1,0,L$3,1)),Tab.o1[[#This Row],[B]])</f>
        <v>840.8</v>
      </c>
      <c r="Q63" s="121">
        <f>IF(Tab.o1[[#This Row],[a1]]=1,NORMSDIST(Tab.o1[[#This Row],[Zb]]),"")</f>
        <v>0.89510029310816286</v>
      </c>
      <c r="R63" s="122">
        <f>IF(Tab.o1[[#This Row],[a1]]=1,((Tab.o1[[#This Row],[MedMod]]-AVERAGE(Tab.o1[MedMod]))/_xlfn.STDEV.P(Tab.o1[MedMod])*H$1203)+G$1203,"")</f>
        <v>3.254117188183919</v>
      </c>
      <c r="S63" s="122">
        <f>IF(Tab.o1[[#This Row],[a1]]=1,((Tab.o1[[#This Row],[MedMod]]-AVERAGE(Tab.o1[MedMod]))/_xlfn.STDEV.P(Tab.o1[MedMod])*H$1204)+G$1204,"")</f>
        <v>-0.74588281181608096</v>
      </c>
      <c r="T63" s="123">
        <f>IF(Tab.o1[[#This Row],[a1]]=1,Tab.o1[[#This Row],[Z-]]*_xlfn.STDEV.P(Tab.o1[B])+AVERAGE(Tab.o1[B]),"")</f>
        <v>844.24864103669836</v>
      </c>
      <c r="U63" s="123">
        <f>IF(Tab.o1[[#This Row],[a1]]=1,Tab.o1[[#This Row],[z+]]*_xlfn.STDEV.P(Tab.o1[B])+AVERAGE(Tab.o1[B]),"")</f>
        <v>837.35135896330155</v>
      </c>
      <c r="V63" s="124">
        <f>IF(Tab.o1[[#This Row],[a1]]=1,ABS((ABS(Tab.o1[[#This Row],[Red]]-Tab.o1[[#This Row],[Blue]]))),"")</f>
        <v>6.8972820733968092</v>
      </c>
      <c r="W63" s="125">
        <f>IF(Tab.o1[[#This Row],[a1]]=1,IF(W$3=0,1,Tab.o1[[#This Row],[Amp.]]*1/_xlfn.MINIFS(Tab.o1[Amp.],Tab.o1[Amp.],"&lt;&gt;0")),"")</f>
        <v>1</v>
      </c>
      <c r="X63" s="126">
        <f ca="1">IF(Tab.o1[[#This Row],[a1]]=1,IF(ISNUMBER(Tab.o1[[#This Row],[i.]]),NORMDIST(Tab.o1[[#This Row],[Za]],0,1,FALSE)*Tab.o1[[#This Row],[i.]],AP$3),"")</f>
        <v>0.37100459328050839</v>
      </c>
      <c r="Y63" s="126">
        <f ca="1">IF(Tab.o1[[#This Row],[a1]]=1,0.01+0.94*Tab.o1[[#This Row],[PDF]]/MAX(Tab.o1[PDF]),"")</f>
        <v>0.88594503739519126</v>
      </c>
      <c r="Z63" s="126">
        <f>IF(Tab.o1[[#This Row],[a1]]=1,0.01+0.94*Tab.o1[[#This Row],[W1_PDF]]/MAX(Tab.o1[W1_PDF]),"")</f>
        <v>0.77011664148297598</v>
      </c>
      <c r="AA63" s="118">
        <f>IF(Tab.o1[[#This Row],[a1]]=1,ABS([1]!T.in.A[[#This Row],[oo6]]),"")</f>
        <v>5.7631130000000003E-2</v>
      </c>
      <c r="AB63" s="127">
        <f ca="1">IF(Tab.o1[[#This Row],[a1]]=1,IF(AE$3=0,"",IF(AB$3=0,ABS([1]!T.in.A[[#This Row],[oo9]]),ABS(Tab.o1[[#This Row],[DIF_Target.]]*Tab.o1[[#This Row],[W1_PDF]]))),"")</f>
        <v>1.2886320668001909E-2</v>
      </c>
      <c r="AC63" s="127" t="str">
        <f>IF(G$1=1,"",IF(Tab.o1[[#This Row],[a1]]=1,Tab.o1[[#This Row],[Wr]]^2,""))</f>
        <v/>
      </c>
      <c r="AD63" s="118" t="e">
        <f>IF(Tab.o1[[#This Row],[a1]]=1,IF(AE$3=0,"",Tab.o1[[#This Row],[Wr2]]/SUM(Tab.o1[Wr2])),"")</f>
        <v>#VALUE!</v>
      </c>
      <c r="AE63" s="128">
        <f>IF(Tab.o1[[#This Row],[a1]]=1,[1]!T.in.A[[#This Row],[oo10]],"")</f>
        <v>1.2266570000000001</v>
      </c>
      <c r="AF63" s="118" t="e">
        <f ca="1">IF(Tab.o1[[#This Row],[a1]]=1,ABS(Tab.o1[[#This Row],[DIF_Target.]]*Tab.o1[[#This Row],[PDF2]]*Tab.o1[[#This Row],[IN]]),"")</f>
        <v>#REF!</v>
      </c>
      <c r="AG63" s="129" t="e">
        <f ca="1">IF(Tab.o1[[#This Row],[a1]]=1,Tab.o1[[#This Row],[rW]]^2,"")</f>
        <v>#REF!</v>
      </c>
      <c r="AH63" s="130" t="e">
        <f ca="1">IF(Tab.o1[[#This Row],[a1]]=1,IF(AH$3=0,Tab.o1[[#This Row],[rW2]],0.01+0.94*Tab.o1[[#This Row],[rW2]]/SUM(Tab.o1[rW2])),"")</f>
        <v>#REF!</v>
      </c>
      <c r="AI63" s="128">
        <f ca="1">IF(Tab.o1[[#This Row],[a1]]=1,1/Tab.o1[[#This Row],[PDF]],"")</f>
        <v>2.6953844187150588</v>
      </c>
      <c r="AJ63" s="131" t="e">
        <f>IF(Tab.o1[[#This Row],[a1]]=1,[1]!T_AA[[#This Row],[IN'']]*[1]!T_AA[[#This Row],[Qde'']],"")</f>
        <v>#REF!</v>
      </c>
      <c r="AK63" s="132" t="str">
        <f>IF(Tab.o1[[#This Row],[a1]]=1,IF(AK$1=1,Tab.o1[[#This Row],[MED]]+Tab.o1[[#This Row],[MOD]]-Tab.o1[[#This Row],[MED]],""),"")</f>
        <v/>
      </c>
      <c r="AL63" s="133">
        <f>IF(Tab.o1[[#This Row],[a1]]=1,[1]!T.in.A[[#This Row],[oo16]],"")</f>
        <v>4.3362209000000001E-4</v>
      </c>
      <c r="AM63" s="133">
        <f>IF(Tab.o1[[#This Row],[a1]]=1,IF(AM$3=1,[1]!T.in.A[[#This Row],[Σo16]],""),"")</f>
        <v>8.382090474612103E-6</v>
      </c>
      <c r="AN63" s="126" t="str">
        <f>IF(Tab.o1[[#This Row],[a1]]=1,[1]!T.in.A[[#This Row],[Σp5]],"")</f>
        <v/>
      </c>
      <c r="AO63" s="126" t="str">
        <f>IF(Tab.o1[[#This Row],[a1]]=1,IF(AO$3=1,[1]!T.in.A[[#This Row],[Σp5]],""),"")</f>
        <v/>
      </c>
      <c r="AP63" s="110">
        <f ca="1">IF(Tab.o1[[#This Row],[a1]]=1,IF(ISNUMBER(Tab.o1[[#This Row],[i.]]),NORMDIST(Tab.o1[[#This Row],[Za]],0,1,FALSE)*Tab.o1[[#This Row],[i.]],0),"")</f>
        <v>0.37100459328050839</v>
      </c>
      <c r="AQ63" s="125">
        <f>IF(Tab.o1[[#This Row],[a1]]=1,ABS(Tab.o1[[#This Row],[MOD]]-AVERAGE(Tab.o1[MOD])),"")</f>
        <v>1.662235937499986</v>
      </c>
      <c r="AR63" s="134">
        <f>IF(Tab.o1[[#This Row],[a1]]=1,Tab.o1[[#This Row],[OBS]]/SUM(Tab.o1[OBS]),"")</f>
        <v>1.7348360052094901E-2</v>
      </c>
      <c r="AS63" s="135">
        <f>IF(ISNUMBER(Tab.o1[[#This Row],[a1]]),ROW()-4,"")</f>
        <v>59</v>
      </c>
      <c r="AT63" s="136">
        <f>Tab.o1[[#This Row],[MOD]]</f>
        <v>841.02359999999999</v>
      </c>
      <c r="AU63" s="137">
        <f t="shared" si="1"/>
        <v>841.02359999999999</v>
      </c>
      <c r="AV63" s="138">
        <f t="shared" si="2"/>
        <v>0</v>
      </c>
      <c r="AW63" s="138" t="str">
        <f t="shared" si="3"/>
        <v/>
      </c>
      <c r="AX63" s="139">
        <f>[1]!T.in.A[[#This Row],[ID_T_manu]]</f>
        <v>4</v>
      </c>
      <c r="AY63" s="140" t="e">
        <f>IF(ISNUMBER(Tab.o1[[#This Row],[a1]]),IF(AND(Tab.o1[[#This Row],[a1]]=1,Tab.o1[[#This Row],[b1]]&lt;=AY$4),#REF!,AY62),"")</f>
        <v>#REF!</v>
      </c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</row>
    <row r="64" spans="1:79" ht="15.75">
      <c r="A64" s="109">
        <v>5.9999999999999993E-6</v>
      </c>
      <c r="B64" s="110">
        <f t="shared" si="0"/>
        <v>64</v>
      </c>
      <c r="C64" s="111">
        <f>IF(C$1=[1]!T.in.A[[#This Row],[oo2]],1,"")</f>
        <v>1</v>
      </c>
      <c r="D64" s="112">
        <f>IF(Tab.o1[[#This Row],[a1]]=1,IF(SUM(C64:C65)=0,0,IF(SUM(C63:C64)=1,1,IF(SUM(C63:C65)&gt;1,D63+1,0))),"")</f>
        <v>60</v>
      </c>
      <c r="E64" s="113" t="str">
        <f>IF(Tab.o1[[#This Row],[a1]]=1,[1]!T.in.A[[#This Row],[oo1]],"")</f>
        <v>hed123</v>
      </c>
      <c r="F64" s="113" t="str">
        <f>IF(Tab.o1[[#This Row],[a1]]=1,[1]!T.in.A[[#This Row],[pp1]],"")</f>
        <v/>
      </c>
      <c r="G64" s="114">
        <f>IF(Tab.o1[[#This Row],[a1]]=1,G$2+IF(G$1=1,0,Tab.o1[[#This Row],[.x1]])+[1]!T.in.A[[#This Row],[oo3]],"")</f>
        <v>840.8</v>
      </c>
      <c r="H64" s="115">
        <f>IF(Tab.o1[[#This Row],[a1]]=1,IF(H$2=0,0,IF(G$1=1,0,Tab.o1[[#This Row],[.x1]])+[1]!T.in.A[[#This Row],[oo4]]),"")</f>
        <v>840.46249999999998</v>
      </c>
      <c r="I64" s="116">
        <f>IF(Tab.o1[[#This Row],[a1]]=1,IF(J$2=0,Tab.o1[[#This Row],[MED]],Tab.o1[[#This Row],[MOD]]),"")</f>
        <v>840.8</v>
      </c>
      <c r="J64" s="116">
        <f ca="1">IF(Tab.o1[[#This Row],[a1]]=1,((Tab.o1[[#This Row],[DIF_Target.]]-AVERAGE(Tab.o1[DIF_Target.]))/_xlfn.STDEV.P(Tab.o1[DIF_Target.])),"")</f>
        <v>-0.80845391329181115</v>
      </c>
      <c r="K64" s="117">
        <f>IF(Tab.o1[[#This Row],[a1]]=1,IF(J$2=0,Tab.o1[[#This Row],[MOD]]-Tab.o1[[#This Row],[B]],IF(J$2=1,0,-Tab.o1[[#This Row],[MED]])+Tab.o1[[#This Row],[B]]),"")</f>
        <v>-0.33749999999997726</v>
      </c>
      <c r="L64" s="117">
        <f ca="1">IF(Tab.o1[[#This Row],[DIF_Target]]=0,IF(L$2=0,Tab.o1[[#This Row],[DIF_Target]],AVERAGE(OFFSET(Tab.o1[[#This Row],[DIF_Target]],1,0,L$3,1)))/3,Tab.o1[[#This Row],[DIF_Target]])</f>
        <v>-0.33749999999997726</v>
      </c>
      <c r="M64" s="118">
        <f ca="1">IF(Tab.o1[[#This Row],[a1]]=1,NORMSDIST(Tab.o1[[#This Row],[Za]]),"")</f>
        <v>0.20941466324601657</v>
      </c>
      <c r="N64" s="119">
        <f>IF(Tab.o1[[#This Row],[a1]]=1,((Tab.o1[[#This Row],[MedMod]]-AVERAGE(Tab.o1[MedMod]))/_xlfn.STDEV.P(Tab.o1[MedMod])*H$1205)+G$1205,"")</f>
        <v>1.254117188183919</v>
      </c>
      <c r="O64" s="141">
        <f>IF(Tab.o1[[#This Row],[a1]]=1,Tab.o1[[#This Row],[Zb]]*_xlfn.STDEV.P(Tab.o1[MedMod])+AVERAGE(Tab.o1[MedMod]),"")</f>
        <v>840.8</v>
      </c>
      <c r="P64" s="117">
        <f ca="1">IF(Tab.o1[[#This Row],[B]]=0,AVERAGE(OFFSET(Tab.o1[[#This Row],[B]],1,0,L$3,1)),Tab.o1[[#This Row],[B]])</f>
        <v>840.8</v>
      </c>
      <c r="Q64" s="121">
        <f>IF(Tab.o1[[#This Row],[a1]]=1,NORMSDIST(Tab.o1[[#This Row],[Zb]]),"")</f>
        <v>0.89510029310816286</v>
      </c>
      <c r="R64" s="122">
        <f>IF(Tab.o1[[#This Row],[a1]]=1,((Tab.o1[[#This Row],[MedMod]]-AVERAGE(Tab.o1[MedMod]))/_xlfn.STDEV.P(Tab.o1[MedMod])*H$1203)+G$1203,"")</f>
        <v>3.254117188183919</v>
      </c>
      <c r="S64" s="122">
        <f>IF(Tab.o1[[#This Row],[a1]]=1,((Tab.o1[[#This Row],[MedMod]]-AVERAGE(Tab.o1[MedMod]))/_xlfn.STDEV.P(Tab.o1[MedMod])*H$1204)+G$1204,"")</f>
        <v>-0.74588281181608096</v>
      </c>
      <c r="T64" s="123">
        <f>IF(Tab.o1[[#This Row],[a1]]=1,Tab.o1[[#This Row],[Z-]]*_xlfn.STDEV.P(Tab.o1[B])+AVERAGE(Tab.o1[B]),"")</f>
        <v>844.24864103669836</v>
      </c>
      <c r="U64" s="123">
        <f>IF(Tab.o1[[#This Row],[a1]]=1,Tab.o1[[#This Row],[z+]]*_xlfn.STDEV.P(Tab.o1[B])+AVERAGE(Tab.o1[B]),"")</f>
        <v>837.35135896330155</v>
      </c>
      <c r="V64" s="124">
        <f>IF(Tab.o1[[#This Row],[a1]]=1,ABS((ABS(Tab.o1[[#This Row],[Red]]-Tab.o1[[#This Row],[Blue]]))),"")</f>
        <v>6.8972820733968092</v>
      </c>
      <c r="W64" s="125">
        <f>IF(Tab.o1[[#This Row],[a1]]=1,IF(W$3=0,1,Tab.o1[[#This Row],[Amp.]]*1/_xlfn.MINIFS(Tab.o1[Amp.],Tab.o1[Amp.],"&lt;&gt;0")),"")</f>
        <v>1</v>
      </c>
      <c r="X64" s="126">
        <f ca="1">IF(Tab.o1[[#This Row],[a1]]=1,IF(ISNUMBER(Tab.o1[[#This Row],[i.]]),NORMDIST(Tab.o1[[#This Row],[Za]],0,1,FALSE)*Tab.o1[[#This Row],[i.]],AP$3),"")</f>
        <v>0.28772865929960167</v>
      </c>
      <c r="Y64" s="126">
        <f ca="1">IF(Tab.o1[[#This Row],[a1]]=1,0.01+0.94*Tab.o1[[#This Row],[PDF]]/MAX(Tab.o1[PDF]),"")</f>
        <v>0.68932984063973601</v>
      </c>
      <c r="Z64" s="126">
        <f>IF(Tab.o1[[#This Row],[a1]]=1,0.01+0.94*Tab.o1[[#This Row],[W1_PDF]]/MAX(Tab.o1[W1_PDF]),"")</f>
        <v>0.77011664148297598</v>
      </c>
      <c r="AA64" s="118">
        <f>IF(Tab.o1[[#This Row],[a1]]=1,ABS([1]!T.in.A[[#This Row],[oo6]]),"")</f>
        <v>5.7631130000000003E-2</v>
      </c>
      <c r="AB64" s="127">
        <f ca="1">IF(Tab.o1[[#This Row],[a1]]=1,IF(AE$3=0,"",IF(AB$3=0,ABS([1]!T.in.A[[#This Row],[oo9]]),ABS(Tab.o1[[#This Row],[DIF_Target.]]*Tab.o1[[#This Row],[W1_PDF]]))),"")</f>
        <v>1.9450506374998691E-2</v>
      </c>
      <c r="AC64" s="127" t="str">
        <f>IF(G$1=1,"",IF(Tab.o1[[#This Row],[a1]]=1,Tab.o1[[#This Row],[Wr]]^2,""))</f>
        <v/>
      </c>
      <c r="AD64" s="118" t="e">
        <f>IF(Tab.o1[[#This Row],[a1]]=1,IF(AE$3=0,"",Tab.o1[[#This Row],[Wr2]]/SUM(Tab.o1[Wr2])),"")</f>
        <v>#VALUE!</v>
      </c>
      <c r="AE64" s="128">
        <f>IF(Tab.o1[[#This Row],[a1]]=1,[1]!T.in.A[[#This Row],[oo10]],"")</f>
        <v>1.2266570000000001</v>
      </c>
      <c r="AF64" s="118" t="e">
        <f ca="1">IF(Tab.o1[[#This Row],[a1]]=1,ABS(Tab.o1[[#This Row],[DIF_Target.]]*Tab.o1[[#This Row],[PDF2]]*Tab.o1[[#This Row],[IN]]),"")</f>
        <v>#REF!</v>
      </c>
      <c r="AG64" s="129" t="e">
        <f ca="1">IF(Tab.o1[[#This Row],[a1]]=1,Tab.o1[[#This Row],[rW]]^2,"")</f>
        <v>#REF!</v>
      </c>
      <c r="AH64" s="130" t="e">
        <f ca="1">IF(Tab.o1[[#This Row],[a1]]=1,IF(AH$3=0,Tab.o1[[#This Row],[rW2]],0.01+0.94*Tab.o1[[#This Row],[rW2]]/SUM(Tab.o1[rW2])),"")</f>
        <v>#REF!</v>
      </c>
      <c r="AI64" s="128">
        <f ca="1">IF(Tab.o1[[#This Row],[a1]]=1,1/Tab.o1[[#This Row],[PDF]],"")</f>
        <v>3.4754966795251891</v>
      </c>
      <c r="AJ64" s="131" t="e">
        <f>IF(Tab.o1[[#This Row],[a1]]=1,[1]!T_AA[[#This Row],[IN'']]*[1]!T_AA[[#This Row],[Qde'']],"")</f>
        <v>#REF!</v>
      </c>
      <c r="AK64" s="132" t="str">
        <f>IF(Tab.o1[[#This Row],[a1]]=1,IF(AK$1=1,Tab.o1[[#This Row],[MED]]+Tab.o1[[#This Row],[MOD]]-Tab.o1[[#This Row],[MED]],""),"")</f>
        <v/>
      </c>
      <c r="AL64" s="133">
        <f>IF(Tab.o1[[#This Row],[a1]]=1,[1]!T.in.A[[#This Row],[oo16]],"")</f>
        <v>0.45393220000000001</v>
      </c>
      <c r="AM64" s="133">
        <f>IF(Tab.o1[[#This Row],[a1]]=1,IF(AM$3=1,[1]!T.in.A[[#This Row],[Σo16]],""),"")</f>
        <v>8.7746931198540087E-3</v>
      </c>
      <c r="AN64" s="126" t="str">
        <f>IF(Tab.o1[[#This Row],[a1]]=1,[1]!T.in.A[[#This Row],[Σp5]],"")</f>
        <v/>
      </c>
      <c r="AO64" s="126" t="str">
        <f>IF(Tab.o1[[#This Row],[a1]]=1,IF(AO$3=1,[1]!T.in.A[[#This Row],[Σp5]],""),"")</f>
        <v/>
      </c>
      <c r="AP64" s="110">
        <f ca="1">IF(Tab.o1[[#This Row],[a1]]=1,IF(ISNUMBER(Tab.o1[[#This Row],[i.]]),NORMDIST(Tab.o1[[#This Row],[Za]],0,1,FALSE)*Tab.o1[[#This Row],[i.]],0),"")</f>
        <v>0.28772865929960167</v>
      </c>
      <c r="AQ64" s="125">
        <f>IF(Tab.o1[[#This Row],[a1]]=1,ABS(Tab.o1[[#This Row],[MOD]]-AVERAGE(Tab.o1[MOD])),"")</f>
        <v>1.1011359374999756</v>
      </c>
      <c r="AR64" s="134">
        <f>IF(Tab.o1[[#This Row],[a1]]=1,Tab.o1[[#This Row],[OBS]]/SUM(Tab.o1[OBS]),"")</f>
        <v>1.1492293169152351E-2</v>
      </c>
      <c r="AS64" s="135">
        <f>IF(ISNUMBER(Tab.o1[[#This Row],[a1]]),ROW()-4,"")</f>
        <v>60</v>
      </c>
      <c r="AT64" s="136">
        <f>Tab.o1[[#This Row],[MOD]]</f>
        <v>840.46249999999998</v>
      </c>
      <c r="AU64" s="137">
        <f t="shared" si="1"/>
        <v>840.46249999999998</v>
      </c>
      <c r="AV64" s="138">
        <f t="shared" si="2"/>
        <v>0</v>
      </c>
      <c r="AW64" s="138" t="str">
        <f t="shared" si="3"/>
        <v/>
      </c>
      <c r="AX64" s="139" t="str">
        <f>[1]!T.in.A[[#This Row],[ID_T_manu]]</f>
        <v/>
      </c>
      <c r="AY64" s="140" t="e">
        <f>IF(ISNUMBER(Tab.o1[[#This Row],[a1]]),IF(AND(Tab.o1[[#This Row],[a1]]=1,Tab.o1[[#This Row],[b1]]&lt;=AY$4),#REF!,AY63),"")</f>
        <v>#REF!</v>
      </c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</row>
    <row r="65" spans="1:79" ht="15.75">
      <c r="A65" s="109">
        <v>-2.0000000000000003E-6</v>
      </c>
      <c r="B65" s="110">
        <f t="shared" si="0"/>
        <v>65</v>
      </c>
      <c r="C65" s="111">
        <f>IF(C$1=[1]!T.in.A[[#This Row],[oo2]],1,"")</f>
        <v>1</v>
      </c>
      <c r="D65" s="112">
        <f>IF(Tab.o1[[#This Row],[a1]]=1,IF(SUM(C65:C66)=0,0,IF(SUM(C64:C65)=1,1,IF(SUM(C64:C66)&gt;1,D64+1,0))),"")</f>
        <v>61</v>
      </c>
      <c r="E65" s="113" t="str">
        <f>IF(Tab.o1[[#This Row],[a1]]=1,[1]!T.in.A[[#This Row],[oo1]],"")</f>
        <v>hed124</v>
      </c>
      <c r="F65" s="113" t="str">
        <f>IF(Tab.o1[[#This Row],[a1]]=1,[1]!T.in.A[[#This Row],[pp1]],"")</f>
        <v/>
      </c>
      <c r="G65" s="114">
        <f>IF(Tab.o1[[#This Row],[a1]]=1,G$2+IF(G$1=1,0,Tab.o1[[#This Row],[.x1]])+[1]!T.in.A[[#This Row],[oo3]],"")</f>
        <v>840.8</v>
      </c>
      <c r="H65" s="115">
        <f>IF(Tab.o1[[#This Row],[a1]]=1,IF(H$2=0,0,IF(G$1=1,0,Tab.o1[[#This Row],[.x1]])+[1]!T.in.A[[#This Row],[oo4]]),"")</f>
        <v>840.471</v>
      </c>
      <c r="I65" s="116">
        <f>IF(Tab.o1[[#This Row],[a1]]=1,IF(J$2=0,Tab.o1[[#This Row],[MED]],Tab.o1[[#This Row],[MOD]]),"")</f>
        <v>840.8</v>
      </c>
      <c r="J65" s="116">
        <f ca="1">IF(Tab.o1[[#This Row],[a1]]=1,((Tab.o1[[#This Row],[DIF_Target.]]-AVERAGE(Tab.o1[DIF_Target.]))/_xlfn.STDEV.P(Tab.o1[DIF_Target.])),"")</f>
        <v>-0.8019793599261964</v>
      </c>
      <c r="K65" s="117">
        <f>IF(Tab.o1[[#This Row],[a1]]=1,IF(J$2=0,Tab.o1[[#This Row],[MOD]]-Tab.o1[[#This Row],[B]],IF(J$2=1,0,-Tab.o1[[#This Row],[MED]])+Tab.o1[[#This Row],[B]]),"")</f>
        <v>-0.32899999999995089</v>
      </c>
      <c r="L65" s="117">
        <f ca="1">IF(Tab.o1[[#This Row],[DIF_Target]]=0,IF(L$2=0,Tab.o1[[#This Row],[DIF_Target]],AVERAGE(OFFSET(Tab.o1[[#This Row],[DIF_Target]],1,0,L$3,1)))/3,Tab.o1[[#This Row],[DIF_Target]])</f>
        <v>-0.32899999999995089</v>
      </c>
      <c r="M65" s="118">
        <f ca="1">IF(Tab.o1[[#This Row],[a1]]=1,NORMSDIST(Tab.o1[[#This Row],[Za]]),"")</f>
        <v>0.21128244885638564</v>
      </c>
      <c r="N65" s="119">
        <f>IF(Tab.o1[[#This Row],[a1]]=1,((Tab.o1[[#This Row],[MedMod]]-AVERAGE(Tab.o1[MedMod]))/_xlfn.STDEV.P(Tab.o1[MedMod])*H$1205)+G$1205,"")</f>
        <v>1.254117188183919</v>
      </c>
      <c r="O65" s="141">
        <f>IF(Tab.o1[[#This Row],[a1]]=1,Tab.o1[[#This Row],[Zb]]*_xlfn.STDEV.P(Tab.o1[MedMod])+AVERAGE(Tab.o1[MedMod]),"")</f>
        <v>840.8</v>
      </c>
      <c r="P65" s="117">
        <f ca="1">IF(Tab.o1[[#This Row],[B]]=0,AVERAGE(OFFSET(Tab.o1[[#This Row],[B]],1,0,L$3,1)),Tab.o1[[#This Row],[B]])</f>
        <v>840.8</v>
      </c>
      <c r="Q65" s="121">
        <f>IF(Tab.o1[[#This Row],[a1]]=1,NORMSDIST(Tab.o1[[#This Row],[Zb]]),"")</f>
        <v>0.89510029310816286</v>
      </c>
      <c r="R65" s="122">
        <f>IF(Tab.o1[[#This Row],[a1]]=1,((Tab.o1[[#This Row],[MedMod]]-AVERAGE(Tab.o1[MedMod]))/_xlfn.STDEV.P(Tab.o1[MedMod])*H$1203)+G$1203,"")</f>
        <v>3.254117188183919</v>
      </c>
      <c r="S65" s="122">
        <f>IF(Tab.o1[[#This Row],[a1]]=1,((Tab.o1[[#This Row],[MedMod]]-AVERAGE(Tab.o1[MedMod]))/_xlfn.STDEV.P(Tab.o1[MedMod])*H$1204)+G$1204,"")</f>
        <v>-0.74588281181608096</v>
      </c>
      <c r="T65" s="123">
        <f>IF(Tab.o1[[#This Row],[a1]]=1,Tab.o1[[#This Row],[Z-]]*_xlfn.STDEV.P(Tab.o1[B])+AVERAGE(Tab.o1[B]),"")</f>
        <v>844.24864103669836</v>
      </c>
      <c r="U65" s="123">
        <f>IF(Tab.o1[[#This Row],[a1]]=1,Tab.o1[[#This Row],[z+]]*_xlfn.STDEV.P(Tab.o1[B])+AVERAGE(Tab.o1[B]),"")</f>
        <v>837.35135896330155</v>
      </c>
      <c r="V65" s="124">
        <f>IF(Tab.o1[[#This Row],[a1]]=1,ABS((ABS(Tab.o1[[#This Row],[Red]]-Tab.o1[[#This Row],[Blue]]))),"")</f>
        <v>6.8972820733968092</v>
      </c>
      <c r="W65" s="125">
        <f>IF(Tab.o1[[#This Row],[a1]]=1,IF(W$3=0,1,Tab.o1[[#This Row],[Amp.]]*1/_xlfn.MINIFS(Tab.o1[Amp.],Tab.o1[Amp.],"&lt;&gt;0")),"")</f>
        <v>1</v>
      </c>
      <c r="X65" s="126">
        <f ca="1">IF(Tab.o1[[#This Row],[a1]]=1,IF(ISNUMBER(Tab.o1[[#This Row],[i.]]),NORMDIST(Tab.o1[[#This Row],[Za]],0,1,FALSE)*Tab.o1[[#This Row],[i.]],AP$3),"")</f>
        <v>0.28923262609284367</v>
      </c>
      <c r="Y65" s="126">
        <f ca="1">IF(Tab.o1[[#This Row],[a1]]=1,0.01+0.94*Tab.o1[[#This Row],[PDF]]/MAX(Tab.o1[PDF]),"")</f>
        <v>0.69288071918088512</v>
      </c>
      <c r="Z65" s="126">
        <f>IF(Tab.o1[[#This Row],[a1]]=1,0.01+0.94*Tab.o1[[#This Row],[W1_PDF]]/MAX(Tab.o1[W1_PDF]),"")</f>
        <v>0.77011664148297598</v>
      </c>
      <c r="AA65" s="118">
        <f>IF(Tab.o1[[#This Row],[a1]]=1,ABS([1]!T.in.A[[#This Row],[oo6]]),"")</f>
        <v>5.7631130000000003E-2</v>
      </c>
      <c r="AB65" s="127">
        <f ca="1">IF(Tab.o1[[#This Row],[a1]]=1,IF(AE$3=0,"",IF(AB$3=0,ABS([1]!T.in.A[[#This Row],[oo9]]),ABS(Tab.o1[[#This Row],[DIF_Target.]]*Tab.o1[[#This Row],[W1_PDF]]))),"")</f>
        <v>1.896064176999717E-2</v>
      </c>
      <c r="AC65" s="127" t="str">
        <f>IF(G$1=1,"",IF(Tab.o1[[#This Row],[a1]]=1,Tab.o1[[#This Row],[Wr]]^2,""))</f>
        <v/>
      </c>
      <c r="AD65" s="118" t="e">
        <f>IF(Tab.o1[[#This Row],[a1]]=1,IF(AE$3=0,"",Tab.o1[[#This Row],[Wr2]]/SUM(Tab.o1[Wr2])),"")</f>
        <v>#VALUE!</v>
      </c>
      <c r="AE65" s="128">
        <f>IF(Tab.o1[[#This Row],[a1]]=1,[1]!T.in.A[[#This Row],[oo10]],"")</f>
        <v>1.2266570000000001</v>
      </c>
      <c r="AF65" s="118" t="e">
        <f ca="1">IF(Tab.o1[[#This Row],[a1]]=1,ABS(Tab.o1[[#This Row],[DIF_Target.]]*Tab.o1[[#This Row],[PDF2]]*Tab.o1[[#This Row],[IN]]),"")</f>
        <v>#REF!</v>
      </c>
      <c r="AG65" s="129" t="e">
        <f ca="1">IF(Tab.o1[[#This Row],[a1]]=1,Tab.o1[[#This Row],[rW]]^2,"")</f>
        <v>#REF!</v>
      </c>
      <c r="AH65" s="130" t="e">
        <f ca="1">IF(Tab.o1[[#This Row],[a1]]=1,IF(AH$3=0,Tab.o1[[#This Row],[rW2]],0.01+0.94*Tab.o1[[#This Row],[rW2]]/SUM(Tab.o1[rW2])),"")</f>
        <v>#REF!</v>
      </c>
      <c r="AI65" s="128">
        <f ca="1">IF(Tab.o1[[#This Row],[a1]]=1,1/Tab.o1[[#This Row],[PDF]],"")</f>
        <v>3.4574246118382232</v>
      </c>
      <c r="AJ65" s="131" t="e">
        <f>IF(Tab.o1[[#This Row],[a1]]=1,[1]!T_AA[[#This Row],[IN'']]*[1]!T_AA[[#This Row],[Qde'']],"")</f>
        <v>#REF!</v>
      </c>
      <c r="AK65" s="132" t="str">
        <f>IF(Tab.o1[[#This Row],[a1]]=1,IF(AK$1=1,Tab.o1[[#This Row],[MED]]+Tab.o1[[#This Row],[MOD]]-Tab.o1[[#This Row],[MED]],""),"")</f>
        <v/>
      </c>
      <c r="AL65" s="133">
        <f>IF(Tab.o1[[#This Row],[a1]]=1,[1]!T.in.A[[#This Row],[oo16]],"")</f>
        <v>0.2396779</v>
      </c>
      <c r="AM65" s="133">
        <f>IF(Tab.o1[[#This Row],[a1]]=1,IF(AM$3=1,[1]!T.in.A[[#This Row],[Σo16]],""),"")</f>
        <v>4.6330707980422126E-3</v>
      </c>
      <c r="AN65" s="126" t="str">
        <f>IF(Tab.o1[[#This Row],[a1]]=1,[1]!T.in.A[[#This Row],[Σp5]],"")</f>
        <v/>
      </c>
      <c r="AO65" s="126" t="str">
        <f>IF(Tab.o1[[#This Row],[a1]]=1,IF(AO$3=1,[1]!T.in.A[[#This Row],[Σp5]],""),"")</f>
        <v/>
      </c>
      <c r="AP65" s="110">
        <f ca="1">IF(Tab.o1[[#This Row],[a1]]=1,IF(ISNUMBER(Tab.o1[[#This Row],[i.]]),NORMDIST(Tab.o1[[#This Row],[Za]],0,1,FALSE)*Tab.o1[[#This Row],[i.]],0),"")</f>
        <v>0.28923262609284367</v>
      </c>
      <c r="AQ65" s="125">
        <f>IF(Tab.o1[[#This Row],[a1]]=1,ABS(Tab.o1[[#This Row],[MOD]]-AVERAGE(Tab.o1[MOD])),"")</f>
        <v>1.109635937500002</v>
      </c>
      <c r="AR65" s="134">
        <f>IF(Tab.o1[[#This Row],[a1]]=1,Tab.o1[[#This Row],[OBS]]/SUM(Tab.o1[OBS]),"")</f>
        <v>1.15810056419828E-2</v>
      </c>
      <c r="AS65" s="135">
        <f>IF(ISNUMBER(Tab.o1[[#This Row],[a1]]),ROW()-4,"")</f>
        <v>61</v>
      </c>
      <c r="AT65" s="136">
        <f>Tab.o1[[#This Row],[MOD]]</f>
        <v>840.471</v>
      </c>
      <c r="AU65" s="137">
        <f t="shared" si="1"/>
        <v>840.471</v>
      </c>
      <c r="AV65" s="138">
        <f t="shared" si="2"/>
        <v>0</v>
      </c>
      <c r="AW65" s="138" t="str">
        <f t="shared" si="3"/>
        <v/>
      </c>
      <c r="AX65" s="139" t="str">
        <f>[1]!T.in.A[[#This Row],[ID_T_manu]]</f>
        <v/>
      </c>
      <c r="AY65" s="140" t="e">
        <f>IF(ISNUMBER(Tab.o1[[#This Row],[a1]]),IF(AND(Tab.o1[[#This Row],[a1]]=1,Tab.o1[[#This Row],[b1]]&lt;=AY$4),#REF!,AY64),"")</f>
        <v>#REF!</v>
      </c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</row>
    <row r="66" spans="1:79" ht="15.75">
      <c r="A66" s="109">
        <v>1.0000000000000002E-6</v>
      </c>
      <c r="B66" s="110">
        <f t="shared" si="0"/>
        <v>66</v>
      </c>
      <c r="C66" s="111">
        <f>IF(C$1=[1]!T.in.A[[#This Row],[oo2]],1,"")</f>
        <v>1</v>
      </c>
      <c r="D66" s="112">
        <f>IF(Tab.o1[[#This Row],[a1]]=1,IF(SUM(C66:C67)=0,0,IF(SUM(C65:C66)=1,1,IF(SUM(C65:C67)&gt;1,D65+1,0))),"")</f>
        <v>62</v>
      </c>
      <c r="E66" s="113" t="str">
        <f>IF(Tab.o1[[#This Row],[a1]]=1,[1]!T.in.A[[#This Row],[oo1]],"")</f>
        <v>hed146</v>
      </c>
      <c r="F66" s="113" t="str">
        <f>IF(Tab.o1[[#This Row],[a1]]=1,[1]!T.in.A[[#This Row],[pp1]],"")</f>
        <v/>
      </c>
      <c r="G66" s="114">
        <f>IF(Tab.o1[[#This Row],[a1]]=1,G$2+IF(G$1=1,0,Tab.o1[[#This Row],[.x1]])+[1]!T.in.A[[#This Row],[oo3]],"")</f>
        <v>840.6</v>
      </c>
      <c r="H66" s="115">
        <f>IF(Tab.o1[[#This Row],[a1]]=1,IF(H$2=0,0,IF(G$1=1,0,Tab.o1[[#This Row],[.x1]])+[1]!T.in.A[[#This Row],[oo4]]),"")</f>
        <v>840.68799999999999</v>
      </c>
      <c r="I66" s="116">
        <f>IF(Tab.o1[[#This Row],[a1]]=1,IF(J$2=0,Tab.o1[[#This Row],[MED]],Tab.o1[[#This Row],[MOD]]),"")</f>
        <v>840.6</v>
      </c>
      <c r="J66" s="116">
        <f ca="1">IF(Tab.o1[[#This Row],[a1]]=1,((Tab.o1[[#This Row],[DIF_Target.]]-AVERAGE(Tab.o1[DIF_Target.]))/_xlfn.STDEV.P(Tab.o1[DIF_Target.])),"")</f>
        <v>-0.48434538893179541</v>
      </c>
      <c r="K66" s="117">
        <f>IF(Tab.o1[[#This Row],[a1]]=1,IF(J$2=0,Tab.o1[[#This Row],[MOD]]-Tab.o1[[#This Row],[B]],IF(J$2=1,0,-Tab.o1[[#This Row],[MED]])+Tab.o1[[#This Row],[B]]),"")</f>
        <v>8.7999999999965439E-2</v>
      </c>
      <c r="L66" s="117">
        <f ca="1">IF(Tab.o1[[#This Row],[DIF_Target]]=0,IF(L$2=0,Tab.o1[[#This Row],[DIF_Target]],AVERAGE(OFFSET(Tab.o1[[#This Row],[DIF_Target]],1,0,L$3,1)))/3,Tab.o1[[#This Row],[DIF_Target]])</f>
        <v>8.7999999999965439E-2</v>
      </c>
      <c r="M66" s="118">
        <f ca="1">IF(Tab.o1[[#This Row],[a1]]=1,NORMSDIST(Tab.o1[[#This Row],[Za]]),"")</f>
        <v>0.31407038433092133</v>
      </c>
      <c r="N66" s="119">
        <f>IF(Tab.o1[[#This Row],[a1]]=1,((Tab.o1[[#This Row],[MedMod]]-AVERAGE(Tab.o1[MedMod]))/_xlfn.STDEV.P(Tab.o1[MedMod])*H$1205)+G$1205,"")</f>
        <v>1.1381294713576953</v>
      </c>
      <c r="O66" s="141">
        <f>IF(Tab.o1[[#This Row],[a1]]=1,Tab.o1[[#This Row],[Zb]]*_xlfn.STDEV.P(Tab.o1[MedMod])+AVERAGE(Tab.o1[MedMod]),"")</f>
        <v>840.6</v>
      </c>
      <c r="P66" s="117">
        <f ca="1">IF(Tab.o1[[#This Row],[B]]=0,AVERAGE(OFFSET(Tab.o1[[#This Row],[B]],1,0,L$3,1)),Tab.o1[[#This Row],[B]])</f>
        <v>840.6</v>
      </c>
      <c r="Q66" s="121">
        <f>IF(Tab.o1[[#This Row],[a1]]=1,NORMSDIST(Tab.o1[[#This Row],[Zb]]),"")</f>
        <v>0.87246678824088542</v>
      </c>
      <c r="R66" s="122">
        <f>IF(Tab.o1[[#This Row],[a1]]=1,((Tab.o1[[#This Row],[MedMod]]-AVERAGE(Tab.o1[MedMod]))/_xlfn.STDEV.P(Tab.o1[MedMod])*H$1203)+G$1203,"")</f>
        <v>3.1381294713576953</v>
      </c>
      <c r="S66" s="122">
        <f>IF(Tab.o1[[#This Row],[a1]]=1,((Tab.o1[[#This Row],[MedMod]]-AVERAGE(Tab.o1[MedMod]))/_xlfn.STDEV.P(Tab.o1[MedMod])*H$1204)+G$1204,"")</f>
        <v>-0.86187052864230473</v>
      </c>
      <c r="T66" s="123">
        <f>IF(Tab.o1[[#This Row],[a1]]=1,Tab.o1[[#This Row],[Z-]]*_xlfn.STDEV.P(Tab.o1[B])+AVERAGE(Tab.o1[B]),"")</f>
        <v>844.04864103669843</v>
      </c>
      <c r="U66" s="123">
        <f>IF(Tab.o1[[#This Row],[a1]]=1,Tab.o1[[#This Row],[z+]]*_xlfn.STDEV.P(Tab.o1[B])+AVERAGE(Tab.o1[B]),"")</f>
        <v>837.15135896330162</v>
      </c>
      <c r="V66" s="124">
        <f>IF(Tab.o1[[#This Row],[a1]]=1,ABS((ABS(Tab.o1[[#This Row],[Red]]-Tab.o1[[#This Row],[Blue]]))),"")</f>
        <v>6.8972820733968092</v>
      </c>
      <c r="W66" s="125">
        <f>IF(Tab.o1[[#This Row],[a1]]=1,IF(W$3=0,1,Tab.o1[[#This Row],[Amp.]]*1/_xlfn.MINIFS(Tab.o1[Amp.],Tab.o1[Amp.],"&lt;&gt;0")),"")</f>
        <v>1</v>
      </c>
      <c r="X66" s="126">
        <f ca="1">IF(Tab.o1[[#This Row],[a1]]=1,IF(ISNUMBER(Tab.o1[[#This Row],[i.]]),NORMDIST(Tab.o1[[#This Row],[Za]],0,1,FALSE)*Tab.o1[[#This Row],[i.]],AP$3),"")</f>
        <v>0.35478838668214163</v>
      </c>
      <c r="Y66" s="126">
        <f ca="1">IF(Tab.o1[[#This Row],[a1]]=1,0.01+0.94*Tab.o1[[#This Row],[PDF]]/MAX(Tab.o1[PDF]),"")</f>
        <v>0.84765843406876074</v>
      </c>
      <c r="Z66" s="126">
        <f>IF(Tab.o1[[#This Row],[a1]]=1,0.01+0.94*Tab.o1[[#This Row],[W1_PDF]]/MAX(Tab.o1[W1_PDF]),"")</f>
        <v>0.38206379936935309</v>
      </c>
      <c r="AA66" s="118">
        <f>IF(Tab.o1[[#This Row],[a1]]=1,ABS([1]!T.in.A[[#This Row],[oo6]]),"")</f>
        <v>2.8209430000000001E-2</v>
      </c>
      <c r="AB66" s="127">
        <f ca="1">IF(Tab.o1[[#This Row],[a1]]=1,IF(AE$3=0,"",IF(AB$3=0,ABS([1]!T.in.A[[#This Row],[oo9]]),ABS(Tab.o1[[#This Row],[DIF_Target.]]*Tab.o1[[#This Row],[W1_PDF]]))),"")</f>
        <v>2.4824298399990252E-3</v>
      </c>
      <c r="AC66" s="127" t="str">
        <f>IF(G$1=1,"",IF(Tab.o1[[#This Row],[a1]]=1,Tab.o1[[#This Row],[Wr]]^2,""))</f>
        <v/>
      </c>
      <c r="AD66" s="118" t="e">
        <f>IF(Tab.o1[[#This Row],[a1]]=1,IF(AE$3=0,"",Tab.o1[[#This Row],[Wr2]]/SUM(Tab.o1[Wr2])),"")</f>
        <v>#VALUE!</v>
      </c>
      <c r="AE66" s="128">
        <f>IF(Tab.o1[[#This Row],[a1]]=1,[1]!T.in.A[[#This Row],[oo10]],"")</f>
        <v>2.5060280000000001</v>
      </c>
      <c r="AF66" s="118" t="e">
        <f ca="1">IF(Tab.o1[[#This Row],[a1]]=1,ABS(Tab.o1[[#This Row],[DIF_Target.]]*Tab.o1[[#This Row],[PDF2]]*Tab.o1[[#This Row],[IN]]),"")</f>
        <v>#REF!</v>
      </c>
      <c r="AG66" s="129" t="e">
        <f ca="1">IF(Tab.o1[[#This Row],[a1]]=1,Tab.o1[[#This Row],[rW]]^2,"")</f>
        <v>#REF!</v>
      </c>
      <c r="AH66" s="130" t="e">
        <f ca="1">IF(Tab.o1[[#This Row],[a1]]=1,IF(AH$3=0,Tab.o1[[#This Row],[rW2]],0.01+0.94*Tab.o1[[#This Row],[rW2]]/SUM(Tab.o1[rW2])),"")</f>
        <v>#REF!</v>
      </c>
      <c r="AI66" s="128">
        <f ca="1">IF(Tab.o1[[#This Row],[a1]]=1,1/Tab.o1[[#This Row],[PDF]],"")</f>
        <v>2.8185815475857439</v>
      </c>
      <c r="AJ66" s="131" t="e">
        <f>IF(Tab.o1[[#This Row],[a1]]=1,[1]!T_AA[[#This Row],[IN'']]*[1]!T_AA[[#This Row],[Qde'']],"")</f>
        <v>#REF!</v>
      </c>
      <c r="AK66" s="132" t="str">
        <f>IF(Tab.o1[[#This Row],[a1]]=1,IF(AK$1=1,Tab.o1[[#This Row],[MED]]+Tab.o1[[#This Row],[MOD]]-Tab.o1[[#This Row],[MED]],""),"")</f>
        <v/>
      </c>
      <c r="AL66" s="133">
        <f>IF(Tab.o1[[#This Row],[a1]]=1,[1]!T.in.A[[#This Row],[oo16]],"")</f>
        <v>2.0352864000000001E-4</v>
      </c>
      <c r="AM66" s="133">
        <f>IF(Tab.o1[[#This Row],[a1]]=1,IF(AM$3=1,[1]!T.in.A[[#This Row],[Σo16]],""),"")</f>
        <v>3.9342909736327225E-6</v>
      </c>
      <c r="AN66" s="126" t="str">
        <f>IF(Tab.o1[[#This Row],[a1]]=1,[1]!T.in.A[[#This Row],[Σp5]],"")</f>
        <v/>
      </c>
      <c r="AO66" s="126" t="str">
        <f>IF(Tab.o1[[#This Row],[a1]]=1,IF(AO$3=1,[1]!T.in.A[[#This Row],[Σp5]],""),"")</f>
        <v/>
      </c>
      <c r="AP66" s="110">
        <f ca="1">IF(Tab.o1[[#This Row],[a1]]=1,IF(ISNUMBER(Tab.o1[[#This Row],[i.]]),NORMDIST(Tab.o1[[#This Row],[Za]],0,1,FALSE)*Tab.o1[[#This Row],[i.]],0),"")</f>
        <v>0.35478838668214163</v>
      </c>
      <c r="AQ66" s="125">
        <f>IF(Tab.o1[[#This Row],[a1]]=1,ABS(Tab.o1[[#This Row],[MOD]]-AVERAGE(Tab.o1[MOD])),"")</f>
        <v>1.3266359374999865</v>
      </c>
      <c r="AR66" s="134">
        <f>IF(Tab.o1[[#This Row],[a1]]=1,Tab.o1[[#This Row],[OBS]]/SUM(Tab.o1[OBS]),"")</f>
        <v>1.3845782889529439E-2</v>
      </c>
      <c r="AS66" s="135">
        <f>IF(ISNUMBER(Tab.o1[[#This Row],[a1]]),ROW()-4,"")</f>
        <v>62</v>
      </c>
      <c r="AT66" s="136">
        <f>Tab.o1[[#This Row],[MOD]]</f>
        <v>840.68799999999999</v>
      </c>
      <c r="AU66" s="137">
        <f t="shared" si="1"/>
        <v>840.68799999999999</v>
      </c>
      <c r="AV66" s="138">
        <f t="shared" si="2"/>
        <v>0</v>
      </c>
      <c r="AW66" s="138" t="str">
        <f t="shared" si="3"/>
        <v/>
      </c>
      <c r="AX66" s="139">
        <f>[1]!T.in.A[[#This Row],[ID_T_manu]]</f>
        <v>5</v>
      </c>
      <c r="AY66" s="140" t="e">
        <f>IF(ISNUMBER(Tab.o1[[#This Row],[a1]]),IF(AND(Tab.o1[[#This Row],[a1]]=1,Tab.o1[[#This Row],[b1]]&lt;=AY$4),#REF!,AY65),"")</f>
        <v>#REF!</v>
      </c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</row>
    <row r="67" spans="1:79" ht="15.75">
      <c r="A67" s="109">
        <v>-5.0000000000000004E-6</v>
      </c>
      <c r="B67" s="110">
        <f t="shared" si="0"/>
        <v>67</v>
      </c>
      <c r="C67" s="111">
        <f>IF(C$1=[1]!T.in.A[[#This Row],[oo2]],1,"")</f>
        <v>1</v>
      </c>
      <c r="D67" s="112">
        <f>IF(Tab.o1[[#This Row],[a1]]=1,IF(SUM(C67:C68)=0,0,IF(SUM(C66:C67)=1,1,IF(SUM(C66:C68)&gt;1,D66+1,0))),"")</f>
        <v>63</v>
      </c>
      <c r="E67" s="113" t="str">
        <f>IF(Tab.o1[[#This Row],[a1]]=1,[1]!T.in.A[[#This Row],[oo1]],"")</f>
        <v>hed147</v>
      </c>
      <c r="F67" s="113" t="str">
        <f>IF(Tab.o1[[#This Row],[a1]]=1,[1]!T.in.A[[#This Row],[pp1]],"")</f>
        <v/>
      </c>
      <c r="G67" s="114">
        <f>IF(Tab.o1[[#This Row],[a1]]=1,G$2+IF(G$1=1,0,Tab.o1[[#This Row],[.x1]])+[1]!T.in.A[[#This Row],[oo3]],"")</f>
        <v>837.5</v>
      </c>
      <c r="H67" s="115">
        <f>IF(Tab.o1[[#This Row],[a1]]=1,IF(H$2=0,0,IF(G$1=1,0,Tab.o1[[#This Row],[.x1]])+[1]!T.in.A[[#This Row],[oo4]]),"")</f>
        <v>839.17819999999995</v>
      </c>
      <c r="I67" s="116">
        <f>IF(Tab.o1[[#This Row],[a1]]=1,IF(J$2=0,Tab.o1[[#This Row],[MED]],Tab.o1[[#This Row],[MOD]]),"")</f>
        <v>837.5</v>
      </c>
      <c r="J67" s="116">
        <f ca="1">IF(Tab.o1[[#This Row],[a1]]=1,((Tab.o1[[#This Row],[DIF_Target.]]-AVERAGE(Tab.o1[DIF_Target.]))/_xlfn.STDEV.P(Tab.o1[DIF_Target.])),"")</f>
        <v>0.7269292889468425</v>
      </c>
      <c r="K67" s="117">
        <f>IF(Tab.o1[[#This Row],[a1]]=1,IF(J$2=0,Tab.o1[[#This Row],[MOD]]-Tab.o1[[#This Row],[B]],IF(J$2=1,0,-Tab.o1[[#This Row],[MED]])+Tab.o1[[#This Row],[B]]),"")</f>
        <v>1.6781999999999471</v>
      </c>
      <c r="L67" s="117">
        <f ca="1">IF(Tab.o1[[#This Row],[DIF_Target]]=0,IF(L$2=0,Tab.o1[[#This Row],[DIF_Target]],AVERAGE(OFFSET(Tab.o1[[#This Row],[DIF_Target]],1,0,L$3,1)))/3,Tab.o1[[#This Row],[DIF_Target]])</f>
        <v>1.6781999999999471</v>
      </c>
      <c r="M67" s="118">
        <f ca="1">IF(Tab.o1[[#This Row],[a1]]=1,NORMSDIST(Tab.o1[[#This Row],[Za]]),"")</f>
        <v>0.7663653630515076</v>
      </c>
      <c r="N67" s="119">
        <f>IF(Tab.o1[[#This Row],[a1]]=1,((Tab.o1[[#This Row],[MedMod]]-AVERAGE(Tab.o1[MedMod]))/_xlfn.STDEV.P(Tab.o1[MedMod])*H$1205)+G$1205,"")</f>
        <v>-0.65968013944939885</v>
      </c>
      <c r="O67" s="141">
        <f>IF(Tab.o1[[#This Row],[a1]]=1,Tab.o1[[#This Row],[Zb]]*_xlfn.STDEV.P(Tab.o1[MedMod])+AVERAGE(Tab.o1[MedMod]),"")</f>
        <v>837.5</v>
      </c>
      <c r="P67" s="117">
        <f ca="1">IF(Tab.o1[[#This Row],[B]]=0,AVERAGE(OFFSET(Tab.o1[[#This Row],[B]],1,0,L$3,1)),Tab.o1[[#This Row],[B]])</f>
        <v>837.5</v>
      </c>
      <c r="Q67" s="121">
        <f>IF(Tab.o1[[#This Row],[a1]]=1,NORMSDIST(Tab.o1[[#This Row],[Zb]]),"")</f>
        <v>0.25472955717647217</v>
      </c>
      <c r="R67" s="122">
        <f>IF(Tab.o1[[#This Row],[a1]]=1,((Tab.o1[[#This Row],[MedMod]]-AVERAGE(Tab.o1[MedMod]))/_xlfn.STDEV.P(Tab.o1[MedMod])*H$1203)+G$1203,"")</f>
        <v>1.340319860550601</v>
      </c>
      <c r="S67" s="122">
        <f>IF(Tab.o1[[#This Row],[a1]]=1,((Tab.o1[[#This Row],[MedMod]]-AVERAGE(Tab.o1[MedMod]))/_xlfn.STDEV.P(Tab.o1[MedMod])*H$1204)+G$1204,"")</f>
        <v>-2.659680139449399</v>
      </c>
      <c r="T67" s="123">
        <f>IF(Tab.o1[[#This Row],[a1]]=1,Tab.o1[[#This Row],[Z-]]*_xlfn.STDEV.P(Tab.o1[B])+AVERAGE(Tab.o1[B]),"")</f>
        <v>840.9486410366984</v>
      </c>
      <c r="U67" s="123">
        <f>IF(Tab.o1[[#This Row],[a1]]=1,Tab.o1[[#This Row],[z+]]*_xlfn.STDEV.P(Tab.o1[B])+AVERAGE(Tab.o1[B]),"")</f>
        <v>834.0513589633016</v>
      </c>
      <c r="V67" s="124">
        <f>IF(Tab.o1[[#This Row],[a1]]=1,ABS((ABS(Tab.o1[[#This Row],[Red]]-Tab.o1[[#This Row],[Blue]]))),"")</f>
        <v>6.8972820733968092</v>
      </c>
      <c r="W67" s="125">
        <f>IF(Tab.o1[[#This Row],[a1]]=1,IF(W$3=0,1,Tab.o1[[#This Row],[Amp.]]*1/_xlfn.MINIFS(Tab.o1[Amp.],Tab.o1[Amp.],"&lt;&gt;0")),"")</f>
        <v>1</v>
      </c>
      <c r="X67" s="126">
        <f ca="1">IF(Tab.o1[[#This Row],[a1]]=1,IF(ISNUMBER(Tab.o1[[#This Row],[i.]]),NORMDIST(Tab.o1[[#This Row],[Za]],0,1,FALSE)*Tab.o1[[#This Row],[i.]],AP$3),"")</f>
        <v>0.30631183455008515</v>
      </c>
      <c r="Y67" s="126">
        <f ca="1">IF(Tab.o1[[#This Row],[a1]]=1,0.01+0.94*Tab.o1[[#This Row],[PDF]]/MAX(Tab.o1[PDF]),"")</f>
        <v>0.73320487732263451</v>
      </c>
      <c r="Z67" s="126">
        <f>IF(Tab.o1[[#This Row],[a1]]=1,0.01+0.94*Tab.o1[[#This Row],[W1_PDF]]/MAX(Tab.o1[W1_PDF]),"")</f>
        <v>0.38206379936935309</v>
      </c>
      <c r="AA67" s="118">
        <f>IF(Tab.o1[[#This Row],[a1]]=1,ABS([1]!T.in.A[[#This Row],[oo6]]),"")</f>
        <v>2.8209430000000001E-2</v>
      </c>
      <c r="AB67" s="127">
        <f ca="1">IF(Tab.o1[[#This Row],[a1]]=1,IF(AE$3=0,"",IF(AB$3=0,ABS([1]!T.in.A[[#This Row],[oo9]]),ABS(Tab.o1[[#This Row],[DIF_Target.]]*Tab.o1[[#This Row],[W1_PDF]]))),"")</f>
        <v>4.7341065425998509E-2</v>
      </c>
      <c r="AC67" s="127" t="str">
        <f>IF(G$1=1,"",IF(Tab.o1[[#This Row],[a1]]=1,Tab.o1[[#This Row],[Wr]]^2,""))</f>
        <v/>
      </c>
      <c r="AD67" s="118" t="e">
        <f>IF(Tab.o1[[#This Row],[a1]]=1,IF(AE$3=0,"",Tab.o1[[#This Row],[Wr2]]/SUM(Tab.o1[Wr2])),"")</f>
        <v>#VALUE!</v>
      </c>
      <c r="AE67" s="128">
        <f>IF(Tab.o1[[#This Row],[a1]]=1,[1]!T.in.A[[#This Row],[oo10]],"")</f>
        <v>2.5060280000000001</v>
      </c>
      <c r="AF67" s="118" t="e">
        <f ca="1">IF(Tab.o1[[#This Row],[a1]]=1,ABS(Tab.o1[[#This Row],[DIF_Target.]]*Tab.o1[[#This Row],[PDF2]]*Tab.o1[[#This Row],[IN]]),"")</f>
        <v>#REF!</v>
      </c>
      <c r="AG67" s="129" t="e">
        <f ca="1">IF(Tab.o1[[#This Row],[a1]]=1,Tab.o1[[#This Row],[rW]]^2,"")</f>
        <v>#REF!</v>
      </c>
      <c r="AH67" s="130" t="e">
        <f ca="1">IF(Tab.o1[[#This Row],[a1]]=1,IF(AH$3=0,Tab.o1[[#This Row],[rW2]],0.01+0.94*Tab.o1[[#This Row],[rW2]]/SUM(Tab.o1[rW2])),"")</f>
        <v>#REF!</v>
      </c>
      <c r="AI67" s="128">
        <f ca="1">IF(Tab.o1[[#This Row],[a1]]=1,1/Tab.o1[[#This Row],[PDF]],"")</f>
        <v>3.2646469617108105</v>
      </c>
      <c r="AJ67" s="131" t="e">
        <f>IF(Tab.o1[[#This Row],[a1]]=1,[1]!T_AA[[#This Row],[IN'']]*[1]!T_AA[[#This Row],[Qde'']],"")</f>
        <v>#REF!</v>
      </c>
      <c r="AK67" s="132" t="str">
        <f>IF(Tab.o1[[#This Row],[a1]]=1,IF(AK$1=1,Tab.o1[[#This Row],[MED]]+Tab.o1[[#This Row],[MOD]]-Tab.o1[[#This Row],[MED]],""),"")</f>
        <v/>
      </c>
      <c r="AL67" s="133">
        <f>IF(Tab.o1[[#This Row],[a1]]=1,[1]!T.in.A[[#This Row],[oo16]],"")</f>
        <v>0.2692697</v>
      </c>
      <c r="AM67" s="133">
        <f>IF(Tab.o1[[#This Row],[a1]]=1,IF(AM$3=1,[1]!T.in.A[[#This Row],[Σo16]],""),"")</f>
        <v>5.205092267028321E-3</v>
      </c>
      <c r="AN67" s="126" t="str">
        <f>IF(Tab.o1[[#This Row],[a1]]=1,[1]!T.in.A[[#This Row],[Σp5]],"")</f>
        <v/>
      </c>
      <c r="AO67" s="126" t="str">
        <f>IF(Tab.o1[[#This Row],[a1]]=1,IF(AO$3=1,[1]!T.in.A[[#This Row],[Σp5]],""),"")</f>
        <v/>
      </c>
      <c r="AP67" s="110">
        <f ca="1">IF(Tab.o1[[#This Row],[a1]]=1,IF(ISNUMBER(Tab.o1[[#This Row],[i.]]),NORMDIST(Tab.o1[[#This Row],[Za]],0,1,FALSE)*Tab.o1[[#This Row],[i.]],0),"")</f>
        <v>0.30631183455008515</v>
      </c>
      <c r="AQ67" s="125">
        <f>IF(Tab.o1[[#This Row],[a1]]=1,ABS(Tab.o1[[#This Row],[MOD]]-AVERAGE(Tab.o1[MOD])),"")</f>
        <v>0.18316406250005457</v>
      </c>
      <c r="AR67" s="134">
        <f>IF(Tab.o1[[#This Row],[a1]]=1,Tab.o1[[#This Row],[OBS]]/SUM(Tab.o1[OBS]),"")</f>
        <v>1.9116396374118142E-3</v>
      </c>
      <c r="AS67" s="135">
        <f>IF(ISNUMBER(Tab.o1[[#This Row],[a1]]),ROW()-4,"")</f>
        <v>63</v>
      </c>
      <c r="AT67" s="136">
        <f>Tab.o1[[#This Row],[MOD]]</f>
        <v>839.17819999999995</v>
      </c>
      <c r="AU67" s="137">
        <f t="shared" si="1"/>
        <v>839.17819999999995</v>
      </c>
      <c r="AV67" s="138">
        <f t="shared" si="2"/>
        <v>0</v>
      </c>
      <c r="AW67" s="138" t="str">
        <f t="shared" si="3"/>
        <v/>
      </c>
      <c r="AX67" s="139" t="str">
        <f>[1]!T.in.A[[#This Row],[ID_T_manu]]</f>
        <v/>
      </c>
      <c r="AY67" s="140" t="e">
        <f>IF(ISNUMBER(Tab.o1[[#This Row],[a1]]),IF(AND(Tab.o1[[#This Row],[a1]]=1,Tab.o1[[#This Row],[b1]]&lt;=AY$4),#REF!,AY66),"")</f>
        <v>#REF!</v>
      </c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</row>
    <row r="68" spans="1:79" ht="15.75">
      <c r="A68" s="109">
        <v>5.9999999999999993E-6</v>
      </c>
      <c r="B68" s="110">
        <f t="shared" si="0"/>
        <v>68</v>
      </c>
      <c r="C68" s="111">
        <f>IF(C$1=[1]!T.in.A[[#This Row],[oo2]],1,"")</f>
        <v>1</v>
      </c>
      <c r="D68" s="112">
        <f>IF(Tab.o1[[#This Row],[a1]]=1,IF(SUM(C68:C69)=0,0,IF(SUM(C67:C68)=1,1,IF(SUM(C67:C69)&gt;1,D67+1,0))),"")</f>
        <v>64</v>
      </c>
      <c r="E68" s="113" t="str">
        <f>IF(Tab.o1[[#This Row],[a1]]=1,[1]!T.in.A[[#This Row],[oo1]],"")</f>
        <v>hed148</v>
      </c>
      <c r="F68" s="113" t="str">
        <f>IF(Tab.o1[[#This Row],[a1]]=1,[1]!T.in.A[[#This Row],[pp1]],"")</f>
        <v/>
      </c>
      <c r="G68" s="114">
        <f>IF(Tab.o1[[#This Row],[a1]]=1,G$2+IF(G$1=1,0,Tab.o1[[#This Row],[.x1]])+[1]!T.in.A[[#This Row],[oo3]],"")</f>
        <v>840.6</v>
      </c>
      <c r="H68" s="115">
        <f>IF(Tab.o1[[#This Row],[a1]]=1,IF(H$2=0,0,IF(G$1=1,0,Tab.o1[[#This Row],[.x1]])+[1]!T.in.A[[#This Row],[oo4]]),"")</f>
        <v>839.90030000000002</v>
      </c>
      <c r="I68" s="116">
        <f>IF(Tab.o1[[#This Row],[a1]]=1,IF(J$2=0,Tab.o1[[#This Row],[MED]],Tab.o1[[#This Row],[MOD]]),"")</f>
        <v>840.6</v>
      </c>
      <c r="J68" s="116">
        <f ca="1">IF(Tab.o1[[#This Row],[a1]]=1,((Tab.o1[[#This Row],[DIF_Target.]]-AVERAGE(Tab.o1[DIF_Target.]))/_xlfn.STDEV.P(Tab.o1[DIF_Target.])),"")</f>
        <v>-1.0843460578822299</v>
      </c>
      <c r="K68" s="117">
        <f>IF(Tab.o1[[#This Row],[a1]]=1,IF(J$2=0,Tab.o1[[#This Row],[MOD]]-Tab.o1[[#This Row],[B]],IF(J$2=1,0,-Tab.o1[[#This Row],[MED]])+Tab.o1[[#This Row],[B]]),"")</f>
        <v>-0.69970000000000709</v>
      </c>
      <c r="L68" s="117">
        <f ca="1">IF(Tab.o1[[#This Row],[DIF_Target]]=0,IF(L$2=0,Tab.o1[[#This Row],[DIF_Target]],AVERAGE(OFFSET(Tab.o1[[#This Row],[DIF_Target]],1,0,L$3,1)))/3,Tab.o1[[#This Row],[DIF_Target]])</f>
        <v>-0.69970000000000709</v>
      </c>
      <c r="M68" s="118">
        <f ca="1">IF(Tab.o1[[#This Row],[a1]]=1,NORMSDIST(Tab.o1[[#This Row],[Za]]),"")</f>
        <v>0.13910569556722951</v>
      </c>
      <c r="N68" s="119">
        <f>IF(Tab.o1[[#This Row],[a1]]=1,((Tab.o1[[#This Row],[MedMod]]-AVERAGE(Tab.o1[MedMod]))/_xlfn.STDEV.P(Tab.o1[MedMod])*H$1205)+G$1205,"")</f>
        <v>1.1381294713576953</v>
      </c>
      <c r="O68" s="141">
        <f>IF(Tab.o1[[#This Row],[a1]]=1,Tab.o1[[#This Row],[Zb]]*_xlfn.STDEV.P(Tab.o1[MedMod])+AVERAGE(Tab.o1[MedMod]),"")</f>
        <v>840.6</v>
      </c>
      <c r="P68" s="117">
        <f ca="1">IF(Tab.o1[[#This Row],[B]]=0,AVERAGE(OFFSET(Tab.o1[[#This Row],[B]],1,0,L$3,1)),Tab.o1[[#This Row],[B]])</f>
        <v>840.6</v>
      </c>
      <c r="Q68" s="121">
        <f>IF(Tab.o1[[#This Row],[a1]]=1,NORMSDIST(Tab.o1[[#This Row],[Zb]]),"")</f>
        <v>0.87246678824088542</v>
      </c>
      <c r="R68" s="122">
        <f>IF(Tab.o1[[#This Row],[a1]]=1,((Tab.o1[[#This Row],[MedMod]]-AVERAGE(Tab.o1[MedMod]))/_xlfn.STDEV.P(Tab.o1[MedMod])*H$1203)+G$1203,"")</f>
        <v>3.1381294713576953</v>
      </c>
      <c r="S68" s="122">
        <f>IF(Tab.o1[[#This Row],[a1]]=1,((Tab.o1[[#This Row],[MedMod]]-AVERAGE(Tab.o1[MedMod]))/_xlfn.STDEV.P(Tab.o1[MedMod])*H$1204)+G$1204,"")</f>
        <v>-0.86187052864230473</v>
      </c>
      <c r="T68" s="123">
        <f>IF(Tab.o1[[#This Row],[a1]]=1,Tab.o1[[#This Row],[Z-]]*_xlfn.STDEV.P(Tab.o1[B])+AVERAGE(Tab.o1[B]),"")</f>
        <v>844.04864103669843</v>
      </c>
      <c r="U68" s="123">
        <f>IF(Tab.o1[[#This Row],[a1]]=1,Tab.o1[[#This Row],[z+]]*_xlfn.STDEV.P(Tab.o1[B])+AVERAGE(Tab.o1[B]),"")</f>
        <v>837.15135896330162</v>
      </c>
      <c r="V68" s="124">
        <f>IF(Tab.o1[[#This Row],[a1]]=1,ABS((ABS(Tab.o1[[#This Row],[Red]]-Tab.o1[[#This Row],[Blue]]))),"")</f>
        <v>6.8972820733968092</v>
      </c>
      <c r="W68" s="125">
        <f>IF(Tab.o1[[#This Row],[a1]]=1,IF(W$3=0,1,Tab.o1[[#This Row],[Amp.]]*1/_xlfn.MINIFS(Tab.o1[Amp.],Tab.o1[Amp.],"&lt;&gt;0")),"")</f>
        <v>1</v>
      </c>
      <c r="X68" s="126">
        <f ca="1">IF(Tab.o1[[#This Row],[a1]]=1,IF(ISNUMBER(Tab.o1[[#This Row],[i.]]),NORMDIST(Tab.o1[[#This Row],[Za]],0,1,FALSE)*Tab.o1[[#This Row],[i.]],AP$3),"")</f>
        <v>0.22160877648267641</v>
      </c>
      <c r="Y68" s="126">
        <f ca="1">IF(Tab.o1[[#This Row],[a1]]=1,0.01+0.94*Tab.o1[[#This Row],[PDF]]/MAX(Tab.o1[PDF]),"")</f>
        <v>0.53322022831790905</v>
      </c>
      <c r="Z68" s="126">
        <f>IF(Tab.o1[[#This Row],[a1]]=1,0.01+0.94*Tab.o1[[#This Row],[W1_PDF]]/MAX(Tab.o1[W1_PDF]),"")</f>
        <v>0.38206379936935309</v>
      </c>
      <c r="AA68" s="118">
        <f>IF(Tab.o1[[#This Row],[a1]]=1,ABS([1]!T.in.A[[#This Row],[oo6]]),"")</f>
        <v>2.8209430000000001E-2</v>
      </c>
      <c r="AB68" s="127">
        <f ca="1">IF(Tab.o1[[#This Row],[a1]]=1,IF(AE$3=0,"",IF(AB$3=0,ABS([1]!T.in.A[[#This Row],[oo9]]),ABS(Tab.o1[[#This Row],[DIF_Target.]]*Tab.o1[[#This Row],[W1_PDF]]))),"")</f>
        <v>1.9738138171000199E-2</v>
      </c>
      <c r="AC68" s="127" t="str">
        <f>IF(G$1=1,"",IF(Tab.o1[[#This Row],[a1]]=1,Tab.o1[[#This Row],[Wr]]^2,""))</f>
        <v/>
      </c>
      <c r="AD68" s="118" t="e">
        <f>IF(Tab.o1[[#This Row],[a1]]=1,IF(AE$3=0,"",Tab.o1[[#This Row],[Wr2]]/SUM(Tab.o1[Wr2])),"")</f>
        <v>#VALUE!</v>
      </c>
      <c r="AE68" s="128">
        <f>IF(Tab.o1[[#This Row],[a1]]=1,[1]!T.in.A[[#This Row],[oo10]],"")</f>
        <v>2.5060280000000001</v>
      </c>
      <c r="AF68" s="118" t="e">
        <f ca="1">IF(Tab.o1[[#This Row],[a1]]=1,ABS(Tab.o1[[#This Row],[DIF_Target.]]*Tab.o1[[#This Row],[PDF2]]*Tab.o1[[#This Row],[IN]]),"")</f>
        <v>#REF!</v>
      </c>
      <c r="AG68" s="129" t="e">
        <f ca="1">IF(Tab.o1[[#This Row],[a1]]=1,Tab.o1[[#This Row],[rW]]^2,"")</f>
        <v>#REF!</v>
      </c>
      <c r="AH68" s="130" t="e">
        <f ca="1">IF(Tab.o1[[#This Row],[a1]]=1,IF(AH$3=0,Tab.o1[[#This Row],[rW2]],0.01+0.94*Tab.o1[[#This Row],[rW2]]/SUM(Tab.o1[rW2])),"")</f>
        <v>#REF!</v>
      </c>
      <c r="AI68" s="128">
        <f ca="1">IF(Tab.o1[[#This Row],[a1]]=1,1/Tab.o1[[#This Row],[PDF]],"")</f>
        <v>4.5124566629163807</v>
      </c>
      <c r="AJ68" s="131" t="e">
        <f>IF(Tab.o1[[#This Row],[a1]]=1,[1]!T_AA[[#This Row],[IN'']]*[1]!T_AA[[#This Row],[Qde'']],"")</f>
        <v>#REF!</v>
      </c>
      <c r="AK68" s="132" t="str">
        <f>IF(Tab.o1[[#This Row],[a1]]=1,IF(AK$1=1,Tab.o1[[#This Row],[MED]]+Tab.o1[[#This Row],[MOD]]-Tab.o1[[#This Row],[MED]],""),"")</f>
        <v/>
      </c>
      <c r="AL68" s="133">
        <f>IF(Tab.o1[[#This Row],[a1]]=1,[1]!T.in.A[[#This Row],[oo16]],"")</f>
        <v>0.10239040000000001</v>
      </c>
      <c r="AM68" s="133">
        <f>IF(Tab.o1[[#This Row],[a1]]=1,IF(AM$3=1,[1]!T.in.A[[#This Row],[Σo16]],""),"")</f>
        <v>1.9792478665736865E-3</v>
      </c>
      <c r="AN68" s="126" t="str">
        <f>IF(Tab.o1[[#This Row],[a1]]=1,[1]!T.in.A[[#This Row],[Σp5]],"")</f>
        <v/>
      </c>
      <c r="AO68" s="126" t="str">
        <f>IF(Tab.o1[[#This Row],[a1]]=1,IF(AO$3=1,[1]!T.in.A[[#This Row],[Σp5]],""),"")</f>
        <v/>
      </c>
      <c r="AP68" s="110">
        <f ca="1">IF(Tab.o1[[#This Row],[a1]]=1,IF(ISNUMBER(Tab.o1[[#This Row],[i.]]),NORMDIST(Tab.o1[[#This Row],[Za]],0,1,FALSE)*Tab.o1[[#This Row],[i.]],0),"")</f>
        <v>0.22160877648267641</v>
      </c>
      <c r="AQ68" s="125">
        <f>IF(Tab.o1[[#This Row],[a1]]=1,ABS(Tab.o1[[#This Row],[MOD]]-AVERAGE(Tab.o1[MOD])),"")</f>
        <v>0.53893593750001401</v>
      </c>
      <c r="AR68" s="134">
        <f>IF(Tab.o1[[#This Row],[a1]]=1,Tab.o1[[#This Row],[OBS]]/SUM(Tab.o1[OBS]),"")</f>
        <v>5.6247458485499356E-3</v>
      </c>
      <c r="AS68" s="135">
        <f>IF(ISNUMBER(Tab.o1[[#This Row],[a1]]),ROW()-4,"")</f>
        <v>64</v>
      </c>
      <c r="AT68" s="136">
        <f>Tab.o1[[#This Row],[MOD]]</f>
        <v>839.90030000000002</v>
      </c>
      <c r="AU68" s="137">
        <f t="shared" si="1"/>
        <v>839.90030000000002</v>
      </c>
      <c r="AV68" s="138">
        <f t="shared" si="2"/>
        <v>0</v>
      </c>
      <c r="AW68" s="138" t="str">
        <f t="shared" si="3"/>
        <v/>
      </c>
      <c r="AX68" s="139" t="str">
        <f>[1]!T.in.A[[#This Row],[ID_T_manu]]</f>
        <v/>
      </c>
      <c r="AY68" s="140" t="e">
        <f>IF(ISNUMBER(Tab.o1[[#This Row],[a1]]),IF(AND(Tab.o1[[#This Row],[a1]]=1,Tab.o1[[#This Row],[b1]]&lt;=AY$4),#REF!,AY67),"")</f>
        <v>#REF!</v>
      </c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</row>
    <row r="69" spans="1:79" ht="15.75" hidden="1">
      <c r="A69" s="109">
        <v>8.0000000000000013E-6</v>
      </c>
      <c r="B69" s="110">
        <f t="shared" si="0"/>
        <v>69</v>
      </c>
      <c r="C69" s="111" t="str">
        <f>IF(C$1=[1]!T.in.A[[#This Row],[oo2]],1,"")</f>
        <v/>
      </c>
      <c r="D69" s="112" t="str">
        <f>IF(Tab.o1[[#This Row],[a1]]=1,IF(SUM(C69:C70)=0,0,IF(SUM(C68:C69)=1,1,IF(SUM(C68:C70)&gt;1,D68+1,0))),"")</f>
        <v/>
      </c>
      <c r="E69" s="113" t="str">
        <f>IF(Tab.o1[[#This Row],[a1]]=1,[1]!T.in.A[[#This Row],[oo1]],"")</f>
        <v/>
      </c>
      <c r="F69" s="113" t="str">
        <f>IF(Tab.o1[[#This Row],[a1]]=1,[1]!T.in.A[[#This Row],[pp1]],"")</f>
        <v/>
      </c>
      <c r="G69" s="114" t="str">
        <f>IF(Tab.o1[[#This Row],[a1]]=1,G$2+IF(G$1=1,0,Tab.o1[[#This Row],[.x1]])+[1]!T.in.A[[#This Row],[oo3]],"")</f>
        <v/>
      </c>
      <c r="H69" s="115" t="str">
        <f>IF(Tab.o1[[#This Row],[a1]]=1,IF(H$2=0,0,IF(G$1=1,0,Tab.o1[[#This Row],[.x1]])+[1]!T.in.A[[#This Row],[oo4]]),"")</f>
        <v/>
      </c>
      <c r="I69" s="116" t="str">
        <f>IF(Tab.o1[[#This Row],[a1]]=1,IF(J$2=0,Tab.o1[[#This Row],[MED]],Tab.o1[[#This Row],[MOD]]),"")</f>
        <v/>
      </c>
      <c r="J69" s="116" t="str">
        <f>IF(Tab.o1[[#This Row],[a1]]=1,((Tab.o1[[#This Row],[DIF_Target.]]-AVERAGE(Tab.o1[DIF_Target.]))/_xlfn.STDEV.P(Tab.o1[DIF_Target.])),"")</f>
        <v/>
      </c>
      <c r="K69" s="117" t="str">
        <f>IF(Tab.o1[[#This Row],[a1]]=1,IF(J$2=0,Tab.o1[[#This Row],[MOD]]-Tab.o1[[#This Row],[B]],IF(J$2=1,0,-Tab.o1[[#This Row],[MED]])+Tab.o1[[#This Row],[B]]),"")</f>
        <v/>
      </c>
      <c r="L69" s="117" t="str">
        <f ca="1">IF(Tab.o1[[#This Row],[DIF_Target]]=0,IF(L$2=0,Tab.o1[[#This Row],[DIF_Target]],AVERAGE(OFFSET(Tab.o1[[#This Row],[DIF_Target]],1,0,L$3,1)))/3,Tab.o1[[#This Row],[DIF_Target]])</f>
        <v/>
      </c>
      <c r="M69" s="118" t="str">
        <f>IF(Tab.o1[[#This Row],[a1]]=1,NORMSDIST(Tab.o1[[#This Row],[Za]]),"")</f>
        <v/>
      </c>
      <c r="N69" s="119" t="str">
        <f>IF(Tab.o1[[#This Row],[a1]]=1,((Tab.o1[[#This Row],[MedMod]]-AVERAGE(Tab.o1[MedMod]))/_xlfn.STDEV.P(Tab.o1[MedMod])*H$1205)+G$1205,"")</f>
        <v/>
      </c>
      <c r="O69" s="141" t="str">
        <f>IF(Tab.o1[[#This Row],[a1]]=1,Tab.o1[[#This Row],[Zb]]*_xlfn.STDEV.P(Tab.o1[MedMod])+AVERAGE(Tab.o1[MedMod]),"")</f>
        <v/>
      </c>
      <c r="P69" s="117" t="str">
        <f ca="1">IF(Tab.o1[[#This Row],[B]]=0,AVERAGE(OFFSET(Tab.o1[[#This Row],[B]],1,0,L$3,1)),Tab.o1[[#This Row],[B]])</f>
        <v/>
      </c>
      <c r="Q69" s="121" t="str">
        <f>IF(Tab.o1[[#This Row],[a1]]=1,NORMSDIST(Tab.o1[[#This Row],[Zb]]),"")</f>
        <v/>
      </c>
      <c r="R69" s="122" t="str">
        <f>IF(Tab.o1[[#This Row],[a1]]=1,((Tab.o1[[#This Row],[MedMod]]-AVERAGE(Tab.o1[MedMod]))/_xlfn.STDEV.P(Tab.o1[MedMod])*H$1203)+G$1203,"")</f>
        <v/>
      </c>
      <c r="S69" s="122" t="str">
        <f>IF(Tab.o1[[#This Row],[a1]]=1,((Tab.o1[[#This Row],[MedMod]]-AVERAGE(Tab.o1[MedMod]))/_xlfn.STDEV.P(Tab.o1[MedMod])*H$1204)+G$1204,"")</f>
        <v/>
      </c>
      <c r="T69" s="123" t="str">
        <f>IF(Tab.o1[[#This Row],[a1]]=1,Tab.o1[[#This Row],[Z-]]*_xlfn.STDEV.P(Tab.o1[B])+AVERAGE(Tab.o1[B]),"")</f>
        <v/>
      </c>
      <c r="U69" s="123" t="str">
        <f>IF(Tab.o1[[#This Row],[a1]]=1,Tab.o1[[#This Row],[z+]]*_xlfn.STDEV.P(Tab.o1[B])+AVERAGE(Tab.o1[B]),"")</f>
        <v/>
      </c>
      <c r="V69" s="124" t="str">
        <f>IF(Tab.o1[[#This Row],[a1]]=1,ABS((ABS(Tab.o1[[#This Row],[Red]]-Tab.o1[[#This Row],[Blue]]))),"")</f>
        <v/>
      </c>
      <c r="W69" s="125" t="str">
        <f>IF(Tab.o1[[#This Row],[a1]]=1,IF(W$3=0,1,Tab.o1[[#This Row],[Amp.]]*1/_xlfn.MINIFS(Tab.o1[Amp.],Tab.o1[Amp.],"&lt;&gt;0")),"")</f>
        <v/>
      </c>
      <c r="X69" s="126" t="str">
        <f>IF(Tab.o1[[#This Row],[a1]]=1,IF(ISNUMBER(Tab.o1[[#This Row],[i.]]),NORMDIST(Tab.o1[[#This Row],[Za]],0,1,FALSE)*Tab.o1[[#This Row],[i.]],AP$3),"")</f>
        <v/>
      </c>
      <c r="Y69" s="126" t="str">
        <f>IF(Tab.o1[[#This Row],[a1]]=1,0.01+0.94*Tab.o1[[#This Row],[PDF]]/MAX(Tab.o1[PDF]),"")</f>
        <v/>
      </c>
      <c r="Z69" s="126" t="str">
        <f>IF(Tab.o1[[#This Row],[a1]]=1,0.01+0.94*Tab.o1[[#This Row],[W1_PDF]]/MAX(Tab.o1[W1_PDF]),"")</f>
        <v/>
      </c>
      <c r="AA69" s="118" t="str">
        <f>IF(Tab.o1[[#This Row],[a1]]=1,ABS([1]!T.in.A[[#This Row],[oo6]]),"")</f>
        <v/>
      </c>
      <c r="AB69" s="127" t="str">
        <f>IF(Tab.o1[[#This Row],[a1]]=1,IF(AE$3=0,"",IF(AB$3=0,ABS([1]!T.in.A[[#This Row],[oo9]]),ABS(Tab.o1[[#This Row],[DIF_Target.]]*Tab.o1[[#This Row],[W1_PDF]]))),"")</f>
        <v/>
      </c>
      <c r="AC69" s="127" t="str">
        <f>IF(G$1=1,"",IF(Tab.o1[[#This Row],[a1]]=1,Tab.o1[[#This Row],[Wr]]^2,""))</f>
        <v/>
      </c>
      <c r="AD69" s="118" t="str">
        <f>IF(Tab.o1[[#This Row],[a1]]=1,IF(AE$3=0,"",Tab.o1[[#This Row],[Wr2]]/SUM(Tab.o1[Wr2])),"")</f>
        <v/>
      </c>
      <c r="AE69" s="128" t="str">
        <f>IF(Tab.o1[[#This Row],[a1]]=1,[1]!T.in.A[[#This Row],[oo10]],"")</f>
        <v/>
      </c>
      <c r="AF69" s="118" t="str">
        <f>IF(Tab.o1[[#This Row],[a1]]=1,ABS(Tab.o1[[#This Row],[DIF_Target.]]*Tab.o1[[#This Row],[PDF2]]*Tab.o1[[#This Row],[IN]]),"")</f>
        <v/>
      </c>
      <c r="AG69" s="129" t="str">
        <f>IF(Tab.o1[[#This Row],[a1]]=1,Tab.o1[[#This Row],[rW]]^2,"")</f>
        <v/>
      </c>
      <c r="AH69" s="130" t="str">
        <f>IF(Tab.o1[[#This Row],[a1]]=1,IF(AH$3=0,Tab.o1[[#This Row],[rW2]],0.01+0.94*Tab.o1[[#This Row],[rW2]]/SUM(Tab.o1[rW2])),"")</f>
        <v/>
      </c>
      <c r="AI69" s="128" t="str">
        <f>IF(Tab.o1[[#This Row],[a1]]=1,1/Tab.o1[[#This Row],[PDF]],"")</f>
        <v/>
      </c>
      <c r="AJ69" s="131" t="str">
        <f>IF(Tab.o1[[#This Row],[a1]]=1,[1]!T_AA[[#This Row],[IN'']]*[1]!T_AA[[#This Row],[Qde'']],"")</f>
        <v/>
      </c>
      <c r="AK69" s="132" t="str">
        <f>IF(Tab.o1[[#This Row],[a1]]=1,IF(AK$1=1,Tab.o1[[#This Row],[MED]]+Tab.o1[[#This Row],[MOD]]-Tab.o1[[#This Row],[MED]],""),"")</f>
        <v/>
      </c>
      <c r="AL69" s="133" t="str">
        <f>IF(Tab.o1[[#This Row],[a1]]=1,[1]!T.in.A[[#This Row],[oo16]],"")</f>
        <v/>
      </c>
      <c r="AM69" s="133" t="str">
        <f>IF(Tab.o1[[#This Row],[a1]]=1,IF(AM$3=1,[1]!T.in.A[[#This Row],[Σo16]],""),"")</f>
        <v/>
      </c>
      <c r="AN69" s="126" t="str">
        <f>IF(Tab.o1[[#This Row],[a1]]=1,[1]!T.in.A[[#This Row],[Σp5]],"")</f>
        <v/>
      </c>
      <c r="AO69" s="126" t="str">
        <f>IF(Tab.o1[[#This Row],[a1]]=1,IF(AO$3=1,[1]!T.in.A[[#This Row],[Σp5]],""),"")</f>
        <v/>
      </c>
      <c r="AP69" s="110" t="str">
        <f>IF(Tab.o1[[#This Row],[a1]]=1,IF(ISNUMBER(Tab.o1[[#This Row],[i.]]),NORMDIST(Tab.o1[[#This Row],[Za]],0,1,FALSE)*Tab.o1[[#This Row],[i.]],0),"")</f>
        <v/>
      </c>
      <c r="AQ69" s="125" t="str">
        <f>IF(Tab.o1[[#This Row],[a1]]=1,ABS(Tab.o1[[#This Row],[MOD]]-AVERAGE(Tab.o1[MOD])),"")</f>
        <v/>
      </c>
      <c r="AR69" s="134" t="str">
        <f>IF(Tab.o1[[#This Row],[a1]]=1,Tab.o1[[#This Row],[OBS]]/SUM(Tab.o1[OBS]),"")</f>
        <v/>
      </c>
      <c r="AS69" s="135" t="str">
        <f>IF(ISNUMBER(Tab.o1[[#This Row],[a1]]),ROW()-4,"")</f>
        <v/>
      </c>
      <c r="AT69" s="136" t="str">
        <f>Tab.o1[[#This Row],[MOD]]</f>
        <v/>
      </c>
      <c r="AU69" s="137" t="str">
        <f t="shared" si="1"/>
        <v/>
      </c>
      <c r="AV69" s="138" t="str">
        <f t="shared" si="2"/>
        <v/>
      </c>
      <c r="AW69" s="138" t="str">
        <f t="shared" si="3"/>
        <v/>
      </c>
      <c r="AX69" s="139">
        <f>[1]!T.in.A[[#This Row],[ID_T_manu]]</f>
        <v>16</v>
      </c>
      <c r="AY69" s="140" t="str">
        <f>IF(ISNUMBER(Tab.o1[[#This Row],[a1]]),IF(AND(Tab.o1[[#This Row],[a1]]=1,Tab.o1[[#This Row],[b1]]&lt;=AY$4),#REF!,AY68),"")</f>
        <v/>
      </c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</row>
    <row r="70" spans="1:79" ht="15.75" hidden="1">
      <c r="A70" s="109">
        <v>-4.0000000000000007E-6</v>
      </c>
      <c r="B70" s="110">
        <f t="shared" ref="B70:B133" si="4">B69+1</f>
        <v>70</v>
      </c>
      <c r="C70" s="111" t="str">
        <f>IF(C$1=[1]!T.in.A[[#This Row],[oo2]],1,"")</f>
        <v/>
      </c>
      <c r="D70" s="112" t="str">
        <f>IF(Tab.o1[[#This Row],[a1]]=1,IF(SUM(C70:C71)=0,0,IF(SUM(C69:C70)=1,1,IF(SUM(C69:C71)&gt;1,D69+1,0))),"")</f>
        <v/>
      </c>
      <c r="E70" s="113" t="str">
        <f>IF(Tab.o1[[#This Row],[a1]]=1,[1]!T.in.A[[#This Row],[oo1]],"")</f>
        <v/>
      </c>
      <c r="F70" s="113" t="str">
        <f>IF(Tab.o1[[#This Row],[a1]]=1,[1]!T.in.A[[#This Row],[pp1]],"")</f>
        <v/>
      </c>
      <c r="G70" s="114" t="str">
        <f>IF(Tab.o1[[#This Row],[a1]]=1,G$2+IF(G$1=1,0,Tab.o1[[#This Row],[.x1]])+[1]!T.in.A[[#This Row],[oo3]],"")</f>
        <v/>
      </c>
      <c r="H70" s="115" t="str">
        <f>IF(Tab.o1[[#This Row],[a1]]=1,IF(H$2=0,0,IF(G$1=1,0,Tab.o1[[#This Row],[.x1]])+[1]!T.in.A[[#This Row],[oo4]]),"")</f>
        <v/>
      </c>
      <c r="I70" s="116" t="str">
        <f>IF(Tab.o1[[#This Row],[a1]]=1,IF(J$2=0,Tab.o1[[#This Row],[MED]],Tab.o1[[#This Row],[MOD]]),"")</f>
        <v/>
      </c>
      <c r="J70" s="116" t="str">
        <f>IF(Tab.o1[[#This Row],[a1]]=1,((Tab.o1[[#This Row],[DIF_Target.]]-AVERAGE(Tab.o1[DIF_Target.]))/_xlfn.STDEV.P(Tab.o1[DIF_Target.])),"")</f>
        <v/>
      </c>
      <c r="K70" s="117" t="str">
        <f>IF(Tab.o1[[#This Row],[a1]]=1,IF(J$2=0,Tab.o1[[#This Row],[MOD]]-Tab.o1[[#This Row],[B]],IF(J$2=1,0,-Tab.o1[[#This Row],[MED]])+Tab.o1[[#This Row],[B]]),"")</f>
        <v/>
      </c>
      <c r="L70" s="117" t="str">
        <f ca="1">IF(Tab.o1[[#This Row],[DIF_Target]]=0,IF(L$2=0,Tab.o1[[#This Row],[DIF_Target]],AVERAGE(OFFSET(Tab.o1[[#This Row],[DIF_Target]],1,0,L$3,1)))/3,Tab.o1[[#This Row],[DIF_Target]])</f>
        <v/>
      </c>
      <c r="M70" s="118" t="str">
        <f>IF(Tab.o1[[#This Row],[a1]]=1,NORMSDIST(Tab.o1[[#This Row],[Za]]),"")</f>
        <v/>
      </c>
      <c r="N70" s="119" t="str">
        <f>IF(Tab.o1[[#This Row],[a1]]=1,((Tab.o1[[#This Row],[MedMod]]-AVERAGE(Tab.o1[MedMod]))/_xlfn.STDEV.P(Tab.o1[MedMod])*H$1205)+G$1205,"")</f>
        <v/>
      </c>
      <c r="O70" s="141" t="str">
        <f>IF(Tab.o1[[#This Row],[a1]]=1,Tab.o1[[#This Row],[Zb]]*_xlfn.STDEV.P(Tab.o1[MedMod])+AVERAGE(Tab.o1[MedMod]),"")</f>
        <v/>
      </c>
      <c r="P70" s="117" t="str">
        <f ca="1">IF(Tab.o1[[#This Row],[B]]=0,AVERAGE(OFFSET(Tab.o1[[#This Row],[B]],1,0,L$3,1)),Tab.o1[[#This Row],[B]])</f>
        <v/>
      </c>
      <c r="Q70" s="121" t="str">
        <f>IF(Tab.o1[[#This Row],[a1]]=1,NORMSDIST(Tab.o1[[#This Row],[Zb]]),"")</f>
        <v/>
      </c>
      <c r="R70" s="122" t="str">
        <f>IF(Tab.o1[[#This Row],[a1]]=1,((Tab.o1[[#This Row],[MedMod]]-AVERAGE(Tab.o1[MedMod]))/_xlfn.STDEV.P(Tab.o1[MedMod])*H$1203)+G$1203,"")</f>
        <v/>
      </c>
      <c r="S70" s="122" t="str">
        <f>IF(Tab.o1[[#This Row],[a1]]=1,((Tab.o1[[#This Row],[MedMod]]-AVERAGE(Tab.o1[MedMod]))/_xlfn.STDEV.P(Tab.o1[MedMod])*H$1204)+G$1204,"")</f>
        <v/>
      </c>
      <c r="T70" s="123" t="str">
        <f>IF(Tab.o1[[#This Row],[a1]]=1,Tab.o1[[#This Row],[Z-]]*_xlfn.STDEV.P(Tab.o1[B])+AVERAGE(Tab.o1[B]),"")</f>
        <v/>
      </c>
      <c r="U70" s="123" t="str">
        <f>IF(Tab.o1[[#This Row],[a1]]=1,Tab.o1[[#This Row],[z+]]*_xlfn.STDEV.P(Tab.o1[B])+AVERAGE(Tab.o1[B]),"")</f>
        <v/>
      </c>
      <c r="V70" s="124" t="str">
        <f>IF(Tab.o1[[#This Row],[a1]]=1,ABS((ABS(Tab.o1[[#This Row],[Red]]-Tab.o1[[#This Row],[Blue]]))),"")</f>
        <v/>
      </c>
      <c r="W70" s="125" t="str">
        <f>IF(Tab.o1[[#This Row],[a1]]=1,IF(W$3=0,1,Tab.o1[[#This Row],[Amp.]]*1/_xlfn.MINIFS(Tab.o1[Amp.],Tab.o1[Amp.],"&lt;&gt;0")),"")</f>
        <v/>
      </c>
      <c r="X70" s="126" t="str">
        <f>IF(Tab.o1[[#This Row],[a1]]=1,IF(ISNUMBER(Tab.o1[[#This Row],[i.]]),NORMDIST(Tab.o1[[#This Row],[Za]],0,1,FALSE)*Tab.o1[[#This Row],[i.]],AP$3),"")</f>
        <v/>
      </c>
      <c r="Y70" s="126" t="str">
        <f>IF(Tab.o1[[#This Row],[a1]]=1,0.01+0.94*Tab.o1[[#This Row],[PDF]]/MAX(Tab.o1[PDF]),"")</f>
        <v/>
      </c>
      <c r="Z70" s="126" t="str">
        <f>IF(Tab.o1[[#This Row],[a1]]=1,0.01+0.94*Tab.o1[[#This Row],[W1_PDF]]/MAX(Tab.o1[W1_PDF]),"")</f>
        <v/>
      </c>
      <c r="AA70" s="118" t="str">
        <f>IF(Tab.o1[[#This Row],[a1]]=1,ABS([1]!T.in.A[[#This Row],[oo6]]),"")</f>
        <v/>
      </c>
      <c r="AB70" s="127" t="str">
        <f>IF(Tab.o1[[#This Row],[a1]]=1,IF(AE$3=0,"",IF(AB$3=0,ABS([1]!T.in.A[[#This Row],[oo9]]),ABS(Tab.o1[[#This Row],[DIF_Target.]]*Tab.o1[[#This Row],[W1_PDF]]))),"")</f>
        <v/>
      </c>
      <c r="AC70" s="127" t="str">
        <f>IF(G$1=1,"",IF(Tab.o1[[#This Row],[a1]]=1,Tab.o1[[#This Row],[Wr]]^2,""))</f>
        <v/>
      </c>
      <c r="AD70" s="118" t="str">
        <f>IF(Tab.o1[[#This Row],[a1]]=1,IF(AE$3=0,"",Tab.o1[[#This Row],[Wr2]]/SUM(Tab.o1[Wr2])),"")</f>
        <v/>
      </c>
      <c r="AE70" s="128" t="str">
        <f>IF(Tab.o1[[#This Row],[a1]]=1,[1]!T.in.A[[#This Row],[oo10]],"")</f>
        <v/>
      </c>
      <c r="AF70" s="118" t="str">
        <f>IF(Tab.o1[[#This Row],[a1]]=1,ABS(Tab.o1[[#This Row],[DIF_Target.]]*Tab.o1[[#This Row],[PDF2]]*Tab.o1[[#This Row],[IN]]),"")</f>
        <v/>
      </c>
      <c r="AG70" s="129" t="str">
        <f>IF(Tab.o1[[#This Row],[a1]]=1,Tab.o1[[#This Row],[rW]]^2,"")</f>
        <v/>
      </c>
      <c r="AH70" s="130" t="str">
        <f>IF(Tab.o1[[#This Row],[a1]]=1,IF(AH$3=0,Tab.o1[[#This Row],[rW2]],0.01+0.94*Tab.o1[[#This Row],[rW2]]/SUM(Tab.o1[rW2])),"")</f>
        <v/>
      </c>
      <c r="AI70" s="128" t="str">
        <f>IF(Tab.o1[[#This Row],[a1]]=1,1/Tab.o1[[#This Row],[PDF]],"")</f>
        <v/>
      </c>
      <c r="AJ70" s="131" t="str">
        <f>IF(Tab.o1[[#This Row],[a1]]=1,[1]!T_AA[[#This Row],[IN'']]*[1]!T_AA[[#This Row],[Qde'']],"")</f>
        <v/>
      </c>
      <c r="AK70" s="132" t="str">
        <f>IF(Tab.o1[[#This Row],[a1]]=1,IF(AK$1=1,Tab.o1[[#This Row],[MED]]+Tab.o1[[#This Row],[MOD]]-Tab.o1[[#This Row],[MED]],""),"")</f>
        <v/>
      </c>
      <c r="AL70" s="133" t="str">
        <f>IF(Tab.o1[[#This Row],[a1]]=1,[1]!T.in.A[[#This Row],[oo16]],"")</f>
        <v/>
      </c>
      <c r="AM70" s="133" t="str">
        <f>IF(Tab.o1[[#This Row],[a1]]=1,IF(AM$3=1,[1]!T.in.A[[#This Row],[Σo16]],""),"")</f>
        <v/>
      </c>
      <c r="AN70" s="126" t="str">
        <f>IF(Tab.o1[[#This Row],[a1]]=1,[1]!T.in.A[[#This Row],[Σp5]],"")</f>
        <v/>
      </c>
      <c r="AO70" s="126" t="str">
        <f>IF(Tab.o1[[#This Row],[a1]]=1,IF(AO$3=1,[1]!T.in.A[[#This Row],[Σp5]],""),"")</f>
        <v/>
      </c>
      <c r="AP70" s="110" t="str">
        <f>IF(Tab.o1[[#This Row],[a1]]=1,IF(ISNUMBER(Tab.o1[[#This Row],[i.]]),NORMDIST(Tab.o1[[#This Row],[Za]],0,1,FALSE)*Tab.o1[[#This Row],[i.]],0),"")</f>
        <v/>
      </c>
      <c r="AQ70" s="125" t="str">
        <f>IF(Tab.o1[[#This Row],[a1]]=1,ABS(Tab.o1[[#This Row],[MOD]]-AVERAGE(Tab.o1[MOD])),"")</f>
        <v/>
      </c>
      <c r="AR70" s="134" t="str">
        <f>IF(Tab.o1[[#This Row],[a1]]=1,Tab.o1[[#This Row],[OBS]]/SUM(Tab.o1[OBS]),"")</f>
        <v/>
      </c>
      <c r="AS70" s="135" t="str">
        <f>IF(ISNUMBER(Tab.o1[[#This Row],[a1]]),ROW()-4,"")</f>
        <v/>
      </c>
      <c r="AT70" s="136" t="str">
        <f>Tab.o1[[#This Row],[MOD]]</f>
        <v/>
      </c>
      <c r="AU70" s="137" t="str">
        <f t="shared" ref="AU70:AU133" si="5">AT70</f>
        <v/>
      </c>
      <c r="AV70" s="138" t="str">
        <f t="shared" ref="AV70:AV133" si="6">IF(AND(ISNUMBER(AT70),ISNUMBER(AU70)),H70-AU70,"")</f>
        <v/>
      </c>
      <c r="AW70" s="138" t="str">
        <f t="shared" ref="AW70:AW133" si="7">IF(AW$4=0,"",IF(AV70&lt;AV$2,AV70," "))</f>
        <v/>
      </c>
      <c r="AX70" s="139" t="str">
        <f>[1]!T.in.A[[#This Row],[ID_T_manu]]</f>
        <v/>
      </c>
      <c r="AY70" s="140" t="str">
        <f>IF(ISNUMBER(Tab.o1[[#This Row],[a1]]),IF(AND(Tab.o1[[#This Row],[a1]]=1,Tab.o1[[#This Row],[b1]]&lt;=AY$4),#REF!,AY69),"")</f>
        <v/>
      </c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</row>
    <row r="71" spans="1:79" ht="15.75" hidden="1">
      <c r="A71" s="109">
        <v>-5.0000000000000004E-6</v>
      </c>
      <c r="B71" s="110">
        <f t="shared" si="4"/>
        <v>71</v>
      </c>
      <c r="C71" s="111" t="str">
        <f>IF(C$1=[1]!T.in.A[[#This Row],[oo2]],1,"")</f>
        <v/>
      </c>
      <c r="D71" s="112" t="str">
        <f>IF(Tab.o1[[#This Row],[a1]]=1,IF(SUM(C71:C72)=0,0,IF(SUM(C70:C71)=1,1,IF(SUM(C70:C72)&gt;1,D70+1,0))),"")</f>
        <v/>
      </c>
      <c r="E71" s="113" t="str">
        <f>IF(Tab.o1[[#This Row],[a1]]=1,[1]!T.in.A[[#This Row],[oo1]],"")</f>
        <v/>
      </c>
      <c r="F71" s="113" t="str">
        <f>IF(Tab.o1[[#This Row],[a1]]=1,[1]!T.in.A[[#This Row],[pp1]],"")</f>
        <v/>
      </c>
      <c r="G71" s="114" t="str">
        <f>IF(Tab.o1[[#This Row],[a1]]=1,G$2+IF(G$1=1,0,Tab.o1[[#This Row],[.x1]])+[1]!T.in.A[[#This Row],[oo3]],"")</f>
        <v/>
      </c>
      <c r="H71" s="115" t="str">
        <f>IF(Tab.o1[[#This Row],[a1]]=1,IF(H$2=0,0,IF(G$1=1,0,Tab.o1[[#This Row],[.x1]])+[1]!T.in.A[[#This Row],[oo4]]),"")</f>
        <v/>
      </c>
      <c r="I71" s="116" t="str">
        <f>IF(Tab.o1[[#This Row],[a1]]=1,IF(J$2=0,Tab.o1[[#This Row],[MED]],Tab.o1[[#This Row],[MOD]]),"")</f>
        <v/>
      </c>
      <c r="J71" s="116" t="str">
        <f>IF(Tab.o1[[#This Row],[a1]]=1,((Tab.o1[[#This Row],[DIF_Target.]]-AVERAGE(Tab.o1[DIF_Target.]))/_xlfn.STDEV.P(Tab.o1[DIF_Target.])),"")</f>
        <v/>
      </c>
      <c r="K71" s="117" t="str">
        <f>IF(Tab.o1[[#This Row],[a1]]=1,IF(J$2=0,Tab.o1[[#This Row],[MOD]]-Tab.o1[[#This Row],[B]],IF(J$2=1,0,-Tab.o1[[#This Row],[MED]])+Tab.o1[[#This Row],[B]]),"")</f>
        <v/>
      </c>
      <c r="L71" s="117" t="str">
        <f ca="1">IF(Tab.o1[[#This Row],[DIF_Target]]=0,IF(L$2=0,Tab.o1[[#This Row],[DIF_Target]],AVERAGE(OFFSET(Tab.o1[[#This Row],[DIF_Target]],1,0,L$3,1)))/3,Tab.o1[[#This Row],[DIF_Target]])</f>
        <v/>
      </c>
      <c r="M71" s="118" t="str">
        <f>IF(Tab.o1[[#This Row],[a1]]=1,NORMSDIST(Tab.o1[[#This Row],[Za]]),"")</f>
        <v/>
      </c>
      <c r="N71" s="119" t="str">
        <f>IF(Tab.o1[[#This Row],[a1]]=1,((Tab.o1[[#This Row],[MedMod]]-AVERAGE(Tab.o1[MedMod]))/_xlfn.STDEV.P(Tab.o1[MedMod])*H$1205)+G$1205,"")</f>
        <v/>
      </c>
      <c r="O71" s="141" t="str">
        <f>IF(Tab.o1[[#This Row],[a1]]=1,Tab.o1[[#This Row],[Zb]]*_xlfn.STDEV.P(Tab.o1[MedMod])+AVERAGE(Tab.o1[MedMod]),"")</f>
        <v/>
      </c>
      <c r="P71" s="117" t="str">
        <f ca="1">IF(Tab.o1[[#This Row],[B]]=0,AVERAGE(OFFSET(Tab.o1[[#This Row],[B]],1,0,L$3,1)),Tab.o1[[#This Row],[B]])</f>
        <v/>
      </c>
      <c r="Q71" s="121" t="str">
        <f>IF(Tab.o1[[#This Row],[a1]]=1,NORMSDIST(Tab.o1[[#This Row],[Zb]]),"")</f>
        <v/>
      </c>
      <c r="R71" s="122" t="str">
        <f>IF(Tab.o1[[#This Row],[a1]]=1,((Tab.o1[[#This Row],[MedMod]]-AVERAGE(Tab.o1[MedMod]))/_xlfn.STDEV.P(Tab.o1[MedMod])*H$1203)+G$1203,"")</f>
        <v/>
      </c>
      <c r="S71" s="122" t="str">
        <f>IF(Tab.o1[[#This Row],[a1]]=1,((Tab.o1[[#This Row],[MedMod]]-AVERAGE(Tab.o1[MedMod]))/_xlfn.STDEV.P(Tab.o1[MedMod])*H$1204)+G$1204,"")</f>
        <v/>
      </c>
      <c r="T71" s="123" t="str">
        <f>IF(Tab.o1[[#This Row],[a1]]=1,Tab.o1[[#This Row],[Z-]]*_xlfn.STDEV.P(Tab.o1[B])+AVERAGE(Tab.o1[B]),"")</f>
        <v/>
      </c>
      <c r="U71" s="123" t="str">
        <f>IF(Tab.o1[[#This Row],[a1]]=1,Tab.o1[[#This Row],[z+]]*_xlfn.STDEV.P(Tab.o1[B])+AVERAGE(Tab.o1[B]),"")</f>
        <v/>
      </c>
      <c r="V71" s="124" t="str">
        <f>IF(Tab.o1[[#This Row],[a1]]=1,ABS((ABS(Tab.o1[[#This Row],[Red]]-Tab.o1[[#This Row],[Blue]]))),"")</f>
        <v/>
      </c>
      <c r="W71" s="125" t="str">
        <f>IF(Tab.o1[[#This Row],[a1]]=1,IF(W$3=0,1,Tab.o1[[#This Row],[Amp.]]*1/_xlfn.MINIFS(Tab.o1[Amp.],Tab.o1[Amp.],"&lt;&gt;0")),"")</f>
        <v/>
      </c>
      <c r="X71" s="126" t="str">
        <f>IF(Tab.o1[[#This Row],[a1]]=1,IF(ISNUMBER(Tab.o1[[#This Row],[i.]]),NORMDIST(Tab.o1[[#This Row],[Za]],0,1,FALSE)*Tab.o1[[#This Row],[i.]],AP$3),"")</f>
        <v/>
      </c>
      <c r="Y71" s="126" t="str">
        <f>IF(Tab.o1[[#This Row],[a1]]=1,0.01+0.94*Tab.o1[[#This Row],[PDF]]/MAX(Tab.o1[PDF]),"")</f>
        <v/>
      </c>
      <c r="Z71" s="126" t="str">
        <f>IF(Tab.o1[[#This Row],[a1]]=1,0.01+0.94*Tab.o1[[#This Row],[W1_PDF]]/MAX(Tab.o1[W1_PDF]),"")</f>
        <v/>
      </c>
      <c r="AA71" s="118" t="str">
        <f>IF(Tab.o1[[#This Row],[a1]]=1,ABS([1]!T.in.A[[#This Row],[oo6]]),"")</f>
        <v/>
      </c>
      <c r="AB71" s="127" t="str">
        <f>IF(Tab.o1[[#This Row],[a1]]=1,IF(AE$3=0,"",IF(AB$3=0,ABS([1]!T.in.A[[#This Row],[oo9]]),ABS(Tab.o1[[#This Row],[DIF_Target.]]*Tab.o1[[#This Row],[W1_PDF]]))),"")</f>
        <v/>
      </c>
      <c r="AC71" s="127" t="str">
        <f>IF(G$1=1,"",IF(Tab.o1[[#This Row],[a1]]=1,Tab.o1[[#This Row],[Wr]]^2,""))</f>
        <v/>
      </c>
      <c r="AD71" s="118" t="str">
        <f>IF(Tab.o1[[#This Row],[a1]]=1,IF(AE$3=0,"",Tab.o1[[#This Row],[Wr2]]/SUM(Tab.o1[Wr2])),"")</f>
        <v/>
      </c>
      <c r="AE71" s="128" t="str">
        <f>IF(Tab.o1[[#This Row],[a1]]=1,[1]!T.in.A[[#This Row],[oo10]],"")</f>
        <v/>
      </c>
      <c r="AF71" s="118" t="str">
        <f>IF(Tab.o1[[#This Row],[a1]]=1,ABS(Tab.o1[[#This Row],[DIF_Target.]]*Tab.o1[[#This Row],[PDF2]]*Tab.o1[[#This Row],[IN]]),"")</f>
        <v/>
      </c>
      <c r="AG71" s="129" t="str">
        <f>IF(Tab.o1[[#This Row],[a1]]=1,Tab.o1[[#This Row],[rW]]^2,"")</f>
        <v/>
      </c>
      <c r="AH71" s="130" t="str">
        <f>IF(Tab.o1[[#This Row],[a1]]=1,IF(AH$3=0,Tab.o1[[#This Row],[rW2]],0.01+0.94*Tab.o1[[#This Row],[rW2]]/SUM(Tab.o1[rW2])),"")</f>
        <v/>
      </c>
      <c r="AI71" s="128" t="str">
        <f>IF(Tab.o1[[#This Row],[a1]]=1,1/Tab.o1[[#This Row],[PDF]],"")</f>
        <v/>
      </c>
      <c r="AJ71" s="131" t="str">
        <f>IF(Tab.o1[[#This Row],[a1]]=1,[1]!T_AA[[#This Row],[IN'']]*[1]!T_AA[[#This Row],[Qde'']],"")</f>
        <v/>
      </c>
      <c r="AK71" s="132" t="str">
        <f>IF(Tab.o1[[#This Row],[a1]]=1,IF(AK$1=1,Tab.o1[[#This Row],[MED]]+Tab.o1[[#This Row],[MOD]]-Tab.o1[[#This Row],[MED]],""),"")</f>
        <v/>
      </c>
      <c r="AL71" s="133" t="str">
        <f>IF(Tab.o1[[#This Row],[a1]]=1,[1]!T.in.A[[#This Row],[oo16]],"")</f>
        <v/>
      </c>
      <c r="AM71" s="133" t="str">
        <f>IF(Tab.o1[[#This Row],[a1]]=1,IF(AM$3=1,[1]!T.in.A[[#This Row],[Σo16]],""),"")</f>
        <v/>
      </c>
      <c r="AN71" s="126" t="str">
        <f>IF(Tab.o1[[#This Row],[a1]]=1,[1]!T.in.A[[#This Row],[Σp5]],"")</f>
        <v/>
      </c>
      <c r="AO71" s="126" t="str">
        <f>IF(Tab.o1[[#This Row],[a1]]=1,IF(AO$3=1,[1]!T.in.A[[#This Row],[Σp5]],""),"")</f>
        <v/>
      </c>
      <c r="AP71" s="110" t="str">
        <f>IF(Tab.o1[[#This Row],[a1]]=1,IF(ISNUMBER(Tab.o1[[#This Row],[i.]]),NORMDIST(Tab.o1[[#This Row],[Za]],0,1,FALSE)*Tab.o1[[#This Row],[i.]],0),"")</f>
        <v/>
      </c>
      <c r="AQ71" s="125" t="str">
        <f>IF(Tab.o1[[#This Row],[a1]]=1,ABS(Tab.o1[[#This Row],[MOD]]-AVERAGE(Tab.o1[MOD])),"")</f>
        <v/>
      </c>
      <c r="AR71" s="134" t="str">
        <f>IF(Tab.o1[[#This Row],[a1]]=1,Tab.o1[[#This Row],[OBS]]/SUM(Tab.o1[OBS]),"")</f>
        <v/>
      </c>
      <c r="AS71" s="135" t="str">
        <f>IF(ISNUMBER(Tab.o1[[#This Row],[a1]]),ROW()-4,"")</f>
        <v/>
      </c>
      <c r="AT71" s="136" t="str">
        <f>Tab.o1[[#This Row],[MOD]]</f>
        <v/>
      </c>
      <c r="AU71" s="137" t="str">
        <f t="shared" si="5"/>
        <v/>
      </c>
      <c r="AV71" s="138" t="str">
        <f t="shared" si="6"/>
        <v/>
      </c>
      <c r="AW71" s="138" t="str">
        <f t="shared" si="7"/>
        <v/>
      </c>
      <c r="AX71" s="139" t="str">
        <f>[1]!T.in.A[[#This Row],[ID_T_manu]]</f>
        <v/>
      </c>
      <c r="AY71" s="140" t="str">
        <f>IF(ISNUMBER(Tab.o1[[#This Row],[a1]]),IF(AND(Tab.o1[[#This Row],[a1]]=1,Tab.o1[[#This Row],[b1]]&lt;=AY$4),#REF!,AY70),"")</f>
        <v/>
      </c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</row>
    <row r="72" spans="1:79" ht="15.75" hidden="1">
      <c r="A72" s="109">
        <v>1.0000000000000002E-6</v>
      </c>
      <c r="B72" s="110">
        <f t="shared" si="4"/>
        <v>72</v>
      </c>
      <c r="C72" s="111" t="str">
        <f>IF(C$1=[1]!T.in.A[[#This Row],[oo2]],1,"")</f>
        <v/>
      </c>
      <c r="D72" s="112" t="str">
        <f>IF(Tab.o1[[#This Row],[a1]]=1,IF(SUM(C72:C73)=0,0,IF(SUM(C71:C72)=1,1,IF(SUM(C71:C73)&gt;1,D71+1,0))),"")</f>
        <v/>
      </c>
      <c r="E72" s="113" t="str">
        <f>IF(Tab.o1[[#This Row],[a1]]=1,[1]!T.in.A[[#This Row],[oo1]],"")</f>
        <v/>
      </c>
      <c r="F72" s="113" t="str">
        <f>IF(Tab.o1[[#This Row],[a1]]=1,[1]!T.in.A[[#This Row],[pp1]],"")</f>
        <v/>
      </c>
      <c r="G72" s="114" t="str">
        <f>IF(Tab.o1[[#This Row],[a1]]=1,G$2+IF(G$1=1,0,Tab.o1[[#This Row],[.x1]])+[1]!T.in.A[[#This Row],[oo3]],"")</f>
        <v/>
      </c>
      <c r="H72" s="115" t="str">
        <f>IF(Tab.o1[[#This Row],[a1]]=1,IF(H$2=0,0,IF(G$1=1,0,Tab.o1[[#This Row],[.x1]])+[1]!T.in.A[[#This Row],[oo4]]),"")</f>
        <v/>
      </c>
      <c r="I72" s="116" t="str">
        <f>IF(Tab.o1[[#This Row],[a1]]=1,IF(J$2=0,Tab.o1[[#This Row],[MED]],Tab.o1[[#This Row],[MOD]]),"")</f>
        <v/>
      </c>
      <c r="J72" s="116" t="str">
        <f>IF(Tab.o1[[#This Row],[a1]]=1,((Tab.o1[[#This Row],[DIF_Target.]]-AVERAGE(Tab.o1[DIF_Target.]))/_xlfn.STDEV.P(Tab.o1[DIF_Target.])),"")</f>
        <v/>
      </c>
      <c r="K72" s="117" t="str">
        <f>IF(Tab.o1[[#This Row],[a1]]=1,IF(J$2=0,Tab.o1[[#This Row],[MOD]]-Tab.o1[[#This Row],[B]],IF(J$2=1,0,-Tab.o1[[#This Row],[MED]])+Tab.o1[[#This Row],[B]]),"")</f>
        <v/>
      </c>
      <c r="L72" s="117" t="str">
        <f ca="1">IF(Tab.o1[[#This Row],[DIF_Target]]=0,IF(L$2=0,Tab.o1[[#This Row],[DIF_Target]],AVERAGE(OFFSET(Tab.o1[[#This Row],[DIF_Target]],1,0,L$3,1)))/3,Tab.o1[[#This Row],[DIF_Target]])</f>
        <v/>
      </c>
      <c r="M72" s="118" t="str">
        <f>IF(Tab.o1[[#This Row],[a1]]=1,NORMSDIST(Tab.o1[[#This Row],[Za]]),"")</f>
        <v/>
      </c>
      <c r="N72" s="119" t="str">
        <f>IF(Tab.o1[[#This Row],[a1]]=1,((Tab.o1[[#This Row],[MedMod]]-AVERAGE(Tab.o1[MedMod]))/_xlfn.STDEV.P(Tab.o1[MedMod])*H$1205)+G$1205,"")</f>
        <v/>
      </c>
      <c r="O72" s="141" t="str">
        <f>IF(Tab.o1[[#This Row],[a1]]=1,Tab.o1[[#This Row],[Zb]]*_xlfn.STDEV.P(Tab.o1[MedMod])+AVERAGE(Tab.o1[MedMod]),"")</f>
        <v/>
      </c>
      <c r="P72" s="117" t="str">
        <f ca="1">IF(Tab.o1[[#This Row],[B]]=0,AVERAGE(OFFSET(Tab.o1[[#This Row],[B]],1,0,L$3,1)),Tab.o1[[#This Row],[B]])</f>
        <v/>
      </c>
      <c r="Q72" s="121" t="str">
        <f>IF(Tab.o1[[#This Row],[a1]]=1,NORMSDIST(Tab.o1[[#This Row],[Zb]]),"")</f>
        <v/>
      </c>
      <c r="R72" s="122" t="str">
        <f>IF(Tab.o1[[#This Row],[a1]]=1,((Tab.o1[[#This Row],[MedMod]]-AVERAGE(Tab.o1[MedMod]))/_xlfn.STDEV.P(Tab.o1[MedMod])*H$1203)+G$1203,"")</f>
        <v/>
      </c>
      <c r="S72" s="122" t="str">
        <f>IF(Tab.o1[[#This Row],[a1]]=1,((Tab.o1[[#This Row],[MedMod]]-AVERAGE(Tab.o1[MedMod]))/_xlfn.STDEV.P(Tab.o1[MedMod])*H$1204)+G$1204,"")</f>
        <v/>
      </c>
      <c r="T72" s="123" t="str">
        <f>IF(Tab.o1[[#This Row],[a1]]=1,Tab.o1[[#This Row],[Z-]]*_xlfn.STDEV.P(Tab.o1[B])+AVERAGE(Tab.o1[B]),"")</f>
        <v/>
      </c>
      <c r="U72" s="123" t="str">
        <f>IF(Tab.o1[[#This Row],[a1]]=1,Tab.o1[[#This Row],[z+]]*_xlfn.STDEV.P(Tab.o1[B])+AVERAGE(Tab.o1[B]),"")</f>
        <v/>
      </c>
      <c r="V72" s="124" t="str">
        <f>IF(Tab.o1[[#This Row],[a1]]=1,ABS((ABS(Tab.o1[[#This Row],[Red]]-Tab.o1[[#This Row],[Blue]]))),"")</f>
        <v/>
      </c>
      <c r="W72" s="125" t="str">
        <f>IF(Tab.o1[[#This Row],[a1]]=1,IF(W$3=0,1,Tab.o1[[#This Row],[Amp.]]*1/_xlfn.MINIFS(Tab.o1[Amp.],Tab.o1[Amp.],"&lt;&gt;0")),"")</f>
        <v/>
      </c>
      <c r="X72" s="126" t="str">
        <f>IF(Tab.o1[[#This Row],[a1]]=1,IF(ISNUMBER(Tab.o1[[#This Row],[i.]]),NORMDIST(Tab.o1[[#This Row],[Za]],0,1,FALSE)*Tab.o1[[#This Row],[i.]],AP$3),"")</f>
        <v/>
      </c>
      <c r="Y72" s="126" t="str">
        <f>IF(Tab.o1[[#This Row],[a1]]=1,0.01+0.94*Tab.o1[[#This Row],[PDF]]/MAX(Tab.o1[PDF]),"")</f>
        <v/>
      </c>
      <c r="Z72" s="126" t="str">
        <f>IF(Tab.o1[[#This Row],[a1]]=1,0.01+0.94*Tab.o1[[#This Row],[W1_PDF]]/MAX(Tab.o1[W1_PDF]),"")</f>
        <v/>
      </c>
      <c r="AA72" s="118" t="str">
        <f>IF(Tab.o1[[#This Row],[a1]]=1,ABS([1]!T.in.A[[#This Row],[oo6]]),"")</f>
        <v/>
      </c>
      <c r="AB72" s="127" t="str">
        <f>IF(Tab.o1[[#This Row],[a1]]=1,IF(AE$3=0,"",IF(AB$3=0,ABS([1]!T.in.A[[#This Row],[oo9]]),ABS(Tab.o1[[#This Row],[DIF_Target.]]*Tab.o1[[#This Row],[W1_PDF]]))),"")</f>
        <v/>
      </c>
      <c r="AC72" s="127" t="str">
        <f>IF(G$1=1,"",IF(Tab.o1[[#This Row],[a1]]=1,Tab.o1[[#This Row],[Wr]]^2,""))</f>
        <v/>
      </c>
      <c r="AD72" s="118" t="str">
        <f>IF(Tab.o1[[#This Row],[a1]]=1,IF(AE$3=0,"",Tab.o1[[#This Row],[Wr2]]/SUM(Tab.o1[Wr2])),"")</f>
        <v/>
      </c>
      <c r="AE72" s="128" t="str">
        <f>IF(Tab.o1[[#This Row],[a1]]=1,[1]!T.in.A[[#This Row],[oo10]],"")</f>
        <v/>
      </c>
      <c r="AF72" s="118" t="str">
        <f>IF(Tab.o1[[#This Row],[a1]]=1,ABS(Tab.o1[[#This Row],[DIF_Target.]]*Tab.o1[[#This Row],[PDF2]]*Tab.o1[[#This Row],[IN]]),"")</f>
        <v/>
      </c>
      <c r="AG72" s="129" t="str">
        <f>IF(Tab.o1[[#This Row],[a1]]=1,Tab.o1[[#This Row],[rW]]^2,"")</f>
        <v/>
      </c>
      <c r="AH72" s="130" t="str">
        <f>IF(Tab.o1[[#This Row],[a1]]=1,IF(AH$3=0,Tab.o1[[#This Row],[rW2]],0.01+0.94*Tab.o1[[#This Row],[rW2]]/SUM(Tab.o1[rW2])),"")</f>
        <v/>
      </c>
      <c r="AI72" s="128" t="str">
        <f>IF(Tab.o1[[#This Row],[a1]]=1,1/Tab.o1[[#This Row],[PDF]],"")</f>
        <v/>
      </c>
      <c r="AJ72" s="131" t="str">
        <f>IF(Tab.o1[[#This Row],[a1]]=1,[1]!T_AA[[#This Row],[IN'']]*[1]!T_AA[[#This Row],[Qde'']],"")</f>
        <v/>
      </c>
      <c r="AK72" s="132" t="str">
        <f>IF(Tab.o1[[#This Row],[a1]]=1,IF(AK$1=1,Tab.o1[[#This Row],[MED]]+Tab.o1[[#This Row],[MOD]]-Tab.o1[[#This Row],[MED]],""),"")</f>
        <v/>
      </c>
      <c r="AL72" s="133" t="str">
        <f>IF(Tab.o1[[#This Row],[a1]]=1,[1]!T.in.A[[#This Row],[oo16]],"")</f>
        <v/>
      </c>
      <c r="AM72" s="133" t="str">
        <f>IF(Tab.o1[[#This Row],[a1]]=1,IF(AM$3=1,[1]!T.in.A[[#This Row],[Σo16]],""),"")</f>
        <v/>
      </c>
      <c r="AN72" s="126" t="str">
        <f>IF(Tab.o1[[#This Row],[a1]]=1,[1]!T.in.A[[#This Row],[Σp5]],"")</f>
        <v/>
      </c>
      <c r="AO72" s="126" t="str">
        <f>IF(Tab.o1[[#This Row],[a1]]=1,IF(AO$3=1,[1]!T.in.A[[#This Row],[Σp5]],""),"")</f>
        <v/>
      </c>
      <c r="AP72" s="110" t="str">
        <f>IF(Tab.o1[[#This Row],[a1]]=1,IF(ISNUMBER(Tab.o1[[#This Row],[i.]]),NORMDIST(Tab.o1[[#This Row],[Za]],0,1,FALSE)*Tab.o1[[#This Row],[i.]],0),"")</f>
        <v/>
      </c>
      <c r="AQ72" s="125" t="str">
        <f>IF(Tab.o1[[#This Row],[a1]]=1,ABS(Tab.o1[[#This Row],[MOD]]-AVERAGE(Tab.o1[MOD])),"")</f>
        <v/>
      </c>
      <c r="AR72" s="134" t="str">
        <f>IF(Tab.o1[[#This Row],[a1]]=1,Tab.o1[[#This Row],[OBS]]/SUM(Tab.o1[OBS]),"")</f>
        <v/>
      </c>
      <c r="AS72" s="135" t="str">
        <f>IF(ISNUMBER(Tab.o1[[#This Row],[a1]]),ROW()-4,"")</f>
        <v/>
      </c>
      <c r="AT72" s="136" t="str">
        <f>Tab.o1[[#This Row],[MOD]]</f>
        <v/>
      </c>
      <c r="AU72" s="137" t="str">
        <f t="shared" si="5"/>
        <v/>
      </c>
      <c r="AV72" s="138" t="str">
        <f t="shared" si="6"/>
        <v/>
      </c>
      <c r="AW72" s="138" t="str">
        <f t="shared" si="7"/>
        <v/>
      </c>
      <c r="AX72" s="139">
        <f>[1]!T.in.A[[#This Row],[ID_T_manu]]</f>
        <v>17</v>
      </c>
      <c r="AY72" s="140" t="str">
        <f>IF(ISNUMBER(Tab.o1[[#This Row],[a1]]),IF(AND(Tab.o1[[#This Row],[a1]]=1,Tab.o1[[#This Row],[b1]]&lt;=AY$4),#REF!,AY71),"")</f>
        <v/>
      </c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</row>
    <row r="73" spans="1:79" ht="15.75" hidden="1">
      <c r="A73" s="109">
        <v>1.0000000000000002E-6</v>
      </c>
      <c r="B73" s="110">
        <f t="shared" si="4"/>
        <v>73</v>
      </c>
      <c r="C73" s="111" t="str">
        <f>IF(C$1=[1]!T.in.A[[#This Row],[oo2]],1,"")</f>
        <v/>
      </c>
      <c r="D73" s="112" t="str">
        <f>IF(Tab.o1[[#This Row],[a1]]=1,IF(SUM(C73:C74)=0,0,IF(SUM(C72:C73)=1,1,IF(SUM(C72:C74)&gt;1,D72+1,0))),"")</f>
        <v/>
      </c>
      <c r="E73" s="113" t="str">
        <f>IF(Tab.o1[[#This Row],[a1]]=1,[1]!T.in.A[[#This Row],[oo1]],"")</f>
        <v/>
      </c>
      <c r="F73" s="113" t="str">
        <f>IF(Tab.o1[[#This Row],[a1]]=1,[1]!T.in.A[[#This Row],[pp1]],"")</f>
        <v/>
      </c>
      <c r="G73" s="114" t="str">
        <f>IF(Tab.o1[[#This Row],[a1]]=1,G$2+IF(G$1=1,0,Tab.o1[[#This Row],[.x1]])+[1]!T.in.A[[#This Row],[oo3]],"")</f>
        <v/>
      </c>
      <c r="H73" s="115" t="str">
        <f>IF(Tab.o1[[#This Row],[a1]]=1,IF(H$2=0,0,IF(G$1=1,0,Tab.o1[[#This Row],[.x1]])+[1]!T.in.A[[#This Row],[oo4]]),"")</f>
        <v/>
      </c>
      <c r="I73" s="116" t="str">
        <f>IF(Tab.o1[[#This Row],[a1]]=1,IF(J$2=0,Tab.o1[[#This Row],[MED]],Tab.o1[[#This Row],[MOD]]),"")</f>
        <v/>
      </c>
      <c r="J73" s="116" t="str">
        <f>IF(Tab.o1[[#This Row],[a1]]=1,((Tab.o1[[#This Row],[DIF_Target.]]-AVERAGE(Tab.o1[DIF_Target.]))/_xlfn.STDEV.P(Tab.o1[DIF_Target.])),"")</f>
        <v/>
      </c>
      <c r="K73" s="117" t="str">
        <f>IF(Tab.o1[[#This Row],[a1]]=1,IF(J$2=0,Tab.o1[[#This Row],[MOD]]-Tab.o1[[#This Row],[B]],IF(J$2=1,0,-Tab.o1[[#This Row],[MED]])+Tab.o1[[#This Row],[B]]),"")</f>
        <v/>
      </c>
      <c r="L73" s="117" t="str">
        <f ca="1">IF(Tab.o1[[#This Row],[DIF_Target]]=0,IF(L$2=0,Tab.o1[[#This Row],[DIF_Target]],AVERAGE(OFFSET(Tab.o1[[#This Row],[DIF_Target]],1,0,L$3,1)))/3,Tab.o1[[#This Row],[DIF_Target]])</f>
        <v/>
      </c>
      <c r="M73" s="118" t="str">
        <f>IF(Tab.o1[[#This Row],[a1]]=1,NORMSDIST(Tab.o1[[#This Row],[Za]]),"")</f>
        <v/>
      </c>
      <c r="N73" s="119" t="str">
        <f>IF(Tab.o1[[#This Row],[a1]]=1,((Tab.o1[[#This Row],[MedMod]]-AVERAGE(Tab.o1[MedMod]))/_xlfn.STDEV.P(Tab.o1[MedMod])*H$1205)+G$1205,"")</f>
        <v/>
      </c>
      <c r="O73" s="141" t="str">
        <f>IF(Tab.o1[[#This Row],[a1]]=1,Tab.o1[[#This Row],[Zb]]*_xlfn.STDEV.P(Tab.o1[MedMod])+AVERAGE(Tab.o1[MedMod]),"")</f>
        <v/>
      </c>
      <c r="P73" s="117" t="str">
        <f ca="1">IF(Tab.o1[[#This Row],[B]]=0,AVERAGE(OFFSET(Tab.o1[[#This Row],[B]],1,0,L$3,1)),Tab.o1[[#This Row],[B]])</f>
        <v/>
      </c>
      <c r="Q73" s="121" t="str">
        <f>IF(Tab.o1[[#This Row],[a1]]=1,NORMSDIST(Tab.o1[[#This Row],[Zb]]),"")</f>
        <v/>
      </c>
      <c r="R73" s="122" t="str">
        <f>IF(Tab.o1[[#This Row],[a1]]=1,((Tab.o1[[#This Row],[MedMod]]-AVERAGE(Tab.o1[MedMod]))/_xlfn.STDEV.P(Tab.o1[MedMod])*H$1203)+G$1203,"")</f>
        <v/>
      </c>
      <c r="S73" s="122" t="str">
        <f>IF(Tab.o1[[#This Row],[a1]]=1,((Tab.o1[[#This Row],[MedMod]]-AVERAGE(Tab.o1[MedMod]))/_xlfn.STDEV.P(Tab.o1[MedMod])*H$1204)+G$1204,"")</f>
        <v/>
      </c>
      <c r="T73" s="123" t="str">
        <f>IF(Tab.o1[[#This Row],[a1]]=1,Tab.o1[[#This Row],[Z-]]*_xlfn.STDEV.P(Tab.o1[B])+AVERAGE(Tab.o1[B]),"")</f>
        <v/>
      </c>
      <c r="U73" s="123" t="str">
        <f>IF(Tab.o1[[#This Row],[a1]]=1,Tab.o1[[#This Row],[z+]]*_xlfn.STDEV.P(Tab.o1[B])+AVERAGE(Tab.o1[B]),"")</f>
        <v/>
      </c>
      <c r="V73" s="124" t="str">
        <f>IF(Tab.o1[[#This Row],[a1]]=1,ABS((ABS(Tab.o1[[#This Row],[Red]]-Tab.o1[[#This Row],[Blue]]))),"")</f>
        <v/>
      </c>
      <c r="W73" s="125" t="str">
        <f>IF(Tab.o1[[#This Row],[a1]]=1,IF(W$3=0,1,Tab.o1[[#This Row],[Amp.]]*1/_xlfn.MINIFS(Tab.o1[Amp.],Tab.o1[Amp.],"&lt;&gt;0")),"")</f>
        <v/>
      </c>
      <c r="X73" s="126" t="str">
        <f>IF(Tab.o1[[#This Row],[a1]]=1,IF(ISNUMBER(Tab.o1[[#This Row],[i.]]),NORMDIST(Tab.o1[[#This Row],[Za]],0,1,FALSE)*Tab.o1[[#This Row],[i.]],AP$3),"")</f>
        <v/>
      </c>
      <c r="Y73" s="126" t="str">
        <f>IF(Tab.o1[[#This Row],[a1]]=1,0.01+0.94*Tab.o1[[#This Row],[PDF]]/MAX(Tab.o1[PDF]),"")</f>
        <v/>
      </c>
      <c r="Z73" s="126" t="str">
        <f>IF(Tab.o1[[#This Row],[a1]]=1,0.01+0.94*Tab.o1[[#This Row],[W1_PDF]]/MAX(Tab.o1[W1_PDF]),"")</f>
        <v/>
      </c>
      <c r="AA73" s="118" t="str">
        <f>IF(Tab.o1[[#This Row],[a1]]=1,ABS([1]!T.in.A[[#This Row],[oo6]]),"")</f>
        <v/>
      </c>
      <c r="AB73" s="127" t="str">
        <f>IF(Tab.o1[[#This Row],[a1]]=1,IF(AE$3=0,"",IF(AB$3=0,ABS([1]!T.in.A[[#This Row],[oo9]]),ABS(Tab.o1[[#This Row],[DIF_Target.]]*Tab.o1[[#This Row],[W1_PDF]]))),"")</f>
        <v/>
      </c>
      <c r="AC73" s="127" t="str">
        <f>IF(G$1=1,"",IF(Tab.o1[[#This Row],[a1]]=1,Tab.o1[[#This Row],[Wr]]^2,""))</f>
        <v/>
      </c>
      <c r="AD73" s="118" t="str">
        <f>IF(Tab.o1[[#This Row],[a1]]=1,IF(AE$3=0,"",Tab.o1[[#This Row],[Wr2]]/SUM(Tab.o1[Wr2])),"")</f>
        <v/>
      </c>
      <c r="AE73" s="128" t="str">
        <f>IF(Tab.o1[[#This Row],[a1]]=1,[1]!T.in.A[[#This Row],[oo10]],"")</f>
        <v/>
      </c>
      <c r="AF73" s="118" t="str">
        <f>IF(Tab.o1[[#This Row],[a1]]=1,ABS(Tab.o1[[#This Row],[DIF_Target.]]*Tab.o1[[#This Row],[PDF2]]*Tab.o1[[#This Row],[IN]]),"")</f>
        <v/>
      </c>
      <c r="AG73" s="129" t="str">
        <f>IF(Tab.o1[[#This Row],[a1]]=1,Tab.o1[[#This Row],[rW]]^2,"")</f>
        <v/>
      </c>
      <c r="AH73" s="130" t="str">
        <f>IF(Tab.o1[[#This Row],[a1]]=1,IF(AH$3=0,Tab.o1[[#This Row],[rW2]],0.01+0.94*Tab.o1[[#This Row],[rW2]]/SUM(Tab.o1[rW2])),"")</f>
        <v/>
      </c>
      <c r="AI73" s="128" t="str">
        <f>IF(Tab.o1[[#This Row],[a1]]=1,1/Tab.o1[[#This Row],[PDF]],"")</f>
        <v/>
      </c>
      <c r="AJ73" s="131" t="str">
        <f>IF(Tab.o1[[#This Row],[a1]]=1,[1]!T_AA[[#This Row],[IN'']]*[1]!T_AA[[#This Row],[Qde'']],"")</f>
        <v/>
      </c>
      <c r="AK73" s="132" t="str">
        <f>IF(Tab.o1[[#This Row],[a1]]=1,IF(AK$1=1,Tab.o1[[#This Row],[MED]]+Tab.o1[[#This Row],[MOD]]-Tab.o1[[#This Row],[MED]],""),"")</f>
        <v/>
      </c>
      <c r="AL73" s="133" t="str">
        <f>IF(Tab.o1[[#This Row],[a1]]=1,[1]!T.in.A[[#This Row],[oo16]],"")</f>
        <v/>
      </c>
      <c r="AM73" s="133" t="str">
        <f>IF(Tab.o1[[#This Row],[a1]]=1,IF(AM$3=1,[1]!T.in.A[[#This Row],[Σo16]],""),"")</f>
        <v/>
      </c>
      <c r="AN73" s="126" t="str">
        <f>IF(Tab.o1[[#This Row],[a1]]=1,[1]!T.in.A[[#This Row],[Σp5]],"")</f>
        <v/>
      </c>
      <c r="AO73" s="126" t="str">
        <f>IF(Tab.o1[[#This Row],[a1]]=1,IF(AO$3=1,[1]!T.in.A[[#This Row],[Σp5]],""),"")</f>
        <v/>
      </c>
      <c r="AP73" s="110" t="str">
        <f>IF(Tab.o1[[#This Row],[a1]]=1,IF(ISNUMBER(Tab.o1[[#This Row],[i.]]),NORMDIST(Tab.o1[[#This Row],[Za]],0,1,FALSE)*Tab.o1[[#This Row],[i.]],0),"")</f>
        <v/>
      </c>
      <c r="AQ73" s="125" t="str">
        <f>IF(Tab.o1[[#This Row],[a1]]=1,ABS(Tab.o1[[#This Row],[MOD]]-AVERAGE(Tab.o1[MOD])),"")</f>
        <v/>
      </c>
      <c r="AR73" s="134" t="str">
        <f>IF(Tab.o1[[#This Row],[a1]]=1,Tab.o1[[#This Row],[OBS]]/SUM(Tab.o1[OBS]),"")</f>
        <v/>
      </c>
      <c r="AS73" s="135" t="str">
        <f>IF(ISNUMBER(Tab.o1[[#This Row],[a1]]),ROW()-4,"")</f>
        <v/>
      </c>
      <c r="AT73" s="136" t="str">
        <f>Tab.o1[[#This Row],[MOD]]</f>
        <v/>
      </c>
      <c r="AU73" s="137" t="str">
        <f t="shared" si="5"/>
        <v/>
      </c>
      <c r="AV73" s="138" t="str">
        <f t="shared" si="6"/>
        <v/>
      </c>
      <c r="AW73" s="138" t="str">
        <f t="shared" si="7"/>
        <v/>
      </c>
      <c r="AX73" s="139" t="str">
        <f>[1]!T.in.A[[#This Row],[ID_T_manu]]</f>
        <v/>
      </c>
      <c r="AY73" s="140" t="str">
        <f>IF(ISNUMBER(Tab.o1[[#This Row],[a1]]),IF(AND(Tab.o1[[#This Row],[a1]]=1,Tab.o1[[#This Row],[b1]]&lt;=AY$4),#REF!,AY72),"")</f>
        <v/>
      </c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</row>
    <row r="74" spans="1:79" ht="15.75" hidden="1">
      <c r="A74" s="109">
        <v>2.0000000000000003E-6</v>
      </c>
      <c r="B74" s="110">
        <f t="shared" si="4"/>
        <v>74</v>
      </c>
      <c r="C74" s="111" t="str">
        <f>IF(C$1=[1]!T.in.A[[#This Row],[oo2]],1,"")</f>
        <v/>
      </c>
      <c r="D74" s="112" t="str">
        <f>IF(Tab.o1[[#This Row],[a1]]=1,IF(SUM(C74:C75)=0,0,IF(SUM(C73:C74)=1,1,IF(SUM(C73:C75)&gt;1,D73+1,0))),"")</f>
        <v/>
      </c>
      <c r="E74" s="113" t="str">
        <f>IF(Tab.o1[[#This Row],[a1]]=1,[1]!T.in.A[[#This Row],[oo1]],"")</f>
        <v/>
      </c>
      <c r="F74" s="113" t="str">
        <f>IF(Tab.o1[[#This Row],[a1]]=1,[1]!T.in.A[[#This Row],[pp1]],"")</f>
        <v/>
      </c>
      <c r="G74" s="114" t="str">
        <f>IF(Tab.o1[[#This Row],[a1]]=1,G$2+IF(G$1=1,0,Tab.o1[[#This Row],[.x1]])+[1]!T.in.A[[#This Row],[oo3]],"")</f>
        <v/>
      </c>
      <c r="H74" s="115" t="str">
        <f>IF(Tab.o1[[#This Row],[a1]]=1,IF(H$2=0,0,IF(G$1=1,0,Tab.o1[[#This Row],[.x1]])+[1]!T.in.A[[#This Row],[oo4]]),"")</f>
        <v/>
      </c>
      <c r="I74" s="116" t="str">
        <f>IF(Tab.o1[[#This Row],[a1]]=1,IF(J$2=0,Tab.o1[[#This Row],[MED]],Tab.o1[[#This Row],[MOD]]),"")</f>
        <v/>
      </c>
      <c r="J74" s="116" t="str">
        <f>IF(Tab.o1[[#This Row],[a1]]=1,((Tab.o1[[#This Row],[DIF_Target.]]-AVERAGE(Tab.o1[DIF_Target.]))/_xlfn.STDEV.P(Tab.o1[DIF_Target.])),"")</f>
        <v/>
      </c>
      <c r="K74" s="117" t="str">
        <f>IF(Tab.o1[[#This Row],[a1]]=1,IF(J$2=0,Tab.o1[[#This Row],[MOD]]-Tab.o1[[#This Row],[B]],IF(J$2=1,0,-Tab.o1[[#This Row],[MED]])+Tab.o1[[#This Row],[B]]),"")</f>
        <v/>
      </c>
      <c r="L74" s="117" t="str">
        <f ca="1">IF(Tab.o1[[#This Row],[DIF_Target]]=0,IF(L$2=0,Tab.o1[[#This Row],[DIF_Target]],AVERAGE(OFFSET(Tab.o1[[#This Row],[DIF_Target]],1,0,L$3,1)))/3,Tab.o1[[#This Row],[DIF_Target]])</f>
        <v/>
      </c>
      <c r="M74" s="118" t="str">
        <f>IF(Tab.o1[[#This Row],[a1]]=1,NORMSDIST(Tab.o1[[#This Row],[Za]]),"")</f>
        <v/>
      </c>
      <c r="N74" s="119" t="str">
        <f>IF(Tab.o1[[#This Row],[a1]]=1,((Tab.o1[[#This Row],[MedMod]]-AVERAGE(Tab.o1[MedMod]))/_xlfn.STDEV.P(Tab.o1[MedMod])*H$1205)+G$1205,"")</f>
        <v/>
      </c>
      <c r="O74" s="141" t="str">
        <f>IF(Tab.o1[[#This Row],[a1]]=1,Tab.o1[[#This Row],[Zb]]*_xlfn.STDEV.P(Tab.o1[MedMod])+AVERAGE(Tab.o1[MedMod]),"")</f>
        <v/>
      </c>
      <c r="P74" s="117" t="str">
        <f ca="1">IF(Tab.o1[[#This Row],[B]]=0,AVERAGE(OFFSET(Tab.o1[[#This Row],[B]],1,0,L$3,1)),Tab.o1[[#This Row],[B]])</f>
        <v/>
      </c>
      <c r="Q74" s="121" t="str">
        <f>IF(Tab.o1[[#This Row],[a1]]=1,NORMSDIST(Tab.o1[[#This Row],[Zb]]),"")</f>
        <v/>
      </c>
      <c r="R74" s="122" t="str">
        <f>IF(Tab.o1[[#This Row],[a1]]=1,((Tab.o1[[#This Row],[MedMod]]-AVERAGE(Tab.o1[MedMod]))/_xlfn.STDEV.P(Tab.o1[MedMod])*H$1203)+G$1203,"")</f>
        <v/>
      </c>
      <c r="S74" s="122" t="str">
        <f>IF(Tab.o1[[#This Row],[a1]]=1,((Tab.o1[[#This Row],[MedMod]]-AVERAGE(Tab.o1[MedMod]))/_xlfn.STDEV.P(Tab.o1[MedMod])*H$1204)+G$1204,"")</f>
        <v/>
      </c>
      <c r="T74" s="123" t="str">
        <f>IF(Tab.o1[[#This Row],[a1]]=1,Tab.o1[[#This Row],[Z-]]*_xlfn.STDEV.P(Tab.o1[B])+AVERAGE(Tab.o1[B]),"")</f>
        <v/>
      </c>
      <c r="U74" s="123" t="str">
        <f>IF(Tab.o1[[#This Row],[a1]]=1,Tab.o1[[#This Row],[z+]]*_xlfn.STDEV.P(Tab.o1[B])+AVERAGE(Tab.o1[B]),"")</f>
        <v/>
      </c>
      <c r="V74" s="124" t="str">
        <f>IF(Tab.o1[[#This Row],[a1]]=1,ABS((ABS(Tab.o1[[#This Row],[Red]]-Tab.o1[[#This Row],[Blue]]))),"")</f>
        <v/>
      </c>
      <c r="W74" s="125" t="str">
        <f>IF(Tab.o1[[#This Row],[a1]]=1,IF(W$3=0,1,Tab.o1[[#This Row],[Amp.]]*1/_xlfn.MINIFS(Tab.o1[Amp.],Tab.o1[Amp.],"&lt;&gt;0")),"")</f>
        <v/>
      </c>
      <c r="X74" s="126" t="str">
        <f>IF(Tab.o1[[#This Row],[a1]]=1,IF(ISNUMBER(Tab.o1[[#This Row],[i.]]),NORMDIST(Tab.o1[[#This Row],[Za]],0,1,FALSE)*Tab.o1[[#This Row],[i.]],AP$3),"")</f>
        <v/>
      </c>
      <c r="Y74" s="126" t="str">
        <f>IF(Tab.o1[[#This Row],[a1]]=1,0.01+0.94*Tab.o1[[#This Row],[PDF]]/MAX(Tab.o1[PDF]),"")</f>
        <v/>
      </c>
      <c r="Z74" s="126" t="str">
        <f>IF(Tab.o1[[#This Row],[a1]]=1,0.01+0.94*Tab.o1[[#This Row],[W1_PDF]]/MAX(Tab.o1[W1_PDF]),"")</f>
        <v/>
      </c>
      <c r="AA74" s="118" t="str">
        <f>IF(Tab.o1[[#This Row],[a1]]=1,ABS([1]!T.in.A[[#This Row],[oo6]]),"")</f>
        <v/>
      </c>
      <c r="AB74" s="127" t="str">
        <f>IF(Tab.o1[[#This Row],[a1]]=1,IF(AE$3=0,"",IF(AB$3=0,ABS([1]!T.in.A[[#This Row],[oo9]]),ABS(Tab.o1[[#This Row],[DIF_Target.]]*Tab.o1[[#This Row],[W1_PDF]]))),"")</f>
        <v/>
      </c>
      <c r="AC74" s="127" t="str">
        <f>IF(G$1=1,"",IF(Tab.o1[[#This Row],[a1]]=1,Tab.o1[[#This Row],[Wr]]^2,""))</f>
        <v/>
      </c>
      <c r="AD74" s="118" t="str">
        <f>IF(Tab.o1[[#This Row],[a1]]=1,IF(AE$3=0,"",Tab.o1[[#This Row],[Wr2]]/SUM(Tab.o1[Wr2])),"")</f>
        <v/>
      </c>
      <c r="AE74" s="128" t="str">
        <f>IF(Tab.o1[[#This Row],[a1]]=1,[1]!T.in.A[[#This Row],[oo10]],"")</f>
        <v/>
      </c>
      <c r="AF74" s="118" t="str">
        <f>IF(Tab.o1[[#This Row],[a1]]=1,ABS(Tab.o1[[#This Row],[DIF_Target.]]*Tab.o1[[#This Row],[PDF2]]*Tab.o1[[#This Row],[IN]]),"")</f>
        <v/>
      </c>
      <c r="AG74" s="129" t="str">
        <f>IF(Tab.o1[[#This Row],[a1]]=1,Tab.o1[[#This Row],[rW]]^2,"")</f>
        <v/>
      </c>
      <c r="AH74" s="130" t="str">
        <f>IF(Tab.o1[[#This Row],[a1]]=1,IF(AH$3=0,Tab.o1[[#This Row],[rW2]],0.01+0.94*Tab.o1[[#This Row],[rW2]]/SUM(Tab.o1[rW2])),"")</f>
        <v/>
      </c>
      <c r="AI74" s="128" t="str">
        <f>IF(Tab.o1[[#This Row],[a1]]=1,1/Tab.o1[[#This Row],[PDF]],"")</f>
        <v/>
      </c>
      <c r="AJ74" s="131" t="str">
        <f>IF(Tab.o1[[#This Row],[a1]]=1,[1]!T_AA[[#This Row],[IN'']]*[1]!T_AA[[#This Row],[Qde'']],"")</f>
        <v/>
      </c>
      <c r="AK74" s="132" t="str">
        <f>IF(Tab.o1[[#This Row],[a1]]=1,IF(AK$1=1,Tab.o1[[#This Row],[MED]]+Tab.o1[[#This Row],[MOD]]-Tab.o1[[#This Row],[MED]],""),"")</f>
        <v/>
      </c>
      <c r="AL74" s="133" t="str">
        <f>IF(Tab.o1[[#This Row],[a1]]=1,[1]!T.in.A[[#This Row],[oo16]],"")</f>
        <v/>
      </c>
      <c r="AM74" s="133" t="str">
        <f>IF(Tab.o1[[#This Row],[a1]]=1,IF(AM$3=1,[1]!T.in.A[[#This Row],[Σo16]],""),"")</f>
        <v/>
      </c>
      <c r="AN74" s="126" t="str">
        <f>IF(Tab.o1[[#This Row],[a1]]=1,[1]!T.in.A[[#This Row],[Σp5]],"")</f>
        <v/>
      </c>
      <c r="AO74" s="126" t="str">
        <f>IF(Tab.o1[[#This Row],[a1]]=1,IF(AO$3=1,[1]!T.in.A[[#This Row],[Σp5]],""),"")</f>
        <v/>
      </c>
      <c r="AP74" s="110" t="str">
        <f>IF(Tab.o1[[#This Row],[a1]]=1,IF(ISNUMBER(Tab.o1[[#This Row],[i.]]),NORMDIST(Tab.o1[[#This Row],[Za]],0,1,FALSE)*Tab.o1[[#This Row],[i.]],0),"")</f>
        <v/>
      </c>
      <c r="AQ74" s="125" t="str">
        <f>IF(Tab.o1[[#This Row],[a1]]=1,ABS(Tab.o1[[#This Row],[MOD]]-AVERAGE(Tab.o1[MOD])),"")</f>
        <v/>
      </c>
      <c r="AR74" s="134" t="str">
        <f>IF(Tab.o1[[#This Row],[a1]]=1,Tab.o1[[#This Row],[OBS]]/SUM(Tab.o1[OBS]),"")</f>
        <v/>
      </c>
      <c r="AS74" s="135" t="str">
        <f>IF(ISNUMBER(Tab.o1[[#This Row],[a1]]),ROW()-4,"")</f>
        <v/>
      </c>
      <c r="AT74" s="136" t="str">
        <f>Tab.o1[[#This Row],[MOD]]</f>
        <v/>
      </c>
      <c r="AU74" s="137" t="str">
        <f t="shared" si="5"/>
        <v/>
      </c>
      <c r="AV74" s="138" t="str">
        <f t="shared" si="6"/>
        <v/>
      </c>
      <c r="AW74" s="138" t="str">
        <f t="shared" si="7"/>
        <v/>
      </c>
      <c r="AX74" s="139" t="str">
        <f>[1]!T.in.A[[#This Row],[ID_T_manu]]</f>
        <v/>
      </c>
      <c r="AY74" s="140" t="str">
        <f>IF(ISNUMBER(Tab.o1[[#This Row],[a1]]),IF(AND(Tab.o1[[#This Row],[a1]]=1,Tab.o1[[#This Row],[b1]]&lt;=AY$4),#REF!,AY73),"")</f>
        <v/>
      </c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</row>
    <row r="75" spans="1:79" ht="14.25" hidden="1" customHeight="1">
      <c r="A75" s="109">
        <v>6.9999999999999999E-6</v>
      </c>
      <c r="B75" s="110">
        <f t="shared" si="4"/>
        <v>75</v>
      </c>
      <c r="C75" s="111" t="str">
        <f>IF(C$1=[1]!T.in.A[[#This Row],[oo2]],1,"")</f>
        <v/>
      </c>
      <c r="D75" s="112" t="str">
        <f>IF(Tab.o1[[#This Row],[a1]]=1,IF(SUM(C75:C76)=0,0,IF(SUM(C74:C75)=1,1,IF(SUM(C74:C76)&gt;1,D74+1,0))),"")</f>
        <v/>
      </c>
      <c r="E75" s="113" t="str">
        <f>IF(Tab.o1[[#This Row],[a1]]=1,[1]!T.in.A[[#This Row],[oo1]],"")</f>
        <v/>
      </c>
      <c r="F75" s="113" t="str">
        <f>IF(Tab.o1[[#This Row],[a1]]=1,[1]!T.in.A[[#This Row],[pp1]],"")</f>
        <v/>
      </c>
      <c r="G75" s="114" t="str">
        <f>IF(Tab.o1[[#This Row],[a1]]=1,G$2+IF(G$1=1,0,Tab.o1[[#This Row],[.x1]])+[1]!T.in.A[[#This Row],[oo3]],"")</f>
        <v/>
      </c>
      <c r="H75" s="115" t="str">
        <f>IF(Tab.o1[[#This Row],[a1]]=1,IF(H$2=0,0,IF(G$1=1,0,Tab.o1[[#This Row],[.x1]])+[1]!T.in.A[[#This Row],[oo4]]),"")</f>
        <v/>
      </c>
      <c r="I75" s="116" t="str">
        <f>IF(Tab.o1[[#This Row],[a1]]=1,IF(J$2=0,Tab.o1[[#This Row],[MED]],Tab.o1[[#This Row],[MOD]]),"")</f>
        <v/>
      </c>
      <c r="J75" s="116" t="str">
        <f>IF(Tab.o1[[#This Row],[a1]]=1,((Tab.o1[[#This Row],[DIF_Target.]]-AVERAGE(Tab.o1[DIF_Target.]))/_xlfn.STDEV.P(Tab.o1[DIF_Target.])),"")</f>
        <v/>
      </c>
      <c r="K75" s="117" t="str">
        <f>IF(Tab.o1[[#This Row],[a1]]=1,IF(J$2=0,Tab.o1[[#This Row],[MOD]]-Tab.o1[[#This Row],[B]],IF(J$2=1,0,-Tab.o1[[#This Row],[MED]])+Tab.o1[[#This Row],[B]]),"")</f>
        <v/>
      </c>
      <c r="L75" s="117" t="str">
        <f ca="1">IF(Tab.o1[[#This Row],[DIF_Target]]=0,IF(L$2=0,Tab.o1[[#This Row],[DIF_Target]],AVERAGE(OFFSET(Tab.o1[[#This Row],[DIF_Target]],1,0,L$3,1)))/3,Tab.o1[[#This Row],[DIF_Target]])</f>
        <v/>
      </c>
      <c r="M75" s="118" t="str">
        <f>IF(Tab.o1[[#This Row],[a1]]=1,NORMSDIST(Tab.o1[[#This Row],[Za]]),"")</f>
        <v/>
      </c>
      <c r="N75" s="119" t="str">
        <f>IF(Tab.o1[[#This Row],[a1]]=1,((Tab.o1[[#This Row],[MedMod]]-AVERAGE(Tab.o1[MedMod]))/_xlfn.STDEV.P(Tab.o1[MedMod])*H$1205)+G$1205,"")</f>
        <v/>
      </c>
      <c r="O75" s="141" t="str">
        <f>IF(Tab.o1[[#This Row],[a1]]=1,Tab.o1[[#This Row],[Zb]]*_xlfn.STDEV.P(Tab.o1[MedMod])+AVERAGE(Tab.o1[MedMod]),"")</f>
        <v/>
      </c>
      <c r="P75" s="117" t="str">
        <f ca="1">IF(Tab.o1[[#This Row],[B]]=0,AVERAGE(OFFSET(Tab.o1[[#This Row],[B]],1,0,L$3,1)),Tab.o1[[#This Row],[B]])</f>
        <v/>
      </c>
      <c r="Q75" s="121" t="str">
        <f>IF(Tab.o1[[#This Row],[a1]]=1,NORMSDIST(Tab.o1[[#This Row],[Zb]]),"")</f>
        <v/>
      </c>
      <c r="R75" s="122" t="str">
        <f>IF(Tab.o1[[#This Row],[a1]]=1,((Tab.o1[[#This Row],[MedMod]]-AVERAGE(Tab.o1[MedMod]))/_xlfn.STDEV.P(Tab.o1[MedMod])*H$1203)+G$1203,"")</f>
        <v/>
      </c>
      <c r="S75" s="122" t="str">
        <f>IF(Tab.o1[[#This Row],[a1]]=1,((Tab.o1[[#This Row],[MedMod]]-AVERAGE(Tab.o1[MedMod]))/_xlfn.STDEV.P(Tab.o1[MedMod])*H$1204)+G$1204,"")</f>
        <v/>
      </c>
      <c r="T75" s="123" t="str">
        <f>IF(Tab.o1[[#This Row],[a1]]=1,Tab.o1[[#This Row],[Z-]]*_xlfn.STDEV.P(Tab.o1[B])+AVERAGE(Tab.o1[B]),"")</f>
        <v/>
      </c>
      <c r="U75" s="123" t="str">
        <f>IF(Tab.o1[[#This Row],[a1]]=1,Tab.o1[[#This Row],[z+]]*_xlfn.STDEV.P(Tab.o1[B])+AVERAGE(Tab.o1[B]),"")</f>
        <v/>
      </c>
      <c r="V75" s="124" t="str">
        <f>IF(Tab.o1[[#This Row],[a1]]=1,ABS((ABS(Tab.o1[[#This Row],[Red]]-Tab.o1[[#This Row],[Blue]]))),"")</f>
        <v/>
      </c>
      <c r="W75" s="125" t="str">
        <f>IF(Tab.o1[[#This Row],[a1]]=1,IF(W$3=0,1,Tab.o1[[#This Row],[Amp.]]*1/_xlfn.MINIFS(Tab.o1[Amp.],Tab.o1[Amp.],"&lt;&gt;0")),"")</f>
        <v/>
      </c>
      <c r="X75" s="126" t="str">
        <f>IF(Tab.o1[[#This Row],[a1]]=1,IF(ISNUMBER(Tab.o1[[#This Row],[i.]]),NORMDIST(Tab.o1[[#This Row],[Za]],0,1,FALSE)*Tab.o1[[#This Row],[i.]],AP$3),"")</f>
        <v/>
      </c>
      <c r="Y75" s="126" t="str">
        <f>IF(Tab.o1[[#This Row],[a1]]=1,0.01+0.94*Tab.o1[[#This Row],[PDF]]/MAX(Tab.o1[PDF]),"")</f>
        <v/>
      </c>
      <c r="Z75" s="126" t="str">
        <f>IF(Tab.o1[[#This Row],[a1]]=1,0.01+0.94*Tab.o1[[#This Row],[W1_PDF]]/MAX(Tab.o1[W1_PDF]),"")</f>
        <v/>
      </c>
      <c r="AA75" s="118" t="str">
        <f>IF(Tab.o1[[#This Row],[a1]]=1,ABS([1]!T.in.A[[#This Row],[oo6]]),"")</f>
        <v/>
      </c>
      <c r="AB75" s="127" t="str">
        <f>IF(Tab.o1[[#This Row],[a1]]=1,IF(AE$3=0,"",IF(AB$3=0,ABS([1]!T.in.A[[#This Row],[oo9]]),ABS(Tab.o1[[#This Row],[DIF_Target.]]*Tab.o1[[#This Row],[W1_PDF]]))),"")</f>
        <v/>
      </c>
      <c r="AC75" s="127" t="str">
        <f>IF(G$1=1,"",IF(Tab.o1[[#This Row],[a1]]=1,Tab.o1[[#This Row],[Wr]]^2,""))</f>
        <v/>
      </c>
      <c r="AD75" s="118" t="str">
        <f>IF(Tab.o1[[#This Row],[a1]]=1,IF(AE$3=0,"",Tab.o1[[#This Row],[Wr2]]/SUM(Tab.o1[Wr2])),"")</f>
        <v/>
      </c>
      <c r="AE75" s="128" t="str">
        <f>IF(Tab.o1[[#This Row],[a1]]=1,[1]!T.in.A[[#This Row],[oo10]],"")</f>
        <v/>
      </c>
      <c r="AF75" s="118" t="str">
        <f>IF(Tab.o1[[#This Row],[a1]]=1,ABS(Tab.o1[[#This Row],[DIF_Target.]]*Tab.o1[[#This Row],[PDF2]]*Tab.o1[[#This Row],[IN]]),"")</f>
        <v/>
      </c>
      <c r="AG75" s="129" t="str">
        <f>IF(Tab.o1[[#This Row],[a1]]=1,Tab.o1[[#This Row],[rW]]^2,"")</f>
        <v/>
      </c>
      <c r="AH75" s="130" t="str">
        <f>IF(Tab.o1[[#This Row],[a1]]=1,IF(AH$3=0,Tab.o1[[#This Row],[rW2]],0.01+0.94*Tab.o1[[#This Row],[rW2]]/SUM(Tab.o1[rW2])),"")</f>
        <v/>
      </c>
      <c r="AI75" s="128" t="str">
        <f>IF(Tab.o1[[#This Row],[a1]]=1,1/Tab.o1[[#This Row],[PDF]],"")</f>
        <v/>
      </c>
      <c r="AJ75" s="131" t="str">
        <f>IF(Tab.o1[[#This Row],[a1]]=1,[1]!T_AA[[#This Row],[IN'']]*[1]!T_AA[[#This Row],[Qde'']],"")</f>
        <v/>
      </c>
      <c r="AK75" s="132" t="str">
        <f>IF(Tab.o1[[#This Row],[a1]]=1,IF(AK$1=1,Tab.o1[[#This Row],[MED]]+Tab.o1[[#This Row],[MOD]]-Tab.o1[[#This Row],[MED]],""),"")</f>
        <v/>
      </c>
      <c r="AL75" s="133" t="str">
        <f>IF(Tab.o1[[#This Row],[a1]]=1,[1]!T.in.A[[#This Row],[oo16]],"")</f>
        <v/>
      </c>
      <c r="AM75" s="133" t="str">
        <f>IF(Tab.o1[[#This Row],[a1]]=1,IF(AM$3=1,[1]!T.in.A[[#This Row],[Σo16]],""),"")</f>
        <v/>
      </c>
      <c r="AN75" s="126" t="str">
        <f>IF(Tab.o1[[#This Row],[a1]]=1,[1]!T.in.A[[#This Row],[Σp5]],"")</f>
        <v/>
      </c>
      <c r="AO75" s="126" t="str">
        <f>IF(Tab.o1[[#This Row],[a1]]=1,IF(AO$3=1,[1]!T.in.A[[#This Row],[Σp5]],""),"")</f>
        <v/>
      </c>
      <c r="AP75" s="110" t="str">
        <f>IF(Tab.o1[[#This Row],[a1]]=1,IF(ISNUMBER(Tab.o1[[#This Row],[i.]]),NORMDIST(Tab.o1[[#This Row],[Za]],0,1,FALSE)*Tab.o1[[#This Row],[i.]],0),"")</f>
        <v/>
      </c>
      <c r="AQ75" s="125" t="str">
        <f>IF(Tab.o1[[#This Row],[a1]]=1,ABS(Tab.o1[[#This Row],[MOD]]-AVERAGE(Tab.o1[MOD])),"")</f>
        <v/>
      </c>
      <c r="AR75" s="134" t="str">
        <f>IF(Tab.o1[[#This Row],[a1]]=1,Tab.o1[[#This Row],[OBS]]/SUM(Tab.o1[OBS]),"")</f>
        <v/>
      </c>
      <c r="AS75" s="135" t="str">
        <f>IF(ISNUMBER(Tab.o1[[#This Row],[a1]]),ROW()-4,"")</f>
        <v/>
      </c>
      <c r="AT75" s="136" t="str">
        <f>Tab.o1[[#This Row],[MOD]]</f>
        <v/>
      </c>
      <c r="AU75" s="137" t="str">
        <f t="shared" si="5"/>
        <v/>
      </c>
      <c r="AV75" s="138" t="str">
        <f t="shared" si="6"/>
        <v/>
      </c>
      <c r="AW75" s="138" t="str">
        <f t="shared" si="7"/>
        <v/>
      </c>
      <c r="AX75" s="139">
        <f>[1]!T.in.A[[#This Row],[ID_T_manu]]</f>
        <v>18</v>
      </c>
      <c r="AY75" s="140" t="str">
        <f>IF(ISNUMBER(Tab.o1[[#This Row],[a1]]),IF(AND(Tab.o1[[#This Row],[a1]]=1,Tab.o1[[#This Row],[b1]]&lt;=AY$4),#REF!,AY74),"")</f>
        <v/>
      </c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</row>
    <row r="76" spans="1:79" ht="14.25" hidden="1" customHeight="1">
      <c r="A76" s="109">
        <v>8.0000000000000013E-6</v>
      </c>
      <c r="B76" s="110">
        <f t="shared" si="4"/>
        <v>76</v>
      </c>
      <c r="C76" s="111" t="str">
        <f>IF(C$1=[1]!T.in.A[[#This Row],[oo2]],1,"")</f>
        <v/>
      </c>
      <c r="D76" s="112" t="str">
        <f>IF(Tab.o1[[#This Row],[a1]]=1,IF(SUM(C76:C77)=0,0,IF(SUM(C75:C76)=1,1,IF(SUM(C75:C77)&gt;1,D75+1,0))),"")</f>
        <v/>
      </c>
      <c r="E76" s="113" t="str">
        <f>IF(Tab.o1[[#This Row],[a1]]=1,[1]!T.in.A[[#This Row],[oo1]],"")</f>
        <v/>
      </c>
      <c r="F76" s="113" t="str">
        <f>IF(Tab.o1[[#This Row],[a1]]=1,[1]!T.in.A[[#This Row],[pp1]],"")</f>
        <v/>
      </c>
      <c r="G76" s="114" t="str">
        <f>IF(Tab.o1[[#This Row],[a1]]=1,G$2+IF(G$1=1,0,Tab.o1[[#This Row],[.x1]])+[1]!T.in.A[[#This Row],[oo3]],"")</f>
        <v/>
      </c>
      <c r="H76" s="115" t="str">
        <f>IF(Tab.o1[[#This Row],[a1]]=1,IF(H$2=0,0,IF(G$1=1,0,Tab.o1[[#This Row],[.x1]])+[1]!T.in.A[[#This Row],[oo4]]),"")</f>
        <v/>
      </c>
      <c r="I76" s="116" t="str">
        <f>IF(Tab.o1[[#This Row],[a1]]=1,IF(J$2=0,Tab.o1[[#This Row],[MED]],Tab.o1[[#This Row],[MOD]]),"")</f>
        <v/>
      </c>
      <c r="J76" s="116" t="str">
        <f>IF(Tab.o1[[#This Row],[a1]]=1,((Tab.o1[[#This Row],[DIF_Target.]]-AVERAGE(Tab.o1[DIF_Target.]))/_xlfn.STDEV.P(Tab.o1[DIF_Target.])),"")</f>
        <v/>
      </c>
      <c r="K76" s="117" t="str">
        <f>IF(Tab.o1[[#This Row],[a1]]=1,IF(J$2=0,Tab.o1[[#This Row],[MOD]]-Tab.o1[[#This Row],[B]],IF(J$2=1,0,-Tab.o1[[#This Row],[MED]])+Tab.o1[[#This Row],[B]]),"")</f>
        <v/>
      </c>
      <c r="L76" s="117" t="str">
        <f ca="1">IF(Tab.o1[[#This Row],[DIF_Target]]=0,IF(L$2=0,Tab.o1[[#This Row],[DIF_Target]],AVERAGE(OFFSET(Tab.o1[[#This Row],[DIF_Target]],1,0,L$3,1)))/3,Tab.o1[[#This Row],[DIF_Target]])</f>
        <v/>
      </c>
      <c r="M76" s="118" t="str">
        <f>IF(Tab.o1[[#This Row],[a1]]=1,NORMSDIST(Tab.o1[[#This Row],[Za]]),"")</f>
        <v/>
      </c>
      <c r="N76" s="119" t="str">
        <f>IF(Tab.o1[[#This Row],[a1]]=1,((Tab.o1[[#This Row],[MedMod]]-AVERAGE(Tab.o1[MedMod]))/_xlfn.STDEV.P(Tab.o1[MedMod])*H$1205)+G$1205,"")</f>
        <v/>
      </c>
      <c r="O76" s="141" t="str">
        <f>IF(Tab.o1[[#This Row],[a1]]=1,Tab.o1[[#This Row],[Zb]]*_xlfn.STDEV.P(Tab.o1[MedMod])+AVERAGE(Tab.o1[MedMod]),"")</f>
        <v/>
      </c>
      <c r="P76" s="117" t="str">
        <f ca="1">IF(Tab.o1[[#This Row],[B]]=0,AVERAGE(OFFSET(Tab.o1[[#This Row],[B]],1,0,L$3,1)),Tab.o1[[#This Row],[B]])</f>
        <v/>
      </c>
      <c r="Q76" s="121" t="str">
        <f>IF(Tab.o1[[#This Row],[a1]]=1,NORMSDIST(Tab.o1[[#This Row],[Zb]]),"")</f>
        <v/>
      </c>
      <c r="R76" s="122" t="str">
        <f>IF(Tab.o1[[#This Row],[a1]]=1,((Tab.o1[[#This Row],[MedMod]]-AVERAGE(Tab.o1[MedMod]))/_xlfn.STDEV.P(Tab.o1[MedMod])*H$1203)+G$1203,"")</f>
        <v/>
      </c>
      <c r="S76" s="122" t="str">
        <f>IF(Tab.o1[[#This Row],[a1]]=1,((Tab.o1[[#This Row],[MedMod]]-AVERAGE(Tab.o1[MedMod]))/_xlfn.STDEV.P(Tab.o1[MedMod])*H$1204)+G$1204,"")</f>
        <v/>
      </c>
      <c r="T76" s="123" t="str">
        <f>IF(Tab.o1[[#This Row],[a1]]=1,Tab.o1[[#This Row],[Z-]]*_xlfn.STDEV.P(Tab.o1[B])+AVERAGE(Tab.o1[B]),"")</f>
        <v/>
      </c>
      <c r="U76" s="123" t="str">
        <f>IF(Tab.o1[[#This Row],[a1]]=1,Tab.o1[[#This Row],[z+]]*_xlfn.STDEV.P(Tab.o1[B])+AVERAGE(Tab.o1[B]),"")</f>
        <v/>
      </c>
      <c r="V76" s="124" t="str">
        <f>IF(Tab.o1[[#This Row],[a1]]=1,ABS((ABS(Tab.o1[[#This Row],[Red]]-Tab.o1[[#This Row],[Blue]]))),"")</f>
        <v/>
      </c>
      <c r="W76" s="125" t="str">
        <f>IF(Tab.o1[[#This Row],[a1]]=1,IF(W$3=0,1,Tab.o1[[#This Row],[Amp.]]*1/_xlfn.MINIFS(Tab.o1[Amp.],Tab.o1[Amp.],"&lt;&gt;0")),"")</f>
        <v/>
      </c>
      <c r="X76" s="126" t="str">
        <f>IF(Tab.o1[[#This Row],[a1]]=1,IF(ISNUMBER(Tab.o1[[#This Row],[i.]]),NORMDIST(Tab.o1[[#This Row],[Za]],0,1,FALSE)*Tab.o1[[#This Row],[i.]],AP$3),"")</f>
        <v/>
      </c>
      <c r="Y76" s="126" t="str">
        <f>IF(Tab.o1[[#This Row],[a1]]=1,0.01+0.94*Tab.o1[[#This Row],[PDF]]/MAX(Tab.o1[PDF]),"")</f>
        <v/>
      </c>
      <c r="Z76" s="126" t="str">
        <f>IF(Tab.o1[[#This Row],[a1]]=1,0.01+0.94*Tab.o1[[#This Row],[W1_PDF]]/MAX(Tab.o1[W1_PDF]),"")</f>
        <v/>
      </c>
      <c r="AA76" s="118" t="str">
        <f>IF(Tab.o1[[#This Row],[a1]]=1,ABS([1]!T.in.A[[#This Row],[oo6]]),"")</f>
        <v/>
      </c>
      <c r="AB76" s="127" t="str">
        <f>IF(Tab.o1[[#This Row],[a1]]=1,IF(AE$3=0,"",IF(AB$3=0,ABS([1]!T.in.A[[#This Row],[oo9]]),ABS(Tab.o1[[#This Row],[DIF_Target.]]*Tab.o1[[#This Row],[W1_PDF]]))),"")</f>
        <v/>
      </c>
      <c r="AC76" s="127" t="str">
        <f>IF(G$1=1,"",IF(Tab.o1[[#This Row],[a1]]=1,Tab.o1[[#This Row],[Wr]]^2,""))</f>
        <v/>
      </c>
      <c r="AD76" s="118" t="str">
        <f>IF(Tab.o1[[#This Row],[a1]]=1,IF(AE$3=0,"",Tab.o1[[#This Row],[Wr2]]/SUM(Tab.o1[Wr2])),"")</f>
        <v/>
      </c>
      <c r="AE76" s="128" t="str">
        <f>IF(Tab.o1[[#This Row],[a1]]=1,[1]!T.in.A[[#This Row],[oo10]],"")</f>
        <v/>
      </c>
      <c r="AF76" s="118" t="str">
        <f>IF(Tab.o1[[#This Row],[a1]]=1,ABS(Tab.o1[[#This Row],[DIF_Target.]]*Tab.o1[[#This Row],[PDF2]]*Tab.o1[[#This Row],[IN]]),"")</f>
        <v/>
      </c>
      <c r="AG76" s="129" t="str">
        <f>IF(Tab.o1[[#This Row],[a1]]=1,Tab.o1[[#This Row],[rW]]^2,"")</f>
        <v/>
      </c>
      <c r="AH76" s="130" t="str">
        <f>IF(Tab.o1[[#This Row],[a1]]=1,IF(AH$3=0,Tab.o1[[#This Row],[rW2]],0.01+0.94*Tab.o1[[#This Row],[rW2]]/SUM(Tab.o1[rW2])),"")</f>
        <v/>
      </c>
      <c r="AI76" s="128" t="str">
        <f>IF(Tab.o1[[#This Row],[a1]]=1,1/Tab.o1[[#This Row],[PDF]],"")</f>
        <v/>
      </c>
      <c r="AJ76" s="131" t="str">
        <f>IF(Tab.o1[[#This Row],[a1]]=1,[1]!T_AA[[#This Row],[IN'']]*[1]!T_AA[[#This Row],[Qde'']],"")</f>
        <v/>
      </c>
      <c r="AK76" s="132" t="str">
        <f>IF(Tab.o1[[#This Row],[a1]]=1,IF(AK$1=1,Tab.o1[[#This Row],[MED]]+Tab.o1[[#This Row],[MOD]]-Tab.o1[[#This Row],[MED]],""),"")</f>
        <v/>
      </c>
      <c r="AL76" s="133" t="str">
        <f>IF(Tab.o1[[#This Row],[a1]]=1,[1]!T.in.A[[#This Row],[oo16]],"")</f>
        <v/>
      </c>
      <c r="AM76" s="133" t="str">
        <f>IF(Tab.o1[[#This Row],[a1]]=1,IF(AM$3=1,[1]!T.in.A[[#This Row],[Σo16]],""),"")</f>
        <v/>
      </c>
      <c r="AN76" s="126" t="str">
        <f>IF(Tab.o1[[#This Row],[a1]]=1,[1]!T.in.A[[#This Row],[Σp5]],"")</f>
        <v/>
      </c>
      <c r="AO76" s="126" t="str">
        <f>IF(Tab.o1[[#This Row],[a1]]=1,IF(AO$3=1,[1]!T.in.A[[#This Row],[Σp5]],""),"")</f>
        <v/>
      </c>
      <c r="AP76" s="110" t="str">
        <f>IF(Tab.o1[[#This Row],[a1]]=1,IF(ISNUMBER(Tab.o1[[#This Row],[i.]]),NORMDIST(Tab.o1[[#This Row],[Za]],0,1,FALSE)*Tab.o1[[#This Row],[i.]],0),"")</f>
        <v/>
      </c>
      <c r="AQ76" s="125" t="str">
        <f>IF(Tab.o1[[#This Row],[a1]]=1,ABS(Tab.o1[[#This Row],[MOD]]-AVERAGE(Tab.o1[MOD])),"")</f>
        <v/>
      </c>
      <c r="AR76" s="134" t="str">
        <f>IF(Tab.o1[[#This Row],[a1]]=1,Tab.o1[[#This Row],[OBS]]/SUM(Tab.o1[OBS]),"")</f>
        <v/>
      </c>
      <c r="AS76" s="135" t="str">
        <f>IF(ISNUMBER(Tab.o1[[#This Row],[a1]]),ROW()-4,"")</f>
        <v/>
      </c>
      <c r="AT76" s="136" t="str">
        <f>Tab.o1[[#This Row],[MOD]]</f>
        <v/>
      </c>
      <c r="AU76" s="137" t="str">
        <f t="shared" si="5"/>
        <v/>
      </c>
      <c r="AV76" s="138" t="str">
        <f t="shared" si="6"/>
        <v/>
      </c>
      <c r="AW76" s="138" t="str">
        <f t="shared" si="7"/>
        <v/>
      </c>
      <c r="AX76" s="139" t="str">
        <f>[1]!T.in.A[[#This Row],[ID_T_manu]]</f>
        <v/>
      </c>
      <c r="AY76" s="140" t="str">
        <f>IF(ISNUMBER(Tab.o1[[#This Row],[a1]]),IF(AND(Tab.o1[[#This Row],[a1]]=1,Tab.o1[[#This Row],[b1]]&lt;=AY$4),#REF!,AY75),"")</f>
        <v/>
      </c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</row>
    <row r="77" spans="1:79" ht="14.25" hidden="1" customHeight="1">
      <c r="A77" s="109">
        <v>6.9999999999999999E-6</v>
      </c>
      <c r="B77" s="110">
        <f t="shared" si="4"/>
        <v>77</v>
      </c>
      <c r="C77" s="111" t="str">
        <f>IF(C$1=[1]!T.in.A[[#This Row],[oo2]],1,"")</f>
        <v/>
      </c>
      <c r="D77" s="112" t="str">
        <f>IF(Tab.o1[[#This Row],[a1]]=1,IF(SUM(C77:C78)=0,0,IF(SUM(C76:C77)=1,1,IF(SUM(C76:C78)&gt;1,D76+1,0))),"")</f>
        <v/>
      </c>
      <c r="E77" s="113" t="str">
        <f>IF(Tab.o1[[#This Row],[a1]]=1,[1]!T.in.A[[#This Row],[oo1]],"")</f>
        <v/>
      </c>
      <c r="F77" s="113" t="str">
        <f>IF(Tab.o1[[#This Row],[a1]]=1,[1]!T.in.A[[#This Row],[pp1]],"")</f>
        <v/>
      </c>
      <c r="G77" s="114" t="str">
        <f>IF(Tab.o1[[#This Row],[a1]]=1,G$2+IF(G$1=1,0,Tab.o1[[#This Row],[.x1]])+[1]!T.in.A[[#This Row],[oo3]],"")</f>
        <v/>
      </c>
      <c r="H77" s="115" t="str">
        <f>IF(Tab.o1[[#This Row],[a1]]=1,IF(H$2=0,0,IF(G$1=1,0,Tab.o1[[#This Row],[.x1]])+[1]!T.in.A[[#This Row],[oo4]]),"")</f>
        <v/>
      </c>
      <c r="I77" s="116" t="str">
        <f>IF(Tab.o1[[#This Row],[a1]]=1,IF(J$2=0,Tab.o1[[#This Row],[MED]],Tab.o1[[#This Row],[MOD]]),"")</f>
        <v/>
      </c>
      <c r="J77" s="116" t="str">
        <f>IF(Tab.o1[[#This Row],[a1]]=1,((Tab.o1[[#This Row],[DIF_Target.]]-AVERAGE(Tab.o1[DIF_Target.]))/_xlfn.STDEV.P(Tab.o1[DIF_Target.])),"")</f>
        <v/>
      </c>
      <c r="K77" s="117" t="str">
        <f>IF(Tab.o1[[#This Row],[a1]]=1,IF(J$2=0,Tab.o1[[#This Row],[MOD]]-Tab.o1[[#This Row],[B]],IF(J$2=1,0,-Tab.o1[[#This Row],[MED]])+Tab.o1[[#This Row],[B]]),"")</f>
        <v/>
      </c>
      <c r="L77" s="117" t="str">
        <f ca="1">IF(Tab.o1[[#This Row],[DIF_Target]]=0,IF(L$2=0,Tab.o1[[#This Row],[DIF_Target]],AVERAGE(OFFSET(Tab.o1[[#This Row],[DIF_Target]],1,0,L$3,1)))/3,Tab.o1[[#This Row],[DIF_Target]])</f>
        <v/>
      </c>
      <c r="M77" s="118" t="str">
        <f>IF(Tab.o1[[#This Row],[a1]]=1,NORMSDIST(Tab.o1[[#This Row],[Za]]),"")</f>
        <v/>
      </c>
      <c r="N77" s="119" t="str">
        <f>IF(Tab.o1[[#This Row],[a1]]=1,((Tab.o1[[#This Row],[MedMod]]-AVERAGE(Tab.o1[MedMod]))/_xlfn.STDEV.P(Tab.o1[MedMod])*H$1205)+G$1205,"")</f>
        <v/>
      </c>
      <c r="O77" s="141" t="str">
        <f>IF(Tab.o1[[#This Row],[a1]]=1,Tab.o1[[#This Row],[Zb]]*_xlfn.STDEV.P(Tab.o1[MedMod])+AVERAGE(Tab.o1[MedMod]),"")</f>
        <v/>
      </c>
      <c r="P77" s="117" t="str">
        <f ca="1">IF(Tab.o1[[#This Row],[B]]=0,AVERAGE(OFFSET(Tab.o1[[#This Row],[B]],1,0,L$3,1)),Tab.o1[[#This Row],[B]])</f>
        <v/>
      </c>
      <c r="Q77" s="121" t="str">
        <f>IF(Tab.o1[[#This Row],[a1]]=1,NORMSDIST(Tab.o1[[#This Row],[Zb]]),"")</f>
        <v/>
      </c>
      <c r="R77" s="122" t="str">
        <f>IF(Tab.o1[[#This Row],[a1]]=1,((Tab.o1[[#This Row],[MedMod]]-AVERAGE(Tab.o1[MedMod]))/_xlfn.STDEV.P(Tab.o1[MedMod])*H$1203)+G$1203,"")</f>
        <v/>
      </c>
      <c r="S77" s="122" t="str">
        <f>IF(Tab.o1[[#This Row],[a1]]=1,((Tab.o1[[#This Row],[MedMod]]-AVERAGE(Tab.o1[MedMod]))/_xlfn.STDEV.P(Tab.o1[MedMod])*H$1204)+G$1204,"")</f>
        <v/>
      </c>
      <c r="T77" s="123" t="str">
        <f>IF(Tab.o1[[#This Row],[a1]]=1,Tab.o1[[#This Row],[Z-]]*_xlfn.STDEV.P(Tab.o1[B])+AVERAGE(Tab.o1[B]),"")</f>
        <v/>
      </c>
      <c r="U77" s="123" t="str">
        <f>IF(Tab.o1[[#This Row],[a1]]=1,Tab.o1[[#This Row],[z+]]*_xlfn.STDEV.P(Tab.o1[B])+AVERAGE(Tab.o1[B]),"")</f>
        <v/>
      </c>
      <c r="V77" s="124" t="str">
        <f>IF(Tab.o1[[#This Row],[a1]]=1,ABS((ABS(Tab.o1[[#This Row],[Red]]-Tab.o1[[#This Row],[Blue]]))),"")</f>
        <v/>
      </c>
      <c r="W77" s="125" t="str">
        <f>IF(Tab.o1[[#This Row],[a1]]=1,IF(W$3=0,1,Tab.o1[[#This Row],[Amp.]]*1/_xlfn.MINIFS(Tab.o1[Amp.],Tab.o1[Amp.],"&lt;&gt;0")),"")</f>
        <v/>
      </c>
      <c r="X77" s="126" t="str">
        <f>IF(Tab.o1[[#This Row],[a1]]=1,IF(ISNUMBER(Tab.o1[[#This Row],[i.]]),NORMDIST(Tab.o1[[#This Row],[Za]],0,1,FALSE)*Tab.o1[[#This Row],[i.]],AP$3),"")</f>
        <v/>
      </c>
      <c r="Y77" s="126" t="str">
        <f>IF(Tab.o1[[#This Row],[a1]]=1,0.01+0.94*Tab.o1[[#This Row],[PDF]]/MAX(Tab.o1[PDF]),"")</f>
        <v/>
      </c>
      <c r="Z77" s="126" t="str">
        <f>IF(Tab.o1[[#This Row],[a1]]=1,0.01+0.94*Tab.o1[[#This Row],[W1_PDF]]/MAX(Tab.o1[W1_PDF]),"")</f>
        <v/>
      </c>
      <c r="AA77" s="118" t="str">
        <f>IF(Tab.o1[[#This Row],[a1]]=1,ABS([1]!T.in.A[[#This Row],[oo6]]),"")</f>
        <v/>
      </c>
      <c r="AB77" s="127" t="str">
        <f>IF(Tab.o1[[#This Row],[a1]]=1,IF(AE$3=0,"",IF(AB$3=0,ABS([1]!T.in.A[[#This Row],[oo9]]),ABS(Tab.o1[[#This Row],[DIF_Target.]]*Tab.o1[[#This Row],[W1_PDF]]))),"")</f>
        <v/>
      </c>
      <c r="AC77" s="127" t="str">
        <f>IF(G$1=1,"",IF(Tab.o1[[#This Row],[a1]]=1,Tab.o1[[#This Row],[Wr]]^2,""))</f>
        <v/>
      </c>
      <c r="AD77" s="118" t="str">
        <f>IF(Tab.o1[[#This Row],[a1]]=1,IF(AE$3=0,"",Tab.o1[[#This Row],[Wr2]]/SUM(Tab.o1[Wr2])),"")</f>
        <v/>
      </c>
      <c r="AE77" s="128" t="str">
        <f>IF(Tab.o1[[#This Row],[a1]]=1,[1]!T.in.A[[#This Row],[oo10]],"")</f>
        <v/>
      </c>
      <c r="AF77" s="118" t="str">
        <f>IF(Tab.o1[[#This Row],[a1]]=1,ABS(Tab.o1[[#This Row],[DIF_Target.]]*Tab.o1[[#This Row],[PDF2]]*Tab.o1[[#This Row],[IN]]),"")</f>
        <v/>
      </c>
      <c r="AG77" s="129" t="str">
        <f>IF(Tab.o1[[#This Row],[a1]]=1,Tab.o1[[#This Row],[rW]]^2,"")</f>
        <v/>
      </c>
      <c r="AH77" s="130" t="str">
        <f>IF(Tab.o1[[#This Row],[a1]]=1,IF(AH$3=0,Tab.o1[[#This Row],[rW2]],0.01+0.94*Tab.o1[[#This Row],[rW2]]/SUM(Tab.o1[rW2])),"")</f>
        <v/>
      </c>
      <c r="AI77" s="128" t="str">
        <f>IF(Tab.o1[[#This Row],[a1]]=1,1/Tab.o1[[#This Row],[PDF]],"")</f>
        <v/>
      </c>
      <c r="AJ77" s="131" t="str">
        <f>IF(Tab.o1[[#This Row],[a1]]=1,[1]!T_AA[[#This Row],[IN'']]*[1]!T_AA[[#This Row],[Qde'']],"")</f>
        <v/>
      </c>
      <c r="AK77" s="132" t="str">
        <f>IF(Tab.o1[[#This Row],[a1]]=1,IF(AK$1=1,Tab.o1[[#This Row],[MED]]+Tab.o1[[#This Row],[MOD]]-Tab.o1[[#This Row],[MED]],""),"")</f>
        <v/>
      </c>
      <c r="AL77" s="133" t="str">
        <f>IF(Tab.o1[[#This Row],[a1]]=1,[1]!T.in.A[[#This Row],[oo16]],"")</f>
        <v/>
      </c>
      <c r="AM77" s="133" t="str">
        <f>IF(Tab.o1[[#This Row],[a1]]=1,IF(AM$3=1,[1]!T.in.A[[#This Row],[Σo16]],""),"")</f>
        <v/>
      </c>
      <c r="AN77" s="126" t="str">
        <f>IF(Tab.o1[[#This Row],[a1]]=1,[1]!T.in.A[[#This Row],[Σp5]],"")</f>
        <v/>
      </c>
      <c r="AO77" s="126" t="str">
        <f>IF(Tab.o1[[#This Row],[a1]]=1,IF(AO$3=1,[1]!T.in.A[[#This Row],[Σp5]],""),"")</f>
        <v/>
      </c>
      <c r="AP77" s="110" t="str">
        <f>IF(Tab.o1[[#This Row],[a1]]=1,IF(ISNUMBER(Tab.o1[[#This Row],[i.]]),NORMDIST(Tab.o1[[#This Row],[Za]],0,1,FALSE)*Tab.o1[[#This Row],[i.]],0),"")</f>
        <v/>
      </c>
      <c r="AQ77" s="125" t="str">
        <f>IF(Tab.o1[[#This Row],[a1]]=1,ABS(Tab.o1[[#This Row],[MOD]]-AVERAGE(Tab.o1[MOD])),"")</f>
        <v/>
      </c>
      <c r="AR77" s="134" t="str">
        <f>IF(Tab.o1[[#This Row],[a1]]=1,Tab.o1[[#This Row],[OBS]]/SUM(Tab.o1[OBS]),"")</f>
        <v/>
      </c>
      <c r="AS77" s="135" t="str">
        <f>IF(ISNUMBER(Tab.o1[[#This Row],[a1]]),ROW()-4,"")</f>
        <v/>
      </c>
      <c r="AT77" s="136" t="str">
        <f>Tab.o1[[#This Row],[MOD]]</f>
        <v/>
      </c>
      <c r="AU77" s="137" t="str">
        <f t="shared" si="5"/>
        <v/>
      </c>
      <c r="AV77" s="138" t="str">
        <f t="shared" si="6"/>
        <v/>
      </c>
      <c r="AW77" s="138" t="str">
        <f t="shared" si="7"/>
        <v/>
      </c>
      <c r="AX77" s="139" t="str">
        <f>[1]!T.in.A[[#This Row],[ID_T_manu]]</f>
        <v/>
      </c>
      <c r="AY77" s="140" t="str">
        <f>IF(ISNUMBER(Tab.o1[[#This Row],[a1]]),IF(AND(Tab.o1[[#This Row],[a1]]=1,Tab.o1[[#This Row],[b1]]&lt;=AY$4),#REF!,AY76),"")</f>
        <v/>
      </c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</row>
    <row r="78" spans="1:79" ht="14.25" hidden="1" customHeight="1">
      <c r="A78" s="109">
        <v>2.9999999999999997E-6</v>
      </c>
      <c r="B78" s="110">
        <f t="shared" si="4"/>
        <v>78</v>
      </c>
      <c r="C78" s="111" t="str">
        <f>IF(C$1=[1]!T.in.A[[#This Row],[oo2]],1,"")</f>
        <v/>
      </c>
      <c r="D78" s="112" t="str">
        <f>IF(Tab.o1[[#This Row],[a1]]=1,IF(SUM(C78:C79)=0,0,IF(SUM(C77:C78)=1,1,IF(SUM(C77:C79)&gt;1,D77+1,0))),"")</f>
        <v/>
      </c>
      <c r="E78" s="113" t="str">
        <f>IF(Tab.o1[[#This Row],[a1]]=1,[1]!T.in.A[[#This Row],[oo1]],"")</f>
        <v/>
      </c>
      <c r="F78" s="113" t="str">
        <f>IF(Tab.o1[[#This Row],[a1]]=1,[1]!T.in.A[[#This Row],[pp1]],"")</f>
        <v/>
      </c>
      <c r="G78" s="114" t="str">
        <f>IF(Tab.o1[[#This Row],[a1]]=1,G$2+IF(G$1=1,0,Tab.o1[[#This Row],[.x1]])+[1]!T.in.A[[#This Row],[oo3]],"")</f>
        <v/>
      </c>
      <c r="H78" s="115" t="str">
        <f>IF(Tab.o1[[#This Row],[a1]]=1,IF(H$2=0,0,IF(G$1=1,0,Tab.o1[[#This Row],[.x1]])+[1]!T.in.A[[#This Row],[oo4]]),"")</f>
        <v/>
      </c>
      <c r="I78" s="116" t="str">
        <f>IF(Tab.o1[[#This Row],[a1]]=1,IF(J$2=0,Tab.o1[[#This Row],[MED]],Tab.o1[[#This Row],[MOD]]),"")</f>
        <v/>
      </c>
      <c r="J78" s="116" t="str">
        <f>IF(Tab.o1[[#This Row],[a1]]=1,((Tab.o1[[#This Row],[DIF_Target.]]-AVERAGE(Tab.o1[DIF_Target.]))/_xlfn.STDEV.P(Tab.o1[DIF_Target.])),"")</f>
        <v/>
      </c>
      <c r="K78" s="117" t="str">
        <f>IF(Tab.o1[[#This Row],[a1]]=1,IF(J$2=0,Tab.o1[[#This Row],[MOD]]-Tab.o1[[#This Row],[B]],IF(J$2=1,0,-Tab.o1[[#This Row],[MED]])+Tab.o1[[#This Row],[B]]),"")</f>
        <v/>
      </c>
      <c r="L78" s="117" t="str">
        <f ca="1">IF(Tab.o1[[#This Row],[DIF_Target]]=0,IF(L$2=0,Tab.o1[[#This Row],[DIF_Target]],AVERAGE(OFFSET(Tab.o1[[#This Row],[DIF_Target]],1,0,L$3,1)))/3,Tab.o1[[#This Row],[DIF_Target]])</f>
        <v/>
      </c>
      <c r="M78" s="118" t="str">
        <f>IF(Tab.o1[[#This Row],[a1]]=1,NORMSDIST(Tab.o1[[#This Row],[Za]]),"")</f>
        <v/>
      </c>
      <c r="N78" s="119" t="str">
        <f>IF(Tab.o1[[#This Row],[a1]]=1,((Tab.o1[[#This Row],[MedMod]]-AVERAGE(Tab.o1[MedMod]))/_xlfn.STDEV.P(Tab.o1[MedMod])*H$1205)+G$1205,"")</f>
        <v/>
      </c>
      <c r="O78" s="141" t="str">
        <f>IF(Tab.o1[[#This Row],[a1]]=1,Tab.o1[[#This Row],[Zb]]*_xlfn.STDEV.P(Tab.o1[MedMod])+AVERAGE(Tab.o1[MedMod]),"")</f>
        <v/>
      </c>
      <c r="P78" s="117" t="str">
        <f ca="1">IF(Tab.o1[[#This Row],[B]]=0,AVERAGE(OFFSET(Tab.o1[[#This Row],[B]],1,0,L$3,1)),Tab.o1[[#This Row],[B]])</f>
        <v/>
      </c>
      <c r="Q78" s="121" t="str">
        <f>IF(Tab.o1[[#This Row],[a1]]=1,NORMSDIST(Tab.o1[[#This Row],[Zb]]),"")</f>
        <v/>
      </c>
      <c r="R78" s="122" t="str">
        <f>IF(Tab.o1[[#This Row],[a1]]=1,((Tab.o1[[#This Row],[MedMod]]-AVERAGE(Tab.o1[MedMod]))/_xlfn.STDEV.P(Tab.o1[MedMod])*H$1203)+G$1203,"")</f>
        <v/>
      </c>
      <c r="S78" s="122" t="str">
        <f>IF(Tab.o1[[#This Row],[a1]]=1,((Tab.o1[[#This Row],[MedMod]]-AVERAGE(Tab.o1[MedMod]))/_xlfn.STDEV.P(Tab.o1[MedMod])*H$1204)+G$1204,"")</f>
        <v/>
      </c>
      <c r="T78" s="123" t="str">
        <f>IF(Tab.o1[[#This Row],[a1]]=1,Tab.o1[[#This Row],[Z-]]*_xlfn.STDEV.P(Tab.o1[B])+AVERAGE(Tab.o1[B]),"")</f>
        <v/>
      </c>
      <c r="U78" s="123" t="str">
        <f>IF(Tab.o1[[#This Row],[a1]]=1,Tab.o1[[#This Row],[z+]]*_xlfn.STDEV.P(Tab.o1[B])+AVERAGE(Tab.o1[B]),"")</f>
        <v/>
      </c>
      <c r="V78" s="124" t="str">
        <f>IF(Tab.o1[[#This Row],[a1]]=1,ABS((ABS(Tab.o1[[#This Row],[Red]]-Tab.o1[[#This Row],[Blue]]))),"")</f>
        <v/>
      </c>
      <c r="W78" s="125" t="str">
        <f>IF(Tab.o1[[#This Row],[a1]]=1,IF(W$3=0,1,Tab.o1[[#This Row],[Amp.]]*1/_xlfn.MINIFS(Tab.o1[Amp.],Tab.o1[Amp.],"&lt;&gt;0")),"")</f>
        <v/>
      </c>
      <c r="X78" s="126" t="str">
        <f>IF(Tab.o1[[#This Row],[a1]]=1,IF(ISNUMBER(Tab.o1[[#This Row],[i.]]),NORMDIST(Tab.o1[[#This Row],[Za]],0,1,FALSE)*Tab.o1[[#This Row],[i.]],AP$3),"")</f>
        <v/>
      </c>
      <c r="Y78" s="126" t="str">
        <f>IF(Tab.o1[[#This Row],[a1]]=1,0.01+0.94*Tab.o1[[#This Row],[PDF]]/MAX(Tab.o1[PDF]),"")</f>
        <v/>
      </c>
      <c r="Z78" s="126" t="str">
        <f>IF(Tab.o1[[#This Row],[a1]]=1,0.01+0.94*Tab.o1[[#This Row],[W1_PDF]]/MAX(Tab.o1[W1_PDF]),"")</f>
        <v/>
      </c>
      <c r="AA78" s="118" t="str">
        <f>IF(Tab.o1[[#This Row],[a1]]=1,ABS([1]!T.in.A[[#This Row],[oo6]]),"")</f>
        <v/>
      </c>
      <c r="AB78" s="127" t="str">
        <f>IF(Tab.o1[[#This Row],[a1]]=1,IF(AE$3=0,"",IF(AB$3=0,ABS([1]!T.in.A[[#This Row],[oo9]]),ABS(Tab.o1[[#This Row],[DIF_Target.]]*Tab.o1[[#This Row],[W1_PDF]]))),"")</f>
        <v/>
      </c>
      <c r="AC78" s="127" t="str">
        <f>IF(G$1=1,"",IF(Tab.o1[[#This Row],[a1]]=1,Tab.o1[[#This Row],[Wr]]^2,""))</f>
        <v/>
      </c>
      <c r="AD78" s="118" t="str">
        <f>IF(Tab.o1[[#This Row],[a1]]=1,IF(AE$3=0,"",Tab.o1[[#This Row],[Wr2]]/SUM(Tab.o1[Wr2])),"")</f>
        <v/>
      </c>
      <c r="AE78" s="128" t="str">
        <f>IF(Tab.o1[[#This Row],[a1]]=1,[1]!T.in.A[[#This Row],[oo10]],"")</f>
        <v/>
      </c>
      <c r="AF78" s="118" t="str">
        <f>IF(Tab.o1[[#This Row],[a1]]=1,ABS(Tab.o1[[#This Row],[DIF_Target.]]*Tab.o1[[#This Row],[PDF2]]*Tab.o1[[#This Row],[IN]]),"")</f>
        <v/>
      </c>
      <c r="AG78" s="129" t="str">
        <f>IF(Tab.o1[[#This Row],[a1]]=1,Tab.o1[[#This Row],[rW]]^2,"")</f>
        <v/>
      </c>
      <c r="AH78" s="130" t="str">
        <f>IF(Tab.o1[[#This Row],[a1]]=1,IF(AH$3=0,Tab.o1[[#This Row],[rW2]],0.01+0.94*Tab.o1[[#This Row],[rW2]]/SUM(Tab.o1[rW2])),"")</f>
        <v/>
      </c>
      <c r="AI78" s="128" t="str">
        <f>IF(Tab.o1[[#This Row],[a1]]=1,1/Tab.o1[[#This Row],[PDF]],"")</f>
        <v/>
      </c>
      <c r="AJ78" s="131" t="str">
        <f>IF(Tab.o1[[#This Row],[a1]]=1,[1]!T_AA[[#This Row],[IN'']]*[1]!T_AA[[#This Row],[Qde'']],"")</f>
        <v/>
      </c>
      <c r="AK78" s="132" t="str">
        <f>IF(Tab.o1[[#This Row],[a1]]=1,IF(AK$1=1,Tab.o1[[#This Row],[MED]]+Tab.o1[[#This Row],[MOD]]-Tab.o1[[#This Row],[MED]],""),"")</f>
        <v/>
      </c>
      <c r="AL78" s="133" t="str">
        <f>IF(Tab.o1[[#This Row],[a1]]=1,[1]!T.in.A[[#This Row],[oo16]],"")</f>
        <v/>
      </c>
      <c r="AM78" s="133" t="str">
        <f>IF(Tab.o1[[#This Row],[a1]]=1,IF(AM$3=1,[1]!T.in.A[[#This Row],[Σo16]],""),"")</f>
        <v/>
      </c>
      <c r="AN78" s="126" t="str">
        <f>IF(Tab.o1[[#This Row],[a1]]=1,[1]!T.in.A[[#This Row],[Σp5]],"")</f>
        <v/>
      </c>
      <c r="AO78" s="126" t="str">
        <f>IF(Tab.o1[[#This Row],[a1]]=1,IF(AO$3=1,[1]!T.in.A[[#This Row],[Σp5]],""),"")</f>
        <v/>
      </c>
      <c r="AP78" s="110" t="str">
        <f>IF(Tab.o1[[#This Row],[a1]]=1,IF(ISNUMBER(Tab.o1[[#This Row],[i.]]),NORMDIST(Tab.o1[[#This Row],[Za]],0,1,FALSE)*Tab.o1[[#This Row],[i.]],0),"")</f>
        <v/>
      </c>
      <c r="AQ78" s="125" t="str">
        <f>IF(Tab.o1[[#This Row],[a1]]=1,ABS(Tab.o1[[#This Row],[MOD]]-AVERAGE(Tab.o1[MOD])),"")</f>
        <v/>
      </c>
      <c r="AR78" s="134" t="str">
        <f>IF(Tab.o1[[#This Row],[a1]]=1,Tab.o1[[#This Row],[OBS]]/SUM(Tab.o1[OBS]),"")</f>
        <v/>
      </c>
      <c r="AS78" s="135" t="str">
        <f>IF(ISNUMBER(Tab.o1[[#This Row],[a1]]),ROW()-4,"")</f>
        <v/>
      </c>
      <c r="AT78" s="136" t="str">
        <f>Tab.o1[[#This Row],[MOD]]</f>
        <v/>
      </c>
      <c r="AU78" s="137" t="str">
        <f t="shared" si="5"/>
        <v/>
      </c>
      <c r="AV78" s="138" t="str">
        <f t="shared" si="6"/>
        <v/>
      </c>
      <c r="AW78" s="138" t="str">
        <f t="shared" si="7"/>
        <v/>
      </c>
      <c r="AX78" s="139">
        <f>[1]!T.in.A[[#This Row],[ID_T_manu]]</f>
        <v>19</v>
      </c>
      <c r="AY78" s="140" t="str">
        <f>IF(ISNUMBER(Tab.o1[[#This Row],[a1]]),IF(AND(Tab.o1[[#This Row],[a1]]=1,Tab.o1[[#This Row],[b1]]&lt;=AY$4),#REF!,AY77),"")</f>
        <v/>
      </c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</row>
    <row r="79" spans="1:79" ht="14.25" hidden="1" customHeight="1">
      <c r="A79" s="109">
        <v>5.0000000000000004E-6</v>
      </c>
      <c r="B79" s="110">
        <f t="shared" si="4"/>
        <v>79</v>
      </c>
      <c r="C79" s="111" t="str">
        <f>IF(C$1=[1]!T.in.A[[#This Row],[oo2]],1,"")</f>
        <v/>
      </c>
      <c r="D79" s="112" t="str">
        <f>IF(Tab.o1[[#This Row],[a1]]=1,IF(SUM(C79:C80)=0,0,IF(SUM(C78:C79)=1,1,IF(SUM(C78:C80)&gt;1,D78+1,0))),"")</f>
        <v/>
      </c>
      <c r="E79" s="113" t="str">
        <f>IF(Tab.o1[[#This Row],[a1]]=1,[1]!T.in.A[[#This Row],[oo1]],"")</f>
        <v/>
      </c>
      <c r="F79" s="113" t="str">
        <f>IF(Tab.o1[[#This Row],[a1]]=1,[1]!T.in.A[[#This Row],[pp1]],"")</f>
        <v/>
      </c>
      <c r="G79" s="114" t="str">
        <f>IF(Tab.o1[[#This Row],[a1]]=1,G$2+IF(G$1=1,0,Tab.o1[[#This Row],[.x1]])+[1]!T.in.A[[#This Row],[oo3]],"")</f>
        <v/>
      </c>
      <c r="H79" s="115" t="str">
        <f>IF(Tab.o1[[#This Row],[a1]]=1,IF(H$2=0,0,IF(G$1=1,0,Tab.o1[[#This Row],[.x1]])+[1]!T.in.A[[#This Row],[oo4]]),"")</f>
        <v/>
      </c>
      <c r="I79" s="116" t="str">
        <f>IF(Tab.o1[[#This Row],[a1]]=1,IF(J$2=0,Tab.o1[[#This Row],[MED]],Tab.o1[[#This Row],[MOD]]),"")</f>
        <v/>
      </c>
      <c r="J79" s="116" t="str">
        <f>IF(Tab.o1[[#This Row],[a1]]=1,((Tab.o1[[#This Row],[DIF_Target.]]-AVERAGE(Tab.o1[DIF_Target.]))/_xlfn.STDEV.P(Tab.o1[DIF_Target.])),"")</f>
        <v/>
      </c>
      <c r="K79" s="117" t="str">
        <f>IF(Tab.o1[[#This Row],[a1]]=1,IF(J$2=0,Tab.o1[[#This Row],[MOD]]-Tab.o1[[#This Row],[B]],IF(J$2=1,0,-Tab.o1[[#This Row],[MED]])+Tab.o1[[#This Row],[B]]),"")</f>
        <v/>
      </c>
      <c r="L79" s="117" t="str">
        <f ca="1">IF(Tab.o1[[#This Row],[DIF_Target]]=0,IF(L$2=0,Tab.o1[[#This Row],[DIF_Target]],AVERAGE(OFFSET(Tab.o1[[#This Row],[DIF_Target]],1,0,L$3,1)))/3,Tab.o1[[#This Row],[DIF_Target]])</f>
        <v/>
      </c>
      <c r="M79" s="118" t="str">
        <f>IF(Tab.o1[[#This Row],[a1]]=1,NORMSDIST(Tab.o1[[#This Row],[Za]]),"")</f>
        <v/>
      </c>
      <c r="N79" s="119" t="str">
        <f>IF(Tab.o1[[#This Row],[a1]]=1,((Tab.o1[[#This Row],[MedMod]]-AVERAGE(Tab.o1[MedMod]))/_xlfn.STDEV.P(Tab.o1[MedMod])*H$1205)+G$1205,"")</f>
        <v/>
      </c>
      <c r="O79" s="141" t="str">
        <f>IF(Tab.o1[[#This Row],[a1]]=1,Tab.o1[[#This Row],[Zb]]*_xlfn.STDEV.P(Tab.o1[MedMod])+AVERAGE(Tab.o1[MedMod]),"")</f>
        <v/>
      </c>
      <c r="P79" s="117" t="str">
        <f ca="1">IF(Tab.o1[[#This Row],[B]]=0,AVERAGE(OFFSET(Tab.o1[[#This Row],[B]],1,0,L$3,1)),Tab.o1[[#This Row],[B]])</f>
        <v/>
      </c>
      <c r="Q79" s="121" t="str">
        <f>IF(Tab.o1[[#This Row],[a1]]=1,NORMSDIST(Tab.o1[[#This Row],[Zb]]),"")</f>
        <v/>
      </c>
      <c r="R79" s="122" t="str">
        <f>IF(Tab.o1[[#This Row],[a1]]=1,((Tab.o1[[#This Row],[MedMod]]-AVERAGE(Tab.o1[MedMod]))/_xlfn.STDEV.P(Tab.o1[MedMod])*H$1203)+G$1203,"")</f>
        <v/>
      </c>
      <c r="S79" s="122" t="str">
        <f>IF(Tab.o1[[#This Row],[a1]]=1,((Tab.o1[[#This Row],[MedMod]]-AVERAGE(Tab.o1[MedMod]))/_xlfn.STDEV.P(Tab.o1[MedMod])*H$1204)+G$1204,"")</f>
        <v/>
      </c>
      <c r="T79" s="123" t="str">
        <f>IF(Tab.o1[[#This Row],[a1]]=1,Tab.o1[[#This Row],[Z-]]*_xlfn.STDEV.P(Tab.o1[B])+AVERAGE(Tab.o1[B]),"")</f>
        <v/>
      </c>
      <c r="U79" s="123" t="str">
        <f>IF(Tab.o1[[#This Row],[a1]]=1,Tab.o1[[#This Row],[z+]]*_xlfn.STDEV.P(Tab.o1[B])+AVERAGE(Tab.o1[B]),"")</f>
        <v/>
      </c>
      <c r="V79" s="124" t="str">
        <f>IF(Tab.o1[[#This Row],[a1]]=1,ABS((ABS(Tab.o1[[#This Row],[Red]]-Tab.o1[[#This Row],[Blue]]))),"")</f>
        <v/>
      </c>
      <c r="W79" s="125" t="str">
        <f>IF(Tab.o1[[#This Row],[a1]]=1,IF(W$3=0,1,Tab.o1[[#This Row],[Amp.]]*1/_xlfn.MINIFS(Tab.o1[Amp.],Tab.o1[Amp.],"&lt;&gt;0")),"")</f>
        <v/>
      </c>
      <c r="X79" s="126" t="str">
        <f>IF(Tab.o1[[#This Row],[a1]]=1,IF(ISNUMBER(Tab.o1[[#This Row],[i.]]),NORMDIST(Tab.o1[[#This Row],[Za]],0,1,FALSE)*Tab.o1[[#This Row],[i.]],AP$3),"")</f>
        <v/>
      </c>
      <c r="Y79" s="126" t="str">
        <f>IF(Tab.o1[[#This Row],[a1]]=1,0.01+0.94*Tab.o1[[#This Row],[PDF]]/MAX(Tab.o1[PDF]),"")</f>
        <v/>
      </c>
      <c r="Z79" s="126" t="str">
        <f>IF(Tab.o1[[#This Row],[a1]]=1,0.01+0.94*Tab.o1[[#This Row],[W1_PDF]]/MAX(Tab.o1[W1_PDF]),"")</f>
        <v/>
      </c>
      <c r="AA79" s="118" t="str">
        <f>IF(Tab.o1[[#This Row],[a1]]=1,ABS([1]!T.in.A[[#This Row],[oo6]]),"")</f>
        <v/>
      </c>
      <c r="AB79" s="127" t="str">
        <f>IF(Tab.o1[[#This Row],[a1]]=1,IF(AE$3=0,"",IF(AB$3=0,ABS([1]!T.in.A[[#This Row],[oo9]]),ABS(Tab.o1[[#This Row],[DIF_Target.]]*Tab.o1[[#This Row],[W1_PDF]]))),"")</f>
        <v/>
      </c>
      <c r="AC79" s="127" t="str">
        <f>IF(G$1=1,"",IF(Tab.o1[[#This Row],[a1]]=1,Tab.o1[[#This Row],[Wr]]^2,""))</f>
        <v/>
      </c>
      <c r="AD79" s="118" t="str">
        <f>IF(Tab.o1[[#This Row],[a1]]=1,IF(AE$3=0,"",Tab.o1[[#This Row],[Wr2]]/SUM(Tab.o1[Wr2])),"")</f>
        <v/>
      </c>
      <c r="AE79" s="128" t="str">
        <f>IF(Tab.o1[[#This Row],[a1]]=1,[1]!T.in.A[[#This Row],[oo10]],"")</f>
        <v/>
      </c>
      <c r="AF79" s="118" t="str">
        <f>IF(Tab.o1[[#This Row],[a1]]=1,ABS(Tab.o1[[#This Row],[DIF_Target.]]*Tab.o1[[#This Row],[PDF2]]*Tab.o1[[#This Row],[IN]]),"")</f>
        <v/>
      </c>
      <c r="AG79" s="129" t="str">
        <f>IF(Tab.o1[[#This Row],[a1]]=1,Tab.o1[[#This Row],[rW]]^2,"")</f>
        <v/>
      </c>
      <c r="AH79" s="130" t="str">
        <f>IF(Tab.o1[[#This Row],[a1]]=1,IF(AH$3=0,Tab.o1[[#This Row],[rW2]],0.01+0.94*Tab.o1[[#This Row],[rW2]]/SUM(Tab.o1[rW2])),"")</f>
        <v/>
      </c>
      <c r="AI79" s="128" t="str">
        <f>IF(Tab.o1[[#This Row],[a1]]=1,1/Tab.o1[[#This Row],[PDF]],"")</f>
        <v/>
      </c>
      <c r="AJ79" s="131" t="str">
        <f>IF(Tab.o1[[#This Row],[a1]]=1,[1]!T_AA[[#This Row],[IN'']]*[1]!T_AA[[#This Row],[Qde'']],"")</f>
        <v/>
      </c>
      <c r="AK79" s="132" t="str">
        <f>IF(Tab.o1[[#This Row],[a1]]=1,IF(AK$1=1,Tab.o1[[#This Row],[MED]]+Tab.o1[[#This Row],[MOD]]-Tab.o1[[#This Row],[MED]],""),"")</f>
        <v/>
      </c>
      <c r="AL79" s="133" t="str">
        <f>IF(Tab.o1[[#This Row],[a1]]=1,[1]!T.in.A[[#This Row],[oo16]],"")</f>
        <v/>
      </c>
      <c r="AM79" s="133" t="str">
        <f>IF(Tab.o1[[#This Row],[a1]]=1,IF(AM$3=1,[1]!T.in.A[[#This Row],[Σo16]],""),"")</f>
        <v/>
      </c>
      <c r="AN79" s="126" t="str">
        <f>IF(Tab.o1[[#This Row],[a1]]=1,[1]!T.in.A[[#This Row],[Σp5]],"")</f>
        <v/>
      </c>
      <c r="AO79" s="126" t="str">
        <f>IF(Tab.o1[[#This Row],[a1]]=1,IF(AO$3=1,[1]!T.in.A[[#This Row],[Σp5]],""),"")</f>
        <v/>
      </c>
      <c r="AP79" s="110" t="str">
        <f>IF(Tab.o1[[#This Row],[a1]]=1,IF(ISNUMBER(Tab.o1[[#This Row],[i.]]),NORMDIST(Tab.o1[[#This Row],[Za]],0,1,FALSE)*Tab.o1[[#This Row],[i.]],0),"")</f>
        <v/>
      </c>
      <c r="AQ79" s="125" t="str">
        <f>IF(Tab.o1[[#This Row],[a1]]=1,ABS(Tab.o1[[#This Row],[MOD]]-AVERAGE(Tab.o1[MOD])),"")</f>
        <v/>
      </c>
      <c r="AR79" s="134" t="str">
        <f>IF(Tab.o1[[#This Row],[a1]]=1,Tab.o1[[#This Row],[OBS]]/SUM(Tab.o1[OBS]),"")</f>
        <v/>
      </c>
      <c r="AS79" s="135" t="str">
        <f>IF(ISNUMBER(Tab.o1[[#This Row],[a1]]),ROW()-4,"")</f>
        <v/>
      </c>
      <c r="AT79" s="136" t="str">
        <f>Tab.o1[[#This Row],[MOD]]</f>
        <v/>
      </c>
      <c r="AU79" s="137" t="str">
        <f t="shared" si="5"/>
        <v/>
      </c>
      <c r="AV79" s="138" t="str">
        <f t="shared" si="6"/>
        <v/>
      </c>
      <c r="AW79" s="138" t="str">
        <f t="shared" si="7"/>
        <v/>
      </c>
      <c r="AX79" s="139" t="str">
        <f>[1]!T.in.A[[#This Row],[ID_T_manu]]</f>
        <v/>
      </c>
      <c r="AY79" s="140" t="str">
        <f>IF(ISNUMBER(Tab.o1[[#This Row],[a1]]),IF(AND(Tab.o1[[#This Row],[a1]]=1,Tab.o1[[#This Row],[b1]]&lt;=AY$4),#REF!,AY78),"")</f>
        <v/>
      </c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</row>
    <row r="80" spans="1:79" ht="14.25" hidden="1" customHeight="1">
      <c r="A80" s="109">
        <v>2.0000000000000003E-6</v>
      </c>
      <c r="B80" s="110">
        <f t="shared" si="4"/>
        <v>80</v>
      </c>
      <c r="C80" s="111" t="str">
        <f>IF(C$1=[1]!T.in.A[[#This Row],[oo2]],1,"")</f>
        <v/>
      </c>
      <c r="D80" s="112" t="str">
        <f>IF(Tab.o1[[#This Row],[a1]]=1,IF(SUM(C80:C81)=0,0,IF(SUM(C79:C80)=1,1,IF(SUM(C79:C81)&gt;1,D79+1,0))),"")</f>
        <v/>
      </c>
      <c r="E80" s="113" t="str">
        <f>IF(Tab.o1[[#This Row],[a1]]=1,[1]!T.in.A[[#This Row],[oo1]],"")</f>
        <v/>
      </c>
      <c r="F80" s="113" t="str">
        <f>IF(Tab.o1[[#This Row],[a1]]=1,[1]!T.in.A[[#This Row],[pp1]],"")</f>
        <v/>
      </c>
      <c r="G80" s="114" t="str">
        <f>IF(Tab.o1[[#This Row],[a1]]=1,G$2+IF(G$1=1,0,Tab.o1[[#This Row],[.x1]])+[1]!T.in.A[[#This Row],[oo3]],"")</f>
        <v/>
      </c>
      <c r="H80" s="115" t="str">
        <f>IF(Tab.o1[[#This Row],[a1]]=1,IF(H$2=0,0,IF(G$1=1,0,Tab.o1[[#This Row],[.x1]])+[1]!T.in.A[[#This Row],[oo4]]),"")</f>
        <v/>
      </c>
      <c r="I80" s="116" t="str">
        <f>IF(Tab.o1[[#This Row],[a1]]=1,IF(J$2=0,Tab.o1[[#This Row],[MED]],Tab.o1[[#This Row],[MOD]]),"")</f>
        <v/>
      </c>
      <c r="J80" s="116" t="str">
        <f>IF(Tab.o1[[#This Row],[a1]]=1,((Tab.o1[[#This Row],[DIF_Target.]]-AVERAGE(Tab.o1[DIF_Target.]))/_xlfn.STDEV.P(Tab.o1[DIF_Target.])),"")</f>
        <v/>
      </c>
      <c r="K80" s="117" t="str">
        <f>IF(Tab.o1[[#This Row],[a1]]=1,IF(J$2=0,Tab.o1[[#This Row],[MOD]]-Tab.o1[[#This Row],[B]],IF(J$2=1,0,-Tab.o1[[#This Row],[MED]])+Tab.o1[[#This Row],[B]]),"")</f>
        <v/>
      </c>
      <c r="L80" s="117" t="str">
        <f ca="1">IF(Tab.o1[[#This Row],[DIF_Target]]=0,IF(L$2=0,Tab.o1[[#This Row],[DIF_Target]],AVERAGE(OFFSET(Tab.o1[[#This Row],[DIF_Target]],1,0,L$3,1)))/3,Tab.o1[[#This Row],[DIF_Target]])</f>
        <v/>
      </c>
      <c r="M80" s="118" t="str">
        <f>IF(Tab.o1[[#This Row],[a1]]=1,NORMSDIST(Tab.o1[[#This Row],[Za]]),"")</f>
        <v/>
      </c>
      <c r="N80" s="119" t="str">
        <f>IF(Tab.o1[[#This Row],[a1]]=1,((Tab.o1[[#This Row],[MedMod]]-AVERAGE(Tab.o1[MedMod]))/_xlfn.STDEV.P(Tab.o1[MedMod])*H$1205)+G$1205,"")</f>
        <v/>
      </c>
      <c r="O80" s="141" t="str">
        <f>IF(Tab.o1[[#This Row],[a1]]=1,Tab.o1[[#This Row],[Zb]]*_xlfn.STDEV.P(Tab.o1[MedMod])+AVERAGE(Tab.o1[MedMod]),"")</f>
        <v/>
      </c>
      <c r="P80" s="117" t="str">
        <f ca="1">IF(Tab.o1[[#This Row],[B]]=0,AVERAGE(OFFSET(Tab.o1[[#This Row],[B]],1,0,L$3,1)),Tab.o1[[#This Row],[B]])</f>
        <v/>
      </c>
      <c r="Q80" s="121" t="str">
        <f>IF(Tab.o1[[#This Row],[a1]]=1,NORMSDIST(Tab.o1[[#This Row],[Zb]]),"")</f>
        <v/>
      </c>
      <c r="R80" s="122" t="str">
        <f>IF(Tab.o1[[#This Row],[a1]]=1,((Tab.o1[[#This Row],[MedMod]]-AVERAGE(Tab.o1[MedMod]))/_xlfn.STDEV.P(Tab.o1[MedMod])*H$1203)+G$1203,"")</f>
        <v/>
      </c>
      <c r="S80" s="122" t="str">
        <f>IF(Tab.o1[[#This Row],[a1]]=1,((Tab.o1[[#This Row],[MedMod]]-AVERAGE(Tab.o1[MedMod]))/_xlfn.STDEV.P(Tab.o1[MedMod])*H$1204)+G$1204,"")</f>
        <v/>
      </c>
      <c r="T80" s="123" t="str">
        <f>IF(Tab.o1[[#This Row],[a1]]=1,Tab.o1[[#This Row],[Z-]]*_xlfn.STDEV.P(Tab.o1[B])+AVERAGE(Tab.o1[B]),"")</f>
        <v/>
      </c>
      <c r="U80" s="123" t="str">
        <f>IF(Tab.o1[[#This Row],[a1]]=1,Tab.o1[[#This Row],[z+]]*_xlfn.STDEV.P(Tab.o1[B])+AVERAGE(Tab.o1[B]),"")</f>
        <v/>
      </c>
      <c r="V80" s="124" t="str">
        <f>IF(Tab.o1[[#This Row],[a1]]=1,ABS((ABS(Tab.o1[[#This Row],[Red]]-Tab.o1[[#This Row],[Blue]]))),"")</f>
        <v/>
      </c>
      <c r="W80" s="125" t="str">
        <f>IF(Tab.o1[[#This Row],[a1]]=1,IF(W$3=0,1,Tab.o1[[#This Row],[Amp.]]*1/_xlfn.MINIFS(Tab.o1[Amp.],Tab.o1[Amp.],"&lt;&gt;0")),"")</f>
        <v/>
      </c>
      <c r="X80" s="126" t="str">
        <f>IF(Tab.o1[[#This Row],[a1]]=1,IF(ISNUMBER(Tab.o1[[#This Row],[i.]]),NORMDIST(Tab.o1[[#This Row],[Za]],0,1,FALSE)*Tab.o1[[#This Row],[i.]],AP$3),"")</f>
        <v/>
      </c>
      <c r="Y80" s="126" t="str">
        <f>IF(Tab.o1[[#This Row],[a1]]=1,0.01+0.94*Tab.o1[[#This Row],[PDF]]/MAX(Tab.o1[PDF]),"")</f>
        <v/>
      </c>
      <c r="Z80" s="126" t="str">
        <f>IF(Tab.o1[[#This Row],[a1]]=1,0.01+0.94*Tab.o1[[#This Row],[W1_PDF]]/MAX(Tab.o1[W1_PDF]),"")</f>
        <v/>
      </c>
      <c r="AA80" s="118" t="str">
        <f>IF(Tab.o1[[#This Row],[a1]]=1,ABS([1]!T.in.A[[#This Row],[oo6]]),"")</f>
        <v/>
      </c>
      <c r="AB80" s="127" t="str">
        <f>IF(Tab.o1[[#This Row],[a1]]=1,IF(AE$3=0,"",IF(AB$3=0,ABS([1]!T.in.A[[#This Row],[oo9]]),ABS(Tab.o1[[#This Row],[DIF_Target.]]*Tab.o1[[#This Row],[W1_PDF]]))),"")</f>
        <v/>
      </c>
      <c r="AC80" s="127" t="str">
        <f>IF(G$1=1,"",IF(Tab.o1[[#This Row],[a1]]=1,Tab.o1[[#This Row],[Wr]]^2,""))</f>
        <v/>
      </c>
      <c r="AD80" s="118" t="str">
        <f>IF(Tab.o1[[#This Row],[a1]]=1,IF(AE$3=0,"",Tab.o1[[#This Row],[Wr2]]/SUM(Tab.o1[Wr2])),"")</f>
        <v/>
      </c>
      <c r="AE80" s="128" t="str">
        <f>IF(Tab.o1[[#This Row],[a1]]=1,[1]!T.in.A[[#This Row],[oo10]],"")</f>
        <v/>
      </c>
      <c r="AF80" s="118" t="str">
        <f>IF(Tab.o1[[#This Row],[a1]]=1,ABS(Tab.o1[[#This Row],[DIF_Target.]]*Tab.o1[[#This Row],[PDF2]]*Tab.o1[[#This Row],[IN]]),"")</f>
        <v/>
      </c>
      <c r="AG80" s="129" t="str">
        <f>IF(Tab.o1[[#This Row],[a1]]=1,Tab.o1[[#This Row],[rW]]^2,"")</f>
        <v/>
      </c>
      <c r="AH80" s="130" t="str">
        <f>IF(Tab.o1[[#This Row],[a1]]=1,IF(AH$3=0,Tab.o1[[#This Row],[rW2]],0.01+0.94*Tab.o1[[#This Row],[rW2]]/SUM(Tab.o1[rW2])),"")</f>
        <v/>
      </c>
      <c r="AI80" s="128" t="str">
        <f>IF(Tab.o1[[#This Row],[a1]]=1,1/Tab.o1[[#This Row],[PDF]],"")</f>
        <v/>
      </c>
      <c r="AJ80" s="131" t="str">
        <f>IF(Tab.o1[[#This Row],[a1]]=1,[1]!T_AA[[#This Row],[IN'']]*[1]!T_AA[[#This Row],[Qde'']],"")</f>
        <v/>
      </c>
      <c r="AK80" s="132" t="str">
        <f>IF(Tab.o1[[#This Row],[a1]]=1,IF(AK$1=1,Tab.o1[[#This Row],[MED]]+Tab.o1[[#This Row],[MOD]]-Tab.o1[[#This Row],[MED]],""),"")</f>
        <v/>
      </c>
      <c r="AL80" s="133" t="str">
        <f>IF(Tab.o1[[#This Row],[a1]]=1,[1]!T.in.A[[#This Row],[oo16]],"")</f>
        <v/>
      </c>
      <c r="AM80" s="133" t="str">
        <f>IF(Tab.o1[[#This Row],[a1]]=1,IF(AM$3=1,[1]!T.in.A[[#This Row],[Σo16]],""),"")</f>
        <v/>
      </c>
      <c r="AN80" s="126" t="str">
        <f>IF(Tab.o1[[#This Row],[a1]]=1,[1]!T.in.A[[#This Row],[Σp5]],"")</f>
        <v/>
      </c>
      <c r="AO80" s="126" t="str">
        <f>IF(Tab.o1[[#This Row],[a1]]=1,IF(AO$3=1,[1]!T.in.A[[#This Row],[Σp5]],""),"")</f>
        <v/>
      </c>
      <c r="AP80" s="110" t="str">
        <f>IF(Tab.o1[[#This Row],[a1]]=1,IF(ISNUMBER(Tab.o1[[#This Row],[i.]]),NORMDIST(Tab.o1[[#This Row],[Za]],0,1,FALSE)*Tab.o1[[#This Row],[i.]],0),"")</f>
        <v/>
      </c>
      <c r="AQ80" s="125" t="str">
        <f>IF(Tab.o1[[#This Row],[a1]]=1,ABS(Tab.o1[[#This Row],[MOD]]-AVERAGE(Tab.o1[MOD])),"")</f>
        <v/>
      </c>
      <c r="AR80" s="134" t="str">
        <f>IF(Tab.o1[[#This Row],[a1]]=1,Tab.o1[[#This Row],[OBS]]/SUM(Tab.o1[OBS]),"")</f>
        <v/>
      </c>
      <c r="AS80" s="135" t="str">
        <f>IF(ISNUMBER(Tab.o1[[#This Row],[a1]]),ROW()-4,"")</f>
        <v/>
      </c>
      <c r="AT80" s="136" t="str">
        <f>Tab.o1[[#This Row],[MOD]]</f>
        <v/>
      </c>
      <c r="AU80" s="137" t="str">
        <f t="shared" si="5"/>
        <v/>
      </c>
      <c r="AV80" s="138" t="str">
        <f t="shared" si="6"/>
        <v/>
      </c>
      <c r="AW80" s="138" t="str">
        <f t="shared" si="7"/>
        <v/>
      </c>
      <c r="AX80" s="139" t="str">
        <f>[1]!T.in.A[[#This Row],[ID_T_manu]]</f>
        <v/>
      </c>
      <c r="AY80" s="140" t="str">
        <f>IF(ISNUMBER(Tab.o1[[#This Row],[a1]]),IF(AND(Tab.o1[[#This Row],[a1]]=1,Tab.o1[[#This Row],[b1]]&lt;=AY$4),#REF!,AY79),"")</f>
        <v/>
      </c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</row>
    <row r="81" spans="1:79" ht="14.25" hidden="1" customHeight="1">
      <c r="A81" s="109">
        <v>-1.0000000000000001E-5</v>
      </c>
      <c r="B81" s="110">
        <f t="shared" si="4"/>
        <v>81</v>
      </c>
      <c r="C81" s="111" t="str">
        <f>IF(C$1=[1]!T.in.A[[#This Row],[oo2]],1,"")</f>
        <v/>
      </c>
      <c r="D81" s="112" t="str">
        <f>IF(Tab.o1[[#This Row],[a1]]=1,IF(SUM(C81:C82)=0,0,IF(SUM(C80:C81)=1,1,IF(SUM(C80:C82)&gt;1,D80+1,0))),"")</f>
        <v/>
      </c>
      <c r="E81" s="113" t="str">
        <f>IF(Tab.o1[[#This Row],[a1]]=1,[1]!T.in.A[[#This Row],[oo1]],"")</f>
        <v/>
      </c>
      <c r="F81" s="113" t="str">
        <f>IF(Tab.o1[[#This Row],[a1]]=1,[1]!T.in.A[[#This Row],[pp1]],"")</f>
        <v/>
      </c>
      <c r="G81" s="114" t="str">
        <f>IF(Tab.o1[[#This Row],[a1]]=1,G$2+IF(G$1=1,0,Tab.o1[[#This Row],[.x1]])+[1]!T.in.A[[#This Row],[oo3]],"")</f>
        <v/>
      </c>
      <c r="H81" s="115" t="str">
        <f>IF(Tab.o1[[#This Row],[a1]]=1,IF(H$2=0,0,IF(G$1=1,0,Tab.o1[[#This Row],[.x1]])+[1]!T.in.A[[#This Row],[oo4]]),"")</f>
        <v/>
      </c>
      <c r="I81" s="116" t="str">
        <f>IF(Tab.o1[[#This Row],[a1]]=1,IF(J$2=0,Tab.o1[[#This Row],[MED]],Tab.o1[[#This Row],[MOD]]),"")</f>
        <v/>
      </c>
      <c r="J81" s="116" t="str">
        <f>IF(Tab.o1[[#This Row],[a1]]=1,((Tab.o1[[#This Row],[DIF_Target.]]-AVERAGE(Tab.o1[DIF_Target.]))/_xlfn.STDEV.P(Tab.o1[DIF_Target.])),"")</f>
        <v/>
      </c>
      <c r="K81" s="117" t="str">
        <f>IF(Tab.o1[[#This Row],[a1]]=1,IF(J$2=0,Tab.o1[[#This Row],[MOD]]-Tab.o1[[#This Row],[B]],IF(J$2=1,0,-Tab.o1[[#This Row],[MED]])+Tab.o1[[#This Row],[B]]),"")</f>
        <v/>
      </c>
      <c r="L81" s="117" t="str">
        <f ca="1">IF(Tab.o1[[#This Row],[DIF_Target]]=0,IF(L$2=0,Tab.o1[[#This Row],[DIF_Target]],AVERAGE(OFFSET(Tab.o1[[#This Row],[DIF_Target]],1,0,L$3,1)))/3,Tab.o1[[#This Row],[DIF_Target]])</f>
        <v/>
      </c>
      <c r="M81" s="118" t="str">
        <f>IF(Tab.o1[[#This Row],[a1]]=1,NORMSDIST(Tab.o1[[#This Row],[Za]]),"")</f>
        <v/>
      </c>
      <c r="N81" s="119" t="str">
        <f>IF(Tab.o1[[#This Row],[a1]]=1,((Tab.o1[[#This Row],[MedMod]]-AVERAGE(Tab.o1[MedMod]))/_xlfn.STDEV.P(Tab.o1[MedMod])*H$1205)+G$1205,"")</f>
        <v/>
      </c>
      <c r="O81" s="141" t="str">
        <f>IF(Tab.o1[[#This Row],[a1]]=1,Tab.o1[[#This Row],[Zb]]*_xlfn.STDEV.P(Tab.o1[MedMod])+AVERAGE(Tab.o1[MedMod]),"")</f>
        <v/>
      </c>
      <c r="P81" s="117" t="str">
        <f ca="1">IF(Tab.o1[[#This Row],[B]]=0,AVERAGE(OFFSET(Tab.o1[[#This Row],[B]],1,0,L$3,1)),Tab.o1[[#This Row],[B]])</f>
        <v/>
      </c>
      <c r="Q81" s="121" t="str">
        <f>IF(Tab.o1[[#This Row],[a1]]=1,NORMSDIST(Tab.o1[[#This Row],[Zb]]),"")</f>
        <v/>
      </c>
      <c r="R81" s="122" t="str">
        <f>IF(Tab.o1[[#This Row],[a1]]=1,((Tab.o1[[#This Row],[MedMod]]-AVERAGE(Tab.o1[MedMod]))/_xlfn.STDEV.P(Tab.o1[MedMod])*H$1203)+G$1203,"")</f>
        <v/>
      </c>
      <c r="S81" s="122" t="str">
        <f>IF(Tab.o1[[#This Row],[a1]]=1,((Tab.o1[[#This Row],[MedMod]]-AVERAGE(Tab.o1[MedMod]))/_xlfn.STDEV.P(Tab.o1[MedMod])*H$1204)+G$1204,"")</f>
        <v/>
      </c>
      <c r="T81" s="123" t="str">
        <f>IF(Tab.o1[[#This Row],[a1]]=1,Tab.o1[[#This Row],[Z-]]*_xlfn.STDEV.P(Tab.o1[B])+AVERAGE(Tab.o1[B]),"")</f>
        <v/>
      </c>
      <c r="U81" s="123" t="str">
        <f>IF(Tab.o1[[#This Row],[a1]]=1,Tab.o1[[#This Row],[z+]]*_xlfn.STDEV.P(Tab.o1[B])+AVERAGE(Tab.o1[B]),"")</f>
        <v/>
      </c>
      <c r="V81" s="124" t="str">
        <f>IF(Tab.o1[[#This Row],[a1]]=1,ABS((ABS(Tab.o1[[#This Row],[Red]]-Tab.o1[[#This Row],[Blue]]))),"")</f>
        <v/>
      </c>
      <c r="W81" s="125" t="str">
        <f>IF(Tab.o1[[#This Row],[a1]]=1,IF(W$3=0,1,Tab.o1[[#This Row],[Amp.]]*1/_xlfn.MINIFS(Tab.o1[Amp.],Tab.o1[Amp.],"&lt;&gt;0")),"")</f>
        <v/>
      </c>
      <c r="X81" s="126" t="str">
        <f>IF(Tab.o1[[#This Row],[a1]]=1,IF(ISNUMBER(Tab.o1[[#This Row],[i.]]),NORMDIST(Tab.o1[[#This Row],[Za]],0,1,FALSE)*Tab.o1[[#This Row],[i.]],AP$3),"")</f>
        <v/>
      </c>
      <c r="Y81" s="126" t="str">
        <f>IF(Tab.o1[[#This Row],[a1]]=1,0.01+0.94*Tab.o1[[#This Row],[PDF]]/MAX(Tab.o1[PDF]),"")</f>
        <v/>
      </c>
      <c r="Z81" s="126" t="str">
        <f>IF(Tab.o1[[#This Row],[a1]]=1,0.01+0.94*Tab.o1[[#This Row],[W1_PDF]]/MAX(Tab.o1[W1_PDF]),"")</f>
        <v/>
      </c>
      <c r="AA81" s="118" t="str">
        <f>IF(Tab.o1[[#This Row],[a1]]=1,ABS([1]!T.in.A[[#This Row],[oo6]]),"")</f>
        <v/>
      </c>
      <c r="AB81" s="127" t="str">
        <f>IF(Tab.o1[[#This Row],[a1]]=1,IF(AE$3=0,"",IF(AB$3=0,ABS([1]!T.in.A[[#This Row],[oo9]]),ABS(Tab.o1[[#This Row],[DIF_Target.]]*Tab.o1[[#This Row],[W1_PDF]]))),"")</f>
        <v/>
      </c>
      <c r="AC81" s="127" t="str">
        <f>IF(G$1=1,"",IF(Tab.o1[[#This Row],[a1]]=1,Tab.o1[[#This Row],[Wr]]^2,""))</f>
        <v/>
      </c>
      <c r="AD81" s="118" t="str">
        <f>IF(Tab.o1[[#This Row],[a1]]=1,IF(AE$3=0,"",Tab.o1[[#This Row],[Wr2]]/SUM(Tab.o1[Wr2])),"")</f>
        <v/>
      </c>
      <c r="AE81" s="128" t="str">
        <f>IF(Tab.o1[[#This Row],[a1]]=1,[1]!T.in.A[[#This Row],[oo10]],"")</f>
        <v/>
      </c>
      <c r="AF81" s="118" t="str">
        <f>IF(Tab.o1[[#This Row],[a1]]=1,ABS(Tab.o1[[#This Row],[DIF_Target.]]*Tab.o1[[#This Row],[PDF2]]*Tab.o1[[#This Row],[IN]]),"")</f>
        <v/>
      </c>
      <c r="AG81" s="129" t="str">
        <f>IF(Tab.o1[[#This Row],[a1]]=1,Tab.o1[[#This Row],[rW]]^2,"")</f>
        <v/>
      </c>
      <c r="AH81" s="130" t="str">
        <f>IF(Tab.o1[[#This Row],[a1]]=1,IF(AH$3=0,Tab.o1[[#This Row],[rW2]],0.01+0.94*Tab.o1[[#This Row],[rW2]]/SUM(Tab.o1[rW2])),"")</f>
        <v/>
      </c>
      <c r="AI81" s="128" t="str">
        <f>IF(Tab.o1[[#This Row],[a1]]=1,1/Tab.o1[[#This Row],[PDF]],"")</f>
        <v/>
      </c>
      <c r="AJ81" s="131" t="str">
        <f>IF(Tab.o1[[#This Row],[a1]]=1,[1]!T_AA[[#This Row],[IN'']]*[1]!T_AA[[#This Row],[Qde'']],"")</f>
        <v/>
      </c>
      <c r="AK81" s="132" t="str">
        <f>IF(Tab.o1[[#This Row],[a1]]=1,IF(AK$1=1,Tab.o1[[#This Row],[MED]]+Tab.o1[[#This Row],[MOD]]-Tab.o1[[#This Row],[MED]],""),"")</f>
        <v/>
      </c>
      <c r="AL81" s="133" t="str">
        <f>IF(Tab.o1[[#This Row],[a1]]=1,[1]!T.in.A[[#This Row],[oo16]],"")</f>
        <v/>
      </c>
      <c r="AM81" s="133" t="str">
        <f>IF(Tab.o1[[#This Row],[a1]]=1,IF(AM$3=1,[1]!T.in.A[[#This Row],[Σo16]],""),"")</f>
        <v/>
      </c>
      <c r="AN81" s="126" t="str">
        <f>IF(Tab.o1[[#This Row],[a1]]=1,[1]!T.in.A[[#This Row],[Σp5]],"")</f>
        <v/>
      </c>
      <c r="AO81" s="126" t="str">
        <f>IF(Tab.o1[[#This Row],[a1]]=1,IF(AO$3=1,[1]!T.in.A[[#This Row],[Σp5]],""),"")</f>
        <v/>
      </c>
      <c r="AP81" s="110" t="str">
        <f>IF(Tab.o1[[#This Row],[a1]]=1,IF(ISNUMBER(Tab.o1[[#This Row],[i.]]),NORMDIST(Tab.o1[[#This Row],[Za]],0,1,FALSE)*Tab.o1[[#This Row],[i.]],0),"")</f>
        <v/>
      </c>
      <c r="AQ81" s="125" t="str">
        <f>IF(Tab.o1[[#This Row],[a1]]=1,ABS(Tab.o1[[#This Row],[MOD]]-AVERAGE(Tab.o1[MOD])),"")</f>
        <v/>
      </c>
      <c r="AR81" s="134" t="str">
        <f>IF(Tab.o1[[#This Row],[a1]]=1,Tab.o1[[#This Row],[OBS]]/SUM(Tab.o1[OBS]),"")</f>
        <v/>
      </c>
      <c r="AS81" s="135" t="str">
        <f>IF(ISNUMBER(Tab.o1[[#This Row],[a1]]),ROW()-4,"")</f>
        <v/>
      </c>
      <c r="AT81" s="136" t="str">
        <f>Tab.o1[[#This Row],[MOD]]</f>
        <v/>
      </c>
      <c r="AU81" s="137" t="str">
        <f t="shared" si="5"/>
        <v/>
      </c>
      <c r="AV81" s="138" t="str">
        <f t="shared" si="6"/>
        <v/>
      </c>
      <c r="AW81" s="138" t="str">
        <f t="shared" si="7"/>
        <v/>
      </c>
      <c r="AX81" s="139">
        <f>[1]!T.in.A[[#This Row],[ID_T_manu]]</f>
        <v>20</v>
      </c>
      <c r="AY81" s="140" t="str">
        <f>IF(ISNUMBER(Tab.o1[[#This Row],[a1]]),IF(AND(Tab.o1[[#This Row],[a1]]=1,Tab.o1[[#This Row],[b1]]&lt;=AY$4),#REF!,AY80),"")</f>
        <v/>
      </c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</row>
    <row r="82" spans="1:79" ht="14.25" hidden="1" customHeight="1">
      <c r="A82" s="109">
        <v>2.9999999999999997E-6</v>
      </c>
      <c r="B82" s="110">
        <f t="shared" si="4"/>
        <v>82</v>
      </c>
      <c r="C82" s="111" t="str">
        <f>IF(C$1=[1]!T.in.A[[#This Row],[oo2]],1,"")</f>
        <v/>
      </c>
      <c r="D82" s="112" t="str">
        <f>IF(Tab.o1[[#This Row],[a1]]=1,IF(SUM(C82:C83)=0,0,IF(SUM(C81:C82)=1,1,IF(SUM(C81:C83)&gt;1,D81+1,0))),"")</f>
        <v/>
      </c>
      <c r="E82" s="113" t="str">
        <f>IF(Tab.o1[[#This Row],[a1]]=1,[1]!T.in.A[[#This Row],[oo1]],"")</f>
        <v/>
      </c>
      <c r="F82" s="113" t="str">
        <f>IF(Tab.o1[[#This Row],[a1]]=1,[1]!T.in.A[[#This Row],[pp1]],"")</f>
        <v/>
      </c>
      <c r="G82" s="114" t="str">
        <f>IF(Tab.o1[[#This Row],[a1]]=1,G$2+IF(G$1=1,0,Tab.o1[[#This Row],[.x1]])+[1]!T.in.A[[#This Row],[oo3]],"")</f>
        <v/>
      </c>
      <c r="H82" s="115" t="str">
        <f>IF(Tab.o1[[#This Row],[a1]]=1,IF(H$2=0,0,IF(G$1=1,0,Tab.o1[[#This Row],[.x1]])+[1]!T.in.A[[#This Row],[oo4]]),"")</f>
        <v/>
      </c>
      <c r="I82" s="116" t="str">
        <f>IF(Tab.o1[[#This Row],[a1]]=1,IF(J$2=0,Tab.o1[[#This Row],[MED]],Tab.o1[[#This Row],[MOD]]),"")</f>
        <v/>
      </c>
      <c r="J82" s="116" t="str">
        <f>IF(Tab.o1[[#This Row],[a1]]=1,((Tab.o1[[#This Row],[DIF_Target.]]-AVERAGE(Tab.o1[DIF_Target.]))/_xlfn.STDEV.P(Tab.o1[DIF_Target.])),"")</f>
        <v/>
      </c>
      <c r="K82" s="117" t="str">
        <f>IF(Tab.o1[[#This Row],[a1]]=1,IF(J$2=0,Tab.o1[[#This Row],[MOD]]-Tab.o1[[#This Row],[B]],IF(J$2=1,0,-Tab.o1[[#This Row],[MED]])+Tab.o1[[#This Row],[B]]),"")</f>
        <v/>
      </c>
      <c r="L82" s="117" t="str">
        <f ca="1">IF(Tab.o1[[#This Row],[DIF_Target]]=0,IF(L$2=0,Tab.o1[[#This Row],[DIF_Target]],AVERAGE(OFFSET(Tab.o1[[#This Row],[DIF_Target]],1,0,L$3,1)))/3,Tab.o1[[#This Row],[DIF_Target]])</f>
        <v/>
      </c>
      <c r="M82" s="118" t="str">
        <f>IF(Tab.o1[[#This Row],[a1]]=1,NORMSDIST(Tab.o1[[#This Row],[Za]]),"")</f>
        <v/>
      </c>
      <c r="N82" s="119" t="str">
        <f>IF(Tab.o1[[#This Row],[a1]]=1,((Tab.o1[[#This Row],[MedMod]]-AVERAGE(Tab.o1[MedMod]))/_xlfn.STDEV.P(Tab.o1[MedMod])*H$1205)+G$1205,"")</f>
        <v/>
      </c>
      <c r="O82" s="141" t="str">
        <f>IF(Tab.o1[[#This Row],[a1]]=1,Tab.o1[[#This Row],[Zb]]*_xlfn.STDEV.P(Tab.o1[MedMod])+AVERAGE(Tab.o1[MedMod]),"")</f>
        <v/>
      </c>
      <c r="P82" s="117" t="str">
        <f ca="1">IF(Tab.o1[[#This Row],[B]]=0,AVERAGE(OFFSET(Tab.o1[[#This Row],[B]],1,0,L$3,1)),Tab.o1[[#This Row],[B]])</f>
        <v/>
      </c>
      <c r="Q82" s="121" t="str">
        <f>IF(Tab.o1[[#This Row],[a1]]=1,NORMSDIST(Tab.o1[[#This Row],[Zb]]),"")</f>
        <v/>
      </c>
      <c r="R82" s="122" t="str">
        <f>IF(Tab.o1[[#This Row],[a1]]=1,((Tab.o1[[#This Row],[MedMod]]-AVERAGE(Tab.o1[MedMod]))/_xlfn.STDEV.P(Tab.o1[MedMod])*H$1203)+G$1203,"")</f>
        <v/>
      </c>
      <c r="S82" s="122" t="str">
        <f>IF(Tab.o1[[#This Row],[a1]]=1,((Tab.o1[[#This Row],[MedMod]]-AVERAGE(Tab.o1[MedMod]))/_xlfn.STDEV.P(Tab.o1[MedMod])*H$1204)+G$1204,"")</f>
        <v/>
      </c>
      <c r="T82" s="123" t="str">
        <f>IF(Tab.o1[[#This Row],[a1]]=1,Tab.o1[[#This Row],[Z-]]*_xlfn.STDEV.P(Tab.o1[B])+AVERAGE(Tab.o1[B]),"")</f>
        <v/>
      </c>
      <c r="U82" s="123" t="str">
        <f>IF(Tab.o1[[#This Row],[a1]]=1,Tab.o1[[#This Row],[z+]]*_xlfn.STDEV.P(Tab.o1[B])+AVERAGE(Tab.o1[B]),"")</f>
        <v/>
      </c>
      <c r="V82" s="124" t="str">
        <f>IF(Tab.o1[[#This Row],[a1]]=1,ABS((ABS(Tab.o1[[#This Row],[Red]]-Tab.o1[[#This Row],[Blue]]))),"")</f>
        <v/>
      </c>
      <c r="W82" s="125" t="str">
        <f>IF(Tab.o1[[#This Row],[a1]]=1,IF(W$3=0,1,Tab.o1[[#This Row],[Amp.]]*1/_xlfn.MINIFS(Tab.o1[Amp.],Tab.o1[Amp.],"&lt;&gt;0")),"")</f>
        <v/>
      </c>
      <c r="X82" s="126" t="str">
        <f>IF(Tab.o1[[#This Row],[a1]]=1,IF(ISNUMBER(Tab.o1[[#This Row],[i.]]),NORMDIST(Tab.o1[[#This Row],[Za]],0,1,FALSE)*Tab.o1[[#This Row],[i.]],AP$3),"")</f>
        <v/>
      </c>
      <c r="Y82" s="126" t="str">
        <f>IF(Tab.o1[[#This Row],[a1]]=1,0.01+0.94*Tab.o1[[#This Row],[PDF]]/MAX(Tab.o1[PDF]),"")</f>
        <v/>
      </c>
      <c r="Z82" s="126" t="str">
        <f>IF(Tab.o1[[#This Row],[a1]]=1,0.01+0.94*Tab.o1[[#This Row],[W1_PDF]]/MAX(Tab.o1[W1_PDF]),"")</f>
        <v/>
      </c>
      <c r="AA82" s="118" t="str">
        <f>IF(Tab.o1[[#This Row],[a1]]=1,ABS([1]!T.in.A[[#This Row],[oo6]]),"")</f>
        <v/>
      </c>
      <c r="AB82" s="127" t="str">
        <f>IF(Tab.o1[[#This Row],[a1]]=1,IF(AE$3=0,"",IF(AB$3=0,ABS([1]!T.in.A[[#This Row],[oo9]]),ABS(Tab.o1[[#This Row],[DIF_Target.]]*Tab.o1[[#This Row],[W1_PDF]]))),"")</f>
        <v/>
      </c>
      <c r="AC82" s="127" t="str">
        <f>IF(G$1=1,"",IF(Tab.o1[[#This Row],[a1]]=1,Tab.o1[[#This Row],[Wr]]^2,""))</f>
        <v/>
      </c>
      <c r="AD82" s="118" t="str">
        <f>IF(Tab.o1[[#This Row],[a1]]=1,IF(AE$3=0,"",Tab.o1[[#This Row],[Wr2]]/SUM(Tab.o1[Wr2])),"")</f>
        <v/>
      </c>
      <c r="AE82" s="128" t="str">
        <f>IF(Tab.o1[[#This Row],[a1]]=1,[1]!T.in.A[[#This Row],[oo10]],"")</f>
        <v/>
      </c>
      <c r="AF82" s="118" t="str">
        <f>IF(Tab.o1[[#This Row],[a1]]=1,ABS(Tab.o1[[#This Row],[DIF_Target.]]*Tab.o1[[#This Row],[PDF2]]*Tab.o1[[#This Row],[IN]]),"")</f>
        <v/>
      </c>
      <c r="AG82" s="129" t="str">
        <f>IF(Tab.o1[[#This Row],[a1]]=1,Tab.o1[[#This Row],[rW]]^2,"")</f>
        <v/>
      </c>
      <c r="AH82" s="130" t="str">
        <f>IF(Tab.o1[[#This Row],[a1]]=1,IF(AH$3=0,Tab.o1[[#This Row],[rW2]],0.01+0.94*Tab.o1[[#This Row],[rW2]]/SUM(Tab.o1[rW2])),"")</f>
        <v/>
      </c>
      <c r="AI82" s="128" t="str">
        <f>IF(Tab.o1[[#This Row],[a1]]=1,1/Tab.o1[[#This Row],[PDF]],"")</f>
        <v/>
      </c>
      <c r="AJ82" s="131" t="str">
        <f>IF(Tab.o1[[#This Row],[a1]]=1,[1]!T_AA[[#This Row],[IN'']]*[1]!T_AA[[#This Row],[Qde'']],"")</f>
        <v/>
      </c>
      <c r="AK82" s="132" t="str">
        <f>IF(Tab.o1[[#This Row],[a1]]=1,IF(AK$1=1,Tab.o1[[#This Row],[MED]]+Tab.o1[[#This Row],[MOD]]-Tab.o1[[#This Row],[MED]],""),"")</f>
        <v/>
      </c>
      <c r="AL82" s="133" t="str">
        <f>IF(Tab.o1[[#This Row],[a1]]=1,[1]!T.in.A[[#This Row],[oo16]],"")</f>
        <v/>
      </c>
      <c r="AM82" s="133" t="str">
        <f>IF(Tab.o1[[#This Row],[a1]]=1,IF(AM$3=1,[1]!T.in.A[[#This Row],[Σo16]],""),"")</f>
        <v/>
      </c>
      <c r="AN82" s="126" t="str">
        <f>IF(Tab.o1[[#This Row],[a1]]=1,[1]!T.in.A[[#This Row],[Σp5]],"")</f>
        <v/>
      </c>
      <c r="AO82" s="126" t="str">
        <f>IF(Tab.o1[[#This Row],[a1]]=1,IF(AO$3=1,[1]!T.in.A[[#This Row],[Σp5]],""),"")</f>
        <v/>
      </c>
      <c r="AP82" s="110" t="str">
        <f>IF(Tab.o1[[#This Row],[a1]]=1,IF(ISNUMBER(Tab.o1[[#This Row],[i.]]),NORMDIST(Tab.o1[[#This Row],[Za]],0,1,FALSE)*Tab.o1[[#This Row],[i.]],0),"")</f>
        <v/>
      </c>
      <c r="AQ82" s="125" t="str">
        <f>IF(Tab.o1[[#This Row],[a1]]=1,ABS(Tab.o1[[#This Row],[MOD]]-AVERAGE(Tab.o1[MOD])),"")</f>
        <v/>
      </c>
      <c r="AR82" s="134" t="str">
        <f>IF(Tab.o1[[#This Row],[a1]]=1,Tab.o1[[#This Row],[OBS]]/SUM(Tab.o1[OBS]),"")</f>
        <v/>
      </c>
      <c r="AS82" s="135" t="str">
        <f>IF(ISNUMBER(Tab.o1[[#This Row],[a1]]),ROW()-4,"")</f>
        <v/>
      </c>
      <c r="AT82" s="136" t="str">
        <f>Tab.o1[[#This Row],[MOD]]</f>
        <v/>
      </c>
      <c r="AU82" s="137" t="str">
        <f t="shared" si="5"/>
        <v/>
      </c>
      <c r="AV82" s="138" t="str">
        <f t="shared" si="6"/>
        <v/>
      </c>
      <c r="AW82" s="138" t="str">
        <f t="shared" si="7"/>
        <v/>
      </c>
      <c r="AX82" s="139" t="str">
        <f>[1]!T.in.A[[#This Row],[ID_T_manu]]</f>
        <v/>
      </c>
      <c r="AY82" s="140" t="str">
        <f>IF(ISNUMBER(Tab.o1[[#This Row],[a1]]),IF(AND(Tab.o1[[#This Row],[a1]]=1,Tab.o1[[#This Row],[b1]]&lt;=AY$4),#REF!,AY81),"")</f>
        <v/>
      </c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</row>
    <row r="83" spans="1:79" ht="14.25" hidden="1" customHeight="1">
      <c r="A83" s="109">
        <v>1.0000000000000002E-6</v>
      </c>
      <c r="B83" s="110">
        <f t="shared" si="4"/>
        <v>83</v>
      </c>
      <c r="C83" s="111" t="str">
        <f>IF(C$1=[1]!T.in.A[[#This Row],[oo2]],1,"")</f>
        <v/>
      </c>
      <c r="D83" s="112" t="str">
        <f>IF(Tab.o1[[#This Row],[a1]]=1,IF(SUM(C83:C84)=0,0,IF(SUM(C82:C83)=1,1,IF(SUM(C82:C84)&gt;1,D82+1,0))),"")</f>
        <v/>
      </c>
      <c r="E83" s="113" t="str">
        <f>IF(Tab.o1[[#This Row],[a1]]=1,[1]!T.in.A[[#This Row],[oo1]],"")</f>
        <v/>
      </c>
      <c r="F83" s="113" t="str">
        <f>IF(Tab.o1[[#This Row],[a1]]=1,[1]!T.in.A[[#This Row],[pp1]],"")</f>
        <v/>
      </c>
      <c r="G83" s="114" t="str">
        <f>IF(Tab.o1[[#This Row],[a1]]=1,G$2+IF(G$1=1,0,Tab.o1[[#This Row],[.x1]])+[1]!T.in.A[[#This Row],[oo3]],"")</f>
        <v/>
      </c>
      <c r="H83" s="115" t="str">
        <f>IF(Tab.o1[[#This Row],[a1]]=1,IF(H$2=0,0,IF(G$1=1,0,Tab.o1[[#This Row],[.x1]])+[1]!T.in.A[[#This Row],[oo4]]),"")</f>
        <v/>
      </c>
      <c r="I83" s="116" t="str">
        <f>IF(Tab.o1[[#This Row],[a1]]=1,IF(J$2=0,Tab.o1[[#This Row],[MED]],Tab.o1[[#This Row],[MOD]]),"")</f>
        <v/>
      </c>
      <c r="J83" s="116" t="str">
        <f>IF(Tab.o1[[#This Row],[a1]]=1,((Tab.o1[[#This Row],[DIF_Target.]]-AVERAGE(Tab.o1[DIF_Target.]))/_xlfn.STDEV.P(Tab.o1[DIF_Target.])),"")</f>
        <v/>
      </c>
      <c r="K83" s="117" t="str">
        <f>IF(Tab.o1[[#This Row],[a1]]=1,IF(J$2=0,Tab.o1[[#This Row],[MOD]]-Tab.o1[[#This Row],[B]],IF(J$2=1,0,-Tab.o1[[#This Row],[MED]])+Tab.o1[[#This Row],[B]]),"")</f>
        <v/>
      </c>
      <c r="L83" s="117" t="str">
        <f ca="1">IF(Tab.o1[[#This Row],[DIF_Target]]=0,IF(L$2=0,Tab.o1[[#This Row],[DIF_Target]],AVERAGE(OFFSET(Tab.o1[[#This Row],[DIF_Target]],1,0,L$3,1)))/3,Tab.o1[[#This Row],[DIF_Target]])</f>
        <v/>
      </c>
      <c r="M83" s="118" t="str">
        <f>IF(Tab.o1[[#This Row],[a1]]=1,NORMSDIST(Tab.o1[[#This Row],[Za]]),"")</f>
        <v/>
      </c>
      <c r="N83" s="119" t="str">
        <f>IF(Tab.o1[[#This Row],[a1]]=1,((Tab.o1[[#This Row],[MedMod]]-AVERAGE(Tab.o1[MedMod]))/_xlfn.STDEV.P(Tab.o1[MedMod])*H$1205)+G$1205,"")</f>
        <v/>
      </c>
      <c r="O83" s="141" t="str">
        <f>IF(Tab.o1[[#This Row],[a1]]=1,Tab.o1[[#This Row],[Zb]]*_xlfn.STDEV.P(Tab.o1[MedMod])+AVERAGE(Tab.o1[MedMod]),"")</f>
        <v/>
      </c>
      <c r="P83" s="117" t="str">
        <f ca="1">IF(Tab.o1[[#This Row],[B]]=0,AVERAGE(OFFSET(Tab.o1[[#This Row],[B]],1,0,L$3,1)),Tab.o1[[#This Row],[B]])</f>
        <v/>
      </c>
      <c r="Q83" s="121" t="str">
        <f>IF(Tab.o1[[#This Row],[a1]]=1,NORMSDIST(Tab.o1[[#This Row],[Zb]]),"")</f>
        <v/>
      </c>
      <c r="R83" s="122" t="str">
        <f>IF(Tab.o1[[#This Row],[a1]]=1,((Tab.o1[[#This Row],[MedMod]]-AVERAGE(Tab.o1[MedMod]))/_xlfn.STDEV.P(Tab.o1[MedMod])*H$1203)+G$1203,"")</f>
        <v/>
      </c>
      <c r="S83" s="122" t="str">
        <f>IF(Tab.o1[[#This Row],[a1]]=1,((Tab.o1[[#This Row],[MedMod]]-AVERAGE(Tab.o1[MedMod]))/_xlfn.STDEV.P(Tab.o1[MedMod])*H$1204)+G$1204,"")</f>
        <v/>
      </c>
      <c r="T83" s="123" t="str">
        <f>IF(Tab.o1[[#This Row],[a1]]=1,Tab.o1[[#This Row],[Z-]]*_xlfn.STDEV.P(Tab.o1[B])+AVERAGE(Tab.o1[B]),"")</f>
        <v/>
      </c>
      <c r="U83" s="123" t="str">
        <f>IF(Tab.o1[[#This Row],[a1]]=1,Tab.o1[[#This Row],[z+]]*_xlfn.STDEV.P(Tab.o1[B])+AVERAGE(Tab.o1[B]),"")</f>
        <v/>
      </c>
      <c r="V83" s="124" t="str">
        <f>IF(Tab.o1[[#This Row],[a1]]=1,ABS((ABS(Tab.o1[[#This Row],[Red]]-Tab.o1[[#This Row],[Blue]]))),"")</f>
        <v/>
      </c>
      <c r="W83" s="125" t="str">
        <f>IF(Tab.o1[[#This Row],[a1]]=1,IF(W$3=0,1,Tab.o1[[#This Row],[Amp.]]*1/_xlfn.MINIFS(Tab.o1[Amp.],Tab.o1[Amp.],"&lt;&gt;0")),"")</f>
        <v/>
      </c>
      <c r="X83" s="126" t="str">
        <f>IF(Tab.o1[[#This Row],[a1]]=1,IF(ISNUMBER(Tab.o1[[#This Row],[i.]]),NORMDIST(Tab.o1[[#This Row],[Za]],0,1,FALSE)*Tab.o1[[#This Row],[i.]],AP$3),"")</f>
        <v/>
      </c>
      <c r="Y83" s="126" t="str">
        <f>IF(Tab.o1[[#This Row],[a1]]=1,0.01+0.94*Tab.o1[[#This Row],[PDF]]/MAX(Tab.o1[PDF]),"")</f>
        <v/>
      </c>
      <c r="Z83" s="126" t="str">
        <f>IF(Tab.o1[[#This Row],[a1]]=1,0.01+0.94*Tab.o1[[#This Row],[W1_PDF]]/MAX(Tab.o1[W1_PDF]),"")</f>
        <v/>
      </c>
      <c r="AA83" s="118" t="str">
        <f>IF(Tab.o1[[#This Row],[a1]]=1,ABS([1]!T.in.A[[#This Row],[oo6]]),"")</f>
        <v/>
      </c>
      <c r="AB83" s="127" t="str">
        <f>IF(Tab.o1[[#This Row],[a1]]=1,IF(AE$3=0,"",IF(AB$3=0,ABS([1]!T.in.A[[#This Row],[oo9]]),ABS(Tab.o1[[#This Row],[DIF_Target.]]*Tab.o1[[#This Row],[W1_PDF]]))),"")</f>
        <v/>
      </c>
      <c r="AC83" s="127" t="str">
        <f>IF(G$1=1,"",IF(Tab.o1[[#This Row],[a1]]=1,Tab.o1[[#This Row],[Wr]]^2,""))</f>
        <v/>
      </c>
      <c r="AD83" s="118" t="str">
        <f>IF(Tab.o1[[#This Row],[a1]]=1,IF(AE$3=0,"",Tab.o1[[#This Row],[Wr2]]/SUM(Tab.o1[Wr2])),"")</f>
        <v/>
      </c>
      <c r="AE83" s="128" t="str">
        <f>IF(Tab.o1[[#This Row],[a1]]=1,[1]!T.in.A[[#This Row],[oo10]],"")</f>
        <v/>
      </c>
      <c r="AF83" s="118" t="str">
        <f>IF(Tab.o1[[#This Row],[a1]]=1,ABS(Tab.o1[[#This Row],[DIF_Target.]]*Tab.o1[[#This Row],[PDF2]]*Tab.o1[[#This Row],[IN]]),"")</f>
        <v/>
      </c>
      <c r="AG83" s="129" t="str">
        <f>IF(Tab.o1[[#This Row],[a1]]=1,Tab.o1[[#This Row],[rW]]^2,"")</f>
        <v/>
      </c>
      <c r="AH83" s="130" t="str">
        <f>IF(Tab.o1[[#This Row],[a1]]=1,IF(AH$3=0,Tab.o1[[#This Row],[rW2]],0.01+0.94*Tab.o1[[#This Row],[rW2]]/SUM(Tab.o1[rW2])),"")</f>
        <v/>
      </c>
      <c r="AI83" s="128" t="str">
        <f>IF(Tab.o1[[#This Row],[a1]]=1,1/Tab.o1[[#This Row],[PDF]],"")</f>
        <v/>
      </c>
      <c r="AJ83" s="131" t="str">
        <f>IF(Tab.o1[[#This Row],[a1]]=1,[1]!T_AA[[#This Row],[IN'']]*[1]!T_AA[[#This Row],[Qde'']],"")</f>
        <v/>
      </c>
      <c r="AK83" s="132" t="str">
        <f>IF(Tab.o1[[#This Row],[a1]]=1,IF(AK$1=1,Tab.o1[[#This Row],[MED]]+Tab.o1[[#This Row],[MOD]]-Tab.o1[[#This Row],[MED]],""),"")</f>
        <v/>
      </c>
      <c r="AL83" s="133" t="str">
        <f>IF(Tab.o1[[#This Row],[a1]]=1,[1]!T.in.A[[#This Row],[oo16]],"")</f>
        <v/>
      </c>
      <c r="AM83" s="133" t="str">
        <f>IF(Tab.o1[[#This Row],[a1]]=1,IF(AM$3=1,[1]!T.in.A[[#This Row],[Σo16]],""),"")</f>
        <v/>
      </c>
      <c r="AN83" s="126" t="str">
        <f>IF(Tab.o1[[#This Row],[a1]]=1,[1]!T.in.A[[#This Row],[Σp5]],"")</f>
        <v/>
      </c>
      <c r="AO83" s="126" t="str">
        <f>IF(Tab.o1[[#This Row],[a1]]=1,IF(AO$3=1,[1]!T.in.A[[#This Row],[Σp5]],""),"")</f>
        <v/>
      </c>
      <c r="AP83" s="110" t="str">
        <f>IF(Tab.o1[[#This Row],[a1]]=1,IF(ISNUMBER(Tab.o1[[#This Row],[i.]]),NORMDIST(Tab.o1[[#This Row],[Za]],0,1,FALSE)*Tab.o1[[#This Row],[i.]],0),"")</f>
        <v/>
      </c>
      <c r="AQ83" s="125" t="str">
        <f>IF(Tab.o1[[#This Row],[a1]]=1,ABS(Tab.o1[[#This Row],[MOD]]-AVERAGE(Tab.o1[MOD])),"")</f>
        <v/>
      </c>
      <c r="AR83" s="134" t="str">
        <f>IF(Tab.o1[[#This Row],[a1]]=1,Tab.o1[[#This Row],[OBS]]/SUM(Tab.o1[OBS]),"")</f>
        <v/>
      </c>
      <c r="AS83" s="135" t="str">
        <f>IF(ISNUMBER(Tab.o1[[#This Row],[a1]]),ROW()-4,"")</f>
        <v/>
      </c>
      <c r="AT83" s="136" t="str">
        <f>Tab.o1[[#This Row],[MOD]]</f>
        <v/>
      </c>
      <c r="AU83" s="137" t="str">
        <f t="shared" si="5"/>
        <v/>
      </c>
      <c r="AV83" s="138" t="str">
        <f t="shared" si="6"/>
        <v/>
      </c>
      <c r="AW83" s="138" t="str">
        <f t="shared" si="7"/>
        <v/>
      </c>
      <c r="AX83" s="139" t="str">
        <f>[1]!T.in.A[[#This Row],[ID_T_manu]]</f>
        <v/>
      </c>
      <c r="AY83" s="140" t="str">
        <f>IF(ISNUMBER(Tab.o1[[#This Row],[a1]]),IF(AND(Tab.o1[[#This Row],[a1]]=1,Tab.o1[[#This Row],[b1]]&lt;=AY$4),#REF!,AY82),"")</f>
        <v/>
      </c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</row>
    <row r="84" spans="1:79" ht="14.25" hidden="1" customHeight="1">
      <c r="A84" s="109">
        <v>-2.0000000000000003E-6</v>
      </c>
      <c r="B84" s="110">
        <f t="shared" si="4"/>
        <v>84</v>
      </c>
      <c r="C84" s="111" t="str">
        <f>IF(C$1=[1]!T.in.A[[#This Row],[oo2]],1,"")</f>
        <v/>
      </c>
      <c r="D84" s="112" t="str">
        <f>IF(Tab.o1[[#This Row],[a1]]=1,IF(SUM(C84:C85)=0,0,IF(SUM(C83:C84)=1,1,IF(SUM(C83:C85)&gt;1,D83+1,0))),"")</f>
        <v/>
      </c>
      <c r="E84" s="113" t="str">
        <f>IF(Tab.o1[[#This Row],[a1]]=1,[1]!T.in.A[[#This Row],[oo1]],"")</f>
        <v/>
      </c>
      <c r="F84" s="113" t="str">
        <f>IF(Tab.o1[[#This Row],[a1]]=1,[1]!T.in.A[[#This Row],[pp1]],"")</f>
        <v/>
      </c>
      <c r="G84" s="114" t="str">
        <f>IF(Tab.o1[[#This Row],[a1]]=1,G$2+IF(G$1=1,0,Tab.o1[[#This Row],[.x1]])+[1]!T.in.A[[#This Row],[oo3]],"")</f>
        <v/>
      </c>
      <c r="H84" s="115" t="str">
        <f>IF(Tab.o1[[#This Row],[a1]]=1,IF(H$2=0,0,IF(G$1=1,0,Tab.o1[[#This Row],[.x1]])+[1]!T.in.A[[#This Row],[oo4]]),"")</f>
        <v/>
      </c>
      <c r="I84" s="116" t="str">
        <f>IF(Tab.o1[[#This Row],[a1]]=1,IF(J$2=0,Tab.o1[[#This Row],[MED]],Tab.o1[[#This Row],[MOD]]),"")</f>
        <v/>
      </c>
      <c r="J84" s="116" t="str">
        <f>IF(Tab.o1[[#This Row],[a1]]=1,((Tab.o1[[#This Row],[DIF_Target.]]-AVERAGE(Tab.o1[DIF_Target.]))/_xlfn.STDEV.P(Tab.o1[DIF_Target.])),"")</f>
        <v/>
      </c>
      <c r="K84" s="117" t="str">
        <f>IF(Tab.o1[[#This Row],[a1]]=1,IF(J$2=0,Tab.o1[[#This Row],[MOD]]-Tab.o1[[#This Row],[B]],IF(J$2=1,0,-Tab.o1[[#This Row],[MED]])+Tab.o1[[#This Row],[B]]),"")</f>
        <v/>
      </c>
      <c r="L84" s="117" t="str">
        <f ca="1">IF(Tab.o1[[#This Row],[DIF_Target]]=0,IF(L$2=0,Tab.o1[[#This Row],[DIF_Target]],AVERAGE(OFFSET(Tab.o1[[#This Row],[DIF_Target]],1,0,L$3,1)))/3,Tab.o1[[#This Row],[DIF_Target]])</f>
        <v/>
      </c>
      <c r="M84" s="118" t="str">
        <f>IF(Tab.o1[[#This Row],[a1]]=1,NORMSDIST(Tab.o1[[#This Row],[Za]]),"")</f>
        <v/>
      </c>
      <c r="N84" s="119" t="str">
        <f>IF(Tab.o1[[#This Row],[a1]]=1,((Tab.o1[[#This Row],[MedMod]]-AVERAGE(Tab.o1[MedMod]))/_xlfn.STDEV.P(Tab.o1[MedMod])*H$1205)+G$1205,"")</f>
        <v/>
      </c>
      <c r="O84" s="141" t="str">
        <f>IF(Tab.o1[[#This Row],[a1]]=1,Tab.o1[[#This Row],[Zb]]*_xlfn.STDEV.P(Tab.o1[MedMod])+AVERAGE(Tab.o1[MedMod]),"")</f>
        <v/>
      </c>
      <c r="P84" s="117" t="str">
        <f ca="1">IF(Tab.o1[[#This Row],[B]]=0,AVERAGE(OFFSET(Tab.o1[[#This Row],[B]],1,0,L$3,1)),Tab.o1[[#This Row],[B]])</f>
        <v/>
      </c>
      <c r="Q84" s="121" t="str">
        <f>IF(Tab.o1[[#This Row],[a1]]=1,NORMSDIST(Tab.o1[[#This Row],[Zb]]),"")</f>
        <v/>
      </c>
      <c r="R84" s="122" t="str">
        <f>IF(Tab.o1[[#This Row],[a1]]=1,((Tab.o1[[#This Row],[MedMod]]-AVERAGE(Tab.o1[MedMod]))/_xlfn.STDEV.P(Tab.o1[MedMod])*H$1203)+G$1203,"")</f>
        <v/>
      </c>
      <c r="S84" s="122" t="str">
        <f>IF(Tab.o1[[#This Row],[a1]]=1,((Tab.o1[[#This Row],[MedMod]]-AVERAGE(Tab.o1[MedMod]))/_xlfn.STDEV.P(Tab.o1[MedMod])*H$1204)+G$1204,"")</f>
        <v/>
      </c>
      <c r="T84" s="123" t="str">
        <f>IF(Tab.o1[[#This Row],[a1]]=1,Tab.o1[[#This Row],[Z-]]*_xlfn.STDEV.P(Tab.o1[B])+AVERAGE(Tab.o1[B]),"")</f>
        <v/>
      </c>
      <c r="U84" s="123" t="str">
        <f>IF(Tab.o1[[#This Row],[a1]]=1,Tab.o1[[#This Row],[z+]]*_xlfn.STDEV.P(Tab.o1[B])+AVERAGE(Tab.o1[B]),"")</f>
        <v/>
      </c>
      <c r="V84" s="124" t="str">
        <f>IF(Tab.o1[[#This Row],[a1]]=1,ABS((ABS(Tab.o1[[#This Row],[Red]]-Tab.o1[[#This Row],[Blue]]))),"")</f>
        <v/>
      </c>
      <c r="W84" s="125" t="str">
        <f>IF(Tab.o1[[#This Row],[a1]]=1,IF(W$3=0,1,Tab.o1[[#This Row],[Amp.]]*1/_xlfn.MINIFS(Tab.o1[Amp.],Tab.o1[Amp.],"&lt;&gt;0")),"")</f>
        <v/>
      </c>
      <c r="X84" s="126" t="str">
        <f>IF(Tab.o1[[#This Row],[a1]]=1,IF(ISNUMBER(Tab.o1[[#This Row],[i.]]),NORMDIST(Tab.o1[[#This Row],[Za]],0,1,FALSE)*Tab.o1[[#This Row],[i.]],AP$3),"")</f>
        <v/>
      </c>
      <c r="Y84" s="126" t="str">
        <f>IF(Tab.o1[[#This Row],[a1]]=1,0.01+0.94*Tab.o1[[#This Row],[PDF]]/MAX(Tab.o1[PDF]),"")</f>
        <v/>
      </c>
      <c r="Z84" s="126" t="str">
        <f>IF(Tab.o1[[#This Row],[a1]]=1,0.01+0.94*Tab.o1[[#This Row],[W1_PDF]]/MAX(Tab.o1[W1_PDF]),"")</f>
        <v/>
      </c>
      <c r="AA84" s="118" t="str">
        <f>IF(Tab.o1[[#This Row],[a1]]=1,ABS([1]!T.in.A[[#This Row],[oo6]]),"")</f>
        <v/>
      </c>
      <c r="AB84" s="127" t="str">
        <f>IF(Tab.o1[[#This Row],[a1]]=1,IF(AE$3=0,"",IF(AB$3=0,ABS([1]!T.in.A[[#This Row],[oo9]]),ABS(Tab.o1[[#This Row],[DIF_Target.]]*Tab.o1[[#This Row],[W1_PDF]]))),"")</f>
        <v/>
      </c>
      <c r="AC84" s="127" t="str">
        <f>IF(G$1=1,"",IF(Tab.o1[[#This Row],[a1]]=1,Tab.o1[[#This Row],[Wr]]^2,""))</f>
        <v/>
      </c>
      <c r="AD84" s="118" t="str">
        <f>IF(Tab.o1[[#This Row],[a1]]=1,IF(AE$3=0,"",Tab.o1[[#This Row],[Wr2]]/SUM(Tab.o1[Wr2])),"")</f>
        <v/>
      </c>
      <c r="AE84" s="128" t="str">
        <f>IF(Tab.o1[[#This Row],[a1]]=1,[1]!T.in.A[[#This Row],[oo10]],"")</f>
        <v/>
      </c>
      <c r="AF84" s="118" t="str">
        <f>IF(Tab.o1[[#This Row],[a1]]=1,ABS(Tab.o1[[#This Row],[DIF_Target.]]*Tab.o1[[#This Row],[PDF2]]*Tab.o1[[#This Row],[IN]]),"")</f>
        <v/>
      </c>
      <c r="AG84" s="129" t="str">
        <f>IF(Tab.o1[[#This Row],[a1]]=1,Tab.o1[[#This Row],[rW]]^2,"")</f>
        <v/>
      </c>
      <c r="AH84" s="130" t="str">
        <f>IF(Tab.o1[[#This Row],[a1]]=1,IF(AH$3=0,Tab.o1[[#This Row],[rW2]],0.01+0.94*Tab.o1[[#This Row],[rW2]]/SUM(Tab.o1[rW2])),"")</f>
        <v/>
      </c>
      <c r="AI84" s="128" t="str">
        <f>IF(Tab.o1[[#This Row],[a1]]=1,1/Tab.o1[[#This Row],[PDF]],"")</f>
        <v/>
      </c>
      <c r="AJ84" s="131" t="str">
        <f>IF(Tab.o1[[#This Row],[a1]]=1,[1]!T_AA[[#This Row],[IN'']]*[1]!T_AA[[#This Row],[Qde'']],"")</f>
        <v/>
      </c>
      <c r="AK84" s="132" t="str">
        <f>IF(Tab.o1[[#This Row],[a1]]=1,IF(AK$1=1,Tab.o1[[#This Row],[MED]]+Tab.o1[[#This Row],[MOD]]-Tab.o1[[#This Row],[MED]],""),"")</f>
        <v/>
      </c>
      <c r="AL84" s="133" t="str">
        <f>IF(Tab.o1[[#This Row],[a1]]=1,[1]!T.in.A[[#This Row],[oo16]],"")</f>
        <v/>
      </c>
      <c r="AM84" s="133" t="str">
        <f>IF(Tab.o1[[#This Row],[a1]]=1,IF(AM$3=1,[1]!T.in.A[[#This Row],[Σo16]],""),"")</f>
        <v/>
      </c>
      <c r="AN84" s="126" t="str">
        <f>IF(Tab.o1[[#This Row],[a1]]=1,[1]!T.in.A[[#This Row],[Σp5]],"")</f>
        <v/>
      </c>
      <c r="AO84" s="126" t="str">
        <f>IF(Tab.o1[[#This Row],[a1]]=1,IF(AO$3=1,[1]!T.in.A[[#This Row],[Σp5]],""),"")</f>
        <v/>
      </c>
      <c r="AP84" s="110" t="str">
        <f>IF(Tab.o1[[#This Row],[a1]]=1,IF(ISNUMBER(Tab.o1[[#This Row],[i.]]),NORMDIST(Tab.o1[[#This Row],[Za]],0,1,FALSE)*Tab.o1[[#This Row],[i.]],0),"")</f>
        <v/>
      </c>
      <c r="AQ84" s="125" t="str">
        <f>IF(Tab.o1[[#This Row],[a1]]=1,ABS(Tab.o1[[#This Row],[MOD]]-AVERAGE(Tab.o1[MOD])),"")</f>
        <v/>
      </c>
      <c r="AR84" s="134" t="str">
        <f>IF(Tab.o1[[#This Row],[a1]]=1,Tab.o1[[#This Row],[OBS]]/SUM(Tab.o1[OBS]),"")</f>
        <v/>
      </c>
      <c r="AS84" s="135" t="str">
        <f>IF(ISNUMBER(Tab.o1[[#This Row],[a1]]),ROW()-4,"")</f>
        <v/>
      </c>
      <c r="AT84" s="136" t="str">
        <f>Tab.o1[[#This Row],[MOD]]</f>
        <v/>
      </c>
      <c r="AU84" s="137" t="str">
        <f t="shared" si="5"/>
        <v/>
      </c>
      <c r="AV84" s="138" t="str">
        <f t="shared" si="6"/>
        <v/>
      </c>
      <c r="AW84" s="138" t="str">
        <f t="shared" si="7"/>
        <v/>
      </c>
      <c r="AX84" s="139" t="str">
        <f>[1]!T.in.A[[#This Row],[ID_T_manu]]</f>
        <v/>
      </c>
      <c r="AY84" s="140" t="str">
        <f>IF(ISNUMBER(Tab.o1[[#This Row],[a1]]),IF(AND(Tab.o1[[#This Row],[a1]]=1,Tab.o1[[#This Row],[b1]]&lt;=AY$4),#REF!,AY83),"")</f>
        <v/>
      </c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</row>
    <row r="85" spans="1:79" ht="14.25" hidden="1" customHeight="1">
      <c r="A85" s="109">
        <v>-2.0000000000000003E-6</v>
      </c>
      <c r="B85" s="110">
        <f t="shared" si="4"/>
        <v>85</v>
      </c>
      <c r="C85" s="111" t="str">
        <f>IF(C$1=[1]!T.in.A[[#This Row],[oo2]],1,"")</f>
        <v/>
      </c>
      <c r="D85" s="112" t="str">
        <f>IF(Tab.o1[[#This Row],[a1]]=1,IF(SUM(C85:C86)=0,0,IF(SUM(C84:C85)=1,1,IF(SUM(C84:C86)&gt;1,D84+1,0))),"")</f>
        <v/>
      </c>
      <c r="E85" s="113" t="str">
        <f>IF(Tab.o1[[#This Row],[a1]]=1,[1]!T.in.A[[#This Row],[oo1]],"")</f>
        <v/>
      </c>
      <c r="F85" s="113" t="str">
        <f>IF(Tab.o1[[#This Row],[a1]]=1,[1]!T.in.A[[#This Row],[pp1]],"")</f>
        <v/>
      </c>
      <c r="G85" s="114" t="str">
        <f>IF(Tab.o1[[#This Row],[a1]]=1,G$2+IF(G$1=1,0,Tab.o1[[#This Row],[.x1]])+[1]!T.in.A[[#This Row],[oo3]],"")</f>
        <v/>
      </c>
      <c r="H85" s="115" t="str">
        <f>IF(Tab.o1[[#This Row],[a1]]=1,IF(H$2=0,0,IF(G$1=1,0,Tab.o1[[#This Row],[.x1]])+[1]!T.in.A[[#This Row],[oo4]]),"")</f>
        <v/>
      </c>
      <c r="I85" s="116" t="str">
        <f>IF(Tab.o1[[#This Row],[a1]]=1,IF(J$2=0,Tab.o1[[#This Row],[MED]],Tab.o1[[#This Row],[MOD]]),"")</f>
        <v/>
      </c>
      <c r="J85" s="116" t="str">
        <f>IF(Tab.o1[[#This Row],[a1]]=1,((Tab.o1[[#This Row],[DIF_Target.]]-AVERAGE(Tab.o1[DIF_Target.]))/_xlfn.STDEV.P(Tab.o1[DIF_Target.])),"")</f>
        <v/>
      </c>
      <c r="K85" s="117" t="str">
        <f>IF(Tab.o1[[#This Row],[a1]]=1,IF(J$2=0,Tab.o1[[#This Row],[MOD]]-Tab.o1[[#This Row],[B]],IF(J$2=1,0,-Tab.o1[[#This Row],[MED]])+Tab.o1[[#This Row],[B]]),"")</f>
        <v/>
      </c>
      <c r="L85" s="117" t="str">
        <f ca="1">IF(Tab.o1[[#This Row],[DIF_Target]]=0,IF(L$2=0,Tab.o1[[#This Row],[DIF_Target]],AVERAGE(OFFSET(Tab.o1[[#This Row],[DIF_Target]],1,0,L$3,1)))/3,Tab.o1[[#This Row],[DIF_Target]])</f>
        <v/>
      </c>
      <c r="M85" s="118" t="str">
        <f>IF(Tab.o1[[#This Row],[a1]]=1,NORMSDIST(Tab.o1[[#This Row],[Za]]),"")</f>
        <v/>
      </c>
      <c r="N85" s="119" t="str">
        <f>IF(Tab.o1[[#This Row],[a1]]=1,((Tab.o1[[#This Row],[MedMod]]-AVERAGE(Tab.o1[MedMod]))/_xlfn.STDEV.P(Tab.o1[MedMod])*H$1205)+G$1205,"")</f>
        <v/>
      </c>
      <c r="O85" s="141" t="str">
        <f>IF(Tab.o1[[#This Row],[a1]]=1,Tab.o1[[#This Row],[Zb]]*_xlfn.STDEV.P(Tab.o1[MedMod])+AVERAGE(Tab.o1[MedMod]),"")</f>
        <v/>
      </c>
      <c r="P85" s="117" t="str">
        <f ca="1">IF(Tab.o1[[#This Row],[B]]=0,AVERAGE(OFFSET(Tab.o1[[#This Row],[B]],1,0,L$3,1)),Tab.o1[[#This Row],[B]])</f>
        <v/>
      </c>
      <c r="Q85" s="121" t="str">
        <f>IF(Tab.o1[[#This Row],[a1]]=1,NORMSDIST(Tab.o1[[#This Row],[Zb]]),"")</f>
        <v/>
      </c>
      <c r="R85" s="122" t="str">
        <f>IF(Tab.o1[[#This Row],[a1]]=1,((Tab.o1[[#This Row],[MedMod]]-AVERAGE(Tab.o1[MedMod]))/_xlfn.STDEV.P(Tab.o1[MedMod])*H$1203)+G$1203,"")</f>
        <v/>
      </c>
      <c r="S85" s="122" t="str">
        <f>IF(Tab.o1[[#This Row],[a1]]=1,((Tab.o1[[#This Row],[MedMod]]-AVERAGE(Tab.o1[MedMod]))/_xlfn.STDEV.P(Tab.o1[MedMod])*H$1204)+G$1204,"")</f>
        <v/>
      </c>
      <c r="T85" s="123" t="str">
        <f>IF(Tab.o1[[#This Row],[a1]]=1,Tab.o1[[#This Row],[Z-]]*_xlfn.STDEV.P(Tab.o1[B])+AVERAGE(Tab.o1[B]),"")</f>
        <v/>
      </c>
      <c r="U85" s="123" t="str">
        <f>IF(Tab.o1[[#This Row],[a1]]=1,Tab.o1[[#This Row],[z+]]*_xlfn.STDEV.P(Tab.o1[B])+AVERAGE(Tab.o1[B]),"")</f>
        <v/>
      </c>
      <c r="V85" s="124" t="str">
        <f>IF(Tab.o1[[#This Row],[a1]]=1,ABS((ABS(Tab.o1[[#This Row],[Red]]-Tab.o1[[#This Row],[Blue]]))),"")</f>
        <v/>
      </c>
      <c r="W85" s="125" t="str">
        <f>IF(Tab.o1[[#This Row],[a1]]=1,IF(W$3=0,1,Tab.o1[[#This Row],[Amp.]]*1/_xlfn.MINIFS(Tab.o1[Amp.],Tab.o1[Amp.],"&lt;&gt;0")),"")</f>
        <v/>
      </c>
      <c r="X85" s="126" t="str">
        <f>IF(Tab.o1[[#This Row],[a1]]=1,IF(ISNUMBER(Tab.o1[[#This Row],[i.]]),NORMDIST(Tab.o1[[#This Row],[Za]],0,1,FALSE)*Tab.o1[[#This Row],[i.]],AP$3),"")</f>
        <v/>
      </c>
      <c r="Y85" s="126" t="str">
        <f>IF(Tab.o1[[#This Row],[a1]]=1,0.01+0.94*Tab.o1[[#This Row],[PDF]]/MAX(Tab.o1[PDF]),"")</f>
        <v/>
      </c>
      <c r="Z85" s="126" t="str">
        <f>IF(Tab.o1[[#This Row],[a1]]=1,0.01+0.94*Tab.o1[[#This Row],[W1_PDF]]/MAX(Tab.o1[W1_PDF]),"")</f>
        <v/>
      </c>
      <c r="AA85" s="118" t="str">
        <f>IF(Tab.o1[[#This Row],[a1]]=1,ABS([1]!T.in.A[[#This Row],[oo6]]),"")</f>
        <v/>
      </c>
      <c r="AB85" s="127" t="str">
        <f>IF(Tab.o1[[#This Row],[a1]]=1,IF(AE$3=0,"",IF(AB$3=0,ABS([1]!T.in.A[[#This Row],[oo9]]),ABS(Tab.o1[[#This Row],[DIF_Target.]]*Tab.o1[[#This Row],[W1_PDF]]))),"")</f>
        <v/>
      </c>
      <c r="AC85" s="127" t="str">
        <f>IF(G$1=1,"",IF(Tab.o1[[#This Row],[a1]]=1,Tab.o1[[#This Row],[Wr]]^2,""))</f>
        <v/>
      </c>
      <c r="AD85" s="118" t="str">
        <f>IF(Tab.o1[[#This Row],[a1]]=1,IF(AE$3=0,"",Tab.o1[[#This Row],[Wr2]]/SUM(Tab.o1[Wr2])),"")</f>
        <v/>
      </c>
      <c r="AE85" s="128" t="str">
        <f>IF(Tab.o1[[#This Row],[a1]]=1,[1]!T.in.A[[#This Row],[oo10]],"")</f>
        <v/>
      </c>
      <c r="AF85" s="118" t="str">
        <f>IF(Tab.o1[[#This Row],[a1]]=1,ABS(Tab.o1[[#This Row],[DIF_Target.]]*Tab.o1[[#This Row],[PDF2]]*Tab.o1[[#This Row],[IN]]),"")</f>
        <v/>
      </c>
      <c r="AG85" s="129" t="str">
        <f>IF(Tab.o1[[#This Row],[a1]]=1,Tab.o1[[#This Row],[rW]]^2,"")</f>
        <v/>
      </c>
      <c r="AH85" s="130" t="str">
        <f>IF(Tab.o1[[#This Row],[a1]]=1,IF(AH$3=0,Tab.o1[[#This Row],[rW2]],0.01+0.94*Tab.o1[[#This Row],[rW2]]/SUM(Tab.o1[rW2])),"")</f>
        <v/>
      </c>
      <c r="AI85" s="128" t="str">
        <f>IF(Tab.o1[[#This Row],[a1]]=1,1/Tab.o1[[#This Row],[PDF]],"")</f>
        <v/>
      </c>
      <c r="AJ85" s="131" t="str">
        <f>IF(Tab.o1[[#This Row],[a1]]=1,[1]!T_AA[[#This Row],[IN'']]*[1]!T_AA[[#This Row],[Qde'']],"")</f>
        <v/>
      </c>
      <c r="AK85" s="132" t="str">
        <f>IF(Tab.o1[[#This Row],[a1]]=1,IF(AK$1=1,Tab.o1[[#This Row],[MED]]+Tab.o1[[#This Row],[MOD]]-Tab.o1[[#This Row],[MED]],""),"")</f>
        <v/>
      </c>
      <c r="AL85" s="133" t="str">
        <f>IF(Tab.o1[[#This Row],[a1]]=1,[1]!T.in.A[[#This Row],[oo16]],"")</f>
        <v/>
      </c>
      <c r="AM85" s="133" t="str">
        <f>IF(Tab.o1[[#This Row],[a1]]=1,IF(AM$3=1,[1]!T.in.A[[#This Row],[Σo16]],""),"")</f>
        <v/>
      </c>
      <c r="AN85" s="126" t="str">
        <f>IF(Tab.o1[[#This Row],[a1]]=1,[1]!T.in.A[[#This Row],[Σp5]],"")</f>
        <v/>
      </c>
      <c r="AO85" s="126" t="str">
        <f>IF(Tab.o1[[#This Row],[a1]]=1,IF(AO$3=1,[1]!T.in.A[[#This Row],[Σp5]],""),"")</f>
        <v/>
      </c>
      <c r="AP85" s="110" t="str">
        <f>IF(Tab.o1[[#This Row],[a1]]=1,IF(ISNUMBER(Tab.o1[[#This Row],[i.]]),NORMDIST(Tab.o1[[#This Row],[Za]],0,1,FALSE)*Tab.o1[[#This Row],[i.]],0),"")</f>
        <v/>
      </c>
      <c r="AQ85" s="125" t="str">
        <f>IF(Tab.o1[[#This Row],[a1]]=1,ABS(Tab.o1[[#This Row],[MOD]]-AVERAGE(Tab.o1[MOD])),"")</f>
        <v/>
      </c>
      <c r="AR85" s="134" t="str">
        <f>IF(Tab.o1[[#This Row],[a1]]=1,Tab.o1[[#This Row],[OBS]]/SUM(Tab.o1[OBS]),"")</f>
        <v/>
      </c>
      <c r="AS85" s="135" t="str">
        <f>IF(ISNUMBER(Tab.o1[[#This Row],[a1]]),ROW()-4,"")</f>
        <v/>
      </c>
      <c r="AT85" s="136" t="str">
        <f>Tab.o1[[#This Row],[MOD]]</f>
        <v/>
      </c>
      <c r="AU85" s="137" t="str">
        <f t="shared" si="5"/>
        <v/>
      </c>
      <c r="AV85" s="138" t="str">
        <f t="shared" si="6"/>
        <v/>
      </c>
      <c r="AW85" s="138" t="str">
        <f t="shared" si="7"/>
        <v/>
      </c>
      <c r="AX85" s="139" t="str">
        <f>[1]!T.in.A[[#This Row],[ID_T_manu]]</f>
        <v/>
      </c>
      <c r="AY85" s="140" t="str">
        <f>IF(ISNUMBER(Tab.o1[[#This Row],[a1]]),IF(AND(Tab.o1[[#This Row],[a1]]=1,Tab.o1[[#This Row],[b1]]&lt;=AY$4),#REF!,AY84),"")</f>
        <v/>
      </c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</row>
    <row r="86" spans="1:79" ht="14.25" hidden="1" customHeight="1">
      <c r="A86" s="109">
        <v>-5.9999999999999993E-6</v>
      </c>
      <c r="B86" s="110">
        <f t="shared" si="4"/>
        <v>86</v>
      </c>
      <c r="C86" s="111" t="str">
        <f>IF(C$1=[1]!T.in.A[[#This Row],[oo2]],1,"")</f>
        <v/>
      </c>
      <c r="D86" s="112" t="str">
        <f>IF(Tab.o1[[#This Row],[a1]]=1,IF(SUM(C86:C87)=0,0,IF(SUM(C85:C86)=1,1,IF(SUM(C85:C87)&gt;1,D85+1,0))),"")</f>
        <v/>
      </c>
      <c r="E86" s="113" t="str">
        <f>IF(Tab.o1[[#This Row],[a1]]=1,[1]!T.in.A[[#This Row],[oo1]],"")</f>
        <v/>
      </c>
      <c r="F86" s="113" t="str">
        <f>IF(Tab.o1[[#This Row],[a1]]=1,[1]!T.in.A[[#This Row],[pp1]],"")</f>
        <v/>
      </c>
      <c r="G86" s="114" t="str">
        <f>IF(Tab.o1[[#This Row],[a1]]=1,G$2+IF(G$1=1,0,Tab.o1[[#This Row],[.x1]])+[1]!T.in.A[[#This Row],[oo3]],"")</f>
        <v/>
      </c>
      <c r="H86" s="115" t="str">
        <f>IF(Tab.o1[[#This Row],[a1]]=1,IF(H$2=0,0,IF(G$1=1,0,Tab.o1[[#This Row],[.x1]])+[1]!T.in.A[[#This Row],[oo4]]),"")</f>
        <v/>
      </c>
      <c r="I86" s="116" t="str">
        <f>IF(Tab.o1[[#This Row],[a1]]=1,IF(J$2=0,Tab.o1[[#This Row],[MED]],Tab.o1[[#This Row],[MOD]]),"")</f>
        <v/>
      </c>
      <c r="J86" s="116" t="str">
        <f>IF(Tab.o1[[#This Row],[a1]]=1,((Tab.o1[[#This Row],[DIF_Target.]]-AVERAGE(Tab.o1[DIF_Target.]))/_xlfn.STDEV.P(Tab.o1[DIF_Target.])),"")</f>
        <v/>
      </c>
      <c r="K86" s="117" t="str">
        <f>IF(Tab.o1[[#This Row],[a1]]=1,IF(J$2=0,Tab.o1[[#This Row],[MOD]]-Tab.o1[[#This Row],[B]],IF(J$2=1,0,-Tab.o1[[#This Row],[MED]])+Tab.o1[[#This Row],[B]]),"")</f>
        <v/>
      </c>
      <c r="L86" s="117" t="str">
        <f ca="1">IF(Tab.o1[[#This Row],[DIF_Target]]=0,IF(L$2=0,Tab.o1[[#This Row],[DIF_Target]],AVERAGE(OFFSET(Tab.o1[[#This Row],[DIF_Target]],1,0,L$3,1)))/3,Tab.o1[[#This Row],[DIF_Target]])</f>
        <v/>
      </c>
      <c r="M86" s="118" t="str">
        <f>IF(Tab.o1[[#This Row],[a1]]=1,NORMSDIST(Tab.o1[[#This Row],[Za]]),"")</f>
        <v/>
      </c>
      <c r="N86" s="119" t="str">
        <f>IF(Tab.o1[[#This Row],[a1]]=1,((Tab.o1[[#This Row],[MedMod]]-AVERAGE(Tab.o1[MedMod]))/_xlfn.STDEV.P(Tab.o1[MedMod])*H$1205)+G$1205,"")</f>
        <v/>
      </c>
      <c r="O86" s="141" t="str">
        <f>IF(Tab.o1[[#This Row],[a1]]=1,Tab.o1[[#This Row],[Zb]]*_xlfn.STDEV.P(Tab.o1[MedMod])+AVERAGE(Tab.o1[MedMod]),"")</f>
        <v/>
      </c>
      <c r="P86" s="117" t="str">
        <f ca="1">IF(Tab.o1[[#This Row],[B]]=0,AVERAGE(OFFSET(Tab.o1[[#This Row],[B]],1,0,L$3,1)),Tab.o1[[#This Row],[B]])</f>
        <v/>
      </c>
      <c r="Q86" s="121" t="str">
        <f>IF(Tab.o1[[#This Row],[a1]]=1,NORMSDIST(Tab.o1[[#This Row],[Zb]]),"")</f>
        <v/>
      </c>
      <c r="R86" s="122" t="str">
        <f>IF(Tab.o1[[#This Row],[a1]]=1,((Tab.o1[[#This Row],[MedMod]]-AVERAGE(Tab.o1[MedMod]))/_xlfn.STDEV.P(Tab.o1[MedMod])*H$1203)+G$1203,"")</f>
        <v/>
      </c>
      <c r="S86" s="122" t="str">
        <f>IF(Tab.o1[[#This Row],[a1]]=1,((Tab.o1[[#This Row],[MedMod]]-AVERAGE(Tab.o1[MedMod]))/_xlfn.STDEV.P(Tab.o1[MedMod])*H$1204)+G$1204,"")</f>
        <v/>
      </c>
      <c r="T86" s="123" t="str">
        <f>IF(Tab.o1[[#This Row],[a1]]=1,Tab.o1[[#This Row],[Z-]]*_xlfn.STDEV.P(Tab.o1[B])+AVERAGE(Tab.o1[B]),"")</f>
        <v/>
      </c>
      <c r="U86" s="123" t="str">
        <f>IF(Tab.o1[[#This Row],[a1]]=1,Tab.o1[[#This Row],[z+]]*_xlfn.STDEV.P(Tab.o1[B])+AVERAGE(Tab.o1[B]),"")</f>
        <v/>
      </c>
      <c r="V86" s="124" t="str">
        <f>IF(Tab.o1[[#This Row],[a1]]=1,ABS((ABS(Tab.o1[[#This Row],[Red]]-Tab.o1[[#This Row],[Blue]]))),"")</f>
        <v/>
      </c>
      <c r="W86" s="125" t="str">
        <f>IF(Tab.o1[[#This Row],[a1]]=1,IF(W$3=0,1,Tab.o1[[#This Row],[Amp.]]*1/_xlfn.MINIFS(Tab.o1[Amp.],Tab.o1[Amp.],"&lt;&gt;0")),"")</f>
        <v/>
      </c>
      <c r="X86" s="126" t="str">
        <f>IF(Tab.o1[[#This Row],[a1]]=1,IF(ISNUMBER(Tab.o1[[#This Row],[i.]]),NORMDIST(Tab.o1[[#This Row],[Za]],0,1,FALSE)*Tab.o1[[#This Row],[i.]],AP$3),"")</f>
        <v/>
      </c>
      <c r="Y86" s="126" t="str">
        <f>IF(Tab.o1[[#This Row],[a1]]=1,0.01+0.94*Tab.o1[[#This Row],[PDF]]/MAX(Tab.o1[PDF]),"")</f>
        <v/>
      </c>
      <c r="Z86" s="126" t="str">
        <f>IF(Tab.o1[[#This Row],[a1]]=1,0.01+0.94*Tab.o1[[#This Row],[W1_PDF]]/MAX(Tab.o1[W1_PDF]),"")</f>
        <v/>
      </c>
      <c r="AA86" s="118" t="str">
        <f>IF(Tab.o1[[#This Row],[a1]]=1,ABS([1]!T.in.A[[#This Row],[oo6]]),"")</f>
        <v/>
      </c>
      <c r="AB86" s="127" t="str">
        <f>IF(Tab.o1[[#This Row],[a1]]=1,IF(AE$3=0,"",IF(AB$3=0,ABS([1]!T.in.A[[#This Row],[oo9]]),ABS(Tab.o1[[#This Row],[DIF_Target.]]*Tab.o1[[#This Row],[W1_PDF]]))),"")</f>
        <v/>
      </c>
      <c r="AC86" s="127" t="str">
        <f>IF(G$1=1,"",IF(Tab.o1[[#This Row],[a1]]=1,Tab.o1[[#This Row],[Wr]]^2,""))</f>
        <v/>
      </c>
      <c r="AD86" s="118" t="str">
        <f>IF(Tab.o1[[#This Row],[a1]]=1,IF(AE$3=0,"",Tab.o1[[#This Row],[Wr2]]/SUM(Tab.o1[Wr2])),"")</f>
        <v/>
      </c>
      <c r="AE86" s="128" t="str">
        <f>IF(Tab.o1[[#This Row],[a1]]=1,[1]!T.in.A[[#This Row],[oo10]],"")</f>
        <v/>
      </c>
      <c r="AF86" s="118" t="str">
        <f>IF(Tab.o1[[#This Row],[a1]]=1,ABS(Tab.o1[[#This Row],[DIF_Target.]]*Tab.o1[[#This Row],[PDF2]]*Tab.o1[[#This Row],[IN]]),"")</f>
        <v/>
      </c>
      <c r="AG86" s="129" t="str">
        <f>IF(Tab.o1[[#This Row],[a1]]=1,Tab.o1[[#This Row],[rW]]^2,"")</f>
        <v/>
      </c>
      <c r="AH86" s="130" t="str">
        <f>IF(Tab.o1[[#This Row],[a1]]=1,IF(AH$3=0,Tab.o1[[#This Row],[rW2]],0.01+0.94*Tab.o1[[#This Row],[rW2]]/SUM(Tab.o1[rW2])),"")</f>
        <v/>
      </c>
      <c r="AI86" s="128" t="str">
        <f>IF(Tab.o1[[#This Row],[a1]]=1,1/Tab.o1[[#This Row],[PDF]],"")</f>
        <v/>
      </c>
      <c r="AJ86" s="131" t="str">
        <f>IF(Tab.o1[[#This Row],[a1]]=1,[1]!T_AA[[#This Row],[IN'']]*[1]!T_AA[[#This Row],[Qde'']],"")</f>
        <v/>
      </c>
      <c r="AK86" s="132" t="str">
        <f>IF(Tab.o1[[#This Row],[a1]]=1,IF(AK$1=1,Tab.o1[[#This Row],[MED]]+Tab.o1[[#This Row],[MOD]]-Tab.o1[[#This Row],[MED]],""),"")</f>
        <v/>
      </c>
      <c r="AL86" s="133" t="str">
        <f>IF(Tab.o1[[#This Row],[a1]]=1,[1]!T.in.A[[#This Row],[oo16]],"")</f>
        <v/>
      </c>
      <c r="AM86" s="133" t="str">
        <f>IF(Tab.o1[[#This Row],[a1]]=1,IF(AM$3=1,[1]!T.in.A[[#This Row],[Σo16]],""),"")</f>
        <v/>
      </c>
      <c r="AN86" s="126" t="str">
        <f>IF(Tab.o1[[#This Row],[a1]]=1,[1]!T.in.A[[#This Row],[Σp5]],"")</f>
        <v/>
      </c>
      <c r="AO86" s="126" t="str">
        <f>IF(Tab.o1[[#This Row],[a1]]=1,IF(AO$3=1,[1]!T.in.A[[#This Row],[Σp5]],""),"")</f>
        <v/>
      </c>
      <c r="AP86" s="110" t="str">
        <f>IF(Tab.o1[[#This Row],[a1]]=1,IF(ISNUMBER(Tab.o1[[#This Row],[i.]]),NORMDIST(Tab.o1[[#This Row],[Za]],0,1,FALSE)*Tab.o1[[#This Row],[i.]],0),"")</f>
        <v/>
      </c>
      <c r="AQ86" s="125" t="str">
        <f>IF(Tab.o1[[#This Row],[a1]]=1,ABS(Tab.o1[[#This Row],[MOD]]-AVERAGE(Tab.o1[MOD])),"")</f>
        <v/>
      </c>
      <c r="AR86" s="134" t="str">
        <f>IF(Tab.o1[[#This Row],[a1]]=1,Tab.o1[[#This Row],[OBS]]/SUM(Tab.o1[OBS]),"")</f>
        <v/>
      </c>
      <c r="AS86" s="135" t="str">
        <f>IF(ISNUMBER(Tab.o1[[#This Row],[a1]]),ROW()-4,"")</f>
        <v/>
      </c>
      <c r="AT86" s="136" t="str">
        <f>Tab.o1[[#This Row],[MOD]]</f>
        <v/>
      </c>
      <c r="AU86" s="137" t="str">
        <f t="shared" si="5"/>
        <v/>
      </c>
      <c r="AV86" s="138" t="str">
        <f t="shared" si="6"/>
        <v/>
      </c>
      <c r="AW86" s="138" t="str">
        <f t="shared" si="7"/>
        <v/>
      </c>
      <c r="AX86" s="139" t="str">
        <f>[1]!T.in.A[[#This Row],[ID_T_manu]]</f>
        <v/>
      </c>
      <c r="AY86" s="140" t="str">
        <f>IF(ISNUMBER(Tab.o1[[#This Row],[a1]]),IF(AND(Tab.o1[[#This Row],[a1]]=1,Tab.o1[[#This Row],[b1]]&lt;=AY$4),#REF!,AY85),"")</f>
        <v/>
      </c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</row>
    <row r="87" spans="1:79" ht="14.25" hidden="1" customHeight="1">
      <c r="A87" s="109">
        <v>-9.0000000000000002E-6</v>
      </c>
      <c r="B87" s="110">
        <f t="shared" si="4"/>
        <v>87</v>
      </c>
      <c r="C87" s="111" t="str">
        <f>IF(C$1=[1]!T.in.A[[#This Row],[oo2]],1,"")</f>
        <v/>
      </c>
      <c r="D87" s="112" t="str">
        <f>IF(Tab.o1[[#This Row],[a1]]=1,IF(SUM(C87:C88)=0,0,IF(SUM(C86:C87)=1,1,IF(SUM(C86:C88)&gt;1,D86+1,0))),"")</f>
        <v/>
      </c>
      <c r="E87" s="113" t="str">
        <f>IF(Tab.o1[[#This Row],[a1]]=1,[1]!T.in.A[[#This Row],[oo1]],"")</f>
        <v/>
      </c>
      <c r="F87" s="113" t="str">
        <f>IF(Tab.o1[[#This Row],[a1]]=1,[1]!T.in.A[[#This Row],[pp1]],"")</f>
        <v/>
      </c>
      <c r="G87" s="114" t="str">
        <f>IF(Tab.o1[[#This Row],[a1]]=1,G$2+IF(G$1=1,0,Tab.o1[[#This Row],[.x1]])+[1]!T.in.A[[#This Row],[oo3]],"")</f>
        <v/>
      </c>
      <c r="H87" s="115" t="str">
        <f>IF(Tab.o1[[#This Row],[a1]]=1,IF(H$2=0,0,IF(G$1=1,0,Tab.o1[[#This Row],[.x1]])+[1]!T.in.A[[#This Row],[oo4]]),"")</f>
        <v/>
      </c>
      <c r="I87" s="116" t="str">
        <f>IF(Tab.o1[[#This Row],[a1]]=1,IF(J$2=0,Tab.o1[[#This Row],[MED]],Tab.o1[[#This Row],[MOD]]),"")</f>
        <v/>
      </c>
      <c r="J87" s="116" t="str">
        <f>IF(Tab.o1[[#This Row],[a1]]=1,((Tab.o1[[#This Row],[DIF_Target.]]-AVERAGE(Tab.o1[DIF_Target.]))/_xlfn.STDEV.P(Tab.o1[DIF_Target.])),"")</f>
        <v/>
      </c>
      <c r="K87" s="117" t="str">
        <f>IF(Tab.o1[[#This Row],[a1]]=1,IF(J$2=0,Tab.o1[[#This Row],[MOD]]-Tab.o1[[#This Row],[B]],IF(J$2=1,0,-Tab.o1[[#This Row],[MED]])+Tab.o1[[#This Row],[B]]),"")</f>
        <v/>
      </c>
      <c r="L87" s="117" t="str">
        <f ca="1">IF(Tab.o1[[#This Row],[DIF_Target]]=0,IF(L$2=0,Tab.o1[[#This Row],[DIF_Target]],AVERAGE(OFFSET(Tab.o1[[#This Row],[DIF_Target]],1,0,L$3,1)))/3,Tab.o1[[#This Row],[DIF_Target]])</f>
        <v/>
      </c>
      <c r="M87" s="118" t="str">
        <f>IF(Tab.o1[[#This Row],[a1]]=1,NORMSDIST(Tab.o1[[#This Row],[Za]]),"")</f>
        <v/>
      </c>
      <c r="N87" s="119" t="str">
        <f>IF(Tab.o1[[#This Row],[a1]]=1,((Tab.o1[[#This Row],[MedMod]]-AVERAGE(Tab.o1[MedMod]))/_xlfn.STDEV.P(Tab.o1[MedMod])*H$1205)+G$1205,"")</f>
        <v/>
      </c>
      <c r="O87" s="141" t="str">
        <f>IF(Tab.o1[[#This Row],[a1]]=1,Tab.o1[[#This Row],[Zb]]*_xlfn.STDEV.P(Tab.o1[MedMod])+AVERAGE(Tab.o1[MedMod]),"")</f>
        <v/>
      </c>
      <c r="P87" s="117" t="str">
        <f ca="1">IF(Tab.o1[[#This Row],[B]]=0,AVERAGE(OFFSET(Tab.o1[[#This Row],[B]],1,0,L$3,1)),Tab.o1[[#This Row],[B]])</f>
        <v/>
      </c>
      <c r="Q87" s="121" t="str">
        <f>IF(Tab.o1[[#This Row],[a1]]=1,NORMSDIST(Tab.o1[[#This Row],[Zb]]),"")</f>
        <v/>
      </c>
      <c r="R87" s="122" t="str">
        <f>IF(Tab.o1[[#This Row],[a1]]=1,((Tab.o1[[#This Row],[MedMod]]-AVERAGE(Tab.o1[MedMod]))/_xlfn.STDEV.P(Tab.o1[MedMod])*H$1203)+G$1203,"")</f>
        <v/>
      </c>
      <c r="S87" s="122" t="str">
        <f>IF(Tab.o1[[#This Row],[a1]]=1,((Tab.o1[[#This Row],[MedMod]]-AVERAGE(Tab.o1[MedMod]))/_xlfn.STDEV.P(Tab.o1[MedMod])*H$1204)+G$1204,"")</f>
        <v/>
      </c>
      <c r="T87" s="123" t="str">
        <f>IF(Tab.o1[[#This Row],[a1]]=1,Tab.o1[[#This Row],[Z-]]*_xlfn.STDEV.P(Tab.o1[B])+AVERAGE(Tab.o1[B]),"")</f>
        <v/>
      </c>
      <c r="U87" s="123" t="str">
        <f>IF(Tab.o1[[#This Row],[a1]]=1,Tab.o1[[#This Row],[z+]]*_xlfn.STDEV.P(Tab.o1[B])+AVERAGE(Tab.o1[B]),"")</f>
        <v/>
      </c>
      <c r="V87" s="124" t="str">
        <f>IF(Tab.o1[[#This Row],[a1]]=1,ABS((ABS(Tab.o1[[#This Row],[Red]]-Tab.o1[[#This Row],[Blue]]))),"")</f>
        <v/>
      </c>
      <c r="W87" s="125" t="str">
        <f>IF(Tab.o1[[#This Row],[a1]]=1,IF(W$3=0,1,Tab.o1[[#This Row],[Amp.]]*1/_xlfn.MINIFS(Tab.o1[Amp.],Tab.o1[Amp.],"&lt;&gt;0")),"")</f>
        <v/>
      </c>
      <c r="X87" s="126" t="str">
        <f>IF(Tab.o1[[#This Row],[a1]]=1,IF(ISNUMBER(Tab.o1[[#This Row],[i.]]),NORMDIST(Tab.o1[[#This Row],[Za]],0,1,FALSE)*Tab.o1[[#This Row],[i.]],AP$3),"")</f>
        <v/>
      </c>
      <c r="Y87" s="126" t="str">
        <f>IF(Tab.o1[[#This Row],[a1]]=1,0.01+0.94*Tab.o1[[#This Row],[PDF]]/MAX(Tab.o1[PDF]),"")</f>
        <v/>
      </c>
      <c r="Z87" s="126" t="str">
        <f>IF(Tab.o1[[#This Row],[a1]]=1,0.01+0.94*Tab.o1[[#This Row],[W1_PDF]]/MAX(Tab.o1[W1_PDF]),"")</f>
        <v/>
      </c>
      <c r="AA87" s="118" t="str">
        <f>IF(Tab.o1[[#This Row],[a1]]=1,ABS([1]!T.in.A[[#This Row],[oo6]]),"")</f>
        <v/>
      </c>
      <c r="AB87" s="127" t="str">
        <f>IF(Tab.o1[[#This Row],[a1]]=1,IF(AE$3=0,"",IF(AB$3=0,ABS([1]!T.in.A[[#This Row],[oo9]]),ABS(Tab.o1[[#This Row],[DIF_Target.]]*Tab.o1[[#This Row],[W1_PDF]]))),"")</f>
        <v/>
      </c>
      <c r="AC87" s="127" t="str">
        <f>IF(G$1=1,"",IF(Tab.o1[[#This Row],[a1]]=1,Tab.o1[[#This Row],[Wr]]^2,""))</f>
        <v/>
      </c>
      <c r="AD87" s="118" t="str">
        <f>IF(Tab.o1[[#This Row],[a1]]=1,IF(AE$3=0,"",Tab.o1[[#This Row],[Wr2]]/SUM(Tab.o1[Wr2])),"")</f>
        <v/>
      </c>
      <c r="AE87" s="128" t="str">
        <f>IF(Tab.o1[[#This Row],[a1]]=1,[1]!T.in.A[[#This Row],[oo10]],"")</f>
        <v/>
      </c>
      <c r="AF87" s="118" t="str">
        <f>IF(Tab.o1[[#This Row],[a1]]=1,ABS(Tab.o1[[#This Row],[DIF_Target.]]*Tab.o1[[#This Row],[PDF2]]*Tab.o1[[#This Row],[IN]]),"")</f>
        <v/>
      </c>
      <c r="AG87" s="129" t="str">
        <f>IF(Tab.o1[[#This Row],[a1]]=1,Tab.o1[[#This Row],[rW]]^2,"")</f>
        <v/>
      </c>
      <c r="AH87" s="130" t="str">
        <f>IF(Tab.o1[[#This Row],[a1]]=1,IF(AH$3=0,Tab.o1[[#This Row],[rW2]],0.01+0.94*Tab.o1[[#This Row],[rW2]]/SUM(Tab.o1[rW2])),"")</f>
        <v/>
      </c>
      <c r="AI87" s="128" t="str">
        <f>IF(Tab.o1[[#This Row],[a1]]=1,1/Tab.o1[[#This Row],[PDF]],"")</f>
        <v/>
      </c>
      <c r="AJ87" s="131" t="str">
        <f>IF(Tab.o1[[#This Row],[a1]]=1,[1]!T_AA[[#This Row],[IN'']]*[1]!T_AA[[#This Row],[Qde'']],"")</f>
        <v/>
      </c>
      <c r="AK87" s="132" t="str">
        <f>IF(Tab.o1[[#This Row],[a1]]=1,IF(AK$1=1,Tab.o1[[#This Row],[MED]]+Tab.o1[[#This Row],[MOD]]-Tab.o1[[#This Row],[MED]],""),"")</f>
        <v/>
      </c>
      <c r="AL87" s="133" t="str">
        <f>IF(Tab.o1[[#This Row],[a1]]=1,[1]!T.in.A[[#This Row],[oo16]],"")</f>
        <v/>
      </c>
      <c r="AM87" s="133" t="str">
        <f>IF(Tab.o1[[#This Row],[a1]]=1,IF(AM$3=1,[1]!T.in.A[[#This Row],[Σo16]],""),"")</f>
        <v/>
      </c>
      <c r="AN87" s="126" t="str">
        <f>IF(Tab.o1[[#This Row],[a1]]=1,[1]!T.in.A[[#This Row],[Σp5]],"")</f>
        <v/>
      </c>
      <c r="AO87" s="126" t="str">
        <f>IF(Tab.o1[[#This Row],[a1]]=1,IF(AO$3=1,[1]!T.in.A[[#This Row],[Σp5]],""),"")</f>
        <v/>
      </c>
      <c r="AP87" s="110" t="str">
        <f>IF(Tab.o1[[#This Row],[a1]]=1,IF(ISNUMBER(Tab.o1[[#This Row],[i.]]),NORMDIST(Tab.o1[[#This Row],[Za]],0,1,FALSE)*Tab.o1[[#This Row],[i.]],0),"")</f>
        <v/>
      </c>
      <c r="AQ87" s="125" t="str">
        <f>IF(Tab.o1[[#This Row],[a1]]=1,ABS(Tab.o1[[#This Row],[MOD]]-AVERAGE(Tab.o1[MOD])),"")</f>
        <v/>
      </c>
      <c r="AR87" s="134" t="str">
        <f>IF(Tab.o1[[#This Row],[a1]]=1,Tab.o1[[#This Row],[OBS]]/SUM(Tab.o1[OBS]),"")</f>
        <v/>
      </c>
      <c r="AS87" s="135" t="str">
        <f>IF(ISNUMBER(Tab.o1[[#This Row],[a1]]),ROW()-4,"")</f>
        <v/>
      </c>
      <c r="AT87" s="136" t="str">
        <f>Tab.o1[[#This Row],[MOD]]</f>
        <v/>
      </c>
      <c r="AU87" s="137" t="str">
        <f t="shared" si="5"/>
        <v/>
      </c>
      <c r="AV87" s="138" t="str">
        <f t="shared" si="6"/>
        <v/>
      </c>
      <c r="AW87" s="138" t="str">
        <f t="shared" si="7"/>
        <v/>
      </c>
      <c r="AX87" s="139" t="str">
        <f>[1]!T.in.A[[#This Row],[ID_T_manu]]</f>
        <v/>
      </c>
      <c r="AY87" s="140" t="str">
        <f>IF(ISNUMBER(Tab.o1[[#This Row],[a1]]),IF(AND(Tab.o1[[#This Row],[a1]]=1,Tab.o1[[#This Row],[b1]]&lt;=AY$4),#REF!,AY86),"")</f>
        <v/>
      </c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</row>
    <row r="88" spans="1:79" ht="14.25" hidden="1" customHeight="1">
      <c r="A88" s="109">
        <v>9.0000000000000002E-6</v>
      </c>
      <c r="B88" s="110">
        <f t="shared" si="4"/>
        <v>88</v>
      </c>
      <c r="C88" s="111" t="str">
        <f>IF(C$1=[1]!T.in.A[[#This Row],[oo2]],1,"")</f>
        <v/>
      </c>
      <c r="D88" s="112" t="str">
        <f>IF(Tab.o1[[#This Row],[a1]]=1,IF(SUM(C88:C89)=0,0,IF(SUM(C87:C88)=1,1,IF(SUM(C87:C89)&gt;1,D87+1,0))),"")</f>
        <v/>
      </c>
      <c r="E88" s="113" t="str">
        <f>IF(Tab.o1[[#This Row],[a1]]=1,[1]!T.in.A[[#This Row],[oo1]],"")</f>
        <v/>
      </c>
      <c r="F88" s="113" t="str">
        <f>IF(Tab.o1[[#This Row],[a1]]=1,[1]!T.in.A[[#This Row],[pp1]],"")</f>
        <v/>
      </c>
      <c r="G88" s="114" t="str">
        <f>IF(Tab.o1[[#This Row],[a1]]=1,G$2+IF(G$1=1,0,Tab.o1[[#This Row],[.x1]])+[1]!T.in.A[[#This Row],[oo3]],"")</f>
        <v/>
      </c>
      <c r="H88" s="115" t="str">
        <f>IF(Tab.o1[[#This Row],[a1]]=1,IF(H$2=0,0,IF(G$1=1,0,Tab.o1[[#This Row],[.x1]])+[1]!T.in.A[[#This Row],[oo4]]),"")</f>
        <v/>
      </c>
      <c r="I88" s="116" t="str">
        <f>IF(Tab.o1[[#This Row],[a1]]=1,IF(J$2=0,Tab.o1[[#This Row],[MED]],Tab.o1[[#This Row],[MOD]]),"")</f>
        <v/>
      </c>
      <c r="J88" s="116" t="str">
        <f>IF(Tab.o1[[#This Row],[a1]]=1,((Tab.o1[[#This Row],[DIF_Target.]]-AVERAGE(Tab.o1[DIF_Target.]))/_xlfn.STDEV.P(Tab.o1[DIF_Target.])),"")</f>
        <v/>
      </c>
      <c r="K88" s="117" t="str">
        <f>IF(Tab.o1[[#This Row],[a1]]=1,IF(J$2=0,Tab.o1[[#This Row],[MOD]]-Tab.o1[[#This Row],[B]],IF(J$2=1,0,-Tab.o1[[#This Row],[MED]])+Tab.o1[[#This Row],[B]]),"")</f>
        <v/>
      </c>
      <c r="L88" s="117" t="str">
        <f ca="1">IF(Tab.o1[[#This Row],[DIF_Target]]=0,IF(L$2=0,Tab.o1[[#This Row],[DIF_Target]],AVERAGE(OFFSET(Tab.o1[[#This Row],[DIF_Target]],1,0,L$3,1)))/3,Tab.o1[[#This Row],[DIF_Target]])</f>
        <v/>
      </c>
      <c r="M88" s="118" t="str">
        <f>IF(Tab.o1[[#This Row],[a1]]=1,NORMSDIST(Tab.o1[[#This Row],[Za]]),"")</f>
        <v/>
      </c>
      <c r="N88" s="119" t="str">
        <f>IF(Tab.o1[[#This Row],[a1]]=1,((Tab.o1[[#This Row],[MedMod]]-AVERAGE(Tab.o1[MedMod]))/_xlfn.STDEV.P(Tab.o1[MedMod])*H$1205)+G$1205,"")</f>
        <v/>
      </c>
      <c r="O88" s="141" t="str">
        <f>IF(Tab.o1[[#This Row],[a1]]=1,Tab.o1[[#This Row],[Zb]]*_xlfn.STDEV.P(Tab.o1[MedMod])+AVERAGE(Tab.o1[MedMod]),"")</f>
        <v/>
      </c>
      <c r="P88" s="117" t="str">
        <f ca="1">IF(Tab.o1[[#This Row],[B]]=0,AVERAGE(OFFSET(Tab.o1[[#This Row],[B]],1,0,L$3,1)),Tab.o1[[#This Row],[B]])</f>
        <v/>
      </c>
      <c r="Q88" s="121" t="str">
        <f>IF(Tab.o1[[#This Row],[a1]]=1,NORMSDIST(Tab.o1[[#This Row],[Zb]]),"")</f>
        <v/>
      </c>
      <c r="R88" s="122" t="str">
        <f>IF(Tab.o1[[#This Row],[a1]]=1,((Tab.o1[[#This Row],[MedMod]]-AVERAGE(Tab.o1[MedMod]))/_xlfn.STDEV.P(Tab.o1[MedMod])*H$1203)+G$1203,"")</f>
        <v/>
      </c>
      <c r="S88" s="122" t="str">
        <f>IF(Tab.o1[[#This Row],[a1]]=1,((Tab.o1[[#This Row],[MedMod]]-AVERAGE(Tab.o1[MedMod]))/_xlfn.STDEV.P(Tab.o1[MedMod])*H$1204)+G$1204,"")</f>
        <v/>
      </c>
      <c r="T88" s="123" t="str">
        <f>IF(Tab.o1[[#This Row],[a1]]=1,Tab.o1[[#This Row],[Z-]]*_xlfn.STDEV.P(Tab.o1[B])+AVERAGE(Tab.o1[B]),"")</f>
        <v/>
      </c>
      <c r="U88" s="123" t="str">
        <f>IF(Tab.o1[[#This Row],[a1]]=1,Tab.o1[[#This Row],[z+]]*_xlfn.STDEV.P(Tab.o1[B])+AVERAGE(Tab.o1[B]),"")</f>
        <v/>
      </c>
      <c r="V88" s="124" t="str">
        <f>IF(Tab.o1[[#This Row],[a1]]=1,ABS((ABS(Tab.o1[[#This Row],[Red]]-Tab.o1[[#This Row],[Blue]]))),"")</f>
        <v/>
      </c>
      <c r="W88" s="125" t="str">
        <f>IF(Tab.o1[[#This Row],[a1]]=1,IF(W$3=0,1,Tab.o1[[#This Row],[Amp.]]*1/_xlfn.MINIFS(Tab.o1[Amp.],Tab.o1[Amp.],"&lt;&gt;0")),"")</f>
        <v/>
      </c>
      <c r="X88" s="126" t="str">
        <f>IF(Tab.o1[[#This Row],[a1]]=1,IF(ISNUMBER(Tab.o1[[#This Row],[i.]]),NORMDIST(Tab.o1[[#This Row],[Za]],0,1,FALSE)*Tab.o1[[#This Row],[i.]],AP$3),"")</f>
        <v/>
      </c>
      <c r="Y88" s="126" t="str">
        <f>IF(Tab.o1[[#This Row],[a1]]=1,0.01+0.94*Tab.o1[[#This Row],[PDF]]/MAX(Tab.o1[PDF]),"")</f>
        <v/>
      </c>
      <c r="Z88" s="126" t="str">
        <f>IF(Tab.o1[[#This Row],[a1]]=1,0.01+0.94*Tab.o1[[#This Row],[W1_PDF]]/MAX(Tab.o1[W1_PDF]),"")</f>
        <v/>
      </c>
      <c r="AA88" s="118" t="str">
        <f>IF(Tab.o1[[#This Row],[a1]]=1,ABS([1]!T.in.A[[#This Row],[oo6]]),"")</f>
        <v/>
      </c>
      <c r="AB88" s="127" t="str">
        <f>IF(Tab.o1[[#This Row],[a1]]=1,IF(AE$3=0,"",IF(AB$3=0,ABS([1]!T.in.A[[#This Row],[oo9]]),ABS(Tab.o1[[#This Row],[DIF_Target.]]*Tab.o1[[#This Row],[W1_PDF]]))),"")</f>
        <v/>
      </c>
      <c r="AC88" s="127" t="str">
        <f>IF(G$1=1,"",IF(Tab.o1[[#This Row],[a1]]=1,Tab.o1[[#This Row],[Wr]]^2,""))</f>
        <v/>
      </c>
      <c r="AD88" s="118" t="str">
        <f>IF(Tab.o1[[#This Row],[a1]]=1,IF(AE$3=0,"",Tab.o1[[#This Row],[Wr2]]/SUM(Tab.o1[Wr2])),"")</f>
        <v/>
      </c>
      <c r="AE88" s="128" t="str">
        <f>IF(Tab.o1[[#This Row],[a1]]=1,[1]!T.in.A[[#This Row],[oo10]],"")</f>
        <v/>
      </c>
      <c r="AF88" s="118" t="str">
        <f>IF(Tab.o1[[#This Row],[a1]]=1,ABS(Tab.o1[[#This Row],[DIF_Target.]]*Tab.o1[[#This Row],[PDF2]]*Tab.o1[[#This Row],[IN]]),"")</f>
        <v/>
      </c>
      <c r="AG88" s="129" t="str">
        <f>IF(Tab.o1[[#This Row],[a1]]=1,Tab.o1[[#This Row],[rW]]^2,"")</f>
        <v/>
      </c>
      <c r="AH88" s="130" t="str">
        <f>IF(Tab.o1[[#This Row],[a1]]=1,IF(AH$3=0,Tab.o1[[#This Row],[rW2]],0.01+0.94*Tab.o1[[#This Row],[rW2]]/SUM(Tab.o1[rW2])),"")</f>
        <v/>
      </c>
      <c r="AI88" s="128" t="str">
        <f>IF(Tab.o1[[#This Row],[a1]]=1,1/Tab.o1[[#This Row],[PDF]],"")</f>
        <v/>
      </c>
      <c r="AJ88" s="131" t="str">
        <f>IF(Tab.o1[[#This Row],[a1]]=1,[1]!T_AA[[#This Row],[IN'']]*[1]!T_AA[[#This Row],[Qde'']],"")</f>
        <v/>
      </c>
      <c r="AK88" s="132" t="str">
        <f>IF(Tab.o1[[#This Row],[a1]]=1,IF(AK$1=1,Tab.o1[[#This Row],[MED]]+Tab.o1[[#This Row],[MOD]]-Tab.o1[[#This Row],[MED]],""),"")</f>
        <v/>
      </c>
      <c r="AL88" s="133" t="str">
        <f>IF(Tab.o1[[#This Row],[a1]]=1,[1]!T.in.A[[#This Row],[oo16]],"")</f>
        <v/>
      </c>
      <c r="AM88" s="133" t="str">
        <f>IF(Tab.o1[[#This Row],[a1]]=1,IF(AM$3=1,[1]!T.in.A[[#This Row],[Σo16]],""),"")</f>
        <v/>
      </c>
      <c r="AN88" s="126" t="str">
        <f>IF(Tab.o1[[#This Row],[a1]]=1,[1]!T.in.A[[#This Row],[Σp5]],"")</f>
        <v/>
      </c>
      <c r="AO88" s="126" t="str">
        <f>IF(Tab.o1[[#This Row],[a1]]=1,IF(AO$3=1,[1]!T.in.A[[#This Row],[Σp5]],""),"")</f>
        <v/>
      </c>
      <c r="AP88" s="110" t="str">
        <f>IF(Tab.o1[[#This Row],[a1]]=1,IF(ISNUMBER(Tab.o1[[#This Row],[i.]]),NORMDIST(Tab.o1[[#This Row],[Za]],0,1,FALSE)*Tab.o1[[#This Row],[i.]],0),"")</f>
        <v/>
      </c>
      <c r="AQ88" s="125" t="str">
        <f>IF(Tab.o1[[#This Row],[a1]]=1,ABS(Tab.o1[[#This Row],[MOD]]-AVERAGE(Tab.o1[MOD])),"")</f>
        <v/>
      </c>
      <c r="AR88" s="134" t="str">
        <f>IF(Tab.o1[[#This Row],[a1]]=1,Tab.o1[[#This Row],[OBS]]/SUM(Tab.o1[OBS]),"")</f>
        <v/>
      </c>
      <c r="AS88" s="135" t="str">
        <f>IF(ISNUMBER(Tab.o1[[#This Row],[a1]]),ROW()-4,"")</f>
        <v/>
      </c>
      <c r="AT88" s="136" t="str">
        <f>Tab.o1[[#This Row],[MOD]]</f>
        <v/>
      </c>
      <c r="AU88" s="137" t="str">
        <f t="shared" si="5"/>
        <v/>
      </c>
      <c r="AV88" s="138" t="str">
        <f t="shared" si="6"/>
        <v/>
      </c>
      <c r="AW88" s="138" t="str">
        <f t="shared" si="7"/>
        <v/>
      </c>
      <c r="AX88" s="139" t="str">
        <f>[1]!T.in.A[[#This Row],[ID_T_manu]]</f>
        <v/>
      </c>
      <c r="AY88" s="140" t="str">
        <f>IF(ISNUMBER(Tab.o1[[#This Row],[a1]]),IF(AND(Tab.o1[[#This Row],[a1]]=1,Tab.o1[[#This Row],[b1]]&lt;=AY$4),#REF!,AY87),"")</f>
        <v/>
      </c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</row>
    <row r="89" spans="1:79" ht="14.25" hidden="1" customHeight="1">
      <c r="A89" s="109">
        <v>-1.0000000000000001E-5</v>
      </c>
      <c r="B89" s="110">
        <f t="shared" si="4"/>
        <v>89</v>
      </c>
      <c r="C89" s="111" t="str">
        <f>IF(C$1=[1]!T.in.A[[#This Row],[oo2]],1,"")</f>
        <v/>
      </c>
      <c r="D89" s="112" t="str">
        <f>IF(Tab.o1[[#This Row],[a1]]=1,IF(SUM(C89:C90)=0,0,IF(SUM(C88:C89)=1,1,IF(SUM(C88:C90)&gt;1,D88+1,0))),"")</f>
        <v/>
      </c>
      <c r="E89" s="113" t="str">
        <f>IF(Tab.o1[[#This Row],[a1]]=1,[1]!T.in.A[[#This Row],[oo1]],"")</f>
        <v/>
      </c>
      <c r="F89" s="113" t="str">
        <f>IF(Tab.o1[[#This Row],[a1]]=1,[1]!T.in.A[[#This Row],[pp1]],"")</f>
        <v/>
      </c>
      <c r="G89" s="114" t="str">
        <f>IF(Tab.o1[[#This Row],[a1]]=1,G$2+IF(G$1=1,0,Tab.o1[[#This Row],[.x1]])+[1]!T.in.A[[#This Row],[oo3]],"")</f>
        <v/>
      </c>
      <c r="H89" s="115" t="str">
        <f>IF(Tab.o1[[#This Row],[a1]]=1,IF(H$2=0,0,IF(G$1=1,0,Tab.o1[[#This Row],[.x1]])+[1]!T.in.A[[#This Row],[oo4]]),"")</f>
        <v/>
      </c>
      <c r="I89" s="116" t="str">
        <f>IF(Tab.o1[[#This Row],[a1]]=1,IF(J$2=0,Tab.o1[[#This Row],[MED]],Tab.o1[[#This Row],[MOD]]),"")</f>
        <v/>
      </c>
      <c r="J89" s="116" t="str">
        <f>IF(Tab.o1[[#This Row],[a1]]=1,((Tab.o1[[#This Row],[DIF_Target.]]-AVERAGE(Tab.o1[DIF_Target.]))/_xlfn.STDEV.P(Tab.o1[DIF_Target.])),"")</f>
        <v/>
      </c>
      <c r="K89" s="117" t="str">
        <f>IF(Tab.o1[[#This Row],[a1]]=1,IF(J$2=0,Tab.o1[[#This Row],[MOD]]-Tab.o1[[#This Row],[B]],IF(J$2=1,0,-Tab.o1[[#This Row],[MED]])+Tab.o1[[#This Row],[B]]),"")</f>
        <v/>
      </c>
      <c r="L89" s="117" t="str">
        <f ca="1">IF(Tab.o1[[#This Row],[DIF_Target]]=0,IF(L$2=0,Tab.o1[[#This Row],[DIF_Target]],AVERAGE(OFFSET(Tab.o1[[#This Row],[DIF_Target]],1,0,L$3,1)))/3,Tab.o1[[#This Row],[DIF_Target]])</f>
        <v/>
      </c>
      <c r="M89" s="118" t="str">
        <f>IF(Tab.o1[[#This Row],[a1]]=1,NORMSDIST(Tab.o1[[#This Row],[Za]]),"")</f>
        <v/>
      </c>
      <c r="N89" s="119" t="str">
        <f>IF(Tab.o1[[#This Row],[a1]]=1,((Tab.o1[[#This Row],[MedMod]]-AVERAGE(Tab.o1[MedMod]))/_xlfn.STDEV.P(Tab.o1[MedMod])*H$1205)+G$1205,"")</f>
        <v/>
      </c>
      <c r="O89" s="141" t="str">
        <f>IF(Tab.o1[[#This Row],[a1]]=1,Tab.o1[[#This Row],[Zb]]*_xlfn.STDEV.P(Tab.o1[MedMod])+AVERAGE(Tab.o1[MedMod]),"")</f>
        <v/>
      </c>
      <c r="P89" s="117" t="str">
        <f ca="1">IF(Tab.o1[[#This Row],[B]]=0,AVERAGE(OFFSET(Tab.o1[[#This Row],[B]],1,0,L$3,1)),Tab.o1[[#This Row],[B]])</f>
        <v/>
      </c>
      <c r="Q89" s="121" t="str">
        <f>IF(Tab.o1[[#This Row],[a1]]=1,NORMSDIST(Tab.o1[[#This Row],[Zb]]),"")</f>
        <v/>
      </c>
      <c r="R89" s="122" t="str">
        <f>IF(Tab.o1[[#This Row],[a1]]=1,((Tab.o1[[#This Row],[MedMod]]-AVERAGE(Tab.o1[MedMod]))/_xlfn.STDEV.P(Tab.o1[MedMod])*H$1203)+G$1203,"")</f>
        <v/>
      </c>
      <c r="S89" s="122" t="str">
        <f>IF(Tab.o1[[#This Row],[a1]]=1,((Tab.o1[[#This Row],[MedMod]]-AVERAGE(Tab.o1[MedMod]))/_xlfn.STDEV.P(Tab.o1[MedMod])*H$1204)+G$1204,"")</f>
        <v/>
      </c>
      <c r="T89" s="123" t="str">
        <f>IF(Tab.o1[[#This Row],[a1]]=1,Tab.o1[[#This Row],[Z-]]*_xlfn.STDEV.P(Tab.o1[B])+AVERAGE(Tab.o1[B]),"")</f>
        <v/>
      </c>
      <c r="U89" s="123" t="str">
        <f>IF(Tab.o1[[#This Row],[a1]]=1,Tab.o1[[#This Row],[z+]]*_xlfn.STDEV.P(Tab.o1[B])+AVERAGE(Tab.o1[B]),"")</f>
        <v/>
      </c>
      <c r="V89" s="124" t="str">
        <f>IF(Tab.o1[[#This Row],[a1]]=1,ABS((ABS(Tab.o1[[#This Row],[Red]]-Tab.o1[[#This Row],[Blue]]))),"")</f>
        <v/>
      </c>
      <c r="W89" s="125" t="str">
        <f>IF(Tab.o1[[#This Row],[a1]]=1,IF(W$3=0,1,Tab.o1[[#This Row],[Amp.]]*1/_xlfn.MINIFS(Tab.o1[Amp.],Tab.o1[Amp.],"&lt;&gt;0")),"")</f>
        <v/>
      </c>
      <c r="X89" s="126" t="str">
        <f>IF(Tab.o1[[#This Row],[a1]]=1,IF(ISNUMBER(Tab.o1[[#This Row],[i.]]),NORMDIST(Tab.o1[[#This Row],[Za]],0,1,FALSE)*Tab.o1[[#This Row],[i.]],AP$3),"")</f>
        <v/>
      </c>
      <c r="Y89" s="126" t="str">
        <f>IF(Tab.o1[[#This Row],[a1]]=1,0.01+0.94*Tab.o1[[#This Row],[PDF]]/MAX(Tab.o1[PDF]),"")</f>
        <v/>
      </c>
      <c r="Z89" s="126" t="str">
        <f>IF(Tab.o1[[#This Row],[a1]]=1,0.01+0.94*Tab.o1[[#This Row],[W1_PDF]]/MAX(Tab.o1[W1_PDF]),"")</f>
        <v/>
      </c>
      <c r="AA89" s="118" t="str">
        <f>IF(Tab.o1[[#This Row],[a1]]=1,ABS([1]!T.in.A[[#This Row],[oo6]]),"")</f>
        <v/>
      </c>
      <c r="AB89" s="127" t="str">
        <f>IF(Tab.o1[[#This Row],[a1]]=1,IF(AE$3=0,"",IF(AB$3=0,ABS([1]!T.in.A[[#This Row],[oo9]]),ABS(Tab.o1[[#This Row],[DIF_Target.]]*Tab.o1[[#This Row],[W1_PDF]]))),"")</f>
        <v/>
      </c>
      <c r="AC89" s="127" t="str">
        <f>IF(G$1=1,"",IF(Tab.o1[[#This Row],[a1]]=1,Tab.o1[[#This Row],[Wr]]^2,""))</f>
        <v/>
      </c>
      <c r="AD89" s="118" t="str">
        <f>IF(Tab.o1[[#This Row],[a1]]=1,IF(AE$3=0,"",Tab.o1[[#This Row],[Wr2]]/SUM(Tab.o1[Wr2])),"")</f>
        <v/>
      </c>
      <c r="AE89" s="128" t="str">
        <f>IF(Tab.o1[[#This Row],[a1]]=1,[1]!T.in.A[[#This Row],[oo10]],"")</f>
        <v/>
      </c>
      <c r="AF89" s="118" t="str">
        <f>IF(Tab.o1[[#This Row],[a1]]=1,ABS(Tab.o1[[#This Row],[DIF_Target.]]*Tab.o1[[#This Row],[PDF2]]*Tab.o1[[#This Row],[IN]]),"")</f>
        <v/>
      </c>
      <c r="AG89" s="129" t="str">
        <f>IF(Tab.o1[[#This Row],[a1]]=1,Tab.o1[[#This Row],[rW]]^2,"")</f>
        <v/>
      </c>
      <c r="AH89" s="130" t="str">
        <f>IF(Tab.o1[[#This Row],[a1]]=1,IF(AH$3=0,Tab.o1[[#This Row],[rW2]],0.01+0.94*Tab.o1[[#This Row],[rW2]]/SUM(Tab.o1[rW2])),"")</f>
        <v/>
      </c>
      <c r="AI89" s="128" t="str">
        <f>IF(Tab.o1[[#This Row],[a1]]=1,1/Tab.o1[[#This Row],[PDF]],"")</f>
        <v/>
      </c>
      <c r="AJ89" s="131" t="str">
        <f>IF(Tab.o1[[#This Row],[a1]]=1,[1]!T_AA[[#This Row],[IN'']]*[1]!T_AA[[#This Row],[Qde'']],"")</f>
        <v/>
      </c>
      <c r="AK89" s="132" t="str">
        <f>IF(Tab.o1[[#This Row],[a1]]=1,IF(AK$1=1,Tab.o1[[#This Row],[MED]]+Tab.o1[[#This Row],[MOD]]-Tab.o1[[#This Row],[MED]],""),"")</f>
        <v/>
      </c>
      <c r="AL89" s="133" t="str">
        <f>IF(Tab.o1[[#This Row],[a1]]=1,[1]!T.in.A[[#This Row],[oo16]],"")</f>
        <v/>
      </c>
      <c r="AM89" s="133" t="str">
        <f>IF(Tab.o1[[#This Row],[a1]]=1,IF(AM$3=1,[1]!T.in.A[[#This Row],[Σo16]],""),"")</f>
        <v/>
      </c>
      <c r="AN89" s="126" t="str">
        <f>IF(Tab.o1[[#This Row],[a1]]=1,[1]!T.in.A[[#This Row],[Σp5]],"")</f>
        <v/>
      </c>
      <c r="AO89" s="126" t="str">
        <f>IF(Tab.o1[[#This Row],[a1]]=1,IF(AO$3=1,[1]!T.in.A[[#This Row],[Σp5]],""),"")</f>
        <v/>
      </c>
      <c r="AP89" s="110" t="str">
        <f>IF(Tab.o1[[#This Row],[a1]]=1,IF(ISNUMBER(Tab.o1[[#This Row],[i.]]),NORMDIST(Tab.o1[[#This Row],[Za]],0,1,FALSE)*Tab.o1[[#This Row],[i.]],0),"")</f>
        <v/>
      </c>
      <c r="AQ89" s="125" t="str">
        <f>IF(Tab.o1[[#This Row],[a1]]=1,ABS(Tab.o1[[#This Row],[MOD]]-AVERAGE(Tab.o1[MOD])),"")</f>
        <v/>
      </c>
      <c r="AR89" s="134" t="str">
        <f>IF(Tab.o1[[#This Row],[a1]]=1,Tab.o1[[#This Row],[OBS]]/SUM(Tab.o1[OBS]),"")</f>
        <v/>
      </c>
      <c r="AS89" s="135" t="str">
        <f>IF(ISNUMBER(Tab.o1[[#This Row],[a1]]),ROW()-4,"")</f>
        <v/>
      </c>
      <c r="AT89" s="136" t="str">
        <f>Tab.o1[[#This Row],[MOD]]</f>
        <v/>
      </c>
      <c r="AU89" s="137" t="str">
        <f t="shared" si="5"/>
        <v/>
      </c>
      <c r="AV89" s="138" t="str">
        <f t="shared" si="6"/>
        <v/>
      </c>
      <c r="AW89" s="138" t="str">
        <f t="shared" si="7"/>
        <v/>
      </c>
      <c r="AX89" s="139" t="str">
        <f>[1]!T.in.A[[#This Row],[ID_T_manu]]</f>
        <v/>
      </c>
      <c r="AY89" s="140" t="str">
        <f>IF(ISNUMBER(Tab.o1[[#This Row],[a1]]),IF(AND(Tab.o1[[#This Row],[a1]]=1,Tab.o1[[#This Row],[b1]]&lt;=AY$4),#REF!,AY88),"")</f>
        <v/>
      </c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</row>
    <row r="90" spans="1:79" ht="14.25" hidden="1" customHeight="1">
      <c r="A90" s="109">
        <v>1.0000000000000002E-6</v>
      </c>
      <c r="B90" s="110">
        <f t="shared" si="4"/>
        <v>90</v>
      </c>
      <c r="C90" s="111" t="str">
        <f>IF(C$1=[1]!T.in.A[[#This Row],[oo2]],1,"")</f>
        <v/>
      </c>
      <c r="D90" s="112" t="str">
        <f>IF(Tab.o1[[#This Row],[a1]]=1,IF(SUM(C90:C91)=0,0,IF(SUM(C89:C90)=1,1,IF(SUM(C89:C91)&gt;1,D89+1,0))),"")</f>
        <v/>
      </c>
      <c r="E90" s="113" t="str">
        <f>IF(Tab.o1[[#This Row],[a1]]=1,[1]!T.in.A[[#This Row],[oo1]],"")</f>
        <v/>
      </c>
      <c r="F90" s="113" t="str">
        <f>IF(Tab.o1[[#This Row],[a1]]=1,[1]!T.in.A[[#This Row],[pp1]],"")</f>
        <v/>
      </c>
      <c r="G90" s="114" t="str">
        <f>IF(Tab.o1[[#This Row],[a1]]=1,G$2+IF(G$1=1,0,Tab.o1[[#This Row],[.x1]])+[1]!T.in.A[[#This Row],[oo3]],"")</f>
        <v/>
      </c>
      <c r="H90" s="115" t="str">
        <f>IF(Tab.o1[[#This Row],[a1]]=1,IF(H$2=0,0,IF(G$1=1,0,Tab.o1[[#This Row],[.x1]])+[1]!T.in.A[[#This Row],[oo4]]),"")</f>
        <v/>
      </c>
      <c r="I90" s="116" t="str">
        <f>IF(Tab.o1[[#This Row],[a1]]=1,IF(J$2=0,Tab.o1[[#This Row],[MED]],Tab.o1[[#This Row],[MOD]]),"")</f>
        <v/>
      </c>
      <c r="J90" s="116" t="str">
        <f>IF(Tab.o1[[#This Row],[a1]]=1,((Tab.o1[[#This Row],[DIF_Target.]]-AVERAGE(Tab.o1[DIF_Target.]))/_xlfn.STDEV.P(Tab.o1[DIF_Target.])),"")</f>
        <v/>
      </c>
      <c r="K90" s="117" t="str">
        <f>IF(Tab.o1[[#This Row],[a1]]=1,IF(J$2=0,Tab.o1[[#This Row],[MOD]]-Tab.o1[[#This Row],[B]],IF(J$2=1,0,-Tab.o1[[#This Row],[MED]])+Tab.o1[[#This Row],[B]]),"")</f>
        <v/>
      </c>
      <c r="L90" s="117" t="str">
        <f ca="1">IF(Tab.o1[[#This Row],[DIF_Target]]=0,IF(L$2=0,Tab.o1[[#This Row],[DIF_Target]],AVERAGE(OFFSET(Tab.o1[[#This Row],[DIF_Target]],1,0,L$3,1)))/3,Tab.o1[[#This Row],[DIF_Target]])</f>
        <v/>
      </c>
      <c r="M90" s="118" t="str">
        <f>IF(Tab.o1[[#This Row],[a1]]=1,NORMSDIST(Tab.o1[[#This Row],[Za]]),"")</f>
        <v/>
      </c>
      <c r="N90" s="119" t="str">
        <f>IF(Tab.o1[[#This Row],[a1]]=1,((Tab.o1[[#This Row],[MedMod]]-AVERAGE(Tab.o1[MedMod]))/_xlfn.STDEV.P(Tab.o1[MedMod])*H$1205)+G$1205,"")</f>
        <v/>
      </c>
      <c r="O90" s="141" t="str">
        <f>IF(Tab.o1[[#This Row],[a1]]=1,Tab.o1[[#This Row],[Zb]]*_xlfn.STDEV.P(Tab.o1[MedMod])+AVERAGE(Tab.o1[MedMod]),"")</f>
        <v/>
      </c>
      <c r="P90" s="117" t="str">
        <f ca="1">IF(Tab.o1[[#This Row],[B]]=0,AVERAGE(OFFSET(Tab.o1[[#This Row],[B]],1,0,L$3,1)),Tab.o1[[#This Row],[B]])</f>
        <v/>
      </c>
      <c r="Q90" s="121" t="str">
        <f>IF(Tab.o1[[#This Row],[a1]]=1,NORMSDIST(Tab.o1[[#This Row],[Zb]]),"")</f>
        <v/>
      </c>
      <c r="R90" s="122" t="str">
        <f>IF(Tab.o1[[#This Row],[a1]]=1,((Tab.o1[[#This Row],[MedMod]]-AVERAGE(Tab.o1[MedMod]))/_xlfn.STDEV.P(Tab.o1[MedMod])*H$1203)+G$1203,"")</f>
        <v/>
      </c>
      <c r="S90" s="122" t="str">
        <f>IF(Tab.o1[[#This Row],[a1]]=1,((Tab.o1[[#This Row],[MedMod]]-AVERAGE(Tab.o1[MedMod]))/_xlfn.STDEV.P(Tab.o1[MedMod])*H$1204)+G$1204,"")</f>
        <v/>
      </c>
      <c r="T90" s="123" t="str">
        <f>IF(Tab.o1[[#This Row],[a1]]=1,Tab.o1[[#This Row],[Z-]]*_xlfn.STDEV.P(Tab.o1[B])+AVERAGE(Tab.o1[B]),"")</f>
        <v/>
      </c>
      <c r="U90" s="123" t="str">
        <f>IF(Tab.o1[[#This Row],[a1]]=1,Tab.o1[[#This Row],[z+]]*_xlfn.STDEV.P(Tab.o1[B])+AVERAGE(Tab.o1[B]),"")</f>
        <v/>
      </c>
      <c r="V90" s="124" t="str">
        <f>IF(Tab.o1[[#This Row],[a1]]=1,ABS((ABS(Tab.o1[[#This Row],[Red]]-Tab.o1[[#This Row],[Blue]]))),"")</f>
        <v/>
      </c>
      <c r="W90" s="125" t="str">
        <f>IF(Tab.o1[[#This Row],[a1]]=1,IF(W$3=0,1,Tab.o1[[#This Row],[Amp.]]*1/_xlfn.MINIFS(Tab.o1[Amp.],Tab.o1[Amp.],"&lt;&gt;0")),"")</f>
        <v/>
      </c>
      <c r="X90" s="126" t="str">
        <f>IF(Tab.o1[[#This Row],[a1]]=1,IF(ISNUMBER(Tab.o1[[#This Row],[i.]]),NORMDIST(Tab.o1[[#This Row],[Za]],0,1,FALSE)*Tab.o1[[#This Row],[i.]],AP$3),"")</f>
        <v/>
      </c>
      <c r="Y90" s="126" t="str">
        <f>IF(Tab.o1[[#This Row],[a1]]=1,0.01+0.94*Tab.o1[[#This Row],[PDF]]/MAX(Tab.o1[PDF]),"")</f>
        <v/>
      </c>
      <c r="Z90" s="126" t="str">
        <f>IF(Tab.o1[[#This Row],[a1]]=1,0.01+0.94*Tab.o1[[#This Row],[W1_PDF]]/MAX(Tab.o1[W1_PDF]),"")</f>
        <v/>
      </c>
      <c r="AA90" s="118" t="str">
        <f>IF(Tab.o1[[#This Row],[a1]]=1,ABS([1]!T.in.A[[#This Row],[oo6]]),"")</f>
        <v/>
      </c>
      <c r="AB90" s="127" t="str">
        <f>IF(Tab.o1[[#This Row],[a1]]=1,IF(AE$3=0,"",IF(AB$3=0,ABS([1]!T.in.A[[#This Row],[oo9]]),ABS(Tab.o1[[#This Row],[DIF_Target.]]*Tab.o1[[#This Row],[W1_PDF]]))),"")</f>
        <v/>
      </c>
      <c r="AC90" s="127" t="str">
        <f>IF(G$1=1,"",IF(Tab.o1[[#This Row],[a1]]=1,Tab.o1[[#This Row],[Wr]]^2,""))</f>
        <v/>
      </c>
      <c r="AD90" s="118" t="str">
        <f>IF(Tab.o1[[#This Row],[a1]]=1,IF(AE$3=0,"",Tab.o1[[#This Row],[Wr2]]/SUM(Tab.o1[Wr2])),"")</f>
        <v/>
      </c>
      <c r="AE90" s="128" t="str">
        <f>IF(Tab.o1[[#This Row],[a1]]=1,[1]!T.in.A[[#This Row],[oo10]],"")</f>
        <v/>
      </c>
      <c r="AF90" s="118" t="str">
        <f>IF(Tab.o1[[#This Row],[a1]]=1,ABS(Tab.o1[[#This Row],[DIF_Target.]]*Tab.o1[[#This Row],[PDF2]]*Tab.o1[[#This Row],[IN]]),"")</f>
        <v/>
      </c>
      <c r="AG90" s="129" t="str">
        <f>IF(Tab.o1[[#This Row],[a1]]=1,Tab.o1[[#This Row],[rW]]^2,"")</f>
        <v/>
      </c>
      <c r="AH90" s="130" t="str">
        <f>IF(Tab.o1[[#This Row],[a1]]=1,IF(AH$3=0,Tab.o1[[#This Row],[rW2]],0.01+0.94*Tab.o1[[#This Row],[rW2]]/SUM(Tab.o1[rW2])),"")</f>
        <v/>
      </c>
      <c r="AI90" s="128" t="str">
        <f>IF(Tab.o1[[#This Row],[a1]]=1,1/Tab.o1[[#This Row],[PDF]],"")</f>
        <v/>
      </c>
      <c r="AJ90" s="131" t="str">
        <f>IF(Tab.o1[[#This Row],[a1]]=1,[1]!T_AA[[#This Row],[IN'']]*[1]!T_AA[[#This Row],[Qde'']],"")</f>
        <v/>
      </c>
      <c r="AK90" s="132" t="str">
        <f>IF(Tab.o1[[#This Row],[a1]]=1,IF(AK$1=1,Tab.o1[[#This Row],[MED]]+Tab.o1[[#This Row],[MOD]]-Tab.o1[[#This Row],[MED]],""),"")</f>
        <v/>
      </c>
      <c r="AL90" s="133" t="str">
        <f>IF(Tab.o1[[#This Row],[a1]]=1,[1]!T.in.A[[#This Row],[oo16]],"")</f>
        <v/>
      </c>
      <c r="AM90" s="133" t="str">
        <f>IF(Tab.o1[[#This Row],[a1]]=1,IF(AM$3=1,[1]!T.in.A[[#This Row],[Σo16]],""),"")</f>
        <v/>
      </c>
      <c r="AN90" s="126" t="str">
        <f>IF(Tab.o1[[#This Row],[a1]]=1,[1]!T.in.A[[#This Row],[Σp5]],"")</f>
        <v/>
      </c>
      <c r="AO90" s="126" t="str">
        <f>IF(Tab.o1[[#This Row],[a1]]=1,IF(AO$3=1,[1]!T.in.A[[#This Row],[Σp5]],""),"")</f>
        <v/>
      </c>
      <c r="AP90" s="110" t="str">
        <f>IF(Tab.o1[[#This Row],[a1]]=1,IF(ISNUMBER(Tab.o1[[#This Row],[i.]]),NORMDIST(Tab.o1[[#This Row],[Za]],0,1,FALSE)*Tab.o1[[#This Row],[i.]],0),"")</f>
        <v/>
      </c>
      <c r="AQ90" s="125" t="str">
        <f>IF(Tab.o1[[#This Row],[a1]]=1,ABS(Tab.o1[[#This Row],[MOD]]-AVERAGE(Tab.o1[MOD])),"")</f>
        <v/>
      </c>
      <c r="AR90" s="134" t="str">
        <f>IF(Tab.o1[[#This Row],[a1]]=1,Tab.o1[[#This Row],[OBS]]/SUM(Tab.o1[OBS]),"")</f>
        <v/>
      </c>
      <c r="AS90" s="135" t="str">
        <f>IF(ISNUMBER(Tab.o1[[#This Row],[a1]]),ROW()-4,"")</f>
        <v/>
      </c>
      <c r="AT90" s="136" t="str">
        <f>Tab.o1[[#This Row],[MOD]]</f>
        <v/>
      </c>
      <c r="AU90" s="137" t="str">
        <f t="shared" si="5"/>
        <v/>
      </c>
      <c r="AV90" s="138" t="str">
        <f t="shared" si="6"/>
        <v/>
      </c>
      <c r="AW90" s="138" t="str">
        <f t="shared" si="7"/>
        <v/>
      </c>
      <c r="AX90" s="139" t="str">
        <f>[1]!T.in.A[[#This Row],[ID_T_manu]]</f>
        <v/>
      </c>
      <c r="AY90" s="140" t="str">
        <f>IF(ISNUMBER(Tab.o1[[#This Row],[a1]]),IF(AND(Tab.o1[[#This Row],[a1]]=1,Tab.o1[[#This Row],[b1]]&lt;=AY$4),#REF!,AY89),"")</f>
        <v/>
      </c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</row>
    <row r="91" spans="1:79" ht="14.25" hidden="1" customHeight="1">
      <c r="A91" s="109">
        <v>-2.0000000000000003E-6</v>
      </c>
      <c r="B91" s="110">
        <f t="shared" si="4"/>
        <v>91</v>
      </c>
      <c r="C91" s="111" t="str">
        <f>IF(C$1=[1]!T.in.A[[#This Row],[oo2]],1,"")</f>
        <v/>
      </c>
      <c r="D91" s="112" t="str">
        <f>IF(Tab.o1[[#This Row],[a1]]=1,IF(SUM(C91:C92)=0,0,IF(SUM(C90:C91)=1,1,IF(SUM(C90:C92)&gt;1,D90+1,0))),"")</f>
        <v/>
      </c>
      <c r="E91" s="113" t="str">
        <f>IF(Tab.o1[[#This Row],[a1]]=1,[1]!T.in.A[[#This Row],[oo1]],"")</f>
        <v/>
      </c>
      <c r="F91" s="113" t="str">
        <f>IF(Tab.o1[[#This Row],[a1]]=1,[1]!T.in.A[[#This Row],[pp1]],"")</f>
        <v/>
      </c>
      <c r="G91" s="114" t="str">
        <f>IF(Tab.o1[[#This Row],[a1]]=1,G$2+IF(G$1=1,0,Tab.o1[[#This Row],[.x1]])+[1]!T.in.A[[#This Row],[oo3]],"")</f>
        <v/>
      </c>
      <c r="H91" s="115" t="str">
        <f>IF(Tab.o1[[#This Row],[a1]]=1,IF(H$2=0,0,IF(G$1=1,0,Tab.o1[[#This Row],[.x1]])+[1]!T.in.A[[#This Row],[oo4]]),"")</f>
        <v/>
      </c>
      <c r="I91" s="116" t="str">
        <f>IF(Tab.o1[[#This Row],[a1]]=1,IF(J$2=0,Tab.o1[[#This Row],[MED]],Tab.o1[[#This Row],[MOD]]),"")</f>
        <v/>
      </c>
      <c r="J91" s="116" t="str">
        <f>IF(Tab.o1[[#This Row],[a1]]=1,((Tab.o1[[#This Row],[DIF_Target.]]-AVERAGE(Tab.o1[DIF_Target.]))/_xlfn.STDEV.P(Tab.o1[DIF_Target.])),"")</f>
        <v/>
      </c>
      <c r="K91" s="117" t="str">
        <f>IF(Tab.o1[[#This Row],[a1]]=1,IF(J$2=0,Tab.o1[[#This Row],[MOD]]-Tab.o1[[#This Row],[B]],IF(J$2=1,0,-Tab.o1[[#This Row],[MED]])+Tab.o1[[#This Row],[B]]),"")</f>
        <v/>
      </c>
      <c r="L91" s="117" t="str">
        <f ca="1">IF(Tab.o1[[#This Row],[DIF_Target]]=0,IF(L$2=0,Tab.o1[[#This Row],[DIF_Target]],AVERAGE(OFFSET(Tab.o1[[#This Row],[DIF_Target]],1,0,L$3,1)))/3,Tab.o1[[#This Row],[DIF_Target]])</f>
        <v/>
      </c>
      <c r="M91" s="118" t="str">
        <f>IF(Tab.o1[[#This Row],[a1]]=1,NORMSDIST(Tab.o1[[#This Row],[Za]]),"")</f>
        <v/>
      </c>
      <c r="N91" s="119" t="str">
        <f>IF(Tab.o1[[#This Row],[a1]]=1,((Tab.o1[[#This Row],[MedMod]]-AVERAGE(Tab.o1[MedMod]))/_xlfn.STDEV.P(Tab.o1[MedMod])*H$1205)+G$1205,"")</f>
        <v/>
      </c>
      <c r="O91" s="141" t="str">
        <f>IF(Tab.o1[[#This Row],[a1]]=1,Tab.o1[[#This Row],[Zb]]*_xlfn.STDEV.P(Tab.o1[MedMod])+AVERAGE(Tab.o1[MedMod]),"")</f>
        <v/>
      </c>
      <c r="P91" s="117" t="str">
        <f ca="1">IF(Tab.o1[[#This Row],[B]]=0,AVERAGE(OFFSET(Tab.o1[[#This Row],[B]],1,0,L$3,1)),Tab.o1[[#This Row],[B]])</f>
        <v/>
      </c>
      <c r="Q91" s="121" t="str">
        <f>IF(Tab.o1[[#This Row],[a1]]=1,NORMSDIST(Tab.o1[[#This Row],[Zb]]),"")</f>
        <v/>
      </c>
      <c r="R91" s="122" t="str">
        <f>IF(Tab.o1[[#This Row],[a1]]=1,((Tab.o1[[#This Row],[MedMod]]-AVERAGE(Tab.o1[MedMod]))/_xlfn.STDEV.P(Tab.o1[MedMod])*H$1203)+G$1203,"")</f>
        <v/>
      </c>
      <c r="S91" s="122" t="str">
        <f>IF(Tab.o1[[#This Row],[a1]]=1,((Tab.o1[[#This Row],[MedMod]]-AVERAGE(Tab.o1[MedMod]))/_xlfn.STDEV.P(Tab.o1[MedMod])*H$1204)+G$1204,"")</f>
        <v/>
      </c>
      <c r="T91" s="123" t="str">
        <f>IF(Tab.o1[[#This Row],[a1]]=1,Tab.o1[[#This Row],[Z-]]*_xlfn.STDEV.P(Tab.o1[B])+AVERAGE(Tab.o1[B]),"")</f>
        <v/>
      </c>
      <c r="U91" s="123" t="str">
        <f>IF(Tab.o1[[#This Row],[a1]]=1,Tab.o1[[#This Row],[z+]]*_xlfn.STDEV.P(Tab.o1[B])+AVERAGE(Tab.o1[B]),"")</f>
        <v/>
      </c>
      <c r="V91" s="124" t="str">
        <f>IF(Tab.o1[[#This Row],[a1]]=1,ABS((ABS(Tab.o1[[#This Row],[Red]]-Tab.o1[[#This Row],[Blue]]))),"")</f>
        <v/>
      </c>
      <c r="W91" s="125" t="str">
        <f>IF(Tab.o1[[#This Row],[a1]]=1,IF(W$3=0,1,Tab.o1[[#This Row],[Amp.]]*1/_xlfn.MINIFS(Tab.o1[Amp.],Tab.o1[Amp.],"&lt;&gt;0")),"")</f>
        <v/>
      </c>
      <c r="X91" s="126" t="str">
        <f>IF(Tab.o1[[#This Row],[a1]]=1,IF(ISNUMBER(Tab.o1[[#This Row],[i.]]),NORMDIST(Tab.o1[[#This Row],[Za]],0,1,FALSE)*Tab.o1[[#This Row],[i.]],AP$3),"")</f>
        <v/>
      </c>
      <c r="Y91" s="126" t="str">
        <f>IF(Tab.o1[[#This Row],[a1]]=1,0.01+0.94*Tab.o1[[#This Row],[PDF]]/MAX(Tab.o1[PDF]),"")</f>
        <v/>
      </c>
      <c r="Z91" s="126" t="str">
        <f>IF(Tab.o1[[#This Row],[a1]]=1,0.01+0.94*Tab.o1[[#This Row],[W1_PDF]]/MAX(Tab.o1[W1_PDF]),"")</f>
        <v/>
      </c>
      <c r="AA91" s="118" t="str">
        <f>IF(Tab.o1[[#This Row],[a1]]=1,ABS([1]!T.in.A[[#This Row],[oo6]]),"")</f>
        <v/>
      </c>
      <c r="AB91" s="127" t="str">
        <f>IF(Tab.o1[[#This Row],[a1]]=1,IF(AE$3=0,"",IF(AB$3=0,ABS([1]!T.in.A[[#This Row],[oo9]]),ABS(Tab.o1[[#This Row],[DIF_Target.]]*Tab.o1[[#This Row],[W1_PDF]]))),"")</f>
        <v/>
      </c>
      <c r="AC91" s="127" t="str">
        <f>IF(G$1=1,"",IF(Tab.o1[[#This Row],[a1]]=1,Tab.o1[[#This Row],[Wr]]^2,""))</f>
        <v/>
      </c>
      <c r="AD91" s="118" t="str">
        <f>IF(Tab.o1[[#This Row],[a1]]=1,IF(AE$3=0,"",Tab.o1[[#This Row],[Wr2]]/SUM(Tab.o1[Wr2])),"")</f>
        <v/>
      </c>
      <c r="AE91" s="128" t="str">
        <f>IF(Tab.o1[[#This Row],[a1]]=1,[1]!T.in.A[[#This Row],[oo10]],"")</f>
        <v/>
      </c>
      <c r="AF91" s="118" t="str">
        <f>IF(Tab.o1[[#This Row],[a1]]=1,ABS(Tab.o1[[#This Row],[DIF_Target.]]*Tab.o1[[#This Row],[PDF2]]*Tab.o1[[#This Row],[IN]]),"")</f>
        <v/>
      </c>
      <c r="AG91" s="129" t="str">
        <f>IF(Tab.o1[[#This Row],[a1]]=1,Tab.o1[[#This Row],[rW]]^2,"")</f>
        <v/>
      </c>
      <c r="AH91" s="130" t="str">
        <f>IF(Tab.o1[[#This Row],[a1]]=1,IF(AH$3=0,Tab.o1[[#This Row],[rW2]],0.01+0.94*Tab.o1[[#This Row],[rW2]]/SUM(Tab.o1[rW2])),"")</f>
        <v/>
      </c>
      <c r="AI91" s="128" t="str">
        <f>IF(Tab.o1[[#This Row],[a1]]=1,1/Tab.o1[[#This Row],[PDF]],"")</f>
        <v/>
      </c>
      <c r="AJ91" s="131" t="str">
        <f>IF(Tab.o1[[#This Row],[a1]]=1,[1]!T_AA[[#This Row],[IN'']]*[1]!T_AA[[#This Row],[Qde'']],"")</f>
        <v/>
      </c>
      <c r="AK91" s="132" t="str">
        <f>IF(Tab.o1[[#This Row],[a1]]=1,IF(AK$1=1,Tab.o1[[#This Row],[MED]]+Tab.o1[[#This Row],[MOD]]-Tab.o1[[#This Row],[MED]],""),"")</f>
        <v/>
      </c>
      <c r="AL91" s="133" t="str">
        <f>IF(Tab.o1[[#This Row],[a1]]=1,[1]!T.in.A[[#This Row],[oo16]],"")</f>
        <v/>
      </c>
      <c r="AM91" s="133" t="str">
        <f>IF(Tab.o1[[#This Row],[a1]]=1,IF(AM$3=1,[1]!T.in.A[[#This Row],[Σo16]],""),"")</f>
        <v/>
      </c>
      <c r="AN91" s="126" t="str">
        <f>IF(Tab.o1[[#This Row],[a1]]=1,[1]!T.in.A[[#This Row],[Σp5]],"")</f>
        <v/>
      </c>
      <c r="AO91" s="126" t="str">
        <f>IF(Tab.o1[[#This Row],[a1]]=1,IF(AO$3=1,[1]!T.in.A[[#This Row],[Σp5]],""),"")</f>
        <v/>
      </c>
      <c r="AP91" s="110" t="str">
        <f>IF(Tab.o1[[#This Row],[a1]]=1,IF(ISNUMBER(Tab.o1[[#This Row],[i.]]),NORMDIST(Tab.o1[[#This Row],[Za]],0,1,FALSE)*Tab.o1[[#This Row],[i.]],0),"")</f>
        <v/>
      </c>
      <c r="AQ91" s="125" t="str">
        <f>IF(Tab.o1[[#This Row],[a1]]=1,ABS(Tab.o1[[#This Row],[MOD]]-AVERAGE(Tab.o1[MOD])),"")</f>
        <v/>
      </c>
      <c r="AR91" s="134" t="str">
        <f>IF(Tab.o1[[#This Row],[a1]]=1,Tab.o1[[#This Row],[OBS]]/SUM(Tab.o1[OBS]),"")</f>
        <v/>
      </c>
      <c r="AS91" s="135" t="str">
        <f>IF(ISNUMBER(Tab.o1[[#This Row],[a1]]),ROW()-4,"")</f>
        <v/>
      </c>
      <c r="AT91" s="136" t="str">
        <f>Tab.o1[[#This Row],[MOD]]</f>
        <v/>
      </c>
      <c r="AU91" s="137" t="str">
        <f t="shared" si="5"/>
        <v/>
      </c>
      <c r="AV91" s="138" t="str">
        <f t="shared" si="6"/>
        <v/>
      </c>
      <c r="AW91" s="138" t="str">
        <f t="shared" si="7"/>
        <v/>
      </c>
      <c r="AX91" s="139" t="str">
        <f>[1]!T.in.A[[#This Row],[ID_T_manu]]</f>
        <v/>
      </c>
      <c r="AY91" s="140" t="str">
        <f>IF(ISNUMBER(Tab.o1[[#This Row],[a1]]),IF(AND(Tab.o1[[#This Row],[a1]]=1,Tab.o1[[#This Row],[b1]]&lt;=AY$4),#REF!,AY90),"")</f>
        <v/>
      </c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</row>
    <row r="92" spans="1:79" ht="14.25" hidden="1" customHeight="1">
      <c r="A92" s="109">
        <v>-8.0000000000000013E-6</v>
      </c>
      <c r="B92" s="110">
        <f t="shared" si="4"/>
        <v>92</v>
      </c>
      <c r="C92" s="111" t="str">
        <f>IF(C$1=[1]!T.in.A[[#This Row],[oo2]],1,"")</f>
        <v/>
      </c>
      <c r="D92" s="112" t="str">
        <f>IF(Tab.o1[[#This Row],[a1]]=1,IF(SUM(C92:C93)=0,0,IF(SUM(C91:C92)=1,1,IF(SUM(C91:C93)&gt;1,D91+1,0))),"")</f>
        <v/>
      </c>
      <c r="E92" s="113" t="str">
        <f>IF(Tab.o1[[#This Row],[a1]]=1,[1]!T.in.A[[#This Row],[oo1]],"")</f>
        <v/>
      </c>
      <c r="F92" s="113" t="str">
        <f>IF(Tab.o1[[#This Row],[a1]]=1,[1]!T.in.A[[#This Row],[pp1]],"")</f>
        <v/>
      </c>
      <c r="G92" s="114" t="str">
        <f>IF(Tab.o1[[#This Row],[a1]]=1,G$2+IF(G$1=1,0,Tab.o1[[#This Row],[.x1]])+[1]!T.in.A[[#This Row],[oo3]],"")</f>
        <v/>
      </c>
      <c r="H92" s="115" t="str">
        <f>IF(Tab.o1[[#This Row],[a1]]=1,IF(H$2=0,0,IF(G$1=1,0,Tab.o1[[#This Row],[.x1]])+[1]!T.in.A[[#This Row],[oo4]]),"")</f>
        <v/>
      </c>
      <c r="I92" s="116" t="str">
        <f>IF(Tab.o1[[#This Row],[a1]]=1,IF(J$2=0,Tab.o1[[#This Row],[MED]],Tab.o1[[#This Row],[MOD]]),"")</f>
        <v/>
      </c>
      <c r="J92" s="116" t="str">
        <f>IF(Tab.o1[[#This Row],[a1]]=1,((Tab.o1[[#This Row],[DIF_Target.]]-AVERAGE(Tab.o1[DIF_Target.]))/_xlfn.STDEV.P(Tab.o1[DIF_Target.])),"")</f>
        <v/>
      </c>
      <c r="K92" s="117" t="str">
        <f>IF(Tab.o1[[#This Row],[a1]]=1,IF(J$2=0,Tab.o1[[#This Row],[MOD]]-Tab.o1[[#This Row],[B]],IF(J$2=1,0,-Tab.o1[[#This Row],[MED]])+Tab.o1[[#This Row],[B]]),"")</f>
        <v/>
      </c>
      <c r="L92" s="117" t="str">
        <f ca="1">IF(Tab.o1[[#This Row],[DIF_Target]]=0,IF(L$2=0,Tab.o1[[#This Row],[DIF_Target]],AVERAGE(OFFSET(Tab.o1[[#This Row],[DIF_Target]],1,0,L$3,1)))/3,Tab.o1[[#This Row],[DIF_Target]])</f>
        <v/>
      </c>
      <c r="M92" s="118" t="str">
        <f>IF(Tab.o1[[#This Row],[a1]]=1,NORMSDIST(Tab.o1[[#This Row],[Za]]),"")</f>
        <v/>
      </c>
      <c r="N92" s="119" t="str">
        <f>IF(Tab.o1[[#This Row],[a1]]=1,((Tab.o1[[#This Row],[MedMod]]-AVERAGE(Tab.o1[MedMod]))/_xlfn.STDEV.P(Tab.o1[MedMod])*H$1205)+G$1205,"")</f>
        <v/>
      </c>
      <c r="O92" s="141" t="str">
        <f>IF(Tab.o1[[#This Row],[a1]]=1,Tab.o1[[#This Row],[Zb]]*_xlfn.STDEV.P(Tab.o1[MedMod])+AVERAGE(Tab.o1[MedMod]),"")</f>
        <v/>
      </c>
      <c r="P92" s="117" t="str">
        <f ca="1">IF(Tab.o1[[#This Row],[B]]=0,AVERAGE(OFFSET(Tab.o1[[#This Row],[B]],1,0,L$3,1)),Tab.o1[[#This Row],[B]])</f>
        <v/>
      </c>
      <c r="Q92" s="121" t="str">
        <f>IF(Tab.o1[[#This Row],[a1]]=1,NORMSDIST(Tab.o1[[#This Row],[Zb]]),"")</f>
        <v/>
      </c>
      <c r="R92" s="122" t="str">
        <f>IF(Tab.o1[[#This Row],[a1]]=1,((Tab.o1[[#This Row],[MedMod]]-AVERAGE(Tab.o1[MedMod]))/_xlfn.STDEV.P(Tab.o1[MedMod])*H$1203)+G$1203,"")</f>
        <v/>
      </c>
      <c r="S92" s="122" t="str">
        <f>IF(Tab.o1[[#This Row],[a1]]=1,((Tab.o1[[#This Row],[MedMod]]-AVERAGE(Tab.o1[MedMod]))/_xlfn.STDEV.P(Tab.o1[MedMod])*H$1204)+G$1204,"")</f>
        <v/>
      </c>
      <c r="T92" s="123" t="str">
        <f>IF(Tab.o1[[#This Row],[a1]]=1,Tab.o1[[#This Row],[Z-]]*_xlfn.STDEV.P(Tab.o1[B])+AVERAGE(Tab.o1[B]),"")</f>
        <v/>
      </c>
      <c r="U92" s="123" t="str">
        <f>IF(Tab.o1[[#This Row],[a1]]=1,Tab.o1[[#This Row],[z+]]*_xlfn.STDEV.P(Tab.o1[B])+AVERAGE(Tab.o1[B]),"")</f>
        <v/>
      </c>
      <c r="V92" s="124" t="str">
        <f>IF(Tab.o1[[#This Row],[a1]]=1,ABS((ABS(Tab.o1[[#This Row],[Red]]-Tab.o1[[#This Row],[Blue]]))),"")</f>
        <v/>
      </c>
      <c r="W92" s="125" t="str">
        <f>IF(Tab.o1[[#This Row],[a1]]=1,IF(W$3=0,1,Tab.o1[[#This Row],[Amp.]]*1/_xlfn.MINIFS(Tab.o1[Amp.],Tab.o1[Amp.],"&lt;&gt;0")),"")</f>
        <v/>
      </c>
      <c r="X92" s="126" t="str">
        <f>IF(Tab.o1[[#This Row],[a1]]=1,IF(ISNUMBER(Tab.o1[[#This Row],[i.]]),NORMDIST(Tab.o1[[#This Row],[Za]],0,1,FALSE)*Tab.o1[[#This Row],[i.]],AP$3),"")</f>
        <v/>
      </c>
      <c r="Y92" s="126" t="str">
        <f>IF(Tab.o1[[#This Row],[a1]]=1,0.01+0.94*Tab.o1[[#This Row],[PDF]]/MAX(Tab.o1[PDF]),"")</f>
        <v/>
      </c>
      <c r="Z92" s="126" t="str">
        <f>IF(Tab.o1[[#This Row],[a1]]=1,0.01+0.94*Tab.o1[[#This Row],[W1_PDF]]/MAX(Tab.o1[W1_PDF]),"")</f>
        <v/>
      </c>
      <c r="AA92" s="118" t="str">
        <f>IF(Tab.o1[[#This Row],[a1]]=1,ABS([1]!T.in.A[[#This Row],[oo6]]),"")</f>
        <v/>
      </c>
      <c r="AB92" s="127" t="str">
        <f>IF(Tab.o1[[#This Row],[a1]]=1,IF(AE$3=0,"",IF(AB$3=0,ABS([1]!T.in.A[[#This Row],[oo9]]),ABS(Tab.o1[[#This Row],[DIF_Target.]]*Tab.o1[[#This Row],[W1_PDF]]))),"")</f>
        <v/>
      </c>
      <c r="AC92" s="127" t="str">
        <f>IF(G$1=1,"",IF(Tab.o1[[#This Row],[a1]]=1,Tab.o1[[#This Row],[Wr]]^2,""))</f>
        <v/>
      </c>
      <c r="AD92" s="118" t="str">
        <f>IF(Tab.o1[[#This Row],[a1]]=1,IF(AE$3=0,"",Tab.o1[[#This Row],[Wr2]]/SUM(Tab.o1[Wr2])),"")</f>
        <v/>
      </c>
      <c r="AE92" s="128" t="str">
        <f>IF(Tab.o1[[#This Row],[a1]]=1,[1]!T.in.A[[#This Row],[oo10]],"")</f>
        <v/>
      </c>
      <c r="AF92" s="118" t="str">
        <f>IF(Tab.o1[[#This Row],[a1]]=1,ABS(Tab.o1[[#This Row],[DIF_Target.]]*Tab.o1[[#This Row],[PDF2]]*Tab.o1[[#This Row],[IN]]),"")</f>
        <v/>
      </c>
      <c r="AG92" s="129" t="str">
        <f>IF(Tab.o1[[#This Row],[a1]]=1,Tab.o1[[#This Row],[rW]]^2,"")</f>
        <v/>
      </c>
      <c r="AH92" s="130" t="str">
        <f>IF(Tab.o1[[#This Row],[a1]]=1,IF(AH$3=0,Tab.o1[[#This Row],[rW2]],0.01+0.94*Tab.o1[[#This Row],[rW2]]/SUM(Tab.o1[rW2])),"")</f>
        <v/>
      </c>
      <c r="AI92" s="128" t="str">
        <f>IF(Tab.o1[[#This Row],[a1]]=1,1/Tab.o1[[#This Row],[PDF]],"")</f>
        <v/>
      </c>
      <c r="AJ92" s="131" t="str">
        <f>IF(Tab.o1[[#This Row],[a1]]=1,[1]!T_AA[[#This Row],[IN'']]*[1]!T_AA[[#This Row],[Qde'']],"")</f>
        <v/>
      </c>
      <c r="AK92" s="132" t="str">
        <f>IF(Tab.o1[[#This Row],[a1]]=1,IF(AK$1=1,Tab.o1[[#This Row],[MED]]+Tab.o1[[#This Row],[MOD]]-Tab.o1[[#This Row],[MED]],""),"")</f>
        <v/>
      </c>
      <c r="AL92" s="133" t="str">
        <f>IF(Tab.o1[[#This Row],[a1]]=1,[1]!T.in.A[[#This Row],[oo16]],"")</f>
        <v/>
      </c>
      <c r="AM92" s="133" t="str">
        <f>IF(Tab.o1[[#This Row],[a1]]=1,IF(AM$3=1,[1]!T.in.A[[#This Row],[Σo16]],""),"")</f>
        <v/>
      </c>
      <c r="AN92" s="126" t="str">
        <f>IF(Tab.o1[[#This Row],[a1]]=1,[1]!T.in.A[[#This Row],[Σp5]],"")</f>
        <v/>
      </c>
      <c r="AO92" s="126" t="str">
        <f>IF(Tab.o1[[#This Row],[a1]]=1,IF(AO$3=1,[1]!T.in.A[[#This Row],[Σp5]],""),"")</f>
        <v/>
      </c>
      <c r="AP92" s="110" t="str">
        <f>IF(Tab.o1[[#This Row],[a1]]=1,IF(ISNUMBER(Tab.o1[[#This Row],[i.]]),NORMDIST(Tab.o1[[#This Row],[Za]],0,1,FALSE)*Tab.o1[[#This Row],[i.]],0),"")</f>
        <v/>
      </c>
      <c r="AQ92" s="125" t="str">
        <f>IF(Tab.o1[[#This Row],[a1]]=1,ABS(Tab.o1[[#This Row],[MOD]]-AVERAGE(Tab.o1[MOD])),"")</f>
        <v/>
      </c>
      <c r="AR92" s="134" t="str">
        <f>IF(Tab.o1[[#This Row],[a1]]=1,Tab.o1[[#This Row],[OBS]]/SUM(Tab.o1[OBS]),"")</f>
        <v/>
      </c>
      <c r="AS92" s="135" t="str">
        <f>IF(ISNUMBER(Tab.o1[[#This Row],[a1]]),ROW()-4,"")</f>
        <v/>
      </c>
      <c r="AT92" s="136" t="str">
        <f>Tab.o1[[#This Row],[MOD]]</f>
        <v/>
      </c>
      <c r="AU92" s="137" t="str">
        <f t="shared" si="5"/>
        <v/>
      </c>
      <c r="AV92" s="138" t="str">
        <f t="shared" si="6"/>
        <v/>
      </c>
      <c r="AW92" s="138" t="str">
        <f t="shared" si="7"/>
        <v/>
      </c>
      <c r="AX92" s="139" t="str">
        <f>[1]!T.in.A[[#This Row],[ID_T_manu]]</f>
        <v/>
      </c>
      <c r="AY92" s="140" t="str">
        <f>IF(ISNUMBER(Tab.o1[[#This Row],[a1]]),IF(AND(Tab.o1[[#This Row],[a1]]=1,Tab.o1[[#This Row],[b1]]&lt;=AY$4),#REF!,AY91),"")</f>
        <v/>
      </c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</row>
    <row r="93" spans="1:79" ht="14.25" hidden="1" customHeight="1">
      <c r="A93" s="109">
        <v>-2.0000000000000003E-6</v>
      </c>
      <c r="B93" s="110">
        <f t="shared" si="4"/>
        <v>93</v>
      </c>
      <c r="C93" s="111" t="str">
        <f>IF(C$1=[1]!T.in.A[[#This Row],[oo2]],1,"")</f>
        <v/>
      </c>
      <c r="D93" s="112" t="str">
        <f>IF(Tab.o1[[#This Row],[a1]]=1,IF(SUM(C93:C94)=0,0,IF(SUM(C92:C93)=1,1,IF(SUM(C92:C94)&gt;1,D92+1,0))),"")</f>
        <v/>
      </c>
      <c r="E93" s="113" t="str">
        <f>IF(Tab.o1[[#This Row],[a1]]=1,[1]!T.in.A[[#This Row],[oo1]],"")</f>
        <v/>
      </c>
      <c r="F93" s="113" t="str">
        <f>IF(Tab.o1[[#This Row],[a1]]=1,[1]!T.in.A[[#This Row],[pp1]],"")</f>
        <v/>
      </c>
      <c r="G93" s="114" t="str">
        <f>IF(Tab.o1[[#This Row],[a1]]=1,G$2+IF(G$1=1,0,Tab.o1[[#This Row],[.x1]])+[1]!T.in.A[[#This Row],[oo3]],"")</f>
        <v/>
      </c>
      <c r="H93" s="115" t="str">
        <f>IF(Tab.o1[[#This Row],[a1]]=1,IF(H$2=0,0,IF(G$1=1,0,Tab.o1[[#This Row],[.x1]])+[1]!T.in.A[[#This Row],[oo4]]),"")</f>
        <v/>
      </c>
      <c r="I93" s="116" t="str">
        <f>IF(Tab.o1[[#This Row],[a1]]=1,IF(J$2=0,Tab.o1[[#This Row],[MED]],Tab.o1[[#This Row],[MOD]]),"")</f>
        <v/>
      </c>
      <c r="J93" s="116" t="str">
        <f>IF(Tab.o1[[#This Row],[a1]]=1,((Tab.o1[[#This Row],[DIF_Target.]]-AVERAGE(Tab.o1[DIF_Target.]))/_xlfn.STDEV.P(Tab.o1[DIF_Target.])),"")</f>
        <v/>
      </c>
      <c r="K93" s="117" t="str">
        <f>IF(Tab.o1[[#This Row],[a1]]=1,IF(J$2=0,Tab.o1[[#This Row],[MOD]]-Tab.o1[[#This Row],[B]],IF(J$2=1,0,-Tab.o1[[#This Row],[MED]])+Tab.o1[[#This Row],[B]]),"")</f>
        <v/>
      </c>
      <c r="L93" s="117" t="str">
        <f ca="1">IF(Tab.o1[[#This Row],[DIF_Target]]=0,IF(L$2=0,Tab.o1[[#This Row],[DIF_Target]],AVERAGE(OFFSET(Tab.o1[[#This Row],[DIF_Target]],1,0,L$3,1)))/3,Tab.o1[[#This Row],[DIF_Target]])</f>
        <v/>
      </c>
      <c r="M93" s="118" t="str">
        <f>IF(Tab.o1[[#This Row],[a1]]=1,NORMSDIST(Tab.o1[[#This Row],[Za]]),"")</f>
        <v/>
      </c>
      <c r="N93" s="119" t="str">
        <f>IF(Tab.o1[[#This Row],[a1]]=1,((Tab.o1[[#This Row],[MedMod]]-AVERAGE(Tab.o1[MedMod]))/_xlfn.STDEV.P(Tab.o1[MedMod])*H$1205)+G$1205,"")</f>
        <v/>
      </c>
      <c r="O93" s="141" t="str">
        <f>IF(Tab.o1[[#This Row],[a1]]=1,Tab.o1[[#This Row],[Zb]]*_xlfn.STDEV.P(Tab.o1[MedMod])+AVERAGE(Tab.o1[MedMod]),"")</f>
        <v/>
      </c>
      <c r="P93" s="117" t="str">
        <f ca="1">IF(Tab.o1[[#This Row],[B]]=0,AVERAGE(OFFSET(Tab.o1[[#This Row],[B]],1,0,L$3,1)),Tab.o1[[#This Row],[B]])</f>
        <v/>
      </c>
      <c r="Q93" s="121" t="str">
        <f>IF(Tab.o1[[#This Row],[a1]]=1,NORMSDIST(Tab.o1[[#This Row],[Zb]]),"")</f>
        <v/>
      </c>
      <c r="R93" s="122" t="str">
        <f>IF(Tab.o1[[#This Row],[a1]]=1,((Tab.o1[[#This Row],[MedMod]]-AVERAGE(Tab.o1[MedMod]))/_xlfn.STDEV.P(Tab.o1[MedMod])*H$1203)+G$1203,"")</f>
        <v/>
      </c>
      <c r="S93" s="122" t="str">
        <f>IF(Tab.o1[[#This Row],[a1]]=1,((Tab.o1[[#This Row],[MedMod]]-AVERAGE(Tab.o1[MedMod]))/_xlfn.STDEV.P(Tab.o1[MedMod])*H$1204)+G$1204,"")</f>
        <v/>
      </c>
      <c r="T93" s="123" t="str">
        <f>IF(Tab.o1[[#This Row],[a1]]=1,Tab.o1[[#This Row],[Z-]]*_xlfn.STDEV.P(Tab.o1[B])+AVERAGE(Tab.o1[B]),"")</f>
        <v/>
      </c>
      <c r="U93" s="123" t="str">
        <f>IF(Tab.o1[[#This Row],[a1]]=1,Tab.o1[[#This Row],[z+]]*_xlfn.STDEV.P(Tab.o1[B])+AVERAGE(Tab.o1[B]),"")</f>
        <v/>
      </c>
      <c r="V93" s="124" t="str">
        <f>IF(Tab.o1[[#This Row],[a1]]=1,ABS((ABS(Tab.o1[[#This Row],[Red]]-Tab.o1[[#This Row],[Blue]]))),"")</f>
        <v/>
      </c>
      <c r="W93" s="125" t="str">
        <f>IF(Tab.o1[[#This Row],[a1]]=1,IF(W$3=0,1,Tab.o1[[#This Row],[Amp.]]*1/_xlfn.MINIFS(Tab.o1[Amp.],Tab.o1[Amp.],"&lt;&gt;0")),"")</f>
        <v/>
      </c>
      <c r="X93" s="126" t="str">
        <f>IF(Tab.o1[[#This Row],[a1]]=1,IF(ISNUMBER(Tab.o1[[#This Row],[i.]]),NORMDIST(Tab.o1[[#This Row],[Za]],0,1,FALSE)*Tab.o1[[#This Row],[i.]],AP$3),"")</f>
        <v/>
      </c>
      <c r="Y93" s="126" t="str">
        <f>IF(Tab.o1[[#This Row],[a1]]=1,0.01+0.94*Tab.o1[[#This Row],[PDF]]/MAX(Tab.o1[PDF]),"")</f>
        <v/>
      </c>
      <c r="Z93" s="126" t="str">
        <f>IF(Tab.o1[[#This Row],[a1]]=1,0.01+0.94*Tab.o1[[#This Row],[W1_PDF]]/MAX(Tab.o1[W1_PDF]),"")</f>
        <v/>
      </c>
      <c r="AA93" s="118" t="str">
        <f>IF(Tab.o1[[#This Row],[a1]]=1,ABS([1]!T.in.A[[#This Row],[oo6]]),"")</f>
        <v/>
      </c>
      <c r="AB93" s="127" t="str">
        <f>IF(Tab.o1[[#This Row],[a1]]=1,IF(AE$3=0,"",IF(AB$3=0,ABS([1]!T.in.A[[#This Row],[oo9]]),ABS(Tab.o1[[#This Row],[DIF_Target.]]*Tab.o1[[#This Row],[W1_PDF]]))),"")</f>
        <v/>
      </c>
      <c r="AC93" s="127" t="str">
        <f>IF(G$1=1,"",IF(Tab.o1[[#This Row],[a1]]=1,Tab.o1[[#This Row],[Wr]]^2,""))</f>
        <v/>
      </c>
      <c r="AD93" s="118" t="str">
        <f>IF(Tab.o1[[#This Row],[a1]]=1,IF(AE$3=0,"",Tab.o1[[#This Row],[Wr2]]/SUM(Tab.o1[Wr2])),"")</f>
        <v/>
      </c>
      <c r="AE93" s="128" t="str">
        <f>IF(Tab.o1[[#This Row],[a1]]=1,[1]!T.in.A[[#This Row],[oo10]],"")</f>
        <v/>
      </c>
      <c r="AF93" s="118" t="str">
        <f>IF(Tab.o1[[#This Row],[a1]]=1,ABS(Tab.o1[[#This Row],[DIF_Target.]]*Tab.o1[[#This Row],[PDF2]]*Tab.o1[[#This Row],[IN]]),"")</f>
        <v/>
      </c>
      <c r="AG93" s="129" t="str">
        <f>IF(Tab.o1[[#This Row],[a1]]=1,Tab.o1[[#This Row],[rW]]^2,"")</f>
        <v/>
      </c>
      <c r="AH93" s="130" t="str">
        <f>IF(Tab.o1[[#This Row],[a1]]=1,IF(AH$3=0,Tab.o1[[#This Row],[rW2]],0.01+0.94*Tab.o1[[#This Row],[rW2]]/SUM(Tab.o1[rW2])),"")</f>
        <v/>
      </c>
      <c r="AI93" s="128" t="str">
        <f>IF(Tab.o1[[#This Row],[a1]]=1,1/Tab.o1[[#This Row],[PDF]],"")</f>
        <v/>
      </c>
      <c r="AJ93" s="131" t="str">
        <f>IF(Tab.o1[[#This Row],[a1]]=1,[1]!T_AA[[#This Row],[IN'']]*[1]!T_AA[[#This Row],[Qde'']],"")</f>
        <v/>
      </c>
      <c r="AK93" s="132" t="str">
        <f>IF(Tab.o1[[#This Row],[a1]]=1,IF(AK$1=1,Tab.o1[[#This Row],[MED]]+Tab.o1[[#This Row],[MOD]]-Tab.o1[[#This Row],[MED]],""),"")</f>
        <v/>
      </c>
      <c r="AL93" s="133" t="str">
        <f>IF(Tab.o1[[#This Row],[a1]]=1,[1]!T.in.A[[#This Row],[oo16]],"")</f>
        <v/>
      </c>
      <c r="AM93" s="133" t="str">
        <f>IF(Tab.o1[[#This Row],[a1]]=1,IF(AM$3=1,[1]!T.in.A[[#This Row],[Σo16]],""),"")</f>
        <v/>
      </c>
      <c r="AN93" s="126" t="str">
        <f>IF(Tab.o1[[#This Row],[a1]]=1,[1]!T.in.A[[#This Row],[Σp5]],"")</f>
        <v/>
      </c>
      <c r="AO93" s="126" t="str">
        <f>IF(Tab.o1[[#This Row],[a1]]=1,IF(AO$3=1,[1]!T.in.A[[#This Row],[Σp5]],""),"")</f>
        <v/>
      </c>
      <c r="AP93" s="110" t="str">
        <f>IF(Tab.o1[[#This Row],[a1]]=1,IF(ISNUMBER(Tab.o1[[#This Row],[i.]]),NORMDIST(Tab.o1[[#This Row],[Za]],0,1,FALSE)*Tab.o1[[#This Row],[i.]],0),"")</f>
        <v/>
      </c>
      <c r="AQ93" s="125" t="str">
        <f>IF(Tab.o1[[#This Row],[a1]]=1,ABS(Tab.o1[[#This Row],[MOD]]-AVERAGE(Tab.o1[MOD])),"")</f>
        <v/>
      </c>
      <c r="AR93" s="134" t="str">
        <f>IF(Tab.o1[[#This Row],[a1]]=1,Tab.o1[[#This Row],[OBS]]/SUM(Tab.o1[OBS]),"")</f>
        <v/>
      </c>
      <c r="AS93" s="135" t="str">
        <f>IF(ISNUMBER(Tab.o1[[#This Row],[a1]]),ROW()-4,"")</f>
        <v/>
      </c>
      <c r="AT93" s="136" t="str">
        <f>Tab.o1[[#This Row],[MOD]]</f>
        <v/>
      </c>
      <c r="AU93" s="137" t="str">
        <f t="shared" si="5"/>
        <v/>
      </c>
      <c r="AV93" s="138" t="str">
        <f t="shared" si="6"/>
        <v/>
      </c>
      <c r="AW93" s="138" t="str">
        <f t="shared" si="7"/>
        <v/>
      </c>
      <c r="AX93" s="139" t="str">
        <f>[1]!T.in.A[[#This Row],[ID_T_manu]]</f>
        <v/>
      </c>
      <c r="AY93" s="140" t="str">
        <f>IF(ISNUMBER(Tab.o1[[#This Row],[a1]]),IF(AND(Tab.o1[[#This Row],[a1]]=1,Tab.o1[[#This Row],[b1]]&lt;=AY$4),#REF!,AY92),"")</f>
        <v/>
      </c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</row>
    <row r="94" spans="1:79" ht="14.25" hidden="1" customHeight="1">
      <c r="A94" s="109">
        <v>1.0000000000000002E-6</v>
      </c>
      <c r="B94" s="110">
        <f t="shared" si="4"/>
        <v>94</v>
      </c>
      <c r="C94" s="111" t="str">
        <f>IF(C$1=[1]!T.in.A[[#This Row],[oo2]],1,"")</f>
        <v/>
      </c>
      <c r="D94" s="112" t="str">
        <f>IF(Tab.o1[[#This Row],[a1]]=1,IF(SUM(C94:C95)=0,0,IF(SUM(C93:C94)=1,1,IF(SUM(C93:C95)&gt;1,D93+1,0))),"")</f>
        <v/>
      </c>
      <c r="E94" s="113" t="str">
        <f>IF(Tab.o1[[#This Row],[a1]]=1,[1]!T.in.A[[#This Row],[oo1]],"")</f>
        <v/>
      </c>
      <c r="F94" s="113" t="str">
        <f>IF(Tab.o1[[#This Row],[a1]]=1,[1]!T.in.A[[#This Row],[pp1]],"")</f>
        <v/>
      </c>
      <c r="G94" s="114" t="str">
        <f>IF(Tab.o1[[#This Row],[a1]]=1,G$2+IF(G$1=1,0,Tab.o1[[#This Row],[.x1]])+[1]!T.in.A[[#This Row],[oo3]],"")</f>
        <v/>
      </c>
      <c r="H94" s="115" t="str">
        <f>IF(Tab.o1[[#This Row],[a1]]=1,IF(H$2=0,0,IF(G$1=1,0,Tab.o1[[#This Row],[.x1]])+[1]!T.in.A[[#This Row],[oo4]]),"")</f>
        <v/>
      </c>
      <c r="I94" s="116" t="str">
        <f>IF(Tab.o1[[#This Row],[a1]]=1,IF(J$2=0,Tab.o1[[#This Row],[MED]],Tab.o1[[#This Row],[MOD]]),"")</f>
        <v/>
      </c>
      <c r="J94" s="116" t="str">
        <f>IF(Tab.o1[[#This Row],[a1]]=1,((Tab.o1[[#This Row],[DIF_Target.]]-AVERAGE(Tab.o1[DIF_Target.]))/_xlfn.STDEV.P(Tab.o1[DIF_Target.])),"")</f>
        <v/>
      </c>
      <c r="K94" s="117" t="str">
        <f>IF(Tab.o1[[#This Row],[a1]]=1,IF(J$2=0,Tab.o1[[#This Row],[MOD]]-Tab.o1[[#This Row],[B]],IF(J$2=1,0,-Tab.o1[[#This Row],[MED]])+Tab.o1[[#This Row],[B]]),"")</f>
        <v/>
      </c>
      <c r="L94" s="117" t="str">
        <f ca="1">IF(Tab.o1[[#This Row],[DIF_Target]]=0,IF(L$2=0,Tab.o1[[#This Row],[DIF_Target]],AVERAGE(OFFSET(Tab.o1[[#This Row],[DIF_Target]],1,0,L$3,1)))/3,Tab.o1[[#This Row],[DIF_Target]])</f>
        <v/>
      </c>
      <c r="M94" s="118" t="str">
        <f>IF(Tab.o1[[#This Row],[a1]]=1,NORMSDIST(Tab.o1[[#This Row],[Za]]),"")</f>
        <v/>
      </c>
      <c r="N94" s="119" t="str">
        <f>IF(Tab.o1[[#This Row],[a1]]=1,((Tab.o1[[#This Row],[MedMod]]-AVERAGE(Tab.o1[MedMod]))/_xlfn.STDEV.P(Tab.o1[MedMod])*H$1205)+G$1205,"")</f>
        <v/>
      </c>
      <c r="O94" s="141" t="str">
        <f>IF(Tab.o1[[#This Row],[a1]]=1,Tab.o1[[#This Row],[Zb]]*_xlfn.STDEV.P(Tab.o1[MedMod])+AVERAGE(Tab.o1[MedMod]),"")</f>
        <v/>
      </c>
      <c r="P94" s="117" t="str">
        <f ca="1">IF(Tab.o1[[#This Row],[B]]=0,AVERAGE(OFFSET(Tab.o1[[#This Row],[B]],1,0,L$3,1)),Tab.o1[[#This Row],[B]])</f>
        <v/>
      </c>
      <c r="Q94" s="121" t="str">
        <f>IF(Tab.o1[[#This Row],[a1]]=1,NORMSDIST(Tab.o1[[#This Row],[Zb]]),"")</f>
        <v/>
      </c>
      <c r="R94" s="122" t="str">
        <f>IF(Tab.o1[[#This Row],[a1]]=1,((Tab.o1[[#This Row],[MedMod]]-AVERAGE(Tab.o1[MedMod]))/_xlfn.STDEV.P(Tab.o1[MedMod])*H$1203)+G$1203,"")</f>
        <v/>
      </c>
      <c r="S94" s="122" t="str">
        <f>IF(Tab.o1[[#This Row],[a1]]=1,((Tab.o1[[#This Row],[MedMod]]-AVERAGE(Tab.o1[MedMod]))/_xlfn.STDEV.P(Tab.o1[MedMod])*H$1204)+G$1204,"")</f>
        <v/>
      </c>
      <c r="T94" s="123" t="str">
        <f>IF(Tab.o1[[#This Row],[a1]]=1,Tab.o1[[#This Row],[Z-]]*_xlfn.STDEV.P(Tab.o1[B])+AVERAGE(Tab.o1[B]),"")</f>
        <v/>
      </c>
      <c r="U94" s="123" t="str">
        <f>IF(Tab.o1[[#This Row],[a1]]=1,Tab.o1[[#This Row],[z+]]*_xlfn.STDEV.P(Tab.o1[B])+AVERAGE(Tab.o1[B]),"")</f>
        <v/>
      </c>
      <c r="V94" s="124" t="str">
        <f>IF(Tab.o1[[#This Row],[a1]]=1,ABS((ABS(Tab.o1[[#This Row],[Red]]-Tab.o1[[#This Row],[Blue]]))),"")</f>
        <v/>
      </c>
      <c r="W94" s="125" t="str">
        <f>IF(Tab.o1[[#This Row],[a1]]=1,IF(W$3=0,1,Tab.o1[[#This Row],[Amp.]]*1/_xlfn.MINIFS(Tab.o1[Amp.],Tab.o1[Amp.],"&lt;&gt;0")),"")</f>
        <v/>
      </c>
      <c r="X94" s="126" t="str">
        <f>IF(Tab.o1[[#This Row],[a1]]=1,IF(ISNUMBER(Tab.o1[[#This Row],[i.]]),NORMDIST(Tab.o1[[#This Row],[Za]],0,1,FALSE)*Tab.o1[[#This Row],[i.]],AP$3),"")</f>
        <v/>
      </c>
      <c r="Y94" s="126" t="str">
        <f>IF(Tab.o1[[#This Row],[a1]]=1,0.01+0.94*Tab.o1[[#This Row],[PDF]]/MAX(Tab.o1[PDF]),"")</f>
        <v/>
      </c>
      <c r="Z94" s="126" t="str">
        <f>IF(Tab.o1[[#This Row],[a1]]=1,0.01+0.94*Tab.o1[[#This Row],[W1_PDF]]/MAX(Tab.o1[W1_PDF]),"")</f>
        <v/>
      </c>
      <c r="AA94" s="118" t="str">
        <f>IF(Tab.o1[[#This Row],[a1]]=1,ABS([1]!T.in.A[[#This Row],[oo6]]),"")</f>
        <v/>
      </c>
      <c r="AB94" s="127" t="str">
        <f>IF(Tab.o1[[#This Row],[a1]]=1,IF(AE$3=0,"",IF(AB$3=0,ABS([1]!T.in.A[[#This Row],[oo9]]),ABS(Tab.o1[[#This Row],[DIF_Target.]]*Tab.o1[[#This Row],[W1_PDF]]))),"")</f>
        <v/>
      </c>
      <c r="AC94" s="127" t="str">
        <f>IF(G$1=1,"",IF(Tab.o1[[#This Row],[a1]]=1,Tab.o1[[#This Row],[Wr]]^2,""))</f>
        <v/>
      </c>
      <c r="AD94" s="118" t="str">
        <f>IF(Tab.o1[[#This Row],[a1]]=1,IF(AE$3=0,"",Tab.o1[[#This Row],[Wr2]]/SUM(Tab.o1[Wr2])),"")</f>
        <v/>
      </c>
      <c r="AE94" s="128" t="str">
        <f>IF(Tab.o1[[#This Row],[a1]]=1,[1]!T.in.A[[#This Row],[oo10]],"")</f>
        <v/>
      </c>
      <c r="AF94" s="118" t="str">
        <f>IF(Tab.o1[[#This Row],[a1]]=1,ABS(Tab.o1[[#This Row],[DIF_Target.]]*Tab.o1[[#This Row],[PDF2]]*Tab.o1[[#This Row],[IN]]),"")</f>
        <v/>
      </c>
      <c r="AG94" s="129" t="str">
        <f>IF(Tab.o1[[#This Row],[a1]]=1,Tab.o1[[#This Row],[rW]]^2,"")</f>
        <v/>
      </c>
      <c r="AH94" s="130" t="str">
        <f>IF(Tab.o1[[#This Row],[a1]]=1,IF(AH$3=0,Tab.o1[[#This Row],[rW2]],0.01+0.94*Tab.o1[[#This Row],[rW2]]/SUM(Tab.o1[rW2])),"")</f>
        <v/>
      </c>
      <c r="AI94" s="128" t="str">
        <f>IF(Tab.o1[[#This Row],[a1]]=1,1/Tab.o1[[#This Row],[PDF]],"")</f>
        <v/>
      </c>
      <c r="AJ94" s="131" t="str">
        <f>IF(Tab.o1[[#This Row],[a1]]=1,[1]!T_AA[[#This Row],[IN'']]*[1]!T_AA[[#This Row],[Qde'']],"")</f>
        <v/>
      </c>
      <c r="AK94" s="132" t="str">
        <f>IF(Tab.o1[[#This Row],[a1]]=1,IF(AK$1=1,Tab.o1[[#This Row],[MED]]+Tab.o1[[#This Row],[MOD]]-Tab.o1[[#This Row],[MED]],""),"")</f>
        <v/>
      </c>
      <c r="AL94" s="133" t="str">
        <f>IF(Tab.o1[[#This Row],[a1]]=1,[1]!T.in.A[[#This Row],[oo16]],"")</f>
        <v/>
      </c>
      <c r="AM94" s="133" t="str">
        <f>IF(Tab.o1[[#This Row],[a1]]=1,IF(AM$3=1,[1]!T.in.A[[#This Row],[Σo16]],""),"")</f>
        <v/>
      </c>
      <c r="AN94" s="126" t="str">
        <f>IF(Tab.o1[[#This Row],[a1]]=1,[1]!T.in.A[[#This Row],[Σp5]],"")</f>
        <v/>
      </c>
      <c r="AO94" s="126" t="str">
        <f>IF(Tab.o1[[#This Row],[a1]]=1,IF(AO$3=1,[1]!T.in.A[[#This Row],[Σp5]],""),"")</f>
        <v/>
      </c>
      <c r="AP94" s="110" t="str">
        <f>IF(Tab.o1[[#This Row],[a1]]=1,IF(ISNUMBER(Tab.o1[[#This Row],[i.]]),NORMDIST(Tab.o1[[#This Row],[Za]],0,1,FALSE)*Tab.o1[[#This Row],[i.]],0),"")</f>
        <v/>
      </c>
      <c r="AQ94" s="125" t="str">
        <f>IF(Tab.o1[[#This Row],[a1]]=1,ABS(Tab.o1[[#This Row],[MOD]]-AVERAGE(Tab.o1[MOD])),"")</f>
        <v/>
      </c>
      <c r="AR94" s="134" t="str">
        <f>IF(Tab.o1[[#This Row],[a1]]=1,Tab.o1[[#This Row],[OBS]]/SUM(Tab.o1[OBS]),"")</f>
        <v/>
      </c>
      <c r="AS94" s="135" t="str">
        <f>IF(ISNUMBER(Tab.o1[[#This Row],[a1]]),ROW()-4,"")</f>
        <v/>
      </c>
      <c r="AT94" s="136" t="str">
        <f>Tab.o1[[#This Row],[MOD]]</f>
        <v/>
      </c>
      <c r="AU94" s="137" t="str">
        <f t="shared" si="5"/>
        <v/>
      </c>
      <c r="AV94" s="138" t="str">
        <f t="shared" si="6"/>
        <v/>
      </c>
      <c r="AW94" s="138" t="str">
        <f t="shared" si="7"/>
        <v/>
      </c>
      <c r="AX94" s="139" t="str">
        <f>[1]!T.in.A[[#This Row],[ID_T_manu]]</f>
        <v/>
      </c>
      <c r="AY94" s="140" t="str">
        <f>IF(ISNUMBER(Tab.o1[[#This Row],[a1]]),IF(AND(Tab.o1[[#This Row],[a1]]=1,Tab.o1[[#This Row],[b1]]&lt;=AY$4),#REF!,AY93),"")</f>
        <v/>
      </c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</row>
    <row r="95" spans="1:79" ht="14.25" hidden="1" customHeight="1">
      <c r="A95" s="109">
        <v>-6.9999999999999999E-6</v>
      </c>
      <c r="B95" s="110">
        <f t="shared" si="4"/>
        <v>95</v>
      </c>
      <c r="C95" s="111" t="str">
        <f>IF(C$1=[1]!T.in.A[[#This Row],[oo2]],1,"")</f>
        <v/>
      </c>
      <c r="D95" s="112" t="str">
        <f>IF(Tab.o1[[#This Row],[a1]]=1,IF(SUM(C95:C96)=0,0,IF(SUM(C94:C95)=1,1,IF(SUM(C94:C96)&gt;1,D94+1,0))),"")</f>
        <v/>
      </c>
      <c r="E95" s="113" t="str">
        <f>IF(Tab.o1[[#This Row],[a1]]=1,[1]!T.in.A[[#This Row],[oo1]],"")</f>
        <v/>
      </c>
      <c r="F95" s="113" t="str">
        <f>IF(Tab.o1[[#This Row],[a1]]=1,[1]!T.in.A[[#This Row],[pp1]],"")</f>
        <v/>
      </c>
      <c r="G95" s="114" t="str">
        <f>IF(Tab.o1[[#This Row],[a1]]=1,G$2+IF(G$1=1,0,Tab.o1[[#This Row],[.x1]])+[1]!T.in.A[[#This Row],[oo3]],"")</f>
        <v/>
      </c>
      <c r="H95" s="115" t="str">
        <f>IF(Tab.o1[[#This Row],[a1]]=1,IF(H$2=0,0,IF(G$1=1,0,Tab.o1[[#This Row],[.x1]])+[1]!T.in.A[[#This Row],[oo4]]),"")</f>
        <v/>
      </c>
      <c r="I95" s="116" t="str">
        <f>IF(Tab.o1[[#This Row],[a1]]=1,IF(J$2=0,Tab.o1[[#This Row],[MED]],Tab.o1[[#This Row],[MOD]]),"")</f>
        <v/>
      </c>
      <c r="J95" s="116" t="str">
        <f>IF(Tab.o1[[#This Row],[a1]]=1,((Tab.o1[[#This Row],[DIF_Target.]]-AVERAGE(Tab.o1[DIF_Target.]))/_xlfn.STDEV.P(Tab.o1[DIF_Target.])),"")</f>
        <v/>
      </c>
      <c r="K95" s="117" t="str">
        <f>IF(Tab.o1[[#This Row],[a1]]=1,IF(J$2=0,Tab.o1[[#This Row],[MOD]]-Tab.o1[[#This Row],[B]],IF(J$2=1,0,-Tab.o1[[#This Row],[MED]])+Tab.o1[[#This Row],[B]]),"")</f>
        <v/>
      </c>
      <c r="L95" s="117" t="str">
        <f ca="1">IF(Tab.o1[[#This Row],[DIF_Target]]=0,IF(L$2=0,Tab.o1[[#This Row],[DIF_Target]],AVERAGE(OFFSET(Tab.o1[[#This Row],[DIF_Target]],1,0,L$3,1)))/3,Tab.o1[[#This Row],[DIF_Target]])</f>
        <v/>
      </c>
      <c r="M95" s="118" t="str">
        <f>IF(Tab.o1[[#This Row],[a1]]=1,NORMSDIST(Tab.o1[[#This Row],[Za]]),"")</f>
        <v/>
      </c>
      <c r="N95" s="119" t="str">
        <f>IF(Tab.o1[[#This Row],[a1]]=1,((Tab.o1[[#This Row],[MedMod]]-AVERAGE(Tab.o1[MedMod]))/_xlfn.STDEV.P(Tab.o1[MedMod])*H$1205)+G$1205,"")</f>
        <v/>
      </c>
      <c r="O95" s="141" t="str">
        <f>IF(Tab.o1[[#This Row],[a1]]=1,Tab.o1[[#This Row],[Zb]]*_xlfn.STDEV.P(Tab.o1[MedMod])+AVERAGE(Tab.o1[MedMod]),"")</f>
        <v/>
      </c>
      <c r="P95" s="117" t="str">
        <f ca="1">IF(Tab.o1[[#This Row],[B]]=0,AVERAGE(OFFSET(Tab.o1[[#This Row],[B]],1,0,L$3,1)),Tab.o1[[#This Row],[B]])</f>
        <v/>
      </c>
      <c r="Q95" s="121" t="str">
        <f>IF(Tab.o1[[#This Row],[a1]]=1,NORMSDIST(Tab.o1[[#This Row],[Zb]]),"")</f>
        <v/>
      </c>
      <c r="R95" s="122" t="str">
        <f>IF(Tab.o1[[#This Row],[a1]]=1,((Tab.o1[[#This Row],[MedMod]]-AVERAGE(Tab.o1[MedMod]))/_xlfn.STDEV.P(Tab.o1[MedMod])*H$1203)+G$1203,"")</f>
        <v/>
      </c>
      <c r="S95" s="122" t="str">
        <f>IF(Tab.o1[[#This Row],[a1]]=1,((Tab.o1[[#This Row],[MedMod]]-AVERAGE(Tab.o1[MedMod]))/_xlfn.STDEV.P(Tab.o1[MedMod])*H$1204)+G$1204,"")</f>
        <v/>
      </c>
      <c r="T95" s="123" t="str">
        <f>IF(Tab.o1[[#This Row],[a1]]=1,Tab.o1[[#This Row],[Z-]]*_xlfn.STDEV.P(Tab.o1[B])+AVERAGE(Tab.o1[B]),"")</f>
        <v/>
      </c>
      <c r="U95" s="123" t="str">
        <f>IF(Tab.o1[[#This Row],[a1]]=1,Tab.o1[[#This Row],[z+]]*_xlfn.STDEV.P(Tab.o1[B])+AVERAGE(Tab.o1[B]),"")</f>
        <v/>
      </c>
      <c r="V95" s="124" t="str">
        <f>IF(Tab.o1[[#This Row],[a1]]=1,ABS((ABS(Tab.o1[[#This Row],[Red]]-Tab.o1[[#This Row],[Blue]]))),"")</f>
        <v/>
      </c>
      <c r="W95" s="125" t="str">
        <f>IF(Tab.o1[[#This Row],[a1]]=1,IF(W$3=0,1,Tab.o1[[#This Row],[Amp.]]*1/_xlfn.MINIFS(Tab.o1[Amp.],Tab.o1[Amp.],"&lt;&gt;0")),"")</f>
        <v/>
      </c>
      <c r="X95" s="126" t="str">
        <f>IF(Tab.o1[[#This Row],[a1]]=1,IF(ISNUMBER(Tab.o1[[#This Row],[i.]]),NORMDIST(Tab.o1[[#This Row],[Za]],0,1,FALSE)*Tab.o1[[#This Row],[i.]],AP$3),"")</f>
        <v/>
      </c>
      <c r="Y95" s="126" t="str">
        <f>IF(Tab.o1[[#This Row],[a1]]=1,0.01+0.94*Tab.o1[[#This Row],[PDF]]/MAX(Tab.o1[PDF]),"")</f>
        <v/>
      </c>
      <c r="Z95" s="126" t="str">
        <f>IF(Tab.o1[[#This Row],[a1]]=1,0.01+0.94*Tab.o1[[#This Row],[W1_PDF]]/MAX(Tab.o1[W1_PDF]),"")</f>
        <v/>
      </c>
      <c r="AA95" s="118" t="str">
        <f>IF(Tab.o1[[#This Row],[a1]]=1,ABS([1]!T.in.A[[#This Row],[oo6]]),"")</f>
        <v/>
      </c>
      <c r="AB95" s="127" t="str">
        <f>IF(Tab.o1[[#This Row],[a1]]=1,IF(AE$3=0,"",IF(AB$3=0,ABS([1]!T.in.A[[#This Row],[oo9]]),ABS(Tab.o1[[#This Row],[DIF_Target.]]*Tab.o1[[#This Row],[W1_PDF]]))),"")</f>
        <v/>
      </c>
      <c r="AC95" s="127" t="str">
        <f>IF(G$1=1,"",IF(Tab.o1[[#This Row],[a1]]=1,Tab.o1[[#This Row],[Wr]]^2,""))</f>
        <v/>
      </c>
      <c r="AD95" s="118" t="str">
        <f>IF(Tab.o1[[#This Row],[a1]]=1,IF(AE$3=0,"",Tab.o1[[#This Row],[Wr2]]/SUM(Tab.o1[Wr2])),"")</f>
        <v/>
      </c>
      <c r="AE95" s="128" t="str">
        <f>IF(Tab.o1[[#This Row],[a1]]=1,[1]!T.in.A[[#This Row],[oo10]],"")</f>
        <v/>
      </c>
      <c r="AF95" s="118" t="str">
        <f>IF(Tab.o1[[#This Row],[a1]]=1,ABS(Tab.o1[[#This Row],[DIF_Target.]]*Tab.o1[[#This Row],[PDF2]]*Tab.o1[[#This Row],[IN]]),"")</f>
        <v/>
      </c>
      <c r="AG95" s="129" t="str">
        <f>IF(Tab.o1[[#This Row],[a1]]=1,Tab.o1[[#This Row],[rW]]^2,"")</f>
        <v/>
      </c>
      <c r="AH95" s="130" t="str">
        <f>IF(Tab.o1[[#This Row],[a1]]=1,IF(AH$3=0,Tab.o1[[#This Row],[rW2]],0.01+0.94*Tab.o1[[#This Row],[rW2]]/SUM(Tab.o1[rW2])),"")</f>
        <v/>
      </c>
      <c r="AI95" s="128" t="str">
        <f>IF(Tab.o1[[#This Row],[a1]]=1,1/Tab.o1[[#This Row],[PDF]],"")</f>
        <v/>
      </c>
      <c r="AJ95" s="131" t="str">
        <f>IF(Tab.o1[[#This Row],[a1]]=1,[1]!T_AA[[#This Row],[IN'']]*[1]!T_AA[[#This Row],[Qde'']],"")</f>
        <v/>
      </c>
      <c r="AK95" s="132" t="str">
        <f>IF(Tab.o1[[#This Row],[a1]]=1,IF(AK$1=1,Tab.o1[[#This Row],[MED]]+Tab.o1[[#This Row],[MOD]]-Tab.o1[[#This Row],[MED]],""),"")</f>
        <v/>
      </c>
      <c r="AL95" s="133" t="str">
        <f>IF(Tab.o1[[#This Row],[a1]]=1,[1]!T.in.A[[#This Row],[oo16]],"")</f>
        <v/>
      </c>
      <c r="AM95" s="133" t="str">
        <f>IF(Tab.o1[[#This Row],[a1]]=1,IF(AM$3=1,[1]!T.in.A[[#This Row],[Σo16]],""),"")</f>
        <v/>
      </c>
      <c r="AN95" s="126" t="str">
        <f>IF(Tab.o1[[#This Row],[a1]]=1,[1]!T.in.A[[#This Row],[Σp5]],"")</f>
        <v/>
      </c>
      <c r="AO95" s="126" t="str">
        <f>IF(Tab.o1[[#This Row],[a1]]=1,IF(AO$3=1,[1]!T.in.A[[#This Row],[Σp5]],""),"")</f>
        <v/>
      </c>
      <c r="AP95" s="110" t="str">
        <f>IF(Tab.o1[[#This Row],[a1]]=1,IF(ISNUMBER(Tab.o1[[#This Row],[i.]]),NORMDIST(Tab.o1[[#This Row],[Za]],0,1,FALSE)*Tab.o1[[#This Row],[i.]],0),"")</f>
        <v/>
      </c>
      <c r="AQ95" s="125" t="str">
        <f>IF(Tab.o1[[#This Row],[a1]]=1,ABS(Tab.o1[[#This Row],[MOD]]-AVERAGE(Tab.o1[MOD])),"")</f>
        <v/>
      </c>
      <c r="AR95" s="134" t="str">
        <f>IF(Tab.o1[[#This Row],[a1]]=1,Tab.o1[[#This Row],[OBS]]/SUM(Tab.o1[OBS]),"")</f>
        <v/>
      </c>
      <c r="AS95" s="135" t="str">
        <f>IF(ISNUMBER(Tab.o1[[#This Row],[a1]]),ROW()-4,"")</f>
        <v/>
      </c>
      <c r="AT95" s="136" t="str">
        <f>Tab.o1[[#This Row],[MOD]]</f>
        <v/>
      </c>
      <c r="AU95" s="137" t="str">
        <f t="shared" si="5"/>
        <v/>
      </c>
      <c r="AV95" s="138" t="str">
        <f t="shared" si="6"/>
        <v/>
      </c>
      <c r="AW95" s="138" t="str">
        <f t="shared" si="7"/>
        <v/>
      </c>
      <c r="AX95" s="139" t="str">
        <f>[1]!T.in.A[[#This Row],[ID_T_manu]]</f>
        <v/>
      </c>
      <c r="AY95" s="140" t="str">
        <f>IF(ISNUMBER(Tab.o1[[#This Row],[a1]]),IF(AND(Tab.o1[[#This Row],[a1]]=1,Tab.o1[[#This Row],[b1]]&lt;=AY$4),#REF!,AY94),"")</f>
        <v/>
      </c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</row>
    <row r="96" spans="1:79" ht="14.25" hidden="1" customHeight="1">
      <c r="A96" s="109">
        <v>-6.9999999999999999E-6</v>
      </c>
      <c r="B96" s="110">
        <f t="shared" si="4"/>
        <v>96</v>
      </c>
      <c r="C96" s="111" t="str">
        <f>IF(C$1=[1]!T.in.A[[#This Row],[oo2]],1,"")</f>
        <v/>
      </c>
      <c r="D96" s="112" t="str">
        <f>IF(Tab.o1[[#This Row],[a1]]=1,IF(SUM(C96:C97)=0,0,IF(SUM(C95:C96)=1,1,IF(SUM(C95:C97)&gt;1,D95+1,0))),"")</f>
        <v/>
      </c>
      <c r="E96" s="113" t="str">
        <f>IF(Tab.o1[[#This Row],[a1]]=1,[1]!T.in.A[[#This Row],[oo1]],"")</f>
        <v/>
      </c>
      <c r="F96" s="113" t="str">
        <f>IF(Tab.o1[[#This Row],[a1]]=1,[1]!T.in.A[[#This Row],[pp1]],"")</f>
        <v/>
      </c>
      <c r="G96" s="114" t="str">
        <f>IF(Tab.o1[[#This Row],[a1]]=1,G$2+IF(G$1=1,0,Tab.o1[[#This Row],[.x1]])+[1]!T.in.A[[#This Row],[oo3]],"")</f>
        <v/>
      </c>
      <c r="H96" s="115" t="str">
        <f>IF(Tab.o1[[#This Row],[a1]]=1,IF(H$2=0,0,IF(G$1=1,0,Tab.o1[[#This Row],[.x1]])+[1]!T.in.A[[#This Row],[oo4]]),"")</f>
        <v/>
      </c>
      <c r="I96" s="116" t="str">
        <f>IF(Tab.o1[[#This Row],[a1]]=1,IF(J$2=0,Tab.o1[[#This Row],[MED]],Tab.o1[[#This Row],[MOD]]),"")</f>
        <v/>
      </c>
      <c r="J96" s="116" t="str">
        <f>IF(Tab.o1[[#This Row],[a1]]=1,((Tab.o1[[#This Row],[DIF_Target.]]-AVERAGE(Tab.o1[DIF_Target.]))/_xlfn.STDEV.P(Tab.o1[DIF_Target.])),"")</f>
        <v/>
      </c>
      <c r="K96" s="117" t="str">
        <f>IF(Tab.o1[[#This Row],[a1]]=1,IF(J$2=0,Tab.o1[[#This Row],[MOD]]-Tab.o1[[#This Row],[B]],IF(J$2=1,0,-Tab.o1[[#This Row],[MED]])+Tab.o1[[#This Row],[B]]),"")</f>
        <v/>
      </c>
      <c r="L96" s="117" t="str">
        <f ca="1">IF(Tab.o1[[#This Row],[DIF_Target]]=0,IF(L$2=0,Tab.o1[[#This Row],[DIF_Target]],AVERAGE(OFFSET(Tab.o1[[#This Row],[DIF_Target]],1,0,L$3,1)))/3,Tab.o1[[#This Row],[DIF_Target]])</f>
        <v/>
      </c>
      <c r="M96" s="118" t="str">
        <f>IF(Tab.o1[[#This Row],[a1]]=1,NORMSDIST(Tab.o1[[#This Row],[Za]]),"")</f>
        <v/>
      </c>
      <c r="N96" s="119" t="str">
        <f>IF(Tab.o1[[#This Row],[a1]]=1,((Tab.o1[[#This Row],[MedMod]]-AVERAGE(Tab.o1[MedMod]))/_xlfn.STDEV.P(Tab.o1[MedMod])*H$1205)+G$1205,"")</f>
        <v/>
      </c>
      <c r="O96" s="141" t="str">
        <f>IF(Tab.o1[[#This Row],[a1]]=1,Tab.o1[[#This Row],[Zb]]*_xlfn.STDEV.P(Tab.o1[MedMod])+AVERAGE(Tab.o1[MedMod]),"")</f>
        <v/>
      </c>
      <c r="P96" s="117" t="str">
        <f ca="1">IF(Tab.o1[[#This Row],[B]]=0,AVERAGE(OFFSET(Tab.o1[[#This Row],[B]],1,0,L$3,1)),Tab.o1[[#This Row],[B]])</f>
        <v/>
      </c>
      <c r="Q96" s="121" t="str">
        <f>IF(Tab.o1[[#This Row],[a1]]=1,NORMSDIST(Tab.o1[[#This Row],[Zb]]),"")</f>
        <v/>
      </c>
      <c r="R96" s="122" t="str">
        <f>IF(Tab.o1[[#This Row],[a1]]=1,((Tab.o1[[#This Row],[MedMod]]-AVERAGE(Tab.o1[MedMod]))/_xlfn.STDEV.P(Tab.o1[MedMod])*H$1203)+G$1203,"")</f>
        <v/>
      </c>
      <c r="S96" s="122" t="str">
        <f>IF(Tab.o1[[#This Row],[a1]]=1,((Tab.o1[[#This Row],[MedMod]]-AVERAGE(Tab.o1[MedMod]))/_xlfn.STDEV.P(Tab.o1[MedMod])*H$1204)+G$1204,"")</f>
        <v/>
      </c>
      <c r="T96" s="123" t="str">
        <f>IF(Tab.o1[[#This Row],[a1]]=1,Tab.o1[[#This Row],[Z-]]*_xlfn.STDEV.P(Tab.o1[B])+AVERAGE(Tab.o1[B]),"")</f>
        <v/>
      </c>
      <c r="U96" s="123" t="str">
        <f>IF(Tab.o1[[#This Row],[a1]]=1,Tab.o1[[#This Row],[z+]]*_xlfn.STDEV.P(Tab.o1[B])+AVERAGE(Tab.o1[B]),"")</f>
        <v/>
      </c>
      <c r="V96" s="124" t="str">
        <f>IF(Tab.o1[[#This Row],[a1]]=1,ABS((ABS(Tab.o1[[#This Row],[Red]]-Tab.o1[[#This Row],[Blue]]))),"")</f>
        <v/>
      </c>
      <c r="W96" s="125" t="str">
        <f>IF(Tab.o1[[#This Row],[a1]]=1,IF(W$3=0,1,Tab.o1[[#This Row],[Amp.]]*1/_xlfn.MINIFS(Tab.o1[Amp.],Tab.o1[Amp.],"&lt;&gt;0")),"")</f>
        <v/>
      </c>
      <c r="X96" s="126" t="str">
        <f>IF(Tab.o1[[#This Row],[a1]]=1,IF(ISNUMBER(Tab.o1[[#This Row],[i.]]),NORMDIST(Tab.o1[[#This Row],[Za]],0,1,FALSE)*Tab.o1[[#This Row],[i.]],AP$3),"")</f>
        <v/>
      </c>
      <c r="Y96" s="126" t="str">
        <f>IF(Tab.o1[[#This Row],[a1]]=1,0.01+0.94*Tab.o1[[#This Row],[PDF]]/MAX(Tab.o1[PDF]),"")</f>
        <v/>
      </c>
      <c r="Z96" s="126" t="str">
        <f>IF(Tab.o1[[#This Row],[a1]]=1,0.01+0.94*Tab.o1[[#This Row],[W1_PDF]]/MAX(Tab.o1[W1_PDF]),"")</f>
        <v/>
      </c>
      <c r="AA96" s="118" t="str">
        <f>IF(Tab.o1[[#This Row],[a1]]=1,ABS([1]!T.in.A[[#This Row],[oo6]]),"")</f>
        <v/>
      </c>
      <c r="AB96" s="127" t="str">
        <f>IF(Tab.o1[[#This Row],[a1]]=1,IF(AE$3=0,"",IF(AB$3=0,ABS([1]!T.in.A[[#This Row],[oo9]]),ABS(Tab.o1[[#This Row],[DIF_Target.]]*Tab.o1[[#This Row],[W1_PDF]]))),"")</f>
        <v/>
      </c>
      <c r="AC96" s="127" t="str">
        <f>IF(G$1=1,"",IF(Tab.o1[[#This Row],[a1]]=1,Tab.o1[[#This Row],[Wr]]^2,""))</f>
        <v/>
      </c>
      <c r="AD96" s="118" t="str">
        <f>IF(Tab.o1[[#This Row],[a1]]=1,IF(AE$3=0,"",Tab.o1[[#This Row],[Wr2]]/SUM(Tab.o1[Wr2])),"")</f>
        <v/>
      </c>
      <c r="AE96" s="128" t="str">
        <f>IF(Tab.o1[[#This Row],[a1]]=1,[1]!T.in.A[[#This Row],[oo10]],"")</f>
        <v/>
      </c>
      <c r="AF96" s="118" t="str">
        <f>IF(Tab.o1[[#This Row],[a1]]=1,ABS(Tab.o1[[#This Row],[DIF_Target.]]*Tab.o1[[#This Row],[PDF2]]*Tab.o1[[#This Row],[IN]]),"")</f>
        <v/>
      </c>
      <c r="AG96" s="129" t="str">
        <f>IF(Tab.o1[[#This Row],[a1]]=1,Tab.o1[[#This Row],[rW]]^2,"")</f>
        <v/>
      </c>
      <c r="AH96" s="130" t="str">
        <f>IF(Tab.o1[[#This Row],[a1]]=1,IF(AH$3=0,Tab.o1[[#This Row],[rW2]],0.01+0.94*Tab.o1[[#This Row],[rW2]]/SUM(Tab.o1[rW2])),"")</f>
        <v/>
      </c>
      <c r="AI96" s="128" t="str">
        <f>IF(Tab.o1[[#This Row],[a1]]=1,1/Tab.o1[[#This Row],[PDF]],"")</f>
        <v/>
      </c>
      <c r="AJ96" s="131" t="str">
        <f>IF(Tab.o1[[#This Row],[a1]]=1,[1]!T_AA[[#This Row],[IN'']]*[1]!T_AA[[#This Row],[Qde'']],"")</f>
        <v/>
      </c>
      <c r="AK96" s="132" t="str">
        <f>IF(Tab.o1[[#This Row],[a1]]=1,IF(AK$1=1,Tab.o1[[#This Row],[MED]]+Tab.o1[[#This Row],[MOD]]-Tab.o1[[#This Row],[MED]],""),"")</f>
        <v/>
      </c>
      <c r="AL96" s="133" t="str">
        <f>IF(Tab.o1[[#This Row],[a1]]=1,[1]!T.in.A[[#This Row],[oo16]],"")</f>
        <v/>
      </c>
      <c r="AM96" s="133" t="str">
        <f>IF(Tab.o1[[#This Row],[a1]]=1,IF(AM$3=1,[1]!T.in.A[[#This Row],[Σo16]],""),"")</f>
        <v/>
      </c>
      <c r="AN96" s="126" t="str">
        <f>IF(Tab.o1[[#This Row],[a1]]=1,[1]!T.in.A[[#This Row],[Σp5]],"")</f>
        <v/>
      </c>
      <c r="AO96" s="126" t="str">
        <f>IF(Tab.o1[[#This Row],[a1]]=1,IF(AO$3=1,[1]!T.in.A[[#This Row],[Σp5]],""),"")</f>
        <v/>
      </c>
      <c r="AP96" s="110" t="str">
        <f>IF(Tab.o1[[#This Row],[a1]]=1,IF(ISNUMBER(Tab.o1[[#This Row],[i.]]),NORMDIST(Tab.o1[[#This Row],[Za]],0,1,FALSE)*Tab.o1[[#This Row],[i.]],0),"")</f>
        <v/>
      </c>
      <c r="AQ96" s="125" t="str">
        <f>IF(Tab.o1[[#This Row],[a1]]=1,ABS(Tab.o1[[#This Row],[MOD]]-AVERAGE(Tab.o1[MOD])),"")</f>
        <v/>
      </c>
      <c r="AR96" s="134" t="str">
        <f>IF(Tab.o1[[#This Row],[a1]]=1,Tab.o1[[#This Row],[OBS]]/SUM(Tab.o1[OBS]),"")</f>
        <v/>
      </c>
      <c r="AS96" s="135" t="str">
        <f>IF(ISNUMBER(Tab.o1[[#This Row],[a1]]),ROW()-4,"")</f>
        <v/>
      </c>
      <c r="AT96" s="136" t="str">
        <f>Tab.o1[[#This Row],[MOD]]</f>
        <v/>
      </c>
      <c r="AU96" s="137" t="str">
        <f t="shared" si="5"/>
        <v/>
      </c>
      <c r="AV96" s="138" t="str">
        <f t="shared" si="6"/>
        <v/>
      </c>
      <c r="AW96" s="138" t="str">
        <f t="shared" si="7"/>
        <v/>
      </c>
      <c r="AX96" s="139" t="str">
        <f>[1]!T.in.A[[#This Row],[ID_T_manu]]</f>
        <v/>
      </c>
      <c r="AY96" s="140" t="str">
        <f>IF(ISNUMBER(Tab.o1[[#This Row],[a1]]),IF(AND(Tab.o1[[#This Row],[a1]]=1,Tab.o1[[#This Row],[b1]]&lt;=AY$4),#REF!,AY95),"")</f>
        <v/>
      </c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</row>
    <row r="97" spans="1:79" ht="14.25" hidden="1" customHeight="1">
      <c r="A97" s="109">
        <v>-2.0000000000000003E-6</v>
      </c>
      <c r="B97" s="110">
        <f t="shared" si="4"/>
        <v>97</v>
      </c>
      <c r="C97" s="111" t="str">
        <f>IF(C$1=[1]!T.in.A[[#This Row],[oo2]],1,"")</f>
        <v/>
      </c>
      <c r="D97" s="112" t="str">
        <f>IF(Tab.o1[[#This Row],[a1]]=1,IF(SUM(C97:C98)=0,0,IF(SUM(C96:C97)=1,1,IF(SUM(C96:C98)&gt;1,D96+1,0))),"")</f>
        <v/>
      </c>
      <c r="E97" s="113" t="str">
        <f>IF(Tab.o1[[#This Row],[a1]]=1,[1]!T.in.A[[#This Row],[oo1]],"")</f>
        <v/>
      </c>
      <c r="F97" s="113" t="str">
        <f>IF(Tab.o1[[#This Row],[a1]]=1,[1]!T.in.A[[#This Row],[pp1]],"")</f>
        <v/>
      </c>
      <c r="G97" s="114" t="str">
        <f>IF(Tab.o1[[#This Row],[a1]]=1,G$2+IF(G$1=1,0,Tab.o1[[#This Row],[.x1]])+[1]!T.in.A[[#This Row],[oo3]],"")</f>
        <v/>
      </c>
      <c r="H97" s="115" t="str">
        <f>IF(Tab.o1[[#This Row],[a1]]=1,IF(H$2=0,0,IF(G$1=1,0,Tab.o1[[#This Row],[.x1]])+[1]!T.in.A[[#This Row],[oo4]]),"")</f>
        <v/>
      </c>
      <c r="I97" s="116" t="str">
        <f>IF(Tab.o1[[#This Row],[a1]]=1,IF(J$2=0,Tab.o1[[#This Row],[MED]],Tab.o1[[#This Row],[MOD]]),"")</f>
        <v/>
      </c>
      <c r="J97" s="116" t="str">
        <f>IF(Tab.o1[[#This Row],[a1]]=1,((Tab.o1[[#This Row],[DIF_Target.]]-AVERAGE(Tab.o1[DIF_Target.]))/_xlfn.STDEV.P(Tab.o1[DIF_Target.])),"")</f>
        <v/>
      </c>
      <c r="K97" s="117" t="str">
        <f>IF(Tab.o1[[#This Row],[a1]]=1,IF(J$2=0,Tab.o1[[#This Row],[MOD]]-Tab.o1[[#This Row],[B]],IF(J$2=1,0,-Tab.o1[[#This Row],[MED]])+Tab.o1[[#This Row],[B]]),"")</f>
        <v/>
      </c>
      <c r="L97" s="117" t="str">
        <f ca="1">IF(Tab.o1[[#This Row],[DIF_Target]]=0,IF(L$2=0,Tab.o1[[#This Row],[DIF_Target]],AVERAGE(OFFSET(Tab.o1[[#This Row],[DIF_Target]],1,0,L$3,1)))/3,Tab.o1[[#This Row],[DIF_Target]])</f>
        <v/>
      </c>
      <c r="M97" s="118" t="str">
        <f>IF(Tab.o1[[#This Row],[a1]]=1,NORMSDIST(Tab.o1[[#This Row],[Za]]),"")</f>
        <v/>
      </c>
      <c r="N97" s="119" t="str">
        <f>IF(Tab.o1[[#This Row],[a1]]=1,((Tab.o1[[#This Row],[MedMod]]-AVERAGE(Tab.o1[MedMod]))/_xlfn.STDEV.P(Tab.o1[MedMod])*H$1205)+G$1205,"")</f>
        <v/>
      </c>
      <c r="O97" s="141" t="str">
        <f>IF(Tab.o1[[#This Row],[a1]]=1,Tab.o1[[#This Row],[Zb]]*_xlfn.STDEV.P(Tab.o1[MedMod])+AVERAGE(Tab.o1[MedMod]),"")</f>
        <v/>
      </c>
      <c r="P97" s="117" t="str">
        <f ca="1">IF(Tab.o1[[#This Row],[B]]=0,AVERAGE(OFFSET(Tab.o1[[#This Row],[B]],1,0,L$3,1)),Tab.o1[[#This Row],[B]])</f>
        <v/>
      </c>
      <c r="Q97" s="121" t="str">
        <f>IF(Tab.o1[[#This Row],[a1]]=1,NORMSDIST(Tab.o1[[#This Row],[Zb]]),"")</f>
        <v/>
      </c>
      <c r="R97" s="122" t="str">
        <f>IF(Tab.o1[[#This Row],[a1]]=1,((Tab.o1[[#This Row],[MedMod]]-AVERAGE(Tab.o1[MedMod]))/_xlfn.STDEV.P(Tab.o1[MedMod])*H$1203)+G$1203,"")</f>
        <v/>
      </c>
      <c r="S97" s="122" t="str">
        <f>IF(Tab.o1[[#This Row],[a1]]=1,((Tab.o1[[#This Row],[MedMod]]-AVERAGE(Tab.o1[MedMod]))/_xlfn.STDEV.P(Tab.o1[MedMod])*H$1204)+G$1204,"")</f>
        <v/>
      </c>
      <c r="T97" s="123" t="str">
        <f>IF(Tab.o1[[#This Row],[a1]]=1,Tab.o1[[#This Row],[Z-]]*_xlfn.STDEV.P(Tab.o1[B])+AVERAGE(Tab.o1[B]),"")</f>
        <v/>
      </c>
      <c r="U97" s="123" t="str">
        <f>IF(Tab.o1[[#This Row],[a1]]=1,Tab.o1[[#This Row],[z+]]*_xlfn.STDEV.P(Tab.o1[B])+AVERAGE(Tab.o1[B]),"")</f>
        <v/>
      </c>
      <c r="V97" s="124" t="str">
        <f>IF(Tab.o1[[#This Row],[a1]]=1,ABS((ABS(Tab.o1[[#This Row],[Red]]-Tab.o1[[#This Row],[Blue]]))),"")</f>
        <v/>
      </c>
      <c r="W97" s="125" t="str">
        <f>IF(Tab.o1[[#This Row],[a1]]=1,IF(W$3=0,1,Tab.o1[[#This Row],[Amp.]]*1/_xlfn.MINIFS(Tab.o1[Amp.],Tab.o1[Amp.],"&lt;&gt;0")),"")</f>
        <v/>
      </c>
      <c r="X97" s="126" t="str">
        <f>IF(Tab.o1[[#This Row],[a1]]=1,IF(ISNUMBER(Tab.o1[[#This Row],[i.]]),NORMDIST(Tab.o1[[#This Row],[Za]],0,1,FALSE)*Tab.o1[[#This Row],[i.]],AP$3),"")</f>
        <v/>
      </c>
      <c r="Y97" s="126" t="str">
        <f>IF(Tab.o1[[#This Row],[a1]]=1,0.01+0.94*Tab.o1[[#This Row],[PDF]]/MAX(Tab.o1[PDF]),"")</f>
        <v/>
      </c>
      <c r="Z97" s="126" t="str">
        <f>IF(Tab.o1[[#This Row],[a1]]=1,0.01+0.94*Tab.o1[[#This Row],[W1_PDF]]/MAX(Tab.o1[W1_PDF]),"")</f>
        <v/>
      </c>
      <c r="AA97" s="118" t="str">
        <f>IF(Tab.o1[[#This Row],[a1]]=1,ABS([1]!T.in.A[[#This Row],[oo6]]),"")</f>
        <v/>
      </c>
      <c r="AB97" s="127" t="str">
        <f>IF(Tab.o1[[#This Row],[a1]]=1,IF(AE$3=0,"",IF(AB$3=0,ABS([1]!T.in.A[[#This Row],[oo9]]),ABS(Tab.o1[[#This Row],[DIF_Target.]]*Tab.o1[[#This Row],[W1_PDF]]))),"")</f>
        <v/>
      </c>
      <c r="AC97" s="127" t="str">
        <f>IF(G$1=1,"",IF(Tab.o1[[#This Row],[a1]]=1,Tab.o1[[#This Row],[Wr]]^2,""))</f>
        <v/>
      </c>
      <c r="AD97" s="118" t="str">
        <f>IF(Tab.o1[[#This Row],[a1]]=1,IF(AE$3=0,"",Tab.o1[[#This Row],[Wr2]]/SUM(Tab.o1[Wr2])),"")</f>
        <v/>
      </c>
      <c r="AE97" s="128" t="str">
        <f>IF(Tab.o1[[#This Row],[a1]]=1,[1]!T.in.A[[#This Row],[oo10]],"")</f>
        <v/>
      </c>
      <c r="AF97" s="118" t="str">
        <f>IF(Tab.o1[[#This Row],[a1]]=1,ABS(Tab.o1[[#This Row],[DIF_Target.]]*Tab.o1[[#This Row],[PDF2]]*Tab.o1[[#This Row],[IN]]),"")</f>
        <v/>
      </c>
      <c r="AG97" s="129" t="str">
        <f>IF(Tab.o1[[#This Row],[a1]]=1,Tab.o1[[#This Row],[rW]]^2,"")</f>
        <v/>
      </c>
      <c r="AH97" s="130" t="str">
        <f>IF(Tab.o1[[#This Row],[a1]]=1,IF(AH$3=0,Tab.o1[[#This Row],[rW2]],0.01+0.94*Tab.o1[[#This Row],[rW2]]/SUM(Tab.o1[rW2])),"")</f>
        <v/>
      </c>
      <c r="AI97" s="128" t="str">
        <f>IF(Tab.o1[[#This Row],[a1]]=1,1/Tab.o1[[#This Row],[PDF]],"")</f>
        <v/>
      </c>
      <c r="AJ97" s="131" t="str">
        <f>IF(Tab.o1[[#This Row],[a1]]=1,[1]!T_AA[[#This Row],[IN'']]*[1]!T_AA[[#This Row],[Qde'']],"")</f>
        <v/>
      </c>
      <c r="AK97" s="132" t="str">
        <f>IF(Tab.o1[[#This Row],[a1]]=1,IF(AK$1=1,Tab.o1[[#This Row],[MED]]+Tab.o1[[#This Row],[MOD]]-Tab.o1[[#This Row],[MED]],""),"")</f>
        <v/>
      </c>
      <c r="AL97" s="133" t="str">
        <f>IF(Tab.o1[[#This Row],[a1]]=1,[1]!T.in.A[[#This Row],[oo16]],"")</f>
        <v/>
      </c>
      <c r="AM97" s="133" t="str">
        <f>IF(Tab.o1[[#This Row],[a1]]=1,IF(AM$3=1,[1]!T.in.A[[#This Row],[Σo16]],""),"")</f>
        <v/>
      </c>
      <c r="AN97" s="126" t="str">
        <f>IF(Tab.o1[[#This Row],[a1]]=1,[1]!T.in.A[[#This Row],[Σp5]],"")</f>
        <v/>
      </c>
      <c r="AO97" s="126" t="str">
        <f>IF(Tab.o1[[#This Row],[a1]]=1,IF(AO$3=1,[1]!T.in.A[[#This Row],[Σp5]],""),"")</f>
        <v/>
      </c>
      <c r="AP97" s="110" t="str">
        <f>IF(Tab.o1[[#This Row],[a1]]=1,IF(ISNUMBER(Tab.o1[[#This Row],[i.]]),NORMDIST(Tab.o1[[#This Row],[Za]],0,1,FALSE)*Tab.o1[[#This Row],[i.]],0),"")</f>
        <v/>
      </c>
      <c r="AQ97" s="125" t="str">
        <f>IF(Tab.o1[[#This Row],[a1]]=1,ABS(Tab.o1[[#This Row],[MOD]]-AVERAGE(Tab.o1[MOD])),"")</f>
        <v/>
      </c>
      <c r="AR97" s="134" t="str">
        <f>IF(Tab.o1[[#This Row],[a1]]=1,Tab.o1[[#This Row],[OBS]]/SUM(Tab.o1[OBS]),"")</f>
        <v/>
      </c>
      <c r="AS97" s="135" t="str">
        <f>IF(ISNUMBER(Tab.o1[[#This Row],[a1]]),ROW()-4,"")</f>
        <v/>
      </c>
      <c r="AT97" s="136" t="str">
        <f>Tab.o1[[#This Row],[MOD]]</f>
        <v/>
      </c>
      <c r="AU97" s="137" t="str">
        <f t="shared" si="5"/>
        <v/>
      </c>
      <c r="AV97" s="138" t="str">
        <f t="shared" si="6"/>
        <v/>
      </c>
      <c r="AW97" s="138" t="str">
        <f t="shared" si="7"/>
        <v/>
      </c>
      <c r="AX97" s="139" t="str">
        <f>[1]!T.in.A[[#This Row],[ID_T_manu]]</f>
        <v/>
      </c>
      <c r="AY97" s="140" t="str">
        <f>IF(ISNUMBER(Tab.o1[[#This Row],[a1]]),IF(AND(Tab.o1[[#This Row],[a1]]=1,Tab.o1[[#This Row],[b1]]&lt;=AY$4),#REF!,AY96),"")</f>
        <v/>
      </c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</row>
    <row r="98" spans="1:79" ht="14.25" hidden="1" customHeight="1">
      <c r="A98" s="109">
        <v>1.0000000000000001E-5</v>
      </c>
      <c r="B98" s="110">
        <f t="shared" si="4"/>
        <v>98</v>
      </c>
      <c r="C98" s="111" t="str">
        <f>IF(C$1=[1]!T.in.A[[#This Row],[oo2]],1,"")</f>
        <v/>
      </c>
      <c r="D98" s="112" t="str">
        <f>IF(Tab.o1[[#This Row],[a1]]=1,IF(SUM(C98:C99)=0,0,IF(SUM(C97:C98)=1,1,IF(SUM(C97:C99)&gt;1,D97+1,0))),"")</f>
        <v/>
      </c>
      <c r="E98" s="113" t="str">
        <f>IF(Tab.o1[[#This Row],[a1]]=1,[1]!T.in.A[[#This Row],[oo1]],"")</f>
        <v/>
      </c>
      <c r="F98" s="113" t="str">
        <f>IF(Tab.o1[[#This Row],[a1]]=1,[1]!T.in.A[[#This Row],[pp1]],"")</f>
        <v/>
      </c>
      <c r="G98" s="114" t="str">
        <f>IF(Tab.o1[[#This Row],[a1]]=1,G$2+IF(G$1=1,0,Tab.o1[[#This Row],[.x1]])+[1]!T.in.A[[#This Row],[oo3]],"")</f>
        <v/>
      </c>
      <c r="H98" s="115" t="str">
        <f>IF(Tab.o1[[#This Row],[a1]]=1,IF(H$2=0,0,IF(G$1=1,0,Tab.o1[[#This Row],[.x1]])+[1]!T.in.A[[#This Row],[oo4]]),"")</f>
        <v/>
      </c>
      <c r="I98" s="116" t="str">
        <f>IF(Tab.o1[[#This Row],[a1]]=1,IF(J$2=0,Tab.o1[[#This Row],[MED]],Tab.o1[[#This Row],[MOD]]),"")</f>
        <v/>
      </c>
      <c r="J98" s="116" t="str">
        <f>IF(Tab.o1[[#This Row],[a1]]=1,((Tab.o1[[#This Row],[DIF_Target.]]-AVERAGE(Tab.o1[DIF_Target.]))/_xlfn.STDEV.P(Tab.o1[DIF_Target.])),"")</f>
        <v/>
      </c>
      <c r="K98" s="117" t="str">
        <f>IF(Tab.o1[[#This Row],[a1]]=1,IF(J$2=0,Tab.o1[[#This Row],[MOD]]-Tab.o1[[#This Row],[B]],IF(J$2=1,0,-Tab.o1[[#This Row],[MED]])+Tab.o1[[#This Row],[B]]),"")</f>
        <v/>
      </c>
      <c r="L98" s="117" t="str">
        <f ca="1">IF(Tab.o1[[#This Row],[DIF_Target]]=0,IF(L$2=0,Tab.o1[[#This Row],[DIF_Target]],AVERAGE(OFFSET(Tab.o1[[#This Row],[DIF_Target]],1,0,L$3,1)))/3,Tab.o1[[#This Row],[DIF_Target]])</f>
        <v/>
      </c>
      <c r="M98" s="118" t="str">
        <f>IF(Tab.o1[[#This Row],[a1]]=1,NORMSDIST(Tab.o1[[#This Row],[Za]]),"")</f>
        <v/>
      </c>
      <c r="N98" s="119" t="str">
        <f>IF(Tab.o1[[#This Row],[a1]]=1,((Tab.o1[[#This Row],[MedMod]]-AVERAGE(Tab.o1[MedMod]))/_xlfn.STDEV.P(Tab.o1[MedMod])*H$1205)+G$1205,"")</f>
        <v/>
      </c>
      <c r="O98" s="141" t="str">
        <f>IF(Tab.o1[[#This Row],[a1]]=1,Tab.o1[[#This Row],[Zb]]*_xlfn.STDEV.P(Tab.o1[MedMod])+AVERAGE(Tab.o1[MedMod]),"")</f>
        <v/>
      </c>
      <c r="P98" s="117" t="str">
        <f ca="1">IF(Tab.o1[[#This Row],[B]]=0,AVERAGE(OFFSET(Tab.o1[[#This Row],[B]],1,0,L$3,1)),Tab.o1[[#This Row],[B]])</f>
        <v/>
      </c>
      <c r="Q98" s="121" t="str">
        <f>IF(Tab.o1[[#This Row],[a1]]=1,NORMSDIST(Tab.o1[[#This Row],[Zb]]),"")</f>
        <v/>
      </c>
      <c r="R98" s="122" t="str">
        <f>IF(Tab.o1[[#This Row],[a1]]=1,((Tab.o1[[#This Row],[MedMod]]-AVERAGE(Tab.o1[MedMod]))/_xlfn.STDEV.P(Tab.o1[MedMod])*H$1203)+G$1203,"")</f>
        <v/>
      </c>
      <c r="S98" s="122" t="str">
        <f>IF(Tab.o1[[#This Row],[a1]]=1,((Tab.o1[[#This Row],[MedMod]]-AVERAGE(Tab.o1[MedMod]))/_xlfn.STDEV.P(Tab.o1[MedMod])*H$1204)+G$1204,"")</f>
        <v/>
      </c>
      <c r="T98" s="123" t="str">
        <f>IF(Tab.o1[[#This Row],[a1]]=1,Tab.o1[[#This Row],[Z-]]*_xlfn.STDEV.P(Tab.o1[B])+AVERAGE(Tab.o1[B]),"")</f>
        <v/>
      </c>
      <c r="U98" s="123" t="str">
        <f>IF(Tab.o1[[#This Row],[a1]]=1,Tab.o1[[#This Row],[z+]]*_xlfn.STDEV.P(Tab.o1[B])+AVERAGE(Tab.o1[B]),"")</f>
        <v/>
      </c>
      <c r="V98" s="124" t="str">
        <f>IF(Tab.o1[[#This Row],[a1]]=1,ABS((ABS(Tab.o1[[#This Row],[Red]]-Tab.o1[[#This Row],[Blue]]))),"")</f>
        <v/>
      </c>
      <c r="W98" s="125" t="str">
        <f>IF(Tab.o1[[#This Row],[a1]]=1,IF(W$3=0,1,Tab.o1[[#This Row],[Amp.]]*1/_xlfn.MINIFS(Tab.o1[Amp.],Tab.o1[Amp.],"&lt;&gt;0")),"")</f>
        <v/>
      </c>
      <c r="X98" s="126" t="str">
        <f>IF(Tab.o1[[#This Row],[a1]]=1,IF(ISNUMBER(Tab.o1[[#This Row],[i.]]),NORMDIST(Tab.o1[[#This Row],[Za]],0,1,FALSE)*Tab.o1[[#This Row],[i.]],AP$3),"")</f>
        <v/>
      </c>
      <c r="Y98" s="126" t="str">
        <f>IF(Tab.o1[[#This Row],[a1]]=1,0.01+0.94*Tab.o1[[#This Row],[PDF]]/MAX(Tab.o1[PDF]),"")</f>
        <v/>
      </c>
      <c r="Z98" s="126" t="str">
        <f>IF(Tab.o1[[#This Row],[a1]]=1,0.01+0.94*Tab.o1[[#This Row],[W1_PDF]]/MAX(Tab.o1[W1_PDF]),"")</f>
        <v/>
      </c>
      <c r="AA98" s="118" t="str">
        <f>IF(Tab.o1[[#This Row],[a1]]=1,ABS([1]!T.in.A[[#This Row],[oo6]]),"")</f>
        <v/>
      </c>
      <c r="AB98" s="127" t="str">
        <f>IF(Tab.o1[[#This Row],[a1]]=1,IF(AE$3=0,"",IF(AB$3=0,ABS([1]!T.in.A[[#This Row],[oo9]]),ABS(Tab.o1[[#This Row],[DIF_Target.]]*Tab.o1[[#This Row],[W1_PDF]]))),"")</f>
        <v/>
      </c>
      <c r="AC98" s="127" t="str">
        <f>IF(G$1=1,"",IF(Tab.o1[[#This Row],[a1]]=1,Tab.o1[[#This Row],[Wr]]^2,""))</f>
        <v/>
      </c>
      <c r="AD98" s="118" t="str">
        <f>IF(Tab.o1[[#This Row],[a1]]=1,IF(AE$3=0,"",Tab.o1[[#This Row],[Wr2]]/SUM(Tab.o1[Wr2])),"")</f>
        <v/>
      </c>
      <c r="AE98" s="128" t="str">
        <f>IF(Tab.o1[[#This Row],[a1]]=1,[1]!T.in.A[[#This Row],[oo10]],"")</f>
        <v/>
      </c>
      <c r="AF98" s="118" t="str">
        <f>IF(Tab.o1[[#This Row],[a1]]=1,ABS(Tab.o1[[#This Row],[DIF_Target.]]*Tab.o1[[#This Row],[PDF2]]*Tab.o1[[#This Row],[IN]]),"")</f>
        <v/>
      </c>
      <c r="AG98" s="129" t="str">
        <f>IF(Tab.o1[[#This Row],[a1]]=1,Tab.o1[[#This Row],[rW]]^2,"")</f>
        <v/>
      </c>
      <c r="AH98" s="130" t="str">
        <f>IF(Tab.o1[[#This Row],[a1]]=1,IF(AH$3=0,Tab.o1[[#This Row],[rW2]],0.01+0.94*Tab.o1[[#This Row],[rW2]]/SUM(Tab.o1[rW2])),"")</f>
        <v/>
      </c>
      <c r="AI98" s="128" t="str">
        <f>IF(Tab.o1[[#This Row],[a1]]=1,1/Tab.o1[[#This Row],[PDF]],"")</f>
        <v/>
      </c>
      <c r="AJ98" s="131" t="str">
        <f>IF(Tab.o1[[#This Row],[a1]]=1,[1]!T_AA[[#This Row],[IN'']]*[1]!T_AA[[#This Row],[Qde'']],"")</f>
        <v/>
      </c>
      <c r="AK98" s="132" t="str">
        <f>IF(Tab.o1[[#This Row],[a1]]=1,IF(AK$1=1,Tab.o1[[#This Row],[MED]]+Tab.o1[[#This Row],[MOD]]-Tab.o1[[#This Row],[MED]],""),"")</f>
        <v/>
      </c>
      <c r="AL98" s="133" t="str">
        <f>IF(Tab.o1[[#This Row],[a1]]=1,[1]!T.in.A[[#This Row],[oo16]],"")</f>
        <v/>
      </c>
      <c r="AM98" s="133" t="str">
        <f>IF(Tab.o1[[#This Row],[a1]]=1,IF(AM$3=1,[1]!T.in.A[[#This Row],[Σo16]],""),"")</f>
        <v/>
      </c>
      <c r="AN98" s="126" t="str">
        <f>IF(Tab.o1[[#This Row],[a1]]=1,[1]!T.in.A[[#This Row],[Σp5]],"")</f>
        <v/>
      </c>
      <c r="AO98" s="126" t="str">
        <f>IF(Tab.o1[[#This Row],[a1]]=1,IF(AO$3=1,[1]!T.in.A[[#This Row],[Σp5]],""),"")</f>
        <v/>
      </c>
      <c r="AP98" s="110" t="str">
        <f>IF(Tab.o1[[#This Row],[a1]]=1,IF(ISNUMBER(Tab.o1[[#This Row],[i.]]),NORMDIST(Tab.o1[[#This Row],[Za]],0,1,FALSE)*Tab.o1[[#This Row],[i.]],0),"")</f>
        <v/>
      </c>
      <c r="AQ98" s="125" t="str">
        <f>IF(Tab.o1[[#This Row],[a1]]=1,ABS(Tab.o1[[#This Row],[MOD]]-AVERAGE(Tab.o1[MOD])),"")</f>
        <v/>
      </c>
      <c r="AR98" s="134" t="str">
        <f>IF(Tab.o1[[#This Row],[a1]]=1,Tab.o1[[#This Row],[OBS]]/SUM(Tab.o1[OBS]),"")</f>
        <v/>
      </c>
      <c r="AS98" s="135" t="str">
        <f>IF(ISNUMBER(Tab.o1[[#This Row],[a1]]),ROW()-4,"")</f>
        <v/>
      </c>
      <c r="AT98" s="136" t="str">
        <f>Tab.o1[[#This Row],[MOD]]</f>
        <v/>
      </c>
      <c r="AU98" s="137" t="str">
        <f t="shared" si="5"/>
        <v/>
      </c>
      <c r="AV98" s="138" t="str">
        <f t="shared" si="6"/>
        <v/>
      </c>
      <c r="AW98" s="138" t="str">
        <f t="shared" si="7"/>
        <v/>
      </c>
      <c r="AX98" s="139" t="str">
        <f>[1]!T.in.A[[#This Row],[ID_T_manu]]</f>
        <v/>
      </c>
      <c r="AY98" s="140" t="str">
        <f>IF(ISNUMBER(Tab.o1[[#This Row],[a1]]),IF(AND(Tab.o1[[#This Row],[a1]]=1,Tab.o1[[#This Row],[b1]]&lt;=AY$4),#REF!,AY97),"")</f>
        <v/>
      </c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</row>
    <row r="99" spans="1:79" ht="14.25" hidden="1" customHeight="1">
      <c r="A99" s="109">
        <v>5.0000000000000004E-6</v>
      </c>
      <c r="B99" s="110">
        <f t="shared" si="4"/>
        <v>99</v>
      </c>
      <c r="C99" s="111" t="str">
        <f>IF(C$1=[1]!T.in.A[[#This Row],[oo2]],1,"")</f>
        <v/>
      </c>
      <c r="D99" s="112" t="str">
        <f>IF(Tab.o1[[#This Row],[a1]]=1,IF(SUM(C99:C100)=0,0,IF(SUM(C98:C99)=1,1,IF(SUM(C98:C100)&gt;1,D98+1,0))),"")</f>
        <v/>
      </c>
      <c r="E99" s="113" t="str">
        <f>IF(Tab.o1[[#This Row],[a1]]=1,[1]!T.in.A[[#This Row],[oo1]],"")</f>
        <v/>
      </c>
      <c r="F99" s="113" t="str">
        <f>IF(Tab.o1[[#This Row],[a1]]=1,[1]!T.in.A[[#This Row],[pp1]],"")</f>
        <v/>
      </c>
      <c r="G99" s="114" t="str">
        <f>IF(Tab.o1[[#This Row],[a1]]=1,G$2+IF(G$1=1,0,Tab.o1[[#This Row],[.x1]])+[1]!T.in.A[[#This Row],[oo3]],"")</f>
        <v/>
      </c>
      <c r="H99" s="115" t="str">
        <f>IF(Tab.o1[[#This Row],[a1]]=1,IF(H$2=0,0,IF(G$1=1,0,Tab.o1[[#This Row],[.x1]])+[1]!T.in.A[[#This Row],[oo4]]),"")</f>
        <v/>
      </c>
      <c r="I99" s="116" t="str">
        <f>IF(Tab.o1[[#This Row],[a1]]=1,IF(J$2=0,Tab.o1[[#This Row],[MED]],Tab.o1[[#This Row],[MOD]]),"")</f>
        <v/>
      </c>
      <c r="J99" s="116" t="str">
        <f>IF(Tab.o1[[#This Row],[a1]]=1,((Tab.o1[[#This Row],[DIF_Target.]]-AVERAGE(Tab.o1[DIF_Target.]))/_xlfn.STDEV.P(Tab.o1[DIF_Target.])),"")</f>
        <v/>
      </c>
      <c r="K99" s="117" t="str">
        <f>IF(Tab.o1[[#This Row],[a1]]=1,IF(J$2=0,Tab.o1[[#This Row],[MOD]]-Tab.o1[[#This Row],[B]],IF(J$2=1,0,-Tab.o1[[#This Row],[MED]])+Tab.o1[[#This Row],[B]]),"")</f>
        <v/>
      </c>
      <c r="L99" s="117" t="str">
        <f ca="1">IF(Tab.o1[[#This Row],[DIF_Target]]=0,IF(L$2=0,Tab.o1[[#This Row],[DIF_Target]],AVERAGE(OFFSET(Tab.o1[[#This Row],[DIF_Target]],1,0,L$3,1)))/3,Tab.o1[[#This Row],[DIF_Target]])</f>
        <v/>
      </c>
      <c r="M99" s="118" t="str">
        <f>IF(Tab.o1[[#This Row],[a1]]=1,NORMSDIST(Tab.o1[[#This Row],[Za]]),"")</f>
        <v/>
      </c>
      <c r="N99" s="119" t="str">
        <f>IF(Tab.o1[[#This Row],[a1]]=1,((Tab.o1[[#This Row],[MedMod]]-AVERAGE(Tab.o1[MedMod]))/_xlfn.STDEV.P(Tab.o1[MedMod])*H$1205)+G$1205,"")</f>
        <v/>
      </c>
      <c r="O99" s="141" t="str">
        <f>IF(Tab.o1[[#This Row],[a1]]=1,Tab.o1[[#This Row],[Zb]]*_xlfn.STDEV.P(Tab.o1[MedMod])+AVERAGE(Tab.o1[MedMod]),"")</f>
        <v/>
      </c>
      <c r="P99" s="117" t="str">
        <f ca="1">IF(Tab.o1[[#This Row],[B]]=0,AVERAGE(OFFSET(Tab.o1[[#This Row],[B]],1,0,L$3,1)),Tab.o1[[#This Row],[B]])</f>
        <v/>
      </c>
      <c r="Q99" s="121" t="str">
        <f>IF(Tab.o1[[#This Row],[a1]]=1,NORMSDIST(Tab.o1[[#This Row],[Zb]]),"")</f>
        <v/>
      </c>
      <c r="R99" s="122" t="str">
        <f>IF(Tab.o1[[#This Row],[a1]]=1,((Tab.o1[[#This Row],[MedMod]]-AVERAGE(Tab.o1[MedMod]))/_xlfn.STDEV.P(Tab.o1[MedMod])*H$1203)+G$1203,"")</f>
        <v/>
      </c>
      <c r="S99" s="122" t="str">
        <f>IF(Tab.o1[[#This Row],[a1]]=1,((Tab.o1[[#This Row],[MedMod]]-AVERAGE(Tab.o1[MedMod]))/_xlfn.STDEV.P(Tab.o1[MedMod])*H$1204)+G$1204,"")</f>
        <v/>
      </c>
      <c r="T99" s="123" t="str">
        <f>IF(Tab.o1[[#This Row],[a1]]=1,Tab.o1[[#This Row],[Z-]]*_xlfn.STDEV.P(Tab.o1[B])+AVERAGE(Tab.o1[B]),"")</f>
        <v/>
      </c>
      <c r="U99" s="123" t="str">
        <f>IF(Tab.o1[[#This Row],[a1]]=1,Tab.o1[[#This Row],[z+]]*_xlfn.STDEV.P(Tab.o1[B])+AVERAGE(Tab.o1[B]),"")</f>
        <v/>
      </c>
      <c r="V99" s="124" t="str">
        <f>IF(Tab.o1[[#This Row],[a1]]=1,ABS((ABS(Tab.o1[[#This Row],[Red]]-Tab.o1[[#This Row],[Blue]]))),"")</f>
        <v/>
      </c>
      <c r="W99" s="125" t="str">
        <f>IF(Tab.o1[[#This Row],[a1]]=1,IF(W$3=0,1,Tab.o1[[#This Row],[Amp.]]*1/_xlfn.MINIFS(Tab.o1[Amp.],Tab.o1[Amp.],"&lt;&gt;0")),"")</f>
        <v/>
      </c>
      <c r="X99" s="126" t="str">
        <f>IF(Tab.o1[[#This Row],[a1]]=1,IF(ISNUMBER(Tab.o1[[#This Row],[i.]]),NORMDIST(Tab.o1[[#This Row],[Za]],0,1,FALSE)*Tab.o1[[#This Row],[i.]],AP$3),"")</f>
        <v/>
      </c>
      <c r="Y99" s="126" t="str">
        <f>IF(Tab.o1[[#This Row],[a1]]=1,0.01+0.94*Tab.o1[[#This Row],[PDF]]/MAX(Tab.o1[PDF]),"")</f>
        <v/>
      </c>
      <c r="Z99" s="126" t="str">
        <f>IF(Tab.o1[[#This Row],[a1]]=1,0.01+0.94*Tab.o1[[#This Row],[W1_PDF]]/MAX(Tab.o1[W1_PDF]),"")</f>
        <v/>
      </c>
      <c r="AA99" s="118" t="str">
        <f>IF(Tab.o1[[#This Row],[a1]]=1,ABS([1]!T.in.A[[#This Row],[oo6]]),"")</f>
        <v/>
      </c>
      <c r="AB99" s="127" t="str">
        <f>IF(Tab.o1[[#This Row],[a1]]=1,IF(AE$3=0,"",IF(AB$3=0,ABS([1]!T.in.A[[#This Row],[oo9]]),ABS(Tab.o1[[#This Row],[DIF_Target.]]*Tab.o1[[#This Row],[W1_PDF]]))),"")</f>
        <v/>
      </c>
      <c r="AC99" s="127" t="str">
        <f>IF(G$1=1,"",IF(Tab.o1[[#This Row],[a1]]=1,Tab.o1[[#This Row],[Wr]]^2,""))</f>
        <v/>
      </c>
      <c r="AD99" s="118" t="str">
        <f>IF(Tab.o1[[#This Row],[a1]]=1,IF(AE$3=0,"",Tab.o1[[#This Row],[Wr2]]/SUM(Tab.o1[Wr2])),"")</f>
        <v/>
      </c>
      <c r="AE99" s="128" t="str">
        <f>IF(Tab.o1[[#This Row],[a1]]=1,[1]!T.in.A[[#This Row],[oo10]],"")</f>
        <v/>
      </c>
      <c r="AF99" s="118" t="str">
        <f>IF(Tab.o1[[#This Row],[a1]]=1,ABS(Tab.o1[[#This Row],[DIF_Target.]]*Tab.o1[[#This Row],[PDF2]]*Tab.o1[[#This Row],[IN]]),"")</f>
        <v/>
      </c>
      <c r="AG99" s="129" t="str">
        <f>IF(Tab.o1[[#This Row],[a1]]=1,Tab.o1[[#This Row],[rW]]^2,"")</f>
        <v/>
      </c>
      <c r="AH99" s="130" t="str">
        <f>IF(Tab.o1[[#This Row],[a1]]=1,IF(AH$3=0,Tab.o1[[#This Row],[rW2]],0.01+0.94*Tab.o1[[#This Row],[rW2]]/SUM(Tab.o1[rW2])),"")</f>
        <v/>
      </c>
      <c r="AI99" s="128" t="str">
        <f>IF(Tab.o1[[#This Row],[a1]]=1,1/Tab.o1[[#This Row],[PDF]],"")</f>
        <v/>
      </c>
      <c r="AJ99" s="131" t="str">
        <f>IF(Tab.o1[[#This Row],[a1]]=1,[1]!T_AA[[#This Row],[IN'']]*[1]!T_AA[[#This Row],[Qde'']],"")</f>
        <v/>
      </c>
      <c r="AK99" s="132" t="str">
        <f>IF(Tab.o1[[#This Row],[a1]]=1,IF(AK$1=1,Tab.o1[[#This Row],[MED]]+Tab.o1[[#This Row],[MOD]]-Tab.o1[[#This Row],[MED]],""),"")</f>
        <v/>
      </c>
      <c r="AL99" s="133" t="str">
        <f>IF(Tab.o1[[#This Row],[a1]]=1,[1]!T.in.A[[#This Row],[oo16]],"")</f>
        <v/>
      </c>
      <c r="AM99" s="133" t="str">
        <f>IF(Tab.o1[[#This Row],[a1]]=1,IF(AM$3=1,[1]!T.in.A[[#This Row],[Σo16]],""),"")</f>
        <v/>
      </c>
      <c r="AN99" s="126" t="str">
        <f>IF(Tab.o1[[#This Row],[a1]]=1,[1]!T.in.A[[#This Row],[Σp5]],"")</f>
        <v/>
      </c>
      <c r="AO99" s="126" t="str">
        <f>IF(Tab.o1[[#This Row],[a1]]=1,IF(AO$3=1,[1]!T.in.A[[#This Row],[Σp5]],""),"")</f>
        <v/>
      </c>
      <c r="AP99" s="110" t="str">
        <f>IF(Tab.o1[[#This Row],[a1]]=1,IF(ISNUMBER(Tab.o1[[#This Row],[i.]]),NORMDIST(Tab.o1[[#This Row],[Za]],0,1,FALSE)*Tab.o1[[#This Row],[i.]],0),"")</f>
        <v/>
      </c>
      <c r="AQ99" s="125" t="str">
        <f>IF(Tab.o1[[#This Row],[a1]]=1,ABS(Tab.o1[[#This Row],[MOD]]-AVERAGE(Tab.o1[MOD])),"")</f>
        <v/>
      </c>
      <c r="AR99" s="134" t="str">
        <f>IF(Tab.o1[[#This Row],[a1]]=1,Tab.o1[[#This Row],[OBS]]/SUM(Tab.o1[OBS]),"")</f>
        <v/>
      </c>
      <c r="AS99" s="135" t="str">
        <f>IF(ISNUMBER(Tab.o1[[#This Row],[a1]]),ROW()-4,"")</f>
        <v/>
      </c>
      <c r="AT99" s="136" t="str">
        <f>Tab.o1[[#This Row],[MOD]]</f>
        <v/>
      </c>
      <c r="AU99" s="137" t="str">
        <f t="shared" si="5"/>
        <v/>
      </c>
      <c r="AV99" s="138" t="str">
        <f t="shared" si="6"/>
        <v/>
      </c>
      <c r="AW99" s="138" t="str">
        <f t="shared" si="7"/>
        <v/>
      </c>
      <c r="AX99" s="139" t="str">
        <f>[1]!T.in.A[[#This Row],[ID_T_manu]]</f>
        <v/>
      </c>
      <c r="AY99" s="140" t="str">
        <f>IF(ISNUMBER(Tab.o1[[#This Row],[a1]]),IF(AND(Tab.o1[[#This Row],[a1]]=1,Tab.o1[[#This Row],[b1]]&lt;=AY$4),#REF!,AY98),"")</f>
        <v/>
      </c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</row>
    <row r="100" spans="1:79" ht="14.25" hidden="1" customHeight="1">
      <c r="A100" s="109">
        <v>-1.0000000000000002E-6</v>
      </c>
      <c r="B100" s="110">
        <f t="shared" si="4"/>
        <v>100</v>
      </c>
      <c r="C100" s="111" t="str">
        <f>IF(C$1=[1]!T.in.A[[#This Row],[oo2]],1,"")</f>
        <v/>
      </c>
      <c r="D100" s="112" t="str">
        <f>IF(Tab.o1[[#This Row],[a1]]=1,IF(SUM(C100:C101)=0,0,IF(SUM(C99:C100)=1,1,IF(SUM(C99:C101)&gt;1,D99+1,0))),"")</f>
        <v/>
      </c>
      <c r="E100" s="113" t="str">
        <f>IF(Tab.o1[[#This Row],[a1]]=1,[1]!T.in.A[[#This Row],[oo1]],"")</f>
        <v/>
      </c>
      <c r="F100" s="113" t="str">
        <f>IF(Tab.o1[[#This Row],[a1]]=1,[1]!T.in.A[[#This Row],[pp1]],"")</f>
        <v/>
      </c>
      <c r="G100" s="114" t="str">
        <f>IF(Tab.o1[[#This Row],[a1]]=1,G$2+IF(G$1=1,0,Tab.o1[[#This Row],[.x1]])+[1]!T.in.A[[#This Row],[oo3]],"")</f>
        <v/>
      </c>
      <c r="H100" s="115" t="str">
        <f>IF(Tab.o1[[#This Row],[a1]]=1,IF(H$2=0,0,IF(G$1=1,0,Tab.o1[[#This Row],[.x1]])+[1]!T.in.A[[#This Row],[oo4]]),"")</f>
        <v/>
      </c>
      <c r="I100" s="116" t="str">
        <f>IF(Tab.o1[[#This Row],[a1]]=1,IF(J$2=0,Tab.o1[[#This Row],[MED]],Tab.o1[[#This Row],[MOD]]),"")</f>
        <v/>
      </c>
      <c r="J100" s="116" t="str">
        <f>IF(Tab.o1[[#This Row],[a1]]=1,((Tab.o1[[#This Row],[DIF_Target.]]-AVERAGE(Tab.o1[DIF_Target.]))/_xlfn.STDEV.P(Tab.o1[DIF_Target.])),"")</f>
        <v/>
      </c>
      <c r="K100" s="117" t="str">
        <f>IF(Tab.o1[[#This Row],[a1]]=1,IF(J$2=0,Tab.o1[[#This Row],[MOD]]-Tab.o1[[#This Row],[B]],IF(J$2=1,0,-Tab.o1[[#This Row],[MED]])+Tab.o1[[#This Row],[B]]),"")</f>
        <v/>
      </c>
      <c r="L100" s="117" t="str">
        <f ca="1">IF(Tab.o1[[#This Row],[DIF_Target]]=0,IF(L$2=0,Tab.o1[[#This Row],[DIF_Target]],AVERAGE(OFFSET(Tab.o1[[#This Row],[DIF_Target]],1,0,L$3,1)))/3,Tab.o1[[#This Row],[DIF_Target]])</f>
        <v/>
      </c>
      <c r="M100" s="118" t="str">
        <f>IF(Tab.o1[[#This Row],[a1]]=1,NORMSDIST(Tab.o1[[#This Row],[Za]]),"")</f>
        <v/>
      </c>
      <c r="N100" s="119" t="str">
        <f>IF(Tab.o1[[#This Row],[a1]]=1,((Tab.o1[[#This Row],[MedMod]]-AVERAGE(Tab.o1[MedMod]))/_xlfn.STDEV.P(Tab.o1[MedMod])*H$1205)+G$1205,"")</f>
        <v/>
      </c>
      <c r="O100" s="141" t="str">
        <f>IF(Tab.o1[[#This Row],[a1]]=1,Tab.o1[[#This Row],[Zb]]*_xlfn.STDEV.P(Tab.o1[MedMod])+AVERAGE(Tab.o1[MedMod]),"")</f>
        <v/>
      </c>
      <c r="P100" s="117" t="str">
        <f ca="1">IF(Tab.o1[[#This Row],[B]]=0,AVERAGE(OFFSET(Tab.o1[[#This Row],[B]],1,0,L$3,1)),Tab.o1[[#This Row],[B]])</f>
        <v/>
      </c>
      <c r="Q100" s="121" t="str">
        <f>IF(Tab.o1[[#This Row],[a1]]=1,NORMSDIST(Tab.o1[[#This Row],[Zb]]),"")</f>
        <v/>
      </c>
      <c r="R100" s="122" t="str">
        <f>IF(Tab.o1[[#This Row],[a1]]=1,((Tab.o1[[#This Row],[MedMod]]-AVERAGE(Tab.o1[MedMod]))/_xlfn.STDEV.P(Tab.o1[MedMod])*H$1203)+G$1203,"")</f>
        <v/>
      </c>
      <c r="S100" s="122" t="str">
        <f>IF(Tab.o1[[#This Row],[a1]]=1,((Tab.o1[[#This Row],[MedMod]]-AVERAGE(Tab.o1[MedMod]))/_xlfn.STDEV.P(Tab.o1[MedMod])*H$1204)+G$1204,"")</f>
        <v/>
      </c>
      <c r="T100" s="123" t="str">
        <f>IF(Tab.o1[[#This Row],[a1]]=1,Tab.o1[[#This Row],[Z-]]*_xlfn.STDEV.P(Tab.o1[B])+AVERAGE(Tab.o1[B]),"")</f>
        <v/>
      </c>
      <c r="U100" s="123" t="str">
        <f>IF(Tab.o1[[#This Row],[a1]]=1,Tab.o1[[#This Row],[z+]]*_xlfn.STDEV.P(Tab.o1[B])+AVERAGE(Tab.o1[B]),"")</f>
        <v/>
      </c>
      <c r="V100" s="124" t="str">
        <f>IF(Tab.o1[[#This Row],[a1]]=1,ABS((ABS(Tab.o1[[#This Row],[Red]]-Tab.o1[[#This Row],[Blue]]))),"")</f>
        <v/>
      </c>
      <c r="W100" s="125" t="str">
        <f>IF(Tab.o1[[#This Row],[a1]]=1,IF(W$3=0,1,Tab.o1[[#This Row],[Amp.]]*1/_xlfn.MINIFS(Tab.o1[Amp.],Tab.o1[Amp.],"&lt;&gt;0")),"")</f>
        <v/>
      </c>
      <c r="X100" s="126" t="str">
        <f>IF(Tab.o1[[#This Row],[a1]]=1,IF(ISNUMBER(Tab.o1[[#This Row],[i.]]),NORMDIST(Tab.o1[[#This Row],[Za]],0,1,FALSE)*Tab.o1[[#This Row],[i.]],AP$3),"")</f>
        <v/>
      </c>
      <c r="Y100" s="126" t="str">
        <f>IF(Tab.o1[[#This Row],[a1]]=1,0.01+0.94*Tab.o1[[#This Row],[PDF]]/MAX(Tab.o1[PDF]),"")</f>
        <v/>
      </c>
      <c r="Z100" s="126" t="str">
        <f>IF(Tab.o1[[#This Row],[a1]]=1,0.01+0.94*Tab.o1[[#This Row],[W1_PDF]]/MAX(Tab.o1[W1_PDF]),"")</f>
        <v/>
      </c>
      <c r="AA100" s="118" t="str">
        <f>IF(Tab.o1[[#This Row],[a1]]=1,ABS([1]!T.in.A[[#This Row],[oo6]]),"")</f>
        <v/>
      </c>
      <c r="AB100" s="127" t="str">
        <f>IF(Tab.o1[[#This Row],[a1]]=1,IF(AE$3=0,"",IF(AB$3=0,ABS([1]!T.in.A[[#This Row],[oo9]]),ABS(Tab.o1[[#This Row],[DIF_Target.]]*Tab.o1[[#This Row],[W1_PDF]]))),"")</f>
        <v/>
      </c>
      <c r="AC100" s="127" t="str">
        <f>IF(G$1=1,"",IF(Tab.o1[[#This Row],[a1]]=1,Tab.o1[[#This Row],[Wr]]^2,""))</f>
        <v/>
      </c>
      <c r="AD100" s="118" t="str">
        <f>IF(Tab.o1[[#This Row],[a1]]=1,IF(AE$3=0,"",Tab.o1[[#This Row],[Wr2]]/SUM(Tab.o1[Wr2])),"")</f>
        <v/>
      </c>
      <c r="AE100" s="128" t="str">
        <f>IF(Tab.o1[[#This Row],[a1]]=1,[1]!T.in.A[[#This Row],[oo10]],"")</f>
        <v/>
      </c>
      <c r="AF100" s="118" t="str">
        <f>IF(Tab.o1[[#This Row],[a1]]=1,ABS(Tab.o1[[#This Row],[DIF_Target.]]*Tab.o1[[#This Row],[PDF2]]*Tab.o1[[#This Row],[IN]]),"")</f>
        <v/>
      </c>
      <c r="AG100" s="129" t="str">
        <f>IF(Tab.o1[[#This Row],[a1]]=1,Tab.o1[[#This Row],[rW]]^2,"")</f>
        <v/>
      </c>
      <c r="AH100" s="130" t="str">
        <f>IF(Tab.o1[[#This Row],[a1]]=1,IF(AH$3=0,Tab.o1[[#This Row],[rW2]],0.01+0.94*Tab.o1[[#This Row],[rW2]]/SUM(Tab.o1[rW2])),"")</f>
        <v/>
      </c>
      <c r="AI100" s="128" t="str">
        <f>IF(Tab.o1[[#This Row],[a1]]=1,1/Tab.o1[[#This Row],[PDF]],"")</f>
        <v/>
      </c>
      <c r="AJ100" s="131" t="str">
        <f>IF(Tab.o1[[#This Row],[a1]]=1,[1]!T_AA[[#This Row],[IN'']]*[1]!T_AA[[#This Row],[Qde'']],"")</f>
        <v/>
      </c>
      <c r="AK100" s="132" t="str">
        <f>IF(Tab.o1[[#This Row],[a1]]=1,IF(AK$1=1,Tab.o1[[#This Row],[MED]]+Tab.o1[[#This Row],[MOD]]-Tab.o1[[#This Row],[MED]],""),"")</f>
        <v/>
      </c>
      <c r="AL100" s="133" t="str">
        <f>IF(Tab.o1[[#This Row],[a1]]=1,[1]!T.in.A[[#This Row],[oo16]],"")</f>
        <v/>
      </c>
      <c r="AM100" s="133" t="str">
        <f>IF(Tab.o1[[#This Row],[a1]]=1,IF(AM$3=1,[1]!T.in.A[[#This Row],[Σo16]],""),"")</f>
        <v/>
      </c>
      <c r="AN100" s="126" t="str">
        <f>IF(Tab.o1[[#This Row],[a1]]=1,[1]!T.in.A[[#This Row],[Σp5]],"")</f>
        <v/>
      </c>
      <c r="AO100" s="126" t="str">
        <f>IF(Tab.o1[[#This Row],[a1]]=1,IF(AO$3=1,[1]!T.in.A[[#This Row],[Σp5]],""),"")</f>
        <v/>
      </c>
      <c r="AP100" s="110" t="str">
        <f>IF(Tab.o1[[#This Row],[a1]]=1,IF(ISNUMBER(Tab.o1[[#This Row],[i.]]),NORMDIST(Tab.o1[[#This Row],[Za]],0,1,FALSE)*Tab.o1[[#This Row],[i.]],0),"")</f>
        <v/>
      </c>
      <c r="AQ100" s="125" t="str">
        <f>IF(Tab.o1[[#This Row],[a1]]=1,ABS(Tab.o1[[#This Row],[MOD]]-AVERAGE(Tab.o1[MOD])),"")</f>
        <v/>
      </c>
      <c r="AR100" s="134" t="str">
        <f>IF(Tab.o1[[#This Row],[a1]]=1,Tab.o1[[#This Row],[OBS]]/SUM(Tab.o1[OBS]),"")</f>
        <v/>
      </c>
      <c r="AS100" s="135" t="str">
        <f>IF(ISNUMBER(Tab.o1[[#This Row],[a1]]),ROW()-4,"")</f>
        <v/>
      </c>
      <c r="AT100" s="136" t="str">
        <f>Tab.o1[[#This Row],[MOD]]</f>
        <v/>
      </c>
      <c r="AU100" s="137" t="str">
        <f t="shared" si="5"/>
        <v/>
      </c>
      <c r="AV100" s="138" t="str">
        <f t="shared" si="6"/>
        <v/>
      </c>
      <c r="AW100" s="138" t="str">
        <f t="shared" si="7"/>
        <v/>
      </c>
      <c r="AX100" s="139" t="str">
        <f>[1]!T.in.A[[#This Row],[ID_T_manu]]</f>
        <v/>
      </c>
      <c r="AY100" s="140" t="str">
        <f>IF(ISNUMBER(Tab.o1[[#This Row],[a1]]),IF(AND(Tab.o1[[#This Row],[a1]]=1,Tab.o1[[#This Row],[b1]]&lt;=AY$4),#REF!,AY99),"")</f>
        <v/>
      </c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</row>
    <row r="101" spans="1:79" ht="14.25" hidden="1" customHeight="1">
      <c r="A101" s="109">
        <v>8.0000000000000013E-6</v>
      </c>
      <c r="B101" s="110">
        <f t="shared" si="4"/>
        <v>101</v>
      </c>
      <c r="C101" s="111" t="str">
        <f>IF(C$1=[1]!T.in.A[[#This Row],[oo2]],1,"")</f>
        <v/>
      </c>
      <c r="D101" s="112" t="str">
        <f>IF(Tab.o1[[#This Row],[a1]]=1,IF(SUM(C101:C102)=0,0,IF(SUM(C100:C101)=1,1,IF(SUM(C100:C102)&gt;1,D100+1,0))),"")</f>
        <v/>
      </c>
      <c r="E101" s="113" t="str">
        <f>IF(Tab.o1[[#This Row],[a1]]=1,[1]!T.in.A[[#This Row],[oo1]],"")</f>
        <v/>
      </c>
      <c r="F101" s="113" t="str">
        <f>IF(Tab.o1[[#This Row],[a1]]=1,[1]!T.in.A[[#This Row],[pp1]],"")</f>
        <v/>
      </c>
      <c r="G101" s="114" t="str">
        <f>IF(Tab.o1[[#This Row],[a1]]=1,G$2+IF(G$1=1,0,Tab.o1[[#This Row],[.x1]])+[1]!T.in.A[[#This Row],[oo3]],"")</f>
        <v/>
      </c>
      <c r="H101" s="115" t="str">
        <f>IF(Tab.o1[[#This Row],[a1]]=1,IF(H$2=0,0,IF(G$1=1,0,Tab.o1[[#This Row],[.x1]])+[1]!T.in.A[[#This Row],[oo4]]),"")</f>
        <v/>
      </c>
      <c r="I101" s="116" t="str">
        <f>IF(Tab.o1[[#This Row],[a1]]=1,IF(J$2=0,Tab.o1[[#This Row],[MED]],Tab.o1[[#This Row],[MOD]]),"")</f>
        <v/>
      </c>
      <c r="J101" s="116" t="str">
        <f>IF(Tab.o1[[#This Row],[a1]]=1,((Tab.o1[[#This Row],[DIF_Target.]]-AVERAGE(Tab.o1[DIF_Target.]))/_xlfn.STDEV.P(Tab.o1[DIF_Target.])),"")</f>
        <v/>
      </c>
      <c r="K101" s="117" t="str">
        <f>IF(Tab.o1[[#This Row],[a1]]=1,IF(J$2=0,Tab.o1[[#This Row],[MOD]]-Tab.o1[[#This Row],[B]],IF(J$2=1,0,-Tab.o1[[#This Row],[MED]])+Tab.o1[[#This Row],[B]]),"")</f>
        <v/>
      </c>
      <c r="L101" s="117" t="str">
        <f ca="1">IF(Tab.o1[[#This Row],[DIF_Target]]=0,IF(L$2=0,Tab.o1[[#This Row],[DIF_Target]],AVERAGE(OFFSET(Tab.o1[[#This Row],[DIF_Target]],1,0,L$3,1)))/3,Tab.o1[[#This Row],[DIF_Target]])</f>
        <v/>
      </c>
      <c r="M101" s="118" t="str">
        <f>IF(Tab.o1[[#This Row],[a1]]=1,NORMSDIST(Tab.o1[[#This Row],[Za]]),"")</f>
        <v/>
      </c>
      <c r="N101" s="119" t="str">
        <f>IF(Tab.o1[[#This Row],[a1]]=1,((Tab.o1[[#This Row],[MedMod]]-AVERAGE(Tab.o1[MedMod]))/_xlfn.STDEV.P(Tab.o1[MedMod])*H$1205)+G$1205,"")</f>
        <v/>
      </c>
      <c r="O101" s="141" t="str">
        <f>IF(Tab.o1[[#This Row],[a1]]=1,Tab.o1[[#This Row],[Zb]]*_xlfn.STDEV.P(Tab.o1[MedMod])+AVERAGE(Tab.o1[MedMod]),"")</f>
        <v/>
      </c>
      <c r="P101" s="117" t="str">
        <f ca="1">IF(Tab.o1[[#This Row],[B]]=0,AVERAGE(OFFSET(Tab.o1[[#This Row],[B]],1,0,L$3,1)),Tab.o1[[#This Row],[B]])</f>
        <v/>
      </c>
      <c r="Q101" s="121" t="str">
        <f>IF(Tab.o1[[#This Row],[a1]]=1,NORMSDIST(Tab.o1[[#This Row],[Zb]]),"")</f>
        <v/>
      </c>
      <c r="R101" s="122" t="str">
        <f>IF(Tab.o1[[#This Row],[a1]]=1,((Tab.o1[[#This Row],[MedMod]]-AVERAGE(Tab.o1[MedMod]))/_xlfn.STDEV.P(Tab.o1[MedMod])*H$1203)+G$1203,"")</f>
        <v/>
      </c>
      <c r="S101" s="122" t="str">
        <f>IF(Tab.o1[[#This Row],[a1]]=1,((Tab.o1[[#This Row],[MedMod]]-AVERAGE(Tab.o1[MedMod]))/_xlfn.STDEV.P(Tab.o1[MedMod])*H$1204)+G$1204,"")</f>
        <v/>
      </c>
      <c r="T101" s="123" t="str">
        <f>IF(Tab.o1[[#This Row],[a1]]=1,Tab.o1[[#This Row],[Z-]]*_xlfn.STDEV.P(Tab.o1[B])+AVERAGE(Tab.o1[B]),"")</f>
        <v/>
      </c>
      <c r="U101" s="123" t="str">
        <f>IF(Tab.o1[[#This Row],[a1]]=1,Tab.o1[[#This Row],[z+]]*_xlfn.STDEV.P(Tab.o1[B])+AVERAGE(Tab.o1[B]),"")</f>
        <v/>
      </c>
      <c r="V101" s="124" t="str">
        <f>IF(Tab.o1[[#This Row],[a1]]=1,ABS((ABS(Tab.o1[[#This Row],[Red]]-Tab.o1[[#This Row],[Blue]]))),"")</f>
        <v/>
      </c>
      <c r="W101" s="125" t="str">
        <f>IF(Tab.o1[[#This Row],[a1]]=1,IF(W$3=0,1,Tab.o1[[#This Row],[Amp.]]*1/_xlfn.MINIFS(Tab.o1[Amp.],Tab.o1[Amp.],"&lt;&gt;0")),"")</f>
        <v/>
      </c>
      <c r="X101" s="126" t="str">
        <f>IF(Tab.o1[[#This Row],[a1]]=1,IF(ISNUMBER(Tab.o1[[#This Row],[i.]]),NORMDIST(Tab.o1[[#This Row],[Za]],0,1,FALSE)*Tab.o1[[#This Row],[i.]],AP$3),"")</f>
        <v/>
      </c>
      <c r="Y101" s="126" t="str">
        <f>IF(Tab.o1[[#This Row],[a1]]=1,0.01+0.94*Tab.o1[[#This Row],[PDF]]/MAX(Tab.o1[PDF]),"")</f>
        <v/>
      </c>
      <c r="Z101" s="126" t="str">
        <f>IF(Tab.o1[[#This Row],[a1]]=1,0.01+0.94*Tab.o1[[#This Row],[W1_PDF]]/MAX(Tab.o1[W1_PDF]),"")</f>
        <v/>
      </c>
      <c r="AA101" s="118" t="str">
        <f>IF(Tab.o1[[#This Row],[a1]]=1,ABS([1]!T.in.A[[#This Row],[oo6]]),"")</f>
        <v/>
      </c>
      <c r="AB101" s="127" t="str">
        <f>IF(Tab.o1[[#This Row],[a1]]=1,IF(AE$3=0,"",IF(AB$3=0,ABS([1]!T.in.A[[#This Row],[oo9]]),ABS(Tab.o1[[#This Row],[DIF_Target.]]*Tab.o1[[#This Row],[W1_PDF]]))),"")</f>
        <v/>
      </c>
      <c r="AC101" s="127" t="str">
        <f>IF(G$1=1,"",IF(Tab.o1[[#This Row],[a1]]=1,Tab.o1[[#This Row],[Wr]]^2,""))</f>
        <v/>
      </c>
      <c r="AD101" s="118" t="str">
        <f>IF(Tab.o1[[#This Row],[a1]]=1,IF(AE$3=0,"",Tab.o1[[#This Row],[Wr2]]/SUM(Tab.o1[Wr2])),"")</f>
        <v/>
      </c>
      <c r="AE101" s="128" t="str">
        <f>IF(Tab.o1[[#This Row],[a1]]=1,[1]!T.in.A[[#This Row],[oo10]],"")</f>
        <v/>
      </c>
      <c r="AF101" s="118" t="str">
        <f>IF(Tab.o1[[#This Row],[a1]]=1,ABS(Tab.o1[[#This Row],[DIF_Target.]]*Tab.o1[[#This Row],[PDF2]]*Tab.o1[[#This Row],[IN]]),"")</f>
        <v/>
      </c>
      <c r="AG101" s="129" t="str">
        <f>IF(Tab.o1[[#This Row],[a1]]=1,Tab.o1[[#This Row],[rW]]^2,"")</f>
        <v/>
      </c>
      <c r="AH101" s="130" t="str">
        <f>IF(Tab.o1[[#This Row],[a1]]=1,IF(AH$3=0,Tab.o1[[#This Row],[rW2]],0.01+0.94*Tab.o1[[#This Row],[rW2]]/SUM(Tab.o1[rW2])),"")</f>
        <v/>
      </c>
      <c r="AI101" s="128" t="str">
        <f>IF(Tab.o1[[#This Row],[a1]]=1,1/Tab.o1[[#This Row],[PDF]],"")</f>
        <v/>
      </c>
      <c r="AJ101" s="131" t="str">
        <f>IF(Tab.o1[[#This Row],[a1]]=1,[1]!T_AA[[#This Row],[IN'']]*[1]!T_AA[[#This Row],[Qde'']],"")</f>
        <v/>
      </c>
      <c r="AK101" s="132" t="str">
        <f>IF(Tab.o1[[#This Row],[a1]]=1,IF(AK$1=1,Tab.o1[[#This Row],[MED]]+Tab.o1[[#This Row],[MOD]]-Tab.o1[[#This Row],[MED]],""),"")</f>
        <v/>
      </c>
      <c r="AL101" s="133" t="str">
        <f>IF(Tab.o1[[#This Row],[a1]]=1,[1]!T.in.A[[#This Row],[oo16]],"")</f>
        <v/>
      </c>
      <c r="AM101" s="133" t="str">
        <f>IF(Tab.o1[[#This Row],[a1]]=1,IF(AM$3=1,[1]!T.in.A[[#This Row],[Σo16]],""),"")</f>
        <v/>
      </c>
      <c r="AN101" s="126" t="str">
        <f>IF(Tab.o1[[#This Row],[a1]]=1,[1]!T.in.A[[#This Row],[Σp5]],"")</f>
        <v/>
      </c>
      <c r="AO101" s="126" t="str">
        <f>IF(Tab.o1[[#This Row],[a1]]=1,IF(AO$3=1,[1]!T.in.A[[#This Row],[Σp5]],""),"")</f>
        <v/>
      </c>
      <c r="AP101" s="110" t="str">
        <f>IF(Tab.o1[[#This Row],[a1]]=1,IF(ISNUMBER(Tab.o1[[#This Row],[i.]]),NORMDIST(Tab.o1[[#This Row],[Za]],0,1,FALSE)*Tab.o1[[#This Row],[i.]],0),"")</f>
        <v/>
      </c>
      <c r="AQ101" s="125" t="str">
        <f>IF(Tab.o1[[#This Row],[a1]]=1,ABS(Tab.o1[[#This Row],[MOD]]-AVERAGE(Tab.o1[MOD])),"")</f>
        <v/>
      </c>
      <c r="AR101" s="134" t="str">
        <f>IF(Tab.o1[[#This Row],[a1]]=1,Tab.o1[[#This Row],[OBS]]/SUM(Tab.o1[OBS]),"")</f>
        <v/>
      </c>
      <c r="AS101" s="135" t="str">
        <f>IF(ISNUMBER(Tab.o1[[#This Row],[a1]]),ROW()-4,"")</f>
        <v/>
      </c>
      <c r="AT101" s="136" t="str">
        <f>Tab.o1[[#This Row],[MOD]]</f>
        <v/>
      </c>
      <c r="AU101" s="137" t="str">
        <f t="shared" si="5"/>
        <v/>
      </c>
      <c r="AV101" s="138" t="str">
        <f t="shared" si="6"/>
        <v/>
      </c>
      <c r="AW101" s="138" t="str">
        <f t="shared" si="7"/>
        <v/>
      </c>
      <c r="AX101" s="139" t="str">
        <f>[1]!T.in.A[[#This Row],[ID_T_manu]]</f>
        <v/>
      </c>
      <c r="AY101" s="140" t="str">
        <f>IF(ISNUMBER(Tab.o1[[#This Row],[a1]]),IF(AND(Tab.o1[[#This Row],[a1]]=1,Tab.o1[[#This Row],[b1]]&lt;=AY$4),#REF!,AY100),"")</f>
        <v/>
      </c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</row>
    <row r="102" spans="1:79" ht="14.25" hidden="1" customHeight="1">
      <c r="A102" s="109">
        <v>1.0000000000000002E-6</v>
      </c>
      <c r="B102" s="110">
        <f t="shared" si="4"/>
        <v>102</v>
      </c>
      <c r="C102" s="111" t="str">
        <f>IF(C$1=[1]!T.in.A[[#This Row],[oo2]],1,"")</f>
        <v/>
      </c>
      <c r="D102" s="112" t="str">
        <f>IF(Tab.o1[[#This Row],[a1]]=1,IF(SUM(C102:C103)=0,0,IF(SUM(C101:C102)=1,1,IF(SUM(C101:C103)&gt;1,D101+1,0))),"")</f>
        <v/>
      </c>
      <c r="E102" s="113" t="str">
        <f>IF(Tab.o1[[#This Row],[a1]]=1,[1]!T.in.A[[#This Row],[oo1]],"")</f>
        <v/>
      </c>
      <c r="F102" s="113" t="str">
        <f>IF(Tab.o1[[#This Row],[a1]]=1,[1]!T.in.A[[#This Row],[pp1]],"")</f>
        <v/>
      </c>
      <c r="G102" s="114" t="str">
        <f>IF(Tab.o1[[#This Row],[a1]]=1,G$2+IF(G$1=1,0,Tab.o1[[#This Row],[.x1]])+[1]!T.in.A[[#This Row],[oo3]],"")</f>
        <v/>
      </c>
      <c r="H102" s="115" t="str">
        <f>IF(Tab.o1[[#This Row],[a1]]=1,IF(H$2=0,0,IF(G$1=1,0,Tab.o1[[#This Row],[.x1]])+[1]!T.in.A[[#This Row],[oo4]]),"")</f>
        <v/>
      </c>
      <c r="I102" s="116" t="str">
        <f>IF(Tab.o1[[#This Row],[a1]]=1,IF(J$2=0,Tab.o1[[#This Row],[MED]],Tab.o1[[#This Row],[MOD]]),"")</f>
        <v/>
      </c>
      <c r="J102" s="116" t="str">
        <f>IF(Tab.o1[[#This Row],[a1]]=1,((Tab.o1[[#This Row],[DIF_Target.]]-AVERAGE(Tab.o1[DIF_Target.]))/_xlfn.STDEV.P(Tab.o1[DIF_Target.])),"")</f>
        <v/>
      </c>
      <c r="K102" s="117" t="str">
        <f>IF(Tab.o1[[#This Row],[a1]]=1,IF(J$2=0,Tab.o1[[#This Row],[MOD]]-Tab.o1[[#This Row],[B]],IF(J$2=1,0,-Tab.o1[[#This Row],[MED]])+Tab.o1[[#This Row],[B]]),"")</f>
        <v/>
      </c>
      <c r="L102" s="117" t="str">
        <f ca="1">IF(Tab.o1[[#This Row],[DIF_Target]]=0,IF(L$2=0,Tab.o1[[#This Row],[DIF_Target]],AVERAGE(OFFSET(Tab.o1[[#This Row],[DIF_Target]],1,0,L$3,1)))/3,Tab.o1[[#This Row],[DIF_Target]])</f>
        <v/>
      </c>
      <c r="M102" s="118" t="str">
        <f>IF(Tab.o1[[#This Row],[a1]]=1,NORMSDIST(Tab.o1[[#This Row],[Za]]),"")</f>
        <v/>
      </c>
      <c r="N102" s="119" t="str">
        <f>IF(Tab.o1[[#This Row],[a1]]=1,((Tab.o1[[#This Row],[MedMod]]-AVERAGE(Tab.o1[MedMod]))/_xlfn.STDEV.P(Tab.o1[MedMod])*H$1205)+G$1205,"")</f>
        <v/>
      </c>
      <c r="O102" s="141" t="str">
        <f>IF(Tab.o1[[#This Row],[a1]]=1,Tab.o1[[#This Row],[Zb]]*_xlfn.STDEV.P(Tab.o1[MedMod])+AVERAGE(Tab.o1[MedMod]),"")</f>
        <v/>
      </c>
      <c r="P102" s="117" t="str">
        <f ca="1">IF(Tab.o1[[#This Row],[B]]=0,AVERAGE(OFFSET(Tab.o1[[#This Row],[B]],1,0,L$3,1)),Tab.o1[[#This Row],[B]])</f>
        <v/>
      </c>
      <c r="Q102" s="121" t="str">
        <f>IF(Tab.o1[[#This Row],[a1]]=1,NORMSDIST(Tab.o1[[#This Row],[Zb]]),"")</f>
        <v/>
      </c>
      <c r="R102" s="122" t="str">
        <f>IF(Tab.o1[[#This Row],[a1]]=1,((Tab.o1[[#This Row],[MedMod]]-AVERAGE(Tab.o1[MedMod]))/_xlfn.STDEV.P(Tab.o1[MedMod])*H$1203)+G$1203,"")</f>
        <v/>
      </c>
      <c r="S102" s="122" t="str">
        <f>IF(Tab.o1[[#This Row],[a1]]=1,((Tab.o1[[#This Row],[MedMod]]-AVERAGE(Tab.o1[MedMod]))/_xlfn.STDEV.P(Tab.o1[MedMod])*H$1204)+G$1204,"")</f>
        <v/>
      </c>
      <c r="T102" s="123" t="str">
        <f>IF(Tab.o1[[#This Row],[a1]]=1,Tab.o1[[#This Row],[Z-]]*_xlfn.STDEV.P(Tab.o1[B])+AVERAGE(Tab.o1[B]),"")</f>
        <v/>
      </c>
      <c r="U102" s="123" t="str">
        <f>IF(Tab.o1[[#This Row],[a1]]=1,Tab.o1[[#This Row],[z+]]*_xlfn.STDEV.P(Tab.o1[B])+AVERAGE(Tab.o1[B]),"")</f>
        <v/>
      </c>
      <c r="V102" s="124" t="str">
        <f>IF(Tab.o1[[#This Row],[a1]]=1,ABS((ABS(Tab.o1[[#This Row],[Red]]-Tab.o1[[#This Row],[Blue]]))),"")</f>
        <v/>
      </c>
      <c r="W102" s="125" t="str">
        <f>IF(Tab.o1[[#This Row],[a1]]=1,IF(W$3=0,1,Tab.o1[[#This Row],[Amp.]]*1/_xlfn.MINIFS(Tab.o1[Amp.],Tab.o1[Amp.],"&lt;&gt;0")),"")</f>
        <v/>
      </c>
      <c r="X102" s="126" t="str">
        <f>IF(Tab.o1[[#This Row],[a1]]=1,IF(ISNUMBER(Tab.o1[[#This Row],[i.]]),NORMDIST(Tab.o1[[#This Row],[Za]],0,1,FALSE)*Tab.o1[[#This Row],[i.]],AP$3),"")</f>
        <v/>
      </c>
      <c r="Y102" s="126" t="str">
        <f>IF(Tab.o1[[#This Row],[a1]]=1,0.01+0.94*Tab.o1[[#This Row],[PDF]]/MAX(Tab.o1[PDF]),"")</f>
        <v/>
      </c>
      <c r="Z102" s="126" t="str">
        <f>IF(Tab.o1[[#This Row],[a1]]=1,0.01+0.94*Tab.o1[[#This Row],[W1_PDF]]/MAX(Tab.o1[W1_PDF]),"")</f>
        <v/>
      </c>
      <c r="AA102" s="118" t="str">
        <f>IF(Tab.o1[[#This Row],[a1]]=1,ABS([1]!T.in.A[[#This Row],[oo6]]),"")</f>
        <v/>
      </c>
      <c r="AB102" s="127" t="str">
        <f>IF(Tab.o1[[#This Row],[a1]]=1,IF(AE$3=0,"",IF(AB$3=0,ABS([1]!T.in.A[[#This Row],[oo9]]),ABS(Tab.o1[[#This Row],[DIF_Target.]]*Tab.o1[[#This Row],[W1_PDF]]))),"")</f>
        <v/>
      </c>
      <c r="AC102" s="127" t="str">
        <f>IF(G$1=1,"",IF(Tab.o1[[#This Row],[a1]]=1,Tab.o1[[#This Row],[Wr]]^2,""))</f>
        <v/>
      </c>
      <c r="AD102" s="118" t="str">
        <f>IF(Tab.o1[[#This Row],[a1]]=1,IF(AE$3=0,"",Tab.o1[[#This Row],[Wr2]]/SUM(Tab.o1[Wr2])),"")</f>
        <v/>
      </c>
      <c r="AE102" s="128" t="str">
        <f>IF(Tab.o1[[#This Row],[a1]]=1,[1]!T.in.A[[#This Row],[oo10]],"")</f>
        <v/>
      </c>
      <c r="AF102" s="118" t="str">
        <f>IF(Tab.o1[[#This Row],[a1]]=1,ABS(Tab.o1[[#This Row],[DIF_Target.]]*Tab.o1[[#This Row],[PDF2]]*Tab.o1[[#This Row],[IN]]),"")</f>
        <v/>
      </c>
      <c r="AG102" s="129" t="str">
        <f>IF(Tab.o1[[#This Row],[a1]]=1,Tab.o1[[#This Row],[rW]]^2,"")</f>
        <v/>
      </c>
      <c r="AH102" s="130" t="str">
        <f>IF(Tab.o1[[#This Row],[a1]]=1,IF(AH$3=0,Tab.o1[[#This Row],[rW2]],0.01+0.94*Tab.o1[[#This Row],[rW2]]/SUM(Tab.o1[rW2])),"")</f>
        <v/>
      </c>
      <c r="AI102" s="128" t="str">
        <f>IF(Tab.o1[[#This Row],[a1]]=1,1/Tab.o1[[#This Row],[PDF]],"")</f>
        <v/>
      </c>
      <c r="AJ102" s="131" t="str">
        <f>IF(Tab.o1[[#This Row],[a1]]=1,[1]!T_AA[[#This Row],[IN'']]*[1]!T_AA[[#This Row],[Qde'']],"")</f>
        <v/>
      </c>
      <c r="AK102" s="132" t="str">
        <f>IF(Tab.o1[[#This Row],[a1]]=1,IF(AK$1=1,Tab.o1[[#This Row],[MED]]+Tab.o1[[#This Row],[MOD]]-Tab.o1[[#This Row],[MED]],""),"")</f>
        <v/>
      </c>
      <c r="AL102" s="133" t="str">
        <f>IF(Tab.o1[[#This Row],[a1]]=1,[1]!T.in.A[[#This Row],[oo16]],"")</f>
        <v/>
      </c>
      <c r="AM102" s="133" t="str">
        <f>IF(Tab.o1[[#This Row],[a1]]=1,IF(AM$3=1,[1]!T.in.A[[#This Row],[Σo16]],""),"")</f>
        <v/>
      </c>
      <c r="AN102" s="126" t="str">
        <f>IF(Tab.o1[[#This Row],[a1]]=1,[1]!T.in.A[[#This Row],[Σp5]],"")</f>
        <v/>
      </c>
      <c r="AO102" s="126" t="str">
        <f>IF(Tab.o1[[#This Row],[a1]]=1,IF(AO$3=1,[1]!T.in.A[[#This Row],[Σp5]],""),"")</f>
        <v/>
      </c>
      <c r="AP102" s="110" t="str">
        <f>IF(Tab.o1[[#This Row],[a1]]=1,IF(ISNUMBER(Tab.o1[[#This Row],[i.]]),NORMDIST(Tab.o1[[#This Row],[Za]],0,1,FALSE)*Tab.o1[[#This Row],[i.]],0),"")</f>
        <v/>
      </c>
      <c r="AQ102" s="125" t="str">
        <f>IF(Tab.o1[[#This Row],[a1]]=1,ABS(Tab.o1[[#This Row],[MOD]]-AVERAGE(Tab.o1[MOD])),"")</f>
        <v/>
      </c>
      <c r="AR102" s="134" t="str">
        <f>IF(Tab.o1[[#This Row],[a1]]=1,Tab.o1[[#This Row],[OBS]]/SUM(Tab.o1[OBS]),"")</f>
        <v/>
      </c>
      <c r="AS102" s="135" t="str">
        <f>IF(ISNUMBER(Tab.o1[[#This Row],[a1]]),ROW()-4,"")</f>
        <v/>
      </c>
      <c r="AT102" s="136" t="str">
        <f>Tab.o1[[#This Row],[MOD]]</f>
        <v/>
      </c>
      <c r="AU102" s="137" t="str">
        <f t="shared" si="5"/>
        <v/>
      </c>
      <c r="AV102" s="138" t="str">
        <f t="shared" si="6"/>
        <v/>
      </c>
      <c r="AW102" s="138" t="str">
        <f t="shared" si="7"/>
        <v/>
      </c>
      <c r="AX102" s="139" t="str">
        <f>[1]!T.in.A[[#This Row],[ID_T_manu]]</f>
        <v/>
      </c>
      <c r="AY102" s="140" t="str">
        <f>IF(ISNUMBER(Tab.o1[[#This Row],[a1]]),IF(AND(Tab.o1[[#This Row],[a1]]=1,Tab.o1[[#This Row],[b1]]&lt;=AY$4),#REF!,AY101),"")</f>
        <v/>
      </c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</row>
    <row r="103" spans="1:79" ht="14.25" hidden="1" customHeight="1">
      <c r="A103" s="109">
        <v>1.0000000000000002E-6</v>
      </c>
      <c r="B103" s="110">
        <f t="shared" si="4"/>
        <v>103</v>
      </c>
      <c r="C103" s="111" t="str">
        <f>IF(C$1=[1]!T.in.A[[#This Row],[oo2]],1,"")</f>
        <v/>
      </c>
      <c r="D103" s="112" t="str">
        <f>IF(Tab.o1[[#This Row],[a1]]=1,IF(SUM(C103:C104)=0,0,IF(SUM(C102:C103)=1,1,IF(SUM(C102:C104)&gt;1,D102+1,0))),"")</f>
        <v/>
      </c>
      <c r="E103" s="113" t="str">
        <f>IF(Tab.o1[[#This Row],[a1]]=1,[1]!T.in.A[[#This Row],[oo1]],"")</f>
        <v/>
      </c>
      <c r="F103" s="113" t="str">
        <f>IF(Tab.o1[[#This Row],[a1]]=1,[1]!T.in.A[[#This Row],[pp1]],"")</f>
        <v/>
      </c>
      <c r="G103" s="114" t="str">
        <f>IF(Tab.o1[[#This Row],[a1]]=1,G$2+IF(G$1=1,0,Tab.o1[[#This Row],[.x1]])+[1]!T.in.A[[#This Row],[oo3]],"")</f>
        <v/>
      </c>
      <c r="H103" s="115" t="str">
        <f>IF(Tab.o1[[#This Row],[a1]]=1,IF(H$2=0,0,IF(G$1=1,0,Tab.o1[[#This Row],[.x1]])+[1]!T.in.A[[#This Row],[oo4]]),"")</f>
        <v/>
      </c>
      <c r="I103" s="116" t="str">
        <f>IF(Tab.o1[[#This Row],[a1]]=1,IF(J$2=0,Tab.o1[[#This Row],[MED]],Tab.o1[[#This Row],[MOD]]),"")</f>
        <v/>
      </c>
      <c r="J103" s="116" t="str">
        <f>IF(Tab.o1[[#This Row],[a1]]=1,((Tab.o1[[#This Row],[DIF_Target.]]-AVERAGE(Tab.o1[DIF_Target.]))/_xlfn.STDEV.P(Tab.o1[DIF_Target.])),"")</f>
        <v/>
      </c>
      <c r="K103" s="117" t="str">
        <f>IF(Tab.o1[[#This Row],[a1]]=1,IF(J$2=0,Tab.o1[[#This Row],[MOD]]-Tab.o1[[#This Row],[B]],IF(J$2=1,0,-Tab.o1[[#This Row],[MED]])+Tab.o1[[#This Row],[B]]),"")</f>
        <v/>
      </c>
      <c r="L103" s="117" t="str">
        <f ca="1">IF(Tab.o1[[#This Row],[DIF_Target]]=0,IF(L$2=0,Tab.o1[[#This Row],[DIF_Target]],AVERAGE(OFFSET(Tab.o1[[#This Row],[DIF_Target]],1,0,L$3,1)))/3,Tab.o1[[#This Row],[DIF_Target]])</f>
        <v/>
      </c>
      <c r="M103" s="118" t="str">
        <f>IF(Tab.o1[[#This Row],[a1]]=1,NORMSDIST(Tab.o1[[#This Row],[Za]]),"")</f>
        <v/>
      </c>
      <c r="N103" s="119" t="str">
        <f>IF(Tab.o1[[#This Row],[a1]]=1,((Tab.o1[[#This Row],[MedMod]]-AVERAGE(Tab.o1[MedMod]))/_xlfn.STDEV.P(Tab.o1[MedMod])*H$1205)+G$1205,"")</f>
        <v/>
      </c>
      <c r="O103" s="141" t="str">
        <f>IF(Tab.o1[[#This Row],[a1]]=1,Tab.o1[[#This Row],[Zb]]*_xlfn.STDEV.P(Tab.o1[MedMod])+AVERAGE(Tab.o1[MedMod]),"")</f>
        <v/>
      </c>
      <c r="P103" s="117" t="str">
        <f ca="1">IF(Tab.o1[[#This Row],[B]]=0,AVERAGE(OFFSET(Tab.o1[[#This Row],[B]],1,0,L$3,1)),Tab.o1[[#This Row],[B]])</f>
        <v/>
      </c>
      <c r="Q103" s="121" t="str">
        <f>IF(Tab.o1[[#This Row],[a1]]=1,NORMSDIST(Tab.o1[[#This Row],[Zb]]),"")</f>
        <v/>
      </c>
      <c r="R103" s="122" t="str">
        <f>IF(Tab.o1[[#This Row],[a1]]=1,((Tab.o1[[#This Row],[MedMod]]-AVERAGE(Tab.o1[MedMod]))/_xlfn.STDEV.P(Tab.o1[MedMod])*H$1203)+G$1203,"")</f>
        <v/>
      </c>
      <c r="S103" s="122" t="str">
        <f>IF(Tab.o1[[#This Row],[a1]]=1,((Tab.o1[[#This Row],[MedMod]]-AVERAGE(Tab.o1[MedMod]))/_xlfn.STDEV.P(Tab.o1[MedMod])*H$1204)+G$1204,"")</f>
        <v/>
      </c>
      <c r="T103" s="123" t="str">
        <f>IF(Tab.o1[[#This Row],[a1]]=1,Tab.o1[[#This Row],[Z-]]*_xlfn.STDEV.P(Tab.o1[B])+AVERAGE(Tab.o1[B]),"")</f>
        <v/>
      </c>
      <c r="U103" s="123" t="str">
        <f>IF(Tab.o1[[#This Row],[a1]]=1,Tab.o1[[#This Row],[z+]]*_xlfn.STDEV.P(Tab.o1[B])+AVERAGE(Tab.o1[B]),"")</f>
        <v/>
      </c>
      <c r="V103" s="124" t="str">
        <f>IF(Tab.o1[[#This Row],[a1]]=1,ABS((ABS(Tab.o1[[#This Row],[Red]]-Tab.o1[[#This Row],[Blue]]))),"")</f>
        <v/>
      </c>
      <c r="W103" s="125" t="str">
        <f>IF(Tab.o1[[#This Row],[a1]]=1,IF(W$3=0,1,Tab.o1[[#This Row],[Amp.]]*1/_xlfn.MINIFS(Tab.o1[Amp.],Tab.o1[Amp.],"&lt;&gt;0")),"")</f>
        <v/>
      </c>
      <c r="X103" s="126" t="str">
        <f>IF(Tab.o1[[#This Row],[a1]]=1,IF(ISNUMBER(Tab.o1[[#This Row],[i.]]),NORMDIST(Tab.o1[[#This Row],[Za]],0,1,FALSE)*Tab.o1[[#This Row],[i.]],AP$3),"")</f>
        <v/>
      </c>
      <c r="Y103" s="126" t="str">
        <f>IF(Tab.o1[[#This Row],[a1]]=1,0.01+0.94*Tab.o1[[#This Row],[PDF]]/MAX(Tab.o1[PDF]),"")</f>
        <v/>
      </c>
      <c r="Z103" s="126" t="str">
        <f>IF(Tab.o1[[#This Row],[a1]]=1,0.01+0.94*Tab.o1[[#This Row],[W1_PDF]]/MAX(Tab.o1[W1_PDF]),"")</f>
        <v/>
      </c>
      <c r="AA103" s="118" t="str">
        <f>IF(Tab.o1[[#This Row],[a1]]=1,ABS([1]!T.in.A[[#This Row],[oo6]]),"")</f>
        <v/>
      </c>
      <c r="AB103" s="127" t="str">
        <f>IF(Tab.o1[[#This Row],[a1]]=1,IF(AE$3=0,"",IF(AB$3=0,ABS([1]!T.in.A[[#This Row],[oo9]]),ABS(Tab.o1[[#This Row],[DIF_Target.]]*Tab.o1[[#This Row],[W1_PDF]]))),"")</f>
        <v/>
      </c>
      <c r="AC103" s="127" t="str">
        <f>IF(G$1=1,"",IF(Tab.o1[[#This Row],[a1]]=1,Tab.o1[[#This Row],[Wr]]^2,""))</f>
        <v/>
      </c>
      <c r="AD103" s="118" t="str">
        <f>IF(Tab.o1[[#This Row],[a1]]=1,IF(AE$3=0,"",Tab.o1[[#This Row],[Wr2]]/SUM(Tab.o1[Wr2])),"")</f>
        <v/>
      </c>
      <c r="AE103" s="128" t="str">
        <f>IF(Tab.o1[[#This Row],[a1]]=1,[1]!T.in.A[[#This Row],[oo10]],"")</f>
        <v/>
      </c>
      <c r="AF103" s="118" t="str">
        <f>IF(Tab.o1[[#This Row],[a1]]=1,ABS(Tab.o1[[#This Row],[DIF_Target.]]*Tab.o1[[#This Row],[PDF2]]*Tab.o1[[#This Row],[IN]]),"")</f>
        <v/>
      </c>
      <c r="AG103" s="129" t="str">
        <f>IF(Tab.o1[[#This Row],[a1]]=1,Tab.o1[[#This Row],[rW]]^2,"")</f>
        <v/>
      </c>
      <c r="AH103" s="130" t="str">
        <f>IF(Tab.o1[[#This Row],[a1]]=1,IF(AH$3=0,Tab.o1[[#This Row],[rW2]],0.01+0.94*Tab.o1[[#This Row],[rW2]]/SUM(Tab.o1[rW2])),"")</f>
        <v/>
      </c>
      <c r="AI103" s="128" t="str">
        <f>IF(Tab.o1[[#This Row],[a1]]=1,1/Tab.o1[[#This Row],[PDF]],"")</f>
        <v/>
      </c>
      <c r="AJ103" s="131" t="str">
        <f>IF(Tab.o1[[#This Row],[a1]]=1,[1]!T_AA[[#This Row],[IN'']]*[1]!T_AA[[#This Row],[Qde'']],"")</f>
        <v/>
      </c>
      <c r="AK103" s="132" t="str">
        <f>IF(Tab.o1[[#This Row],[a1]]=1,IF(AK$1=1,Tab.o1[[#This Row],[MED]]+Tab.o1[[#This Row],[MOD]]-Tab.o1[[#This Row],[MED]],""),"")</f>
        <v/>
      </c>
      <c r="AL103" s="133" t="str">
        <f>IF(Tab.o1[[#This Row],[a1]]=1,[1]!T.in.A[[#This Row],[oo16]],"")</f>
        <v/>
      </c>
      <c r="AM103" s="133" t="str">
        <f>IF(Tab.o1[[#This Row],[a1]]=1,IF(AM$3=1,[1]!T.in.A[[#This Row],[Σo16]],""),"")</f>
        <v/>
      </c>
      <c r="AN103" s="126" t="str">
        <f>IF(Tab.o1[[#This Row],[a1]]=1,[1]!T.in.A[[#This Row],[Σp5]],"")</f>
        <v/>
      </c>
      <c r="AO103" s="126" t="str">
        <f>IF(Tab.o1[[#This Row],[a1]]=1,IF(AO$3=1,[1]!T.in.A[[#This Row],[Σp5]],""),"")</f>
        <v/>
      </c>
      <c r="AP103" s="110" t="str">
        <f>IF(Tab.o1[[#This Row],[a1]]=1,IF(ISNUMBER(Tab.o1[[#This Row],[i.]]),NORMDIST(Tab.o1[[#This Row],[Za]],0,1,FALSE)*Tab.o1[[#This Row],[i.]],0),"")</f>
        <v/>
      </c>
      <c r="AQ103" s="125" t="str">
        <f>IF(Tab.o1[[#This Row],[a1]]=1,ABS(Tab.o1[[#This Row],[MOD]]-AVERAGE(Tab.o1[MOD])),"")</f>
        <v/>
      </c>
      <c r="AR103" s="134" t="str">
        <f>IF(Tab.o1[[#This Row],[a1]]=1,Tab.o1[[#This Row],[OBS]]/SUM(Tab.o1[OBS]),"")</f>
        <v/>
      </c>
      <c r="AS103" s="135" t="str">
        <f>IF(ISNUMBER(Tab.o1[[#This Row],[a1]]),ROW()-4,"")</f>
        <v/>
      </c>
      <c r="AT103" s="136" t="str">
        <f>Tab.o1[[#This Row],[MOD]]</f>
        <v/>
      </c>
      <c r="AU103" s="137" t="str">
        <f t="shared" si="5"/>
        <v/>
      </c>
      <c r="AV103" s="138" t="str">
        <f t="shared" si="6"/>
        <v/>
      </c>
      <c r="AW103" s="138" t="str">
        <f t="shared" si="7"/>
        <v/>
      </c>
      <c r="AX103" s="139" t="str">
        <f>[1]!T.in.A[[#This Row],[ID_T_manu]]</f>
        <v/>
      </c>
      <c r="AY103" s="140" t="str">
        <f>IF(ISNUMBER(Tab.o1[[#This Row],[a1]]),IF(AND(Tab.o1[[#This Row],[a1]]=1,Tab.o1[[#This Row],[b1]]&lt;=AY$4),#REF!,AY102),"")</f>
        <v/>
      </c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</row>
    <row r="104" spans="1:79" ht="14.25" hidden="1" customHeight="1">
      <c r="A104" s="109">
        <v>-4.0000000000000007E-6</v>
      </c>
      <c r="B104" s="110">
        <f t="shared" si="4"/>
        <v>104</v>
      </c>
      <c r="C104" s="111" t="str">
        <f>IF(C$1=[1]!T.in.A[[#This Row],[oo2]],1,"")</f>
        <v/>
      </c>
      <c r="D104" s="112" t="str">
        <f>IF(Tab.o1[[#This Row],[a1]]=1,IF(SUM(C104:C105)=0,0,IF(SUM(C103:C104)=1,1,IF(SUM(C103:C105)&gt;1,D103+1,0))),"")</f>
        <v/>
      </c>
      <c r="E104" s="113" t="str">
        <f>IF(Tab.o1[[#This Row],[a1]]=1,[1]!T.in.A[[#This Row],[oo1]],"")</f>
        <v/>
      </c>
      <c r="F104" s="113" t="str">
        <f>IF(Tab.o1[[#This Row],[a1]]=1,[1]!T.in.A[[#This Row],[pp1]],"")</f>
        <v/>
      </c>
      <c r="G104" s="114" t="str">
        <f>IF(Tab.o1[[#This Row],[a1]]=1,G$2+IF(G$1=1,0,Tab.o1[[#This Row],[.x1]])+[1]!T.in.A[[#This Row],[oo3]],"")</f>
        <v/>
      </c>
      <c r="H104" s="115" t="str">
        <f>IF(Tab.o1[[#This Row],[a1]]=1,IF(H$2=0,0,IF(G$1=1,0,Tab.o1[[#This Row],[.x1]])+[1]!T.in.A[[#This Row],[oo4]]),"")</f>
        <v/>
      </c>
      <c r="I104" s="116" t="str">
        <f>IF(Tab.o1[[#This Row],[a1]]=1,IF(J$2=0,Tab.o1[[#This Row],[MED]],Tab.o1[[#This Row],[MOD]]),"")</f>
        <v/>
      </c>
      <c r="J104" s="116" t="str">
        <f>IF(Tab.o1[[#This Row],[a1]]=1,((Tab.o1[[#This Row],[DIF_Target.]]-AVERAGE(Tab.o1[DIF_Target.]))/_xlfn.STDEV.P(Tab.o1[DIF_Target.])),"")</f>
        <v/>
      </c>
      <c r="K104" s="117" t="str">
        <f>IF(Tab.o1[[#This Row],[a1]]=1,IF(J$2=0,Tab.o1[[#This Row],[MOD]]-Tab.o1[[#This Row],[B]],IF(J$2=1,0,-Tab.o1[[#This Row],[MED]])+Tab.o1[[#This Row],[B]]),"")</f>
        <v/>
      </c>
      <c r="L104" s="117" t="str">
        <f ca="1">IF(Tab.o1[[#This Row],[DIF_Target]]=0,IF(L$2=0,Tab.o1[[#This Row],[DIF_Target]],AVERAGE(OFFSET(Tab.o1[[#This Row],[DIF_Target]],1,0,L$3,1)))/3,Tab.o1[[#This Row],[DIF_Target]])</f>
        <v/>
      </c>
      <c r="M104" s="118" t="str">
        <f>IF(Tab.o1[[#This Row],[a1]]=1,NORMSDIST(Tab.o1[[#This Row],[Za]]),"")</f>
        <v/>
      </c>
      <c r="N104" s="119" t="str">
        <f>IF(Tab.o1[[#This Row],[a1]]=1,((Tab.o1[[#This Row],[MedMod]]-AVERAGE(Tab.o1[MedMod]))/_xlfn.STDEV.P(Tab.o1[MedMod])*H$1205)+G$1205,"")</f>
        <v/>
      </c>
      <c r="O104" s="141" t="str">
        <f>IF(Tab.o1[[#This Row],[a1]]=1,Tab.o1[[#This Row],[Zb]]*_xlfn.STDEV.P(Tab.o1[MedMod])+AVERAGE(Tab.o1[MedMod]),"")</f>
        <v/>
      </c>
      <c r="P104" s="117" t="str">
        <f ca="1">IF(Tab.o1[[#This Row],[B]]=0,AVERAGE(OFFSET(Tab.o1[[#This Row],[B]],1,0,L$3,1)),Tab.o1[[#This Row],[B]])</f>
        <v/>
      </c>
      <c r="Q104" s="121" t="str">
        <f>IF(Tab.o1[[#This Row],[a1]]=1,NORMSDIST(Tab.o1[[#This Row],[Zb]]),"")</f>
        <v/>
      </c>
      <c r="R104" s="122" t="str">
        <f>IF(Tab.o1[[#This Row],[a1]]=1,((Tab.o1[[#This Row],[MedMod]]-AVERAGE(Tab.o1[MedMod]))/_xlfn.STDEV.P(Tab.o1[MedMod])*H$1203)+G$1203,"")</f>
        <v/>
      </c>
      <c r="S104" s="122" t="str">
        <f>IF(Tab.o1[[#This Row],[a1]]=1,((Tab.o1[[#This Row],[MedMod]]-AVERAGE(Tab.o1[MedMod]))/_xlfn.STDEV.P(Tab.o1[MedMod])*H$1204)+G$1204,"")</f>
        <v/>
      </c>
      <c r="T104" s="123" t="str">
        <f>IF(Tab.o1[[#This Row],[a1]]=1,Tab.o1[[#This Row],[Z-]]*_xlfn.STDEV.P(Tab.o1[B])+AVERAGE(Tab.o1[B]),"")</f>
        <v/>
      </c>
      <c r="U104" s="123" t="str">
        <f>IF(Tab.o1[[#This Row],[a1]]=1,Tab.o1[[#This Row],[z+]]*_xlfn.STDEV.P(Tab.o1[B])+AVERAGE(Tab.o1[B]),"")</f>
        <v/>
      </c>
      <c r="V104" s="124" t="str">
        <f>IF(Tab.o1[[#This Row],[a1]]=1,ABS((ABS(Tab.o1[[#This Row],[Red]]-Tab.o1[[#This Row],[Blue]]))),"")</f>
        <v/>
      </c>
      <c r="W104" s="125" t="str">
        <f>IF(Tab.o1[[#This Row],[a1]]=1,IF(W$3=0,1,Tab.o1[[#This Row],[Amp.]]*1/_xlfn.MINIFS(Tab.o1[Amp.],Tab.o1[Amp.],"&lt;&gt;0")),"")</f>
        <v/>
      </c>
      <c r="X104" s="126" t="str">
        <f>IF(Tab.o1[[#This Row],[a1]]=1,IF(ISNUMBER(Tab.o1[[#This Row],[i.]]),NORMDIST(Tab.o1[[#This Row],[Za]],0,1,FALSE)*Tab.o1[[#This Row],[i.]],AP$3),"")</f>
        <v/>
      </c>
      <c r="Y104" s="126" t="str">
        <f>IF(Tab.o1[[#This Row],[a1]]=1,0.01+0.94*Tab.o1[[#This Row],[PDF]]/MAX(Tab.o1[PDF]),"")</f>
        <v/>
      </c>
      <c r="Z104" s="126" t="str">
        <f>IF(Tab.o1[[#This Row],[a1]]=1,0.01+0.94*Tab.o1[[#This Row],[W1_PDF]]/MAX(Tab.o1[W1_PDF]),"")</f>
        <v/>
      </c>
      <c r="AA104" s="118" t="str">
        <f>IF(Tab.o1[[#This Row],[a1]]=1,ABS([1]!T.in.A[[#This Row],[oo6]]),"")</f>
        <v/>
      </c>
      <c r="AB104" s="127" t="str">
        <f>IF(Tab.o1[[#This Row],[a1]]=1,IF(AE$3=0,"",IF(AB$3=0,ABS([1]!T.in.A[[#This Row],[oo9]]),ABS(Tab.o1[[#This Row],[DIF_Target.]]*Tab.o1[[#This Row],[W1_PDF]]))),"")</f>
        <v/>
      </c>
      <c r="AC104" s="127" t="str">
        <f>IF(G$1=1,"",IF(Tab.o1[[#This Row],[a1]]=1,Tab.o1[[#This Row],[Wr]]^2,""))</f>
        <v/>
      </c>
      <c r="AD104" s="118" t="str">
        <f>IF(Tab.o1[[#This Row],[a1]]=1,IF(AE$3=0,"",Tab.o1[[#This Row],[Wr2]]/SUM(Tab.o1[Wr2])),"")</f>
        <v/>
      </c>
      <c r="AE104" s="128" t="str">
        <f>IF(Tab.o1[[#This Row],[a1]]=1,[1]!T.in.A[[#This Row],[oo10]],"")</f>
        <v/>
      </c>
      <c r="AF104" s="118" t="str">
        <f>IF(Tab.o1[[#This Row],[a1]]=1,ABS(Tab.o1[[#This Row],[DIF_Target.]]*Tab.o1[[#This Row],[PDF2]]*Tab.o1[[#This Row],[IN]]),"")</f>
        <v/>
      </c>
      <c r="AG104" s="129" t="str">
        <f>IF(Tab.o1[[#This Row],[a1]]=1,Tab.o1[[#This Row],[rW]]^2,"")</f>
        <v/>
      </c>
      <c r="AH104" s="130" t="str">
        <f>IF(Tab.o1[[#This Row],[a1]]=1,IF(AH$3=0,Tab.o1[[#This Row],[rW2]],0.01+0.94*Tab.o1[[#This Row],[rW2]]/SUM(Tab.o1[rW2])),"")</f>
        <v/>
      </c>
      <c r="AI104" s="128" t="str">
        <f>IF(Tab.o1[[#This Row],[a1]]=1,1/Tab.o1[[#This Row],[PDF]],"")</f>
        <v/>
      </c>
      <c r="AJ104" s="131" t="str">
        <f>IF(Tab.o1[[#This Row],[a1]]=1,[1]!T_AA[[#This Row],[IN'']]*[1]!T_AA[[#This Row],[Qde'']],"")</f>
        <v/>
      </c>
      <c r="AK104" s="132" t="str">
        <f>IF(Tab.o1[[#This Row],[a1]]=1,IF(AK$1=1,Tab.o1[[#This Row],[MED]]+Tab.o1[[#This Row],[MOD]]-Tab.o1[[#This Row],[MED]],""),"")</f>
        <v/>
      </c>
      <c r="AL104" s="133" t="str">
        <f>IF(Tab.o1[[#This Row],[a1]]=1,[1]!T.in.A[[#This Row],[oo16]],"")</f>
        <v/>
      </c>
      <c r="AM104" s="133" t="str">
        <f>IF(Tab.o1[[#This Row],[a1]]=1,IF(AM$3=1,[1]!T.in.A[[#This Row],[Σo16]],""),"")</f>
        <v/>
      </c>
      <c r="AN104" s="126" t="str">
        <f>IF(Tab.o1[[#This Row],[a1]]=1,[1]!T.in.A[[#This Row],[Σp5]],"")</f>
        <v/>
      </c>
      <c r="AO104" s="126" t="str">
        <f>IF(Tab.o1[[#This Row],[a1]]=1,IF(AO$3=1,[1]!T.in.A[[#This Row],[Σp5]],""),"")</f>
        <v/>
      </c>
      <c r="AP104" s="110" t="str">
        <f>IF(Tab.o1[[#This Row],[a1]]=1,IF(ISNUMBER(Tab.o1[[#This Row],[i.]]),NORMDIST(Tab.o1[[#This Row],[Za]],0,1,FALSE)*Tab.o1[[#This Row],[i.]],0),"")</f>
        <v/>
      </c>
      <c r="AQ104" s="125" t="str">
        <f>IF(Tab.o1[[#This Row],[a1]]=1,ABS(Tab.o1[[#This Row],[MOD]]-AVERAGE(Tab.o1[MOD])),"")</f>
        <v/>
      </c>
      <c r="AR104" s="134" t="str">
        <f>IF(Tab.o1[[#This Row],[a1]]=1,Tab.o1[[#This Row],[OBS]]/SUM(Tab.o1[OBS]),"")</f>
        <v/>
      </c>
      <c r="AS104" s="135" t="str">
        <f>IF(ISNUMBER(Tab.o1[[#This Row],[a1]]),ROW()-4,"")</f>
        <v/>
      </c>
      <c r="AT104" s="136" t="str">
        <f>Tab.o1[[#This Row],[MOD]]</f>
        <v/>
      </c>
      <c r="AU104" s="137" t="str">
        <f t="shared" si="5"/>
        <v/>
      </c>
      <c r="AV104" s="138" t="str">
        <f t="shared" si="6"/>
        <v/>
      </c>
      <c r="AW104" s="138" t="str">
        <f t="shared" si="7"/>
        <v/>
      </c>
      <c r="AX104" s="139">
        <f>[1]!T.in.A[[#This Row],[ID_T_manu]]</f>
        <v>6</v>
      </c>
      <c r="AY104" s="140" t="str">
        <f>IF(ISNUMBER(Tab.o1[[#This Row],[a1]]),IF(AND(Tab.o1[[#This Row],[a1]]=1,Tab.o1[[#This Row],[b1]]&lt;=AY$4),#REF!,AY103),"")</f>
        <v/>
      </c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</row>
    <row r="105" spans="1:79" ht="14.25" hidden="1" customHeight="1">
      <c r="A105" s="109">
        <v>5.0000000000000004E-6</v>
      </c>
      <c r="B105" s="110">
        <f t="shared" si="4"/>
        <v>105</v>
      </c>
      <c r="C105" s="111" t="str">
        <f>IF(C$1=[1]!T.in.A[[#This Row],[oo2]],1,"")</f>
        <v/>
      </c>
      <c r="D105" s="112" t="str">
        <f>IF(Tab.o1[[#This Row],[a1]]=1,IF(SUM(C105:C106)=0,0,IF(SUM(C104:C105)=1,1,IF(SUM(C104:C106)&gt;1,D104+1,0))),"")</f>
        <v/>
      </c>
      <c r="E105" s="113" t="str">
        <f>IF(Tab.o1[[#This Row],[a1]]=1,[1]!T.in.A[[#This Row],[oo1]],"")</f>
        <v/>
      </c>
      <c r="F105" s="113" t="str">
        <f>IF(Tab.o1[[#This Row],[a1]]=1,[1]!T.in.A[[#This Row],[pp1]],"")</f>
        <v/>
      </c>
      <c r="G105" s="114" t="str">
        <f>IF(Tab.o1[[#This Row],[a1]]=1,G$2+IF(G$1=1,0,Tab.o1[[#This Row],[.x1]])+[1]!T.in.A[[#This Row],[oo3]],"")</f>
        <v/>
      </c>
      <c r="H105" s="115" t="str">
        <f>IF(Tab.o1[[#This Row],[a1]]=1,IF(H$2=0,0,IF(G$1=1,0,Tab.o1[[#This Row],[.x1]])+[1]!T.in.A[[#This Row],[oo4]]),"")</f>
        <v/>
      </c>
      <c r="I105" s="116" t="str">
        <f>IF(Tab.o1[[#This Row],[a1]]=1,IF(J$2=0,Tab.o1[[#This Row],[MED]],Tab.o1[[#This Row],[MOD]]),"")</f>
        <v/>
      </c>
      <c r="J105" s="116" t="str">
        <f>IF(Tab.o1[[#This Row],[a1]]=1,((Tab.o1[[#This Row],[DIF_Target.]]-AVERAGE(Tab.o1[DIF_Target.]))/_xlfn.STDEV.P(Tab.o1[DIF_Target.])),"")</f>
        <v/>
      </c>
      <c r="K105" s="117" t="str">
        <f>IF(Tab.o1[[#This Row],[a1]]=1,IF(J$2=0,Tab.o1[[#This Row],[MOD]]-Tab.o1[[#This Row],[B]],IF(J$2=1,0,-Tab.o1[[#This Row],[MED]])+Tab.o1[[#This Row],[B]]),"")</f>
        <v/>
      </c>
      <c r="L105" s="117" t="str">
        <f ca="1">IF(Tab.o1[[#This Row],[DIF_Target]]=0,IF(L$2=0,Tab.o1[[#This Row],[DIF_Target]],AVERAGE(OFFSET(Tab.o1[[#This Row],[DIF_Target]],1,0,L$3,1)))/3,Tab.o1[[#This Row],[DIF_Target]])</f>
        <v/>
      </c>
      <c r="M105" s="118" t="str">
        <f>IF(Tab.o1[[#This Row],[a1]]=1,NORMSDIST(Tab.o1[[#This Row],[Za]]),"")</f>
        <v/>
      </c>
      <c r="N105" s="119" t="str">
        <f>IF(Tab.o1[[#This Row],[a1]]=1,((Tab.o1[[#This Row],[MedMod]]-AVERAGE(Tab.o1[MedMod]))/_xlfn.STDEV.P(Tab.o1[MedMod])*H$1205)+G$1205,"")</f>
        <v/>
      </c>
      <c r="O105" s="141" t="str">
        <f>IF(Tab.o1[[#This Row],[a1]]=1,Tab.o1[[#This Row],[Zb]]*_xlfn.STDEV.P(Tab.o1[MedMod])+AVERAGE(Tab.o1[MedMod]),"")</f>
        <v/>
      </c>
      <c r="P105" s="117" t="str">
        <f ca="1">IF(Tab.o1[[#This Row],[B]]=0,AVERAGE(OFFSET(Tab.o1[[#This Row],[B]],1,0,L$3,1)),Tab.o1[[#This Row],[B]])</f>
        <v/>
      </c>
      <c r="Q105" s="121" t="str">
        <f>IF(Tab.o1[[#This Row],[a1]]=1,NORMSDIST(Tab.o1[[#This Row],[Zb]]),"")</f>
        <v/>
      </c>
      <c r="R105" s="122" t="str">
        <f>IF(Tab.o1[[#This Row],[a1]]=1,((Tab.o1[[#This Row],[MedMod]]-AVERAGE(Tab.o1[MedMod]))/_xlfn.STDEV.P(Tab.o1[MedMod])*H$1203)+G$1203,"")</f>
        <v/>
      </c>
      <c r="S105" s="122" t="str">
        <f>IF(Tab.o1[[#This Row],[a1]]=1,((Tab.o1[[#This Row],[MedMod]]-AVERAGE(Tab.o1[MedMod]))/_xlfn.STDEV.P(Tab.o1[MedMod])*H$1204)+G$1204,"")</f>
        <v/>
      </c>
      <c r="T105" s="123" t="str">
        <f>IF(Tab.o1[[#This Row],[a1]]=1,Tab.o1[[#This Row],[Z-]]*_xlfn.STDEV.P(Tab.o1[B])+AVERAGE(Tab.o1[B]),"")</f>
        <v/>
      </c>
      <c r="U105" s="123" t="str">
        <f>IF(Tab.o1[[#This Row],[a1]]=1,Tab.o1[[#This Row],[z+]]*_xlfn.STDEV.P(Tab.o1[B])+AVERAGE(Tab.o1[B]),"")</f>
        <v/>
      </c>
      <c r="V105" s="124" t="str">
        <f>IF(Tab.o1[[#This Row],[a1]]=1,ABS((ABS(Tab.o1[[#This Row],[Red]]-Tab.o1[[#This Row],[Blue]]))),"")</f>
        <v/>
      </c>
      <c r="W105" s="125" t="str">
        <f>IF(Tab.o1[[#This Row],[a1]]=1,IF(W$3=0,1,Tab.o1[[#This Row],[Amp.]]*1/_xlfn.MINIFS(Tab.o1[Amp.],Tab.o1[Amp.],"&lt;&gt;0")),"")</f>
        <v/>
      </c>
      <c r="X105" s="126" t="str">
        <f>IF(Tab.o1[[#This Row],[a1]]=1,IF(ISNUMBER(Tab.o1[[#This Row],[i.]]),NORMDIST(Tab.o1[[#This Row],[Za]],0,1,FALSE)*Tab.o1[[#This Row],[i.]],AP$3),"")</f>
        <v/>
      </c>
      <c r="Y105" s="126" t="str">
        <f>IF(Tab.o1[[#This Row],[a1]]=1,0.01+0.94*Tab.o1[[#This Row],[PDF]]/MAX(Tab.o1[PDF]),"")</f>
        <v/>
      </c>
      <c r="Z105" s="126" t="str">
        <f>IF(Tab.o1[[#This Row],[a1]]=1,0.01+0.94*Tab.o1[[#This Row],[W1_PDF]]/MAX(Tab.o1[W1_PDF]),"")</f>
        <v/>
      </c>
      <c r="AA105" s="118" t="str">
        <f>IF(Tab.o1[[#This Row],[a1]]=1,ABS([1]!T.in.A[[#This Row],[oo6]]),"")</f>
        <v/>
      </c>
      <c r="AB105" s="127" t="str">
        <f>IF(Tab.o1[[#This Row],[a1]]=1,IF(AE$3=0,"",IF(AB$3=0,ABS([1]!T.in.A[[#This Row],[oo9]]),ABS(Tab.o1[[#This Row],[DIF_Target.]]*Tab.o1[[#This Row],[W1_PDF]]))),"")</f>
        <v/>
      </c>
      <c r="AC105" s="127" t="str">
        <f>IF(G$1=1,"",IF(Tab.o1[[#This Row],[a1]]=1,Tab.o1[[#This Row],[Wr]]^2,""))</f>
        <v/>
      </c>
      <c r="AD105" s="118" t="str">
        <f>IF(Tab.o1[[#This Row],[a1]]=1,IF(AE$3=0,"",Tab.o1[[#This Row],[Wr2]]/SUM(Tab.o1[Wr2])),"")</f>
        <v/>
      </c>
      <c r="AE105" s="128" t="str">
        <f>IF(Tab.o1[[#This Row],[a1]]=1,[1]!T.in.A[[#This Row],[oo10]],"")</f>
        <v/>
      </c>
      <c r="AF105" s="118" t="str">
        <f>IF(Tab.o1[[#This Row],[a1]]=1,ABS(Tab.o1[[#This Row],[DIF_Target.]]*Tab.o1[[#This Row],[PDF2]]*Tab.o1[[#This Row],[IN]]),"")</f>
        <v/>
      </c>
      <c r="AG105" s="129" t="str">
        <f>IF(Tab.o1[[#This Row],[a1]]=1,Tab.o1[[#This Row],[rW]]^2,"")</f>
        <v/>
      </c>
      <c r="AH105" s="130" t="str">
        <f>IF(Tab.o1[[#This Row],[a1]]=1,IF(AH$3=0,Tab.o1[[#This Row],[rW2]],0.01+0.94*Tab.o1[[#This Row],[rW2]]/SUM(Tab.o1[rW2])),"")</f>
        <v/>
      </c>
      <c r="AI105" s="128" t="str">
        <f>IF(Tab.o1[[#This Row],[a1]]=1,1/Tab.o1[[#This Row],[PDF]],"")</f>
        <v/>
      </c>
      <c r="AJ105" s="131" t="str">
        <f>IF(Tab.o1[[#This Row],[a1]]=1,[1]!T_AA[[#This Row],[IN'']]*[1]!T_AA[[#This Row],[Qde'']],"")</f>
        <v/>
      </c>
      <c r="AK105" s="132" t="str">
        <f>IF(Tab.o1[[#This Row],[a1]]=1,IF(AK$1=1,Tab.o1[[#This Row],[MED]]+Tab.o1[[#This Row],[MOD]]-Tab.o1[[#This Row],[MED]],""),"")</f>
        <v/>
      </c>
      <c r="AL105" s="133" t="str">
        <f>IF(Tab.o1[[#This Row],[a1]]=1,[1]!T.in.A[[#This Row],[oo16]],"")</f>
        <v/>
      </c>
      <c r="AM105" s="133" t="str">
        <f>IF(Tab.o1[[#This Row],[a1]]=1,IF(AM$3=1,[1]!T.in.A[[#This Row],[Σo16]],""),"")</f>
        <v/>
      </c>
      <c r="AN105" s="126" t="str">
        <f>IF(Tab.o1[[#This Row],[a1]]=1,[1]!T.in.A[[#This Row],[Σp5]],"")</f>
        <v/>
      </c>
      <c r="AO105" s="126" t="str">
        <f>IF(Tab.o1[[#This Row],[a1]]=1,IF(AO$3=1,[1]!T.in.A[[#This Row],[Σp5]],""),"")</f>
        <v/>
      </c>
      <c r="AP105" s="110" t="str">
        <f>IF(Tab.o1[[#This Row],[a1]]=1,IF(ISNUMBER(Tab.o1[[#This Row],[i.]]),NORMDIST(Tab.o1[[#This Row],[Za]],0,1,FALSE)*Tab.o1[[#This Row],[i.]],0),"")</f>
        <v/>
      </c>
      <c r="AQ105" s="125" t="str">
        <f>IF(Tab.o1[[#This Row],[a1]]=1,ABS(Tab.o1[[#This Row],[MOD]]-AVERAGE(Tab.o1[MOD])),"")</f>
        <v/>
      </c>
      <c r="AR105" s="134" t="str">
        <f>IF(Tab.o1[[#This Row],[a1]]=1,Tab.o1[[#This Row],[OBS]]/SUM(Tab.o1[OBS]),"")</f>
        <v/>
      </c>
      <c r="AS105" s="135" t="str">
        <f>IF(ISNUMBER(Tab.o1[[#This Row],[a1]]),ROW()-4,"")</f>
        <v/>
      </c>
      <c r="AT105" s="136" t="str">
        <f>Tab.o1[[#This Row],[MOD]]</f>
        <v/>
      </c>
      <c r="AU105" s="137" t="str">
        <f t="shared" si="5"/>
        <v/>
      </c>
      <c r="AV105" s="138" t="str">
        <f t="shared" si="6"/>
        <v/>
      </c>
      <c r="AW105" s="138" t="str">
        <f t="shared" si="7"/>
        <v/>
      </c>
      <c r="AX105" s="139" t="str">
        <f>[1]!T.in.A[[#This Row],[ID_T_manu]]</f>
        <v/>
      </c>
      <c r="AY105" s="140" t="str">
        <f>IF(ISNUMBER(Tab.o1[[#This Row],[a1]]),IF(AND(Tab.o1[[#This Row],[a1]]=1,Tab.o1[[#This Row],[b1]]&lt;=AY$4),#REF!,AY104),"")</f>
        <v/>
      </c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</row>
    <row r="106" spans="1:79" ht="14.25" hidden="1" customHeight="1">
      <c r="A106" s="109">
        <v>1.0000000000000002E-6</v>
      </c>
      <c r="B106" s="110">
        <f t="shared" si="4"/>
        <v>106</v>
      </c>
      <c r="C106" s="111" t="str">
        <f>IF(C$1=[1]!T.in.A[[#This Row],[oo2]],1,"")</f>
        <v/>
      </c>
      <c r="D106" s="112" t="str">
        <f>IF(Tab.o1[[#This Row],[a1]]=1,IF(SUM(C106:C107)=0,0,IF(SUM(C105:C106)=1,1,IF(SUM(C105:C107)&gt;1,D105+1,0))),"")</f>
        <v/>
      </c>
      <c r="E106" s="113" t="str">
        <f>IF(Tab.o1[[#This Row],[a1]]=1,[1]!T.in.A[[#This Row],[oo1]],"")</f>
        <v/>
      </c>
      <c r="F106" s="113" t="str">
        <f>IF(Tab.o1[[#This Row],[a1]]=1,[1]!T.in.A[[#This Row],[pp1]],"")</f>
        <v/>
      </c>
      <c r="G106" s="114" t="str">
        <f>IF(Tab.o1[[#This Row],[a1]]=1,G$2+IF(G$1=1,0,Tab.o1[[#This Row],[.x1]])+[1]!T.in.A[[#This Row],[oo3]],"")</f>
        <v/>
      </c>
      <c r="H106" s="115" t="str">
        <f>IF(Tab.o1[[#This Row],[a1]]=1,IF(H$2=0,0,IF(G$1=1,0,Tab.o1[[#This Row],[.x1]])+[1]!T.in.A[[#This Row],[oo4]]),"")</f>
        <v/>
      </c>
      <c r="I106" s="116" t="str">
        <f>IF(Tab.o1[[#This Row],[a1]]=1,IF(J$2=0,Tab.o1[[#This Row],[MED]],Tab.o1[[#This Row],[MOD]]),"")</f>
        <v/>
      </c>
      <c r="J106" s="116" t="str">
        <f>IF(Tab.o1[[#This Row],[a1]]=1,((Tab.o1[[#This Row],[DIF_Target.]]-AVERAGE(Tab.o1[DIF_Target.]))/_xlfn.STDEV.P(Tab.o1[DIF_Target.])),"")</f>
        <v/>
      </c>
      <c r="K106" s="117" t="str">
        <f>IF(Tab.o1[[#This Row],[a1]]=1,IF(J$2=0,Tab.o1[[#This Row],[MOD]]-Tab.o1[[#This Row],[B]],IF(J$2=1,0,-Tab.o1[[#This Row],[MED]])+Tab.o1[[#This Row],[B]]),"")</f>
        <v/>
      </c>
      <c r="L106" s="117" t="str">
        <f ca="1">IF(Tab.o1[[#This Row],[DIF_Target]]=0,IF(L$2=0,Tab.o1[[#This Row],[DIF_Target]],AVERAGE(OFFSET(Tab.o1[[#This Row],[DIF_Target]],1,0,L$3,1)))/3,Tab.o1[[#This Row],[DIF_Target]])</f>
        <v/>
      </c>
      <c r="M106" s="118" t="str">
        <f>IF(Tab.o1[[#This Row],[a1]]=1,NORMSDIST(Tab.o1[[#This Row],[Za]]),"")</f>
        <v/>
      </c>
      <c r="N106" s="119" t="str">
        <f>IF(Tab.o1[[#This Row],[a1]]=1,((Tab.o1[[#This Row],[MedMod]]-AVERAGE(Tab.o1[MedMod]))/_xlfn.STDEV.P(Tab.o1[MedMod])*H$1205)+G$1205,"")</f>
        <v/>
      </c>
      <c r="O106" s="141" t="str">
        <f>IF(Tab.o1[[#This Row],[a1]]=1,Tab.o1[[#This Row],[Zb]]*_xlfn.STDEV.P(Tab.o1[MedMod])+AVERAGE(Tab.o1[MedMod]),"")</f>
        <v/>
      </c>
      <c r="P106" s="117" t="str">
        <f ca="1">IF(Tab.o1[[#This Row],[B]]=0,AVERAGE(OFFSET(Tab.o1[[#This Row],[B]],1,0,L$3,1)),Tab.o1[[#This Row],[B]])</f>
        <v/>
      </c>
      <c r="Q106" s="121" t="str">
        <f>IF(Tab.o1[[#This Row],[a1]]=1,NORMSDIST(Tab.o1[[#This Row],[Zb]]),"")</f>
        <v/>
      </c>
      <c r="R106" s="122" t="str">
        <f>IF(Tab.o1[[#This Row],[a1]]=1,((Tab.o1[[#This Row],[MedMod]]-AVERAGE(Tab.o1[MedMod]))/_xlfn.STDEV.P(Tab.o1[MedMod])*H$1203)+G$1203,"")</f>
        <v/>
      </c>
      <c r="S106" s="122" t="str">
        <f>IF(Tab.o1[[#This Row],[a1]]=1,((Tab.o1[[#This Row],[MedMod]]-AVERAGE(Tab.o1[MedMod]))/_xlfn.STDEV.P(Tab.o1[MedMod])*H$1204)+G$1204,"")</f>
        <v/>
      </c>
      <c r="T106" s="123" t="str">
        <f>IF(Tab.o1[[#This Row],[a1]]=1,Tab.o1[[#This Row],[Z-]]*_xlfn.STDEV.P(Tab.o1[B])+AVERAGE(Tab.o1[B]),"")</f>
        <v/>
      </c>
      <c r="U106" s="123" t="str">
        <f>IF(Tab.o1[[#This Row],[a1]]=1,Tab.o1[[#This Row],[z+]]*_xlfn.STDEV.P(Tab.o1[B])+AVERAGE(Tab.o1[B]),"")</f>
        <v/>
      </c>
      <c r="V106" s="124" t="str">
        <f>IF(Tab.o1[[#This Row],[a1]]=1,ABS((ABS(Tab.o1[[#This Row],[Red]]-Tab.o1[[#This Row],[Blue]]))),"")</f>
        <v/>
      </c>
      <c r="W106" s="125" t="str">
        <f>IF(Tab.o1[[#This Row],[a1]]=1,IF(W$3=0,1,Tab.o1[[#This Row],[Amp.]]*1/_xlfn.MINIFS(Tab.o1[Amp.],Tab.o1[Amp.],"&lt;&gt;0")),"")</f>
        <v/>
      </c>
      <c r="X106" s="126" t="str">
        <f>IF(Tab.o1[[#This Row],[a1]]=1,IF(ISNUMBER(Tab.o1[[#This Row],[i.]]),NORMDIST(Tab.o1[[#This Row],[Za]],0,1,FALSE)*Tab.o1[[#This Row],[i.]],AP$3),"")</f>
        <v/>
      </c>
      <c r="Y106" s="126" t="str">
        <f>IF(Tab.o1[[#This Row],[a1]]=1,0.01+0.94*Tab.o1[[#This Row],[PDF]]/MAX(Tab.o1[PDF]),"")</f>
        <v/>
      </c>
      <c r="Z106" s="126" t="str">
        <f>IF(Tab.o1[[#This Row],[a1]]=1,0.01+0.94*Tab.o1[[#This Row],[W1_PDF]]/MAX(Tab.o1[W1_PDF]),"")</f>
        <v/>
      </c>
      <c r="AA106" s="118" t="str">
        <f>IF(Tab.o1[[#This Row],[a1]]=1,ABS([1]!T.in.A[[#This Row],[oo6]]),"")</f>
        <v/>
      </c>
      <c r="AB106" s="127" t="str">
        <f>IF(Tab.o1[[#This Row],[a1]]=1,IF(AE$3=0,"",IF(AB$3=0,ABS([1]!T.in.A[[#This Row],[oo9]]),ABS(Tab.o1[[#This Row],[DIF_Target.]]*Tab.o1[[#This Row],[W1_PDF]]))),"")</f>
        <v/>
      </c>
      <c r="AC106" s="127" t="str">
        <f>IF(G$1=1,"",IF(Tab.o1[[#This Row],[a1]]=1,Tab.o1[[#This Row],[Wr]]^2,""))</f>
        <v/>
      </c>
      <c r="AD106" s="118" t="str">
        <f>IF(Tab.o1[[#This Row],[a1]]=1,IF(AE$3=0,"",Tab.o1[[#This Row],[Wr2]]/SUM(Tab.o1[Wr2])),"")</f>
        <v/>
      </c>
      <c r="AE106" s="128" t="str">
        <f>IF(Tab.o1[[#This Row],[a1]]=1,[1]!T.in.A[[#This Row],[oo10]],"")</f>
        <v/>
      </c>
      <c r="AF106" s="118" t="str">
        <f>IF(Tab.o1[[#This Row],[a1]]=1,ABS(Tab.o1[[#This Row],[DIF_Target.]]*Tab.o1[[#This Row],[PDF2]]*Tab.o1[[#This Row],[IN]]),"")</f>
        <v/>
      </c>
      <c r="AG106" s="129" t="str">
        <f>IF(Tab.o1[[#This Row],[a1]]=1,Tab.o1[[#This Row],[rW]]^2,"")</f>
        <v/>
      </c>
      <c r="AH106" s="130" t="str">
        <f>IF(Tab.o1[[#This Row],[a1]]=1,IF(AH$3=0,Tab.o1[[#This Row],[rW2]],0.01+0.94*Tab.o1[[#This Row],[rW2]]/SUM(Tab.o1[rW2])),"")</f>
        <v/>
      </c>
      <c r="AI106" s="128" t="str">
        <f>IF(Tab.o1[[#This Row],[a1]]=1,1/Tab.o1[[#This Row],[PDF]],"")</f>
        <v/>
      </c>
      <c r="AJ106" s="131" t="str">
        <f>IF(Tab.o1[[#This Row],[a1]]=1,[1]!T_AA[[#This Row],[IN'']]*[1]!T_AA[[#This Row],[Qde'']],"")</f>
        <v/>
      </c>
      <c r="AK106" s="132" t="str">
        <f>IF(Tab.o1[[#This Row],[a1]]=1,IF(AK$1=1,Tab.o1[[#This Row],[MED]]+Tab.o1[[#This Row],[MOD]]-Tab.o1[[#This Row],[MED]],""),"")</f>
        <v/>
      </c>
      <c r="AL106" s="133" t="str">
        <f>IF(Tab.o1[[#This Row],[a1]]=1,[1]!T.in.A[[#This Row],[oo16]],"")</f>
        <v/>
      </c>
      <c r="AM106" s="133" t="str">
        <f>IF(Tab.o1[[#This Row],[a1]]=1,IF(AM$3=1,[1]!T.in.A[[#This Row],[Σo16]],""),"")</f>
        <v/>
      </c>
      <c r="AN106" s="126" t="str">
        <f>IF(Tab.o1[[#This Row],[a1]]=1,[1]!T.in.A[[#This Row],[Σp5]],"")</f>
        <v/>
      </c>
      <c r="AO106" s="126" t="str">
        <f>IF(Tab.o1[[#This Row],[a1]]=1,IF(AO$3=1,[1]!T.in.A[[#This Row],[Σp5]],""),"")</f>
        <v/>
      </c>
      <c r="AP106" s="110" t="str">
        <f>IF(Tab.o1[[#This Row],[a1]]=1,IF(ISNUMBER(Tab.o1[[#This Row],[i.]]),NORMDIST(Tab.o1[[#This Row],[Za]],0,1,FALSE)*Tab.o1[[#This Row],[i.]],0),"")</f>
        <v/>
      </c>
      <c r="AQ106" s="125" t="str">
        <f>IF(Tab.o1[[#This Row],[a1]]=1,ABS(Tab.o1[[#This Row],[MOD]]-AVERAGE(Tab.o1[MOD])),"")</f>
        <v/>
      </c>
      <c r="AR106" s="134" t="str">
        <f>IF(Tab.o1[[#This Row],[a1]]=1,Tab.o1[[#This Row],[OBS]]/SUM(Tab.o1[OBS]),"")</f>
        <v/>
      </c>
      <c r="AS106" s="135" t="str">
        <f>IF(ISNUMBER(Tab.o1[[#This Row],[a1]]),ROW()-4,"")</f>
        <v/>
      </c>
      <c r="AT106" s="136" t="str">
        <f>Tab.o1[[#This Row],[MOD]]</f>
        <v/>
      </c>
      <c r="AU106" s="137" t="str">
        <f t="shared" si="5"/>
        <v/>
      </c>
      <c r="AV106" s="138" t="str">
        <f t="shared" si="6"/>
        <v/>
      </c>
      <c r="AW106" s="138" t="str">
        <f t="shared" si="7"/>
        <v/>
      </c>
      <c r="AX106" s="139" t="str">
        <f>[1]!T.in.A[[#This Row],[ID_T_manu]]</f>
        <v/>
      </c>
      <c r="AY106" s="140" t="str">
        <f>IF(ISNUMBER(Tab.o1[[#This Row],[a1]]),IF(AND(Tab.o1[[#This Row],[a1]]=1,Tab.o1[[#This Row],[b1]]&lt;=AY$4),#REF!,AY105),"")</f>
        <v/>
      </c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</row>
    <row r="107" spans="1:79" ht="14.25" hidden="1" customHeight="1">
      <c r="A107" s="109">
        <v>1.0000000000000001E-5</v>
      </c>
      <c r="B107" s="110">
        <f t="shared" si="4"/>
        <v>107</v>
      </c>
      <c r="C107" s="111" t="str">
        <f>IF(C$1=[1]!T.in.A[[#This Row],[oo2]],1,"")</f>
        <v/>
      </c>
      <c r="D107" s="112" t="str">
        <f>IF(Tab.o1[[#This Row],[a1]]=1,IF(SUM(C107:C108)=0,0,IF(SUM(C106:C107)=1,1,IF(SUM(C106:C108)&gt;1,D106+1,0))),"")</f>
        <v/>
      </c>
      <c r="E107" s="113" t="str">
        <f>IF(Tab.o1[[#This Row],[a1]]=1,[1]!T.in.A[[#This Row],[oo1]],"")</f>
        <v/>
      </c>
      <c r="F107" s="113" t="str">
        <f>IF(Tab.o1[[#This Row],[a1]]=1,[1]!T.in.A[[#This Row],[pp1]],"")</f>
        <v/>
      </c>
      <c r="G107" s="114" t="str">
        <f>IF(Tab.o1[[#This Row],[a1]]=1,G$2+IF(G$1=1,0,Tab.o1[[#This Row],[.x1]])+[1]!T.in.A[[#This Row],[oo3]],"")</f>
        <v/>
      </c>
      <c r="H107" s="115" t="str">
        <f>IF(Tab.o1[[#This Row],[a1]]=1,IF(H$2=0,0,IF(G$1=1,0,Tab.o1[[#This Row],[.x1]])+[1]!T.in.A[[#This Row],[oo4]]),"")</f>
        <v/>
      </c>
      <c r="I107" s="116" t="str">
        <f>IF(Tab.o1[[#This Row],[a1]]=1,IF(J$2=0,Tab.o1[[#This Row],[MED]],Tab.o1[[#This Row],[MOD]]),"")</f>
        <v/>
      </c>
      <c r="J107" s="116" t="str">
        <f>IF(Tab.o1[[#This Row],[a1]]=1,((Tab.o1[[#This Row],[DIF_Target.]]-AVERAGE(Tab.o1[DIF_Target.]))/_xlfn.STDEV.P(Tab.o1[DIF_Target.])),"")</f>
        <v/>
      </c>
      <c r="K107" s="117" t="str">
        <f>IF(Tab.o1[[#This Row],[a1]]=1,IF(J$2=0,Tab.o1[[#This Row],[MOD]]-Tab.o1[[#This Row],[B]],IF(J$2=1,0,-Tab.o1[[#This Row],[MED]])+Tab.o1[[#This Row],[B]]),"")</f>
        <v/>
      </c>
      <c r="L107" s="117" t="str">
        <f ca="1">IF(Tab.o1[[#This Row],[DIF_Target]]=0,IF(L$2=0,Tab.o1[[#This Row],[DIF_Target]],AVERAGE(OFFSET(Tab.o1[[#This Row],[DIF_Target]],1,0,L$3,1)))/3,Tab.o1[[#This Row],[DIF_Target]])</f>
        <v/>
      </c>
      <c r="M107" s="118" t="str">
        <f>IF(Tab.o1[[#This Row],[a1]]=1,NORMSDIST(Tab.o1[[#This Row],[Za]]),"")</f>
        <v/>
      </c>
      <c r="N107" s="119" t="str">
        <f>IF(Tab.o1[[#This Row],[a1]]=1,((Tab.o1[[#This Row],[MedMod]]-AVERAGE(Tab.o1[MedMod]))/_xlfn.STDEV.P(Tab.o1[MedMod])*H$1205)+G$1205,"")</f>
        <v/>
      </c>
      <c r="O107" s="141" t="str">
        <f>IF(Tab.o1[[#This Row],[a1]]=1,Tab.o1[[#This Row],[Zb]]*_xlfn.STDEV.P(Tab.o1[MedMod])+AVERAGE(Tab.o1[MedMod]),"")</f>
        <v/>
      </c>
      <c r="P107" s="117" t="str">
        <f ca="1">IF(Tab.o1[[#This Row],[B]]=0,AVERAGE(OFFSET(Tab.o1[[#This Row],[B]],1,0,L$3,1)),Tab.o1[[#This Row],[B]])</f>
        <v/>
      </c>
      <c r="Q107" s="121" t="str">
        <f>IF(Tab.o1[[#This Row],[a1]]=1,NORMSDIST(Tab.o1[[#This Row],[Zb]]),"")</f>
        <v/>
      </c>
      <c r="R107" s="122" t="str">
        <f>IF(Tab.o1[[#This Row],[a1]]=1,((Tab.o1[[#This Row],[MedMod]]-AVERAGE(Tab.o1[MedMod]))/_xlfn.STDEV.P(Tab.o1[MedMod])*H$1203)+G$1203,"")</f>
        <v/>
      </c>
      <c r="S107" s="122" t="str">
        <f>IF(Tab.o1[[#This Row],[a1]]=1,((Tab.o1[[#This Row],[MedMod]]-AVERAGE(Tab.o1[MedMod]))/_xlfn.STDEV.P(Tab.o1[MedMod])*H$1204)+G$1204,"")</f>
        <v/>
      </c>
      <c r="T107" s="123" t="str">
        <f>IF(Tab.o1[[#This Row],[a1]]=1,Tab.o1[[#This Row],[Z-]]*_xlfn.STDEV.P(Tab.o1[B])+AVERAGE(Tab.o1[B]),"")</f>
        <v/>
      </c>
      <c r="U107" s="123" t="str">
        <f>IF(Tab.o1[[#This Row],[a1]]=1,Tab.o1[[#This Row],[z+]]*_xlfn.STDEV.P(Tab.o1[B])+AVERAGE(Tab.o1[B]),"")</f>
        <v/>
      </c>
      <c r="V107" s="124" t="str">
        <f>IF(Tab.o1[[#This Row],[a1]]=1,ABS((ABS(Tab.o1[[#This Row],[Red]]-Tab.o1[[#This Row],[Blue]]))),"")</f>
        <v/>
      </c>
      <c r="W107" s="125" t="str">
        <f>IF(Tab.o1[[#This Row],[a1]]=1,IF(W$3=0,1,Tab.o1[[#This Row],[Amp.]]*1/_xlfn.MINIFS(Tab.o1[Amp.],Tab.o1[Amp.],"&lt;&gt;0")),"")</f>
        <v/>
      </c>
      <c r="X107" s="126" t="str">
        <f>IF(Tab.o1[[#This Row],[a1]]=1,IF(ISNUMBER(Tab.o1[[#This Row],[i.]]),NORMDIST(Tab.o1[[#This Row],[Za]],0,1,FALSE)*Tab.o1[[#This Row],[i.]],AP$3),"")</f>
        <v/>
      </c>
      <c r="Y107" s="126" t="str">
        <f>IF(Tab.o1[[#This Row],[a1]]=1,0.01+0.94*Tab.o1[[#This Row],[PDF]]/MAX(Tab.o1[PDF]),"")</f>
        <v/>
      </c>
      <c r="Z107" s="126" t="str">
        <f>IF(Tab.o1[[#This Row],[a1]]=1,0.01+0.94*Tab.o1[[#This Row],[W1_PDF]]/MAX(Tab.o1[W1_PDF]),"")</f>
        <v/>
      </c>
      <c r="AA107" s="118" t="str">
        <f>IF(Tab.o1[[#This Row],[a1]]=1,ABS([1]!T.in.A[[#This Row],[oo6]]),"")</f>
        <v/>
      </c>
      <c r="AB107" s="127" t="str">
        <f>IF(Tab.o1[[#This Row],[a1]]=1,IF(AE$3=0,"",IF(AB$3=0,ABS([1]!T.in.A[[#This Row],[oo9]]),ABS(Tab.o1[[#This Row],[DIF_Target.]]*Tab.o1[[#This Row],[W1_PDF]]))),"")</f>
        <v/>
      </c>
      <c r="AC107" s="127" t="str">
        <f>IF(G$1=1,"",IF(Tab.o1[[#This Row],[a1]]=1,Tab.o1[[#This Row],[Wr]]^2,""))</f>
        <v/>
      </c>
      <c r="AD107" s="118" t="str">
        <f>IF(Tab.o1[[#This Row],[a1]]=1,IF(AE$3=0,"",Tab.o1[[#This Row],[Wr2]]/SUM(Tab.o1[Wr2])),"")</f>
        <v/>
      </c>
      <c r="AE107" s="128" t="str">
        <f>IF(Tab.o1[[#This Row],[a1]]=1,[1]!T.in.A[[#This Row],[oo10]],"")</f>
        <v/>
      </c>
      <c r="AF107" s="118" t="str">
        <f>IF(Tab.o1[[#This Row],[a1]]=1,ABS(Tab.o1[[#This Row],[DIF_Target.]]*Tab.o1[[#This Row],[PDF2]]*Tab.o1[[#This Row],[IN]]),"")</f>
        <v/>
      </c>
      <c r="AG107" s="129" t="str">
        <f>IF(Tab.o1[[#This Row],[a1]]=1,Tab.o1[[#This Row],[rW]]^2,"")</f>
        <v/>
      </c>
      <c r="AH107" s="130" t="str">
        <f>IF(Tab.o1[[#This Row],[a1]]=1,IF(AH$3=0,Tab.o1[[#This Row],[rW2]],0.01+0.94*Tab.o1[[#This Row],[rW2]]/SUM(Tab.o1[rW2])),"")</f>
        <v/>
      </c>
      <c r="AI107" s="128" t="str">
        <f>IF(Tab.o1[[#This Row],[a1]]=1,1/Tab.o1[[#This Row],[PDF]],"")</f>
        <v/>
      </c>
      <c r="AJ107" s="131" t="str">
        <f>IF(Tab.o1[[#This Row],[a1]]=1,[1]!T_AA[[#This Row],[IN'']]*[1]!T_AA[[#This Row],[Qde'']],"")</f>
        <v/>
      </c>
      <c r="AK107" s="132" t="str">
        <f>IF(Tab.o1[[#This Row],[a1]]=1,IF(AK$1=1,Tab.o1[[#This Row],[MED]]+Tab.o1[[#This Row],[MOD]]-Tab.o1[[#This Row],[MED]],""),"")</f>
        <v/>
      </c>
      <c r="AL107" s="133" t="str">
        <f>IF(Tab.o1[[#This Row],[a1]]=1,[1]!T.in.A[[#This Row],[oo16]],"")</f>
        <v/>
      </c>
      <c r="AM107" s="133" t="str">
        <f>IF(Tab.o1[[#This Row],[a1]]=1,IF(AM$3=1,[1]!T.in.A[[#This Row],[Σo16]],""),"")</f>
        <v/>
      </c>
      <c r="AN107" s="126" t="str">
        <f>IF(Tab.o1[[#This Row],[a1]]=1,[1]!T.in.A[[#This Row],[Σp5]],"")</f>
        <v/>
      </c>
      <c r="AO107" s="126" t="str">
        <f>IF(Tab.o1[[#This Row],[a1]]=1,IF(AO$3=1,[1]!T.in.A[[#This Row],[Σp5]],""),"")</f>
        <v/>
      </c>
      <c r="AP107" s="110" t="str">
        <f>IF(Tab.o1[[#This Row],[a1]]=1,IF(ISNUMBER(Tab.o1[[#This Row],[i.]]),NORMDIST(Tab.o1[[#This Row],[Za]],0,1,FALSE)*Tab.o1[[#This Row],[i.]],0),"")</f>
        <v/>
      </c>
      <c r="AQ107" s="125" t="str">
        <f>IF(Tab.o1[[#This Row],[a1]]=1,ABS(Tab.o1[[#This Row],[MOD]]-AVERAGE(Tab.o1[MOD])),"")</f>
        <v/>
      </c>
      <c r="AR107" s="134" t="str">
        <f>IF(Tab.o1[[#This Row],[a1]]=1,Tab.o1[[#This Row],[OBS]]/SUM(Tab.o1[OBS]),"")</f>
        <v/>
      </c>
      <c r="AS107" s="135" t="str">
        <f>IF(ISNUMBER(Tab.o1[[#This Row],[a1]]),ROW()-4,"")</f>
        <v/>
      </c>
      <c r="AT107" s="136" t="str">
        <f>Tab.o1[[#This Row],[MOD]]</f>
        <v/>
      </c>
      <c r="AU107" s="137" t="str">
        <f t="shared" si="5"/>
        <v/>
      </c>
      <c r="AV107" s="138" t="str">
        <f t="shared" si="6"/>
        <v/>
      </c>
      <c r="AW107" s="138" t="str">
        <f t="shared" si="7"/>
        <v/>
      </c>
      <c r="AX107" s="139">
        <f>[1]!T.in.A[[#This Row],[ID_T_manu]]</f>
        <v>7</v>
      </c>
      <c r="AY107" s="140" t="str">
        <f>IF(ISNUMBER(Tab.o1[[#This Row],[a1]]),IF(AND(Tab.o1[[#This Row],[a1]]=1,Tab.o1[[#This Row],[b1]]&lt;=AY$4),#REF!,AY106),"")</f>
        <v/>
      </c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</row>
    <row r="108" spans="1:79" ht="14.25" hidden="1" customHeight="1">
      <c r="A108" s="109">
        <v>-1.0000000000000002E-6</v>
      </c>
      <c r="B108" s="110">
        <f t="shared" si="4"/>
        <v>108</v>
      </c>
      <c r="C108" s="111" t="str">
        <f>IF(C$1=[1]!T.in.A[[#This Row],[oo2]],1,"")</f>
        <v/>
      </c>
      <c r="D108" s="112" t="str">
        <f>IF(Tab.o1[[#This Row],[a1]]=1,IF(SUM(C108:C109)=0,0,IF(SUM(C107:C108)=1,1,IF(SUM(C107:C109)&gt;1,D107+1,0))),"")</f>
        <v/>
      </c>
      <c r="E108" s="113" t="str">
        <f>IF(Tab.o1[[#This Row],[a1]]=1,[1]!T.in.A[[#This Row],[oo1]],"")</f>
        <v/>
      </c>
      <c r="F108" s="113" t="str">
        <f>IF(Tab.o1[[#This Row],[a1]]=1,[1]!T.in.A[[#This Row],[pp1]],"")</f>
        <v/>
      </c>
      <c r="G108" s="114" t="str">
        <f>IF(Tab.o1[[#This Row],[a1]]=1,G$2+IF(G$1=1,0,Tab.o1[[#This Row],[.x1]])+[1]!T.in.A[[#This Row],[oo3]],"")</f>
        <v/>
      </c>
      <c r="H108" s="115" t="str">
        <f>IF(Tab.o1[[#This Row],[a1]]=1,IF(H$2=0,0,IF(G$1=1,0,Tab.o1[[#This Row],[.x1]])+[1]!T.in.A[[#This Row],[oo4]]),"")</f>
        <v/>
      </c>
      <c r="I108" s="116" t="str">
        <f>IF(Tab.o1[[#This Row],[a1]]=1,IF(J$2=0,Tab.o1[[#This Row],[MED]],Tab.o1[[#This Row],[MOD]]),"")</f>
        <v/>
      </c>
      <c r="J108" s="116" t="str">
        <f>IF(Tab.o1[[#This Row],[a1]]=1,((Tab.o1[[#This Row],[DIF_Target.]]-AVERAGE(Tab.o1[DIF_Target.]))/_xlfn.STDEV.P(Tab.o1[DIF_Target.])),"")</f>
        <v/>
      </c>
      <c r="K108" s="117" t="str">
        <f>IF(Tab.o1[[#This Row],[a1]]=1,IF(J$2=0,Tab.o1[[#This Row],[MOD]]-Tab.o1[[#This Row],[B]],IF(J$2=1,0,-Tab.o1[[#This Row],[MED]])+Tab.o1[[#This Row],[B]]),"")</f>
        <v/>
      </c>
      <c r="L108" s="117" t="str">
        <f ca="1">IF(Tab.o1[[#This Row],[DIF_Target]]=0,IF(L$2=0,Tab.o1[[#This Row],[DIF_Target]],AVERAGE(OFFSET(Tab.o1[[#This Row],[DIF_Target]],1,0,L$3,1)))/3,Tab.o1[[#This Row],[DIF_Target]])</f>
        <v/>
      </c>
      <c r="M108" s="118" t="str">
        <f>IF(Tab.o1[[#This Row],[a1]]=1,NORMSDIST(Tab.o1[[#This Row],[Za]]),"")</f>
        <v/>
      </c>
      <c r="N108" s="119" t="str">
        <f>IF(Tab.o1[[#This Row],[a1]]=1,((Tab.o1[[#This Row],[MedMod]]-AVERAGE(Tab.o1[MedMod]))/_xlfn.STDEV.P(Tab.o1[MedMod])*H$1205)+G$1205,"")</f>
        <v/>
      </c>
      <c r="O108" s="141" t="str">
        <f>IF(Tab.o1[[#This Row],[a1]]=1,Tab.o1[[#This Row],[Zb]]*_xlfn.STDEV.P(Tab.o1[MedMod])+AVERAGE(Tab.o1[MedMod]),"")</f>
        <v/>
      </c>
      <c r="P108" s="117" t="str">
        <f ca="1">IF(Tab.o1[[#This Row],[B]]=0,AVERAGE(OFFSET(Tab.o1[[#This Row],[B]],1,0,L$3,1)),Tab.o1[[#This Row],[B]])</f>
        <v/>
      </c>
      <c r="Q108" s="121" t="str">
        <f>IF(Tab.o1[[#This Row],[a1]]=1,NORMSDIST(Tab.o1[[#This Row],[Zb]]),"")</f>
        <v/>
      </c>
      <c r="R108" s="122" t="str">
        <f>IF(Tab.o1[[#This Row],[a1]]=1,((Tab.o1[[#This Row],[MedMod]]-AVERAGE(Tab.o1[MedMod]))/_xlfn.STDEV.P(Tab.o1[MedMod])*H$1203)+G$1203,"")</f>
        <v/>
      </c>
      <c r="S108" s="122" t="str">
        <f>IF(Tab.o1[[#This Row],[a1]]=1,((Tab.o1[[#This Row],[MedMod]]-AVERAGE(Tab.o1[MedMod]))/_xlfn.STDEV.P(Tab.o1[MedMod])*H$1204)+G$1204,"")</f>
        <v/>
      </c>
      <c r="T108" s="123" t="str">
        <f>IF(Tab.o1[[#This Row],[a1]]=1,Tab.o1[[#This Row],[Z-]]*_xlfn.STDEV.P(Tab.o1[B])+AVERAGE(Tab.o1[B]),"")</f>
        <v/>
      </c>
      <c r="U108" s="123" t="str">
        <f>IF(Tab.o1[[#This Row],[a1]]=1,Tab.o1[[#This Row],[z+]]*_xlfn.STDEV.P(Tab.o1[B])+AVERAGE(Tab.o1[B]),"")</f>
        <v/>
      </c>
      <c r="V108" s="124" t="str">
        <f>IF(Tab.o1[[#This Row],[a1]]=1,ABS((ABS(Tab.o1[[#This Row],[Red]]-Tab.o1[[#This Row],[Blue]]))),"")</f>
        <v/>
      </c>
      <c r="W108" s="125" t="str">
        <f>IF(Tab.o1[[#This Row],[a1]]=1,IF(W$3=0,1,Tab.o1[[#This Row],[Amp.]]*1/_xlfn.MINIFS(Tab.o1[Amp.],Tab.o1[Amp.],"&lt;&gt;0")),"")</f>
        <v/>
      </c>
      <c r="X108" s="126" t="str">
        <f>IF(Tab.o1[[#This Row],[a1]]=1,IF(ISNUMBER(Tab.o1[[#This Row],[i.]]),NORMDIST(Tab.o1[[#This Row],[Za]],0,1,FALSE)*Tab.o1[[#This Row],[i.]],AP$3),"")</f>
        <v/>
      </c>
      <c r="Y108" s="126" t="str">
        <f>IF(Tab.o1[[#This Row],[a1]]=1,0.01+0.94*Tab.o1[[#This Row],[PDF]]/MAX(Tab.o1[PDF]),"")</f>
        <v/>
      </c>
      <c r="Z108" s="126" t="str">
        <f>IF(Tab.o1[[#This Row],[a1]]=1,0.01+0.94*Tab.o1[[#This Row],[W1_PDF]]/MAX(Tab.o1[W1_PDF]),"")</f>
        <v/>
      </c>
      <c r="AA108" s="118" t="str">
        <f>IF(Tab.o1[[#This Row],[a1]]=1,ABS([1]!T.in.A[[#This Row],[oo6]]),"")</f>
        <v/>
      </c>
      <c r="AB108" s="127" t="str">
        <f>IF(Tab.o1[[#This Row],[a1]]=1,IF(AE$3=0,"",IF(AB$3=0,ABS([1]!T.in.A[[#This Row],[oo9]]),ABS(Tab.o1[[#This Row],[DIF_Target.]]*Tab.o1[[#This Row],[W1_PDF]]))),"")</f>
        <v/>
      </c>
      <c r="AC108" s="127" t="str">
        <f>IF(G$1=1,"",IF(Tab.o1[[#This Row],[a1]]=1,Tab.o1[[#This Row],[Wr]]^2,""))</f>
        <v/>
      </c>
      <c r="AD108" s="118" t="str">
        <f>IF(Tab.o1[[#This Row],[a1]]=1,IF(AE$3=0,"",Tab.o1[[#This Row],[Wr2]]/SUM(Tab.o1[Wr2])),"")</f>
        <v/>
      </c>
      <c r="AE108" s="128" t="str">
        <f>IF(Tab.o1[[#This Row],[a1]]=1,[1]!T.in.A[[#This Row],[oo10]],"")</f>
        <v/>
      </c>
      <c r="AF108" s="118" t="str">
        <f>IF(Tab.o1[[#This Row],[a1]]=1,ABS(Tab.o1[[#This Row],[DIF_Target.]]*Tab.o1[[#This Row],[PDF2]]*Tab.o1[[#This Row],[IN]]),"")</f>
        <v/>
      </c>
      <c r="AG108" s="129" t="str">
        <f>IF(Tab.o1[[#This Row],[a1]]=1,Tab.o1[[#This Row],[rW]]^2,"")</f>
        <v/>
      </c>
      <c r="AH108" s="130" t="str">
        <f>IF(Tab.o1[[#This Row],[a1]]=1,IF(AH$3=0,Tab.o1[[#This Row],[rW2]],0.01+0.94*Tab.o1[[#This Row],[rW2]]/SUM(Tab.o1[rW2])),"")</f>
        <v/>
      </c>
      <c r="AI108" s="128" t="str">
        <f>IF(Tab.o1[[#This Row],[a1]]=1,1/Tab.o1[[#This Row],[PDF]],"")</f>
        <v/>
      </c>
      <c r="AJ108" s="131" t="str">
        <f>IF(Tab.o1[[#This Row],[a1]]=1,[1]!T_AA[[#This Row],[IN'']]*[1]!T_AA[[#This Row],[Qde'']],"")</f>
        <v/>
      </c>
      <c r="AK108" s="132" t="str">
        <f>IF(Tab.o1[[#This Row],[a1]]=1,IF(AK$1=1,Tab.o1[[#This Row],[MED]]+Tab.o1[[#This Row],[MOD]]-Tab.o1[[#This Row],[MED]],""),"")</f>
        <v/>
      </c>
      <c r="AL108" s="133" t="str">
        <f>IF(Tab.o1[[#This Row],[a1]]=1,[1]!T.in.A[[#This Row],[oo16]],"")</f>
        <v/>
      </c>
      <c r="AM108" s="133" t="str">
        <f>IF(Tab.o1[[#This Row],[a1]]=1,IF(AM$3=1,[1]!T.in.A[[#This Row],[Σo16]],""),"")</f>
        <v/>
      </c>
      <c r="AN108" s="126" t="str">
        <f>IF(Tab.o1[[#This Row],[a1]]=1,[1]!T.in.A[[#This Row],[Σp5]],"")</f>
        <v/>
      </c>
      <c r="AO108" s="126" t="str">
        <f>IF(Tab.o1[[#This Row],[a1]]=1,IF(AO$3=1,[1]!T.in.A[[#This Row],[Σp5]],""),"")</f>
        <v/>
      </c>
      <c r="AP108" s="110" t="str">
        <f>IF(Tab.o1[[#This Row],[a1]]=1,IF(ISNUMBER(Tab.o1[[#This Row],[i.]]),NORMDIST(Tab.o1[[#This Row],[Za]],0,1,FALSE)*Tab.o1[[#This Row],[i.]],0),"")</f>
        <v/>
      </c>
      <c r="AQ108" s="125" t="str">
        <f>IF(Tab.o1[[#This Row],[a1]]=1,ABS(Tab.o1[[#This Row],[MOD]]-AVERAGE(Tab.o1[MOD])),"")</f>
        <v/>
      </c>
      <c r="AR108" s="134" t="str">
        <f>IF(Tab.o1[[#This Row],[a1]]=1,Tab.o1[[#This Row],[OBS]]/SUM(Tab.o1[OBS]),"")</f>
        <v/>
      </c>
      <c r="AS108" s="135" t="str">
        <f>IF(ISNUMBER(Tab.o1[[#This Row],[a1]]),ROW()-4,"")</f>
        <v/>
      </c>
      <c r="AT108" s="136" t="str">
        <f>Tab.o1[[#This Row],[MOD]]</f>
        <v/>
      </c>
      <c r="AU108" s="137" t="str">
        <f t="shared" si="5"/>
        <v/>
      </c>
      <c r="AV108" s="138" t="str">
        <f t="shared" si="6"/>
        <v/>
      </c>
      <c r="AW108" s="138" t="str">
        <f t="shared" si="7"/>
        <v/>
      </c>
      <c r="AX108" s="139" t="str">
        <f>[1]!T.in.A[[#This Row],[ID_T_manu]]</f>
        <v/>
      </c>
      <c r="AY108" s="140" t="str">
        <f>IF(ISNUMBER(Tab.o1[[#This Row],[a1]]),IF(AND(Tab.o1[[#This Row],[a1]]=1,Tab.o1[[#This Row],[b1]]&lt;=AY$4),#REF!,AY107),"")</f>
        <v/>
      </c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</row>
    <row r="109" spans="1:79" ht="14.25" hidden="1" customHeight="1">
      <c r="A109" s="109">
        <v>5.9999999999999993E-6</v>
      </c>
      <c r="B109" s="110">
        <f t="shared" si="4"/>
        <v>109</v>
      </c>
      <c r="C109" s="111" t="str">
        <f>IF(C$1=[1]!T.in.A[[#This Row],[oo2]],1,"")</f>
        <v/>
      </c>
      <c r="D109" s="112" t="str">
        <f>IF(Tab.o1[[#This Row],[a1]]=1,IF(SUM(C109:C110)=0,0,IF(SUM(C108:C109)=1,1,IF(SUM(C108:C110)&gt;1,D108+1,0))),"")</f>
        <v/>
      </c>
      <c r="E109" s="113" t="str">
        <f>IF(Tab.o1[[#This Row],[a1]]=1,[1]!T.in.A[[#This Row],[oo1]],"")</f>
        <v/>
      </c>
      <c r="F109" s="113" t="str">
        <f>IF(Tab.o1[[#This Row],[a1]]=1,[1]!T.in.A[[#This Row],[pp1]],"")</f>
        <v/>
      </c>
      <c r="G109" s="114" t="str">
        <f>IF(Tab.o1[[#This Row],[a1]]=1,G$2+IF(G$1=1,0,Tab.o1[[#This Row],[.x1]])+[1]!T.in.A[[#This Row],[oo3]],"")</f>
        <v/>
      </c>
      <c r="H109" s="115" t="str">
        <f>IF(Tab.o1[[#This Row],[a1]]=1,IF(H$2=0,0,IF(G$1=1,0,Tab.o1[[#This Row],[.x1]])+[1]!T.in.A[[#This Row],[oo4]]),"")</f>
        <v/>
      </c>
      <c r="I109" s="116" t="str">
        <f>IF(Tab.o1[[#This Row],[a1]]=1,IF(J$2=0,Tab.o1[[#This Row],[MED]],Tab.o1[[#This Row],[MOD]]),"")</f>
        <v/>
      </c>
      <c r="J109" s="116" t="str">
        <f>IF(Tab.o1[[#This Row],[a1]]=1,((Tab.o1[[#This Row],[DIF_Target.]]-AVERAGE(Tab.o1[DIF_Target.]))/_xlfn.STDEV.P(Tab.o1[DIF_Target.])),"")</f>
        <v/>
      </c>
      <c r="K109" s="117" t="str">
        <f>IF(Tab.o1[[#This Row],[a1]]=1,IF(J$2=0,Tab.o1[[#This Row],[MOD]]-Tab.o1[[#This Row],[B]],IF(J$2=1,0,-Tab.o1[[#This Row],[MED]])+Tab.o1[[#This Row],[B]]),"")</f>
        <v/>
      </c>
      <c r="L109" s="117" t="str">
        <f ca="1">IF(Tab.o1[[#This Row],[DIF_Target]]=0,IF(L$2=0,Tab.o1[[#This Row],[DIF_Target]],AVERAGE(OFFSET(Tab.o1[[#This Row],[DIF_Target]],1,0,L$3,1)))/3,Tab.o1[[#This Row],[DIF_Target]])</f>
        <v/>
      </c>
      <c r="M109" s="118" t="str">
        <f>IF(Tab.o1[[#This Row],[a1]]=1,NORMSDIST(Tab.o1[[#This Row],[Za]]),"")</f>
        <v/>
      </c>
      <c r="N109" s="119" t="str">
        <f>IF(Tab.o1[[#This Row],[a1]]=1,((Tab.o1[[#This Row],[MedMod]]-AVERAGE(Tab.o1[MedMod]))/_xlfn.STDEV.P(Tab.o1[MedMod])*H$1205)+G$1205,"")</f>
        <v/>
      </c>
      <c r="O109" s="141" t="str">
        <f>IF(Tab.o1[[#This Row],[a1]]=1,Tab.o1[[#This Row],[Zb]]*_xlfn.STDEV.P(Tab.o1[MedMod])+AVERAGE(Tab.o1[MedMod]),"")</f>
        <v/>
      </c>
      <c r="P109" s="117" t="str">
        <f ca="1">IF(Tab.o1[[#This Row],[B]]=0,AVERAGE(OFFSET(Tab.o1[[#This Row],[B]],1,0,L$3,1)),Tab.o1[[#This Row],[B]])</f>
        <v/>
      </c>
      <c r="Q109" s="121" t="str">
        <f>IF(Tab.o1[[#This Row],[a1]]=1,NORMSDIST(Tab.o1[[#This Row],[Zb]]),"")</f>
        <v/>
      </c>
      <c r="R109" s="122" t="str">
        <f>IF(Tab.o1[[#This Row],[a1]]=1,((Tab.o1[[#This Row],[MedMod]]-AVERAGE(Tab.o1[MedMod]))/_xlfn.STDEV.P(Tab.o1[MedMod])*H$1203)+G$1203,"")</f>
        <v/>
      </c>
      <c r="S109" s="122" t="str">
        <f>IF(Tab.o1[[#This Row],[a1]]=1,((Tab.o1[[#This Row],[MedMod]]-AVERAGE(Tab.o1[MedMod]))/_xlfn.STDEV.P(Tab.o1[MedMod])*H$1204)+G$1204,"")</f>
        <v/>
      </c>
      <c r="T109" s="123" t="str">
        <f>IF(Tab.o1[[#This Row],[a1]]=1,Tab.o1[[#This Row],[Z-]]*_xlfn.STDEV.P(Tab.o1[B])+AVERAGE(Tab.o1[B]),"")</f>
        <v/>
      </c>
      <c r="U109" s="123" t="str">
        <f>IF(Tab.o1[[#This Row],[a1]]=1,Tab.o1[[#This Row],[z+]]*_xlfn.STDEV.P(Tab.o1[B])+AVERAGE(Tab.o1[B]),"")</f>
        <v/>
      </c>
      <c r="V109" s="124" t="str">
        <f>IF(Tab.o1[[#This Row],[a1]]=1,ABS((ABS(Tab.o1[[#This Row],[Red]]-Tab.o1[[#This Row],[Blue]]))),"")</f>
        <v/>
      </c>
      <c r="W109" s="125" t="str">
        <f>IF(Tab.o1[[#This Row],[a1]]=1,IF(W$3=0,1,Tab.o1[[#This Row],[Amp.]]*1/_xlfn.MINIFS(Tab.o1[Amp.],Tab.o1[Amp.],"&lt;&gt;0")),"")</f>
        <v/>
      </c>
      <c r="X109" s="126" t="str">
        <f>IF(Tab.o1[[#This Row],[a1]]=1,IF(ISNUMBER(Tab.o1[[#This Row],[i.]]),NORMDIST(Tab.o1[[#This Row],[Za]],0,1,FALSE)*Tab.o1[[#This Row],[i.]],AP$3),"")</f>
        <v/>
      </c>
      <c r="Y109" s="126" t="str">
        <f>IF(Tab.o1[[#This Row],[a1]]=1,0.01+0.94*Tab.o1[[#This Row],[PDF]]/MAX(Tab.o1[PDF]),"")</f>
        <v/>
      </c>
      <c r="Z109" s="126" t="str">
        <f>IF(Tab.o1[[#This Row],[a1]]=1,0.01+0.94*Tab.o1[[#This Row],[W1_PDF]]/MAX(Tab.o1[W1_PDF]),"")</f>
        <v/>
      </c>
      <c r="AA109" s="118" t="str">
        <f>IF(Tab.o1[[#This Row],[a1]]=1,ABS([1]!T.in.A[[#This Row],[oo6]]),"")</f>
        <v/>
      </c>
      <c r="AB109" s="127" t="str">
        <f>IF(Tab.o1[[#This Row],[a1]]=1,IF(AE$3=0,"",IF(AB$3=0,ABS([1]!T.in.A[[#This Row],[oo9]]),ABS(Tab.o1[[#This Row],[DIF_Target.]]*Tab.o1[[#This Row],[W1_PDF]]))),"")</f>
        <v/>
      </c>
      <c r="AC109" s="127" t="str">
        <f>IF(G$1=1,"",IF(Tab.o1[[#This Row],[a1]]=1,Tab.o1[[#This Row],[Wr]]^2,""))</f>
        <v/>
      </c>
      <c r="AD109" s="118" t="str">
        <f>IF(Tab.o1[[#This Row],[a1]]=1,IF(AE$3=0,"",Tab.o1[[#This Row],[Wr2]]/SUM(Tab.o1[Wr2])),"")</f>
        <v/>
      </c>
      <c r="AE109" s="128" t="str">
        <f>IF(Tab.o1[[#This Row],[a1]]=1,[1]!T.in.A[[#This Row],[oo10]],"")</f>
        <v/>
      </c>
      <c r="AF109" s="118" t="str">
        <f>IF(Tab.o1[[#This Row],[a1]]=1,ABS(Tab.o1[[#This Row],[DIF_Target.]]*Tab.o1[[#This Row],[PDF2]]*Tab.o1[[#This Row],[IN]]),"")</f>
        <v/>
      </c>
      <c r="AG109" s="129" t="str">
        <f>IF(Tab.o1[[#This Row],[a1]]=1,Tab.o1[[#This Row],[rW]]^2,"")</f>
        <v/>
      </c>
      <c r="AH109" s="130" t="str">
        <f>IF(Tab.o1[[#This Row],[a1]]=1,IF(AH$3=0,Tab.o1[[#This Row],[rW2]],0.01+0.94*Tab.o1[[#This Row],[rW2]]/SUM(Tab.o1[rW2])),"")</f>
        <v/>
      </c>
      <c r="AI109" s="128" t="str">
        <f>IF(Tab.o1[[#This Row],[a1]]=1,1/Tab.o1[[#This Row],[PDF]],"")</f>
        <v/>
      </c>
      <c r="AJ109" s="131" t="str">
        <f>IF(Tab.o1[[#This Row],[a1]]=1,[1]!T_AA[[#This Row],[IN'']]*[1]!T_AA[[#This Row],[Qde'']],"")</f>
        <v/>
      </c>
      <c r="AK109" s="132" t="str">
        <f>IF(Tab.o1[[#This Row],[a1]]=1,IF(AK$1=1,Tab.o1[[#This Row],[MED]]+Tab.o1[[#This Row],[MOD]]-Tab.o1[[#This Row],[MED]],""),"")</f>
        <v/>
      </c>
      <c r="AL109" s="133" t="str">
        <f>IF(Tab.o1[[#This Row],[a1]]=1,[1]!T.in.A[[#This Row],[oo16]],"")</f>
        <v/>
      </c>
      <c r="AM109" s="133" t="str">
        <f>IF(Tab.o1[[#This Row],[a1]]=1,IF(AM$3=1,[1]!T.in.A[[#This Row],[Σo16]],""),"")</f>
        <v/>
      </c>
      <c r="AN109" s="126" t="str">
        <f>IF(Tab.o1[[#This Row],[a1]]=1,[1]!T.in.A[[#This Row],[Σp5]],"")</f>
        <v/>
      </c>
      <c r="AO109" s="126" t="str">
        <f>IF(Tab.o1[[#This Row],[a1]]=1,IF(AO$3=1,[1]!T.in.A[[#This Row],[Σp5]],""),"")</f>
        <v/>
      </c>
      <c r="AP109" s="110" t="str">
        <f>IF(Tab.o1[[#This Row],[a1]]=1,IF(ISNUMBER(Tab.o1[[#This Row],[i.]]),NORMDIST(Tab.o1[[#This Row],[Za]],0,1,FALSE)*Tab.o1[[#This Row],[i.]],0),"")</f>
        <v/>
      </c>
      <c r="AQ109" s="125" t="str">
        <f>IF(Tab.o1[[#This Row],[a1]]=1,ABS(Tab.o1[[#This Row],[MOD]]-AVERAGE(Tab.o1[MOD])),"")</f>
        <v/>
      </c>
      <c r="AR109" s="134" t="str">
        <f>IF(Tab.o1[[#This Row],[a1]]=1,Tab.o1[[#This Row],[OBS]]/SUM(Tab.o1[OBS]),"")</f>
        <v/>
      </c>
      <c r="AS109" s="135" t="str">
        <f>IF(ISNUMBER(Tab.o1[[#This Row],[a1]]),ROW()-4,"")</f>
        <v/>
      </c>
      <c r="AT109" s="136" t="str">
        <f>Tab.o1[[#This Row],[MOD]]</f>
        <v/>
      </c>
      <c r="AU109" s="137" t="str">
        <f t="shared" si="5"/>
        <v/>
      </c>
      <c r="AV109" s="138" t="str">
        <f t="shared" si="6"/>
        <v/>
      </c>
      <c r="AW109" s="138" t="str">
        <f t="shared" si="7"/>
        <v/>
      </c>
      <c r="AX109" s="139" t="str">
        <f>[1]!T.in.A[[#This Row],[ID_T_manu]]</f>
        <v/>
      </c>
      <c r="AY109" s="140" t="str">
        <f>IF(ISNUMBER(Tab.o1[[#This Row],[a1]]),IF(AND(Tab.o1[[#This Row],[a1]]=1,Tab.o1[[#This Row],[b1]]&lt;=AY$4),#REF!,AY108),"")</f>
        <v/>
      </c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</row>
    <row r="110" spans="1:79" ht="14.25" hidden="1" customHeight="1">
      <c r="A110" s="109">
        <v>-8.0000000000000013E-6</v>
      </c>
      <c r="B110" s="110">
        <f t="shared" si="4"/>
        <v>110</v>
      </c>
      <c r="C110" s="111" t="str">
        <f>IF(C$1=[1]!T.in.A[[#This Row],[oo2]],1,"")</f>
        <v/>
      </c>
      <c r="D110" s="112" t="str">
        <f>IF(Tab.o1[[#This Row],[a1]]=1,IF(SUM(C110:C111)=0,0,IF(SUM(C109:C110)=1,1,IF(SUM(C109:C111)&gt;1,D109+1,0))),"")</f>
        <v/>
      </c>
      <c r="E110" s="113" t="str">
        <f>IF(Tab.o1[[#This Row],[a1]]=1,[1]!T.in.A[[#This Row],[oo1]],"")</f>
        <v/>
      </c>
      <c r="F110" s="113" t="str">
        <f>IF(Tab.o1[[#This Row],[a1]]=1,[1]!T.in.A[[#This Row],[pp1]],"")</f>
        <v/>
      </c>
      <c r="G110" s="114" t="str">
        <f>IF(Tab.o1[[#This Row],[a1]]=1,G$2+IF(G$1=1,0,Tab.o1[[#This Row],[.x1]])+[1]!T.in.A[[#This Row],[oo3]],"")</f>
        <v/>
      </c>
      <c r="H110" s="115" t="str">
        <f>IF(Tab.o1[[#This Row],[a1]]=1,IF(H$2=0,0,IF(G$1=1,0,Tab.o1[[#This Row],[.x1]])+[1]!T.in.A[[#This Row],[oo4]]),"")</f>
        <v/>
      </c>
      <c r="I110" s="116" t="str">
        <f>IF(Tab.o1[[#This Row],[a1]]=1,IF(J$2=0,Tab.o1[[#This Row],[MED]],Tab.o1[[#This Row],[MOD]]),"")</f>
        <v/>
      </c>
      <c r="J110" s="116" t="str">
        <f>IF(Tab.o1[[#This Row],[a1]]=1,((Tab.o1[[#This Row],[DIF_Target.]]-AVERAGE(Tab.o1[DIF_Target.]))/_xlfn.STDEV.P(Tab.o1[DIF_Target.])),"")</f>
        <v/>
      </c>
      <c r="K110" s="117" t="str">
        <f>IF(Tab.o1[[#This Row],[a1]]=1,IF(J$2=0,Tab.o1[[#This Row],[MOD]]-Tab.o1[[#This Row],[B]],IF(J$2=1,0,-Tab.o1[[#This Row],[MED]])+Tab.o1[[#This Row],[B]]),"")</f>
        <v/>
      </c>
      <c r="L110" s="117" t="str">
        <f ca="1">IF(Tab.o1[[#This Row],[DIF_Target]]=0,IF(L$2=0,Tab.o1[[#This Row],[DIF_Target]],AVERAGE(OFFSET(Tab.o1[[#This Row],[DIF_Target]],1,0,L$3,1)))/3,Tab.o1[[#This Row],[DIF_Target]])</f>
        <v/>
      </c>
      <c r="M110" s="118" t="str">
        <f>IF(Tab.o1[[#This Row],[a1]]=1,NORMSDIST(Tab.o1[[#This Row],[Za]]),"")</f>
        <v/>
      </c>
      <c r="N110" s="119" t="str">
        <f>IF(Tab.o1[[#This Row],[a1]]=1,((Tab.o1[[#This Row],[MedMod]]-AVERAGE(Tab.o1[MedMod]))/_xlfn.STDEV.P(Tab.o1[MedMod])*H$1205)+G$1205,"")</f>
        <v/>
      </c>
      <c r="O110" s="141" t="str">
        <f>IF(Tab.o1[[#This Row],[a1]]=1,Tab.o1[[#This Row],[Zb]]*_xlfn.STDEV.P(Tab.o1[MedMod])+AVERAGE(Tab.o1[MedMod]),"")</f>
        <v/>
      </c>
      <c r="P110" s="117" t="str">
        <f ca="1">IF(Tab.o1[[#This Row],[B]]=0,AVERAGE(OFFSET(Tab.o1[[#This Row],[B]],1,0,L$3,1)),Tab.o1[[#This Row],[B]])</f>
        <v/>
      </c>
      <c r="Q110" s="121" t="str">
        <f>IF(Tab.o1[[#This Row],[a1]]=1,NORMSDIST(Tab.o1[[#This Row],[Zb]]),"")</f>
        <v/>
      </c>
      <c r="R110" s="122" t="str">
        <f>IF(Tab.o1[[#This Row],[a1]]=1,((Tab.o1[[#This Row],[MedMod]]-AVERAGE(Tab.o1[MedMod]))/_xlfn.STDEV.P(Tab.o1[MedMod])*H$1203)+G$1203,"")</f>
        <v/>
      </c>
      <c r="S110" s="122" t="str">
        <f>IF(Tab.o1[[#This Row],[a1]]=1,((Tab.o1[[#This Row],[MedMod]]-AVERAGE(Tab.o1[MedMod]))/_xlfn.STDEV.P(Tab.o1[MedMod])*H$1204)+G$1204,"")</f>
        <v/>
      </c>
      <c r="T110" s="123" t="str">
        <f>IF(Tab.o1[[#This Row],[a1]]=1,Tab.o1[[#This Row],[Z-]]*_xlfn.STDEV.P(Tab.o1[B])+AVERAGE(Tab.o1[B]),"")</f>
        <v/>
      </c>
      <c r="U110" s="123" t="str">
        <f>IF(Tab.o1[[#This Row],[a1]]=1,Tab.o1[[#This Row],[z+]]*_xlfn.STDEV.P(Tab.o1[B])+AVERAGE(Tab.o1[B]),"")</f>
        <v/>
      </c>
      <c r="V110" s="124" t="str">
        <f>IF(Tab.o1[[#This Row],[a1]]=1,ABS((ABS(Tab.o1[[#This Row],[Red]]-Tab.o1[[#This Row],[Blue]]))),"")</f>
        <v/>
      </c>
      <c r="W110" s="125" t="str">
        <f>IF(Tab.o1[[#This Row],[a1]]=1,IF(W$3=0,1,Tab.o1[[#This Row],[Amp.]]*1/_xlfn.MINIFS(Tab.o1[Amp.],Tab.o1[Amp.],"&lt;&gt;0")),"")</f>
        <v/>
      </c>
      <c r="X110" s="126" t="str">
        <f>IF(Tab.o1[[#This Row],[a1]]=1,IF(ISNUMBER(Tab.o1[[#This Row],[i.]]),NORMDIST(Tab.o1[[#This Row],[Za]],0,1,FALSE)*Tab.o1[[#This Row],[i.]],AP$3),"")</f>
        <v/>
      </c>
      <c r="Y110" s="126" t="str">
        <f>IF(Tab.o1[[#This Row],[a1]]=1,0.01+0.94*Tab.o1[[#This Row],[PDF]]/MAX(Tab.o1[PDF]),"")</f>
        <v/>
      </c>
      <c r="Z110" s="126" t="str">
        <f>IF(Tab.o1[[#This Row],[a1]]=1,0.01+0.94*Tab.o1[[#This Row],[W1_PDF]]/MAX(Tab.o1[W1_PDF]),"")</f>
        <v/>
      </c>
      <c r="AA110" s="118" t="str">
        <f>IF(Tab.o1[[#This Row],[a1]]=1,ABS([1]!T.in.A[[#This Row],[oo6]]),"")</f>
        <v/>
      </c>
      <c r="AB110" s="127" t="str">
        <f>IF(Tab.o1[[#This Row],[a1]]=1,IF(AE$3=0,"",IF(AB$3=0,ABS([1]!T.in.A[[#This Row],[oo9]]),ABS(Tab.o1[[#This Row],[DIF_Target.]]*Tab.o1[[#This Row],[W1_PDF]]))),"")</f>
        <v/>
      </c>
      <c r="AC110" s="127" t="str">
        <f>IF(G$1=1,"",IF(Tab.o1[[#This Row],[a1]]=1,Tab.o1[[#This Row],[Wr]]^2,""))</f>
        <v/>
      </c>
      <c r="AD110" s="118" t="str">
        <f>IF(Tab.o1[[#This Row],[a1]]=1,IF(AE$3=0,"",Tab.o1[[#This Row],[Wr2]]/SUM(Tab.o1[Wr2])),"")</f>
        <v/>
      </c>
      <c r="AE110" s="128" t="str">
        <f>IF(Tab.o1[[#This Row],[a1]]=1,[1]!T.in.A[[#This Row],[oo10]],"")</f>
        <v/>
      </c>
      <c r="AF110" s="118" t="str">
        <f>IF(Tab.o1[[#This Row],[a1]]=1,ABS(Tab.o1[[#This Row],[DIF_Target.]]*Tab.o1[[#This Row],[PDF2]]*Tab.o1[[#This Row],[IN]]),"")</f>
        <v/>
      </c>
      <c r="AG110" s="129" t="str">
        <f>IF(Tab.o1[[#This Row],[a1]]=1,Tab.o1[[#This Row],[rW]]^2,"")</f>
        <v/>
      </c>
      <c r="AH110" s="130" t="str">
        <f>IF(Tab.o1[[#This Row],[a1]]=1,IF(AH$3=0,Tab.o1[[#This Row],[rW2]],0.01+0.94*Tab.o1[[#This Row],[rW2]]/SUM(Tab.o1[rW2])),"")</f>
        <v/>
      </c>
      <c r="AI110" s="128" t="str">
        <f>IF(Tab.o1[[#This Row],[a1]]=1,1/Tab.o1[[#This Row],[PDF]],"")</f>
        <v/>
      </c>
      <c r="AJ110" s="131" t="str">
        <f>IF(Tab.o1[[#This Row],[a1]]=1,[1]!T_AA[[#This Row],[IN'']]*[1]!T_AA[[#This Row],[Qde'']],"")</f>
        <v/>
      </c>
      <c r="AK110" s="132" t="str">
        <f>IF(Tab.o1[[#This Row],[a1]]=1,IF(AK$1=1,Tab.o1[[#This Row],[MED]]+Tab.o1[[#This Row],[MOD]]-Tab.o1[[#This Row],[MED]],""),"")</f>
        <v/>
      </c>
      <c r="AL110" s="133" t="str">
        <f>IF(Tab.o1[[#This Row],[a1]]=1,[1]!T.in.A[[#This Row],[oo16]],"")</f>
        <v/>
      </c>
      <c r="AM110" s="133" t="str">
        <f>IF(Tab.o1[[#This Row],[a1]]=1,IF(AM$3=1,[1]!T.in.A[[#This Row],[Σo16]],""),"")</f>
        <v/>
      </c>
      <c r="AN110" s="126" t="str">
        <f>IF(Tab.o1[[#This Row],[a1]]=1,[1]!T.in.A[[#This Row],[Σp5]],"")</f>
        <v/>
      </c>
      <c r="AO110" s="126" t="str">
        <f>IF(Tab.o1[[#This Row],[a1]]=1,IF(AO$3=1,[1]!T.in.A[[#This Row],[Σp5]],""),"")</f>
        <v/>
      </c>
      <c r="AP110" s="110" t="str">
        <f>IF(Tab.o1[[#This Row],[a1]]=1,IF(ISNUMBER(Tab.o1[[#This Row],[i.]]),NORMDIST(Tab.o1[[#This Row],[Za]],0,1,FALSE)*Tab.o1[[#This Row],[i.]],0),"")</f>
        <v/>
      </c>
      <c r="AQ110" s="125" t="str">
        <f>IF(Tab.o1[[#This Row],[a1]]=1,ABS(Tab.o1[[#This Row],[MOD]]-AVERAGE(Tab.o1[MOD])),"")</f>
        <v/>
      </c>
      <c r="AR110" s="134" t="str">
        <f>IF(Tab.o1[[#This Row],[a1]]=1,Tab.o1[[#This Row],[OBS]]/SUM(Tab.o1[OBS]),"")</f>
        <v/>
      </c>
      <c r="AS110" s="135" t="str">
        <f>IF(ISNUMBER(Tab.o1[[#This Row],[a1]]),ROW()-4,"")</f>
        <v/>
      </c>
      <c r="AT110" s="136" t="str">
        <f>Tab.o1[[#This Row],[MOD]]</f>
        <v/>
      </c>
      <c r="AU110" s="137" t="str">
        <f t="shared" si="5"/>
        <v/>
      </c>
      <c r="AV110" s="138" t="str">
        <f t="shared" si="6"/>
        <v/>
      </c>
      <c r="AW110" s="138" t="str">
        <f t="shared" si="7"/>
        <v/>
      </c>
      <c r="AX110" s="139">
        <f>[1]!T.in.A[[#This Row],[ID_T_manu]]</f>
        <v>8</v>
      </c>
      <c r="AY110" s="140" t="str">
        <f>IF(ISNUMBER(Tab.o1[[#This Row],[a1]]),IF(AND(Tab.o1[[#This Row],[a1]]=1,Tab.o1[[#This Row],[b1]]&lt;=AY$4),#REF!,AY109),"")</f>
        <v/>
      </c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</row>
    <row r="111" spans="1:79" ht="14.25" hidden="1" customHeight="1">
      <c r="A111" s="109">
        <v>-5.9999999999999993E-6</v>
      </c>
      <c r="B111" s="110">
        <f t="shared" si="4"/>
        <v>111</v>
      </c>
      <c r="C111" s="111" t="str">
        <f>IF(C$1=[1]!T.in.A[[#This Row],[oo2]],1,"")</f>
        <v/>
      </c>
      <c r="D111" s="112" t="str">
        <f>IF(Tab.o1[[#This Row],[a1]]=1,IF(SUM(C111:C112)=0,0,IF(SUM(C110:C111)=1,1,IF(SUM(C110:C112)&gt;1,D110+1,0))),"")</f>
        <v/>
      </c>
      <c r="E111" s="113" t="str">
        <f>IF(Tab.o1[[#This Row],[a1]]=1,[1]!T.in.A[[#This Row],[oo1]],"")</f>
        <v/>
      </c>
      <c r="F111" s="113" t="str">
        <f>IF(Tab.o1[[#This Row],[a1]]=1,[1]!T.in.A[[#This Row],[pp1]],"")</f>
        <v/>
      </c>
      <c r="G111" s="114" t="str">
        <f>IF(Tab.o1[[#This Row],[a1]]=1,G$2+IF(G$1=1,0,Tab.o1[[#This Row],[.x1]])+[1]!T.in.A[[#This Row],[oo3]],"")</f>
        <v/>
      </c>
      <c r="H111" s="115" t="str">
        <f>IF(Tab.o1[[#This Row],[a1]]=1,IF(H$2=0,0,IF(G$1=1,0,Tab.o1[[#This Row],[.x1]])+[1]!T.in.A[[#This Row],[oo4]]),"")</f>
        <v/>
      </c>
      <c r="I111" s="116" t="str">
        <f>IF(Tab.o1[[#This Row],[a1]]=1,IF(J$2=0,Tab.o1[[#This Row],[MED]],Tab.o1[[#This Row],[MOD]]),"")</f>
        <v/>
      </c>
      <c r="J111" s="116" t="str">
        <f>IF(Tab.o1[[#This Row],[a1]]=1,((Tab.o1[[#This Row],[DIF_Target.]]-AVERAGE(Tab.o1[DIF_Target.]))/_xlfn.STDEV.P(Tab.o1[DIF_Target.])),"")</f>
        <v/>
      </c>
      <c r="K111" s="117" t="str">
        <f>IF(Tab.o1[[#This Row],[a1]]=1,IF(J$2=0,Tab.o1[[#This Row],[MOD]]-Tab.o1[[#This Row],[B]],IF(J$2=1,0,-Tab.o1[[#This Row],[MED]])+Tab.o1[[#This Row],[B]]),"")</f>
        <v/>
      </c>
      <c r="L111" s="117" t="str">
        <f ca="1">IF(Tab.o1[[#This Row],[DIF_Target]]=0,IF(L$2=0,Tab.o1[[#This Row],[DIF_Target]],AVERAGE(OFFSET(Tab.o1[[#This Row],[DIF_Target]],1,0,L$3,1)))/3,Tab.o1[[#This Row],[DIF_Target]])</f>
        <v/>
      </c>
      <c r="M111" s="118" t="str">
        <f>IF(Tab.o1[[#This Row],[a1]]=1,NORMSDIST(Tab.o1[[#This Row],[Za]]),"")</f>
        <v/>
      </c>
      <c r="N111" s="119" t="str">
        <f>IF(Tab.o1[[#This Row],[a1]]=1,((Tab.o1[[#This Row],[MedMod]]-AVERAGE(Tab.o1[MedMod]))/_xlfn.STDEV.P(Tab.o1[MedMod])*H$1205)+G$1205,"")</f>
        <v/>
      </c>
      <c r="O111" s="141" t="str">
        <f>IF(Tab.o1[[#This Row],[a1]]=1,Tab.o1[[#This Row],[Zb]]*_xlfn.STDEV.P(Tab.o1[MedMod])+AVERAGE(Tab.o1[MedMod]),"")</f>
        <v/>
      </c>
      <c r="P111" s="117" t="str">
        <f ca="1">IF(Tab.o1[[#This Row],[B]]=0,AVERAGE(OFFSET(Tab.o1[[#This Row],[B]],1,0,L$3,1)),Tab.o1[[#This Row],[B]])</f>
        <v/>
      </c>
      <c r="Q111" s="121" t="str">
        <f>IF(Tab.o1[[#This Row],[a1]]=1,NORMSDIST(Tab.o1[[#This Row],[Zb]]),"")</f>
        <v/>
      </c>
      <c r="R111" s="122" t="str">
        <f>IF(Tab.o1[[#This Row],[a1]]=1,((Tab.o1[[#This Row],[MedMod]]-AVERAGE(Tab.o1[MedMod]))/_xlfn.STDEV.P(Tab.o1[MedMod])*H$1203)+G$1203,"")</f>
        <v/>
      </c>
      <c r="S111" s="122" t="str">
        <f>IF(Tab.o1[[#This Row],[a1]]=1,((Tab.o1[[#This Row],[MedMod]]-AVERAGE(Tab.o1[MedMod]))/_xlfn.STDEV.P(Tab.o1[MedMod])*H$1204)+G$1204,"")</f>
        <v/>
      </c>
      <c r="T111" s="123" t="str">
        <f>IF(Tab.o1[[#This Row],[a1]]=1,Tab.o1[[#This Row],[Z-]]*_xlfn.STDEV.P(Tab.o1[B])+AVERAGE(Tab.o1[B]),"")</f>
        <v/>
      </c>
      <c r="U111" s="123" t="str">
        <f>IF(Tab.o1[[#This Row],[a1]]=1,Tab.o1[[#This Row],[z+]]*_xlfn.STDEV.P(Tab.o1[B])+AVERAGE(Tab.o1[B]),"")</f>
        <v/>
      </c>
      <c r="V111" s="124" t="str">
        <f>IF(Tab.o1[[#This Row],[a1]]=1,ABS((ABS(Tab.o1[[#This Row],[Red]]-Tab.o1[[#This Row],[Blue]]))),"")</f>
        <v/>
      </c>
      <c r="W111" s="125" t="str">
        <f>IF(Tab.o1[[#This Row],[a1]]=1,IF(W$3=0,1,Tab.o1[[#This Row],[Amp.]]*1/_xlfn.MINIFS(Tab.o1[Amp.],Tab.o1[Amp.],"&lt;&gt;0")),"")</f>
        <v/>
      </c>
      <c r="X111" s="126" t="str">
        <f>IF(Tab.o1[[#This Row],[a1]]=1,IF(ISNUMBER(Tab.o1[[#This Row],[i.]]),NORMDIST(Tab.o1[[#This Row],[Za]],0,1,FALSE)*Tab.o1[[#This Row],[i.]],AP$3),"")</f>
        <v/>
      </c>
      <c r="Y111" s="126" t="str">
        <f>IF(Tab.o1[[#This Row],[a1]]=1,0.01+0.94*Tab.o1[[#This Row],[PDF]]/MAX(Tab.o1[PDF]),"")</f>
        <v/>
      </c>
      <c r="Z111" s="126" t="str">
        <f>IF(Tab.o1[[#This Row],[a1]]=1,0.01+0.94*Tab.o1[[#This Row],[W1_PDF]]/MAX(Tab.o1[W1_PDF]),"")</f>
        <v/>
      </c>
      <c r="AA111" s="118" t="str">
        <f>IF(Tab.o1[[#This Row],[a1]]=1,ABS([1]!T.in.A[[#This Row],[oo6]]),"")</f>
        <v/>
      </c>
      <c r="AB111" s="127" t="str">
        <f>IF(Tab.o1[[#This Row],[a1]]=1,IF(AE$3=0,"",IF(AB$3=0,ABS([1]!T.in.A[[#This Row],[oo9]]),ABS(Tab.o1[[#This Row],[DIF_Target.]]*Tab.o1[[#This Row],[W1_PDF]]))),"")</f>
        <v/>
      </c>
      <c r="AC111" s="127" t="str">
        <f>IF(G$1=1,"",IF(Tab.o1[[#This Row],[a1]]=1,Tab.o1[[#This Row],[Wr]]^2,""))</f>
        <v/>
      </c>
      <c r="AD111" s="118" t="str">
        <f>IF(Tab.o1[[#This Row],[a1]]=1,IF(AE$3=0,"",Tab.o1[[#This Row],[Wr2]]/SUM(Tab.o1[Wr2])),"")</f>
        <v/>
      </c>
      <c r="AE111" s="128" t="str">
        <f>IF(Tab.o1[[#This Row],[a1]]=1,[1]!T.in.A[[#This Row],[oo10]],"")</f>
        <v/>
      </c>
      <c r="AF111" s="118" t="str">
        <f>IF(Tab.o1[[#This Row],[a1]]=1,ABS(Tab.o1[[#This Row],[DIF_Target.]]*Tab.o1[[#This Row],[PDF2]]*Tab.o1[[#This Row],[IN]]),"")</f>
        <v/>
      </c>
      <c r="AG111" s="129" t="str">
        <f>IF(Tab.o1[[#This Row],[a1]]=1,Tab.o1[[#This Row],[rW]]^2,"")</f>
        <v/>
      </c>
      <c r="AH111" s="130" t="str">
        <f>IF(Tab.o1[[#This Row],[a1]]=1,IF(AH$3=0,Tab.o1[[#This Row],[rW2]],0.01+0.94*Tab.o1[[#This Row],[rW2]]/SUM(Tab.o1[rW2])),"")</f>
        <v/>
      </c>
      <c r="AI111" s="128" t="str">
        <f>IF(Tab.o1[[#This Row],[a1]]=1,1/Tab.o1[[#This Row],[PDF]],"")</f>
        <v/>
      </c>
      <c r="AJ111" s="131" t="str">
        <f>IF(Tab.o1[[#This Row],[a1]]=1,[1]!T_AA[[#This Row],[IN'']]*[1]!T_AA[[#This Row],[Qde'']],"")</f>
        <v/>
      </c>
      <c r="AK111" s="132" t="str">
        <f>IF(Tab.o1[[#This Row],[a1]]=1,IF(AK$1=1,Tab.o1[[#This Row],[MED]]+Tab.o1[[#This Row],[MOD]]-Tab.o1[[#This Row],[MED]],""),"")</f>
        <v/>
      </c>
      <c r="AL111" s="133" t="str">
        <f>IF(Tab.o1[[#This Row],[a1]]=1,[1]!T.in.A[[#This Row],[oo16]],"")</f>
        <v/>
      </c>
      <c r="AM111" s="133" t="str">
        <f>IF(Tab.o1[[#This Row],[a1]]=1,IF(AM$3=1,[1]!T.in.A[[#This Row],[Σo16]],""),"")</f>
        <v/>
      </c>
      <c r="AN111" s="126" t="str">
        <f>IF(Tab.o1[[#This Row],[a1]]=1,[1]!T.in.A[[#This Row],[Σp5]],"")</f>
        <v/>
      </c>
      <c r="AO111" s="126" t="str">
        <f>IF(Tab.o1[[#This Row],[a1]]=1,IF(AO$3=1,[1]!T.in.A[[#This Row],[Σp5]],""),"")</f>
        <v/>
      </c>
      <c r="AP111" s="110" t="str">
        <f>IF(Tab.o1[[#This Row],[a1]]=1,IF(ISNUMBER(Tab.o1[[#This Row],[i.]]),NORMDIST(Tab.o1[[#This Row],[Za]],0,1,FALSE)*Tab.o1[[#This Row],[i.]],0),"")</f>
        <v/>
      </c>
      <c r="AQ111" s="125" t="str">
        <f>IF(Tab.o1[[#This Row],[a1]]=1,ABS(Tab.o1[[#This Row],[MOD]]-AVERAGE(Tab.o1[MOD])),"")</f>
        <v/>
      </c>
      <c r="AR111" s="134" t="str">
        <f>IF(Tab.o1[[#This Row],[a1]]=1,Tab.o1[[#This Row],[OBS]]/SUM(Tab.o1[OBS]),"")</f>
        <v/>
      </c>
      <c r="AS111" s="135" t="str">
        <f>IF(ISNUMBER(Tab.o1[[#This Row],[a1]]),ROW()-4,"")</f>
        <v/>
      </c>
      <c r="AT111" s="136" t="str">
        <f>Tab.o1[[#This Row],[MOD]]</f>
        <v/>
      </c>
      <c r="AU111" s="137" t="str">
        <f t="shared" si="5"/>
        <v/>
      </c>
      <c r="AV111" s="138" t="str">
        <f t="shared" si="6"/>
        <v/>
      </c>
      <c r="AW111" s="138" t="str">
        <f t="shared" si="7"/>
        <v/>
      </c>
      <c r="AX111" s="139" t="str">
        <f>[1]!T.in.A[[#This Row],[ID_T_manu]]</f>
        <v/>
      </c>
      <c r="AY111" s="140" t="str">
        <f>IF(ISNUMBER(Tab.o1[[#This Row],[a1]]),IF(AND(Tab.o1[[#This Row],[a1]]=1,Tab.o1[[#This Row],[b1]]&lt;=AY$4),#REF!,AY110),"")</f>
        <v/>
      </c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</row>
    <row r="112" spans="1:79" ht="14.25" hidden="1" customHeight="1">
      <c r="A112" s="109">
        <v>1.0000000000000001E-5</v>
      </c>
      <c r="B112" s="110">
        <f t="shared" si="4"/>
        <v>112</v>
      </c>
      <c r="C112" s="111" t="str">
        <f>IF(C$1=[1]!T.in.A[[#This Row],[oo2]],1,"")</f>
        <v/>
      </c>
      <c r="D112" s="112" t="str">
        <f>IF(Tab.o1[[#This Row],[a1]]=1,IF(SUM(C112:C113)=0,0,IF(SUM(C111:C112)=1,1,IF(SUM(C111:C113)&gt;1,D111+1,0))),"")</f>
        <v/>
      </c>
      <c r="E112" s="113" t="str">
        <f>IF(Tab.o1[[#This Row],[a1]]=1,[1]!T.in.A[[#This Row],[oo1]],"")</f>
        <v/>
      </c>
      <c r="F112" s="113" t="str">
        <f>IF(Tab.o1[[#This Row],[a1]]=1,[1]!T.in.A[[#This Row],[pp1]],"")</f>
        <v/>
      </c>
      <c r="G112" s="114" t="str">
        <f>IF(Tab.o1[[#This Row],[a1]]=1,G$2+IF(G$1=1,0,Tab.o1[[#This Row],[.x1]])+[1]!T.in.A[[#This Row],[oo3]],"")</f>
        <v/>
      </c>
      <c r="H112" s="115" t="str">
        <f>IF(Tab.o1[[#This Row],[a1]]=1,IF(H$2=0,0,IF(G$1=1,0,Tab.o1[[#This Row],[.x1]])+[1]!T.in.A[[#This Row],[oo4]]),"")</f>
        <v/>
      </c>
      <c r="I112" s="116" t="str">
        <f>IF(Tab.o1[[#This Row],[a1]]=1,IF(J$2=0,Tab.o1[[#This Row],[MED]],Tab.o1[[#This Row],[MOD]]),"")</f>
        <v/>
      </c>
      <c r="J112" s="116" t="str">
        <f>IF(Tab.o1[[#This Row],[a1]]=1,((Tab.o1[[#This Row],[DIF_Target.]]-AVERAGE(Tab.o1[DIF_Target.]))/_xlfn.STDEV.P(Tab.o1[DIF_Target.])),"")</f>
        <v/>
      </c>
      <c r="K112" s="117" t="str">
        <f>IF(Tab.o1[[#This Row],[a1]]=1,IF(J$2=0,Tab.o1[[#This Row],[MOD]]-Tab.o1[[#This Row],[B]],IF(J$2=1,0,-Tab.o1[[#This Row],[MED]])+Tab.o1[[#This Row],[B]]),"")</f>
        <v/>
      </c>
      <c r="L112" s="117" t="str">
        <f ca="1">IF(Tab.o1[[#This Row],[DIF_Target]]=0,IF(L$2=0,Tab.o1[[#This Row],[DIF_Target]],AVERAGE(OFFSET(Tab.o1[[#This Row],[DIF_Target]],1,0,L$3,1)))/3,Tab.o1[[#This Row],[DIF_Target]])</f>
        <v/>
      </c>
      <c r="M112" s="118" t="str">
        <f>IF(Tab.o1[[#This Row],[a1]]=1,NORMSDIST(Tab.o1[[#This Row],[Za]]),"")</f>
        <v/>
      </c>
      <c r="N112" s="119" t="str">
        <f>IF(Tab.o1[[#This Row],[a1]]=1,((Tab.o1[[#This Row],[MedMod]]-AVERAGE(Tab.o1[MedMod]))/_xlfn.STDEV.P(Tab.o1[MedMod])*H$1205)+G$1205,"")</f>
        <v/>
      </c>
      <c r="O112" s="141" t="str">
        <f>IF(Tab.o1[[#This Row],[a1]]=1,Tab.o1[[#This Row],[Zb]]*_xlfn.STDEV.P(Tab.o1[MedMod])+AVERAGE(Tab.o1[MedMod]),"")</f>
        <v/>
      </c>
      <c r="P112" s="117" t="str">
        <f ca="1">IF(Tab.o1[[#This Row],[B]]=0,AVERAGE(OFFSET(Tab.o1[[#This Row],[B]],1,0,L$3,1)),Tab.o1[[#This Row],[B]])</f>
        <v/>
      </c>
      <c r="Q112" s="121" t="str">
        <f>IF(Tab.o1[[#This Row],[a1]]=1,NORMSDIST(Tab.o1[[#This Row],[Zb]]),"")</f>
        <v/>
      </c>
      <c r="R112" s="122" t="str">
        <f>IF(Tab.o1[[#This Row],[a1]]=1,((Tab.o1[[#This Row],[MedMod]]-AVERAGE(Tab.o1[MedMod]))/_xlfn.STDEV.P(Tab.o1[MedMod])*H$1203)+G$1203,"")</f>
        <v/>
      </c>
      <c r="S112" s="122" t="str">
        <f>IF(Tab.o1[[#This Row],[a1]]=1,((Tab.o1[[#This Row],[MedMod]]-AVERAGE(Tab.o1[MedMod]))/_xlfn.STDEV.P(Tab.o1[MedMod])*H$1204)+G$1204,"")</f>
        <v/>
      </c>
      <c r="T112" s="123" t="str">
        <f>IF(Tab.o1[[#This Row],[a1]]=1,Tab.o1[[#This Row],[Z-]]*_xlfn.STDEV.P(Tab.o1[B])+AVERAGE(Tab.o1[B]),"")</f>
        <v/>
      </c>
      <c r="U112" s="123" t="str">
        <f>IF(Tab.o1[[#This Row],[a1]]=1,Tab.o1[[#This Row],[z+]]*_xlfn.STDEV.P(Tab.o1[B])+AVERAGE(Tab.o1[B]),"")</f>
        <v/>
      </c>
      <c r="V112" s="124" t="str">
        <f>IF(Tab.o1[[#This Row],[a1]]=1,ABS((ABS(Tab.o1[[#This Row],[Red]]-Tab.o1[[#This Row],[Blue]]))),"")</f>
        <v/>
      </c>
      <c r="W112" s="125" t="str">
        <f>IF(Tab.o1[[#This Row],[a1]]=1,IF(W$3=0,1,Tab.o1[[#This Row],[Amp.]]*1/_xlfn.MINIFS(Tab.o1[Amp.],Tab.o1[Amp.],"&lt;&gt;0")),"")</f>
        <v/>
      </c>
      <c r="X112" s="126" t="str">
        <f>IF(Tab.o1[[#This Row],[a1]]=1,IF(ISNUMBER(Tab.o1[[#This Row],[i.]]),NORMDIST(Tab.o1[[#This Row],[Za]],0,1,FALSE)*Tab.o1[[#This Row],[i.]],AP$3),"")</f>
        <v/>
      </c>
      <c r="Y112" s="126" t="str">
        <f>IF(Tab.o1[[#This Row],[a1]]=1,0.01+0.94*Tab.o1[[#This Row],[PDF]]/MAX(Tab.o1[PDF]),"")</f>
        <v/>
      </c>
      <c r="Z112" s="126" t="str">
        <f>IF(Tab.o1[[#This Row],[a1]]=1,0.01+0.94*Tab.o1[[#This Row],[W1_PDF]]/MAX(Tab.o1[W1_PDF]),"")</f>
        <v/>
      </c>
      <c r="AA112" s="118" t="str">
        <f>IF(Tab.o1[[#This Row],[a1]]=1,ABS([1]!T.in.A[[#This Row],[oo6]]),"")</f>
        <v/>
      </c>
      <c r="AB112" s="127" t="str">
        <f>IF(Tab.o1[[#This Row],[a1]]=1,IF(AE$3=0,"",IF(AB$3=0,ABS([1]!T.in.A[[#This Row],[oo9]]),ABS(Tab.o1[[#This Row],[DIF_Target.]]*Tab.o1[[#This Row],[W1_PDF]]))),"")</f>
        <v/>
      </c>
      <c r="AC112" s="127" t="str">
        <f>IF(G$1=1,"",IF(Tab.o1[[#This Row],[a1]]=1,Tab.o1[[#This Row],[Wr]]^2,""))</f>
        <v/>
      </c>
      <c r="AD112" s="118" t="str">
        <f>IF(Tab.o1[[#This Row],[a1]]=1,IF(AE$3=0,"",Tab.o1[[#This Row],[Wr2]]/SUM(Tab.o1[Wr2])),"")</f>
        <v/>
      </c>
      <c r="AE112" s="128" t="str">
        <f>IF(Tab.o1[[#This Row],[a1]]=1,[1]!T.in.A[[#This Row],[oo10]],"")</f>
        <v/>
      </c>
      <c r="AF112" s="118" t="str">
        <f>IF(Tab.o1[[#This Row],[a1]]=1,ABS(Tab.o1[[#This Row],[DIF_Target.]]*Tab.o1[[#This Row],[PDF2]]*Tab.o1[[#This Row],[IN]]),"")</f>
        <v/>
      </c>
      <c r="AG112" s="129" t="str">
        <f>IF(Tab.o1[[#This Row],[a1]]=1,Tab.o1[[#This Row],[rW]]^2,"")</f>
        <v/>
      </c>
      <c r="AH112" s="130" t="str">
        <f>IF(Tab.o1[[#This Row],[a1]]=1,IF(AH$3=0,Tab.o1[[#This Row],[rW2]],0.01+0.94*Tab.o1[[#This Row],[rW2]]/SUM(Tab.o1[rW2])),"")</f>
        <v/>
      </c>
      <c r="AI112" s="128" t="str">
        <f>IF(Tab.o1[[#This Row],[a1]]=1,1/Tab.o1[[#This Row],[PDF]],"")</f>
        <v/>
      </c>
      <c r="AJ112" s="131" t="str">
        <f>IF(Tab.o1[[#This Row],[a1]]=1,[1]!T_AA[[#This Row],[IN'']]*[1]!T_AA[[#This Row],[Qde'']],"")</f>
        <v/>
      </c>
      <c r="AK112" s="132" t="str">
        <f>IF(Tab.o1[[#This Row],[a1]]=1,IF(AK$1=1,Tab.o1[[#This Row],[MED]]+Tab.o1[[#This Row],[MOD]]-Tab.o1[[#This Row],[MED]],""),"")</f>
        <v/>
      </c>
      <c r="AL112" s="133" t="str">
        <f>IF(Tab.o1[[#This Row],[a1]]=1,[1]!T.in.A[[#This Row],[oo16]],"")</f>
        <v/>
      </c>
      <c r="AM112" s="133" t="str">
        <f>IF(Tab.o1[[#This Row],[a1]]=1,IF(AM$3=1,[1]!T.in.A[[#This Row],[Σo16]],""),"")</f>
        <v/>
      </c>
      <c r="AN112" s="126" t="str">
        <f>IF(Tab.o1[[#This Row],[a1]]=1,[1]!T.in.A[[#This Row],[Σp5]],"")</f>
        <v/>
      </c>
      <c r="AO112" s="126" t="str">
        <f>IF(Tab.o1[[#This Row],[a1]]=1,IF(AO$3=1,[1]!T.in.A[[#This Row],[Σp5]],""),"")</f>
        <v/>
      </c>
      <c r="AP112" s="110" t="str">
        <f>IF(Tab.o1[[#This Row],[a1]]=1,IF(ISNUMBER(Tab.o1[[#This Row],[i.]]),NORMDIST(Tab.o1[[#This Row],[Za]],0,1,FALSE)*Tab.o1[[#This Row],[i.]],0),"")</f>
        <v/>
      </c>
      <c r="AQ112" s="125" t="str">
        <f>IF(Tab.o1[[#This Row],[a1]]=1,ABS(Tab.o1[[#This Row],[MOD]]-AVERAGE(Tab.o1[MOD])),"")</f>
        <v/>
      </c>
      <c r="AR112" s="134" t="str">
        <f>IF(Tab.o1[[#This Row],[a1]]=1,Tab.o1[[#This Row],[OBS]]/SUM(Tab.o1[OBS]),"")</f>
        <v/>
      </c>
      <c r="AS112" s="135" t="str">
        <f>IF(ISNUMBER(Tab.o1[[#This Row],[a1]]),ROW()-4,"")</f>
        <v/>
      </c>
      <c r="AT112" s="136" t="str">
        <f>Tab.o1[[#This Row],[MOD]]</f>
        <v/>
      </c>
      <c r="AU112" s="137" t="str">
        <f t="shared" si="5"/>
        <v/>
      </c>
      <c r="AV112" s="138" t="str">
        <f t="shared" si="6"/>
        <v/>
      </c>
      <c r="AW112" s="138" t="str">
        <f t="shared" si="7"/>
        <v/>
      </c>
      <c r="AX112" s="139" t="str">
        <f>[1]!T.in.A[[#This Row],[ID_T_manu]]</f>
        <v/>
      </c>
      <c r="AY112" s="140" t="str">
        <f>IF(ISNUMBER(Tab.o1[[#This Row],[a1]]),IF(AND(Tab.o1[[#This Row],[a1]]=1,Tab.o1[[#This Row],[b1]]&lt;=AY$4),#REF!,AY111),"")</f>
        <v/>
      </c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</row>
    <row r="113" spans="1:79" ht="14.25" hidden="1" customHeight="1">
      <c r="A113" s="109">
        <v>-2.0000000000000003E-6</v>
      </c>
      <c r="B113" s="110">
        <f t="shared" si="4"/>
        <v>113</v>
      </c>
      <c r="C113" s="111" t="str">
        <f>IF(C$1=[1]!T.in.A[[#This Row],[oo2]],1,"")</f>
        <v/>
      </c>
      <c r="D113" s="112" t="str">
        <f>IF(Tab.o1[[#This Row],[a1]]=1,IF(SUM(C113:C114)=0,0,IF(SUM(C112:C113)=1,1,IF(SUM(C112:C114)&gt;1,D112+1,0))),"")</f>
        <v/>
      </c>
      <c r="E113" s="113" t="str">
        <f>IF(Tab.o1[[#This Row],[a1]]=1,[1]!T.in.A[[#This Row],[oo1]],"")</f>
        <v/>
      </c>
      <c r="F113" s="113" t="str">
        <f>IF(Tab.o1[[#This Row],[a1]]=1,[1]!T.in.A[[#This Row],[pp1]],"")</f>
        <v/>
      </c>
      <c r="G113" s="114" t="str">
        <f>IF(Tab.o1[[#This Row],[a1]]=1,G$2+IF(G$1=1,0,Tab.o1[[#This Row],[.x1]])+[1]!T.in.A[[#This Row],[oo3]],"")</f>
        <v/>
      </c>
      <c r="H113" s="115" t="str">
        <f>IF(Tab.o1[[#This Row],[a1]]=1,IF(H$2=0,0,IF(G$1=1,0,Tab.o1[[#This Row],[.x1]])+[1]!T.in.A[[#This Row],[oo4]]),"")</f>
        <v/>
      </c>
      <c r="I113" s="116" t="str">
        <f>IF(Tab.o1[[#This Row],[a1]]=1,IF(J$2=0,Tab.o1[[#This Row],[MED]],Tab.o1[[#This Row],[MOD]]),"")</f>
        <v/>
      </c>
      <c r="J113" s="116" t="str">
        <f>IF(Tab.o1[[#This Row],[a1]]=1,((Tab.o1[[#This Row],[DIF_Target.]]-AVERAGE(Tab.o1[DIF_Target.]))/_xlfn.STDEV.P(Tab.o1[DIF_Target.])),"")</f>
        <v/>
      </c>
      <c r="K113" s="117" t="str">
        <f>IF(Tab.o1[[#This Row],[a1]]=1,IF(J$2=0,Tab.o1[[#This Row],[MOD]]-Tab.o1[[#This Row],[B]],IF(J$2=1,0,-Tab.o1[[#This Row],[MED]])+Tab.o1[[#This Row],[B]]),"")</f>
        <v/>
      </c>
      <c r="L113" s="117" t="str">
        <f ca="1">IF(Tab.o1[[#This Row],[DIF_Target]]=0,IF(L$2=0,Tab.o1[[#This Row],[DIF_Target]],AVERAGE(OFFSET(Tab.o1[[#This Row],[DIF_Target]],1,0,L$3,1)))/3,Tab.o1[[#This Row],[DIF_Target]])</f>
        <v/>
      </c>
      <c r="M113" s="118" t="str">
        <f>IF(Tab.o1[[#This Row],[a1]]=1,NORMSDIST(Tab.o1[[#This Row],[Za]]),"")</f>
        <v/>
      </c>
      <c r="N113" s="119" t="str">
        <f>IF(Tab.o1[[#This Row],[a1]]=1,((Tab.o1[[#This Row],[MedMod]]-AVERAGE(Tab.o1[MedMod]))/_xlfn.STDEV.P(Tab.o1[MedMod])*H$1205)+G$1205,"")</f>
        <v/>
      </c>
      <c r="O113" s="141" t="str">
        <f>IF(Tab.o1[[#This Row],[a1]]=1,Tab.o1[[#This Row],[Zb]]*_xlfn.STDEV.P(Tab.o1[MedMod])+AVERAGE(Tab.o1[MedMod]),"")</f>
        <v/>
      </c>
      <c r="P113" s="117" t="str">
        <f ca="1">IF(Tab.o1[[#This Row],[B]]=0,AVERAGE(OFFSET(Tab.o1[[#This Row],[B]],1,0,L$3,1)),Tab.o1[[#This Row],[B]])</f>
        <v/>
      </c>
      <c r="Q113" s="121" t="str">
        <f>IF(Tab.o1[[#This Row],[a1]]=1,NORMSDIST(Tab.o1[[#This Row],[Zb]]),"")</f>
        <v/>
      </c>
      <c r="R113" s="122" t="str">
        <f>IF(Tab.o1[[#This Row],[a1]]=1,((Tab.o1[[#This Row],[MedMod]]-AVERAGE(Tab.o1[MedMod]))/_xlfn.STDEV.P(Tab.o1[MedMod])*H$1203)+G$1203,"")</f>
        <v/>
      </c>
      <c r="S113" s="122" t="str">
        <f>IF(Tab.o1[[#This Row],[a1]]=1,((Tab.o1[[#This Row],[MedMod]]-AVERAGE(Tab.o1[MedMod]))/_xlfn.STDEV.P(Tab.o1[MedMod])*H$1204)+G$1204,"")</f>
        <v/>
      </c>
      <c r="T113" s="123" t="str">
        <f>IF(Tab.o1[[#This Row],[a1]]=1,Tab.o1[[#This Row],[Z-]]*_xlfn.STDEV.P(Tab.o1[B])+AVERAGE(Tab.o1[B]),"")</f>
        <v/>
      </c>
      <c r="U113" s="123" t="str">
        <f>IF(Tab.o1[[#This Row],[a1]]=1,Tab.o1[[#This Row],[z+]]*_xlfn.STDEV.P(Tab.o1[B])+AVERAGE(Tab.o1[B]),"")</f>
        <v/>
      </c>
      <c r="V113" s="124" t="str">
        <f>IF(Tab.o1[[#This Row],[a1]]=1,ABS((ABS(Tab.o1[[#This Row],[Red]]-Tab.o1[[#This Row],[Blue]]))),"")</f>
        <v/>
      </c>
      <c r="W113" s="125" t="str">
        <f>IF(Tab.o1[[#This Row],[a1]]=1,IF(W$3=0,1,Tab.o1[[#This Row],[Amp.]]*1/_xlfn.MINIFS(Tab.o1[Amp.],Tab.o1[Amp.],"&lt;&gt;0")),"")</f>
        <v/>
      </c>
      <c r="X113" s="126" t="str">
        <f>IF(Tab.o1[[#This Row],[a1]]=1,IF(ISNUMBER(Tab.o1[[#This Row],[i.]]),NORMDIST(Tab.o1[[#This Row],[Za]],0,1,FALSE)*Tab.o1[[#This Row],[i.]],AP$3),"")</f>
        <v/>
      </c>
      <c r="Y113" s="126" t="str">
        <f>IF(Tab.o1[[#This Row],[a1]]=1,0.01+0.94*Tab.o1[[#This Row],[PDF]]/MAX(Tab.o1[PDF]),"")</f>
        <v/>
      </c>
      <c r="Z113" s="126" t="str">
        <f>IF(Tab.o1[[#This Row],[a1]]=1,0.01+0.94*Tab.o1[[#This Row],[W1_PDF]]/MAX(Tab.o1[W1_PDF]),"")</f>
        <v/>
      </c>
      <c r="AA113" s="118" t="str">
        <f>IF(Tab.o1[[#This Row],[a1]]=1,ABS([1]!T.in.A[[#This Row],[oo6]]),"")</f>
        <v/>
      </c>
      <c r="AB113" s="127" t="str">
        <f>IF(Tab.o1[[#This Row],[a1]]=1,IF(AE$3=0,"",IF(AB$3=0,ABS([1]!T.in.A[[#This Row],[oo9]]),ABS(Tab.o1[[#This Row],[DIF_Target.]]*Tab.o1[[#This Row],[W1_PDF]]))),"")</f>
        <v/>
      </c>
      <c r="AC113" s="127" t="str">
        <f>IF(G$1=1,"",IF(Tab.o1[[#This Row],[a1]]=1,Tab.o1[[#This Row],[Wr]]^2,""))</f>
        <v/>
      </c>
      <c r="AD113" s="118" t="str">
        <f>IF(Tab.o1[[#This Row],[a1]]=1,IF(AE$3=0,"",Tab.o1[[#This Row],[Wr2]]/SUM(Tab.o1[Wr2])),"")</f>
        <v/>
      </c>
      <c r="AE113" s="128" t="str">
        <f>IF(Tab.o1[[#This Row],[a1]]=1,[1]!T.in.A[[#This Row],[oo10]],"")</f>
        <v/>
      </c>
      <c r="AF113" s="118" t="str">
        <f>IF(Tab.o1[[#This Row],[a1]]=1,ABS(Tab.o1[[#This Row],[DIF_Target.]]*Tab.o1[[#This Row],[PDF2]]*Tab.o1[[#This Row],[IN]]),"")</f>
        <v/>
      </c>
      <c r="AG113" s="129" t="str">
        <f>IF(Tab.o1[[#This Row],[a1]]=1,Tab.o1[[#This Row],[rW]]^2,"")</f>
        <v/>
      </c>
      <c r="AH113" s="130" t="str">
        <f>IF(Tab.o1[[#This Row],[a1]]=1,IF(AH$3=0,Tab.o1[[#This Row],[rW2]],0.01+0.94*Tab.o1[[#This Row],[rW2]]/SUM(Tab.o1[rW2])),"")</f>
        <v/>
      </c>
      <c r="AI113" s="128" t="str">
        <f>IF(Tab.o1[[#This Row],[a1]]=1,1/Tab.o1[[#This Row],[PDF]],"")</f>
        <v/>
      </c>
      <c r="AJ113" s="131" t="str">
        <f>IF(Tab.o1[[#This Row],[a1]]=1,[1]!T_AA[[#This Row],[IN'']]*[1]!T_AA[[#This Row],[Qde'']],"")</f>
        <v/>
      </c>
      <c r="AK113" s="132" t="str">
        <f>IF(Tab.o1[[#This Row],[a1]]=1,IF(AK$1=1,Tab.o1[[#This Row],[MED]]+Tab.o1[[#This Row],[MOD]]-Tab.o1[[#This Row],[MED]],""),"")</f>
        <v/>
      </c>
      <c r="AL113" s="133" t="str">
        <f>IF(Tab.o1[[#This Row],[a1]]=1,[1]!T.in.A[[#This Row],[oo16]],"")</f>
        <v/>
      </c>
      <c r="AM113" s="133" t="str">
        <f>IF(Tab.o1[[#This Row],[a1]]=1,IF(AM$3=1,[1]!T.in.A[[#This Row],[Σo16]],""),"")</f>
        <v/>
      </c>
      <c r="AN113" s="126" t="str">
        <f>IF(Tab.o1[[#This Row],[a1]]=1,[1]!T.in.A[[#This Row],[Σp5]],"")</f>
        <v/>
      </c>
      <c r="AO113" s="126" t="str">
        <f>IF(Tab.o1[[#This Row],[a1]]=1,IF(AO$3=1,[1]!T.in.A[[#This Row],[Σp5]],""),"")</f>
        <v/>
      </c>
      <c r="AP113" s="110" t="str">
        <f>IF(Tab.o1[[#This Row],[a1]]=1,IF(ISNUMBER(Tab.o1[[#This Row],[i.]]),NORMDIST(Tab.o1[[#This Row],[Za]],0,1,FALSE)*Tab.o1[[#This Row],[i.]],0),"")</f>
        <v/>
      </c>
      <c r="AQ113" s="125" t="str">
        <f>IF(Tab.o1[[#This Row],[a1]]=1,ABS(Tab.o1[[#This Row],[MOD]]-AVERAGE(Tab.o1[MOD])),"")</f>
        <v/>
      </c>
      <c r="AR113" s="134" t="str">
        <f>IF(Tab.o1[[#This Row],[a1]]=1,Tab.o1[[#This Row],[OBS]]/SUM(Tab.o1[OBS]),"")</f>
        <v/>
      </c>
      <c r="AS113" s="135" t="str">
        <f>IF(ISNUMBER(Tab.o1[[#This Row],[a1]]),ROW()-4,"")</f>
        <v/>
      </c>
      <c r="AT113" s="136" t="str">
        <f>Tab.o1[[#This Row],[MOD]]</f>
        <v/>
      </c>
      <c r="AU113" s="137" t="str">
        <f t="shared" si="5"/>
        <v/>
      </c>
      <c r="AV113" s="138" t="str">
        <f t="shared" si="6"/>
        <v/>
      </c>
      <c r="AW113" s="138" t="str">
        <f t="shared" si="7"/>
        <v/>
      </c>
      <c r="AX113" s="139">
        <f>[1]!T.in.A[[#This Row],[ID_T_manu]]</f>
        <v>9</v>
      </c>
      <c r="AY113" s="140" t="str">
        <f>IF(ISNUMBER(Tab.o1[[#This Row],[a1]]),IF(AND(Tab.o1[[#This Row],[a1]]=1,Tab.o1[[#This Row],[b1]]&lt;=AY$4),#REF!,AY112),"")</f>
        <v/>
      </c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</row>
    <row r="114" spans="1:79" ht="14.25" hidden="1" customHeight="1">
      <c r="A114" s="109">
        <v>-6.9999999999999999E-6</v>
      </c>
      <c r="B114" s="110">
        <f t="shared" si="4"/>
        <v>114</v>
      </c>
      <c r="C114" s="111" t="str">
        <f>IF(C$1=[1]!T.in.A[[#This Row],[oo2]],1,"")</f>
        <v/>
      </c>
      <c r="D114" s="112" t="str">
        <f>IF(Tab.o1[[#This Row],[a1]]=1,IF(SUM(C114:C115)=0,0,IF(SUM(C113:C114)=1,1,IF(SUM(C113:C115)&gt;1,D113+1,0))),"")</f>
        <v/>
      </c>
      <c r="E114" s="113" t="str">
        <f>IF(Tab.o1[[#This Row],[a1]]=1,[1]!T.in.A[[#This Row],[oo1]],"")</f>
        <v/>
      </c>
      <c r="F114" s="113" t="str">
        <f>IF(Tab.o1[[#This Row],[a1]]=1,[1]!T.in.A[[#This Row],[pp1]],"")</f>
        <v/>
      </c>
      <c r="G114" s="114" t="str">
        <f>IF(Tab.o1[[#This Row],[a1]]=1,G$2+IF(G$1=1,0,Tab.o1[[#This Row],[.x1]])+[1]!T.in.A[[#This Row],[oo3]],"")</f>
        <v/>
      </c>
      <c r="H114" s="115" t="str">
        <f>IF(Tab.o1[[#This Row],[a1]]=1,IF(H$2=0,0,IF(G$1=1,0,Tab.o1[[#This Row],[.x1]])+[1]!T.in.A[[#This Row],[oo4]]),"")</f>
        <v/>
      </c>
      <c r="I114" s="116" t="str">
        <f>IF(Tab.o1[[#This Row],[a1]]=1,IF(J$2=0,Tab.o1[[#This Row],[MED]],Tab.o1[[#This Row],[MOD]]),"")</f>
        <v/>
      </c>
      <c r="J114" s="116" t="str">
        <f>IF(Tab.o1[[#This Row],[a1]]=1,((Tab.o1[[#This Row],[DIF_Target.]]-AVERAGE(Tab.o1[DIF_Target.]))/_xlfn.STDEV.P(Tab.o1[DIF_Target.])),"")</f>
        <v/>
      </c>
      <c r="K114" s="117" t="str">
        <f>IF(Tab.o1[[#This Row],[a1]]=1,IF(J$2=0,Tab.o1[[#This Row],[MOD]]-Tab.o1[[#This Row],[B]],IF(J$2=1,0,-Tab.o1[[#This Row],[MED]])+Tab.o1[[#This Row],[B]]),"")</f>
        <v/>
      </c>
      <c r="L114" s="117" t="str">
        <f ca="1">IF(Tab.o1[[#This Row],[DIF_Target]]=0,IF(L$2=0,Tab.o1[[#This Row],[DIF_Target]],AVERAGE(OFFSET(Tab.o1[[#This Row],[DIF_Target]],1,0,L$3,1)))/3,Tab.o1[[#This Row],[DIF_Target]])</f>
        <v/>
      </c>
      <c r="M114" s="118" t="str">
        <f>IF(Tab.o1[[#This Row],[a1]]=1,NORMSDIST(Tab.o1[[#This Row],[Za]]),"")</f>
        <v/>
      </c>
      <c r="N114" s="119" t="str">
        <f>IF(Tab.o1[[#This Row],[a1]]=1,((Tab.o1[[#This Row],[MedMod]]-AVERAGE(Tab.o1[MedMod]))/_xlfn.STDEV.P(Tab.o1[MedMod])*H$1205)+G$1205,"")</f>
        <v/>
      </c>
      <c r="O114" s="141" t="str">
        <f>IF(Tab.o1[[#This Row],[a1]]=1,Tab.o1[[#This Row],[Zb]]*_xlfn.STDEV.P(Tab.o1[MedMod])+AVERAGE(Tab.o1[MedMod]),"")</f>
        <v/>
      </c>
      <c r="P114" s="117" t="str">
        <f ca="1">IF(Tab.o1[[#This Row],[B]]=0,AVERAGE(OFFSET(Tab.o1[[#This Row],[B]],1,0,L$3,1)),Tab.o1[[#This Row],[B]])</f>
        <v/>
      </c>
      <c r="Q114" s="121" t="str">
        <f>IF(Tab.o1[[#This Row],[a1]]=1,NORMSDIST(Tab.o1[[#This Row],[Zb]]),"")</f>
        <v/>
      </c>
      <c r="R114" s="122" t="str">
        <f>IF(Tab.o1[[#This Row],[a1]]=1,((Tab.o1[[#This Row],[MedMod]]-AVERAGE(Tab.o1[MedMod]))/_xlfn.STDEV.P(Tab.o1[MedMod])*H$1203)+G$1203,"")</f>
        <v/>
      </c>
      <c r="S114" s="122" t="str">
        <f>IF(Tab.o1[[#This Row],[a1]]=1,((Tab.o1[[#This Row],[MedMod]]-AVERAGE(Tab.o1[MedMod]))/_xlfn.STDEV.P(Tab.o1[MedMod])*H$1204)+G$1204,"")</f>
        <v/>
      </c>
      <c r="T114" s="123" t="str">
        <f>IF(Tab.o1[[#This Row],[a1]]=1,Tab.o1[[#This Row],[Z-]]*_xlfn.STDEV.P(Tab.o1[B])+AVERAGE(Tab.o1[B]),"")</f>
        <v/>
      </c>
      <c r="U114" s="123" t="str">
        <f>IF(Tab.o1[[#This Row],[a1]]=1,Tab.o1[[#This Row],[z+]]*_xlfn.STDEV.P(Tab.o1[B])+AVERAGE(Tab.o1[B]),"")</f>
        <v/>
      </c>
      <c r="V114" s="124" t="str">
        <f>IF(Tab.o1[[#This Row],[a1]]=1,ABS((ABS(Tab.o1[[#This Row],[Red]]-Tab.o1[[#This Row],[Blue]]))),"")</f>
        <v/>
      </c>
      <c r="W114" s="125" t="str">
        <f>IF(Tab.o1[[#This Row],[a1]]=1,IF(W$3=0,1,Tab.o1[[#This Row],[Amp.]]*1/_xlfn.MINIFS(Tab.o1[Amp.],Tab.o1[Amp.],"&lt;&gt;0")),"")</f>
        <v/>
      </c>
      <c r="X114" s="126" t="str">
        <f>IF(Tab.o1[[#This Row],[a1]]=1,IF(ISNUMBER(Tab.o1[[#This Row],[i.]]),NORMDIST(Tab.o1[[#This Row],[Za]],0,1,FALSE)*Tab.o1[[#This Row],[i.]],AP$3),"")</f>
        <v/>
      </c>
      <c r="Y114" s="126" t="str">
        <f>IF(Tab.o1[[#This Row],[a1]]=1,0.01+0.94*Tab.o1[[#This Row],[PDF]]/MAX(Tab.o1[PDF]),"")</f>
        <v/>
      </c>
      <c r="Z114" s="126" t="str">
        <f>IF(Tab.o1[[#This Row],[a1]]=1,0.01+0.94*Tab.o1[[#This Row],[W1_PDF]]/MAX(Tab.o1[W1_PDF]),"")</f>
        <v/>
      </c>
      <c r="AA114" s="118" t="str">
        <f>IF(Tab.o1[[#This Row],[a1]]=1,ABS([1]!T.in.A[[#This Row],[oo6]]),"")</f>
        <v/>
      </c>
      <c r="AB114" s="127" t="str">
        <f>IF(Tab.o1[[#This Row],[a1]]=1,IF(AE$3=0,"",IF(AB$3=0,ABS([1]!T.in.A[[#This Row],[oo9]]),ABS(Tab.o1[[#This Row],[DIF_Target.]]*Tab.o1[[#This Row],[W1_PDF]]))),"")</f>
        <v/>
      </c>
      <c r="AC114" s="127" t="str">
        <f>IF(G$1=1,"",IF(Tab.o1[[#This Row],[a1]]=1,Tab.o1[[#This Row],[Wr]]^2,""))</f>
        <v/>
      </c>
      <c r="AD114" s="118" t="str">
        <f>IF(Tab.o1[[#This Row],[a1]]=1,IF(AE$3=0,"",Tab.o1[[#This Row],[Wr2]]/SUM(Tab.o1[Wr2])),"")</f>
        <v/>
      </c>
      <c r="AE114" s="128" t="str">
        <f>IF(Tab.o1[[#This Row],[a1]]=1,[1]!T.in.A[[#This Row],[oo10]],"")</f>
        <v/>
      </c>
      <c r="AF114" s="118" t="str">
        <f>IF(Tab.o1[[#This Row],[a1]]=1,ABS(Tab.o1[[#This Row],[DIF_Target.]]*Tab.o1[[#This Row],[PDF2]]*Tab.o1[[#This Row],[IN]]),"")</f>
        <v/>
      </c>
      <c r="AG114" s="129" t="str">
        <f>IF(Tab.o1[[#This Row],[a1]]=1,Tab.o1[[#This Row],[rW]]^2,"")</f>
        <v/>
      </c>
      <c r="AH114" s="130" t="str">
        <f>IF(Tab.o1[[#This Row],[a1]]=1,IF(AH$3=0,Tab.o1[[#This Row],[rW2]],0.01+0.94*Tab.o1[[#This Row],[rW2]]/SUM(Tab.o1[rW2])),"")</f>
        <v/>
      </c>
      <c r="AI114" s="128" t="str">
        <f>IF(Tab.o1[[#This Row],[a1]]=1,1/Tab.o1[[#This Row],[PDF]],"")</f>
        <v/>
      </c>
      <c r="AJ114" s="131" t="str">
        <f>IF(Tab.o1[[#This Row],[a1]]=1,[1]!T_AA[[#This Row],[IN'']]*[1]!T_AA[[#This Row],[Qde'']],"")</f>
        <v/>
      </c>
      <c r="AK114" s="132" t="str">
        <f>IF(Tab.o1[[#This Row],[a1]]=1,IF(AK$1=1,Tab.o1[[#This Row],[MED]]+Tab.o1[[#This Row],[MOD]]-Tab.o1[[#This Row],[MED]],""),"")</f>
        <v/>
      </c>
      <c r="AL114" s="133" t="str">
        <f>IF(Tab.o1[[#This Row],[a1]]=1,[1]!T.in.A[[#This Row],[oo16]],"")</f>
        <v/>
      </c>
      <c r="AM114" s="133" t="str">
        <f>IF(Tab.o1[[#This Row],[a1]]=1,IF(AM$3=1,[1]!T.in.A[[#This Row],[Σo16]],""),"")</f>
        <v/>
      </c>
      <c r="AN114" s="126" t="str">
        <f>IF(Tab.o1[[#This Row],[a1]]=1,[1]!T.in.A[[#This Row],[Σp5]],"")</f>
        <v/>
      </c>
      <c r="AO114" s="126" t="str">
        <f>IF(Tab.o1[[#This Row],[a1]]=1,IF(AO$3=1,[1]!T.in.A[[#This Row],[Σp5]],""),"")</f>
        <v/>
      </c>
      <c r="AP114" s="110" t="str">
        <f>IF(Tab.o1[[#This Row],[a1]]=1,IF(ISNUMBER(Tab.o1[[#This Row],[i.]]),NORMDIST(Tab.o1[[#This Row],[Za]],0,1,FALSE)*Tab.o1[[#This Row],[i.]],0),"")</f>
        <v/>
      </c>
      <c r="AQ114" s="125" t="str">
        <f>IF(Tab.o1[[#This Row],[a1]]=1,ABS(Tab.o1[[#This Row],[MOD]]-AVERAGE(Tab.o1[MOD])),"")</f>
        <v/>
      </c>
      <c r="AR114" s="134" t="str">
        <f>IF(Tab.o1[[#This Row],[a1]]=1,Tab.o1[[#This Row],[OBS]]/SUM(Tab.o1[OBS]),"")</f>
        <v/>
      </c>
      <c r="AS114" s="135" t="str">
        <f>IF(ISNUMBER(Tab.o1[[#This Row],[a1]]),ROW()-4,"")</f>
        <v/>
      </c>
      <c r="AT114" s="136" t="str">
        <f>Tab.o1[[#This Row],[MOD]]</f>
        <v/>
      </c>
      <c r="AU114" s="137" t="str">
        <f t="shared" si="5"/>
        <v/>
      </c>
      <c r="AV114" s="138" t="str">
        <f t="shared" si="6"/>
        <v/>
      </c>
      <c r="AW114" s="138" t="str">
        <f t="shared" si="7"/>
        <v/>
      </c>
      <c r="AX114" s="139" t="str">
        <f>[1]!T.in.A[[#This Row],[ID_T_manu]]</f>
        <v/>
      </c>
      <c r="AY114" s="140" t="str">
        <f>IF(ISNUMBER(Tab.o1[[#This Row],[a1]]),IF(AND(Tab.o1[[#This Row],[a1]]=1,Tab.o1[[#This Row],[b1]]&lt;=AY$4),#REF!,AY113),"")</f>
        <v/>
      </c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</row>
    <row r="115" spans="1:79" ht="14.25" hidden="1" customHeight="1">
      <c r="A115" s="109">
        <v>-4.0000000000000007E-6</v>
      </c>
      <c r="B115" s="110">
        <f t="shared" si="4"/>
        <v>115</v>
      </c>
      <c r="C115" s="111" t="str">
        <f>IF(C$1=[1]!T.in.A[[#This Row],[oo2]],1,"")</f>
        <v/>
      </c>
      <c r="D115" s="112" t="str">
        <f>IF(Tab.o1[[#This Row],[a1]]=1,IF(SUM(C115:C116)=0,0,IF(SUM(C114:C115)=1,1,IF(SUM(C114:C116)&gt;1,D114+1,0))),"")</f>
        <v/>
      </c>
      <c r="E115" s="113" t="str">
        <f>IF(Tab.o1[[#This Row],[a1]]=1,[1]!T.in.A[[#This Row],[oo1]],"")</f>
        <v/>
      </c>
      <c r="F115" s="113" t="str">
        <f>IF(Tab.o1[[#This Row],[a1]]=1,[1]!T.in.A[[#This Row],[pp1]],"")</f>
        <v/>
      </c>
      <c r="G115" s="114" t="str">
        <f>IF(Tab.o1[[#This Row],[a1]]=1,G$2+IF(G$1=1,0,Tab.o1[[#This Row],[.x1]])+[1]!T.in.A[[#This Row],[oo3]],"")</f>
        <v/>
      </c>
      <c r="H115" s="115" t="str">
        <f>IF(Tab.o1[[#This Row],[a1]]=1,IF(H$2=0,0,IF(G$1=1,0,Tab.o1[[#This Row],[.x1]])+[1]!T.in.A[[#This Row],[oo4]]),"")</f>
        <v/>
      </c>
      <c r="I115" s="116" t="str">
        <f>IF(Tab.o1[[#This Row],[a1]]=1,IF(J$2=0,Tab.o1[[#This Row],[MED]],Tab.o1[[#This Row],[MOD]]),"")</f>
        <v/>
      </c>
      <c r="J115" s="116" t="str">
        <f>IF(Tab.o1[[#This Row],[a1]]=1,((Tab.o1[[#This Row],[DIF_Target.]]-AVERAGE(Tab.o1[DIF_Target.]))/_xlfn.STDEV.P(Tab.o1[DIF_Target.])),"")</f>
        <v/>
      </c>
      <c r="K115" s="117" t="str">
        <f>IF(Tab.o1[[#This Row],[a1]]=1,IF(J$2=0,Tab.o1[[#This Row],[MOD]]-Tab.o1[[#This Row],[B]],IF(J$2=1,0,-Tab.o1[[#This Row],[MED]])+Tab.o1[[#This Row],[B]]),"")</f>
        <v/>
      </c>
      <c r="L115" s="117" t="str">
        <f ca="1">IF(Tab.o1[[#This Row],[DIF_Target]]=0,IF(L$2=0,Tab.o1[[#This Row],[DIF_Target]],AVERAGE(OFFSET(Tab.o1[[#This Row],[DIF_Target]],1,0,L$3,1)))/3,Tab.o1[[#This Row],[DIF_Target]])</f>
        <v/>
      </c>
      <c r="M115" s="118" t="str">
        <f>IF(Tab.o1[[#This Row],[a1]]=1,NORMSDIST(Tab.o1[[#This Row],[Za]]),"")</f>
        <v/>
      </c>
      <c r="N115" s="119" t="str">
        <f>IF(Tab.o1[[#This Row],[a1]]=1,((Tab.o1[[#This Row],[MedMod]]-AVERAGE(Tab.o1[MedMod]))/_xlfn.STDEV.P(Tab.o1[MedMod])*H$1205)+G$1205,"")</f>
        <v/>
      </c>
      <c r="O115" s="141" t="str">
        <f>IF(Tab.o1[[#This Row],[a1]]=1,Tab.o1[[#This Row],[Zb]]*_xlfn.STDEV.P(Tab.o1[MedMod])+AVERAGE(Tab.o1[MedMod]),"")</f>
        <v/>
      </c>
      <c r="P115" s="117" t="str">
        <f ca="1">IF(Tab.o1[[#This Row],[B]]=0,AVERAGE(OFFSET(Tab.o1[[#This Row],[B]],1,0,L$3,1)),Tab.o1[[#This Row],[B]])</f>
        <v/>
      </c>
      <c r="Q115" s="121" t="str">
        <f>IF(Tab.o1[[#This Row],[a1]]=1,NORMSDIST(Tab.o1[[#This Row],[Zb]]),"")</f>
        <v/>
      </c>
      <c r="R115" s="122" t="str">
        <f>IF(Tab.o1[[#This Row],[a1]]=1,((Tab.o1[[#This Row],[MedMod]]-AVERAGE(Tab.o1[MedMod]))/_xlfn.STDEV.P(Tab.o1[MedMod])*H$1203)+G$1203,"")</f>
        <v/>
      </c>
      <c r="S115" s="122" t="str">
        <f>IF(Tab.o1[[#This Row],[a1]]=1,((Tab.o1[[#This Row],[MedMod]]-AVERAGE(Tab.o1[MedMod]))/_xlfn.STDEV.P(Tab.o1[MedMod])*H$1204)+G$1204,"")</f>
        <v/>
      </c>
      <c r="T115" s="123" t="str">
        <f>IF(Tab.o1[[#This Row],[a1]]=1,Tab.o1[[#This Row],[Z-]]*_xlfn.STDEV.P(Tab.o1[B])+AVERAGE(Tab.o1[B]),"")</f>
        <v/>
      </c>
      <c r="U115" s="123" t="str">
        <f>IF(Tab.o1[[#This Row],[a1]]=1,Tab.o1[[#This Row],[z+]]*_xlfn.STDEV.P(Tab.o1[B])+AVERAGE(Tab.o1[B]),"")</f>
        <v/>
      </c>
      <c r="V115" s="124" t="str">
        <f>IF(Tab.o1[[#This Row],[a1]]=1,ABS((ABS(Tab.o1[[#This Row],[Red]]-Tab.o1[[#This Row],[Blue]]))),"")</f>
        <v/>
      </c>
      <c r="W115" s="125" t="str">
        <f>IF(Tab.o1[[#This Row],[a1]]=1,IF(W$3=0,1,Tab.o1[[#This Row],[Amp.]]*1/_xlfn.MINIFS(Tab.o1[Amp.],Tab.o1[Amp.],"&lt;&gt;0")),"")</f>
        <v/>
      </c>
      <c r="X115" s="126" t="str">
        <f>IF(Tab.o1[[#This Row],[a1]]=1,IF(ISNUMBER(Tab.o1[[#This Row],[i.]]),NORMDIST(Tab.o1[[#This Row],[Za]],0,1,FALSE)*Tab.o1[[#This Row],[i.]],AP$3),"")</f>
        <v/>
      </c>
      <c r="Y115" s="126" t="str">
        <f>IF(Tab.o1[[#This Row],[a1]]=1,0.01+0.94*Tab.o1[[#This Row],[PDF]]/MAX(Tab.o1[PDF]),"")</f>
        <v/>
      </c>
      <c r="Z115" s="126" t="str">
        <f>IF(Tab.o1[[#This Row],[a1]]=1,0.01+0.94*Tab.o1[[#This Row],[W1_PDF]]/MAX(Tab.o1[W1_PDF]),"")</f>
        <v/>
      </c>
      <c r="AA115" s="118" t="str">
        <f>IF(Tab.o1[[#This Row],[a1]]=1,ABS([1]!T.in.A[[#This Row],[oo6]]),"")</f>
        <v/>
      </c>
      <c r="AB115" s="127" t="str">
        <f>IF(Tab.o1[[#This Row],[a1]]=1,IF(AE$3=0,"",IF(AB$3=0,ABS([1]!T.in.A[[#This Row],[oo9]]),ABS(Tab.o1[[#This Row],[DIF_Target.]]*Tab.o1[[#This Row],[W1_PDF]]))),"")</f>
        <v/>
      </c>
      <c r="AC115" s="127" t="str">
        <f>IF(G$1=1,"",IF(Tab.o1[[#This Row],[a1]]=1,Tab.o1[[#This Row],[Wr]]^2,""))</f>
        <v/>
      </c>
      <c r="AD115" s="118" t="str">
        <f>IF(Tab.o1[[#This Row],[a1]]=1,IF(AE$3=0,"",Tab.o1[[#This Row],[Wr2]]/SUM(Tab.o1[Wr2])),"")</f>
        <v/>
      </c>
      <c r="AE115" s="128" t="str">
        <f>IF(Tab.o1[[#This Row],[a1]]=1,[1]!T.in.A[[#This Row],[oo10]],"")</f>
        <v/>
      </c>
      <c r="AF115" s="118" t="str">
        <f>IF(Tab.o1[[#This Row],[a1]]=1,ABS(Tab.o1[[#This Row],[DIF_Target.]]*Tab.o1[[#This Row],[PDF2]]*Tab.o1[[#This Row],[IN]]),"")</f>
        <v/>
      </c>
      <c r="AG115" s="129" t="str">
        <f>IF(Tab.o1[[#This Row],[a1]]=1,Tab.o1[[#This Row],[rW]]^2,"")</f>
        <v/>
      </c>
      <c r="AH115" s="130" t="str">
        <f>IF(Tab.o1[[#This Row],[a1]]=1,IF(AH$3=0,Tab.o1[[#This Row],[rW2]],0.01+0.94*Tab.o1[[#This Row],[rW2]]/SUM(Tab.o1[rW2])),"")</f>
        <v/>
      </c>
      <c r="AI115" s="128" t="str">
        <f>IF(Tab.o1[[#This Row],[a1]]=1,1/Tab.o1[[#This Row],[PDF]],"")</f>
        <v/>
      </c>
      <c r="AJ115" s="131" t="str">
        <f>IF(Tab.o1[[#This Row],[a1]]=1,[1]!T_AA[[#This Row],[IN'']]*[1]!T_AA[[#This Row],[Qde'']],"")</f>
        <v/>
      </c>
      <c r="AK115" s="132" t="str">
        <f>IF(Tab.o1[[#This Row],[a1]]=1,IF(AK$1=1,Tab.o1[[#This Row],[MED]]+Tab.o1[[#This Row],[MOD]]-Tab.o1[[#This Row],[MED]],""),"")</f>
        <v/>
      </c>
      <c r="AL115" s="133" t="str">
        <f>IF(Tab.o1[[#This Row],[a1]]=1,[1]!T.in.A[[#This Row],[oo16]],"")</f>
        <v/>
      </c>
      <c r="AM115" s="133" t="str">
        <f>IF(Tab.o1[[#This Row],[a1]]=1,IF(AM$3=1,[1]!T.in.A[[#This Row],[Σo16]],""),"")</f>
        <v/>
      </c>
      <c r="AN115" s="126" t="str">
        <f>IF(Tab.o1[[#This Row],[a1]]=1,[1]!T.in.A[[#This Row],[Σp5]],"")</f>
        <v/>
      </c>
      <c r="AO115" s="126" t="str">
        <f>IF(Tab.o1[[#This Row],[a1]]=1,IF(AO$3=1,[1]!T.in.A[[#This Row],[Σp5]],""),"")</f>
        <v/>
      </c>
      <c r="AP115" s="110" t="str">
        <f>IF(Tab.o1[[#This Row],[a1]]=1,IF(ISNUMBER(Tab.o1[[#This Row],[i.]]),NORMDIST(Tab.o1[[#This Row],[Za]],0,1,FALSE)*Tab.o1[[#This Row],[i.]],0),"")</f>
        <v/>
      </c>
      <c r="AQ115" s="125" t="str">
        <f>IF(Tab.o1[[#This Row],[a1]]=1,ABS(Tab.o1[[#This Row],[MOD]]-AVERAGE(Tab.o1[MOD])),"")</f>
        <v/>
      </c>
      <c r="AR115" s="134" t="str">
        <f>IF(Tab.o1[[#This Row],[a1]]=1,Tab.o1[[#This Row],[OBS]]/SUM(Tab.o1[OBS]),"")</f>
        <v/>
      </c>
      <c r="AS115" s="135" t="str">
        <f>IF(ISNUMBER(Tab.o1[[#This Row],[a1]]),ROW()-4,"")</f>
        <v/>
      </c>
      <c r="AT115" s="136" t="str">
        <f>Tab.o1[[#This Row],[MOD]]</f>
        <v/>
      </c>
      <c r="AU115" s="137" t="str">
        <f t="shared" si="5"/>
        <v/>
      </c>
      <c r="AV115" s="138" t="str">
        <f t="shared" si="6"/>
        <v/>
      </c>
      <c r="AW115" s="138" t="str">
        <f t="shared" si="7"/>
        <v/>
      </c>
      <c r="AX115" s="139" t="str">
        <f>[1]!T.in.A[[#This Row],[ID_T_manu]]</f>
        <v/>
      </c>
      <c r="AY115" s="140" t="str">
        <f>IF(ISNUMBER(Tab.o1[[#This Row],[a1]]),IF(AND(Tab.o1[[#This Row],[a1]]=1,Tab.o1[[#This Row],[b1]]&lt;=AY$4),#REF!,AY114),"")</f>
        <v/>
      </c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</row>
    <row r="116" spans="1:79" ht="14.25" hidden="1" customHeight="1">
      <c r="A116" s="109">
        <v>9.0000000000000002E-6</v>
      </c>
      <c r="B116" s="110">
        <f t="shared" si="4"/>
        <v>116</v>
      </c>
      <c r="C116" s="111" t="str">
        <f>IF(C$1=[1]!T.in.A[[#This Row],[oo2]],1,"")</f>
        <v/>
      </c>
      <c r="D116" s="112" t="str">
        <f>IF(Tab.o1[[#This Row],[a1]]=1,IF(SUM(C116:C117)=0,0,IF(SUM(C115:C116)=1,1,IF(SUM(C115:C117)&gt;1,D115+1,0))),"")</f>
        <v/>
      </c>
      <c r="E116" s="113" t="str">
        <f>IF(Tab.o1[[#This Row],[a1]]=1,[1]!T.in.A[[#This Row],[oo1]],"")</f>
        <v/>
      </c>
      <c r="F116" s="113" t="str">
        <f>IF(Tab.o1[[#This Row],[a1]]=1,[1]!T.in.A[[#This Row],[pp1]],"")</f>
        <v/>
      </c>
      <c r="G116" s="114" t="str">
        <f>IF(Tab.o1[[#This Row],[a1]]=1,G$2+IF(G$1=1,0,Tab.o1[[#This Row],[.x1]])+[1]!T.in.A[[#This Row],[oo3]],"")</f>
        <v/>
      </c>
      <c r="H116" s="115" t="str">
        <f>IF(Tab.o1[[#This Row],[a1]]=1,IF(H$2=0,0,IF(G$1=1,0,Tab.o1[[#This Row],[.x1]])+[1]!T.in.A[[#This Row],[oo4]]),"")</f>
        <v/>
      </c>
      <c r="I116" s="116" t="str">
        <f>IF(Tab.o1[[#This Row],[a1]]=1,IF(J$2=0,Tab.o1[[#This Row],[MED]],Tab.o1[[#This Row],[MOD]]),"")</f>
        <v/>
      </c>
      <c r="J116" s="116" t="str">
        <f>IF(Tab.o1[[#This Row],[a1]]=1,((Tab.o1[[#This Row],[DIF_Target.]]-AVERAGE(Tab.o1[DIF_Target.]))/_xlfn.STDEV.P(Tab.o1[DIF_Target.])),"")</f>
        <v/>
      </c>
      <c r="K116" s="117" t="str">
        <f>IF(Tab.o1[[#This Row],[a1]]=1,IF(J$2=0,Tab.o1[[#This Row],[MOD]]-Tab.o1[[#This Row],[B]],IF(J$2=1,0,-Tab.o1[[#This Row],[MED]])+Tab.o1[[#This Row],[B]]),"")</f>
        <v/>
      </c>
      <c r="L116" s="117" t="str">
        <f ca="1">IF(Tab.o1[[#This Row],[DIF_Target]]=0,IF(L$2=0,Tab.o1[[#This Row],[DIF_Target]],AVERAGE(OFFSET(Tab.o1[[#This Row],[DIF_Target]],1,0,L$3,1)))/3,Tab.o1[[#This Row],[DIF_Target]])</f>
        <v/>
      </c>
      <c r="M116" s="118" t="str">
        <f>IF(Tab.o1[[#This Row],[a1]]=1,NORMSDIST(Tab.o1[[#This Row],[Za]]),"")</f>
        <v/>
      </c>
      <c r="N116" s="119" t="str">
        <f>IF(Tab.o1[[#This Row],[a1]]=1,((Tab.o1[[#This Row],[MedMod]]-AVERAGE(Tab.o1[MedMod]))/_xlfn.STDEV.P(Tab.o1[MedMod])*H$1205)+G$1205,"")</f>
        <v/>
      </c>
      <c r="O116" s="141" t="str">
        <f>IF(Tab.o1[[#This Row],[a1]]=1,Tab.o1[[#This Row],[Zb]]*_xlfn.STDEV.P(Tab.o1[MedMod])+AVERAGE(Tab.o1[MedMod]),"")</f>
        <v/>
      </c>
      <c r="P116" s="117" t="str">
        <f ca="1">IF(Tab.o1[[#This Row],[B]]=0,AVERAGE(OFFSET(Tab.o1[[#This Row],[B]],1,0,L$3,1)),Tab.o1[[#This Row],[B]])</f>
        <v/>
      </c>
      <c r="Q116" s="121" t="str">
        <f>IF(Tab.o1[[#This Row],[a1]]=1,NORMSDIST(Tab.o1[[#This Row],[Zb]]),"")</f>
        <v/>
      </c>
      <c r="R116" s="122" t="str">
        <f>IF(Tab.o1[[#This Row],[a1]]=1,((Tab.o1[[#This Row],[MedMod]]-AVERAGE(Tab.o1[MedMod]))/_xlfn.STDEV.P(Tab.o1[MedMod])*H$1203)+G$1203,"")</f>
        <v/>
      </c>
      <c r="S116" s="122" t="str">
        <f>IF(Tab.o1[[#This Row],[a1]]=1,((Tab.o1[[#This Row],[MedMod]]-AVERAGE(Tab.o1[MedMod]))/_xlfn.STDEV.P(Tab.o1[MedMod])*H$1204)+G$1204,"")</f>
        <v/>
      </c>
      <c r="T116" s="123" t="str">
        <f>IF(Tab.o1[[#This Row],[a1]]=1,Tab.o1[[#This Row],[Z-]]*_xlfn.STDEV.P(Tab.o1[B])+AVERAGE(Tab.o1[B]),"")</f>
        <v/>
      </c>
      <c r="U116" s="123" t="str">
        <f>IF(Tab.o1[[#This Row],[a1]]=1,Tab.o1[[#This Row],[z+]]*_xlfn.STDEV.P(Tab.o1[B])+AVERAGE(Tab.o1[B]),"")</f>
        <v/>
      </c>
      <c r="V116" s="124" t="str">
        <f>IF(Tab.o1[[#This Row],[a1]]=1,ABS((ABS(Tab.o1[[#This Row],[Red]]-Tab.o1[[#This Row],[Blue]]))),"")</f>
        <v/>
      </c>
      <c r="W116" s="125" t="str">
        <f>IF(Tab.o1[[#This Row],[a1]]=1,IF(W$3=0,1,Tab.o1[[#This Row],[Amp.]]*1/_xlfn.MINIFS(Tab.o1[Amp.],Tab.o1[Amp.],"&lt;&gt;0")),"")</f>
        <v/>
      </c>
      <c r="X116" s="126" t="str">
        <f>IF(Tab.o1[[#This Row],[a1]]=1,IF(ISNUMBER(Tab.o1[[#This Row],[i.]]),NORMDIST(Tab.o1[[#This Row],[Za]],0,1,FALSE)*Tab.o1[[#This Row],[i.]],AP$3),"")</f>
        <v/>
      </c>
      <c r="Y116" s="126" t="str">
        <f>IF(Tab.o1[[#This Row],[a1]]=1,0.01+0.94*Tab.o1[[#This Row],[PDF]]/MAX(Tab.o1[PDF]),"")</f>
        <v/>
      </c>
      <c r="Z116" s="126" t="str">
        <f>IF(Tab.o1[[#This Row],[a1]]=1,0.01+0.94*Tab.o1[[#This Row],[W1_PDF]]/MAX(Tab.o1[W1_PDF]),"")</f>
        <v/>
      </c>
      <c r="AA116" s="118" t="str">
        <f>IF(Tab.o1[[#This Row],[a1]]=1,ABS([1]!T.in.A[[#This Row],[oo6]]),"")</f>
        <v/>
      </c>
      <c r="AB116" s="127" t="str">
        <f>IF(Tab.o1[[#This Row],[a1]]=1,IF(AE$3=0,"",IF(AB$3=0,ABS([1]!T.in.A[[#This Row],[oo9]]),ABS(Tab.o1[[#This Row],[DIF_Target.]]*Tab.o1[[#This Row],[W1_PDF]]))),"")</f>
        <v/>
      </c>
      <c r="AC116" s="127" t="str">
        <f>IF(G$1=1,"",IF(Tab.o1[[#This Row],[a1]]=1,Tab.o1[[#This Row],[Wr]]^2,""))</f>
        <v/>
      </c>
      <c r="AD116" s="118" t="str">
        <f>IF(Tab.o1[[#This Row],[a1]]=1,IF(AE$3=0,"",Tab.o1[[#This Row],[Wr2]]/SUM(Tab.o1[Wr2])),"")</f>
        <v/>
      </c>
      <c r="AE116" s="128" t="str">
        <f>IF(Tab.o1[[#This Row],[a1]]=1,[1]!T.in.A[[#This Row],[oo10]],"")</f>
        <v/>
      </c>
      <c r="AF116" s="118" t="str">
        <f>IF(Tab.o1[[#This Row],[a1]]=1,ABS(Tab.o1[[#This Row],[DIF_Target.]]*Tab.o1[[#This Row],[PDF2]]*Tab.o1[[#This Row],[IN]]),"")</f>
        <v/>
      </c>
      <c r="AG116" s="129" t="str">
        <f>IF(Tab.o1[[#This Row],[a1]]=1,Tab.o1[[#This Row],[rW]]^2,"")</f>
        <v/>
      </c>
      <c r="AH116" s="130" t="str">
        <f>IF(Tab.o1[[#This Row],[a1]]=1,IF(AH$3=0,Tab.o1[[#This Row],[rW2]],0.01+0.94*Tab.o1[[#This Row],[rW2]]/SUM(Tab.o1[rW2])),"")</f>
        <v/>
      </c>
      <c r="AI116" s="128" t="str">
        <f>IF(Tab.o1[[#This Row],[a1]]=1,1/Tab.o1[[#This Row],[PDF]],"")</f>
        <v/>
      </c>
      <c r="AJ116" s="131" t="str">
        <f>IF(Tab.o1[[#This Row],[a1]]=1,[1]!T_AA[[#This Row],[IN'']]*[1]!T_AA[[#This Row],[Qde'']],"")</f>
        <v/>
      </c>
      <c r="AK116" s="132" t="str">
        <f>IF(Tab.o1[[#This Row],[a1]]=1,IF(AK$1=1,Tab.o1[[#This Row],[MED]]+Tab.o1[[#This Row],[MOD]]-Tab.o1[[#This Row],[MED]],""),"")</f>
        <v/>
      </c>
      <c r="AL116" s="133" t="str">
        <f>IF(Tab.o1[[#This Row],[a1]]=1,[1]!T.in.A[[#This Row],[oo16]],"")</f>
        <v/>
      </c>
      <c r="AM116" s="133" t="str">
        <f>IF(Tab.o1[[#This Row],[a1]]=1,IF(AM$3=1,[1]!T.in.A[[#This Row],[Σo16]],""),"")</f>
        <v/>
      </c>
      <c r="AN116" s="126" t="str">
        <f>IF(Tab.o1[[#This Row],[a1]]=1,[1]!T.in.A[[#This Row],[Σp5]],"")</f>
        <v/>
      </c>
      <c r="AO116" s="126" t="str">
        <f>IF(Tab.o1[[#This Row],[a1]]=1,IF(AO$3=1,[1]!T.in.A[[#This Row],[Σp5]],""),"")</f>
        <v/>
      </c>
      <c r="AP116" s="110" t="str">
        <f>IF(Tab.o1[[#This Row],[a1]]=1,IF(ISNUMBER(Tab.o1[[#This Row],[i.]]),NORMDIST(Tab.o1[[#This Row],[Za]],0,1,FALSE)*Tab.o1[[#This Row],[i.]],0),"")</f>
        <v/>
      </c>
      <c r="AQ116" s="125" t="str">
        <f>IF(Tab.o1[[#This Row],[a1]]=1,ABS(Tab.o1[[#This Row],[MOD]]-AVERAGE(Tab.o1[MOD])),"")</f>
        <v/>
      </c>
      <c r="AR116" s="134" t="str">
        <f>IF(Tab.o1[[#This Row],[a1]]=1,Tab.o1[[#This Row],[OBS]]/SUM(Tab.o1[OBS]),"")</f>
        <v/>
      </c>
      <c r="AS116" s="135" t="str">
        <f>IF(ISNUMBER(Tab.o1[[#This Row],[a1]]),ROW()-4,"")</f>
        <v/>
      </c>
      <c r="AT116" s="136" t="str">
        <f>Tab.o1[[#This Row],[MOD]]</f>
        <v/>
      </c>
      <c r="AU116" s="137" t="str">
        <f t="shared" si="5"/>
        <v/>
      </c>
      <c r="AV116" s="138" t="str">
        <f t="shared" si="6"/>
        <v/>
      </c>
      <c r="AW116" s="138" t="str">
        <f t="shared" si="7"/>
        <v/>
      </c>
      <c r="AX116" s="139">
        <f>[1]!T.in.A[[#This Row],[ID_T_manu]]</f>
        <v>10</v>
      </c>
      <c r="AY116" s="140" t="str">
        <f>IF(ISNUMBER(Tab.o1[[#This Row],[a1]]),IF(AND(Tab.o1[[#This Row],[a1]]=1,Tab.o1[[#This Row],[b1]]&lt;=AY$4),#REF!,AY115),"")</f>
        <v/>
      </c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</row>
    <row r="117" spans="1:79" ht="14.25" hidden="1" customHeight="1">
      <c r="A117" s="109">
        <v>-1.0000000000000001E-5</v>
      </c>
      <c r="B117" s="110">
        <f t="shared" si="4"/>
        <v>117</v>
      </c>
      <c r="C117" s="111" t="str">
        <f>IF(C$1=[1]!T.in.A[[#This Row],[oo2]],1,"")</f>
        <v/>
      </c>
      <c r="D117" s="112" t="str">
        <f>IF(Tab.o1[[#This Row],[a1]]=1,IF(SUM(C117:C118)=0,0,IF(SUM(C116:C117)=1,1,IF(SUM(C116:C118)&gt;1,D116+1,0))),"")</f>
        <v/>
      </c>
      <c r="E117" s="113" t="str">
        <f>IF(Tab.o1[[#This Row],[a1]]=1,[1]!T.in.A[[#This Row],[oo1]],"")</f>
        <v/>
      </c>
      <c r="F117" s="113" t="str">
        <f>IF(Tab.o1[[#This Row],[a1]]=1,[1]!T.in.A[[#This Row],[pp1]],"")</f>
        <v/>
      </c>
      <c r="G117" s="114" t="str">
        <f>IF(Tab.o1[[#This Row],[a1]]=1,G$2+IF(G$1=1,0,Tab.o1[[#This Row],[.x1]])+[1]!T.in.A[[#This Row],[oo3]],"")</f>
        <v/>
      </c>
      <c r="H117" s="115" t="str">
        <f>IF(Tab.o1[[#This Row],[a1]]=1,IF(H$2=0,0,IF(G$1=1,0,Tab.o1[[#This Row],[.x1]])+[1]!T.in.A[[#This Row],[oo4]]),"")</f>
        <v/>
      </c>
      <c r="I117" s="116" t="str">
        <f>IF(Tab.o1[[#This Row],[a1]]=1,IF(J$2=0,Tab.o1[[#This Row],[MED]],Tab.o1[[#This Row],[MOD]]),"")</f>
        <v/>
      </c>
      <c r="J117" s="116" t="str">
        <f>IF(Tab.o1[[#This Row],[a1]]=1,((Tab.o1[[#This Row],[DIF_Target.]]-AVERAGE(Tab.o1[DIF_Target.]))/_xlfn.STDEV.P(Tab.o1[DIF_Target.])),"")</f>
        <v/>
      </c>
      <c r="K117" s="117" t="str">
        <f>IF(Tab.o1[[#This Row],[a1]]=1,IF(J$2=0,Tab.o1[[#This Row],[MOD]]-Tab.o1[[#This Row],[B]],IF(J$2=1,0,-Tab.o1[[#This Row],[MED]])+Tab.o1[[#This Row],[B]]),"")</f>
        <v/>
      </c>
      <c r="L117" s="117" t="str">
        <f ca="1">IF(Tab.o1[[#This Row],[DIF_Target]]=0,IF(L$2=0,Tab.o1[[#This Row],[DIF_Target]],AVERAGE(OFFSET(Tab.o1[[#This Row],[DIF_Target]],1,0,L$3,1)))/3,Tab.o1[[#This Row],[DIF_Target]])</f>
        <v/>
      </c>
      <c r="M117" s="118" t="str">
        <f>IF(Tab.o1[[#This Row],[a1]]=1,NORMSDIST(Tab.o1[[#This Row],[Za]]),"")</f>
        <v/>
      </c>
      <c r="N117" s="119" t="str">
        <f>IF(Tab.o1[[#This Row],[a1]]=1,((Tab.o1[[#This Row],[MedMod]]-AVERAGE(Tab.o1[MedMod]))/_xlfn.STDEV.P(Tab.o1[MedMod])*H$1205)+G$1205,"")</f>
        <v/>
      </c>
      <c r="O117" s="141" t="str">
        <f>IF(Tab.o1[[#This Row],[a1]]=1,Tab.o1[[#This Row],[Zb]]*_xlfn.STDEV.P(Tab.o1[MedMod])+AVERAGE(Tab.o1[MedMod]),"")</f>
        <v/>
      </c>
      <c r="P117" s="117" t="str">
        <f ca="1">IF(Tab.o1[[#This Row],[B]]=0,AVERAGE(OFFSET(Tab.o1[[#This Row],[B]],1,0,L$3,1)),Tab.o1[[#This Row],[B]])</f>
        <v/>
      </c>
      <c r="Q117" s="121" t="str">
        <f>IF(Tab.o1[[#This Row],[a1]]=1,NORMSDIST(Tab.o1[[#This Row],[Zb]]),"")</f>
        <v/>
      </c>
      <c r="R117" s="122" t="str">
        <f>IF(Tab.o1[[#This Row],[a1]]=1,((Tab.o1[[#This Row],[MedMod]]-AVERAGE(Tab.o1[MedMod]))/_xlfn.STDEV.P(Tab.o1[MedMod])*H$1203)+G$1203,"")</f>
        <v/>
      </c>
      <c r="S117" s="122" t="str">
        <f>IF(Tab.o1[[#This Row],[a1]]=1,((Tab.o1[[#This Row],[MedMod]]-AVERAGE(Tab.o1[MedMod]))/_xlfn.STDEV.P(Tab.o1[MedMod])*H$1204)+G$1204,"")</f>
        <v/>
      </c>
      <c r="T117" s="123" t="str">
        <f>IF(Tab.o1[[#This Row],[a1]]=1,Tab.o1[[#This Row],[Z-]]*_xlfn.STDEV.P(Tab.o1[B])+AVERAGE(Tab.o1[B]),"")</f>
        <v/>
      </c>
      <c r="U117" s="123" t="str">
        <f>IF(Tab.o1[[#This Row],[a1]]=1,Tab.o1[[#This Row],[z+]]*_xlfn.STDEV.P(Tab.o1[B])+AVERAGE(Tab.o1[B]),"")</f>
        <v/>
      </c>
      <c r="V117" s="124" t="str">
        <f>IF(Tab.o1[[#This Row],[a1]]=1,ABS((ABS(Tab.o1[[#This Row],[Red]]-Tab.o1[[#This Row],[Blue]]))),"")</f>
        <v/>
      </c>
      <c r="W117" s="125" t="str">
        <f>IF(Tab.o1[[#This Row],[a1]]=1,IF(W$3=0,1,Tab.o1[[#This Row],[Amp.]]*1/_xlfn.MINIFS(Tab.o1[Amp.],Tab.o1[Amp.],"&lt;&gt;0")),"")</f>
        <v/>
      </c>
      <c r="X117" s="126" t="str">
        <f>IF(Tab.o1[[#This Row],[a1]]=1,IF(ISNUMBER(Tab.o1[[#This Row],[i.]]),NORMDIST(Tab.o1[[#This Row],[Za]],0,1,FALSE)*Tab.o1[[#This Row],[i.]],AP$3),"")</f>
        <v/>
      </c>
      <c r="Y117" s="126" t="str">
        <f>IF(Tab.o1[[#This Row],[a1]]=1,0.01+0.94*Tab.o1[[#This Row],[PDF]]/MAX(Tab.o1[PDF]),"")</f>
        <v/>
      </c>
      <c r="Z117" s="126" t="str">
        <f>IF(Tab.o1[[#This Row],[a1]]=1,0.01+0.94*Tab.o1[[#This Row],[W1_PDF]]/MAX(Tab.o1[W1_PDF]),"")</f>
        <v/>
      </c>
      <c r="AA117" s="118" t="str">
        <f>IF(Tab.o1[[#This Row],[a1]]=1,ABS([1]!T.in.A[[#This Row],[oo6]]),"")</f>
        <v/>
      </c>
      <c r="AB117" s="127" t="str">
        <f>IF(Tab.o1[[#This Row],[a1]]=1,IF(AE$3=0,"",IF(AB$3=0,ABS([1]!T.in.A[[#This Row],[oo9]]),ABS(Tab.o1[[#This Row],[DIF_Target.]]*Tab.o1[[#This Row],[W1_PDF]]))),"")</f>
        <v/>
      </c>
      <c r="AC117" s="127" t="str">
        <f>IF(G$1=1,"",IF(Tab.o1[[#This Row],[a1]]=1,Tab.o1[[#This Row],[Wr]]^2,""))</f>
        <v/>
      </c>
      <c r="AD117" s="118" t="str">
        <f>IF(Tab.o1[[#This Row],[a1]]=1,IF(AE$3=0,"",Tab.o1[[#This Row],[Wr2]]/SUM(Tab.o1[Wr2])),"")</f>
        <v/>
      </c>
      <c r="AE117" s="128" t="str">
        <f>IF(Tab.o1[[#This Row],[a1]]=1,[1]!T.in.A[[#This Row],[oo10]],"")</f>
        <v/>
      </c>
      <c r="AF117" s="118" t="str">
        <f>IF(Tab.o1[[#This Row],[a1]]=1,ABS(Tab.o1[[#This Row],[DIF_Target.]]*Tab.o1[[#This Row],[PDF2]]*Tab.o1[[#This Row],[IN]]),"")</f>
        <v/>
      </c>
      <c r="AG117" s="129" t="str">
        <f>IF(Tab.o1[[#This Row],[a1]]=1,Tab.o1[[#This Row],[rW]]^2,"")</f>
        <v/>
      </c>
      <c r="AH117" s="130" t="str">
        <f>IF(Tab.o1[[#This Row],[a1]]=1,IF(AH$3=0,Tab.o1[[#This Row],[rW2]],0.01+0.94*Tab.o1[[#This Row],[rW2]]/SUM(Tab.o1[rW2])),"")</f>
        <v/>
      </c>
      <c r="AI117" s="128" t="str">
        <f>IF(Tab.o1[[#This Row],[a1]]=1,1/Tab.o1[[#This Row],[PDF]],"")</f>
        <v/>
      </c>
      <c r="AJ117" s="131" t="str">
        <f>IF(Tab.o1[[#This Row],[a1]]=1,[1]!T_AA[[#This Row],[IN'']]*[1]!T_AA[[#This Row],[Qde'']],"")</f>
        <v/>
      </c>
      <c r="AK117" s="132" t="str">
        <f>IF(Tab.o1[[#This Row],[a1]]=1,IF(AK$1=1,Tab.o1[[#This Row],[MED]]+Tab.o1[[#This Row],[MOD]]-Tab.o1[[#This Row],[MED]],""),"")</f>
        <v/>
      </c>
      <c r="AL117" s="133" t="str">
        <f>IF(Tab.o1[[#This Row],[a1]]=1,[1]!T.in.A[[#This Row],[oo16]],"")</f>
        <v/>
      </c>
      <c r="AM117" s="133" t="str">
        <f>IF(Tab.o1[[#This Row],[a1]]=1,IF(AM$3=1,[1]!T.in.A[[#This Row],[Σo16]],""),"")</f>
        <v/>
      </c>
      <c r="AN117" s="126" t="str">
        <f>IF(Tab.o1[[#This Row],[a1]]=1,[1]!T.in.A[[#This Row],[Σp5]],"")</f>
        <v/>
      </c>
      <c r="AO117" s="126" t="str">
        <f>IF(Tab.o1[[#This Row],[a1]]=1,IF(AO$3=1,[1]!T.in.A[[#This Row],[Σp5]],""),"")</f>
        <v/>
      </c>
      <c r="AP117" s="110" t="str">
        <f>IF(Tab.o1[[#This Row],[a1]]=1,IF(ISNUMBER(Tab.o1[[#This Row],[i.]]),NORMDIST(Tab.o1[[#This Row],[Za]],0,1,FALSE)*Tab.o1[[#This Row],[i.]],0),"")</f>
        <v/>
      </c>
      <c r="AQ117" s="125" t="str">
        <f>IF(Tab.o1[[#This Row],[a1]]=1,ABS(Tab.o1[[#This Row],[MOD]]-AVERAGE(Tab.o1[MOD])),"")</f>
        <v/>
      </c>
      <c r="AR117" s="134" t="str">
        <f>IF(Tab.o1[[#This Row],[a1]]=1,Tab.o1[[#This Row],[OBS]]/SUM(Tab.o1[OBS]),"")</f>
        <v/>
      </c>
      <c r="AS117" s="135" t="str">
        <f>IF(ISNUMBER(Tab.o1[[#This Row],[a1]]),ROW()-4,"")</f>
        <v/>
      </c>
      <c r="AT117" s="136" t="str">
        <f>Tab.o1[[#This Row],[MOD]]</f>
        <v/>
      </c>
      <c r="AU117" s="137" t="str">
        <f t="shared" si="5"/>
        <v/>
      </c>
      <c r="AV117" s="138" t="str">
        <f t="shared" si="6"/>
        <v/>
      </c>
      <c r="AW117" s="138" t="str">
        <f t="shared" si="7"/>
        <v/>
      </c>
      <c r="AX117" s="139" t="str">
        <f>[1]!T.in.A[[#This Row],[ID_T_manu]]</f>
        <v/>
      </c>
      <c r="AY117" s="140" t="str">
        <f>IF(ISNUMBER(Tab.o1[[#This Row],[a1]]),IF(AND(Tab.o1[[#This Row],[a1]]=1,Tab.o1[[#This Row],[b1]]&lt;=AY$4),#REF!,AY116),"")</f>
        <v/>
      </c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</row>
    <row r="118" spans="1:79" ht="14.25" hidden="1" customHeight="1">
      <c r="A118" s="109">
        <v>8.0000000000000013E-6</v>
      </c>
      <c r="B118" s="110">
        <f t="shared" si="4"/>
        <v>118</v>
      </c>
      <c r="C118" s="111" t="str">
        <f>IF(C$1=[1]!T.in.A[[#This Row],[oo2]],1,"")</f>
        <v/>
      </c>
      <c r="D118" s="112" t="str">
        <f>IF(Tab.o1[[#This Row],[a1]]=1,IF(SUM(C118:C119)=0,0,IF(SUM(C117:C118)=1,1,IF(SUM(C117:C119)&gt;1,D117+1,0))),"")</f>
        <v/>
      </c>
      <c r="E118" s="113" t="str">
        <f>IF(Tab.o1[[#This Row],[a1]]=1,[1]!T.in.A[[#This Row],[oo1]],"")</f>
        <v/>
      </c>
      <c r="F118" s="113" t="str">
        <f>IF(Tab.o1[[#This Row],[a1]]=1,[1]!T.in.A[[#This Row],[pp1]],"")</f>
        <v/>
      </c>
      <c r="G118" s="114" t="str">
        <f>IF(Tab.o1[[#This Row],[a1]]=1,G$2+IF(G$1=1,0,Tab.o1[[#This Row],[.x1]])+[1]!T.in.A[[#This Row],[oo3]],"")</f>
        <v/>
      </c>
      <c r="H118" s="115" t="str">
        <f>IF(Tab.o1[[#This Row],[a1]]=1,IF(H$2=0,0,IF(G$1=1,0,Tab.o1[[#This Row],[.x1]])+[1]!T.in.A[[#This Row],[oo4]]),"")</f>
        <v/>
      </c>
      <c r="I118" s="116" t="str">
        <f>IF(Tab.o1[[#This Row],[a1]]=1,IF(J$2=0,Tab.o1[[#This Row],[MED]],Tab.o1[[#This Row],[MOD]]),"")</f>
        <v/>
      </c>
      <c r="J118" s="116" t="str">
        <f>IF(Tab.o1[[#This Row],[a1]]=1,((Tab.o1[[#This Row],[DIF_Target.]]-AVERAGE(Tab.o1[DIF_Target.]))/_xlfn.STDEV.P(Tab.o1[DIF_Target.])),"")</f>
        <v/>
      </c>
      <c r="K118" s="117" t="str">
        <f>IF(Tab.o1[[#This Row],[a1]]=1,IF(J$2=0,Tab.o1[[#This Row],[MOD]]-Tab.o1[[#This Row],[B]],IF(J$2=1,0,-Tab.o1[[#This Row],[MED]])+Tab.o1[[#This Row],[B]]),"")</f>
        <v/>
      </c>
      <c r="L118" s="117" t="str">
        <f ca="1">IF(Tab.o1[[#This Row],[DIF_Target]]=0,IF(L$2=0,Tab.o1[[#This Row],[DIF_Target]],AVERAGE(OFFSET(Tab.o1[[#This Row],[DIF_Target]],1,0,L$3,1)))/3,Tab.o1[[#This Row],[DIF_Target]])</f>
        <v/>
      </c>
      <c r="M118" s="118" t="str">
        <f>IF(Tab.o1[[#This Row],[a1]]=1,NORMSDIST(Tab.o1[[#This Row],[Za]]),"")</f>
        <v/>
      </c>
      <c r="N118" s="119" t="str">
        <f>IF(Tab.o1[[#This Row],[a1]]=1,((Tab.o1[[#This Row],[MedMod]]-AVERAGE(Tab.o1[MedMod]))/_xlfn.STDEV.P(Tab.o1[MedMod])*H$1205)+G$1205,"")</f>
        <v/>
      </c>
      <c r="O118" s="141" t="str">
        <f>IF(Tab.o1[[#This Row],[a1]]=1,Tab.o1[[#This Row],[Zb]]*_xlfn.STDEV.P(Tab.o1[MedMod])+AVERAGE(Tab.o1[MedMod]),"")</f>
        <v/>
      </c>
      <c r="P118" s="117" t="str">
        <f ca="1">IF(Tab.o1[[#This Row],[B]]=0,AVERAGE(OFFSET(Tab.o1[[#This Row],[B]],1,0,L$3,1)),Tab.o1[[#This Row],[B]])</f>
        <v/>
      </c>
      <c r="Q118" s="121" t="str">
        <f>IF(Tab.o1[[#This Row],[a1]]=1,NORMSDIST(Tab.o1[[#This Row],[Zb]]),"")</f>
        <v/>
      </c>
      <c r="R118" s="122" t="str">
        <f>IF(Tab.o1[[#This Row],[a1]]=1,((Tab.o1[[#This Row],[MedMod]]-AVERAGE(Tab.o1[MedMod]))/_xlfn.STDEV.P(Tab.o1[MedMod])*H$1203)+G$1203,"")</f>
        <v/>
      </c>
      <c r="S118" s="122" t="str">
        <f>IF(Tab.o1[[#This Row],[a1]]=1,((Tab.o1[[#This Row],[MedMod]]-AVERAGE(Tab.o1[MedMod]))/_xlfn.STDEV.P(Tab.o1[MedMod])*H$1204)+G$1204,"")</f>
        <v/>
      </c>
      <c r="T118" s="123" t="str">
        <f>IF(Tab.o1[[#This Row],[a1]]=1,Tab.o1[[#This Row],[Z-]]*_xlfn.STDEV.P(Tab.o1[B])+AVERAGE(Tab.o1[B]),"")</f>
        <v/>
      </c>
      <c r="U118" s="123" t="str">
        <f>IF(Tab.o1[[#This Row],[a1]]=1,Tab.o1[[#This Row],[z+]]*_xlfn.STDEV.P(Tab.o1[B])+AVERAGE(Tab.o1[B]),"")</f>
        <v/>
      </c>
      <c r="V118" s="124" t="str">
        <f>IF(Tab.o1[[#This Row],[a1]]=1,ABS((ABS(Tab.o1[[#This Row],[Red]]-Tab.o1[[#This Row],[Blue]]))),"")</f>
        <v/>
      </c>
      <c r="W118" s="125" t="str">
        <f>IF(Tab.o1[[#This Row],[a1]]=1,IF(W$3=0,1,Tab.o1[[#This Row],[Amp.]]*1/_xlfn.MINIFS(Tab.o1[Amp.],Tab.o1[Amp.],"&lt;&gt;0")),"")</f>
        <v/>
      </c>
      <c r="X118" s="126" t="str">
        <f>IF(Tab.o1[[#This Row],[a1]]=1,IF(ISNUMBER(Tab.o1[[#This Row],[i.]]),NORMDIST(Tab.o1[[#This Row],[Za]],0,1,FALSE)*Tab.o1[[#This Row],[i.]],AP$3),"")</f>
        <v/>
      </c>
      <c r="Y118" s="126" t="str">
        <f>IF(Tab.o1[[#This Row],[a1]]=1,0.01+0.94*Tab.o1[[#This Row],[PDF]]/MAX(Tab.o1[PDF]),"")</f>
        <v/>
      </c>
      <c r="Z118" s="126" t="str">
        <f>IF(Tab.o1[[#This Row],[a1]]=1,0.01+0.94*Tab.o1[[#This Row],[W1_PDF]]/MAX(Tab.o1[W1_PDF]),"")</f>
        <v/>
      </c>
      <c r="AA118" s="118" t="str">
        <f>IF(Tab.o1[[#This Row],[a1]]=1,ABS([1]!T.in.A[[#This Row],[oo6]]),"")</f>
        <v/>
      </c>
      <c r="AB118" s="127" t="str">
        <f>IF(Tab.o1[[#This Row],[a1]]=1,IF(AE$3=0,"",IF(AB$3=0,ABS([1]!T.in.A[[#This Row],[oo9]]),ABS(Tab.o1[[#This Row],[DIF_Target.]]*Tab.o1[[#This Row],[W1_PDF]]))),"")</f>
        <v/>
      </c>
      <c r="AC118" s="127" t="str">
        <f>IF(G$1=1,"",IF(Tab.o1[[#This Row],[a1]]=1,Tab.o1[[#This Row],[Wr]]^2,""))</f>
        <v/>
      </c>
      <c r="AD118" s="118" t="str">
        <f>IF(Tab.o1[[#This Row],[a1]]=1,IF(AE$3=0,"",Tab.o1[[#This Row],[Wr2]]/SUM(Tab.o1[Wr2])),"")</f>
        <v/>
      </c>
      <c r="AE118" s="128" t="str">
        <f>IF(Tab.o1[[#This Row],[a1]]=1,[1]!T.in.A[[#This Row],[oo10]],"")</f>
        <v/>
      </c>
      <c r="AF118" s="118" t="str">
        <f>IF(Tab.o1[[#This Row],[a1]]=1,ABS(Tab.o1[[#This Row],[DIF_Target.]]*Tab.o1[[#This Row],[PDF2]]*Tab.o1[[#This Row],[IN]]),"")</f>
        <v/>
      </c>
      <c r="AG118" s="129" t="str">
        <f>IF(Tab.o1[[#This Row],[a1]]=1,Tab.o1[[#This Row],[rW]]^2,"")</f>
        <v/>
      </c>
      <c r="AH118" s="130" t="str">
        <f>IF(Tab.o1[[#This Row],[a1]]=1,IF(AH$3=0,Tab.o1[[#This Row],[rW2]],0.01+0.94*Tab.o1[[#This Row],[rW2]]/SUM(Tab.o1[rW2])),"")</f>
        <v/>
      </c>
      <c r="AI118" s="128" t="str">
        <f>IF(Tab.o1[[#This Row],[a1]]=1,1/Tab.o1[[#This Row],[PDF]],"")</f>
        <v/>
      </c>
      <c r="AJ118" s="131" t="str">
        <f>IF(Tab.o1[[#This Row],[a1]]=1,[1]!T_AA[[#This Row],[IN'']]*[1]!T_AA[[#This Row],[Qde'']],"")</f>
        <v/>
      </c>
      <c r="AK118" s="132" t="str">
        <f>IF(Tab.o1[[#This Row],[a1]]=1,IF(AK$1=1,Tab.o1[[#This Row],[MED]]+Tab.o1[[#This Row],[MOD]]-Tab.o1[[#This Row],[MED]],""),"")</f>
        <v/>
      </c>
      <c r="AL118" s="133" t="str">
        <f>IF(Tab.o1[[#This Row],[a1]]=1,[1]!T.in.A[[#This Row],[oo16]],"")</f>
        <v/>
      </c>
      <c r="AM118" s="133" t="str">
        <f>IF(Tab.o1[[#This Row],[a1]]=1,IF(AM$3=1,[1]!T.in.A[[#This Row],[Σo16]],""),"")</f>
        <v/>
      </c>
      <c r="AN118" s="126" t="str">
        <f>IF(Tab.o1[[#This Row],[a1]]=1,[1]!T.in.A[[#This Row],[Σp5]],"")</f>
        <v/>
      </c>
      <c r="AO118" s="126" t="str">
        <f>IF(Tab.o1[[#This Row],[a1]]=1,IF(AO$3=1,[1]!T.in.A[[#This Row],[Σp5]],""),"")</f>
        <v/>
      </c>
      <c r="AP118" s="110" t="str">
        <f>IF(Tab.o1[[#This Row],[a1]]=1,IF(ISNUMBER(Tab.o1[[#This Row],[i.]]),NORMDIST(Tab.o1[[#This Row],[Za]],0,1,FALSE)*Tab.o1[[#This Row],[i.]],0),"")</f>
        <v/>
      </c>
      <c r="AQ118" s="125" t="str">
        <f>IF(Tab.o1[[#This Row],[a1]]=1,ABS(Tab.o1[[#This Row],[MOD]]-AVERAGE(Tab.o1[MOD])),"")</f>
        <v/>
      </c>
      <c r="AR118" s="134" t="str">
        <f>IF(Tab.o1[[#This Row],[a1]]=1,Tab.o1[[#This Row],[OBS]]/SUM(Tab.o1[OBS]),"")</f>
        <v/>
      </c>
      <c r="AS118" s="135" t="str">
        <f>IF(ISNUMBER(Tab.o1[[#This Row],[a1]]),ROW()-4,"")</f>
        <v/>
      </c>
      <c r="AT118" s="136" t="str">
        <f>Tab.o1[[#This Row],[MOD]]</f>
        <v/>
      </c>
      <c r="AU118" s="137" t="str">
        <f t="shared" si="5"/>
        <v/>
      </c>
      <c r="AV118" s="138" t="str">
        <f t="shared" si="6"/>
        <v/>
      </c>
      <c r="AW118" s="138" t="str">
        <f t="shared" si="7"/>
        <v/>
      </c>
      <c r="AX118" s="139" t="str">
        <f>[1]!T.in.A[[#This Row],[ID_T_manu]]</f>
        <v/>
      </c>
      <c r="AY118" s="140" t="str">
        <f>IF(ISNUMBER(Tab.o1[[#This Row],[a1]]),IF(AND(Tab.o1[[#This Row],[a1]]=1,Tab.o1[[#This Row],[b1]]&lt;=AY$4),#REF!,AY117),"")</f>
        <v/>
      </c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</row>
    <row r="119" spans="1:79" ht="14.25" hidden="1" customHeight="1">
      <c r="A119" s="109">
        <v>1.0000000000000001E-5</v>
      </c>
      <c r="B119" s="110">
        <f t="shared" si="4"/>
        <v>119</v>
      </c>
      <c r="C119" s="111" t="str">
        <f>IF(C$1=[1]!T.in.A[[#This Row],[oo2]],1,"")</f>
        <v/>
      </c>
      <c r="D119" s="112" t="str">
        <f>IF(Tab.o1[[#This Row],[a1]]=1,IF(SUM(C119:C120)=0,0,IF(SUM(C118:C119)=1,1,IF(SUM(C118:C120)&gt;1,D118+1,0))),"")</f>
        <v/>
      </c>
      <c r="E119" s="113" t="str">
        <f>IF(Tab.o1[[#This Row],[a1]]=1,[1]!T.in.A[[#This Row],[oo1]],"")</f>
        <v/>
      </c>
      <c r="F119" s="113" t="str">
        <f>IF(Tab.o1[[#This Row],[a1]]=1,[1]!T.in.A[[#This Row],[pp1]],"")</f>
        <v/>
      </c>
      <c r="G119" s="114" t="str">
        <f>IF(Tab.o1[[#This Row],[a1]]=1,G$2+IF(G$1=1,0,Tab.o1[[#This Row],[.x1]])+[1]!T.in.A[[#This Row],[oo3]],"")</f>
        <v/>
      </c>
      <c r="H119" s="115" t="str">
        <f>IF(Tab.o1[[#This Row],[a1]]=1,IF(H$2=0,0,IF(G$1=1,0,Tab.o1[[#This Row],[.x1]])+[1]!T.in.A[[#This Row],[oo4]]),"")</f>
        <v/>
      </c>
      <c r="I119" s="116" t="str">
        <f>IF(Tab.o1[[#This Row],[a1]]=1,IF(J$2=0,Tab.o1[[#This Row],[MED]],Tab.o1[[#This Row],[MOD]]),"")</f>
        <v/>
      </c>
      <c r="J119" s="116" t="str">
        <f>IF(Tab.o1[[#This Row],[a1]]=1,((Tab.o1[[#This Row],[DIF_Target.]]-AVERAGE(Tab.o1[DIF_Target.]))/_xlfn.STDEV.P(Tab.o1[DIF_Target.])),"")</f>
        <v/>
      </c>
      <c r="K119" s="117" t="str">
        <f>IF(Tab.o1[[#This Row],[a1]]=1,IF(J$2=0,Tab.o1[[#This Row],[MOD]]-Tab.o1[[#This Row],[B]],IF(J$2=1,0,-Tab.o1[[#This Row],[MED]])+Tab.o1[[#This Row],[B]]),"")</f>
        <v/>
      </c>
      <c r="L119" s="117" t="str">
        <f ca="1">IF(Tab.o1[[#This Row],[DIF_Target]]=0,IF(L$2=0,Tab.o1[[#This Row],[DIF_Target]],AVERAGE(OFFSET(Tab.o1[[#This Row],[DIF_Target]],1,0,L$3,1)))/3,Tab.o1[[#This Row],[DIF_Target]])</f>
        <v/>
      </c>
      <c r="M119" s="118" t="str">
        <f>IF(Tab.o1[[#This Row],[a1]]=1,NORMSDIST(Tab.o1[[#This Row],[Za]]),"")</f>
        <v/>
      </c>
      <c r="N119" s="119" t="str">
        <f>IF(Tab.o1[[#This Row],[a1]]=1,((Tab.o1[[#This Row],[MedMod]]-AVERAGE(Tab.o1[MedMod]))/_xlfn.STDEV.P(Tab.o1[MedMod])*H$1205)+G$1205,"")</f>
        <v/>
      </c>
      <c r="O119" s="141" t="str">
        <f>IF(Tab.o1[[#This Row],[a1]]=1,Tab.o1[[#This Row],[Zb]]*_xlfn.STDEV.P(Tab.o1[MedMod])+AVERAGE(Tab.o1[MedMod]),"")</f>
        <v/>
      </c>
      <c r="P119" s="117" t="str">
        <f ca="1">IF(Tab.o1[[#This Row],[B]]=0,AVERAGE(OFFSET(Tab.o1[[#This Row],[B]],1,0,L$3,1)),Tab.o1[[#This Row],[B]])</f>
        <v/>
      </c>
      <c r="Q119" s="121" t="str">
        <f>IF(Tab.o1[[#This Row],[a1]]=1,NORMSDIST(Tab.o1[[#This Row],[Zb]]),"")</f>
        <v/>
      </c>
      <c r="R119" s="122" t="str">
        <f>IF(Tab.o1[[#This Row],[a1]]=1,((Tab.o1[[#This Row],[MedMod]]-AVERAGE(Tab.o1[MedMod]))/_xlfn.STDEV.P(Tab.o1[MedMod])*H$1203)+G$1203,"")</f>
        <v/>
      </c>
      <c r="S119" s="122" t="str">
        <f>IF(Tab.o1[[#This Row],[a1]]=1,((Tab.o1[[#This Row],[MedMod]]-AVERAGE(Tab.o1[MedMod]))/_xlfn.STDEV.P(Tab.o1[MedMod])*H$1204)+G$1204,"")</f>
        <v/>
      </c>
      <c r="T119" s="123" t="str">
        <f>IF(Tab.o1[[#This Row],[a1]]=1,Tab.o1[[#This Row],[Z-]]*_xlfn.STDEV.P(Tab.o1[B])+AVERAGE(Tab.o1[B]),"")</f>
        <v/>
      </c>
      <c r="U119" s="123" t="str">
        <f>IF(Tab.o1[[#This Row],[a1]]=1,Tab.o1[[#This Row],[z+]]*_xlfn.STDEV.P(Tab.o1[B])+AVERAGE(Tab.o1[B]),"")</f>
        <v/>
      </c>
      <c r="V119" s="124" t="str">
        <f>IF(Tab.o1[[#This Row],[a1]]=1,ABS((ABS(Tab.o1[[#This Row],[Red]]-Tab.o1[[#This Row],[Blue]]))),"")</f>
        <v/>
      </c>
      <c r="W119" s="125" t="str">
        <f>IF(Tab.o1[[#This Row],[a1]]=1,IF(W$3=0,1,Tab.o1[[#This Row],[Amp.]]*1/_xlfn.MINIFS(Tab.o1[Amp.],Tab.o1[Amp.],"&lt;&gt;0")),"")</f>
        <v/>
      </c>
      <c r="X119" s="126" t="str">
        <f>IF(Tab.o1[[#This Row],[a1]]=1,IF(ISNUMBER(Tab.o1[[#This Row],[i.]]),NORMDIST(Tab.o1[[#This Row],[Za]],0,1,FALSE)*Tab.o1[[#This Row],[i.]],AP$3),"")</f>
        <v/>
      </c>
      <c r="Y119" s="126" t="str">
        <f>IF(Tab.o1[[#This Row],[a1]]=1,0.01+0.94*Tab.o1[[#This Row],[PDF]]/MAX(Tab.o1[PDF]),"")</f>
        <v/>
      </c>
      <c r="Z119" s="126" t="str">
        <f>IF(Tab.o1[[#This Row],[a1]]=1,0.01+0.94*Tab.o1[[#This Row],[W1_PDF]]/MAX(Tab.o1[W1_PDF]),"")</f>
        <v/>
      </c>
      <c r="AA119" s="118" t="str">
        <f>IF(Tab.o1[[#This Row],[a1]]=1,ABS([1]!T.in.A[[#This Row],[oo6]]),"")</f>
        <v/>
      </c>
      <c r="AB119" s="127" t="str">
        <f>IF(Tab.o1[[#This Row],[a1]]=1,IF(AE$3=0,"",IF(AB$3=0,ABS([1]!T.in.A[[#This Row],[oo9]]),ABS(Tab.o1[[#This Row],[DIF_Target.]]*Tab.o1[[#This Row],[W1_PDF]]))),"")</f>
        <v/>
      </c>
      <c r="AC119" s="127" t="str">
        <f>IF(G$1=1,"",IF(Tab.o1[[#This Row],[a1]]=1,Tab.o1[[#This Row],[Wr]]^2,""))</f>
        <v/>
      </c>
      <c r="AD119" s="118" t="str">
        <f>IF(Tab.o1[[#This Row],[a1]]=1,IF(AE$3=0,"",Tab.o1[[#This Row],[Wr2]]/SUM(Tab.o1[Wr2])),"")</f>
        <v/>
      </c>
      <c r="AE119" s="128" t="str">
        <f>IF(Tab.o1[[#This Row],[a1]]=1,[1]!T.in.A[[#This Row],[oo10]],"")</f>
        <v/>
      </c>
      <c r="AF119" s="118" t="str">
        <f>IF(Tab.o1[[#This Row],[a1]]=1,ABS(Tab.o1[[#This Row],[DIF_Target.]]*Tab.o1[[#This Row],[PDF2]]*Tab.o1[[#This Row],[IN]]),"")</f>
        <v/>
      </c>
      <c r="AG119" s="129" t="str">
        <f>IF(Tab.o1[[#This Row],[a1]]=1,Tab.o1[[#This Row],[rW]]^2,"")</f>
        <v/>
      </c>
      <c r="AH119" s="130" t="str">
        <f>IF(Tab.o1[[#This Row],[a1]]=1,IF(AH$3=0,Tab.o1[[#This Row],[rW2]],0.01+0.94*Tab.o1[[#This Row],[rW2]]/SUM(Tab.o1[rW2])),"")</f>
        <v/>
      </c>
      <c r="AI119" s="128" t="str">
        <f>IF(Tab.o1[[#This Row],[a1]]=1,1/Tab.o1[[#This Row],[PDF]],"")</f>
        <v/>
      </c>
      <c r="AJ119" s="131" t="str">
        <f>IF(Tab.o1[[#This Row],[a1]]=1,[1]!T_AA[[#This Row],[IN'']]*[1]!T_AA[[#This Row],[Qde'']],"")</f>
        <v/>
      </c>
      <c r="AK119" s="132" t="str">
        <f>IF(Tab.o1[[#This Row],[a1]]=1,IF(AK$1=1,Tab.o1[[#This Row],[MED]]+Tab.o1[[#This Row],[MOD]]-Tab.o1[[#This Row],[MED]],""),"")</f>
        <v/>
      </c>
      <c r="AL119" s="133" t="str">
        <f>IF(Tab.o1[[#This Row],[a1]]=1,[1]!T.in.A[[#This Row],[oo16]],"")</f>
        <v/>
      </c>
      <c r="AM119" s="133" t="str">
        <f>IF(Tab.o1[[#This Row],[a1]]=1,IF(AM$3=1,[1]!T.in.A[[#This Row],[Σo16]],""),"")</f>
        <v/>
      </c>
      <c r="AN119" s="126" t="str">
        <f>IF(Tab.o1[[#This Row],[a1]]=1,[1]!T.in.A[[#This Row],[Σp5]],"")</f>
        <v/>
      </c>
      <c r="AO119" s="126" t="str">
        <f>IF(Tab.o1[[#This Row],[a1]]=1,IF(AO$3=1,[1]!T.in.A[[#This Row],[Σp5]],""),"")</f>
        <v/>
      </c>
      <c r="AP119" s="110" t="str">
        <f>IF(Tab.o1[[#This Row],[a1]]=1,IF(ISNUMBER(Tab.o1[[#This Row],[i.]]),NORMDIST(Tab.o1[[#This Row],[Za]],0,1,FALSE)*Tab.o1[[#This Row],[i.]],0),"")</f>
        <v/>
      </c>
      <c r="AQ119" s="125" t="str">
        <f>IF(Tab.o1[[#This Row],[a1]]=1,ABS(Tab.o1[[#This Row],[MOD]]-AVERAGE(Tab.o1[MOD])),"")</f>
        <v/>
      </c>
      <c r="AR119" s="134" t="str">
        <f>IF(Tab.o1[[#This Row],[a1]]=1,Tab.o1[[#This Row],[OBS]]/SUM(Tab.o1[OBS]),"")</f>
        <v/>
      </c>
      <c r="AS119" s="135" t="str">
        <f>IF(ISNUMBER(Tab.o1[[#This Row],[a1]]),ROW()-4,"")</f>
        <v/>
      </c>
      <c r="AT119" s="136" t="str">
        <f>Tab.o1[[#This Row],[MOD]]</f>
        <v/>
      </c>
      <c r="AU119" s="137" t="str">
        <f t="shared" si="5"/>
        <v/>
      </c>
      <c r="AV119" s="138" t="str">
        <f t="shared" si="6"/>
        <v/>
      </c>
      <c r="AW119" s="138" t="str">
        <f t="shared" si="7"/>
        <v/>
      </c>
      <c r="AX119" s="139">
        <f>[1]!T.in.A[[#This Row],[ID_T_manu]]</f>
        <v>11</v>
      </c>
      <c r="AY119" s="140" t="str">
        <f>IF(ISNUMBER(Tab.o1[[#This Row],[a1]]),IF(AND(Tab.o1[[#This Row],[a1]]=1,Tab.o1[[#This Row],[b1]]&lt;=AY$4),#REF!,AY118),"")</f>
        <v/>
      </c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</row>
    <row r="120" spans="1:79" ht="14.25" hidden="1" customHeight="1">
      <c r="A120" s="109">
        <v>2.9999999999999997E-6</v>
      </c>
      <c r="B120" s="110">
        <f t="shared" si="4"/>
        <v>120</v>
      </c>
      <c r="C120" s="111" t="str">
        <f>IF(C$1=[1]!T.in.A[[#This Row],[oo2]],1,"")</f>
        <v/>
      </c>
      <c r="D120" s="112" t="str">
        <f>IF(Tab.o1[[#This Row],[a1]]=1,IF(SUM(C120:C121)=0,0,IF(SUM(C119:C120)=1,1,IF(SUM(C119:C121)&gt;1,D119+1,0))),"")</f>
        <v/>
      </c>
      <c r="E120" s="113" t="str">
        <f>IF(Tab.o1[[#This Row],[a1]]=1,[1]!T.in.A[[#This Row],[oo1]],"")</f>
        <v/>
      </c>
      <c r="F120" s="113" t="str">
        <f>IF(Tab.o1[[#This Row],[a1]]=1,[1]!T.in.A[[#This Row],[pp1]],"")</f>
        <v/>
      </c>
      <c r="G120" s="114" t="str">
        <f>IF(Tab.o1[[#This Row],[a1]]=1,G$2+IF(G$1=1,0,Tab.o1[[#This Row],[.x1]])+[1]!T.in.A[[#This Row],[oo3]],"")</f>
        <v/>
      </c>
      <c r="H120" s="115" t="str">
        <f>IF(Tab.o1[[#This Row],[a1]]=1,IF(H$2=0,0,IF(G$1=1,0,Tab.o1[[#This Row],[.x1]])+[1]!T.in.A[[#This Row],[oo4]]),"")</f>
        <v/>
      </c>
      <c r="I120" s="116" t="str">
        <f>IF(Tab.o1[[#This Row],[a1]]=1,IF(J$2=0,Tab.o1[[#This Row],[MED]],Tab.o1[[#This Row],[MOD]]),"")</f>
        <v/>
      </c>
      <c r="J120" s="116" t="str">
        <f>IF(Tab.o1[[#This Row],[a1]]=1,((Tab.o1[[#This Row],[DIF_Target.]]-AVERAGE(Tab.o1[DIF_Target.]))/_xlfn.STDEV.P(Tab.o1[DIF_Target.])),"")</f>
        <v/>
      </c>
      <c r="K120" s="117" t="str">
        <f>IF(Tab.o1[[#This Row],[a1]]=1,IF(J$2=0,Tab.o1[[#This Row],[MOD]]-Tab.o1[[#This Row],[B]],IF(J$2=1,0,-Tab.o1[[#This Row],[MED]])+Tab.o1[[#This Row],[B]]),"")</f>
        <v/>
      </c>
      <c r="L120" s="117" t="str">
        <f ca="1">IF(Tab.o1[[#This Row],[DIF_Target]]=0,IF(L$2=0,Tab.o1[[#This Row],[DIF_Target]],AVERAGE(OFFSET(Tab.o1[[#This Row],[DIF_Target]],1,0,L$3,1)))/3,Tab.o1[[#This Row],[DIF_Target]])</f>
        <v/>
      </c>
      <c r="M120" s="118" t="str">
        <f>IF(Tab.o1[[#This Row],[a1]]=1,NORMSDIST(Tab.o1[[#This Row],[Za]]),"")</f>
        <v/>
      </c>
      <c r="N120" s="119" t="str">
        <f>IF(Tab.o1[[#This Row],[a1]]=1,((Tab.o1[[#This Row],[MedMod]]-AVERAGE(Tab.o1[MedMod]))/_xlfn.STDEV.P(Tab.o1[MedMod])*H$1205)+G$1205,"")</f>
        <v/>
      </c>
      <c r="O120" s="141" t="str">
        <f>IF(Tab.o1[[#This Row],[a1]]=1,Tab.o1[[#This Row],[Zb]]*_xlfn.STDEV.P(Tab.o1[MedMod])+AVERAGE(Tab.o1[MedMod]),"")</f>
        <v/>
      </c>
      <c r="P120" s="117" t="str">
        <f ca="1">IF(Tab.o1[[#This Row],[B]]=0,AVERAGE(OFFSET(Tab.o1[[#This Row],[B]],1,0,L$3,1)),Tab.o1[[#This Row],[B]])</f>
        <v/>
      </c>
      <c r="Q120" s="121" t="str">
        <f>IF(Tab.o1[[#This Row],[a1]]=1,NORMSDIST(Tab.o1[[#This Row],[Zb]]),"")</f>
        <v/>
      </c>
      <c r="R120" s="122" t="str">
        <f>IF(Tab.o1[[#This Row],[a1]]=1,((Tab.o1[[#This Row],[MedMod]]-AVERAGE(Tab.o1[MedMod]))/_xlfn.STDEV.P(Tab.o1[MedMod])*H$1203)+G$1203,"")</f>
        <v/>
      </c>
      <c r="S120" s="122" t="str">
        <f>IF(Tab.o1[[#This Row],[a1]]=1,((Tab.o1[[#This Row],[MedMod]]-AVERAGE(Tab.o1[MedMod]))/_xlfn.STDEV.P(Tab.o1[MedMod])*H$1204)+G$1204,"")</f>
        <v/>
      </c>
      <c r="T120" s="123" t="str">
        <f>IF(Tab.o1[[#This Row],[a1]]=1,Tab.o1[[#This Row],[Z-]]*_xlfn.STDEV.P(Tab.o1[B])+AVERAGE(Tab.o1[B]),"")</f>
        <v/>
      </c>
      <c r="U120" s="123" t="str">
        <f>IF(Tab.o1[[#This Row],[a1]]=1,Tab.o1[[#This Row],[z+]]*_xlfn.STDEV.P(Tab.o1[B])+AVERAGE(Tab.o1[B]),"")</f>
        <v/>
      </c>
      <c r="V120" s="124" t="str">
        <f>IF(Tab.o1[[#This Row],[a1]]=1,ABS((ABS(Tab.o1[[#This Row],[Red]]-Tab.o1[[#This Row],[Blue]]))),"")</f>
        <v/>
      </c>
      <c r="W120" s="125" t="str">
        <f>IF(Tab.o1[[#This Row],[a1]]=1,IF(W$3=0,1,Tab.o1[[#This Row],[Amp.]]*1/_xlfn.MINIFS(Tab.o1[Amp.],Tab.o1[Amp.],"&lt;&gt;0")),"")</f>
        <v/>
      </c>
      <c r="X120" s="126" t="str">
        <f>IF(Tab.o1[[#This Row],[a1]]=1,IF(ISNUMBER(Tab.o1[[#This Row],[i.]]),NORMDIST(Tab.o1[[#This Row],[Za]],0,1,FALSE)*Tab.o1[[#This Row],[i.]],AP$3),"")</f>
        <v/>
      </c>
      <c r="Y120" s="126" t="str">
        <f>IF(Tab.o1[[#This Row],[a1]]=1,0.01+0.94*Tab.o1[[#This Row],[PDF]]/MAX(Tab.o1[PDF]),"")</f>
        <v/>
      </c>
      <c r="Z120" s="126" t="str">
        <f>IF(Tab.o1[[#This Row],[a1]]=1,0.01+0.94*Tab.o1[[#This Row],[W1_PDF]]/MAX(Tab.o1[W1_PDF]),"")</f>
        <v/>
      </c>
      <c r="AA120" s="118" t="str">
        <f>IF(Tab.o1[[#This Row],[a1]]=1,ABS([1]!T.in.A[[#This Row],[oo6]]),"")</f>
        <v/>
      </c>
      <c r="AB120" s="127" t="str">
        <f>IF(Tab.o1[[#This Row],[a1]]=1,IF(AE$3=0,"",IF(AB$3=0,ABS([1]!T.in.A[[#This Row],[oo9]]),ABS(Tab.o1[[#This Row],[DIF_Target.]]*Tab.o1[[#This Row],[W1_PDF]]))),"")</f>
        <v/>
      </c>
      <c r="AC120" s="127" t="str">
        <f>IF(G$1=1,"",IF(Tab.o1[[#This Row],[a1]]=1,Tab.o1[[#This Row],[Wr]]^2,""))</f>
        <v/>
      </c>
      <c r="AD120" s="118" t="str">
        <f>IF(Tab.o1[[#This Row],[a1]]=1,IF(AE$3=0,"",Tab.o1[[#This Row],[Wr2]]/SUM(Tab.o1[Wr2])),"")</f>
        <v/>
      </c>
      <c r="AE120" s="128" t="str">
        <f>IF(Tab.o1[[#This Row],[a1]]=1,[1]!T.in.A[[#This Row],[oo10]],"")</f>
        <v/>
      </c>
      <c r="AF120" s="118" t="str">
        <f>IF(Tab.o1[[#This Row],[a1]]=1,ABS(Tab.o1[[#This Row],[DIF_Target.]]*Tab.o1[[#This Row],[PDF2]]*Tab.o1[[#This Row],[IN]]),"")</f>
        <v/>
      </c>
      <c r="AG120" s="129" t="str">
        <f>IF(Tab.o1[[#This Row],[a1]]=1,Tab.o1[[#This Row],[rW]]^2,"")</f>
        <v/>
      </c>
      <c r="AH120" s="130" t="str">
        <f>IF(Tab.o1[[#This Row],[a1]]=1,IF(AH$3=0,Tab.o1[[#This Row],[rW2]],0.01+0.94*Tab.o1[[#This Row],[rW2]]/SUM(Tab.o1[rW2])),"")</f>
        <v/>
      </c>
      <c r="AI120" s="128" t="str">
        <f>IF(Tab.o1[[#This Row],[a1]]=1,1/Tab.o1[[#This Row],[PDF]],"")</f>
        <v/>
      </c>
      <c r="AJ120" s="131" t="str">
        <f>IF(Tab.o1[[#This Row],[a1]]=1,[1]!T_AA[[#This Row],[IN'']]*[1]!T_AA[[#This Row],[Qde'']],"")</f>
        <v/>
      </c>
      <c r="AK120" s="132" t="str">
        <f>IF(Tab.o1[[#This Row],[a1]]=1,IF(AK$1=1,Tab.o1[[#This Row],[MED]]+Tab.o1[[#This Row],[MOD]]-Tab.o1[[#This Row],[MED]],""),"")</f>
        <v/>
      </c>
      <c r="AL120" s="133" t="str">
        <f>IF(Tab.o1[[#This Row],[a1]]=1,[1]!T.in.A[[#This Row],[oo16]],"")</f>
        <v/>
      </c>
      <c r="AM120" s="133" t="str">
        <f>IF(Tab.o1[[#This Row],[a1]]=1,IF(AM$3=1,[1]!T.in.A[[#This Row],[Σo16]],""),"")</f>
        <v/>
      </c>
      <c r="AN120" s="126" t="str">
        <f>IF(Tab.o1[[#This Row],[a1]]=1,[1]!T.in.A[[#This Row],[Σp5]],"")</f>
        <v/>
      </c>
      <c r="AO120" s="126" t="str">
        <f>IF(Tab.o1[[#This Row],[a1]]=1,IF(AO$3=1,[1]!T.in.A[[#This Row],[Σp5]],""),"")</f>
        <v/>
      </c>
      <c r="AP120" s="110" t="str">
        <f>IF(Tab.o1[[#This Row],[a1]]=1,IF(ISNUMBER(Tab.o1[[#This Row],[i.]]),NORMDIST(Tab.o1[[#This Row],[Za]],0,1,FALSE)*Tab.o1[[#This Row],[i.]],0),"")</f>
        <v/>
      </c>
      <c r="AQ120" s="125" t="str">
        <f>IF(Tab.o1[[#This Row],[a1]]=1,ABS(Tab.o1[[#This Row],[MOD]]-AVERAGE(Tab.o1[MOD])),"")</f>
        <v/>
      </c>
      <c r="AR120" s="134" t="str">
        <f>IF(Tab.o1[[#This Row],[a1]]=1,Tab.o1[[#This Row],[OBS]]/SUM(Tab.o1[OBS]),"")</f>
        <v/>
      </c>
      <c r="AS120" s="135" t="str">
        <f>IF(ISNUMBER(Tab.o1[[#This Row],[a1]]),ROW()-4,"")</f>
        <v/>
      </c>
      <c r="AT120" s="136" t="str">
        <f>Tab.o1[[#This Row],[MOD]]</f>
        <v/>
      </c>
      <c r="AU120" s="137" t="str">
        <f t="shared" si="5"/>
        <v/>
      </c>
      <c r="AV120" s="138" t="str">
        <f t="shared" si="6"/>
        <v/>
      </c>
      <c r="AW120" s="138" t="str">
        <f t="shared" si="7"/>
        <v/>
      </c>
      <c r="AX120" s="139" t="str">
        <f>[1]!T.in.A[[#This Row],[ID_T_manu]]</f>
        <v/>
      </c>
      <c r="AY120" s="140" t="str">
        <f>IF(ISNUMBER(Tab.o1[[#This Row],[a1]]),IF(AND(Tab.o1[[#This Row],[a1]]=1,Tab.o1[[#This Row],[b1]]&lt;=AY$4),#REF!,AY119),"")</f>
        <v/>
      </c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</row>
    <row r="121" spans="1:79" ht="14.25" hidden="1" customHeight="1">
      <c r="A121" s="109">
        <v>-4.0000000000000007E-6</v>
      </c>
      <c r="B121" s="110">
        <f t="shared" si="4"/>
        <v>121</v>
      </c>
      <c r="C121" s="111" t="str">
        <f>IF(C$1=[1]!T.in.A[[#This Row],[oo2]],1,"")</f>
        <v/>
      </c>
      <c r="D121" s="112" t="str">
        <f>IF(Tab.o1[[#This Row],[a1]]=1,IF(SUM(C121:C122)=0,0,IF(SUM(C120:C121)=1,1,IF(SUM(C120:C122)&gt;1,D120+1,0))),"")</f>
        <v/>
      </c>
      <c r="E121" s="113" t="str">
        <f>IF(Tab.o1[[#This Row],[a1]]=1,[1]!T.in.A[[#This Row],[oo1]],"")</f>
        <v/>
      </c>
      <c r="F121" s="113" t="str">
        <f>IF(Tab.o1[[#This Row],[a1]]=1,[1]!T.in.A[[#This Row],[pp1]],"")</f>
        <v/>
      </c>
      <c r="G121" s="114" t="str">
        <f>IF(Tab.o1[[#This Row],[a1]]=1,G$2+IF(G$1=1,0,Tab.o1[[#This Row],[.x1]])+[1]!T.in.A[[#This Row],[oo3]],"")</f>
        <v/>
      </c>
      <c r="H121" s="115" t="str">
        <f>IF(Tab.o1[[#This Row],[a1]]=1,IF(H$2=0,0,IF(G$1=1,0,Tab.o1[[#This Row],[.x1]])+[1]!T.in.A[[#This Row],[oo4]]),"")</f>
        <v/>
      </c>
      <c r="I121" s="116" t="str">
        <f>IF(Tab.o1[[#This Row],[a1]]=1,IF(J$2=0,Tab.o1[[#This Row],[MED]],Tab.o1[[#This Row],[MOD]]),"")</f>
        <v/>
      </c>
      <c r="J121" s="116" t="str">
        <f>IF(Tab.o1[[#This Row],[a1]]=1,((Tab.o1[[#This Row],[DIF_Target.]]-AVERAGE(Tab.o1[DIF_Target.]))/_xlfn.STDEV.P(Tab.o1[DIF_Target.])),"")</f>
        <v/>
      </c>
      <c r="K121" s="117" t="str">
        <f>IF(Tab.o1[[#This Row],[a1]]=1,IF(J$2=0,Tab.o1[[#This Row],[MOD]]-Tab.o1[[#This Row],[B]],IF(J$2=1,0,-Tab.o1[[#This Row],[MED]])+Tab.o1[[#This Row],[B]]),"")</f>
        <v/>
      </c>
      <c r="L121" s="117" t="str">
        <f ca="1">IF(Tab.o1[[#This Row],[DIF_Target]]=0,IF(L$2=0,Tab.o1[[#This Row],[DIF_Target]],AVERAGE(OFFSET(Tab.o1[[#This Row],[DIF_Target]],1,0,L$3,1)))/3,Tab.o1[[#This Row],[DIF_Target]])</f>
        <v/>
      </c>
      <c r="M121" s="118" t="str">
        <f>IF(Tab.o1[[#This Row],[a1]]=1,NORMSDIST(Tab.o1[[#This Row],[Za]]),"")</f>
        <v/>
      </c>
      <c r="N121" s="119" t="str">
        <f>IF(Tab.o1[[#This Row],[a1]]=1,((Tab.o1[[#This Row],[MedMod]]-AVERAGE(Tab.o1[MedMod]))/_xlfn.STDEV.P(Tab.o1[MedMod])*H$1205)+G$1205,"")</f>
        <v/>
      </c>
      <c r="O121" s="141" t="str">
        <f>IF(Tab.o1[[#This Row],[a1]]=1,Tab.o1[[#This Row],[Zb]]*_xlfn.STDEV.P(Tab.o1[MedMod])+AVERAGE(Tab.o1[MedMod]),"")</f>
        <v/>
      </c>
      <c r="P121" s="117" t="str">
        <f ca="1">IF(Tab.o1[[#This Row],[B]]=0,AVERAGE(OFFSET(Tab.o1[[#This Row],[B]],1,0,L$3,1)),Tab.o1[[#This Row],[B]])</f>
        <v/>
      </c>
      <c r="Q121" s="121" t="str">
        <f>IF(Tab.o1[[#This Row],[a1]]=1,NORMSDIST(Tab.o1[[#This Row],[Zb]]),"")</f>
        <v/>
      </c>
      <c r="R121" s="122" t="str">
        <f>IF(Tab.o1[[#This Row],[a1]]=1,((Tab.o1[[#This Row],[MedMod]]-AVERAGE(Tab.o1[MedMod]))/_xlfn.STDEV.P(Tab.o1[MedMod])*H$1203)+G$1203,"")</f>
        <v/>
      </c>
      <c r="S121" s="122" t="str">
        <f>IF(Tab.o1[[#This Row],[a1]]=1,((Tab.o1[[#This Row],[MedMod]]-AVERAGE(Tab.o1[MedMod]))/_xlfn.STDEV.P(Tab.o1[MedMod])*H$1204)+G$1204,"")</f>
        <v/>
      </c>
      <c r="T121" s="123" t="str">
        <f>IF(Tab.o1[[#This Row],[a1]]=1,Tab.o1[[#This Row],[Z-]]*_xlfn.STDEV.P(Tab.o1[B])+AVERAGE(Tab.o1[B]),"")</f>
        <v/>
      </c>
      <c r="U121" s="123" t="str">
        <f>IF(Tab.o1[[#This Row],[a1]]=1,Tab.o1[[#This Row],[z+]]*_xlfn.STDEV.P(Tab.o1[B])+AVERAGE(Tab.o1[B]),"")</f>
        <v/>
      </c>
      <c r="V121" s="124" t="str">
        <f>IF(Tab.o1[[#This Row],[a1]]=1,ABS((ABS(Tab.o1[[#This Row],[Red]]-Tab.o1[[#This Row],[Blue]]))),"")</f>
        <v/>
      </c>
      <c r="W121" s="125" t="str">
        <f>IF(Tab.o1[[#This Row],[a1]]=1,IF(W$3=0,1,Tab.o1[[#This Row],[Amp.]]*1/_xlfn.MINIFS(Tab.o1[Amp.],Tab.o1[Amp.],"&lt;&gt;0")),"")</f>
        <v/>
      </c>
      <c r="X121" s="126" t="str">
        <f>IF(Tab.o1[[#This Row],[a1]]=1,IF(ISNUMBER(Tab.o1[[#This Row],[i.]]),NORMDIST(Tab.o1[[#This Row],[Za]],0,1,FALSE)*Tab.o1[[#This Row],[i.]],AP$3),"")</f>
        <v/>
      </c>
      <c r="Y121" s="126" t="str">
        <f>IF(Tab.o1[[#This Row],[a1]]=1,0.01+0.94*Tab.o1[[#This Row],[PDF]]/MAX(Tab.o1[PDF]),"")</f>
        <v/>
      </c>
      <c r="Z121" s="126" t="str">
        <f>IF(Tab.o1[[#This Row],[a1]]=1,0.01+0.94*Tab.o1[[#This Row],[W1_PDF]]/MAX(Tab.o1[W1_PDF]),"")</f>
        <v/>
      </c>
      <c r="AA121" s="118" t="str">
        <f>IF(Tab.o1[[#This Row],[a1]]=1,ABS([1]!T.in.A[[#This Row],[oo6]]),"")</f>
        <v/>
      </c>
      <c r="AB121" s="127" t="str">
        <f>IF(Tab.o1[[#This Row],[a1]]=1,IF(AE$3=0,"",IF(AB$3=0,ABS([1]!T.in.A[[#This Row],[oo9]]),ABS(Tab.o1[[#This Row],[DIF_Target.]]*Tab.o1[[#This Row],[W1_PDF]]))),"")</f>
        <v/>
      </c>
      <c r="AC121" s="127" t="str">
        <f>IF(G$1=1,"",IF(Tab.o1[[#This Row],[a1]]=1,Tab.o1[[#This Row],[Wr]]^2,""))</f>
        <v/>
      </c>
      <c r="AD121" s="118" t="str">
        <f>IF(Tab.o1[[#This Row],[a1]]=1,IF(AE$3=0,"",Tab.o1[[#This Row],[Wr2]]/SUM(Tab.o1[Wr2])),"")</f>
        <v/>
      </c>
      <c r="AE121" s="128" t="str">
        <f>IF(Tab.o1[[#This Row],[a1]]=1,[1]!T.in.A[[#This Row],[oo10]],"")</f>
        <v/>
      </c>
      <c r="AF121" s="118" t="str">
        <f>IF(Tab.o1[[#This Row],[a1]]=1,ABS(Tab.o1[[#This Row],[DIF_Target.]]*Tab.o1[[#This Row],[PDF2]]*Tab.o1[[#This Row],[IN]]),"")</f>
        <v/>
      </c>
      <c r="AG121" s="129" t="str">
        <f>IF(Tab.o1[[#This Row],[a1]]=1,Tab.o1[[#This Row],[rW]]^2,"")</f>
        <v/>
      </c>
      <c r="AH121" s="130" t="str">
        <f>IF(Tab.o1[[#This Row],[a1]]=1,IF(AH$3=0,Tab.o1[[#This Row],[rW2]],0.01+0.94*Tab.o1[[#This Row],[rW2]]/SUM(Tab.o1[rW2])),"")</f>
        <v/>
      </c>
      <c r="AI121" s="128" t="str">
        <f>IF(Tab.o1[[#This Row],[a1]]=1,1/Tab.o1[[#This Row],[PDF]],"")</f>
        <v/>
      </c>
      <c r="AJ121" s="131" t="str">
        <f>IF(Tab.o1[[#This Row],[a1]]=1,[1]!T_AA[[#This Row],[IN'']]*[1]!T_AA[[#This Row],[Qde'']],"")</f>
        <v/>
      </c>
      <c r="AK121" s="132" t="str">
        <f>IF(Tab.o1[[#This Row],[a1]]=1,IF(AK$1=1,Tab.o1[[#This Row],[MED]]+Tab.o1[[#This Row],[MOD]]-Tab.o1[[#This Row],[MED]],""),"")</f>
        <v/>
      </c>
      <c r="AL121" s="133" t="str">
        <f>IF(Tab.o1[[#This Row],[a1]]=1,[1]!T.in.A[[#This Row],[oo16]],"")</f>
        <v/>
      </c>
      <c r="AM121" s="133" t="str">
        <f>IF(Tab.o1[[#This Row],[a1]]=1,IF(AM$3=1,[1]!T.in.A[[#This Row],[Σo16]],""),"")</f>
        <v/>
      </c>
      <c r="AN121" s="126" t="str">
        <f>IF(Tab.o1[[#This Row],[a1]]=1,[1]!T.in.A[[#This Row],[Σp5]],"")</f>
        <v/>
      </c>
      <c r="AO121" s="126" t="str">
        <f>IF(Tab.o1[[#This Row],[a1]]=1,IF(AO$3=1,[1]!T.in.A[[#This Row],[Σp5]],""),"")</f>
        <v/>
      </c>
      <c r="AP121" s="110" t="str">
        <f>IF(Tab.o1[[#This Row],[a1]]=1,IF(ISNUMBER(Tab.o1[[#This Row],[i.]]),NORMDIST(Tab.o1[[#This Row],[Za]],0,1,FALSE)*Tab.o1[[#This Row],[i.]],0),"")</f>
        <v/>
      </c>
      <c r="AQ121" s="125" t="str">
        <f>IF(Tab.o1[[#This Row],[a1]]=1,ABS(Tab.o1[[#This Row],[MOD]]-AVERAGE(Tab.o1[MOD])),"")</f>
        <v/>
      </c>
      <c r="AR121" s="134" t="str">
        <f>IF(Tab.o1[[#This Row],[a1]]=1,Tab.o1[[#This Row],[OBS]]/SUM(Tab.o1[OBS]),"")</f>
        <v/>
      </c>
      <c r="AS121" s="135" t="str">
        <f>IF(ISNUMBER(Tab.o1[[#This Row],[a1]]),ROW()-4,"")</f>
        <v/>
      </c>
      <c r="AT121" s="136" t="str">
        <f>Tab.o1[[#This Row],[MOD]]</f>
        <v/>
      </c>
      <c r="AU121" s="137" t="str">
        <f t="shared" si="5"/>
        <v/>
      </c>
      <c r="AV121" s="138" t="str">
        <f t="shared" si="6"/>
        <v/>
      </c>
      <c r="AW121" s="138" t="str">
        <f t="shared" si="7"/>
        <v/>
      </c>
      <c r="AX121" s="139" t="str">
        <f>[1]!T.in.A[[#This Row],[ID_T_manu]]</f>
        <v/>
      </c>
      <c r="AY121" s="140" t="str">
        <f>IF(ISNUMBER(Tab.o1[[#This Row],[a1]]),IF(AND(Tab.o1[[#This Row],[a1]]=1,Tab.o1[[#This Row],[b1]]&lt;=AY$4),#REF!,AY120),"")</f>
        <v/>
      </c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</row>
    <row r="122" spans="1:79" ht="14.25" hidden="1" customHeight="1">
      <c r="A122" s="109">
        <v>5.9999999999999993E-6</v>
      </c>
      <c r="B122" s="110">
        <f t="shared" si="4"/>
        <v>122</v>
      </c>
      <c r="C122" s="111" t="str">
        <f>IF(C$1=[1]!T.in.A[[#This Row],[oo2]],1,"")</f>
        <v/>
      </c>
      <c r="D122" s="112" t="str">
        <f>IF(Tab.o1[[#This Row],[a1]]=1,IF(SUM(C122:C123)=0,0,IF(SUM(C121:C122)=1,1,IF(SUM(C121:C123)&gt;1,D121+1,0))),"")</f>
        <v/>
      </c>
      <c r="E122" s="113" t="str">
        <f>IF(Tab.o1[[#This Row],[a1]]=1,[1]!T.in.A[[#This Row],[oo1]],"")</f>
        <v/>
      </c>
      <c r="F122" s="113" t="str">
        <f>IF(Tab.o1[[#This Row],[a1]]=1,[1]!T.in.A[[#This Row],[pp1]],"")</f>
        <v/>
      </c>
      <c r="G122" s="114" t="str">
        <f>IF(Tab.o1[[#This Row],[a1]]=1,G$2+IF(G$1=1,0,Tab.o1[[#This Row],[.x1]])+[1]!T.in.A[[#This Row],[oo3]],"")</f>
        <v/>
      </c>
      <c r="H122" s="115" t="str">
        <f>IF(Tab.o1[[#This Row],[a1]]=1,IF(H$2=0,0,IF(G$1=1,0,Tab.o1[[#This Row],[.x1]])+[1]!T.in.A[[#This Row],[oo4]]),"")</f>
        <v/>
      </c>
      <c r="I122" s="116" t="str">
        <f>IF(Tab.o1[[#This Row],[a1]]=1,IF(J$2=0,Tab.o1[[#This Row],[MED]],Tab.o1[[#This Row],[MOD]]),"")</f>
        <v/>
      </c>
      <c r="J122" s="116" t="str">
        <f>IF(Tab.o1[[#This Row],[a1]]=1,((Tab.o1[[#This Row],[DIF_Target.]]-AVERAGE(Tab.o1[DIF_Target.]))/_xlfn.STDEV.P(Tab.o1[DIF_Target.])),"")</f>
        <v/>
      </c>
      <c r="K122" s="117" t="str">
        <f>IF(Tab.o1[[#This Row],[a1]]=1,IF(J$2=0,Tab.o1[[#This Row],[MOD]]-Tab.o1[[#This Row],[B]],IF(J$2=1,0,-Tab.o1[[#This Row],[MED]])+Tab.o1[[#This Row],[B]]),"")</f>
        <v/>
      </c>
      <c r="L122" s="117" t="str">
        <f ca="1">IF(Tab.o1[[#This Row],[DIF_Target]]=0,IF(L$2=0,Tab.o1[[#This Row],[DIF_Target]],AVERAGE(OFFSET(Tab.o1[[#This Row],[DIF_Target]],1,0,L$3,1)))/3,Tab.o1[[#This Row],[DIF_Target]])</f>
        <v/>
      </c>
      <c r="M122" s="118" t="str">
        <f>IF(Tab.o1[[#This Row],[a1]]=1,NORMSDIST(Tab.o1[[#This Row],[Za]]),"")</f>
        <v/>
      </c>
      <c r="N122" s="119" t="str">
        <f>IF(Tab.o1[[#This Row],[a1]]=1,((Tab.o1[[#This Row],[MedMod]]-AVERAGE(Tab.o1[MedMod]))/_xlfn.STDEV.P(Tab.o1[MedMod])*H$1205)+G$1205,"")</f>
        <v/>
      </c>
      <c r="O122" s="141" t="str">
        <f>IF(Tab.o1[[#This Row],[a1]]=1,Tab.o1[[#This Row],[Zb]]*_xlfn.STDEV.P(Tab.o1[MedMod])+AVERAGE(Tab.o1[MedMod]),"")</f>
        <v/>
      </c>
      <c r="P122" s="117" t="str">
        <f ca="1">IF(Tab.o1[[#This Row],[B]]=0,AVERAGE(OFFSET(Tab.o1[[#This Row],[B]],1,0,L$3,1)),Tab.o1[[#This Row],[B]])</f>
        <v/>
      </c>
      <c r="Q122" s="121" t="str">
        <f>IF(Tab.o1[[#This Row],[a1]]=1,NORMSDIST(Tab.o1[[#This Row],[Zb]]),"")</f>
        <v/>
      </c>
      <c r="R122" s="122" t="str">
        <f>IF(Tab.o1[[#This Row],[a1]]=1,((Tab.o1[[#This Row],[MedMod]]-AVERAGE(Tab.o1[MedMod]))/_xlfn.STDEV.P(Tab.o1[MedMod])*H$1203)+G$1203,"")</f>
        <v/>
      </c>
      <c r="S122" s="122" t="str">
        <f>IF(Tab.o1[[#This Row],[a1]]=1,((Tab.o1[[#This Row],[MedMod]]-AVERAGE(Tab.o1[MedMod]))/_xlfn.STDEV.P(Tab.o1[MedMod])*H$1204)+G$1204,"")</f>
        <v/>
      </c>
      <c r="T122" s="123" t="str">
        <f>IF(Tab.o1[[#This Row],[a1]]=1,Tab.o1[[#This Row],[Z-]]*_xlfn.STDEV.P(Tab.o1[B])+AVERAGE(Tab.o1[B]),"")</f>
        <v/>
      </c>
      <c r="U122" s="123" t="str">
        <f>IF(Tab.o1[[#This Row],[a1]]=1,Tab.o1[[#This Row],[z+]]*_xlfn.STDEV.P(Tab.o1[B])+AVERAGE(Tab.o1[B]),"")</f>
        <v/>
      </c>
      <c r="V122" s="124" t="str">
        <f>IF(Tab.o1[[#This Row],[a1]]=1,ABS((ABS(Tab.o1[[#This Row],[Red]]-Tab.o1[[#This Row],[Blue]]))),"")</f>
        <v/>
      </c>
      <c r="W122" s="125" t="str">
        <f>IF(Tab.o1[[#This Row],[a1]]=1,IF(W$3=0,1,Tab.o1[[#This Row],[Amp.]]*1/_xlfn.MINIFS(Tab.o1[Amp.],Tab.o1[Amp.],"&lt;&gt;0")),"")</f>
        <v/>
      </c>
      <c r="X122" s="126" t="str">
        <f>IF(Tab.o1[[#This Row],[a1]]=1,IF(ISNUMBER(Tab.o1[[#This Row],[i.]]),NORMDIST(Tab.o1[[#This Row],[Za]],0,1,FALSE)*Tab.o1[[#This Row],[i.]],AP$3),"")</f>
        <v/>
      </c>
      <c r="Y122" s="126" t="str">
        <f>IF(Tab.o1[[#This Row],[a1]]=1,0.01+0.94*Tab.o1[[#This Row],[PDF]]/MAX(Tab.o1[PDF]),"")</f>
        <v/>
      </c>
      <c r="Z122" s="126" t="str">
        <f>IF(Tab.o1[[#This Row],[a1]]=1,0.01+0.94*Tab.o1[[#This Row],[W1_PDF]]/MAX(Tab.o1[W1_PDF]),"")</f>
        <v/>
      </c>
      <c r="AA122" s="118" t="str">
        <f>IF(Tab.o1[[#This Row],[a1]]=1,ABS([1]!T.in.A[[#This Row],[oo6]]),"")</f>
        <v/>
      </c>
      <c r="AB122" s="127" t="str">
        <f>IF(Tab.o1[[#This Row],[a1]]=1,IF(AE$3=0,"",IF(AB$3=0,ABS([1]!T.in.A[[#This Row],[oo9]]),ABS(Tab.o1[[#This Row],[DIF_Target.]]*Tab.o1[[#This Row],[W1_PDF]]))),"")</f>
        <v/>
      </c>
      <c r="AC122" s="127" t="str">
        <f>IF(G$1=1,"",IF(Tab.o1[[#This Row],[a1]]=1,Tab.o1[[#This Row],[Wr]]^2,""))</f>
        <v/>
      </c>
      <c r="AD122" s="118" t="str">
        <f>IF(Tab.o1[[#This Row],[a1]]=1,IF(AE$3=0,"",Tab.o1[[#This Row],[Wr2]]/SUM(Tab.o1[Wr2])),"")</f>
        <v/>
      </c>
      <c r="AE122" s="128" t="str">
        <f>IF(Tab.o1[[#This Row],[a1]]=1,[1]!T.in.A[[#This Row],[oo10]],"")</f>
        <v/>
      </c>
      <c r="AF122" s="118" t="str">
        <f>IF(Tab.o1[[#This Row],[a1]]=1,ABS(Tab.o1[[#This Row],[DIF_Target.]]*Tab.o1[[#This Row],[PDF2]]*Tab.o1[[#This Row],[IN]]),"")</f>
        <v/>
      </c>
      <c r="AG122" s="129" t="str">
        <f>IF(Tab.o1[[#This Row],[a1]]=1,Tab.o1[[#This Row],[rW]]^2,"")</f>
        <v/>
      </c>
      <c r="AH122" s="130" t="str">
        <f>IF(Tab.o1[[#This Row],[a1]]=1,IF(AH$3=0,Tab.o1[[#This Row],[rW2]],0.01+0.94*Tab.o1[[#This Row],[rW2]]/SUM(Tab.o1[rW2])),"")</f>
        <v/>
      </c>
      <c r="AI122" s="128" t="str">
        <f>IF(Tab.o1[[#This Row],[a1]]=1,1/Tab.o1[[#This Row],[PDF]],"")</f>
        <v/>
      </c>
      <c r="AJ122" s="131" t="str">
        <f>IF(Tab.o1[[#This Row],[a1]]=1,[1]!T_AA[[#This Row],[IN'']]*[1]!T_AA[[#This Row],[Qde'']],"")</f>
        <v/>
      </c>
      <c r="AK122" s="132" t="str">
        <f>IF(Tab.o1[[#This Row],[a1]]=1,IF(AK$1=1,Tab.o1[[#This Row],[MED]]+Tab.o1[[#This Row],[MOD]]-Tab.o1[[#This Row],[MED]],""),"")</f>
        <v/>
      </c>
      <c r="AL122" s="133" t="str">
        <f>IF(Tab.o1[[#This Row],[a1]]=1,[1]!T.in.A[[#This Row],[oo16]],"")</f>
        <v/>
      </c>
      <c r="AM122" s="133" t="str">
        <f>IF(Tab.o1[[#This Row],[a1]]=1,IF(AM$3=1,[1]!T.in.A[[#This Row],[Σo16]],""),"")</f>
        <v/>
      </c>
      <c r="AN122" s="126" t="str">
        <f>IF(Tab.o1[[#This Row],[a1]]=1,[1]!T.in.A[[#This Row],[Σp5]],"")</f>
        <v/>
      </c>
      <c r="AO122" s="126" t="str">
        <f>IF(Tab.o1[[#This Row],[a1]]=1,IF(AO$3=1,[1]!T.in.A[[#This Row],[Σp5]],""),"")</f>
        <v/>
      </c>
      <c r="AP122" s="110" t="str">
        <f>IF(Tab.o1[[#This Row],[a1]]=1,IF(ISNUMBER(Tab.o1[[#This Row],[i.]]),NORMDIST(Tab.o1[[#This Row],[Za]],0,1,FALSE)*Tab.o1[[#This Row],[i.]],0),"")</f>
        <v/>
      </c>
      <c r="AQ122" s="125" t="str">
        <f>IF(Tab.o1[[#This Row],[a1]]=1,ABS(Tab.o1[[#This Row],[MOD]]-AVERAGE(Tab.o1[MOD])),"")</f>
        <v/>
      </c>
      <c r="AR122" s="134" t="str">
        <f>IF(Tab.o1[[#This Row],[a1]]=1,Tab.o1[[#This Row],[OBS]]/SUM(Tab.o1[OBS]),"")</f>
        <v/>
      </c>
      <c r="AS122" s="135" t="str">
        <f>IF(ISNUMBER(Tab.o1[[#This Row],[a1]]),ROW()-4,"")</f>
        <v/>
      </c>
      <c r="AT122" s="136" t="str">
        <f>Tab.o1[[#This Row],[MOD]]</f>
        <v/>
      </c>
      <c r="AU122" s="137" t="str">
        <f t="shared" si="5"/>
        <v/>
      </c>
      <c r="AV122" s="138" t="str">
        <f t="shared" si="6"/>
        <v/>
      </c>
      <c r="AW122" s="138" t="str">
        <f t="shared" si="7"/>
        <v/>
      </c>
      <c r="AX122" s="139">
        <f>[1]!T.in.A[[#This Row],[ID_T_manu]]</f>
        <v>12</v>
      </c>
      <c r="AY122" s="140" t="str">
        <f>IF(ISNUMBER(Tab.o1[[#This Row],[a1]]),IF(AND(Tab.o1[[#This Row],[a1]]=1,Tab.o1[[#This Row],[b1]]&lt;=AY$4),#REF!,AY121),"")</f>
        <v/>
      </c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</row>
    <row r="123" spans="1:79" ht="14.25" hidden="1" customHeight="1">
      <c r="A123" s="109">
        <v>1.0000000000000002E-6</v>
      </c>
      <c r="B123" s="110">
        <f t="shared" si="4"/>
        <v>123</v>
      </c>
      <c r="C123" s="111" t="str">
        <f>IF(C$1=[1]!T.in.A[[#This Row],[oo2]],1,"")</f>
        <v/>
      </c>
      <c r="D123" s="112" t="str">
        <f>IF(Tab.o1[[#This Row],[a1]]=1,IF(SUM(C123:C124)=0,0,IF(SUM(C122:C123)=1,1,IF(SUM(C122:C124)&gt;1,D122+1,0))),"")</f>
        <v/>
      </c>
      <c r="E123" s="113" t="str">
        <f>IF(Tab.o1[[#This Row],[a1]]=1,[1]!T.in.A[[#This Row],[oo1]],"")</f>
        <v/>
      </c>
      <c r="F123" s="113" t="str">
        <f>IF(Tab.o1[[#This Row],[a1]]=1,[1]!T.in.A[[#This Row],[pp1]],"")</f>
        <v/>
      </c>
      <c r="G123" s="114" t="str">
        <f>IF(Tab.o1[[#This Row],[a1]]=1,G$2+IF(G$1=1,0,Tab.o1[[#This Row],[.x1]])+[1]!T.in.A[[#This Row],[oo3]],"")</f>
        <v/>
      </c>
      <c r="H123" s="115" t="str">
        <f>IF(Tab.o1[[#This Row],[a1]]=1,IF(H$2=0,0,IF(G$1=1,0,Tab.o1[[#This Row],[.x1]])+[1]!T.in.A[[#This Row],[oo4]]),"")</f>
        <v/>
      </c>
      <c r="I123" s="116" t="str">
        <f>IF(Tab.o1[[#This Row],[a1]]=1,IF(J$2=0,Tab.o1[[#This Row],[MED]],Tab.o1[[#This Row],[MOD]]),"")</f>
        <v/>
      </c>
      <c r="J123" s="116" t="str">
        <f>IF(Tab.o1[[#This Row],[a1]]=1,((Tab.o1[[#This Row],[DIF_Target.]]-AVERAGE(Tab.o1[DIF_Target.]))/_xlfn.STDEV.P(Tab.o1[DIF_Target.])),"")</f>
        <v/>
      </c>
      <c r="K123" s="117" t="str">
        <f>IF(Tab.o1[[#This Row],[a1]]=1,IF(J$2=0,Tab.o1[[#This Row],[MOD]]-Tab.o1[[#This Row],[B]],IF(J$2=1,0,-Tab.o1[[#This Row],[MED]])+Tab.o1[[#This Row],[B]]),"")</f>
        <v/>
      </c>
      <c r="L123" s="117" t="str">
        <f ca="1">IF(Tab.o1[[#This Row],[DIF_Target]]=0,IF(L$2=0,Tab.o1[[#This Row],[DIF_Target]],AVERAGE(OFFSET(Tab.o1[[#This Row],[DIF_Target]],1,0,L$3,1)))/3,Tab.o1[[#This Row],[DIF_Target]])</f>
        <v/>
      </c>
      <c r="M123" s="118" t="str">
        <f>IF(Tab.o1[[#This Row],[a1]]=1,NORMSDIST(Tab.o1[[#This Row],[Za]]),"")</f>
        <v/>
      </c>
      <c r="N123" s="119" t="str">
        <f>IF(Tab.o1[[#This Row],[a1]]=1,((Tab.o1[[#This Row],[MedMod]]-AVERAGE(Tab.o1[MedMod]))/_xlfn.STDEV.P(Tab.o1[MedMod])*H$1205)+G$1205,"")</f>
        <v/>
      </c>
      <c r="O123" s="141" t="str">
        <f>IF(Tab.o1[[#This Row],[a1]]=1,Tab.o1[[#This Row],[Zb]]*_xlfn.STDEV.P(Tab.o1[MedMod])+AVERAGE(Tab.o1[MedMod]),"")</f>
        <v/>
      </c>
      <c r="P123" s="117" t="str">
        <f ca="1">IF(Tab.o1[[#This Row],[B]]=0,AVERAGE(OFFSET(Tab.o1[[#This Row],[B]],1,0,L$3,1)),Tab.o1[[#This Row],[B]])</f>
        <v/>
      </c>
      <c r="Q123" s="121" t="str">
        <f>IF(Tab.o1[[#This Row],[a1]]=1,NORMSDIST(Tab.o1[[#This Row],[Zb]]),"")</f>
        <v/>
      </c>
      <c r="R123" s="122" t="str">
        <f>IF(Tab.o1[[#This Row],[a1]]=1,((Tab.o1[[#This Row],[MedMod]]-AVERAGE(Tab.o1[MedMod]))/_xlfn.STDEV.P(Tab.o1[MedMod])*H$1203)+G$1203,"")</f>
        <v/>
      </c>
      <c r="S123" s="122" t="str">
        <f>IF(Tab.o1[[#This Row],[a1]]=1,((Tab.o1[[#This Row],[MedMod]]-AVERAGE(Tab.o1[MedMod]))/_xlfn.STDEV.P(Tab.o1[MedMod])*H$1204)+G$1204,"")</f>
        <v/>
      </c>
      <c r="T123" s="123" t="str">
        <f>IF(Tab.o1[[#This Row],[a1]]=1,Tab.o1[[#This Row],[Z-]]*_xlfn.STDEV.P(Tab.o1[B])+AVERAGE(Tab.o1[B]),"")</f>
        <v/>
      </c>
      <c r="U123" s="123" t="str">
        <f>IF(Tab.o1[[#This Row],[a1]]=1,Tab.o1[[#This Row],[z+]]*_xlfn.STDEV.P(Tab.o1[B])+AVERAGE(Tab.o1[B]),"")</f>
        <v/>
      </c>
      <c r="V123" s="124" t="str">
        <f>IF(Tab.o1[[#This Row],[a1]]=1,ABS((ABS(Tab.o1[[#This Row],[Red]]-Tab.o1[[#This Row],[Blue]]))),"")</f>
        <v/>
      </c>
      <c r="W123" s="125" t="str">
        <f>IF(Tab.o1[[#This Row],[a1]]=1,IF(W$3=0,1,Tab.o1[[#This Row],[Amp.]]*1/_xlfn.MINIFS(Tab.o1[Amp.],Tab.o1[Amp.],"&lt;&gt;0")),"")</f>
        <v/>
      </c>
      <c r="X123" s="126" t="str">
        <f>IF(Tab.o1[[#This Row],[a1]]=1,IF(ISNUMBER(Tab.o1[[#This Row],[i.]]),NORMDIST(Tab.o1[[#This Row],[Za]],0,1,FALSE)*Tab.o1[[#This Row],[i.]],AP$3),"")</f>
        <v/>
      </c>
      <c r="Y123" s="126" t="str">
        <f>IF(Tab.o1[[#This Row],[a1]]=1,0.01+0.94*Tab.o1[[#This Row],[PDF]]/MAX(Tab.o1[PDF]),"")</f>
        <v/>
      </c>
      <c r="Z123" s="126" t="str">
        <f>IF(Tab.o1[[#This Row],[a1]]=1,0.01+0.94*Tab.o1[[#This Row],[W1_PDF]]/MAX(Tab.o1[W1_PDF]),"")</f>
        <v/>
      </c>
      <c r="AA123" s="118" t="str">
        <f>IF(Tab.o1[[#This Row],[a1]]=1,ABS([1]!T.in.A[[#This Row],[oo6]]),"")</f>
        <v/>
      </c>
      <c r="AB123" s="127" t="str">
        <f>IF(Tab.o1[[#This Row],[a1]]=1,IF(AE$3=0,"",IF(AB$3=0,ABS([1]!T.in.A[[#This Row],[oo9]]),ABS(Tab.o1[[#This Row],[DIF_Target.]]*Tab.o1[[#This Row],[W1_PDF]]))),"")</f>
        <v/>
      </c>
      <c r="AC123" s="127" t="str">
        <f>IF(G$1=1,"",IF(Tab.o1[[#This Row],[a1]]=1,Tab.o1[[#This Row],[Wr]]^2,""))</f>
        <v/>
      </c>
      <c r="AD123" s="118" t="str">
        <f>IF(Tab.o1[[#This Row],[a1]]=1,IF(AE$3=0,"",Tab.o1[[#This Row],[Wr2]]/SUM(Tab.o1[Wr2])),"")</f>
        <v/>
      </c>
      <c r="AE123" s="128" t="str">
        <f>IF(Tab.o1[[#This Row],[a1]]=1,[1]!T.in.A[[#This Row],[oo10]],"")</f>
        <v/>
      </c>
      <c r="AF123" s="118" t="str">
        <f>IF(Tab.o1[[#This Row],[a1]]=1,ABS(Tab.o1[[#This Row],[DIF_Target.]]*Tab.o1[[#This Row],[PDF2]]*Tab.o1[[#This Row],[IN]]),"")</f>
        <v/>
      </c>
      <c r="AG123" s="129" t="str">
        <f>IF(Tab.o1[[#This Row],[a1]]=1,Tab.o1[[#This Row],[rW]]^2,"")</f>
        <v/>
      </c>
      <c r="AH123" s="130" t="str">
        <f>IF(Tab.o1[[#This Row],[a1]]=1,IF(AH$3=0,Tab.o1[[#This Row],[rW2]],0.01+0.94*Tab.o1[[#This Row],[rW2]]/SUM(Tab.o1[rW2])),"")</f>
        <v/>
      </c>
      <c r="AI123" s="128" t="str">
        <f>IF(Tab.o1[[#This Row],[a1]]=1,1/Tab.o1[[#This Row],[PDF]],"")</f>
        <v/>
      </c>
      <c r="AJ123" s="131" t="str">
        <f>IF(Tab.o1[[#This Row],[a1]]=1,[1]!T_AA[[#This Row],[IN'']]*[1]!T_AA[[#This Row],[Qde'']],"")</f>
        <v/>
      </c>
      <c r="AK123" s="132" t="str">
        <f>IF(Tab.o1[[#This Row],[a1]]=1,IF(AK$1=1,Tab.o1[[#This Row],[MED]]+Tab.o1[[#This Row],[MOD]]-Tab.o1[[#This Row],[MED]],""),"")</f>
        <v/>
      </c>
      <c r="AL123" s="133" t="str">
        <f>IF(Tab.o1[[#This Row],[a1]]=1,[1]!T.in.A[[#This Row],[oo16]],"")</f>
        <v/>
      </c>
      <c r="AM123" s="133" t="str">
        <f>IF(Tab.o1[[#This Row],[a1]]=1,IF(AM$3=1,[1]!T.in.A[[#This Row],[Σo16]],""),"")</f>
        <v/>
      </c>
      <c r="AN123" s="126" t="str">
        <f>IF(Tab.o1[[#This Row],[a1]]=1,[1]!T.in.A[[#This Row],[Σp5]],"")</f>
        <v/>
      </c>
      <c r="AO123" s="126" t="str">
        <f>IF(Tab.o1[[#This Row],[a1]]=1,IF(AO$3=1,[1]!T.in.A[[#This Row],[Σp5]],""),"")</f>
        <v/>
      </c>
      <c r="AP123" s="110" t="str">
        <f>IF(Tab.o1[[#This Row],[a1]]=1,IF(ISNUMBER(Tab.o1[[#This Row],[i.]]),NORMDIST(Tab.o1[[#This Row],[Za]],0,1,FALSE)*Tab.o1[[#This Row],[i.]],0),"")</f>
        <v/>
      </c>
      <c r="AQ123" s="125" t="str">
        <f>IF(Tab.o1[[#This Row],[a1]]=1,ABS(Tab.o1[[#This Row],[MOD]]-AVERAGE(Tab.o1[MOD])),"")</f>
        <v/>
      </c>
      <c r="AR123" s="134" t="str">
        <f>IF(Tab.o1[[#This Row],[a1]]=1,Tab.o1[[#This Row],[OBS]]/SUM(Tab.o1[OBS]),"")</f>
        <v/>
      </c>
      <c r="AS123" s="135" t="str">
        <f>IF(ISNUMBER(Tab.o1[[#This Row],[a1]]),ROW()-4,"")</f>
        <v/>
      </c>
      <c r="AT123" s="136" t="str">
        <f>Tab.o1[[#This Row],[MOD]]</f>
        <v/>
      </c>
      <c r="AU123" s="137" t="str">
        <f t="shared" si="5"/>
        <v/>
      </c>
      <c r="AV123" s="138" t="str">
        <f t="shared" si="6"/>
        <v/>
      </c>
      <c r="AW123" s="138" t="str">
        <f t="shared" si="7"/>
        <v/>
      </c>
      <c r="AX123" s="139" t="str">
        <f>[1]!T.in.A[[#This Row],[ID_T_manu]]</f>
        <v/>
      </c>
      <c r="AY123" s="140" t="str">
        <f>IF(ISNUMBER(Tab.o1[[#This Row],[a1]]),IF(AND(Tab.o1[[#This Row],[a1]]=1,Tab.o1[[#This Row],[b1]]&lt;=AY$4),#REF!,AY122),"")</f>
        <v/>
      </c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</row>
    <row r="124" spans="1:79" ht="14.25" hidden="1" customHeight="1">
      <c r="A124" s="109">
        <v>-9.0000000000000002E-6</v>
      </c>
      <c r="B124" s="110">
        <f t="shared" si="4"/>
        <v>124</v>
      </c>
      <c r="C124" s="111" t="str">
        <f>IF(C$1=[1]!T.in.A[[#This Row],[oo2]],1,"")</f>
        <v/>
      </c>
      <c r="D124" s="112" t="str">
        <f>IF(Tab.o1[[#This Row],[a1]]=1,IF(SUM(C124:C125)=0,0,IF(SUM(C123:C124)=1,1,IF(SUM(C123:C125)&gt;1,D123+1,0))),"")</f>
        <v/>
      </c>
      <c r="E124" s="113" t="str">
        <f>IF(Tab.o1[[#This Row],[a1]]=1,[1]!T.in.A[[#This Row],[oo1]],"")</f>
        <v/>
      </c>
      <c r="F124" s="113" t="str">
        <f>IF(Tab.o1[[#This Row],[a1]]=1,[1]!T.in.A[[#This Row],[pp1]],"")</f>
        <v/>
      </c>
      <c r="G124" s="114" t="str">
        <f>IF(Tab.o1[[#This Row],[a1]]=1,G$2+IF(G$1=1,0,Tab.o1[[#This Row],[.x1]])+[1]!T.in.A[[#This Row],[oo3]],"")</f>
        <v/>
      </c>
      <c r="H124" s="115" t="str">
        <f>IF(Tab.o1[[#This Row],[a1]]=1,IF(H$2=0,0,IF(G$1=1,0,Tab.o1[[#This Row],[.x1]])+[1]!T.in.A[[#This Row],[oo4]]),"")</f>
        <v/>
      </c>
      <c r="I124" s="116" t="str">
        <f>IF(Tab.o1[[#This Row],[a1]]=1,IF(J$2=0,Tab.o1[[#This Row],[MED]],Tab.o1[[#This Row],[MOD]]),"")</f>
        <v/>
      </c>
      <c r="J124" s="116" t="str">
        <f>IF(Tab.o1[[#This Row],[a1]]=1,((Tab.o1[[#This Row],[DIF_Target.]]-AVERAGE(Tab.o1[DIF_Target.]))/_xlfn.STDEV.P(Tab.o1[DIF_Target.])),"")</f>
        <v/>
      </c>
      <c r="K124" s="117" t="str">
        <f>IF(Tab.o1[[#This Row],[a1]]=1,IF(J$2=0,Tab.o1[[#This Row],[MOD]]-Tab.o1[[#This Row],[B]],IF(J$2=1,0,-Tab.o1[[#This Row],[MED]])+Tab.o1[[#This Row],[B]]),"")</f>
        <v/>
      </c>
      <c r="L124" s="117" t="str">
        <f ca="1">IF(Tab.o1[[#This Row],[DIF_Target]]=0,IF(L$2=0,Tab.o1[[#This Row],[DIF_Target]],AVERAGE(OFFSET(Tab.o1[[#This Row],[DIF_Target]],1,0,L$3,1)))/3,Tab.o1[[#This Row],[DIF_Target]])</f>
        <v/>
      </c>
      <c r="M124" s="118" t="str">
        <f>IF(Tab.o1[[#This Row],[a1]]=1,NORMSDIST(Tab.o1[[#This Row],[Za]]),"")</f>
        <v/>
      </c>
      <c r="N124" s="119" t="str">
        <f>IF(Tab.o1[[#This Row],[a1]]=1,((Tab.o1[[#This Row],[MedMod]]-AVERAGE(Tab.o1[MedMod]))/_xlfn.STDEV.P(Tab.o1[MedMod])*H$1205)+G$1205,"")</f>
        <v/>
      </c>
      <c r="O124" s="141" t="str">
        <f>IF(Tab.o1[[#This Row],[a1]]=1,Tab.o1[[#This Row],[Zb]]*_xlfn.STDEV.P(Tab.o1[MedMod])+AVERAGE(Tab.o1[MedMod]),"")</f>
        <v/>
      </c>
      <c r="P124" s="117" t="str">
        <f ca="1">IF(Tab.o1[[#This Row],[B]]=0,AVERAGE(OFFSET(Tab.o1[[#This Row],[B]],1,0,L$3,1)),Tab.o1[[#This Row],[B]])</f>
        <v/>
      </c>
      <c r="Q124" s="121" t="str">
        <f>IF(Tab.o1[[#This Row],[a1]]=1,NORMSDIST(Tab.o1[[#This Row],[Zb]]),"")</f>
        <v/>
      </c>
      <c r="R124" s="122" t="str">
        <f>IF(Tab.o1[[#This Row],[a1]]=1,((Tab.o1[[#This Row],[MedMod]]-AVERAGE(Tab.o1[MedMod]))/_xlfn.STDEV.P(Tab.o1[MedMod])*H$1203)+G$1203,"")</f>
        <v/>
      </c>
      <c r="S124" s="122" t="str">
        <f>IF(Tab.o1[[#This Row],[a1]]=1,((Tab.o1[[#This Row],[MedMod]]-AVERAGE(Tab.o1[MedMod]))/_xlfn.STDEV.P(Tab.o1[MedMod])*H$1204)+G$1204,"")</f>
        <v/>
      </c>
      <c r="T124" s="123" t="str">
        <f>IF(Tab.o1[[#This Row],[a1]]=1,Tab.o1[[#This Row],[Z-]]*_xlfn.STDEV.P(Tab.o1[B])+AVERAGE(Tab.o1[B]),"")</f>
        <v/>
      </c>
      <c r="U124" s="123" t="str">
        <f>IF(Tab.o1[[#This Row],[a1]]=1,Tab.o1[[#This Row],[z+]]*_xlfn.STDEV.P(Tab.o1[B])+AVERAGE(Tab.o1[B]),"")</f>
        <v/>
      </c>
      <c r="V124" s="124" t="str">
        <f>IF(Tab.o1[[#This Row],[a1]]=1,ABS((ABS(Tab.o1[[#This Row],[Red]]-Tab.o1[[#This Row],[Blue]]))),"")</f>
        <v/>
      </c>
      <c r="W124" s="125" t="str">
        <f>IF(Tab.o1[[#This Row],[a1]]=1,IF(W$3=0,1,Tab.o1[[#This Row],[Amp.]]*1/_xlfn.MINIFS(Tab.o1[Amp.],Tab.o1[Amp.],"&lt;&gt;0")),"")</f>
        <v/>
      </c>
      <c r="X124" s="126" t="str">
        <f>IF(Tab.o1[[#This Row],[a1]]=1,IF(ISNUMBER(Tab.o1[[#This Row],[i.]]),NORMDIST(Tab.o1[[#This Row],[Za]],0,1,FALSE)*Tab.o1[[#This Row],[i.]],AP$3),"")</f>
        <v/>
      </c>
      <c r="Y124" s="126" t="str">
        <f>IF(Tab.o1[[#This Row],[a1]]=1,0.01+0.94*Tab.o1[[#This Row],[PDF]]/MAX(Tab.o1[PDF]),"")</f>
        <v/>
      </c>
      <c r="Z124" s="126" t="str">
        <f>IF(Tab.o1[[#This Row],[a1]]=1,0.01+0.94*Tab.o1[[#This Row],[W1_PDF]]/MAX(Tab.o1[W1_PDF]),"")</f>
        <v/>
      </c>
      <c r="AA124" s="118" t="str">
        <f>IF(Tab.o1[[#This Row],[a1]]=1,ABS([1]!T.in.A[[#This Row],[oo6]]),"")</f>
        <v/>
      </c>
      <c r="AB124" s="127" t="str">
        <f>IF(Tab.o1[[#This Row],[a1]]=1,IF(AE$3=0,"",IF(AB$3=0,ABS([1]!T.in.A[[#This Row],[oo9]]),ABS(Tab.o1[[#This Row],[DIF_Target.]]*Tab.o1[[#This Row],[W1_PDF]]))),"")</f>
        <v/>
      </c>
      <c r="AC124" s="127" t="str">
        <f>IF(G$1=1,"",IF(Tab.o1[[#This Row],[a1]]=1,Tab.o1[[#This Row],[Wr]]^2,""))</f>
        <v/>
      </c>
      <c r="AD124" s="118" t="str">
        <f>IF(Tab.o1[[#This Row],[a1]]=1,IF(AE$3=0,"",Tab.o1[[#This Row],[Wr2]]/SUM(Tab.o1[Wr2])),"")</f>
        <v/>
      </c>
      <c r="AE124" s="128" t="str">
        <f>IF(Tab.o1[[#This Row],[a1]]=1,[1]!T.in.A[[#This Row],[oo10]],"")</f>
        <v/>
      </c>
      <c r="AF124" s="118" t="str">
        <f>IF(Tab.o1[[#This Row],[a1]]=1,ABS(Tab.o1[[#This Row],[DIF_Target.]]*Tab.o1[[#This Row],[PDF2]]*Tab.o1[[#This Row],[IN]]),"")</f>
        <v/>
      </c>
      <c r="AG124" s="129" t="str">
        <f>IF(Tab.o1[[#This Row],[a1]]=1,Tab.o1[[#This Row],[rW]]^2,"")</f>
        <v/>
      </c>
      <c r="AH124" s="130" t="str">
        <f>IF(Tab.o1[[#This Row],[a1]]=1,IF(AH$3=0,Tab.o1[[#This Row],[rW2]],0.01+0.94*Tab.o1[[#This Row],[rW2]]/SUM(Tab.o1[rW2])),"")</f>
        <v/>
      </c>
      <c r="AI124" s="128" t="str">
        <f>IF(Tab.o1[[#This Row],[a1]]=1,1/Tab.o1[[#This Row],[PDF]],"")</f>
        <v/>
      </c>
      <c r="AJ124" s="131" t="str">
        <f>IF(Tab.o1[[#This Row],[a1]]=1,[1]!T_AA[[#This Row],[IN'']]*[1]!T_AA[[#This Row],[Qde'']],"")</f>
        <v/>
      </c>
      <c r="AK124" s="132" t="str">
        <f>IF(Tab.o1[[#This Row],[a1]]=1,IF(AK$1=1,Tab.o1[[#This Row],[MED]]+Tab.o1[[#This Row],[MOD]]-Tab.o1[[#This Row],[MED]],""),"")</f>
        <v/>
      </c>
      <c r="AL124" s="133" t="str">
        <f>IF(Tab.o1[[#This Row],[a1]]=1,[1]!T.in.A[[#This Row],[oo16]],"")</f>
        <v/>
      </c>
      <c r="AM124" s="133" t="str">
        <f>IF(Tab.o1[[#This Row],[a1]]=1,IF(AM$3=1,[1]!T.in.A[[#This Row],[Σo16]],""),"")</f>
        <v/>
      </c>
      <c r="AN124" s="126" t="str">
        <f>IF(Tab.o1[[#This Row],[a1]]=1,[1]!T.in.A[[#This Row],[Σp5]],"")</f>
        <v/>
      </c>
      <c r="AO124" s="126" t="str">
        <f>IF(Tab.o1[[#This Row],[a1]]=1,IF(AO$3=1,[1]!T.in.A[[#This Row],[Σp5]],""),"")</f>
        <v/>
      </c>
      <c r="AP124" s="110" t="str">
        <f>IF(Tab.o1[[#This Row],[a1]]=1,IF(ISNUMBER(Tab.o1[[#This Row],[i.]]),NORMDIST(Tab.o1[[#This Row],[Za]],0,1,FALSE)*Tab.o1[[#This Row],[i.]],0),"")</f>
        <v/>
      </c>
      <c r="AQ124" s="125" t="str">
        <f>IF(Tab.o1[[#This Row],[a1]]=1,ABS(Tab.o1[[#This Row],[MOD]]-AVERAGE(Tab.o1[MOD])),"")</f>
        <v/>
      </c>
      <c r="AR124" s="134" t="str">
        <f>IF(Tab.o1[[#This Row],[a1]]=1,Tab.o1[[#This Row],[OBS]]/SUM(Tab.o1[OBS]),"")</f>
        <v/>
      </c>
      <c r="AS124" s="135" t="str">
        <f>IF(ISNUMBER(Tab.o1[[#This Row],[a1]]),ROW()-4,"")</f>
        <v/>
      </c>
      <c r="AT124" s="136" t="str">
        <f>Tab.o1[[#This Row],[MOD]]</f>
        <v/>
      </c>
      <c r="AU124" s="137" t="str">
        <f t="shared" si="5"/>
        <v/>
      </c>
      <c r="AV124" s="138" t="str">
        <f t="shared" si="6"/>
        <v/>
      </c>
      <c r="AW124" s="138" t="str">
        <f t="shared" si="7"/>
        <v/>
      </c>
      <c r="AX124" s="139" t="str">
        <f>[1]!T.in.A[[#This Row],[ID_T_manu]]</f>
        <v/>
      </c>
      <c r="AY124" s="140" t="str">
        <f>IF(ISNUMBER(Tab.o1[[#This Row],[a1]]),IF(AND(Tab.o1[[#This Row],[a1]]=1,Tab.o1[[#This Row],[b1]]&lt;=AY$4),#REF!,AY123),"")</f>
        <v/>
      </c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</row>
    <row r="125" spans="1:79" ht="14.25" hidden="1" customHeight="1">
      <c r="A125" s="109">
        <v>2.9999999999999997E-6</v>
      </c>
      <c r="B125" s="110">
        <f t="shared" si="4"/>
        <v>125</v>
      </c>
      <c r="C125" s="111" t="str">
        <f>IF(C$1=[1]!T.in.A[[#This Row],[oo2]],1,"")</f>
        <v/>
      </c>
      <c r="D125" s="112" t="str">
        <f>IF(Tab.o1[[#This Row],[a1]]=1,IF(SUM(C125:C126)=0,0,IF(SUM(C124:C125)=1,1,IF(SUM(C124:C126)&gt;1,D124+1,0))),"")</f>
        <v/>
      </c>
      <c r="E125" s="113" t="str">
        <f>IF(Tab.o1[[#This Row],[a1]]=1,[1]!T.in.A[[#This Row],[oo1]],"")</f>
        <v/>
      </c>
      <c r="F125" s="113" t="str">
        <f>IF(Tab.o1[[#This Row],[a1]]=1,[1]!T.in.A[[#This Row],[pp1]],"")</f>
        <v/>
      </c>
      <c r="G125" s="114" t="str">
        <f>IF(Tab.o1[[#This Row],[a1]]=1,G$2+IF(G$1=1,0,Tab.o1[[#This Row],[.x1]])+[1]!T.in.A[[#This Row],[oo3]],"")</f>
        <v/>
      </c>
      <c r="H125" s="115" t="str">
        <f>IF(Tab.o1[[#This Row],[a1]]=1,IF(H$2=0,0,IF(G$1=1,0,Tab.o1[[#This Row],[.x1]])+[1]!T.in.A[[#This Row],[oo4]]),"")</f>
        <v/>
      </c>
      <c r="I125" s="116" t="str">
        <f>IF(Tab.o1[[#This Row],[a1]]=1,IF(J$2=0,Tab.o1[[#This Row],[MED]],Tab.o1[[#This Row],[MOD]]),"")</f>
        <v/>
      </c>
      <c r="J125" s="116" t="str">
        <f>IF(Tab.o1[[#This Row],[a1]]=1,((Tab.o1[[#This Row],[DIF_Target.]]-AVERAGE(Tab.o1[DIF_Target.]))/_xlfn.STDEV.P(Tab.o1[DIF_Target.])),"")</f>
        <v/>
      </c>
      <c r="K125" s="117" t="str">
        <f>IF(Tab.o1[[#This Row],[a1]]=1,IF(J$2=0,Tab.o1[[#This Row],[MOD]]-Tab.o1[[#This Row],[B]],IF(J$2=1,0,-Tab.o1[[#This Row],[MED]])+Tab.o1[[#This Row],[B]]),"")</f>
        <v/>
      </c>
      <c r="L125" s="117" t="str">
        <f ca="1">IF(Tab.o1[[#This Row],[DIF_Target]]=0,IF(L$2=0,Tab.o1[[#This Row],[DIF_Target]],AVERAGE(OFFSET(Tab.o1[[#This Row],[DIF_Target]],1,0,L$3,1)))/3,Tab.o1[[#This Row],[DIF_Target]])</f>
        <v/>
      </c>
      <c r="M125" s="118" t="str">
        <f>IF(Tab.o1[[#This Row],[a1]]=1,NORMSDIST(Tab.o1[[#This Row],[Za]]),"")</f>
        <v/>
      </c>
      <c r="N125" s="119" t="str">
        <f>IF(Tab.o1[[#This Row],[a1]]=1,((Tab.o1[[#This Row],[MedMod]]-AVERAGE(Tab.o1[MedMod]))/_xlfn.STDEV.P(Tab.o1[MedMod])*H$1205)+G$1205,"")</f>
        <v/>
      </c>
      <c r="O125" s="141" t="str">
        <f>IF(Tab.o1[[#This Row],[a1]]=1,Tab.o1[[#This Row],[Zb]]*_xlfn.STDEV.P(Tab.o1[MedMod])+AVERAGE(Tab.o1[MedMod]),"")</f>
        <v/>
      </c>
      <c r="P125" s="117" t="str">
        <f ca="1">IF(Tab.o1[[#This Row],[B]]=0,AVERAGE(OFFSET(Tab.o1[[#This Row],[B]],1,0,L$3,1)),Tab.o1[[#This Row],[B]])</f>
        <v/>
      </c>
      <c r="Q125" s="121" t="str">
        <f>IF(Tab.o1[[#This Row],[a1]]=1,NORMSDIST(Tab.o1[[#This Row],[Zb]]),"")</f>
        <v/>
      </c>
      <c r="R125" s="122" t="str">
        <f>IF(Tab.o1[[#This Row],[a1]]=1,((Tab.o1[[#This Row],[MedMod]]-AVERAGE(Tab.o1[MedMod]))/_xlfn.STDEV.P(Tab.o1[MedMod])*H$1203)+G$1203,"")</f>
        <v/>
      </c>
      <c r="S125" s="122" t="str">
        <f>IF(Tab.o1[[#This Row],[a1]]=1,((Tab.o1[[#This Row],[MedMod]]-AVERAGE(Tab.o1[MedMod]))/_xlfn.STDEV.P(Tab.o1[MedMod])*H$1204)+G$1204,"")</f>
        <v/>
      </c>
      <c r="T125" s="123" t="str">
        <f>IF(Tab.o1[[#This Row],[a1]]=1,Tab.o1[[#This Row],[Z-]]*_xlfn.STDEV.P(Tab.o1[B])+AVERAGE(Tab.o1[B]),"")</f>
        <v/>
      </c>
      <c r="U125" s="123" t="str">
        <f>IF(Tab.o1[[#This Row],[a1]]=1,Tab.o1[[#This Row],[z+]]*_xlfn.STDEV.P(Tab.o1[B])+AVERAGE(Tab.o1[B]),"")</f>
        <v/>
      </c>
      <c r="V125" s="124" t="str">
        <f>IF(Tab.o1[[#This Row],[a1]]=1,ABS((ABS(Tab.o1[[#This Row],[Red]]-Tab.o1[[#This Row],[Blue]]))),"")</f>
        <v/>
      </c>
      <c r="W125" s="125" t="str">
        <f>IF(Tab.o1[[#This Row],[a1]]=1,IF(W$3=0,1,Tab.o1[[#This Row],[Amp.]]*1/_xlfn.MINIFS(Tab.o1[Amp.],Tab.o1[Amp.],"&lt;&gt;0")),"")</f>
        <v/>
      </c>
      <c r="X125" s="126" t="str">
        <f>IF(Tab.o1[[#This Row],[a1]]=1,IF(ISNUMBER(Tab.o1[[#This Row],[i.]]),NORMDIST(Tab.o1[[#This Row],[Za]],0,1,FALSE)*Tab.o1[[#This Row],[i.]],AP$3),"")</f>
        <v/>
      </c>
      <c r="Y125" s="126" t="str">
        <f>IF(Tab.o1[[#This Row],[a1]]=1,0.01+0.94*Tab.o1[[#This Row],[PDF]]/MAX(Tab.o1[PDF]),"")</f>
        <v/>
      </c>
      <c r="Z125" s="126" t="str">
        <f>IF(Tab.o1[[#This Row],[a1]]=1,0.01+0.94*Tab.o1[[#This Row],[W1_PDF]]/MAX(Tab.o1[W1_PDF]),"")</f>
        <v/>
      </c>
      <c r="AA125" s="118" t="str">
        <f>IF(Tab.o1[[#This Row],[a1]]=1,ABS([1]!T.in.A[[#This Row],[oo6]]),"")</f>
        <v/>
      </c>
      <c r="AB125" s="127" t="str">
        <f>IF(Tab.o1[[#This Row],[a1]]=1,IF(AE$3=0,"",IF(AB$3=0,ABS([1]!T.in.A[[#This Row],[oo9]]),ABS(Tab.o1[[#This Row],[DIF_Target.]]*Tab.o1[[#This Row],[W1_PDF]]))),"")</f>
        <v/>
      </c>
      <c r="AC125" s="127" t="str">
        <f>IF(G$1=1,"",IF(Tab.o1[[#This Row],[a1]]=1,Tab.o1[[#This Row],[Wr]]^2,""))</f>
        <v/>
      </c>
      <c r="AD125" s="118" t="str">
        <f>IF(Tab.o1[[#This Row],[a1]]=1,IF(AE$3=0,"",Tab.o1[[#This Row],[Wr2]]/SUM(Tab.o1[Wr2])),"")</f>
        <v/>
      </c>
      <c r="AE125" s="128" t="str">
        <f>IF(Tab.o1[[#This Row],[a1]]=1,[1]!T.in.A[[#This Row],[oo10]],"")</f>
        <v/>
      </c>
      <c r="AF125" s="118" t="str">
        <f>IF(Tab.o1[[#This Row],[a1]]=1,ABS(Tab.o1[[#This Row],[DIF_Target.]]*Tab.o1[[#This Row],[PDF2]]*Tab.o1[[#This Row],[IN]]),"")</f>
        <v/>
      </c>
      <c r="AG125" s="129" t="str">
        <f>IF(Tab.o1[[#This Row],[a1]]=1,Tab.o1[[#This Row],[rW]]^2,"")</f>
        <v/>
      </c>
      <c r="AH125" s="130" t="str">
        <f>IF(Tab.o1[[#This Row],[a1]]=1,IF(AH$3=0,Tab.o1[[#This Row],[rW2]],0.01+0.94*Tab.o1[[#This Row],[rW2]]/SUM(Tab.o1[rW2])),"")</f>
        <v/>
      </c>
      <c r="AI125" s="128" t="str">
        <f>IF(Tab.o1[[#This Row],[a1]]=1,1/Tab.o1[[#This Row],[PDF]],"")</f>
        <v/>
      </c>
      <c r="AJ125" s="131" t="str">
        <f>IF(Tab.o1[[#This Row],[a1]]=1,[1]!T_AA[[#This Row],[IN'']]*[1]!T_AA[[#This Row],[Qde'']],"")</f>
        <v/>
      </c>
      <c r="AK125" s="132" t="str">
        <f>IF(Tab.o1[[#This Row],[a1]]=1,IF(AK$1=1,Tab.o1[[#This Row],[MED]]+Tab.o1[[#This Row],[MOD]]-Tab.o1[[#This Row],[MED]],""),"")</f>
        <v/>
      </c>
      <c r="AL125" s="133" t="str">
        <f>IF(Tab.o1[[#This Row],[a1]]=1,[1]!T.in.A[[#This Row],[oo16]],"")</f>
        <v/>
      </c>
      <c r="AM125" s="133" t="str">
        <f>IF(Tab.o1[[#This Row],[a1]]=1,IF(AM$3=1,[1]!T.in.A[[#This Row],[Σo16]],""),"")</f>
        <v/>
      </c>
      <c r="AN125" s="126" t="str">
        <f>IF(Tab.o1[[#This Row],[a1]]=1,[1]!T.in.A[[#This Row],[Σp5]],"")</f>
        <v/>
      </c>
      <c r="AO125" s="126" t="str">
        <f>IF(Tab.o1[[#This Row],[a1]]=1,IF(AO$3=1,[1]!T.in.A[[#This Row],[Σp5]],""),"")</f>
        <v/>
      </c>
      <c r="AP125" s="110" t="str">
        <f>IF(Tab.o1[[#This Row],[a1]]=1,IF(ISNUMBER(Tab.o1[[#This Row],[i.]]),NORMDIST(Tab.o1[[#This Row],[Za]],0,1,FALSE)*Tab.o1[[#This Row],[i.]],0),"")</f>
        <v/>
      </c>
      <c r="AQ125" s="125" t="str">
        <f>IF(Tab.o1[[#This Row],[a1]]=1,ABS(Tab.o1[[#This Row],[MOD]]-AVERAGE(Tab.o1[MOD])),"")</f>
        <v/>
      </c>
      <c r="AR125" s="134" t="str">
        <f>IF(Tab.o1[[#This Row],[a1]]=1,Tab.o1[[#This Row],[OBS]]/SUM(Tab.o1[OBS]),"")</f>
        <v/>
      </c>
      <c r="AS125" s="135" t="str">
        <f>IF(ISNUMBER(Tab.o1[[#This Row],[a1]]),ROW()-4,"")</f>
        <v/>
      </c>
      <c r="AT125" s="136" t="str">
        <f>Tab.o1[[#This Row],[MOD]]</f>
        <v/>
      </c>
      <c r="AU125" s="137" t="str">
        <f t="shared" si="5"/>
        <v/>
      </c>
      <c r="AV125" s="138" t="str">
        <f t="shared" si="6"/>
        <v/>
      </c>
      <c r="AW125" s="138" t="str">
        <f t="shared" si="7"/>
        <v/>
      </c>
      <c r="AX125" s="139">
        <f>[1]!T.in.A[[#This Row],[ID_T_manu]]</f>
        <v>13</v>
      </c>
      <c r="AY125" s="140" t="str">
        <f>IF(ISNUMBER(Tab.o1[[#This Row],[a1]]),IF(AND(Tab.o1[[#This Row],[a1]]=1,Tab.o1[[#This Row],[b1]]&lt;=AY$4),#REF!,AY124),"")</f>
        <v/>
      </c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</row>
    <row r="126" spans="1:79" ht="14.25" hidden="1" customHeight="1">
      <c r="A126" s="109">
        <v>1.0000000000000002E-6</v>
      </c>
      <c r="B126" s="110">
        <f t="shared" si="4"/>
        <v>126</v>
      </c>
      <c r="C126" s="111" t="str">
        <f>IF(C$1=[1]!T.in.A[[#This Row],[oo2]],1,"")</f>
        <v/>
      </c>
      <c r="D126" s="112" t="str">
        <f>IF(Tab.o1[[#This Row],[a1]]=1,IF(SUM(C126:C127)=0,0,IF(SUM(C125:C126)=1,1,IF(SUM(C125:C127)&gt;1,D125+1,0))),"")</f>
        <v/>
      </c>
      <c r="E126" s="113" t="str">
        <f>IF(Tab.o1[[#This Row],[a1]]=1,[1]!T.in.A[[#This Row],[oo1]],"")</f>
        <v/>
      </c>
      <c r="F126" s="113" t="str">
        <f>IF(Tab.o1[[#This Row],[a1]]=1,[1]!T.in.A[[#This Row],[pp1]],"")</f>
        <v/>
      </c>
      <c r="G126" s="114" t="str">
        <f>IF(Tab.o1[[#This Row],[a1]]=1,G$2+IF(G$1=1,0,Tab.o1[[#This Row],[.x1]])+[1]!T.in.A[[#This Row],[oo3]],"")</f>
        <v/>
      </c>
      <c r="H126" s="115" t="str">
        <f>IF(Tab.o1[[#This Row],[a1]]=1,IF(H$2=0,0,IF(G$1=1,0,Tab.o1[[#This Row],[.x1]])+[1]!T.in.A[[#This Row],[oo4]]),"")</f>
        <v/>
      </c>
      <c r="I126" s="116" t="str">
        <f>IF(Tab.o1[[#This Row],[a1]]=1,IF(J$2=0,Tab.o1[[#This Row],[MED]],Tab.o1[[#This Row],[MOD]]),"")</f>
        <v/>
      </c>
      <c r="J126" s="116" t="str">
        <f>IF(Tab.o1[[#This Row],[a1]]=1,((Tab.o1[[#This Row],[DIF_Target.]]-AVERAGE(Tab.o1[DIF_Target.]))/_xlfn.STDEV.P(Tab.o1[DIF_Target.])),"")</f>
        <v/>
      </c>
      <c r="K126" s="117" t="str">
        <f>IF(Tab.o1[[#This Row],[a1]]=1,IF(J$2=0,Tab.o1[[#This Row],[MOD]]-Tab.o1[[#This Row],[B]],IF(J$2=1,0,-Tab.o1[[#This Row],[MED]])+Tab.o1[[#This Row],[B]]),"")</f>
        <v/>
      </c>
      <c r="L126" s="117" t="str">
        <f ca="1">IF(Tab.o1[[#This Row],[DIF_Target]]=0,IF(L$2=0,Tab.o1[[#This Row],[DIF_Target]],AVERAGE(OFFSET(Tab.o1[[#This Row],[DIF_Target]],1,0,L$3,1)))/3,Tab.o1[[#This Row],[DIF_Target]])</f>
        <v/>
      </c>
      <c r="M126" s="118" t="str">
        <f>IF(Tab.o1[[#This Row],[a1]]=1,NORMSDIST(Tab.o1[[#This Row],[Za]]),"")</f>
        <v/>
      </c>
      <c r="N126" s="119" t="str">
        <f>IF(Tab.o1[[#This Row],[a1]]=1,((Tab.o1[[#This Row],[MedMod]]-AVERAGE(Tab.o1[MedMod]))/_xlfn.STDEV.P(Tab.o1[MedMod])*H$1205)+G$1205,"")</f>
        <v/>
      </c>
      <c r="O126" s="141" t="str">
        <f>IF(Tab.o1[[#This Row],[a1]]=1,Tab.o1[[#This Row],[Zb]]*_xlfn.STDEV.P(Tab.o1[MedMod])+AVERAGE(Tab.o1[MedMod]),"")</f>
        <v/>
      </c>
      <c r="P126" s="117" t="str">
        <f ca="1">IF(Tab.o1[[#This Row],[B]]=0,AVERAGE(OFFSET(Tab.o1[[#This Row],[B]],1,0,L$3,1)),Tab.o1[[#This Row],[B]])</f>
        <v/>
      </c>
      <c r="Q126" s="121" t="str">
        <f>IF(Tab.o1[[#This Row],[a1]]=1,NORMSDIST(Tab.o1[[#This Row],[Zb]]),"")</f>
        <v/>
      </c>
      <c r="R126" s="122" t="str">
        <f>IF(Tab.o1[[#This Row],[a1]]=1,((Tab.o1[[#This Row],[MedMod]]-AVERAGE(Tab.o1[MedMod]))/_xlfn.STDEV.P(Tab.o1[MedMod])*H$1203)+G$1203,"")</f>
        <v/>
      </c>
      <c r="S126" s="122" t="str">
        <f>IF(Tab.o1[[#This Row],[a1]]=1,((Tab.o1[[#This Row],[MedMod]]-AVERAGE(Tab.o1[MedMod]))/_xlfn.STDEV.P(Tab.o1[MedMod])*H$1204)+G$1204,"")</f>
        <v/>
      </c>
      <c r="T126" s="123" t="str">
        <f>IF(Tab.o1[[#This Row],[a1]]=1,Tab.o1[[#This Row],[Z-]]*_xlfn.STDEV.P(Tab.o1[B])+AVERAGE(Tab.o1[B]),"")</f>
        <v/>
      </c>
      <c r="U126" s="123" t="str">
        <f>IF(Tab.o1[[#This Row],[a1]]=1,Tab.o1[[#This Row],[z+]]*_xlfn.STDEV.P(Tab.o1[B])+AVERAGE(Tab.o1[B]),"")</f>
        <v/>
      </c>
      <c r="V126" s="124" t="str">
        <f>IF(Tab.o1[[#This Row],[a1]]=1,ABS((ABS(Tab.o1[[#This Row],[Red]]-Tab.o1[[#This Row],[Blue]]))),"")</f>
        <v/>
      </c>
      <c r="W126" s="125" t="str">
        <f>IF(Tab.o1[[#This Row],[a1]]=1,IF(W$3=0,1,Tab.o1[[#This Row],[Amp.]]*1/_xlfn.MINIFS(Tab.o1[Amp.],Tab.o1[Amp.],"&lt;&gt;0")),"")</f>
        <v/>
      </c>
      <c r="X126" s="126" t="str">
        <f>IF(Tab.o1[[#This Row],[a1]]=1,IF(ISNUMBER(Tab.o1[[#This Row],[i.]]),NORMDIST(Tab.o1[[#This Row],[Za]],0,1,FALSE)*Tab.o1[[#This Row],[i.]],AP$3),"")</f>
        <v/>
      </c>
      <c r="Y126" s="126" t="str">
        <f>IF(Tab.o1[[#This Row],[a1]]=1,0.01+0.94*Tab.o1[[#This Row],[PDF]]/MAX(Tab.o1[PDF]),"")</f>
        <v/>
      </c>
      <c r="Z126" s="126" t="str">
        <f>IF(Tab.o1[[#This Row],[a1]]=1,0.01+0.94*Tab.o1[[#This Row],[W1_PDF]]/MAX(Tab.o1[W1_PDF]),"")</f>
        <v/>
      </c>
      <c r="AA126" s="118" t="str">
        <f>IF(Tab.o1[[#This Row],[a1]]=1,ABS([1]!T.in.A[[#This Row],[oo6]]),"")</f>
        <v/>
      </c>
      <c r="AB126" s="127" t="str">
        <f>IF(Tab.o1[[#This Row],[a1]]=1,IF(AE$3=0,"",IF(AB$3=0,ABS([1]!T.in.A[[#This Row],[oo9]]),ABS(Tab.o1[[#This Row],[DIF_Target.]]*Tab.o1[[#This Row],[W1_PDF]]))),"")</f>
        <v/>
      </c>
      <c r="AC126" s="127" t="str">
        <f>IF(G$1=1,"",IF(Tab.o1[[#This Row],[a1]]=1,Tab.o1[[#This Row],[Wr]]^2,""))</f>
        <v/>
      </c>
      <c r="AD126" s="118" t="str">
        <f>IF(Tab.o1[[#This Row],[a1]]=1,IF(AE$3=0,"",Tab.o1[[#This Row],[Wr2]]/SUM(Tab.o1[Wr2])),"")</f>
        <v/>
      </c>
      <c r="AE126" s="128" t="str">
        <f>IF(Tab.o1[[#This Row],[a1]]=1,[1]!T.in.A[[#This Row],[oo10]],"")</f>
        <v/>
      </c>
      <c r="AF126" s="118" t="str">
        <f>IF(Tab.o1[[#This Row],[a1]]=1,ABS(Tab.o1[[#This Row],[DIF_Target.]]*Tab.o1[[#This Row],[PDF2]]*Tab.o1[[#This Row],[IN]]),"")</f>
        <v/>
      </c>
      <c r="AG126" s="129" t="str">
        <f>IF(Tab.o1[[#This Row],[a1]]=1,Tab.o1[[#This Row],[rW]]^2,"")</f>
        <v/>
      </c>
      <c r="AH126" s="130" t="str">
        <f>IF(Tab.o1[[#This Row],[a1]]=1,IF(AH$3=0,Tab.o1[[#This Row],[rW2]],0.01+0.94*Tab.o1[[#This Row],[rW2]]/SUM(Tab.o1[rW2])),"")</f>
        <v/>
      </c>
      <c r="AI126" s="128" t="str">
        <f>IF(Tab.o1[[#This Row],[a1]]=1,1/Tab.o1[[#This Row],[PDF]],"")</f>
        <v/>
      </c>
      <c r="AJ126" s="131" t="str">
        <f>IF(Tab.o1[[#This Row],[a1]]=1,[1]!T_AA[[#This Row],[IN'']]*[1]!T_AA[[#This Row],[Qde'']],"")</f>
        <v/>
      </c>
      <c r="AK126" s="132" t="str">
        <f>IF(Tab.o1[[#This Row],[a1]]=1,IF(AK$1=1,Tab.o1[[#This Row],[MED]]+Tab.o1[[#This Row],[MOD]]-Tab.o1[[#This Row],[MED]],""),"")</f>
        <v/>
      </c>
      <c r="AL126" s="133" t="str">
        <f>IF(Tab.o1[[#This Row],[a1]]=1,[1]!T.in.A[[#This Row],[oo16]],"")</f>
        <v/>
      </c>
      <c r="AM126" s="133" t="str">
        <f>IF(Tab.o1[[#This Row],[a1]]=1,IF(AM$3=1,[1]!T.in.A[[#This Row],[Σo16]],""),"")</f>
        <v/>
      </c>
      <c r="AN126" s="126" t="str">
        <f>IF(Tab.o1[[#This Row],[a1]]=1,[1]!T.in.A[[#This Row],[Σp5]],"")</f>
        <v/>
      </c>
      <c r="AO126" s="126" t="str">
        <f>IF(Tab.o1[[#This Row],[a1]]=1,IF(AO$3=1,[1]!T.in.A[[#This Row],[Σp5]],""),"")</f>
        <v/>
      </c>
      <c r="AP126" s="110" t="str">
        <f>IF(Tab.o1[[#This Row],[a1]]=1,IF(ISNUMBER(Tab.o1[[#This Row],[i.]]),NORMDIST(Tab.o1[[#This Row],[Za]],0,1,FALSE)*Tab.o1[[#This Row],[i.]],0),"")</f>
        <v/>
      </c>
      <c r="AQ126" s="125" t="str">
        <f>IF(Tab.o1[[#This Row],[a1]]=1,ABS(Tab.o1[[#This Row],[MOD]]-AVERAGE(Tab.o1[MOD])),"")</f>
        <v/>
      </c>
      <c r="AR126" s="134" t="str">
        <f>IF(Tab.o1[[#This Row],[a1]]=1,Tab.o1[[#This Row],[OBS]]/SUM(Tab.o1[OBS]),"")</f>
        <v/>
      </c>
      <c r="AS126" s="135" t="str">
        <f>IF(ISNUMBER(Tab.o1[[#This Row],[a1]]),ROW()-4,"")</f>
        <v/>
      </c>
      <c r="AT126" s="136" t="str">
        <f>Tab.o1[[#This Row],[MOD]]</f>
        <v/>
      </c>
      <c r="AU126" s="137" t="str">
        <f t="shared" si="5"/>
        <v/>
      </c>
      <c r="AV126" s="138" t="str">
        <f t="shared" si="6"/>
        <v/>
      </c>
      <c r="AW126" s="138" t="str">
        <f t="shared" si="7"/>
        <v/>
      </c>
      <c r="AX126" s="139" t="str">
        <f>[1]!T.in.A[[#This Row],[ID_T_manu]]</f>
        <v/>
      </c>
      <c r="AY126" s="140" t="str">
        <f>IF(ISNUMBER(Tab.o1[[#This Row],[a1]]),IF(AND(Tab.o1[[#This Row],[a1]]=1,Tab.o1[[#This Row],[b1]]&lt;=AY$4),#REF!,AY125),"")</f>
        <v/>
      </c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</row>
    <row r="127" spans="1:79" ht="14.25" hidden="1" customHeight="1">
      <c r="A127" s="109">
        <v>-1.0000000000000001E-5</v>
      </c>
      <c r="B127" s="110">
        <f t="shared" si="4"/>
        <v>127</v>
      </c>
      <c r="C127" s="111" t="str">
        <f>IF(C$1=[1]!T.in.A[[#This Row],[oo2]],1,"")</f>
        <v/>
      </c>
      <c r="D127" s="112" t="str">
        <f>IF(Tab.o1[[#This Row],[a1]]=1,IF(SUM(C127:C128)=0,0,IF(SUM(C126:C127)=1,1,IF(SUM(C126:C128)&gt;1,D126+1,0))),"")</f>
        <v/>
      </c>
      <c r="E127" s="113" t="str">
        <f>IF(Tab.o1[[#This Row],[a1]]=1,[1]!T.in.A[[#This Row],[oo1]],"")</f>
        <v/>
      </c>
      <c r="F127" s="113" t="str">
        <f>IF(Tab.o1[[#This Row],[a1]]=1,[1]!T.in.A[[#This Row],[pp1]],"")</f>
        <v/>
      </c>
      <c r="G127" s="114" t="str">
        <f>IF(Tab.o1[[#This Row],[a1]]=1,G$2+IF(G$1=1,0,Tab.o1[[#This Row],[.x1]])+[1]!T.in.A[[#This Row],[oo3]],"")</f>
        <v/>
      </c>
      <c r="H127" s="115" t="str">
        <f>IF(Tab.o1[[#This Row],[a1]]=1,IF(H$2=0,0,IF(G$1=1,0,Tab.o1[[#This Row],[.x1]])+[1]!T.in.A[[#This Row],[oo4]]),"")</f>
        <v/>
      </c>
      <c r="I127" s="116" t="str">
        <f>IF(Tab.o1[[#This Row],[a1]]=1,IF(J$2=0,Tab.o1[[#This Row],[MED]],Tab.o1[[#This Row],[MOD]]),"")</f>
        <v/>
      </c>
      <c r="J127" s="116" t="str">
        <f>IF(Tab.o1[[#This Row],[a1]]=1,((Tab.o1[[#This Row],[DIF_Target.]]-AVERAGE(Tab.o1[DIF_Target.]))/_xlfn.STDEV.P(Tab.o1[DIF_Target.])),"")</f>
        <v/>
      </c>
      <c r="K127" s="117" t="str">
        <f>IF(Tab.o1[[#This Row],[a1]]=1,IF(J$2=0,Tab.o1[[#This Row],[MOD]]-Tab.o1[[#This Row],[B]],IF(J$2=1,0,-Tab.o1[[#This Row],[MED]])+Tab.o1[[#This Row],[B]]),"")</f>
        <v/>
      </c>
      <c r="L127" s="117" t="str">
        <f ca="1">IF(Tab.o1[[#This Row],[DIF_Target]]=0,IF(L$2=0,Tab.o1[[#This Row],[DIF_Target]],AVERAGE(OFFSET(Tab.o1[[#This Row],[DIF_Target]],1,0,L$3,1)))/3,Tab.o1[[#This Row],[DIF_Target]])</f>
        <v/>
      </c>
      <c r="M127" s="118" t="str">
        <f>IF(Tab.o1[[#This Row],[a1]]=1,NORMSDIST(Tab.o1[[#This Row],[Za]]),"")</f>
        <v/>
      </c>
      <c r="N127" s="119" t="str">
        <f>IF(Tab.o1[[#This Row],[a1]]=1,((Tab.o1[[#This Row],[MedMod]]-AVERAGE(Tab.o1[MedMod]))/_xlfn.STDEV.P(Tab.o1[MedMod])*H$1205)+G$1205,"")</f>
        <v/>
      </c>
      <c r="O127" s="141" t="str">
        <f>IF(Tab.o1[[#This Row],[a1]]=1,Tab.o1[[#This Row],[Zb]]*_xlfn.STDEV.P(Tab.o1[MedMod])+AVERAGE(Tab.o1[MedMod]),"")</f>
        <v/>
      </c>
      <c r="P127" s="117" t="str">
        <f ca="1">IF(Tab.o1[[#This Row],[B]]=0,AVERAGE(OFFSET(Tab.o1[[#This Row],[B]],1,0,L$3,1)),Tab.o1[[#This Row],[B]])</f>
        <v/>
      </c>
      <c r="Q127" s="121" t="str">
        <f>IF(Tab.o1[[#This Row],[a1]]=1,NORMSDIST(Tab.o1[[#This Row],[Zb]]),"")</f>
        <v/>
      </c>
      <c r="R127" s="122" t="str">
        <f>IF(Tab.o1[[#This Row],[a1]]=1,((Tab.o1[[#This Row],[MedMod]]-AVERAGE(Tab.o1[MedMod]))/_xlfn.STDEV.P(Tab.o1[MedMod])*H$1203)+G$1203,"")</f>
        <v/>
      </c>
      <c r="S127" s="122" t="str">
        <f>IF(Tab.o1[[#This Row],[a1]]=1,((Tab.o1[[#This Row],[MedMod]]-AVERAGE(Tab.o1[MedMod]))/_xlfn.STDEV.P(Tab.o1[MedMod])*H$1204)+G$1204,"")</f>
        <v/>
      </c>
      <c r="T127" s="123" t="str">
        <f>IF(Tab.o1[[#This Row],[a1]]=1,Tab.o1[[#This Row],[Z-]]*_xlfn.STDEV.P(Tab.o1[B])+AVERAGE(Tab.o1[B]),"")</f>
        <v/>
      </c>
      <c r="U127" s="123" t="str">
        <f>IF(Tab.o1[[#This Row],[a1]]=1,Tab.o1[[#This Row],[z+]]*_xlfn.STDEV.P(Tab.o1[B])+AVERAGE(Tab.o1[B]),"")</f>
        <v/>
      </c>
      <c r="V127" s="124" t="str">
        <f>IF(Tab.o1[[#This Row],[a1]]=1,ABS((ABS(Tab.o1[[#This Row],[Red]]-Tab.o1[[#This Row],[Blue]]))),"")</f>
        <v/>
      </c>
      <c r="W127" s="125" t="str">
        <f>IF(Tab.o1[[#This Row],[a1]]=1,IF(W$3=0,1,Tab.o1[[#This Row],[Amp.]]*1/_xlfn.MINIFS(Tab.o1[Amp.],Tab.o1[Amp.],"&lt;&gt;0")),"")</f>
        <v/>
      </c>
      <c r="X127" s="126" t="str">
        <f>IF(Tab.o1[[#This Row],[a1]]=1,IF(ISNUMBER(Tab.o1[[#This Row],[i.]]),NORMDIST(Tab.o1[[#This Row],[Za]],0,1,FALSE)*Tab.o1[[#This Row],[i.]],AP$3),"")</f>
        <v/>
      </c>
      <c r="Y127" s="126" t="str">
        <f>IF(Tab.o1[[#This Row],[a1]]=1,0.01+0.94*Tab.o1[[#This Row],[PDF]]/MAX(Tab.o1[PDF]),"")</f>
        <v/>
      </c>
      <c r="Z127" s="126" t="str">
        <f>IF(Tab.o1[[#This Row],[a1]]=1,0.01+0.94*Tab.o1[[#This Row],[W1_PDF]]/MAX(Tab.o1[W1_PDF]),"")</f>
        <v/>
      </c>
      <c r="AA127" s="118" t="str">
        <f>IF(Tab.o1[[#This Row],[a1]]=1,ABS([1]!T.in.A[[#This Row],[oo6]]),"")</f>
        <v/>
      </c>
      <c r="AB127" s="127" t="str">
        <f>IF(Tab.o1[[#This Row],[a1]]=1,IF(AE$3=0,"",IF(AB$3=0,ABS([1]!T.in.A[[#This Row],[oo9]]),ABS(Tab.o1[[#This Row],[DIF_Target.]]*Tab.o1[[#This Row],[W1_PDF]]))),"")</f>
        <v/>
      </c>
      <c r="AC127" s="127" t="str">
        <f>IF(G$1=1,"",IF(Tab.o1[[#This Row],[a1]]=1,Tab.o1[[#This Row],[Wr]]^2,""))</f>
        <v/>
      </c>
      <c r="AD127" s="118" t="str">
        <f>IF(Tab.o1[[#This Row],[a1]]=1,IF(AE$3=0,"",Tab.o1[[#This Row],[Wr2]]/SUM(Tab.o1[Wr2])),"")</f>
        <v/>
      </c>
      <c r="AE127" s="128" t="str">
        <f>IF(Tab.o1[[#This Row],[a1]]=1,[1]!T.in.A[[#This Row],[oo10]],"")</f>
        <v/>
      </c>
      <c r="AF127" s="118" t="str">
        <f>IF(Tab.o1[[#This Row],[a1]]=1,ABS(Tab.o1[[#This Row],[DIF_Target.]]*Tab.o1[[#This Row],[PDF2]]*Tab.o1[[#This Row],[IN]]),"")</f>
        <v/>
      </c>
      <c r="AG127" s="129" t="str">
        <f>IF(Tab.o1[[#This Row],[a1]]=1,Tab.o1[[#This Row],[rW]]^2,"")</f>
        <v/>
      </c>
      <c r="AH127" s="130" t="str">
        <f>IF(Tab.o1[[#This Row],[a1]]=1,IF(AH$3=0,Tab.o1[[#This Row],[rW2]],0.01+0.94*Tab.o1[[#This Row],[rW2]]/SUM(Tab.o1[rW2])),"")</f>
        <v/>
      </c>
      <c r="AI127" s="128" t="str">
        <f>IF(Tab.o1[[#This Row],[a1]]=1,1/Tab.o1[[#This Row],[PDF]],"")</f>
        <v/>
      </c>
      <c r="AJ127" s="131" t="str">
        <f>IF(Tab.o1[[#This Row],[a1]]=1,[1]!T_AA[[#This Row],[IN'']]*[1]!T_AA[[#This Row],[Qde'']],"")</f>
        <v/>
      </c>
      <c r="AK127" s="132" t="str">
        <f>IF(Tab.o1[[#This Row],[a1]]=1,IF(AK$1=1,Tab.o1[[#This Row],[MED]]+Tab.o1[[#This Row],[MOD]]-Tab.o1[[#This Row],[MED]],""),"")</f>
        <v/>
      </c>
      <c r="AL127" s="133" t="str">
        <f>IF(Tab.o1[[#This Row],[a1]]=1,[1]!T.in.A[[#This Row],[oo16]],"")</f>
        <v/>
      </c>
      <c r="AM127" s="133" t="str">
        <f>IF(Tab.o1[[#This Row],[a1]]=1,IF(AM$3=1,[1]!T.in.A[[#This Row],[Σo16]],""),"")</f>
        <v/>
      </c>
      <c r="AN127" s="126" t="str">
        <f>IF(Tab.o1[[#This Row],[a1]]=1,[1]!T.in.A[[#This Row],[Σp5]],"")</f>
        <v/>
      </c>
      <c r="AO127" s="126" t="str">
        <f>IF(Tab.o1[[#This Row],[a1]]=1,IF(AO$3=1,[1]!T.in.A[[#This Row],[Σp5]],""),"")</f>
        <v/>
      </c>
      <c r="AP127" s="110" t="str">
        <f>IF(Tab.o1[[#This Row],[a1]]=1,IF(ISNUMBER(Tab.o1[[#This Row],[i.]]),NORMDIST(Tab.o1[[#This Row],[Za]],0,1,FALSE)*Tab.o1[[#This Row],[i.]],0),"")</f>
        <v/>
      </c>
      <c r="AQ127" s="125" t="str">
        <f>IF(Tab.o1[[#This Row],[a1]]=1,ABS(Tab.o1[[#This Row],[MOD]]-AVERAGE(Tab.o1[MOD])),"")</f>
        <v/>
      </c>
      <c r="AR127" s="134" t="str">
        <f>IF(Tab.o1[[#This Row],[a1]]=1,Tab.o1[[#This Row],[OBS]]/SUM(Tab.o1[OBS]),"")</f>
        <v/>
      </c>
      <c r="AS127" s="135" t="str">
        <f>IF(ISNUMBER(Tab.o1[[#This Row],[a1]]),ROW()-4,"")</f>
        <v/>
      </c>
      <c r="AT127" s="136" t="str">
        <f>Tab.o1[[#This Row],[MOD]]</f>
        <v/>
      </c>
      <c r="AU127" s="137" t="str">
        <f t="shared" si="5"/>
        <v/>
      </c>
      <c r="AV127" s="138" t="str">
        <f t="shared" si="6"/>
        <v/>
      </c>
      <c r="AW127" s="138" t="str">
        <f t="shared" si="7"/>
        <v/>
      </c>
      <c r="AX127" s="139" t="str">
        <f>[1]!T.in.A[[#This Row],[ID_T_manu]]</f>
        <v/>
      </c>
      <c r="AY127" s="140" t="str">
        <f>IF(ISNUMBER(Tab.o1[[#This Row],[a1]]),IF(AND(Tab.o1[[#This Row],[a1]]=1,Tab.o1[[#This Row],[b1]]&lt;=AY$4),#REF!,AY126),"")</f>
        <v/>
      </c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</row>
    <row r="128" spans="1:79" ht="14.25" hidden="1" customHeight="1">
      <c r="A128" s="109">
        <v>1.0000000000000002E-6</v>
      </c>
      <c r="B128" s="110">
        <f t="shared" si="4"/>
        <v>128</v>
      </c>
      <c r="C128" s="111" t="str">
        <f>IF(C$1=[1]!T.in.A[[#This Row],[oo2]],1,"")</f>
        <v/>
      </c>
      <c r="D128" s="112" t="str">
        <f>IF(Tab.o1[[#This Row],[a1]]=1,IF(SUM(C128:C129)=0,0,IF(SUM(C127:C128)=1,1,IF(SUM(C127:C129)&gt;1,D127+1,0))),"")</f>
        <v/>
      </c>
      <c r="E128" s="113" t="str">
        <f>IF(Tab.o1[[#This Row],[a1]]=1,[1]!T.in.A[[#This Row],[oo1]],"")</f>
        <v/>
      </c>
      <c r="F128" s="113" t="str">
        <f>IF(Tab.o1[[#This Row],[a1]]=1,[1]!T.in.A[[#This Row],[pp1]],"")</f>
        <v/>
      </c>
      <c r="G128" s="114" t="str">
        <f>IF(Tab.o1[[#This Row],[a1]]=1,G$2+IF(G$1=1,0,Tab.o1[[#This Row],[.x1]])+[1]!T.in.A[[#This Row],[oo3]],"")</f>
        <v/>
      </c>
      <c r="H128" s="115" t="str">
        <f>IF(Tab.o1[[#This Row],[a1]]=1,IF(H$2=0,0,IF(G$1=1,0,Tab.o1[[#This Row],[.x1]])+[1]!T.in.A[[#This Row],[oo4]]),"")</f>
        <v/>
      </c>
      <c r="I128" s="116" t="str">
        <f>IF(Tab.o1[[#This Row],[a1]]=1,IF(J$2=0,Tab.o1[[#This Row],[MED]],Tab.o1[[#This Row],[MOD]]),"")</f>
        <v/>
      </c>
      <c r="J128" s="116" t="str">
        <f>IF(Tab.o1[[#This Row],[a1]]=1,((Tab.o1[[#This Row],[DIF_Target.]]-AVERAGE(Tab.o1[DIF_Target.]))/_xlfn.STDEV.P(Tab.o1[DIF_Target.])),"")</f>
        <v/>
      </c>
      <c r="K128" s="117" t="str">
        <f>IF(Tab.o1[[#This Row],[a1]]=1,IF(J$2=0,Tab.o1[[#This Row],[MOD]]-Tab.o1[[#This Row],[B]],IF(J$2=1,0,-Tab.o1[[#This Row],[MED]])+Tab.o1[[#This Row],[B]]),"")</f>
        <v/>
      </c>
      <c r="L128" s="117" t="str">
        <f ca="1">IF(Tab.o1[[#This Row],[DIF_Target]]=0,IF(L$2=0,Tab.o1[[#This Row],[DIF_Target]],AVERAGE(OFFSET(Tab.o1[[#This Row],[DIF_Target]],1,0,L$3,1)))/3,Tab.o1[[#This Row],[DIF_Target]])</f>
        <v/>
      </c>
      <c r="M128" s="118" t="str">
        <f>IF(Tab.o1[[#This Row],[a1]]=1,NORMSDIST(Tab.o1[[#This Row],[Za]]),"")</f>
        <v/>
      </c>
      <c r="N128" s="119" t="str">
        <f>IF(Tab.o1[[#This Row],[a1]]=1,((Tab.o1[[#This Row],[MedMod]]-AVERAGE(Tab.o1[MedMod]))/_xlfn.STDEV.P(Tab.o1[MedMod])*H$1205)+G$1205,"")</f>
        <v/>
      </c>
      <c r="O128" s="141" t="str">
        <f>IF(Tab.o1[[#This Row],[a1]]=1,Tab.o1[[#This Row],[Zb]]*_xlfn.STDEV.P(Tab.o1[MedMod])+AVERAGE(Tab.o1[MedMod]),"")</f>
        <v/>
      </c>
      <c r="P128" s="117" t="str">
        <f ca="1">IF(Tab.o1[[#This Row],[B]]=0,AVERAGE(OFFSET(Tab.o1[[#This Row],[B]],1,0,L$3,1)),Tab.o1[[#This Row],[B]])</f>
        <v/>
      </c>
      <c r="Q128" s="121" t="str">
        <f>IF(Tab.o1[[#This Row],[a1]]=1,NORMSDIST(Tab.o1[[#This Row],[Zb]]),"")</f>
        <v/>
      </c>
      <c r="R128" s="122" t="str">
        <f>IF(Tab.o1[[#This Row],[a1]]=1,((Tab.o1[[#This Row],[MedMod]]-AVERAGE(Tab.o1[MedMod]))/_xlfn.STDEV.P(Tab.o1[MedMod])*H$1203)+G$1203,"")</f>
        <v/>
      </c>
      <c r="S128" s="122" t="str">
        <f>IF(Tab.o1[[#This Row],[a1]]=1,((Tab.o1[[#This Row],[MedMod]]-AVERAGE(Tab.o1[MedMod]))/_xlfn.STDEV.P(Tab.o1[MedMod])*H$1204)+G$1204,"")</f>
        <v/>
      </c>
      <c r="T128" s="123" t="str">
        <f>IF(Tab.o1[[#This Row],[a1]]=1,Tab.o1[[#This Row],[Z-]]*_xlfn.STDEV.P(Tab.o1[B])+AVERAGE(Tab.o1[B]),"")</f>
        <v/>
      </c>
      <c r="U128" s="123" t="str">
        <f>IF(Tab.o1[[#This Row],[a1]]=1,Tab.o1[[#This Row],[z+]]*_xlfn.STDEV.P(Tab.o1[B])+AVERAGE(Tab.o1[B]),"")</f>
        <v/>
      </c>
      <c r="V128" s="124" t="str">
        <f>IF(Tab.o1[[#This Row],[a1]]=1,ABS((ABS(Tab.o1[[#This Row],[Red]]-Tab.o1[[#This Row],[Blue]]))),"")</f>
        <v/>
      </c>
      <c r="W128" s="125" t="str">
        <f>IF(Tab.o1[[#This Row],[a1]]=1,IF(W$3=0,1,Tab.o1[[#This Row],[Amp.]]*1/_xlfn.MINIFS(Tab.o1[Amp.],Tab.o1[Amp.],"&lt;&gt;0")),"")</f>
        <v/>
      </c>
      <c r="X128" s="126" t="str">
        <f>IF(Tab.o1[[#This Row],[a1]]=1,IF(ISNUMBER(Tab.o1[[#This Row],[i.]]),NORMDIST(Tab.o1[[#This Row],[Za]],0,1,FALSE)*Tab.o1[[#This Row],[i.]],AP$3),"")</f>
        <v/>
      </c>
      <c r="Y128" s="126" t="str">
        <f>IF(Tab.o1[[#This Row],[a1]]=1,0.01+0.94*Tab.o1[[#This Row],[PDF]]/MAX(Tab.o1[PDF]),"")</f>
        <v/>
      </c>
      <c r="Z128" s="126" t="str">
        <f>IF(Tab.o1[[#This Row],[a1]]=1,0.01+0.94*Tab.o1[[#This Row],[W1_PDF]]/MAX(Tab.o1[W1_PDF]),"")</f>
        <v/>
      </c>
      <c r="AA128" s="118" t="str">
        <f>IF(Tab.o1[[#This Row],[a1]]=1,ABS([1]!T.in.A[[#This Row],[oo6]]),"")</f>
        <v/>
      </c>
      <c r="AB128" s="127" t="str">
        <f>IF(Tab.o1[[#This Row],[a1]]=1,IF(AE$3=0,"",IF(AB$3=0,ABS([1]!T.in.A[[#This Row],[oo9]]),ABS(Tab.o1[[#This Row],[DIF_Target.]]*Tab.o1[[#This Row],[W1_PDF]]))),"")</f>
        <v/>
      </c>
      <c r="AC128" s="127" t="str">
        <f>IF(G$1=1,"",IF(Tab.o1[[#This Row],[a1]]=1,Tab.o1[[#This Row],[Wr]]^2,""))</f>
        <v/>
      </c>
      <c r="AD128" s="118" t="str">
        <f>IF(Tab.o1[[#This Row],[a1]]=1,IF(AE$3=0,"",Tab.o1[[#This Row],[Wr2]]/SUM(Tab.o1[Wr2])),"")</f>
        <v/>
      </c>
      <c r="AE128" s="128" t="str">
        <f>IF(Tab.o1[[#This Row],[a1]]=1,[1]!T.in.A[[#This Row],[oo10]],"")</f>
        <v/>
      </c>
      <c r="AF128" s="118" t="str">
        <f>IF(Tab.o1[[#This Row],[a1]]=1,ABS(Tab.o1[[#This Row],[DIF_Target.]]*Tab.o1[[#This Row],[PDF2]]*Tab.o1[[#This Row],[IN]]),"")</f>
        <v/>
      </c>
      <c r="AG128" s="129" t="str">
        <f>IF(Tab.o1[[#This Row],[a1]]=1,Tab.o1[[#This Row],[rW]]^2,"")</f>
        <v/>
      </c>
      <c r="AH128" s="130" t="str">
        <f>IF(Tab.o1[[#This Row],[a1]]=1,IF(AH$3=0,Tab.o1[[#This Row],[rW2]],0.01+0.94*Tab.o1[[#This Row],[rW2]]/SUM(Tab.o1[rW2])),"")</f>
        <v/>
      </c>
      <c r="AI128" s="128" t="str">
        <f>IF(Tab.o1[[#This Row],[a1]]=1,1/Tab.o1[[#This Row],[PDF]],"")</f>
        <v/>
      </c>
      <c r="AJ128" s="131" t="str">
        <f>IF(Tab.o1[[#This Row],[a1]]=1,[1]!T_AA[[#This Row],[IN'']]*[1]!T_AA[[#This Row],[Qde'']],"")</f>
        <v/>
      </c>
      <c r="AK128" s="132" t="str">
        <f>IF(Tab.o1[[#This Row],[a1]]=1,IF(AK$1=1,Tab.o1[[#This Row],[MED]]+Tab.o1[[#This Row],[MOD]]-Tab.o1[[#This Row],[MED]],""),"")</f>
        <v/>
      </c>
      <c r="AL128" s="133" t="str">
        <f>IF(Tab.o1[[#This Row],[a1]]=1,[1]!T.in.A[[#This Row],[oo16]],"")</f>
        <v/>
      </c>
      <c r="AM128" s="133" t="str">
        <f>IF(Tab.o1[[#This Row],[a1]]=1,IF(AM$3=1,[1]!T.in.A[[#This Row],[Σo16]],""),"")</f>
        <v/>
      </c>
      <c r="AN128" s="126" t="str">
        <f>IF(Tab.o1[[#This Row],[a1]]=1,[1]!T.in.A[[#This Row],[Σp5]],"")</f>
        <v/>
      </c>
      <c r="AO128" s="126" t="str">
        <f>IF(Tab.o1[[#This Row],[a1]]=1,IF(AO$3=1,[1]!T.in.A[[#This Row],[Σp5]],""),"")</f>
        <v/>
      </c>
      <c r="AP128" s="110" t="str">
        <f>IF(Tab.o1[[#This Row],[a1]]=1,IF(ISNUMBER(Tab.o1[[#This Row],[i.]]),NORMDIST(Tab.o1[[#This Row],[Za]],0,1,FALSE)*Tab.o1[[#This Row],[i.]],0),"")</f>
        <v/>
      </c>
      <c r="AQ128" s="125" t="str">
        <f>IF(Tab.o1[[#This Row],[a1]]=1,ABS(Tab.o1[[#This Row],[MOD]]-AVERAGE(Tab.o1[MOD])),"")</f>
        <v/>
      </c>
      <c r="AR128" s="134" t="str">
        <f>IF(Tab.o1[[#This Row],[a1]]=1,Tab.o1[[#This Row],[OBS]]/SUM(Tab.o1[OBS]),"")</f>
        <v/>
      </c>
      <c r="AS128" s="135" t="str">
        <f>IF(ISNUMBER(Tab.o1[[#This Row],[a1]]),ROW()-4,"")</f>
        <v/>
      </c>
      <c r="AT128" s="136" t="str">
        <f>Tab.o1[[#This Row],[MOD]]</f>
        <v/>
      </c>
      <c r="AU128" s="137" t="str">
        <f t="shared" si="5"/>
        <v/>
      </c>
      <c r="AV128" s="138" t="str">
        <f t="shared" si="6"/>
        <v/>
      </c>
      <c r="AW128" s="138" t="str">
        <f t="shared" si="7"/>
        <v/>
      </c>
      <c r="AX128" s="139">
        <f>[1]!T.in.A[[#This Row],[ID_T_manu]]</f>
        <v>14</v>
      </c>
      <c r="AY128" s="140" t="str">
        <f>IF(ISNUMBER(Tab.o1[[#This Row],[a1]]),IF(AND(Tab.o1[[#This Row],[a1]]=1,Tab.o1[[#This Row],[b1]]&lt;=AY$4),#REF!,AY127),"")</f>
        <v/>
      </c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</row>
    <row r="129" spans="1:79" ht="14.25" hidden="1" customHeight="1">
      <c r="A129" s="109">
        <v>5.0000000000000004E-6</v>
      </c>
      <c r="B129" s="110">
        <f t="shared" si="4"/>
        <v>129</v>
      </c>
      <c r="C129" s="111" t="str">
        <f>IF(C$1=[1]!T.in.A[[#This Row],[oo2]],1,"")</f>
        <v/>
      </c>
      <c r="D129" s="112" t="str">
        <f>IF(Tab.o1[[#This Row],[a1]]=1,IF(SUM(C129:C130)=0,0,IF(SUM(C128:C129)=1,1,IF(SUM(C128:C130)&gt;1,D128+1,0))),"")</f>
        <v/>
      </c>
      <c r="E129" s="113" t="str">
        <f>IF(Tab.o1[[#This Row],[a1]]=1,[1]!T.in.A[[#This Row],[oo1]],"")</f>
        <v/>
      </c>
      <c r="F129" s="113" t="str">
        <f>IF(Tab.o1[[#This Row],[a1]]=1,[1]!T.in.A[[#This Row],[pp1]],"")</f>
        <v/>
      </c>
      <c r="G129" s="114" t="str">
        <f>IF(Tab.o1[[#This Row],[a1]]=1,G$2+IF(G$1=1,0,Tab.o1[[#This Row],[.x1]])+[1]!T.in.A[[#This Row],[oo3]],"")</f>
        <v/>
      </c>
      <c r="H129" s="115" t="str">
        <f>IF(Tab.o1[[#This Row],[a1]]=1,IF(H$2=0,0,IF(G$1=1,0,Tab.o1[[#This Row],[.x1]])+[1]!T.in.A[[#This Row],[oo4]]),"")</f>
        <v/>
      </c>
      <c r="I129" s="116" t="str">
        <f>IF(Tab.o1[[#This Row],[a1]]=1,IF(J$2=0,Tab.o1[[#This Row],[MED]],Tab.o1[[#This Row],[MOD]]),"")</f>
        <v/>
      </c>
      <c r="J129" s="116" t="str">
        <f>IF(Tab.o1[[#This Row],[a1]]=1,((Tab.o1[[#This Row],[DIF_Target.]]-AVERAGE(Tab.o1[DIF_Target.]))/_xlfn.STDEV.P(Tab.o1[DIF_Target.])),"")</f>
        <v/>
      </c>
      <c r="K129" s="117" t="str">
        <f>IF(Tab.o1[[#This Row],[a1]]=1,IF(J$2=0,Tab.o1[[#This Row],[MOD]]-Tab.o1[[#This Row],[B]],IF(J$2=1,0,-Tab.o1[[#This Row],[MED]])+Tab.o1[[#This Row],[B]]),"")</f>
        <v/>
      </c>
      <c r="L129" s="117" t="str">
        <f ca="1">IF(Tab.o1[[#This Row],[DIF_Target]]=0,IF(L$2=0,Tab.o1[[#This Row],[DIF_Target]],AVERAGE(OFFSET(Tab.o1[[#This Row],[DIF_Target]],1,0,L$3,1)))/3,Tab.o1[[#This Row],[DIF_Target]])</f>
        <v/>
      </c>
      <c r="M129" s="118" t="str">
        <f>IF(Tab.o1[[#This Row],[a1]]=1,NORMSDIST(Tab.o1[[#This Row],[Za]]),"")</f>
        <v/>
      </c>
      <c r="N129" s="119" t="str">
        <f>IF(Tab.o1[[#This Row],[a1]]=1,((Tab.o1[[#This Row],[MedMod]]-AVERAGE(Tab.o1[MedMod]))/_xlfn.STDEV.P(Tab.o1[MedMod])*H$1205)+G$1205,"")</f>
        <v/>
      </c>
      <c r="O129" s="141" t="str">
        <f>IF(Tab.o1[[#This Row],[a1]]=1,Tab.o1[[#This Row],[Zb]]*_xlfn.STDEV.P(Tab.o1[MedMod])+AVERAGE(Tab.o1[MedMod]),"")</f>
        <v/>
      </c>
      <c r="P129" s="117" t="str">
        <f ca="1">IF(Tab.o1[[#This Row],[B]]=0,AVERAGE(OFFSET(Tab.o1[[#This Row],[B]],1,0,L$3,1)),Tab.o1[[#This Row],[B]])</f>
        <v/>
      </c>
      <c r="Q129" s="121" t="str">
        <f>IF(Tab.o1[[#This Row],[a1]]=1,NORMSDIST(Tab.o1[[#This Row],[Zb]]),"")</f>
        <v/>
      </c>
      <c r="R129" s="122" t="str">
        <f>IF(Tab.o1[[#This Row],[a1]]=1,((Tab.o1[[#This Row],[MedMod]]-AVERAGE(Tab.o1[MedMod]))/_xlfn.STDEV.P(Tab.o1[MedMod])*H$1203)+G$1203,"")</f>
        <v/>
      </c>
      <c r="S129" s="122" t="str">
        <f>IF(Tab.o1[[#This Row],[a1]]=1,((Tab.o1[[#This Row],[MedMod]]-AVERAGE(Tab.o1[MedMod]))/_xlfn.STDEV.P(Tab.o1[MedMod])*H$1204)+G$1204,"")</f>
        <v/>
      </c>
      <c r="T129" s="123" t="str">
        <f>IF(Tab.o1[[#This Row],[a1]]=1,Tab.o1[[#This Row],[Z-]]*_xlfn.STDEV.P(Tab.o1[B])+AVERAGE(Tab.o1[B]),"")</f>
        <v/>
      </c>
      <c r="U129" s="123" t="str">
        <f>IF(Tab.o1[[#This Row],[a1]]=1,Tab.o1[[#This Row],[z+]]*_xlfn.STDEV.P(Tab.o1[B])+AVERAGE(Tab.o1[B]),"")</f>
        <v/>
      </c>
      <c r="V129" s="124" t="str">
        <f>IF(Tab.o1[[#This Row],[a1]]=1,ABS((ABS(Tab.o1[[#This Row],[Red]]-Tab.o1[[#This Row],[Blue]]))),"")</f>
        <v/>
      </c>
      <c r="W129" s="125" t="str">
        <f>IF(Tab.o1[[#This Row],[a1]]=1,IF(W$3=0,1,Tab.o1[[#This Row],[Amp.]]*1/_xlfn.MINIFS(Tab.o1[Amp.],Tab.o1[Amp.],"&lt;&gt;0")),"")</f>
        <v/>
      </c>
      <c r="X129" s="126" t="str">
        <f>IF(Tab.o1[[#This Row],[a1]]=1,IF(ISNUMBER(Tab.o1[[#This Row],[i.]]),NORMDIST(Tab.o1[[#This Row],[Za]],0,1,FALSE)*Tab.o1[[#This Row],[i.]],AP$3),"")</f>
        <v/>
      </c>
      <c r="Y129" s="126" t="str">
        <f>IF(Tab.o1[[#This Row],[a1]]=1,0.01+0.94*Tab.o1[[#This Row],[PDF]]/MAX(Tab.o1[PDF]),"")</f>
        <v/>
      </c>
      <c r="Z129" s="126" t="str">
        <f>IF(Tab.o1[[#This Row],[a1]]=1,0.01+0.94*Tab.o1[[#This Row],[W1_PDF]]/MAX(Tab.o1[W1_PDF]),"")</f>
        <v/>
      </c>
      <c r="AA129" s="118" t="str">
        <f>IF(Tab.o1[[#This Row],[a1]]=1,ABS([1]!T.in.A[[#This Row],[oo6]]),"")</f>
        <v/>
      </c>
      <c r="AB129" s="127" t="str">
        <f>IF(Tab.o1[[#This Row],[a1]]=1,IF(AE$3=0,"",IF(AB$3=0,ABS([1]!T.in.A[[#This Row],[oo9]]),ABS(Tab.o1[[#This Row],[DIF_Target.]]*Tab.o1[[#This Row],[W1_PDF]]))),"")</f>
        <v/>
      </c>
      <c r="AC129" s="127" t="str">
        <f>IF(G$1=1,"",IF(Tab.o1[[#This Row],[a1]]=1,Tab.o1[[#This Row],[Wr]]^2,""))</f>
        <v/>
      </c>
      <c r="AD129" s="118" t="str">
        <f>IF(Tab.o1[[#This Row],[a1]]=1,IF(AE$3=0,"",Tab.o1[[#This Row],[Wr2]]/SUM(Tab.o1[Wr2])),"")</f>
        <v/>
      </c>
      <c r="AE129" s="128" t="str">
        <f>IF(Tab.o1[[#This Row],[a1]]=1,[1]!T.in.A[[#This Row],[oo10]],"")</f>
        <v/>
      </c>
      <c r="AF129" s="118" t="str">
        <f>IF(Tab.o1[[#This Row],[a1]]=1,ABS(Tab.o1[[#This Row],[DIF_Target.]]*Tab.o1[[#This Row],[PDF2]]*Tab.o1[[#This Row],[IN]]),"")</f>
        <v/>
      </c>
      <c r="AG129" s="129" t="str">
        <f>IF(Tab.o1[[#This Row],[a1]]=1,Tab.o1[[#This Row],[rW]]^2,"")</f>
        <v/>
      </c>
      <c r="AH129" s="130" t="str">
        <f>IF(Tab.o1[[#This Row],[a1]]=1,IF(AH$3=0,Tab.o1[[#This Row],[rW2]],0.01+0.94*Tab.o1[[#This Row],[rW2]]/SUM(Tab.o1[rW2])),"")</f>
        <v/>
      </c>
      <c r="AI129" s="128" t="str">
        <f>IF(Tab.o1[[#This Row],[a1]]=1,1/Tab.o1[[#This Row],[PDF]],"")</f>
        <v/>
      </c>
      <c r="AJ129" s="131" t="str">
        <f>IF(Tab.o1[[#This Row],[a1]]=1,[1]!T_AA[[#This Row],[IN'']]*[1]!T_AA[[#This Row],[Qde'']],"")</f>
        <v/>
      </c>
      <c r="AK129" s="132" t="str">
        <f>IF(Tab.o1[[#This Row],[a1]]=1,IF(AK$1=1,Tab.o1[[#This Row],[MED]]+Tab.o1[[#This Row],[MOD]]-Tab.o1[[#This Row],[MED]],""),"")</f>
        <v/>
      </c>
      <c r="AL129" s="133" t="str">
        <f>IF(Tab.o1[[#This Row],[a1]]=1,[1]!T.in.A[[#This Row],[oo16]],"")</f>
        <v/>
      </c>
      <c r="AM129" s="133" t="str">
        <f>IF(Tab.o1[[#This Row],[a1]]=1,IF(AM$3=1,[1]!T.in.A[[#This Row],[Σo16]],""),"")</f>
        <v/>
      </c>
      <c r="AN129" s="126" t="str">
        <f>IF(Tab.o1[[#This Row],[a1]]=1,[1]!T.in.A[[#This Row],[Σp5]],"")</f>
        <v/>
      </c>
      <c r="AO129" s="126" t="str">
        <f>IF(Tab.o1[[#This Row],[a1]]=1,IF(AO$3=1,[1]!T.in.A[[#This Row],[Σp5]],""),"")</f>
        <v/>
      </c>
      <c r="AP129" s="110" t="str">
        <f>IF(Tab.o1[[#This Row],[a1]]=1,IF(ISNUMBER(Tab.o1[[#This Row],[i.]]),NORMDIST(Tab.o1[[#This Row],[Za]],0,1,FALSE)*Tab.o1[[#This Row],[i.]],0),"")</f>
        <v/>
      </c>
      <c r="AQ129" s="125" t="str">
        <f>IF(Tab.o1[[#This Row],[a1]]=1,ABS(Tab.o1[[#This Row],[MOD]]-AVERAGE(Tab.o1[MOD])),"")</f>
        <v/>
      </c>
      <c r="AR129" s="134" t="str">
        <f>IF(Tab.o1[[#This Row],[a1]]=1,Tab.o1[[#This Row],[OBS]]/SUM(Tab.o1[OBS]),"")</f>
        <v/>
      </c>
      <c r="AS129" s="135" t="str">
        <f>IF(ISNUMBER(Tab.o1[[#This Row],[a1]]),ROW()-4,"")</f>
        <v/>
      </c>
      <c r="AT129" s="136" t="str">
        <f>Tab.o1[[#This Row],[MOD]]</f>
        <v/>
      </c>
      <c r="AU129" s="137" t="str">
        <f t="shared" si="5"/>
        <v/>
      </c>
      <c r="AV129" s="138" t="str">
        <f t="shared" si="6"/>
        <v/>
      </c>
      <c r="AW129" s="138" t="str">
        <f t="shared" si="7"/>
        <v/>
      </c>
      <c r="AX129" s="139" t="str">
        <f>[1]!T.in.A[[#This Row],[ID_T_manu]]</f>
        <v/>
      </c>
      <c r="AY129" s="140" t="str">
        <f>IF(ISNUMBER(Tab.o1[[#This Row],[a1]]),IF(AND(Tab.o1[[#This Row],[a1]]=1,Tab.o1[[#This Row],[b1]]&lt;=AY$4),#REF!,AY128),"")</f>
        <v/>
      </c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</row>
    <row r="130" spans="1:79" ht="14.25" hidden="1" customHeight="1">
      <c r="A130" s="109">
        <v>8.0000000000000013E-6</v>
      </c>
      <c r="B130" s="110">
        <f t="shared" si="4"/>
        <v>130</v>
      </c>
      <c r="C130" s="111" t="str">
        <f>IF(C$1=[1]!T.in.A[[#This Row],[oo2]],1,"")</f>
        <v/>
      </c>
      <c r="D130" s="112" t="str">
        <f>IF(Tab.o1[[#This Row],[a1]]=1,IF(SUM(C130:C131)=0,0,IF(SUM(C129:C130)=1,1,IF(SUM(C129:C131)&gt;1,D129+1,0))),"")</f>
        <v/>
      </c>
      <c r="E130" s="113" t="str">
        <f>IF(Tab.o1[[#This Row],[a1]]=1,[1]!T.in.A[[#This Row],[oo1]],"")</f>
        <v/>
      </c>
      <c r="F130" s="113" t="str">
        <f>IF(Tab.o1[[#This Row],[a1]]=1,[1]!T.in.A[[#This Row],[pp1]],"")</f>
        <v/>
      </c>
      <c r="G130" s="114" t="str">
        <f>IF(Tab.o1[[#This Row],[a1]]=1,G$2+IF(G$1=1,0,Tab.o1[[#This Row],[.x1]])+[1]!T.in.A[[#This Row],[oo3]],"")</f>
        <v/>
      </c>
      <c r="H130" s="115" t="str">
        <f>IF(Tab.o1[[#This Row],[a1]]=1,IF(H$2=0,0,IF(G$1=1,0,Tab.o1[[#This Row],[.x1]])+[1]!T.in.A[[#This Row],[oo4]]),"")</f>
        <v/>
      </c>
      <c r="I130" s="116" t="str">
        <f>IF(Tab.o1[[#This Row],[a1]]=1,IF(J$2=0,Tab.o1[[#This Row],[MED]],Tab.o1[[#This Row],[MOD]]),"")</f>
        <v/>
      </c>
      <c r="J130" s="116" t="str">
        <f>IF(Tab.o1[[#This Row],[a1]]=1,((Tab.o1[[#This Row],[DIF_Target.]]-AVERAGE(Tab.o1[DIF_Target.]))/_xlfn.STDEV.P(Tab.o1[DIF_Target.])),"")</f>
        <v/>
      </c>
      <c r="K130" s="117" t="str">
        <f>IF(Tab.o1[[#This Row],[a1]]=1,IF(J$2=0,Tab.o1[[#This Row],[MOD]]-Tab.o1[[#This Row],[B]],IF(J$2=1,0,-Tab.o1[[#This Row],[MED]])+Tab.o1[[#This Row],[B]]),"")</f>
        <v/>
      </c>
      <c r="L130" s="117" t="str">
        <f ca="1">IF(Tab.o1[[#This Row],[DIF_Target]]=0,IF(L$2=0,Tab.o1[[#This Row],[DIF_Target]],AVERAGE(OFFSET(Tab.o1[[#This Row],[DIF_Target]],1,0,L$3,1)))/3,Tab.o1[[#This Row],[DIF_Target]])</f>
        <v/>
      </c>
      <c r="M130" s="118" t="str">
        <f>IF(Tab.o1[[#This Row],[a1]]=1,NORMSDIST(Tab.o1[[#This Row],[Za]]),"")</f>
        <v/>
      </c>
      <c r="N130" s="119" t="str">
        <f>IF(Tab.o1[[#This Row],[a1]]=1,((Tab.o1[[#This Row],[MedMod]]-AVERAGE(Tab.o1[MedMod]))/_xlfn.STDEV.P(Tab.o1[MedMod])*H$1205)+G$1205,"")</f>
        <v/>
      </c>
      <c r="O130" s="141" t="str">
        <f>IF(Tab.o1[[#This Row],[a1]]=1,Tab.o1[[#This Row],[Zb]]*_xlfn.STDEV.P(Tab.o1[MedMod])+AVERAGE(Tab.o1[MedMod]),"")</f>
        <v/>
      </c>
      <c r="P130" s="117" t="str">
        <f ca="1">IF(Tab.o1[[#This Row],[B]]=0,AVERAGE(OFFSET(Tab.o1[[#This Row],[B]],1,0,L$3,1)),Tab.o1[[#This Row],[B]])</f>
        <v/>
      </c>
      <c r="Q130" s="121" t="str">
        <f>IF(Tab.o1[[#This Row],[a1]]=1,NORMSDIST(Tab.o1[[#This Row],[Zb]]),"")</f>
        <v/>
      </c>
      <c r="R130" s="122" t="str">
        <f>IF(Tab.o1[[#This Row],[a1]]=1,((Tab.o1[[#This Row],[MedMod]]-AVERAGE(Tab.o1[MedMod]))/_xlfn.STDEV.P(Tab.o1[MedMod])*H$1203)+G$1203,"")</f>
        <v/>
      </c>
      <c r="S130" s="122" t="str">
        <f>IF(Tab.o1[[#This Row],[a1]]=1,((Tab.o1[[#This Row],[MedMod]]-AVERAGE(Tab.o1[MedMod]))/_xlfn.STDEV.P(Tab.o1[MedMod])*H$1204)+G$1204,"")</f>
        <v/>
      </c>
      <c r="T130" s="123" t="str">
        <f>IF(Tab.o1[[#This Row],[a1]]=1,Tab.o1[[#This Row],[Z-]]*_xlfn.STDEV.P(Tab.o1[B])+AVERAGE(Tab.o1[B]),"")</f>
        <v/>
      </c>
      <c r="U130" s="123" t="str">
        <f>IF(Tab.o1[[#This Row],[a1]]=1,Tab.o1[[#This Row],[z+]]*_xlfn.STDEV.P(Tab.o1[B])+AVERAGE(Tab.o1[B]),"")</f>
        <v/>
      </c>
      <c r="V130" s="124" t="str">
        <f>IF(Tab.o1[[#This Row],[a1]]=1,ABS((ABS(Tab.o1[[#This Row],[Red]]-Tab.o1[[#This Row],[Blue]]))),"")</f>
        <v/>
      </c>
      <c r="W130" s="125" t="str">
        <f>IF(Tab.o1[[#This Row],[a1]]=1,IF(W$3=0,1,Tab.o1[[#This Row],[Amp.]]*1/_xlfn.MINIFS(Tab.o1[Amp.],Tab.o1[Amp.],"&lt;&gt;0")),"")</f>
        <v/>
      </c>
      <c r="X130" s="126" t="str">
        <f>IF(Tab.o1[[#This Row],[a1]]=1,IF(ISNUMBER(Tab.o1[[#This Row],[i.]]),NORMDIST(Tab.o1[[#This Row],[Za]],0,1,FALSE)*Tab.o1[[#This Row],[i.]],AP$3),"")</f>
        <v/>
      </c>
      <c r="Y130" s="126" t="str">
        <f>IF(Tab.o1[[#This Row],[a1]]=1,0.01+0.94*Tab.o1[[#This Row],[PDF]]/MAX(Tab.o1[PDF]),"")</f>
        <v/>
      </c>
      <c r="Z130" s="126" t="str">
        <f>IF(Tab.o1[[#This Row],[a1]]=1,0.01+0.94*Tab.o1[[#This Row],[W1_PDF]]/MAX(Tab.o1[W1_PDF]),"")</f>
        <v/>
      </c>
      <c r="AA130" s="118" t="str">
        <f>IF(Tab.o1[[#This Row],[a1]]=1,ABS([1]!T.in.A[[#This Row],[oo6]]),"")</f>
        <v/>
      </c>
      <c r="AB130" s="127" t="str">
        <f>IF(Tab.o1[[#This Row],[a1]]=1,IF(AE$3=0,"",IF(AB$3=0,ABS([1]!T.in.A[[#This Row],[oo9]]),ABS(Tab.o1[[#This Row],[DIF_Target.]]*Tab.o1[[#This Row],[W1_PDF]]))),"")</f>
        <v/>
      </c>
      <c r="AC130" s="127" t="str">
        <f>IF(G$1=1,"",IF(Tab.o1[[#This Row],[a1]]=1,Tab.o1[[#This Row],[Wr]]^2,""))</f>
        <v/>
      </c>
      <c r="AD130" s="118" t="str">
        <f>IF(Tab.o1[[#This Row],[a1]]=1,IF(AE$3=0,"",Tab.o1[[#This Row],[Wr2]]/SUM(Tab.o1[Wr2])),"")</f>
        <v/>
      </c>
      <c r="AE130" s="128" t="str">
        <f>IF(Tab.o1[[#This Row],[a1]]=1,[1]!T.in.A[[#This Row],[oo10]],"")</f>
        <v/>
      </c>
      <c r="AF130" s="118" t="str">
        <f>IF(Tab.o1[[#This Row],[a1]]=1,ABS(Tab.o1[[#This Row],[DIF_Target.]]*Tab.o1[[#This Row],[PDF2]]*Tab.o1[[#This Row],[IN]]),"")</f>
        <v/>
      </c>
      <c r="AG130" s="129" t="str">
        <f>IF(Tab.o1[[#This Row],[a1]]=1,Tab.o1[[#This Row],[rW]]^2,"")</f>
        <v/>
      </c>
      <c r="AH130" s="130" t="str">
        <f>IF(Tab.o1[[#This Row],[a1]]=1,IF(AH$3=0,Tab.o1[[#This Row],[rW2]],0.01+0.94*Tab.o1[[#This Row],[rW2]]/SUM(Tab.o1[rW2])),"")</f>
        <v/>
      </c>
      <c r="AI130" s="128" t="str">
        <f>IF(Tab.o1[[#This Row],[a1]]=1,1/Tab.o1[[#This Row],[PDF]],"")</f>
        <v/>
      </c>
      <c r="AJ130" s="131" t="str">
        <f>IF(Tab.o1[[#This Row],[a1]]=1,[1]!T_AA[[#This Row],[IN'']]*[1]!T_AA[[#This Row],[Qde'']],"")</f>
        <v/>
      </c>
      <c r="AK130" s="132" t="str">
        <f>IF(Tab.o1[[#This Row],[a1]]=1,IF(AK$1=1,Tab.o1[[#This Row],[MED]]+Tab.o1[[#This Row],[MOD]]-Tab.o1[[#This Row],[MED]],""),"")</f>
        <v/>
      </c>
      <c r="AL130" s="133" t="str">
        <f>IF(Tab.o1[[#This Row],[a1]]=1,[1]!T.in.A[[#This Row],[oo16]],"")</f>
        <v/>
      </c>
      <c r="AM130" s="133" t="str">
        <f>IF(Tab.o1[[#This Row],[a1]]=1,IF(AM$3=1,[1]!T.in.A[[#This Row],[Σo16]],""),"")</f>
        <v/>
      </c>
      <c r="AN130" s="126" t="str">
        <f>IF(Tab.o1[[#This Row],[a1]]=1,[1]!T.in.A[[#This Row],[Σp5]],"")</f>
        <v/>
      </c>
      <c r="AO130" s="126" t="str">
        <f>IF(Tab.o1[[#This Row],[a1]]=1,IF(AO$3=1,[1]!T.in.A[[#This Row],[Σp5]],""),"")</f>
        <v/>
      </c>
      <c r="AP130" s="110" t="str">
        <f>IF(Tab.o1[[#This Row],[a1]]=1,IF(ISNUMBER(Tab.o1[[#This Row],[i.]]),NORMDIST(Tab.o1[[#This Row],[Za]],0,1,FALSE)*Tab.o1[[#This Row],[i.]],0),"")</f>
        <v/>
      </c>
      <c r="AQ130" s="125" t="str">
        <f>IF(Tab.o1[[#This Row],[a1]]=1,ABS(Tab.o1[[#This Row],[MOD]]-AVERAGE(Tab.o1[MOD])),"")</f>
        <v/>
      </c>
      <c r="AR130" s="134" t="str">
        <f>IF(Tab.o1[[#This Row],[a1]]=1,Tab.o1[[#This Row],[OBS]]/SUM(Tab.o1[OBS]),"")</f>
        <v/>
      </c>
      <c r="AS130" s="135" t="str">
        <f>IF(ISNUMBER(Tab.o1[[#This Row],[a1]]),ROW()-4,"")</f>
        <v/>
      </c>
      <c r="AT130" s="136" t="str">
        <f>Tab.o1[[#This Row],[MOD]]</f>
        <v/>
      </c>
      <c r="AU130" s="137" t="str">
        <f t="shared" si="5"/>
        <v/>
      </c>
      <c r="AV130" s="138" t="str">
        <f t="shared" si="6"/>
        <v/>
      </c>
      <c r="AW130" s="138" t="str">
        <f t="shared" si="7"/>
        <v/>
      </c>
      <c r="AX130" s="139" t="str">
        <f>[1]!T.in.A[[#This Row],[ID_T_manu]]</f>
        <v/>
      </c>
      <c r="AY130" s="140" t="str">
        <f>IF(ISNUMBER(Tab.o1[[#This Row],[a1]]),IF(AND(Tab.o1[[#This Row],[a1]]=1,Tab.o1[[#This Row],[b1]]&lt;=AY$4),#REF!,AY129),"")</f>
        <v/>
      </c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</row>
    <row r="131" spans="1:79" ht="14.25" hidden="1" customHeight="1">
      <c r="A131" s="109">
        <v>5.9999999999999993E-6</v>
      </c>
      <c r="B131" s="110">
        <f t="shared" si="4"/>
        <v>131</v>
      </c>
      <c r="C131" s="111" t="str">
        <f>IF(C$1=[1]!T.in.A[[#This Row],[oo2]],1,"")</f>
        <v/>
      </c>
      <c r="D131" s="112" t="str">
        <f>IF(Tab.o1[[#This Row],[a1]]=1,IF(SUM(C131:C132)=0,0,IF(SUM(C130:C131)=1,1,IF(SUM(C130:C132)&gt;1,D130+1,0))),"")</f>
        <v/>
      </c>
      <c r="E131" s="113" t="str">
        <f>IF(Tab.o1[[#This Row],[a1]]=1,[1]!T.in.A[[#This Row],[oo1]],"")</f>
        <v/>
      </c>
      <c r="F131" s="113" t="str">
        <f>IF(Tab.o1[[#This Row],[a1]]=1,[1]!T.in.A[[#This Row],[pp1]],"")</f>
        <v/>
      </c>
      <c r="G131" s="114" t="str">
        <f>IF(Tab.o1[[#This Row],[a1]]=1,G$2+IF(G$1=1,0,Tab.o1[[#This Row],[.x1]])+[1]!T.in.A[[#This Row],[oo3]],"")</f>
        <v/>
      </c>
      <c r="H131" s="115" t="str">
        <f>IF(Tab.o1[[#This Row],[a1]]=1,IF(H$2=0,0,IF(G$1=1,0,Tab.o1[[#This Row],[.x1]])+[1]!T.in.A[[#This Row],[oo4]]),"")</f>
        <v/>
      </c>
      <c r="I131" s="116" t="str">
        <f>IF(Tab.o1[[#This Row],[a1]]=1,IF(J$2=0,Tab.o1[[#This Row],[MED]],Tab.o1[[#This Row],[MOD]]),"")</f>
        <v/>
      </c>
      <c r="J131" s="116" t="str">
        <f>IF(Tab.o1[[#This Row],[a1]]=1,((Tab.o1[[#This Row],[DIF_Target.]]-AVERAGE(Tab.o1[DIF_Target.]))/_xlfn.STDEV.P(Tab.o1[DIF_Target.])),"")</f>
        <v/>
      </c>
      <c r="K131" s="117" t="str">
        <f>IF(Tab.o1[[#This Row],[a1]]=1,IF(J$2=0,Tab.o1[[#This Row],[MOD]]-Tab.o1[[#This Row],[B]],IF(J$2=1,0,-Tab.o1[[#This Row],[MED]])+Tab.o1[[#This Row],[B]]),"")</f>
        <v/>
      </c>
      <c r="L131" s="117" t="str">
        <f ca="1">IF(Tab.o1[[#This Row],[DIF_Target]]=0,IF(L$2=0,Tab.o1[[#This Row],[DIF_Target]],AVERAGE(OFFSET(Tab.o1[[#This Row],[DIF_Target]],1,0,L$3,1)))/3,Tab.o1[[#This Row],[DIF_Target]])</f>
        <v/>
      </c>
      <c r="M131" s="118" t="str">
        <f>IF(Tab.o1[[#This Row],[a1]]=1,NORMSDIST(Tab.o1[[#This Row],[Za]]),"")</f>
        <v/>
      </c>
      <c r="N131" s="119" t="str">
        <f>IF(Tab.o1[[#This Row],[a1]]=1,((Tab.o1[[#This Row],[MedMod]]-AVERAGE(Tab.o1[MedMod]))/_xlfn.STDEV.P(Tab.o1[MedMod])*H$1205)+G$1205,"")</f>
        <v/>
      </c>
      <c r="O131" s="141" t="str">
        <f>IF(Tab.o1[[#This Row],[a1]]=1,Tab.o1[[#This Row],[Zb]]*_xlfn.STDEV.P(Tab.o1[MedMod])+AVERAGE(Tab.o1[MedMod]),"")</f>
        <v/>
      </c>
      <c r="P131" s="117" t="str">
        <f ca="1">IF(Tab.o1[[#This Row],[B]]=0,AVERAGE(OFFSET(Tab.o1[[#This Row],[B]],1,0,L$3,1)),Tab.o1[[#This Row],[B]])</f>
        <v/>
      </c>
      <c r="Q131" s="121" t="str">
        <f>IF(Tab.o1[[#This Row],[a1]]=1,NORMSDIST(Tab.o1[[#This Row],[Zb]]),"")</f>
        <v/>
      </c>
      <c r="R131" s="122" t="str">
        <f>IF(Tab.o1[[#This Row],[a1]]=1,((Tab.o1[[#This Row],[MedMod]]-AVERAGE(Tab.o1[MedMod]))/_xlfn.STDEV.P(Tab.o1[MedMod])*H$1203)+G$1203,"")</f>
        <v/>
      </c>
      <c r="S131" s="122" t="str">
        <f>IF(Tab.o1[[#This Row],[a1]]=1,((Tab.o1[[#This Row],[MedMod]]-AVERAGE(Tab.o1[MedMod]))/_xlfn.STDEV.P(Tab.o1[MedMod])*H$1204)+G$1204,"")</f>
        <v/>
      </c>
      <c r="T131" s="123" t="str">
        <f>IF(Tab.o1[[#This Row],[a1]]=1,Tab.o1[[#This Row],[Z-]]*_xlfn.STDEV.P(Tab.o1[B])+AVERAGE(Tab.o1[B]),"")</f>
        <v/>
      </c>
      <c r="U131" s="123" t="str">
        <f>IF(Tab.o1[[#This Row],[a1]]=1,Tab.o1[[#This Row],[z+]]*_xlfn.STDEV.P(Tab.o1[B])+AVERAGE(Tab.o1[B]),"")</f>
        <v/>
      </c>
      <c r="V131" s="124" t="str">
        <f>IF(Tab.o1[[#This Row],[a1]]=1,ABS((ABS(Tab.o1[[#This Row],[Red]]-Tab.o1[[#This Row],[Blue]]))),"")</f>
        <v/>
      </c>
      <c r="W131" s="125" t="str">
        <f>IF(Tab.o1[[#This Row],[a1]]=1,IF(W$3=0,1,Tab.o1[[#This Row],[Amp.]]*1/_xlfn.MINIFS(Tab.o1[Amp.],Tab.o1[Amp.],"&lt;&gt;0")),"")</f>
        <v/>
      </c>
      <c r="X131" s="126" t="str">
        <f>IF(Tab.o1[[#This Row],[a1]]=1,IF(ISNUMBER(Tab.o1[[#This Row],[i.]]),NORMDIST(Tab.o1[[#This Row],[Za]],0,1,FALSE)*Tab.o1[[#This Row],[i.]],AP$3),"")</f>
        <v/>
      </c>
      <c r="Y131" s="126" t="str">
        <f>IF(Tab.o1[[#This Row],[a1]]=1,0.01+0.94*Tab.o1[[#This Row],[PDF]]/MAX(Tab.o1[PDF]),"")</f>
        <v/>
      </c>
      <c r="Z131" s="126" t="str">
        <f>IF(Tab.o1[[#This Row],[a1]]=1,0.01+0.94*Tab.o1[[#This Row],[W1_PDF]]/MAX(Tab.o1[W1_PDF]),"")</f>
        <v/>
      </c>
      <c r="AA131" s="118" t="str">
        <f>IF(Tab.o1[[#This Row],[a1]]=1,ABS([1]!T.in.A[[#This Row],[oo6]]),"")</f>
        <v/>
      </c>
      <c r="AB131" s="127" t="str">
        <f>IF(Tab.o1[[#This Row],[a1]]=1,IF(AE$3=0,"",IF(AB$3=0,ABS([1]!T.in.A[[#This Row],[oo9]]),ABS(Tab.o1[[#This Row],[DIF_Target.]]*Tab.o1[[#This Row],[W1_PDF]]))),"")</f>
        <v/>
      </c>
      <c r="AC131" s="127" t="str">
        <f>IF(G$1=1,"",IF(Tab.o1[[#This Row],[a1]]=1,Tab.o1[[#This Row],[Wr]]^2,""))</f>
        <v/>
      </c>
      <c r="AD131" s="118" t="str">
        <f>IF(Tab.o1[[#This Row],[a1]]=1,IF(AE$3=0,"",Tab.o1[[#This Row],[Wr2]]/SUM(Tab.o1[Wr2])),"")</f>
        <v/>
      </c>
      <c r="AE131" s="128" t="str">
        <f>IF(Tab.o1[[#This Row],[a1]]=1,[1]!T.in.A[[#This Row],[oo10]],"")</f>
        <v/>
      </c>
      <c r="AF131" s="118" t="str">
        <f>IF(Tab.o1[[#This Row],[a1]]=1,ABS(Tab.o1[[#This Row],[DIF_Target.]]*Tab.o1[[#This Row],[PDF2]]*Tab.o1[[#This Row],[IN]]),"")</f>
        <v/>
      </c>
      <c r="AG131" s="129" t="str">
        <f>IF(Tab.o1[[#This Row],[a1]]=1,Tab.o1[[#This Row],[rW]]^2,"")</f>
        <v/>
      </c>
      <c r="AH131" s="130" t="str">
        <f>IF(Tab.o1[[#This Row],[a1]]=1,IF(AH$3=0,Tab.o1[[#This Row],[rW2]],0.01+0.94*Tab.o1[[#This Row],[rW2]]/SUM(Tab.o1[rW2])),"")</f>
        <v/>
      </c>
      <c r="AI131" s="128" t="str">
        <f>IF(Tab.o1[[#This Row],[a1]]=1,1/Tab.o1[[#This Row],[PDF]],"")</f>
        <v/>
      </c>
      <c r="AJ131" s="131" t="str">
        <f>IF(Tab.o1[[#This Row],[a1]]=1,[1]!T_AA[[#This Row],[IN'']]*[1]!T_AA[[#This Row],[Qde'']],"")</f>
        <v/>
      </c>
      <c r="AK131" s="132" t="str">
        <f>IF(Tab.o1[[#This Row],[a1]]=1,IF(AK$1=1,Tab.o1[[#This Row],[MED]]+Tab.o1[[#This Row],[MOD]]-Tab.o1[[#This Row],[MED]],""),"")</f>
        <v/>
      </c>
      <c r="AL131" s="133" t="str">
        <f>IF(Tab.o1[[#This Row],[a1]]=1,[1]!T.in.A[[#This Row],[oo16]],"")</f>
        <v/>
      </c>
      <c r="AM131" s="133" t="str">
        <f>IF(Tab.o1[[#This Row],[a1]]=1,IF(AM$3=1,[1]!T.in.A[[#This Row],[Σo16]],""),"")</f>
        <v/>
      </c>
      <c r="AN131" s="126" t="str">
        <f>IF(Tab.o1[[#This Row],[a1]]=1,[1]!T.in.A[[#This Row],[Σp5]],"")</f>
        <v/>
      </c>
      <c r="AO131" s="126" t="str">
        <f>IF(Tab.o1[[#This Row],[a1]]=1,IF(AO$3=1,[1]!T.in.A[[#This Row],[Σp5]],""),"")</f>
        <v/>
      </c>
      <c r="AP131" s="110" t="str">
        <f>IF(Tab.o1[[#This Row],[a1]]=1,IF(ISNUMBER(Tab.o1[[#This Row],[i.]]),NORMDIST(Tab.o1[[#This Row],[Za]],0,1,FALSE)*Tab.o1[[#This Row],[i.]],0),"")</f>
        <v/>
      </c>
      <c r="AQ131" s="125" t="str">
        <f>IF(Tab.o1[[#This Row],[a1]]=1,ABS(Tab.o1[[#This Row],[MOD]]-AVERAGE(Tab.o1[MOD])),"")</f>
        <v/>
      </c>
      <c r="AR131" s="134" t="str">
        <f>IF(Tab.o1[[#This Row],[a1]]=1,Tab.o1[[#This Row],[OBS]]/SUM(Tab.o1[OBS]),"")</f>
        <v/>
      </c>
      <c r="AS131" s="135" t="str">
        <f>IF(ISNUMBER(Tab.o1[[#This Row],[a1]]),ROW()-4,"")</f>
        <v/>
      </c>
      <c r="AT131" s="136" t="str">
        <f>Tab.o1[[#This Row],[MOD]]</f>
        <v/>
      </c>
      <c r="AU131" s="137" t="str">
        <f t="shared" si="5"/>
        <v/>
      </c>
      <c r="AV131" s="138" t="str">
        <f t="shared" si="6"/>
        <v/>
      </c>
      <c r="AW131" s="138" t="str">
        <f t="shared" si="7"/>
        <v/>
      </c>
      <c r="AX131" s="139">
        <f>[1]!T.in.A[[#This Row],[ID_T_manu]]</f>
        <v>15</v>
      </c>
      <c r="AY131" s="140" t="str">
        <f>IF(ISNUMBER(Tab.o1[[#This Row],[a1]]),IF(AND(Tab.o1[[#This Row],[a1]]=1,Tab.o1[[#This Row],[b1]]&lt;=AY$4),#REF!,AY130),"")</f>
        <v/>
      </c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</row>
    <row r="132" spans="1:79" ht="14.25" hidden="1" customHeight="1">
      <c r="A132" s="109">
        <v>-5.0000000000000004E-6</v>
      </c>
      <c r="B132" s="110">
        <f t="shared" si="4"/>
        <v>132</v>
      </c>
      <c r="C132" s="111" t="str">
        <f>IF(C$1=[1]!T.in.A[[#This Row],[oo2]],1,"")</f>
        <v/>
      </c>
      <c r="D132" s="112" t="str">
        <f>IF(Tab.o1[[#This Row],[a1]]=1,IF(SUM(C132:C133)=0,0,IF(SUM(C131:C132)=1,1,IF(SUM(C131:C133)&gt;1,D131+1,0))),"")</f>
        <v/>
      </c>
      <c r="E132" s="113" t="str">
        <f>IF(Tab.o1[[#This Row],[a1]]=1,[1]!T.in.A[[#This Row],[oo1]],"")</f>
        <v/>
      </c>
      <c r="F132" s="113" t="str">
        <f>IF(Tab.o1[[#This Row],[a1]]=1,[1]!T.in.A[[#This Row],[pp1]],"")</f>
        <v/>
      </c>
      <c r="G132" s="114" t="str">
        <f>IF(Tab.o1[[#This Row],[a1]]=1,G$2+IF(G$1=1,0,Tab.o1[[#This Row],[.x1]])+[1]!T.in.A[[#This Row],[oo3]],"")</f>
        <v/>
      </c>
      <c r="H132" s="115" t="str">
        <f>IF(Tab.o1[[#This Row],[a1]]=1,IF(H$2=0,0,IF(G$1=1,0,Tab.o1[[#This Row],[.x1]])+[1]!T.in.A[[#This Row],[oo4]]),"")</f>
        <v/>
      </c>
      <c r="I132" s="116" t="str">
        <f>IF(Tab.o1[[#This Row],[a1]]=1,IF(J$2=0,Tab.o1[[#This Row],[MED]],Tab.o1[[#This Row],[MOD]]),"")</f>
        <v/>
      </c>
      <c r="J132" s="116" t="str">
        <f>IF(Tab.o1[[#This Row],[a1]]=1,((Tab.o1[[#This Row],[DIF_Target.]]-AVERAGE(Tab.o1[DIF_Target.]))/_xlfn.STDEV.P(Tab.o1[DIF_Target.])),"")</f>
        <v/>
      </c>
      <c r="K132" s="117" t="str">
        <f>IF(Tab.o1[[#This Row],[a1]]=1,IF(J$2=0,Tab.o1[[#This Row],[MOD]]-Tab.o1[[#This Row],[B]],IF(J$2=1,0,-Tab.o1[[#This Row],[MED]])+Tab.o1[[#This Row],[B]]),"")</f>
        <v/>
      </c>
      <c r="L132" s="117" t="str">
        <f ca="1">IF(Tab.o1[[#This Row],[DIF_Target]]=0,IF(L$2=0,Tab.o1[[#This Row],[DIF_Target]],AVERAGE(OFFSET(Tab.o1[[#This Row],[DIF_Target]],1,0,L$3,1)))/3,Tab.o1[[#This Row],[DIF_Target]])</f>
        <v/>
      </c>
      <c r="M132" s="118" t="str">
        <f>IF(Tab.o1[[#This Row],[a1]]=1,NORMSDIST(Tab.o1[[#This Row],[Za]]),"")</f>
        <v/>
      </c>
      <c r="N132" s="119" t="str">
        <f>IF(Tab.o1[[#This Row],[a1]]=1,((Tab.o1[[#This Row],[MedMod]]-AVERAGE(Tab.o1[MedMod]))/_xlfn.STDEV.P(Tab.o1[MedMod])*H$1205)+G$1205,"")</f>
        <v/>
      </c>
      <c r="O132" s="141" t="str">
        <f>IF(Tab.o1[[#This Row],[a1]]=1,Tab.o1[[#This Row],[Zb]]*_xlfn.STDEV.P(Tab.o1[MedMod])+AVERAGE(Tab.o1[MedMod]),"")</f>
        <v/>
      </c>
      <c r="P132" s="117" t="str">
        <f ca="1">IF(Tab.o1[[#This Row],[B]]=0,AVERAGE(OFFSET(Tab.o1[[#This Row],[B]],1,0,L$3,1)),Tab.o1[[#This Row],[B]])</f>
        <v/>
      </c>
      <c r="Q132" s="121" t="str">
        <f>IF(Tab.o1[[#This Row],[a1]]=1,NORMSDIST(Tab.o1[[#This Row],[Zb]]),"")</f>
        <v/>
      </c>
      <c r="R132" s="122" t="str">
        <f>IF(Tab.o1[[#This Row],[a1]]=1,((Tab.o1[[#This Row],[MedMod]]-AVERAGE(Tab.o1[MedMod]))/_xlfn.STDEV.P(Tab.o1[MedMod])*H$1203)+G$1203,"")</f>
        <v/>
      </c>
      <c r="S132" s="122" t="str">
        <f>IF(Tab.o1[[#This Row],[a1]]=1,((Tab.o1[[#This Row],[MedMod]]-AVERAGE(Tab.o1[MedMod]))/_xlfn.STDEV.P(Tab.o1[MedMod])*H$1204)+G$1204,"")</f>
        <v/>
      </c>
      <c r="T132" s="123" t="str">
        <f>IF(Tab.o1[[#This Row],[a1]]=1,Tab.o1[[#This Row],[Z-]]*_xlfn.STDEV.P(Tab.o1[B])+AVERAGE(Tab.o1[B]),"")</f>
        <v/>
      </c>
      <c r="U132" s="123" t="str">
        <f>IF(Tab.o1[[#This Row],[a1]]=1,Tab.o1[[#This Row],[z+]]*_xlfn.STDEV.P(Tab.o1[B])+AVERAGE(Tab.o1[B]),"")</f>
        <v/>
      </c>
      <c r="V132" s="124" t="str">
        <f>IF(Tab.o1[[#This Row],[a1]]=1,ABS((ABS(Tab.o1[[#This Row],[Red]]-Tab.o1[[#This Row],[Blue]]))),"")</f>
        <v/>
      </c>
      <c r="W132" s="125" t="str">
        <f>IF(Tab.o1[[#This Row],[a1]]=1,IF(W$3=0,1,Tab.o1[[#This Row],[Amp.]]*1/_xlfn.MINIFS(Tab.o1[Amp.],Tab.o1[Amp.],"&lt;&gt;0")),"")</f>
        <v/>
      </c>
      <c r="X132" s="126" t="str">
        <f>IF(Tab.o1[[#This Row],[a1]]=1,IF(ISNUMBER(Tab.o1[[#This Row],[i.]]),NORMDIST(Tab.o1[[#This Row],[Za]],0,1,FALSE)*Tab.o1[[#This Row],[i.]],AP$3),"")</f>
        <v/>
      </c>
      <c r="Y132" s="126" t="str">
        <f>IF(Tab.o1[[#This Row],[a1]]=1,0.01+0.94*Tab.o1[[#This Row],[PDF]]/MAX(Tab.o1[PDF]),"")</f>
        <v/>
      </c>
      <c r="Z132" s="126" t="str">
        <f>IF(Tab.o1[[#This Row],[a1]]=1,0.01+0.94*Tab.o1[[#This Row],[W1_PDF]]/MAX(Tab.o1[W1_PDF]),"")</f>
        <v/>
      </c>
      <c r="AA132" s="118" t="str">
        <f>IF(Tab.o1[[#This Row],[a1]]=1,ABS([1]!T.in.A[[#This Row],[oo6]]),"")</f>
        <v/>
      </c>
      <c r="AB132" s="127" t="str">
        <f>IF(Tab.o1[[#This Row],[a1]]=1,IF(AE$3=0,"",IF(AB$3=0,ABS([1]!T.in.A[[#This Row],[oo9]]),ABS(Tab.o1[[#This Row],[DIF_Target.]]*Tab.o1[[#This Row],[W1_PDF]]))),"")</f>
        <v/>
      </c>
      <c r="AC132" s="127" t="str">
        <f>IF(G$1=1,"",IF(Tab.o1[[#This Row],[a1]]=1,Tab.o1[[#This Row],[Wr]]^2,""))</f>
        <v/>
      </c>
      <c r="AD132" s="118" t="str">
        <f>IF(Tab.o1[[#This Row],[a1]]=1,IF(AE$3=0,"",Tab.o1[[#This Row],[Wr2]]/SUM(Tab.o1[Wr2])),"")</f>
        <v/>
      </c>
      <c r="AE132" s="128" t="str">
        <f>IF(Tab.o1[[#This Row],[a1]]=1,[1]!T.in.A[[#This Row],[oo10]],"")</f>
        <v/>
      </c>
      <c r="AF132" s="118" t="str">
        <f>IF(Tab.o1[[#This Row],[a1]]=1,ABS(Tab.o1[[#This Row],[DIF_Target.]]*Tab.o1[[#This Row],[PDF2]]*Tab.o1[[#This Row],[IN]]),"")</f>
        <v/>
      </c>
      <c r="AG132" s="129" t="str">
        <f>IF(Tab.o1[[#This Row],[a1]]=1,Tab.o1[[#This Row],[rW]]^2,"")</f>
        <v/>
      </c>
      <c r="AH132" s="130" t="str">
        <f>IF(Tab.o1[[#This Row],[a1]]=1,IF(AH$3=0,Tab.o1[[#This Row],[rW2]],0.01+0.94*Tab.o1[[#This Row],[rW2]]/SUM(Tab.o1[rW2])),"")</f>
        <v/>
      </c>
      <c r="AI132" s="128" t="str">
        <f>IF(Tab.o1[[#This Row],[a1]]=1,1/Tab.o1[[#This Row],[PDF]],"")</f>
        <v/>
      </c>
      <c r="AJ132" s="131" t="str">
        <f>IF(Tab.o1[[#This Row],[a1]]=1,[1]!T_AA[[#This Row],[IN'']]*[1]!T_AA[[#This Row],[Qde'']],"")</f>
        <v/>
      </c>
      <c r="AK132" s="132" t="str">
        <f>IF(Tab.o1[[#This Row],[a1]]=1,IF(AK$1=1,Tab.o1[[#This Row],[MED]]+Tab.o1[[#This Row],[MOD]]-Tab.o1[[#This Row],[MED]],""),"")</f>
        <v/>
      </c>
      <c r="AL132" s="133" t="str">
        <f>IF(Tab.o1[[#This Row],[a1]]=1,[1]!T.in.A[[#This Row],[oo16]],"")</f>
        <v/>
      </c>
      <c r="AM132" s="133" t="str">
        <f>IF(Tab.o1[[#This Row],[a1]]=1,IF(AM$3=1,[1]!T.in.A[[#This Row],[Σo16]],""),"")</f>
        <v/>
      </c>
      <c r="AN132" s="126" t="str">
        <f>IF(Tab.o1[[#This Row],[a1]]=1,[1]!T.in.A[[#This Row],[Σp5]],"")</f>
        <v/>
      </c>
      <c r="AO132" s="126" t="str">
        <f>IF(Tab.o1[[#This Row],[a1]]=1,IF(AO$3=1,[1]!T.in.A[[#This Row],[Σp5]],""),"")</f>
        <v/>
      </c>
      <c r="AP132" s="110" t="str">
        <f>IF(Tab.o1[[#This Row],[a1]]=1,IF(ISNUMBER(Tab.o1[[#This Row],[i.]]),NORMDIST(Tab.o1[[#This Row],[Za]],0,1,FALSE)*Tab.o1[[#This Row],[i.]],0),"")</f>
        <v/>
      </c>
      <c r="AQ132" s="125" t="str">
        <f>IF(Tab.o1[[#This Row],[a1]]=1,ABS(Tab.o1[[#This Row],[MOD]]-AVERAGE(Tab.o1[MOD])),"")</f>
        <v/>
      </c>
      <c r="AR132" s="134" t="str">
        <f>IF(Tab.o1[[#This Row],[a1]]=1,Tab.o1[[#This Row],[OBS]]/SUM(Tab.o1[OBS]),"")</f>
        <v/>
      </c>
      <c r="AS132" s="135" t="str">
        <f>IF(ISNUMBER(Tab.o1[[#This Row],[a1]]),ROW()-4,"")</f>
        <v/>
      </c>
      <c r="AT132" s="136" t="str">
        <f>Tab.o1[[#This Row],[MOD]]</f>
        <v/>
      </c>
      <c r="AU132" s="137" t="str">
        <f t="shared" si="5"/>
        <v/>
      </c>
      <c r="AV132" s="138" t="str">
        <f t="shared" si="6"/>
        <v/>
      </c>
      <c r="AW132" s="138" t="str">
        <f t="shared" si="7"/>
        <v/>
      </c>
      <c r="AX132" s="139" t="str">
        <f>[1]!T.in.A[[#This Row],[ID_T_manu]]</f>
        <v/>
      </c>
      <c r="AY132" s="140" t="str">
        <f>IF(ISNUMBER(Tab.o1[[#This Row],[a1]]),IF(AND(Tab.o1[[#This Row],[a1]]=1,Tab.o1[[#This Row],[b1]]&lt;=AY$4),#REF!,AY131),"")</f>
        <v/>
      </c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</row>
    <row r="133" spans="1:79" ht="14.25" hidden="1" customHeight="1">
      <c r="A133" s="109">
        <v>9.0000000000000002E-6</v>
      </c>
      <c r="B133" s="110">
        <f t="shared" si="4"/>
        <v>133</v>
      </c>
      <c r="C133" s="111" t="str">
        <f>IF(C$1=[1]!T.in.A[[#This Row],[oo2]],1,"")</f>
        <v/>
      </c>
      <c r="D133" s="112" t="str">
        <f>IF(Tab.o1[[#This Row],[a1]]=1,IF(SUM(C133:C134)=0,0,IF(SUM(C132:C133)=1,1,IF(SUM(C132:C134)&gt;1,D132+1,0))),"")</f>
        <v/>
      </c>
      <c r="E133" s="113" t="str">
        <f>IF(Tab.o1[[#This Row],[a1]]=1,[1]!T.in.A[[#This Row],[oo1]],"")</f>
        <v/>
      </c>
      <c r="F133" s="113" t="str">
        <f>IF(Tab.o1[[#This Row],[a1]]=1,[1]!T.in.A[[#This Row],[pp1]],"")</f>
        <v/>
      </c>
      <c r="G133" s="114" t="str">
        <f>IF(Tab.o1[[#This Row],[a1]]=1,G$2+IF(G$1=1,0,Tab.o1[[#This Row],[.x1]])+[1]!T.in.A[[#This Row],[oo3]],"")</f>
        <v/>
      </c>
      <c r="H133" s="115" t="str">
        <f>IF(Tab.o1[[#This Row],[a1]]=1,IF(H$2=0,0,IF(G$1=1,0,Tab.o1[[#This Row],[.x1]])+[1]!T.in.A[[#This Row],[oo4]]),"")</f>
        <v/>
      </c>
      <c r="I133" s="116" t="str">
        <f>IF(Tab.o1[[#This Row],[a1]]=1,IF(J$2=0,Tab.o1[[#This Row],[MED]],Tab.o1[[#This Row],[MOD]]),"")</f>
        <v/>
      </c>
      <c r="J133" s="116" t="str">
        <f>IF(Tab.o1[[#This Row],[a1]]=1,((Tab.o1[[#This Row],[DIF_Target.]]-AVERAGE(Tab.o1[DIF_Target.]))/_xlfn.STDEV.P(Tab.o1[DIF_Target.])),"")</f>
        <v/>
      </c>
      <c r="K133" s="117" t="str">
        <f>IF(Tab.o1[[#This Row],[a1]]=1,IF(J$2=0,Tab.o1[[#This Row],[MOD]]-Tab.o1[[#This Row],[B]],IF(J$2=1,0,-Tab.o1[[#This Row],[MED]])+Tab.o1[[#This Row],[B]]),"")</f>
        <v/>
      </c>
      <c r="L133" s="117" t="str">
        <f ca="1">IF(Tab.o1[[#This Row],[DIF_Target]]=0,IF(L$2=0,Tab.o1[[#This Row],[DIF_Target]],AVERAGE(OFFSET(Tab.o1[[#This Row],[DIF_Target]],1,0,L$3,1)))/3,Tab.o1[[#This Row],[DIF_Target]])</f>
        <v/>
      </c>
      <c r="M133" s="118" t="str">
        <f>IF(Tab.o1[[#This Row],[a1]]=1,NORMSDIST(Tab.o1[[#This Row],[Za]]),"")</f>
        <v/>
      </c>
      <c r="N133" s="119" t="str">
        <f>IF(Tab.o1[[#This Row],[a1]]=1,((Tab.o1[[#This Row],[MedMod]]-AVERAGE(Tab.o1[MedMod]))/_xlfn.STDEV.P(Tab.o1[MedMod])*H$1205)+G$1205,"")</f>
        <v/>
      </c>
      <c r="O133" s="141" t="str">
        <f>IF(Tab.o1[[#This Row],[a1]]=1,Tab.o1[[#This Row],[Zb]]*_xlfn.STDEV.P(Tab.o1[MedMod])+AVERAGE(Tab.o1[MedMod]),"")</f>
        <v/>
      </c>
      <c r="P133" s="117" t="str">
        <f ca="1">IF(Tab.o1[[#This Row],[B]]=0,AVERAGE(OFFSET(Tab.o1[[#This Row],[B]],1,0,L$3,1)),Tab.o1[[#This Row],[B]])</f>
        <v/>
      </c>
      <c r="Q133" s="121" t="str">
        <f>IF(Tab.o1[[#This Row],[a1]]=1,NORMSDIST(Tab.o1[[#This Row],[Zb]]),"")</f>
        <v/>
      </c>
      <c r="R133" s="122" t="str">
        <f>IF(Tab.o1[[#This Row],[a1]]=1,((Tab.o1[[#This Row],[MedMod]]-AVERAGE(Tab.o1[MedMod]))/_xlfn.STDEV.P(Tab.o1[MedMod])*H$1203)+G$1203,"")</f>
        <v/>
      </c>
      <c r="S133" s="122" t="str">
        <f>IF(Tab.o1[[#This Row],[a1]]=1,((Tab.o1[[#This Row],[MedMod]]-AVERAGE(Tab.o1[MedMod]))/_xlfn.STDEV.P(Tab.o1[MedMod])*H$1204)+G$1204,"")</f>
        <v/>
      </c>
      <c r="T133" s="123" t="str">
        <f>IF(Tab.o1[[#This Row],[a1]]=1,Tab.o1[[#This Row],[Z-]]*_xlfn.STDEV.P(Tab.o1[B])+AVERAGE(Tab.o1[B]),"")</f>
        <v/>
      </c>
      <c r="U133" s="123" t="str">
        <f>IF(Tab.o1[[#This Row],[a1]]=1,Tab.o1[[#This Row],[z+]]*_xlfn.STDEV.P(Tab.o1[B])+AVERAGE(Tab.o1[B]),"")</f>
        <v/>
      </c>
      <c r="V133" s="124" t="str">
        <f>IF(Tab.o1[[#This Row],[a1]]=1,ABS((ABS(Tab.o1[[#This Row],[Red]]-Tab.o1[[#This Row],[Blue]]))),"")</f>
        <v/>
      </c>
      <c r="W133" s="125" t="str">
        <f>IF(Tab.o1[[#This Row],[a1]]=1,IF(W$3=0,1,Tab.o1[[#This Row],[Amp.]]*1/_xlfn.MINIFS(Tab.o1[Amp.],Tab.o1[Amp.],"&lt;&gt;0")),"")</f>
        <v/>
      </c>
      <c r="X133" s="126" t="str">
        <f>IF(Tab.o1[[#This Row],[a1]]=1,IF(ISNUMBER(Tab.o1[[#This Row],[i.]]),NORMDIST(Tab.o1[[#This Row],[Za]],0,1,FALSE)*Tab.o1[[#This Row],[i.]],AP$3),"")</f>
        <v/>
      </c>
      <c r="Y133" s="126" t="str">
        <f>IF(Tab.o1[[#This Row],[a1]]=1,0.01+0.94*Tab.o1[[#This Row],[PDF]]/MAX(Tab.o1[PDF]),"")</f>
        <v/>
      </c>
      <c r="Z133" s="126" t="str">
        <f>IF(Tab.o1[[#This Row],[a1]]=1,0.01+0.94*Tab.o1[[#This Row],[W1_PDF]]/MAX(Tab.o1[W1_PDF]),"")</f>
        <v/>
      </c>
      <c r="AA133" s="118" t="str">
        <f>IF(Tab.o1[[#This Row],[a1]]=1,ABS([1]!T.in.A[[#This Row],[oo6]]),"")</f>
        <v/>
      </c>
      <c r="AB133" s="127" t="str">
        <f>IF(Tab.o1[[#This Row],[a1]]=1,IF(AE$3=0,"",IF(AB$3=0,ABS([1]!T.in.A[[#This Row],[oo9]]),ABS(Tab.o1[[#This Row],[DIF_Target.]]*Tab.o1[[#This Row],[W1_PDF]]))),"")</f>
        <v/>
      </c>
      <c r="AC133" s="127" t="str">
        <f>IF(G$1=1,"",IF(Tab.o1[[#This Row],[a1]]=1,Tab.o1[[#This Row],[Wr]]^2,""))</f>
        <v/>
      </c>
      <c r="AD133" s="118" t="str">
        <f>IF(Tab.o1[[#This Row],[a1]]=1,IF(AE$3=0,"",Tab.o1[[#This Row],[Wr2]]/SUM(Tab.o1[Wr2])),"")</f>
        <v/>
      </c>
      <c r="AE133" s="128" t="str">
        <f>IF(Tab.o1[[#This Row],[a1]]=1,[1]!T.in.A[[#This Row],[oo10]],"")</f>
        <v/>
      </c>
      <c r="AF133" s="118" t="str">
        <f>IF(Tab.o1[[#This Row],[a1]]=1,ABS(Tab.o1[[#This Row],[DIF_Target.]]*Tab.o1[[#This Row],[PDF2]]*Tab.o1[[#This Row],[IN]]),"")</f>
        <v/>
      </c>
      <c r="AG133" s="129" t="str">
        <f>IF(Tab.o1[[#This Row],[a1]]=1,Tab.o1[[#This Row],[rW]]^2,"")</f>
        <v/>
      </c>
      <c r="AH133" s="130" t="str">
        <f>IF(Tab.o1[[#This Row],[a1]]=1,IF(AH$3=0,Tab.o1[[#This Row],[rW2]],0.01+0.94*Tab.o1[[#This Row],[rW2]]/SUM(Tab.o1[rW2])),"")</f>
        <v/>
      </c>
      <c r="AI133" s="128" t="str">
        <f>IF(Tab.o1[[#This Row],[a1]]=1,1/Tab.o1[[#This Row],[PDF]],"")</f>
        <v/>
      </c>
      <c r="AJ133" s="131" t="str">
        <f>IF(Tab.o1[[#This Row],[a1]]=1,[1]!T_AA[[#This Row],[IN'']]*[1]!T_AA[[#This Row],[Qde'']],"")</f>
        <v/>
      </c>
      <c r="AK133" s="132" t="str">
        <f>IF(Tab.o1[[#This Row],[a1]]=1,IF(AK$1=1,Tab.o1[[#This Row],[MED]]+Tab.o1[[#This Row],[MOD]]-Tab.o1[[#This Row],[MED]],""),"")</f>
        <v/>
      </c>
      <c r="AL133" s="133" t="str">
        <f>IF(Tab.o1[[#This Row],[a1]]=1,[1]!T.in.A[[#This Row],[oo16]],"")</f>
        <v/>
      </c>
      <c r="AM133" s="133" t="str">
        <f>IF(Tab.o1[[#This Row],[a1]]=1,IF(AM$3=1,[1]!T.in.A[[#This Row],[Σo16]],""),"")</f>
        <v/>
      </c>
      <c r="AN133" s="126" t="str">
        <f>IF(Tab.o1[[#This Row],[a1]]=1,[1]!T.in.A[[#This Row],[Σp5]],"")</f>
        <v/>
      </c>
      <c r="AO133" s="126" t="str">
        <f>IF(Tab.o1[[#This Row],[a1]]=1,IF(AO$3=1,[1]!T.in.A[[#This Row],[Σp5]],""),"")</f>
        <v/>
      </c>
      <c r="AP133" s="110" t="str">
        <f>IF(Tab.o1[[#This Row],[a1]]=1,IF(ISNUMBER(Tab.o1[[#This Row],[i.]]),NORMDIST(Tab.o1[[#This Row],[Za]],0,1,FALSE)*Tab.o1[[#This Row],[i.]],0),"")</f>
        <v/>
      </c>
      <c r="AQ133" s="125" t="str">
        <f>IF(Tab.o1[[#This Row],[a1]]=1,ABS(Tab.o1[[#This Row],[MOD]]-AVERAGE(Tab.o1[MOD])),"")</f>
        <v/>
      </c>
      <c r="AR133" s="134" t="str">
        <f>IF(Tab.o1[[#This Row],[a1]]=1,Tab.o1[[#This Row],[OBS]]/SUM(Tab.o1[OBS]),"")</f>
        <v/>
      </c>
      <c r="AS133" s="135" t="str">
        <f>IF(ISNUMBER(Tab.o1[[#This Row],[a1]]),ROW()-4,"")</f>
        <v/>
      </c>
      <c r="AT133" s="136" t="str">
        <f>Tab.o1[[#This Row],[MOD]]</f>
        <v/>
      </c>
      <c r="AU133" s="137" t="str">
        <f t="shared" si="5"/>
        <v/>
      </c>
      <c r="AV133" s="138" t="str">
        <f t="shared" si="6"/>
        <v/>
      </c>
      <c r="AW133" s="138" t="str">
        <f t="shared" si="7"/>
        <v/>
      </c>
      <c r="AX133" s="139" t="str">
        <f>[1]!T.in.A[[#This Row],[ID_T_manu]]</f>
        <v/>
      </c>
      <c r="AY133" s="140" t="str">
        <f>IF(ISNUMBER(Tab.o1[[#This Row],[a1]]),IF(AND(Tab.o1[[#This Row],[a1]]=1,Tab.o1[[#This Row],[b1]]&lt;=AY$4),#REF!,AY132),"")</f>
        <v/>
      </c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</row>
    <row r="134" spans="1:79" ht="14.25" hidden="1" customHeight="1">
      <c r="A134" s="109">
        <v>9.0000000000000002E-6</v>
      </c>
      <c r="B134" s="110">
        <f t="shared" ref="B134:B197" si="8">B133+1</f>
        <v>134</v>
      </c>
      <c r="C134" s="111" t="str">
        <f>IF(C$1=[1]!T.in.A[[#This Row],[oo2]],1,"")</f>
        <v/>
      </c>
      <c r="D134" s="112" t="str">
        <f>IF(Tab.o1[[#This Row],[a1]]=1,IF(SUM(C134:C135)=0,0,IF(SUM(C133:C134)=1,1,IF(SUM(C133:C135)&gt;1,D133+1,0))),"")</f>
        <v/>
      </c>
      <c r="E134" s="113" t="str">
        <f>IF(Tab.o1[[#This Row],[a1]]=1,[1]!T.in.A[[#This Row],[oo1]],"")</f>
        <v/>
      </c>
      <c r="F134" s="113" t="str">
        <f>IF(Tab.o1[[#This Row],[a1]]=1,[1]!T.in.A[[#This Row],[pp1]],"")</f>
        <v/>
      </c>
      <c r="G134" s="114" t="str">
        <f>IF(Tab.o1[[#This Row],[a1]]=1,G$2+IF(G$1=1,0,Tab.o1[[#This Row],[.x1]])+[1]!T.in.A[[#This Row],[oo3]],"")</f>
        <v/>
      </c>
      <c r="H134" s="115" t="str">
        <f>IF(Tab.o1[[#This Row],[a1]]=1,IF(H$2=0,0,IF(G$1=1,0,Tab.o1[[#This Row],[.x1]])+[1]!T.in.A[[#This Row],[oo4]]),"")</f>
        <v/>
      </c>
      <c r="I134" s="116" t="str">
        <f>IF(Tab.o1[[#This Row],[a1]]=1,IF(J$2=0,Tab.o1[[#This Row],[MED]],Tab.o1[[#This Row],[MOD]]),"")</f>
        <v/>
      </c>
      <c r="J134" s="116" t="str">
        <f>IF(Tab.o1[[#This Row],[a1]]=1,((Tab.o1[[#This Row],[DIF_Target.]]-AVERAGE(Tab.o1[DIF_Target.]))/_xlfn.STDEV.P(Tab.o1[DIF_Target.])),"")</f>
        <v/>
      </c>
      <c r="K134" s="117" t="str">
        <f>IF(Tab.o1[[#This Row],[a1]]=1,IF(J$2=0,Tab.o1[[#This Row],[MOD]]-Tab.o1[[#This Row],[B]],IF(J$2=1,0,-Tab.o1[[#This Row],[MED]])+Tab.o1[[#This Row],[B]]),"")</f>
        <v/>
      </c>
      <c r="L134" s="117" t="str">
        <f ca="1">IF(Tab.o1[[#This Row],[DIF_Target]]=0,IF(L$2=0,Tab.o1[[#This Row],[DIF_Target]],AVERAGE(OFFSET(Tab.o1[[#This Row],[DIF_Target]],1,0,L$3,1)))/3,Tab.o1[[#This Row],[DIF_Target]])</f>
        <v/>
      </c>
      <c r="M134" s="118" t="str">
        <f>IF(Tab.o1[[#This Row],[a1]]=1,NORMSDIST(Tab.o1[[#This Row],[Za]]),"")</f>
        <v/>
      </c>
      <c r="N134" s="119" t="str">
        <f>IF(Tab.o1[[#This Row],[a1]]=1,((Tab.o1[[#This Row],[MedMod]]-AVERAGE(Tab.o1[MedMod]))/_xlfn.STDEV.P(Tab.o1[MedMod])*H$1205)+G$1205,"")</f>
        <v/>
      </c>
      <c r="O134" s="141" t="str">
        <f>IF(Tab.o1[[#This Row],[a1]]=1,Tab.o1[[#This Row],[Zb]]*_xlfn.STDEV.P(Tab.o1[MedMod])+AVERAGE(Tab.o1[MedMod]),"")</f>
        <v/>
      </c>
      <c r="P134" s="117" t="str">
        <f ca="1">IF(Tab.o1[[#This Row],[B]]=0,AVERAGE(OFFSET(Tab.o1[[#This Row],[B]],1,0,L$3,1)),Tab.o1[[#This Row],[B]])</f>
        <v/>
      </c>
      <c r="Q134" s="121" t="str">
        <f>IF(Tab.o1[[#This Row],[a1]]=1,NORMSDIST(Tab.o1[[#This Row],[Zb]]),"")</f>
        <v/>
      </c>
      <c r="R134" s="122" t="str">
        <f>IF(Tab.o1[[#This Row],[a1]]=1,((Tab.o1[[#This Row],[MedMod]]-AVERAGE(Tab.o1[MedMod]))/_xlfn.STDEV.P(Tab.o1[MedMod])*H$1203)+G$1203,"")</f>
        <v/>
      </c>
      <c r="S134" s="122" t="str">
        <f>IF(Tab.o1[[#This Row],[a1]]=1,((Tab.o1[[#This Row],[MedMod]]-AVERAGE(Tab.o1[MedMod]))/_xlfn.STDEV.P(Tab.o1[MedMod])*H$1204)+G$1204,"")</f>
        <v/>
      </c>
      <c r="T134" s="123" t="str">
        <f>IF(Tab.o1[[#This Row],[a1]]=1,Tab.o1[[#This Row],[Z-]]*_xlfn.STDEV.P(Tab.o1[B])+AVERAGE(Tab.o1[B]),"")</f>
        <v/>
      </c>
      <c r="U134" s="123" t="str">
        <f>IF(Tab.o1[[#This Row],[a1]]=1,Tab.o1[[#This Row],[z+]]*_xlfn.STDEV.P(Tab.o1[B])+AVERAGE(Tab.o1[B]),"")</f>
        <v/>
      </c>
      <c r="V134" s="124" t="str">
        <f>IF(Tab.o1[[#This Row],[a1]]=1,ABS((ABS(Tab.o1[[#This Row],[Red]]-Tab.o1[[#This Row],[Blue]]))),"")</f>
        <v/>
      </c>
      <c r="W134" s="125" t="str">
        <f>IF(Tab.o1[[#This Row],[a1]]=1,IF(W$3=0,1,Tab.o1[[#This Row],[Amp.]]*1/_xlfn.MINIFS(Tab.o1[Amp.],Tab.o1[Amp.],"&lt;&gt;0")),"")</f>
        <v/>
      </c>
      <c r="X134" s="126" t="str">
        <f>IF(Tab.o1[[#This Row],[a1]]=1,IF(ISNUMBER(Tab.o1[[#This Row],[i.]]),NORMDIST(Tab.o1[[#This Row],[Za]],0,1,FALSE)*Tab.o1[[#This Row],[i.]],AP$3),"")</f>
        <v/>
      </c>
      <c r="Y134" s="126" t="str">
        <f>IF(Tab.o1[[#This Row],[a1]]=1,0.01+0.94*Tab.o1[[#This Row],[PDF]]/MAX(Tab.o1[PDF]),"")</f>
        <v/>
      </c>
      <c r="Z134" s="126" t="str">
        <f>IF(Tab.o1[[#This Row],[a1]]=1,0.01+0.94*Tab.o1[[#This Row],[W1_PDF]]/MAX(Tab.o1[W1_PDF]),"")</f>
        <v/>
      </c>
      <c r="AA134" s="118" t="str">
        <f>IF(Tab.o1[[#This Row],[a1]]=1,ABS([1]!T.in.A[[#This Row],[oo6]]),"")</f>
        <v/>
      </c>
      <c r="AB134" s="127" t="str">
        <f>IF(Tab.o1[[#This Row],[a1]]=1,IF(AE$3=0,"",IF(AB$3=0,ABS([1]!T.in.A[[#This Row],[oo9]]),ABS(Tab.o1[[#This Row],[DIF_Target.]]*Tab.o1[[#This Row],[W1_PDF]]))),"")</f>
        <v/>
      </c>
      <c r="AC134" s="127" t="str">
        <f>IF(G$1=1,"",IF(Tab.o1[[#This Row],[a1]]=1,Tab.o1[[#This Row],[Wr]]^2,""))</f>
        <v/>
      </c>
      <c r="AD134" s="118" t="str">
        <f>IF(Tab.o1[[#This Row],[a1]]=1,IF(AE$3=0,"",Tab.o1[[#This Row],[Wr2]]/SUM(Tab.o1[Wr2])),"")</f>
        <v/>
      </c>
      <c r="AE134" s="128" t="str">
        <f>IF(Tab.o1[[#This Row],[a1]]=1,[1]!T.in.A[[#This Row],[oo10]],"")</f>
        <v/>
      </c>
      <c r="AF134" s="118" t="str">
        <f>IF(Tab.o1[[#This Row],[a1]]=1,ABS(Tab.o1[[#This Row],[DIF_Target.]]*Tab.o1[[#This Row],[PDF2]]*Tab.o1[[#This Row],[IN]]),"")</f>
        <v/>
      </c>
      <c r="AG134" s="129" t="str">
        <f>IF(Tab.o1[[#This Row],[a1]]=1,Tab.o1[[#This Row],[rW]]^2,"")</f>
        <v/>
      </c>
      <c r="AH134" s="130" t="str">
        <f>IF(Tab.o1[[#This Row],[a1]]=1,IF(AH$3=0,Tab.o1[[#This Row],[rW2]],0.01+0.94*Tab.o1[[#This Row],[rW2]]/SUM(Tab.o1[rW2])),"")</f>
        <v/>
      </c>
      <c r="AI134" s="128" t="str">
        <f>IF(Tab.o1[[#This Row],[a1]]=1,1/Tab.o1[[#This Row],[PDF]],"")</f>
        <v/>
      </c>
      <c r="AJ134" s="131" t="str">
        <f>IF(Tab.o1[[#This Row],[a1]]=1,[1]!T_AA[[#This Row],[IN'']]*[1]!T_AA[[#This Row],[Qde'']],"")</f>
        <v/>
      </c>
      <c r="AK134" s="132" t="str">
        <f>IF(Tab.o1[[#This Row],[a1]]=1,IF(AK$1=1,Tab.o1[[#This Row],[MED]]+Tab.o1[[#This Row],[MOD]]-Tab.o1[[#This Row],[MED]],""),"")</f>
        <v/>
      </c>
      <c r="AL134" s="133" t="str">
        <f>IF(Tab.o1[[#This Row],[a1]]=1,[1]!T.in.A[[#This Row],[oo16]],"")</f>
        <v/>
      </c>
      <c r="AM134" s="133" t="str">
        <f>IF(Tab.o1[[#This Row],[a1]]=1,IF(AM$3=1,[1]!T.in.A[[#This Row],[Σo16]],""),"")</f>
        <v/>
      </c>
      <c r="AN134" s="126" t="str">
        <f>IF(Tab.o1[[#This Row],[a1]]=1,[1]!T.in.A[[#This Row],[Σp5]],"")</f>
        <v/>
      </c>
      <c r="AO134" s="126" t="str">
        <f>IF(Tab.o1[[#This Row],[a1]]=1,IF(AO$3=1,[1]!T.in.A[[#This Row],[Σp5]],""),"")</f>
        <v/>
      </c>
      <c r="AP134" s="110" t="str">
        <f>IF(Tab.o1[[#This Row],[a1]]=1,IF(ISNUMBER(Tab.o1[[#This Row],[i.]]),NORMDIST(Tab.o1[[#This Row],[Za]],0,1,FALSE)*Tab.o1[[#This Row],[i.]],0),"")</f>
        <v/>
      </c>
      <c r="AQ134" s="125" t="str">
        <f>IF(Tab.o1[[#This Row],[a1]]=1,ABS(Tab.o1[[#This Row],[MOD]]-AVERAGE(Tab.o1[MOD])),"")</f>
        <v/>
      </c>
      <c r="AR134" s="134" t="str">
        <f>IF(Tab.o1[[#This Row],[a1]]=1,Tab.o1[[#This Row],[OBS]]/SUM(Tab.o1[OBS]),"")</f>
        <v/>
      </c>
      <c r="AS134" s="135" t="str">
        <f>IF(ISNUMBER(Tab.o1[[#This Row],[a1]]),ROW()-4,"")</f>
        <v/>
      </c>
      <c r="AT134" s="136" t="str">
        <f>Tab.o1[[#This Row],[MOD]]</f>
        <v/>
      </c>
      <c r="AU134" s="137" t="str">
        <f t="shared" ref="AU134:AU197" si="9">AT134</f>
        <v/>
      </c>
      <c r="AV134" s="138" t="str">
        <f t="shared" ref="AV134:AV197" si="10">IF(AND(ISNUMBER(AT134),ISNUMBER(AU134)),H134-AU134,"")</f>
        <v/>
      </c>
      <c r="AW134" s="138" t="str">
        <f t="shared" ref="AW134:AW197" si="11">IF(AW$4=0,"",IF(AV134&lt;AV$2,AV134," "))</f>
        <v/>
      </c>
      <c r="AX134" s="139" t="str">
        <f>[1]!T.in.A[[#This Row],[ID_T_manu]]</f>
        <v/>
      </c>
      <c r="AY134" s="140" t="str">
        <f>IF(ISNUMBER(Tab.o1[[#This Row],[a1]]),IF(AND(Tab.o1[[#This Row],[a1]]=1,Tab.o1[[#This Row],[b1]]&lt;=AY$4),#REF!,AY133),"")</f>
        <v/>
      </c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</row>
    <row r="135" spans="1:79" ht="14.25" hidden="1" customHeight="1">
      <c r="A135" s="109">
        <v>-9.0000000000000002E-6</v>
      </c>
      <c r="B135" s="110">
        <f t="shared" si="8"/>
        <v>135</v>
      </c>
      <c r="C135" s="111" t="str">
        <f>IF(C$1=[1]!T.in.A[[#This Row],[oo2]],1,"")</f>
        <v/>
      </c>
      <c r="D135" s="112" t="str">
        <f>IF(Tab.o1[[#This Row],[a1]]=1,IF(SUM(C135:C136)=0,0,IF(SUM(C134:C135)=1,1,IF(SUM(C134:C136)&gt;1,D134+1,0))),"")</f>
        <v/>
      </c>
      <c r="E135" s="113" t="str">
        <f>IF(Tab.o1[[#This Row],[a1]]=1,[1]!T.in.A[[#This Row],[oo1]],"")</f>
        <v/>
      </c>
      <c r="F135" s="113" t="str">
        <f>IF(Tab.o1[[#This Row],[a1]]=1,[1]!T.in.A[[#This Row],[pp1]],"")</f>
        <v/>
      </c>
      <c r="G135" s="114" t="str">
        <f>IF(Tab.o1[[#This Row],[a1]]=1,G$2+IF(G$1=1,0,Tab.o1[[#This Row],[.x1]])+[1]!T.in.A[[#This Row],[oo3]],"")</f>
        <v/>
      </c>
      <c r="H135" s="115" t="str">
        <f>IF(Tab.o1[[#This Row],[a1]]=1,IF(H$2=0,0,IF(G$1=1,0,Tab.o1[[#This Row],[.x1]])+[1]!T.in.A[[#This Row],[oo4]]),"")</f>
        <v/>
      </c>
      <c r="I135" s="116" t="str">
        <f>IF(Tab.o1[[#This Row],[a1]]=1,IF(J$2=0,Tab.o1[[#This Row],[MED]],Tab.o1[[#This Row],[MOD]]),"")</f>
        <v/>
      </c>
      <c r="J135" s="116" t="str">
        <f>IF(Tab.o1[[#This Row],[a1]]=1,((Tab.o1[[#This Row],[DIF_Target.]]-AVERAGE(Tab.o1[DIF_Target.]))/_xlfn.STDEV.P(Tab.o1[DIF_Target.])),"")</f>
        <v/>
      </c>
      <c r="K135" s="117" t="str">
        <f>IF(Tab.o1[[#This Row],[a1]]=1,IF(J$2=0,Tab.o1[[#This Row],[MOD]]-Tab.o1[[#This Row],[B]],IF(J$2=1,0,-Tab.o1[[#This Row],[MED]])+Tab.o1[[#This Row],[B]]),"")</f>
        <v/>
      </c>
      <c r="L135" s="117" t="str">
        <f ca="1">IF(Tab.o1[[#This Row],[DIF_Target]]=0,IF(L$2=0,Tab.o1[[#This Row],[DIF_Target]],AVERAGE(OFFSET(Tab.o1[[#This Row],[DIF_Target]],1,0,L$3,1)))/3,Tab.o1[[#This Row],[DIF_Target]])</f>
        <v/>
      </c>
      <c r="M135" s="118" t="str">
        <f>IF(Tab.o1[[#This Row],[a1]]=1,NORMSDIST(Tab.o1[[#This Row],[Za]]),"")</f>
        <v/>
      </c>
      <c r="N135" s="119" t="str">
        <f>IF(Tab.o1[[#This Row],[a1]]=1,((Tab.o1[[#This Row],[MedMod]]-AVERAGE(Tab.o1[MedMod]))/_xlfn.STDEV.P(Tab.o1[MedMod])*H$1205)+G$1205,"")</f>
        <v/>
      </c>
      <c r="O135" s="141" t="str">
        <f>IF(Tab.o1[[#This Row],[a1]]=1,Tab.o1[[#This Row],[Zb]]*_xlfn.STDEV.P(Tab.o1[MedMod])+AVERAGE(Tab.o1[MedMod]),"")</f>
        <v/>
      </c>
      <c r="P135" s="117" t="str">
        <f ca="1">IF(Tab.o1[[#This Row],[B]]=0,AVERAGE(OFFSET(Tab.o1[[#This Row],[B]],1,0,L$3,1)),Tab.o1[[#This Row],[B]])</f>
        <v/>
      </c>
      <c r="Q135" s="121" t="str">
        <f>IF(Tab.o1[[#This Row],[a1]]=1,NORMSDIST(Tab.o1[[#This Row],[Zb]]),"")</f>
        <v/>
      </c>
      <c r="R135" s="122" t="str">
        <f>IF(Tab.o1[[#This Row],[a1]]=1,((Tab.o1[[#This Row],[MedMod]]-AVERAGE(Tab.o1[MedMod]))/_xlfn.STDEV.P(Tab.o1[MedMod])*H$1203)+G$1203,"")</f>
        <v/>
      </c>
      <c r="S135" s="122" t="str">
        <f>IF(Tab.o1[[#This Row],[a1]]=1,((Tab.o1[[#This Row],[MedMod]]-AVERAGE(Tab.o1[MedMod]))/_xlfn.STDEV.P(Tab.o1[MedMod])*H$1204)+G$1204,"")</f>
        <v/>
      </c>
      <c r="T135" s="123" t="str">
        <f>IF(Tab.o1[[#This Row],[a1]]=1,Tab.o1[[#This Row],[Z-]]*_xlfn.STDEV.P(Tab.o1[B])+AVERAGE(Tab.o1[B]),"")</f>
        <v/>
      </c>
      <c r="U135" s="123" t="str">
        <f>IF(Tab.o1[[#This Row],[a1]]=1,Tab.o1[[#This Row],[z+]]*_xlfn.STDEV.P(Tab.o1[B])+AVERAGE(Tab.o1[B]),"")</f>
        <v/>
      </c>
      <c r="V135" s="124" t="str">
        <f>IF(Tab.o1[[#This Row],[a1]]=1,ABS((ABS(Tab.o1[[#This Row],[Red]]-Tab.o1[[#This Row],[Blue]]))),"")</f>
        <v/>
      </c>
      <c r="W135" s="125" t="str">
        <f>IF(Tab.o1[[#This Row],[a1]]=1,IF(W$3=0,1,Tab.o1[[#This Row],[Amp.]]*1/_xlfn.MINIFS(Tab.o1[Amp.],Tab.o1[Amp.],"&lt;&gt;0")),"")</f>
        <v/>
      </c>
      <c r="X135" s="126" t="str">
        <f>IF(Tab.o1[[#This Row],[a1]]=1,IF(ISNUMBER(Tab.o1[[#This Row],[i.]]),NORMDIST(Tab.o1[[#This Row],[Za]],0,1,FALSE)*Tab.o1[[#This Row],[i.]],AP$3),"")</f>
        <v/>
      </c>
      <c r="Y135" s="126" t="str">
        <f>IF(Tab.o1[[#This Row],[a1]]=1,0.01+0.94*Tab.o1[[#This Row],[PDF]]/MAX(Tab.o1[PDF]),"")</f>
        <v/>
      </c>
      <c r="Z135" s="126" t="str">
        <f>IF(Tab.o1[[#This Row],[a1]]=1,0.01+0.94*Tab.o1[[#This Row],[W1_PDF]]/MAX(Tab.o1[W1_PDF]),"")</f>
        <v/>
      </c>
      <c r="AA135" s="118" t="str">
        <f>IF(Tab.o1[[#This Row],[a1]]=1,ABS([1]!T.in.A[[#This Row],[oo6]]),"")</f>
        <v/>
      </c>
      <c r="AB135" s="127" t="str">
        <f>IF(Tab.o1[[#This Row],[a1]]=1,IF(AE$3=0,"",IF(AB$3=0,ABS([1]!T.in.A[[#This Row],[oo9]]),ABS(Tab.o1[[#This Row],[DIF_Target.]]*Tab.o1[[#This Row],[W1_PDF]]))),"")</f>
        <v/>
      </c>
      <c r="AC135" s="127" t="str">
        <f>IF(G$1=1,"",IF(Tab.o1[[#This Row],[a1]]=1,Tab.o1[[#This Row],[Wr]]^2,""))</f>
        <v/>
      </c>
      <c r="AD135" s="118" t="str">
        <f>IF(Tab.o1[[#This Row],[a1]]=1,IF(AE$3=0,"",Tab.o1[[#This Row],[Wr2]]/SUM(Tab.o1[Wr2])),"")</f>
        <v/>
      </c>
      <c r="AE135" s="128" t="str">
        <f>IF(Tab.o1[[#This Row],[a1]]=1,[1]!T.in.A[[#This Row],[oo10]],"")</f>
        <v/>
      </c>
      <c r="AF135" s="118" t="str">
        <f>IF(Tab.o1[[#This Row],[a1]]=1,ABS(Tab.o1[[#This Row],[DIF_Target.]]*Tab.o1[[#This Row],[PDF2]]*Tab.o1[[#This Row],[IN]]),"")</f>
        <v/>
      </c>
      <c r="AG135" s="129" t="str">
        <f>IF(Tab.o1[[#This Row],[a1]]=1,Tab.o1[[#This Row],[rW]]^2,"")</f>
        <v/>
      </c>
      <c r="AH135" s="130" t="str">
        <f>IF(Tab.o1[[#This Row],[a1]]=1,IF(AH$3=0,Tab.o1[[#This Row],[rW2]],0.01+0.94*Tab.o1[[#This Row],[rW2]]/SUM(Tab.o1[rW2])),"")</f>
        <v/>
      </c>
      <c r="AI135" s="128" t="str">
        <f>IF(Tab.o1[[#This Row],[a1]]=1,1/Tab.o1[[#This Row],[PDF]],"")</f>
        <v/>
      </c>
      <c r="AJ135" s="131" t="str">
        <f>IF(Tab.o1[[#This Row],[a1]]=1,[1]!T_AA[[#This Row],[IN'']]*[1]!T_AA[[#This Row],[Qde'']],"")</f>
        <v/>
      </c>
      <c r="AK135" s="132" t="str">
        <f>IF(Tab.o1[[#This Row],[a1]]=1,IF(AK$1=1,Tab.o1[[#This Row],[MED]]+Tab.o1[[#This Row],[MOD]]-Tab.o1[[#This Row],[MED]],""),"")</f>
        <v/>
      </c>
      <c r="AL135" s="133" t="str">
        <f>IF(Tab.o1[[#This Row],[a1]]=1,[1]!T.in.A[[#This Row],[oo16]],"")</f>
        <v/>
      </c>
      <c r="AM135" s="133" t="str">
        <f>IF(Tab.o1[[#This Row],[a1]]=1,IF(AM$3=1,[1]!T.in.A[[#This Row],[Σo16]],""),"")</f>
        <v/>
      </c>
      <c r="AN135" s="126" t="str">
        <f>IF(Tab.o1[[#This Row],[a1]]=1,[1]!T.in.A[[#This Row],[Σp5]],"")</f>
        <v/>
      </c>
      <c r="AO135" s="126" t="str">
        <f>IF(Tab.o1[[#This Row],[a1]]=1,IF(AO$3=1,[1]!T.in.A[[#This Row],[Σp5]],""),"")</f>
        <v/>
      </c>
      <c r="AP135" s="110" t="str">
        <f>IF(Tab.o1[[#This Row],[a1]]=1,IF(ISNUMBER(Tab.o1[[#This Row],[i.]]),NORMDIST(Tab.o1[[#This Row],[Za]],0,1,FALSE)*Tab.o1[[#This Row],[i.]],0),"")</f>
        <v/>
      </c>
      <c r="AQ135" s="125" t="str">
        <f>IF(Tab.o1[[#This Row],[a1]]=1,ABS(Tab.o1[[#This Row],[MOD]]-AVERAGE(Tab.o1[MOD])),"")</f>
        <v/>
      </c>
      <c r="AR135" s="134" t="str">
        <f>IF(Tab.o1[[#This Row],[a1]]=1,Tab.o1[[#This Row],[OBS]]/SUM(Tab.o1[OBS]),"")</f>
        <v/>
      </c>
      <c r="AS135" s="135" t="str">
        <f>IF(ISNUMBER(Tab.o1[[#This Row],[a1]]),ROW()-4,"")</f>
        <v/>
      </c>
      <c r="AT135" s="136" t="str">
        <f>Tab.o1[[#This Row],[MOD]]</f>
        <v/>
      </c>
      <c r="AU135" s="137" t="str">
        <f t="shared" si="9"/>
        <v/>
      </c>
      <c r="AV135" s="138" t="str">
        <f t="shared" si="10"/>
        <v/>
      </c>
      <c r="AW135" s="138" t="str">
        <f t="shared" si="11"/>
        <v/>
      </c>
      <c r="AX135" s="139" t="str">
        <f>[1]!T.in.A[[#This Row],[ID_T_manu]]</f>
        <v/>
      </c>
      <c r="AY135" s="140" t="str">
        <f>IF(ISNUMBER(Tab.o1[[#This Row],[a1]]),IF(AND(Tab.o1[[#This Row],[a1]]=1,Tab.o1[[#This Row],[b1]]&lt;=AY$4),#REF!,AY134),"")</f>
        <v/>
      </c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</row>
    <row r="136" spans="1:79" ht="14.25" hidden="1" customHeight="1">
      <c r="A136" s="109">
        <v>1.0000000000000002E-6</v>
      </c>
      <c r="B136" s="110">
        <f t="shared" si="8"/>
        <v>136</v>
      </c>
      <c r="C136" s="111" t="str">
        <f>IF(C$1=[1]!T.in.A[[#This Row],[oo2]],1,"")</f>
        <v/>
      </c>
      <c r="D136" s="112" t="str">
        <f>IF(Tab.o1[[#This Row],[a1]]=1,IF(SUM(C136:C137)=0,0,IF(SUM(C135:C136)=1,1,IF(SUM(C135:C137)&gt;1,D135+1,0))),"")</f>
        <v/>
      </c>
      <c r="E136" s="113" t="str">
        <f>IF(Tab.o1[[#This Row],[a1]]=1,[1]!T.in.A[[#This Row],[oo1]],"")</f>
        <v/>
      </c>
      <c r="F136" s="113" t="str">
        <f>IF(Tab.o1[[#This Row],[a1]]=1,[1]!T.in.A[[#This Row],[pp1]],"")</f>
        <v/>
      </c>
      <c r="G136" s="114" t="str">
        <f>IF(Tab.o1[[#This Row],[a1]]=1,G$2+IF(G$1=1,0,Tab.o1[[#This Row],[.x1]])+[1]!T.in.A[[#This Row],[oo3]],"")</f>
        <v/>
      </c>
      <c r="H136" s="115" t="str">
        <f>IF(Tab.o1[[#This Row],[a1]]=1,IF(H$2=0,0,IF(G$1=1,0,Tab.o1[[#This Row],[.x1]])+[1]!T.in.A[[#This Row],[oo4]]),"")</f>
        <v/>
      </c>
      <c r="I136" s="116" t="str">
        <f>IF(Tab.o1[[#This Row],[a1]]=1,IF(J$2=0,Tab.o1[[#This Row],[MED]],Tab.o1[[#This Row],[MOD]]),"")</f>
        <v/>
      </c>
      <c r="J136" s="116" t="str">
        <f>IF(Tab.o1[[#This Row],[a1]]=1,((Tab.o1[[#This Row],[DIF_Target.]]-AVERAGE(Tab.o1[DIF_Target.]))/_xlfn.STDEV.P(Tab.o1[DIF_Target.])),"")</f>
        <v/>
      </c>
      <c r="K136" s="117" t="str">
        <f>IF(Tab.o1[[#This Row],[a1]]=1,IF(J$2=0,Tab.o1[[#This Row],[MOD]]-Tab.o1[[#This Row],[B]],IF(J$2=1,0,-Tab.o1[[#This Row],[MED]])+Tab.o1[[#This Row],[B]]),"")</f>
        <v/>
      </c>
      <c r="L136" s="117" t="str">
        <f ca="1">IF(Tab.o1[[#This Row],[DIF_Target]]=0,IF(L$2=0,Tab.o1[[#This Row],[DIF_Target]],AVERAGE(OFFSET(Tab.o1[[#This Row],[DIF_Target]],1,0,L$3,1)))/3,Tab.o1[[#This Row],[DIF_Target]])</f>
        <v/>
      </c>
      <c r="M136" s="118" t="str">
        <f>IF(Tab.o1[[#This Row],[a1]]=1,NORMSDIST(Tab.o1[[#This Row],[Za]]),"")</f>
        <v/>
      </c>
      <c r="N136" s="119" t="str">
        <f>IF(Tab.o1[[#This Row],[a1]]=1,((Tab.o1[[#This Row],[MedMod]]-AVERAGE(Tab.o1[MedMod]))/_xlfn.STDEV.P(Tab.o1[MedMod])*H$1205)+G$1205,"")</f>
        <v/>
      </c>
      <c r="O136" s="141" t="str">
        <f>IF(Tab.o1[[#This Row],[a1]]=1,Tab.o1[[#This Row],[Zb]]*_xlfn.STDEV.P(Tab.o1[MedMod])+AVERAGE(Tab.o1[MedMod]),"")</f>
        <v/>
      </c>
      <c r="P136" s="117" t="str">
        <f ca="1">IF(Tab.o1[[#This Row],[B]]=0,AVERAGE(OFFSET(Tab.o1[[#This Row],[B]],1,0,L$3,1)),Tab.o1[[#This Row],[B]])</f>
        <v/>
      </c>
      <c r="Q136" s="121" t="str">
        <f>IF(Tab.o1[[#This Row],[a1]]=1,NORMSDIST(Tab.o1[[#This Row],[Zb]]),"")</f>
        <v/>
      </c>
      <c r="R136" s="122" t="str">
        <f>IF(Tab.o1[[#This Row],[a1]]=1,((Tab.o1[[#This Row],[MedMod]]-AVERAGE(Tab.o1[MedMod]))/_xlfn.STDEV.P(Tab.o1[MedMod])*H$1203)+G$1203,"")</f>
        <v/>
      </c>
      <c r="S136" s="122" t="str">
        <f>IF(Tab.o1[[#This Row],[a1]]=1,((Tab.o1[[#This Row],[MedMod]]-AVERAGE(Tab.o1[MedMod]))/_xlfn.STDEV.P(Tab.o1[MedMod])*H$1204)+G$1204,"")</f>
        <v/>
      </c>
      <c r="T136" s="123" t="str">
        <f>IF(Tab.o1[[#This Row],[a1]]=1,Tab.o1[[#This Row],[Z-]]*_xlfn.STDEV.P(Tab.o1[B])+AVERAGE(Tab.o1[B]),"")</f>
        <v/>
      </c>
      <c r="U136" s="123" t="str">
        <f>IF(Tab.o1[[#This Row],[a1]]=1,Tab.o1[[#This Row],[z+]]*_xlfn.STDEV.P(Tab.o1[B])+AVERAGE(Tab.o1[B]),"")</f>
        <v/>
      </c>
      <c r="V136" s="124" t="str">
        <f>IF(Tab.o1[[#This Row],[a1]]=1,ABS((ABS(Tab.o1[[#This Row],[Red]]-Tab.o1[[#This Row],[Blue]]))),"")</f>
        <v/>
      </c>
      <c r="W136" s="125" t="str">
        <f>IF(Tab.o1[[#This Row],[a1]]=1,IF(W$3=0,1,Tab.o1[[#This Row],[Amp.]]*1/_xlfn.MINIFS(Tab.o1[Amp.],Tab.o1[Amp.],"&lt;&gt;0")),"")</f>
        <v/>
      </c>
      <c r="X136" s="126" t="str">
        <f>IF(Tab.o1[[#This Row],[a1]]=1,IF(ISNUMBER(Tab.o1[[#This Row],[i.]]),NORMDIST(Tab.o1[[#This Row],[Za]],0,1,FALSE)*Tab.o1[[#This Row],[i.]],AP$3),"")</f>
        <v/>
      </c>
      <c r="Y136" s="126" t="str">
        <f>IF(Tab.o1[[#This Row],[a1]]=1,0.01+0.94*Tab.o1[[#This Row],[PDF]]/MAX(Tab.o1[PDF]),"")</f>
        <v/>
      </c>
      <c r="Z136" s="126" t="str">
        <f>IF(Tab.o1[[#This Row],[a1]]=1,0.01+0.94*Tab.o1[[#This Row],[W1_PDF]]/MAX(Tab.o1[W1_PDF]),"")</f>
        <v/>
      </c>
      <c r="AA136" s="118" t="str">
        <f>IF(Tab.o1[[#This Row],[a1]]=1,ABS([1]!T.in.A[[#This Row],[oo6]]),"")</f>
        <v/>
      </c>
      <c r="AB136" s="127" t="str">
        <f>IF(Tab.o1[[#This Row],[a1]]=1,IF(AE$3=0,"",IF(AB$3=0,ABS([1]!T.in.A[[#This Row],[oo9]]),ABS(Tab.o1[[#This Row],[DIF_Target.]]*Tab.o1[[#This Row],[W1_PDF]]))),"")</f>
        <v/>
      </c>
      <c r="AC136" s="127" t="str">
        <f>IF(G$1=1,"",IF(Tab.o1[[#This Row],[a1]]=1,Tab.o1[[#This Row],[Wr]]^2,""))</f>
        <v/>
      </c>
      <c r="AD136" s="118" t="str">
        <f>IF(Tab.o1[[#This Row],[a1]]=1,IF(AE$3=0,"",Tab.o1[[#This Row],[Wr2]]/SUM(Tab.o1[Wr2])),"")</f>
        <v/>
      </c>
      <c r="AE136" s="128" t="str">
        <f>IF(Tab.o1[[#This Row],[a1]]=1,[1]!T.in.A[[#This Row],[oo10]],"")</f>
        <v/>
      </c>
      <c r="AF136" s="118" t="str">
        <f>IF(Tab.o1[[#This Row],[a1]]=1,ABS(Tab.o1[[#This Row],[DIF_Target.]]*Tab.o1[[#This Row],[PDF2]]*Tab.o1[[#This Row],[IN]]),"")</f>
        <v/>
      </c>
      <c r="AG136" s="129" t="str">
        <f>IF(Tab.o1[[#This Row],[a1]]=1,Tab.o1[[#This Row],[rW]]^2,"")</f>
        <v/>
      </c>
      <c r="AH136" s="130" t="str">
        <f>IF(Tab.o1[[#This Row],[a1]]=1,IF(AH$3=0,Tab.o1[[#This Row],[rW2]],0.01+0.94*Tab.o1[[#This Row],[rW2]]/SUM(Tab.o1[rW2])),"")</f>
        <v/>
      </c>
      <c r="AI136" s="128" t="str">
        <f>IF(Tab.o1[[#This Row],[a1]]=1,1/Tab.o1[[#This Row],[PDF]],"")</f>
        <v/>
      </c>
      <c r="AJ136" s="131" t="str">
        <f>IF(Tab.o1[[#This Row],[a1]]=1,[1]!T_AA[[#This Row],[IN'']]*[1]!T_AA[[#This Row],[Qde'']],"")</f>
        <v/>
      </c>
      <c r="AK136" s="132" t="str">
        <f>IF(Tab.o1[[#This Row],[a1]]=1,IF(AK$1=1,Tab.o1[[#This Row],[MED]]+Tab.o1[[#This Row],[MOD]]-Tab.o1[[#This Row],[MED]],""),"")</f>
        <v/>
      </c>
      <c r="AL136" s="133" t="str">
        <f>IF(Tab.o1[[#This Row],[a1]]=1,[1]!T.in.A[[#This Row],[oo16]],"")</f>
        <v/>
      </c>
      <c r="AM136" s="133" t="str">
        <f>IF(Tab.o1[[#This Row],[a1]]=1,IF(AM$3=1,[1]!T.in.A[[#This Row],[Σo16]],""),"")</f>
        <v/>
      </c>
      <c r="AN136" s="126" t="str">
        <f>IF(Tab.o1[[#This Row],[a1]]=1,[1]!T.in.A[[#This Row],[Σp5]],"")</f>
        <v/>
      </c>
      <c r="AO136" s="126" t="str">
        <f>IF(Tab.o1[[#This Row],[a1]]=1,IF(AO$3=1,[1]!T.in.A[[#This Row],[Σp5]],""),"")</f>
        <v/>
      </c>
      <c r="AP136" s="110" t="str">
        <f>IF(Tab.o1[[#This Row],[a1]]=1,IF(ISNUMBER(Tab.o1[[#This Row],[i.]]),NORMDIST(Tab.o1[[#This Row],[Za]],0,1,FALSE)*Tab.o1[[#This Row],[i.]],0),"")</f>
        <v/>
      </c>
      <c r="AQ136" s="125" t="str">
        <f>IF(Tab.o1[[#This Row],[a1]]=1,ABS(Tab.o1[[#This Row],[MOD]]-AVERAGE(Tab.o1[MOD])),"")</f>
        <v/>
      </c>
      <c r="AR136" s="134" t="str">
        <f>IF(Tab.o1[[#This Row],[a1]]=1,Tab.o1[[#This Row],[OBS]]/SUM(Tab.o1[OBS]),"")</f>
        <v/>
      </c>
      <c r="AS136" s="135" t="str">
        <f>IF(ISNUMBER(Tab.o1[[#This Row],[a1]]),ROW()-4,"")</f>
        <v/>
      </c>
      <c r="AT136" s="136" t="str">
        <f>Tab.o1[[#This Row],[MOD]]</f>
        <v/>
      </c>
      <c r="AU136" s="137" t="str">
        <f t="shared" si="9"/>
        <v/>
      </c>
      <c r="AV136" s="138" t="str">
        <f t="shared" si="10"/>
        <v/>
      </c>
      <c r="AW136" s="138" t="str">
        <f t="shared" si="11"/>
        <v/>
      </c>
      <c r="AX136" s="139" t="str">
        <f>[1]!T.in.A[[#This Row],[ID_T_manu]]</f>
        <v/>
      </c>
      <c r="AY136" s="140" t="str">
        <f>IF(ISNUMBER(Tab.o1[[#This Row],[a1]]),IF(AND(Tab.o1[[#This Row],[a1]]=1,Tab.o1[[#This Row],[b1]]&lt;=AY$4),#REF!,AY135),"")</f>
        <v/>
      </c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</row>
    <row r="137" spans="1:79" ht="14.25" hidden="1" customHeight="1">
      <c r="A137" s="109">
        <v>-6.9999999999999999E-6</v>
      </c>
      <c r="B137" s="110">
        <f t="shared" si="8"/>
        <v>137</v>
      </c>
      <c r="C137" s="111" t="str">
        <f>IF(C$1=[1]!T.in.A[[#This Row],[oo2]],1,"")</f>
        <v/>
      </c>
      <c r="D137" s="112" t="str">
        <f>IF(Tab.o1[[#This Row],[a1]]=1,IF(SUM(C137:C138)=0,0,IF(SUM(C136:C137)=1,1,IF(SUM(C136:C138)&gt;1,D136+1,0))),"")</f>
        <v/>
      </c>
      <c r="E137" s="113" t="str">
        <f>IF(Tab.o1[[#This Row],[a1]]=1,[1]!T.in.A[[#This Row],[oo1]],"")</f>
        <v/>
      </c>
      <c r="F137" s="113" t="str">
        <f>IF(Tab.o1[[#This Row],[a1]]=1,[1]!T.in.A[[#This Row],[pp1]],"")</f>
        <v/>
      </c>
      <c r="G137" s="114" t="str">
        <f>IF(Tab.o1[[#This Row],[a1]]=1,G$2+IF(G$1=1,0,Tab.o1[[#This Row],[.x1]])+[1]!T.in.A[[#This Row],[oo3]],"")</f>
        <v/>
      </c>
      <c r="H137" s="115" t="str">
        <f>IF(Tab.o1[[#This Row],[a1]]=1,IF(H$2=0,0,IF(G$1=1,0,Tab.o1[[#This Row],[.x1]])+[1]!T.in.A[[#This Row],[oo4]]),"")</f>
        <v/>
      </c>
      <c r="I137" s="116" t="str">
        <f>IF(Tab.o1[[#This Row],[a1]]=1,IF(J$2=0,Tab.o1[[#This Row],[MED]],Tab.o1[[#This Row],[MOD]]),"")</f>
        <v/>
      </c>
      <c r="J137" s="116" t="str">
        <f>IF(Tab.o1[[#This Row],[a1]]=1,((Tab.o1[[#This Row],[DIF_Target.]]-AVERAGE(Tab.o1[DIF_Target.]))/_xlfn.STDEV.P(Tab.o1[DIF_Target.])),"")</f>
        <v/>
      </c>
      <c r="K137" s="117" t="str">
        <f>IF(Tab.o1[[#This Row],[a1]]=1,IF(J$2=0,Tab.o1[[#This Row],[MOD]]-Tab.o1[[#This Row],[B]],IF(J$2=1,0,-Tab.o1[[#This Row],[MED]])+Tab.o1[[#This Row],[B]]),"")</f>
        <v/>
      </c>
      <c r="L137" s="117" t="str">
        <f ca="1">IF(Tab.o1[[#This Row],[DIF_Target]]=0,IF(L$2=0,Tab.o1[[#This Row],[DIF_Target]],AVERAGE(OFFSET(Tab.o1[[#This Row],[DIF_Target]],1,0,L$3,1)))/3,Tab.o1[[#This Row],[DIF_Target]])</f>
        <v/>
      </c>
      <c r="M137" s="118" t="str">
        <f>IF(Tab.o1[[#This Row],[a1]]=1,NORMSDIST(Tab.o1[[#This Row],[Za]]),"")</f>
        <v/>
      </c>
      <c r="N137" s="119" t="str">
        <f>IF(Tab.o1[[#This Row],[a1]]=1,((Tab.o1[[#This Row],[MedMod]]-AVERAGE(Tab.o1[MedMod]))/_xlfn.STDEV.P(Tab.o1[MedMod])*H$1205)+G$1205,"")</f>
        <v/>
      </c>
      <c r="O137" s="141" t="str">
        <f>IF(Tab.o1[[#This Row],[a1]]=1,Tab.o1[[#This Row],[Zb]]*_xlfn.STDEV.P(Tab.o1[MedMod])+AVERAGE(Tab.o1[MedMod]),"")</f>
        <v/>
      </c>
      <c r="P137" s="117" t="str">
        <f ca="1">IF(Tab.o1[[#This Row],[B]]=0,AVERAGE(OFFSET(Tab.o1[[#This Row],[B]],1,0,L$3,1)),Tab.o1[[#This Row],[B]])</f>
        <v/>
      </c>
      <c r="Q137" s="121" t="str">
        <f>IF(Tab.o1[[#This Row],[a1]]=1,NORMSDIST(Tab.o1[[#This Row],[Zb]]),"")</f>
        <v/>
      </c>
      <c r="R137" s="122" t="str">
        <f>IF(Tab.o1[[#This Row],[a1]]=1,((Tab.o1[[#This Row],[MedMod]]-AVERAGE(Tab.o1[MedMod]))/_xlfn.STDEV.P(Tab.o1[MedMod])*H$1203)+G$1203,"")</f>
        <v/>
      </c>
      <c r="S137" s="122" t="str">
        <f>IF(Tab.o1[[#This Row],[a1]]=1,((Tab.o1[[#This Row],[MedMod]]-AVERAGE(Tab.o1[MedMod]))/_xlfn.STDEV.P(Tab.o1[MedMod])*H$1204)+G$1204,"")</f>
        <v/>
      </c>
      <c r="T137" s="123" t="str">
        <f>IF(Tab.o1[[#This Row],[a1]]=1,Tab.o1[[#This Row],[Z-]]*_xlfn.STDEV.P(Tab.o1[B])+AVERAGE(Tab.o1[B]),"")</f>
        <v/>
      </c>
      <c r="U137" s="123" t="str">
        <f>IF(Tab.o1[[#This Row],[a1]]=1,Tab.o1[[#This Row],[z+]]*_xlfn.STDEV.P(Tab.o1[B])+AVERAGE(Tab.o1[B]),"")</f>
        <v/>
      </c>
      <c r="V137" s="124" t="str">
        <f>IF(Tab.o1[[#This Row],[a1]]=1,ABS((ABS(Tab.o1[[#This Row],[Red]]-Tab.o1[[#This Row],[Blue]]))),"")</f>
        <v/>
      </c>
      <c r="W137" s="125" t="str">
        <f>IF(Tab.o1[[#This Row],[a1]]=1,IF(W$3=0,1,Tab.o1[[#This Row],[Amp.]]*1/_xlfn.MINIFS(Tab.o1[Amp.],Tab.o1[Amp.],"&lt;&gt;0")),"")</f>
        <v/>
      </c>
      <c r="X137" s="126" t="str">
        <f>IF(Tab.o1[[#This Row],[a1]]=1,IF(ISNUMBER(Tab.o1[[#This Row],[i.]]),NORMDIST(Tab.o1[[#This Row],[Za]],0,1,FALSE)*Tab.o1[[#This Row],[i.]],AP$3),"")</f>
        <v/>
      </c>
      <c r="Y137" s="126" t="str">
        <f>IF(Tab.o1[[#This Row],[a1]]=1,0.01+0.94*Tab.o1[[#This Row],[PDF]]/MAX(Tab.o1[PDF]),"")</f>
        <v/>
      </c>
      <c r="Z137" s="126" t="str">
        <f>IF(Tab.o1[[#This Row],[a1]]=1,0.01+0.94*Tab.o1[[#This Row],[W1_PDF]]/MAX(Tab.o1[W1_PDF]),"")</f>
        <v/>
      </c>
      <c r="AA137" s="118" t="str">
        <f>IF(Tab.o1[[#This Row],[a1]]=1,ABS([1]!T.in.A[[#This Row],[oo6]]),"")</f>
        <v/>
      </c>
      <c r="AB137" s="127" t="str">
        <f>IF(Tab.o1[[#This Row],[a1]]=1,IF(AE$3=0,"",IF(AB$3=0,ABS([1]!T.in.A[[#This Row],[oo9]]),ABS(Tab.o1[[#This Row],[DIF_Target.]]*Tab.o1[[#This Row],[W1_PDF]]))),"")</f>
        <v/>
      </c>
      <c r="AC137" s="127" t="str">
        <f>IF(G$1=1,"",IF(Tab.o1[[#This Row],[a1]]=1,Tab.o1[[#This Row],[Wr]]^2,""))</f>
        <v/>
      </c>
      <c r="AD137" s="118" t="str">
        <f>IF(Tab.o1[[#This Row],[a1]]=1,IF(AE$3=0,"",Tab.o1[[#This Row],[Wr2]]/SUM(Tab.o1[Wr2])),"")</f>
        <v/>
      </c>
      <c r="AE137" s="128" t="str">
        <f>IF(Tab.o1[[#This Row],[a1]]=1,[1]!T.in.A[[#This Row],[oo10]],"")</f>
        <v/>
      </c>
      <c r="AF137" s="118" t="str">
        <f>IF(Tab.o1[[#This Row],[a1]]=1,ABS(Tab.o1[[#This Row],[DIF_Target.]]*Tab.o1[[#This Row],[PDF2]]*Tab.o1[[#This Row],[IN]]),"")</f>
        <v/>
      </c>
      <c r="AG137" s="129" t="str">
        <f>IF(Tab.o1[[#This Row],[a1]]=1,Tab.o1[[#This Row],[rW]]^2,"")</f>
        <v/>
      </c>
      <c r="AH137" s="130" t="str">
        <f>IF(Tab.o1[[#This Row],[a1]]=1,IF(AH$3=0,Tab.o1[[#This Row],[rW2]],0.01+0.94*Tab.o1[[#This Row],[rW2]]/SUM(Tab.o1[rW2])),"")</f>
        <v/>
      </c>
      <c r="AI137" s="128" t="str">
        <f>IF(Tab.o1[[#This Row],[a1]]=1,1/Tab.o1[[#This Row],[PDF]],"")</f>
        <v/>
      </c>
      <c r="AJ137" s="131" t="str">
        <f>IF(Tab.o1[[#This Row],[a1]]=1,[1]!T_AA[[#This Row],[IN'']]*[1]!T_AA[[#This Row],[Qde'']],"")</f>
        <v/>
      </c>
      <c r="AK137" s="132" t="str">
        <f>IF(Tab.o1[[#This Row],[a1]]=1,IF(AK$1=1,Tab.o1[[#This Row],[MED]]+Tab.o1[[#This Row],[MOD]]-Tab.o1[[#This Row],[MED]],""),"")</f>
        <v/>
      </c>
      <c r="AL137" s="133" t="str">
        <f>IF(Tab.o1[[#This Row],[a1]]=1,[1]!T.in.A[[#This Row],[oo16]],"")</f>
        <v/>
      </c>
      <c r="AM137" s="133" t="str">
        <f>IF(Tab.o1[[#This Row],[a1]]=1,IF(AM$3=1,[1]!T.in.A[[#This Row],[Σo16]],""),"")</f>
        <v/>
      </c>
      <c r="AN137" s="126" t="str">
        <f>IF(Tab.o1[[#This Row],[a1]]=1,[1]!T.in.A[[#This Row],[Σp5]],"")</f>
        <v/>
      </c>
      <c r="AO137" s="126" t="str">
        <f>IF(Tab.o1[[#This Row],[a1]]=1,IF(AO$3=1,[1]!T.in.A[[#This Row],[Σp5]],""),"")</f>
        <v/>
      </c>
      <c r="AP137" s="110" t="str">
        <f>IF(Tab.o1[[#This Row],[a1]]=1,IF(ISNUMBER(Tab.o1[[#This Row],[i.]]),NORMDIST(Tab.o1[[#This Row],[Za]],0,1,FALSE)*Tab.o1[[#This Row],[i.]],0),"")</f>
        <v/>
      </c>
      <c r="AQ137" s="125" t="str">
        <f>IF(Tab.o1[[#This Row],[a1]]=1,ABS(Tab.o1[[#This Row],[MOD]]-AVERAGE(Tab.o1[MOD])),"")</f>
        <v/>
      </c>
      <c r="AR137" s="134" t="str">
        <f>IF(Tab.o1[[#This Row],[a1]]=1,Tab.o1[[#This Row],[OBS]]/SUM(Tab.o1[OBS]),"")</f>
        <v/>
      </c>
      <c r="AS137" s="135" t="str">
        <f>IF(ISNUMBER(Tab.o1[[#This Row],[a1]]),ROW()-4,"")</f>
        <v/>
      </c>
      <c r="AT137" s="136" t="str">
        <f>Tab.o1[[#This Row],[MOD]]</f>
        <v/>
      </c>
      <c r="AU137" s="137" t="str">
        <f t="shared" si="9"/>
        <v/>
      </c>
      <c r="AV137" s="138" t="str">
        <f t="shared" si="10"/>
        <v/>
      </c>
      <c r="AW137" s="138" t="str">
        <f t="shared" si="11"/>
        <v/>
      </c>
      <c r="AX137" s="139" t="str">
        <f>[1]!T.in.A[[#This Row],[ID_T_manu]]</f>
        <v/>
      </c>
      <c r="AY137" s="140" t="str">
        <f>IF(ISNUMBER(Tab.o1[[#This Row],[a1]]),IF(AND(Tab.o1[[#This Row],[a1]]=1,Tab.o1[[#This Row],[b1]]&lt;=AY$4),#REF!,AY136),"")</f>
        <v/>
      </c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</row>
    <row r="138" spans="1:79" ht="14.25" hidden="1" customHeight="1">
      <c r="A138" s="109">
        <v>2.0000000000000003E-6</v>
      </c>
      <c r="B138" s="110">
        <f t="shared" si="8"/>
        <v>138</v>
      </c>
      <c r="C138" s="111" t="str">
        <f>IF(C$1=[1]!T.in.A[[#This Row],[oo2]],1,"")</f>
        <v/>
      </c>
      <c r="D138" s="112" t="str">
        <f>IF(Tab.o1[[#This Row],[a1]]=1,IF(SUM(C138:C139)=0,0,IF(SUM(C137:C138)=1,1,IF(SUM(C137:C139)&gt;1,D137+1,0))),"")</f>
        <v/>
      </c>
      <c r="E138" s="113" t="str">
        <f>IF(Tab.o1[[#This Row],[a1]]=1,[1]!T.in.A[[#This Row],[oo1]],"")</f>
        <v/>
      </c>
      <c r="F138" s="113" t="str">
        <f>IF(Tab.o1[[#This Row],[a1]]=1,[1]!T.in.A[[#This Row],[pp1]],"")</f>
        <v/>
      </c>
      <c r="G138" s="114" t="str">
        <f>IF(Tab.o1[[#This Row],[a1]]=1,G$2+IF(G$1=1,0,Tab.o1[[#This Row],[.x1]])+[1]!T.in.A[[#This Row],[oo3]],"")</f>
        <v/>
      </c>
      <c r="H138" s="115" t="str">
        <f>IF(Tab.o1[[#This Row],[a1]]=1,IF(H$2=0,0,IF(G$1=1,0,Tab.o1[[#This Row],[.x1]])+[1]!T.in.A[[#This Row],[oo4]]),"")</f>
        <v/>
      </c>
      <c r="I138" s="116" t="str">
        <f>IF(Tab.o1[[#This Row],[a1]]=1,IF(J$2=0,Tab.o1[[#This Row],[MED]],Tab.o1[[#This Row],[MOD]]),"")</f>
        <v/>
      </c>
      <c r="J138" s="116" t="str">
        <f>IF(Tab.o1[[#This Row],[a1]]=1,((Tab.o1[[#This Row],[DIF_Target.]]-AVERAGE(Tab.o1[DIF_Target.]))/_xlfn.STDEV.P(Tab.o1[DIF_Target.])),"")</f>
        <v/>
      </c>
      <c r="K138" s="117" t="str">
        <f>IF(Tab.o1[[#This Row],[a1]]=1,IF(J$2=0,Tab.o1[[#This Row],[MOD]]-Tab.o1[[#This Row],[B]],IF(J$2=1,0,-Tab.o1[[#This Row],[MED]])+Tab.o1[[#This Row],[B]]),"")</f>
        <v/>
      </c>
      <c r="L138" s="117" t="str">
        <f ca="1">IF(Tab.o1[[#This Row],[DIF_Target]]=0,IF(L$2=0,Tab.o1[[#This Row],[DIF_Target]],AVERAGE(OFFSET(Tab.o1[[#This Row],[DIF_Target]],1,0,L$3,1)))/3,Tab.o1[[#This Row],[DIF_Target]])</f>
        <v/>
      </c>
      <c r="M138" s="118" t="str">
        <f>IF(Tab.o1[[#This Row],[a1]]=1,NORMSDIST(Tab.o1[[#This Row],[Za]]),"")</f>
        <v/>
      </c>
      <c r="N138" s="119" t="str">
        <f>IF(Tab.o1[[#This Row],[a1]]=1,((Tab.o1[[#This Row],[MedMod]]-AVERAGE(Tab.o1[MedMod]))/_xlfn.STDEV.P(Tab.o1[MedMod])*H$1205)+G$1205,"")</f>
        <v/>
      </c>
      <c r="O138" s="141" t="str">
        <f>IF(Tab.o1[[#This Row],[a1]]=1,Tab.o1[[#This Row],[Zb]]*_xlfn.STDEV.P(Tab.o1[MedMod])+AVERAGE(Tab.o1[MedMod]),"")</f>
        <v/>
      </c>
      <c r="P138" s="117" t="str">
        <f ca="1">IF(Tab.o1[[#This Row],[B]]=0,AVERAGE(OFFSET(Tab.o1[[#This Row],[B]],1,0,L$3,1)),Tab.o1[[#This Row],[B]])</f>
        <v/>
      </c>
      <c r="Q138" s="121" t="str">
        <f>IF(Tab.o1[[#This Row],[a1]]=1,NORMSDIST(Tab.o1[[#This Row],[Zb]]),"")</f>
        <v/>
      </c>
      <c r="R138" s="122" t="str">
        <f>IF(Tab.o1[[#This Row],[a1]]=1,((Tab.o1[[#This Row],[MedMod]]-AVERAGE(Tab.o1[MedMod]))/_xlfn.STDEV.P(Tab.o1[MedMod])*H$1203)+G$1203,"")</f>
        <v/>
      </c>
      <c r="S138" s="122" t="str">
        <f>IF(Tab.o1[[#This Row],[a1]]=1,((Tab.o1[[#This Row],[MedMod]]-AVERAGE(Tab.o1[MedMod]))/_xlfn.STDEV.P(Tab.o1[MedMod])*H$1204)+G$1204,"")</f>
        <v/>
      </c>
      <c r="T138" s="123" t="str">
        <f>IF(Tab.o1[[#This Row],[a1]]=1,Tab.o1[[#This Row],[Z-]]*_xlfn.STDEV.P(Tab.o1[B])+AVERAGE(Tab.o1[B]),"")</f>
        <v/>
      </c>
      <c r="U138" s="123" t="str">
        <f>IF(Tab.o1[[#This Row],[a1]]=1,Tab.o1[[#This Row],[z+]]*_xlfn.STDEV.P(Tab.o1[B])+AVERAGE(Tab.o1[B]),"")</f>
        <v/>
      </c>
      <c r="V138" s="124" t="str">
        <f>IF(Tab.o1[[#This Row],[a1]]=1,ABS((ABS(Tab.o1[[#This Row],[Red]]-Tab.o1[[#This Row],[Blue]]))),"")</f>
        <v/>
      </c>
      <c r="W138" s="125" t="str">
        <f>IF(Tab.o1[[#This Row],[a1]]=1,IF(W$3=0,1,Tab.o1[[#This Row],[Amp.]]*1/_xlfn.MINIFS(Tab.o1[Amp.],Tab.o1[Amp.],"&lt;&gt;0")),"")</f>
        <v/>
      </c>
      <c r="X138" s="126" t="str">
        <f>IF(Tab.o1[[#This Row],[a1]]=1,IF(ISNUMBER(Tab.o1[[#This Row],[i.]]),NORMDIST(Tab.o1[[#This Row],[Za]],0,1,FALSE)*Tab.o1[[#This Row],[i.]],AP$3),"")</f>
        <v/>
      </c>
      <c r="Y138" s="126" t="str">
        <f>IF(Tab.o1[[#This Row],[a1]]=1,0.01+0.94*Tab.o1[[#This Row],[PDF]]/MAX(Tab.o1[PDF]),"")</f>
        <v/>
      </c>
      <c r="Z138" s="126" t="str">
        <f>IF(Tab.o1[[#This Row],[a1]]=1,0.01+0.94*Tab.o1[[#This Row],[W1_PDF]]/MAX(Tab.o1[W1_PDF]),"")</f>
        <v/>
      </c>
      <c r="AA138" s="118" t="str">
        <f>IF(Tab.o1[[#This Row],[a1]]=1,ABS([1]!T.in.A[[#This Row],[oo6]]),"")</f>
        <v/>
      </c>
      <c r="AB138" s="127" t="str">
        <f>IF(Tab.o1[[#This Row],[a1]]=1,IF(AE$3=0,"",IF(AB$3=0,ABS([1]!T.in.A[[#This Row],[oo9]]),ABS(Tab.o1[[#This Row],[DIF_Target.]]*Tab.o1[[#This Row],[W1_PDF]]))),"")</f>
        <v/>
      </c>
      <c r="AC138" s="127" t="str">
        <f>IF(G$1=1,"",IF(Tab.o1[[#This Row],[a1]]=1,Tab.o1[[#This Row],[Wr]]^2,""))</f>
        <v/>
      </c>
      <c r="AD138" s="118" t="str">
        <f>IF(Tab.o1[[#This Row],[a1]]=1,IF(AE$3=0,"",Tab.o1[[#This Row],[Wr2]]/SUM(Tab.o1[Wr2])),"")</f>
        <v/>
      </c>
      <c r="AE138" s="128" t="str">
        <f>IF(Tab.o1[[#This Row],[a1]]=1,[1]!T.in.A[[#This Row],[oo10]],"")</f>
        <v/>
      </c>
      <c r="AF138" s="118" t="str">
        <f>IF(Tab.o1[[#This Row],[a1]]=1,ABS(Tab.o1[[#This Row],[DIF_Target.]]*Tab.o1[[#This Row],[PDF2]]*Tab.o1[[#This Row],[IN]]),"")</f>
        <v/>
      </c>
      <c r="AG138" s="129" t="str">
        <f>IF(Tab.o1[[#This Row],[a1]]=1,Tab.o1[[#This Row],[rW]]^2,"")</f>
        <v/>
      </c>
      <c r="AH138" s="130" t="str">
        <f>IF(Tab.o1[[#This Row],[a1]]=1,IF(AH$3=0,Tab.o1[[#This Row],[rW2]],0.01+0.94*Tab.o1[[#This Row],[rW2]]/SUM(Tab.o1[rW2])),"")</f>
        <v/>
      </c>
      <c r="AI138" s="128" t="str">
        <f>IF(Tab.o1[[#This Row],[a1]]=1,1/Tab.o1[[#This Row],[PDF]],"")</f>
        <v/>
      </c>
      <c r="AJ138" s="131" t="str">
        <f>IF(Tab.o1[[#This Row],[a1]]=1,[1]!T_AA[[#This Row],[IN'']]*[1]!T_AA[[#This Row],[Qde'']],"")</f>
        <v/>
      </c>
      <c r="AK138" s="132" t="str">
        <f>IF(Tab.o1[[#This Row],[a1]]=1,IF(AK$1=1,Tab.o1[[#This Row],[MED]]+Tab.o1[[#This Row],[MOD]]-Tab.o1[[#This Row],[MED]],""),"")</f>
        <v/>
      </c>
      <c r="AL138" s="133" t="str">
        <f>IF(Tab.o1[[#This Row],[a1]]=1,[1]!T.in.A[[#This Row],[oo16]],"")</f>
        <v/>
      </c>
      <c r="AM138" s="133" t="str">
        <f>IF(Tab.o1[[#This Row],[a1]]=1,IF(AM$3=1,[1]!T.in.A[[#This Row],[Σo16]],""),"")</f>
        <v/>
      </c>
      <c r="AN138" s="126" t="str">
        <f>IF(Tab.o1[[#This Row],[a1]]=1,[1]!T.in.A[[#This Row],[Σp5]],"")</f>
        <v/>
      </c>
      <c r="AO138" s="126" t="str">
        <f>IF(Tab.o1[[#This Row],[a1]]=1,IF(AO$3=1,[1]!T.in.A[[#This Row],[Σp5]],""),"")</f>
        <v/>
      </c>
      <c r="AP138" s="110" t="str">
        <f>IF(Tab.o1[[#This Row],[a1]]=1,IF(ISNUMBER(Tab.o1[[#This Row],[i.]]),NORMDIST(Tab.o1[[#This Row],[Za]],0,1,FALSE)*Tab.o1[[#This Row],[i.]],0),"")</f>
        <v/>
      </c>
      <c r="AQ138" s="125" t="str">
        <f>IF(Tab.o1[[#This Row],[a1]]=1,ABS(Tab.o1[[#This Row],[MOD]]-AVERAGE(Tab.o1[MOD])),"")</f>
        <v/>
      </c>
      <c r="AR138" s="134" t="str">
        <f>IF(Tab.o1[[#This Row],[a1]]=1,Tab.o1[[#This Row],[OBS]]/SUM(Tab.o1[OBS]),"")</f>
        <v/>
      </c>
      <c r="AS138" s="135" t="str">
        <f>IF(ISNUMBER(Tab.o1[[#This Row],[a1]]),ROW()-4,"")</f>
        <v/>
      </c>
      <c r="AT138" s="136" t="str">
        <f>Tab.o1[[#This Row],[MOD]]</f>
        <v/>
      </c>
      <c r="AU138" s="137" t="str">
        <f t="shared" si="9"/>
        <v/>
      </c>
      <c r="AV138" s="138" t="str">
        <f t="shared" si="10"/>
        <v/>
      </c>
      <c r="AW138" s="138" t="str">
        <f t="shared" si="11"/>
        <v/>
      </c>
      <c r="AX138" s="139" t="str">
        <f>[1]!T.in.A[[#This Row],[ID_T_manu]]</f>
        <v/>
      </c>
      <c r="AY138" s="140" t="str">
        <f>IF(ISNUMBER(Tab.o1[[#This Row],[a1]]),IF(AND(Tab.o1[[#This Row],[a1]]=1,Tab.o1[[#This Row],[b1]]&lt;=AY$4),#REF!,AY137),"")</f>
        <v/>
      </c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</row>
    <row r="139" spans="1:79" ht="14.25" hidden="1" customHeight="1">
      <c r="A139" s="109">
        <v>-1.0000000000000001E-5</v>
      </c>
      <c r="B139" s="110">
        <f t="shared" si="8"/>
        <v>139</v>
      </c>
      <c r="C139" s="111" t="str">
        <f>IF(C$1=[1]!T.in.A[[#This Row],[oo2]],1,"")</f>
        <v/>
      </c>
      <c r="D139" s="112" t="str">
        <f>IF(Tab.o1[[#This Row],[a1]]=1,IF(SUM(C139:C140)=0,0,IF(SUM(C138:C139)=1,1,IF(SUM(C138:C140)&gt;1,D138+1,0))),"")</f>
        <v/>
      </c>
      <c r="E139" s="113" t="str">
        <f>IF(Tab.o1[[#This Row],[a1]]=1,[1]!T.in.A[[#This Row],[oo1]],"")</f>
        <v/>
      </c>
      <c r="F139" s="113" t="str">
        <f>IF(Tab.o1[[#This Row],[a1]]=1,[1]!T.in.A[[#This Row],[pp1]],"")</f>
        <v/>
      </c>
      <c r="G139" s="114" t="str">
        <f>IF(Tab.o1[[#This Row],[a1]]=1,G$2+IF(G$1=1,0,Tab.o1[[#This Row],[.x1]])+[1]!T.in.A[[#This Row],[oo3]],"")</f>
        <v/>
      </c>
      <c r="H139" s="115" t="str">
        <f>IF(Tab.o1[[#This Row],[a1]]=1,IF(H$2=0,0,IF(G$1=1,0,Tab.o1[[#This Row],[.x1]])+[1]!T.in.A[[#This Row],[oo4]]),"")</f>
        <v/>
      </c>
      <c r="I139" s="116" t="str">
        <f>IF(Tab.o1[[#This Row],[a1]]=1,IF(J$2=0,Tab.o1[[#This Row],[MED]],Tab.o1[[#This Row],[MOD]]),"")</f>
        <v/>
      </c>
      <c r="J139" s="116" t="str">
        <f>IF(Tab.o1[[#This Row],[a1]]=1,((Tab.o1[[#This Row],[DIF_Target.]]-AVERAGE(Tab.o1[DIF_Target.]))/_xlfn.STDEV.P(Tab.o1[DIF_Target.])),"")</f>
        <v/>
      </c>
      <c r="K139" s="117" t="str">
        <f>IF(Tab.o1[[#This Row],[a1]]=1,IF(J$2=0,Tab.o1[[#This Row],[MOD]]-Tab.o1[[#This Row],[B]],IF(J$2=1,0,-Tab.o1[[#This Row],[MED]])+Tab.o1[[#This Row],[B]]),"")</f>
        <v/>
      </c>
      <c r="L139" s="117" t="str">
        <f ca="1">IF(Tab.o1[[#This Row],[DIF_Target]]=0,IF(L$2=0,Tab.o1[[#This Row],[DIF_Target]],AVERAGE(OFFSET(Tab.o1[[#This Row],[DIF_Target]],1,0,L$3,1)))/3,Tab.o1[[#This Row],[DIF_Target]])</f>
        <v/>
      </c>
      <c r="M139" s="118" t="str">
        <f>IF(Tab.o1[[#This Row],[a1]]=1,NORMSDIST(Tab.o1[[#This Row],[Za]]),"")</f>
        <v/>
      </c>
      <c r="N139" s="119" t="str">
        <f>IF(Tab.o1[[#This Row],[a1]]=1,((Tab.o1[[#This Row],[MedMod]]-AVERAGE(Tab.o1[MedMod]))/_xlfn.STDEV.P(Tab.o1[MedMod])*H$1205)+G$1205,"")</f>
        <v/>
      </c>
      <c r="O139" s="141" t="str">
        <f>IF(Tab.o1[[#This Row],[a1]]=1,Tab.o1[[#This Row],[Zb]]*_xlfn.STDEV.P(Tab.o1[MedMod])+AVERAGE(Tab.o1[MedMod]),"")</f>
        <v/>
      </c>
      <c r="P139" s="117" t="str">
        <f ca="1">IF(Tab.o1[[#This Row],[B]]=0,AVERAGE(OFFSET(Tab.o1[[#This Row],[B]],1,0,L$3,1)),Tab.o1[[#This Row],[B]])</f>
        <v/>
      </c>
      <c r="Q139" s="121" t="str">
        <f>IF(Tab.o1[[#This Row],[a1]]=1,NORMSDIST(Tab.o1[[#This Row],[Zb]]),"")</f>
        <v/>
      </c>
      <c r="R139" s="122" t="str">
        <f>IF(Tab.o1[[#This Row],[a1]]=1,((Tab.o1[[#This Row],[MedMod]]-AVERAGE(Tab.o1[MedMod]))/_xlfn.STDEV.P(Tab.o1[MedMod])*H$1203)+G$1203,"")</f>
        <v/>
      </c>
      <c r="S139" s="122" t="str">
        <f>IF(Tab.o1[[#This Row],[a1]]=1,((Tab.o1[[#This Row],[MedMod]]-AVERAGE(Tab.o1[MedMod]))/_xlfn.STDEV.P(Tab.o1[MedMod])*H$1204)+G$1204,"")</f>
        <v/>
      </c>
      <c r="T139" s="123" t="str">
        <f>IF(Tab.o1[[#This Row],[a1]]=1,Tab.o1[[#This Row],[Z-]]*_xlfn.STDEV.P(Tab.o1[B])+AVERAGE(Tab.o1[B]),"")</f>
        <v/>
      </c>
      <c r="U139" s="123" t="str">
        <f>IF(Tab.o1[[#This Row],[a1]]=1,Tab.o1[[#This Row],[z+]]*_xlfn.STDEV.P(Tab.o1[B])+AVERAGE(Tab.o1[B]),"")</f>
        <v/>
      </c>
      <c r="V139" s="124" t="str">
        <f>IF(Tab.o1[[#This Row],[a1]]=1,ABS((ABS(Tab.o1[[#This Row],[Red]]-Tab.o1[[#This Row],[Blue]]))),"")</f>
        <v/>
      </c>
      <c r="W139" s="125" t="str">
        <f>IF(Tab.o1[[#This Row],[a1]]=1,IF(W$3=0,1,Tab.o1[[#This Row],[Amp.]]*1/_xlfn.MINIFS(Tab.o1[Amp.],Tab.o1[Amp.],"&lt;&gt;0")),"")</f>
        <v/>
      </c>
      <c r="X139" s="126" t="str">
        <f>IF(Tab.o1[[#This Row],[a1]]=1,IF(ISNUMBER(Tab.o1[[#This Row],[i.]]),NORMDIST(Tab.o1[[#This Row],[Za]],0,1,FALSE)*Tab.o1[[#This Row],[i.]],AP$3),"")</f>
        <v/>
      </c>
      <c r="Y139" s="126" t="str">
        <f>IF(Tab.o1[[#This Row],[a1]]=1,0.01+0.94*Tab.o1[[#This Row],[PDF]]/MAX(Tab.o1[PDF]),"")</f>
        <v/>
      </c>
      <c r="Z139" s="126" t="str">
        <f>IF(Tab.o1[[#This Row],[a1]]=1,0.01+0.94*Tab.o1[[#This Row],[W1_PDF]]/MAX(Tab.o1[W1_PDF]),"")</f>
        <v/>
      </c>
      <c r="AA139" s="118" t="str">
        <f>IF(Tab.o1[[#This Row],[a1]]=1,ABS([1]!T.in.A[[#This Row],[oo6]]),"")</f>
        <v/>
      </c>
      <c r="AB139" s="127" t="str">
        <f>IF(Tab.o1[[#This Row],[a1]]=1,IF(AE$3=0,"",IF(AB$3=0,ABS([1]!T.in.A[[#This Row],[oo9]]),ABS(Tab.o1[[#This Row],[DIF_Target.]]*Tab.o1[[#This Row],[W1_PDF]]))),"")</f>
        <v/>
      </c>
      <c r="AC139" s="127" t="str">
        <f>IF(G$1=1,"",IF(Tab.o1[[#This Row],[a1]]=1,Tab.o1[[#This Row],[Wr]]^2,""))</f>
        <v/>
      </c>
      <c r="AD139" s="118" t="str">
        <f>IF(Tab.o1[[#This Row],[a1]]=1,IF(AE$3=0,"",Tab.o1[[#This Row],[Wr2]]/SUM(Tab.o1[Wr2])),"")</f>
        <v/>
      </c>
      <c r="AE139" s="128" t="str">
        <f>IF(Tab.o1[[#This Row],[a1]]=1,[1]!T.in.A[[#This Row],[oo10]],"")</f>
        <v/>
      </c>
      <c r="AF139" s="118" t="str">
        <f>IF(Tab.o1[[#This Row],[a1]]=1,ABS(Tab.o1[[#This Row],[DIF_Target.]]*Tab.o1[[#This Row],[PDF2]]*Tab.o1[[#This Row],[IN]]),"")</f>
        <v/>
      </c>
      <c r="AG139" s="129" t="str">
        <f>IF(Tab.o1[[#This Row],[a1]]=1,Tab.o1[[#This Row],[rW]]^2,"")</f>
        <v/>
      </c>
      <c r="AH139" s="130" t="str">
        <f>IF(Tab.o1[[#This Row],[a1]]=1,IF(AH$3=0,Tab.o1[[#This Row],[rW2]],0.01+0.94*Tab.o1[[#This Row],[rW2]]/SUM(Tab.o1[rW2])),"")</f>
        <v/>
      </c>
      <c r="AI139" s="128" t="str">
        <f>IF(Tab.o1[[#This Row],[a1]]=1,1/Tab.o1[[#This Row],[PDF]],"")</f>
        <v/>
      </c>
      <c r="AJ139" s="131" t="str">
        <f>IF(Tab.o1[[#This Row],[a1]]=1,[1]!T_AA[[#This Row],[IN'']]*[1]!T_AA[[#This Row],[Qde'']],"")</f>
        <v/>
      </c>
      <c r="AK139" s="132" t="str">
        <f>IF(Tab.o1[[#This Row],[a1]]=1,IF(AK$1=1,Tab.o1[[#This Row],[MED]]+Tab.o1[[#This Row],[MOD]]-Tab.o1[[#This Row],[MED]],""),"")</f>
        <v/>
      </c>
      <c r="AL139" s="133" t="str">
        <f>IF(Tab.o1[[#This Row],[a1]]=1,[1]!T.in.A[[#This Row],[oo16]],"")</f>
        <v/>
      </c>
      <c r="AM139" s="133" t="str">
        <f>IF(Tab.o1[[#This Row],[a1]]=1,IF(AM$3=1,[1]!T.in.A[[#This Row],[Σo16]],""),"")</f>
        <v/>
      </c>
      <c r="AN139" s="126" t="str">
        <f>IF(Tab.o1[[#This Row],[a1]]=1,[1]!T.in.A[[#This Row],[Σp5]],"")</f>
        <v/>
      </c>
      <c r="AO139" s="126" t="str">
        <f>IF(Tab.o1[[#This Row],[a1]]=1,IF(AO$3=1,[1]!T.in.A[[#This Row],[Σp5]],""),"")</f>
        <v/>
      </c>
      <c r="AP139" s="110" t="str">
        <f>IF(Tab.o1[[#This Row],[a1]]=1,IF(ISNUMBER(Tab.o1[[#This Row],[i.]]),NORMDIST(Tab.o1[[#This Row],[Za]],0,1,FALSE)*Tab.o1[[#This Row],[i.]],0),"")</f>
        <v/>
      </c>
      <c r="AQ139" s="125" t="str">
        <f>IF(Tab.o1[[#This Row],[a1]]=1,ABS(Tab.o1[[#This Row],[MOD]]-AVERAGE(Tab.o1[MOD])),"")</f>
        <v/>
      </c>
      <c r="AR139" s="134" t="str">
        <f>IF(Tab.o1[[#This Row],[a1]]=1,Tab.o1[[#This Row],[OBS]]/SUM(Tab.o1[OBS]),"")</f>
        <v/>
      </c>
      <c r="AS139" s="135" t="str">
        <f>IF(ISNUMBER(Tab.o1[[#This Row],[a1]]),ROW()-4,"")</f>
        <v/>
      </c>
      <c r="AT139" s="136" t="str">
        <f>Tab.o1[[#This Row],[MOD]]</f>
        <v/>
      </c>
      <c r="AU139" s="137" t="str">
        <f t="shared" si="9"/>
        <v/>
      </c>
      <c r="AV139" s="138" t="str">
        <f t="shared" si="10"/>
        <v/>
      </c>
      <c r="AW139" s="138" t="str">
        <f t="shared" si="11"/>
        <v/>
      </c>
      <c r="AX139" s="139" t="str">
        <f>[1]!T.in.A[[#This Row],[ID_T_manu]]</f>
        <v/>
      </c>
      <c r="AY139" s="140" t="str">
        <f>IF(ISNUMBER(Tab.o1[[#This Row],[a1]]),IF(AND(Tab.o1[[#This Row],[a1]]=1,Tab.o1[[#This Row],[b1]]&lt;=AY$4),#REF!,AY138),"")</f>
        <v/>
      </c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</row>
    <row r="140" spans="1:79" ht="14.25" hidden="1" customHeight="1">
      <c r="A140" s="109">
        <v>6.9999999999999999E-6</v>
      </c>
      <c r="B140" s="110">
        <f t="shared" si="8"/>
        <v>140</v>
      </c>
      <c r="C140" s="111" t="str">
        <f>IF(C$1=[1]!T.in.A[[#This Row],[oo2]],1,"")</f>
        <v/>
      </c>
      <c r="D140" s="112" t="str">
        <f>IF(Tab.o1[[#This Row],[a1]]=1,IF(SUM(C140:C141)=0,0,IF(SUM(C139:C140)=1,1,IF(SUM(C139:C141)&gt;1,D139+1,0))),"")</f>
        <v/>
      </c>
      <c r="E140" s="113" t="str">
        <f>IF(Tab.o1[[#This Row],[a1]]=1,[1]!T.in.A[[#This Row],[oo1]],"")</f>
        <v/>
      </c>
      <c r="F140" s="113" t="str">
        <f>IF(Tab.o1[[#This Row],[a1]]=1,[1]!T.in.A[[#This Row],[pp1]],"")</f>
        <v/>
      </c>
      <c r="G140" s="114" t="str">
        <f>IF(Tab.o1[[#This Row],[a1]]=1,G$2+IF(G$1=1,0,Tab.o1[[#This Row],[.x1]])+[1]!T.in.A[[#This Row],[oo3]],"")</f>
        <v/>
      </c>
      <c r="H140" s="115" t="str">
        <f>IF(Tab.o1[[#This Row],[a1]]=1,IF(H$2=0,0,IF(G$1=1,0,Tab.o1[[#This Row],[.x1]])+[1]!T.in.A[[#This Row],[oo4]]),"")</f>
        <v/>
      </c>
      <c r="I140" s="116" t="str">
        <f>IF(Tab.o1[[#This Row],[a1]]=1,IF(J$2=0,Tab.o1[[#This Row],[MED]],Tab.o1[[#This Row],[MOD]]),"")</f>
        <v/>
      </c>
      <c r="J140" s="116" t="str">
        <f>IF(Tab.o1[[#This Row],[a1]]=1,((Tab.o1[[#This Row],[DIF_Target.]]-AVERAGE(Tab.o1[DIF_Target.]))/_xlfn.STDEV.P(Tab.o1[DIF_Target.])),"")</f>
        <v/>
      </c>
      <c r="K140" s="117" t="str">
        <f>IF(Tab.o1[[#This Row],[a1]]=1,IF(J$2=0,Tab.o1[[#This Row],[MOD]]-Tab.o1[[#This Row],[B]],IF(J$2=1,0,-Tab.o1[[#This Row],[MED]])+Tab.o1[[#This Row],[B]]),"")</f>
        <v/>
      </c>
      <c r="L140" s="117" t="str">
        <f ca="1">IF(Tab.o1[[#This Row],[DIF_Target]]=0,IF(L$2=0,Tab.o1[[#This Row],[DIF_Target]],AVERAGE(OFFSET(Tab.o1[[#This Row],[DIF_Target]],1,0,L$3,1)))/3,Tab.o1[[#This Row],[DIF_Target]])</f>
        <v/>
      </c>
      <c r="M140" s="118" t="str">
        <f>IF(Tab.o1[[#This Row],[a1]]=1,NORMSDIST(Tab.o1[[#This Row],[Za]]),"")</f>
        <v/>
      </c>
      <c r="N140" s="119" t="str">
        <f>IF(Tab.o1[[#This Row],[a1]]=1,((Tab.o1[[#This Row],[MedMod]]-AVERAGE(Tab.o1[MedMod]))/_xlfn.STDEV.P(Tab.o1[MedMod])*H$1205)+G$1205,"")</f>
        <v/>
      </c>
      <c r="O140" s="141" t="str">
        <f>IF(Tab.o1[[#This Row],[a1]]=1,Tab.o1[[#This Row],[Zb]]*_xlfn.STDEV.P(Tab.o1[MedMod])+AVERAGE(Tab.o1[MedMod]),"")</f>
        <v/>
      </c>
      <c r="P140" s="117" t="str">
        <f ca="1">IF(Tab.o1[[#This Row],[B]]=0,AVERAGE(OFFSET(Tab.o1[[#This Row],[B]],1,0,L$3,1)),Tab.o1[[#This Row],[B]])</f>
        <v/>
      </c>
      <c r="Q140" s="121" t="str">
        <f>IF(Tab.o1[[#This Row],[a1]]=1,NORMSDIST(Tab.o1[[#This Row],[Zb]]),"")</f>
        <v/>
      </c>
      <c r="R140" s="122" t="str">
        <f>IF(Tab.o1[[#This Row],[a1]]=1,((Tab.o1[[#This Row],[MedMod]]-AVERAGE(Tab.o1[MedMod]))/_xlfn.STDEV.P(Tab.o1[MedMod])*H$1203)+G$1203,"")</f>
        <v/>
      </c>
      <c r="S140" s="122" t="str">
        <f>IF(Tab.o1[[#This Row],[a1]]=1,((Tab.o1[[#This Row],[MedMod]]-AVERAGE(Tab.o1[MedMod]))/_xlfn.STDEV.P(Tab.o1[MedMod])*H$1204)+G$1204,"")</f>
        <v/>
      </c>
      <c r="T140" s="123" t="str">
        <f>IF(Tab.o1[[#This Row],[a1]]=1,Tab.o1[[#This Row],[Z-]]*_xlfn.STDEV.P(Tab.o1[B])+AVERAGE(Tab.o1[B]),"")</f>
        <v/>
      </c>
      <c r="U140" s="123" t="str">
        <f>IF(Tab.o1[[#This Row],[a1]]=1,Tab.o1[[#This Row],[z+]]*_xlfn.STDEV.P(Tab.o1[B])+AVERAGE(Tab.o1[B]),"")</f>
        <v/>
      </c>
      <c r="V140" s="124" t="str">
        <f>IF(Tab.o1[[#This Row],[a1]]=1,ABS((ABS(Tab.o1[[#This Row],[Red]]-Tab.o1[[#This Row],[Blue]]))),"")</f>
        <v/>
      </c>
      <c r="W140" s="125" t="str">
        <f>IF(Tab.o1[[#This Row],[a1]]=1,IF(W$3=0,1,Tab.o1[[#This Row],[Amp.]]*1/_xlfn.MINIFS(Tab.o1[Amp.],Tab.o1[Amp.],"&lt;&gt;0")),"")</f>
        <v/>
      </c>
      <c r="X140" s="126" t="str">
        <f>IF(Tab.o1[[#This Row],[a1]]=1,IF(ISNUMBER(Tab.o1[[#This Row],[i.]]),NORMDIST(Tab.o1[[#This Row],[Za]],0,1,FALSE)*Tab.o1[[#This Row],[i.]],AP$3),"")</f>
        <v/>
      </c>
      <c r="Y140" s="126" t="str">
        <f>IF(Tab.o1[[#This Row],[a1]]=1,0.01+0.94*Tab.o1[[#This Row],[PDF]]/MAX(Tab.o1[PDF]),"")</f>
        <v/>
      </c>
      <c r="Z140" s="126" t="str">
        <f>IF(Tab.o1[[#This Row],[a1]]=1,0.01+0.94*Tab.o1[[#This Row],[W1_PDF]]/MAX(Tab.o1[W1_PDF]),"")</f>
        <v/>
      </c>
      <c r="AA140" s="118" t="str">
        <f>IF(Tab.o1[[#This Row],[a1]]=1,ABS([1]!T.in.A[[#This Row],[oo6]]),"")</f>
        <v/>
      </c>
      <c r="AB140" s="127" t="str">
        <f>IF(Tab.o1[[#This Row],[a1]]=1,IF(AE$3=0,"",IF(AB$3=0,ABS([1]!T.in.A[[#This Row],[oo9]]),ABS(Tab.o1[[#This Row],[DIF_Target.]]*Tab.o1[[#This Row],[W1_PDF]]))),"")</f>
        <v/>
      </c>
      <c r="AC140" s="127" t="str">
        <f>IF(G$1=1,"",IF(Tab.o1[[#This Row],[a1]]=1,Tab.o1[[#This Row],[Wr]]^2,""))</f>
        <v/>
      </c>
      <c r="AD140" s="118" t="str">
        <f>IF(Tab.o1[[#This Row],[a1]]=1,IF(AE$3=0,"",Tab.o1[[#This Row],[Wr2]]/SUM(Tab.o1[Wr2])),"")</f>
        <v/>
      </c>
      <c r="AE140" s="128" t="str">
        <f>IF(Tab.o1[[#This Row],[a1]]=1,[1]!T.in.A[[#This Row],[oo10]],"")</f>
        <v/>
      </c>
      <c r="AF140" s="118" t="str">
        <f>IF(Tab.o1[[#This Row],[a1]]=1,ABS(Tab.o1[[#This Row],[DIF_Target.]]*Tab.o1[[#This Row],[PDF2]]*Tab.o1[[#This Row],[IN]]),"")</f>
        <v/>
      </c>
      <c r="AG140" s="129" t="str">
        <f>IF(Tab.o1[[#This Row],[a1]]=1,Tab.o1[[#This Row],[rW]]^2,"")</f>
        <v/>
      </c>
      <c r="AH140" s="130" t="str">
        <f>IF(Tab.o1[[#This Row],[a1]]=1,IF(AH$3=0,Tab.o1[[#This Row],[rW2]],0.01+0.94*Tab.o1[[#This Row],[rW2]]/SUM(Tab.o1[rW2])),"")</f>
        <v/>
      </c>
      <c r="AI140" s="128" t="str">
        <f>IF(Tab.o1[[#This Row],[a1]]=1,1/Tab.o1[[#This Row],[PDF]],"")</f>
        <v/>
      </c>
      <c r="AJ140" s="131" t="str">
        <f>IF(Tab.o1[[#This Row],[a1]]=1,[1]!T_AA[[#This Row],[IN'']]*[1]!T_AA[[#This Row],[Qde'']],"")</f>
        <v/>
      </c>
      <c r="AK140" s="132" t="str">
        <f>IF(Tab.o1[[#This Row],[a1]]=1,IF(AK$1=1,Tab.o1[[#This Row],[MED]]+Tab.o1[[#This Row],[MOD]]-Tab.o1[[#This Row],[MED]],""),"")</f>
        <v/>
      </c>
      <c r="AL140" s="133" t="str">
        <f>IF(Tab.o1[[#This Row],[a1]]=1,[1]!T.in.A[[#This Row],[oo16]],"")</f>
        <v/>
      </c>
      <c r="AM140" s="133" t="str">
        <f>IF(Tab.o1[[#This Row],[a1]]=1,IF(AM$3=1,[1]!T.in.A[[#This Row],[Σo16]],""),"")</f>
        <v/>
      </c>
      <c r="AN140" s="126" t="str">
        <f>IF(Tab.o1[[#This Row],[a1]]=1,[1]!T.in.A[[#This Row],[Σp5]],"")</f>
        <v/>
      </c>
      <c r="AO140" s="126" t="str">
        <f>IF(Tab.o1[[#This Row],[a1]]=1,IF(AO$3=1,[1]!T.in.A[[#This Row],[Σp5]],""),"")</f>
        <v/>
      </c>
      <c r="AP140" s="110" t="str">
        <f>IF(Tab.o1[[#This Row],[a1]]=1,IF(ISNUMBER(Tab.o1[[#This Row],[i.]]),NORMDIST(Tab.o1[[#This Row],[Za]],0,1,FALSE)*Tab.o1[[#This Row],[i.]],0),"")</f>
        <v/>
      </c>
      <c r="AQ140" s="125" t="str">
        <f>IF(Tab.o1[[#This Row],[a1]]=1,ABS(Tab.o1[[#This Row],[MOD]]-AVERAGE(Tab.o1[MOD])),"")</f>
        <v/>
      </c>
      <c r="AR140" s="134" t="str">
        <f>IF(Tab.o1[[#This Row],[a1]]=1,Tab.o1[[#This Row],[OBS]]/SUM(Tab.o1[OBS]),"")</f>
        <v/>
      </c>
      <c r="AS140" s="135" t="str">
        <f>IF(ISNUMBER(Tab.o1[[#This Row],[a1]]),ROW()-4,"")</f>
        <v/>
      </c>
      <c r="AT140" s="136" t="str">
        <f>Tab.o1[[#This Row],[MOD]]</f>
        <v/>
      </c>
      <c r="AU140" s="137" t="str">
        <f t="shared" si="9"/>
        <v/>
      </c>
      <c r="AV140" s="138" t="str">
        <f t="shared" si="10"/>
        <v/>
      </c>
      <c r="AW140" s="138" t="str">
        <f t="shared" si="11"/>
        <v/>
      </c>
      <c r="AX140" s="139" t="str">
        <f>[1]!T.in.A[[#This Row],[ID_T_manu]]</f>
        <v/>
      </c>
      <c r="AY140" s="140" t="str">
        <f>IF(ISNUMBER(Tab.o1[[#This Row],[a1]]),IF(AND(Tab.o1[[#This Row],[a1]]=1,Tab.o1[[#This Row],[b1]]&lt;=AY$4),#REF!,AY139),"")</f>
        <v/>
      </c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</row>
    <row r="141" spans="1:79" ht="14.25" hidden="1" customHeight="1">
      <c r="A141" s="109">
        <v>-2.0000000000000003E-6</v>
      </c>
      <c r="B141" s="110">
        <f t="shared" si="8"/>
        <v>141</v>
      </c>
      <c r="C141" s="111" t="str">
        <f>IF(C$1=[1]!T.in.A[[#This Row],[oo2]],1,"")</f>
        <v/>
      </c>
      <c r="D141" s="112" t="str">
        <f>IF(Tab.o1[[#This Row],[a1]]=1,IF(SUM(C141:C142)=0,0,IF(SUM(C140:C141)=1,1,IF(SUM(C140:C142)&gt;1,D140+1,0))),"")</f>
        <v/>
      </c>
      <c r="E141" s="113" t="str">
        <f>IF(Tab.o1[[#This Row],[a1]]=1,[1]!T.in.A[[#This Row],[oo1]],"")</f>
        <v/>
      </c>
      <c r="F141" s="113" t="str">
        <f>IF(Tab.o1[[#This Row],[a1]]=1,[1]!T.in.A[[#This Row],[pp1]],"")</f>
        <v/>
      </c>
      <c r="G141" s="114" t="str">
        <f>IF(Tab.o1[[#This Row],[a1]]=1,G$2+IF(G$1=1,0,Tab.o1[[#This Row],[.x1]])+[1]!T.in.A[[#This Row],[oo3]],"")</f>
        <v/>
      </c>
      <c r="H141" s="115" t="str">
        <f>IF(Tab.o1[[#This Row],[a1]]=1,IF(H$2=0,0,IF(G$1=1,0,Tab.o1[[#This Row],[.x1]])+[1]!T.in.A[[#This Row],[oo4]]),"")</f>
        <v/>
      </c>
      <c r="I141" s="116" t="str">
        <f>IF(Tab.o1[[#This Row],[a1]]=1,IF(J$2=0,Tab.o1[[#This Row],[MED]],Tab.o1[[#This Row],[MOD]]),"")</f>
        <v/>
      </c>
      <c r="J141" s="116" t="str">
        <f>IF(Tab.o1[[#This Row],[a1]]=1,((Tab.o1[[#This Row],[DIF_Target.]]-AVERAGE(Tab.o1[DIF_Target.]))/_xlfn.STDEV.P(Tab.o1[DIF_Target.])),"")</f>
        <v/>
      </c>
      <c r="K141" s="117" t="str">
        <f>IF(Tab.o1[[#This Row],[a1]]=1,IF(J$2=0,Tab.o1[[#This Row],[MOD]]-Tab.o1[[#This Row],[B]],IF(J$2=1,0,-Tab.o1[[#This Row],[MED]])+Tab.o1[[#This Row],[B]]),"")</f>
        <v/>
      </c>
      <c r="L141" s="117" t="str">
        <f ca="1">IF(Tab.o1[[#This Row],[DIF_Target]]=0,IF(L$2=0,Tab.o1[[#This Row],[DIF_Target]],AVERAGE(OFFSET(Tab.o1[[#This Row],[DIF_Target]],1,0,L$3,1)))/3,Tab.o1[[#This Row],[DIF_Target]])</f>
        <v/>
      </c>
      <c r="M141" s="118" t="str">
        <f>IF(Tab.o1[[#This Row],[a1]]=1,NORMSDIST(Tab.o1[[#This Row],[Za]]),"")</f>
        <v/>
      </c>
      <c r="N141" s="119" t="str">
        <f>IF(Tab.o1[[#This Row],[a1]]=1,((Tab.o1[[#This Row],[MedMod]]-AVERAGE(Tab.o1[MedMod]))/_xlfn.STDEV.P(Tab.o1[MedMod])*H$1205)+G$1205,"")</f>
        <v/>
      </c>
      <c r="O141" s="141" t="str">
        <f>IF(Tab.o1[[#This Row],[a1]]=1,Tab.o1[[#This Row],[Zb]]*_xlfn.STDEV.P(Tab.o1[MedMod])+AVERAGE(Tab.o1[MedMod]),"")</f>
        <v/>
      </c>
      <c r="P141" s="117" t="str">
        <f ca="1">IF(Tab.o1[[#This Row],[B]]=0,AVERAGE(OFFSET(Tab.o1[[#This Row],[B]],1,0,L$3,1)),Tab.o1[[#This Row],[B]])</f>
        <v/>
      </c>
      <c r="Q141" s="121" t="str">
        <f>IF(Tab.o1[[#This Row],[a1]]=1,NORMSDIST(Tab.o1[[#This Row],[Zb]]),"")</f>
        <v/>
      </c>
      <c r="R141" s="122" t="str">
        <f>IF(Tab.o1[[#This Row],[a1]]=1,((Tab.o1[[#This Row],[MedMod]]-AVERAGE(Tab.o1[MedMod]))/_xlfn.STDEV.P(Tab.o1[MedMod])*H$1203)+G$1203,"")</f>
        <v/>
      </c>
      <c r="S141" s="122" t="str">
        <f>IF(Tab.o1[[#This Row],[a1]]=1,((Tab.o1[[#This Row],[MedMod]]-AVERAGE(Tab.o1[MedMod]))/_xlfn.STDEV.P(Tab.o1[MedMod])*H$1204)+G$1204,"")</f>
        <v/>
      </c>
      <c r="T141" s="123" t="str">
        <f>IF(Tab.o1[[#This Row],[a1]]=1,Tab.o1[[#This Row],[Z-]]*_xlfn.STDEV.P(Tab.o1[B])+AVERAGE(Tab.o1[B]),"")</f>
        <v/>
      </c>
      <c r="U141" s="123" t="str">
        <f>IF(Tab.o1[[#This Row],[a1]]=1,Tab.o1[[#This Row],[z+]]*_xlfn.STDEV.P(Tab.o1[B])+AVERAGE(Tab.o1[B]),"")</f>
        <v/>
      </c>
      <c r="V141" s="124" t="str">
        <f>IF(Tab.o1[[#This Row],[a1]]=1,ABS((ABS(Tab.o1[[#This Row],[Red]]-Tab.o1[[#This Row],[Blue]]))),"")</f>
        <v/>
      </c>
      <c r="W141" s="125" t="str">
        <f>IF(Tab.o1[[#This Row],[a1]]=1,IF(W$3=0,1,Tab.o1[[#This Row],[Amp.]]*1/_xlfn.MINIFS(Tab.o1[Amp.],Tab.o1[Amp.],"&lt;&gt;0")),"")</f>
        <v/>
      </c>
      <c r="X141" s="126" t="str">
        <f>IF(Tab.o1[[#This Row],[a1]]=1,IF(ISNUMBER(Tab.o1[[#This Row],[i.]]),NORMDIST(Tab.o1[[#This Row],[Za]],0,1,FALSE)*Tab.o1[[#This Row],[i.]],AP$3),"")</f>
        <v/>
      </c>
      <c r="Y141" s="126" t="str">
        <f>IF(Tab.o1[[#This Row],[a1]]=1,0.01+0.94*Tab.o1[[#This Row],[PDF]]/MAX(Tab.o1[PDF]),"")</f>
        <v/>
      </c>
      <c r="Z141" s="126" t="str">
        <f>IF(Tab.o1[[#This Row],[a1]]=1,0.01+0.94*Tab.o1[[#This Row],[W1_PDF]]/MAX(Tab.o1[W1_PDF]),"")</f>
        <v/>
      </c>
      <c r="AA141" s="118" t="str">
        <f>IF(Tab.o1[[#This Row],[a1]]=1,ABS([1]!T.in.A[[#This Row],[oo6]]),"")</f>
        <v/>
      </c>
      <c r="AB141" s="127" t="str">
        <f>IF(Tab.o1[[#This Row],[a1]]=1,IF(AE$3=0,"",IF(AB$3=0,ABS([1]!T.in.A[[#This Row],[oo9]]),ABS(Tab.o1[[#This Row],[DIF_Target.]]*Tab.o1[[#This Row],[W1_PDF]]))),"")</f>
        <v/>
      </c>
      <c r="AC141" s="127" t="str">
        <f>IF(G$1=1,"",IF(Tab.o1[[#This Row],[a1]]=1,Tab.o1[[#This Row],[Wr]]^2,""))</f>
        <v/>
      </c>
      <c r="AD141" s="118" t="str">
        <f>IF(Tab.o1[[#This Row],[a1]]=1,IF(AE$3=0,"",Tab.o1[[#This Row],[Wr2]]/SUM(Tab.o1[Wr2])),"")</f>
        <v/>
      </c>
      <c r="AE141" s="128" t="str">
        <f>IF(Tab.o1[[#This Row],[a1]]=1,[1]!T.in.A[[#This Row],[oo10]],"")</f>
        <v/>
      </c>
      <c r="AF141" s="118" t="str">
        <f>IF(Tab.o1[[#This Row],[a1]]=1,ABS(Tab.o1[[#This Row],[DIF_Target.]]*Tab.o1[[#This Row],[PDF2]]*Tab.o1[[#This Row],[IN]]),"")</f>
        <v/>
      </c>
      <c r="AG141" s="129" t="str">
        <f>IF(Tab.o1[[#This Row],[a1]]=1,Tab.o1[[#This Row],[rW]]^2,"")</f>
        <v/>
      </c>
      <c r="AH141" s="130" t="str">
        <f>IF(Tab.o1[[#This Row],[a1]]=1,IF(AH$3=0,Tab.o1[[#This Row],[rW2]],0.01+0.94*Tab.o1[[#This Row],[rW2]]/SUM(Tab.o1[rW2])),"")</f>
        <v/>
      </c>
      <c r="AI141" s="128" t="str">
        <f>IF(Tab.o1[[#This Row],[a1]]=1,1/Tab.o1[[#This Row],[PDF]],"")</f>
        <v/>
      </c>
      <c r="AJ141" s="131" t="str">
        <f>IF(Tab.o1[[#This Row],[a1]]=1,[1]!T_AA[[#This Row],[IN'']]*[1]!T_AA[[#This Row],[Qde'']],"")</f>
        <v/>
      </c>
      <c r="AK141" s="132" t="str">
        <f>IF(Tab.o1[[#This Row],[a1]]=1,IF(AK$1=1,Tab.o1[[#This Row],[MED]]+Tab.o1[[#This Row],[MOD]]-Tab.o1[[#This Row],[MED]],""),"")</f>
        <v/>
      </c>
      <c r="AL141" s="133" t="str">
        <f>IF(Tab.o1[[#This Row],[a1]]=1,[1]!T.in.A[[#This Row],[oo16]],"")</f>
        <v/>
      </c>
      <c r="AM141" s="133" t="str">
        <f>IF(Tab.o1[[#This Row],[a1]]=1,IF(AM$3=1,[1]!T.in.A[[#This Row],[Σo16]],""),"")</f>
        <v/>
      </c>
      <c r="AN141" s="126" t="str">
        <f>IF(Tab.o1[[#This Row],[a1]]=1,[1]!T.in.A[[#This Row],[Σp5]],"")</f>
        <v/>
      </c>
      <c r="AO141" s="126" t="str">
        <f>IF(Tab.o1[[#This Row],[a1]]=1,IF(AO$3=1,[1]!T.in.A[[#This Row],[Σp5]],""),"")</f>
        <v/>
      </c>
      <c r="AP141" s="110" t="str">
        <f>IF(Tab.o1[[#This Row],[a1]]=1,IF(ISNUMBER(Tab.o1[[#This Row],[i.]]),NORMDIST(Tab.o1[[#This Row],[Za]],0,1,FALSE)*Tab.o1[[#This Row],[i.]],0),"")</f>
        <v/>
      </c>
      <c r="AQ141" s="125" t="str">
        <f>IF(Tab.o1[[#This Row],[a1]]=1,ABS(Tab.o1[[#This Row],[MOD]]-AVERAGE(Tab.o1[MOD])),"")</f>
        <v/>
      </c>
      <c r="AR141" s="134" t="str">
        <f>IF(Tab.o1[[#This Row],[a1]]=1,Tab.o1[[#This Row],[OBS]]/SUM(Tab.o1[OBS]),"")</f>
        <v/>
      </c>
      <c r="AS141" s="135" t="str">
        <f>IF(ISNUMBER(Tab.o1[[#This Row],[a1]]),ROW()-4,"")</f>
        <v/>
      </c>
      <c r="AT141" s="136" t="str">
        <f>Tab.o1[[#This Row],[MOD]]</f>
        <v/>
      </c>
      <c r="AU141" s="137" t="str">
        <f t="shared" si="9"/>
        <v/>
      </c>
      <c r="AV141" s="138" t="str">
        <f t="shared" si="10"/>
        <v/>
      </c>
      <c r="AW141" s="138" t="str">
        <f t="shared" si="11"/>
        <v/>
      </c>
      <c r="AX141" s="139" t="str">
        <f>[1]!T.in.A[[#This Row],[ID_T_manu]]</f>
        <v/>
      </c>
      <c r="AY141" s="140" t="str">
        <f>IF(ISNUMBER(Tab.o1[[#This Row],[a1]]),IF(AND(Tab.o1[[#This Row],[a1]]=1,Tab.o1[[#This Row],[b1]]&lt;=AY$4),#REF!,AY140),"")</f>
        <v/>
      </c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</row>
    <row r="142" spans="1:79" ht="14.25" hidden="1" customHeight="1">
      <c r="A142" s="109">
        <v>9.0000000000000002E-6</v>
      </c>
      <c r="B142" s="110">
        <f t="shared" si="8"/>
        <v>142</v>
      </c>
      <c r="C142" s="111" t="str">
        <f>IF(C$1=[1]!T.in.A[[#This Row],[oo2]],1,"")</f>
        <v/>
      </c>
      <c r="D142" s="112" t="str">
        <f>IF(Tab.o1[[#This Row],[a1]]=1,IF(SUM(C142:C143)=0,0,IF(SUM(C141:C142)=1,1,IF(SUM(C141:C143)&gt;1,D141+1,0))),"")</f>
        <v/>
      </c>
      <c r="E142" s="113" t="str">
        <f>IF(Tab.o1[[#This Row],[a1]]=1,[1]!T.in.A[[#This Row],[oo1]],"")</f>
        <v/>
      </c>
      <c r="F142" s="113" t="str">
        <f>IF(Tab.o1[[#This Row],[a1]]=1,[1]!T.in.A[[#This Row],[pp1]],"")</f>
        <v/>
      </c>
      <c r="G142" s="114" t="str">
        <f>IF(Tab.o1[[#This Row],[a1]]=1,G$2+IF(G$1=1,0,Tab.o1[[#This Row],[.x1]])+[1]!T.in.A[[#This Row],[oo3]],"")</f>
        <v/>
      </c>
      <c r="H142" s="115" t="str">
        <f>IF(Tab.o1[[#This Row],[a1]]=1,IF(H$2=0,0,IF(G$1=1,0,Tab.o1[[#This Row],[.x1]])+[1]!T.in.A[[#This Row],[oo4]]),"")</f>
        <v/>
      </c>
      <c r="I142" s="116" t="str">
        <f>IF(Tab.o1[[#This Row],[a1]]=1,IF(J$2=0,Tab.o1[[#This Row],[MED]],Tab.o1[[#This Row],[MOD]]),"")</f>
        <v/>
      </c>
      <c r="J142" s="116" t="str">
        <f>IF(Tab.o1[[#This Row],[a1]]=1,((Tab.o1[[#This Row],[DIF_Target.]]-AVERAGE(Tab.o1[DIF_Target.]))/_xlfn.STDEV.P(Tab.o1[DIF_Target.])),"")</f>
        <v/>
      </c>
      <c r="K142" s="117" t="str">
        <f>IF(Tab.o1[[#This Row],[a1]]=1,IF(J$2=0,Tab.o1[[#This Row],[MOD]]-Tab.o1[[#This Row],[B]],IF(J$2=1,0,-Tab.o1[[#This Row],[MED]])+Tab.o1[[#This Row],[B]]),"")</f>
        <v/>
      </c>
      <c r="L142" s="117" t="str">
        <f ca="1">IF(Tab.o1[[#This Row],[DIF_Target]]=0,IF(L$2=0,Tab.o1[[#This Row],[DIF_Target]],AVERAGE(OFFSET(Tab.o1[[#This Row],[DIF_Target]],1,0,L$3,1)))/3,Tab.o1[[#This Row],[DIF_Target]])</f>
        <v/>
      </c>
      <c r="M142" s="118" t="str">
        <f>IF(Tab.o1[[#This Row],[a1]]=1,NORMSDIST(Tab.o1[[#This Row],[Za]]),"")</f>
        <v/>
      </c>
      <c r="N142" s="119" t="str">
        <f>IF(Tab.o1[[#This Row],[a1]]=1,((Tab.o1[[#This Row],[MedMod]]-AVERAGE(Tab.o1[MedMod]))/_xlfn.STDEV.P(Tab.o1[MedMod])*H$1205)+G$1205,"")</f>
        <v/>
      </c>
      <c r="O142" s="141" t="str">
        <f>IF(Tab.o1[[#This Row],[a1]]=1,Tab.o1[[#This Row],[Zb]]*_xlfn.STDEV.P(Tab.o1[MedMod])+AVERAGE(Tab.o1[MedMod]),"")</f>
        <v/>
      </c>
      <c r="P142" s="117" t="str">
        <f ca="1">IF(Tab.o1[[#This Row],[B]]=0,AVERAGE(OFFSET(Tab.o1[[#This Row],[B]],1,0,L$3,1)),Tab.o1[[#This Row],[B]])</f>
        <v/>
      </c>
      <c r="Q142" s="121" t="str">
        <f>IF(Tab.o1[[#This Row],[a1]]=1,NORMSDIST(Tab.o1[[#This Row],[Zb]]),"")</f>
        <v/>
      </c>
      <c r="R142" s="122" t="str">
        <f>IF(Tab.o1[[#This Row],[a1]]=1,((Tab.o1[[#This Row],[MedMod]]-AVERAGE(Tab.o1[MedMod]))/_xlfn.STDEV.P(Tab.o1[MedMod])*H$1203)+G$1203,"")</f>
        <v/>
      </c>
      <c r="S142" s="122" t="str">
        <f>IF(Tab.o1[[#This Row],[a1]]=1,((Tab.o1[[#This Row],[MedMod]]-AVERAGE(Tab.o1[MedMod]))/_xlfn.STDEV.P(Tab.o1[MedMod])*H$1204)+G$1204,"")</f>
        <v/>
      </c>
      <c r="T142" s="123" t="str">
        <f>IF(Tab.o1[[#This Row],[a1]]=1,Tab.o1[[#This Row],[Z-]]*_xlfn.STDEV.P(Tab.o1[B])+AVERAGE(Tab.o1[B]),"")</f>
        <v/>
      </c>
      <c r="U142" s="123" t="str">
        <f>IF(Tab.o1[[#This Row],[a1]]=1,Tab.o1[[#This Row],[z+]]*_xlfn.STDEV.P(Tab.o1[B])+AVERAGE(Tab.o1[B]),"")</f>
        <v/>
      </c>
      <c r="V142" s="124" t="str">
        <f>IF(Tab.o1[[#This Row],[a1]]=1,ABS((ABS(Tab.o1[[#This Row],[Red]]-Tab.o1[[#This Row],[Blue]]))),"")</f>
        <v/>
      </c>
      <c r="W142" s="125" t="str">
        <f>IF(Tab.o1[[#This Row],[a1]]=1,IF(W$3=0,1,Tab.o1[[#This Row],[Amp.]]*1/_xlfn.MINIFS(Tab.o1[Amp.],Tab.o1[Amp.],"&lt;&gt;0")),"")</f>
        <v/>
      </c>
      <c r="X142" s="126" t="str">
        <f>IF(Tab.o1[[#This Row],[a1]]=1,IF(ISNUMBER(Tab.o1[[#This Row],[i.]]),NORMDIST(Tab.o1[[#This Row],[Za]],0,1,FALSE)*Tab.o1[[#This Row],[i.]],AP$3),"")</f>
        <v/>
      </c>
      <c r="Y142" s="126" t="str">
        <f>IF(Tab.o1[[#This Row],[a1]]=1,0.01+0.94*Tab.o1[[#This Row],[PDF]]/MAX(Tab.o1[PDF]),"")</f>
        <v/>
      </c>
      <c r="Z142" s="126" t="str">
        <f>IF(Tab.o1[[#This Row],[a1]]=1,0.01+0.94*Tab.o1[[#This Row],[W1_PDF]]/MAX(Tab.o1[W1_PDF]),"")</f>
        <v/>
      </c>
      <c r="AA142" s="118" t="str">
        <f>IF(Tab.o1[[#This Row],[a1]]=1,ABS([1]!T.in.A[[#This Row],[oo6]]),"")</f>
        <v/>
      </c>
      <c r="AB142" s="127" t="str">
        <f>IF(Tab.o1[[#This Row],[a1]]=1,IF(AE$3=0,"",IF(AB$3=0,ABS([1]!T.in.A[[#This Row],[oo9]]),ABS(Tab.o1[[#This Row],[DIF_Target.]]*Tab.o1[[#This Row],[W1_PDF]]))),"")</f>
        <v/>
      </c>
      <c r="AC142" s="127" t="str">
        <f>IF(G$1=1,"",IF(Tab.o1[[#This Row],[a1]]=1,Tab.o1[[#This Row],[Wr]]^2,""))</f>
        <v/>
      </c>
      <c r="AD142" s="118" t="str">
        <f>IF(Tab.o1[[#This Row],[a1]]=1,IF(AE$3=0,"",Tab.o1[[#This Row],[Wr2]]/SUM(Tab.o1[Wr2])),"")</f>
        <v/>
      </c>
      <c r="AE142" s="128" t="str">
        <f>IF(Tab.o1[[#This Row],[a1]]=1,[1]!T.in.A[[#This Row],[oo10]],"")</f>
        <v/>
      </c>
      <c r="AF142" s="118" t="str">
        <f>IF(Tab.o1[[#This Row],[a1]]=1,ABS(Tab.o1[[#This Row],[DIF_Target.]]*Tab.o1[[#This Row],[PDF2]]*Tab.o1[[#This Row],[IN]]),"")</f>
        <v/>
      </c>
      <c r="AG142" s="129" t="str">
        <f>IF(Tab.o1[[#This Row],[a1]]=1,Tab.o1[[#This Row],[rW]]^2,"")</f>
        <v/>
      </c>
      <c r="AH142" s="130" t="str">
        <f>IF(Tab.o1[[#This Row],[a1]]=1,IF(AH$3=0,Tab.o1[[#This Row],[rW2]],0.01+0.94*Tab.o1[[#This Row],[rW2]]/SUM(Tab.o1[rW2])),"")</f>
        <v/>
      </c>
      <c r="AI142" s="128" t="str">
        <f>IF(Tab.o1[[#This Row],[a1]]=1,1/Tab.o1[[#This Row],[PDF]],"")</f>
        <v/>
      </c>
      <c r="AJ142" s="131" t="str">
        <f>IF(Tab.o1[[#This Row],[a1]]=1,[1]!T_AA[[#This Row],[IN'']]*[1]!T_AA[[#This Row],[Qde'']],"")</f>
        <v/>
      </c>
      <c r="AK142" s="132" t="str">
        <f>IF(Tab.o1[[#This Row],[a1]]=1,IF(AK$1=1,Tab.o1[[#This Row],[MED]]+Tab.o1[[#This Row],[MOD]]-Tab.o1[[#This Row],[MED]],""),"")</f>
        <v/>
      </c>
      <c r="AL142" s="133" t="str">
        <f>IF(Tab.o1[[#This Row],[a1]]=1,[1]!T.in.A[[#This Row],[oo16]],"")</f>
        <v/>
      </c>
      <c r="AM142" s="133" t="str">
        <f>IF(Tab.o1[[#This Row],[a1]]=1,IF(AM$3=1,[1]!T.in.A[[#This Row],[Σo16]],""),"")</f>
        <v/>
      </c>
      <c r="AN142" s="126" t="str">
        <f>IF(Tab.o1[[#This Row],[a1]]=1,[1]!T.in.A[[#This Row],[Σp5]],"")</f>
        <v/>
      </c>
      <c r="AO142" s="126" t="str">
        <f>IF(Tab.o1[[#This Row],[a1]]=1,IF(AO$3=1,[1]!T.in.A[[#This Row],[Σp5]],""),"")</f>
        <v/>
      </c>
      <c r="AP142" s="110" t="str">
        <f>IF(Tab.o1[[#This Row],[a1]]=1,IF(ISNUMBER(Tab.o1[[#This Row],[i.]]),NORMDIST(Tab.o1[[#This Row],[Za]],0,1,FALSE)*Tab.o1[[#This Row],[i.]],0),"")</f>
        <v/>
      </c>
      <c r="AQ142" s="125" t="str">
        <f>IF(Tab.o1[[#This Row],[a1]]=1,ABS(Tab.o1[[#This Row],[MOD]]-AVERAGE(Tab.o1[MOD])),"")</f>
        <v/>
      </c>
      <c r="AR142" s="134" t="str">
        <f>IF(Tab.o1[[#This Row],[a1]]=1,Tab.o1[[#This Row],[OBS]]/SUM(Tab.o1[OBS]),"")</f>
        <v/>
      </c>
      <c r="AS142" s="135" t="str">
        <f>IF(ISNUMBER(Tab.o1[[#This Row],[a1]]),ROW()-4,"")</f>
        <v/>
      </c>
      <c r="AT142" s="136" t="str">
        <f>Tab.o1[[#This Row],[MOD]]</f>
        <v/>
      </c>
      <c r="AU142" s="137" t="str">
        <f t="shared" si="9"/>
        <v/>
      </c>
      <c r="AV142" s="138" t="str">
        <f t="shared" si="10"/>
        <v/>
      </c>
      <c r="AW142" s="138" t="str">
        <f t="shared" si="11"/>
        <v/>
      </c>
      <c r="AX142" s="139" t="str">
        <f>[1]!T.in.A[[#This Row],[ID_T_manu]]</f>
        <v/>
      </c>
      <c r="AY142" s="140" t="str">
        <f>IF(ISNUMBER(Tab.o1[[#This Row],[a1]]),IF(AND(Tab.o1[[#This Row],[a1]]=1,Tab.o1[[#This Row],[b1]]&lt;=AY$4),#REF!,AY141),"")</f>
        <v/>
      </c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</row>
    <row r="143" spans="1:79" ht="14.25" hidden="1" customHeight="1">
      <c r="A143" s="109">
        <v>-8.0000000000000013E-6</v>
      </c>
      <c r="B143" s="110">
        <f t="shared" si="8"/>
        <v>143</v>
      </c>
      <c r="C143" s="111" t="str">
        <f>IF(C$1=[1]!T.in.A[[#This Row],[oo2]],1,"")</f>
        <v/>
      </c>
      <c r="D143" s="112" t="str">
        <f>IF(Tab.o1[[#This Row],[a1]]=1,IF(SUM(C143:C144)=0,0,IF(SUM(C142:C143)=1,1,IF(SUM(C142:C144)&gt;1,D142+1,0))),"")</f>
        <v/>
      </c>
      <c r="E143" s="113" t="str">
        <f>IF(Tab.o1[[#This Row],[a1]]=1,[1]!T.in.A[[#This Row],[oo1]],"")</f>
        <v/>
      </c>
      <c r="F143" s="113" t="str">
        <f>IF(Tab.o1[[#This Row],[a1]]=1,[1]!T.in.A[[#This Row],[pp1]],"")</f>
        <v/>
      </c>
      <c r="G143" s="114" t="str">
        <f>IF(Tab.o1[[#This Row],[a1]]=1,G$2+IF(G$1=1,0,Tab.o1[[#This Row],[.x1]])+[1]!T.in.A[[#This Row],[oo3]],"")</f>
        <v/>
      </c>
      <c r="H143" s="115" t="str">
        <f>IF(Tab.o1[[#This Row],[a1]]=1,IF(H$2=0,0,IF(G$1=1,0,Tab.o1[[#This Row],[.x1]])+[1]!T.in.A[[#This Row],[oo4]]),"")</f>
        <v/>
      </c>
      <c r="I143" s="116" t="str">
        <f>IF(Tab.o1[[#This Row],[a1]]=1,IF(J$2=0,Tab.o1[[#This Row],[MED]],Tab.o1[[#This Row],[MOD]]),"")</f>
        <v/>
      </c>
      <c r="J143" s="116" t="str">
        <f>IF(Tab.o1[[#This Row],[a1]]=1,((Tab.o1[[#This Row],[DIF_Target.]]-AVERAGE(Tab.o1[DIF_Target.]))/_xlfn.STDEV.P(Tab.o1[DIF_Target.])),"")</f>
        <v/>
      </c>
      <c r="K143" s="117" t="str">
        <f>IF(Tab.o1[[#This Row],[a1]]=1,IF(J$2=0,Tab.o1[[#This Row],[MOD]]-Tab.o1[[#This Row],[B]],IF(J$2=1,0,-Tab.o1[[#This Row],[MED]])+Tab.o1[[#This Row],[B]]),"")</f>
        <v/>
      </c>
      <c r="L143" s="117" t="str">
        <f ca="1">IF(Tab.o1[[#This Row],[DIF_Target]]=0,IF(L$2=0,Tab.o1[[#This Row],[DIF_Target]],AVERAGE(OFFSET(Tab.o1[[#This Row],[DIF_Target]],1,0,L$3,1)))/3,Tab.o1[[#This Row],[DIF_Target]])</f>
        <v/>
      </c>
      <c r="M143" s="118" t="str">
        <f>IF(Tab.o1[[#This Row],[a1]]=1,NORMSDIST(Tab.o1[[#This Row],[Za]]),"")</f>
        <v/>
      </c>
      <c r="N143" s="119" t="str">
        <f>IF(Tab.o1[[#This Row],[a1]]=1,((Tab.o1[[#This Row],[MedMod]]-AVERAGE(Tab.o1[MedMod]))/_xlfn.STDEV.P(Tab.o1[MedMod])*H$1205)+G$1205,"")</f>
        <v/>
      </c>
      <c r="O143" s="141" t="str">
        <f>IF(Tab.o1[[#This Row],[a1]]=1,Tab.o1[[#This Row],[Zb]]*_xlfn.STDEV.P(Tab.o1[MedMod])+AVERAGE(Tab.o1[MedMod]),"")</f>
        <v/>
      </c>
      <c r="P143" s="117" t="str">
        <f ca="1">IF(Tab.o1[[#This Row],[B]]=0,AVERAGE(OFFSET(Tab.o1[[#This Row],[B]],1,0,L$3,1)),Tab.o1[[#This Row],[B]])</f>
        <v/>
      </c>
      <c r="Q143" s="121" t="str">
        <f>IF(Tab.o1[[#This Row],[a1]]=1,NORMSDIST(Tab.o1[[#This Row],[Zb]]),"")</f>
        <v/>
      </c>
      <c r="R143" s="122" t="str">
        <f>IF(Tab.o1[[#This Row],[a1]]=1,((Tab.o1[[#This Row],[MedMod]]-AVERAGE(Tab.o1[MedMod]))/_xlfn.STDEV.P(Tab.o1[MedMod])*H$1203)+G$1203,"")</f>
        <v/>
      </c>
      <c r="S143" s="122" t="str">
        <f>IF(Tab.o1[[#This Row],[a1]]=1,((Tab.o1[[#This Row],[MedMod]]-AVERAGE(Tab.o1[MedMod]))/_xlfn.STDEV.P(Tab.o1[MedMod])*H$1204)+G$1204,"")</f>
        <v/>
      </c>
      <c r="T143" s="123" t="str">
        <f>IF(Tab.o1[[#This Row],[a1]]=1,Tab.o1[[#This Row],[Z-]]*_xlfn.STDEV.P(Tab.o1[B])+AVERAGE(Tab.o1[B]),"")</f>
        <v/>
      </c>
      <c r="U143" s="123" t="str">
        <f>IF(Tab.o1[[#This Row],[a1]]=1,Tab.o1[[#This Row],[z+]]*_xlfn.STDEV.P(Tab.o1[B])+AVERAGE(Tab.o1[B]),"")</f>
        <v/>
      </c>
      <c r="V143" s="124" t="str">
        <f>IF(Tab.o1[[#This Row],[a1]]=1,ABS((ABS(Tab.o1[[#This Row],[Red]]-Tab.o1[[#This Row],[Blue]]))),"")</f>
        <v/>
      </c>
      <c r="W143" s="125" t="str">
        <f>IF(Tab.o1[[#This Row],[a1]]=1,IF(W$3=0,1,Tab.o1[[#This Row],[Amp.]]*1/_xlfn.MINIFS(Tab.o1[Amp.],Tab.o1[Amp.],"&lt;&gt;0")),"")</f>
        <v/>
      </c>
      <c r="X143" s="126" t="str">
        <f>IF(Tab.o1[[#This Row],[a1]]=1,IF(ISNUMBER(Tab.o1[[#This Row],[i.]]),NORMDIST(Tab.o1[[#This Row],[Za]],0,1,FALSE)*Tab.o1[[#This Row],[i.]],AP$3),"")</f>
        <v/>
      </c>
      <c r="Y143" s="126" t="str">
        <f>IF(Tab.o1[[#This Row],[a1]]=1,0.01+0.94*Tab.o1[[#This Row],[PDF]]/MAX(Tab.o1[PDF]),"")</f>
        <v/>
      </c>
      <c r="Z143" s="126" t="str">
        <f>IF(Tab.o1[[#This Row],[a1]]=1,0.01+0.94*Tab.o1[[#This Row],[W1_PDF]]/MAX(Tab.o1[W1_PDF]),"")</f>
        <v/>
      </c>
      <c r="AA143" s="118" t="str">
        <f>IF(Tab.o1[[#This Row],[a1]]=1,ABS([1]!T.in.A[[#This Row],[oo6]]),"")</f>
        <v/>
      </c>
      <c r="AB143" s="127" t="str">
        <f>IF(Tab.o1[[#This Row],[a1]]=1,IF(AE$3=0,"",IF(AB$3=0,ABS([1]!T.in.A[[#This Row],[oo9]]),ABS(Tab.o1[[#This Row],[DIF_Target.]]*Tab.o1[[#This Row],[W1_PDF]]))),"")</f>
        <v/>
      </c>
      <c r="AC143" s="127" t="str">
        <f>IF(G$1=1,"",IF(Tab.o1[[#This Row],[a1]]=1,Tab.o1[[#This Row],[Wr]]^2,""))</f>
        <v/>
      </c>
      <c r="AD143" s="118" t="str">
        <f>IF(Tab.o1[[#This Row],[a1]]=1,IF(AE$3=0,"",Tab.o1[[#This Row],[Wr2]]/SUM(Tab.o1[Wr2])),"")</f>
        <v/>
      </c>
      <c r="AE143" s="128" t="str">
        <f>IF(Tab.o1[[#This Row],[a1]]=1,[1]!T.in.A[[#This Row],[oo10]],"")</f>
        <v/>
      </c>
      <c r="AF143" s="118" t="str">
        <f>IF(Tab.o1[[#This Row],[a1]]=1,ABS(Tab.o1[[#This Row],[DIF_Target.]]*Tab.o1[[#This Row],[PDF2]]*Tab.o1[[#This Row],[IN]]),"")</f>
        <v/>
      </c>
      <c r="AG143" s="129" t="str">
        <f>IF(Tab.o1[[#This Row],[a1]]=1,Tab.o1[[#This Row],[rW]]^2,"")</f>
        <v/>
      </c>
      <c r="AH143" s="130" t="str">
        <f>IF(Tab.o1[[#This Row],[a1]]=1,IF(AH$3=0,Tab.o1[[#This Row],[rW2]],0.01+0.94*Tab.o1[[#This Row],[rW2]]/SUM(Tab.o1[rW2])),"")</f>
        <v/>
      </c>
      <c r="AI143" s="128" t="str">
        <f>IF(Tab.o1[[#This Row],[a1]]=1,1/Tab.o1[[#This Row],[PDF]],"")</f>
        <v/>
      </c>
      <c r="AJ143" s="131" t="str">
        <f>IF(Tab.o1[[#This Row],[a1]]=1,[1]!T_AA[[#This Row],[IN'']]*[1]!T_AA[[#This Row],[Qde'']],"")</f>
        <v/>
      </c>
      <c r="AK143" s="132" t="str">
        <f>IF(Tab.o1[[#This Row],[a1]]=1,IF(AK$1=1,Tab.o1[[#This Row],[MED]]+Tab.o1[[#This Row],[MOD]]-Tab.o1[[#This Row],[MED]],""),"")</f>
        <v/>
      </c>
      <c r="AL143" s="133" t="str">
        <f>IF(Tab.o1[[#This Row],[a1]]=1,[1]!T.in.A[[#This Row],[oo16]],"")</f>
        <v/>
      </c>
      <c r="AM143" s="133" t="str">
        <f>IF(Tab.o1[[#This Row],[a1]]=1,IF(AM$3=1,[1]!T.in.A[[#This Row],[Σo16]],""),"")</f>
        <v/>
      </c>
      <c r="AN143" s="126" t="str">
        <f>IF(Tab.o1[[#This Row],[a1]]=1,[1]!T.in.A[[#This Row],[Σp5]],"")</f>
        <v/>
      </c>
      <c r="AO143" s="126" t="str">
        <f>IF(Tab.o1[[#This Row],[a1]]=1,IF(AO$3=1,[1]!T.in.A[[#This Row],[Σp5]],""),"")</f>
        <v/>
      </c>
      <c r="AP143" s="110" t="str">
        <f>IF(Tab.o1[[#This Row],[a1]]=1,IF(ISNUMBER(Tab.o1[[#This Row],[i.]]),NORMDIST(Tab.o1[[#This Row],[Za]],0,1,FALSE)*Tab.o1[[#This Row],[i.]],0),"")</f>
        <v/>
      </c>
      <c r="AQ143" s="125" t="str">
        <f>IF(Tab.o1[[#This Row],[a1]]=1,ABS(Tab.o1[[#This Row],[MOD]]-AVERAGE(Tab.o1[MOD])),"")</f>
        <v/>
      </c>
      <c r="AR143" s="134" t="str">
        <f>IF(Tab.o1[[#This Row],[a1]]=1,Tab.o1[[#This Row],[OBS]]/SUM(Tab.o1[OBS]),"")</f>
        <v/>
      </c>
      <c r="AS143" s="135" t="str">
        <f>IF(ISNUMBER(Tab.o1[[#This Row],[a1]]),ROW()-4,"")</f>
        <v/>
      </c>
      <c r="AT143" s="136" t="str">
        <f>Tab.o1[[#This Row],[MOD]]</f>
        <v/>
      </c>
      <c r="AU143" s="137" t="str">
        <f t="shared" si="9"/>
        <v/>
      </c>
      <c r="AV143" s="138" t="str">
        <f t="shared" si="10"/>
        <v/>
      </c>
      <c r="AW143" s="138" t="str">
        <f t="shared" si="11"/>
        <v/>
      </c>
      <c r="AX143" s="139" t="str">
        <f>[1]!T.in.A[[#This Row],[ID_T_manu]]</f>
        <v/>
      </c>
      <c r="AY143" s="140" t="str">
        <f>IF(ISNUMBER(Tab.o1[[#This Row],[a1]]),IF(AND(Tab.o1[[#This Row],[a1]]=1,Tab.o1[[#This Row],[b1]]&lt;=AY$4),#REF!,AY142),"")</f>
        <v/>
      </c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</row>
    <row r="144" spans="1:79" ht="14.25" hidden="1" customHeight="1">
      <c r="A144" s="109">
        <v>-5.0000000000000004E-6</v>
      </c>
      <c r="B144" s="110">
        <f t="shared" si="8"/>
        <v>144</v>
      </c>
      <c r="C144" s="111" t="str">
        <f>IF(C$1=[1]!T.in.A[[#This Row],[oo2]],1,"")</f>
        <v/>
      </c>
      <c r="D144" s="112" t="str">
        <f>IF(Tab.o1[[#This Row],[a1]]=1,IF(SUM(C144:C145)=0,0,IF(SUM(C143:C144)=1,1,IF(SUM(C143:C145)&gt;1,D143+1,0))),"")</f>
        <v/>
      </c>
      <c r="E144" s="113" t="str">
        <f>IF(Tab.o1[[#This Row],[a1]]=1,[1]!T.in.A[[#This Row],[oo1]],"")</f>
        <v/>
      </c>
      <c r="F144" s="113" t="str">
        <f>IF(Tab.o1[[#This Row],[a1]]=1,[1]!T.in.A[[#This Row],[pp1]],"")</f>
        <v/>
      </c>
      <c r="G144" s="114" t="str">
        <f>IF(Tab.o1[[#This Row],[a1]]=1,G$2+IF(G$1=1,0,Tab.o1[[#This Row],[.x1]])+[1]!T.in.A[[#This Row],[oo3]],"")</f>
        <v/>
      </c>
      <c r="H144" s="115" t="str">
        <f>IF(Tab.o1[[#This Row],[a1]]=1,IF(H$2=0,0,IF(G$1=1,0,Tab.o1[[#This Row],[.x1]])+[1]!T.in.A[[#This Row],[oo4]]),"")</f>
        <v/>
      </c>
      <c r="I144" s="116" t="str">
        <f>IF(Tab.o1[[#This Row],[a1]]=1,IF(J$2=0,Tab.o1[[#This Row],[MED]],Tab.o1[[#This Row],[MOD]]),"")</f>
        <v/>
      </c>
      <c r="J144" s="116" t="str">
        <f>IF(Tab.o1[[#This Row],[a1]]=1,((Tab.o1[[#This Row],[DIF_Target.]]-AVERAGE(Tab.o1[DIF_Target.]))/_xlfn.STDEV.P(Tab.o1[DIF_Target.])),"")</f>
        <v/>
      </c>
      <c r="K144" s="117" t="str">
        <f>IF(Tab.o1[[#This Row],[a1]]=1,IF(J$2=0,Tab.o1[[#This Row],[MOD]]-Tab.o1[[#This Row],[B]],IF(J$2=1,0,-Tab.o1[[#This Row],[MED]])+Tab.o1[[#This Row],[B]]),"")</f>
        <v/>
      </c>
      <c r="L144" s="117" t="str">
        <f ca="1">IF(Tab.o1[[#This Row],[DIF_Target]]=0,IF(L$2=0,Tab.o1[[#This Row],[DIF_Target]],AVERAGE(OFFSET(Tab.o1[[#This Row],[DIF_Target]],1,0,L$3,1)))/3,Tab.o1[[#This Row],[DIF_Target]])</f>
        <v/>
      </c>
      <c r="M144" s="118" t="str">
        <f>IF(Tab.o1[[#This Row],[a1]]=1,NORMSDIST(Tab.o1[[#This Row],[Za]]),"")</f>
        <v/>
      </c>
      <c r="N144" s="119" t="str">
        <f>IF(Tab.o1[[#This Row],[a1]]=1,((Tab.o1[[#This Row],[MedMod]]-AVERAGE(Tab.o1[MedMod]))/_xlfn.STDEV.P(Tab.o1[MedMod])*H$1205)+G$1205,"")</f>
        <v/>
      </c>
      <c r="O144" s="141" t="str">
        <f>IF(Tab.o1[[#This Row],[a1]]=1,Tab.o1[[#This Row],[Zb]]*_xlfn.STDEV.P(Tab.o1[MedMod])+AVERAGE(Tab.o1[MedMod]),"")</f>
        <v/>
      </c>
      <c r="P144" s="117" t="str">
        <f ca="1">IF(Tab.o1[[#This Row],[B]]=0,AVERAGE(OFFSET(Tab.o1[[#This Row],[B]],1,0,L$3,1)),Tab.o1[[#This Row],[B]])</f>
        <v/>
      </c>
      <c r="Q144" s="121" t="str">
        <f>IF(Tab.o1[[#This Row],[a1]]=1,NORMSDIST(Tab.o1[[#This Row],[Zb]]),"")</f>
        <v/>
      </c>
      <c r="R144" s="122" t="str">
        <f>IF(Tab.o1[[#This Row],[a1]]=1,((Tab.o1[[#This Row],[MedMod]]-AVERAGE(Tab.o1[MedMod]))/_xlfn.STDEV.P(Tab.o1[MedMod])*H$1203)+G$1203,"")</f>
        <v/>
      </c>
      <c r="S144" s="122" t="str">
        <f>IF(Tab.o1[[#This Row],[a1]]=1,((Tab.o1[[#This Row],[MedMod]]-AVERAGE(Tab.o1[MedMod]))/_xlfn.STDEV.P(Tab.o1[MedMod])*H$1204)+G$1204,"")</f>
        <v/>
      </c>
      <c r="T144" s="123" t="str">
        <f>IF(Tab.o1[[#This Row],[a1]]=1,Tab.o1[[#This Row],[Z-]]*_xlfn.STDEV.P(Tab.o1[B])+AVERAGE(Tab.o1[B]),"")</f>
        <v/>
      </c>
      <c r="U144" s="123" t="str">
        <f>IF(Tab.o1[[#This Row],[a1]]=1,Tab.o1[[#This Row],[z+]]*_xlfn.STDEV.P(Tab.o1[B])+AVERAGE(Tab.o1[B]),"")</f>
        <v/>
      </c>
      <c r="V144" s="124" t="str">
        <f>IF(Tab.o1[[#This Row],[a1]]=1,ABS((ABS(Tab.o1[[#This Row],[Red]]-Tab.o1[[#This Row],[Blue]]))),"")</f>
        <v/>
      </c>
      <c r="W144" s="125" t="str">
        <f>IF(Tab.o1[[#This Row],[a1]]=1,IF(W$3=0,1,Tab.o1[[#This Row],[Amp.]]*1/_xlfn.MINIFS(Tab.o1[Amp.],Tab.o1[Amp.],"&lt;&gt;0")),"")</f>
        <v/>
      </c>
      <c r="X144" s="126" t="str">
        <f>IF(Tab.o1[[#This Row],[a1]]=1,IF(ISNUMBER(Tab.o1[[#This Row],[i.]]),NORMDIST(Tab.o1[[#This Row],[Za]],0,1,FALSE)*Tab.o1[[#This Row],[i.]],AP$3),"")</f>
        <v/>
      </c>
      <c r="Y144" s="126" t="str">
        <f>IF(Tab.o1[[#This Row],[a1]]=1,0.01+0.94*Tab.o1[[#This Row],[PDF]]/MAX(Tab.o1[PDF]),"")</f>
        <v/>
      </c>
      <c r="Z144" s="126" t="str">
        <f>IF(Tab.o1[[#This Row],[a1]]=1,0.01+0.94*Tab.o1[[#This Row],[W1_PDF]]/MAX(Tab.o1[W1_PDF]),"")</f>
        <v/>
      </c>
      <c r="AA144" s="118" t="str">
        <f>IF(Tab.o1[[#This Row],[a1]]=1,ABS([1]!T.in.A[[#This Row],[oo6]]),"")</f>
        <v/>
      </c>
      <c r="AB144" s="127" t="str">
        <f>IF(Tab.o1[[#This Row],[a1]]=1,IF(AE$3=0,"",IF(AB$3=0,ABS([1]!T.in.A[[#This Row],[oo9]]),ABS(Tab.o1[[#This Row],[DIF_Target.]]*Tab.o1[[#This Row],[W1_PDF]]))),"")</f>
        <v/>
      </c>
      <c r="AC144" s="127" t="str">
        <f>IF(G$1=1,"",IF(Tab.o1[[#This Row],[a1]]=1,Tab.o1[[#This Row],[Wr]]^2,""))</f>
        <v/>
      </c>
      <c r="AD144" s="118" t="str">
        <f>IF(Tab.o1[[#This Row],[a1]]=1,IF(AE$3=0,"",Tab.o1[[#This Row],[Wr2]]/SUM(Tab.o1[Wr2])),"")</f>
        <v/>
      </c>
      <c r="AE144" s="128" t="str">
        <f>IF(Tab.o1[[#This Row],[a1]]=1,[1]!T.in.A[[#This Row],[oo10]],"")</f>
        <v/>
      </c>
      <c r="AF144" s="118" t="str">
        <f>IF(Tab.o1[[#This Row],[a1]]=1,ABS(Tab.o1[[#This Row],[DIF_Target.]]*Tab.o1[[#This Row],[PDF2]]*Tab.o1[[#This Row],[IN]]),"")</f>
        <v/>
      </c>
      <c r="AG144" s="129" t="str">
        <f>IF(Tab.o1[[#This Row],[a1]]=1,Tab.o1[[#This Row],[rW]]^2,"")</f>
        <v/>
      </c>
      <c r="AH144" s="130" t="str">
        <f>IF(Tab.o1[[#This Row],[a1]]=1,IF(AH$3=0,Tab.o1[[#This Row],[rW2]],0.01+0.94*Tab.o1[[#This Row],[rW2]]/SUM(Tab.o1[rW2])),"")</f>
        <v/>
      </c>
      <c r="AI144" s="128" t="str">
        <f>IF(Tab.o1[[#This Row],[a1]]=1,1/Tab.o1[[#This Row],[PDF]],"")</f>
        <v/>
      </c>
      <c r="AJ144" s="131" t="str">
        <f>IF(Tab.o1[[#This Row],[a1]]=1,[1]!T_AA[[#This Row],[IN'']]*[1]!T_AA[[#This Row],[Qde'']],"")</f>
        <v/>
      </c>
      <c r="AK144" s="132" t="str">
        <f>IF(Tab.o1[[#This Row],[a1]]=1,IF(AK$1=1,Tab.o1[[#This Row],[MED]]+Tab.o1[[#This Row],[MOD]]-Tab.o1[[#This Row],[MED]],""),"")</f>
        <v/>
      </c>
      <c r="AL144" s="133" t="str">
        <f>IF(Tab.o1[[#This Row],[a1]]=1,[1]!T.in.A[[#This Row],[oo16]],"")</f>
        <v/>
      </c>
      <c r="AM144" s="133" t="str">
        <f>IF(Tab.o1[[#This Row],[a1]]=1,IF(AM$3=1,[1]!T.in.A[[#This Row],[Σo16]],""),"")</f>
        <v/>
      </c>
      <c r="AN144" s="126" t="str">
        <f>IF(Tab.o1[[#This Row],[a1]]=1,[1]!T.in.A[[#This Row],[Σp5]],"")</f>
        <v/>
      </c>
      <c r="AO144" s="126" t="str">
        <f>IF(Tab.o1[[#This Row],[a1]]=1,IF(AO$3=1,[1]!T.in.A[[#This Row],[Σp5]],""),"")</f>
        <v/>
      </c>
      <c r="AP144" s="110" t="str">
        <f>IF(Tab.o1[[#This Row],[a1]]=1,IF(ISNUMBER(Tab.o1[[#This Row],[i.]]),NORMDIST(Tab.o1[[#This Row],[Za]],0,1,FALSE)*Tab.o1[[#This Row],[i.]],0),"")</f>
        <v/>
      </c>
      <c r="AQ144" s="125" t="str">
        <f>IF(Tab.o1[[#This Row],[a1]]=1,ABS(Tab.o1[[#This Row],[MOD]]-AVERAGE(Tab.o1[MOD])),"")</f>
        <v/>
      </c>
      <c r="AR144" s="134" t="str">
        <f>IF(Tab.o1[[#This Row],[a1]]=1,Tab.o1[[#This Row],[OBS]]/SUM(Tab.o1[OBS]),"")</f>
        <v/>
      </c>
      <c r="AS144" s="135" t="str">
        <f>IF(ISNUMBER(Tab.o1[[#This Row],[a1]]),ROW()-4,"")</f>
        <v/>
      </c>
      <c r="AT144" s="136" t="str">
        <f>Tab.o1[[#This Row],[MOD]]</f>
        <v/>
      </c>
      <c r="AU144" s="137" t="str">
        <f t="shared" si="9"/>
        <v/>
      </c>
      <c r="AV144" s="138" t="str">
        <f t="shared" si="10"/>
        <v/>
      </c>
      <c r="AW144" s="138" t="str">
        <f t="shared" si="11"/>
        <v/>
      </c>
      <c r="AX144" s="139" t="str">
        <f>[1]!T.in.A[[#This Row],[ID_T_manu]]</f>
        <v/>
      </c>
      <c r="AY144" s="140" t="str">
        <f>IF(ISNUMBER(Tab.o1[[#This Row],[a1]]),IF(AND(Tab.o1[[#This Row],[a1]]=1,Tab.o1[[#This Row],[b1]]&lt;=AY$4),#REF!,AY143),"")</f>
        <v/>
      </c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</row>
    <row r="145" spans="1:79" ht="14.25" hidden="1" customHeight="1">
      <c r="A145" s="109">
        <v>2.9999999999999997E-6</v>
      </c>
      <c r="B145" s="110">
        <f t="shared" si="8"/>
        <v>145</v>
      </c>
      <c r="C145" s="111" t="str">
        <f>IF(C$1=[1]!T.in.A[[#This Row],[oo2]],1,"")</f>
        <v/>
      </c>
      <c r="D145" s="112" t="str">
        <f>IF(Tab.o1[[#This Row],[a1]]=1,IF(SUM(C145:C146)=0,0,IF(SUM(C144:C145)=1,1,IF(SUM(C144:C146)&gt;1,D144+1,0))),"")</f>
        <v/>
      </c>
      <c r="E145" s="113" t="str">
        <f>IF(Tab.o1[[#This Row],[a1]]=1,[1]!T.in.A[[#This Row],[oo1]],"")</f>
        <v/>
      </c>
      <c r="F145" s="113" t="str">
        <f>IF(Tab.o1[[#This Row],[a1]]=1,[1]!T.in.A[[#This Row],[pp1]],"")</f>
        <v/>
      </c>
      <c r="G145" s="114" t="str">
        <f>IF(Tab.o1[[#This Row],[a1]]=1,G$2+IF(G$1=1,0,Tab.o1[[#This Row],[.x1]])+[1]!T.in.A[[#This Row],[oo3]],"")</f>
        <v/>
      </c>
      <c r="H145" s="115" t="str">
        <f>IF(Tab.o1[[#This Row],[a1]]=1,IF(H$2=0,0,IF(G$1=1,0,Tab.o1[[#This Row],[.x1]])+[1]!T.in.A[[#This Row],[oo4]]),"")</f>
        <v/>
      </c>
      <c r="I145" s="116" t="str">
        <f>IF(Tab.o1[[#This Row],[a1]]=1,IF(J$2=0,Tab.o1[[#This Row],[MED]],Tab.o1[[#This Row],[MOD]]),"")</f>
        <v/>
      </c>
      <c r="J145" s="116" t="str">
        <f>IF(Tab.o1[[#This Row],[a1]]=1,((Tab.o1[[#This Row],[DIF_Target.]]-AVERAGE(Tab.o1[DIF_Target.]))/_xlfn.STDEV.P(Tab.o1[DIF_Target.])),"")</f>
        <v/>
      </c>
      <c r="K145" s="117" t="str">
        <f>IF(Tab.o1[[#This Row],[a1]]=1,IF(J$2=0,Tab.o1[[#This Row],[MOD]]-Tab.o1[[#This Row],[B]],IF(J$2=1,0,-Tab.o1[[#This Row],[MED]])+Tab.o1[[#This Row],[B]]),"")</f>
        <v/>
      </c>
      <c r="L145" s="117" t="str">
        <f ca="1">IF(Tab.o1[[#This Row],[DIF_Target]]=0,IF(L$2=0,Tab.o1[[#This Row],[DIF_Target]],AVERAGE(OFFSET(Tab.o1[[#This Row],[DIF_Target]],1,0,L$3,1)))/3,Tab.o1[[#This Row],[DIF_Target]])</f>
        <v/>
      </c>
      <c r="M145" s="118" t="str">
        <f>IF(Tab.o1[[#This Row],[a1]]=1,NORMSDIST(Tab.o1[[#This Row],[Za]]),"")</f>
        <v/>
      </c>
      <c r="N145" s="119" t="str">
        <f>IF(Tab.o1[[#This Row],[a1]]=1,((Tab.o1[[#This Row],[MedMod]]-AVERAGE(Tab.o1[MedMod]))/_xlfn.STDEV.P(Tab.o1[MedMod])*H$1205)+G$1205,"")</f>
        <v/>
      </c>
      <c r="O145" s="141" t="str">
        <f>IF(Tab.o1[[#This Row],[a1]]=1,Tab.o1[[#This Row],[Zb]]*_xlfn.STDEV.P(Tab.o1[MedMod])+AVERAGE(Tab.o1[MedMod]),"")</f>
        <v/>
      </c>
      <c r="P145" s="117" t="str">
        <f ca="1">IF(Tab.o1[[#This Row],[B]]=0,AVERAGE(OFFSET(Tab.o1[[#This Row],[B]],1,0,L$3,1)),Tab.o1[[#This Row],[B]])</f>
        <v/>
      </c>
      <c r="Q145" s="121" t="str">
        <f>IF(Tab.o1[[#This Row],[a1]]=1,NORMSDIST(Tab.o1[[#This Row],[Zb]]),"")</f>
        <v/>
      </c>
      <c r="R145" s="122" t="str">
        <f>IF(Tab.o1[[#This Row],[a1]]=1,((Tab.o1[[#This Row],[MedMod]]-AVERAGE(Tab.o1[MedMod]))/_xlfn.STDEV.P(Tab.o1[MedMod])*H$1203)+G$1203,"")</f>
        <v/>
      </c>
      <c r="S145" s="122" t="str">
        <f>IF(Tab.o1[[#This Row],[a1]]=1,((Tab.o1[[#This Row],[MedMod]]-AVERAGE(Tab.o1[MedMod]))/_xlfn.STDEV.P(Tab.o1[MedMod])*H$1204)+G$1204,"")</f>
        <v/>
      </c>
      <c r="T145" s="123" t="str">
        <f>IF(Tab.o1[[#This Row],[a1]]=1,Tab.o1[[#This Row],[Z-]]*_xlfn.STDEV.P(Tab.o1[B])+AVERAGE(Tab.o1[B]),"")</f>
        <v/>
      </c>
      <c r="U145" s="123" t="str">
        <f>IF(Tab.o1[[#This Row],[a1]]=1,Tab.o1[[#This Row],[z+]]*_xlfn.STDEV.P(Tab.o1[B])+AVERAGE(Tab.o1[B]),"")</f>
        <v/>
      </c>
      <c r="V145" s="124" t="str">
        <f>IF(Tab.o1[[#This Row],[a1]]=1,ABS((ABS(Tab.o1[[#This Row],[Red]]-Tab.o1[[#This Row],[Blue]]))),"")</f>
        <v/>
      </c>
      <c r="W145" s="125" t="str">
        <f>IF(Tab.o1[[#This Row],[a1]]=1,IF(W$3=0,1,Tab.o1[[#This Row],[Amp.]]*1/_xlfn.MINIFS(Tab.o1[Amp.],Tab.o1[Amp.],"&lt;&gt;0")),"")</f>
        <v/>
      </c>
      <c r="X145" s="126" t="str">
        <f>IF(Tab.o1[[#This Row],[a1]]=1,IF(ISNUMBER(Tab.o1[[#This Row],[i.]]),NORMDIST(Tab.o1[[#This Row],[Za]],0,1,FALSE)*Tab.o1[[#This Row],[i.]],AP$3),"")</f>
        <v/>
      </c>
      <c r="Y145" s="126" t="str">
        <f>IF(Tab.o1[[#This Row],[a1]]=1,0.01+0.94*Tab.o1[[#This Row],[PDF]]/MAX(Tab.o1[PDF]),"")</f>
        <v/>
      </c>
      <c r="Z145" s="126" t="str">
        <f>IF(Tab.o1[[#This Row],[a1]]=1,0.01+0.94*Tab.o1[[#This Row],[W1_PDF]]/MAX(Tab.o1[W1_PDF]),"")</f>
        <v/>
      </c>
      <c r="AA145" s="118" t="str">
        <f>IF(Tab.o1[[#This Row],[a1]]=1,ABS([1]!T.in.A[[#This Row],[oo6]]),"")</f>
        <v/>
      </c>
      <c r="AB145" s="127" t="str">
        <f>IF(Tab.o1[[#This Row],[a1]]=1,IF(AE$3=0,"",IF(AB$3=0,ABS([1]!T.in.A[[#This Row],[oo9]]),ABS(Tab.o1[[#This Row],[DIF_Target.]]*Tab.o1[[#This Row],[W1_PDF]]))),"")</f>
        <v/>
      </c>
      <c r="AC145" s="127" t="str">
        <f>IF(G$1=1,"",IF(Tab.o1[[#This Row],[a1]]=1,Tab.o1[[#This Row],[Wr]]^2,""))</f>
        <v/>
      </c>
      <c r="AD145" s="118" t="str">
        <f>IF(Tab.o1[[#This Row],[a1]]=1,IF(AE$3=0,"",Tab.o1[[#This Row],[Wr2]]/SUM(Tab.o1[Wr2])),"")</f>
        <v/>
      </c>
      <c r="AE145" s="128" t="str">
        <f>IF(Tab.o1[[#This Row],[a1]]=1,[1]!T.in.A[[#This Row],[oo10]],"")</f>
        <v/>
      </c>
      <c r="AF145" s="118" t="str">
        <f>IF(Tab.o1[[#This Row],[a1]]=1,ABS(Tab.o1[[#This Row],[DIF_Target.]]*Tab.o1[[#This Row],[PDF2]]*Tab.o1[[#This Row],[IN]]),"")</f>
        <v/>
      </c>
      <c r="AG145" s="129" t="str">
        <f>IF(Tab.o1[[#This Row],[a1]]=1,Tab.o1[[#This Row],[rW]]^2,"")</f>
        <v/>
      </c>
      <c r="AH145" s="130" t="str">
        <f>IF(Tab.o1[[#This Row],[a1]]=1,IF(AH$3=0,Tab.o1[[#This Row],[rW2]],0.01+0.94*Tab.o1[[#This Row],[rW2]]/SUM(Tab.o1[rW2])),"")</f>
        <v/>
      </c>
      <c r="AI145" s="128" t="str">
        <f>IF(Tab.o1[[#This Row],[a1]]=1,1/Tab.o1[[#This Row],[PDF]],"")</f>
        <v/>
      </c>
      <c r="AJ145" s="131" t="str">
        <f>IF(Tab.o1[[#This Row],[a1]]=1,[1]!T_AA[[#This Row],[IN'']]*[1]!T_AA[[#This Row],[Qde'']],"")</f>
        <v/>
      </c>
      <c r="AK145" s="132" t="str">
        <f>IF(Tab.o1[[#This Row],[a1]]=1,IF(AK$1=1,Tab.o1[[#This Row],[MED]]+Tab.o1[[#This Row],[MOD]]-Tab.o1[[#This Row],[MED]],""),"")</f>
        <v/>
      </c>
      <c r="AL145" s="133" t="str">
        <f>IF(Tab.o1[[#This Row],[a1]]=1,[1]!T.in.A[[#This Row],[oo16]],"")</f>
        <v/>
      </c>
      <c r="AM145" s="133" t="str">
        <f>IF(Tab.o1[[#This Row],[a1]]=1,IF(AM$3=1,[1]!T.in.A[[#This Row],[Σo16]],""),"")</f>
        <v/>
      </c>
      <c r="AN145" s="126" t="str">
        <f>IF(Tab.o1[[#This Row],[a1]]=1,[1]!T.in.A[[#This Row],[Σp5]],"")</f>
        <v/>
      </c>
      <c r="AO145" s="126" t="str">
        <f>IF(Tab.o1[[#This Row],[a1]]=1,IF(AO$3=1,[1]!T.in.A[[#This Row],[Σp5]],""),"")</f>
        <v/>
      </c>
      <c r="AP145" s="110" t="str">
        <f>IF(Tab.o1[[#This Row],[a1]]=1,IF(ISNUMBER(Tab.o1[[#This Row],[i.]]),NORMDIST(Tab.o1[[#This Row],[Za]],0,1,FALSE)*Tab.o1[[#This Row],[i.]],0),"")</f>
        <v/>
      </c>
      <c r="AQ145" s="125" t="str">
        <f>IF(Tab.o1[[#This Row],[a1]]=1,ABS(Tab.o1[[#This Row],[MOD]]-AVERAGE(Tab.o1[MOD])),"")</f>
        <v/>
      </c>
      <c r="AR145" s="134" t="str">
        <f>IF(Tab.o1[[#This Row],[a1]]=1,Tab.o1[[#This Row],[OBS]]/SUM(Tab.o1[OBS]),"")</f>
        <v/>
      </c>
      <c r="AS145" s="135" t="str">
        <f>IF(ISNUMBER(Tab.o1[[#This Row],[a1]]),ROW()-4,"")</f>
        <v/>
      </c>
      <c r="AT145" s="136" t="str">
        <f>Tab.o1[[#This Row],[MOD]]</f>
        <v/>
      </c>
      <c r="AU145" s="137" t="str">
        <f t="shared" si="9"/>
        <v/>
      </c>
      <c r="AV145" s="138" t="str">
        <f t="shared" si="10"/>
        <v/>
      </c>
      <c r="AW145" s="138" t="str">
        <f t="shared" si="11"/>
        <v/>
      </c>
      <c r="AX145" s="139" t="str">
        <f>[1]!T.in.A[[#This Row],[ID_T_manu]]</f>
        <v/>
      </c>
      <c r="AY145" s="140" t="str">
        <f>IF(ISNUMBER(Tab.o1[[#This Row],[a1]]),IF(AND(Tab.o1[[#This Row],[a1]]=1,Tab.o1[[#This Row],[b1]]&lt;=AY$4),#REF!,AY144),"")</f>
        <v/>
      </c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</row>
    <row r="146" spans="1:79" ht="14.25" hidden="1" customHeight="1">
      <c r="A146" s="109">
        <v>-4.0000000000000007E-6</v>
      </c>
      <c r="B146" s="110">
        <f t="shared" si="8"/>
        <v>146</v>
      </c>
      <c r="C146" s="111" t="str">
        <f>IF(C$1=[1]!T.in.A[[#This Row],[oo2]],1,"")</f>
        <v/>
      </c>
      <c r="D146" s="112" t="str">
        <f>IF(Tab.o1[[#This Row],[a1]]=1,IF(SUM(C146:C147)=0,0,IF(SUM(C145:C146)=1,1,IF(SUM(C145:C147)&gt;1,D145+1,0))),"")</f>
        <v/>
      </c>
      <c r="E146" s="113" t="str">
        <f>IF(Tab.o1[[#This Row],[a1]]=1,[1]!T.in.A[[#This Row],[oo1]],"")</f>
        <v/>
      </c>
      <c r="F146" s="113" t="str">
        <f>IF(Tab.o1[[#This Row],[a1]]=1,[1]!T.in.A[[#This Row],[pp1]],"")</f>
        <v/>
      </c>
      <c r="G146" s="114" t="str">
        <f>IF(Tab.o1[[#This Row],[a1]]=1,G$2+IF(G$1=1,0,Tab.o1[[#This Row],[.x1]])+[1]!T.in.A[[#This Row],[oo3]],"")</f>
        <v/>
      </c>
      <c r="H146" s="115" t="str">
        <f>IF(Tab.o1[[#This Row],[a1]]=1,IF(H$2=0,0,IF(G$1=1,0,Tab.o1[[#This Row],[.x1]])+[1]!T.in.A[[#This Row],[oo4]]),"")</f>
        <v/>
      </c>
      <c r="I146" s="116" t="str">
        <f>IF(Tab.o1[[#This Row],[a1]]=1,IF(J$2=0,Tab.o1[[#This Row],[MED]],Tab.o1[[#This Row],[MOD]]),"")</f>
        <v/>
      </c>
      <c r="J146" s="116" t="str">
        <f>IF(Tab.o1[[#This Row],[a1]]=1,((Tab.o1[[#This Row],[DIF_Target.]]-AVERAGE(Tab.o1[DIF_Target.]))/_xlfn.STDEV.P(Tab.o1[DIF_Target.])),"")</f>
        <v/>
      </c>
      <c r="K146" s="117" t="str">
        <f>IF(Tab.o1[[#This Row],[a1]]=1,IF(J$2=0,Tab.o1[[#This Row],[MOD]]-Tab.o1[[#This Row],[B]],IF(J$2=1,0,-Tab.o1[[#This Row],[MED]])+Tab.o1[[#This Row],[B]]),"")</f>
        <v/>
      </c>
      <c r="L146" s="117" t="str">
        <f ca="1">IF(Tab.o1[[#This Row],[DIF_Target]]=0,IF(L$2=0,Tab.o1[[#This Row],[DIF_Target]],AVERAGE(OFFSET(Tab.o1[[#This Row],[DIF_Target]],1,0,L$3,1)))/3,Tab.o1[[#This Row],[DIF_Target]])</f>
        <v/>
      </c>
      <c r="M146" s="118" t="str">
        <f>IF(Tab.o1[[#This Row],[a1]]=1,NORMSDIST(Tab.o1[[#This Row],[Za]]),"")</f>
        <v/>
      </c>
      <c r="N146" s="119" t="str">
        <f>IF(Tab.o1[[#This Row],[a1]]=1,((Tab.o1[[#This Row],[MedMod]]-AVERAGE(Tab.o1[MedMod]))/_xlfn.STDEV.P(Tab.o1[MedMod])*H$1205)+G$1205,"")</f>
        <v/>
      </c>
      <c r="O146" s="141" t="str">
        <f>IF(Tab.o1[[#This Row],[a1]]=1,Tab.o1[[#This Row],[Zb]]*_xlfn.STDEV.P(Tab.o1[MedMod])+AVERAGE(Tab.o1[MedMod]),"")</f>
        <v/>
      </c>
      <c r="P146" s="117" t="str">
        <f ca="1">IF(Tab.o1[[#This Row],[B]]=0,AVERAGE(OFFSET(Tab.o1[[#This Row],[B]],1,0,L$3,1)),Tab.o1[[#This Row],[B]])</f>
        <v/>
      </c>
      <c r="Q146" s="121" t="str">
        <f>IF(Tab.o1[[#This Row],[a1]]=1,NORMSDIST(Tab.o1[[#This Row],[Zb]]),"")</f>
        <v/>
      </c>
      <c r="R146" s="122" t="str">
        <f>IF(Tab.o1[[#This Row],[a1]]=1,((Tab.o1[[#This Row],[MedMod]]-AVERAGE(Tab.o1[MedMod]))/_xlfn.STDEV.P(Tab.o1[MedMod])*H$1203)+G$1203,"")</f>
        <v/>
      </c>
      <c r="S146" s="122" t="str">
        <f>IF(Tab.o1[[#This Row],[a1]]=1,((Tab.o1[[#This Row],[MedMod]]-AVERAGE(Tab.o1[MedMod]))/_xlfn.STDEV.P(Tab.o1[MedMod])*H$1204)+G$1204,"")</f>
        <v/>
      </c>
      <c r="T146" s="123" t="str">
        <f>IF(Tab.o1[[#This Row],[a1]]=1,Tab.o1[[#This Row],[Z-]]*_xlfn.STDEV.P(Tab.o1[B])+AVERAGE(Tab.o1[B]),"")</f>
        <v/>
      </c>
      <c r="U146" s="123" t="str">
        <f>IF(Tab.o1[[#This Row],[a1]]=1,Tab.o1[[#This Row],[z+]]*_xlfn.STDEV.P(Tab.o1[B])+AVERAGE(Tab.o1[B]),"")</f>
        <v/>
      </c>
      <c r="V146" s="124" t="str">
        <f>IF(Tab.o1[[#This Row],[a1]]=1,ABS((ABS(Tab.o1[[#This Row],[Red]]-Tab.o1[[#This Row],[Blue]]))),"")</f>
        <v/>
      </c>
      <c r="W146" s="125" t="str">
        <f>IF(Tab.o1[[#This Row],[a1]]=1,IF(W$3=0,1,Tab.o1[[#This Row],[Amp.]]*1/_xlfn.MINIFS(Tab.o1[Amp.],Tab.o1[Amp.],"&lt;&gt;0")),"")</f>
        <v/>
      </c>
      <c r="X146" s="126" t="str">
        <f>IF(Tab.o1[[#This Row],[a1]]=1,IF(ISNUMBER(Tab.o1[[#This Row],[i.]]),NORMDIST(Tab.o1[[#This Row],[Za]],0,1,FALSE)*Tab.o1[[#This Row],[i.]],AP$3),"")</f>
        <v/>
      </c>
      <c r="Y146" s="126" t="str">
        <f>IF(Tab.o1[[#This Row],[a1]]=1,0.01+0.94*Tab.o1[[#This Row],[PDF]]/MAX(Tab.o1[PDF]),"")</f>
        <v/>
      </c>
      <c r="Z146" s="126" t="str">
        <f>IF(Tab.o1[[#This Row],[a1]]=1,0.01+0.94*Tab.o1[[#This Row],[W1_PDF]]/MAX(Tab.o1[W1_PDF]),"")</f>
        <v/>
      </c>
      <c r="AA146" s="118" t="str">
        <f>IF(Tab.o1[[#This Row],[a1]]=1,ABS([1]!T.in.A[[#This Row],[oo6]]),"")</f>
        <v/>
      </c>
      <c r="AB146" s="127" t="str">
        <f>IF(Tab.o1[[#This Row],[a1]]=1,IF(AE$3=0,"",IF(AB$3=0,ABS([1]!T.in.A[[#This Row],[oo9]]),ABS(Tab.o1[[#This Row],[DIF_Target.]]*Tab.o1[[#This Row],[W1_PDF]]))),"")</f>
        <v/>
      </c>
      <c r="AC146" s="127" t="str">
        <f>IF(G$1=1,"",IF(Tab.o1[[#This Row],[a1]]=1,Tab.o1[[#This Row],[Wr]]^2,""))</f>
        <v/>
      </c>
      <c r="AD146" s="118" t="str">
        <f>IF(Tab.o1[[#This Row],[a1]]=1,IF(AE$3=0,"",Tab.o1[[#This Row],[Wr2]]/SUM(Tab.o1[Wr2])),"")</f>
        <v/>
      </c>
      <c r="AE146" s="128" t="str">
        <f>IF(Tab.o1[[#This Row],[a1]]=1,[1]!T.in.A[[#This Row],[oo10]],"")</f>
        <v/>
      </c>
      <c r="AF146" s="118" t="str">
        <f>IF(Tab.o1[[#This Row],[a1]]=1,ABS(Tab.o1[[#This Row],[DIF_Target.]]*Tab.o1[[#This Row],[PDF2]]*Tab.o1[[#This Row],[IN]]),"")</f>
        <v/>
      </c>
      <c r="AG146" s="129" t="str">
        <f>IF(Tab.o1[[#This Row],[a1]]=1,Tab.o1[[#This Row],[rW]]^2,"")</f>
        <v/>
      </c>
      <c r="AH146" s="130" t="str">
        <f>IF(Tab.o1[[#This Row],[a1]]=1,IF(AH$3=0,Tab.o1[[#This Row],[rW2]],0.01+0.94*Tab.o1[[#This Row],[rW2]]/SUM(Tab.o1[rW2])),"")</f>
        <v/>
      </c>
      <c r="AI146" s="128" t="str">
        <f>IF(Tab.o1[[#This Row],[a1]]=1,1/Tab.o1[[#This Row],[PDF]],"")</f>
        <v/>
      </c>
      <c r="AJ146" s="131" t="str">
        <f>IF(Tab.o1[[#This Row],[a1]]=1,[1]!T_AA[[#This Row],[IN'']]*[1]!T_AA[[#This Row],[Qde'']],"")</f>
        <v/>
      </c>
      <c r="AK146" s="132" t="str">
        <f>IF(Tab.o1[[#This Row],[a1]]=1,IF(AK$1=1,Tab.o1[[#This Row],[MED]]+Tab.o1[[#This Row],[MOD]]-Tab.o1[[#This Row],[MED]],""),"")</f>
        <v/>
      </c>
      <c r="AL146" s="133" t="str">
        <f>IF(Tab.o1[[#This Row],[a1]]=1,[1]!T.in.A[[#This Row],[oo16]],"")</f>
        <v/>
      </c>
      <c r="AM146" s="133" t="str">
        <f>IF(Tab.o1[[#This Row],[a1]]=1,IF(AM$3=1,[1]!T.in.A[[#This Row],[Σo16]],""),"")</f>
        <v/>
      </c>
      <c r="AN146" s="126" t="str">
        <f>IF(Tab.o1[[#This Row],[a1]]=1,[1]!T.in.A[[#This Row],[Σp5]],"")</f>
        <v/>
      </c>
      <c r="AO146" s="126" t="str">
        <f>IF(Tab.o1[[#This Row],[a1]]=1,IF(AO$3=1,[1]!T.in.A[[#This Row],[Σp5]],""),"")</f>
        <v/>
      </c>
      <c r="AP146" s="110" t="str">
        <f>IF(Tab.o1[[#This Row],[a1]]=1,IF(ISNUMBER(Tab.o1[[#This Row],[i.]]),NORMDIST(Tab.o1[[#This Row],[Za]],0,1,FALSE)*Tab.o1[[#This Row],[i.]],0),"")</f>
        <v/>
      </c>
      <c r="AQ146" s="125" t="str">
        <f>IF(Tab.o1[[#This Row],[a1]]=1,ABS(Tab.o1[[#This Row],[MOD]]-AVERAGE(Tab.o1[MOD])),"")</f>
        <v/>
      </c>
      <c r="AR146" s="134" t="str">
        <f>IF(Tab.o1[[#This Row],[a1]]=1,Tab.o1[[#This Row],[OBS]]/SUM(Tab.o1[OBS]),"")</f>
        <v/>
      </c>
      <c r="AS146" s="135" t="str">
        <f>IF(ISNUMBER(Tab.o1[[#This Row],[a1]]),ROW()-4,"")</f>
        <v/>
      </c>
      <c r="AT146" s="136" t="str">
        <f>Tab.o1[[#This Row],[MOD]]</f>
        <v/>
      </c>
      <c r="AU146" s="137" t="str">
        <f t="shared" si="9"/>
        <v/>
      </c>
      <c r="AV146" s="138" t="str">
        <f t="shared" si="10"/>
        <v/>
      </c>
      <c r="AW146" s="138" t="str">
        <f t="shared" si="11"/>
        <v/>
      </c>
      <c r="AX146" s="139" t="str">
        <f>[1]!T.in.A[[#This Row],[ID_T_manu]]</f>
        <v/>
      </c>
      <c r="AY146" s="140" t="str">
        <f>IF(ISNUMBER(Tab.o1[[#This Row],[a1]]),IF(AND(Tab.o1[[#This Row],[a1]]=1,Tab.o1[[#This Row],[b1]]&lt;=AY$4),#REF!,AY145),"")</f>
        <v/>
      </c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</row>
    <row r="147" spans="1:79" ht="14.25" hidden="1" customHeight="1">
      <c r="A147" s="109">
        <v>2.9999999999999997E-6</v>
      </c>
      <c r="B147" s="110">
        <f t="shared" si="8"/>
        <v>147</v>
      </c>
      <c r="C147" s="111" t="str">
        <f>IF(C$1=[1]!T.in.A[[#This Row],[oo2]],1,"")</f>
        <v/>
      </c>
      <c r="D147" s="112" t="str">
        <f>IF(Tab.o1[[#This Row],[a1]]=1,IF(SUM(C147:C148)=0,0,IF(SUM(C146:C147)=1,1,IF(SUM(C146:C148)&gt;1,D146+1,0))),"")</f>
        <v/>
      </c>
      <c r="E147" s="113" t="str">
        <f>IF(Tab.o1[[#This Row],[a1]]=1,[1]!T.in.A[[#This Row],[oo1]],"")</f>
        <v/>
      </c>
      <c r="F147" s="113" t="str">
        <f>IF(Tab.o1[[#This Row],[a1]]=1,[1]!T.in.A[[#This Row],[pp1]],"")</f>
        <v/>
      </c>
      <c r="G147" s="114" t="str">
        <f>IF(Tab.o1[[#This Row],[a1]]=1,G$2+IF(G$1=1,0,Tab.o1[[#This Row],[.x1]])+[1]!T.in.A[[#This Row],[oo3]],"")</f>
        <v/>
      </c>
      <c r="H147" s="115" t="str">
        <f>IF(Tab.o1[[#This Row],[a1]]=1,IF(H$2=0,0,IF(G$1=1,0,Tab.o1[[#This Row],[.x1]])+[1]!T.in.A[[#This Row],[oo4]]),"")</f>
        <v/>
      </c>
      <c r="I147" s="116" t="str">
        <f>IF(Tab.o1[[#This Row],[a1]]=1,IF(J$2=0,Tab.o1[[#This Row],[MED]],Tab.o1[[#This Row],[MOD]]),"")</f>
        <v/>
      </c>
      <c r="J147" s="116" t="str">
        <f>IF(Tab.o1[[#This Row],[a1]]=1,((Tab.o1[[#This Row],[DIF_Target.]]-AVERAGE(Tab.o1[DIF_Target.]))/_xlfn.STDEV.P(Tab.o1[DIF_Target.])),"")</f>
        <v/>
      </c>
      <c r="K147" s="117" t="str">
        <f>IF(Tab.o1[[#This Row],[a1]]=1,IF(J$2=0,Tab.o1[[#This Row],[MOD]]-Tab.o1[[#This Row],[B]],IF(J$2=1,0,-Tab.o1[[#This Row],[MED]])+Tab.o1[[#This Row],[B]]),"")</f>
        <v/>
      </c>
      <c r="L147" s="117" t="str">
        <f ca="1">IF(Tab.o1[[#This Row],[DIF_Target]]=0,IF(L$2=0,Tab.o1[[#This Row],[DIF_Target]],AVERAGE(OFFSET(Tab.o1[[#This Row],[DIF_Target]],1,0,L$3,1)))/3,Tab.o1[[#This Row],[DIF_Target]])</f>
        <v/>
      </c>
      <c r="M147" s="118" t="str">
        <f>IF(Tab.o1[[#This Row],[a1]]=1,NORMSDIST(Tab.o1[[#This Row],[Za]]),"")</f>
        <v/>
      </c>
      <c r="N147" s="119" t="str">
        <f>IF(Tab.o1[[#This Row],[a1]]=1,((Tab.o1[[#This Row],[MedMod]]-AVERAGE(Tab.o1[MedMod]))/_xlfn.STDEV.P(Tab.o1[MedMod])*H$1205)+G$1205,"")</f>
        <v/>
      </c>
      <c r="O147" s="141" t="str">
        <f>IF(Tab.o1[[#This Row],[a1]]=1,Tab.o1[[#This Row],[Zb]]*_xlfn.STDEV.P(Tab.o1[MedMod])+AVERAGE(Tab.o1[MedMod]),"")</f>
        <v/>
      </c>
      <c r="P147" s="117" t="str">
        <f ca="1">IF(Tab.o1[[#This Row],[B]]=0,AVERAGE(OFFSET(Tab.o1[[#This Row],[B]],1,0,L$3,1)),Tab.o1[[#This Row],[B]])</f>
        <v/>
      </c>
      <c r="Q147" s="121" t="str">
        <f>IF(Tab.o1[[#This Row],[a1]]=1,NORMSDIST(Tab.o1[[#This Row],[Zb]]),"")</f>
        <v/>
      </c>
      <c r="R147" s="122" t="str">
        <f>IF(Tab.o1[[#This Row],[a1]]=1,((Tab.o1[[#This Row],[MedMod]]-AVERAGE(Tab.o1[MedMod]))/_xlfn.STDEV.P(Tab.o1[MedMod])*H$1203)+G$1203,"")</f>
        <v/>
      </c>
      <c r="S147" s="122" t="str">
        <f>IF(Tab.o1[[#This Row],[a1]]=1,((Tab.o1[[#This Row],[MedMod]]-AVERAGE(Tab.o1[MedMod]))/_xlfn.STDEV.P(Tab.o1[MedMod])*H$1204)+G$1204,"")</f>
        <v/>
      </c>
      <c r="T147" s="123" t="str">
        <f>IF(Tab.o1[[#This Row],[a1]]=1,Tab.o1[[#This Row],[Z-]]*_xlfn.STDEV.P(Tab.o1[B])+AVERAGE(Tab.o1[B]),"")</f>
        <v/>
      </c>
      <c r="U147" s="123" t="str">
        <f>IF(Tab.o1[[#This Row],[a1]]=1,Tab.o1[[#This Row],[z+]]*_xlfn.STDEV.P(Tab.o1[B])+AVERAGE(Tab.o1[B]),"")</f>
        <v/>
      </c>
      <c r="V147" s="124" t="str">
        <f>IF(Tab.o1[[#This Row],[a1]]=1,ABS((ABS(Tab.o1[[#This Row],[Red]]-Tab.o1[[#This Row],[Blue]]))),"")</f>
        <v/>
      </c>
      <c r="W147" s="125" t="str">
        <f>IF(Tab.o1[[#This Row],[a1]]=1,IF(W$3=0,1,Tab.o1[[#This Row],[Amp.]]*1/_xlfn.MINIFS(Tab.o1[Amp.],Tab.o1[Amp.],"&lt;&gt;0")),"")</f>
        <v/>
      </c>
      <c r="X147" s="126" t="str">
        <f>IF(Tab.o1[[#This Row],[a1]]=1,IF(ISNUMBER(Tab.o1[[#This Row],[i.]]),NORMDIST(Tab.o1[[#This Row],[Za]],0,1,FALSE)*Tab.o1[[#This Row],[i.]],AP$3),"")</f>
        <v/>
      </c>
      <c r="Y147" s="126" t="str">
        <f>IF(Tab.o1[[#This Row],[a1]]=1,0.01+0.94*Tab.o1[[#This Row],[PDF]]/MAX(Tab.o1[PDF]),"")</f>
        <v/>
      </c>
      <c r="Z147" s="126" t="str">
        <f>IF(Tab.o1[[#This Row],[a1]]=1,0.01+0.94*Tab.o1[[#This Row],[W1_PDF]]/MAX(Tab.o1[W1_PDF]),"")</f>
        <v/>
      </c>
      <c r="AA147" s="118" t="str">
        <f>IF(Tab.o1[[#This Row],[a1]]=1,ABS([1]!T.in.A[[#This Row],[oo6]]),"")</f>
        <v/>
      </c>
      <c r="AB147" s="127" t="str">
        <f>IF(Tab.o1[[#This Row],[a1]]=1,IF(AE$3=0,"",IF(AB$3=0,ABS([1]!T.in.A[[#This Row],[oo9]]),ABS(Tab.o1[[#This Row],[DIF_Target.]]*Tab.o1[[#This Row],[W1_PDF]]))),"")</f>
        <v/>
      </c>
      <c r="AC147" s="127" t="str">
        <f>IF(G$1=1,"",IF(Tab.o1[[#This Row],[a1]]=1,Tab.o1[[#This Row],[Wr]]^2,""))</f>
        <v/>
      </c>
      <c r="AD147" s="118" t="str">
        <f>IF(Tab.o1[[#This Row],[a1]]=1,IF(AE$3=0,"",Tab.o1[[#This Row],[Wr2]]/SUM(Tab.o1[Wr2])),"")</f>
        <v/>
      </c>
      <c r="AE147" s="128" t="str">
        <f>IF(Tab.o1[[#This Row],[a1]]=1,[1]!T.in.A[[#This Row],[oo10]],"")</f>
        <v/>
      </c>
      <c r="AF147" s="118" t="str">
        <f>IF(Tab.o1[[#This Row],[a1]]=1,ABS(Tab.o1[[#This Row],[DIF_Target.]]*Tab.o1[[#This Row],[PDF2]]*Tab.o1[[#This Row],[IN]]),"")</f>
        <v/>
      </c>
      <c r="AG147" s="129" t="str">
        <f>IF(Tab.o1[[#This Row],[a1]]=1,Tab.o1[[#This Row],[rW]]^2,"")</f>
        <v/>
      </c>
      <c r="AH147" s="130" t="str">
        <f>IF(Tab.o1[[#This Row],[a1]]=1,IF(AH$3=0,Tab.o1[[#This Row],[rW2]],0.01+0.94*Tab.o1[[#This Row],[rW2]]/SUM(Tab.o1[rW2])),"")</f>
        <v/>
      </c>
      <c r="AI147" s="128" t="str">
        <f>IF(Tab.o1[[#This Row],[a1]]=1,1/Tab.o1[[#This Row],[PDF]],"")</f>
        <v/>
      </c>
      <c r="AJ147" s="131" t="str">
        <f>IF(Tab.o1[[#This Row],[a1]]=1,[1]!T_AA[[#This Row],[IN'']]*[1]!T_AA[[#This Row],[Qde'']],"")</f>
        <v/>
      </c>
      <c r="AK147" s="132" t="str">
        <f>IF(Tab.o1[[#This Row],[a1]]=1,IF(AK$1=1,Tab.o1[[#This Row],[MED]]+Tab.o1[[#This Row],[MOD]]-Tab.o1[[#This Row],[MED]],""),"")</f>
        <v/>
      </c>
      <c r="AL147" s="133" t="str">
        <f>IF(Tab.o1[[#This Row],[a1]]=1,[1]!T.in.A[[#This Row],[oo16]],"")</f>
        <v/>
      </c>
      <c r="AM147" s="133" t="str">
        <f>IF(Tab.o1[[#This Row],[a1]]=1,IF(AM$3=1,[1]!T.in.A[[#This Row],[Σo16]],""),"")</f>
        <v/>
      </c>
      <c r="AN147" s="126" t="str">
        <f>IF(Tab.o1[[#This Row],[a1]]=1,[1]!T.in.A[[#This Row],[Σp5]],"")</f>
        <v/>
      </c>
      <c r="AO147" s="126" t="str">
        <f>IF(Tab.o1[[#This Row],[a1]]=1,IF(AO$3=1,[1]!T.in.A[[#This Row],[Σp5]],""),"")</f>
        <v/>
      </c>
      <c r="AP147" s="110" t="str">
        <f>IF(Tab.o1[[#This Row],[a1]]=1,IF(ISNUMBER(Tab.o1[[#This Row],[i.]]),NORMDIST(Tab.o1[[#This Row],[Za]],0,1,FALSE)*Tab.o1[[#This Row],[i.]],0),"")</f>
        <v/>
      </c>
      <c r="AQ147" s="125" t="str">
        <f>IF(Tab.o1[[#This Row],[a1]]=1,ABS(Tab.o1[[#This Row],[MOD]]-AVERAGE(Tab.o1[MOD])),"")</f>
        <v/>
      </c>
      <c r="AR147" s="134" t="str">
        <f>IF(Tab.o1[[#This Row],[a1]]=1,Tab.o1[[#This Row],[OBS]]/SUM(Tab.o1[OBS]),"")</f>
        <v/>
      </c>
      <c r="AS147" s="135" t="str">
        <f>IF(ISNUMBER(Tab.o1[[#This Row],[a1]]),ROW()-4,"")</f>
        <v/>
      </c>
      <c r="AT147" s="136" t="str">
        <f>Tab.o1[[#This Row],[MOD]]</f>
        <v/>
      </c>
      <c r="AU147" s="137" t="str">
        <f t="shared" si="9"/>
        <v/>
      </c>
      <c r="AV147" s="138" t="str">
        <f t="shared" si="10"/>
        <v/>
      </c>
      <c r="AW147" s="138" t="str">
        <f t="shared" si="11"/>
        <v/>
      </c>
      <c r="AX147" s="139" t="str">
        <f>[1]!T.in.A[[#This Row],[ID_T_manu]]</f>
        <v/>
      </c>
      <c r="AY147" s="140" t="str">
        <f>IF(ISNUMBER(Tab.o1[[#This Row],[a1]]),IF(AND(Tab.o1[[#This Row],[a1]]=1,Tab.o1[[#This Row],[b1]]&lt;=AY$4),#REF!,AY146),"")</f>
        <v/>
      </c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</row>
    <row r="148" spans="1:79" ht="14.25" hidden="1" customHeight="1">
      <c r="A148" s="109">
        <v>-5.0000000000000004E-6</v>
      </c>
      <c r="B148" s="110">
        <f t="shared" si="8"/>
        <v>148</v>
      </c>
      <c r="C148" s="111" t="str">
        <f>IF(C$1=[1]!T.in.A[[#This Row],[oo2]],1,"")</f>
        <v/>
      </c>
      <c r="D148" s="112" t="str">
        <f>IF(Tab.o1[[#This Row],[a1]]=1,IF(SUM(C148:C149)=0,0,IF(SUM(C147:C148)=1,1,IF(SUM(C147:C149)&gt;1,D147+1,0))),"")</f>
        <v/>
      </c>
      <c r="E148" s="113" t="str">
        <f>IF(Tab.o1[[#This Row],[a1]]=1,[1]!T.in.A[[#This Row],[oo1]],"")</f>
        <v/>
      </c>
      <c r="F148" s="113" t="str">
        <f>IF(Tab.o1[[#This Row],[a1]]=1,[1]!T.in.A[[#This Row],[pp1]],"")</f>
        <v/>
      </c>
      <c r="G148" s="114" t="str">
        <f>IF(Tab.o1[[#This Row],[a1]]=1,G$2+IF(G$1=1,0,Tab.o1[[#This Row],[.x1]])+[1]!T.in.A[[#This Row],[oo3]],"")</f>
        <v/>
      </c>
      <c r="H148" s="115" t="str">
        <f>IF(Tab.o1[[#This Row],[a1]]=1,IF(H$2=0,0,IF(G$1=1,0,Tab.o1[[#This Row],[.x1]])+[1]!T.in.A[[#This Row],[oo4]]),"")</f>
        <v/>
      </c>
      <c r="I148" s="116" t="str">
        <f>IF(Tab.o1[[#This Row],[a1]]=1,IF(J$2=0,Tab.o1[[#This Row],[MED]],Tab.o1[[#This Row],[MOD]]),"")</f>
        <v/>
      </c>
      <c r="J148" s="116" t="str">
        <f>IF(Tab.o1[[#This Row],[a1]]=1,((Tab.o1[[#This Row],[DIF_Target.]]-AVERAGE(Tab.o1[DIF_Target.]))/_xlfn.STDEV.P(Tab.o1[DIF_Target.])),"")</f>
        <v/>
      </c>
      <c r="K148" s="117" t="str">
        <f>IF(Tab.o1[[#This Row],[a1]]=1,IF(J$2=0,Tab.o1[[#This Row],[MOD]]-Tab.o1[[#This Row],[B]],IF(J$2=1,0,-Tab.o1[[#This Row],[MED]])+Tab.o1[[#This Row],[B]]),"")</f>
        <v/>
      </c>
      <c r="L148" s="117" t="str">
        <f ca="1">IF(Tab.o1[[#This Row],[DIF_Target]]=0,IF(L$2=0,Tab.o1[[#This Row],[DIF_Target]],AVERAGE(OFFSET(Tab.o1[[#This Row],[DIF_Target]],1,0,L$3,1)))/3,Tab.o1[[#This Row],[DIF_Target]])</f>
        <v/>
      </c>
      <c r="M148" s="118" t="str">
        <f>IF(Tab.o1[[#This Row],[a1]]=1,NORMSDIST(Tab.o1[[#This Row],[Za]]),"")</f>
        <v/>
      </c>
      <c r="N148" s="119" t="str">
        <f>IF(Tab.o1[[#This Row],[a1]]=1,((Tab.o1[[#This Row],[MedMod]]-AVERAGE(Tab.o1[MedMod]))/_xlfn.STDEV.P(Tab.o1[MedMod])*H$1205)+G$1205,"")</f>
        <v/>
      </c>
      <c r="O148" s="141" t="str">
        <f>IF(Tab.o1[[#This Row],[a1]]=1,Tab.o1[[#This Row],[Zb]]*_xlfn.STDEV.P(Tab.o1[MedMod])+AVERAGE(Tab.o1[MedMod]),"")</f>
        <v/>
      </c>
      <c r="P148" s="117" t="str">
        <f ca="1">IF(Tab.o1[[#This Row],[B]]=0,AVERAGE(OFFSET(Tab.o1[[#This Row],[B]],1,0,L$3,1)),Tab.o1[[#This Row],[B]])</f>
        <v/>
      </c>
      <c r="Q148" s="121" t="str">
        <f>IF(Tab.o1[[#This Row],[a1]]=1,NORMSDIST(Tab.o1[[#This Row],[Zb]]),"")</f>
        <v/>
      </c>
      <c r="R148" s="122" t="str">
        <f>IF(Tab.o1[[#This Row],[a1]]=1,((Tab.o1[[#This Row],[MedMod]]-AVERAGE(Tab.o1[MedMod]))/_xlfn.STDEV.P(Tab.o1[MedMod])*H$1203)+G$1203,"")</f>
        <v/>
      </c>
      <c r="S148" s="122" t="str">
        <f>IF(Tab.o1[[#This Row],[a1]]=1,((Tab.o1[[#This Row],[MedMod]]-AVERAGE(Tab.o1[MedMod]))/_xlfn.STDEV.P(Tab.o1[MedMod])*H$1204)+G$1204,"")</f>
        <v/>
      </c>
      <c r="T148" s="123" t="str">
        <f>IF(Tab.o1[[#This Row],[a1]]=1,Tab.o1[[#This Row],[Z-]]*_xlfn.STDEV.P(Tab.o1[B])+AVERAGE(Tab.o1[B]),"")</f>
        <v/>
      </c>
      <c r="U148" s="123" t="str">
        <f>IF(Tab.o1[[#This Row],[a1]]=1,Tab.o1[[#This Row],[z+]]*_xlfn.STDEV.P(Tab.o1[B])+AVERAGE(Tab.o1[B]),"")</f>
        <v/>
      </c>
      <c r="V148" s="124" t="str">
        <f>IF(Tab.o1[[#This Row],[a1]]=1,ABS((ABS(Tab.o1[[#This Row],[Red]]-Tab.o1[[#This Row],[Blue]]))),"")</f>
        <v/>
      </c>
      <c r="W148" s="125" t="str">
        <f>IF(Tab.o1[[#This Row],[a1]]=1,IF(W$3=0,1,Tab.o1[[#This Row],[Amp.]]*1/_xlfn.MINIFS(Tab.o1[Amp.],Tab.o1[Amp.],"&lt;&gt;0")),"")</f>
        <v/>
      </c>
      <c r="X148" s="126" t="str">
        <f>IF(Tab.o1[[#This Row],[a1]]=1,IF(ISNUMBER(Tab.o1[[#This Row],[i.]]),NORMDIST(Tab.o1[[#This Row],[Za]],0,1,FALSE)*Tab.o1[[#This Row],[i.]],AP$3),"")</f>
        <v/>
      </c>
      <c r="Y148" s="126" t="str">
        <f>IF(Tab.o1[[#This Row],[a1]]=1,0.01+0.94*Tab.o1[[#This Row],[PDF]]/MAX(Tab.o1[PDF]),"")</f>
        <v/>
      </c>
      <c r="Z148" s="126" t="str">
        <f>IF(Tab.o1[[#This Row],[a1]]=1,0.01+0.94*Tab.o1[[#This Row],[W1_PDF]]/MAX(Tab.o1[W1_PDF]),"")</f>
        <v/>
      </c>
      <c r="AA148" s="118" t="str">
        <f>IF(Tab.o1[[#This Row],[a1]]=1,ABS([1]!T.in.A[[#This Row],[oo6]]),"")</f>
        <v/>
      </c>
      <c r="AB148" s="127" t="str">
        <f>IF(Tab.o1[[#This Row],[a1]]=1,IF(AE$3=0,"",IF(AB$3=0,ABS([1]!T.in.A[[#This Row],[oo9]]),ABS(Tab.o1[[#This Row],[DIF_Target.]]*Tab.o1[[#This Row],[W1_PDF]]))),"")</f>
        <v/>
      </c>
      <c r="AC148" s="127" t="str">
        <f>IF(G$1=1,"",IF(Tab.o1[[#This Row],[a1]]=1,Tab.o1[[#This Row],[Wr]]^2,""))</f>
        <v/>
      </c>
      <c r="AD148" s="118" t="str">
        <f>IF(Tab.o1[[#This Row],[a1]]=1,IF(AE$3=0,"",Tab.o1[[#This Row],[Wr2]]/SUM(Tab.o1[Wr2])),"")</f>
        <v/>
      </c>
      <c r="AE148" s="128" t="str">
        <f>IF(Tab.o1[[#This Row],[a1]]=1,[1]!T.in.A[[#This Row],[oo10]],"")</f>
        <v/>
      </c>
      <c r="AF148" s="118" t="str">
        <f>IF(Tab.o1[[#This Row],[a1]]=1,ABS(Tab.o1[[#This Row],[DIF_Target.]]*Tab.o1[[#This Row],[PDF2]]*Tab.o1[[#This Row],[IN]]),"")</f>
        <v/>
      </c>
      <c r="AG148" s="129" t="str">
        <f>IF(Tab.o1[[#This Row],[a1]]=1,Tab.o1[[#This Row],[rW]]^2,"")</f>
        <v/>
      </c>
      <c r="AH148" s="130" t="str">
        <f>IF(Tab.o1[[#This Row],[a1]]=1,IF(AH$3=0,Tab.o1[[#This Row],[rW2]],0.01+0.94*Tab.o1[[#This Row],[rW2]]/SUM(Tab.o1[rW2])),"")</f>
        <v/>
      </c>
      <c r="AI148" s="128" t="str">
        <f>IF(Tab.o1[[#This Row],[a1]]=1,1/Tab.o1[[#This Row],[PDF]],"")</f>
        <v/>
      </c>
      <c r="AJ148" s="131" t="str">
        <f>IF(Tab.o1[[#This Row],[a1]]=1,[1]!T_AA[[#This Row],[IN'']]*[1]!T_AA[[#This Row],[Qde'']],"")</f>
        <v/>
      </c>
      <c r="AK148" s="132" t="str">
        <f>IF(Tab.o1[[#This Row],[a1]]=1,IF(AK$1=1,Tab.o1[[#This Row],[MED]]+Tab.o1[[#This Row],[MOD]]-Tab.o1[[#This Row],[MED]],""),"")</f>
        <v/>
      </c>
      <c r="AL148" s="133" t="str">
        <f>IF(Tab.o1[[#This Row],[a1]]=1,[1]!T.in.A[[#This Row],[oo16]],"")</f>
        <v/>
      </c>
      <c r="AM148" s="133" t="str">
        <f>IF(Tab.o1[[#This Row],[a1]]=1,IF(AM$3=1,[1]!T.in.A[[#This Row],[Σo16]],""),"")</f>
        <v/>
      </c>
      <c r="AN148" s="126" t="str">
        <f>IF(Tab.o1[[#This Row],[a1]]=1,[1]!T.in.A[[#This Row],[Σp5]],"")</f>
        <v/>
      </c>
      <c r="AO148" s="126" t="str">
        <f>IF(Tab.o1[[#This Row],[a1]]=1,IF(AO$3=1,[1]!T.in.A[[#This Row],[Σp5]],""),"")</f>
        <v/>
      </c>
      <c r="AP148" s="110" t="str">
        <f>IF(Tab.o1[[#This Row],[a1]]=1,IF(ISNUMBER(Tab.o1[[#This Row],[i.]]),NORMDIST(Tab.o1[[#This Row],[Za]],0,1,FALSE)*Tab.o1[[#This Row],[i.]],0),"")</f>
        <v/>
      </c>
      <c r="AQ148" s="125" t="str">
        <f>IF(Tab.o1[[#This Row],[a1]]=1,ABS(Tab.o1[[#This Row],[MOD]]-AVERAGE(Tab.o1[MOD])),"")</f>
        <v/>
      </c>
      <c r="AR148" s="134" t="str">
        <f>IF(Tab.o1[[#This Row],[a1]]=1,Tab.o1[[#This Row],[OBS]]/SUM(Tab.o1[OBS]),"")</f>
        <v/>
      </c>
      <c r="AS148" s="135" t="str">
        <f>IF(ISNUMBER(Tab.o1[[#This Row],[a1]]),ROW()-4,"")</f>
        <v/>
      </c>
      <c r="AT148" s="136" t="str">
        <f>Tab.o1[[#This Row],[MOD]]</f>
        <v/>
      </c>
      <c r="AU148" s="137" t="str">
        <f t="shared" si="9"/>
        <v/>
      </c>
      <c r="AV148" s="138" t="str">
        <f t="shared" si="10"/>
        <v/>
      </c>
      <c r="AW148" s="138" t="str">
        <f t="shared" si="11"/>
        <v/>
      </c>
      <c r="AX148" s="139" t="str">
        <f>[1]!T.in.A[[#This Row],[ID_T_manu]]</f>
        <v/>
      </c>
      <c r="AY148" s="140" t="str">
        <f>IF(ISNUMBER(Tab.o1[[#This Row],[a1]]),IF(AND(Tab.o1[[#This Row],[a1]]=1,Tab.o1[[#This Row],[b1]]&lt;=AY$4),#REF!,AY147),"")</f>
        <v/>
      </c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</row>
    <row r="149" spans="1:79" ht="14.25" hidden="1" customHeight="1">
      <c r="A149" s="109">
        <v>6.9999999999999999E-6</v>
      </c>
      <c r="B149" s="110">
        <f t="shared" si="8"/>
        <v>149</v>
      </c>
      <c r="C149" s="111" t="str">
        <f>IF(C$1=[1]!T.in.A[[#This Row],[oo2]],1,"")</f>
        <v/>
      </c>
      <c r="D149" s="112" t="str">
        <f>IF(Tab.o1[[#This Row],[a1]]=1,IF(SUM(C149:C150)=0,0,IF(SUM(C148:C149)=1,1,IF(SUM(C148:C150)&gt;1,D148+1,0))),"")</f>
        <v/>
      </c>
      <c r="E149" s="113" t="str">
        <f>IF(Tab.o1[[#This Row],[a1]]=1,[1]!T.in.A[[#This Row],[oo1]],"")</f>
        <v/>
      </c>
      <c r="F149" s="113" t="str">
        <f>IF(Tab.o1[[#This Row],[a1]]=1,[1]!T.in.A[[#This Row],[pp1]],"")</f>
        <v/>
      </c>
      <c r="G149" s="114" t="str">
        <f>IF(Tab.o1[[#This Row],[a1]]=1,G$2+IF(G$1=1,0,Tab.o1[[#This Row],[.x1]])+[1]!T.in.A[[#This Row],[oo3]],"")</f>
        <v/>
      </c>
      <c r="H149" s="115" t="str">
        <f>IF(Tab.o1[[#This Row],[a1]]=1,IF(H$2=0,0,IF(G$1=1,0,Tab.o1[[#This Row],[.x1]])+[1]!T.in.A[[#This Row],[oo4]]),"")</f>
        <v/>
      </c>
      <c r="I149" s="116" t="str">
        <f>IF(Tab.o1[[#This Row],[a1]]=1,IF(J$2=0,Tab.o1[[#This Row],[MED]],Tab.o1[[#This Row],[MOD]]),"")</f>
        <v/>
      </c>
      <c r="J149" s="116" t="str">
        <f>IF(Tab.o1[[#This Row],[a1]]=1,((Tab.o1[[#This Row],[DIF_Target.]]-AVERAGE(Tab.o1[DIF_Target.]))/_xlfn.STDEV.P(Tab.o1[DIF_Target.])),"")</f>
        <v/>
      </c>
      <c r="K149" s="117" t="str">
        <f>IF(Tab.o1[[#This Row],[a1]]=1,IF(J$2=0,Tab.o1[[#This Row],[MOD]]-Tab.o1[[#This Row],[B]],IF(J$2=1,0,-Tab.o1[[#This Row],[MED]])+Tab.o1[[#This Row],[B]]),"")</f>
        <v/>
      </c>
      <c r="L149" s="117" t="str">
        <f ca="1">IF(Tab.o1[[#This Row],[DIF_Target]]=0,IF(L$2=0,Tab.o1[[#This Row],[DIF_Target]],AVERAGE(OFFSET(Tab.o1[[#This Row],[DIF_Target]],1,0,L$3,1)))/3,Tab.o1[[#This Row],[DIF_Target]])</f>
        <v/>
      </c>
      <c r="M149" s="118" t="str">
        <f>IF(Tab.o1[[#This Row],[a1]]=1,NORMSDIST(Tab.o1[[#This Row],[Za]]),"")</f>
        <v/>
      </c>
      <c r="N149" s="119" t="str">
        <f>IF(Tab.o1[[#This Row],[a1]]=1,((Tab.o1[[#This Row],[MedMod]]-AVERAGE(Tab.o1[MedMod]))/_xlfn.STDEV.P(Tab.o1[MedMod])*H$1205)+G$1205,"")</f>
        <v/>
      </c>
      <c r="O149" s="141" t="str">
        <f>IF(Tab.o1[[#This Row],[a1]]=1,Tab.o1[[#This Row],[Zb]]*_xlfn.STDEV.P(Tab.o1[MedMod])+AVERAGE(Tab.o1[MedMod]),"")</f>
        <v/>
      </c>
      <c r="P149" s="117" t="str">
        <f ca="1">IF(Tab.o1[[#This Row],[B]]=0,AVERAGE(OFFSET(Tab.o1[[#This Row],[B]],1,0,L$3,1)),Tab.o1[[#This Row],[B]])</f>
        <v/>
      </c>
      <c r="Q149" s="121" t="str">
        <f>IF(Tab.o1[[#This Row],[a1]]=1,NORMSDIST(Tab.o1[[#This Row],[Zb]]),"")</f>
        <v/>
      </c>
      <c r="R149" s="122" t="str">
        <f>IF(Tab.o1[[#This Row],[a1]]=1,((Tab.o1[[#This Row],[MedMod]]-AVERAGE(Tab.o1[MedMod]))/_xlfn.STDEV.P(Tab.o1[MedMod])*H$1203)+G$1203,"")</f>
        <v/>
      </c>
      <c r="S149" s="122" t="str">
        <f>IF(Tab.o1[[#This Row],[a1]]=1,((Tab.o1[[#This Row],[MedMod]]-AVERAGE(Tab.o1[MedMod]))/_xlfn.STDEV.P(Tab.o1[MedMod])*H$1204)+G$1204,"")</f>
        <v/>
      </c>
      <c r="T149" s="123" t="str">
        <f>IF(Tab.o1[[#This Row],[a1]]=1,Tab.o1[[#This Row],[Z-]]*_xlfn.STDEV.P(Tab.o1[B])+AVERAGE(Tab.o1[B]),"")</f>
        <v/>
      </c>
      <c r="U149" s="123" t="str">
        <f>IF(Tab.o1[[#This Row],[a1]]=1,Tab.o1[[#This Row],[z+]]*_xlfn.STDEV.P(Tab.o1[B])+AVERAGE(Tab.o1[B]),"")</f>
        <v/>
      </c>
      <c r="V149" s="124" t="str">
        <f>IF(Tab.o1[[#This Row],[a1]]=1,ABS((ABS(Tab.o1[[#This Row],[Red]]-Tab.o1[[#This Row],[Blue]]))),"")</f>
        <v/>
      </c>
      <c r="W149" s="125" t="str">
        <f>IF(Tab.o1[[#This Row],[a1]]=1,IF(W$3=0,1,Tab.o1[[#This Row],[Amp.]]*1/_xlfn.MINIFS(Tab.o1[Amp.],Tab.o1[Amp.],"&lt;&gt;0")),"")</f>
        <v/>
      </c>
      <c r="X149" s="126" t="str">
        <f>IF(Tab.o1[[#This Row],[a1]]=1,IF(ISNUMBER(Tab.o1[[#This Row],[i.]]),NORMDIST(Tab.o1[[#This Row],[Za]],0,1,FALSE)*Tab.o1[[#This Row],[i.]],AP$3),"")</f>
        <v/>
      </c>
      <c r="Y149" s="126" t="str">
        <f>IF(Tab.o1[[#This Row],[a1]]=1,0.01+0.94*Tab.o1[[#This Row],[PDF]]/MAX(Tab.o1[PDF]),"")</f>
        <v/>
      </c>
      <c r="Z149" s="126" t="str">
        <f>IF(Tab.o1[[#This Row],[a1]]=1,0.01+0.94*Tab.o1[[#This Row],[W1_PDF]]/MAX(Tab.o1[W1_PDF]),"")</f>
        <v/>
      </c>
      <c r="AA149" s="118" t="str">
        <f>IF(Tab.o1[[#This Row],[a1]]=1,ABS([1]!T.in.A[[#This Row],[oo6]]),"")</f>
        <v/>
      </c>
      <c r="AB149" s="127" t="str">
        <f>IF(Tab.o1[[#This Row],[a1]]=1,IF(AE$3=0,"",IF(AB$3=0,ABS([1]!T.in.A[[#This Row],[oo9]]),ABS(Tab.o1[[#This Row],[DIF_Target.]]*Tab.o1[[#This Row],[W1_PDF]]))),"")</f>
        <v/>
      </c>
      <c r="AC149" s="127" t="str">
        <f>IF(G$1=1,"",IF(Tab.o1[[#This Row],[a1]]=1,Tab.o1[[#This Row],[Wr]]^2,""))</f>
        <v/>
      </c>
      <c r="AD149" s="118" t="str">
        <f>IF(Tab.o1[[#This Row],[a1]]=1,IF(AE$3=0,"",Tab.o1[[#This Row],[Wr2]]/SUM(Tab.o1[Wr2])),"")</f>
        <v/>
      </c>
      <c r="AE149" s="128" t="str">
        <f>IF(Tab.o1[[#This Row],[a1]]=1,[1]!T.in.A[[#This Row],[oo10]],"")</f>
        <v/>
      </c>
      <c r="AF149" s="118" t="str">
        <f>IF(Tab.o1[[#This Row],[a1]]=1,ABS(Tab.o1[[#This Row],[DIF_Target.]]*Tab.o1[[#This Row],[PDF2]]*Tab.o1[[#This Row],[IN]]),"")</f>
        <v/>
      </c>
      <c r="AG149" s="129" t="str">
        <f>IF(Tab.o1[[#This Row],[a1]]=1,Tab.o1[[#This Row],[rW]]^2,"")</f>
        <v/>
      </c>
      <c r="AH149" s="130" t="str">
        <f>IF(Tab.o1[[#This Row],[a1]]=1,IF(AH$3=0,Tab.o1[[#This Row],[rW2]],0.01+0.94*Tab.o1[[#This Row],[rW2]]/SUM(Tab.o1[rW2])),"")</f>
        <v/>
      </c>
      <c r="AI149" s="128" t="str">
        <f>IF(Tab.o1[[#This Row],[a1]]=1,1/Tab.o1[[#This Row],[PDF]],"")</f>
        <v/>
      </c>
      <c r="AJ149" s="131" t="str">
        <f>IF(Tab.o1[[#This Row],[a1]]=1,[1]!T_AA[[#This Row],[IN'']]*[1]!T_AA[[#This Row],[Qde'']],"")</f>
        <v/>
      </c>
      <c r="AK149" s="132" t="str">
        <f>IF(Tab.o1[[#This Row],[a1]]=1,IF(AK$1=1,Tab.o1[[#This Row],[MED]]+Tab.o1[[#This Row],[MOD]]-Tab.o1[[#This Row],[MED]],""),"")</f>
        <v/>
      </c>
      <c r="AL149" s="133" t="str">
        <f>IF(Tab.o1[[#This Row],[a1]]=1,[1]!T.in.A[[#This Row],[oo16]],"")</f>
        <v/>
      </c>
      <c r="AM149" s="133" t="str">
        <f>IF(Tab.o1[[#This Row],[a1]]=1,IF(AM$3=1,[1]!T.in.A[[#This Row],[Σo16]],""),"")</f>
        <v/>
      </c>
      <c r="AN149" s="126" t="str">
        <f>IF(Tab.o1[[#This Row],[a1]]=1,[1]!T.in.A[[#This Row],[Σp5]],"")</f>
        <v/>
      </c>
      <c r="AO149" s="126" t="str">
        <f>IF(Tab.o1[[#This Row],[a1]]=1,IF(AO$3=1,[1]!T.in.A[[#This Row],[Σp5]],""),"")</f>
        <v/>
      </c>
      <c r="AP149" s="110" t="str">
        <f>IF(Tab.o1[[#This Row],[a1]]=1,IF(ISNUMBER(Tab.o1[[#This Row],[i.]]),NORMDIST(Tab.o1[[#This Row],[Za]],0,1,FALSE)*Tab.o1[[#This Row],[i.]],0),"")</f>
        <v/>
      </c>
      <c r="AQ149" s="125" t="str">
        <f>IF(Tab.o1[[#This Row],[a1]]=1,ABS(Tab.o1[[#This Row],[MOD]]-AVERAGE(Tab.o1[MOD])),"")</f>
        <v/>
      </c>
      <c r="AR149" s="134" t="str">
        <f>IF(Tab.o1[[#This Row],[a1]]=1,Tab.o1[[#This Row],[OBS]]/SUM(Tab.o1[OBS]),"")</f>
        <v/>
      </c>
      <c r="AS149" s="135" t="str">
        <f>IF(ISNUMBER(Tab.o1[[#This Row],[a1]]),ROW()-4,"")</f>
        <v/>
      </c>
      <c r="AT149" s="136" t="str">
        <f>Tab.o1[[#This Row],[MOD]]</f>
        <v/>
      </c>
      <c r="AU149" s="137" t="str">
        <f t="shared" si="9"/>
        <v/>
      </c>
      <c r="AV149" s="138" t="str">
        <f t="shared" si="10"/>
        <v/>
      </c>
      <c r="AW149" s="138" t="str">
        <f t="shared" si="11"/>
        <v/>
      </c>
      <c r="AX149" s="139" t="str">
        <f>[1]!T.in.A[[#This Row],[ID_T_manu]]</f>
        <v/>
      </c>
      <c r="AY149" s="140" t="str">
        <f>IF(ISNUMBER(Tab.o1[[#This Row],[a1]]),IF(AND(Tab.o1[[#This Row],[a1]]=1,Tab.o1[[#This Row],[b1]]&lt;=AY$4),#REF!,AY148),"")</f>
        <v/>
      </c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</row>
    <row r="150" spans="1:79" ht="14.25" hidden="1" customHeight="1">
      <c r="A150" s="109">
        <v>8.0000000000000013E-6</v>
      </c>
      <c r="B150" s="110">
        <f t="shared" si="8"/>
        <v>150</v>
      </c>
      <c r="C150" s="111" t="str">
        <f>IF(C$1=[1]!T.in.A[[#This Row],[oo2]],1,"")</f>
        <v/>
      </c>
      <c r="D150" s="112" t="str">
        <f>IF(Tab.o1[[#This Row],[a1]]=1,IF(SUM(C150:C151)=0,0,IF(SUM(C149:C150)=1,1,IF(SUM(C149:C151)&gt;1,D149+1,0))),"")</f>
        <v/>
      </c>
      <c r="E150" s="113" t="str">
        <f>IF(Tab.o1[[#This Row],[a1]]=1,[1]!T.in.A[[#This Row],[oo1]],"")</f>
        <v/>
      </c>
      <c r="F150" s="113" t="str">
        <f>IF(Tab.o1[[#This Row],[a1]]=1,[1]!T.in.A[[#This Row],[pp1]],"")</f>
        <v/>
      </c>
      <c r="G150" s="114" t="str">
        <f>IF(Tab.o1[[#This Row],[a1]]=1,G$2+IF(G$1=1,0,Tab.o1[[#This Row],[.x1]])+[1]!T.in.A[[#This Row],[oo3]],"")</f>
        <v/>
      </c>
      <c r="H150" s="115" t="str">
        <f>IF(Tab.o1[[#This Row],[a1]]=1,IF(H$2=0,0,IF(G$1=1,0,Tab.o1[[#This Row],[.x1]])+[1]!T.in.A[[#This Row],[oo4]]),"")</f>
        <v/>
      </c>
      <c r="I150" s="116" t="str">
        <f>IF(Tab.o1[[#This Row],[a1]]=1,IF(J$2=0,Tab.o1[[#This Row],[MED]],Tab.o1[[#This Row],[MOD]]),"")</f>
        <v/>
      </c>
      <c r="J150" s="116" t="str">
        <f>IF(Tab.o1[[#This Row],[a1]]=1,((Tab.o1[[#This Row],[DIF_Target.]]-AVERAGE(Tab.o1[DIF_Target.]))/_xlfn.STDEV.P(Tab.o1[DIF_Target.])),"")</f>
        <v/>
      </c>
      <c r="K150" s="117" t="str">
        <f>IF(Tab.o1[[#This Row],[a1]]=1,IF(J$2=0,Tab.o1[[#This Row],[MOD]]-Tab.o1[[#This Row],[B]],IF(J$2=1,0,-Tab.o1[[#This Row],[MED]])+Tab.o1[[#This Row],[B]]),"")</f>
        <v/>
      </c>
      <c r="L150" s="117" t="str">
        <f ca="1">IF(Tab.o1[[#This Row],[DIF_Target]]=0,IF(L$2=0,Tab.o1[[#This Row],[DIF_Target]],AVERAGE(OFFSET(Tab.o1[[#This Row],[DIF_Target]],1,0,L$3,1)))/3,Tab.o1[[#This Row],[DIF_Target]])</f>
        <v/>
      </c>
      <c r="M150" s="118" t="str">
        <f>IF(Tab.o1[[#This Row],[a1]]=1,NORMSDIST(Tab.o1[[#This Row],[Za]]),"")</f>
        <v/>
      </c>
      <c r="N150" s="119" t="str">
        <f>IF(Tab.o1[[#This Row],[a1]]=1,((Tab.o1[[#This Row],[MedMod]]-AVERAGE(Tab.o1[MedMod]))/_xlfn.STDEV.P(Tab.o1[MedMod])*H$1205)+G$1205,"")</f>
        <v/>
      </c>
      <c r="O150" s="141" t="str">
        <f>IF(Tab.o1[[#This Row],[a1]]=1,Tab.o1[[#This Row],[Zb]]*_xlfn.STDEV.P(Tab.o1[MedMod])+AVERAGE(Tab.o1[MedMod]),"")</f>
        <v/>
      </c>
      <c r="P150" s="117" t="str">
        <f ca="1">IF(Tab.o1[[#This Row],[B]]=0,AVERAGE(OFFSET(Tab.o1[[#This Row],[B]],1,0,L$3,1)),Tab.o1[[#This Row],[B]])</f>
        <v/>
      </c>
      <c r="Q150" s="121" t="str">
        <f>IF(Tab.o1[[#This Row],[a1]]=1,NORMSDIST(Tab.o1[[#This Row],[Zb]]),"")</f>
        <v/>
      </c>
      <c r="R150" s="122" t="str">
        <f>IF(Tab.o1[[#This Row],[a1]]=1,((Tab.o1[[#This Row],[MedMod]]-AVERAGE(Tab.o1[MedMod]))/_xlfn.STDEV.P(Tab.o1[MedMod])*H$1203)+G$1203,"")</f>
        <v/>
      </c>
      <c r="S150" s="122" t="str">
        <f>IF(Tab.o1[[#This Row],[a1]]=1,((Tab.o1[[#This Row],[MedMod]]-AVERAGE(Tab.o1[MedMod]))/_xlfn.STDEV.P(Tab.o1[MedMod])*H$1204)+G$1204,"")</f>
        <v/>
      </c>
      <c r="T150" s="123" t="str">
        <f>IF(Tab.o1[[#This Row],[a1]]=1,Tab.o1[[#This Row],[Z-]]*_xlfn.STDEV.P(Tab.o1[B])+AVERAGE(Tab.o1[B]),"")</f>
        <v/>
      </c>
      <c r="U150" s="123" t="str">
        <f>IF(Tab.o1[[#This Row],[a1]]=1,Tab.o1[[#This Row],[z+]]*_xlfn.STDEV.P(Tab.o1[B])+AVERAGE(Tab.o1[B]),"")</f>
        <v/>
      </c>
      <c r="V150" s="124" t="str">
        <f>IF(Tab.o1[[#This Row],[a1]]=1,ABS((ABS(Tab.o1[[#This Row],[Red]]-Tab.o1[[#This Row],[Blue]]))),"")</f>
        <v/>
      </c>
      <c r="W150" s="125" t="str">
        <f>IF(Tab.o1[[#This Row],[a1]]=1,IF(W$3=0,1,Tab.o1[[#This Row],[Amp.]]*1/_xlfn.MINIFS(Tab.o1[Amp.],Tab.o1[Amp.],"&lt;&gt;0")),"")</f>
        <v/>
      </c>
      <c r="X150" s="126" t="str">
        <f>IF(Tab.o1[[#This Row],[a1]]=1,IF(ISNUMBER(Tab.o1[[#This Row],[i.]]),NORMDIST(Tab.o1[[#This Row],[Za]],0,1,FALSE)*Tab.o1[[#This Row],[i.]],AP$3),"")</f>
        <v/>
      </c>
      <c r="Y150" s="126" t="str">
        <f>IF(Tab.o1[[#This Row],[a1]]=1,0.01+0.94*Tab.o1[[#This Row],[PDF]]/MAX(Tab.o1[PDF]),"")</f>
        <v/>
      </c>
      <c r="Z150" s="126" t="str">
        <f>IF(Tab.o1[[#This Row],[a1]]=1,0.01+0.94*Tab.o1[[#This Row],[W1_PDF]]/MAX(Tab.o1[W1_PDF]),"")</f>
        <v/>
      </c>
      <c r="AA150" s="118" t="str">
        <f>IF(Tab.o1[[#This Row],[a1]]=1,ABS([1]!T.in.A[[#This Row],[oo6]]),"")</f>
        <v/>
      </c>
      <c r="AB150" s="127" t="str">
        <f>IF(Tab.o1[[#This Row],[a1]]=1,IF(AE$3=0,"",IF(AB$3=0,ABS([1]!T.in.A[[#This Row],[oo9]]),ABS(Tab.o1[[#This Row],[DIF_Target.]]*Tab.o1[[#This Row],[W1_PDF]]))),"")</f>
        <v/>
      </c>
      <c r="AC150" s="127" t="str">
        <f>IF(G$1=1,"",IF(Tab.o1[[#This Row],[a1]]=1,Tab.o1[[#This Row],[Wr]]^2,""))</f>
        <v/>
      </c>
      <c r="AD150" s="118" t="str">
        <f>IF(Tab.o1[[#This Row],[a1]]=1,IF(AE$3=0,"",Tab.o1[[#This Row],[Wr2]]/SUM(Tab.o1[Wr2])),"")</f>
        <v/>
      </c>
      <c r="AE150" s="128" t="str">
        <f>IF(Tab.o1[[#This Row],[a1]]=1,[1]!T.in.A[[#This Row],[oo10]],"")</f>
        <v/>
      </c>
      <c r="AF150" s="118" t="str">
        <f>IF(Tab.o1[[#This Row],[a1]]=1,ABS(Tab.o1[[#This Row],[DIF_Target.]]*Tab.o1[[#This Row],[PDF2]]*Tab.o1[[#This Row],[IN]]),"")</f>
        <v/>
      </c>
      <c r="AG150" s="129" t="str">
        <f>IF(Tab.o1[[#This Row],[a1]]=1,Tab.o1[[#This Row],[rW]]^2,"")</f>
        <v/>
      </c>
      <c r="AH150" s="130" t="str">
        <f>IF(Tab.o1[[#This Row],[a1]]=1,IF(AH$3=0,Tab.o1[[#This Row],[rW2]],0.01+0.94*Tab.o1[[#This Row],[rW2]]/SUM(Tab.o1[rW2])),"")</f>
        <v/>
      </c>
      <c r="AI150" s="128" t="str">
        <f>IF(Tab.o1[[#This Row],[a1]]=1,1/Tab.o1[[#This Row],[PDF]],"")</f>
        <v/>
      </c>
      <c r="AJ150" s="131" t="str">
        <f>IF(Tab.o1[[#This Row],[a1]]=1,[1]!T_AA[[#This Row],[IN'']]*[1]!T_AA[[#This Row],[Qde'']],"")</f>
        <v/>
      </c>
      <c r="AK150" s="132" t="str">
        <f>IF(Tab.o1[[#This Row],[a1]]=1,IF(AK$1=1,Tab.o1[[#This Row],[MED]]+Tab.o1[[#This Row],[MOD]]-Tab.o1[[#This Row],[MED]],""),"")</f>
        <v/>
      </c>
      <c r="AL150" s="133" t="str">
        <f>IF(Tab.o1[[#This Row],[a1]]=1,[1]!T.in.A[[#This Row],[oo16]],"")</f>
        <v/>
      </c>
      <c r="AM150" s="133" t="str">
        <f>IF(Tab.o1[[#This Row],[a1]]=1,IF(AM$3=1,[1]!T.in.A[[#This Row],[Σo16]],""),"")</f>
        <v/>
      </c>
      <c r="AN150" s="126" t="str">
        <f>IF(Tab.o1[[#This Row],[a1]]=1,[1]!T.in.A[[#This Row],[Σp5]],"")</f>
        <v/>
      </c>
      <c r="AO150" s="126" t="str">
        <f>IF(Tab.o1[[#This Row],[a1]]=1,IF(AO$3=1,[1]!T.in.A[[#This Row],[Σp5]],""),"")</f>
        <v/>
      </c>
      <c r="AP150" s="110" t="str">
        <f>IF(Tab.o1[[#This Row],[a1]]=1,IF(ISNUMBER(Tab.o1[[#This Row],[i.]]),NORMDIST(Tab.o1[[#This Row],[Za]],0,1,FALSE)*Tab.o1[[#This Row],[i.]],0),"")</f>
        <v/>
      </c>
      <c r="AQ150" s="125" t="str">
        <f>IF(Tab.o1[[#This Row],[a1]]=1,ABS(Tab.o1[[#This Row],[MOD]]-AVERAGE(Tab.o1[MOD])),"")</f>
        <v/>
      </c>
      <c r="AR150" s="134" t="str">
        <f>IF(Tab.o1[[#This Row],[a1]]=1,Tab.o1[[#This Row],[OBS]]/SUM(Tab.o1[OBS]),"")</f>
        <v/>
      </c>
      <c r="AS150" s="135" t="str">
        <f>IF(ISNUMBER(Tab.o1[[#This Row],[a1]]),ROW()-4,"")</f>
        <v/>
      </c>
      <c r="AT150" s="136" t="str">
        <f>Tab.o1[[#This Row],[MOD]]</f>
        <v/>
      </c>
      <c r="AU150" s="137" t="str">
        <f t="shared" si="9"/>
        <v/>
      </c>
      <c r="AV150" s="138" t="str">
        <f t="shared" si="10"/>
        <v/>
      </c>
      <c r="AW150" s="138" t="str">
        <f t="shared" si="11"/>
        <v/>
      </c>
      <c r="AX150" s="139" t="str">
        <f>[1]!T.in.A[[#This Row],[ID_T_manu]]</f>
        <v/>
      </c>
      <c r="AY150" s="140" t="str">
        <f>IF(ISNUMBER(Tab.o1[[#This Row],[a1]]),IF(AND(Tab.o1[[#This Row],[a1]]=1,Tab.o1[[#This Row],[b1]]&lt;=AY$4),#REF!,AY149),"")</f>
        <v/>
      </c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</row>
    <row r="151" spans="1:79" ht="14.25" hidden="1" customHeight="1">
      <c r="A151" s="109">
        <v>1.0000000000000002E-6</v>
      </c>
      <c r="B151" s="110">
        <f t="shared" si="8"/>
        <v>151</v>
      </c>
      <c r="C151" s="111" t="str">
        <f>IF(C$1=[1]!T.in.A[[#This Row],[oo2]],1,"")</f>
        <v/>
      </c>
      <c r="D151" s="112" t="str">
        <f>IF(Tab.o1[[#This Row],[a1]]=1,IF(SUM(C151:C152)=0,0,IF(SUM(C150:C151)=1,1,IF(SUM(C150:C152)&gt;1,D150+1,0))),"")</f>
        <v/>
      </c>
      <c r="E151" s="113" t="str">
        <f>IF(Tab.o1[[#This Row],[a1]]=1,[1]!T.in.A[[#This Row],[oo1]],"")</f>
        <v/>
      </c>
      <c r="F151" s="113" t="str">
        <f>IF(Tab.o1[[#This Row],[a1]]=1,[1]!T.in.A[[#This Row],[pp1]],"")</f>
        <v/>
      </c>
      <c r="G151" s="114" t="str">
        <f>IF(Tab.o1[[#This Row],[a1]]=1,G$2+IF(G$1=1,0,Tab.o1[[#This Row],[.x1]])+[1]!T.in.A[[#This Row],[oo3]],"")</f>
        <v/>
      </c>
      <c r="H151" s="115" t="str">
        <f>IF(Tab.o1[[#This Row],[a1]]=1,IF(H$2=0,0,IF(G$1=1,0,Tab.o1[[#This Row],[.x1]])+[1]!T.in.A[[#This Row],[oo4]]),"")</f>
        <v/>
      </c>
      <c r="I151" s="116" t="str">
        <f>IF(Tab.o1[[#This Row],[a1]]=1,IF(J$2=0,Tab.o1[[#This Row],[MED]],Tab.o1[[#This Row],[MOD]]),"")</f>
        <v/>
      </c>
      <c r="J151" s="116" t="str">
        <f>IF(Tab.o1[[#This Row],[a1]]=1,((Tab.o1[[#This Row],[DIF_Target.]]-AVERAGE(Tab.o1[DIF_Target.]))/_xlfn.STDEV.P(Tab.o1[DIF_Target.])),"")</f>
        <v/>
      </c>
      <c r="K151" s="117" t="str">
        <f>IF(Tab.o1[[#This Row],[a1]]=1,IF(J$2=0,Tab.o1[[#This Row],[MOD]]-Tab.o1[[#This Row],[B]],IF(J$2=1,0,-Tab.o1[[#This Row],[MED]])+Tab.o1[[#This Row],[B]]),"")</f>
        <v/>
      </c>
      <c r="L151" s="117" t="str">
        <f ca="1">IF(Tab.o1[[#This Row],[DIF_Target]]=0,IF(L$2=0,Tab.o1[[#This Row],[DIF_Target]],AVERAGE(OFFSET(Tab.o1[[#This Row],[DIF_Target]],1,0,L$3,1)))/3,Tab.o1[[#This Row],[DIF_Target]])</f>
        <v/>
      </c>
      <c r="M151" s="118" t="str">
        <f>IF(Tab.o1[[#This Row],[a1]]=1,NORMSDIST(Tab.o1[[#This Row],[Za]]),"")</f>
        <v/>
      </c>
      <c r="N151" s="119" t="str">
        <f>IF(Tab.o1[[#This Row],[a1]]=1,((Tab.o1[[#This Row],[MedMod]]-AVERAGE(Tab.o1[MedMod]))/_xlfn.STDEV.P(Tab.o1[MedMod])*H$1205)+G$1205,"")</f>
        <v/>
      </c>
      <c r="O151" s="141" t="str">
        <f>IF(Tab.o1[[#This Row],[a1]]=1,Tab.o1[[#This Row],[Zb]]*_xlfn.STDEV.P(Tab.o1[MedMod])+AVERAGE(Tab.o1[MedMod]),"")</f>
        <v/>
      </c>
      <c r="P151" s="117" t="str">
        <f ca="1">IF(Tab.o1[[#This Row],[B]]=0,AVERAGE(OFFSET(Tab.o1[[#This Row],[B]],1,0,L$3,1)),Tab.o1[[#This Row],[B]])</f>
        <v/>
      </c>
      <c r="Q151" s="121" t="str">
        <f>IF(Tab.o1[[#This Row],[a1]]=1,NORMSDIST(Tab.o1[[#This Row],[Zb]]),"")</f>
        <v/>
      </c>
      <c r="R151" s="122" t="str">
        <f>IF(Tab.o1[[#This Row],[a1]]=1,((Tab.o1[[#This Row],[MedMod]]-AVERAGE(Tab.o1[MedMod]))/_xlfn.STDEV.P(Tab.o1[MedMod])*H$1203)+G$1203,"")</f>
        <v/>
      </c>
      <c r="S151" s="122" t="str">
        <f>IF(Tab.o1[[#This Row],[a1]]=1,((Tab.o1[[#This Row],[MedMod]]-AVERAGE(Tab.o1[MedMod]))/_xlfn.STDEV.P(Tab.o1[MedMod])*H$1204)+G$1204,"")</f>
        <v/>
      </c>
      <c r="T151" s="123" t="str">
        <f>IF(Tab.o1[[#This Row],[a1]]=1,Tab.o1[[#This Row],[Z-]]*_xlfn.STDEV.P(Tab.o1[B])+AVERAGE(Tab.o1[B]),"")</f>
        <v/>
      </c>
      <c r="U151" s="123" t="str">
        <f>IF(Tab.o1[[#This Row],[a1]]=1,Tab.o1[[#This Row],[z+]]*_xlfn.STDEV.P(Tab.o1[B])+AVERAGE(Tab.o1[B]),"")</f>
        <v/>
      </c>
      <c r="V151" s="124" t="str">
        <f>IF(Tab.o1[[#This Row],[a1]]=1,ABS((ABS(Tab.o1[[#This Row],[Red]]-Tab.o1[[#This Row],[Blue]]))),"")</f>
        <v/>
      </c>
      <c r="W151" s="125" t="str">
        <f>IF(Tab.o1[[#This Row],[a1]]=1,IF(W$3=0,1,Tab.o1[[#This Row],[Amp.]]*1/_xlfn.MINIFS(Tab.o1[Amp.],Tab.o1[Amp.],"&lt;&gt;0")),"")</f>
        <v/>
      </c>
      <c r="X151" s="126" t="str">
        <f>IF(Tab.o1[[#This Row],[a1]]=1,IF(ISNUMBER(Tab.o1[[#This Row],[i.]]),NORMDIST(Tab.o1[[#This Row],[Za]],0,1,FALSE)*Tab.o1[[#This Row],[i.]],AP$3),"")</f>
        <v/>
      </c>
      <c r="Y151" s="126" t="str">
        <f>IF(Tab.o1[[#This Row],[a1]]=1,0.01+0.94*Tab.o1[[#This Row],[PDF]]/MAX(Tab.o1[PDF]),"")</f>
        <v/>
      </c>
      <c r="Z151" s="126" t="str">
        <f>IF(Tab.o1[[#This Row],[a1]]=1,0.01+0.94*Tab.o1[[#This Row],[W1_PDF]]/MAX(Tab.o1[W1_PDF]),"")</f>
        <v/>
      </c>
      <c r="AA151" s="118" t="str">
        <f>IF(Tab.o1[[#This Row],[a1]]=1,ABS([1]!T.in.A[[#This Row],[oo6]]),"")</f>
        <v/>
      </c>
      <c r="AB151" s="127" t="str">
        <f>IF(Tab.o1[[#This Row],[a1]]=1,IF(AE$3=0,"",IF(AB$3=0,ABS([1]!T.in.A[[#This Row],[oo9]]),ABS(Tab.o1[[#This Row],[DIF_Target.]]*Tab.o1[[#This Row],[W1_PDF]]))),"")</f>
        <v/>
      </c>
      <c r="AC151" s="127" t="str">
        <f>IF(G$1=1,"",IF(Tab.o1[[#This Row],[a1]]=1,Tab.o1[[#This Row],[Wr]]^2,""))</f>
        <v/>
      </c>
      <c r="AD151" s="118" t="str">
        <f>IF(Tab.o1[[#This Row],[a1]]=1,IF(AE$3=0,"",Tab.o1[[#This Row],[Wr2]]/SUM(Tab.o1[Wr2])),"")</f>
        <v/>
      </c>
      <c r="AE151" s="128" t="str">
        <f>IF(Tab.o1[[#This Row],[a1]]=1,[1]!T.in.A[[#This Row],[oo10]],"")</f>
        <v/>
      </c>
      <c r="AF151" s="118" t="str">
        <f>IF(Tab.o1[[#This Row],[a1]]=1,ABS(Tab.o1[[#This Row],[DIF_Target.]]*Tab.o1[[#This Row],[PDF2]]*Tab.o1[[#This Row],[IN]]),"")</f>
        <v/>
      </c>
      <c r="AG151" s="129" t="str">
        <f>IF(Tab.o1[[#This Row],[a1]]=1,Tab.o1[[#This Row],[rW]]^2,"")</f>
        <v/>
      </c>
      <c r="AH151" s="130" t="str">
        <f>IF(Tab.o1[[#This Row],[a1]]=1,IF(AH$3=0,Tab.o1[[#This Row],[rW2]],0.01+0.94*Tab.o1[[#This Row],[rW2]]/SUM(Tab.o1[rW2])),"")</f>
        <v/>
      </c>
      <c r="AI151" s="128" t="str">
        <f>IF(Tab.o1[[#This Row],[a1]]=1,1/Tab.o1[[#This Row],[PDF]],"")</f>
        <v/>
      </c>
      <c r="AJ151" s="131" t="str">
        <f>IF(Tab.o1[[#This Row],[a1]]=1,[1]!T_AA[[#This Row],[IN'']]*[1]!T_AA[[#This Row],[Qde'']],"")</f>
        <v/>
      </c>
      <c r="AK151" s="132" t="str">
        <f>IF(Tab.o1[[#This Row],[a1]]=1,IF(AK$1=1,Tab.o1[[#This Row],[MED]]+Tab.o1[[#This Row],[MOD]]-Tab.o1[[#This Row],[MED]],""),"")</f>
        <v/>
      </c>
      <c r="AL151" s="133" t="str">
        <f>IF(Tab.o1[[#This Row],[a1]]=1,[1]!T.in.A[[#This Row],[oo16]],"")</f>
        <v/>
      </c>
      <c r="AM151" s="133" t="str">
        <f>IF(Tab.o1[[#This Row],[a1]]=1,IF(AM$3=1,[1]!T.in.A[[#This Row],[Σo16]],""),"")</f>
        <v/>
      </c>
      <c r="AN151" s="126" t="str">
        <f>IF(Tab.o1[[#This Row],[a1]]=1,[1]!T.in.A[[#This Row],[Σp5]],"")</f>
        <v/>
      </c>
      <c r="AO151" s="126" t="str">
        <f>IF(Tab.o1[[#This Row],[a1]]=1,IF(AO$3=1,[1]!T.in.A[[#This Row],[Σp5]],""),"")</f>
        <v/>
      </c>
      <c r="AP151" s="110" t="str">
        <f>IF(Tab.o1[[#This Row],[a1]]=1,IF(ISNUMBER(Tab.o1[[#This Row],[i.]]),NORMDIST(Tab.o1[[#This Row],[Za]],0,1,FALSE)*Tab.o1[[#This Row],[i.]],0),"")</f>
        <v/>
      </c>
      <c r="AQ151" s="125" t="str">
        <f>IF(Tab.o1[[#This Row],[a1]]=1,ABS(Tab.o1[[#This Row],[MOD]]-AVERAGE(Tab.o1[MOD])),"")</f>
        <v/>
      </c>
      <c r="AR151" s="134" t="str">
        <f>IF(Tab.o1[[#This Row],[a1]]=1,Tab.o1[[#This Row],[OBS]]/SUM(Tab.o1[OBS]),"")</f>
        <v/>
      </c>
      <c r="AS151" s="135" t="str">
        <f>IF(ISNUMBER(Tab.o1[[#This Row],[a1]]),ROW()-4,"")</f>
        <v/>
      </c>
      <c r="AT151" s="136" t="str">
        <f>Tab.o1[[#This Row],[MOD]]</f>
        <v/>
      </c>
      <c r="AU151" s="137" t="str">
        <f t="shared" si="9"/>
        <v/>
      </c>
      <c r="AV151" s="138" t="str">
        <f t="shared" si="10"/>
        <v/>
      </c>
      <c r="AW151" s="138" t="str">
        <f t="shared" si="11"/>
        <v/>
      </c>
      <c r="AX151" s="139" t="str">
        <f>[1]!T.in.A[[#This Row],[ID_T_manu]]</f>
        <v/>
      </c>
      <c r="AY151" s="140" t="str">
        <f>IF(ISNUMBER(Tab.o1[[#This Row],[a1]]),IF(AND(Tab.o1[[#This Row],[a1]]=1,Tab.o1[[#This Row],[b1]]&lt;=AY$4),#REF!,AY150),"")</f>
        <v/>
      </c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</row>
    <row r="152" spans="1:79" ht="14.25" hidden="1" customHeight="1">
      <c r="A152" s="109">
        <v>8.0000000000000013E-6</v>
      </c>
      <c r="B152" s="110">
        <f t="shared" si="8"/>
        <v>152</v>
      </c>
      <c r="C152" s="111" t="str">
        <f>IF(C$1=[1]!T.in.A[[#This Row],[oo2]],1,"")</f>
        <v/>
      </c>
      <c r="D152" s="112" t="str">
        <f>IF(Tab.o1[[#This Row],[a1]]=1,IF(SUM(C152:C153)=0,0,IF(SUM(C151:C152)=1,1,IF(SUM(C151:C153)&gt;1,D151+1,0))),"")</f>
        <v/>
      </c>
      <c r="E152" s="113" t="str">
        <f>IF(Tab.o1[[#This Row],[a1]]=1,[1]!T.in.A[[#This Row],[oo1]],"")</f>
        <v/>
      </c>
      <c r="F152" s="113" t="str">
        <f>IF(Tab.o1[[#This Row],[a1]]=1,[1]!T.in.A[[#This Row],[pp1]],"")</f>
        <v/>
      </c>
      <c r="G152" s="114" t="str">
        <f>IF(Tab.o1[[#This Row],[a1]]=1,G$2+IF(G$1=1,0,Tab.o1[[#This Row],[.x1]])+[1]!T.in.A[[#This Row],[oo3]],"")</f>
        <v/>
      </c>
      <c r="H152" s="115" t="str">
        <f>IF(Tab.o1[[#This Row],[a1]]=1,IF(H$2=0,0,IF(G$1=1,0,Tab.o1[[#This Row],[.x1]])+[1]!T.in.A[[#This Row],[oo4]]),"")</f>
        <v/>
      </c>
      <c r="I152" s="116" t="str">
        <f>IF(Tab.o1[[#This Row],[a1]]=1,IF(J$2=0,Tab.o1[[#This Row],[MED]],Tab.o1[[#This Row],[MOD]]),"")</f>
        <v/>
      </c>
      <c r="J152" s="116" t="str">
        <f>IF(Tab.o1[[#This Row],[a1]]=1,((Tab.o1[[#This Row],[DIF_Target.]]-AVERAGE(Tab.o1[DIF_Target.]))/_xlfn.STDEV.P(Tab.o1[DIF_Target.])),"")</f>
        <v/>
      </c>
      <c r="K152" s="117" t="str">
        <f>IF(Tab.o1[[#This Row],[a1]]=1,IF(J$2=0,Tab.o1[[#This Row],[MOD]]-Tab.o1[[#This Row],[B]],IF(J$2=1,0,-Tab.o1[[#This Row],[MED]])+Tab.o1[[#This Row],[B]]),"")</f>
        <v/>
      </c>
      <c r="L152" s="117" t="str">
        <f ca="1">IF(Tab.o1[[#This Row],[DIF_Target]]=0,IF(L$2=0,Tab.o1[[#This Row],[DIF_Target]],AVERAGE(OFFSET(Tab.o1[[#This Row],[DIF_Target]],1,0,L$3,1)))/3,Tab.o1[[#This Row],[DIF_Target]])</f>
        <v/>
      </c>
      <c r="M152" s="118" t="str">
        <f>IF(Tab.o1[[#This Row],[a1]]=1,NORMSDIST(Tab.o1[[#This Row],[Za]]),"")</f>
        <v/>
      </c>
      <c r="N152" s="119" t="str">
        <f>IF(Tab.o1[[#This Row],[a1]]=1,((Tab.o1[[#This Row],[MedMod]]-AVERAGE(Tab.o1[MedMod]))/_xlfn.STDEV.P(Tab.o1[MedMod])*H$1205)+G$1205,"")</f>
        <v/>
      </c>
      <c r="O152" s="141" t="str">
        <f>IF(Tab.o1[[#This Row],[a1]]=1,Tab.o1[[#This Row],[Zb]]*_xlfn.STDEV.P(Tab.o1[MedMod])+AVERAGE(Tab.o1[MedMod]),"")</f>
        <v/>
      </c>
      <c r="P152" s="117" t="str">
        <f ca="1">IF(Tab.o1[[#This Row],[B]]=0,AVERAGE(OFFSET(Tab.o1[[#This Row],[B]],1,0,L$3,1)),Tab.o1[[#This Row],[B]])</f>
        <v/>
      </c>
      <c r="Q152" s="121" t="str">
        <f>IF(Tab.o1[[#This Row],[a1]]=1,NORMSDIST(Tab.o1[[#This Row],[Zb]]),"")</f>
        <v/>
      </c>
      <c r="R152" s="122" t="str">
        <f>IF(Tab.o1[[#This Row],[a1]]=1,((Tab.o1[[#This Row],[MedMod]]-AVERAGE(Tab.o1[MedMod]))/_xlfn.STDEV.P(Tab.o1[MedMod])*H$1203)+G$1203,"")</f>
        <v/>
      </c>
      <c r="S152" s="122" t="str">
        <f>IF(Tab.o1[[#This Row],[a1]]=1,((Tab.o1[[#This Row],[MedMod]]-AVERAGE(Tab.o1[MedMod]))/_xlfn.STDEV.P(Tab.o1[MedMod])*H$1204)+G$1204,"")</f>
        <v/>
      </c>
      <c r="T152" s="123" t="str">
        <f>IF(Tab.o1[[#This Row],[a1]]=1,Tab.o1[[#This Row],[Z-]]*_xlfn.STDEV.P(Tab.o1[B])+AVERAGE(Tab.o1[B]),"")</f>
        <v/>
      </c>
      <c r="U152" s="123" t="str">
        <f>IF(Tab.o1[[#This Row],[a1]]=1,Tab.o1[[#This Row],[z+]]*_xlfn.STDEV.P(Tab.o1[B])+AVERAGE(Tab.o1[B]),"")</f>
        <v/>
      </c>
      <c r="V152" s="124" t="str">
        <f>IF(Tab.o1[[#This Row],[a1]]=1,ABS((ABS(Tab.o1[[#This Row],[Red]]-Tab.o1[[#This Row],[Blue]]))),"")</f>
        <v/>
      </c>
      <c r="W152" s="125" t="str">
        <f>IF(Tab.o1[[#This Row],[a1]]=1,IF(W$3=0,1,Tab.o1[[#This Row],[Amp.]]*1/_xlfn.MINIFS(Tab.o1[Amp.],Tab.o1[Amp.],"&lt;&gt;0")),"")</f>
        <v/>
      </c>
      <c r="X152" s="126" t="str">
        <f>IF(Tab.o1[[#This Row],[a1]]=1,IF(ISNUMBER(Tab.o1[[#This Row],[i.]]),NORMDIST(Tab.o1[[#This Row],[Za]],0,1,FALSE)*Tab.o1[[#This Row],[i.]],AP$3),"")</f>
        <v/>
      </c>
      <c r="Y152" s="126" t="str">
        <f>IF(Tab.o1[[#This Row],[a1]]=1,0.01+0.94*Tab.o1[[#This Row],[PDF]]/MAX(Tab.o1[PDF]),"")</f>
        <v/>
      </c>
      <c r="Z152" s="126" t="str">
        <f>IF(Tab.o1[[#This Row],[a1]]=1,0.01+0.94*Tab.o1[[#This Row],[W1_PDF]]/MAX(Tab.o1[W1_PDF]),"")</f>
        <v/>
      </c>
      <c r="AA152" s="118" t="str">
        <f>IF(Tab.o1[[#This Row],[a1]]=1,ABS([1]!T.in.A[[#This Row],[oo6]]),"")</f>
        <v/>
      </c>
      <c r="AB152" s="127" t="str">
        <f>IF(Tab.o1[[#This Row],[a1]]=1,IF(AE$3=0,"",IF(AB$3=0,ABS([1]!T.in.A[[#This Row],[oo9]]),ABS(Tab.o1[[#This Row],[DIF_Target.]]*Tab.o1[[#This Row],[W1_PDF]]))),"")</f>
        <v/>
      </c>
      <c r="AC152" s="127" t="str">
        <f>IF(G$1=1,"",IF(Tab.o1[[#This Row],[a1]]=1,Tab.o1[[#This Row],[Wr]]^2,""))</f>
        <v/>
      </c>
      <c r="AD152" s="118" t="str">
        <f>IF(Tab.o1[[#This Row],[a1]]=1,IF(AE$3=0,"",Tab.o1[[#This Row],[Wr2]]/SUM(Tab.o1[Wr2])),"")</f>
        <v/>
      </c>
      <c r="AE152" s="128" t="str">
        <f>IF(Tab.o1[[#This Row],[a1]]=1,[1]!T.in.A[[#This Row],[oo10]],"")</f>
        <v/>
      </c>
      <c r="AF152" s="118" t="str">
        <f>IF(Tab.o1[[#This Row],[a1]]=1,ABS(Tab.o1[[#This Row],[DIF_Target.]]*Tab.o1[[#This Row],[PDF2]]*Tab.o1[[#This Row],[IN]]),"")</f>
        <v/>
      </c>
      <c r="AG152" s="129" t="str">
        <f>IF(Tab.o1[[#This Row],[a1]]=1,Tab.o1[[#This Row],[rW]]^2,"")</f>
        <v/>
      </c>
      <c r="AH152" s="130" t="str">
        <f>IF(Tab.o1[[#This Row],[a1]]=1,IF(AH$3=0,Tab.o1[[#This Row],[rW2]],0.01+0.94*Tab.o1[[#This Row],[rW2]]/SUM(Tab.o1[rW2])),"")</f>
        <v/>
      </c>
      <c r="AI152" s="128" t="str">
        <f>IF(Tab.o1[[#This Row],[a1]]=1,1/Tab.o1[[#This Row],[PDF]],"")</f>
        <v/>
      </c>
      <c r="AJ152" s="131" t="str">
        <f>IF(Tab.o1[[#This Row],[a1]]=1,[1]!T_AA[[#This Row],[IN'']]*[1]!T_AA[[#This Row],[Qde'']],"")</f>
        <v/>
      </c>
      <c r="AK152" s="132" t="str">
        <f>IF(Tab.o1[[#This Row],[a1]]=1,IF(AK$1=1,Tab.o1[[#This Row],[MED]]+Tab.o1[[#This Row],[MOD]]-Tab.o1[[#This Row],[MED]],""),"")</f>
        <v/>
      </c>
      <c r="AL152" s="133" t="str">
        <f>IF(Tab.o1[[#This Row],[a1]]=1,[1]!T.in.A[[#This Row],[oo16]],"")</f>
        <v/>
      </c>
      <c r="AM152" s="133" t="str">
        <f>IF(Tab.o1[[#This Row],[a1]]=1,IF(AM$3=1,[1]!T.in.A[[#This Row],[Σo16]],""),"")</f>
        <v/>
      </c>
      <c r="AN152" s="126" t="str">
        <f>IF(Tab.o1[[#This Row],[a1]]=1,[1]!T.in.A[[#This Row],[Σp5]],"")</f>
        <v/>
      </c>
      <c r="AO152" s="126" t="str">
        <f>IF(Tab.o1[[#This Row],[a1]]=1,IF(AO$3=1,[1]!T.in.A[[#This Row],[Σp5]],""),"")</f>
        <v/>
      </c>
      <c r="AP152" s="110" t="str">
        <f>IF(Tab.o1[[#This Row],[a1]]=1,IF(ISNUMBER(Tab.o1[[#This Row],[i.]]),NORMDIST(Tab.o1[[#This Row],[Za]],0,1,FALSE)*Tab.o1[[#This Row],[i.]],0),"")</f>
        <v/>
      </c>
      <c r="AQ152" s="125" t="str">
        <f>IF(Tab.o1[[#This Row],[a1]]=1,ABS(Tab.o1[[#This Row],[MOD]]-AVERAGE(Tab.o1[MOD])),"")</f>
        <v/>
      </c>
      <c r="AR152" s="134" t="str">
        <f>IF(Tab.o1[[#This Row],[a1]]=1,Tab.o1[[#This Row],[OBS]]/SUM(Tab.o1[OBS]),"")</f>
        <v/>
      </c>
      <c r="AS152" s="135" t="str">
        <f>IF(ISNUMBER(Tab.o1[[#This Row],[a1]]),ROW()-4,"")</f>
        <v/>
      </c>
      <c r="AT152" s="136" t="str">
        <f>Tab.o1[[#This Row],[MOD]]</f>
        <v/>
      </c>
      <c r="AU152" s="137" t="str">
        <f t="shared" si="9"/>
        <v/>
      </c>
      <c r="AV152" s="138" t="str">
        <f t="shared" si="10"/>
        <v/>
      </c>
      <c r="AW152" s="138" t="str">
        <f t="shared" si="11"/>
        <v/>
      </c>
      <c r="AX152" s="139" t="str">
        <f>[1]!T.in.A[[#This Row],[ID_T_manu]]</f>
        <v/>
      </c>
      <c r="AY152" s="140" t="str">
        <f>IF(ISNUMBER(Tab.o1[[#This Row],[a1]]),IF(AND(Tab.o1[[#This Row],[a1]]=1,Tab.o1[[#This Row],[b1]]&lt;=AY$4),#REF!,AY151),"")</f>
        <v/>
      </c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</row>
    <row r="153" spans="1:79" ht="14.25" hidden="1" customHeight="1">
      <c r="A153" s="109">
        <v>-5.9999999999999993E-6</v>
      </c>
      <c r="B153" s="110">
        <f t="shared" si="8"/>
        <v>153</v>
      </c>
      <c r="C153" s="111" t="str">
        <f>IF(C$1=[1]!T.in.A[[#This Row],[oo2]],1,"")</f>
        <v/>
      </c>
      <c r="D153" s="112" t="str">
        <f>IF(Tab.o1[[#This Row],[a1]]=1,IF(SUM(C153:C154)=0,0,IF(SUM(C152:C153)=1,1,IF(SUM(C152:C154)&gt;1,D152+1,0))),"")</f>
        <v/>
      </c>
      <c r="E153" s="113" t="str">
        <f>IF(Tab.o1[[#This Row],[a1]]=1,[1]!T.in.A[[#This Row],[oo1]],"")</f>
        <v/>
      </c>
      <c r="F153" s="113" t="str">
        <f>IF(Tab.o1[[#This Row],[a1]]=1,[1]!T.in.A[[#This Row],[pp1]],"")</f>
        <v/>
      </c>
      <c r="G153" s="114" t="str">
        <f>IF(Tab.o1[[#This Row],[a1]]=1,G$2+IF(G$1=1,0,Tab.o1[[#This Row],[.x1]])+[1]!T.in.A[[#This Row],[oo3]],"")</f>
        <v/>
      </c>
      <c r="H153" s="115" t="str">
        <f>IF(Tab.o1[[#This Row],[a1]]=1,IF(H$2=0,0,IF(G$1=1,0,Tab.o1[[#This Row],[.x1]])+[1]!T.in.A[[#This Row],[oo4]]),"")</f>
        <v/>
      </c>
      <c r="I153" s="116" t="str">
        <f>IF(Tab.o1[[#This Row],[a1]]=1,IF(J$2=0,Tab.o1[[#This Row],[MED]],Tab.o1[[#This Row],[MOD]]),"")</f>
        <v/>
      </c>
      <c r="J153" s="116" t="str">
        <f>IF(Tab.o1[[#This Row],[a1]]=1,((Tab.o1[[#This Row],[DIF_Target.]]-AVERAGE(Tab.o1[DIF_Target.]))/_xlfn.STDEV.P(Tab.o1[DIF_Target.])),"")</f>
        <v/>
      </c>
      <c r="K153" s="117" t="str">
        <f>IF(Tab.o1[[#This Row],[a1]]=1,IF(J$2=0,Tab.o1[[#This Row],[MOD]]-Tab.o1[[#This Row],[B]],IF(J$2=1,0,-Tab.o1[[#This Row],[MED]])+Tab.o1[[#This Row],[B]]),"")</f>
        <v/>
      </c>
      <c r="L153" s="117" t="str">
        <f ca="1">IF(Tab.o1[[#This Row],[DIF_Target]]=0,IF(L$2=0,Tab.o1[[#This Row],[DIF_Target]],AVERAGE(OFFSET(Tab.o1[[#This Row],[DIF_Target]],1,0,L$3,1)))/3,Tab.o1[[#This Row],[DIF_Target]])</f>
        <v/>
      </c>
      <c r="M153" s="118" t="str">
        <f>IF(Tab.o1[[#This Row],[a1]]=1,NORMSDIST(Tab.o1[[#This Row],[Za]]),"")</f>
        <v/>
      </c>
      <c r="N153" s="119" t="str">
        <f>IF(Tab.o1[[#This Row],[a1]]=1,((Tab.o1[[#This Row],[MedMod]]-AVERAGE(Tab.o1[MedMod]))/_xlfn.STDEV.P(Tab.o1[MedMod])*H$1205)+G$1205,"")</f>
        <v/>
      </c>
      <c r="O153" s="141" t="str">
        <f>IF(Tab.o1[[#This Row],[a1]]=1,Tab.o1[[#This Row],[Zb]]*_xlfn.STDEV.P(Tab.o1[MedMod])+AVERAGE(Tab.o1[MedMod]),"")</f>
        <v/>
      </c>
      <c r="P153" s="117" t="str">
        <f ca="1">IF(Tab.o1[[#This Row],[B]]=0,AVERAGE(OFFSET(Tab.o1[[#This Row],[B]],1,0,L$3,1)),Tab.o1[[#This Row],[B]])</f>
        <v/>
      </c>
      <c r="Q153" s="121" t="str">
        <f>IF(Tab.o1[[#This Row],[a1]]=1,NORMSDIST(Tab.o1[[#This Row],[Zb]]),"")</f>
        <v/>
      </c>
      <c r="R153" s="122" t="str">
        <f>IF(Tab.o1[[#This Row],[a1]]=1,((Tab.o1[[#This Row],[MedMod]]-AVERAGE(Tab.o1[MedMod]))/_xlfn.STDEV.P(Tab.o1[MedMod])*H$1203)+G$1203,"")</f>
        <v/>
      </c>
      <c r="S153" s="122" t="str">
        <f>IF(Tab.o1[[#This Row],[a1]]=1,((Tab.o1[[#This Row],[MedMod]]-AVERAGE(Tab.o1[MedMod]))/_xlfn.STDEV.P(Tab.o1[MedMod])*H$1204)+G$1204,"")</f>
        <v/>
      </c>
      <c r="T153" s="123" t="str">
        <f>IF(Tab.o1[[#This Row],[a1]]=1,Tab.o1[[#This Row],[Z-]]*_xlfn.STDEV.P(Tab.o1[B])+AVERAGE(Tab.o1[B]),"")</f>
        <v/>
      </c>
      <c r="U153" s="123" t="str">
        <f>IF(Tab.o1[[#This Row],[a1]]=1,Tab.o1[[#This Row],[z+]]*_xlfn.STDEV.P(Tab.o1[B])+AVERAGE(Tab.o1[B]),"")</f>
        <v/>
      </c>
      <c r="V153" s="124" t="str">
        <f>IF(Tab.o1[[#This Row],[a1]]=1,ABS((ABS(Tab.o1[[#This Row],[Red]]-Tab.o1[[#This Row],[Blue]]))),"")</f>
        <v/>
      </c>
      <c r="W153" s="125" t="str">
        <f>IF(Tab.o1[[#This Row],[a1]]=1,IF(W$3=0,1,Tab.o1[[#This Row],[Amp.]]*1/_xlfn.MINIFS(Tab.o1[Amp.],Tab.o1[Amp.],"&lt;&gt;0")),"")</f>
        <v/>
      </c>
      <c r="X153" s="126" t="str">
        <f>IF(Tab.o1[[#This Row],[a1]]=1,IF(ISNUMBER(Tab.o1[[#This Row],[i.]]),NORMDIST(Tab.o1[[#This Row],[Za]],0,1,FALSE)*Tab.o1[[#This Row],[i.]],AP$3),"")</f>
        <v/>
      </c>
      <c r="Y153" s="126" t="str">
        <f>IF(Tab.o1[[#This Row],[a1]]=1,0.01+0.94*Tab.o1[[#This Row],[PDF]]/MAX(Tab.o1[PDF]),"")</f>
        <v/>
      </c>
      <c r="Z153" s="126" t="str">
        <f>IF(Tab.o1[[#This Row],[a1]]=1,0.01+0.94*Tab.o1[[#This Row],[W1_PDF]]/MAX(Tab.o1[W1_PDF]),"")</f>
        <v/>
      </c>
      <c r="AA153" s="118" t="str">
        <f>IF(Tab.o1[[#This Row],[a1]]=1,ABS([1]!T.in.A[[#This Row],[oo6]]),"")</f>
        <v/>
      </c>
      <c r="AB153" s="127" t="str">
        <f>IF(Tab.o1[[#This Row],[a1]]=1,IF(AE$3=0,"",IF(AB$3=0,ABS([1]!T.in.A[[#This Row],[oo9]]),ABS(Tab.o1[[#This Row],[DIF_Target.]]*Tab.o1[[#This Row],[W1_PDF]]))),"")</f>
        <v/>
      </c>
      <c r="AC153" s="127" t="str">
        <f>IF(G$1=1,"",IF(Tab.o1[[#This Row],[a1]]=1,Tab.o1[[#This Row],[Wr]]^2,""))</f>
        <v/>
      </c>
      <c r="AD153" s="118" t="str">
        <f>IF(Tab.o1[[#This Row],[a1]]=1,IF(AE$3=0,"",Tab.o1[[#This Row],[Wr2]]/SUM(Tab.o1[Wr2])),"")</f>
        <v/>
      </c>
      <c r="AE153" s="128" t="str">
        <f>IF(Tab.o1[[#This Row],[a1]]=1,[1]!T.in.A[[#This Row],[oo10]],"")</f>
        <v/>
      </c>
      <c r="AF153" s="118" t="str">
        <f>IF(Tab.o1[[#This Row],[a1]]=1,ABS(Tab.o1[[#This Row],[DIF_Target.]]*Tab.o1[[#This Row],[PDF2]]*Tab.o1[[#This Row],[IN]]),"")</f>
        <v/>
      </c>
      <c r="AG153" s="129" t="str">
        <f>IF(Tab.o1[[#This Row],[a1]]=1,Tab.o1[[#This Row],[rW]]^2,"")</f>
        <v/>
      </c>
      <c r="AH153" s="130" t="str">
        <f>IF(Tab.o1[[#This Row],[a1]]=1,IF(AH$3=0,Tab.o1[[#This Row],[rW2]],0.01+0.94*Tab.o1[[#This Row],[rW2]]/SUM(Tab.o1[rW2])),"")</f>
        <v/>
      </c>
      <c r="AI153" s="128" t="str">
        <f>IF(Tab.o1[[#This Row],[a1]]=1,1/Tab.o1[[#This Row],[PDF]],"")</f>
        <v/>
      </c>
      <c r="AJ153" s="131" t="str">
        <f>IF(Tab.o1[[#This Row],[a1]]=1,[1]!T_AA[[#This Row],[IN'']]*[1]!T_AA[[#This Row],[Qde'']],"")</f>
        <v/>
      </c>
      <c r="AK153" s="132" t="str">
        <f>IF(Tab.o1[[#This Row],[a1]]=1,IF(AK$1=1,Tab.o1[[#This Row],[MED]]+Tab.o1[[#This Row],[MOD]]-Tab.o1[[#This Row],[MED]],""),"")</f>
        <v/>
      </c>
      <c r="AL153" s="133" t="str">
        <f>IF(Tab.o1[[#This Row],[a1]]=1,[1]!T.in.A[[#This Row],[oo16]],"")</f>
        <v/>
      </c>
      <c r="AM153" s="133" t="str">
        <f>IF(Tab.o1[[#This Row],[a1]]=1,IF(AM$3=1,[1]!T.in.A[[#This Row],[Σo16]],""),"")</f>
        <v/>
      </c>
      <c r="AN153" s="126" t="str">
        <f>IF(Tab.o1[[#This Row],[a1]]=1,[1]!T.in.A[[#This Row],[Σp5]],"")</f>
        <v/>
      </c>
      <c r="AO153" s="126" t="str">
        <f>IF(Tab.o1[[#This Row],[a1]]=1,IF(AO$3=1,[1]!T.in.A[[#This Row],[Σp5]],""),"")</f>
        <v/>
      </c>
      <c r="AP153" s="110" t="str">
        <f>IF(Tab.o1[[#This Row],[a1]]=1,IF(ISNUMBER(Tab.o1[[#This Row],[i.]]),NORMDIST(Tab.o1[[#This Row],[Za]],0,1,FALSE)*Tab.o1[[#This Row],[i.]],0),"")</f>
        <v/>
      </c>
      <c r="AQ153" s="125" t="str">
        <f>IF(Tab.o1[[#This Row],[a1]]=1,ABS(Tab.o1[[#This Row],[MOD]]-AVERAGE(Tab.o1[MOD])),"")</f>
        <v/>
      </c>
      <c r="AR153" s="134" t="str">
        <f>IF(Tab.o1[[#This Row],[a1]]=1,Tab.o1[[#This Row],[OBS]]/SUM(Tab.o1[OBS]),"")</f>
        <v/>
      </c>
      <c r="AS153" s="135" t="str">
        <f>IF(ISNUMBER(Tab.o1[[#This Row],[a1]]),ROW()-4,"")</f>
        <v/>
      </c>
      <c r="AT153" s="136" t="str">
        <f>Tab.o1[[#This Row],[MOD]]</f>
        <v/>
      </c>
      <c r="AU153" s="137" t="str">
        <f t="shared" si="9"/>
        <v/>
      </c>
      <c r="AV153" s="138" t="str">
        <f t="shared" si="10"/>
        <v/>
      </c>
      <c r="AW153" s="138" t="str">
        <f t="shared" si="11"/>
        <v/>
      </c>
      <c r="AX153" s="139" t="str">
        <f>[1]!T.in.A[[#This Row],[ID_T_manu]]</f>
        <v/>
      </c>
      <c r="AY153" s="140" t="str">
        <f>IF(ISNUMBER(Tab.o1[[#This Row],[a1]]),IF(AND(Tab.o1[[#This Row],[a1]]=1,Tab.o1[[#This Row],[b1]]&lt;=AY$4),#REF!,AY152),"")</f>
        <v/>
      </c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</row>
    <row r="154" spans="1:79" ht="14.25" hidden="1" customHeight="1">
      <c r="A154" s="109">
        <v>-1.0000000000000001E-5</v>
      </c>
      <c r="B154" s="110">
        <f t="shared" si="8"/>
        <v>154</v>
      </c>
      <c r="C154" s="111" t="str">
        <f>IF(C$1=[1]!T.in.A[[#This Row],[oo2]],1,"")</f>
        <v/>
      </c>
      <c r="D154" s="112" t="str">
        <f>IF(Tab.o1[[#This Row],[a1]]=1,IF(SUM(C154:C155)=0,0,IF(SUM(C153:C154)=1,1,IF(SUM(C153:C155)&gt;1,D153+1,0))),"")</f>
        <v/>
      </c>
      <c r="E154" s="113" t="str">
        <f>IF(Tab.o1[[#This Row],[a1]]=1,[1]!T.in.A[[#This Row],[oo1]],"")</f>
        <v/>
      </c>
      <c r="F154" s="113" t="str">
        <f>IF(Tab.o1[[#This Row],[a1]]=1,[1]!T.in.A[[#This Row],[pp1]],"")</f>
        <v/>
      </c>
      <c r="G154" s="114" t="str">
        <f>IF(Tab.o1[[#This Row],[a1]]=1,G$2+IF(G$1=1,0,Tab.o1[[#This Row],[.x1]])+[1]!T.in.A[[#This Row],[oo3]],"")</f>
        <v/>
      </c>
      <c r="H154" s="115" t="str">
        <f>IF(Tab.o1[[#This Row],[a1]]=1,IF(H$2=0,0,IF(G$1=1,0,Tab.o1[[#This Row],[.x1]])+[1]!T.in.A[[#This Row],[oo4]]),"")</f>
        <v/>
      </c>
      <c r="I154" s="116" t="str">
        <f>IF(Tab.o1[[#This Row],[a1]]=1,IF(J$2=0,Tab.o1[[#This Row],[MED]],Tab.o1[[#This Row],[MOD]]),"")</f>
        <v/>
      </c>
      <c r="J154" s="116" t="str">
        <f>IF(Tab.o1[[#This Row],[a1]]=1,((Tab.o1[[#This Row],[DIF_Target.]]-AVERAGE(Tab.o1[DIF_Target.]))/_xlfn.STDEV.P(Tab.o1[DIF_Target.])),"")</f>
        <v/>
      </c>
      <c r="K154" s="117" t="str">
        <f>IF(Tab.o1[[#This Row],[a1]]=1,IF(J$2=0,Tab.o1[[#This Row],[MOD]]-Tab.o1[[#This Row],[B]],IF(J$2=1,0,-Tab.o1[[#This Row],[MED]])+Tab.o1[[#This Row],[B]]),"")</f>
        <v/>
      </c>
      <c r="L154" s="117" t="str">
        <f ca="1">IF(Tab.o1[[#This Row],[DIF_Target]]=0,IF(L$2=0,Tab.o1[[#This Row],[DIF_Target]],AVERAGE(OFFSET(Tab.o1[[#This Row],[DIF_Target]],1,0,L$3,1)))/3,Tab.o1[[#This Row],[DIF_Target]])</f>
        <v/>
      </c>
      <c r="M154" s="118" t="str">
        <f>IF(Tab.o1[[#This Row],[a1]]=1,NORMSDIST(Tab.o1[[#This Row],[Za]]),"")</f>
        <v/>
      </c>
      <c r="N154" s="119" t="str">
        <f>IF(Tab.o1[[#This Row],[a1]]=1,((Tab.o1[[#This Row],[MedMod]]-AVERAGE(Tab.o1[MedMod]))/_xlfn.STDEV.P(Tab.o1[MedMod])*H$1205)+G$1205,"")</f>
        <v/>
      </c>
      <c r="O154" s="141" t="str">
        <f>IF(Tab.o1[[#This Row],[a1]]=1,Tab.o1[[#This Row],[Zb]]*_xlfn.STDEV.P(Tab.o1[MedMod])+AVERAGE(Tab.o1[MedMod]),"")</f>
        <v/>
      </c>
      <c r="P154" s="117" t="str">
        <f ca="1">IF(Tab.o1[[#This Row],[B]]=0,AVERAGE(OFFSET(Tab.o1[[#This Row],[B]],1,0,L$3,1)),Tab.o1[[#This Row],[B]])</f>
        <v/>
      </c>
      <c r="Q154" s="121" t="str">
        <f>IF(Tab.o1[[#This Row],[a1]]=1,NORMSDIST(Tab.o1[[#This Row],[Zb]]),"")</f>
        <v/>
      </c>
      <c r="R154" s="122" t="str">
        <f>IF(Tab.o1[[#This Row],[a1]]=1,((Tab.o1[[#This Row],[MedMod]]-AVERAGE(Tab.o1[MedMod]))/_xlfn.STDEV.P(Tab.o1[MedMod])*H$1203)+G$1203,"")</f>
        <v/>
      </c>
      <c r="S154" s="122" t="str">
        <f>IF(Tab.o1[[#This Row],[a1]]=1,((Tab.o1[[#This Row],[MedMod]]-AVERAGE(Tab.o1[MedMod]))/_xlfn.STDEV.P(Tab.o1[MedMod])*H$1204)+G$1204,"")</f>
        <v/>
      </c>
      <c r="T154" s="123" t="str">
        <f>IF(Tab.o1[[#This Row],[a1]]=1,Tab.o1[[#This Row],[Z-]]*_xlfn.STDEV.P(Tab.o1[B])+AVERAGE(Tab.o1[B]),"")</f>
        <v/>
      </c>
      <c r="U154" s="123" t="str">
        <f>IF(Tab.o1[[#This Row],[a1]]=1,Tab.o1[[#This Row],[z+]]*_xlfn.STDEV.P(Tab.o1[B])+AVERAGE(Tab.o1[B]),"")</f>
        <v/>
      </c>
      <c r="V154" s="124" t="str">
        <f>IF(Tab.o1[[#This Row],[a1]]=1,ABS((ABS(Tab.o1[[#This Row],[Red]]-Tab.o1[[#This Row],[Blue]]))),"")</f>
        <v/>
      </c>
      <c r="W154" s="125" t="str">
        <f>IF(Tab.o1[[#This Row],[a1]]=1,IF(W$3=0,1,Tab.o1[[#This Row],[Amp.]]*1/_xlfn.MINIFS(Tab.o1[Amp.],Tab.o1[Amp.],"&lt;&gt;0")),"")</f>
        <v/>
      </c>
      <c r="X154" s="126" t="str">
        <f>IF(Tab.o1[[#This Row],[a1]]=1,IF(ISNUMBER(Tab.o1[[#This Row],[i.]]),NORMDIST(Tab.o1[[#This Row],[Za]],0,1,FALSE)*Tab.o1[[#This Row],[i.]],AP$3),"")</f>
        <v/>
      </c>
      <c r="Y154" s="126" t="str">
        <f>IF(Tab.o1[[#This Row],[a1]]=1,0.01+0.94*Tab.o1[[#This Row],[PDF]]/MAX(Tab.o1[PDF]),"")</f>
        <v/>
      </c>
      <c r="Z154" s="126" t="str">
        <f>IF(Tab.o1[[#This Row],[a1]]=1,0.01+0.94*Tab.o1[[#This Row],[W1_PDF]]/MAX(Tab.o1[W1_PDF]),"")</f>
        <v/>
      </c>
      <c r="AA154" s="118" t="str">
        <f>IF(Tab.o1[[#This Row],[a1]]=1,ABS([1]!T.in.A[[#This Row],[oo6]]),"")</f>
        <v/>
      </c>
      <c r="AB154" s="127" t="str">
        <f>IF(Tab.o1[[#This Row],[a1]]=1,IF(AE$3=0,"",IF(AB$3=0,ABS([1]!T.in.A[[#This Row],[oo9]]),ABS(Tab.o1[[#This Row],[DIF_Target.]]*Tab.o1[[#This Row],[W1_PDF]]))),"")</f>
        <v/>
      </c>
      <c r="AC154" s="127" t="str">
        <f>IF(G$1=1,"",IF(Tab.o1[[#This Row],[a1]]=1,Tab.o1[[#This Row],[Wr]]^2,""))</f>
        <v/>
      </c>
      <c r="AD154" s="118" t="str">
        <f>IF(Tab.o1[[#This Row],[a1]]=1,IF(AE$3=0,"",Tab.o1[[#This Row],[Wr2]]/SUM(Tab.o1[Wr2])),"")</f>
        <v/>
      </c>
      <c r="AE154" s="128" t="str">
        <f>IF(Tab.o1[[#This Row],[a1]]=1,[1]!T.in.A[[#This Row],[oo10]],"")</f>
        <v/>
      </c>
      <c r="AF154" s="118" t="str">
        <f>IF(Tab.o1[[#This Row],[a1]]=1,ABS(Tab.o1[[#This Row],[DIF_Target.]]*Tab.o1[[#This Row],[PDF2]]*Tab.o1[[#This Row],[IN]]),"")</f>
        <v/>
      </c>
      <c r="AG154" s="129" t="str">
        <f>IF(Tab.o1[[#This Row],[a1]]=1,Tab.o1[[#This Row],[rW]]^2,"")</f>
        <v/>
      </c>
      <c r="AH154" s="130" t="str">
        <f>IF(Tab.o1[[#This Row],[a1]]=1,IF(AH$3=0,Tab.o1[[#This Row],[rW2]],0.01+0.94*Tab.o1[[#This Row],[rW2]]/SUM(Tab.o1[rW2])),"")</f>
        <v/>
      </c>
      <c r="AI154" s="128" t="str">
        <f>IF(Tab.o1[[#This Row],[a1]]=1,1/Tab.o1[[#This Row],[PDF]],"")</f>
        <v/>
      </c>
      <c r="AJ154" s="131" t="str">
        <f>IF(Tab.o1[[#This Row],[a1]]=1,[1]!T_AA[[#This Row],[IN'']]*[1]!T_AA[[#This Row],[Qde'']],"")</f>
        <v/>
      </c>
      <c r="AK154" s="132" t="str">
        <f>IF(Tab.o1[[#This Row],[a1]]=1,IF(AK$1=1,Tab.o1[[#This Row],[MED]]+Tab.o1[[#This Row],[MOD]]-Tab.o1[[#This Row],[MED]],""),"")</f>
        <v/>
      </c>
      <c r="AL154" s="133" t="str">
        <f>IF(Tab.o1[[#This Row],[a1]]=1,[1]!T.in.A[[#This Row],[oo16]],"")</f>
        <v/>
      </c>
      <c r="AM154" s="133" t="str">
        <f>IF(Tab.o1[[#This Row],[a1]]=1,IF(AM$3=1,[1]!T.in.A[[#This Row],[Σo16]],""),"")</f>
        <v/>
      </c>
      <c r="AN154" s="126" t="str">
        <f>IF(Tab.o1[[#This Row],[a1]]=1,[1]!T.in.A[[#This Row],[Σp5]],"")</f>
        <v/>
      </c>
      <c r="AO154" s="126" t="str">
        <f>IF(Tab.o1[[#This Row],[a1]]=1,IF(AO$3=1,[1]!T.in.A[[#This Row],[Σp5]],""),"")</f>
        <v/>
      </c>
      <c r="AP154" s="110" t="str">
        <f>IF(Tab.o1[[#This Row],[a1]]=1,IF(ISNUMBER(Tab.o1[[#This Row],[i.]]),NORMDIST(Tab.o1[[#This Row],[Za]],0,1,FALSE)*Tab.o1[[#This Row],[i.]],0),"")</f>
        <v/>
      </c>
      <c r="AQ154" s="125" t="str">
        <f>IF(Tab.o1[[#This Row],[a1]]=1,ABS(Tab.o1[[#This Row],[MOD]]-AVERAGE(Tab.o1[MOD])),"")</f>
        <v/>
      </c>
      <c r="AR154" s="134" t="str">
        <f>IF(Tab.o1[[#This Row],[a1]]=1,Tab.o1[[#This Row],[OBS]]/SUM(Tab.o1[OBS]),"")</f>
        <v/>
      </c>
      <c r="AS154" s="135" t="str">
        <f>IF(ISNUMBER(Tab.o1[[#This Row],[a1]]),ROW()-4,"")</f>
        <v/>
      </c>
      <c r="AT154" s="136" t="str">
        <f>Tab.o1[[#This Row],[MOD]]</f>
        <v/>
      </c>
      <c r="AU154" s="137" t="str">
        <f t="shared" si="9"/>
        <v/>
      </c>
      <c r="AV154" s="138" t="str">
        <f t="shared" si="10"/>
        <v/>
      </c>
      <c r="AW154" s="138" t="str">
        <f t="shared" si="11"/>
        <v/>
      </c>
      <c r="AX154" s="139" t="str">
        <f>[1]!T.in.A[[#This Row],[ID_T_manu]]</f>
        <v/>
      </c>
      <c r="AY154" s="140" t="str">
        <f>IF(ISNUMBER(Tab.o1[[#This Row],[a1]]),IF(AND(Tab.o1[[#This Row],[a1]]=1,Tab.o1[[#This Row],[b1]]&lt;=AY$4),#REF!,AY153),"")</f>
        <v/>
      </c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</row>
    <row r="155" spans="1:79" ht="14.25" hidden="1" customHeight="1">
      <c r="A155" s="109">
        <v>6.9999999999999999E-6</v>
      </c>
      <c r="B155" s="110">
        <f t="shared" si="8"/>
        <v>155</v>
      </c>
      <c r="C155" s="111" t="str">
        <f>IF(C$1=[1]!T.in.A[[#This Row],[oo2]],1,"")</f>
        <v/>
      </c>
      <c r="D155" s="112" t="str">
        <f>IF(Tab.o1[[#This Row],[a1]]=1,IF(SUM(C155:C156)=0,0,IF(SUM(C154:C155)=1,1,IF(SUM(C154:C156)&gt;1,D154+1,0))),"")</f>
        <v/>
      </c>
      <c r="E155" s="113" t="str">
        <f>IF(Tab.o1[[#This Row],[a1]]=1,[1]!T.in.A[[#This Row],[oo1]],"")</f>
        <v/>
      </c>
      <c r="F155" s="113" t="str">
        <f>IF(Tab.o1[[#This Row],[a1]]=1,[1]!T.in.A[[#This Row],[pp1]],"")</f>
        <v/>
      </c>
      <c r="G155" s="114" t="str">
        <f>IF(Tab.o1[[#This Row],[a1]]=1,G$2+IF(G$1=1,0,Tab.o1[[#This Row],[.x1]])+[1]!T.in.A[[#This Row],[oo3]],"")</f>
        <v/>
      </c>
      <c r="H155" s="115" t="str">
        <f>IF(Tab.o1[[#This Row],[a1]]=1,IF(H$2=0,0,IF(G$1=1,0,Tab.o1[[#This Row],[.x1]])+[1]!T.in.A[[#This Row],[oo4]]),"")</f>
        <v/>
      </c>
      <c r="I155" s="116" t="str">
        <f>IF(Tab.o1[[#This Row],[a1]]=1,IF(J$2=0,Tab.o1[[#This Row],[MED]],Tab.o1[[#This Row],[MOD]]),"")</f>
        <v/>
      </c>
      <c r="J155" s="116" t="str">
        <f>IF(Tab.o1[[#This Row],[a1]]=1,((Tab.o1[[#This Row],[DIF_Target.]]-AVERAGE(Tab.o1[DIF_Target.]))/_xlfn.STDEV.P(Tab.o1[DIF_Target.])),"")</f>
        <v/>
      </c>
      <c r="K155" s="117" t="str">
        <f>IF(Tab.o1[[#This Row],[a1]]=1,IF(J$2=0,Tab.o1[[#This Row],[MOD]]-Tab.o1[[#This Row],[B]],IF(J$2=1,0,-Tab.o1[[#This Row],[MED]])+Tab.o1[[#This Row],[B]]),"")</f>
        <v/>
      </c>
      <c r="L155" s="117" t="str">
        <f ca="1">IF(Tab.o1[[#This Row],[DIF_Target]]=0,IF(L$2=0,Tab.o1[[#This Row],[DIF_Target]],AVERAGE(OFFSET(Tab.o1[[#This Row],[DIF_Target]],1,0,L$3,1)))/3,Tab.o1[[#This Row],[DIF_Target]])</f>
        <v/>
      </c>
      <c r="M155" s="118" t="str">
        <f>IF(Tab.o1[[#This Row],[a1]]=1,NORMSDIST(Tab.o1[[#This Row],[Za]]),"")</f>
        <v/>
      </c>
      <c r="N155" s="119" t="str">
        <f>IF(Tab.o1[[#This Row],[a1]]=1,((Tab.o1[[#This Row],[MedMod]]-AVERAGE(Tab.o1[MedMod]))/_xlfn.STDEV.P(Tab.o1[MedMod])*H$1205)+G$1205,"")</f>
        <v/>
      </c>
      <c r="O155" s="141" t="str">
        <f>IF(Tab.o1[[#This Row],[a1]]=1,Tab.o1[[#This Row],[Zb]]*_xlfn.STDEV.P(Tab.o1[MedMod])+AVERAGE(Tab.o1[MedMod]),"")</f>
        <v/>
      </c>
      <c r="P155" s="117" t="str">
        <f ca="1">IF(Tab.o1[[#This Row],[B]]=0,AVERAGE(OFFSET(Tab.o1[[#This Row],[B]],1,0,L$3,1)),Tab.o1[[#This Row],[B]])</f>
        <v/>
      </c>
      <c r="Q155" s="121" t="str">
        <f>IF(Tab.o1[[#This Row],[a1]]=1,NORMSDIST(Tab.o1[[#This Row],[Zb]]),"")</f>
        <v/>
      </c>
      <c r="R155" s="122" t="str">
        <f>IF(Tab.o1[[#This Row],[a1]]=1,((Tab.o1[[#This Row],[MedMod]]-AVERAGE(Tab.o1[MedMod]))/_xlfn.STDEV.P(Tab.o1[MedMod])*H$1203)+G$1203,"")</f>
        <v/>
      </c>
      <c r="S155" s="122" t="str">
        <f>IF(Tab.o1[[#This Row],[a1]]=1,((Tab.o1[[#This Row],[MedMod]]-AVERAGE(Tab.o1[MedMod]))/_xlfn.STDEV.P(Tab.o1[MedMod])*H$1204)+G$1204,"")</f>
        <v/>
      </c>
      <c r="T155" s="123" t="str">
        <f>IF(Tab.o1[[#This Row],[a1]]=1,Tab.o1[[#This Row],[Z-]]*_xlfn.STDEV.P(Tab.o1[B])+AVERAGE(Tab.o1[B]),"")</f>
        <v/>
      </c>
      <c r="U155" s="123" t="str">
        <f>IF(Tab.o1[[#This Row],[a1]]=1,Tab.o1[[#This Row],[z+]]*_xlfn.STDEV.P(Tab.o1[B])+AVERAGE(Tab.o1[B]),"")</f>
        <v/>
      </c>
      <c r="V155" s="124" t="str">
        <f>IF(Tab.o1[[#This Row],[a1]]=1,ABS((ABS(Tab.o1[[#This Row],[Red]]-Tab.o1[[#This Row],[Blue]]))),"")</f>
        <v/>
      </c>
      <c r="W155" s="125" t="str">
        <f>IF(Tab.o1[[#This Row],[a1]]=1,IF(W$3=0,1,Tab.o1[[#This Row],[Amp.]]*1/_xlfn.MINIFS(Tab.o1[Amp.],Tab.o1[Amp.],"&lt;&gt;0")),"")</f>
        <v/>
      </c>
      <c r="X155" s="126" t="str">
        <f>IF(Tab.o1[[#This Row],[a1]]=1,IF(ISNUMBER(Tab.o1[[#This Row],[i.]]),NORMDIST(Tab.o1[[#This Row],[Za]],0,1,FALSE)*Tab.o1[[#This Row],[i.]],AP$3),"")</f>
        <v/>
      </c>
      <c r="Y155" s="126" t="str">
        <f>IF(Tab.o1[[#This Row],[a1]]=1,0.01+0.94*Tab.o1[[#This Row],[PDF]]/MAX(Tab.o1[PDF]),"")</f>
        <v/>
      </c>
      <c r="Z155" s="126" t="str">
        <f>IF(Tab.o1[[#This Row],[a1]]=1,0.01+0.94*Tab.o1[[#This Row],[W1_PDF]]/MAX(Tab.o1[W1_PDF]),"")</f>
        <v/>
      </c>
      <c r="AA155" s="118" t="str">
        <f>IF(Tab.o1[[#This Row],[a1]]=1,ABS([1]!T.in.A[[#This Row],[oo6]]),"")</f>
        <v/>
      </c>
      <c r="AB155" s="127" t="str">
        <f>IF(Tab.o1[[#This Row],[a1]]=1,IF(AE$3=0,"",IF(AB$3=0,ABS([1]!T.in.A[[#This Row],[oo9]]),ABS(Tab.o1[[#This Row],[DIF_Target.]]*Tab.o1[[#This Row],[W1_PDF]]))),"")</f>
        <v/>
      </c>
      <c r="AC155" s="127" t="str">
        <f>IF(G$1=1,"",IF(Tab.o1[[#This Row],[a1]]=1,Tab.o1[[#This Row],[Wr]]^2,""))</f>
        <v/>
      </c>
      <c r="AD155" s="118" t="str">
        <f>IF(Tab.o1[[#This Row],[a1]]=1,IF(AE$3=0,"",Tab.o1[[#This Row],[Wr2]]/SUM(Tab.o1[Wr2])),"")</f>
        <v/>
      </c>
      <c r="AE155" s="128" t="str">
        <f>IF(Tab.o1[[#This Row],[a1]]=1,[1]!T.in.A[[#This Row],[oo10]],"")</f>
        <v/>
      </c>
      <c r="AF155" s="118" t="str">
        <f>IF(Tab.o1[[#This Row],[a1]]=1,ABS(Tab.o1[[#This Row],[DIF_Target.]]*Tab.o1[[#This Row],[PDF2]]*Tab.o1[[#This Row],[IN]]),"")</f>
        <v/>
      </c>
      <c r="AG155" s="129" t="str">
        <f>IF(Tab.o1[[#This Row],[a1]]=1,Tab.o1[[#This Row],[rW]]^2,"")</f>
        <v/>
      </c>
      <c r="AH155" s="130" t="str">
        <f>IF(Tab.o1[[#This Row],[a1]]=1,IF(AH$3=0,Tab.o1[[#This Row],[rW2]],0.01+0.94*Tab.o1[[#This Row],[rW2]]/SUM(Tab.o1[rW2])),"")</f>
        <v/>
      </c>
      <c r="AI155" s="128" t="str">
        <f>IF(Tab.o1[[#This Row],[a1]]=1,1/Tab.o1[[#This Row],[PDF]],"")</f>
        <v/>
      </c>
      <c r="AJ155" s="131" t="str">
        <f>IF(Tab.o1[[#This Row],[a1]]=1,[1]!T_AA[[#This Row],[IN'']]*[1]!T_AA[[#This Row],[Qde'']],"")</f>
        <v/>
      </c>
      <c r="AK155" s="132" t="str">
        <f>IF(Tab.o1[[#This Row],[a1]]=1,IF(AK$1=1,Tab.o1[[#This Row],[MED]]+Tab.o1[[#This Row],[MOD]]-Tab.o1[[#This Row],[MED]],""),"")</f>
        <v/>
      </c>
      <c r="AL155" s="133" t="str">
        <f>IF(Tab.o1[[#This Row],[a1]]=1,[1]!T.in.A[[#This Row],[oo16]],"")</f>
        <v/>
      </c>
      <c r="AM155" s="133" t="str">
        <f>IF(Tab.o1[[#This Row],[a1]]=1,IF(AM$3=1,[1]!T.in.A[[#This Row],[Σo16]],""),"")</f>
        <v/>
      </c>
      <c r="AN155" s="126" t="str">
        <f>IF(Tab.o1[[#This Row],[a1]]=1,[1]!T.in.A[[#This Row],[Σp5]],"")</f>
        <v/>
      </c>
      <c r="AO155" s="126" t="str">
        <f>IF(Tab.o1[[#This Row],[a1]]=1,IF(AO$3=1,[1]!T.in.A[[#This Row],[Σp5]],""),"")</f>
        <v/>
      </c>
      <c r="AP155" s="110" t="str">
        <f>IF(Tab.o1[[#This Row],[a1]]=1,IF(ISNUMBER(Tab.o1[[#This Row],[i.]]),NORMDIST(Tab.o1[[#This Row],[Za]],0,1,FALSE)*Tab.o1[[#This Row],[i.]],0),"")</f>
        <v/>
      </c>
      <c r="AQ155" s="125" t="str">
        <f>IF(Tab.o1[[#This Row],[a1]]=1,ABS(Tab.o1[[#This Row],[MOD]]-AVERAGE(Tab.o1[MOD])),"")</f>
        <v/>
      </c>
      <c r="AR155" s="134" t="str">
        <f>IF(Tab.o1[[#This Row],[a1]]=1,Tab.o1[[#This Row],[OBS]]/SUM(Tab.o1[OBS]),"")</f>
        <v/>
      </c>
      <c r="AS155" s="135" t="str">
        <f>IF(ISNUMBER(Tab.o1[[#This Row],[a1]]),ROW()-4,"")</f>
        <v/>
      </c>
      <c r="AT155" s="136" t="str">
        <f>Tab.o1[[#This Row],[MOD]]</f>
        <v/>
      </c>
      <c r="AU155" s="137" t="str">
        <f t="shared" si="9"/>
        <v/>
      </c>
      <c r="AV155" s="138" t="str">
        <f t="shared" si="10"/>
        <v/>
      </c>
      <c r="AW155" s="138" t="str">
        <f t="shared" si="11"/>
        <v/>
      </c>
      <c r="AX155" s="139" t="str">
        <f>[1]!T.in.A[[#This Row],[ID_T_manu]]</f>
        <v/>
      </c>
      <c r="AY155" s="140" t="str">
        <f>IF(ISNUMBER(Tab.o1[[#This Row],[a1]]),IF(AND(Tab.o1[[#This Row],[a1]]=1,Tab.o1[[#This Row],[b1]]&lt;=AY$4),#REF!,AY154),"")</f>
        <v/>
      </c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</row>
    <row r="156" spans="1:79" ht="14.25" hidden="1" customHeight="1">
      <c r="A156" s="109">
        <v>-2.9999999999999997E-6</v>
      </c>
      <c r="B156" s="110">
        <f t="shared" si="8"/>
        <v>156</v>
      </c>
      <c r="C156" s="111" t="str">
        <f>IF(C$1=[1]!T.in.A[[#This Row],[oo2]],1,"")</f>
        <v/>
      </c>
      <c r="D156" s="112" t="str">
        <f>IF(Tab.o1[[#This Row],[a1]]=1,IF(SUM(C156:C157)=0,0,IF(SUM(C155:C156)=1,1,IF(SUM(C155:C157)&gt;1,D155+1,0))),"")</f>
        <v/>
      </c>
      <c r="E156" s="113" t="str">
        <f>IF(Tab.o1[[#This Row],[a1]]=1,[1]!T.in.A[[#This Row],[oo1]],"")</f>
        <v/>
      </c>
      <c r="F156" s="113" t="str">
        <f>IF(Tab.o1[[#This Row],[a1]]=1,[1]!T.in.A[[#This Row],[pp1]],"")</f>
        <v/>
      </c>
      <c r="G156" s="114" t="str">
        <f>IF(Tab.o1[[#This Row],[a1]]=1,G$2+IF(G$1=1,0,Tab.o1[[#This Row],[.x1]])+[1]!T.in.A[[#This Row],[oo3]],"")</f>
        <v/>
      </c>
      <c r="H156" s="115" t="str">
        <f>IF(Tab.o1[[#This Row],[a1]]=1,IF(H$2=0,0,IF(G$1=1,0,Tab.o1[[#This Row],[.x1]])+[1]!T.in.A[[#This Row],[oo4]]),"")</f>
        <v/>
      </c>
      <c r="I156" s="116" t="str">
        <f>IF(Tab.o1[[#This Row],[a1]]=1,IF(J$2=0,Tab.o1[[#This Row],[MED]],Tab.o1[[#This Row],[MOD]]),"")</f>
        <v/>
      </c>
      <c r="J156" s="116" t="str">
        <f>IF(Tab.o1[[#This Row],[a1]]=1,((Tab.o1[[#This Row],[DIF_Target.]]-AVERAGE(Tab.o1[DIF_Target.]))/_xlfn.STDEV.P(Tab.o1[DIF_Target.])),"")</f>
        <v/>
      </c>
      <c r="K156" s="117" t="str">
        <f>IF(Tab.o1[[#This Row],[a1]]=1,IF(J$2=0,Tab.o1[[#This Row],[MOD]]-Tab.o1[[#This Row],[B]],IF(J$2=1,0,-Tab.o1[[#This Row],[MED]])+Tab.o1[[#This Row],[B]]),"")</f>
        <v/>
      </c>
      <c r="L156" s="117" t="str">
        <f ca="1">IF(Tab.o1[[#This Row],[DIF_Target]]=0,IF(L$2=0,Tab.o1[[#This Row],[DIF_Target]],AVERAGE(OFFSET(Tab.o1[[#This Row],[DIF_Target]],1,0,L$3,1)))/3,Tab.o1[[#This Row],[DIF_Target]])</f>
        <v/>
      </c>
      <c r="M156" s="118" t="str">
        <f>IF(Tab.o1[[#This Row],[a1]]=1,NORMSDIST(Tab.o1[[#This Row],[Za]]),"")</f>
        <v/>
      </c>
      <c r="N156" s="119" t="str">
        <f>IF(Tab.o1[[#This Row],[a1]]=1,((Tab.o1[[#This Row],[MedMod]]-AVERAGE(Tab.o1[MedMod]))/_xlfn.STDEV.P(Tab.o1[MedMod])*H$1205)+G$1205,"")</f>
        <v/>
      </c>
      <c r="O156" s="141" t="str">
        <f>IF(Tab.o1[[#This Row],[a1]]=1,Tab.o1[[#This Row],[Zb]]*_xlfn.STDEV.P(Tab.o1[MedMod])+AVERAGE(Tab.o1[MedMod]),"")</f>
        <v/>
      </c>
      <c r="P156" s="117" t="str">
        <f ca="1">IF(Tab.o1[[#This Row],[B]]=0,AVERAGE(OFFSET(Tab.o1[[#This Row],[B]],1,0,L$3,1)),Tab.o1[[#This Row],[B]])</f>
        <v/>
      </c>
      <c r="Q156" s="121" t="str">
        <f>IF(Tab.o1[[#This Row],[a1]]=1,NORMSDIST(Tab.o1[[#This Row],[Zb]]),"")</f>
        <v/>
      </c>
      <c r="R156" s="122" t="str">
        <f>IF(Tab.o1[[#This Row],[a1]]=1,((Tab.o1[[#This Row],[MedMod]]-AVERAGE(Tab.o1[MedMod]))/_xlfn.STDEV.P(Tab.o1[MedMod])*H$1203)+G$1203,"")</f>
        <v/>
      </c>
      <c r="S156" s="122" t="str">
        <f>IF(Tab.o1[[#This Row],[a1]]=1,((Tab.o1[[#This Row],[MedMod]]-AVERAGE(Tab.o1[MedMod]))/_xlfn.STDEV.P(Tab.o1[MedMod])*H$1204)+G$1204,"")</f>
        <v/>
      </c>
      <c r="T156" s="123" t="str">
        <f>IF(Tab.o1[[#This Row],[a1]]=1,Tab.o1[[#This Row],[Z-]]*_xlfn.STDEV.P(Tab.o1[B])+AVERAGE(Tab.o1[B]),"")</f>
        <v/>
      </c>
      <c r="U156" s="123" t="str">
        <f>IF(Tab.o1[[#This Row],[a1]]=1,Tab.o1[[#This Row],[z+]]*_xlfn.STDEV.P(Tab.o1[B])+AVERAGE(Tab.o1[B]),"")</f>
        <v/>
      </c>
      <c r="V156" s="124" t="str">
        <f>IF(Tab.o1[[#This Row],[a1]]=1,ABS((ABS(Tab.o1[[#This Row],[Red]]-Tab.o1[[#This Row],[Blue]]))),"")</f>
        <v/>
      </c>
      <c r="W156" s="125" t="str">
        <f>IF(Tab.o1[[#This Row],[a1]]=1,IF(W$3=0,1,Tab.o1[[#This Row],[Amp.]]*1/_xlfn.MINIFS(Tab.o1[Amp.],Tab.o1[Amp.],"&lt;&gt;0")),"")</f>
        <v/>
      </c>
      <c r="X156" s="126" t="str">
        <f>IF(Tab.o1[[#This Row],[a1]]=1,IF(ISNUMBER(Tab.o1[[#This Row],[i.]]),NORMDIST(Tab.o1[[#This Row],[Za]],0,1,FALSE)*Tab.o1[[#This Row],[i.]],AP$3),"")</f>
        <v/>
      </c>
      <c r="Y156" s="126" t="str">
        <f>IF(Tab.o1[[#This Row],[a1]]=1,0.01+0.94*Tab.o1[[#This Row],[PDF]]/MAX(Tab.o1[PDF]),"")</f>
        <v/>
      </c>
      <c r="Z156" s="126" t="str">
        <f>IF(Tab.o1[[#This Row],[a1]]=1,0.01+0.94*Tab.o1[[#This Row],[W1_PDF]]/MAX(Tab.o1[W1_PDF]),"")</f>
        <v/>
      </c>
      <c r="AA156" s="118" t="str">
        <f>IF(Tab.o1[[#This Row],[a1]]=1,ABS([1]!T.in.A[[#This Row],[oo6]]),"")</f>
        <v/>
      </c>
      <c r="AB156" s="127" t="str">
        <f>IF(Tab.o1[[#This Row],[a1]]=1,IF(AE$3=0,"",IF(AB$3=0,ABS([1]!T.in.A[[#This Row],[oo9]]),ABS(Tab.o1[[#This Row],[DIF_Target.]]*Tab.o1[[#This Row],[W1_PDF]]))),"")</f>
        <v/>
      </c>
      <c r="AC156" s="127" t="str">
        <f>IF(G$1=1,"",IF(Tab.o1[[#This Row],[a1]]=1,Tab.o1[[#This Row],[Wr]]^2,""))</f>
        <v/>
      </c>
      <c r="AD156" s="118" t="str">
        <f>IF(Tab.o1[[#This Row],[a1]]=1,IF(AE$3=0,"",Tab.o1[[#This Row],[Wr2]]/SUM(Tab.o1[Wr2])),"")</f>
        <v/>
      </c>
      <c r="AE156" s="128" t="str">
        <f>IF(Tab.o1[[#This Row],[a1]]=1,[1]!T.in.A[[#This Row],[oo10]],"")</f>
        <v/>
      </c>
      <c r="AF156" s="118" t="str">
        <f>IF(Tab.o1[[#This Row],[a1]]=1,ABS(Tab.o1[[#This Row],[DIF_Target.]]*Tab.o1[[#This Row],[PDF2]]*Tab.o1[[#This Row],[IN]]),"")</f>
        <v/>
      </c>
      <c r="AG156" s="129" t="str">
        <f>IF(Tab.o1[[#This Row],[a1]]=1,Tab.o1[[#This Row],[rW]]^2,"")</f>
        <v/>
      </c>
      <c r="AH156" s="130" t="str">
        <f>IF(Tab.o1[[#This Row],[a1]]=1,IF(AH$3=0,Tab.o1[[#This Row],[rW2]],0.01+0.94*Tab.o1[[#This Row],[rW2]]/SUM(Tab.o1[rW2])),"")</f>
        <v/>
      </c>
      <c r="AI156" s="128" t="str">
        <f>IF(Tab.o1[[#This Row],[a1]]=1,1/Tab.o1[[#This Row],[PDF]],"")</f>
        <v/>
      </c>
      <c r="AJ156" s="131" t="str">
        <f>IF(Tab.o1[[#This Row],[a1]]=1,[1]!T_AA[[#This Row],[IN'']]*[1]!T_AA[[#This Row],[Qde'']],"")</f>
        <v/>
      </c>
      <c r="AK156" s="132" t="str">
        <f>IF(Tab.o1[[#This Row],[a1]]=1,IF(AK$1=1,Tab.o1[[#This Row],[MED]]+Tab.o1[[#This Row],[MOD]]-Tab.o1[[#This Row],[MED]],""),"")</f>
        <v/>
      </c>
      <c r="AL156" s="133" t="str">
        <f>IF(Tab.o1[[#This Row],[a1]]=1,[1]!T.in.A[[#This Row],[oo16]],"")</f>
        <v/>
      </c>
      <c r="AM156" s="133" t="str">
        <f>IF(Tab.o1[[#This Row],[a1]]=1,IF(AM$3=1,[1]!T.in.A[[#This Row],[Σo16]],""),"")</f>
        <v/>
      </c>
      <c r="AN156" s="126" t="str">
        <f>IF(Tab.o1[[#This Row],[a1]]=1,[1]!T.in.A[[#This Row],[Σp5]],"")</f>
        <v/>
      </c>
      <c r="AO156" s="126" t="str">
        <f>IF(Tab.o1[[#This Row],[a1]]=1,IF(AO$3=1,[1]!T.in.A[[#This Row],[Σp5]],""),"")</f>
        <v/>
      </c>
      <c r="AP156" s="110" t="str">
        <f>IF(Tab.o1[[#This Row],[a1]]=1,IF(ISNUMBER(Tab.o1[[#This Row],[i.]]),NORMDIST(Tab.o1[[#This Row],[Za]],0,1,FALSE)*Tab.o1[[#This Row],[i.]],0),"")</f>
        <v/>
      </c>
      <c r="AQ156" s="125" t="str">
        <f>IF(Tab.o1[[#This Row],[a1]]=1,ABS(Tab.o1[[#This Row],[MOD]]-AVERAGE(Tab.o1[MOD])),"")</f>
        <v/>
      </c>
      <c r="AR156" s="134" t="str">
        <f>IF(Tab.o1[[#This Row],[a1]]=1,Tab.o1[[#This Row],[OBS]]/SUM(Tab.o1[OBS]),"")</f>
        <v/>
      </c>
      <c r="AS156" s="135" t="str">
        <f>IF(ISNUMBER(Tab.o1[[#This Row],[a1]]),ROW()-4,"")</f>
        <v/>
      </c>
      <c r="AT156" s="136" t="str">
        <f>Tab.o1[[#This Row],[MOD]]</f>
        <v/>
      </c>
      <c r="AU156" s="137" t="str">
        <f t="shared" si="9"/>
        <v/>
      </c>
      <c r="AV156" s="138" t="str">
        <f t="shared" si="10"/>
        <v/>
      </c>
      <c r="AW156" s="138" t="str">
        <f t="shared" si="11"/>
        <v/>
      </c>
      <c r="AX156" s="139" t="str">
        <f>[1]!T.in.A[[#This Row],[ID_T_manu]]</f>
        <v/>
      </c>
      <c r="AY156" s="140" t="str">
        <f>IF(ISNUMBER(Tab.o1[[#This Row],[a1]]),IF(AND(Tab.o1[[#This Row],[a1]]=1,Tab.o1[[#This Row],[b1]]&lt;=AY$4),#REF!,AY155),"")</f>
        <v/>
      </c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</row>
    <row r="157" spans="1:79" ht="14.25" hidden="1" customHeight="1">
      <c r="A157" s="109">
        <v>8.0000000000000013E-6</v>
      </c>
      <c r="B157" s="110">
        <f t="shared" si="8"/>
        <v>157</v>
      </c>
      <c r="C157" s="111" t="str">
        <f>IF(C$1=[1]!T.in.A[[#This Row],[oo2]],1,"")</f>
        <v/>
      </c>
      <c r="D157" s="112" t="str">
        <f>IF(Tab.o1[[#This Row],[a1]]=1,IF(SUM(C157:C158)=0,0,IF(SUM(C156:C157)=1,1,IF(SUM(C156:C158)&gt;1,D156+1,0))),"")</f>
        <v/>
      </c>
      <c r="E157" s="113" t="str">
        <f>IF(Tab.o1[[#This Row],[a1]]=1,[1]!T.in.A[[#This Row],[oo1]],"")</f>
        <v/>
      </c>
      <c r="F157" s="113" t="str">
        <f>IF(Tab.o1[[#This Row],[a1]]=1,[1]!T.in.A[[#This Row],[pp1]],"")</f>
        <v/>
      </c>
      <c r="G157" s="114" t="str">
        <f>IF(Tab.o1[[#This Row],[a1]]=1,G$2+IF(G$1=1,0,Tab.o1[[#This Row],[.x1]])+[1]!T.in.A[[#This Row],[oo3]],"")</f>
        <v/>
      </c>
      <c r="H157" s="115" t="str">
        <f>IF(Tab.o1[[#This Row],[a1]]=1,IF(H$2=0,0,IF(G$1=1,0,Tab.o1[[#This Row],[.x1]])+[1]!T.in.A[[#This Row],[oo4]]),"")</f>
        <v/>
      </c>
      <c r="I157" s="116" t="str">
        <f>IF(Tab.o1[[#This Row],[a1]]=1,IF(J$2=0,Tab.o1[[#This Row],[MED]],Tab.o1[[#This Row],[MOD]]),"")</f>
        <v/>
      </c>
      <c r="J157" s="116" t="str">
        <f>IF(Tab.o1[[#This Row],[a1]]=1,((Tab.o1[[#This Row],[DIF_Target.]]-AVERAGE(Tab.o1[DIF_Target.]))/_xlfn.STDEV.P(Tab.o1[DIF_Target.])),"")</f>
        <v/>
      </c>
      <c r="K157" s="117" t="str">
        <f>IF(Tab.o1[[#This Row],[a1]]=1,IF(J$2=0,Tab.o1[[#This Row],[MOD]]-Tab.o1[[#This Row],[B]],IF(J$2=1,0,-Tab.o1[[#This Row],[MED]])+Tab.o1[[#This Row],[B]]),"")</f>
        <v/>
      </c>
      <c r="L157" s="117" t="str">
        <f ca="1">IF(Tab.o1[[#This Row],[DIF_Target]]=0,IF(L$2=0,Tab.o1[[#This Row],[DIF_Target]],AVERAGE(OFFSET(Tab.o1[[#This Row],[DIF_Target]],1,0,L$3,1)))/3,Tab.o1[[#This Row],[DIF_Target]])</f>
        <v/>
      </c>
      <c r="M157" s="118" t="str">
        <f>IF(Tab.o1[[#This Row],[a1]]=1,NORMSDIST(Tab.o1[[#This Row],[Za]]),"")</f>
        <v/>
      </c>
      <c r="N157" s="119" t="str">
        <f>IF(Tab.o1[[#This Row],[a1]]=1,((Tab.o1[[#This Row],[MedMod]]-AVERAGE(Tab.o1[MedMod]))/_xlfn.STDEV.P(Tab.o1[MedMod])*H$1205)+G$1205,"")</f>
        <v/>
      </c>
      <c r="O157" s="141" t="str">
        <f>IF(Tab.o1[[#This Row],[a1]]=1,Tab.o1[[#This Row],[Zb]]*_xlfn.STDEV.P(Tab.o1[MedMod])+AVERAGE(Tab.o1[MedMod]),"")</f>
        <v/>
      </c>
      <c r="P157" s="117" t="str">
        <f ca="1">IF(Tab.o1[[#This Row],[B]]=0,AVERAGE(OFFSET(Tab.o1[[#This Row],[B]],1,0,L$3,1)),Tab.o1[[#This Row],[B]])</f>
        <v/>
      </c>
      <c r="Q157" s="121" t="str">
        <f>IF(Tab.o1[[#This Row],[a1]]=1,NORMSDIST(Tab.o1[[#This Row],[Zb]]),"")</f>
        <v/>
      </c>
      <c r="R157" s="122" t="str">
        <f>IF(Tab.o1[[#This Row],[a1]]=1,((Tab.o1[[#This Row],[MedMod]]-AVERAGE(Tab.o1[MedMod]))/_xlfn.STDEV.P(Tab.o1[MedMod])*H$1203)+G$1203,"")</f>
        <v/>
      </c>
      <c r="S157" s="122" t="str">
        <f>IF(Tab.o1[[#This Row],[a1]]=1,((Tab.o1[[#This Row],[MedMod]]-AVERAGE(Tab.o1[MedMod]))/_xlfn.STDEV.P(Tab.o1[MedMod])*H$1204)+G$1204,"")</f>
        <v/>
      </c>
      <c r="T157" s="123" t="str">
        <f>IF(Tab.o1[[#This Row],[a1]]=1,Tab.o1[[#This Row],[Z-]]*_xlfn.STDEV.P(Tab.o1[B])+AVERAGE(Tab.o1[B]),"")</f>
        <v/>
      </c>
      <c r="U157" s="123" t="str">
        <f>IF(Tab.o1[[#This Row],[a1]]=1,Tab.o1[[#This Row],[z+]]*_xlfn.STDEV.P(Tab.o1[B])+AVERAGE(Tab.o1[B]),"")</f>
        <v/>
      </c>
      <c r="V157" s="124" t="str">
        <f>IF(Tab.o1[[#This Row],[a1]]=1,ABS((ABS(Tab.o1[[#This Row],[Red]]-Tab.o1[[#This Row],[Blue]]))),"")</f>
        <v/>
      </c>
      <c r="W157" s="125" t="str">
        <f>IF(Tab.o1[[#This Row],[a1]]=1,IF(W$3=0,1,Tab.o1[[#This Row],[Amp.]]*1/_xlfn.MINIFS(Tab.o1[Amp.],Tab.o1[Amp.],"&lt;&gt;0")),"")</f>
        <v/>
      </c>
      <c r="X157" s="126" t="str">
        <f>IF(Tab.o1[[#This Row],[a1]]=1,IF(ISNUMBER(Tab.o1[[#This Row],[i.]]),NORMDIST(Tab.o1[[#This Row],[Za]],0,1,FALSE)*Tab.o1[[#This Row],[i.]],AP$3),"")</f>
        <v/>
      </c>
      <c r="Y157" s="126" t="str">
        <f>IF(Tab.o1[[#This Row],[a1]]=1,0.01+0.94*Tab.o1[[#This Row],[PDF]]/MAX(Tab.o1[PDF]),"")</f>
        <v/>
      </c>
      <c r="Z157" s="126" t="str">
        <f>IF(Tab.o1[[#This Row],[a1]]=1,0.01+0.94*Tab.o1[[#This Row],[W1_PDF]]/MAX(Tab.o1[W1_PDF]),"")</f>
        <v/>
      </c>
      <c r="AA157" s="118" t="str">
        <f>IF(Tab.o1[[#This Row],[a1]]=1,ABS([1]!T.in.A[[#This Row],[oo6]]),"")</f>
        <v/>
      </c>
      <c r="AB157" s="127" t="str">
        <f>IF(Tab.o1[[#This Row],[a1]]=1,IF(AE$3=0,"",IF(AB$3=0,ABS([1]!T.in.A[[#This Row],[oo9]]),ABS(Tab.o1[[#This Row],[DIF_Target.]]*Tab.o1[[#This Row],[W1_PDF]]))),"")</f>
        <v/>
      </c>
      <c r="AC157" s="127" t="str">
        <f>IF(G$1=1,"",IF(Tab.o1[[#This Row],[a1]]=1,Tab.o1[[#This Row],[Wr]]^2,""))</f>
        <v/>
      </c>
      <c r="AD157" s="118" t="str">
        <f>IF(Tab.o1[[#This Row],[a1]]=1,IF(AE$3=0,"",Tab.o1[[#This Row],[Wr2]]/SUM(Tab.o1[Wr2])),"")</f>
        <v/>
      </c>
      <c r="AE157" s="128" t="str">
        <f>IF(Tab.o1[[#This Row],[a1]]=1,[1]!T.in.A[[#This Row],[oo10]],"")</f>
        <v/>
      </c>
      <c r="AF157" s="118" t="str">
        <f>IF(Tab.o1[[#This Row],[a1]]=1,ABS(Tab.o1[[#This Row],[DIF_Target.]]*Tab.o1[[#This Row],[PDF2]]*Tab.o1[[#This Row],[IN]]),"")</f>
        <v/>
      </c>
      <c r="AG157" s="129" t="str">
        <f>IF(Tab.o1[[#This Row],[a1]]=1,Tab.o1[[#This Row],[rW]]^2,"")</f>
        <v/>
      </c>
      <c r="AH157" s="130" t="str">
        <f>IF(Tab.o1[[#This Row],[a1]]=1,IF(AH$3=0,Tab.o1[[#This Row],[rW2]],0.01+0.94*Tab.o1[[#This Row],[rW2]]/SUM(Tab.o1[rW2])),"")</f>
        <v/>
      </c>
      <c r="AI157" s="128" t="str">
        <f>IF(Tab.o1[[#This Row],[a1]]=1,1/Tab.o1[[#This Row],[PDF]],"")</f>
        <v/>
      </c>
      <c r="AJ157" s="131" t="str">
        <f>IF(Tab.o1[[#This Row],[a1]]=1,[1]!T_AA[[#This Row],[IN'']]*[1]!T_AA[[#This Row],[Qde'']],"")</f>
        <v/>
      </c>
      <c r="AK157" s="132" t="str">
        <f>IF(Tab.o1[[#This Row],[a1]]=1,IF(AK$1=1,Tab.o1[[#This Row],[MED]]+Tab.o1[[#This Row],[MOD]]-Tab.o1[[#This Row],[MED]],""),"")</f>
        <v/>
      </c>
      <c r="AL157" s="133" t="str">
        <f>IF(Tab.o1[[#This Row],[a1]]=1,[1]!T.in.A[[#This Row],[oo16]],"")</f>
        <v/>
      </c>
      <c r="AM157" s="133" t="str">
        <f>IF(Tab.o1[[#This Row],[a1]]=1,IF(AM$3=1,[1]!T.in.A[[#This Row],[Σo16]],""),"")</f>
        <v/>
      </c>
      <c r="AN157" s="126" t="str">
        <f>IF(Tab.o1[[#This Row],[a1]]=1,[1]!T.in.A[[#This Row],[Σp5]],"")</f>
        <v/>
      </c>
      <c r="AO157" s="126" t="str">
        <f>IF(Tab.o1[[#This Row],[a1]]=1,IF(AO$3=1,[1]!T.in.A[[#This Row],[Σp5]],""),"")</f>
        <v/>
      </c>
      <c r="AP157" s="110" t="str">
        <f>IF(Tab.o1[[#This Row],[a1]]=1,IF(ISNUMBER(Tab.o1[[#This Row],[i.]]),NORMDIST(Tab.o1[[#This Row],[Za]],0,1,FALSE)*Tab.o1[[#This Row],[i.]],0),"")</f>
        <v/>
      </c>
      <c r="AQ157" s="125" t="str">
        <f>IF(Tab.o1[[#This Row],[a1]]=1,ABS(Tab.o1[[#This Row],[MOD]]-AVERAGE(Tab.o1[MOD])),"")</f>
        <v/>
      </c>
      <c r="AR157" s="134" t="str">
        <f>IF(Tab.o1[[#This Row],[a1]]=1,Tab.o1[[#This Row],[OBS]]/SUM(Tab.o1[OBS]),"")</f>
        <v/>
      </c>
      <c r="AS157" s="135" t="str">
        <f>IF(ISNUMBER(Tab.o1[[#This Row],[a1]]),ROW()-4,"")</f>
        <v/>
      </c>
      <c r="AT157" s="136" t="str">
        <f>Tab.o1[[#This Row],[MOD]]</f>
        <v/>
      </c>
      <c r="AU157" s="137" t="str">
        <f t="shared" si="9"/>
        <v/>
      </c>
      <c r="AV157" s="138" t="str">
        <f t="shared" si="10"/>
        <v/>
      </c>
      <c r="AW157" s="138" t="str">
        <f t="shared" si="11"/>
        <v/>
      </c>
      <c r="AX157" s="139" t="str">
        <f>[1]!T.in.A[[#This Row],[ID_T_manu]]</f>
        <v/>
      </c>
      <c r="AY157" s="140" t="str">
        <f>IF(ISNUMBER(Tab.o1[[#This Row],[a1]]),IF(AND(Tab.o1[[#This Row],[a1]]=1,Tab.o1[[#This Row],[b1]]&lt;=AY$4),#REF!,AY156),"")</f>
        <v/>
      </c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</row>
    <row r="158" spans="1:79" ht="14.25" hidden="1" customHeight="1">
      <c r="A158" s="109">
        <v>4.0000000000000007E-6</v>
      </c>
      <c r="B158" s="110">
        <f t="shared" si="8"/>
        <v>158</v>
      </c>
      <c r="C158" s="111" t="str">
        <f>IF(C$1=[1]!T.in.A[[#This Row],[oo2]],1,"")</f>
        <v/>
      </c>
      <c r="D158" s="112" t="str">
        <f>IF(Tab.o1[[#This Row],[a1]]=1,IF(SUM(C158:C159)=0,0,IF(SUM(C157:C158)=1,1,IF(SUM(C157:C159)&gt;1,D157+1,0))),"")</f>
        <v/>
      </c>
      <c r="E158" s="113" t="str">
        <f>IF(Tab.o1[[#This Row],[a1]]=1,[1]!T.in.A[[#This Row],[oo1]],"")</f>
        <v/>
      </c>
      <c r="F158" s="113" t="str">
        <f>IF(Tab.o1[[#This Row],[a1]]=1,[1]!T.in.A[[#This Row],[pp1]],"")</f>
        <v/>
      </c>
      <c r="G158" s="114" t="str">
        <f>IF(Tab.o1[[#This Row],[a1]]=1,G$2+IF(G$1=1,0,Tab.o1[[#This Row],[.x1]])+[1]!T.in.A[[#This Row],[oo3]],"")</f>
        <v/>
      </c>
      <c r="H158" s="115" t="str">
        <f>IF(Tab.o1[[#This Row],[a1]]=1,IF(H$2=0,0,IF(G$1=1,0,Tab.o1[[#This Row],[.x1]])+[1]!T.in.A[[#This Row],[oo4]]),"")</f>
        <v/>
      </c>
      <c r="I158" s="116" t="str">
        <f>IF(Tab.o1[[#This Row],[a1]]=1,IF(J$2=0,Tab.o1[[#This Row],[MED]],Tab.o1[[#This Row],[MOD]]),"")</f>
        <v/>
      </c>
      <c r="J158" s="116" t="str">
        <f>IF(Tab.o1[[#This Row],[a1]]=1,((Tab.o1[[#This Row],[DIF_Target.]]-AVERAGE(Tab.o1[DIF_Target.]))/_xlfn.STDEV.P(Tab.o1[DIF_Target.])),"")</f>
        <v/>
      </c>
      <c r="K158" s="117" t="str">
        <f>IF(Tab.o1[[#This Row],[a1]]=1,IF(J$2=0,Tab.o1[[#This Row],[MOD]]-Tab.o1[[#This Row],[B]],IF(J$2=1,0,-Tab.o1[[#This Row],[MED]])+Tab.o1[[#This Row],[B]]),"")</f>
        <v/>
      </c>
      <c r="L158" s="117" t="str">
        <f ca="1">IF(Tab.o1[[#This Row],[DIF_Target]]=0,IF(L$2=0,Tab.o1[[#This Row],[DIF_Target]],AVERAGE(OFFSET(Tab.o1[[#This Row],[DIF_Target]],1,0,L$3,1)))/3,Tab.o1[[#This Row],[DIF_Target]])</f>
        <v/>
      </c>
      <c r="M158" s="118" t="str">
        <f>IF(Tab.o1[[#This Row],[a1]]=1,NORMSDIST(Tab.o1[[#This Row],[Za]]),"")</f>
        <v/>
      </c>
      <c r="N158" s="119" t="str">
        <f>IF(Tab.o1[[#This Row],[a1]]=1,((Tab.o1[[#This Row],[MedMod]]-AVERAGE(Tab.o1[MedMod]))/_xlfn.STDEV.P(Tab.o1[MedMod])*H$1205)+G$1205,"")</f>
        <v/>
      </c>
      <c r="O158" s="141" t="str">
        <f>IF(Tab.o1[[#This Row],[a1]]=1,Tab.o1[[#This Row],[Zb]]*_xlfn.STDEV.P(Tab.o1[MedMod])+AVERAGE(Tab.o1[MedMod]),"")</f>
        <v/>
      </c>
      <c r="P158" s="117" t="str">
        <f ca="1">IF(Tab.o1[[#This Row],[B]]=0,AVERAGE(OFFSET(Tab.o1[[#This Row],[B]],1,0,L$3,1)),Tab.o1[[#This Row],[B]])</f>
        <v/>
      </c>
      <c r="Q158" s="121" t="str">
        <f>IF(Tab.o1[[#This Row],[a1]]=1,NORMSDIST(Tab.o1[[#This Row],[Zb]]),"")</f>
        <v/>
      </c>
      <c r="R158" s="122" t="str">
        <f>IF(Tab.o1[[#This Row],[a1]]=1,((Tab.o1[[#This Row],[MedMod]]-AVERAGE(Tab.o1[MedMod]))/_xlfn.STDEV.P(Tab.o1[MedMod])*H$1203)+G$1203,"")</f>
        <v/>
      </c>
      <c r="S158" s="122" t="str">
        <f>IF(Tab.o1[[#This Row],[a1]]=1,((Tab.o1[[#This Row],[MedMod]]-AVERAGE(Tab.o1[MedMod]))/_xlfn.STDEV.P(Tab.o1[MedMod])*H$1204)+G$1204,"")</f>
        <v/>
      </c>
      <c r="T158" s="123" t="str">
        <f>IF(Tab.o1[[#This Row],[a1]]=1,Tab.o1[[#This Row],[Z-]]*_xlfn.STDEV.P(Tab.o1[B])+AVERAGE(Tab.o1[B]),"")</f>
        <v/>
      </c>
      <c r="U158" s="123" t="str">
        <f>IF(Tab.o1[[#This Row],[a1]]=1,Tab.o1[[#This Row],[z+]]*_xlfn.STDEV.P(Tab.o1[B])+AVERAGE(Tab.o1[B]),"")</f>
        <v/>
      </c>
      <c r="V158" s="124" t="str">
        <f>IF(Tab.o1[[#This Row],[a1]]=1,ABS((ABS(Tab.o1[[#This Row],[Red]]-Tab.o1[[#This Row],[Blue]]))),"")</f>
        <v/>
      </c>
      <c r="W158" s="125" t="str">
        <f>IF(Tab.o1[[#This Row],[a1]]=1,IF(W$3=0,1,Tab.o1[[#This Row],[Amp.]]*1/_xlfn.MINIFS(Tab.o1[Amp.],Tab.o1[Amp.],"&lt;&gt;0")),"")</f>
        <v/>
      </c>
      <c r="X158" s="126" t="str">
        <f>IF(Tab.o1[[#This Row],[a1]]=1,IF(ISNUMBER(Tab.o1[[#This Row],[i.]]),NORMDIST(Tab.o1[[#This Row],[Za]],0,1,FALSE)*Tab.o1[[#This Row],[i.]],AP$3),"")</f>
        <v/>
      </c>
      <c r="Y158" s="126" t="str">
        <f>IF(Tab.o1[[#This Row],[a1]]=1,0.01+0.94*Tab.o1[[#This Row],[PDF]]/MAX(Tab.o1[PDF]),"")</f>
        <v/>
      </c>
      <c r="Z158" s="126" t="str">
        <f>IF(Tab.o1[[#This Row],[a1]]=1,0.01+0.94*Tab.o1[[#This Row],[W1_PDF]]/MAX(Tab.o1[W1_PDF]),"")</f>
        <v/>
      </c>
      <c r="AA158" s="118" t="str">
        <f>IF(Tab.o1[[#This Row],[a1]]=1,ABS([1]!T.in.A[[#This Row],[oo6]]),"")</f>
        <v/>
      </c>
      <c r="AB158" s="127" t="str">
        <f>IF(Tab.o1[[#This Row],[a1]]=1,IF(AE$3=0,"",IF(AB$3=0,ABS([1]!T.in.A[[#This Row],[oo9]]),ABS(Tab.o1[[#This Row],[DIF_Target.]]*Tab.o1[[#This Row],[W1_PDF]]))),"")</f>
        <v/>
      </c>
      <c r="AC158" s="127" t="str">
        <f>IF(G$1=1,"",IF(Tab.o1[[#This Row],[a1]]=1,Tab.o1[[#This Row],[Wr]]^2,""))</f>
        <v/>
      </c>
      <c r="AD158" s="118" t="str">
        <f>IF(Tab.o1[[#This Row],[a1]]=1,IF(AE$3=0,"",Tab.o1[[#This Row],[Wr2]]/SUM(Tab.o1[Wr2])),"")</f>
        <v/>
      </c>
      <c r="AE158" s="128" t="str">
        <f>IF(Tab.o1[[#This Row],[a1]]=1,[1]!T.in.A[[#This Row],[oo10]],"")</f>
        <v/>
      </c>
      <c r="AF158" s="118" t="str">
        <f>IF(Tab.o1[[#This Row],[a1]]=1,ABS(Tab.o1[[#This Row],[DIF_Target.]]*Tab.o1[[#This Row],[PDF2]]*Tab.o1[[#This Row],[IN]]),"")</f>
        <v/>
      </c>
      <c r="AG158" s="129" t="str">
        <f>IF(Tab.o1[[#This Row],[a1]]=1,Tab.o1[[#This Row],[rW]]^2,"")</f>
        <v/>
      </c>
      <c r="AH158" s="130" t="str">
        <f>IF(Tab.o1[[#This Row],[a1]]=1,IF(AH$3=0,Tab.o1[[#This Row],[rW2]],0.01+0.94*Tab.o1[[#This Row],[rW2]]/SUM(Tab.o1[rW2])),"")</f>
        <v/>
      </c>
      <c r="AI158" s="128" t="str">
        <f>IF(Tab.o1[[#This Row],[a1]]=1,1/Tab.o1[[#This Row],[PDF]],"")</f>
        <v/>
      </c>
      <c r="AJ158" s="131" t="str">
        <f>IF(Tab.o1[[#This Row],[a1]]=1,[1]!T_AA[[#This Row],[IN'']]*[1]!T_AA[[#This Row],[Qde'']],"")</f>
        <v/>
      </c>
      <c r="AK158" s="132" t="str">
        <f>IF(Tab.o1[[#This Row],[a1]]=1,IF(AK$1=1,Tab.o1[[#This Row],[MED]]+Tab.o1[[#This Row],[MOD]]-Tab.o1[[#This Row],[MED]],""),"")</f>
        <v/>
      </c>
      <c r="AL158" s="133" t="str">
        <f>IF(Tab.o1[[#This Row],[a1]]=1,[1]!T.in.A[[#This Row],[oo16]],"")</f>
        <v/>
      </c>
      <c r="AM158" s="133" t="str">
        <f>IF(Tab.o1[[#This Row],[a1]]=1,IF(AM$3=1,[1]!T.in.A[[#This Row],[Σo16]],""),"")</f>
        <v/>
      </c>
      <c r="AN158" s="126" t="str">
        <f>IF(Tab.o1[[#This Row],[a1]]=1,[1]!T.in.A[[#This Row],[Σp5]],"")</f>
        <v/>
      </c>
      <c r="AO158" s="126" t="str">
        <f>IF(Tab.o1[[#This Row],[a1]]=1,IF(AO$3=1,[1]!T.in.A[[#This Row],[Σp5]],""),"")</f>
        <v/>
      </c>
      <c r="AP158" s="110" t="str">
        <f>IF(Tab.o1[[#This Row],[a1]]=1,IF(ISNUMBER(Tab.o1[[#This Row],[i.]]),NORMDIST(Tab.o1[[#This Row],[Za]],0,1,FALSE)*Tab.o1[[#This Row],[i.]],0),"")</f>
        <v/>
      </c>
      <c r="AQ158" s="125" t="str">
        <f>IF(Tab.o1[[#This Row],[a1]]=1,ABS(Tab.o1[[#This Row],[MOD]]-AVERAGE(Tab.o1[MOD])),"")</f>
        <v/>
      </c>
      <c r="AR158" s="134" t="str">
        <f>IF(Tab.o1[[#This Row],[a1]]=1,Tab.o1[[#This Row],[OBS]]/SUM(Tab.o1[OBS]),"")</f>
        <v/>
      </c>
      <c r="AS158" s="135" t="str">
        <f>IF(ISNUMBER(Tab.o1[[#This Row],[a1]]),ROW()-4,"")</f>
        <v/>
      </c>
      <c r="AT158" s="136" t="str">
        <f>Tab.o1[[#This Row],[MOD]]</f>
        <v/>
      </c>
      <c r="AU158" s="137" t="str">
        <f t="shared" si="9"/>
        <v/>
      </c>
      <c r="AV158" s="138" t="str">
        <f t="shared" si="10"/>
        <v/>
      </c>
      <c r="AW158" s="138" t="str">
        <f t="shared" si="11"/>
        <v/>
      </c>
      <c r="AX158" s="139" t="str">
        <f>[1]!T.in.A[[#This Row],[ID_T_manu]]</f>
        <v/>
      </c>
      <c r="AY158" s="140" t="str">
        <f>IF(ISNUMBER(Tab.o1[[#This Row],[a1]]),IF(AND(Tab.o1[[#This Row],[a1]]=1,Tab.o1[[#This Row],[b1]]&lt;=AY$4),#REF!,AY157),"")</f>
        <v/>
      </c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</row>
    <row r="159" spans="1:79" ht="14.25" hidden="1" customHeight="1">
      <c r="A159" s="109">
        <v>1.0000000000000002E-6</v>
      </c>
      <c r="B159" s="110">
        <f t="shared" si="8"/>
        <v>159</v>
      </c>
      <c r="C159" s="111" t="str">
        <f>IF(C$1=[1]!T.in.A[[#This Row],[oo2]],1,"")</f>
        <v/>
      </c>
      <c r="D159" s="112" t="str">
        <f>IF(Tab.o1[[#This Row],[a1]]=1,IF(SUM(C159:C160)=0,0,IF(SUM(C158:C159)=1,1,IF(SUM(C158:C160)&gt;1,D158+1,0))),"")</f>
        <v/>
      </c>
      <c r="E159" s="113" t="str">
        <f>IF(Tab.o1[[#This Row],[a1]]=1,[1]!T.in.A[[#This Row],[oo1]],"")</f>
        <v/>
      </c>
      <c r="F159" s="113" t="str">
        <f>IF(Tab.o1[[#This Row],[a1]]=1,[1]!T.in.A[[#This Row],[pp1]],"")</f>
        <v/>
      </c>
      <c r="G159" s="114" t="str">
        <f>IF(Tab.o1[[#This Row],[a1]]=1,G$2+IF(G$1=1,0,Tab.o1[[#This Row],[.x1]])+[1]!T.in.A[[#This Row],[oo3]],"")</f>
        <v/>
      </c>
      <c r="H159" s="115" t="str">
        <f>IF(Tab.o1[[#This Row],[a1]]=1,IF(H$2=0,0,IF(G$1=1,0,Tab.o1[[#This Row],[.x1]])+[1]!T.in.A[[#This Row],[oo4]]),"")</f>
        <v/>
      </c>
      <c r="I159" s="116" t="str">
        <f>IF(Tab.o1[[#This Row],[a1]]=1,IF(J$2=0,Tab.o1[[#This Row],[MED]],Tab.o1[[#This Row],[MOD]]),"")</f>
        <v/>
      </c>
      <c r="J159" s="116" t="str">
        <f>IF(Tab.o1[[#This Row],[a1]]=1,((Tab.o1[[#This Row],[DIF_Target.]]-AVERAGE(Tab.o1[DIF_Target.]))/_xlfn.STDEV.P(Tab.o1[DIF_Target.])),"")</f>
        <v/>
      </c>
      <c r="K159" s="117" t="str">
        <f>IF(Tab.o1[[#This Row],[a1]]=1,IF(J$2=0,Tab.o1[[#This Row],[MOD]]-Tab.o1[[#This Row],[B]],IF(J$2=1,0,-Tab.o1[[#This Row],[MED]])+Tab.o1[[#This Row],[B]]),"")</f>
        <v/>
      </c>
      <c r="L159" s="117" t="str">
        <f ca="1">IF(Tab.o1[[#This Row],[DIF_Target]]=0,IF(L$2=0,Tab.o1[[#This Row],[DIF_Target]],AVERAGE(OFFSET(Tab.o1[[#This Row],[DIF_Target]],1,0,L$3,1)))/3,Tab.o1[[#This Row],[DIF_Target]])</f>
        <v/>
      </c>
      <c r="M159" s="118" t="str">
        <f>IF(Tab.o1[[#This Row],[a1]]=1,NORMSDIST(Tab.o1[[#This Row],[Za]]),"")</f>
        <v/>
      </c>
      <c r="N159" s="119" t="str">
        <f>IF(Tab.o1[[#This Row],[a1]]=1,((Tab.o1[[#This Row],[MedMod]]-AVERAGE(Tab.o1[MedMod]))/_xlfn.STDEV.P(Tab.o1[MedMod])*H$1205)+G$1205,"")</f>
        <v/>
      </c>
      <c r="O159" s="141" t="str">
        <f>IF(Tab.o1[[#This Row],[a1]]=1,Tab.o1[[#This Row],[Zb]]*_xlfn.STDEV.P(Tab.o1[MedMod])+AVERAGE(Tab.o1[MedMod]),"")</f>
        <v/>
      </c>
      <c r="P159" s="117" t="str">
        <f ca="1">IF(Tab.o1[[#This Row],[B]]=0,AVERAGE(OFFSET(Tab.o1[[#This Row],[B]],1,0,L$3,1)),Tab.o1[[#This Row],[B]])</f>
        <v/>
      </c>
      <c r="Q159" s="121" t="str">
        <f>IF(Tab.o1[[#This Row],[a1]]=1,NORMSDIST(Tab.o1[[#This Row],[Zb]]),"")</f>
        <v/>
      </c>
      <c r="R159" s="122" t="str">
        <f>IF(Tab.o1[[#This Row],[a1]]=1,((Tab.o1[[#This Row],[MedMod]]-AVERAGE(Tab.o1[MedMod]))/_xlfn.STDEV.P(Tab.o1[MedMod])*H$1203)+G$1203,"")</f>
        <v/>
      </c>
      <c r="S159" s="122" t="str">
        <f>IF(Tab.o1[[#This Row],[a1]]=1,((Tab.o1[[#This Row],[MedMod]]-AVERAGE(Tab.o1[MedMod]))/_xlfn.STDEV.P(Tab.o1[MedMod])*H$1204)+G$1204,"")</f>
        <v/>
      </c>
      <c r="T159" s="123" t="str">
        <f>IF(Tab.o1[[#This Row],[a1]]=1,Tab.o1[[#This Row],[Z-]]*_xlfn.STDEV.P(Tab.o1[B])+AVERAGE(Tab.o1[B]),"")</f>
        <v/>
      </c>
      <c r="U159" s="123" t="str">
        <f>IF(Tab.o1[[#This Row],[a1]]=1,Tab.o1[[#This Row],[z+]]*_xlfn.STDEV.P(Tab.o1[B])+AVERAGE(Tab.o1[B]),"")</f>
        <v/>
      </c>
      <c r="V159" s="124" t="str">
        <f>IF(Tab.o1[[#This Row],[a1]]=1,ABS((ABS(Tab.o1[[#This Row],[Red]]-Tab.o1[[#This Row],[Blue]]))),"")</f>
        <v/>
      </c>
      <c r="W159" s="125" t="str">
        <f>IF(Tab.o1[[#This Row],[a1]]=1,IF(W$3=0,1,Tab.o1[[#This Row],[Amp.]]*1/_xlfn.MINIFS(Tab.o1[Amp.],Tab.o1[Amp.],"&lt;&gt;0")),"")</f>
        <v/>
      </c>
      <c r="X159" s="126" t="str">
        <f>IF(Tab.o1[[#This Row],[a1]]=1,IF(ISNUMBER(Tab.o1[[#This Row],[i.]]),NORMDIST(Tab.o1[[#This Row],[Za]],0,1,FALSE)*Tab.o1[[#This Row],[i.]],AP$3),"")</f>
        <v/>
      </c>
      <c r="Y159" s="126" t="str">
        <f>IF(Tab.o1[[#This Row],[a1]]=1,0.01+0.94*Tab.o1[[#This Row],[PDF]]/MAX(Tab.o1[PDF]),"")</f>
        <v/>
      </c>
      <c r="Z159" s="126" t="str">
        <f>IF(Tab.o1[[#This Row],[a1]]=1,0.01+0.94*Tab.o1[[#This Row],[W1_PDF]]/MAX(Tab.o1[W1_PDF]),"")</f>
        <v/>
      </c>
      <c r="AA159" s="118" t="str">
        <f>IF(Tab.o1[[#This Row],[a1]]=1,ABS([1]!T.in.A[[#This Row],[oo6]]),"")</f>
        <v/>
      </c>
      <c r="AB159" s="127" t="str">
        <f>IF(Tab.o1[[#This Row],[a1]]=1,IF(AE$3=0,"",IF(AB$3=0,ABS([1]!T.in.A[[#This Row],[oo9]]),ABS(Tab.o1[[#This Row],[DIF_Target.]]*Tab.o1[[#This Row],[W1_PDF]]))),"")</f>
        <v/>
      </c>
      <c r="AC159" s="127" t="str">
        <f>IF(G$1=1,"",IF(Tab.o1[[#This Row],[a1]]=1,Tab.o1[[#This Row],[Wr]]^2,""))</f>
        <v/>
      </c>
      <c r="AD159" s="118" t="str">
        <f>IF(Tab.o1[[#This Row],[a1]]=1,IF(AE$3=0,"",Tab.o1[[#This Row],[Wr2]]/SUM(Tab.o1[Wr2])),"")</f>
        <v/>
      </c>
      <c r="AE159" s="128" t="str">
        <f>IF(Tab.o1[[#This Row],[a1]]=1,[1]!T.in.A[[#This Row],[oo10]],"")</f>
        <v/>
      </c>
      <c r="AF159" s="118" t="str">
        <f>IF(Tab.o1[[#This Row],[a1]]=1,ABS(Tab.o1[[#This Row],[DIF_Target.]]*Tab.o1[[#This Row],[PDF2]]*Tab.o1[[#This Row],[IN]]),"")</f>
        <v/>
      </c>
      <c r="AG159" s="129" t="str">
        <f>IF(Tab.o1[[#This Row],[a1]]=1,Tab.o1[[#This Row],[rW]]^2,"")</f>
        <v/>
      </c>
      <c r="AH159" s="130" t="str">
        <f>IF(Tab.o1[[#This Row],[a1]]=1,IF(AH$3=0,Tab.o1[[#This Row],[rW2]],0.01+0.94*Tab.o1[[#This Row],[rW2]]/SUM(Tab.o1[rW2])),"")</f>
        <v/>
      </c>
      <c r="AI159" s="128" t="str">
        <f>IF(Tab.o1[[#This Row],[a1]]=1,1/Tab.o1[[#This Row],[PDF]],"")</f>
        <v/>
      </c>
      <c r="AJ159" s="131" t="str">
        <f>IF(Tab.o1[[#This Row],[a1]]=1,[1]!T_AA[[#This Row],[IN'']]*[1]!T_AA[[#This Row],[Qde'']],"")</f>
        <v/>
      </c>
      <c r="AK159" s="132" t="str">
        <f>IF(Tab.o1[[#This Row],[a1]]=1,IF(AK$1=1,Tab.o1[[#This Row],[MED]]+Tab.o1[[#This Row],[MOD]]-Tab.o1[[#This Row],[MED]],""),"")</f>
        <v/>
      </c>
      <c r="AL159" s="133" t="str">
        <f>IF(Tab.o1[[#This Row],[a1]]=1,[1]!T.in.A[[#This Row],[oo16]],"")</f>
        <v/>
      </c>
      <c r="AM159" s="133" t="str">
        <f>IF(Tab.o1[[#This Row],[a1]]=1,IF(AM$3=1,[1]!T.in.A[[#This Row],[Σo16]],""),"")</f>
        <v/>
      </c>
      <c r="AN159" s="126" t="str">
        <f>IF(Tab.o1[[#This Row],[a1]]=1,[1]!T.in.A[[#This Row],[Σp5]],"")</f>
        <v/>
      </c>
      <c r="AO159" s="126" t="str">
        <f>IF(Tab.o1[[#This Row],[a1]]=1,IF(AO$3=1,[1]!T.in.A[[#This Row],[Σp5]],""),"")</f>
        <v/>
      </c>
      <c r="AP159" s="110" t="str">
        <f>IF(Tab.o1[[#This Row],[a1]]=1,IF(ISNUMBER(Tab.o1[[#This Row],[i.]]),NORMDIST(Tab.o1[[#This Row],[Za]],0,1,FALSE)*Tab.o1[[#This Row],[i.]],0),"")</f>
        <v/>
      </c>
      <c r="AQ159" s="125" t="str">
        <f>IF(Tab.o1[[#This Row],[a1]]=1,ABS(Tab.o1[[#This Row],[MOD]]-AVERAGE(Tab.o1[MOD])),"")</f>
        <v/>
      </c>
      <c r="AR159" s="134" t="str">
        <f>IF(Tab.o1[[#This Row],[a1]]=1,Tab.o1[[#This Row],[OBS]]/SUM(Tab.o1[OBS]),"")</f>
        <v/>
      </c>
      <c r="AS159" s="135" t="str">
        <f>IF(ISNUMBER(Tab.o1[[#This Row],[a1]]),ROW()-4,"")</f>
        <v/>
      </c>
      <c r="AT159" s="136" t="str">
        <f>Tab.o1[[#This Row],[MOD]]</f>
        <v/>
      </c>
      <c r="AU159" s="137" t="str">
        <f t="shared" si="9"/>
        <v/>
      </c>
      <c r="AV159" s="138" t="str">
        <f t="shared" si="10"/>
        <v/>
      </c>
      <c r="AW159" s="138" t="str">
        <f t="shared" si="11"/>
        <v/>
      </c>
      <c r="AX159" s="139" t="str">
        <f>[1]!T.in.A[[#This Row],[ID_T_manu]]</f>
        <v/>
      </c>
      <c r="AY159" s="140" t="str">
        <f>IF(ISNUMBER(Tab.o1[[#This Row],[a1]]),IF(AND(Tab.o1[[#This Row],[a1]]=1,Tab.o1[[#This Row],[b1]]&lt;=AY$4),#REF!,AY158),"")</f>
        <v/>
      </c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</row>
    <row r="160" spans="1:79" ht="14.25" hidden="1" customHeight="1">
      <c r="A160" s="109">
        <v>1.0000000000000002E-6</v>
      </c>
      <c r="B160" s="110">
        <f t="shared" si="8"/>
        <v>160</v>
      </c>
      <c r="C160" s="111" t="str">
        <f>IF(C$1=[1]!T.in.A[[#This Row],[oo2]],1,"")</f>
        <v/>
      </c>
      <c r="D160" s="112" t="str">
        <f>IF(Tab.o1[[#This Row],[a1]]=1,IF(SUM(C160:C161)=0,0,IF(SUM(C159:C160)=1,1,IF(SUM(C159:C161)&gt;1,D159+1,0))),"")</f>
        <v/>
      </c>
      <c r="E160" s="113" t="str">
        <f>IF(Tab.o1[[#This Row],[a1]]=1,[1]!T.in.A[[#This Row],[oo1]],"")</f>
        <v/>
      </c>
      <c r="F160" s="113" t="str">
        <f>IF(Tab.o1[[#This Row],[a1]]=1,[1]!T.in.A[[#This Row],[pp1]],"")</f>
        <v/>
      </c>
      <c r="G160" s="114" t="str">
        <f>IF(Tab.o1[[#This Row],[a1]]=1,G$2+IF(G$1=1,0,Tab.o1[[#This Row],[.x1]])+[1]!T.in.A[[#This Row],[oo3]],"")</f>
        <v/>
      </c>
      <c r="H160" s="115" t="str">
        <f>IF(Tab.o1[[#This Row],[a1]]=1,IF(H$2=0,0,IF(G$1=1,0,Tab.o1[[#This Row],[.x1]])+[1]!T.in.A[[#This Row],[oo4]]),"")</f>
        <v/>
      </c>
      <c r="I160" s="116" t="str">
        <f>IF(Tab.o1[[#This Row],[a1]]=1,IF(J$2=0,Tab.o1[[#This Row],[MED]],Tab.o1[[#This Row],[MOD]]),"")</f>
        <v/>
      </c>
      <c r="J160" s="116" t="str">
        <f>IF(Tab.o1[[#This Row],[a1]]=1,((Tab.o1[[#This Row],[DIF_Target.]]-AVERAGE(Tab.o1[DIF_Target.]))/_xlfn.STDEV.P(Tab.o1[DIF_Target.])),"")</f>
        <v/>
      </c>
      <c r="K160" s="117" t="str">
        <f>IF(Tab.o1[[#This Row],[a1]]=1,IF(J$2=0,Tab.o1[[#This Row],[MOD]]-Tab.o1[[#This Row],[B]],IF(J$2=1,0,-Tab.o1[[#This Row],[MED]])+Tab.o1[[#This Row],[B]]),"")</f>
        <v/>
      </c>
      <c r="L160" s="117" t="str">
        <f ca="1">IF(Tab.o1[[#This Row],[DIF_Target]]=0,IF(L$2=0,Tab.o1[[#This Row],[DIF_Target]],AVERAGE(OFFSET(Tab.o1[[#This Row],[DIF_Target]],1,0,L$3,1)))/3,Tab.o1[[#This Row],[DIF_Target]])</f>
        <v/>
      </c>
      <c r="M160" s="118" t="str">
        <f>IF(Tab.o1[[#This Row],[a1]]=1,NORMSDIST(Tab.o1[[#This Row],[Za]]),"")</f>
        <v/>
      </c>
      <c r="N160" s="119" t="str">
        <f>IF(Tab.o1[[#This Row],[a1]]=1,((Tab.o1[[#This Row],[MedMod]]-AVERAGE(Tab.o1[MedMod]))/_xlfn.STDEV.P(Tab.o1[MedMod])*H$1205)+G$1205,"")</f>
        <v/>
      </c>
      <c r="O160" s="141" t="str">
        <f>IF(Tab.o1[[#This Row],[a1]]=1,Tab.o1[[#This Row],[Zb]]*_xlfn.STDEV.P(Tab.o1[MedMod])+AVERAGE(Tab.o1[MedMod]),"")</f>
        <v/>
      </c>
      <c r="P160" s="117" t="str">
        <f ca="1">IF(Tab.o1[[#This Row],[B]]=0,AVERAGE(OFFSET(Tab.o1[[#This Row],[B]],1,0,L$3,1)),Tab.o1[[#This Row],[B]])</f>
        <v/>
      </c>
      <c r="Q160" s="121" t="str">
        <f>IF(Tab.o1[[#This Row],[a1]]=1,NORMSDIST(Tab.o1[[#This Row],[Zb]]),"")</f>
        <v/>
      </c>
      <c r="R160" s="122" t="str">
        <f>IF(Tab.o1[[#This Row],[a1]]=1,((Tab.o1[[#This Row],[MedMod]]-AVERAGE(Tab.o1[MedMod]))/_xlfn.STDEV.P(Tab.o1[MedMod])*H$1203)+G$1203,"")</f>
        <v/>
      </c>
      <c r="S160" s="122" t="str">
        <f>IF(Tab.o1[[#This Row],[a1]]=1,((Tab.o1[[#This Row],[MedMod]]-AVERAGE(Tab.o1[MedMod]))/_xlfn.STDEV.P(Tab.o1[MedMod])*H$1204)+G$1204,"")</f>
        <v/>
      </c>
      <c r="T160" s="123" t="str">
        <f>IF(Tab.o1[[#This Row],[a1]]=1,Tab.o1[[#This Row],[Z-]]*_xlfn.STDEV.P(Tab.o1[B])+AVERAGE(Tab.o1[B]),"")</f>
        <v/>
      </c>
      <c r="U160" s="123" t="str">
        <f>IF(Tab.o1[[#This Row],[a1]]=1,Tab.o1[[#This Row],[z+]]*_xlfn.STDEV.P(Tab.o1[B])+AVERAGE(Tab.o1[B]),"")</f>
        <v/>
      </c>
      <c r="V160" s="124" t="str">
        <f>IF(Tab.o1[[#This Row],[a1]]=1,ABS((ABS(Tab.o1[[#This Row],[Red]]-Tab.o1[[#This Row],[Blue]]))),"")</f>
        <v/>
      </c>
      <c r="W160" s="125" t="str">
        <f>IF(Tab.o1[[#This Row],[a1]]=1,IF(W$3=0,1,Tab.o1[[#This Row],[Amp.]]*1/_xlfn.MINIFS(Tab.o1[Amp.],Tab.o1[Amp.],"&lt;&gt;0")),"")</f>
        <v/>
      </c>
      <c r="X160" s="126" t="str">
        <f>IF(Tab.o1[[#This Row],[a1]]=1,IF(ISNUMBER(Tab.o1[[#This Row],[i.]]),NORMDIST(Tab.o1[[#This Row],[Za]],0,1,FALSE)*Tab.o1[[#This Row],[i.]],AP$3),"")</f>
        <v/>
      </c>
      <c r="Y160" s="126" t="str">
        <f>IF(Tab.o1[[#This Row],[a1]]=1,0.01+0.94*Tab.o1[[#This Row],[PDF]]/MAX(Tab.o1[PDF]),"")</f>
        <v/>
      </c>
      <c r="Z160" s="126" t="str">
        <f>IF(Tab.o1[[#This Row],[a1]]=1,0.01+0.94*Tab.o1[[#This Row],[W1_PDF]]/MAX(Tab.o1[W1_PDF]),"")</f>
        <v/>
      </c>
      <c r="AA160" s="118" t="str">
        <f>IF(Tab.o1[[#This Row],[a1]]=1,ABS([1]!T.in.A[[#This Row],[oo6]]),"")</f>
        <v/>
      </c>
      <c r="AB160" s="127" t="str">
        <f>IF(Tab.o1[[#This Row],[a1]]=1,IF(AE$3=0,"",IF(AB$3=0,ABS([1]!T.in.A[[#This Row],[oo9]]),ABS(Tab.o1[[#This Row],[DIF_Target.]]*Tab.o1[[#This Row],[W1_PDF]]))),"")</f>
        <v/>
      </c>
      <c r="AC160" s="127" t="str">
        <f>IF(G$1=1,"",IF(Tab.o1[[#This Row],[a1]]=1,Tab.o1[[#This Row],[Wr]]^2,""))</f>
        <v/>
      </c>
      <c r="AD160" s="118" t="str">
        <f>IF(Tab.o1[[#This Row],[a1]]=1,IF(AE$3=0,"",Tab.o1[[#This Row],[Wr2]]/SUM(Tab.o1[Wr2])),"")</f>
        <v/>
      </c>
      <c r="AE160" s="128" t="str">
        <f>IF(Tab.o1[[#This Row],[a1]]=1,[1]!T.in.A[[#This Row],[oo10]],"")</f>
        <v/>
      </c>
      <c r="AF160" s="118" t="str">
        <f>IF(Tab.o1[[#This Row],[a1]]=1,ABS(Tab.o1[[#This Row],[DIF_Target.]]*Tab.o1[[#This Row],[PDF2]]*Tab.o1[[#This Row],[IN]]),"")</f>
        <v/>
      </c>
      <c r="AG160" s="129" t="str">
        <f>IF(Tab.o1[[#This Row],[a1]]=1,Tab.o1[[#This Row],[rW]]^2,"")</f>
        <v/>
      </c>
      <c r="AH160" s="130" t="str">
        <f>IF(Tab.o1[[#This Row],[a1]]=1,IF(AH$3=0,Tab.o1[[#This Row],[rW2]],0.01+0.94*Tab.o1[[#This Row],[rW2]]/SUM(Tab.o1[rW2])),"")</f>
        <v/>
      </c>
      <c r="AI160" s="128" t="str">
        <f>IF(Tab.o1[[#This Row],[a1]]=1,1/Tab.o1[[#This Row],[PDF]],"")</f>
        <v/>
      </c>
      <c r="AJ160" s="131" t="str">
        <f>IF(Tab.o1[[#This Row],[a1]]=1,[1]!T_AA[[#This Row],[IN'']]*[1]!T_AA[[#This Row],[Qde'']],"")</f>
        <v/>
      </c>
      <c r="AK160" s="132" t="str">
        <f>IF(Tab.o1[[#This Row],[a1]]=1,IF(AK$1=1,Tab.o1[[#This Row],[MED]]+Tab.o1[[#This Row],[MOD]]-Tab.o1[[#This Row],[MED]],""),"")</f>
        <v/>
      </c>
      <c r="AL160" s="133" t="str">
        <f>IF(Tab.o1[[#This Row],[a1]]=1,[1]!T.in.A[[#This Row],[oo16]],"")</f>
        <v/>
      </c>
      <c r="AM160" s="133" t="str">
        <f>IF(Tab.o1[[#This Row],[a1]]=1,IF(AM$3=1,[1]!T.in.A[[#This Row],[Σo16]],""),"")</f>
        <v/>
      </c>
      <c r="AN160" s="126" t="str">
        <f>IF(Tab.o1[[#This Row],[a1]]=1,[1]!T.in.A[[#This Row],[Σp5]],"")</f>
        <v/>
      </c>
      <c r="AO160" s="126" t="str">
        <f>IF(Tab.o1[[#This Row],[a1]]=1,IF(AO$3=1,[1]!T.in.A[[#This Row],[Σp5]],""),"")</f>
        <v/>
      </c>
      <c r="AP160" s="110" t="str">
        <f>IF(Tab.o1[[#This Row],[a1]]=1,IF(ISNUMBER(Tab.o1[[#This Row],[i.]]),NORMDIST(Tab.o1[[#This Row],[Za]],0,1,FALSE)*Tab.o1[[#This Row],[i.]],0),"")</f>
        <v/>
      </c>
      <c r="AQ160" s="125" t="str">
        <f>IF(Tab.o1[[#This Row],[a1]]=1,ABS(Tab.o1[[#This Row],[MOD]]-AVERAGE(Tab.o1[MOD])),"")</f>
        <v/>
      </c>
      <c r="AR160" s="134" t="str">
        <f>IF(Tab.o1[[#This Row],[a1]]=1,Tab.o1[[#This Row],[OBS]]/SUM(Tab.o1[OBS]),"")</f>
        <v/>
      </c>
      <c r="AS160" s="135" t="str">
        <f>IF(ISNUMBER(Tab.o1[[#This Row],[a1]]),ROW()-4,"")</f>
        <v/>
      </c>
      <c r="AT160" s="136" t="str">
        <f>Tab.o1[[#This Row],[MOD]]</f>
        <v/>
      </c>
      <c r="AU160" s="137" t="str">
        <f t="shared" si="9"/>
        <v/>
      </c>
      <c r="AV160" s="138" t="str">
        <f t="shared" si="10"/>
        <v/>
      </c>
      <c r="AW160" s="138" t="str">
        <f t="shared" si="11"/>
        <v/>
      </c>
      <c r="AX160" s="139" t="str">
        <f>[1]!T.in.A[[#This Row],[ID_T_manu]]</f>
        <v/>
      </c>
      <c r="AY160" s="140" t="str">
        <f>IF(ISNUMBER(Tab.o1[[#This Row],[a1]]),IF(AND(Tab.o1[[#This Row],[a1]]=1,Tab.o1[[#This Row],[b1]]&lt;=AY$4),#REF!,AY159),"")</f>
        <v/>
      </c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</row>
    <row r="161" spans="1:79" ht="14.25" hidden="1" customHeight="1">
      <c r="A161" s="109">
        <v>5.9999999999999993E-6</v>
      </c>
      <c r="B161" s="110">
        <f t="shared" si="8"/>
        <v>161</v>
      </c>
      <c r="C161" s="111" t="str">
        <f>IF(C$1=[1]!T.in.A[[#This Row],[oo2]],1,"")</f>
        <v/>
      </c>
      <c r="D161" s="112" t="str">
        <f>IF(Tab.o1[[#This Row],[a1]]=1,IF(SUM(C161:C162)=0,0,IF(SUM(C160:C161)=1,1,IF(SUM(C160:C162)&gt;1,D160+1,0))),"")</f>
        <v/>
      </c>
      <c r="E161" s="113" t="str">
        <f>IF(Tab.o1[[#This Row],[a1]]=1,[1]!T.in.A[[#This Row],[oo1]],"")</f>
        <v/>
      </c>
      <c r="F161" s="113" t="str">
        <f>IF(Tab.o1[[#This Row],[a1]]=1,[1]!T.in.A[[#This Row],[pp1]],"")</f>
        <v/>
      </c>
      <c r="G161" s="114" t="str">
        <f>IF(Tab.o1[[#This Row],[a1]]=1,G$2+IF(G$1=1,0,Tab.o1[[#This Row],[.x1]])+[1]!T.in.A[[#This Row],[oo3]],"")</f>
        <v/>
      </c>
      <c r="H161" s="115" t="str">
        <f>IF(Tab.o1[[#This Row],[a1]]=1,IF(H$2=0,0,IF(G$1=1,0,Tab.o1[[#This Row],[.x1]])+[1]!T.in.A[[#This Row],[oo4]]),"")</f>
        <v/>
      </c>
      <c r="I161" s="116" t="str">
        <f>IF(Tab.o1[[#This Row],[a1]]=1,IF(J$2=0,Tab.o1[[#This Row],[MED]],Tab.o1[[#This Row],[MOD]]),"")</f>
        <v/>
      </c>
      <c r="J161" s="116" t="str">
        <f>IF(Tab.o1[[#This Row],[a1]]=1,((Tab.o1[[#This Row],[DIF_Target.]]-AVERAGE(Tab.o1[DIF_Target.]))/_xlfn.STDEV.P(Tab.o1[DIF_Target.])),"")</f>
        <v/>
      </c>
      <c r="K161" s="117" t="str">
        <f>IF(Tab.o1[[#This Row],[a1]]=1,IF(J$2=0,Tab.o1[[#This Row],[MOD]]-Tab.o1[[#This Row],[B]],IF(J$2=1,0,-Tab.o1[[#This Row],[MED]])+Tab.o1[[#This Row],[B]]),"")</f>
        <v/>
      </c>
      <c r="L161" s="117" t="str">
        <f ca="1">IF(Tab.o1[[#This Row],[DIF_Target]]=0,IF(L$2=0,Tab.o1[[#This Row],[DIF_Target]],AVERAGE(OFFSET(Tab.o1[[#This Row],[DIF_Target]],1,0,L$3,1)))/3,Tab.o1[[#This Row],[DIF_Target]])</f>
        <v/>
      </c>
      <c r="M161" s="118" t="str">
        <f>IF(Tab.o1[[#This Row],[a1]]=1,NORMSDIST(Tab.o1[[#This Row],[Za]]),"")</f>
        <v/>
      </c>
      <c r="N161" s="119" t="str">
        <f>IF(Tab.o1[[#This Row],[a1]]=1,((Tab.o1[[#This Row],[MedMod]]-AVERAGE(Tab.o1[MedMod]))/_xlfn.STDEV.P(Tab.o1[MedMod])*H$1205)+G$1205,"")</f>
        <v/>
      </c>
      <c r="O161" s="141" t="str">
        <f>IF(Tab.o1[[#This Row],[a1]]=1,Tab.o1[[#This Row],[Zb]]*_xlfn.STDEV.P(Tab.o1[MedMod])+AVERAGE(Tab.o1[MedMod]),"")</f>
        <v/>
      </c>
      <c r="P161" s="117" t="str">
        <f ca="1">IF(Tab.o1[[#This Row],[B]]=0,AVERAGE(OFFSET(Tab.o1[[#This Row],[B]],1,0,L$3,1)),Tab.o1[[#This Row],[B]])</f>
        <v/>
      </c>
      <c r="Q161" s="121" t="str">
        <f>IF(Tab.o1[[#This Row],[a1]]=1,NORMSDIST(Tab.o1[[#This Row],[Zb]]),"")</f>
        <v/>
      </c>
      <c r="R161" s="122" t="str">
        <f>IF(Tab.o1[[#This Row],[a1]]=1,((Tab.o1[[#This Row],[MedMod]]-AVERAGE(Tab.o1[MedMod]))/_xlfn.STDEV.P(Tab.o1[MedMod])*H$1203)+G$1203,"")</f>
        <v/>
      </c>
      <c r="S161" s="122" t="str">
        <f>IF(Tab.o1[[#This Row],[a1]]=1,((Tab.o1[[#This Row],[MedMod]]-AVERAGE(Tab.o1[MedMod]))/_xlfn.STDEV.P(Tab.o1[MedMod])*H$1204)+G$1204,"")</f>
        <v/>
      </c>
      <c r="T161" s="123" t="str">
        <f>IF(Tab.o1[[#This Row],[a1]]=1,Tab.o1[[#This Row],[Z-]]*_xlfn.STDEV.P(Tab.o1[B])+AVERAGE(Tab.o1[B]),"")</f>
        <v/>
      </c>
      <c r="U161" s="123" t="str">
        <f>IF(Tab.o1[[#This Row],[a1]]=1,Tab.o1[[#This Row],[z+]]*_xlfn.STDEV.P(Tab.o1[B])+AVERAGE(Tab.o1[B]),"")</f>
        <v/>
      </c>
      <c r="V161" s="124" t="str">
        <f>IF(Tab.o1[[#This Row],[a1]]=1,ABS((ABS(Tab.o1[[#This Row],[Red]]-Tab.o1[[#This Row],[Blue]]))),"")</f>
        <v/>
      </c>
      <c r="W161" s="125" t="str">
        <f>IF(Tab.o1[[#This Row],[a1]]=1,IF(W$3=0,1,Tab.o1[[#This Row],[Amp.]]*1/_xlfn.MINIFS(Tab.o1[Amp.],Tab.o1[Amp.],"&lt;&gt;0")),"")</f>
        <v/>
      </c>
      <c r="X161" s="126" t="str">
        <f>IF(Tab.o1[[#This Row],[a1]]=1,IF(ISNUMBER(Tab.o1[[#This Row],[i.]]),NORMDIST(Tab.o1[[#This Row],[Za]],0,1,FALSE)*Tab.o1[[#This Row],[i.]],AP$3),"")</f>
        <v/>
      </c>
      <c r="Y161" s="126" t="str">
        <f>IF(Tab.o1[[#This Row],[a1]]=1,0.01+0.94*Tab.o1[[#This Row],[PDF]]/MAX(Tab.o1[PDF]),"")</f>
        <v/>
      </c>
      <c r="Z161" s="126" t="str">
        <f>IF(Tab.o1[[#This Row],[a1]]=1,0.01+0.94*Tab.o1[[#This Row],[W1_PDF]]/MAX(Tab.o1[W1_PDF]),"")</f>
        <v/>
      </c>
      <c r="AA161" s="118" t="str">
        <f>IF(Tab.o1[[#This Row],[a1]]=1,ABS([1]!T.in.A[[#This Row],[oo6]]),"")</f>
        <v/>
      </c>
      <c r="AB161" s="127" t="str">
        <f>IF(Tab.o1[[#This Row],[a1]]=1,IF(AE$3=0,"",IF(AB$3=0,ABS([1]!T.in.A[[#This Row],[oo9]]),ABS(Tab.o1[[#This Row],[DIF_Target.]]*Tab.o1[[#This Row],[W1_PDF]]))),"")</f>
        <v/>
      </c>
      <c r="AC161" s="127" t="str">
        <f>IF(G$1=1,"",IF(Tab.o1[[#This Row],[a1]]=1,Tab.o1[[#This Row],[Wr]]^2,""))</f>
        <v/>
      </c>
      <c r="AD161" s="118" t="str">
        <f>IF(Tab.o1[[#This Row],[a1]]=1,IF(AE$3=0,"",Tab.o1[[#This Row],[Wr2]]/SUM(Tab.o1[Wr2])),"")</f>
        <v/>
      </c>
      <c r="AE161" s="128" t="str">
        <f>IF(Tab.o1[[#This Row],[a1]]=1,[1]!T.in.A[[#This Row],[oo10]],"")</f>
        <v/>
      </c>
      <c r="AF161" s="118" t="str">
        <f>IF(Tab.o1[[#This Row],[a1]]=1,ABS(Tab.o1[[#This Row],[DIF_Target.]]*Tab.o1[[#This Row],[PDF2]]*Tab.o1[[#This Row],[IN]]),"")</f>
        <v/>
      </c>
      <c r="AG161" s="129" t="str">
        <f>IF(Tab.o1[[#This Row],[a1]]=1,Tab.o1[[#This Row],[rW]]^2,"")</f>
        <v/>
      </c>
      <c r="AH161" s="130" t="str">
        <f>IF(Tab.o1[[#This Row],[a1]]=1,IF(AH$3=0,Tab.o1[[#This Row],[rW2]],0.01+0.94*Tab.o1[[#This Row],[rW2]]/SUM(Tab.o1[rW2])),"")</f>
        <v/>
      </c>
      <c r="AI161" s="128" t="str">
        <f>IF(Tab.o1[[#This Row],[a1]]=1,1/Tab.o1[[#This Row],[PDF]],"")</f>
        <v/>
      </c>
      <c r="AJ161" s="131" t="str">
        <f>IF(Tab.o1[[#This Row],[a1]]=1,[1]!T_AA[[#This Row],[IN'']]*[1]!T_AA[[#This Row],[Qde'']],"")</f>
        <v/>
      </c>
      <c r="AK161" s="132" t="str">
        <f>IF(Tab.o1[[#This Row],[a1]]=1,IF(AK$1=1,Tab.o1[[#This Row],[MED]]+Tab.o1[[#This Row],[MOD]]-Tab.o1[[#This Row],[MED]],""),"")</f>
        <v/>
      </c>
      <c r="AL161" s="133" t="str">
        <f>IF(Tab.o1[[#This Row],[a1]]=1,[1]!T.in.A[[#This Row],[oo16]],"")</f>
        <v/>
      </c>
      <c r="AM161" s="133" t="str">
        <f>IF(Tab.o1[[#This Row],[a1]]=1,IF(AM$3=1,[1]!T.in.A[[#This Row],[Σo16]],""),"")</f>
        <v/>
      </c>
      <c r="AN161" s="126" t="str">
        <f>IF(Tab.o1[[#This Row],[a1]]=1,[1]!T.in.A[[#This Row],[Σp5]],"")</f>
        <v/>
      </c>
      <c r="AO161" s="126" t="str">
        <f>IF(Tab.o1[[#This Row],[a1]]=1,IF(AO$3=1,[1]!T.in.A[[#This Row],[Σp5]],""),"")</f>
        <v/>
      </c>
      <c r="AP161" s="110" t="str">
        <f>IF(Tab.o1[[#This Row],[a1]]=1,IF(ISNUMBER(Tab.o1[[#This Row],[i.]]),NORMDIST(Tab.o1[[#This Row],[Za]],0,1,FALSE)*Tab.o1[[#This Row],[i.]],0),"")</f>
        <v/>
      </c>
      <c r="AQ161" s="125" t="str">
        <f>IF(Tab.o1[[#This Row],[a1]]=1,ABS(Tab.o1[[#This Row],[MOD]]-AVERAGE(Tab.o1[MOD])),"")</f>
        <v/>
      </c>
      <c r="AR161" s="134" t="str">
        <f>IF(Tab.o1[[#This Row],[a1]]=1,Tab.o1[[#This Row],[OBS]]/SUM(Tab.o1[OBS]),"")</f>
        <v/>
      </c>
      <c r="AS161" s="135" t="str">
        <f>IF(ISNUMBER(Tab.o1[[#This Row],[a1]]),ROW()-4,"")</f>
        <v/>
      </c>
      <c r="AT161" s="136" t="str">
        <f>Tab.o1[[#This Row],[MOD]]</f>
        <v/>
      </c>
      <c r="AU161" s="137" t="str">
        <f t="shared" si="9"/>
        <v/>
      </c>
      <c r="AV161" s="138" t="str">
        <f t="shared" si="10"/>
        <v/>
      </c>
      <c r="AW161" s="138" t="str">
        <f t="shared" si="11"/>
        <v/>
      </c>
      <c r="AX161" s="139" t="str">
        <f>[1]!T.in.A[[#This Row],[ID_T_manu]]</f>
        <v/>
      </c>
      <c r="AY161" s="140" t="str">
        <f>IF(ISNUMBER(Tab.o1[[#This Row],[a1]]),IF(AND(Tab.o1[[#This Row],[a1]]=1,Tab.o1[[#This Row],[b1]]&lt;=AY$4),#REF!,AY160),"")</f>
        <v/>
      </c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</row>
    <row r="162" spans="1:79" ht="14.25" hidden="1" customHeight="1">
      <c r="A162" s="109">
        <v>-4.0000000000000007E-6</v>
      </c>
      <c r="B162" s="110">
        <f t="shared" si="8"/>
        <v>162</v>
      </c>
      <c r="C162" s="111" t="str">
        <f>IF(C$1=[1]!T.in.A[[#This Row],[oo2]],1,"")</f>
        <v/>
      </c>
      <c r="D162" s="112" t="str">
        <f>IF(Tab.o1[[#This Row],[a1]]=1,IF(SUM(C162:C163)=0,0,IF(SUM(C161:C162)=1,1,IF(SUM(C161:C163)&gt;1,D161+1,0))),"")</f>
        <v/>
      </c>
      <c r="E162" s="113" t="str">
        <f>IF(Tab.o1[[#This Row],[a1]]=1,[1]!T.in.A[[#This Row],[oo1]],"")</f>
        <v/>
      </c>
      <c r="F162" s="113" t="str">
        <f>IF(Tab.o1[[#This Row],[a1]]=1,[1]!T.in.A[[#This Row],[pp1]],"")</f>
        <v/>
      </c>
      <c r="G162" s="114" t="str">
        <f>IF(Tab.o1[[#This Row],[a1]]=1,G$2+IF(G$1=1,0,Tab.o1[[#This Row],[.x1]])+[1]!T.in.A[[#This Row],[oo3]],"")</f>
        <v/>
      </c>
      <c r="H162" s="115" t="str">
        <f>IF(Tab.o1[[#This Row],[a1]]=1,IF(H$2=0,0,IF(G$1=1,0,Tab.o1[[#This Row],[.x1]])+[1]!T.in.A[[#This Row],[oo4]]),"")</f>
        <v/>
      </c>
      <c r="I162" s="116" t="str">
        <f>IF(Tab.o1[[#This Row],[a1]]=1,IF(J$2=0,Tab.o1[[#This Row],[MED]],Tab.o1[[#This Row],[MOD]]),"")</f>
        <v/>
      </c>
      <c r="J162" s="116" t="str">
        <f>IF(Tab.o1[[#This Row],[a1]]=1,((Tab.o1[[#This Row],[DIF_Target.]]-AVERAGE(Tab.o1[DIF_Target.]))/_xlfn.STDEV.P(Tab.o1[DIF_Target.])),"")</f>
        <v/>
      </c>
      <c r="K162" s="117" t="str">
        <f>IF(Tab.o1[[#This Row],[a1]]=1,IF(J$2=0,Tab.o1[[#This Row],[MOD]]-Tab.o1[[#This Row],[B]],IF(J$2=1,0,-Tab.o1[[#This Row],[MED]])+Tab.o1[[#This Row],[B]]),"")</f>
        <v/>
      </c>
      <c r="L162" s="117" t="str">
        <f ca="1">IF(Tab.o1[[#This Row],[DIF_Target]]=0,IF(L$2=0,Tab.o1[[#This Row],[DIF_Target]],AVERAGE(OFFSET(Tab.o1[[#This Row],[DIF_Target]],1,0,L$3,1)))/3,Tab.o1[[#This Row],[DIF_Target]])</f>
        <v/>
      </c>
      <c r="M162" s="118" t="str">
        <f>IF(Tab.o1[[#This Row],[a1]]=1,NORMSDIST(Tab.o1[[#This Row],[Za]]),"")</f>
        <v/>
      </c>
      <c r="N162" s="119" t="str">
        <f>IF(Tab.o1[[#This Row],[a1]]=1,((Tab.o1[[#This Row],[MedMod]]-AVERAGE(Tab.o1[MedMod]))/_xlfn.STDEV.P(Tab.o1[MedMod])*H$1205)+G$1205,"")</f>
        <v/>
      </c>
      <c r="O162" s="141" t="str">
        <f>IF(Tab.o1[[#This Row],[a1]]=1,Tab.o1[[#This Row],[Zb]]*_xlfn.STDEV.P(Tab.o1[MedMod])+AVERAGE(Tab.o1[MedMod]),"")</f>
        <v/>
      </c>
      <c r="P162" s="117" t="str">
        <f ca="1">IF(Tab.o1[[#This Row],[B]]=0,AVERAGE(OFFSET(Tab.o1[[#This Row],[B]],1,0,L$3,1)),Tab.o1[[#This Row],[B]])</f>
        <v/>
      </c>
      <c r="Q162" s="121" t="str">
        <f>IF(Tab.o1[[#This Row],[a1]]=1,NORMSDIST(Tab.o1[[#This Row],[Zb]]),"")</f>
        <v/>
      </c>
      <c r="R162" s="122" t="str">
        <f>IF(Tab.o1[[#This Row],[a1]]=1,((Tab.o1[[#This Row],[MedMod]]-AVERAGE(Tab.o1[MedMod]))/_xlfn.STDEV.P(Tab.o1[MedMod])*H$1203)+G$1203,"")</f>
        <v/>
      </c>
      <c r="S162" s="122" t="str">
        <f>IF(Tab.o1[[#This Row],[a1]]=1,((Tab.o1[[#This Row],[MedMod]]-AVERAGE(Tab.o1[MedMod]))/_xlfn.STDEV.P(Tab.o1[MedMod])*H$1204)+G$1204,"")</f>
        <v/>
      </c>
      <c r="T162" s="123" t="str">
        <f>IF(Tab.o1[[#This Row],[a1]]=1,Tab.o1[[#This Row],[Z-]]*_xlfn.STDEV.P(Tab.o1[B])+AVERAGE(Tab.o1[B]),"")</f>
        <v/>
      </c>
      <c r="U162" s="123" t="str">
        <f>IF(Tab.o1[[#This Row],[a1]]=1,Tab.o1[[#This Row],[z+]]*_xlfn.STDEV.P(Tab.o1[B])+AVERAGE(Tab.o1[B]),"")</f>
        <v/>
      </c>
      <c r="V162" s="124" t="str">
        <f>IF(Tab.o1[[#This Row],[a1]]=1,ABS((ABS(Tab.o1[[#This Row],[Red]]-Tab.o1[[#This Row],[Blue]]))),"")</f>
        <v/>
      </c>
      <c r="W162" s="125" t="str">
        <f>IF(Tab.o1[[#This Row],[a1]]=1,IF(W$3=0,1,Tab.o1[[#This Row],[Amp.]]*1/_xlfn.MINIFS(Tab.o1[Amp.],Tab.o1[Amp.],"&lt;&gt;0")),"")</f>
        <v/>
      </c>
      <c r="X162" s="126" t="str">
        <f>IF(Tab.o1[[#This Row],[a1]]=1,IF(ISNUMBER(Tab.o1[[#This Row],[i.]]),NORMDIST(Tab.o1[[#This Row],[Za]],0,1,FALSE)*Tab.o1[[#This Row],[i.]],AP$3),"")</f>
        <v/>
      </c>
      <c r="Y162" s="126" t="str">
        <f>IF(Tab.o1[[#This Row],[a1]]=1,0.01+0.94*Tab.o1[[#This Row],[PDF]]/MAX(Tab.o1[PDF]),"")</f>
        <v/>
      </c>
      <c r="Z162" s="126" t="str">
        <f>IF(Tab.o1[[#This Row],[a1]]=1,0.01+0.94*Tab.o1[[#This Row],[W1_PDF]]/MAX(Tab.o1[W1_PDF]),"")</f>
        <v/>
      </c>
      <c r="AA162" s="118" t="str">
        <f>IF(Tab.o1[[#This Row],[a1]]=1,ABS([1]!T.in.A[[#This Row],[oo6]]),"")</f>
        <v/>
      </c>
      <c r="AB162" s="127" t="str">
        <f>IF(Tab.o1[[#This Row],[a1]]=1,IF(AE$3=0,"",IF(AB$3=0,ABS([1]!T.in.A[[#This Row],[oo9]]),ABS(Tab.o1[[#This Row],[DIF_Target.]]*Tab.o1[[#This Row],[W1_PDF]]))),"")</f>
        <v/>
      </c>
      <c r="AC162" s="127" t="str">
        <f>IF(G$1=1,"",IF(Tab.o1[[#This Row],[a1]]=1,Tab.o1[[#This Row],[Wr]]^2,""))</f>
        <v/>
      </c>
      <c r="AD162" s="118" t="str">
        <f>IF(Tab.o1[[#This Row],[a1]]=1,IF(AE$3=0,"",Tab.o1[[#This Row],[Wr2]]/SUM(Tab.o1[Wr2])),"")</f>
        <v/>
      </c>
      <c r="AE162" s="128" t="str">
        <f>IF(Tab.o1[[#This Row],[a1]]=1,[1]!T.in.A[[#This Row],[oo10]],"")</f>
        <v/>
      </c>
      <c r="AF162" s="118" t="str">
        <f>IF(Tab.o1[[#This Row],[a1]]=1,ABS(Tab.o1[[#This Row],[DIF_Target.]]*Tab.o1[[#This Row],[PDF2]]*Tab.o1[[#This Row],[IN]]),"")</f>
        <v/>
      </c>
      <c r="AG162" s="129" t="str">
        <f>IF(Tab.o1[[#This Row],[a1]]=1,Tab.o1[[#This Row],[rW]]^2,"")</f>
        <v/>
      </c>
      <c r="AH162" s="130" t="str">
        <f>IF(Tab.o1[[#This Row],[a1]]=1,IF(AH$3=0,Tab.o1[[#This Row],[rW2]],0.01+0.94*Tab.o1[[#This Row],[rW2]]/SUM(Tab.o1[rW2])),"")</f>
        <v/>
      </c>
      <c r="AI162" s="128" t="str">
        <f>IF(Tab.o1[[#This Row],[a1]]=1,1/Tab.o1[[#This Row],[PDF]],"")</f>
        <v/>
      </c>
      <c r="AJ162" s="131" t="str">
        <f>IF(Tab.o1[[#This Row],[a1]]=1,[1]!T_AA[[#This Row],[IN'']]*[1]!T_AA[[#This Row],[Qde'']],"")</f>
        <v/>
      </c>
      <c r="AK162" s="132" t="str">
        <f>IF(Tab.o1[[#This Row],[a1]]=1,IF(AK$1=1,Tab.o1[[#This Row],[MED]]+Tab.o1[[#This Row],[MOD]]-Tab.o1[[#This Row],[MED]],""),"")</f>
        <v/>
      </c>
      <c r="AL162" s="133" t="str">
        <f>IF(Tab.o1[[#This Row],[a1]]=1,[1]!T.in.A[[#This Row],[oo16]],"")</f>
        <v/>
      </c>
      <c r="AM162" s="133" t="str">
        <f>IF(Tab.o1[[#This Row],[a1]]=1,IF(AM$3=1,[1]!T.in.A[[#This Row],[Σo16]],""),"")</f>
        <v/>
      </c>
      <c r="AN162" s="126" t="str">
        <f>IF(Tab.o1[[#This Row],[a1]]=1,[1]!T.in.A[[#This Row],[Σp5]],"")</f>
        <v/>
      </c>
      <c r="AO162" s="126" t="str">
        <f>IF(Tab.o1[[#This Row],[a1]]=1,IF(AO$3=1,[1]!T.in.A[[#This Row],[Σp5]],""),"")</f>
        <v/>
      </c>
      <c r="AP162" s="110" t="str">
        <f>IF(Tab.o1[[#This Row],[a1]]=1,IF(ISNUMBER(Tab.o1[[#This Row],[i.]]),NORMDIST(Tab.o1[[#This Row],[Za]],0,1,FALSE)*Tab.o1[[#This Row],[i.]],0),"")</f>
        <v/>
      </c>
      <c r="AQ162" s="125" t="str">
        <f>IF(Tab.o1[[#This Row],[a1]]=1,ABS(Tab.o1[[#This Row],[MOD]]-AVERAGE(Tab.o1[MOD])),"")</f>
        <v/>
      </c>
      <c r="AR162" s="134" t="str">
        <f>IF(Tab.o1[[#This Row],[a1]]=1,Tab.o1[[#This Row],[OBS]]/SUM(Tab.o1[OBS]),"")</f>
        <v/>
      </c>
      <c r="AS162" s="135" t="str">
        <f>IF(ISNUMBER(Tab.o1[[#This Row],[a1]]),ROW()-4,"")</f>
        <v/>
      </c>
      <c r="AT162" s="136" t="str">
        <f>Tab.o1[[#This Row],[MOD]]</f>
        <v/>
      </c>
      <c r="AU162" s="137" t="str">
        <f t="shared" si="9"/>
        <v/>
      </c>
      <c r="AV162" s="138" t="str">
        <f t="shared" si="10"/>
        <v/>
      </c>
      <c r="AW162" s="138" t="str">
        <f t="shared" si="11"/>
        <v/>
      </c>
      <c r="AX162" s="139" t="str">
        <f>[1]!T.in.A[[#This Row],[ID_T_manu]]</f>
        <v/>
      </c>
      <c r="AY162" s="140" t="str">
        <f>IF(ISNUMBER(Tab.o1[[#This Row],[a1]]),IF(AND(Tab.o1[[#This Row],[a1]]=1,Tab.o1[[#This Row],[b1]]&lt;=AY$4),#REF!,AY161),"")</f>
        <v/>
      </c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</row>
    <row r="163" spans="1:79" ht="14.25" hidden="1" customHeight="1">
      <c r="A163" s="109">
        <v>-1.0000000000000002E-6</v>
      </c>
      <c r="B163" s="110">
        <f t="shared" si="8"/>
        <v>163</v>
      </c>
      <c r="C163" s="111" t="str">
        <f>IF(C$1=[1]!T.in.A[[#This Row],[oo2]],1,"")</f>
        <v/>
      </c>
      <c r="D163" s="112" t="str">
        <f>IF(Tab.o1[[#This Row],[a1]]=1,IF(SUM(C163:C164)=0,0,IF(SUM(C162:C163)=1,1,IF(SUM(C162:C164)&gt;1,D162+1,0))),"")</f>
        <v/>
      </c>
      <c r="E163" s="113" t="str">
        <f>IF(Tab.o1[[#This Row],[a1]]=1,[1]!T.in.A[[#This Row],[oo1]],"")</f>
        <v/>
      </c>
      <c r="F163" s="113" t="str">
        <f>IF(Tab.o1[[#This Row],[a1]]=1,[1]!T.in.A[[#This Row],[pp1]],"")</f>
        <v/>
      </c>
      <c r="G163" s="114" t="str">
        <f>IF(Tab.o1[[#This Row],[a1]]=1,G$2+IF(G$1=1,0,Tab.o1[[#This Row],[.x1]])+[1]!T.in.A[[#This Row],[oo3]],"")</f>
        <v/>
      </c>
      <c r="H163" s="115" t="str">
        <f>IF(Tab.o1[[#This Row],[a1]]=1,IF(H$2=0,0,IF(G$1=1,0,Tab.o1[[#This Row],[.x1]])+[1]!T.in.A[[#This Row],[oo4]]),"")</f>
        <v/>
      </c>
      <c r="I163" s="116" t="str">
        <f>IF(Tab.o1[[#This Row],[a1]]=1,IF(J$2=0,Tab.o1[[#This Row],[MED]],Tab.o1[[#This Row],[MOD]]),"")</f>
        <v/>
      </c>
      <c r="J163" s="116" t="str">
        <f>IF(Tab.o1[[#This Row],[a1]]=1,((Tab.o1[[#This Row],[DIF_Target.]]-AVERAGE(Tab.o1[DIF_Target.]))/_xlfn.STDEV.P(Tab.o1[DIF_Target.])),"")</f>
        <v/>
      </c>
      <c r="K163" s="117" t="str">
        <f>IF(Tab.o1[[#This Row],[a1]]=1,IF(J$2=0,Tab.o1[[#This Row],[MOD]]-Tab.o1[[#This Row],[B]],IF(J$2=1,0,-Tab.o1[[#This Row],[MED]])+Tab.o1[[#This Row],[B]]),"")</f>
        <v/>
      </c>
      <c r="L163" s="117" t="str">
        <f ca="1">IF(Tab.o1[[#This Row],[DIF_Target]]=0,IF(L$2=0,Tab.o1[[#This Row],[DIF_Target]],AVERAGE(OFFSET(Tab.o1[[#This Row],[DIF_Target]],1,0,L$3,1)))/3,Tab.o1[[#This Row],[DIF_Target]])</f>
        <v/>
      </c>
      <c r="M163" s="118" t="str">
        <f>IF(Tab.o1[[#This Row],[a1]]=1,NORMSDIST(Tab.o1[[#This Row],[Za]]),"")</f>
        <v/>
      </c>
      <c r="N163" s="119" t="str">
        <f>IF(Tab.o1[[#This Row],[a1]]=1,((Tab.o1[[#This Row],[MedMod]]-AVERAGE(Tab.o1[MedMod]))/_xlfn.STDEV.P(Tab.o1[MedMod])*H$1205)+G$1205,"")</f>
        <v/>
      </c>
      <c r="O163" s="141" t="str">
        <f>IF(Tab.o1[[#This Row],[a1]]=1,Tab.o1[[#This Row],[Zb]]*_xlfn.STDEV.P(Tab.o1[MedMod])+AVERAGE(Tab.o1[MedMod]),"")</f>
        <v/>
      </c>
      <c r="P163" s="117" t="str">
        <f ca="1">IF(Tab.o1[[#This Row],[B]]=0,AVERAGE(OFFSET(Tab.o1[[#This Row],[B]],1,0,L$3,1)),Tab.o1[[#This Row],[B]])</f>
        <v/>
      </c>
      <c r="Q163" s="121" t="str">
        <f>IF(Tab.o1[[#This Row],[a1]]=1,NORMSDIST(Tab.o1[[#This Row],[Zb]]),"")</f>
        <v/>
      </c>
      <c r="R163" s="122" t="str">
        <f>IF(Tab.o1[[#This Row],[a1]]=1,((Tab.o1[[#This Row],[MedMod]]-AVERAGE(Tab.o1[MedMod]))/_xlfn.STDEV.P(Tab.o1[MedMod])*H$1203)+G$1203,"")</f>
        <v/>
      </c>
      <c r="S163" s="122" t="str">
        <f>IF(Tab.o1[[#This Row],[a1]]=1,((Tab.o1[[#This Row],[MedMod]]-AVERAGE(Tab.o1[MedMod]))/_xlfn.STDEV.P(Tab.o1[MedMod])*H$1204)+G$1204,"")</f>
        <v/>
      </c>
      <c r="T163" s="123" t="str">
        <f>IF(Tab.o1[[#This Row],[a1]]=1,Tab.o1[[#This Row],[Z-]]*_xlfn.STDEV.P(Tab.o1[B])+AVERAGE(Tab.o1[B]),"")</f>
        <v/>
      </c>
      <c r="U163" s="123" t="str">
        <f>IF(Tab.o1[[#This Row],[a1]]=1,Tab.o1[[#This Row],[z+]]*_xlfn.STDEV.P(Tab.o1[B])+AVERAGE(Tab.o1[B]),"")</f>
        <v/>
      </c>
      <c r="V163" s="124" t="str">
        <f>IF(Tab.o1[[#This Row],[a1]]=1,ABS((ABS(Tab.o1[[#This Row],[Red]]-Tab.o1[[#This Row],[Blue]]))),"")</f>
        <v/>
      </c>
      <c r="W163" s="125" t="str">
        <f>IF(Tab.o1[[#This Row],[a1]]=1,IF(W$3=0,1,Tab.o1[[#This Row],[Amp.]]*1/_xlfn.MINIFS(Tab.o1[Amp.],Tab.o1[Amp.],"&lt;&gt;0")),"")</f>
        <v/>
      </c>
      <c r="X163" s="126" t="str">
        <f>IF(Tab.o1[[#This Row],[a1]]=1,IF(ISNUMBER(Tab.o1[[#This Row],[i.]]),NORMDIST(Tab.o1[[#This Row],[Za]],0,1,FALSE)*Tab.o1[[#This Row],[i.]],AP$3),"")</f>
        <v/>
      </c>
      <c r="Y163" s="126" t="str">
        <f>IF(Tab.o1[[#This Row],[a1]]=1,0.01+0.94*Tab.o1[[#This Row],[PDF]]/MAX(Tab.o1[PDF]),"")</f>
        <v/>
      </c>
      <c r="Z163" s="126" t="str">
        <f>IF(Tab.o1[[#This Row],[a1]]=1,0.01+0.94*Tab.o1[[#This Row],[W1_PDF]]/MAX(Tab.o1[W1_PDF]),"")</f>
        <v/>
      </c>
      <c r="AA163" s="118" t="str">
        <f>IF(Tab.o1[[#This Row],[a1]]=1,ABS([1]!T.in.A[[#This Row],[oo6]]),"")</f>
        <v/>
      </c>
      <c r="AB163" s="127" t="str">
        <f>IF(Tab.o1[[#This Row],[a1]]=1,IF(AE$3=0,"",IF(AB$3=0,ABS([1]!T.in.A[[#This Row],[oo9]]),ABS(Tab.o1[[#This Row],[DIF_Target.]]*Tab.o1[[#This Row],[W1_PDF]]))),"")</f>
        <v/>
      </c>
      <c r="AC163" s="127" t="str">
        <f>IF(G$1=1,"",IF(Tab.o1[[#This Row],[a1]]=1,Tab.o1[[#This Row],[Wr]]^2,""))</f>
        <v/>
      </c>
      <c r="AD163" s="118" t="str">
        <f>IF(Tab.o1[[#This Row],[a1]]=1,IF(AE$3=0,"",Tab.o1[[#This Row],[Wr2]]/SUM(Tab.o1[Wr2])),"")</f>
        <v/>
      </c>
      <c r="AE163" s="128" t="str">
        <f>IF(Tab.o1[[#This Row],[a1]]=1,[1]!T.in.A[[#This Row],[oo10]],"")</f>
        <v/>
      </c>
      <c r="AF163" s="118" t="str">
        <f>IF(Tab.o1[[#This Row],[a1]]=1,ABS(Tab.o1[[#This Row],[DIF_Target.]]*Tab.o1[[#This Row],[PDF2]]*Tab.o1[[#This Row],[IN]]),"")</f>
        <v/>
      </c>
      <c r="AG163" s="129" t="str">
        <f>IF(Tab.o1[[#This Row],[a1]]=1,Tab.o1[[#This Row],[rW]]^2,"")</f>
        <v/>
      </c>
      <c r="AH163" s="130" t="str">
        <f>IF(Tab.o1[[#This Row],[a1]]=1,IF(AH$3=0,Tab.o1[[#This Row],[rW2]],0.01+0.94*Tab.o1[[#This Row],[rW2]]/SUM(Tab.o1[rW2])),"")</f>
        <v/>
      </c>
      <c r="AI163" s="128" t="str">
        <f>IF(Tab.o1[[#This Row],[a1]]=1,1/Tab.o1[[#This Row],[PDF]],"")</f>
        <v/>
      </c>
      <c r="AJ163" s="131" t="str">
        <f>IF(Tab.o1[[#This Row],[a1]]=1,[1]!T_AA[[#This Row],[IN'']]*[1]!T_AA[[#This Row],[Qde'']],"")</f>
        <v/>
      </c>
      <c r="AK163" s="132" t="str">
        <f>IF(Tab.o1[[#This Row],[a1]]=1,IF(AK$1=1,Tab.o1[[#This Row],[MED]]+Tab.o1[[#This Row],[MOD]]-Tab.o1[[#This Row],[MED]],""),"")</f>
        <v/>
      </c>
      <c r="AL163" s="133" t="str">
        <f>IF(Tab.o1[[#This Row],[a1]]=1,[1]!T.in.A[[#This Row],[oo16]],"")</f>
        <v/>
      </c>
      <c r="AM163" s="133" t="str">
        <f>IF(Tab.o1[[#This Row],[a1]]=1,IF(AM$3=1,[1]!T.in.A[[#This Row],[Σo16]],""),"")</f>
        <v/>
      </c>
      <c r="AN163" s="126" t="str">
        <f>IF(Tab.o1[[#This Row],[a1]]=1,[1]!T.in.A[[#This Row],[Σp5]],"")</f>
        <v/>
      </c>
      <c r="AO163" s="126" t="str">
        <f>IF(Tab.o1[[#This Row],[a1]]=1,IF(AO$3=1,[1]!T.in.A[[#This Row],[Σp5]],""),"")</f>
        <v/>
      </c>
      <c r="AP163" s="110" t="str">
        <f>IF(Tab.o1[[#This Row],[a1]]=1,IF(ISNUMBER(Tab.o1[[#This Row],[i.]]),NORMDIST(Tab.o1[[#This Row],[Za]],0,1,FALSE)*Tab.o1[[#This Row],[i.]],0),"")</f>
        <v/>
      </c>
      <c r="AQ163" s="125" t="str">
        <f>IF(Tab.o1[[#This Row],[a1]]=1,ABS(Tab.o1[[#This Row],[MOD]]-AVERAGE(Tab.o1[MOD])),"")</f>
        <v/>
      </c>
      <c r="AR163" s="134" t="str">
        <f>IF(Tab.o1[[#This Row],[a1]]=1,Tab.o1[[#This Row],[OBS]]/SUM(Tab.o1[OBS]),"")</f>
        <v/>
      </c>
      <c r="AS163" s="135" t="str">
        <f>IF(ISNUMBER(Tab.o1[[#This Row],[a1]]),ROW()-4,"")</f>
        <v/>
      </c>
      <c r="AT163" s="136" t="str">
        <f>Tab.o1[[#This Row],[MOD]]</f>
        <v/>
      </c>
      <c r="AU163" s="137" t="str">
        <f t="shared" si="9"/>
        <v/>
      </c>
      <c r="AV163" s="138" t="str">
        <f t="shared" si="10"/>
        <v/>
      </c>
      <c r="AW163" s="138" t="str">
        <f t="shared" si="11"/>
        <v/>
      </c>
      <c r="AX163" s="139" t="str">
        <f>[1]!T.in.A[[#This Row],[ID_T_manu]]</f>
        <v/>
      </c>
      <c r="AY163" s="140" t="str">
        <f>IF(ISNUMBER(Tab.o1[[#This Row],[a1]]),IF(AND(Tab.o1[[#This Row],[a1]]=1,Tab.o1[[#This Row],[b1]]&lt;=AY$4),#REF!,AY162),"")</f>
        <v/>
      </c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</row>
    <row r="164" spans="1:79" ht="14.25" hidden="1" customHeight="1">
      <c r="A164" s="109">
        <v>2.0000000000000003E-6</v>
      </c>
      <c r="B164" s="110">
        <f t="shared" si="8"/>
        <v>164</v>
      </c>
      <c r="C164" s="111" t="str">
        <f>IF(C$1=[1]!T.in.A[[#This Row],[oo2]],1,"")</f>
        <v/>
      </c>
      <c r="D164" s="112" t="str">
        <f>IF(Tab.o1[[#This Row],[a1]]=1,IF(SUM(C164:C165)=0,0,IF(SUM(C163:C164)=1,1,IF(SUM(C163:C165)&gt;1,D163+1,0))),"")</f>
        <v/>
      </c>
      <c r="E164" s="113" t="str">
        <f>IF(Tab.o1[[#This Row],[a1]]=1,[1]!T.in.A[[#This Row],[oo1]],"")</f>
        <v/>
      </c>
      <c r="F164" s="113" t="str">
        <f>IF(Tab.o1[[#This Row],[a1]]=1,[1]!T.in.A[[#This Row],[pp1]],"")</f>
        <v/>
      </c>
      <c r="G164" s="114" t="str">
        <f>IF(Tab.o1[[#This Row],[a1]]=1,G$2+IF(G$1=1,0,Tab.o1[[#This Row],[.x1]])+[1]!T.in.A[[#This Row],[oo3]],"")</f>
        <v/>
      </c>
      <c r="H164" s="115" t="str">
        <f>IF(Tab.o1[[#This Row],[a1]]=1,IF(H$2=0,0,IF(G$1=1,0,Tab.o1[[#This Row],[.x1]])+[1]!T.in.A[[#This Row],[oo4]]),"")</f>
        <v/>
      </c>
      <c r="I164" s="116" t="str">
        <f>IF(Tab.o1[[#This Row],[a1]]=1,IF(J$2=0,Tab.o1[[#This Row],[MED]],Tab.o1[[#This Row],[MOD]]),"")</f>
        <v/>
      </c>
      <c r="J164" s="116" t="str">
        <f>IF(Tab.o1[[#This Row],[a1]]=1,((Tab.o1[[#This Row],[DIF_Target.]]-AVERAGE(Tab.o1[DIF_Target.]))/_xlfn.STDEV.P(Tab.o1[DIF_Target.])),"")</f>
        <v/>
      </c>
      <c r="K164" s="117" t="str">
        <f>IF(Tab.o1[[#This Row],[a1]]=1,IF(J$2=0,Tab.o1[[#This Row],[MOD]]-Tab.o1[[#This Row],[B]],IF(J$2=1,0,-Tab.o1[[#This Row],[MED]])+Tab.o1[[#This Row],[B]]),"")</f>
        <v/>
      </c>
      <c r="L164" s="117" t="str">
        <f ca="1">IF(Tab.o1[[#This Row],[DIF_Target]]=0,IF(L$2=0,Tab.o1[[#This Row],[DIF_Target]],AVERAGE(OFFSET(Tab.o1[[#This Row],[DIF_Target]],1,0,L$3,1)))/3,Tab.o1[[#This Row],[DIF_Target]])</f>
        <v/>
      </c>
      <c r="M164" s="118" t="str">
        <f>IF(Tab.o1[[#This Row],[a1]]=1,NORMSDIST(Tab.o1[[#This Row],[Za]]),"")</f>
        <v/>
      </c>
      <c r="N164" s="119" t="str">
        <f>IF(Tab.o1[[#This Row],[a1]]=1,((Tab.o1[[#This Row],[MedMod]]-AVERAGE(Tab.o1[MedMod]))/_xlfn.STDEV.P(Tab.o1[MedMod])*H$1205)+G$1205,"")</f>
        <v/>
      </c>
      <c r="O164" s="141" t="str">
        <f>IF(Tab.o1[[#This Row],[a1]]=1,Tab.o1[[#This Row],[Zb]]*_xlfn.STDEV.P(Tab.o1[MedMod])+AVERAGE(Tab.o1[MedMod]),"")</f>
        <v/>
      </c>
      <c r="P164" s="117" t="str">
        <f ca="1">IF(Tab.o1[[#This Row],[B]]=0,AVERAGE(OFFSET(Tab.o1[[#This Row],[B]],1,0,L$3,1)),Tab.o1[[#This Row],[B]])</f>
        <v/>
      </c>
      <c r="Q164" s="121" t="str">
        <f>IF(Tab.o1[[#This Row],[a1]]=1,NORMSDIST(Tab.o1[[#This Row],[Zb]]),"")</f>
        <v/>
      </c>
      <c r="R164" s="122" t="str">
        <f>IF(Tab.o1[[#This Row],[a1]]=1,((Tab.o1[[#This Row],[MedMod]]-AVERAGE(Tab.o1[MedMod]))/_xlfn.STDEV.P(Tab.o1[MedMod])*H$1203)+G$1203,"")</f>
        <v/>
      </c>
      <c r="S164" s="122" t="str">
        <f>IF(Tab.o1[[#This Row],[a1]]=1,((Tab.o1[[#This Row],[MedMod]]-AVERAGE(Tab.o1[MedMod]))/_xlfn.STDEV.P(Tab.o1[MedMod])*H$1204)+G$1204,"")</f>
        <v/>
      </c>
      <c r="T164" s="123" t="str">
        <f>IF(Tab.o1[[#This Row],[a1]]=1,Tab.o1[[#This Row],[Z-]]*_xlfn.STDEV.P(Tab.o1[B])+AVERAGE(Tab.o1[B]),"")</f>
        <v/>
      </c>
      <c r="U164" s="123" t="str">
        <f>IF(Tab.o1[[#This Row],[a1]]=1,Tab.o1[[#This Row],[z+]]*_xlfn.STDEV.P(Tab.o1[B])+AVERAGE(Tab.o1[B]),"")</f>
        <v/>
      </c>
      <c r="V164" s="124" t="str">
        <f>IF(Tab.o1[[#This Row],[a1]]=1,ABS((ABS(Tab.o1[[#This Row],[Red]]-Tab.o1[[#This Row],[Blue]]))),"")</f>
        <v/>
      </c>
      <c r="W164" s="125" t="str">
        <f>IF(Tab.o1[[#This Row],[a1]]=1,IF(W$3=0,1,Tab.o1[[#This Row],[Amp.]]*1/_xlfn.MINIFS(Tab.o1[Amp.],Tab.o1[Amp.],"&lt;&gt;0")),"")</f>
        <v/>
      </c>
      <c r="X164" s="126" t="str">
        <f>IF(Tab.o1[[#This Row],[a1]]=1,IF(ISNUMBER(Tab.o1[[#This Row],[i.]]),NORMDIST(Tab.o1[[#This Row],[Za]],0,1,FALSE)*Tab.o1[[#This Row],[i.]],AP$3),"")</f>
        <v/>
      </c>
      <c r="Y164" s="126" t="str">
        <f>IF(Tab.o1[[#This Row],[a1]]=1,0.01+0.94*Tab.o1[[#This Row],[PDF]]/MAX(Tab.o1[PDF]),"")</f>
        <v/>
      </c>
      <c r="Z164" s="126" t="str">
        <f>IF(Tab.o1[[#This Row],[a1]]=1,0.01+0.94*Tab.o1[[#This Row],[W1_PDF]]/MAX(Tab.o1[W1_PDF]),"")</f>
        <v/>
      </c>
      <c r="AA164" s="118" t="str">
        <f>IF(Tab.o1[[#This Row],[a1]]=1,ABS([1]!T.in.A[[#This Row],[oo6]]),"")</f>
        <v/>
      </c>
      <c r="AB164" s="127" t="str">
        <f>IF(Tab.o1[[#This Row],[a1]]=1,IF(AE$3=0,"",IF(AB$3=0,ABS([1]!T.in.A[[#This Row],[oo9]]),ABS(Tab.o1[[#This Row],[DIF_Target.]]*Tab.o1[[#This Row],[W1_PDF]]))),"")</f>
        <v/>
      </c>
      <c r="AC164" s="127" t="str">
        <f>IF(G$1=1,"",IF(Tab.o1[[#This Row],[a1]]=1,Tab.o1[[#This Row],[Wr]]^2,""))</f>
        <v/>
      </c>
      <c r="AD164" s="118" t="str">
        <f>IF(Tab.o1[[#This Row],[a1]]=1,IF(AE$3=0,"",Tab.o1[[#This Row],[Wr2]]/SUM(Tab.o1[Wr2])),"")</f>
        <v/>
      </c>
      <c r="AE164" s="128" t="str">
        <f>IF(Tab.o1[[#This Row],[a1]]=1,[1]!T.in.A[[#This Row],[oo10]],"")</f>
        <v/>
      </c>
      <c r="AF164" s="118" t="str">
        <f>IF(Tab.o1[[#This Row],[a1]]=1,ABS(Tab.o1[[#This Row],[DIF_Target.]]*Tab.o1[[#This Row],[PDF2]]*Tab.o1[[#This Row],[IN]]),"")</f>
        <v/>
      </c>
      <c r="AG164" s="129" t="str">
        <f>IF(Tab.o1[[#This Row],[a1]]=1,Tab.o1[[#This Row],[rW]]^2,"")</f>
        <v/>
      </c>
      <c r="AH164" s="130" t="str">
        <f>IF(Tab.o1[[#This Row],[a1]]=1,IF(AH$3=0,Tab.o1[[#This Row],[rW2]],0.01+0.94*Tab.o1[[#This Row],[rW2]]/SUM(Tab.o1[rW2])),"")</f>
        <v/>
      </c>
      <c r="AI164" s="128" t="str">
        <f>IF(Tab.o1[[#This Row],[a1]]=1,1/Tab.o1[[#This Row],[PDF]],"")</f>
        <v/>
      </c>
      <c r="AJ164" s="131" t="str">
        <f>IF(Tab.o1[[#This Row],[a1]]=1,[1]!T_AA[[#This Row],[IN'']]*[1]!T_AA[[#This Row],[Qde'']],"")</f>
        <v/>
      </c>
      <c r="AK164" s="132" t="str">
        <f>IF(Tab.o1[[#This Row],[a1]]=1,IF(AK$1=1,Tab.o1[[#This Row],[MED]]+Tab.o1[[#This Row],[MOD]]-Tab.o1[[#This Row],[MED]],""),"")</f>
        <v/>
      </c>
      <c r="AL164" s="133" t="str">
        <f>IF(Tab.o1[[#This Row],[a1]]=1,[1]!T.in.A[[#This Row],[oo16]],"")</f>
        <v/>
      </c>
      <c r="AM164" s="133" t="str">
        <f>IF(Tab.o1[[#This Row],[a1]]=1,IF(AM$3=1,[1]!T.in.A[[#This Row],[Σo16]],""),"")</f>
        <v/>
      </c>
      <c r="AN164" s="126" t="str">
        <f>IF(Tab.o1[[#This Row],[a1]]=1,[1]!T.in.A[[#This Row],[Σp5]],"")</f>
        <v/>
      </c>
      <c r="AO164" s="126" t="str">
        <f>IF(Tab.o1[[#This Row],[a1]]=1,IF(AO$3=1,[1]!T.in.A[[#This Row],[Σp5]],""),"")</f>
        <v/>
      </c>
      <c r="AP164" s="110" t="str">
        <f>IF(Tab.o1[[#This Row],[a1]]=1,IF(ISNUMBER(Tab.o1[[#This Row],[i.]]),NORMDIST(Tab.o1[[#This Row],[Za]],0,1,FALSE)*Tab.o1[[#This Row],[i.]],0),"")</f>
        <v/>
      </c>
      <c r="AQ164" s="125" t="str">
        <f>IF(Tab.o1[[#This Row],[a1]]=1,ABS(Tab.o1[[#This Row],[MOD]]-AVERAGE(Tab.o1[MOD])),"")</f>
        <v/>
      </c>
      <c r="AR164" s="134" t="str">
        <f>IF(Tab.o1[[#This Row],[a1]]=1,Tab.o1[[#This Row],[OBS]]/SUM(Tab.o1[OBS]),"")</f>
        <v/>
      </c>
      <c r="AS164" s="135" t="str">
        <f>IF(ISNUMBER(Tab.o1[[#This Row],[a1]]),ROW()-4,"")</f>
        <v/>
      </c>
      <c r="AT164" s="136" t="str">
        <f>Tab.o1[[#This Row],[MOD]]</f>
        <v/>
      </c>
      <c r="AU164" s="137" t="str">
        <f t="shared" si="9"/>
        <v/>
      </c>
      <c r="AV164" s="138" t="str">
        <f t="shared" si="10"/>
        <v/>
      </c>
      <c r="AW164" s="138" t="str">
        <f t="shared" si="11"/>
        <v/>
      </c>
      <c r="AX164" s="139" t="str">
        <f>[1]!T.in.A[[#This Row],[ID_T_manu]]</f>
        <v/>
      </c>
      <c r="AY164" s="140" t="str">
        <f>IF(ISNUMBER(Tab.o1[[#This Row],[a1]]),IF(AND(Tab.o1[[#This Row],[a1]]=1,Tab.o1[[#This Row],[b1]]&lt;=AY$4),#REF!,AY163),"")</f>
        <v/>
      </c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</row>
    <row r="165" spans="1:79" ht="14.25" hidden="1" customHeight="1">
      <c r="A165" s="109">
        <v>-9.0000000000000002E-6</v>
      </c>
      <c r="B165" s="110">
        <f t="shared" si="8"/>
        <v>165</v>
      </c>
      <c r="C165" s="111" t="str">
        <f>IF(C$1=[1]!T.in.A[[#This Row],[oo2]],1,"")</f>
        <v/>
      </c>
      <c r="D165" s="112" t="str">
        <f>IF(Tab.o1[[#This Row],[a1]]=1,IF(SUM(C165:C166)=0,0,IF(SUM(C164:C165)=1,1,IF(SUM(C164:C166)&gt;1,D164+1,0))),"")</f>
        <v/>
      </c>
      <c r="E165" s="113" t="str">
        <f>IF(Tab.o1[[#This Row],[a1]]=1,[1]!T.in.A[[#This Row],[oo1]],"")</f>
        <v/>
      </c>
      <c r="F165" s="113" t="str">
        <f>IF(Tab.o1[[#This Row],[a1]]=1,[1]!T.in.A[[#This Row],[pp1]],"")</f>
        <v/>
      </c>
      <c r="G165" s="114" t="str">
        <f>IF(Tab.o1[[#This Row],[a1]]=1,G$2+IF(G$1=1,0,Tab.o1[[#This Row],[.x1]])+[1]!T.in.A[[#This Row],[oo3]],"")</f>
        <v/>
      </c>
      <c r="H165" s="115" t="str">
        <f>IF(Tab.o1[[#This Row],[a1]]=1,IF(H$2=0,0,IF(G$1=1,0,Tab.o1[[#This Row],[.x1]])+[1]!T.in.A[[#This Row],[oo4]]),"")</f>
        <v/>
      </c>
      <c r="I165" s="116" t="str">
        <f>IF(Tab.o1[[#This Row],[a1]]=1,IF(J$2=0,Tab.o1[[#This Row],[MED]],Tab.o1[[#This Row],[MOD]]),"")</f>
        <v/>
      </c>
      <c r="J165" s="116" t="str">
        <f>IF(Tab.o1[[#This Row],[a1]]=1,((Tab.o1[[#This Row],[DIF_Target.]]-AVERAGE(Tab.o1[DIF_Target.]))/_xlfn.STDEV.P(Tab.o1[DIF_Target.])),"")</f>
        <v/>
      </c>
      <c r="K165" s="117" t="str">
        <f>IF(Tab.o1[[#This Row],[a1]]=1,IF(J$2=0,Tab.o1[[#This Row],[MOD]]-Tab.o1[[#This Row],[B]],IF(J$2=1,0,-Tab.o1[[#This Row],[MED]])+Tab.o1[[#This Row],[B]]),"")</f>
        <v/>
      </c>
      <c r="L165" s="117" t="str">
        <f ca="1">IF(Tab.o1[[#This Row],[DIF_Target]]=0,IF(L$2=0,Tab.o1[[#This Row],[DIF_Target]],AVERAGE(OFFSET(Tab.o1[[#This Row],[DIF_Target]],1,0,L$3,1)))/3,Tab.o1[[#This Row],[DIF_Target]])</f>
        <v/>
      </c>
      <c r="M165" s="118" t="str">
        <f>IF(Tab.o1[[#This Row],[a1]]=1,NORMSDIST(Tab.o1[[#This Row],[Za]]),"")</f>
        <v/>
      </c>
      <c r="N165" s="119" t="str">
        <f>IF(Tab.o1[[#This Row],[a1]]=1,((Tab.o1[[#This Row],[MedMod]]-AVERAGE(Tab.o1[MedMod]))/_xlfn.STDEV.P(Tab.o1[MedMod])*H$1205)+G$1205,"")</f>
        <v/>
      </c>
      <c r="O165" s="141" t="str">
        <f>IF(Tab.o1[[#This Row],[a1]]=1,Tab.o1[[#This Row],[Zb]]*_xlfn.STDEV.P(Tab.o1[MedMod])+AVERAGE(Tab.o1[MedMod]),"")</f>
        <v/>
      </c>
      <c r="P165" s="117" t="str">
        <f ca="1">IF(Tab.o1[[#This Row],[B]]=0,AVERAGE(OFFSET(Tab.o1[[#This Row],[B]],1,0,L$3,1)),Tab.o1[[#This Row],[B]])</f>
        <v/>
      </c>
      <c r="Q165" s="121" t="str">
        <f>IF(Tab.o1[[#This Row],[a1]]=1,NORMSDIST(Tab.o1[[#This Row],[Zb]]),"")</f>
        <v/>
      </c>
      <c r="R165" s="122" t="str">
        <f>IF(Tab.o1[[#This Row],[a1]]=1,((Tab.o1[[#This Row],[MedMod]]-AVERAGE(Tab.o1[MedMod]))/_xlfn.STDEV.P(Tab.o1[MedMod])*H$1203)+G$1203,"")</f>
        <v/>
      </c>
      <c r="S165" s="122" t="str">
        <f>IF(Tab.o1[[#This Row],[a1]]=1,((Tab.o1[[#This Row],[MedMod]]-AVERAGE(Tab.o1[MedMod]))/_xlfn.STDEV.P(Tab.o1[MedMod])*H$1204)+G$1204,"")</f>
        <v/>
      </c>
      <c r="T165" s="123" t="str">
        <f>IF(Tab.o1[[#This Row],[a1]]=1,Tab.o1[[#This Row],[Z-]]*_xlfn.STDEV.P(Tab.o1[B])+AVERAGE(Tab.o1[B]),"")</f>
        <v/>
      </c>
      <c r="U165" s="123" t="str">
        <f>IF(Tab.o1[[#This Row],[a1]]=1,Tab.o1[[#This Row],[z+]]*_xlfn.STDEV.P(Tab.o1[B])+AVERAGE(Tab.o1[B]),"")</f>
        <v/>
      </c>
      <c r="V165" s="124" t="str">
        <f>IF(Tab.o1[[#This Row],[a1]]=1,ABS((ABS(Tab.o1[[#This Row],[Red]]-Tab.o1[[#This Row],[Blue]]))),"")</f>
        <v/>
      </c>
      <c r="W165" s="125" t="str">
        <f>IF(Tab.o1[[#This Row],[a1]]=1,IF(W$3=0,1,Tab.o1[[#This Row],[Amp.]]*1/_xlfn.MINIFS(Tab.o1[Amp.],Tab.o1[Amp.],"&lt;&gt;0")),"")</f>
        <v/>
      </c>
      <c r="X165" s="126" t="str">
        <f>IF(Tab.o1[[#This Row],[a1]]=1,IF(ISNUMBER(Tab.o1[[#This Row],[i.]]),NORMDIST(Tab.o1[[#This Row],[Za]],0,1,FALSE)*Tab.o1[[#This Row],[i.]],AP$3),"")</f>
        <v/>
      </c>
      <c r="Y165" s="126" t="str">
        <f>IF(Tab.o1[[#This Row],[a1]]=1,0.01+0.94*Tab.o1[[#This Row],[PDF]]/MAX(Tab.o1[PDF]),"")</f>
        <v/>
      </c>
      <c r="Z165" s="126" t="str">
        <f>IF(Tab.o1[[#This Row],[a1]]=1,0.01+0.94*Tab.o1[[#This Row],[W1_PDF]]/MAX(Tab.o1[W1_PDF]),"")</f>
        <v/>
      </c>
      <c r="AA165" s="118" t="str">
        <f>IF(Tab.o1[[#This Row],[a1]]=1,ABS([1]!T.in.A[[#This Row],[oo6]]),"")</f>
        <v/>
      </c>
      <c r="AB165" s="127" t="str">
        <f>IF(Tab.o1[[#This Row],[a1]]=1,IF(AE$3=0,"",IF(AB$3=0,ABS([1]!T.in.A[[#This Row],[oo9]]),ABS(Tab.o1[[#This Row],[DIF_Target.]]*Tab.o1[[#This Row],[W1_PDF]]))),"")</f>
        <v/>
      </c>
      <c r="AC165" s="127" t="str">
        <f>IF(G$1=1,"",IF(Tab.o1[[#This Row],[a1]]=1,Tab.o1[[#This Row],[Wr]]^2,""))</f>
        <v/>
      </c>
      <c r="AD165" s="118" t="str">
        <f>IF(Tab.o1[[#This Row],[a1]]=1,IF(AE$3=0,"",Tab.o1[[#This Row],[Wr2]]/SUM(Tab.o1[Wr2])),"")</f>
        <v/>
      </c>
      <c r="AE165" s="128" t="str">
        <f>IF(Tab.o1[[#This Row],[a1]]=1,[1]!T.in.A[[#This Row],[oo10]],"")</f>
        <v/>
      </c>
      <c r="AF165" s="118" t="str">
        <f>IF(Tab.o1[[#This Row],[a1]]=1,ABS(Tab.o1[[#This Row],[DIF_Target.]]*Tab.o1[[#This Row],[PDF2]]*Tab.o1[[#This Row],[IN]]),"")</f>
        <v/>
      </c>
      <c r="AG165" s="129" t="str">
        <f>IF(Tab.o1[[#This Row],[a1]]=1,Tab.o1[[#This Row],[rW]]^2,"")</f>
        <v/>
      </c>
      <c r="AH165" s="130" t="str">
        <f>IF(Tab.o1[[#This Row],[a1]]=1,IF(AH$3=0,Tab.o1[[#This Row],[rW2]],0.01+0.94*Tab.o1[[#This Row],[rW2]]/SUM(Tab.o1[rW2])),"")</f>
        <v/>
      </c>
      <c r="AI165" s="128" t="str">
        <f>IF(Tab.o1[[#This Row],[a1]]=1,1/Tab.o1[[#This Row],[PDF]],"")</f>
        <v/>
      </c>
      <c r="AJ165" s="131" t="str">
        <f>IF(Tab.o1[[#This Row],[a1]]=1,[1]!T_AA[[#This Row],[IN'']]*[1]!T_AA[[#This Row],[Qde'']],"")</f>
        <v/>
      </c>
      <c r="AK165" s="132" t="str">
        <f>IF(Tab.o1[[#This Row],[a1]]=1,IF(AK$1=1,Tab.o1[[#This Row],[MED]]+Tab.o1[[#This Row],[MOD]]-Tab.o1[[#This Row],[MED]],""),"")</f>
        <v/>
      </c>
      <c r="AL165" s="133" t="str">
        <f>IF(Tab.o1[[#This Row],[a1]]=1,[1]!T.in.A[[#This Row],[oo16]],"")</f>
        <v/>
      </c>
      <c r="AM165" s="133" t="str">
        <f>IF(Tab.o1[[#This Row],[a1]]=1,IF(AM$3=1,[1]!T.in.A[[#This Row],[Σo16]],""),"")</f>
        <v/>
      </c>
      <c r="AN165" s="126" t="str">
        <f>IF(Tab.o1[[#This Row],[a1]]=1,[1]!T.in.A[[#This Row],[Σp5]],"")</f>
        <v/>
      </c>
      <c r="AO165" s="126" t="str">
        <f>IF(Tab.o1[[#This Row],[a1]]=1,IF(AO$3=1,[1]!T.in.A[[#This Row],[Σp5]],""),"")</f>
        <v/>
      </c>
      <c r="AP165" s="110" t="str">
        <f>IF(Tab.o1[[#This Row],[a1]]=1,IF(ISNUMBER(Tab.o1[[#This Row],[i.]]),NORMDIST(Tab.o1[[#This Row],[Za]],0,1,FALSE)*Tab.o1[[#This Row],[i.]],0),"")</f>
        <v/>
      </c>
      <c r="AQ165" s="125" t="str">
        <f>IF(Tab.o1[[#This Row],[a1]]=1,ABS(Tab.o1[[#This Row],[MOD]]-AVERAGE(Tab.o1[MOD])),"")</f>
        <v/>
      </c>
      <c r="AR165" s="134" t="str">
        <f>IF(Tab.o1[[#This Row],[a1]]=1,Tab.o1[[#This Row],[OBS]]/SUM(Tab.o1[OBS]),"")</f>
        <v/>
      </c>
      <c r="AS165" s="135" t="str">
        <f>IF(ISNUMBER(Tab.o1[[#This Row],[a1]]),ROW()-4,"")</f>
        <v/>
      </c>
      <c r="AT165" s="136" t="str">
        <f>Tab.o1[[#This Row],[MOD]]</f>
        <v/>
      </c>
      <c r="AU165" s="137" t="str">
        <f t="shared" si="9"/>
        <v/>
      </c>
      <c r="AV165" s="138" t="str">
        <f t="shared" si="10"/>
        <v/>
      </c>
      <c r="AW165" s="138" t="str">
        <f t="shared" si="11"/>
        <v/>
      </c>
      <c r="AX165" s="139" t="str">
        <f>[1]!T.in.A[[#This Row],[ID_T_manu]]</f>
        <v/>
      </c>
      <c r="AY165" s="140" t="str">
        <f>IF(ISNUMBER(Tab.o1[[#This Row],[a1]]),IF(AND(Tab.o1[[#This Row],[a1]]=1,Tab.o1[[#This Row],[b1]]&lt;=AY$4),#REF!,AY164),"")</f>
        <v/>
      </c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</row>
    <row r="166" spans="1:79" ht="14.25" hidden="1" customHeight="1">
      <c r="A166" s="109">
        <v>2.0000000000000003E-6</v>
      </c>
      <c r="B166" s="110">
        <f t="shared" si="8"/>
        <v>166</v>
      </c>
      <c r="C166" s="111" t="str">
        <f>IF(C$1=[1]!T.in.A[[#This Row],[oo2]],1,"")</f>
        <v/>
      </c>
      <c r="D166" s="112" t="str">
        <f>IF(Tab.o1[[#This Row],[a1]]=1,IF(SUM(C166:C167)=0,0,IF(SUM(C165:C166)=1,1,IF(SUM(C165:C167)&gt;1,D165+1,0))),"")</f>
        <v/>
      </c>
      <c r="E166" s="113" t="str">
        <f>IF(Tab.o1[[#This Row],[a1]]=1,[1]!T.in.A[[#This Row],[oo1]],"")</f>
        <v/>
      </c>
      <c r="F166" s="113" t="str">
        <f>IF(Tab.o1[[#This Row],[a1]]=1,[1]!T.in.A[[#This Row],[pp1]],"")</f>
        <v/>
      </c>
      <c r="G166" s="114" t="str">
        <f>IF(Tab.o1[[#This Row],[a1]]=1,G$2+IF(G$1=1,0,Tab.o1[[#This Row],[.x1]])+[1]!T.in.A[[#This Row],[oo3]],"")</f>
        <v/>
      </c>
      <c r="H166" s="115" t="str">
        <f>IF(Tab.o1[[#This Row],[a1]]=1,IF(H$2=0,0,IF(G$1=1,0,Tab.o1[[#This Row],[.x1]])+[1]!T.in.A[[#This Row],[oo4]]),"")</f>
        <v/>
      </c>
      <c r="I166" s="116" t="str">
        <f>IF(Tab.o1[[#This Row],[a1]]=1,IF(J$2=0,Tab.o1[[#This Row],[MED]],Tab.o1[[#This Row],[MOD]]),"")</f>
        <v/>
      </c>
      <c r="J166" s="116" t="str">
        <f>IF(Tab.o1[[#This Row],[a1]]=1,((Tab.o1[[#This Row],[DIF_Target.]]-AVERAGE(Tab.o1[DIF_Target.]))/_xlfn.STDEV.P(Tab.o1[DIF_Target.])),"")</f>
        <v/>
      </c>
      <c r="K166" s="117" t="str">
        <f>IF(Tab.o1[[#This Row],[a1]]=1,IF(J$2=0,Tab.o1[[#This Row],[MOD]]-Tab.o1[[#This Row],[B]],IF(J$2=1,0,-Tab.o1[[#This Row],[MED]])+Tab.o1[[#This Row],[B]]),"")</f>
        <v/>
      </c>
      <c r="L166" s="117" t="str">
        <f ca="1">IF(Tab.o1[[#This Row],[DIF_Target]]=0,IF(L$2=0,Tab.o1[[#This Row],[DIF_Target]],AVERAGE(OFFSET(Tab.o1[[#This Row],[DIF_Target]],1,0,L$3,1)))/3,Tab.o1[[#This Row],[DIF_Target]])</f>
        <v/>
      </c>
      <c r="M166" s="118" t="str">
        <f>IF(Tab.o1[[#This Row],[a1]]=1,NORMSDIST(Tab.o1[[#This Row],[Za]]),"")</f>
        <v/>
      </c>
      <c r="N166" s="119" t="str">
        <f>IF(Tab.o1[[#This Row],[a1]]=1,((Tab.o1[[#This Row],[MedMod]]-AVERAGE(Tab.o1[MedMod]))/_xlfn.STDEV.P(Tab.o1[MedMod])*H$1205)+G$1205,"")</f>
        <v/>
      </c>
      <c r="O166" s="141" t="str">
        <f>IF(Tab.o1[[#This Row],[a1]]=1,Tab.o1[[#This Row],[Zb]]*_xlfn.STDEV.P(Tab.o1[MedMod])+AVERAGE(Tab.o1[MedMod]),"")</f>
        <v/>
      </c>
      <c r="P166" s="117" t="str">
        <f ca="1">IF(Tab.o1[[#This Row],[B]]=0,AVERAGE(OFFSET(Tab.o1[[#This Row],[B]],1,0,L$3,1)),Tab.o1[[#This Row],[B]])</f>
        <v/>
      </c>
      <c r="Q166" s="121" t="str">
        <f>IF(Tab.o1[[#This Row],[a1]]=1,NORMSDIST(Tab.o1[[#This Row],[Zb]]),"")</f>
        <v/>
      </c>
      <c r="R166" s="122" t="str">
        <f>IF(Tab.o1[[#This Row],[a1]]=1,((Tab.o1[[#This Row],[MedMod]]-AVERAGE(Tab.o1[MedMod]))/_xlfn.STDEV.P(Tab.o1[MedMod])*H$1203)+G$1203,"")</f>
        <v/>
      </c>
      <c r="S166" s="122" t="str">
        <f>IF(Tab.o1[[#This Row],[a1]]=1,((Tab.o1[[#This Row],[MedMod]]-AVERAGE(Tab.o1[MedMod]))/_xlfn.STDEV.P(Tab.o1[MedMod])*H$1204)+G$1204,"")</f>
        <v/>
      </c>
      <c r="T166" s="123" t="str">
        <f>IF(Tab.o1[[#This Row],[a1]]=1,Tab.o1[[#This Row],[Z-]]*_xlfn.STDEV.P(Tab.o1[B])+AVERAGE(Tab.o1[B]),"")</f>
        <v/>
      </c>
      <c r="U166" s="123" t="str">
        <f>IF(Tab.o1[[#This Row],[a1]]=1,Tab.o1[[#This Row],[z+]]*_xlfn.STDEV.P(Tab.o1[B])+AVERAGE(Tab.o1[B]),"")</f>
        <v/>
      </c>
      <c r="V166" s="124" t="str">
        <f>IF(Tab.o1[[#This Row],[a1]]=1,ABS((ABS(Tab.o1[[#This Row],[Red]]-Tab.o1[[#This Row],[Blue]]))),"")</f>
        <v/>
      </c>
      <c r="W166" s="125" t="str">
        <f>IF(Tab.o1[[#This Row],[a1]]=1,IF(W$3=0,1,Tab.o1[[#This Row],[Amp.]]*1/_xlfn.MINIFS(Tab.o1[Amp.],Tab.o1[Amp.],"&lt;&gt;0")),"")</f>
        <v/>
      </c>
      <c r="X166" s="126" t="str">
        <f>IF(Tab.o1[[#This Row],[a1]]=1,IF(ISNUMBER(Tab.o1[[#This Row],[i.]]),NORMDIST(Tab.o1[[#This Row],[Za]],0,1,FALSE)*Tab.o1[[#This Row],[i.]],AP$3),"")</f>
        <v/>
      </c>
      <c r="Y166" s="126" t="str">
        <f>IF(Tab.o1[[#This Row],[a1]]=1,0.01+0.94*Tab.o1[[#This Row],[PDF]]/MAX(Tab.o1[PDF]),"")</f>
        <v/>
      </c>
      <c r="Z166" s="126" t="str">
        <f>IF(Tab.o1[[#This Row],[a1]]=1,0.01+0.94*Tab.o1[[#This Row],[W1_PDF]]/MAX(Tab.o1[W1_PDF]),"")</f>
        <v/>
      </c>
      <c r="AA166" s="118" t="str">
        <f>IF(Tab.o1[[#This Row],[a1]]=1,ABS([1]!T.in.A[[#This Row],[oo6]]),"")</f>
        <v/>
      </c>
      <c r="AB166" s="127" t="str">
        <f>IF(Tab.o1[[#This Row],[a1]]=1,IF(AE$3=0,"",IF(AB$3=0,ABS([1]!T.in.A[[#This Row],[oo9]]),ABS(Tab.o1[[#This Row],[DIF_Target.]]*Tab.o1[[#This Row],[W1_PDF]]))),"")</f>
        <v/>
      </c>
      <c r="AC166" s="127" t="str">
        <f>IF(G$1=1,"",IF(Tab.o1[[#This Row],[a1]]=1,Tab.o1[[#This Row],[Wr]]^2,""))</f>
        <v/>
      </c>
      <c r="AD166" s="118" t="str">
        <f>IF(Tab.o1[[#This Row],[a1]]=1,IF(AE$3=0,"",Tab.o1[[#This Row],[Wr2]]/SUM(Tab.o1[Wr2])),"")</f>
        <v/>
      </c>
      <c r="AE166" s="128" t="str">
        <f>IF(Tab.o1[[#This Row],[a1]]=1,[1]!T.in.A[[#This Row],[oo10]],"")</f>
        <v/>
      </c>
      <c r="AF166" s="118" t="str">
        <f>IF(Tab.o1[[#This Row],[a1]]=1,ABS(Tab.o1[[#This Row],[DIF_Target.]]*Tab.o1[[#This Row],[PDF2]]*Tab.o1[[#This Row],[IN]]),"")</f>
        <v/>
      </c>
      <c r="AG166" s="129" t="str">
        <f>IF(Tab.o1[[#This Row],[a1]]=1,Tab.o1[[#This Row],[rW]]^2,"")</f>
        <v/>
      </c>
      <c r="AH166" s="130" t="str">
        <f>IF(Tab.o1[[#This Row],[a1]]=1,IF(AH$3=0,Tab.o1[[#This Row],[rW2]],0.01+0.94*Tab.o1[[#This Row],[rW2]]/SUM(Tab.o1[rW2])),"")</f>
        <v/>
      </c>
      <c r="AI166" s="128" t="str">
        <f>IF(Tab.o1[[#This Row],[a1]]=1,1/Tab.o1[[#This Row],[PDF]],"")</f>
        <v/>
      </c>
      <c r="AJ166" s="131" t="str">
        <f>IF(Tab.o1[[#This Row],[a1]]=1,[1]!T_AA[[#This Row],[IN'']]*[1]!T_AA[[#This Row],[Qde'']],"")</f>
        <v/>
      </c>
      <c r="AK166" s="132" t="str">
        <f>IF(Tab.o1[[#This Row],[a1]]=1,IF(AK$1=1,Tab.o1[[#This Row],[MED]]+Tab.o1[[#This Row],[MOD]]-Tab.o1[[#This Row],[MED]],""),"")</f>
        <v/>
      </c>
      <c r="AL166" s="133" t="str">
        <f>IF(Tab.o1[[#This Row],[a1]]=1,[1]!T.in.A[[#This Row],[oo16]],"")</f>
        <v/>
      </c>
      <c r="AM166" s="133" t="str">
        <f>IF(Tab.o1[[#This Row],[a1]]=1,IF(AM$3=1,[1]!T.in.A[[#This Row],[Σo16]],""),"")</f>
        <v/>
      </c>
      <c r="AN166" s="126" t="str">
        <f>IF(Tab.o1[[#This Row],[a1]]=1,[1]!T.in.A[[#This Row],[Σp5]],"")</f>
        <v/>
      </c>
      <c r="AO166" s="126" t="str">
        <f>IF(Tab.o1[[#This Row],[a1]]=1,IF(AO$3=1,[1]!T.in.A[[#This Row],[Σp5]],""),"")</f>
        <v/>
      </c>
      <c r="AP166" s="110" t="str">
        <f>IF(Tab.o1[[#This Row],[a1]]=1,IF(ISNUMBER(Tab.o1[[#This Row],[i.]]),NORMDIST(Tab.o1[[#This Row],[Za]],0,1,FALSE)*Tab.o1[[#This Row],[i.]],0),"")</f>
        <v/>
      </c>
      <c r="AQ166" s="125" t="str">
        <f>IF(Tab.o1[[#This Row],[a1]]=1,ABS(Tab.o1[[#This Row],[MOD]]-AVERAGE(Tab.o1[MOD])),"")</f>
        <v/>
      </c>
      <c r="AR166" s="134" t="str">
        <f>IF(Tab.o1[[#This Row],[a1]]=1,Tab.o1[[#This Row],[OBS]]/SUM(Tab.o1[OBS]),"")</f>
        <v/>
      </c>
      <c r="AS166" s="135" t="str">
        <f>IF(ISNUMBER(Tab.o1[[#This Row],[a1]]),ROW()-4,"")</f>
        <v/>
      </c>
      <c r="AT166" s="136" t="str">
        <f>Tab.o1[[#This Row],[MOD]]</f>
        <v/>
      </c>
      <c r="AU166" s="137" t="str">
        <f t="shared" si="9"/>
        <v/>
      </c>
      <c r="AV166" s="138" t="str">
        <f t="shared" si="10"/>
        <v/>
      </c>
      <c r="AW166" s="138" t="str">
        <f t="shared" si="11"/>
        <v/>
      </c>
      <c r="AX166" s="139" t="str">
        <f>[1]!T.in.A[[#This Row],[ID_T_manu]]</f>
        <v/>
      </c>
      <c r="AY166" s="140" t="str">
        <f>IF(ISNUMBER(Tab.o1[[#This Row],[a1]]),IF(AND(Tab.o1[[#This Row],[a1]]=1,Tab.o1[[#This Row],[b1]]&lt;=AY$4),#REF!,AY165),"")</f>
        <v/>
      </c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</row>
    <row r="167" spans="1:79" ht="14.25" hidden="1" customHeight="1">
      <c r="A167" s="109">
        <v>-5.9999999999999993E-6</v>
      </c>
      <c r="B167" s="110">
        <f t="shared" si="8"/>
        <v>167</v>
      </c>
      <c r="C167" s="111" t="str">
        <f>IF(C$1=[1]!T.in.A[[#This Row],[oo2]],1,"")</f>
        <v/>
      </c>
      <c r="D167" s="112" t="str">
        <f>IF(Tab.o1[[#This Row],[a1]]=1,IF(SUM(C167:C168)=0,0,IF(SUM(C166:C167)=1,1,IF(SUM(C166:C168)&gt;1,D166+1,0))),"")</f>
        <v/>
      </c>
      <c r="E167" s="113" t="str">
        <f>IF(Tab.o1[[#This Row],[a1]]=1,[1]!T.in.A[[#This Row],[oo1]],"")</f>
        <v/>
      </c>
      <c r="F167" s="113" t="str">
        <f>IF(Tab.o1[[#This Row],[a1]]=1,[1]!T.in.A[[#This Row],[pp1]],"")</f>
        <v/>
      </c>
      <c r="G167" s="114" t="str">
        <f>IF(Tab.o1[[#This Row],[a1]]=1,G$2+IF(G$1=1,0,Tab.o1[[#This Row],[.x1]])+[1]!T.in.A[[#This Row],[oo3]],"")</f>
        <v/>
      </c>
      <c r="H167" s="115" t="str">
        <f>IF(Tab.o1[[#This Row],[a1]]=1,IF(H$2=0,0,IF(G$1=1,0,Tab.o1[[#This Row],[.x1]])+[1]!T.in.A[[#This Row],[oo4]]),"")</f>
        <v/>
      </c>
      <c r="I167" s="116" t="str">
        <f>IF(Tab.o1[[#This Row],[a1]]=1,IF(J$2=0,Tab.o1[[#This Row],[MED]],Tab.o1[[#This Row],[MOD]]),"")</f>
        <v/>
      </c>
      <c r="J167" s="116" t="str">
        <f>IF(Tab.o1[[#This Row],[a1]]=1,((Tab.o1[[#This Row],[DIF_Target.]]-AVERAGE(Tab.o1[DIF_Target.]))/_xlfn.STDEV.P(Tab.o1[DIF_Target.])),"")</f>
        <v/>
      </c>
      <c r="K167" s="117" t="str">
        <f>IF(Tab.o1[[#This Row],[a1]]=1,IF(J$2=0,Tab.o1[[#This Row],[MOD]]-Tab.o1[[#This Row],[B]],IF(J$2=1,0,-Tab.o1[[#This Row],[MED]])+Tab.o1[[#This Row],[B]]),"")</f>
        <v/>
      </c>
      <c r="L167" s="117" t="str">
        <f ca="1">IF(Tab.o1[[#This Row],[DIF_Target]]=0,IF(L$2=0,Tab.o1[[#This Row],[DIF_Target]],AVERAGE(OFFSET(Tab.o1[[#This Row],[DIF_Target]],1,0,L$3,1)))/3,Tab.o1[[#This Row],[DIF_Target]])</f>
        <v/>
      </c>
      <c r="M167" s="118" t="str">
        <f>IF(Tab.o1[[#This Row],[a1]]=1,NORMSDIST(Tab.o1[[#This Row],[Za]]),"")</f>
        <v/>
      </c>
      <c r="N167" s="119" t="str">
        <f>IF(Tab.o1[[#This Row],[a1]]=1,((Tab.o1[[#This Row],[MedMod]]-AVERAGE(Tab.o1[MedMod]))/_xlfn.STDEV.P(Tab.o1[MedMod])*H$1205)+G$1205,"")</f>
        <v/>
      </c>
      <c r="O167" s="141" t="str">
        <f>IF(Tab.o1[[#This Row],[a1]]=1,Tab.o1[[#This Row],[Zb]]*_xlfn.STDEV.P(Tab.o1[MedMod])+AVERAGE(Tab.o1[MedMod]),"")</f>
        <v/>
      </c>
      <c r="P167" s="117" t="str">
        <f ca="1">IF(Tab.o1[[#This Row],[B]]=0,AVERAGE(OFFSET(Tab.o1[[#This Row],[B]],1,0,L$3,1)),Tab.o1[[#This Row],[B]])</f>
        <v/>
      </c>
      <c r="Q167" s="121" t="str">
        <f>IF(Tab.o1[[#This Row],[a1]]=1,NORMSDIST(Tab.o1[[#This Row],[Zb]]),"")</f>
        <v/>
      </c>
      <c r="R167" s="122" t="str">
        <f>IF(Tab.o1[[#This Row],[a1]]=1,((Tab.o1[[#This Row],[MedMod]]-AVERAGE(Tab.o1[MedMod]))/_xlfn.STDEV.P(Tab.o1[MedMod])*H$1203)+G$1203,"")</f>
        <v/>
      </c>
      <c r="S167" s="122" t="str">
        <f>IF(Tab.o1[[#This Row],[a1]]=1,((Tab.o1[[#This Row],[MedMod]]-AVERAGE(Tab.o1[MedMod]))/_xlfn.STDEV.P(Tab.o1[MedMod])*H$1204)+G$1204,"")</f>
        <v/>
      </c>
      <c r="T167" s="123" t="str">
        <f>IF(Tab.o1[[#This Row],[a1]]=1,Tab.o1[[#This Row],[Z-]]*_xlfn.STDEV.P(Tab.o1[B])+AVERAGE(Tab.o1[B]),"")</f>
        <v/>
      </c>
      <c r="U167" s="123" t="str">
        <f>IF(Tab.o1[[#This Row],[a1]]=1,Tab.o1[[#This Row],[z+]]*_xlfn.STDEV.P(Tab.o1[B])+AVERAGE(Tab.o1[B]),"")</f>
        <v/>
      </c>
      <c r="V167" s="124" t="str">
        <f>IF(Tab.o1[[#This Row],[a1]]=1,ABS((ABS(Tab.o1[[#This Row],[Red]]-Tab.o1[[#This Row],[Blue]]))),"")</f>
        <v/>
      </c>
      <c r="W167" s="125" t="str">
        <f>IF(Tab.o1[[#This Row],[a1]]=1,IF(W$3=0,1,Tab.o1[[#This Row],[Amp.]]*1/_xlfn.MINIFS(Tab.o1[Amp.],Tab.o1[Amp.],"&lt;&gt;0")),"")</f>
        <v/>
      </c>
      <c r="X167" s="126" t="str">
        <f>IF(Tab.o1[[#This Row],[a1]]=1,IF(ISNUMBER(Tab.o1[[#This Row],[i.]]),NORMDIST(Tab.o1[[#This Row],[Za]],0,1,FALSE)*Tab.o1[[#This Row],[i.]],AP$3),"")</f>
        <v/>
      </c>
      <c r="Y167" s="126" t="str">
        <f>IF(Tab.o1[[#This Row],[a1]]=1,0.01+0.94*Tab.o1[[#This Row],[PDF]]/MAX(Tab.o1[PDF]),"")</f>
        <v/>
      </c>
      <c r="Z167" s="126" t="str">
        <f>IF(Tab.o1[[#This Row],[a1]]=1,0.01+0.94*Tab.o1[[#This Row],[W1_PDF]]/MAX(Tab.o1[W1_PDF]),"")</f>
        <v/>
      </c>
      <c r="AA167" s="118" t="str">
        <f>IF(Tab.o1[[#This Row],[a1]]=1,ABS([1]!T.in.A[[#This Row],[oo6]]),"")</f>
        <v/>
      </c>
      <c r="AB167" s="127" t="str">
        <f>IF(Tab.o1[[#This Row],[a1]]=1,IF(AE$3=0,"",IF(AB$3=0,ABS([1]!T.in.A[[#This Row],[oo9]]),ABS(Tab.o1[[#This Row],[DIF_Target.]]*Tab.o1[[#This Row],[W1_PDF]]))),"")</f>
        <v/>
      </c>
      <c r="AC167" s="127" t="str">
        <f>IF(G$1=1,"",IF(Tab.o1[[#This Row],[a1]]=1,Tab.o1[[#This Row],[Wr]]^2,""))</f>
        <v/>
      </c>
      <c r="AD167" s="118" t="str">
        <f>IF(Tab.o1[[#This Row],[a1]]=1,IF(AE$3=0,"",Tab.o1[[#This Row],[Wr2]]/SUM(Tab.o1[Wr2])),"")</f>
        <v/>
      </c>
      <c r="AE167" s="128" t="str">
        <f>IF(Tab.o1[[#This Row],[a1]]=1,[1]!T.in.A[[#This Row],[oo10]],"")</f>
        <v/>
      </c>
      <c r="AF167" s="118" t="str">
        <f>IF(Tab.o1[[#This Row],[a1]]=1,ABS(Tab.o1[[#This Row],[DIF_Target.]]*Tab.o1[[#This Row],[PDF2]]*Tab.o1[[#This Row],[IN]]),"")</f>
        <v/>
      </c>
      <c r="AG167" s="129" t="str">
        <f>IF(Tab.o1[[#This Row],[a1]]=1,Tab.o1[[#This Row],[rW]]^2,"")</f>
        <v/>
      </c>
      <c r="AH167" s="130" t="str">
        <f>IF(Tab.o1[[#This Row],[a1]]=1,IF(AH$3=0,Tab.o1[[#This Row],[rW2]],0.01+0.94*Tab.o1[[#This Row],[rW2]]/SUM(Tab.o1[rW2])),"")</f>
        <v/>
      </c>
      <c r="AI167" s="128" t="str">
        <f>IF(Tab.o1[[#This Row],[a1]]=1,1/Tab.o1[[#This Row],[PDF]],"")</f>
        <v/>
      </c>
      <c r="AJ167" s="131" t="str">
        <f>IF(Tab.o1[[#This Row],[a1]]=1,[1]!T_AA[[#This Row],[IN'']]*[1]!T_AA[[#This Row],[Qde'']],"")</f>
        <v/>
      </c>
      <c r="AK167" s="132" t="str">
        <f>IF(Tab.o1[[#This Row],[a1]]=1,IF(AK$1=1,Tab.o1[[#This Row],[MED]]+Tab.o1[[#This Row],[MOD]]-Tab.o1[[#This Row],[MED]],""),"")</f>
        <v/>
      </c>
      <c r="AL167" s="133" t="str">
        <f>IF(Tab.o1[[#This Row],[a1]]=1,[1]!T.in.A[[#This Row],[oo16]],"")</f>
        <v/>
      </c>
      <c r="AM167" s="133" t="str">
        <f>IF(Tab.o1[[#This Row],[a1]]=1,IF(AM$3=1,[1]!T.in.A[[#This Row],[Σo16]],""),"")</f>
        <v/>
      </c>
      <c r="AN167" s="126" t="str">
        <f>IF(Tab.o1[[#This Row],[a1]]=1,[1]!T.in.A[[#This Row],[Σp5]],"")</f>
        <v/>
      </c>
      <c r="AO167" s="126" t="str">
        <f>IF(Tab.o1[[#This Row],[a1]]=1,IF(AO$3=1,[1]!T.in.A[[#This Row],[Σp5]],""),"")</f>
        <v/>
      </c>
      <c r="AP167" s="110" t="str">
        <f>IF(Tab.o1[[#This Row],[a1]]=1,IF(ISNUMBER(Tab.o1[[#This Row],[i.]]),NORMDIST(Tab.o1[[#This Row],[Za]],0,1,FALSE)*Tab.o1[[#This Row],[i.]],0),"")</f>
        <v/>
      </c>
      <c r="AQ167" s="125" t="str">
        <f>IF(Tab.o1[[#This Row],[a1]]=1,ABS(Tab.o1[[#This Row],[MOD]]-AVERAGE(Tab.o1[MOD])),"")</f>
        <v/>
      </c>
      <c r="AR167" s="134" t="str">
        <f>IF(Tab.o1[[#This Row],[a1]]=1,Tab.o1[[#This Row],[OBS]]/SUM(Tab.o1[OBS]),"")</f>
        <v/>
      </c>
      <c r="AS167" s="135" t="str">
        <f>IF(ISNUMBER(Tab.o1[[#This Row],[a1]]),ROW()-4,"")</f>
        <v/>
      </c>
      <c r="AT167" s="136" t="str">
        <f>Tab.o1[[#This Row],[MOD]]</f>
        <v/>
      </c>
      <c r="AU167" s="137" t="str">
        <f t="shared" si="9"/>
        <v/>
      </c>
      <c r="AV167" s="138" t="str">
        <f t="shared" si="10"/>
        <v/>
      </c>
      <c r="AW167" s="138" t="str">
        <f t="shared" si="11"/>
        <v/>
      </c>
      <c r="AX167" s="139" t="str">
        <f>[1]!T.in.A[[#This Row],[ID_T_manu]]</f>
        <v/>
      </c>
      <c r="AY167" s="140" t="str">
        <f>IF(ISNUMBER(Tab.o1[[#This Row],[a1]]),IF(AND(Tab.o1[[#This Row],[a1]]=1,Tab.o1[[#This Row],[b1]]&lt;=AY$4),#REF!,AY166),"")</f>
        <v/>
      </c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</row>
    <row r="168" spans="1:79" ht="14.25" hidden="1" customHeight="1">
      <c r="A168" s="109">
        <v>-8.0000000000000013E-6</v>
      </c>
      <c r="B168" s="110">
        <f t="shared" si="8"/>
        <v>168</v>
      </c>
      <c r="C168" s="111" t="str">
        <f>IF(C$1=[1]!T.in.A[[#This Row],[oo2]],1,"")</f>
        <v/>
      </c>
      <c r="D168" s="112" t="str">
        <f>IF(Tab.o1[[#This Row],[a1]]=1,IF(SUM(C168:C169)=0,0,IF(SUM(C167:C168)=1,1,IF(SUM(C167:C169)&gt;1,D167+1,0))),"")</f>
        <v/>
      </c>
      <c r="E168" s="113" t="str">
        <f>IF(Tab.o1[[#This Row],[a1]]=1,[1]!T.in.A[[#This Row],[oo1]],"")</f>
        <v/>
      </c>
      <c r="F168" s="113" t="str">
        <f>IF(Tab.o1[[#This Row],[a1]]=1,[1]!T.in.A[[#This Row],[pp1]],"")</f>
        <v/>
      </c>
      <c r="G168" s="114" t="str">
        <f>IF(Tab.o1[[#This Row],[a1]]=1,G$2+IF(G$1=1,0,Tab.o1[[#This Row],[.x1]])+[1]!T.in.A[[#This Row],[oo3]],"")</f>
        <v/>
      </c>
      <c r="H168" s="115" t="str">
        <f>IF(Tab.o1[[#This Row],[a1]]=1,IF(H$2=0,0,IF(G$1=1,0,Tab.o1[[#This Row],[.x1]])+[1]!T.in.A[[#This Row],[oo4]]),"")</f>
        <v/>
      </c>
      <c r="I168" s="116" t="str">
        <f>IF(Tab.o1[[#This Row],[a1]]=1,IF(J$2=0,Tab.o1[[#This Row],[MED]],Tab.o1[[#This Row],[MOD]]),"")</f>
        <v/>
      </c>
      <c r="J168" s="116" t="str">
        <f>IF(Tab.o1[[#This Row],[a1]]=1,((Tab.o1[[#This Row],[DIF_Target.]]-AVERAGE(Tab.o1[DIF_Target.]))/_xlfn.STDEV.P(Tab.o1[DIF_Target.])),"")</f>
        <v/>
      </c>
      <c r="K168" s="117" t="str">
        <f>IF(Tab.o1[[#This Row],[a1]]=1,IF(J$2=0,Tab.o1[[#This Row],[MOD]]-Tab.o1[[#This Row],[B]],IF(J$2=1,0,-Tab.o1[[#This Row],[MED]])+Tab.o1[[#This Row],[B]]),"")</f>
        <v/>
      </c>
      <c r="L168" s="117" t="str">
        <f ca="1">IF(Tab.o1[[#This Row],[DIF_Target]]=0,IF(L$2=0,Tab.o1[[#This Row],[DIF_Target]],AVERAGE(OFFSET(Tab.o1[[#This Row],[DIF_Target]],1,0,L$3,1)))/3,Tab.o1[[#This Row],[DIF_Target]])</f>
        <v/>
      </c>
      <c r="M168" s="118" t="str">
        <f>IF(Tab.o1[[#This Row],[a1]]=1,NORMSDIST(Tab.o1[[#This Row],[Za]]),"")</f>
        <v/>
      </c>
      <c r="N168" s="119" t="str">
        <f>IF(Tab.o1[[#This Row],[a1]]=1,((Tab.o1[[#This Row],[MedMod]]-AVERAGE(Tab.o1[MedMod]))/_xlfn.STDEV.P(Tab.o1[MedMod])*H$1205)+G$1205,"")</f>
        <v/>
      </c>
      <c r="O168" s="141" t="str">
        <f>IF(Tab.o1[[#This Row],[a1]]=1,Tab.o1[[#This Row],[Zb]]*_xlfn.STDEV.P(Tab.o1[MedMod])+AVERAGE(Tab.o1[MedMod]),"")</f>
        <v/>
      </c>
      <c r="P168" s="117" t="str">
        <f ca="1">IF(Tab.o1[[#This Row],[B]]=0,AVERAGE(OFFSET(Tab.o1[[#This Row],[B]],1,0,L$3,1)),Tab.o1[[#This Row],[B]])</f>
        <v/>
      </c>
      <c r="Q168" s="121" t="str">
        <f>IF(Tab.o1[[#This Row],[a1]]=1,NORMSDIST(Tab.o1[[#This Row],[Zb]]),"")</f>
        <v/>
      </c>
      <c r="R168" s="122" t="str">
        <f>IF(Tab.o1[[#This Row],[a1]]=1,((Tab.o1[[#This Row],[MedMod]]-AVERAGE(Tab.o1[MedMod]))/_xlfn.STDEV.P(Tab.o1[MedMod])*H$1203)+G$1203,"")</f>
        <v/>
      </c>
      <c r="S168" s="122" t="str">
        <f>IF(Tab.o1[[#This Row],[a1]]=1,((Tab.o1[[#This Row],[MedMod]]-AVERAGE(Tab.o1[MedMod]))/_xlfn.STDEV.P(Tab.o1[MedMod])*H$1204)+G$1204,"")</f>
        <v/>
      </c>
      <c r="T168" s="123" t="str">
        <f>IF(Tab.o1[[#This Row],[a1]]=1,Tab.o1[[#This Row],[Z-]]*_xlfn.STDEV.P(Tab.o1[B])+AVERAGE(Tab.o1[B]),"")</f>
        <v/>
      </c>
      <c r="U168" s="123" t="str">
        <f>IF(Tab.o1[[#This Row],[a1]]=1,Tab.o1[[#This Row],[z+]]*_xlfn.STDEV.P(Tab.o1[B])+AVERAGE(Tab.o1[B]),"")</f>
        <v/>
      </c>
      <c r="V168" s="124" t="str">
        <f>IF(Tab.o1[[#This Row],[a1]]=1,ABS((ABS(Tab.o1[[#This Row],[Red]]-Tab.o1[[#This Row],[Blue]]))),"")</f>
        <v/>
      </c>
      <c r="W168" s="125" t="str">
        <f>IF(Tab.o1[[#This Row],[a1]]=1,IF(W$3=0,1,Tab.o1[[#This Row],[Amp.]]*1/_xlfn.MINIFS(Tab.o1[Amp.],Tab.o1[Amp.],"&lt;&gt;0")),"")</f>
        <v/>
      </c>
      <c r="X168" s="126" t="str">
        <f>IF(Tab.o1[[#This Row],[a1]]=1,IF(ISNUMBER(Tab.o1[[#This Row],[i.]]),NORMDIST(Tab.o1[[#This Row],[Za]],0,1,FALSE)*Tab.o1[[#This Row],[i.]],AP$3),"")</f>
        <v/>
      </c>
      <c r="Y168" s="126" t="str">
        <f>IF(Tab.o1[[#This Row],[a1]]=1,0.01+0.94*Tab.o1[[#This Row],[PDF]]/MAX(Tab.o1[PDF]),"")</f>
        <v/>
      </c>
      <c r="Z168" s="126" t="str">
        <f>IF(Tab.o1[[#This Row],[a1]]=1,0.01+0.94*Tab.o1[[#This Row],[W1_PDF]]/MAX(Tab.o1[W1_PDF]),"")</f>
        <v/>
      </c>
      <c r="AA168" s="118" t="str">
        <f>IF(Tab.o1[[#This Row],[a1]]=1,ABS([1]!T.in.A[[#This Row],[oo6]]),"")</f>
        <v/>
      </c>
      <c r="AB168" s="127" t="str">
        <f>IF(Tab.o1[[#This Row],[a1]]=1,IF(AE$3=0,"",IF(AB$3=0,ABS([1]!T.in.A[[#This Row],[oo9]]),ABS(Tab.o1[[#This Row],[DIF_Target.]]*Tab.o1[[#This Row],[W1_PDF]]))),"")</f>
        <v/>
      </c>
      <c r="AC168" s="127" t="str">
        <f>IF(G$1=1,"",IF(Tab.o1[[#This Row],[a1]]=1,Tab.o1[[#This Row],[Wr]]^2,""))</f>
        <v/>
      </c>
      <c r="AD168" s="118" t="str">
        <f>IF(Tab.o1[[#This Row],[a1]]=1,IF(AE$3=0,"",Tab.o1[[#This Row],[Wr2]]/SUM(Tab.o1[Wr2])),"")</f>
        <v/>
      </c>
      <c r="AE168" s="128" t="str">
        <f>IF(Tab.o1[[#This Row],[a1]]=1,[1]!T.in.A[[#This Row],[oo10]],"")</f>
        <v/>
      </c>
      <c r="AF168" s="118" t="str">
        <f>IF(Tab.o1[[#This Row],[a1]]=1,ABS(Tab.o1[[#This Row],[DIF_Target.]]*Tab.o1[[#This Row],[PDF2]]*Tab.o1[[#This Row],[IN]]),"")</f>
        <v/>
      </c>
      <c r="AG168" s="129" t="str">
        <f>IF(Tab.o1[[#This Row],[a1]]=1,Tab.o1[[#This Row],[rW]]^2,"")</f>
        <v/>
      </c>
      <c r="AH168" s="130" t="str">
        <f>IF(Tab.o1[[#This Row],[a1]]=1,IF(AH$3=0,Tab.o1[[#This Row],[rW2]],0.01+0.94*Tab.o1[[#This Row],[rW2]]/SUM(Tab.o1[rW2])),"")</f>
        <v/>
      </c>
      <c r="AI168" s="128" t="str">
        <f>IF(Tab.o1[[#This Row],[a1]]=1,1/Tab.o1[[#This Row],[PDF]],"")</f>
        <v/>
      </c>
      <c r="AJ168" s="131" t="str">
        <f>IF(Tab.o1[[#This Row],[a1]]=1,[1]!T_AA[[#This Row],[IN'']]*[1]!T_AA[[#This Row],[Qde'']],"")</f>
        <v/>
      </c>
      <c r="AK168" s="132" t="str">
        <f>IF(Tab.o1[[#This Row],[a1]]=1,IF(AK$1=1,Tab.o1[[#This Row],[MED]]+Tab.o1[[#This Row],[MOD]]-Tab.o1[[#This Row],[MED]],""),"")</f>
        <v/>
      </c>
      <c r="AL168" s="133" t="str">
        <f>IF(Tab.o1[[#This Row],[a1]]=1,[1]!T.in.A[[#This Row],[oo16]],"")</f>
        <v/>
      </c>
      <c r="AM168" s="133" t="str">
        <f>IF(Tab.o1[[#This Row],[a1]]=1,IF(AM$3=1,[1]!T.in.A[[#This Row],[Σo16]],""),"")</f>
        <v/>
      </c>
      <c r="AN168" s="126" t="str">
        <f>IF(Tab.o1[[#This Row],[a1]]=1,[1]!T.in.A[[#This Row],[Σp5]],"")</f>
        <v/>
      </c>
      <c r="AO168" s="126" t="str">
        <f>IF(Tab.o1[[#This Row],[a1]]=1,IF(AO$3=1,[1]!T.in.A[[#This Row],[Σp5]],""),"")</f>
        <v/>
      </c>
      <c r="AP168" s="110" t="str">
        <f>IF(Tab.o1[[#This Row],[a1]]=1,IF(ISNUMBER(Tab.o1[[#This Row],[i.]]),NORMDIST(Tab.o1[[#This Row],[Za]],0,1,FALSE)*Tab.o1[[#This Row],[i.]],0),"")</f>
        <v/>
      </c>
      <c r="AQ168" s="125" t="str">
        <f>IF(Tab.o1[[#This Row],[a1]]=1,ABS(Tab.o1[[#This Row],[MOD]]-AVERAGE(Tab.o1[MOD])),"")</f>
        <v/>
      </c>
      <c r="AR168" s="134" t="str">
        <f>IF(Tab.o1[[#This Row],[a1]]=1,Tab.o1[[#This Row],[OBS]]/SUM(Tab.o1[OBS]),"")</f>
        <v/>
      </c>
      <c r="AS168" s="135" t="str">
        <f>IF(ISNUMBER(Tab.o1[[#This Row],[a1]]),ROW()-4,"")</f>
        <v/>
      </c>
      <c r="AT168" s="136" t="str">
        <f>Tab.o1[[#This Row],[MOD]]</f>
        <v/>
      </c>
      <c r="AU168" s="137" t="str">
        <f t="shared" si="9"/>
        <v/>
      </c>
      <c r="AV168" s="138" t="str">
        <f t="shared" si="10"/>
        <v/>
      </c>
      <c r="AW168" s="138" t="str">
        <f t="shared" si="11"/>
        <v/>
      </c>
      <c r="AX168" s="139" t="str">
        <f>[1]!T.in.A[[#This Row],[ID_T_manu]]</f>
        <v/>
      </c>
      <c r="AY168" s="140" t="str">
        <f>IF(ISNUMBER(Tab.o1[[#This Row],[a1]]),IF(AND(Tab.o1[[#This Row],[a1]]=1,Tab.o1[[#This Row],[b1]]&lt;=AY$4),#REF!,AY167),"")</f>
        <v/>
      </c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</row>
    <row r="169" spans="1:79" ht="14.25" hidden="1" customHeight="1">
      <c r="A169" s="109">
        <v>4.0000000000000007E-6</v>
      </c>
      <c r="B169" s="110">
        <f t="shared" si="8"/>
        <v>169</v>
      </c>
      <c r="C169" s="111" t="str">
        <f>IF(C$1=[1]!T.in.A[[#This Row],[oo2]],1,"")</f>
        <v/>
      </c>
      <c r="D169" s="112" t="str">
        <f>IF(Tab.o1[[#This Row],[a1]]=1,IF(SUM(C169:C170)=0,0,IF(SUM(C168:C169)=1,1,IF(SUM(C168:C170)&gt;1,D168+1,0))),"")</f>
        <v/>
      </c>
      <c r="E169" s="113" t="str">
        <f>IF(Tab.o1[[#This Row],[a1]]=1,[1]!T.in.A[[#This Row],[oo1]],"")</f>
        <v/>
      </c>
      <c r="F169" s="113" t="str">
        <f>IF(Tab.o1[[#This Row],[a1]]=1,[1]!T.in.A[[#This Row],[pp1]],"")</f>
        <v/>
      </c>
      <c r="G169" s="114" t="str">
        <f>IF(Tab.o1[[#This Row],[a1]]=1,G$2+IF(G$1=1,0,Tab.o1[[#This Row],[.x1]])+[1]!T.in.A[[#This Row],[oo3]],"")</f>
        <v/>
      </c>
      <c r="H169" s="115" t="str">
        <f>IF(Tab.o1[[#This Row],[a1]]=1,IF(H$2=0,0,IF(G$1=1,0,Tab.o1[[#This Row],[.x1]])+[1]!T.in.A[[#This Row],[oo4]]),"")</f>
        <v/>
      </c>
      <c r="I169" s="116" t="str">
        <f>IF(Tab.o1[[#This Row],[a1]]=1,IF(J$2=0,Tab.o1[[#This Row],[MED]],Tab.o1[[#This Row],[MOD]]),"")</f>
        <v/>
      </c>
      <c r="J169" s="116" t="str">
        <f>IF(Tab.o1[[#This Row],[a1]]=1,((Tab.o1[[#This Row],[DIF_Target.]]-AVERAGE(Tab.o1[DIF_Target.]))/_xlfn.STDEV.P(Tab.o1[DIF_Target.])),"")</f>
        <v/>
      </c>
      <c r="K169" s="117" t="str">
        <f>IF(Tab.o1[[#This Row],[a1]]=1,IF(J$2=0,Tab.o1[[#This Row],[MOD]]-Tab.o1[[#This Row],[B]],IF(J$2=1,0,-Tab.o1[[#This Row],[MED]])+Tab.o1[[#This Row],[B]]),"")</f>
        <v/>
      </c>
      <c r="L169" s="117" t="str">
        <f ca="1">IF(Tab.o1[[#This Row],[DIF_Target]]=0,IF(L$2=0,Tab.o1[[#This Row],[DIF_Target]],AVERAGE(OFFSET(Tab.o1[[#This Row],[DIF_Target]],1,0,L$3,1)))/3,Tab.o1[[#This Row],[DIF_Target]])</f>
        <v/>
      </c>
      <c r="M169" s="118" t="str">
        <f>IF(Tab.o1[[#This Row],[a1]]=1,NORMSDIST(Tab.o1[[#This Row],[Za]]),"")</f>
        <v/>
      </c>
      <c r="N169" s="119" t="str">
        <f>IF(Tab.o1[[#This Row],[a1]]=1,((Tab.o1[[#This Row],[MedMod]]-AVERAGE(Tab.o1[MedMod]))/_xlfn.STDEV.P(Tab.o1[MedMod])*H$1205)+G$1205,"")</f>
        <v/>
      </c>
      <c r="O169" s="141" t="str">
        <f>IF(Tab.o1[[#This Row],[a1]]=1,Tab.o1[[#This Row],[Zb]]*_xlfn.STDEV.P(Tab.o1[MedMod])+AVERAGE(Tab.o1[MedMod]),"")</f>
        <v/>
      </c>
      <c r="P169" s="117" t="str">
        <f ca="1">IF(Tab.o1[[#This Row],[B]]=0,AVERAGE(OFFSET(Tab.o1[[#This Row],[B]],1,0,L$3,1)),Tab.o1[[#This Row],[B]])</f>
        <v/>
      </c>
      <c r="Q169" s="121" t="str">
        <f>IF(Tab.o1[[#This Row],[a1]]=1,NORMSDIST(Tab.o1[[#This Row],[Zb]]),"")</f>
        <v/>
      </c>
      <c r="R169" s="122" t="str">
        <f>IF(Tab.o1[[#This Row],[a1]]=1,((Tab.o1[[#This Row],[MedMod]]-AVERAGE(Tab.o1[MedMod]))/_xlfn.STDEV.P(Tab.o1[MedMod])*H$1203)+G$1203,"")</f>
        <v/>
      </c>
      <c r="S169" s="122" t="str">
        <f>IF(Tab.o1[[#This Row],[a1]]=1,((Tab.o1[[#This Row],[MedMod]]-AVERAGE(Tab.o1[MedMod]))/_xlfn.STDEV.P(Tab.o1[MedMod])*H$1204)+G$1204,"")</f>
        <v/>
      </c>
      <c r="T169" s="123" t="str">
        <f>IF(Tab.o1[[#This Row],[a1]]=1,Tab.o1[[#This Row],[Z-]]*_xlfn.STDEV.P(Tab.o1[B])+AVERAGE(Tab.o1[B]),"")</f>
        <v/>
      </c>
      <c r="U169" s="123" t="str">
        <f>IF(Tab.o1[[#This Row],[a1]]=1,Tab.o1[[#This Row],[z+]]*_xlfn.STDEV.P(Tab.o1[B])+AVERAGE(Tab.o1[B]),"")</f>
        <v/>
      </c>
      <c r="V169" s="124" t="str">
        <f>IF(Tab.o1[[#This Row],[a1]]=1,ABS((ABS(Tab.o1[[#This Row],[Red]]-Tab.o1[[#This Row],[Blue]]))),"")</f>
        <v/>
      </c>
      <c r="W169" s="125" t="str">
        <f>IF(Tab.o1[[#This Row],[a1]]=1,IF(W$3=0,1,Tab.o1[[#This Row],[Amp.]]*1/_xlfn.MINIFS(Tab.o1[Amp.],Tab.o1[Amp.],"&lt;&gt;0")),"")</f>
        <v/>
      </c>
      <c r="X169" s="126" t="str">
        <f>IF(Tab.o1[[#This Row],[a1]]=1,IF(ISNUMBER(Tab.o1[[#This Row],[i.]]),NORMDIST(Tab.o1[[#This Row],[Za]],0,1,FALSE)*Tab.o1[[#This Row],[i.]],AP$3),"")</f>
        <v/>
      </c>
      <c r="Y169" s="126" t="str">
        <f>IF(Tab.o1[[#This Row],[a1]]=1,0.01+0.94*Tab.o1[[#This Row],[PDF]]/MAX(Tab.o1[PDF]),"")</f>
        <v/>
      </c>
      <c r="Z169" s="126" t="str">
        <f>IF(Tab.o1[[#This Row],[a1]]=1,0.01+0.94*Tab.o1[[#This Row],[W1_PDF]]/MAX(Tab.o1[W1_PDF]),"")</f>
        <v/>
      </c>
      <c r="AA169" s="118" t="str">
        <f>IF(Tab.o1[[#This Row],[a1]]=1,ABS([1]!T.in.A[[#This Row],[oo6]]),"")</f>
        <v/>
      </c>
      <c r="AB169" s="127" t="str">
        <f>IF(Tab.o1[[#This Row],[a1]]=1,IF(AE$3=0,"",IF(AB$3=0,ABS([1]!T.in.A[[#This Row],[oo9]]),ABS(Tab.o1[[#This Row],[DIF_Target.]]*Tab.o1[[#This Row],[W1_PDF]]))),"")</f>
        <v/>
      </c>
      <c r="AC169" s="127" t="str">
        <f>IF(G$1=1,"",IF(Tab.o1[[#This Row],[a1]]=1,Tab.o1[[#This Row],[Wr]]^2,""))</f>
        <v/>
      </c>
      <c r="AD169" s="118" t="str">
        <f>IF(Tab.o1[[#This Row],[a1]]=1,IF(AE$3=0,"",Tab.o1[[#This Row],[Wr2]]/SUM(Tab.o1[Wr2])),"")</f>
        <v/>
      </c>
      <c r="AE169" s="128" t="str">
        <f>IF(Tab.o1[[#This Row],[a1]]=1,[1]!T.in.A[[#This Row],[oo10]],"")</f>
        <v/>
      </c>
      <c r="AF169" s="118" t="str">
        <f>IF(Tab.o1[[#This Row],[a1]]=1,ABS(Tab.o1[[#This Row],[DIF_Target.]]*Tab.o1[[#This Row],[PDF2]]*Tab.o1[[#This Row],[IN]]),"")</f>
        <v/>
      </c>
      <c r="AG169" s="129" t="str">
        <f>IF(Tab.o1[[#This Row],[a1]]=1,Tab.o1[[#This Row],[rW]]^2,"")</f>
        <v/>
      </c>
      <c r="AH169" s="130" t="str">
        <f>IF(Tab.o1[[#This Row],[a1]]=1,IF(AH$3=0,Tab.o1[[#This Row],[rW2]],0.01+0.94*Tab.o1[[#This Row],[rW2]]/SUM(Tab.o1[rW2])),"")</f>
        <v/>
      </c>
      <c r="AI169" s="128" t="str">
        <f>IF(Tab.o1[[#This Row],[a1]]=1,1/Tab.o1[[#This Row],[PDF]],"")</f>
        <v/>
      </c>
      <c r="AJ169" s="131" t="str">
        <f>IF(Tab.o1[[#This Row],[a1]]=1,[1]!T_AA[[#This Row],[IN'']]*[1]!T_AA[[#This Row],[Qde'']],"")</f>
        <v/>
      </c>
      <c r="AK169" s="132" t="str">
        <f>IF(Tab.o1[[#This Row],[a1]]=1,IF(AK$1=1,Tab.o1[[#This Row],[MED]]+Tab.o1[[#This Row],[MOD]]-Tab.o1[[#This Row],[MED]],""),"")</f>
        <v/>
      </c>
      <c r="AL169" s="133" t="str">
        <f>IF(Tab.o1[[#This Row],[a1]]=1,[1]!T.in.A[[#This Row],[oo16]],"")</f>
        <v/>
      </c>
      <c r="AM169" s="133" t="str">
        <f>IF(Tab.o1[[#This Row],[a1]]=1,IF(AM$3=1,[1]!T.in.A[[#This Row],[Σo16]],""),"")</f>
        <v/>
      </c>
      <c r="AN169" s="126" t="str">
        <f>IF(Tab.o1[[#This Row],[a1]]=1,[1]!T.in.A[[#This Row],[Σp5]],"")</f>
        <v/>
      </c>
      <c r="AO169" s="126" t="str">
        <f>IF(Tab.o1[[#This Row],[a1]]=1,IF(AO$3=1,[1]!T.in.A[[#This Row],[Σp5]],""),"")</f>
        <v/>
      </c>
      <c r="AP169" s="110" t="str">
        <f>IF(Tab.o1[[#This Row],[a1]]=1,IF(ISNUMBER(Tab.o1[[#This Row],[i.]]),NORMDIST(Tab.o1[[#This Row],[Za]],0,1,FALSE)*Tab.o1[[#This Row],[i.]],0),"")</f>
        <v/>
      </c>
      <c r="AQ169" s="125" t="str">
        <f>IF(Tab.o1[[#This Row],[a1]]=1,ABS(Tab.o1[[#This Row],[MOD]]-AVERAGE(Tab.o1[MOD])),"")</f>
        <v/>
      </c>
      <c r="AR169" s="134" t="str">
        <f>IF(Tab.o1[[#This Row],[a1]]=1,Tab.o1[[#This Row],[OBS]]/SUM(Tab.o1[OBS]),"")</f>
        <v/>
      </c>
      <c r="AS169" s="135" t="str">
        <f>IF(ISNUMBER(Tab.o1[[#This Row],[a1]]),ROW()-4,"")</f>
        <v/>
      </c>
      <c r="AT169" s="136" t="str">
        <f>Tab.o1[[#This Row],[MOD]]</f>
        <v/>
      </c>
      <c r="AU169" s="137" t="str">
        <f t="shared" si="9"/>
        <v/>
      </c>
      <c r="AV169" s="138" t="str">
        <f t="shared" si="10"/>
        <v/>
      </c>
      <c r="AW169" s="138" t="str">
        <f t="shared" si="11"/>
        <v/>
      </c>
      <c r="AX169" s="139" t="str">
        <f>[1]!T.in.A[[#This Row],[ID_T_manu]]</f>
        <v/>
      </c>
      <c r="AY169" s="140" t="str">
        <f>IF(ISNUMBER(Tab.o1[[#This Row],[a1]]),IF(AND(Tab.o1[[#This Row],[a1]]=1,Tab.o1[[#This Row],[b1]]&lt;=AY$4),#REF!,AY168),"")</f>
        <v/>
      </c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</row>
    <row r="170" spans="1:79" ht="14.25" hidden="1" customHeight="1">
      <c r="A170" s="109">
        <v>8.0000000000000013E-6</v>
      </c>
      <c r="B170" s="110">
        <f t="shared" si="8"/>
        <v>170</v>
      </c>
      <c r="C170" s="111" t="str">
        <f>IF(C$1=[1]!T.in.A[[#This Row],[oo2]],1,"")</f>
        <v/>
      </c>
      <c r="D170" s="112" t="str">
        <f>IF(Tab.o1[[#This Row],[a1]]=1,IF(SUM(C170:C171)=0,0,IF(SUM(C169:C170)=1,1,IF(SUM(C169:C171)&gt;1,D169+1,0))),"")</f>
        <v/>
      </c>
      <c r="E170" s="113" t="str">
        <f>IF(Tab.o1[[#This Row],[a1]]=1,[1]!T.in.A[[#This Row],[oo1]],"")</f>
        <v/>
      </c>
      <c r="F170" s="113" t="str">
        <f>IF(Tab.o1[[#This Row],[a1]]=1,[1]!T.in.A[[#This Row],[pp1]],"")</f>
        <v/>
      </c>
      <c r="G170" s="114" t="str">
        <f>IF(Tab.o1[[#This Row],[a1]]=1,G$2+IF(G$1=1,0,Tab.o1[[#This Row],[.x1]])+[1]!T.in.A[[#This Row],[oo3]],"")</f>
        <v/>
      </c>
      <c r="H170" s="115" t="str">
        <f>IF(Tab.o1[[#This Row],[a1]]=1,IF(H$2=0,0,IF(G$1=1,0,Tab.o1[[#This Row],[.x1]])+[1]!T.in.A[[#This Row],[oo4]]),"")</f>
        <v/>
      </c>
      <c r="I170" s="116" t="str">
        <f>IF(Tab.o1[[#This Row],[a1]]=1,IF(J$2=0,Tab.o1[[#This Row],[MED]],Tab.o1[[#This Row],[MOD]]),"")</f>
        <v/>
      </c>
      <c r="J170" s="116" t="str">
        <f>IF(Tab.o1[[#This Row],[a1]]=1,((Tab.o1[[#This Row],[DIF_Target.]]-AVERAGE(Tab.o1[DIF_Target.]))/_xlfn.STDEV.P(Tab.o1[DIF_Target.])),"")</f>
        <v/>
      </c>
      <c r="K170" s="117" t="str">
        <f>IF(Tab.o1[[#This Row],[a1]]=1,IF(J$2=0,Tab.o1[[#This Row],[MOD]]-Tab.o1[[#This Row],[B]],IF(J$2=1,0,-Tab.o1[[#This Row],[MED]])+Tab.o1[[#This Row],[B]]),"")</f>
        <v/>
      </c>
      <c r="L170" s="117" t="str">
        <f ca="1">IF(Tab.o1[[#This Row],[DIF_Target]]=0,IF(L$2=0,Tab.o1[[#This Row],[DIF_Target]],AVERAGE(OFFSET(Tab.o1[[#This Row],[DIF_Target]],1,0,L$3,1)))/3,Tab.o1[[#This Row],[DIF_Target]])</f>
        <v/>
      </c>
      <c r="M170" s="118" t="str">
        <f>IF(Tab.o1[[#This Row],[a1]]=1,NORMSDIST(Tab.o1[[#This Row],[Za]]),"")</f>
        <v/>
      </c>
      <c r="N170" s="119" t="str">
        <f>IF(Tab.o1[[#This Row],[a1]]=1,((Tab.o1[[#This Row],[MedMod]]-AVERAGE(Tab.o1[MedMod]))/_xlfn.STDEV.P(Tab.o1[MedMod])*H$1205)+G$1205,"")</f>
        <v/>
      </c>
      <c r="O170" s="141" t="str">
        <f>IF(Tab.o1[[#This Row],[a1]]=1,Tab.o1[[#This Row],[Zb]]*_xlfn.STDEV.P(Tab.o1[MedMod])+AVERAGE(Tab.o1[MedMod]),"")</f>
        <v/>
      </c>
      <c r="P170" s="117" t="str">
        <f ca="1">IF(Tab.o1[[#This Row],[B]]=0,AVERAGE(OFFSET(Tab.o1[[#This Row],[B]],1,0,L$3,1)),Tab.o1[[#This Row],[B]])</f>
        <v/>
      </c>
      <c r="Q170" s="121" t="str">
        <f>IF(Tab.o1[[#This Row],[a1]]=1,NORMSDIST(Tab.o1[[#This Row],[Zb]]),"")</f>
        <v/>
      </c>
      <c r="R170" s="122" t="str">
        <f>IF(Tab.o1[[#This Row],[a1]]=1,((Tab.o1[[#This Row],[MedMod]]-AVERAGE(Tab.o1[MedMod]))/_xlfn.STDEV.P(Tab.o1[MedMod])*H$1203)+G$1203,"")</f>
        <v/>
      </c>
      <c r="S170" s="122" t="str">
        <f>IF(Tab.o1[[#This Row],[a1]]=1,((Tab.o1[[#This Row],[MedMod]]-AVERAGE(Tab.o1[MedMod]))/_xlfn.STDEV.P(Tab.o1[MedMod])*H$1204)+G$1204,"")</f>
        <v/>
      </c>
      <c r="T170" s="123" t="str">
        <f>IF(Tab.o1[[#This Row],[a1]]=1,Tab.o1[[#This Row],[Z-]]*_xlfn.STDEV.P(Tab.o1[B])+AVERAGE(Tab.o1[B]),"")</f>
        <v/>
      </c>
      <c r="U170" s="123" t="str">
        <f>IF(Tab.o1[[#This Row],[a1]]=1,Tab.o1[[#This Row],[z+]]*_xlfn.STDEV.P(Tab.o1[B])+AVERAGE(Tab.o1[B]),"")</f>
        <v/>
      </c>
      <c r="V170" s="124" t="str">
        <f>IF(Tab.o1[[#This Row],[a1]]=1,ABS((ABS(Tab.o1[[#This Row],[Red]]-Tab.o1[[#This Row],[Blue]]))),"")</f>
        <v/>
      </c>
      <c r="W170" s="125" t="str">
        <f>IF(Tab.o1[[#This Row],[a1]]=1,IF(W$3=0,1,Tab.o1[[#This Row],[Amp.]]*1/_xlfn.MINIFS(Tab.o1[Amp.],Tab.o1[Amp.],"&lt;&gt;0")),"")</f>
        <v/>
      </c>
      <c r="X170" s="126" t="str">
        <f>IF(Tab.o1[[#This Row],[a1]]=1,IF(ISNUMBER(Tab.o1[[#This Row],[i.]]),NORMDIST(Tab.o1[[#This Row],[Za]],0,1,FALSE)*Tab.o1[[#This Row],[i.]],AP$3),"")</f>
        <v/>
      </c>
      <c r="Y170" s="126" t="str">
        <f>IF(Tab.o1[[#This Row],[a1]]=1,0.01+0.94*Tab.o1[[#This Row],[PDF]]/MAX(Tab.o1[PDF]),"")</f>
        <v/>
      </c>
      <c r="Z170" s="126" t="str">
        <f>IF(Tab.o1[[#This Row],[a1]]=1,0.01+0.94*Tab.o1[[#This Row],[W1_PDF]]/MAX(Tab.o1[W1_PDF]),"")</f>
        <v/>
      </c>
      <c r="AA170" s="118" t="str">
        <f>IF(Tab.o1[[#This Row],[a1]]=1,ABS([1]!T.in.A[[#This Row],[oo6]]),"")</f>
        <v/>
      </c>
      <c r="AB170" s="127" t="str">
        <f>IF(Tab.o1[[#This Row],[a1]]=1,IF(AE$3=0,"",IF(AB$3=0,ABS([1]!T.in.A[[#This Row],[oo9]]),ABS(Tab.o1[[#This Row],[DIF_Target.]]*Tab.o1[[#This Row],[W1_PDF]]))),"")</f>
        <v/>
      </c>
      <c r="AC170" s="127" t="str">
        <f>IF(G$1=1,"",IF(Tab.o1[[#This Row],[a1]]=1,Tab.o1[[#This Row],[Wr]]^2,""))</f>
        <v/>
      </c>
      <c r="AD170" s="118" t="str">
        <f>IF(Tab.o1[[#This Row],[a1]]=1,IF(AE$3=0,"",Tab.o1[[#This Row],[Wr2]]/SUM(Tab.o1[Wr2])),"")</f>
        <v/>
      </c>
      <c r="AE170" s="128" t="str">
        <f>IF(Tab.o1[[#This Row],[a1]]=1,[1]!T.in.A[[#This Row],[oo10]],"")</f>
        <v/>
      </c>
      <c r="AF170" s="118" t="str">
        <f>IF(Tab.o1[[#This Row],[a1]]=1,ABS(Tab.o1[[#This Row],[DIF_Target.]]*Tab.o1[[#This Row],[PDF2]]*Tab.o1[[#This Row],[IN]]),"")</f>
        <v/>
      </c>
      <c r="AG170" s="129" t="str">
        <f>IF(Tab.o1[[#This Row],[a1]]=1,Tab.o1[[#This Row],[rW]]^2,"")</f>
        <v/>
      </c>
      <c r="AH170" s="130" t="str">
        <f>IF(Tab.o1[[#This Row],[a1]]=1,IF(AH$3=0,Tab.o1[[#This Row],[rW2]],0.01+0.94*Tab.o1[[#This Row],[rW2]]/SUM(Tab.o1[rW2])),"")</f>
        <v/>
      </c>
      <c r="AI170" s="128" t="str">
        <f>IF(Tab.o1[[#This Row],[a1]]=1,1/Tab.o1[[#This Row],[PDF]],"")</f>
        <v/>
      </c>
      <c r="AJ170" s="131" t="str">
        <f>IF(Tab.o1[[#This Row],[a1]]=1,[1]!T_AA[[#This Row],[IN'']]*[1]!T_AA[[#This Row],[Qde'']],"")</f>
        <v/>
      </c>
      <c r="AK170" s="132" t="str">
        <f>IF(Tab.o1[[#This Row],[a1]]=1,IF(AK$1=1,Tab.o1[[#This Row],[MED]]+Tab.o1[[#This Row],[MOD]]-Tab.o1[[#This Row],[MED]],""),"")</f>
        <v/>
      </c>
      <c r="AL170" s="133" t="str">
        <f>IF(Tab.o1[[#This Row],[a1]]=1,[1]!T.in.A[[#This Row],[oo16]],"")</f>
        <v/>
      </c>
      <c r="AM170" s="133" t="str">
        <f>IF(Tab.o1[[#This Row],[a1]]=1,IF(AM$3=1,[1]!T.in.A[[#This Row],[Σo16]],""),"")</f>
        <v/>
      </c>
      <c r="AN170" s="126" t="str">
        <f>IF(Tab.o1[[#This Row],[a1]]=1,[1]!T.in.A[[#This Row],[Σp5]],"")</f>
        <v/>
      </c>
      <c r="AO170" s="126" t="str">
        <f>IF(Tab.o1[[#This Row],[a1]]=1,IF(AO$3=1,[1]!T.in.A[[#This Row],[Σp5]],""),"")</f>
        <v/>
      </c>
      <c r="AP170" s="110" t="str">
        <f>IF(Tab.o1[[#This Row],[a1]]=1,IF(ISNUMBER(Tab.o1[[#This Row],[i.]]),NORMDIST(Tab.o1[[#This Row],[Za]],0,1,FALSE)*Tab.o1[[#This Row],[i.]],0),"")</f>
        <v/>
      </c>
      <c r="AQ170" s="125" t="str">
        <f>IF(Tab.o1[[#This Row],[a1]]=1,ABS(Tab.o1[[#This Row],[MOD]]-AVERAGE(Tab.o1[MOD])),"")</f>
        <v/>
      </c>
      <c r="AR170" s="134" t="str">
        <f>IF(Tab.o1[[#This Row],[a1]]=1,Tab.o1[[#This Row],[OBS]]/SUM(Tab.o1[OBS]),"")</f>
        <v/>
      </c>
      <c r="AS170" s="135" t="str">
        <f>IF(ISNUMBER(Tab.o1[[#This Row],[a1]]),ROW()-4,"")</f>
        <v/>
      </c>
      <c r="AT170" s="136" t="str">
        <f>Tab.o1[[#This Row],[MOD]]</f>
        <v/>
      </c>
      <c r="AU170" s="137" t="str">
        <f t="shared" si="9"/>
        <v/>
      </c>
      <c r="AV170" s="138" t="str">
        <f t="shared" si="10"/>
        <v/>
      </c>
      <c r="AW170" s="138" t="str">
        <f t="shared" si="11"/>
        <v/>
      </c>
      <c r="AX170" s="139" t="str">
        <f>[1]!T.in.A[[#This Row],[ID_T_manu]]</f>
        <v/>
      </c>
      <c r="AY170" s="140" t="str">
        <f>IF(ISNUMBER(Tab.o1[[#This Row],[a1]]),IF(AND(Tab.o1[[#This Row],[a1]]=1,Tab.o1[[#This Row],[b1]]&lt;=AY$4),#REF!,AY169),"")</f>
        <v/>
      </c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</row>
    <row r="171" spans="1:79" ht="14.25" hidden="1" customHeight="1">
      <c r="A171" s="109">
        <v>-2.0000000000000003E-6</v>
      </c>
      <c r="B171" s="110">
        <f t="shared" si="8"/>
        <v>171</v>
      </c>
      <c r="C171" s="111" t="str">
        <f>IF(C$1=[1]!T.in.A[[#This Row],[oo2]],1,"")</f>
        <v/>
      </c>
      <c r="D171" s="112" t="str">
        <f>IF(Tab.o1[[#This Row],[a1]]=1,IF(SUM(C171:C172)=0,0,IF(SUM(C170:C171)=1,1,IF(SUM(C170:C172)&gt;1,D170+1,0))),"")</f>
        <v/>
      </c>
      <c r="E171" s="113" t="str">
        <f>IF(Tab.o1[[#This Row],[a1]]=1,[1]!T.in.A[[#This Row],[oo1]],"")</f>
        <v/>
      </c>
      <c r="F171" s="113" t="str">
        <f>IF(Tab.o1[[#This Row],[a1]]=1,[1]!T.in.A[[#This Row],[pp1]],"")</f>
        <v/>
      </c>
      <c r="G171" s="114" t="str">
        <f>IF(Tab.o1[[#This Row],[a1]]=1,G$2+IF(G$1=1,0,Tab.o1[[#This Row],[.x1]])+[1]!T.in.A[[#This Row],[oo3]],"")</f>
        <v/>
      </c>
      <c r="H171" s="115" t="str">
        <f>IF(Tab.o1[[#This Row],[a1]]=1,IF(H$2=0,0,IF(G$1=1,0,Tab.o1[[#This Row],[.x1]])+[1]!T.in.A[[#This Row],[oo4]]),"")</f>
        <v/>
      </c>
      <c r="I171" s="116" t="str">
        <f>IF(Tab.o1[[#This Row],[a1]]=1,IF(J$2=0,Tab.o1[[#This Row],[MED]],Tab.o1[[#This Row],[MOD]]),"")</f>
        <v/>
      </c>
      <c r="J171" s="116" t="str">
        <f>IF(Tab.o1[[#This Row],[a1]]=1,((Tab.o1[[#This Row],[DIF_Target.]]-AVERAGE(Tab.o1[DIF_Target.]))/_xlfn.STDEV.P(Tab.o1[DIF_Target.])),"")</f>
        <v/>
      </c>
      <c r="K171" s="117" t="str">
        <f>IF(Tab.o1[[#This Row],[a1]]=1,IF(J$2=0,Tab.o1[[#This Row],[MOD]]-Tab.o1[[#This Row],[B]],IF(J$2=1,0,-Tab.o1[[#This Row],[MED]])+Tab.o1[[#This Row],[B]]),"")</f>
        <v/>
      </c>
      <c r="L171" s="117" t="str">
        <f ca="1">IF(Tab.o1[[#This Row],[DIF_Target]]=0,IF(L$2=0,Tab.o1[[#This Row],[DIF_Target]],AVERAGE(OFFSET(Tab.o1[[#This Row],[DIF_Target]],1,0,L$3,1)))/3,Tab.o1[[#This Row],[DIF_Target]])</f>
        <v/>
      </c>
      <c r="M171" s="118" t="str">
        <f>IF(Tab.o1[[#This Row],[a1]]=1,NORMSDIST(Tab.o1[[#This Row],[Za]]),"")</f>
        <v/>
      </c>
      <c r="N171" s="119" t="str">
        <f>IF(Tab.o1[[#This Row],[a1]]=1,((Tab.o1[[#This Row],[MedMod]]-AVERAGE(Tab.o1[MedMod]))/_xlfn.STDEV.P(Tab.o1[MedMod])*H$1205)+G$1205,"")</f>
        <v/>
      </c>
      <c r="O171" s="141" t="str">
        <f>IF(Tab.o1[[#This Row],[a1]]=1,Tab.o1[[#This Row],[Zb]]*_xlfn.STDEV.P(Tab.o1[MedMod])+AVERAGE(Tab.o1[MedMod]),"")</f>
        <v/>
      </c>
      <c r="P171" s="117" t="str">
        <f ca="1">IF(Tab.o1[[#This Row],[B]]=0,AVERAGE(OFFSET(Tab.o1[[#This Row],[B]],1,0,L$3,1)),Tab.o1[[#This Row],[B]])</f>
        <v/>
      </c>
      <c r="Q171" s="121" t="str">
        <f>IF(Tab.o1[[#This Row],[a1]]=1,NORMSDIST(Tab.o1[[#This Row],[Zb]]),"")</f>
        <v/>
      </c>
      <c r="R171" s="122" t="str">
        <f>IF(Tab.o1[[#This Row],[a1]]=1,((Tab.o1[[#This Row],[MedMod]]-AVERAGE(Tab.o1[MedMod]))/_xlfn.STDEV.P(Tab.o1[MedMod])*H$1203)+G$1203,"")</f>
        <v/>
      </c>
      <c r="S171" s="122" t="str">
        <f>IF(Tab.o1[[#This Row],[a1]]=1,((Tab.o1[[#This Row],[MedMod]]-AVERAGE(Tab.o1[MedMod]))/_xlfn.STDEV.P(Tab.o1[MedMod])*H$1204)+G$1204,"")</f>
        <v/>
      </c>
      <c r="T171" s="123" t="str">
        <f>IF(Tab.o1[[#This Row],[a1]]=1,Tab.o1[[#This Row],[Z-]]*_xlfn.STDEV.P(Tab.o1[B])+AVERAGE(Tab.o1[B]),"")</f>
        <v/>
      </c>
      <c r="U171" s="123" t="str">
        <f>IF(Tab.o1[[#This Row],[a1]]=1,Tab.o1[[#This Row],[z+]]*_xlfn.STDEV.P(Tab.o1[B])+AVERAGE(Tab.o1[B]),"")</f>
        <v/>
      </c>
      <c r="V171" s="124" t="str">
        <f>IF(Tab.o1[[#This Row],[a1]]=1,ABS((ABS(Tab.o1[[#This Row],[Red]]-Tab.o1[[#This Row],[Blue]]))),"")</f>
        <v/>
      </c>
      <c r="W171" s="125" t="str">
        <f>IF(Tab.o1[[#This Row],[a1]]=1,IF(W$3=0,1,Tab.o1[[#This Row],[Amp.]]*1/_xlfn.MINIFS(Tab.o1[Amp.],Tab.o1[Amp.],"&lt;&gt;0")),"")</f>
        <v/>
      </c>
      <c r="X171" s="126" t="str">
        <f>IF(Tab.o1[[#This Row],[a1]]=1,IF(ISNUMBER(Tab.o1[[#This Row],[i.]]),NORMDIST(Tab.o1[[#This Row],[Za]],0,1,FALSE)*Tab.o1[[#This Row],[i.]],AP$3),"")</f>
        <v/>
      </c>
      <c r="Y171" s="126" t="str">
        <f>IF(Tab.o1[[#This Row],[a1]]=1,0.01+0.94*Tab.o1[[#This Row],[PDF]]/MAX(Tab.o1[PDF]),"")</f>
        <v/>
      </c>
      <c r="Z171" s="126" t="str">
        <f>IF(Tab.o1[[#This Row],[a1]]=1,0.01+0.94*Tab.o1[[#This Row],[W1_PDF]]/MAX(Tab.o1[W1_PDF]),"")</f>
        <v/>
      </c>
      <c r="AA171" s="118" t="str">
        <f>IF(Tab.o1[[#This Row],[a1]]=1,ABS([1]!T.in.A[[#This Row],[oo6]]),"")</f>
        <v/>
      </c>
      <c r="AB171" s="127" t="str">
        <f>IF(Tab.o1[[#This Row],[a1]]=1,IF(AE$3=0,"",IF(AB$3=0,ABS([1]!T.in.A[[#This Row],[oo9]]),ABS(Tab.o1[[#This Row],[DIF_Target.]]*Tab.o1[[#This Row],[W1_PDF]]))),"")</f>
        <v/>
      </c>
      <c r="AC171" s="127" t="str">
        <f>IF(G$1=1,"",IF(Tab.o1[[#This Row],[a1]]=1,Tab.o1[[#This Row],[Wr]]^2,""))</f>
        <v/>
      </c>
      <c r="AD171" s="118" t="str">
        <f>IF(Tab.o1[[#This Row],[a1]]=1,IF(AE$3=0,"",Tab.o1[[#This Row],[Wr2]]/SUM(Tab.o1[Wr2])),"")</f>
        <v/>
      </c>
      <c r="AE171" s="128" t="str">
        <f>IF(Tab.o1[[#This Row],[a1]]=1,[1]!T.in.A[[#This Row],[oo10]],"")</f>
        <v/>
      </c>
      <c r="AF171" s="118" t="str">
        <f>IF(Tab.o1[[#This Row],[a1]]=1,ABS(Tab.o1[[#This Row],[DIF_Target.]]*Tab.o1[[#This Row],[PDF2]]*Tab.o1[[#This Row],[IN]]),"")</f>
        <v/>
      </c>
      <c r="AG171" s="129" t="str">
        <f>IF(Tab.o1[[#This Row],[a1]]=1,Tab.o1[[#This Row],[rW]]^2,"")</f>
        <v/>
      </c>
      <c r="AH171" s="130" t="str">
        <f>IF(Tab.o1[[#This Row],[a1]]=1,IF(AH$3=0,Tab.o1[[#This Row],[rW2]],0.01+0.94*Tab.o1[[#This Row],[rW2]]/SUM(Tab.o1[rW2])),"")</f>
        <v/>
      </c>
      <c r="AI171" s="128" t="str">
        <f>IF(Tab.o1[[#This Row],[a1]]=1,1/Tab.o1[[#This Row],[PDF]],"")</f>
        <v/>
      </c>
      <c r="AJ171" s="131" t="str">
        <f>IF(Tab.o1[[#This Row],[a1]]=1,[1]!T_AA[[#This Row],[IN'']]*[1]!T_AA[[#This Row],[Qde'']],"")</f>
        <v/>
      </c>
      <c r="AK171" s="132" t="str">
        <f>IF(Tab.o1[[#This Row],[a1]]=1,IF(AK$1=1,Tab.o1[[#This Row],[MED]]+Tab.o1[[#This Row],[MOD]]-Tab.o1[[#This Row],[MED]],""),"")</f>
        <v/>
      </c>
      <c r="AL171" s="133" t="str">
        <f>IF(Tab.o1[[#This Row],[a1]]=1,[1]!T.in.A[[#This Row],[oo16]],"")</f>
        <v/>
      </c>
      <c r="AM171" s="133" t="str">
        <f>IF(Tab.o1[[#This Row],[a1]]=1,IF(AM$3=1,[1]!T.in.A[[#This Row],[Σo16]],""),"")</f>
        <v/>
      </c>
      <c r="AN171" s="126" t="str">
        <f>IF(Tab.o1[[#This Row],[a1]]=1,[1]!T.in.A[[#This Row],[Σp5]],"")</f>
        <v/>
      </c>
      <c r="AO171" s="126" t="str">
        <f>IF(Tab.o1[[#This Row],[a1]]=1,IF(AO$3=1,[1]!T.in.A[[#This Row],[Σp5]],""),"")</f>
        <v/>
      </c>
      <c r="AP171" s="110" t="str">
        <f>IF(Tab.o1[[#This Row],[a1]]=1,IF(ISNUMBER(Tab.o1[[#This Row],[i.]]),NORMDIST(Tab.o1[[#This Row],[Za]],0,1,FALSE)*Tab.o1[[#This Row],[i.]],0),"")</f>
        <v/>
      </c>
      <c r="AQ171" s="125" t="str">
        <f>IF(Tab.o1[[#This Row],[a1]]=1,ABS(Tab.o1[[#This Row],[MOD]]-AVERAGE(Tab.o1[MOD])),"")</f>
        <v/>
      </c>
      <c r="AR171" s="134" t="str">
        <f>IF(Tab.o1[[#This Row],[a1]]=1,Tab.o1[[#This Row],[OBS]]/SUM(Tab.o1[OBS]),"")</f>
        <v/>
      </c>
      <c r="AS171" s="135" t="str">
        <f>IF(ISNUMBER(Tab.o1[[#This Row],[a1]]),ROW()-4,"")</f>
        <v/>
      </c>
      <c r="AT171" s="136" t="str">
        <f>Tab.o1[[#This Row],[MOD]]</f>
        <v/>
      </c>
      <c r="AU171" s="137" t="str">
        <f t="shared" si="9"/>
        <v/>
      </c>
      <c r="AV171" s="138" t="str">
        <f t="shared" si="10"/>
        <v/>
      </c>
      <c r="AW171" s="138" t="str">
        <f t="shared" si="11"/>
        <v/>
      </c>
      <c r="AX171" s="139" t="str">
        <f>[1]!T.in.A[[#This Row],[ID_T_manu]]</f>
        <v/>
      </c>
      <c r="AY171" s="140" t="str">
        <f>IF(ISNUMBER(Tab.o1[[#This Row],[a1]]),IF(AND(Tab.o1[[#This Row],[a1]]=1,Tab.o1[[#This Row],[b1]]&lt;=AY$4),#REF!,AY170),"")</f>
        <v/>
      </c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</row>
    <row r="172" spans="1:79" ht="14.25" hidden="1" customHeight="1">
      <c r="A172" s="109">
        <v>5.9999999999999993E-6</v>
      </c>
      <c r="B172" s="110">
        <f t="shared" si="8"/>
        <v>172</v>
      </c>
      <c r="C172" s="111" t="str">
        <f>IF(C$1=[1]!T.in.A[[#This Row],[oo2]],1,"")</f>
        <v/>
      </c>
      <c r="D172" s="112" t="str">
        <f>IF(Tab.o1[[#This Row],[a1]]=1,IF(SUM(C172:C173)=0,0,IF(SUM(C171:C172)=1,1,IF(SUM(C171:C173)&gt;1,D171+1,0))),"")</f>
        <v/>
      </c>
      <c r="E172" s="113" t="str">
        <f>IF(Tab.o1[[#This Row],[a1]]=1,[1]!T.in.A[[#This Row],[oo1]],"")</f>
        <v/>
      </c>
      <c r="F172" s="113" t="str">
        <f>IF(Tab.o1[[#This Row],[a1]]=1,[1]!T.in.A[[#This Row],[pp1]],"")</f>
        <v/>
      </c>
      <c r="G172" s="114" t="str">
        <f>IF(Tab.o1[[#This Row],[a1]]=1,G$2+IF(G$1=1,0,Tab.o1[[#This Row],[.x1]])+[1]!T.in.A[[#This Row],[oo3]],"")</f>
        <v/>
      </c>
      <c r="H172" s="115" t="str">
        <f>IF(Tab.o1[[#This Row],[a1]]=1,IF(H$2=0,0,IF(G$1=1,0,Tab.o1[[#This Row],[.x1]])+[1]!T.in.A[[#This Row],[oo4]]),"")</f>
        <v/>
      </c>
      <c r="I172" s="116" t="str">
        <f>IF(Tab.o1[[#This Row],[a1]]=1,IF(J$2=0,Tab.o1[[#This Row],[MED]],Tab.o1[[#This Row],[MOD]]),"")</f>
        <v/>
      </c>
      <c r="J172" s="116" t="str">
        <f>IF(Tab.o1[[#This Row],[a1]]=1,((Tab.o1[[#This Row],[DIF_Target.]]-AVERAGE(Tab.o1[DIF_Target.]))/_xlfn.STDEV.P(Tab.o1[DIF_Target.])),"")</f>
        <v/>
      </c>
      <c r="K172" s="117" t="str">
        <f>IF(Tab.o1[[#This Row],[a1]]=1,IF(J$2=0,Tab.o1[[#This Row],[MOD]]-Tab.o1[[#This Row],[B]],IF(J$2=1,0,-Tab.o1[[#This Row],[MED]])+Tab.o1[[#This Row],[B]]),"")</f>
        <v/>
      </c>
      <c r="L172" s="117" t="str">
        <f ca="1">IF(Tab.o1[[#This Row],[DIF_Target]]=0,IF(L$2=0,Tab.o1[[#This Row],[DIF_Target]],AVERAGE(OFFSET(Tab.o1[[#This Row],[DIF_Target]],1,0,L$3,1)))/3,Tab.o1[[#This Row],[DIF_Target]])</f>
        <v/>
      </c>
      <c r="M172" s="118" t="str">
        <f>IF(Tab.o1[[#This Row],[a1]]=1,NORMSDIST(Tab.o1[[#This Row],[Za]]),"")</f>
        <v/>
      </c>
      <c r="N172" s="119" t="str">
        <f>IF(Tab.o1[[#This Row],[a1]]=1,((Tab.o1[[#This Row],[MedMod]]-AVERAGE(Tab.o1[MedMod]))/_xlfn.STDEV.P(Tab.o1[MedMod])*H$1205)+G$1205,"")</f>
        <v/>
      </c>
      <c r="O172" s="141" t="str">
        <f>IF(Tab.o1[[#This Row],[a1]]=1,Tab.o1[[#This Row],[Zb]]*_xlfn.STDEV.P(Tab.o1[MedMod])+AVERAGE(Tab.o1[MedMod]),"")</f>
        <v/>
      </c>
      <c r="P172" s="117" t="str">
        <f ca="1">IF(Tab.o1[[#This Row],[B]]=0,AVERAGE(OFFSET(Tab.o1[[#This Row],[B]],1,0,L$3,1)),Tab.o1[[#This Row],[B]])</f>
        <v/>
      </c>
      <c r="Q172" s="121" t="str">
        <f>IF(Tab.o1[[#This Row],[a1]]=1,NORMSDIST(Tab.o1[[#This Row],[Zb]]),"")</f>
        <v/>
      </c>
      <c r="R172" s="122" t="str">
        <f>IF(Tab.o1[[#This Row],[a1]]=1,((Tab.o1[[#This Row],[MedMod]]-AVERAGE(Tab.o1[MedMod]))/_xlfn.STDEV.P(Tab.o1[MedMod])*H$1203)+G$1203,"")</f>
        <v/>
      </c>
      <c r="S172" s="122" t="str">
        <f>IF(Tab.o1[[#This Row],[a1]]=1,((Tab.o1[[#This Row],[MedMod]]-AVERAGE(Tab.o1[MedMod]))/_xlfn.STDEV.P(Tab.o1[MedMod])*H$1204)+G$1204,"")</f>
        <v/>
      </c>
      <c r="T172" s="123" t="str">
        <f>IF(Tab.o1[[#This Row],[a1]]=1,Tab.o1[[#This Row],[Z-]]*_xlfn.STDEV.P(Tab.o1[B])+AVERAGE(Tab.o1[B]),"")</f>
        <v/>
      </c>
      <c r="U172" s="123" t="str">
        <f>IF(Tab.o1[[#This Row],[a1]]=1,Tab.o1[[#This Row],[z+]]*_xlfn.STDEV.P(Tab.o1[B])+AVERAGE(Tab.o1[B]),"")</f>
        <v/>
      </c>
      <c r="V172" s="124" t="str">
        <f>IF(Tab.o1[[#This Row],[a1]]=1,ABS((ABS(Tab.o1[[#This Row],[Red]]-Tab.o1[[#This Row],[Blue]]))),"")</f>
        <v/>
      </c>
      <c r="W172" s="125" t="str">
        <f>IF(Tab.o1[[#This Row],[a1]]=1,IF(W$3=0,1,Tab.o1[[#This Row],[Amp.]]*1/_xlfn.MINIFS(Tab.o1[Amp.],Tab.o1[Amp.],"&lt;&gt;0")),"")</f>
        <v/>
      </c>
      <c r="X172" s="126" t="str">
        <f>IF(Tab.o1[[#This Row],[a1]]=1,IF(ISNUMBER(Tab.o1[[#This Row],[i.]]),NORMDIST(Tab.o1[[#This Row],[Za]],0,1,FALSE)*Tab.o1[[#This Row],[i.]],AP$3),"")</f>
        <v/>
      </c>
      <c r="Y172" s="126" t="str">
        <f>IF(Tab.o1[[#This Row],[a1]]=1,0.01+0.94*Tab.o1[[#This Row],[PDF]]/MAX(Tab.o1[PDF]),"")</f>
        <v/>
      </c>
      <c r="Z172" s="126" t="str">
        <f>IF(Tab.o1[[#This Row],[a1]]=1,0.01+0.94*Tab.o1[[#This Row],[W1_PDF]]/MAX(Tab.o1[W1_PDF]),"")</f>
        <v/>
      </c>
      <c r="AA172" s="118" t="str">
        <f>IF(Tab.o1[[#This Row],[a1]]=1,ABS([1]!T.in.A[[#This Row],[oo6]]),"")</f>
        <v/>
      </c>
      <c r="AB172" s="127" t="str">
        <f>IF(Tab.o1[[#This Row],[a1]]=1,IF(AE$3=0,"",IF(AB$3=0,ABS([1]!T.in.A[[#This Row],[oo9]]),ABS(Tab.o1[[#This Row],[DIF_Target.]]*Tab.o1[[#This Row],[W1_PDF]]))),"")</f>
        <v/>
      </c>
      <c r="AC172" s="127" t="str">
        <f>IF(G$1=1,"",IF(Tab.o1[[#This Row],[a1]]=1,Tab.o1[[#This Row],[Wr]]^2,""))</f>
        <v/>
      </c>
      <c r="AD172" s="118" t="str">
        <f>IF(Tab.o1[[#This Row],[a1]]=1,IF(AE$3=0,"",Tab.o1[[#This Row],[Wr2]]/SUM(Tab.o1[Wr2])),"")</f>
        <v/>
      </c>
      <c r="AE172" s="128" t="str">
        <f>IF(Tab.o1[[#This Row],[a1]]=1,[1]!T.in.A[[#This Row],[oo10]],"")</f>
        <v/>
      </c>
      <c r="AF172" s="118" t="str">
        <f>IF(Tab.o1[[#This Row],[a1]]=1,ABS(Tab.o1[[#This Row],[DIF_Target.]]*Tab.o1[[#This Row],[PDF2]]*Tab.o1[[#This Row],[IN]]),"")</f>
        <v/>
      </c>
      <c r="AG172" s="129" t="str">
        <f>IF(Tab.o1[[#This Row],[a1]]=1,Tab.o1[[#This Row],[rW]]^2,"")</f>
        <v/>
      </c>
      <c r="AH172" s="130" t="str">
        <f>IF(Tab.o1[[#This Row],[a1]]=1,IF(AH$3=0,Tab.o1[[#This Row],[rW2]],0.01+0.94*Tab.o1[[#This Row],[rW2]]/SUM(Tab.o1[rW2])),"")</f>
        <v/>
      </c>
      <c r="AI172" s="128" t="str">
        <f>IF(Tab.o1[[#This Row],[a1]]=1,1/Tab.o1[[#This Row],[PDF]],"")</f>
        <v/>
      </c>
      <c r="AJ172" s="131" t="str">
        <f>IF(Tab.o1[[#This Row],[a1]]=1,[1]!T_AA[[#This Row],[IN'']]*[1]!T_AA[[#This Row],[Qde'']],"")</f>
        <v/>
      </c>
      <c r="AK172" s="132" t="str">
        <f>IF(Tab.o1[[#This Row],[a1]]=1,IF(AK$1=1,Tab.o1[[#This Row],[MED]]+Tab.o1[[#This Row],[MOD]]-Tab.o1[[#This Row],[MED]],""),"")</f>
        <v/>
      </c>
      <c r="AL172" s="133" t="str">
        <f>IF(Tab.o1[[#This Row],[a1]]=1,[1]!T.in.A[[#This Row],[oo16]],"")</f>
        <v/>
      </c>
      <c r="AM172" s="133" t="str">
        <f>IF(Tab.o1[[#This Row],[a1]]=1,IF(AM$3=1,[1]!T.in.A[[#This Row],[Σo16]],""),"")</f>
        <v/>
      </c>
      <c r="AN172" s="126" t="str">
        <f>IF(Tab.o1[[#This Row],[a1]]=1,[1]!T.in.A[[#This Row],[Σp5]],"")</f>
        <v/>
      </c>
      <c r="AO172" s="126" t="str">
        <f>IF(Tab.o1[[#This Row],[a1]]=1,IF(AO$3=1,[1]!T.in.A[[#This Row],[Σp5]],""),"")</f>
        <v/>
      </c>
      <c r="AP172" s="110" t="str">
        <f>IF(Tab.o1[[#This Row],[a1]]=1,IF(ISNUMBER(Tab.o1[[#This Row],[i.]]),NORMDIST(Tab.o1[[#This Row],[Za]],0,1,FALSE)*Tab.o1[[#This Row],[i.]],0),"")</f>
        <v/>
      </c>
      <c r="AQ172" s="125" t="str">
        <f>IF(Tab.o1[[#This Row],[a1]]=1,ABS(Tab.o1[[#This Row],[MOD]]-AVERAGE(Tab.o1[MOD])),"")</f>
        <v/>
      </c>
      <c r="AR172" s="134" t="str">
        <f>IF(Tab.o1[[#This Row],[a1]]=1,Tab.o1[[#This Row],[OBS]]/SUM(Tab.o1[OBS]),"")</f>
        <v/>
      </c>
      <c r="AS172" s="135" t="str">
        <f>IF(ISNUMBER(Tab.o1[[#This Row],[a1]]),ROW()-4,"")</f>
        <v/>
      </c>
      <c r="AT172" s="136" t="str">
        <f>Tab.o1[[#This Row],[MOD]]</f>
        <v/>
      </c>
      <c r="AU172" s="137" t="str">
        <f t="shared" si="9"/>
        <v/>
      </c>
      <c r="AV172" s="138" t="str">
        <f t="shared" si="10"/>
        <v/>
      </c>
      <c r="AW172" s="138" t="str">
        <f t="shared" si="11"/>
        <v/>
      </c>
      <c r="AX172" s="139" t="str">
        <f>[1]!T.in.A[[#This Row],[ID_T_manu]]</f>
        <v/>
      </c>
      <c r="AY172" s="140" t="str">
        <f>IF(ISNUMBER(Tab.o1[[#This Row],[a1]]),IF(AND(Tab.o1[[#This Row],[a1]]=1,Tab.o1[[#This Row],[b1]]&lt;=AY$4),#REF!,AY171),"")</f>
        <v/>
      </c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</row>
    <row r="173" spans="1:79" ht="14.25" hidden="1" customHeight="1">
      <c r="A173" s="109">
        <v>2.0000000000000003E-6</v>
      </c>
      <c r="B173" s="110">
        <f t="shared" si="8"/>
        <v>173</v>
      </c>
      <c r="C173" s="111" t="str">
        <f>IF(C$1=[1]!T.in.A[[#This Row],[oo2]],1,"")</f>
        <v/>
      </c>
      <c r="D173" s="112" t="str">
        <f>IF(Tab.o1[[#This Row],[a1]]=1,IF(SUM(C173:C174)=0,0,IF(SUM(C172:C173)=1,1,IF(SUM(C172:C174)&gt;1,D172+1,0))),"")</f>
        <v/>
      </c>
      <c r="E173" s="113" t="str">
        <f>IF(Tab.o1[[#This Row],[a1]]=1,[1]!T.in.A[[#This Row],[oo1]],"")</f>
        <v/>
      </c>
      <c r="F173" s="113" t="str">
        <f>IF(Tab.o1[[#This Row],[a1]]=1,[1]!T.in.A[[#This Row],[pp1]],"")</f>
        <v/>
      </c>
      <c r="G173" s="114" t="str">
        <f>IF(Tab.o1[[#This Row],[a1]]=1,G$2+IF(G$1=1,0,Tab.o1[[#This Row],[.x1]])+[1]!T.in.A[[#This Row],[oo3]],"")</f>
        <v/>
      </c>
      <c r="H173" s="115" t="str">
        <f>IF(Tab.o1[[#This Row],[a1]]=1,IF(H$2=0,0,IF(G$1=1,0,Tab.o1[[#This Row],[.x1]])+[1]!T.in.A[[#This Row],[oo4]]),"")</f>
        <v/>
      </c>
      <c r="I173" s="116" t="str">
        <f>IF(Tab.o1[[#This Row],[a1]]=1,IF(J$2=0,Tab.o1[[#This Row],[MED]],Tab.o1[[#This Row],[MOD]]),"")</f>
        <v/>
      </c>
      <c r="J173" s="116" t="str">
        <f>IF(Tab.o1[[#This Row],[a1]]=1,((Tab.o1[[#This Row],[DIF_Target.]]-AVERAGE(Tab.o1[DIF_Target.]))/_xlfn.STDEV.P(Tab.o1[DIF_Target.])),"")</f>
        <v/>
      </c>
      <c r="K173" s="117" t="str">
        <f>IF(Tab.o1[[#This Row],[a1]]=1,IF(J$2=0,Tab.o1[[#This Row],[MOD]]-Tab.o1[[#This Row],[B]],IF(J$2=1,0,-Tab.o1[[#This Row],[MED]])+Tab.o1[[#This Row],[B]]),"")</f>
        <v/>
      </c>
      <c r="L173" s="117" t="str">
        <f ca="1">IF(Tab.o1[[#This Row],[DIF_Target]]=0,IF(L$2=0,Tab.o1[[#This Row],[DIF_Target]],AVERAGE(OFFSET(Tab.o1[[#This Row],[DIF_Target]],1,0,L$3,1)))/3,Tab.o1[[#This Row],[DIF_Target]])</f>
        <v/>
      </c>
      <c r="M173" s="118" t="str">
        <f>IF(Tab.o1[[#This Row],[a1]]=1,NORMSDIST(Tab.o1[[#This Row],[Za]]),"")</f>
        <v/>
      </c>
      <c r="N173" s="119" t="str">
        <f>IF(Tab.o1[[#This Row],[a1]]=1,((Tab.o1[[#This Row],[MedMod]]-AVERAGE(Tab.o1[MedMod]))/_xlfn.STDEV.P(Tab.o1[MedMod])*H$1205)+G$1205,"")</f>
        <v/>
      </c>
      <c r="O173" s="141" t="str">
        <f>IF(Tab.o1[[#This Row],[a1]]=1,Tab.o1[[#This Row],[Zb]]*_xlfn.STDEV.P(Tab.o1[MedMod])+AVERAGE(Tab.o1[MedMod]),"")</f>
        <v/>
      </c>
      <c r="P173" s="117" t="str">
        <f ca="1">IF(Tab.o1[[#This Row],[B]]=0,AVERAGE(OFFSET(Tab.o1[[#This Row],[B]],1,0,L$3,1)),Tab.o1[[#This Row],[B]])</f>
        <v/>
      </c>
      <c r="Q173" s="121" t="str">
        <f>IF(Tab.o1[[#This Row],[a1]]=1,NORMSDIST(Tab.o1[[#This Row],[Zb]]),"")</f>
        <v/>
      </c>
      <c r="R173" s="122" t="str">
        <f>IF(Tab.o1[[#This Row],[a1]]=1,((Tab.o1[[#This Row],[MedMod]]-AVERAGE(Tab.o1[MedMod]))/_xlfn.STDEV.P(Tab.o1[MedMod])*H$1203)+G$1203,"")</f>
        <v/>
      </c>
      <c r="S173" s="122" t="str">
        <f>IF(Tab.o1[[#This Row],[a1]]=1,((Tab.o1[[#This Row],[MedMod]]-AVERAGE(Tab.o1[MedMod]))/_xlfn.STDEV.P(Tab.o1[MedMod])*H$1204)+G$1204,"")</f>
        <v/>
      </c>
      <c r="T173" s="123" t="str">
        <f>IF(Tab.o1[[#This Row],[a1]]=1,Tab.o1[[#This Row],[Z-]]*_xlfn.STDEV.P(Tab.o1[B])+AVERAGE(Tab.o1[B]),"")</f>
        <v/>
      </c>
      <c r="U173" s="123" t="str">
        <f>IF(Tab.o1[[#This Row],[a1]]=1,Tab.o1[[#This Row],[z+]]*_xlfn.STDEV.P(Tab.o1[B])+AVERAGE(Tab.o1[B]),"")</f>
        <v/>
      </c>
      <c r="V173" s="124" t="str">
        <f>IF(Tab.o1[[#This Row],[a1]]=1,ABS((ABS(Tab.o1[[#This Row],[Red]]-Tab.o1[[#This Row],[Blue]]))),"")</f>
        <v/>
      </c>
      <c r="W173" s="125" t="str">
        <f>IF(Tab.o1[[#This Row],[a1]]=1,IF(W$3=0,1,Tab.o1[[#This Row],[Amp.]]*1/_xlfn.MINIFS(Tab.o1[Amp.],Tab.o1[Amp.],"&lt;&gt;0")),"")</f>
        <v/>
      </c>
      <c r="X173" s="126" t="str">
        <f>IF(Tab.o1[[#This Row],[a1]]=1,IF(ISNUMBER(Tab.o1[[#This Row],[i.]]),NORMDIST(Tab.o1[[#This Row],[Za]],0,1,FALSE)*Tab.o1[[#This Row],[i.]],AP$3),"")</f>
        <v/>
      </c>
      <c r="Y173" s="126" t="str">
        <f>IF(Tab.o1[[#This Row],[a1]]=1,0.01+0.94*Tab.o1[[#This Row],[PDF]]/MAX(Tab.o1[PDF]),"")</f>
        <v/>
      </c>
      <c r="Z173" s="126" t="str">
        <f>IF(Tab.o1[[#This Row],[a1]]=1,0.01+0.94*Tab.o1[[#This Row],[W1_PDF]]/MAX(Tab.o1[W1_PDF]),"")</f>
        <v/>
      </c>
      <c r="AA173" s="118" t="str">
        <f>IF(Tab.o1[[#This Row],[a1]]=1,ABS([1]!T.in.A[[#This Row],[oo6]]),"")</f>
        <v/>
      </c>
      <c r="AB173" s="127" t="str">
        <f>IF(Tab.o1[[#This Row],[a1]]=1,IF(AE$3=0,"",IF(AB$3=0,ABS([1]!T.in.A[[#This Row],[oo9]]),ABS(Tab.o1[[#This Row],[DIF_Target.]]*Tab.o1[[#This Row],[W1_PDF]]))),"")</f>
        <v/>
      </c>
      <c r="AC173" s="127" t="str">
        <f>IF(G$1=1,"",IF(Tab.o1[[#This Row],[a1]]=1,Tab.o1[[#This Row],[Wr]]^2,""))</f>
        <v/>
      </c>
      <c r="AD173" s="118" t="str">
        <f>IF(Tab.o1[[#This Row],[a1]]=1,IF(AE$3=0,"",Tab.o1[[#This Row],[Wr2]]/SUM(Tab.o1[Wr2])),"")</f>
        <v/>
      </c>
      <c r="AE173" s="128" t="str">
        <f>IF(Tab.o1[[#This Row],[a1]]=1,[1]!T.in.A[[#This Row],[oo10]],"")</f>
        <v/>
      </c>
      <c r="AF173" s="118" t="str">
        <f>IF(Tab.o1[[#This Row],[a1]]=1,ABS(Tab.o1[[#This Row],[DIF_Target.]]*Tab.o1[[#This Row],[PDF2]]*Tab.o1[[#This Row],[IN]]),"")</f>
        <v/>
      </c>
      <c r="AG173" s="129" t="str">
        <f>IF(Tab.o1[[#This Row],[a1]]=1,Tab.o1[[#This Row],[rW]]^2,"")</f>
        <v/>
      </c>
      <c r="AH173" s="130" t="str">
        <f>IF(Tab.o1[[#This Row],[a1]]=1,IF(AH$3=0,Tab.o1[[#This Row],[rW2]],0.01+0.94*Tab.o1[[#This Row],[rW2]]/SUM(Tab.o1[rW2])),"")</f>
        <v/>
      </c>
      <c r="AI173" s="128" t="str">
        <f>IF(Tab.o1[[#This Row],[a1]]=1,1/Tab.o1[[#This Row],[PDF]],"")</f>
        <v/>
      </c>
      <c r="AJ173" s="131" t="str">
        <f>IF(Tab.o1[[#This Row],[a1]]=1,[1]!T_AA[[#This Row],[IN'']]*[1]!T_AA[[#This Row],[Qde'']],"")</f>
        <v/>
      </c>
      <c r="AK173" s="132" t="str">
        <f>IF(Tab.o1[[#This Row],[a1]]=1,IF(AK$1=1,Tab.o1[[#This Row],[MED]]+Tab.o1[[#This Row],[MOD]]-Tab.o1[[#This Row],[MED]],""),"")</f>
        <v/>
      </c>
      <c r="AL173" s="133" t="str">
        <f>IF(Tab.o1[[#This Row],[a1]]=1,[1]!T.in.A[[#This Row],[oo16]],"")</f>
        <v/>
      </c>
      <c r="AM173" s="133" t="str">
        <f>IF(Tab.o1[[#This Row],[a1]]=1,IF(AM$3=1,[1]!T.in.A[[#This Row],[Σo16]],""),"")</f>
        <v/>
      </c>
      <c r="AN173" s="126" t="str">
        <f>IF(Tab.o1[[#This Row],[a1]]=1,[1]!T.in.A[[#This Row],[Σp5]],"")</f>
        <v/>
      </c>
      <c r="AO173" s="126" t="str">
        <f>IF(Tab.o1[[#This Row],[a1]]=1,IF(AO$3=1,[1]!T.in.A[[#This Row],[Σp5]],""),"")</f>
        <v/>
      </c>
      <c r="AP173" s="110" t="str">
        <f>IF(Tab.o1[[#This Row],[a1]]=1,IF(ISNUMBER(Tab.o1[[#This Row],[i.]]),NORMDIST(Tab.o1[[#This Row],[Za]],0,1,FALSE)*Tab.o1[[#This Row],[i.]],0),"")</f>
        <v/>
      </c>
      <c r="AQ173" s="125" t="str">
        <f>IF(Tab.o1[[#This Row],[a1]]=1,ABS(Tab.o1[[#This Row],[MOD]]-AVERAGE(Tab.o1[MOD])),"")</f>
        <v/>
      </c>
      <c r="AR173" s="134" t="str">
        <f>IF(Tab.o1[[#This Row],[a1]]=1,Tab.o1[[#This Row],[OBS]]/SUM(Tab.o1[OBS]),"")</f>
        <v/>
      </c>
      <c r="AS173" s="135" t="str">
        <f>IF(ISNUMBER(Tab.o1[[#This Row],[a1]]),ROW()-4,"")</f>
        <v/>
      </c>
      <c r="AT173" s="136" t="str">
        <f>Tab.o1[[#This Row],[MOD]]</f>
        <v/>
      </c>
      <c r="AU173" s="137" t="str">
        <f t="shared" si="9"/>
        <v/>
      </c>
      <c r="AV173" s="138" t="str">
        <f t="shared" si="10"/>
        <v/>
      </c>
      <c r="AW173" s="138" t="str">
        <f t="shared" si="11"/>
        <v/>
      </c>
      <c r="AX173" s="139" t="str">
        <f>[1]!T.in.A[[#This Row],[ID_T_manu]]</f>
        <v/>
      </c>
      <c r="AY173" s="140" t="str">
        <f>IF(ISNUMBER(Tab.o1[[#This Row],[a1]]),IF(AND(Tab.o1[[#This Row],[a1]]=1,Tab.o1[[#This Row],[b1]]&lt;=AY$4),#REF!,AY172),"")</f>
        <v/>
      </c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</row>
    <row r="174" spans="1:79" ht="14.25" hidden="1" customHeight="1">
      <c r="A174" s="109">
        <v>-5.9999999999999993E-6</v>
      </c>
      <c r="B174" s="110">
        <f t="shared" si="8"/>
        <v>174</v>
      </c>
      <c r="C174" s="111" t="str">
        <f>IF(C$1=[1]!T.in.A[[#This Row],[oo2]],1,"")</f>
        <v/>
      </c>
      <c r="D174" s="112" t="str">
        <f>IF(Tab.o1[[#This Row],[a1]]=1,IF(SUM(C174:C175)=0,0,IF(SUM(C173:C174)=1,1,IF(SUM(C173:C175)&gt;1,D173+1,0))),"")</f>
        <v/>
      </c>
      <c r="E174" s="113" t="str">
        <f>IF(Tab.o1[[#This Row],[a1]]=1,[1]!T.in.A[[#This Row],[oo1]],"")</f>
        <v/>
      </c>
      <c r="F174" s="113" t="str">
        <f>IF(Tab.o1[[#This Row],[a1]]=1,[1]!T.in.A[[#This Row],[pp1]],"")</f>
        <v/>
      </c>
      <c r="G174" s="114" t="str">
        <f>IF(Tab.o1[[#This Row],[a1]]=1,G$2+IF(G$1=1,0,Tab.o1[[#This Row],[.x1]])+[1]!T.in.A[[#This Row],[oo3]],"")</f>
        <v/>
      </c>
      <c r="H174" s="115" t="str">
        <f>IF(Tab.o1[[#This Row],[a1]]=1,IF(H$2=0,0,IF(G$1=1,0,Tab.o1[[#This Row],[.x1]])+[1]!T.in.A[[#This Row],[oo4]]),"")</f>
        <v/>
      </c>
      <c r="I174" s="116" t="str">
        <f>IF(Tab.o1[[#This Row],[a1]]=1,IF(J$2=0,Tab.o1[[#This Row],[MED]],Tab.o1[[#This Row],[MOD]]),"")</f>
        <v/>
      </c>
      <c r="J174" s="116" t="str">
        <f>IF(Tab.o1[[#This Row],[a1]]=1,((Tab.o1[[#This Row],[DIF_Target.]]-AVERAGE(Tab.o1[DIF_Target.]))/_xlfn.STDEV.P(Tab.o1[DIF_Target.])),"")</f>
        <v/>
      </c>
      <c r="K174" s="117" t="str">
        <f>IF(Tab.o1[[#This Row],[a1]]=1,IF(J$2=0,Tab.o1[[#This Row],[MOD]]-Tab.o1[[#This Row],[B]],IF(J$2=1,0,-Tab.o1[[#This Row],[MED]])+Tab.o1[[#This Row],[B]]),"")</f>
        <v/>
      </c>
      <c r="L174" s="117" t="str">
        <f ca="1">IF(Tab.o1[[#This Row],[DIF_Target]]=0,IF(L$2=0,Tab.o1[[#This Row],[DIF_Target]],AVERAGE(OFFSET(Tab.o1[[#This Row],[DIF_Target]],1,0,L$3,1)))/3,Tab.o1[[#This Row],[DIF_Target]])</f>
        <v/>
      </c>
      <c r="M174" s="118" t="str">
        <f>IF(Tab.o1[[#This Row],[a1]]=1,NORMSDIST(Tab.o1[[#This Row],[Za]]),"")</f>
        <v/>
      </c>
      <c r="N174" s="119" t="str">
        <f>IF(Tab.o1[[#This Row],[a1]]=1,((Tab.o1[[#This Row],[MedMod]]-AVERAGE(Tab.o1[MedMod]))/_xlfn.STDEV.P(Tab.o1[MedMod])*H$1205)+G$1205,"")</f>
        <v/>
      </c>
      <c r="O174" s="141" t="str">
        <f>IF(Tab.o1[[#This Row],[a1]]=1,Tab.o1[[#This Row],[Zb]]*_xlfn.STDEV.P(Tab.o1[MedMod])+AVERAGE(Tab.o1[MedMod]),"")</f>
        <v/>
      </c>
      <c r="P174" s="117" t="str">
        <f ca="1">IF(Tab.o1[[#This Row],[B]]=0,AVERAGE(OFFSET(Tab.o1[[#This Row],[B]],1,0,L$3,1)),Tab.o1[[#This Row],[B]])</f>
        <v/>
      </c>
      <c r="Q174" s="121" t="str">
        <f>IF(Tab.o1[[#This Row],[a1]]=1,NORMSDIST(Tab.o1[[#This Row],[Zb]]),"")</f>
        <v/>
      </c>
      <c r="R174" s="122" t="str">
        <f>IF(Tab.o1[[#This Row],[a1]]=1,((Tab.o1[[#This Row],[MedMod]]-AVERAGE(Tab.o1[MedMod]))/_xlfn.STDEV.P(Tab.o1[MedMod])*H$1203)+G$1203,"")</f>
        <v/>
      </c>
      <c r="S174" s="122" t="str">
        <f>IF(Tab.o1[[#This Row],[a1]]=1,((Tab.o1[[#This Row],[MedMod]]-AVERAGE(Tab.o1[MedMod]))/_xlfn.STDEV.P(Tab.o1[MedMod])*H$1204)+G$1204,"")</f>
        <v/>
      </c>
      <c r="T174" s="123" t="str">
        <f>IF(Tab.o1[[#This Row],[a1]]=1,Tab.o1[[#This Row],[Z-]]*_xlfn.STDEV.P(Tab.o1[B])+AVERAGE(Tab.o1[B]),"")</f>
        <v/>
      </c>
      <c r="U174" s="123" t="str">
        <f>IF(Tab.o1[[#This Row],[a1]]=1,Tab.o1[[#This Row],[z+]]*_xlfn.STDEV.P(Tab.o1[B])+AVERAGE(Tab.o1[B]),"")</f>
        <v/>
      </c>
      <c r="V174" s="124" t="str">
        <f>IF(Tab.o1[[#This Row],[a1]]=1,ABS((ABS(Tab.o1[[#This Row],[Red]]-Tab.o1[[#This Row],[Blue]]))),"")</f>
        <v/>
      </c>
      <c r="W174" s="125" t="str">
        <f>IF(Tab.o1[[#This Row],[a1]]=1,IF(W$3=0,1,Tab.o1[[#This Row],[Amp.]]*1/_xlfn.MINIFS(Tab.o1[Amp.],Tab.o1[Amp.],"&lt;&gt;0")),"")</f>
        <v/>
      </c>
      <c r="X174" s="126" t="str">
        <f>IF(Tab.o1[[#This Row],[a1]]=1,IF(ISNUMBER(Tab.o1[[#This Row],[i.]]),NORMDIST(Tab.o1[[#This Row],[Za]],0,1,FALSE)*Tab.o1[[#This Row],[i.]],AP$3),"")</f>
        <v/>
      </c>
      <c r="Y174" s="126" t="str">
        <f>IF(Tab.o1[[#This Row],[a1]]=1,0.01+0.94*Tab.o1[[#This Row],[PDF]]/MAX(Tab.o1[PDF]),"")</f>
        <v/>
      </c>
      <c r="Z174" s="126" t="str">
        <f>IF(Tab.o1[[#This Row],[a1]]=1,0.01+0.94*Tab.o1[[#This Row],[W1_PDF]]/MAX(Tab.o1[W1_PDF]),"")</f>
        <v/>
      </c>
      <c r="AA174" s="118" t="str">
        <f>IF(Tab.o1[[#This Row],[a1]]=1,ABS([1]!T.in.A[[#This Row],[oo6]]),"")</f>
        <v/>
      </c>
      <c r="AB174" s="127" t="str">
        <f>IF(Tab.o1[[#This Row],[a1]]=1,IF(AE$3=0,"",IF(AB$3=0,ABS([1]!T.in.A[[#This Row],[oo9]]),ABS(Tab.o1[[#This Row],[DIF_Target.]]*Tab.o1[[#This Row],[W1_PDF]]))),"")</f>
        <v/>
      </c>
      <c r="AC174" s="127" t="str">
        <f>IF(G$1=1,"",IF(Tab.o1[[#This Row],[a1]]=1,Tab.o1[[#This Row],[Wr]]^2,""))</f>
        <v/>
      </c>
      <c r="AD174" s="118" t="str">
        <f>IF(Tab.o1[[#This Row],[a1]]=1,IF(AE$3=0,"",Tab.o1[[#This Row],[Wr2]]/SUM(Tab.o1[Wr2])),"")</f>
        <v/>
      </c>
      <c r="AE174" s="128" t="str">
        <f>IF(Tab.o1[[#This Row],[a1]]=1,[1]!T.in.A[[#This Row],[oo10]],"")</f>
        <v/>
      </c>
      <c r="AF174" s="118" t="str">
        <f>IF(Tab.o1[[#This Row],[a1]]=1,ABS(Tab.o1[[#This Row],[DIF_Target.]]*Tab.o1[[#This Row],[PDF2]]*Tab.o1[[#This Row],[IN]]),"")</f>
        <v/>
      </c>
      <c r="AG174" s="129" t="str">
        <f>IF(Tab.o1[[#This Row],[a1]]=1,Tab.o1[[#This Row],[rW]]^2,"")</f>
        <v/>
      </c>
      <c r="AH174" s="130" t="str">
        <f>IF(Tab.o1[[#This Row],[a1]]=1,IF(AH$3=0,Tab.o1[[#This Row],[rW2]],0.01+0.94*Tab.o1[[#This Row],[rW2]]/SUM(Tab.o1[rW2])),"")</f>
        <v/>
      </c>
      <c r="AI174" s="128" t="str">
        <f>IF(Tab.o1[[#This Row],[a1]]=1,1/Tab.o1[[#This Row],[PDF]],"")</f>
        <v/>
      </c>
      <c r="AJ174" s="131" t="str">
        <f>IF(Tab.o1[[#This Row],[a1]]=1,[1]!T_AA[[#This Row],[IN'']]*[1]!T_AA[[#This Row],[Qde'']],"")</f>
        <v/>
      </c>
      <c r="AK174" s="132" t="str">
        <f>IF(Tab.o1[[#This Row],[a1]]=1,IF(AK$1=1,Tab.o1[[#This Row],[MED]]+Tab.o1[[#This Row],[MOD]]-Tab.o1[[#This Row],[MED]],""),"")</f>
        <v/>
      </c>
      <c r="AL174" s="133" t="str">
        <f>IF(Tab.o1[[#This Row],[a1]]=1,[1]!T.in.A[[#This Row],[oo16]],"")</f>
        <v/>
      </c>
      <c r="AM174" s="133" t="str">
        <f>IF(Tab.o1[[#This Row],[a1]]=1,IF(AM$3=1,[1]!T.in.A[[#This Row],[Σo16]],""),"")</f>
        <v/>
      </c>
      <c r="AN174" s="126" t="str">
        <f>IF(Tab.o1[[#This Row],[a1]]=1,[1]!T.in.A[[#This Row],[Σp5]],"")</f>
        <v/>
      </c>
      <c r="AO174" s="126" t="str">
        <f>IF(Tab.o1[[#This Row],[a1]]=1,IF(AO$3=1,[1]!T.in.A[[#This Row],[Σp5]],""),"")</f>
        <v/>
      </c>
      <c r="AP174" s="110" t="str">
        <f>IF(Tab.o1[[#This Row],[a1]]=1,IF(ISNUMBER(Tab.o1[[#This Row],[i.]]),NORMDIST(Tab.o1[[#This Row],[Za]],0,1,FALSE)*Tab.o1[[#This Row],[i.]],0),"")</f>
        <v/>
      </c>
      <c r="AQ174" s="125" t="str">
        <f>IF(Tab.o1[[#This Row],[a1]]=1,ABS(Tab.o1[[#This Row],[MOD]]-AVERAGE(Tab.o1[MOD])),"")</f>
        <v/>
      </c>
      <c r="AR174" s="134" t="str">
        <f>IF(Tab.o1[[#This Row],[a1]]=1,Tab.o1[[#This Row],[OBS]]/SUM(Tab.o1[OBS]),"")</f>
        <v/>
      </c>
      <c r="AS174" s="135" t="str">
        <f>IF(ISNUMBER(Tab.o1[[#This Row],[a1]]),ROW()-4,"")</f>
        <v/>
      </c>
      <c r="AT174" s="136" t="str">
        <f>Tab.o1[[#This Row],[MOD]]</f>
        <v/>
      </c>
      <c r="AU174" s="137" t="str">
        <f t="shared" si="9"/>
        <v/>
      </c>
      <c r="AV174" s="138" t="str">
        <f t="shared" si="10"/>
        <v/>
      </c>
      <c r="AW174" s="138" t="str">
        <f t="shared" si="11"/>
        <v/>
      </c>
      <c r="AX174" s="139" t="str">
        <f>[1]!T.in.A[[#This Row],[ID_T_manu]]</f>
        <v/>
      </c>
      <c r="AY174" s="140" t="str">
        <f>IF(ISNUMBER(Tab.o1[[#This Row],[a1]]),IF(AND(Tab.o1[[#This Row],[a1]]=1,Tab.o1[[#This Row],[b1]]&lt;=AY$4),#REF!,AY173),"")</f>
        <v/>
      </c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</row>
    <row r="175" spans="1:79" ht="14.25" hidden="1" customHeight="1">
      <c r="A175" s="109">
        <v>-5.0000000000000004E-6</v>
      </c>
      <c r="B175" s="110">
        <f t="shared" si="8"/>
        <v>175</v>
      </c>
      <c r="C175" s="111" t="str">
        <f>IF(C$1=[1]!T.in.A[[#This Row],[oo2]],1,"")</f>
        <v/>
      </c>
      <c r="D175" s="112" t="str">
        <f>IF(Tab.o1[[#This Row],[a1]]=1,IF(SUM(C175:C176)=0,0,IF(SUM(C174:C175)=1,1,IF(SUM(C174:C176)&gt;1,D174+1,0))),"")</f>
        <v/>
      </c>
      <c r="E175" s="113" t="str">
        <f>IF(Tab.o1[[#This Row],[a1]]=1,[1]!T.in.A[[#This Row],[oo1]],"")</f>
        <v/>
      </c>
      <c r="F175" s="113" t="str">
        <f>IF(Tab.o1[[#This Row],[a1]]=1,[1]!T.in.A[[#This Row],[pp1]],"")</f>
        <v/>
      </c>
      <c r="G175" s="114" t="str">
        <f>IF(Tab.o1[[#This Row],[a1]]=1,G$2+IF(G$1=1,0,Tab.o1[[#This Row],[.x1]])+[1]!T.in.A[[#This Row],[oo3]],"")</f>
        <v/>
      </c>
      <c r="H175" s="115" t="str">
        <f>IF(Tab.o1[[#This Row],[a1]]=1,IF(H$2=0,0,IF(G$1=1,0,Tab.o1[[#This Row],[.x1]])+[1]!T.in.A[[#This Row],[oo4]]),"")</f>
        <v/>
      </c>
      <c r="I175" s="116" t="str">
        <f>IF(Tab.o1[[#This Row],[a1]]=1,IF(J$2=0,Tab.o1[[#This Row],[MED]],Tab.o1[[#This Row],[MOD]]),"")</f>
        <v/>
      </c>
      <c r="J175" s="116" t="str">
        <f>IF(Tab.o1[[#This Row],[a1]]=1,((Tab.o1[[#This Row],[DIF_Target.]]-AVERAGE(Tab.o1[DIF_Target.]))/_xlfn.STDEV.P(Tab.o1[DIF_Target.])),"")</f>
        <v/>
      </c>
      <c r="K175" s="117" t="str">
        <f>IF(Tab.o1[[#This Row],[a1]]=1,IF(J$2=0,Tab.o1[[#This Row],[MOD]]-Tab.o1[[#This Row],[B]],IF(J$2=1,0,-Tab.o1[[#This Row],[MED]])+Tab.o1[[#This Row],[B]]),"")</f>
        <v/>
      </c>
      <c r="L175" s="117" t="str">
        <f ca="1">IF(Tab.o1[[#This Row],[DIF_Target]]=0,IF(L$2=0,Tab.o1[[#This Row],[DIF_Target]],AVERAGE(OFFSET(Tab.o1[[#This Row],[DIF_Target]],1,0,L$3,1)))/3,Tab.o1[[#This Row],[DIF_Target]])</f>
        <v/>
      </c>
      <c r="M175" s="118" t="str">
        <f>IF(Tab.o1[[#This Row],[a1]]=1,NORMSDIST(Tab.o1[[#This Row],[Za]]),"")</f>
        <v/>
      </c>
      <c r="N175" s="119" t="str">
        <f>IF(Tab.o1[[#This Row],[a1]]=1,((Tab.o1[[#This Row],[MedMod]]-AVERAGE(Tab.o1[MedMod]))/_xlfn.STDEV.P(Tab.o1[MedMod])*H$1205)+G$1205,"")</f>
        <v/>
      </c>
      <c r="O175" s="141" t="str">
        <f>IF(Tab.o1[[#This Row],[a1]]=1,Tab.o1[[#This Row],[Zb]]*_xlfn.STDEV.P(Tab.o1[MedMod])+AVERAGE(Tab.o1[MedMod]),"")</f>
        <v/>
      </c>
      <c r="P175" s="117" t="str">
        <f ca="1">IF(Tab.o1[[#This Row],[B]]=0,AVERAGE(OFFSET(Tab.o1[[#This Row],[B]],1,0,L$3,1)),Tab.o1[[#This Row],[B]])</f>
        <v/>
      </c>
      <c r="Q175" s="121" t="str">
        <f>IF(Tab.o1[[#This Row],[a1]]=1,NORMSDIST(Tab.o1[[#This Row],[Zb]]),"")</f>
        <v/>
      </c>
      <c r="R175" s="122" t="str">
        <f>IF(Tab.o1[[#This Row],[a1]]=1,((Tab.o1[[#This Row],[MedMod]]-AVERAGE(Tab.o1[MedMod]))/_xlfn.STDEV.P(Tab.o1[MedMod])*H$1203)+G$1203,"")</f>
        <v/>
      </c>
      <c r="S175" s="122" t="str">
        <f>IF(Tab.o1[[#This Row],[a1]]=1,((Tab.o1[[#This Row],[MedMod]]-AVERAGE(Tab.o1[MedMod]))/_xlfn.STDEV.P(Tab.o1[MedMod])*H$1204)+G$1204,"")</f>
        <v/>
      </c>
      <c r="T175" s="123" t="str">
        <f>IF(Tab.o1[[#This Row],[a1]]=1,Tab.o1[[#This Row],[Z-]]*_xlfn.STDEV.P(Tab.o1[B])+AVERAGE(Tab.o1[B]),"")</f>
        <v/>
      </c>
      <c r="U175" s="123" t="str">
        <f>IF(Tab.o1[[#This Row],[a1]]=1,Tab.o1[[#This Row],[z+]]*_xlfn.STDEV.P(Tab.o1[B])+AVERAGE(Tab.o1[B]),"")</f>
        <v/>
      </c>
      <c r="V175" s="124" t="str">
        <f>IF(Tab.o1[[#This Row],[a1]]=1,ABS((ABS(Tab.o1[[#This Row],[Red]]-Tab.o1[[#This Row],[Blue]]))),"")</f>
        <v/>
      </c>
      <c r="W175" s="125" t="str">
        <f>IF(Tab.o1[[#This Row],[a1]]=1,IF(W$3=0,1,Tab.o1[[#This Row],[Amp.]]*1/_xlfn.MINIFS(Tab.o1[Amp.],Tab.o1[Amp.],"&lt;&gt;0")),"")</f>
        <v/>
      </c>
      <c r="X175" s="126" t="str">
        <f>IF(Tab.o1[[#This Row],[a1]]=1,IF(ISNUMBER(Tab.o1[[#This Row],[i.]]),NORMDIST(Tab.o1[[#This Row],[Za]],0,1,FALSE)*Tab.o1[[#This Row],[i.]],AP$3),"")</f>
        <v/>
      </c>
      <c r="Y175" s="126" t="str">
        <f>IF(Tab.o1[[#This Row],[a1]]=1,0.01+0.94*Tab.o1[[#This Row],[PDF]]/MAX(Tab.o1[PDF]),"")</f>
        <v/>
      </c>
      <c r="Z175" s="126" t="str">
        <f>IF(Tab.o1[[#This Row],[a1]]=1,0.01+0.94*Tab.o1[[#This Row],[W1_PDF]]/MAX(Tab.o1[W1_PDF]),"")</f>
        <v/>
      </c>
      <c r="AA175" s="118" t="str">
        <f>IF(Tab.o1[[#This Row],[a1]]=1,ABS([1]!T.in.A[[#This Row],[oo6]]),"")</f>
        <v/>
      </c>
      <c r="AB175" s="127" t="str">
        <f>IF(Tab.o1[[#This Row],[a1]]=1,IF(AE$3=0,"",IF(AB$3=0,ABS([1]!T.in.A[[#This Row],[oo9]]),ABS(Tab.o1[[#This Row],[DIF_Target.]]*Tab.o1[[#This Row],[W1_PDF]]))),"")</f>
        <v/>
      </c>
      <c r="AC175" s="127" t="str">
        <f>IF(G$1=1,"",IF(Tab.o1[[#This Row],[a1]]=1,Tab.o1[[#This Row],[Wr]]^2,""))</f>
        <v/>
      </c>
      <c r="AD175" s="118" t="str">
        <f>IF(Tab.o1[[#This Row],[a1]]=1,IF(AE$3=0,"",Tab.o1[[#This Row],[Wr2]]/SUM(Tab.o1[Wr2])),"")</f>
        <v/>
      </c>
      <c r="AE175" s="128" t="str">
        <f>IF(Tab.o1[[#This Row],[a1]]=1,[1]!T.in.A[[#This Row],[oo10]],"")</f>
        <v/>
      </c>
      <c r="AF175" s="118" t="str">
        <f>IF(Tab.o1[[#This Row],[a1]]=1,ABS(Tab.o1[[#This Row],[DIF_Target.]]*Tab.o1[[#This Row],[PDF2]]*Tab.o1[[#This Row],[IN]]),"")</f>
        <v/>
      </c>
      <c r="AG175" s="129" t="str">
        <f>IF(Tab.o1[[#This Row],[a1]]=1,Tab.o1[[#This Row],[rW]]^2,"")</f>
        <v/>
      </c>
      <c r="AH175" s="130" t="str">
        <f>IF(Tab.o1[[#This Row],[a1]]=1,IF(AH$3=0,Tab.o1[[#This Row],[rW2]],0.01+0.94*Tab.o1[[#This Row],[rW2]]/SUM(Tab.o1[rW2])),"")</f>
        <v/>
      </c>
      <c r="AI175" s="128" t="str">
        <f>IF(Tab.o1[[#This Row],[a1]]=1,1/Tab.o1[[#This Row],[PDF]],"")</f>
        <v/>
      </c>
      <c r="AJ175" s="131" t="str">
        <f>IF(Tab.o1[[#This Row],[a1]]=1,[1]!T_AA[[#This Row],[IN'']]*[1]!T_AA[[#This Row],[Qde'']],"")</f>
        <v/>
      </c>
      <c r="AK175" s="132" t="str">
        <f>IF(Tab.o1[[#This Row],[a1]]=1,IF(AK$1=1,Tab.o1[[#This Row],[MED]]+Tab.o1[[#This Row],[MOD]]-Tab.o1[[#This Row],[MED]],""),"")</f>
        <v/>
      </c>
      <c r="AL175" s="133" t="str">
        <f>IF(Tab.o1[[#This Row],[a1]]=1,[1]!T.in.A[[#This Row],[oo16]],"")</f>
        <v/>
      </c>
      <c r="AM175" s="133" t="str">
        <f>IF(Tab.o1[[#This Row],[a1]]=1,IF(AM$3=1,[1]!T.in.A[[#This Row],[Σo16]],""),"")</f>
        <v/>
      </c>
      <c r="AN175" s="126" t="str">
        <f>IF(Tab.o1[[#This Row],[a1]]=1,[1]!T.in.A[[#This Row],[Σp5]],"")</f>
        <v/>
      </c>
      <c r="AO175" s="126" t="str">
        <f>IF(Tab.o1[[#This Row],[a1]]=1,IF(AO$3=1,[1]!T.in.A[[#This Row],[Σp5]],""),"")</f>
        <v/>
      </c>
      <c r="AP175" s="110" t="str">
        <f>IF(Tab.o1[[#This Row],[a1]]=1,IF(ISNUMBER(Tab.o1[[#This Row],[i.]]),NORMDIST(Tab.o1[[#This Row],[Za]],0,1,FALSE)*Tab.o1[[#This Row],[i.]],0),"")</f>
        <v/>
      </c>
      <c r="AQ175" s="125" t="str">
        <f>IF(Tab.o1[[#This Row],[a1]]=1,ABS(Tab.o1[[#This Row],[MOD]]-AVERAGE(Tab.o1[MOD])),"")</f>
        <v/>
      </c>
      <c r="AR175" s="134" t="str">
        <f>IF(Tab.o1[[#This Row],[a1]]=1,Tab.o1[[#This Row],[OBS]]/SUM(Tab.o1[OBS]),"")</f>
        <v/>
      </c>
      <c r="AS175" s="135" t="str">
        <f>IF(ISNUMBER(Tab.o1[[#This Row],[a1]]),ROW()-4,"")</f>
        <v/>
      </c>
      <c r="AT175" s="136" t="str">
        <f>Tab.o1[[#This Row],[MOD]]</f>
        <v/>
      </c>
      <c r="AU175" s="137" t="str">
        <f t="shared" si="9"/>
        <v/>
      </c>
      <c r="AV175" s="138" t="str">
        <f t="shared" si="10"/>
        <v/>
      </c>
      <c r="AW175" s="138" t="str">
        <f t="shared" si="11"/>
        <v/>
      </c>
      <c r="AX175" s="139" t="str">
        <f>[1]!T.in.A[[#This Row],[ID_T_manu]]</f>
        <v/>
      </c>
      <c r="AY175" s="140" t="str">
        <f>IF(ISNUMBER(Tab.o1[[#This Row],[a1]]),IF(AND(Tab.o1[[#This Row],[a1]]=1,Tab.o1[[#This Row],[b1]]&lt;=AY$4),#REF!,AY174),"")</f>
        <v/>
      </c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</row>
    <row r="176" spans="1:79" ht="14.25" hidden="1" customHeight="1">
      <c r="A176" s="109">
        <v>1.0000000000000001E-5</v>
      </c>
      <c r="B176" s="110">
        <f t="shared" si="8"/>
        <v>176</v>
      </c>
      <c r="C176" s="111" t="str">
        <f>IF(C$1=[1]!T.in.A[[#This Row],[oo2]],1,"")</f>
        <v/>
      </c>
      <c r="D176" s="112" t="str">
        <f>IF(Tab.o1[[#This Row],[a1]]=1,IF(SUM(C176:C177)=0,0,IF(SUM(C175:C176)=1,1,IF(SUM(C175:C177)&gt;1,D175+1,0))),"")</f>
        <v/>
      </c>
      <c r="E176" s="113" t="str">
        <f>IF(Tab.o1[[#This Row],[a1]]=1,[1]!T.in.A[[#This Row],[oo1]],"")</f>
        <v/>
      </c>
      <c r="F176" s="113" t="str">
        <f>IF(Tab.o1[[#This Row],[a1]]=1,[1]!T.in.A[[#This Row],[pp1]],"")</f>
        <v/>
      </c>
      <c r="G176" s="114" t="str">
        <f>IF(Tab.o1[[#This Row],[a1]]=1,G$2+IF(G$1=1,0,Tab.o1[[#This Row],[.x1]])+[1]!T.in.A[[#This Row],[oo3]],"")</f>
        <v/>
      </c>
      <c r="H176" s="115" t="str">
        <f>IF(Tab.o1[[#This Row],[a1]]=1,IF(H$2=0,0,IF(G$1=1,0,Tab.o1[[#This Row],[.x1]])+[1]!T.in.A[[#This Row],[oo4]]),"")</f>
        <v/>
      </c>
      <c r="I176" s="116" t="str">
        <f>IF(Tab.o1[[#This Row],[a1]]=1,IF(J$2=0,Tab.o1[[#This Row],[MED]],Tab.o1[[#This Row],[MOD]]),"")</f>
        <v/>
      </c>
      <c r="J176" s="116" t="str">
        <f>IF(Tab.o1[[#This Row],[a1]]=1,((Tab.o1[[#This Row],[DIF_Target.]]-AVERAGE(Tab.o1[DIF_Target.]))/_xlfn.STDEV.P(Tab.o1[DIF_Target.])),"")</f>
        <v/>
      </c>
      <c r="K176" s="117" t="str">
        <f>IF(Tab.o1[[#This Row],[a1]]=1,IF(J$2=0,Tab.o1[[#This Row],[MOD]]-Tab.o1[[#This Row],[B]],IF(J$2=1,0,-Tab.o1[[#This Row],[MED]])+Tab.o1[[#This Row],[B]]),"")</f>
        <v/>
      </c>
      <c r="L176" s="117" t="str">
        <f ca="1">IF(Tab.o1[[#This Row],[DIF_Target]]=0,IF(L$2=0,Tab.o1[[#This Row],[DIF_Target]],AVERAGE(OFFSET(Tab.o1[[#This Row],[DIF_Target]],1,0,L$3,1)))/3,Tab.o1[[#This Row],[DIF_Target]])</f>
        <v/>
      </c>
      <c r="M176" s="118" t="str">
        <f>IF(Tab.o1[[#This Row],[a1]]=1,NORMSDIST(Tab.o1[[#This Row],[Za]]),"")</f>
        <v/>
      </c>
      <c r="N176" s="119" t="str">
        <f>IF(Tab.o1[[#This Row],[a1]]=1,((Tab.o1[[#This Row],[MedMod]]-AVERAGE(Tab.o1[MedMod]))/_xlfn.STDEV.P(Tab.o1[MedMod])*H$1205)+G$1205,"")</f>
        <v/>
      </c>
      <c r="O176" s="141" t="str">
        <f>IF(Tab.o1[[#This Row],[a1]]=1,Tab.o1[[#This Row],[Zb]]*_xlfn.STDEV.P(Tab.o1[MedMod])+AVERAGE(Tab.o1[MedMod]),"")</f>
        <v/>
      </c>
      <c r="P176" s="117" t="str">
        <f ca="1">IF(Tab.o1[[#This Row],[B]]=0,AVERAGE(OFFSET(Tab.o1[[#This Row],[B]],1,0,L$3,1)),Tab.o1[[#This Row],[B]])</f>
        <v/>
      </c>
      <c r="Q176" s="121" t="str">
        <f>IF(Tab.o1[[#This Row],[a1]]=1,NORMSDIST(Tab.o1[[#This Row],[Zb]]),"")</f>
        <v/>
      </c>
      <c r="R176" s="122" t="str">
        <f>IF(Tab.o1[[#This Row],[a1]]=1,((Tab.o1[[#This Row],[MedMod]]-AVERAGE(Tab.o1[MedMod]))/_xlfn.STDEV.P(Tab.o1[MedMod])*H$1203)+G$1203,"")</f>
        <v/>
      </c>
      <c r="S176" s="122" t="str">
        <f>IF(Tab.o1[[#This Row],[a1]]=1,((Tab.o1[[#This Row],[MedMod]]-AVERAGE(Tab.o1[MedMod]))/_xlfn.STDEV.P(Tab.o1[MedMod])*H$1204)+G$1204,"")</f>
        <v/>
      </c>
      <c r="T176" s="123" t="str">
        <f>IF(Tab.o1[[#This Row],[a1]]=1,Tab.o1[[#This Row],[Z-]]*_xlfn.STDEV.P(Tab.o1[B])+AVERAGE(Tab.o1[B]),"")</f>
        <v/>
      </c>
      <c r="U176" s="123" t="str">
        <f>IF(Tab.o1[[#This Row],[a1]]=1,Tab.o1[[#This Row],[z+]]*_xlfn.STDEV.P(Tab.o1[B])+AVERAGE(Tab.o1[B]),"")</f>
        <v/>
      </c>
      <c r="V176" s="124" t="str">
        <f>IF(Tab.o1[[#This Row],[a1]]=1,ABS((ABS(Tab.o1[[#This Row],[Red]]-Tab.o1[[#This Row],[Blue]]))),"")</f>
        <v/>
      </c>
      <c r="W176" s="125" t="str">
        <f>IF(Tab.o1[[#This Row],[a1]]=1,IF(W$3=0,1,Tab.o1[[#This Row],[Amp.]]*1/_xlfn.MINIFS(Tab.o1[Amp.],Tab.o1[Amp.],"&lt;&gt;0")),"")</f>
        <v/>
      </c>
      <c r="X176" s="126" t="str">
        <f>IF(Tab.o1[[#This Row],[a1]]=1,IF(ISNUMBER(Tab.o1[[#This Row],[i.]]),NORMDIST(Tab.o1[[#This Row],[Za]],0,1,FALSE)*Tab.o1[[#This Row],[i.]],AP$3),"")</f>
        <v/>
      </c>
      <c r="Y176" s="126" t="str">
        <f>IF(Tab.o1[[#This Row],[a1]]=1,0.01+0.94*Tab.o1[[#This Row],[PDF]]/MAX(Tab.o1[PDF]),"")</f>
        <v/>
      </c>
      <c r="Z176" s="126" t="str">
        <f>IF(Tab.o1[[#This Row],[a1]]=1,0.01+0.94*Tab.o1[[#This Row],[W1_PDF]]/MAX(Tab.o1[W1_PDF]),"")</f>
        <v/>
      </c>
      <c r="AA176" s="118" t="str">
        <f>IF(Tab.o1[[#This Row],[a1]]=1,ABS([1]!T.in.A[[#This Row],[oo6]]),"")</f>
        <v/>
      </c>
      <c r="AB176" s="127" t="str">
        <f>IF(Tab.o1[[#This Row],[a1]]=1,IF(AE$3=0,"",IF(AB$3=0,ABS([1]!T.in.A[[#This Row],[oo9]]),ABS(Tab.o1[[#This Row],[DIF_Target.]]*Tab.o1[[#This Row],[W1_PDF]]))),"")</f>
        <v/>
      </c>
      <c r="AC176" s="127" t="str">
        <f>IF(G$1=1,"",IF(Tab.o1[[#This Row],[a1]]=1,Tab.o1[[#This Row],[Wr]]^2,""))</f>
        <v/>
      </c>
      <c r="AD176" s="118" t="str">
        <f>IF(Tab.o1[[#This Row],[a1]]=1,IF(AE$3=0,"",Tab.o1[[#This Row],[Wr2]]/SUM(Tab.o1[Wr2])),"")</f>
        <v/>
      </c>
      <c r="AE176" s="128" t="str">
        <f>IF(Tab.o1[[#This Row],[a1]]=1,[1]!T.in.A[[#This Row],[oo10]],"")</f>
        <v/>
      </c>
      <c r="AF176" s="118" t="str">
        <f>IF(Tab.o1[[#This Row],[a1]]=1,ABS(Tab.o1[[#This Row],[DIF_Target.]]*Tab.o1[[#This Row],[PDF2]]*Tab.o1[[#This Row],[IN]]),"")</f>
        <v/>
      </c>
      <c r="AG176" s="129" t="str">
        <f>IF(Tab.o1[[#This Row],[a1]]=1,Tab.o1[[#This Row],[rW]]^2,"")</f>
        <v/>
      </c>
      <c r="AH176" s="130" t="str">
        <f>IF(Tab.o1[[#This Row],[a1]]=1,IF(AH$3=0,Tab.o1[[#This Row],[rW2]],0.01+0.94*Tab.o1[[#This Row],[rW2]]/SUM(Tab.o1[rW2])),"")</f>
        <v/>
      </c>
      <c r="AI176" s="128" t="str">
        <f>IF(Tab.o1[[#This Row],[a1]]=1,1/Tab.o1[[#This Row],[PDF]],"")</f>
        <v/>
      </c>
      <c r="AJ176" s="131" t="str">
        <f>IF(Tab.o1[[#This Row],[a1]]=1,[1]!T_AA[[#This Row],[IN'']]*[1]!T_AA[[#This Row],[Qde'']],"")</f>
        <v/>
      </c>
      <c r="AK176" s="132" t="str">
        <f>IF(Tab.o1[[#This Row],[a1]]=1,IF(AK$1=1,Tab.o1[[#This Row],[MED]]+Tab.o1[[#This Row],[MOD]]-Tab.o1[[#This Row],[MED]],""),"")</f>
        <v/>
      </c>
      <c r="AL176" s="133" t="str">
        <f>IF(Tab.o1[[#This Row],[a1]]=1,[1]!T.in.A[[#This Row],[oo16]],"")</f>
        <v/>
      </c>
      <c r="AM176" s="133" t="str">
        <f>IF(Tab.o1[[#This Row],[a1]]=1,IF(AM$3=1,[1]!T.in.A[[#This Row],[Σo16]],""),"")</f>
        <v/>
      </c>
      <c r="AN176" s="126" t="str">
        <f>IF(Tab.o1[[#This Row],[a1]]=1,[1]!T.in.A[[#This Row],[Σp5]],"")</f>
        <v/>
      </c>
      <c r="AO176" s="126" t="str">
        <f>IF(Tab.o1[[#This Row],[a1]]=1,IF(AO$3=1,[1]!T.in.A[[#This Row],[Σp5]],""),"")</f>
        <v/>
      </c>
      <c r="AP176" s="110" t="str">
        <f>IF(Tab.o1[[#This Row],[a1]]=1,IF(ISNUMBER(Tab.o1[[#This Row],[i.]]),NORMDIST(Tab.o1[[#This Row],[Za]],0,1,FALSE)*Tab.o1[[#This Row],[i.]],0),"")</f>
        <v/>
      </c>
      <c r="AQ176" s="125" t="str">
        <f>IF(Tab.o1[[#This Row],[a1]]=1,ABS(Tab.o1[[#This Row],[MOD]]-AVERAGE(Tab.o1[MOD])),"")</f>
        <v/>
      </c>
      <c r="AR176" s="134" t="str">
        <f>IF(Tab.o1[[#This Row],[a1]]=1,Tab.o1[[#This Row],[OBS]]/SUM(Tab.o1[OBS]),"")</f>
        <v/>
      </c>
      <c r="AS176" s="135" t="str">
        <f>IF(ISNUMBER(Tab.o1[[#This Row],[a1]]),ROW()-4,"")</f>
        <v/>
      </c>
      <c r="AT176" s="136" t="str">
        <f>Tab.o1[[#This Row],[MOD]]</f>
        <v/>
      </c>
      <c r="AU176" s="137" t="str">
        <f t="shared" si="9"/>
        <v/>
      </c>
      <c r="AV176" s="138" t="str">
        <f t="shared" si="10"/>
        <v/>
      </c>
      <c r="AW176" s="138" t="str">
        <f t="shared" si="11"/>
        <v/>
      </c>
      <c r="AX176" s="139" t="str">
        <f>[1]!T.in.A[[#This Row],[ID_T_manu]]</f>
        <v/>
      </c>
      <c r="AY176" s="140" t="str">
        <f>IF(ISNUMBER(Tab.o1[[#This Row],[a1]]),IF(AND(Tab.o1[[#This Row],[a1]]=1,Tab.o1[[#This Row],[b1]]&lt;=AY$4),#REF!,AY175),"")</f>
        <v/>
      </c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</row>
    <row r="177" spans="1:79" ht="14.25" hidden="1" customHeight="1">
      <c r="A177" s="109">
        <v>-5.9999999999999993E-6</v>
      </c>
      <c r="B177" s="110">
        <f t="shared" si="8"/>
        <v>177</v>
      </c>
      <c r="C177" s="111" t="str">
        <f>IF(C$1=[1]!T.in.A[[#This Row],[oo2]],1,"")</f>
        <v/>
      </c>
      <c r="D177" s="112" t="str">
        <f>IF(Tab.o1[[#This Row],[a1]]=1,IF(SUM(C177:C178)=0,0,IF(SUM(C176:C177)=1,1,IF(SUM(C176:C178)&gt;1,D176+1,0))),"")</f>
        <v/>
      </c>
      <c r="E177" s="113" t="str">
        <f>IF(Tab.o1[[#This Row],[a1]]=1,[1]!T.in.A[[#This Row],[oo1]],"")</f>
        <v/>
      </c>
      <c r="F177" s="113" t="str">
        <f>IF(Tab.o1[[#This Row],[a1]]=1,[1]!T.in.A[[#This Row],[pp1]],"")</f>
        <v/>
      </c>
      <c r="G177" s="114" t="str">
        <f>IF(Tab.o1[[#This Row],[a1]]=1,G$2+IF(G$1=1,0,Tab.o1[[#This Row],[.x1]])+[1]!T.in.A[[#This Row],[oo3]],"")</f>
        <v/>
      </c>
      <c r="H177" s="115" t="str">
        <f>IF(Tab.o1[[#This Row],[a1]]=1,IF(H$2=0,0,IF(G$1=1,0,Tab.o1[[#This Row],[.x1]])+[1]!T.in.A[[#This Row],[oo4]]),"")</f>
        <v/>
      </c>
      <c r="I177" s="116" t="str">
        <f>IF(Tab.o1[[#This Row],[a1]]=1,IF(J$2=0,Tab.o1[[#This Row],[MED]],Tab.o1[[#This Row],[MOD]]),"")</f>
        <v/>
      </c>
      <c r="J177" s="116" t="str">
        <f>IF(Tab.o1[[#This Row],[a1]]=1,((Tab.o1[[#This Row],[DIF_Target.]]-AVERAGE(Tab.o1[DIF_Target.]))/_xlfn.STDEV.P(Tab.o1[DIF_Target.])),"")</f>
        <v/>
      </c>
      <c r="K177" s="117" t="str">
        <f>IF(Tab.o1[[#This Row],[a1]]=1,IF(J$2=0,Tab.o1[[#This Row],[MOD]]-Tab.o1[[#This Row],[B]],IF(J$2=1,0,-Tab.o1[[#This Row],[MED]])+Tab.o1[[#This Row],[B]]),"")</f>
        <v/>
      </c>
      <c r="L177" s="117" t="str">
        <f ca="1">IF(Tab.o1[[#This Row],[DIF_Target]]=0,IF(L$2=0,Tab.o1[[#This Row],[DIF_Target]],AVERAGE(OFFSET(Tab.o1[[#This Row],[DIF_Target]],1,0,L$3,1)))/3,Tab.o1[[#This Row],[DIF_Target]])</f>
        <v/>
      </c>
      <c r="M177" s="118" t="str">
        <f>IF(Tab.o1[[#This Row],[a1]]=1,NORMSDIST(Tab.o1[[#This Row],[Za]]),"")</f>
        <v/>
      </c>
      <c r="N177" s="119" t="str">
        <f>IF(Tab.o1[[#This Row],[a1]]=1,((Tab.o1[[#This Row],[MedMod]]-AVERAGE(Tab.o1[MedMod]))/_xlfn.STDEV.P(Tab.o1[MedMod])*H$1205)+G$1205,"")</f>
        <v/>
      </c>
      <c r="O177" s="141" t="str">
        <f>IF(Tab.o1[[#This Row],[a1]]=1,Tab.o1[[#This Row],[Zb]]*_xlfn.STDEV.P(Tab.o1[MedMod])+AVERAGE(Tab.o1[MedMod]),"")</f>
        <v/>
      </c>
      <c r="P177" s="117" t="str">
        <f ca="1">IF(Tab.o1[[#This Row],[B]]=0,AVERAGE(OFFSET(Tab.o1[[#This Row],[B]],1,0,L$3,1)),Tab.o1[[#This Row],[B]])</f>
        <v/>
      </c>
      <c r="Q177" s="121" t="str">
        <f>IF(Tab.o1[[#This Row],[a1]]=1,NORMSDIST(Tab.o1[[#This Row],[Zb]]),"")</f>
        <v/>
      </c>
      <c r="R177" s="122" t="str">
        <f>IF(Tab.o1[[#This Row],[a1]]=1,((Tab.o1[[#This Row],[MedMod]]-AVERAGE(Tab.o1[MedMod]))/_xlfn.STDEV.P(Tab.o1[MedMod])*H$1203)+G$1203,"")</f>
        <v/>
      </c>
      <c r="S177" s="122" t="str">
        <f>IF(Tab.o1[[#This Row],[a1]]=1,((Tab.o1[[#This Row],[MedMod]]-AVERAGE(Tab.o1[MedMod]))/_xlfn.STDEV.P(Tab.o1[MedMod])*H$1204)+G$1204,"")</f>
        <v/>
      </c>
      <c r="T177" s="123" t="str">
        <f>IF(Tab.o1[[#This Row],[a1]]=1,Tab.o1[[#This Row],[Z-]]*_xlfn.STDEV.P(Tab.o1[B])+AVERAGE(Tab.o1[B]),"")</f>
        <v/>
      </c>
      <c r="U177" s="123" t="str">
        <f>IF(Tab.o1[[#This Row],[a1]]=1,Tab.o1[[#This Row],[z+]]*_xlfn.STDEV.P(Tab.o1[B])+AVERAGE(Tab.o1[B]),"")</f>
        <v/>
      </c>
      <c r="V177" s="124" t="str">
        <f>IF(Tab.o1[[#This Row],[a1]]=1,ABS((ABS(Tab.o1[[#This Row],[Red]]-Tab.o1[[#This Row],[Blue]]))),"")</f>
        <v/>
      </c>
      <c r="W177" s="125" t="str">
        <f>IF(Tab.o1[[#This Row],[a1]]=1,IF(W$3=0,1,Tab.o1[[#This Row],[Amp.]]*1/_xlfn.MINIFS(Tab.o1[Amp.],Tab.o1[Amp.],"&lt;&gt;0")),"")</f>
        <v/>
      </c>
      <c r="X177" s="126" t="str">
        <f>IF(Tab.o1[[#This Row],[a1]]=1,IF(ISNUMBER(Tab.o1[[#This Row],[i.]]),NORMDIST(Tab.o1[[#This Row],[Za]],0,1,FALSE)*Tab.o1[[#This Row],[i.]],AP$3),"")</f>
        <v/>
      </c>
      <c r="Y177" s="126" t="str">
        <f>IF(Tab.o1[[#This Row],[a1]]=1,0.01+0.94*Tab.o1[[#This Row],[PDF]]/MAX(Tab.o1[PDF]),"")</f>
        <v/>
      </c>
      <c r="Z177" s="126" t="str">
        <f>IF(Tab.o1[[#This Row],[a1]]=1,0.01+0.94*Tab.o1[[#This Row],[W1_PDF]]/MAX(Tab.o1[W1_PDF]),"")</f>
        <v/>
      </c>
      <c r="AA177" s="118" t="str">
        <f>IF(Tab.o1[[#This Row],[a1]]=1,ABS([1]!T.in.A[[#This Row],[oo6]]),"")</f>
        <v/>
      </c>
      <c r="AB177" s="127" t="str">
        <f>IF(Tab.o1[[#This Row],[a1]]=1,IF(AE$3=0,"",IF(AB$3=0,ABS([1]!T.in.A[[#This Row],[oo9]]),ABS(Tab.o1[[#This Row],[DIF_Target.]]*Tab.o1[[#This Row],[W1_PDF]]))),"")</f>
        <v/>
      </c>
      <c r="AC177" s="127" t="str">
        <f>IF(G$1=1,"",IF(Tab.o1[[#This Row],[a1]]=1,Tab.o1[[#This Row],[Wr]]^2,""))</f>
        <v/>
      </c>
      <c r="AD177" s="118" t="str">
        <f>IF(Tab.o1[[#This Row],[a1]]=1,IF(AE$3=0,"",Tab.o1[[#This Row],[Wr2]]/SUM(Tab.o1[Wr2])),"")</f>
        <v/>
      </c>
      <c r="AE177" s="128" t="str">
        <f>IF(Tab.o1[[#This Row],[a1]]=1,[1]!T.in.A[[#This Row],[oo10]],"")</f>
        <v/>
      </c>
      <c r="AF177" s="118" t="str">
        <f>IF(Tab.o1[[#This Row],[a1]]=1,ABS(Tab.o1[[#This Row],[DIF_Target.]]*Tab.o1[[#This Row],[PDF2]]*Tab.o1[[#This Row],[IN]]),"")</f>
        <v/>
      </c>
      <c r="AG177" s="129" t="str">
        <f>IF(Tab.o1[[#This Row],[a1]]=1,Tab.o1[[#This Row],[rW]]^2,"")</f>
        <v/>
      </c>
      <c r="AH177" s="130" t="str">
        <f>IF(Tab.o1[[#This Row],[a1]]=1,IF(AH$3=0,Tab.o1[[#This Row],[rW2]],0.01+0.94*Tab.o1[[#This Row],[rW2]]/SUM(Tab.o1[rW2])),"")</f>
        <v/>
      </c>
      <c r="AI177" s="128" t="str">
        <f>IF(Tab.o1[[#This Row],[a1]]=1,1/Tab.o1[[#This Row],[PDF]],"")</f>
        <v/>
      </c>
      <c r="AJ177" s="131" t="str">
        <f>IF(Tab.o1[[#This Row],[a1]]=1,[1]!T_AA[[#This Row],[IN'']]*[1]!T_AA[[#This Row],[Qde'']],"")</f>
        <v/>
      </c>
      <c r="AK177" s="132" t="str">
        <f>IF(Tab.o1[[#This Row],[a1]]=1,IF(AK$1=1,Tab.o1[[#This Row],[MED]]+Tab.o1[[#This Row],[MOD]]-Tab.o1[[#This Row],[MED]],""),"")</f>
        <v/>
      </c>
      <c r="AL177" s="133" t="str">
        <f>IF(Tab.o1[[#This Row],[a1]]=1,[1]!T.in.A[[#This Row],[oo16]],"")</f>
        <v/>
      </c>
      <c r="AM177" s="133" t="str">
        <f>IF(Tab.o1[[#This Row],[a1]]=1,IF(AM$3=1,[1]!T.in.A[[#This Row],[Σo16]],""),"")</f>
        <v/>
      </c>
      <c r="AN177" s="126" t="str">
        <f>IF(Tab.o1[[#This Row],[a1]]=1,[1]!T.in.A[[#This Row],[Σp5]],"")</f>
        <v/>
      </c>
      <c r="AO177" s="126" t="str">
        <f>IF(Tab.o1[[#This Row],[a1]]=1,IF(AO$3=1,[1]!T.in.A[[#This Row],[Σp5]],""),"")</f>
        <v/>
      </c>
      <c r="AP177" s="110" t="str">
        <f>IF(Tab.o1[[#This Row],[a1]]=1,IF(ISNUMBER(Tab.o1[[#This Row],[i.]]),NORMDIST(Tab.o1[[#This Row],[Za]],0,1,FALSE)*Tab.o1[[#This Row],[i.]],0),"")</f>
        <v/>
      </c>
      <c r="AQ177" s="125" t="str">
        <f>IF(Tab.o1[[#This Row],[a1]]=1,ABS(Tab.o1[[#This Row],[MOD]]-AVERAGE(Tab.o1[MOD])),"")</f>
        <v/>
      </c>
      <c r="AR177" s="134" t="str">
        <f>IF(Tab.o1[[#This Row],[a1]]=1,Tab.o1[[#This Row],[OBS]]/SUM(Tab.o1[OBS]),"")</f>
        <v/>
      </c>
      <c r="AS177" s="135" t="str">
        <f>IF(ISNUMBER(Tab.o1[[#This Row],[a1]]),ROW()-4,"")</f>
        <v/>
      </c>
      <c r="AT177" s="136" t="str">
        <f>Tab.o1[[#This Row],[MOD]]</f>
        <v/>
      </c>
      <c r="AU177" s="137" t="str">
        <f t="shared" si="9"/>
        <v/>
      </c>
      <c r="AV177" s="138" t="str">
        <f t="shared" si="10"/>
        <v/>
      </c>
      <c r="AW177" s="138" t="str">
        <f t="shared" si="11"/>
        <v/>
      </c>
      <c r="AX177" s="139" t="str">
        <f>[1]!T.in.A[[#This Row],[ID_T_manu]]</f>
        <v/>
      </c>
      <c r="AY177" s="140" t="str">
        <f>IF(ISNUMBER(Tab.o1[[#This Row],[a1]]),IF(AND(Tab.o1[[#This Row],[a1]]=1,Tab.o1[[#This Row],[b1]]&lt;=AY$4),#REF!,AY176),"")</f>
        <v/>
      </c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</row>
    <row r="178" spans="1:79" ht="14.25" hidden="1" customHeight="1">
      <c r="A178" s="109">
        <v>8.0000000000000013E-6</v>
      </c>
      <c r="B178" s="110">
        <f t="shared" si="8"/>
        <v>178</v>
      </c>
      <c r="C178" s="111" t="str">
        <f>IF(C$1=[1]!T.in.A[[#This Row],[oo2]],1,"")</f>
        <v/>
      </c>
      <c r="D178" s="112" t="str">
        <f>IF(Tab.o1[[#This Row],[a1]]=1,IF(SUM(C178:C179)=0,0,IF(SUM(C177:C178)=1,1,IF(SUM(C177:C179)&gt;1,D177+1,0))),"")</f>
        <v/>
      </c>
      <c r="E178" s="113" t="str">
        <f>IF(Tab.o1[[#This Row],[a1]]=1,[1]!T.in.A[[#This Row],[oo1]],"")</f>
        <v/>
      </c>
      <c r="F178" s="113" t="str">
        <f>IF(Tab.o1[[#This Row],[a1]]=1,[1]!T.in.A[[#This Row],[pp1]],"")</f>
        <v/>
      </c>
      <c r="G178" s="114" t="str">
        <f>IF(Tab.o1[[#This Row],[a1]]=1,G$2+IF(G$1=1,0,Tab.o1[[#This Row],[.x1]])+[1]!T.in.A[[#This Row],[oo3]],"")</f>
        <v/>
      </c>
      <c r="H178" s="115" t="str">
        <f>IF(Tab.o1[[#This Row],[a1]]=1,IF(H$2=0,0,IF(G$1=1,0,Tab.o1[[#This Row],[.x1]])+[1]!T.in.A[[#This Row],[oo4]]),"")</f>
        <v/>
      </c>
      <c r="I178" s="116" t="str">
        <f>IF(Tab.o1[[#This Row],[a1]]=1,IF(J$2=0,Tab.o1[[#This Row],[MED]],Tab.o1[[#This Row],[MOD]]),"")</f>
        <v/>
      </c>
      <c r="J178" s="116" t="str">
        <f>IF(Tab.o1[[#This Row],[a1]]=1,((Tab.o1[[#This Row],[DIF_Target.]]-AVERAGE(Tab.o1[DIF_Target.]))/_xlfn.STDEV.P(Tab.o1[DIF_Target.])),"")</f>
        <v/>
      </c>
      <c r="K178" s="117" t="str">
        <f>IF(Tab.o1[[#This Row],[a1]]=1,IF(J$2=0,Tab.o1[[#This Row],[MOD]]-Tab.o1[[#This Row],[B]],IF(J$2=1,0,-Tab.o1[[#This Row],[MED]])+Tab.o1[[#This Row],[B]]),"")</f>
        <v/>
      </c>
      <c r="L178" s="117" t="str">
        <f ca="1">IF(Tab.o1[[#This Row],[DIF_Target]]=0,IF(L$2=0,Tab.o1[[#This Row],[DIF_Target]],AVERAGE(OFFSET(Tab.o1[[#This Row],[DIF_Target]],1,0,L$3,1)))/3,Tab.o1[[#This Row],[DIF_Target]])</f>
        <v/>
      </c>
      <c r="M178" s="118" t="str">
        <f>IF(Tab.o1[[#This Row],[a1]]=1,NORMSDIST(Tab.o1[[#This Row],[Za]]),"")</f>
        <v/>
      </c>
      <c r="N178" s="119" t="str">
        <f>IF(Tab.o1[[#This Row],[a1]]=1,((Tab.o1[[#This Row],[MedMod]]-AVERAGE(Tab.o1[MedMod]))/_xlfn.STDEV.P(Tab.o1[MedMod])*H$1205)+G$1205,"")</f>
        <v/>
      </c>
      <c r="O178" s="141" t="str">
        <f>IF(Tab.o1[[#This Row],[a1]]=1,Tab.o1[[#This Row],[Zb]]*_xlfn.STDEV.P(Tab.o1[MedMod])+AVERAGE(Tab.o1[MedMod]),"")</f>
        <v/>
      </c>
      <c r="P178" s="117" t="str">
        <f ca="1">IF(Tab.o1[[#This Row],[B]]=0,AVERAGE(OFFSET(Tab.o1[[#This Row],[B]],1,0,L$3,1)),Tab.o1[[#This Row],[B]])</f>
        <v/>
      </c>
      <c r="Q178" s="121" t="str">
        <f>IF(Tab.o1[[#This Row],[a1]]=1,NORMSDIST(Tab.o1[[#This Row],[Zb]]),"")</f>
        <v/>
      </c>
      <c r="R178" s="122" t="str">
        <f>IF(Tab.o1[[#This Row],[a1]]=1,((Tab.o1[[#This Row],[MedMod]]-AVERAGE(Tab.o1[MedMod]))/_xlfn.STDEV.P(Tab.o1[MedMod])*H$1203)+G$1203,"")</f>
        <v/>
      </c>
      <c r="S178" s="122" t="str">
        <f>IF(Tab.o1[[#This Row],[a1]]=1,((Tab.o1[[#This Row],[MedMod]]-AVERAGE(Tab.o1[MedMod]))/_xlfn.STDEV.P(Tab.o1[MedMod])*H$1204)+G$1204,"")</f>
        <v/>
      </c>
      <c r="T178" s="123" t="str">
        <f>IF(Tab.o1[[#This Row],[a1]]=1,Tab.o1[[#This Row],[Z-]]*_xlfn.STDEV.P(Tab.o1[B])+AVERAGE(Tab.o1[B]),"")</f>
        <v/>
      </c>
      <c r="U178" s="123" t="str">
        <f>IF(Tab.o1[[#This Row],[a1]]=1,Tab.o1[[#This Row],[z+]]*_xlfn.STDEV.P(Tab.o1[B])+AVERAGE(Tab.o1[B]),"")</f>
        <v/>
      </c>
      <c r="V178" s="124" t="str">
        <f>IF(Tab.o1[[#This Row],[a1]]=1,ABS((ABS(Tab.o1[[#This Row],[Red]]-Tab.o1[[#This Row],[Blue]]))),"")</f>
        <v/>
      </c>
      <c r="W178" s="125" t="str">
        <f>IF(Tab.o1[[#This Row],[a1]]=1,IF(W$3=0,1,Tab.o1[[#This Row],[Amp.]]*1/_xlfn.MINIFS(Tab.o1[Amp.],Tab.o1[Amp.],"&lt;&gt;0")),"")</f>
        <v/>
      </c>
      <c r="X178" s="126" t="str">
        <f>IF(Tab.o1[[#This Row],[a1]]=1,IF(ISNUMBER(Tab.o1[[#This Row],[i.]]),NORMDIST(Tab.o1[[#This Row],[Za]],0,1,FALSE)*Tab.o1[[#This Row],[i.]],AP$3),"")</f>
        <v/>
      </c>
      <c r="Y178" s="126" t="str">
        <f>IF(Tab.o1[[#This Row],[a1]]=1,0.01+0.94*Tab.o1[[#This Row],[PDF]]/MAX(Tab.o1[PDF]),"")</f>
        <v/>
      </c>
      <c r="Z178" s="126" t="str">
        <f>IF(Tab.o1[[#This Row],[a1]]=1,0.01+0.94*Tab.o1[[#This Row],[W1_PDF]]/MAX(Tab.o1[W1_PDF]),"")</f>
        <v/>
      </c>
      <c r="AA178" s="118" t="str">
        <f>IF(Tab.o1[[#This Row],[a1]]=1,ABS([1]!T.in.A[[#This Row],[oo6]]),"")</f>
        <v/>
      </c>
      <c r="AB178" s="127" t="str">
        <f>IF(Tab.o1[[#This Row],[a1]]=1,IF(AE$3=0,"",IF(AB$3=0,ABS([1]!T.in.A[[#This Row],[oo9]]),ABS(Tab.o1[[#This Row],[DIF_Target.]]*Tab.o1[[#This Row],[W1_PDF]]))),"")</f>
        <v/>
      </c>
      <c r="AC178" s="127" t="str">
        <f>IF(G$1=1,"",IF(Tab.o1[[#This Row],[a1]]=1,Tab.o1[[#This Row],[Wr]]^2,""))</f>
        <v/>
      </c>
      <c r="AD178" s="118" t="str">
        <f>IF(Tab.o1[[#This Row],[a1]]=1,IF(AE$3=0,"",Tab.o1[[#This Row],[Wr2]]/SUM(Tab.o1[Wr2])),"")</f>
        <v/>
      </c>
      <c r="AE178" s="128" t="str">
        <f>IF(Tab.o1[[#This Row],[a1]]=1,[1]!T.in.A[[#This Row],[oo10]],"")</f>
        <v/>
      </c>
      <c r="AF178" s="118" t="str">
        <f>IF(Tab.o1[[#This Row],[a1]]=1,ABS(Tab.o1[[#This Row],[DIF_Target.]]*Tab.o1[[#This Row],[PDF2]]*Tab.o1[[#This Row],[IN]]),"")</f>
        <v/>
      </c>
      <c r="AG178" s="129" t="str">
        <f>IF(Tab.o1[[#This Row],[a1]]=1,Tab.o1[[#This Row],[rW]]^2,"")</f>
        <v/>
      </c>
      <c r="AH178" s="130" t="str">
        <f>IF(Tab.o1[[#This Row],[a1]]=1,IF(AH$3=0,Tab.o1[[#This Row],[rW2]],0.01+0.94*Tab.o1[[#This Row],[rW2]]/SUM(Tab.o1[rW2])),"")</f>
        <v/>
      </c>
      <c r="AI178" s="128" t="str">
        <f>IF(Tab.o1[[#This Row],[a1]]=1,1/Tab.o1[[#This Row],[PDF]],"")</f>
        <v/>
      </c>
      <c r="AJ178" s="131" t="str">
        <f>IF(Tab.o1[[#This Row],[a1]]=1,[1]!T_AA[[#This Row],[IN'']]*[1]!T_AA[[#This Row],[Qde'']],"")</f>
        <v/>
      </c>
      <c r="AK178" s="132" t="str">
        <f>IF(Tab.o1[[#This Row],[a1]]=1,IF(AK$1=1,Tab.o1[[#This Row],[MED]]+Tab.o1[[#This Row],[MOD]]-Tab.o1[[#This Row],[MED]],""),"")</f>
        <v/>
      </c>
      <c r="AL178" s="133" t="str">
        <f>IF(Tab.o1[[#This Row],[a1]]=1,[1]!T.in.A[[#This Row],[oo16]],"")</f>
        <v/>
      </c>
      <c r="AM178" s="133" t="str">
        <f>IF(Tab.o1[[#This Row],[a1]]=1,IF(AM$3=1,[1]!T.in.A[[#This Row],[Σo16]],""),"")</f>
        <v/>
      </c>
      <c r="AN178" s="126" t="str">
        <f>IF(Tab.o1[[#This Row],[a1]]=1,[1]!T.in.A[[#This Row],[Σp5]],"")</f>
        <v/>
      </c>
      <c r="AO178" s="126" t="str">
        <f>IF(Tab.o1[[#This Row],[a1]]=1,IF(AO$3=1,[1]!T.in.A[[#This Row],[Σp5]],""),"")</f>
        <v/>
      </c>
      <c r="AP178" s="110" t="str">
        <f>IF(Tab.o1[[#This Row],[a1]]=1,IF(ISNUMBER(Tab.o1[[#This Row],[i.]]),NORMDIST(Tab.o1[[#This Row],[Za]],0,1,FALSE)*Tab.o1[[#This Row],[i.]],0),"")</f>
        <v/>
      </c>
      <c r="AQ178" s="125" t="str">
        <f>IF(Tab.o1[[#This Row],[a1]]=1,ABS(Tab.o1[[#This Row],[MOD]]-AVERAGE(Tab.o1[MOD])),"")</f>
        <v/>
      </c>
      <c r="AR178" s="134" t="str">
        <f>IF(Tab.o1[[#This Row],[a1]]=1,Tab.o1[[#This Row],[OBS]]/SUM(Tab.o1[OBS]),"")</f>
        <v/>
      </c>
      <c r="AS178" s="135" t="str">
        <f>IF(ISNUMBER(Tab.o1[[#This Row],[a1]]),ROW()-4,"")</f>
        <v/>
      </c>
      <c r="AT178" s="136" t="str">
        <f>Tab.o1[[#This Row],[MOD]]</f>
        <v/>
      </c>
      <c r="AU178" s="137" t="str">
        <f t="shared" si="9"/>
        <v/>
      </c>
      <c r="AV178" s="138" t="str">
        <f t="shared" si="10"/>
        <v/>
      </c>
      <c r="AW178" s="138" t="str">
        <f t="shared" si="11"/>
        <v/>
      </c>
      <c r="AX178" s="139" t="str">
        <f>[1]!T.in.A[[#This Row],[ID_T_manu]]</f>
        <v/>
      </c>
      <c r="AY178" s="140" t="str">
        <f>IF(ISNUMBER(Tab.o1[[#This Row],[a1]]),IF(AND(Tab.o1[[#This Row],[a1]]=1,Tab.o1[[#This Row],[b1]]&lt;=AY$4),#REF!,AY177),"")</f>
        <v/>
      </c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</row>
    <row r="179" spans="1:79" ht="14.25" hidden="1" customHeight="1">
      <c r="A179" s="109">
        <v>2.0000000000000003E-6</v>
      </c>
      <c r="B179" s="110">
        <f t="shared" si="8"/>
        <v>179</v>
      </c>
      <c r="C179" s="111" t="str">
        <f>IF(C$1=[1]!T.in.A[[#This Row],[oo2]],1,"")</f>
        <v/>
      </c>
      <c r="D179" s="112" t="str">
        <f>IF(Tab.o1[[#This Row],[a1]]=1,IF(SUM(C179:C180)=0,0,IF(SUM(C178:C179)=1,1,IF(SUM(C178:C180)&gt;1,D178+1,0))),"")</f>
        <v/>
      </c>
      <c r="E179" s="113" t="str">
        <f>IF(Tab.o1[[#This Row],[a1]]=1,[1]!T.in.A[[#This Row],[oo1]],"")</f>
        <v/>
      </c>
      <c r="F179" s="113" t="str">
        <f>IF(Tab.o1[[#This Row],[a1]]=1,[1]!T.in.A[[#This Row],[pp1]],"")</f>
        <v/>
      </c>
      <c r="G179" s="114" t="str">
        <f>IF(Tab.o1[[#This Row],[a1]]=1,G$2+IF(G$1=1,0,Tab.o1[[#This Row],[.x1]])+[1]!T.in.A[[#This Row],[oo3]],"")</f>
        <v/>
      </c>
      <c r="H179" s="115" t="str">
        <f>IF(Tab.o1[[#This Row],[a1]]=1,IF(H$2=0,0,IF(G$1=1,0,Tab.o1[[#This Row],[.x1]])+[1]!T.in.A[[#This Row],[oo4]]),"")</f>
        <v/>
      </c>
      <c r="I179" s="116" t="str">
        <f>IF(Tab.o1[[#This Row],[a1]]=1,IF(J$2=0,Tab.o1[[#This Row],[MED]],Tab.o1[[#This Row],[MOD]]),"")</f>
        <v/>
      </c>
      <c r="J179" s="116" t="str">
        <f>IF(Tab.o1[[#This Row],[a1]]=1,((Tab.o1[[#This Row],[DIF_Target.]]-AVERAGE(Tab.o1[DIF_Target.]))/_xlfn.STDEV.P(Tab.o1[DIF_Target.])),"")</f>
        <v/>
      </c>
      <c r="K179" s="117" t="str">
        <f>IF(Tab.o1[[#This Row],[a1]]=1,IF(J$2=0,Tab.o1[[#This Row],[MOD]]-Tab.o1[[#This Row],[B]],IF(J$2=1,0,-Tab.o1[[#This Row],[MED]])+Tab.o1[[#This Row],[B]]),"")</f>
        <v/>
      </c>
      <c r="L179" s="117" t="str">
        <f ca="1">IF(Tab.o1[[#This Row],[DIF_Target]]=0,IF(L$2=0,Tab.o1[[#This Row],[DIF_Target]],AVERAGE(OFFSET(Tab.o1[[#This Row],[DIF_Target]],1,0,L$3,1)))/3,Tab.o1[[#This Row],[DIF_Target]])</f>
        <v/>
      </c>
      <c r="M179" s="118" t="str">
        <f>IF(Tab.o1[[#This Row],[a1]]=1,NORMSDIST(Tab.o1[[#This Row],[Za]]),"")</f>
        <v/>
      </c>
      <c r="N179" s="119" t="str">
        <f>IF(Tab.o1[[#This Row],[a1]]=1,((Tab.o1[[#This Row],[MedMod]]-AVERAGE(Tab.o1[MedMod]))/_xlfn.STDEV.P(Tab.o1[MedMod])*H$1205)+G$1205,"")</f>
        <v/>
      </c>
      <c r="O179" s="141" t="str">
        <f>IF(Tab.o1[[#This Row],[a1]]=1,Tab.o1[[#This Row],[Zb]]*_xlfn.STDEV.P(Tab.o1[MedMod])+AVERAGE(Tab.o1[MedMod]),"")</f>
        <v/>
      </c>
      <c r="P179" s="117" t="str">
        <f ca="1">IF(Tab.o1[[#This Row],[B]]=0,AVERAGE(OFFSET(Tab.o1[[#This Row],[B]],1,0,L$3,1)),Tab.o1[[#This Row],[B]])</f>
        <v/>
      </c>
      <c r="Q179" s="121" t="str">
        <f>IF(Tab.o1[[#This Row],[a1]]=1,NORMSDIST(Tab.o1[[#This Row],[Zb]]),"")</f>
        <v/>
      </c>
      <c r="R179" s="122" t="str">
        <f>IF(Tab.o1[[#This Row],[a1]]=1,((Tab.o1[[#This Row],[MedMod]]-AVERAGE(Tab.o1[MedMod]))/_xlfn.STDEV.P(Tab.o1[MedMod])*H$1203)+G$1203,"")</f>
        <v/>
      </c>
      <c r="S179" s="122" t="str">
        <f>IF(Tab.o1[[#This Row],[a1]]=1,((Tab.o1[[#This Row],[MedMod]]-AVERAGE(Tab.o1[MedMod]))/_xlfn.STDEV.P(Tab.o1[MedMod])*H$1204)+G$1204,"")</f>
        <v/>
      </c>
      <c r="T179" s="123" t="str">
        <f>IF(Tab.o1[[#This Row],[a1]]=1,Tab.o1[[#This Row],[Z-]]*_xlfn.STDEV.P(Tab.o1[B])+AVERAGE(Tab.o1[B]),"")</f>
        <v/>
      </c>
      <c r="U179" s="123" t="str">
        <f>IF(Tab.o1[[#This Row],[a1]]=1,Tab.o1[[#This Row],[z+]]*_xlfn.STDEV.P(Tab.o1[B])+AVERAGE(Tab.o1[B]),"")</f>
        <v/>
      </c>
      <c r="V179" s="124" t="str">
        <f>IF(Tab.o1[[#This Row],[a1]]=1,ABS((ABS(Tab.o1[[#This Row],[Red]]-Tab.o1[[#This Row],[Blue]]))),"")</f>
        <v/>
      </c>
      <c r="W179" s="125" t="str">
        <f>IF(Tab.o1[[#This Row],[a1]]=1,IF(W$3=0,1,Tab.o1[[#This Row],[Amp.]]*1/_xlfn.MINIFS(Tab.o1[Amp.],Tab.o1[Amp.],"&lt;&gt;0")),"")</f>
        <v/>
      </c>
      <c r="X179" s="126" t="str">
        <f>IF(Tab.o1[[#This Row],[a1]]=1,IF(ISNUMBER(Tab.o1[[#This Row],[i.]]),NORMDIST(Tab.o1[[#This Row],[Za]],0,1,FALSE)*Tab.o1[[#This Row],[i.]],AP$3),"")</f>
        <v/>
      </c>
      <c r="Y179" s="126" t="str">
        <f>IF(Tab.o1[[#This Row],[a1]]=1,0.01+0.94*Tab.o1[[#This Row],[PDF]]/MAX(Tab.o1[PDF]),"")</f>
        <v/>
      </c>
      <c r="Z179" s="126" t="str">
        <f>IF(Tab.o1[[#This Row],[a1]]=1,0.01+0.94*Tab.o1[[#This Row],[W1_PDF]]/MAX(Tab.o1[W1_PDF]),"")</f>
        <v/>
      </c>
      <c r="AA179" s="118" t="str">
        <f>IF(Tab.o1[[#This Row],[a1]]=1,ABS([1]!T.in.A[[#This Row],[oo6]]),"")</f>
        <v/>
      </c>
      <c r="AB179" s="127" t="str">
        <f>IF(Tab.o1[[#This Row],[a1]]=1,IF(AE$3=0,"",IF(AB$3=0,ABS([1]!T.in.A[[#This Row],[oo9]]),ABS(Tab.o1[[#This Row],[DIF_Target.]]*Tab.o1[[#This Row],[W1_PDF]]))),"")</f>
        <v/>
      </c>
      <c r="AC179" s="127" t="str">
        <f>IF(G$1=1,"",IF(Tab.o1[[#This Row],[a1]]=1,Tab.o1[[#This Row],[Wr]]^2,""))</f>
        <v/>
      </c>
      <c r="AD179" s="118" t="str">
        <f>IF(Tab.o1[[#This Row],[a1]]=1,IF(AE$3=0,"",Tab.o1[[#This Row],[Wr2]]/SUM(Tab.o1[Wr2])),"")</f>
        <v/>
      </c>
      <c r="AE179" s="128" t="str">
        <f>IF(Tab.o1[[#This Row],[a1]]=1,[1]!T.in.A[[#This Row],[oo10]],"")</f>
        <v/>
      </c>
      <c r="AF179" s="118" t="str">
        <f>IF(Tab.o1[[#This Row],[a1]]=1,ABS(Tab.o1[[#This Row],[DIF_Target.]]*Tab.o1[[#This Row],[PDF2]]*Tab.o1[[#This Row],[IN]]),"")</f>
        <v/>
      </c>
      <c r="AG179" s="129" t="str">
        <f>IF(Tab.o1[[#This Row],[a1]]=1,Tab.o1[[#This Row],[rW]]^2,"")</f>
        <v/>
      </c>
      <c r="AH179" s="130" t="str">
        <f>IF(Tab.o1[[#This Row],[a1]]=1,IF(AH$3=0,Tab.o1[[#This Row],[rW2]],0.01+0.94*Tab.o1[[#This Row],[rW2]]/SUM(Tab.o1[rW2])),"")</f>
        <v/>
      </c>
      <c r="AI179" s="128" t="str">
        <f>IF(Tab.o1[[#This Row],[a1]]=1,1/Tab.o1[[#This Row],[PDF]],"")</f>
        <v/>
      </c>
      <c r="AJ179" s="131" t="str">
        <f>IF(Tab.o1[[#This Row],[a1]]=1,[1]!T_AA[[#This Row],[IN'']]*[1]!T_AA[[#This Row],[Qde'']],"")</f>
        <v/>
      </c>
      <c r="AK179" s="132" t="str">
        <f>IF(Tab.o1[[#This Row],[a1]]=1,IF(AK$1=1,Tab.o1[[#This Row],[MED]]+Tab.o1[[#This Row],[MOD]]-Tab.o1[[#This Row],[MED]],""),"")</f>
        <v/>
      </c>
      <c r="AL179" s="133" t="str">
        <f>IF(Tab.o1[[#This Row],[a1]]=1,[1]!T.in.A[[#This Row],[oo16]],"")</f>
        <v/>
      </c>
      <c r="AM179" s="133" t="str">
        <f>IF(Tab.o1[[#This Row],[a1]]=1,IF(AM$3=1,[1]!T.in.A[[#This Row],[Σo16]],""),"")</f>
        <v/>
      </c>
      <c r="AN179" s="126" t="str">
        <f>IF(Tab.o1[[#This Row],[a1]]=1,[1]!T.in.A[[#This Row],[Σp5]],"")</f>
        <v/>
      </c>
      <c r="AO179" s="126" t="str">
        <f>IF(Tab.o1[[#This Row],[a1]]=1,IF(AO$3=1,[1]!T.in.A[[#This Row],[Σp5]],""),"")</f>
        <v/>
      </c>
      <c r="AP179" s="110" t="str">
        <f>IF(Tab.o1[[#This Row],[a1]]=1,IF(ISNUMBER(Tab.o1[[#This Row],[i.]]),NORMDIST(Tab.o1[[#This Row],[Za]],0,1,FALSE)*Tab.o1[[#This Row],[i.]],0),"")</f>
        <v/>
      </c>
      <c r="AQ179" s="125" t="str">
        <f>IF(Tab.o1[[#This Row],[a1]]=1,ABS(Tab.o1[[#This Row],[MOD]]-AVERAGE(Tab.o1[MOD])),"")</f>
        <v/>
      </c>
      <c r="AR179" s="134" t="str">
        <f>IF(Tab.o1[[#This Row],[a1]]=1,Tab.o1[[#This Row],[OBS]]/SUM(Tab.o1[OBS]),"")</f>
        <v/>
      </c>
      <c r="AS179" s="135" t="str">
        <f>IF(ISNUMBER(Tab.o1[[#This Row],[a1]]),ROW()-4,"")</f>
        <v/>
      </c>
      <c r="AT179" s="136" t="str">
        <f>Tab.o1[[#This Row],[MOD]]</f>
        <v/>
      </c>
      <c r="AU179" s="137" t="str">
        <f t="shared" si="9"/>
        <v/>
      </c>
      <c r="AV179" s="138" t="str">
        <f t="shared" si="10"/>
        <v/>
      </c>
      <c r="AW179" s="138" t="str">
        <f t="shared" si="11"/>
        <v/>
      </c>
      <c r="AX179" s="139" t="str">
        <f>[1]!T.in.A[[#This Row],[ID_T_manu]]</f>
        <v/>
      </c>
      <c r="AY179" s="140" t="str">
        <f>IF(ISNUMBER(Tab.o1[[#This Row],[a1]]),IF(AND(Tab.o1[[#This Row],[a1]]=1,Tab.o1[[#This Row],[b1]]&lt;=AY$4),#REF!,AY178),"")</f>
        <v/>
      </c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</row>
    <row r="180" spans="1:79" ht="14.25" hidden="1" customHeight="1">
      <c r="A180" s="109">
        <v>4.0000000000000007E-6</v>
      </c>
      <c r="B180" s="110">
        <f t="shared" si="8"/>
        <v>180</v>
      </c>
      <c r="C180" s="111" t="str">
        <f>IF(C$1=[1]!T.in.A[[#This Row],[oo2]],1,"")</f>
        <v/>
      </c>
      <c r="D180" s="112" t="str">
        <f>IF(Tab.o1[[#This Row],[a1]]=1,IF(SUM(C180:C181)=0,0,IF(SUM(C179:C180)=1,1,IF(SUM(C179:C181)&gt;1,D179+1,0))),"")</f>
        <v/>
      </c>
      <c r="E180" s="113" t="str">
        <f>IF(Tab.o1[[#This Row],[a1]]=1,[1]!T.in.A[[#This Row],[oo1]],"")</f>
        <v/>
      </c>
      <c r="F180" s="113" t="str">
        <f>IF(Tab.o1[[#This Row],[a1]]=1,[1]!T.in.A[[#This Row],[pp1]],"")</f>
        <v/>
      </c>
      <c r="G180" s="114" t="str">
        <f>IF(Tab.o1[[#This Row],[a1]]=1,G$2+IF(G$1=1,0,Tab.o1[[#This Row],[.x1]])+[1]!T.in.A[[#This Row],[oo3]],"")</f>
        <v/>
      </c>
      <c r="H180" s="115" t="str">
        <f>IF(Tab.o1[[#This Row],[a1]]=1,IF(H$2=0,0,IF(G$1=1,0,Tab.o1[[#This Row],[.x1]])+[1]!T.in.A[[#This Row],[oo4]]),"")</f>
        <v/>
      </c>
      <c r="I180" s="116" t="str">
        <f>IF(Tab.o1[[#This Row],[a1]]=1,IF(J$2=0,Tab.o1[[#This Row],[MED]],Tab.o1[[#This Row],[MOD]]),"")</f>
        <v/>
      </c>
      <c r="J180" s="116" t="str">
        <f>IF(Tab.o1[[#This Row],[a1]]=1,((Tab.o1[[#This Row],[DIF_Target.]]-AVERAGE(Tab.o1[DIF_Target.]))/_xlfn.STDEV.P(Tab.o1[DIF_Target.])),"")</f>
        <v/>
      </c>
      <c r="K180" s="117" t="str">
        <f>IF(Tab.o1[[#This Row],[a1]]=1,IF(J$2=0,Tab.o1[[#This Row],[MOD]]-Tab.o1[[#This Row],[B]],IF(J$2=1,0,-Tab.o1[[#This Row],[MED]])+Tab.o1[[#This Row],[B]]),"")</f>
        <v/>
      </c>
      <c r="L180" s="117" t="str">
        <f ca="1">IF(Tab.o1[[#This Row],[DIF_Target]]=0,IF(L$2=0,Tab.o1[[#This Row],[DIF_Target]],AVERAGE(OFFSET(Tab.o1[[#This Row],[DIF_Target]],1,0,L$3,1)))/3,Tab.o1[[#This Row],[DIF_Target]])</f>
        <v/>
      </c>
      <c r="M180" s="118" t="str">
        <f>IF(Tab.o1[[#This Row],[a1]]=1,NORMSDIST(Tab.o1[[#This Row],[Za]]),"")</f>
        <v/>
      </c>
      <c r="N180" s="119" t="str">
        <f>IF(Tab.o1[[#This Row],[a1]]=1,((Tab.o1[[#This Row],[MedMod]]-AVERAGE(Tab.o1[MedMod]))/_xlfn.STDEV.P(Tab.o1[MedMod])*H$1205)+G$1205,"")</f>
        <v/>
      </c>
      <c r="O180" s="141" t="str">
        <f>IF(Tab.o1[[#This Row],[a1]]=1,Tab.o1[[#This Row],[Zb]]*_xlfn.STDEV.P(Tab.o1[MedMod])+AVERAGE(Tab.o1[MedMod]),"")</f>
        <v/>
      </c>
      <c r="P180" s="117" t="str">
        <f ca="1">IF(Tab.o1[[#This Row],[B]]=0,AVERAGE(OFFSET(Tab.o1[[#This Row],[B]],1,0,L$3,1)),Tab.o1[[#This Row],[B]])</f>
        <v/>
      </c>
      <c r="Q180" s="121" t="str">
        <f>IF(Tab.o1[[#This Row],[a1]]=1,NORMSDIST(Tab.o1[[#This Row],[Zb]]),"")</f>
        <v/>
      </c>
      <c r="R180" s="122" t="str">
        <f>IF(Tab.o1[[#This Row],[a1]]=1,((Tab.o1[[#This Row],[MedMod]]-AVERAGE(Tab.o1[MedMod]))/_xlfn.STDEV.P(Tab.o1[MedMod])*H$1203)+G$1203,"")</f>
        <v/>
      </c>
      <c r="S180" s="122" t="str">
        <f>IF(Tab.o1[[#This Row],[a1]]=1,((Tab.o1[[#This Row],[MedMod]]-AVERAGE(Tab.o1[MedMod]))/_xlfn.STDEV.P(Tab.o1[MedMod])*H$1204)+G$1204,"")</f>
        <v/>
      </c>
      <c r="T180" s="123" t="str">
        <f>IF(Tab.o1[[#This Row],[a1]]=1,Tab.o1[[#This Row],[Z-]]*_xlfn.STDEV.P(Tab.o1[B])+AVERAGE(Tab.o1[B]),"")</f>
        <v/>
      </c>
      <c r="U180" s="123" t="str">
        <f>IF(Tab.o1[[#This Row],[a1]]=1,Tab.o1[[#This Row],[z+]]*_xlfn.STDEV.P(Tab.o1[B])+AVERAGE(Tab.o1[B]),"")</f>
        <v/>
      </c>
      <c r="V180" s="124" t="str">
        <f>IF(Tab.o1[[#This Row],[a1]]=1,ABS((ABS(Tab.o1[[#This Row],[Red]]-Tab.o1[[#This Row],[Blue]]))),"")</f>
        <v/>
      </c>
      <c r="W180" s="125" t="str">
        <f>IF(Tab.o1[[#This Row],[a1]]=1,IF(W$3=0,1,Tab.o1[[#This Row],[Amp.]]*1/_xlfn.MINIFS(Tab.o1[Amp.],Tab.o1[Amp.],"&lt;&gt;0")),"")</f>
        <v/>
      </c>
      <c r="X180" s="126" t="str">
        <f>IF(Tab.o1[[#This Row],[a1]]=1,IF(ISNUMBER(Tab.o1[[#This Row],[i.]]),NORMDIST(Tab.o1[[#This Row],[Za]],0,1,FALSE)*Tab.o1[[#This Row],[i.]],AP$3),"")</f>
        <v/>
      </c>
      <c r="Y180" s="126" t="str">
        <f>IF(Tab.o1[[#This Row],[a1]]=1,0.01+0.94*Tab.o1[[#This Row],[PDF]]/MAX(Tab.o1[PDF]),"")</f>
        <v/>
      </c>
      <c r="Z180" s="126" t="str">
        <f>IF(Tab.o1[[#This Row],[a1]]=1,0.01+0.94*Tab.o1[[#This Row],[W1_PDF]]/MAX(Tab.o1[W1_PDF]),"")</f>
        <v/>
      </c>
      <c r="AA180" s="118" t="str">
        <f>IF(Tab.o1[[#This Row],[a1]]=1,ABS([1]!T.in.A[[#This Row],[oo6]]),"")</f>
        <v/>
      </c>
      <c r="AB180" s="127" t="str">
        <f>IF(Tab.o1[[#This Row],[a1]]=1,IF(AE$3=0,"",IF(AB$3=0,ABS([1]!T.in.A[[#This Row],[oo9]]),ABS(Tab.o1[[#This Row],[DIF_Target.]]*Tab.o1[[#This Row],[W1_PDF]]))),"")</f>
        <v/>
      </c>
      <c r="AC180" s="127" t="str">
        <f>IF(G$1=1,"",IF(Tab.o1[[#This Row],[a1]]=1,Tab.o1[[#This Row],[Wr]]^2,""))</f>
        <v/>
      </c>
      <c r="AD180" s="118" t="str">
        <f>IF(Tab.o1[[#This Row],[a1]]=1,IF(AE$3=0,"",Tab.o1[[#This Row],[Wr2]]/SUM(Tab.o1[Wr2])),"")</f>
        <v/>
      </c>
      <c r="AE180" s="128" t="str">
        <f>IF(Tab.o1[[#This Row],[a1]]=1,[1]!T.in.A[[#This Row],[oo10]],"")</f>
        <v/>
      </c>
      <c r="AF180" s="118" t="str">
        <f>IF(Tab.o1[[#This Row],[a1]]=1,ABS(Tab.o1[[#This Row],[DIF_Target.]]*Tab.o1[[#This Row],[PDF2]]*Tab.o1[[#This Row],[IN]]),"")</f>
        <v/>
      </c>
      <c r="AG180" s="129" t="str">
        <f>IF(Tab.o1[[#This Row],[a1]]=1,Tab.o1[[#This Row],[rW]]^2,"")</f>
        <v/>
      </c>
      <c r="AH180" s="130" t="str">
        <f>IF(Tab.o1[[#This Row],[a1]]=1,IF(AH$3=0,Tab.o1[[#This Row],[rW2]],0.01+0.94*Tab.o1[[#This Row],[rW2]]/SUM(Tab.o1[rW2])),"")</f>
        <v/>
      </c>
      <c r="AI180" s="128" t="str">
        <f>IF(Tab.o1[[#This Row],[a1]]=1,1/Tab.o1[[#This Row],[PDF]],"")</f>
        <v/>
      </c>
      <c r="AJ180" s="131" t="str">
        <f>IF(Tab.o1[[#This Row],[a1]]=1,[1]!T_AA[[#This Row],[IN'']]*[1]!T_AA[[#This Row],[Qde'']],"")</f>
        <v/>
      </c>
      <c r="AK180" s="132" t="str">
        <f>IF(Tab.o1[[#This Row],[a1]]=1,IF(AK$1=1,Tab.o1[[#This Row],[MED]]+Tab.o1[[#This Row],[MOD]]-Tab.o1[[#This Row],[MED]],""),"")</f>
        <v/>
      </c>
      <c r="AL180" s="133" t="str">
        <f>IF(Tab.o1[[#This Row],[a1]]=1,[1]!T.in.A[[#This Row],[oo16]],"")</f>
        <v/>
      </c>
      <c r="AM180" s="133" t="str">
        <f>IF(Tab.o1[[#This Row],[a1]]=1,IF(AM$3=1,[1]!T.in.A[[#This Row],[Σo16]],""),"")</f>
        <v/>
      </c>
      <c r="AN180" s="126" t="str">
        <f>IF(Tab.o1[[#This Row],[a1]]=1,[1]!T.in.A[[#This Row],[Σp5]],"")</f>
        <v/>
      </c>
      <c r="AO180" s="126" t="str">
        <f>IF(Tab.o1[[#This Row],[a1]]=1,IF(AO$3=1,[1]!T.in.A[[#This Row],[Σp5]],""),"")</f>
        <v/>
      </c>
      <c r="AP180" s="110" t="str">
        <f>IF(Tab.o1[[#This Row],[a1]]=1,IF(ISNUMBER(Tab.o1[[#This Row],[i.]]),NORMDIST(Tab.o1[[#This Row],[Za]],0,1,FALSE)*Tab.o1[[#This Row],[i.]],0),"")</f>
        <v/>
      </c>
      <c r="AQ180" s="125" t="str">
        <f>IF(Tab.o1[[#This Row],[a1]]=1,ABS(Tab.o1[[#This Row],[MOD]]-AVERAGE(Tab.o1[MOD])),"")</f>
        <v/>
      </c>
      <c r="AR180" s="134" t="str">
        <f>IF(Tab.o1[[#This Row],[a1]]=1,Tab.o1[[#This Row],[OBS]]/SUM(Tab.o1[OBS]),"")</f>
        <v/>
      </c>
      <c r="AS180" s="135" t="str">
        <f>IF(ISNUMBER(Tab.o1[[#This Row],[a1]]),ROW()-4,"")</f>
        <v/>
      </c>
      <c r="AT180" s="136" t="str">
        <f>Tab.o1[[#This Row],[MOD]]</f>
        <v/>
      </c>
      <c r="AU180" s="137" t="str">
        <f t="shared" si="9"/>
        <v/>
      </c>
      <c r="AV180" s="138" t="str">
        <f t="shared" si="10"/>
        <v/>
      </c>
      <c r="AW180" s="138" t="str">
        <f t="shared" si="11"/>
        <v/>
      </c>
      <c r="AX180" s="139" t="str">
        <f>[1]!T.in.A[[#This Row],[ID_T_manu]]</f>
        <v/>
      </c>
      <c r="AY180" s="140" t="str">
        <f>IF(ISNUMBER(Tab.o1[[#This Row],[a1]]),IF(AND(Tab.o1[[#This Row],[a1]]=1,Tab.o1[[#This Row],[b1]]&lt;=AY$4),#REF!,AY179),"")</f>
        <v/>
      </c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</row>
    <row r="181" spans="1:79" ht="14.25" hidden="1" customHeight="1">
      <c r="A181" s="109">
        <v>-1.0000000000000002E-6</v>
      </c>
      <c r="B181" s="110">
        <f t="shared" si="8"/>
        <v>181</v>
      </c>
      <c r="C181" s="111" t="str">
        <f>IF(C$1=[1]!T.in.A[[#This Row],[oo2]],1,"")</f>
        <v/>
      </c>
      <c r="D181" s="112" t="str">
        <f>IF(Tab.o1[[#This Row],[a1]]=1,IF(SUM(C181:C182)=0,0,IF(SUM(C180:C181)=1,1,IF(SUM(C180:C182)&gt;1,D180+1,0))),"")</f>
        <v/>
      </c>
      <c r="E181" s="113" t="str">
        <f>IF(Tab.o1[[#This Row],[a1]]=1,[1]!T.in.A[[#This Row],[oo1]],"")</f>
        <v/>
      </c>
      <c r="F181" s="113" t="str">
        <f>IF(Tab.o1[[#This Row],[a1]]=1,[1]!T.in.A[[#This Row],[pp1]],"")</f>
        <v/>
      </c>
      <c r="G181" s="114" t="str">
        <f>IF(Tab.o1[[#This Row],[a1]]=1,G$2+IF(G$1=1,0,Tab.o1[[#This Row],[.x1]])+[1]!T.in.A[[#This Row],[oo3]],"")</f>
        <v/>
      </c>
      <c r="H181" s="115" t="str">
        <f>IF(Tab.o1[[#This Row],[a1]]=1,IF(H$2=0,0,IF(G$1=1,0,Tab.o1[[#This Row],[.x1]])+[1]!T.in.A[[#This Row],[oo4]]),"")</f>
        <v/>
      </c>
      <c r="I181" s="116" t="str">
        <f>IF(Tab.o1[[#This Row],[a1]]=1,IF(J$2=0,Tab.o1[[#This Row],[MED]],Tab.o1[[#This Row],[MOD]]),"")</f>
        <v/>
      </c>
      <c r="J181" s="116" t="str">
        <f>IF(Tab.o1[[#This Row],[a1]]=1,((Tab.o1[[#This Row],[DIF_Target.]]-AVERAGE(Tab.o1[DIF_Target.]))/_xlfn.STDEV.P(Tab.o1[DIF_Target.])),"")</f>
        <v/>
      </c>
      <c r="K181" s="117" t="str">
        <f>IF(Tab.o1[[#This Row],[a1]]=1,IF(J$2=0,Tab.o1[[#This Row],[MOD]]-Tab.o1[[#This Row],[B]],IF(J$2=1,0,-Tab.o1[[#This Row],[MED]])+Tab.o1[[#This Row],[B]]),"")</f>
        <v/>
      </c>
      <c r="L181" s="117" t="str">
        <f ca="1">IF(Tab.o1[[#This Row],[DIF_Target]]=0,IF(L$2=0,Tab.o1[[#This Row],[DIF_Target]],AVERAGE(OFFSET(Tab.o1[[#This Row],[DIF_Target]],1,0,L$3,1)))/3,Tab.o1[[#This Row],[DIF_Target]])</f>
        <v/>
      </c>
      <c r="M181" s="118" t="str">
        <f>IF(Tab.o1[[#This Row],[a1]]=1,NORMSDIST(Tab.o1[[#This Row],[Za]]),"")</f>
        <v/>
      </c>
      <c r="N181" s="119" t="str">
        <f>IF(Tab.o1[[#This Row],[a1]]=1,((Tab.o1[[#This Row],[MedMod]]-AVERAGE(Tab.o1[MedMod]))/_xlfn.STDEV.P(Tab.o1[MedMod])*H$1205)+G$1205,"")</f>
        <v/>
      </c>
      <c r="O181" s="141" t="str">
        <f>IF(Tab.o1[[#This Row],[a1]]=1,Tab.o1[[#This Row],[Zb]]*_xlfn.STDEV.P(Tab.o1[MedMod])+AVERAGE(Tab.o1[MedMod]),"")</f>
        <v/>
      </c>
      <c r="P181" s="117" t="str">
        <f ca="1">IF(Tab.o1[[#This Row],[B]]=0,AVERAGE(OFFSET(Tab.o1[[#This Row],[B]],1,0,L$3,1)),Tab.o1[[#This Row],[B]])</f>
        <v/>
      </c>
      <c r="Q181" s="121" t="str">
        <f>IF(Tab.o1[[#This Row],[a1]]=1,NORMSDIST(Tab.o1[[#This Row],[Zb]]),"")</f>
        <v/>
      </c>
      <c r="R181" s="122" t="str">
        <f>IF(Tab.o1[[#This Row],[a1]]=1,((Tab.o1[[#This Row],[MedMod]]-AVERAGE(Tab.o1[MedMod]))/_xlfn.STDEV.P(Tab.o1[MedMod])*H$1203)+G$1203,"")</f>
        <v/>
      </c>
      <c r="S181" s="122" t="str">
        <f>IF(Tab.o1[[#This Row],[a1]]=1,((Tab.o1[[#This Row],[MedMod]]-AVERAGE(Tab.o1[MedMod]))/_xlfn.STDEV.P(Tab.o1[MedMod])*H$1204)+G$1204,"")</f>
        <v/>
      </c>
      <c r="T181" s="123" t="str">
        <f>IF(Tab.o1[[#This Row],[a1]]=1,Tab.o1[[#This Row],[Z-]]*_xlfn.STDEV.P(Tab.o1[B])+AVERAGE(Tab.o1[B]),"")</f>
        <v/>
      </c>
      <c r="U181" s="123" t="str">
        <f>IF(Tab.o1[[#This Row],[a1]]=1,Tab.o1[[#This Row],[z+]]*_xlfn.STDEV.P(Tab.o1[B])+AVERAGE(Tab.o1[B]),"")</f>
        <v/>
      </c>
      <c r="V181" s="124" t="str">
        <f>IF(Tab.o1[[#This Row],[a1]]=1,ABS((ABS(Tab.o1[[#This Row],[Red]]-Tab.o1[[#This Row],[Blue]]))),"")</f>
        <v/>
      </c>
      <c r="W181" s="125" t="str">
        <f>IF(Tab.o1[[#This Row],[a1]]=1,IF(W$3=0,1,Tab.o1[[#This Row],[Amp.]]*1/_xlfn.MINIFS(Tab.o1[Amp.],Tab.o1[Amp.],"&lt;&gt;0")),"")</f>
        <v/>
      </c>
      <c r="X181" s="126" t="str">
        <f>IF(Tab.o1[[#This Row],[a1]]=1,IF(ISNUMBER(Tab.o1[[#This Row],[i.]]),NORMDIST(Tab.o1[[#This Row],[Za]],0,1,FALSE)*Tab.o1[[#This Row],[i.]],AP$3),"")</f>
        <v/>
      </c>
      <c r="Y181" s="126" t="str">
        <f>IF(Tab.o1[[#This Row],[a1]]=1,0.01+0.94*Tab.o1[[#This Row],[PDF]]/MAX(Tab.o1[PDF]),"")</f>
        <v/>
      </c>
      <c r="Z181" s="126" t="str">
        <f>IF(Tab.o1[[#This Row],[a1]]=1,0.01+0.94*Tab.o1[[#This Row],[W1_PDF]]/MAX(Tab.o1[W1_PDF]),"")</f>
        <v/>
      </c>
      <c r="AA181" s="118" t="str">
        <f>IF(Tab.o1[[#This Row],[a1]]=1,ABS([1]!T.in.A[[#This Row],[oo6]]),"")</f>
        <v/>
      </c>
      <c r="AB181" s="127" t="str">
        <f>IF(Tab.o1[[#This Row],[a1]]=1,IF(AE$3=0,"",IF(AB$3=0,ABS([1]!T.in.A[[#This Row],[oo9]]),ABS(Tab.o1[[#This Row],[DIF_Target.]]*Tab.o1[[#This Row],[W1_PDF]]))),"")</f>
        <v/>
      </c>
      <c r="AC181" s="127" t="str">
        <f>IF(G$1=1,"",IF(Tab.o1[[#This Row],[a1]]=1,Tab.o1[[#This Row],[Wr]]^2,""))</f>
        <v/>
      </c>
      <c r="AD181" s="118" t="str">
        <f>IF(Tab.o1[[#This Row],[a1]]=1,IF(AE$3=0,"",Tab.o1[[#This Row],[Wr2]]/SUM(Tab.o1[Wr2])),"")</f>
        <v/>
      </c>
      <c r="AE181" s="128" t="str">
        <f>IF(Tab.o1[[#This Row],[a1]]=1,[1]!T.in.A[[#This Row],[oo10]],"")</f>
        <v/>
      </c>
      <c r="AF181" s="118" t="str">
        <f>IF(Tab.o1[[#This Row],[a1]]=1,ABS(Tab.o1[[#This Row],[DIF_Target.]]*Tab.o1[[#This Row],[PDF2]]*Tab.o1[[#This Row],[IN]]),"")</f>
        <v/>
      </c>
      <c r="AG181" s="129" t="str">
        <f>IF(Tab.o1[[#This Row],[a1]]=1,Tab.o1[[#This Row],[rW]]^2,"")</f>
        <v/>
      </c>
      <c r="AH181" s="130" t="str">
        <f>IF(Tab.o1[[#This Row],[a1]]=1,IF(AH$3=0,Tab.o1[[#This Row],[rW2]],0.01+0.94*Tab.o1[[#This Row],[rW2]]/SUM(Tab.o1[rW2])),"")</f>
        <v/>
      </c>
      <c r="AI181" s="128" t="str">
        <f>IF(Tab.o1[[#This Row],[a1]]=1,1/Tab.o1[[#This Row],[PDF]],"")</f>
        <v/>
      </c>
      <c r="AJ181" s="131" t="str">
        <f>IF(Tab.o1[[#This Row],[a1]]=1,[1]!T_AA[[#This Row],[IN'']]*[1]!T_AA[[#This Row],[Qde'']],"")</f>
        <v/>
      </c>
      <c r="AK181" s="132" t="str">
        <f>IF(Tab.o1[[#This Row],[a1]]=1,IF(AK$1=1,Tab.o1[[#This Row],[MED]]+Tab.o1[[#This Row],[MOD]]-Tab.o1[[#This Row],[MED]],""),"")</f>
        <v/>
      </c>
      <c r="AL181" s="133" t="str">
        <f>IF(Tab.o1[[#This Row],[a1]]=1,[1]!T.in.A[[#This Row],[oo16]],"")</f>
        <v/>
      </c>
      <c r="AM181" s="133" t="str">
        <f>IF(Tab.o1[[#This Row],[a1]]=1,IF(AM$3=1,[1]!T.in.A[[#This Row],[Σo16]],""),"")</f>
        <v/>
      </c>
      <c r="AN181" s="126" t="str">
        <f>IF(Tab.o1[[#This Row],[a1]]=1,[1]!T.in.A[[#This Row],[Σp5]],"")</f>
        <v/>
      </c>
      <c r="AO181" s="126" t="str">
        <f>IF(Tab.o1[[#This Row],[a1]]=1,IF(AO$3=1,[1]!T.in.A[[#This Row],[Σp5]],""),"")</f>
        <v/>
      </c>
      <c r="AP181" s="110" t="str">
        <f>IF(Tab.o1[[#This Row],[a1]]=1,IF(ISNUMBER(Tab.o1[[#This Row],[i.]]),NORMDIST(Tab.o1[[#This Row],[Za]],0,1,FALSE)*Tab.o1[[#This Row],[i.]],0),"")</f>
        <v/>
      </c>
      <c r="AQ181" s="125" t="str">
        <f>IF(Tab.o1[[#This Row],[a1]]=1,ABS(Tab.o1[[#This Row],[MOD]]-AVERAGE(Tab.o1[MOD])),"")</f>
        <v/>
      </c>
      <c r="AR181" s="134" t="str">
        <f>IF(Tab.o1[[#This Row],[a1]]=1,Tab.o1[[#This Row],[OBS]]/SUM(Tab.o1[OBS]),"")</f>
        <v/>
      </c>
      <c r="AS181" s="135" t="str">
        <f>IF(ISNUMBER(Tab.o1[[#This Row],[a1]]),ROW()-4,"")</f>
        <v/>
      </c>
      <c r="AT181" s="136" t="str">
        <f>Tab.o1[[#This Row],[MOD]]</f>
        <v/>
      </c>
      <c r="AU181" s="137" t="str">
        <f t="shared" si="9"/>
        <v/>
      </c>
      <c r="AV181" s="138" t="str">
        <f t="shared" si="10"/>
        <v/>
      </c>
      <c r="AW181" s="138" t="str">
        <f t="shared" si="11"/>
        <v/>
      </c>
      <c r="AX181" s="139" t="str">
        <f>[1]!T.in.A[[#This Row],[ID_T_manu]]</f>
        <v/>
      </c>
      <c r="AY181" s="140" t="str">
        <f>IF(ISNUMBER(Tab.o1[[#This Row],[a1]]),IF(AND(Tab.o1[[#This Row],[a1]]=1,Tab.o1[[#This Row],[b1]]&lt;=AY$4),#REF!,AY180),"")</f>
        <v/>
      </c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</row>
    <row r="182" spans="1:79" ht="14.25" hidden="1" customHeight="1">
      <c r="A182" s="109">
        <v>2.0000000000000003E-6</v>
      </c>
      <c r="B182" s="110">
        <f t="shared" si="8"/>
        <v>182</v>
      </c>
      <c r="C182" s="111" t="str">
        <f>IF(C$1=[1]!T.in.A[[#This Row],[oo2]],1,"")</f>
        <v/>
      </c>
      <c r="D182" s="112" t="str">
        <f>IF(Tab.o1[[#This Row],[a1]]=1,IF(SUM(C182:C183)=0,0,IF(SUM(C181:C182)=1,1,IF(SUM(C181:C183)&gt;1,D181+1,0))),"")</f>
        <v/>
      </c>
      <c r="E182" s="113" t="str">
        <f>IF(Tab.o1[[#This Row],[a1]]=1,[1]!T.in.A[[#This Row],[oo1]],"")</f>
        <v/>
      </c>
      <c r="F182" s="113" t="str">
        <f>IF(Tab.o1[[#This Row],[a1]]=1,[1]!T.in.A[[#This Row],[pp1]],"")</f>
        <v/>
      </c>
      <c r="G182" s="114" t="str">
        <f>IF(Tab.o1[[#This Row],[a1]]=1,G$2+IF(G$1=1,0,Tab.o1[[#This Row],[.x1]])+[1]!T.in.A[[#This Row],[oo3]],"")</f>
        <v/>
      </c>
      <c r="H182" s="115" t="str">
        <f>IF(Tab.o1[[#This Row],[a1]]=1,IF(H$2=0,0,IF(G$1=1,0,Tab.o1[[#This Row],[.x1]])+[1]!T.in.A[[#This Row],[oo4]]),"")</f>
        <v/>
      </c>
      <c r="I182" s="116" t="str">
        <f>IF(Tab.o1[[#This Row],[a1]]=1,IF(J$2=0,Tab.o1[[#This Row],[MED]],Tab.o1[[#This Row],[MOD]]),"")</f>
        <v/>
      </c>
      <c r="J182" s="116" t="str">
        <f>IF(Tab.o1[[#This Row],[a1]]=1,((Tab.o1[[#This Row],[DIF_Target.]]-AVERAGE(Tab.o1[DIF_Target.]))/_xlfn.STDEV.P(Tab.o1[DIF_Target.])),"")</f>
        <v/>
      </c>
      <c r="K182" s="117" t="str">
        <f>IF(Tab.o1[[#This Row],[a1]]=1,IF(J$2=0,Tab.o1[[#This Row],[MOD]]-Tab.o1[[#This Row],[B]],IF(J$2=1,0,-Tab.o1[[#This Row],[MED]])+Tab.o1[[#This Row],[B]]),"")</f>
        <v/>
      </c>
      <c r="L182" s="117" t="str">
        <f ca="1">IF(Tab.o1[[#This Row],[DIF_Target]]=0,IF(L$2=0,Tab.o1[[#This Row],[DIF_Target]],AVERAGE(OFFSET(Tab.o1[[#This Row],[DIF_Target]],1,0,L$3,1)))/3,Tab.o1[[#This Row],[DIF_Target]])</f>
        <v/>
      </c>
      <c r="M182" s="118" t="str">
        <f>IF(Tab.o1[[#This Row],[a1]]=1,NORMSDIST(Tab.o1[[#This Row],[Za]]),"")</f>
        <v/>
      </c>
      <c r="N182" s="119" t="str">
        <f>IF(Tab.o1[[#This Row],[a1]]=1,((Tab.o1[[#This Row],[MedMod]]-AVERAGE(Tab.o1[MedMod]))/_xlfn.STDEV.P(Tab.o1[MedMod])*H$1205)+G$1205,"")</f>
        <v/>
      </c>
      <c r="O182" s="141" t="str">
        <f>IF(Tab.o1[[#This Row],[a1]]=1,Tab.o1[[#This Row],[Zb]]*_xlfn.STDEV.P(Tab.o1[MedMod])+AVERAGE(Tab.o1[MedMod]),"")</f>
        <v/>
      </c>
      <c r="P182" s="117" t="str">
        <f ca="1">IF(Tab.o1[[#This Row],[B]]=0,AVERAGE(OFFSET(Tab.o1[[#This Row],[B]],1,0,L$3,1)),Tab.o1[[#This Row],[B]])</f>
        <v/>
      </c>
      <c r="Q182" s="121" t="str">
        <f>IF(Tab.o1[[#This Row],[a1]]=1,NORMSDIST(Tab.o1[[#This Row],[Zb]]),"")</f>
        <v/>
      </c>
      <c r="R182" s="122" t="str">
        <f>IF(Tab.o1[[#This Row],[a1]]=1,((Tab.o1[[#This Row],[MedMod]]-AVERAGE(Tab.o1[MedMod]))/_xlfn.STDEV.P(Tab.o1[MedMod])*H$1203)+G$1203,"")</f>
        <v/>
      </c>
      <c r="S182" s="122" t="str">
        <f>IF(Tab.o1[[#This Row],[a1]]=1,((Tab.o1[[#This Row],[MedMod]]-AVERAGE(Tab.o1[MedMod]))/_xlfn.STDEV.P(Tab.o1[MedMod])*H$1204)+G$1204,"")</f>
        <v/>
      </c>
      <c r="T182" s="123" t="str">
        <f>IF(Tab.o1[[#This Row],[a1]]=1,Tab.o1[[#This Row],[Z-]]*_xlfn.STDEV.P(Tab.o1[B])+AVERAGE(Tab.o1[B]),"")</f>
        <v/>
      </c>
      <c r="U182" s="123" t="str">
        <f>IF(Tab.o1[[#This Row],[a1]]=1,Tab.o1[[#This Row],[z+]]*_xlfn.STDEV.P(Tab.o1[B])+AVERAGE(Tab.o1[B]),"")</f>
        <v/>
      </c>
      <c r="V182" s="124" t="str">
        <f>IF(Tab.o1[[#This Row],[a1]]=1,ABS((ABS(Tab.o1[[#This Row],[Red]]-Tab.o1[[#This Row],[Blue]]))),"")</f>
        <v/>
      </c>
      <c r="W182" s="125" t="str">
        <f>IF(Tab.o1[[#This Row],[a1]]=1,IF(W$3=0,1,Tab.o1[[#This Row],[Amp.]]*1/_xlfn.MINIFS(Tab.o1[Amp.],Tab.o1[Amp.],"&lt;&gt;0")),"")</f>
        <v/>
      </c>
      <c r="X182" s="126" t="str">
        <f>IF(Tab.o1[[#This Row],[a1]]=1,IF(ISNUMBER(Tab.o1[[#This Row],[i.]]),NORMDIST(Tab.o1[[#This Row],[Za]],0,1,FALSE)*Tab.o1[[#This Row],[i.]],AP$3),"")</f>
        <v/>
      </c>
      <c r="Y182" s="126" t="str">
        <f>IF(Tab.o1[[#This Row],[a1]]=1,0.01+0.94*Tab.o1[[#This Row],[PDF]]/MAX(Tab.o1[PDF]),"")</f>
        <v/>
      </c>
      <c r="Z182" s="126" t="str">
        <f>IF(Tab.o1[[#This Row],[a1]]=1,0.01+0.94*Tab.o1[[#This Row],[W1_PDF]]/MAX(Tab.o1[W1_PDF]),"")</f>
        <v/>
      </c>
      <c r="AA182" s="118" t="str">
        <f>IF(Tab.o1[[#This Row],[a1]]=1,ABS([1]!T.in.A[[#This Row],[oo6]]),"")</f>
        <v/>
      </c>
      <c r="AB182" s="127" t="str">
        <f>IF(Tab.o1[[#This Row],[a1]]=1,IF(AE$3=0,"",IF(AB$3=0,ABS([1]!T.in.A[[#This Row],[oo9]]),ABS(Tab.o1[[#This Row],[DIF_Target.]]*Tab.o1[[#This Row],[W1_PDF]]))),"")</f>
        <v/>
      </c>
      <c r="AC182" s="127" t="str">
        <f>IF(G$1=1,"",IF(Tab.o1[[#This Row],[a1]]=1,Tab.o1[[#This Row],[Wr]]^2,""))</f>
        <v/>
      </c>
      <c r="AD182" s="118" t="str">
        <f>IF(Tab.o1[[#This Row],[a1]]=1,IF(AE$3=0,"",Tab.o1[[#This Row],[Wr2]]/SUM(Tab.o1[Wr2])),"")</f>
        <v/>
      </c>
      <c r="AE182" s="128" t="str">
        <f>IF(Tab.o1[[#This Row],[a1]]=1,[1]!T.in.A[[#This Row],[oo10]],"")</f>
        <v/>
      </c>
      <c r="AF182" s="118" t="str">
        <f>IF(Tab.o1[[#This Row],[a1]]=1,ABS(Tab.o1[[#This Row],[DIF_Target.]]*Tab.o1[[#This Row],[PDF2]]*Tab.o1[[#This Row],[IN]]),"")</f>
        <v/>
      </c>
      <c r="AG182" s="129" t="str">
        <f>IF(Tab.o1[[#This Row],[a1]]=1,Tab.o1[[#This Row],[rW]]^2,"")</f>
        <v/>
      </c>
      <c r="AH182" s="130" t="str">
        <f>IF(Tab.o1[[#This Row],[a1]]=1,IF(AH$3=0,Tab.o1[[#This Row],[rW2]],0.01+0.94*Tab.o1[[#This Row],[rW2]]/SUM(Tab.o1[rW2])),"")</f>
        <v/>
      </c>
      <c r="AI182" s="128" t="str">
        <f>IF(Tab.o1[[#This Row],[a1]]=1,1/Tab.o1[[#This Row],[PDF]],"")</f>
        <v/>
      </c>
      <c r="AJ182" s="131" t="str">
        <f>IF(Tab.o1[[#This Row],[a1]]=1,[1]!T_AA[[#This Row],[IN'']]*[1]!T_AA[[#This Row],[Qde'']],"")</f>
        <v/>
      </c>
      <c r="AK182" s="132" t="str">
        <f>IF(Tab.o1[[#This Row],[a1]]=1,IF(AK$1=1,Tab.o1[[#This Row],[MED]]+Tab.o1[[#This Row],[MOD]]-Tab.o1[[#This Row],[MED]],""),"")</f>
        <v/>
      </c>
      <c r="AL182" s="133" t="str">
        <f>IF(Tab.o1[[#This Row],[a1]]=1,[1]!T.in.A[[#This Row],[oo16]],"")</f>
        <v/>
      </c>
      <c r="AM182" s="133" t="str">
        <f>IF(Tab.o1[[#This Row],[a1]]=1,IF(AM$3=1,[1]!T.in.A[[#This Row],[Σo16]],""),"")</f>
        <v/>
      </c>
      <c r="AN182" s="126" t="str">
        <f>IF(Tab.o1[[#This Row],[a1]]=1,[1]!T.in.A[[#This Row],[Σp5]],"")</f>
        <v/>
      </c>
      <c r="AO182" s="126" t="str">
        <f>IF(Tab.o1[[#This Row],[a1]]=1,IF(AO$3=1,[1]!T.in.A[[#This Row],[Σp5]],""),"")</f>
        <v/>
      </c>
      <c r="AP182" s="110" t="str">
        <f>IF(Tab.o1[[#This Row],[a1]]=1,IF(ISNUMBER(Tab.o1[[#This Row],[i.]]),NORMDIST(Tab.o1[[#This Row],[Za]],0,1,FALSE)*Tab.o1[[#This Row],[i.]],0),"")</f>
        <v/>
      </c>
      <c r="AQ182" s="125" t="str">
        <f>IF(Tab.o1[[#This Row],[a1]]=1,ABS(Tab.o1[[#This Row],[MOD]]-AVERAGE(Tab.o1[MOD])),"")</f>
        <v/>
      </c>
      <c r="AR182" s="134" t="str">
        <f>IF(Tab.o1[[#This Row],[a1]]=1,Tab.o1[[#This Row],[OBS]]/SUM(Tab.o1[OBS]),"")</f>
        <v/>
      </c>
      <c r="AS182" s="135" t="str">
        <f>IF(ISNUMBER(Tab.o1[[#This Row],[a1]]),ROW()-4,"")</f>
        <v/>
      </c>
      <c r="AT182" s="136" t="str">
        <f>Tab.o1[[#This Row],[MOD]]</f>
        <v/>
      </c>
      <c r="AU182" s="137" t="str">
        <f t="shared" si="9"/>
        <v/>
      </c>
      <c r="AV182" s="138" t="str">
        <f t="shared" si="10"/>
        <v/>
      </c>
      <c r="AW182" s="138" t="str">
        <f t="shared" si="11"/>
        <v/>
      </c>
      <c r="AX182" s="139" t="str">
        <f>[1]!T.in.A[[#This Row],[ID_T_manu]]</f>
        <v/>
      </c>
      <c r="AY182" s="140" t="str">
        <f>IF(ISNUMBER(Tab.o1[[#This Row],[a1]]),IF(AND(Tab.o1[[#This Row],[a1]]=1,Tab.o1[[#This Row],[b1]]&lt;=AY$4),#REF!,AY181),"")</f>
        <v/>
      </c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</row>
    <row r="183" spans="1:79" ht="14.25" hidden="1" customHeight="1">
      <c r="A183" s="109">
        <v>2.0000000000000003E-6</v>
      </c>
      <c r="B183" s="110">
        <f t="shared" si="8"/>
        <v>183</v>
      </c>
      <c r="C183" s="111" t="str">
        <f>IF(C$1=[1]!T.in.A[[#This Row],[oo2]],1,"")</f>
        <v/>
      </c>
      <c r="D183" s="112" t="str">
        <f>IF(Tab.o1[[#This Row],[a1]]=1,IF(SUM(C183:C184)=0,0,IF(SUM(C182:C183)=1,1,IF(SUM(C182:C184)&gt;1,D182+1,0))),"")</f>
        <v/>
      </c>
      <c r="E183" s="113" t="str">
        <f>IF(Tab.o1[[#This Row],[a1]]=1,[1]!T.in.A[[#This Row],[oo1]],"")</f>
        <v/>
      </c>
      <c r="F183" s="113" t="str">
        <f>IF(Tab.o1[[#This Row],[a1]]=1,[1]!T.in.A[[#This Row],[pp1]],"")</f>
        <v/>
      </c>
      <c r="G183" s="114" t="str">
        <f>IF(Tab.o1[[#This Row],[a1]]=1,G$2+IF(G$1=1,0,Tab.o1[[#This Row],[.x1]])+[1]!T.in.A[[#This Row],[oo3]],"")</f>
        <v/>
      </c>
      <c r="H183" s="115" t="str">
        <f>IF(Tab.o1[[#This Row],[a1]]=1,IF(H$2=0,0,IF(G$1=1,0,Tab.o1[[#This Row],[.x1]])+[1]!T.in.A[[#This Row],[oo4]]),"")</f>
        <v/>
      </c>
      <c r="I183" s="116" t="str">
        <f>IF(Tab.o1[[#This Row],[a1]]=1,IF(J$2=0,Tab.o1[[#This Row],[MED]],Tab.o1[[#This Row],[MOD]]),"")</f>
        <v/>
      </c>
      <c r="J183" s="116" t="str">
        <f>IF(Tab.o1[[#This Row],[a1]]=1,((Tab.o1[[#This Row],[DIF_Target.]]-AVERAGE(Tab.o1[DIF_Target.]))/_xlfn.STDEV.P(Tab.o1[DIF_Target.])),"")</f>
        <v/>
      </c>
      <c r="K183" s="117" t="str">
        <f>IF(Tab.o1[[#This Row],[a1]]=1,IF(J$2=0,Tab.o1[[#This Row],[MOD]]-Tab.o1[[#This Row],[B]],IF(J$2=1,0,-Tab.o1[[#This Row],[MED]])+Tab.o1[[#This Row],[B]]),"")</f>
        <v/>
      </c>
      <c r="L183" s="117" t="str">
        <f ca="1">IF(Tab.o1[[#This Row],[DIF_Target]]=0,IF(L$2=0,Tab.o1[[#This Row],[DIF_Target]],AVERAGE(OFFSET(Tab.o1[[#This Row],[DIF_Target]],1,0,L$3,1)))/3,Tab.o1[[#This Row],[DIF_Target]])</f>
        <v/>
      </c>
      <c r="M183" s="118" t="str">
        <f>IF(Tab.o1[[#This Row],[a1]]=1,NORMSDIST(Tab.o1[[#This Row],[Za]]),"")</f>
        <v/>
      </c>
      <c r="N183" s="119" t="str">
        <f>IF(Tab.o1[[#This Row],[a1]]=1,((Tab.o1[[#This Row],[MedMod]]-AVERAGE(Tab.o1[MedMod]))/_xlfn.STDEV.P(Tab.o1[MedMod])*H$1205)+G$1205,"")</f>
        <v/>
      </c>
      <c r="O183" s="141" t="str">
        <f>IF(Tab.o1[[#This Row],[a1]]=1,Tab.o1[[#This Row],[Zb]]*_xlfn.STDEV.P(Tab.o1[MedMod])+AVERAGE(Tab.o1[MedMod]),"")</f>
        <v/>
      </c>
      <c r="P183" s="117" t="str">
        <f ca="1">IF(Tab.o1[[#This Row],[B]]=0,AVERAGE(OFFSET(Tab.o1[[#This Row],[B]],1,0,L$3,1)),Tab.o1[[#This Row],[B]])</f>
        <v/>
      </c>
      <c r="Q183" s="121" t="str">
        <f>IF(Tab.o1[[#This Row],[a1]]=1,NORMSDIST(Tab.o1[[#This Row],[Zb]]),"")</f>
        <v/>
      </c>
      <c r="R183" s="122" t="str">
        <f>IF(Tab.o1[[#This Row],[a1]]=1,((Tab.o1[[#This Row],[MedMod]]-AVERAGE(Tab.o1[MedMod]))/_xlfn.STDEV.P(Tab.o1[MedMod])*H$1203)+G$1203,"")</f>
        <v/>
      </c>
      <c r="S183" s="122" t="str">
        <f>IF(Tab.o1[[#This Row],[a1]]=1,((Tab.o1[[#This Row],[MedMod]]-AVERAGE(Tab.o1[MedMod]))/_xlfn.STDEV.P(Tab.o1[MedMod])*H$1204)+G$1204,"")</f>
        <v/>
      </c>
      <c r="T183" s="123" t="str">
        <f>IF(Tab.o1[[#This Row],[a1]]=1,Tab.o1[[#This Row],[Z-]]*_xlfn.STDEV.P(Tab.o1[B])+AVERAGE(Tab.o1[B]),"")</f>
        <v/>
      </c>
      <c r="U183" s="123" t="str">
        <f>IF(Tab.o1[[#This Row],[a1]]=1,Tab.o1[[#This Row],[z+]]*_xlfn.STDEV.P(Tab.o1[B])+AVERAGE(Tab.o1[B]),"")</f>
        <v/>
      </c>
      <c r="V183" s="124" t="str">
        <f>IF(Tab.o1[[#This Row],[a1]]=1,ABS((ABS(Tab.o1[[#This Row],[Red]]-Tab.o1[[#This Row],[Blue]]))),"")</f>
        <v/>
      </c>
      <c r="W183" s="125" t="str">
        <f>IF(Tab.o1[[#This Row],[a1]]=1,IF(W$3=0,1,Tab.o1[[#This Row],[Amp.]]*1/_xlfn.MINIFS(Tab.o1[Amp.],Tab.o1[Amp.],"&lt;&gt;0")),"")</f>
        <v/>
      </c>
      <c r="X183" s="126" t="str">
        <f>IF(Tab.o1[[#This Row],[a1]]=1,IF(ISNUMBER(Tab.o1[[#This Row],[i.]]),NORMDIST(Tab.o1[[#This Row],[Za]],0,1,FALSE)*Tab.o1[[#This Row],[i.]],AP$3),"")</f>
        <v/>
      </c>
      <c r="Y183" s="126" t="str">
        <f>IF(Tab.o1[[#This Row],[a1]]=1,0.01+0.94*Tab.o1[[#This Row],[PDF]]/MAX(Tab.o1[PDF]),"")</f>
        <v/>
      </c>
      <c r="Z183" s="126" t="str">
        <f>IF(Tab.o1[[#This Row],[a1]]=1,0.01+0.94*Tab.o1[[#This Row],[W1_PDF]]/MAX(Tab.o1[W1_PDF]),"")</f>
        <v/>
      </c>
      <c r="AA183" s="118" t="str">
        <f>IF(Tab.o1[[#This Row],[a1]]=1,ABS([1]!T.in.A[[#This Row],[oo6]]),"")</f>
        <v/>
      </c>
      <c r="AB183" s="127" t="str">
        <f>IF(Tab.o1[[#This Row],[a1]]=1,IF(AE$3=0,"",IF(AB$3=0,ABS([1]!T.in.A[[#This Row],[oo9]]),ABS(Tab.o1[[#This Row],[DIF_Target.]]*Tab.o1[[#This Row],[W1_PDF]]))),"")</f>
        <v/>
      </c>
      <c r="AC183" s="127" t="str">
        <f>IF(G$1=1,"",IF(Tab.o1[[#This Row],[a1]]=1,Tab.o1[[#This Row],[Wr]]^2,""))</f>
        <v/>
      </c>
      <c r="AD183" s="118" t="str">
        <f>IF(Tab.o1[[#This Row],[a1]]=1,IF(AE$3=0,"",Tab.o1[[#This Row],[Wr2]]/SUM(Tab.o1[Wr2])),"")</f>
        <v/>
      </c>
      <c r="AE183" s="128" t="str">
        <f>IF(Tab.o1[[#This Row],[a1]]=1,[1]!T.in.A[[#This Row],[oo10]],"")</f>
        <v/>
      </c>
      <c r="AF183" s="118" t="str">
        <f>IF(Tab.o1[[#This Row],[a1]]=1,ABS(Tab.o1[[#This Row],[DIF_Target.]]*Tab.o1[[#This Row],[PDF2]]*Tab.o1[[#This Row],[IN]]),"")</f>
        <v/>
      </c>
      <c r="AG183" s="129" t="str">
        <f>IF(Tab.o1[[#This Row],[a1]]=1,Tab.o1[[#This Row],[rW]]^2,"")</f>
        <v/>
      </c>
      <c r="AH183" s="130" t="str">
        <f>IF(Tab.o1[[#This Row],[a1]]=1,IF(AH$3=0,Tab.o1[[#This Row],[rW2]],0.01+0.94*Tab.o1[[#This Row],[rW2]]/SUM(Tab.o1[rW2])),"")</f>
        <v/>
      </c>
      <c r="AI183" s="128" t="str">
        <f>IF(Tab.o1[[#This Row],[a1]]=1,1/Tab.o1[[#This Row],[PDF]],"")</f>
        <v/>
      </c>
      <c r="AJ183" s="131" t="str">
        <f>IF(Tab.o1[[#This Row],[a1]]=1,[1]!T_AA[[#This Row],[IN'']]*[1]!T_AA[[#This Row],[Qde'']],"")</f>
        <v/>
      </c>
      <c r="AK183" s="132" t="str">
        <f>IF(Tab.o1[[#This Row],[a1]]=1,IF(AK$1=1,Tab.o1[[#This Row],[MED]]+Tab.o1[[#This Row],[MOD]]-Tab.o1[[#This Row],[MED]],""),"")</f>
        <v/>
      </c>
      <c r="AL183" s="133" t="str">
        <f>IF(Tab.o1[[#This Row],[a1]]=1,[1]!T.in.A[[#This Row],[oo16]],"")</f>
        <v/>
      </c>
      <c r="AM183" s="133" t="str">
        <f>IF(Tab.o1[[#This Row],[a1]]=1,IF(AM$3=1,[1]!T.in.A[[#This Row],[Σo16]],""),"")</f>
        <v/>
      </c>
      <c r="AN183" s="126" t="str">
        <f>IF(Tab.o1[[#This Row],[a1]]=1,[1]!T.in.A[[#This Row],[Σp5]],"")</f>
        <v/>
      </c>
      <c r="AO183" s="126" t="str">
        <f>IF(Tab.o1[[#This Row],[a1]]=1,IF(AO$3=1,[1]!T.in.A[[#This Row],[Σp5]],""),"")</f>
        <v/>
      </c>
      <c r="AP183" s="110" t="str">
        <f>IF(Tab.o1[[#This Row],[a1]]=1,IF(ISNUMBER(Tab.o1[[#This Row],[i.]]),NORMDIST(Tab.o1[[#This Row],[Za]],0,1,FALSE)*Tab.o1[[#This Row],[i.]],0),"")</f>
        <v/>
      </c>
      <c r="AQ183" s="125" t="str">
        <f>IF(Tab.o1[[#This Row],[a1]]=1,ABS(Tab.o1[[#This Row],[MOD]]-AVERAGE(Tab.o1[MOD])),"")</f>
        <v/>
      </c>
      <c r="AR183" s="134" t="str">
        <f>IF(Tab.o1[[#This Row],[a1]]=1,Tab.o1[[#This Row],[OBS]]/SUM(Tab.o1[OBS]),"")</f>
        <v/>
      </c>
      <c r="AS183" s="135" t="str">
        <f>IF(ISNUMBER(Tab.o1[[#This Row],[a1]]),ROW()-4,"")</f>
        <v/>
      </c>
      <c r="AT183" s="136" t="str">
        <f>Tab.o1[[#This Row],[MOD]]</f>
        <v/>
      </c>
      <c r="AU183" s="137" t="str">
        <f t="shared" si="9"/>
        <v/>
      </c>
      <c r="AV183" s="138" t="str">
        <f t="shared" si="10"/>
        <v/>
      </c>
      <c r="AW183" s="138" t="str">
        <f t="shared" si="11"/>
        <v/>
      </c>
      <c r="AX183" s="139" t="str">
        <f>[1]!T.in.A[[#This Row],[ID_T_manu]]</f>
        <v/>
      </c>
      <c r="AY183" s="140" t="str">
        <f>IF(ISNUMBER(Tab.o1[[#This Row],[a1]]),IF(AND(Tab.o1[[#This Row],[a1]]=1,Tab.o1[[#This Row],[b1]]&lt;=AY$4),#REF!,AY182),"")</f>
        <v/>
      </c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</row>
    <row r="184" spans="1:79" ht="14.25" hidden="1" customHeight="1">
      <c r="A184" s="109">
        <v>-5.9999999999999993E-6</v>
      </c>
      <c r="B184" s="110">
        <f t="shared" si="8"/>
        <v>184</v>
      </c>
      <c r="C184" s="111" t="str">
        <f>IF(C$1=[1]!T.in.A[[#This Row],[oo2]],1,"")</f>
        <v/>
      </c>
      <c r="D184" s="112" t="str">
        <f>IF(Tab.o1[[#This Row],[a1]]=1,IF(SUM(C184:C185)=0,0,IF(SUM(C183:C184)=1,1,IF(SUM(C183:C185)&gt;1,D183+1,0))),"")</f>
        <v/>
      </c>
      <c r="E184" s="113" t="str">
        <f>IF(Tab.o1[[#This Row],[a1]]=1,[1]!T.in.A[[#This Row],[oo1]],"")</f>
        <v/>
      </c>
      <c r="F184" s="113" t="str">
        <f>IF(Tab.o1[[#This Row],[a1]]=1,[1]!T.in.A[[#This Row],[pp1]],"")</f>
        <v/>
      </c>
      <c r="G184" s="114" t="str">
        <f>IF(Tab.o1[[#This Row],[a1]]=1,G$2+IF(G$1=1,0,Tab.o1[[#This Row],[.x1]])+[1]!T.in.A[[#This Row],[oo3]],"")</f>
        <v/>
      </c>
      <c r="H184" s="115" t="str">
        <f>IF(Tab.o1[[#This Row],[a1]]=1,IF(H$2=0,0,IF(G$1=1,0,Tab.o1[[#This Row],[.x1]])+[1]!T.in.A[[#This Row],[oo4]]),"")</f>
        <v/>
      </c>
      <c r="I184" s="116" t="str">
        <f>IF(Tab.o1[[#This Row],[a1]]=1,IF(J$2=0,Tab.o1[[#This Row],[MED]],Tab.o1[[#This Row],[MOD]]),"")</f>
        <v/>
      </c>
      <c r="J184" s="116" t="str">
        <f>IF(Tab.o1[[#This Row],[a1]]=1,((Tab.o1[[#This Row],[DIF_Target.]]-AVERAGE(Tab.o1[DIF_Target.]))/_xlfn.STDEV.P(Tab.o1[DIF_Target.])),"")</f>
        <v/>
      </c>
      <c r="K184" s="117" t="str">
        <f>IF(Tab.o1[[#This Row],[a1]]=1,IF(J$2=0,Tab.o1[[#This Row],[MOD]]-Tab.o1[[#This Row],[B]],IF(J$2=1,0,-Tab.o1[[#This Row],[MED]])+Tab.o1[[#This Row],[B]]),"")</f>
        <v/>
      </c>
      <c r="L184" s="117" t="str">
        <f ca="1">IF(Tab.o1[[#This Row],[DIF_Target]]=0,IF(L$2=0,Tab.o1[[#This Row],[DIF_Target]],AVERAGE(OFFSET(Tab.o1[[#This Row],[DIF_Target]],1,0,L$3,1)))/3,Tab.o1[[#This Row],[DIF_Target]])</f>
        <v/>
      </c>
      <c r="M184" s="118" t="str">
        <f>IF(Tab.o1[[#This Row],[a1]]=1,NORMSDIST(Tab.o1[[#This Row],[Za]]),"")</f>
        <v/>
      </c>
      <c r="N184" s="119" t="str">
        <f>IF(Tab.o1[[#This Row],[a1]]=1,((Tab.o1[[#This Row],[MedMod]]-AVERAGE(Tab.o1[MedMod]))/_xlfn.STDEV.P(Tab.o1[MedMod])*H$1205)+G$1205,"")</f>
        <v/>
      </c>
      <c r="O184" s="141" t="str">
        <f>IF(Tab.o1[[#This Row],[a1]]=1,Tab.o1[[#This Row],[Zb]]*_xlfn.STDEV.P(Tab.o1[MedMod])+AVERAGE(Tab.o1[MedMod]),"")</f>
        <v/>
      </c>
      <c r="P184" s="117" t="str">
        <f ca="1">IF(Tab.o1[[#This Row],[B]]=0,AVERAGE(OFFSET(Tab.o1[[#This Row],[B]],1,0,L$3,1)),Tab.o1[[#This Row],[B]])</f>
        <v/>
      </c>
      <c r="Q184" s="121" t="str">
        <f>IF(Tab.o1[[#This Row],[a1]]=1,NORMSDIST(Tab.o1[[#This Row],[Zb]]),"")</f>
        <v/>
      </c>
      <c r="R184" s="122" t="str">
        <f>IF(Tab.o1[[#This Row],[a1]]=1,((Tab.o1[[#This Row],[MedMod]]-AVERAGE(Tab.o1[MedMod]))/_xlfn.STDEV.P(Tab.o1[MedMod])*H$1203)+G$1203,"")</f>
        <v/>
      </c>
      <c r="S184" s="122" t="str">
        <f>IF(Tab.o1[[#This Row],[a1]]=1,((Tab.o1[[#This Row],[MedMod]]-AVERAGE(Tab.o1[MedMod]))/_xlfn.STDEV.P(Tab.o1[MedMod])*H$1204)+G$1204,"")</f>
        <v/>
      </c>
      <c r="T184" s="123" t="str">
        <f>IF(Tab.o1[[#This Row],[a1]]=1,Tab.o1[[#This Row],[Z-]]*_xlfn.STDEV.P(Tab.o1[B])+AVERAGE(Tab.o1[B]),"")</f>
        <v/>
      </c>
      <c r="U184" s="123" t="str">
        <f>IF(Tab.o1[[#This Row],[a1]]=1,Tab.o1[[#This Row],[z+]]*_xlfn.STDEV.P(Tab.o1[B])+AVERAGE(Tab.o1[B]),"")</f>
        <v/>
      </c>
      <c r="V184" s="124" t="str">
        <f>IF(Tab.o1[[#This Row],[a1]]=1,ABS((ABS(Tab.o1[[#This Row],[Red]]-Tab.o1[[#This Row],[Blue]]))),"")</f>
        <v/>
      </c>
      <c r="W184" s="125" t="str">
        <f>IF(Tab.o1[[#This Row],[a1]]=1,IF(W$3=0,1,Tab.o1[[#This Row],[Amp.]]*1/_xlfn.MINIFS(Tab.o1[Amp.],Tab.o1[Amp.],"&lt;&gt;0")),"")</f>
        <v/>
      </c>
      <c r="X184" s="126" t="str">
        <f>IF(Tab.o1[[#This Row],[a1]]=1,IF(ISNUMBER(Tab.o1[[#This Row],[i.]]),NORMDIST(Tab.o1[[#This Row],[Za]],0,1,FALSE)*Tab.o1[[#This Row],[i.]],AP$3),"")</f>
        <v/>
      </c>
      <c r="Y184" s="126" t="str">
        <f>IF(Tab.o1[[#This Row],[a1]]=1,0.01+0.94*Tab.o1[[#This Row],[PDF]]/MAX(Tab.o1[PDF]),"")</f>
        <v/>
      </c>
      <c r="Z184" s="126" t="str">
        <f>IF(Tab.o1[[#This Row],[a1]]=1,0.01+0.94*Tab.o1[[#This Row],[W1_PDF]]/MAX(Tab.o1[W1_PDF]),"")</f>
        <v/>
      </c>
      <c r="AA184" s="118" t="str">
        <f>IF(Tab.o1[[#This Row],[a1]]=1,ABS([1]!T.in.A[[#This Row],[oo6]]),"")</f>
        <v/>
      </c>
      <c r="AB184" s="127" t="str">
        <f>IF(Tab.o1[[#This Row],[a1]]=1,IF(AE$3=0,"",IF(AB$3=0,ABS([1]!T.in.A[[#This Row],[oo9]]),ABS(Tab.o1[[#This Row],[DIF_Target.]]*Tab.o1[[#This Row],[W1_PDF]]))),"")</f>
        <v/>
      </c>
      <c r="AC184" s="127" t="str">
        <f>IF(G$1=1,"",IF(Tab.o1[[#This Row],[a1]]=1,Tab.o1[[#This Row],[Wr]]^2,""))</f>
        <v/>
      </c>
      <c r="AD184" s="118" t="str">
        <f>IF(Tab.o1[[#This Row],[a1]]=1,IF(AE$3=0,"",Tab.o1[[#This Row],[Wr2]]/SUM(Tab.o1[Wr2])),"")</f>
        <v/>
      </c>
      <c r="AE184" s="128" t="str">
        <f>IF(Tab.o1[[#This Row],[a1]]=1,[1]!T.in.A[[#This Row],[oo10]],"")</f>
        <v/>
      </c>
      <c r="AF184" s="118" t="str">
        <f>IF(Tab.o1[[#This Row],[a1]]=1,ABS(Tab.o1[[#This Row],[DIF_Target.]]*Tab.o1[[#This Row],[PDF2]]*Tab.o1[[#This Row],[IN]]),"")</f>
        <v/>
      </c>
      <c r="AG184" s="129" t="str">
        <f>IF(Tab.o1[[#This Row],[a1]]=1,Tab.o1[[#This Row],[rW]]^2,"")</f>
        <v/>
      </c>
      <c r="AH184" s="130" t="str">
        <f>IF(Tab.o1[[#This Row],[a1]]=1,IF(AH$3=0,Tab.o1[[#This Row],[rW2]],0.01+0.94*Tab.o1[[#This Row],[rW2]]/SUM(Tab.o1[rW2])),"")</f>
        <v/>
      </c>
      <c r="AI184" s="128" t="str">
        <f>IF(Tab.o1[[#This Row],[a1]]=1,1/Tab.o1[[#This Row],[PDF]],"")</f>
        <v/>
      </c>
      <c r="AJ184" s="131" t="str">
        <f>IF(Tab.o1[[#This Row],[a1]]=1,[1]!T_AA[[#This Row],[IN'']]*[1]!T_AA[[#This Row],[Qde'']],"")</f>
        <v/>
      </c>
      <c r="AK184" s="132" t="str">
        <f>IF(Tab.o1[[#This Row],[a1]]=1,IF(AK$1=1,Tab.o1[[#This Row],[MED]]+Tab.o1[[#This Row],[MOD]]-Tab.o1[[#This Row],[MED]],""),"")</f>
        <v/>
      </c>
      <c r="AL184" s="133" t="str">
        <f>IF(Tab.o1[[#This Row],[a1]]=1,[1]!T.in.A[[#This Row],[oo16]],"")</f>
        <v/>
      </c>
      <c r="AM184" s="133" t="str">
        <f>IF(Tab.o1[[#This Row],[a1]]=1,IF(AM$3=1,[1]!T.in.A[[#This Row],[Σo16]],""),"")</f>
        <v/>
      </c>
      <c r="AN184" s="126" t="str">
        <f>IF(Tab.o1[[#This Row],[a1]]=1,[1]!T.in.A[[#This Row],[Σp5]],"")</f>
        <v/>
      </c>
      <c r="AO184" s="126" t="str">
        <f>IF(Tab.o1[[#This Row],[a1]]=1,IF(AO$3=1,[1]!T.in.A[[#This Row],[Σp5]],""),"")</f>
        <v/>
      </c>
      <c r="AP184" s="110" t="str">
        <f>IF(Tab.o1[[#This Row],[a1]]=1,IF(ISNUMBER(Tab.o1[[#This Row],[i.]]),NORMDIST(Tab.o1[[#This Row],[Za]],0,1,FALSE)*Tab.o1[[#This Row],[i.]],0),"")</f>
        <v/>
      </c>
      <c r="AQ184" s="125" t="str">
        <f>IF(Tab.o1[[#This Row],[a1]]=1,ABS(Tab.o1[[#This Row],[MOD]]-AVERAGE(Tab.o1[MOD])),"")</f>
        <v/>
      </c>
      <c r="AR184" s="134" t="str">
        <f>IF(Tab.o1[[#This Row],[a1]]=1,Tab.o1[[#This Row],[OBS]]/SUM(Tab.o1[OBS]),"")</f>
        <v/>
      </c>
      <c r="AS184" s="135" t="str">
        <f>IF(ISNUMBER(Tab.o1[[#This Row],[a1]]),ROW()-4,"")</f>
        <v/>
      </c>
      <c r="AT184" s="136" t="str">
        <f>Tab.o1[[#This Row],[MOD]]</f>
        <v/>
      </c>
      <c r="AU184" s="137" t="str">
        <f t="shared" si="9"/>
        <v/>
      </c>
      <c r="AV184" s="138" t="str">
        <f t="shared" si="10"/>
        <v/>
      </c>
      <c r="AW184" s="138" t="str">
        <f t="shared" si="11"/>
        <v/>
      </c>
      <c r="AX184" s="139" t="str">
        <f>[1]!T.in.A[[#This Row],[ID_T_manu]]</f>
        <v/>
      </c>
      <c r="AY184" s="140" t="str">
        <f>IF(ISNUMBER(Tab.o1[[#This Row],[a1]]),IF(AND(Tab.o1[[#This Row],[a1]]=1,Tab.o1[[#This Row],[b1]]&lt;=AY$4),#REF!,AY183),"")</f>
        <v/>
      </c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</row>
    <row r="185" spans="1:79" ht="14.25" hidden="1" customHeight="1">
      <c r="A185" s="109">
        <v>4.0000000000000007E-6</v>
      </c>
      <c r="B185" s="110">
        <f t="shared" si="8"/>
        <v>185</v>
      </c>
      <c r="C185" s="111" t="str">
        <f>IF(C$1=[1]!T.in.A[[#This Row],[oo2]],1,"")</f>
        <v/>
      </c>
      <c r="D185" s="112" t="str">
        <f>IF(Tab.o1[[#This Row],[a1]]=1,IF(SUM(C185:C186)=0,0,IF(SUM(C184:C185)=1,1,IF(SUM(C184:C186)&gt;1,D184+1,0))),"")</f>
        <v/>
      </c>
      <c r="E185" s="113" t="str">
        <f>IF(Tab.o1[[#This Row],[a1]]=1,[1]!T.in.A[[#This Row],[oo1]],"")</f>
        <v/>
      </c>
      <c r="F185" s="113" t="str">
        <f>IF(Tab.o1[[#This Row],[a1]]=1,[1]!T.in.A[[#This Row],[pp1]],"")</f>
        <v/>
      </c>
      <c r="G185" s="114" t="str">
        <f>IF(Tab.o1[[#This Row],[a1]]=1,G$2+IF(G$1=1,0,Tab.o1[[#This Row],[.x1]])+[1]!T.in.A[[#This Row],[oo3]],"")</f>
        <v/>
      </c>
      <c r="H185" s="115" t="str">
        <f>IF(Tab.o1[[#This Row],[a1]]=1,IF(H$2=0,0,IF(G$1=1,0,Tab.o1[[#This Row],[.x1]])+[1]!T.in.A[[#This Row],[oo4]]),"")</f>
        <v/>
      </c>
      <c r="I185" s="116" t="str">
        <f>IF(Tab.o1[[#This Row],[a1]]=1,IF(J$2=0,Tab.o1[[#This Row],[MED]],Tab.o1[[#This Row],[MOD]]),"")</f>
        <v/>
      </c>
      <c r="J185" s="116" t="str">
        <f>IF(Tab.o1[[#This Row],[a1]]=1,((Tab.o1[[#This Row],[DIF_Target.]]-AVERAGE(Tab.o1[DIF_Target.]))/_xlfn.STDEV.P(Tab.o1[DIF_Target.])),"")</f>
        <v/>
      </c>
      <c r="K185" s="117" t="str">
        <f>IF(Tab.o1[[#This Row],[a1]]=1,IF(J$2=0,Tab.o1[[#This Row],[MOD]]-Tab.o1[[#This Row],[B]],IF(J$2=1,0,-Tab.o1[[#This Row],[MED]])+Tab.o1[[#This Row],[B]]),"")</f>
        <v/>
      </c>
      <c r="L185" s="117" t="str">
        <f ca="1">IF(Tab.o1[[#This Row],[DIF_Target]]=0,IF(L$2=0,Tab.o1[[#This Row],[DIF_Target]],AVERAGE(OFFSET(Tab.o1[[#This Row],[DIF_Target]],1,0,L$3,1)))/3,Tab.o1[[#This Row],[DIF_Target]])</f>
        <v/>
      </c>
      <c r="M185" s="118" t="str">
        <f>IF(Tab.o1[[#This Row],[a1]]=1,NORMSDIST(Tab.o1[[#This Row],[Za]]),"")</f>
        <v/>
      </c>
      <c r="N185" s="119" t="str">
        <f>IF(Tab.o1[[#This Row],[a1]]=1,((Tab.o1[[#This Row],[MedMod]]-AVERAGE(Tab.o1[MedMod]))/_xlfn.STDEV.P(Tab.o1[MedMod])*H$1205)+G$1205,"")</f>
        <v/>
      </c>
      <c r="O185" s="141" t="str">
        <f>IF(Tab.o1[[#This Row],[a1]]=1,Tab.o1[[#This Row],[Zb]]*_xlfn.STDEV.P(Tab.o1[MedMod])+AVERAGE(Tab.o1[MedMod]),"")</f>
        <v/>
      </c>
      <c r="P185" s="117" t="str">
        <f ca="1">IF(Tab.o1[[#This Row],[B]]=0,AVERAGE(OFFSET(Tab.o1[[#This Row],[B]],1,0,L$3,1)),Tab.o1[[#This Row],[B]])</f>
        <v/>
      </c>
      <c r="Q185" s="121" t="str">
        <f>IF(Tab.o1[[#This Row],[a1]]=1,NORMSDIST(Tab.o1[[#This Row],[Zb]]),"")</f>
        <v/>
      </c>
      <c r="R185" s="122" t="str">
        <f>IF(Tab.o1[[#This Row],[a1]]=1,((Tab.o1[[#This Row],[MedMod]]-AVERAGE(Tab.o1[MedMod]))/_xlfn.STDEV.P(Tab.o1[MedMod])*H$1203)+G$1203,"")</f>
        <v/>
      </c>
      <c r="S185" s="122" t="str">
        <f>IF(Tab.o1[[#This Row],[a1]]=1,((Tab.o1[[#This Row],[MedMod]]-AVERAGE(Tab.o1[MedMod]))/_xlfn.STDEV.P(Tab.o1[MedMod])*H$1204)+G$1204,"")</f>
        <v/>
      </c>
      <c r="T185" s="123" t="str">
        <f>IF(Tab.o1[[#This Row],[a1]]=1,Tab.o1[[#This Row],[Z-]]*_xlfn.STDEV.P(Tab.o1[B])+AVERAGE(Tab.o1[B]),"")</f>
        <v/>
      </c>
      <c r="U185" s="123" t="str">
        <f>IF(Tab.o1[[#This Row],[a1]]=1,Tab.o1[[#This Row],[z+]]*_xlfn.STDEV.P(Tab.o1[B])+AVERAGE(Tab.o1[B]),"")</f>
        <v/>
      </c>
      <c r="V185" s="124" t="str">
        <f>IF(Tab.o1[[#This Row],[a1]]=1,ABS((ABS(Tab.o1[[#This Row],[Red]]-Tab.o1[[#This Row],[Blue]]))),"")</f>
        <v/>
      </c>
      <c r="W185" s="125" t="str">
        <f>IF(Tab.o1[[#This Row],[a1]]=1,IF(W$3=0,1,Tab.o1[[#This Row],[Amp.]]*1/_xlfn.MINIFS(Tab.o1[Amp.],Tab.o1[Amp.],"&lt;&gt;0")),"")</f>
        <v/>
      </c>
      <c r="X185" s="126" t="str">
        <f>IF(Tab.o1[[#This Row],[a1]]=1,IF(ISNUMBER(Tab.o1[[#This Row],[i.]]),NORMDIST(Tab.o1[[#This Row],[Za]],0,1,FALSE)*Tab.o1[[#This Row],[i.]],AP$3),"")</f>
        <v/>
      </c>
      <c r="Y185" s="126" t="str">
        <f>IF(Tab.o1[[#This Row],[a1]]=1,0.01+0.94*Tab.o1[[#This Row],[PDF]]/MAX(Tab.o1[PDF]),"")</f>
        <v/>
      </c>
      <c r="Z185" s="126" t="str">
        <f>IF(Tab.o1[[#This Row],[a1]]=1,0.01+0.94*Tab.o1[[#This Row],[W1_PDF]]/MAX(Tab.o1[W1_PDF]),"")</f>
        <v/>
      </c>
      <c r="AA185" s="118" t="str">
        <f>IF(Tab.o1[[#This Row],[a1]]=1,ABS([1]!T.in.A[[#This Row],[oo6]]),"")</f>
        <v/>
      </c>
      <c r="AB185" s="127" t="str">
        <f>IF(Tab.o1[[#This Row],[a1]]=1,IF(AE$3=0,"",IF(AB$3=0,ABS([1]!T.in.A[[#This Row],[oo9]]),ABS(Tab.o1[[#This Row],[DIF_Target.]]*Tab.o1[[#This Row],[W1_PDF]]))),"")</f>
        <v/>
      </c>
      <c r="AC185" s="127" t="str">
        <f>IF(G$1=1,"",IF(Tab.o1[[#This Row],[a1]]=1,Tab.o1[[#This Row],[Wr]]^2,""))</f>
        <v/>
      </c>
      <c r="AD185" s="118" t="str">
        <f>IF(Tab.o1[[#This Row],[a1]]=1,IF(AE$3=0,"",Tab.o1[[#This Row],[Wr2]]/SUM(Tab.o1[Wr2])),"")</f>
        <v/>
      </c>
      <c r="AE185" s="128" t="str">
        <f>IF(Tab.o1[[#This Row],[a1]]=1,[1]!T.in.A[[#This Row],[oo10]],"")</f>
        <v/>
      </c>
      <c r="AF185" s="118" t="str">
        <f>IF(Tab.o1[[#This Row],[a1]]=1,ABS(Tab.o1[[#This Row],[DIF_Target.]]*Tab.o1[[#This Row],[PDF2]]*Tab.o1[[#This Row],[IN]]),"")</f>
        <v/>
      </c>
      <c r="AG185" s="129" t="str">
        <f>IF(Tab.o1[[#This Row],[a1]]=1,Tab.o1[[#This Row],[rW]]^2,"")</f>
        <v/>
      </c>
      <c r="AH185" s="130" t="str">
        <f>IF(Tab.o1[[#This Row],[a1]]=1,IF(AH$3=0,Tab.o1[[#This Row],[rW2]],0.01+0.94*Tab.o1[[#This Row],[rW2]]/SUM(Tab.o1[rW2])),"")</f>
        <v/>
      </c>
      <c r="AI185" s="128" t="str">
        <f>IF(Tab.o1[[#This Row],[a1]]=1,1/Tab.o1[[#This Row],[PDF]],"")</f>
        <v/>
      </c>
      <c r="AJ185" s="131" t="str">
        <f>IF(Tab.o1[[#This Row],[a1]]=1,[1]!T_AA[[#This Row],[IN'']]*[1]!T_AA[[#This Row],[Qde'']],"")</f>
        <v/>
      </c>
      <c r="AK185" s="132" t="str">
        <f>IF(Tab.o1[[#This Row],[a1]]=1,IF(AK$1=1,Tab.o1[[#This Row],[MED]]+Tab.o1[[#This Row],[MOD]]-Tab.o1[[#This Row],[MED]],""),"")</f>
        <v/>
      </c>
      <c r="AL185" s="133" t="str">
        <f>IF(Tab.o1[[#This Row],[a1]]=1,[1]!T.in.A[[#This Row],[oo16]],"")</f>
        <v/>
      </c>
      <c r="AM185" s="133" t="str">
        <f>IF(Tab.o1[[#This Row],[a1]]=1,IF(AM$3=1,[1]!T.in.A[[#This Row],[Σo16]],""),"")</f>
        <v/>
      </c>
      <c r="AN185" s="126" t="str">
        <f>IF(Tab.o1[[#This Row],[a1]]=1,[1]!T.in.A[[#This Row],[Σp5]],"")</f>
        <v/>
      </c>
      <c r="AO185" s="126" t="str">
        <f>IF(Tab.o1[[#This Row],[a1]]=1,IF(AO$3=1,[1]!T.in.A[[#This Row],[Σp5]],""),"")</f>
        <v/>
      </c>
      <c r="AP185" s="110" t="str">
        <f>IF(Tab.o1[[#This Row],[a1]]=1,IF(ISNUMBER(Tab.o1[[#This Row],[i.]]),NORMDIST(Tab.o1[[#This Row],[Za]],0,1,FALSE)*Tab.o1[[#This Row],[i.]],0),"")</f>
        <v/>
      </c>
      <c r="AQ185" s="125" t="str">
        <f>IF(Tab.o1[[#This Row],[a1]]=1,ABS(Tab.o1[[#This Row],[MOD]]-AVERAGE(Tab.o1[MOD])),"")</f>
        <v/>
      </c>
      <c r="AR185" s="134" t="str">
        <f>IF(Tab.o1[[#This Row],[a1]]=1,Tab.o1[[#This Row],[OBS]]/SUM(Tab.o1[OBS]),"")</f>
        <v/>
      </c>
      <c r="AS185" s="135" t="str">
        <f>IF(ISNUMBER(Tab.o1[[#This Row],[a1]]),ROW()-4,"")</f>
        <v/>
      </c>
      <c r="AT185" s="136" t="str">
        <f>Tab.o1[[#This Row],[MOD]]</f>
        <v/>
      </c>
      <c r="AU185" s="137" t="str">
        <f t="shared" si="9"/>
        <v/>
      </c>
      <c r="AV185" s="138" t="str">
        <f t="shared" si="10"/>
        <v/>
      </c>
      <c r="AW185" s="138" t="str">
        <f t="shared" si="11"/>
        <v/>
      </c>
      <c r="AX185" s="139" t="str">
        <f>[1]!T.in.A[[#This Row],[ID_T_manu]]</f>
        <v/>
      </c>
      <c r="AY185" s="140" t="str">
        <f>IF(ISNUMBER(Tab.o1[[#This Row],[a1]]),IF(AND(Tab.o1[[#This Row],[a1]]=1,Tab.o1[[#This Row],[b1]]&lt;=AY$4),#REF!,AY184),"")</f>
        <v/>
      </c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</row>
    <row r="186" spans="1:79" ht="14.25" hidden="1" customHeight="1">
      <c r="A186" s="109">
        <v>1.0000000000000001E-5</v>
      </c>
      <c r="B186" s="110">
        <f t="shared" si="8"/>
        <v>186</v>
      </c>
      <c r="C186" s="111" t="str">
        <f>IF(C$1=[1]!T.in.A[[#This Row],[oo2]],1,"")</f>
        <v/>
      </c>
      <c r="D186" s="112" t="str">
        <f>IF(Tab.o1[[#This Row],[a1]]=1,IF(SUM(C186:C187)=0,0,IF(SUM(C185:C186)=1,1,IF(SUM(C185:C187)&gt;1,D185+1,0))),"")</f>
        <v/>
      </c>
      <c r="E186" s="113" t="str">
        <f>IF(Tab.o1[[#This Row],[a1]]=1,[1]!T.in.A[[#This Row],[oo1]],"")</f>
        <v/>
      </c>
      <c r="F186" s="113" t="str">
        <f>IF(Tab.o1[[#This Row],[a1]]=1,[1]!T.in.A[[#This Row],[pp1]],"")</f>
        <v/>
      </c>
      <c r="G186" s="114" t="str">
        <f>IF(Tab.o1[[#This Row],[a1]]=1,G$2+IF(G$1=1,0,Tab.o1[[#This Row],[.x1]])+[1]!T.in.A[[#This Row],[oo3]],"")</f>
        <v/>
      </c>
      <c r="H186" s="115" t="str">
        <f>IF(Tab.o1[[#This Row],[a1]]=1,IF(H$2=0,0,IF(G$1=1,0,Tab.o1[[#This Row],[.x1]])+[1]!T.in.A[[#This Row],[oo4]]),"")</f>
        <v/>
      </c>
      <c r="I186" s="116" t="str">
        <f>IF(Tab.o1[[#This Row],[a1]]=1,IF(J$2=0,Tab.o1[[#This Row],[MED]],Tab.o1[[#This Row],[MOD]]),"")</f>
        <v/>
      </c>
      <c r="J186" s="116" t="str">
        <f>IF(Tab.o1[[#This Row],[a1]]=1,((Tab.o1[[#This Row],[DIF_Target.]]-AVERAGE(Tab.o1[DIF_Target.]))/_xlfn.STDEV.P(Tab.o1[DIF_Target.])),"")</f>
        <v/>
      </c>
      <c r="K186" s="117" t="str">
        <f>IF(Tab.o1[[#This Row],[a1]]=1,IF(J$2=0,Tab.o1[[#This Row],[MOD]]-Tab.o1[[#This Row],[B]],IF(J$2=1,0,-Tab.o1[[#This Row],[MED]])+Tab.o1[[#This Row],[B]]),"")</f>
        <v/>
      </c>
      <c r="L186" s="117" t="str">
        <f ca="1">IF(Tab.o1[[#This Row],[DIF_Target]]=0,IF(L$2=0,Tab.o1[[#This Row],[DIF_Target]],AVERAGE(OFFSET(Tab.o1[[#This Row],[DIF_Target]],1,0,L$3,1)))/3,Tab.o1[[#This Row],[DIF_Target]])</f>
        <v/>
      </c>
      <c r="M186" s="118" t="str">
        <f>IF(Tab.o1[[#This Row],[a1]]=1,NORMSDIST(Tab.o1[[#This Row],[Za]]),"")</f>
        <v/>
      </c>
      <c r="N186" s="119" t="str">
        <f>IF(Tab.o1[[#This Row],[a1]]=1,((Tab.o1[[#This Row],[MedMod]]-AVERAGE(Tab.o1[MedMod]))/_xlfn.STDEV.P(Tab.o1[MedMod])*H$1205)+G$1205,"")</f>
        <v/>
      </c>
      <c r="O186" s="141" t="str">
        <f>IF(Tab.o1[[#This Row],[a1]]=1,Tab.o1[[#This Row],[Zb]]*_xlfn.STDEV.P(Tab.o1[MedMod])+AVERAGE(Tab.o1[MedMod]),"")</f>
        <v/>
      </c>
      <c r="P186" s="117" t="str">
        <f ca="1">IF(Tab.o1[[#This Row],[B]]=0,AVERAGE(OFFSET(Tab.o1[[#This Row],[B]],1,0,L$3,1)),Tab.o1[[#This Row],[B]])</f>
        <v/>
      </c>
      <c r="Q186" s="121" t="str">
        <f>IF(Tab.o1[[#This Row],[a1]]=1,NORMSDIST(Tab.o1[[#This Row],[Zb]]),"")</f>
        <v/>
      </c>
      <c r="R186" s="122" t="str">
        <f>IF(Tab.o1[[#This Row],[a1]]=1,((Tab.o1[[#This Row],[MedMod]]-AVERAGE(Tab.o1[MedMod]))/_xlfn.STDEV.P(Tab.o1[MedMod])*H$1203)+G$1203,"")</f>
        <v/>
      </c>
      <c r="S186" s="122" t="str">
        <f>IF(Tab.o1[[#This Row],[a1]]=1,((Tab.o1[[#This Row],[MedMod]]-AVERAGE(Tab.o1[MedMod]))/_xlfn.STDEV.P(Tab.o1[MedMod])*H$1204)+G$1204,"")</f>
        <v/>
      </c>
      <c r="T186" s="123" t="str">
        <f>IF(Tab.o1[[#This Row],[a1]]=1,Tab.o1[[#This Row],[Z-]]*_xlfn.STDEV.P(Tab.o1[B])+AVERAGE(Tab.o1[B]),"")</f>
        <v/>
      </c>
      <c r="U186" s="123" t="str">
        <f>IF(Tab.o1[[#This Row],[a1]]=1,Tab.o1[[#This Row],[z+]]*_xlfn.STDEV.P(Tab.o1[B])+AVERAGE(Tab.o1[B]),"")</f>
        <v/>
      </c>
      <c r="V186" s="124" t="str">
        <f>IF(Tab.o1[[#This Row],[a1]]=1,ABS((ABS(Tab.o1[[#This Row],[Red]]-Tab.o1[[#This Row],[Blue]]))),"")</f>
        <v/>
      </c>
      <c r="W186" s="125" t="str">
        <f>IF(Tab.o1[[#This Row],[a1]]=1,IF(W$3=0,1,Tab.o1[[#This Row],[Amp.]]*1/_xlfn.MINIFS(Tab.o1[Amp.],Tab.o1[Amp.],"&lt;&gt;0")),"")</f>
        <v/>
      </c>
      <c r="X186" s="126" t="str">
        <f>IF(Tab.o1[[#This Row],[a1]]=1,IF(ISNUMBER(Tab.o1[[#This Row],[i.]]),NORMDIST(Tab.o1[[#This Row],[Za]],0,1,FALSE)*Tab.o1[[#This Row],[i.]],AP$3),"")</f>
        <v/>
      </c>
      <c r="Y186" s="126" t="str">
        <f>IF(Tab.o1[[#This Row],[a1]]=1,0.01+0.94*Tab.o1[[#This Row],[PDF]]/MAX(Tab.o1[PDF]),"")</f>
        <v/>
      </c>
      <c r="Z186" s="126" t="str">
        <f>IF(Tab.o1[[#This Row],[a1]]=1,0.01+0.94*Tab.o1[[#This Row],[W1_PDF]]/MAX(Tab.o1[W1_PDF]),"")</f>
        <v/>
      </c>
      <c r="AA186" s="118" t="str">
        <f>IF(Tab.o1[[#This Row],[a1]]=1,ABS([1]!T.in.A[[#This Row],[oo6]]),"")</f>
        <v/>
      </c>
      <c r="AB186" s="127" t="str">
        <f>IF(Tab.o1[[#This Row],[a1]]=1,IF(AE$3=0,"",IF(AB$3=0,ABS([1]!T.in.A[[#This Row],[oo9]]),ABS(Tab.o1[[#This Row],[DIF_Target.]]*Tab.o1[[#This Row],[W1_PDF]]))),"")</f>
        <v/>
      </c>
      <c r="AC186" s="127" t="str">
        <f>IF(G$1=1,"",IF(Tab.o1[[#This Row],[a1]]=1,Tab.o1[[#This Row],[Wr]]^2,""))</f>
        <v/>
      </c>
      <c r="AD186" s="118" t="str">
        <f>IF(Tab.o1[[#This Row],[a1]]=1,IF(AE$3=0,"",Tab.o1[[#This Row],[Wr2]]/SUM(Tab.o1[Wr2])),"")</f>
        <v/>
      </c>
      <c r="AE186" s="128" t="str">
        <f>IF(Tab.o1[[#This Row],[a1]]=1,[1]!T.in.A[[#This Row],[oo10]],"")</f>
        <v/>
      </c>
      <c r="AF186" s="118" t="str">
        <f>IF(Tab.o1[[#This Row],[a1]]=1,ABS(Tab.o1[[#This Row],[DIF_Target.]]*Tab.o1[[#This Row],[PDF2]]*Tab.o1[[#This Row],[IN]]),"")</f>
        <v/>
      </c>
      <c r="AG186" s="129" t="str">
        <f>IF(Tab.o1[[#This Row],[a1]]=1,Tab.o1[[#This Row],[rW]]^2,"")</f>
        <v/>
      </c>
      <c r="AH186" s="130" t="str">
        <f>IF(Tab.o1[[#This Row],[a1]]=1,IF(AH$3=0,Tab.o1[[#This Row],[rW2]],0.01+0.94*Tab.o1[[#This Row],[rW2]]/SUM(Tab.o1[rW2])),"")</f>
        <v/>
      </c>
      <c r="AI186" s="128" t="str">
        <f>IF(Tab.o1[[#This Row],[a1]]=1,1/Tab.o1[[#This Row],[PDF]],"")</f>
        <v/>
      </c>
      <c r="AJ186" s="131" t="str">
        <f>IF(Tab.o1[[#This Row],[a1]]=1,[1]!T_AA[[#This Row],[IN'']]*[1]!T_AA[[#This Row],[Qde'']],"")</f>
        <v/>
      </c>
      <c r="AK186" s="132" t="str">
        <f>IF(Tab.o1[[#This Row],[a1]]=1,IF(AK$1=1,Tab.o1[[#This Row],[MED]]+Tab.o1[[#This Row],[MOD]]-Tab.o1[[#This Row],[MED]],""),"")</f>
        <v/>
      </c>
      <c r="AL186" s="133" t="str">
        <f>IF(Tab.o1[[#This Row],[a1]]=1,[1]!T.in.A[[#This Row],[oo16]],"")</f>
        <v/>
      </c>
      <c r="AM186" s="133" t="str">
        <f>IF(Tab.o1[[#This Row],[a1]]=1,IF(AM$3=1,[1]!T.in.A[[#This Row],[Σo16]],""),"")</f>
        <v/>
      </c>
      <c r="AN186" s="126" t="str">
        <f>IF(Tab.o1[[#This Row],[a1]]=1,[1]!T.in.A[[#This Row],[Σp5]],"")</f>
        <v/>
      </c>
      <c r="AO186" s="126" t="str">
        <f>IF(Tab.o1[[#This Row],[a1]]=1,IF(AO$3=1,[1]!T.in.A[[#This Row],[Σp5]],""),"")</f>
        <v/>
      </c>
      <c r="AP186" s="110" t="str">
        <f>IF(Tab.o1[[#This Row],[a1]]=1,IF(ISNUMBER(Tab.o1[[#This Row],[i.]]),NORMDIST(Tab.o1[[#This Row],[Za]],0,1,FALSE)*Tab.o1[[#This Row],[i.]],0),"")</f>
        <v/>
      </c>
      <c r="AQ186" s="125" t="str">
        <f>IF(Tab.o1[[#This Row],[a1]]=1,ABS(Tab.o1[[#This Row],[MOD]]-AVERAGE(Tab.o1[MOD])),"")</f>
        <v/>
      </c>
      <c r="AR186" s="134" t="str">
        <f>IF(Tab.o1[[#This Row],[a1]]=1,Tab.o1[[#This Row],[OBS]]/SUM(Tab.o1[OBS]),"")</f>
        <v/>
      </c>
      <c r="AS186" s="135" t="str">
        <f>IF(ISNUMBER(Tab.o1[[#This Row],[a1]]),ROW()-4,"")</f>
        <v/>
      </c>
      <c r="AT186" s="136" t="str">
        <f>Tab.o1[[#This Row],[MOD]]</f>
        <v/>
      </c>
      <c r="AU186" s="137" t="str">
        <f t="shared" si="9"/>
        <v/>
      </c>
      <c r="AV186" s="138" t="str">
        <f t="shared" si="10"/>
        <v/>
      </c>
      <c r="AW186" s="138" t="str">
        <f t="shared" si="11"/>
        <v/>
      </c>
      <c r="AX186" s="139" t="str">
        <f>[1]!T.in.A[[#This Row],[ID_T_manu]]</f>
        <v/>
      </c>
      <c r="AY186" s="140" t="str">
        <f>IF(ISNUMBER(Tab.o1[[#This Row],[a1]]),IF(AND(Tab.o1[[#This Row],[a1]]=1,Tab.o1[[#This Row],[b1]]&lt;=AY$4),#REF!,AY185),"")</f>
        <v/>
      </c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</row>
    <row r="187" spans="1:79" ht="14.25" hidden="1" customHeight="1">
      <c r="A187" s="109">
        <v>-4.0000000000000007E-6</v>
      </c>
      <c r="B187" s="110">
        <f t="shared" si="8"/>
        <v>187</v>
      </c>
      <c r="C187" s="111" t="str">
        <f>IF(C$1=[1]!T.in.A[[#This Row],[oo2]],1,"")</f>
        <v/>
      </c>
      <c r="D187" s="112" t="str">
        <f>IF(Tab.o1[[#This Row],[a1]]=1,IF(SUM(C187:C188)=0,0,IF(SUM(C186:C187)=1,1,IF(SUM(C186:C188)&gt;1,D186+1,0))),"")</f>
        <v/>
      </c>
      <c r="E187" s="113" t="str">
        <f>IF(Tab.o1[[#This Row],[a1]]=1,[1]!T.in.A[[#This Row],[oo1]],"")</f>
        <v/>
      </c>
      <c r="F187" s="113" t="str">
        <f>IF(Tab.o1[[#This Row],[a1]]=1,[1]!T.in.A[[#This Row],[pp1]],"")</f>
        <v/>
      </c>
      <c r="G187" s="114" t="str">
        <f>IF(Tab.o1[[#This Row],[a1]]=1,G$2+IF(G$1=1,0,Tab.o1[[#This Row],[.x1]])+[1]!T.in.A[[#This Row],[oo3]],"")</f>
        <v/>
      </c>
      <c r="H187" s="115" t="str">
        <f>IF(Tab.o1[[#This Row],[a1]]=1,IF(H$2=0,0,IF(G$1=1,0,Tab.o1[[#This Row],[.x1]])+[1]!T.in.A[[#This Row],[oo4]]),"")</f>
        <v/>
      </c>
      <c r="I187" s="116" t="str">
        <f>IF(Tab.o1[[#This Row],[a1]]=1,IF(J$2=0,Tab.o1[[#This Row],[MED]],Tab.o1[[#This Row],[MOD]]),"")</f>
        <v/>
      </c>
      <c r="J187" s="116" t="str">
        <f>IF(Tab.o1[[#This Row],[a1]]=1,((Tab.o1[[#This Row],[DIF_Target.]]-AVERAGE(Tab.o1[DIF_Target.]))/_xlfn.STDEV.P(Tab.o1[DIF_Target.])),"")</f>
        <v/>
      </c>
      <c r="K187" s="117" t="str">
        <f>IF(Tab.o1[[#This Row],[a1]]=1,IF(J$2=0,Tab.o1[[#This Row],[MOD]]-Tab.o1[[#This Row],[B]],IF(J$2=1,0,-Tab.o1[[#This Row],[MED]])+Tab.o1[[#This Row],[B]]),"")</f>
        <v/>
      </c>
      <c r="L187" s="117" t="str">
        <f ca="1">IF(Tab.o1[[#This Row],[DIF_Target]]=0,IF(L$2=0,Tab.o1[[#This Row],[DIF_Target]],AVERAGE(OFFSET(Tab.o1[[#This Row],[DIF_Target]],1,0,L$3,1)))/3,Tab.o1[[#This Row],[DIF_Target]])</f>
        <v/>
      </c>
      <c r="M187" s="118" t="str">
        <f>IF(Tab.o1[[#This Row],[a1]]=1,NORMSDIST(Tab.o1[[#This Row],[Za]]),"")</f>
        <v/>
      </c>
      <c r="N187" s="119" t="str">
        <f>IF(Tab.o1[[#This Row],[a1]]=1,((Tab.o1[[#This Row],[MedMod]]-AVERAGE(Tab.o1[MedMod]))/_xlfn.STDEV.P(Tab.o1[MedMod])*H$1205)+G$1205,"")</f>
        <v/>
      </c>
      <c r="O187" s="141" t="str">
        <f>IF(Tab.o1[[#This Row],[a1]]=1,Tab.o1[[#This Row],[Zb]]*_xlfn.STDEV.P(Tab.o1[MedMod])+AVERAGE(Tab.o1[MedMod]),"")</f>
        <v/>
      </c>
      <c r="P187" s="117" t="str">
        <f ca="1">IF(Tab.o1[[#This Row],[B]]=0,AVERAGE(OFFSET(Tab.o1[[#This Row],[B]],1,0,L$3,1)),Tab.o1[[#This Row],[B]])</f>
        <v/>
      </c>
      <c r="Q187" s="121" t="str">
        <f>IF(Tab.o1[[#This Row],[a1]]=1,NORMSDIST(Tab.o1[[#This Row],[Zb]]),"")</f>
        <v/>
      </c>
      <c r="R187" s="122" t="str">
        <f>IF(Tab.o1[[#This Row],[a1]]=1,((Tab.o1[[#This Row],[MedMod]]-AVERAGE(Tab.o1[MedMod]))/_xlfn.STDEV.P(Tab.o1[MedMod])*H$1203)+G$1203,"")</f>
        <v/>
      </c>
      <c r="S187" s="122" t="str">
        <f>IF(Tab.o1[[#This Row],[a1]]=1,((Tab.o1[[#This Row],[MedMod]]-AVERAGE(Tab.o1[MedMod]))/_xlfn.STDEV.P(Tab.o1[MedMod])*H$1204)+G$1204,"")</f>
        <v/>
      </c>
      <c r="T187" s="123" t="str">
        <f>IF(Tab.o1[[#This Row],[a1]]=1,Tab.o1[[#This Row],[Z-]]*_xlfn.STDEV.P(Tab.o1[B])+AVERAGE(Tab.o1[B]),"")</f>
        <v/>
      </c>
      <c r="U187" s="123" t="str">
        <f>IF(Tab.o1[[#This Row],[a1]]=1,Tab.o1[[#This Row],[z+]]*_xlfn.STDEV.P(Tab.o1[B])+AVERAGE(Tab.o1[B]),"")</f>
        <v/>
      </c>
      <c r="V187" s="124" t="str">
        <f>IF(Tab.o1[[#This Row],[a1]]=1,ABS((ABS(Tab.o1[[#This Row],[Red]]-Tab.o1[[#This Row],[Blue]]))),"")</f>
        <v/>
      </c>
      <c r="W187" s="125" t="str">
        <f>IF(Tab.o1[[#This Row],[a1]]=1,IF(W$3=0,1,Tab.o1[[#This Row],[Amp.]]*1/_xlfn.MINIFS(Tab.o1[Amp.],Tab.o1[Amp.],"&lt;&gt;0")),"")</f>
        <v/>
      </c>
      <c r="X187" s="126" t="str">
        <f>IF(Tab.o1[[#This Row],[a1]]=1,IF(ISNUMBER(Tab.o1[[#This Row],[i.]]),NORMDIST(Tab.o1[[#This Row],[Za]],0,1,FALSE)*Tab.o1[[#This Row],[i.]],AP$3),"")</f>
        <v/>
      </c>
      <c r="Y187" s="126" t="str">
        <f>IF(Tab.o1[[#This Row],[a1]]=1,0.01+0.94*Tab.o1[[#This Row],[PDF]]/MAX(Tab.o1[PDF]),"")</f>
        <v/>
      </c>
      <c r="Z187" s="126" t="str">
        <f>IF(Tab.o1[[#This Row],[a1]]=1,0.01+0.94*Tab.o1[[#This Row],[W1_PDF]]/MAX(Tab.o1[W1_PDF]),"")</f>
        <v/>
      </c>
      <c r="AA187" s="118" t="str">
        <f>IF(Tab.o1[[#This Row],[a1]]=1,ABS([1]!T.in.A[[#This Row],[oo6]]),"")</f>
        <v/>
      </c>
      <c r="AB187" s="127" t="str">
        <f>IF(Tab.o1[[#This Row],[a1]]=1,IF(AE$3=0,"",IF(AB$3=0,ABS([1]!T.in.A[[#This Row],[oo9]]),ABS(Tab.o1[[#This Row],[DIF_Target.]]*Tab.o1[[#This Row],[W1_PDF]]))),"")</f>
        <v/>
      </c>
      <c r="AC187" s="127" t="str">
        <f>IF(G$1=1,"",IF(Tab.o1[[#This Row],[a1]]=1,Tab.o1[[#This Row],[Wr]]^2,""))</f>
        <v/>
      </c>
      <c r="AD187" s="118" t="str">
        <f>IF(Tab.o1[[#This Row],[a1]]=1,IF(AE$3=0,"",Tab.o1[[#This Row],[Wr2]]/SUM(Tab.o1[Wr2])),"")</f>
        <v/>
      </c>
      <c r="AE187" s="128" t="str">
        <f>IF(Tab.o1[[#This Row],[a1]]=1,[1]!T.in.A[[#This Row],[oo10]],"")</f>
        <v/>
      </c>
      <c r="AF187" s="118" t="str">
        <f>IF(Tab.o1[[#This Row],[a1]]=1,ABS(Tab.o1[[#This Row],[DIF_Target.]]*Tab.o1[[#This Row],[PDF2]]*Tab.o1[[#This Row],[IN]]),"")</f>
        <v/>
      </c>
      <c r="AG187" s="129" t="str">
        <f>IF(Tab.o1[[#This Row],[a1]]=1,Tab.o1[[#This Row],[rW]]^2,"")</f>
        <v/>
      </c>
      <c r="AH187" s="130" t="str">
        <f>IF(Tab.o1[[#This Row],[a1]]=1,IF(AH$3=0,Tab.o1[[#This Row],[rW2]],0.01+0.94*Tab.o1[[#This Row],[rW2]]/SUM(Tab.o1[rW2])),"")</f>
        <v/>
      </c>
      <c r="AI187" s="128" t="str">
        <f>IF(Tab.o1[[#This Row],[a1]]=1,1/Tab.o1[[#This Row],[PDF]],"")</f>
        <v/>
      </c>
      <c r="AJ187" s="131" t="str">
        <f>IF(Tab.o1[[#This Row],[a1]]=1,[1]!T_AA[[#This Row],[IN'']]*[1]!T_AA[[#This Row],[Qde'']],"")</f>
        <v/>
      </c>
      <c r="AK187" s="132" t="str">
        <f>IF(Tab.o1[[#This Row],[a1]]=1,IF(AK$1=1,Tab.o1[[#This Row],[MED]]+Tab.o1[[#This Row],[MOD]]-Tab.o1[[#This Row],[MED]],""),"")</f>
        <v/>
      </c>
      <c r="AL187" s="133" t="str">
        <f>IF(Tab.o1[[#This Row],[a1]]=1,[1]!T.in.A[[#This Row],[oo16]],"")</f>
        <v/>
      </c>
      <c r="AM187" s="133" t="str">
        <f>IF(Tab.o1[[#This Row],[a1]]=1,IF(AM$3=1,[1]!T.in.A[[#This Row],[Σo16]],""),"")</f>
        <v/>
      </c>
      <c r="AN187" s="126" t="str">
        <f>IF(Tab.o1[[#This Row],[a1]]=1,[1]!T.in.A[[#This Row],[Σp5]],"")</f>
        <v/>
      </c>
      <c r="AO187" s="126" t="str">
        <f>IF(Tab.o1[[#This Row],[a1]]=1,IF(AO$3=1,[1]!T.in.A[[#This Row],[Σp5]],""),"")</f>
        <v/>
      </c>
      <c r="AP187" s="110" t="str">
        <f>IF(Tab.o1[[#This Row],[a1]]=1,IF(ISNUMBER(Tab.o1[[#This Row],[i.]]),NORMDIST(Tab.o1[[#This Row],[Za]],0,1,FALSE)*Tab.o1[[#This Row],[i.]],0),"")</f>
        <v/>
      </c>
      <c r="AQ187" s="125" t="str">
        <f>IF(Tab.o1[[#This Row],[a1]]=1,ABS(Tab.o1[[#This Row],[MOD]]-AVERAGE(Tab.o1[MOD])),"")</f>
        <v/>
      </c>
      <c r="AR187" s="134" t="str">
        <f>IF(Tab.o1[[#This Row],[a1]]=1,Tab.o1[[#This Row],[OBS]]/SUM(Tab.o1[OBS]),"")</f>
        <v/>
      </c>
      <c r="AS187" s="135" t="str">
        <f>IF(ISNUMBER(Tab.o1[[#This Row],[a1]]),ROW()-4,"")</f>
        <v/>
      </c>
      <c r="AT187" s="136" t="str">
        <f>Tab.o1[[#This Row],[MOD]]</f>
        <v/>
      </c>
      <c r="AU187" s="137" t="str">
        <f t="shared" si="9"/>
        <v/>
      </c>
      <c r="AV187" s="138" t="str">
        <f t="shared" si="10"/>
        <v/>
      </c>
      <c r="AW187" s="138" t="str">
        <f t="shared" si="11"/>
        <v/>
      </c>
      <c r="AX187" s="139" t="str">
        <f>[1]!T.in.A[[#This Row],[ID_T_manu]]</f>
        <v/>
      </c>
      <c r="AY187" s="140" t="str">
        <f>IF(ISNUMBER(Tab.o1[[#This Row],[a1]]),IF(AND(Tab.o1[[#This Row],[a1]]=1,Tab.o1[[#This Row],[b1]]&lt;=AY$4),#REF!,AY186),"")</f>
        <v/>
      </c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</row>
    <row r="188" spans="1:79" ht="14.25" hidden="1" customHeight="1">
      <c r="A188" s="109">
        <v>5.0000000000000004E-6</v>
      </c>
      <c r="B188" s="110">
        <f t="shared" si="8"/>
        <v>188</v>
      </c>
      <c r="C188" s="111" t="str">
        <f>IF(C$1=[1]!T.in.A[[#This Row],[oo2]],1,"")</f>
        <v/>
      </c>
      <c r="D188" s="112" t="str">
        <f>IF(Tab.o1[[#This Row],[a1]]=1,IF(SUM(C188:C189)=0,0,IF(SUM(C187:C188)=1,1,IF(SUM(C187:C189)&gt;1,D187+1,0))),"")</f>
        <v/>
      </c>
      <c r="E188" s="113" t="str">
        <f>IF(Tab.o1[[#This Row],[a1]]=1,[1]!T.in.A[[#This Row],[oo1]],"")</f>
        <v/>
      </c>
      <c r="F188" s="113" t="str">
        <f>IF(Tab.o1[[#This Row],[a1]]=1,[1]!T.in.A[[#This Row],[pp1]],"")</f>
        <v/>
      </c>
      <c r="G188" s="114" t="str">
        <f>IF(Tab.o1[[#This Row],[a1]]=1,G$2+IF(G$1=1,0,Tab.o1[[#This Row],[.x1]])+[1]!T.in.A[[#This Row],[oo3]],"")</f>
        <v/>
      </c>
      <c r="H188" s="115" t="str">
        <f>IF(Tab.o1[[#This Row],[a1]]=1,IF(H$2=0,0,IF(G$1=1,0,Tab.o1[[#This Row],[.x1]])+[1]!T.in.A[[#This Row],[oo4]]),"")</f>
        <v/>
      </c>
      <c r="I188" s="116" t="str">
        <f>IF(Tab.o1[[#This Row],[a1]]=1,IF(J$2=0,Tab.o1[[#This Row],[MED]],Tab.o1[[#This Row],[MOD]]),"")</f>
        <v/>
      </c>
      <c r="J188" s="116" t="str">
        <f>IF(Tab.o1[[#This Row],[a1]]=1,((Tab.o1[[#This Row],[DIF_Target.]]-AVERAGE(Tab.o1[DIF_Target.]))/_xlfn.STDEV.P(Tab.o1[DIF_Target.])),"")</f>
        <v/>
      </c>
      <c r="K188" s="117" t="str">
        <f>IF(Tab.o1[[#This Row],[a1]]=1,IF(J$2=0,Tab.o1[[#This Row],[MOD]]-Tab.o1[[#This Row],[B]],IF(J$2=1,0,-Tab.o1[[#This Row],[MED]])+Tab.o1[[#This Row],[B]]),"")</f>
        <v/>
      </c>
      <c r="L188" s="117" t="str">
        <f ca="1">IF(Tab.o1[[#This Row],[DIF_Target]]=0,IF(L$2=0,Tab.o1[[#This Row],[DIF_Target]],AVERAGE(OFFSET(Tab.o1[[#This Row],[DIF_Target]],1,0,L$3,1)))/3,Tab.o1[[#This Row],[DIF_Target]])</f>
        <v/>
      </c>
      <c r="M188" s="118" t="str">
        <f>IF(Tab.o1[[#This Row],[a1]]=1,NORMSDIST(Tab.o1[[#This Row],[Za]]),"")</f>
        <v/>
      </c>
      <c r="N188" s="119" t="str">
        <f>IF(Tab.o1[[#This Row],[a1]]=1,((Tab.o1[[#This Row],[MedMod]]-AVERAGE(Tab.o1[MedMod]))/_xlfn.STDEV.P(Tab.o1[MedMod])*H$1205)+G$1205,"")</f>
        <v/>
      </c>
      <c r="O188" s="141" t="str">
        <f>IF(Tab.o1[[#This Row],[a1]]=1,Tab.o1[[#This Row],[Zb]]*_xlfn.STDEV.P(Tab.o1[MedMod])+AVERAGE(Tab.o1[MedMod]),"")</f>
        <v/>
      </c>
      <c r="P188" s="117" t="str">
        <f ca="1">IF(Tab.o1[[#This Row],[B]]=0,AVERAGE(OFFSET(Tab.o1[[#This Row],[B]],1,0,L$3,1)),Tab.o1[[#This Row],[B]])</f>
        <v/>
      </c>
      <c r="Q188" s="121" t="str">
        <f>IF(Tab.o1[[#This Row],[a1]]=1,NORMSDIST(Tab.o1[[#This Row],[Zb]]),"")</f>
        <v/>
      </c>
      <c r="R188" s="122" t="str">
        <f>IF(Tab.o1[[#This Row],[a1]]=1,((Tab.o1[[#This Row],[MedMod]]-AVERAGE(Tab.o1[MedMod]))/_xlfn.STDEV.P(Tab.o1[MedMod])*H$1203)+G$1203,"")</f>
        <v/>
      </c>
      <c r="S188" s="122" t="str">
        <f>IF(Tab.o1[[#This Row],[a1]]=1,((Tab.o1[[#This Row],[MedMod]]-AVERAGE(Tab.o1[MedMod]))/_xlfn.STDEV.P(Tab.o1[MedMod])*H$1204)+G$1204,"")</f>
        <v/>
      </c>
      <c r="T188" s="123" t="str">
        <f>IF(Tab.o1[[#This Row],[a1]]=1,Tab.o1[[#This Row],[Z-]]*_xlfn.STDEV.P(Tab.o1[B])+AVERAGE(Tab.o1[B]),"")</f>
        <v/>
      </c>
      <c r="U188" s="123" t="str">
        <f>IF(Tab.o1[[#This Row],[a1]]=1,Tab.o1[[#This Row],[z+]]*_xlfn.STDEV.P(Tab.o1[B])+AVERAGE(Tab.o1[B]),"")</f>
        <v/>
      </c>
      <c r="V188" s="124" t="str">
        <f>IF(Tab.o1[[#This Row],[a1]]=1,ABS((ABS(Tab.o1[[#This Row],[Red]]-Tab.o1[[#This Row],[Blue]]))),"")</f>
        <v/>
      </c>
      <c r="W188" s="125" t="str">
        <f>IF(Tab.o1[[#This Row],[a1]]=1,IF(W$3=0,1,Tab.o1[[#This Row],[Amp.]]*1/_xlfn.MINIFS(Tab.o1[Amp.],Tab.o1[Amp.],"&lt;&gt;0")),"")</f>
        <v/>
      </c>
      <c r="X188" s="126" t="str">
        <f>IF(Tab.o1[[#This Row],[a1]]=1,IF(ISNUMBER(Tab.o1[[#This Row],[i.]]),NORMDIST(Tab.o1[[#This Row],[Za]],0,1,FALSE)*Tab.o1[[#This Row],[i.]],AP$3),"")</f>
        <v/>
      </c>
      <c r="Y188" s="126" t="str">
        <f>IF(Tab.o1[[#This Row],[a1]]=1,0.01+0.94*Tab.o1[[#This Row],[PDF]]/MAX(Tab.o1[PDF]),"")</f>
        <v/>
      </c>
      <c r="Z188" s="126" t="str">
        <f>IF(Tab.o1[[#This Row],[a1]]=1,0.01+0.94*Tab.o1[[#This Row],[W1_PDF]]/MAX(Tab.o1[W1_PDF]),"")</f>
        <v/>
      </c>
      <c r="AA188" s="118" t="str">
        <f>IF(Tab.o1[[#This Row],[a1]]=1,ABS([1]!T.in.A[[#This Row],[oo6]]),"")</f>
        <v/>
      </c>
      <c r="AB188" s="127" t="str">
        <f>IF(Tab.o1[[#This Row],[a1]]=1,IF(AE$3=0,"",IF(AB$3=0,ABS([1]!T.in.A[[#This Row],[oo9]]),ABS(Tab.o1[[#This Row],[DIF_Target.]]*Tab.o1[[#This Row],[W1_PDF]]))),"")</f>
        <v/>
      </c>
      <c r="AC188" s="127" t="str">
        <f>IF(G$1=1,"",IF(Tab.o1[[#This Row],[a1]]=1,Tab.o1[[#This Row],[Wr]]^2,""))</f>
        <v/>
      </c>
      <c r="AD188" s="118" t="str">
        <f>IF(Tab.o1[[#This Row],[a1]]=1,IF(AE$3=0,"",Tab.o1[[#This Row],[Wr2]]/SUM(Tab.o1[Wr2])),"")</f>
        <v/>
      </c>
      <c r="AE188" s="128" t="str">
        <f>IF(Tab.o1[[#This Row],[a1]]=1,[1]!T.in.A[[#This Row],[oo10]],"")</f>
        <v/>
      </c>
      <c r="AF188" s="118" t="str">
        <f>IF(Tab.o1[[#This Row],[a1]]=1,ABS(Tab.o1[[#This Row],[DIF_Target.]]*Tab.o1[[#This Row],[PDF2]]*Tab.o1[[#This Row],[IN]]),"")</f>
        <v/>
      </c>
      <c r="AG188" s="129" t="str">
        <f>IF(Tab.o1[[#This Row],[a1]]=1,Tab.o1[[#This Row],[rW]]^2,"")</f>
        <v/>
      </c>
      <c r="AH188" s="130" t="str">
        <f>IF(Tab.o1[[#This Row],[a1]]=1,IF(AH$3=0,Tab.o1[[#This Row],[rW2]],0.01+0.94*Tab.o1[[#This Row],[rW2]]/SUM(Tab.o1[rW2])),"")</f>
        <v/>
      </c>
      <c r="AI188" s="128" t="str">
        <f>IF(Tab.o1[[#This Row],[a1]]=1,1/Tab.o1[[#This Row],[PDF]],"")</f>
        <v/>
      </c>
      <c r="AJ188" s="131" t="str">
        <f>IF(Tab.o1[[#This Row],[a1]]=1,[1]!T_AA[[#This Row],[IN'']]*[1]!T_AA[[#This Row],[Qde'']],"")</f>
        <v/>
      </c>
      <c r="AK188" s="132" t="str">
        <f>IF(Tab.o1[[#This Row],[a1]]=1,IF(AK$1=1,Tab.o1[[#This Row],[MED]]+Tab.o1[[#This Row],[MOD]]-Tab.o1[[#This Row],[MED]],""),"")</f>
        <v/>
      </c>
      <c r="AL188" s="133" t="str">
        <f>IF(Tab.o1[[#This Row],[a1]]=1,[1]!T.in.A[[#This Row],[oo16]],"")</f>
        <v/>
      </c>
      <c r="AM188" s="133" t="str">
        <f>IF(Tab.o1[[#This Row],[a1]]=1,IF(AM$3=1,[1]!T.in.A[[#This Row],[Σo16]],""),"")</f>
        <v/>
      </c>
      <c r="AN188" s="126" t="str">
        <f>IF(Tab.o1[[#This Row],[a1]]=1,[1]!T.in.A[[#This Row],[Σp5]],"")</f>
        <v/>
      </c>
      <c r="AO188" s="126" t="str">
        <f>IF(Tab.o1[[#This Row],[a1]]=1,IF(AO$3=1,[1]!T.in.A[[#This Row],[Σp5]],""),"")</f>
        <v/>
      </c>
      <c r="AP188" s="110" t="str">
        <f>IF(Tab.o1[[#This Row],[a1]]=1,IF(ISNUMBER(Tab.o1[[#This Row],[i.]]),NORMDIST(Tab.o1[[#This Row],[Za]],0,1,FALSE)*Tab.o1[[#This Row],[i.]],0),"")</f>
        <v/>
      </c>
      <c r="AQ188" s="125" t="str">
        <f>IF(Tab.o1[[#This Row],[a1]]=1,ABS(Tab.o1[[#This Row],[MOD]]-AVERAGE(Tab.o1[MOD])),"")</f>
        <v/>
      </c>
      <c r="AR188" s="134" t="str">
        <f>IF(Tab.o1[[#This Row],[a1]]=1,Tab.o1[[#This Row],[OBS]]/SUM(Tab.o1[OBS]),"")</f>
        <v/>
      </c>
      <c r="AS188" s="135" t="str">
        <f>IF(ISNUMBER(Tab.o1[[#This Row],[a1]]),ROW()-4,"")</f>
        <v/>
      </c>
      <c r="AT188" s="136" t="str">
        <f>Tab.o1[[#This Row],[MOD]]</f>
        <v/>
      </c>
      <c r="AU188" s="137" t="str">
        <f t="shared" si="9"/>
        <v/>
      </c>
      <c r="AV188" s="138" t="str">
        <f t="shared" si="10"/>
        <v/>
      </c>
      <c r="AW188" s="138" t="str">
        <f t="shared" si="11"/>
        <v/>
      </c>
      <c r="AX188" s="139" t="str">
        <f>[1]!T.in.A[[#This Row],[ID_T_manu]]</f>
        <v/>
      </c>
      <c r="AY188" s="140" t="str">
        <f>IF(ISNUMBER(Tab.o1[[#This Row],[a1]]),IF(AND(Tab.o1[[#This Row],[a1]]=1,Tab.o1[[#This Row],[b1]]&lt;=AY$4),#REF!,AY187),"")</f>
        <v/>
      </c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</row>
    <row r="189" spans="1:79" ht="14.25" hidden="1" customHeight="1">
      <c r="A189" s="109">
        <v>5.0000000000000004E-6</v>
      </c>
      <c r="B189" s="110">
        <f t="shared" si="8"/>
        <v>189</v>
      </c>
      <c r="C189" s="111" t="str">
        <f>IF(C$1=[1]!T.in.A[[#This Row],[oo2]],1,"")</f>
        <v/>
      </c>
      <c r="D189" s="112" t="str">
        <f>IF(Tab.o1[[#This Row],[a1]]=1,IF(SUM(C189:C190)=0,0,IF(SUM(C188:C189)=1,1,IF(SUM(C188:C190)&gt;1,D188+1,0))),"")</f>
        <v/>
      </c>
      <c r="E189" s="113" t="str">
        <f>IF(Tab.o1[[#This Row],[a1]]=1,[1]!T.in.A[[#This Row],[oo1]],"")</f>
        <v/>
      </c>
      <c r="F189" s="113" t="str">
        <f>IF(Tab.o1[[#This Row],[a1]]=1,[1]!T.in.A[[#This Row],[pp1]],"")</f>
        <v/>
      </c>
      <c r="G189" s="114" t="str">
        <f>IF(Tab.o1[[#This Row],[a1]]=1,G$2+IF(G$1=1,0,Tab.o1[[#This Row],[.x1]])+[1]!T.in.A[[#This Row],[oo3]],"")</f>
        <v/>
      </c>
      <c r="H189" s="115" t="str">
        <f>IF(Tab.o1[[#This Row],[a1]]=1,IF(H$2=0,0,IF(G$1=1,0,Tab.o1[[#This Row],[.x1]])+[1]!T.in.A[[#This Row],[oo4]]),"")</f>
        <v/>
      </c>
      <c r="I189" s="116" t="str">
        <f>IF(Tab.o1[[#This Row],[a1]]=1,IF(J$2=0,Tab.o1[[#This Row],[MED]],Tab.o1[[#This Row],[MOD]]),"")</f>
        <v/>
      </c>
      <c r="J189" s="116" t="str">
        <f>IF(Tab.o1[[#This Row],[a1]]=1,((Tab.o1[[#This Row],[DIF_Target.]]-AVERAGE(Tab.o1[DIF_Target.]))/_xlfn.STDEV.P(Tab.o1[DIF_Target.])),"")</f>
        <v/>
      </c>
      <c r="K189" s="117" t="str">
        <f>IF(Tab.o1[[#This Row],[a1]]=1,IF(J$2=0,Tab.o1[[#This Row],[MOD]]-Tab.o1[[#This Row],[B]],IF(J$2=1,0,-Tab.o1[[#This Row],[MED]])+Tab.o1[[#This Row],[B]]),"")</f>
        <v/>
      </c>
      <c r="L189" s="117" t="str">
        <f ca="1">IF(Tab.o1[[#This Row],[DIF_Target]]=0,IF(L$2=0,Tab.o1[[#This Row],[DIF_Target]],AVERAGE(OFFSET(Tab.o1[[#This Row],[DIF_Target]],1,0,L$3,1)))/3,Tab.o1[[#This Row],[DIF_Target]])</f>
        <v/>
      </c>
      <c r="M189" s="118" t="str">
        <f>IF(Tab.o1[[#This Row],[a1]]=1,NORMSDIST(Tab.o1[[#This Row],[Za]]),"")</f>
        <v/>
      </c>
      <c r="N189" s="119" t="str">
        <f>IF(Tab.o1[[#This Row],[a1]]=1,((Tab.o1[[#This Row],[MedMod]]-AVERAGE(Tab.o1[MedMod]))/_xlfn.STDEV.P(Tab.o1[MedMod])*H$1205)+G$1205,"")</f>
        <v/>
      </c>
      <c r="O189" s="141" t="str">
        <f>IF(Tab.o1[[#This Row],[a1]]=1,Tab.o1[[#This Row],[Zb]]*_xlfn.STDEV.P(Tab.o1[MedMod])+AVERAGE(Tab.o1[MedMod]),"")</f>
        <v/>
      </c>
      <c r="P189" s="117" t="str">
        <f ca="1">IF(Tab.o1[[#This Row],[B]]=0,AVERAGE(OFFSET(Tab.o1[[#This Row],[B]],1,0,L$3,1)),Tab.o1[[#This Row],[B]])</f>
        <v/>
      </c>
      <c r="Q189" s="121" t="str">
        <f>IF(Tab.o1[[#This Row],[a1]]=1,NORMSDIST(Tab.o1[[#This Row],[Zb]]),"")</f>
        <v/>
      </c>
      <c r="R189" s="122" t="str">
        <f>IF(Tab.o1[[#This Row],[a1]]=1,((Tab.o1[[#This Row],[MedMod]]-AVERAGE(Tab.o1[MedMod]))/_xlfn.STDEV.P(Tab.o1[MedMod])*H$1203)+G$1203,"")</f>
        <v/>
      </c>
      <c r="S189" s="122" t="str">
        <f>IF(Tab.o1[[#This Row],[a1]]=1,((Tab.o1[[#This Row],[MedMod]]-AVERAGE(Tab.o1[MedMod]))/_xlfn.STDEV.P(Tab.o1[MedMod])*H$1204)+G$1204,"")</f>
        <v/>
      </c>
      <c r="T189" s="123" t="str">
        <f>IF(Tab.o1[[#This Row],[a1]]=1,Tab.o1[[#This Row],[Z-]]*_xlfn.STDEV.P(Tab.o1[B])+AVERAGE(Tab.o1[B]),"")</f>
        <v/>
      </c>
      <c r="U189" s="123" t="str">
        <f>IF(Tab.o1[[#This Row],[a1]]=1,Tab.o1[[#This Row],[z+]]*_xlfn.STDEV.P(Tab.o1[B])+AVERAGE(Tab.o1[B]),"")</f>
        <v/>
      </c>
      <c r="V189" s="124" t="str">
        <f>IF(Tab.o1[[#This Row],[a1]]=1,ABS((ABS(Tab.o1[[#This Row],[Red]]-Tab.o1[[#This Row],[Blue]]))),"")</f>
        <v/>
      </c>
      <c r="W189" s="125" t="str">
        <f>IF(Tab.o1[[#This Row],[a1]]=1,IF(W$3=0,1,Tab.o1[[#This Row],[Amp.]]*1/_xlfn.MINIFS(Tab.o1[Amp.],Tab.o1[Amp.],"&lt;&gt;0")),"")</f>
        <v/>
      </c>
      <c r="X189" s="126" t="str">
        <f>IF(Tab.o1[[#This Row],[a1]]=1,IF(ISNUMBER(Tab.o1[[#This Row],[i.]]),NORMDIST(Tab.o1[[#This Row],[Za]],0,1,FALSE)*Tab.o1[[#This Row],[i.]],AP$3),"")</f>
        <v/>
      </c>
      <c r="Y189" s="126" t="str">
        <f>IF(Tab.o1[[#This Row],[a1]]=1,0.01+0.94*Tab.o1[[#This Row],[PDF]]/MAX(Tab.o1[PDF]),"")</f>
        <v/>
      </c>
      <c r="Z189" s="126" t="str">
        <f>IF(Tab.o1[[#This Row],[a1]]=1,0.01+0.94*Tab.o1[[#This Row],[W1_PDF]]/MAX(Tab.o1[W1_PDF]),"")</f>
        <v/>
      </c>
      <c r="AA189" s="118" t="str">
        <f>IF(Tab.o1[[#This Row],[a1]]=1,ABS([1]!T.in.A[[#This Row],[oo6]]),"")</f>
        <v/>
      </c>
      <c r="AB189" s="127" t="str">
        <f>IF(Tab.o1[[#This Row],[a1]]=1,IF(AE$3=0,"",IF(AB$3=0,ABS([1]!T.in.A[[#This Row],[oo9]]),ABS(Tab.o1[[#This Row],[DIF_Target.]]*Tab.o1[[#This Row],[W1_PDF]]))),"")</f>
        <v/>
      </c>
      <c r="AC189" s="127" t="str">
        <f>IF(G$1=1,"",IF(Tab.o1[[#This Row],[a1]]=1,Tab.o1[[#This Row],[Wr]]^2,""))</f>
        <v/>
      </c>
      <c r="AD189" s="118" t="str">
        <f>IF(Tab.o1[[#This Row],[a1]]=1,IF(AE$3=0,"",Tab.o1[[#This Row],[Wr2]]/SUM(Tab.o1[Wr2])),"")</f>
        <v/>
      </c>
      <c r="AE189" s="128" t="str">
        <f>IF(Tab.o1[[#This Row],[a1]]=1,[1]!T.in.A[[#This Row],[oo10]],"")</f>
        <v/>
      </c>
      <c r="AF189" s="118" t="str">
        <f>IF(Tab.o1[[#This Row],[a1]]=1,ABS(Tab.o1[[#This Row],[DIF_Target.]]*Tab.o1[[#This Row],[PDF2]]*Tab.o1[[#This Row],[IN]]),"")</f>
        <v/>
      </c>
      <c r="AG189" s="129" t="str">
        <f>IF(Tab.o1[[#This Row],[a1]]=1,Tab.o1[[#This Row],[rW]]^2,"")</f>
        <v/>
      </c>
      <c r="AH189" s="130" t="str">
        <f>IF(Tab.o1[[#This Row],[a1]]=1,IF(AH$3=0,Tab.o1[[#This Row],[rW2]],0.01+0.94*Tab.o1[[#This Row],[rW2]]/SUM(Tab.o1[rW2])),"")</f>
        <v/>
      </c>
      <c r="AI189" s="128" t="str">
        <f>IF(Tab.o1[[#This Row],[a1]]=1,1/Tab.o1[[#This Row],[PDF]],"")</f>
        <v/>
      </c>
      <c r="AJ189" s="131" t="str">
        <f>IF(Tab.o1[[#This Row],[a1]]=1,[1]!T_AA[[#This Row],[IN'']]*[1]!T_AA[[#This Row],[Qde'']],"")</f>
        <v/>
      </c>
      <c r="AK189" s="132" t="str">
        <f>IF(Tab.o1[[#This Row],[a1]]=1,IF(AK$1=1,Tab.o1[[#This Row],[MED]]+Tab.o1[[#This Row],[MOD]]-Tab.o1[[#This Row],[MED]],""),"")</f>
        <v/>
      </c>
      <c r="AL189" s="133" t="str">
        <f>IF(Tab.o1[[#This Row],[a1]]=1,[1]!T.in.A[[#This Row],[oo16]],"")</f>
        <v/>
      </c>
      <c r="AM189" s="133" t="str">
        <f>IF(Tab.o1[[#This Row],[a1]]=1,IF(AM$3=1,[1]!T.in.A[[#This Row],[Σo16]],""),"")</f>
        <v/>
      </c>
      <c r="AN189" s="126" t="str">
        <f>IF(Tab.o1[[#This Row],[a1]]=1,[1]!T.in.A[[#This Row],[Σp5]],"")</f>
        <v/>
      </c>
      <c r="AO189" s="126" t="str">
        <f>IF(Tab.o1[[#This Row],[a1]]=1,IF(AO$3=1,[1]!T.in.A[[#This Row],[Σp5]],""),"")</f>
        <v/>
      </c>
      <c r="AP189" s="110" t="str">
        <f>IF(Tab.o1[[#This Row],[a1]]=1,IF(ISNUMBER(Tab.o1[[#This Row],[i.]]),NORMDIST(Tab.o1[[#This Row],[Za]],0,1,FALSE)*Tab.o1[[#This Row],[i.]],0),"")</f>
        <v/>
      </c>
      <c r="AQ189" s="125" t="str">
        <f>IF(Tab.o1[[#This Row],[a1]]=1,ABS(Tab.o1[[#This Row],[MOD]]-AVERAGE(Tab.o1[MOD])),"")</f>
        <v/>
      </c>
      <c r="AR189" s="134" t="str">
        <f>IF(Tab.o1[[#This Row],[a1]]=1,Tab.o1[[#This Row],[OBS]]/SUM(Tab.o1[OBS]),"")</f>
        <v/>
      </c>
      <c r="AS189" s="135" t="str">
        <f>IF(ISNUMBER(Tab.o1[[#This Row],[a1]]),ROW()-4,"")</f>
        <v/>
      </c>
      <c r="AT189" s="136" t="str">
        <f>Tab.o1[[#This Row],[MOD]]</f>
        <v/>
      </c>
      <c r="AU189" s="137" t="str">
        <f t="shared" si="9"/>
        <v/>
      </c>
      <c r="AV189" s="138" t="str">
        <f t="shared" si="10"/>
        <v/>
      </c>
      <c r="AW189" s="138" t="str">
        <f t="shared" si="11"/>
        <v/>
      </c>
      <c r="AX189" s="139" t="str">
        <f>[1]!T.in.A[[#This Row],[ID_T_manu]]</f>
        <v/>
      </c>
      <c r="AY189" s="140" t="str">
        <f>IF(ISNUMBER(Tab.o1[[#This Row],[a1]]),IF(AND(Tab.o1[[#This Row],[a1]]=1,Tab.o1[[#This Row],[b1]]&lt;=AY$4),#REF!,AY188),"")</f>
        <v/>
      </c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</row>
    <row r="190" spans="1:79" ht="14.25" hidden="1" customHeight="1">
      <c r="A190" s="109">
        <v>4.0000000000000007E-6</v>
      </c>
      <c r="B190" s="110">
        <f t="shared" si="8"/>
        <v>190</v>
      </c>
      <c r="C190" s="111" t="str">
        <f>IF(C$1=[1]!T.in.A[[#This Row],[oo2]],1,"")</f>
        <v/>
      </c>
      <c r="D190" s="112" t="str">
        <f>IF(Tab.o1[[#This Row],[a1]]=1,IF(SUM(C190:C191)=0,0,IF(SUM(C189:C190)=1,1,IF(SUM(C189:C191)&gt;1,D189+1,0))),"")</f>
        <v/>
      </c>
      <c r="E190" s="113" t="str">
        <f>IF(Tab.o1[[#This Row],[a1]]=1,[1]!T.in.A[[#This Row],[oo1]],"")</f>
        <v/>
      </c>
      <c r="F190" s="113" t="str">
        <f>IF(Tab.o1[[#This Row],[a1]]=1,[1]!T.in.A[[#This Row],[pp1]],"")</f>
        <v/>
      </c>
      <c r="G190" s="114" t="str">
        <f>IF(Tab.o1[[#This Row],[a1]]=1,G$2+IF(G$1=1,0,Tab.o1[[#This Row],[.x1]])+[1]!T.in.A[[#This Row],[oo3]],"")</f>
        <v/>
      </c>
      <c r="H190" s="115" t="str">
        <f>IF(Tab.o1[[#This Row],[a1]]=1,IF(H$2=0,0,IF(G$1=1,0,Tab.o1[[#This Row],[.x1]])+[1]!T.in.A[[#This Row],[oo4]]),"")</f>
        <v/>
      </c>
      <c r="I190" s="116" t="str">
        <f>IF(Tab.o1[[#This Row],[a1]]=1,IF(J$2=0,Tab.o1[[#This Row],[MED]],Tab.o1[[#This Row],[MOD]]),"")</f>
        <v/>
      </c>
      <c r="J190" s="116" t="str">
        <f>IF(Tab.o1[[#This Row],[a1]]=1,((Tab.o1[[#This Row],[DIF_Target.]]-AVERAGE(Tab.o1[DIF_Target.]))/_xlfn.STDEV.P(Tab.o1[DIF_Target.])),"")</f>
        <v/>
      </c>
      <c r="K190" s="117" t="str">
        <f>IF(Tab.o1[[#This Row],[a1]]=1,IF(J$2=0,Tab.o1[[#This Row],[MOD]]-Tab.o1[[#This Row],[B]],IF(J$2=1,0,-Tab.o1[[#This Row],[MED]])+Tab.o1[[#This Row],[B]]),"")</f>
        <v/>
      </c>
      <c r="L190" s="117" t="str">
        <f ca="1">IF(Tab.o1[[#This Row],[DIF_Target]]=0,IF(L$2=0,Tab.o1[[#This Row],[DIF_Target]],AVERAGE(OFFSET(Tab.o1[[#This Row],[DIF_Target]],1,0,L$3,1)))/3,Tab.o1[[#This Row],[DIF_Target]])</f>
        <v/>
      </c>
      <c r="M190" s="118" t="str">
        <f>IF(Tab.o1[[#This Row],[a1]]=1,NORMSDIST(Tab.o1[[#This Row],[Za]]),"")</f>
        <v/>
      </c>
      <c r="N190" s="119" t="str">
        <f>IF(Tab.o1[[#This Row],[a1]]=1,((Tab.o1[[#This Row],[MedMod]]-AVERAGE(Tab.o1[MedMod]))/_xlfn.STDEV.P(Tab.o1[MedMod])*H$1205)+G$1205,"")</f>
        <v/>
      </c>
      <c r="O190" s="141" t="str">
        <f>IF(Tab.o1[[#This Row],[a1]]=1,Tab.o1[[#This Row],[Zb]]*_xlfn.STDEV.P(Tab.o1[MedMod])+AVERAGE(Tab.o1[MedMod]),"")</f>
        <v/>
      </c>
      <c r="P190" s="117" t="str">
        <f ca="1">IF(Tab.o1[[#This Row],[B]]=0,AVERAGE(OFFSET(Tab.o1[[#This Row],[B]],1,0,L$3,1)),Tab.o1[[#This Row],[B]])</f>
        <v/>
      </c>
      <c r="Q190" s="121" t="str">
        <f>IF(Tab.o1[[#This Row],[a1]]=1,NORMSDIST(Tab.o1[[#This Row],[Zb]]),"")</f>
        <v/>
      </c>
      <c r="R190" s="122" t="str">
        <f>IF(Tab.o1[[#This Row],[a1]]=1,((Tab.o1[[#This Row],[MedMod]]-AVERAGE(Tab.o1[MedMod]))/_xlfn.STDEV.P(Tab.o1[MedMod])*H$1203)+G$1203,"")</f>
        <v/>
      </c>
      <c r="S190" s="122" t="str">
        <f>IF(Tab.o1[[#This Row],[a1]]=1,((Tab.o1[[#This Row],[MedMod]]-AVERAGE(Tab.o1[MedMod]))/_xlfn.STDEV.P(Tab.o1[MedMod])*H$1204)+G$1204,"")</f>
        <v/>
      </c>
      <c r="T190" s="123" t="str">
        <f>IF(Tab.o1[[#This Row],[a1]]=1,Tab.o1[[#This Row],[Z-]]*_xlfn.STDEV.P(Tab.o1[B])+AVERAGE(Tab.o1[B]),"")</f>
        <v/>
      </c>
      <c r="U190" s="123" t="str">
        <f>IF(Tab.o1[[#This Row],[a1]]=1,Tab.o1[[#This Row],[z+]]*_xlfn.STDEV.P(Tab.o1[B])+AVERAGE(Tab.o1[B]),"")</f>
        <v/>
      </c>
      <c r="V190" s="124" t="str">
        <f>IF(Tab.o1[[#This Row],[a1]]=1,ABS((ABS(Tab.o1[[#This Row],[Red]]-Tab.o1[[#This Row],[Blue]]))),"")</f>
        <v/>
      </c>
      <c r="W190" s="125" t="str">
        <f>IF(Tab.o1[[#This Row],[a1]]=1,IF(W$3=0,1,Tab.o1[[#This Row],[Amp.]]*1/_xlfn.MINIFS(Tab.o1[Amp.],Tab.o1[Amp.],"&lt;&gt;0")),"")</f>
        <v/>
      </c>
      <c r="X190" s="126" t="str">
        <f>IF(Tab.o1[[#This Row],[a1]]=1,IF(ISNUMBER(Tab.o1[[#This Row],[i.]]),NORMDIST(Tab.o1[[#This Row],[Za]],0,1,FALSE)*Tab.o1[[#This Row],[i.]],AP$3),"")</f>
        <v/>
      </c>
      <c r="Y190" s="126" t="str">
        <f>IF(Tab.o1[[#This Row],[a1]]=1,0.01+0.94*Tab.o1[[#This Row],[PDF]]/MAX(Tab.o1[PDF]),"")</f>
        <v/>
      </c>
      <c r="Z190" s="126" t="str">
        <f>IF(Tab.o1[[#This Row],[a1]]=1,0.01+0.94*Tab.o1[[#This Row],[W1_PDF]]/MAX(Tab.o1[W1_PDF]),"")</f>
        <v/>
      </c>
      <c r="AA190" s="118" t="str">
        <f>IF(Tab.o1[[#This Row],[a1]]=1,ABS([1]!T.in.A[[#This Row],[oo6]]),"")</f>
        <v/>
      </c>
      <c r="AB190" s="127" t="str">
        <f>IF(Tab.o1[[#This Row],[a1]]=1,IF(AE$3=0,"",IF(AB$3=0,ABS([1]!T.in.A[[#This Row],[oo9]]),ABS(Tab.o1[[#This Row],[DIF_Target.]]*Tab.o1[[#This Row],[W1_PDF]]))),"")</f>
        <v/>
      </c>
      <c r="AC190" s="127" t="str">
        <f>IF(G$1=1,"",IF(Tab.o1[[#This Row],[a1]]=1,Tab.o1[[#This Row],[Wr]]^2,""))</f>
        <v/>
      </c>
      <c r="AD190" s="118" t="str">
        <f>IF(Tab.o1[[#This Row],[a1]]=1,IF(AE$3=0,"",Tab.o1[[#This Row],[Wr2]]/SUM(Tab.o1[Wr2])),"")</f>
        <v/>
      </c>
      <c r="AE190" s="128" t="str">
        <f>IF(Tab.o1[[#This Row],[a1]]=1,[1]!T.in.A[[#This Row],[oo10]],"")</f>
        <v/>
      </c>
      <c r="AF190" s="118" t="str">
        <f>IF(Tab.o1[[#This Row],[a1]]=1,ABS(Tab.o1[[#This Row],[DIF_Target.]]*Tab.o1[[#This Row],[PDF2]]*Tab.o1[[#This Row],[IN]]),"")</f>
        <v/>
      </c>
      <c r="AG190" s="129" t="str">
        <f>IF(Tab.o1[[#This Row],[a1]]=1,Tab.o1[[#This Row],[rW]]^2,"")</f>
        <v/>
      </c>
      <c r="AH190" s="130" t="str">
        <f>IF(Tab.o1[[#This Row],[a1]]=1,IF(AH$3=0,Tab.o1[[#This Row],[rW2]],0.01+0.94*Tab.o1[[#This Row],[rW2]]/SUM(Tab.o1[rW2])),"")</f>
        <v/>
      </c>
      <c r="AI190" s="128" t="str">
        <f>IF(Tab.o1[[#This Row],[a1]]=1,1/Tab.o1[[#This Row],[PDF]],"")</f>
        <v/>
      </c>
      <c r="AJ190" s="131" t="str">
        <f>IF(Tab.o1[[#This Row],[a1]]=1,[1]!T_AA[[#This Row],[IN'']]*[1]!T_AA[[#This Row],[Qde'']],"")</f>
        <v/>
      </c>
      <c r="AK190" s="132" t="str">
        <f>IF(Tab.o1[[#This Row],[a1]]=1,IF(AK$1=1,Tab.o1[[#This Row],[MED]]+Tab.o1[[#This Row],[MOD]]-Tab.o1[[#This Row],[MED]],""),"")</f>
        <v/>
      </c>
      <c r="AL190" s="133" t="str">
        <f>IF(Tab.o1[[#This Row],[a1]]=1,[1]!T.in.A[[#This Row],[oo16]],"")</f>
        <v/>
      </c>
      <c r="AM190" s="133" t="str">
        <f>IF(Tab.o1[[#This Row],[a1]]=1,IF(AM$3=1,[1]!T.in.A[[#This Row],[Σo16]],""),"")</f>
        <v/>
      </c>
      <c r="AN190" s="126" t="str">
        <f>IF(Tab.o1[[#This Row],[a1]]=1,[1]!T.in.A[[#This Row],[Σp5]],"")</f>
        <v/>
      </c>
      <c r="AO190" s="126" t="str">
        <f>IF(Tab.o1[[#This Row],[a1]]=1,IF(AO$3=1,[1]!T.in.A[[#This Row],[Σp5]],""),"")</f>
        <v/>
      </c>
      <c r="AP190" s="110" t="str">
        <f>IF(Tab.o1[[#This Row],[a1]]=1,IF(ISNUMBER(Tab.o1[[#This Row],[i.]]),NORMDIST(Tab.o1[[#This Row],[Za]],0,1,FALSE)*Tab.o1[[#This Row],[i.]],0),"")</f>
        <v/>
      </c>
      <c r="AQ190" s="125" t="str">
        <f>IF(Tab.o1[[#This Row],[a1]]=1,ABS(Tab.o1[[#This Row],[MOD]]-AVERAGE(Tab.o1[MOD])),"")</f>
        <v/>
      </c>
      <c r="AR190" s="134" t="str">
        <f>IF(Tab.o1[[#This Row],[a1]]=1,Tab.o1[[#This Row],[OBS]]/SUM(Tab.o1[OBS]),"")</f>
        <v/>
      </c>
      <c r="AS190" s="135" t="str">
        <f>IF(ISNUMBER(Tab.o1[[#This Row],[a1]]),ROW()-4,"")</f>
        <v/>
      </c>
      <c r="AT190" s="136" t="str">
        <f>Tab.o1[[#This Row],[MOD]]</f>
        <v/>
      </c>
      <c r="AU190" s="137" t="str">
        <f t="shared" si="9"/>
        <v/>
      </c>
      <c r="AV190" s="138" t="str">
        <f t="shared" si="10"/>
        <v/>
      </c>
      <c r="AW190" s="138" t="str">
        <f t="shared" si="11"/>
        <v/>
      </c>
      <c r="AX190" s="139" t="str">
        <f>[1]!T.in.A[[#This Row],[ID_T_manu]]</f>
        <v/>
      </c>
      <c r="AY190" s="140" t="str">
        <f>IF(ISNUMBER(Tab.o1[[#This Row],[a1]]),IF(AND(Tab.o1[[#This Row],[a1]]=1,Tab.o1[[#This Row],[b1]]&lt;=AY$4),#REF!,AY189),"")</f>
        <v/>
      </c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</row>
    <row r="191" spans="1:79" ht="14.25" hidden="1" customHeight="1">
      <c r="A191" s="109">
        <v>-2.9999999999999997E-6</v>
      </c>
      <c r="B191" s="110">
        <f t="shared" si="8"/>
        <v>191</v>
      </c>
      <c r="C191" s="111" t="str">
        <f>IF(C$1=[1]!T.in.A[[#This Row],[oo2]],1,"")</f>
        <v/>
      </c>
      <c r="D191" s="112" t="str">
        <f>IF(Tab.o1[[#This Row],[a1]]=1,IF(SUM(C191:C192)=0,0,IF(SUM(C190:C191)=1,1,IF(SUM(C190:C192)&gt;1,D190+1,0))),"")</f>
        <v/>
      </c>
      <c r="E191" s="113" t="str">
        <f>IF(Tab.o1[[#This Row],[a1]]=1,[1]!T.in.A[[#This Row],[oo1]],"")</f>
        <v/>
      </c>
      <c r="F191" s="113" t="str">
        <f>IF(Tab.o1[[#This Row],[a1]]=1,[1]!T.in.A[[#This Row],[pp1]],"")</f>
        <v/>
      </c>
      <c r="G191" s="114" t="str">
        <f>IF(Tab.o1[[#This Row],[a1]]=1,G$2+IF(G$1=1,0,Tab.o1[[#This Row],[.x1]])+[1]!T.in.A[[#This Row],[oo3]],"")</f>
        <v/>
      </c>
      <c r="H191" s="115" t="str">
        <f>IF(Tab.o1[[#This Row],[a1]]=1,IF(H$2=0,0,IF(G$1=1,0,Tab.o1[[#This Row],[.x1]])+[1]!T.in.A[[#This Row],[oo4]]),"")</f>
        <v/>
      </c>
      <c r="I191" s="116" t="str">
        <f>IF(Tab.o1[[#This Row],[a1]]=1,IF(J$2=0,Tab.o1[[#This Row],[MED]],Tab.o1[[#This Row],[MOD]]),"")</f>
        <v/>
      </c>
      <c r="J191" s="116" t="str">
        <f>IF(Tab.o1[[#This Row],[a1]]=1,((Tab.o1[[#This Row],[DIF_Target.]]-AVERAGE(Tab.o1[DIF_Target.]))/_xlfn.STDEV.P(Tab.o1[DIF_Target.])),"")</f>
        <v/>
      </c>
      <c r="K191" s="117" t="str">
        <f>IF(Tab.o1[[#This Row],[a1]]=1,IF(J$2=0,Tab.o1[[#This Row],[MOD]]-Tab.o1[[#This Row],[B]],IF(J$2=1,0,-Tab.o1[[#This Row],[MED]])+Tab.o1[[#This Row],[B]]),"")</f>
        <v/>
      </c>
      <c r="L191" s="117" t="str">
        <f ca="1">IF(Tab.o1[[#This Row],[DIF_Target]]=0,IF(L$2=0,Tab.o1[[#This Row],[DIF_Target]],AVERAGE(OFFSET(Tab.o1[[#This Row],[DIF_Target]],1,0,L$3,1)))/3,Tab.o1[[#This Row],[DIF_Target]])</f>
        <v/>
      </c>
      <c r="M191" s="118" t="str">
        <f>IF(Tab.o1[[#This Row],[a1]]=1,NORMSDIST(Tab.o1[[#This Row],[Za]]),"")</f>
        <v/>
      </c>
      <c r="N191" s="119" t="str">
        <f>IF(Tab.o1[[#This Row],[a1]]=1,((Tab.o1[[#This Row],[MedMod]]-AVERAGE(Tab.o1[MedMod]))/_xlfn.STDEV.P(Tab.o1[MedMod])*H$1205)+G$1205,"")</f>
        <v/>
      </c>
      <c r="O191" s="141" t="str">
        <f>IF(Tab.o1[[#This Row],[a1]]=1,Tab.o1[[#This Row],[Zb]]*_xlfn.STDEV.P(Tab.o1[MedMod])+AVERAGE(Tab.o1[MedMod]),"")</f>
        <v/>
      </c>
      <c r="P191" s="117" t="str">
        <f ca="1">IF(Tab.o1[[#This Row],[B]]=0,AVERAGE(OFFSET(Tab.o1[[#This Row],[B]],1,0,L$3,1)),Tab.o1[[#This Row],[B]])</f>
        <v/>
      </c>
      <c r="Q191" s="121" t="str">
        <f>IF(Tab.o1[[#This Row],[a1]]=1,NORMSDIST(Tab.o1[[#This Row],[Zb]]),"")</f>
        <v/>
      </c>
      <c r="R191" s="122" t="str">
        <f>IF(Tab.o1[[#This Row],[a1]]=1,((Tab.o1[[#This Row],[MedMod]]-AVERAGE(Tab.o1[MedMod]))/_xlfn.STDEV.P(Tab.o1[MedMod])*H$1203)+G$1203,"")</f>
        <v/>
      </c>
      <c r="S191" s="122" t="str">
        <f>IF(Tab.o1[[#This Row],[a1]]=1,((Tab.o1[[#This Row],[MedMod]]-AVERAGE(Tab.o1[MedMod]))/_xlfn.STDEV.P(Tab.o1[MedMod])*H$1204)+G$1204,"")</f>
        <v/>
      </c>
      <c r="T191" s="123" t="str">
        <f>IF(Tab.o1[[#This Row],[a1]]=1,Tab.o1[[#This Row],[Z-]]*_xlfn.STDEV.P(Tab.o1[B])+AVERAGE(Tab.o1[B]),"")</f>
        <v/>
      </c>
      <c r="U191" s="123" t="str">
        <f>IF(Tab.o1[[#This Row],[a1]]=1,Tab.o1[[#This Row],[z+]]*_xlfn.STDEV.P(Tab.o1[B])+AVERAGE(Tab.o1[B]),"")</f>
        <v/>
      </c>
      <c r="V191" s="124" t="str">
        <f>IF(Tab.o1[[#This Row],[a1]]=1,ABS((ABS(Tab.o1[[#This Row],[Red]]-Tab.o1[[#This Row],[Blue]]))),"")</f>
        <v/>
      </c>
      <c r="W191" s="125" t="str">
        <f>IF(Tab.o1[[#This Row],[a1]]=1,IF(W$3=0,1,Tab.o1[[#This Row],[Amp.]]*1/_xlfn.MINIFS(Tab.o1[Amp.],Tab.o1[Amp.],"&lt;&gt;0")),"")</f>
        <v/>
      </c>
      <c r="X191" s="126" t="str">
        <f>IF(Tab.o1[[#This Row],[a1]]=1,IF(ISNUMBER(Tab.o1[[#This Row],[i.]]),NORMDIST(Tab.o1[[#This Row],[Za]],0,1,FALSE)*Tab.o1[[#This Row],[i.]],AP$3),"")</f>
        <v/>
      </c>
      <c r="Y191" s="126" t="str">
        <f>IF(Tab.o1[[#This Row],[a1]]=1,0.01+0.94*Tab.o1[[#This Row],[PDF]]/MAX(Tab.o1[PDF]),"")</f>
        <v/>
      </c>
      <c r="Z191" s="126" t="str">
        <f>IF(Tab.o1[[#This Row],[a1]]=1,0.01+0.94*Tab.o1[[#This Row],[W1_PDF]]/MAX(Tab.o1[W1_PDF]),"")</f>
        <v/>
      </c>
      <c r="AA191" s="118" t="str">
        <f>IF(Tab.o1[[#This Row],[a1]]=1,ABS([1]!T.in.A[[#This Row],[oo6]]),"")</f>
        <v/>
      </c>
      <c r="AB191" s="127" t="str">
        <f>IF(Tab.o1[[#This Row],[a1]]=1,IF(AE$3=0,"",IF(AB$3=0,ABS([1]!T.in.A[[#This Row],[oo9]]),ABS(Tab.o1[[#This Row],[DIF_Target.]]*Tab.o1[[#This Row],[W1_PDF]]))),"")</f>
        <v/>
      </c>
      <c r="AC191" s="127" t="str">
        <f>IF(G$1=1,"",IF(Tab.o1[[#This Row],[a1]]=1,Tab.o1[[#This Row],[Wr]]^2,""))</f>
        <v/>
      </c>
      <c r="AD191" s="118" t="str">
        <f>IF(Tab.o1[[#This Row],[a1]]=1,IF(AE$3=0,"",Tab.o1[[#This Row],[Wr2]]/SUM(Tab.o1[Wr2])),"")</f>
        <v/>
      </c>
      <c r="AE191" s="128" t="str">
        <f>IF(Tab.o1[[#This Row],[a1]]=1,[1]!T.in.A[[#This Row],[oo10]],"")</f>
        <v/>
      </c>
      <c r="AF191" s="118" t="str">
        <f>IF(Tab.o1[[#This Row],[a1]]=1,ABS(Tab.o1[[#This Row],[DIF_Target.]]*Tab.o1[[#This Row],[PDF2]]*Tab.o1[[#This Row],[IN]]),"")</f>
        <v/>
      </c>
      <c r="AG191" s="129" t="str">
        <f>IF(Tab.o1[[#This Row],[a1]]=1,Tab.o1[[#This Row],[rW]]^2,"")</f>
        <v/>
      </c>
      <c r="AH191" s="130" t="str">
        <f>IF(Tab.o1[[#This Row],[a1]]=1,IF(AH$3=0,Tab.o1[[#This Row],[rW2]],0.01+0.94*Tab.o1[[#This Row],[rW2]]/SUM(Tab.o1[rW2])),"")</f>
        <v/>
      </c>
      <c r="AI191" s="128" t="str">
        <f>IF(Tab.o1[[#This Row],[a1]]=1,1/Tab.o1[[#This Row],[PDF]],"")</f>
        <v/>
      </c>
      <c r="AJ191" s="131" t="str">
        <f>IF(Tab.o1[[#This Row],[a1]]=1,[1]!T_AA[[#This Row],[IN'']]*[1]!T_AA[[#This Row],[Qde'']],"")</f>
        <v/>
      </c>
      <c r="AK191" s="132" t="str">
        <f>IF(Tab.o1[[#This Row],[a1]]=1,IF(AK$1=1,Tab.o1[[#This Row],[MED]]+Tab.o1[[#This Row],[MOD]]-Tab.o1[[#This Row],[MED]],""),"")</f>
        <v/>
      </c>
      <c r="AL191" s="133" t="str">
        <f>IF(Tab.o1[[#This Row],[a1]]=1,[1]!T.in.A[[#This Row],[oo16]],"")</f>
        <v/>
      </c>
      <c r="AM191" s="133" t="str">
        <f>IF(Tab.o1[[#This Row],[a1]]=1,IF(AM$3=1,[1]!T.in.A[[#This Row],[Σo16]],""),"")</f>
        <v/>
      </c>
      <c r="AN191" s="126" t="str">
        <f>IF(Tab.o1[[#This Row],[a1]]=1,[1]!T.in.A[[#This Row],[Σp5]],"")</f>
        <v/>
      </c>
      <c r="AO191" s="126" t="str">
        <f>IF(Tab.o1[[#This Row],[a1]]=1,IF(AO$3=1,[1]!T.in.A[[#This Row],[Σp5]],""),"")</f>
        <v/>
      </c>
      <c r="AP191" s="110" t="str">
        <f>IF(Tab.o1[[#This Row],[a1]]=1,IF(ISNUMBER(Tab.o1[[#This Row],[i.]]),NORMDIST(Tab.o1[[#This Row],[Za]],0,1,FALSE)*Tab.o1[[#This Row],[i.]],0),"")</f>
        <v/>
      </c>
      <c r="AQ191" s="125" t="str">
        <f>IF(Tab.o1[[#This Row],[a1]]=1,ABS(Tab.o1[[#This Row],[MOD]]-AVERAGE(Tab.o1[MOD])),"")</f>
        <v/>
      </c>
      <c r="AR191" s="134" t="str">
        <f>IF(Tab.o1[[#This Row],[a1]]=1,Tab.o1[[#This Row],[OBS]]/SUM(Tab.o1[OBS]),"")</f>
        <v/>
      </c>
      <c r="AS191" s="135" t="str">
        <f>IF(ISNUMBER(Tab.o1[[#This Row],[a1]]),ROW()-4,"")</f>
        <v/>
      </c>
      <c r="AT191" s="136" t="str">
        <f>Tab.o1[[#This Row],[MOD]]</f>
        <v/>
      </c>
      <c r="AU191" s="137" t="str">
        <f t="shared" si="9"/>
        <v/>
      </c>
      <c r="AV191" s="138" t="str">
        <f t="shared" si="10"/>
        <v/>
      </c>
      <c r="AW191" s="138" t="str">
        <f t="shared" si="11"/>
        <v/>
      </c>
      <c r="AX191" s="139" t="str">
        <f>[1]!T.in.A[[#This Row],[ID_T_manu]]</f>
        <v/>
      </c>
      <c r="AY191" s="140" t="str">
        <f>IF(ISNUMBER(Tab.o1[[#This Row],[a1]]),IF(AND(Tab.o1[[#This Row],[a1]]=1,Tab.o1[[#This Row],[b1]]&lt;=AY$4),#REF!,AY190),"")</f>
        <v/>
      </c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</row>
    <row r="192" spans="1:79" ht="14.25" hidden="1" customHeight="1">
      <c r="A192" s="109">
        <v>5.9999999999999993E-6</v>
      </c>
      <c r="B192" s="110">
        <f t="shared" si="8"/>
        <v>192</v>
      </c>
      <c r="C192" s="111" t="str">
        <f>IF(C$1=[1]!T.in.A[[#This Row],[oo2]],1,"")</f>
        <v/>
      </c>
      <c r="D192" s="112" t="str">
        <f>IF(Tab.o1[[#This Row],[a1]]=1,IF(SUM(C192:C193)=0,0,IF(SUM(C191:C192)=1,1,IF(SUM(C191:C193)&gt;1,D191+1,0))),"")</f>
        <v/>
      </c>
      <c r="E192" s="113" t="str">
        <f>IF(Tab.o1[[#This Row],[a1]]=1,[1]!T.in.A[[#This Row],[oo1]],"")</f>
        <v/>
      </c>
      <c r="F192" s="113" t="str">
        <f>IF(Tab.o1[[#This Row],[a1]]=1,[1]!T.in.A[[#This Row],[pp1]],"")</f>
        <v/>
      </c>
      <c r="G192" s="114" t="str">
        <f>IF(Tab.o1[[#This Row],[a1]]=1,G$2+IF(G$1=1,0,Tab.o1[[#This Row],[.x1]])+[1]!T.in.A[[#This Row],[oo3]],"")</f>
        <v/>
      </c>
      <c r="H192" s="115" t="str">
        <f>IF(Tab.o1[[#This Row],[a1]]=1,IF(H$2=0,0,IF(G$1=1,0,Tab.o1[[#This Row],[.x1]])+[1]!T.in.A[[#This Row],[oo4]]),"")</f>
        <v/>
      </c>
      <c r="I192" s="116" t="str">
        <f>IF(Tab.o1[[#This Row],[a1]]=1,IF(J$2=0,Tab.o1[[#This Row],[MED]],Tab.o1[[#This Row],[MOD]]),"")</f>
        <v/>
      </c>
      <c r="J192" s="116" t="str">
        <f>IF(Tab.o1[[#This Row],[a1]]=1,((Tab.o1[[#This Row],[DIF_Target.]]-AVERAGE(Tab.o1[DIF_Target.]))/_xlfn.STDEV.P(Tab.o1[DIF_Target.])),"")</f>
        <v/>
      </c>
      <c r="K192" s="117" t="str">
        <f>IF(Tab.o1[[#This Row],[a1]]=1,IF(J$2=0,Tab.o1[[#This Row],[MOD]]-Tab.o1[[#This Row],[B]],IF(J$2=1,0,-Tab.o1[[#This Row],[MED]])+Tab.o1[[#This Row],[B]]),"")</f>
        <v/>
      </c>
      <c r="L192" s="117" t="str">
        <f ca="1">IF(Tab.o1[[#This Row],[DIF_Target]]=0,IF(L$2=0,Tab.o1[[#This Row],[DIF_Target]],AVERAGE(OFFSET(Tab.o1[[#This Row],[DIF_Target]],1,0,L$3,1)))/3,Tab.o1[[#This Row],[DIF_Target]])</f>
        <v/>
      </c>
      <c r="M192" s="118" t="str">
        <f>IF(Tab.o1[[#This Row],[a1]]=1,NORMSDIST(Tab.o1[[#This Row],[Za]]),"")</f>
        <v/>
      </c>
      <c r="N192" s="119" t="str">
        <f>IF(Tab.o1[[#This Row],[a1]]=1,((Tab.o1[[#This Row],[MedMod]]-AVERAGE(Tab.o1[MedMod]))/_xlfn.STDEV.P(Tab.o1[MedMod])*H$1205)+G$1205,"")</f>
        <v/>
      </c>
      <c r="O192" s="141" t="str">
        <f>IF(Tab.o1[[#This Row],[a1]]=1,Tab.o1[[#This Row],[Zb]]*_xlfn.STDEV.P(Tab.o1[MedMod])+AVERAGE(Tab.o1[MedMod]),"")</f>
        <v/>
      </c>
      <c r="P192" s="117" t="str">
        <f ca="1">IF(Tab.o1[[#This Row],[B]]=0,AVERAGE(OFFSET(Tab.o1[[#This Row],[B]],1,0,L$3,1)),Tab.o1[[#This Row],[B]])</f>
        <v/>
      </c>
      <c r="Q192" s="121" t="str">
        <f>IF(Tab.o1[[#This Row],[a1]]=1,NORMSDIST(Tab.o1[[#This Row],[Zb]]),"")</f>
        <v/>
      </c>
      <c r="R192" s="122" t="str">
        <f>IF(Tab.o1[[#This Row],[a1]]=1,((Tab.o1[[#This Row],[MedMod]]-AVERAGE(Tab.o1[MedMod]))/_xlfn.STDEV.P(Tab.o1[MedMod])*H$1203)+G$1203,"")</f>
        <v/>
      </c>
      <c r="S192" s="122" t="str">
        <f>IF(Tab.o1[[#This Row],[a1]]=1,((Tab.o1[[#This Row],[MedMod]]-AVERAGE(Tab.o1[MedMod]))/_xlfn.STDEV.P(Tab.o1[MedMod])*H$1204)+G$1204,"")</f>
        <v/>
      </c>
      <c r="T192" s="123" t="str">
        <f>IF(Tab.o1[[#This Row],[a1]]=1,Tab.o1[[#This Row],[Z-]]*_xlfn.STDEV.P(Tab.o1[B])+AVERAGE(Tab.o1[B]),"")</f>
        <v/>
      </c>
      <c r="U192" s="123" t="str">
        <f>IF(Tab.o1[[#This Row],[a1]]=1,Tab.o1[[#This Row],[z+]]*_xlfn.STDEV.P(Tab.o1[B])+AVERAGE(Tab.o1[B]),"")</f>
        <v/>
      </c>
      <c r="V192" s="124" t="str">
        <f>IF(Tab.o1[[#This Row],[a1]]=1,ABS((ABS(Tab.o1[[#This Row],[Red]]-Tab.o1[[#This Row],[Blue]]))),"")</f>
        <v/>
      </c>
      <c r="W192" s="125" t="str">
        <f>IF(Tab.o1[[#This Row],[a1]]=1,IF(W$3=0,1,Tab.o1[[#This Row],[Amp.]]*1/_xlfn.MINIFS(Tab.o1[Amp.],Tab.o1[Amp.],"&lt;&gt;0")),"")</f>
        <v/>
      </c>
      <c r="X192" s="126" t="str">
        <f>IF(Tab.o1[[#This Row],[a1]]=1,IF(ISNUMBER(Tab.o1[[#This Row],[i.]]),NORMDIST(Tab.o1[[#This Row],[Za]],0,1,FALSE)*Tab.o1[[#This Row],[i.]],AP$3),"")</f>
        <v/>
      </c>
      <c r="Y192" s="126" t="str">
        <f>IF(Tab.o1[[#This Row],[a1]]=1,0.01+0.94*Tab.o1[[#This Row],[PDF]]/MAX(Tab.o1[PDF]),"")</f>
        <v/>
      </c>
      <c r="Z192" s="126" t="str">
        <f>IF(Tab.o1[[#This Row],[a1]]=1,0.01+0.94*Tab.o1[[#This Row],[W1_PDF]]/MAX(Tab.o1[W1_PDF]),"")</f>
        <v/>
      </c>
      <c r="AA192" s="118" t="str">
        <f>IF(Tab.o1[[#This Row],[a1]]=1,ABS([1]!T.in.A[[#This Row],[oo6]]),"")</f>
        <v/>
      </c>
      <c r="AB192" s="127" t="str">
        <f>IF(Tab.o1[[#This Row],[a1]]=1,IF(AE$3=0,"",IF(AB$3=0,ABS([1]!T.in.A[[#This Row],[oo9]]),ABS(Tab.o1[[#This Row],[DIF_Target.]]*Tab.o1[[#This Row],[W1_PDF]]))),"")</f>
        <v/>
      </c>
      <c r="AC192" s="127" t="str">
        <f>IF(G$1=1,"",IF(Tab.o1[[#This Row],[a1]]=1,Tab.o1[[#This Row],[Wr]]^2,""))</f>
        <v/>
      </c>
      <c r="AD192" s="118" t="str">
        <f>IF(Tab.o1[[#This Row],[a1]]=1,IF(AE$3=0,"",Tab.o1[[#This Row],[Wr2]]/SUM(Tab.o1[Wr2])),"")</f>
        <v/>
      </c>
      <c r="AE192" s="128" t="str">
        <f>IF(Tab.o1[[#This Row],[a1]]=1,[1]!T.in.A[[#This Row],[oo10]],"")</f>
        <v/>
      </c>
      <c r="AF192" s="118" t="str">
        <f>IF(Tab.o1[[#This Row],[a1]]=1,ABS(Tab.o1[[#This Row],[DIF_Target.]]*Tab.o1[[#This Row],[PDF2]]*Tab.o1[[#This Row],[IN]]),"")</f>
        <v/>
      </c>
      <c r="AG192" s="129" t="str">
        <f>IF(Tab.o1[[#This Row],[a1]]=1,Tab.o1[[#This Row],[rW]]^2,"")</f>
        <v/>
      </c>
      <c r="AH192" s="130" t="str">
        <f>IF(Tab.o1[[#This Row],[a1]]=1,IF(AH$3=0,Tab.o1[[#This Row],[rW2]],0.01+0.94*Tab.o1[[#This Row],[rW2]]/SUM(Tab.o1[rW2])),"")</f>
        <v/>
      </c>
      <c r="AI192" s="128" t="str">
        <f>IF(Tab.o1[[#This Row],[a1]]=1,1/Tab.o1[[#This Row],[PDF]],"")</f>
        <v/>
      </c>
      <c r="AJ192" s="131" t="str">
        <f>IF(Tab.o1[[#This Row],[a1]]=1,[1]!T_AA[[#This Row],[IN'']]*[1]!T_AA[[#This Row],[Qde'']],"")</f>
        <v/>
      </c>
      <c r="AK192" s="132" t="str">
        <f>IF(Tab.o1[[#This Row],[a1]]=1,IF(AK$1=1,Tab.o1[[#This Row],[MED]]+Tab.o1[[#This Row],[MOD]]-Tab.o1[[#This Row],[MED]],""),"")</f>
        <v/>
      </c>
      <c r="AL192" s="133" t="str">
        <f>IF(Tab.o1[[#This Row],[a1]]=1,[1]!T.in.A[[#This Row],[oo16]],"")</f>
        <v/>
      </c>
      <c r="AM192" s="133" t="str">
        <f>IF(Tab.o1[[#This Row],[a1]]=1,IF(AM$3=1,[1]!T.in.A[[#This Row],[Σo16]],""),"")</f>
        <v/>
      </c>
      <c r="AN192" s="126" t="str">
        <f>IF(Tab.o1[[#This Row],[a1]]=1,[1]!T.in.A[[#This Row],[Σp5]],"")</f>
        <v/>
      </c>
      <c r="AO192" s="126" t="str">
        <f>IF(Tab.o1[[#This Row],[a1]]=1,IF(AO$3=1,[1]!T.in.A[[#This Row],[Σp5]],""),"")</f>
        <v/>
      </c>
      <c r="AP192" s="110" t="str">
        <f>IF(Tab.o1[[#This Row],[a1]]=1,IF(ISNUMBER(Tab.o1[[#This Row],[i.]]),NORMDIST(Tab.o1[[#This Row],[Za]],0,1,FALSE)*Tab.o1[[#This Row],[i.]],0),"")</f>
        <v/>
      </c>
      <c r="AQ192" s="125" t="str">
        <f>IF(Tab.o1[[#This Row],[a1]]=1,ABS(Tab.o1[[#This Row],[MOD]]-AVERAGE(Tab.o1[MOD])),"")</f>
        <v/>
      </c>
      <c r="AR192" s="134" t="str">
        <f>IF(Tab.o1[[#This Row],[a1]]=1,Tab.o1[[#This Row],[OBS]]/SUM(Tab.o1[OBS]),"")</f>
        <v/>
      </c>
      <c r="AS192" s="135" t="str">
        <f>IF(ISNUMBER(Tab.o1[[#This Row],[a1]]),ROW()-4,"")</f>
        <v/>
      </c>
      <c r="AT192" s="136" t="str">
        <f>Tab.o1[[#This Row],[MOD]]</f>
        <v/>
      </c>
      <c r="AU192" s="137" t="str">
        <f t="shared" si="9"/>
        <v/>
      </c>
      <c r="AV192" s="138" t="str">
        <f t="shared" si="10"/>
        <v/>
      </c>
      <c r="AW192" s="138" t="str">
        <f t="shared" si="11"/>
        <v/>
      </c>
      <c r="AX192" s="139" t="str">
        <f>[1]!T.in.A[[#This Row],[ID_T_manu]]</f>
        <v/>
      </c>
      <c r="AY192" s="140" t="str">
        <f>IF(ISNUMBER(Tab.o1[[#This Row],[a1]]),IF(AND(Tab.o1[[#This Row],[a1]]=1,Tab.o1[[#This Row],[b1]]&lt;=AY$4),#REF!,AY191),"")</f>
        <v/>
      </c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</row>
    <row r="193" spans="1:79" ht="14.25" hidden="1" customHeight="1">
      <c r="A193" s="109">
        <v>-4.0000000000000007E-6</v>
      </c>
      <c r="B193" s="110">
        <f t="shared" si="8"/>
        <v>193</v>
      </c>
      <c r="C193" s="111" t="str">
        <f>IF(C$1=[1]!T.in.A[[#This Row],[oo2]],1,"")</f>
        <v/>
      </c>
      <c r="D193" s="112" t="str">
        <f>IF(Tab.o1[[#This Row],[a1]]=1,IF(SUM(C193:C194)=0,0,IF(SUM(C192:C193)=1,1,IF(SUM(C192:C194)&gt;1,D192+1,0))),"")</f>
        <v/>
      </c>
      <c r="E193" s="113" t="str">
        <f>IF(Tab.o1[[#This Row],[a1]]=1,[1]!T.in.A[[#This Row],[oo1]],"")</f>
        <v/>
      </c>
      <c r="F193" s="113" t="str">
        <f>IF(Tab.o1[[#This Row],[a1]]=1,[1]!T.in.A[[#This Row],[pp1]],"")</f>
        <v/>
      </c>
      <c r="G193" s="114" t="str">
        <f>IF(Tab.o1[[#This Row],[a1]]=1,G$2+IF(G$1=1,0,Tab.o1[[#This Row],[.x1]])+[1]!T.in.A[[#This Row],[oo3]],"")</f>
        <v/>
      </c>
      <c r="H193" s="115" t="str">
        <f>IF(Tab.o1[[#This Row],[a1]]=1,IF(H$2=0,0,IF(G$1=1,0,Tab.o1[[#This Row],[.x1]])+[1]!T.in.A[[#This Row],[oo4]]),"")</f>
        <v/>
      </c>
      <c r="I193" s="116" t="str">
        <f>IF(Tab.o1[[#This Row],[a1]]=1,IF(J$2=0,Tab.o1[[#This Row],[MED]],Tab.o1[[#This Row],[MOD]]),"")</f>
        <v/>
      </c>
      <c r="J193" s="116" t="str">
        <f>IF(Tab.o1[[#This Row],[a1]]=1,((Tab.o1[[#This Row],[DIF_Target.]]-AVERAGE(Tab.o1[DIF_Target.]))/_xlfn.STDEV.P(Tab.o1[DIF_Target.])),"")</f>
        <v/>
      </c>
      <c r="K193" s="117" t="str">
        <f>IF(Tab.o1[[#This Row],[a1]]=1,IF(J$2=0,Tab.o1[[#This Row],[MOD]]-Tab.o1[[#This Row],[B]],IF(J$2=1,0,-Tab.o1[[#This Row],[MED]])+Tab.o1[[#This Row],[B]]),"")</f>
        <v/>
      </c>
      <c r="L193" s="117" t="str">
        <f ca="1">IF(Tab.o1[[#This Row],[DIF_Target]]=0,IF(L$2=0,Tab.o1[[#This Row],[DIF_Target]],AVERAGE(OFFSET(Tab.o1[[#This Row],[DIF_Target]],1,0,L$3,1)))/3,Tab.o1[[#This Row],[DIF_Target]])</f>
        <v/>
      </c>
      <c r="M193" s="118" t="str">
        <f>IF(Tab.o1[[#This Row],[a1]]=1,NORMSDIST(Tab.o1[[#This Row],[Za]]),"")</f>
        <v/>
      </c>
      <c r="N193" s="119" t="str">
        <f>IF(Tab.o1[[#This Row],[a1]]=1,((Tab.o1[[#This Row],[MedMod]]-AVERAGE(Tab.o1[MedMod]))/_xlfn.STDEV.P(Tab.o1[MedMod])*H$1205)+G$1205,"")</f>
        <v/>
      </c>
      <c r="O193" s="141" t="str">
        <f>IF(Tab.o1[[#This Row],[a1]]=1,Tab.o1[[#This Row],[Zb]]*_xlfn.STDEV.P(Tab.o1[MedMod])+AVERAGE(Tab.o1[MedMod]),"")</f>
        <v/>
      </c>
      <c r="P193" s="117" t="str">
        <f ca="1">IF(Tab.o1[[#This Row],[B]]=0,AVERAGE(OFFSET(Tab.o1[[#This Row],[B]],1,0,L$3,1)),Tab.o1[[#This Row],[B]])</f>
        <v/>
      </c>
      <c r="Q193" s="121" t="str">
        <f>IF(Tab.o1[[#This Row],[a1]]=1,NORMSDIST(Tab.o1[[#This Row],[Zb]]),"")</f>
        <v/>
      </c>
      <c r="R193" s="122" t="str">
        <f>IF(Tab.o1[[#This Row],[a1]]=1,((Tab.o1[[#This Row],[MedMod]]-AVERAGE(Tab.o1[MedMod]))/_xlfn.STDEV.P(Tab.o1[MedMod])*H$1203)+G$1203,"")</f>
        <v/>
      </c>
      <c r="S193" s="122" t="str">
        <f>IF(Tab.o1[[#This Row],[a1]]=1,((Tab.o1[[#This Row],[MedMod]]-AVERAGE(Tab.o1[MedMod]))/_xlfn.STDEV.P(Tab.o1[MedMod])*H$1204)+G$1204,"")</f>
        <v/>
      </c>
      <c r="T193" s="123" t="str">
        <f>IF(Tab.o1[[#This Row],[a1]]=1,Tab.o1[[#This Row],[Z-]]*_xlfn.STDEV.P(Tab.o1[B])+AVERAGE(Tab.o1[B]),"")</f>
        <v/>
      </c>
      <c r="U193" s="123" t="str">
        <f>IF(Tab.o1[[#This Row],[a1]]=1,Tab.o1[[#This Row],[z+]]*_xlfn.STDEV.P(Tab.o1[B])+AVERAGE(Tab.o1[B]),"")</f>
        <v/>
      </c>
      <c r="V193" s="124" t="str">
        <f>IF(Tab.o1[[#This Row],[a1]]=1,ABS((ABS(Tab.o1[[#This Row],[Red]]-Tab.o1[[#This Row],[Blue]]))),"")</f>
        <v/>
      </c>
      <c r="W193" s="125" t="str">
        <f>IF(Tab.o1[[#This Row],[a1]]=1,IF(W$3=0,1,Tab.o1[[#This Row],[Amp.]]*1/_xlfn.MINIFS(Tab.o1[Amp.],Tab.o1[Amp.],"&lt;&gt;0")),"")</f>
        <v/>
      </c>
      <c r="X193" s="126" t="str">
        <f>IF(Tab.o1[[#This Row],[a1]]=1,IF(ISNUMBER(Tab.o1[[#This Row],[i.]]),NORMDIST(Tab.o1[[#This Row],[Za]],0,1,FALSE)*Tab.o1[[#This Row],[i.]],AP$3),"")</f>
        <v/>
      </c>
      <c r="Y193" s="126" t="str">
        <f>IF(Tab.o1[[#This Row],[a1]]=1,0.01+0.94*Tab.o1[[#This Row],[PDF]]/MAX(Tab.o1[PDF]),"")</f>
        <v/>
      </c>
      <c r="Z193" s="126" t="str">
        <f>IF(Tab.o1[[#This Row],[a1]]=1,0.01+0.94*Tab.o1[[#This Row],[W1_PDF]]/MAX(Tab.o1[W1_PDF]),"")</f>
        <v/>
      </c>
      <c r="AA193" s="118" t="str">
        <f>IF(Tab.o1[[#This Row],[a1]]=1,ABS([1]!T.in.A[[#This Row],[oo6]]),"")</f>
        <v/>
      </c>
      <c r="AB193" s="127" t="str">
        <f>IF(Tab.o1[[#This Row],[a1]]=1,IF(AE$3=0,"",IF(AB$3=0,ABS([1]!T.in.A[[#This Row],[oo9]]),ABS(Tab.o1[[#This Row],[DIF_Target.]]*Tab.o1[[#This Row],[W1_PDF]]))),"")</f>
        <v/>
      </c>
      <c r="AC193" s="127" t="str">
        <f>IF(G$1=1,"",IF(Tab.o1[[#This Row],[a1]]=1,Tab.o1[[#This Row],[Wr]]^2,""))</f>
        <v/>
      </c>
      <c r="AD193" s="118" t="str">
        <f>IF(Tab.o1[[#This Row],[a1]]=1,IF(AE$3=0,"",Tab.o1[[#This Row],[Wr2]]/SUM(Tab.o1[Wr2])),"")</f>
        <v/>
      </c>
      <c r="AE193" s="128" t="str">
        <f>IF(Tab.o1[[#This Row],[a1]]=1,[1]!T.in.A[[#This Row],[oo10]],"")</f>
        <v/>
      </c>
      <c r="AF193" s="118" t="str">
        <f>IF(Tab.o1[[#This Row],[a1]]=1,ABS(Tab.o1[[#This Row],[DIF_Target.]]*Tab.o1[[#This Row],[PDF2]]*Tab.o1[[#This Row],[IN]]),"")</f>
        <v/>
      </c>
      <c r="AG193" s="129" t="str">
        <f>IF(Tab.o1[[#This Row],[a1]]=1,Tab.o1[[#This Row],[rW]]^2,"")</f>
        <v/>
      </c>
      <c r="AH193" s="130" t="str">
        <f>IF(Tab.o1[[#This Row],[a1]]=1,IF(AH$3=0,Tab.o1[[#This Row],[rW2]],0.01+0.94*Tab.o1[[#This Row],[rW2]]/SUM(Tab.o1[rW2])),"")</f>
        <v/>
      </c>
      <c r="AI193" s="128" t="str">
        <f>IF(Tab.o1[[#This Row],[a1]]=1,1/Tab.o1[[#This Row],[PDF]],"")</f>
        <v/>
      </c>
      <c r="AJ193" s="131" t="str">
        <f>IF(Tab.o1[[#This Row],[a1]]=1,[1]!T_AA[[#This Row],[IN'']]*[1]!T_AA[[#This Row],[Qde'']],"")</f>
        <v/>
      </c>
      <c r="AK193" s="132" t="str">
        <f>IF(Tab.o1[[#This Row],[a1]]=1,IF(AK$1=1,Tab.o1[[#This Row],[MED]]+Tab.o1[[#This Row],[MOD]]-Tab.o1[[#This Row],[MED]],""),"")</f>
        <v/>
      </c>
      <c r="AL193" s="133" t="str">
        <f>IF(Tab.o1[[#This Row],[a1]]=1,[1]!T.in.A[[#This Row],[oo16]],"")</f>
        <v/>
      </c>
      <c r="AM193" s="133" t="str">
        <f>IF(Tab.o1[[#This Row],[a1]]=1,IF(AM$3=1,[1]!T.in.A[[#This Row],[Σo16]],""),"")</f>
        <v/>
      </c>
      <c r="AN193" s="126" t="str">
        <f>IF(Tab.o1[[#This Row],[a1]]=1,[1]!T.in.A[[#This Row],[Σp5]],"")</f>
        <v/>
      </c>
      <c r="AO193" s="126" t="str">
        <f>IF(Tab.o1[[#This Row],[a1]]=1,IF(AO$3=1,[1]!T.in.A[[#This Row],[Σp5]],""),"")</f>
        <v/>
      </c>
      <c r="AP193" s="110" t="str">
        <f>IF(Tab.o1[[#This Row],[a1]]=1,IF(ISNUMBER(Tab.o1[[#This Row],[i.]]),NORMDIST(Tab.o1[[#This Row],[Za]],0,1,FALSE)*Tab.o1[[#This Row],[i.]],0),"")</f>
        <v/>
      </c>
      <c r="AQ193" s="125" t="str">
        <f>IF(Tab.o1[[#This Row],[a1]]=1,ABS(Tab.o1[[#This Row],[MOD]]-AVERAGE(Tab.o1[MOD])),"")</f>
        <v/>
      </c>
      <c r="AR193" s="134" t="str">
        <f>IF(Tab.o1[[#This Row],[a1]]=1,Tab.o1[[#This Row],[OBS]]/SUM(Tab.o1[OBS]),"")</f>
        <v/>
      </c>
      <c r="AS193" s="135" t="str">
        <f>IF(ISNUMBER(Tab.o1[[#This Row],[a1]]),ROW()-4,"")</f>
        <v/>
      </c>
      <c r="AT193" s="136" t="str">
        <f>Tab.o1[[#This Row],[MOD]]</f>
        <v/>
      </c>
      <c r="AU193" s="137" t="str">
        <f t="shared" si="9"/>
        <v/>
      </c>
      <c r="AV193" s="138" t="str">
        <f t="shared" si="10"/>
        <v/>
      </c>
      <c r="AW193" s="138" t="str">
        <f t="shared" si="11"/>
        <v/>
      </c>
      <c r="AX193" s="139" t="str">
        <f>[1]!T.in.A[[#This Row],[ID_T_manu]]</f>
        <v/>
      </c>
      <c r="AY193" s="140" t="str">
        <f>IF(ISNUMBER(Tab.o1[[#This Row],[a1]]),IF(AND(Tab.o1[[#This Row],[a1]]=1,Tab.o1[[#This Row],[b1]]&lt;=AY$4),#REF!,AY192),"")</f>
        <v/>
      </c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</row>
    <row r="194" spans="1:79" ht="14.25" hidden="1" customHeight="1">
      <c r="A194" s="109">
        <v>1.0000000000000001E-5</v>
      </c>
      <c r="B194" s="110">
        <f t="shared" si="8"/>
        <v>194</v>
      </c>
      <c r="C194" s="111" t="str">
        <f>IF(C$1=[1]!T.in.A[[#This Row],[oo2]],1,"")</f>
        <v/>
      </c>
      <c r="D194" s="112" t="str">
        <f>IF(Tab.o1[[#This Row],[a1]]=1,IF(SUM(C194:C195)=0,0,IF(SUM(C193:C194)=1,1,IF(SUM(C193:C195)&gt;1,D193+1,0))),"")</f>
        <v/>
      </c>
      <c r="E194" s="113" t="str">
        <f>IF(Tab.o1[[#This Row],[a1]]=1,[1]!T.in.A[[#This Row],[oo1]],"")</f>
        <v/>
      </c>
      <c r="F194" s="113" t="str">
        <f>IF(Tab.o1[[#This Row],[a1]]=1,[1]!T.in.A[[#This Row],[pp1]],"")</f>
        <v/>
      </c>
      <c r="G194" s="114" t="str">
        <f>IF(Tab.o1[[#This Row],[a1]]=1,G$2+IF(G$1=1,0,Tab.o1[[#This Row],[.x1]])+[1]!T.in.A[[#This Row],[oo3]],"")</f>
        <v/>
      </c>
      <c r="H194" s="115" t="str">
        <f>IF(Tab.o1[[#This Row],[a1]]=1,IF(H$2=0,0,IF(G$1=1,0,Tab.o1[[#This Row],[.x1]])+[1]!T.in.A[[#This Row],[oo4]]),"")</f>
        <v/>
      </c>
      <c r="I194" s="116" t="str">
        <f>IF(Tab.o1[[#This Row],[a1]]=1,IF(J$2=0,Tab.o1[[#This Row],[MED]],Tab.o1[[#This Row],[MOD]]),"")</f>
        <v/>
      </c>
      <c r="J194" s="116" t="str">
        <f>IF(Tab.o1[[#This Row],[a1]]=1,((Tab.o1[[#This Row],[DIF_Target.]]-AVERAGE(Tab.o1[DIF_Target.]))/_xlfn.STDEV.P(Tab.o1[DIF_Target.])),"")</f>
        <v/>
      </c>
      <c r="K194" s="117" t="str">
        <f>IF(Tab.o1[[#This Row],[a1]]=1,IF(J$2=0,Tab.o1[[#This Row],[MOD]]-Tab.o1[[#This Row],[B]],IF(J$2=1,0,-Tab.o1[[#This Row],[MED]])+Tab.o1[[#This Row],[B]]),"")</f>
        <v/>
      </c>
      <c r="L194" s="117" t="str">
        <f ca="1">IF(Tab.o1[[#This Row],[DIF_Target]]=0,IF(L$2=0,Tab.o1[[#This Row],[DIF_Target]],AVERAGE(OFFSET(Tab.o1[[#This Row],[DIF_Target]],1,0,L$3,1)))/3,Tab.o1[[#This Row],[DIF_Target]])</f>
        <v/>
      </c>
      <c r="M194" s="118" t="str">
        <f>IF(Tab.o1[[#This Row],[a1]]=1,NORMSDIST(Tab.o1[[#This Row],[Za]]),"")</f>
        <v/>
      </c>
      <c r="N194" s="119" t="str">
        <f>IF(Tab.o1[[#This Row],[a1]]=1,((Tab.o1[[#This Row],[MedMod]]-AVERAGE(Tab.o1[MedMod]))/_xlfn.STDEV.P(Tab.o1[MedMod])*H$1205)+G$1205,"")</f>
        <v/>
      </c>
      <c r="O194" s="141" t="str">
        <f>IF(Tab.o1[[#This Row],[a1]]=1,Tab.o1[[#This Row],[Zb]]*_xlfn.STDEV.P(Tab.o1[MedMod])+AVERAGE(Tab.o1[MedMod]),"")</f>
        <v/>
      </c>
      <c r="P194" s="117" t="str">
        <f ca="1">IF(Tab.o1[[#This Row],[B]]=0,AVERAGE(OFFSET(Tab.o1[[#This Row],[B]],1,0,L$3,1)),Tab.o1[[#This Row],[B]])</f>
        <v/>
      </c>
      <c r="Q194" s="121" t="str">
        <f>IF(Tab.o1[[#This Row],[a1]]=1,NORMSDIST(Tab.o1[[#This Row],[Zb]]),"")</f>
        <v/>
      </c>
      <c r="R194" s="122" t="str">
        <f>IF(Tab.o1[[#This Row],[a1]]=1,((Tab.o1[[#This Row],[MedMod]]-AVERAGE(Tab.o1[MedMod]))/_xlfn.STDEV.P(Tab.o1[MedMod])*H$1203)+G$1203,"")</f>
        <v/>
      </c>
      <c r="S194" s="122" t="str">
        <f>IF(Tab.o1[[#This Row],[a1]]=1,((Tab.o1[[#This Row],[MedMod]]-AVERAGE(Tab.o1[MedMod]))/_xlfn.STDEV.P(Tab.o1[MedMod])*H$1204)+G$1204,"")</f>
        <v/>
      </c>
      <c r="T194" s="123" t="str">
        <f>IF(Tab.o1[[#This Row],[a1]]=1,Tab.o1[[#This Row],[Z-]]*_xlfn.STDEV.P(Tab.o1[B])+AVERAGE(Tab.o1[B]),"")</f>
        <v/>
      </c>
      <c r="U194" s="123" t="str">
        <f>IF(Tab.o1[[#This Row],[a1]]=1,Tab.o1[[#This Row],[z+]]*_xlfn.STDEV.P(Tab.o1[B])+AVERAGE(Tab.o1[B]),"")</f>
        <v/>
      </c>
      <c r="V194" s="124" t="str">
        <f>IF(Tab.o1[[#This Row],[a1]]=1,ABS((ABS(Tab.o1[[#This Row],[Red]]-Tab.o1[[#This Row],[Blue]]))),"")</f>
        <v/>
      </c>
      <c r="W194" s="125" t="str">
        <f>IF(Tab.o1[[#This Row],[a1]]=1,IF(W$3=0,1,Tab.o1[[#This Row],[Amp.]]*1/_xlfn.MINIFS(Tab.o1[Amp.],Tab.o1[Amp.],"&lt;&gt;0")),"")</f>
        <v/>
      </c>
      <c r="X194" s="126" t="str">
        <f>IF(Tab.o1[[#This Row],[a1]]=1,IF(ISNUMBER(Tab.o1[[#This Row],[i.]]),NORMDIST(Tab.o1[[#This Row],[Za]],0,1,FALSE)*Tab.o1[[#This Row],[i.]],AP$3),"")</f>
        <v/>
      </c>
      <c r="Y194" s="126" t="str">
        <f>IF(Tab.o1[[#This Row],[a1]]=1,0.01+0.94*Tab.o1[[#This Row],[PDF]]/MAX(Tab.o1[PDF]),"")</f>
        <v/>
      </c>
      <c r="Z194" s="126" t="str">
        <f>IF(Tab.o1[[#This Row],[a1]]=1,0.01+0.94*Tab.o1[[#This Row],[W1_PDF]]/MAX(Tab.o1[W1_PDF]),"")</f>
        <v/>
      </c>
      <c r="AA194" s="118" t="str">
        <f>IF(Tab.o1[[#This Row],[a1]]=1,ABS([1]!T.in.A[[#This Row],[oo6]]),"")</f>
        <v/>
      </c>
      <c r="AB194" s="127" t="str">
        <f>IF(Tab.o1[[#This Row],[a1]]=1,IF(AE$3=0,"",IF(AB$3=0,ABS([1]!T.in.A[[#This Row],[oo9]]),ABS(Tab.o1[[#This Row],[DIF_Target.]]*Tab.o1[[#This Row],[W1_PDF]]))),"")</f>
        <v/>
      </c>
      <c r="AC194" s="127" t="str">
        <f>IF(G$1=1,"",IF(Tab.o1[[#This Row],[a1]]=1,Tab.o1[[#This Row],[Wr]]^2,""))</f>
        <v/>
      </c>
      <c r="AD194" s="118" t="str">
        <f>IF(Tab.o1[[#This Row],[a1]]=1,IF(AE$3=0,"",Tab.o1[[#This Row],[Wr2]]/SUM(Tab.o1[Wr2])),"")</f>
        <v/>
      </c>
      <c r="AE194" s="128" t="str">
        <f>IF(Tab.o1[[#This Row],[a1]]=1,[1]!T.in.A[[#This Row],[oo10]],"")</f>
        <v/>
      </c>
      <c r="AF194" s="118" t="str">
        <f>IF(Tab.o1[[#This Row],[a1]]=1,ABS(Tab.o1[[#This Row],[DIF_Target.]]*Tab.o1[[#This Row],[PDF2]]*Tab.o1[[#This Row],[IN]]),"")</f>
        <v/>
      </c>
      <c r="AG194" s="129" t="str">
        <f>IF(Tab.o1[[#This Row],[a1]]=1,Tab.o1[[#This Row],[rW]]^2,"")</f>
        <v/>
      </c>
      <c r="AH194" s="130" t="str">
        <f>IF(Tab.o1[[#This Row],[a1]]=1,IF(AH$3=0,Tab.o1[[#This Row],[rW2]],0.01+0.94*Tab.o1[[#This Row],[rW2]]/SUM(Tab.o1[rW2])),"")</f>
        <v/>
      </c>
      <c r="AI194" s="128" t="str">
        <f>IF(Tab.o1[[#This Row],[a1]]=1,1/Tab.o1[[#This Row],[PDF]],"")</f>
        <v/>
      </c>
      <c r="AJ194" s="131" t="str">
        <f>IF(Tab.o1[[#This Row],[a1]]=1,[1]!T_AA[[#This Row],[IN'']]*[1]!T_AA[[#This Row],[Qde'']],"")</f>
        <v/>
      </c>
      <c r="AK194" s="132" t="str">
        <f>IF(Tab.o1[[#This Row],[a1]]=1,IF(AK$1=1,Tab.o1[[#This Row],[MED]]+Tab.o1[[#This Row],[MOD]]-Tab.o1[[#This Row],[MED]],""),"")</f>
        <v/>
      </c>
      <c r="AL194" s="133" t="str">
        <f>IF(Tab.o1[[#This Row],[a1]]=1,[1]!T.in.A[[#This Row],[oo16]],"")</f>
        <v/>
      </c>
      <c r="AM194" s="133" t="str">
        <f>IF(Tab.o1[[#This Row],[a1]]=1,IF(AM$3=1,[1]!T.in.A[[#This Row],[Σo16]],""),"")</f>
        <v/>
      </c>
      <c r="AN194" s="126" t="str">
        <f>IF(Tab.o1[[#This Row],[a1]]=1,[1]!T.in.A[[#This Row],[Σp5]],"")</f>
        <v/>
      </c>
      <c r="AO194" s="126" t="str">
        <f>IF(Tab.o1[[#This Row],[a1]]=1,IF(AO$3=1,[1]!T.in.A[[#This Row],[Σp5]],""),"")</f>
        <v/>
      </c>
      <c r="AP194" s="110" t="str">
        <f>IF(Tab.o1[[#This Row],[a1]]=1,IF(ISNUMBER(Tab.o1[[#This Row],[i.]]),NORMDIST(Tab.o1[[#This Row],[Za]],0,1,FALSE)*Tab.o1[[#This Row],[i.]],0),"")</f>
        <v/>
      </c>
      <c r="AQ194" s="125" t="str">
        <f>IF(Tab.o1[[#This Row],[a1]]=1,ABS(Tab.o1[[#This Row],[MOD]]-AVERAGE(Tab.o1[MOD])),"")</f>
        <v/>
      </c>
      <c r="AR194" s="134" t="str">
        <f>IF(Tab.o1[[#This Row],[a1]]=1,Tab.o1[[#This Row],[OBS]]/SUM(Tab.o1[OBS]),"")</f>
        <v/>
      </c>
      <c r="AS194" s="135" t="str">
        <f>IF(ISNUMBER(Tab.o1[[#This Row],[a1]]),ROW()-4,"")</f>
        <v/>
      </c>
      <c r="AT194" s="136" t="str">
        <f>Tab.o1[[#This Row],[MOD]]</f>
        <v/>
      </c>
      <c r="AU194" s="137" t="str">
        <f t="shared" si="9"/>
        <v/>
      </c>
      <c r="AV194" s="138" t="str">
        <f t="shared" si="10"/>
        <v/>
      </c>
      <c r="AW194" s="138" t="str">
        <f t="shared" si="11"/>
        <v/>
      </c>
      <c r="AX194" s="139" t="str">
        <f>[1]!T.in.A[[#This Row],[ID_T_manu]]</f>
        <v/>
      </c>
      <c r="AY194" s="140" t="str">
        <f>IF(ISNUMBER(Tab.o1[[#This Row],[a1]]),IF(AND(Tab.o1[[#This Row],[a1]]=1,Tab.o1[[#This Row],[b1]]&lt;=AY$4),#REF!,AY193),"")</f>
        <v/>
      </c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</row>
    <row r="195" spans="1:79" ht="14.25" hidden="1" customHeight="1">
      <c r="A195" s="109">
        <v>2.0000000000000003E-6</v>
      </c>
      <c r="B195" s="110">
        <f t="shared" si="8"/>
        <v>195</v>
      </c>
      <c r="C195" s="111" t="str">
        <f>IF(C$1=[1]!T.in.A[[#This Row],[oo2]],1,"")</f>
        <v/>
      </c>
      <c r="D195" s="112" t="str">
        <f>IF(Tab.o1[[#This Row],[a1]]=1,IF(SUM(C195:C196)=0,0,IF(SUM(C194:C195)=1,1,IF(SUM(C194:C196)&gt;1,D194+1,0))),"")</f>
        <v/>
      </c>
      <c r="E195" s="113" t="str">
        <f>IF(Tab.o1[[#This Row],[a1]]=1,[1]!T.in.A[[#This Row],[oo1]],"")</f>
        <v/>
      </c>
      <c r="F195" s="113" t="str">
        <f>IF(Tab.o1[[#This Row],[a1]]=1,[1]!T.in.A[[#This Row],[pp1]],"")</f>
        <v/>
      </c>
      <c r="G195" s="114" t="str">
        <f>IF(Tab.o1[[#This Row],[a1]]=1,G$2+IF(G$1=1,0,Tab.o1[[#This Row],[.x1]])+[1]!T.in.A[[#This Row],[oo3]],"")</f>
        <v/>
      </c>
      <c r="H195" s="115" t="str">
        <f>IF(Tab.o1[[#This Row],[a1]]=1,IF(H$2=0,0,IF(G$1=1,0,Tab.o1[[#This Row],[.x1]])+[1]!T.in.A[[#This Row],[oo4]]),"")</f>
        <v/>
      </c>
      <c r="I195" s="116" t="str">
        <f>IF(Tab.o1[[#This Row],[a1]]=1,IF(J$2=0,Tab.o1[[#This Row],[MED]],Tab.o1[[#This Row],[MOD]]),"")</f>
        <v/>
      </c>
      <c r="J195" s="116" t="str">
        <f>IF(Tab.o1[[#This Row],[a1]]=1,((Tab.o1[[#This Row],[DIF_Target.]]-AVERAGE(Tab.o1[DIF_Target.]))/_xlfn.STDEV.P(Tab.o1[DIF_Target.])),"")</f>
        <v/>
      </c>
      <c r="K195" s="117" t="str">
        <f>IF(Tab.o1[[#This Row],[a1]]=1,IF(J$2=0,Tab.o1[[#This Row],[MOD]]-Tab.o1[[#This Row],[B]],IF(J$2=1,0,-Tab.o1[[#This Row],[MED]])+Tab.o1[[#This Row],[B]]),"")</f>
        <v/>
      </c>
      <c r="L195" s="117" t="str">
        <f ca="1">IF(Tab.o1[[#This Row],[DIF_Target]]=0,IF(L$2=0,Tab.o1[[#This Row],[DIF_Target]],AVERAGE(OFFSET(Tab.o1[[#This Row],[DIF_Target]],1,0,L$3,1)))/3,Tab.o1[[#This Row],[DIF_Target]])</f>
        <v/>
      </c>
      <c r="M195" s="118" t="str">
        <f>IF(Tab.o1[[#This Row],[a1]]=1,NORMSDIST(Tab.o1[[#This Row],[Za]]),"")</f>
        <v/>
      </c>
      <c r="N195" s="119" t="str">
        <f>IF(Tab.o1[[#This Row],[a1]]=1,((Tab.o1[[#This Row],[MedMod]]-AVERAGE(Tab.o1[MedMod]))/_xlfn.STDEV.P(Tab.o1[MedMod])*H$1205)+G$1205,"")</f>
        <v/>
      </c>
      <c r="O195" s="141" t="str">
        <f>IF(Tab.o1[[#This Row],[a1]]=1,Tab.o1[[#This Row],[Zb]]*_xlfn.STDEV.P(Tab.o1[MedMod])+AVERAGE(Tab.o1[MedMod]),"")</f>
        <v/>
      </c>
      <c r="P195" s="117" t="str">
        <f ca="1">IF(Tab.o1[[#This Row],[B]]=0,AVERAGE(OFFSET(Tab.o1[[#This Row],[B]],1,0,L$3,1)),Tab.o1[[#This Row],[B]])</f>
        <v/>
      </c>
      <c r="Q195" s="121" t="str">
        <f>IF(Tab.o1[[#This Row],[a1]]=1,NORMSDIST(Tab.o1[[#This Row],[Zb]]),"")</f>
        <v/>
      </c>
      <c r="R195" s="122" t="str">
        <f>IF(Tab.o1[[#This Row],[a1]]=1,((Tab.o1[[#This Row],[MedMod]]-AVERAGE(Tab.o1[MedMod]))/_xlfn.STDEV.P(Tab.o1[MedMod])*H$1203)+G$1203,"")</f>
        <v/>
      </c>
      <c r="S195" s="122" t="str">
        <f>IF(Tab.o1[[#This Row],[a1]]=1,((Tab.o1[[#This Row],[MedMod]]-AVERAGE(Tab.o1[MedMod]))/_xlfn.STDEV.P(Tab.o1[MedMod])*H$1204)+G$1204,"")</f>
        <v/>
      </c>
      <c r="T195" s="123" t="str">
        <f>IF(Tab.o1[[#This Row],[a1]]=1,Tab.o1[[#This Row],[Z-]]*_xlfn.STDEV.P(Tab.o1[B])+AVERAGE(Tab.o1[B]),"")</f>
        <v/>
      </c>
      <c r="U195" s="123" t="str">
        <f>IF(Tab.o1[[#This Row],[a1]]=1,Tab.o1[[#This Row],[z+]]*_xlfn.STDEV.P(Tab.o1[B])+AVERAGE(Tab.o1[B]),"")</f>
        <v/>
      </c>
      <c r="V195" s="124" t="str">
        <f>IF(Tab.o1[[#This Row],[a1]]=1,ABS((ABS(Tab.o1[[#This Row],[Red]]-Tab.o1[[#This Row],[Blue]]))),"")</f>
        <v/>
      </c>
      <c r="W195" s="125" t="str">
        <f>IF(Tab.o1[[#This Row],[a1]]=1,IF(W$3=0,1,Tab.o1[[#This Row],[Amp.]]*1/_xlfn.MINIFS(Tab.o1[Amp.],Tab.o1[Amp.],"&lt;&gt;0")),"")</f>
        <v/>
      </c>
      <c r="X195" s="126" t="str">
        <f>IF(Tab.o1[[#This Row],[a1]]=1,IF(ISNUMBER(Tab.o1[[#This Row],[i.]]),NORMDIST(Tab.o1[[#This Row],[Za]],0,1,FALSE)*Tab.o1[[#This Row],[i.]],AP$3),"")</f>
        <v/>
      </c>
      <c r="Y195" s="126" t="str">
        <f>IF(Tab.o1[[#This Row],[a1]]=1,0.01+0.94*Tab.o1[[#This Row],[PDF]]/MAX(Tab.o1[PDF]),"")</f>
        <v/>
      </c>
      <c r="Z195" s="126" t="str">
        <f>IF(Tab.o1[[#This Row],[a1]]=1,0.01+0.94*Tab.o1[[#This Row],[W1_PDF]]/MAX(Tab.o1[W1_PDF]),"")</f>
        <v/>
      </c>
      <c r="AA195" s="118" t="str">
        <f>IF(Tab.o1[[#This Row],[a1]]=1,ABS([1]!T.in.A[[#This Row],[oo6]]),"")</f>
        <v/>
      </c>
      <c r="AB195" s="127" t="str">
        <f>IF(Tab.o1[[#This Row],[a1]]=1,IF(AE$3=0,"",IF(AB$3=0,ABS([1]!T.in.A[[#This Row],[oo9]]),ABS(Tab.o1[[#This Row],[DIF_Target.]]*Tab.o1[[#This Row],[W1_PDF]]))),"")</f>
        <v/>
      </c>
      <c r="AC195" s="127" t="str">
        <f>IF(G$1=1,"",IF(Tab.o1[[#This Row],[a1]]=1,Tab.o1[[#This Row],[Wr]]^2,""))</f>
        <v/>
      </c>
      <c r="AD195" s="118" t="str">
        <f>IF(Tab.o1[[#This Row],[a1]]=1,IF(AE$3=0,"",Tab.o1[[#This Row],[Wr2]]/SUM(Tab.o1[Wr2])),"")</f>
        <v/>
      </c>
      <c r="AE195" s="128" t="str">
        <f>IF(Tab.o1[[#This Row],[a1]]=1,[1]!T.in.A[[#This Row],[oo10]],"")</f>
        <v/>
      </c>
      <c r="AF195" s="118" t="str">
        <f>IF(Tab.o1[[#This Row],[a1]]=1,ABS(Tab.o1[[#This Row],[DIF_Target.]]*Tab.o1[[#This Row],[PDF2]]*Tab.o1[[#This Row],[IN]]),"")</f>
        <v/>
      </c>
      <c r="AG195" s="129" t="str">
        <f>IF(Tab.o1[[#This Row],[a1]]=1,Tab.o1[[#This Row],[rW]]^2,"")</f>
        <v/>
      </c>
      <c r="AH195" s="130" t="str">
        <f>IF(Tab.o1[[#This Row],[a1]]=1,IF(AH$3=0,Tab.o1[[#This Row],[rW2]],0.01+0.94*Tab.o1[[#This Row],[rW2]]/SUM(Tab.o1[rW2])),"")</f>
        <v/>
      </c>
      <c r="AI195" s="128" t="str">
        <f>IF(Tab.o1[[#This Row],[a1]]=1,1/Tab.o1[[#This Row],[PDF]],"")</f>
        <v/>
      </c>
      <c r="AJ195" s="131" t="str">
        <f>IF(Tab.o1[[#This Row],[a1]]=1,[1]!T_AA[[#This Row],[IN'']]*[1]!T_AA[[#This Row],[Qde'']],"")</f>
        <v/>
      </c>
      <c r="AK195" s="132" t="str">
        <f>IF(Tab.o1[[#This Row],[a1]]=1,IF(AK$1=1,Tab.o1[[#This Row],[MED]]+Tab.o1[[#This Row],[MOD]]-Tab.o1[[#This Row],[MED]],""),"")</f>
        <v/>
      </c>
      <c r="AL195" s="133" t="str">
        <f>IF(Tab.o1[[#This Row],[a1]]=1,[1]!T.in.A[[#This Row],[oo16]],"")</f>
        <v/>
      </c>
      <c r="AM195" s="133" t="str">
        <f>IF(Tab.o1[[#This Row],[a1]]=1,IF(AM$3=1,[1]!T.in.A[[#This Row],[Σo16]],""),"")</f>
        <v/>
      </c>
      <c r="AN195" s="126" t="str">
        <f>IF(Tab.o1[[#This Row],[a1]]=1,[1]!T.in.A[[#This Row],[Σp5]],"")</f>
        <v/>
      </c>
      <c r="AO195" s="126" t="str">
        <f>IF(Tab.o1[[#This Row],[a1]]=1,IF(AO$3=1,[1]!T.in.A[[#This Row],[Σp5]],""),"")</f>
        <v/>
      </c>
      <c r="AP195" s="110" t="str">
        <f>IF(Tab.o1[[#This Row],[a1]]=1,IF(ISNUMBER(Tab.o1[[#This Row],[i.]]),NORMDIST(Tab.o1[[#This Row],[Za]],0,1,FALSE)*Tab.o1[[#This Row],[i.]],0),"")</f>
        <v/>
      </c>
      <c r="AQ195" s="125" t="str">
        <f>IF(Tab.o1[[#This Row],[a1]]=1,ABS(Tab.o1[[#This Row],[MOD]]-AVERAGE(Tab.o1[MOD])),"")</f>
        <v/>
      </c>
      <c r="AR195" s="134" t="str">
        <f>IF(Tab.o1[[#This Row],[a1]]=1,Tab.o1[[#This Row],[OBS]]/SUM(Tab.o1[OBS]),"")</f>
        <v/>
      </c>
      <c r="AS195" s="135" t="str">
        <f>IF(ISNUMBER(Tab.o1[[#This Row],[a1]]),ROW()-4,"")</f>
        <v/>
      </c>
      <c r="AT195" s="136" t="str">
        <f>Tab.o1[[#This Row],[MOD]]</f>
        <v/>
      </c>
      <c r="AU195" s="137" t="str">
        <f t="shared" si="9"/>
        <v/>
      </c>
      <c r="AV195" s="138" t="str">
        <f t="shared" si="10"/>
        <v/>
      </c>
      <c r="AW195" s="138" t="str">
        <f t="shared" si="11"/>
        <v/>
      </c>
      <c r="AX195" s="139" t="str">
        <f>[1]!T.in.A[[#This Row],[ID_T_manu]]</f>
        <v/>
      </c>
      <c r="AY195" s="140" t="str">
        <f>IF(ISNUMBER(Tab.o1[[#This Row],[a1]]),IF(AND(Tab.o1[[#This Row],[a1]]=1,Tab.o1[[#This Row],[b1]]&lt;=AY$4),#REF!,AY194),"")</f>
        <v/>
      </c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</row>
    <row r="196" spans="1:79" ht="14.25" hidden="1" customHeight="1">
      <c r="A196" s="109">
        <v>-2.0000000000000003E-6</v>
      </c>
      <c r="B196" s="110">
        <f t="shared" si="8"/>
        <v>196</v>
      </c>
      <c r="C196" s="111" t="str">
        <f>IF(C$1=[1]!T.in.A[[#This Row],[oo2]],1,"")</f>
        <v/>
      </c>
      <c r="D196" s="112" t="str">
        <f>IF(Tab.o1[[#This Row],[a1]]=1,IF(SUM(C196:C197)=0,0,IF(SUM(C195:C196)=1,1,IF(SUM(C195:C197)&gt;1,D195+1,0))),"")</f>
        <v/>
      </c>
      <c r="E196" s="113" t="str">
        <f>IF(Tab.o1[[#This Row],[a1]]=1,[1]!T.in.A[[#This Row],[oo1]],"")</f>
        <v/>
      </c>
      <c r="F196" s="113" t="str">
        <f>IF(Tab.o1[[#This Row],[a1]]=1,[1]!T.in.A[[#This Row],[pp1]],"")</f>
        <v/>
      </c>
      <c r="G196" s="114" t="str">
        <f>IF(Tab.o1[[#This Row],[a1]]=1,G$2+IF(G$1=1,0,Tab.o1[[#This Row],[.x1]])+[1]!T.in.A[[#This Row],[oo3]],"")</f>
        <v/>
      </c>
      <c r="H196" s="115" t="str">
        <f>IF(Tab.o1[[#This Row],[a1]]=1,IF(H$2=0,0,IF(G$1=1,0,Tab.o1[[#This Row],[.x1]])+[1]!T.in.A[[#This Row],[oo4]]),"")</f>
        <v/>
      </c>
      <c r="I196" s="116" t="str">
        <f>IF(Tab.o1[[#This Row],[a1]]=1,IF(J$2=0,Tab.o1[[#This Row],[MED]],Tab.o1[[#This Row],[MOD]]),"")</f>
        <v/>
      </c>
      <c r="J196" s="116" t="str">
        <f>IF(Tab.o1[[#This Row],[a1]]=1,((Tab.o1[[#This Row],[DIF_Target.]]-AVERAGE(Tab.o1[DIF_Target.]))/_xlfn.STDEV.P(Tab.o1[DIF_Target.])),"")</f>
        <v/>
      </c>
      <c r="K196" s="117" t="str">
        <f>IF(Tab.o1[[#This Row],[a1]]=1,IF(J$2=0,Tab.o1[[#This Row],[MOD]]-Tab.o1[[#This Row],[B]],IF(J$2=1,0,-Tab.o1[[#This Row],[MED]])+Tab.o1[[#This Row],[B]]),"")</f>
        <v/>
      </c>
      <c r="L196" s="117" t="str">
        <f ca="1">IF(Tab.o1[[#This Row],[DIF_Target]]=0,IF(L$2=0,Tab.o1[[#This Row],[DIF_Target]],AVERAGE(OFFSET(Tab.o1[[#This Row],[DIF_Target]],1,0,L$3,1)))/3,Tab.o1[[#This Row],[DIF_Target]])</f>
        <v/>
      </c>
      <c r="M196" s="118" t="str">
        <f>IF(Tab.o1[[#This Row],[a1]]=1,NORMSDIST(Tab.o1[[#This Row],[Za]]),"")</f>
        <v/>
      </c>
      <c r="N196" s="119" t="str">
        <f>IF(Tab.o1[[#This Row],[a1]]=1,((Tab.o1[[#This Row],[MedMod]]-AVERAGE(Tab.o1[MedMod]))/_xlfn.STDEV.P(Tab.o1[MedMod])*H$1205)+G$1205,"")</f>
        <v/>
      </c>
      <c r="O196" s="141" t="str">
        <f>IF(Tab.o1[[#This Row],[a1]]=1,Tab.o1[[#This Row],[Zb]]*_xlfn.STDEV.P(Tab.o1[MedMod])+AVERAGE(Tab.o1[MedMod]),"")</f>
        <v/>
      </c>
      <c r="P196" s="117" t="str">
        <f ca="1">IF(Tab.o1[[#This Row],[B]]=0,AVERAGE(OFFSET(Tab.o1[[#This Row],[B]],1,0,L$3,1)),Tab.o1[[#This Row],[B]])</f>
        <v/>
      </c>
      <c r="Q196" s="121" t="str">
        <f>IF(Tab.o1[[#This Row],[a1]]=1,NORMSDIST(Tab.o1[[#This Row],[Zb]]),"")</f>
        <v/>
      </c>
      <c r="R196" s="122" t="str">
        <f>IF(Tab.o1[[#This Row],[a1]]=1,((Tab.o1[[#This Row],[MedMod]]-AVERAGE(Tab.o1[MedMod]))/_xlfn.STDEV.P(Tab.o1[MedMod])*H$1203)+G$1203,"")</f>
        <v/>
      </c>
      <c r="S196" s="122" t="str">
        <f>IF(Tab.o1[[#This Row],[a1]]=1,((Tab.o1[[#This Row],[MedMod]]-AVERAGE(Tab.o1[MedMod]))/_xlfn.STDEV.P(Tab.o1[MedMod])*H$1204)+G$1204,"")</f>
        <v/>
      </c>
      <c r="T196" s="123" t="str">
        <f>IF(Tab.o1[[#This Row],[a1]]=1,Tab.o1[[#This Row],[Z-]]*_xlfn.STDEV.P(Tab.o1[B])+AVERAGE(Tab.o1[B]),"")</f>
        <v/>
      </c>
      <c r="U196" s="123" t="str">
        <f>IF(Tab.o1[[#This Row],[a1]]=1,Tab.o1[[#This Row],[z+]]*_xlfn.STDEV.P(Tab.o1[B])+AVERAGE(Tab.o1[B]),"")</f>
        <v/>
      </c>
      <c r="V196" s="124" t="str">
        <f>IF(Tab.o1[[#This Row],[a1]]=1,ABS((ABS(Tab.o1[[#This Row],[Red]]-Tab.o1[[#This Row],[Blue]]))),"")</f>
        <v/>
      </c>
      <c r="W196" s="125" t="str">
        <f>IF(Tab.o1[[#This Row],[a1]]=1,IF(W$3=0,1,Tab.o1[[#This Row],[Amp.]]*1/_xlfn.MINIFS(Tab.o1[Amp.],Tab.o1[Amp.],"&lt;&gt;0")),"")</f>
        <v/>
      </c>
      <c r="X196" s="126" t="str">
        <f>IF(Tab.o1[[#This Row],[a1]]=1,IF(ISNUMBER(Tab.o1[[#This Row],[i.]]),NORMDIST(Tab.o1[[#This Row],[Za]],0,1,FALSE)*Tab.o1[[#This Row],[i.]],AP$3),"")</f>
        <v/>
      </c>
      <c r="Y196" s="126" t="str">
        <f>IF(Tab.o1[[#This Row],[a1]]=1,0.01+0.94*Tab.o1[[#This Row],[PDF]]/MAX(Tab.o1[PDF]),"")</f>
        <v/>
      </c>
      <c r="Z196" s="126" t="str">
        <f>IF(Tab.o1[[#This Row],[a1]]=1,0.01+0.94*Tab.o1[[#This Row],[W1_PDF]]/MAX(Tab.o1[W1_PDF]),"")</f>
        <v/>
      </c>
      <c r="AA196" s="118" t="str">
        <f>IF(Tab.o1[[#This Row],[a1]]=1,ABS([1]!T.in.A[[#This Row],[oo6]]),"")</f>
        <v/>
      </c>
      <c r="AB196" s="127" t="str">
        <f>IF(Tab.o1[[#This Row],[a1]]=1,IF(AE$3=0,"",IF(AB$3=0,ABS([1]!T.in.A[[#This Row],[oo9]]),ABS(Tab.o1[[#This Row],[DIF_Target.]]*Tab.o1[[#This Row],[W1_PDF]]))),"")</f>
        <v/>
      </c>
      <c r="AC196" s="127" t="str">
        <f>IF(G$1=1,"",IF(Tab.o1[[#This Row],[a1]]=1,Tab.o1[[#This Row],[Wr]]^2,""))</f>
        <v/>
      </c>
      <c r="AD196" s="118" t="str">
        <f>IF(Tab.o1[[#This Row],[a1]]=1,IF(AE$3=0,"",Tab.o1[[#This Row],[Wr2]]/SUM(Tab.o1[Wr2])),"")</f>
        <v/>
      </c>
      <c r="AE196" s="128" t="str">
        <f>IF(Tab.o1[[#This Row],[a1]]=1,[1]!T.in.A[[#This Row],[oo10]],"")</f>
        <v/>
      </c>
      <c r="AF196" s="118" t="str">
        <f>IF(Tab.o1[[#This Row],[a1]]=1,ABS(Tab.o1[[#This Row],[DIF_Target.]]*Tab.o1[[#This Row],[PDF2]]*Tab.o1[[#This Row],[IN]]),"")</f>
        <v/>
      </c>
      <c r="AG196" s="129" t="str">
        <f>IF(Tab.o1[[#This Row],[a1]]=1,Tab.o1[[#This Row],[rW]]^2,"")</f>
        <v/>
      </c>
      <c r="AH196" s="130" t="str">
        <f>IF(Tab.o1[[#This Row],[a1]]=1,IF(AH$3=0,Tab.o1[[#This Row],[rW2]],0.01+0.94*Tab.o1[[#This Row],[rW2]]/SUM(Tab.o1[rW2])),"")</f>
        <v/>
      </c>
      <c r="AI196" s="128" t="str">
        <f>IF(Tab.o1[[#This Row],[a1]]=1,1/Tab.o1[[#This Row],[PDF]],"")</f>
        <v/>
      </c>
      <c r="AJ196" s="131" t="str">
        <f>IF(Tab.o1[[#This Row],[a1]]=1,[1]!T_AA[[#This Row],[IN'']]*[1]!T_AA[[#This Row],[Qde'']],"")</f>
        <v/>
      </c>
      <c r="AK196" s="132" t="str">
        <f>IF(Tab.o1[[#This Row],[a1]]=1,IF(AK$1=1,Tab.o1[[#This Row],[MED]]+Tab.o1[[#This Row],[MOD]]-Tab.o1[[#This Row],[MED]],""),"")</f>
        <v/>
      </c>
      <c r="AL196" s="133" t="str">
        <f>IF(Tab.o1[[#This Row],[a1]]=1,[1]!T.in.A[[#This Row],[oo16]],"")</f>
        <v/>
      </c>
      <c r="AM196" s="133" t="str">
        <f>IF(Tab.o1[[#This Row],[a1]]=1,IF(AM$3=1,[1]!T.in.A[[#This Row],[Σo16]],""),"")</f>
        <v/>
      </c>
      <c r="AN196" s="126" t="str">
        <f>IF(Tab.o1[[#This Row],[a1]]=1,[1]!T.in.A[[#This Row],[Σp5]],"")</f>
        <v/>
      </c>
      <c r="AO196" s="126" t="str">
        <f>IF(Tab.o1[[#This Row],[a1]]=1,IF(AO$3=1,[1]!T.in.A[[#This Row],[Σp5]],""),"")</f>
        <v/>
      </c>
      <c r="AP196" s="110" t="str">
        <f>IF(Tab.o1[[#This Row],[a1]]=1,IF(ISNUMBER(Tab.o1[[#This Row],[i.]]),NORMDIST(Tab.o1[[#This Row],[Za]],0,1,FALSE)*Tab.o1[[#This Row],[i.]],0),"")</f>
        <v/>
      </c>
      <c r="AQ196" s="125" t="str">
        <f>IF(Tab.o1[[#This Row],[a1]]=1,ABS(Tab.o1[[#This Row],[MOD]]-AVERAGE(Tab.o1[MOD])),"")</f>
        <v/>
      </c>
      <c r="AR196" s="134" t="str">
        <f>IF(Tab.o1[[#This Row],[a1]]=1,Tab.o1[[#This Row],[OBS]]/SUM(Tab.o1[OBS]),"")</f>
        <v/>
      </c>
      <c r="AS196" s="135" t="str">
        <f>IF(ISNUMBER(Tab.o1[[#This Row],[a1]]),ROW()-4,"")</f>
        <v/>
      </c>
      <c r="AT196" s="136" t="str">
        <f>Tab.o1[[#This Row],[MOD]]</f>
        <v/>
      </c>
      <c r="AU196" s="137" t="str">
        <f t="shared" si="9"/>
        <v/>
      </c>
      <c r="AV196" s="138" t="str">
        <f t="shared" si="10"/>
        <v/>
      </c>
      <c r="AW196" s="138" t="str">
        <f t="shared" si="11"/>
        <v/>
      </c>
      <c r="AX196" s="139" t="str">
        <f>[1]!T.in.A[[#This Row],[ID_T_manu]]</f>
        <v/>
      </c>
      <c r="AY196" s="140" t="str">
        <f>IF(ISNUMBER(Tab.o1[[#This Row],[a1]]),IF(AND(Tab.o1[[#This Row],[a1]]=1,Tab.o1[[#This Row],[b1]]&lt;=AY$4),#REF!,AY195),"")</f>
        <v/>
      </c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</row>
    <row r="197" spans="1:79" ht="14.25" hidden="1" customHeight="1">
      <c r="A197" s="109">
        <v>5.0000000000000004E-6</v>
      </c>
      <c r="B197" s="110">
        <f t="shared" si="8"/>
        <v>197</v>
      </c>
      <c r="C197" s="111" t="str">
        <f>IF(C$1=[1]!T.in.A[[#This Row],[oo2]],1,"")</f>
        <v/>
      </c>
      <c r="D197" s="112" t="str">
        <f>IF(Tab.o1[[#This Row],[a1]]=1,IF(SUM(C197:C198)=0,0,IF(SUM(C196:C197)=1,1,IF(SUM(C196:C198)&gt;1,D196+1,0))),"")</f>
        <v/>
      </c>
      <c r="E197" s="113" t="str">
        <f>IF(Tab.o1[[#This Row],[a1]]=1,[1]!T.in.A[[#This Row],[oo1]],"")</f>
        <v/>
      </c>
      <c r="F197" s="113" t="str">
        <f>IF(Tab.o1[[#This Row],[a1]]=1,[1]!T.in.A[[#This Row],[pp1]],"")</f>
        <v/>
      </c>
      <c r="G197" s="114" t="str">
        <f>IF(Tab.o1[[#This Row],[a1]]=1,G$2+IF(G$1=1,0,Tab.o1[[#This Row],[.x1]])+[1]!T.in.A[[#This Row],[oo3]],"")</f>
        <v/>
      </c>
      <c r="H197" s="115" t="str">
        <f>IF(Tab.o1[[#This Row],[a1]]=1,IF(H$2=0,0,IF(G$1=1,0,Tab.o1[[#This Row],[.x1]])+[1]!T.in.A[[#This Row],[oo4]]),"")</f>
        <v/>
      </c>
      <c r="I197" s="116" t="str">
        <f>IF(Tab.o1[[#This Row],[a1]]=1,IF(J$2=0,Tab.o1[[#This Row],[MED]],Tab.o1[[#This Row],[MOD]]),"")</f>
        <v/>
      </c>
      <c r="J197" s="116" t="str">
        <f>IF(Tab.o1[[#This Row],[a1]]=1,((Tab.o1[[#This Row],[DIF_Target.]]-AVERAGE(Tab.o1[DIF_Target.]))/_xlfn.STDEV.P(Tab.o1[DIF_Target.])),"")</f>
        <v/>
      </c>
      <c r="K197" s="117" t="str">
        <f>IF(Tab.o1[[#This Row],[a1]]=1,IF(J$2=0,Tab.o1[[#This Row],[MOD]]-Tab.o1[[#This Row],[B]],IF(J$2=1,0,-Tab.o1[[#This Row],[MED]])+Tab.o1[[#This Row],[B]]),"")</f>
        <v/>
      </c>
      <c r="L197" s="117" t="str">
        <f ca="1">IF(Tab.o1[[#This Row],[DIF_Target]]=0,IF(L$2=0,Tab.o1[[#This Row],[DIF_Target]],AVERAGE(OFFSET(Tab.o1[[#This Row],[DIF_Target]],1,0,L$3,1)))/3,Tab.o1[[#This Row],[DIF_Target]])</f>
        <v/>
      </c>
      <c r="M197" s="118" t="str">
        <f>IF(Tab.o1[[#This Row],[a1]]=1,NORMSDIST(Tab.o1[[#This Row],[Za]]),"")</f>
        <v/>
      </c>
      <c r="N197" s="119" t="str">
        <f>IF(Tab.o1[[#This Row],[a1]]=1,((Tab.o1[[#This Row],[MedMod]]-AVERAGE(Tab.o1[MedMod]))/_xlfn.STDEV.P(Tab.o1[MedMod])*H$1205)+G$1205,"")</f>
        <v/>
      </c>
      <c r="O197" s="141" t="str">
        <f>IF(Tab.o1[[#This Row],[a1]]=1,Tab.o1[[#This Row],[Zb]]*_xlfn.STDEV.P(Tab.o1[MedMod])+AVERAGE(Tab.o1[MedMod]),"")</f>
        <v/>
      </c>
      <c r="P197" s="117" t="str">
        <f ca="1">IF(Tab.o1[[#This Row],[B]]=0,AVERAGE(OFFSET(Tab.o1[[#This Row],[B]],1,0,L$3,1)),Tab.o1[[#This Row],[B]])</f>
        <v/>
      </c>
      <c r="Q197" s="121" t="str">
        <f>IF(Tab.o1[[#This Row],[a1]]=1,NORMSDIST(Tab.o1[[#This Row],[Zb]]),"")</f>
        <v/>
      </c>
      <c r="R197" s="122" t="str">
        <f>IF(Tab.o1[[#This Row],[a1]]=1,((Tab.o1[[#This Row],[MedMod]]-AVERAGE(Tab.o1[MedMod]))/_xlfn.STDEV.P(Tab.o1[MedMod])*H$1203)+G$1203,"")</f>
        <v/>
      </c>
      <c r="S197" s="122" t="str">
        <f>IF(Tab.o1[[#This Row],[a1]]=1,((Tab.o1[[#This Row],[MedMod]]-AVERAGE(Tab.o1[MedMod]))/_xlfn.STDEV.P(Tab.o1[MedMod])*H$1204)+G$1204,"")</f>
        <v/>
      </c>
      <c r="T197" s="123" t="str">
        <f>IF(Tab.o1[[#This Row],[a1]]=1,Tab.o1[[#This Row],[Z-]]*_xlfn.STDEV.P(Tab.o1[B])+AVERAGE(Tab.o1[B]),"")</f>
        <v/>
      </c>
      <c r="U197" s="123" t="str">
        <f>IF(Tab.o1[[#This Row],[a1]]=1,Tab.o1[[#This Row],[z+]]*_xlfn.STDEV.P(Tab.o1[B])+AVERAGE(Tab.o1[B]),"")</f>
        <v/>
      </c>
      <c r="V197" s="124" t="str">
        <f>IF(Tab.o1[[#This Row],[a1]]=1,ABS((ABS(Tab.o1[[#This Row],[Red]]-Tab.o1[[#This Row],[Blue]]))),"")</f>
        <v/>
      </c>
      <c r="W197" s="125" t="str">
        <f>IF(Tab.o1[[#This Row],[a1]]=1,IF(W$3=0,1,Tab.o1[[#This Row],[Amp.]]*1/_xlfn.MINIFS(Tab.o1[Amp.],Tab.o1[Amp.],"&lt;&gt;0")),"")</f>
        <v/>
      </c>
      <c r="X197" s="126" t="str">
        <f>IF(Tab.o1[[#This Row],[a1]]=1,IF(ISNUMBER(Tab.o1[[#This Row],[i.]]),NORMDIST(Tab.o1[[#This Row],[Za]],0,1,FALSE)*Tab.o1[[#This Row],[i.]],AP$3),"")</f>
        <v/>
      </c>
      <c r="Y197" s="126" t="str">
        <f>IF(Tab.o1[[#This Row],[a1]]=1,0.01+0.94*Tab.o1[[#This Row],[PDF]]/MAX(Tab.o1[PDF]),"")</f>
        <v/>
      </c>
      <c r="Z197" s="126" t="str">
        <f>IF(Tab.o1[[#This Row],[a1]]=1,0.01+0.94*Tab.o1[[#This Row],[W1_PDF]]/MAX(Tab.o1[W1_PDF]),"")</f>
        <v/>
      </c>
      <c r="AA197" s="118" t="str">
        <f>IF(Tab.o1[[#This Row],[a1]]=1,ABS([1]!T.in.A[[#This Row],[oo6]]),"")</f>
        <v/>
      </c>
      <c r="AB197" s="127" t="str">
        <f>IF(Tab.o1[[#This Row],[a1]]=1,IF(AE$3=0,"",IF(AB$3=0,ABS([1]!T.in.A[[#This Row],[oo9]]),ABS(Tab.o1[[#This Row],[DIF_Target.]]*Tab.o1[[#This Row],[W1_PDF]]))),"")</f>
        <v/>
      </c>
      <c r="AC197" s="127" t="str">
        <f>IF(G$1=1,"",IF(Tab.o1[[#This Row],[a1]]=1,Tab.o1[[#This Row],[Wr]]^2,""))</f>
        <v/>
      </c>
      <c r="AD197" s="118" t="str">
        <f>IF(Tab.o1[[#This Row],[a1]]=1,IF(AE$3=0,"",Tab.o1[[#This Row],[Wr2]]/SUM(Tab.o1[Wr2])),"")</f>
        <v/>
      </c>
      <c r="AE197" s="128" t="str">
        <f>IF(Tab.o1[[#This Row],[a1]]=1,[1]!T.in.A[[#This Row],[oo10]],"")</f>
        <v/>
      </c>
      <c r="AF197" s="118" t="str">
        <f>IF(Tab.o1[[#This Row],[a1]]=1,ABS(Tab.o1[[#This Row],[DIF_Target.]]*Tab.o1[[#This Row],[PDF2]]*Tab.o1[[#This Row],[IN]]),"")</f>
        <v/>
      </c>
      <c r="AG197" s="129" t="str">
        <f>IF(Tab.o1[[#This Row],[a1]]=1,Tab.o1[[#This Row],[rW]]^2,"")</f>
        <v/>
      </c>
      <c r="AH197" s="130" t="str">
        <f>IF(Tab.o1[[#This Row],[a1]]=1,IF(AH$3=0,Tab.o1[[#This Row],[rW2]],0.01+0.94*Tab.o1[[#This Row],[rW2]]/SUM(Tab.o1[rW2])),"")</f>
        <v/>
      </c>
      <c r="AI197" s="128" t="str">
        <f>IF(Tab.o1[[#This Row],[a1]]=1,1/Tab.o1[[#This Row],[PDF]],"")</f>
        <v/>
      </c>
      <c r="AJ197" s="131" t="str">
        <f>IF(Tab.o1[[#This Row],[a1]]=1,[1]!T_AA[[#This Row],[IN'']]*[1]!T_AA[[#This Row],[Qde'']],"")</f>
        <v/>
      </c>
      <c r="AK197" s="132" t="str">
        <f>IF(Tab.o1[[#This Row],[a1]]=1,IF(AK$1=1,Tab.o1[[#This Row],[MED]]+Tab.o1[[#This Row],[MOD]]-Tab.o1[[#This Row],[MED]],""),"")</f>
        <v/>
      </c>
      <c r="AL197" s="133" t="str">
        <f>IF(Tab.o1[[#This Row],[a1]]=1,[1]!T.in.A[[#This Row],[oo16]],"")</f>
        <v/>
      </c>
      <c r="AM197" s="133" t="str">
        <f>IF(Tab.o1[[#This Row],[a1]]=1,IF(AM$3=1,[1]!T.in.A[[#This Row],[Σo16]],""),"")</f>
        <v/>
      </c>
      <c r="AN197" s="126" t="str">
        <f>IF(Tab.o1[[#This Row],[a1]]=1,[1]!T.in.A[[#This Row],[Σp5]],"")</f>
        <v/>
      </c>
      <c r="AO197" s="126" t="str">
        <f>IF(Tab.o1[[#This Row],[a1]]=1,IF(AO$3=1,[1]!T.in.A[[#This Row],[Σp5]],""),"")</f>
        <v/>
      </c>
      <c r="AP197" s="110" t="str">
        <f>IF(Tab.o1[[#This Row],[a1]]=1,IF(ISNUMBER(Tab.o1[[#This Row],[i.]]),NORMDIST(Tab.o1[[#This Row],[Za]],0,1,FALSE)*Tab.o1[[#This Row],[i.]],0),"")</f>
        <v/>
      </c>
      <c r="AQ197" s="125" t="str">
        <f>IF(Tab.o1[[#This Row],[a1]]=1,ABS(Tab.o1[[#This Row],[MOD]]-AVERAGE(Tab.o1[MOD])),"")</f>
        <v/>
      </c>
      <c r="AR197" s="134" t="str">
        <f>IF(Tab.o1[[#This Row],[a1]]=1,Tab.o1[[#This Row],[OBS]]/SUM(Tab.o1[OBS]),"")</f>
        <v/>
      </c>
      <c r="AS197" s="135" t="str">
        <f>IF(ISNUMBER(Tab.o1[[#This Row],[a1]]),ROW()-4,"")</f>
        <v/>
      </c>
      <c r="AT197" s="136" t="str">
        <f>Tab.o1[[#This Row],[MOD]]</f>
        <v/>
      </c>
      <c r="AU197" s="137" t="str">
        <f t="shared" si="9"/>
        <v/>
      </c>
      <c r="AV197" s="138" t="str">
        <f t="shared" si="10"/>
        <v/>
      </c>
      <c r="AW197" s="138" t="str">
        <f t="shared" si="11"/>
        <v/>
      </c>
      <c r="AX197" s="139" t="str">
        <f>[1]!T.in.A[[#This Row],[ID_T_manu]]</f>
        <v/>
      </c>
      <c r="AY197" s="140" t="str">
        <f>IF(ISNUMBER(Tab.o1[[#This Row],[a1]]),IF(AND(Tab.o1[[#This Row],[a1]]=1,Tab.o1[[#This Row],[b1]]&lt;=AY$4),#REF!,AY196),"")</f>
        <v/>
      </c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</row>
    <row r="198" spans="1:79" ht="14.25" hidden="1" customHeight="1">
      <c r="A198" s="109">
        <v>9.0000000000000002E-6</v>
      </c>
      <c r="B198" s="110">
        <f t="shared" ref="B198:B261" si="12">B197+1</f>
        <v>198</v>
      </c>
      <c r="C198" s="111" t="str">
        <f>IF(C$1=[1]!T.in.A[[#This Row],[oo2]],1,"")</f>
        <v/>
      </c>
      <c r="D198" s="112" t="str">
        <f>IF(Tab.o1[[#This Row],[a1]]=1,IF(SUM(C198:C199)=0,0,IF(SUM(C197:C198)=1,1,IF(SUM(C197:C199)&gt;1,D197+1,0))),"")</f>
        <v/>
      </c>
      <c r="E198" s="113" t="str">
        <f>IF(Tab.o1[[#This Row],[a1]]=1,[1]!T.in.A[[#This Row],[oo1]],"")</f>
        <v/>
      </c>
      <c r="F198" s="113" t="str">
        <f>IF(Tab.o1[[#This Row],[a1]]=1,[1]!T.in.A[[#This Row],[pp1]],"")</f>
        <v/>
      </c>
      <c r="G198" s="114" t="str">
        <f>IF(Tab.o1[[#This Row],[a1]]=1,G$2+IF(G$1=1,0,Tab.o1[[#This Row],[.x1]])+[1]!T.in.A[[#This Row],[oo3]],"")</f>
        <v/>
      </c>
      <c r="H198" s="115" t="str">
        <f>IF(Tab.o1[[#This Row],[a1]]=1,IF(H$2=0,0,IF(G$1=1,0,Tab.o1[[#This Row],[.x1]])+[1]!T.in.A[[#This Row],[oo4]]),"")</f>
        <v/>
      </c>
      <c r="I198" s="116" t="str">
        <f>IF(Tab.o1[[#This Row],[a1]]=1,IF(J$2=0,Tab.o1[[#This Row],[MED]],Tab.o1[[#This Row],[MOD]]),"")</f>
        <v/>
      </c>
      <c r="J198" s="116" t="str">
        <f>IF(Tab.o1[[#This Row],[a1]]=1,((Tab.o1[[#This Row],[DIF_Target.]]-AVERAGE(Tab.o1[DIF_Target.]))/_xlfn.STDEV.P(Tab.o1[DIF_Target.])),"")</f>
        <v/>
      </c>
      <c r="K198" s="117" t="str">
        <f>IF(Tab.o1[[#This Row],[a1]]=1,IF(J$2=0,Tab.o1[[#This Row],[MOD]]-Tab.o1[[#This Row],[B]],IF(J$2=1,0,-Tab.o1[[#This Row],[MED]])+Tab.o1[[#This Row],[B]]),"")</f>
        <v/>
      </c>
      <c r="L198" s="117" t="str">
        <f ca="1">IF(Tab.o1[[#This Row],[DIF_Target]]=0,IF(L$2=0,Tab.o1[[#This Row],[DIF_Target]],AVERAGE(OFFSET(Tab.o1[[#This Row],[DIF_Target]],1,0,L$3,1)))/3,Tab.o1[[#This Row],[DIF_Target]])</f>
        <v/>
      </c>
      <c r="M198" s="118" t="str">
        <f>IF(Tab.o1[[#This Row],[a1]]=1,NORMSDIST(Tab.o1[[#This Row],[Za]]),"")</f>
        <v/>
      </c>
      <c r="N198" s="119" t="str">
        <f>IF(Tab.o1[[#This Row],[a1]]=1,((Tab.o1[[#This Row],[MedMod]]-AVERAGE(Tab.o1[MedMod]))/_xlfn.STDEV.P(Tab.o1[MedMod])*H$1205)+G$1205,"")</f>
        <v/>
      </c>
      <c r="O198" s="141" t="str">
        <f>IF(Tab.o1[[#This Row],[a1]]=1,Tab.o1[[#This Row],[Zb]]*_xlfn.STDEV.P(Tab.o1[MedMod])+AVERAGE(Tab.o1[MedMod]),"")</f>
        <v/>
      </c>
      <c r="P198" s="117" t="str">
        <f ca="1">IF(Tab.o1[[#This Row],[B]]=0,AVERAGE(OFFSET(Tab.o1[[#This Row],[B]],1,0,L$3,1)),Tab.o1[[#This Row],[B]])</f>
        <v/>
      </c>
      <c r="Q198" s="121" t="str">
        <f>IF(Tab.o1[[#This Row],[a1]]=1,NORMSDIST(Tab.o1[[#This Row],[Zb]]),"")</f>
        <v/>
      </c>
      <c r="R198" s="122" t="str">
        <f>IF(Tab.o1[[#This Row],[a1]]=1,((Tab.o1[[#This Row],[MedMod]]-AVERAGE(Tab.o1[MedMod]))/_xlfn.STDEV.P(Tab.o1[MedMod])*H$1203)+G$1203,"")</f>
        <v/>
      </c>
      <c r="S198" s="122" t="str">
        <f>IF(Tab.o1[[#This Row],[a1]]=1,((Tab.o1[[#This Row],[MedMod]]-AVERAGE(Tab.o1[MedMod]))/_xlfn.STDEV.P(Tab.o1[MedMod])*H$1204)+G$1204,"")</f>
        <v/>
      </c>
      <c r="T198" s="123" t="str">
        <f>IF(Tab.o1[[#This Row],[a1]]=1,Tab.o1[[#This Row],[Z-]]*_xlfn.STDEV.P(Tab.o1[B])+AVERAGE(Tab.o1[B]),"")</f>
        <v/>
      </c>
      <c r="U198" s="123" t="str">
        <f>IF(Tab.o1[[#This Row],[a1]]=1,Tab.o1[[#This Row],[z+]]*_xlfn.STDEV.P(Tab.o1[B])+AVERAGE(Tab.o1[B]),"")</f>
        <v/>
      </c>
      <c r="V198" s="124" t="str">
        <f>IF(Tab.o1[[#This Row],[a1]]=1,ABS((ABS(Tab.o1[[#This Row],[Red]]-Tab.o1[[#This Row],[Blue]]))),"")</f>
        <v/>
      </c>
      <c r="W198" s="125" t="str">
        <f>IF(Tab.o1[[#This Row],[a1]]=1,IF(W$3=0,1,Tab.o1[[#This Row],[Amp.]]*1/_xlfn.MINIFS(Tab.o1[Amp.],Tab.o1[Amp.],"&lt;&gt;0")),"")</f>
        <v/>
      </c>
      <c r="X198" s="126" t="str">
        <f>IF(Tab.o1[[#This Row],[a1]]=1,IF(ISNUMBER(Tab.o1[[#This Row],[i.]]),NORMDIST(Tab.o1[[#This Row],[Za]],0,1,FALSE)*Tab.o1[[#This Row],[i.]],AP$3),"")</f>
        <v/>
      </c>
      <c r="Y198" s="126" t="str">
        <f>IF(Tab.o1[[#This Row],[a1]]=1,0.01+0.94*Tab.o1[[#This Row],[PDF]]/MAX(Tab.o1[PDF]),"")</f>
        <v/>
      </c>
      <c r="Z198" s="126" t="str">
        <f>IF(Tab.o1[[#This Row],[a1]]=1,0.01+0.94*Tab.o1[[#This Row],[W1_PDF]]/MAX(Tab.o1[W1_PDF]),"")</f>
        <v/>
      </c>
      <c r="AA198" s="118" t="str">
        <f>IF(Tab.o1[[#This Row],[a1]]=1,ABS([1]!T.in.A[[#This Row],[oo6]]),"")</f>
        <v/>
      </c>
      <c r="AB198" s="127" t="str">
        <f>IF(Tab.o1[[#This Row],[a1]]=1,IF(AE$3=0,"",IF(AB$3=0,ABS([1]!T.in.A[[#This Row],[oo9]]),ABS(Tab.o1[[#This Row],[DIF_Target.]]*Tab.o1[[#This Row],[W1_PDF]]))),"")</f>
        <v/>
      </c>
      <c r="AC198" s="127" t="str">
        <f>IF(G$1=1,"",IF(Tab.o1[[#This Row],[a1]]=1,Tab.o1[[#This Row],[Wr]]^2,""))</f>
        <v/>
      </c>
      <c r="AD198" s="118" t="str">
        <f>IF(Tab.o1[[#This Row],[a1]]=1,IF(AE$3=0,"",Tab.o1[[#This Row],[Wr2]]/SUM(Tab.o1[Wr2])),"")</f>
        <v/>
      </c>
      <c r="AE198" s="128" t="str">
        <f>IF(Tab.o1[[#This Row],[a1]]=1,[1]!T.in.A[[#This Row],[oo10]],"")</f>
        <v/>
      </c>
      <c r="AF198" s="118" t="str">
        <f>IF(Tab.o1[[#This Row],[a1]]=1,ABS(Tab.o1[[#This Row],[DIF_Target.]]*Tab.o1[[#This Row],[PDF2]]*Tab.o1[[#This Row],[IN]]),"")</f>
        <v/>
      </c>
      <c r="AG198" s="129" t="str">
        <f>IF(Tab.o1[[#This Row],[a1]]=1,Tab.o1[[#This Row],[rW]]^2,"")</f>
        <v/>
      </c>
      <c r="AH198" s="130" t="str">
        <f>IF(Tab.o1[[#This Row],[a1]]=1,IF(AH$3=0,Tab.o1[[#This Row],[rW2]],0.01+0.94*Tab.o1[[#This Row],[rW2]]/SUM(Tab.o1[rW2])),"")</f>
        <v/>
      </c>
      <c r="AI198" s="128" t="str">
        <f>IF(Tab.o1[[#This Row],[a1]]=1,1/Tab.o1[[#This Row],[PDF]],"")</f>
        <v/>
      </c>
      <c r="AJ198" s="131" t="str">
        <f>IF(Tab.o1[[#This Row],[a1]]=1,[1]!T_AA[[#This Row],[IN'']]*[1]!T_AA[[#This Row],[Qde'']],"")</f>
        <v/>
      </c>
      <c r="AK198" s="132" t="str">
        <f>IF(Tab.o1[[#This Row],[a1]]=1,IF(AK$1=1,Tab.o1[[#This Row],[MED]]+Tab.o1[[#This Row],[MOD]]-Tab.o1[[#This Row],[MED]],""),"")</f>
        <v/>
      </c>
      <c r="AL198" s="133" t="str">
        <f>IF(Tab.o1[[#This Row],[a1]]=1,[1]!T.in.A[[#This Row],[oo16]],"")</f>
        <v/>
      </c>
      <c r="AM198" s="133" t="str">
        <f>IF(Tab.o1[[#This Row],[a1]]=1,IF(AM$3=1,[1]!T.in.A[[#This Row],[Σo16]],""),"")</f>
        <v/>
      </c>
      <c r="AN198" s="126" t="str">
        <f>IF(Tab.o1[[#This Row],[a1]]=1,[1]!T.in.A[[#This Row],[Σp5]],"")</f>
        <v/>
      </c>
      <c r="AO198" s="126" t="str">
        <f>IF(Tab.o1[[#This Row],[a1]]=1,IF(AO$3=1,[1]!T.in.A[[#This Row],[Σp5]],""),"")</f>
        <v/>
      </c>
      <c r="AP198" s="110" t="str">
        <f>IF(Tab.o1[[#This Row],[a1]]=1,IF(ISNUMBER(Tab.o1[[#This Row],[i.]]),NORMDIST(Tab.o1[[#This Row],[Za]],0,1,FALSE)*Tab.o1[[#This Row],[i.]],0),"")</f>
        <v/>
      </c>
      <c r="AQ198" s="125" t="str">
        <f>IF(Tab.o1[[#This Row],[a1]]=1,ABS(Tab.o1[[#This Row],[MOD]]-AVERAGE(Tab.o1[MOD])),"")</f>
        <v/>
      </c>
      <c r="AR198" s="134" t="str">
        <f>IF(Tab.o1[[#This Row],[a1]]=1,Tab.o1[[#This Row],[OBS]]/SUM(Tab.o1[OBS]),"")</f>
        <v/>
      </c>
      <c r="AS198" s="135" t="str">
        <f>IF(ISNUMBER(Tab.o1[[#This Row],[a1]]),ROW()-4,"")</f>
        <v/>
      </c>
      <c r="AT198" s="136" t="str">
        <f>Tab.o1[[#This Row],[MOD]]</f>
        <v/>
      </c>
      <c r="AU198" s="137" t="str">
        <f t="shared" ref="AU198:AU261" si="13">AT198</f>
        <v/>
      </c>
      <c r="AV198" s="138" t="str">
        <f t="shared" ref="AV198:AV261" si="14">IF(AND(ISNUMBER(AT198),ISNUMBER(AU198)),H198-AU198,"")</f>
        <v/>
      </c>
      <c r="AW198" s="138" t="str">
        <f t="shared" ref="AW198:AW261" si="15">IF(AW$4=0,"",IF(AV198&lt;AV$2,AV198," "))</f>
        <v/>
      </c>
      <c r="AX198" s="139" t="str">
        <f>[1]!T.in.A[[#This Row],[ID_T_manu]]</f>
        <v/>
      </c>
      <c r="AY198" s="140" t="str">
        <f>IF(ISNUMBER(Tab.o1[[#This Row],[a1]]),IF(AND(Tab.o1[[#This Row],[a1]]=1,Tab.o1[[#This Row],[b1]]&lt;=AY$4),#REF!,AY197),"")</f>
        <v/>
      </c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</row>
    <row r="199" spans="1:79" ht="14.25" hidden="1" customHeight="1">
      <c r="A199" s="109">
        <v>9.0000000000000002E-6</v>
      </c>
      <c r="B199" s="110">
        <f t="shared" si="12"/>
        <v>199</v>
      </c>
      <c r="C199" s="111" t="str">
        <f>IF(C$1=[1]!T.in.A[[#This Row],[oo2]],1,"")</f>
        <v/>
      </c>
      <c r="D199" s="112" t="str">
        <f>IF(Tab.o1[[#This Row],[a1]]=1,IF(SUM(C199:C200)=0,0,IF(SUM(C198:C199)=1,1,IF(SUM(C198:C200)&gt;1,D198+1,0))),"")</f>
        <v/>
      </c>
      <c r="E199" s="113" t="str">
        <f>IF(Tab.o1[[#This Row],[a1]]=1,[1]!T.in.A[[#This Row],[oo1]],"")</f>
        <v/>
      </c>
      <c r="F199" s="113" t="str">
        <f>IF(Tab.o1[[#This Row],[a1]]=1,[1]!T.in.A[[#This Row],[pp1]],"")</f>
        <v/>
      </c>
      <c r="G199" s="114" t="str">
        <f>IF(Tab.o1[[#This Row],[a1]]=1,G$2+IF(G$1=1,0,Tab.o1[[#This Row],[.x1]])+[1]!T.in.A[[#This Row],[oo3]],"")</f>
        <v/>
      </c>
      <c r="H199" s="115" t="str">
        <f>IF(Tab.o1[[#This Row],[a1]]=1,IF(H$2=0,0,IF(G$1=1,0,Tab.o1[[#This Row],[.x1]])+[1]!T.in.A[[#This Row],[oo4]]),"")</f>
        <v/>
      </c>
      <c r="I199" s="116" t="str">
        <f>IF(Tab.o1[[#This Row],[a1]]=1,IF(J$2=0,Tab.o1[[#This Row],[MED]],Tab.o1[[#This Row],[MOD]]),"")</f>
        <v/>
      </c>
      <c r="J199" s="116" t="str">
        <f>IF(Tab.o1[[#This Row],[a1]]=1,((Tab.o1[[#This Row],[DIF_Target.]]-AVERAGE(Tab.o1[DIF_Target.]))/_xlfn.STDEV.P(Tab.o1[DIF_Target.])),"")</f>
        <v/>
      </c>
      <c r="K199" s="117" t="str">
        <f>IF(Tab.o1[[#This Row],[a1]]=1,IF(J$2=0,Tab.o1[[#This Row],[MOD]]-Tab.o1[[#This Row],[B]],IF(J$2=1,0,-Tab.o1[[#This Row],[MED]])+Tab.o1[[#This Row],[B]]),"")</f>
        <v/>
      </c>
      <c r="L199" s="117" t="str">
        <f ca="1">IF(Tab.o1[[#This Row],[DIF_Target]]=0,IF(L$2=0,Tab.o1[[#This Row],[DIF_Target]],AVERAGE(OFFSET(Tab.o1[[#This Row],[DIF_Target]],1,0,L$3,1)))/3,Tab.o1[[#This Row],[DIF_Target]])</f>
        <v/>
      </c>
      <c r="M199" s="118" t="str">
        <f>IF(Tab.o1[[#This Row],[a1]]=1,NORMSDIST(Tab.o1[[#This Row],[Za]]),"")</f>
        <v/>
      </c>
      <c r="N199" s="119" t="str">
        <f>IF(Tab.o1[[#This Row],[a1]]=1,((Tab.o1[[#This Row],[MedMod]]-AVERAGE(Tab.o1[MedMod]))/_xlfn.STDEV.P(Tab.o1[MedMod])*H$1205)+G$1205,"")</f>
        <v/>
      </c>
      <c r="O199" s="141" t="str">
        <f>IF(Tab.o1[[#This Row],[a1]]=1,Tab.o1[[#This Row],[Zb]]*_xlfn.STDEV.P(Tab.o1[MedMod])+AVERAGE(Tab.o1[MedMod]),"")</f>
        <v/>
      </c>
      <c r="P199" s="117" t="str">
        <f ca="1">IF(Tab.o1[[#This Row],[B]]=0,AVERAGE(OFFSET(Tab.o1[[#This Row],[B]],1,0,L$3,1)),Tab.o1[[#This Row],[B]])</f>
        <v/>
      </c>
      <c r="Q199" s="121" t="str">
        <f>IF(Tab.o1[[#This Row],[a1]]=1,NORMSDIST(Tab.o1[[#This Row],[Zb]]),"")</f>
        <v/>
      </c>
      <c r="R199" s="122" t="str">
        <f>IF(Tab.o1[[#This Row],[a1]]=1,((Tab.o1[[#This Row],[MedMod]]-AVERAGE(Tab.o1[MedMod]))/_xlfn.STDEV.P(Tab.o1[MedMod])*H$1203)+G$1203,"")</f>
        <v/>
      </c>
      <c r="S199" s="122" t="str">
        <f>IF(Tab.o1[[#This Row],[a1]]=1,((Tab.o1[[#This Row],[MedMod]]-AVERAGE(Tab.o1[MedMod]))/_xlfn.STDEV.P(Tab.o1[MedMod])*H$1204)+G$1204,"")</f>
        <v/>
      </c>
      <c r="T199" s="123" t="str">
        <f>IF(Tab.o1[[#This Row],[a1]]=1,Tab.o1[[#This Row],[Z-]]*_xlfn.STDEV.P(Tab.o1[B])+AVERAGE(Tab.o1[B]),"")</f>
        <v/>
      </c>
      <c r="U199" s="123" t="str">
        <f>IF(Tab.o1[[#This Row],[a1]]=1,Tab.o1[[#This Row],[z+]]*_xlfn.STDEV.P(Tab.o1[B])+AVERAGE(Tab.o1[B]),"")</f>
        <v/>
      </c>
      <c r="V199" s="124" t="str">
        <f>IF(Tab.o1[[#This Row],[a1]]=1,ABS((ABS(Tab.o1[[#This Row],[Red]]-Tab.o1[[#This Row],[Blue]]))),"")</f>
        <v/>
      </c>
      <c r="W199" s="125" t="str">
        <f>IF(Tab.o1[[#This Row],[a1]]=1,IF(W$3=0,1,Tab.o1[[#This Row],[Amp.]]*1/_xlfn.MINIFS(Tab.o1[Amp.],Tab.o1[Amp.],"&lt;&gt;0")),"")</f>
        <v/>
      </c>
      <c r="X199" s="126" t="str">
        <f>IF(Tab.o1[[#This Row],[a1]]=1,IF(ISNUMBER(Tab.o1[[#This Row],[i.]]),NORMDIST(Tab.o1[[#This Row],[Za]],0,1,FALSE)*Tab.o1[[#This Row],[i.]],AP$3),"")</f>
        <v/>
      </c>
      <c r="Y199" s="126" t="str">
        <f>IF(Tab.o1[[#This Row],[a1]]=1,0.01+0.94*Tab.o1[[#This Row],[PDF]]/MAX(Tab.o1[PDF]),"")</f>
        <v/>
      </c>
      <c r="Z199" s="126" t="str">
        <f>IF(Tab.o1[[#This Row],[a1]]=1,0.01+0.94*Tab.o1[[#This Row],[W1_PDF]]/MAX(Tab.o1[W1_PDF]),"")</f>
        <v/>
      </c>
      <c r="AA199" s="118" t="str">
        <f>IF(Tab.o1[[#This Row],[a1]]=1,ABS([1]!T.in.A[[#This Row],[oo6]]),"")</f>
        <v/>
      </c>
      <c r="AB199" s="127" t="str">
        <f>IF(Tab.o1[[#This Row],[a1]]=1,IF(AE$3=0,"",IF(AB$3=0,ABS([1]!T.in.A[[#This Row],[oo9]]),ABS(Tab.o1[[#This Row],[DIF_Target.]]*Tab.o1[[#This Row],[W1_PDF]]))),"")</f>
        <v/>
      </c>
      <c r="AC199" s="127" t="str">
        <f>IF(G$1=1,"",IF(Tab.o1[[#This Row],[a1]]=1,Tab.o1[[#This Row],[Wr]]^2,""))</f>
        <v/>
      </c>
      <c r="AD199" s="118" t="str">
        <f>IF(Tab.o1[[#This Row],[a1]]=1,IF(AE$3=0,"",Tab.o1[[#This Row],[Wr2]]/SUM(Tab.o1[Wr2])),"")</f>
        <v/>
      </c>
      <c r="AE199" s="128" t="str">
        <f>IF(Tab.o1[[#This Row],[a1]]=1,[1]!T.in.A[[#This Row],[oo10]],"")</f>
        <v/>
      </c>
      <c r="AF199" s="118" t="str">
        <f>IF(Tab.o1[[#This Row],[a1]]=1,ABS(Tab.o1[[#This Row],[DIF_Target.]]*Tab.o1[[#This Row],[PDF2]]*Tab.o1[[#This Row],[IN]]),"")</f>
        <v/>
      </c>
      <c r="AG199" s="129" t="str">
        <f>IF(Tab.o1[[#This Row],[a1]]=1,Tab.o1[[#This Row],[rW]]^2,"")</f>
        <v/>
      </c>
      <c r="AH199" s="130" t="str">
        <f>IF(Tab.o1[[#This Row],[a1]]=1,IF(AH$3=0,Tab.o1[[#This Row],[rW2]],0.01+0.94*Tab.o1[[#This Row],[rW2]]/SUM(Tab.o1[rW2])),"")</f>
        <v/>
      </c>
      <c r="AI199" s="128" t="str">
        <f>IF(Tab.o1[[#This Row],[a1]]=1,1/Tab.o1[[#This Row],[PDF]],"")</f>
        <v/>
      </c>
      <c r="AJ199" s="131" t="str">
        <f>IF(Tab.o1[[#This Row],[a1]]=1,[1]!T_AA[[#This Row],[IN'']]*[1]!T_AA[[#This Row],[Qde'']],"")</f>
        <v/>
      </c>
      <c r="AK199" s="132" t="str">
        <f>IF(Tab.o1[[#This Row],[a1]]=1,IF(AK$1=1,Tab.o1[[#This Row],[MED]]+Tab.o1[[#This Row],[MOD]]-Tab.o1[[#This Row],[MED]],""),"")</f>
        <v/>
      </c>
      <c r="AL199" s="133" t="str">
        <f>IF(Tab.o1[[#This Row],[a1]]=1,[1]!T.in.A[[#This Row],[oo16]],"")</f>
        <v/>
      </c>
      <c r="AM199" s="133" t="str">
        <f>IF(Tab.o1[[#This Row],[a1]]=1,IF(AM$3=1,[1]!T.in.A[[#This Row],[Σo16]],""),"")</f>
        <v/>
      </c>
      <c r="AN199" s="126" t="str">
        <f>IF(Tab.o1[[#This Row],[a1]]=1,[1]!T.in.A[[#This Row],[Σp5]],"")</f>
        <v/>
      </c>
      <c r="AO199" s="126" t="str">
        <f>IF(Tab.o1[[#This Row],[a1]]=1,IF(AO$3=1,[1]!T.in.A[[#This Row],[Σp5]],""),"")</f>
        <v/>
      </c>
      <c r="AP199" s="110" t="str">
        <f>IF(Tab.o1[[#This Row],[a1]]=1,IF(ISNUMBER(Tab.o1[[#This Row],[i.]]),NORMDIST(Tab.o1[[#This Row],[Za]],0,1,FALSE)*Tab.o1[[#This Row],[i.]],0),"")</f>
        <v/>
      </c>
      <c r="AQ199" s="125" t="str">
        <f>IF(Tab.o1[[#This Row],[a1]]=1,ABS(Tab.o1[[#This Row],[MOD]]-AVERAGE(Tab.o1[MOD])),"")</f>
        <v/>
      </c>
      <c r="AR199" s="134" t="str">
        <f>IF(Tab.o1[[#This Row],[a1]]=1,Tab.o1[[#This Row],[OBS]]/SUM(Tab.o1[OBS]),"")</f>
        <v/>
      </c>
      <c r="AS199" s="135" t="str">
        <f>IF(ISNUMBER(Tab.o1[[#This Row],[a1]]),ROW()-4,"")</f>
        <v/>
      </c>
      <c r="AT199" s="136" t="str">
        <f>Tab.o1[[#This Row],[MOD]]</f>
        <v/>
      </c>
      <c r="AU199" s="137" t="str">
        <f t="shared" si="13"/>
        <v/>
      </c>
      <c r="AV199" s="138" t="str">
        <f t="shared" si="14"/>
        <v/>
      </c>
      <c r="AW199" s="138" t="str">
        <f t="shared" si="15"/>
        <v/>
      </c>
      <c r="AX199" s="139" t="str">
        <f>[1]!T.in.A[[#This Row],[ID_T_manu]]</f>
        <v/>
      </c>
      <c r="AY199" s="140" t="str">
        <f>IF(ISNUMBER(Tab.o1[[#This Row],[a1]]),IF(AND(Tab.o1[[#This Row],[a1]]=1,Tab.o1[[#This Row],[b1]]&lt;=AY$4),#REF!,AY198),"")</f>
        <v/>
      </c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</row>
    <row r="200" spans="1:79" ht="14.25" hidden="1" customHeight="1">
      <c r="A200" s="109">
        <v>8.0000000000000013E-6</v>
      </c>
      <c r="B200" s="110">
        <f t="shared" si="12"/>
        <v>200</v>
      </c>
      <c r="C200" s="111" t="str">
        <f>IF(C$1=[1]!T.in.A[[#This Row],[oo2]],1,"")</f>
        <v/>
      </c>
      <c r="D200" s="112" t="str">
        <f>IF(Tab.o1[[#This Row],[a1]]=1,IF(SUM(C200:C201)=0,0,IF(SUM(C199:C200)=1,1,IF(SUM(C199:C201)&gt;1,D199+1,0))),"")</f>
        <v/>
      </c>
      <c r="E200" s="113" t="str">
        <f>IF(Tab.o1[[#This Row],[a1]]=1,[1]!T.in.A[[#This Row],[oo1]],"")</f>
        <v/>
      </c>
      <c r="F200" s="113" t="str">
        <f>IF(Tab.o1[[#This Row],[a1]]=1,[1]!T.in.A[[#This Row],[pp1]],"")</f>
        <v/>
      </c>
      <c r="G200" s="114" t="str">
        <f>IF(Tab.o1[[#This Row],[a1]]=1,G$2+IF(G$1=1,0,Tab.o1[[#This Row],[.x1]])+[1]!T.in.A[[#This Row],[oo3]],"")</f>
        <v/>
      </c>
      <c r="H200" s="115" t="str">
        <f>IF(Tab.o1[[#This Row],[a1]]=1,IF(H$2=0,0,IF(G$1=1,0,Tab.o1[[#This Row],[.x1]])+[1]!T.in.A[[#This Row],[oo4]]),"")</f>
        <v/>
      </c>
      <c r="I200" s="116" t="str">
        <f>IF(Tab.o1[[#This Row],[a1]]=1,IF(J$2=0,Tab.o1[[#This Row],[MED]],Tab.o1[[#This Row],[MOD]]),"")</f>
        <v/>
      </c>
      <c r="J200" s="116" t="str">
        <f>IF(Tab.o1[[#This Row],[a1]]=1,((Tab.o1[[#This Row],[DIF_Target.]]-AVERAGE(Tab.o1[DIF_Target.]))/_xlfn.STDEV.P(Tab.o1[DIF_Target.])),"")</f>
        <v/>
      </c>
      <c r="K200" s="117" t="str">
        <f>IF(Tab.o1[[#This Row],[a1]]=1,IF(J$2=0,Tab.o1[[#This Row],[MOD]]-Tab.o1[[#This Row],[B]],IF(J$2=1,0,-Tab.o1[[#This Row],[MED]])+Tab.o1[[#This Row],[B]]),"")</f>
        <v/>
      </c>
      <c r="L200" s="117" t="str">
        <f ca="1">IF(Tab.o1[[#This Row],[DIF_Target]]=0,IF(L$2=0,Tab.o1[[#This Row],[DIF_Target]],AVERAGE(OFFSET(Tab.o1[[#This Row],[DIF_Target]],1,0,L$3,1)))/3,Tab.o1[[#This Row],[DIF_Target]])</f>
        <v/>
      </c>
      <c r="M200" s="118" t="str">
        <f>IF(Tab.o1[[#This Row],[a1]]=1,NORMSDIST(Tab.o1[[#This Row],[Za]]),"")</f>
        <v/>
      </c>
      <c r="N200" s="119" t="str">
        <f>IF(Tab.o1[[#This Row],[a1]]=1,((Tab.o1[[#This Row],[MedMod]]-AVERAGE(Tab.o1[MedMod]))/_xlfn.STDEV.P(Tab.o1[MedMod])*H$1205)+G$1205,"")</f>
        <v/>
      </c>
      <c r="O200" s="141" t="str">
        <f>IF(Tab.o1[[#This Row],[a1]]=1,Tab.o1[[#This Row],[Zb]]*_xlfn.STDEV.P(Tab.o1[MedMod])+AVERAGE(Tab.o1[MedMod]),"")</f>
        <v/>
      </c>
      <c r="P200" s="117" t="str">
        <f ca="1">IF(Tab.o1[[#This Row],[B]]=0,AVERAGE(OFFSET(Tab.o1[[#This Row],[B]],1,0,L$3,1)),Tab.o1[[#This Row],[B]])</f>
        <v/>
      </c>
      <c r="Q200" s="121" t="str">
        <f>IF(Tab.o1[[#This Row],[a1]]=1,NORMSDIST(Tab.o1[[#This Row],[Zb]]),"")</f>
        <v/>
      </c>
      <c r="R200" s="122" t="str">
        <f>IF(Tab.o1[[#This Row],[a1]]=1,((Tab.o1[[#This Row],[MedMod]]-AVERAGE(Tab.o1[MedMod]))/_xlfn.STDEV.P(Tab.o1[MedMod])*H$1203)+G$1203,"")</f>
        <v/>
      </c>
      <c r="S200" s="122" t="str">
        <f>IF(Tab.o1[[#This Row],[a1]]=1,((Tab.o1[[#This Row],[MedMod]]-AVERAGE(Tab.o1[MedMod]))/_xlfn.STDEV.P(Tab.o1[MedMod])*H$1204)+G$1204,"")</f>
        <v/>
      </c>
      <c r="T200" s="123" t="str">
        <f>IF(Tab.o1[[#This Row],[a1]]=1,Tab.o1[[#This Row],[Z-]]*_xlfn.STDEV.P(Tab.o1[B])+AVERAGE(Tab.o1[B]),"")</f>
        <v/>
      </c>
      <c r="U200" s="123" t="str">
        <f>IF(Tab.o1[[#This Row],[a1]]=1,Tab.o1[[#This Row],[z+]]*_xlfn.STDEV.P(Tab.o1[B])+AVERAGE(Tab.o1[B]),"")</f>
        <v/>
      </c>
      <c r="V200" s="124" t="str">
        <f>IF(Tab.o1[[#This Row],[a1]]=1,ABS((ABS(Tab.o1[[#This Row],[Red]]-Tab.o1[[#This Row],[Blue]]))),"")</f>
        <v/>
      </c>
      <c r="W200" s="125" t="str">
        <f>IF(Tab.o1[[#This Row],[a1]]=1,IF(W$3=0,1,Tab.o1[[#This Row],[Amp.]]*1/_xlfn.MINIFS(Tab.o1[Amp.],Tab.o1[Amp.],"&lt;&gt;0")),"")</f>
        <v/>
      </c>
      <c r="X200" s="126" t="str">
        <f>IF(Tab.o1[[#This Row],[a1]]=1,IF(ISNUMBER(Tab.o1[[#This Row],[i.]]),NORMDIST(Tab.o1[[#This Row],[Za]],0,1,FALSE)*Tab.o1[[#This Row],[i.]],AP$3),"")</f>
        <v/>
      </c>
      <c r="Y200" s="126" t="str">
        <f>IF(Tab.o1[[#This Row],[a1]]=1,0.01+0.94*Tab.o1[[#This Row],[PDF]]/MAX(Tab.o1[PDF]),"")</f>
        <v/>
      </c>
      <c r="Z200" s="126" t="str">
        <f>IF(Tab.o1[[#This Row],[a1]]=1,0.01+0.94*Tab.o1[[#This Row],[W1_PDF]]/MAX(Tab.o1[W1_PDF]),"")</f>
        <v/>
      </c>
      <c r="AA200" s="118" t="str">
        <f>IF(Tab.o1[[#This Row],[a1]]=1,ABS([1]!T.in.A[[#This Row],[oo6]]),"")</f>
        <v/>
      </c>
      <c r="AB200" s="127" t="str">
        <f>IF(Tab.o1[[#This Row],[a1]]=1,IF(AE$3=0,"",IF(AB$3=0,ABS([1]!T.in.A[[#This Row],[oo9]]),ABS(Tab.o1[[#This Row],[DIF_Target.]]*Tab.o1[[#This Row],[W1_PDF]]))),"")</f>
        <v/>
      </c>
      <c r="AC200" s="127" t="str">
        <f>IF(G$1=1,"",IF(Tab.o1[[#This Row],[a1]]=1,Tab.o1[[#This Row],[Wr]]^2,""))</f>
        <v/>
      </c>
      <c r="AD200" s="118" t="str">
        <f>IF(Tab.o1[[#This Row],[a1]]=1,IF(AE$3=0,"",Tab.o1[[#This Row],[Wr2]]/SUM(Tab.o1[Wr2])),"")</f>
        <v/>
      </c>
      <c r="AE200" s="128" t="str">
        <f>IF(Tab.o1[[#This Row],[a1]]=1,[1]!T.in.A[[#This Row],[oo10]],"")</f>
        <v/>
      </c>
      <c r="AF200" s="118" t="str">
        <f>IF(Tab.o1[[#This Row],[a1]]=1,ABS(Tab.o1[[#This Row],[DIF_Target.]]*Tab.o1[[#This Row],[PDF2]]*Tab.o1[[#This Row],[IN]]),"")</f>
        <v/>
      </c>
      <c r="AG200" s="129" t="str">
        <f>IF(Tab.o1[[#This Row],[a1]]=1,Tab.o1[[#This Row],[rW]]^2,"")</f>
        <v/>
      </c>
      <c r="AH200" s="130" t="str">
        <f>IF(Tab.o1[[#This Row],[a1]]=1,IF(AH$3=0,Tab.o1[[#This Row],[rW2]],0.01+0.94*Tab.o1[[#This Row],[rW2]]/SUM(Tab.o1[rW2])),"")</f>
        <v/>
      </c>
      <c r="AI200" s="128" t="str">
        <f>IF(Tab.o1[[#This Row],[a1]]=1,1/Tab.o1[[#This Row],[PDF]],"")</f>
        <v/>
      </c>
      <c r="AJ200" s="131" t="str">
        <f>IF(Tab.o1[[#This Row],[a1]]=1,[1]!T_AA[[#This Row],[IN'']]*[1]!T_AA[[#This Row],[Qde'']],"")</f>
        <v/>
      </c>
      <c r="AK200" s="132" t="str">
        <f>IF(Tab.o1[[#This Row],[a1]]=1,IF(AK$1=1,Tab.o1[[#This Row],[MED]]+Tab.o1[[#This Row],[MOD]]-Tab.o1[[#This Row],[MED]],""),"")</f>
        <v/>
      </c>
      <c r="AL200" s="133" t="str">
        <f>IF(Tab.o1[[#This Row],[a1]]=1,[1]!T.in.A[[#This Row],[oo16]],"")</f>
        <v/>
      </c>
      <c r="AM200" s="133" t="str">
        <f>IF(Tab.o1[[#This Row],[a1]]=1,IF(AM$3=1,[1]!T.in.A[[#This Row],[Σo16]],""),"")</f>
        <v/>
      </c>
      <c r="AN200" s="126" t="str">
        <f>IF(Tab.o1[[#This Row],[a1]]=1,[1]!T.in.A[[#This Row],[Σp5]],"")</f>
        <v/>
      </c>
      <c r="AO200" s="126" t="str">
        <f>IF(Tab.o1[[#This Row],[a1]]=1,IF(AO$3=1,[1]!T.in.A[[#This Row],[Σp5]],""),"")</f>
        <v/>
      </c>
      <c r="AP200" s="110" t="str">
        <f>IF(Tab.o1[[#This Row],[a1]]=1,IF(ISNUMBER(Tab.o1[[#This Row],[i.]]),NORMDIST(Tab.o1[[#This Row],[Za]],0,1,FALSE)*Tab.o1[[#This Row],[i.]],0),"")</f>
        <v/>
      </c>
      <c r="AQ200" s="125" t="str">
        <f>IF(Tab.o1[[#This Row],[a1]]=1,ABS(Tab.o1[[#This Row],[MOD]]-AVERAGE(Tab.o1[MOD])),"")</f>
        <v/>
      </c>
      <c r="AR200" s="134" t="str">
        <f>IF(Tab.o1[[#This Row],[a1]]=1,Tab.o1[[#This Row],[OBS]]/SUM(Tab.o1[OBS]),"")</f>
        <v/>
      </c>
      <c r="AS200" s="135" t="str">
        <f>IF(ISNUMBER(Tab.o1[[#This Row],[a1]]),ROW()-4,"")</f>
        <v/>
      </c>
      <c r="AT200" s="136" t="str">
        <f>Tab.o1[[#This Row],[MOD]]</f>
        <v/>
      </c>
      <c r="AU200" s="137" t="str">
        <f t="shared" si="13"/>
        <v/>
      </c>
      <c r="AV200" s="138" t="str">
        <f t="shared" si="14"/>
        <v/>
      </c>
      <c r="AW200" s="138" t="str">
        <f t="shared" si="15"/>
        <v/>
      </c>
      <c r="AX200" s="139" t="str">
        <f>[1]!T.in.A[[#This Row],[ID_T_manu]]</f>
        <v/>
      </c>
      <c r="AY200" s="140" t="str">
        <f>IF(ISNUMBER(Tab.o1[[#This Row],[a1]]),IF(AND(Tab.o1[[#This Row],[a1]]=1,Tab.o1[[#This Row],[b1]]&lt;=AY$4),#REF!,AY199),"")</f>
        <v/>
      </c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</row>
    <row r="201" spans="1:79" ht="14.25" hidden="1" customHeight="1">
      <c r="A201" s="109">
        <v>5.9999999999999993E-6</v>
      </c>
      <c r="B201" s="110">
        <f t="shared" si="12"/>
        <v>201</v>
      </c>
      <c r="C201" s="111" t="str">
        <f>IF(C$1=[1]!T.in.A[[#This Row],[oo2]],1,"")</f>
        <v/>
      </c>
      <c r="D201" s="112" t="str">
        <f>IF(Tab.o1[[#This Row],[a1]]=1,IF(SUM(C201:C202)=0,0,IF(SUM(C200:C201)=1,1,IF(SUM(C200:C202)&gt;1,D200+1,0))),"")</f>
        <v/>
      </c>
      <c r="E201" s="113" t="str">
        <f>IF(Tab.o1[[#This Row],[a1]]=1,[1]!T.in.A[[#This Row],[oo1]],"")</f>
        <v/>
      </c>
      <c r="F201" s="113" t="str">
        <f>IF(Tab.o1[[#This Row],[a1]]=1,[1]!T.in.A[[#This Row],[pp1]],"")</f>
        <v/>
      </c>
      <c r="G201" s="114" t="str">
        <f>IF(Tab.o1[[#This Row],[a1]]=1,G$2+IF(G$1=1,0,Tab.o1[[#This Row],[.x1]])+[1]!T.in.A[[#This Row],[oo3]],"")</f>
        <v/>
      </c>
      <c r="H201" s="115" t="str">
        <f>IF(Tab.o1[[#This Row],[a1]]=1,IF(H$2=0,0,IF(G$1=1,0,Tab.o1[[#This Row],[.x1]])+[1]!T.in.A[[#This Row],[oo4]]),"")</f>
        <v/>
      </c>
      <c r="I201" s="116" t="str">
        <f>IF(Tab.o1[[#This Row],[a1]]=1,IF(J$2=0,Tab.o1[[#This Row],[MED]],Tab.o1[[#This Row],[MOD]]),"")</f>
        <v/>
      </c>
      <c r="J201" s="116" t="str">
        <f>IF(Tab.o1[[#This Row],[a1]]=1,((Tab.o1[[#This Row],[DIF_Target.]]-AVERAGE(Tab.o1[DIF_Target.]))/_xlfn.STDEV.P(Tab.o1[DIF_Target.])),"")</f>
        <v/>
      </c>
      <c r="K201" s="117" t="str">
        <f>IF(Tab.o1[[#This Row],[a1]]=1,IF(J$2=0,Tab.o1[[#This Row],[MOD]]-Tab.o1[[#This Row],[B]],IF(J$2=1,0,-Tab.o1[[#This Row],[MED]])+Tab.o1[[#This Row],[B]]),"")</f>
        <v/>
      </c>
      <c r="L201" s="117" t="str">
        <f ca="1">IF(Tab.o1[[#This Row],[DIF_Target]]=0,IF(L$2=0,Tab.o1[[#This Row],[DIF_Target]],AVERAGE(OFFSET(Tab.o1[[#This Row],[DIF_Target]],1,0,L$3,1)))/3,Tab.o1[[#This Row],[DIF_Target]])</f>
        <v/>
      </c>
      <c r="M201" s="118" t="str">
        <f>IF(Tab.o1[[#This Row],[a1]]=1,NORMSDIST(Tab.o1[[#This Row],[Za]]),"")</f>
        <v/>
      </c>
      <c r="N201" s="119" t="str">
        <f>IF(Tab.o1[[#This Row],[a1]]=1,((Tab.o1[[#This Row],[MedMod]]-AVERAGE(Tab.o1[MedMod]))/_xlfn.STDEV.P(Tab.o1[MedMod])*H$1205)+G$1205,"")</f>
        <v/>
      </c>
      <c r="O201" s="141" t="str">
        <f>IF(Tab.o1[[#This Row],[a1]]=1,Tab.o1[[#This Row],[Zb]]*_xlfn.STDEV.P(Tab.o1[MedMod])+AVERAGE(Tab.o1[MedMod]),"")</f>
        <v/>
      </c>
      <c r="P201" s="117" t="str">
        <f ca="1">IF(Tab.o1[[#This Row],[B]]=0,AVERAGE(OFFSET(Tab.o1[[#This Row],[B]],1,0,L$3,1)),Tab.o1[[#This Row],[B]])</f>
        <v/>
      </c>
      <c r="Q201" s="121" t="str">
        <f>IF(Tab.o1[[#This Row],[a1]]=1,NORMSDIST(Tab.o1[[#This Row],[Zb]]),"")</f>
        <v/>
      </c>
      <c r="R201" s="122" t="str">
        <f>IF(Tab.o1[[#This Row],[a1]]=1,((Tab.o1[[#This Row],[MedMod]]-AVERAGE(Tab.o1[MedMod]))/_xlfn.STDEV.P(Tab.o1[MedMod])*H$1203)+G$1203,"")</f>
        <v/>
      </c>
      <c r="S201" s="122" t="str">
        <f>IF(Tab.o1[[#This Row],[a1]]=1,((Tab.o1[[#This Row],[MedMod]]-AVERAGE(Tab.o1[MedMod]))/_xlfn.STDEV.P(Tab.o1[MedMod])*H$1204)+G$1204,"")</f>
        <v/>
      </c>
      <c r="T201" s="123" t="str">
        <f>IF(Tab.o1[[#This Row],[a1]]=1,Tab.o1[[#This Row],[Z-]]*_xlfn.STDEV.P(Tab.o1[B])+AVERAGE(Tab.o1[B]),"")</f>
        <v/>
      </c>
      <c r="U201" s="123" t="str">
        <f>IF(Tab.o1[[#This Row],[a1]]=1,Tab.o1[[#This Row],[z+]]*_xlfn.STDEV.P(Tab.o1[B])+AVERAGE(Tab.o1[B]),"")</f>
        <v/>
      </c>
      <c r="V201" s="124" t="str">
        <f>IF(Tab.o1[[#This Row],[a1]]=1,ABS((ABS(Tab.o1[[#This Row],[Red]]-Tab.o1[[#This Row],[Blue]]))),"")</f>
        <v/>
      </c>
      <c r="W201" s="125" t="str">
        <f>IF(Tab.o1[[#This Row],[a1]]=1,IF(W$3=0,1,Tab.o1[[#This Row],[Amp.]]*1/_xlfn.MINIFS(Tab.o1[Amp.],Tab.o1[Amp.],"&lt;&gt;0")),"")</f>
        <v/>
      </c>
      <c r="X201" s="126" t="str">
        <f>IF(Tab.o1[[#This Row],[a1]]=1,IF(ISNUMBER(Tab.o1[[#This Row],[i.]]),NORMDIST(Tab.o1[[#This Row],[Za]],0,1,FALSE)*Tab.o1[[#This Row],[i.]],AP$3),"")</f>
        <v/>
      </c>
      <c r="Y201" s="126" t="str">
        <f>IF(Tab.o1[[#This Row],[a1]]=1,0.01+0.94*Tab.o1[[#This Row],[PDF]]/MAX(Tab.o1[PDF]),"")</f>
        <v/>
      </c>
      <c r="Z201" s="126" t="str">
        <f>IF(Tab.o1[[#This Row],[a1]]=1,0.01+0.94*Tab.o1[[#This Row],[W1_PDF]]/MAX(Tab.o1[W1_PDF]),"")</f>
        <v/>
      </c>
      <c r="AA201" s="118" t="str">
        <f>IF(Tab.o1[[#This Row],[a1]]=1,ABS([1]!T.in.A[[#This Row],[oo6]]),"")</f>
        <v/>
      </c>
      <c r="AB201" s="127" t="str">
        <f>IF(Tab.o1[[#This Row],[a1]]=1,IF(AE$3=0,"",IF(AB$3=0,ABS([1]!T.in.A[[#This Row],[oo9]]),ABS(Tab.o1[[#This Row],[DIF_Target.]]*Tab.o1[[#This Row],[W1_PDF]]))),"")</f>
        <v/>
      </c>
      <c r="AC201" s="127" t="str">
        <f>IF(G$1=1,"",IF(Tab.o1[[#This Row],[a1]]=1,Tab.o1[[#This Row],[Wr]]^2,""))</f>
        <v/>
      </c>
      <c r="AD201" s="118" t="str">
        <f>IF(Tab.o1[[#This Row],[a1]]=1,IF(AE$3=0,"",Tab.o1[[#This Row],[Wr2]]/SUM(Tab.o1[Wr2])),"")</f>
        <v/>
      </c>
      <c r="AE201" s="128" t="str">
        <f>IF(Tab.o1[[#This Row],[a1]]=1,[1]!T.in.A[[#This Row],[oo10]],"")</f>
        <v/>
      </c>
      <c r="AF201" s="118" t="str">
        <f>IF(Tab.o1[[#This Row],[a1]]=1,ABS(Tab.o1[[#This Row],[DIF_Target.]]*Tab.o1[[#This Row],[PDF2]]*Tab.o1[[#This Row],[IN]]),"")</f>
        <v/>
      </c>
      <c r="AG201" s="129" t="str">
        <f>IF(Tab.o1[[#This Row],[a1]]=1,Tab.o1[[#This Row],[rW]]^2,"")</f>
        <v/>
      </c>
      <c r="AH201" s="130" t="str">
        <f>IF(Tab.o1[[#This Row],[a1]]=1,IF(AH$3=0,Tab.o1[[#This Row],[rW2]],0.01+0.94*Tab.o1[[#This Row],[rW2]]/SUM(Tab.o1[rW2])),"")</f>
        <v/>
      </c>
      <c r="AI201" s="128" t="str">
        <f>IF(Tab.o1[[#This Row],[a1]]=1,1/Tab.o1[[#This Row],[PDF]],"")</f>
        <v/>
      </c>
      <c r="AJ201" s="131" t="str">
        <f>IF(Tab.o1[[#This Row],[a1]]=1,[1]!T_AA[[#This Row],[IN'']]*[1]!T_AA[[#This Row],[Qde'']],"")</f>
        <v/>
      </c>
      <c r="AK201" s="132" t="str">
        <f>IF(Tab.o1[[#This Row],[a1]]=1,IF(AK$1=1,Tab.o1[[#This Row],[MED]]+Tab.o1[[#This Row],[MOD]]-Tab.o1[[#This Row],[MED]],""),"")</f>
        <v/>
      </c>
      <c r="AL201" s="133" t="str">
        <f>IF(Tab.o1[[#This Row],[a1]]=1,[1]!T.in.A[[#This Row],[oo16]],"")</f>
        <v/>
      </c>
      <c r="AM201" s="133" t="str">
        <f>IF(Tab.o1[[#This Row],[a1]]=1,IF(AM$3=1,[1]!T.in.A[[#This Row],[Σo16]],""),"")</f>
        <v/>
      </c>
      <c r="AN201" s="126" t="str">
        <f>IF(Tab.o1[[#This Row],[a1]]=1,[1]!T.in.A[[#This Row],[Σp5]],"")</f>
        <v/>
      </c>
      <c r="AO201" s="126" t="str">
        <f>IF(Tab.o1[[#This Row],[a1]]=1,IF(AO$3=1,[1]!T.in.A[[#This Row],[Σp5]],""),"")</f>
        <v/>
      </c>
      <c r="AP201" s="110" t="str">
        <f>IF(Tab.o1[[#This Row],[a1]]=1,IF(ISNUMBER(Tab.o1[[#This Row],[i.]]),NORMDIST(Tab.o1[[#This Row],[Za]],0,1,FALSE)*Tab.o1[[#This Row],[i.]],0),"")</f>
        <v/>
      </c>
      <c r="AQ201" s="125" t="str">
        <f>IF(Tab.o1[[#This Row],[a1]]=1,ABS(Tab.o1[[#This Row],[MOD]]-AVERAGE(Tab.o1[MOD])),"")</f>
        <v/>
      </c>
      <c r="AR201" s="134" t="str">
        <f>IF(Tab.o1[[#This Row],[a1]]=1,Tab.o1[[#This Row],[OBS]]/SUM(Tab.o1[OBS]),"")</f>
        <v/>
      </c>
      <c r="AS201" s="135" t="str">
        <f>IF(ISNUMBER(Tab.o1[[#This Row],[a1]]),ROW()-4,"")</f>
        <v/>
      </c>
      <c r="AT201" s="136" t="str">
        <f>Tab.o1[[#This Row],[MOD]]</f>
        <v/>
      </c>
      <c r="AU201" s="137" t="str">
        <f t="shared" si="13"/>
        <v/>
      </c>
      <c r="AV201" s="138" t="str">
        <f t="shared" si="14"/>
        <v/>
      </c>
      <c r="AW201" s="138" t="str">
        <f t="shared" si="15"/>
        <v/>
      </c>
      <c r="AX201" s="139" t="str">
        <f>[1]!T.in.A[[#This Row],[ID_T_manu]]</f>
        <v/>
      </c>
      <c r="AY201" s="140" t="str">
        <f>IF(ISNUMBER(Tab.o1[[#This Row],[a1]]),IF(AND(Tab.o1[[#This Row],[a1]]=1,Tab.o1[[#This Row],[b1]]&lt;=AY$4),#REF!,AY200),"")</f>
        <v/>
      </c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</row>
    <row r="202" spans="1:79" ht="14.25" hidden="1" customHeight="1">
      <c r="A202" s="109">
        <v>-1.0000000000000001E-5</v>
      </c>
      <c r="B202" s="110">
        <f t="shared" si="12"/>
        <v>202</v>
      </c>
      <c r="C202" s="111" t="str">
        <f>IF(C$1=[1]!T.in.A[[#This Row],[oo2]],1,"")</f>
        <v/>
      </c>
      <c r="D202" s="112" t="str">
        <f>IF(Tab.o1[[#This Row],[a1]]=1,IF(SUM(C202:C203)=0,0,IF(SUM(C201:C202)=1,1,IF(SUM(C201:C203)&gt;1,D201+1,0))),"")</f>
        <v/>
      </c>
      <c r="E202" s="113" t="str">
        <f>IF(Tab.o1[[#This Row],[a1]]=1,[1]!T.in.A[[#This Row],[oo1]],"")</f>
        <v/>
      </c>
      <c r="F202" s="113" t="str">
        <f>IF(Tab.o1[[#This Row],[a1]]=1,[1]!T.in.A[[#This Row],[pp1]],"")</f>
        <v/>
      </c>
      <c r="G202" s="114" t="str">
        <f>IF(Tab.o1[[#This Row],[a1]]=1,G$2+IF(G$1=1,0,Tab.o1[[#This Row],[.x1]])+[1]!T.in.A[[#This Row],[oo3]],"")</f>
        <v/>
      </c>
      <c r="H202" s="115" t="str">
        <f>IF(Tab.o1[[#This Row],[a1]]=1,IF(H$2=0,0,IF(G$1=1,0,Tab.o1[[#This Row],[.x1]])+[1]!T.in.A[[#This Row],[oo4]]),"")</f>
        <v/>
      </c>
      <c r="I202" s="116" t="str">
        <f>IF(Tab.o1[[#This Row],[a1]]=1,IF(J$2=0,Tab.o1[[#This Row],[MED]],Tab.o1[[#This Row],[MOD]]),"")</f>
        <v/>
      </c>
      <c r="J202" s="116" t="str">
        <f>IF(Tab.o1[[#This Row],[a1]]=1,((Tab.o1[[#This Row],[DIF_Target.]]-AVERAGE(Tab.o1[DIF_Target.]))/_xlfn.STDEV.P(Tab.o1[DIF_Target.])),"")</f>
        <v/>
      </c>
      <c r="K202" s="117" t="str">
        <f>IF(Tab.o1[[#This Row],[a1]]=1,IF(J$2=0,Tab.o1[[#This Row],[MOD]]-Tab.o1[[#This Row],[B]],IF(J$2=1,0,-Tab.o1[[#This Row],[MED]])+Tab.o1[[#This Row],[B]]),"")</f>
        <v/>
      </c>
      <c r="L202" s="117" t="str">
        <f ca="1">IF(Tab.o1[[#This Row],[DIF_Target]]=0,IF(L$2=0,Tab.o1[[#This Row],[DIF_Target]],AVERAGE(OFFSET(Tab.o1[[#This Row],[DIF_Target]],1,0,L$3,1)))/3,Tab.o1[[#This Row],[DIF_Target]])</f>
        <v/>
      </c>
      <c r="M202" s="118" t="str">
        <f>IF(Tab.o1[[#This Row],[a1]]=1,NORMSDIST(Tab.o1[[#This Row],[Za]]),"")</f>
        <v/>
      </c>
      <c r="N202" s="119" t="str">
        <f>IF(Tab.o1[[#This Row],[a1]]=1,((Tab.o1[[#This Row],[MedMod]]-AVERAGE(Tab.o1[MedMod]))/_xlfn.STDEV.P(Tab.o1[MedMod])*H$1205)+G$1205,"")</f>
        <v/>
      </c>
      <c r="O202" s="141" t="str">
        <f>IF(Tab.o1[[#This Row],[a1]]=1,Tab.o1[[#This Row],[Zb]]*_xlfn.STDEV.P(Tab.o1[MedMod])+AVERAGE(Tab.o1[MedMod]),"")</f>
        <v/>
      </c>
      <c r="P202" s="117" t="str">
        <f ca="1">IF(Tab.o1[[#This Row],[B]]=0,AVERAGE(OFFSET(Tab.o1[[#This Row],[B]],1,0,L$3,1)),Tab.o1[[#This Row],[B]])</f>
        <v/>
      </c>
      <c r="Q202" s="121" t="str">
        <f>IF(Tab.o1[[#This Row],[a1]]=1,NORMSDIST(Tab.o1[[#This Row],[Zb]]),"")</f>
        <v/>
      </c>
      <c r="R202" s="122" t="str">
        <f>IF(Tab.o1[[#This Row],[a1]]=1,((Tab.o1[[#This Row],[MedMod]]-AVERAGE(Tab.o1[MedMod]))/_xlfn.STDEV.P(Tab.o1[MedMod])*H$1203)+G$1203,"")</f>
        <v/>
      </c>
      <c r="S202" s="122" t="str">
        <f>IF(Tab.o1[[#This Row],[a1]]=1,((Tab.o1[[#This Row],[MedMod]]-AVERAGE(Tab.o1[MedMod]))/_xlfn.STDEV.P(Tab.o1[MedMod])*H$1204)+G$1204,"")</f>
        <v/>
      </c>
      <c r="T202" s="123" t="str">
        <f>IF(Tab.o1[[#This Row],[a1]]=1,Tab.o1[[#This Row],[Z-]]*_xlfn.STDEV.P(Tab.o1[B])+AVERAGE(Tab.o1[B]),"")</f>
        <v/>
      </c>
      <c r="U202" s="123" t="str">
        <f>IF(Tab.o1[[#This Row],[a1]]=1,Tab.o1[[#This Row],[z+]]*_xlfn.STDEV.P(Tab.o1[B])+AVERAGE(Tab.o1[B]),"")</f>
        <v/>
      </c>
      <c r="V202" s="124" t="str">
        <f>IF(Tab.o1[[#This Row],[a1]]=1,ABS((ABS(Tab.o1[[#This Row],[Red]]-Tab.o1[[#This Row],[Blue]]))),"")</f>
        <v/>
      </c>
      <c r="W202" s="125" t="str">
        <f>IF(Tab.o1[[#This Row],[a1]]=1,IF(W$3=0,1,Tab.o1[[#This Row],[Amp.]]*1/_xlfn.MINIFS(Tab.o1[Amp.],Tab.o1[Amp.],"&lt;&gt;0")),"")</f>
        <v/>
      </c>
      <c r="X202" s="126" t="str">
        <f>IF(Tab.o1[[#This Row],[a1]]=1,IF(ISNUMBER(Tab.o1[[#This Row],[i.]]),NORMDIST(Tab.o1[[#This Row],[Za]],0,1,FALSE)*Tab.o1[[#This Row],[i.]],AP$3),"")</f>
        <v/>
      </c>
      <c r="Y202" s="126" t="str">
        <f>IF(Tab.o1[[#This Row],[a1]]=1,0.01+0.94*Tab.o1[[#This Row],[PDF]]/MAX(Tab.o1[PDF]),"")</f>
        <v/>
      </c>
      <c r="Z202" s="126" t="str">
        <f>IF(Tab.o1[[#This Row],[a1]]=1,0.01+0.94*Tab.o1[[#This Row],[W1_PDF]]/MAX(Tab.o1[W1_PDF]),"")</f>
        <v/>
      </c>
      <c r="AA202" s="118" t="str">
        <f>IF(Tab.o1[[#This Row],[a1]]=1,ABS([1]!T.in.A[[#This Row],[oo6]]),"")</f>
        <v/>
      </c>
      <c r="AB202" s="127" t="str">
        <f>IF(Tab.o1[[#This Row],[a1]]=1,IF(AE$3=0,"",IF(AB$3=0,ABS([1]!T.in.A[[#This Row],[oo9]]),ABS(Tab.o1[[#This Row],[DIF_Target.]]*Tab.o1[[#This Row],[W1_PDF]]))),"")</f>
        <v/>
      </c>
      <c r="AC202" s="127" t="str">
        <f>IF(G$1=1,"",IF(Tab.o1[[#This Row],[a1]]=1,Tab.o1[[#This Row],[Wr]]^2,""))</f>
        <v/>
      </c>
      <c r="AD202" s="118" t="str">
        <f>IF(Tab.o1[[#This Row],[a1]]=1,IF(AE$3=0,"",Tab.o1[[#This Row],[Wr2]]/SUM(Tab.o1[Wr2])),"")</f>
        <v/>
      </c>
      <c r="AE202" s="128" t="str">
        <f>IF(Tab.o1[[#This Row],[a1]]=1,[1]!T.in.A[[#This Row],[oo10]],"")</f>
        <v/>
      </c>
      <c r="AF202" s="118" t="str">
        <f>IF(Tab.o1[[#This Row],[a1]]=1,ABS(Tab.o1[[#This Row],[DIF_Target.]]*Tab.o1[[#This Row],[PDF2]]*Tab.o1[[#This Row],[IN]]),"")</f>
        <v/>
      </c>
      <c r="AG202" s="129" t="str">
        <f>IF(Tab.o1[[#This Row],[a1]]=1,Tab.o1[[#This Row],[rW]]^2,"")</f>
        <v/>
      </c>
      <c r="AH202" s="130" t="str">
        <f>IF(Tab.o1[[#This Row],[a1]]=1,IF(AH$3=0,Tab.o1[[#This Row],[rW2]],0.01+0.94*Tab.o1[[#This Row],[rW2]]/SUM(Tab.o1[rW2])),"")</f>
        <v/>
      </c>
      <c r="AI202" s="128" t="str">
        <f>IF(Tab.o1[[#This Row],[a1]]=1,1/Tab.o1[[#This Row],[PDF]],"")</f>
        <v/>
      </c>
      <c r="AJ202" s="131" t="str">
        <f>IF(Tab.o1[[#This Row],[a1]]=1,[1]!T_AA[[#This Row],[IN'']]*[1]!T_AA[[#This Row],[Qde'']],"")</f>
        <v/>
      </c>
      <c r="AK202" s="132" t="str">
        <f>IF(Tab.o1[[#This Row],[a1]]=1,IF(AK$1=1,Tab.o1[[#This Row],[MED]]+Tab.o1[[#This Row],[MOD]]-Tab.o1[[#This Row],[MED]],""),"")</f>
        <v/>
      </c>
      <c r="AL202" s="133" t="str">
        <f>IF(Tab.o1[[#This Row],[a1]]=1,[1]!T.in.A[[#This Row],[oo16]],"")</f>
        <v/>
      </c>
      <c r="AM202" s="133" t="str">
        <f>IF(Tab.o1[[#This Row],[a1]]=1,IF(AM$3=1,[1]!T.in.A[[#This Row],[Σo16]],""),"")</f>
        <v/>
      </c>
      <c r="AN202" s="126" t="str">
        <f>IF(Tab.o1[[#This Row],[a1]]=1,[1]!T.in.A[[#This Row],[Σp5]],"")</f>
        <v/>
      </c>
      <c r="AO202" s="126" t="str">
        <f>IF(Tab.o1[[#This Row],[a1]]=1,IF(AO$3=1,[1]!T.in.A[[#This Row],[Σp5]],""),"")</f>
        <v/>
      </c>
      <c r="AP202" s="110" t="str">
        <f>IF(Tab.o1[[#This Row],[a1]]=1,IF(ISNUMBER(Tab.o1[[#This Row],[i.]]),NORMDIST(Tab.o1[[#This Row],[Za]],0,1,FALSE)*Tab.o1[[#This Row],[i.]],0),"")</f>
        <v/>
      </c>
      <c r="AQ202" s="125" t="str">
        <f>IF(Tab.o1[[#This Row],[a1]]=1,ABS(Tab.o1[[#This Row],[MOD]]-AVERAGE(Tab.o1[MOD])),"")</f>
        <v/>
      </c>
      <c r="AR202" s="134" t="str">
        <f>IF(Tab.o1[[#This Row],[a1]]=1,Tab.o1[[#This Row],[OBS]]/SUM(Tab.o1[OBS]),"")</f>
        <v/>
      </c>
      <c r="AS202" s="135" t="str">
        <f>IF(ISNUMBER(Tab.o1[[#This Row],[a1]]),ROW()-4,"")</f>
        <v/>
      </c>
      <c r="AT202" s="136" t="str">
        <f>Tab.o1[[#This Row],[MOD]]</f>
        <v/>
      </c>
      <c r="AU202" s="137" t="str">
        <f t="shared" si="13"/>
        <v/>
      </c>
      <c r="AV202" s="138" t="str">
        <f t="shared" si="14"/>
        <v/>
      </c>
      <c r="AW202" s="138" t="str">
        <f t="shared" si="15"/>
        <v/>
      </c>
      <c r="AX202" s="139" t="str">
        <f>[1]!T.in.A[[#This Row],[ID_T_manu]]</f>
        <v/>
      </c>
      <c r="AY202" s="140" t="str">
        <f>IF(ISNUMBER(Tab.o1[[#This Row],[a1]]),IF(AND(Tab.o1[[#This Row],[a1]]=1,Tab.o1[[#This Row],[b1]]&lt;=AY$4),#REF!,AY201),"")</f>
        <v/>
      </c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</row>
    <row r="203" spans="1:79" ht="14.25" hidden="1" customHeight="1">
      <c r="A203" s="109">
        <v>-8.0000000000000013E-6</v>
      </c>
      <c r="B203" s="110">
        <f t="shared" si="12"/>
        <v>203</v>
      </c>
      <c r="C203" s="111" t="str">
        <f>IF(C$1=[1]!T.in.A[[#This Row],[oo2]],1,"")</f>
        <v/>
      </c>
      <c r="D203" s="112" t="str">
        <f>IF(Tab.o1[[#This Row],[a1]]=1,IF(SUM(C203:C204)=0,0,IF(SUM(C202:C203)=1,1,IF(SUM(C202:C204)&gt;1,D202+1,0))),"")</f>
        <v/>
      </c>
      <c r="E203" s="113" t="str">
        <f>IF(Tab.o1[[#This Row],[a1]]=1,[1]!T.in.A[[#This Row],[oo1]],"")</f>
        <v/>
      </c>
      <c r="F203" s="113" t="str">
        <f>IF(Tab.o1[[#This Row],[a1]]=1,[1]!T.in.A[[#This Row],[pp1]],"")</f>
        <v/>
      </c>
      <c r="G203" s="114" t="str">
        <f>IF(Tab.o1[[#This Row],[a1]]=1,G$2+IF(G$1=1,0,Tab.o1[[#This Row],[.x1]])+[1]!T.in.A[[#This Row],[oo3]],"")</f>
        <v/>
      </c>
      <c r="H203" s="115" t="str">
        <f>IF(Tab.o1[[#This Row],[a1]]=1,IF(H$2=0,0,IF(G$1=1,0,Tab.o1[[#This Row],[.x1]])+[1]!T.in.A[[#This Row],[oo4]]),"")</f>
        <v/>
      </c>
      <c r="I203" s="116" t="str">
        <f>IF(Tab.o1[[#This Row],[a1]]=1,IF(J$2=0,Tab.o1[[#This Row],[MED]],Tab.o1[[#This Row],[MOD]]),"")</f>
        <v/>
      </c>
      <c r="J203" s="116" t="str">
        <f>IF(Tab.o1[[#This Row],[a1]]=1,((Tab.o1[[#This Row],[DIF_Target.]]-AVERAGE(Tab.o1[DIF_Target.]))/_xlfn.STDEV.P(Tab.o1[DIF_Target.])),"")</f>
        <v/>
      </c>
      <c r="K203" s="117" t="str">
        <f>IF(Tab.o1[[#This Row],[a1]]=1,IF(J$2=0,Tab.o1[[#This Row],[MOD]]-Tab.o1[[#This Row],[B]],IF(J$2=1,0,-Tab.o1[[#This Row],[MED]])+Tab.o1[[#This Row],[B]]),"")</f>
        <v/>
      </c>
      <c r="L203" s="117" t="str">
        <f ca="1">IF(Tab.o1[[#This Row],[DIF_Target]]=0,IF(L$2=0,Tab.o1[[#This Row],[DIF_Target]],AVERAGE(OFFSET(Tab.o1[[#This Row],[DIF_Target]],1,0,L$3,1)))/3,Tab.o1[[#This Row],[DIF_Target]])</f>
        <v/>
      </c>
      <c r="M203" s="118" t="str">
        <f>IF(Tab.o1[[#This Row],[a1]]=1,NORMSDIST(Tab.o1[[#This Row],[Za]]),"")</f>
        <v/>
      </c>
      <c r="N203" s="119" t="str">
        <f>IF(Tab.o1[[#This Row],[a1]]=1,((Tab.o1[[#This Row],[MedMod]]-AVERAGE(Tab.o1[MedMod]))/_xlfn.STDEV.P(Tab.o1[MedMod])*H$1205)+G$1205,"")</f>
        <v/>
      </c>
      <c r="O203" s="141" t="str">
        <f>IF(Tab.o1[[#This Row],[a1]]=1,Tab.o1[[#This Row],[Zb]]*_xlfn.STDEV.P(Tab.o1[MedMod])+AVERAGE(Tab.o1[MedMod]),"")</f>
        <v/>
      </c>
      <c r="P203" s="117" t="str">
        <f ca="1">IF(Tab.o1[[#This Row],[B]]=0,AVERAGE(OFFSET(Tab.o1[[#This Row],[B]],1,0,L$3,1)),Tab.o1[[#This Row],[B]])</f>
        <v/>
      </c>
      <c r="Q203" s="121" t="str">
        <f>IF(Tab.o1[[#This Row],[a1]]=1,NORMSDIST(Tab.o1[[#This Row],[Zb]]),"")</f>
        <v/>
      </c>
      <c r="R203" s="122" t="str">
        <f>IF(Tab.o1[[#This Row],[a1]]=1,((Tab.o1[[#This Row],[MedMod]]-AVERAGE(Tab.o1[MedMod]))/_xlfn.STDEV.P(Tab.o1[MedMod])*H$1203)+G$1203,"")</f>
        <v/>
      </c>
      <c r="S203" s="122" t="str">
        <f>IF(Tab.o1[[#This Row],[a1]]=1,((Tab.o1[[#This Row],[MedMod]]-AVERAGE(Tab.o1[MedMod]))/_xlfn.STDEV.P(Tab.o1[MedMod])*H$1204)+G$1204,"")</f>
        <v/>
      </c>
      <c r="T203" s="123" t="str">
        <f>IF(Tab.o1[[#This Row],[a1]]=1,Tab.o1[[#This Row],[Z-]]*_xlfn.STDEV.P(Tab.o1[B])+AVERAGE(Tab.o1[B]),"")</f>
        <v/>
      </c>
      <c r="U203" s="123" t="str">
        <f>IF(Tab.o1[[#This Row],[a1]]=1,Tab.o1[[#This Row],[z+]]*_xlfn.STDEV.P(Tab.o1[B])+AVERAGE(Tab.o1[B]),"")</f>
        <v/>
      </c>
      <c r="V203" s="124" t="str">
        <f>IF(Tab.o1[[#This Row],[a1]]=1,ABS((ABS(Tab.o1[[#This Row],[Red]]-Tab.o1[[#This Row],[Blue]]))),"")</f>
        <v/>
      </c>
      <c r="W203" s="125" t="str">
        <f>IF(Tab.o1[[#This Row],[a1]]=1,IF(W$3=0,1,Tab.o1[[#This Row],[Amp.]]*1/_xlfn.MINIFS(Tab.o1[Amp.],Tab.o1[Amp.],"&lt;&gt;0")),"")</f>
        <v/>
      </c>
      <c r="X203" s="126" t="str">
        <f>IF(Tab.o1[[#This Row],[a1]]=1,IF(ISNUMBER(Tab.o1[[#This Row],[i.]]),NORMDIST(Tab.o1[[#This Row],[Za]],0,1,FALSE)*Tab.o1[[#This Row],[i.]],AP$3),"")</f>
        <v/>
      </c>
      <c r="Y203" s="126" t="str">
        <f>IF(Tab.o1[[#This Row],[a1]]=1,0.01+0.94*Tab.o1[[#This Row],[PDF]]/MAX(Tab.o1[PDF]),"")</f>
        <v/>
      </c>
      <c r="Z203" s="126" t="str">
        <f>IF(Tab.o1[[#This Row],[a1]]=1,0.01+0.94*Tab.o1[[#This Row],[W1_PDF]]/MAX(Tab.o1[W1_PDF]),"")</f>
        <v/>
      </c>
      <c r="AA203" s="118" t="str">
        <f>IF(Tab.o1[[#This Row],[a1]]=1,ABS([1]!T.in.A[[#This Row],[oo6]]),"")</f>
        <v/>
      </c>
      <c r="AB203" s="127" t="str">
        <f>IF(Tab.o1[[#This Row],[a1]]=1,IF(AE$3=0,"",IF(AB$3=0,ABS([1]!T.in.A[[#This Row],[oo9]]),ABS(Tab.o1[[#This Row],[DIF_Target.]]*Tab.o1[[#This Row],[W1_PDF]]))),"")</f>
        <v/>
      </c>
      <c r="AC203" s="127" t="str">
        <f>IF(G$1=1,"",IF(Tab.o1[[#This Row],[a1]]=1,Tab.o1[[#This Row],[Wr]]^2,""))</f>
        <v/>
      </c>
      <c r="AD203" s="118" t="str">
        <f>IF(Tab.o1[[#This Row],[a1]]=1,IF(AE$3=0,"",Tab.o1[[#This Row],[Wr2]]/SUM(Tab.o1[Wr2])),"")</f>
        <v/>
      </c>
      <c r="AE203" s="128" t="str">
        <f>IF(Tab.o1[[#This Row],[a1]]=1,[1]!T.in.A[[#This Row],[oo10]],"")</f>
        <v/>
      </c>
      <c r="AF203" s="118" t="str">
        <f>IF(Tab.o1[[#This Row],[a1]]=1,ABS(Tab.o1[[#This Row],[DIF_Target.]]*Tab.o1[[#This Row],[PDF2]]*Tab.o1[[#This Row],[IN]]),"")</f>
        <v/>
      </c>
      <c r="AG203" s="129" t="str">
        <f>IF(Tab.o1[[#This Row],[a1]]=1,Tab.o1[[#This Row],[rW]]^2,"")</f>
        <v/>
      </c>
      <c r="AH203" s="130" t="str">
        <f>IF(Tab.o1[[#This Row],[a1]]=1,IF(AH$3=0,Tab.o1[[#This Row],[rW2]],0.01+0.94*Tab.o1[[#This Row],[rW2]]/SUM(Tab.o1[rW2])),"")</f>
        <v/>
      </c>
      <c r="AI203" s="128" t="str">
        <f>IF(Tab.o1[[#This Row],[a1]]=1,1/Tab.o1[[#This Row],[PDF]],"")</f>
        <v/>
      </c>
      <c r="AJ203" s="131" t="str">
        <f>IF(Tab.o1[[#This Row],[a1]]=1,[1]!T_AA[[#This Row],[IN'']]*[1]!T_AA[[#This Row],[Qde'']],"")</f>
        <v/>
      </c>
      <c r="AK203" s="132" t="str">
        <f>IF(Tab.o1[[#This Row],[a1]]=1,IF(AK$1=1,Tab.o1[[#This Row],[MED]]+Tab.o1[[#This Row],[MOD]]-Tab.o1[[#This Row],[MED]],""),"")</f>
        <v/>
      </c>
      <c r="AL203" s="133" t="str">
        <f>IF(Tab.o1[[#This Row],[a1]]=1,[1]!T.in.A[[#This Row],[oo16]],"")</f>
        <v/>
      </c>
      <c r="AM203" s="133" t="str">
        <f>IF(Tab.o1[[#This Row],[a1]]=1,IF(AM$3=1,[1]!T.in.A[[#This Row],[Σo16]],""),"")</f>
        <v/>
      </c>
      <c r="AN203" s="126" t="str">
        <f>IF(Tab.o1[[#This Row],[a1]]=1,[1]!T.in.A[[#This Row],[Σp5]],"")</f>
        <v/>
      </c>
      <c r="AO203" s="126" t="str">
        <f>IF(Tab.o1[[#This Row],[a1]]=1,IF(AO$3=1,[1]!T.in.A[[#This Row],[Σp5]],""),"")</f>
        <v/>
      </c>
      <c r="AP203" s="110" t="str">
        <f>IF(Tab.o1[[#This Row],[a1]]=1,IF(ISNUMBER(Tab.o1[[#This Row],[i.]]),NORMDIST(Tab.o1[[#This Row],[Za]],0,1,FALSE)*Tab.o1[[#This Row],[i.]],0),"")</f>
        <v/>
      </c>
      <c r="AQ203" s="125" t="str">
        <f>IF(Tab.o1[[#This Row],[a1]]=1,ABS(Tab.o1[[#This Row],[MOD]]-AVERAGE(Tab.o1[MOD])),"")</f>
        <v/>
      </c>
      <c r="AR203" s="134" t="str">
        <f>IF(Tab.o1[[#This Row],[a1]]=1,Tab.o1[[#This Row],[OBS]]/SUM(Tab.o1[OBS]),"")</f>
        <v/>
      </c>
      <c r="AS203" s="135" t="str">
        <f>IF(ISNUMBER(Tab.o1[[#This Row],[a1]]),ROW()-4,"")</f>
        <v/>
      </c>
      <c r="AT203" s="136" t="str">
        <f>Tab.o1[[#This Row],[MOD]]</f>
        <v/>
      </c>
      <c r="AU203" s="137" t="str">
        <f t="shared" si="13"/>
        <v/>
      </c>
      <c r="AV203" s="138" t="str">
        <f t="shared" si="14"/>
        <v/>
      </c>
      <c r="AW203" s="138" t="str">
        <f t="shared" si="15"/>
        <v/>
      </c>
      <c r="AX203" s="139" t="str">
        <f>[1]!T.in.A[[#This Row],[ID_T_manu]]</f>
        <v/>
      </c>
      <c r="AY203" s="140" t="str">
        <f>IF(ISNUMBER(Tab.o1[[#This Row],[a1]]),IF(AND(Tab.o1[[#This Row],[a1]]=1,Tab.o1[[#This Row],[b1]]&lt;=AY$4),#REF!,AY202),"")</f>
        <v/>
      </c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</row>
    <row r="204" spans="1:79" ht="14.25" hidden="1" customHeight="1">
      <c r="A204" s="109">
        <v>-1.0000000000000002E-6</v>
      </c>
      <c r="B204" s="110">
        <f t="shared" si="12"/>
        <v>204</v>
      </c>
      <c r="C204" s="111" t="str">
        <f>IF(C$1=[1]!T.in.A[[#This Row],[oo2]],1,"")</f>
        <v/>
      </c>
      <c r="D204" s="112" t="str">
        <f>IF(Tab.o1[[#This Row],[a1]]=1,IF(SUM(C204:C205)=0,0,IF(SUM(C203:C204)=1,1,IF(SUM(C203:C205)&gt;1,D203+1,0))),"")</f>
        <v/>
      </c>
      <c r="E204" s="113" t="str">
        <f>IF(Tab.o1[[#This Row],[a1]]=1,[1]!T.in.A[[#This Row],[oo1]],"")</f>
        <v/>
      </c>
      <c r="F204" s="113" t="str">
        <f>IF(Tab.o1[[#This Row],[a1]]=1,[1]!T.in.A[[#This Row],[pp1]],"")</f>
        <v/>
      </c>
      <c r="G204" s="114" t="str">
        <f>IF(Tab.o1[[#This Row],[a1]]=1,G$2+IF(G$1=1,0,Tab.o1[[#This Row],[.x1]])+[1]!T.in.A[[#This Row],[oo3]],"")</f>
        <v/>
      </c>
      <c r="H204" s="115" t="str">
        <f>IF(Tab.o1[[#This Row],[a1]]=1,IF(H$2=0,0,IF(G$1=1,0,Tab.o1[[#This Row],[.x1]])+[1]!T.in.A[[#This Row],[oo4]]),"")</f>
        <v/>
      </c>
      <c r="I204" s="116" t="str">
        <f>IF(Tab.o1[[#This Row],[a1]]=1,IF(J$2=0,Tab.o1[[#This Row],[MED]],Tab.o1[[#This Row],[MOD]]),"")</f>
        <v/>
      </c>
      <c r="J204" s="116" t="str">
        <f>IF(Tab.o1[[#This Row],[a1]]=1,((Tab.o1[[#This Row],[DIF_Target.]]-AVERAGE(Tab.o1[DIF_Target.]))/_xlfn.STDEV.P(Tab.o1[DIF_Target.])),"")</f>
        <v/>
      </c>
      <c r="K204" s="117" t="str">
        <f>IF(Tab.o1[[#This Row],[a1]]=1,IF(J$2=0,Tab.o1[[#This Row],[MOD]]-Tab.o1[[#This Row],[B]],IF(J$2=1,0,-Tab.o1[[#This Row],[MED]])+Tab.o1[[#This Row],[B]]),"")</f>
        <v/>
      </c>
      <c r="L204" s="117" t="str">
        <f ca="1">IF(Tab.o1[[#This Row],[DIF_Target]]=0,IF(L$2=0,Tab.o1[[#This Row],[DIF_Target]],AVERAGE(OFFSET(Tab.o1[[#This Row],[DIF_Target]],1,0,L$3,1)))/3,Tab.o1[[#This Row],[DIF_Target]])</f>
        <v/>
      </c>
      <c r="M204" s="118" t="str">
        <f>IF(Tab.o1[[#This Row],[a1]]=1,NORMSDIST(Tab.o1[[#This Row],[Za]]),"")</f>
        <v/>
      </c>
      <c r="N204" s="119" t="str">
        <f>IF(Tab.o1[[#This Row],[a1]]=1,((Tab.o1[[#This Row],[MedMod]]-AVERAGE(Tab.o1[MedMod]))/_xlfn.STDEV.P(Tab.o1[MedMod])*H$1205)+G$1205,"")</f>
        <v/>
      </c>
      <c r="O204" s="141" t="str">
        <f>IF(Tab.o1[[#This Row],[a1]]=1,Tab.o1[[#This Row],[Zb]]*_xlfn.STDEV.P(Tab.o1[MedMod])+AVERAGE(Tab.o1[MedMod]),"")</f>
        <v/>
      </c>
      <c r="P204" s="117" t="str">
        <f ca="1">IF(Tab.o1[[#This Row],[B]]=0,AVERAGE(OFFSET(Tab.o1[[#This Row],[B]],1,0,L$3,1)),Tab.o1[[#This Row],[B]])</f>
        <v/>
      </c>
      <c r="Q204" s="121" t="str">
        <f>IF(Tab.o1[[#This Row],[a1]]=1,NORMSDIST(Tab.o1[[#This Row],[Zb]]),"")</f>
        <v/>
      </c>
      <c r="R204" s="122" t="str">
        <f>IF(Tab.o1[[#This Row],[a1]]=1,((Tab.o1[[#This Row],[MedMod]]-AVERAGE(Tab.o1[MedMod]))/_xlfn.STDEV.P(Tab.o1[MedMod])*H$1203)+G$1203,"")</f>
        <v/>
      </c>
      <c r="S204" s="122" t="str">
        <f>IF(Tab.o1[[#This Row],[a1]]=1,((Tab.o1[[#This Row],[MedMod]]-AVERAGE(Tab.o1[MedMod]))/_xlfn.STDEV.P(Tab.o1[MedMod])*H$1204)+G$1204,"")</f>
        <v/>
      </c>
      <c r="T204" s="123" t="str">
        <f>IF(Tab.o1[[#This Row],[a1]]=1,Tab.o1[[#This Row],[Z-]]*_xlfn.STDEV.P(Tab.o1[B])+AVERAGE(Tab.o1[B]),"")</f>
        <v/>
      </c>
      <c r="U204" s="123" t="str">
        <f>IF(Tab.o1[[#This Row],[a1]]=1,Tab.o1[[#This Row],[z+]]*_xlfn.STDEV.P(Tab.o1[B])+AVERAGE(Tab.o1[B]),"")</f>
        <v/>
      </c>
      <c r="V204" s="124" t="str">
        <f>IF(Tab.o1[[#This Row],[a1]]=1,ABS((ABS(Tab.o1[[#This Row],[Red]]-Tab.o1[[#This Row],[Blue]]))),"")</f>
        <v/>
      </c>
      <c r="W204" s="125" t="str">
        <f>IF(Tab.o1[[#This Row],[a1]]=1,IF(W$3=0,1,Tab.o1[[#This Row],[Amp.]]*1/_xlfn.MINIFS(Tab.o1[Amp.],Tab.o1[Amp.],"&lt;&gt;0")),"")</f>
        <v/>
      </c>
      <c r="X204" s="126" t="str">
        <f>IF(Tab.o1[[#This Row],[a1]]=1,IF(ISNUMBER(Tab.o1[[#This Row],[i.]]),NORMDIST(Tab.o1[[#This Row],[Za]],0,1,FALSE)*Tab.o1[[#This Row],[i.]],AP$3),"")</f>
        <v/>
      </c>
      <c r="Y204" s="126" t="str">
        <f>IF(Tab.o1[[#This Row],[a1]]=1,0.01+0.94*Tab.o1[[#This Row],[PDF]]/MAX(Tab.o1[PDF]),"")</f>
        <v/>
      </c>
      <c r="Z204" s="126" t="str">
        <f>IF(Tab.o1[[#This Row],[a1]]=1,0.01+0.94*Tab.o1[[#This Row],[W1_PDF]]/MAX(Tab.o1[W1_PDF]),"")</f>
        <v/>
      </c>
      <c r="AA204" s="118" t="str">
        <f>IF(Tab.o1[[#This Row],[a1]]=1,ABS([1]!T.in.A[[#This Row],[oo6]]),"")</f>
        <v/>
      </c>
      <c r="AB204" s="127" t="str">
        <f>IF(Tab.o1[[#This Row],[a1]]=1,IF(AE$3=0,"",IF(AB$3=0,ABS([1]!T.in.A[[#This Row],[oo9]]),ABS(Tab.o1[[#This Row],[DIF_Target.]]*Tab.o1[[#This Row],[W1_PDF]]))),"")</f>
        <v/>
      </c>
      <c r="AC204" s="127" t="str">
        <f>IF(G$1=1,"",IF(Tab.o1[[#This Row],[a1]]=1,Tab.o1[[#This Row],[Wr]]^2,""))</f>
        <v/>
      </c>
      <c r="AD204" s="118" t="str">
        <f>IF(Tab.o1[[#This Row],[a1]]=1,IF(AE$3=0,"",Tab.o1[[#This Row],[Wr2]]/SUM(Tab.o1[Wr2])),"")</f>
        <v/>
      </c>
      <c r="AE204" s="128" t="str">
        <f>IF(Tab.o1[[#This Row],[a1]]=1,[1]!T.in.A[[#This Row],[oo10]],"")</f>
        <v/>
      </c>
      <c r="AF204" s="118" t="str">
        <f>IF(Tab.o1[[#This Row],[a1]]=1,ABS(Tab.o1[[#This Row],[DIF_Target.]]*Tab.o1[[#This Row],[PDF2]]*Tab.o1[[#This Row],[IN]]),"")</f>
        <v/>
      </c>
      <c r="AG204" s="129" t="str">
        <f>IF(Tab.o1[[#This Row],[a1]]=1,Tab.o1[[#This Row],[rW]]^2,"")</f>
        <v/>
      </c>
      <c r="AH204" s="130" t="str">
        <f>IF(Tab.o1[[#This Row],[a1]]=1,IF(AH$3=0,Tab.o1[[#This Row],[rW2]],0.01+0.94*Tab.o1[[#This Row],[rW2]]/SUM(Tab.o1[rW2])),"")</f>
        <v/>
      </c>
      <c r="AI204" s="128" t="str">
        <f>IF(Tab.o1[[#This Row],[a1]]=1,1/Tab.o1[[#This Row],[PDF]],"")</f>
        <v/>
      </c>
      <c r="AJ204" s="131" t="str">
        <f>IF(Tab.o1[[#This Row],[a1]]=1,[1]!T_AA[[#This Row],[IN'']]*[1]!T_AA[[#This Row],[Qde'']],"")</f>
        <v/>
      </c>
      <c r="AK204" s="132" t="str">
        <f>IF(Tab.o1[[#This Row],[a1]]=1,IF(AK$1=1,Tab.o1[[#This Row],[MED]]+Tab.o1[[#This Row],[MOD]]-Tab.o1[[#This Row],[MED]],""),"")</f>
        <v/>
      </c>
      <c r="AL204" s="133" t="str">
        <f>IF(Tab.o1[[#This Row],[a1]]=1,[1]!T.in.A[[#This Row],[oo16]],"")</f>
        <v/>
      </c>
      <c r="AM204" s="133" t="str">
        <f>IF(Tab.o1[[#This Row],[a1]]=1,IF(AM$3=1,[1]!T.in.A[[#This Row],[Σo16]],""),"")</f>
        <v/>
      </c>
      <c r="AN204" s="126" t="str">
        <f>IF(Tab.o1[[#This Row],[a1]]=1,[1]!T.in.A[[#This Row],[Σp5]],"")</f>
        <v/>
      </c>
      <c r="AO204" s="126" t="str">
        <f>IF(Tab.o1[[#This Row],[a1]]=1,IF(AO$3=1,[1]!T.in.A[[#This Row],[Σp5]],""),"")</f>
        <v/>
      </c>
      <c r="AP204" s="110" t="str">
        <f>IF(Tab.o1[[#This Row],[a1]]=1,IF(ISNUMBER(Tab.o1[[#This Row],[i.]]),NORMDIST(Tab.o1[[#This Row],[Za]],0,1,FALSE)*Tab.o1[[#This Row],[i.]],0),"")</f>
        <v/>
      </c>
      <c r="AQ204" s="125" t="str">
        <f>IF(Tab.o1[[#This Row],[a1]]=1,ABS(Tab.o1[[#This Row],[MOD]]-AVERAGE(Tab.o1[MOD])),"")</f>
        <v/>
      </c>
      <c r="AR204" s="134" t="str">
        <f>IF(Tab.o1[[#This Row],[a1]]=1,Tab.o1[[#This Row],[OBS]]/SUM(Tab.o1[OBS]),"")</f>
        <v/>
      </c>
      <c r="AS204" s="135" t="str">
        <f>IF(ISNUMBER(Tab.o1[[#This Row],[a1]]),ROW()-4,"")</f>
        <v/>
      </c>
      <c r="AT204" s="136" t="str">
        <f>Tab.o1[[#This Row],[MOD]]</f>
        <v/>
      </c>
      <c r="AU204" s="137" t="str">
        <f t="shared" si="13"/>
        <v/>
      </c>
      <c r="AV204" s="138" t="str">
        <f t="shared" si="14"/>
        <v/>
      </c>
      <c r="AW204" s="138" t="str">
        <f t="shared" si="15"/>
        <v/>
      </c>
      <c r="AX204" s="139" t="str">
        <f>[1]!T.in.A[[#This Row],[ID_T_manu]]</f>
        <v/>
      </c>
      <c r="AY204" s="140" t="str">
        <f>IF(ISNUMBER(Tab.o1[[#This Row],[a1]]),IF(AND(Tab.o1[[#This Row],[a1]]=1,Tab.o1[[#This Row],[b1]]&lt;=AY$4),#REF!,AY203),"")</f>
        <v/>
      </c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</row>
    <row r="205" spans="1:79" ht="14.25" hidden="1" customHeight="1">
      <c r="A205" s="109">
        <v>-9.0000000000000002E-6</v>
      </c>
      <c r="B205" s="110">
        <f t="shared" si="12"/>
        <v>205</v>
      </c>
      <c r="C205" s="111" t="str">
        <f>IF(C$1=[1]!T.in.A[[#This Row],[oo2]],1,"")</f>
        <v/>
      </c>
      <c r="D205" s="112" t="str">
        <f>IF(Tab.o1[[#This Row],[a1]]=1,IF(SUM(C205:C206)=0,0,IF(SUM(C204:C205)=1,1,IF(SUM(C204:C206)&gt;1,D204+1,0))),"")</f>
        <v/>
      </c>
      <c r="E205" s="113" t="str">
        <f>IF(Tab.o1[[#This Row],[a1]]=1,[1]!T.in.A[[#This Row],[oo1]],"")</f>
        <v/>
      </c>
      <c r="F205" s="113" t="str">
        <f>IF(Tab.o1[[#This Row],[a1]]=1,[1]!T.in.A[[#This Row],[pp1]],"")</f>
        <v/>
      </c>
      <c r="G205" s="114" t="str">
        <f>IF(Tab.o1[[#This Row],[a1]]=1,G$2+IF(G$1=1,0,Tab.o1[[#This Row],[.x1]])+[1]!T.in.A[[#This Row],[oo3]],"")</f>
        <v/>
      </c>
      <c r="H205" s="115" t="str">
        <f>IF(Tab.o1[[#This Row],[a1]]=1,IF(H$2=0,0,IF(G$1=1,0,Tab.o1[[#This Row],[.x1]])+[1]!T.in.A[[#This Row],[oo4]]),"")</f>
        <v/>
      </c>
      <c r="I205" s="116" t="str">
        <f>IF(Tab.o1[[#This Row],[a1]]=1,IF(J$2=0,Tab.o1[[#This Row],[MED]],Tab.o1[[#This Row],[MOD]]),"")</f>
        <v/>
      </c>
      <c r="J205" s="116" t="str">
        <f>IF(Tab.o1[[#This Row],[a1]]=1,((Tab.o1[[#This Row],[DIF_Target.]]-AVERAGE(Tab.o1[DIF_Target.]))/_xlfn.STDEV.P(Tab.o1[DIF_Target.])),"")</f>
        <v/>
      </c>
      <c r="K205" s="117" t="str">
        <f>IF(Tab.o1[[#This Row],[a1]]=1,IF(J$2=0,Tab.o1[[#This Row],[MOD]]-Tab.o1[[#This Row],[B]],IF(J$2=1,0,-Tab.o1[[#This Row],[MED]])+Tab.o1[[#This Row],[B]]),"")</f>
        <v/>
      </c>
      <c r="L205" s="117" t="str">
        <f ca="1">IF(Tab.o1[[#This Row],[DIF_Target]]=0,IF(L$2=0,Tab.o1[[#This Row],[DIF_Target]],AVERAGE(OFFSET(Tab.o1[[#This Row],[DIF_Target]],1,0,L$3,1)))/3,Tab.o1[[#This Row],[DIF_Target]])</f>
        <v/>
      </c>
      <c r="M205" s="118" t="str">
        <f>IF(Tab.o1[[#This Row],[a1]]=1,NORMSDIST(Tab.o1[[#This Row],[Za]]),"")</f>
        <v/>
      </c>
      <c r="N205" s="119" t="str">
        <f>IF(Tab.o1[[#This Row],[a1]]=1,((Tab.o1[[#This Row],[MedMod]]-AVERAGE(Tab.o1[MedMod]))/_xlfn.STDEV.P(Tab.o1[MedMod])*H$1205)+G$1205,"")</f>
        <v/>
      </c>
      <c r="O205" s="141" t="str">
        <f>IF(Tab.o1[[#This Row],[a1]]=1,Tab.o1[[#This Row],[Zb]]*_xlfn.STDEV.P(Tab.o1[MedMod])+AVERAGE(Tab.o1[MedMod]),"")</f>
        <v/>
      </c>
      <c r="P205" s="117" t="str">
        <f ca="1">IF(Tab.o1[[#This Row],[B]]=0,AVERAGE(OFFSET(Tab.o1[[#This Row],[B]],1,0,L$3,1)),Tab.o1[[#This Row],[B]])</f>
        <v/>
      </c>
      <c r="Q205" s="121" t="str">
        <f>IF(Tab.o1[[#This Row],[a1]]=1,NORMSDIST(Tab.o1[[#This Row],[Zb]]),"")</f>
        <v/>
      </c>
      <c r="R205" s="122" t="str">
        <f>IF(Tab.o1[[#This Row],[a1]]=1,((Tab.o1[[#This Row],[MedMod]]-AVERAGE(Tab.o1[MedMod]))/_xlfn.STDEV.P(Tab.o1[MedMod])*H$1203)+G$1203,"")</f>
        <v/>
      </c>
      <c r="S205" s="122" t="str">
        <f>IF(Tab.o1[[#This Row],[a1]]=1,((Tab.o1[[#This Row],[MedMod]]-AVERAGE(Tab.o1[MedMod]))/_xlfn.STDEV.P(Tab.o1[MedMod])*H$1204)+G$1204,"")</f>
        <v/>
      </c>
      <c r="T205" s="123" t="str">
        <f>IF(Tab.o1[[#This Row],[a1]]=1,Tab.o1[[#This Row],[Z-]]*_xlfn.STDEV.P(Tab.o1[B])+AVERAGE(Tab.o1[B]),"")</f>
        <v/>
      </c>
      <c r="U205" s="123" t="str">
        <f>IF(Tab.o1[[#This Row],[a1]]=1,Tab.o1[[#This Row],[z+]]*_xlfn.STDEV.P(Tab.o1[B])+AVERAGE(Tab.o1[B]),"")</f>
        <v/>
      </c>
      <c r="V205" s="124" t="str">
        <f>IF(Tab.o1[[#This Row],[a1]]=1,ABS((ABS(Tab.o1[[#This Row],[Red]]-Tab.o1[[#This Row],[Blue]]))),"")</f>
        <v/>
      </c>
      <c r="W205" s="125" t="str">
        <f>IF(Tab.o1[[#This Row],[a1]]=1,IF(W$3=0,1,Tab.o1[[#This Row],[Amp.]]*1/_xlfn.MINIFS(Tab.o1[Amp.],Tab.o1[Amp.],"&lt;&gt;0")),"")</f>
        <v/>
      </c>
      <c r="X205" s="126" t="str">
        <f>IF(Tab.o1[[#This Row],[a1]]=1,IF(ISNUMBER(Tab.o1[[#This Row],[i.]]),NORMDIST(Tab.o1[[#This Row],[Za]],0,1,FALSE)*Tab.o1[[#This Row],[i.]],AP$3),"")</f>
        <v/>
      </c>
      <c r="Y205" s="126" t="str">
        <f>IF(Tab.o1[[#This Row],[a1]]=1,0.01+0.94*Tab.o1[[#This Row],[PDF]]/MAX(Tab.o1[PDF]),"")</f>
        <v/>
      </c>
      <c r="Z205" s="126" t="str">
        <f>IF(Tab.o1[[#This Row],[a1]]=1,0.01+0.94*Tab.o1[[#This Row],[W1_PDF]]/MAX(Tab.o1[W1_PDF]),"")</f>
        <v/>
      </c>
      <c r="AA205" s="118" t="str">
        <f>IF(Tab.o1[[#This Row],[a1]]=1,ABS([1]!T.in.A[[#This Row],[oo6]]),"")</f>
        <v/>
      </c>
      <c r="AB205" s="127" t="str">
        <f>IF(Tab.o1[[#This Row],[a1]]=1,IF(AE$3=0,"",IF(AB$3=0,ABS([1]!T.in.A[[#This Row],[oo9]]),ABS(Tab.o1[[#This Row],[DIF_Target.]]*Tab.o1[[#This Row],[W1_PDF]]))),"")</f>
        <v/>
      </c>
      <c r="AC205" s="127" t="str">
        <f>IF(G$1=1,"",IF(Tab.o1[[#This Row],[a1]]=1,Tab.o1[[#This Row],[Wr]]^2,""))</f>
        <v/>
      </c>
      <c r="AD205" s="118" t="str">
        <f>IF(Tab.o1[[#This Row],[a1]]=1,IF(AE$3=0,"",Tab.o1[[#This Row],[Wr2]]/SUM(Tab.o1[Wr2])),"")</f>
        <v/>
      </c>
      <c r="AE205" s="128" t="str">
        <f>IF(Tab.o1[[#This Row],[a1]]=1,[1]!T.in.A[[#This Row],[oo10]],"")</f>
        <v/>
      </c>
      <c r="AF205" s="118" t="str">
        <f>IF(Tab.o1[[#This Row],[a1]]=1,ABS(Tab.o1[[#This Row],[DIF_Target.]]*Tab.o1[[#This Row],[PDF2]]*Tab.o1[[#This Row],[IN]]),"")</f>
        <v/>
      </c>
      <c r="AG205" s="129" t="str">
        <f>IF(Tab.o1[[#This Row],[a1]]=1,Tab.o1[[#This Row],[rW]]^2,"")</f>
        <v/>
      </c>
      <c r="AH205" s="130" t="str">
        <f>IF(Tab.o1[[#This Row],[a1]]=1,IF(AH$3=0,Tab.o1[[#This Row],[rW2]],0.01+0.94*Tab.o1[[#This Row],[rW2]]/SUM(Tab.o1[rW2])),"")</f>
        <v/>
      </c>
      <c r="AI205" s="128" t="str">
        <f>IF(Tab.o1[[#This Row],[a1]]=1,1/Tab.o1[[#This Row],[PDF]],"")</f>
        <v/>
      </c>
      <c r="AJ205" s="131" t="str">
        <f>IF(Tab.o1[[#This Row],[a1]]=1,[1]!T_AA[[#This Row],[IN'']]*[1]!T_AA[[#This Row],[Qde'']],"")</f>
        <v/>
      </c>
      <c r="AK205" s="132" t="str">
        <f>IF(Tab.o1[[#This Row],[a1]]=1,IF(AK$1=1,Tab.o1[[#This Row],[MED]]+Tab.o1[[#This Row],[MOD]]-Tab.o1[[#This Row],[MED]],""),"")</f>
        <v/>
      </c>
      <c r="AL205" s="133" t="str">
        <f>IF(Tab.o1[[#This Row],[a1]]=1,[1]!T.in.A[[#This Row],[oo16]],"")</f>
        <v/>
      </c>
      <c r="AM205" s="133" t="str">
        <f>IF(Tab.o1[[#This Row],[a1]]=1,IF(AM$3=1,[1]!T.in.A[[#This Row],[Σo16]],""),"")</f>
        <v/>
      </c>
      <c r="AN205" s="126" t="str">
        <f>IF(Tab.o1[[#This Row],[a1]]=1,[1]!T.in.A[[#This Row],[Σp5]],"")</f>
        <v/>
      </c>
      <c r="AO205" s="126" t="str">
        <f>IF(Tab.o1[[#This Row],[a1]]=1,IF(AO$3=1,[1]!T.in.A[[#This Row],[Σp5]],""),"")</f>
        <v/>
      </c>
      <c r="AP205" s="110" t="str">
        <f>IF(Tab.o1[[#This Row],[a1]]=1,IF(ISNUMBER(Tab.o1[[#This Row],[i.]]),NORMDIST(Tab.o1[[#This Row],[Za]],0,1,FALSE)*Tab.o1[[#This Row],[i.]],0),"")</f>
        <v/>
      </c>
      <c r="AQ205" s="125" t="str">
        <f>IF(Tab.o1[[#This Row],[a1]]=1,ABS(Tab.o1[[#This Row],[MOD]]-AVERAGE(Tab.o1[MOD])),"")</f>
        <v/>
      </c>
      <c r="AR205" s="134" t="str">
        <f>IF(Tab.o1[[#This Row],[a1]]=1,Tab.o1[[#This Row],[OBS]]/SUM(Tab.o1[OBS]),"")</f>
        <v/>
      </c>
      <c r="AS205" s="135" t="str">
        <f>IF(ISNUMBER(Tab.o1[[#This Row],[a1]]),ROW()-4,"")</f>
        <v/>
      </c>
      <c r="AT205" s="136" t="str">
        <f>Tab.o1[[#This Row],[MOD]]</f>
        <v/>
      </c>
      <c r="AU205" s="137" t="str">
        <f t="shared" si="13"/>
        <v/>
      </c>
      <c r="AV205" s="138" t="str">
        <f t="shared" si="14"/>
        <v/>
      </c>
      <c r="AW205" s="138" t="str">
        <f t="shared" si="15"/>
        <v/>
      </c>
      <c r="AX205" s="139" t="str">
        <f>[1]!T.in.A[[#This Row],[ID_T_manu]]</f>
        <v/>
      </c>
      <c r="AY205" s="140" t="str">
        <f>IF(ISNUMBER(Tab.o1[[#This Row],[a1]]),IF(AND(Tab.o1[[#This Row],[a1]]=1,Tab.o1[[#This Row],[b1]]&lt;=AY$4),#REF!,AY204),"")</f>
        <v/>
      </c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</row>
    <row r="206" spans="1:79" ht="14.25" hidden="1" customHeight="1">
      <c r="A206" s="109">
        <v>9.0000000000000002E-6</v>
      </c>
      <c r="B206" s="110">
        <f t="shared" si="12"/>
        <v>206</v>
      </c>
      <c r="C206" s="111" t="str">
        <f>IF(C$1=[1]!T.in.A[[#This Row],[oo2]],1,"")</f>
        <v/>
      </c>
      <c r="D206" s="112" t="str">
        <f>IF(Tab.o1[[#This Row],[a1]]=1,IF(SUM(C206:C207)=0,0,IF(SUM(C205:C206)=1,1,IF(SUM(C205:C207)&gt;1,D205+1,0))),"")</f>
        <v/>
      </c>
      <c r="E206" s="113" t="str">
        <f>IF(Tab.o1[[#This Row],[a1]]=1,[1]!T.in.A[[#This Row],[oo1]],"")</f>
        <v/>
      </c>
      <c r="F206" s="113" t="str">
        <f>IF(Tab.o1[[#This Row],[a1]]=1,[1]!T.in.A[[#This Row],[pp1]],"")</f>
        <v/>
      </c>
      <c r="G206" s="114" t="str">
        <f>IF(Tab.o1[[#This Row],[a1]]=1,G$2+IF(G$1=1,0,Tab.o1[[#This Row],[.x1]])+[1]!T.in.A[[#This Row],[oo3]],"")</f>
        <v/>
      </c>
      <c r="H206" s="115" t="str">
        <f>IF(Tab.o1[[#This Row],[a1]]=1,IF(H$2=0,0,IF(G$1=1,0,Tab.o1[[#This Row],[.x1]])+[1]!T.in.A[[#This Row],[oo4]]),"")</f>
        <v/>
      </c>
      <c r="I206" s="116" t="str">
        <f>IF(Tab.o1[[#This Row],[a1]]=1,IF(J$2=0,Tab.o1[[#This Row],[MED]],Tab.o1[[#This Row],[MOD]]),"")</f>
        <v/>
      </c>
      <c r="J206" s="116" t="str">
        <f>IF(Tab.o1[[#This Row],[a1]]=1,((Tab.o1[[#This Row],[DIF_Target.]]-AVERAGE(Tab.o1[DIF_Target.]))/_xlfn.STDEV.P(Tab.o1[DIF_Target.])),"")</f>
        <v/>
      </c>
      <c r="K206" s="117" t="str">
        <f>IF(Tab.o1[[#This Row],[a1]]=1,IF(J$2=0,Tab.o1[[#This Row],[MOD]]-Tab.o1[[#This Row],[B]],IF(J$2=1,0,-Tab.o1[[#This Row],[MED]])+Tab.o1[[#This Row],[B]]),"")</f>
        <v/>
      </c>
      <c r="L206" s="117" t="str">
        <f ca="1">IF(Tab.o1[[#This Row],[DIF_Target]]=0,IF(L$2=0,Tab.o1[[#This Row],[DIF_Target]],AVERAGE(OFFSET(Tab.o1[[#This Row],[DIF_Target]],1,0,L$3,1)))/3,Tab.o1[[#This Row],[DIF_Target]])</f>
        <v/>
      </c>
      <c r="M206" s="118" t="str">
        <f>IF(Tab.o1[[#This Row],[a1]]=1,NORMSDIST(Tab.o1[[#This Row],[Za]]),"")</f>
        <v/>
      </c>
      <c r="N206" s="119" t="str">
        <f>IF(Tab.o1[[#This Row],[a1]]=1,((Tab.o1[[#This Row],[MedMod]]-AVERAGE(Tab.o1[MedMod]))/_xlfn.STDEV.P(Tab.o1[MedMod])*H$1205)+G$1205,"")</f>
        <v/>
      </c>
      <c r="O206" s="141" t="str">
        <f>IF(Tab.o1[[#This Row],[a1]]=1,Tab.o1[[#This Row],[Zb]]*_xlfn.STDEV.P(Tab.o1[MedMod])+AVERAGE(Tab.o1[MedMod]),"")</f>
        <v/>
      </c>
      <c r="P206" s="117" t="str">
        <f ca="1">IF(Tab.o1[[#This Row],[B]]=0,AVERAGE(OFFSET(Tab.o1[[#This Row],[B]],1,0,L$3,1)),Tab.o1[[#This Row],[B]])</f>
        <v/>
      </c>
      <c r="Q206" s="121" t="str">
        <f>IF(Tab.o1[[#This Row],[a1]]=1,NORMSDIST(Tab.o1[[#This Row],[Zb]]),"")</f>
        <v/>
      </c>
      <c r="R206" s="122" t="str">
        <f>IF(Tab.o1[[#This Row],[a1]]=1,((Tab.o1[[#This Row],[MedMod]]-AVERAGE(Tab.o1[MedMod]))/_xlfn.STDEV.P(Tab.o1[MedMod])*H$1203)+G$1203,"")</f>
        <v/>
      </c>
      <c r="S206" s="122" t="str">
        <f>IF(Tab.o1[[#This Row],[a1]]=1,((Tab.o1[[#This Row],[MedMod]]-AVERAGE(Tab.o1[MedMod]))/_xlfn.STDEV.P(Tab.o1[MedMod])*H$1204)+G$1204,"")</f>
        <v/>
      </c>
      <c r="T206" s="123" t="str">
        <f>IF(Tab.o1[[#This Row],[a1]]=1,Tab.o1[[#This Row],[Z-]]*_xlfn.STDEV.P(Tab.o1[B])+AVERAGE(Tab.o1[B]),"")</f>
        <v/>
      </c>
      <c r="U206" s="123" t="str">
        <f>IF(Tab.o1[[#This Row],[a1]]=1,Tab.o1[[#This Row],[z+]]*_xlfn.STDEV.P(Tab.o1[B])+AVERAGE(Tab.o1[B]),"")</f>
        <v/>
      </c>
      <c r="V206" s="124" t="str">
        <f>IF(Tab.o1[[#This Row],[a1]]=1,ABS((ABS(Tab.o1[[#This Row],[Red]]-Tab.o1[[#This Row],[Blue]]))),"")</f>
        <v/>
      </c>
      <c r="W206" s="125" t="str">
        <f>IF(Tab.o1[[#This Row],[a1]]=1,IF(W$3=0,1,Tab.o1[[#This Row],[Amp.]]*1/_xlfn.MINIFS(Tab.o1[Amp.],Tab.o1[Amp.],"&lt;&gt;0")),"")</f>
        <v/>
      </c>
      <c r="X206" s="126" t="str">
        <f>IF(Tab.o1[[#This Row],[a1]]=1,IF(ISNUMBER(Tab.o1[[#This Row],[i.]]),NORMDIST(Tab.o1[[#This Row],[Za]],0,1,FALSE)*Tab.o1[[#This Row],[i.]],AP$3),"")</f>
        <v/>
      </c>
      <c r="Y206" s="126" t="str">
        <f>IF(Tab.o1[[#This Row],[a1]]=1,0.01+0.94*Tab.o1[[#This Row],[PDF]]/MAX(Tab.o1[PDF]),"")</f>
        <v/>
      </c>
      <c r="Z206" s="126" t="str">
        <f>IF(Tab.o1[[#This Row],[a1]]=1,0.01+0.94*Tab.o1[[#This Row],[W1_PDF]]/MAX(Tab.o1[W1_PDF]),"")</f>
        <v/>
      </c>
      <c r="AA206" s="118" t="str">
        <f>IF(Tab.o1[[#This Row],[a1]]=1,ABS([1]!T.in.A[[#This Row],[oo6]]),"")</f>
        <v/>
      </c>
      <c r="AB206" s="127" t="str">
        <f>IF(Tab.o1[[#This Row],[a1]]=1,IF(AE$3=0,"",IF(AB$3=0,ABS([1]!T.in.A[[#This Row],[oo9]]),ABS(Tab.o1[[#This Row],[DIF_Target.]]*Tab.o1[[#This Row],[W1_PDF]]))),"")</f>
        <v/>
      </c>
      <c r="AC206" s="127" t="str">
        <f>IF(G$1=1,"",IF(Tab.o1[[#This Row],[a1]]=1,Tab.o1[[#This Row],[Wr]]^2,""))</f>
        <v/>
      </c>
      <c r="AD206" s="118" t="str">
        <f>IF(Tab.o1[[#This Row],[a1]]=1,IF(AE$3=0,"",Tab.o1[[#This Row],[Wr2]]/SUM(Tab.o1[Wr2])),"")</f>
        <v/>
      </c>
      <c r="AE206" s="128" t="str">
        <f>IF(Tab.o1[[#This Row],[a1]]=1,[1]!T.in.A[[#This Row],[oo10]],"")</f>
        <v/>
      </c>
      <c r="AF206" s="118" t="str">
        <f>IF(Tab.o1[[#This Row],[a1]]=1,ABS(Tab.o1[[#This Row],[DIF_Target.]]*Tab.o1[[#This Row],[PDF2]]*Tab.o1[[#This Row],[IN]]),"")</f>
        <v/>
      </c>
      <c r="AG206" s="129" t="str">
        <f>IF(Tab.o1[[#This Row],[a1]]=1,Tab.o1[[#This Row],[rW]]^2,"")</f>
        <v/>
      </c>
      <c r="AH206" s="130" t="str">
        <f>IF(Tab.o1[[#This Row],[a1]]=1,IF(AH$3=0,Tab.o1[[#This Row],[rW2]],0.01+0.94*Tab.o1[[#This Row],[rW2]]/SUM(Tab.o1[rW2])),"")</f>
        <v/>
      </c>
      <c r="AI206" s="128" t="str">
        <f>IF(Tab.o1[[#This Row],[a1]]=1,1/Tab.o1[[#This Row],[PDF]],"")</f>
        <v/>
      </c>
      <c r="AJ206" s="131" t="str">
        <f>IF(Tab.o1[[#This Row],[a1]]=1,[1]!T_AA[[#This Row],[IN'']]*[1]!T_AA[[#This Row],[Qde'']],"")</f>
        <v/>
      </c>
      <c r="AK206" s="132" t="str">
        <f>IF(Tab.o1[[#This Row],[a1]]=1,IF(AK$1=1,Tab.o1[[#This Row],[MED]]+Tab.o1[[#This Row],[MOD]]-Tab.o1[[#This Row],[MED]],""),"")</f>
        <v/>
      </c>
      <c r="AL206" s="133" t="str">
        <f>IF(Tab.o1[[#This Row],[a1]]=1,[1]!T.in.A[[#This Row],[oo16]],"")</f>
        <v/>
      </c>
      <c r="AM206" s="133" t="str">
        <f>IF(Tab.o1[[#This Row],[a1]]=1,IF(AM$3=1,[1]!T.in.A[[#This Row],[Σo16]],""),"")</f>
        <v/>
      </c>
      <c r="AN206" s="126" t="str">
        <f>IF(Tab.o1[[#This Row],[a1]]=1,[1]!T.in.A[[#This Row],[Σp5]],"")</f>
        <v/>
      </c>
      <c r="AO206" s="126" t="str">
        <f>IF(Tab.o1[[#This Row],[a1]]=1,IF(AO$3=1,[1]!T.in.A[[#This Row],[Σp5]],""),"")</f>
        <v/>
      </c>
      <c r="AP206" s="110" t="str">
        <f>IF(Tab.o1[[#This Row],[a1]]=1,IF(ISNUMBER(Tab.o1[[#This Row],[i.]]),NORMDIST(Tab.o1[[#This Row],[Za]],0,1,FALSE)*Tab.o1[[#This Row],[i.]],0),"")</f>
        <v/>
      </c>
      <c r="AQ206" s="125" t="str">
        <f>IF(Tab.o1[[#This Row],[a1]]=1,ABS(Tab.o1[[#This Row],[MOD]]-AVERAGE(Tab.o1[MOD])),"")</f>
        <v/>
      </c>
      <c r="AR206" s="134" t="str">
        <f>IF(Tab.o1[[#This Row],[a1]]=1,Tab.o1[[#This Row],[OBS]]/SUM(Tab.o1[OBS]),"")</f>
        <v/>
      </c>
      <c r="AS206" s="135" t="str">
        <f>IF(ISNUMBER(Tab.o1[[#This Row],[a1]]),ROW()-4,"")</f>
        <v/>
      </c>
      <c r="AT206" s="136" t="str">
        <f>Tab.o1[[#This Row],[MOD]]</f>
        <v/>
      </c>
      <c r="AU206" s="137" t="str">
        <f t="shared" si="13"/>
        <v/>
      </c>
      <c r="AV206" s="138" t="str">
        <f t="shared" si="14"/>
        <v/>
      </c>
      <c r="AW206" s="138" t="str">
        <f t="shared" si="15"/>
        <v/>
      </c>
      <c r="AX206" s="139" t="str">
        <f>[1]!T.in.A[[#This Row],[ID_T_manu]]</f>
        <v/>
      </c>
      <c r="AY206" s="140" t="str">
        <f>IF(ISNUMBER(Tab.o1[[#This Row],[a1]]),IF(AND(Tab.o1[[#This Row],[a1]]=1,Tab.o1[[#This Row],[b1]]&lt;=AY$4),#REF!,AY205),"")</f>
        <v/>
      </c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</row>
    <row r="207" spans="1:79" ht="14.25" hidden="1" customHeight="1">
      <c r="A207" s="109">
        <v>5.9999999999999993E-6</v>
      </c>
      <c r="B207" s="110">
        <f t="shared" si="12"/>
        <v>207</v>
      </c>
      <c r="C207" s="111" t="str">
        <f>IF(C$1=[1]!T.in.A[[#This Row],[oo2]],1,"")</f>
        <v/>
      </c>
      <c r="D207" s="112" t="str">
        <f>IF(Tab.o1[[#This Row],[a1]]=1,IF(SUM(C207:C208)=0,0,IF(SUM(C206:C207)=1,1,IF(SUM(C206:C208)&gt;1,D206+1,0))),"")</f>
        <v/>
      </c>
      <c r="E207" s="113" t="str">
        <f>IF(Tab.o1[[#This Row],[a1]]=1,[1]!T.in.A[[#This Row],[oo1]],"")</f>
        <v/>
      </c>
      <c r="F207" s="113" t="str">
        <f>IF(Tab.o1[[#This Row],[a1]]=1,[1]!T.in.A[[#This Row],[pp1]],"")</f>
        <v/>
      </c>
      <c r="G207" s="114" t="str">
        <f>IF(Tab.o1[[#This Row],[a1]]=1,G$2+IF(G$1=1,0,Tab.o1[[#This Row],[.x1]])+[1]!T.in.A[[#This Row],[oo3]],"")</f>
        <v/>
      </c>
      <c r="H207" s="115" t="str">
        <f>IF(Tab.o1[[#This Row],[a1]]=1,IF(H$2=0,0,IF(G$1=1,0,Tab.o1[[#This Row],[.x1]])+[1]!T.in.A[[#This Row],[oo4]]),"")</f>
        <v/>
      </c>
      <c r="I207" s="116" t="str">
        <f>IF(Tab.o1[[#This Row],[a1]]=1,IF(J$2=0,Tab.o1[[#This Row],[MED]],Tab.o1[[#This Row],[MOD]]),"")</f>
        <v/>
      </c>
      <c r="J207" s="116" t="str">
        <f>IF(Tab.o1[[#This Row],[a1]]=1,((Tab.o1[[#This Row],[DIF_Target.]]-AVERAGE(Tab.o1[DIF_Target.]))/_xlfn.STDEV.P(Tab.o1[DIF_Target.])),"")</f>
        <v/>
      </c>
      <c r="K207" s="117" t="str">
        <f>IF(Tab.o1[[#This Row],[a1]]=1,IF(J$2=0,Tab.o1[[#This Row],[MOD]]-Tab.o1[[#This Row],[B]],IF(J$2=1,0,-Tab.o1[[#This Row],[MED]])+Tab.o1[[#This Row],[B]]),"")</f>
        <v/>
      </c>
      <c r="L207" s="117" t="str">
        <f ca="1">IF(Tab.o1[[#This Row],[DIF_Target]]=0,IF(L$2=0,Tab.o1[[#This Row],[DIF_Target]],AVERAGE(OFFSET(Tab.o1[[#This Row],[DIF_Target]],1,0,L$3,1)))/3,Tab.o1[[#This Row],[DIF_Target]])</f>
        <v/>
      </c>
      <c r="M207" s="118" t="str">
        <f>IF(Tab.o1[[#This Row],[a1]]=1,NORMSDIST(Tab.o1[[#This Row],[Za]]),"")</f>
        <v/>
      </c>
      <c r="N207" s="119" t="str">
        <f>IF(Tab.o1[[#This Row],[a1]]=1,((Tab.o1[[#This Row],[MedMod]]-AVERAGE(Tab.o1[MedMod]))/_xlfn.STDEV.P(Tab.o1[MedMod])*H$1205)+G$1205,"")</f>
        <v/>
      </c>
      <c r="O207" s="141" t="str">
        <f>IF(Tab.o1[[#This Row],[a1]]=1,Tab.o1[[#This Row],[Zb]]*_xlfn.STDEV.P(Tab.o1[MedMod])+AVERAGE(Tab.o1[MedMod]),"")</f>
        <v/>
      </c>
      <c r="P207" s="117" t="str">
        <f ca="1">IF(Tab.o1[[#This Row],[B]]=0,AVERAGE(OFFSET(Tab.o1[[#This Row],[B]],1,0,L$3,1)),Tab.o1[[#This Row],[B]])</f>
        <v/>
      </c>
      <c r="Q207" s="121" t="str">
        <f>IF(Tab.o1[[#This Row],[a1]]=1,NORMSDIST(Tab.o1[[#This Row],[Zb]]),"")</f>
        <v/>
      </c>
      <c r="R207" s="122" t="str">
        <f>IF(Tab.o1[[#This Row],[a1]]=1,((Tab.o1[[#This Row],[MedMod]]-AVERAGE(Tab.o1[MedMod]))/_xlfn.STDEV.P(Tab.o1[MedMod])*H$1203)+G$1203,"")</f>
        <v/>
      </c>
      <c r="S207" s="122" t="str">
        <f>IF(Tab.o1[[#This Row],[a1]]=1,((Tab.o1[[#This Row],[MedMod]]-AVERAGE(Tab.o1[MedMod]))/_xlfn.STDEV.P(Tab.o1[MedMod])*H$1204)+G$1204,"")</f>
        <v/>
      </c>
      <c r="T207" s="123" t="str">
        <f>IF(Tab.o1[[#This Row],[a1]]=1,Tab.o1[[#This Row],[Z-]]*_xlfn.STDEV.P(Tab.o1[B])+AVERAGE(Tab.o1[B]),"")</f>
        <v/>
      </c>
      <c r="U207" s="123" t="str">
        <f>IF(Tab.o1[[#This Row],[a1]]=1,Tab.o1[[#This Row],[z+]]*_xlfn.STDEV.P(Tab.o1[B])+AVERAGE(Tab.o1[B]),"")</f>
        <v/>
      </c>
      <c r="V207" s="124" t="str">
        <f>IF(Tab.o1[[#This Row],[a1]]=1,ABS((ABS(Tab.o1[[#This Row],[Red]]-Tab.o1[[#This Row],[Blue]]))),"")</f>
        <v/>
      </c>
      <c r="W207" s="125" t="str">
        <f>IF(Tab.o1[[#This Row],[a1]]=1,IF(W$3=0,1,Tab.o1[[#This Row],[Amp.]]*1/_xlfn.MINIFS(Tab.o1[Amp.],Tab.o1[Amp.],"&lt;&gt;0")),"")</f>
        <v/>
      </c>
      <c r="X207" s="126" t="str">
        <f>IF(Tab.o1[[#This Row],[a1]]=1,IF(ISNUMBER(Tab.o1[[#This Row],[i.]]),NORMDIST(Tab.o1[[#This Row],[Za]],0,1,FALSE)*Tab.o1[[#This Row],[i.]],AP$3),"")</f>
        <v/>
      </c>
      <c r="Y207" s="126" t="str">
        <f>IF(Tab.o1[[#This Row],[a1]]=1,0.01+0.94*Tab.o1[[#This Row],[PDF]]/MAX(Tab.o1[PDF]),"")</f>
        <v/>
      </c>
      <c r="Z207" s="126" t="str">
        <f>IF(Tab.o1[[#This Row],[a1]]=1,0.01+0.94*Tab.o1[[#This Row],[W1_PDF]]/MAX(Tab.o1[W1_PDF]),"")</f>
        <v/>
      </c>
      <c r="AA207" s="118" t="str">
        <f>IF(Tab.o1[[#This Row],[a1]]=1,ABS([1]!T.in.A[[#This Row],[oo6]]),"")</f>
        <v/>
      </c>
      <c r="AB207" s="127" t="str">
        <f>IF(Tab.o1[[#This Row],[a1]]=1,IF(AE$3=0,"",IF(AB$3=0,ABS([1]!T.in.A[[#This Row],[oo9]]),ABS(Tab.o1[[#This Row],[DIF_Target.]]*Tab.o1[[#This Row],[W1_PDF]]))),"")</f>
        <v/>
      </c>
      <c r="AC207" s="127" t="str">
        <f>IF(G$1=1,"",IF(Tab.o1[[#This Row],[a1]]=1,Tab.o1[[#This Row],[Wr]]^2,""))</f>
        <v/>
      </c>
      <c r="AD207" s="118" t="str">
        <f>IF(Tab.o1[[#This Row],[a1]]=1,IF(AE$3=0,"",Tab.o1[[#This Row],[Wr2]]/SUM(Tab.o1[Wr2])),"")</f>
        <v/>
      </c>
      <c r="AE207" s="128" t="str">
        <f>IF(Tab.o1[[#This Row],[a1]]=1,[1]!T.in.A[[#This Row],[oo10]],"")</f>
        <v/>
      </c>
      <c r="AF207" s="118" t="str">
        <f>IF(Tab.o1[[#This Row],[a1]]=1,ABS(Tab.o1[[#This Row],[DIF_Target.]]*Tab.o1[[#This Row],[PDF2]]*Tab.o1[[#This Row],[IN]]),"")</f>
        <v/>
      </c>
      <c r="AG207" s="129" t="str">
        <f>IF(Tab.o1[[#This Row],[a1]]=1,Tab.o1[[#This Row],[rW]]^2,"")</f>
        <v/>
      </c>
      <c r="AH207" s="130" t="str">
        <f>IF(Tab.o1[[#This Row],[a1]]=1,IF(AH$3=0,Tab.o1[[#This Row],[rW2]],0.01+0.94*Tab.o1[[#This Row],[rW2]]/SUM(Tab.o1[rW2])),"")</f>
        <v/>
      </c>
      <c r="AI207" s="128" t="str">
        <f>IF(Tab.o1[[#This Row],[a1]]=1,1/Tab.o1[[#This Row],[PDF]],"")</f>
        <v/>
      </c>
      <c r="AJ207" s="131" t="str">
        <f>IF(Tab.o1[[#This Row],[a1]]=1,[1]!T_AA[[#This Row],[IN'']]*[1]!T_AA[[#This Row],[Qde'']],"")</f>
        <v/>
      </c>
      <c r="AK207" s="132" t="str">
        <f>IF(Tab.o1[[#This Row],[a1]]=1,IF(AK$1=1,Tab.o1[[#This Row],[MED]]+Tab.o1[[#This Row],[MOD]]-Tab.o1[[#This Row],[MED]],""),"")</f>
        <v/>
      </c>
      <c r="AL207" s="133" t="str">
        <f>IF(Tab.o1[[#This Row],[a1]]=1,[1]!T.in.A[[#This Row],[oo16]],"")</f>
        <v/>
      </c>
      <c r="AM207" s="133" t="str">
        <f>IF(Tab.o1[[#This Row],[a1]]=1,IF(AM$3=1,[1]!T.in.A[[#This Row],[Σo16]],""),"")</f>
        <v/>
      </c>
      <c r="AN207" s="126" t="str">
        <f>IF(Tab.o1[[#This Row],[a1]]=1,[1]!T.in.A[[#This Row],[Σp5]],"")</f>
        <v/>
      </c>
      <c r="AO207" s="126" t="str">
        <f>IF(Tab.o1[[#This Row],[a1]]=1,IF(AO$3=1,[1]!T.in.A[[#This Row],[Σp5]],""),"")</f>
        <v/>
      </c>
      <c r="AP207" s="110" t="str">
        <f>IF(Tab.o1[[#This Row],[a1]]=1,IF(ISNUMBER(Tab.o1[[#This Row],[i.]]),NORMDIST(Tab.o1[[#This Row],[Za]],0,1,FALSE)*Tab.o1[[#This Row],[i.]],0),"")</f>
        <v/>
      </c>
      <c r="AQ207" s="125" t="str">
        <f>IF(Tab.o1[[#This Row],[a1]]=1,ABS(Tab.o1[[#This Row],[MOD]]-AVERAGE(Tab.o1[MOD])),"")</f>
        <v/>
      </c>
      <c r="AR207" s="134" t="str">
        <f>IF(Tab.o1[[#This Row],[a1]]=1,Tab.o1[[#This Row],[OBS]]/SUM(Tab.o1[OBS]),"")</f>
        <v/>
      </c>
      <c r="AS207" s="135" t="str">
        <f>IF(ISNUMBER(Tab.o1[[#This Row],[a1]]),ROW()-4,"")</f>
        <v/>
      </c>
      <c r="AT207" s="136" t="str">
        <f>Tab.o1[[#This Row],[MOD]]</f>
        <v/>
      </c>
      <c r="AU207" s="137" t="str">
        <f t="shared" si="13"/>
        <v/>
      </c>
      <c r="AV207" s="138" t="str">
        <f t="shared" si="14"/>
        <v/>
      </c>
      <c r="AW207" s="138" t="str">
        <f t="shared" si="15"/>
        <v/>
      </c>
      <c r="AX207" s="139" t="str">
        <f>[1]!T.in.A[[#This Row],[ID_T_manu]]</f>
        <v/>
      </c>
      <c r="AY207" s="140" t="str">
        <f>IF(ISNUMBER(Tab.o1[[#This Row],[a1]]),IF(AND(Tab.o1[[#This Row],[a1]]=1,Tab.o1[[#This Row],[b1]]&lt;=AY$4),#REF!,AY206),"")</f>
        <v/>
      </c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</row>
    <row r="208" spans="1:79" ht="14.25" hidden="1" customHeight="1">
      <c r="A208" s="109">
        <v>-1.0000000000000002E-6</v>
      </c>
      <c r="B208" s="110">
        <f t="shared" si="12"/>
        <v>208</v>
      </c>
      <c r="C208" s="111" t="str">
        <f>IF(C$1=[1]!T.in.A[[#This Row],[oo2]],1,"")</f>
        <v/>
      </c>
      <c r="D208" s="112" t="str">
        <f>IF(Tab.o1[[#This Row],[a1]]=1,IF(SUM(C208:C209)=0,0,IF(SUM(C207:C208)=1,1,IF(SUM(C207:C209)&gt;1,D207+1,0))),"")</f>
        <v/>
      </c>
      <c r="E208" s="113" t="str">
        <f>IF(Tab.o1[[#This Row],[a1]]=1,[1]!T.in.A[[#This Row],[oo1]],"")</f>
        <v/>
      </c>
      <c r="F208" s="113" t="str">
        <f>IF(Tab.o1[[#This Row],[a1]]=1,[1]!T.in.A[[#This Row],[pp1]],"")</f>
        <v/>
      </c>
      <c r="G208" s="114" t="str">
        <f>IF(Tab.o1[[#This Row],[a1]]=1,G$2+IF(G$1=1,0,Tab.o1[[#This Row],[.x1]])+[1]!T.in.A[[#This Row],[oo3]],"")</f>
        <v/>
      </c>
      <c r="H208" s="115" t="str">
        <f>IF(Tab.o1[[#This Row],[a1]]=1,IF(H$2=0,0,IF(G$1=1,0,Tab.o1[[#This Row],[.x1]])+[1]!T.in.A[[#This Row],[oo4]]),"")</f>
        <v/>
      </c>
      <c r="I208" s="116" t="str">
        <f>IF(Tab.o1[[#This Row],[a1]]=1,IF(J$2=0,Tab.o1[[#This Row],[MED]],Tab.o1[[#This Row],[MOD]]),"")</f>
        <v/>
      </c>
      <c r="J208" s="116" t="str">
        <f>IF(Tab.o1[[#This Row],[a1]]=1,((Tab.o1[[#This Row],[DIF_Target.]]-AVERAGE(Tab.o1[DIF_Target.]))/_xlfn.STDEV.P(Tab.o1[DIF_Target.])),"")</f>
        <v/>
      </c>
      <c r="K208" s="117" t="str">
        <f>IF(Tab.o1[[#This Row],[a1]]=1,IF(J$2=0,Tab.o1[[#This Row],[MOD]]-Tab.o1[[#This Row],[B]],IF(J$2=1,0,-Tab.o1[[#This Row],[MED]])+Tab.o1[[#This Row],[B]]),"")</f>
        <v/>
      </c>
      <c r="L208" s="117" t="str">
        <f ca="1">IF(Tab.o1[[#This Row],[DIF_Target]]=0,IF(L$2=0,Tab.o1[[#This Row],[DIF_Target]],AVERAGE(OFFSET(Tab.o1[[#This Row],[DIF_Target]],1,0,L$3,1)))/3,Tab.o1[[#This Row],[DIF_Target]])</f>
        <v/>
      </c>
      <c r="M208" s="118" t="str">
        <f>IF(Tab.o1[[#This Row],[a1]]=1,NORMSDIST(Tab.o1[[#This Row],[Za]]),"")</f>
        <v/>
      </c>
      <c r="N208" s="119" t="str">
        <f>IF(Tab.o1[[#This Row],[a1]]=1,((Tab.o1[[#This Row],[MedMod]]-AVERAGE(Tab.o1[MedMod]))/_xlfn.STDEV.P(Tab.o1[MedMod])*H$1205)+G$1205,"")</f>
        <v/>
      </c>
      <c r="O208" s="141" t="str">
        <f>IF(Tab.o1[[#This Row],[a1]]=1,Tab.o1[[#This Row],[Zb]]*_xlfn.STDEV.P(Tab.o1[MedMod])+AVERAGE(Tab.o1[MedMod]),"")</f>
        <v/>
      </c>
      <c r="P208" s="117" t="str">
        <f ca="1">IF(Tab.o1[[#This Row],[B]]=0,AVERAGE(OFFSET(Tab.o1[[#This Row],[B]],1,0,L$3,1)),Tab.o1[[#This Row],[B]])</f>
        <v/>
      </c>
      <c r="Q208" s="121" t="str">
        <f>IF(Tab.o1[[#This Row],[a1]]=1,NORMSDIST(Tab.o1[[#This Row],[Zb]]),"")</f>
        <v/>
      </c>
      <c r="R208" s="122" t="str">
        <f>IF(Tab.o1[[#This Row],[a1]]=1,((Tab.o1[[#This Row],[MedMod]]-AVERAGE(Tab.o1[MedMod]))/_xlfn.STDEV.P(Tab.o1[MedMod])*H$1203)+G$1203,"")</f>
        <v/>
      </c>
      <c r="S208" s="122" t="str">
        <f>IF(Tab.o1[[#This Row],[a1]]=1,((Tab.o1[[#This Row],[MedMod]]-AVERAGE(Tab.o1[MedMod]))/_xlfn.STDEV.P(Tab.o1[MedMod])*H$1204)+G$1204,"")</f>
        <v/>
      </c>
      <c r="T208" s="123" t="str">
        <f>IF(Tab.o1[[#This Row],[a1]]=1,Tab.o1[[#This Row],[Z-]]*_xlfn.STDEV.P(Tab.o1[B])+AVERAGE(Tab.o1[B]),"")</f>
        <v/>
      </c>
      <c r="U208" s="123" t="str">
        <f>IF(Tab.o1[[#This Row],[a1]]=1,Tab.o1[[#This Row],[z+]]*_xlfn.STDEV.P(Tab.o1[B])+AVERAGE(Tab.o1[B]),"")</f>
        <v/>
      </c>
      <c r="V208" s="124" t="str">
        <f>IF(Tab.o1[[#This Row],[a1]]=1,ABS((ABS(Tab.o1[[#This Row],[Red]]-Tab.o1[[#This Row],[Blue]]))),"")</f>
        <v/>
      </c>
      <c r="W208" s="125" t="str">
        <f>IF(Tab.o1[[#This Row],[a1]]=1,IF(W$3=0,1,Tab.o1[[#This Row],[Amp.]]*1/_xlfn.MINIFS(Tab.o1[Amp.],Tab.o1[Amp.],"&lt;&gt;0")),"")</f>
        <v/>
      </c>
      <c r="X208" s="126" t="str">
        <f>IF(Tab.o1[[#This Row],[a1]]=1,IF(ISNUMBER(Tab.o1[[#This Row],[i.]]),NORMDIST(Tab.o1[[#This Row],[Za]],0,1,FALSE)*Tab.o1[[#This Row],[i.]],AP$3),"")</f>
        <v/>
      </c>
      <c r="Y208" s="126" t="str">
        <f>IF(Tab.o1[[#This Row],[a1]]=1,0.01+0.94*Tab.o1[[#This Row],[PDF]]/MAX(Tab.o1[PDF]),"")</f>
        <v/>
      </c>
      <c r="Z208" s="126" t="str">
        <f>IF(Tab.o1[[#This Row],[a1]]=1,0.01+0.94*Tab.o1[[#This Row],[W1_PDF]]/MAX(Tab.o1[W1_PDF]),"")</f>
        <v/>
      </c>
      <c r="AA208" s="118" t="str">
        <f>IF(Tab.o1[[#This Row],[a1]]=1,ABS([1]!T.in.A[[#This Row],[oo6]]),"")</f>
        <v/>
      </c>
      <c r="AB208" s="127" t="str">
        <f>IF(Tab.o1[[#This Row],[a1]]=1,IF(AE$3=0,"",IF(AB$3=0,ABS([1]!T.in.A[[#This Row],[oo9]]),ABS(Tab.o1[[#This Row],[DIF_Target.]]*Tab.o1[[#This Row],[W1_PDF]]))),"")</f>
        <v/>
      </c>
      <c r="AC208" s="127" t="str">
        <f>IF(G$1=1,"",IF(Tab.o1[[#This Row],[a1]]=1,Tab.o1[[#This Row],[Wr]]^2,""))</f>
        <v/>
      </c>
      <c r="AD208" s="118" t="str">
        <f>IF(Tab.o1[[#This Row],[a1]]=1,IF(AE$3=0,"",Tab.o1[[#This Row],[Wr2]]/SUM(Tab.o1[Wr2])),"")</f>
        <v/>
      </c>
      <c r="AE208" s="128" t="str">
        <f>IF(Tab.o1[[#This Row],[a1]]=1,[1]!T.in.A[[#This Row],[oo10]],"")</f>
        <v/>
      </c>
      <c r="AF208" s="118" t="str">
        <f>IF(Tab.o1[[#This Row],[a1]]=1,ABS(Tab.o1[[#This Row],[DIF_Target.]]*Tab.o1[[#This Row],[PDF2]]*Tab.o1[[#This Row],[IN]]),"")</f>
        <v/>
      </c>
      <c r="AG208" s="129" t="str">
        <f>IF(Tab.o1[[#This Row],[a1]]=1,Tab.o1[[#This Row],[rW]]^2,"")</f>
        <v/>
      </c>
      <c r="AH208" s="130" t="str">
        <f>IF(Tab.o1[[#This Row],[a1]]=1,IF(AH$3=0,Tab.o1[[#This Row],[rW2]],0.01+0.94*Tab.o1[[#This Row],[rW2]]/SUM(Tab.o1[rW2])),"")</f>
        <v/>
      </c>
      <c r="AI208" s="128" t="str">
        <f>IF(Tab.o1[[#This Row],[a1]]=1,1/Tab.o1[[#This Row],[PDF]],"")</f>
        <v/>
      </c>
      <c r="AJ208" s="131" t="str">
        <f>IF(Tab.o1[[#This Row],[a1]]=1,[1]!T_AA[[#This Row],[IN'']]*[1]!T_AA[[#This Row],[Qde'']],"")</f>
        <v/>
      </c>
      <c r="AK208" s="132" t="str">
        <f>IF(Tab.o1[[#This Row],[a1]]=1,IF(AK$1=1,Tab.o1[[#This Row],[MED]]+Tab.o1[[#This Row],[MOD]]-Tab.o1[[#This Row],[MED]],""),"")</f>
        <v/>
      </c>
      <c r="AL208" s="133" t="str">
        <f>IF(Tab.o1[[#This Row],[a1]]=1,[1]!T.in.A[[#This Row],[oo16]],"")</f>
        <v/>
      </c>
      <c r="AM208" s="133" t="str">
        <f>IF(Tab.o1[[#This Row],[a1]]=1,IF(AM$3=1,[1]!T.in.A[[#This Row],[Σo16]],""),"")</f>
        <v/>
      </c>
      <c r="AN208" s="126" t="str">
        <f>IF(Tab.o1[[#This Row],[a1]]=1,[1]!T.in.A[[#This Row],[Σp5]],"")</f>
        <v/>
      </c>
      <c r="AO208" s="126" t="str">
        <f>IF(Tab.o1[[#This Row],[a1]]=1,IF(AO$3=1,[1]!T.in.A[[#This Row],[Σp5]],""),"")</f>
        <v/>
      </c>
      <c r="AP208" s="110" t="str">
        <f>IF(Tab.o1[[#This Row],[a1]]=1,IF(ISNUMBER(Tab.o1[[#This Row],[i.]]),NORMDIST(Tab.o1[[#This Row],[Za]],0,1,FALSE)*Tab.o1[[#This Row],[i.]],0),"")</f>
        <v/>
      </c>
      <c r="AQ208" s="125" t="str">
        <f>IF(Tab.o1[[#This Row],[a1]]=1,ABS(Tab.o1[[#This Row],[MOD]]-AVERAGE(Tab.o1[MOD])),"")</f>
        <v/>
      </c>
      <c r="AR208" s="134" t="str">
        <f>IF(Tab.o1[[#This Row],[a1]]=1,Tab.o1[[#This Row],[OBS]]/SUM(Tab.o1[OBS]),"")</f>
        <v/>
      </c>
      <c r="AS208" s="135" t="str">
        <f>IF(ISNUMBER(Tab.o1[[#This Row],[a1]]),ROW()-4,"")</f>
        <v/>
      </c>
      <c r="AT208" s="136" t="str">
        <f>Tab.o1[[#This Row],[MOD]]</f>
        <v/>
      </c>
      <c r="AU208" s="137" t="str">
        <f t="shared" si="13"/>
        <v/>
      </c>
      <c r="AV208" s="138" t="str">
        <f t="shared" si="14"/>
        <v/>
      </c>
      <c r="AW208" s="138" t="str">
        <f t="shared" si="15"/>
        <v/>
      </c>
      <c r="AX208" s="139" t="str">
        <f>[1]!T.in.A[[#This Row],[ID_T_manu]]</f>
        <v/>
      </c>
      <c r="AY208" s="140" t="str">
        <f>IF(ISNUMBER(Tab.o1[[#This Row],[a1]]),IF(AND(Tab.o1[[#This Row],[a1]]=1,Tab.o1[[#This Row],[b1]]&lt;=AY$4),#REF!,AY207),"")</f>
        <v/>
      </c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</row>
    <row r="209" spans="1:79" ht="14.25" hidden="1" customHeight="1">
      <c r="A209" s="109">
        <v>8.0000000000000013E-6</v>
      </c>
      <c r="B209" s="110">
        <f t="shared" si="12"/>
        <v>209</v>
      </c>
      <c r="C209" s="111" t="str">
        <f>IF(C$1=[1]!T.in.A[[#This Row],[oo2]],1,"")</f>
        <v/>
      </c>
      <c r="D209" s="112" t="str">
        <f>IF(Tab.o1[[#This Row],[a1]]=1,IF(SUM(C209:C210)=0,0,IF(SUM(C208:C209)=1,1,IF(SUM(C208:C210)&gt;1,D208+1,0))),"")</f>
        <v/>
      </c>
      <c r="E209" s="113" t="str">
        <f>IF(Tab.o1[[#This Row],[a1]]=1,[1]!T.in.A[[#This Row],[oo1]],"")</f>
        <v/>
      </c>
      <c r="F209" s="113" t="str">
        <f>IF(Tab.o1[[#This Row],[a1]]=1,[1]!T.in.A[[#This Row],[pp1]],"")</f>
        <v/>
      </c>
      <c r="G209" s="114" t="str">
        <f>IF(Tab.o1[[#This Row],[a1]]=1,G$2+IF(G$1=1,0,Tab.o1[[#This Row],[.x1]])+[1]!T.in.A[[#This Row],[oo3]],"")</f>
        <v/>
      </c>
      <c r="H209" s="115" t="str">
        <f>IF(Tab.o1[[#This Row],[a1]]=1,IF(H$2=0,0,IF(G$1=1,0,Tab.o1[[#This Row],[.x1]])+[1]!T.in.A[[#This Row],[oo4]]),"")</f>
        <v/>
      </c>
      <c r="I209" s="116" t="str">
        <f>IF(Tab.o1[[#This Row],[a1]]=1,IF(J$2=0,Tab.o1[[#This Row],[MED]],Tab.o1[[#This Row],[MOD]]),"")</f>
        <v/>
      </c>
      <c r="J209" s="116" t="str">
        <f>IF(Tab.o1[[#This Row],[a1]]=1,((Tab.o1[[#This Row],[DIF_Target.]]-AVERAGE(Tab.o1[DIF_Target.]))/_xlfn.STDEV.P(Tab.o1[DIF_Target.])),"")</f>
        <v/>
      </c>
      <c r="K209" s="117" t="str">
        <f>IF(Tab.o1[[#This Row],[a1]]=1,IF(J$2=0,Tab.o1[[#This Row],[MOD]]-Tab.o1[[#This Row],[B]],IF(J$2=1,0,-Tab.o1[[#This Row],[MED]])+Tab.o1[[#This Row],[B]]),"")</f>
        <v/>
      </c>
      <c r="L209" s="117" t="str">
        <f ca="1">IF(Tab.o1[[#This Row],[DIF_Target]]=0,IF(L$2=0,Tab.o1[[#This Row],[DIF_Target]],AVERAGE(OFFSET(Tab.o1[[#This Row],[DIF_Target]],1,0,L$3,1)))/3,Tab.o1[[#This Row],[DIF_Target]])</f>
        <v/>
      </c>
      <c r="M209" s="118" t="str">
        <f>IF(Tab.o1[[#This Row],[a1]]=1,NORMSDIST(Tab.o1[[#This Row],[Za]]),"")</f>
        <v/>
      </c>
      <c r="N209" s="119" t="str">
        <f>IF(Tab.o1[[#This Row],[a1]]=1,((Tab.o1[[#This Row],[MedMod]]-AVERAGE(Tab.o1[MedMod]))/_xlfn.STDEV.P(Tab.o1[MedMod])*H$1205)+G$1205,"")</f>
        <v/>
      </c>
      <c r="O209" s="141" t="str">
        <f>IF(Tab.o1[[#This Row],[a1]]=1,Tab.o1[[#This Row],[Zb]]*_xlfn.STDEV.P(Tab.o1[MedMod])+AVERAGE(Tab.o1[MedMod]),"")</f>
        <v/>
      </c>
      <c r="P209" s="117" t="str">
        <f ca="1">IF(Tab.o1[[#This Row],[B]]=0,AVERAGE(OFFSET(Tab.o1[[#This Row],[B]],1,0,L$3,1)),Tab.o1[[#This Row],[B]])</f>
        <v/>
      </c>
      <c r="Q209" s="121" t="str">
        <f>IF(Tab.o1[[#This Row],[a1]]=1,NORMSDIST(Tab.o1[[#This Row],[Zb]]),"")</f>
        <v/>
      </c>
      <c r="R209" s="122" t="str">
        <f>IF(Tab.o1[[#This Row],[a1]]=1,((Tab.o1[[#This Row],[MedMod]]-AVERAGE(Tab.o1[MedMod]))/_xlfn.STDEV.P(Tab.o1[MedMod])*H$1203)+G$1203,"")</f>
        <v/>
      </c>
      <c r="S209" s="122" t="str">
        <f>IF(Tab.o1[[#This Row],[a1]]=1,((Tab.o1[[#This Row],[MedMod]]-AVERAGE(Tab.o1[MedMod]))/_xlfn.STDEV.P(Tab.o1[MedMod])*H$1204)+G$1204,"")</f>
        <v/>
      </c>
      <c r="T209" s="123" t="str">
        <f>IF(Tab.o1[[#This Row],[a1]]=1,Tab.o1[[#This Row],[Z-]]*_xlfn.STDEV.P(Tab.o1[B])+AVERAGE(Tab.o1[B]),"")</f>
        <v/>
      </c>
      <c r="U209" s="123" t="str">
        <f>IF(Tab.o1[[#This Row],[a1]]=1,Tab.o1[[#This Row],[z+]]*_xlfn.STDEV.P(Tab.o1[B])+AVERAGE(Tab.o1[B]),"")</f>
        <v/>
      </c>
      <c r="V209" s="124" t="str">
        <f>IF(Tab.o1[[#This Row],[a1]]=1,ABS((ABS(Tab.o1[[#This Row],[Red]]-Tab.o1[[#This Row],[Blue]]))),"")</f>
        <v/>
      </c>
      <c r="W209" s="125" t="str">
        <f>IF(Tab.o1[[#This Row],[a1]]=1,IF(W$3=0,1,Tab.o1[[#This Row],[Amp.]]*1/_xlfn.MINIFS(Tab.o1[Amp.],Tab.o1[Amp.],"&lt;&gt;0")),"")</f>
        <v/>
      </c>
      <c r="X209" s="126" t="str">
        <f>IF(Tab.o1[[#This Row],[a1]]=1,IF(ISNUMBER(Tab.o1[[#This Row],[i.]]),NORMDIST(Tab.o1[[#This Row],[Za]],0,1,FALSE)*Tab.o1[[#This Row],[i.]],AP$3),"")</f>
        <v/>
      </c>
      <c r="Y209" s="126" t="str">
        <f>IF(Tab.o1[[#This Row],[a1]]=1,0.01+0.94*Tab.o1[[#This Row],[PDF]]/MAX(Tab.o1[PDF]),"")</f>
        <v/>
      </c>
      <c r="Z209" s="126" t="str">
        <f>IF(Tab.o1[[#This Row],[a1]]=1,0.01+0.94*Tab.o1[[#This Row],[W1_PDF]]/MAX(Tab.o1[W1_PDF]),"")</f>
        <v/>
      </c>
      <c r="AA209" s="118" t="str">
        <f>IF(Tab.o1[[#This Row],[a1]]=1,ABS([1]!T.in.A[[#This Row],[oo6]]),"")</f>
        <v/>
      </c>
      <c r="AB209" s="127" t="str">
        <f>IF(Tab.o1[[#This Row],[a1]]=1,IF(AE$3=0,"",IF(AB$3=0,ABS([1]!T.in.A[[#This Row],[oo9]]),ABS(Tab.o1[[#This Row],[DIF_Target.]]*Tab.o1[[#This Row],[W1_PDF]]))),"")</f>
        <v/>
      </c>
      <c r="AC209" s="127" t="str">
        <f>IF(G$1=1,"",IF(Tab.o1[[#This Row],[a1]]=1,Tab.o1[[#This Row],[Wr]]^2,""))</f>
        <v/>
      </c>
      <c r="AD209" s="118" t="str">
        <f>IF(Tab.o1[[#This Row],[a1]]=1,IF(AE$3=0,"",Tab.o1[[#This Row],[Wr2]]/SUM(Tab.o1[Wr2])),"")</f>
        <v/>
      </c>
      <c r="AE209" s="128" t="str">
        <f>IF(Tab.o1[[#This Row],[a1]]=1,[1]!T.in.A[[#This Row],[oo10]],"")</f>
        <v/>
      </c>
      <c r="AF209" s="118" t="str">
        <f>IF(Tab.o1[[#This Row],[a1]]=1,ABS(Tab.o1[[#This Row],[DIF_Target.]]*Tab.o1[[#This Row],[PDF2]]*Tab.o1[[#This Row],[IN]]),"")</f>
        <v/>
      </c>
      <c r="AG209" s="129" t="str">
        <f>IF(Tab.o1[[#This Row],[a1]]=1,Tab.o1[[#This Row],[rW]]^2,"")</f>
        <v/>
      </c>
      <c r="AH209" s="130" t="str">
        <f>IF(Tab.o1[[#This Row],[a1]]=1,IF(AH$3=0,Tab.o1[[#This Row],[rW2]],0.01+0.94*Tab.o1[[#This Row],[rW2]]/SUM(Tab.o1[rW2])),"")</f>
        <v/>
      </c>
      <c r="AI209" s="128" t="str">
        <f>IF(Tab.o1[[#This Row],[a1]]=1,1/Tab.o1[[#This Row],[PDF]],"")</f>
        <v/>
      </c>
      <c r="AJ209" s="131" t="str">
        <f>IF(Tab.o1[[#This Row],[a1]]=1,[1]!T_AA[[#This Row],[IN'']]*[1]!T_AA[[#This Row],[Qde'']],"")</f>
        <v/>
      </c>
      <c r="AK209" s="132" t="str">
        <f>IF(Tab.o1[[#This Row],[a1]]=1,IF(AK$1=1,Tab.o1[[#This Row],[MED]]+Tab.o1[[#This Row],[MOD]]-Tab.o1[[#This Row],[MED]],""),"")</f>
        <v/>
      </c>
      <c r="AL209" s="133" t="str">
        <f>IF(Tab.o1[[#This Row],[a1]]=1,[1]!T.in.A[[#This Row],[oo16]],"")</f>
        <v/>
      </c>
      <c r="AM209" s="133" t="str">
        <f>IF(Tab.o1[[#This Row],[a1]]=1,IF(AM$3=1,[1]!T.in.A[[#This Row],[Σo16]],""),"")</f>
        <v/>
      </c>
      <c r="AN209" s="126" t="str">
        <f>IF(Tab.o1[[#This Row],[a1]]=1,[1]!T.in.A[[#This Row],[Σp5]],"")</f>
        <v/>
      </c>
      <c r="AO209" s="126" t="str">
        <f>IF(Tab.o1[[#This Row],[a1]]=1,IF(AO$3=1,[1]!T.in.A[[#This Row],[Σp5]],""),"")</f>
        <v/>
      </c>
      <c r="AP209" s="110" t="str">
        <f>IF(Tab.o1[[#This Row],[a1]]=1,IF(ISNUMBER(Tab.o1[[#This Row],[i.]]),NORMDIST(Tab.o1[[#This Row],[Za]],0,1,FALSE)*Tab.o1[[#This Row],[i.]],0),"")</f>
        <v/>
      </c>
      <c r="AQ209" s="125" t="str">
        <f>IF(Tab.o1[[#This Row],[a1]]=1,ABS(Tab.o1[[#This Row],[MOD]]-AVERAGE(Tab.o1[MOD])),"")</f>
        <v/>
      </c>
      <c r="AR209" s="134" t="str">
        <f>IF(Tab.o1[[#This Row],[a1]]=1,Tab.o1[[#This Row],[OBS]]/SUM(Tab.o1[OBS]),"")</f>
        <v/>
      </c>
      <c r="AS209" s="135" t="str">
        <f>IF(ISNUMBER(Tab.o1[[#This Row],[a1]]),ROW()-4,"")</f>
        <v/>
      </c>
      <c r="AT209" s="136" t="str">
        <f>Tab.o1[[#This Row],[MOD]]</f>
        <v/>
      </c>
      <c r="AU209" s="137" t="str">
        <f t="shared" si="13"/>
        <v/>
      </c>
      <c r="AV209" s="138" t="str">
        <f t="shared" si="14"/>
        <v/>
      </c>
      <c r="AW209" s="138" t="str">
        <f t="shared" si="15"/>
        <v/>
      </c>
      <c r="AX209" s="139" t="str">
        <f>[1]!T.in.A[[#This Row],[ID_T_manu]]</f>
        <v/>
      </c>
      <c r="AY209" s="140" t="str">
        <f>IF(ISNUMBER(Tab.o1[[#This Row],[a1]]),IF(AND(Tab.o1[[#This Row],[a1]]=1,Tab.o1[[#This Row],[b1]]&lt;=AY$4),#REF!,AY208),"")</f>
        <v/>
      </c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</row>
    <row r="210" spans="1:79" ht="14.25" hidden="1" customHeight="1">
      <c r="A210" s="109">
        <v>-1.0000000000000001E-5</v>
      </c>
      <c r="B210" s="110">
        <f t="shared" si="12"/>
        <v>210</v>
      </c>
      <c r="C210" s="111" t="str">
        <f>IF(C$1=[1]!T.in.A[[#This Row],[oo2]],1,"")</f>
        <v/>
      </c>
      <c r="D210" s="112" t="str">
        <f>IF(Tab.o1[[#This Row],[a1]]=1,IF(SUM(C210:C211)=0,0,IF(SUM(C209:C210)=1,1,IF(SUM(C209:C211)&gt;1,D209+1,0))),"")</f>
        <v/>
      </c>
      <c r="E210" s="113" t="str">
        <f>IF(Tab.o1[[#This Row],[a1]]=1,[1]!T.in.A[[#This Row],[oo1]],"")</f>
        <v/>
      </c>
      <c r="F210" s="113" t="str">
        <f>IF(Tab.o1[[#This Row],[a1]]=1,[1]!T.in.A[[#This Row],[pp1]],"")</f>
        <v/>
      </c>
      <c r="G210" s="114" t="str">
        <f>IF(Tab.o1[[#This Row],[a1]]=1,G$2+IF(G$1=1,0,Tab.o1[[#This Row],[.x1]])+[1]!T.in.A[[#This Row],[oo3]],"")</f>
        <v/>
      </c>
      <c r="H210" s="115" t="str">
        <f>IF(Tab.o1[[#This Row],[a1]]=1,IF(H$2=0,0,IF(G$1=1,0,Tab.o1[[#This Row],[.x1]])+[1]!T.in.A[[#This Row],[oo4]]),"")</f>
        <v/>
      </c>
      <c r="I210" s="116" t="str">
        <f>IF(Tab.o1[[#This Row],[a1]]=1,IF(J$2=0,Tab.o1[[#This Row],[MED]],Tab.o1[[#This Row],[MOD]]),"")</f>
        <v/>
      </c>
      <c r="J210" s="116" t="str">
        <f>IF(Tab.o1[[#This Row],[a1]]=1,((Tab.o1[[#This Row],[DIF_Target.]]-AVERAGE(Tab.o1[DIF_Target.]))/_xlfn.STDEV.P(Tab.o1[DIF_Target.])),"")</f>
        <v/>
      </c>
      <c r="K210" s="117" t="str">
        <f>IF(Tab.o1[[#This Row],[a1]]=1,IF(J$2=0,Tab.o1[[#This Row],[MOD]]-Tab.o1[[#This Row],[B]],IF(J$2=1,0,-Tab.o1[[#This Row],[MED]])+Tab.o1[[#This Row],[B]]),"")</f>
        <v/>
      </c>
      <c r="L210" s="117" t="str">
        <f ca="1">IF(Tab.o1[[#This Row],[DIF_Target]]=0,IF(L$2=0,Tab.o1[[#This Row],[DIF_Target]],AVERAGE(OFFSET(Tab.o1[[#This Row],[DIF_Target]],1,0,L$3,1)))/3,Tab.o1[[#This Row],[DIF_Target]])</f>
        <v/>
      </c>
      <c r="M210" s="118" t="str">
        <f>IF(Tab.o1[[#This Row],[a1]]=1,NORMSDIST(Tab.o1[[#This Row],[Za]]),"")</f>
        <v/>
      </c>
      <c r="N210" s="119" t="str">
        <f>IF(Tab.o1[[#This Row],[a1]]=1,((Tab.o1[[#This Row],[MedMod]]-AVERAGE(Tab.o1[MedMod]))/_xlfn.STDEV.P(Tab.o1[MedMod])*H$1205)+G$1205,"")</f>
        <v/>
      </c>
      <c r="O210" s="141" t="str">
        <f>IF(Tab.o1[[#This Row],[a1]]=1,Tab.o1[[#This Row],[Zb]]*_xlfn.STDEV.P(Tab.o1[MedMod])+AVERAGE(Tab.o1[MedMod]),"")</f>
        <v/>
      </c>
      <c r="P210" s="117" t="str">
        <f ca="1">IF(Tab.o1[[#This Row],[B]]=0,AVERAGE(OFFSET(Tab.o1[[#This Row],[B]],1,0,L$3,1)),Tab.o1[[#This Row],[B]])</f>
        <v/>
      </c>
      <c r="Q210" s="121" t="str">
        <f>IF(Tab.o1[[#This Row],[a1]]=1,NORMSDIST(Tab.o1[[#This Row],[Zb]]),"")</f>
        <v/>
      </c>
      <c r="R210" s="122" t="str">
        <f>IF(Tab.o1[[#This Row],[a1]]=1,((Tab.o1[[#This Row],[MedMod]]-AVERAGE(Tab.o1[MedMod]))/_xlfn.STDEV.P(Tab.o1[MedMod])*H$1203)+G$1203,"")</f>
        <v/>
      </c>
      <c r="S210" s="122" t="str">
        <f>IF(Tab.o1[[#This Row],[a1]]=1,((Tab.o1[[#This Row],[MedMod]]-AVERAGE(Tab.o1[MedMod]))/_xlfn.STDEV.P(Tab.o1[MedMod])*H$1204)+G$1204,"")</f>
        <v/>
      </c>
      <c r="T210" s="123" t="str">
        <f>IF(Tab.o1[[#This Row],[a1]]=1,Tab.o1[[#This Row],[Z-]]*_xlfn.STDEV.P(Tab.o1[B])+AVERAGE(Tab.o1[B]),"")</f>
        <v/>
      </c>
      <c r="U210" s="123" t="str">
        <f>IF(Tab.o1[[#This Row],[a1]]=1,Tab.o1[[#This Row],[z+]]*_xlfn.STDEV.P(Tab.o1[B])+AVERAGE(Tab.o1[B]),"")</f>
        <v/>
      </c>
      <c r="V210" s="124" t="str">
        <f>IF(Tab.o1[[#This Row],[a1]]=1,ABS((ABS(Tab.o1[[#This Row],[Red]]-Tab.o1[[#This Row],[Blue]]))),"")</f>
        <v/>
      </c>
      <c r="W210" s="125" t="str">
        <f>IF(Tab.o1[[#This Row],[a1]]=1,IF(W$3=0,1,Tab.o1[[#This Row],[Amp.]]*1/_xlfn.MINIFS(Tab.o1[Amp.],Tab.o1[Amp.],"&lt;&gt;0")),"")</f>
        <v/>
      </c>
      <c r="X210" s="126" t="str">
        <f>IF(Tab.o1[[#This Row],[a1]]=1,IF(ISNUMBER(Tab.o1[[#This Row],[i.]]),NORMDIST(Tab.o1[[#This Row],[Za]],0,1,FALSE)*Tab.o1[[#This Row],[i.]],AP$3),"")</f>
        <v/>
      </c>
      <c r="Y210" s="126" t="str">
        <f>IF(Tab.o1[[#This Row],[a1]]=1,0.01+0.94*Tab.o1[[#This Row],[PDF]]/MAX(Tab.o1[PDF]),"")</f>
        <v/>
      </c>
      <c r="Z210" s="126" t="str">
        <f>IF(Tab.o1[[#This Row],[a1]]=1,0.01+0.94*Tab.o1[[#This Row],[W1_PDF]]/MAX(Tab.o1[W1_PDF]),"")</f>
        <v/>
      </c>
      <c r="AA210" s="118" t="str">
        <f>IF(Tab.o1[[#This Row],[a1]]=1,ABS([1]!T.in.A[[#This Row],[oo6]]),"")</f>
        <v/>
      </c>
      <c r="AB210" s="127" t="str">
        <f>IF(Tab.o1[[#This Row],[a1]]=1,IF(AE$3=0,"",IF(AB$3=0,ABS([1]!T.in.A[[#This Row],[oo9]]),ABS(Tab.o1[[#This Row],[DIF_Target.]]*Tab.o1[[#This Row],[W1_PDF]]))),"")</f>
        <v/>
      </c>
      <c r="AC210" s="127" t="str">
        <f>IF(G$1=1,"",IF(Tab.o1[[#This Row],[a1]]=1,Tab.o1[[#This Row],[Wr]]^2,""))</f>
        <v/>
      </c>
      <c r="AD210" s="118" t="str">
        <f>IF(Tab.o1[[#This Row],[a1]]=1,IF(AE$3=0,"",Tab.o1[[#This Row],[Wr2]]/SUM(Tab.o1[Wr2])),"")</f>
        <v/>
      </c>
      <c r="AE210" s="128" t="str">
        <f>IF(Tab.o1[[#This Row],[a1]]=1,[1]!T.in.A[[#This Row],[oo10]],"")</f>
        <v/>
      </c>
      <c r="AF210" s="118" t="str">
        <f>IF(Tab.o1[[#This Row],[a1]]=1,ABS(Tab.o1[[#This Row],[DIF_Target.]]*Tab.o1[[#This Row],[PDF2]]*Tab.o1[[#This Row],[IN]]),"")</f>
        <v/>
      </c>
      <c r="AG210" s="129" t="str">
        <f>IF(Tab.o1[[#This Row],[a1]]=1,Tab.o1[[#This Row],[rW]]^2,"")</f>
        <v/>
      </c>
      <c r="AH210" s="130" t="str">
        <f>IF(Tab.o1[[#This Row],[a1]]=1,IF(AH$3=0,Tab.o1[[#This Row],[rW2]],0.01+0.94*Tab.o1[[#This Row],[rW2]]/SUM(Tab.o1[rW2])),"")</f>
        <v/>
      </c>
      <c r="AI210" s="128" t="str">
        <f>IF(Tab.o1[[#This Row],[a1]]=1,1/Tab.o1[[#This Row],[PDF]],"")</f>
        <v/>
      </c>
      <c r="AJ210" s="131" t="str">
        <f>IF(Tab.o1[[#This Row],[a1]]=1,[1]!T_AA[[#This Row],[IN'']]*[1]!T_AA[[#This Row],[Qde'']],"")</f>
        <v/>
      </c>
      <c r="AK210" s="132" t="str">
        <f>IF(Tab.o1[[#This Row],[a1]]=1,IF(AK$1=1,Tab.o1[[#This Row],[MED]]+Tab.o1[[#This Row],[MOD]]-Tab.o1[[#This Row],[MED]],""),"")</f>
        <v/>
      </c>
      <c r="AL210" s="133" t="str">
        <f>IF(Tab.o1[[#This Row],[a1]]=1,[1]!T.in.A[[#This Row],[oo16]],"")</f>
        <v/>
      </c>
      <c r="AM210" s="133" t="str">
        <f>IF(Tab.o1[[#This Row],[a1]]=1,IF(AM$3=1,[1]!T.in.A[[#This Row],[Σo16]],""),"")</f>
        <v/>
      </c>
      <c r="AN210" s="126" t="str">
        <f>IF(Tab.o1[[#This Row],[a1]]=1,[1]!T.in.A[[#This Row],[Σp5]],"")</f>
        <v/>
      </c>
      <c r="AO210" s="126" t="str">
        <f>IF(Tab.o1[[#This Row],[a1]]=1,IF(AO$3=1,[1]!T.in.A[[#This Row],[Σp5]],""),"")</f>
        <v/>
      </c>
      <c r="AP210" s="110" t="str">
        <f>IF(Tab.o1[[#This Row],[a1]]=1,IF(ISNUMBER(Tab.o1[[#This Row],[i.]]),NORMDIST(Tab.o1[[#This Row],[Za]],0,1,FALSE)*Tab.o1[[#This Row],[i.]],0),"")</f>
        <v/>
      </c>
      <c r="AQ210" s="125" t="str">
        <f>IF(Tab.o1[[#This Row],[a1]]=1,ABS(Tab.o1[[#This Row],[MOD]]-AVERAGE(Tab.o1[MOD])),"")</f>
        <v/>
      </c>
      <c r="AR210" s="134" t="str">
        <f>IF(Tab.o1[[#This Row],[a1]]=1,Tab.o1[[#This Row],[OBS]]/SUM(Tab.o1[OBS]),"")</f>
        <v/>
      </c>
      <c r="AS210" s="135" t="str">
        <f>IF(ISNUMBER(Tab.o1[[#This Row],[a1]]),ROW()-4,"")</f>
        <v/>
      </c>
      <c r="AT210" s="136" t="str">
        <f>Tab.o1[[#This Row],[MOD]]</f>
        <v/>
      </c>
      <c r="AU210" s="137" t="str">
        <f t="shared" si="13"/>
        <v/>
      </c>
      <c r="AV210" s="138" t="str">
        <f t="shared" si="14"/>
        <v/>
      </c>
      <c r="AW210" s="138" t="str">
        <f t="shared" si="15"/>
        <v/>
      </c>
      <c r="AX210" s="139" t="str">
        <f>[1]!T.in.A[[#This Row],[ID_T_manu]]</f>
        <v/>
      </c>
      <c r="AY210" s="140" t="str">
        <f>IF(ISNUMBER(Tab.o1[[#This Row],[a1]]),IF(AND(Tab.o1[[#This Row],[a1]]=1,Tab.o1[[#This Row],[b1]]&lt;=AY$4),#REF!,AY209),"")</f>
        <v/>
      </c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</row>
    <row r="211" spans="1:79" ht="14.25" hidden="1" customHeight="1">
      <c r="A211" s="109">
        <v>-5.9999999999999993E-6</v>
      </c>
      <c r="B211" s="110">
        <f t="shared" si="12"/>
        <v>211</v>
      </c>
      <c r="C211" s="111" t="str">
        <f>IF(C$1=[1]!T.in.A[[#This Row],[oo2]],1,"")</f>
        <v/>
      </c>
      <c r="D211" s="112" t="str">
        <f>IF(Tab.o1[[#This Row],[a1]]=1,IF(SUM(C211:C212)=0,0,IF(SUM(C210:C211)=1,1,IF(SUM(C210:C212)&gt;1,D210+1,0))),"")</f>
        <v/>
      </c>
      <c r="E211" s="113" t="str">
        <f>IF(Tab.o1[[#This Row],[a1]]=1,[1]!T.in.A[[#This Row],[oo1]],"")</f>
        <v/>
      </c>
      <c r="F211" s="113" t="str">
        <f>IF(Tab.o1[[#This Row],[a1]]=1,[1]!T.in.A[[#This Row],[pp1]],"")</f>
        <v/>
      </c>
      <c r="G211" s="114" t="str">
        <f>IF(Tab.o1[[#This Row],[a1]]=1,G$2+IF(G$1=1,0,Tab.o1[[#This Row],[.x1]])+[1]!T.in.A[[#This Row],[oo3]],"")</f>
        <v/>
      </c>
      <c r="H211" s="115" t="str">
        <f>IF(Tab.o1[[#This Row],[a1]]=1,IF(H$2=0,0,IF(G$1=1,0,Tab.o1[[#This Row],[.x1]])+[1]!T.in.A[[#This Row],[oo4]]),"")</f>
        <v/>
      </c>
      <c r="I211" s="116" t="str">
        <f>IF(Tab.o1[[#This Row],[a1]]=1,IF(J$2=0,Tab.o1[[#This Row],[MED]],Tab.o1[[#This Row],[MOD]]),"")</f>
        <v/>
      </c>
      <c r="J211" s="116" t="str">
        <f>IF(Tab.o1[[#This Row],[a1]]=1,((Tab.o1[[#This Row],[DIF_Target.]]-AVERAGE(Tab.o1[DIF_Target.]))/_xlfn.STDEV.P(Tab.o1[DIF_Target.])),"")</f>
        <v/>
      </c>
      <c r="K211" s="117" t="str">
        <f>IF(Tab.o1[[#This Row],[a1]]=1,IF(J$2=0,Tab.o1[[#This Row],[MOD]]-Tab.o1[[#This Row],[B]],IF(J$2=1,0,-Tab.o1[[#This Row],[MED]])+Tab.o1[[#This Row],[B]]),"")</f>
        <v/>
      </c>
      <c r="L211" s="117" t="str">
        <f ca="1">IF(Tab.o1[[#This Row],[DIF_Target]]=0,IF(L$2=0,Tab.o1[[#This Row],[DIF_Target]],AVERAGE(OFFSET(Tab.o1[[#This Row],[DIF_Target]],1,0,L$3,1)))/3,Tab.o1[[#This Row],[DIF_Target]])</f>
        <v/>
      </c>
      <c r="M211" s="118" t="str">
        <f>IF(Tab.o1[[#This Row],[a1]]=1,NORMSDIST(Tab.o1[[#This Row],[Za]]),"")</f>
        <v/>
      </c>
      <c r="N211" s="119" t="str">
        <f>IF(Tab.o1[[#This Row],[a1]]=1,((Tab.o1[[#This Row],[MedMod]]-AVERAGE(Tab.o1[MedMod]))/_xlfn.STDEV.P(Tab.o1[MedMod])*H$1205)+G$1205,"")</f>
        <v/>
      </c>
      <c r="O211" s="141" t="str">
        <f>IF(Tab.o1[[#This Row],[a1]]=1,Tab.o1[[#This Row],[Zb]]*_xlfn.STDEV.P(Tab.o1[MedMod])+AVERAGE(Tab.o1[MedMod]),"")</f>
        <v/>
      </c>
      <c r="P211" s="117" t="str">
        <f ca="1">IF(Tab.o1[[#This Row],[B]]=0,AVERAGE(OFFSET(Tab.o1[[#This Row],[B]],1,0,L$3,1)),Tab.o1[[#This Row],[B]])</f>
        <v/>
      </c>
      <c r="Q211" s="121" t="str">
        <f>IF(Tab.o1[[#This Row],[a1]]=1,NORMSDIST(Tab.o1[[#This Row],[Zb]]),"")</f>
        <v/>
      </c>
      <c r="R211" s="122" t="str">
        <f>IF(Tab.o1[[#This Row],[a1]]=1,((Tab.o1[[#This Row],[MedMod]]-AVERAGE(Tab.o1[MedMod]))/_xlfn.STDEV.P(Tab.o1[MedMod])*H$1203)+G$1203,"")</f>
        <v/>
      </c>
      <c r="S211" s="122" t="str">
        <f>IF(Tab.o1[[#This Row],[a1]]=1,((Tab.o1[[#This Row],[MedMod]]-AVERAGE(Tab.o1[MedMod]))/_xlfn.STDEV.P(Tab.o1[MedMod])*H$1204)+G$1204,"")</f>
        <v/>
      </c>
      <c r="T211" s="123" t="str">
        <f>IF(Tab.o1[[#This Row],[a1]]=1,Tab.o1[[#This Row],[Z-]]*_xlfn.STDEV.P(Tab.o1[B])+AVERAGE(Tab.o1[B]),"")</f>
        <v/>
      </c>
      <c r="U211" s="123" t="str">
        <f>IF(Tab.o1[[#This Row],[a1]]=1,Tab.o1[[#This Row],[z+]]*_xlfn.STDEV.P(Tab.o1[B])+AVERAGE(Tab.o1[B]),"")</f>
        <v/>
      </c>
      <c r="V211" s="124" t="str">
        <f>IF(Tab.o1[[#This Row],[a1]]=1,ABS((ABS(Tab.o1[[#This Row],[Red]]-Tab.o1[[#This Row],[Blue]]))),"")</f>
        <v/>
      </c>
      <c r="W211" s="125" t="str">
        <f>IF(Tab.o1[[#This Row],[a1]]=1,IF(W$3=0,1,Tab.o1[[#This Row],[Amp.]]*1/_xlfn.MINIFS(Tab.o1[Amp.],Tab.o1[Amp.],"&lt;&gt;0")),"")</f>
        <v/>
      </c>
      <c r="X211" s="126" t="str">
        <f>IF(Tab.o1[[#This Row],[a1]]=1,IF(ISNUMBER(Tab.o1[[#This Row],[i.]]),NORMDIST(Tab.o1[[#This Row],[Za]],0,1,FALSE)*Tab.o1[[#This Row],[i.]],AP$3),"")</f>
        <v/>
      </c>
      <c r="Y211" s="126" t="str">
        <f>IF(Tab.o1[[#This Row],[a1]]=1,0.01+0.94*Tab.o1[[#This Row],[PDF]]/MAX(Tab.o1[PDF]),"")</f>
        <v/>
      </c>
      <c r="Z211" s="126" t="str">
        <f>IF(Tab.o1[[#This Row],[a1]]=1,0.01+0.94*Tab.o1[[#This Row],[W1_PDF]]/MAX(Tab.o1[W1_PDF]),"")</f>
        <v/>
      </c>
      <c r="AA211" s="118" t="str">
        <f>IF(Tab.o1[[#This Row],[a1]]=1,ABS([1]!T.in.A[[#This Row],[oo6]]),"")</f>
        <v/>
      </c>
      <c r="AB211" s="127" t="str">
        <f>IF(Tab.o1[[#This Row],[a1]]=1,IF(AE$3=0,"",IF(AB$3=0,ABS([1]!T.in.A[[#This Row],[oo9]]),ABS(Tab.o1[[#This Row],[DIF_Target.]]*Tab.o1[[#This Row],[W1_PDF]]))),"")</f>
        <v/>
      </c>
      <c r="AC211" s="127" t="str">
        <f>IF(G$1=1,"",IF(Tab.o1[[#This Row],[a1]]=1,Tab.o1[[#This Row],[Wr]]^2,""))</f>
        <v/>
      </c>
      <c r="AD211" s="118" t="str">
        <f>IF(Tab.o1[[#This Row],[a1]]=1,IF(AE$3=0,"",Tab.o1[[#This Row],[Wr2]]/SUM(Tab.o1[Wr2])),"")</f>
        <v/>
      </c>
      <c r="AE211" s="128" t="str">
        <f>IF(Tab.o1[[#This Row],[a1]]=1,[1]!T.in.A[[#This Row],[oo10]],"")</f>
        <v/>
      </c>
      <c r="AF211" s="118" t="str">
        <f>IF(Tab.o1[[#This Row],[a1]]=1,ABS(Tab.o1[[#This Row],[DIF_Target.]]*Tab.o1[[#This Row],[PDF2]]*Tab.o1[[#This Row],[IN]]),"")</f>
        <v/>
      </c>
      <c r="AG211" s="129" t="str">
        <f>IF(Tab.o1[[#This Row],[a1]]=1,Tab.o1[[#This Row],[rW]]^2,"")</f>
        <v/>
      </c>
      <c r="AH211" s="130" t="str">
        <f>IF(Tab.o1[[#This Row],[a1]]=1,IF(AH$3=0,Tab.o1[[#This Row],[rW2]],0.01+0.94*Tab.o1[[#This Row],[rW2]]/SUM(Tab.o1[rW2])),"")</f>
        <v/>
      </c>
      <c r="AI211" s="128" t="str">
        <f>IF(Tab.o1[[#This Row],[a1]]=1,1/Tab.o1[[#This Row],[PDF]],"")</f>
        <v/>
      </c>
      <c r="AJ211" s="131" t="str">
        <f>IF(Tab.o1[[#This Row],[a1]]=1,[1]!T_AA[[#This Row],[IN'']]*[1]!T_AA[[#This Row],[Qde'']],"")</f>
        <v/>
      </c>
      <c r="AK211" s="132" t="str">
        <f>IF(Tab.o1[[#This Row],[a1]]=1,IF(AK$1=1,Tab.o1[[#This Row],[MED]]+Tab.o1[[#This Row],[MOD]]-Tab.o1[[#This Row],[MED]],""),"")</f>
        <v/>
      </c>
      <c r="AL211" s="133" t="str">
        <f>IF(Tab.o1[[#This Row],[a1]]=1,[1]!T.in.A[[#This Row],[oo16]],"")</f>
        <v/>
      </c>
      <c r="AM211" s="133" t="str">
        <f>IF(Tab.o1[[#This Row],[a1]]=1,IF(AM$3=1,[1]!T.in.A[[#This Row],[Σo16]],""),"")</f>
        <v/>
      </c>
      <c r="AN211" s="126" t="str">
        <f>IF(Tab.o1[[#This Row],[a1]]=1,[1]!T.in.A[[#This Row],[Σp5]],"")</f>
        <v/>
      </c>
      <c r="AO211" s="126" t="str">
        <f>IF(Tab.o1[[#This Row],[a1]]=1,IF(AO$3=1,[1]!T.in.A[[#This Row],[Σp5]],""),"")</f>
        <v/>
      </c>
      <c r="AP211" s="110" t="str">
        <f>IF(Tab.o1[[#This Row],[a1]]=1,IF(ISNUMBER(Tab.o1[[#This Row],[i.]]),NORMDIST(Tab.o1[[#This Row],[Za]],0,1,FALSE)*Tab.o1[[#This Row],[i.]],0),"")</f>
        <v/>
      </c>
      <c r="AQ211" s="125" t="str">
        <f>IF(Tab.o1[[#This Row],[a1]]=1,ABS(Tab.o1[[#This Row],[MOD]]-AVERAGE(Tab.o1[MOD])),"")</f>
        <v/>
      </c>
      <c r="AR211" s="134" t="str">
        <f>IF(Tab.o1[[#This Row],[a1]]=1,Tab.o1[[#This Row],[OBS]]/SUM(Tab.o1[OBS]),"")</f>
        <v/>
      </c>
      <c r="AS211" s="135" t="str">
        <f>IF(ISNUMBER(Tab.o1[[#This Row],[a1]]),ROW()-4,"")</f>
        <v/>
      </c>
      <c r="AT211" s="136" t="str">
        <f>Tab.o1[[#This Row],[MOD]]</f>
        <v/>
      </c>
      <c r="AU211" s="137" t="str">
        <f t="shared" si="13"/>
        <v/>
      </c>
      <c r="AV211" s="138" t="str">
        <f t="shared" si="14"/>
        <v/>
      </c>
      <c r="AW211" s="138" t="str">
        <f t="shared" si="15"/>
        <v/>
      </c>
      <c r="AX211" s="139" t="str">
        <f>[1]!T.in.A[[#This Row],[ID_T_manu]]</f>
        <v/>
      </c>
      <c r="AY211" s="140" t="str">
        <f>IF(ISNUMBER(Tab.o1[[#This Row],[a1]]),IF(AND(Tab.o1[[#This Row],[a1]]=1,Tab.o1[[#This Row],[b1]]&lt;=AY$4),#REF!,AY210),"")</f>
        <v/>
      </c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</row>
    <row r="212" spans="1:79" ht="14.25" hidden="1" customHeight="1">
      <c r="A212" s="109">
        <v>-2.9999999999999997E-6</v>
      </c>
      <c r="B212" s="110">
        <f t="shared" si="12"/>
        <v>212</v>
      </c>
      <c r="C212" s="111" t="str">
        <f>IF(C$1=[1]!T.in.A[[#This Row],[oo2]],1,"")</f>
        <v/>
      </c>
      <c r="D212" s="112" t="str">
        <f>IF(Tab.o1[[#This Row],[a1]]=1,IF(SUM(C212:C213)=0,0,IF(SUM(C211:C212)=1,1,IF(SUM(C211:C213)&gt;1,D211+1,0))),"")</f>
        <v/>
      </c>
      <c r="E212" s="113" t="str">
        <f>IF(Tab.o1[[#This Row],[a1]]=1,[1]!T.in.A[[#This Row],[oo1]],"")</f>
        <v/>
      </c>
      <c r="F212" s="113" t="str">
        <f>IF(Tab.o1[[#This Row],[a1]]=1,[1]!T.in.A[[#This Row],[pp1]],"")</f>
        <v/>
      </c>
      <c r="G212" s="114" t="str">
        <f>IF(Tab.o1[[#This Row],[a1]]=1,G$2+IF(G$1=1,0,Tab.o1[[#This Row],[.x1]])+[1]!T.in.A[[#This Row],[oo3]],"")</f>
        <v/>
      </c>
      <c r="H212" s="115" t="str">
        <f>IF(Tab.o1[[#This Row],[a1]]=1,IF(H$2=0,0,IF(G$1=1,0,Tab.o1[[#This Row],[.x1]])+[1]!T.in.A[[#This Row],[oo4]]),"")</f>
        <v/>
      </c>
      <c r="I212" s="116" t="str">
        <f>IF(Tab.o1[[#This Row],[a1]]=1,IF(J$2=0,Tab.o1[[#This Row],[MED]],Tab.o1[[#This Row],[MOD]]),"")</f>
        <v/>
      </c>
      <c r="J212" s="116" t="str">
        <f>IF(Tab.o1[[#This Row],[a1]]=1,((Tab.o1[[#This Row],[DIF_Target.]]-AVERAGE(Tab.o1[DIF_Target.]))/_xlfn.STDEV.P(Tab.o1[DIF_Target.])),"")</f>
        <v/>
      </c>
      <c r="K212" s="117" t="str">
        <f>IF(Tab.o1[[#This Row],[a1]]=1,IF(J$2=0,Tab.o1[[#This Row],[MOD]]-Tab.o1[[#This Row],[B]],IF(J$2=1,0,-Tab.o1[[#This Row],[MED]])+Tab.o1[[#This Row],[B]]),"")</f>
        <v/>
      </c>
      <c r="L212" s="117" t="str">
        <f ca="1">IF(Tab.o1[[#This Row],[DIF_Target]]=0,IF(L$2=0,Tab.o1[[#This Row],[DIF_Target]],AVERAGE(OFFSET(Tab.o1[[#This Row],[DIF_Target]],1,0,L$3,1)))/3,Tab.o1[[#This Row],[DIF_Target]])</f>
        <v/>
      </c>
      <c r="M212" s="118" t="str">
        <f>IF(Tab.o1[[#This Row],[a1]]=1,NORMSDIST(Tab.o1[[#This Row],[Za]]),"")</f>
        <v/>
      </c>
      <c r="N212" s="119" t="str">
        <f>IF(Tab.o1[[#This Row],[a1]]=1,((Tab.o1[[#This Row],[MedMod]]-AVERAGE(Tab.o1[MedMod]))/_xlfn.STDEV.P(Tab.o1[MedMod])*H$1205)+G$1205,"")</f>
        <v/>
      </c>
      <c r="O212" s="141" t="str">
        <f>IF(Tab.o1[[#This Row],[a1]]=1,Tab.o1[[#This Row],[Zb]]*_xlfn.STDEV.P(Tab.o1[MedMod])+AVERAGE(Tab.o1[MedMod]),"")</f>
        <v/>
      </c>
      <c r="P212" s="117" t="str">
        <f ca="1">IF(Tab.o1[[#This Row],[B]]=0,AVERAGE(OFFSET(Tab.o1[[#This Row],[B]],1,0,L$3,1)),Tab.o1[[#This Row],[B]])</f>
        <v/>
      </c>
      <c r="Q212" s="121" t="str">
        <f>IF(Tab.o1[[#This Row],[a1]]=1,NORMSDIST(Tab.o1[[#This Row],[Zb]]),"")</f>
        <v/>
      </c>
      <c r="R212" s="122" t="str">
        <f>IF(Tab.o1[[#This Row],[a1]]=1,((Tab.o1[[#This Row],[MedMod]]-AVERAGE(Tab.o1[MedMod]))/_xlfn.STDEV.P(Tab.o1[MedMod])*H$1203)+G$1203,"")</f>
        <v/>
      </c>
      <c r="S212" s="122" t="str">
        <f>IF(Tab.o1[[#This Row],[a1]]=1,((Tab.o1[[#This Row],[MedMod]]-AVERAGE(Tab.o1[MedMod]))/_xlfn.STDEV.P(Tab.o1[MedMod])*H$1204)+G$1204,"")</f>
        <v/>
      </c>
      <c r="T212" s="123" t="str">
        <f>IF(Tab.o1[[#This Row],[a1]]=1,Tab.o1[[#This Row],[Z-]]*_xlfn.STDEV.P(Tab.o1[B])+AVERAGE(Tab.o1[B]),"")</f>
        <v/>
      </c>
      <c r="U212" s="123" t="str">
        <f>IF(Tab.o1[[#This Row],[a1]]=1,Tab.o1[[#This Row],[z+]]*_xlfn.STDEV.P(Tab.o1[B])+AVERAGE(Tab.o1[B]),"")</f>
        <v/>
      </c>
      <c r="V212" s="124" t="str">
        <f>IF(Tab.o1[[#This Row],[a1]]=1,ABS((ABS(Tab.o1[[#This Row],[Red]]-Tab.o1[[#This Row],[Blue]]))),"")</f>
        <v/>
      </c>
      <c r="W212" s="125" t="str">
        <f>IF(Tab.o1[[#This Row],[a1]]=1,IF(W$3=0,1,Tab.o1[[#This Row],[Amp.]]*1/_xlfn.MINIFS(Tab.o1[Amp.],Tab.o1[Amp.],"&lt;&gt;0")),"")</f>
        <v/>
      </c>
      <c r="X212" s="126" t="str">
        <f>IF(Tab.o1[[#This Row],[a1]]=1,IF(ISNUMBER(Tab.o1[[#This Row],[i.]]),NORMDIST(Tab.o1[[#This Row],[Za]],0,1,FALSE)*Tab.o1[[#This Row],[i.]],AP$3),"")</f>
        <v/>
      </c>
      <c r="Y212" s="126" t="str">
        <f>IF(Tab.o1[[#This Row],[a1]]=1,0.01+0.94*Tab.o1[[#This Row],[PDF]]/MAX(Tab.o1[PDF]),"")</f>
        <v/>
      </c>
      <c r="Z212" s="126" t="str">
        <f>IF(Tab.o1[[#This Row],[a1]]=1,0.01+0.94*Tab.o1[[#This Row],[W1_PDF]]/MAX(Tab.o1[W1_PDF]),"")</f>
        <v/>
      </c>
      <c r="AA212" s="118" t="str">
        <f>IF(Tab.o1[[#This Row],[a1]]=1,ABS([1]!T.in.A[[#This Row],[oo6]]),"")</f>
        <v/>
      </c>
      <c r="AB212" s="127" t="str">
        <f>IF(Tab.o1[[#This Row],[a1]]=1,IF(AE$3=0,"",IF(AB$3=0,ABS([1]!T.in.A[[#This Row],[oo9]]),ABS(Tab.o1[[#This Row],[DIF_Target.]]*Tab.o1[[#This Row],[W1_PDF]]))),"")</f>
        <v/>
      </c>
      <c r="AC212" s="127" t="str">
        <f>IF(G$1=1,"",IF(Tab.o1[[#This Row],[a1]]=1,Tab.o1[[#This Row],[Wr]]^2,""))</f>
        <v/>
      </c>
      <c r="AD212" s="118" t="str">
        <f>IF(Tab.o1[[#This Row],[a1]]=1,IF(AE$3=0,"",Tab.o1[[#This Row],[Wr2]]/SUM(Tab.o1[Wr2])),"")</f>
        <v/>
      </c>
      <c r="AE212" s="128" t="str">
        <f>IF(Tab.o1[[#This Row],[a1]]=1,[1]!T.in.A[[#This Row],[oo10]],"")</f>
        <v/>
      </c>
      <c r="AF212" s="118" t="str">
        <f>IF(Tab.o1[[#This Row],[a1]]=1,ABS(Tab.o1[[#This Row],[DIF_Target.]]*Tab.o1[[#This Row],[PDF2]]*Tab.o1[[#This Row],[IN]]),"")</f>
        <v/>
      </c>
      <c r="AG212" s="129" t="str">
        <f>IF(Tab.o1[[#This Row],[a1]]=1,Tab.o1[[#This Row],[rW]]^2,"")</f>
        <v/>
      </c>
      <c r="AH212" s="130" t="str">
        <f>IF(Tab.o1[[#This Row],[a1]]=1,IF(AH$3=0,Tab.o1[[#This Row],[rW2]],0.01+0.94*Tab.o1[[#This Row],[rW2]]/SUM(Tab.o1[rW2])),"")</f>
        <v/>
      </c>
      <c r="AI212" s="128" t="str">
        <f>IF(Tab.o1[[#This Row],[a1]]=1,1/Tab.o1[[#This Row],[PDF]],"")</f>
        <v/>
      </c>
      <c r="AJ212" s="131" t="str">
        <f>IF(Tab.o1[[#This Row],[a1]]=1,[1]!T_AA[[#This Row],[IN'']]*[1]!T_AA[[#This Row],[Qde'']],"")</f>
        <v/>
      </c>
      <c r="AK212" s="132" t="str">
        <f>IF(Tab.o1[[#This Row],[a1]]=1,IF(AK$1=1,Tab.o1[[#This Row],[MED]]+Tab.o1[[#This Row],[MOD]]-Tab.o1[[#This Row],[MED]],""),"")</f>
        <v/>
      </c>
      <c r="AL212" s="133" t="str">
        <f>IF(Tab.o1[[#This Row],[a1]]=1,[1]!T.in.A[[#This Row],[oo16]],"")</f>
        <v/>
      </c>
      <c r="AM212" s="133" t="str">
        <f>IF(Tab.o1[[#This Row],[a1]]=1,IF(AM$3=1,[1]!T.in.A[[#This Row],[Σo16]],""),"")</f>
        <v/>
      </c>
      <c r="AN212" s="126" t="str">
        <f>IF(Tab.o1[[#This Row],[a1]]=1,[1]!T.in.A[[#This Row],[Σp5]],"")</f>
        <v/>
      </c>
      <c r="AO212" s="126" t="str">
        <f>IF(Tab.o1[[#This Row],[a1]]=1,IF(AO$3=1,[1]!T.in.A[[#This Row],[Σp5]],""),"")</f>
        <v/>
      </c>
      <c r="AP212" s="110" t="str">
        <f>IF(Tab.o1[[#This Row],[a1]]=1,IF(ISNUMBER(Tab.o1[[#This Row],[i.]]),NORMDIST(Tab.o1[[#This Row],[Za]],0,1,FALSE)*Tab.o1[[#This Row],[i.]],0),"")</f>
        <v/>
      </c>
      <c r="AQ212" s="125" t="str">
        <f>IF(Tab.o1[[#This Row],[a1]]=1,ABS(Tab.o1[[#This Row],[MOD]]-AVERAGE(Tab.o1[MOD])),"")</f>
        <v/>
      </c>
      <c r="AR212" s="134" t="str">
        <f>IF(Tab.o1[[#This Row],[a1]]=1,Tab.o1[[#This Row],[OBS]]/SUM(Tab.o1[OBS]),"")</f>
        <v/>
      </c>
      <c r="AS212" s="135" t="str">
        <f>IF(ISNUMBER(Tab.o1[[#This Row],[a1]]),ROW()-4,"")</f>
        <v/>
      </c>
      <c r="AT212" s="136" t="str">
        <f>Tab.o1[[#This Row],[MOD]]</f>
        <v/>
      </c>
      <c r="AU212" s="137" t="str">
        <f t="shared" si="13"/>
        <v/>
      </c>
      <c r="AV212" s="138" t="str">
        <f t="shared" si="14"/>
        <v/>
      </c>
      <c r="AW212" s="138" t="str">
        <f t="shared" si="15"/>
        <v/>
      </c>
      <c r="AX212" s="139" t="str">
        <f>[1]!T.in.A[[#This Row],[ID_T_manu]]</f>
        <v/>
      </c>
      <c r="AY212" s="140" t="str">
        <f>IF(ISNUMBER(Tab.o1[[#This Row],[a1]]),IF(AND(Tab.o1[[#This Row],[a1]]=1,Tab.o1[[#This Row],[b1]]&lt;=AY$4),#REF!,AY211),"")</f>
        <v/>
      </c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</row>
    <row r="213" spans="1:79" ht="14.25" hidden="1" customHeight="1">
      <c r="A213" s="109">
        <v>-2.0000000000000003E-6</v>
      </c>
      <c r="B213" s="110">
        <f t="shared" si="12"/>
        <v>213</v>
      </c>
      <c r="C213" s="111" t="str">
        <f>IF(C$1=[1]!T.in.A[[#This Row],[oo2]],1,"")</f>
        <v/>
      </c>
      <c r="D213" s="112" t="str">
        <f>IF(Tab.o1[[#This Row],[a1]]=1,IF(SUM(C213:C214)=0,0,IF(SUM(C212:C213)=1,1,IF(SUM(C212:C214)&gt;1,D212+1,0))),"")</f>
        <v/>
      </c>
      <c r="E213" s="113" t="str">
        <f>IF(Tab.o1[[#This Row],[a1]]=1,[1]!T.in.A[[#This Row],[oo1]],"")</f>
        <v/>
      </c>
      <c r="F213" s="113" t="str">
        <f>IF(Tab.o1[[#This Row],[a1]]=1,[1]!T.in.A[[#This Row],[pp1]],"")</f>
        <v/>
      </c>
      <c r="G213" s="114" t="str">
        <f>IF(Tab.o1[[#This Row],[a1]]=1,G$2+IF(G$1=1,0,Tab.o1[[#This Row],[.x1]])+[1]!T.in.A[[#This Row],[oo3]],"")</f>
        <v/>
      </c>
      <c r="H213" s="115" t="str">
        <f>IF(Tab.o1[[#This Row],[a1]]=1,IF(H$2=0,0,IF(G$1=1,0,Tab.o1[[#This Row],[.x1]])+[1]!T.in.A[[#This Row],[oo4]]),"")</f>
        <v/>
      </c>
      <c r="I213" s="116" t="str">
        <f>IF(Tab.o1[[#This Row],[a1]]=1,IF(J$2=0,Tab.o1[[#This Row],[MED]],Tab.o1[[#This Row],[MOD]]),"")</f>
        <v/>
      </c>
      <c r="J213" s="116" t="str">
        <f>IF(Tab.o1[[#This Row],[a1]]=1,((Tab.o1[[#This Row],[DIF_Target.]]-AVERAGE(Tab.o1[DIF_Target.]))/_xlfn.STDEV.P(Tab.o1[DIF_Target.])),"")</f>
        <v/>
      </c>
      <c r="K213" s="117" t="str">
        <f>IF(Tab.o1[[#This Row],[a1]]=1,IF(J$2=0,Tab.o1[[#This Row],[MOD]]-Tab.o1[[#This Row],[B]],IF(J$2=1,0,-Tab.o1[[#This Row],[MED]])+Tab.o1[[#This Row],[B]]),"")</f>
        <v/>
      </c>
      <c r="L213" s="117" t="str">
        <f ca="1">IF(Tab.o1[[#This Row],[DIF_Target]]=0,IF(L$2=0,Tab.o1[[#This Row],[DIF_Target]],AVERAGE(OFFSET(Tab.o1[[#This Row],[DIF_Target]],1,0,L$3,1)))/3,Tab.o1[[#This Row],[DIF_Target]])</f>
        <v/>
      </c>
      <c r="M213" s="118" t="str">
        <f>IF(Tab.o1[[#This Row],[a1]]=1,NORMSDIST(Tab.o1[[#This Row],[Za]]),"")</f>
        <v/>
      </c>
      <c r="N213" s="119" t="str">
        <f>IF(Tab.o1[[#This Row],[a1]]=1,((Tab.o1[[#This Row],[MedMod]]-AVERAGE(Tab.o1[MedMod]))/_xlfn.STDEV.P(Tab.o1[MedMod])*H$1205)+G$1205,"")</f>
        <v/>
      </c>
      <c r="O213" s="141" t="str">
        <f>IF(Tab.o1[[#This Row],[a1]]=1,Tab.o1[[#This Row],[Zb]]*_xlfn.STDEV.P(Tab.o1[MedMod])+AVERAGE(Tab.o1[MedMod]),"")</f>
        <v/>
      </c>
      <c r="P213" s="117" t="str">
        <f ca="1">IF(Tab.o1[[#This Row],[B]]=0,AVERAGE(OFFSET(Tab.o1[[#This Row],[B]],1,0,L$3,1)),Tab.o1[[#This Row],[B]])</f>
        <v/>
      </c>
      <c r="Q213" s="121" t="str">
        <f>IF(Tab.o1[[#This Row],[a1]]=1,NORMSDIST(Tab.o1[[#This Row],[Zb]]),"")</f>
        <v/>
      </c>
      <c r="R213" s="122" t="str">
        <f>IF(Tab.o1[[#This Row],[a1]]=1,((Tab.o1[[#This Row],[MedMod]]-AVERAGE(Tab.o1[MedMod]))/_xlfn.STDEV.P(Tab.o1[MedMod])*H$1203)+G$1203,"")</f>
        <v/>
      </c>
      <c r="S213" s="122" t="str">
        <f>IF(Tab.o1[[#This Row],[a1]]=1,((Tab.o1[[#This Row],[MedMod]]-AVERAGE(Tab.o1[MedMod]))/_xlfn.STDEV.P(Tab.o1[MedMod])*H$1204)+G$1204,"")</f>
        <v/>
      </c>
      <c r="T213" s="123" t="str">
        <f>IF(Tab.o1[[#This Row],[a1]]=1,Tab.o1[[#This Row],[Z-]]*_xlfn.STDEV.P(Tab.o1[B])+AVERAGE(Tab.o1[B]),"")</f>
        <v/>
      </c>
      <c r="U213" s="123" t="str">
        <f>IF(Tab.o1[[#This Row],[a1]]=1,Tab.o1[[#This Row],[z+]]*_xlfn.STDEV.P(Tab.o1[B])+AVERAGE(Tab.o1[B]),"")</f>
        <v/>
      </c>
      <c r="V213" s="124" t="str">
        <f>IF(Tab.o1[[#This Row],[a1]]=1,ABS((ABS(Tab.o1[[#This Row],[Red]]-Tab.o1[[#This Row],[Blue]]))),"")</f>
        <v/>
      </c>
      <c r="W213" s="125" t="str">
        <f>IF(Tab.o1[[#This Row],[a1]]=1,IF(W$3=0,1,Tab.o1[[#This Row],[Amp.]]*1/_xlfn.MINIFS(Tab.o1[Amp.],Tab.o1[Amp.],"&lt;&gt;0")),"")</f>
        <v/>
      </c>
      <c r="X213" s="126" t="str">
        <f>IF(Tab.o1[[#This Row],[a1]]=1,IF(ISNUMBER(Tab.o1[[#This Row],[i.]]),NORMDIST(Tab.o1[[#This Row],[Za]],0,1,FALSE)*Tab.o1[[#This Row],[i.]],AP$3),"")</f>
        <v/>
      </c>
      <c r="Y213" s="126" t="str">
        <f>IF(Tab.o1[[#This Row],[a1]]=1,0.01+0.94*Tab.o1[[#This Row],[PDF]]/MAX(Tab.o1[PDF]),"")</f>
        <v/>
      </c>
      <c r="Z213" s="126" t="str">
        <f>IF(Tab.o1[[#This Row],[a1]]=1,0.01+0.94*Tab.o1[[#This Row],[W1_PDF]]/MAX(Tab.o1[W1_PDF]),"")</f>
        <v/>
      </c>
      <c r="AA213" s="118" t="str">
        <f>IF(Tab.o1[[#This Row],[a1]]=1,ABS([1]!T.in.A[[#This Row],[oo6]]),"")</f>
        <v/>
      </c>
      <c r="AB213" s="127" t="str">
        <f>IF(Tab.o1[[#This Row],[a1]]=1,IF(AE$3=0,"",IF(AB$3=0,ABS([1]!T.in.A[[#This Row],[oo9]]),ABS(Tab.o1[[#This Row],[DIF_Target.]]*Tab.o1[[#This Row],[W1_PDF]]))),"")</f>
        <v/>
      </c>
      <c r="AC213" s="127" t="str">
        <f>IF(G$1=1,"",IF(Tab.o1[[#This Row],[a1]]=1,Tab.o1[[#This Row],[Wr]]^2,""))</f>
        <v/>
      </c>
      <c r="AD213" s="118" t="str">
        <f>IF(Tab.o1[[#This Row],[a1]]=1,IF(AE$3=0,"",Tab.o1[[#This Row],[Wr2]]/SUM(Tab.o1[Wr2])),"")</f>
        <v/>
      </c>
      <c r="AE213" s="128" t="str">
        <f>IF(Tab.o1[[#This Row],[a1]]=1,[1]!T.in.A[[#This Row],[oo10]],"")</f>
        <v/>
      </c>
      <c r="AF213" s="118" t="str">
        <f>IF(Tab.o1[[#This Row],[a1]]=1,ABS(Tab.o1[[#This Row],[DIF_Target.]]*Tab.o1[[#This Row],[PDF2]]*Tab.o1[[#This Row],[IN]]),"")</f>
        <v/>
      </c>
      <c r="AG213" s="129" t="str">
        <f>IF(Tab.o1[[#This Row],[a1]]=1,Tab.o1[[#This Row],[rW]]^2,"")</f>
        <v/>
      </c>
      <c r="AH213" s="130" t="str">
        <f>IF(Tab.o1[[#This Row],[a1]]=1,IF(AH$3=0,Tab.o1[[#This Row],[rW2]],0.01+0.94*Tab.o1[[#This Row],[rW2]]/SUM(Tab.o1[rW2])),"")</f>
        <v/>
      </c>
      <c r="AI213" s="128" t="str">
        <f>IF(Tab.o1[[#This Row],[a1]]=1,1/Tab.o1[[#This Row],[PDF]],"")</f>
        <v/>
      </c>
      <c r="AJ213" s="131" t="str">
        <f>IF(Tab.o1[[#This Row],[a1]]=1,[1]!T_AA[[#This Row],[IN'']]*[1]!T_AA[[#This Row],[Qde'']],"")</f>
        <v/>
      </c>
      <c r="AK213" s="132" t="str">
        <f>IF(Tab.o1[[#This Row],[a1]]=1,IF(AK$1=1,Tab.o1[[#This Row],[MED]]+Tab.o1[[#This Row],[MOD]]-Tab.o1[[#This Row],[MED]],""),"")</f>
        <v/>
      </c>
      <c r="AL213" s="133" t="str">
        <f>IF(Tab.o1[[#This Row],[a1]]=1,[1]!T.in.A[[#This Row],[oo16]],"")</f>
        <v/>
      </c>
      <c r="AM213" s="133" t="str">
        <f>IF(Tab.o1[[#This Row],[a1]]=1,IF(AM$3=1,[1]!T.in.A[[#This Row],[Σo16]],""),"")</f>
        <v/>
      </c>
      <c r="AN213" s="126" t="str">
        <f>IF(Tab.o1[[#This Row],[a1]]=1,[1]!T.in.A[[#This Row],[Σp5]],"")</f>
        <v/>
      </c>
      <c r="AO213" s="126" t="str">
        <f>IF(Tab.o1[[#This Row],[a1]]=1,IF(AO$3=1,[1]!T.in.A[[#This Row],[Σp5]],""),"")</f>
        <v/>
      </c>
      <c r="AP213" s="110" t="str">
        <f>IF(Tab.o1[[#This Row],[a1]]=1,IF(ISNUMBER(Tab.o1[[#This Row],[i.]]),NORMDIST(Tab.o1[[#This Row],[Za]],0,1,FALSE)*Tab.o1[[#This Row],[i.]],0),"")</f>
        <v/>
      </c>
      <c r="AQ213" s="125" t="str">
        <f>IF(Tab.o1[[#This Row],[a1]]=1,ABS(Tab.o1[[#This Row],[MOD]]-AVERAGE(Tab.o1[MOD])),"")</f>
        <v/>
      </c>
      <c r="AR213" s="134" t="str">
        <f>IF(Tab.o1[[#This Row],[a1]]=1,Tab.o1[[#This Row],[OBS]]/SUM(Tab.o1[OBS]),"")</f>
        <v/>
      </c>
      <c r="AS213" s="135" t="str">
        <f>IF(ISNUMBER(Tab.o1[[#This Row],[a1]]),ROW()-4,"")</f>
        <v/>
      </c>
      <c r="AT213" s="136" t="str">
        <f>Tab.o1[[#This Row],[MOD]]</f>
        <v/>
      </c>
      <c r="AU213" s="137" t="str">
        <f t="shared" si="13"/>
        <v/>
      </c>
      <c r="AV213" s="138" t="str">
        <f t="shared" si="14"/>
        <v/>
      </c>
      <c r="AW213" s="138" t="str">
        <f t="shared" si="15"/>
        <v/>
      </c>
      <c r="AX213" s="139" t="str">
        <f>[1]!T.in.A[[#This Row],[ID_T_manu]]</f>
        <v/>
      </c>
      <c r="AY213" s="140" t="str">
        <f>IF(ISNUMBER(Tab.o1[[#This Row],[a1]]),IF(AND(Tab.o1[[#This Row],[a1]]=1,Tab.o1[[#This Row],[b1]]&lt;=AY$4),#REF!,AY212),"")</f>
        <v/>
      </c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</row>
    <row r="214" spans="1:79" ht="14.25" hidden="1" customHeight="1">
      <c r="A214" s="109">
        <v>1.0000000000000001E-5</v>
      </c>
      <c r="B214" s="110">
        <f t="shared" si="12"/>
        <v>214</v>
      </c>
      <c r="C214" s="111" t="str">
        <f>IF(C$1=[1]!T.in.A[[#This Row],[oo2]],1,"")</f>
        <v/>
      </c>
      <c r="D214" s="112" t="str">
        <f>IF(Tab.o1[[#This Row],[a1]]=1,IF(SUM(C214:C215)=0,0,IF(SUM(C213:C214)=1,1,IF(SUM(C213:C215)&gt;1,D213+1,0))),"")</f>
        <v/>
      </c>
      <c r="E214" s="113" t="str">
        <f>IF(Tab.o1[[#This Row],[a1]]=1,[1]!T.in.A[[#This Row],[oo1]],"")</f>
        <v/>
      </c>
      <c r="F214" s="113" t="str">
        <f>IF(Tab.o1[[#This Row],[a1]]=1,[1]!T.in.A[[#This Row],[pp1]],"")</f>
        <v/>
      </c>
      <c r="G214" s="114" t="str">
        <f>IF(Tab.o1[[#This Row],[a1]]=1,G$2+IF(G$1=1,0,Tab.o1[[#This Row],[.x1]])+[1]!T.in.A[[#This Row],[oo3]],"")</f>
        <v/>
      </c>
      <c r="H214" s="115" t="str">
        <f>IF(Tab.o1[[#This Row],[a1]]=1,IF(H$2=0,0,IF(G$1=1,0,Tab.o1[[#This Row],[.x1]])+[1]!T.in.A[[#This Row],[oo4]]),"")</f>
        <v/>
      </c>
      <c r="I214" s="116" t="str">
        <f>IF(Tab.o1[[#This Row],[a1]]=1,IF(J$2=0,Tab.o1[[#This Row],[MED]],Tab.o1[[#This Row],[MOD]]),"")</f>
        <v/>
      </c>
      <c r="J214" s="116" t="str">
        <f>IF(Tab.o1[[#This Row],[a1]]=1,((Tab.o1[[#This Row],[DIF_Target.]]-AVERAGE(Tab.o1[DIF_Target.]))/_xlfn.STDEV.P(Tab.o1[DIF_Target.])),"")</f>
        <v/>
      </c>
      <c r="K214" s="117" t="str">
        <f>IF(Tab.o1[[#This Row],[a1]]=1,IF(J$2=0,Tab.o1[[#This Row],[MOD]]-Tab.o1[[#This Row],[B]],IF(J$2=1,0,-Tab.o1[[#This Row],[MED]])+Tab.o1[[#This Row],[B]]),"")</f>
        <v/>
      </c>
      <c r="L214" s="117" t="str">
        <f ca="1">IF(Tab.o1[[#This Row],[DIF_Target]]=0,IF(L$2=0,Tab.o1[[#This Row],[DIF_Target]],AVERAGE(OFFSET(Tab.o1[[#This Row],[DIF_Target]],1,0,L$3,1)))/3,Tab.o1[[#This Row],[DIF_Target]])</f>
        <v/>
      </c>
      <c r="M214" s="118" t="str">
        <f>IF(Tab.o1[[#This Row],[a1]]=1,NORMSDIST(Tab.o1[[#This Row],[Za]]),"")</f>
        <v/>
      </c>
      <c r="N214" s="119" t="str">
        <f>IF(Tab.o1[[#This Row],[a1]]=1,((Tab.o1[[#This Row],[MedMod]]-AVERAGE(Tab.o1[MedMod]))/_xlfn.STDEV.P(Tab.o1[MedMod])*H$1205)+G$1205,"")</f>
        <v/>
      </c>
      <c r="O214" s="141" t="str">
        <f>IF(Tab.o1[[#This Row],[a1]]=1,Tab.o1[[#This Row],[Zb]]*_xlfn.STDEV.P(Tab.o1[MedMod])+AVERAGE(Tab.o1[MedMod]),"")</f>
        <v/>
      </c>
      <c r="P214" s="117" t="str">
        <f ca="1">IF(Tab.o1[[#This Row],[B]]=0,AVERAGE(OFFSET(Tab.o1[[#This Row],[B]],1,0,L$3,1)),Tab.o1[[#This Row],[B]])</f>
        <v/>
      </c>
      <c r="Q214" s="121" t="str">
        <f>IF(Tab.o1[[#This Row],[a1]]=1,NORMSDIST(Tab.o1[[#This Row],[Zb]]),"")</f>
        <v/>
      </c>
      <c r="R214" s="122" t="str">
        <f>IF(Tab.o1[[#This Row],[a1]]=1,((Tab.o1[[#This Row],[MedMod]]-AVERAGE(Tab.o1[MedMod]))/_xlfn.STDEV.P(Tab.o1[MedMod])*H$1203)+G$1203,"")</f>
        <v/>
      </c>
      <c r="S214" s="122" t="str">
        <f>IF(Tab.o1[[#This Row],[a1]]=1,((Tab.o1[[#This Row],[MedMod]]-AVERAGE(Tab.o1[MedMod]))/_xlfn.STDEV.P(Tab.o1[MedMod])*H$1204)+G$1204,"")</f>
        <v/>
      </c>
      <c r="T214" s="123" t="str">
        <f>IF(Tab.o1[[#This Row],[a1]]=1,Tab.o1[[#This Row],[Z-]]*_xlfn.STDEV.P(Tab.o1[B])+AVERAGE(Tab.o1[B]),"")</f>
        <v/>
      </c>
      <c r="U214" s="123" t="str">
        <f>IF(Tab.o1[[#This Row],[a1]]=1,Tab.o1[[#This Row],[z+]]*_xlfn.STDEV.P(Tab.o1[B])+AVERAGE(Tab.o1[B]),"")</f>
        <v/>
      </c>
      <c r="V214" s="124" t="str">
        <f>IF(Tab.o1[[#This Row],[a1]]=1,ABS((ABS(Tab.o1[[#This Row],[Red]]-Tab.o1[[#This Row],[Blue]]))),"")</f>
        <v/>
      </c>
      <c r="W214" s="125" t="str">
        <f>IF(Tab.o1[[#This Row],[a1]]=1,IF(W$3=0,1,Tab.o1[[#This Row],[Amp.]]*1/_xlfn.MINIFS(Tab.o1[Amp.],Tab.o1[Amp.],"&lt;&gt;0")),"")</f>
        <v/>
      </c>
      <c r="X214" s="126" t="str">
        <f>IF(Tab.o1[[#This Row],[a1]]=1,IF(ISNUMBER(Tab.o1[[#This Row],[i.]]),NORMDIST(Tab.o1[[#This Row],[Za]],0,1,FALSE)*Tab.o1[[#This Row],[i.]],AP$3),"")</f>
        <v/>
      </c>
      <c r="Y214" s="126" t="str">
        <f>IF(Tab.o1[[#This Row],[a1]]=1,0.01+0.94*Tab.o1[[#This Row],[PDF]]/MAX(Tab.o1[PDF]),"")</f>
        <v/>
      </c>
      <c r="Z214" s="126" t="str">
        <f>IF(Tab.o1[[#This Row],[a1]]=1,0.01+0.94*Tab.o1[[#This Row],[W1_PDF]]/MAX(Tab.o1[W1_PDF]),"")</f>
        <v/>
      </c>
      <c r="AA214" s="118" t="str">
        <f>IF(Tab.o1[[#This Row],[a1]]=1,ABS([1]!T.in.A[[#This Row],[oo6]]),"")</f>
        <v/>
      </c>
      <c r="AB214" s="127" t="str">
        <f>IF(Tab.o1[[#This Row],[a1]]=1,IF(AE$3=0,"",IF(AB$3=0,ABS([1]!T.in.A[[#This Row],[oo9]]),ABS(Tab.o1[[#This Row],[DIF_Target.]]*Tab.o1[[#This Row],[W1_PDF]]))),"")</f>
        <v/>
      </c>
      <c r="AC214" s="127" t="str">
        <f>IF(G$1=1,"",IF(Tab.o1[[#This Row],[a1]]=1,Tab.o1[[#This Row],[Wr]]^2,""))</f>
        <v/>
      </c>
      <c r="AD214" s="118" t="str">
        <f>IF(Tab.o1[[#This Row],[a1]]=1,IF(AE$3=0,"",Tab.o1[[#This Row],[Wr2]]/SUM(Tab.o1[Wr2])),"")</f>
        <v/>
      </c>
      <c r="AE214" s="128" t="str">
        <f>IF(Tab.o1[[#This Row],[a1]]=1,[1]!T.in.A[[#This Row],[oo10]],"")</f>
        <v/>
      </c>
      <c r="AF214" s="118" t="str">
        <f>IF(Tab.o1[[#This Row],[a1]]=1,ABS(Tab.o1[[#This Row],[DIF_Target.]]*Tab.o1[[#This Row],[PDF2]]*Tab.o1[[#This Row],[IN]]),"")</f>
        <v/>
      </c>
      <c r="AG214" s="129" t="str">
        <f>IF(Tab.o1[[#This Row],[a1]]=1,Tab.o1[[#This Row],[rW]]^2,"")</f>
        <v/>
      </c>
      <c r="AH214" s="130" t="str">
        <f>IF(Tab.o1[[#This Row],[a1]]=1,IF(AH$3=0,Tab.o1[[#This Row],[rW2]],0.01+0.94*Tab.o1[[#This Row],[rW2]]/SUM(Tab.o1[rW2])),"")</f>
        <v/>
      </c>
      <c r="AI214" s="128" t="str">
        <f>IF(Tab.o1[[#This Row],[a1]]=1,1/Tab.o1[[#This Row],[PDF]],"")</f>
        <v/>
      </c>
      <c r="AJ214" s="131" t="str">
        <f>IF(Tab.o1[[#This Row],[a1]]=1,[1]!T_AA[[#This Row],[IN'']]*[1]!T_AA[[#This Row],[Qde'']],"")</f>
        <v/>
      </c>
      <c r="AK214" s="132" t="str">
        <f>IF(Tab.o1[[#This Row],[a1]]=1,IF(AK$1=1,Tab.o1[[#This Row],[MED]]+Tab.o1[[#This Row],[MOD]]-Tab.o1[[#This Row],[MED]],""),"")</f>
        <v/>
      </c>
      <c r="AL214" s="133" t="str">
        <f>IF(Tab.o1[[#This Row],[a1]]=1,[1]!T.in.A[[#This Row],[oo16]],"")</f>
        <v/>
      </c>
      <c r="AM214" s="133" t="str">
        <f>IF(Tab.o1[[#This Row],[a1]]=1,IF(AM$3=1,[1]!T.in.A[[#This Row],[Σo16]],""),"")</f>
        <v/>
      </c>
      <c r="AN214" s="126" t="str">
        <f>IF(Tab.o1[[#This Row],[a1]]=1,[1]!T.in.A[[#This Row],[Σp5]],"")</f>
        <v/>
      </c>
      <c r="AO214" s="126" t="str">
        <f>IF(Tab.o1[[#This Row],[a1]]=1,IF(AO$3=1,[1]!T.in.A[[#This Row],[Σp5]],""),"")</f>
        <v/>
      </c>
      <c r="AP214" s="110" t="str">
        <f>IF(Tab.o1[[#This Row],[a1]]=1,IF(ISNUMBER(Tab.o1[[#This Row],[i.]]),NORMDIST(Tab.o1[[#This Row],[Za]],0,1,FALSE)*Tab.o1[[#This Row],[i.]],0),"")</f>
        <v/>
      </c>
      <c r="AQ214" s="125" t="str">
        <f>IF(Tab.o1[[#This Row],[a1]]=1,ABS(Tab.o1[[#This Row],[MOD]]-AVERAGE(Tab.o1[MOD])),"")</f>
        <v/>
      </c>
      <c r="AR214" s="134" t="str">
        <f>IF(Tab.o1[[#This Row],[a1]]=1,Tab.o1[[#This Row],[OBS]]/SUM(Tab.o1[OBS]),"")</f>
        <v/>
      </c>
      <c r="AS214" s="135" t="str">
        <f>IF(ISNUMBER(Tab.o1[[#This Row],[a1]]),ROW()-4,"")</f>
        <v/>
      </c>
      <c r="AT214" s="136" t="str">
        <f>Tab.o1[[#This Row],[MOD]]</f>
        <v/>
      </c>
      <c r="AU214" s="137" t="str">
        <f t="shared" si="13"/>
        <v/>
      </c>
      <c r="AV214" s="138" t="str">
        <f t="shared" si="14"/>
        <v/>
      </c>
      <c r="AW214" s="138" t="str">
        <f t="shared" si="15"/>
        <v/>
      </c>
      <c r="AX214" s="139" t="str">
        <f>[1]!T.in.A[[#This Row],[ID_T_manu]]</f>
        <v/>
      </c>
      <c r="AY214" s="140" t="str">
        <f>IF(ISNUMBER(Tab.o1[[#This Row],[a1]]),IF(AND(Tab.o1[[#This Row],[a1]]=1,Tab.o1[[#This Row],[b1]]&lt;=AY$4),#REF!,AY213),"")</f>
        <v/>
      </c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</row>
    <row r="215" spans="1:79" ht="14.25" hidden="1" customHeight="1">
      <c r="A215" s="109">
        <v>-2.0000000000000003E-6</v>
      </c>
      <c r="B215" s="110">
        <f t="shared" si="12"/>
        <v>215</v>
      </c>
      <c r="C215" s="111" t="str">
        <f>IF(C$1=[1]!T.in.A[[#This Row],[oo2]],1,"")</f>
        <v/>
      </c>
      <c r="D215" s="112" t="str">
        <f>IF(Tab.o1[[#This Row],[a1]]=1,IF(SUM(C215:C216)=0,0,IF(SUM(C214:C215)=1,1,IF(SUM(C214:C216)&gt;1,D214+1,0))),"")</f>
        <v/>
      </c>
      <c r="E215" s="113" t="str">
        <f>IF(Tab.o1[[#This Row],[a1]]=1,[1]!T.in.A[[#This Row],[oo1]],"")</f>
        <v/>
      </c>
      <c r="F215" s="113" t="str">
        <f>IF(Tab.o1[[#This Row],[a1]]=1,[1]!T.in.A[[#This Row],[pp1]],"")</f>
        <v/>
      </c>
      <c r="G215" s="114" t="str">
        <f>IF(Tab.o1[[#This Row],[a1]]=1,G$2+IF(G$1=1,0,Tab.o1[[#This Row],[.x1]])+[1]!T.in.A[[#This Row],[oo3]],"")</f>
        <v/>
      </c>
      <c r="H215" s="115" t="str">
        <f>IF(Tab.o1[[#This Row],[a1]]=1,IF(H$2=0,0,IF(G$1=1,0,Tab.o1[[#This Row],[.x1]])+[1]!T.in.A[[#This Row],[oo4]]),"")</f>
        <v/>
      </c>
      <c r="I215" s="116" t="str">
        <f>IF(Tab.o1[[#This Row],[a1]]=1,IF(J$2=0,Tab.o1[[#This Row],[MED]],Tab.o1[[#This Row],[MOD]]),"")</f>
        <v/>
      </c>
      <c r="J215" s="116" t="str">
        <f>IF(Tab.o1[[#This Row],[a1]]=1,((Tab.o1[[#This Row],[DIF_Target.]]-AVERAGE(Tab.o1[DIF_Target.]))/_xlfn.STDEV.P(Tab.o1[DIF_Target.])),"")</f>
        <v/>
      </c>
      <c r="K215" s="117" t="str">
        <f>IF(Tab.o1[[#This Row],[a1]]=1,IF(J$2=0,Tab.o1[[#This Row],[MOD]]-Tab.o1[[#This Row],[B]],IF(J$2=1,0,-Tab.o1[[#This Row],[MED]])+Tab.o1[[#This Row],[B]]),"")</f>
        <v/>
      </c>
      <c r="L215" s="117" t="str">
        <f ca="1">IF(Tab.o1[[#This Row],[DIF_Target]]=0,IF(L$2=0,Tab.o1[[#This Row],[DIF_Target]],AVERAGE(OFFSET(Tab.o1[[#This Row],[DIF_Target]],1,0,L$3,1)))/3,Tab.o1[[#This Row],[DIF_Target]])</f>
        <v/>
      </c>
      <c r="M215" s="118" t="str">
        <f>IF(Tab.o1[[#This Row],[a1]]=1,NORMSDIST(Tab.o1[[#This Row],[Za]]),"")</f>
        <v/>
      </c>
      <c r="N215" s="119" t="str">
        <f>IF(Tab.o1[[#This Row],[a1]]=1,((Tab.o1[[#This Row],[MedMod]]-AVERAGE(Tab.o1[MedMod]))/_xlfn.STDEV.P(Tab.o1[MedMod])*H$1205)+G$1205,"")</f>
        <v/>
      </c>
      <c r="O215" s="141" t="str">
        <f>IF(Tab.o1[[#This Row],[a1]]=1,Tab.o1[[#This Row],[Zb]]*_xlfn.STDEV.P(Tab.o1[MedMod])+AVERAGE(Tab.o1[MedMod]),"")</f>
        <v/>
      </c>
      <c r="P215" s="117" t="str">
        <f ca="1">IF(Tab.o1[[#This Row],[B]]=0,AVERAGE(OFFSET(Tab.o1[[#This Row],[B]],1,0,L$3,1)),Tab.o1[[#This Row],[B]])</f>
        <v/>
      </c>
      <c r="Q215" s="121" t="str">
        <f>IF(Tab.o1[[#This Row],[a1]]=1,NORMSDIST(Tab.o1[[#This Row],[Zb]]),"")</f>
        <v/>
      </c>
      <c r="R215" s="122" t="str">
        <f>IF(Tab.o1[[#This Row],[a1]]=1,((Tab.o1[[#This Row],[MedMod]]-AVERAGE(Tab.o1[MedMod]))/_xlfn.STDEV.P(Tab.o1[MedMod])*H$1203)+G$1203,"")</f>
        <v/>
      </c>
      <c r="S215" s="122" t="str">
        <f>IF(Tab.o1[[#This Row],[a1]]=1,((Tab.o1[[#This Row],[MedMod]]-AVERAGE(Tab.o1[MedMod]))/_xlfn.STDEV.P(Tab.o1[MedMod])*H$1204)+G$1204,"")</f>
        <v/>
      </c>
      <c r="T215" s="123" t="str">
        <f>IF(Tab.o1[[#This Row],[a1]]=1,Tab.o1[[#This Row],[Z-]]*_xlfn.STDEV.P(Tab.o1[B])+AVERAGE(Tab.o1[B]),"")</f>
        <v/>
      </c>
      <c r="U215" s="123" t="str">
        <f>IF(Tab.o1[[#This Row],[a1]]=1,Tab.o1[[#This Row],[z+]]*_xlfn.STDEV.P(Tab.o1[B])+AVERAGE(Tab.o1[B]),"")</f>
        <v/>
      </c>
      <c r="V215" s="124" t="str">
        <f>IF(Tab.o1[[#This Row],[a1]]=1,ABS((ABS(Tab.o1[[#This Row],[Red]]-Tab.o1[[#This Row],[Blue]]))),"")</f>
        <v/>
      </c>
      <c r="W215" s="125" t="str">
        <f>IF(Tab.o1[[#This Row],[a1]]=1,IF(W$3=0,1,Tab.o1[[#This Row],[Amp.]]*1/_xlfn.MINIFS(Tab.o1[Amp.],Tab.o1[Amp.],"&lt;&gt;0")),"")</f>
        <v/>
      </c>
      <c r="X215" s="126" t="str">
        <f>IF(Tab.o1[[#This Row],[a1]]=1,IF(ISNUMBER(Tab.o1[[#This Row],[i.]]),NORMDIST(Tab.o1[[#This Row],[Za]],0,1,FALSE)*Tab.o1[[#This Row],[i.]],AP$3),"")</f>
        <v/>
      </c>
      <c r="Y215" s="126" t="str">
        <f>IF(Tab.o1[[#This Row],[a1]]=1,0.01+0.94*Tab.o1[[#This Row],[PDF]]/MAX(Tab.o1[PDF]),"")</f>
        <v/>
      </c>
      <c r="Z215" s="126" t="str">
        <f>IF(Tab.o1[[#This Row],[a1]]=1,0.01+0.94*Tab.o1[[#This Row],[W1_PDF]]/MAX(Tab.o1[W1_PDF]),"")</f>
        <v/>
      </c>
      <c r="AA215" s="118" t="str">
        <f>IF(Tab.o1[[#This Row],[a1]]=1,ABS([1]!T.in.A[[#This Row],[oo6]]),"")</f>
        <v/>
      </c>
      <c r="AB215" s="127" t="str">
        <f>IF(Tab.o1[[#This Row],[a1]]=1,IF(AE$3=0,"",IF(AB$3=0,ABS([1]!T.in.A[[#This Row],[oo9]]),ABS(Tab.o1[[#This Row],[DIF_Target.]]*Tab.o1[[#This Row],[W1_PDF]]))),"")</f>
        <v/>
      </c>
      <c r="AC215" s="127" t="str">
        <f>IF(G$1=1,"",IF(Tab.o1[[#This Row],[a1]]=1,Tab.o1[[#This Row],[Wr]]^2,""))</f>
        <v/>
      </c>
      <c r="AD215" s="118" t="str">
        <f>IF(Tab.o1[[#This Row],[a1]]=1,IF(AE$3=0,"",Tab.o1[[#This Row],[Wr2]]/SUM(Tab.o1[Wr2])),"")</f>
        <v/>
      </c>
      <c r="AE215" s="128" t="str">
        <f>IF(Tab.o1[[#This Row],[a1]]=1,[1]!T.in.A[[#This Row],[oo10]],"")</f>
        <v/>
      </c>
      <c r="AF215" s="118" t="str">
        <f>IF(Tab.o1[[#This Row],[a1]]=1,ABS(Tab.o1[[#This Row],[DIF_Target.]]*Tab.o1[[#This Row],[PDF2]]*Tab.o1[[#This Row],[IN]]),"")</f>
        <v/>
      </c>
      <c r="AG215" s="129" t="str">
        <f>IF(Tab.o1[[#This Row],[a1]]=1,Tab.o1[[#This Row],[rW]]^2,"")</f>
        <v/>
      </c>
      <c r="AH215" s="130" t="str">
        <f>IF(Tab.o1[[#This Row],[a1]]=1,IF(AH$3=0,Tab.o1[[#This Row],[rW2]],0.01+0.94*Tab.o1[[#This Row],[rW2]]/SUM(Tab.o1[rW2])),"")</f>
        <v/>
      </c>
      <c r="AI215" s="128" t="str">
        <f>IF(Tab.o1[[#This Row],[a1]]=1,1/Tab.o1[[#This Row],[PDF]],"")</f>
        <v/>
      </c>
      <c r="AJ215" s="131" t="str">
        <f>IF(Tab.o1[[#This Row],[a1]]=1,[1]!T_AA[[#This Row],[IN'']]*[1]!T_AA[[#This Row],[Qde'']],"")</f>
        <v/>
      </c>
      <c r="AK215" s="132" t="str">
        <f>IF(Tab.o1[[#This Row],[a1]]=1,IF(AK$1=1,Tab.o1[[#This Row],[MED]]+Tab.o1[[#This Row],[MOD]]-Tab.o1[[#This Row],[MED]],""),"")</f>
        <v/>
      </c>
      <c r="AL215" s="133" t="str">
        <f>IF(Tab.o1[[#This Row],[a1]]=1,[1]!T.in.A[[#This Row],[oo16]],"")</f>
        <v/>
      </c>
      <c r="AM215" s="133" t="str">
        <f>IF(Tab.o1[[#This Row],[a1]]=1,IF(AM$3=1,[1]!T.in.A[[#This Row],[Σo16]],""),"")</f>
        <v/>
      </c>
      <c r="AN215" s="126" t="str">
        <f>IF(Tab.o1[[#This Row],[a1]]=1,[1]!T.in.A[[#This Row],[Σp5]],"")</f>
        <v/>
      </c>
      <c r="AO215" s="126" t="str">
        <f>IF(Tab.o1[[#This Row],[a1]]=1,IF(AO$3=1,[1]!T.in.A[[#This Row],[Σp5]],""),"")</f>
        <v/>
      </c>
      <c r="AP215" s="110" t="str">
        <f>IF(Tab.o1[[#This Row],[a1]]=1,IF(ISNUMBER(Tab.o1[[#This Row],[i.]]),NORMDIST(Tab.o1[[#This Row],[Za]],0,1,FALSE)*Tab.o1[[#This Row],[i.]],0),"")</f>
        <v/>
      </c>
      <c r="AQ215" s="125" t="str">
        <f>IF(Tab.o1[[#This Row],[a1]]=1,ABS(Tab.o1[[#This Row],[MOD]]-AVERAGE(Tab.o1[MOD])),"")</f>
        <v/>
      </c>
      <c r="AR215" s="134" t="str">
        <f>IF(Tab.o1[[#This Row],[a1]]=1,Tab.o1[[#This Row],[OBS]]/SUM(Tab.o1[OBS]),"")</f>
        <v/>
      </c>
      <c r="AS215" s="135" t="str">
        <f>IF(ISNUMBER(Tab.o1[[#This Row],[a1]]),ROW()-4,"")</f>
        <v/>
      </c>
      <c r="AT215" s="136" t="str">
        <f>Tab.o1[[#This Row],[MOD]]</f>
        <v/>
      </c>
      <c r="AU215" s="137" t="str">
        <f t="shared" si="13"/>
        <v/>
      </c>
      <c r="AV215" s="138" t="str">
        <f t="shared" si="14"/>
        <v/>
      </c>
      <c r="AW215" s="138" t="str">
        <f t="shared" si="15"/>
        <v/>
      </c>
      <c r="AX215" s="139" t="str">
        <f>[1]!T.in.A[[#This Row],[ID_T_manu]]</f>
        <v/>
      </c>
      <c r="AY215" s="140" t="str">
        <f>IF(ISNUMBER(Tab.o1[[#This Row],[a1]]),IF(AND(Tab.o1[[#This Row],[a1]]=1,Tab.o1[[#This Row],[b1]]&lt;=AY$4),#REF!,AY214),"")</f>
        <v/>
      </c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</row>
    <row r="216" spans="1:79" ht="14.25" hidden="1" customHeight="1">
      <c r="A216" s="109">
        <v>-1.0000000000000001E-5</v>
      </c>
      <c r="B216" s="110">
        <f t="shared" si="12"/>
        <v>216</v>
      </c>
      <c r="C216" s="111" t="str">
        <f>IF(C$1=[1]!T.in.A[[#This Row],[oo2]],1,"")</f>
        <v/>
      </c>
      <c r="D216" s="112" t="str">
        <f>IF(Tab.o1[[#This Row],[a1]]=1,IF(SUM(C216:C217)=0,0,IF(SUM(C215:C216)=1,1,IF(SUM(C215:C217)&gt;1,D215+1,0))),"")</f>
        <v/>
      </c>
      <c r="E216" s="113" t="str">
        <f>IF(Tab.o1[[#This Row],[a1]]=1,[1]!T.in.A[[#This Row],[oo1]],"")</f>
        <v/>
      </c>
      <c r="F216" s="113" t="str">
        <f>IF(Tab.o1[[#This Row],[a1]]=1,[1]!T.in.A[[#This Row],[pp1]],"")</f>
        <v/>
      </c>
      <c r="G216" s="114" t="str">
        <f>IF(Tab.o1[[#This Row],[a1]]=1,G$2+IF(G$1=1,0,Tab.o1[[#This Row],[.x1]])+[1]!T.in.A[[#This Row],[oo3]],"")</f>
        <v/>
      </c>
      <c r="H216" s="115" t="str">
        <f>IF(Tab.o1[[#This Row],[a1]]=1,IF(H$2=0,0,IF(G$1=1,0,Tab.o1[[#This Row],[.x1]])+[1]!T.in.A[[#This Row],[oo4]]),"")</f>
        <v/>
      </c>
      <c r="I216" s="116" t="str">
        <f>IF(Tab.o1[[#This Row],[a1]]=1,IF(J$2=0,Tab.o1[[#This Row],[MED]],Tab.o1[[#This Row],[MOD]]),"")</f>
        <v/>
      </c>
      <c r="J216" s="116" t="str">
        <f>IF(Tab.o1[[#This Row],[a1]]=1,((Tab.o1[[#This Row],[DIF_Target.]]-AVERAGE(Tab.o1[DIF_Target.]))/_xlfn.STDEV.P(Tab.o1[DIF_Target.])),"")</f>
        <v/>
      </c>
      <c r="K216" s="117" t="str">
        <f>IF(Tab.o1[[#This Row],[a1]]=1,IF(J$2=0,Tab.o1[[#This Row],[MOD]]-Tab.o1[[#This Row],[B]],IF(J$2=1,0,-Tab.o1[[#This Row],[MED]])+Tab.o1[[#This Row],[B]]),"")</f>
        <v/>
      </c>
      <c r="L216" s="117" t="str">
        <f ca="1">IF(Tab.o1[[#This Row],[DIF_Target]]=0,IF(L$2=0,Tab.o1[[#This Row],[DIF_Target]],AVERAGE(OFFSET(Tab.o1[[#This Row],[DIF_Target]],1,0,L$3,1)))/3,Tab.o1[[#This Row],[DIF_Target]])</f>
        <v/>
      </c>
      <c r="M216" s="118" t="str">
        <f>IF(Tab.o1[[#This Row],[a1]]=1,NORMSDIST(Tab.o1[[#This Row],[Za]]),"")</f>
        <v/>
      </c>
      <c r="N216" s="119" t="str">
        <f>IF(Tab.o1[[#This Row],[a1]]=1,((Tab.o1[[#This Row],[MedMod]]-AVERAGE(Tab.o1[MedMod]))/_xlfn.STDEV.P(Tab.o1[MedMod])*H$1205)+G$1205,"")</f>
        <v/>
      </c>
      <c r="O216" s="141" t="str">
        <f>IF(Tab.o1[[#This Row],[a1]]=1,Tab.o1[[#This Row],[Zb]]*_xlfn.STDEV.P(Tab.o1[MedMod])+AVERAGE(Tab.o1[MedMod]),"")</f>
        <v/>
      </c>
      <c r="P216" s="117" t="str">
        <f ca="1">IF(Tab.o1[[#This Row],[B]]=0,AVERAGE(OFFSET(Tab.o1[[#This Row],[B]],1,0,L$3,1)),Tab.o1[[#This Row],[B]])</f>
        <v/>
      </c>
      <c r="Q216" s="121" t="str">
        <f>IF(Tab.o1[[#This Row],[a1]]=1,NORMSDIST(Tab.o1[[#This Row],[Zb]]),"")</f>
        <v/>
      </c>
      <c r="R216" s="122" t="str">
        <f>IF(Tab.o1[[#This Row],[a1]]=1,((Tab.o1[[#This Row],[MedMod]]-AVERAGE(Tab.o1[MedMod]))/_xlfn.STDEV.P(Tab.o1[MedMod])*H$1203)+G$1203,"")</f>
        <v/>
      </c>
      <c r="S216" s="122" t="str">
        <f>IF(Tab.o1[[#This Row],[a1]]=1,((Tab.o1[[#This Row],[MedMod]]-AVERAGE(Tab.o1[MedMod]))/_xlfn.STDEV.P(Tab.o1[MedMod])*H$1204)+G$1204,"")</f>
        <v/>
      </c>
      <c r="T216" s="123" t="str">
        <f>IF(Tab.o1[[#This Row],[a1]]=1,Tab.o1[[#This Row],[Z-]]*_xlfn.STDEV.P(Tab.o1[B])+AVERAGE(Tab.o1[B]),"")</f>
        <v/>
      </c>
      <c r="U216" s="123" t="str">
        <f>IF(Tab.o1[[#This Row],[a1]]=1,Tab.o1[[#This Row],[z+]]*_xlfn.STDEV.P(Tab.o1[B])+AVERAGE(Tab.o1[B]),"")</f>
        <v/>
      </c>
      <c r="V216" s="124" t="str">
        <f>IF(Tab.o1[[#This Row],[a1]]=1,ABS((ABS(Tab.o1[[#This Row],[Red]]-Tab.o1[[#This Row],[Blue]]))),"")</f>
        <v/>
      </c>
      <c r="W216" s="125" t="str">
        <f>IF(Tab.o1[[#This Row],[a1]]=1,IF(W$3=0,1,Tab.o1[[#This Row],[Amp.]]*1/_xlfn.MINIFS(Tab.o1[Amp.],Tab.o1[Amp.],"&lt;&gt;0")),"")</f>
        <v/>
      </c>
      <c r="X216" s="126" t="str">
        <f>IF(Tab.o1[[#This Row],[a1]]=1,IF(ISNUMBER(Tab.o1[[#This Row],[i.]]),NORMDIST(Tab.o1[[#This Row],[Za]],0,1,FALSE)*Tab.o1[[#This Row],[i.]],AP$3),"")</f>
        <v/>
      </c>
      <c r="Y216" s="126" t="str">
        <f>IF(Tab.o1[[#This Row],[a1]]=1,0.01+0.94*Tab.o1[[#This Row],[PDF]]/MAX(Tab.o1[PDF]),"")</f>
        <v/>
      </c>
      <c r="Z216" s="126" t="str">
        <f>IF(Tab.o1[[#This Row],[a1]]=1,0.01+0.94*Tab.o1[[#This Row],[W1_PDF]]/MAX(Tab.o1[W1_PDF]),"")</f>
        <v/>
      </c>
      <c r="AA216" s="118" t="str">
        <f>IF(Tab.o1[[#This Row],[a1]]=1,ABS([1]!T.in.A[[#This Row],[oo6]]),"")</f>
        <v/>
      </c>
      <c r="AB216" s="127" t="str">
        <f>IF(Tab.o1[[#This Row],[a1]]=1,IF(AE$3=0,"",IF(AB$3=0,ABS([1]!T.in.A[[#This Row],[oo9]]),ABS(Tab.o1[[#This Row],[DIF_Target.]]*Tab.o1[[#This Row],[W1_PDF]]))),"")</f>
        <v/>
      </c>
      <c r="AC216" s="127" t="str">
        <f>IF(G$1=1,"",IF(Tab.o1[[#This Row],[a1]]=1,Tab.o1[[#This Row],[Wr]]^2,""))</f>
        <v/>
      </c>
      <c r="AD216" s="118" t="str">
        <f>IF(Tab.o1[[#This Row],[a1]]=1,IF(AE$3=0,"",Tab.o1[[#This Row],[Wr2]]/SUM(Tab.o1[Wr2])),"")</f>
        <v/>
      </c>
      <c r="AE216" s="128" t="str">
        <f>IF(Tab.o1[[#This Row],[a1]]=1,[1]!T.in.A[[#This Row],[oo10]],"")</f>
        <v/>
      </c>
      <c r="AF216" s="118" t="str">
        <f>IF(Tab.o1[[#This Row],[a1]]=1,ABS(Tab.o1[[#This Row],[DIF_Target.]]*Tab.o1[[#This Row],[PDF2]]*Tab.o1[[#This Row],[IN]]),"")</f>
        <v/>
      </c>
      <c r="AG216" s="129" t="str">
        <f>IF(Tab.o1[[#This Row],[a1]]=1,Tab.o1[[#This Row],[rW]]^2,"")</f>
        <v/>
      </c>
      <c r="AH216" s="130" t="str">
        <f>IF(Tab.o1[[#This Row],[a1]]=1,IF(AH$3=0,Tab.o1[[#This Row],[rW2]],0.01+0.94*Tab.o1[[#This Row],[rW2]]/SUM(Tab.o1[rW2])),"")</f>
        <v/>
      </c>
      <c r="AI216" s="128" t="str">
        <f>IF(Tab.o1[[#This Row],[a1]]=1,1/Tab.o1[[#This Row],[PDF]],"")</f>
        <v/>
      </c>
      <c r="AJ216" s="131" t="str">
        <f>IF(Tab.o1[[#This Row],[a1]]=1,[1]!T_AA[[#This Row],[IN'']]*[1]!T_AA[[#This Row],[Qde'']],"")</f>
        <v/>
      </c>
      <c r="AK216" s="132" t="str">
        <f>IF(Tab.o1[[#This Row],[a1]]=1,IF(AK$1=1,Tab.o1[[#This Row],[MED]]+Tab.o1[[#This Row],[MOD]]-Tab.o1[[#This Row],[MED]],""),"")</f>
        <v/>
      </c>
      <c r="AL216" s="133" t="str">
        <f>IF(Tab.o1[[#This Row],[a1]]=1,[1]!T.in.A[[#This Row],[oo16]],"")</f>
        <v/>
      </c>
      <c r="AM216" s="133" t="str">
        <f>IF(Tab.o1[[#This Row],[a1]]=1,IF(AM$3=1,[1]!T.in.A[[#This Row],[Σo16]],""),"")</f>
        <v/>
      </c>
      <c r="AN216" s="126" t="str">
        <f>IF(Tab.o1[[#This Row],[a1]]=1,[1]!T.in.A[[#This Row],[Σp5]],"")</f>
        <v/>
      </c>
      <c r="AO216" s="126" t="str">
        <f>IF(Tab.o1[[#This Row],[a1]]=1,IF(AO$3=1,[1]!T.in.A[[#This Row],[Σp5]],""),"")</f>
        <v/>
      </c>
      <c r="AP216" s="110" t="str">
        <f>IF(Tab.o1[[#This Row],[a1]]=1,IF(ISNUMBER(Tab.o1[[#This Row],[i.]]),NORMDIST(Tab.o1[[#This Row],[Za]],0,1,FALSE)*Tab.o1[[#This Row],[i.]],0),"")</f>
        <v/>
      </c>
      <c r="AQ216" s="125" t="str">
        <f>IF(Tab.o1[[#This Row],[a1]]=1,ABS(Tab.o1[[#This Row],[MOD]]-AVERAGE(Tab.o1[MOD])),"")</f>
        <v/>
      </c>
      <c r="AR216" s="134" t="str">
        <f>IF(Tab.o1[[#This Row],[a1]]=1,Tab.o1[[#This Row],[OBS]]/SUM(Tab.o1[OBS]),"")</f>
        <v/>
      </c>
      <c r="AS216" s="135" t="str">
        <f>IF(ISNUMBER(Tab.o1[[#This Row],[a1]]),ROW()-4,"")</f>
        <v/>
      </c>
      <c r="AT216" s="136" t="str">
        <f>Tab.o1[[#This Row],[MOD]]</f>
        <v/>
      </c>
      <c r="AU216" s="137" t="str">
        <f t="shared" si="13"/>
        <v/>
      </c>
      <c r="AV216" s="138" t="str">
        <f t="shared" si="14"/>
        <v/>
      </c>
      <c r="AW216" s="138" t="str">
        <f t="shared" si="15"/>
        <v/>
      </c>
      <c r="AX216" s="139" t="str">
        <f>[1]!T.in.A[[#This Row],[ID_T_manu]]</f>
        <v/>
      </c>
      <c r="AY216" s="140" t="str">
        <f>IF(ISNUMBER(Tab.o1[[#This Row],[a1]]),IF(AND(Tab.o1[[#This Row],[a1]]=1,Tab.o1[[#This Row],[b1]]&lt;=AY$4),#REF!,AY215),"")</f>
        <v/>
      </c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</row>
    <row r="217" spans="1:79" ht="14.25" hidden="1" customHeight="1">
      <c r="A217" s="109">
        <v>2.0000000000000003E-6</v>
      </c>
      <c r="B217" s="110">
        <f t="shared" si="12"/>
        <v>217</v>
      </c>
      <c r="C217" s="111" t="str">
        <f>IF(C$1=[1]!T.in.A[[#This Row],[oo2]],1,"")</f>
        <v/>
      </c>
      <c r="D217" s="112" t="str">
        <f>IF(Tab.o1[[#This Row],[a1]]=1,IF(SUM(C217:C218)=0,0,IF(SUM(C216:C217)=1,1,IF(SUM(C216:C218)&gt;1,D216+1,0))),"")</f>
        <v/>
      </c>
      <c r="E217" s="113" t="str">
        <f>IF(Tab.o1[[#This Row],[a1]]=1,[1]!T.in.A[[#This Row],[oo1]],"")</f>
        <v/>
      </c>
      <c r="F217" s="113" t="str">
        <f>IF(Tab.o1[[#This Row],[a1]]=1,[1]!T.in.A[[#This Row],[pp1]],"")</f>
        <v/>
      </c>
      <c r="G217" s="114" t="str">
        <f>IF(Tab.o1[[#This Row],[a1]]=1,G$2+IF(G$1=1,0,Tab.o1[[#This Row],[.x1]])+[1]!T.in.A[[#This Row],[oo3]],"")</f>
        <v/>
      </c>
      <c r="H217" s="115" t="str">
        <f>IF(Tab.o1[[#This Row],[a1]]=1,IF(H$2=0,0,IF(G$1=1,0,Tab.o1[[#This Row],[.x1]])+[1]!T.in.A[[#This Row],[oo4]]),"")</f>
        <v/>
      </c>
      <c r="I217" s="116" t="str">
        <f>IF(Tab.o1[[#This Row],[a1]]=1,IF(J$2=0,Tab.o1[[#This Row],[MED]],Tab.o1[[#This Row],[MOD]]),"")</f>
        <v/>
      </c>
      <c r="J217" s="116" t="str">
        <f>IF(Tab.o1[[#This Row],[a1]]=1,((Tab.o1[[#This Row],[DIF_Target.]]-AVERAGE(Tab.o1[DIF_Target.]))/_xlfn.STDEV.P(Tab.o1[DIF_Target.])),"")</f>
        <v/>
      </c>
      <c r="K217" s="117" t="str">
        <f>IF(Tab.o1[[#This Row],[a1]]=1,IF(J$2=0,Tab.o1[[#This Row],[MOD]]-Tab.o1[[#This Row],[B]],IF(J$2=1,0,-Tab.o1[[#This Row],[MED]])+Tab.o1[[#This Row],[B]]),"")</f>
        <v/>
      </c>
      <c r="L217" s="117" t="str">
        <f ca="1">IF(Tab.o1[[#This Row],[DIF_Target]]=0,IF(L$2=0,Tab.o1[[#This Row],[DIF_Target]],AVERAGE(OFFSET(Tab.o1[[#This Row],[DIF_Target]],1,0,L$3,1)))/3,Tab.o1[[#This Row],[DIF_Target]])</f>
        <v/>
      </c>
      <c r="M217" s="118" t="str">
        <f>IF(Tab.o1[[#This Row],[a1]]=1,NORMSDIST(Tab.o1[[#This Row],[Za]]),"")</f>
        <v/>
      </c>
      <c r="N217" s="119" t="str">
        <f>IF(Tab.o1[[#This Row],[a1]]=1,((Tab.o1[[#This Row],[MedMod]]-AVERAGE(Tab.o1[MedMod]))/_xlfn.STDEV.P(Tab.o1[MedMod])*H$1205)+G$1205,"")</f>
        <v/>
      </c>
      <c r="O217" s="141" t="str">
        <f>IF(Tab.o1[[#This Row],[a1]]=1,Tab.o1[[#This Row],[Zb]]*_xlfn.STDEV.P(Tab.o1[MedMod])+AVERAGE(Tab.o1[MedMod]),"")</f>
        <v/>
      </c>
      <c r="P217" s="117" t="str">
        <f ca="1">IF(Tab.o1[[#This Row],[B]]=0,AVERAGE(OFFSET(Tab.o1[[#This Row],[B]],1,0,L$3,1)),Tab.o1[[#This Row],[B]])</f>
        <v/>
      </c>
      <c r="Q217" s="121" t="str">
        <f>IF(Tab.o1[[#This Row],[a1]]=1,NORMSDIST(Tab.o1[[#This Row],[Zb]]),"")</f>
        <v/>
      </c>
      <c r="R217" s="122" t="str">
        <f>IF(Tab.o1[[#This Row],[a1]]=1,((Tab.o1[[#This Row],[MedMod]]-AVERAGE(Tab.o1[MedMod]))/_xlfn.STDEV.P(Tab.o1[MedMod])*H$1203)+G$1203,"")</f>
        <v/>
      </c>
      <c r="S217" s="122" t="str">
        <f>IF(Tab.o1[[#This Row],[a1]]=1,((Tab.o1[[#This Row],[MedMod]]-AVERAGE(Tab.o1[MedMod]))/_xlfn.STDEV.P(Tab.o1[MedMod])*H$1204)+G$1204,"")</f>
        <v/>
      </c>
      <c r="T217" s="123" t="str">
        <f>IF(Tab.o1[[#This Row],[a1]]=1,Tab.o1[[#This Row],[Z-]]*_xlfn.STDEV.P(Tab.o1[B])+AVERAGE(Tab.o1[B]),"")</f>
        <v/>
      </c>
      <c r="U217" s="123" t="str">
        <f>IF(Tab.o1[[#This Row],[a1]]=1,Tab.o1[[#This Row],[z+]]*_xlfn.STDEV.P(Tab.o1[B])+AVERAGE(Tab.o1[B]),"")</f>
        <v/>
      </c>
      <c r="V217" s="124" t="str">
        <f>IF(Tab.o1[[#This Row],[a1]]=1,ABS((ABS(Tab.o1[[#This Row],[Red]]-Tab.o1[[#This Row],[Blue]]))),"")</f>
        <v/>
      </c>
      <c r="W217" s="125" t="str">
        <f>IF(Tab.o1[[#This Row],[a1]]=1,IF(W$3=0,1,Tab.o1[[#This Row],[Amp.]]*1/_xlfn.MINIFS(Tab.o1[Amp.],Tab.o1[Amp.],"&lt;&gt;0")),"")</f>
        <v/>
      </c>
      <c r="X217" s="126" t="str">
        <f>IF(Tab.o1[[#This Row],[a1]]=1,IF(ISNUMBER(Tab.o1[[#This Row],[i.]]),NORMDIST(Tab.o1[[#This Row],[Za]],0,1,FALSE)*Tab.o1[[#This Row],[i.]],AP$3),"")</f>
        <v/>
      </c>
      <c r="Y217" s="126" t="str">
        <f>IF(Tab.o1[[#This Row],[a1]]=1,0.01+0.94*Tab.o1[[#This Row],[PDF]]/MAX(Tab.o1[PDF]),"")</f>
        <v/>
      </c>
      <c r="Z217" s="126" t="str">
        <f>IF(Tab.o1[[#This Row],[a1]]=1,0.01+0.94*Tab.o1[[#This Row],[W1_PDF]]/MAX(Tab.o1[W1_PDF]),"")</f>
        <v/>
      </c>
      <c r="AA217" s="118" t="str">
        <f>IF(Tab.o1[[#This Row],[a1]]=1,ABS([1]!T.in.A[[#This Row],[oo6]]),"")</f>
        <v/>
      </c>
      <c r="AB217" s="127" t="str">
        <f>IF(Tab.o1[[#This Row],[a1]]=1,IF(AE$3=0,"",IF(AB$3=0,ABS([1]!T.in.A[[#This Row],[oo9]]),ABS(Tab.o1[[#This Row],[DIF_Target.]]*Tab.o1[[#This Row],[W1_PDF]]))),"")</f>
        <v/>
      </c>
      <c r="AC217" s="127" t="str">
        <f>IF(G$1=1,"",IF(Tab.o1[[#This Row],[a1]]=1,Tab.o1[[#This Row],[Wr]]^2,""))</f>
        <v/>
      </c>
      <c r="AD217" s="118" t="str">
        <f>IF(Tab.o1[[#This Row],[a1]]=1,IF(AE$3=0,"",Tab.o1[[#This Row],[Wr2]]/SUM(Tab.o1[Wr2])),"")</f>
        <v/>
      </c>
      <c r="AE217" s="128" t="str">
        <f>IF(Tab.o1[[#This Row],[a1]]=1,[1]!T.in.A[[#This Row],[oo10]],"")</f>
        <v/>
      </c>
      <c r="AF217" s="118" t="str">
        <f>IF(Tab.o1[[#This Row],[a1]]=1,ABS(Tab.o1[[#This Row],[DIF_Target.]]*Tab.o1[[#This Row],[PDF2]]*Tab.o1[[#This Row],[IN]]),"")</f>
        <v/>
      </c>
      <c r="AG217" s="129" t="str">
        <f>IF(Tab.o1[[#This Row],[a1]]=1,Tab.o1[[#This Row],[rW]]^2,"")</f>
        <v/>
      </c>
      <c r="AH217" s="130" t="str">
        <f>IF(Tab.o1[[#This Row],[a1]]=1,IF(AH$3=0,Tab.o1[[#This Row],[rW2]],0.01+0.94*Tab.o1[[#This Row],[rW2]]/SUM(Tab.o1[rW2])),"")</f>
        <v/>
      </c>
      <c r="AI217" s="128" t="str">
        <f>IF(Tab.o1[[#This Row],[a1]]=1,1/Tab.o1[[#This Row],[PDF]],"")</f>
        <v/>
      </c>
      <c r="AJ217" s="131" t="str">
        <f>IF(Tab.o1[[#This Row],[a1]]=1,[1]!T_AA[[#This Row],[IN'']]*[1]!T_AA[[#This Row],[Qde'']],"")</f>
        <v/>
      </c>
      <c r="AK217" s="132" t="str">
        <f>IF(Tab.o1[[#This Row],[a1]]=1,IF(AK$1=1,Tab.o1[[#This Row],[MED]]+Tab.o1[[#This Row],[MOD]]-Tab.o1[[#This Row],[MED]],""),"")</f>
        <v/>
      </c>
      <c r="AL217" s="133" t="str">
        <f>IF(Tab.o1[[#This Row],[a1]]=1,[1]!T.in.A[[#This Row],[oo16]],"")</f>
        <v/>
      </c>
      <c r="AM217" s="133" t="str">
        <f>IF(Tab.o1[[#This Row],[a1]]=1,IF(AM$3=1,[1]!T.in.A[[#This Row],[Σo16]],""),"")</f>
        <v/>
      </c>
      <c r="AN217" s="126" t="str">
        <f>IF(Tab.o1[[#This Row],[a1]]=1,[1]!T.in.A[[#This Row],[Σp5]],"")</f>
        <v/>
      </c>
      <c r="AO217" s="126" t="str">
        <f>IF(Tab.o1[[#This Row],[a1]]=1,IF(AO$3=1,[1]!T.in.A[[#This Row],[Σp5]],""),"")</f>
        <v/>
      </c>
      <c r="AP217" s="110" t="str">
        <f>IF(Tab.o1[[#This Row],[a1]]=1,IF(ISNUMBER(Tab.o1[[#This Row],[i.]]),NORMDIST(Tab.o1[[#This Row],[Za]],0,1,FALSE)*Tab.o1[[#This Row],[i.]],0),"")</f>
        <v/>
      </c>
      <c r="AQ217" s="125" t="str">
        <f>IF(Tab.o1[[#This Row],[a1]]=1,ABS(Tab.o1[[#This Row],[MOD]]-AVERAGE(Tab.o1[MOD])),"")</f>
        <v/>
      </c>
      <c r="AR217" s="134" t="str">
        <f>IF(Tab.o1[[#This Row],[a1]]=1,Tab.o1[[#This Row],[OBS]]/SUM(Tab.o1[OBS]),"")</f>
        <v/>
      </c>
      <c r="AS217" s="135" t="str">
        <f>IF(ISNUMBER(Tab.o1[[#This Row],[a1]]),ROW()-4,"")</f>
        <v/>
      </c>
      <c r="AT217" s="136" t="str">
        <f>Tab.o1[[#This Row],[MOD]]</f>
        <v/>
      </c>
      <c r="AU217" s="137" t="str">
        <f t="shared" si="13"/>
        <v/>
      </c>
      <c r="AV217" s="138" t="str">
        <f t="shared" si="14"/>
        <v/>
      </c>
      <c r="AW217" s="138" t="str">
        <f t="shared" si="15"/>
        <v/>
      </c>
      <c r="AX217" s="139" t="str">
        <f>[1]!T.in.A[[#This Row],[ID_T_manu]]</f>
        <v/>
      </c>
      <c r="AY217" s="140" t="str">
        <f>IF(ISNUMBER(Tab.o1[[#This Row],[a1]]),IF(AND(Tab.o1[[#This Row],[a1]]=1,Tab.o1[[#This Row],[b1]]&lt;=AY$4),#REF!,AY216),"")</f>
        <v/>
      </c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</row>
    <row r="218" spans="1:79" ht="14.25" hidden="1" customHeight="1">
      <c r="A218" s="109">
        <v>2.0000000000000003E-6</v>
      </c>
      <c r="B218" s="110">
        <f t="shared" si="12"/>
        <v>218</v>
      </c>
      <c r="C218" s="111" t="str">
        <f>IF(C$1=[1]!T.in.A[[#This Row],[oo2]],1,"")</f>
        <v/>
      </c>
      <c r="D218" s="112" t="str">
        <f>IF(Tab.o1[[#This Row],[a1]]=1,IF(SUM(C218:C219)=0,0,IF(SUM(C217:C218)=1,1,IF(SUM(C217:C219)&gt;1,D217+1,0))),"")</f>
        <v/>
      </c>
      <c r="E218" s="113" t="str">
        <f>IF(Tab.o1[[#This Row],[a1]]=1,[1]!T.in.A[[#This Row],[oo1]],"")</f>
        <v/>
      </c>
      <c r="F218" s="113" t="str">
        <f>IF(Tab.o1[[#This Row],[a1]]=1,[1]!T.in.A[[#This Row],[pp1]],"")</f>
        <v/>
      </c>
      <c r="G218" s="114" t="str">
        <f>IF(Tab.o1[[#This Row],[a1]]=1,G$2+IF(G$1=1,0,Tab.o1[[#This Row],[.x1]])+[1]!T.in.A[[#This Row],[oo3]],"")</f>
        <v/>
      </c>
      <c r="H218" s="115" t="str">
        <f>IF(Tab.o1[[#This Row],[a1]]=1,IF(H$2=0,0,IF(G$1=1,0,Tab.o1[[#This Row],[.x1]])+[1]!T.in.A[[#This Row],[oo4]]),"")</f>
        <v/>
      </c>
      <c r="I218" s="116" t="str">
        <f>IF(Tab.o1[[#This Row],[a1]]=1,IF(J$2=0,Tab.o1[[#This Row],[MED]],Tab.o1[[#This Row],[MOD]]),"")</f>
        <v/>
      </c>
      <c r="J218" s="116" t="str">
        <f>IF(Tab.o1[[#This Row],[a1]]=1,((Tab.o1[[#This Row],[DIF_Target.]]-AVERAGE(Tab.o1[DIF_Target.]))/_xlfn.STDEV.P(Tab.o1[DIF_Target.])),"")</f>
        <v/>
      </c>
      <c r="K218" s="117" t="str">
        <f>IF(Tab.o1[[#This Row],[a1]]=1,IF(J$2=0,Tab.o1[[#This Row],[MOD]]-Tab.o1[[#This Row],[B]],IF(J$2=1,0,-Tab.o1[[#This Row],[MED]])+Tab.o1[[#This Row],[B]]),"")</f>
        <v/>
      </c>
      <c r="L218" s="117" t="str">
        <f ca="1">IF(Tab.o1[[#This Row],[DIF_Target]]=0,IF(L$2=0,Tab.o1[[#This Row],[DIF_Target]],AVERAGE(OFFSET(Tab.o1[[#This Row],[DIF_Target]],1,0,L$3,1)))/3,Tab.o1[[#This Row],[DIF_Target]])</f>
        <v/>
      </c>
      <c r="M218" s="118" t="str">
        <f>IF(Tab.o1[[#This Row],[a1]]=1,NORMSDIST(Tab.o1[[#This Row],[Za]]),"")</f>
        <v/>
      </c>
      <c r="N218" s="119" t="str">
        <f>IF(Tab.o1[[#This Row],[a1]]=1,((Tab.o1[[#This Row],[MedMod]]-AVERAGE(Tab.o1[MedMod]))/_xlfn.STDEV.P(Tab.o1[MedMod])*H$1205)+G$1205,"")</f>
        <v/>
      </c>
      <c r="O218" s="141" t="str">
        <f>IF(Tab.o1[[#This Row],[a1]]=1,Tab.o1[[#This Row],[Zb]]*_xlfn.STDEV.P(Tab.o1[MedMod])+AVERAGE(Tab.o1[MedMod]),"")</f>
        <v/>
      </c>
      <c r="P218" s="117" t="str">
        <f ca="1">IF(Tab.o1[[#This Row],[B]]=0,AVERAGE(OFFSET(Tab.o1[[#This Row],[B]],1,0,L$3,1)),Tab.o1[[#This Row],[B]])</f>
        <v/>
      </c>
      <c r="Q218" s="121" t="str">
        <f>IF(Tab.o1[[#This Row],[a1]]=1,NORMSDIST(Tab.o1[[#This Row],[Zb]]),"")</f>
        <v/>
      </c>
      <c r="R218" s="122" t="str">
        <f>IF(Tab.o1[[#This Row],[a1]]=1,((Tab.o1[[#This Row],[MedMod]]-AVERAGE(Tab.o1[MedMod]))/_xlfn.STDEV.P(Tab.o1[MedMod])*H$1203)+G$1203,"")</f>
        <v/>
      </c>
      <c r="S218" s="122" t="str">
        <f>IF(Tab.o1[[#This Row],[a1]]=1,((Tab.o1[[#This Row],[MedMod]]-AVERAGE(Tab.o1[MedMod]))/_xlfn.STDEV.P(Tab.o1[MedMod])*H$1204)+G$1204,"")</f>
        <v/>
      </c>
      <c r="T218" s="123" t="str">
        <f>IF(Tab.o1[[#This Row],[a1]]=1,Tab.o1[[#This Row],[Z-]]*_xlfn.STDEV.P(Tab.o1[B])+AVERAGE(Tab.o1[B]),"")</f>
        <v/>
      </c>
      <c r="U218" s="123" t="str">
        <f>IF(Tab.o1[[#This Row],[a1]]=1,Tab.o1[[#This Row],[z+]]*_xlfn.STDEV.P(Tab.o1[B])+AVERAGE(Tab.o1[B]),"")</f>
        <v/>
      </c>
      <c r="V218" s="124" t="str">
        <f>IF(Tab.o1[[#This Row],[a1]]=1,ABS((ABS(Tab.o1[[#This Row],[Red]]-Tab.o1[[#This Row],[Blue]]))),"")</f>
        <v/>
      </c>
      <c r="W218" s="125" t="str">
        <f>IF(Tab.o1[[#This Row],[a1]]=1,IF(W$3=0,1,Tab.o1[[#This Row],[Amp.]]*1/_xlfn.MINIFS(Tab.o1[Amp.],Tab.o1[Amp.],"&lt;&gt;0")),"")</f>
        <v/>
      </c>
      <c r="X218" s="126" t="str">
        <f>IF(Tab.o1[[#This Row],[a1]]=1,IF(ISNUMBER(Tab.o1[[#This Row],[i.]]),NORMDIST(Tab.o1[[#This Row],[Za]],0,1,FALSE)*Tab.o1[[#This Row],[i.]],AP$3),"")</f>
        <v/>
      </c>
      <c r="Y218" s="126" t="str">
        <f>IF(Tab.o1[[#This Row],[a1]]=1,0.01+0.94*Tab.o1[[#This Row],[PDF]]/MAX(Tab.o1[PDF]),"")</f>
        <v/>
      </c>
      <c r="Z218" s="126" t="str">
        <f>IF(Tab.o1[[#This Row],[a1]]=1,0.01+0.94*Tab.o1[[#This Row],[W1_PDF]]/MAX(Tab.o1[W1_PDF]),"")</f>
        <v/>
      </c>
      <c r="AA218" s="118" t="str">
        <f>IF(Tab.o1[[#This Row],[a1]]=1,ABS([1]!T.in.A[[#This Row],[oo6]]),"")</f>
        <v/>
      </c>
      <c r="AB218" s="127" t="str">
        <f>IF(Tab.o1[[#This Row],[a1]]=1,IF(AE$3=0,"",IF(AB$3=0,ABS([1]!T.in.A[[#This Row],[oo9]]),ABS(Tab.o1[[#This Row],[DIF_Target.]]*Tab.o1[[#This Row],[W1_PDF]]))),"")</f>
        <v/>
      </c>
      <c r="AC218" s="127" t="str">
        <f>IF(G$1=1,"",IF(Tab.o1[[#This Row],[a1]]=1,Tab.o1[[#This Row],[Wr]]^2,""))</f>
        <v/>
      </c>
      <c r="AD218" s="118" t="str">
        <f>IF(Tab.o1[[#This Row],[a1]]=1,IF(AE$3=0,"",Tab.o1[[#This Row],[Wr2]]/SUM(Tab.o1[Wr2])),"")</f>
        <v/>
      </c>
      <c r="AE218" s="128" t="str">
        <f>IF(Tab.o1[[#This Row],[a1]]=1,[1]!T.in.A[[#This Row],[oo10]],"")</f>
        <v/>
      </c>
      <c r="AF218" s="118" t="str">
        <f>IF(Tab.o1[[#This Row],[a1]]=1,ABS(Tab.o1[[#This Row],[DIF_Target.]]*Tab.o1[[#This Row],[PDF2]]*Tab.o1[[#This Row],[IN]]),"")</f>
        <v/>
      </c>
      <c r="AG218" s="129" t="str">
        <f>IF(Tab.o1[[#This Row],[a1]]=1,Tab.o1[[#This Row],[rW]]^2,"")</f>
        <v/>
      </c>
      <c r="AH218" s="130" t="str">
        <f>IF(Tab.o1[[#This Row],[a1]]=1,IF(AH$3=0,Tab.o1[[#This Row],[rW2]],0.01+0.94*Tab.o1[[#This Row],[rW2]]/SUM(Tab.o1[rW2])),"")</f>
        <v/>
      </c>
      <c r="AI218" s="128" t="str">
        <f>IF(Tab.o1[[#This Row],[a1]]=1,1/Tab.o1[[#This Row],[PDF]],"")</f>
        <v/>
      </c>
      <c r="AJ218" s="131" t="str">
        <f>IF(Tab.o1[[#This Row],[a1]]=1,[1]!T_AA[[#This Row],[IN'']]*[1]!T_AA[[#This Row],[Qde'']],"")</f>
        <v/>
      </c>
      <c r="AK218" s="132" t="str">
        <f>IF(Tab.o1[[#This Row],[a1]]=1,IF(AK$1=1,Tab.o1[[#This Row],[MED]]+Tab.o1[[#This Row],[MOD]]-Tab.o1[[#This Row],[MED]],""),"")</f>
        <v/>
      </c>
      <c r="AL218" s="133" t="str">
        <f>IF(Tab.o1[[#This Row],[a1]]=1,[1]!T.in.A[[#This Row],[oo16]],"")</f>
        <v/>
      </c>
      <c r="AM218" s="133" t="str">
        <f>IF(Tab.o1[[#This Row],[a1]]=1,IF(AM$3=1,[1]!T.in.A[[#This Row],[Σo16]],""),"")</f>
        <v/>
      </c>
      <c r="AN218" s="126" t="str">
        <f>IF(Tab.o1[[#This Row],[a1]]=1,[1]!T.in.A[[#This Row],[Σp5]],"")</f>
        <v/>
      </c>
      <c r="AO218" s="126" t="str">
        <f>IF(Tab.o1[[#This Row],[a1]]=1,IF(AO$3=1,[1]!T.in.A[[#This Row],[Σp5]],""),"")</f>
        <v/>
      </c>
      <c r="AP218" s="110" t="str">
        <f>IF(Tab.o1[[#This Row],[a1]]=1,IF(ISNUMBER(Tab.o1[[#This Row],[i.]]),NORMDIST(Tab.o1[[#This Row],[Za]],0,1,FALSE)*Tab.o1[[#This Row],[i.]],0),"")</f>
        <v/>
      </c>
      <c r="AQ218" s="125" t="str">
        <f>IF(Tab.o1[[#This Row],[a1]]=1,ABS(Tab.o1[[#This Row],[MOD]]-AVERAGE(Tab.o1[MOD])),"")</f>
        <v/>
      </c>
      <c r="AR218" s="134" t="str">
        <f>IF(Tab.o1[[#This Row],[a1]]=1,Tab.o1[[#This Row],[OBS]]/SUM(Tab.o1[OBS]),"")</f>
        <v/>
      </c>
      <c r="AS218" s="135" t="str">
        <f>IF(ISNUMBER(Tab.o1[[#This Row],[a1]]),ROW()-4,"")</f>
        <v/>
      </c>
      <c r="AT218" s="136" t="str">
        <f>Tab.o1[[#This Row],[MOD]]</f>
        <v/>
      </c>
      <c r="AU218" s="137" t="str">
        <f t="shared" si="13"/>
        <v/>
      </c>
      <c r="AV218" s="138" t="str">
        <f t="shared" si="14"/>
        <v/>
      </c>
      <c r="AW218" s="138" t="str">
        <f t="shared" si="15"/>
        <v/>
      </c>
      <c r="AX218" s="139" t="str">
        <f>[1]!T.in.A[[#This Row],[ID_T_manu]]</f>
        <v/>
      </c>
      <c r="AY218" s="140" t="str">
        <f>IF(ISNUMBER(Tab.o1[[#This Row],[a1]]),IF(AND(Tab.o1[[#This Row],[a1]]=1,Tab.o1[[#This Row],[b1]]&lt;=AY$4),#REF!,AY217),"")</f>
        <v/>
      </c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</row>
    <row r="219" spans="1:79" ht="14.25" hidden="1" customHeight="1">
      <c r="A219" s="109">
        <v>5.9999999999999993E-6</v>
      </c>
      <c r="B219" s="110">
        <f t="shared" si="12"/>
        <v>219</v>
      </c>
      <c r="C219" s="111" t="str">
        <f>IF(C$1=[1]!T.in.A[[#This Row],[oo2]],1,"")</f>
        <v/>
      </c>
      <c r="D219" s="112" t="str">
        <f>IF(Tab.o1[[#This Row],[a1]]=1,IF(SUM(C219:C220)=0,0,IF(SUM(C218:C219)=1,1,IF(SUM(C218:C220)&gt;1,D218+1,0))),"")</f>
        <v/>
      </c>
      <c r="E219" s="113" t="str">
        <f>IF(Tab.o1[[#This Row],[a1]]=1,[1]!T.in.A[[#This Row],[oo1]],"")</f>
        <v/>
      </c>
      <c r="F219" s="113" t="str">
        <f>IF(Tab.o1[[#This Row],[a1]]=1,[1]!T.in.A[[#This Row],[pp1]],"")</f>
        <v/>
      </c>
      <c r="G219" s="114" t="str">
        <f>IF(Tab.o1[[#This Row],[a1]]=1,G$2+IF(G$1=1,0,Tab.o1[[#This Row],[.x1]])+[1]!T.in.A[[#This Row],[oo3]],"")</f>
        <v/>
      </c>
      <c r="H219" s="115" t="str">
        <f>IF(Tab.o1[[#This Row],[a1]]=1,IF(H$2=0,0,IF(G$1=1,0,Tab.o1[[#This Row],[.x1]])+[1]!T.in.A[[#This Row],[oo4]]),"")</f>
        <v/>
      </c>
      <c r="I219" s="116" t="str">
        <f>IF(Tab.o1[[#This Row],[a1]]=1,IF(J$2=0,Tab.o1[[#This Row],[MED]],Tab.o1[[#This Row],[MOD]]),"")</f>
        <v/>
      </c>
      <c r="J219" s="116" t="str">
        <f>IF(Tab.o1[[#This Row],[a1]]=1,((Tab.o1[[#This Row],[DIF_Target.]]-AVERAGE(Tab.o1[DIF_Target.]))/_xlfn.STDEV.P(Tab.o1[DIF_Target.])),"")</f>
        <v/>
      </c>
      <c r="K219" s="117" t="str">
        <f>IF(Tab.o1[[#This Row],[a1]]=1,IF(J$2=0,Tab.o1[[#This Row],[MOD]]-Tab.o1[[#This Row],[B]],IF(J$2=1,0,-Tab.o1[[#This Row],[MED]])+Tab.o1[[#This Row],[B]]),"")</f>
        <v/>
      </c>
      <c r="L219" s="117" t="str">
        <f ca="1">IF(Tab.o1[[#This Row],[DIF_Target]]=0,IF(L$2=0,Tab.o1[[#This Row],[DIF_Target]],AVERAGE(OFFSET(Tab.o1[[#This Row],[DIF_Target]],1,0,L$3,1)))/3,Tab.o1[[#This Row],[DIF_Target]])</f>
        <v/>
      </c>
      <c r="M219" s="118" t="str">
        <f>IF(Tab.o1[[#This Row],[a1]]=1,NORMSDIST(Tab.o1[[#This Row],[Za]]),"")</f>
        <v/>
      </c>
      <c r="N219" s="119" t="str">
        <f>IF(Tab.o1[[#This Row],[a1]]=1,((Tab.o1[[#This Row],[MedMod]]-AVERAGE(Tab.o1[MedMod]))/_xlfn.STDEV.P(Tab.o1[MedMod])*H$1205)+G$1205,"")</f>
        <v/>
      </c>
      <c r="O219" s="141" t="str">
        <f>IF(Tab.o1[[#This Row],[a1]]=1,Tab.o1[[#This Row],[Zb]]*_xlfn.STDEV.P(Tab.o1[MedMod])+AVERAGE(Tab.o1[MedMod]),"")</f>
        <v/>
      </c>
      <c r="P219" s="117" t="str">
        <f ca="1">IF(Tab.o1[[#This Row],[B]]=0,AVERAGE(OFFSET(Tab.o1[[#This Row],[B]],1,0,L$3,1)),Tab.o1[[#This Row],[B]])</f>
        <v/>
      </c>
      <c r="Q219" s="121" t="str">
        <f>IF(Tab.o1[[#This Row],[a1]]=1,NORMSDIST(Tab.o1[[#This Row],[Zb]]),"")</f>
        <v/>
      </c>
      <c r="R219" s="122" t="str">
        <f>IF(Tab.o1[[#This Row],[a1]]=1,((Tab.o1[[#This Row],[MedMod]]-AVERAGE(Tab.o1[MedMod]))/_xlfn.STDEV.P(Tab.o1[MedMod])*H$1203)+G$1203,"")</f>
        <v/>
      </c>
      <c r="S219" s="122" t="str">
        <f>IF(Tab.o1[[#This Row],[a1]]=1,((Tab.o1[[#This Row],[MedMod]]-AVERAGE(Tab.o1[MedMod]))/_xlfn.STDEV.P(Tab.o1[MedMod])*H$1204)+G$1204,"")</f>
        <v/>
      </c>
      <c r="T219" s="123" t="str">
        <f>IF(Tab.o1[[#This Row],[a1]]=1,Tab.o1[[#This Row],[Z-]]*_xlfn.STDEV.P(Tab.o1[B])+AVERAGE(Tab.o1[B]),"")</f>
        <v/>
      </c>
      <c r="U219" s="123" t="str">
        <f>IF(Tab.o1[[#This Row],[a1]]=1,Tab.o1[[#This Row],[z+]]*_xlfn.STDEV.P(Tab.o1[B])+AVERAGE(Tab.o1[B]),"")</f>
        <v/>
      </c>
      <c r="V219" s="124" t="str">
        <f>IF(Tab.o1[[#This Row],[a1]]=1,ABS((ABS(Tab.o1[[#This Row],[Red]]-Tab.o1[[#This Row],[Blue]]))),"")</f>
        <v/>
      </c>
      <c r="W219" s="125" t="str">
        <f>IF(Tab.o1[[#This Row],[a1]]=1,IF(W$3=0,1,Tab.o1[[#This Row],[Amp.]]*1/_xlfn.MINIFS(Tab.o1[Amp.],Tab.o1[Amp.],"&lt;&gt;0")),"")</f>
        <v/>
      </c>
      <c r="X219" s="126" t="str">
        <f>IF(Tab.o1[[#This Row],[a1]]=1,IF(ISNUMBER(Tab.o1[[#This Row],[i.]]),NORMDIST(Tab.o1[[#This Row],[Za]],0,1,FALSE)*Tab.o1[[#This Row],[i.]],AP$3),"")</f>
        <v/>
      </c>
      <c r="Y219" s="126" t="str">
        <f>IF(Tab.o1[[#This Row],[a1]]=1,0.01+0.94*Tab.o1[[#This Row],[PDF]]/MAX(Tab.o1[PDF]),"")</f>
        <v/>
      </c>
      <c r="Z219" s="126" t="str">
        <f>IF(Tab.o1[[#This Row],[a1]]=1,0.01+0.94*Tab.o1[[#This Row],[W1_PDF]]/MAX(Tab.o1[W1_PDF]),"")</f>
        <v/>
      </c>
      <c r="AA219" s="118" t="str">
        <f>IF(Tab.o1[[#This Row],[a1]]=1,ABS([1]!T.in.A[[#This Row],[oo6]]),"")</f>
        <v/>
      </c>
      <c r="AB219" s="127" t="str">
        <f>IF(Tab.o1[[#This Row],[a1]]=1,IF(AE$3=0,"",IF(AB$3=0,ABS([1]!T.in.A[[#This Row],[oo9]]),ABS(Tab.o1[[#This Row],[DIF_Target.]]*Tab.o1[[#This Row],[W1_PDF]]))),"")</f>
        <v/>
      </c>
      <c r="AC219" s="127" t="str">
        <f>IF(G$1=1,"",IF(Tab.o1[[#This Row],[a1]]=1,Tab.o1[[#This Row],[Wr]]^2,""))</f>
        <v/>
      </c>
      <c r="AD219" s="118" t="str">
        <f>IF(Tab.o1[[#This Row],[a1]]=1,IF(AE$3=0,"",Tab.o1[[#This Row],[Wr2]]/SUM(Tab.o1[Wr2])),"")</f>
        <v/>
      </c>
      <c r="AE219" s="128" t="str">
        <f>IF(Tab.o1[[#This Row],[a1]]=1,[1]!T.in.A[[#This Row],[oo10]],"")</f>
        <v/>
      </c>
      <c r="AF219" s="118" t="str">
        <f>IF(Tab.o1[[#This Row],[a1]]=1,ABS(Tab.o1[[#This Row],[DIF_Target.]]*Tab.o1[[#This Row],[PDF2]]*Tab.o1[[#This Row],[IN]]),"")</f>
        <v/>
      </c>
      <c r="AG219" s="129" t="str">
        <f>IF(Tab.o1[[#This Row],[a1]]=1,Tab.o1[[#This Row],[rW]]^2,"")</f>
        <v/>
      </c>
      <c r="AH219" s="130" t="str">
        <f>IF(Tab.o1[[#This Row],[a1]]=1,IF(AH$3=0,Tab.o1[[#This Row],[rW2]],0.01+0.94*Tab.o1[[#This Row],[rW2]]/SUM(Tab.o1[rW2])),"")</f>
        <v/>
      </c>
      <c r="AI219" s="128" t="str">
        <f>IF(Tab.o1[[#This Row],[a1]]=1,1/Tab.o1[[#This Row],[PDF]],"")</f>
        <v/>
      </c>
      <c r="AJ219" s="131" t="str">
        <f>IF(Tab.o1[[#This Row],[a1]]=1,[1]!T_AA[[#This Row],[IN'']]*[1]!T_AA[[#This Row],[Qde'']],"")</f>
        <v/>
      </c>
      <c r="AK219" s="132" t="str">
        <f>IF(Tab.o1[[#This Row],[a1]]=1,IF(AK$1=1,Tab.o1[[#This Row],[MED]]+Tab.o1[[#This Row],[MOD]]-Tab.o1[[#This Row],[MED]],""),"")</f>
        <v/>
      </c>
      <c r="AL219" s="133" t="str">
        <f>IF(Tab.o1[[#This Row],[a1]]=1,[1]!T.in.A[[#This Row],[oo16]],"")</f>
        <v/>
      </c>
      <c r="AM219" s="133" t="str">
        <f>IF(Tab.o1[[#This Row],[a1]]=1,IF(AM$3=1,[1]!T.in.A[[#This Row],[Σo16]],""),"")</f>
        <v/>
      </c>
      <c r="AN219" s="126" t="str">
        <f>IF(Tab.o1[[#This Row],[a1]]=1,[1]!T.in.A[[#This Row],[Σp5]],"")</f>
        <v/>
      </c>
      <c r="AO219" s="126" t="str">
        <f>IF(Tab.o1[[#This Row],[a1]]=1,IF(AO$3=1,[1]!T.in.A[[#This Row],[Σp5]],""),"")</f>
        <v/>
      </c>
      <c r="AP219" s="110" t="str">
        <f>IF(Tab.o1[[#This Row],[a1]]=1,IF(ISNUMBER(Tab.o1[[#This Row],[i.]]),NORMDIST(Tab.o1[[#This Row],[Za]],0,1,FALSE)*Tab.o1[[#This Row],[i.]],0),"")</f>
        <v/>
      </c>
      <c r="AQ219" s="125" t="str">
        <f>IF(Tab.o1[[#This Row],[a1]]=1,ABS(Tab.o1[[#This Row],[MOD]]-AVERAGE(Tab.o1[MOD])),"")</f>
        <v/>
      </c>
      <c r="AR219" s="134" t="str">
        <f>IF(Tab.o1[[#This Row],[a1]]=1,Tab.o1[[#This Row],[OBS]]/SUM(Tab.o1[OBS]),"")</f>
        <v/>
      </c>
      <c r="AS219" s="135" t="str">
        <f>IF(ISNUMBER(Tab.o1[[#This Row],[a1]]),ROW()-4,"")</f>
        <v/>
      </c>
      <c r="AT219" s="136" t="str">
        <f>Tab.o1[[#This Row],[MOD]]</f>
        <v/>
      </c>
      <c r="AU219" s="137" t="str">
        <f t="shared" si="13"/>
        <v/>
      </c>
      <c r="AV219" s="138" t="str">
        <f t="shared" si="14"/>
        <v/>
      </c>
      <c r="AW219" s="138" t="str">
        <f t="shared" si="15"/>
        <v/>
      </c>
      <c r="AX219" s="139" t="str">
        <f>[1]!T.in.A[[#This Row],[ID_T_manu]]</f>
        <v/>
      </c>
      <c r="AY219" s="140" t="str">
        <f>IF(ISNUMBER(Tab.o1[[#This Row],[a1]]),IF(AND(Tab.o1[[#This Row],[a1]]=1,Tab.o1[[#This Row],[b1]]&lt;=AY$4),#REF!,AY218),"")</f>
        <v/>
      </c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</row>
    <row r="220" spans="1:79" ht="14.25" hidden="1" customHeight="1">
      <c r="A220" s="109">
        <v>5.0000000000000004E-6</v>
      </c>
      <c r="B220" s="110">
        <f t="shared" si="12"/>
        <v>220</v>
      </c>
      <c r="C220" s="111" t="str">
        <f>IF(C$1=[1]!T.in.A[[#This Row],[oo2]],1,"")</f>
        <v/>
      </c>
      <c r="D220" s="112" t="str">
        <f>IF(Tab.o1[[#This Row],[a1]]=1,IF(SUM(C220:C221)=0,0,IF(SUM(C219:C220)=1,1,IF(SUM(C219:C221)&gt;1,D219+1,0))),"")</f>
        <v/>
      </c>
      <c r="E220" s="113" t="str">
        <f>IF(Tab.o1[[#This Row],[a1]]=1,[1]!T.in.A[[#This Row],[oo1]],"")</f>
        <v/>
      </c>
      <c r="F220" s="113" t="str">
        <f>IF(Tab.o1[[#This Row],[a1]]=1,[1]!T.in.A[[#This Row],[pp1]],"")</f>
        <v/>
      </c>
      <c r="G220" s="114" t="str">
        <f>IF(Tab.o1[[#This Row],[a1]]=1,G$2+IF(G$1=1,0,Tab.o1[[#This Row],[.x1]])+[1]!T.in.A[[#This Row],[oo3]],"")</f>
        <v/>
      </c>
      <c r="H220" s="115" t="str">
        <f>IF(Tab.o1[[#This Row],[a1]]=1,IF(H$2=0,0,IF(G$1=1,0,Tab.o1[[#This Row],[.x1]])+[1]!T.in.A[[#This Row],[oo4]]),"")</f>
        <v/>
      </c>
      <c r="I220" s="116" t="str">
        <f>IF(Tab.o1[[#This Row],[a1]]=1,IF(J$2=0,Tab.o1[[#This Row],[MED]],Tab.o1[[#This Row],[MOD]]),"")</f>
        <v/>
      </c>
      <c r="J220" s="116" t="str">
        <f>IF(Tab.o1[[#This Row],[a1]]=1,((Tab.o1[[#This Row],[DIF_Target.]]-AVERAGE(Tab.o1[DIF_Target.]))/_xlfn.STDEV.P(Tab.o1[DIF_Target.])),"")</f>
        <v/>
      </c>
      <c r="K220" s="117" t="str">
        <f>IF(Tab.o1[[#This Row],[a1]]=1,IF(J$2=0,Tab.o1[[#This Row],[MOD]]-Tab.o1[[#This Row],[B]],IF(J$2=1,0,-Tab.o1[[#This Row],[MED]])+Tab.o1[[#This Row],[B]]),"")</f>
        <v/>
      </c>
      <c r="L220" s="117" t="str">
        <f ca="1">IF(Tab.o1[[#This Row],[DIF_Target]]=0,IF(L$2=0,Tab.o1[[#This Row],[DIF_Target]],AVERAGE(OFFSET(Tab.o1[[#This Row],[DIF_Target]],1,0,L$3,1)))/3,Tab.o1[[#This Row],[DIF_Target]])</f>
        <v/>
      </c>
      <c r="M220" s="118" t="str">
        <f>IF(Tab.o1[[#This Row],[a1]]=1,NORMSDIST(Tab.o1[[#This Row],[Za]]),"")</f>
        <v/>
      </c>
      <c r="N220" s="119" t="str">
        <f>IF(Tab.o1[[#This Row],[a1]]=1,((Tab.o1[[#This Row],[MedMod]]-AVERAGE(Tab.o1[MedMod]))/_xlfn.STDEV.P(Tab.o1[MedMod])*H$1205)+G$1205,"")</f>
        <v/>
      </c>
      <c r="O220" s="141" t="str">
        <f>IF(Tab.o1[[#This Row],[a1]]=1,Tab.o1[[#This Row],[Zb]]*_xlfn.STDEV.P(Tab.o1[MedMod])+AVERAGE(Tab.o1[MedMod]),"")</f>
        <v/>
      </c>
      <c r="P220" s="117" t="str">
        <f ca="1">IF(Tab.o1[[#This Row],[B]]=0,AVERAGE(OFFSET(Tab.o1[[#This Row],[B]],1,0,L$3,1)),Tab.o1[[#This Row],[B]])</f>
        <v/>
      </c>
      <c r="Q220" s="121" t="str">
        <f>IF(Tab.o1[[#This Row],[a1]]=1,NORMSDIST(Tab.o1[[#This Row],[Zb]]),"")</f>
        <v/>
      </c>
      <c r="R220" s="122" t="str">
        <f>IF(Tab.o1[[#This Row],[a1]]=1,((Tab.o1[[#This Row],[MedMod]]-AVERAGE(Tab.o1[MedMod]))/_xlfn.STDEV.P(Tab.o1[MedMod])*H$1203)+G$1203,"")</f>
        <v/>
      </c>
      <c r="S220" s="122" t="str">
        <f>IF(Tab.o1[[#This Row],[a1]]=1,((Tab.o1[[#This Row],[MedMod]]-AVERAGE(Tab.o1[MedMod]))/_xlfn.STDEV.P(Tab.o1[MedMod])*H$1204)+G$1204,"")</f>
        <v/>
      </c>
      <c r="T220" s="123" t="str">
        <f>IF(Tab.o1[[#This Row],[a1]]=1,Tab.o1[[#This Row],[Z-]]*_xlfn.STDEV.P(Tab.o1[B])+AVERAGE(Tab.o1[B]),"")</f>
        <v/>
      </c>
      <c r="U220" s="123" t="str">
        <f>IF(Tab.o1[[#This Row],[a1]]=1,Tab.o1[[#This Row],[z+]]*_xlfn.STDEV.P(Tab.o1[B])+AVERAGE(Tab.o1[B]),"")</f>
        <v/>
      </c>
      <c r="V220" s="124" t="str">
        <f>IF(Tab.o1[[#This Row],[a1]]=1,ABS((ABS(Tab.o1[[#This Row],[Red]]-Tab.o1[[#This Row],[Blue]]))),"")</f>
        <v/>
      </c>
      <c r="W220" s="125" t="str">
        <f>IF(Tab.o1[[#This Row],[a1]]=1,IF(W$3=0,1,Tab.o1[[#This Row],[Amp.]]*1/_xlfn.MINIFS(Tab.o1[Amp.],Tab.o1[Amp.],"&lt;&gt;0")),"")</f>
        <v/>
      </c>
      <c r="X220" s="126" t="str">
        <f>IF(Tab.o1[[#This Row],[a1]]=1,IF(ISNUMBER(Tab.o1[[#This Row],[i.]]),NORMDIST(Tab.o1[[#This Row],[Za]],0,1,FALSE)*Tab.o1[[#This Row],[i.]],AP$3),"")</f>
        <v/>
      </c>
      <c r="Y220" s="126" t="str">
        <f>IF(Tab.o1[[#This Row],[a1]]=1,0.01+0.94*Tab.o1[[#This Row],[PDF]]/MAX(Tab.o1[PDF]),"")</f>
        <v/>
      </c>
      <c r="Z220" s="126" t="str">
        <f>IF(Tab.o1[[#This Row],[a1]]=1,0.01+0.94*Tab.o1[[#This Row],[W1_PDF]]/MAX(Tab.o1[W1_PDF]),"")</f>
        <v/>
      </c>
      <c r="AA220" s="118" t="str">
        <f>IF(Tab.o1[[#This Row],[a1]]=1,ABS([1]!T.in.A[[#This Row],[oo6]]),"")</f>
        <v/>
      </c>
      <c r="AB220" s="127" t="str">
        <f>IF(Tab.o1[[#This Row],[a1]]=1,IF(AE$3=0,"",IF(AB$3=0,ABS([1]!T.in.A[[#This Row],[oo9]]),ABS(Tab.o1[[#This Row],[DIF_Target.]]*Tab.o1[[#This Row],[W1_PDF]]))),"")</f>
        <v/>
      </c>
      <c r="AC220" s="127" t="str">
        <f>IF(G$1=1,"",IF(Tab.o1[[#This Row],[a1]]=1,Tab.o1[[#This Row],[Wr]]^2,""))</f>
        <v/>
      </c>
      <c r="AD220" s="118" t="str">
        <f>IF(Tab.o1[[#This Row],[a1]]=1,IF(AE$3=0,"",Tab.o1[[#This Row],[Wr2]]/SUM(Tab.o1[Wr2])),"")</f>
        <v/>
      </c>
      <c r="AE220" s="128" t="str">
        <f>IF(Tab.o1[[#This Row],[a1]]=1,[1]!T.in.A[[#This Row],[oo10]],"")</f>
        <v/>
      </c>
      <c r="AF220" s="118" t="str">
        <f>IF(Tab.o1[[#This Row],[a1]]=1,ABS(Tab.o1[[#This Row],[DIF_Target.]]*Tab.o1[[#This Row],[PDF2]]*Tab.o1[[#This Row],[IN]]),"")</f>
        <v/>
      </c>
      <c r="AG220" s="129" t="str">
        <f>IF(Tab.o1[[#This Row],[a1]]=1,Tab.o1[[#This Row],[rW]]^2,"")</f>
        <v/>
      </c>
      <c r="AH220" s="130" t="str">
        <f>IF(Tab.o1[[#This Row],[a1]]=1,IF(AH$3=0,Tab.o1[[#This Row],[rW2]],0.01+0.94*Tab.o1[[#This Row],[rW2]]/SUM(Tab.o1[rW2])),"")</f>
        <v/>
      </c>
      <c r="AI220" s="128" t="str">
        <f>IF(Tab.o1[[#This Row],[a1]]=1,1/Tab.o1[[#This Row],[PDF]],"")</f>
        <v/>
      </c>
      <c r="AJ220" s="131" t="str">
        <f>IF(Tab.o1[[#This Row],[a1]]=1,[1]!T_AA[[#This Row],[IN'']]*[1]!T_AA[[#This Row],[Qde'']],"")</f>
        <v/>
      </c>
      <c r="AK220" s="132" t="str">
        <f>IF(Tab.o1[[#This Row],[a1]]=1,IF(AK$1=1,Tab.o1[[#This Row],[MED]]+Tab.o1[[#This Row],[MOD]]-Tab.o1[[#This Row],[MED]],""),"")</f>
        <v/>
      </c>
      <c r="AL220" s="133" t="str">
        <f>IF(Tab.o1[[#This Row],[a1]]=1,[1]!T.in.A[[#This Row],[oo16]],"")</f>
        <v/>
      </c>
      <c r="AM220" s="133" t="str">
        <f>IF(Tab.o1[[#This Row],[a1]]=1,IF(AM$3=1,[1]!T.in.A[[#This Row],[Σo16]],""),"")</f>
        <v/>
      </c>
      <c r="AN220" s="126" t="str">
        <f>IF(Tab.o1[[#This Row],[a1]]=1,[1]!T.in.A[[#This Row],[Σp5]],"")</f>
        <v/>
      </c>
      <c r="AO220" s="126" t="str">
        <f>IF(Tab.o1[[#This Row],[a1]]=1,IF(AO$3=1,[1]!T.in.A[[#This Row],[Σp5]],""),"")</f>
        <v/>
      </c>
      <c r="AP220" s="110" t="str">
        <f>IF(Tab.o1[[#This Row],[a1]]=1,IF(ISNUMBER(Tab.o1[[#This Row],[i.]]),NORMDIST(Tab.o1[[#This Row],[Za]],0,1,FALSE)*Tab.o1[[#This Row],[i.]],0),"")</f>
        <v/>
      </c>
      <c r="AQ220" s="125" t="str">
        <f>IF(Tab.o1[[#This Row],[a1]]=1,ABS(Tab.o1[[#This Row],[MOD]]-AVERAGE(Tab.o1[MOD])),"")</f>
        <v/>
      </c>
      <c r="AR220" s="134" t="str">
        <f>IF(Tab.o1[[#This Row],[a1]]=1,Tab.o1[[#This Row],[OBS]]/SUM(Tab.o1[OBS]),"")</f>
        <v/>
      </c>
      <c r="AS220" s="135" t="str">
        <f>IF(ISNUMBER(Tab.o1[[#This Row],[a1]]),ROW()-4,"")</f>
        <v/>
      </c>
      <c r="AT220" s="136" t="str">
        <f>Tab.o1[[#This Row],[MOD]]</f>
        <v/>
      </c>
      <c r="AU220" s="137" t="str">
        <f t="shared" si="13"/>
        <v/>
      </c>
      <c r="AV220" s="138" t="str">
        <f t="shared" si="14"/>
        <v/>
      </c>
      <c r="AW220" s="138" t="str">
        <f t="shared" si="15"/>
        <v/>
      </c>
      <c r="AX220" s="139" t="str">
        <f>[1]!T.in.A[[#This Row],[ID_T_manu]]</f>
        <v/>
      </c>
      <c r="AY220" s="140" t="str">
        <f>IF(ISNUMBER(Tab.o1[[#This Row],[a1]]),IF(AND(Tab.o1[[#This Row],[a1]]=1,Tab.o1[[#This Row],[b1]]&lt;=AY$4),#REF!,AY219),"")</f>
        <v/>
      </c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</row>
    <row r="221" spans="1:79" ht="14.25" hidden="1" customHeight="1">
      <c r="A221" s="109">
        <v>5.9999999999999993E-6</v>
      </c>
      <c r="B221" s="110">
        <f t="shared" si="12"/>
        <v>221</v>
      </c>
      <c r="C221" s="111" t="str">
        <f>IF(C$1=[1]!T.in.A[[#This Row],[oo2]],1,"")</f>
        <v/>
      </c>
      <c r="D221" s="112" t="str">
        <f>IF(Tab.o1[[#This Row],[a1]]=1,IF(SUM(C221:C222)=0,0,IF(SUM(C220:C221)=1,1,IF(SUM(C220:C222)&gt;1,D220+1,0))),"")</f>
        <v/>
      </c>
      <c r="E221" s="113" t="str">
        <f>IF(Tab.o1[[#This Row],[a1]]=1,[1]!T.in.A[[#This Row],[oo1]],"")</f>
        <v/>
      </c>
      <c r="F221" s="113" t="str">
        <f>IF(Tab.o1[[#This Row],[a1]]=1,[1]!T.in.A[[#This Row],[pp1]],"")</f>
        <v/>
      </c>
      <c r="G221" s="114" t="str">
        <f>IF(Tab.o1[[#This Row],[a1]]=1,G$2+IF(G$1=1,0,Tab.o1[[#This Row],[.x1]])+[1]!T.in.A[[#This Row],[oo3]],"")</f>
        <v/>
      </c>
      <c r="H221" s="115" t="str">
        <f>IF(Tab.o1[[#This Row],[a1]]=1,IF(H$2=0,0,IF(G$1=1,0,Tab.o1[[#This Row],[.x1]])+[1]!T.in.A[[#This Row],[oo4]]),"")</f>
        <v/>
      </c>
      <c r="I221" s="116" t="str">
        <f>IF(Tab.o1[[#This Row],[a1]]=1,IF(J$2=0,Tab.o1[[#This Row],[MED]],Tab.o1[[#This Row],[MOD]]),"")</f>
        <v/>
      </c>
      <c r="J221" s="116" t="str">
        <f>IF(Tab.o1[[#This Row],[a1]]=1,((Tab.o1[[#This Row],[DIF_Target.]]-AVERAGE(Tab.o1[DIF_Target.]))/_xlfn.STDEV.P(Tab.o1[DIF_Target.])),"")</f>
        <v/>
      </c>
      <c r="K221" s="117" t="str">
        <f>IF(Tab.o1[[#This Row],[a1]]=1,IF(J$2=0,Tab.o1[[#This Row],[MOD]]-Tab.o1[[#This Row],[B]],IF(J$2=1,0,-Tab.o1[[#This Row],[MED]])+Tab.o1[[#This Row],[B]]),"")</f>
        <v/>
      </c>
      <c r="L221" s="117" t="str">
        <f ca="1">IF(Tab.o1[[#This Row],[DIF_Target]]=0,IF(L$2=0,Tab.o1[[#This Row],[DIF_Target]],AVERAGE(OFFSET(Tab.o1[[#This Row],[DIF_Target]],1,0,L$3,1)))/3,Tab.o1[[#This Row],[DIF_Target]])</f>
        <v/>
      </c>
      <c r="M221" s="118" t="str">
        <f>IF(Tab.o1[[#This Row],[a1]]=1,NORMSDIST(Tab.o1[[#This Row],[Za]]),"")</f>
        <v/>
      </c>
      <c r="N221" s="119" t="str">
        <f>IF(Tab.o1[[#This Row],[a1]]=1,((Tab.o1[[#This Row],[MedMod]]-AVERAGE(Tab.o1[MedMod]))/_xlfn.STDEV.P(Tab.o1[MedMod])*H$1205)+G$1205,"")</f>
        <v/>
      </c>
      <c r="O221" s="141" t="str">
        <f>IF(Tab.o1[[#This Row],[a1]]=1,Tab.o1[[#This Row],[Zb]]*_xlfn.STDEV.P(Tab.o1[MedMod])+AVERAGE(Tab.o1[MedMod]),"")</f>
        <v/>
      </c>
      <c r="P221" s="117" t="str">
        <f ca="1">IF(Tab.o1[[#This Row],[B]]=0,AVERAGE(OFFSET(Tab.o1[[#This Row],[B]],1,0,L$3,1)),Tab.o1[[#This Row],[B]])</f>
        <v/>
      </c>
      <c r="Q221" s="121" t="str">
        <f>IF(Tab.o1[[#This Row],[a1]]=1,NORMSDIST(Tab.o1[[#This Row],[Zb]]),"")</f>
        <v/>
      </c>
      <c r="R221" s="122" t="str">
        <f>IF(Tab.o1[[#This Row],[a1]]=1,((Tab.o1[[#This Row],[MedMod]]-AVERAGE(Tab.o1[MedMod]))/_xlfn.STDEV.P(Tab.o1[MedMod])*H$1203)+G$1203,"")</f>
        <v/>
      </c>
      <c r="S221" s="122" t="str">
        <f>IF(Tab.o1[[#This Row],[a1]]=1,((Tab.o1[[#This Row],[MedMod]]-AVERAGE(Tab.o1[MedMod]))/_xlfn.STDEV.P(Tab.o1[MedMod])*H$1204)+G$1204,"")</f>
        <v/>
      </c>
      <c r="T221" s="123" t="str">
        <f>IF(Tab.o1[[#This Row],[a1]]=1,Tab.o1[[#This Row],[Z-]]*_xlfn.STDEV.P(Tab.o1[B])+AVERAGE(Tab.o1[B]),"")</f>
        <v/>
      </c>
      <c r="U221" s="123" t="str">
        <f>IF(Tab.o1[[#This Row],[a1]]=1,Tab.o1[[#This Row],[z+]]*_xlfn.STDEV.P(Tab.o1[B])+AVERAGE(Tab.o1[B]),"")</f>
        <v/>
      </c>
      <c r="V221" s="124" t="str">
        <f>IF(Tab.o1[[#This Row],[a1]]=1,ABS((ABS(Tab.o1[[#This Row],[Red]]-Tab.o1[[#This Row],[Blue]]))),"")</f>
        <v/>
      </c>
      <c r="W221" s="125" t="str">
        <f>IF(Tab.o1[[#This Row],[a1]]=1,IF(W$3=0,1,Tab.o1[[#This Row],[Amp.]]*1/_xlfn.MINIFS(Tab.o1[Amp.],Tab.o1[Amp.],"&lt;&gt;0")),"")</f>
        <v/>
      </c>
      <c r="X221" s="126" t="str">
        <f>IF(Tab.o1[[#This Row],[a1]]=1,IF(ISNUMBER(Tab.o1[[#This Row],[i.]]),NORMDIST(Tab.o1[[#This Row],[Za]],0,1,FALSE)*Tab.o1[[#This Row],[i.]],AP$3),"")</f>
        <v/>
      </c>
      <c r="Y221" s="126" t="str">
        <f>IF(Tab.o1[[#This Row],[a1]]=1,0.01+0.94*Tab.o1[[#This Row],[PDF]]/MAX(Tab.o1[PDF]),"")</f>
        <v/>
      </c>
      <c r="Z221" s="126" t="str">
        <f>IF(Tab.o1[[#This Row],[a1]]=1,0.01+0.94*Tab.o1[[#This Row],[W1_PDF]]/MAX(Tab.o1[W1_PDF]),"")</f>
        <v/>
      </c>
      <c r="AA221" s="118" t="str">
        <f>IF(Tab.o1[[#This Row],[a1]]=1,ABS([1]!T.in.A[[#This Row],[oo6]]),"")</f>
        <v/>
      </c>
      <c r="AB221" s="127" t="str">
        <f>IF(Tab.o1[[#This Row],[a1]]=1,IF(AE$3=0,"",IF(AB$3=0,ABS([1]!T.in.A[[#This Row],[oo9]]),ABS(Tab.o1[[#This Row],[DIF_Target.]]*Tab.o1[[#This Row],[W1_PDF]]))),"")</f>
        <v/>
      </c>
      <c r="AC221" s="127" t="str">
        <f>IF(G$1=1,"",IF(Tab.o1[[#This Row],[a1]]=1,Tab.o1[[#This Row],[Wr]]^2,""))</f>
        <v/>
      </c>
      <c r="AD221" s="118" t="str">
        <f>IF(Tab.o1[[#This Row],[a1]]=1,IF(AE$3=0,"",Tab.o1[[#This Row],[Wr2]]/SUM(Tab.o1[Wr2])),"")</f>
        <v/>
      </c>
      <c r="AE221" s="128" t="str">
        <f>IF(Tab.o1[[#This Row],[a1]]=1,[1]!T.in.A[[#This Row],[oo10]],"")</f>
        <v/>
      </c>
      <c r="AF221" s="118" t="str">
        <f>IF(Tab.o1[[#This Row],[a1]]=1,ABS(Tab.o1[[#This Row],[DIF_Target.]]*Tab.o1[[#This Row],[PDF2]]*Tab.o1[[#This Row],[IN]]),"")</f>
        <v/>
      </c>
      <c r="AG221" s="129" t="str">
        <f>IF(Tab.o1[[#This Row],[a1]]=1,Tab.o1[[#This Row],[rW]]^2,"")</f>
        <v/>
      </c>
      <c r="AH221" s="130" t="str">
        <f>IF(Tab.o1[[#This Row],[a1]]=1,IF(AH$3=0,Tab.o1[[#This Row],[rW2]],0.01+0.94*Tab.o1[[#This Row],[rW2]]/SUM(Tab.o1[rW2])),"")</f>
        <v/>
      </c>
      <c r="AI221" s="128" t="str">
        <f>IF(Tab.o1[[#This Row],[a1]]=1,1/Tab.o1[[#This Row],[PDF]],"")</f>
        <v/>
      </c>
      <c r="AJ221" s="131" t="str">
        <f>IF(Tab.o1[[#This Row],[a1]]=1,[1]!T_AA[[#This Row],[IN'']]*[1]!T_AA[[#This Row],[Qde'']],"")</f>
        <v/>
      </c>
      <c r="AK221" s="132" t="str">
        <f>IF(Tab.o1[[#This Row],[a1]]=1,IF(AK$1=1,Tab.o1[[#This Row],[MED]]+Tab.o1[[#This Row],[MOD]]-Tab.o1[[#This Row],[MED]],""),"")</f>
        <v/>
      </c>
      <c r="AL221" s="133" t="str">
        <f>IF(Tab.o1[[#This Row],[a1]]=1,[1]!T.in.A[[#This Row],[oo16]],"")</f>
        <v/>
      </c>
      <c r="AM221" s="133" t="str">
        <f>IF(Tab.o1[[#This Row],[a1]]=1,IF(AM$3=1,[1]!T.in.A[[#This Row],[Σo16]],""),"")</f>
        <v/>
      </c>
      <c r="AN221" s="126" t="str">
        <f>IF(Tab.o1[[#This Row],[a1]]=1,[1]!T.in.A[[#This Row],[Σp5]],"")</f>
        <v/>
      </c>
      <c r="AO221" s="126" t="str">
        <f>IF(Tab.o1[[#This Row],[a1]]=1,IF(AO$3=1,[1]!T.in.A[[#This Row],[Σp5]],""),"")</f>
        <v/>
      </c>
      <c r="AP221" s="110" t="str">
        <f>IF(Tab.o1[[#This Row],[a1]]=1,IF(ISNUMBER(Tab.o1[[#This Row],[i.]]),NORMDIST(Tab.o1[[#This Row],[Za]],0,1,FALSE)*Tab.o1[[#This Row],[i.]],0),"")</f>
        <v/>
      </c>
      <c r="AQ221" s="125" t="str">
        <f>IF(Tab.o1[[#This Row],[a1]]=1,ABS(Tab.o1[[#This Row],[MOD]]-AVERAGE(Tab.o1[MOD])),"")</f>
        <v/>
      </c>
      <c r="AR221" s="134" t="str">
        <f>IF(Tab.o1[[#This Row],[a1]]=1,Tab.o1[[#This Row],[OBS]]/SUM(Tab.o1[OBS]),"")</f>
        <v/>
      </c>
      <c r="AS221" s="135" t="str">
        <f>IF(ISNUMBER(Tab.o1[[#This Row],[a1]]),ROW()-4,"")</f>
        <v/>
      </c>
      <c r="AT221" s="136" t="str">
        <f>Tab.o1[[#This Row],[MOD]]</f>
        <v/>
      </c>
      <c r="AU221" s="137" t="str">
        <f t="shared" si="13"/>
        <v/>
      </c>
      <c r="AV221" s="138" t="str">
        <f t="shared" si="14"/>
        <v/>
      </c>
      <c r="AW221" s="138" t="str">
        <f t="shared" si="15"/>
        <v/>
      </c>
      <c r="AX221" s="139" t="str">
        <f>[1]!T.in.A[[#This Row],[ID_T_manu]]</f>
        <v/>
      </c>
      <c r="AY221" s="140" t="str">
        <f>IF(ISNUMBER(Tab.o1[[#This Row],[a1]]),IF(AND(Tab.o1[[#This Row],[a1]]=1,Tab.o1[[#This Row],[b1]]&lt;=AY$4),#REF!,AY220),"")</f>
        <v/>
      </c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</row>
    <row r="222" spans="1:79" ht="14.25" hidden="1" customHeight="1">
      <c r="A222" s="109">
        <v>6.9999999999999999E-6</v>
      </c>
      <c r="B222" s="110">
        <f t="shared" si="12"/>
        <v>222</v>
      </c>
      <c r="C222" s="111" t="str">
        <f>IF(C$1=[1]!T.in.A[[#This Row],[oo2]],1,"")</f>
        <v/>
      </c>
      <c r="D222" s="112" t="str">
        <f>IF(Tab.o1[[#This Row],[a1]]=1,IF(SUM(C222:C223)=0,0,IF(SUM(C221:C222)=1,1,IF(SUM(C221:C223)&gt;1,D221+1,0))),"")</f>
        <v/>
      </c>
      <c r="E222" s="113" t="str">
        <f>IF(Tab.o1[[#This Row],[a1]]=1,[1]!T.in.A[[#This Row],[oo1]],"")</f>
        <v/>
      </c>
      <c r="F222" s="113" t="str">
        <f>IF(Tab.o1[[#This Row],[a1]]=1,[1]!T.in.A[[#This Row],[pp1]],"")</f>
        <v/>
      </c>
      <c r="G222" s="114" t="str">
        <f>IF(Tab.o1[[#This Row],[a1]]=1,G$2+IF(G$1=1,0,Tab.o1[[#This Row],[.x1]])+[1]!T.in.A[[#This Row],[oo3]],"")</f>
        <v/>
      </c>
      <c r="H222" s="115" t="str">
        <f>IF(Tab.o1[[#This Row],[a1]]=1,IF(H$2=0,0,IF(G$1=1,0,Tab.o1[[#This Row],[.x1]])+[1]!T.in.A[[#This Row],[oo4]]),"")</f>
        <v/>
      </c>
      <c r="I222" s="116" t="str">
        <f>IF(Tab.o1[[#This Row],[a1]]=1,IF(J$2=0,Tab.o1[[#This Row],[MED]],Tab.o1[[#This Row],[MOD]]),"")</f>
        <v/>
      </c>
      <c r="J222" s="116" t="str">
        <f>IF(Tab.o1[[#This Row],[a1]]=1,((Tab.o1[[#This Row],[DIF_Target.]]-AVERAGE(Tab.o1[DIF_Target.]))/_xlfn.STDEV.P(Tab.o1[DIF_Target.])),"")</f>
        <v/>
      </c>
      <c r="K222" s="117" t="str">
        <f>IF(Tab.o1[[#This Row],[a1]]=1,IF(J$2=0,Tab.o1[[#This Row],[MOD]]-Tab.o1[[#This Row],[B]],IF(J$2=1,0,-Tab.o1[[#This Row],[MED]])+Tab.o1[[#This Row],[B]]),"")</f>
        <v/>
      </c>
      <c r="L222" s="117" t="str">
        <f ca="1">IF(Tab.o1[[#This Row],[DIF_Target]]=0,IF(L$2=0,Tab.o1[[#This Row],[DIF_Target]],AVERAGE(OFFSET(Tab.o1[[#This Row],[DIF_Target]],1,0,L$3,1)))/3,Tab.o1[[#This Row],[DIF_Target]])</f>
        <v/>
      </c>
      <c r="M222" s="118" t="str">
        <f>IF(Tab.o1[[#This Row],[a1]]=1,NORMSDIST(Tab.o1[[#This Row],[Za]]),"")</f>
        <v/>
      </c>
      <c r="N222" s="119" t="str">
        <f>IF(Tab.o1[[#This Row],[a1]]=1,((Tab.o1[[#This Row],[MedMod]]-AVERAGE(Tab.o1[MedMod]))/_xlfn.STDEV.P(Tab.o1[MedMod])*H$1205)+G$1205,"")</f>
        <v/>
      </c>
      <c r="O222" s="141" t="str">
        <f>IF(Tab.o1[[#This Row],[a1]]=1,Tab.o1[[#This Row],[Zb]]*_xlfn.STDEV.P(Tab.o1[MedMod])+AVERAGE(Tab.o1[MedMod]),"")</f>
        <v/>
      </c>
      <c r="P222" s="117" t="str">
        <f ca="1">IF(Tab.o1[[#This Row],[B]]=0,AVERAGE(OFFSET(Tab.o1[[#This Row],[B]],1,0,L$3,1)),Tab.o1[[#This Row],[B]])</f>
        <v/>
      </c>
      <c r="Q222" s="121" t="str">
        <f>IF(Tab.o1[[#This Row],[a1]]=1,NORMSDIST(Tab.o1[[#This Row],[Zb]]),"")</f>
        <v/>
      </c>
      <c r="R222" s="122" t="str">
        <f>IF(Tab.o1[[#This Row],[a1]]=1,((Tab.o1[[#This Row],[MedMod]]-AVERAGE(Tab.o1[MedMod]))/_xlfn.STDEV.P(Tab.o1[MedMod])*H$1203)+G$1203,"")</f>
        <v/>
      </c>
      <c r="S222" s="122" t="str">
        <f>IF(Tab.o1[[#This Row],[a1]]=1,((Tab.o1[[#This Row],[MedMod]]-AVERAGE(Tab.o1[MedMod]))/_xlfn.STDEV.P(Tab.o1[MedMod])*H$1204)+G$1204,"")</f>
        <v/>
      </c>
      <c r="T222" s="123" t="str">
        <f>IF(Tab.o1[[#This Row],[a1]]=1,Tab.o1[[#This Row],[Z-]]*_xlfn.STDEV.P(Tab.o1[B])+AVERAGE(Tab.o1[B]),"")</f>
        <v/>
      </c>
      <c r="U222" s="123" t="str">
        <f>IF(Tab.o1[[#This Row],[a1]]=1,Tab.o1[[#This Row],[z+]]*_xlfn.STDEV.P(Tab.o1[B])+AVERAGE(Tab.o1[B]),"")</f>
        <v/>
      </c>
      <c r="V222" s="124" t="str">
        <f>IF(Tab.o1[[#This Row],[a1]]=1,ABS((ABS(Tab.o1[[#This Row],[Red]]-Tab.o1[[#This Row],[Blue]]))),"")</f>
        <v/>
      </c>
      <c r="W222" s="125" t="str">
        <f>IF(Tab.o1[[#This Row],[a1]]=1,IF(W$3=0,1,Tab.o1[[#This Row],[Amp.]]*1/_xlfn.MINIFS(Tab.o1[Amp.],Tab.o1[Amp.],"&lt;&gt;0")),"")</f>
        <v/>
      </c>
      <c r="X222" s="126" t="str">
        <f>IF(Tab.o1[[#This Row],[a1]]=1,IF(ISNUMBER(Tab.o1[[#This Row],[i.]]),NORMDIST(Tab.o1[[#This Row],[Za]],0,1,FALSE)*Tab.o1[[#This Row],[i.]],AP$3),"")</f>
        <v/>
      </c>
      <c r="Y222" s="126" t="str">
        <f>IF(Tab.o1[[#This Row],[a1]]=1,0.01+0.94*Tab.o1[[#This Row],[PDF]]/MAX(Tab.o1[PDF]),"")</f>
        <v/>
      </c>
      <c r="Z222" s="126" t="str">
        <f>IF(Tab.o1[[#This Row],[a1]]=1,0.01+0.94*Tab.o1[[#This Row],[W1_PDF]]/MAX(Tab.o1[W1_PDF]),"")</f>
        <v/>
      </c>
      <c r="AA222" s="118" t="str">
        <f>IF(Tab.o1[[#This Row],[a1]]=1,ABS([1]!T.in.A[[#This Row],[oo6]]),"")</f>
        <v/>
      </c>
      <c r="AB222" s="127" t="str">
        <f>IF(Tab.o1[[#This Row],[a1]]=1,IF(AE$3=0,"",IF(AB$3=0,ABS([1]!T.in.A[[#This Row],[oo9]]),ABS(Tab.o1[[#This Row],[DIF_Target.]]*Tab.o1[[#This Row],[W1_PDF]]))),"")</f>
        <v/>
      </c>
      <c r="AC222" s="127" t="str">
        <f>IF(G$1=1,"",IF(Tab.o1[[#This Row],[a1]]=1,Tab.o1[[#This Row],[Wr]]^2,""))</f>
        <v/>
      </c>
      <c r="AD222" s="118" t="str">
        <f>IF(Tab.o1[[#This Row],[a1]]=1,IF(AE$3=0,"",Tab.o1[[#This Row],[Wr2]]/SUM(Tab.o1[Wr2])),"")</f>
        <v/>
      </c>
      <c r="AE222" s="128" t="str">
        <f>IF(Tab.o1[[#This Row],[a1]]=1,[1]!T.in.A[[#This Row],[oo10]],"")</f>
        <v/>
      </c>
      <c r="AF222" s="118" t="str">
        <f>IF(Tab.o1[[#This Row],[a1]]=1,ABS(Tab.o1[[#This Row],[DIF_Target.]]*Tab.o1[[#This Row],[PDF2]]*Tab.o1[[#This Row],[IN]]),"")</f>
        <v/>
      </c>
      <c r="AG222" s="129" t="str">
        <f>IF(Tab.o1[[#This Row],[a1]]=1,Tab.o1[[#This Row],[rW]]^2,"")</f>
        <v/>
      </c>
      <c r="AH222" s="130" t="str">
        <f>IF(Tab.o1[[#This Row],[a1]]=1,IF(AH$3=0,Tab.o1[[#This Row],[rW2]],0.01+0.94*Tab.o1[[#This Row],[rW2]]/SUM(Tab.o1[rW2])),"")</f>
        <v/>
      </c>
      <c r="AI222" s="128" t="str">
        <f>IF(Tab.o1[[#This Row],[a1]]=1,1/Tab.o1[[#This Row],[PDF]],"")</f>
        <v/>
      </c>
      <c r="AJ222" s="131" t="str">
        <f>IF(Tab.o1[[#This Row],[a1]]=1,[1]!T_AA[[#This Row],[IN'']]*[1]!T_AA[[#This Row],[Qde'']],"")</f>
        <v/>
      </c>
      <c r="AK222" s="132" t="str">
        <f>IF(Tab.o1[[#This Row],[a1]]=1,IF(AK$1=1,Tab.o1[[#This Row],[MED]]+Tab.o1[[#This Row],[MOD]]-Tab.o1[[#This Row],[MED]],""),"")</f>
        <v/>
      </c>
      <c r="AL222" s="133" t="str">
        <f>IF(Tab.o1[[#This Row],[a1]]=1,[1]!T.in.A[[#This Row],[oo16]],"")</f>
        <v/>
      </c>
      <c r="AM222" s="133" t="str">
        <f>IF(Tab.o1[[#This Row],[a1]]=1,IF(AM$3=1,[1]!T.in.A[[#This Row],[Σo16]],""),"")</f>
        <v/>
      </c>
      <c r="AN222" s="126" t="str">
        <f>IF(Tab.o1[[#This Row],[a1]]=1,[1]!T.in.A[[#This Row],[Σp5]],"")</f>
        <v/>
      </c>
      <c r="AO222" s="126" t="str">
        <f>IF(Tab.o1[[#This Row],[a1]]=1,IF(AO$3=1,[1]!T.in.A[[#This Row],[Σp5]],""),"")</f>
        <v/>
      </c>
      <c r="AP222" s="110" t="str">
        <f>IF(Tab.o1[[#This Row],[a1]]=1,IF(ISNUMBER(Tab.o1[[#This Row],[i.]]),NORMDIST(Tab.o1[[#This Row],[Za]],0,1,FALSE)*Tab.o1[[#This Row],[i.]],0),"")</f>
        <v/>
      </c>
      <c r="AQ222" s="125" t="str">
        <f>IF(Tab.o1[[#This Row],[a1]]=1,ABS(Tab.o1[[#This Row],[MOD]]-AVERAGE(Tab.o1[MOD])),"")</f>
        <v/>
      </c>
      <c r="AR222" s="134" t="str">
        <f>IF(Tab.o1[[#This Row],[a1]]=1,Tab.o1[[#This Row],[OBS]]/SUM(Tab.o1[OBS]),"")</f>
        <v/>
      </c>
      <c r="AS222" s="135" t="str">
        <f>IF(ISNUMBER(Tab.o1[[#This Row],[a1]]),ROW()-4,"")</f>
        <v/>
      </c>
      <c r="AT222" s="136" t="str">
        <f>Tab.o1[[#This Row],[MOD]]</f>
        <v/>
      </c>
      <c r="AU222" s="137" t="str">
        <f t="shared" si="13"/>
        <v/>
      </c>
      <c r="AV222" s="138" t="str">
        <f t="shared" si="14"/>
        <v/>
      </c>
      <c r="AW222" s="138" t="str">
        <f t="shared" si="15"/>
        <v/>
      </c>
      <c r="AX222" s="139" t="str">
        <f>[1]!T.in.A[[#This Row],[ID_T_manu]]</f>
        <v/>
      </c>
      <c r="AY222" s="140" t="str">
        <f>IF(ISNUMBER(Tab.o1[[#This Row],[a1]]),IF(AND(Tab.o1[[#This Row],[a1]]=1,Tab.o1[[#This Row],[b1]]&lt;=AY$4),#REF!,AY221),"")</f>
        <v/>
      </c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</row>
    <row r="223" spans="1:79" ht="14.25" hidden="1" customHeight="1">
      <c r="A223" s="109">
        <v>-5.0000000000000004E-6</v>
      </c>
      <c r="B223" s="110">
        <f t="shared" si="12"/>
        <v>223</v>
      </c>
      <c r="C223" s="111" t="str">
        <f>IF(C$1=[1]!T.in.A[[#This Row],[oo2]],1,"")</f>
        <v/>
      </c>
      <c r="D223" s="112" t="str">
        <f>IF(Tab.o1[[#This Row],[a1]]=1,IF(SUM(C223:C224)=0,0,IF(SUM(C222:C223)=1,1,IF(SUM(C222:C224)&gt;1,D222+1,0))),"")</f>
        <v/>
      </c>
      <c r="E223" s="113" t="str">
        <f>IF(Tab.o1[[#This Row],[a1]]=1,[1]!T.in.A[[#This Row],[oo1]],"")</f>
        <v/>
      </c>
      <c r="F223" s="113" t="str">
        <f>IF(Tab.o1[[#This Row],[a1]]=1,[1]!T.in.A[[#This Row],[pp1]],"")</f>
        <v/>
      </c>
      <c r="G223" s="114" t="str">
        <f>IF(Tab.o1[[#This Row],[a1]]=1,G$2+IF(G$1=1,0,Tab.o1[[#This Row],[.x1]])+[1]!T.in.A[[#This Row],[oo3]],"")</f>
        <v/>
      </c>
      <c r="H223" s="115" t="str">
        <f>IF(Tab.o1[[#This Row],[a1]]=1,IF(H$2=0,0,IF(G$1=1,0,Tab.o1[[#This Row],[.x1]])+[1]!T.in.A[[#This Row],[oo4]]),"")</f>
        <v/>
      </c>
      <c r="I223" s="116" t="str">
        <f>IF(Tab.o1[[#This Row],[a1]]=1,IF(J$2=0,Tab.o1[[#This Row],[MED]],Tab.o1[[#This Row],[MOD]]),"")</f>
        <v/>
      </c>
      <c r="J223" s="116" t="str">
        <f>IF(Tab.o1[[#This Row],[a1]]=1,((Tab.o1[[#This Row],[DIF_Target.]]-AVERAGE(Tab.o1[DIF_Target.]))/_xlfn.STDEV.P(Tab.o1[DIF_Target.])),"")</f>
        <v/>
      </c>
      <c r="K223" s="117" t="str">
        <f>IF(Tab.o1[[#This Row],[a1]]=1,IF(J$2=0,Tab.o1[[#This Row],[MOD]]-Tab.o1[[#This Row],[B]],IF(J$2=1,0,-Tab.o1[[#This Row],[MED]])+Tab.o1[[#This Row],[B]]),"")</f>
        <v/>
      </c>
      <c r="L223" s="117" t="str">
        <f ca="1">IF(Tab.o1[[#This Row],[DIF_Target]]=0,IF(L$2=0,Tab.o1[[#This Row],[DIF_Target]],AVERAGE(OFFSET(Tab.o1[[#This Row],[DIF_Target]],1,0,L$3,1)))/3,Tab.o1[[#This Row],[DIF_Target]])</f>
        <v/>
      </c>
      <c r="M223" s="118" t="str">
        <f>IF(Tab.o1[[#This Row],[a1]]=1,NORMSDIST(Tab.o1[[#This Row],[Za]]),"")</f>
        <v/>
      </c>
      <c r="N223" s="119" t="str">
        <f>IF(Tab.o1[[#This Row],[a1]]=1,((Tab.o1[[#This Row],[MedMod]]-AVERAGE(Tab.o1[MedMod]))/_xlfn.STDEV.P(Tab.o1[MedMod])*H$1205)+G$1205,"")</f>
        <v/>
      </c>
      <c r="O223" s="141" t="str">
        <f>IF(Tab.o1[[#This Row],[a1]]=1,Tab.o1[[#This Row],[Zb]]*_xlfn.STDEV.P(Tab.o1[MedMod])+AVERAGE(Tab.o1[MedMod]),"")</f>
        <v/>
      </c>
      <c r="P223" s="117" t="str">
        <f ca="1">IF(Tab.o1[[#This Row],[B]]=0,AVERAGE(OFFSET(Tab.o1[[#This Row],[B]],1,0,L$3,1)),Tab.o1[[#This Row],[B]])</f>
        <v/>
      </c>
      <c r="Q223" s="121" t="str">
        <f>IF(Tab.o1[[#This Row],[a1]]=1,NORMSDIST(Tab.o1[[#This Row],[Zb]]),"")</f>
        <v/>
      </c>
      <c r="R223" s="122" t="str">
        <f>IF(Tab.o1[[#This Row],[a1]]=1,((Tab.o1[[#This Row],[MedMod]]-AVERAGE(Tab.o1[MedMod]))/_xlfn.STDEV.P(Tab.o1[MedMod])*H$1203)+G$1203,"")</f>
        <v/>
      </c>
      <c r="S223" s="122" t="str">
        <f>IF(Tab.o1[[#This Row],[a1]]=1,((Tab.o1[[#This Row],[MedMod]]-AVERAGE(Tab.o1[MedMod]))/_xlfn.STDEV.P(Tab.o1[MedMod])*H$1204)+G$1204,"")</f>
        <v/>
      </c>
      <c r="T223" s="123" t="str">
        <f>IF(Tab.o1[[#This Row],[a1]]=1,Tab.o1[[#This Row],[Z-]]*_xlfn.STDEV.P(Tab.o1[B])+AVERAGE(Tab.o1[B]),"")</f>
        <v/>
      </c>
      <c r="U223" s="123" t="str">
        <f>IF(Tab.o1[[#This Row],[a1]]=1,Tab.o1[[#This Row],[z+]]*_xlfn.STDEV.P(Tab.o1[B])+AVERAGE(Tab.o1[B]),"")</f>
        <v/>
      </c>
      <c r="V223" s="124" t="str">
        <f>IF(Tab.o1[[#This Row],[a1]]=1,ABS((ABS(Tab.o1[[#This Row],[Red]]-Tab.o1[[#This Row],[Blue]]))),"")</f>
        <v/>
      </c>
      <c r="W223" s="125" t="str">
        <f>IF(Tab.o1[[#This Row],[a1]]=1,IF(W$3=0,1,Tab.o1[[#This Row],[Amp.]]*1/_xlfn.MINIFS(Tab.o1[Amp.],Tab.o1[Amp.],"&lt;&gt;0")),"")</f>
        <v/>
      </c>
      <c r="X223" s="126" t="str">
        <f>IF(Tab.o1[[#This Row],[a1]]=1,IF(ISNUMBER(Tab.o1[[#This Row],[i.]]),NORMDIST(Tab.o1[[#This Row],[Za]],0,1,FALSE)*Tab.o1[[#This Row],[i.]],AP$3),"")</f>
        <v/>
      </c>
      <c r="Y223" s="126" t="str">
        <f>IF(Tab.o1[[#This Row],[a1]]=1,0.01+0.94*Tab.o1[[#This Row],[PDF]]/MAX(Tab.o1[PDF]),"")</f>
        <v/>
      </c>
      <c r="Z223" s="126" t="str">
        <f>IF(Tab.o1[[#This Row],[a1]]=1,0.01+0.94*Tab.o1[[#This Row],[W1_PDF]]/MAX(Tab.o1[W1_PDF]),"")</f>
        <v/>
      </c>
      <c r="AA223" s="118" t="str">
        <f>IF(Tab.o1[[#This Row],[a1]]=1,ABS([1]!T.in.A[[#This Row],[oo6]]),"")</f>
        <v/>
      </c>
      <c r="AB223" s="127" t="str">
        <f>IF(Tab.o1[[#This Row],[a1]]=1,IF(AE$3=0,"",IF(AB$3=0,ABS([1]!T.in.A[[#This Row],[oo9]]),ABS(Tab.o1[[#This Row],[DIF_Target.]]*Tab.o1[[#This Row],[W1_PDF]]))),"")</f>
        <v/>
      </c>
      <c r="AC223" s="127" t="str">
        <f>IF(G$1=1,"",IF(Tab.o1[[#This Row],[a1]]=1,Tab.o1[[#This Row],[Wr]]^2,""))</f>
        <v/>
      </c>
      <c r="AD223" s="118" t="str">
        <f>IF(Tab.o1[[#This Row],[a1]]=1,IF(AE$3=0,"",Tab.o1[[#This Row],[Wr2]]/SUM(Tab.o1[Wr2])),"")</f>
        <v/>
      </c>
      <c r="AE223" s="128" t="str">
        <f>IF(Tab.o1[[#This Row],[a1]]=1,[1]!T.in.A[[#This Row],[oo10]],"")</f>
        <v/>
      </c>
      <c r="AF223" s="118" t="str">
        <f>IF(Tab.o1[[#This Row],[a1]]=1,ABS(Tab.o1[[#This Row],[DIF_Target.]]*Tab.o1[[#This Row],[PDF2]]*Tab.o1[[#This Row],[IN]]),"")</f>
        <v/>
      </c>
      <c r="AG223" s="129" t="str">
        <f>IF(Tab.o1[[#This Row],[a1]]=1,Tab.o1[[#This Row],[rW]]^2,"")</f>
        <v/>
      </c>
      <c r="AH223" s="130" t="str">
        <f>IF(Tab.o1[[#This Row],[a1]]=1,IF(AH$3=0,Tab.o1[[#This Row],[rW2]],0.01+0.94*Tab.o1[[#This Row],[rW2]]/SUM(Tab.o1[rW2])),"")</f>
        <v/>
      </c>
      <c r="AI223" s="128" t="str">
        <f>IF(Tab.o1[[#This Row],[a1]]=1,1/Tab.o1[[#This Row],[PDF]],"")</f>
        <v/>
      </c>
      <c r="AJ223" s="131" t="str">
        <f>IF(Tab.o1[[#This Row],[a1]]=1,[1]!T_AA[[#This Row],[IN'']]*[1]!T_AA[[#This Row],[Qde'']],"")</f>
        <v/>
      </c>
      <c r="AK223" s="132" t="str">
        <f>IF(Tab.o1[[#This Row],[a1]]=1,IF(AK$1=1,Tab.o1[[#This Row],[MED]]+Tab.o1[[#This Row],[MOD]]-Tab.o1[[#This Row],[MED]],""),"")</f>
        <v/>
      </c>
      <c r="AL223" s="133" t="str">
        <f>IF(Tab.o1[[#This Row],[a1]]=1,[1]!T.in.A[[#This Row],[oo16]],"")</f>
        <v/>
      </c>
      <c r="AM223" s="133" t="str">
        <f>IF(Tab.o1[[#This Row],[a1]]=1,IF(AM$3=1,[1]!T.in.A[[#This Row],[Σo16]],""),"")</f>
        <v/>
      </c>
      <c r="AN223" s="126" t="str">
        <f>IF(Tab.o1[[#This Row],[a1]]=1,[1]!T.in.A[[#This Row],[Σp5]],"")</f>
        <v/>
      </c>
      <c r="AO223" s="126" t="str">
        <f>IF(Tab.o1[[#This Row],[a1]]=1,IF(AO$3=1,[1]!T.in.A[[#This Row],[Σp5]],""),"")</f>
        <v/>
      </c>
      <c r="AP223" s="110" t="str">
        <f>IF(Tab.o1[[#This Row],[a1]]=1,IF(ISNUMBER(Tab.o1[[#This Row],[i.]]),NORMDIST(Tab.o1[[#This Row],[Za]],0,1,FALSE)*Tab.o1[[#This Row],[i.]],0),"")</f>
        <v/>
      </c>
      <c r="AQ223" s="125" t="str">
        <f>IF(Tab.o1[[#This Row],[a1]]=1,ABS(Tab.o1[[#This Row],[MOD]]-AVERAGE(Tab.o1[MOD])),"")</f>
        <v/>
      </c>
      <c r="AR223" s="134" t="str">
        <f>IF(Tab.o1[[#This Row],[a1]]=1,Tab.o1[[#This Row],[OBS]]/SUM(Tab.o1[OBS]),"")</f>
        <v/>
      </c>
      <c r="AS223" s="135" t="str">
        <f>IF(ISNUMBER(Tab.o1[[#This Row],[a1]]),ROW()-4,"")</f>
        <v/>
      </c>
      <c r="AT223" s="136" t="str">
        <f>Tab.o1[[#This Row],[MOD]]</f>
        <v/>
      </c>
      <c r="AU223" s="137" t="str">
        <f t="shared" si="13"/>
        <v/>
      </c>
      <c r="AV223" s="138" t="str">
        <f t="shared" si="14"/>
        <v/>
      </c>
      <c r="AW223" s="138" t="str">
        <f t="shared" si="15"/>
        <v/>
      </c>
      <c r="AX223" s="139" t="str">
        <f>[1]!T.in.A[[#This Row],[ID_T_manu]]</f>
        <v/>
      </c>
      <c r="AY223" s="140" t="str">
        <f>IF(ISNUMBER(Tab.o1[[#This Row],[a1]]),IF(AND(Tab.o1[[#This Row],[a1]]=1,Tab.o1[[#This Row],[b1]]&lt;=AY$4),#REF!,AY222),"")</f>
        <v/>
      </c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</row>
    <row r="224" spans="1:79" ht="14.25" hidden="1" customHeight="1">
      <c r="A224" s="109">
        <v>-1.0000000000000001E-5</v>
      </c>
      <c r="B224" s="110">
        <f t="shared" si="12"/>
        <v>224</v>
      </c>
      <c r="C224" s="111" t="str">
        <f>IF(C$1=[1]!T.in.A[[#This Row],[oo2]],1,"")</f>
        <v/>
      </c>
      <c r="D224" s="112" t="str">
        <f>IF(Tab.o1[[#This Row],[a1]]=1,IF(SUM(C224:C225)=0,0,IF(SUM(C223:C224)=1,1,IF(SUM(C223:C225)&gt;1,D223+1,0))),"")</f>
        <v/>
      </c>
      <c r="E224" s="113" t="str">
        <f>IF(Tab.o1[[#This Row],[a1]]=1,[1]!T.in.A[[#This Row],[oo1]],"")</f>
        <v/>
      </c>
      <c r="F224" s="113" t="str">
        <f>IF(Tab.o1[[#This Row],[a1]]=1,[1]!T.in.A[[#This Row],[pp1]],"")</f>
        <v/>
      </c>
      <c r="G224" s="114" t="str">
        <f>IF(Tab.o1[[#This Row],[a1]]=1,G$2+IF(G$1=1,0,Tab.o1[[#This Row],[.x1]])+[1]!T.in.A[[#This Row],[oo3]],"")</f>
        <v/>
      </c>
      <c r="H224" s="115" t="str">
        <f>IF(Tab.o1[[#This Row],[a1]]=1,IF(H$2=0,0,IF(G$1=1,0,Tab.o1[[#This Row],[.x1]])+[1]!T.in.A[[#This Row],[oo4]]),"")</f>
        <v/>
      </c>
      <c r="I224" s="116" t="str">
        <f>IF(Tab.o1[[#This Row],[a1]]=1,IF(J$2=0,Tab.o1[[#This Row],[MED]],Tab.o1[[#This Row],[MOD]]),"")</f>
        <v/>
      </c>
      <c r="J224" s="116" t="str">
        <f>IF(Tab.o1[[#This Row],[a1]]=1,((Tab.o1[[#This Row],[DIF_Target.]]-AVERAGE(Tab.o1[DIF_Target.]))/_xlfn.STDEV.P(Tab.o1[DIF_Target.])),"")</f>
        <v/>
      </c>
      <c r="K224" s="117" t="str">
        <f>IF(Tab.o1[[#This Row],[a1]]=1,IF(J$2=0,Tab.o1[[#This Row],[MOD]]-Tab.o1[[#This Row],[B]],IF(J$2=1,0,-Tab.o1[[#This Row],[MED]])+Tab.o1[[#This Row],[B]]),"")</f>
        <v/>
      </c>
      <c r="L224" s="117" t="str">
        <f ca="1">IF(Tab.o1[[#This Row],[DIF_Target]]=0,IF(L$2=0,Tab.o1[[#This Row],[DIF_Target]],AVERAGE(OFFSET(Tab.o1[[#This Row],[DIF_Target]],1,0,L$3,1)))/3,Tab.o1[[#This Row],[DIF_Target]])</f>
        <v/>
      </c>
      <c r="M224" s="118" t="str">
        <f>IF(Tab.o1[[#This Row],[a1]]=1,NORMSDIST(Tab.o1[[#This Row],[Za]]),"")</f>
        <v/>
      </c>
      <c r="N224" s="119" t="str">
        <f>IF(Tab.o1[[#This Row],[a1]]=1,((Tab.o1[[#This Row],[MedMod]]-AVERAGE(Tab.o1[MedMod]))/_xlfn.STDEV.P(Tab.o1[MedMod])*H$1205)+G$1205,"")</f>
        <v/>
      </c>
      <c r="O224" s="141" t="str">
        <f>IF(Tab.o1[[#This Row],[a1]]=1,Tab.o1[[#This Row],[Zb]]*_xlfn.STDEV.P(Tab.o1[MedMod])+AVERAGE(Tab.o1[MedMod]),"")</f>
        <v/>
      </c>
      <c r="P224" s="117" t="str">
        <f ca="1">IF(Tab.o1[[#This Row],[B]]=0,AVERAGE(OFFSET(Tab.o1[[#This Row],[B]],1,0,L$3,1)),Tab.o1[[#This Row],[B]])</f>
        <v/>
      </c>
      <c r="Q224" s="121" t="str">
        <f>IF(Tab.o1[[#This Row],[a1]]=1,NORMSDIST(Tab.o1[[#This Row],[Zb]]),"")</f>
        <v/>
      </c>
      <c r="R224" s="122" t="str">
        <f>IF(Tab.o1[[#This Row],[a1]]=1,((Tab.o1[[#This Row],[MedMod]]-AVERAGE(Tab.o1[MedMod]))/_xlfn.STDEV.P(Tab.o1[MedMod])*H$1203)+G$1203,"")</f>
        <v/>
      </c>
      <c r="S224" s="122" t="str">
        <f>IF(Tab.o1[[#This Row],[a1]]=1,((Tab.o1[[#This Row],[MedMod]]-AVERAGE(Tab.o1[MedMod]))/_xlfn.STDEV.P(Tab.o1[MedMod])*H$1204)+G$1204,"")</f>
        <v/>
      </c>
      <c r="T224" s="123" t="str">
        <f>IF(Tab.o1[[#This Row],[a1]]=1,Tab.o1[[#This Row],[Z-]]*_xlfn.STDEV.P(Tab.o1[B])+AVERAGE(Tab.o1[B]),"")</f>
        <v/>
      </c>
      <c r="U224" s="123" t="str">
        <f>IF(Tab.o1[[#This Row],[a1]]=1,Tab.o1[[#This Row],[z+]]*_xlfn.STDEV.P(Tab.o1[B])+AVERAGE(Tab.o1[B]),"")</f>
        <v/>
      </c>
      <c r="V224" s="124" t="str">
        <f>IF(Tab.o1[[#This Row],[a1]]=1,ABS((ABS(Tab.o1[[#This Row],[Red]]-Tab.o1[[#This Row],[Blue]]))),"")</f>
        <v/>
      </c>
      <c r="W224" s="125" t="str">
        <f>IF(Tab.o1[[#This Row],[a1]]=1,IF(W$3=0,1,Tab.o1[[#This Row],[Amp.]]*1/_xlfn.MINIFS(Tab.o1[Amp.],Tab.o1[Amp.],"&lt;&gt;0")),"")</f>
        <v/>
      </c>
      <c r="X224" s="126" t="str">
        <f>IF(Tab.o1[[#This Row],[a1]]=1,IF(ISNUMBER(Tab.o1[[#This Row],[i.]]),NORMDIST(Tab.o1[[#This Row],[Za]],0,1,FALSE)*Tab.o1[[#This Row],[i.]],AP$3),"")</f>
        <v/>
      </c>
      <c r="Y224" s="126" t="str">
        <f>IF(Tab.o1[[#This Row],[a1]]=1,0.01+0.94*Tab.o1[[#This Row],[PDF]]/MAX(Tab.o1[PDF]),"")</f>
        <v/>
      </c>
      <c r="Z224" s="126" t="str">
        <f>IF(Tab.o1[[#This Row],[a1]]=1,0.01+0.94*Tab.o1[[#This Row],[W1_PDF]]/MAX(Tab.o1[W1_PDF]),"")</f>
        <v/>
      </c>
      <c r="AA224" s="118" t="str">
        <f>IF(Tab.o1[[#This Row],[a1]]=1,ABS([1]!T.in.A[[#This Row],[oo6]]),"")</f>
        <v/>
      </c>
      <c r="AB224" s="127" t="str">
        <f>IF(Tab.o1[[#This Row],[a1]]=1,IF(AE$3=0,"",IF(AB$3=0,ABS([1]!T.in.A[[#This Row],[oo9]]),ABS(Tab.o1[[#This Row],[DIF_Target.]]*Tab.o1[[#This Row],[W1_PDF]]))),"")</f>
        <v/>
      </c>
      <c r="AC224" s="127" t="str">
        <f>IF(G$1=1,"",IF(Tab.o1[[#This Row],[a1]]=1,Tab.o1[[#This Row],[Wr]]^2,""))</f>
        <v/>
      </c>
      <c r="AD224" s="118" t="str">
        <f>IF(Tab.o1[[#This Row],[a1]]=1,IF(AE$3=0,"",Tab.o1[[#This Row],[Wr2]]/SUM(Tab.o1[Wr2])),"")</f>
        <v/>
      </c>
      <c r="AE224" s="128" t="str">
        <f>IF(Tab.o1[[#This Row],[a1]]=1,[1]!T.in.A[[#This Row],[oo10]],"")</f>
        <v/>
      </c>
      <c r="AF224" s="118" t="str">
        <f>IF(Tab.o1[[#This Row],[a1]]=1,ABS(Tab.o1[[#This Row],[DIF_Target.]]*Tab.o1[[#This Row],[PDF2]]*Tab.o1[[#This Row],[IN]]),"")</f>
        <v/>
      </c>
      <c r="AG224" s="129" t="str">
        <f>IF(Tab.o1[[#This Row],[a1]]=1,Tab.o1[[#This Row],[rW]]^2,"")</f>
        <v/>
      </c>
      <c r="AH224" s="130" t="str">
        <f>IF(Tab.o1[[#This Row],[a1]]=1,IF(AH$3=0,Tab.o1[[#This Row],[rW2]],0.01+0.94*Tab.o1[[#This Row],[rW2]]/SUM(Tab.o1[rW2])),"")</f>
        <v/>
      </c>
      <c r="AI224" s="128" t="str">
        <f>IF(Tab.o1[[#This Row],[a1]]=1,1/Tab.o1[[#This Row],[PDF]],"")</f>
        <v/>
      </c>
      <c r="AJ224" s="131" t="str">
        <f>IF(Tab.o1[[#This Row],[a1]]=1,[1]!T_AA[[#This Row],[IN'']]*[1]!T_AA[[#This Row],[Qde'']],"")</f>
        <v/>
      </c>
      <c r="AK224" s="132" t="str">
        <f>IF(Tab.o1[[#This Row],[a1]]=1,IF(AK$1=1,Tab.o1[[#This Row],[MED]]+Tab.o1[[#This Row],[MOD]]-Tab.o1[[#This Row],[MED]],""),"")</f>
        <v/>
      </c>
      <c r="AL224" s="133" t="str">
        <f>IF(Tab.o1[[#This Row],[a1]]=1,[1]!T.in.A[[#This Row],[oo16]],"")</f>
        <v/>
      </c>
      <c r="AM224" s="133" t="str">
        <f>IF(Tab.o1[[#This Row],[a1]]=1,IF(AM$3=1,[1]!T.in.A[[#This Row],[Σo16]],""),"")</f>
        <v/>
      </c>
      <c r="AN224" s="126" t="str">
        <f>IF(Tab.o1[[#This Row],[a1]]=1,[1]!T.in.A[[#This Row],[Σp5]],"")</f>
        <v/>
      </c>
      <c r="AO224" s="126" t="str">
        <f>IF(Tab.o1[[#This Row],[a1]]=1,IF(AO$3=1,[1]!T.in.A[[#This Row],[Σp5]],""),"")</f>
        <v/>
      </c>
      <c r="AP224" s="110" t="str">
        <f>IF(Tab.o1[[#This Row],[a1]]=1,IF(ISNUMBER(Tab.o1[[#This Row],[i.]]),NORMDIST(Tab.o1[[#This Row],[Za]],0,1,FALSE)*Tab.o1[[#This Row],[i.]],0),"")</f>
        <v/>
      </c>
      <c r="AQ224" s="125" t="str">
        <f>IF(Tab.o1[[#This Row],[a1]]=1,ABS(Tab.o1[[#This Row],[MOD]]-AVERAGE(Tab.o1[MOD])),"")</f>
        <v/>
      </c>
      <c r="AR224" s="134" t="str">
        <f>IF(Tab.o1[[#This Row],[a1]]=1,Tab.o1[[#This Row],[OBS]]/SUM(Tab.o1[OBS]),"")</f>
        <v/>
      </c>
      <c r="AS224" s="135" t="str">
        <f>IF(ISNUMBER(Tab.o1[[#This Row],[a1]]),ROW()-4,"")</f>
        <v/>
      </c>
      <c r="AT224" s="136" t="str">
        <f>Tab.o1[[#This Row],[MOD]]</f>
        <v/>
      </c>
      <c r="AU224" s="137" t="str">
        <f t="shared" si="13"/>
        <v/>
      </c>
      <c r="AV224" s="138" t="str">
        <f t="shared" si="14"/>
        <v/>
      </c>
      <c r="AW224" s="138" t="str">
        <f t="shared" si="15"/>
        <v/>
      </c>
      <c r="AX224" s="139" t="str">
        <f>[1]!T.in.A[[#This Row],[ID_T_manu]]</f>
        <v/>
      </c>
      <c r="AY224" s="140" t="str">
        <f>IF(ISNUMBER(Tab.o1[[#This Row],[a1]]),IF(AND(Tab.o1[[#This Row],[a1]]=1,Tab.o1[[#This Row],[b1]]&lt;=AY$4),#REF!,AY223),"")</f>
        <v/>
      </c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</row>
    <row r="225" spans="1:79" ht="14.25" hidden="1" customHeight="1">
      <c r="A225" s="109">
        <v>4.0000000000000007E-6</v>
      </c>
      <c r="B225" s="110">
        <f t="shared" si="12"/>
        <v>225</v>
      </c>
      <c r="C225" s="111" t="str">
        <f>IF(C$1=[1]!T.in.A[[#This Row],[oo2]],1,"")</f>
        <v/>
      </c>
      <c r="D225" s="112" t="str">
        <f>IF(Tab.o1[[#This Row],[a1]]=1,IF(SUM(C225:C226)=0,0,IF(SUM(C224:C225)=1,1,IF(SUM(C224:C226)&gt;1,D224+1,0))),"")</f>
        <v/>
      </c>
      <c r="E225" s="113" t="str">
        <f>IF(Tab.o1[[#This Row],[a1]]=1,[1]!T.in.A[[#This Row],[oo1]],"")</f>
        <v/>
      </c>
      <c r="F225" s="113" t="str">
        <f>IF(Tab.o1[[#This Row],[a1]]=1,[1]!T.in.A[[#This Row],[pp1]],"")</f>
        <v/>
      </c>
      <c r="G225" s="114" t="str">
        <f>IF(Tab.o1[[#This Row],[a1]]=1,G$2+IF(G$1=1,0,Tab.o1[[#This Row],[.x1]])+[1]!T.in.A[[#This Row],[oo3]],"")</f>
        <v/>
      </c>
      <c r="H225" s="115" t="str">
        <f>IF(Tab.o1[[#This Row],[a1]]=1,IF(H$2=0,0,IF(G$1=1,0,Tab.o1[[#This Row],[.x1]])+[1]!T.in.A[[#This Row],[oo4]]),"")</f>
        <v/>
      </c>
      <c r="I225" s="116" t="str">
        <f>IF(Tab.o1[[#This Row],[a1]]=1,IF(J$2=0,Tab.o1[[#This Row],[MED]],Tab.o1[[#This Row],[MOD]]),"")</f>
        <v/>
      </c>
      <c r="J225" s="116" t="str">
        <f>IF(Tab.o1[[#This Row],[a1]]=1,((Tab.o1[[#This Row],[DIF_Target.]]-AVERAGE(Tab.o1[DIF_Target.]))/_xlfn.STDEV.P(Tab.o1[DIF_Target.])),"")</f>
        <v/>
      </c>
      <c r="K225" s="117" t="str">
        <f>IF(Tab.o1[[#This Row],[a1]]=1,IF(J$2=0,Tab.o1[[#This Row],[MOD]]-Tab.o1[[#This Row],[B]],IF(J$2=1,0,-Tab.o1[[#This Row],[MED]])+Tab.o1[[#This Row],[B]]),"")</f>
        <v/>
      </c>
      <c r="L225" s="117" t="str">
        <f ca="1">IF(Tab.o1[[#This Row],[DIF_Target]]=0,IF(L$2=0,Tab.o1[[#This Row],[DIF_Target]],AVERAGE(OFFSET(Tab.o1[[#This Row],[DIF_Target]],1,0,L$3,1)))/3,Tab.o1[[#This Row],[DIF_Target]])</f>
        <v/>
      </c>
      <c r="M225" s="118" t="str">
        <f>IF(Tab.o1[[#This Row],[a1]]=1,NORMSDIST(Tab.o1[[#This Row],[Za]]),"")</f>
        <v/>
      </c>
      <c r="N225" s="119" t="str">
        <f>IF(Tab.o1[[#This Row],[a1]]=1,((Tab.o1[[#This Row],[MedMod]]-AVERAGE(Tab.o1[MedMod]))/_xlfn.STDEV.P(Tab.o1[MedMod])*H$1205)+G$1205,"")</f>
        <v/>
      </c>
      <c r="O225" s="141" t="str">
        <f>IF(Tab.o1[[#This Row],[a1]]=1,Tab.o1[[#This Row],[Zb]]*_xlfn.STDEV.P(Tab.o1[MedMod])+AVERAGE(Tab.o1[MedMod]),"")</f>
        <v/>
      </c>
      <c r="P225" s="117" t="str">
        <f ca="1">IF(Tab.o1[[#This Row],[B]]=0,AVERAGE(OFFSET(Tab.o1[[#This Row],[B]],1,0,L$3,1)),Tab.o1[[#This Row],[B]])</f>
        <v/>
      </c>
      <c r="Q225" s="121" t="str">
        <f>IF(Tab.o1[[#This Row],[a1]]=1,NORMSDIST(Tab.o1[[#This Row],[Zb]]),"")</f>
        <v/>
      </c>
      <c r="R225" s="122" t="str">
        <f>IF(Tab.o1[[#This Row],[a1]]=1,((Tab.o1[[#This Row],[MedMod]]-AVERAGE(Tab.o1[MedMod]))/_xlfn.STDEV.P(Tab.o1[MedMod])*H$1203)+G$1203,"")</f>
        <v/>
      </c>
      <c r="S225" s="122" t="str">
        <f>IF(Tab.o1[[#This Row],[a1]]=1,((Tab.o1[[#This Row],[MedMod]]-AVERAGE(Tab.o1[MedMod]))/_xlfn.STDEV.P(Tab.o1[MedMod])*H$1204)+G$1204,"")</f>
        <v/>
      </c>
      <c r="T225" s="123" t="str">
        <f>IF(Tab.o1[[#This Row],[a1]]=1,Tab.o1[[#This Row],[Z-]]*_xlfn.STDEV.P(Tab.o1[B])+AVERAGE(Tab.o1[B]),"")</f>
        <v/>
      </c>
      <c r="U225" s="123" t="str">
        <f>IF(Tab.o1[[#This Row],[a1]]=1,Tab.o1[[#This Row],[z+]]*_xlfn.STDEV.P(Tab.o1[B])+AVERAGE(Tab.o1[B]),"")</f>
        <v/>
      </c>
      <c r="V225" s="124" t="str">
        <f>IF(Tab.o1[[#This Row],[a1]]=1,ABS((ABS(Tab.o1[[#This Row],[Red]]-Tab.o1[[#This Row],[Blue]]))),"")</f>
        <v/>
      </c>
      <c r="W225" s="125" t="str">
        <f>IF(Tab.o1[[#This Row],[a1]]=1,IF(W$3=0,1,Tab.o1[[#This Row],[Amp.]]*1/_xlfn.MINIFS(Tab.o1[Amp.],Tab.o1[Amp.],"&lt;&gt;0")),"")</f>
        <v/>
      </c>
      <c r="X225" s="126" t="str">
        <f>IF(Tab.o1[[#This Row],[a1]]=1,IF(ISNUMBER(Tab.o1[[#This Row],[i.]]),NORMDIST(Tab.o1[[#This Row],[Za]],0,1,FALSE)*Tab.o1[[#This Row],[i.]],AP$3),"")</f>
        <v/>
      </c>
      <c r="Y225" s="126" t="str">
        <f>IF(Tab.o1[[#This Row],[a1]]=1,0.01+0.94*Tab.o1[[#This Row],[PDF]]/MAX(Tab.o1[PDF]),"")</f>
        <v/>
      </c>
      <c r="Z225" s="126" t="str">
        <f>IF(Tab.o1[[#This Row],[a1]]=1,0.01+0.94*Tab.o1[[#This Row],[W1_PDF]]/MAX(Tab.o1[W1_PDF]),"")</f>
        <v/>
      </c>
      <c r="AA225" s="118" t="str">
        <f>IF(Tab.o1[[#This Row],[a1]]=1,ABS([1]!T.in.A[[#This Row],[oo6]]),"")</f>
        <v/>
      </c>
      <c r="AB225" s="127" t="str">
        <f>IF(Tab.o1[[#This Row],[a1]]=1,IF(AE$3=0,"",IF(AB$3=0,ABS([1]!T.in.A[[#This Row],[oo9]]),ABS(Tab.o1[[#This Row],[DIF_Target.]]*Tab.o1[[#This Row],[W1_PDF]]))),"")</f>
        <v/>
      </c>
      <c r="AC225" s="127" t="str">
        <f>IF(G$1=1,"",IF(Tab.o1[[#This Row],[a1]]=1,Tab.o1[[#This Row],[Wr]]^2,""))</f>
        <v/>
      </c>
      <c r="AD225" s="118" t="str">
        <f>IF(Tab.o1[[#This Row],[a1]]=1,IF(AE$3=0,"",Tab.o1[[#This Row],[Wr2]]/SUM(Tab.o1[Wr2])),"")</f>
        <v/>
      </c>
      <c r="AE225" s="128" t="str">
        <f>IF(Tab.o1[[#This Row],[a1]]=1,[1]!T.in.A[[#This Row],[oo10]],"")</f>
        <v/>
      </c>
      <c r="AF225" s="118" t="str">
        <f>IF(Tab.o1[[#This Row],[a1]]=1,ABS(Tab.o1[[#This Row],[DIF_Target.]]*Tab.o1[[#This Row],[PDF2]]*Tab.o1[[#This Row],[IN]]),"")</f>
        <v/>
      </c>
      <c r="AG225" s="129" t="str">
        <f>IF(Tab.o1[[#This Row],[a1]]=1,Tab.o1[[#This Row],[rW]]^2,"")</f>
        <v/>
      </c>
      <c r="AH225" s="130" t="str">
        <f>IF(Tab.o1[[#This Row],[a1]]=1,IF(AH$3=0,Tab.o1[[#This Row],[rW2]],0.01+0.94*Tab.o1[[#This Row],[rW2]]/SUM(Tab.o1[rW2])),"")</f>
        <v/>
      </c>
      <c r="AI225" s="128" t="str">
        <f>IF(Tab.o1[[#This Row],[a1]]=1,1/Tab.o1[[#This Row],[PDF]],"")</f>
        <v/>
      </c>
      <c r="AJ225" s="131" t="str">
        <f>IF(Tab.o1[[#This Row],[a1]]=1,[1]!T_AA[[#This Row],[IN'']]*[1]!T_AA[[#This Row],[Qde'']],"")</f>
        <v/>
      </c>
      <c r="AK225" s="132" t="str">
        <f>IF(Tab.o1[[#This Row],[a1]]=1,IF(AK$1=1,Tab.o1[[#This Row],[MED]]+Tab.o1[[#This Row],[MOD]]-Tab.o1[[#This Row],[MED]],""),"")</f>
        <v/>
      </c>
      <c r="AL225" s="133" t="str">
        <f>IF(Tab.o1[[#This Row],[a1]]=1,[1]!T.in.A[[#This Row],[oo16]],"")</f>
        <v/>
      </c>
      <c r="AM225" s="133" t="str">
        <f>IF(Tab.o1[[#This Row],[a1]]=1,IF(AM$3=1,[1]!T.in.A[[#This Row],[Σo16]],""),"")</f>
        <v/>
      </c>
      <c r="AN225" s="126" t="str">
        <f>IF(Tab.o1[[#This Row],[a1]]=1,[1]!T.in.A[[#This Row],[Σp5]],"")</f>
        <v/>
      </c>
      <c r="AO225" s="126" t="str">
        <f>IF(Tab.o1[[#This Row],[a1]]=1,IF(AO$3=1,[1]!T.in.A[[#This Row],[Σp5]],""),"")</f>
        <v/>
      </c>
      <c r="AP225" s="110" t="str">
        <f>IF(Tab.o1[[#This Row],[a1]]=1,IF(ISNUMBER(Tab.o1[[#This Row],[i.]]),NORMDIST(Tab.o1[[#This Row],[Za]],0,1,FALSE)*Tab.o1[[#This Row],[i.]],0),"")</f>
        <v/>
      </c>
      <c r="AQ225" s="125" t="str">
        <f>IF(Tab.o1[[#This Row],[a1]]=1,ABS(Tab.o1[[#This Row],[MOD]]-AVERAGE(Tab.o1[MOD])),"")</f>
        <v/>
      </c>
      <c r="AR225" s="134" t="str">
        <f>IF(Tab.o1[[#This Row],[a1]]=1,Tab.o1[[#This Row],[OBS]]/SUM(Tab.o1[OBS]),"")</f>
        <v/>
      </c>
      <c r="AS225" s="135" t="str">
        <f>IF(ISNUMBER(Tab.o1[[#This Row],[a1]]),ROW()-4,"")</f>
        <v/>
      </c>
      <c r="AT225" s="136" t="str">
        <f>Tab.o1[[#This Row],[MOD]]</f>
        <v/>
      </c>
      <c r="AU225" s="137" t="str">
        <f t="shared" si="13"/>
        <v/>
      </c>
      <c r="AV225" s="138" t="str">
        <f t="shared" si="14"/>
        <v/>
      </c>
      <c r="AW225" s="138" t="str">
        <f t="shared" si="15"/>
        <v/>
      </c>
      <c r="AX225" s="139" t="str">
        <f>[1]!T.in.A[[#This Row],[ID_T_manu]]</f>
        <v/>
      </c>
      <c r="AY225" s="140" t="str">
        <f>IF(ISNUMBER(Tab.o1[[#This Row],[a1]]),IF(AND(Tab.o1[[#This Row],[a1]]=1,Tab.o1[[#This Row],[b1]]&lt;=AY$4),#REF!,AY224),"")</f>
        <v/>
      </c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</row>
    <row r="226" spans="1:79" ht="14.25" hidden="1" customHeight="1">
      <c r="A226" s="109">
        <v>1.0000000000000001E-5</v>
      </c>
      <c r="B226" s="110">
        <f t="shared" si="12"/>
        <v>226</v>
      </c>
      <c r="C226" s="111" t="str">
        <f>IF(C$1=[1]!T.in.A[[#This Row],[oo2]],1,"")</f>
        <v/>
      </c>
      <c r="D226" s="112" t="str">
        <f>IF(Tab.o1[[#This Row],[a1]]=1,IF(SUM(C226:C227)=0,0,IF(SUM(C225:C226)=1,1,IF(SUM(C225:C227)&gt;1,D225+1,0))),"")</f>
        <v/>
      </c>
      <c r="E226" s="113" t="str">
        <f>IF(Tab.o1[[#This Row],[a1]]=1,[1]!T.in.A[[#This Row],[oo1]],"")</f>
        <v/>
      </c>
      <c r="F226" s="113" t="str">
        <f>IF(Tab.o1[[#This Row],[a1]]=1,[1]!T.in.A[[#This Row],[pp1]],"")</f>
        <v/>
      </c>
      <c r="G226" s="114" t="str">
        <f>IF(Tab.o1[[#This Row],[a1]]=1,G$2+IF(G$1=1,0,Tab.o1[[#This Row],[.x1]])+[1]!T.in.A[[#This Row],[oo3]],"")</f>
        <v/>
      </c>
      <c r="H226" s="115" t="str">
        <f>IF(Tab.o1[[#This Row],[a1]]=1,IF(H$2=0,0,IF(G$1=1,0,Tab.o1[[#This Row],[.x1]])+[1]!T.in.A[[#This Row],[oo4]]),"")</f>
        <v/>
      </c>
      <c r="I226" s="116" t="str">
        <f>IF(Tab.o1[[#This Row],[a1]]=1,IF(J$2=0,Tab.o1[[#This Row],[MED]],Tab.o1[[#This Row],[MOD]]),"")</f>
        <v/>
      </c>
      <c r="J226" s="116" t="str">
        <f>IF(Tab.o1[[#This Row],[a1]]=1,((Tab.o1[[#This Row],[DIF_Target.]]-AVERAGE(Tab.o1[DIF_Target.]))/_xlfn.STDEV.P(Tab.o1[DIF_Target.])),"")</f>
        <v/>
      </c>
      <c r="K226" s="117" t="str">
        <f>IF(Tab.o1[[#This Row],[a1]]=1,IF(J$2=0,Tab.o1[[#This Row],[MOD]]-Tab.o1[[#This Row],[B]],IF(J$2=1,0,-Tab.o1[[#This Row],[MED]])+Tab.o1[[#This Row],[B]]),"")</f>
        <v/>
      </c>
      <c r="L226" s="117" t="str">
        <f ca="1">IF(Tab.o1[[#This Row],[DIF_Target]]=0,IF(L$2=0,Tab.o1[[#This Row],[DIF_Target]],AVERAGE(OFFSET(Tab.o1[[#This Row],[DIF_Target]],1,0,L$3,1)))/3,Tab.o1[[#This Row],[DIF_Target]])</f>
        <v/>
      </c>
      <c r="M226" s="118" t="str">
        <f>IF(Tab.o1[[#This Row],[a1]]=1,NORMSDIST(Tab.o1[[#This Row],[Za]]),"")</f>
        <v/>
      </c>
      <c r="N226" s="119" t="str">
        <f>IF(Tab.o1[[#This Row],[a1]]=1,((Tab.o1[[#This Row],[MedMod]]-AVERAGE(Tab.o1[MedMod]))/_xlfn.STDEV.P(Tab.o1[MedMod])*H$1205)+G$1205,"")</f>
        <v/>
      </c>
      <c r="O226" s="141" t="str">
        <f>IF(Tab.o1[[#This Row],[a1]]=1,Tab.o1[[#This Row],[Zb]]*_xlfn.STDEV.P(Tab.o1[MedMod])+AVERAGE(Tab.o1[MedMod]),"")</f>
        <v/>
      </c>
      <c r="P226" s="117" t="str">
        <f ca="1">IF(Tab.o1[[#This Row],[B]]=0,AVERAGE(OFFSET(Tab.o1[[#This Row],[B]],1,0,L$3,1)),Tab.o1[[#This Row],[B]])</f>
        <v/>
      </c>
      <c r="Q226" s="121" t="str">
        <f>IF(Tab.o1[[#This Row],[a1]]=1,NORMSDIST(Tab.o1[[#This Row],[Zb]]),"")</f>
        <v/>
      </c>
      <c r="R226" s="122" t="str">
        <f>IF(Tab.o1[[#This Row],[a1]]=1,((Tab.o1[[#This Row],[MedMod]]-AVERAGE(Tab.o1[MedMod]))/_xlfn.STDEV.P(Tab.o1[MedMod])*H$1203)+G$1203,"")</f>
        <v/>
      </c>
      <c r="S226" s="122" t="str">
        <f>IF(Tab.o1[[#This Row],[a1]]=1,((Tab.o1[[#This Row],[MedMod]]-AVERAGE(Tab.o1[MedMod]))/_xlfn.STDEV.P(Tab.o1[MedMod])*H$1204)+G$1204,"")</f>
        <v/>
      </c>
      <c r="T226" s="123" t="str">
        <f>IF(Tab.o1[[#This Row],[a1]]=1,Tab.o1[[#This Row],[Z-]]*_xlfn.STDEV.P(Tab.o1[B])+AVERAGE(Tab.o1[B]),"")</f>
        <v/>
      </c>
      <c r="U226" s="123" t="str">
        <f>IF(Tab.o1[[#This Row],[a1]]=1,Tab.o1[[#This Row],[z+]]*_xlfn.STDEV.P(Tab.o1[B])+AVERAGE(Tab.o1[B]),"")</f>
        <v/>
      </c>
      <c r="V226" s="124" t="str">
        <f>IF(Tab.o1[[#This Row],[a1]]=1,ABS((ABS(Tab.o1[[#This Row],[Red]]-Tab.o1[[#This Row],[Blue]]))),"")</f>
        <v/>
      </c>
      <c r="W226" s="125" t="str">
        <f>IF(Tab.o1[[#This Row],[a1]]=1,IF(W$3=0,1,Tab.o1[[#This Row],[Amp.]]*1/_xlfn.MINIFS(Tab.o1[Amp.],Tab.o1[Amp.],"&lt;&gt;0")),"")</f>
        <v/>
      </c>
      <c r="X226" s="126" t="str">
        <f>IF(Tab.o1[[#This Row],[a1]]=1,IF(ISNUMBER(Tab.o1[[#This Row],[i.]]),NORMDIST(Tab.o1[[#This Row],[Za]],0,1,FALSE)*Tab.o1[[#This Row],[i.]],AP$3),"")</f>
        <v/>
      </c>
      <c r="Y226" s="126" t="str">
        <f>IF(Tab.o1[[#This Row],[a1]]=1,0.01+0.94*Tab.o1[[#This Row],[PDF]]/MAX(Tab.o1[PDF]),"")</f>
        <v/>
      </c>
      <c r="Z226" s="126" t="str">
        <f>IF(Tab.o1[[#This Row],[a1]]=1,0.01+0.94*Tab.o1[[#This Row],[W1_PDF]]/MAX(Tab.o1[W1_PDF]),"")</f>
        <v/>
      </c>
      <c r="AA226" s="118" t="str">
        <f>IF(Tab.o1[[#This Row],[a1]]=1,ABS([1]!T.in.A[[#This Row],[oo6]]),"")</f>
        <v/>
      </c>
      <c r="AB226" s="127" t="str">
        <f>IF(Tab.o1[[#This Row],[a1]]=1,IF(AE$3=0,"",IF(AB$3=0,ABS([1]!T.in.A[[#This Row],[oo9]]),ABS(Tab.o1[[#This Row],[DIF_Target.]]*Tab.o1[[#This Row],[W1_PDF]]))),"")</f>
        <v/>
      </c>
      <c r="AC226" s="127" t="str">
        <f>IF(G$1=1,"",IF(Tab.o1[[#This Row],[a1]]=1,Tab.o1[[#This Row],[Wr]]^2,""))</f>
        <v/>
      </c>
      <c r="AD226" s="118" t="str">
        <f>IF(Tab.o1[[#This Row],[a1]]=1,IF(AE$3=0,"",Tab.o1[[#This Row],[Wr2]]/SUM(Tab.o1[Wr2])),"")</f>
        <v/>
      </c>
      <c r="AE226" s="128" t="str">
        <f>IF(Tab.o1[[#This Row],[a1]]=1,[1]!T.in.A[[#This Row],[oo10]],"")</f>
        <v/>
      </c>
      <c r="AF226" s="118" t="str">
        <f>IF(Tab.o1[[#This Row],[a1]]=1,ABS(Tab.o1[[#This Row],[DIF_Target.]]*Tab.o1[[#This Row],[PDF2]]*Tab.o1[[#This Row],[IN]]),"")</f>
        <v/>
      </c>
      <c r="AG226" s="129" t="str">
        <f>IF(Tab.o1[[#This Row],[a1]]=1,Tab.o1[[#This Row],[rW]]^2,"")</f>
        <v/>
      </c>
      <c r="AH226" s="130" t="str">
        <f>IF(Tab.o1[[#This Row],[a1]]=1,IF(AH$3=0,Tab.o1[[#This Row],[rW2]],0.01+0.94*Tab.o1[[#This Row],[rW2]]/SUM(Tab.o1[rW2])),"")</f>
        <v/>
      </c>
      <c r="AI226" s="128" t="str">
        <f>IF(Tab.o1[[#This Row],[a1]]=1,1/Tab.o1[[#This Row],[PDF]],"")</f>
        <v/>
      </c>
      <c r="AJ226" s="131" t="str">
        <f>IF(Tab.o1[[#This Row],[a1]]=1,[1]!T_AA[[#This Row],[IN'']]*[1]!T_AA[[#This Row],[Qde'']],"")</f>
        <v/>
      </c>
      <c r="AK226" s="132" t="str">
        <f>IF(Tab.o1[[#This Row],[a1]]=1,IF(AK$1=1,Tab.o1[[#This Row],[MED]]+Tab.o1[[#This Row],[MOD]]-Tab.o1[[#This Row],[MED]],""),"")</f>
        <v/>
      </c>
      <c r="AL226" s="133" t="str">
        <f>IF(Tab.o1[[#This Row],[a1]]=1,[1]!T.in.A[[#This Row],[oo16]],"")</f>
        <v/>
      </c>
      <c r="AM226" s="133" t="str">
        <f>IF(Tab.o1[[#This Row],[a1]]=1,IF(AM$3=1,[1]!T.in.A[[#This Row],[Σo16]],""),"")</f>
        <v/>
      </c>
      <c r="AN226" s="126" t="str">
        <f>IF(Tab.o1[[#This Row],[a1]]=1,[1]!T.in.A[[#This Row],[Σp5]],"")</f>
        <v/>
      </c>
      <c r="AO226" s="126" t="str">
        <f>IF(Tab.o1[[#This Row],[a1]]=1,IF(AO$3=1,[1]!T.in.A[[#This Row],[Σp5]],""),"")</f>
        <v/>
      </c>
      <c r="AP226" s="110" t="str">
        <f>IF(Tab.o1[[#This Row],[a1]]=1,IF(ISNUMBER(Tab.o1[[#This Row],[i.]]),NORMDIST(Tab.o1[[#This Row],[Za]],0,1,FALSE)*Tab.o1[[#This Row],[i.]],0),"")</f>
        <v/>
      </c>
      <c r="AQ226" s="125" t="str">
        <f>IF(Tab.o1[[#This Row],[a1]]=1,ABS(Tab.o1[[#This Row],[MOD]]-AVERAGE(Tab.o1[MOD])),"")</f>
        <v/>
      </c>
      <c r="AR226" s="134" t="str">
        <f>IF(Tab.o1[[#This Row],[a1]]=1,Tab.o1[[#This Row],[OBS]]/SUM(Tab.o1[OBS]),"")</f>
        <v/>
      </c>
      <c r="AS226" s="135" t="str">
        <f>IF(ISNUMBER(Tab.o1[[#This Row],[a1]]),ROW()-4,"")</f>
        <v/>
      </c>
      <c r="AT226" s="136" t="str">
        <f>Tab.o1[[#This Row],[MOD]]</f>
        <v/>
      </c>
      <c r="AU226" s="137" t="str">
        <f t="shared" si="13"/>
        <v/>
      </c>
      <c r="AV226" s="138" t="str">
        <f t="shared" si="14"/>
        <v/>
      </c>
      <c r="AW226" s="138" t="str">
        <f t="shared" si="15"/>
        <v/>
      </c>
      <c r="AX226" s="139" t="str">
        <f>[1]!T.in.A[[#This Row],[ID_T_manu]]</f>
        <v/>
      </c>
      <c r="AY226" s="140" t="str">
        <f>IF(ISNUMBER(Tab.o1[[#This Row],[a1]]),IF(AND(Tab.o1[[#This Row],[a1]]=1,Tab.o1[[#This Row],[b1]]&lt;=AY$4),#REF!,AY225),"")</f>
        <v/>
      </c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</row>
    <row r="227" spans="1:79" ht="14.25" hidden="1" customHeight="1">
      <c r="A227" s="109">
        <v>-5.0000000000000004E-6</v>
      </c>
      <c r="B227" s="110">
        <f t="shared" si="12"/>
        <v>227</v>
      </c>
      <c r="C227" s="111" t="str">
        <f>IF(C$1=[1]!T.in.A[[#This Row],[oo2]],1,"")</f>
        <v/>
      </c>
      <c r="D227" s="112" t="str">
        <f>IF(Tab.o1[[#This Row],[a1]]=1,IF(SUM(C227:C228)=0,0,IF(SUM(C226:C227)=1,1,IF(SUM(C226:C228)&gt;1,D226+1,0))),"")</f>
        <v/>
      </c>
      <c r="E227" s="113" t="str">
        <f>IF(Tab.o1[[#This Row],[a1]]=1,[1]!T.in.A[[#This Row],[oo1]],"")</f>
        <v/>
      </c>
      <c r="F227" s="113" t="str">
        <f>IF(Tab.o1[[#This Row],[a1]]=1,[1]!T.in.A[[#This Row],[pp1]],"")</f>
        <v/>
      </c>
      <c r="G227" s="114" t="str">
        <f>IF(Tab.o1[[#This Row],[a1]]=1,G$2+IF(G$1=1,0,Tab.o1[[#This Row],[.x1]])+[1]!T.in.A[[#This Row],[oo3]],"")</f>
        <v/>
      </c>
      <c r="H227" s="115" t="str">
        <f>IF(Tab.o1[[#This Row],[a1]]=1,IF(H$2=0,0,IF(G$1=1,0,Tab.o1[[#This Row],[.x1]])+[1]!T.in.A[[#This Row],[oo4]]),"")</f>
        <v/>
      </c>
      <c r="I227" s="116" t="str">
        <f>IF(Tab.o1[[#This Row],[a1]]=1,IF(J$2=0,Tab.o1[[#This Row],[MED]],Tab.o1[[#This Row],[MOD]]),"")</f>
        <v/>
      </c>
      <c r="J227" s="116" t="str">
        <f>IF(Tab.o1[[#This Row],[a1]]=1,((Tab.o1[[#This Row],[DIF_Target.]]-AVERAGE(Tab.o1[DIF_Target.]))/_xlfn.STDEV.P(Tab.o1[DIF_Target.])),"")</f>
        <v/>
      </c>
      <c r="K227" s="117" t="str">
        <f>IF(Tab.o1[[#This Row],[a1]]=1,IF(J$2=0,Tab.o1[[#This Row],[MOD]]-Tab.o1[[#This Row],[B]],IF(J$2=1,0,-Tab.o1[[#This Row],[MED]])+Tab.o1[[#This Row],[B]]),"")</f>
        <v/>
      </c>
      <c r="L227" s="117" t="str">
        <f ca="1">IF(Tab.o1[[#This Row],[DIF_Target]]=0,IF(L$2=0,Tab.o1[[#This Row],[DIF_Target]],AVERAGE(OFFSET(Tab.o1[[#This Row],[DIF_Target]],1,0,L$3,1)))/3,Tab.o1[[#This Row],[DIF_Target]])</f>
        <v/>
      </c>
      <c r="M227" s="118" t="str">
        <f>IF(Tab.o1[[#This Row],[a1]]=1,NORMSDIST(Tab.o1[[#This Row],[Za]]),"")</f>
        <v/>
      </c>
      <c r="N227" s="119" t="str">
        <f>IF(Tab.o1[[#This Row],[a1]]=1,((Tab.o1[[#This Row],[MedMod]]-AVERAGE(Tab.o1[MedMod]))/_xlfn.STDEV.P(Tab.o1[MedMod])*H$1205)+G$1205,"")</f>
        <v/>
      </c>
      <c r="O227" s="141" t="str">
        <f>IF(Tab.o1[[#This Row],[a1]]=1,Tab.o1[[#This Row],[Zb]]*_xlfn.STDEV.P(Tab.o1[MedMod])+AVERAGE(Tab.o1[MedMod]),"")</f>
        <v/>
      </c>
      <c r="P227" s="117" t="str">
        <f ca="1">IF(Tab.o1[[#This Row],[B]]=0,AVERAGE(OFFSET(Tab.o1[[#This Row],[B]],1,0,L$3,1)),Tab.o1[[#This Row],[B]])</f>
        <v/>
      </c>
      <c r="Q227" s="121" t="str">
        <f>IF(Tab.o1[[#This Row],[a1]]=1,NORMSDIST(Tab.o1[[#This Row],[Zb]]),"")</f>
        <v/>
      </c>
      <c r="R227" s="122" t="str">
        <f>IF(Tab.o1[[#This Row],[a1]]=1,((Tab.o1[[#This Row],[MedMod]]-AVERAGE(Tab.o1[MedMod]))/_xlfn.STDEV.P(Tab.o1[MedMod])*H$1203)+G$1203,"")</f>
        <v/>
      </c>
      <c r="S227" s="122" t="str">
        <f>IF(Tab.o1[[#This Row],[a1]]=1,((Tab.o1[[#This Row],[MedMod]]-AVERAGE(Tab.o1[MedMod]))/_xlfn.STDEV.P(Tab.o1[MedMod])*H$1204)+G$1204,"")</f>
        <v/>
      </c>
      <c r="T227" s="123" t="str">
        <f>IF(Tab.o1[[#This Row],[a1]]=1,Tab.o1[[#This Row],[Z-]]*_xlfn.STDEV.P(Tab.o1[B])+AVERAGE(Tab.o1[B]),"")</f>
        <v/>
      </c>
      <c r="U227" s="123" t="str">
        <f>IF(Tab.o1[[#This Row],[a1]]=1,Tab.o1[[#This Row],[z+]]*_xlfn.STDEV.P(Tab.o1[B])+AVERAGE(Tab.o1[B]),"")</f>
        <v/>
      </c>
      <c r="V227" s="124" t="str">
        <f>IF(Tab.o1[[#This Row],[a1]]=1,ABS((ABS(Tab.o1[[#This Row],[Red]]-Tab.o1[[#This Row],[Blue]]))),"")</f>
        <v/>
      </c>
      <c r="W227" s="125" t="str">
        <f>IF(Tab.o1[[#This Row],[a1]]=1,IF(W$3=0,1,Tab.o1[[#This Row],[Amp.]]*1/_xlfn.MINIFS(Tab.o1[Amp.],Tab.o1[Amp.],"&lt;&gt;0")),"")</f>
        <v/>
      </c>
      <c r="X227" s="126" t="str">
        <f>IF(Tab.o1[[#This Row],[a1]]=1,IF(ISNUMBER(Tab.o1[[#This Row],[i.]]),NORMDIST(Tab.o1[[#This Row],[Za]],0,1,FALSE)*Tab.o1[[#This Row],[i.]],AP$3),"")</f>
        <v/>
      </c>
      <c r="Y227" s="126" t="str">
        <f>IF(Tab.o1[[#This Row],[a1]]=1,0.01+0.94*Tab.o1[[#This Row],[PDF]]/MAX(Tab.o1[PDF]),"")</f>
        <v/>
      </c>
      <c r="Z227" s="126" t="str">
        <f>IF(Tab.o1[[#This Row],[a1]]=1,0.01+0.94*Tab.o1[[#This Row],[W1_PDF]]/MAX(Tab.o1[W1_PDF]),"")</f>
        <v/>
      </c>
      <c r="AA227" s="118" t="str">
        <f>IF(Tab.o1[[#This Row],[a1]]=1,ABS([1]!T.in.A[[#This Row],[oo6]]),"")</f>
        <v/>
      </c>
      <c r="AB227" s="127" t="str">
        <f>IF(Tab.o1[[#This Row],[a1]]=1,IF(AE$3=0,"",IF(AB$3=0,ABS([1]!T.in.A[[#This Row],[oo9]]),ABS(Tab.o1[[#This Row],[DIF_Target.]]*Tab.o1[[#This Row],[W1_PDF]]))),"")</f>
        <v/>
      </c>
      <c r="AC227" s="127" t="str">
        <f>IF(G$1=1,"",IF(Tab.o1[[#This Row],[a1]]=1,Tab.o1[[#This Row],[Wr]]^2,""))</f>
        <v/>
      </c>
      <c r="AD227" s="118" t="str">
        <f>IF(Tab.o1[[#This Row],[a1]]=1,IF(AE$3=0,"",Tab.o1[[#This Row],[Wr2]]/SUM(Tab.o1[Wr2])),"")</f>
        <v/>
      </c>
      <c r="AE227" s="128" t="str">
        <f>IF(Tab.o1[[#This Row],[a1]]=1,[1]!T.in.A[[#This Row],[oo10]],"")</f>
        <v/>
      </c>
      <c r="AF227" s="118" t="str">
        <f>IF(Tab.o1[[#This Row],[a1]]=1,ABS(Tab.o1[[#This Row],[DIF_Target.]]*Tab.o1[[#This Row],[PDF2]]*Tab.o1[[#This Row],[IN]]),"")</f>
        <v/>
      </c>
      <c r="AG227" s="129" t="str">
        <f>IF(Tab.o1[[#This Row],[a1]]=1,Tab.o1[[#This Row],[rW]]^2,"")</f>
        <v/>
      </c>
      <c r="AH227" s="130" t="str">
        <f>IF(Tab.o1[[#This Row],[a1]]=1,IF(AH$3=0,Tab.o1[[#This Row],[rW2]],0.01+0.94*Tab.o1[[#This Row],[rW2]]/SUM(Tab.o1[rW2])),"")</f>
        <v/>
      </c>
      <c r="AI227" s="128" t="str">
        <f>IF(Tab.o1[[#This Row],[a1]]=1,1/Tab.o1[[#This Row],[PDF]],"")</f>
        <v/>
      </c>
      <c r="AJ227" s="131" t="str">
        <f>IF(Tab.o1[[#This Row],[a1]]=1,[1]!T_AA[[#This Row],[IN'']]*[1]!T_AA[[#This Row],[Qde'']],"")</f>
        <v/>
      </c>
      <c r="AK227" s="132" t="str">
        <f>IF(Tab.o1[[#This Row],[a1]]=1,IF(AK$1=1,Tab.o1[[#This Row],[MED]]+Tab.o1[[#This Row],[MOD]]-Tab.o1[[#This Row],[MED]],""),"")</f>
        <v/>
      </c>
      <c r="AL227" s="133" t="str">
        <f>IF(Tab.o1[[#This Row],[a1]]=1,[1]!T.in.A[[#This Row],[oo16]],"")</f>
        <v/>
      </c>
      <c r="AM227" s="133" t="str">
        <f>IF(Tab.o1[[#This Row],[a1]]=1,IF(AM$3=1,[1]!T.in.A[[#This Row],[Σo16]],""),"")</f>
        <v/>
      </c>
      <c r="AN227" s="126" t="str">
        <f>IF(Tab.o1[[#This Row],[a1]]=1,[1]!T.in.A[[#This Row],[Σp5]],"")</f>
        <v/>
      </c>
      <c r="AO227" s="126" t="str">
        <f>IF(Tab.o1[[#This Row],[a1]]=1,IF(AO$3=1,[1]!T.in.A[[#This Row],[Σp5]],""),"")</f>
        <v/>
      </c>
      <c r="AP227" s="110" t="str">
        <f>IF(Tab.o1[[#This Row],[a1]]=1,IF(ISNUMBER(Tab.o1[[#This Row],[i.]]),NORMDIST(Tab.o1[[#This Row],[Za]],0,1,FALSE)*Tab.o1[[#This Row],[i.]],0),"")</f>
        <v/>
      </c>
      <c r="AQ227" s="125" t="str">
        <f>IF(Tab.o1[[#This Row],[a1]]=1,ABS(Tab.o1[[#This Row],[MOD]]-AVERAGE(Tab.o1[MOD])),"")</f>
        <v/>
      </c>
      <c r="AR227" s="134" t="str">
        <f>IF(Tab.o1[[#This Row],[a1]]=1,Tab.o1[[#This Row],[OBS]]/SUM(Tab.o1[OBS]),"")</f>
        <v/>
      </c>
      <c r="AS227" s="135" t="str">
        <f>IF(ISNUMBER(Tab.o1[[#This Row],[a1]]),ROW()-4,"")</f>
        <v/>
      </c>
      <c r="AT227" s="136" t="str">
        <f>Tab.o1[[#This Row],[MOD]]</f>
        <v/>
      </c>
      <c r="AU227" s="137" t="str">
        <f t="shared" si="13"/>
        <v/>
      </c>
      <c r="AV227" s="138" t="str">
        <f t="shared" si="14"/>
        <v/>
      </c>
      <c r="AW227" s="138" t="str">
        <f t="shared" si="15"/>
        <v/>
      </c>
      <c r="AX227" s="139" t="str">
        <f>[1]!T.in.A[[#This Row],[ID_T_manu]]</f>
        <v/>
      </c>
      <c r="AY227" s="140" t="str">
        <f>IF(ISNUMBER(Tab.o1[[#This Row],[a1]]),IF(AND(Tab.o1[[#This Row],[a1]]=1,Tab.o1[[#This Row],[b1]]&lt;=AY$4),#REF!,AY226),"")</f>
        <v/>
      </c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</row>
    <row r="228" spans="1:79" ht="14.25" hidden="1" customHeight="1">
      <c r="A228" s="109">
        <v>-5.9999999999999993E-6</v>
      </c>
      <c r="B228" s="110">
        <f t="shared" si="12"/>
        <v>228</v>
      </c>
      <c r="C228" s="111" t="str">
        <f>IF(C$1=[1]!T.in.A[[#This Row],[oo2]],1,"")</f>
        <v/>
      </c>
      <c r="D228" s="112" t="str">
        <f>IF(Tab.o1[[#This Row],[a1]]=1,IF(SUM(C228:C229)=0,0,IF(SUM(C227:C228)=1,1,IF(SUM(C227:C229)&gt;1,D227+1,0))),"")</f>
        <v/>
      </c>
      <c r="E228" s="113" t="str">
        <f>IF(Tab.o1[[#This Row],[a1]]=1,[1]!T.in.A[[#This Row],[oo1]],"")</f>
        <v/>
      </c>
      <c r="F228" s="113" t="str">
        <f>IF(Tab.o1[[#This Row],[a1]]=1,[1]!T.in.A[[#This Row],[pp1]],"")</f>
        <v/>
      </c>
      <c r="G228" s="114" t="str">
        <f>IF(Tab.o1[[#This Row],[a1]]=1,G$2+IF(G$1=1,0,Tab.o1[[#This Row],[.x1]])+[1]!T.in.A[[#This Row],[oo3]],"")</f>
        <v/>
      </c>
      <c r="H228" s="115" t="str">
        <f>IF(Tab.o1[[#This Row],[a1]]=1,IF(H$2=0,0,IF(G$1=1,0,Tab.o1[[#This Row],[.x1]])+[1]!T.in.A[[#This Row],[oo4]]),"")</f>
        <v/>
      </c>
      <c r="I228" s="116" t="str">
        <f>IF(Tab.o1[[#This Row],[a1]]=1,IF(J$2=0,Tab.o1[[#This Row],[MED]],Tab.o1[[#This Row],[MOD]]),"")</f>
        <v/>
      </c>
      <c r="J228" s="116" t="str">
        <f>IF(Tab.o1[[#This Row],[a1]]=1,((Tab.o1[[#This Row],[DIF_Target.]]-AVERAGE(Tab.o1[DIF_Target.]))/_xlfn.STDEV.P(Tab.o1[DIF_Target.])),"")</f>
        <v/>
      </c>
      <c r="K228" s="117" t="str">
        <f>IF(Tab.o1[[#This Row],[a1]]=1,IF(J$2=0,Tab.o1[[#This Row],[MOD]]-Tab.o1[[#This Row],[B]],IF(J$2=1,0,-Tab.o1[[#This Row],[MED]])+Tab.o1[[#This Row],[B]]),"")</f>
        <v/>
      </c>
      <c r="L228" s="117" t="str">
        <f ca="1">IF(Tab.o1[[#This Row],[DIF_Target]]=0,IF(L$2=0,Tab.o1[[#This Row],[DIF_Target]],AVERAGE(OFFSET(Tab.o1[[#This Row],[DIF_Target]],1,0,L$3,1)))/3,Tab.o1[[#This Row],[DIF_Target]])</f>
        <v/>
      </c>
      <c r="M228" s="118" t="str">
        <f>IF(Tab.o1[[#This Row],[a1]]=1,NORMSDIST(Tab.o1[[#This Row],[Za]]),"")</f>
        <v/>
      </c>
      <c r="N228" s="119" t="str">
        <f>IF(Tab.o1[[#This Row],[a1]]=1,((Tab.o1[[#This Row],[MedMod]]-AVERAGE(Tab.o1[MedMod]))/_xlfn.STDEV.P(Tab.o1[MedMod])*H$1205)+G$1205,"")</f>
        <v/>
      </c>
      <c r="O228" s="141" t="str">
        <f>IF(Tab.o1[[#This Row],[a1]]=1,Tab.o1[[#This Row],[Zb]]*_xlfn.STDEV.P(Tab.o1[MedMod])+AVERAGE(Tab.o1[MedMod]),"")</f>
        <v/>
      </c>
      <c r="P228" s="117" t="str">
        <f ca="1">IF(Tab.o1[[#This Row],[B]]=0,AVERAGE(OFFSET(Tab.o1[[#This Row],[B]],1,0,L$3,1)),Tab.o1[[#This Row],[B]])</f>
        <v/>
      </c>
      <c r="Q228" s="121" t="str">
        <f>IF(Tab.o1[[#This Row],[a1]]=1,NORMSDIST(Tab.o1[[#This Row],[Zb]]),"")</f>
        <v/>
      </c>
      <c r="R228" s="122" t="str">
        <f>IF(Tab.o1[[#This Row],[a1]]=1,((Tab.o1[[#This Row],[MedMod]]-AVERAGE(Tab.o1[MedMod]))/_xlfn.STDEV.P(Tab.o1[MedMod])*H$1203)+G$1203,"")</f>
        <v/>
      </c>
      <c r="S228" s="122" t="str">
        <f>IF(Tab.o1[[#This Row],[a1]]=1,((Tab.o1[[#This Row],[MedMod]]-AVERAGE(Tab.o1[MedMod]))/_xlfn.STDEV.P(Tab.o1[MedMod])*H$1204)+G$1204,"")</f>
        <v/>
      </c>
      <c r="T228" s="123" t="str">
        <f>IF(Tab.o1[[#This Row],[a1]]=1,Tab.o1[[#This Row],[Z-]]*_xlfn.STDEV.P(Tab.o1[B])+AVERAGE(Tab.o1[B]),"")</f>
        <v/>
      </c>
      <c r="U228" s="123" t="str">
        <f>IF(Tab.o1[[#This Row],[a1]]=1,Tab.o1[[#This Row],[z+]]*_xlfn.STDEV.P(Tab.o1[B])+AVERAGE(Tab.o1[B]),"")</f>
        <v/>
      </c>
      <c r="V228" s="124" t="str">
        <f>IF(Tab.o1[[#This Row],[a1]]=1,ABS((ABS(Tab.o1[[#This Row],[Red]]-Tab.o1[[#This Row],[Blue]]))),"")</f>
        <v/>
      </c>
      <c r="W228" s="125" t="str">
        <f>IF(Tab.o1[[#This Row],[a1]]=1,IF(W$3=0,1,Tab.o1[[#This Row],[Amp.]]*1/_xlfn.MINIFS(Tab.o1[Amp.],Tab.o1[Amp.],"&lt;&gt;0")),"")</f>
        <v/>
      </c>
      <c r="X228" s="126" t="str">
        <f>IF(Tab.o1[[#This Row],[a1]]=1,IF(ISNUMBER(Tab.o1[[#This Row],[i.]]),NORMDIST(Tab.o1[[#This Row],[Za]],0,1,FALSE)*Tab.o1[[#This Row],[i.]],AP$3),"")</f>
        <v/>
      </c>
      <c r="Y228" s="126" t="str">
        <f>IF(Tab.o1[[#This Row],[a1]]=1,0.01+0.94*Tab.o1[[#This Row],[PDF]]/MAX(Tab.o1[PDF]),"")</f>
        <v/>
      </c>
      <c r="Z228" s="126" t="str">
        <f>IF(Tab.o1[[#This Row],[a1]]=1,0.01+0.94*Tab.o1[[#This Row],[W1_PDF]]/MAX(Tab.o1[W1_PDF]),"")</f>
        <v/>
      </c>
      <c r="AA228" s="118" t="str">
        <f>IF(Tab.o1[[#This Row],[a1]]=1,ABS([1]!T.in.A[[#This Row],[oo6]]),"")</f>
        <v/>
      </c>
      <c r="AB228" s="127" t="str">
        <f>IF(Tab.o1[[#This Row],[a1]]=1,IF(AE$3=0,"",IF(AB$3=0,ABS([1]!T.in.A[[#This Row],[oo9]]),ABS(Tab.o1[[#This Row],[DIF_Target.]]*Tab.o1[[#This Row],[W1_PDF]]))),"")</f>
        <v/>
      </c>
      <c r="AC228" s="127" t="str">
        <f>IF(G$1=1,"",IF(Tab.o1[[#This Row],[a1]]=1,Tab.o1[[#This Row],[Wr]]^2,""))</f>
        <v/>
      </c>
      <c r="AD228" s="118" t="str">
        <f>IF(Tab.o1[[#This Row],[a1]]=1,IF(AE$3=0,"",Tab.o1[[#This Row],[Wr2]]/SUM(Tab.o1[Wr2])),"")</f>
        <v/>
      </c>
      <c r="AE228" s="128" t="str">
        <f>IF(Tab.o1[[#This Row],[a1]]=1,[1]!T.in.A[[#This Row],[oo10]],"")</f>
        <v/>
      </c>
      <c r="AF228" s="118" t="str">
        <f>IF(Tab.o1[[#This Row],[a1]]=1,ABS(Tab.o1[[#This Row],[DIF_Target.]]*Tab.o1[[#This Row],[PDF2]]*Tab.o1[[#This Row],[IN]]),"")</f>
        <v/>
      </c>
      <c r="AG228" s="129" t="str">
        <f>IF(Tab.o1[[#This Row],[a1]]=1,Tab.o1[[#This Row],[rW]]^2,"")</f>
        <v/>
      </c>
      <c r="AH228" s="130" t="str">
        <f>IF(Tab.o1[[#This Row],[a1]]=1,IF(AH$3=0,Tab.o1[[#This Row],[rW2]],0.01+0.94*Tab.o1[[#This Row],[rW2]]/SUM(Tab.o1[rW2])),"")</f>
        <v/>
      </c>
      <c r="AI228" s="128" t="str">
        <f>IF(Tab.o1[[#This Row],[a1]]=1,1/Tab.o1[[#This Row],[PDF]],"")</f>
        <v/>
      </c>
      <c r="AJ228" s="131" t="str">
        <f>IF(Tab.o1[[#This Row],[a1]]=1,[1]!T_AA[[#This Row],[IN'']]*[1]!T_AA[[#This Row],[Qde'']],"")</f>
        <v/>
      </c>
      <c r="AK228" s="132" t="str">
        <f>IF(Tab.o1[[#This Row],[a1]]=1,IF(AK$1=1,Tab.o1[[#This Row],[MED]]+Tab.o1[[#This Row],[MOD]]-Tab.o1[[#This Row],[MED]],""),"")</f>
        <v/>
      </c>
      <c r="AL228" s="133" t="str">
        <f>IF(Tab.o1[[#This Row],[a1]]=1,[1]!T.in.A[[#This Row],[oo16]],"")</f>
        <v/>
      </c>
      <c r="AM228" s="133" t="str">
        <f>IF(Tab.o1[[#This Row],[a1]]=1,IF(AM$3=1,[1]!T.in.A[[#This Row],[Σo16]],""),"")</f>
        <v/>
      </c>
      <c r="AN228" s="126" t="str">
        <f>IF(Tab.o1[[#This Row],[a1]]=1,[1]!T.in.A[[#This Row],[Σp5]],"")</f>
        <v/>
      </c>
      <c r="AO228" s="126" t="str">
        <f>IF(Tab.o1[[#This Row],[a1]]=1,IF(AO$3=1,[1]!T.in.A[[#This Row],[Σp5]],""),"")</f>
        <v/>
      </c>
      <c r="AP228" s="110" t="str">
        <f>IF(Tab.o1[[#This Row],[a1]]=1,IF(ISNUMBER(Tab.o1[[#This Row],[i.]]),NORMDIST(Tab.o1[[#This Row],[Za]],0,1,FALSE)*Tab.o1[[#This Row],[i.]],0),"")</f>
        <v/>
      </c>
      <c r="AQ228" s="125" t="str">
        <f>IF(Tab.o1[[#This Row],[a1]]=1,ABS(Tab.o1[[#This Row],[MOD]]-AVERAGE(Tab.o1[MOD])),"")</f>
        <v/>
      </c>
      <c r="AR228" s="134" t="str">
        <f>IF(Tab.o1[[#This Row],[a1]]=1,Tab.o1[[#This Row],[OBS]]/SUM(Tab.o1[OBS]),"")</f>
        <v/>
      </c>
      <c r="AS228" s="135" t="str">
        <f>IF(ISNUMBER(Tab.o1[[#This Row],[a1]]),ROW()-4,"")</f>
        <v/>
      </c>
      <c r="AT228" s="136" t="str">
        <f>Tab.o1[[#This Row],[MOD]]</f>
        <v/>
      </c>
      <c r="AU228" s="137" t="str">
        <f t="shared" si="13"/>
        <v/>
      </c>
      <c r="AV228" s="138" t="str">
        <f t="shared" si="14"/>
        <v/>
      </c>
      <c r="AW228" s="138" t="str">
        <f t="shared" si="15"/>
        <v/>
      </c>
      <c r="AX228" s="139" t="str">
        <f>[1]!T.in.A[[#This Row],[ID_T_manu]]</f>
        <v/>
      </c>
      <c r="AY228" s="140" t="str">
        <f>IF(ISNUMBER(Tab.o1[[#This Row],[a1]]),IF(AND(Tab.o1[[#This Row],[a1]]=1,Tab.o1[[#This Row],[b1]]&lt;=AY$4),#REF!,AY227),"")</f>
        <v/>
      </c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</row>
    <row r="229" spans="1:79" ht="14.25" hidden="1" customHeight="1">
      <c r="A229" s="109">
        <v>-1.0000000000000001E-5</v>
      </c>
      <c r="B229" s="110">
        <f t="shared" si="12"/>
        <v>229</v>
      </c>
      <c r="C229" s="111" t="str">
        <f>IF(C$1=[1]!T.in.A[[#This Row],[oo2]],1,"")</f>
        <v/>
      </c>
      <c r="D229" s="112" t="str">
        <f>IF(Tab.o1[[#This Row],[a1]]=1,IF(SUM(C229:C230)=0,0,IF(SUM(C228:C229)=1,1,IF(SUM(C228:C230)&gt;1,D228+1,0))),"")</f>
        <v/>
      </c>
      <c r="E229" s="113" t="str">
        <f>IF(Tab.o1[[#This Row],[a1]]=1,[1]!T.in.A[[#This Row],[oo1]],"")</f>
        <v/>
      </c>
      <c r="F229" s="113" t="str">
        <f>IF(Tab.o1[[#This Row],[a1]]=1,[1]!T.in.A[[#This Row],[pp1]],"")</f>
        <v/>
      </c>
      <c r="G229" s="114" t="str">
        <f>IF(Tab.o1[[#This Row],[a1]]=1,G$2+IF(G$1=1,0,Tab.o1[[#This Row],[.x1]])+[1]!T.in.A[[#This Row],[oo3]],"")</f>
        <v/>
      </c>
      <c r="H229" s="115" t="str">
        <f>IF(Tab.o1[[#This Row],[a1]]=1,IF(H$2=0,0,IF(G$1=1,0,Tab.o1[[#This Row],[.x1]])+[1]!T.in.A[[#This Row],[oo4]]),"")</f>
        <v/>
      </c>
      <c r="I229" s="116" t="str">
        <f>IF(Tab.o1[[#This Row],[a1]]=1,IF(J$2=0,Tab.o1[[#This Row],[MED]],Tab.o1[[#This Row],[MOD]]),"")</f>
        <v/>
      </c>
      <c r="J229" s="116" t="str">
        <f>IF(Tab.o1[[#This Row],[a1]]=1,((Tab.o1[[#This Row],[DIF_Target.]]-AVERAGE(Tab.o1[DIF_Target.]))/_xlfn.STDEV.P(Tab.o1[DIF_Target.])),"")</f>
        <v/>
      </c>
      <c r="K229" s="117" t="str">
        <f>IF(Tab.o1[[#This Row],[a1]]=1,IF(J$2=0,Tab.o1[[#This Row],[MOD]]-Tab.o1[[#This Row],[B]],IF(J$2=1,0,-Tab.o1[[#This Row],[MED]])+Tab.o1[[#This Row],[B]]),"")</f>
        <v/>
      </c>
      <c r="L229" s="117" t="str">
        <f ca="1">IF(Tab.o1[[#This Row],[DIF_Target]]=0,IF(L$2=0,Tab.o1[[#This Row],[DIF_Target]],AVERAGE(OFFSET(Tab.o1[[#This Row],[DIF_Target]],1,0,L$3,1)))/3,Tab.o1[[#This Row],[DIF_Target]])</f>
        <v/>
      </c>
      <c r="M229" s="118" t="str">
        <f>IF(Tab.o1[[#This Row],[a1]]=1,NORMSDIST(Tab.o1[[#This Row],[Za]]),"")</f>
        <v/>
      </c>
      <c r="N229" s="119" t="str">
        <f>IF(Tab.o1[[#This Row],[a1]]=1,((Tab.o1[[#This Row],[MedMod]]-AVERAGE(Tab.o1[MedMod]))/_xlfn.STDEV.P(Tab.o1[MedMod])*H$1205)+G$1205,"")</f>
        <v/>
      </c>
      <c r="O229" s="141" t="str">
        <f>IF(Tab.o1[[#This Row],[a1]]=1,Tab.o1[[#This Row],[Zb]]*_xlfn.STDEV.P(Tab.o1[MedMod])+AVERAGE(Tab.o1[MedMod]),"")</f>
        <v/>
      </c>
      <c r="P229" s="117" t="str">
        <f ca="1">IF(Tab.o1[[#This Row],[B]]=0,AVERAGE(OFFSET(Tab.o1[[#This Row],[B]],1,0,L$3,1)),Tab.o1[[#This Row],[B]])</f>
        <v/>
      </c>
      <c r="Q229" s="121" t="str">
        <f>IF(Tab.o1[[#This Row],[a1]]=1,NORMSDIST(Tab.o1[[#This Row],[Zb]]),"")</f>
        <v/>
      </c>
      <c r="R229" s="122" t="str">
        <f>IF(Tab.o1[[#This Row],[a1]]=1,((Tab.o1[[#This Row],[MedMod]]-AVERAGE(Tab.o1[MedMod]))/_xlfn.STDEV.P(Tab.o1[MedMod])*H$1203)+G$1203,"")</f>
        <v/>
      </c>
      <c r="S229" s="122" t="str">
        <f>IF(Tab.o1[[#This Row],[a1]]=1,((Tab.o1[[#This Row],[MedMod]]-AVERAGE(Tab.o1[MedMod]))/_xlfn.STDEV.P(Tab.o1[MedMod])*H$1204)+G$1204,"")</f>
        <v/>
      </c>
      <c r="T229" s="123" t="str">
        <f>IF(Tab.o1[[#This Row],[a1]]=1,Tab.o1[[#This Row],[Z-]]*_xlfn.STDEV.P(Tab.o1[B])+AVERAGE(Tab.o1[B]),"")</f>
        <v/>
      </c>
      <c r="U229" s="123" t="str">
        <f>IF(Tab.o1[[#This Row],[a1]]=1,Tab.o1[[#This Row],[z+]]*_xlfn.STDEV.P(Tab.o1[B])+AVERAGE(Tab.o1[B]),"")</f>
        <v/>
      </c>
      <c r="V229" s="124" t="str">
        <f>IF(Tab.o1[[#This Row],[a1]]=1,ABS((ABS(Tab.o1[[#This Row],[Red]]-Tab.o1[[#This Row],[Blue]]))),"")</f>
        <v/>
      </c>
      <c r="W229" s="125" t="str">
        <f>IF(Tab.o1[[#This Row],[a1]]=1,IF(W$3=0,1,Tab.o1[[#This Row],[Amp.]]*1/_xlfn.MINIFS(Tab.o1[Amp.],Tab.o1[Amp.],"&lt;&gt;0")),"")</f>
        <v/>
      </c>
      <c r="X229" s="126" t="str">
        <f>IF(Tab.o1[[#This Row],[a1]]=1,IF(ISNUMBER(Tab.o1[[#This Row],[i.]]),NORMDIST(Tab.o1[[#This Row],[Za]],0,1,FALSE)*Tab.o1[[#This Row],[i.]],AP$3),"")</f>
        <v/>
      </c>
      <c r="Y229" s="126" t="str">
        <f>IF(Tab.o1[[#This Row],[a1]]=1,0.01+0.94*Tab.o1[[#This Row],[PDF]]/MAX(Tab.o1[PDF]),"")</f>
        <v/>
      </c>
      <c r="Z229" s="126" t="str">
        <f>IF(Tab.o1[[#This Row],[a1]]=1,0.01+0.94*Tab.o1[[#This Row],[W1_PDF]]/MAX(Tab.o1[W1_PDF]),"")</f>
        <v/>
      </c>
      <c r="AA229" s="118" t="str">
        <f>IF(Tab.o1[[#This Row],[a1]]=1,ABS([1]!T.in.A[[#This Row],[oo6]]),"")</f>
        <v/>
      </c>
      <c r="AB229" s="127" t="str">
        <f>IF(Tab.o1[[#This Row],[a1]]=1,IF(AE$3=0,"",IF(AB$3=0,ABS([1]!T.in.A[[#This Row],[oo9]]),ABS(Tab.o1[[#This Row],[DIF_Target.]]*Tab.o1[[#This Row],[W1_PDF]]))),"")</f>
        <v/>
      </c>
      <c r="AC229" s="127" t="str">
        <f>IF(G$1=1,"",IF(Tab.o1[[#This Row],[a1]]=1,Tab.o1[[#This Row],[Wr]]^2,""))</f>
        <v/>
      </c>
      <c r="AD229" s="118" t="str">
        <f>IF(Tab.o1[[#This Row],[a1]]=1,IF(AE$3=0,"",Tab.o1[[#This Row],[Wr2]]/SUM(Tab.o1[Wr2])),"")</f>
        <v/>
      </c>
      <c r="AE229" s="128" t="str">
        <f>IF(Tab.o1[[#This Row],[a1]]=1,[1]!T.in.A[[#This Row],[oo10]],"")</f>
        <v/>
      </c>
      <c r="AF229" s="118" t="str">
        <f>IF(Tab.o1[[#This Row],[a1]]=1,ABS(Tab.o1[[#This Row],[DIF_Target.]]*Tab.o1[[#This Row],[PDF2]]*Tab.o1[[#This Row],[IN]]),"")</f>
        <v/>
      </c>
      <c r="AG229" s="129" t="str">
        <f>IF(Tab.o1[[#This Row],[a1]]=1,Tab.o1[[#This Row],[rW]]^2,"")</f>
        <v/>
      </c>
      <c r="AH229" s="130" t="str">
        <f>IF(Tab.o1[[#This Row],[a1]]=1,IF(AH$3=0,Tab.o1[[#This Row],[rW2]],0.01+0.94*Tab.o1[[#This Row],[rW2]]/SUM(Tab.o1[rW2])),"")</f>
        <v/>
      </c>
      <c r="AI229" s="128" t="str">
        <f>IF(Tab.o1[[#This Row],[a1]]=1,1/Tab.o1[[#This Row],[PDF]],"")</f>
        <v/>
      </c>
      <c r="AJ229" s="131" t="str">
        <f>IF(Tab.o1[[#This Row],[a1]]=1,[1]!T_AA[[#This Row],[IN'']]*[1]!T_AA[[#This Row],[Qde'']],"")</f>
        <v/>
      </c>
      <c r="AK229" s="132" t="str">
        <f>IF(Tab.o1[[#This Row],[a1]]=1,IF(AK$1=1,Tab.o1[[#This Row],[MED]]+Tab.o1[[#This Row],[MOD]]-Tab.o1[[#This Row],[MED]],""),"")</f>
        <v/>
      </c>
      <c r="AL229" s="133" t="str">
        <f>IF(Tab.o1[[#This Row],[a1]]=1,[1]!T.in.A[[#This Row],[oo16]],"")</f>
        <v/>
      </c>
      <c r="AM229" s="133" t="str">
        <f>IF(Tab.o1[[#This Row],[a1]]=1,IF(AM$3=1,[1]!T.in.A[[#This Row],[Σo16]],""),"")</f>
        <v/>
      </c>
      <c r="AN229" s="126" t="str">
        <f>IF(Tab.o1[[#This Row],[a1]]=1,[1]!T.in.A[[#This Row],[Σp5]],"")</f>
        <v/>
      </c>
      <c r="AO229" s="126" t="str">
        <f>IF(Tab.o1[[#This Row],[a1]]=1,IF(AO$3=1,[1]!T.in.A[[#This Row],[Σp5]],""),"")</f>
        <v/>
      </c>
      <c r="AP229" s="110" t="str">
        <f>IF(Tab.o1[[#This Row],[a1]]=1,IF(ISNUMBER(Tab.o1[[#This Row],[i.]]),NORMDIST(Tab.o1[[#This Row],[Za]],0,1,FALSE)*Tab.o1[[#This Row],[i.]],0),"")</f>
        <v/>
      </c>
      <c r="AQ229" s="125" t="str">
        <f>IF(Tab.o1[[#This Row],[a1]]=1,ABS(Tab.o1[[#This Row],[MOD]]-AVERAGE(Tab.o1[MOD])),"")</f>
        <v/>
      </c>
      <c r="AR229" s="134" t="str">
        <f>IF(Tab.o1[[#This Row],[a1]]=1,Tab.o1[[#This Row],[OBS]]/SUM(Tab.o1[OBS]),"")</f>
        <v/>
      </c>
      <c r="AS229" s="135" t="str">
        <f>IF(ISNUMBER(Tab.o1[[#This Row],[a1]]),ROW()-4,"")</f>
        <v/>
      </c>
      <c r="AT229" s="136" t="str">
        <f>Tab.o1[[#This Row],[MOD]]</f>
        <v/>
      </c>
      <c r="AU229" s="137" t="str">
        <f t="shared" si="13"/>
        <v/>
      </c>
      <c r="AV229" s="138" t="str">
        <f t="shared" si="14"/>
        <v/>
      </c>
      <c r="AW229" s="138" t="str">
        <f t="shared" si="15"/>
        <v/>
      </c>
      <c r="AX229" s="139" t="str">
        <f>[1]!T.in.A[[#This Row],[ID_T_manu]]</f>
        <v/>
      </c>
      <c r="AY229" s="140" t="str">
        <f>IF(ISNUMBER(Tab.o1[[#This Row],[a1]]),IF(AND(Tab.o1[[#This Row],[a1]]=1,Tab.o1[[#This Row],[b1]]&lt;=AY$4),#REF!,AY228),"")</f>
        <v/>
      </c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</row>
    <row r="230" spans="1:79" ht="14.25" hidden="1" customHeight="1">
      <c r="A230" s="109">
        <v>-5.0000000000000004E-6</v>
      </c>
      <c r="B230" s="110">
        <f t="shared" si="12"/>
        <v>230</v>
      </c>
      <c r="C230" s="111" t="str">
        <f>IF(C$1=[1]!T.in.A[[#This Row],[oo2]],1,"")</f>
        <v/>
      </c>
      <c r="D230" s="112" t="str">
        <f>IF(Tab.o1[[#This Row],[a1]]=1,IF(SUM(C230:C231)=0,0,IF(SUM(C229:C230)=1,1,IF(SUM(C229:C231)&gt;1,D229+1,0))),"")</f>
        <v/>
      </c>
      <c r="E230" s="113" t="str">
        <f>IF(Tab.o1[[#This Row],[a1]]=1,[1]!T.in.A[[#This Row],[oo1]],"")</f>
        <v/>
      </c>
      <c r="F230" s="113" t="str">
        <f>IF(Tab.o1[[#This Row],[a1]]=1,[1]!T.in.A[[#This Row],[pp1]],"")</f>
        <v/>
      </c>
      <c r="G230" s="114" t="str">
        <f>IF(Tab.o1[[#This Row],[a1]]=1,G$2+IF(G$1=1,0,Tab.o1[[#This Row],[.x1]])+[1]!T.in.A[[#This Row],[oo3]],"")</f>
        <v/>
      </c>
      <c r="H230" s="115" t="str">
        <f>IF(Tab.o1[[#This Row],[a1]]=1,IF(H$2=0,0,IF(G$1=1,0,Tab.o1[[#This Row],[.x1]])+[1]!T.in.A[[#This Row],[oo4]]),"")</f>
        <v/>
      </c>
      <c r="I230" s="116" t="str">
        <f>IF(Tab.o1[[#This Row],[a1]]=1,IF(J$2=0,Tab.o1[[#This Row],[MED]],Tab.o1[[#This Row],[MOD]]),"")</f>
        <v/>
      </c>
      <c r="J230" s="116" t="str">
        <f>IF(Tab.o1[[#This Row],[a1]]=1,((Tab.o1[[#This Row],[DIF_Target.]]-AVERAGE(Tab.o1[DIF_Target.]))/_xlfn.STDEV.P(Tab.o1[DIF_Target.])),"")</f>
        <v/>
      </c>
      <c r="K230" s="117" t="str">
        <f>IF(Tab.o1[[#This Row],[a1]]=1,IF(J$2=0,Tab.o1[[#This Row],[MOD]]-Tab.o1[[#This Row],[B]],IF(J$2=1,0,-Tab.o1[[#This Row],[MED]])+Tab.o1[[#This Row],[B]]),"")</f>
        <v/>
      </c>
      <c r="L230" s="117" t="str">
        <f ca="1">IF(Tab.o1[[#This Row],[DIF_Target]]=0,IF(L$2=0,Tab.o1[[#This Row],[DIF_Target]],AVERAGE(OFFSET(Tab.o1[[#This Row],[DIF_Target]],1,0,L$3,1)))/3,Tab.o1[[#This Row],[DIF_Target]])</f>
        <v/>
      </c>
      <c r="M230" s="118" t="str">
        <f>IF(Tab.o1[[#This Row],[a1]]=1,NORMSDIST(Tab.o1[[#This Row],[Za]]),"")</f>
        <v/>
      </c>
      <c r="N230" s="119" t="str">
        <f>IF(Tab.o1[[#This Row],[a1]]=1,((Tab.o1[[#This Row],[MedMod]]-AVERAGE(Tab.o1[MedMod]))/_xlfn.STDEV.P(Tab.o1[MedMod])*H$1205)+G$1205,"")</f>
        <v/>
      </c>
      <c r="O230" s="141" t="str">
        <f>IF(Tab.o1[[#This Row],[a1]]=1,Tab.o1[[#This Row],[Zb]]*_xlfn.STDEV.P(Tab.o1[MedMod])+AVERAGE(Tab.o1[MedMod]),"")</f>
        <v/>
      </c>
      <c r="P230" s="117" t="str">
        <f ca="1">IF(Tab.o1[[#This Row],[B]]=0,AVERAGE(OFFSET(Tab.o1[[#This Row],[B]],1,0,L$3,1)),Tab.o1[[#This Row],[B]])</f>
        <v/>
      </c>
      <c r="Q230" s="121" t="str">
        <f>IF(Tab.o1[[#This Row],[a1]]=1,NORMSDIST(Tab.o1[[#This Row],[Zb]]),"")</f>
        <v/>
      </c>
      <c r="R230" s="122" t="str">
        <f>IF(Tab.o1[[#This Row],[a1]]=1,((Tab.o1[[#This Row],[MedMod]]-AVERAGE(Tab.o1[MedMod]))/_xlfn.STDEV.P(Tab.o1[MedMod])*H$1203)+G$1203,"")</f>
        <v/>
      </c>
      <c r="S230" s="122" t="str">
        <f>IF(Tab.o1[[#This Row],[a1]]=1,((Tab.o1[[#This Row],[MedMod]]-AVERAGE(Tab.o1[MedMod]))/_xlfn.STDEV.P(Tab.o1[MedMod])*H$1204)+G$1204,"")</f>
        <v/>
      </c>
      <c r="T230" s="123" t="str">
        <f>IF(Tab.o1[[#This Row],[a1]]=1,Tab.o1[[#This Row],[Z-]]*_xlfn.STDEV.P(Tab.o1[B])+AVERAGE(Tab.o1[B]),"")</f>
        <v/>
      </c>
      <c r="U230" s="123" t="str">
        <f>IF(Tab.o1[[#This Row],[a1]]=1,Tab.o1[[#This Row],[z+]]*_xlfn.STDEV.P(Tab.o1[B])+AVERAGE(Tab.o1[B]),"")</f>
        <v/>
      </c>
      <c r="V230" s="124" t="str">
        <f>IF(Tab.o1[[#This Row],[a1]]=1,ABS((ABS(Tab.o1[[#This Row],[Red]]-Tab.o1[[#This Row],[Blue]]))),"")</f>
        <v/>
      </c>
      <c r="W230" s="125" t="str">
        <f>IF(Tab.o1[[#This Row],[a1]]=1,IF(W$3=0,1,Tab.o1[[#This Row],[Amp.]]*1/_xlfn.MINIFS(Tab.o1[Amp.],Tab.o1[Amp.],"&lt;&gt;0")),"")</f>
        <v/>
      </c>
      <c r="X230" s="126" t="str">
        <f>IF(Tab.o1[[#This Row],[a1]]=1,IF(ISNUMBER(Tab.o1[[#This Row],[i.]]),NORMDIST(Tab.o1[[#This Row],[Za]],0,1,FALSE)*Tab.o1[[#This Row],[i.]],AP$3),"")</f>
        <v/>
      </c>
      <c r="Y230" s="126" t="str">
        <f>IF(Tab.o1[[#This Row],[a1]]=1,0.01+0.94*Tab.o1[[#This Row],[PDF]]/MAX(Tab.o1[PDF]),"")</f>
        <v/>
      </c>
      <c r="Z230" s="126" t="str">
        <f>IF(Tab.o1[[#This Row],[a1]]=1,0.01+0.94*Tab.o1[[#This Row],[W1_PDF]]/MAX(Tab.o1[W1_PDF]),"")</f>
        <v/>
      </c>
      <c r="AA230" s="118" t="str">
        <f>IF(Tab.o1[[#This Row],[a1]]=1,ABS([1]!T.in.A[[#This Row],[oo6]]),"")</f>
        <v/>
      </c>
      <c r="AB230" s="127" t="str">
        <f>IF(Tab.o1[[#This Row],[a1]]=1,IF(AE$3=0,"",IF(AB$3=0,ABS([1]!T.in.A[[#This Row],[oo9]]),ABS(Tab.o1[[#This Row],[DIF_Target.]]*Tab.o1[[#This Row],[W1_PDF]]))),"")</f>
        <v/>
      </c>
      <c r="AC230" s="127" t="str">
        <f>IF(G$1=1,"",IF(Tab.o1[[#This Row],[a1]]=1,Tab.o1[[#This Row],[Wr]]^2,""))</f>
        <v/>
      </c>
      <c r="AD230" s="118" t="str">
        <f>IF(Tab.o1[[#This Row],[a1]]=1,IF(AE$3=0,"",Tab.o1[[#This Row],[Wr2]]/SUM(Tab.o1[Wr2])),"")</f>
        <v/>
      </c>
      <c r="AE230" s="128" t="str">
        <f>IF(Tab.o1[[#This Row],[a1]]=1,[1]!T.in.A[[#This Row],[oo10]],"")</f>
        <v/>
      </c>
      <c r="AF230" s="118" t="str">
        <f>IF(Tab.o1[[#This Row],[a1]]=1,ABS(Tab.o1[[#This Row],[DIF_Target.]]*Tab.o1[[#This Row],[PDF2]]*Tab.o1[[#This Row],[IN]]),"")</f>
        <v/>
      </c>
      <c r="AG230" s="129" t="str">
        <f>IF(Tab.o1[[#This Row],[a1]]=1,Tab.o1[[#This Row],[rW]]^2,"")</f>
        <v/>
      </c>
      <c r="AH230" s="130" t="str">
        <f>IF(Tab.o1[[#This Row],[a1]]=1,IF(AH$3=0,Tab.o1[[#This Row],[rW2]],0.01+0.94*Tab.o1[[#This Row],[rW2]]/SUM(Tab.o1[rW2])),"")</f>
        <v/>
      </c>
      <c r="AI230" s="128" t="str">
        <f>IF(Tab.o1[[#This Row],[a1]]=1,1/Tab.o1[[#This Row],[PDF]],"")</f>
        <v/>
      </c>
      <c r="AJ230" s="131" t="str">
        <f>IF(Tab.o1[[#This Row],[a1]]=1,[1]!T_AA[[#This Row],[IN'']]*[1]!T_AA[[#This Row],[Qde'']],"")</f>
        <v/>
      </c>
      <c r="AK230" s="132" t="str">
        <f>IF(Tab.o1[[#This Row],[a1]]=1,IF(AK$1=1,Tab.o1[[#This Row],[MED]]+Tab.o1[[#This Row],[MOD]]-Tab.o1[[#This Row],[MED]],""),"")</f>
        <v/>
      </c>
      <c r="AL230" s="133" t="str">
        <f>IF(Tab.o1[[#This Row],[a1]]=1,[1]!T.in.A[[#This Row],[oo16]],"")</f>
        <v/>
      </c>
      <c r="AM230" s="133" t="str">
        <f>IF(Tab.o1[[#This Row],[a1]]=1,IF(AM$3=1,[1]!T.in.A[[#This Row],[Σo16]],""),"")</f>
        <v/>
      </c>
      <c r="AN230" s="126" t="str">
        <f>IF(Tab.o1[[#This Row],[a1]]=1,[1]!T.in.A[[#This Row],[Σp5]],"")</f>
        <v/>
      </c>
      <c r="AO230" s="126" t="str">
        <f>IF(Tab.o1[[#This Row],[a1]]=1,IF(AO$3=1,[1]!T.in.A[[#This Row],[Σp5]],""),"")</f>
        <v/>
      </c>
      <c r="AP230" s="110" t="str">
        <f>IF(Tab.o1[[#This Row],[a1]]=1,IF(ISNUMBER(Tab.o1[[#This Row],[i.]]),NORMDIST(Tab.o1[[#This Row],[Za]],0,1,FALSE)*Tab.o1[[#This Row],[i.]],0),"")</f>
        <v/>
      </c>
      <c r="AQ230" s="125" t="str">
        <f>IF(Tab.o1[[#This Row],[a1]]=1,ABS(Tab.o1[[#This Row],[MOD]]-AVERAGE(Tab.o1[MOD])),"")</f>
        <v/>
      </c>
      <c r="AR230" s="134" t="str">
        <f>IF(Tab.o1[[#This Row],[a1]]=1,Tab.o1[[#This Row],[OBS]]/SUM(Tab.o1[OBS]),"")</f>
        <v/>
      </c>
      <c r="AS230" s="135" t="str">
        <f>IF(ISNUMBER(Tab.o1[[#This Row],[a1]]),ROW()-4,"")</f>
        <v/>
      </c>
      <c r="AT230" s="136" t="str">
        <f>Tab.o1[[#This Row],[MOD]]</f>
        <v/>
      </c>
      <c r="AU230" s="137" t="str">
        <f t="shared" si="13"/>
        <v/>
      </c>
      <c r="AV230" s="138" t="str">
        <f t="shared" si="14"/>
        <v/>
      </c>
      <c r="AW230" s="138" t="str">
        <f t="shared" si="15"/>
        <v/>
      </c>
      <c r="AX230" s="139" t="str">
        <f>[1]!T.in.A[[#This Row],[ID_T_manu]]</f>
        <v/>
      </c>
      <c r="AY230" s="140" t="str">
        <f>IF(ISNUMBER(Tab.o1[[#This Row],[a1]]),IF(AND(Tab.o1[[#This Row],[a1]]=1,Tab.o1[[#This Row],[b1]]&lt;=AY$4),#REF!,AY229),"")</f>
        <v/>
      </c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</row>
    <row r="231" spans="1:79" ht="14.25" hidden="1" customHeight="1">
      <c r="A231" s="109">
        <v>-9.0000000000000002E-6</v>
      </c>
      <c r="B231" s="110">
        <f t="shared" si="12"/>
        <v>231</v>
      </c>
      <c r="C231" s="111" t="str">
        <f>IF(C$1=[1]!T.in.A[[#This Row],[oo2]],1,"")</f>
        <v/>
      </c>
      <c r="D231" s="112" t="str">
        <f>IF(Tab.o1[[#This Row],[a1]]=1,IF(SUM(C231:C232)=0,0,IF(SUM(C230:C231)=1,1,IF(SUM(C230:C232)&gt;1,D230+1,0))),"")</f>
        <v/>
      </c>
      <c r="E231" s="113" t="str">
        <f>IF(Tab.o1[[#This Row],[a1]]=1,[1]!T.in.A[[#This Row],[oo1]],"")</f>
        <v/>
      </c>
      <c r="F231" s="113" t="str">
        <f>IF(Tab.o1[[#This Row],[a1]]=1,[1]!T.in.A[[#This Row],[pp1]],"")</f>
        <v/>
      </c>
      <c r="G231" s="114" t="str">
        <f>IF(Tab.o1[[#This Row],[a1]]=1,G$2+IF(G$1=1,0,Tab.o1[[#This Row],[.x1]])+[1]!T.in.A[[#This Row],[oo3]],"")</f>
        <v/>
      </c>
      <c r="H231" s="115" t="str">
        <f>IF(Tab.o1[[#This Row],[a1]]=1,IF(H$2=0,0,IF(G$1=1,0,Tab.o1[[#This Row],[.x1]])+[1]!T.in.A[[#This Row],[oo4]]),"")</f>
        <v/>
      </c>
      <c r="I231" s="116" t="str">
        <f>IF(Tab.o1[[#This Row],[a1]]=1,IF(J$2=0,Tab.o1[[#This Row],[MED]],Tab.o1[[#This Row],[MOD]]),"")</f>
        <v/>
      </c>
      <c r="J231" s="116" t="str">
        <f>IF(Tab.o1[[#This Row],[a1]]=1,((Tab.o1[[#This Row],[DIF_Target.]]-AVERAGE(Tab.o1[DIF_Target.]))/_xlfn.STDEV.P(Tab.o1[DIF_Target.])),"")</f>
        <v/>
      </c>
      <c r="K231" s="117" t="str">
        <f>IF(Tab.o1[[#This Row],[a1]]=1,IF(J$2=0,Tab.o1[[#This Row],[MOD]]-Tab.o1[[#This Row],[B]],IF(J$2=1,0,-Tab.o1[[#This Row],[MED]])+Tab.o1[[#This Row],[B]]),"")</f>
        <v/>
      </c>
      <c r="L231" s="117" t="str">
        <f ca="1">IF(Tab.o1[[#This Row],[DIF_Target]]=0,IF(L$2=0,Tab.o1[[#This Row],[DIF_Target]],AVERAGE(OFFSET(Tab.o1[[#This Row],[DIF_Target]],1,0,L$3,1)))/3,Tab.o1[[#This Row],[DIF_Target]])</f>
        <v/>
      </c>
      <c r="M231" s="118" t="str">
        <f>IF(Tab.o1[[#This Row],[a1]]=1,NORMSDIST(Tab.o1[[#This Row],[Za]]),"")</f>
        <v/>
      </c>
      <c r="N231" s="119" t="str">
        <f>IF(Tab.o1[[#This Row],[a1]]=1,((Tab.o1[[#This Row],[MedMod]]-AVERAGE(Tab.o1[MedMod]))/_xlfn.STDEV.P(Tab.o1[MedMod])*H$1205)+G$1205,"")</f>
        <v/>
      </c>
      <c r="O231" s="141" t="str">
        <f>IF(Tab.o1[[#This Row],[a1]]=1,Tab.o1[[#This Row],[Zb]]*_xlfn.STDEV.P(Tab.o1[MedMod])+AVERAGE(Tab.o1[MedMod]),"")</f>
        <v/>
      </c>
      <c r="P231" s="117" t="str">
        <f ca="1">IF(Tab.o1[[#This Row],[B]]=0,AVERAGE(OFFSET(Tab.o1[[#This Row],[B]],1,0,L$3,1)),Tab.o1[[#This Row],[B]])</f>
        <v/>
      </c>
      <c r="Q231" s="121" t="str">
        <f>IF(Tab.o1[[#This Row],[a1]]=1,NORMSDIST(Tab.o1[[#This Row],[Zb]]),"")</f>
        <v/>
      </c>
      <c r="R231" s="122" t="str">
        <f>IF(Tab.o1[[#This Row],[a1]]=1,((Tab.o1[[#This Row],[MedMod]]-AVERAGE(Tab.o1[MedMod]))/_xlfn.STDEV.P(Tab.o1[MedMod])*H$1203)+G$1203,"")</f>
        <v/>
      </c>
      <c r="S231" s="122" t="str">
        <f>IF(Tab.o1[[#This Row],[a1]]=1,((Tab.o1[[#This Row],[MedMod]]-AVERAGE(Tab.o1[MedMod]))/_xlfn.STDEV.P(Tab.o1[MedMod])*H$1204)+G$1204,"")</f>
        <v/>
      </c>
      <c r="T231" s="123" t="str">
        <f>IF(Tab.o1[[#This Row],[a1]]=1,Tab.o1[[#This Row],[Z-]]*_xlfn.STDEV.P(Tab.o1[B])+AVERAGE(Tab.o1[B]),"")</f>
        <v/>
      </c>
      <c r="U231" s="123" t="str">
        <f>IF(Tab.o1[[#This Row],[a1]]=1,Tab.o1[[#This Row],[z+]]*_xlfn.STDEV.P(Tab.o1[B])+AVERAGE(Tab.o1[B]),"")</f>
        <v/>
      </c>
      <c r="V231" s="124" t="str">
        <f>IF(Tab.o1[[#This Row],[a1]]=1,ABS((ABS(Tab.o1[[#This Row],[Red]]-Tab.o1[[#This Row],[Blue]]))),"")</f>
        <v/>
      </c>
      <c r="W231" s="125" t="str">
        <f>IF(Tab.o1[[#This Row],[a1]]=1,IF(W$3=0,1,Tab.o1[[#This Row],[Amp.]]*1/_xlfn.MINIFS(Tab.o1[Amp.],Tab.o1[Amp.],"&lt;&gt;0")),"")</f>
        <v/>
      </c>
      <c r="X231" s="126" t="str">
        <f>IF(Tab.o1[[#This Row],[a1]]=1,IF(ISNUMBER(Tab.o1[[#This Row],[i.]]),NORMDIST(Tab.o1[[#This Row],[Za]],0,1,FALSE)*Tab.o1[[#This Row],[i.]],AP$3),"")</f>
        <v/>
      </c>
      <c r="Y231" s="126" t="str">
        <f>IF(Tab.o1[[#This Row],[a1]]=1,0.01+0.94*Tab.o1[[#This Row],[PDF]]/MAX(Tab.o1[PDF]),"")</f>
        <v/>
      </c>
      <c r="Z231" s="126" t="str">
        <f>IF(Tab.o1[[#This Row],[a1]]=1,0.01+0.94*Tab.o1[[#This Row],[W1_PDF]]/MAX(Tab.o1[W1_PDF]),"")</f>
        <v/>
      </c>
      <c r="AA231" s="118" t="str">
        <f>IF(Tab.o1[[#This Row],[a1]]=1,ABS([1]!T.in.A[[#This Row],[oo6]]),"")</f>
        <v/>
      </c>
      <c r="AB231" s="127" t="str">
        <f>IF(Tab.o1[[#This Row],[a1]]=1,IF(AE$3=0,"",IF(AB$3=0,ABS([1]!T.in.A[[#This Row],[oo9]]),ABS(Tab.o1[[#This Row],[DIF_Target.]]*Tab.o1[[#This Row],[W1_PDF]]))),"")</f>
        <v/>
      </c>
      <c r="AC231" s="127" t="str">
        <f>IF(G$1=1,"",IF(Tab.o1[[#This Row],[a1]]=1,Tab.o1[[#This Row],[Wr]]^2,""))</f>
        <v/>
      </c>
      <c r="AD231" s="118" t="str">
        <f>IF(Tab.o1[[#This Row],[a1]]=1,IF(AE$3=0,"",Tab.o1[[#This Row],[Wr2]]/SUM(Tab.o1[Wr2])),"")</f>
        <v/>
      </c>
      <c r="AE231" s="128" t="str">
        <f>IF(Tab.o1[[#This Row],[a1]]=1,[1]!T.in.A[[#This Row],[oo10]],"")</f>
        <v/>
      </c>
      <c r="AF231" s="118" t="str">
        <f>IF(Tab.o1[[#This Row],[a1]]=1,ABS(Tab.o1[[#This Row],[DIF_Target.]]*Tab.o1[[#This Row],[PDF2]]*Tab.o1[[#This Row],[IN]]),"")</f>
        <v/>
      </c>
      <c r="AG231" s="129" t="str">
        <f>IF(Tab.o1[[#This Row],[a1]]=1,Tab.o1[[#This Row],[rW]]^2,"")</f>
        <v/>
      </c>
      <c r="AH231" s="130" t="str">
        <f>IF(Tab.o1[[#This Row],[a1]]=1,IF(AH$3=0,Tab.o1[[#This Row],[rW2]],0.01+0.94*Tab.o1[[#This Row],[rW2]]/SUM(Tab.o1[rW2])),"")</f>
        <v/>
      </c>
      <c r="AI231" s="128" t="str">
        <f>IF(Tab.o1[[#This Row],[a1]]=1,1/Tab.o1[[#This Row],[PDF]],"")</f>
        <v/>
      </c>
      <c r="AJ231" s="131" t="str">
        <f>IF(Tab.o1[[#This Row],[a1]]=1,[1]!T_AA[[#This Row],[IN'']]*[1]!T_AA[[#This Row],[Qde'']],"")</f>
        <v/>
      </c>
      <c r="AK231" s="132" t="str">
        <f>IF(Tab.o1[[#This Row],[a1]]=1,IF(AK$1=1,Tab.o1[[#This Row],[MED]]+Tab.o1[[#This Row],[MOD]]-Tab.o1[[#This Row],[MED]],""),"")</f>
        <v/>
      </c>
      <c r="AL231" s="133" t="str">
        <f>IF(Tab.o1[[#This Row],[a1]]=1,[1]!T.in.A[[#This Row],[oo16]],"")</f>
        <v/>
      </c>
      <c r="AM231" s="133" t="str">
        <f>IF(Tab.o1[[#This Row],[a1]]=1,IF(AM$3=1,[1]!T.in.A[[#This Row],[Σo16]],""),"")</f>
        <v/>
      </c>
      <c r="AN231" s="126" t="str">
        <f>IF(Tab.o1[[#This Row],[a1]]=1,[1]!T.in.A[[#This Row],[Σp5]],"")</f>
        <v/>
      </c>
      <c r="AO231" s="126" t="str">
        <f>IF(Tab.o1[[#This Row],[a1]]=1,IF(AO$3=1,[1]!T.in.A[[#This Row],[Σp5]],""),"")</f>
        <v/>
      </c>
      <c r="AP231" s="110" t="str">
        <f>IF(Tab.o1[[#This Row],[a1]]=1,IF(ISNUMBER(Tab.o1[[#This Row],[i.]]),NORMDIST(Tab.o1[[#This Row],[Za]],0,1,FALSE)*Tab.o1[[#This Row],[i.]],0),"")</f>
        <v/>
      </c>
      <c r="AQ231" s="125" t="str">
        <f>IF(Tab.o1[[#This Row],[a1]]=1,ABS(Tab.o1[[#This Row],[MOD]]-AVERAGE(Tab.o1[MOD])),"")</f>
        <v/>
      </c>
      <c r="AR231" s="134" t="str">
        <f>IF(Tab.o1[[#This Row],[a1]]=1,Tab.o1[[#This Row],[OBS]]/SUM(Tab.o1[OBS]),"")</f>
        <v/>
      </c>
      <c r="AS231" s="135" t="str">
        <f>IF(ISNUMBER(Tab.o1[[#This Row],[a1]]),ROW()-4,"")</f>
        <v/>
      </c>
      <c r="AT231" s="136" t="str">
        <f>Tab.o1[[#This Row],[MOD]]</f>
        <v/>
      </c>
      <c r="AU231" s="137" t="str">
        <f t="shared" si="13"/>
        <v/>
      </c>
      <c r="AV231" s="138" t="str">
        <f t="shared" si="14"/>
        <v/>
      </c>
      <c r="AW231" s="138" t="str">
        <f t="shared" si="15"/>
        <v/>
      </c>
      <c r="AX231" s="139" t="str">
        <f>[1]!T.in.A[[#This Row],[ID_T_manu]]</f>
        <v/>
      </c>
      <c r="AY231" s="140" t="str">
        <f>IF(ISNUMBER(Tab.o1[[#This Row],[a1]]),IF(AND(Tab.o1[[#This Row],[a1]]=1,Tab.o1[[#This Row],[b1]]&lt;=AY$4),#REF!,AY230),"")</f>
        <v/>
      </c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</row>
    <row r="232" spans="1:79" ht="14.25" hidden="1" customHeight="1">
      <c r="A232" s="109">
        <v>8.0000000000000013E-6</v>
      </c>
      <c r="B232" s="110">
        <f t="shared" si="12"/>
        <v>232</v>
      </c>
      <c r="C232" s="111" t="str">
        <f>IF(C$1=[1]!T.in.A[[#This Row],[oo2]],1,"")</f>
        <v/>
      </c>
      <c r="D232" s="112" t="str">
        <f>IF(Tab.o1[[#This Row],[a1]]=1,IF(SUM(C232:C233)=0,0,IF(SUM(C231:C232)=1,1,IF(SUM(C231:C233)&gt;1,D231+1,0))),"")</f>
        <v/>
      </c>
      <c r="E232" s="113" t="str">
        <f>IF(Tab.o1[[#This Row],[a1]]=1,[1]!T.in.A[[#This Row],[oo1]],"")</f>
        <v/>
      </c>
      <c r="F232" s="113" t="str">
        <f>IF(Tab.o1[[#This Row],[a1]]=1,[1]!T.in.A[[#This Row],[pp1]],"")</f>
        <v/>
      </c>
      <c r="G232" s="114" t="str">
        <f>IF(Tab.o1[[#This Row],[a1]]=1,G$2+IF(G$1=1,0,Tab.o1[[#This Row],[.x1]])+[1]!T.in.A[[#This Row],[oo3]],"")</f>
        <v/>
      </c>
      <c r="H232" s="115" t="str">
        <f>IF(Tab.o1[[#This Row],[a1]]=1,IF(H$2=0,0,IF(G$1=1,0,Tab.o1[[#This Row],[.x1]])+[1]!T.in.A[[#This Row],[oo4]]),"")</f>
        <v/>
      </c>
      <c r="I232" s="116" t="str">
        <f>IF(Tab.o1[[#This Row],[a1]]=1,IF(J$2=0,Tab.o1[[#This Row],[MED]],Tab.o1[[#This Row],[MOD]]),"")</f>
        <v/>
      </c>
      <c r="J232" s="116" t="str">
        <f>IF(Tab.o1[[#This Row],[a1]]=1,((Tab.o1[[#This Row],[DIF_Target.]]-AVERAGE(Tab.o1[DIF_Target.]))/_xlfn.STDEV.P(Tab.o1[DIF_Target.])),"")</f>
        <v/>
      </c>
      <c r="K232" s="117" t="str">
        <f>IF(Tab.o1[[#This Row],[a1]]=1,IF(J$2=0,Tab.o1[[#This Row],[MOD]]-Tab.o1[[#This Row],[B]],IF(J$2=1,0,-Tab.o1[[#This Row],[MED]])+Tab.o1[[#This Row],[B]]),"")</f>
        <v/>
      </c>
      <c r="L232" s="117" t="str">
        <f ca="1">IF(Tab.o1[[#This Row],[DIF_Target]]=0,IF(L$2=0,Tab.o1[[#This Row],[DIF_Target]],AVERAGE(OFFSET(Tab.o1[[#This Row],[DIF_Target]],1,0,L$3,1)))/3,Tab.o1[[#This Row],[DIF_Target]])</f>
        <v/>
      </c>
      <c r="M232" s="118" t="str">
        <f>IF(Tab.o1[[#This Row],[a1]]=1,NORMSDIST(Tab.o1[[#This Row],[Za]]),"")</f>
        <v/>
      </c>
      <c r="N232" s="119" t="str">
        <f>IF(Tab.o1[[#This Row],[a1]]=1,((Tab.o1[[#This Row],[MedMod]]-AVERAGE(Tab.o1[MedMod]))/_xlfn.STDEV.P(Tab.o1[MedMod])*H$1205)+G$1205,"")</f>
        <v/>
      </c>
      <c r="O232" s="141" t="str">
        <f>IF(Tab.o1[[#This Row],[a1]]=1,Tab.o1[[#This Row],[Zb]]*_xlfn.STDEV.P(Tab.o1[MedMod])+AVERAGE(Tab.o1[MedMod]),"")</f>
        <v/>
      </c>
      <c r="P232" s="117" t="str">
        <f ca="1">IF(Tab.o1[[#This Row],[B]]=0,AVERAGE(OFFSET(Tab.o1[[#This Row],[B]],1,0,L$3,1)),Tab.o1[[#This Row],[B]])</f>
        <v/>
      </c>
      <c r="Q232" s="121" t="str">
        <f>IF(Tab.o1[[#This Row],[a1]]=1,NORMSDIST(Tab.o1[[#This Row],[Zb]]),"")</f>
        <v/>
      </c>
      <c r="R232" s="122" t="str">
        <f>IF(Tab.o1[[#This Row],[a1]]=1,((Tab.o1[[#This Row],[MedMod]]-AVERAGE(Tab.o1[MedMod]))/_xlfn.STDEV.P(Tab.o1[MedMod])*H$1203)+G$1203,"")</f>
        <v/>
      </c>
      <c r="S232" s="122" t="str">
        <f>IF(Tab.o1[[#This Row],[a1]]=1,((Tab.o1[[#This Row],[MedMod]]-AVERAGE(Tab.o1[MedMod]))/_xlfn.STDEV.P(Tab.o1[MedMod])*H$1204)+G$1204,"")</f>
        <v/>
      </c>
      <c r="T232" s="123" t="str">
        <f>IF(Tab.o1[[#This Row],[a1]]=1,Tab.o1[[#This Row],[Z-]]*_xlfn.STDEV.P(Tab.o1[B])+AVERAGE(Tab.o1[B]),"")</f>
        <v/>
      </c>
      <c r="U232" s="123" t="str">
        <f>IF(Tab.o1[[#This Row],[a1]]=1,Tab.o1[[#This Row],[z+]]*_xlfn.STDEV.P(Tab.o1[B])+AVERAGE(Tab.o1[B]),"")</f>
        <v/>
      </c>
      <c r="V232" s="124" t="str">
        <f>IF(Tab.o1[[#This Row],[a1]]=1,ABS((ABS(Tab.o1[[#This Row],[Red]]-Tab.o1[[#This Row],[Blue]]))),"")</f>
        <v/>
      </c>
      <c r="W232" s="125" t="str">
        <f>IF(Tab.o1[[#This Row],[a1]]=1,IF(W$3=0,1,Tab.o1[[#This Row],[Amp.]]*1/_xlfn.MINIFS(Tab.o1[Amp.],Tab.o1[Amp.],"&lt;&gt;0")),"")</f>
        <v/>
      </c>
      <c r="X232" s="126" t="str">
        <f>IF(Tab.o1[[#This Row],[a1]]=1,IF(ISNUMBER(Tab.o1[[#This Row],[i.]]),NORMDIST(Tab.o1[[#This Row],[Za]],0,1,FALSE)*Tab.o1[[#This Row],[i.]],AP$3),"")</f>
        <v/>
      </c>
      <c r="Y232" s="126" t="str">
        <f>IF(Tab.o1[[#This Row],[a1]]=1,0.01+0.94*Tab.o1[[#This Row],[PDF]]/MAX(Tab.o1[PDF]),"")</f>
        <v/>
      </c>
      <c r="Z232" s="126" t="str">
        <f>IF(Tab.o1[[#This Row],[a1]]=1,0.01+0.94*Tab.o1[[#This Row],[W1_PDF]]/MAX(Tab.o1[W1_PDF]),"")</f>
        <v/>
      </c>
      <c r="AA232" s="118" t="str">
        <f>IF(Tab.o1[[#This Row],[a1]]=1,ABS([1]!T.in.A[[#This Row],[oo6]]),"")</f>
        <v/>
      </c>
      <c r="AB232" s="127" t="str">
        <f>IF(Tab.o1[[#This Row],[a1]]=1,IF(AE$3=0,"",IF(AB$3=0,ABS([1]!T.in.A[[#This Row],[oo9]]),ABS(Tab.o1[[#This Row],[DIF_Target.]]*Tab.o1[[#This Row],[W1_PDF]]))),"")</f>
        <v/>
      </c>
      <c r="AC232" s="127" t="str">
        <f>IF(G$1=1,"",IF(Tab.o1[[#This Row],[a1]]=1,Tab.o1[[#This Row],[Wr]]^2,""))</f>
        <v/>
      </c>
      <c r="AD232" s="118" t="str">
        <f>IF(Tab.o1[[#This Row],[a1]]=1,IF(AE$3=0,"",Tab.o1[[#This Row],[Wr2]]/SUM(Tab.o1[Wr2])),"")</f>
        <v/>
      </c>
      <c r="AE232" s="128" t="str">
        <f>IF(Tab.o1[[#This Row],[a1]]=1,[1]!T.in.A[[#This Row],[oo10]],"")</f>
        <v/>
      </c>
      <c r="AF232" s="118" t="str">
        <f>IF(Tab.o1[[#This Row],[a1]]=1,ABS(Tab.o1[[#This Row],[DIF_Target.]]*Tab.o1[[#This Row],[PDF2]]*Tab.o1[[#This Row],[IN]]),"")</f>
        <v/>
      </c>
      <c r="AG232" s="129" t="str">
        <f>IF(Tab.o1[[#This Row],[a1]]=1,Tab.o1[[#This Row],[rW]]^2,"")</f>
        <v/>
      </c>
      <c r="AH232" s="130" t="str">
        <f>IF(Tab.o1[[#This Row],[a1]]=1,IF(AH$3=0,Tab.o1[[#This Row],[rW2]],0.01+0.94*Tab.o1[[#This Row],[rW2]]/SUM(Tab.o1[rW2])),"")</f>
        <v/>
      </c>
      <c r="AI232" s="128" t="str">
        <f>IF(Tab.o1[[#This Row],[a1]]=1,1/Tab.o1[[#This Row],[PDF]],"")</f>
        <v/>
      </c>
      <c r="AJ232" s="131" t="str">
        <f>IF(Tab.o1[[#This Row],[a1]]=1,[1]!T_AA[[#This Row],[IN'']]*[1]!T_AA[[#This Row],[Qde'']],"")</f>
        <v/>
      </c>
      <c r="AK232" s="132" t="str">
        <f>IF(Tab.o1[[#This Row],[a1]]=1,IF(AK$1=1,Tab.o1[[#This Row],[MED]]+Tab.o1[[#This Row],[MOD]]-Tab.o1[[#This Row],[MED]],""),"")</f>
        <v/>
      </c>
      <c r="AL232" s="133" t="str">
        <f>IF(Tab.o1[[#This Row],[a1]]=1,[1]!T.in.A[[#This Row],[oo16]],"")</f>
        <v/>
      </c>
      <c r="AM232" s="133" t="str">
        <f>IF(Tab.o1[[#This Row],[a1]]=1,IF(AM$3=1,[1]!T.in.A[[#This Row],[Σo16]],""),"")</f>
        <v/>
      </c>
      <c r="AN232" s="126" t="str">
        <f>IF(Tab.o1[[#This Row],[a1]]=1,[1]!T.in.A[[#This Row],[Σp5]],"")</f>
        <v/>
      </c>
      <c r="AO232" s="126" t="str">
        <f>IF(Tab.o1[[#This Row],[a1]]=1,IF(AO$3=1,[1]!T.in.A[[#This Row],[Σp5]],""),"")</f>
        <v/>
      </c>
      <c r="AP232" s="110" t="str">
        <f>IF(Tab.o1[[#This Row],[a1]]=1,IF(ISNUMBER(Tab.o1[[#This Row],[i.]]),NORMDIST(Tab.o1[[#This Row],[Za]],0,1,FALSE)*Tab.o1[[#This Row],[i.]],0),"")</f>
        <v/>
      </c>
      <c r="AQ232" s="125" t="str">
        <f>IF(Tab.o1[[#This Row],[a1]]=1,ABS(Tab.o1[[#This Row],[MOD]]-AVERAGE(Tab.o1[MOD])),"")</f>
        <v/>
      </c>
      <c r="AR232" s="134" t="str">
        <f>IF(Tab.o1[[#This Row],[a1]]=1,Tab.o1[[#This Row],[OBS]]/SUM(Tab.o1[OBS]),"")</f>
        <v/>
      </c>
      <c r="AS232" s="135" t="str">
        <f>IF(ISNUMBER(Tab.o1[[#This Row],[a1]]),ROW()-4,"")</f>
        <v/>
      </c>
      <c r="AT232" s="136" t="str">
        <f>Tab.o1[[#This Row],[MOD]]</f>
        <v/>
      </c>
      <c r="AU232" s="137" t="str">
        <f t="shared" si="13"/>
        <v/>
      </c>
      <c r="AV232" s="138" t="str">
        <f t="shared" si="14"/>
        <v/>
      </c>
      <c r="AW232" s="138" t="str">
        <f t="shared" si="15"/>
        <v/>
      </c>
      <c r="AX232" s="139" t="str">
        <f>[1]!T.in.A[[#This Row],[ID_T_manu]]</f>
        <v/>
      </c>
      <c r="AY232" s="140" t="str">
        <f>IF(ISNUMBER(Tab.o1[[#This Row],[a1]]),IF(AND(Tab.o1[[#This Row],[a1]]=1,Tab.o1[[#This Row],[b1]]&lt;=AY$4),#REF!,AY231),"")</f>
        <v/>
      </c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</row>
    <row r="233" spans="1:79" ht="14.25" hidden="1" customHeight="1">
      <c r="A233" s="109">
        <v>-1.0000000000000001E-5</v>
      </c>
      <c r="B233" s="110">
        <f t="shared" si="12"/>
        <v>233</v>
      </c>
      <c r="C233" s="111" t="str">
        <f>IF(C$1=[1]!T.in.A[[#This Row],[oo2]],1,"")</f>
        <v/>
      </c>
      <c r="D233" s="112" t="str">
        <f>IF(Tab.o1[[#This Row],[a1]]=1,IF(SUM(C233:C234)=0,0,IF(SUM(C232:C233)=1,1,IF(SUM(C232:C234)&gt;1,D232+1,0))),"")</f>
        <v/>
      </c>
      <c r="E233" s="113" t="str">
        <f>IF(Tab.o1[[#This Row],[a1]]=1,[1]!T.in.A[[#This Row],[oo1]],"")</f>
        <v/>
      </c>
      <c r="F233" s="113" t="str">
        <f>IF(Tab.o1[[#This Row],[a1]]=1,[1]!T.in.A[[#This Row],[pp1]],"")</f>
        <v/>
      </c>
      <c r="G233" s="114" t="str">
        <f>IF(Tab.o1[[#This Row],[a1]]=1,G$2+IF(G$1=1,0,Tab.o1[[#This Row],[.x1]])+[1]!T.in.A[[#This Row],[oo3]],"")</f>
        <v/>
      </c>
      <c r="H233" s="115" t="str">
        <f>IF(Tab.o1[[#This Row],[a1]]=1,IF(H$2=0,0,IF(G$1=1,0,Tab.o1[[#This Row],[.x1]])+[1]!T.in.A[[#This Row],[oo4]]),"")</f>
        <v/>
      </c>
      <c r="I233" s="116" t="str">
        <f>IF(Tab.o1[[#This Row],[a1]]=1,IF(J$2=0,Tab.o1[[#This Row],[MED]],Tab.o1[[#This Row],[MOD]]),"")</f>
        <v/>
      </c>
      <c r="J233" s="116" t="str">
        <f>IF(Tab.o1[[#This Row],[a1]]=1,((Tab.o1[[#This Row],[DIF_Target.]]-AVERAGE(Tab.o1[DIF_Target.]))/_xlfn.STDEV.P(Tab.o1[DIF_Target.])),"")</f>
        <v/>
      </c>
      <c r="K233" s="117" t="str">
        <f>IF(Tab.o1[[#This Row],[a1]]=1,IF(J$2=0,Tab.o1[[#This Row],[MOD]]-Tab.o1[[#This Row],[B]],IF(J$2=1,0,-Tab.o1[[#This Row],[MED]])+Tab.o1[[#This Row],[B]]),"")</f>
        <v/>
      </c>
      <c r="L233" s="117" t="str">
        <f ca="1">IF(Tab.o1[[#This Row],[DIF_Target]]=0,IF(L$2=0,Tab.o1[[#This Row],[DIF_Target]],AVERAGE(OFFSET(Tab.o1[[#This Row],[DIF_Target]],1,0,L$3,1)))/3,Tab.o1[[#This Row],[DIF_Target]])</f>
        <v/>
      </c>
      <c r="M233" s="118" t="str">
        <f>IF(Tab.o1[[#This Row],[a1]]=1,NORMSDIST(Tab.o1[[#This Row],[Za]]),"")</f>
        <v/>
      </c>
      <c r="N233" s="119" t="str">
        <f>IF(Tab.o1[[#This Row],[a1]]=1,((Tab.o1[[#This Row],[MedMod]]-AVERAGE(Tab.o1[MedMod]))/_xlfn.STDEV.P(Tab.o1[MedMod])*H$1205)+G$1205,"")</f>
        <v/>
      </c>
      <c r="O233" s="141" t="str">
        <f>IF(Tab.o1[[#This Row],[a1]]=1,Tab.o1[[#This Row],[Zb]]*_xlfn.STDEV.P(Tab.o1[MedMod])+AVERAGE(Tab.o1[MedMod]),"")</f>
        <v/>
      </c>
      <c r="P233" s="117" t="str">
        <f ca="1">IF(Tab.o1[[#This Row],[B]]=0,AVERAGE(OFFSET(Tab.o1[[#This Row],[B]],1,0,L$3,1)),Tab.o1[[#This Row],[B]])</f>
        <v/>
      </c>
      <c r="Q233" s="121" t="str">
        <f>IF(Tab.o1[[#This Row],[a1]]=1,NORMSDIST(Tab.o1[[#This Row],[Zb]]),"")</f>
        <v/>
      </c>
      <c r="R233" s="122" t="str">
        <f>IF(Tab.o1[[#This Row],[a1]]=1,((Tab.o1[[#This Row],[MedMod]]-AVERAGE(Tab.o1[MedMod]))/_xlfn.STDEV.P(Tab.o1[MedMod])*H$1203)+G$1203,"")</f>
        <v/>
      </c>
      <c r="S233" s="122" t="str">
        <f>IF(Tab.o1[[#This Row],[a1]]=1,((Tab.o1[[#This Row],[MedMod]]-AVERAGE(Tab.o1[MedMod]))/_xlfn.STDEV.P(Tab.o1[MedMod])*H$1204)+G$1204,"")</f>
        <v/>
      </c>
      <c r="T233" s="123" t="str">
        <f>IF(Tab.o1[[#This Row],[a1]]=1,Tab.o1[[#This Row],[Z-]]*_xlfn.STDEV.P(Tab.o1[B])+AVERAGE(Tab.o1[B]),"")</f>
        <v/>
      </c>
      <c r="U233" s="123" t="str">
        <f>IF(Tab.o1[[#This Row],[a1]]=1,Tab.o1[[#This Row],[z+]]*_xlfn.STDEV.P(Tab.o1[B])+AVERAGE(Tab.o1[B]),"")</f>
        <v/>
      </c>
      <c r="V233" s="124" t="str">
        <f>IF(Tab.o1[[#This Row],[a1]]=1,ABS((ABS(Tab.o1[[#This Row],[Red]]-Tab.o1[[#This Row],[Blue]]))),"")</f>
        <v/>
      </c>
      <c r="W233" s="125" t="str">
        <f>IF(Tab.o1[[#This Row],[a1]]=1,IF(W$3=0,1,Tab.o1[[#This Row],[Amp.]]*1/_xlfn.MINIFS(Tab.o1[Amp.],Tab.o1[Amp.],"&lt;&gt;0")),"")</f>
        <v/>
      </c>
      <c r="X233" s="126" t="str">
        <f>IF(Tab.o1[[#This Row],[a1]]=1,IF(ISNUMBER(Tab.o1[[#This Row],[i.]]),NORMDIST(Tab.o1[[#This Row],[Za]],0,1,FALSE)*Tab.o1[[#This Row],[i.]],AP$3),"")</f>
        <v/>
      </c>
      <c r="Y233" s="126" t="str">
        <f>IF(Tab.o1[[#This Row],[a1]]=1,0.01+0.94*Tab.o1[[#This Row],[PDF]]/MAX(Tab.o1[PDF]),"")</f>
        <v/>
      </c>
      <c r="Z233" s="126" t="str">
        <f>IF(Tab.o1[[#This Row],[a1]]=1,0.01+0.94*Tab.o1[[#This Row],[W1_PDF]]/MAX(Tab.o1[W1_PDF]),"")</f>
        <v/>
      </c>
      <c r="AA233" s="118" t="str">
        <f>IF(Tab.o1[[#This Row],[a1]]=1,ABS([1]!T.in.A[[#This Row],[oo6]]),"")</f>
        <v/>
      </c>
      <c r="AB233" s="127" t="str">
        <f>IF(Tab.o1[[#This Row],[a1]]=1,IF(AE$3=0,"",IF(AB$3=0,ABS([1]!T.in.A[[#This Row],[oo9]]),ABS(Tab.o1[[#This Row],[DIF_Target.]]*Tab.o1[[#This Row],[W1_PDF]]))),"")</f>
        <v/>
      </c>
      <c r="AC233" s="127" t="str">
        <f>IF(G$1=1,"",IF(Tab.o1[[#This Row],[a1]]=1,Tab.o1[[#This Row],[Wr]]^2,""))</f>
        <v/>
      </c>
      <c r="AD233" s="118" t="str">
        <f>IF(Tab.o1[[#This Row],[a1]]=1,IF(AE$3=0,"",Tab.o1[[#This Row],[Wr2]]/SUM(Tab.o1[Wr2])),"")</f>
        <v/>
      </c>
      <c r="AE233" s="128" t="str">
        <f>IF(Tab.o1[[#This Row],[a1]]=1,[1]!T.in.A[[#This Row],[oo10]],"")</f>
        <v/>
      </c>
      <c r="AF233" s="118" t="str">
        <f>IF(Tab.o1[[#This Row],[a1]]=1,ABS(Tab.o1[[#This Row],[DIF_Target.]]*Tab.o1[[#This Row],[PDF2]]*Tab.o1[[#This Row],[IN]]),"")</f>
        <v/>
      </c>
      <c r="AG233" s="129" t="str">
        <f>IF(Tab.o1[[#This Row],[a1]]=1,Tab.o1[[#This Row],[rW]]^2,"")</f>
        <v/>
      </c>
      <c r="AH233" s="130" t="str">
        <f>IF(Tab.o1[[#This Row],[a1]]=1,IF(AH$3=0,Tab.o1[[#This Row],[rW2]],0.01+0.94*Tab.o1[[#This Row],[rW2]]/SUM(Tab.o1[rW2])),"")</f>
        <v/>
      </c>
      <c r="AI233" s="128" t="str">
        <f>IF(Tab.o1[[#This Row],[a1]]=1,1/Tab.o1[[#This Row],[PDF]],"")</f>
        <v/>
      </c>
      <c r="AJ233" s="131" t="str">
        <f>IF(Tab.o1[[#This Row],[a1]]=1,[1]!T_AA[[#This Row],[IN'']]*[1]!T_AA[[#This Row],[Qde'']],"")</f>
        <v/>
      </c>
      <c r="AK233" s="132" t="str">
        <f>IF(Tab.o1[[#This Row],[a1]]=1,IF(AK$1=1,Tab.o1[[#This Row],[MED]]+Tab.o1[[#This Row],[MOD]]-Tab.o1[[#This Row],[MED]],""),"")</f>
        <v/>
      </c>
      <c r="AL233" s="133" t="str">
        <f>IF(Tab.o1[[#This Row],[a1]]=1,[1]!T.in.A[[#This Row],[oo16]],"")</f>
        <v/>
      </c>
      <c r="AM233" s="133" t="str">
        <f>IF(Tab.o1[[#This Row],[a1]]=1,IF(AM$3=1,[1]!T.in.A[[#This Row],[Σo16]],""),"")</f>
        <v/>
      </c>
      <c r="AN233" s="126" t="str">
        <f>IF(Tab.o1[[#This Row],[a1]]=1,[1]!T.in.A[[#This Row],[Σp5]],"")</f>
        <v/>
      </c>
      <c r="AO233" s="126" t="str">
        <f>IF(Tab.o1[[#This Row],[a1]]=1,IF(AO$3=1,[1]!T.in.A[[#This Row],[Σp5]],""),"")</f>
        <v/>
      </c>
      <c r="AP233" s="110" t="str">
        <f>IF(Tab.o1[[#This Row],[a1]]=1,IF(ISNUMBER(Tab.o1[[#This Row],[i.]]),NORMDIST(Tab.o1[[#This Row],[Za]],0,1,FALSE)*Tab.o1[[#This Row],[i.]],0),"")</f>
        <v/>
      </c>
      <c r="AQ233" s="125" t="str">
        <f>IF(Tab.o1[[#This Row],[a1]]=1,ABS(Tab.o1[[#This Row],[MOD]]-AVERAGE(Tab.o1[MOD])),"")</f>
        <v/>
      </c>
      <c r="AR233" s="134" t="str">
        <f>IF(Tab.o1[[#This Row],[a1]]=1,Tab.o1[[#This Row],[OBS]]/SUM(Tab.o1[OBS]),"")</f>
        <v/>
      </c>
      <c r="AS233" s="135" t="str">
        <f>IF(ISNUMBER(Tab.o1[[#This Row],[a1]]),ROW()-4,"")</f>
        <v/>
      </c>
      <c r="AT233" s="136" t="str">
        <f>Tab.o1[[#This Row],[MOD]]</f>
        <v/>
      </c>
      <c r="AU233" s="137" t="str">
        <f t="shared" si="13"/>
        <v/>
      </c>
      <c r="AV233" s="138" t="str">
        <f t="shared" si="14"/>
        <v/>
      </c>
      <c r="AW233" s="138" t="str">
        <f t="shared" si="15"/>
        <v/>
      </c>
      <c r="AX233" s="139" t="str">
        <f>[1]!T.in.A[[#This Row],[ID_T_manu]]</f>
        <v/>
      </c>
      <c r="AY233" s="140" t="str">
        <f>IF(ISNUMBER(Tab.o1[[#This Row],[a1]]),IF(AND(Tab.o1[[#This Row],[a1]]=1,Tab.o1[[#This Row],[b1]]&lt;=AY$4),#REF!,AY232),"")</f>
        <v/>
      </c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</row>
    <row r="234" spans="1:79" ht="14.25" hidden="1" customHeight="1">
      <c r="A234" s="109">
        <v>1.0000000000000002E-6</v>
      </c>
      <c r="B234" s="110">
        <f t="shared" si="12"/>
        <v>234</v>
      </c>
      <c r="C234" s="111" t="str">
        <f>IF(C$1=[1]!T.in.A[[#This Row],[oo2]],1,"")</f>
        <v/>
      </c>
      <c r="D234" s="112" t="str">
        <f>IF(Tab.o1[[#This Row],[a1]]=1,IF(SUM(C234:C235)=0,0,IF(SUM(C233:C234)=1,1,IF(SUM(C233:C235)&gt;1,D233+1,0))),"")</f>
        <v/>
      </c>
      <c r="E234" s="113" t="str">
        <f>IF(Tab.o1[[#This Row],[a1]]=1,[1]!T.in.A[[#This Row],[oo1]],"")</f>
        <v/>
      </c>
      <c r="F234" s="113" t="str">
        <f>IF(Tab.o1[[#This Row],[a1]]=1,[1]!T.in.A[[#This Row],[pp1]],"")</f>
        <v/>
      </c>
      <c r="G234" s="114" t="str">
        <f>IF(Tab.o1[[#This Row],[a1]]=1,G$2+IF(G$1=1,0,Tab.o1[[#This Row],[.x1]])+[1]!T.in.A[[#This Row],[oo3]],"")</f>
        <v/>
      </c>
      <c r="H234" s="115" t="str">
        <f>IF(Tab.o1[[#This Row],[a1]]=1,IF(H$2=0,0,IF(G$1=1,0,Tab.o1[[#This Row],[.x1]])+[1]!T.in.A[[#This Row],[oo4]]),"")</f>
        <v/>
      </c>
      <c r="I234" s="116" t="str">
        <f>IF(Tab.o1[[#This Row],[a1]]=1,IF(J$2=0,Tab.o1[[#This Row],[MED]],Tab.o1[[#This Row],[MOD]]),"")</f>
        <v/>
      </c>
      <c r="J234" s="116" t="str">
        <f>IF(Tab.o1[[#This Row],[a1]]=1,((Tab.o1[[#This Row],[DIF_Target.]]-AVERAGE(Tab.o1[DIF_Target.]))/_xlfn.STDEV.P(Tab.o1[DIF_Target.])),"")</f>
        <v/>
      </c>
      <c r="K234" s="117" t="str">
        <f>IF(Tab.o1[[#This Row],[a1]]=1,IF(J$2=0,Tab.o1[[#This Row],[MOD]]-Tab.o1[[#This Row],[B]],IF(J$2=1,0,-Tab.o1[[#This Row],[MED]])+Tab.o1[[#This Row],[B]]),"")</f>
        <v/>
      </c>
      <c r="L234" s="117" t="str">
        <f ca="1">IF(Tab.o1[[#This Row],[DIF_Target]]=0,IF(L$2=0,Tab.o1[[#This Row],[DIF_Target]],AVERAGE(OFFSET(Tab.o1[[#This Row],[DIF_Target]],1,0,L$3,1)))/3,Tab.o1[[#This Row],[DIF_Target]])</f>
        <v/>
      </c>
      <c r="M234" s="118" t="str">
        <f>IF(Tab.o1[[#This Row],[a1]]=1,NORMSDIST(Tab.o1[[#This Row],[Za]]),"")</f>
        <v/>
      </c>
      <c r="N234" s="119" t="str">
        <f>IF(Tab.o1[[#This Row],[a1]]=1,((Tab.o1[[#This Row],[MedMod]]-AVERAGE(Tab.o1[MedMod]))/_xlfn.STDEV.P(Tab.o1[MedMod])*H$1205)+G$1205,"")</f>
        <v/>
      </c>
      <c r="O234" s="141" t="str">
        <f>IF(Tab.o1[[#This Row],[a1]]=1,Tab.o1[[#This Row],[Zb]]*_xlfn.STDEV.P(Tab.o1[MedMod])+AVERAGE(Tab.o1[MedMod]),"")</f>
        <v/>
      </c>
      <c r="P234" s="117" t="str">
        <f ca="1">IF(Tab.o1[[#This Row],[B]]=0,AVERAGE(OFFSET(Tab.o1[[#This Row],[B]],1,0,L$3,1)),Tab.o1[[#This Row],[B]])</f>
        <v/>
      </c>
      <c r="Q234" s="121" t="str">
        <f>IF(Tab.o1[[#This Row],[a1]]=1,NORMSDIST(Tab.o1[[#This Row],[Zb]]),"")</f>
        <v/>
      </c>
      <c r="R234" s="122" t="str">
        <f>IF(Tab.o1[[#This Row],[a1]]=1,((Tab.o1[[#This Row],[MedMod]]-AVERAGE(Tab.o1[MedMod]))/_xlfn.STDEV.P(Tab.o1[MedMod])*H$1203)+G$1203,"")</f>
        <v/>
      </c>
      <c r="S234" s="122" t="str">
        <f>IF(Tab.o1[[#This Row],[a1]]=1,((Tab.o1[[#This Row],[MedMod]]-AVERAGE(Tab.o1[MedMod]))/_xlfn.STDEV.P(Tab.o1[MedMod])*H$1204)+G$1204,"")</f>
        <v/>
      </c>
      <c r="T234" s="123" t="str">
        <f>IF(Tab.o1[[#This Row],[a1]]=1,Tab.o1[[#This Row],[Z-]]*_xlfn.STDEV.P(Tab.o1[B])+AVERAGE(Tab.o1[B]),"")</f>
        <v/>
      </c>
      <c r="U234" s="123" t="str">
        <f>IF(Tab.o1[[#This Row],[a1]]=1,Tab.o1[[#This Row],[z+]]*_xlfn.STDEV.P(Tab.o1[B])+AVERAGE(Tab.o1[B]),"")</f>
        <v/>
      </c>
      <c r="V234" s="124" t="str">
        <f>IF(Tab.o1[[#This Row],[a1]]=1,ABS((ABS(Tab.o1[[#This Row],[Red]]-Tab.o1[[#This Row],[Blue]]))),"")</f>
        <v/>
      </c>
      <c r="W234" s="125" t="str">
        <f>IF(Tab.o1[[#This Row],[a1]]=1,IF(W$3=0,1,Tab.o1[[#This Row],[Amp.]]*1/_xlfn.MINIFS(Tab.o1[Amp.],Tab.o1[Amp.],"&lt;&gt;0")),"")</f>
        <v/>
      </c>
      <c r="X234" s="126" t="str">
        <f>IF(Tab.o1[[#This Row],[a1]]=1,IF(ISNUMBER(Tab.o1[[#This Row],[i.]]),NORMDIST(Tab.o1[[#This Row],[Za]],0,1,FALSE)*Tab.o1[[#This Row],[i.]],AP$3),"")</f>
        <v/>
      </c>
      <c r="Y234" s="126" t="str">
        <f>IF(Tab.o1[[#This Row],[a1]]=1,0.01+0.94*Tab.o1[[#This Row],[PDF]]/MAX(Tab.o1[PDF]),"")</f>
        <v/>
      </c>
      <c r="Z234" s="126" t="str">
        <f>IF(Tab.o1[[#This Row],[a1]]=1,0.01+0.94*Tab.o1[[#This Row],[W1_PDF]]/MAX(Tab.o1[W1_PDF]),"")</f>
        <v/>
      </c>
      <c r="AA234" s="118" t="str">
        <f>IF(Tab.o1[[#This Row],[a1]]=1,ABS([1]!T.in.A[[#This Row],[oo6]]),"")</f>
        <v/>
      </c>
      <c r="AB234" s="127" t="str">
        <f>IF(Tab.o1[[#This Row],[a1]]=1,IF(AE$3=0,"",IF(AB$3=0,ABS([1]!T.in.A[[#This Row],[oo9]]),ABS(Tab.o1[[#This Row],[DIF_Target.]]*Tab.o1[[#This Row],[W1_PDF]]))),"")</f>
        <v/>
      </c>
      <c r="AC234" s="127" t="str">
        <f>IF(G$1=1,"",IF(Tab.o1[[#This Row],[a1]]=1,Tab.o1[[#This Row],[Wr]]^2,""))</f>
        <v/>
      </c>
      <c r="AD234" s="118" t="str">
        <f>IF(Tab.o1[[#This Row],[a1]]=1,IF(AE$3=0,"",Tab.o1[[#This Row],[Wr2]]/SUM(Tab.o1[Wr2])),"")</f>
        <v/>
      </c>
      <c r="AE234" s="128" t="str">
        <f>IF(Tab.o1[[#This Row],[a1]]=1,[1]!T.in.A[[#This Row],[oo10]],"")</f>
        <v/>
      </c>
      <c r="AF234" s="118" t="str">
        <f>IF(Tab.o1[[#This Row],[a1]]=1,ABS(Tab.o1[[#This Row],[DIF_Target.]]*Tab.o1[[#This Row],[PDF2]]*Tab.o1[[#This Row],[IN]]),"")</f>
        <v/>
      </c>
      <c r="AG234" s="129" t="str">
        <f>IF(Tab.o1[[#This Row],[a1]]=1,Tab.o1[[#This Row],[rW]]^2,"")</f>
        <v/>
      </c>
      <c r="AH234" s="130" t="str">
        <f>IF(Tab.o1[[#This Row],[a1]]=1,IF(AH$3=0,Tab.o1[[#This Row],[rW2]],0.01+0.94*Tab.o1[[#This Row],[rW2]]/SUM(Tab.o1[rW2])),"")</f>
        <v/>
      </c>
      <c r="AI234" s="128" t="str">
        <f>IF(Tab.o1[[#This Row],[a1]]=1,1/Tab.o1[[#This Row],[PDF]],"")</f>
        <v/>
      </c>
      <c r="AJ234" s="131" t="str">
        <f>IF(Tab.o1[[#This Row],[a1]]=1,[1]!T_AA[[#This Row],[IN'']]*[1]!T_AA[[#This Row],[Qde'']],"")</f>
        <v/>
      </c>
      <c r="AK234" s="132" t="str">
        <f>IF(Tab.o1[[#This Row],[a1]]=1,IF(AK$1=1,Tab.o1[[#This Row],[MED]]+Tab.o1[[#This Row],[MOD]]-Tab.o1[[#This Row],[MED]],""),"")</f>
        <v/>
      </c>
      <c r="AL234" s="133" t="str">
        <f>IF(Tab.o1[[#This Row],[a1]]=1,[1]!T.in.A[[#This Row],[oo16]],"")</f>
        <v/>
      </c>
      <c r="AM234" s="133" t="str">
        <f>IF(Tab.o1[[#This Row],[a1]]=1,IF(AM$3=1,[1]!T.in.A[[#This Row],[Σo16]],""),"")</f>
        <v/>
      </c>
      <c r="AN234" s="126" t="str">
        <f>IF(Tab.o1[[#This Row],[a1]]=1,[1]!T.in.A[[#This Row],[Σp5]],"")</f>
        <v/>
      </c>
      <c r="AO234" s="126" t="str">
        <f>IF(Tab.o1[[#This Row],[a1]]=1,IF(AO$3=1,[1]!T.in.A[[#This Row],[Σp5]],""),"")</f>
        <v/>
      </c>
      <c r="AP234" s="110" t="str">
        <f>IF(Tab.o1[[#This Row],[a1]]=1,IF(ISNUMBER(Tab.o1[[#This Row],[i.]]),NORMDIST(Tab.o1[[#This Row],[Za]],0,1,FALSE)*Tab.o1[[#This Row],[i.]],0),"")</f>
        <v/>
      </c>
      <c r="AQ234" s="125" t="str">
        <f>IF(Tab.o1[[#This Row],[a1]]=1,ABS(Tab.o1[[#This Row],[MOD]]-AVERAGE(Tab.o1[MOD])),"")</f>
        <v/>
      </c>
      <c r="AR234" s="134" t="str">
        <f>IF(Tab.o1[[#This Row],[a1]]=1,Tab.o1[[#This Row],[OBS]]/SUM(Tab.o1[OBS]),"")</f>
        <v/>
      </c>
      <c r="AS234" s="135" t="str">
        <f>IF(ISNUMBER(Tab.o1[[#This Row],[a1]]),ROW()-4,"")</f>
        <v/>
      </c>
      <c r="AT234" s="136" t="str">
        <f>Tab.o1[[#This Row],[MOD]]</f>
        <v/>
      </c>
      <c r="AU234" s="137" t="str">
        <f t="shared" si="13"/>
        <v/>
      </c>
      <c r="AV234" s="138" t="str">
        <f t="shared" si="14"/>
        <v/>
      </c>
      <c r="AW234" s="138" t="str">
        <f t="shared" si="15"/>
        <v/>
      </c>
      <c r="AX234" s="139" t="str">
        <f>[1]!T.in.A[[#This Row],[ID_T_manu]]</f>
        <v/>
      </c>
      <c r="AY234" s="140" t="str">
        <f>IF(ISNUMBER(Tab.o1[[#This Row],[a1]]),IF(AND(Tab.o1[[#This Row],[a1]]=1,Tab.o1[[#This Row],[b1]]&lt;=AY$4),#REF!,AY233),"")</f>
        <v/>
      </c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</row>
    <row r="235" spans="1:79" ht="14.25" hidden="1" customHeight="1">
      <c r="A235" s="109">
        <v>6.9999999999999999E-6</v>
      </c>
      <c r="B235" s="110">
        <f t="shared" si="12"/>
        <v>235</v>
      </c>
      <c r="C235" s="111" t="str">
        <f>IF(C$1=[1]!T.in.A[[#This Row],[oo2]],1,"")</f>
        <v/>
      </c>
      <c r="D235" s="112" t="str">
        <f>IF(Tab.o1[[#This Row],[a1]]=1,IF(SUM(C235:C236)=0,0,IF(SUM(C234:C235)=1,1,IF(SUM(C234:C236)&gt;1,D234+1,0))),"")</f>
        <v/>
      </c>
      <c r="E235" s="113" t="str">
        <f>IF(Tab.o1[[#This Row],[a1]]=1,[1]!T.in.A[[#This Row],[oo1]],"")</f>
        <v/>
      </c>
      <c r="F235" s="113" t="str">
        <f>IF(Tab.o1[[#This Row],[a1]]=1,[1]!T.in.A[[#This Row],[pp1]],"")</f>
        <v/>
      </c>
      <c r="G235" s="114" t="str">
        <f>IF(Tab.o1[[#This Row],[a1]]=1,G$2+IF(G$1=1,0,Tab.o1[[#This Row],[.x1]])+[1]!T.in.A[[#This Row],[oo3]],"")</f>
        <v/>
      </c>
      <c r="H235" s="115" t="str">
        <f>IF(Tab.o1[[#This Row],[a1]]=1,IF(H$2=0,0,IF(G$1=1,0,Tab.o1[[#This Row],[.x1]])+[1]!T.in.A[[#This Row],[oo4]]),"")</f>
        <v/>
      </c>
      <c r="I235" s="116" t="str">
        <f>IF(Tab.o1[[#This Row],[a1]]=1,IF(J$2=0,Tab.o1[[#This Row],[MED]],Tab.o1[[#This Row],[MOD]]),"")</f>
        <v/>
      </c>
      <c r="J235" s="116" t="str">
        <f>IF(Tab.o1[[#This Row],[a1]]=1,((Tab.o1[[#This Row],[DIF_Target.]]-AVERAGE(Tab.o1[DIF_Target.]))/_xlfn.STDEV.P(Tab.o1[DIF_Target.])),"")</f>
        <v/>
      </c>
      <c r="K235" s="117" t="str">
        <f>IF(Tab.o1[[#This Row],[a1]]=1,IF(J$2=0,Tab.o1[[#This Row],[MOD]]-Tab.o1[[#This Row],[B]],IF(J$2=1,0,-Tab.o1[[#This Row],[MED]])+Tab.o1[[#This Row],[B]]),"")</f>
        <v/>
      </c>
      <c r="L235" s="117" t="str">
        <f ca="1">IF(Tab.o1[[#This Row],[DIF_Target]]=0,IF(L$2=0,Tab.o1[[#This Row],[DIF_Target]],AVERAGE(OFFSET(Tab.o1[[#This Row],[DIF_Target]],1,0,L$3,1)))/3,Tab.o1[[#This Row],[DIF_Target]])</f>
        <v/>
      </c>
      <c r="M235" s="118" t="str">
        <f>IF(Tab.o1[[#This Row],[a1]]=1,NORMSDIST(Tab.o1[[#This Row],[Za]]),"")</f>
        <v/>
      </c>
      <c r="N235" s="119" t="str">
        <f>IF(Tab.o1[[#This Row],[a1]]=1,((Tab.o1[[#This Row],[MedMod]]-AVERAGE(Tab.o1[MedMod]))/_xlfn.STDEV.P(Tab.o1[MedMod])*H$1205)+G$1205,"")</f>
        <v/>
      </c>
      <c r="O235" s="141" t="str">
        <f>IF(Tab.o1[[#This Row],[a1]]=1,Tab.o1[[#This Row],[Zb]]*_xlfn.STDEV.P(Tab.o1[MedMod])+AVERAGE(Tab.o1[MedMod]),"")</f>
        <v/>
      </c>
      <c r="P235" s="117" t="str">
        <f ca="1">IF(Tab.o1[[#This Row],[B]]=0,AVERAGE(OFFSET(Tab.o1[[#This Row],[B]],1,0,L$3,1)),Tab.o1[[#This Row],[B]])</f>
        <v/>
      </c>
      <c r="Q235" s="121" t="str">
        <f>IF(Tab.o1[[#This Row],[a1]]=1,NORMSDIST(Tab.o1[[#This Row],[Zb]]),"")</f>
        <v/>
      </c>
      <c r="R235" s="122" t="str">
        <f>IF(Tab.o1[[#This Row],[a1]]=1,((Tab.o1[[#This Row],[MedMod]]-AVERAGE(Tab.o1[MedMod]))/_xlfn.STDEV.P(Tab.o1[MedMod])*H$1203)+G$1203,"")</f>
        <v/>
      </c>
      <c r="S235" s="122" t="str">
        <f>IF(Tab.o1[[#This Row],[a1]]=1,((Tab.o1[[#This Row],[MedMod]]-AVERAGE(Tab.o1[MedMod]))/_xlfn.STDEV.P(Tab.o1[MedMod])*H$1204)+G$1204,"")</f>
        <v/>
      </c>
      <c r="T235" s="123" t="str">
        <f>IF(Tab.o1[[#This Row],[a1]]=1,Tab.o1[[#This Row],[Z-]]*_xlfn.STDEV.P(Tab.o1[B])+AVERAGE(Tab.o1[B]),"")</f>
        <v/>
      </c>
      <c r="U235" s="123" t="str">
        <f>IF(Tab.o1[[#This Row],[a1]]=1,Tab.o1[[#This Row],[z+]]*_xlfn.STDEV.P(Tab.o1[B])+AVERAGE(Tab.o1[B]),"")</f>
        <v/>
      </c>
      <c r="V235" s="124" t="str">
        <f>IF(Tab.o1[[#This Row],[a1]]=1,ABS((ABS(Tab.o1[[#This Row],[Red]]-Tab.o1[[#This Row],[Blue]]))),"")</f>
        <v/>
      </c>
      <c r="W235" s="125" t="str">
        <f>IF(Tab.o1[[#This Row],[a1]]=1,IF(W$3=0,1,Tab.o1[[#This Row],[Amp.]]*1/_xlfn.MINIFS(Tab.o1[Amp.],Tab.o1[Amp.],"&lt;&gt;0")),"")</f>
        <v/>
      </c>
      <c r="X235" s="126" t="str">
        <f>IF(Tab.o1[[#This Row],[a1]]=1,IF(ISNUMBER(Tab.o1[[#This Row],[i.]]),NORMDIST(Tab.o1[[#This Row],[Za]],0,1,FALSE)*Tab.o1[[#This Row],[i.]],AP$3),"")</f>
        <v/>
      </c>
      <c r="Y235" s="126" t="str">
        <f>IF(Tab.o1[[#This Row],[a1]]=1,0.01+0.94*Tab.o1[[#This Row],[PDF]]/MAX(Tab.o1[PDF]),"")</f>
        <v/>
      </c>
      <c r="Z235" s="126" t="str">
        <f>IF(Tab.o1[[#This Row],[a1]]=1,0.01+0.94*Tab.o1[[#This Row],[W1_PDF]]/MAX(Tab.o1[W1_PDF]),"")</f>
        <v/>
      </c>
      <c r="AA235" s="118" t="str">
        <f>IF(Tab.o1[[#This Row],[a1]]=1,ABS([1]!T.in.A[[#This Row],[oo6]]),"")</f>
        <v/>
      </c>
      <c r="AB235" s="127" t="str">
        <f>IF(Tab.o1[[#This Row],[a1]]=1,IF(AE$3=0,"",IF(AB$3=0,ABS([1]!T.in.A[[#This Row],[oo9]]),ABS(Tab.o1[[#This Row],[DIF_Target.]]*Tab.o1[[#This Row],[W1_PDF]]))),"")</f>
        <v/>
      </c>
      <c r="AC235" s="127" t="str">
        <f>IF(G$1=1,"",IF(Tab.o1[[#This Row],[a1]]=1,Tab.o1[[#This Row],[Wr]]^2,""))</f>
        <v/>
      </c>
      <c r="AD235" s="118" t="str">
        <f>IF(Tab.o1[[#This Row],[a1]]=1,IF(AE$3=0,"",Tab.o1[[#This Row],[Wr2]]/SUM(Tab.o1[Wr2])),"")</f>
        <v/>
      </c>
      <c r="AE235" s="128" t="str">
        <f>IF(Tab.o1[[#This Row],[a1]]=1,[1]!T.in.A[[#This Row],[oo10]],"")</f>
        <v/>
      </c>
      <c r="AF235" s="118" t="str">
        <f>IF(Tab.o1[[#This Row],[a1]]=1,ABS(Tab.o1[[#This Row],[DIF_Target.]]*Tab.o1[[#This Row],[PDF2]]*Tab.o1[[#This Row],[IN]]),"")</f>
        <v/>
      </c>
      <c r="AG235" s="129" t="str">
        <f>IF(Tab.o1[[#This Row],[a1]]=1,Tab.o1[[#This Row],[rW]]^2,"")</f>
        <v/>
      </c>
      <c r="AH235" s="130" t="str">
        <f>IF(Tab.o1[[#This Row],[a1]]=1,IF(AH$3=0,Tab.o1[[#This Row],[rW2]],0.01+0.94*Tab.o1[[#This Row],[rW2]]/SUM(Tab.o1[rW2])),"")</f>
        <v/>
      </c>
      <c r="AI235" s="128" t="str">
        <f>IF(Tab.o1[[#This Row],[a1]]=1,1/Tab.o1[[#This Row],[PDF]],"")</f>
        <v/>
      </c>
      <c r="AJ235" s="131" t="str">
        <f>IF(Tab.o1[[#This Row],[a1]]=1,[1]!T_AA[[#This Row],[IN'']]*[1]!T_AA[[#This Row],[Qde'']],"")</f>
        <v/>
      </c>
      <c r="AK235" s="132" t="str">
        <f>IF(Tab.o1[[#This Row],[a1]]=1,IF(AK$1=1,Tab.o1[[#This Row],[MED]]+Tab.o1[[#This Row],[MOD]]-Tab.o1[[#This Row],[MED]],""),"")</f>
        <v/>
      </c>
      <c r="AL235" s="133" t="str">
        <f>IF(Tab.o1[[#This Row],[a1]]=1,[1]!T.in.A[[#This Row],[oo16]],"")</f>
        <v/>
      </c>
      <c r="AM235" s="133" t="str">
        <f>IF(Tab.o1[[#This Row],[a1]]=1,IF(AM$3=1,[1]!T.in.A[[#This Row],[Σo16]],""),"")</f>
        <v/>
      </c>
      <c r="AN235" s="126" t="str">
        <f>IF(Tab.o1[[#This Row],[a1]]=1,[1]!T.in.A[[#This Row],[Σp5]],"")</f>
        <v/>
      </c>
      <c r="AO235" s="126" t="str">
        <f>IF(Tab.o1[[#This Row],[a1]]=1,IF(AO$3=1,[1]!T.in.A[[#This Row],[Σp5]],""),"")</f>
        <v/>
      </c>
      <c r="AP235" s="110" t="str">
        <f>IF(Tab.o1[[#This Row],[a1]]=1,IF(ISNUMBER(Tab.o1[[#This Row],[i.]]),NORMDIST(Tab.o1[[#This Row],[Za]],0,1,FALSE)*Tab.o1[[#This Row],[i.]],0),"")</f>
        <v/>
      </c>
      <c r="AQ235" s="125" t="str">
        <f>IF(Tab.o1[[#This Row],[a1]]=1,ABS(Tab.o1[[#This Row],[MOD]]-AVERAGE(Tab.o1[MOD])),"")</f>
        <v/>
      </c>
      <c r="AR235" s="134" t="str">
        <f>IF(Tab.o1[[#This Row],[a1]]=1,Tab.o1[[#This Row],[OBS]]/SUM(Tab.o1[OBS]),"")</f>
        <v/>
      </c>
      <c r="AS235" s="135" t="str">
        <f>IF(ISNUMBER(Tab.o1[[#This Row],[a1]]),ROW()-4,"")</f>
        <v/>
      </c>
      <c r="AT235" s="136" t="str">
        <f>Tab.o1[[#This Row],[MOD]]</f>
        <v/>
      </c>
      <c r="AU235" s="137" t="str">
        <f t="shared" si="13"/>
        <v/>
      </c>
      <c r="AV235" s="138" t="str">
        <f t="shared" si="14"/>
        <v/>
      </c>
      <c r="AW235" s="138" t="str">
        <f t="shared" si="15"/>
        <v/>
      </c>
      <c r="AX235" s="139" t="str">
        <f>[1]!T.in.A[[#This Row],[ID_T_manu]]</f>
        <v/>
      </c>
      <c r="AY235" s="140" t="str">
        <f>IF(ISNUMBER(Tab.o1[[#This Row],[a1]]),IF(AND(Tab.o1[[#This Row],[a1]]=1,Tab.o1[[#This Row],[b1]]&lt;=AY$4),#REF!,AY234),"")</f>
        <v/>
      </c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</row>
    <row r="236" spans="1:79" ht="14.25" hidden="1" customHeight="1">
      <c r="A236" s="109">
        <v>-5.0000000000000004E-6</v>
      </c>
      <c r="B236" s="110">
        <f t="shared" si="12"/>
        <v>236</v>
      </c>
      <c r="C236" s="111" t="str">
        <f>IF(C$1=[1]!T.in.A[[#This Row],[oo2]],1,"")</f>
        <v/>
      </c>
      <c r="D236" s="112" t="str">
        <f>IF(Tab.o1[[#This Row],[a1]]=1,IF(SUM(C236:C237)=0,0,IF(SUM(C235:C236)=1,1,IF(SUM(C235:C237)&gt;1,D235+1,0))),"")</f>
        <v/>
      </c>
      <c r="E236" s="113" t="str">
        <f>IF(Tab.o1[[#This Row],[a1]]=1,[1]!T.in.A[[#This Row],[oo1]],"")</f>
        <v/>
      </c>
      <c r="F236" s="113" t="str">
        <f>IF(Tab.o1[[#This Row],[a1]]=1,[1]!T.in.A[[#This Row],[pp1]],"")</f>
        <v/>
      </c>
      <c r="G236" s="114" t="str">
        <f>IF(Tab.o1[[#This Row],[a1]]=1,G$2+IF(G$1=1,0,Tab.o1[[#This Row],[.x1]])+[1]!T.in.A[[#This Row],[oo3]],"")</f>
        <v/>
      </c>
      <c r="H236" s="115" t="str">
        <f>IF(Tab.o1[[#This Row],[a1]]=1,IF(H$2=0,0,IF(G$1=1,0,Tab.o1[[#This Row],[.x1]])+[1]!T.in.A[[#This Row],[oo4]]),"")</f>
        <v/>
      </c>
      <c r="I236" s="116" t="str">
        <f>IF(Tab.o1[[#This Row],[a1]]=1,IF(J$2=0,Tab.o1[[#This Row],[MED]],Tab.o1[[#This Row],[MOD]]),"")</f>
        <v/>
      </c>
      <c r="J236" s="116" t="str">
        <f>IF(Tab.o1[[#This Row],[a1]]=1,((Tab.o1[[#This Row],[DIF_Target.]]-AVERAGE(Tab.o1[DIF_Target.]))/_xlfn.STDEV.P(Tab.o1[DIF_Target.])),"")</f>
        <v/>
      </c>
      <c r="K236" s="117" t="str">
        <f>IF(Tab.o1[[#This Row],[a1]]=1,IF(J$2=0,Tab.o1[[#This Row],[MOD]]-Tab.o1[[#This Row],[B]],IF(J$2=1,0,-Tab.o1[[#This Row],[MED]])+Tab.o1[[#This Row],[B]]),"")</f>
        <v/>
      </c>
      <c r="L236" s="117" t="str">
        <f ca="1">IF(Tab.o1[[#This Row],[DIF_Target]]=0,IF(L$2=0,Tab.o1[[#This Row],[DIF_Target]],AVERAGE(OFFSET(Tab.o1[[#This Row],[DIF_Target]],1,0,L$3,1)))/3,Tab.o1[[#This Row],[DIF_Target]])</f>
        <v/>
      </c>
      <c r="M236" s="118" t="str">
        <f>IF(Tab.o1[[#This Row],[a1]]=1,NORMSDIST(Tab.o1[[#This Row],[Za]]),"")</f>
        <v/>
      </c>
      <c r="N236" s="119" t="str">
        <f>IF(Tab.o1[[#This Row],[a1]]=1,((Tab.o1[[#This Row],[MedMod]]-AVERAGE(Tab.o1[MedMod]))/_xlfn.STDEV.P(Tab.o1[MedMod])*H$1205)+G$1205,"")</f>
        <v/>
      </c>
      <c r="O236" s="141" t="str">
        <f>IF(Tab.o1[[#This Row],[a1]]=1,Tab.o1[[#This Row],[Zb]]*_xlfn.STDEV.P(Tab.o1[MedMod])+AVERAGE(Tab.o1[MedMod]),"")</f>
        <v/>
      </c>
      <c r="P236" s="117" t="str">
        <f ca="1">IF(Tab.o1[[#This Row],[B]]=0,AVERAGE(OFFSET(Tab.o1[[#This Row],[B]],1,0,L$3,1)),Tab.o1[[#This Row],[B]])</f>
        <v/>
      </c>
      <c r="Q236" s="121" t="str">
        <f>IF(Tab.o1[[#This Row],[a1]]=1,NORMSDIST(Tab.o1[[#This Row],[Zb]]),"")</f>
        <v/>
      </c>
      <c r="R236" s="122" t="str">
        <f>IF(Tab.o1[[#This Row],[a1]]=1,((Tab.o1[[#This Row],[MedMod]]-AVERAGE(Tab.o1[MedMod]))/_xlfn.STDEV.P(Tab.o1[MedMod])*H$1203)+G$1203,"")</f>
        <v/>
      </c>
      <c r="S236" s="122" t="str">
        <f>IF(Tab.o1[[#This Row],[a1]]=1,((Tab.o1[[#This Row],[MedMod]]-AVERAGE(Tab.o1[MedMod]))/_xlfn.STDEV.P(Tab.o1[MedMod])*H$1204)+G$1204,"")</f>
        <v/>
      </c>
      <c r="T236" s="123" t="str">
        <f>IF(Tab.o1[[#This Row],[a1]]=1,Tab.o1[[#This Row],[Z-]]*_xlfn.STDEV.P(Tab.o1[B])+AVERAGE(Tab.o1[B]),"")</f>
        <v/>
      </c>
      <c r="U236" s="123" t="str">
        <f>IF(Tab.o1[[#This Row],[a1]]=1,Tab.o1[[#This Row],[z+]]*_xlfn.STDEV.P(Tab.o1[B])+AVERAGE(Tab.o1[B]),"")</f>
        <v/>
      </c>
      <c r="V236" s="124" t="str">
        <f>IF(Tab.o1[[#This Row],[a1]]=1,ABS((ABS(Tab.o1[[#This Row],[Red]]-Tab.o1[[#This Row],[Blue]]))),"")</f>
        <v/>
      </c>
      <c r="W236" s="125" t="str">
        <f>IF(Tab.o1[[#This Row],[a1]]=1,IF(W$3=0,1,Tab.o1[[#This Row],[Amp.]]*1/_xlfn.MINIFS(Tab.o1[Amp.],Tab.o1[Amp.],"&lt;&gt;0")),"")</f>
        <v/>
      </c>
      <c r="X236" s="126" t="str">
        <f>IF(Tab.o1[[#This Row],[a1]]=1,IF(ISNUMBER(Tab.o1[[#This Row],[i.]]),NORMDIST(Tab.o1[[#This Row],[Za]],0,1,FALSE)*Tab.o1[[#This Row],[i.]],AP$3),"")</f>
        <v/>
      </c>
      <c r="Y236" s="126" t="str">
        <f>IF(Tab.o1[[#This Row],[a1]]=1,0.01+0.94*Tab.o1[[#This Row],[PDF]]/MAX(Tab.o1[PDF]),"")</f>
        <v/>
      </c>
      <c r="Z236" s="126" t="str">
        <f>IF(Tab.o1[[#This Row],[a1]]=1,0.01+0.94*Tab.o1[[#This Row],[W1_PDF]]/MAX(Tab.o1[W1_PDF]),"")</f>
        <v/>
      </c>
      <c r="AA236" s="118" t="str">
        <f>IF(Tab.o1[[#This Row],[a1]]=1,ABS([1]!T.in.A[[#This Row],[oo6]]),"")</f>
        <v/>
      </c>
      <c r="AB236" s="127" t="str">
        <f>IF(Tab.o1[[#This Row],[a1]]=1,IF(AE$3=0,"",IF(AB$3=0,ABS([1]!T.in.A[[#This Row],[oo9]]),ABS(Tab.o1[[#This Row],[DIF_Target.]]*Tab.o1[[#This Row],[W1_PDF]]))),"")</f>
        <v/>
      </c>
      <c r="AC236" s="127" t="str">
        <f>IF(G$1=1,"",IF(Tab.o1[[#This Row],[a1]]=1,Tab.o1[[#This Row],[Wr]]^2,""))</f>
        <v/>
      </c>
      <c r="AD236" s="118" t="str">
        <f>IF(Tab.o1[[#This Row],[a1]]=1,IF(AE$3=0,"",Tab.o1[[#This Row],[Wr2]]/SUM(Tab.o1[Wr2])),"")</f>
        <v/>
      </c>
      <c r="AE236" s="128" t="str">
        <f>IF(Tab.o1[[#This Row],[a1]]=1,[1]!T.in.A[[#This Row],[oo10]],"")</f>
        <v/>
      </c>
      <c r="AF236" s="118" t="str">
        <f>IF(Tab.o1[[#This Row],[a1]]=1,ABS(Tab.o1[[#This Row],[DIF_Target.]]*Tab.o1[[#This Row],[PDF2]]*Tab.o1[[#This Row],[IN]]),"")</f>
        <v/>
      </c>
      <c r="AG236" s="129" t="str">
        <f>IF(Tab.o1[[#This Row],[a1]]=1,Tab.o1[[#This Row],[rW]]^2,"")</f>
        <v/>
      </c>
      <c r="AH236" s="130" t="str">
        <f>IF(Tab.o1[[#This Row],[a1]]=1,IF(AH$3=0,Tab.o1[[#This Row],[rW2]],0.01+0.94*Tab.o1[[#This Row],[rW2]]/SUM(Tab.o1[rW2])),"")</f>
        <v/>
      </c>
      <c r="AI236" s="128" t="str">
        <f>IF(Tab.o1[[#This Row],[a1]]=1,1/Tab.o1[[#This Row],[PDF]],"")</f>
        <v/>
      </c>
      <c r="AJ236" s="131" t="str">
        <f>IF(Tab.o1[[#This Row],[a1]]=1,[1]!T_AA[[#This Row],[IN'']]*[1]!T_AA[[#This Row],[Qde'']],"")</f>
        <v/>
      </c>
      <c r="AK236" s="132" t="str">
        <f>IF(Tab.o1[[#This Row],[a1]]=1,IF(AK$1=1,Tab.o1[[#This Row],[MED]]+Tab.o1[[#This Row],[MOD]]-Tab.o1[[#This Row],[MED]],""),"")</f>
        <v/>
      </c>
      <c r="AL236" s="133" t="str">
        <f>IF(Tab.o1[[#This Row],[a1]]=1,[1]!T.in.A[[#This Row],[oo16]],"")</f>
        <v/>
      </c>
      <c r="AM236" s="133" t="str">
        <f>IF(Tab.o1[[#This Row],[a1]]=1,IF(AM$3=1,[1]!T.in.A[[#This Row],[Σo16]],""),"")</f>
        <v/>
      </c>
      <c r="AN236" s="126" t="str">
        <f>IF(Tab.o1[[#This Row],[a1]]=1,[1]!T.in.A[[#This Row],[Σp5]],"")</f>
        <v/>
      </c>
      <c r="AO236" s="126" t="str">
        <f>IF(Tab.o1[[#This Row],[a1]]=1,IF(AO$3=1,[1]!T.in.A[[#This Row],[Σp5]],""),"")</f>
        <v/>
      </c>
      <c r="AP236" s="110" t="str">
        <f>IF(Tab.o1[[#This Row],[a1]]=1,IF(ISNUMBER(Tab.o1[[#This Row],[i.]]),NORMDIST(Tab.o1[[#This Row],[Za]],0,1,FALSE)*Tab.o1[[#This Row],[i.]],0),"")</f>
        <v/>
      </c>
      <c r="AQ236" s="125" t="str">
        <f>IF(Tab.o1[[#This Row],[a1]]=1,ABS(Tab.o1[[#This Row],[MOD]]-AVERAGE(Tab.o1[MOD])),"")</f>
        <v/>
      </c>
      <c r="AR236" s="134" t="str">
        <f>IF(Tab.o1[[#This Row],[a1]]=1,Tab.o1[[#This Row],[OBS]]/SUM(Tab.o1[OBS]),"")</f>
        <v/>
      </c>
      <c r="AS236" s="135" t="str">
        <f>IF(ISNUMBER(Tab.o1[[#This Row],[a1]]),ROW()-4,"")</f>
        <v/>
      </c>
      <c r="AT236" s="136" t="str">
        <f>Tab.o1[[#This Row],[MOD]]</f>
        <v/>
      </c>
      <c r="AU236" s="137" t="str">
        <f t="shared" si="13"/>
        <v/>
      </c>
      <c r="AV236" s="138" t="str">
        <f t="shared" si="14"/>
        <v/>
      </c>
      <c r="AW236" s="138" t="str">
        <f t="shared" si="15"/>
        <v/>
      </c>
      <c r="AX236" s="139" t="str">
        <f>[1]!T.in.A[[#This Row],[ID_T_manu]]</f>
        <v/>
      </c>
      <c r="AY236" s="140" t="str">
        <f>IF(ISNUMBER(Tab.o1[[#This Row],[a1]]),IF(AND(Tab.o1[[#This Row],[a1]]=1,Tab.o1[[#This Row],[b1]]&lt;=AY$4),#REF!,AY235),"")</f>
        <v/>
      </c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</row>
    <row r="237" spans="1:79" ht="14.25" hidden="1" customHeight="1">
      <c r="A237" s="109">
        <v>6.9999999999999999E-6</v>
      </c>
      <c r="B237" s="110">
        <f t="shared" si="12"/>
        <v>237</v>
      </c>
      <c r="C237" s="111" t="str">
        <f>IF(C$1=[1]!T.in.A[[#This Row],[oo2]],1,"")</f>
        <v/>
      </c>
      <c r="D237" s="112" t="str">
        <f>IF(Tab.o1[[#This Row],[a1]]=1,IF(SUM(C237:C238)=0,0,IF(SUM(C236:C237)=1,1,IF(SUM(C236:C238)&gt;1,D236+1,0))),"")</f>
        <v/>
      </c>
      <c r="E237" s="113" t="str">
        <f>IF(Tab.o1[[#This Row],[a1]]=1,[1]!T.in.A[[#This Row],[oo1]],"")</f>
        <v/>
      </c>
      <c r="F237" s="113" t="str">
        <f>IF(Tab.o1[[#This Row],[a1]]=1,[1]!T.in.A[[#This Row],[pp1]],"")</f>
        <v/>
      </c>
      <c r="G237" s="114" t="str">
        <f>IF(Tab.o1[[#This Row],[a1]]=1,G$2+IF(G$1=1,0,Tab.o1[[#This Row],[.x1]])+[1]!T.in.A[[#This Row],[oo3]],"")</f>
        <v/>
      </c>
      <c r="H237" s="115" t="str">
        <f>IF(Tab.o1[[#This Row],[a1]]=1,IF(H$2=0,0,IF(G$1=1,0,Tab.o1[[#This Row],[.x1]])+[1]!T.in.A[[#This Row],[oo4]]),"")</f>
        <v/>
      </c>
      <c r="I237" s="116" t="str">
        <f>IF(Tab.o1[[#This Row],[a1]]=1,IF(J$2=0,Tab.o1[[#This Row],[MED]],Tab.o1[[#This Row],[MOD]]),"")</f>
        <v/>
      </c>
      <c r="J237" s="116" t="str">
        <f>IF(Tab.o1[[#This Row],[a1]]=1,((Tab.o1[[#This Row],[DIF_Target.]]-AVERAGE(Tab.o1[DIF_Target.]))/_xlfn.STDEV.P(Tab.o1[DIF_Target.])),"")</f>
        <v/>
      </c>
      <c r="K237" s="117" t="str">
        <f>IF(Tab.o1[[#This Row],[a1]]=1,IF(J$2=0,Tab.o1[[#This Row],[MOD]]-Tab.o1[[#This Row],[B]],IF(J$2=1,0,-Tab.o1[[#This Row],[MED]])+Tab.o1[[#This Row],[B]]),"")</f>
        <v/>
      </c>
      <c r="L237" s="117" t="str">
        <f ca="1">IF(Tab.o1[[#This Row],[DIF_Target]]=0,IF(L$2=0,Tab.o1[[#This Row],[DIF_Target]],AVERAGE(OFFSET(Tab.o1[[#This Row],[DIF_Target]],1,0,L$3,1)))/3,Tab.o1[[#This Row],[DIF_Target]])</f>
        <v/>
      </c>
      <c r="M237" s="118" t="str">
        <f>IF(Tab.o1[[#This Row],[a1]]=1,NORMSDIST(Tab.o1[[#This Row],[Za]]),"")</f>
        <v/>
      </c>
      <c r="N237" s="119" t="str">
        <f>IF(Tab.o1[[#This Row],[a1]]=1,((Tab.o1[[#This Row],[MedMod]]-AVERAGE(Tab.o1[MedMod]))/_xlfn.STDEV.P(Tab.o1[MedMod])*H$1205)+G$1205,"")</f>
        <v/>
      </c>
      <c r="O237" s="141" t="str">
        <f>IF(Tab.o1[[#This Row],[a1]]=1,Tab.o1[[#This Row],[Zb]]*_xlfn.STDEV.P(Tab.o1[MedMod])+AVERAGE(Tab.o1[MedMod]),"")</f>
        <v/>
      </c>
      <c r="P237" s="117" t="str">
        <f ca="1">IF(Tab.o1[[#This Row],[B]]=0,AVERAGE(OFFSET(Tab.o1[[#This Row],[B]],1,0,L$3,1)),Tab.o1[[#This Row],[B]])</f>
        <v/>
      </c>
      <c r="Q237" s="121" t="str">
        <f>IF(Tab.o1[[#This Row],[a1]]=1,NORMSDIST(Tab.o1[[#This Row],[Zb]]),"")</f>
        <v/>
      </c>
      <c r="R237" s="122" t="str">
        <f>IF(Tab.o1[[#This Row],[a1]]=1,((Tab.o1[[#This Row],[MedMod]]-AVERAGE(Tab.o1[MedMod]))/_xlfn.STDEV.P(Tab.o1[MedMod])*H$1203)+G$1203,"")</f>
        <v/>
      </c>
      <c r="S237" s="122" t="str">
        <f>IF(Tab.o1[[#This Row],[a1]]=1,((Tab.o1[[#This Row],[MedMod]]-AVERAGE(Tab.o1[MedMod]))/_xlfn.STDEV.P(Tab.o1[MedMod])*H$1204)+G$1204,"")</f>
        <v/>
      </c>
      <c r="T237" s="123" t="str">
        <f>IF(Tab.o1[[#This Row],[a1]]=1,Tab.o1[[#This Row],[Z-]]*_xlfn.STDEV.P(Tab.o1[B])+AVERAGE(Tab.o1[B]),"")</f>
        <v/>
      </c>
      <c r="U237" s="123" t="str">
        <f>IF(Tab.o1[[#This Row],[a1]]=1,Tab.o1[[#This Row],[z+]]*_xlfn.STDEV.P(Tab.o1[B])+AVERAGE(Tab.o1[B]),"")</f>
        <v/>
      </c>
      <c r="V237" s="124" t="str">
        <f>IF(Tab.o1[[#This Row],[a1]]=1,ABS((ABS(Tab.o1[[#This Row],[Red]]-Tab.o1[[#This Row],[Blue]]))),"")</f>
        <v/>
      </c>
      <c r="W237" s="125" t="str">
        <f>IF(Tab.o1[[#This Row],[a1]]=1,IF(W$3=0,1,Tab.o1[[#This Row],[Amp.]]*1/_xlfn.MINIFS(Tab.o1[Amp.],Tab.o1[Amp.],"&lt;&gt;0")),"")</f>
        <v/>
      </c>
      <c r="X237" s="126" t="str">
        <f>IF(Tab.o1[[#This Row],[a1]]=1,IF(ISNUMBER(Tab.o1[[#This Row],[i.]]),NORMDIST(Tab.o1[[#This Row],[Za]],0,1,FALSE)*Tab.o1[[#This Row],[i.]],AP$3),"")</f>
        <v/>
      </c>
      <c r="Y237" s="126" t="str">
        <f>IF(Tab.o1[[#This Row],[a1]]=1,0.01+0.94*Tab.o1[[#This Row],[PDF]]/MAX(Tab.o1[PDF]),"")</f>
        <v/>
      </c>
      <c r="Z237" s="126" t="str">
        <f>IF(Tab.o1[[#This Row],[a1]]=1,0.01+0.94*Tab.o1[[#This Row],[W1_PDF]]/MAX(Tab.o1[W1_PDF]),"")</f>
        <v/>
      </c>
      <c r="AA237" s="118" t="str">
        <f>IF(Tab.o1[[#This Row],[a1]]=1,ABS([1]!T.in.A[[#This Row],[oo6]]),"")</f>
        <v/>
      </c>
      <c r="AB237" s="127" t="str">
        <f>IF(Tab.o1[[#This Row],[a1]]=1,IF(AE$3=0,"",IF(AB$3=0,ABS([1]!T.in.A[[#This Row],[oo9]]),ABS(Tab.o1[[#This Row],[DIF_Target.]]*Tab.o1[[#This Row],[W1_PDF]]))),"")</f>
        <v/>
      </c>
      <c r="AC237" s="127" t="str">
        <f>IF(G$1=1,"",IF(Tab.o1[[#This Row],[a1]]=1,Tab.o1[[#This Row],[Wr]]^2,""))</f>
        <v/>
      </c>
      <c r="AD237" s="118" t="str">
        <f>IF(Tab.o1[[#This Row],[a1]]=1,IF(AE$3=0,"",Tab.o1[[#This Row],[Wr2]]/SUM(Tab.o1[Wr2])),"")</f>
        <v/>
      </c>
      <c r="AE237" s="128" t="str">
        <f>IF(Tab.o1[[#This Row],[a1]]=1,[1]!T.in.A[[#This Row],[oo10]],"")</f>
        <v/>
      </c>
      <c r="AF237" s="118" t="str">
        <f>IF(Tab.o1[[#This Row],[a1]]=1,ABS(Tab.o1[[#This Row],[DIF_Target.]]*Tab.o1[[#This Row],[PDF2]]*Tab.o1[[#This Row],[IN]]),"")</f>
        <v/>
      </c>
      <c r="AG237" s="129" t="str">
        <f>IF(Tab.o1[[#This Row],[a1]]=1,Tab.o1[[#This Row],[rW]]^2,"")</f>
        <v/>
      </c>
      <c r="AH237" s="130" t="str">
        <f>IF(Tab.o1[[#This Row],[a1]]=1,IF(AH$3=0,Tab.o1[[#This Row],[rW2]],0.01+0.94*Tab.o1[[#This Row],[rW2]]/SUM(Tab.o1[rW2])),"")</f>
        <v/>
      </c>
      <c r="AI237" s="128" t="str">
        <f>IF(Tab.o1[[#This Row],[a1]]=1,1/Tab.o1[[#This Row],[PDF]],"")</f>
        <v/>
      </c>
      <c r="AJ237" s="131" t="str">
        <f>IF(Tab.o1[[#This Row],[a1]]=1,[1]!T_AA[[#This Row],[IN'']]*[1]!T_AA[[#This Row],[Qde'']],"")</f>
        <v/>
      </c>
      <c r="AK237" s="132" t="str">
        <f>IF(Tab.o1[[#This Row],[a1]]=1,IF(AK$1=1,Tab.o1[[#This Row],[MED]]+Tab.o1[[#This Row],[MOD]]-Tab.o1[[#This Row],[MED]],""),"")</f>
        <v/>
      </c>
      <c r="AL237" s="133" t="str">
        <f>IF(Tab.o1[[#This Row],[a1]]=1,[1]!T.in.A[[#This Row],[oo16]],"")</f>
        <v/>
      </c>
      <c r="AM237" s="133" t="str">
        <f>IF(Tab.o1[[#This Row],[a1]]=1,IF(AM$3=1,[1]!T.in.A[[#This Row],[Σo16]],""),"")</f>
        <v/>
      </c>
      <c r="AN237" s="126" t="str">
        <f>IF(Tab.o1[[#This Row],[a1]]=1,[1]!T.in.A[[#This Row],[Σp5]],"")</f>
        <v/>
      </c>
      <c r="AO237" s="126" t="str">
        <f>IF(Tab.o1[[#This Row],[a1]]=1,IF(AO$3=1,[1]!T.in.A[[#This Row],[Σp5]],""),"")</f>
        <v/>
      </c>
      <c r="AP237" s="110" t="str">
        <f>IF(Tab.o1[[#This Row],[a1]]=1,IF(ISNUMBER(Tab.o1[[#This Row],[i.]]),NORMDIST(Tab.o1[[#This Row],[Za]],0,1,FALSE)*Tab.o1[[#This Row],[i.]],0),"")</f>
        <v/>
      </c>
      <c r="AQ237" s="125" t="str">
        <f>IF(Tab.o1[[#This Row],[a1]]=1,ABS(Tab.o1[[#This Row],[MOD]]-AVERAGE(Tab.o1[MOD])),"")</f>
        <v/>
      </c>
      <c r="AR237" s="134" t="str">
        <f>IF(Tab.o1[[#This Row],[a1]]=1,Tab.o1[[#This Row],[OBS]]/SUM(Tab.o1[OBS]),"")</f>
        <v/>
      </c>
      <c r="AS237" s="135" t="str">
        <f>IF(ISNUMBER(Tab.o1[[#This Row],[a1]]),ROW()-4,"")</f>
        <v/>
      </c>
      <c r="AT237" s="136" t="str">
        <f>Tab.o1[[#This Row],[MOD]]</f>
        <v/>
      </c>
      <c r="AU237" s="137" t="str">
        <f t="shared" si="13"/>
        <v/>
      </c>
      <c r="AV237" s="138" t="str">
        <f t="shared" si="14"/>
        <v/>
      </c>
      <c r="AW237" s="138" t="str">
        <f t="shared" si="15"/>
        <v/>
      </c>
      <c r="AX237" s="139" t="str">
        <f>[1]!T.in.A[[#This Row],[ID_T_manu]]</f>
        <v/>
      </c>
      <c r="AY237" s="140" t="str">
        <f>IF(ISNUMBER(Tab.o1[[#This Row],[a1]]),IF(AND(Tab.o1[[#This Row],[a1]]=1,Tab.o1[[#This Row],[b1]]&lt;=AY$4),#REF!,AY236),"")</f>
        <v/>
      </c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</row>
    <row r="238" spans="1:79" ht="14.25" hidden="1" customHeight="1">
      <c r="A238" s="109">
        <v>1.0000000000000002E-6</v>
      </c>
      <c r="B238" s="110">
        <f t="shared" si="12"/>
        <v>238</v>
      </c>
      <c r="C238" s="111" t="str">
        <f>IF(C$1=[1]!T.in.A[[#This Row],[oo2]],1,"")</f>
        <v/>
      </c>
      <c r="D238" s="112" t="str">
        <f>IF(Tab.o1[[#This Row],[a1]]=1,IF(SUM(C238:C239)=0,0,IF(SUM(C237:C238)=1,1,IF(SUM(C237:C239)&gt;1,D237+1,0))),"")</f>
        <v/>
      </c>
      <c r="E238" s="113" t="str">
        <f>IF(Tab.o1[[#This Row],[a1]]=1,[1]!T.in.A[[#This Row],[oo1]],"")</f>
        <v/>
      </c>
      <c r="F238" s="113" t="str">
        <f>IF(Tab.o1[[#This Row],[a1]]=1,[1]!T.in.A[[#This Row],[pp1]],"")</f>
        <v/>
      </c>
      <c r="G238" s="114" t="str">
        <f>IF(Tab.o1[[#This Row],[a1]]=1,G$2+IF(G$1=1,0,Tab.o1[[#This Row],[.x1]])+[1]!T.in.A[[#This Row],[oo3]],"")</f>
        <v/>
      </c>
      <c r="H238" s="115" t="str">
        <f>IF(Tab.o1[[#This Row],[a1]]=1,IF(H$2=0,0,IF(G$1=1,0,Tab.o1[[#This Row],[.x1]])+[1]!T.in.A[[#This Row],[oo4]]),"")</f>
        <v/>
      </c>
      <c r="I238" s="116" t="str">
        <f>IF(Tab.o1[[#This Row],[a1]]=1,IF(J$2=0,Tab.o1[[#This Row],[MED]],Tab.o1[[#This Row],[MOD]]),"")</f>
        <v/>
      </c>
      <c r="J238" s="116" t="str">
        <f>IF(Tab.o1[[#This Row],[a1]]=1,((Tab.o1[[#This Row],[DIF_Target.]]-AVERAGE(Tab.o1[DIF_Target.]))/_xlfn.STDEV.P(Tab.o1[DIF_Target.])),"")</f>
        <v/>
      </c>
      <c r="K238" s="117" t="str">
        <f>IF(Tab.o1[[#This Row],[a1]]=1,IF(J$2=0,Tab.o1[[#This Row],[MOD]]-Tab.o1[[#This Row],[B]],IF(J$2=1,0,-Tab.o1[[#This Row],[MED]])+Tab.o1[[#This Row],[B]]),"")</f>
        <v/>
      </c>
      <c r="L238" s="117" t="str">
        <f ca="1">IF(Tab.o1[[#This Row],[DIF_Target]]=0,IF(L$2=0,Tab.o1[[#This Row],[DIF_Target]],AVERAGE(OFFSET(Tab.o1[[#This Row],[DIF_Target]],1,0,L$3,1)))/3,Tab.o1[[#This Row],[DIF_Target]])</f>
        <v/>
      </c>
      <c r="M238" s="118" t="str">
        <f>IF(Tab.o1[[#This Row],[a1]]=1,NORMSDIST(Tab.o1[[#This Row],[Za]]),"")</f>
        <v/>
      </c>
      <c r="N238" s="119" t="str">
        <f>IF(Tab.o1[[#This Row],[a1]]=1,((Tab.o1[[#This Row],[MedMod]]-AVERAGE(Tab.o1[MedMod]))/_xlfn.STDEV.P(Tab.o1[MedMod])*H$1205)+G$1205,"")</f>
        <v/>
      </c>
      <c r="O238" s="141" t="str">
        <f>IF(Tab.o1[[#This Row],[a1]]=1,Tab.o1[[#This Row],[Zb]]*_xlfn.STDEV.P(Tab.o1[MedMod])+AVERAGE(Tab.o1[MedMod]),"")</f>
        <v/>
      </c>
      <c r="P238" s="117" t="str">
        <f ca="1">IF(Tab.o1[[#This Row],[B]]=0,AVERAGE(OFFSET(Tab.o1[[#This Row],[B]],1,0,L$3,1)),Tab.o1[[#This Row],[B]])</f>
        <v/>
      </c>
      <c r="Q238" s="121" t="str">
        <f>IF(Tab.o1[[#This Row],[a1]]=1,NORMSDIST(Tab.o1[[#This Row],[Zb]]),"")</f>
        <v/>
      </c>
      <c r="R238" s="122" t="str">
        <f>IF(Tab.o1[[#This Row],[a1]]=1,((Tab.o1[[#This Row],[MedMod]]-AVERAGE(Tab.o1[MedMod]))/_xlfn.STDEV.P(Tab.o1[MedMod])*H$1203)+G$1203,"")</f>
        <v/>
      </c>
      <c r="S238" s="122" t="str">
        <f>IF(Tab.o1[[#This Row],[a1]]=1,((Tab.o1[[#This Row],[MedMod]]-AVERAGE(Tab.o1[MedMod]))/_xlfn.STDEV.P(Tab.o1[MedMod])*H$1204)+G$1204,"")</f>
        <v/>
      </c>
      <c r="T238" s="123" t="str">
        <f>IF(Tab.o1[[#This Row],[a1]]=1,Tab.o1[[#This Row],[Z-]]*_xlfn.STDEV.P(Tab.o1[B])+AVERAGE(Tab.o1[B]),"")</f>
        <v/>
      </c>
      <c r="U238" s="123" t="str">
        <f>IF(Tab.o1[[#This Row],[a1]]=1,Tab.o1[[#This Row],[z+]]*_xlfn.STDEV.P(Tab.o1[B])+AVERAGE(Tab.o1[B]),"")</f>
        <v/>
      </c>
      <c r="V238" s="124" t="str">
        <f>IF(Tab.o1[[#This Row],[a1]]=1,ABS((ABS(Tab.o1[[#This Row],[Red]]-Tab.o1[[#This Row],[Blue]]))),"")</f>
        <v/>
      </c>
      <c r="W238" s="125" t="str">
        <f>IF(Tab.o1[[#This Row],[a1]]=1,IF(W$3=0,1,Tab.o1[[#This Row],[Amp.]]*1/_xlfn.MINIFS(Tab.o1[Amp.],Tab.o1[Amp.],"&lt;&gt;0")),"")</f>
        <v/>
      </c>
      <c r="X238" s="126" t="str">
        <f>IF(Tab.o1[[#This Row],[a1]]=1,IF(ISNUMBER(Tab.o1[[#This Row],[i.]]),NORMDIST(Tab.o1[[#This Row],[Za]],0,1,FALSE)*Tab.o1[[#This Row],[i.]],AP$3),"")</f>
        <v/>
      </c>
      <c r="Y238" s="126" t="str">
        <f>IF(Tab.o1[[#This Row],[a1]]=1,0.01+0.94*Tab.o1[[#This Row],[PDF]]/MAX(Tab.o1[PDF]),"")</f>
        <v/>
      </c>
      <c r="Z238" s="126" t="str">
        <f>IF(Tab.o1[[#This Row],[a1]]=1,0.01+0.94*Tab.o1[[#This Row],[W1_PDF]]/MAX(Tab.o1[W1_PDF]),"")</f>
        <v/>
      </c>
      <c r="AA238" s="118" t="str">
        <f>IF(Tab.o1[[#This Row],[a1]]=1,ABS([1]!T.in.A[[#This Row],[oo6]]),"")</f>
        <v/>
      </c>
      <c r="AB238" s="127" t="str">
        <f>IF(Tab.o1[[#This Row],[a1]]=1,IF(AE$3=0,"",IF(AB$3=0,ABS([1]!T.in.A[[#This Row],[oo9]]),ABS(Tab.o1[[#This Row],[DIF_Target.]]*Tab.o1[[#This Row],[W1_PDF]]))),"")</f>
        <v/>
      </c>
      <c r="AC238" s="127" t="str">
        <f>IF(G$1=1,"",IF(Tab.o1[[#This Row],[a1]]=1,Tab.o1[[#This Row],[Wr]]^2,""))</f>
        <v/>
      </c>
      <c r="AD238" s="118" t="str">
        <f>IF(Tab.o1[[#This Row],[a1]]=1,IF(AE$3=0,"",Tab.o1[[#This Row],[Wr2]]/SUM(Tab.o1[Wr2])),"")</f>
        <v/>
      </c>
      <c r="AE238" s="128" t="str">
        <f>IF(Tab.o1[[#This Row],[a1]]=1,[1]!T.in.A[[#This Row],[oo10]],"")</f>
        <v/>
      </c>
      <c r="AF238" s="118" t="str">
        <f>IF(Tab.o1[[#This Row],[a1]]=1,ABS(Tab.o1[[#This Row],[DIF_Target.]]*Tab.o1[[#This Row],[PDF2]]*Tab.o1[[#This Row],[IN]]),"")</f>
        <v/>
      </c>
      <c r="AG238" s="129" t="str">
        <f>IF(Tab.o1[[#This Row],[a1]]=1,Tab.o1[[#This Row],[rW]]^2,"")</f>
        <v/>
      </c>
      <c r="AH238" s="130" t="str">
        <f>IF(Tab.o1[[#This Row],[a1]]=1,IF(AH$3=0,Tab.o1[[#This Row],[rW2]],0.01+0.94*Tab.o1[[#This Row],[rW2]]/SUM(Tab.o1[rW2])),"")</f>
        <v/>
      </c>
      <c r="AI238" s="128" t="str">
        <f>IF(Tab.o1[[#This Row],[a1]]=1,1/Tab.o1[[#This Row],[PDF]],"")</f>
        <v/>
      </c>
      <c r="AJ238" s="131" t="str">
        <f>IF(Tab.o1[[#This Row],[a1]]=1,[1]!T_AA[[#This Row],[IN'']]*[1]!T_AA[[#This Row],[Qde'']],"")</f>
        <v/>
      </c>
      <c r="AK238" s="132" t="str">
        <f>IF(Tab.o1[[#This Row],[a1]]=1,IF(AK$1=1,Tab.o1[[#This Row],[MED]]+Tab.o1[[#This Row],[MOD]]-Tab.o1[[#This Row],[MED]],""),"")</f>
        <v/>
      </c>
      <c r="AL238" s="133" t="str">
        <f>IF(Tab.o1[[#This Row],[a1]]=1,[1]!T.in.A[[#This Row],[oo16]],"")</f>
        <v/>
      </c>
      <c r="AM238" s="133" t="str">
        <f>IF(Tab.o1[[#This Row],[a1]]=1,IF(AM$3=1,[1]!T.in.A[[#This Row],[Σo16]],""),"")</f>
        <v/>
      </c>
      <c r="AN238" s="126" t="str">
        <f>IF(Tab.o1[[#This Row],[a1]]=1,[1]!T.in.A[[#This Row],[Σp5]],"")</f>
        <v/>
      </c>
      <c r="AO238" s="126" t="str">
        <f>IF(Tab.o1[[#This Row],[a1]]=1,IF(AO$3=1,[1]!T.in.A[[#This Row],[Σp5]],""),"")</f>
        <v/>
      </c>
      <c r="AP238" s="110" t="str">
        <f>IF(Tab.o1[[#This Row],[a1]]=1,IF(ISNUMBER(Tab.o1[[#This Row],[i.]]),NORMDIST(Tab.o1[[#This Row],[Za]],0,1,FALSE)*Tab.o1[[#This Row],[i.]],0),"")</f>
        <v/>
      </c>
      <c r="AQ238" s="125" t="str">
        <f>IF(Tab.o1[[#This Row],[a1]]=1,ABS(Tab.o1[[#This Row],[MOD]]-AVERAGE(Tab.o1[MOD])),"")</f>
        <v/>
      </c>
      <c r="AR238" s="134" t="str">
        <f>IF(Tab.o1[[#This Row],[a1]]=1,Tab.o1[[#This Row],[OBS]]/SUM(Tab.o1[OBS]),"")</f>
        <v/>
      </c>
      <c r="AS238" s="135" t="str">
        <f>IF(ISNUMBER(Tab.o1[[#This Row],[a1]]),ROW()-4,"")</f>
        <v/>
      </c>
      <c r="AT238" s="136" t="str">
        <f>Tab.o1[[#This Row],[MOD]]</f>
        <v/>
      </c>
      <c r="AU238" s="137" t="str">
        <f t="shared" si="13"/>
        <v/>
      </c>
      <c r="AV238" s="138" t="str">
        <f t="shared" si="14"/>
        <v/>
      </c>
      <c r="AW238" s="138" t="str">
        <f t="shared" si="15"/>
        <v/>
      </c>
      <c r="AX238" s="139" t="str">
        <f>[1]!T.in.A[[#This Row],[ID_T_manu]]</f>
        <v/>
      </c>
      <c r="AY238" s="140" t="str">
        <f>IF(ISNUMBER(Tab.o1[[#This Row],[a1]]),IF(AND(Tab.o1[[#This Row],[a1]]=1,Tab.o1[[#This Row],[b1]]&lt;=AY$4),#REF!,AY237),"")</f>
        <v/>
      </c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</row>
    <row r="239" spans="1:79" ht="14.25" hidden="1" customHeight="1">
      <c r="A239" s="109">
        <v>8.0000000000000013E-6</v>
      </c>
      <c r="B239" s="110">
        <f t="shared" si="12"/>
        <v>239</v>
      </c>
      <c r="C239" s="111" t="str">
        <f>IF(C$1=[1]!T.in.A[[#This Row],[oo2]],1,"")</f>
        <v/>
      </c>
      <c r="D239" s="112" t="str">
        <f>IF(Tab.o1[[#This Row],[a1]]=1,IF(SUM(C239:C240)=0,0,IF(SUM(C238:C239)=1,1,IF(SUM(C238:C240)&gt;1,D238+1,0))),"")</f>
        <v/>
      </c>
      <c r="E239" s="113" t="str">
        <f>IF(Tab.o1[[#This Row],[a1]]=1,[1]!T.in.A[[#This Row],[oo1]],"")</f>
        <v/>
      </c>
      <c r="F239" s="113" t="str">
        <f>IF(Tab.o1[[#This Row],[a1]]=1,[1]!T.in.A[[#This Row],[pp1]],"")</f>
        <v/>
      </c>
      <c r="G239" s="114" t="str">
        <f>IF(Tab.o1[[#This Row],[a1]]=1,G$2+IF(G$1=1,0,Tab.o1[[#This Row],[.x1]])+[1]!T.in.A[[#This Row],[oo3]],"")</f>
        <v/>
      </c>
      <c r="H239" s="115" t="str">
        <f>IF(Tab.o1[[#This Row],[a1]]=1,IF(H$2=0,0,IF(G$1=1,0,Tab.o1[[#This Row],[.x1]])+[1]!T.in.A[[#This Row],[oo4]]),"")</f>
        <v/>
      </c>
      <c r="I239" s="116" t="str">
        <f>IF(Tab.o1[[#This Row],[a1]]=1,IF(J$2=0,Tab.o1[[#This Row],[MED]],Tab.o1[[#This Row],[MOD]]),"")</f>
        <v/>
      </c>
      <c r="J239" s="116" t="str">
        <f>IF(Tab.o1[[#This Row],[a1]]=1,((Tab.o1[[#This Row],[DIF_Target.]]-AVERAGE(Tab.o1[DIF_Target.]))/_xlfn.STDEV.P(Tab.o1[DIF_Target.])),"")</f>
        <v/>
      </c>
      <c r="K239" s="117" t="str">
        <f>IF(Tab.o1[[#This Row],[a1]]=1,IF(J$2=0,Tab.o1[[#This Row],[MOD]]-Tab.o1[[#This Row],[B]],IF(J$2=1,0,-Tab.o1[[#This Row],[MED]])+Tab.o1[[#This Row],[B]]),"")</f>
        <v/>
      </c>
      <c r="L239" s="117" t="str">
        <f ca="1">IF(Tab.o1[[#This Row],[DIF_Target]]=0,IF(L$2=0,Tab.o1[[#This Row],[DIF_Target]],AVERAGE(OFFSET(Tab.o1[[#This Row],[DIF_Target]],1,0,L$3,1)))/3,Tab.o1[[#This Row],[DIF_Target]])</f>
        <v/>
      </c>
      <c r="M239" s="118" t="str">
        <f>IF(Tab.o1[[#This Row],[a1]]=1,NORMSDIST(Tab.o1[[#This Row],[Za]]),"")</f>
        <v/>
      </c>
      <c r="N239" s="119" t="str">
        <f>IF(Tab.o1[[#This Row],[a1]]=1,((Tab.o1[[#This Row],[MedMod]]-AVERAGE(Tab.o1[MedMod]))/_xlfn.STDEV.P(Tab.o1[MedMod])*H$1205)+G$1205,"")</f>
        <v/>
      </c>
      <c r="O239" s="141" t="str">
        <f>IF(Tab.o1[[#This Row],[a1]]=1,Tab.o1[[#This Row],[Zb]]*_xlfn.STDEV.P(Tab.o1[MedMod])+AVERAGE(Tab.o1[MedMod]),"")</f>
        <v/>
      </c>
      <c r="P239" s="117" t="str">
        <f ca="1">IF(Tab.o1[[#This Row],[B]]=0,AVERAGE(OFFSET(Tab.o1[[#This Row],[B]],1,0,L$3,1)),Tab.o1[[#This Row],[B]])</f>
        <v/>
      </c>
      <c r="Q239" s="121" t="str">
        <f>IF(Tab.o1[[#This Row],[a1]]=1,NORMSDIST(Tab.o1[[#This Row],[Zb]]),"")</f>
        <v/>
      </c>
      <c r="R239" s="122" t="str">
        <f>IF(Tab.o1[[#This Row],[a1]]=1,((Tab.o1[[#This Row],[MedMod]]-AVERAGE(Tab.o1[MedMod]))/_xlfn.STDEV.P(Tab.o1[MedMod])*H$1203)+G$1203,"")</f>
        <v/>
      </c>
      <c r="S239" s="122" t="str">
        <f>IF(Tab.o1[[#This Row],[a1]]=1,((Tab.o1[[#This Row],[MedMod]]-AVERAGE(Tab.o1[MedMod]))/_xlfn.STDEV.P(Tab.o1[MedMod])*H$1204)+G$1204,"")</f>
        <v/>
      </c>
      <c r="T239" s="123" t="str">
        <f>IF(Tab.o1[[#This Row],[a1]]=1,Tab.o1[[#This Row],[Z-]]*_xlfn.STDEV.P(Tab.o1[B])+AVERAGE(Tab.o1[B]),"")</f>
        <v/>
      </c>
      <c r="U239" s="123" t="str">
        <f>IF(Tab.o1[[#This Row],[a1]]=1,Tab.o1[[#This Row],[z+]]*_xlfn.STDEV.P(Tab.o1[B])+AVERAGE(Tab.o1[B]),"")</f>
        <v/>
      </c>
      <c r="V239" s="124" t="str">
        <f>IF(Tab.o1[[#This Row],[a1]]=1,ABS((ABS(Tab.o1[[#This Row],[Red]]-Tab.o1[[#This Row],[Blue]]))),"")</f>
        <v/>
      </c>
      <c r="W239" s="125" t="str">
        <f>IF(Tab.o1[[#This Row],[a1]]=1,IF(W$3=0,1,Tab.o1[[#This Row],[Amp.]]*1/_xlfn.MINIFS(Tab.o1[Amp.],Tab.o1[Amp.],"&lt;&gt;0")),"")</f>
        <v/>
      </c>
      <c r="X239" s="126" t="str">
        <f>IF(Tab.o1[[#This Row],[a1]]=1,IF(ISNUMBER(Tab.o1[[#This Row],[i.]]),NORMDIST(Tab.o1[[#This Row],[Za]],0,1,FALSE)*Tab.o1[[#This Row],[i.]],AP$3),"")</f>
        <v/>
      </c>
      <c r="Y239" s="126" t="str">
        <f>IF(Tab.o1[[#This Row],[a1]]=1,0.01+0.94*Tab.o1[[#This Row],[PDF]]/MAX(Tab.o1[PDF]),"")</f>
        <v/>
      </c>
      <c r="Z239" s="126" t="str">
        <f>IF(Tab.o1[[#This Row],[a1]]=1,0.01+0.94*Tab.o1[[#This Row],[W1_PDF]]/MAX(Tab.o1[W1_PDF]),"")</f>
        <v/>
      </c>
      <c r="AA239" s="118" t="str">
        <f>IF(Tab.o1[[#This Row],[a1]]=1,ABS([1]!T.in.A[[#This Row],[oo6]]),"")</f>
        <v/>
      </c>
      <c r="AB239" s="127" t="str">
        <f>IF(Tab.o1[[#This Row],[a1]]=1,IF(AE$3=0,"",IF(AB$3=0,ABS([1]!T.in.A[[#This Row],[oo9]]),ABS(Tab.o1[[#This Row],[DIF_Target.]]*Tab.o1[[#This Row],[W1_PDF]]))),"")</f>
        <v/>
      </c>
      <c r="AC239" s="127" t="str">
        <f>IF(G$1=1,"",IF(Tab.o1[[#This Row],[a1]]=1,Tab.o1[[#This Row],[Wr]]^2,""))</f>
        <v/>
      </c>
      <c r="AD239" s="118" t="str">
        <f>IF(Tab.o1[[#This Row],[a1]]=1,IF(AE$3=0,"",Tab.o1[[#This Row],[Wr2]]/SUM(Tab.o1[Wr2])),"")</f>
        <v/>
      </c>
      <c r="AE239" s="128" t="str">
        <f>IF(Tab.o1[[#This Row],[a1]]=1,[1]!T.in.A[[#This Row],[oo10]],"")</f>
        <v/>
      </c>
      <c r="AF239" s="118" t="str">
        <f>IF(Tab.o1[[#This Row],[a1]]=1,ABS(Tab.o1[[#This Row],[DIF_Target.]]*Tab.o1[[#This Row],[PDF2]]*Tab.o1[[#This Row],[IN]]),"")</f>
        <v/>
      </c>
      <c r="AG239" s="129" t="str">
        <f>IF(Tab.o1[[#This Row],[a1]]=1,Tab.o1[[#This Row],[rW]]^2,"")</f>
        <v/>
      </c>
      <c r="AH239" s="130" t="str">
        <f>IF(Tab.o1[[#This Row],[a1]]=1,IF(AH$3=0,Tab.o1[[#This Row],[rW2]],0.01+0.94*Tab.o1[[#This Row],[rW2]]/SUM(Tab.o1[rW2])),"")</f>
        <v/>
      </c>
      <c r="AI239" s="128" t="str">
        <f>IF(Tab.o1[[#This Row],[a1]]=1,1/Tab.o1[[#This Row],[PDF]],"")</f>
        <v/>
      </c>
      <c r="AJ239" s="131" t="str">
        <f>IF(Tab.o1[[#This Row],[a1]]=1,[1]!T_AA[[#This Row],[IN'']]*[1]!T_AA[[#This Row],[Qde'']],"")</f>
        <v/>
      </c>
      <c r="AK239" s="132" t="str">
        <f>IF(Tab.o1[[#This Row],[a1]]=1,IF(AK$1=1,Tab.o1[[#This Row],[MED]]+Tab.o1[[#This Row],[MOD]]-Tab.o1[[#This Row],[MED]],""),"")</f>
        <v/>
      </c>
      <c r="AL239" s="133" t="str">
        <f>IF(Tab.o1[[#This Row],[a1]]=1,[1]!T.in.A[[#This Row],[oo16]],"")</f>
        <v/>
      </c>
      <c r="AM239" s="133" t="str">
        <f>IF(Tab.o1[[#This Row],[a1]]=1,IF(AM$3=1,[1]!T.in.A[[#This Row],[Σo16]],""),"")</f>
        <v/>
      </c>
      <c r="AN239" s="126" t="str">
        <f>IF(Tab.o1[[#This Row],[a1]]=1,[1]!T.in.A[[#This Row],[Σp5]],"")</f>
        <v/>
      </c>
      <c r="AO239" s="126" t="str">
        <f>IF(Tab.o1[[#This Row],[a1]]=1,IF(AO$3=1,[1]!T.in.A[[#This Row],[Σp5]],""),"")</f>
        <v/>
      </c>
      <c r="AP239" s="110" t="str">
        <f>IF(Tab.o1[[#This Row],[a1]]=1,IF(ISNUMBER(Tab.o1[[#This Row],[i.]]),NORMDIST(Tab.o1[[#This Row],[Za]],0,1,FALSE)*Tab.o1[[#This Row],[i.]],0),"")</f>
        <v/>
      </c>
      <c r="AQ239" s="125" t="str">
        <f>IF(Tab.o1[[#This Row],[a1]]=1,ABS(Tab.o1[[#This Row],[MOD]]-AVERAGE(Tab.o1[MOD])),"")</f>
        <v/>
      </c>
      <c r="AR239" s="134" t="str">
        <f>IF(Tab.o1[[#This Row],[a1]]=1,Tab.o1[[#This Row],[OBS]]/SUM(Tab.o1[OBS]),"")</f>
        <v/>
      </c>
      <c r="AS239" s="135" t="str">
        <f>IF(ISNUMBER(Tab.o1[[#This Row],[a1]]),ROW()-4,"")</f>
        <v/>
      </c>
      <c r="AT239" s="136" t="str">
        <f>Tab.o1[[#This Row],[MOD]]</f>
        <v/>
      </c>
      <c r="AU239" s="137" t="str">
        <f t="shared" si="13"/>
        <v/>
      </c>
      <c r="AV239" s="138" t="str">
        <f t="shared" si="14"/>
        <v/>
      </c>
      <c r="AW239" s="138" t="str">
        <f t="shared" si="15"/>
        <v/>
      </c>
      <c r="AX239" s="139" t="str">
        <f>[1]!T.in.A[[#This Row],[ID_T_manu]]</f>
        <v/>
      </c>
      <c r="AY239" s="140" t="str">
        <f>IF(ISNUMBER(Tab.o1[[#This Row],[a1]]),IF(AND(Tab.o1[[#This Row],[a1]]=1,Tab.o1[[#This Row],[b1]]&lt;=AY$4),#REF!,AY238),"")</f>
        <v/>
      </c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</row>
    <row r="240" spans="1:79" ht="14.25" hidden="1" customHeight="1">
      <c r="A240" s="109">
        <v>6.9999999999999999E-6</v>
      </c>
      <c r="B240" s="110">
        <f t="shared" si="12"/>
        <v>240</v>
      </c>
      <c r="C240" s="111" t="str">
        <f>IF(C$1=[1]!T.in.A[[#This Row],[oo2]],1,"")</f>
        <v/>
      </c>
      <c r="D240" s="112" t="str">
        <f>IF(Tab.o1[[#This Row],[a1]]=1,IF(SUM(C240:C241)=0,0,IF(SUM(C239:C240)=1,1,IF(SUM(C239:C241)&gt;1,D239+1,0))),"")</f>
        <v/>
      </c>
      <c r="E240" s="113" t="str">
        <f>IF(Tab.o1[[#This Row],[a1]]=1,[1]!T.in.A[[#This Row],[oo1]],"")</f>
        <v/>
      </c>
      <c r="F240" s="113" t="str">
        <f>IF(Tab.o1[[#This Row],[a1]]=1,[1]!T.in.A[[#This Row],[pp1]],"")</f>
        <v/>
      </c>
      <c r="G240" s="114" t="str">
        <f>IF(Tab.o1[[#This Row],[a1]]=1,G$2+IF(G$1=1,0,Tab.o1[[#This Row],[.x1]])+[1]!T.in.A[[#This Row],[oo3]],"")</f>
        <v/>
      </c>
      <c r="H240" s="115" t="str">
        <f>IF(Tab.o1[[#This Row],[a1]]=1,IF(H$2=0,0,IF(G$1=1,0,Tab.o1[[#This Row],[.x1]])+[1]!T.in.A[[#This Row],[oo4]]),"")</f>
        <v/>
      </c>
      <c r="I240" s="116" t="str">
        <f>IF(Tab.o1[[#This Row],[a1]]=1,IF(J$2=0,Tab.o1[[#This Row],[MED]],Tab.o1[[#This Row],[MOD]]),"")</f>
        <v/>
      </c>
      <c r="J240" s="116" t="str">
        <f>IF(Tab.o1[[#This Row],[a1]]=1,((Tab.o1[[#This Row],[DIF_Target.]]-AVERAGE(Tab.o1[DIF_Target.]))/_xlfn.STDEV.P(Tab.o1[DIF_Target.])),"")</f>
        <v/>
      </c>
      <c r="K240" s="117" t="str">
        <f>IF(Tab.o1[[#This Row],[a1]]=1,IF(J$2=0,Tab.o1[[#This Row],[MOD]]-Tab.o1[[#This Row],[B]],IF(J$2=1,0,-Tab.o1[[#This Row],[MED]])+Tab.o1[[#This Row],[B]]),"")</f>
        <v/>
      </c>
      <c r="L240" s="117" t="str">
        <f ca="1">IF(Tab.o1[[#This Row],[DIF_Target]]=0,IF(L$2=0,Tab.o1[[#This Row],[DIF_Target]],AVERAGE(OFFSET(Tab.o1[[#This Row],[DIF_Target]],1,0,L$3,1)))/3,Tab.o1[[#This Row],[DIF_Target]])</f>
        <v/>
      </c>
      <c r="M240" s="118" t="str">
        <f>IF(Tab.o1[[#This Row],[a1]]=1,NORMSDIST(Tab.o1[[#This Row],[Za]]),"")</f>
        <v/>
      </c>
      <c r="N240" s="119" t="str">
        <f>IF(Tab.o1[[#This Row],[a1]]=1,((Tab.o1[[#This Row],[MedMod]]-AVERAGE(Tab.o1[MedMod]))/_xlfn.STDEV.P(Tab.o1[MedMod])*H$1205)+G$1205,"")</f>
        <v/>
      </c>
      <c r="O240" s="141" t="str">
        <f>IF(Tab.o1[[#This Row],[a1]]=1,Tab.o1[[#This Row],[Zb]]*_xlfn.STDEV.P(Tab.o1[MedMod])+AVERAGE(Tab.o1[MedMod]),"")</f>
        <v/>
      </c>
      <c r="P240" s="117" t="str">
        <f ca="1">IF(Tab.o1[[#This Row],[B]]=0,AVERAGE(OFFSET(Tab.o1[[#This Row],[B]],1,0,L$3,1)),Tab.o1[[#This Row],[B]])</f>
        <v/>
      </c>
      <c r="Q240" s="121" t="str">
        <f>IF(Tab.o1[[#This Row],[a1]]=1,NORMSDIST(Tab.o1[[#This Row],[Zb]]),"")</f>
        <v/>
      </c>
      <c r="R240" s="122" t="str">
        <f>IF(Tab.o1[[#This Row],[a1]]=1,((Tab.o1[[#This Row],[MedMod]]-AVERAGE(Tab.o1[MedMod]))/_xlfn.STDEV.P(Tab.o1[MedMod])*H$1203)+G$1203,"")</f>
        <v/>
      </c>
      <c r="S240" s="122" t="str">
        <f>IF(Tab.o1[[#This Row],[a1]]=1,((Tab.o1[[#This Row],[MedMod]]-AVERAGE(Tab.o1[MedMod]))/_xlfn.STDEV.P(Tab.o1[MedMod])*H$1204)+G$1204,"")</f>
        <v/>
      </c>
      <c r="T240" s="123" t="str">
        <f>IF(Tab.o1[[#This Row],[a1]]=1,Tab.o1[[#This Row],[Z-]]*_xlfn.STDEV.P(Tab.o1[B])+AVERAGE(Tab.o1[B]),"")</f>
        <v/>
      </c>
      <c r="U240" s="123" t="str">
        <f>IF(Tab.o1[[#This Row],[a1]]=1,Tab.o1[[#This Row],[z+]]*_xlfn.STDEV.P(Tab.o1[B])+AVERAGE(Tab.o1[B]),"")</f>
        <v/>
      </c>
      <c r="V240" s="124" t="str">
        <f>IF(Tab.o1[[#This Row],[a1]]=1,ABS((ABS(Tab.o1[[#This Row],[Red]]-Tab.o1[[#This Row],[Blue]]))),"")</f>
        <v/>
      </c>
      <c r="W240" s="125" t="str">
        <f>IF(Tab.o1[[#This Row],[a1]]=1,IF(W$3=0,1,Tab.o1[[#This Row],[Amp.]]*1/_xlfn.MINIFS(Tab.o1[Amp.],Tab.o1[Amp.],"&lt;&gt;0")),"")</f>
        <v/>
      </c>
      <c r="X240" s="126" t="str">
        <f>IF(Tab.o1[[#This Row],[a1]]=1,IF(ISNUMBER(Tab.o1[[#This Row],[i.]]),NORMDIST(Tab.o1[[#This Row],[Za]],0,1,FALSE)*Tab.o1[[#This Row],[i.]],AP$3),"")</f>
        <v/>
      </c>
      <c r="Y240" s="126" t="str">
        <f>IF(Tab.o1[[#This Row],[a1]]=1,0.01+0.94*Tab.o1[[#This Row],[PDF]]/MAX(Tab.o1[PDF]),"")</f>
        <v/>
      </c>
      <c r="Z240" s="126" t="str">
        <f>IF(Tab.o1[[#This Row],[a1]]=1,0.01+0.94*Tab.o1[[#This Row],[W1_PDF]]/MAX(Tab.o1[W1_PDF]),"")</f>
        <v/>
      </c>
      <c r="AA240" s="118" t="str">
        <f>IF(Tab.o1[[#This Row],[a1]]=1,ABS([1]!T.in.A[[#This Row],[oo6]]),"")</f>
        <v/>
      </c>
      <c r="AB240" s="127" t="str">
        <f>IF(Tab.o1[[#This Row],[a1]]=1,IF(AE$3=0,"",IF(AB$3=0,ABS([1]!T.in.A[[#This Row],[oo9]]),ABS(Tab.o1[[#This Row],[DIF_Target.]]*Tab.o1[[#This Row],[W1_PDF]]))),"")</f>
        <v/>
      </c>
      <c r="AC240" s="127" t="str">
        <f>IF(G$1=1,"",IF(Tab.o1[[#This Row],[a1]]=1,Tab.o1[[#This Row],[Wr]]^2,""))</f>
        <v/>
      </c>
      <c r="AD240" s="118" t="str">
        <f>IF(Tab.o1[[#This Row],[a1]]=1,IF(AE$3=0,"",Tab.o1[[#This Row],[Wr2]]/SUM(Tab.o1[Wr2])),"")</f>
        <v/>
      </c>
      <c r="AE240" s="128" t="str">
        <f>IF(Tab.o1[[#This Row],[a1]]=1,[1]!T.in.A[[#This Row],[oo10]],"")</f>
        <v/>
      </c>
      <c r="AF240" s="118" t="str">
        <f>IF(Tab.o1[[#This Row],[a1]]=1,ABS(Tab.o1[[#This Row],[DIF_Target.]]*Tab.o1[[#This Row],[PDF2]]*Tab.o1[[#This Row],[IN]]),"")</f>
        <v/>
      </c>
      <c r="AG240" s="129" t="str">
        <f>IF(Tab.o1[[#This Row],[a1]]=1,Tab.o1[[#This Row],[rW]]^2,"")</f>
        <v/>
      </c>
      <c r="AH240" s="130" t="str">
        <f>IF(Tab.o1[[#This Row],[a1]]=1,IF(AH$3=0,Tab.o1[[#This Row],[rW2]],0.01+0.94*Tab.o1[[#This Row],[rW2]]/SUM(Tab.o1[rW2])),"")</f>
        <v/>
      </c>
      <c r="AI240" s="128" t="str">
        <f>IF(Tab.o1[[#This Row],[a1]]=1,1/Tab.o1[[#This Row],[PDF]],"")</f>
        <v/>
      </c>
      <c r="AJ240" s="131" t="str">
        <f>IF(Tab.o1[[#This Row],[a1]]=1,[1]!T_AA[[#This Row],[IN'']]*[1]!T_AA[[#This Row],[Qde'']],"")</f>
        <v/>
      </c>
      <c r="AK240" s="132" t="str">
        <f>IF(Tab.o1[[#This Row],[a1]]=1,IF(AK$1=1,Tab.o1[[#This Row],[MED]]+Tab.o1[[#This Row],[MOD]]-Tab.o1[[#This Row],[MED]],""),"")</f>
        <v/>
      </c>
      <c r="AL240" s="133" t="str">
        <f>IF(Tab.o1[[#This Row],[a1]]=1,[1]!T.in.A[[#This Row],[oo16]],"")</f>
        <v/>
      </c>
      <c r="AM240" s="133" t="str">
        <f>IF(Tab.o1[[#This Row],[a1]]=1,IF(AM$3=1,[1]!T.in.A[[#This Row],[Σo16]],""),"")</f>
        <v/>
      </c>
      <c r="AN240" s="126" t="str">
        <f>IF(Tab.o1[[#This Row],[a1]]=1,[1]!T.in.A[[#This Row],[Σp5]],"")</f>
        <v/>
      </c>
      <c r="AO240" s="126" t="str">
        <f>IF(Tab.o1[[#This Row],[a1]]=1,IF(AO$3=1,[1]!T.in.A[[#This Row],[Σp5]],""),"")</f>
        <v/>
      </c>
      <c r="AP240" s="110" t="str">
        <f>IF(Tab.o1[[#This Row],[a1]]=1,IF(ISNUMBER(Tab.o1[[#This Row],[i.]]),NORMDIST(Tab.o1[[#This Row],[Za]],0,1,FALSE)*Tab.o1[[#This Row],[i.]],0),"")</f>
        <v/>
      </c>
      <c r="AQ240" s="125" t="str">
        <f>IF(Tab.o1[[#This Row],[a1]]=1,ABS(Tab.o1[[#This Row],[MOD]]-AVERAGE(Tab.o1[MOD])),"")</f>
        <v/>
      </c>
      <c r="AR240" s="134" t="str">
        <f>IF(Tab.o1[[#This Row],[a1]]=1,Tab.o1[[#This Row],[OBS]]/SUM(Tab.o1[OBS]),"")</f>
        <v/>
      </c>
      <c r="AS240" s="135" t="str">
        <f>IF(ISNUMBER(Tab.o1[[#This Row],[a1]]),ROW()-4,"")</f>
        <v/>
      </c>
      <c r="AT240" s="136" t="str">
        <f>Tab.o1[[#This Row],[MOD]]</f>
        <v/>
      </c>
      <c r="AU240" s="137" t="str">
        <f t="shared" si="13"/>
        <v/>
      </c>
      <c r="AV240" s="138" t="str">
        <f t="shared" si="14"/>
        <v/>
      </c>
      <c r="AW240" s="138" t="str">
        <f t="shared" si="15"/>
        <v/>
      </c>
      <c r="AX240" s="139" t="str">
        <f>[1]!T.in.A[[#This Row],[ID_T_manu]]</f>
        <v/>
      </c>
      <c r="AY240" s="140" t="str">
        <f>IF(ISNUMBER(Tab.o1[[#This Row],[a1]]),IF(AND(Tab.o1[[#This Row],[a1]]=1,Tab.o1[[#This Row],[b1]]&lt;=AY$4),#REF!,AY239),"")</f>
        <v/>
      </c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</row>
    <row r="241" spans="1:79" ht="14.25" hidden="1" customHeight="1">
      <c r="A241" s="109">
        <v>-8.0000000000000013E-6</v>
      </c>
      <c r="B241" s="110">
        <f t="shared" si="12"/>
        <v>241</v>
      </c>
      <c r="C241" s="111" t="str">
        <f>IF(C$1=[1]!T.in.A[[#This Row],[oo2]],1,"")</f>
        <v/>
      </c>
      <c r="D241" s="112" t="str">
        <f>IF(Tab.o1[[#This Row],[a1]]=1,IF(SUM(C241:C242)=0,0,IF(SUM(C240:C241)=1,1,IF(SUM(C240:C242)&gt;1,D240+1,0))),"")</f>
        <v/>
      </c>
      <c r="E241" s="113" t="str">
        <f>IF(Tab.o1[[#This Row],[a1]]=1,[1]!T.in.A[[#This Row],[oo1]],"")</f>
        <v/>
      </c>
      <c r="F241" s="113" t="str">
        <f>IF(Tab.o1[[#This Row],[a1]]=1,[1]!T.in.A[[#This Row],[pp1]],"")</f>
        <v/>
      </c>
      <c r="G241" s="114" t="str">
        <f>IF(Tab.o1[[#This Row],[a1]]=1,G$2+IF(G$1=1,0,Tab.o1[[#This Row],[.x1]])+[1]!T.in.A[[#This Row],[oo3]],"")</f>
        <v/>
      </c>
      <c r="H241" s="115" t="str">
        <f>IF(Tab.o1[[#This Row],[a1]]=1,IF(H$2=0,0,IF(G$1=1,0,Tab.o1[[#This Row],[.x1]])+[1]!T.in.A[[#This Row],[oo4]]),"")</f>
        <v/>
      </c>
      <c r="I241" s="116" t="str">
        <f>IF(Tab.o1[[#This Row],[a1]]=1,IF(J$2=0,Tab.o1[[#This Row],[MED]],Tab.o1[[#This Row],[MOD]]),"")</f>
        <v/>
      </c>
      <c r="J241" s="116" t="str">
        <f>IF(Tab.o1[[#This Row],[a1]]=1,((Tab.o1[[#This Row],[DIF_Target.]]-AVERAGE(Tab.o1[DIF_Target.]))/_xlfn.STDEV.P(Tab.o1[DIF_Target.])),"")</f>
        <v/>
      </c>
      <c r="K241" s="117" t="str">
        <f>IF(Tab.o1[[#This Row],[a1]]=1,IF(J$2=0,Tab.o1[[#This Row],[MOD]]-Tab.o1[[#This Row],[B]],IF(J$2=1,0,-Tab.o1[[#This Row],[MED]])+Tab.o1[[#This Row],[B]]),"")</f>
        <v/>
      </c>
      <c r="L241" s="117" t="str">
        <f ca="1">IF(Tab.o1[[#This Row],[DIF_Target]]=0,IF(L$2=0,Tab.o1[[#This Row],[DIF_Target]],AVERAGE(OFFSET(Tab.o1[[#This Row],[DIF_Target]],1,0,L$3,1)))/3,Tab.o1[[#This Row],[DIF_Target]])</f>
        <v/>
      </c>
      <c r="M241" s="118" t="str">
        <f>IF(Tab.o1[[#This Row],[a1]]=1,NORMSDIST(Tab.o1[[#This Row],[Za]]),"")</f>
        <v/>
      </c>
      <c r="N241" s="119" t="str">
        <f>IF(Tab.o1[[#This Row],[a1]]=1,((Tab.o1[[#This Row],[MedMod]]-AVERAGE(Tab.o1[MedMod]))/_xlfn.STDEV.P(Tab.o1[MedMod])*H$1205)+G$1205,"")</f>
        <v/>
      </c>
      <c r="O241" s="141" t="str">
        <f>IF(Tab.o1[[#This Row],[a1]]=1,Tab.o1[[#This Row],[Zb]]*_xlfn.STDEV.P(Tab.o1[MedMod])+AVERAGE(Tab.o1[MedMod]),"")</f>
        <v/>
      </c>
      <c r="P241" s="117" t="str">
        <f ca="1">IF(Tab.o1[[#This Row],[B]]=0,AVERAGE(OFFSET(Tab.o1[[#This Row],[B]],1,0,L$3,1)),Tab.o1[[#This Row],[B]])</f>
        <v/>
      </c>
      <c r="Q241" s="121" t="str">
        <f>IF(Tab.o1[[#This Row],[a1]]=1,NORMSDIST(Tab.o1[[#This Row],[Zb]]),"")</f>
        <v/>
      </c>
      <c r="R241" s="122" t="str">
        <f>IF(Tab.o1[[#This Row],[a1]]=1,((Tab.o1[[#This Row],[MedMod]]-AVERAGE(Tab.o1[MedMod]))/_xlfn.STDEV.P(Tab.o1[MedMod])*H$1203)+G$1203,"")</f>
        <v/>
      </c>
      <c r="S241" s="122" t="str">
        <f>IF(Tab.o1[[#This Row],[a1]]=1,((Tab.o1[[#This Row],[MedMod]]-AVERAGE(Tab.o1[MedMod]))/_xlfn.STDEV.P(Tab.o1[MedMod])*H$1204)+G$1204,"")</f>
        <v/>
      </c>
      <c r="T241" s="123" t="str">
        <f>IF(Tab.o1[[#This Row],[a1]]=1,Tab.o1[[#This Row],[Z-]]*_xlfn.STDEV.P(Tab.o1[B])+AVERAGE(Tab.o1[B]),"")</f>
        <v/>
      </c>
      <c r="U241" s="123" t="str">
        <f>IF(Tab.o1[[#This Row],[a1]]=1,Tab.o1[[#This Row],[z+]]*_xlfn.STDEV.P(Tab.o1[B])+AVERAGE(Tab.o1[B]),"")</f>
        <v/>
      </c>
      <c r="V241" s="124" t="str">
        <f>IF(Tab.o1[[#This Row],[a1]]=1,ABS((ABS(Tab.o1[[#This Row],[Red]]-Tab.o1[[#This Row],[Blue]]))),"")</f>
        <v/>
      </c>
      <c r="W241" s="125" t="str">
        <f>IF(Tab.o1[[#This Row],[a1]]=1,IF(W$3=0,1,Tab.o1[[#This Row],[Amp.]]*1/_xlfn.MINIFS(Tab.o1[Amp.],Tab.o1[Amp.],"&lt;&gt;0")),"")</f>
        <v/>
      </c>
      <c r="X241" s="126" t="str">
        <f>IF(Tab.o1[[#This Row],[a1]]=1,IF(ISNUMBER(Tab.o1[[#This Row],[i.]]),NORMDIST(Tab.o1[[#This Row],[Za]],0,1,FALSE)*Tab.o1[[#This Row],[i.]],AP$3),"")</f>
        <v/>
      </c>
      <c r="Y241" s="126" t="str">
        <f>IF(Tab.o1[[#This Row],[a1]]=1,0.01+0.94*Tab.o1[[#This Row],[PDF]]/MAX(Tab.o1[PDF]),"")</f>
        <v/>
      </c>
      <c r="Z241" s="126" t="str">
        <f>IF(Tab.o1[[#This Row],[a1]]=1,0.01+0.94*Tab.o1[[#This Row],[W1_PDF]]/MAX(Tab.o1[W1_PDF]),"")</f>
        <v/>
      </c>
      <c r="AA241" s="118" t="str">
        <f>IF(Tab.o1[[#This Row],[a1]]=1,ABS([1]!T.in.A[[#This Row],[oo6]]),"")</f>
        <v/>
      </c>
      <c r="AB241" s="127" t="str">
        <f>IF(Tab.o1[[#This Row],[a1]]=1,IF(AE$3=0,"",IF(AB$3=0,ABS([1]!T.in.A[[#This Row],[oo9]]),ABS(Tab.o1[[#This Row],[DIF_Target.]]*Tab.o1[[#This Row],[W1_PDF]]))),"")</f>
        <v/>
      </c>
      <c r="AC241" s="127" t="str">
        <f>IF(G$1=1,"",IF(Tab.o1[[#This Row],[a1]]=1,Tab.o1[[#This Row],[Wr]]^2,""))</f>
        <v/>
      </c>
      <c r="AD241" s="118" t="str">
        <f>IF(Tab.o1[[#This Row],[a1]]=1,IF(AE$3=0,"",Tab.o1[[#This Row],[Wr2]]/SUM(Tab.o1[Wr2])),"")</f>
        <v/>
      </c>
      <c r="AE241" s="128" t="str">
        <f>IF(Tab.o1[[#This Row],[a1]]=1,[1]!T.in.A[[#This Row],[oo10]],"")</f>
        <v/>
      </c>
      <c r="AF241" s="118" t="str">
        <f>IF(Tab.o1[[#This Row],[a1]]=1,ABS(Tab.o1[[#This Row],[DIF_Target.]]*Tab.o1[[#This Row],[PDF2]]*Tab.o1[[#This Row],[IN]]),"")</f>
        <v/>
      </c>
      <c r="AG241" s="129" t="str">
        <f>IF(Tab.o1[[#This Row],[a1]]=1,Tab.o1[[#This Row],[rW]]^2,"")</f>
        <v/>
      </c>
      <c r="AH241" s="130" t="str">
        <f>IF(Tab.o1[[#This Row],[a1]]=1,IF(AH$3=0,Tab.o1[[#This Row],[rW2]],0.01+0.94*Tab.o1[[#This Row],[rW2]]/SUM(Tab.o1[rW2])),"")</f>
        <v/>
      </c>
      <c r="AI241" s="128" t="str">
        <f>IF(Tab.o1[[#This Row],[a1]]=1,1/Tab.o1[[#This Row],[PDF]],"")</f>
        <v/>
      </c>
      <c r="AJ241" s="131" t="str">
        <f>IF(Tab.o1[[#This Row],[a1]]=1,[1]!T_AA[[#This Row],[IN'']]*[1]!T_AA[[#This Row],[Qde'']],"")</f>
        <v/>
      </c>
      <c r="AK241" s="132" t="str">
        <f>IF(Tab.o1[[#This Row],[a1]]=1,IF(AK$1=1,Tab.o1[[#This Row],[MED]]+Tab.o1[[#This Row],[MOD]]-Tab.o1[[#This Row],[MED]],""),"")</f>
        <v/>
      </c>
      <c r="AL241" s="133" t="str">
        <f>IF(Tab.o1[[#This Row],[a1]]=1,[1]!T.in.A[[#This Row],[oo16]],"")</f>
        <v/>
      </c>
      <c r="AM241" s="133" t="str">
        <f>IF(Tab.o1[[#This Row],[a1]]=1,IF(AM$3=1,[1]!T.in.A[[#This Row],[Σo16]],""),"")</f>
        <v/>
      </c>
      <c r="AN241" s="126" t="str">
        <f>IF(Tab.o1[[#This Row],[a1]]=1,[1]!T.in.A[[#This Row],[Σp5]],"")</f>
        <v/>
      </c>
      <c r="AO241" s="126" t="str">
        <f>IF(Tab.o1[[#This Row],[a1]]=1,IF(AO$3=1,[1]!T.in.A[[#This Row],[Σp5]],""),"")</f>
        <v/>
      </c>
      <c r="AP241" s="110" t="str">
        <f>IF(Tab.o1[[#This Row],[a1]]=1,IF(ISNUMBER(Tab.o1[[#This Row],[i.]]),NORMDIST(Tab.o1[[#This Row],[Za]],0,1,FALSE)*Tab.o1[[#This Row],[i.]],0),"")</f>
        <v/>
      </c>
      <c r="AQ241" s="125" t="str">
        <f>IF(Tab.o1[[#This Row],[a1]]=1,ABS(Tab.o1[[#This Row],[MOD]]-AVERAGE(Tab.o1[MOD])),"")</f>
        <v/>
      </c>
      <c r="AR241" s="134" t="str">
        <f>IF(Tab.o1[[#This Row],[a1]]=1,Tab.o1[[#This Row],[OBS]]/SUM(Tab.o1[OBS]),"")</f>
        <v/>
      </c>
      <c r="AS241" s="135" t="str">
        <f>IF(ISNUMBER(Tab.o1[[#This Row],[a1]]),ROW()-4,"")</f>
        <v/>
      </c>
      <c r="AT241" s="136" t="str">
        <f>Tab.o1[[#This Row],[MOD]]</f>
        <v/>
      </c>
      <c r="AU241" s="137" t="str">
        <f t="shared" si="13"/>
        <v/>
      </c>
      <c r="AV241" s="138" t="str">
        <f t="shared" si="14"/>
        <v/>
      </c>
      <c r="AW241" s="138" t="str">
        <f t="shared" si="15"/>
        <v/>
      </c>
      <c r="AX241" s="139" t="str">
        <f>[1]!T.in.A[[#This Row],[ID_T_manu]]</f>
        <v/>
      </c>
      <c r="AY241" s="140" t="str">
        <f>IF(ISNUMBER(Tab.o1[[#This Row],[a1]]),IF(AND(Tab.o1[[#This Row],[a1]]=1,Tab.o1[[#This Row],[b1]]&lt;=AY$4),#REF!,AY240),"")</f>
        <v/>
      </c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</row>
    <row r="242" spans="1:79" ht="14.25" hidden="1" customHeight="1">
      <c r="A242" s="109">
        <v>1.0000000000000002E-6</v>
      </c>
      <c r="B242" s="110">
        <f t="shared" si="12"/>
        <v>242</v>
      </c>
      <c r="C242" s="111" t="str">
        <f>IF(C$1=[1]!T.in.A[[#This Row],[oo2]],1,"")</f>
        <v/>
      </c>
      <c r="D242" s="112" t="str">
        <f>IF(Tab.o1[[#This Row],[a1]]=1,IF(SUM(C242:C243)=0,0,IF(SUM(C241:C242)=1,1,IF(SUM(C241:C243)&gt;1,D241+1,0))),"")</f>
        <v/>
      </c>
      <c r="E242" s="113" t="str">
        <f>IF(Tab.o1[[#This Row],[a1]]=1,[1]!T.in.A[[#This Row],[oo1]],"")</f>
        <v/>
      </c>
      <c r="F242" s="113" t="str">
        <f>IF(Tab.o1[[#This Row],[a1]]=1,[1]!T.in.A[[#This Row],[pp1]],"")</f>
        <v/>
      </c>
      <c r="G242" s="114" t="str">
        <f>IF(Tab.o1[[#This Row],[a1]]=1,G$2+IF(G$1=1,0,Tab.o1[[#This Row],[.x1]])+[1]!T.in.A[[#This Row],[oo3]],"")</f>
        <v/>
      </c>
      <c r="H242" s="115" t="str">
        <f>IF(Tab.o1[[#This Row],[a1]]=1,IF(H$2=0,0,IF(G$1=1,0,Tab.o1[[#This Row],[.x1]])+[1]!T.in.A[[#This Row],[oo4]]),"")</f>
        <v/>
      </c>
      <c r="I242" s="116" t="str">
        <f>IF(Tab.o1[[#This Row],[a1]]=1,IF(J$2=0,Tab.o1[[#This Row],[MED]],Tab.o1[[#This Row],[MOD]]),"")</f>
        <v/>
      </c>
      <c r="J242" s="116" t="str">
        <f>IF(Tab.o1[[#This Row],[a1]]=1,((Tab.o1[[#This Row],[DIF_Target.]]-AVERAGE(Tab.o1[DIF_Target.]))/_xlfn.STDEV.P(Tab.o1[DIF_Target.])),"")</f>
        <v/>
      </c>
      <c r="K242" s="117" t="str">
        <f>IF(Tab.o1[[#This Row],[a1]]=1,IF(J$2=0,Tab.o1[[#This Row],[MOD]]-Tab.o1[[#This Row],[B]],IF(J$2=1,0,-Tab.o1[[#This Row],[MED]])+Tab.o1[[#This Row],[B]]),"")</f>
        <v/>
      </c>
      <c r="L242" s="117" t="str">
        <f ca="1">IF(Tab.o1[[#This Row],[DIF_Target]]=0,IF(L$2=0,Tab.o1[[#This Row],[DIF_Target]],AVERAGE(OFFSET(Tab.o1[[#This Row],[DIF_Target]],1,0,L$3,1)))/3,Tab.o1[[#This Row],[DIF_Target]])</f>
        <v/>
      </c>
      <c r="M242" s="118" t="str">
        <f>IF(Tab.o1[[#This Row],[a1]]=1,NORMSDIST(Tab.o1[[#This Row],[Za]]),"")</f>
        <v/>
      </c>
      <c r="N242" s="119" t="str">
        <f>IF(Tab.o1[[#This Row],[a1]]=1,((Tab.o1[[#This Row],[MedMod]]-AVERAGE(Tab.o1[MedMod]))/_xlfn.STDEV.P(Tab.o1[MedMod])*H$1205)+G$1205,"")</f>
        <v/>
      </c>
      <c r="O242" s="141" t="str">
        <f>IF(Tab.o1[[#This Row],[a1]]=1,Tab.o1[[#This Row],[Zb]]*_xlfn.STDEV.P(Tab.o1[MedMod])+AVERAGE(Tab.o1[MedMod]),"")</f>
        <v/>
      </c>
      <c r="P242" s="117" t="str">
        <f ca="1">IF(Tab.o1[[#This Row],[B]]=0,AVERAGE(OFFSET(Tab.o1[[#This Row],[B]],1,0,L$3,1)),Tab.o1[[#This Row],[B]])</f>
        <v/>
      </c>
      <c r="Q242" s="121" t="str">
        <f>IF(Tab.o1[[#This Row],[a1]]=1,NORMSDIST(Tab.o1[[#This Row],[Zb]]),"")</f>
        <v/>
      </c>
      <c r="R242" s="122" t="str">
        <f>IF(Tab.o1[[#This Row],[a1]]=1,((Tab.o1[[#This Row],[MedMod]]-AVERAGE(Tab.o1[MedMod]))/_xlfn.STDEV.P(Tab.o1[MedMod])*H$1203)+G$1203,"")</f>
        <v/>
      </c>
      <c r="S242" s="122" t="str">
        <f>IF(Tab.o1[[#This Row],[a1]]=1,((Tab.o1[[#This Row],[MedMod]]-AVERAGE(Tab.o1[MedMod]))/_xlfn.STDEV.P(Tab.o1[MedMod])*H$1204)+G$1204,"")</f>
        <v/>
      </c>
      <c r="T242" s="123" t="str">
        <f>IF(Tab.o1[[#This Row],[a1]]=1,Tab.o1[[#This Row],[Z-]]*_xlfn.STDEV.P(Tab.o1[B])+AVERAGE(Tab.o1[B]),"")</f>
        <v/>
      </c>
      <c r="U242" s="123" t="str">
        <f>IF(Tab.o1[[#This Row],[a1]]=1,Tab.o1[[#This Row],[z+]]*_xlfn.STDEV.P(Tab.o1[B])+AVERAGE(Tab.o1[B]),"")</f>
        <v/>
      </c>
      <c r="V242" s="124" t="str">
        <f>IF(Tab.o1[[#This Row],[a1]]=1,ABS((ABS(Tab.o1[[#This Row],[Red]]-Tab.o1[[#This Row],[Blue]]))),"")</f>
        <v/>
      </c>
      <c r="W242" s="125" t="str">
        <f>IF(Tab.o1[[#This Row],[a1]]=1,IF(W$3=0,1,Tab.o1[[#This Row],[Amp.]]*1/_xlfn.MINIFS(Tab.o1[Amp.],Tab.o1[Amp.],"&lt;&gt;0")),"")</f>
        <v/>
      </c>
      <c r="X242" s="126" t="str">
        <f>IF(Tab.o1[[#This Row],[a1]]=1,IF(ISNUMBER(Tab.o1[[#This Row],[i.]]),NORMDIST(Tab.o1[[#This Row],[Za]],0,1,FALSE)*Tab.o1[[#This Row],[i.]],AP$3),"")</f>
        <v/>
      </c>
      <c r="Y242" s="126" t="str">
        <f>IF(Tab.o1[[#This Row],[a1]]=1,0.01+0.94*Tab.o1[[#This Row],[PDF]]/MAX(Tab.o1[PDF]),"")</f>
        <v/>
      </c>
      <c r="Z242" s="126" t="str">
        <f>IF(Tab.o1[[#This Row],[a1]]=1,0.01+0.94*Tab.o1[[#This Row],[W1_PDF]]/MAX(Tab.o1[W1_PDF]),"")</f>
        <v/>
      </c>
      <c r="AA242" s="118" t="str">
        <f>IF(Tab.o1[[#This Row],[a1]]=1,ABS([1]!T.in.A[[#This Row],[oo6]]),"")</f>
        <v/>
      </c>
      <c r="AB242" s="127" t="str">
        <f>IF(Tab.o1[[#This Row],[a1]]=1,IF(AE$3=0,"",IF(AB$3=0,ABS([1]!T.in.A[[#This Row],[oo9]]),ABS(Tab.o1[[#This Row],[DIF_Target.]]*Tab.o1[[#This Row],[W1_PDF]]))),"")</f>
        <v/>
      </c>
      <c r="AC242" s="127" t="str">
        <f>IF(G$1=1,"",IF(Tab.o1[[#This Row],[a1]]=1,Tab.o1[[#This Row],[Wr]]^2,""))</f>
        <v/>
      </c>
      <c r="AD242" s="118" t="str">
        <f>IF(Tab.o1[[#This Row],[a1]]=1,IF(AE$3=0,"",Tab.o1[[#This Row],[Wr2]]/SUM(Tab.o1[Wr2])),"")</f>
        <v/>
      </c>
      <c r="AE242" s="128" t="str">
        <f>IF(Tab.o1[[#This Row],[a1]]=1,[1]!T.in.A[[#This Row],[oo10]],"")</f>
        <v/>
      </c>
      <c r="AF242" s="118" t="str">
        <f>IF(Tab.o1[[#This Row],[a1]]=1,ABS(Tab.o1[[#This Row],[DIF_Target.]]*Tab.o1[[#This Row],[PDF2]]*Tab.o1[[#This Row],[IN]]),"")</f>
        <v/>
      </c>
      <c r="AG242" s="129" t="str">
        <f>IF(Tab.o1[[#This Row],[a1]]=1,Tab.o1[[#This Row],[rW]]^2,"")</f>
        <v/>
      </c>
      <c r="AH242" s="130" t="str">
        <f>IF(Tab.o1[[#This Row],[a1]]=1,IF(AH$3=0,Tab.o1[[#This Row],[rW2]],0.01+0.94*Tab.o1[[#This Row],[rW2]]/SUM(Tab.o1[rW2])),"")</f>
        <v/>
      </c>
      <c r="AI242" s="128" t="str">
        <f>IF(Tab.o1[[#This Row],[a1]]=1,1/Tab.o1[[#This Row],[PDF]],"")</f>
        <v/>
      </c>
      <c r="AJ242" s="131" t="str">
        <f>IF(Tab.o1[[#This Row],[a1]]=1,[1]!T_AA[[#This Row],[IN'']]*[1]!T_AA[[#This Row],[Qde'']],"")</f>
        <v/>
      </c>
      <c r="AK242" s="132" t="str">
        <f>IF(Tab.o1[[#This Row],[a1]]=1,IF(AK$1=1,Tab.o1[[#This Row],[MED]]+Tab.o1[[#This Row],[MOD]]-Tab.o1[[#This Row],[MED]],""),"")</f>
        <v/>
      </c>
      <c r="AL242" s="133" t="str">
        <f>IF(Tab.o1[[#This Row],[a1]]=1,[1]!T.in.A[[#This Row],[oo16]],"")</f>
        <v/>
      </c>
      <c r="AM242" s="133" t="str">
        <f>IF(Tab.o1[[#This Row],[a1]]=1,IF(AM$3=1,[1]!T.in.A[[#This Row],[Σo16]],""),"")</f>
        <v/>
      </c>
      <c r="AN242" s="126" t="str">
        <f>IF(Tab.o1[[#This Row],[a1]]=1,[1]!T.in.A[[#This Row],[Σp5]],"")</f>
        <v/>
      </c>
      <c r="AO242" s="126" t="str">
        <f>IF(Tab.o1[[#This Row],[a1]]=1,IF(AO$3=1,[1]!T.in.A[[#This Row],[Σp5]],""),"")</f>
        <v/>
      </c>
      <c r="AP242" s="110" t="str">
        <f>IF(Tab.o1[[#This Row],[a1]]=1,IF(ISNUMBER(Tab.o1[[#This Row],[i.]]),NORMDIST(Tab.o1[[#This Row],[Za]],0,1,FALSE)*Tab.o1[[#This Row],[i.]],0),"")</f>
        <v/>
      </c>
      <c r="AQ242" s="125" t="str">
        <f>IF(Tab.o1[[#This Row],[a1]]=1,ABS(Tab.o1[[#This Row],[MOD]]-AVERAGE(Tab.o1[MOD])),"")</f>
        <v/>
      </c>
      <c r="AR242" s="134" t="str">
        <f>IF(Tab.o1[[#This Row],[a1]]=1,Tab.o1[[#This Row],[OBS]]/SUM(Tab.o1[OBS]),"")</f>
        <v/>
      </c>
      <c r="AS242" s="135" t="str">
        <f>IF(ISNUMBER(Tab.o1[[#This Row],[a1]]),ROW()-4,"")</f>
        <v/>
      </c>
      <c r="AT242" s="136" t="str">
        <f>Tab.o1[[#This Row],[MOD]]</f>
        <v/>
      </c>
      <c r="AU242" s="137" t="str">
        <f t="shared" si="13"/>
        <v/>
      </c>
      <c r="AV242" s="138" t="str">
        <f t="shared" si="14"/>
        <v/>
      </c>
      <c r="AW242" s="138" t="str">
        <f t="shared" si="15"/>
        <v/>
      </c>
      <c r="AX242" s="139" t="str">
        <f>[1]!T.in.A[[#This Row],[ID_T_manu]]</f>
        <v/>
      </c>
      <c r="AY242" s="140" t="str">
        <f>IF(ISNUMBER(Tab.o1[[#This Row],[a1]]),IF(AND(Tab.o1[[#This Row],[a1]]=1,Tab.o1[[#This Row],[b1]]&lt;=AY$4),#REF!,AY241),"")</f>
        <v/>
      </c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</row>
    <row r="243" spans="1:79" ht="14.25" hidden="1" customHeight="1">
      <c r="A243" s="109">
        <v>2.0000000000000003E-6</v>
      </c>
      <c r="B243" s="110">
        <f t="shared" si="12"/>
        <v>243</v>
      </c>
      <c r="C243" s="111" t="str">
        <f>IF(C$1=[1]!T.in.A[[#This Row],[oo2]],1,"")</f>
        <v/>
      </c>
      <c r="D243" s="112" t="str">
        <f>IF(Tab.o1[[#This Row],[a1]]=1,IF(SUM(C243:C244)=0,0,IF(SUM(C242:C243)=1,1,IF(SUM(C242:C244)&gt;1,D242+1,0))),"")</f>
        <v/>
      </c>
      <c r="E243" s="113" t="str">
        <f>IF(Tab.o1[[#This Row],[a1]]=1,[1]!T.in.A[[#This Row],[oo1]],"")</f>
        <v/>
      </c>
      <c r="F243" s="113" t="str">
        <f>IF(Tab.o1[[#This Row],[a1]]=1,[1]!T.in.A[[#This Row],[pp1]],"")</f>
        <v/>
      </c>
      <c r="G243" s="114" t="str">
        <f>IF(Tab.o1[[#This Row],[a1]]=1,G$2+IF(G$1=1,0,Tab.o1[[#This Row],[.x1]])+[1]!T.in.A[[#This Row],[oo3]],"")</f>
        <v/>
      </c>
      <c r="H243" s="115" t="str">
        <f>IF(Tab.o1[[#This Row],[a1]]=1,IF(H$2=0,0,IF(G$1=1,0,Tab.o1[[#This Row],[.x1]])+[1]!T.in.A[[#This Row],[oo4]]),"")</f>
        <v/>
      </c>
      <c r="I243" s="116" t="str">
        <f>IF(Tab.o1[[#This Row],[a1]]=1,IF(J$2=0,Tab.o1[[#This Row],[MED]],Tab.o1[[#This Row],[MOD]]),"")</f>
        <v/>
      </c>
      <c r="J243" s="116" t="str">
        <f>IF(Tab.o1[[#This Row],[a1]]=1,((Tab.o1[[#This Row],[DIF_Target.]]-AVERAGE(Tab.o1[DIF_Target.]))/_xlfn.STDEV.P(Tab.o1[DIF_Target.])),"")</f>
        <v/>
      </c>
      <c r="K243" s="117" t="str">
        <f>IF(Tab.o1[[#This Row],[a1]]=1,IF(J$2=0,Tab.o1[[#This Row],[MOD]]-Tab.o1[[#This Row],[B]],IF(J$2=1,0,-Tab.o1[[#This Row],[MED]])+Tab.o1[[#This Row],[B]]),"")</f>
        <v/>
      </c>
      <c r="L243" s="117" t="str">
        <f ca="1">IF(Tab.o1[[#This Row],[DIF_Target]]=0,IF(L$2=0,Tab.o1[[#This Row],[DIF_Target]],AVERAGE(OFFSET(Tab.o1[[#This Row],[DIF_Target]],1,0,L$3,1)))/3,Tab.o1[[#This Row],[DIF_Target]])</f>
        <v/>
      </c>
      <c r="M243" s="118" t="str">
        <f>IF(Tab.o1[[#This Row],[a1]]=1,NORMSDIST(Tab.o1[[#This Row],[Za]]),"")</f>
        <v/>
      </c>
      <c r="N243" s="119" t="str">
        <f>IF(Tab.o1[[#This Row],[a1]]=1,((Tab.o1[[#This Row],[MedMod]]-AVERAGE(Tab.o1[MedMod]))/_xlfn.STDEV.P(Tab.o1[MedMod])*H$1205)+G$1205,"")</f>
        <v/>
      </c>
      <c r="O243" s="141" t="str">
        <f>IF(Tab.o1[[#This Row],[a1]]=1,Tab.o1[[#This Row],[Zb]]*_xlfn.STDEV.P(Tab.o1[MedMod])+AVERAGE(Tab.o1[MedMod]),"")</f>
        <v/>
      </c>
      <c r="P243" s="117" t="str">
        <f ca="1">IF(Tab.o1[[#This Row],[B]]=0,AVERAGE(OFFSET(Tab.o1[[#This Row],[B]],1,0,L$3,1)),Tab.o1[[#This Row],[B]])</f>
        <v/>
      </c>
      <c r="Q243" s="121" t="str">
        <f>IF(Tab.o1[[#This Row],[a1]]=1,NORMSDIST(Tab.o1[[#This Row],[Zb]]),"")</f>
        <v/>
      </c>
      <c r="R243" s="122" t="str">
        <f>IF(Tab.o1[[#This Row],[a1]]=1,((Tab.o1[[#This Row],[MedMod]]-AVERAGE(Tab.o1[MedMod]))/_xlfn.STDEV.P(Tab.o1[MedMod])*H$1203)+G$1203,"")</f>
        <v/>
      </c>
      <c r="S243" s="122" t="str">
        <f>IF(Tab.o1[[#This Row],[a1]]=1,((Tab.o1[[#This Row],[MedMod]]-AVERAGE(Tab.o1[MedMod]))/_xlfn.STDEV.P(Tab.o1[MedMod])*H$1204)+G$1204,"")</f>
        <v/>
      </c>
      <c r="T243" s="123" t="str">
        <f>IF(Tab.o1[[#This Row],[a1]]=1,Tab.o1[[#This Row],[Z-]]*_xlfn.STDEV.P(Tab.o1[B])+AVERAGE(Tab.o1[B]),"")</f>
        <v/>
      </c>
      <c r="U243" s="123" t="str">
        <f>IF(Tab.o1[[#This Row],[a1]]=1,Tab.o1[[#This Row],[z+]]*_xlfn.STDEV.P(Tab.o1[B])+AVERAGE(Tab.o1[B]),"")</f>
        <v/>
      </c>
      <c r="V243" s="124" t="str">
        <f>IF(Tab.o1[[#This Row],[a1]]=1,ABS((ABS(Tab.o1[[#This Row],[Red]]-Tab.o1[[#This Row],[Blue]]))),"")</f>
        <v/>
      </c>
      <c r="W243" s="125" t="str">
        <f>IF(Tab.o1[[#This Row],[a1]]=1,IF(W$3=0,1,Tab.o1[[#This Row],[Amp.]]*1/_xlfn.MINIFS(Tab.o1[Amp.],Tab.o1[Amp.],"&lt;&gt;0")),"")</f>
        <v/>
      </c>
      <c r="X243" s="126" t="str">
        <f>IF(Tab.o1[[#This Row],[a1]]=1,IF(ISNUMBER(Tab.o1[[#This Row],[i.]]),NORMDIST(Tab.o1[[#This Row],[Za]],0,1,FALSE)*Tab.o1[[#This Row],[i.]],AP$3),"")</f>
        <v/>
      </c>
      <c r="Y243" s="126" t="str">
        <f>IF(Tab.o1[[#This Row],[a1]]=1,0.01+0.94*Tab.o1[[#This Row],[PDF]]/MAX(Tab.o1[PDF]),"")</f>
        <v/>
      </c>
      <c r="Z243" s="126" t="str">
        <f>IF(Tab.o1[[#This Row],[a1]]=1,0.01+0.94*Tab.o1[[#This Row],[W1_PDF]]/MAX(Tab.o1[W1_PDF]),"")</f>
        <v/>
      </c>
      <c r="AA243" s="118" t="str">
        <f>IF(Tab.o1[[#This Row],[a1]]=1,ABS([1]!T.in.A[[#This Row],[oo6]]),"")</f>
        <v/>
      </c>
      <c r="AB243" s="127" t="str">
        <f>IF(Tab.o1[[#This Row],[a1]]=1,IF(AE$3=0,"",IF(AB$3=0,ABS([1]!T.in.A[[#This Row],[oo9]]),ABS(Tab.o1[[#This Row],[DIF_Target.]]*Tab.o1[[#This Row],[W1_PDF]]))),"")</f>
        <v/>
      </c>
      <c r="AC243" s="127" t="str">
        <f>IF(G$1=1,"",IF(Tab.o1[[#This Row],[a1]]=1,Tab.o1[[#This Row],[Wr]]^2,""))</f>
        <v/>
      </c>
      <c r="AD243" s="118" t="str">
        <f>IF(Tab.o1[[#This Row],[a1]]=1,IF(AE$3=0,"",Tab.o1[[#This Row],[Wr2]]/SUM(Tab.o1[Wr2])),"")</f>
        <v/>
      </c>
      <c r="AE243" s="128" t="str">
        <f>IF(Tab.o1[[#This Row],[a1]]=1,[1]!T.in.A[[#This Row],[oo10]],"")</f>
        <v/>
      </c>
      <c r="AF243" s="118" t="str">
        <f>IF(Tab.o1[[#This Row],[a1]]=1,ABS(Tab.o1[[#This Row],[DIF_Target.]]*Tab.o1[[#This Row],[PDF2]]*Tab.o1[[#This Row],[IN]]),"")</f>
        <v/>
      </c>
      <c r="AG243" s="129" t="str">
        <f>IF(Tab.o1[[#This Row],[a1]]=1,Tab.o1[[#This Row],[rW]]^2,"")</f>
        <v/>
      </c>
      <c r="AH243" s="130" t="str">
        <f>IF(Tab.o1[[#This Row],[a1]]=1,IF(AH$3=0,Tab.o1[[#This Row],[rW2]],0.01+0.94*Tab.o1[[#This Row],[rW2]]/SUM(Tab.o1[rW2])),"")</f>
        <v/>
      </c>
      <c r="AI243" s="128" t="str">
        <f>IF(Tab.o1[[#This Row],[a1]]=1,1/Tab.o1[[#This Row],[PDF]],"")</f>
        <v/>
      </c>
      <c r="AJ243" s="131" t="str">
        <f>IF(Tab.o1[[#This Row],[a1]]=1,[1]!T_AA[[#This Row],[IN'']]*[1]!T_AA[[#This Row],[Qde'']],"")</f>
        <v/>
      </c>
      <c r="AK243" s="132" t="str">
        <f>IF(Tab.o1[[#This Row],[a1]]=1,IF(AK$1=1,Tab.o1[[#This Row],[MED]]+Tab.o1[[#This Row],[MOD]]-Tab.o1[[#This Row],[MED]],""),"")</f>
        <v/>
      </c>
      <c r="AL243" s="133" t="str">
        <f>IF(Tab.o1[[#This Row],[a1]]=1,[1]!T.in.A[[#This Row],[oo16]],"")</f>
        <v/>
      </c>
      <c r="AM243" s="133" t="str">
        <f>IF(Tab.o1[[#This Row],[a1]]=1,IF(AM$3=1,[1]!T.in.A[[#This Row],[Σo16]],""),"")</f>
        <v/>
      </c>
      <c r="AN243" s="126" t="str">
        <f>IF(Tab.o1[[#This Row],[a1]]=1,[1]!T.in.A[[#This Row],[Σp5]],"")</f>
        <v/>
      </c>
      <c r="AO243" s="126" t="str">
        <f>IF(Tab.o1[[#This Row],[a1]]=1,IF(AO$3=1,[1]!T.in.A[[#This Row],[Σp5]],""),"")</f>
        <v/>
      </c>
      <c r="AP243" s="110" t="str">
        <f>IF(Tab.o1[[#This Row],[a1]]=1,IF(ISNUMBER(Tab.o1[[#This Row],[i.]]),NORMDIST(Tab.o1[[#This Row],[Za]],0,1,FALSE)*Tab.o1[[#This Row],[i.]],0),"")</f>
        <v/>
      </c>
      <c r="AQ243" s="125" t="str">
        <f>IF(Tab.o1[[#This Row],[a1]]=1,ABS(Tab.o1[[#This Row],[MOD]]-AVERAGE(Tab.o1[MOD])),"")</f>
        <v/>
      </c>
      <c r="AR243" s="134" t="str">
        <f>IF(Tab.o1[[#This Row],[a1]]=1,Tab.o1[[#This Row],[OBS]]/SUM(Tab.o1[OBS]),"")</f>
        <v/>
      </c>
      <c r="AS243" s="135" t="str">
        <f>IF(ISNUMBER(Tab.o1[[#This Row],[a1]]),ROW()-4,"")</f>
        <v/>
      </c>
      <c r="AT243" s="136" t="str">
        <f>Tab.o1[[#This Row],[MOD]]</f>
        <v/>
      </c>
      <c r="AU243" s="137" t="str">
        <f t="shared" si="13"/>
        <v/>
      </c>
      <c r="AV243" s="138" t="str">
        <f t="shared" si="14"/>
        <v/>
      </c>
      <c r="AW243" s="138" t="str">
        <f t="shared" si="15"/>
        <v/>
      </c>
      <c r="AX243" s="139" t="str">
        <f>[1]!T.in.A[[#This Row],[ID_T_manu]]</f>
        <v/>
      </c>
      <c r="AY243" s="140" t="str">
        <f>IF(ISNUMBER(Tab.o1[[#This Row],[a1]]),IF(AND(Tab.o1[[#This Row],[a1]]=1,Tab.o1[[#This Row],[b1]]&lt;=AY$4),#REF!,AY242),"")</f>
        <v/>
      </c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</row>
    <row r="244" spans="1:79" ht="14.25" hidden="1" customHeight="1">
      <c r="A244" s="109">
        <v>-1.0000000000000001E-5</v>
      </c>
      <c r="B244" s="110">
        <f t="shared" si="12"/>
        <v>244</v>
      </c>
      <c r="C244" s="111" t="str">
        <f>IF(C$1=[1]!T.in.A[[#This Row],[oo2]],1,"")</f>
        <v/>
      </c>
      <c r="D244" s="112" t="str">
        <f>IF(Tab.o1[[#This Row],[a1]]=1,IF(SUM(C244:C245)=0,0,IF(SUM(C243:C244)=1,1,IF(SUM(C243:C245)&gt;1,D243+1,0))),"")</f>
        <v/>
      </c>
      <c r="E244" s="113" t="str">
        <f>IF(Tab.o1[[#This Row],[a1]]=1,[1]!T.in.A[[#This Row],[oo1]],"")</f>
        <v/>
      </c>
      <c r="F244" s="113" t="str">
        <f>IF(Tab.o1[[#This Row],[a1]]=1,[1]!T.in.A[[#This Row],[pp1]],"")</f>
        <v/>
      </c>
      <c r="G244" s="114" t="str">
        <f>IF(Tab.o1[[#This Row],[a1]]=1,G$2+IF(G$1=1,0,Tab.o1[[#This Row],[.x1]])+[1]!T.in.A[[#This Row],[oo3]],"")</f>
        <v/>
      </c>
      <c r="H244" s="115" t="str">
        <f>IF(Tab.o1[[#This Row],[a1]]=1,IF(H$2=0,0,IF(G$1=1,0,Tab.o1[[#This Row],[.x1]])+[1]!T.in.A[[#This Row],[oo4]]),"")</f>
        <v/>
      </c>
      <c r="I244" s="116" t="str">
        <f>IF(Tab.o1[[#This Row],[a1]]=1,IF(J$2=0,Tab.o1[[#This Row],[MED]],Tab.o1[[#This Row],[MOD]]),"")</f>
        <v/>
      </c>
      <c r="J244" s="116" t="str">
        <f>IF(Tab.o1[[#This Row],[a1]]=1,((Tab.o1[[#This Row],[DIF_Target.]]-AVERAGE(Tab.o1[DIF_Target.]))/_xlfn.STDEV.P(Tab.o1[DIF_Target.])),"")</f>
        <v/>
      </c>
      <c r="K244" s="117" t="str">
        <f>IF(Tab.o1[[#This Row],[a1]]=1,IF(J$2=0,Tab.o1[[#This Row],[MOD]]-Tab.o1[[#This Row],[B]],IF(J$2=1,0,-Tab.o1[[#This Row],[MED]])+Tab.o1[[#This Row],[B]]),"")</f>
        <v/>
      </c>
      <c r="L244" s="117" t="str">
        <f ca="1">IF(Tab.o1[[#This Row],[DIF_Target]]=0,IF(L$2=0,Tab.o1[[#This Row],[DIF_Target]],AVERAGE(OFFSET(Tab.o1[[#This Row],[DIF_Target]],1,0,L$3,1)))/3,Tab.o1[[#This Row],[DIF_Target]])</f>
        <v/>
      </c>
      <c r="M244" s="118" t="str">
        <f>IF(Tab.o1[[#This Row],[a1]]=1,NORMSDIST(Tab.o1[[#This Row],[Za]]),"")</f>
        <v/>
      </c>
      <c r="N244" s="119" t="str">
        <f>IF(Tab.o1[[#This Row],[a1]]=1,((Tab.o1[[#This Row],[MedMod]]-AVERAGE(Tab.o1[MedMod]))/_xlfn.STDEV.P(Tab.o1[MedMod])*H$1205)+G$1205,"")</f>
        <v/>
      </c>
      <c r="O244" s="141" t="str">
        <f>IF(Tab.o1[[#This Row],[a1]]=1,Tab.o1[[#This Row],[Zb]]*_xlfn.STDEV.P(Tab.o1[MedMod])+AVERAGE(Tab.o1[MedMod]),"")</f>
        <v/>
      </c>
      <c r="P244" s="117" t="str">
        <f ca="1">IF(Tab.o1[[#This Row],[B]]=0,AVERAGE(OFFSET(Tab.o1[[#This Row],[B]],1,0,L$3,1)),Tab.o1[[#This Row],[B]])</f>
        <v/>
      </c>
      <c r="Q244" s="121" t="str">
        <f>IF(Tab.o1[[#This Row],[a1]]=1,NORMSDIST(Tab.o1[[#This Row],[Zb]]),"")</f>
        <v/>
      </c>
      <c r="R244" s="122" t="str">
        <f>IF(Tab.o1[[#This Row],[a1]]=1,((Tab.o1[[#This Row],[MedMod]]-AVERAGE(Tab.o1[MedMod]))/_xlfn.STDEV.P(Tab.o1[MedMod])*H$1203)+G$1203,"")</f>
        <v/>
      </c>
      <c r="S244" s="122" t="str">
        <f>IF(Tab.o1[[#This Row],[a1]]=1,((Tab.o1[[#This Row],[MedMod]]-AVERAGE(Tab.o1[MedMod]))/_xlfn.STDEV.P(Tab.o1[MedMod])*H$1204)+G$1204,"")</f>
        <v/>
      </c>
      <c r="T244" s="123" t="str">
        <f>IF(Tab.o1[[#This Row],[a1]]=1,Tab.o1[[#This Row],[Z-]]*_xlfn.STDEV.P(Tab.o1[B])+AVERAGE(Tab.o1[B]),"")</f>
        <v/>
      </c>
      <c r="U244" s="123" t="str">
        <f>IF(Tab.o1[[#This Row],[a1]]=1,Tab.o1[[#This Row],[z+]]*_xlfn.STDEV.P(Tab.o1[B])+AVERAGE(Tab.o1[B]),"")</f>
        <v/>
      </c>
      <c r="V244" s="124" t="str">
        <f>IF(Tab.o1[[#This Row],[a1]]=1,ABS((ABS(Tab.o1[[#This Row],[Red]]-Tab.o1[[#This Row],[Blue]]))),"")</f>
        <v/>
      </c>
      <c r="W244" s="125" t="str">
        <f>IF(Tab.o1[[#This Row],[a1]]=1,IF(W$3=0,1,Tab.o1[[#This Row],[Amp.]]*1/_xlfn.MINIFS(Tab.o1[Amp.],Tab.o1[Amp.],"&lt;&gt;0")),"")</f>
        <v/>
      </c>
      <c r="X244" s="126" t="str">
        <f>IF(Tab.o1[[#This Row],[a1]]=1,IF(ISNUMBER(Tab.o1[[#This Row],[i.]]),NORMDIST(Tab.o1[[#This Row],[Za]],0,1,FALSE)*Tab.o1[[#This Row],[i.]],AP$3),"")</f>
        <v/>
      </c>
      <c r="Y244" s="126" t="str">
        <f>IF(Tab.o1[[#This Row],[a1]]=1,0.01+0.94*Tab.o1[[#This Row],[PDF]]/MAX(Tab.o1[PDF]),"")</f>
        <v/>
      </c>
      <c r="Z244" s="126" t="str">
        <f>IF(Tab.o1[[#This Row],[a1]]=1,0.01+0.94*Tab.o1[[#This Row],[W1_PDF]]/MAX(Tab.o1[W1_PDF]),"")</f>
        <v/>
      </c>
      <c r="AA244" s="118" t="str">
        <f>IF(Tab.o1[[#This Row],[a1]]=1,ABS([1]!T.in.A[[#This Row],[oo6]]),"")</f>
        <v/>
      </c>
      <c r="AB244" s="127" t="str">
        <f>IF(Tab.o1[[#This Row],[a1]]=1,IF(AE$3=0,"",IF(AB$3=0,ABS([1]!T.in.A[[#This Row],[oo9]]),ABS(Tab.o1[[#This Row],[DIF_Target.]]*Tab.o1[[#This Row],[W1_PDF]]))),"")</f>
        <v/>
      </c>
      <c r="AC244" s="127" t="str">
        <f>IF(G$1=1,"",IF(Tab.o1[[#This Row],[a1]]=1,Tab.o1[[#This Row],[Wr]]^2,""))</f>
        <v/>
      </c>
      <c r="AD244" s="118" t="str">
        <f>IF(Tab.o1[[#This Row],[a1]]=1,IF(AE$3=0,"",Tab.o1[[#This Row],[Wr2]]/SUM(Tab.o1[Wr2])),"")</f>
        <v/>
      </c>
      <c r="AE244" s="128" t="str">
        <f>IF(Tab.o1[[#This Row],[a1]]=1,[1]!T.in.A[[#This Row],[oo10]],"")</f>
        <v/>
      </c>
      <c r="AF244" s="118" t="str">
        <f>IF(Tab.o1[[#This Row],[a1]]=1,ABS(Tab.o1[[#This Row],[DIF_Target.]]*Tab.o1[[#This Row],[PDF2]]*Tab.o1[[#This Row],[IN]]),"")</f>
        <v/>
      </c>
      <c r="AG244" s="129" t="str">
        <f>IF(Tab.o1[[#This Row],[a1]]=1,Tab.o1[[#This Row],[rW]]^2,"")</f>
        <v/>
      </c>
      <c r="AH244" s="130" t="str">
        <f>IF(Tab.o1[[#This Row],[a1]]=1,IF(AH$3=0,Tab.o1[[#This Row],[rW2]],0.01+0.94*Tab.o1[[#This Row],[rW2]]/SUM(Tab.o1[rW2])),"")</f>
        <v/>
      </c>
      <c r="AI244" s="128" t="str">
        <f>IF(Tab.o1[[#This Row],[a1]]=1,1/Tab.o1[[#This Row],[PDF]],"")</f>
        <v/>
      </c>
      <c r="AJ244" s="131" t="str">
        <f>IF(Tab.o1[[#This Row],[a1]]=1,[1]!T_AA[[#This Row],[IN'']]*[1]!T_AA[[#This Row],[Qde'']],"")</f>
        <v/>
      </c>
      <c r="AK244" s="132" t="str">
        <f>IF(Tab.o1[[#This Row],[a1]]=1,IF(AK$1=1,Tab.o1[[#This Row],[MED]]+Tab.o1[[#This Row],[MOD]]-Tab.o1[[#This Row],[MED]],""),"")</f>
        <v/>
      </c>
      <c r="AL244" s="133" t="str">
        <f>IF(Tab.o1[[#This Row],[a1]]=1,[1]!T.in.A[[#This Row],[oo16]],"")</f>
        <v/>
      </c>
      <c r="AM244" s="133" t="str">
        <f>IF(Tab.o1[[#This Row],[a1]]=1,IF(AM$3=1,[1]!T.in.A[[#This Row],[Σo16]],""),"")</f>
        <v/>
      </c>
      <c r="AN244" s="126" t="str">
        <f>IF(Tab.o1[[#This Row],[a1]]=1,[1]!T.in.A[[#This Row],[Σp5]],"")</f>
        <v/>
      </c>
      <c r="AO244" s="126" t="str">
        <f>IF(Tab.o1[[#This Row],[a1]]=1,IF(AO$3=1,[1]!T.in.A[[#This Row],[Σp5]],""),"")</f>
        <v/>
      </c>
      <c r="AP244" s="110" t="str">
        <f>IF(Tab.o1[[#This Row],[a1]]=1,IF(ISNUMBER(Tab.o1[[#This Row],[i.]]),NORMDIST(Tab.o1[[#This Row],[Za]],0,1,FALSE)*Tab.o1[[#This Row],[i.]],0),"")</f>
        <v/>
      </c>
      <c r="AQ244" s="125" t="str">
        <f>IF(Tab.o1[[#This Row],[a1]]=1,ABS(Tab.o1[[#This Row],[MOD]]-AVERAGE(Tab.o1[MOD])),"")</f>
        <v/>
      </c>
      <c r="AR244" s="134" t="str">
        <f>IF(Tab.o1[[#This Row],[a1]]=1,Tab.o1[[#This Row],[OBS]]/SUM(Tab.o1[OBS]),"")</f>
        <v/>
      </c>
      <c r="AS244" s="135" t="str">
        <f>IF(ISNUMBER(Tab.o1[[#This Row],[a1]]),ROW()-4,"")</f>
        <v/>
      </c>
      <c r="AT244" s="136" t="str">
        <f>Tab.o1[[#This Row],[MOD]]</f>
        <v/>
      </c>
      <c r="AU244" s="137" t="str">
        <f t="shared" si="13"/>
        <v/>
      </c>
      <c r="AV244" s="138" t="str">
        <f t="shared" si="14"/>
        <v/>
      </c>
      <c r="AW244" s="138" t="str">
        <f t="shared" si="15"/>
        <v/>
      </c>
      <c r="AX244" s="139" t="str">
        <f>[1]!T.in.A[[#This Row],[ID_T_manu]]</f>
        <v/>
      </c>
      <c r="AY244" s="140" t="str">
        <f>IF(ISNUMBER(Tab.o1[[#This Row],[a1]]),IF(AND(Tab.o1[[#This Row],[a1]]=1,Tab.o1[[#This Row],[b1]]&lt;=AY$4),#REF!,AY243),"")</f>
        <v/>
      </c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</row>
    <row r="245" spans="1:79" ht="14.25" hidden="1" customHeight="1">
      <c r="A245" s="109">
        <v>5.0000000000000004E-6</v>
      </c>
      <c r="B245" s="110">
        <f t="shared" si="12"/>
        <v>245</v>
      </c>
      <c r="C245" s="111" t="str">
        <f>IF(C$1=[1]!T.in.A[[#This Row],[oo2]],1,"")</f>
        <v/>
      </c>
      <c r="D245" s="112" t="str">
        <f>IF(Tab.o1[[#This Row],[a1]]=1,IF(SUM(C245:C246)=0,0,IF(SUM(C244:C245)=1,1,IF(SUM(C244:C246)&gt;1,D244+1,0))),"")</f>
        <v/>
      </c>
      <c r="E245" s="113" t="str">
        <f>IF(Tab.o1[[#This Row],[a1]]=1,[1]!T.in.A[[#This Row],[oo1]],"")</f>
        <v/>
      </c>
      <c r="F245" s="113" t="str">
        <f>IF(Tab.o1[[#This Row],[a1]]=1,[1]!T.in.A[[#This Row],[pp1]],"")</f>
        <v/>
      </c>
      <c r="G245" s="114" t="str">
        <f>IF(Tab.o1[[#This Row],[a1]]=1,G$2+IF(G$1=1,0,Tab.o1[[#This Row],[.x1]])+[1]!T.in.A[[#This Row],[oo3]],"")</f>
        <v/>
      </c>
      <c r="H245" s="115" t="str">
        <f>IF(Tab.o1[[#This Row],[a1]]=1,IF(H$2=0,0,IF(G$1=1,0,Tab.o1[[#This Row],[.x1]])+[1]!T.in.A[[#This Row],[oo4]]),"")</f>
        <v/>
      </c>
      <c r="I245" s="116" t="str">
        <f>IF(Tab.o1[[#This Row],[a1]]=1,IF(J$2=0,Tab.o1[[#This Row],[MED]],Tab.o1[[#This Row],[MOD]]),"")</f>
        <v/>
      </c>
      <c r="J245" s="116" t="str">
        <f>IF(Tab.o1[[#This Row],[a1]]=1,((Tab.o1[[#This Row],[DIF_Target.]]-AVERAGE(Tab.o1[DIF_Target.]))/_xlfn.STDEV.P(Tab.o1[DIF_Target.])),"")</f>
        <v/>
      </c>
      <c r="K245" s="117" t="str">
        <f>IF(Tab.o1[[#This Row],[a1]]=1,IF(J$2=0,Tab.o1[[#This Row],[MOD]]-Tab.o1[[#This Row],[B]],IF(J$2=1,0,-Tab.o1[[#This Row],[MED]])+Tab.o1[[#This Row],[B]]),"")</f>
        <v/>
      </c>
      <c r="L245" s="117" t="str">
        <f ca="1">IF(Tab.o1[[#This Row],[DIF_Target]]=0,IF(L$2=0,Tab.o1[[#This Row],[DIF_Target]],AVERAGE(OFFSET(Tab.o1[[#This Row],[DIF_Target]],1,0,L$3,1)))/3,Tab.o1[[#This Row],[DIF_Target]])</f>
        <v/>
      </c>
      <c r="M245" s="118" t="str">
        <f>IF(Tab.o1[[#This Row],[a1]]=1,NORMSDIST(Tab.o1[[#This Row],[Za]]),"")</f>
        <v/>
      </c>
      <c r="N245" s="119" t="str">
        <f>IF(Tab.o1[[#This Row],[a1]]=1,((Tab.o1[[#This Row],[MedMod]]-AVERAGE(Tab.o1[MedMod]))/_xlfn.STDEV.P(Tab.o1[MedMod])*H$1205)+G$1205,"")</f>
        <v/>
      </c>
      <c r="O245" s="141" t="str">
        <f>IF(Tab.o1[[#This Row],[a1]]=1,Tab.o1[[#This Row],[Zb]]*_xlfn.STDEV.P(Tab.o1[MedMod])+AVERAGE(Tab.o1[MedMod]),"")</f>
        <v/>
      </c>
      <c r="P245" s="117" t="str">
        <f ca="1">IF(Tab.o1[[#This Row],[B]]=0,AVERAGE(OFFSET(Tab.o1[[#This Row],[B]],1,0,L$3,1)),Tab.o1[[#This Row],[B]])</f>
        <v/>
      </c>
      <c r="Q245" s="121" t="str">
        <f>IF(Tab.o1[[#This Row],[a1]]=1,NORMSDIST(Tab.o1[[#This Row],[Zb]]),"")</f>
        <v/>
      </c>
      <c r="R245" s="122" t="str">
        <f>IF(Tab.o1[[#This Row],[a1]]=1,((Tab.o1[[#This Row],[MedMod]]-AVERAGE(Tab.o1[MedMod]))/_xlfn.STDEV.P(Tab.o1[MedMod])*H$1203)+G$1203,"")</f>
        <v/>
      </c>
      <c r="S245" s="122" t="str">
        <f>IF(Tab.o1[[#This Row],[a1]]=1,((Tab.o1[[#This Row],[MedMod]]-AVERAGE(Tab.o1[MedMod]))/_xlfn.STDEV.P(Tab.o1[MedMod])*H$1204)+G$1204,"")</f>
        <v/>
      </c>
      <c r="T245" s="123" t="str">
        <f>IF(Tab.o1[[#This Row],[a1]]=1,Tab.o1[[#This Row],[Z-]]*_xlfn.STDEV.P(Tab.o1[B])+AVERAGE(Tab.o1[B]),"")</f>
        <v/>
      </c>
      <c r="U245" s="123" t="str">
        <f>IF(Tab.o1[[#This Row],[a1]]=1,Tab.o1[[#This Row],[z+]]*_xlfn.STDEV.P(Tab.o1[B])+AVERAGE(Tab.o1[B]),"")</f>
        <v/>
      </c>
      <c r="V245" s="124" t="str">
        <f>IF(Tab.o1[[#This Row],[a1]]=1,ABS((ABS(Tab.o1[[#This Row],[Red]]-Tab.o1[[#This Row],[Blue]]))),"")</f>
        <v/>
      </c>
      <c r="W245" s="125" t="str">
        <f>IF(Tab.o1[[#This Row],[a1]]=1,IF(W$3=0,1,Tab.o1[[#This Row],[Amp.]]*1/_xlfn.MINIFS(Tab.o1[Amp.],Tab.o1[Amp.],"&lt;&gt;0")),"")</f>
        <v/>
      </c>
      <c r="X245" s="126" t="str">
        <f>IF(Tab.o1[[#This Row],[a1]]=1,IF(ISNUMBER(Tab.o1[[#This Row],[i.]]),NORMDIST(Tab.o1[[#This Row],[Za]],0,1,FALSE)*Tab.o1[[#This Row],[i.]],AP$3),"")</f>
        <v/>
      </c>
      <c r="Y245" s="126" t="str">
        <f>IF(Tab.o1[[#This Row],[a1]]=1,0.01+0.94*Tab.o1[[#This Row],[PDF]]/MAX(Tab.o1[PDF]),"")</f>
        <v/>
      </c>
      <c r="Z245" s="126" t="str">
        <f>IF(Tab.o1[[#This Row],[a1]]=1,0.01+0.94*Tab.o1[[#This Row],[W1_PDF]]/MAX(Tab.o1[W1_PDF]),"")</f>
        <v/>
      </c>
      <c r="AA245" s="118" t="str">
        <f>IF(Tab.o1[[#This Row],[a1]]=1,ABS([1]!T.in.A[[#This Row],[oo6]]),"")</f>
        <v/>
      </c>
      <c r="AB245" s="127" t="str">
        <f>IF(Tab.o1[[#This Row],[a1]]=1,IF(AE$3=0,"",IF(AB$3=0,ABS([1]!T.in.A[[#This Row],[oo9]]),ABS(Tab.o1[[#This Row],[DIF_Target.]]*Tab.o1[[#This Row],[W1_PDF]]))),"")</f>
        <v/>
      </c>
      <c r="AC245" s="127" t="str">
        <f>IF(G$1=1,"",IF(Tab.o1[[#This Row],[a1]]=1,Tab.o1[[#This Row],[Wr]]^2,""))</f>
        <v/>
      </c>
      <c r="AD245" s="118" t="str">
        <f>IF(Tab.o1[[#This Row],[a1]]=1,IF(AE$3=0,"",Tab.o1[[#This Row],[Wr2]]/SUM(Tab.o1[Wr2])),"")</f>
        <v/>
      </c>
      <c r="AE245" s="128" t="str">
        <f>IF(Tab.o1[[#This Row],[a1]]=1,[1]!T.in.A[[#This Row],[oo10]],"")</f>
        <v/>
      </c>
      <c r="AF245" s="118" t="str">
        <f>IF(Tab.o1[[#This Row],[a1]]=1,ABS(Tab.o1[[#This Row],[DIF_Target.]]*Tab.o1[[#This Row],[PDF2]]*Tab.o1[[#This Row],[IN]]),"")</f>
        <v/>
      </c>
      <c r="AG245" s="129" t="str">
        <f>IF(Tab.o1[[#This Row],[a1]]=1,Tab.o1[[#This Row],[rW]]^2,"")</f>
        <v/>
      </c>
      <c r="AH245" s="130" t="str">
        <f>IF(Tab.o1[[#This Row],[a1]]=1,IF(AH$3=0,Tab.o1[[#This Row],[rW2]],0.01+0.94*Tab.o1[[#This Row],[rW2]]/SUM(Tab.o1[rW2])),"")</f>
        <v/>
      </c>
      <c r="AI245" s="128" t="str">
        <f>IF(Tab.o1[[#This Row],[a1]]=1,1/Tab.o1[[#This Row],[PDF]],"")</f>
        <v/>
      </c>
      <c r="AJ245" s="131" t="str">
        <f>IF(Tab.o1[[#This Row],[a1]]=1,[1]!T_AA[[#This Row],[IN'']]*[1]!T_AA[[#This Row],[Qde'']],"")</f>
        <v/>
      </c>
      <c r="AK245" s="132" t="str">
        <f>IF(Tab.o1[[#This Row],[a1]]=1,IF(AK$1=1,Tab.o1[[#This Row],[MED]]+Tab.o1[[#This Row],[MOD]]-Tab.o1[[#This Row],[MED]],""),"")</f>
        <v/>
      </c>
      <c r="AL245" s="133" t="str">
        <f>IF(Tab.o1[[#This Row],[a1]]=1,[1]!T.in.A[[#This Row],[oo16]],"")</f>
        <v/>
      </c>
      <c r="AM245" s="133" t="str">
        <f>IF(Tab.o1[[#This Row],[a1]]=1,IF(AM$3=1,[1]!T.in.A[[#This Row],[Σo16]],""),"")</f>
        <v/>
      </c>
      <c r="AN245" s="126" t="str">
        <f>IF(Tab.o1[[#This Row],[a1]]=1,[1]!T.in.A[[#This Row],[Σp5]],"")</f>
        <v/>
      </c>
      <c r="AO245" s="126" t="str">
        <f>IF(Tab.o1[[#This Row],[a1]]=1,IF(AO$3=1,[1]!T.in.A[[#This Row],[Σp5]],""),"")</f>
        <v/>
      </c>
      <c r="AP245" s="110" t="str">
        <f>IF(Tab.o1[[#This Row],[a1]]=1,IF(ISNUMBER(Tab.o1[[#This Row],[i.]]),NORMDIST(Tab.o1[[#This Row],[Za]],0,1,FALSE)*Tab.o1[[#This Row],[i.]],0),"")</f>
        <v/>
      </c>
      <c r="AQ245" s="125" t="str">
        <f>IF(Tab.o1[[#This Row],[a1]]=1,ABS(Tab.o1[[#This Row],[MOD]]-AVERAGE(Tab.o1[MOD])),"")</f>
        <v/>
      </c>
      <c r="AR245" s="134" t="str">
        <f>IF(Tab.o1[[#This Row],[a1]]=1,Tab.o1[[#This Row],[OBS]]/SUM(Tab.o1[OBS]),"")</f>
        <v/>
      </c>
      <c r="AS245" s="135" t="str">
        <f>IF(ISNUMBER(Tab.o1[[#This Row],[a1]]),ROW()-4,"")</f>
        <v/>
      </c>
      <c r="AT245" s="136" t="str">
        <f>Tab.o1[[#This Row],[MOD]]</f>
        <v/>
      </c>
      <c r="AU245" s="137" t="str">
        <f t="shared" si="13"/>
        <v/>
      </c>
      <c r="AV245" s="138" t="str">
        <f t="shared" si="14"/>
        <v/>
      </c>
      <c r="AW245" s="138" t="str">
        <f t="shared" si="15"/>
        <v/>
      </c>
      <c r="AX245" s="139" t="str">
        <f>[1]!T.in.A[[#This Row],[ID_T_manu]]</f>
        <v/>
      </c>
      <c r="AY245" s="140" t="str">
        <f>IF(ISNUMBER(Tab.o1[[#This Row],[a1]]),IF(AND(Tab.o1[[#This Row],[a1]]=1,Tab.o1[[#This Row],[b1]]&lt;=AY$4),#REF!,AY244),"")</f>
        <v/>
      </c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</row>
    <row r="246" spans="1:79" ht="14.25" hidden="1" customHeight="1">
      <c r="A246" s="109">
        <v>1.0000000000000002E-6</v>
      </c>
      <c r="B246" s="110">
        <f t="shared" si="12"/>
        <v>246</v>
      </c>
      <c r="C246" s="111" t="str">
        <f>IF(C$1=[1]!T.in.A[[#This Row],[oo2]],1,"")</f>
        <v/>
      </c>
      <c r="D246" s="112" t="str">
        <f>IF(Tab.o1[[#This Row],[a1]]=1,IF(SUM(C246:C247)=0,0,IF(SUM(C245:C246)=1,1,IF(SUM(C245:C247)&gt;1,D245+1,0))),"")</f>
        <v/>
      </c>
      <c r="E246" s="113" t="str">
        <f>IF(Tab.o1[[#This Row],[a1]]=1,[1]!T.in.A[[#This Row],[oo1]],"")</f>
        <v/>
      </c>
      <c r="F246" s="113" t="str">
        <f>IF(Tab.o1[[#This Row],[a1]]=1,[1]!T.in.A[[#This Row],[pp1]],"")</f>
        <v/>
      </c>
      <c r="G246" s="114" t="str">
        <f>IF(Tab.o1[[#This Row],[a1]]=1,G$2+IF(G$1=1,0,Tab.o1[[#This Row],[.x1]])+[1]!T.in.A[[#This Row],[oo3]],"")</f>
        <v/>
      </c>
      <c r="H246" s="115" t="str">
        <f>IF(Tab.o1[[#This Row],[a1]]=1,IF(H$2=0,0,IF(G$1=1,0,Tab.o1[[#This Row],[.x1]])+[1]!T.in.A[[#This Row],[oo4]]),"")</f>
        <v/>
      </c>
      <c r="I246" s="116" t="str">
        <f>IF(Tab.o1[[#This Row],[a1]]=1,IF(J$2=0,Tab.o1[[#This Row],[MED]],Tab.o1[[#This Row],[MOD]]),"")</f>
        <v/>
      </c>
      <c r="J246" s="116" t="str">
        <f>IF(Tab.o1[[#This Row],[a1]]=1,((Tab.o1[[#This Row],[DIF_Target.]]-AVERAGE(Tab.o1[DIF_Target.]))/_xlfn.STDEV.P(Tab.o1[DIF_Target.])),"")</f>
        <v/>
      </c>
      <c r="K246" s="117" t="str">
        <f>IF(Tab.o1[[#This Row],[a1]]=1,IF(J$2=0,Tab.o1[[#This Row],[MOD]]-Tab.o1[[#This Row],[B]],IF(J$2=1,0,-Tab.o1[[#This Row],[MED]])+Tab.o1[[#This Row],[B]]),"")</f>
        <v/>
      </c>
      <c r="L246" s="117" t="str">
        <f ca="1">IF(Tab.o1[[#This Row],[DIF_Target]]=0,IF(L$2=0,Tab.o1[[#This Row],[DIF_Target]],AVERAGE(OFFSET(Tab.o1[[#This Row],[DIF_Target]],1,0,L$3,1)))/3,Tab.o1[[#This Row],[DIF_Target]])</f>
        <v/>
      </c>
      <c r="M246" s="118" t="str">
        <f>IF(Tab.o1[[#This Row],[a1]]=1,NORMSDIST(Tab.o1[[#This Row],[Za]]),"")</f>
        <v/>
      </c>
      <c r="N246" s="119" t="str">
        <f>IF(Tab.o1[[#This Row],[a1]]=1,((Tab.o1[[#This Row],[MedMod]]-AVERAGE(Tab.o1[MedMod]))/_xlfn.STDEV.P(Tab.o1[MedMod])*H$1205)+G$1205,"")</f>
        <v/>
      </c>
      <c r="O246" s="141" t="str">
        <f>IF(Tab.o1[[#This Row],[a1]]=1,Tab.o1[[#This Row],[Zb]]*_xlfn.STDEV.P(Tab.o1[MedMod])+AVERAGE(Tab.o1[MedMod]),"")</f>
        <v/>
      </c>
      <c r="P246" s="117" t="str">
        <f ca="1">IF(Tab.o1[[#This Row],[B]]=0,AVERAGE(OFFSET(Tab.o1[[#This Row],[B]],1,0,L$3,1)),Tab.o1[[#This Row],[B]])</f>
        <v/>
      </c>
      <c r="Q246" s="121" t="str">
        <f>IF(Tab.o1[[#This Row],[a1]]=1,NORMSDIST(Tab.o1[[#This Row],[Zb]]),"")</f>
        <v/>
      </c>
      <c r="R246" s="122" t="str">
        <f>IF(Tab.o1[[#This Row],[a1]]=1,((Tab.o1[[#This Row],[MedMod]]-AVERAGE(Tab.o1[MedMod]))/_xlfn.STDEV.P(Tab.o1[MedMod])*H$1203)+G$1203,"")</f>
        <v/>
      </c>
      <c r="S246" s="122" t="str">
        <f>IF(Tab.o1[[#This Row],[a1]]=1,((Tab.o1[[#This Row],[MedMod]]-AVERAGE(Tab.o1[MedMod]))/_xlfn.STDEV.P(Tab.o1[MedMod])*H$1204)+G$1204,"")</f>
        <v/>
      </c>
      <c r="T246" s="123" t="str">
        <f>IF(Tab.o1[[#This Row],[a1]]=1,Tab.o1[[#This Row],[Z-]]*_xlfn.STDEV.P(Tab.o1[B])+AVERAGE(Tab.o1[B]),"")</f>
        <v/>
      </c>
      <c r="U246" s="123" t="str">
        <f>IF(Tab.o1[[#This Row],[a1]]=1,Tab.o1[[#This Row],[z+]]*_xlfn.STDEV.P(Tab.o1[B])+AVERAGE(Tab.o1[B]),"")</f>
        <v/>
      </c>
      <c r="V246" s="124" t="str">
        <f>IF(Tab.o1[[#This Row],[a1]]=1,ABS((ABS(Tab.o1[[#This Row],[Red]]-Tab.o1[[#This Row],[Blue]]))),"")</f>
        <v/>
      </c>
      <c r="W246" s="125" t="str">
        <f>IF(Tab.o1[[#This Row],[a1]]=1,IF(W$3=0,1,Tab.o1[[#This Row],[Amp.]]*1/_xlfn.MINIFS(Tab.o1[Amp.],Tab.o1[Amp.],"&lt;&gt;0")),"")</f>
        <v/>
      </c>
      <c r="X246" s="126" t="str">
        <f>IF(Tab.o1[[#This Row],[a1]]=1,IF(ISNUMBER(Tab.o1[[#This Row],[i.]]),NORMDIST(Tab.o1[[#This Row],[Za]],0,1,FALSE)*Tab.o1[[#This Row],[i.]],AP$3),"")</f>
        <v/>
      </c>
      <c r="Y246" s="126" t="str">
        <f>IF(Tab.o1[[#This Row],[a1]]=1,0.01+0.94*Tab.o1[[#This Row],[PDF]]/MAX(Tab.o1[PDF]),"")</f>
        <v/>
      </c>
      <c r="Z246" s="126" t="str">
        <f>IF(Tab.o1[[#This Row],[a1]]=1,0.01+0.94*Tab.o1[[#This Row],[W1_PDF]]/MAX(Tab.o1[W1_PDF]),"")</f>
        <v/>
      </c>
      <c r="AA246" s="118" t="str">
        <f>IF(Tab.o1[[#This Row],[a1]]=1,ABS([1]!T.in.A[[#This Row],[oo6]]),"")</f>
        <v/>
      </c>
      <c r="AB246" s="127" t="str">
        <f>IF(Tab.o1[[#This Row],[a1]]=1,IF(AE$3=0,"",IF(AB$3=0,ABS([1]!T.in.A[[#This Row],[oo9]]),ABS(Tab.o1[[#This Row],[DIF_Target.]]*Tab.o1[[#This Row],[W1_PDF]]))),"")</f>
        <v/>
      </c>
      <c r="AC246" s="127" t="str">
        <f>IF(G$1=1,"",IF(Tab.o1[[#This Row],[a1]]=1,Tab.o1[[#This Row],[Wr]]^2,""))</f>
        <v/>
      </c>
      <c r="AD246" s="118" t="str">
        <f>IF(Tab.o1[[#This Row],[a1]]=1,IF(AE$3=0,"",Tab.o1[[#This Row],[Wr2]]/SUM(Tab.o1[Wr2])),"")</f>
        <v/>
      </c>
      <c r="AE246" s="128" t="str">
        <f>IF(Tab.o1[[#This Row],[a1]]=1,[1]!T.in.A[[#This Row],[oo10]],"")</f>
        <v/>
      </c>
      <c r="AF246" s="118" t="str">
        <f>IF(Tab.o1[[#This Row],[a1]]=1,ABS(Tab.o1[[#This Row],[DIF_Target.]]*Tab.o1[[#This Row],[PDF2]]*Tab.o1[[#This Row],[IN]]),"")</f>
        <v/>
      </c>
      <c r="AG246" s="129" t="str">
        <f>IF(Tab.o1[[#This Row],[a1]]=1,Tab.o1[[#This Row],[rW]]^2,"")</f>
        <v/>
      </c>
      <c r="AH246" s="130" t="str">
        <f>IF(Tab.o1[[#This Row],[a1]]=1,IF(AH$3=0,Tab.o1[[#This Row],[rW2]],0.01+0.94*Tab.o1[[#This Row],[rW2]]/SUM(Tab.o1[rW2])),"")</f>
        <v/>
      </c>
      <c r="AI246" s="128" t="str">
        <f>IF(Tab.o1[[#This Row],[a1]]=1,1/Tab.o1[[#This Row],[PDF]],"")</f>
        <v/>
      </c>
      <c r="AJ246" s="131" t="str">
        <f>IF(Tab.o1[[#This Row],[a1]]=1,[1]!T_AA[[#This Row],[IN'']]*[1]!T_AA[[#This Row],[Qde'']],"")</f>
        <v/>
      </c>
      <c r="AK246" s="132" t="str">
        <f>IF(Tab.o1[[#This Row],[a1]]=1,IF(AK$1=1,Tab.o1[[#This Row],[MED]]+Tab.o1[[#This Row],[MOD]]-Tab.o1[[#This Row],[MED]],""),"")</f>
        <v/>
      </c>
      <c r="AL246" s="133" t="str">
        <f>IF(Tab.o1[[#This Row],[a1]]=1,[1]!T.in.A[[#This Row],[oo16]],"")</f>
        <v/>
      </c>
      <c r="AM246" s="133" t="str">
        <f>IF(Tab.o1[[#This Row],[a1]]=1,IF(AM$3=1,[1]!T.in.A[[#This Row],[Σo16]],""),"")</f>
        <v/>
      </c>
      <c r="AN246" s="126" t="str">
        <f>IF(Tab.o1[[#This Row],[a1]]=1,[1]!T.in.A[[#This Row],[Σp5]],"")</f>
        <v/>
      </c>
      <c r="AO246" s="126" t="str">
        <f>IF(Tab.o1[[#This Row],[a1]]=1,IF(AO$3=1,[1]!T.in.A[[#This Row],[Σp5]],""),"")</f>
        <v/>
      </c>
      <c r="AP246" s="110" t="str">
        <f>IF(Tab.o1[[#This Row],[a1]]=1,IF(ISNUMBER(Tab.o1[[#This Row],[i.]]),NORMDIST(Tab.o1[[#This Row],[Za]],0,1,FALSE)*Tab.o1[[#This Row],[i.]],0),"")</f>
        <v/>
      </c>
      <c r="AQ246" s="125" t="str">
        <f>IF(Tab.o1[[#This Row],[a1]]=1,ABS(Tab.o1[[#This Row],[MOD]]-AVERAGE(Tab.o1[MOD])),"")</f>
        <v/>
      </c>
      <c r="AR246" s="134" t="str">
        <f>IF(Tab.o1[[#This Row],[a1]]=1,Tab.o1[[#This Row],[OBS]]/SUM(Tab.o1[OBS]),"")</f>
        <v/>
      </c>
      <c r="AS246" s="135" t="str">
        <f>IF(ISNUMBER(Tab.o1[[#This Row],[a1]]),ROW()-4,"")</f>
        <v/>
      </c>
      <c r="AT246" s="136" t="str">
        <f>Tab.o1[[#This Row],[MOD]]</f>
        <v/>
      </c>
      <c r="AU246" s="137" t="str">
        <f t="shared" si="13"/>
        <v/>
      </c>
      <c r="AV246" s="138" t="str">
        <f t="shared" si="14"/>
        <v/>
      </c>
      <c r="AW246" s="138" t="str">
        <f t="shared" si="15"/>
        <v/>
      </c>
      <c r="AX246" s="139" t="str">
        <f>[1]!T.in.A[[#This Row],[ID_T_manu]]</f>
        <v/>
      </c>
      <c r="AY246" s="140" t="str">
        <f>IF(ISNUMBER(Tab.o1[[#This Row],[a1]]),IF(AND(Tab.o1[[#This Row],[a1]]=1,Tab.o1[[#This Row],[b1]]&lt;=AY$4),#REF!,AY245),"")</f>
        <v/>
      </c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</row>
    <row r="247" spans="1:79" ht="14.25" hidden="1" customHeight="1">
      <c r="A247" s="109">
        <v>8.0000000000000013E-6</v>
      </c>
      <c r="B247" s="110">
        <f t="shared" si="12"/>
        <v>247</v>
      </c>
      <c r="C247" s="111" t="str">
        <f>IF(C$1=[1]!T.in.A[[#This Row],[oo2]],1,"")</f>
        <v/>
      </c>
      <c r="D247" s="112" t="str">
        <f>IF(Tab.o1[[#This Row],[a1]]=1,IF(SUM(C247:C248)=0,0,IF(SUM(C246:C247)=1,1,IF(SUM(C246:C248)&gt;1,D246+1,0))),"")</f>
        <v/>
      </c>
      <c r="E247" s="113" t="str">
        <f>IF(Tab.o1[[#This Row],[a1]]=1,[1]!T.in.A[[#This Row],[oo1]],"")</f>
        <v/>
      </c>
      <c r="F247" s="113" t="str">
        <f>IF(Tab.o1[[#This Row],[a1]]=1,[1]!T.in.A[[#This Row],[pp1]],"")</f>
        <v/>
      </c>
      <c r="G247" s="114" t="str">
        <f>IF(Tab.o1[[#This Row],[a1]]=1,G$2+IF(G$1=1,0,Tab.o1[[#This Row],[.x1]])+[1]!T.in.A[[#This Row],[oo3]],"")</f>
        <v/>
      </c>
      <c r="H247" s="115" t="str">
        <f>IF(Tab.o1[[#This Row],[a1]]=1,IF(H$2=0,0,IF(G$1=1,0,Tab.o1[[#This Row],[.x1]])+[1]!T.in.A[[#This Row],[oo4]]),"")</f>
        <v/>
      </c>
      <c r="I247" s="116" t="str">
        <f>IF(Tab.o1[[#This Row],[a1]]=1,IF(J$2=0,Tab.o1[[#This Row],[MED]],Tab.o1[[#This Row],[MOD]]),"")</f>
        <v/>
      </c>
      <c r="J247" s="116" t="str">
        <f>IF(Tab.o1[[#This Row],[a1]]=1,((Tab.o1[[#This Row],[DIF_Target.]]-AVERAGE(Tab.o1[DIF_Target.]))/_xlfn.STDEV.P(Tab.o1[DIF_Target.])),"")</f>
        <v/>
      </c>
      <c r="K247" s="117" t="str">
        <f>IF(Tab.o1[[#This Row],[a1]]=1,IF(J$2=0,Tab.o1[[#This Row],[MOD]]-Tab.o1[[#This Row],[B]],IF(J$2=1,0,-Tab.o1[[#This Row],[MED]])+Tab.o1[[#This Row],[B]]),"")</f>
        <v/>
      </c>
      <c r="L247" s="117" t="str">
        <f ca="1">IF(Tab.o1[[#This Row],[DIF_Target]]=0,IF(L$2=0,Tab.o1[[#This Row],[DIF_Target]],AVERAGE(OFFSET(Tab.o1[[#This Row],[DIF_Target]],1,0,L$3,1)))/3,Tab.o1[[#This Row],[DIF_Target]])</f>
        <v/>
      </c>
      <c r="M247" s="118" t="str">
        <f>IF(Tab.o1[[#This Row],[a1]]=1,NORMSDIST(Tab.o1[[#This Row],[Za]]),"")</f>
        <v/>
      </c>
      <c r="N247" s="119" t="str">
        <f>IF(Tab.o1[[#This Row],[a1]]=1,((Tab.o1[[#This Row],[MedMod]]-AVERAGE(Tab.o1[MedMod]))/_xlfn.STDEV.P(Tab.o1[MedMod])*H$1205)+G$1205,"")</f>
        <v/>
      </c>
      <c r="O247" s="141" t="str">
        <f>IF(Tab.o1[[#This Row],[a1]]=1,Tab.o1[[#This Row],[Zb]]*_xlfn.STDEV.P(Tab.o1[MedMod])+AVERAGE(Tab.o1[MedMod]),"")</f>
        <v/>
      </c>
      <c r="P247" s="117" t="str">
        <f ca="1">IF(Tab.o1[[#This Row],[B]]=0,AVERAGE(OFFSET(Tab.o1[[#This Row],[B]],1,0,L$3,1)),Tab.o1[[#This Row],[B]])</f>
        <v/>
      </c>
      <c r="Q247" s="121" t="str">
        <f>IF(Tab.o1[[#This Row],[a1]]=1,NORMSDIST(Tab.o1[[#This Row],[Zb]]),"")</f>
        <v/>
      </c>
      <c r="R247" s="122" t="str">
        <f>IF(Tab.o1[[#This Row],[a1]]=1,((Tab.o1[[#This Row],[MedMod]]-AVERAGE(Tab.o1[MedMod]))/_xlfn.STDEV.P(Tab.o1[MedMod])*H$1203)+G$1203,"")</f>
        <v/>
      </c>
      <c r="S247" s="122" t="str">
        <f>IF(Tab.o1[[#This Row],[a1]]=1,((Tab.o1[[#This Row],[MedMod]]-AVERAGE(Tab.o1[MedMod]))/_xlfn.STDEV.P(Tab.o1[MedMod])*H$1204)+G$1204,"")</f>
        <v/>
      </c>
      <c r="T247" s="123" t="str">
        <f>IF(Tab.o1[[#This Row],[a1]]=1,Tab.o1[[#This Row],[Z-]]*_xlfn.STDEV.P(Tab.o1[B])+AVERAGE(Tab.o1[B]),"")</f>
        <v/>
      </c>
      <c r="U247" s="123" t="str">
        <f>IF(Tab.o1[[#This Row],[a1]]=1,Tab.o1[[#This Row],[z+]]*_xlfn.STDEV.P(Tab.o1[B])+AVERAGE(Tab.o1[B]),"")</f>
        <v/>
      </c>
      <c r="V247" s="124" t="str">
        <f>IF(Tab.o1[[#This Row],[a1]]=1,ABS((ABS(Tab.o1[[#This Row],[Red]]-Tab.o1[[#This Row],[Blue]]))),"")</f>
        <v/>
      </c>
      <c r="W247" s="125" t="str">
        <f>IF(Tab.o1[[#This Row],[a1]]=1,IF(W$3=0,1,Tab.o1[[#This Row],[Amp.]]*1/_xlfn.MINIFS(Tab.o1[Amp.],Tab.o1[Amp.],"&lt;&gt;0")),"")</f>
        <v/>
      </c>
      <c r="X247" s="126" t="str">
        <f>IF(Tab.o1[[#This Row],[a1]]=1,IF(ISNUMBER(Tab.o1[[#This Row],[i.]]),NORMDIST(Tab.o1[[#This Row],[Za]],0,1,FALSE)*Tab.o1[[#This Row],[i.]],AP$3),"")</f>
        <v/>
      </c>
      <c r="Y247" s="126" t="str">
        <f>IF(Tab.o1[[#This Row],[a1]]=1,0.01+0.94*Tab.o1[[#This Row],[PDF]]/MAX(Tab.o1[PDF]),"")</f>
        <v/>
      </c>
      <c r="Z247" s="126" t="str">
        <f>IF(Tab.o1[[#This Row],[a1]]=1,0.01+0.94*Tab.o1[[#This Row],[W1_PDF]]/MAX(Tab.o1[W1_PDF]),"")</f>
        <v/>
      </c>
      <c r="AA247" s="118" t="str">
        <f>IF(Tab.o1[[#This Row],[a1]]=1,ABS([1]!T.in.A[[#This Row],[oo6]]),"")</f>
        <v/>
      </c>
      <c r="AB247" s="127" t="str">
        <f>IF(Tab.o1[[#This Row],[a1]]=1,IF(AE$3=0,"",IF(AB$3=0,ABS([1]!T.in.A[[#This Row],[oo9]]),ABS(Tab.o1[[#This Row],[DIF_Target.]]*Tab.o1[[#This Row],[W1_PDF]]))),"")</f>
        <v/>
      </c>
      <c r="AC247" s="127" t="str">
        <f>IF(G$1=1,"",IF(Tab.o1[[#This Row],[a1]]=1,Tab.o1[[#This Row],[Wr]]^2,""))</f>
        <v/>
      </c>
      <c r="AD247" s="118" t="str">
        <f>IF(Tab.o1[[#This Row],[a1]]=1,IF(AE$3=0,"",Tab.o1[[#This Row],[Wr2]]/SUM(Tab.o1[Wr2])),"")</f>
        <v/>
      </c>
      <c r="AE247" s="128" t="str">
        <f>IF(Tab.o1[[#This Row],[a1]]=1,[1]!T.in.A[[#This Row],[oo10]],"")</f>
        <v/>
      </c>
      <c r="AF247" s="118" t="str">
        <f>IF(Tab.o1[[#This Row],[a1]]=1,ABS(Tab.o1[[#This Row],[DIF_Target.]]*Tab.o1[[#This Row],[PDF2]]*Tab.o1[[#This Row],[IN]]),"")</f>
        <v/>
      </c>
      <c r="AG247" s="129" t="str">
        <f>IF(Tab.o1[[#This Row],[a1]]=1,Tab.o1[[#This Row],[rW]]^2,"")</f>
        <v/>
      </c>
      <c r="AH247" s="130" t="str">
        <f>IF(Tab.o1[[#This Row],[a1]]=1,IF(AH$3=0,Tab.o1[[#This Row],[rW2]],0.01+0.94*Tab.o1[[#This Row],[rW2]]/SUM(Tab.o1[rW2])),"")</f>
        <v/>
      </c>
      <c r="AI247" s="128" t="str">
        <f>IF(Tab.o1[[#This Row],[a1]]=1,1/Tab.o1[[#This Row],[PDF]],"")</f>
        <v/>
      </c>
      <c r="AJ247" s="131" t="str">
        <f>IF(Tab.o1[[#This Row],[a1]]=1,[1]!T_AA[[#This Row],[IN'']]*[1]!T_AA[[#This Row],[Qde'']],"")</f>
        <v/>
      </c>
      <c r="AK247" s="132" t="str">
        <f>IF(Tab.o1[[#This Row],[a1]]=1,IF(AK$1=1,Tab.o1[[#This Row],[MED]]+Tab.o1[[#This Row],[MOD]]-Tab.o1[[#This Row],[MED]],""),"")</f>
        <v/>
      </c>
      <c r="AL247" s="133" t="str">
        <f>IF(Tab.o1[[#This Row],[a1]]=1,[1]!T.in.A[[#This Row],[oo16]],"")</f>
        <v/>
      </c>
      <c r="AM247" s="133" t="str">
        <f>IF(Tab.o1[[#This Row],[a1]]=1,IF(AM$3=1,[1]!T.in.A[[#This Row],[Σo16]],""),"")</f>
        <v/>
      </c>
      <c r="AN247" s="126" t="str">
        <f>IF(Tab.o1[[#This Row],[a1]]=1,[1]!T.in.A[[#This Row],[Σp5]],"")</f>
        <v/>
      </c>
      <c r="AO247" s="126" t="str">
        <f>IF(Tab.o1[[#This Row],[a1]]=1,IF(AO$3=1,[1]!T.in.A[[#This Row],[Σp5]],""),"")</f>
        <v/>
      </c>
      <c r="AP247" s="110" t="str">
        <f>IF(Tab.o1[[#This Row],[a1]]=1,IF(ISNUMBER(Tab.o1[[#This Row],[i.]]),NORMDIST(Tab.o1[[#This Row],[Za]],0,1,FALSE)*Tab.o1[[#This Row],[i.]],0),"")</f>
        <v/>
      </c>
      <c r="AQ247" s="125" t="str">
        <f>IF(Tab.o1[[#This Row],[a1]]=1,ABS(Tab.o1[[#This Row],[MOD]]-AVERAGE(Tab.o1[MOD])),"")</f>
        <v/>
      </c>
      <c r="AR247" s="134" t="str">
        <f>IF(Tab.o1[[#This Row],[a1]]=1,Tab.o1[[#This Row],[OBS]]/SUM(Tab.o1[OBS]),"")</f>
        <v/>
      </c>
      <c r="AS247" s="135" t="str">
        <f>IF(ISNUMBER(Tab.o1[[#This Row],[a1]]),ROW()-4,"")</f>
        <v/>
      </c>
      <c r="AT247" s="136" t="str">
        <f>Tab.o1[[#This Row],[MOD]]</f>
        <v/>
      </c>
      <c r="AU247" s="137" t="str">
        <f t="shared" si="13"/>
        <v/>
      </c>
      <c r="AV247" s="138" t="str">
        <f t="shared" si="14"/>
        <v/>
      </c>
      <c r="AW247" s="138" t="str">
        <f t="shared" si="15"/>
        <v/>
      </c>
      <c r="AX247" s="139" t="str">
        <f>[1]!T.in.A[[#This Row],[ID_T_manu]]</f>
        <v/>
      </c>
      <c r="AY247" s="140" t="str">
        <f>IF(ISNUMBER(Tab.o1[[#This Row],[a1]]),IF(AND(Tab.o1[[#This Row],[a1]]=1,Tab.o1[[#This Row],[b1]]&lt;=AY$4),#REF!,AY246),"")</f>
        <v/>
      </c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</row>
    <row r="248" spans="1:79" ht="14.25" hidden="1" customHeight="1">
      <c r="A248" s="109">
        <v>-1.0000000000000001E-5</v>
      </c>
      <c r="B248" s="110">
        <f t="shared" si="12"/>
        <v>248</v>
      </c>
      <c r="C248" s="111" t="str">
        <f>IF(C$1=[1]!T.in.A[[#This Row],[oo2]],1,"")</f>
        <v/>
      </c>
      <c r="D248" s="112" t="str">
        <f>IF(Tab.o1[[#This Row],[a1]]=1,IF(SUM(C248:C249)=0,0,IF(SUM(C247:C248)=1,1,IF(SUM(C247:C249)&gt;1,D247+1,0))),"")</f>
        <v/>
      </c>
      <c r="E248" s="113" t="str">
        <f>IF(Tab.o1[[#This Row],[a1]]=1,[1]!T.in.A[[#This Row],[oo1]],"")</f>
        <v/>
      </c>
      <c r="F248" s="113" t="str">
        <f>IF(Tab.o1[[#This Row],[a1]]=1,[1]!T.in.A[[#This Row],[pp1]],"")</f>
        <v/>
      </c>
      <c r="G248" s="114" t="str">
        <f>IF(Tab.o1[[#This Row],[a1]]=1,G$2+IF(G$1=1,0,Tab.o1[[#This Row],[.x1]])+[1]!T.in.A[[#This Row],[oo3]],"")</f>
        <v/>
      </c>
      <c r="H248" s="115" t="str">
        <f>IF(Tab.o1[[#This Row],[a1]]=1,IF(H$2=0,0,IF(G$1=1,0,Tab.o1[[#This Row],[.x1]])+[1]!T.in.A[[#This Row],[oo4]]),"")</f>
        <v/>
      </c>
      <c r="I248" s="116" t="str">
        <f>IF(Tab.o1[[#This Row],[a1]]=1,IF(J$2=0,Tab.o1[[#This Row],[MED]],Tab.o1[[#This Row],[MOD]]),"")</f>
        <v/>
      </c>
      <c r="J248" s="116" t="str">
        <f>IF(Tab.o1[[#This Row],[a1]]=1,((Tab.o1[[#This Row],[DIF_Target.]]-AVERAGE(Tab.o1[DIF_Target.]))/_xlfn.STDEV.P(Tab.o1[DIF_Target.])),"")</f>
        <v/>
      </c>
      <c r="K248" s="117" t="str">
        <f>IF(Tab.o1[[#This Row],[a1]]=1,IF(J$2=0,Tab.o1[[#This Row],[MOD]]-Tab.o1[[#This Row],[B]],IF(J$2=1,0,-Tab.o1[[#This Row],[MED]])+Tab.o1[[#This Row],[B]]),"")</f>
        <v/>
      </c>
      <c r="L248" s="117" t="str">
        <f ca="1">IF(Tab.o1[[#This Row],[DIF_Target]]=0,IF(L$2=0,Tab.o1[[#This Row],[DIF_Target]],AVERAGE(OFFSET(Tab.o1[[#This Row],[DIF_Target]],1,0,L$3,1)))/3,Tab.o1[[#This Row],[DIF_Target]])</f>
        <v/>
      </c>
      <c r="M248" s="118" t="str">
        <f>IF(Tab.o1[[#This Row],[a1]]=1,NORMSDIST(Tab.o1[[#This Row],[Za]]),"")</f>
        <v/>
      </c>
      <c r="N248" s="119" t="str">
        <f>IF(Tab.o1[[#This Row],[a1]]=1,((Tab.o1[[#This Row],[MedMod]]-AVERAGE(Tab.o1[MedMod]))/_xlfn.STDEV.P(Tab.o1[MedMod])*H$1205)+G$1205,"")</f>
        <v/>
      </c>
      <c r="O248" s="141" t="str">
        <f>IF(Tab.o1[[#This Row],[a1]]=1,Tab.o1[[#This Row],[Zb]]*_xlfn.STDEV.P(Tab.o1[MedMod])+AVERAGE(Tab.o1[MedMod]),"")</f>
        <v/>
      </c>
      <c r="P248" s="117" t="str">
        <f ca="1">IF(Tab.o1[[#This Row],[B]]=0,AVERAGE(OFFSET(Tab.o1[[#This Row],[B]],1,0,L$3,1)),Tab.o1[[#This Row],[B]])</f>
        <v/>
      </c>
      <c r="Q248" s="121" t="str">
        <f>IF(Tab.o1[[#This Row],[a1]]=1,NORMSDIST(Tab.o1[[#This Row],[Zb]]),"")</f>
        <v/>
      </c>
      <c r="R248" s="122" t="str">
        <f>IF(Tab.o1[[#This Row],[a1]]=1,((Tab.o1[[#This Row],[MedMod]]-AVERAGE(Tab.o1[MedMod]))/_xlfn.STDEV.P(Tab.o1[MedMod])*H$1203)+G$1203,"")</f>
        <v/>
      </c>
      <c r="S248" s="122" t="str">
        <f>IF(Tab.o1[[#This Row],[a1]]=1,((Tab.o1[[#This Row],[MedMod]]-AVERAGE(Tab.o1[MedMod]))/_xlfn.STDEV.P(Tab.o1[MedMod])*H$1204)+G$1204,"")</f>
        <v/>
      </c>
      <c r="T248" s="123" t="str">
        <f>IF(Tab.o1[[#This Row],[a1]]=1,Tab.o1[[#This Row],[Z-]]*_xlfn.STDEV.P(Tab.o1[B])+AVERAGE(Tab.o1[B]),"")</f>
        <v/>
      </c>
      <c r="U248" s="123" t="str">
        <f>IF(Tab.o1[[#This Row],[a1]]=1,Tab.o1[[#This Row],[z+]]*_xlfn.STDEV.P(Tab.o1[B])+AVERAGE(Tab.o1[B]),"")</f>
        <v/>
      </c>
      <c r="V248" s="124" t="str">
        <f>IF(Tab.o1[[#This Row],[a1]]=1,ABS((ABS(Tab.o1[[#This Row],[Red]]-Tab.o1[[#This Row],[Blue]]))),"")</f>
        <v/>
      </c>
      <c r="W248" s="125" t="str">
        <f>IF(Tab.o1[[#This Row],[a1]]=1,IF(W$3=0,1,Tab.o1[[#This Row],[Amp.]]*1/_xlfn.MINIFS(Tab.o1[Amp.],Tab.o1[Amp.],"&lt;&gt;0")),"")</f>
        <v/>
      </c>
      <c r="X248" s="126" t="str">
        <f>IF(Tab.o1[[#This Row],[a1]]=1,IF(ISNUMBER(Tab.o1[[#This Row],[i.]]),NORMDIST(Tab.o1[[#This Row],[Za]],0,1,FALSE)*Tab.o1[[#This Row],[i.]],AP$3),"")</f>
        <v/>
      </c>
      <c r="Y248" s="126" t="str">
        <f>IF(Tab.o1[[#This Row],[a1]]=1,0.01+0.94*Tab.o1[[#This Row],[PDF]]/MAX(Tab.o1[PDF]),"")</f>
        <v/>
      </c>
      <c r="Z248" s="126" t="str">
        <f>IF(Tab.o1[[#This Row],[a1]]=1,0.01+0.94*Tab.o1[[#This Row],[W1_PDF]]/MAX(Tab.o1[W1_PDF]),"")</f>
        <v/>
      </c>
      <c r="AA248" s="118" t="str">
        <f>IF(Tab.o1[[#This Row],[a1]]=1,ABS([1]!T.in.A[[#This Row],[oo6]]),"")</f>
        <v/>
      </c>
      <c r="AB248" s="127" t="str">
        <f>IF(Tab.o1[[#This Row],[a1]]=1,IF(AE$3=0,"",IF(AB$3=0,ABS([1]!T.in.A[[#This Row],[oo9]]),ABS(Tab.o1[[#This Row],[DIF_Target.]]*Tab.o1[[#This Row],[W1_PDF]]))),"")</f>
        <v/>
      </c>
      <c r="AC248" s="127" t="str">
        <f>IF(G$1=1,"",IF(Tab.o1[[#This Row],[a1]]=1,Tab.o1[[#This Row],[Wr]]^2,""))</f>
        <v/>
      </c>
      <c r="AD248" s="118" t="str">
        <f>IF(Tab.o1[[#This Row],[a1]]=1,IF(AE$3=0,"",Tab.o1[[#This Row],[Wr2]]/SUM(Tab.o1[Wr2])),"")</f>
        <v/>
      </c>
      <c r="AE248" s="128" t="str">
        <f>IF(Tab.o1[[#This Row],[a1]]=1,[1]!T.in.A[[#This Row],[oo10]],"")</f>
        <v/>
      </c>
      <c r="AF248" s="118" t="str">
        <f>IF(Tab.o1[[#This Row],[a1]]=1,ABS(Tab.o1[[#This Row],[DIF_Target.]]*Tab.o1[[#This Row],[PDF2]]*Tab.o1[[#This Row],[IN]]),"")</f>
        <v/>
      </c>
      <c r="AG248" s="129" t="str">
        <f>IF(Tab.o1[[#This Row],[a1]]=1,Tab.o1[[#This Row],[rW]]^2,"")</f>
        <v/>
      </c>
      <c r="AH248" s="130" t="str">
        <f>IF(Tab.o1[[#This Row],[a1]]=1,IF(AH$3=0,Tab.o1[[#This Row],[rW2]],0.01+0.94*Tab.o1[[#This Row],[rW2]]/SUM(Tab.o1[rW2])),"")</f>
        <v/>
      </c>
      <c r="AI248" s="128" t="str">
        <f>IF(Tab.o1[[#This Row],[a1]]=1,1/Tab.o1[[#This Row],[PDF]],"")</f>
        <v/>
      </c>
      <c r="AJ248" s="131" t="str">
        <f>IF(Tab.o1[[#This Row],[a1]]=1,[1]!T_AA[[#This Row],[IN'']]*[1]!T_AA[[#This Row],[Qde'']],"")</f>
        <v/>
      </c>
      <c r="AK248" s="132" t="str">
        <f>IF(Tab.o1[[#This Row],[a1]]=1,IF(AK$1=1,Tab.o1[[#This Row],[MED]]+Tab.o1[[#This Row],[MOD]]-Tab.o1[[#This Row],[MED]],""),"")</f>
        <v/>
      </c>
      <c r="AL248" s="133" t="str">
        <f>IF(Tab.o1[[#This Row],[a1]]=1,[1]!T.in.A[[#This Row],[oo16]],"")</f>
        <v/>
      </c>
      <c r="AM248" s="133" t="str">
        <f>IF(Tab.o1[[#This Row],[a1]]=1,IF(AM$3=1,[1]!T.in.A[[#This Row],[Σo16]],""),"")</f>
        <v/>
      </c>
      <c r="AN248" s="126" t="str">
        <f>IF(Tab.o1[[#This Row],[a1]]=1,[1]!T.in.A[[#This Row],[Σp5]],"")</f>
        <v/>
      </c>
      <c r="AO248" s="126" t="str">
        <f>IF(Tab.o1[[#This Row],[a1]]=1,IF(AO$3=1,[1]!T.in.A[[#This Row],[Σp5]],""),"")</f>
        <v/>
      </c>
      <c r="AP248" s="110" t="str">
        <f>IF(Tab.o1[[#This Row],[a1]]=1,IF(ISNUMBER(Tab.o1[[#This Row],[i.]]),NORMDIST(Tab.o1[[#This Row],[Za]],0,1,FALSE)*Tab.o1[[#This Row],[i.]],0),"")</f>
        <v/>
      </c>
      <c r="AQ248" s="125" t="str">
        <f>IF(Tab.o1[[#This Row],[a1]]=1,ABS(Tab.o1[[#This Row],[MOD]]-AVERAGE(Tab.o1[MOD])),"")</f>
        <v/>
      </c>
      <c r="AR248" s="134" t="str">
        <f>IF(Tab.o1[[#This Row],[a1]]=1,Tab.o1[[#This Row],[OBS]]/SUM(Tab.o1[OBS]),"")</f>
        <v/>
      </c>
      <c r="AS248" s="135" t="str">
        <f>IF(ISNUMBER(Tab.o1[[#This Row],[a1]]),ROW()-4,"")</f>
        <v/>
      </c>
      <c r="AT248" s="136" t="str">
        <f>Tab.o1[[#This Row],[MOD]]</f>
        <v/>
      </c>
      <c r="AU248" s="137" t="str">
        <f t="shared" si="13"/>
        <v/>
      </c>
      <c r="AV248" s="138" t="str">
        <f t="shared" si="14"/>
        <v/>
      </c>
      <c r="AW248" s="138" t="str">
        <f t="shared" si="15"/>
        <v/>
      </c>
      <c r="AX248" s="139" t="str">
        <f>[1]!T.in.A[[#This Row],[ID_T_manu]]</f>
        <v/>
      </c>
      <c r="AY248" s="140" t="str">
        <f>IF(ISNUMBER(Tab.o1[[#This Row],[a1]]),IF(AND(Tab.o1[[#This Row],[a1]]=1,Tab.o1[[#This Row],[b1]]&lt;=AY$4),#REF!,AY247),"")</f>
        <v/>
      </c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</row>
    <row r="249" spans="1:79" ht="14.25" hidden="1" customHeight="1">
      <c r="A249" s="109">
        <v>4.0000000000000007E-6</v>
      </c>
      <c r="B249" s="110">
        <f t="shared" si="12"/>
        <v>249</v>
      </c>
      <c r="C249" s="111" t="str">
        <f>IF(C$1=[1]!T.in.A[[#This Row],[oo2]],1,"")</f>
        <v/>
      </c>
      <c r="D249" s="112" t="str">
        <f>IF(Tab.o1[[#This Row],[a1]]=1,IF(SUM(C249:C250)=0,0,IF(SUM(C248:C249)=1,1,IF(SUM(C248:C250)&gt;1,D248+1,0))),"")</f>
        <v/>
      </c>
      <c r="E249" s="113" t="str">
        <f>IF(Tab.o1[[#This Row],[a1]]=1,[1]!T.in.A[[#This Row],[oo1]],"")</f>
        <v/>
      </c>
      <c r="F249" s="113" t="str">
        <f>IF(Tab.o1[[#This Row],[a1]]=1,[1]!T.in.A[[#This Row],[pp1]],"")</f>
        <v/>
      </c>
      <c r="G249" s="114" t="str">
        <f>IF(Tab.o1[[#This Row],[a1]]=1,G$2+IF(G$1=1,0,Tab.o1[[#This Row],[.x1]])+[1]!T.in.A[[#This Row],[oo3]],"")</f>
        <v/>
      </c>
      <c r="H249" s="115" t="str">
        <f>IF(Tab.o1[[#This Row],[a1]]=1,IF(H$2=0,0,IF(G$1=1,0,Tab.o1[[#This Row],[.x1]])+[1]!T.in.A[[#This Row],[oo4]]),"")</f>
        <v/>
      </c>
      <c r="I249" s="116" t="str">
        <f>IF(Tab.o1[[#This Row],[a1]]=1,IF(J$2=0,Tab.o1[[#This Row],[MED]],Tab.o1[[#This Row],[MOD]]),"")</f>
        <v/>
      </c>
      <c r="J249" s="116" t="str">
        <f>IF(Tab.o1[[#This Row],[a1]]=1,((Tab.o1[[#This Row],[DIF_Target.]]-AVERAGE(Tab.o1[DIF_Target.]))/_xlfn.STDEV.P(Tab.o1[DIF_Target.])),"")</f>
        <v/>
      </c>
      <c r="K249" s="117" t="str">
        <f>IF(Tab.o1[[#This Row],[a1]]=1,IF(J$2=0,Tab.o1[[#This Row],[MOD]]-Tab.o1[[#This Row],[B]],IF(J$2=1,0,-Tab.o1[[#This Row],[MED]])+Tab.o1[[#This Row],[B]]),"")</f>
        <v/>
      </c>
      <c r="L249" s="117" t="str">
        <f ca="1">IF(Tab.o1[[#This Row],[DIF_Target]]=0,IF(L$2=0,Tab.o1[[#This Row],[DIF_Target]],AVERAGE(OFFSET(Tab.o1[[#This Row],[DIF_Target]],1,0,L$3,1)))/3,Tab.o1[[#This Row],[DIF_Target]])</f>
        <v/>
      </c>
      <c r="M249" s="118" t="str">
        <f>IF(Tab.o1[[#This Row],[a1]]=1,NORMSDIST(Tab.o1[[#This Row],[Za]]),"")</f>
        <v/>
      </c>
      <c r="N249" s="119" t="str">
        <f>IF(Tab.o1[[#This Row],[a1]]=1,((Tab.o1[[#This Row],[MedMod]]-AVERAGE(Tab.o1[MedMod]))/_xlfn.STDEV.P(Tab.o1[MedMod])*H$1205)+G$1205,"")</f>
        <v/>
      </c>
      <c r="O249" s="141" t="str">
        <f>IF(Tab.o1[[#This Row],[a1]]=1,Tab.o1[[#This Row],[Zb]]*_xlfn.STDEV.P(Tab.o1[MedMod])+AVERAGE(Tab.o1[MedMod]),"")</f>
        <v/>
      </c>
      <c r="P249" s="117" t="str">
        <f ca="1">IF(Tab.o1[[#This Row],[B]]=0,AVERAGE(OFFSET(Tab.o1[[#This Row],[B]],1,0,L$3,1)),Tab.o1[[#This Row],[B]])</f>
        <v/>
      </c>
      <c r="Q249" s="121" t="str">
        <f>IF(Tab.o1[[#This Row],[a1]]=1,NORMSDIST(Tab.o1[[#This Row],[Zb]]),"")</f>
        <v/>
      </c>
      <c r="R249" s="122" t="str">
        <f>IF(Tab.o1[[#This Row],[a1]]=1,((Tab.o1[[#This Row],[MedMod]]-AVERAGE(Tab.o1[MedMod]))/_xlfn.STDEV.P(Tab.o1[MedMod])*H$1203)+G$1203,"")</f>
        <v/>
      </c>
      <c r="S249" s="122" t="str">
        <f>IF(Tab.o1[[#This Row],[a1]]=1,((Tab.o1[[#This Row],[MedMod]]-AVERAGE(Tab.o1[MedMod]))/_xlfn.STDEV.P(Tab.o1[MedMod])*H$1204)+G$1204,"")</f>
        <v/>
      </c>
      <c r="T249" s="123" t="str">
        <f>IF(Tab.o1[[#This Row],[a1]]=1,Tab.o1[[#This Row],[Z-]]*_xlfn.STDEV.P(Tab.o1[B])+AVERAGE(Tab.o1[B]),"")</f>
        <v/>
      </c>
      <c r="U249" s="123" t="str">
        <f>IF(Tab.o1[[#This Row],[a1]]=1,Tab.o1[[#This Row],[z+]]*_xlfn.STDEV.P(Tab.o1[B])+AVERAGE(Tab.o1[B]),"")</f>
        <v/>
      </c>
      <c r="V249" s="124" t="str">
        <f>IF(Tab.o1[[#This Row],[a1]]=1,ABS((ABS(Tab.o1[[#This Row],[Red]]-Tab.o1[[#This Row],[Blue]]))),"")</f>
        <v/>
      </c>
      <c r="W249" s="125" t="str">
        <f>IF(Tab.o1[[#This Row],[a1]]=1,IF(W$3=0,1,Tab.o1[[#This Row],[Amp.]]*1/_xlfn.MINIFS(Tab.o1[Amp.],Tab.o1[Amp.],"&lt;&gt;0")),"")</f>
        <v/>
      </c>
      <c r="X249" s="126" t="str">
        <f>IF(Tab.o1[[#This Row],[a1]]=1,IF(ISNUMBER(Tab.o1[[#This Row],[i.]]),NORMDIST(Tab.o1[[#This Row],[Za]],0,1,FALSE)*Tab.o1[[#This Row],[i.]],AP$3),"")</f>
        <v/>
      </c>
      <c r="Y249" s="126" t="str">
        <f>IF(Tab.o1[[#This Row],[a1]]=1,0.01+0.94*Tab.o1[[#This Row],[PDF]]/MAX(Tab.o1[PDF]),"")</f>
        <v/>
      </c>
      <c r="Z249" s="126" t="str">
        <f>IF(Tab.o1[[#This Row],[a1]]=1,0.01+0.94*Tab.o1[[#This Row],[W1_PDF]]/MAX(Tab.o1[W1_PDF]),"")</f>
        <v/>
      </c>
      <c r="AA249" s="118" t="str">
        <f>IF(Tab.o1[[#This Row],[a1]]=1,ABS([1]!T.in.A[[#This Row],[oo6]]),"")</f>
        <v/>
      </c>
      <c r="AB249" s="127" t="str">
        <f>IF(Tab.o1[[#This Row],[a1]]=1,IF(AE$3=0,"",IF(AB$3=0,ABS([1]!T.in.A[[#This Row],[oo9]]),ABS(Tab.o1[[#This Row],[DIF_Target.]]*Tab.o1[[#This Row],[W1_PDF]]))),"")</f>
        <v/>
      </c>
      <c r="AC249" s="127" t="str">
        <f>IF(G$1=1,"",IF(Tab.o1[[#This Row],[a1]]=1,Tab.o1[[#This Row],[Wr]]^2,""))</f>
        <v/>
      </c>
      <c r="AD249" s="118" t="str">
        <f>IF(Tab.o1[[#This Row],[a1]]=1,IF(AE$3=0,"",Tab.o1[[#This Row],[Wr2]]/SUM(Tab.o1[Wr2])),"")</f>
        <v/>
      </c>
      <c r="AE249" s="128" t="str">
        <f>IF(Tab.o1[[#This Row],[a1]]=1,[1]!T.in.A[[#This Row],[oo10]],"")</f>
        <v/>
      </c>
      <c r="AF249" s="118" t="str">
        <f>IF(Tab.o1[[#This Row],[a1]]=1,ABS(Tab.o1[[#This Row],[DIF_Target.]]*Tab.o1[[#This Row],[PDF2]]*Tab.o1[[#This Row],[IN]]),"")</f>
        <v/>
      </c>
      <c r="AG249" s="129" t="str">
        <f>IF(Tab.o1[[#This Row],[a1]]=1,Tab.o1[[#This Row],[rW]]^2,"")</f>
        <v/>
      </c>
      <c r="AH249" s="130" t="str">
        <f>IF(Tab.o1[[#This Row],[a1]]=1,IF(AH$3=0,Tab.o1[[#This Row],[rW2]],0.01+0.94*Tab.o1[[#This Row],[rW2]]/SUM(Tab.o1[rW2])),"")</f>
        <v/>
      </c>
      <c r="AI249" s="128" t="str">
        <f>IF(Tab.o1[[#This Row],[a1]]=1,1/Tab.o1[[#This Row],[PDF]],"")</f>
        <v/>
      </c>
      <c r="AJ249" s="131" t="str">
        <f>IF(Tab.o1[[#This Row],[a1]]=1,[1]!T_AA[[#This Row],[IN'']]*[1]!T_AA[[#This Row],[Qde'']],"")</f>
        <v/>
      </c>
      <c r="AK249" s="132" t="str">
        <f>IF(Tab.o1[[#This Row],[a1]]=1,IF(AK$1=1,Tab.o1[[#This Row],[MED]]+Tab.o1[[#This Row],[MOD]]-Tab.o1[[#This Row],[MED]],""),"")</f>
        <v/>
      </c>
      <c r="AL249" s="133" t="str">
        <f>IF(Tab.o1[[#This Row],[a1]]=1,[1]!T.in.A[[#This Row],[oo16]],"")</f>
        <v/>
      </c>
      <c r="AM249" s="133" t="str">
        <f>IF(Tab.o1[[#This Row],[a1]]=1,IF(AM$3=1,[1]!T.in.A[[#This Row],[Σo16]],""),"")</f>
        <v/>
      </c>
      <c r="AN249" s="126" t="str">
        <f>IF(Tab.o1[[#This Row],[a1]]=1,[1]!T.in.A[[#This Row],[Σp5]],"")</f>
        <v/>
      </c>
      <c r="AO249" s="126" t="str">
        <f>IF(Tab.o1[[#This Row],[a1]]=1,IF(AO$3=1,[1]!T.in.A[[#This Row],[Σp5]],""),"")</f>
        <v/>
      </c>
      <c r="AP249" s="110" t="str">
        <f>IF(Tab.o1[[#This Row],[a1]]=1,IF(ISNUMBER(Tab.o1[[#This Row],[i.]]),NORMDIST(Tab.o1[[#This Row],[Za]],0,1,FALSE)*Tab.o1[[#This Row],[i.]],0),"")</f>
        <v/>
      </c>
      <c r="AQ249" s="125" t="str">
        <f>IF(Tab.o1[[#This Row],[a1]]=1,ABS(Tab.o1[[#This Row],[MOD]]-AVERAGE(Tab.o1[MOD])),"")</f>
        <v/>
      </c>
      <c r="AR249" s="134" t="str">
        <f>IF(Tab.o1[[#This Row],[a1]]=1,Tab.o1[[#This Row],[OBS]]/SUM(Tab.o1[OBS]),"")</f>
        <v/>
      </c>
      <c r="AS249" s="135" t="str">
        <f>IF(ISNUMBER(Tab.o1[[#This Row],[a1]]),ROW()-4,"")</f>
        <v/>
      </c>
      <c r="AT249" s="136" t="str">
        <f>Tab.o1[[#This Row],[MOD]]</f>
        <v/>
      </c>
      <c r="AU249" s="137" t="str">
        <f t="shared" si="13"/>
        <v/>
      </c>
      <c r="AV249" s="138" t="str">
        <f t="shared" si="14"/>
        <v/>
      </c>
      <c r="AW249" s="138" t="str">
        <f t="shared" si="15"/>
        <v/>
      </c>
      <c r="AX249" s="139" t="str">
        <f>[1]!T.in.A[[#This Row],[ID_T_manu]]</f>
        <v/>
      </c>
      <c r="AY249" s="140" t="str">
        <f>IF(ISNUMBER(Tab.o1[[#This Row],[a1]]),IF(AND(Tab.o1[[#This Row],[a1]]=1,Tab.o1[[#This Row],[b1]]&lt;=AY$4),#REF!,AY248),"")</f>
        <v/>
      </c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</row>
    <row r="250" spans="1:79" ht="14.25" hidden="1" customHeight="1">
      <c r="A250" s="109">
        <v>5.9999999999999993E-6</v>
      </c>
      <c r="B250" s="110">
        <f t="shared" si="12"/>
        <v>250</v>
      </c>
      <c r="C250" s="111" t="str">
        <f>IF(C$1=[1]!T.in.A[[#This Row],[oo2]],1,"")</f>
        <v/>
      </c>
      <c r="D250" s="112" t="str">
        <f>IF(Tab.o1[[#This Row],[a1]]=1,IF(SUM(C250:C251)=0,0,IF(SUM(C249:C250)=1,1,IF(SUM(C249:C251)&gt;1,D249+1,0))),"")</f>
        <v/>
      </c>
      <c r="E250" s="113" t="str">
        <f>IF(Tab.o1[[#This Row],[a1]]=1,[1]!T.in.A[[#This Row],[oo1]],"")</f>
        <v/>
      </c>
      <c r="F250" s="113" t="str">
        <f>IF(Tab.o1[[#This Row],[a1]]=1,[1]!T.in.A[[#This Row],[pp1]],"")</f>
        <v/>
      </c>
      <c r="G250" s="114" t="str">
        <f>IF(Tab.o1[[#This Row],[a1]]=1,G$2+IF(G$1=1,0,Tab.o1[[#This Row],[.x1]])+[1]!T.in.A[[#This Row],[oo3]],"")</f>
        <v/>
      </c>
      <c r="H250" s="115" t="str">
        <f>IF(Tab.o1[[#This Row],[a1]]=1,IF(H$2=0,0,IF(G$1=1,0,Tab.o1[[#This Row],[.x1]])+[1]!T.in.A[[#This Row],[oo4]]),"")</f>
        <v/>
      </c>
      <c r="I250" s="116" t="str">
        <f>IF(Tab.o1[[#This Row],[a1]]=1,IF(J$2=0,Tab.o1[[#This Row],[MED]],Tab.o1[[#This Row],[MOD]]),"")</f>
        <v/>
      </c>
      <c r="J250" s="116" t="str">
        <f>IF(Tab.o1[[#This Row],[a1]]=1,((Tab.o1[[#This Row],[DIF_Target.]]-AVERAGE(Tab.o1[DIF_Target.]))/_xlfn.STDEV.P(Tab.o1[DIF_Target.])),"")</f>
        <v/>
      </c>
      <c r="K250" s="117" t="str">
        <f>IF(Tab.o1[[#This Row],[a1]]=1,IF(J$2=0,Tab.o1[[#This Row],[MOD]]-Tab.o1[[#This Row],[B]],IF(J$2=1,0,-Tab.o1[[#This Row],[MED]])+Tab.o1[[#This Row],[B]]),"")</f>
        <v/>
      </c>
      <c r="L250" s="117" t="str">
        <f ca="1">IF(Tab.o1[[#This Row],[DIF_Target]]=0,IF(L$2=0,Tab.o1[[#This Row],[DIF_Target]],AVERAGE(OFFSET(Tab.o1[[#This Row],[DIF_Target]],1,0,L$3,1)))/3,Tab.o1[[#This Row],[DIF_Target]])</f>
        <v/>
      </c>
      <c r="M250" s="118" t="str">
        <f>IF(Tab.o1[[#This Row],[a1]]=1,NORMSDIST(Tab.o1[[#This Row],[Za]]),"")</f>
        <v/>
      </c>
      <c r="N250" s="119" t="str">
        <f>IF(Tab.o1[[#This Row],[a1]]=1,((Tab.o1[[#This Row],[MedMod]]-AVERAGE(Tab.o1[MedMod]))/_xlfn.STDEV.P(Tab.o1[MedMod])*H$1205)+G$1205,"")</f>
        <v/>
      </c>
      <c r="O250" s="141" t="str">
        <f>IF(Tab.o1[[#This Row],[a1]]=1,Tab.o1[[#This Row],[Zb]]*_xlfn.STDEV.P(Tab.o1[MedMod])+AVERAGE(Tab.o1[MedMod]),"")</f>
        <v/>
      </c>
      <c r="P250" s="117" t="str">
        <f ca="1">IF(Tab.o1[[#This Row],[B]]=0,AVERAGE(OFFSET(Tab.o1[[#This Row],[B]],1,0,L$3,1)),Tab.o1[[#This Row],[B]])</f>
        <v/>
      </c>
      <c r="Q250" s="121" t="str">
        <f>IF(Tab.o1[[#This Row],[a1]]=1,NORMSDIST(Tab.o1[[#This Row],[Zb]]),"")</f>
        <v/>
      </c>
      <c r="R250" s="122" t="str">
        <f>IF(Tab.o1[[#This Row],[a1]]=1,((Tab.o1[[#This Row],[MedMod]]-AVERAGE(Tab.o1[MedMod]))/_xlfn.STDEV.P(Tab.o1[MedMod])*H$1203)+G$1203,"")</f>
        <v/>
      </c>
      <c r="S250" s="122" t="str">
        <f>IF(Tab.o1[[#This Row],[a1]]=1,((Tab.o1[[#This Row],[MedMod]]-AVERAGE(Tab.o1[MedMod]))/_xlfn.STDEV.P(Tab.o1[MedMod])*H$1204)+G$1204,"")</f>
        <v/>
      </c>
      <c r="T250" s="123" t="str">
        <f>IF(Tab.o1[[#This Row],[a1]]=1,Tab.o1[[#This Row],[Z-]]*_xlfn.STDEV.P(Tab.o1[B])+AVERAGE(Tab.o1[B]),"")</f>
        <v/>
      </c>
      <c r="U250" s="123" t="str">
        <f>IF(Tab.o1[[#This Row],[a1]]=1,Tab.o1[[#This Row],[z+]]*_xlfn.STDEV.P(Tab.o1[B])+AVERAGE(Tab.o1[B]),"")</f>
        <v/>
      </c>
      <c r="V250" s="124" t="str">
        <f>IF(Tab.o1[[#This Row],[a1]]=1,ABS((ABS(Tab.o1[[#This Row],[Red]]-Tab.o1[[#This Row],[Blue]]))),"")</f>
        <v/>
      </c>
      <c r="W250" s="125" t="str">
        <f>IF(Tab.o1[[#This Row],[a1]]=1,IF(W$3=0,1,Tab.o1[[#This Row],[Amp.]]*1/_xlfn.MINIFS(Tab.o1[Amp.],Tab.o1[Amp.],"&lt;&gt;0")),"")</f>
        <v/>
      </c>
      <c r="X250" s="126" t="str">
        <f>IF(Tab.o1[[#This Row],[a1]]=1,IF(ISNUMBER(Tab.o1[[#This Row],[i.]]),NORMDIST(Tab.o1[[#This Row],[Za]],0,1,FALSE)*Tab.o1[[#This Row],[i.]],AP$3),"")</f>
        <v/>
      </c>
      <c r="Y250" s="126" t="str">
        <f>IF(Tab.o1[[#This Row],[a1]]=1,0.01+0.94*Tab.o1[[#This Row],[PDF]]/MAX(Tab.o1[PDF]),"")</f>
        <v/>
      </c>
      <c r="Z250" s="126" t="str">
        <f>IF(Tab.o1[[#This Row],[a1]]=1,0.01+0.94*Tab.o1[[#This Row],[W1_PDF]]/MAX(Tab.o1[W1_PDF]),"")</f>
        <v/>
      </c>
      <c r="AA250" s="118" t="str">
        <f>IF(Tab.o1[[#This Row],[a1]]=1,ABS([1]!T.in.A[[#This Row],[oo6]]),"")</f>
        <v/>
      </c>
      <c r="AB250" s="127" t="str">
        <f>IF(Tab.o1[[#This Row],[a1]]=1,IF(AE$3=0,"",IF(AB$3=0,ABS([1]!T.in.A[[#This Row],[oo9]]),ABS(Tab.o1[[#This Row],[DIF_Target.]]*Tab.o1[[#This Row],[W1_PDF]]))),"")</f>
        <v/>
      </c>
      <c r="AC250" s="127" t="str">
        <f>IF(G$1=1,"",IF(Tab.o1[[#This Row],[a1]]=1,Tab.o1[[#This Row],[Wr]]^2,""))</f>
        <v/>
      </c>
      <c r="AD250" s="118" t="str">
        <f>IF(Tab.o1[[#This Row],[a1]]=1,IF(AE$3=0,"",Tab.o1[[#This Row],[Wr2]]/SUM(Tab.o1[Wr2])),"")</f>
        <v/>
      </c>
      <c r="AE250" s="128" t="str">
        <f>IF(Tab.o1[[#This Row],[a1]]=1,[1]!T.in.A[[#This Row],[oo10]],"")</f>
        <v/>
      </c>
      <c r="AF250" s="118" t="str">
        <f>IF(Tab.o1[[#This Row],[a1]]=1,ABS(Tab.o1[[#This Row],[DIF_Target.]]*Tab.o1[[#This Row],[PDF2]]*Tab.o1[[#This Row],[IN]]),"")</f>
        <v/>
      </c>
      <c r="AG250" s="129" t="str">
        <f>IF(Tab.o1[[#This Row],[a1]]=1,Tab.o1[[#This Row],[rW]]^2,"")</f>
        <v/>
      </c>
      <c r="AH250" s="130" t="str">
        <f>IF(Tab.o1[[#This Row],[a1]]=1,IF(AH$3=0,Tab.o1[[#This Row],[rW2]],0.01+0.94*Tab.o1[[#This Row],[rW2]]/SUM(Tab.o1[rW2])),"")</f>
        <v/>
      </c>
      <c r="AI250" s="128" t="str">
        <f>IF(Tab.o1[[#This Row],[a1]]=1,1/Tab.o1[[#This Row],[PDF]],"")</f>
        <v/>
      </c>
      <c r="AJ250" s="131" t="str">
        <f>IF(Tab.o1[[#This Row],[a1]]=1,[1]!T_AA[[#This Row],[IN'']]*[1]!T_AA[[#This Row],[Qde'']],"")</f>
        <v/>
      </c>
      <c r="AK250" s="132" t="str">
        <f>IF(Tab.o1[[#This Row],[a1]]=1,IF(AK$1=1,Tab.o1[[#This Row],[MED]]+Tab.o1[[#This Row],[MOD]]-Tab.o1[[#This Row],[MED]],""),"")</f>
        <v/>
      </c>
      <c r="AL250" s="133" t="str">
        <f>IF(Tab.o1[[#This Row],[a1]]=1,[1]!T.in.A[[#This Row],[oo16]],"")</f>
        <v/>
      </c>
      <c r="AM250" s="133" t="str">
        <f>IF(Tab.o1[[#This Row],[a1]]=1,IF(AM$3=1,[1]!T.in.A[[#This Row],[Σo16]],""),"")</f>
        <v/>
      </c>
      <c r="AN250" s="126" t="str">
        <f>IF(Tab.o1[[#This Row],[a1]]=1,[1]!T.in.A[[#This Row],[Σp5]],"")</f>
        <v/>
      </c>
      <c r="AO250" s="126" t="str">
        <f>IF(Tab.o1[[#This Row],[a1]]=1,IF(AO$3=1,[1]!T.in.A[[#This Row],[Σp5]],""),"")</f>
        <v/>
      </c>
      <c r="AP250" s="110" t="str">
        <f>IF(Tab.o1[[#This Row],[a1]]=1,IF(ISNUMBER(Tab.o1[[#This Row],[i.]]),NORMDIST(Tab.o1[[#This Row],[Za]],0,1,FALSE)*Tab.o1[[#This Row],[i.]],0),"")</f>
        <v/>
      </c>
      <c r="AQ250" s="125" t="str">
        <f>IF(Tab.o1[[#This Row],[a1]]=1,ABS(Tab.o1[[#This Row],[MOD]]-AVERAGE(Tab.o1[MOD])),"")</f>
        <v/>
      </c>
      <c r="AR250" s="134" t="str">
        <f>IF(Tab.o1[[#This Row],[a1]]=1,Tab.o1[[#This Row],[OBS]]/SUM(Tab.o1[OBS]),"")</f>
        <v/>
      </c>
      <c r="AS250" s="135" t="str">
        <f>IF(ISNUMBER(Tab.o1[[#This Row],[a1]]),ROW()-4,"")</f>
        <v/>
      </c>
      <c r="AT250" s="136" t="str">
        <f>Tab.o1[[#This Row],[MOD]]</f>
        <v/>
      </c>
      <c r="AU250" s="137" t="str">
        <f t="shared" si="13"/>
        <v/>
      </c>
      <c r="AV250" s="138" t="str">
        <f t="shared" si="14"/>
        <v/>
      </c>
      <c r="AW250" s="138" t="str">
        <f t="shared" si="15"/>
        <v/>
      </c>
      <c r="AX250" s="139" t="str">
        <f>[1]!T.in.A[[#This Row],[ID_T_manu]]</f>
        <v/>
      </c>
      <c r="AY250" s="140" t="str">
        <f>IF(ISNUMBER(Tab.o1[[#This Row],[a1]]),IF(AND(Tab.o1[[#This Row],[a1]]=1,Tab.o1[[#This Row],[b1]]&lt;=AY$4),#REF!,AY249),"")</f>
        <v/>
      </c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</row>
    <row r="251" spans="1:79" ht="14.25" hidden="1" customHeight="1">
      <c r="A251" s="109">
        <v>1.0000000000000002E-6</v>
      </c>
      <c r="B251" s="110">
        <f t="shared" si="12"/>
        <v>251</v>
      </c>
      <c r="C251" s="111" t="str">
        <f>IF(C$1=[1]!T.in.A[[#This Row],[oo2]],1,"")</f>
        <v/>
      </c>
      <c r="D251" s="112" t="str">
        <f>IF(Tab.o1[[#This Row],[a1]]=1,IF(SUM(C251:C252)=0,0,IF(SUM(C250:C251)=1,1,IF(SUM(C250:C252)&gt;1,D250+1,0))),"")</f>
        <v/>
      </c>
      <c r="E251" s="113" t="str">
        <f>IF(Tab.o1[[#This Row],[a1]]=1,[1]!T.in.A[[#This Row],[oo1]],"")</f>
        <v/>
      </c>
      <c r="F251" s="113" t="str">
        <f>IF(Tab.o1[[#This Row],[a1]]=1,[1]!T.in.A[[#This Row],[pp1]],"")</f>
        <v/>
      </c>
      <c r="G251" s="114" t="str">
        <f>IF(Tab.o1[[#This Row],[a1]]=1,G$2+IF(G$1=1,0,Tab.o1[[#This Row],[.x1]])+[1]!T.in.A[[#This Row],[oo3]],"")</f>
        <v/>
      </c>
      <c r="H251" s="115" t="str">
        <f>IF(Tab.o1[[#This Row],[a1]]=1,IF(H$2=0,0,IF(G$1=1,0,Tab.o1[[#This Row],[.x1]])+[1]!T.in.A[[#This Row],[oo4]]),"")</f>
        <v/>
      </c>
      <c r="I251" s="116" t="str">
        <f>IF(Tab.o1[[#This Row],[a1]]=1,IF(J$2=0,Tab.o1[[#This Row],[MED]],Tab.o1[[#This Row],[MOD]]),"")</f>
        <v/>
      </c>
      <c r="J251" s="116" t="str">
        <f>IF(Tab.o1[[#This Row],[a1]]=1,((Tab.o1[[#This Row],[DIF_Target.]]-AVERAGE(Tab.o1[DIF_Target.]))/_xlfn.STDEV.P(Tab.o1[DIF_Target.])),"")</f>
        <v/>
      </c>
      <c r="K251" s="117" t="str">
        <f>IF(Tab.o1[[#This Row],[a1]]=1,IF(J$2=0,Tab.o1[[#This Row],[MOD]]-Tab.o1[[#This Row],[B]],IF(J$2=1,0,-Tab.o1[[#This Row],[MED]])+Tab.o1[[#This Row],[B]]),"")</f>
        <v/>
      </c>
      <c r="L251" s="117" t="str">
        <f ca="1">IF(Tab.o1[[#This Row],[DIF_Target]]=0,IF(L$2=0,Tab.o1[[#This Row],[DIF_Target]],AVERAGE(OFFSET(Tab.o1[[#This Row],[DIF_Target]],1,0,L$3,1)))/3,Tab.o1[[#This Row],[DIF_Target]])</f>
        <v/>
      </c>
      <c r="M251" s="118" t="str">
        <f>IF(Tab.o1[[#This Row],[a1]]=1,NORMSDIST(Tab.o1[[#This Row],[Za]]),"")</f>
        <v/>
      </c>
      <c r="N251" s="119" t="str">
        <f>IF(Tab.o1[[#This Row],[a1]]=1,((Tab.o1[[#This Row],[MedMod]]-AVERAGE(Tab.o1[MedMod]))/_xlfn.STDEV.P(Tab.o1[MedMod])*H$1205)+G$1205,"")</f>
        <v/>
      </c>
      <c r="O251" s="141" t="str">
        <f>IF(Tab.o1[[#This Row],[a1]]=1,Tab.o1[[#This Row],[Zb]]*_xlfn.STDEV.P(Tab.o1[MedMod])+AVERAGE(Tab.o1[MedMod]),"")</f>
        <v/>
      </c>
      <c r="P251" s="117" t="str">
        <f ca="1">IF(Tab.o1[[#This Row],[B]]=0,AVERAGE(OFFSET(Tab.o1[[#This Row],[B]],1,0,L$3,1)),Tab.o1[[#This Row],[B]])</f>
        <v/>
      </c>
      <c r="Q251" s="121" t="str">
        <f>IF(Tab.o1[[#This Row],[a1]]=1,NORMSDIST(Tab.o1[[#This Row],[Zb]]),"")</f>
        <v/>
      </c>
      <c r="R251" s="122" t="str">
        <f>IF(Tab.o1[[#This Row],[a1]]=1,((Tab.o1[[#This Row],[MedMod]]-AVERAGE(Tab.o1[MedMod]))/_xlfn.STDEV.P(Tab.o1[MedMod])*H$1203)+G$1203,"")</f>
        <v/>
      </c>
      <c r="S251" s="122" t="str">
        <f>IF(Tab.o1[[#This Row],[a1]]=1,((Tab.o1[[#This Row],[MedMod]]-AVERAGE(Tab.o1[MedMod]))/_xlfn.STDEV.P(Tab.o1[MedMod])*H$1204)+G$1204,"")</f>
        <v/>
      </c>
      <c r="T251" s="123" t="str">
        <f>IF(Tab.o1[[#This Row],[a1]]=1,Tab.o1[[#This Row],[Z-]]*_xlfn.STDEV.P(Tab.o1[B])+AVERAGE(Tab.o1[B]),"")</f>
        <v/>
      </c>
      <c r="U251" s="123" t="str">
        <f>IF(Tab.o1[[#This Row],[a1]]=1,Tab.o1[[#This Row],[z+]]*_xlfn.STDEV.P(Tab.o1[B])+AVERAGE(Tab.o1[B]),"")</f>
        <v/>
      </c>
      <c r="V251" s="124" t="str">
        <f>IF(Tab.o1[[#This Row],[a1]]=1,ABS((ABS(Tab.o1[[#This Row],[Red]]-Tab.o1[[#This Row],[Blue]]))),"")</f>
        <v/>
      </c>
      <c r="W251" s="125" t="str">
        <f>IF(Tab.o1[[#This Row],[a1]]=1,IF(W$3=0,1,Tab.o1[[#This Row],[Amp.]]*1/_xlfn.MINIFS(Tab.o1[Amp.],Tab.o1[Amp.],"&lt;&gt;0")),"")</f>
        <v/>
      </c>
      <c r="X251" s="126" t="str">
        <f>IF(Tab.o1[[#This Row],[a1]]=1,IF(ISNUMBER(Tab.o1[[#This Row],[i.]]),NORMDIST(Tab.o1[[#This Row],[Za]],0,1,FALSE)*Tab.o1[[#This Row],[i.]],AP$3),"")</f>
        <v/>
      </c>
      <c r="Y251" s="126" t="str">
        <f>IF(Tab.o1[[#This Row],[a1]]=1,0.01+0.94*Tab.o1[[#This Row],[PDF]]/MAX(Tab.o1[PDF]),"")</f>
        <v/>
      </c>
      <c r="Z251" s="126" t="str">
        <f>IF(Tab.o1[[#This Row],[a1]]=1,0.01+0.94*Tab.o1[[#This Row],[W1_PDF]]/MAX(Tab.o1[W1_PDF]),"")</f>
        <v/>
      </c>
      <c r="AA251" s="118" t="str">
        <f>IF(Tab.o1[[#This Row],[a1]]=1,ABS([1]!T.in.A[[#This Row],[oo6]]),"")</f>
        <v/>
      </c>
      <c r="AB251" s="127" t="str">
        <f>IF(Tab.o1[[#This Row],[a1]]=1,IF(AE$3=0,"",IF(AB$3=0,ABS([1]!T.in.A[[#This Row],[oo9]]),ABS(Tab.o1[[#This Row],[DIF_Target.]]*Tab.o1[[#This Row],[W1_PDF]]))),"")</f>
        <v/>
      </c>
      <c r="AC251" s="127" t="str">
        <f>IF(G$1=1,"",IF(Tab.o1[[#This Row],[a1]]=1,Tab.o1[[#This Row],[Wr]]^2,""))</f>
        <v/>
      </c>
      <c r="AD251" s="118" t="str">
        <f>IF(Tab.o1[[#This Row],[a1]]=1,IF(AE$3=0,"",Tab.o1[[#This Row],[Wr2]]/SUM(Tab.o1[Wr2])),"")</f>
        <v/>
      </c>
      <c r="AE251" s="128" t="str">
        <f>IF(Tab.o1[[#This Row],[a1]]=1,[1]!T.in.A[[#This Row],[oo10]],"")</f>
        <v/>
      </c>
      <c r="AF251" s="118" t="str">
        <f>IF(Tab.o1[[#This Row],[a1]]=1,ABS(Tab.o1[[#This Row],[DIF_Target.]]*Tab.o1[[#This Row],[PDF2]]*Tab.o1[[#This Row],[IN]]),"")</f>
        <v/>
      </c>
      <c r="AG251" s="129" t="str">
        <f>IF(Tab.o1[[#This Row],[a1]]=1,Tab.o1[[#This Row],[rW]]^2,"")</f>
        <v/>
      </c>
      <c r="AH251" s="130" t="str">
        <f>IF(Tab.o1[[#This Row],[a1]]=1,IF(AH$3=0,Tab.o1[[#This Row],[rW2]],0.01+0.94*Tab.o1[[#This Row],[rW2]]/SUM(Tab.o1[rW2])),"")</f>
        <v/>
      </c>
      <c r="AI251" s="128" t="str">
        <f>IF(Tab.o1[[#This Row],[a1]]=1,1/Tab.o1[[#This Row],[PDF]],"")</f>
        <v/>
      </c>
      <c r="AJ251" s="131" t="str">
        <f>IF(Tab.o1[[#This Row],[a1]]=1,[1]!T_AA[[#This Row],[IN'']]*[1]!T_AA[[#This Row],[Qde'']],"")</f>
        <v/>
      </c>
      <c r="AK251" s="132" t="str">
        <f>IF(Tab.o1[[#This Row],[a1]]=1,IF(AK$1=1,Tab.o1[[#This Row],[MED]]+Tab.o1[[#This Row],[MOD]]-Tab.o1[[#This Row],[MED]],""),"")</f>
        <v/>
      </c>
      <c r="AL251" s="133" t="str">
        <f>IF(Tab.o1[[#This Row],[a1]]=1,[1]!T.in.A[[#This Row],[oo16]],"")</f>
        <v/>
      </c>
      <c r="AM251" s="133" t="str">
        <f>IF(Tab.o1[[#This Row],[a1]]=1,IF(AM$3=1,[1]!T.in.A[[#This Row],[Σo16]],""),"")</f>
        <v/>
      </c>
      <c r="AN251" s="126" t="str">
        <f>IF(Tab.o1[[#This Row],[a1]]=1,[1]!T.in.A[[#This Row],[Σp5]],"")</f>
        <v/>
      </c>
      <c r="AO251" s="126" t="str">
        <f>IF(Tab.o1[[#This Row],[a1]]=1,IF(AO$3=1,[1]!T.in.A[[#This Row],[Σp5]],""),"")</f>
        <v/>
      </c>
      <c r="AP251" s="110" t="str">
        <f>IF(Tab.o1[[#This Row],[a1]]=1,IF(ISNUMBER(Tab.o1[[#This Row],[i.]]),NORMDIST(Tab.o1[[#This Row],[Za]],0,1,FALSE)*Tab.o1[[#This Row],[i.]],0),"")</f>
        <v/>
      </c>
      <c r="AQ251" s="125" t="str">
        <f>IF(Tab.o1[[#This Row],[a1]]=1,ABS(Tab.o1[[#This Row],[MOD]]-AVERAGE(Tab.o1[MOD])),"")</f>
        <v/>
      </c>
      <c r="AR251" s="134" t="str">
        <f>IF(Tab.o1[[#This Row],[a1]]=1,Tab.o1[[#This Row],[OBS]]/SUM(Tab.o1[OBS]),"")</f>
        <v/>
      </c>
      <c r="AS251" s="135" t="str">
        <f>IF(ISNUMBER(Tab.o1[[#This Row],[a1]]),ROW()-4,"")</f>
        <v/>
      </c>
      <c r="AT251" s="136" t="str">
        <f>Tab.o1[[#This Row],[MOD]]</f>
        <v/>
      </c>
      <c r="AU251" s="137" t="str">
        <f t="shared" si="13"/>
        <v/>
      </c>
      <c r="AV251" s="138" t="str">
        <f t="shared" si="14"/>
        <v/>
      </c>
      <c r="AW251" s="138" t="str">
        <f t="shared" si="15"/>
        <v/>
      </c>
      <c r="AX251" s="139" t="str">
        <f>[1]!T.in.A[[#This Row],[ID_T_manu]]</f>
        <v/>
      </c>
      <c r="AY251" s="140" t="str">
        <f>IF(ISNUMBER(Tab.o1[[#This Row],[a1]]),IF(AND(Tab.o1[[#This Row],[a1]]=1,Tab.o1[[#This Row],[b1]]&lt;=AY$4),#REF!,AY250),"")</f>
        <v/>
      </c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</row>
    <row r="252" spans="1:79" ht="14.25" hidden="1" customHeight="1">
      <c r="A252" s="109">
        <v>4.0000000000000007E-6</v>
      </c>
      <c r="B252" s="110">
        <f t="shared" si="12"/>
        <v>252</v>
      </c>
      <c r="C252" s="111" t="str">
        <f>IF(C$1=[1]!T.in.A[[#This Row],[oo2]],1,"")</f>
        <v/>
      </c>
      <c r="D252" s="112" t="str">
        <f>IF(Tab.o1[[#This Row],[a1]]=1,IF(SUM(C252:C253)=0,0,IF(SUM(C251:C252)=1,1,IF(SUM(C251:C253)&gt;1,D251+1,0))),"")</f>
        <v/>
      </c>
      <c r="E252" s="113" t="str">
        <f>IF(Tab.o1[[#This Row],[a1]]=1,[1]!T.in.A[[#This Row],[oo1]],"")</f>
        <v/>
      </c>
      <c r="F252" s="113" t="str">
        <f>IF(Tab.o1[[#This Row],[a1]]=1,[1]!T.in.A[[#This Row],[pp1]],"")</f>
        <v/>
      </c>
      <c r="G252" s="114" t="str">
        <f>IF(Tab.o1[[#This Row],[a1]]=1,G$2+IF(G$1=1,0,Tab.o1[[#This Row],[.x1]])+[1]!T.in.A[[#This Row],[oo3]],"")</f>
        <v/>
      </c>
      <c r="H252" s="115" t="str">
        <f>IF(Tab.o1[[#This Row],[a1]]=1,IF(H$2=0,0,IF(G$1=1,0,Tab.o1[[#This Row],[.x1]])+[1]!T.in.A[[#This Row],[oo4]]),"")</f>
        <v/>
      </c>
      <c r="I252" s="116" t="str">
        <f>IF(Tab.o1[[#This Row],[a1]]=1,IF(J$2=0,Tab.o1[[#This Row],[MED]],Tab.o1[[#This Row],[MOD]]),"")</f>
        <v/>
      </c>
      <c r="J252" s="116" t="str">
        <f>IF(Tab.o1[[#This Row],[a1]]=1,((Tab.o1[[#This Row],[DIF_Target.]]-AVERAGE(Tab.o1[DIF_Target.]))/_xlfn.STDEV.P(Tab.o1[DIF_Target.])),"")</f>
        <v/>
      </c>
      <c r="K252" s="117" t="str">
        <f>IF(Tab.o1[[#This Row],[a1]]=1,IF(J$2=0,Tab.o1[[#This Row],[MOD]]-Tab.o1[[#This Row],[B]],IF(J$2=1,0,-Tab.o1[[#This Row],[MED]])+Tab.o1[[#This Row],[B]]),"")</f>
        <v/>
      </c>
      <c r="L252" s="117" t="str">
        <f ca="1">IF(Tab.o1[[#This Row],[DIF_Target]]=0,IF(L$2=0,Tab.o1[[#This Row],[DIF_Target]],AVERAGE(OFFSET(Tab.o1[[#This Row],[DIF_Target]],1,0,L$3,1)))/3,Tab.o1[[#This Row],[DIF_Target]])</f>
        <v/>
      </c>
      <c r="M252" s="118" t="str">
        <f>IF(Tab.o1[[#This Row],[a1]]=1,NORMSDIST(Tab.o1[[#This Row],[Za]]),"")</f>
        <v/>
      </c>
      <c r="N252" s="119" t="str">
        <f>IF(Tab.o1[[#This Row],[a1]]=1,((Tab.o1[[#This Row],[MedMod]]-AVERAGE(Tab.o1[MedMod]))/_xlfn.STDEV.P(Tab.o1[MedMod])*H$1205)+G$1205,"")</f>
        <v/>
      </c>
      <c r="O252" s="141" t="str">
        <f>IF(Tab.o1[[#This Row],[a1]]=1,Tab.o1[[#This Row],[Zb]]*_xlfn.STDEV.P(Tab.o1[MedMod])+AVERAGE(Tab.o1[MedMod]),"")</f>
        <v/>
      </c>
      <c r="P252" s="117" t="str">
        <f ca="1">IF(Tab.o1[[#This Row],[B]]=0,AVERAGE(OFFSET(Tab.o1[[#This Row],[B]],1,0,L$3,1)),Tab.o1[[#This Row],[B]])</f>
        <v/>
      </c>
      <c r="Q252" s="121" t="str">
        <f>IF(Tab.o1[[#This Row],[a1]]=1,NORMSDIST(Tab.o1[[#This Row],[Zb]]),"")</f>
        <v/>
      </c>
      <c r="R252" s="122" t="str">
        <f>IF(Tab.o1[[#This Row],[a1]]=1,((Tab.o1[[#This Row],[MedMod]]-AVERAGE(Tab.o1[MedMod]))/_xlfn.STDEV.P(Tab.o1[MedMod])*H$1203)+G$1203,"")</f>
        <v/>
      </c>
      <c r="S252" s="122" t="str">
        <f>IF(Tab.o1[[#This Row],[a1]]=1,((Tab.o1[[#This Row],[MedMod]]-AVERAGE(Tab.o1[MedMod]))/_xlfn.STDEV.P(Tab.o1[MedMod])*H$1204)+G$1204,"")</f>
        <v/>
      </c>
      <c r="T252" s="123" t="str">
        <f>IF(Tab.o1[[#This Row],[a1]]=1,Tab.o1[[#This Row],[Z-]]*_xlfn.STDEV.P(Tab.o1[B])+AVERAGE(Tab.o1[B]),"")</f>
        <v/>
      </c>
      <c r="U252" s="123" t="str">
        <f>IF(Tab.o1[[#This Row],[a1]]=1,Tab.o1[[#This Row],[z+]]*_xlfn.STDEV.P(Tab.o1[B])+AVERAGE(Tab.o1[B]),"")</f>
        <v/>
      </c>
      <c r="V252" s="124" t="str">
        <f>IF(Tab.o1[[#This Row],[a1]]=1,ABS((ABS(Tab.o1[[#This Row],[Red]]-Tab.o1[[#This Row],[Blue]]))),"")</f>
        <v/>
      </c>
      <c r="W252" s="125" t="str">
        <f>IF(Tab.o1[[#This Row],[a1]]=1,IF(W$3=0,1,Tab.o1[[#This Row],[Amp.]]*1/_xlfn.MINIFS(Tab.o1[Amp.],Tab.o1[Amp.],"&lt;&gt;0")),"")</f>
        <v/>
      </c>
      <c r="X252" s="126" t="str">
        <f>IF(Tab.o1[[#This Row],[a1]]=1,IF(ISNUMBER(Tab.o1[[#This Row],[i.]]),NORMDIST(Tab.o1[[#This Row],[Za]],0,1,FALSE)*Tab.o1[[#This Row],[i.]],AP$3),"")</f>
        <v/>
      </c>
      <c r="Y252" s="126" t="str">
        <f>IF(Tab.o1[[#This Row],[a1]]=1,0.01+0.94*Tab.o1[[#This Row],[PDF]]/MAX(Tab.o1[PDF]),"")</f>
        <v/>
      </c>
      <c r="Z252" s="126" t="str">
        <f>IF(Tab.o1[[#This Row],[a1]]=1,0.01+0.94*Tab.o1[[#This Row],[W1_PDF]]/MAX(Tab.o1[W1_PDF]),"")</f>
        <v/>
      </c>
      <c r="AA252" s="118" t="str">
        <f>IF(Tab.o1[[#This Row],[a1]]=1,ABS([1]!T.in.A[[#This Row],[oo6]]),"")</f>
        <v/>
      </c>
      <c r="AB252" s="127" t="str">
        <f>IF(Tab.o1[[#This Row],[a1]]=1,IF(AE$3=0,"",IF(AB$3=0,ABS([1]!T.in.A[[#This Row],[oo9]]),ABS(Tab.o1[[#This Row],[DIF_Target.]]*Tab.o1[[#This Row],[W1_PDF]]))),"")</f>
        <v/>
      </c>
      <c r="AC252" s="127" t="str">
        <f>IF(G$1=1,"",IF(Tab.o1[[#This Row],[a1]]=1,Tab.o1[[#This Row],[Wr]]^2,""))</f>
        <v/>
      </c>
      <c r="AD252" s="118" t="str">
        <f>IF(Tab.o1[[#This Row],[a1]]=1,IF(AE$3=0,"",Tab.o1[[#This Row],[Wr2]]/SUM(Tab.o1[Wr2])),"")</f>
        <v/>
      </c>
      <c r="AE252" s="128" t="str">
        <f>IF(Tab.o1[[#This Row],[a1]]=1,[1]!T.in.A[[#This Row],[oo10]],"")</f>
        <v/>
      </c>
      <c r="AF252" s="118" t="str">
        <f>IF(Tab.o1[[#This Row],[a1]]=1,ABS(Tab.o1[[#This Row],[DIF_Target.]]*Tab.o1[[#This Row],[PDF2]]*Tab.o1[[#This Row],[IN]]),"")</f>
        <v/>
      </c>
      <c r="AG252" s="129" t="str">
        <f>IF(Tab.o1[[#This Row],[a1]]=1,Tab.o1[[#This Row],[rW]]^2,"")</f>
        <v/>
      </c>
      <c r="AH252" s="130" t="str">
        <f>IF(Tab.o1[[#This Row],[a1]]=1,IF(AH$3=0,Tab.o1[[#This Row],[rW2]],0.01+0.94*Tab.o1[[#This Row],[rW2]]/SUM(Tab.o1[rW2])),"")</f>
        <v/>
      </c>
      <c r="AI252" s="128" t="str">
        <f>IF(Tab.o1[[#This Row],[a1]]=1,1/Tab.o1[[#This Row],[PDF]],"")</f>
        <v/>
      </c>
      <c r="AJ252" s="131" t="str">
        <f>IF(Tab.o1[[#This Row],[a1]]=1,[1]!T_AA[[#This Row],[IN'']]*[1]!T_AA[[#This Row],[Qde'']],"")</f>
        <v/>
      </c>
      <c r="AK252" s="132" t="str">
        <f>IF(Tab.o1[[#This Row],[a1]]=1,IF(AK$1=1,Tab.o1[[#This Row],[MED]]+Tab.o1[[#This Row],[MOD]]-Tab.o1[[#This Row],[MED]],""),"")</f>
        <v/>
      </c>
      <c r="AL252" s="133" t="str">
        <f>IF(Tab.o1[[#This Row],[a1]]=1,[1]!T.in.A[[#This Row],[oo16]],"")</f>
        <v/>
      </c>
      <c r="AM252" s="133" t="str">
        <f>IF(Tab.o1[[#This Row],[a1]]=1,IF(AM$3=1,[1]!T.in.A[[#This Row],[Σo16]],""),"")</f>
        <v/>
      </c>
      <c r="AN252" s="126" t="str">
        <f>IF(Tab.o1[[#This Row],[a1]]=1,[1]!T.in.A[[#This Row],[Σp5]],"")</f>
        <v/>
      </c>
      <c r="AO252" s="126" t="str">
        <f>IF(Tab.o1[[#This Row],[a1]]=1,IF(AO$3=1,[1]!T.in.A[[#This Row],[Σp5]],""),"")</f>
        <v/>
      </c>
      <c r="AP252" s="110" t="str">
        <f>IF(Tab.o1[[#This Row],[a1]]=1,IF(ISNUMBER(Tab.o1[[#This Row],[i.]]),NORMDIST(Tab.o1[[#This Row],[Za]],0,1,FALSE)*Tab.o1[[#This Row],[i.]],0),"")</f>
        <v/>
      </c>
      <c r="AQ252" s="125" t="str">
        <f>IF(Tab.o1[[#This Row],[a1]]=1,ABS(Tab.o1[[#This Row],[MOD]]-AVERAGE(Tab.o1[MOD])),"")</f>
        <v/>
      </c>
      <c r="AR252" s="134" t="str">
        <f>IF(Tab.o1[[#This Row],[a1]]=1,Tab.o1[[#This Row],[OBS]]/SUM(Tab.o1[OBS]),"")</f>
        <v/>
      </c>
      <c r="AS252" s="135" t="str">
        <f>IF(ISNUMBER(Tab.o1[[#This Row],[a1]]),ROW()-4,"")</f>
        <v/>
      </c>
      <c r="AT252" s="136" t="str">
        <f>Tab.o1[[#This Row],[MOD]]</f>
        <v/>
      </c>
      <c r="AU252" s="137" t="str">
        <f t="shared" si="13"/>
        <v/>
      </c>
      <c r="AV252" s="138" t="str">
        <f t="shared" si="14"/>
        <v/>
      </c>
      <c r="AW252" s="138" t="str">
        <f t="shared" si="15"/>
        <v/>
      </c>
      <c r="AX252" s="139" t="str">
        <f>[1]!T.in.A[[#This Row],[ID_T_manu]]</f>
        <v/>
      </c>
      <c r="AY252" s="140" t="str">
        <f>IF(ISNUMBER(Tab.o1[[#This Row],[a1]]),IF(AND(Tab.o1[[#This Row],[a1]]=1,Tab.o1[[#This Row],[b1]]&lt;=AY$4),#REF!,AY251),"")</f>
        <v/>
      </c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</row>
    <row r="253" spans="1:79" ht="14.25" hidden="1" customHeight="1">
      <c r="A253" s="109">
        <v>1.0000000000000002E-6</v>
      </c>
      <c r="B253" s="110">
        <f t="shared" si="12"/>
        <v>253</v>
      </c>
      <c r="C253" s="111" t="str">
        <f>IF(C$1=[1]!T.in.A[[#This Row],[oo2]],1,"")</f>
        <v/>
      </c>
      <c r="D253" s="112" t="str">
        <f>IF(Tab.o1[[#This Row],[a1]]=1,IF(SUM(C253:C254)=0,0,IF(SUM(C252:C253)=1,1,IF(SUM(C252:C254)&gt;1,D252+1,0))),"")</f>
        <v/>
      </c>
      <c r="E253" s="113" t="str">
        <f>IF(Tab.o1[[#This Row],[a1]]=1,[1]!T.in.A[[#This Row],[oo1]],"")</f>
        <v/>
      </c>
      <c r="F253" s="113" t="str">
        <f>IF(Tab.o1[[#This Row],[a1]]=1,[1]!T.in.A[[#This Row],[pp1]],"")</f>
        <v/>
      </c>
      <c r="G253" s="114" t="str">
        <f>IF(Tab.o1[[#This Row],[a1]]=1,G$2+IF(G$1=1,0,Tab.o1[[#This Row],[.x1]])+[1]!T.in.A[[#This Row],[oo3]],"")</f>
        <v/>
      </c>
      <c r="H253" s="115" t="str">
        <f>IF(Tab.o1[[#This Row],[a1]]=1,IF(H$2=0,0,IF(G$1=1,0,Tab.o1[[#This Row],[.x1]])+[1]!T.in.A[[#This Row],[oo4]]),"")</f>
        <v/>
      </c>
      <c r="I253" s="116" t="str">
        <f>IF(Tab.o1[[#This Row],[a1]]=1,IF(J$2=0,Tab.o1[[#This Row],[MED]],Tab.o1[[#This Row],[MOD]]),"")</f>
        <v/>
      </c>
      <c r="J253" s="116" t="str">
        <f>IF(Tab.o1[[#This Row],[a1]]=1,((Tab.o1[[#This Row],[DIF_Target.]]-AVERAGE(Tab.o1[DIF_Target.]))/_xlfn.STDEV.P(Tab.o1[DIF_Target.])),"")</f>
        <v/>
      </c>
      <c r="K253" s="117" t="str">
        <f>IF(Tab.o1[[#This Row],[a1]]=1,IF(J$2=0,Tab.o1[[#This Row],[MOD]]-Tab.o1[[#This Row],[B]],IF(J$2=1,0,-Tab.o1[[#This Row],[MED]])+Tab.o1[[#This Row],[B]]),"")</f>
        <v/>
      </c>
      <c r="L253" s="117" t="str">
        <f ca="1">IF(Tab.o1[[#This Row],[DIF_Target]]=0,IF(L$2=0,Tab.o1[[#This Row],[DIF_Target]],AVERAGE(OFFSET(Tab.o1[[#This Row],[DIF_Target]],1,0,L$3,1)))/3,Tab.o1[[#This Row],[DIF_Target]])</f>
        <v/>
      </c>
      <c r="M253" s="118" t="str">
        <f>IF(Tab.o1[[#This Row],[a1]]=1,NORMSDIST(Tab.o1[[#This Row],[Za]]),"")</f>
        <v/>
      </c>
      <c r="N253" s="119" t="str">
        <f>IF(Tab.o1[[#This Row],[a1]]=1,((Tab.o1[[#This Row],[MedMod]]-AVERAGE(Tab.o1[MedMod]))/_xlfn.STDEV.P(Tab.o1[MedMod])*H$1205)+G$1205,"")</f>
        <v/>
      </c>
      <c r="O253" s="141" t="str">
        <f>IF(Tab.o1[[#This Row],[a1]]=1,Tab.o1[[#This Row],[Zb]]*_xlfn.STDEV.P(Tab.o1[MedMod])+AVERAGE(Tab.o1[MedMod]),"")</f>
        <v/>
      </c>
      <c r="P253" s="117" t="str">
        <f ca="1">IF(Tab.o1[[#This Row],[B]]=0,AVERAGE(OFFSET(Tab.o1[[#This Row],[B]],1,0,L$3,1)),Tab.o1[[#This Row],[B]])</f>
        <v/>
      </c>
      <c r="Q253" s="121" t="str">
        <f>IF(Tab.o1[[#This Row],[a1]]=1,NORMSDIST(Tab.o1[[#This Row],[Zb]]),"")</f>
        <v/>
      </c>
      <c r="R253" s="122" t="str">
        <f>IF(Tab.o1[[#This Row],[a1]]=1,((Tab.o1[[#This Row],[MedMod]]-AVERAGE(Tab.o1[MedMod]))/_xlfn.STDEV.P(Tab.o1[MedMod])*H$1203)+G$1203,"")</f>
        <v/>
      </c>
      <c r="S253" s="122" t="str">
        <f>IF(Tab.o1[[#This Row],[a1]]=1,((Tab.o1[[#This Row],[MedMod]]-AVERAGE(Tab.o1[MedMod]))/_xlfn.STDEV.P(Tab.o1[MedMod])*H$1204)+G$1204,"")</f>
        <v/>
      </c>
      <c r="T253" s="123" t="str">
        <f>IF(Tab.o1[[#This Row],[a1]]=1,Tab.o1[[#This Row],[Z-]]*_xlfn.STDEV.P(Tab.o1[B])+AVERAGE(Tab.o1[B]),"")</f>
        <v/>
      </c>
      <c r="U253" s="123" t="str">
        <f>IF(Tab.o1[[#This Row],[a1]]=1,Tab.o1[[#This Row],[z+]]*_xlfn.STDEV.P(Tab.o1[B])+AVERAGE(Tab.o1[B]),"")</f>
        <v/>
      </c>
      <c r="V253" s="124" t="str">
        <f>IF(Tab.o1[[#This Row],[a1]]=1,ABS((ABS(Tab.o1[[#This Row],[Red]]-Tab.o1[[#This Row],[Blue]]))),"")</f>
        <v/>
      </c>
      <c r="W253" s="125" t="str">
        <f>IF(Tab.o1[[#This Row],[a1]]=1,IF(W$3=0,1,Tab.o1[[#This Row],[Amp.]]*1/_xlfn.MINIFS(Tab.o1[Amp.],Tab.o1[Amp.],"&lt;&gt;0")),"")</f>
        <v/>
      </c>
      <c r="X253" s="126" t="str">
        <f>IF(Tab.o1[[#This Row],[a1]]=1,IF(ISNUMBER(Tab.o1[[#This Row],[i.]]),NORMDIST(Tab.o1[[#This Row],[Za]],0,1,FALSE)*Tab.o1[[#This Row],[i.]],AP$3),"")</f>
        <v/>
      </c>
      <c r="Y253" s="126" t="str">
        <f>IF(Tab.o1[[#This Row],[a1]]=1,0.01+0.94*Tab.o1[[#This Row],[PDF]]/MAX(Tab.o1[PDF]),"")</f>
        <v/>
      </c>
      <c r="Z253" s="126" t="str">
        <f>IF(Tab.o1[[#This Row],[a1]]=1,0.01+0.94*Tab.o1[[#This Row],[W1_PDF]]/MAX(Tab.o1[W1_PDF]),"")</f>
        <v/>
      </c>
      <c r="AA253" s="118" t="str">
        <f>IF(Tab.o1[[#This Row],[a1]]=1,ABS([1]!T.in.A[[#This Row],[oo6]]),"")</f>
        <v/>
      </c>
      <c r="AB253" s="127" t="str">
        <f>IF(Tab.o1[[#This Row],[a1]]=1,IF(AE$3=0,"",IF(AB$3=0,ABS([1]!T.in.A[[#This Row],[oo9]]),ABS(Tab.o1[[#This Row],[DIF_Target.]]*Tab.o1[[#This Row],[W1_PDF]]))),"")</f>
        <v/>
      </c>
      <c r="AC253" s="127" t="str">
        <f>IF(G$1=1,"",IF(Tab.o1[[#This Row],[a1]]=1,Tab.o1[[#This Row],[Wr]]^2,""))</f>
        <v/>
      </c>
      <c r="AD253" s="118" t="str">
        <f>IF(Tab.o1[[#This Row],[a1]]=1,IF(AE$3=0,"",Tab.o1[[#This Row],[Wr2]]/SUM(Tab.o1[Wr2])),"")</f>
        <v/>
      </c>
      <c r="AE253" s="128" t="str">
        <f>IF(Tab.o1[[#This Row],[a1]]=1,[1]!T.in.A[[#This Row],[oo10]],"")</f>
        <v/>
      </c>
      <c r="AF253" s="118" t="str">
        <f>IF(Tab.o1[[#This Row],[a1]]=1,ABS(Tab.o1[[#This Row],[DIF_Target.]]*Tab.o1[[#This Row],[PDF2]]*Tab.o1[[#This Row],[IN]]),"")</f>
        <v/>
      </c>
      <c r="AG253" s="129" t="str">
        <f>IF(Tab.o1[[#This Row],[a1]]=1,Tab.o1[[#This Row],[rW]]^2,"")</f>
        <v/>
      </c>
      <c r="AH253" s="130" t="str">
        <f>IF(Tab.o1[[#This Row],[a1]]=1,IF(AH$3=0,Tab.o1[[#This Row],[rW2]],0.01+0.94*Tab.o1[[#This Row],[rW2]]/SUM(Tab.o1[rW2])),"")</f>
        <v/>
      </c>
      <c r="AI253" s="128" t="str">
        <f>IF(Tab.o1[[#This Row],[a1]]=1,1/Tab.o1[[#This Row],[PDF]],"")</f>
        <v/>
      </c>
      <c r="AJ253" s="131" t="str">
        <f>IF(Tab.o1[[#This Row],[a1]]=1,[1]!T_AA[[#This Row],[IN'']]*[1]!T_AA[[#This Row],[Qde'']],"")</f>
        <v/>
      </c>
      <c r="AK253" s="132" t="str">
        <f>IF(Tab.o1[[#This Row],[a1]]=1,IF(AK$1=1,Tab.o1[[#This Row],[MED]]+Tab.o1[[#This Row],[MOD]]-Tab.o1[[#This Row],[MED]],""),"")</f>
        <v/>
      </c>
      <c r="AL253" s="133" t="str">
        <f>IF(Tab.o1[[#This Row],[a1]]=1,[1]!T.in.A[[#This Row],[oo16]],"")</f>
        <v/>
      </c>
      <c r="AM253" s="133" t="str">
        <f>IF(Tab.o1[[#This Row],[a1]]=1,IF(AM$3=1,[1]!T.in.A[[#This Row],[Σo16]],""),"")</f>
        <v/>
      </c>
      <c r="AN253" s="126" t="str">
        <f>IF(Tab.o1[[#This Row],[a1]]=1,[1]!T.in.A[[#This Row],[Σp5]],"")</f>
        <v/>
      </c>
      <c r="AO253" s="126" t="str">
        <f>IF(Tab.o1[[#This Row],[a1]]=1,IF(AO$3=1,[1]!T.in.A[[#This Row],[Σp5]],""),"")</f>
        <v/>
      </c>
      <c r="AP253" s="110" t="str">
        <f>IF(Tab.o1[[#This Row],[a1]]=1,IF(ISNUMBER(Tab.o1[[#This Row],[i.]]),NORMDIST(Tab.o1[[#This Row],[Za]],0,1,FALSE)*Tab.o1[[#This Row],[i.]],0),"")</f>
        <v/>
      </c>
      <c r="AQ253" s="125" t="str">
        <f>IF(Tab.o1[[#This Row],[a1]]=1,ABS(Tab.o1[[#This Row],[MOD]]-AVERAGE(Tab.o1[MOD])),"")</f>
        <v/>
      </c>
      <c r="AR253" s="134" t="str">
        <f>IF(Tab.o1[[#This Row],[a1]]=1,Tab.o1[[#This Row],[OBS]]/SUM(Tab.o1[OBS]),"")</f>
        <v/>
      </c>
      <c r="AS253" s="135" t="str">
        <f>IF(ISNUMBER(Tab.o1[[#This Row],[a1]]),ROW()-4,"")</f>
        <v/>
      </c>
      <c r="AT253" s="136" t="str">
        <f>Tab.o1[[#This Row],[MOD]]</f>
        <v/>
      </c>
      <c r="AU253" s="137" t="str">
        <f t="shared" si="13"/>
        <v/>
      </c>
      <c r="AV253" s="138" t="str">
        <f t="shared" si="14"/>
        <v/>
      </c>
      <c r="AW253" s="138" t="str">
        <f t="shared" si="15"/>
        <v/>
      </c>
      <c r="AX253" s="139" t="str">
        <f>[1]!T.in.A[[#This Row],[ID_T_manu]]</f>
        <v/>
      </c>
      <c r="AY253" s="140" t="str">
        <f>IF(ISNUMBER(Tab.o1[[#This Row],[a1]]),IF(AND(Tab.o1[[#This Row],[a1]]=1,Tab.o1[[#This Row],[b1]]&lt;=AY$4),#REF!,AY252),"")</f>
        <v/>
      </c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</row>
    <row r="254" spans="1:79" ht="14.25" hidden="1" customHeight="1">
      <c r="A254" s="109">
        <v>2.9999999999999997E-6</v>
      </c>
      <c r="B254" s="110">
        <f t="shared" si="12"/>
        <v>254</v>
      </c>
      <c r="C254" s="111" t="str">
        <f>IF(C$1=[1]!T.in.A[[#This Row],[oo2]],1,"")</f>
        <v/>
      </c>
      <c r="D254" s="112" t="str">
        <f>IF(Tab.o1[[#This Row],[a1]]=1,IF(SUM(C254:C255)=0,0,IF(SUM(C253:C254)=1,1,IF(SUM(C253:C255)&gt;1,D253+1,0))),"")</f>
        <v/>
      </c>
      <c r="E254" s="113" t="str">
        <f>IF(Tab.o1[[#This Row],[a1]]=1,[1]!T.in.A[[#This Row],[oo1]],"")</f>
        <v/>
      </c>
      <c r="F254" s="113" t="str">
        <f>IF(Tab.o1[[#This Row],[a1]]=1,[1]!T.in.A[[#This Row],[pp1]],"")</f>
        <v/>
      </c>
      <c r="G254" s="114" t="str">
        <f>IF(Tab.o1[[#This Row],[a1]]=1,G$2+IF(G$1=1,0,Tab.o1[[#This Row],[.x1]])+[1]!T.in.A[[#This Row],[oo3]],"")</f>
        <v/>
      </c>
      <c r="H254" s="115" t="str">
        <f>IF(Tab.o1[[#This Row],[a1]]=1,IF(H$2=0,0,IF(G$1=1,0,Tab.o1[[#This Row],[.x1]])+[1]!T.in.A[[#This Row],[oo4]]),"")</f>
        <v/>
      </c>
      <c r="I254" s="116" t="str">
        <f>IF(Tab.o1[[#This Row],[a1]]=1,IF(J$2=0,Tab.o1[[#This Row],[MED]],Tab.o1[[#This Row],[MOD]]),"")</f>
        <v/>
      </c>
      <c r="J254" s="116" t="str">
        <f>IF(Tab.o1[[#This Row],[a1]]=1,((Tab.o1[[#This Row],[DIF_Target.]]-AVERAGE(Tab.o1[DIF_Target.]))/_xlfn.STDEV.P(Tab.o1[DIF_Target.])),"")</f>
        <v/>
      </c>
      <c r="K254" s="117" t="str">
        <f>IF(Tab.o1[[#This Row],[a1]]=1,IF(J$2=0,Tab.o1[[#This Row],[MOD]]-Tab.o1[[#This Row],[B]],IF(J$2=1,0,-Tab.o1[[#This Row],[MED]])+Tab.o1[[#This Row],[B]]),"")</f>
        <v/>
      </c>
      <c r="L254" s="117" t="str">
        <f ca="1">IF(Tab.o1[[#This Row],[DIF_Target]]=0,IF(L$2=0,Tab.o1[[#This Row],[DIF_Target]],AVERAGE(OFFSET(Tab.o1[[#This Row],[DIF_Target]],1,0,L$3,1)))/3,Tab.o1[[#This Row],[DIF_Target]])</f>
        <v/>
      </c>
      <c r="M254" s="118" t="str">
        <f>IF(Tab.o1[[#This Row],[a1]]=1,NORMSDIST(Tab.o1[[#This Row],[Za]]),"")</f>
        <v/>
      </c>
      <c r="N254" s="119" t="str">
        <f>IF(Tab.o1[[#This Row],[a1]]=1,((Tab.o1[[#This Row],[MedMod]]-AVERAGE(Tab.o1[MedMod]))/_xlfn.STDEV.P(Tab.o1[MedMod])*H$1205)+G$1205,"")</f>
        <v/>
      </c>
      <c r="O254" s="141" t="str">
        <f>IF(Tab.o1[[#This Row],[a1]]=1,Tab.o1[[#This Row],[Zb]]*_xlfn.STDEV.P(Tab.o1[MedMod])+AVERAGE(Tab.o1[MedMod]),"")</f>
        <v/>
      </c>
      <c r="P254" s="117" t="str">
        <f ca="1">IF(Tab.o1[[#This Row],[B]]=0,AVERAGE(OFFSET(Tab.o1[[#This Row],[B]],1,0,L$3,1)),Tab.o1[[#This Row],[B]])</f>
        <v/>
      </c>
      <c r="Q254" s="121" t="str">
        <f>IF(Tab.o1[[#This Row],[a1]]=1,NORMSDIST(Tab.o1[[#This Row],[Zb]]),"")</f>
        <v/>
      </c>
      <c r="R254" s="122" t="str">
        <f>IF(Tab.o1[[#This Row],[a1]]=1,((Tab.o1[[#This Row],[MedMod]]-AVERAGE(Tab.o1[MedMod]))/_xlfn.STDEV.P(Tab.o1[MedMod])*H$1203)+G$1203,"")</f>
        <v/>
      </c>
      <c r="S254" s="122" t="str">
        <f>IF(Tab.o1[[#This Row],[a1]]=1,((Tab.o1[[#This Row],[MedMod]]-AVERAGE(Tab.o1[MedMod]))/_xlfn.STDEV.P(Tab.o1[MedMod])*H$1204)+G$1204,"")</f>
        <v/>
      </c>
      <c r="T254" s="123" t="str">
        <f>IF(Tab.o1[[#This Row],[a1]]=1,Tab.o1[[#This Row],[Z-]]*_xlfn.STDEV.P(Tab.o1[B])+AVERAGE(Tab.o1[B]),"")</f>
        <v/>
      </c>
      <c r="U254" s="123" t="str">
        <f>IF(Tab.o1[[#This Row],[a1]]=1,Tab.o1[[#This Row],[z+]]*_xlfn.STDEV.P(Tab.o1[B])+AVERAGE(Tab.o1[B]),"")</f>
        <v/>
      </c>
      <c r="V254" s="124" t="str">
        <f>IF(Tab.o1[[#This Row],[a1]]=1,ABS((ABS(Tab.o1[[#This Row],[Red]]-Tab.o1[[#This Row],[Blue]]))),"")</f>
        <v/>
      </c>
      <c r="W254" s="125" t="str">
        <f>IF(Tab.o1[[#This Row],[a1]]=1,IF(W$3=0,1,Tab.o1[[#This Row],[Amp.]]*1/_xlfn.MINIFS(Tab.o1[Amp.],Tab.o1[Amp.],"&lt;&gt;0")),"")</f>
        <v/>
      </c>
      <c r="X254" s="126" t="str">
        <f>IF(Tab.o1[[#This Row],[a1]]=1,IF(ISNUMBER(Tab.o1[[#This Row],[i.]]),NORMDIST(Tab.o1[[#This Row],[Za]],0,1,FALSE)*Tab.o1[[#This Row],[i.]],AP$3),"")</f>
        <v/>
      </c>
      <c r="Y254" s="126" t="str">
        <f>IF(Tab.o1[[#This Row],[a1]]=1,0.01+0.94*Tab.o1[[#This Row],[PDF]]/MAX(Tab.o1[PDF]),"")</f>
        <v/>
      </c>
      <c r="Z254" s="126" t="str">
        <f>IF(Tab.o1[[#This Row],[a1]]=1,0.01+0.94*Tab.o1[[#This Row],[W1_PDF]]/MAX(Tab.o1[W1_PDF]),"")</f>
        <v/>
      </c>
      <c r="AA254" s="118" t="str">
        <f>IF(Tab.o1[[#This Row],[a1]]=1,ABS([1]!T.in.A[[#This Row],[oo6]]),"")</f>
        <v/>
      </c>
      <c r="AB254" s="127" t="str">
        <f>IF(Tab.o1[[#This Row],[a1]]=1,IF(AE$3=0,"",IF(AB$3=0,ABS([1]!T.in.A[[#This Row],[oo9]]),ABS(Tab.o1[[#This Row],[DIF_Target.]]*Tab.o1[[#This Row],[W1_PDF]]))),"")</f>
        <v/>
      </c>
      <c r="AC254" s="127" t="str">
        <f>IF(G$1=1,"",IF(Tab.o1[[#This Row],[a1]]=1,Tab.o1[[#This Row],[Wr]]^2,""))</f>
        <v/>
      </c>
      <c r="AD254" s="118" t="str">
        <f>IF(Tab.o1[[#This Row],[a1]]=1,IF(AE$3=0,"",Tab.o1[[#This Row],[Wr2]]/SUM(Tab.o1[Wr2])),"")</f>
        <v/>
      </c>
      <c r="AE254" s="128" t="str">
        <f>IF(Tab.o1[[#This Row],[a1]]=1,[1]!T.in.A[[#This Row],[oo10]],"")</f>
        <v/>
      </c>
      <c r="AF254" s="118" t="str">
        <f>IF(Tab.o1[[#This Row],[a1]]=1,ABS(Tab.o1[[#This Row],[DIF_Target.]]*Tab.o1[[#This Row],[PDF2]]*Tab.o1[[#This Row],[IN]]),"")</f>
        <v/>
      </c>
      <c r="AG254" s="129" t="str">
        <f>IF(Tab.o1[[#This Row],[a1]]=1,Tab.o1[[#This Row],[rW]]^2,"")</f>
        <v/>
      </c>
      <c r="AH254" s="130" t="str">
        <f>IF(Tab.o1[[#This Row],[a1]]=1,IF(AH$3=0,Tab.o1[[#This Row],[rW2]],0.01+0.94*Tab.o1[[#This Row],[rW2]]/SUM(Tab.o1[rW2])),"")</f>
        <v/>
      </c>
      <c r="AI254" s="128" t="str">
        <f>IF(Tab.o1[[#This Row],[a1]]=1,1/Tab.o1[[#This Row],[PDF]],"")</f>
        <v/>
      </c>
      <c r="AJ254" s="131" t="str">
        <f>IF(Tab.o1[[#This Row],[a1]]=1,[1]!T_AA[[#This Row],[IN'']]*[1]!T_AA[[#This Row],[Qde'']],"")</f>
        <v/>
      </c>
      <c r="AK254" s="132" t="str">
        <f>IF(Tab.o1[[#This Row],[a1]]=1,IF(AK$1=1,Tab.o1[[#This Row],[MED]]+Tab.o1[[#This Row],[MOD]]-Tab.o1[[#This Row],[MED]],""),"")</f>
        <v/>
      </c>
      <c r="AL254" s="133" t="str">
        <f>IF(Tab.o1[[#This Row],[a1]]=1,[1]!T.in.A[[#This Row],[oo16]],"")</f>
        <v/>
      </c>
      <c r="AM254" s="133" t="str">
        <f>IF(Tab.o1[[#This Row],[a1]]=1,IF(AM$3=1,[1]!T.in.A[[#This Row],[Σo16]],""),"")</f>
        <v/>
      </c>
      <c r="AN254" s="126" t="str">
        <f>IF(Tab.o1[[#This Row],[a1]]=1,[1]!T.in.A[[#This Row],[Σp5]],"")</f>
        <v/>
      </c>
      <c r="AO254" s="126" t="str">
        <f>IF(Tab.o1[[#This Row],[a1]]=1,IF(AO$3=1,[1]!T.in.A[[#This Row],[Σp5]],""),"")</f>
        <v/>
      </c>
      <c r="AP254" s="110" t="str">
        <f>IF(Tab.o1[[#This Row],[a1]]=1,IF(ISNUMBER(Tab.o1[[#This Row],[i.]]),NORMDIST(Tab.o1[[#This Row],[Za]],0,1,FALSE)*Tab.o1[[#This Row],[i.]],0),"")</f>
        <v/>
      </c>
      <c r="AQ254" s="125" t="str">
        <f>IF(Tab.o1[[#This Row],[a1]]=1,ABS(Tab.o1[[#This Row],[MOD]]-AVERAGE(Tab.o1[MOD])),"")</f>
        <v/>
      </c>
      <c r="AR254" s="134" t="str">
        <f>IF(Tab.o1[[#This Row],[a1]]=1,Tab.o1[[#This Row],[OBS]]/SUM(Tab.o1[OBS]),"")</f>
        <v/>
      </c>
      <c r="AS254" s="135" t="str">
        <f>IF(ISNUMBER(Tab.o1[[#This Row],[a1]]),ROW()-4,"")</f>
        <v/>
      </c>
      <c r="AT254" s="136" t="str">
        <f>Tab.o1[[#This Row],[MOD]]</f>
        <v/>
      </c>
      <c r="AU254" s="137" t="str">
        <f t="shared" si="13"/>
        <v/>
      </c>
      <c r="AV254" s="138" t="str">
        <f t="shared" si="14"/>
        <v/>
      </c>
      <c r="AW254" s="138" t="str">
        <f t="shared" si="15"/>
        <v/>
      </c>
      <c r="AX254" s="139" t="str">
        <f>[1]!T.in.A[[#This Row],[ID_T_manu]]</f>
        <v/>
      </c>
      <c r="AY254" s="140" t="str">
        <f>IF(ISNUMBER(Tab.o1[[#This Row],[a1]]),IF(AND(Tab.o1[[#This Row],[a1]]=1,Tab.o1[[#This Row],[b1]]&lt;=AY$4),#REF!,AY253),"")</f>
        <v/>
      </c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</row>
    <row r="255" spans="1:79" ht="14.25" hidden="1" customHeight="1">
      <c r="A255" s="109">
        <v>-9.0000000000000002E-6</v>
      </c>
      <c r="B255" s="110">
        <f t="shared" si="12"/>
        <v>255</v>
      </c>
      <c r="C255" s="111" t="str">
        <f>IF(C$1=[1]!T.in.A[[#This Row],[oo2]],1,"")</f>
        <v/>
      </c>
      <c r="D255" s="112" t="str">
        <f>IF(Tab.o1[[#This Row],[a1]]=1,IF(SUM(C255:C256)=0,0,IF(SUM(C254:C255)=1,1,IF(SUM(C254:C256)&gt;1,D254+1,0))),"")</f>
        <v/>
      </c>
      <c r="E255" s="113" t="str">
        <f>IF(Tab.o1[[#This Row],[a1]]=1,[1]!T.in.A[[#This Row],[oo1]],"")</f>
        <v/>
      </c>
      <c r="F255" s="113" t="str">
        <f>IF(Tab.o1[[#This Row],[a1]]=1,[1]!T.in.A[[#This Row],[pp1]],"")</f>
        <v/>
      </c>
      <c r="G255" s="114" t="str">
        <f>IF(Tab.o1[[#This Row],[a1]]=1,G$2+IF(G$1=1,0,Tab.o1[[#This Row],[.x1]])+[1]!T.in.A[[#This Row],[oo3]],"")</f>
        <v/>
      </c>
      <c r="H255" s="115" t="str">
        <f>IF(Tab.o1[[#This Row],[a1]]=1,IF(H$2=0,0,IF(G$1=1,0,Tab.o1[[#This Row],[.x1]])+[1]!T.in.A[[#This Row],[oo4]]),"")</f>
        <v/>
      </c>
      <c r="I255" s="116" t="str">
        <f>IF(Tab.o1[[#This Row],[a1]]=1,IF(J$2=0,Tab.o1[[#This Row],[MED]],Tab.o1[[#This Row],[MOD]]),"")</f>
        <v/>
      </c>
      <c r="J255" s="116" t="str">
        <f>IF(Tab.o1[[#This Row],[a1]]=1,((Tab.o1[[#This Row],[DIF_Target.]]-AVERAGE(Tab.o1[DIF_Target.]))/_xlfn.STDEV.P(Tab.o1[DIF_Target.])),"")</f>
        <v/>
      </c>
      <c r="K255" s="117" t="str">
        <f>IF(Tab.o1[[#This Row],[a1]]=1,IF(J$2=0,Tab.o1[[#This Row],[MOD]]-Tab.o1[[#This Row],[B]],IF(J$2=1,0,-Tab.o1[[#This Row],[MED]])+Tab.o1[[#This Row],[B]]),"")</f>
        <v/>
      </c>
      <c r="L255" s="117" t="str">
        <f ca="1">IF(Tab.o1[[#This Row],[DIF_Target]]=0,IF(L$2=0,Tab.o1[[#This Row],[DIF_Target]],AVERAGE(OFFSET(Tab.o1[[#This Row],[DIF_Target]],1,0,L$3,1)))/3,Tab.o1[[#This Row],[DIF_Target]])</f>
        <v/>
      </c>
      <c r="M255" s="118" t="str">
        <f>IF(Tab.o1[[#This Row],[a1]]=1,NORMSDIST(Tab.o1[[#This Row],[Za]]),"")</f>
        <v/>
      </c>
      <c r="N255" s="119" t="str">
        <f>IF(Tab.o1[[#This Row],[a1]]=1,((Tab.o1[[#This Row],[MedMod]]-AVERAGE(Tab.o1[MedMod]))/_xlfn.STDEV.P(Tab.o1[MedMod])*H$1205)+G$1205,"")</f>
        <v/>
      </c>
      <c r="O255" s="141" t="str">
        <f>IF(Tab.o1[[#This Row],[a1]]=1,Tab.o1[[#This Row],[Zb]]*_xlfn.STDEV.P(Tab.o1[MedMod])+AVERAGE(Tab.o1[MedMod]),"")</f>
        <v/>
      </c>
      <c r="P255" s="117" t="str">
        <f ca="1">IF(Tab.o1[[#This Row],[B]]=0,AVERAGE(OFFSET(Tab.o1[[#This Row],[B]],1,0,L$3,1)),Tab.o1[[#This Row],[B]])</f>
        <v/>
      </c>
      <c r="Q255" s="121" t="str">
        <f>IF(Tab.o1[[#This Row],[a1]]=1,NORMSDIST(Tab.o1[[#This Row],[Zb]]),"")</f>
        <v/>
      </c>
      <c r="R255" s="122" t="str">
        <f>IF(Tab.o1[[#This Row],[a1]]=1,((Tab.o1[[#This Row],[MedMod]]-AVERAGE(Tab.o1[MedMod]))/_xlfn.STDEV.P(Tab.o1[MedMod])*H$1203)+G$1203,"")</f>
        <v/>
      </c>
      <c r="S255" s="122" t="str">
        <f>IF(Tab.o1[[#This Row],[a1]]=1,((Tab.o1[[#This Row],[MedMod]]-AVERAGE(Tab.o1[MedMod]))/_xlfn.STDEV.P(Tab.o1[MedMod])*H$1204)+G$1204,"")</f>
        <v/>
      </c>
      <c r="T255" s="123" t="str">
        <f>IF(Tab.o1[[#This Row],[a1]]=1,Tab.o1[[#This Row],[Z-]]*_xlfn.STDEV.P(Tab.o1[B])+AVERAGE(Tab.o1[B]),"")</f>
        <v/>
      </c>
      <c r="U255" s="123" t="str">
        <f>IF(Tab.o1[[#This Row],[a1]]=1,Tab.o1[[#This Row],[z+]]*_xlfn.STDEV.P(Tab.o1[B])+AVERAGE(Tab.o1[B]),"")</f>
        <v/>
      </c>
      <c r="V255" s="124" t="str">
        <f>IF(Tab.o1[[#This Row],[a1]]=1,ABS((ABS(Tab.o1[[#This Row],[Red]]-Tab.o1[[#This Row],[Blue]]))),"")</f>
        <v/>
      </c>
      <c r="W255" s="125" t="str">
        <f>IF(Tab.o1[[#This Row],[a1]]=1,IF(W$3=0,1,Tab.o1[[#This Row],[Amp.]]*1/_xlfn.MINIFS(Tab.o1[Amp.],Tab.o1[Amp.],"&lt;&gt;0")),"")</f>
        <v/>
      </c>
      <c r="X255" s="126" t="str">
        <f>IF(Tab.o1[[#This Row],[a1]]=1,IF(ISNUMBER(Tab.o1[[#This Row],[i.]]),NORMDIST(Tab.o1[[#This Row],[Za]],0,1,FALSE)*Tab.o1[[#This Row],[i.]],AP$3),"")</f>
        <v/>
      </c>
      <c r="Y255" s="126" t="str">
        <f>IF(Tab.o1[[#This Row],[a1]]=1,0.01+0.94*Tab.o1[[#This Row],[PDF]]/MAX(Tab.o1[PDF]),"")</f>
        <v/>
      </c>
      <c r="Z255" s="126" t="str">
        <f>IF(Tab.o1[[#This Row],[a1]]=1,0.01+0.94*Tab.o1[[#This Row],[W1_PDF]]/MAX(Tab.o1[W1_PDF]),"")</f>
        <v/>
      </c>
      <c r="AA255" s="118" t="str">
        <f>IF(Tab.o1[[#This Row],[a1]]=1,ABS([1]!T.in.A[[#This Row],[oo6]]),"")</f>
        <v/>
      </c>
      <c r="AB255" s="127" t="str">
        <f>IF(Tab.o1[[#This Row],[a1]]=1,IF(AE$3=0,"",IF(AB$3=0,ABS([1]!T.in.A[[#This Row],[oo9]]),ABS(Tab.o1[[#This Row],[DIF_Target.]]*Tab.o1[[#This Row],[W1_PDF]]))),"")</f>
        <v/>
      </c>
      <c r="AC255" s="127" t="str">
        <f>IF(G$1=1,"",IF(Tab.o1[[#This Row],[a1]]=1,Tab.o1[[#This Row],[Wr]]^2,""))</f>
        <v/>
      </c>
      <c r="AD255" s="118" t="str">
        <f>IF(Tab.o1[[#This Row],[a1]]=1,IF(AE$3=0,"",Tab.o1[[#This Row],[Wr2]]/SUM(Tab.o1[Wr2])),"")</f>
        <v/>
      </c>
      <c r="AE255" s="128" t="str">
        <f>IF(Tab.o1[[#This Row],[a1]]=1,[1]!T.in.A[[#This Row],[oo10]],"")</f>
        <v/>
      </c>
      <c r="AF255" s="118" t="str">
        <f>IF(Tab.o1[[#This Row],[a1]]=1,ABS(Tab.o1[[#This Row],[DIF_Target.]]*Tab.o1[[#This Row],[PDF2]]*Tab.o1[[#This Row],[IN]]),"")</f>
        <v/>
      </c>
      <c r="AG255" s="129" t="str">
        <f>IF(Tab.o1[[#This Row],[a1]]=1,Tab.o1[[#This Row],[rW]]^2,"")</f>
        <v/>
      </c>
      <c r="AH255" s="130" t="str">
        <f>IF(Tab.o1[[#This Row],[a1]]=1,IF(AH$3=0,Tab.o1[[#This Row],[rW2]],0.01+0.94*Tab.o1[[#This Row],[rW2]]/SUM(Tab.o1[rW2])),"")</f>
        <v/>
      </c>
      <c r="AI255" s="128" t="str">
        <f>IF(Tab.o1[[#This Row],[a1]]=1,1/Tab.o1[[#This Row],[PDF]],"")</f>
        <v/>
      </c>
      <c r="AJ255" s="131" t="str">
        <f>IF(Tab.o1[[#This Row],[a1]]=1,[1]!T_AA[[#This Row],[IN'']]*[1]!T_AA[[#This Row],[Qde'']],"")</f>
        <v/>
      </c>
      <c r="AK255" s="132" t="str">
        <f>IF(Tab.o1[[#This Row],[a1]]=1,IF(AK$1=1,Tab.o1[[#This Row],[MED]]+Tab.o1[[#This Row],[MOD]]-Tab.o1[[#This Row],[MED]],""),"")</f>
        <v/>
      </c>
      <c r="AL255" s="133" t="str">
        <f>IF(Tab.o1[[#This Row],[a1]]=1,[1]!T.in.A[[#This Row],[oo16]],"")</f>
        <v/>
      </c>
      <c r="AM255" s="133" t="str">
        <f>IF(Tab.o1[[#This Row],[a1]]=1,IF(AM$3=1,[1]!T.in.A[[#This Row],[Σo16]],""),"")</f>
        <v/>
      </c>
      <c r="AN255" s="126" t="str">
        <f>IF(Tab.o1[[#This Row],[a1]]=1,[1]!T.in.A[[#This Row],[Σp5]],"")</f>
        <v/>
      </c>
      <c r="AO255" s="126" t="str">
        <f>IF(Tab.o1[[#This Row],[a1]]=1,IF(AO$3=1,[1]!T.in.A[[#This Row],[Σp5]],""),"")</f>
        <v/>
      </c>
      <c r="AP255" s="110" t="str">
        <f>IF(Tab.o1[[#This Row],[a1]]=1,IF(ISNUMBER(Tab.o1[[#This Row],[i.]]),NORMDIST(Tab.o1[[#This Row],[Za]],0,1,FALSE)*Tab.o1[[#This Row],[i.]],0),"")</f>
        <v/>
      </c>
      <c r="AQ255" s="125" t="str">
        <f>IF(Tab.o1[[#This Row],[a1]]=1,ABS(Tab.o1[[#This Row],[MOD]]-AVERAGE(Tab.o1[MOD])),"")</f>
        <v/>
      </c>
      <c r="AR255" s="134" t="str">
        <f>IF(Tab.o1[[#This Row],[a1]]=1,Tab.o1[[#This Row],[OBS]]/SUM(Tab.o1[OBS]),"")</f>
        <v/>
      </c>
      <c r="AS255" s="135" t="str">
        <f>IF(ISNUMBER(Tab.o1[[#This Row],[a1]]),ROW()-4,"")</f>
        <v/>
      </c>
      <c r="AT255" s="136" t="str">
        <f>Tab.o1[[#This Row],[MOD]]</f>
        <v/>
      </c>
      <c r="AU255" s="137" t="str">
        <f t="shared" si="13"/>
        <v/>
      </c>
      <c r="AV255" s="138" t="str">
        <f t="shared" si="14"/>
        <v/>
      </c>
      <c r="AW255" s="138" t="str">
        <f t="shared" si="15"/>
        <v/>
      </c>
      <c r="AX255" s="139" t="str">
        <f>[1]!T.in.A[[#This Row],[ID_T_manu]]</f>
        <v/>
      </c>
      <c r="AY255" s="140" t="str">
        <f>IF(ISNUMBER(Tab.o1[[#This Row],[a1]]),IF(AND(Tab.o1[[#This Row],[a1]]=1,Tab.o1[[#This Row],[b1]]&lt;=AY$4),#REF!,AY254),"")</f>
        <v/>
      </c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</row>
    <row r="256" spans="1:79" ht="14.25" hidden="1" customHeight="1">
      <c r="A256" s="109">
        <v>-5.9999999999999993E-6</v>
      </c>
      <c r="B256" s="110">
        <f t="shared" si="12"/>
        <v>256</v>
      </c>
      <c r="C256" s="111" t="str">
        <f>IF(C$1=[1]!T.in.A[[#This Row],[oo2]],1,"")</f>
        <v/>
      </c>
      <c r="D256" s="112" t="str">
        <f>IF(Tab.o1[[#This Row],[a1]]=1,IF(SUM(C256:C257)=0,0,IF(SUM(C255:C256)=1,1,IF(SUM(C255:C257)&gt;1,D255+1,0))),"")</f>
        <v/>
      </c>
      <c r="E256" s="113" t="str">
        <f>IF(Tab.o1[[#This Row],[a1]]=1,[1]!T.in.A[[#This Row],[oo1]],"")</f>
        <v/>
      </c>
      <c r="F256" s="113" t="str">
        <f>IF(Tab.o1[[#This Row],[a1]]=1,[1]!T.in.A[[#This Row],[pp1]],"")</f>
        <v/>
      </c>
      <c r="G256" s="114" t="str">
        <f>IF(Tab.o1[[#This Row],[a1]]=1,G$2+IF(G$1=1,0,Tab.o1[[#This Row],[.x1]])+[1]!T.in.A[[#This Row],[oo3]],"")</f>
        <v/>
      </c>
      <c r="H256" s="115" t="str">
        <f>IF(Tab.o1[[#This Row],[a1]]=1,IF(H$2=0,0,IF(G$1=1,0,Tab.o1[[#This Row],[.x1]])+[1]!T.in.A[[#This Row],[oo4]]),"")</f>
        <v/>
      </c>
      <c r="I256" s="116" t="str">
        <f>IF(Tab.o1[[#This Row],[a1]]=1,IF(J$2=0,Tab.o1[[#This Row],[MED]],Tab.o1[[#This Row],[MOD]]),"")</f>
        <v/>
      </c>
      <c r="J256" s="116" t="str">
        <f>IF(Tab.o1[[#This Row],[a1]]=1,((Tab.o1[[#This Row],[DIF_Target.]]-AVERAGE(Tab.o1[DIF_Target.]))/_xlfn.STDEV.P(Tab.o1[DIF_Target.])),"")</f>
        <v/>
      </c>
      <c r="K256" s="117" t="str">
        <f>IF(Tab.o1[[#This Row],[a1]]=1,IF(J$2=0,Tab.o1[[#This Row],[MOD]]-Tab.o1[[#This Row],[B]],IF(J$2=1,0,-Tab.o1[[#This Row],[MED]])+Tab.o1[[#This Row],[B]]),"")</f>
        <v/>
      </c>
      <c r="L256" s="117" t="str">
        <f ca="1">IF(Tab.o1[[#This Row],[DIF_Target]]=0,IF(L$2=0,Tab.o1[[#This Row],[DIF_Target]],AVERAGE(OFFSET(Tab.o1[[#This Row],[DIF_Target]],1,0,L$3,1)))/3,Tab.o1[[#This Row],[DIF_Target]])</f>
        <v/>
      </c>
      <c r="M256" s="118" t="str">
        <f>IF(Tab.o1[[#This Row],[a1]]=1,NORMSDIST(Tab.o1[[#This Row],[Za]]),"")</f>
        <v/>
      </c>
      <c r="N256" s="119" t="str">
        <f>IF(Tab.o1[[#This Row],[a1]]=1,((Tab.o1[[#This Row],[MedMod]]-AVERAGE(Tab.o1[MedMod]))/_xlfn.STDEV.P(Tab.o1[MedMod])*H$1205)+G$1205,"")</f>
        <v/>
      </c>
      <c r="O256" s="141" t="str">
        <f>IF(Tab.o1[[#This Row],[a1]]=1,Tab.o1[[#This Row],[Zb]]*_xlfn.STDEV.P(Tab.o1[MedMod])+AVERAGE(Tab.o1[MedMod]),"")</f>
        <v/>
      </c>
      <c r="P256" s="117" t="str">
        <f ca="1">IF(Tab.o1[[#This Row],[B]]=0,AVERAGE(OFFSET(Tab.o1[[#This Row],[B]],1,0,L$3,1)),Tab.o1[[#This Row],[B]])</f>
        <v/>
      </c>
      <c r="Q256" s="121" t="str">
        <f>IF(Tab.o1[[#This Row],[a1]]=1,NORMSDIST(Tab.o1[[#This Row],[Zb]]),"")</f>
        <v/>
      </c>
      <c r="R256" s="122" t="str">
        <f>IF(Tab.o1[[#This Row],[a1]]=1,((Tab.o1[[#This Row],[MedMod]]-AVERAGE(Tab.o1[MedMod]))/_xlfn.STDEV.P(Tab.o1[MedMod])*H$1203)+G$1203,"")</f>
        <v/>
      </c>
      <c r="S256" s="122" t="str">
        <f>IF(Tab.o1[[#This Row],[a1]]=1,((Tab.o1[[#This Row],[MedMod]]-AVERAGE(Tab.o1[MedMod]))/_xlfn.STDEV.P(Tab.o1[MedMod])*H$1204)+G$1204,"")</f>
        <v/>
      </c>
      <c r="T256" s="123" t="str">
        <f>IF(Tab.o1[[#This Row],[a1]]=1,Tab.o1[[#This Row],[Z-]]*_xlfn.STDEV.P(Tab.o1[B])+AVERAGE(Tab.o1[B]),"")</f>
        <v/>
      </c>
      <c r="U256" s="123" t="str">
        <f>IF(Tab.o1[[#This Row],[a1]]=1,Tab.o1[[#This Row],[z+]]*_xlfn.STDEV.P(Tab.o1[B])+AVERAGE(Tab.o1[B]),"")</f>
        <v/>
      </c>
      <c r="V256" s="124" t="str">
        <f>IF(Tab.o1[[#This Row],[a1]]=1,ABS((ABS(Tab.o1[[#This Row],[Red]]-Tab.o1[[#This Row],[Blue]]))),"")</f>
        <v/>
      </c>
      <c r="W256" s="125" t="str">
        <f>IF(Tab.o1[[#This Row],[a1]]=1,IF(W$3=0,1,Tab.o1[[#This Row],[Amp.]]*1/_xlfn.MINIFS(Tab.o1[Amp.],Tab.o1[Amp.],"&lt;&gt;0")),"")</f>
        <v/>
      </c>
      <c r="X256" s="126" t="str">
        <f>IF(Tab.o1[[#This Row],[a1]]=1,IF(ISNUMBER(Tab.o1[[#This Row],[i.]]),NORMDIST(Tab.o1[[#This Row],[Za]],0,1,FALSE)*Tab.o1[[#This Row],[i.]],AP$3),"")</f>
        <v/>
      </c>
      <c r="Y256" s="126" t="str">
        <f>IF(Tab.o1[[#This Row],[a1]]=1,0.01+0.94*Tab.o1[[#This Row],[PDF]]/MAX(Tab.o1[PDF]),"")</f>
        <v/>
      </c>
      <c r="Z256" s="126" t="str">
        <f>IF(Tab.o1[[#This Row],[a1]]=1,0.01+0.94*Tab.o1[[#This Row],[W1_PDF]]/MAX(Tab.o1[W1_PDF]),"")</f>
        <v/>
      </c>
      <c r="AA256" s="118" t="str">
        <f>IF(Tab.o1[[#This Row],[a1]]=1,ABS([1]!T.in.A[[#This Row],[oo6]]),"")</f>
        <v/>
      </c>
      <c r="AB256" s="127" t="str">
        <f>IF(Tab.o1[[#This Row],[a1]]=1,IF(AE$3=0,"",IF(AB$3=0,ABS([1]!T.in.A[[#This Row],[oo9]]),ABS(Tab.o1[[#This Row],[DIF_Target.]]*Tab.o1[[#This Row],[W1_PDF]]))),"")</f>
        <v/>
      </c>
      <c r="AC256" s="127" t="str">
        <f>IF(G$1=1,"",IF(Tab.o1[[#This Row],[a1]]=1,Tab.o1[[#This Row],[Wr]]^2,""))</f>
        <v/>
      </c>
      <c r="AD256" s="118" t="str">
        <f>IF(Tab.o1[[#This Row],[a1]]=1,IF(AE$3=0,"",Tab.o1[[#This Row],[Wr2]]/SUM(Tab.o1[Wr2])),"")</f>
        <v/>
      </c>
      <c r="AE256" s="128" t="str">
        <f>IF(Tab.o1[[#This Row],[a1]]=1,[1]!T.in.A[[#This Row],[oo10]],"")</f>
        <v/>
      </c>
      <c r="AF256" s="118" t="str">
        <f>IF(Tab.o1[[#This Row],[a1]]=1,ABS(Tab.o1[[#This Row],[DIF_Target.]]*Tab.o1[[#This Row],[PDF2]]*Tab.o1[[#This Row],[IN]]),"")</f>
        <v/>
      </c>
      <c r="AG256" s="129" t="str">
        <f>IF(Tab.o1[[#This Row],[a1]]=1,Tab.o1[[#This Row],[rW]]^2,"")</f>
        <v/>
      </c>
      <c r="AH256" s="130" t="str">
        <f>IF(Tab.o1[[#This Row],[a1]]=1,IF(AH$3=0,Tab.o1[[#This Row],[rW2]],0.01+0.94*Tab.o1[[#This Row],[rW2]]/SUM(Tab.o1[rW2])),"")</f>
        <v/>
      </c>
      <c r="AI256" s="128" t="str">
        <f>IF(Tab.o1[[#This Row],[a1]]=1,1/Tab.o1[[#This Row],[PDF]],"")</f>
        <v/>
      </c>
      <c r="AJ256" s="131" t="str">
        <f>IF(Tab.o1[[#This Row],[a1]]=1,[1]!T_AA[[#This Row],[IN'']]*[1]!T_AA[[#This Row],[Qde'']],"")</f>
        <v/>
      </c>
      <c r="AK256" s="132" t="str">
        <f>IF(Tab.o1[[#This Row],[a1]]=1,IF(AK$1=1,Tab.o1[[#This Row],[MED]]+Tab.o1[[#This Row],[MOD]]-Tab.o1[[#This Row],[MED]],""),"")</f>
        <v/>
      </c>
      <c r="AL256" s="133" t="str">
        <f>IF(Tab.o1[[#This Row],[a1]]=1,[1]!T.in.A[[#This Row],[oo16]],"")</f>
        <v/>
      </c>
      <c r="AM256" s="133" t="str">
        <f>IF(Tab.o1[[#This Row],[a1]]=1,IF(AM$3=1,[1]!T.in.A[[#This Row],[Σo16]],""),"")</f>
        <v/>
      </c>
      <c r="AN256" s="126" t="str">
        <f>IF(Tab.o1[[#This Row],[a1]]=1,[1]!T.in.A[[#This Row],[Σp5]],"")</f>
        <v/>
      </c>
      <c r="AO256" s="126" t="str">
        <f>IF(Tab.o1[[#This Row],[a1]]=1,IF(AO$3=1,[1]!T.in.A[[#This Row],[Σp5]],""),"")</f>
        <v/>
      </c>
      <c r="AP256" s="110" t="str">
        <f>IF(Tab.o1[[#This Row],[a1]]=1,IF(ISNUMBER(Tab.o1[[#This Row],[i.]]),NORMDIST(Tab.o1[[#This Row],[Za]],0,1,FALSE)*Tab.o1[[#This Row],[i.]],0),"")</f>
        <v/>
      </c>
      <c r="AQ256" s="125" t="str">
        <f>IF(Tab.o1[[#This Row],[a1]]=1,ABS(Tab.o1[[#This Row],[MOD]]-AVERAGE(Tab.o1[MOD])),"")</f>
        <v/>
      </c>
      <c r="AR256" s="134" t="str">
        <f>IF(Tab.o1[[#This Row],[a1]]=1,Tab.o1[[#This Row],[OBS]]/SUM(Tab.o1[OBS]),"")</f>
        <v/>
      </c>
      <c r="AS256" s="135" t="str">
        <f>IF(ISNUMBER(Tab.o1[[#This Row],[a1]]),ROW()-4,"")</f>
        <v/>
      </c>
      <c r="AT256" s="136" t="str">
        <f>Tab.o1[[#This Row],[MOD]]</f>
        <v/>
      </c>
      <c r="AU256" s="137" t="str">
        <f t="shared" si="13"/>
        <v/>
      </c>
      <c r="AV256" s="138" t="str">
        <f t="shared" si="14"/>
        <v/>
      </c>
      <c r="AW256" s="138" t="str">
        <f t="shared" si="15"/>
        <v/>
      </c>
      <c r="AX256" s="139" t="str">
        <f>[1]!T.in.A[[#This Row],[ID_T_manu]]</f>
        <v/>
      </c>
      <c r="AY256" s="140" t="str">
        <f>IF(ISNUMBER(Tab.o1[[#This Row],[a1]]),IF(AND(Tab.o1[[#This Row],[a1]]=1,Tab.o1[[#This Row],[b1]]&lt;=AY$4),#REF!,AY255),"")</f>
        <v/>
      </c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</row>
    <row r="257" spans="1:79" ht="14.25" hidden="1" customHeight="1">
      <c r="A257" s="109">
        <v>8.0000000000000013E-6</v>
      </c>
      <c r="B257" s="110">
        <f t="shared" si="12"/>
        <v>257</v>
      </c>
      <c r="C257" s="111" t="str">
        <f>IF(C$1=[1]!T.in.A[[#This Row],[oo2]],1,"")</f>
        <v/>
      </c>
      <c r="D257" s="112" t="str">
        <f>IF(Tab.o1[[#This Row],[a1]]=1,IF(SUM(C257:C258)=0,0,IF(SUM(C256:C257)=1,1,IF(SUM(C256:C258)&gt;1,D256+1,0))),"")</f>
        <v/>
      </c>
      <c r="E257" s="113" t="str">
        <f>IF(Tab.o1[[#This Row],[a1]]=1,[1]!T.in.A[[#This Row],[oo1]],"")</f>
        <v/>
      </c>
      <c r="F257" s="113" t="str">
        <f>IF(Tab.o1[[#This Row],[a1]]=1,[1]!T.in.A[[#This Row],[pp1]],"")</f>
        <v/>
      </c>
      <c r="G257" s="114" t="str">
        <f>IF(Tab.o1[[#This Row],[a1]]=1,G$2+IF(G$1=1,0,Tab.o1[[#This Row],[.x1]])+[1]!T.in.A[[#This Row],[oo3]],"")</f>
        <v/>
      </c>
      <c r="H257" s="115" t="str">
        <f>IF(Tab.o1[[#This Row],[a1]]=1,IF(H$2=0,0,IF(G$1=1,0,Tab.o1[[#This Row],[.x1]])+[1]!T.in.A[[#This Row],[oo4]]),"")</f>
        <v/>
      </c>
      <c r="I257" s="116" t="str">
        <f>IF(Tab.o1[[#This Row],[a1]]=1,IF(J$2=0,Tab.o1[[#This Row],[MED]],Tab.o1[[#This Row],[MOD]]),"")</f>
        <v/>
      </c>
      <c r="J257" s="116" t="str">
        <f>IF(Tab.o1[[#This Row],[a1]]=1,((Tab.o1[[#This Row],[DIF_Target.]]-AVERAGE(Tab.o1[DIF_Target.]))/_xlfn.STDEV.P(Tab.o1[DIF_Target.])),"")</f>
        <v/>
      </c>
      <c r="K257" s="117" t="str">
        <f>IF(Tab.o1[[#This Row],[a1]]=1,IF(J$2=0,Tab.o1[[#This Row],[MOD]]-Tab.o1[[#This Row],[B]],IF(J$2=1,0,-Tab.o1[[#This Row],[MED]])+Tab.o1[[#This Row],[B]]),"")</f>
        <v/>
      </c>
      <c r="L257" s="117" t="str">
        <f ca="1">IF(Tab.o1[[#This Row],[DIF_Target]]=0,IF(L$2=0,Tab.o1[[#This Row],[DIF_Target]],AVERAGE(OFFSET(Tab.o1[[#This Row],[DIF_Target]],1,0,L$3,1)))/3,Tab.o1[[#This Row],[DIF_Target]])</f>
        <v/>
      </c>
      <c r="M257" s="118" t="str">
        <f>IF(Tab.o1[[#This Row],[a1]]=1,NORMSDIST(Tab.o1[[#This Row],[Za]]),"")</f>
        <v/>
      </c>
      <c r="N257" s="119" t="str">
        <f>IF(Tab.o1[[#This Row],[a1]]=1,((Tab.o1[[#This Row],[MedMod]]-AVERAGE(Tab.o1[MedMod]))/_xlfn.STDEV.P(Tab.o1[MedMod])*H$1205)+G$1205,"")</f>
        <v/>
      </c>
      <c r="O257" s="141" t="str">
        <f>IF(Tab.o1[[#This Row],[a1]]=1,Tab.o1[[#This Row],[Zb]]*_xlfn.STDEV.P(Tab.o1[MedMod])+AVERAGE(Tab.o1[MedMod]),"")</f>
        <v/>
      </c>
      <c r="P257" s="117" t="str">
        <f ca="1">IF(Tab.o1[[#This Row],[B]]=0,AVERAGE(OFFSET(Tab.o1[[#This Row],[B]],1,0,L$3,1)),Tab.o1[[#This Row],[B]])</f>
        <v/>
      </c>
      <c r="Q257" s="121" t="str">
        <f>IF(Tab.o1[[#This Row],[a1]]=1,NORMSDIST(Tab.o1[[#This Row],[Zb]]),"")</f>
        <v/>
      </c>
      <c r="R257" s="122" t="str">
        <f>IF(Tab.o1[[#This Row],[a1]]=1,((Tab.o1[[#This Row],[MedMod]]-AVERAGE(Tab.o1[MedMod]))/_xlfn.STDEV.P(Tab.o1[MedMod])*H$1203)+G$1203,"")</f>
        <v/>
      </c>
      <c r="S257" s="122" t="str">
        <f>IF(Tab.o1[[#This Row],[a1]]=1,((Tab.o1[[#This Row],[MedMod]]-AVERAGE(Tab.o1[MedMod]))/_xlfn.STDEV.P(Tab.o1[MedMod])*H$1204)+G$1204,"")</f>
        <v/>
      </c>
      <c r="T257" s="123" t="str">
        <f>IF(Tab.o1[[#This Row],[a1]]=1,Tab.o1[[#This Row],[Z-]]*_xlfn.STDEV.P(Tab.o1[B])+AVERAGE(Tab.o1[B]),"")</f>
        <v/>
      </c>
      <c r="U257" s="123" t="str">
        <f>IF(Tab.o1[[#This Row],[a1]]=1,Tab.o1[[#This Row],[z+]]*_xlfn.STDEV.P(Tab.o1[B])+AVERAGE(Tab.o1[B]),"")</f>
        <v/>
      </c>
      <c r="V257" s="124" t="str">
        <f>IF(Tab.o1[[#This Row],[a1]]=1,ABS((ABS(Tab.o1[[#This Row],[Red]]-Tab.o1[[#This Row],[Blue]]))),"")</f>
        <v/>
      </c>
      <c r="W257" s="125" t="str">
        <f>IF(Tab.o1[[#This Row],[a1]]=1,IF(W$3=0,1,Tab.o1[[#This Row],[Amp.]]*1/_xlfn.MINIFS(Tab.o1[Amp.],Tab.o1[Amp.],"&lt;&gt;0")),"")</f>
        <v/>
      </c>
      <c r="X257" s="126" t="str">
        <f>IF(Tab.o1[[#This Row],[a1]]=1,IF(ISNUMBER(Tab.o1[[#This Row],[i.]]),NORMDIST(Tab.o1[[#This Row],[Za]],0,1,FALSE)*Tab.o1[[#This Row],[i.]],AP$3),"")</f>
        <v/>
      </c>
      <c r="Y257" s="126" t="str">
        <f>IF(Tab.o1[[#This Row],[a1]]=1,0.01+0.94*Tab.o1[[#This Row],[PDF]]/MAX(Tab.o1[PDF]),"")</f>
        <v/>
      </c>
      <c r="Z257" s="126" t="str">
        <f>IF(Tab.o1[[#This Row],[a1]]=1,0.01+0.94*Tab.o1[[#This Row],[W1_PDF]]/MAX(Tab.o1[W1_PDF]),"")</f>
        <v/>
      </c>
      <c r="AA257" s="118" t="str">
        <f>IF(Tab.o1[[#This Row],[a1]]=1,ABS([1]!T.in.A[[#This Row],[oo6]]),"")</f>
        <v/>
      </c>
      <c r="AB257" s="127" t="str">
        <f>IF(Tab.o1[[#This Row],[a1]]=1,IF(AE$3=0,"",IF(AB$3=0,ABS([1]!T.in.A[[#This Row],[oo9]]),ABS(Tab.o1[[#This Row],[DIF_Target.]]*Tab.o1[[#This Row],[W1_PDF]]))),"")</f>
        <v/>
      </c>
      <c r="AC257" s="127" t="str">
        <f>IF(G$1=1,"",IF(Tab.o1[[#This Row],[a1]]=1,Tab.o1[[#This Row],[Wr]]^2,""))</f>
        <v/>
      </c>
      <c r="AD257" s="118" t="str">
        <f>IF(Tab.o1[[#This Row],[a1]]=1,IF(AE$3=0,"",Tab.o1[[#This Row],[Wr2]]/SUM(Tab.o1[Wr2])),"")</f>
        <v/>
      </c>
      <c r="AE257" s="128" t="str">
        <f>IF(Tab.o1[[#This Row],[a1]]=1,[1]!T.in.A[[#This Row],[oo10]],"")</f>
        <v/>
      </c>
      <c r="AF257" s="118" t="str">
        <f>IF(Tab.o1[[#This Row],[a1]]=1,ABS(Tab.o1[[#This Row],[DIF_Target.]]*Tab.o1[[#This Row],[PDF2]]*Tab.o1[[#This Row],[IN]]),"")</f>
        <v/>
      </c>
      <c r="AG257" s="129" t="str">
        <f>IF(Tab.o1[[#This Row],[a1]]=1,Tab.o1[[#This Row],[rW]]^2,"")</f>
        <v/>
      </c>
      <c r="AH257" s="130" t="str">
        <f>IF(Tab.o1[[#This Row],[a1]]=1,IF(AH$3=0,Tab.o1[[#This Row],[rW2]],0.01+0.94*Tab.o1[[#This Row],[rW2]]/SUM(Tab.o1[rW2])),"")</f>
        <v/>
      </c>
      <c r="AI257" s="128" t="str">
        <f>IF(Tab.o1[[#This Row],[a1]]=1,1/Tab.o1[[#This Row],[PDF]],"")</f>
        <v/>
      </c>
      <c r="AJ257" s="131" t="str">
        <f>IF(Tab.o1[[#This Row],[a1]]=1,[1]!T_AA[[#This Row],[IN'']]*[1]!T_AA[[#This Row],[Qde'']],"")</f>
        <v/>
      </c>
      <c r="AK257" s="132" t="str">
        <f>IF(Tab.o1[[#This Row],[a1]]=1,IF(AK$1=1,Tab.o1[[#This Row],[MED]]+Tab.o1[[#This Row],[MOD]]-Tab.o1[[#This Row],[MED]],""),"")</f>
        <v/>
      </c>
      <c r="AL257" s="133" t="str">
        <f>IF(Tab.o1[[#This Row],[a1]]=1,[1]!T.in.A[[#This Row],[oo16]],"")</f>
        <v/>
      </c>
      <c r="AM257" s="133" t="str">
        <f>IF(Tab.o1[[#This Row],[a1]]=1,IF(AM$3=1,[1]!T.in.A[[#This Row],[Σo16]],""),"")</f>
        <v/>
      </c>
      <c r="AN257" s="126" t="str">
        <f>IF(Tab.o1[[#This Row],[a1]]=1,[1]!T.in.A[[#This Row],[Σp5]],"")</f>
        <v/>
      </c>
      <c r="AO257" s="126" t="str">
        <f>IF(Tab.o1[[#This Row],[a1]]=1,IF(AO$3=1,[1]!T.in.A[[#This Row],[Σp5]],""),"")</f>
        <v/>
      </c>
      <c r="AP257" s="110" t="str">
        <f>IF(Tab.o1[[#This Row],[a1]]=1,IF(ISNUMBER(Tab.o1[[#This Row],[i.]]),NORMDIST(Tab.o1[[#This Row],[Za]],0,1,FALSE)*Tab.o1[[#This Row],[i.]],0),"")</f>
        <v/>
      </c>
      <c r="AQ257" s="125" t="str">
        <f>IF(Tab.o1[[#This Row],[a1]]=1,ABS(Tab.o1[[#This Row],[MOD]]-AVERAGE(Tab.o1[MOD])),"")</f>
        <v/>
      </c>
      <c r="AR257" s="134" t="str">
        <f>IF(Tab.o1[[#This Row],[a1]]=1,Tab.o1[[#This Row],[OBS]]/SUM(Tab.o1[OBS]),"")</f>
        <v/>
      </c>
      <c r="AS257" s="135" t="str">
        <f>IF(ISNUMBER(Tab.o1[[#This Row],[a1]]),ROW()-4,"")</f>
        <v/>
      </c>
      <c r="AT257" s="136" t="str">
        <f>Tab.o1[[#This Row],[MOD]]</f>
        <v/>
      </c>
      <c r="AU257" s="137" t="str">
        <f t="shared" si="13"/>
        <v/>
      </c>
      <c r="AV257" s="138" t="str">
        <f t="shared" si="14"/>
        <v/>
      </c>
      <c r="AW257" s="138" t="str">
        <f t="shared" si="15"/>
        <v/>
      </c>
      <c r="AX257" s="139" t="str">
        <f>[1]!T.in.A[[#This Row],[ID_T_manu]]</f>
        <v/>
      </c>
      <c r="AY257" s="140" t="str">
        <f>IF(ISNUMBER(Tab.o1[[#This Row],[a1]]),IF(AND(Tab.o1[[#This Row],[a1]]=1,Tab.o1[[#This Row],[b1]]&lt;=AY$4),#REF!,AY256),"")</f>
        <v/>
      </c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</row>
    <row r="258" spans="1:79" ht="15.75" hidden="1">
      <c r="A258" s="109">
        <v>8.0000000000000013E-6</v>
      </c>
      <c r="B258" s="110">
        <f t="shared" si="12"/>
        <v>258</v>
      </c>
      <c r="C258" s="111" t="str">
        <f>IF(C$1=[1]!T.in.A[[#This Row],[oo2]],1,"")</f>
        <v/>
      </c>
      <c r="D258" s="112" t="str">
        <f>IF(Tab.o1[[#This Row],[a1]]=1,IF(SUM(C258:C259)=0,0,IF(SUM(C257:C258)=1,1,IF(SUM(C257:C259)&gt;1,D257+1,0))),"")</f>
        <v/>
      </c>
      <c r="E258" s="113" t="str">
        <f>IF(Tab.o1[[#This Row],[a1]]=1,[1]!T.in.A[[#This Row],[oo1]],"")</f>
        <v/>
      </c>
      <c r="F258" s="113" t="str">
        <f>IF(Tab.o1[[#This Row],[a1]]=1,[1]!T.in.A[[#This Row],[pp1]],"")</f>
        <v/>
      </c>
      <c r="G258" s="114" t="str">
        <f>IF(Tab.o1[[#This Row],[a1]]=1,G$2+IF(G$1=1,0,Tab.o1[[#This Row],[.x1]])+[1]!T.in.A[[#This Row],[oo3]],"")</f>
        <v/>
      </c>
      <c r="H258" s="115" t="str">
        <f>IF(Tab.o1[[#This Row],[a1]]=1,IF(H$2=0,0,IF(G$1=1,0,Tab.o1[[#This Row],[.x1]])+[1]!T.in.A[[#This Row],[oo4]]),"")</f>
        <v/>
      </c>
      <c r="I258" s="116" t="str">
        <f>IF(Tab.o1[[#This Row],[a1]]=1,IF(J$2=0,Tab.o1[[#This Row],[MED]],Tab.o1[[#This Row],[MOD]]),"")</f>
        <v/>
      </c>
      <c r="J258" s="116" t="str">
        <f>IF(Tab.o1[[#This Row],[a1]]=1,((Tab.o1[[#This Row],[DIF_Target.]]-AVERAGE(Tab.o1[DIF_Target.]))/_xlfn.STDEV.P(Tab.o1[DIF_Target.])),"")</f>
        <v/>
      </c>
      <c r="K258" s="117" t="str">
        <f>IF(Tab.o1[[#This Row],[a1]]=1,IF(J$2=0,Tab.o1[[#This Row],[MOD]]-Tab.o1[[#This Row],[B]],IF(J$2=1,0,-Tab.o1[[#This Row],[MED]])+Tab.o1[[#This Row],[B]]),"")</f>
        <v/>
      </c>
      <c r="L258" s="117" t="str">
        <f ca="1">IF(Tab.o1[[#This Row],[DIF_Target]]=0,IF(L$2=0,Tab.o1[[#This Row],[DIF_Target]],AVERAGE(OFFSET(Tab.o1[[#This Row],[DIF_Target]],1,0,L$3,1)))/3,Tab.o1[[#This Row],[DIF_Target]])</f>
        <v/>
      </c>
      <c r="M258" s="118" t="str">
        <f>IF(Tab.o1[[#This Row],[a1]]=1,NORMSDIST(Tab.o1[[#This Row],[Za]]),"")</f>
        <v/>
      </c>
      <c r="N258" s="119" t="str">
        <f>IF(Tab.o1[[#This Row],[a1]]=1,((Tab.o1[[#This Row],[MedMod]]-AVERAGE(Tab.o1[MedMod]))/_xlfn.STDEV.P(Tab.o1[MedMod])*H$1205)+G$1205,"")</f>
        <v/>
      </c>
      <c r="O258" s="141" t="str">
        <f>IF(Tab.o1[[#This Row],[a1]]=1,Tab.o1[[#This Row],[Zb]]*_xlfn.STDEV.P(Tab.o1[MedMod])+AVERAGE(Tab.o1[MedMod]),"")</f>
        <v/>
      </c>
      <c r="P258" s="117" t="str">
        <f ca="1">IF(Tab.o1[[#This Row],[B]]=0,AVERAGE(OFFSET(Tab.o1[[#This Row],[B]],1,0,L$3,1)),Tab.o1[[#This Row],[B]])</f>
        <v/>
      </c>
      <c r="Q258" s="121" t="str">
        <f>IF(Tab.o1[[#This Row],[a1]]=1,NORMSDIST(Tab.o1[[#This Row],[Zb]]),"")</f>
        <v/>
      </c>
      <c r="R258" s="122" t="str">
        <f>IF(Tab.o1[[#This Row],[a1]]=1,((Tab.o1[[#This Row],[MedMod]]-AVERAGE(Tab.o1[MedMod]))/_xlfn.STDEV.P(Tab.o1[MedMod])*H$1203)+G$1203,"")</f>
        <v/>
      </c>
      <c r="S258" s="122" t="str">
        <f>IF(Tab.o1[[#This Row],[a1]]=1,((Tab.o1[[#This Row],[MedMod]]-AVERAGE(Tab.o1[MedMod]))/_xlfn.STDEV.P(Tab.o1[MedMod])*H$1204)+G$1204,"")</f>
        <v/>
      </c>
      <c r="T258" s="123" t="str">
        <f>IF(Tab.o1[[#This Row],[a1]]=1,Tab.o1[[#This Row],[Z-]]*_xlfn.STDEV.P(Tab.o1[B])+AVERAGE(Tab.o1[B]),"")</f>
        <v/>
      </c>
      <c r="U258" s="123" t="str">
        <f>IF(Tab.o1[[#This Row],[a1]]=1,Tab.o1[[#This Row],[z+]]*_xlfn.STDEV.P(Tab.o1[B])+AVERAGE(Tab.o1[B]),"")</f>
        <v/>
      </c>
      <c r="V258" s="124" t="str">
        <f>IF(Tab.o1[[#This Row],[a1]]=1,ABS((ABS(Tab.o1[[#This Row],[Red]]-Tab.o1[[#This Row],[Blue]]))),"")</f>
        <v/>
      </c>
      <c r="W258" s="125" t="str">
        <f>IF(Tab.o1[[#This Row],[a1]]=1,IF(W$3=0,1,Tab.o1[[#This Row],[Amp.]]*1/_xlfn.MINIFS(Tab.o1[Amp.],Tab.o1[Amp.],"&lt;&gt;0")),"")</f>
        <v/>
      </c>
      <c r="X258" s="126" t="str">
        <f>IF(Tab.o1[[#This Row],[a1]]=1,IF(ISNUMBER(Tab.o1[[#This Row],[i.]]),NORMDIST(Tab.o1[[#This Row],[Za]],0,1,FALSE)*Tab.o1[[#This Row],[i.]],AP$3),"")</f>
        <v/>
      </c>
      <c r="Y258" s="126" t="str">
        <f>IF(Tab.o1[[#This Row],[a1]]=1,0.01+0.94*Tab.o1[[#This Row],[PDF]]/MAX(Tab.o1[PDF]),"")</f>
        <v/>
      </c>
      <c r="Z258" s="126" t="str">
        <f>IF(Tab.o1[[#This Row],[a1]]=1,0.01+0.94*Tab.o1[[#This Row],[W1_PDF]]/MAX(Tab.o1[W1_PDF]),"")</f>
        <v/>
      </c>
      <c r="AA258" s="118" t="str">
        <f>IF(Tab.o1[[#This Row],[a1]]=1,ABS([1]!T.in.A[[#This Row],[oo6]]),"")</f>
        <v/>
      </c>
      <c r="AB258" s="127" t="str">
        <f>IF(Tab.o1[[#This Row],[a1]]=1,IF(AE$3=0,"",IF(AB$3=0,ABS([1]!T.in.A[[#This Row],[oo9]]),ABS(Tab.o1[[#This Row],[DIF_Target.]]*Tab.o1[[#This Row],[W1_PDF]]))),"")</f>
        <v/>
      </c>
      <c r="AC258" s="127" t="str">
        <f>IF(G$1=1,"",IF(Tab.o1[[#This Row],[a1]]=1,Tab.o1[[#This Row],[Wr]]^2,""))</f>
        <v/>
      </c>
      <c r="AD258" s="118" t="str">
        <f>IF(Tab.o1[[#This Row],[a1]]=1,IF(AE$3=0,"",Tab.o1[[#This Row],[Wr2]]/SUM(Tab.o1[Wr2])),"")</f>
        <v/>
      </c>
      <c r="AE258" s="128" t="str">
        <f>IF(Tab.o1[[#This Row],[a1]]=1,[1]!T.in.A[[#This Row],[oo10]],"")</f>
        <v/>
      </c>
      <c r="AF258" s="118" t="str">
        <f>IF(Tab.o1[[#This Row],[a1]]=1,ABS(Tab.o1[[#This Row],[DIF_Target.]]*Tab.o1[[#This Row],[PDF2]]*Tab.o1[[#This Row],[IN]]),"")</f>
        <v/>
      </c>
      <c r="AG258" s="129" t="str">
        <f>IF(Tab.o1[[#This Row],[a1]]=1,Tab.o1[[#This Row],[rW]]^2,"")</f>
        <v/>
      </c>
      <c r="AH258" s="130" t="str">
        <f>IF(Tab.o1[[#This Row],[a1]]=1,IF(AH$3=0,Tab.o1[[#This Row],[rW2]],0.01+0.94*Tab.o1[[#This Row],[rW2]]/SUM(Tab.o1[rW2])),"")</f>
        <v/>
      </c>
      <c r="AI258" s="128" t="str">
        <f>IF(Tab.o1[[#This Row],[a1]]=1,1/Tab.o1[[#This Row],[PDF]],"")</f>
        <v/>
      </c>
      <c r="AJ258" s="131" t="str">
        <f>IF(Tab.o1[[#This Row],[a1]]=1,[1]!T_AA[[#This Row],[IN'']]*[1]!T_AA[[#This Row],[Qde'']],"")</f>
        <v/>
      </c>
      <c r="AK258" s="132" t="str">
        <f>IF(Tab.o1[[#This Row],[a1]]=1,IF(AK$1=1,Tab.o1[[#This Row],[MED]]+Tab.o1[[#This Row],[MOD]]-Tab.o1[[#This Row],[MED]],""),"")</f>
        <v/>
      </c>
      <c r="AL258" s="133" t="str">
        <f>IF(Tab.o1[[#This Row],[a1]]=1,[1]!T.in.A[[#This Row],[oo16]],"")</f>
        <v/>
      </c>
      <c r="AM258" s="133" t="str">
        <f>IF(Tab.o1[[#This Row],[a1]]=1,IF(AM$3=1,[1]!T.in.A[[#This Row],[Σo16]],""),"")</f>
        <v/>
      </c>
      <c r="AN258" s="126" t="str">
        <f>IF(Tab.o1[[#This Row],[a1]]=1,[1]!T.in.A[[#This Row],[Σp5]],"")</f>
        <v/>
      </c>
      <c r="AO258" s="126" t="str">
        <f>IF(Tab.o1[[#This Row],[a1]]=1,IF(AO$3=1,[1]!T.in.A[[#This Row],[Σp5]],""),"")</f>
        <v/>
      </c>
      <c r="AP258" s="110" t="str">
        <f>IF(Tab.o1[[#This Row],[a1]]=1,IF(ISNUMBER(Tab.o1[[#This Row],[i.]]),NORMDIST(Tab.o1[[#This Row],[Za]],0,1,FALSE)*Tab.o1[[#This Row],[i.]],0),"")</f>
        <v/>
      </c>
      <c r="AQ258" s="125" t="str">
        <f>IF(Tab.o1[[#This Row],[a1]]=1,ABS(Tab.o1[[#This Row],[MOD]]-AVERAGE(Tab.o1[MOD])),"")</f>
        <v/>
      </c>
      <c r="AR258" s="134" t="str">
        <f>IF(Tab.o1[[#This Row],[a1]]=1,Tab.o1[[#This Row],[OBS]]/SUM(Tab.o1[OBS]),"")</f>
        <v/>
      </c>
      <c r="AS258" s="135" t="str">
        <f>IF(ISNUMBER(Tab.o1[[#This Row],[a1]]),ROW()-4,"")</f>
        <v/>
      </c>
      <c r="AT258" s="136" t="str">
        <f>Tab.o1[[#This Row],[MOD]]</f>
        <v/>
      </c>
      <c r="AU258" s="137" t="str">
        <f t="shared" si="13"/>
        <v/>
      </c>
      <c r="AV258" s="138" t="str">
        <f t="shared" si="14"/>
        <v/>
      </c>
      <c r="AW258" s="138" t="str">
        <f t="shared" si="15"/>
        <v/>
      </c>
      <c r="AX258" s="139" t="str">
        <f>[1]!T.in.A[[#This Row],[ID_T_manu]]</f>
        <v/>
      </c>
      <c r="AY258" s="140" t="str">
        <f>IF(ISNUMBER(Tab.o1[[#This Row],[a1]]),IF(AND(Tab.o1[[#This Row],[a1]]=1,Tab.o1[[#This Row],[b1]]&lt;=AY$4),#REF!,AY257),"")</f>
        <v/>
      </c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</row>
    <row r="259" spans="1:79" ht="15.75" hidden="1">
      <c r="A259" s="109">
        <v>-8.0000000000000013E-6</v>
      </c>
      <c r="B259" s="110">
        <f t="shared" si="12"/>
        <v>259</v>
      </c>
      <c r="C259" s="111" t="str">
        <f>IF(C$1=[1]!T.in.A[[#This Row],[oo2]],1,"")</f>
        <v/>
      </c>
      <c r="D259" s="112" t="str">
        <f>IF(Tab.o1[[#This Row],[a1]]=1,IF(SUM(C259:C260)=0,0,IF(SUM(C258:C259)=1,1,IF(SUM(C258:C260)&gt;1,D258+1,0))),"")</f>
        <v/>
      </c>
      <c r="E259" s="113" t="str">
        <f>IF(Tab.o1[[#This Row],[a1]]=1,[1]!T.in.A[[#This Row],[oo1]],"")</f>
        <v/>
      </c>
      <c r="F259" s="113" t="str">
        <f>IF(Tab.o1[[#This Row],[a1]]=1,[1]!T.in.A[[#This Row],[pp1]],"")</f>
        <v/>
      </c>
      <c r="G259" s="114" t="str">
        <f>IF(Tab.o1[[#This Row],[a1]]=1,G$2+IF(G$1=1,0,Tab.o1[[#This Row],[.x1]])+[1]!T.in.A[[#This Row],[oo3]],"")</f>
        <v/>
      </c>
      <c r="H259" s="115" t="str">
        <f>IF(Tab.o1[[#This Row],[a1]]=1,IF(H$2=0,0,IF(G$1=1,0,Tab.o1[[#This Row],[.x1]])+[1]!T.in.A[[#This Row],[oo4]]),"")</f>
        <v/>
      </c>
      <c r="I259" s="116" t="str">
        <f>IF(Tab.o1[[#This Row],[a1]]=1,IF(J$2=0,Tab.o1[[#This Row],[MED]],Tab.o1[[#This Row],[MOD]]),"")</f>
        <v/>
      </c>
      <c r="J259" s="116" t="str">
        <f>IF(Tab.o1[[#This Row],[a1]]=1,((Tab.o1[[#This Row],[DIF_Target.]]-AVERAGE(Tab.o1[DIF_Target.]))/_xlfn.STDEV.P(Tab.o1[DIF_Target.])),"")</f>
        <v/>
      </c>
      <c r="K259" s="117" t="str">
        <f>IF(Tab.o1[[#This Row],[a1]]=1,IF(J$2=0,Tab.o1[[#This Row],[MOD]]-Tab.o1[[#This Row],[B]],IF(J$2=1,0,-Tab.o1[[#This Row],[MED]])+Tab.o1[[#This Row],[B]]),"")</f>
        <v/>
      </c>
      <c r="L259" s="117" t="str">
        <f ca="1">IF(Tab.o1[[#This Row],[DIF_Target]]=0,IF(L$2=0,Tab.o1[[#This Row],[DIF_Target]],AVERAGE(OFFSET(Tab.o1[[#This Row],[DIF_Target]],1,0,L$3,1)))/3,Tab.o1[[#This Row],[DIF_Target]])</f>
        <v/>
      </c>
      <c r="M259" s="118" t="str">
        <f>IF(Tab.o1[[#This Row],[a1]]=1,NORMSDIST(Tab.o1[[#This Row],[Za]]),"")</f>
        <v/>
      </c>
      <c r="N259" s="119" t="str">
        <f>IF(Tab.o1[[#This Row],[a1]]=1,((Tab.o1[[#This Row],[MedMod]]-AVERAGE(Tab.o1[MedMod]))/_xlfn.STDEV.P(Tab.o1[MedMod])*H$1205)+G$1205,"")</f>
        <v/>
      </c>
      <c r="O259" s="141" t="str">
        <f>IF(Tab.o1[[#This Row],[a1]]=1,Tab.o1[[#This Row],[Zb]]*_xlfn.STDEV.P(Tab.o1[MedMod])+AVERAGE(Tab.o1[MedMod]),"")</f>
        <v/>
      </c>
      <c r="P259" s="117" t="str">
        <f ca="1">IF(Tab.o1[[#This Row],[B]]=0,AVERAGE(OFFSET(Tab.o1[[#This Row],[B]],1,0,L$3,1)),Tab.o1[[#This Row],[B]])</f>
        <v/>
      </c>
      <c r="Q259" s="121" t="str">
        <f>IF(Tab.o1[[#This Row],[a1]]=1,NORMSDIST(Tab.o1[[#This Row],[Zb]]),"")</f>
        <v/>
      </c>
      <c r="R259" s="122" t="str">
        <f>IF(Tab.o1[[#This Row],[a1]]=1,((Tab.o1[[#This Row],[MedMod]]-AVERAGE(Tab.o1[MedMod]))/_xlfn.STDEV.P(Tab.o1[MedMod])*H$1203)+G$1203,"")</f>
        <v/>
      </c>
      <c r="S259" s="122" t="str">
        <f>IF(Tab.o1[[#This Row],[a1]]=1,((Tab.o1[[#This Row],[MedMod]]-AVERAGE(Tab.o1[MedMod]))/_xlfn.STDEV.P(Tab.o1[MedMod])*H$1204)+G$1204,"")</f>
        <v/>
      </c>
      <c r="T259" s="123" t="str">
        <f>IF(Tab.o1[[#This Row],[a1]]=1,Tab.o1[[#This Row],[Z-]]*_xlfn.STDEV.P(Tab.o1[B])+AVERAGE(Tab.o1[B]),"")</f>
        <v/>
      </c>
      <c r="U259" s="123" t="str">
        <f>IF(Tab.o1[[#This Row],[a1]]=1,Tab.o1[[#This Row],[z+]]*_xlfn.STDEV.P(Tab.o1[B])+AVERAGE(Tab.o1[B]),"")</f>
        <v/>
      </c>
      <c r="V259" s="124" t="str">
        <f>IF(Tab.o1[[#This Row],[a1]]=1,ABS((ABS(Tab.o1[[#This Row],[Red]]-Tab.o1[[#This Row],[Blue]]))),"")</f>
        <v/>
      </c>
      <c r="W259" s="125" t="str">
        <f>IF(Tab.o1[[#This Row],[a1]]=1,IF(W$3=0,1,Tab.o1[[#This Row],[Amp.]]*1/_xlfn.MINIFS(Tab.o1[Amp.],Tab.o1[Amp.],"&lt;&gt;0")),"")</f>
        <v/>
      </c>
      <c r="X259" s="126" t="str">
        <f>IF(Tab.o1[[#This Row],[a1]]=1,IF(ISNUMBER(Tab.o1[[#This Row],[i.]]),NORMDIST(Tab.o1[[#This Row],[Za]],0,1,FALSE)*Tab.o1[[#This Row],[i.]],AP$3),"")</f>
        <v/>
      </c>
      <c r="Y259" s="126" t="str">
        <f>IF(Tab.o1[[#This Row],[a1]]=1,0.01+0.94*Tab.o1[[#This Row],[PDF]]/MAX(Tab.o1[PDF]),"")</f>
        <v/>
      </c>
      <c r="Z259" s="126" t="str">
        <f>IF(Tab.o1[[#This Row],[a1]]=1,0.01+0.94*Tab.o1[[#This Row],[W1_PDF]]/MAX(Tab.o1[W1_PDF]),"")</f>
        <v/>
      </c>
      <c r="AA259" s="118" t="str">
        <f>IF(Tab.o1[[#This Row],[a1]]=1,ABS([1]!T.in.A[[#This Row],[oo6]]),"")</f>
        <v/>
      </c>
      <c r="AB259" s="127" t="str">
        <f>IF(Tab.o1[[#This Row],[a1]]=1,IF(AE$3=0,"",IF(AB$3=0,ABS([1]!T.in.A[[#This Row],[oo9]]),ABS(Tab.o1[[#This Row],[DIF_Target.]]*Tab.o1[[#This Row],[W1_PDF]]))),"")</f>
        <v/>
      </c>
      <c r="AC259" s="127" t="str">
        <f>IF(G$1=1,"",IF(Tab.o1[[#This Row],[a1]]=1,Tab.o1[[#This Row],[Wr]]^2,""))</f>
        <v/>
      </c>
      <c r="AD259" s="118" t="str">
        <f>IF(Tab.o1[[#This Row],[a1]]=1,IF(AE$3=0,"",Tab.o1[[#This Row],[Wr2]]/SUM(Tab.o1[Wr2])),"")</f>
        <v/>
      </c>
      <c r="AE259" s="128" t="str">
        <f>IF(Tab.o1[[#This Row],[a1]]=1,[1]!T.in.A[[#This Row],[oo10]],"")</f>
        <v/>
      </c>
      <c r="AF259" s="118" t="str">
        <f>IF(Tab.o1[[#This Row],[a1]]=1,ABS(Tab.o1[[#This Row],[DIF_Target.]]*Tab.o1[[#This Row],[PDF2]]*Tab.o1[[#This Row],[IN]]),"")</f>
        <v/>
      </c>
      <c r="AG259" s="129" t="str">
        <f>IF(Tab.o1[[#This Row],[a1]]=1,Tab.o1[[#This Row],[rW]]^2,"")</f>
        <v/>
      </c>
      <c r="AH259" s="130" t="str">
        <f>IF(Tab.o1[[#This Row],[a1]]=1,IF(AH$3=0,Tab.o1[[#This Row],[rW2]],0.01+0.94*Tab.o1[[#This Row],[rW2]]/SUM(Tab.o1[rW2])),"")</f>
        <v/>
      </c>
      <c r="AI259" s="128" t="str">
        <f>IF(Tab.o1[[#This Row],[a1]]=1,1/Tab.o1[[#This Row],[PDF]],"")</f>
        <v/>
      </c>
      <c r="AJ259" s="131" t="str">
        <f>IF(Tab.o1[[#This Row],[a1]]=1,[1]!T_AA[[#This Row],[IN'']]*[1]!T_AA[[#This Row],[Qde'']],"")</f>
        <v/>
      </c>
      <c r="AK259" s="132" t="str">
        <f>IF(Tab.o1[[#This Row],[a1]]=1,IF(AK$1=1,Tab.o1[[#This Row],[MED]]+Tab.o1[[#This Row],[MOD]]-Tab.o1[[#This Row],[MED]],""),"")</f>
        <v/>
      </c>
      <c r="AL259" s="133" t="str">
        <f>IF(Tab.o1[[#This Row],[a1]]=1,[1]!T.in.A[[#This Row],[oo16]],"")</f>
        <v/>
      </c>
      <c r="AM259" s="133" t="str">
        <f>IF(Tab.o1[[#This Row],[a1]]=1,IF(AM$3=1,[1]!T.in.A[[#This Row],[Σo16]],""),"")</f>
        <v/>
      </c>
      <c r="AN259" s="126" t="str">
        <f>IF(Tab.o1[[#This Row],[a1]]=1,[1]!T.in.A[[#This Row],[Σp5]],"")</f>
        <v/>
      </c>
      <c r="AO259" s="126" t="str">
        <f>IF(Tab.o1[[#This Row],[a1]]=1,IF(AO$3=1,[1]!T.in.A[[#This Row],[Σp5]],""),"")</f>
        <v/>
      </c>
      <c r="AP259" s="110" t="str">
        <f>IF(Tab.o1[[#This Row],[a1]]=1,IF(ISNUMBER(Tab.o1[[#This Row],[i.]]),NORMDIST(Tab.o1[[#This Row],[Za]],0,1,FALSE)*Tab.o1[[#This Row],[i.]],0),"")</f>
        <v/>
      </c>
      <c r="AQ259" s="125" t="str">
        <f>IF(Tab.o1[[#This Row],[a1]]=1,ABS(Tab.o1[[#This Row],[MOD]]-AVERAGE(Tab.o1[MOD])),"")</f>
        <v/>
      </c>
      <c r="AR259" s="134" t="str">
        <f>IF(Tab.o1[[#This Row],[a1]]=1,Tab.o1[[#This Row],[OBS]]/SUM(Tab.o1[OBS]),"")</f>
        <v/>
      </c>
      <c r="AS259" s="135" t="str">
        <f>IF(ISNUMBER(Tab.o1[[#This Row],[a1]]),ROW()-4,"")</f>
        <v/>
      </c>
      <c r="AT259" s="136" t="str">
        <f>Tab.o1[[#This Row],[MOD]]</f>
        <v/>
      </c>
      <c r="AU259" s="137" t="str">
        <f t="shared" si="13"/>
        <v/>
      </c>
      <c r="AV259" s="138" t="str">
        <f t="shared" si="14"/>
        <v/>
      </c>
      <c r="AW259" s="138" t="str">
        <f t="shared" si="15"/>
        <v/>
      </c>
      <c r="AX259" s="139" t="str">
        <f>[1]!T.in.A[[#This Row],[ID_T_manu]]</f>
        <v/>
      </c>
      <c r="AY259" s="140" t="str">
        <f>IF(ISNUMBER(Tab.o1[[#This Row],[a1]]),IF(AND(Tab.o1[[#This Row],[a1]]=1,Tab.o1[[#This Row],[b1]]&lt;=AY$4),#REF!,AY258),"")</f>
        <v/>
      </c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</row>
    <row r="260" spans="1:79" ht="15.75" hidden="1">
      <c r="A260" s="109">
        <v>4.0000000000000007E-6</v>
      </c>
      <c r="B260" s="110">
        <f t="shared" si="12"/>
        <v>260</v>
      </c>
      <c r="C260" s="111" t="str">
        <f>IF(C$1=[1]!T.in.A[[#This Row],[oo2]],1,"")</f>
        <v/>
      </c>
      <c r="D260" s="112" t="str">
        <f>IF(Tab.o1[[#This Row],[a1]]=1,IF(SUM(C260:C261)=0,0,IF(SUM(C259:C260)=1,1,IF(SUM(C259:C261)&gt;1,D259+1,0))),"")</f>
        <v/>
      </c>
      <c r="E260" s="113" t="str">
        <f>IF(Tab.o1[[#This Row],[a1]]=1,[1]!T.in.A[[#This Row],[oo1]],"")</f>
        <v/>
      </c>
      <c r="F260" s="113" t="str">
        <f>IF(Tab.o1[[#This Row],[a1]]=1,[1]!T.in.A[[#This Row],[pp1]],"")</f>
        <v/>
      </c>
      <c r="G260" s="114" t="str">
        <f>IF(Tab.o1[[#This Row],[a1]]=1,G$2+IF(G$1=1,0,Tab.o1[[#This Row],[.x1]])+[1]!T.in.A[[#This Row],[oo3]],"")</f>
        <v/>
      </c>
      <c r="H260" s="115" t="str">
        <f>IF(Tab.o1[[#This Row],[a1]]=1,IF(H$2=0,0,IF(G$1=1,0,Tab.o1[[#This Row],[.x1]])+[1]!T.in.A[[#This Row],[oo4]]),"")</f>
        <v/>
      </c>
      <c r="I260" s="116" t="str">
        <f>IF(Tab.o1[[#This Row],[a1]]=1,IF(J$2=0,Tab.o1[[#This Row],[MED]],Tab.o1[[#This Row],[MOD]]),"")</f>
        <v/>
      </c>
      <c r="J260" s="116" t="str">
        <f>IF(Tab.o1[[#This Row],[a1]]=1,((Tab.o1[[#This Row],[DIF_Target.]]-AVERAGE(Tab.o1[DIF_Target.]))/_xlfn.STDEV.P(Tab.o1[DIF_Target.])),"")</f>
        <v/>
      </c>
      <c r="K260" s="117" t="str">
        <f>IF(Tab.o1[[#This Row],[a1]]=1,IF(J$2=0,Tab.o1[[#This Row],[MOD]]-Tab.o1[[#This Row],[B]],IF(J$2=1,0,-Tab.o1[[#This Row],[MED]])+Tab.o1[[#This Row],[B]]),"")</f>
        <v/>
      </c>
      <c r="L260" s="117" t="str">
        <f ca="1">IF(Tab.o1[[#This Row],[DIF_Target]]=0,IF(L$2=0,Tab.o1[[#This Row],[DIF_Target]],AVERAGE(OFFSET(Tab.o1[[#This Row],[DIF_Target]],1,0,L$3,1)))/3,Tab.o1[[#This Row],[DIF_Target]])</f>
        <v/>
      </c>
      <c r="M260" s="118" t="str">
        <f>IF(Tab.o1[[#This Row],[a1]]=1,NORMSDIST(Tab.o1[[#This Row],[Za]]),"")</f>
        <v/>
      </c>
      <c r="N260" s="119" t="str">
        <f>IF(Tab.o1[[#This Row],[a1]]=1,((Tab.o1[[#This Row],[MedMod]]-AVERAGE(Tab.o1[MedMod]))/_xlfn.STDEV.P(Tab.o1[MedMod])*H$1205)+G$1205,"")</f>
        <v/>
      </c>
      <c r="O260" s="141" t="str">
        <f>IF(Tab.o1[[#This Row],[a1]]=1,Tab.o1[[#This Row],[Zb]]*_xlfn.STDEV.P(Tab.o1[MedMod])+AVERAGE(Tab.o1[MedMod]),"")</f>
        <v/>
      </c>
      <c r="P260" s="117" t="str">
        <f ca="1">IF(Tab.o1[[#This Row],[B]]=0,AVERAGE(OFFSET(Tab.o1[[#This Row],[B]],1,0,L$3,1)),Tab.o1[[#This Row],[B]])</f>
        <v/>
      </c>
      <c r="Q260" s="121" t="str">
        <f>IF(Tab.o1[[#This Row],[a1]]=1,NORMSDIST(Tab.o1[[#This Row],[Zb]]),"")</f>
        <v/>
      </c>
      <c r="R260" s="122" t="str">
        <f>IF(Tab.o1[[#This Row],[a1]]=1,((Tab.o1[[#This Row],[MedMod]]-AVERAGE(Tab.o1[MedMod]))/_xlfn.STDEV.P(Tab.o1[MedMod])*H$1203)+G$1203,"")</f>
        <v/>
      </c>
      <c r="S260" s="122" t="str">
        <f>IF(Tab.o1[[#This Row],[a1]]=1,((Tab.o1[[#This Row],[MedMod]]-AVERAGE(Tab.o1[MedMod]))/_xlfn.STDEV.P(Tab.o1[MedMod])*H$1204)+G$1204,"")</f>
        <v/>
      </c>
      <c r="T260" s="123" t="str">
        <f>IF(Tab.o1[[#This Row],[a1]]=1,Tab.o1[[#This Row],[Z-]]*_xlfn.STDEV.P(Tab.o1[B])+AVERAGE(Tab.o1[B]),"")</f>
        <v/>
      </c>
      <c r="U260" s="123" t="str">
        <f>IF(Tab.o1[[#This Row],[a1]]=1,Tab.o1[[#This Row],[z+]]*_xlfn.STDEV.P(Tab.o1[B])+AVERAGE(Tab.o1[B]),"")</f>
        <v/>
      </c>
      <c r="V260" s="124" t="str">
        <f>IF(Tab.o1[[#This Row],[a1]]=1,ABS((ABS(Tab.o1[[#This Row],[Red]]-Tab.o1[[#This Row],[Blue]]))),"")</f>
        <v/>
      </c>
      <c r="W260" s="125" t="str">
        <f>IF(Tab.o1[[#This Row],[a1]]=1,IF(W$3=0,1,Tab.o1[[#This Row],[Amp.]]*1/_xlfn.MINIFS(Tab.o1[Amp.],Tab.o1[Amp.],"&lt;&gt;0")),"")</f>
        <v/>
      </c>
      <c r="X260" s="126" t="str">
        <f>IF(Tab.o1[[#This Row],[a1]]=1,IF(ISNUMBER(Tab.o1[[#This Row],[i.]]),NORMDIST(Tab.o1[[#This Row],[Za]],0,1,FALSE)*Tab.o1[[#This Row],[i.]],AP$3),"")</f>
        <v/>
      </c>
      <c r="Y260" s="126" t="str">
        <f>IF(Tab.o1[[#This Row],[a1]]=1,0.01+0.94*Tab.o1[[#This Row],[PDF]]/MAX(Tab.o1[PDF]),"")</f>
        <v/>
      </c>
      <c r="Z260" s="126" t="str">
        <f>IF(Tab.o1[[#This Row],[a1]]=1,0.01+0.94*Tab.o1[[#This Row],[W1_PDF]]/MAX(Tab.o1[W1_PDF]),"")</f>
        <v/>
      </c>
      <c r="AA260" s="118" t="str">
        <f>IF(Tab.o1[[#This Row],[a1]]=1,ABS([1]!T.in.A[[#This Row],[oo6]]),"")</f>
        <v/>
      </c>
      <c r="AB260" s="127" t="str">
        <f>IF(Tab.o1[[#This Row],[a1]]=1,IF(AE$3=0,"",IF(AB$3=0,ABS([1]!T.in.A[[#This Row],[oo9]]),ABS(Tab.o1[[#This Row],[DIF_Target.]]*Tab.o1[[#This Row],[W1_PDF]]))),"")</f>
        <v/>
      </c>
      <c r="AC260" s="127" t="str">
        <f>IF(G$1=1,"",IF(Tab.o1[[#This Row],[a1]]=1,Tab.o1[[#This Row],[Wr]]^2,""))</f>
        <v/>
      </c>
      <c r="AD260" s="118" t="str">
        <f>IF(Tab.o1[[#This Row],[a1]]=1,IF(AE$3=0,"",Tab.o1[[#This Row],[Wr2]]/SUM(Tab.o1[Wr2])),"")</f>
        <v/>
      </c>
      <c r="AE260" s="128" t="str">
        <f>IF(Tab.o1[[#This Row],[a1]]=1,[1]!T.in.A[[#This Row],[oo10]],"")</f>
        <v/>
      </c>
      <c r="AF260" s="118" t="str">
        <f>IF(Tab.o1[[#This Row],[a1]]=1,ABS(Tab.o1[[#This Row],[DIF_Target.]]*Tab.o1[[#This Row],[PDF2]]*Tab.o1[[#This Row],[IN]]),"")</f>
        <v/>
      </c>
      <c r="AG260" s="129" t="str">
        <f>IF(Tab.o1[[#This Row],[a1]]=1,Tab.o1[[#This Row],[rW]]^2,"")</f>
        <v/>
      </c>
      <c r="AH260" s="130" t="str">
        <f>IF(Tab.o1[[#This Row],[a1]]=1,IF(AH$3=0,Tab.o1[[#This Row],[rW2]],0.01+0.94*Tab.o1[[#This Row],[rW2]]/SUM(Tab.o1[rW2])),"")</f>
        <v/>
      </c>
      <c r="AI260" s="128" t="str">
        <f>IF(Tab.o1[[#This Row],[a1]]=1,1/Tab.o1[[#This Row],[PDF]],"")</f>
        <v/>
      </c>
      <c r="AJ260" s="131" t="str">
        <f>IF(Tab.o1[[#This Row],[a1]]=1,[1]!T_AA[[#This Row],[IN'']]*[1]!T_AA[[#This Row],[Qde'']],"")</f>
        <v/>
      </c>
      <c r="AK260" s="132" t="str">
        <f>IF(Tab.o1[[#This Row],[a1]]=1,IF(AK$1=1,Tab.o1[[#This Row],[MED]]+Tab.o1[[#This Row],[MOD]]-Tab.o1[[#This Row],[MED]],""),"")</f>
        <v/>
      </c>
      <c r="AL260" s="133" t="str">
        <f>IF(Tab.o1[[#This Row],[a1]]=1,[1]!T.in.A[[#This Row],[oo16]],"")</f>
        <v/>
      </c>
      <c r="AM260" s="133" t="str">
        <f>IF(Tab.o1[[#This Row],[a1]]=1,IF(AM$3=1,[1]!T.in.A[[#This Row],[Σo16]],""),"")</f>
        <v/>
      </c>
      <c r="AN260" s="126" t="str">
        <f>IF(Tab.o1[[#This Row],[a1]]=1,[1]!T.in.A[[#This Row],[Σp5]],"")</f>
        <v/>
      </c>
      <c r="AO260" s="126" t="str">
        <f>IF(Tab.o1[[#This Row],[a1]]=1,IF(AO$3=1,[1]!T.in.A[[#This Row],[Σp5]],""),"")</f>
        <v/>
      </c>
      <c r="AP260" s="110" t="str">
        <f>IF(Tab.o1[[#This Row],[a1]]=1,IF(ISNUMBER(Tab.o1[[#This Row],[i.]]),NORMDIST(Tab.o1[[#This Row],[Za]],0,1,FALSE)*Tab.o1[[#This Row],[i.]],0),"")</f>
        <v/>
      </c>
      <c r="AQ260" s="125" t="str">
        <f>IF(Tab.o1[[#This Row],[a1]]=1,ABS(Tab.o1[[#This Row],[MOD]]-AVERAGE(Tab.o1[MOD])),"")</f>
        <v/>
      </c>
      <c r="AR260" s="134" t="str">
        <f>IF(Tab.o1[[#This Row],[a1]]=1,Tab.o1[[#This Row],[OBS]]/SUM(Tab.o1[OBS]),"")</f>
        <v/>
      </c>
      <c r="AS260" s="135" t="str">
        <f>IF(ISNUMBER(Tab.o1[[#This Row],[a1]]),ROW()-4,"")</f>
        <v/>
      </c>
      <c r="AT260" s="136" t="str">
        <f>Tab.o1[[#This Row],[MOD]]</f>
        <v/>
      </c>
      <c r="AU260" s="137" t="str">
        <f t="shared" si="13"/>
        <v/>
      </c>
      <c r="AV260" s="138" t="str">
        <f t="shared" si="14"/>
        <v/>
      </c>
      <c r="AW260" s="138" t="str">
        <f t="shared" si="15"/>
        <v/>
      </c>
      <c r="AX260" s="139" t="str">
        <f>[1]!T.in.A[[#This Row],[ID_T_manu]]</f>
        <v/>
      </c>
      <c r="AY260" s="140" t="str">
        <f>IF(ISNUMBER(Tab.o1[[#This Row],[a1]]),IF(AND(Tab.o1[[#This Row],[a1]]=1,Tab.o1[[#This Row],[b1]]&lt;=AY$4),#REF!,AY259),"")</f>
        <v/>
      </c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</row>
    <row r="261" spans="1:79" ht="15.75" hidden="1">
      <c r="A261" s="109">
        <v>-2.9999999999999997E-6</v>
      </c>
      <c r="B261" s="110">
        <f t="shared" si="12"/>
        <v>261</v>
      </c>
      <c r="C261" s="111" t="str">
        <f>IF(C$1=[1]!T.in.A[[#This Row],[oo2]],1,"")</f>
        <v/>
      </c>
      <c r="D261" s="112" t="str">
        <f>IF(Tab.o1[[#This Row],[a1]]=1,IF(SUM(C261:C262)=0,0,IF(SUM(C260:C261)=1,1,IF(SUM(C260:C262)&gt;1,D260+1,0))),"")</f>
        <v/>
      </c>
      <c r="E261" s="113" t="str">
        <f>IF(Tab.o1[[#This Row],[a1]]=1,[1]!T.in.A[[#This Row],[oo1]],"")</f>
        <v/>
      </c>
      <c r="F261" s="113" t="str">
        <f>IF(Tab.o1[[#This Row],[a1]]=1,[1]!T.in.A[[#This Row],[pp1]],"")</f>
        <v/>
      </c>
      <c r="G261" s="114" t="str">
        <f>IF(Tab.o1[[#This Row],[a1]]=1,G$2+IF(G$1=1,0,Tab.o1[[#This Row],[.x1]])+[1]!T.in.A[[#This Row],[oo3]],"")</f>
        <v/>
      </c>
      <c r="H261" s="115" t="str">
        <f>IF(Tab.o1[[#This Row],[a1]]=1,IF(H$2=0,0,IF(G$1=1,0,Tab.o1[[#This Row],[.x1]])+[1]!T.in.A[[#This Row],[oo4]]),"")</f>
        <v/>
      </c>
      <c r="I261" s="116" t="str">
        <f>IF(Tab.o1[[#This Row],[a1]]=1,IF(J$2=0,Tab.o1[[#This Row],[MED]],Tab.o1[[#This Row],[MOD]]),"")</f>
        <v/>
      </c>
      <c r="J261" s="116" t="str">
        <f>IF(Tab.o1[[#This Row],[a1]]=1,((Tab.o1[[#This Row],[DIF_Target.]]-AVERAGE(Tab.o1[DIF_Target.]))/_xlfn.STDEV.P(Tab.o1[DIF_Target.])),"")</f>
        <v/>
      </c>
      <c r="K261" s="117" t="str">
        <f>IF(Tab.o1[[#This Row],[a1]]=1,IF(J$2=0,Tab.o1[[#This Row],[MOD]]-Tab.o1[[#This Row],[B]],IF(J$2=1,0,-Tab.o1[[#This Row],[MED]])+Tab.o1[[#This Row],[B]]),"")</f>
        <v/>
      </c>
      <c r="L261" s="117" t="str">
        <f ca="1">IF(Tab.o1[[#This Row],[DIF_Target]]=0,IF(L$2=0,Tab.o1[[#This Row],[DIF_Target]],AVERAGE(OFFSET(Tab.o1[[#This Row],[DIF_Target]],1,0,L$3,1)))/3,Tab.o1[[#This Row],[DIF_Target]])</f>
        <v/>
      </c>
      <c r="M261" s="118" t="str">
        <f>IF(Tab.o1[[#This Row],[a1]]=1,NORMSDIST(Tab.o1[[#This Row],[Za]]),"")</f>
        <v/>
      </c>
      <c r="N261" s="119" t="str">
        <f>IF(Tab.o1[[#This Row],[a1]]=1,((Tab.o1[[#This Row],[MedMod]]-AVERAGE(Tab.o1[MedMod]))/_xlfn.STDEV.P(Tab.o1[MedMod])*H$1205)+G$1205,"")</f>
        <v/>
      </c>
      <c r="O261" s="141" t="str">
        <f>IF(Tab.o1[[#This Row],[a1]]=1,Tab.o1[[#This Row],[Zb]]*_xlfn.STDEV.P(Tab.o1[MedMod])+AVERAGE(Tab.o1[MedMod]),"")</f>
        <v/>
      </c>
      <c r="P261" s="117" t="str">
        <f ca="1">IF(Tab.o1[[#This Row],[B]]=0,AVERAGE(OFFSET(Tab.o1[[#This Row],[B]],1,0,L$3,1)),Tab.o1[[#This Row],[B]])</f>
        <v/>
      </c>
      <c r="Q261" s="121" t="str">
        <f>IF(Tab.o1[[#This Row],[a1]]=1,NORMSDIST(Tab.o1[[#This Row],[Zb]]),"")</f>
        <v/>
      </c>
      <c r="R261" s="122" t="str">
        <f>IF(Tab.o1[[#This Row],[a1]]=1,((Tab.o1[[#This Row],[MedMod]]-AVERAGE(Tab.o1[MedMod]))/_xlfn.STDEV.P(Tab.o1[MedMod])*H$1203)+G$1203,"")</f>
        <v/>
      </c>
      <c r="S261" s="122" t="str">
        <f>IF(Tab.o1[[#This Row],[a1]]=1,((Tab.o1[[#This Row],[MedMod]]-AVERAGE(Tab.o1[MedMod]))/_xlfn.STDEV.P(Tab.o1[MedMod])*H$1204)+G$1204,"")</f>
        <v/>
      </c>
      <c r="T261" s="123" t="str">
        <f>IF(Tab.o1[[#This Row],[a1]]=1,Tab.o1[[#This Row],[Z-]]*_xlfn.STDEV.P(Tab.o1[B])+AVERAGE(Tab.o1[B]),"")</f>
        <v/>
      </c>
      <c r="U261" s="123" t="str">
        <f>IF(Tab.o1[[#This Row],[a1]]=1,Tab.o1[[#This Row],[z+]]*_xlfn.STDEV.P(Tab.o1[B])+AVERAGE(Tab.o1[B]),"")</f>
        <v/>
      </c>
      <c r="V261" s="124" t="str">
        <f>IF(Tab.o1[[#This Row],[a1]]=1,ABS((ABS(Tab.o1[[#This Row],[Red]]-Tab.o1[[#This Row],[Blue]]))),"")</f>
        <v/>
      </c>
      <c r="W261" s="125" t="str">
        <f>IF(Tab.o1[[#This Row],[a1]]=1,IF(W$3=0,1,Tab.o1[[#This Row],[Amp.]]*1/_xlfn.MINIFS(Tab.o1[Amp.],Tab.o1[Amp.],"&lt;&gt;0")),"")</f>
        <v/>
      </c>
      <c r="X261" s="126" t="str">
        <f>IF(Tab.o1[[#This Row],[a1]]=1,IF(ISNUMBER(Tab.o1[[#This Row],[i.]]),NORMDIST(Tab.o1[[#This Row],[Za]],0,1,FALSE)*Tab.o1[[#This Row],[i.]],AP$3),"")</f>
        <v/>
      </c>
      <c r="Y261" s="126" t="str">
        <f>IF(Tab.o1[[#This Row],[a1]]=1,0.01+0.94*Tab.o1[[#This Row],[PDF]]/MAX(Tab.o1[PDF]),"")</f>
        <v/>
      </c>
      <c r="Z261" s="126" t="str">
        <f>IF(Tab.o1[[#This Row],[a1]]=1,0.01+0.94*Tab.o1[[#This Row],[W1_PDF]]/MAX(Tab.o1[W1_PDF]),"")</f>
        <v/>
      </c>
      <c r="AA261" s="118" t="str">
        <f>IF(Tab.o1[[#This Row],[a1]]=1,ABS([1]!T.in.A[[#This Row],[oo6]]),"")</f>
        <v/>
      </c>
      <c r="AB261" s="127" t="str">
        <f>IF(Tab.o1[[#This Row],[a1]]=1,IF(AE$3=0,"",IF(AB$3=0,ABS([1]!T.in.A[[#This Row],[oo9]]),ABS(Tab.o1[[#This Row],[DIF_Target.]]*Tab.o1[[#This Row],[W1_PDF]]))),"")</f>
        <v/>
      </c>
      <c r="AC261" s="127" t="str">
        <f>IF(G$1=1,"",IF(Tab.o1[[#This Row],[a1]]=1,Tab.o1[[#This Row],[Wr]]^2,""))</f>
        <v/>
      </c>
      <c r="AD261" s="118" t="str">
        <f>IF(Tab.o1[[#This Row],[a1]]=1,IF(AE$3=0,"",Tab.o1[[#This Row],[Wr2]]/SUM(Tab.o1[Wr2])),"")</f>
        <v/>
      </c>
      <c r="AE261" s="128" t="str">
        <f>IF(Tab.o1[[#This Row],[a1]]=1,[1]!T.in.A[[#This Row],[oo10]],"")</f>
        <v/>
      </c>
      <c r="AF261" s="118" t="str">
        <f>IF(Tab.o1[[#This Row],[a1]]=1,ABS(Tab.o1[[#This Row],[DIF_Target.]]*Tab.o1[[#This Row],[PDF2]]*Tab.o1[[#This Row],[IN]]),"")</f>
        <v/>
      </c>
      <c r="AG261" s="129" t="str">
        <f>IF(Tab.o1[[#This Row],[a1]]=1,Tab.o1[[#This Row],[rW]]^2,"")</f>
        <v/>
      </c>
      <c r="AH261" s="130" t="str">
        <f>IF(Tab.o1[[#This Row],[a1]]=1,IF(AH$3=0,Tab.o1[[#This Row],[rW2]],0.01+0.94*Tab.o1[[#This Row],[rW2]]/SUM(Tab.o1[rW2])),"")</f>
        <v/>
      </c>
      <c r="AI261" s="128" t="str">
        <f>IF(Tab.o1[[#This Row],[a1]]=1,1/Tab.o1[[#This Row],[PDF]],"")</f>
        <v/>
      </c>
      <c r="AJ261" s="131" t="str">
        <f>IF(Tab.o1[[#This Row],[a1]]=1,[1]!T_AA[[#This Row],[IN'']]*[1]!T_AA[[#This Row],[Qde'']],"")</f>
        <v/>
      </c>
      <c r="AK261" s="132" t="str">
        <f>IF(Tab.o1[[#This Row],[a1]]=1,IF(AK$1=1,Tab.o1[[#This Row],[MED]]+Tab.o1[[#This Row],[MOD]]-Tab.o1[[#This Row],[MED]],""),"")</f>
        <v/>
      </c>
      <c r="AL261" s="133" t="str">
        <f>IF(Tab.o1[[#This Row],[a1]]=1,[1]!T.in.A[[#This Row],[oo16]],"")</f>
        <v/>
      </c>
      <c r="AM261" s="133" t="str">
        <f>IF(Tab.o1[[#This Row],[a1]]=1,IF(AM$3=1,[1]!T.in.A[[#This Row],[Σo16]],""),"")</f>
        <v/>
      </c>
      <c r="AN261" s="126" t="str">
        <f>IF(Tab.o1[[#This Row],[a1]]=1,[1]!T.in.A[[#This Row],[Σp5]],"")</f>
        <v/>
      </c>
      <c r="AO261" s="126" t="str">
        <f>IF(Tab.o1[[#This Row],[a1]]=1,IF(AO$3=1,[1]!T.in.A[[#This Row],[Σp5]],""),"")</f>
        <v/>
      </c>
      <c r="AP261" s="110" t="str">
        <f>IF(Tab.o1[[#This Row],[a1]]=1,IF(ISNUMBER(Tab.o1[[#This Row],[i.]]),NORMDIST(Tab.o1[[#This Row],[Za]],0,1,FALSE)*Tab.o1[[#This Row],[i.]],0),"")</f>
        <v/>
      </c>
      <c r="AQ261" s="125" t="str">
        <f>IF(Tab.o1[[#This Row],[a1]]=1,ABS(Tab.o1[[#This Row],[MOD]]-AVERAGE(Tab.o1[MOD])),"")</f>
        <v/>
      </c>
      <c r="AR261" s="134" t="str">
        <f>IF(Tab.o1[[#This Row],[a1]]=1,Tab.o1[[#This Row],[OBS]]/SUM(Tab.o1[OBS]),"")</f>
        <v/>
      </c>
      <c r="AS261" s="135" t="str">
        <f>IF(ISNUMBER(Tab.o1[[#This Row],[a1]]),ROW()-4,"")</f>
        <v/>
      </c>
      <c r="AT261" s="136" t="str">
        <f>Tab.o1[[#This Row],[MOD]]</f>
        <v/>
      </c>
      <c r="AU261" s="137" t="str">
        <f t="shared" si="13"/>
        <v/>
      </c>
      <c r="AV261" s="138" t="str">
        <f t="shared" si="14"/>
        <v/>
      </c>
      <c r="AW261" s="138" t="str">
        <f t="shared" si="15"/>
        <v/>
      </c>
      <c r="AX261" s="139" t="str">
        <f>[1]!T.in.A[[#This Row],[ID_T_manu]]</f>
        <v/>
      </c>
      <c r="AY261" s="140" t="str">
        <f>IF(ISNUMBER(Tab.o1[[#This Row],[a1]]),IF(AND(Tab.o1[[#This Row],[a1]]=1,Tab.o1[[#This Row],[b1]]&lt;=AY$4),#REF!,AY260),"")</f>
        <v/>
      </c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</row>
    <row r="262" spans="1:79" ht="15.75" hidden="1">
      <c r="A262" s="109">
        <v>8.0000000000000013E-6</v>
      </c>
      <c r="B262" s="110">
        <f t="shared" ref="B262:B325" si="16">B261+1</f>
        <v>262</v>
      </c>
      <c r="C262" s="111" t="str">
        <f>IF(C$1=[1]!T.in.A[[#This Row],[oo2]],1,"")</f>
        <v/>
      </c>
      <c r="D262" s="112" t="str">
        <f>IF(Tab.o1[[#This Row],[a1]]=1,IF(SUM(C262:C263)=0,0,IF(SUM(C261:C262)=1,1,IF(SUM(C261:C263)&gt;1,D261+1,0))),"")</f>
        <v/>
      </c>
      <c r="E262" s="113" t="str">
        <f>IF(Tab.o1[[#This Row],[a1]]=1,[1]!T.in.A[[#This Row],[oo1]],"")</f>
        <v/>
      </c>
      <c r="F262" s="113" t="str">
        <f>IF(Tab.o1[[#This Row],[a1]]=1,[1]!T.in.A[[#This Row],[pp1]],"")</f>
        <v/>
      </c>
      <c r="G262" s="114" t="str">
        <f>IF(Tab.o1[[#This Row],[a1]]=1,G$2+IF(G$1=1,0,Tab.o1[[#This Row],[.x1]])+[1]!T.in.A[[#This Row],[oo3]],"")</f>
        <v/>
      </c>
      <c r="H262" s="115" t="str">
        <f>IF(Tab.o1[[#This Row],[a1]]=1,IF(H$2=0,0,IF(G$1=1,0,Tab.o1[[#This Row],[.x1]])+[1]!T.in.A[[#This Row],[oo4]]),"")</f>
        <v/>
      </c>
      <c r="I262" s="116" t="str">
        <f>IF(Tab.o1[[#This Row],[a1]]=1,IF(J$2=0,Tab.o1[[#This Row],[MED]],Tab.o1[[#This Row],[MOD]]),"")</f>
        <v/>
      </c>
      <c r="J262" s="116" t="str">
        <f>IF(Tab.o1[[#This Row],[a1]]=1,((Tab.o1[[#This Row],[DIF_Target.]]-AVERAGE(Tab.o1[DIF_Target.]))/_xlfn.STDEV.P(Tab.o1[DIF_Target.])),"")</f>
        <v/>
      </c>
      <c r="K262" s="117" t="str">
        <f>IF(Tab.o1[[#This Row],[a1]]=1,IF(J$2=0,Tab.o1[[#This Row],[MOD]]-Tab.o1[[#This Row],[B]],IF(J$2=1,0,-Tab.o1[[#This Row],[MED]])+Tab.o1[[#This Row],[B]]),"")</f>
        <v/>
      </c>
      <c r="L262" s="117" t="str">
        <f ca="1">IF(Tab.o1[[#This Row],[DIF_Target]]=0,IF(L$2=0,Tab.o1[[#This Row],[DIF_Target]],AVERAGE(OFFSET(Tab.o1[[#This Row],[DIF_Target]],1,0,L$3,1)))/3,Tab.o1[[#This Row],[DIF_Target]])</f>
        <v/>
      </c>
      <c r="M262" s="118" t="str">
        <f>IF(Tab.o1[[#This Row],[a1]]=1,NORMSDIST(Tab.o1[[#This Row],[Za]]),"")</f>
        <v/>
      </c>
      <c r="N262" s="119" t="str">
        <f>IF(Tab.o1[[#This Row],[a1]]=1,((Tab.o1[[#This Row],[MedMod]]-AVERAGE(Tab.o1[MedMod]))/_xlfn.STDEV.P(Tab.o1[MedMod])*H$1205)+G$1205,"")</f>
        <v/>
      </c>
      <c r="O262" s="141" t="str">
        <f>IF(Tab.o1[[#This Row],[a1]]=1,Tab.o1[[#This Row],[Zb]]*_xlfn.STDEV.P(Tab.o1[MedMod])+AVERAGE(Tab.o1[MedMod]),"")</f>
        <v/>
      </c>
      <c r="P262" s="117" t="str">
        <f ca="1">IF(Tab.o1[[#This Row],[B]]=0,AVERAGE(OFFSET(Tab.o1[[#This Row],[B]],1,0,L$3,1)),Tab.o1[[#This Row],[B]])</f>
        <v/>
      </c>
      <c r="Q262" s="121" t="str">
        <f>IF(Tab.o1[[#This Row],[a1]]=1,NORMSDIST(Tab.o1[[#This Row],[Zb]]),"")</f>
        <v/>
      </c>
      <c r="R262" s="122" t="str">
        <f>IF(Tab.o1[[#This Row],[a1]]=1,((Tab.o1[[#This Row],[MedMod]]-AVERAGE(Tab.o1[MedMod]))/_xlfn.STDEV.P(Tab.o1[MedMod])*H$1203)+G$1203,"")</f>
        <v/>
      </c>
      <c r="S262" s="122" t="str">
        <f>IF(Tab.o1[[#This Row],[a1]]=1,((Tab.o1[[#This Row],[MedMod]]-AVERAGE(Tab.o1[MedMod]))/_xlfn.STDEV.P(Tab.o1[MedMod])*H$1204)+G$1204,"")</f>
        <v/>
      </c>
      <c r="T262" s="123" t="str">
        <f>IF(Tab.o1[[#This Row],[a1]]=1,Tab.o1[[#This Row],[Z-]]*_xlfn.STDEV.P(Tab.o1[B])+AVERAGE(Tab.o1[B]),"")</f>
        <v/>
      </c>
      <c r="U262" s="123" t="str">
        <f>IF(Tab.o1[[#This Row],[a1]]=1,Tab.o1[[#This Row],[z+]]*_xlfn.STDEV.P(Tab.o1[B])+AVERAGE(Tab.o1[B]),"")</f>
        <v/>
      </c>
      <c r="V262" s="124" t="str">
        <f>IF(Tab.o1[[#This Row],[a1]]=1,ABS((ABS(Tab.o1[[#This Row],[Red]]-Tab.o1[[#This Row],[Blue]]))),"")</f>
        <v/>
      </c>
      <c r="W262" s="125" t="str">
        <f>IF(Tab.o1[[#This Row],[a1]]=1,IF(W$3=0,1,Tab.o1[[#This Row],[Amp.]]*1/_xlfn.MINIFS(Tab.o1[Amp.],Tab.o1[Amp.],"&lt;&gt;0")),"")</f>
        <v/>
      </c>
      <c r="X262" s="126" t="str">
        <f>IF(Tab.o1[[#This Row],[a1]]=1,IF(ISNUMBER(Tab.o1[[#This Row],[i.]]),NORMDIST(Tab.o1[[#This Row],[Za]],0,1,FALSE)*Tab.o1[[#This Row],[i.]],AP$3),"")</f>
        <v/>
      </c>
      <c r="Y262" s="126" t="str">
        <f>IF(Tab.o1[[#This Row],[a1]]=1,0.01+0.94*Tab.o1[[#This Row],[PDF]]/MAX(Tab.o1[PDF]),"")</f>
        <v/>
      </c>
      <c r="Z262" s="126" t="str">
        <f>IF(Tab.o1[[#This Row],[a1]]=1,0.01+0.94*Tab.o1[[#This Row],[W1_PDF]]/MAX(Tab.o1[W1_PDF]),"")</f>
        <v/>
      </c>
      <c r="AA262" s="118" t="str">
        <f>IF(Tab.o1[[#This Row],[a1]]=1,ABS([1]!T.in.A[[#This Row],[oo6]]),"")</f>
        <v/>
      </c>
      <c r="AB262" s="127" t="str">
        <f>IF(Tab.o1[[#This Row],[a1]]=1,IF(AE$3=0,"",IF(AB$3=0,ABS([1]!T.in.A[[#This Row],[oo9]]),ABS(Tab.o1[[#This Row],[DIF_Target.]]*Tab.o1[[#This Row],[W1_PDF]]))),"")</f>
        <v/>
      </c>
      <c r="AC262" s="127" t="str">
        <f>IF(G$1=1,"",IF(Tab.o1[[#This Row],[a1]]=1,Tab.o1[[#This Row],[Wr]]^2,""))</f>
        <v/>
      </c>
      <c r="AD262" s="118" t="str">
        <f>IF(Tab.o1[[#This Row],[a1]]=1,IF(AE$3=0,"",Tab.o1[[#This Row],[Wr2]]/SUM(Tab.o1[Wr2])),"")</f>
        <v/>
      </c>
      <c r="AE262" s="128" t="str">
        <f>IF(Tab.o1[[#This Row],[a1]]=1,[1]!T.in.A[[#This Row],[oo10]],"")</f>
        <v/>
      </c>
      <c r="AF262" s="118" t="str">
        <f>IF(Tab.o1[[#This Row],[a1]]=1,ABS(Tab.o1[[#This Row],[DIF_Target.]]*Tab.o1[[#This Row],[PDF2]]*Tab.o1[[#This Row],[IN]]),"")</f>
        <v/>
      </c>
      <c r="AG262" s="129" t="str">
        <f>IF(Tab.o1[[#This Row],[a1]]=1,Tab.o1[[#This Row],[rW]]^2,"")</f>
        <v/>
      </c>
      <c r="AH262" s="130" t="str">
        <f>IF(Tab.o1[[#This Row],[a1]]=1,IF(AH$3=0,Tab.o1[[#This Row],[rW2]],0.01+0.94*Tab.o1[[#This Row],[rW2]]/SUM(Tab.o1[rW2])),"")</f>
        <v/>
      </c>
      <c r="AI262" s="128" t="str">
        <f>IF(Tab.o1[[#This Row],[a1]]=1,1/Tab.o1[[#This Row],[PDF]],"")</f>
        <v/>
      </c>
      <c r="AJ262" s="131" t="str">
        <f>IF(Tab.o1[[#This Row],[a1]]=1,[1]!T_AA[[#This Row],[IN'']]*[1]!T_AA[[#This Row],[Qde'']],"")</f>
        <v/>
      </c>
      <c r="AK262" s="132" t="str">
        <f>IF(Tab.o1[[#This Row],[a1]]=1,IF(AK$1=1,Tab.o1[[#This Row],[MED]]+Tab.o1[[#This Row],[MOD]]-Tab.o1[[#This Row],[MED]],""),"")</f>
        <v/>
      </c>
      <c r="AL262" s="133" t="str">
        <f>IF(Tab.o1[[#This Row],[a1]]=1,[1]!T.in.A[[#This Row],[oo16]],"")</f>
        <v/>
      </c>
      <c r="AM262" s="133" t="str">
        <f>IF(Tab.o1[[#This Row],[a1]]=1,IF(AM$3=1,[1]!T.in.A[[#This Row],[Σo16]],""),"")</f>
        <v/>
      </c>
      <c r="AN262" s="126" t="str">
        <f>IF(Tab.o1[[#This Row],[a1]]=1,[1]!T.in.A[[#This Row],[Σp5]],"")</f>
        <v/>
      </c>
      <c r="AO262" s="126" t="str">
        <f>IF(Tab.o1[[#This Row],[a1]]=1,IF(AO$3=1,[1]!T.in.A[[#This Row],[Σp5]],""),"")</f>
        <v/>
      </c>
      <c r="AP262" s="110" t="str">
        <f>IF(Tab.o1[[#This Row],[a1]]=1,IF(ISNUMBER(Tab.o1[[#This Row],[i.]]),NORMDIST(Tab.o1[[#This Row],[Za]],0,1,FALSE)*Tab.o1[[#This Row],[i.]],0),"")</f>
        <v/>
      </c>
      <c r="AQ262" s="125" t="str">
        <f>IF(Tab.o1[[#This Row],[a1]]=1,ABS(Tab.o1[[#This Row],[MOD]]-AVERAGE(Tab.o1[MOD])),"")</f>
        <v/>
      </c>
      <c r="AR262" s="134" t="str">
        <f>IF(Tab.o1[[#This Row],[a1]]=1,Tab.o1[[#This Row],[OBS]]/SUM(Tab.o1[OBS]),"")</f>
        <v/>
      </c>
      <c r="AS262" s="135" t="str">
        <f>IF(ISNUMBER(Tab.o1[[#This Row],[a1]]),ROW()-4,"")</f>
        <v/>
      </c>
      <c r="AT262" s="136" t="str">
        <f>Tab.o1[[#This Row],[MOD]]</f>
        <v/>
      </c>
      <c r="AU262" s="137" t="str">
        <f t="shared" ref="AU262:AU325" si="17">AT262</f>
        <v/>
      </c>
      <c r="AV262" s="138" t="str">
        <f t="shared" ref="AV262:AV325" si="18">IF(AND(ISNUMBER(AT262),ISNUMBER(AU262)),H262-AU262,"")</f>
        <v/>
      </c>
      <c r="AW262" s="138" t="str">
        <f t="shared" ref="AW262:AW325" si="19">IF(AW$4=0,"",IF(AV262&lt;AV$2,AV262," "))</f>
        <v/>
      </c>
      <c r="AX262" s="139" t="str">
        <f>[1]!T.in.A[[#This Row],[ID_T_manu]]</f>
        <v/>
      </c>
      <c r="AY262" s="140" t="str">
        <f>IF(ISNUMBER(Tab.o1[[#This Row],[a1]]),IF(AND(Tab.o1[[#This Row],[a1]]=1,Tab.o1[[#This Row],[b1]]&lt;=AY$4),#REF!,AY261),"")</f>
        <v/>
      </c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</row>
    <row r="263" spans="1:79" ht="15.75" hidden="1">
      <c r="A263" s="109">
        <v>-1.0000000000000001E-5</v>
      </c>
      <c r="B263" s="110">
        <f t="shared" si="16"/>
        <v>263</v>
      </c>
      <c r="C263" s="111" t="str">
        <f>IF(C$1=[1]!T.in.A[[#This Row],[oo2]],1,"")</f>
        <v/>
      </c>
      <c r="D263" s="112" t="str">
        <f>IF(Tab.o1[[#This Row],[a1]]=1,IF(SUM(C263:C264)=0,0,IF(SUM(C262:C263)=1,1,IF(SUM(C262:C264)&gt;1,D262+1,0))),"")</f>
        <v/>
      </c>
      <c r="E263" s="113" t="str">
        <f>IF(Tab.o1[[#This Row],[a1]]=1,[1]!T.in.A[[#This Row],[oo1]],"")</f>
        <v/>
      </c>
      <c r="F263" s="113" t="str">
        <f>IF(Tab.o1[[#This Row],[a1]]=1,[1]!T.in.A[[#This Row],[pp1]],"")</f>
        <v/>
      </c>
      <c r="G263" s="114" t="str">
        <f>IF(Tab.o1[[#This Row],[a1]]=1,G$2+IF(G$1=1,0,Tab.o1[[#This Row],[.x1]])+[1]!T.in.A[[#This Row],[oo3]],"")</f>
        <v/>
      </c>
      <c r="H263" s="115" t="str">
        <f>IF(Tab.o1[[#This Row],[a1]]=1,IF(H$2=0,0,IF(G$1=1,0,Tab.o1[[#This Row],[.x1]])+[1]!T.in.A[[#This Row],[oo4]]),"")</f>
        <v/>
      </c>
      <c r="I263" s="116" t="str">
        <f>IF(Tab.o1[[#This Row],[a1]]=1,IF(J$2=0,Tab.o1[[#This Row],[MED]],Tab.o1[[#This Row],[MOD]]),"")</f>
        <v/>
      </c>
      <c r="J263" s="116" t="str">
        <f>IF(Tab.o1[[#This Row],[a1]]=1,((Tab.o1[[#This Row],[DIF_Target.]]-AVERAGE(Tab.o1[DIF_Target.]))/_xlfn.STDEV.P(Tab.o1[DIF_Target.])),"")</f>
        <v/>
      </c>
      <c r="K263" s="117" t="str">
        <f>IF(Tab.o1[[#This Row],[a1]]=1,IF(J$2=0,Tab.o1[[#This Row],[MOD]]-Tab.o1[[#This Row],[B]],IF(J$2=1,0,-Tab.o1[[#This Row],[MED]])+Tab.o1[[#This Row],[B]]),"")</f>
        <v/>
      </c>
      <c r="L263" s="117" t="str">
        <f ca="1">IF(Tab.o1[[#This Row],[DIF_Target]]=0,IF(L$2=0,Tab.o1[[#This Row],[DIF_Target]],AVERAGE(OFFSET(Tab.o1[[#This Row],[DIF_Target]],1,0,L$3,1)))/3,Tab.o1[[#This Row],[DIF_Target]])</f>
        <v/>
      </c>
      <c r="M263" s="118" t="str">
        <f>IF(Tab.o1[[#This Row],[a1]]=1,NORMSDIST(Tab.o1[[#This Row],[Za]]),"")</f>
        <v/>
      </c>
      <c r="N263" s="119" t="str">
        <f>IF(Tab.o1[[#This Row],[a1]]=1,((Tab.o1[[#This Row],[MedMod]]-AVERAGE(Tab.o1[MedMod]))/_xlfn.STDEV.P(Tab.o1[MedMod])*H$1205)+G$1205,"")</f>
        <v/>
      </c>
      <c r="O263" s="141" t="str">
        <f>IF(Tab.o1[[#This Row],[a1]]=1,Tab.o1[[#This Row],[Zb]]*_xlfn.STDEV.P(Tab.o1[MedMod])+AVERAGE(Tab.o1[MedMod]),"")</f>
        <v/>
      </c>
      <c r="P263" s="117" t="str">
        <f ca="1">IF(Tab.o1[[#This Row],[B]]=0,AVERAGE(OFFSET(Tab.o1[[#This Row],[B]],1,0,L$3,1)),Tab.o1[[#This Row],[B]])</f>
        <v/>
      </c>
      <c r="Q263" s="121" t="str">
        <f>IF(Tab.o1[[#This Row],[a1]]=1,NORMSDIST(Tab.o1[[#This Row],[Zb]]),"")</f>
        <v/>
      </c>
      <c r="R263" s="122" t="str">
        <f>IF(Tab.o1[[#This Row],[a1]]=1,((Tab.o1[[#This Row],[MedMod]]-AVERAGE(Tab.o1[MedMod]))/_xlfn.STDEV.P(Tab.o1[MedMod])*H$1203)+G$1203,"")</f>
        <v/>
      </c>
      <c r="S263" s="122" t="str">
        <f>IF(Tab.o1[[#This Row],[a1]]=1,((Tab.o1[[#This Row],[MedMod]]-AVERAGE(Tab.o1[MedMod]))/_xlfn.STDEV.P(Tab.o1[MedMod])*H$1204)+G$1204,"")</f>
        <v/>
      </c>
      <c r="T263" s="123" t="str">
        <f>IF(Tab.o1[[#This Row],[a1]]=1,Tab.o1[[#This Row],[Z-]]*_xlfn.STDEV.P(Tab.o1[B])+AVERAGE(Tab.o1[B]),"")</f>
        <v/>
      </c>
      <c r="U263" s="123" t="str">
        <f>IF(Tab.o1[[#This Row],[a1]]=1,Tab.o1[[#This Row],[z+]]*_xlfn.STDEV.P(Tab.o1[B])+AVERAGE(Tab.o1[B]),"")</f>
        <v/>
      </c>
      <c r="V263" s="124" t="str">
        <f>IF(Tab.o1[[#This Row],[a1]]=1,ABS((ABS(Tab.o1[[#This Row],[Red]]-Tab.o1[[#This Row],[Blue]]))),"")</f>
        <v/>
      </c>
      <c r="W263" s="125" t="str">
        <f>IF(Tab.o1[[#This Row],[a1]]=1,IF(W$3=0,1,Tab.o1[[#This Row],[Amp.]]*1/_xlfn.MINIFS(Tab.o1[Amp.],Tab.o1[Amp.],"&lt;&gt;0")),"")</f>
        <v/>
      </c>
      <c r="X263" s="126" t="str">
        <f>IF(Tab.o1[[#This Row],[a1]]=1,IF(ISNUMBER(Tab.o1[[#This Row],[i.]]),NORMDIST(Tab.o1[[#This Row],[Za]],0,1,FALSE)*Tab.o1[[#This Row],[i.]],AP$3),"")</f>
        <v/>
      </c>
      <c r="Y263" s="126" t="str">
        <f>IF(Tab.o1[[#This Row],[a1]]=1,0.01+0.94*Tab.o1[[#This Row],[PDF]]/MAX(Tab.o1[PDF]),"")</f>
        <v/>
      </c>
      <c r="Z263" s="126" t="str">
        <f>IF(Tab.o1[[#This Row],[a1]]=1,0.01+0.94*Tab.o1[[#This Row],[W1_PDF]]/MAX(Tab.o1[W1_PDF]),"")</f>
        <v/>
      </c>
      <c r="AA263" s="118" t="str">
        <f>IF(Tab.o1[[#This Row],[a1]]=1,ABS([1]!T.in.A[[#This Row],[oo6]]),"")</f>
        <v/>
      </c>
      <c r="AB263" s="127" t="str">
        <f>IF(Tab.o1[[#This Row],[a1]]=1,IF(AE$3=0,"",IF(AB$3=0,ABS([1]!T.in.A[[#This Row],[oo9]]),ABS(Tab.o1[[#This Row],[DIF_Target.]]*Tab.o1[[#This Row],[W1_PDF]]))),"")</f>
        <v/>
      </c>
      <c r="AC263" s="127" t="str">
        <f>IF(G$1=1,"",IF(Tab.o1[[#This Row],[a1]]=1,Tab.o1[[#This Row],[Wr]]^2,""))</f>
        <v/>
      </c>
      <c r="AD263" s="118" t="str">
        <f>IF(Tab.o1[[#This Row],[a1]]=1,IF(AE$3=0,"",Tab.o1[[#This Row],[Wr2]]/SUM(Tab.o1[Wr2])),"")</f>
        <v/>
      </c>
      <c r="AE263" s="128" t="str">
        <f>IF(Tab.o1[[#This Row],[a1]]=1,[1]!T.in.A[[#This Row],[oo10]],"")</f>
        <v/>
      </c>
      <c r="AF263" s="118" t="str">
        <f>IF(Tab.o1[[#This Row],[a1]]=1,ABS(Tab.o1[[#This Row],[DIF_Target.]]*Tab.o1[[#This Row],[PDF2]]*Tab.o1[[#This Row],[IN]]),"")</f>
        <v/>
      </c>
      <c r="AG263" s="129" t="str">
        <f>IF(Tab.o1[[#This Row],[a1]]=1,Tab.o1[[#This Row],[rW]]^2,"")</f>
        <v/>
      </c>
      <c r="AH263" s="130" t="str">
        <f>IF(Tab.o1[[#This Row],[a1]]=1,IF(AH$3=0,Tab.o1[[#This Row],[rW2]],0.01+0.94*Tab.o1[[#This Row],[rW2]]/SUM(Tab.o1[rW2])),"")</f>
        <v/>
      </c>
      <c r="AI263" s="128" t="str">
        <f>IF(Tab.o1[[#This Row],[a1]]=1,1/Tab.o1[[#This Row],[PDF]],"")</f>
        <v/>
      </c>
      <c r="AJ263" s="131" t="str">
        <f>IF(Tab.o1[[#This Row],[a1]]=1,[1]!T_AA[[#This Row],[IN'']]*[1]!T_AA[[#This Row],[Qde'']],"")</f>
        <v/>
      </c>
      <c r="AK263" s="132" t="str">
        <f>IF(Tab.o1[[#This Row],[a1]]=1,IF(AK$1=1,Tab.o1[[#This Row],[MED]]+Tab.o1[[#This Row],[MOD]]-Tab.o1[[#This Row],[MED]],""),"")</f>
        <v/>
      </c>
      <c r="AL263" s="133" t="str">
        <f>IF(Tab.o1[[#This Row],[a1]]=1,[1]!T.in.A[[#This Row],[oo16]],"")</f>
        <v/>
      </c>
      <c r="AM263" s="133" t="str">
        <f>IF(Tab.o1[[#This Row],[a1]]=1,IF(AM$3=1,[1]!T.in.A[[#This Row],[Σo16]],""),"")</f>
        <v/>
      </c>
      <c r="AN263" s="126" t="str">
        <f>IF(Tab.o1[[#This Row],[a1]]=1,[1]!T.in.A[[#This Row],[Σp5]],"")</f>
        <v/>
      </c>
      <c r="AO263" s="126" t="str">
        <f>IF(Tab.o1[[#This Row],[a1]]=1,IF(AO$3=1,[1]!T.in.A[[#This Row],[Σp5]],""),"")</f>
        <v/>
      </c>
      <c r="AP263" s="110" t="str">
        <f>IF(Tab.o1[[#This Row],[a1]]=1,IF(ISNUMBER(Tab.o1[[#This Row],[i.]]),NORMDIST(Tab.o1[[#This Row],[Za]],0,1,FALSE)*Tab.o1[[#This Row],[i.]],0),"")</f>
        <v/>
      </c>
      <c r="AQ263" s="125" t="str">
        <f>IF(Tab.o1[[#This Row],[a1]]=1,ABS(Tab.o1[[#This Row],[MOD]]-AVERAGE(Tab.o1[MOD])),"")</f>
        <v/>
      </c>
      <c r="AR263" s="134" t="str">
        <f>IF(Tab.o1[[#This Row],[a1]]=1,Tab.o1[[#This Row],[OBS]]/SUM(Tab.o1[OBS]),"")</f>
        <v/>
      </c>
      <c r="AS263" s="135" t="str">
        <f>IF(ISNUMBER(Tab.o1[[#This Row],[a1]]),ROW()-4,"")</f>
        <v/>
      </c>
      <c r="AT263" s="136" t="str">
        <f>Tab.o1[[#This Row],[MOD]]</f>
        <v/>
      </c>
      <c r="AU263" s="137" t="str">
        <f t="shared" si="17"/>
        <v/>
      </c>
      <c r="AV263" s="138" t="str">
        <f t="shared" si="18"/>
        <v/>
      </c>
      <c r="AW263" s="138" t="str">
        <f t="shared" si="19"/>
        <v/>
      </c>
      <c r="AX263" s="139" t="str">
        <f>[1]!T.in.A[[#This Row],[ID_T_manu]]</f>
        <v/>
      </c>
      <c r="AY263" s="140" t="str">
        <f>IF(ISNUMBER(Tab.o1[[#This Row],[a1]]),IF(AND(Tab.o1[[#This Row],[a1]]=1,Tab.o1[[#This Row],[b1]]&lt;=AY$4),#REF!,AY262),"")</f>
        <v/>
      </c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</row>
    <row r="264" spans="1:79" ht="15.75" hidden="1">
      <c r="A264" s="109">
        <v>-8.0000000000000013E-6</v>
      </c>
      <c r="B264" s="110">
        <f t="shared" si="16"/>
        <v>264</v>
      </c>
      <c r="C264" s="111" t="str">
        <f>IF(C$1=[1]!T.in.A[[#This Row],[oo2]],1,"")</f>
        <v/>
      </c>
      <c r="D264" s="112" t="str">
        <f>IF(Tab.o1[[#This Row],[a1]]=1,IF(SUM(C264:C265)=0,0,IF(SUM(C263:C264)=1,1,IF(SUM(C263:C265)&gt;1,D263+1,0))),"")</f>
        <v/>
      </c>
      <c r="E264" s="113" t="str">
        <f>IF(Tab.o1[[#This Row],[a1]]=1,[1]!T.in.A[[#This Row],[oo1]],"")</f>
        <v/>
      </c>
      <c r="F264" s="113" t="str">
        <f>IF(Tab.o1[[#This Row],[a1]]=1,[1]!T.in.A[[#This Row],[pp1]],"")</f>
        <v/>
      </c>
      <c r="G264" s="114" t="str">
        <f>IF(Tab.o1[[#This Row],[a1]]=1,G$2+IF(G$1=1,0,Tab.o1[[#This Row],[.x1]])+[1]!T.in.A[[#This Row],[oo3]],"")</f>
        <v/>
      </c>
      <c r="H264" s="115" t="str">
        <f>IF(Tab.o1[[#This Row],[a1]]=1,IF(H$2=0,0,IF(G$1=1,0,Tab.o1[[#This Row],[.x1]])+[1]!T.in.A[[#This Row],[oo4]]),"")</f>
        <v/>
      </c>
      <c r="I264" s="116" t="str">
        <f>IF(Tab.o1[[#This Row],[a1]]=1,IF(J$2=0,Tab.o1[[#This Row],[MED]],Tab.o1[[#This Row],[MOD]]),"")</f>
        <v/>
      </c>
      <c r="J264" s="116" t="str">
        <f>IF(Tab.o1[[#This Row],[a1]]=1,((Tab.o1[[#This Row],[DIF_Target.]]-AVERAGE(Tab.o1[DIF_Target.]))/_xlfn.STDEV.P(Tab.o1[DIF_Target.])),"")</f>
        <v/>
      </c>
      <c r="K264" s="117" t="str">
        <f>IF(Tab.o1[[#This Row],[a1]]=1,IF(J$2=0,Tab.o1[[#This Row],[MOD]]-Tab.o1[[#This Row],[B]],IF(J$2=1,0,-Tab.o1[[#This Row],[MED]])+Tab.o1[[#This Row],[B]]),"")</f>
        <v/>
      </c>
      <c r="L264" s="117" t="str">
        <f ca="1">IF(Tab.o1[[#This Row],[DIF_Target]]=0,IF(L$2=0,Tab.o1[[#This Row],[DIF_Target]],AVERAGE(OFFSET(Tab.o1[[#This Row],[DIF_Target]],1,0,L$3,1)))/3,Tab.o1[[#This Row],[DIF_Target]])</f>
        <v/>
      </c>
      <c r="M264" s="118" t="str">
        <f>IF(Tab.o1[[#This Row],[a1]]=1,NORMSDIST(Tab.o1[[#This Row],[Za]]),"")</f>
        <v/>
      </c>
      <c r="N264" s="119" t="str">
        <f>IF(Tab.o1[[#This Row],[a1]]=1,((Tab.o1[[#This Row],[MedMod]]-AVERAGE(Tab.o1[MedMod]))/_xlfn.STDEV.P(Tab.o1[MedMod])*H$1205)+G$1205,"")</f>
        <v/>
      </c>
      <c r="O264" s="141" t="str">
        <f>IF(Tab.o1[[#This Row],[a1]]=1,Tab.o1[[#This Row],[Zb]]*_xlfn.STDEV.P(Tab.o1[MedMod])+AVERAGE(Tab.o1[MedMod]),"")</f>
        <v/>
      </c>
      <c r="P264" s="117" t="str">
        <f ca="1">IF(Tab.o1[[#This Row],[B]]=0,AVERAGE(OFFSET(Tab.o1[[#This Row],[B]],1,0,L$3,1)),Tab.o1[[#This Row],[B]])</f>
        <v/>
      </c>
      <c r="Q264" s="121" t="str">
        <f>IF(Tab.o1[[#This Row],[a1]]=1,NORMSDIST(Tab.o1[[#This Row],[Zb]]),"")</f>
        <v/>
      </c>
      <c r="R264" s="122" t="str">
        <f>IF(Tab.o1[[#This Row],[a1]]=1,((Tab.o1[[#This Row],[MedMod]]-AVERAGE(Tab.o1[MedMod]))/_xlfn.STDEV.P(Tab.o1[MedMod])*H$1203)+G$1203,"")</f>
        <v/>
      </c>
      <c r="S264" s="122" t="str">
        <f>IF(Tab.o1[[#This Row],[a1]]=1,((Tab.o1[[#This Row],[MedMod]]-AVERAGE(Tab.o1[MedMod]))/_xlfn.STDEV.P(Tab.o1[MedMod])*H$1204)+G$1204,"")</f>
        <v/>
      </c>
      <c r="T264" s="123" t="str">
        <f>IF(Tab.o1[[#This Row],[a1]]=1,Tab.o1[[#This Row],[Z-]]*_xlfn.STDEV.P(Tab.o1[B])+AVERAGE(Tab.o1[B]),"")</f>
        <v/>
      </c>
      <c r="U264" s="123" t="str">
        <f>IF(Tab.o1[[#This Row],[a1]]=1,Tab.o1[[#This Row],[z+]]*_xlfn.STDEV.P(Tab.o1[B])+AVERAGE(Tab.o1[B]),"")</f>
        <v/>
      </c>
      <c r="V264" s="124" t="str">
        <f>IF(Tab.o1[[#This Row],[a1]]=1,ABS((ABS(Tab.o1[[#This Row],[Red]]-Tab.o1[[#This Row],[Blue]]))),"")</f>
        <v/>
      </c>
      <c r="W264" s="125" t="str">
        <f>IF(Tab.o1[[#This Row],[a1]]=1,IF(W$3=0,1,Tab.o1[[#This Row],[Amp.]]*1/_xlfn.MINIFS(Tab.o1[Amp.],Tab.o1[Amp.],"&lt;&gt;0")),"")</f>
        <v/>
      </c>
      <c r="X264" s="126" t="str">
        <f>IF(Tab.o1[[#This Row],[a1]]=1,IF(ISNUMBER(Tab.o1[[#This Row],[i.]]),NORMDIST(Tab.o1[[#This Row],[Za]],0,1,FALSE)*Tab.o1[[#This Row],[i.]],AP$3),"")</f>
        <v/>
      </c>
      <c r="Y264" s="126" t="str">
        <f>IF(Tab.o1[[#This Row],[a1]]=1,0.01+0.94*Tab.o1[[#This Row],[PDF]]/MAX(Tab.o1[PDF]),"")</f>
        <v/>
      </c>
      <c r="Z264" s="126" t="str">
        <f>IF(Tab.o1[[#This Row],[a1]]=1,0.01+0.94*Tab.o1[[#This Row],[W1_PDF]]/MAX(Tab.o1[W1_PDF]),"")</f>
        <v/>
      </c>
      <c r="AA264" s="118" t="str">
        <f>IF(Tab.o1[[#This Row],[a1]]=1,ABS([1]!T.in.A[[#This Row],[oo6]]),"")</f>
        <v/>
      </c>
      <c r="AB264" s="127" t="str">
        <f>IF(Tab.o1[[#This Row],[a1]]=1,IF(AE$3=0,"",IF(AB$3=0,ABS([1]!T.in.A[[#This Row],[oo9]]),ABS(Tab.o1[[#This Row],[DIF_Target.]]*Tab.o1[[#This Row],[W1_PDF]]))),"")</f>
        <v/>
      </c>
      <c r="AC264" s="127" t="str">
        <f>IF(G$1=1,"",IF(Tab.o1[[#This Row],[a1]]=1,Tab.o1[[#This Row],[Wr]]^2,""))</f>
        <v/>
      </c>
      <c r="AD264" s="118" t="str">
        <f>IF(Tab.o1[[#This Row],[a1]]=1,IF(AE$3=0,"",Tab.o1[[#This Row],[Wr2]]/SUM(Tab.o1[Wr2])),"")</f>
        <v/>
      </c>
      <c r="AE264" s="128" t="str">
        <f>IF(Tab.o1[[#This Row],[a1]]=1,[1]!T.in.A[[#This Row],[oo10]],"")</f>
        <v/>
      </c>
      <c r="AF264" s="118" t="str">
        <f>IF(Tab.o1[[#This Row],[a1]]=1,ABS(Tab.o1[[#This Row],[DIF_Target.]]*Tab.o1[[#This Row],[PDF2]]*Tab.o1[[#This Row],[IN]]),"")</f>
        <v/>
      </c>
      <c r="AG264" s="129" t="str">
        <f>IF(Tab.o1[[#This Row],[a1]]=1,Tab.o1[[#This Row],[rW]]^2,"")</f>
        <v/>
      </c>
      <c r="AH264" s="130" t="str">
        <f>IF(Tab.o1[[#This Row],[a1]]=1,IF(AH$3=0,Tab.o1[[#This Row],[rW2]],0.01+0.94*Tab.o1[[#This Row],[rW2]]/SUM(Tab.o1[rW2])),"")</f>
        <v/>
      </c>
      <c r="AI264" s="128" t="str">
        <f>IF(Tab.o1[[#This Row],[a1]]=1,1/Tab.o1[[#This Row],[PDF]],"")</f>
        <v/>
      </c>
      <c r="AJ264" s="131" t="str">
        <f>IF(Tab.o1[[#This Row],[a1]]=1,[1]!T_AA[[#This Row],[IN'']]*[1]!T_AA[[#This Row],[Qde'']],"")</f>
        <v/>
      </c>
      <c r="AK264" s="132" t="str">
        <f>IF(Tab.o1[[#This Row],[a1]]=1,IF(AK$1=1,Tab.o1[[#This Row],[MED]]+Tab.o1[[#This Row],[MOD]]-Tab.o1[[#This Row],[MED]],""),"")</f>
        <v/>
      </c>
      <c r="AL264" s="133" t="str">
        <f>IF(Tab.o1[[#This Row],[a1]]=1,[1]!T.in.A[[#This Row],[oo16]],"")</f>
        <v/>
      </c>
      <c r="AM264" s="133" t="str">
        <f>IF(Tab.o1[[#This Row],[a1]]=1,IF(AM$3=1,[1]!T.in.A[[#This Row],[Σo16]],""),"")</f>
        <v/>
      </c>
      <c r="AN264" s="126" t="str">
        <f>IF(Tab.o1[[#This Row],[a1]]=1,[1]!T.in.A[[#This Row],[Σp5]],"")</f>
        <v/>
      </c>
      <c r="AO264" s="126" t="str">
        <f>IF(Tab.o1[[#This Row],[a1]]=1,IF(AO$3=1,[1]!T.in.A[[#This Row],[Σp5]],""),"")</f>
        <v/>
      </c>
      <c r="AP264" s="110" t="str">
        <f>IF(Tab.o1[[#This Row],[a1]]=1,IF(ISNUMBER(Tab.o1[[#This Row],[i.]]),NORMDIST(Tab.o1[[#This Row],[Za]],0,1,FALSE)*Tab.o1[[#This Row],[i.]],0),"")</f>
        <v/>
      </c>
      <c r="AQ264" s="125" t="str">
        <f>IF(Tab.o1[[#This Row],[a1]]=1,ABS(Tab.o1[[#This Row],[MOD]]-AVERAGE(Tab.o1[MOD])),"")</f>
        <v/>
      </c>
      <c r="AR264" s="134" t="str">
        <f>IF(Tab.o1[[#This Row],[a1]]=1,Tab.o1[[#This Row],[OBS]]/SUM(Tab.o1[OBS]),"")</f>
        <v/>
      </c>
      <c r="AS264" s="135" t="str">
        <f>IF(ISNUMBER(Tab.o1[[#This Row],[a1]]),ROW()-4,"")</f>
        <v/>
      </c>
      <c r="AT264" s="136" t="str">
        <f>Tab.o1[[#This Row],[MOD]]</f>
        <v/>
      </c>
      <c r="AU264" s="137" t="str">
        <f t="shared" si="17"/>
        <v/>
      </c>
      <c r="AV264" s="138" t="str">
        <f t="shared" si="18"/>
        <v/>
      </c>
      <c r="AW264" s="138" t="str">
        <f t="shared" si="19"/>
        <v/>
      </c>
      <c r="AX264" s="139" t="str">
        <f>[1]!T.in.A[[#This Row],[ID_T_manu]]</f>
        <v/>
      </c>
      <c r="AY264" s="140" t="str">
        <f>IF(ISNUMBER(Tab.o1[[#This Row],[a1]]),IF(AND(Tab.o1[[#This Row],[a1]]=1,Tab.o1[[#This Row],[b1]]&lt;=AY$4),#REF!,AY263),"")</f>
        <v/>
      </c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</row>
    <row r="265" spans="1:79" ht="15.75" hidden="1">
      <c r="A265" s="109">
        <v>-1.0000000000000001E-5</v>
      </c>
      <c r="B265" s="110">
        <f t="shared" si="16"/>
        <v>265</v>
      </c>
      <c r="C265" s="111" t="str">
        <f>IF(C$1=[1]!T.in.A[[#This Row],[oo2]],1,"")</f>
        <v/>
      </c>
      <c r="D265" s="112" t="str">
        <f>IF(Tab.o1[[#This Row],[a1]]=1,IF(SUM(C265:C266)=0,0,IF(SUM(C264:C265)=1,1,IF(SUM(C264:C266)&gt;1,D264+1,0))),"")</f>
        <v/>
      </c>
      <c r="E265" s="113" t="str">
        <f>IF(Tab.o1[[#This Row],[a1]]=1,[1]!T.in.A[[#This Row],[oo1]],"")</f>
        <v/>
      </c>
      <c r="F265" s="113" t="str">
        <f>IF(Tab.o1[[#This Row],[a1]]=1,[1]!T.in.A[[#This Row],[pp1]],"")</f>
        <v/>
      </c>
      <c r="G265" s="114" t="str">
        <f>IF(Tab.o1[[#This Row],[a1]]=1,G$2+IF(G$1=1,0,Tab.o1[[#This Row],[.x1]])+[1]!T.in.A[[#This Row],[oo3]],"")</f>
        <v/>
      </c>
      <c r="H265" s="115" t="str">
        <f>IF(Tab.o1[[#This Row],[a1]]=1,IF(H$2=0,0,IF(G$1=1,0,Tab.o1[[#This Row],[.x1]])+[1]!T.in.A[[#This Row],[oo4]]),"")</f>
        <v/>
      </c>
      <c r="I265" s="116" t="str">
        <f>IF(Tab.o1[[#This Row],[a1]]=1,IF(J$2=0,Tab.o1[[#This Row],[MED]],Tab.o1[[#This Row],[MOD]]),"")</f>
        <v/>
      </c>
      <c r="J265" s="116" t="str">
        <f>IF(Tab.o1[[#This Row],[a1]]=1,((Tab.o1[[#This Row],[DIF_Target.]]-AVERAGE(Tab.o1[DIF_Target.]))/_xlfn.STDEV.P(Tab.o1[DIF_Target.])),"")</f>
        <v/>
      </c>
      <c r="K265" s="117" t="str">
        <f>IF(Tab.o1[[#This Row],[a1]]=1,IF(J$2=0,Tab.o1[[#This Row],[MOD]]-Tab.o1[[#This Row],[B]],IF(J$2=1,0,-Tab.o1[[#This Row],[MED]])+Tab.o1[[#This Row],[B]]),"")</f>
        <v/>
      </c>
      <c r="L265" s="117" t="str">
        <f ca="1">IF(Tab.o1[[#This Row],[DIF_Target]]=0,IF(L$2=0,Tab.o1[[#This Row],[DIF_Target]],AVERAGE(OFFSET(Tab.o1[[#This Row],[DIF_Target]],1,0,L$3,1)))/3,Tab.o1[[#This Row],[DIF_Target]])</f>
        <v/>
      </c>
      <c r="M265" s="118" t="str">
        <f>IF(Tab.o1[[#This Row],[a1]]=1,NORMSDIST(Tab.o1[[#This Row],[Za]]),"")</f>
        <v/>
      </c>
      <c r="N265" s="119" t="str">
        <f>IF(Tab.o1[[#This Row],[a1]]=1,((Tab.o1[[#This Row],[MedMod]]-AVERAGE(Tab.o1[MedMod]))/_xlfn.STDEV.P(Tab.o1[MedMod])*H$1205)+G$1205,"")</f>
        <v/>
      </c>
      <c r="O265" s="141" t="str">
        <f>IF(Tab.o1[[#This Row],[a1]]=1,Tab.o1[[#This Row],[Zb]]*_xlfn.STDEV.P(Tab.o1[MedMod])+AVERAGE(Tab.o1[MedMod]),"")</f>
        <v/>
      </c>
      <c r="P265" s="117" t="str">
        <f ca="1">IF(Tab.o1[[#This Row],[B]]=0,AVERAGE(OFFSET(Tab.o1[[#This Row],[B]],1,0,L$3,1)),Tab.o1[[#This Row],[B]])</f>
        <v/>
      </c>
      <c r="Q265" s="121" t="str">
        <f>IF(Tab.o1[[#This Row],[a1]]=1,NORMSDIST(Tab.o1[[#This Row],[Zb]]),"")</f>
        <v/>
      </c>
      <c r="R265" s="122" t="str">
        <f>IF(Tab.o1[[#This Row],[a1]]=1,((Tab.o1[[#This Row],[MedMod]]-AVERAGE(Tab.o1[MedMod]))/_xlfn.STDEV.P(Tab.o1[MedMod])*H$1203)+G$1203,"")</f>
        <v/>
      </c>
      <c r="S265" s="122" t="str">
        <f>IF(Tab.o1[[#This Row],[a1]]=1,((Tab.o1[[#This Row],[MedMod]]-AVERAGE(Tab.o1[MedMod]))/_xlfn.STDEV.P(Tab.o1[MedMod])*H$1204)+G$1204,"")</f>
        <v/>
      </c>
      <c r="T265" s="123" t="str">
        <f>IF(Tab.o1[[#This Row],[a1]]=1,Tab.o1[[#This Row],[Z-]]*_xlfn.STDEV.P(Tab.o1[B])+AVERAGE(Tab.o1[B]),"")</f>
        <v/>
      </c>
      <c r="U265" s="123" t="str">
        <f>IF(Tab.o1[[#This Row],[a1]]=1,Tab.o1[[#This Row],[z+]]*_xlfn.STDEV.P(Tab.o1[B])+AVERAGE(Tab.o1[B]),"")</f>
        <v/>
      </c>
      <c r="V265" s="124" t="str">
        <f>IF(Tab.o1[[#This Row],[a1]]=1,ABS((ABS(Tab.o1[[#This Row],[Red]]-Tab.o1[[#This Row],[Blue]]))),"")</f>
        <v/>
      </c>
      <c r="W265" s="125" t="str">
        <f>IF(Tab.o1[[#This Row],[a1]]=1,IF(W$3=0,1,Tab.o1[[#This Row],[Amp.]]*1/_xlfn.MINIFS(Tab.o1[Amp.],Tab.o1[Amp.],"&lt;&gt;0")),"")</f>
        <v/>
      </c>
      <c r="X265" s="126" t="str">
        <f>IF(Tab.o1[[#This Row],[a1]]=1,IF(ISNUMBER(Tab.o1[[#This Row],[i.]]),NORMDIST(Tab.o1[[#This Row],[Za]],0,1,FALSE)*Tab.o1[[#This Row],[i.]],AP$3),"")</f>
        <v/>
      </c>
      <c r="Y265" s="126" t="str">
        <f>IF(Tab.o1[[#This Row],[a1]]=1,0.01+0.94*Tab.o1[[#This Row],[PDF]]/MAX(Tab.o1[PDF]),"")</f>
        <v/>
      </c>
      <c r="Z265" s="126" t="str">
        <f>IF(Tab.o1[[#This Row],[a1]]=1,0.01+0.94*Tab.o1[[#This Row],[W1_PDF]]/MAX(Tab.o1[W1_PDF]),"")</f>
        <v/>
      </c>
      <c r="AA265" s="118" t="str">
        <f>IF(Tab.o1[[#This Row],[a1]]=1,ABS([1]!T.in.A[[#This Row],[oo6]]),"")</f>
        <v/>
      </c>
      <c r="AB265" s="127" t="str">
        <f>IF(Tab.o1[[#This Row],[a1]]=1,IF(AE$3=0,"",IF(AB$3=0,ABS([1]!T.in.A[[#This Row],[oo9]]),ABS(Tab.o1[[#This Row],[DIF_Target.]]*Tab.o1[[#This Row],[W1_PDF]]))),"")</f>
        <v/>
      </c>
      <c r="AC265" s="127" t="str">
        <f>IF(G$1=1,"",IF(Tab.o1[[#This Row],[a1]]=1,Tab.o1[[#This Row],[Wr]]^2,""))</f>
        <v/>
      </c>
      <c r="AD265" s="118" t="str">
        <f>IF(Tab.o1[[#This Row],[a1]]=1,IF(AE$3=0,"",Tab.o1[[#This Row],[Wr2]]/SUM(Tab.o1[Wr2])),"")</f>
        <v/>
      </c>
      <c r="AE265" s="128" t="str">
        <f>IF(Tab.o1[[#This Row],[a1]]=1,[1]!T.in.A[[#This Row],[oo10]],"")</f>
        <v/>
      </c>
      <c r="AF265" s="118" t="str">
        <f>IF(Tab.o1[[#This Row],[a1]]=1,ABS(Tab.o1[[#This Row],[DIF_Target.]]*Tab.o1[[#This Row],[PDF2]]*Tab.o1[[#This Row],[IN]]),"")</f>
        <v/>
      </c>
      <c r="AG265" s="129" t="str">
        <f>IF(Tab.o1[[#This Row],[a1]]=1,Tab.o1[[#This Row],[rW]]^2,"")</f>
        <v/>
      </c>
      <c r="AH265" s="130" t="str">
        <f>IF(Tab.o1[[#This Row],[a1]]=1,IF(AH$3=0,Tab.o1[[#This Row],[rW2]],0.01+0.94*Tab.o1[[#This Row],[rW2]]/SUM(Tab.o1[rW2])),"")</f>
        <v/>
      </c>
      <c r="AI265" s="128" t="str">
        <f>IF(Tab.o1[[#This Row],[a1]]=1,1/Tab.o1[[#This Row],[PDF]],"")</f>
        <v/>
      </c>
      <c r="AJ265" s="131" t="str">
        <f>IF(Tab.o1[[#This Row],[a1]]=1,[1]!T_AA[[#This Row],[IN'']]*[1]!T_AA[[#This Row],[Qde'']],"")</f>
        <v/>
      </c>
      <c r="AK265" s="132" t="str">
        <f>IF(Tab.o1[[#This Row],[a1]]=1,IF(AK$1=1,Tab.o1[[#This Row],[MED]]+Tab.o1[[#This Row],[MOD]]-Tab.o1[[#This Row],[MED]],""),"")</f>
        <v/>
      </c>
      <c r="AL265" s="133" t="str">
        <f>IF(Tab.o1[[#This Row],[a1]]=1,[1]!T.in.A[[#This Row],[oo16]],"")</f>
        <v/>
      </c>
      <c r="AM265" s="133" t="str">
        <f>IF(Tab.o1[[#This Row],[a1]]=1,IF(AM$3=1,[1]!T.in.A[[#This Row],[Σo16]],""),"")</f>
        <v/>
      </c>
      <c r="AN265" s="126" t="str">
        <f>IF(Tab.o1[[#This Row],[a1]]=1,[1]!T.in.A[[#This Row],[Σp5]],"")</f>
        <v/>
      </c>
      <c r="AO265" s="126" t="str">
        <f>IF(Tab.o1[[#This Row],[a1]]=1,IF(AO$3=1,[1]!T.in.A[[#This Row],[Σp5]],""),"")</f>
        <v/>
      </c>
      <c r="AP265" s="110" t="str">
        <f>IF(Tab.o1[[#This Row],[a1]]=1,IF(ISNUMBER(Tab.o1[[#This Row],[i.]]),NORMDIST(Tab.o1[[#This Row],[Za]],0,1,FALSE)*Tab.o1[[#This Row],[i.]],0),"")</f>
        <v/>
      </c>
      <c r="AQ265" s="125" t="str">
        <f>IF(Tab.o1[[#This Row],[a1]]=1,ABS(Tab.o1[[#This Row],[MOD]]-AVERAGE(Tab.o1[MOD])),"")</f>
        <v/>
      </c>
      <c r="AR265" s="134" t="str">
        <f>IF(Tab.o1[[#This Row],[a1]]=1,Tab.o1[[#This Row],[OBS]]/SUM(Tab.o1[OBS]),"")</f>
        <v/>
      </c>
      <c r="AS265" s="135" t="str">
        <f>IF(ISNUMBER(Tab.o1[[#This Row],[a1]]),ROW()-4,"")</f>
        <v/>
      </c>
      <c r="AT265" s="136" t="str">
        <f>Tab.o1[[#This Row],[MOD]]</f>
        <v/>
      </c>
      <c r="AU265" s="137" t="str">
        <f t="shared" si="17"/>
        <v/>
      </c>
      <c r="AV265" s="138" t="str">
        <f t="shared" si="18"/>
        <v/>
      </c>
      <c r="AW265" s="138" t="str">
        <f t="shared" si="19"/>
        <v/>
      </c>
      <c r="AX265" s="139" t="str">
        <f>[1]!T.in.A[[#This Row],[ID_T_manu]]</f>
        <v/>
      </c>
      <c r="AY265" s="140" t="str">
        <f>IF(ISNUMBER(Tab.o1[[#This Row],[a1]]),IF(AND(Tab.o1[[#This Row],[a1]]=1,Tab.o1[[#This Row],[b1]]&lt;=AY$4),#REF!,AY264),"")</f>
        <v/>
      </c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</row>
    <row r="266" spans="1:79" ht="15.75" hidden="1">
      <c r="A266" s="109">
        <v>-1.0000000000000002E-6</v>
      </c>
      <c r="B266" s="110">
        <f t="shared" si="16"/>
        <v>266</v>
      </c>
      <c r="C266" s="111" t="str">
        <f>IF(C$1=[1]!T.in.A[[#This Row],[oo2]],1,"")</f>
        <v/>
      </c>
      <c r="D266" s="112" t="str">
        <f>IF(Tab.o1[[#This Row],[a1]]=1,IF(SUM(C266:C267)=0,0,IF(SUM(C265:C266)=1,1,IF(SUM(C265:C267)&gt;1,D265+1,0))),"")</f>
        <v/>
      </c>
      <c r="E266" s="113" t="str">
        <f>IF(Tab.o1[[#This Row],[a1]]=1,[1]!T.in.A[[#This Row],[oo1]],"")</f>
        <v/>
      </c>
      <c r="F266" s="113" t="str">
        <f>IF(Tab.o1[[#This Row],[a1]]=1,[1]!T.in.A[[#This Row],[pp1]],"")</f>
        <v/>
      </c>
      <c r="G266" s="114" t="str">
        <f>IF(Tab.o1[[#This Row],[a1]]=1,G$2+IF(G$1=1,0,Tab.o1[[#This Row],[.x1]])+[1]!T.in.A[[#This Row],[oo3]],"")</f>
        <v/>
      </c>
      <c r="H266" s="115" t="str">
        <f>IF(Tab.o1[[#This Row],[a1]]=1,IF(H$2=0,0,IF(G$1=1,0,Tab.o1[[#This Row],[.x1]])+[1]!T.in.A[[#This Row],[oo4]]),"")</f>
        <v/>
      </c>
      <c r="I266" s="116" t="str">
        <f>IF(Tab.o1[[#This Row],[a1]]=1,IF(J$2=0,Tab.o1[[#This Row],[MED]],Tab.o1[[#This Row],[MOD]]),"")</f>
        <v/>
      </c>
      <c r="J266" s="116" t="str">
        <f>IF(Tab.o1[[#This Row],[a1]]=1,((Tab.o1[[#This Row],[DIF_Target.]]-AVERAGE(Tab.o1[DIF_Target.]))/_xlfn.STDEV.P(Tab.o1[DIF_Target.])),"")</f>
        <v/>
      </c>
      <c r="K266" s="117" t="str">
        <f>IF(Tab.o1[[#This Row],[a1]]=1,IF(J$2=0,Tab.o1[[#This Row],[MOD]]-Tab.o1[[#This Row],[B]],IF(J$2=1,0,-Tab.o1[[#This Row],[MED]])+Tab.o1[[#This Row],[B]]),"")</f>
        <v/>
      </c>
      <c r="L266" s="117" t="str">
        <f ca="1">IF(Tab.o1[[#This Row],[DIF_Target]]=0,IF(L$2=0,Tab.o1[[#This Row],[DIF_Target]],AVERAGE(OFFSET(Tab.o1[[#This Row],[DIF_Target]],1,0,L$3,1)))/3,Tab.o1[[#This Row],[DIF_Target]])</f>
        <v/>
      </c>
      <c r="M266" s="118" t="str">
        <f>IF(Tab.o1[[#This Row],[a1]]=1,NORMSDIST(Tab.o1[[#This Row],[Za]]),"")</f>
        <v/>
      </c>
      <c r="N266" s="119" t="str">
        <f>IF(Tab.o1[[#This Row],[a1]]=1,((Tab.o1[[#This Row],[MedMod]]-AVERAGE(Tab.o1[MedMod]))/_xlfn.STDEV.P(Tab.o1[MedMod])*H$1205)+G$1205,"")</f>
        <v/>
      </c>
      <c r="O266" s="141" t="str">
        <f>IF(Tab.o1[[#This Row],[a1]]=1,Tab.o1[[#This Row],[Zb]]*_xlfn.STDEV.P(Tab.o1[MedMod])+AVERAGE(Tab.o1[MedMod]),"")</f>
        <v/>
      </c>
      <c r="P266" s="117" t="str">
        <f ca="1">IF(Tab.o1[[#This Row],[B]]=0,AVERAGE(OFFSET(Tab.o1[[#This Row],[B]],1,0,L$3,1)),Tab.o1[[#This Row],[B]])</f>
        <v/>
      </c>
      <c r="Q266" s="121" t="str">
        <f>IF(Tab.o1[[#This Row],[a1]]=1,NORMSDIST(Tab.o1[[#This Row],[Zb]]),"")</f>
        <v/>
      </c>
      <c r="R266" s="122" t="str">
        <f>IF(Tab.o1[[#This Row],[a1]]=1,((Tab.o1[[#This Row],[MedMod]]-AVERAGE(Tab.o1[MedMod]))/_xlfn.STDEV.P(Tab.o1[MedMod])*H$1203)+G$1203,"")</f>
        <v/>
      </c>
      <c r="S266" s="122" t="str">
        <f>IF(Tab.o1[[#This Row],[a1]]=1,((Tab.o1[[#This Row],[MedMod]]-AVERAGE(Tab.o1[MedMod]))/_xlfn.STDEV.P(Tab.o1[MedMod])*H$1204)+G$1204,"")</f>
        <v/>
      </c>
      <c r="T266" s="123" t="str">
        <f>IF(Tab.o1[[#This Row],[a1]]=1,Tab.o1[[#This Row],[Z-]]*_xlfn.STDEV.P(Tab.o1[B])+AVERAGE(Tab.o1[B]),"")</f>
        <v/>
      </c>
      <c r="U266" s="123" t="str">
        <f>IF(Tab.o1[[#This Row],[a1]]=1,Tab.o1[[#This Row],[z+]]*_xlfn.STDEV.P(Tab.o1[B])+AVERAGE(Tab.o1[B]),"")</f>
        <v/>
      </c>
      <c r="V266" s="124" t="str">
        <f>IF(Tab.o1[[#This Row],[a1]]=1,ABS((ABS(Tab.o1[[#This Row],[Red]]-Tab.o1[[#This Row],[Blue]]))),"")</f>
        <v/>
      </c>
      <c r="W266" s="125" t="str">
        <f>IF(Tab.o1[[#This Row],[a1]]=1,IF(W$3=0,1,Tab.o1[[#This Row],[Amp.]]*1/_xlfn.MINIFS(Tab.o1[Amp.],Tab.o1[Amp.],"&lt;&gt;0")),"")</f>
        <v/>
      </c>
      <c r="X266" s="126" t="str">
        <f>IF(Tab.o1[[#This Row],[a1]]=1,IF(ISNUMBER(Tab.o1[[#This Row],[i.]]),NORMDIST(Tab.o1[[#This Row],[Za]],0,1,FALSE)*Tab.o1[[#This Row],[i.]],AP$3),"")</f>
        <v/>
      </c>
      <c r="Y266" s="126" t="str">
        <f>IF(Tab.o1[[#This Row],[a1]]=1,0.01+0.94*Tab.o1[[#This Row],[PDF]]/MAX(Tab.o1[PDF]),"")</f>
        <v/>
      </c>
      <c r="Z266" s="126" t="str">
        <f>IF(Tab.o1[[#This Row],[a1]]=1,0.01+0.94*Tab.o1[[#This Row],[W1_PDF]]/MAX(Tab.o1[W1_PDF]),"")</f>
        <v/>
      </c>
      <c r="AA266" s="118" t="str">
        <f>IF(Tab.o1[[#This Row],[a1]]=1,ABS([1]!T.in.A[[#This Row],[oo6]]),"")</f>
        <v/>
      </c>
      <c r="AB266" s="127" t="str">
        <f>IF(Tab.o1[[#This Row],[a1]]=1,IF(AE$3=0,"",IF(AB$3=0,ABS([1]!T.in.A[[#This Row],[oo9]]),ABS(Tab.o1[[#This Row],[DIF_Target.]]*Tab.o1[[#This Row],[W1_PDF]]))),"")</f>
        <v/>
      </c>
      <c r="AC266" s="127" t="str">
        <f>IF(G$1=1,"",IF(Tab.o1[[#This Row],[a1]]=1,Tab.o1[[#This Row],[Wr]]^2,""))</f>
        <v/>
      </c>
      <c r="AD266" s="118" t="str">
        <f>IF(Tab.o1[[#This Row],[a1]]=1,IF(AE$3=0,"",Tab.o1[[#This Row],[Wr2]]/SUM(Tab.o1[Wr2])),"")</f>
        <v/>
      </c>
      <c r="AE266" s="128" t="str">
        <f>IF(Tab.o1[[#This Row],[a1]]=1,[1]!T.in.A[[#This Row],[oo10]],"")</f>
        <v/>
      </c>
      <c r="AF266" s="118" t="str">
        <f>IF(Tab.o1[[#This Row],[a1]]=1,ABS(Tab.o1[[#This Row],[DIF_Target.]]*Tab.o1[[#This Row],[PDF2]]*Tab.o1[[#This Row],[IN]]),"")</f>
        <v/>
      </c>
      <c r="AG266" s="129" t="str">
        <f>IF(Tab.o1[[#This Row],[a1]]=1,Tab.o1[[#This Row],[rW]]^2,"")</f>
        <v/>
      </c>
      <c r="AH266" s="130" t="str">
        <f>IF(Tab.o1[[#This Row],[a1]]=1,IF(AH$3=0,Tab.o1[[#This Row],[rW2]],0.01+0.94*Tab.o1[[#This Row],[rW2]]/SUM(Tab.o1[rW2])),"")</f>
        <v/>
      </c>
      <c r="AI266" s="128" t="str">
        <f>IF(Tab.o1[[#This Row],[a1]]=1,1/Tab.o1[[#This Row],[PDF]],"")</f>
        <v/>
      </c>
      <c r="AJ266" s="131" t="str">
        <f>IF(Tab.o1[[#This Row],[a1]]=1,[1]!T_AA[[#This Row],[IN'']]*[1]!T_AA[[#This Row],[Qde'']],"")</f>
        <v/>
      </c>
      <c r="AK266" s="132" t="str">
        <f>IF(Tab.o1[[#This Row],[a1]]=1,IF(AK$1=1,Tab.o1[[#This Row],[MED]]+Tab.o1[[#This Row],[MOD]]-Tab.o1[[#This Row],[MED]],""),"")</f>
        <v/>
      </c>
      <c r="AL266" s="133" t="str">
        <f>IF(Tab.o1[[#This Row],[a1]]=1,[1]!T.in.A[[#This Row],[oo16]],"")</f>
        <v/>
      </c>
      <c r="AM266" s="133" t="str">
        <f>IF(Tab.o1[[#This Row],[a1]]=1,IF(AM$3=1,[1]!T.in.A[[#This Row],[Σo16]],""),"")</f>
        <v/>
      </c>
      <c r="AN266" s="126" t="str">
        <f>IF(Tab.o1[[#This Row],[a1]]=1,[1]!T.in.A[[#This Row],[Σp5]],"")</f>
        <v/>
      </c>
      <c r="AO266" s="126" t="str">
        <f>IF(Tab.o1[[#This Row],[a1]]=1,IF(AO$3=1,[1]!T.in.A[[#This Row],[Σp5]],""),"")</f>
        <v/>
      </c>
      <c r="AP266" s="110" t="str">
        <f>IF(Tab.o1[[#This Row],[a1]]=1,IF(ISNUMBER(Tab.o1[[#This Row],[i.]]),NORMDIST(Tab.o1[[#This Row],[Za]],0,1,FALSE)*Tab.o1[[#This Row],[i.]],0),"")</f>
        <v/>
      </c>
      <c r="AQ266" s="125" t="str">
        <f>IF(Tab.o1[[#This Row],[a1]]=1,ABS(Tab.o1[[#This Row],[MOD]]-AVERAGE(Tab.o1[MOD])),"")</f>
        <v/>
      </c>
      <c r="AR266" s="134" t="str">
        <f>IF(Tab.o1[[#This Row],[a1]]=1,Tab.o1[[#This Row],[OBS]]/SUM(Tab.o1[OBS]),"")</f>
        <v/>
      </c>
      <c r="AS266" s="135" t="str">
        <f>IF(ISNUMBER(Tab.o1[[#This Row],[a1]]),ROW()-4,"")</f>
        <v/>
      </c>
      <c r="AT266" s="136" t="str">
        <f>Tab.o1[[#This Row],[MOD]]</f>
        <v/>
      </c>
      <c r="AU266" s="137" t="str">
        <f t="shared" si="17"/>
        <v/>
      </c>
      <c r="AV266" s="138" t="str">
        <f t="shared" si="18"/>
        <v/>
      </c>
      <c r="AW266" s="138" t="str">
        <f t="shared" si="19"/>
        <v/>
      </c>
      <c r="AX266" s="139" t="str">
        <f>[1]!T.in.A[[#This Row],[ID_T_manu]]</f>
        <v/>
      </c>
      <c r="AY266" s="140" t="str">
        <f>IF(ISNUMBER(Tab.o1[[#This Row],[a1]]),IF(AND(Tab.o1[[#This Row],[a1]]=1,Tab.o1[[#This Row],[b1]]&lt;=AY$4),#REF!,AY265),"")</f>
        <v/>
      </c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</row>
    <row r="267" spans="1:79" ht="15.75" hidden="1">
      <c r="A267" s="109">
        <v>-6.9999999999999999E-6</v>
      </c>
      <c r="B267" s="110">
        <f t="shared" si="16"/>
        <v>267</v>
      </c>
      <c r="C267" s="111" t="str">
        <f>IF(C$1=[1]!T.in.A[[#This Row],[oo2]],1,"")</f>
        <v/>
      </c>
      <c r="D267" s="112" t="str">
        <f>IF(Tab.o1[[#This Row],[a1]]=1,IF(SUM(C267:C268)=0,0,IF(SUM(C266:C267)=1,1,IF(SUM(C266:C268)&gt;1,D266+1,0))),"")</f>
        <v/>
      </c>
      <c r="E267" s="113" t="str">
        <f>IF(Tab.o1[[#This Row],[a1]]=1,[1]!T.in.A[[#This Row],[oo1]],"")</f>
        <v/>
      </c>
      <c r="F267" s="113" t="str">
        <f>IF(Tab.o1[[#This Row],[a1]]=1,[1]!T.in.A[[#This Row],[pp1]],"")</f>
        <v/>
      </c>
      <c r="G267" s="114" t="str">
        <f>IF(Tab.o1[[#This Row],[a1]]=1,G$2+IF(G$1=1,0,Tab.o1[[#This Row],[.x1]])+[1]!T.in.A[[#This Row],[oo3]],"")</f>
        <v/>
      </c>
      <c r="H267" s="115" t="str">
        <f>IF(Tab.o1[[#This Row],[a1]]=1,IF(H$2=0,0,IF(G$1=1,0,Tab.o1[[#This Row],[.x1]])+[1]!T.in.A[[#This Row],[oo4]]),"")</f>
        <v/>
      </c>
      <c r="I267" s="116" t="str">
        <f>IF(Tab.o1[[#This Row],[a1]]=1,IF(J$2=0,Tab.o1[[#This Row],[MED]],Tab.o1[[#This Row],[MOD]]),"")</f>
        <v/>
      </c>
      <c r="J267" s="116" t="str">
        <f>IF(Tab.o1[[#This Row],[a1]]=1,((Tab.o1[[#This Row],[DIF_Target.]]-AVERAGE(Tab.o1[DIF_Target.]))/_xlfn.STDEV.P(Tab.o1[DIF_Target.])),"")</f>
        <v/>
      </c>
      <c r="K267" s="117" t="str">
        <f>IF(Tab.o1[[#This Row],[a1]]=1,IF(J$2=0,Tab.o1[[#This Row],[MOD]]-Tab.o1[[#This Row],[B]],IF(J$2=1,0,-Tab.o1[[#This Row],[MED]])+Tab.o1[[#This Row],[B]]),"")</f>
        <v/>
      </c>
      <c r="L267" s="117" t="str">
        <f ca="1">IF(Tab.o1[[#This Row],[DIF_Target]]=0,IF(L$2=0,Tab.o1[[#This Row],[DIF_Target]],AVERAGE(OFFSET(Tab.o1[[#This Row],[DIF_Target]],1,0,L$3,1)))/3,Tab.o1[[#This Row],[DIF_Target]])</f>
        <v/>
      </c>
      <c r="M267" s="118" t="str">
        <f>IF(Tab.o1[[#This Row],[a1]]=1,NORMSDIST(Tab.o1[[#This Row],[Za]]),"")</f>
        <v/>
      </c>
      <c r="N267" s="119" t="str">
        <f>IF(Tab.o1[[#This Row],[a1]]=1,((Tab.o1[[#This Row],[MedMod]]-AVERAGE(Tab.o1[MedMod]))/_xlfn.STDEV.P(Tab.o1[MedMod])*H$1205)+G$1205,"")</f>
        <v/>
      </c>
      <c r="O267" s="141" t="str">
        <f>IF(Tab.o1[[#This Row],[a1]]=1,Tab.o1[[#This Row],[Zb]]*_xlfn.STDEV.P(Tab.o1[MedMod])+AVERAGE(Tab.o1[MedMod]),"")</f>
        <v/>
      </c>
      <c r="P267" s="117" t="str">
        <f ca="1">IF(Tab.o1[[#This Row],[B]]=0,AVERAGE(OFFSET(Tab.o1[[#This Row],[B]],1,0,L$3,1)),Tab.o1[[#This Row],[B]])</f>
        <v/>
      </c>
      <c r="Q267" s="121" t="str">
        <f>IF(Tab.o1[[#This Row],[a1]]=1,NORMSDIST(Tab.o1[[#This Row],[Zb]]),"")</f>
        <v/>
      </c>
      <c r="R267" s="122" t="str">
        <f>IF(Tab.o1[[#This Row],[a1]]=1,((Tab.o1[[#This Row],[MedMod]]-AVERAGE(Tab.o1[MedMod]))/_xlfn.STDEV.P(Tab.o1[MedMod])*H$1203)+G$1203,"")</f>
        <v/>
      </c>
      <c r="S267" s="122" t="str">
        <f>IF(Tab.o1[[#This Row],[a1]]=1,((Tab.o1[[#This Row],[MedMod]]-AVERAGE(Tab.o1[MedMod]))/_xlfn.STDEV.P(Tab.o1[MedMod])*H$1204)+G$1204,"")</f>
        <v/>
      </c>
      <c r="T267" s="123" t="str">
        <f>IF(Tab.o1[[#This Row],[a1]]=1,Tab.o1[[#This Row],[Z-]]*_xlfn.STDEV.P(Tab.o1[B])+AVERAGE(Tab.o1[B]),"")</f>
        <v/>
      </c>
      <c r="U267" s="123" t="str">
        <f>IF(Tab.o1[[#This Row],[a1]]=1,Tab.o1[[#This Row],[z+]]*_xlfn.STDEV.P(Tab.o1[B])+AVERAGE(Tab.o1[B]),"")</f>
        <v/>
      </c>
      <c r="V267" s="124" t="str">
        <f>IF(Tab.o1[[#This Row],[a1]]=1,ABS((ABS(Tab.o1[[#This Row],[Red]]-Tab.o1[[#This Row],[Blue]]))),"")</f>
        <v/>
      </c>
      <c r="W267" s="125" t="str">
        <f>IF(Tab.o1[[#This Row],[a1]]=1,IF(W$3=0,1,Tab.o1[[#This Row],[Amp.]]*1/_xlfn.MINIFS(Tab.o1[Amp.],Tab.o1[Amp.],"&lt;&gt;0")),"")</f>
        <v/>
      </c>
      <c r="X267" s="126" t="str">
        <f>IF(Tab.o1[[#This Row],[a1]]=1,IF(ISNUMBER(Tab.o1[[#This Row],[i.]]),NORMDIST(Tab.o1[[#This Row],[Za]],0,1,FALSE)*Tab.o1[[#This Row],[i.]],AP$3),"")</f>
        <v/>
      </c>
      <c r="Y267" s="126" t="str">
        <f>IF(Tab.o1[[#This Row],[a1]]=1,0.01+0.94*Tab.o1[[#This Row],[PDF]]/MAX(Tab.o1[PDF]),"")</f>
        <v/>
      </c>
      <c r="Z267" s="126" t="str">
        <f>IF(Tab.o1[[#This Row],[a1]]=1,0.01+0.94*Tab.o1[[#This Row],[W1_PDF]]/MAX(Tab.o1[W1_PDF]),"")</f>
        <v/>
      </c>
      <c r="AA267" s="118" t="str">
        <f>IF(Tab.o1[[#This Row],[a1]]=1,ABS([1]!T.in.A[[#This Row],[oo6]]),"")</f>
        <v/>
      </c>
      <c r="AB267" s="127" t="str">
        <f>IF(Tab.o1[[#This Row],[a1]]=1,IF(AE$3=0,"",IF(AB$3=0,ABS([1]!T.in.A[[#This Row],[oo9]]),ABS(Tab.o1[[#This Row],[DIF_Target.]]*Tab.o1[[#This Row],[W1_PDF]]))),"")</f>
        <v/>
      </c>
      <c r="AC267" s="127" t="str">
        <f>IF(G$1=1,"",IF(Tab.o1[[#This Row],[a1]]=1,Tab.o1[[#This Row],[Wr]]^2,""))</f>
        <v/>
      </c>
      <c r="AD267" s="118" t="str">
        <f>IF(Tab.o1[[#This Row],[a1]]=1,IF(AE$3=0,"",Tab.o1[[#This Row],[Wr2]]/SUM(Tab.o1[Wr2])),"")</f>
        <v/>
      </c>
      <c r="AE267" s="128" t="str">
        <f>IF(Tab.o1[[#This Row],[a1]]=1,[1]!T.in.A[[#This Row],[oo10]],"")</f>
        <v/>
      </c>
      <c r="AF267" s="118" t="str">
        <f>IF(Tab.o1[[#This Row],[a1]]=1,ABS(Tab.o1[[#This Row],[DIF_Target.]]*Tab.o1[[#This Row],[PDF2]]*Tab.o1[[#This Row],[IN]]),"")</f>
        <v/>
      </c>
      <c r="AG267" s="129" t="str">
        <f>IF(Tab.o1[[#This Row],[a1]]=1,Tab.o1[[#This Row],[rW]]^2,"")</f>
        <v/>
      </c>
      <c r="AH267" s="130" t="str">
        <f>IF(Tab.o1[[#This Row],[a1]]=1,IF(AH$3=0,Tab.o1[[#This Row],[rW2]],0.01+0.94*Tab.o1[[#This Row],[rW2]]/SUM(Tab.o1[rW2])),"")</f>
        <v/>
      </c>
      <c r="AI267" s="128" t="str">
        <f>IF(Tab.o1[[#This Row],[a1]]=1,1/Tab.o1[[#This Row],[PDF]],"")</f>
        <v/>
      </c>
      <c r="AJ267" s="131" t="str">
        <f>IF(Tab.o1[[#This Row],[a1]]=1,[1]!T_AA[[#This Row],[IN'']]*[1]!T_AA[[#This Row],[Qde'']],"")</f>
        <v/>
      </c>
      <c r="AK267" s="132" t="str">
        <f>IF(Tab.o1[[#This Row],[a1]]=1,IF(AK$1=1,Tab.o1[[#This Row],[MED]]+Tab.o1[[#This Row],[MOD]]-Tab.o1[[#This Row],[MED]],""),"")</f>
        <v/>
      </c>
      <c r="AL267" s="133" t="str">
        <f>IF(Tab.o1[[#This Row],[a1]]=1,[1]!T.in.A[[#This Row],[oo16]],"")</f>
        <v/>
      </c>
      <c r="AM267" s="133" t="str">
        <f>IF(Tab.o1[[#This Row],[a1]]=1,IF(AM$3=1,[1]!T.in.A[[#This Row],[Σo16]],""),"")</f>
        <v/>
      </c>
      <c r="AN267" s="126" t="str">
        <f>IF(Tab.o1[[#This Row],[a1]]=1,[1]!T.in.A[[#This Row],[Σp5]],"")</f>
        <v/>
      </c>
      <c r="AO267" s="126" t="str">
        <f>IF(Tab.o1[[#This Row],[a1]]=1,IF(AO$3=1,[1]!T.in.A[[#This Row],[Σp5]],""),"")</f>
        <v/>
      </c>
      <c r="AP267" s="110" t="str">
        <f>IF(Tab.o1[[#This Row],[a1]]=1,IF(ISNUMBER(Tab.o1[[#This Row],[i.]]),NORMDIST(Tab.o1[[#This Row],[Za]],0,1,FALSE)*Tab.o1[[#This Row],[i.]],0),"")</f>
        <v/>
      </c>
      <c r="AQ267" s="125" t="str">
        <f>IF(Tab.o1[[#This Row],[a1]]=1,ABS(Tab.o1[[#This Row],[MOD]]-AVERAGE(Tab.o1[MOD])),"")</f>
        <v/>
      </c>
      <c r="AR267" s="134" t="str">
        <f>IF(Tab.o1[[#This Row],[a1]]=1,Tab.o1[[#This Row],[OBS]]/SUM(Tab.o1[OBS]),"")</f>
        <v/>
      </c>
      <c r="AS267" s="135" t="str">
        <f>IF(ISNUMBER(Tab.o1[[#This Row],[a1]]),ROW()-4,"")</f>
        <v/>
      </c>
      <c r="AT267" s="136" t="str">
        <f>Tab.o1[[#This Row],[MOD]]</f>
        <v/>
      </c>
      <c r="AU267" s="137" t="str">
        <f t="shared" si="17"/>
        <v/>
      </c>
      <c r="AV267" s="138" t="str">
        <f t="shared" si="18"/>
        <v/>
      </c>
      <c r="AW267" s="138" t="str">
        <f t="shared" si="19"/>
        <v/>
      </c>
      <c r="AX267" s="139" t="str">
        <f>[1]!T.in.A[[#This Row],[ID_T_manu]]</f>
        <v/>
      </c>
      <c r="AY267" s="140" t="str">
        <f>IF(ISNUMBER(Tab.o1[[#This Row],[a1]]),IF(AND(Tab.o1[[#This Row],[a1]]=1,Tab.o1[[#This Row],[b1]]&lt;=AY$4),#REF!,AY266),"")</f>
        <v/>
      </c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</row>
    <row r="268" spans="1:79" ht="15.75" hidden="1">
      <c r="A268" s="109">
        <v>-5.0000000000000004E-6</v>
      </c>
      <c r="B268" s="110">
        <f t="shared" si="16"/>
        <v>268</v>
      </c>
      <c r="C268" s="111" t="str">
        <f>IF(C$1=[1]!T.in.A[[#This Row],[oo2]],1,"")</f>
        <v/>
      </c>
      <c r="D268" s="112" t="str">
        <f>IF(Tab.o1[[#This Row],[a1]]=1,IF(SUM(C268:C269)=0,0,IF(SUM(C267:C268)=1,1,IF(SUM(C267:C269)&gt;1,D267+1,0))),"")</f>
        <v/>
      </c>
      <c r="E268" s="113" t="str">
        <f>IF(Tab.o1[[#This Row],[a1]]=1,[1]!T.in.A[[#This Row],[oo1]],"")</f>
        <v/>
      </c>
      <c r="F268" s="113" t="str">
        <f>IF(Tab.o1[[#This Row],[a1]]=1,[1]!T.in.A[[#This Row],[pp1]],"")</f>
        <v/>
      </c>
      <c r="G268" s="114" t="str">
        <f>IF(Tab.o1[[#This Row],[a1]]=1,G$2+IF(G$1=1,0,Tab.o1[[#This Row],[.x1]])+[1]!T.in.A[[#This Row],[oo3]],"")</f>
        <v/>
      </c>
      <c r="H268" s="115" t="str">
        <f>IF(Tab.o1[[#This Row],[a1]]=1,IF(H$2=0,0,IF(G$1=1,0,Tab.o1[[#This Row],[.x1]])+[1]!T.in.A[[#This Row],[oo4]]),"")</f>
        <v/>
      </c>
      <c r="I268" s="116" t="str">
        <f>IF(Tab.o1[[#This Row],[a1]]=1,IF(J$2=0,Tab.o1[[#This Row],[MED]],Tab.o1[[#This Row],[MOD]]),"")</f>
        <v/>
      </c>
      <c r="J268" s="116" t="str">
        <f>IF(Tab.o1[[#This Row],[a1]]=1,((Tab.o1[[#This Row],[DIF_Target.]]-AVERAGE(Tab.o1[DIF_Target.]))/_xlfn.STDEV.P(Tab.o1[DIF_Target.])),"")</f>
        <v/>
      </c>
      <c r="K268" s="117" t="str">
        <f>IF(Tab.o1[[#This Row],[a1]]=1,IF(J$2=0,Tab.o1[[#This Row],[MOD]]-Tab.o1[[#This Row],[B]],IF(J$2=1,0,-Tab.o1[[#This Row],[MED]])+Tab.o1[[#This Row],[B]]),"")</f>
        <v/>
      </c>
      <c r="L268" s="117" t="str">
        <f ca="1">IF(Tab.o1[[#This Row],[DIF_Target]]=0,IF(L$2=0,Tab.o1[[#This Row],[DIF_Target]],AVERAGE(OFFSET(Tab.o1[[#This Row],[DIF_Target]],1,0,L$3,1)))/3,Tab.o1[[#This Row],[DIF_Target]])</f>
        <v/>
      </c>
      <c r="M268" s="118" t="str">
        <f>IF(Tab.o1[[#This Row],[a1]]=1,NORMSDIST(Tab.o1[[#This Row],[Za]]),"")</f>
        <v/>
      </c>
      <c r="N268" s="119" t="str">
        <f>IF(Tab.o1[[#This Row],[a1]]=1,((Tab.o1[[#This Row],[MedMod]]-AVERAGE(Tab.o1[MedMod]))/_xlfn.STDEV.P(Tab.o1[MedMod])*H$1205)+G$1205,"")</f>
        <v/>
      </c>
      <c r="O268" s="141" t="str">
        <f>IF(Tab.o1[[#This Row],[a1]]=1,Tab.o1[[#This Row],[Zb]]*_xlfn.STDEV.P(Tab.o1[MedMod])+AVERAGE(Tab.o1[MedMod]),"")</f>
        <v/>
      </c>
      <c r="P268" s="117" t="str">
        <f ca="1">IF(Tab.o1[[#This Row],[B]]=0,AVERAGE(OFFSET(Tab.o1[[#This Row],[B]],1,0,L$3,1)),Tab.o1[[#This Row],[B]])</f>
        <v/>
      </c>
      <c r="Q268" s="121" t="str">
        <f>IF(Tab.o1[[#This Row],[a1]]=1,NORMSDIST(Tab.o1[[#This Row],[Zb]]),"")</f>
        <v/>
      </c>
      <c r="R268" s="122" t="str">
        <f>IF(Tab.o1[[#This Row],[a1]]=1,((Tab.o1[[#This Row],[MedMod]]-AVERAGE(Tab.o1[MedMod]))/_xlfn.STDEV.P(Tab.o1[MedMod])*H$1203)+G$1203,"")</f>
        <v/>
      </c>
      <c r="S268" s="122" t="str">
        <f>IF(Tab.o1[[#This Row],[a1]]=1,((Tab.o1[[#This Row],[MedMod]]-AVERAGE(Tab.o1[MedMod]))/_xlfn.STDEV.P(Tab.o1[MedMod])*H$1204)+G$1204,"")</f>
        <v/>
      </c>
      <c r="T268" s="123" t="str">
        <f>IF(Tab.o1[[#This Row],[a1]]=1,Tab.o1[[#This Row],[Z-]]*_xlfn.STDEV.P(Tab.o1[B])+AVERAGE(Tab.o1[B]),"")</f>
        <v/>
      </c>
      <c r="U268" s="123" t="str">
        <f>IF(Tab.o1[[#This Row],[a1]]=1,Tab.o1[[#This Row],[z+]]*_xlfn.STDEV.P(Tab.o1[B])+AVERAGE(Tab.o1[B]),"")</f>
        <v/>
      </c>
      <c r="V268" s="124" t="str">
        <f>IF(Tab.o1[[#This Row],[a1]]=1,ABS((ABS(Tab.o1[[#This Row],[Red]]-Tab.o1[[#This Row],[Blue]]))),"")</f>
        <v/>
      </c>
      <c r="W268" s="125" t="str">
        <f>IF(Tab.o1[[#This Row],[a1]]=1,IF(W$3=0,1,Tab.o1[[#This Row],[Amp.]]*1/_xlfn.MINIFS(Tab.o1[Amp.],Tab.o1[Amp.],"&lt;&gt;0")),"")</f>
        <v/>
      </c>
      <c r="X268" s="126" t="str">
        <f>IF(Tab.o1[[#This Row],[a1]]=1,IF(ISNUMBER(Tab.o1[[#This Row],[i.]]),NORMDIST(Tab.o1[[#This Row],[Za]],0,1,FALSE)*Tab.o1[[#This Row],[i.]],AP$3),"")</f>
        <v/>
      </c>
      <c r="Y268" s="126" t="str">
        <f>IF(Tab.o1[[#This Row],[a1]]=1,0.01+0.94*Tab.o1[[#This Row],[PDF]]/MAX(Tab.o1[PDF]),"")</f>
        <v/>
      </c>
      <c r="Z268" s="126" t="str">
        <f>IF(Tab.o1[[#This Row],[a1]]=1,0.01+0.94*Tab.o1[[#This Row],[W1_PDF]]/MAX(Tab.o1[W1_PDF]),"")</f>
        <v/>
      </c>
      <c r="AA268" s="118" t="str">
        <f>IF(Tab.o1[[#This Row],[a1]]=1,ABS([1]!T.in.A[[#This Row],[oo6]]),"")</f>
        <v/>
      </c>
      <c r="AB268" s="127" t="str">
        <f>IF(Tab.o1[[#This Row],[a1]]=1,IF(AE$3=0,"",IF(AB$3=0,ABS([1]!T.in.A[[#This Row],[oo9]]),ABS(Tab.o1[[#This Row],[DIF_Target.]]*Tab.o1[[#This Row],[W1_PDF]]))),"")</f>
        <v/>
      </c>
      <c r="AC268" s="127" t="str">
        <f>IF(G$1=1,"",IF(Tab.o1[[#This Row],[a1]]=1,Tab.o1[[#This Row],[Wr]]^2,""))</f>
        <v/>
      </c>
      <c r="AD268" s="118" t="str">
        <f>IF(Tab.o1[[#This Row],[a1]]=1,IF(AE$3=0,"",Tab.o1[[#This Row],[Wr2]]/SUM(Tab.o1[Wr2])),"")</f>
        <v/>
      </c>
      <c r="AE268" s="128" t="str">
        <f>IF(Tab.o1[[#This Row],[a1]]=1,[1]!T.in.A[[#This Row],[oo10]],"")</f>
        <v/>
      </c>
      <c r="AF268" s="118" t="str">
        <f>IF(Tab.o1[[#This Row],[a1]]=1,ABS(Tab.o1[[#This Row],[DIF_Target.]]*Tab.o1[[#This Row],[PDF2]]*Tab.o1[[#This Row],[IN]]),"")</f>
        <v/>
      </c>
      <c r="AG268" s="129" t="str">
        <f>IF(Tab.o1[[#This Row],[a1]]=1,Tab.o1[[#This Row],[rW]]^2,"")</f>
        <v/>
      </c>
      <c r="AH268" s="130" t="str">
        <f>IF(Tab.o1[[#This Row],[a1]]=1,IF(AH$3=0,Tab.o1[[#This Row],[rW2]],0.01+0.94*Tab.o1[[#This Row],[rW2]]/SUM(Tab.o1[rW2])),"")</f>
        <v/>
      </c>
      <c r="AI268" s="128" t="str">
        <f>IF(Tab.o1[[#This Row],[a1]]=1,1/Tab.o1[[#This Row],[PDF]],"")</f>
        <v/>
      </c>
      <c r="AJ268" s="131" t="str">
        <f>IF(Tab.o1[[#This Row],[a1]]=1,[1]!T_AA[[#This Row],[IN'']]*[1]!T_AA[[#This Row],[Qde'']],"")</f>
        <v/>
      </c>
      <c r="AK268" s="132" t="str">
        <f>IF(Tab.o1[[#This Row],[a1]]=1,IF(AK$1=1,Tab.o1[[#This Row],[MED]]+Tab.o1[[#This Row],[MOD]]-Tab.o1[[#This Row],[MED]],""),"")</f>
        <v/>
      </c>
      <c r="AL268" s="133" t="str">
        <f>IF(Tab.o1[[#This Row],[a1]]=1,[1]!T.in.A[[#This Row],[oo16]],"")</f>
        <v/>
      </c>
      <c r="AM268" s="133" t="str">
        <f>IF(Tab.o1[[#This Row],[a1]]=1,IF(AM$3=1,[1]!T.in.A[[#This Row],[Σo16]],""),"")</f>
        <v/>
      </c>
      <c r="AN268" s="126" t="str">
        <f>IF(Tab.o1[[#This Row],[a1]]=1,[1]!T.in.A[[#This Row],[Σp5]],"")</f>
        <v/>
      </c>
      <c r="AO268" s="126" t="str">
        <f>IF(Tab.o1[[#This Row],[a1]]=1,IF(AO$3=1,[1]!T.in.A[[#This Row],[Σp5]],""),"")</f>
        <v/>
      </c>
      <c r="AP268" s="110" t="str">
        <f>IF(Tab.o1[[#This Row],[a1]]=1,IF(ISNUMBER(Tab.o1[[#This Row],[i.]]),NORMDIST(Tab.o1[[#This Row],[Za]],0,1,FALSE)*Tab.o1[[#This Row],[i.]],0),"")</f>
        <v/>
      </c>
      <c r="AQ268" s="125" t="str">
        <f>IF(Tab.o1[[#This Row],[a1]]=1,ABS(Tab.o1[[#This Row],[MOD]]-AVERAGE(Tab.o1[MOD])),"")</f>
        <v/>
      </c>
      <c r="AR268" s="134" t="str">
        <f>IF(Tab.o1[[#This Row],[a1]]=1,Tab.o1[[#This Row],[OBS]]/SUM(Tab.o1[OBS]),"")</f>
        <v/>
      </c>
      <c r="AS268" s="135" t="str">
        <f>IF(ISNUMBER(Tab.o1[[#This Row],[a1]]),ROW()-4,"")</f>
        <v/>
      </c>
      <c r="AT268" s="136" t="str">
        <f>Tab.o1[[#This Row],[MOD]]</f>
        <v/>
      </c>
      <c r="AU268" s="137" t="str">
        <f t="shared" si="17"/>
        <v/>
      </c>
      <c r="AV268" s="138" t="str">
        <f t="shared" si="18"/>
        <v/>
      </c>
      <c r="AW268" s="138" t="str">
        <f t="shared" si="19"/>
        <v/>
      </c>
      <c r="AX268" s="139" t="str">
        <f>[1]!T.in.A[[#This Row],[ID_T_manu]]</f>
        <v/>
      </c>
      <c r="AY268" s="140" t="str">
        <f>IF(ISNUMBER(Tab.o1[[#This Row],[a1]]),IF(AND(Tab.o1[[#This Row],[a1]]=1,Tab.o1[[#This Row],[b1]]&lt;=AY$4),#REF!,AY267),"")</f>
        <v/>
      </c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</row>
    <row r="269" spans="1:79" ht="15.75" hidden="1">
      <c r="A269" s="109">
        <v>-1.0000000000000001E-5</v>
      </c>
      <c r="B269" s="110">
        <f t="shared" si="16"/>
        <v>269</v>
      </c>
      <c r="C269" s="111" t="str">
        <f>IF(C$1=[1]!T.in.A[[#This Row],[oo2]],1,"")</f>
        <v/>
      </c>
      <c r="D269" s="112" t="str">
        <f>IF(Tab.o1[[#This Row],[a1]]=1,IF(SUM(C269:C270)=0,0,IF(SUM(C268:C269)=1,1,IF(SUM(C268:C270)&gt;1,D268+1,0))),"")</f>
        <v/>
      </c>
      <c r="E269" s="113" t="str">
        <f>IF(Tab.o1[[#This Row],[a1]]=1,[1]!T.in.A[[#This Row],[oo1]],"")</f>
        <v/>
      </c>
      <c r="F269" s="113" t="str">
        <f>IF(Tab.o1[[#This Row],[a1]]=1,[1]!T.in.A[[#This Row],[pp1]],"")</f>
        <v/>
      </c>
      <c r="G269" s="114" t="str">
        <f>IF(Tab.o1[[#This Row],[a1]]=1,G$2+IF(G$1=1,0,Tab.o1[[#This Row],[.x1]])+[1]!T.in.A[[#This Row],[oo3]],"")</f>
        <v/>
      </c>
      <c r="H269" s="115" t="str">
        <f>IF(Tab.o1[[#This Row],[a1]]=1,IF(H$2=0,0,IF(G$1=1,0,Tab.o1[[#This Row],[.x1]])+[1]!T.in.A[[#This Row],[oo4]]),"")</f>
        <v/>
      </c>
      <c r="I269" s="116" t="str">
        <f>IF(Tab.o1[[#This Row],[a1]]=1,IF(J$2=0,Tab.o1[[#This Row],[MED]],Tab.o1[[#This Row],[MOD]]),"")</f>
        <v/>
      </c>
      <c r="J269" s="116" t="str">
        <f>IF(Tab.o1[[#This Row],[a1]]=1,((Tab.o1[[#This Row],[DIF_Target.]]-AVERAGE(Tab.o1[DIF_Target.]))/_xlfn.STDEV.P(Tab.o1[DIF_Target.])),"")</f>
        <v/>
      </c>
      <c r="K269" s="117" t="str">
        <f>IF(Tab.o1[[#This Row],[a1]]=1,IF(J$2=0,Tab.o1[[#This Row],[MOD]]-Tab.o1[[#This Row],[B]],IF(J$2=1,0,-Tab.o1[[#This Row],[MED]])+Tab.o1[[#This Row],[B]]),"")</f>
        <v/>
      </c>
      <c r="L269" s="117" t="str">
        <f ca="1">IF(Tab.o1[[#This Row],[DIF_Target]]=0,IF(L$2=0,Tab.o1[[#This Row],[DIF_Target]],AVERAGE(OFFSET(Tab.o1[[#This Row],[DIF_Target]],1,0,L$3,1)))/3,Tab.o1[[#This Row],[DIF_Target]])</f>
        <v/>
      </c>
      <c r="M269" s="118" t="str">
        <f>IF(Tab.o1[[#This Row],[a1]]=1,NORMSDIST(Tab.o1[[#This Row],[Za]]),"")</f>
        <v/>
      </c>
      <c r="N269" s="119" t="str">
        <f>IF(Tab.o1[[#This Row],[a1]]=1,((Tab.o1[[#This Row],[MedMod]]-AVERAGE(Tab.o1[MedMod]))/_xlfn.STDEV.P(Tab.o1[MedMod])*H$1205)+G$1205,"")</f>
        <v/>
      </c>
      <c r="O269" s="141" t="str">
        <f>IF(Tab.o1[[#This Row],[a1]]=1,Tab.o1[[#This Row],[Zb]]*_xlfn.STDEV.P(Tab.o1[MedMod])+AVERAGE(Tab.o1[MedMod]),"")</f>
        <v/>
      </c>
      <c r="P269" s="117" t="str">
        <f ca="1">IF(Tab.o1[[#This Row],[B]]=0,AVERAGE(OFFSET(Tab.o1[[#This Row],[B]],1,0,L$3,1)),Tab.o1[[#This Row],[B]])</f>
        <v/>
      </c>
      <c r="Q269" s="121" t="str">
        <f>IF(Tab.o1[[#This Row],[a1]]=1,NORMSDIST(Tab.o1[[#This Row],[Zb]]),"")</f>
        <v/>
      </c>
      <c r="R269" s="122" t="str">
        <f>IF(Tab.o1[[#This Row],[a1]]=1,((Tab.o1[[#This Row],[MedMod]]-AVERAGE(Tab.o1[MedMod]))/_xlfn.STDEV.P(Tab.o1[MedMod])*H$1203)+G$1203,"")</f>
        <v/>
      </c>
      <c r="S269" s="122" t="str">
        <f>IF(Tab.o1[[#This Row],[a1]]=1,((Tab.o1[[#This Row],[MedMod]]-AVERAGE(Tab.o1[MedMod]))/_xlfn.STDEV.P(Tab.o1[MedMod])*H$1204)+G$1204,"")</f>
        <v/>
      </c>
      <c r="T269" s="123" t="str">
        <f>IF(Tab.o1[[#This Row],[a1]]=1,Tab.o1[[#This Row],[Z-]]*_xlfn.STDEV.P(Tab.o1[B])+AVERAGE(Tab.o1[B]),"")</f>
        <v/>
      </c>
      <c r="U269" s="123" t="str">
        <f>IF(Tab.o1[[#This Row],[a1]]=1,Tab.o1[[#This Row],[z+]]*_xlfn.STDEV.P(Tab.o1[B])+AVERAGE(Tab.o1[B]),"")</f>
        <v/>
      </c>
      <c r="V269" s="124" t="str">
        <f>IF(Tab.o1[[#This Row],[a1]]=1,ABS((ABS(Tab.o1[[#This Row],[Red]]-Tab.o1[[#This Row],[Blue]]))),"")</f>
        <v/>
      </c>
      <c r="W269" s="125" t="str">
        <f>IF(Tab.o1[[#This Row],[a1]]=1,IF(W$3=0,1,Tab.o1[[#This Row],[Amp.]]*1/_xlfn.MINIFS(Tab.o1[Amp.],Tab.o1[Amp.],"&lt;&gt;0")),"")</f>
        <v/>
      </c>
      <c r="X269" s="126" t="str">
        <f>IF(Tab.o1[[#This Row],[a1]]=1,IF(ISNUMBER(Tab.o1[[#This Row],[i.]]),NORMDIST(Tab.o1[[#This Row],[Za]],0,1,FALSE)*Tab.o1[[#This Row],[i.]],AP$3),"")</f>
        <v/>
      </c>
      <c r="Y269" s="126" t="str">
        <f>IF(Tab.o1[[#This Row],[a1]]=1,0.01+0.94*Tab.o1[[#This Row],[PDF]]/MAX(Tab.o1[PDF]),"")</f>
        <v/>
      </c>
      <c r="Z269" s="126" t="str">
        <f>IF(Tab.o1[[#This Row],[a1]]=1,0.01+0.94*Tab.o1[[#This Row],[W1_PDF]]/MAX(Tab.o1[W1_PDF]),"")</f>
        <v/>
      </c>
      <c r="AA269" s="118" t="str">
        <f>IF(Tab.o1[[#This Row],[a1]]=1,ABS([1]!T.in.A[[#This Row],[oo6]]),"")</f>
        <v/>
      </c>
      <c r="AB269" s="127" t="str">
        <f>IF(Tab.o1[[#This Row],[a1]]=1,IF(AE$3=0,"",IF(AB$3=0,ABS([1]!T.in.A[[#This Row],[oo9]]),ABS(Tab.o1[[#This Row],[DIF_Target.]]*Tab.o1[[#This Row],[W1_PDF]]))),"")</f>
        <v/>
      </c>
      <c r="AC269" s="127" t="str">
        <f>IF(G$1=1,"",IF(Tab.o1[[#This Row],[a1]]=1,Tab.o1[[#This Row],[Wr]]^2,""))</f>
        <v/>
      </c>
      <c r="AD269" s="118" t="str">
        <f>IF(Tab.o1[[#This Row],[a1]]=1,IF(AE$3=0,"",Tab.o1[[#This Row],[Wr2]]/SUM(Tab.o1[Wr2])),"")</f>
        <v/>
      </c>
      <c r="AE269" s="128" t="str">
        <f>IF(Tab.o1[[#This Row],[a1]]=1,[1]!T.in.A[[#This Row],[oo10]],"")</f>
        <v/>
      </c>
      <c r="AF269" s="118" t="str">
        <f>IF(Tab.o1[[#This Row],[a1]]=1,ABS(Tab.o1[[#This Row],[DIF_Target.]]*Tab.o1[[#This Row],[PDF2]]*Tab.o1[[#This Row],[IN]]),"")</f>
        <v/>
      </c>
      <c r="AG269" s="129" t="str">
        <f>IF(Tab.o1[[#This Row],[a1]]=1,Tab.o1[[#This Row],[rW]]^2,"")</f>
        <v/>
      </c>
      <c r="AH269" s="130" t="str">
        <f>IF(Tab.o1[[#This Row],[a1]]=1,IF(AH$3=0,Tab.o1[[#This Row],[rW2]],0.01+0.94*Tab.o1[[#This Row],[rW2]]/SUM(Tab.o1[rW2])),"")</f>
        <v/>
      </c>
      <c r="AI269" s="128" t="str">
        <f>IF(Tab.o1[[#This Row],[a1]]=1,1/Tab.o1[[#This Row],[PDF]],"")</f>
        <v/>
      </c>
      <c r="AJ269" s="131" t="str">
        <f>IF(Tab.o1[[#This Row],[a1]]=1,[1]!T_AA[[#This Row],[IN'']]*[1]!T_AA[[#This Row],[Qde'']],"")</f>
        <v/>
      </c>
      <c r="AK269" s="132" t="str">
        <f>IF(Tab.o1[[#This Row],[a1]]=1,IF(AK$1=1,Tab.o1[[#This Row],[MED]]+Tab.o1[[#This Row],[MOD]]-Tab.o1[[#This Row],[MED]],""),"")</f>
        <v/>
      </c>
      <c r="AL269" s="133" t="str">
        <f>IF(Tab.o1[[#This Row],[a1]]=1,[1]!T.in.A[[#This Row],[oo16]],"")</f>
        <v/>
      </c>
      <c r="AM269" s="133" t="str">
        <f>IF(Tab.o1[[#This Row],[a1]]=1,IF(AM$3=1,[1]!T.in.A[[#This Row],[Σo16]],""),"")</f>
        <v/>
      </c>
      <c r="AN269" s="126" t="str">
        <f>IF(Tab.o1[[#This Row],[a1]]=1,[1]!T.in.A[[#This Row],[Σp5]],"")</f>
        <v/>
      </c>
      <c r="AO269" s="126" t="str">
        <f>IF(Tab.o1[[#This Row],[a1]]=1,IF(AO$3=1,[1]!T.in.A[[#This Row],[Σp5]],""),"")</f>
        <v/>
      </c>
      <c r="AP269" s="110" t="str">
        <f>IF(Tab.o1[[#This Row],[a1]]=1,IF(ISNUMBER(Tab.o1[[#This Row],[i.]]),NORMDIST(Tab.o1[[#This Row],[Za]],0,1,FALSE)*Tab.o1[[#This Row],[i.]],0),"")</f>
        <v/>
      </c>
      <c r="AQ269" s="125" t="str">
        <f>IF(Tab.o1[[#This Row],[a1]]=1,ABS(Tab.o1[[#This Row],[MOD]]-AVERAGE(Tab.o1[MOD])),"")</f>
        <v/>
      </c>
      <c r="AR269" s="134" t="str">
        <f>IF(Tab.o1[[#This Row],[a1]]=1,Tab.o1[[#This Row],[OBS]]/SUM(Tab.o1[OBS]),"")</f>
        <v/>
      </c>
      <c r="AS269" s="135" t="str">
        <f>IF(ISNUMBER(Tab.o1[[#This Row],[a1]]),ROW()-4,"")</f>
        <v/>
      </c>
      <c r="AT269" s="136" t="str">
        <f>Tab.o1[[#This Row],[MOD]]</f>
        <v/>
      </c>
      <c r="AU269" s="137" t="str">
        <f t="shared" si="17"/>
        <v/>
      </c>
      <c r="AV269" s="138" t="str">
        <f t="shared" si="18"/>
        <v/>
      </c>
      <c r="AW269" s="138" t="str">
        <f t="shared" si="19"/>
        <v/>
      </c>
      <c r="AX269" s="139" t="str">
        <f>[1]!T.in.A[[#This Row],[ID_T_manu]]</f>
        <v/>
      </c>
      <c r="AY269" s="140" t="str">
        <f>IF(ISNUMBER(Tab.o1[[#This Row],[a1]]),IF(AND(Tab.o1[[#This Row],[a1]]=1,Tab.o1[[#This Row],[b1]]&lt;=AY$4),#REF!,AY268),"")</f>
        <v/>
      </c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</row>
    <row r="270" spans="1:79" ht="15.75" hidden="1">
      <c r="A270" s="109">
        <v>-9.0000000000000002E-6</v>
      </c>
      <c r="B270" s="110">
        <f t="shared" si="16"/>
        <v>270</v>
      </c>
      <c r="C270" s="111" t="str">
        <f>IF(C$1=[1]!T.in.A[[#This Row],[oo2]],1,"")</f>
        <v/>
      </c>
      <c r="D270" s="112" t="str">
        <f>IF(Tab.o1[[#This Row],[a1]]=1,IF(SUM(C270:C271)=0,0,IF(SUM(C269:C270)=1,1,IF(SUM(C269:C271)&gt;1,D269+1,0))),"")</f>
        <v/>
      </c>
      <c r="E270" s="113" t="str">
        <f>IF(Tab.o1[[#This Row],[a1]]=1,[1]!T.in.A[[#This Row],[oo1]],"")</f>
        <v/>
      </c>
      <c r="F270" s="113" t="str">
        <f>IF(Tab.o1[[#This Row],[a1]]=1,[1]!T.in.A[[#This Row],[pp1]],"")</f>
        <v/>
      </c>
      <c r="G270" s="114" t="str">
        <f>IF(Tab.o1[[#This Row],[a1]]=1,G$2+IF(G$1=1,0,Tab.o1[[#This Row],[.x1]])+[1]!T.in.A[[#This Row],[oo3]],"")</f>
        <v/>
      </c>
      <c r="H270" s="115" t="str">
        <f>IF(Tab.o1[[#This Row],[a1]]=1,IF(H$2=0,0,IF(G$1=1,0,Tab.o1[[#This Row],[.x1]])+[1]!T.in.A[[#This Row],[oo4]]),"")</f>
        <v/>
      </c>
      <c r="I270" s="116" t="str">
        <f>IF(Tab.o1[[#This Row],[a1]]=1,IF(J$2=0,Tab.o1[[#This Row],[MED]],Tab.o1[[#This Row],[MOD]]),"")</f>
        <v/>
      </c>
      <c r="J270" s="116" t="str">
        <f>IF(Tab.o1[[#This Row],[a1]]=1,((Tab.o1[[#This Row],[DIF_Target.]]-AVERAGE(Tab.o1[DIF_Target.]))/_xlfn.STDEV.P(Tab.o1[DIF_Target.])),"")</f>
        <v/>
      </c>
      <c r="K270" s="117" t="str">
        <f>IF(Tab.o1[[#This Row],[a1]]=1,IF(J$2=0,Tab.o1[[#This Row],[MOD]]-Tab.o1[[#This Row],[B]],IF(J$2=1,0,-Tab.o1[[#This Row],[MED]])+Tab.o1[[#This Row],[B]]),"")</f>
        <v/>
      </c>
      <c r="L270" s="117" t="str">
        <f ca="1">IF(Tab.o1[[#This Row],[DIF_Target]]=0,IF(L$2=0,Tab.o1[[#This Row],[DIF_Target]],AVERAGE(OFFSET(Tab.o1[[#This Row],[DIF_Target]],1,0,L$3,1)))/3,Tab.o1[[#This Row],[DIF_Target]])</f>
        <v/>
      </c>
      <c r="M270" s="118" t="str">
        <f>IF(Tab.o1[[#This Row],[a1]]=1,NORMSDIST(Tab.o1[[#This Row],[Za]]),"")</f>
        <v/>
      </c>
      <c r="N270" s="119" t="str">
        <f>IF(Tab.o1[[#This Row],[a1]]=1,((Tab.o1[[#This Row],[MedMod]]-AVERAGE(Tab.o1[MedMod]))/_xlfn.STDEV.P(Tab.o1[MedMod])*H$1205)+G$1205,"")</f>
        <v/>
      </c>
      <c r="O270" s="141" t="str">
        <f>IF(Tab.o1[[#This Row],[a1]]=1,Tab.o1[[#This Row],[Zb]]*_xlfn.STDEV.P(Tab.o1[MedMod])+AVERAGE(Tab.o1[MedMod]),"")</f>
        <v/>
      </c>
      <c r="P270" s="117" t="str">
        <f ca="1">IF(Tab.o1[[#This Row],[B]]=0,AVERAGE(OFFSET(Tab.o1[[#This Row],[B]],1,0,L$3,1)),Tab.o1[[#This Row],[B]])</f>
        <v/>
      </c>
      <c r="Q270" s="121" t="str">
        <f>IF(Tab.o1[[#This Row],[a1]]=1,NORMSDIST(Tab.o1[[#This Row],[Zb]]),"")</f>
        <v/>
      </c>
      <c r="R270" s="122" t="str">
        <f>IF(Tab.o1[[#This Row],[a1]]=1,((Tab.o1[[#This Row],[MedMod]]-AVERAGE(Tab.o1[MedMod]))/_xlfn.STDEV.P(Tab.o1[MedMod])*H$1203)+G$1203,"")</f>
        <v/>
      </c>
      <c r="S270" s="122" t="str">
        <f>IF(Tab.o1[[#This Row],[a1]]=1,((Tab.o1[[#This Row],[MedMod]]-AVERAGE(Tab.o1[MedMod]))/_xlfn.STDEV.P(Tab.o1[MedMod])*H$1204)+G$1204,"")</f>
        <v/>
      </c>
      <c r="T270" s="123" t="str">
        <f>IF(Tab.o1[[#This Row],[a1]]=1,Tab.o1[[#This Row],[Z-]]*_xlfn.STDEV.P(Tab.o1[B])+AVERAGE(Tab.o1[B]),"")</f>
        <v/>
      </c>
      <c r="U270" s="123" t="str">
        <f>IF(Tab.o1[[#This Row],[a1]]=1,Tab.o1[[#This Row],[z+]]*_xlfn.STDEV.P(Tab.o1[B])+AVERAGE(Tab.o1[B]),"")</f>
        <v/>
      </c>
      <c r="V270" s="124" t="str">
        <f>IF(Tab.o1[[#This Row],[a1]]=1,ABS((ABS(Tab.o1[[#This Row],[Red]]-Tab.o1[[#This Row],[Blue]]))),"")</f>
        <v/>
      </c>
      <c r="W270" s="125" t="str">
        <f>IF(Tab.o1[[#This Row],[a1]]=1,IF(W$3=0,1,Tab.o1[[#This Row],[Amp.]]*1/_xlfn.MINIFS(Tab.o1[Amp.],Tab.o1[Amp.],"&lt;&gt;0")),"")</f>
        <v/>
      </c>
      <c r="X270" s="126" t="str">
        <f>IF(Tab.o1[[#This Row],[a1]]=1,IF(ISNUMBER(Tab.o1[[#This Row],[i.]]),NORMDIST(Tab.o1[[#This Row],[Za]],0,1,FALSE)*Tab.o1[[#This Row],[i.]],AP$3),"")</f>
        <v/>
      </c>
      <c r="Y270" s="126" t="str">
        <f>IF(Tab.o1[[#This Row],[a1]]=1,0.01+0.94*Tab.o1[[#This Row],[PDF]]/MAX(Tab.o1[PDF]),"")</f>
        <v/>
      </c>
      <c r="Z270" s="126" t="str">
        <f>IF(Tab.o1[[#This Row],[a1]]=1,0.01+0.94*Tab.o1[[#This Row],[W1_PDF]]/MAX(Tab.o1[W1_PDF]),"")</f>
        <v/>
      </c>
      <c r="AA270" s="118" t="str">
        <f>IF(Tab.o1[[#This Row],[a1]]=1,ABS([1]!T.in.A[[#This Row],[oo6]]),"")</f>
        <v/>
      </c>
      <c r="AB270" s="127" t="str">
        <f>IF(Tab.o1[[#This Row],[a1]]=1,IF(AE$3=0,"",IF(AB$3=0,ABS([1]!T.in.A[[#This Row],[oo9]]),ABS(Tab.o1[[#This Row],[DIF_Target.]]*Tab.o1[[#This Row],[W1_PDF]]))),"")</f>
        <v/>
      </c>
      <c r="AC270" s="127" t="str">
        <f>IF(G$1=1,"",IF(Tab.o1[[#This Row],[a1]]=1,Tab.o1[[#This Row],[Wr]]^2,""))</f>
        <v/>
      </c>
      <c r="AD270" s="118" t="str">
        <f>IF(Tab.o1[[#This Row],[a1]]=1,IF(AE$3=0,"",Tab.o1[[#This Row],[Wr2]]/SUM(Tab.o1[Wr2])),"")</f>
        <v/>
      </c>
      <c r="AE270" s="128" t="str">
        <f>IF(Tab.o1[[#This Row],[a1]]=1,[1]!T.in.A[[#This Row],[oo10]],"")</f>
        <v/>
      </c>
      <c r="AF270" s="118" t="str">
        <f>IF(Tab.o1[[#This Row],[a1]]=1,ABS(Tab.o1[[#This Row],[DIF_Target.]]*Tab.o1[[#This Row],[PDF2]]*Tab.o1[[#This Row],[IN]]),"")</f>
        <v/>
      </c>
      <c r="AG270" s="129" t="str">
        <f>IF(Tab.o1[[#This Row],[a1]]=1,Tab.o1[[#This Row],[rW]]^2,"")</f>
        <v/>
      </c>
      <c r="AH270" s="130" t="str">
        <f>IF(Tab.o1[[#This Row],[a1]]=1,IF(AH$3=0,Tab.o1[[#This Row],[rW2]],0.01+0.94*Tab.o1[[#This Row],[rW2]]/SUM(Tab.o1[rW2])),"")</f>
        <v/>
      </c>
      <c r="AI270" s="128" t="str">
        <f>IF(Tab.o1[[#This Row],[a1]]=1,1/Tab.o1[[#This Row],[PDF]],"")</f>
        <v/>
      </c>
      <c r="AJ270" s="131" t="str">
        <f>IF(Tab.o1[[#This Row],[a1]]=1,[1]!T_AA[[#This Row],[IN'']]*[1]!T_AA[[#This Row],[Qde'']],"")</f>
        <v/>
      </c>
      <c r="AK270" s="132" t="str">
        <f>IF(Tab.o1[[#This Row],[a1]]=1,IF(AK$1=1,Tab.o1[[#This Row],[MED]]+Tab.o1[[#This Row],[MOD]]-Tab.o1[[#This Row],[MED]],""),"")</f>
        <v/>
      </c>
      <c r="AL270" s="133" t="str">
        <f>IF(Tab.o1[[#This Row],[a1]]=1,[1]!T.in.A[[#This Row],[oo16]],"")</f>
        <v/>
      </c>
      <c r="AM270" s="133" t="str">
        <f>IF(Tab.o1[[#This Row],[a1]]=1,IF(AM$3=1,[1]!T.in.A[[#This Row],[Σo16]],""),"")</f>
        <v/>
      </c>
      <c r="AN270" s="126" t="str">
        <f>IF(Tab.o1[[#This Row],[a1]]=1,[1]!T.in.A[[#This Row],[Σp5]],"")</f>
        <v/>
      </c>
      <c r="AO270" s="126" t="str">
        <f>IF(Tab.o1[[#This Row],[a1]]=1,IF(AO$3=1,[1]!T.in.A[[#This Row],[Σp5]],""),"")</f>
        <v/>
      </c>
      <c r="AP270" s="110" t="str">
        <f>IF(Tab.o1[[#This Row],[a1]]=1,IF(ISNUMBER(Tab.o1[[#This Row],[i.]]),NORMDIST(Tab.o1[[#This Row],[Za]],0,1,FALSE)*Tab.o1[[#This Row],[i.]],0),"")</f>
        <v/>
      </c>
      <c r="AQ270" s="125" t="str">
        <f>IF(Tab.o1[[#This Row],[a1]]=1,ABS(Tab.o1[[#This Row],[MOD]]-AVERAGE(Tab.o1[MOD])),"")</f>
        <v/>
      </c>
      <c r="AR270" s="134" t="str">
        <f>IF(Tab.o1[[#This Row],[a1]]=1,Tab.o1[[#This Row],[OBS]]/SUM(Tab.o1[OBS]),"")</f>
        <v/>
      </c>
      <c r="AS270" s="135" t="str">
        <f>IF(ISNUMBER(Tab.o1[[#This Row],[a1]]),ROW()-4,"")</f>
        <v/>
      </c>
      <c r="AT270" s="136" t="str">
        <f>Tab.o1[[#This Row],[MOD]]</f>
        <v/>
      </c>
      <c r="AU270" s="137" t="str">
        <f t="shared" si="17"/>
        <v/>
      </c>
      <c r="AV270" s="138" t="str">
        <f t="shared" si="18"/>
        <v/>
      </c>
      <c r="AW270" s="138" t="str">
        <f t="shared" si="19"/>
        <v/>
      </c>
      <c r="AX270" s="139" t="str">
        <f>[1]!T.in.A[[#This Row],[ID_T_manu]]</f>
        <v/>
      </c>
      <c r="AY270" s="140" t="str">
        <f>IF(ISNUMBER(Tab.o1[[#This Row],[a1]]),IF(AND(Tab.o1[[#This Row],[a1]]=1,Tab.o1[[#This Row],[b1]]&lt;=AY$4),#REF!,AY269),"")</f>
        <v/>
      </c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</row>
    <row r="271" spans="1:79" ht="15.75" hidden="1">
      <c r="A271" s="109">
        <v>9.0000000000000002E-6</v>
      </c>
      <c r="B271" s="110">
        <f t="shared" si="16"/>
        <v>271</v>
      </c>
      <c r="C271" s="111" t="str">
        <f>IF(C$1=[1]!T.in.A[[#This Row],[oo2]],1,"")</f>
        <v/>
      </c>
      <c r="D271" s="112" t="str">
        <f>IF(Tab.o1[[#This Row],[a1]]=1,IF(SUM(C271:C272)=0,0,IF(SUM(C270:C271)=1,1,IF(SUM(C270:C272)&gt;1,D270+1,0))),"")</f>
        <v/>
      </c>
      <c r="E271" s="113" t="str">
        <f>IF(Tab.o1[[#This Row],[a1]]=1,[1]!T.in.A[[#This Row],[oo1]],"")</f>
        <v/>
      </c>
      <c r="F271" s="113" t="str">
        <f>IF(Tab.o1[[#This Row],[a1]]=1,[1]!T.in.A[[#This Row],[pp1]],"")</f>
        <v/>
      </c>
      <c r="G271" s="114" t="str">
        <f>IF(Tab.o1[[#This Row],[a1]]=1,G$2+IF(G$1=1,0,Tab.o1[[#This Row],[.x1]])+[1]!T.in.A[[#This Row],[oo3]],"")</f>
        <v/>
      </c>
      <c r="H271" s="115" t="str">
        <f>IF(Tab.o1[[#This Row],[a1]]=1,IF(H$2=0,0,IF(G$1=1,0,Tab.o1[[#This Row],[.x1]])+[1]!T.in.A[[#This Row],[oo4]]),"")</f>
        <v/>
      </c>
      <c r="I271" s="116" t="str">
        <f>IF(Tab.o1[[#This Row],[a1]]=1,IF(J$2=0,Tab.o1[[#This Row],[MED]],Tab.o1[[#This Row],[MOD]]),"")</f>
        <v/>
      </c>
      <c r="J271" s="116" t="str">
        <f>IF(Tab.o1[[#This Row],[a1]]=1,((Tab.o1[[#This Row],[DIF_Target.]]-AVERAGE(Tab.o1[DIF_Target.]))/_xlfn.STDEV.P(Tab.o1[DIF_Target.])),"")</f>
        <v/>
      </c>
      <c r="K271" s="117" t="str">
        <f>IF(Tab.o1[[#This Row],[a1]]=1,IF(J$2=0,Tab.o1[[#This Row],[MOD]]-Tab.o1[[#This Row],[B]],IF(J$2=1,0,-Tab.o1[[#This Row],[MED]])+Tab.o1[[#This Row],[B]]),"")</f>
        <v/>
      </c>
      <c r="L271" s="117" t="str">
        <f ca="1">IF(Tab.o1[[#This Row],[DIF_Target]]=0,IF(L$2=0,Tab.o1[[#This Row],[DIF_Target]],AVERAGE(OFFSET(Tab.o1[[#This Row],[DIF_Target]],1,0,L$3,1)))/3,Tab.o1[[#This Row],[DIF_Target]])</f>
        <v/>
      </c>
      <c r="M271" s="118" t="str">
        <f>IF(Tab.o1[[#This Row],[a1]]=1,NORMSDIST(Tab.o1[[#This Row],[Za]]),"")</f>
        <v/>
      </c>
      <c r="N271" s="119" t="str">
        <f>IF(Tab.o1[[#This Row],[a1]]=1,((Tab.o1[[#This Row],[MedMod]]-AVERAGE(Tab.o1[MedMod]))/_xlfn.STDEV.P(Tab.o1[MedMod])*H$1205)+G$1205,"")</f>
        <v/>
      </c>
      <c r="O271" s="141" t="str">
        <f>IF(Tab.o1[[#This Row],[a1]]=1,Tab.o1[[#This Row],[Zb]]*_xlfn.STDEV.P(Tab.o1[MedMod])+AVERAGE(Tab.o1[MedMod]),"")</f>
        <v/>
      </c>
      <c r="P271" s="117" t="str">
        <f ca="1">IF(Tab.o1[[#This Row],[B]]=0,AVERAGE(OFFSET(Tab.o1[[#This Row],[B]],1,0,L$3,1)),Tab.o1[[#This Row],[B]])</f>
        <v/>
      </c>
      <c r="Q271" s="121" t="str">
        <f>IF(Tab.o1[[#This Row],[a1]]=1,NORMSDIST(Tab.o1[[#This Row],[Zb]]),"")</f>
        <v/>
      </c>
      <c r="R271" s="122" t="str">
        <f>IF(Tab.o1[[#This Row],[a1]]=1,((Tab.o1[[#This Row],[MedMod]]-AVERAGE(Tab.o1[MedMod]))/_xlfn.STDEV.P(Tab.o1[MedMod])*H$1203)+G$1203,"")</f>
        <v/>
      </c>
      <c r="S271" s="122" t="str">
        <f>IF(Tab.o1[[#This Row],[a1]]=1,((Tab.o1[[#This Row],[MedMod]]-AVERAGE(Tab.o1[MedMod]))/_xlfn.STDEV.P(Tab.o1[MedMod])*H$1204)+G$1204,"")</f>
        <v/>
      </c>
      <c r="T271" s="123" t="str">
        <f>IF(Tab.o1[[#This Row],[a1]]=1,Tab.o1[[#This Row],[Z-]]*_xlfn.STDEV.P(Tab.o1[B])+AVERAGE(Tab.o1[B]),"")</f>
        <v/>
      </c>
      <c r="U271" s="123" t="str">
        <f>IF(Tab.o1[[#This Row],[a1]]=1,Tab.o1[[#This Row],[z+]]*_xlfn.STDEV.P(Tab.o1[B])+AVERAGE(Tab.o1[B]),"")</f>
        <v/>
      </c>
      <c r="V271" s="124" t="str">
        <f>IF(Tab.o1[[#This Row],[a1]]=1,ABS((ABS(Tab.o1[[#This Row],[Red]]-Tab.o1[[#This Row],[Blue]]))),"")</f>
        <v/>
      </c>
      <c r="W271" s="125" t="str">
        <f>IF(Tab.o1[[#This Row],[a1]]=1,IF(W$3=0,1,Tab.o1[[#This Row],[Amp.]]*1/_xlfn.MINIFS(Tab.o1[Amp.],Tab.o1[Amp.],"&lt;&gt;0")),"")</f>
        <v/>
      </c>
      <c r="X271" s="126" t="str">
        <f>IF(Tab.o1[[#This Row],[a1]]=1,IF(ISNUMBER(Tab.o1[[#This Row],[i.]]),NORMDIST(Tab.o1[[#This Row],[Za]],0,1,FALSE)*Tab.o1[[#This Row],[i.]],AP$3),"")</f>
        <v/>
      </c>
      <c r="Y271" s="126" t="str">
        <f>IF(Tab.o1[[#This Row],[a1]]=1,0.01+0.94*Tab.o1[[#This Row],[PDF]]/MAX(Tab.o1[PDF]),"")</f>
        <v/>
      </c>
      <c r="Z271" s="126" t="str">
        <f>IF(Tab.o1[[#This Row],[a1]]=1,0.01+0.94*Tab.o1[[#This Row],[W1_PDF]]/MAX(Tab.o1[W1_PDF]),"")</f>
        <v/>
      </c>
      <c r="AA271" s="118" t="str">
        <f>IF(Tab.o1[[#This Row],[a1]]=1,ABS([1]!T.in.A[[#This Row],[oo6]]),"")</f>
        <v/>
      </c>
      <c r="AB271" s="127" t="str">
        <f>IF(Tab.o1[[#This Row],[a1]]=1,IF(AE$3=0,"",IF(AB$3=0,ABS([1]!T.in.A[[#This Row],[oo9]]),ABS(Tab.o1[[#This Row],[DIF_Target.]]*Tab.o1[[#This Row],[W1_PDF]]))),"")</f>
        <v/>
      </c>
      <c r="AC271" s="127" t="str">
        <f>IF(G$1=1,"",IF(Tab.o1[[#This Row],[a1]]=1,Tab.o1[[#This Row],[Wr]]^2,""))</f>
        <v/>
      </c>
      <c r="AD271" s="118" t="str">
        <f>IF(Tab.o1[[#This Row],[a1]]=1,IF(AE$3=0,"",Tab.o1[[#This Row],[Wr2]]/SUM(Tab.o1[Wr2])),"")</f>
        <v/>
      </c>
      <c r="AE271" s="128" t="str">
        <f>IF(Tab.o1[[#This Row],[a1]]=1,[1]!T.in.A[[#This Row],[oo10]],"")</f>
        <v/>
      </c>
      <c r="AF271" s="118" t="str">
        <f>IF(Tab.o1[[#This Row],[a1]]=1,ABS(Tab.o1[[#This Row],[DIF_Target.]]*Tab.o1[[#This Row],[PDF2]]*Tab.o1[[#This Row],[IN]]),"")</f>
        <v/>
      </c>
      <c r="AG271" s="129" t="str">
        <f>IF(Tab.o1[[#This Row],[a1]]=1,Tab.o1[[#This Row],[rW]]^2,"")</f>
        <v/>
      </c>
      <c r="AH271" s="130" t="str">
        <f>IF(Tab.o1[[#This Row],[a1]]=1,IF(AH$3=0,Tab.o1[[#This Row],[rW2]],0.01+0.94*Tab.o1[[#This Row],[rW2]]/SUM(Tab.o1[rW2])),"")</f>
        <v/>
      </c>
      <c r="AI271" s="128" t="str">
        <f>IF(Tab.o1[[#This Row],[a1]]=1,1/Tab.o1[[#This Row],[PDF]],"")</f>
        <v/>
      </c>
      <c r="AJ271" s="131" t="str">
        <f>IF(Tab.o1[[#This Row],[a1]]=1,[1]!T_AA[[#This Row],[IN'']]*[1]!T_AA[[#This Row],[Qde'']],"")</f>
        <v/>
      </c>
      <c r="AK271" s="132" t="str">
        <f>IF(Tab.o1[[#This Row],[a1]]=1,IF(AK$1=1,Tab.o1[[#This Row],[MED]]+Tab.o1[[#This Row],[MOD]]-Tab.o1[[#This Row],[MED]],""),"")</f>
        <v/>
      </c>
      <c r="AL271" s="133" t="str">
        <f>IF(Tab.o1[[#This Row],[a1]]=1,[1]!T.in.A[[#This Row],[oo16]],"")</f>
        <v/>
      </c>
      <c r="AM271" s="133" t="str">
        <f>IF(Tab.o1[[#This Row],[a1]]=1,IF(AM$3=1,[1]!T.in.A[[#This Row],[Σo16]],""),"")</f>
        <v/>
      </c>
      <c r="AN271" s="126" t="str">
        <f>IF(Tab.o1[[#This Row],[a1]]=1,[1]!T.in.A[[#This Row],[Σp5]],"")</f>
        <v/>
      </c>
      <c r="AO271" s="126" t="str">
        <f>IF(Tab.o1[[#This Row],[a1]]=1,IF(AO$3=1,[1]!T.in.A[[#This Row],[Σp5]],""),"")</f>
        <v/>
      </c>
      <c r="AP271" s="110" t="str">
        <f>IF(Tab.o1[[#This Row],[a1]]=1,IF(ISNUMBER(Tab.o1[[#This Row],[i.]]),NORMDIST(Tab.o1[[#This Row],[Za]],0,1,FALSE)*Tab.o1[[#This Row],[i.]],0),"")</f>
        <v/>
      </c>
      <c r="AQ271" s="125" t="str">
        <f>IF(Tab.o1[[#This Row],[a1]]=1,ABS(Tab.o1[[#This Row],[MOD]]-AVERAGE(Tab.o1[MOD])),"")</f>
        <v/>
      </c>
      <c r="AR271" s="134" t="str">
        <f>IF(Tab.o1[[#This Row],[a1]]=1,Tab.o1[[#This Row],[OBS]]/SUM(Tab.o1[OBS]),"")</f>
        <v/>
      </c>
      <c r="AS271" s="135" t="str">
        <f>IF(ISNUMBER(Tab.o1[[#This Row],[a1]]),ROW()-4,"")</f>
        <v/>
      </c>
      <c r="AT271" s="136" t="str">
        <f>Tab.o1[[#This Row],[MOD]]</f>
        <v/>
      </c>
      <c r="AU271" s="137" t="str">
        <f t="shared" si="17"/>
        <v/>
      </c>
      <c r="AV271" s="138" t="str">
        <f t="shared" si="18"/>
        <v/>
      </c>
      <c r="AW271" s="138" t="str">
        <f t="shared" si="19"/>
        <v/>
      </c>
      <c r="AX271" s="139" t="str">
        <f>[1]!T.in.A[[#This Row],[ID_T_manu]]</f>
        <v/>
      </c>
      <c r="AY271" s="140" t="str">
        <f>IF(ISNUMBER(Tab.o1[[#This Row],[a1]]),IF(AND(Tab.o1[[#This Row],[a1]]=1,Tab.o1[[#This Row],[b1]]&lt;=AY$4),#REF!,AY270),"")</f>
        <v/>
      </c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</row>
    <row r="272" spans="1:79" ht="15.75" hidden="1">
      <c r="A272" s="109">
        <v>-1.0000000000000002E-6</v>
      </c>
      <c r="B272" s="110">
        <f t="shared" si="16"/>
        <v>272</v>
      </c>
      <c r="C272" s="111" t="str">
        <f>IF(C$1=[1]!T.in.A[[#This Row],[oo2]],1,"")</f>
        <v/>
      </c>
      <c r="D272" s="112" t="str">
        <f>IF(Tab.o1[[#This Row],[a1]]=1,IF(SUM(C272:C273)=0,0,IF(SUM(C271:C272)=1,1,IF(SUM(C271:C273)&gt;1,D271+1,0))),"")</f>
        <v/>
      </c>
      <c r="E272" s="113" t="str">
        <f>IF(Tab.o1[[#This Row],[a1]]=1,[1]!T.in.A[[#This Row],[oo1]],"")</f>
        <v/>
      </c>
      <c r="F272" s="113" t="str">
        <f>IF(Tab.o1[[#This Row],[a1]]=1,[1]!T.in.A[[#This Row],[pp1]],"")</f>
        <v/>
      </c>
      <c r="G272" s="114" t="str">
        <f>IF(Tab.o1[[#This Row],[a1]]=1,G$2+IF(G$1=1,0,Tab.o1[[#This Row],[.x1]])+[1]!T.in.A[[#This Row],[oo3]],"")</f>
        <v/>
      </c>
      <c r="H272" s="115" t="str">
        <f>IF(Tab.o1[[#This Row],[a1]]=1,IF(H$2=0,0,IF(G$1=1,0,Tab.o1[[#This Row],[.x1]])+[1]!T.in.A[[#This Row],[oo4]]),"")</f>
        <v/>
      </c>
      <c r="I272" s="116" t="str">
        <f>IF(Tab.o1[[#This Row],[a1]]=1,IF(J$2=0,Tab.o1[[#This Row],[MED]],Tab.o1[[#This Row],[MOD]]),"")</f>
        <v/>
      </c>
      <c r="J272" s="116" t="str">
        <f>IF(Tab.o1[[#This Row],[a1]]=1,((Tab.o1[[#This Row],[DIF_Target.]]-AVERAGE(Tab.o1[DIF_Target.]))/_xlfn.STDEV.P(Tab.o1[DIF_Target.])),"")</f>
        <v/>
      </c>
      <c r="K272" s="117" t="str">
        <f>IF(Tab.o1[[#This Row],[a1]]=1,IF(J$2=0,Tab.o1[[#This Row],[MOD]]-Tab.o1[[#This Row],[B]],IF(J$2=1,0,-Tab.o1[[#This Row],[MED]])+Tab.o1[[#This Row],[B]]),"")</f>
        <v/>
      </c>
      <c r="L272" s="117" t="str">
        <f ca="1">IF(Tab.o1[[#This Row],[DIF_Target]]=0,IF(L$2=0,Tab.o1[[#This Row],[DIF_Target]],AVERAGE(OFFSET(Tab.o1[[#This Row],[DIF_Target]],1,0,L$3,1)))/3,Tab.o1[[#This Row],[DIF_Target]])</f>
        <v/>
      </c>
      <c r="M272" s="118" t="str">
        <f>IF(Tab.o1[[#This Row],[a1]]=1,NORMSDIST(Tab.o1[[#This Row],[Za]]),"")</f>
        <v/>
      </c>
      <c r="N272" s="119" t="str">
        <f>IF(Tab.o1[[#This Row],[a1]]=1,((Tab.o1[[#This Row],[MedMod]]-AVERAGE(Tab.o1[MedMod]))/_xlfn.STDEV.P(Tab.o1[MedMod])*H$1205)+G$1205,"")</f>
        <v/>
      </c>
      <c r="O272" s="141" t="str">
        <f>IF(Tab.o1[[#This Row],[a1]]=1,Tab.o1[[#This Row],[Zb]]*_xlfn.STDEV.P(Tab.o1[MedMod])+AVERAGE(Tab.o1[MedMod]),"")</f>
        <v/>
      </c>
      <c r="P272" s="117" t="str">
        <f ca="1">IF(Tab.o1[[#This Row],[B]]=0,AVERAGE(OFFSET(Tab.o1[[#This Row],[B]],1,0,L$3,1)),Tab.o1[[#This Row],[B]])</f>
        <v/>
      </c>
      <c r="Q272" s="121" t="str">
        <f>IF(Tab.o1[[#This Row],[a1]]=1,NORMSDIST(Tab.o1[[#This Row],[Zb]]),"")</f>
        <v/>
      </c>
      <c r="R272" s="122" t="str">
        <f>IF(Tab.o1[[#This Row],[a1]]=1,((Tab.o1[[#This Row],[MedMod]]-AVERAGE(Tab.o1[MedMod]))/_xlfn.STDEV.P(Tab.o1[MedMod])*H$1203)+G$1203,"")</f>
        <v/>
      </c>
      <c r="S272" s="122" t="str">
        <f>IF(Tab.o1[[#This Row],[a1]]=1,((Tab.o1[[#This Row],[MedMod]]-AVERAGE(Tab.o1[MedMod]))/_xlfn.STDEV.P(Tab.o1[MedMod])*H$1204)+G$1204,"")</f>
        <v/>
      </c>
      <c r="T272" s="123" t="str">
        <f>IF(Tab.o1[[#This Row],[a1]]=1,Tab.o1[[#This Row],[Z-]]*_xlfn.STDEV.P(Tab.o1[B])+AVERAGE(Tab.o1[B]),"")</f>
        <v/>
      </c>
      <c r="U272" s="123" t="str">
        <f>IF(Tab.o1[[#This Row],[a1]]=1,Tab.o1[[#This Row],[z+]]*_xlfn.STDEV.P(Tab.o1[B])+AVERAGE(Tab.o1[B]),"")</f>
        <v/>
      </c>
      <c r="V272" s="124" t="str">
        <f>IF(Tab.o1[[#This Row],[a1]]=1,ABS((ABS(Tab.o1[[#This Row],[Red]]-Tab.o1[[#This Row],[Blue]]))),"")</f>
        <v/>
      </c>
      <c r="W272" s="125" t="str">
        <f>IF(Tab.o1[[#This Row],[a1]]=1,IF(W$3=0,1,Tab.o1[[#This Row],[Amp.]]*1/_xlfn.MINIFS(Tab.o1[Amp.],Tab.o1[Amp.],"&lt;&gt;0")),"")</f>
        <v/>
      </c>
      <c r="X272" s="126" t="str">
        <f>IF(Tab.o1[[#This Row],[a1]]=1,IF(ISNUMBER(Tab.o1[[#This Row],[i.]]),NORMDIST(Tab.o1[[#This Row],[Za]],0,1,FALSE)*Tab.o1[[#This Row],[i.]],AP$3),"")</f>
        <v/>
      </c>
      <c r="Y272" s="126" t="str">
        <f>IF(Tab.o1[[#This Row],[a1]]=1,0.01+0.94*Tab.o1[[#This Row],[PDF]]/MAX(Tab.o1[PDF]),"")</f>
        <v/>
      </c>
      <c r="Z272" s="126" t="str">
        <f>IF(Tab.o1[[#This Row],[a1]]=1,0.01+0.94*Tab.o1[[#This Row],[W1_PDF]]/MAX(Tab.o1[W1_PDF]),"")</f>
        <v/>
      </c>
      <c r="AA272" s="118" t="str">
        <f>IF(Tab.o1[[#This Row],[a1]]=1,ABS([1]!T.in.A[[#This Row],[oo6]]),"")</f>
        <v/>
      </c>
      <c r="AB272" s="127" t="str">
        <f>IF(Tab.o1[[#This Row],[a1]]=1,IF(AE$3=0,"",IF(AB$3=0,ABS([1]!T.in.A[[#This Row],[oo9]]),ABS(Tab.o1[[#This Row],[DIF_Target.]]*Tab.o1[[#This Row],[W1_PDF]]))),"")</f>
        <v/>
      </c>
      <c r="AC272" s="127" t="str">
        <f>IF(G$1=1,"",IF(Tab.o1[[#This Row],[a1]]=1,Tab.o1[[#This Row],[Wr]]^2,""))</f>
        <v/>
      </c>
      <c r="AD272" s="118" t="str">
        <f>IF(Tab.o1[[#This Row],[a1]]=1,IF(AE$3=0,"",Tab.o1[[#This Row],[Wr2]]/SUM(Tab.o1[Wr2])),"")</f>
        <v/>
      </c>
      <c r="AE272" s="128" t="str">
        <f>IF(Tab.o1[[#This Row],[a1]]=1,[1]!T.in.A[[#This Row],[oo10]],"")</f>
        <v/>
      </c>
      <c r="AF272" s="118" t="str">
        <f>IF(Tab.o1[[#This Row],[a1]]=1,ABS(Tab.o1[[#This Row],[DIF_Target.]]*Tab.o1[[#This Row],[PDF2]]*Tab.o1[[#This Row],[IN]]),"")</f>
        <v/>
      </c>
      <c r="AG272" s="129" t="str">
        <f>IF(Tab.o1[[#This Row],[a1]]=1,Tab.o1[[#This Row],[rW]]^2,"")</f>
        <v/>
      </c>
      <c r="AH272" s="130" t="str">
        <f>IF(Tab.o1[[#This Row],[a1]]=1,IF(AH$3=0,Tab.o1[[#This Row],[rW2]],0.01+0.94*Tab.o1[[#This Row],[rW2]]/SUM(Tab.o1[rW2])),"")</f>
        <v/>
      </c>
      <c r="AI272" s="128" t="str">
        <f>IF(Tab.o1[[#This Row],[a1]]=1,1/Tab.o1[[#This Row],[PDF]],"")</f>
        <v/>
      </c>
      <c r="AJ272" s="131" t="str">
        <f>IF(Tab.o1[[#This Row],[a1]]=1,[1]!T_AA[[#This Row],[IN'']]*[1]!T_AA[[#This Row],[Qde'']],"")</f>
        <v/>
      </c>
      <c r="AK272" s="132" t="str">
        <f>IF(Tab.o1[[#This Row],[a1]]=1,IF(AK$1=1,Tab.o1[[#This Row],[MED]]+Tab.o1[[#This Row],[MOD]]-Tab.o1[[#This Row],[MED]],""),"")</f>
        <v/>
      </c>
      <c r="AL272" s="133" t="str">
        <f>IF(Tab.o1[[#This Row],[a1]]=1,[1]!T.in.A[[#This Row],[oo16]],"")</f>
        <v/>
      </c>
      <c r="AM272" s="133" t="str">
        <f>IF(Tab.o1[[#This Row],[a1]]=1,IF(AM$3=1,[1]!T.in.A[[#This Row],[Σo16]],""),"")</f>
        <v/>
      </c>
      <c r="AN272" s="126" t="str">
        <f>IF(Tab.o1[[#This Row],[a1]]=1,[1]!T.in.A[[#This Row],[Σp5]],"")</f>
        <v/>
      </c>
      <c r="AO272" s="126" t="str">
        <f>IF(Tab.o1[[#This Row],[a1]]=1,IF(AO$3=1,[1]!T.in.A[[#This Row],[Σp5]],""),"")</f>
        <v/>
      </c>
      <c r="AP272" s="110" t="str">
        <f>IF(Tab.o1[[#This Row],[a1]]=1,IF(ISNUMBER(Tab.o1[[#This Row],[i.]]),NORMDIST(Tab.o1[[#This Row],[Za]],0,1,FALSE)*Tab.o1[[#This Row],[i.]],0),"")</f>
        <v/>
      </c>
      <c r="AQ272" s="125" t="str">
        <f>IF(Tab.o1[[#This Row],[a1]]=1,ABS(Tab.o1[[#This Row],[MOD]]-AVERAGE(Tab.o1[MOD])),"")</f>
        <v/>
      </c>
      <c r="AR272" s="134" t="str">
        <f>IF(Tab.o1[[#This Row],[a1]]=1,Tab.o1[[#This Row],[OBS]]/SUM(Tab.o1[OBS]),"")</f>
        <v/>
      </c>
      <c r="AS272" s="135" t="str">
        <f>IF(ISNUMBER(Tab.o1[[#This Row],[a1]]),ROW()-4,"")</f>
        <v/>
      </c>
      <c r="AT272" s="136" t="str">
        <f>Tab.o1[[#This Row],[MOD]]</f>
        <v/>
      </c>
      <c r="AU272" s="137" t="str">
        <f t="shared" si="17"/>
        <v/>
      </c>
      <c r="AV272" s="138" t="str">
        <f t="shared" si="18"/>
        <v/>
      </c>
      <c r="AW272" s="138" t="str">
        <f t="shared" si="19"/>
        <v/>
      </c>
      <c r="AX272" s="139" t="str">
        <f>[1]!T.in.A[[#This Row],[ID_T_manu]]</f>
        <v/>
      </c>
      <c r="AY272" s="140" t="str">
        <f>IF(ISNUMBER(Tab.o1[[#This Row],[a1]]),IF(AND(Tab.o1[[#This Row],[a1]]=1,Tab.o1[[#This Row],[b1]]&lt;=AY$4),#REF!,AY271),"")</f>
        <v/>
      </c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</row>
    <row r="273" spans="1:79" ht="15.75" hidden="1">
      <c r="A273" s="109">
        <v>-2.0000000000000003E-6</v>
      </c>
      <c r="B273" s="110">
        <f t="shared" si="16"/>
        <v>273</v>
      </c>
      <c r="C273" s="111" t="str">
        <f>IF(C$1=[1]!T.in.A[[#This Row],[oo2]],1,"")</f>
        <v/>
      </c>
      <c r="D273" s="112" t="str">
        <f>IF(Tab.o1[[#This Row],[a1]]=1,IF(SUM(C273:C274)=0,0,IF(SUM(C272:C273)=1,1,IF(SUM(C272:C274)&gt;1,D272+1,0))),"")</f>
        <v/>
      </c>
      <c r="E273" s="113" t="str">
        <f>IF(Tab.o1[[#This Row],[a1]]=1,[1]!T.in.A[[#This Row],[oo1]],"")</f>
        <v/>
      </c>
      <c r="F273" s="113" t="str">
        <f>IF(Tab.o1[[#This Row],[a1]]=1,[1]!T.in.A[[#This Row],[pp1]],"")</f>
        <v/>
      </c>
      <c r="G273" s="114" t="str">
        <f>IF(Tab.o1[[#This Row],[a1]]=1,G$2+IF(G$1=1,0,Tab.o1[[#This Row],[.x1]])+[1]!T.in.A[[#This Row],[oo3]],"")</f>
        <v/>
      </c>
      <c r="H273" s="115" t="str">
        <f>IF(Tab.o1[[#This Row],[a1]]=1,IF(H$2=0,0,IF(G$1=1,0,Tab.o1[[#This Row],[.x1]])+[1]!T.in.A[[#This Row],[oo4]]),"")</f>
        <v/>
      </c>
      <c r="I273" s="116" t="str">
        <f>IF(Tab.o1[[#This Row],[a1]]=1,IF(J$2=0,Tab.o1[[#This Row],[MED]],Tab.o1[[#This Row],[MOD]]),"")</f>
        <v/>
      </c>
      <c r="J273" s="116" t="str">
        <f>IF(Tab.o1[[#This Row],[a1]]=1,((Tab.o1[[#This Row],[DIF_Target.]]-AVERAGE(Tab.o1[DIF_Target.]))/_xlfn.STDEV.P(Tab.o1[DIF_Target.])),"")</f>
        <v/>
      </c>
      <c r="K273" s="117" t="str">
        <f>IF(Tab.o1[[#This Row],[a1]]=1,IF(J$2=0,Tab.o1[[#This Row],[MOD]]-Tab.o1[[#This Row],[B]],IF(J$2=1,0,-Tab.o1[[#This Row],[MED]])+Tab.o1[[#This Row],[B]]),"")</f>
        <v/>
      </c>
      <c r="L273" s="117" t="str">
        <f ca="1">IF(Tab.o1[[#This Row],[DIF_Target]]=0,IF(L$2=0,Tab.o1[[#This Row],[DIF_Target]],AVERAGE(OFFSET(Tab.o1[[#This Row],[DIF_Target]],1,0,L$3,1)))/3,Tab.o1[[#This Row],[DIF_Target]])</f>
        <v/>
      </c>
      <c r="M273" s="118" t="str">
        <f>IF(Tab.o1[[#This Row],[a1]]=1,NORMSDIST(Tab.o1[[#This Row],[Za]]),"")</f>
        <v/>
      </c>
      <c r="N273" s="119" t="str">
        <f>IF(Tab.o1[[#This Row],[a1]]=1,((Tab.o1[[#This Row],[MedMod]]-AVERAGE(Tab.o1[MedMod]))/_xlfn.STDEV.P(Tab.o1[MedMod])*H$1205)+G$1205,"")</f>
        <v/>
      </c>
      <c r="O273" s="141" t="str">
        <f>IF(Tab.o1[[#This Row],[a1]]=1,Tab.o1[[#This Row],[Zb]]*_xlfn.STDEV.P(Tab.o1[MedMod])+AVERAGE(Tab.o1[MedMod]),"")</f>
        <v/>
      </c>
      <c r="P273" s="117" t="str">
        <f ca="1">IF(Tab.o1[[#This Row],[B]]=0,AVERAGE(OFFSET(Tab.o1[[#This Row],[B]],1,0,L$3,1)),Tab.o1[[#This Row],[B]])</f>
        <v/>
      </c>
      <c r="Q273" s="121" t="str">
        <f>IF(Tab.o1[[#This Row],[a1]]=1,NORMSDIST(Tab.o1[[#This Row],[Zb]]),"")</f>
        <v/>
      </c>
      <c r="R273" s="122" t="str">
        <f>IF(Tab.o1[[#This Row],[a1]]=1,((Tab.o1[[#This Row],[MedMod]]-AVERAGE(Tab.o1[MedMod]))/_xlfn.STDEV.P(Tab.o1[MedMod])*H$1203)+G$1203,"")</f>
        <v/>
      </c>
      <c r="S273" s="122" t="str">
        <f>IF(Tab.o1[[#This Row],[a1]]=1,((Tab.o1[[#This Row],[MedMod]]-AVERAGE(Tab.o1[MedMod]))/_xlfn.STDEV.P(Tab.o1[MedMod])*H$1204)+G$1204,"")</f>
        <v/>
      </c>
      <c r="T273" s="123" t="str">
        <f>IF(Tab.o1[[#This Row],[a1]]=1,Tab.o1[[#This Row],[Z-]]*_xlfn.STDEV.P(Tab.o1[B])+AVERAGE(Tab.o1[B]),"")</f>
        <v/>
      </c>
      <c r="U273" s="123" t="str">
        <f>IF(Tab.o1[[#This Row],[a1]]=1,Tab.o1[[#This Row],[z+]]*_xlfn.STDEV.P(Tab.o1[B])+AVERAGE(Tab.o1[B]),"")</f>
        <v/>
      </c>
      <c r="V273" s="124" t="str">
        <f>IF(Tab.o1[[#This Row],[a1]]=1,ABS((ABS(Tab.o1[[#This Row],[Red]]-Tab.o1[[#This Row],[Blue]]))),"")</f>
        <v/>
      </c>
      <c r="W273" s="125" t="str">
        <f>IF(Tab.o1[[#This Row],[a1]]=1,IF(W$3=0,1,Tab.o1[[#This Row],[Amp.]]*1/_xlfn.MINIFS(Tab.o1[Amp.],Tab.o1[Amp.],"&lt;&gt;0")),"")</f>
        <v/>
      </c>
      <c r="X273" s="126" t="str">
        <f>IF(Tab.o1[[#This Row],[a1]]=1,IF(ISNUMBER(Tab.o1[[#This Row],[i.]]),NORMDIST(Tab.o1[[#This Row],[Za]],0,1,FALSE)*Tab.o1[[#This Row],[i.]],AP$3),"")</f>
        <v/>
      </c>
      <c r="Y273" s="126" t="str">
        <f>IF(Tab.o1[[#This Row],[a1]]=1,0.01+0.94*Tab.o1[[#This Row],[PDF]]/MAX(Tab.o1[PDF]),"")</f>
        <v/>
      </c>
      <c r="Z273" s="126" t="str">
        <f>IF(Tab.o1[[#This Row],[a1]]=1,0.01+0.94*Tab.o1[[#This Row],[W1_PDF]]/MAX(Tab.o1[W1_PDF]),"")</f>
        <v/>
      </c>
      <c r="AA273" s="118" t="str">
        <f>IF(Tab.o1[[#This Row],[a1]]=1,ABS([1]!T.in.A[[#This Row],[oo6]]),"")</f>
        <v/>
      </c>
      <c r="AB273" s="127" t="str">
        <f>IF(Tab.o1[[#This Row],[a1]]=1,IF(AE$3=0,"",IF(AB$3=0,ABS([1]!T.in.A[[#This Row],[oo9]]),ABS(Tab.o1[[#This Row],[DIF_Target.]]*Tab.o1[[#This Row],[W1_PDF]]))),"")</f>
        <v/>
      </c>
      <c r="AC273" s="127" t="str">
        <f>IF(G$1=1,"",IF(Tab.o1[[#This Row],[a1]]=1,Tab.o1[[#This Row],[Wr]]^2,""))</f>
        <v/>
      </c>
      <c r="AD273" s="118" t="str">
        <f>IF(Tab.o1[[#This Row],[a1]]=1,IF(AE$3=0,"",Tab.o1[[#This Row],[Wr2]]/SUM(Tab.o1[Wr2])),"")</f>
        <v/>
      </c>
      <c r="AE273" s="128" t="str">
        <f>IF(Tab.o1[[#This Row],[a1]]=1,[1]!T.in.A[[#This Row],[oo10]],"")</f>
        <v/>
      </c>
      <c r="AF273" s="118" t="str">
        <f>IF(Tab.o1[[#This Row],[a1]]=1,ABS(Tab.o1[[#This Row],[DIF_Target.]]*Tab.o1[[#This Row],[PDF2]]*Tab.o1[[#This Row],[IN]]),"")</f>
        <v/>
      </c>
      <c r="AG273" s="129" t="str">
        <f>IF(Tab.o1[[#This Row],[a1]]=1,Tab.o1[[#This Row],[rW]]^2,"")</f>
        <v/>
      </c>
      <c r="AH273" s="130" t="str">
        <f>IF(Tab.o1[[#This Row],[a1]]=1,IF(AH$3=0,Tab.o1[[#This Row],[rW2]],0.01+0.94*Tab.o1[[#This Row],[rW2]]/SUM(Tab.o1[rW2])),"")</f>
        <v/>
      </c>
      <c r="AI273" s="128" t="str">
        <f>IF(Tab.o1[[#This Row],[a1]]=1,1/Tab.o1[[#This Row],[PDF]],"")</f>
        <v/>
      </c>
      <c r="AJ273" s="131" t="str">
        <f>IF(Tab.o1[[#This Row],[a1]]=1,[1]!T_AA[[#This Row],[IN'']]*[1]!T_AA[[#This Row],[Qde'']],"")</f>
        <v/>
      </c>
      <c r="AK273" s="132" t="str">
        <f>IF(Tab.o1[[#This Row],[a1]]=1,IF(AK$1=1,Tab.o1[[#This Row],[MED]]+Tab.o1[[#This Row],[MOD]]-Tab.o1[[#This Row],[MED]],""),"")</f>
        <v/>
      </c>
      <c r="AL273" s="133" t="str">
        <f>IF(Tab.o1[[#This Row],[a1]]=1,[1]!T.in.A[[#This Row],[oo16]],"")</f>
        <v/>
      </c>
      <c r="AM273" s="133" t="str">
        <f>IF(Tab.o1[[#This Row],[a1]]=1,IF(AM$3=1,[1]!T.in.A[[#This Row],[Σo16]],""),"")</f>
        <v/>
      </c>
      <c r="AN273" s="126" t="str">
        <f>IF(Tab.o1[[#This Row],[a1]]=1,[1]!T.in.A[[#This Row],[Σp5]],"")</f>
        <v/>
      </c>
      <c r="AO273" s="126" t="str">
        <f>IF(Tab.o1[[#This Row],[a1]]=1,IF(AO$3=1,[1]!T.in.A[[#This Row],[Σp5]],""),"")</f>
        <v/>
      </c>
      <c r="AP273" s="110" t="str">
        <f>IF(Tab.o1[[#This Row],[a1]]=1,IF(ISNUMBER(Tab.o1[[#This Row],[i.]]),NORMDIST(Tab.o1[[#This Row],[Za]],0,1,FALSE)*Tab.o1[[#This Row],[i.]],0),"")</f>
        <v/>
      </c>
      <c r="AQ273" s="125" t="str">
        <f>IF(Tab.o1[[#This Row],[a1]]=1,ABS(Tab.o1[[#This Row],[MOD]]-AVERAGE(Tab.o1[MOD])),"")</f>
        <v/>
      </c>
      <c r="AR273" s="134" t="str">
        <f>IF(Tab.o1[[#This Row],[a1]]=1,Tab.o1[[#This Row],[OBS]]/SUM(Tab.o1[OBS]),"")</f>
        <v/>
      </c>
      <c r="AS273" s="135" t="str">
        <f>IF(ISNUMBER(Tab.o1[[#This Row],[a1]]),ROW()-4,"")</f>
        <v/>
      </c>
      <c r="AT273" s="136" t="str">
        <f>Tab.o1[[#This Row],[MOD]]</f>
        <v/>
      </c>
      <c r="AU273" s="137" t="str">
        <f t="shared" si="17"/>
        <v/>
      </c>
      <c r="AV273" s="138" t="str">
        <f t="shared" si="18"/>
        <v/>
      </c>
      <c r="AW273" s="138" t="str">
        <f t="shared" si="19"/>
        <v/>
      </c>
      <c r="AX273" s="139" t="str">
        <f>[1]!T.in.A[[#This Row],[ID_T_manu]]</f>
        <v/>
      </c>
      <c r="AY273" s="140" t="str">
        <f>IF(ISNUMBER(Tab.o1[[#This Row],[a1]]),IF(AND(Tab.o1[[#This Row],[a1]]=1,Tab.o1[[#This Row],[b1]]&lt;=AY$4),#REF!,AY272),"")</f>
        <v/>
      </c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</row>
    <row r="274" spans="1:79" ht="15.75" hidden="1">
      <c r="A274" s="109">
        <v>1.0000000000000002E-6</v>
      </c>
      <c r="B274" s="110">
        <f t="shared" si="16"/>
        <v>274</v>
      </c>
      <c r="C274" s="111" t="str">
        <f>IF(C$1=[1]!T.in.A[[#This Row],[oo2]],1,"")</f>
        <v/>
      </c>
      <c r="D274" s="112" t="str">
        <f>IF(Tab.o1[[#This Row],[a1]]=1,IF(SUM(C274:C275)=0,0,IF(SUM(C273:C274)=1,1,IF(SUM(C273:C275)&gt;1,D273+1,0))),"")</f>
        <v/>
      </c>
      <c r="E274" s="113" t="str">
        <f>IF(Tab.o1[[#This Row],[a1]]=1,[1]!T.in.A[[#This Row],[oo1]],"")</f>
        <v/>
      </c>
      <c r="F274" s="113" t="str">
        <f>IF(Tab.o1[[#This Row],[a1]]=1,[1]!T.in.A[[#This Row],[pp1]],"")</f>
        <v/>
      </c>
      <c r="G274" s="114" t="str">
        <f>IF(Tab.o1[[#This Row],[a1]]=1,G$2+IF(G$1=1,0,Tab.o1[[#This Row],[.x1]])+[1]!T.in.A[[#This Row],[oo3]],"")</f>
        <v/>
      </c>
      <c r="H274" s="115" t="str">
        <f>IF(Tab.o1[[#This Row],[a1]]=1,IF(H$2=0,0,IF(G$1=1,0,Tab.o1[[#This Row],[.x1]])+[1]!T.in.A[[#This Row],[oo4]]),"")</f>
        <v/>
      </c>
      <c r="I274" s="116" t="str">
        <f>IF(Tab.o1[[#This Row],[a1]]=1,IF(J$2=0,Tab.o1[[#This Row],[MED]],Tab.o1[[#This Row],[MOD]]),"")</f>
        <v/>
      </c>
      <c r="J274" s="116" t="str">
        <f>IF(Tab.o1[[#This Row],[a1]]=1,((Tab.o1[[#This Row],[DIF_Target.]]-AVERAGE(Tab.o1[DIF_Target.]))/_xlfn.STDEV.P(Tab.o1[DIF_Target.])),"")</f>
        <v/>
      </c>
      <c r="K274" s="117" t="str">
        <f>IF(Tab.o1[[#This Row],[a1]]=1,IF(J$2=0,Tab.o1[[#This Row],[MOD]]-Tab.o1[[#This Row],[B]],IF(J$2=1,0,-Tab.o1[[#This Row],[MED]])+Tab.o1[[#This Row],[B]]),"")</f>
        <v/>
      </c>
      <c r="L274" s="117" t="str">
        <f ca="1">IF(Tab.o1[[#This Row],[DIF_Target]]=0,IF(L$2=0,Tab.o1[[#This Row],[DIF_Target]],AVERAGE(OFFSET(Tab.o1[[#This Row],[DIF_Target]],1,0,L$3,1)))/3,Tab.o1[[#This Row],[DIF_Target]])</f>
        <v/>
      </c>
      <c r="M274" s="118" t="str">
        <f>IF(Tab.o1[[#This Row],[a1]]=1,NORMSDIST(Tab.o1[[#This Row],[Za]]),"")</f>
        <v/>
      </c>
      <c r="N274" s="119" t="str">
        <f>IF(Tab.o1[[#This Row],[a1]]=1,((Tab.o1[[#This Row],[MedMod]]-AVERAGE(Tab.o1[MedMod]))/_xlfn.STDEV.P(Tab.o1[MedMod])*H$1205)+G$1205,"")</f>
        <v/>
      </c>
      <c r="O274" s="141" t="str">
        <f>IF(Tab.o1[[#This Row],[a1]]=1,Tab.o1[[#This Row],[Zb]]*_xlfn.STDEV.P(Tab.o1[MedMod])+AVERAGE(Tab.o1[MedMod]),"")</f>
        <v/>
      </c>
      <c r="P274" s="117" t="str">
        <f ca="1">IF(Tab.o1[[#This Row],[B]]=0,AVERAGE(OFFSET(Tab.o1[[#This Row],[B]],1,0,L$3,1)),Tab.o1[[#This Row],[B]])</f>
        <v/>
      </c>
      <c r="Q274" s="121" t="str">
        <f>IF(Tab.o1[[#This Row],[a1]]=1,NORMSDIST(Tab.o1[[#This Row],[Zb]]),"")</f>
        <v/>
      </c>
      <c r="R274" s="122" t="str">
        <f>IF(Tab.o1[[#This Row],[a1]]=1,((Tab.o1[[#This Row],[MedMod]]-AVERAGE(Tab.o1[MedMod]))/_xlfn.STDEV.P(Tab.o1[MedMod])*H$1203)+G$1203,"")</f>
        <v/>
      </c>
      <c r="S274" s="122" t="str">
        <f>IF(Tab.o1[[#This Row],[a1]]=1,((Tab.o1[[#This Row],[MedMod]]-AVERAGE(Tab.o1[MedMod]))/_xlfn.STDEV.P(Tab.o1[MedMod])*H$1204)+G$1204,"")</f>
        <v/>
      </c>
      <c r="T274" s="123" t="str">
        <f>IF(Tab.o1[[#This Row],[a1]]=1,Tab.o1[[#This Row],[Z-]]*_xlfn.STDEV.P(Tab.o1[B])+AVERAGE(Tab.o1[B]),"")</f>
        <v/>
      </c>
      <c r="U274" s="123" t="str">
        <f>IF(Tab.o1[[#This Row],[a1]]=1,Tab.o1[[#This Row],[z+]]*_xlfn.STDEV.P(Tab.o1[B])+AVERAGE(Tab.o1[B]),"")</f>
        <v/>
      </c>
      <c r="V274" s="124" t="str">
        <f>IF(Tab.o1[[#This Row],[a1]]=1,ABS((ABS(Tab.o1[[#This Row],[Red]]-Tab.o1[[#This Row],[Blue]]))),"")</f>
        <v/>
      </c>
      <c r="W274" s="125" t="str">
        <f>IF(Tab.o1[[#This Row],[a1]]=1,IF(W$3=0,1,Tab.o1[[#This Row],[Amp.]]*1/_xlfn.MINIFS(Tab.o1[Amp.],Tab.o1[Amp.],"&lt;&gt;0")),"")</f>
        <v/>
      </c>
      <c r="X274" s="126" t="str">
        <f>IF(Tab.o1[[#This Row],[a1]]=1,IF(ISNUMBER(Tab.o1[[#This Row],[i.]]),NORMDIST(Tab.o1[[#This Row],[Za]],0,1,FALSE)*Tab.o1[[#This Row],[i.]],AP$3),"")</f>
        <v/>
      </c>
      <c r="Y274" s="126" t="str">
        <f>IF(Tab.o1[[#This Row],[a1]]=1,0.01+0.94*Tab.o1[[#This Row],[PDF]]/MAX(Tab.o1[PDF]),"")</f>
        <v/>
      </c>
      <c r="Z274" s="126" t="str">
        <f>IF(Tab.o1[[#This Row],[a1]]=1,0.01+0.94*Tab.o1[[#This Row],[W1_PDF]]/MAX(Tab.o1[W1_PDF]),"")</f>
        <v/>
      </c>
      <c r="AA274" s="118" t="str">
        <f>IF(Tab.o1[[#This Row],[a1]]=1,ABS([1]!T.in.A[[#This Row],[oo6]]),"")</f>
        <v/>
      </c>
      <c r="AB274" s="127" t="str">
        <f>IF(Tab.o1[[#This Row],[a1]]=1,IF(AE$3=0,"",IF(AB$3=0,ABS([1]!T.in.A[[#This Row],[oo9]]),ABS(Tab.o1[[#This Row],[DIF_Target.]]*Tab.o1[[#This Row],[W1_PDF]]))),"")</f>
        <v/>
      </c>
      <c r="AC274" s="127" t="str">
        <f>IF(G$1=1,"",IF(Tab.o1[[#This Row],[a1]]=1,Tab.o1[[#This Row],[Wr]]^2,""))</f>
        <v/>
      </c>
      <c r="AD274" s="118" t="str">
        <f>IF(Tab.o1[[#This Row],[a1]]=1,IF(AE$3=0,"",Tab.o1[[#This Row],[Wr2]]/SUM(Tab.o1[Wr2])),"")</f>
        <v/>
      </c>
      <c r="AE274" s="128" t="str">
        <f>IF(Tab.o1[[#This Row],[a1]]=1,[1]!T.in.A[[#This Row],[oo10]],"")</f>
        <v/>
      </c>
      <c r="AF274" s="118" t="str">
        <f>IF(Tab.o1[[#This Row],[a1]]=1,ABS(Tab.o1[[#This Row],[DIF_Target.]]*Tab.o1[[#This Row],[PDF2]]*Tab.o1[[#This Row],[IN]]),"")</f>
        <v/>
      </c>
      <c r="AG274" s="129" t="str">
        <f>IF(Tab.o1[[#This Row],[a1]]=1,Tab.o1[[#This Row],[rW]]^2,"")</f>
        <v/>
      </c>
      <c r="AH274" s="130" t="str">
        <f>IF(Tab.o1[[#This Row],[a1]]=1,IF(AH$3=0,Tab.o1[[#This Row],[rW2]],0.01+0.94*Tab.o1[[#This Row],[rW2]]/SUM(Tab.o1[rW2])),"")</f>
        <v/>
      </c>
      <c r="AI274" s="128" t="str">
        <f>IF(Tab.o1[[#This Row],[a1]]=1,1/Tab.o1[[#This Row],[PDF]],"")</f>
        <v/>
      </c>
      <c r="AJ274" s="131" t="str">
        <f>IF(Tab.o1[[#This Row],[a1]]=1,[1]!T_AA[[#This Row],[IN'']]*[1]!T_AA[[#This Row],[Qde'']],"")</f>
        <v/>
      </c>
      <c r="AK274" s="132" t="str">
        <f>IF(Tab.o1[[#This Row],[a1]]=1,IF(AK$1=1,Tab.o1[[#This Row],[MED]]+Tab.o1[[#This Row],[MOD]]-Tab.o1[[#This Row],[MED]],""),"")</f>
        <v/>
      </c>
      <c r="AL274" s="133" t="str">
        <f>IF(Tab.o1[[#This Row],[a1]]=1,[1]!T.in.A[[#This Row],[oo16]],"")</f>
        <v/>
      </c>
      <c r="AM274" s="133" t="str">
        <f>IF(Tab.o1[[#This Row],[a1]]=1,IF(AM$3=1,[1]!T.in.A[[#This Row],[Σo16]],""),"")</f>
        <v/>
      </c>
      <c r="AN274" s="126" t="str">
        <f>IF(Tab.o1[[#This Row],[a1]]=1,[1]!T.in.A[[#This Row],[Σp5]],"")</f>
        <v/>
      </c>
      <c r="AO274" s="126" t="str">
        <f>IF(Tab.o1[[#This Row],[a1]]=1,IF(AO$3=1,[1]!T.in.A[[#This Row],[Σp5]],""),"")</f>
        <v/>
      </c>
      <c r="AP274" s="110" t="str">
        <f>IF(Tab.o1[[#This Row],[a1]]=1,IF(ISNUMBER(Tab.o1[[#This Row],[i.]]),NORMDIST(Tab.o1[[#This Row],[Za]],0,1,FALSE)*Tab.o1[[#This Row],[i.]],0),"")</f>
        <v/>
      </c>
      <c r="AQ274" s="125" t="str">
        <f>IF(Tab.o1[[#This Row],[a1]]=1,ABS(Tab.o1[[#This Row],[MOD]]-AVERAGE(Tab.o1[MOD])),"")</f>
        <v/>
      </c>
      <c r="AR274" s="134" t="str">
        <f>IF(Tab.o1[[#This Row],[a1]]=1,Tab.o1[[#This Row],[OBS]]/SUM(Tab.o1[OBS]),"")</f>
        <v/>
      </c>
      <c r="AS274" s="135" t="str">
        <f>IF(ISNUMBER(Tab.o1[[#This Row],[a1]]),ROW()-4,"")</f>
        <v/>
      </c>
      <c r="AT274" s="136" t="str">
        <f>Tab.o1[[#This Row],[MOD]]</f>
        <v/>
      </c>
      <c r="AU274" s="137" t="str">
        <f t="shared" si="17"/>
        <v/>
      </c>
      <c r="AV274" s="138" t="str">
        <f t="shared" si="18"/>
        <v/>
      </c>
      <c r="AW274" s="138" t="str">
        <f t="shared" si="19"/>
        <v/>
      </c>
      <c r="AX274" s="139" t="str">
        <f>[1]!T.in.A[[#This Row],[ID_T_manu]]</f>
        <v/>
      </c>
      <c r="AY274" s="140" t="str">
        <f>IF(ISNUMBER(Tab.o1[[#This Row],[a1]]),IF(AND(Tab.o1[[#This Row],[a1]]=1,Tab.o1[[#This Row],[b1]]&lt;=AY$4),#REF!,AY273),"")</f>
        <v/>
      </c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</row>
    <row r="275" spans="1:79" ht="15.75" hidden="1">
      <c r="A275" s="109">
        <v>4.0000000000000007E-6</v>
      </c>
      <c r="B275" s="110">
        <f t="shared" si="16"/>
        <v>275</v>
      </c>
      <c r="C275" s="111" t="str">
        <f>IF(C$1=[1]!T.in.A[[#This Row],[oo2]],1,"")</f>
        <v/>
      </c>
      <c r="D275" s="112" t="str">
        <f>IF(Tab.o1[[#This Row],[a1]]=1,IF(SUM(C275:C276)=0,0,IF(SUM(C274:C275)=1,1,IF(SUM(C274:C276)&gt;1,D274+1,0))),"")</f>
        <v/>
      </c>
      <c r="E275" s="113" t="str">
        <f>IF(Tab.o1[[#This Row],[a1]]=1,[1]!T.in.A[[#This Row],[oo1]],"")</f>
        <v/>
      </c>
      <c r="F275" s="113" t="str">
        <f>IF(Tab.o1[[#This Row],[a1]]=1,[1]!T.in.A[[#This Row],[pp1]],"")</f>
        <v/>
      </c>
      <c r="G275" s="114" t="str">
        <f>IF(Tab.o1[[#This Row],[a1]]=1,G$2+IF(G$1=1,0,Tab.o1[[#This Row],[.x1]])+[1]!T.in.A[[#This Row],[oo3]],"")</f>
        <v/>
      </c>
      <c r="H275" s="115" t="str">
        <f>IF(Tab.o1[[#This Row],[a1]]=1,IF(H$2=0,0,IF(G$1=1,0,Tab.o1[[#This Row],[.x1]])+[1]!T.in.A[[#This Row],[oo4]]),"")</f>
        <v/>
      </c>
      <c r="I275" s="116" t="str">
        <f>IF(Tab.o1[[#This Row],[a1]]=1,IF(J$2=0,Tab.o1[[#This Row],[MED]],Tab.o1[[#This Row],[MOD]]),"")</f>
        <v/>
      </c>
      <c r="J275" s="116" t="str">
        <f>IF(Tab.o1[[#This Row],[a1]]=1,((Tab.o1[[#This Row],[DIF_Target.]]-AVERAGE(Tab.o1[DIF_Target.]))/_xlfn.STDEV.P(Tab.o1[DIF_Target.])),"")</f>
        <v/>
      </c>
      <c r="K275" s="117" t="str">
        <f>IF(Tab.o1[[#This Row],[a1]]=1,IF(J$2=0,Tab.o1[[#This Row],[MOD]]-Tab.o1[[#This Row],[B]],IF(J$2=1,0,-Tab.o1[[#This Row],[MED]])+Tab.o1[[#This Row],[B]]),"")</f>
        <v/>
      </c>
      <c r="L275" s="117" t="str">
        <f ca="1">IF(Tab.o1[[#This Row],[DIF_Target]]=0,IF(L$2=0,Tab.o1[[#This Row],[DIF_Target]],AVERAGE(OFFSET(Tab.o1[[#This Row],[DIF_Target]],1,0,L$3,1)))/3,Tab.o1[[#This Row],[DIF_Target]])</f>
        <v/>
      </c>
      <c r="M275" s="118" t="str">
        <f>IF(Tab.o1[[#This Row],[a1]]=1,NORMSDIST(Tab.o1[[#This Row],[Za]]),"")</f>
        <v/>
      </c>
      <c r="N275" s="119" t="str">
        <f>IF(Tab.o1[[#This Row],[a1]]=1,((Tab.o1[[#This Row],[MedMod]]-AVERAGE(Tab.o1[MedMod]))/_xlfn.STDEV.P(Tab.o1[MedMod])*H$1205)+G$1205,"")</f>
        <v/>
      </c>
      <c r="O275" s="141" t="str">
        <f>IF(Tab.o1[[#This Row],[a1]]=1,Tab.o1[[#This Row],[Zb]]*_xlfn.STDEV.P(Tab.o1[MedMod])+AVERAGE(Tab.o1[MedMod]),"")</f>
        <v/>
      </c>
      <c r="P275" s="117" t="str">
        <f ca="1">IF(Tab.o1[[#This Row],[B]]=0,AVERAGE(OFFSET(Tab.o1[[#This Row],[B]],1,0,L$3,1)),Tab.o1[[#This Row],[B]])</f>
        <v/>
      </c>
      <c r="Q275" s="121" t="str">
        <f>IF(Tab.o1[[#This Row],[a1]]=1,NORMSDIST(Tab.o1[[#This Row],[Zb]]),"")</f>
        <v/>
      </c>
      <c r="R275" s="122" t="str">
        <f>IF(Tab.o1[[#This Row],[a1]]=1,((Tab.o1[[#This Row],[MedMod]]-AVERAGE(Tab.o1[MedMod]))/_xlfn.STDEV.P(Tab.o1[MedMod])*H$1203)+G$1203,"")</f>
        <v/>
      </c>
      <c r="S275" s="122" t="str">
        <f>IF(Tab.o1[[#This Row],[a1]]=1,((Tab.o1[[#This Row],[MedMod]]-AVERAGE(Tab.o1[MedMod]))/_xlfn.STDEV.P(Tab.o1[MedMod])*H$1204)+G$1204,"")</f>
        <v/>
      </c>
      <c r="T275" s="123" t="str">
        <f>IF(Tab.o1[[#This Row],[a1]]=1,Tab.o1[[#This Row],[Z-]]*_xlfn.STDEV.P(Tab.o1[B])+AVERAGE(Tab.o1[B]),"")</f>
        <v/>
      </c>
      <c r="U275" s="123" t="str">
        <f>IF(Tab.o1[[#This Row],[a1]]=1,Tab.o1[[#This Row],[z+]]*_xlfn.STDEV.P(Tab.o1[B])+AVERAGE(Tab.o1[B]),"")</f>
        <v/>
      </c>
      <c r="V275" s="124" t="str">
        <f>IF(Tab.o1[[#This Row],[a1]]=1,ABS((ABS(Tab.o1[[#This Row],[Red]]-Tab.o1[[#This Row],[Blue]]))),"")</f>
        <v/>
      </c>
      <c r="W275" s="125" t="str">
        <f>IF(Tab.o1[[#This Row],[a1]]=1,IF(W$3=0,1,Tab.o1[[#This Row],[Amp.]]*1/_xlfn.MINIFS(Tab.o1[Amp.],Tab.o1[Amp.],"&lt;&gt;0")),"")</f>
        <v/>
      </c>
      <c r="X275" s="126" t="str">
        <f>IF(Tab.o1[[#This Row],[a1]]=1,IF(ISNUMBER(Tab.o1[[#This Row],[i.]]),NORMDIST(Tab.o1[[#This Row],[Za]],0,1,FALSE)*Tab.o1[[#This Row],[i.]],AP$3),"")</f>
        <v/>
      </c>
      <c r="Y275" s="126" t="str">
        <f>IF(Tab.o1[[#This Row],[a1]]=1,0.01+0.94*Tab.o1[[#This Row],[PDF]]/MAX(Tab.o1[PDF]),"")</f>
        <v/>
      </c>
      <c r="Z275" s="126" t="str">
        <f>IF(Tab.o1[[#This Row],[a1]]=1,0.01+0.94*Tab.o1[[#This Row],[W1_PDF]]/MAX(Tab.o1[W1_PDF]),"")</f>
        <v/>
      </c>
      <c r="AA275" s="118" t="str">
        <f>IF(Tab.o1[[#This Row],[a1]]=1,ABS([1]!T.in.A[[#This Row],[oo6]]),"")</f>
        <v/>
      </c>
      <c r="AB275" s="127" t="str">
        <f>IF(Tab.o1[[#This Row],[a1]]=1,IF(AE$3=0,"",IF(AB$3=0,ABS([1]!T.in.A[[#This Row],[oo9]]),ABS(Tab.o1[[#This Row],[DIF_Target.]]*Tab.o1[[#This Row],[W1_PDF]]))),"")</f>
        <v/>
      </c>
      <c r="AC275" s="127" t="str">
        <f>IF(G$1=1,"",IF(Tab.o1[[#This Row],[a1]]=1,Tab.o1[[#This Row],[Wr]]^2,""))</f>
        <v/>
      </c>
      <c r="AD275" s="118" t="str">
        <f>IF(Tab.o1[[#This Row],[a1]]=1,IF(AE$3=0,"",Tab.o1[[#This Row],[Wr2]]/SUM(Tab.o1[Wr2])),"")</f>
        <v/>
      </c>
      <c r="AE275" s="128" t="str">
        <f>IF(Tab.o1[[#This Row],[a1]]=1,[1]!T.in.A[[#This Row],[oo10]],"")</f>
        <v/>
      </c>
      <c r="AF275" s="118" t="str">
        <f>IF(Tab.o1[[#This Row],[a1]]=1,ABS(Tab.o1[[#This Row],[DIF_Target.]]*Tab.o1[[#This Row],[PDF2]]*Tab.o1[[#This Row],[IN]]),"")</f>
        <v/>
      </c>
      <c r="AG275" s="129" t="str">
        <f>IF(Tab.o1[[#This Row],[a1]]=1,Tab.o1[[#This Row],[rW]]^2,"")</f>
        <v/>
      </c>
      <c r="AH275" s="130" t="str">
        <f>IF(Tab.o1[[#This Row],[a1]]=1,IF(AH$3=0,Tab.o1[[#This Row],[rW2]],0.01+0.94*Tab.o1[[#This Row],[rW2]]/SUM(Tab.o1[rW2])),"")</f>
        <v/>
      </c>
      <c r="AI275" s="128" t="str">
        <f>IF(Tab.o1[[#This Row],[a1]]=1,1/Tab.o1[[#This Row],[PDF]],"")</f>
        <v/>
      </c>
      <c r="AJ275" s="131" t="str">
        <f>IF(Tab.o1[[#This Row],[a1]]=1,[1]!T_AA[[#This Row],[IN'']]*[1]!T_AA[[#This Row],[Qde'']],"")</f>
        <v/>
      </c>
      <c r="AK275" s="132" t="str">
        <f>IF(Tab.o1[[#This Row],[a1]]=1,IF(AK$1=1,Tab.o1[[#This Row],[MED]]+Tab.o1[[#This Row],[MOD]]-Tab.o1[[#This Row],[MED]],""),"")</f>
        <v/>
      </c>
      <c r="AL275" s="133" t="str">
        <f>IF(Tab.o1[[#This Row],[a1]]=1,[1]!T.in.A[[#This Row],[oo16]],"")</f>
        <v/>
      </c>
      <c r="AM275" s="133" t="str">
        <f>IF(Tab.o1[[#This Row],[a1]]=1,IF(AM$3=1,[1]!T.in.A[[#This Row],[Σo16]],""),"")</f>
        <v/>
      </c>
      <c r="AN275" s="126" t="str">
        <f>IF(Tab.o1[[#This Row],[a1]]=1,[1]!T.in.A[[#This Row],[Σp5]],"")</f>
        <v/>
      </c>
      <c r="AO275" s="126" t="str">
        <f>IF(Tab.o1[[#This Row],[a1]]=1,IF(AO$3=1,[1]!T.in.A[[#This Row],[Σp5]],""),"")</f>
        <v/>
      </c>
      <c r="AP275" s="110" t="str">
        <f>IF(Tab.o1[[#This Row],[a1]]=1,IF(ISNUMBER(Tab.o1[[#This Row],[i.]]),NORMDIST(Tab.o1[[#This Row],[Za]],0,1,FALSE)*Tab.o1[[#This Row],[i.]],0),"")</f>
        <v/>
      </c>
      <c r="AQ275" s="125" t="str">
        <f>IF(Tab.o1[[#This Row],[a1]]=1,ABS(Tab.o1[[#This Row],[MOD]]-AVERAGE(Tab.o1[MOD])),"")</f>
        <v/>
      </c>
      <c r="AR275" s="134" t="str">
        <f>IF(Tab.o1[[#This Row],[a1]]=1,Tab.o1[[#This Row],[OBS]]/SUM(Tab.o1[OBS]),"")</f>
        <v/>
      </c>
      <c r="AS275" s="135" t="str">
        <f>IF(ISNUMBER(Tab.o1[[#This Row],[a1]]),ROW()-4,"")</f>
        <v/>
      </c>
      <c r="AT275" s="136" t="str">
        <f>Tab.o1[[#This Row],[MOD]]</f>
        <v/>
      </c>
      <c r="AU275" s="137" t="str">
        <f t="shared" si="17"/>
        <v/>
      </c>
      <c r="AV275" s="138" t="str">
        <f t="shared" si="18"/>
        <v/>
      </c>
      <c r="AW275" s="138" t="str">
        <f t="shared" si="19"/>
        <v/>
      </c>
      <c r="AX275" s="139" t="str">
        <f>[1]!T.in.A[[#This Row],[ID_T_manu]]</f>
        <v/>
      </c>
      <c r="AY275" s="140" t="str">
        <f>IF(ISNUMBER(Tab.o1[[#This Row],[a1]]),IF(AND(Tab.o1[[#This Row],[a1]]=1,Tab.o1[[#This Row],[b1]]&lt;=AY$4),#REF!,AY274),"")</f>
        <v/>
      </c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</row>
    <row r="276" spans="1:79" ht="15.75" hidden="1">
      <c r="A276" s="109">
        <v>-6.9999999999999999E-6</v>
      </c>
      <c r="B276" s="110">
        <f t="shared" si="16"/>
        <v>276</v>
      </c>
      <c r="C276" s="111" t="str">
        <f>IF(C$1=[1]!T.in.A[[#This Row],[oo2]],1,"")</f>
        <v/>
      </c>
      <c r="D276" s="112" t="str">
        <f>IF(Tab.o1[[#This Row],[a1]]=1,IF(SUM(C276:C277)=0,0,IF(SUM(C275:C276)=1,1,IF(SUM(C275:C277)&gt;1,D275+1,0))),"")</f>
        <v/>
      </c>
      <c r="E276" s="113" t="str">
        <f>IF(Tab.o1[[#This Row],[a1]]=1,[1]!T.in.A[[#This Row],[oo1]],"")</f>
        <v/>
      </c>
      <c r="F276" s="113" t="str">
        <f>IF(Tab.o1[[#This Row],[a1]]=1,[1]!T.in.A[[#This Row],[pp1]],"")</f>
        <v/>
      </c>
      <c r="G276" s="114" t="str">
        <f>IF(Tab.o1[[#This Row],[a1]]=1,G$2+IF(G$1=1,0,Tab.o1[[#This Row],[.x1]])+[1]!T.in.A[[#This Row],[oo3]],"")</f>
        <v/>
      </c>
      <c r="H276" s="115" t="str">
        <f>IF(Tab.o1[[#This Row],[a1]]=1,IF(H$2=0,0,IF(G$1=1,0,Tab.o1[[#This Row],[.x1]])+[1]!T.in.A[[#This Row],[oo4]]),"")</f>
        <v/>
      </c>
      <c r="I276" s="116" t="str">
        <f>IF(Tab.o1[[#This Row],[a1]]=1,IF(J$2=0,Tab.o1[[#This Row],[MED]],Tab.o1[[#This Row],[MOD]]),"")</f>
        <v/>
      </c>
      <c r="J276" s="116" t="str">
        <f>IF(Tab.o1[[#This Row],[a1]]=1,((Tab.o1[[#This Row],[DIF_Target.]]-AVERAGE(Tab.o1[DIF_Target.]))/_xlfn.STDEV.P(Tab.o1[DIF_Target.])),"")</f>
        <v/>
      </c>
      <c r="K276" s="117" t="str">
        <f>IF(Tab.o1[[#This Row],[a1]]=1,IF(J$2=0,Tab.o1[[#This Row],[MOD]]-Tab.o1[[#This Row],[B]],IF(J$2=1,0,-Tab.o1[[#This Row],[MED]])+Tab.o1[[#This Row],[B]]),"")</f>
        <v/>
      </c>
      <c r="L276" s="117" t="str">
        <f ca="1">IF(Tab.o1[[#This Row],[DIF_Target]]=0,IF(L$2=0,Tab.o1[[#This Row],[DIF_Target]],AVERAGE(OFFSET(Tab.o1[[#This Row],[DIF_Target]],1,0,L$3,1)))/3,Tab.o1[[#This Row],[DIF_Target]])</f>
        <v/>
      </c>
      <c r="M276" s="118" t="str">
        <f>IF(Tab.o1[[#This Row],[a1]]=1,NORMSDIST(Tab.o1[[#This Row],[Za]]),"")</f>
        <v/>
      </c>
      <c r="N276" s="119" t="str">
        <f>IF(Tab.o1[[#This Row],[a1]]=1,((Tab.o1[[#This Row],[MedMod]]-AVERAGE(Tab.o1[MedMod]))/_xlfn.STDEV.P(Tab.o1[MedMod])*H$1205)+G$1205,"")</f>
        <v/>
      </c>
      <c r="O276" s="141" t="str">
        <f>IF(Tab.o1[[#This Row],[a1]]=1,Tab.o1[[#This Row],[Zb]]*_xlfn.STDEV.P(Tab.o1[MedMod])+AVERAGE(Tab.o1[MedMod]),"")</f>
        <v/>
      </c>
      <c r="P276" s="117" t="str">
        <f ca="1">IF(Tab.o1[[#This Row],[B]]=0,AVERAGE(OFFSET(Tab.o1[[#This Row],[B]],1,0,L$3,1)),Tab.o1[[#This Row],[B]])</f>
        <v/>
      </c>
      <c r="Q276" s="121" t="str">
        <f>IF(Tab.o1[[#This Row],[a1]]=1,NORMSDIST(Tab.o1[[#This Row],[Zb]]),"")</f>
        <v/>
      </c>
      <c r="R276" s="122" t="str">
        <f>IF(Tab.o1[[#This Row],[a1]]=1,((Tab.o1[[#This Row],[MedMod]]-AVERAGE(Tab.o1[MedMod]))/_xlfn.STDEV.P(Tab.o1[MedMod])*H$1203)+G$1203,"")</f>
        <v/>
      </c>
      <c r="S276" s="122" t="str">
        <f>IF(Tab.o1[[#This Row],[a1]]=1,((Tab.o1[[#This Row],[MedMod]]-AVERAGE(Tab.o1[MedMod]))/_xlfn.STDEV.P(Tab.o1[MedMod])*H$1204)+G$1204,"")</f>
        <v/>
      </c>
      <c r="T276" s="123" t="str">
        <f>IF(Tab.o1[[#This Row],[a1]]=1,Tab.o1[[#This Row],[Z-]]*_xlfn.STDEV.P(Tab.o1[B])+AVERAGE(Tab.o1[B]),"")</f>
        <v/>
      </c>
      <c r="U276" s="123" t="str">
        <f>IF(Tab.o1[[#This Row],[a1]]=1,Tab.o1[[#This Row],[z+]]*_xlfn.STDEV.P(Tab.o1[B])+AVERAGE(Tab.o1[B]),"")</f>
        <v/>
      </c>
      <c r="V276" s="124" t="str">
        <f>IF(Tab.o1[[#This Row],[a1]]=1,ABS((ABS(Tab.o1[[#This Row],[Red]]-Tab.o1[[#This Row],[Blue]]))),"")</f>
        <v/>
      </c>
      <c r="W276" s="125" t="str">
        <f>IF(Tab.o1[[#This Row],[a1]]=1,IF(W$3=0,1,Tab.o1[[#This Row],[Amp.]]*1/_xlfn.MINIFS(Tab.o1[Amp.],Tab.o1[Amp.],"&lt;&gt;0")),"")</f>
        <v/>
      </c>
      <c r="X276" s="126" t="str">
        <f>IF(Tab.o1[[#This Row],[a1]]=1,IF(ISNUMBER(Tab.o1[[#This Row],[i.]]),NORMDIST(Tab.o1[[#This Row],[Za]],0,1,FALSE)*Tab.o1[[#This Row],[i.]],AP$3),"")</f>
        <v/>
      </c>
      <c r="Y276" s="126" t="str">
        <f>IF(Tab.o1[[#This Row],[a1]]=1,0.01+0.94*Tab.o1[[#This Row],[PDF]]/MAX(Tab.o1[PDF]),"")</f>
        <v/>
      </c>
      <c r="Z276" s="126" t="str">
        <f>IF(Tab.o1[[#This Row],[a1]]=1,0.01+0.94*Tab.o1[[#This Row],[W1_PDF]]/MAX(Tab.o1[W1_PDF]),"")</f>
        <v/>
      </c>
      <c r="AA276" s="118" t="str">
        <f>IF(Tab.o1[[#This Row],[a1]]=1,ABS([1]!T.in.A[[#This Row],[oo6]]),"")</f>
        <v/>
      </c>
      <c r="AB276" s="127" t="str">
        <f>IF(Tab.o1[[#This Row],[a1]]=1,IF(AE$3=0,"",IF(AB$3=0,ABS([1]!T.in.A[[#This Row],[oo9]]),ABS(Tab.o1[[#This Row],[DIF_Target.]]*Tab.o1[[#This Row],[W1_PDF]]))),"")</f>
        <v/>
      </c>
      <c r="AC276" s="127" t="str">
        <f>IF(G$1=1,"",IF(Tab.o1[[#This Row],[a1]]=1,Tab.o1[[#This Row],[Wr]]^2,""))</f>
        <v/>
      </c>
      <c r="AD276" s="118" t="str">
        <f>IF(Tab.o1[[#This Row],[a1]]=1,IF(AE$3=0,"",Tab.o1[[#This Row],[Wr2]]/SUM(Tab.o1[Wr2])),"")</f>
        <v/>
      </c>
      <c r="AE276" s="128" t="str">
        <f>IF(Tab.o1[[#This Row],[a1]]=1,[1]!T.in.A[[#This Row],[oo10]],"")</f>
        <v/>
      </c>
      <c r="AF276" s="118" t="str">
        <f>IF(Tab.o1[[#This Row],[a1]]=1,ABS(Tab.o1[[#This Row],[DIF_Target.]]*Tab.o1[[#This Row],[PDF2]]*Tab.o1[[#This Row],[IN]]),"")</f>
        <v/>
      </c>
      <c r="AG276" s="129" t="str">
        <f>IF(Tab.o1[[#This Row],[a1]]=1,Tab.o1[[#This Row],[rW]]^2,"")</f>
        <v/>
      </c>
      <c r="AH276" s="130" t="str">
        <f>IF(Tab.o1[[#This Row],[a1]]=1,IF(AH$3=0,Tab.o1[[#This Row],[rW2]],0.01+0.94*Tab.o1[[#This Row],[rW2]]/SUM(Tab.o1[rW2])),"")</f>
        <v/>
      </c>
      <c r="AI276" s="128" t="str">
        <f>IF(Tab.o1[[#This Row],[a1]]=1,1/Tab.o1[[#This Row],[PDF]],"")</f>
        <v/>
      </c>
      <c r="AJ276" s="131" t="str">
        <f>IF(Tab.o1[[#This Row],[a1]]=1,[1]!T_AA[[#This Row],[IN'']]*[1]!T_AA[[#This Row],[Qde'']],"")</f>
        <v/>
      </c>
      <c r="AK276" s="132" t="str">
        <f>IF(Tab.o1[[#This Row],[a1]]=1,IF(AK$1=1,Tab.o1[[#This Row],[MED]]+Tab.o1[[#This Row],[MOD]]-Tab.o1[[#This Row],[MED]],""),"")</f>
        <v/>
      </c>
      <c r="AL276" s="133" t="str">
        <f>IF(Tab.o1[[#This Row],[a1]]=1,[1]!T.in.A[[#This Row],[oo16]],"")</f>
        <v/>
      </c>
      <c r="AM276" s="133" t="str">
        <f>IF(Tab.o1[[#This Row],[a1]]=1,IF(AM$3=1,[1]!T.in.A[[#This Row],[Σo16]],""),"")</f>
        <v/>
      </c>
      <c r="AN276" s="126" t="str">
        <f>IF(Tab.o1[[#This Row],[a1]]=1,[1]!T.in.A[[#This Row],[Σp5]],"")</f>
        <v/>
      </c>
      <c r="AO276" s="126" t="str">
        <f>IF(Tab.o1[[#This Row],[a1]]=1,IF(AO$3=1,[1]!T.in.A[[#This Row],[Σp5]],""),"")</f>
        <v/>
      </c>
      <c r="AP276" s="110" t="str">
        <f>IF(Tab.o1[[#This Row],[a1]]=1,IF(ISNUMBER(Tab.o1[[#This Row],[i.]]),NORMDIST(Tab.o1[[#This Row],[Za]],0,1,FALSE)*Tab.o1[[#This Row],[i.]],0),"")</f>
        <v/>
      </c>
      <c r="AQ276" s="125" t="str">
        <f>IF(Tab.o1[[#This Row],[a1]]=1,ABS(Tab.o1[[#This Row],[MOD]]-AVERAGE(Tab.o1[MOD])),"")</f>
        <v/>
      </c>
      <c r="AR276" s="134" t="str">
        <f>IF(Tab.o1[[#This Row],[a1]]=1,Tab.o1[[#This Row],[OBS]]/SUM(Tab.o1[OBS]),"")</f>
        <v/>
      </c>
      <c r="AS276" s="135" t="str">
        <f>IF(ISNUMBER(Tab.o1[[#This Row],[a1]]),ROW()-4,"")</f>
        <v/>
      </c>
      <c r="AT276" s="136" t="str">
        <f>Tab.o1[[#This Row],[MOD]]</f>
        <v/>
      </c>
      <c r="AU276" s="137" t="str">
        <f t="shared" si="17"/>
        <v/>
      </c>
      <c r="AV276" s="138" t="str">
        <f t="shared" si="18"/>
        <v/>
      </c>
      <c r="AW276" s="138" t="str">
        <f t="shared" si="19"/>
        <v/>
      </c>
      <c r="AX276" s="139" t="str">
        <f>[1]!T.in.A[[#This Row],[ID_T_manu]]</f>
        <v/>
      </c>
      <c r="AY276" s="140" t="str">
        <f>IF(ISNUMBER(Tab.o1[[#This Row],[a1]]),IF(AND(Tab.o1[[#This Row],[a1]]=1,Tab.o1[[#This Row],[b1]]&lt;=AY$4),#REF!,AY275),"")</f>
        <v/>
      </c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</row>
    <row r="277" spans="1:79" ht="15.75" hidden="1">
      <c r="A277" s="109">
        <v>-2.0000000000000003E-6</v>
      </c>
      <c r="B277" s="110">
        <f t="shared" si="16"/>
        <v>277</v>
      </c>
      <c r="C277" s="111" t="str">
        <f>IF(C$1=[1]!T.in.A[[#This Row],[oo2]],1,"")</f>
        <v/>
      </c>
      <c r="D277" s="112" t="str">
        <f>IF(Tab.o1[[#This Row],[a1]]=1,IF(SUM(C277:C278)=0,0,IF(SUM(C276:C277)=1,1,IF(SUM(C276:C278)&gt;1,D276+1,0))),"")</f>
        <v/>
      </c>
      <c r="E277" s="113" t="str">
        <f>IF(Tab.o1[[#This Row],[a1]]=1,[1]!T.in.A[[#This Row],[oo1]],"")</f>
        <v/>
      </c>
      <c r="F277" s="113" t="str">
        <f>IF(Tab.o1[[#This Row],[a1]]=1,[1]!T.in.A[[#This Row],[pp1]],"")</f>
        <v/>
      </c>
      <c r="G277" s="114" t="str">
        <f>IF(Tab.o1[[#This Row],[a1]]=1,G$2+IF(G$1=1,0,Tab.o1[[#This Row],[.x1]])+[1]!T.in.A[[#This Row],[oo3]],"")</f>
        <v/>
      </c>
      <c r="H277" s="115" t="str">
        <f>IF(Tab.o1[[#This Row],[a1]]=1,IF(H$2=0,0,IF(G$1=1,0,Tab.o1[[#This Row],[.x1]])+[1]!T.in.A[[#This Row],[oo4]]),"")</f>
        <v/>
      </c>
      <c r="I277" s="116" t="str">
        <f>IF(Tab.o1[[#This Row],[a1]]=1,IF(J$2=0,Tab.o1[[#This Row],[MED]],Tab.o1[[#This Row],[MOD]]),"")</f>
        <v/>
      </c>
      <c r="J277" s="116" t="str">
        <f>IF(Tab.o1[[#This Row],[a1]]=1,((Tab.o1[[#This Row],[DIF_Target.]]-AVERAGE(Tab.o1[DIF_Target.]))/_xlfn.STDEV.P(Tab.o1[DIF_Target.])),"")</f>
        <v/>
      </c>
      <c r="K277" s="117" t="str">
        <f>IF(Tab.o1[[#This Row],[a1]]=1,IF(J$2=0,Tab.o1[[#This Row],[MOD]]-Tab.o1[[#This Row],[B]],IF(J$2=1,0,-Tab.o1[[#This Row],[MED]])+Tab.o1[[#This Row],[B]]),"")</f>
        <v/>
      </c>
      <c r="L277" s="117" t="str">
        <f ca="1">IF(Tab.o1[[#This Row],[DIF_Target]]=0,IF(L$2=0,Tab.o1[[#This Row],[DIF_Target]],AVERAGE(OFFSET(Tab.o1[[#This Row],[DIF_Target]],1,0,L$3,1)))/3,Tab.o1[[#This Row],[DIF_Target]])</f>
        <v/>
      </c>
      <c r="M277" s="118" t="str">
        <f>IF(Tab.o1[[#This Row],[a1]]=1,NORMSDIST(Tab.o1[[#This Row],[Za]]),"")</f>
        <v/>
      </c>
      <c r="N277" s="119" t="str">
        <f>IF(Tab.o1[[#This Row],[a1]]=1,((Tab.o1[[#This Row],[MedMod]]-AVERAGE(Tab.o1[MedMod]))/_xlfn.STDEV.P(Tab.o1[MedMod])*H$1205)+G$1205,"")</f>
        <v/>
      </c>
      <c r="O277" s="141" t="str">
        <f>IF(Tab.o1[[#This Row],[a1]]=1,Tab.o1[[#This Row],[Zb]]*_xlfn.STDEV.P(Tab.o1[MedMod])+AVERAGE(Tab.o1[MedMod]),"")</f>
        <v/>
      </c>
      <c r="P277" s="117" t="str">
        <f ca="1">IF(Tab.o1[[#This Row],[B]]=0,AVERAGE(OFFSET(Tab.o1[[#This Row],[B]],1,0,L$3,1)),Tab.o1[[#This Row],[B]])</f>
        <v/>
      </c>
      <c r="Q277" s="121" t="str">
        <f>IF(Tab.o1[[#This Row],[a1]]=1,NORMSDIST(Tab.o1[[#This Row],[Zb]]),"")</f>
        <v/>
      </c>
      <c r="R277" s="122" t="str">
        <f>IF(Tab.o1[[#This Row],[a1]]=1,((Tab.o1[[#This Row],[MedMod]]-AVERAGE(Tab.o1[MedMod]))/_xlfn.STDEV.P(Tab.o1[MedMod])*H$1203)+G$1203,"")</f>
        <v/>
      </c>
      <c r="S277" s="122" t="str">
        <f>IF(Tab.o1[[#This Row],[a1]]=1,((Tab.o1[[#This Row],[MedMod]]-AVERAGE(Tab.o1[MedMod]))/_xlfn.STDEV.P(Tab.o1[MedMod])*H$1204)+G$1204,"")</f>
        <v/>
      </c>
      <c r="T277" s="123" t="str">
        <f>IF(Tab.o1[[#This Row],[a1]]=1,Tab.o1[[#This Row],[Z-]]*_xlfn.STDEV.P(Tab.o1[B])+AVERAGE(Tab.o1[B]),"")</f>
        <v/>
      </c>
      <c r="U277" s="123" t="str">
        <f>IF(Tab.o1[[#This Row],[a1]]=1,Tab.o1[[#This Row],[z+]]*_xlfn.STDEV.P(Tab.o1[B])+AVERAGE(Tab.o1[B]),"")</f>
        <v/>
      </c>
      <c r="V277" s="124" t="str">
        <f>IF(Tab.o1[[#This Row],[a1]]=1,ABS((ABS(Tab.o1[[#This Row],[Red]]-Tab.o1[[#This Row],[Blue]]))),"")</f>
        <v/>
      </c>
      <c r="W277" s="125" t="str">
        <f>IF(Tab.o1[[#This Row],[a1]]=1,IF(W$3=0,1,Tab.o1[[#This Row],[Amp.]]*1/_xlfn.MINIFS(Tab.o1[Amp.],Tab.o1[Amp.],"&lt;&gt;0")),"")</f>
        <v/>
      </c>
      <c r="X277" s="126" t="str">
        <f>IF(Tab.o1[[#This Row],[a1]]=1,IF(ISNUMBER(Tab.o1[[#This Row],[i.]]),NORMDIST(Tab.o1[[#This Row],[Za]],0,1,FALSE)*Tab.o1[[#This Row],[i.]],AP$3),"")</f>
        <v/>
      </c>
      <c r="Y277" s="126" t="str">
        <f>IF(Tab.o1[[#This Row],[a1]]=1,0.01+0.94*Tab.o1[[#This Row],[PDF]]/MAX(Tab.o1[PDF]),"")</f>
        <v/>
      </c>
      <c r="Z277" s="126" t="str">
        <f>IF(Tab.o1[[#This Row],[a1]]=1,0.01+0.94*Tab.o1[[#This Row],[W1_PDF]]/MAX(Tab.o1[W1_PDF]),"")</f>
        <v/>
      </c>
      <c r="AA277" s="118" t="str">
        <f>IF(Tab.o1[[#This Row],[a1]]=1,ABS([1]!T.in.A[[#This Row],[oo6]]),"")</f>
        <v/>
      </c>
      <c r="AB277" s="127" t="str">
        <f>IF(Tab.o1[[#This Row],[a1]]=1,IF(AE$3=0,"",IF(AB$3=0,ABS([1]!T.in.A[[#This Row],[oo9]]),ABS(Tab.o1[[#This Row],[DIF_Target.]]*Tab.o1[[#This Row],[W1_PDF]]))),"")</f>
        <v/>
      </c>
      <c r="AC277" s="127" t="str">
        <f>IF(G$1=1,"",IF(Tab.o1[[#This Row],[a1]]=1,Tab.o1[[#This Row],[Wr]]^2,""))</f>
        <v/>
      </c>
      <c r="AD277" s="118" t="str">
        <f>IF(Tab.o1[[#This Row],[a1]]=1,IF(AE$3=0,"",Tab.o1[[#This Row],[Wr2]]/SUM(Tab.o1[Wr2])),"")</f>
        <v/>
      </c>
      <c r="AE277" s="128" t="str">
        <f>IF(Tab.o1[[#This Row],[a1]]=1,[1]!T.in.A[[#This Row],[oo10]],"")</f>
        <v/>
      </c>
      <c r="AF277" s="118" t="str">
        <f>IF(Tab.o1[[#This Row],[a1]]=1,ABS(Tab.o1[[#This Row],[DIF_Target.]]*Tab.o1[[#This Row],[PDF2]]*Tab.o1[[#This Row],[IN]]),"")</f>
        <v/>
      </c>
      <c r="AG277" s="129" t="str">
        <f>IF(Tab.o1[[#This Row],[a1]]=1,Tab.o1[[#This Row],[rW]]^2,"")</f>
        <v/>
      </c>
      <c r="AH277" s="130" t="str">
        <f>IF(Tab.o1[[#This Row],[a1]]=1,IF(AH$3=0,Tab.o1[[#This Row],[rW2]],0.01+0.94*Tab.o1[[#This Row],[rW2]]/SUM(Tab.o1[rW2])),"")</f>
        <v/>
      </c>
      <c r="AI277" s="128" t="str">
        <f>IF(Tab.o1[[#This Row],[a1]]=1,1/Tab.o1[[#This Row],[PDF]],"")</f>
        <v/>
      </c>
      <c r="AJ277" s="131" t="str">
        <f>IF(Tab.o1[[#This Row],[a1]]=1,[1]!T_AA[[#This Row],[IN'']]*[1]!T_AA[[#This Row],[Qde'']],"")</f>
        <v/>
      </c>
      <c r="AK277" s="132" t="str">
        <f>IF(Tab.o1[[#This Row],[a1]]=1,IF(AK$1=1,Tab.o1[[#This Row],[MED]]+Tab.o1[[#This Row],[MOD]]-Tab.o1[[#This Row],[MED]],""),"")</f>
        <v/>
      </c>
      <c r="AL277" s="133" t="str">
        <f>IF(Tab.o1[[#This Row],[a1]]=1,[1]!T.in.A[[#This Row],[oo16]],"")</f>
        <v/>
      </c>
      <c r="AM277" s="133" t="str">
        <f>IF(Tab.o1[[#This Row],[a1]]=1,IF(AM$3=1,[1]!T.in.A[[#This Row],[Σo16]],""),"")</f>
        <v/>
      </c>
      <c r="AN277" s="126" t="str">
        <f>IF(Tab.o1[[#This Row],[a1]]=1,[1]!T.in.A[[#This Row],[Σp5]],"")</f>
        <v/>
      </c>
      <c r="AO277" s="126" t="str">
        <f>IF(Tab.o1[[#This Row],[a1]]=1,IF(AO$3=1,[1]!T.in.A[[#This Row],[Σp5]],""),"")</f>
        <v/>
      </c>
      <c r="AP277" s="110" t="str">
        <f>IF(Tab.o1[[#This Row],[a1]]=1,IF(ISNUMBER(Tab.o1[[#This Row],[i.]]),NORMDIST(Tab.o1[[#This Row],[Za]],0,1,FALSE)*Tab.o1[[#This Row],[i.]],0),"")</f>
        <v/>
      </c>
      <c r="AQ277" s="125" t="str">
        <f>IF(Tab.o1[[#This Row],[a1]]=1,ABS(Tab.o1[[#This Row],[MOD]]-AVERAGE(Tab.o1[MOD])),"")</f>
        <v/>
      </c>
      <c r="AR277" s="134" t="str">
        <f>IF(Tab.o1[[#This Row],[a1]]=1,Tab.o1[[#This Row],[OBS]]/SUM(Tab.o1[OBS]),"")</f>
        <v/>
      </c>
      <c r="AS277" s="135" t="str">
        <f>IF(ISNUMBER(Tab.o1[[#This Row],[a1]]),ROW()-4,"")</f>
        <v/>
      </c>
      <c r="AT277" s="136" t="str">
        <f>Tab.o1[[#This Row],[MOD]]</f>
        <v/>
      </c>
      <c r="AU277" s="137" t="str">
        <f t="shared" si="17"/>
        <v/>
      </c>
      <c r="AV277" s="138" t="str">
        <f t="shared" si="18"/>
        <v/>
      </c>
      <c r="AW277" s="138" t="str">
        <f t="shared" si="19"/>
        <v/>
      </c>
      <c r="AX277" s="139" t="str">
        <f>[1]!T.in.A[[#This Row],[ID_T_manu]]</f>
        <v/>
      </c>
      <c r="AY277" s="140" t="str">
        <f>IF(ISNUMBER(Tab.o1[[#This Row],[a1]]),IF(AND(Tab.o1[[#This Row],[a1]]=1,Tab.o1[[#This Row],[b1]]&lt;=AY$4),#REF!,AY276),"")</f>
        <v/>
      </c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</row>
    <row r="278" spans="1:79" ht="15.75" hidden="1">
      <c r="A278" s="109">
        <v>-8.0000000000000013E-6</v>
      </c>
      <c r="B278" s="110">
        <f t="shared" si="16"/>
        <v>278</v>
      </c>
      <c r="C278" s="111" t="str">
        <f>IF(C$1=[1]!T.in.A[[#This Row],[oo2]],1,"")</f>
        <v/>
      </c>
      <c r="D278" s="112" t="str">
        <f>IF(Tab.o1[[#This Row],[a1]]=1,IF(SUM(C278:C279)=0,0,IF(SUM(C277:C278)=1,1,IF(SUM(C277:C279)&gt;1,D277+1,0))),"")</f>
        <v/>
      </c>
      <c r="E278" s="113" t="str">
        <f>IF(Tab.o1[[#This Row],[a1]]=1,[1]!T.in.A[[#This Row],[oo1]],"")</f>
        <v/>
      </c>
      <c r="F278" s="113" t="str">
        <f>IF(Tab.o1[[#This Row],[a1]]=1,[1]!T.in.A[[#This Row],[pp1]],"")</f>
        <v/>
      </c>
      <c r="G278" s="114" t="str">
        <f>IF(Tab.o1[[#This Row],[a1]]=1,G$2+IF(G$1=1,0,Tab.o1[[#This Row],[.x1]])+[1]!T.in.A[[#This Row],[oo3]],"")</f>
        <v/>
      </c>
      <c r="H278" s="115" t="str">
        <f>IF(Tab.o1[[#This Row],[a1]]=1,IF(H$2=0,0,IF(G$1=1,0,Tab.o1[[#This Row],[.x1]])+[1]!T.in.A[[#This Row],[oo4]]),"")</f>
        <v/>
      </c>
      <c r="I278" s="116" t="str">
        <f>IF(Tab.o1[[#This Row],[a1]]=1,IF(J$2=0,Tab.o1[[#This Row],[MED]],Tab.o1[[#This Row],[MOD]]),"")</f>
        <v/>
      </c>
      <c r="J278" s="116" t="str">
        <f>IF(Tab.o1[[#This Row],[a1]]=1,((Tab.o1[[#This Row],[DIF_Target.]]-AVERAGE(Tab.o1[DIF_Target.]))/_xlfn.STDEV.P(Tab.o1[DIF_Target.])),"")</f>
        <v/>
      </c>
      <c r="K278" s="117" t="str">
        <f>IF(Tab.o1[[#This Row],[a1]]=1,IF(J$2=0,Tab.o1[[#This Row],[MOD]]-Tab.o1[[#This Row],[B]],IF(J$2=1,0,-Tab.o1[[#This Row],[MED]])+Tab.o1[[#This Row],[B]]),"")</f>
        <v/>
      </c>
      <c r="L278" s="117" t="str">
        <f ca="1">IF(Tab.o1[[#This Row],[DIF_Target]]=0,IF(L$2=0,Tab.o1[[#This Row],[DIF_Target]],AVERAGE(OFFSET(Tab.o1[[#This Row],[DIF_Target]],1,0,L$3,1)))/3,Tab.o1[[#This Row],[DIF_Target]])</f>
        <v/>
      </c>
      <c r="M278" s="118" t="str">
        <f>IF(Tab.o1[[#This Row],[a1]]=1,NORMSDIST(Tab.o1[[#This Row],[Za]]),"")</f>
        <v/>
      </c>
      <c r="N278" s="119" t="str">
        <f>IF(Tab.o1[[#This Row],[a1]]=1,((Tab.o1[[#This Row],[MedMod]]-AVERAGE(Tab.o1[MedMod]))/_xlfn.STDEV.P(Tab.o1[MedMod])*H$1205)+G$1205,"")</f>
        <v/>
      </c>
      <c r="O278" s="141" t="str">
        <f>IF(Tab.o1[[#This Row],[a1]]=1,Tab.o1[[#This Row],[Zb]]*_xlfn.STDEV.P(Tab.o1[MedMod])+AVERAGE(Tab.o1[MedMod]),"")</f>
        <v/>
      </c>
      <c r="P278" s="117" t="str">
        <f ca="1">IF(Tab.o1[[#This Row],[B]]=0,AVERAGE(OFFSET(Tab.o1[[#This Row],[B]],1,0,L$3,1)),Tab.o1[[#This Row],[B]])</f>
        <v/>
      </c>
      <c r="Q278" s="121" t="str">
        <f>IF(Tab.o1[[#This Row],[a1]]=1,NORMSDIST(Tab.o1[[#This Row],[Zb]]),"")</f>
        <v/>
      </c>
      <c r="R278" s="122" t="str">
        <f>IF(Tab.o1[[#This Row],[a1]]=1,((Tab.o1[[#This Row],[MedMod]]-AVERAGE(Tab.o1[MedMod]))/_xlfn.STDEV.P(Tab.o1[MedMod])*H$1203)+G$1203,"")</f>
        <v/>
      </c>
      <c r="S278" s="122" t="str">
        <f>IF(Tab.o1[[#This Row],[a1]]=1,((Tab.o1[[#This Row],[MedMod]]-AVERAGE(Tab.o1[MedMod]))/_xlfn.STDEV.P(Tab.o1[MedMod])*H$1204)+G$1204,"")</f>
        <v/>
      </c>
      <c r="T278" s="123" t="str">
        <f>IF(Tab.o1[[#This Row],[a1]]=1,Tab.o1[[#This Row],[Z-]]*_xlfn.STDEV.P(Tab.o1[B])+AVERAGE(Tab.o1[B]),"")</f>
        <v/>
      </c>
      <c r="U278" s="123" t="str">
        <f>IF(Tab.o1[[#This Row],[a1]]=1,Tab.o1[[#This Row],[z+]]*_xlfn.STDEV.P(Tab.o1[B])+AVERAGE(Tab.o1[B]),"")</f>
        <v/>
      </c>
      <c r="V278" s="124" t="str">
        <f>IF(Tab.o1[[#This Row],[a1]]=1,ABS((ABS(Tab.o1[[#This Row],[Red]]-Tab.o1[[#This Row],[Blue]]))),"")</f>
        <v/>
      </c>
      <c r="W278" s="125" t="str">
        <f>IF(Tab.o1[[#This Row],[a1]]=1,IF(W$3=0,1,Tab.o1[[#This Row],[Amp.]]*1/_xlfn.MINIFS(Tab.o1[Amp.],Tab.o1[Amp.],"&lt;&gt;0")),"")</f>
        <v/>
      </c>
      <c r="X278" s="126" t="str">
        <f>IF(Tab.o1[[#This Row],[a1]]=1,IF(ISNUMBER(Tab.o1[[#This Row],[i.]]),NORMDIST(Tab.o1[[#This Row],[Za]],0,1,FALSE)*Tab.o1[[#This Row],[i.]],AP$3),"")</f>
        <v/>
      </c>
      <c r="Y278" s="126" t="str">
        <f>IF(Tab.o1[[#This Row],[a1]]=1,0.01+0.94*Tab.o1[[#This Row],[PDF]]/MAX(Tab.o1[PDF]),"")</f>
        <v/>
      </c>
      <c r="Z278" s="126" t="str">
        <f>IF(Tab.o1[[#This Row],[a1]]=1,0.01+0.94*Tab.o1[[#This Row],[W1_PDF]]/MAX(Tab.o1[W1_PDF]),"")</f>
        <v/>
      </c>
      <c r="AA278" s="118" t="str">
        <f>IF(Tab.o1[[#This Row],[a1]]=1,ABS([1]!T.in.A[[#This Row],[oo6]]),"")</f>
        <v/>
      </c>
      <c r="AB278" s="127" t="str">
        <f>IF(Tab.o1[[#This Row],[a1]]=1,IF(AE$3=0,"",IF(AB$3=0,ABS([1]!T.in.A[[#This Row],[oo9]]),ABS(Tab.o1[[#This Row],[DIF_Target.]]*Tab.o1[[#This Row],[W1_PDF]]))),"")</f>
        <v/>
      </c>
      <c r="AC278" s="127" t="str">
        <f>IF(G$1=1,"",IF(Tab.o1[[#This Row],[a1]]=1,Tab.o1[[#This Row],[Wr]]^2,""))</f>
        <v/>
      </c>
      <c r="AD278" s="118" t="str">
        <f>IF(Tab.o1[[#This Row],[a1]]=1,IF(AE$3=0,"",Tab.o1[[#This Row],[Wr2]]/SUM(Tab.o1[Wr2])),"")</f>
        <v/>
      </c>
      <c r="AE278" s="128" t="str">
        <f>IF(Tab.o1[[#This Row],[a1]]=1,[1]!T.in.A[[#This Row],[oo10]],"")</f>
        <v/>
      </c>
      <c r="AF278" s="118" t="str">
        <f>IF(Tab.o1[[#This Row],[a1]]=1,ABS(Tab.o1[[#This Row],[DIF_Target.]]*Tab.o1[[#This Row],[PDF2]]*Tab.o1[[#This Row],[IN]]),"")</f>
        <v/>
      </c>
      <c r="AG278" s="129" t="str">
        <f>IF(Tab.o1[[#This Row],[a1]]=1,Tab.o1[[#This Row],[rW]]^2,"")</f>
        <v/>
      </c>
      <c r="AH278" s="130" t="str">
        <f>IF(Tab.o1[[#This Row],[a1]]=1,IF(AH$3=0,Tab.o1[[#This Row],[rW2]],0.01+0.94*Tab.o1[[#This Row],[rW2]]/SUM(Tab.o1[rW2])),"")</f>
        <v/>
      </c>
      <c r="AI278" s="128" t="str">
        <f>IF(Tab.o1[[#This Row],[a1]]=1,1/Tab.o1[[#This Row],[PDF]],"")</f>
        <v/>
      </c>
      <c r="AJ278" s="131" t="str">
        <f>IF(Tab.o1[[#This Row],[a1]]=1,[1]!T_AA[[#This Row],[IN'']]*[1]!T_AA[[#This Row],[Qde'']],"")</f>
        <v/>
      </c>
      <c r="AK278" s="132" t="str">
        <f>IF(Tab.o1[[#This Row],[a1]]=1,IF(AK$1=1,Tab.o1[[#This Row],[MED]]+Tab.o1[[#This Row],[MOD]]-Tab.o1[[#This Row],[MED]],""),"")</f>
        <v/>
      </c>
      <c r="AL278" s="133" t="str">
        <f>IF(Tab.o1[[#This Row],[a1]]=1,[1]!T.in.A[[#This Row],[oo16]],"")</f>
        <v/>
      </c>
      <c r="AM278" s="133" t="str">
        <f>IF(Tab.o1[[#This Row],[a1]]=1,IF(AM$3=1,[1]!T.in.A[[#This Row],[Σo16]],""),"")</f>
        <v/>
      </c>
      <c r="AN278" s="126" t="str">
        <f>IF(Tab.o1[[#This Row],[a1]]=1,[1]!T.in.A[[#This Row],[Σp5]],"")</f>
        <v/>
      </c>
      <c r="AO278" s="126" t="str">
        <f>IF(Tab.o1[[#This Row],[a1]]=1,IF(AO$3=1,[1]!T.in.A[[#This Row],[Σp5]],""),"")</f>
        <v/>
      </c>
      <c r="AP278" s="110" t="str">
        <f>IF(Tab.o1[[#This Row],[a1]]=1,IF(ISNUMBER(Tab.o1[[#This Row],[i.]]),NORMDIST(Tab.o1[[#This Row],[Za]],0,1,FALSE)*Tab.o1[[#This Row],[i.]],0),"")</f>
        <v/>
      </c>
      <c r="AQ278" s="125" t="str">
        <f>IF(Tab.o1[[#This Row],[a1]]=1,ABS(Tab.o1[[#This Row],[MOD]]-AVERAGE(Tab.o1[MOD])),"")</f>
        <v/>
      </c>
      <c r="AR278" s="134" t="str">
        <f>IF(Tab.o1[[#This Row],[a1]]=1,Tab.o1[[#This Row],[OBS]]/SUM(Tab.o1[OBS]),"")</f>
        <v/>
      </c>
      <c r="AS278" s="135" t="str">
        <f>IF(ISNUMBER(Tab.o1[[#This Row],[a1]]),ROW()-4,"")</f>
        <v/>
      </c>
      <c r="AT278" s="136" t="str">
        <f>Tab.o1[[#This Row],[MOD]]</f>
        <v/>
      </c>
      <c r="AU278" s="137" t="str">
        <f t="shared" si="17"/>
        <v/>
      </c>
      <c r="AV278" s="138" t="str">
        <f t="shared" si="18"/>
        <v/>
      </c>
      <c r="AW278" s="138" t="str">
        <f t="shared" si="19"/>
        <v/>
      </c>
      <c r="AX278" s="139" t="str">
        <f>[1]!T.in.A[[#This Row],[ID_T_manu]]</f>
        <v/>
      </c>
      <c r="AY278" s="140" t="str">
        <f>IF(ISNUMBER(Tab.o1[[#This Row],[a1]]),IF(AND(Tab.o1[[#This Row],[a1]]=1,Tab.o1[[#This Row],[b1]]&lt;=AY$4),#REF!,AY277),"")</f>
        <v/>
      </c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</row>
    <row r="279" spans="1:79" ht="15.75" hidden="1">
      <c r="A279" s="109">
        <v>-2.9999999999999997E-6</v>
      </c>
      <c r="B279" s="110">
        <f t="shared" si="16"/>
        <v>279</v>
      </c>
      <c r="C279" s="111" t="str">
        <f>IF(C$1=[1]!T.in.A[[#This Row],[oo2]],1,"")</f>
        <v/>
      </c>
      <c r="D279" s="112" t="str">
        <f>IF(Tab.o1[[#This Row],[a1]]=1,IF(SUM(C279:C280)=0,0,IF(SUM(C278:C279)=1,1,IF(SUM(C278:C280)&gt;1,D278+1,0))),"")</f>
        <v/>
      </c>
      <c r="E279" s="113" t="str">
        <f>IF(Tab.o1[[#This Row],[a1]]=1,[1]!T.in.A[[#This Row],[oo1]],"")</f>
        <v/>
      </c>
      <c r="F279" s="113" t="str">
        <f>IF(Tab.o1[[#This Row],[a1]]=1,[1]!T.in.A[[#This Row],[pp1]],"")</f>
        <v/>
      </c>
      <c r="G279" s="114" t="str">
        <f>IF(Tab.o1[[#This Row],[a1]]=1,G$2+IF(G$1=1,0,Tab.o1[[#This Row],[.x1]])+[1]!T.in.A[[#This Row],[oo3]],"")</f>
        <v/>
      </c>
      <c r="H279" s="115" t="str">
        <f>IF(Tab.o1[[#This Row],[a1]]=1,IF(H$2=0,0,IF(G$1=1,0,Tab.o1[[#This Row],[.x1]])+[1]!T.in.A[[#This Row],[oo4]]),"")</f>
        <v/>
      </c>
      <c r="I279" s="116" t="str">
        <f>IF(Tab.o1[[#This Row],[a1]]=1,IF(J$2=0,Tab.o1[[#This Row],[MED]],Tab.o1[[#This Row],[MOD]]),"")</f>
        <v/>
      </c>
      <c r="J279" s="116" t="str">
        <f>IF(Tab.o1[[#This Row],[a1]]=1,((Tab.o1[[#This Row],[DIF_Target.]]-AVERAGE(Tab.o1[DIF_Target.]))/_xlfn.STDEV.P(Tab.o1[DIF_Target.])),"")</f>
        <v/>
      </c>
      <c r="K279" s="117" t="str">
        <f>IF(Tab.o1[[#This Row],[a1]]=1,IF(J$2=0,Tab.o1[[#This Row],[MOD]]-Tab.o1[[#This Row],[B]],IF(J$2=1,0,-Tab.o1[[#This Row],[MED]])+Tab.o1[[#This Row],[B]]),"")</f>
        <v/>
      </c>
      <c r="L279" s="117" t="str">
        <f ca="1">IF(Tab.o1[[#This Row],[DIF_Target]]=0,IF(L$2=0,Tab.o1[[#This Row],[DIF_Target]],AVERAGE(OFFSET(Tab.o1[[#This Row],[DIF_Target]],1,0,L$3,1)))/3,Tab.o1[[#This Row],[DIF_Target]])</f>
        <v/>
      </c>
      <c r="M279" s="118" t="str">
        <f>IF(Tab.o1[[#This Row],[a1]]=1,NORMSDIST(Tab.o1[[#This Row],[Za]]),"")</f>
        <v/>
      </c>
      <c r="N279" s="119" t="str">
        <f>IF(Tab.o1[[#This Row],[a1]]=1,((Tab.o1[[#This Row],[MedMod]]-AVERAGE(Tab.o1[MedMod]))/_xlfn.STDEV.P(Tab.o1[MedMod])*H$1205)+G$1205,"")</f>
        <v/>
      </c>
      <c r="O279" s="141" t="str">
        <f>IF(Tab.o1[[#This Row],[a1]]=1,Tab.o1[[#This Row],[Zb]]*_xlfn.STDEV.P(Tab.o1[MedMod])+AVERAGE(Tab.o1[MedMod]),"")</f>
        <v/>
      </c>
      <c r="P279" s="117" t="str">
        <f ca="1">IF(Tab.o1[[#This Row],[B]]=0,AVERAGE(OFFSET(Tab.o1[[#This Row],[B]],1,0,L$3,1)),Tab.o1[[#This Row],[B]])</f>
        <v/>
      </c>
      <c r="Q279" s="121" t="str">
        <f>IF(Tab.o1[[#This Row],[a1]]=1,NORMSDIST(Tab.o1[[#This Row],[Zb]]),"")</f>
        <v/>
      </c>
      <c r="R279" s="122" t="str">
        <f>IF(Tab.o1[[#This Row],[a1]]=1,((Tab.o1[[#This Row],[MedMod]]-AVERAGE(Tab.o1[MedMod]))/_xlfn.STDEV.P(Tab.o1[MedMod])*H$1203)+G$1203,"")</f>
        <v/>
      </c>
      <c r="S279" s="122" t="str">
        <f>IF(Tab.o1[[#This Row],[a1]]=1,((Tab.o1[[#This Row],[MedMod]]-AVERAGE(Tab.o1[MedMod]))/_xlfn.STDEV.P(Tab.o1[MedMod])*H$1204)+G$1204,"")</f>
        <v/>
      </c>
      <c r="T279" s="123" t="str">
        <f>IF(Tab.o1[[#This Row],[a1]]=1,Tab.o1[[#This Row],[Z-]]*_xlfn.STDEV.P(Tab.o1[B])+AVERAGE(Tab.o1[B]),"")</f>
        <v/>
      </c>
      <c r="U279" s="123" t="str">
        <f>IF(Tab.o1[[#This Row],[a1]]=1,Tab.o1[[#This Row],[z+]]*_xlfn.STDEV.P(Tab.o1[B])+AVERAGE(Tab.o1[B]),"")</f>
        <v/>
      </c>
      <c r="V279" s="124" t="str">
        <f>IF(Tab.o1[[#This Row],[a1]]=1,ABS((ABS(Tab.o1[[#This Row],[Red]]-Tab.o1[[#This Row],[Blue]]))),"")</f>
        <v/>
      </c>
      <c r="W279" s="125" t="str">
        <f>IF(Tab.o1[[#This Row],[a1]]=1,IF(W$3=0,1,Tab.o1[[#This Row],[Amp.]]*1/_xlfn.MINIFS(Tab.o1[Amp.],Tab.o1[Amp.],"&lt;&gt;0")),"")</f>
        <v/>
      </c>
      <c r="X279" s="126" t="str">
        <f>IF(Tab.o1[[#This Row],[a1]]=1,IF(ISNUMBER(Tab.o1[[#This Row],[i.]]),NORMDIST(Tab.o1[[#This Row],[Za]],0,1,FALSE)*Tab.o1[[#This Row],[i.]],AP$3),"")</f>
        <v/>
      </c>
      <c r="Y279" s="126" t="str">
        <f>IF(Tab.o1[[#This Row],[a1]]=1,0.01+0.94*Tab.o1[[#This Row],[PDF]]/MAX(Tab.o1[PDF]),"")</f>
        <v/>
      </c>
      <c r="Z279" s="126" t="str">
        <f>IF(Tab.o1[[#This Row],[a1]]=1,0.01+0.94*Tab.o1[[#This Row],[W1_PDF]]/MAX(Tab.o1[W1_PDF]),"")</f>
        <v/>
      </c>
      <c r="AA279" s="118" t="str">
        <f>IF(Tab.o1[[#This Row],[a1]]=1,ABS([1]!T.in.A[[#This Row],[oo6]]),"")</f>
        <v/>
      </c>
      <c r="AB279" s="127" t="str">
        <f>IF(Tab.o1[[#This Row],[a1]]=1,IF(AE$3=0,"",IF(AB$3=0,ABS([1]!T.in.A[[#This Row],[oo9]]),ABS(Tab.o1[[#This Row],[DIF_Target.]]*Tab.o1[[#This Row],[W1_PDF]]))),"")</f>
        <v/>
      </c>
      <c r="AC279" s="127" t="str">
        <f>IF(G$1=1,"",IF(Tab.o1[[#This Row],[a1]]=1,Tab.o1[[#This Row],[Wr]]^2,""))</f>
        <v/>
      </c>
      <c r="AD279" s="118" t="str">
        <f>IF(Tab.o1[[#This Row],[a1]]=1,IF(AE$3=0,"",Tab.o1[[#This Row],[Wr2]]/SUM(Tab.o1[Wr2])),"")</f>
        <v/>
      </c>
      <c r="AE279" s="128" t="str">
        <f>IF(Tab.o1[[#This Row],[a1]]=1,[1]!T.in.A[[#This Row],[oo10]],"")</f>
        <v/>
      </c>
      <c r="AF279" s="118" t="str">
        <f>IF(Tab.o1[[#This Row],[a1]]=1,ABS(Tab.o1[[#This Row],[DIF_Target.]]*Tab.o1[[#This Row],[PDF2]]*Tab.o1[[#This Row],[IN]]),"")</f>
        <v/>
      </c>
      <c r="AG279" s="129" t="str">
        <f>IF(Tab.o1[[#This Row],[a1]]=1,Tab.o1[[#This Row],[rW]]^2,"")</f>
        <v/>
      </c>
      <c r="AH279" s="130" t="str">
        <f>IF(Tab.o1[[#This Row],[a1]]=1,IF(AH$3=0,Tab.o1[[#This Row],[rW2]],0.01+0.94*Tab.o1[[#This Row],[rW2]]/SUM(Tab.o1[rW2])),"")</f>
        <v/>
      </c>
      <c r="AI279" s="128" t="str">
        <f>IF(Tab.o1[[#This Row],[a1]]=1,1/Tab.o1[[#This Row],[PDF]],"")</f>
        <v/>
      </c>
      <c r="AJ279" s="131" t="str">
        <f>IF(Tab.o1[[#This Row],[a1]]=1,[1]!T_AA[[#This Row],[IN'']]*[1]!T_AA[[#This Row],[Qde'']],"")</f>
        <v/>
      </c>
      <c r="AK279" s="132" t="str">
        <f>IF(Tab.o1[[#This Row],[a1]]=1,IF(AK$1=1,Tab.o1[[#This Row],[MED]]+Tab.o1[[#This Row],[MOD]]-Tab.o1[[#This Row],[MED]],""),"")</f>
        <v/>
      </c>
      <c r="AL279" s="133" t="str">
        <f>IF(Tab.o1[[#This Row],[a1]]=1,[1]!T.in.A[[#This Row],[oo16]],"")</f>
        <v/>
      </c>
      <c r="AM279" s="133" t="str">
        <f>IF(Tab.o1[[#This Row],[a1]]=1,IF(AM$3=1,[1]!T.in.A[[#This Row],[Σo16]],""),"")</f>
        <v/>
      </c>
      <c r="AN279" s="126" t="str">
        <f>IF(Tab.o1[[#This Row],[a1]]=1,[1]!T.in.A[[#This Row],[Σp5]],"")</f>
        <v/>
      </c>
      <c r="AO279" s="126" t="str">
        <f>IF(Tab.o1[[#This Row],[a1]]=1,IF(AO$3=1,[1]!T.in.A[[#This Row],[Σp5]],""),"")</f>
        <v/>
      </c>
      <c r="AP279" s="110" t="str">
        <f>IF(Tab.o1[[#This Row],[a1]]=1,IF(ISNUMBER(Tab.o1[[#This Row],[i.]]),NORMDIST(Tab.o1[[#This Row],[Za]],0,1,FALSE)*Tab.o1[[#This Row],[i.]],0),"")</f>
        <v/>
      </c>
      <c r="AQ279" s="125" t="str">
        <f>IF(Tab.o1[[#This Row],[a1]]=1,ABS(Tab.o1[[#This Row],[MOD]]-AVERAGE(Tab.o1[MOD])),"")</f>
        <v/>
      </c>
      <c r="AR279" s="134" t="str">
        <f>IF(Tab.o1[[#This Row],[a1]]=1,Tab.o1[[#This Row],[OBS]]/SUM(Tab.o1[OBS]),"")</f>
        <v/>
      </c>
      <c r="AS279" s="135" t="str">
        <f>IF(ISNUMBER(Tab.o1[[#This Row],[a1]]),ROW()-4,"")</f>
        <v/>
      </c>
      <c r="AT279" s="136" t="str">
        <f>Tab.o1[[#This Row],[MOD]]</f>
        <v/>
      </c>
      <c r="AU279" s="137" t="str">
        <f t="shared" si="17"/>
        <v/>
      </c>
      <c r="AV279" s="138" t="str">
        <f t="shared" si="18"/>
        <v/>
      </c>
      <c r="AW279" s="138" t="str">
        <f t="shared" si="19"/>
        <v/>
      </c>
      <c r="AX279" s="139" t="str">
        <f>[1]!T.in.A[[#This Row],[ID_T_manu]]</f>
        <v/>
      </c>
      <c r="AY279" s="140" t="str">
        <f>IF(ISNUMBER(Tab.o1[[#This Row],[a1]]),IF(AND(Tab.o1[[#This Row],[a1]]=1,Tab.o1[[#This Row],[b1]]&lt;=AY$4),#REF!,AY278),"")</f>
        <v/>
      </c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</row>
    <row r="280" spans="1:79" ht="15.75" hidden="1">
      <c r="A280" s="109">
        <v>-1.0000000000000002E-6</v>
      </c>
      <c r="B280" s="110">
        <f t="shared" si="16"/>
        <v>280</v>
      </c>
      <c r="C280" s="111" t="str">
        <f>IF(C$1=[1]!T.in.A[[#This Row],[oo2]],1,"")</f>
        <v/>
      </c>
      <c r="D280" s="112" t="str">
        <f>IF(Tab.o1[[#This Row],[a1]]=1,IF(SUM(C280:C281)=0,0,IF(SUM(C279:C280)=1,1,IF(SUM(C279:C281)&gt;1,D279+1,0))),"")</f>
        <v/>
      </c>
      <c r="E280" s="113" t="str">
        <f>IF(Tab.o1[[#This Row],[a1]]=1,[1]!T.in.A[[#This Row],[oo1]],"")</f>
        <v/>
      </c>
      <c r="F280" s="113" t="str">
        <f>IF(Tab.o1[[#This Row],[a1]]=1,[1]!T.in.A[[#This Row],[pp1]],"")</f>
        <v/>
      </c>
      <c r="G280" s="114" t="str">
        <f>IF(Tab.o1[[#This Row],[a1]]=1,G$2+IF(G$1=1,0,Tab.o1[[#This Row],[.x1]])+[1]!T.in.A[[#This Row],[oo3]],"")</f>
        <v/>
      </c>
      <c r="H280" s="115" t="str">
        <f>IF(Tab.o1[[#This Row],[a1]]=1,IF(H$2=0,0,IF(G$1=1,0,Tab.o1[[#This Row],[.x1]])+[1]!T.in.A[[#This Row],[oo4]]),"")</f>
        <v/>
      </c>
      <c r="I280" s="116" t="str">
        <f>IF(Tab.o1[[#This Row],[a1]]=1,IF(J$2=0,Tab.o1[[#This Row],[MED]],Tab.o1[[#This Row],[MOD]]),"")</f>
        <v/>
      </c>
      <c r="J280" s="116" t="str">
        <f>IF(Tab.o1[[#This Row],[a1]]=1,((Tab.o1[[#This Row],[DIF_Target.]]-AVERAGE(Tab.o1[DIF_Target.]))/_xlfn.STDEV.P(Tab.o1[DIF_Target.])),"")</f>
        <v/>
      </c>
      <c r="K280" s="117" t="str">
        <f>IF(Tab.o1[[#This Row],[a1]]=1,IF(J$2=0,Tab.o1[[#This Row],[MOD]]-Tab.o1[[#This Row],[B]],IF(J$2=1,0,-Tab.o1[[#This Row],[MED]])+Tab.o1[[#This Row],[B]]),"")</f>
        <v/>
      </c>
      <c r="L280" s="117" t="str">
        <f ca="1">IF(Tab.o1[[#This Row],[DIF_Target]]=0,IF(L$2=0,Tab.o1[[#This Row],[DIF_Target]],AVERAGE(OFFSET(Tab.o1[[#This Row],[DIF_Target]],1,0,L$3,1)))/3,Tab.o1[[#This Row],[DIF_Target]])</f>
        <v/>
      </c>
      <c r="M280" s="118" t="str">
        <f>IF(Tab.o1[[#This Row],[a1]]=1,NORMSDIST(Tab.o1[[#This Row],[Za]]),"")</f>
        <v/>
      </c>
      <c r="N280" s="119" t="str">
        <f>IF(Tab.o1[[#This Row],[a1]]=1,((Tab.o1[[#This Row],[MedMod]]-AVERAGE(Tab.o1[MedMod]))/_xlfn.STDEV.P(Tab.o1[MedMod])*H$1205)+G$1205,"")</f>
        <v/>
      </c>
      <c r="O280" s="141" t="str">
        <f>IF(Tab.o1[[#This Row],[a1]]=1,Tab.o1[[#This Row],[Zb]]*_xlfn.STDEV.P(Tab.o1[MedMod])+AVERAGE(Tab.o1[MedMod]),"")</f>
        <v/>
      </c>
      <c r="P280" s="117" t="str">
        <f ca="1">IF(Tab.o1[[#This Row],[B]]=0,AVERAGE(OFFSET(Tab.o1[[#This Row],[B]],1,0,L$3,1)),Tab.o1[[#This Row],[B]])</f>
        <v/>
      </c>
      <c r="Q280" s="121" t="str">
        <f>IF(Tab.o1[[#This Row],[a1]]=1,NORMSDIST(Tab.o1[[#This Row],[Zb]]),"")</f>
        <v/>
      </c>
      <c r="R280" s="122" t="str">
        <f>IF(Tab.o1[[#This Row],[a1]]=1,((Tab.o1[[#This Row],[MedMod]]-AVERAGE(Tab.o1[MedMod]))/_xlfn.STDEV.P(Tab.o1[MedMod])*H$1203)+G$1203,"")</f>
        <v/>
      </c>
      <c r="S280" s="122" t="str">
        <f>IF(Tab.o1[[#This Row],[a1]]=1,((Tab.o1[[#This Row],[MedMod]]-AVERAGE(Tab.o1[MedMod]))/_xlfn.STDEV.P(Tab.o1[MedMod])*H$1204)+G$1204,"")</f>
        <v/>
      </c>
      <c r="T280" s="123" t="str">
        <f>IF(Tab.o1[[#This Row],[a1]]=1,Tab.o1[[#This Row],[Z-]]*_xlfn.STDEV.P(Tab.o1[B])+AVERAGE(Tab.o1[B]),"")</f>
        <v/>
      </c>
      <c r="U280" s="123" t="str">
        <f>IF(Tab.o1[[#This Row],[a1]]=1,Tab.o1[[#This Row],[z+]]*_xlfn.STDEV.P(Tab.o1[B])+AVERAGE(Tab.o1[B]),"")</f>
        <v/>
      </c>
      <c r="V280" s="124" t="str">
        <f>IF(Tab.o1[[#This Row],[a1]]=1,ABS((ABS(Tab.o1[[#This Row],[Red]]-Tab.o1[[#This Row],[Blue]]))),"")</f>
        <v/>
      </c>
      <c r="W280" s="125" t="str">
        <f>IF(Tab.o1[[#This Row],[a1]]=1,IF(W$3=0,1,Tab.o1[[#This Row],[Amp.]]*1/_xlfn.MINIFS(Tab.o1[Amp.],Tab.o1[Amp.],"&lt;&gt;0")),"")</f>
        <v/>
      </c>
      <c r="X280" s="126" t="str">
        <f>IF(Tab.o1[[#This Row],[a1]]=1,IF(ISNUMBER(Tab.o1[[#This Row],[i.]]),NORMDIST(Tab.o1[[#This Row],[Za]],0,1,FALSE)*Tab.o1[[#This Row],[i.]],AP$3),"")</f>
        <v/>
      </c>
      <c r="Y280" s="126" t="str">
        <f>IF(Tab.o1[[#This Row],[a1]]=1,0.01+0.94*Tab.o1[[#This Row],[PDF]]/MAX(Tab.o1[PDF]),"")</f>
        <v/>
      </c>
      <c r="Z280" s="126" t="str">
        <f>IF(Tab.o1[[#This Row],[a1]]=1,0.01+0.94*Tab.o1[[#This Row],[W1_PDF]]/MAX(Tab.o1[W1_PDF]),"")</f>
        <v/>
      </c>
      <c r="AA280" s="118" t="str">
        <f>IF(Tab.o1[[#This Row],[a1]]=1,ABS([1]!T.in.A[[#This Row],[oo6]]),"")</f>
        <v/>
      </c>
      <c r="AB280" s="127" t="str">
        <f>IF(Tab.o1[[#This Row],[a1]]=1,IF(AE$3=0,"",IF(AB$3=0,ABS([1]!T.in.A[[#This Row],[oo9]]),ABS(Tab.o1[[#This Row],[DIF_Target.]]*Tab.o1[[#This Row],[W1_PDF]]))),"")</f>
        <v/>
      </c>
      <c r="AC280" s="127" t="str">
        <f>IF(G$1=1,"",IF(Tab.o1[[#This Row],[a1]]=1,Tab.o1[[#This Row],[Wr]]^2,""))</f>
        <v/>
      </c>
      <c r="AD280" s="118" t="str">
        <f>IF(Tab.o1[[#This Row],[a1]]=1,IF(AE$3=0,"",Tab.o1[[#This Row],[Wr2]]/SUM(Tab.o1[Wr2])),"")</f>
        <v/>
      </c>
      <c r="AE280" s="128" t="str">
        <f>IF(Tab.o1[[#This Row],[a1]]=1,[1]!T.in.A[[#This Row],[oo10]],"")</f>
        <v/>
      </c>
      <c r="AF280" s="118" t="str">
        <f>IF(Tab.o1[[#This Row],[a1]]=1,ABS(Tab.o1[[#This Row],[DIF_Target.]]*Tab.o1[[#This Row],[PDF2]]*Tab.o1[[#This Row],[IN]]),"")</f>
        <v/>
      </c>
      <c r="AG280" s="129" t="str">
        <f>IF(Tab.o1[[#This Row],[a1]]=1,Tab.o1[[#This Row],[rW]]^2,"")</f>
        <v/>
      </c>
      <c r="AH280" s="130" t="str">
        <f>IF(Tab.o1[[#This Row],[a1]]=1,IF(AH$3=0,Tab.o1[[#This Row],[rW2]],0.01+0.94*Tab.o1[[#This Row],[rW2]]/SUM(Tab.o1[rW2])),"")</f>
        <v/>
      </c>
      <c r="AI280" s="128" t="str">
        <f>IF(Tab.o1[[#This Row],[a1]]=1,1/Tab.o1[[#This Row],[PDF]],"")</f>
        <v/>
      </c>
      <c r="AJ280" s="131" t="str">
        <f>IF(Tab.o1[[#This Row],[a1]]=1,[1]!T_AA[[#This Row],[IN'']]*[1]!T_AA[[#This Row],[Qde'']],"")</f>
        <v/>
      </c>
      <c r="AK280" s="132" t="str">
        <f>IF(Tab.o1[[#This Row],[a1]]=1,IF(AK$1=1,Tab.o1[[#This Row],[MED]]+Tab.o1[[#This Row],[MOD]]-Tab.o1[[#This Row],[MED]],""),"")</f>
        <v/>
      </c>
      <c r="AL280" s="133" t="str">
        <f>IF(Tab.o1[[#This Row],[a1]]=1,[1]!T.in.A[[#This Row],[oo16]],"")</f>
        <v/>
      </c>
      <c r="AM280" s="133" t="str">
        <f>IF(Tab.o1[[#This Row],[a1]]=1,IF(AM$3=1,[1]!T.in.A[[#This Row],[Σo16]],""),"")</f>
        <v/>
      </c>
      <c r="AN280" s="126" t="str">
        <f>IF(Tab.o1[[#This Row],[a1]]=1,[1]!T.in.A[[#This Row],[Σp5]],"")</f>
        <v/>
      </c>
      <c r="AO280" s="126" t="str">
        <f>IF(Tab.o1[[#This Row],[a1]]=1,IF(AO$3=1,[1]!T.in.A[[#This Row],[Σp5]],""),"")</f>
        <v/>
      </c>
      <c r="AP280" s="110" t="str">
        <f>IF(Tab.o1[[#This Row],[a1]]=1,IF(ISNUMBER(Tab.o1[[#This Row],[i.]]),NORMDIST(Tab.o1[[#This Row],[Za]],0,1,FALSE)*Tab.o1[[#This Row],[i.]],0),"")</f>
        <v/>
      </c>
      <c r="AQ280" s="125" t="str">
        <f>IF(Tab.o1[[#This Row],[a1]]=1,ABS(Tab.o1[[#This Row],[MOD]]-AVERAGE(Tab.o1[MOD])),"")</f>
        <v/>
      </c>
      <c r="AR280" s="134" t="str">
        <f>IF(Tab.o1[[#This Row],[a1]]=1,Tab.o1[[#This Row],[OBS]]/SUM(Tab.o1[OBS]),"")</f>
        <v/>
      </c>
      <c r="AS280" s="135" t="str">
        <f>IF(ISNUMBER(Tab.o1[[#This Row],[a1]]),ROW()-4,"")</f>
        <v/>
      </c>
      <c r="AT280" s="136" t="str">
        <f>Tab.o1[[#This Row],[MOD]]</f>
        <v/>
      </c>
      <c r="AU280" s="137" t="str">
        <f t="shared" si="17"/>
        <v/>
      </c>
      <c r="AV280" s="138" t="str">
        <f t="shared" si="18"/>
        <v/>
      </c>
      <c r="AW280" s="138" t="str">
        <f t="shared" si="19"/>
        <v/>
      </c>
      <c r="AX280" s="139" t="str">
        <f>[1]!T.in.A[[#This Row],[ID_T_manu]]</f>
        <v/>
      </c>
      <c r="AY280" s="140" t="str">
        <f>IF(ISNUMBER(Tab.o1[[#This Row],[a1]]),IF(AND(Tab.o1[[#This Row],[a1]]=1,Tab.o1[[#This Row],[b1]]&lt;=AY$4),#REF!,AY279),"")</f>
        <v/>
      </c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</row>
    <row r="281" spans="1:79" ht="15.75" hidden="1">
      <c r="A281" s="109">
        <v>2.9999999999999997E-6</v>
      </c>
      <c r="B281" s="110">
        <f t="shared" si="16"/>
        <v>281</v>
      </c>
      <c r="C281" s="111" t="str">
        <f>IF(C$1=[1]!T.in.A[[#This Row],[oo2]],1,"")</f>
        <v/>
      </c>
      <c r="D281" s="112" t="str">
        <f>IF(Tab.o1[[#This Row],[a1]]=1,IF(SUM(C281:C282)=0,0,IF(SUM(C280:C281)=1,1,IF(SUM(C280:C282)&gt;1,D280+1,0))),"")</f>
        <v/>
      </c>
      <c r="E281" s="113" t="str">
        <f>IF(Tab.o1[[#This Row],[a1]]=1,[1]!T.in.A[[#This Row],[oo1]],"")</f>
        <v/>
      </c>
      <c r="F281" s="113" t="str">
        <f>IF(Tab.o1[[#This Row],[a1]]=1,[1]!T.in.A[[#This Row],[pp1]],"")</f>
        <v/>
      </c>
      <c r="G281" s="114" t="str">
        <f>IF(Tab.o1[[#This Row],[a1]]=1,G$2+IF(G$1=1,0,Tab.o1[[#This Row],[.x1]])+[1]!T.in.A[[#This Row],[oo3]],"")</f>
        <v/>
      </c>
      <c r="H281" s="115" t="str">
        <f>IF(Tab.o1[[#This Row],[a1]]=1,IF(H$2=0,0,IF(G$1=1,0,Tab.o1[[#This Row],[.x1]])+[1]!T.in.A[[#This Row],[oo4]]),"")</f>
        <v/>
      </c>
      <c r="I281" s="116" t="str">
        <f>IF(Tab.o1[[#This Row],[a1]]=1,IF(J$2=0,Tab.o1[[#This Row],[MED]],Tab.o1[[#This Row],[MOD]]),"")</f>
        <v/>
      </c>
      <c r="J281" s="116" t="str">
        <f>IF(Tab.o1[[#This Row],[a1]]=1,((Tab.o1[[#This Row],[DIF_Target.]]-AVERAGE(Tab.o1[DIF_Target.]))/_xlfn.STDEV.P(Tab.o1[DIF_Target.])),"")</f>
        <v/>
      </c>
      <c r="K281" s="117" t="str">
        <f>IF(Tab.o1[[#This Row],[a1]]=1,IF(J$2=0,Tab.o1[[#This Row],[MOD]]-Tab.o1[[#This Row],[B]],IF(J$2=1,0,-Tab.o1[[#This Row],[MED]])+Tab.o1[[#This Row],[B]]),"")</f>
        <v/>
      </c>
      <c r="L281" s="117" t="str">
        <f ca="1">IF(Tab.o1[[#This Row],[DIF_Target]]=0,IF(L$2=0,Tab.o1[[#This Row],[DIF_Target]],AVERAGE(OFFSET(Tab.o1[[#This Row],[DIF_Target]],1,0,L$3,1)))/3,Tab.o1[[#This Row],[DIF_Target]])</f>
        <v/>
      </c>
      <c r="M281" s="118" t="str">
        <f>IF(Tab.o1[[#This Row],[a1]]=1,NORMSDIST(Tab.o1[[#This Row],[Za]]),"")</f>
        <v/>
      </c>
      <c r="N281" s="119" t="str">
        <f>IF(Tab.o1[[#This Row],[a1]]=1,((Tab.o1[[#This Row],[MedMod]]-AVERAGE(Tab.o1[MedMod]))/_xlfn.STDEV.P(Tab.o1[MedMod])*H$1205)+G$1205,"")</f>
        <v/>
      </c>
      <c r="O281" s="141" t="str">
        <f>IF(Tab.o1[[#This Row],[a1]]=1,Tab.o1[[#This Row],[Zb]]*_xlfn.STDEV.P(Tab.o1[MedMod])+AVERAGE(Tab.o1[MedMod]),"")</f>
        <v/>
      </c>
      <c r="P281" s="117" t="str">
        <f ca="1">IF(Tab.o1[[#This Row],[B]]=0,AVERAGE(OFFSET(Tab.o1[[#This Row],[B]],1,0,L$3,1)),Tab.o1[[#This Row],[B]])</f>
        <v/>
      </c>
      <c r="Q281" s="121" t="str">
        <f>IF(Tab.o1[[#This Row],[a1]]=1,NORMSDIST(Tab.o1[[#This Row],[Zb]]),"")</f>
        <v/>
      </c>
      <c r="R281" s="122" t="str">
        <f>IF(Tab.o1[[#This Row],[a1]]=1,((Tab.o1[[#This Row],[MedMod]]-AVERAGE(Tab.o1[MedMod]))/_xlfn.STDEV.P(Tab.o1[MedMod])*H$1203)+G$1203,"")</f>
        <v/>
      </c>
      <c r="S281" s="122" t="str">
        <f>IF(Tab.o1[[#This Row],[a1]]=1,((Tab.o1[[#This Row],[MedMod]]-AVERAGE(Tab.o1[MedMod]))/_xlfn.STDEV.P(Tab.o1[MedMod])*H$1204)+G$1204,"")</f>
        <v/>
      </c>
      <c r="T281" s="123" t="str">
        <f>IF(Tab.o1[[#This Row],[a1]]=1,Tab.o1[[#This Row],[Z-]]*_xlfn.STDEV.P(Tab.o1[B])+AVERAGE(Tab.o1[B]),"")</f>
        <v/>
      </c>
      <c r="U281" s="123" t="str">
        <f>IF(Tab.o1[[#This Row],[a1]]=1,Tab.o1[[#This Row],[z+]]*_xlfn.STDEV.P(Tab.o1[B])+AVERAGE(Tab.o1[B]),"")</f>
        <v/>
      </c>
      <c r="V281" s="124" t="str">
        <f>IF(Tab.o1[[#This Row],[a1]]=1,ABS((ABS(Tab.o1[[#This Row],[Red]]-Tab.o1[[#This Row],[Blue]]))),"")</f>
        <v/>
      </c>
      <c r="W281" s="125" t="str">
        <f>IF(Tab.o1[[#This Row],[a1]]=1,IF(W$3=0,1,Tab.o1[[#This Row],[Amp.]]*1/_xlfn.MINIFS(Tab.o1[Amp.],Tab.o1[Amp.],"&lt;&gt;0")),"")</f>
        <v/>
      </c>
      <c r="X281" s="126" t="str">
        <f>IF(Tab.o1[[#This Row],[a1]]=1,IF(ISNUMBER(Tab.o1[[#This Row],[i.]]),NORMDIST(Tab.o1[[#This Row],[Za]],0,1,FALSE)*Tab.o1[[#This Row],[i.]],AP$3),"")</f>
        <v/>
      </c>
      <c r="Y281" s="126" t="str">
        <f>IF(Tab.o1[[#This Row],[a1]]=1,0.01+0.94*Tab.o1[[#This Row],[PDF]]/MAX(Tab.o1[PDF]),"")</f>
        <v/>
      </c>
      <c r="Z281" s="126" t="str">
        <f>IF(Tab.o1[[#This Row],[a1]]=1,0.01+0.94*Tab.o1[[#This Row],[W1_PDF]]/MAX(Tab.o1[W1_PDF]),"")</f>
        <v/>
      </c>
      <c r="AA281" s="118" t="str">
        <f>IF(Tab.o1[[#This Row],[a1]]=1,ABS([1]!T.in.A[[#This Row],[oo6]]),"")</f>
        <v/>
      </c>
      <c r="AB281" s="127" t="str">
        <f>IF(Tab.o1[[#This Row],[a1]]=1,IF(AE$3=0,"",IF(AB$3=0,ABS([1]!T.in.A[[#This Row],[oo9]]),ABS(Tab.o1[[#This Row],[DIF_Target.]]*Tab.o1[[#This Row],[W1_PDF]]))),"")</f>
        <v/>
      </c>
      <c r="AC281" s="127" t="str">
        <f>IF(G$1=1,"",IF(Tab.o1[[#This Row],[a1]]=1,Tab.o1[[#This Row],[Wr]]^2,""))</f>
        <v/>
      </c>
      <c r="AD281" s="118" t="str">
        <f>IF(Tab.o1[[#This Row],[a1]]=1,IF(AE$3=0,"",Tab.o1[[#This Row],[Wr2]]/SUM(Tab.o1[Wr2])),"")</f>
        <v/>
      </c>
      <c r="AE281" s="128" t="str">
        <f>IF(Tab.o1[[#This Row],[a1]]=1,[1]!T.in.A[[#This Row],[oo10]],"")</f>
        <v/>
      </c>
      <c r="AF281" s="118" t="str">
        <f>IF(Tab.o1[[#This Row],[a1]]=1,ABS(Tab.o1[[#This Row],[DIF_Target.]]*Tab.o1[[#This Row],[PDF2]]*Tab.o1[[#This Row],[IN]]),"")</f>
        <v/>
      </c>
      <c r="AG281" s="129" t="str">
        <f>IF(Tab.o1[[#This Row],[a1]]=1,Tab.o1[[#This Row],[rW]]^2,"")</f>
        <v/>
      </c>
      <c r="AH281" s="130" t="str">
        <f>IF(Tab.o1[[#This Row],[a1]]=1,IF(AH$3=0,Tab.o1[[#This Row],[rW2]],0.01+0.94*Tab.o1[[#This Row],[rW2]]/SUM(Tab.o1[rW2])),"")</f>
        <v/>
      </c>
      <c r="AI281" s="128" t="str">
        <f>IF(Tab.o1[[#This Row],[a1]]=1,1/Tab.o1[[#This Row],[PDF]],"")</f>
        <v/>
      </c>
      <c r="AJ281" s="131" t="str">
        <f>IF(Tab.o1[[#This Row],[a1]]=1,[1]!T_AA[[#This Row],[IN'']]*[1]!T_AA[[#This Row],[Qde'']],"")</f>
        <v/>
      </c>
      <c r="AK281" s="132" t="str">
        <f>IF(Tab.o1[[#This Row],[a1]]=1,IF(AK$1=1,Tab.o1[[#This Row],[MED]]+Tab.o1[[#This Row],[MOD]]-Tab.o1[[#This Row],[MED]],""),"")</f>
        <v/>
      </c>
      <c r="AL281" s="133" t="str">
        <f>IF(Tab.o1[[#This Row],[a1]]=1,[1]!T.in.A[[#This Row],[oo16]],"")</f>
        <v/>
      </c>
      <c r="AM281" s="133" t="str">
        <f>IF(Tab.o1[[#This Row],[a1]]=1,IF(AM$3=1,[1]!T.in.A[[#This Row],[Σo16]],""),"")</f>
        <v/>
      </c>
      <c r="AN281" s="126" t="str">
        <f>IF(Tab.o1[[#This Row],[a1]]=1,[1]!T.in.A[[#This Row],[Σp5]],"")</f>
        <v/>
      </c>
      <c r="AO281" s="126" t="str">
        <f>IF(Tab.o1[[#This Row],[a1]]=1,IF(AO$3=1,[1]!T.in.A[[#This Row],[Σp5]],""),"")</f>
        <v/>
      </c>
      <c r="AP281" s="110" t="str">
        <f>IF(Tab.o1[[#This Row],[a1]]=1,IF(ISNUMBER(Tab.o1[[#This Row],[i.]]),NORMDIST(Tab.o1[[#This Row],[Za]],0,1,FALSE)*Tab.o1[[#This Row],[i.]],0),"")</f>
        <v/>
      </c>
      <c r="AQ281" s="125" t="str">
        <f>IF(Tab.o1[[#This Row],[a1]]=1,ABS(Tab.o1[[#This Row],[MOD]]-AVERAGE(Tab.o1[MOD])),"")</f>
        <v/>
      </c>
      <c r="AR281" s="134" t="str">
        <f>IF(Tab.o1[[#This Row],[a1]]=1,Tab.o1[[#This Row],[OBS]]/SUM(Tab.o1[OBS]),"")</f>
        <v/>
      </c>
      <c r="AS281" s="135" t="str">
        <f>IF(ISNUMBER(Tab.o1[[#This Row],[a1]]),ROW()-4,"")</f>
        <v/>
      </c>
      <c r="AT281" s="136" t="str">
        <f>Tab.o1[[#This Row],[MOD]]</f>
        <v/>
      </c>
      <c r="AU281" s="137" t="str">
        <f t="shared" si="17"/>
        <v/>
      </c>
      <c r="AV281" s="138" t="str">
        <f t="shared" si="18"/>
        <v/>
      </c>
      <c r="AW281" s="138" t="str">
        <f t="shared" si="19"/>
        <v/>
      </c>
      <c r="AX281" s="139" t="str">
        <f>[1]!T.in.A[[#This Row],[ID_T_manu]]</f>
        <v/>
      </c>
      <c r="AY281" s="140" t="str">
        <f>IF(ISNUMBER(Tab.o1[[#This Row],[a1]]),IF(AND(Tab.o1[[#This Row],[a1]]=1,Tab.o1[[#This Row],[b1]]&lt;=AY$4),#REF!,AY280),"")</f>
        <v/>
      </c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</row>
    <row r="282" spans="1:79" ht="15.75" hidden="1">
      <c r="A282" s="109">
        <v>-9.0000000000000002E-6</v>
      </c>
      <c r="B282" s="110">
        <f t="shared" si="16"/>
        <v>282</v>
      </c>
      <c r="C282" s="111" t="str">
        <f>IF(C$1=[1]!T.in.A[[#This Row],[oo2]],1,"")</f>
        <v/>
      </c>
      <c r="D282" s="112" t="str">
        <f>IF(Tab.o1[[#This Row],[a1]]=1,IF(SUM(C282:C283)=0,0,IF(SUM(C281:C282)=1,1,IF(SUM(C281:C283)&gt;1,D281+1,0))),"")</f>
        <v/>
      </c>
      <c r="E282" s="113" t="str">
        <f>IF(Tab.o1[[#This Row],[a1]]=1,[1]!T.in.A[[#This Row],[oo1]],"")</f>
        <v/>
      </c>
      <c r="F282" s="113" t="str">
        <f>IF(Tab.o1[[#This Row],[a1]]=1,[1]!T.in.A[[#This Row],[pp1]],"")</f>
        <v/>
      </c>
      <c r="G282" s="114" t="str">
        <f>IF(Tab.o1[[#This Row],[a1]]=1,G$2+IF(G$1=1,0,Tab.o1[[#This Row],[.x1]])+[1]!T.in.A[[#This Row],[oo3]],"")</f>
        <v/>
      </c>
      <c r="H282" s="115" t="str">
        <f>IF(Tab.o1[[#This Row],[a1]]=1,IF(H$2=0,0,IF(G$1=1,0,Tab.o1[[#This Row],[.x1]])+[1]!T.in.A[[#This Row],[oo4]]),"")</f>
        <v/>
      </c>
      <c r="I282" s="116" t="str">
        <f>IF(Tab.o1[[#This Row],[a1]]=1,IF(J$2=0,Tab.o1[[#This Row],[MED]],Tab.o1[[#This Row],[MOD]]),"")</f>
        <v/>
      </c>
      <c r="J282" s="116" t="str">
        <f>IF(Tab.o1[[#This Row],[a1]]=1,((Tab.o1[[#This Row],[DIF_Target.]]-AVERAGE(Tab.o1[DIF_Target.]))/_xlfn.STDEV.P(Tab.o1[DIF_Target.])),"")</f>
        <v/>
      </c>
      <c r="K282" s="117" t="str">
        <f>IF(Tab.o1[[#This Row],[a1]]=1,IF(J$2=0,Tab.o1[[#This Row],[MOD]]-Tab.o1[[#This Row],[B]],IF(J$2=1,0,-Tab.o1[[#This Row],[MED]])+Tab.o1[[#This Row],[B]]),"")</f>
        <v/>
      </c>
      <c r="L282" s="117" t="str">
        <f ca="1">IF(Tab.o1[[#This Row],[DIF_Target]]=0,IF(L$2=0,Tab.o1[[#This Row],[DIF_Target]],AVERAGE(OFFSET(Tab.o1[[#This Row],[DIF_Target]],1,0,L$3,1)))/3,Tab.o1[[#This Row],[DIF_Target]])</f>
        <v/>
      </c>
      <c r="M282" s="118" t="str">
        <f>IF(Tab.o1[[#This Row],[a1]]=1,NORMSDIST(Tab.o1[[#This Row],[Za]]),"")</f>
        <v/>
      </c>
      <c r="N282" s="119" t="str">
        <f>IF(Tab.o1[[#This Row],[a1]]=1,((Tab.o1[[#This Row],[MedMod]]-AVERAGE(Tab.o1[MedMod]))/_xlfn.STDEV.P(Tab.o1[MedMod])*H$1205)+G$1205,"")</f>
        <v/>
      </c>
      <c r="O282" s="141" t="str">
        <f>IF(Tab.o1[[#This Row],[a1]]=1,Tab.o1[[#This Row],[Zb]]*_xlfn.STDEV.P(Tab.o1[MedMod])+AVERAGE(Tab.o1[MedMod]),"")</f>
        <v/>
      </c>
      <c r="P282" s="117" t="str">
        <f ca="1">IF(Tab.o1[[#This Row],[B]]=0,AVERAGE(OFFSET(Tab.o1[[#This Row],[B]],1,0,L$3,1)),Tab.o1[[#This Row],[B]])</f>
        <v/>
      </c>
      <c r="Q282" s="121" t="str">
        <f>IF(Tab.o1[[#This Row],[a1]]=1,NORMSDIST(Tab.o1[[#This Row],[Zb]]),"")</f>
        <v/>
      </c>
      <c r="R282" s="122" t="str">
        <f>IF(Tab.o1[[#This Row],[a1]]=1,((Tab.o1[[#This Row],[MedMod]]-AVERAGE(Tab.o1[MedMod]))/_xlfn.STDEV.P(Tab.o1[MedMod])*H$1203)+G$1203,"")</f>
        <v/>
      </c>
      <c r="S282" s="122" t="str">
        <f>IF(Tab.o1[[#This Row],[a1]]=1,((Tab.o1[[#This Row],[MedMod]]-AVERAGE(Tab.o1[MedMod]))/_xlfn.STDEV.P(Tab.o1[MedMod])*H$1204)+G$1204,"")</f>
        <v/>
      </c>
      <c r="T282" s="123" t="str">
        <f>IF(Tab.o1[[#This Row],[a1]]=1,Tab.o1[[#This Row],[Z-]]*_xlfn.STDEV.P(Tab.o1[B])+AVERAGE(Tab.o1[B]),"")</f>
        <v/>
      </c>
      <c r="U282" s="123" t="str">
        <f>IF(Tab.o1[[#This Row],[a1]]=1,Tab.o1[[#This Row],[z+]]*_xlfn.STDEV.P(Tab.o1[B])+AVERAGE(Tab.o1[B]),"")</f>
        <v/>
      </c>
      <c r="V282" s="124" t="str">
        <f>IF(Tab.o1[[#This Row],[a1]]=1,ABS((ABS(Tab.o1[[#This Row],[Red]]-Tab.o1[[#This Row],[Blue]]))),"")</f>
        <v/>
      </c>
      <c r="W282" s="125" t="str">
        <f>IF(Tab.o1[[#This Row],[a1]]=1,IF(W$3=0,1,Tab.o1[[#This Row],[Amp.]]*1/_xlfn.MINIFS(Tab.o1[Amp.],Tab.o1[Amp.],"&lt;&gt;0")),"")</f>
        <v/>
      </c>
      <c r="X282" s="126" t="str">
        <f>IF(Tab.o1[[#This Row],[a1]]=1,IF(ISNUMBER(Tab.o1[[#This Row],[i.]]),NORMDIST(Tab.o1[[#This Row],[Za]],0,1,FALSE)*Tab.o1[[#This Row],[i.]],AP$3),"")</f>
        <v/>
      </c>
      <c r="Y282" s="126" t="str">
        <f>IF(Tab.o1[[#This Row],[a1]]=1,0.01+0.94*Tab.o1[[#This Row],[PDF]]/MAX(Tab.o1[PDF]),"")</f>
        <v/>
      </c>
      <c r="Z282" s="126" t="str">
        <f>IF(Tab.o1[[#This Row],[a1]]=1,0.01+0.94*Tab.o1[[#This Row],[W1_PDF]]/MAX(Tab.o1[W1_PDF]),"")</f>
        <v/>
      </c>
      <c r="AA282" s="118" t="str">
        <f>IF(Tab.o1[[#This Row],[a1]]=1,ABS([1]!T.in.A[[#This Row],[oo6]]),"")</f>
        <v/>
      </c>
      <c r="AB282" s="127" t="str">
        <f>IF(Tab.o1[[#This Row],[a1]]=1,IF(AE$3=0,"",IF(AB$3=0,ABS([1]!T.in.A[[#This Row],[oo9]]),ABS(Tab.o1[[#This Row],[DIF_Target.]]*Tab.o1[[#This Row],[W1_PDF]]))),"")</f>
        <v/>
      </c>
      <c r="AC282" s="127" t="str">
        <f>IF(G$1=1,"",IF(Tab.o1[[#This Row],[a1]]=1,Tab.o1[[#This Row],[Wr]]^2,""))</f>
        <v/>
      </c>
      <c r="AD282" s="118" t="str">
        <f>IF(Tab.o1[[#This Row],[a1]]=1,IF(AE$3=0,"",Tab.o1[[#This Row],[Wr2]]/SUM(Tab.o1[Wr2])),"")</f>
        <v/>
      </c>
      <c r="AE282" s="128" t="str">
        <f>IF(Tab.o1[[#This Row],[a1]]=1,[1]!T.in.A[[#This Row],[oo10]],"")</f>
        <v/>
      </c>
      <c r="AF282" s="118" t="str">
        <f>IF(Tab.o1[[#This Row],[a1]]=1,ABS(Tab.o1[[#This Row],[DIF_Target.]]*Tab.o1[[#This Row],[PDF2]]*Tab.o1[[#This Row],[IN]]),"")</f>
        <v/>
      </c>
      <c r="AG282" s="129" t="str">
        <f>IF(Tab.o1[[#This Row],[a1]]=1,Tab.o1[[#This Row],[rW]]^2,"")</f>
        <v/>
      </c>
      <c r="AH282" s="130" t="str">
        <f>IF(Tab.o1[[#This Row],[a1]]=1,IF(AH$3=0,Tab.o1[[#This Row],[rW2]],0.01+0.94*Tab.o1[[#This Row],[rW2]]/SUM(Tab.o1[rW2])),"")</f>
        <v/>
      </c>
      <c r="AI282" s="128" t="str">
        <f>IF(Tab.o1[[#This Row],[a1]]=1,1/Tab.o1[[#This Row],[PDF]],"")</f>
        <v/>
      </c>
      <c r="AJ282" s="131" t="str">
        <f>IF(Tab.o1[[#This Row],[a1]]=1,[1]!T_AA[[#This Row],[IN'']]*[1]!T_AA[[#This Row],[Qde'']],"")</f>
        <v/>
      </c>
      <c r="AK282" s="132" t="str">
        <f>IF(Tab.o1[[#This Row],[a1]]=1,IF(AK$1=1,Tab.o1[[#This Row],[MED]]+Tab.o1[[#This Row],[MOD]]-Tab.o1[[#This Row],[MED]],""),"")</f>
        <v/>
      </c>
      <c r="AL282" s="133" t="str">
        <f>IF(Tab.o1[[#This Row],[a1]]=1,[1]!T.in.A[[#This Row],[oo16]],"")</f>
        <v/>
      </c>
      <c r="AM282" s="133" t="str">
        <f>IF(Tab.o1[[#This Row],[a1]]=1,IF(AM$3=1,[1]!T.in.A[[#This Row],[Σo16]],""),"")</f>
        <v/>
      </c>
      <c r="AN282" s="126" t="str">
        <f>IF(Tab.o1[[#This Row],[a1]]=1,[1]!T.in.A[[#This Row],[Σp5]],"")</f>
        <v/>
      </c>
      <c r="AO282" s="126" t="str">
        <f>IF(Tab.o1[[#This Row],[a1]]=1,IF(AO$3=1,[1]!T.in.A[[#This Row],[Σp5]],""),"")</f>
        <v/>
      </c>
      <c r="AP282" s="110" t="str">
        <f>IF(Tab.o1[[#This Row],[a1]]=1,IF(ISNUMBER(Tab.o1[[#This Row],[i.]]),NORMDIST(Tab.o1[[#This Row],[Za]],0,1,FALSE)*Tab.o1[[#This Row],[i.]],0),"")</f>
        <v/>
      </c>
      <c r="AQ282" s="125" t="str">
        <f>IF(Tab.o1[[#This Row],[a1]]=1,ABS(Tab.o1[[#This Row],[MOD]]-AVERAGE(Tab.o1[MOD])),"")</f>
        <v/>
      </c>
      <c r="AR282" s="134" t="str">
        <f>IF(Tab.o1[[#This Row],[a1]]=1,Tab.o1[[#This Row],[OBS]]/SUM(Tab.o1[OBS]),"")</f>
        <v/>
      </c>
      <c r="AS282" s="135" t="str">
        <f>IF(ISNUMBER(Tab.o1[[#This Row],[a1]]),ROW()-4,"")</f>
        <v/>
      </c>
      <c r="AT282" s="136" t="str">
        <f>Tab.o1[[#This Row],[MOD]]</f>
        <v/>
      </c>
      <c r="AU282" s="137" t="str">
        <f t="shared" si="17"/>
        <v/>
      </c>
      <c r="AV282" s="138" t="str">
        <f t="shared" si="18"/>
        <v/>
      </c>
      <c r="AW282" s="138" t="str">
        <f t="shared" si="19"/>
        <v/>
      </c>
      <c r="AX282" s="139" t="str">
        <f>[1]!T.in.A[[#This Row],[ID_T_manu]]</f>
        <v/>
      </c>
      <c r="AY282" s="140" t="str">
        <f>IF(ISNUMBER(Tab.o1[[#This Row],[a1]]),IF(AND(Tab.o1[[#This Row],[a1]]=1,Tab.o1[[#This Row],[b1]]&lt;=AY$4),#REF!,AY281),"")</f>
        <v/>
      </c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</row>
    <row r="283" spans="1:79" ht="15.75" hidden="1">
      <c r="A283" s="109">
        <v>9.0000000000000002E-6</v>
      </c>
      <c r="B283" s="110">
        <f t="shared" si="16"/>
        <v>283</v>
      </c>
      <c r="C283" s="111" t="str">
        <f>IF(C$1=[1]!T.in.A[[#This Row],[oo2]],1,"")</f>
        <v/>
      </c>
      <c r="D283" s="112" t="str">
        <f>IF(Tab.o1[[#This Row],[a1]]=1,IF(SUM(C283:C284)=0,0,IF(SUM(C282:C283)=1,1,IF(SUM(C282:C284)&gt;1,D282+1,0))),"")</f>
        <v/>
      </c>
      <c r="E283" s="113" t="str">
        <f>IF(Tab.o1[[#This Row],[a1]]=1,[1]!T.in.A[[#This Row],[oo1]],"")</f>
        <v/>
      </c>
      <c r="F283" s="113" t="str">
        <f>IF(Tab.o1[[#This Row],[a1]]=1,[1]!T.in.A[[#This Row],[pp1]],"")</f>
        <v/>
      </c>
      <c r="G283" s="114" t="str">
        <f>IF(Tab.o1[[#This Row],[a1]]=1,G$2+IF(G$1=1,0,Tab.o1[[#This Row],[.x1]])+[1]!T.in.A[[#This Row],[oo3]],"")</f>
        <v/>
      </c>
      <c r="H283" s="115" t="str">
        <f>IF(Tab.o1[[#This Row],[a1]]=1,IF(H$2=0,0,IF(G$1=1,0,Tab.o1[[#This Row],[.x1]])+[1]!T.in.A[[#This Row],[oo4]]),"")</f>
        <v/>
      </c>
      <c r="I283" s="116" t="str">
        <f>IF(Tab.o1[[#This Row],[a1]]=1,IF(J$2=0,Tab.o1[[#This Row],[MED]],Tab.o1[[#This Row],[MOD]]),"")</f>
        <v/>
      </c>
      <c r="J283" s="116" t="str">
        <f>IF(Tab.o1[[#This Row],[a1]]=1,((Tab.o1[[#This Row],[DIF_Target.]]-AVERAGE(Tab.o1[DIF_Target.]))/_xlfn.STDEV.P(Tab.o1[DIF_Target.])),"")</f>
        <v/>
      </c>
      <c r="K283" s="117" t="str">
        <f>IF(Tab.o1[[#This Row],[a1]]=1,IF(J$2=0,Tab.o1[[#This Row],[MOD]]-Tab.o1[[#This Row],[B]],IF(J$2=1,0,-Tab.o1[[#This Row],[MED]])+Tab.o1[[#This Row],[B]]),"")</f>
        <v/>
      </c>
      <c r="L283" s="117" t="str">
        <f ca="1">IF(Tab.o1[[#This Row],[DIF_Target]]=0,IF(L$2=0,Tab.o1[[#This Row],[DIF_Target]],AVERAGE(OFFSET(Tab.o1[[#This Row],[DIF_Target]],1,0,L$3,1)))/3,Tab.o1[[#This Row],[DIF_Target]])</f>
        <v/>
      </c>
      <c r="M283" s="118" t="str">
        <f>IF(Tab.o1[[#This Row],[a1]]=1,NORMSDIST(Tab.o1[[#This Row],[Za]]),"")</f>
        <v/>
      </c>
      <c r="N283" s="119" t="str">
        <f>IF(Tab.o1[[#This Row],[a1]]=1,((Tab.o1[[#This Row],[MedMod]]-AVERAGE(Tab.o1[MedMod]))/_xlfn.STDEV.P(Tab.o1[MedMod])*H$1205)+G$1205,"")</f>
        <v/>
      </c>
      <c r="O283" s="141" t="str">
        <f>IF(Tab.o1[[#This Row],[a1]]=1,Tab.o1[[#This Row],[Zb]]*_xlfn.STDEV.P(Tab.o1[MedMod])+AVERAGE(Tab.o1[MedMod]),"")</f>
        <v/>
      </c>
      <c r="P283" s="117" t="str">
        <f ca="1">IF(Tab.o1[[#This Row],[B]]=0,AVERAGE(OFFSET(Tab.o1[[#This Row],[B]],1,0,L$3,1)),Tab.o1[[#This Row],[B]])</f>
        <v/>
      </c>
      <c r="Q283" s="121" t="str">
        <f>IF(Tab.o1[[#This Row],[a1]]=1,NORMSDIST(Tab.o1[[#This Row],[Zb]]),"")</f>
        <v/>
      </c>
      <c r="R283" s="122" t="str">
        <f>IF(Tab.o1[[#This Row],[a1]]=1,((Tab.o1[[#This Row],[MedMod]]-AVERAGE(Tab.o1[MedMod]))/_xlfn.STDEV.P(Tab.o1[MedMod])*H$1203)+G$1203,"")</f>
        <v/>
      </c>
      <c r="S283" s="122" t="str">
        <f>IF(Tab.o1[[#This Row],[a1]]=1,((Tab.o1[[#This Row],[MedMod]]-AVERAGE(Tab.o1[MedMod]))/_xlfn.STDEV.P(Tab.o1[MedMod])*H$1204)+G$1204,"")</f>
        <v/>
      </c>
      <c r="T283" s="123" t="str">
        <f>IF(Tab.o1[[#This Row],[a1]]=1,Tab.o1[[#This Row],[Z-]]*_xlfn.STDEV.P(Tab.o1[B])+AVERAGE(Tab.o1[B]),"")</f>
        <v/>
      </c>
      <c r="U283" s="123" t="str">
        <f>IF(Tab.o1[[#This Row],[a1]]=1,Tab.o1[[#This Row],[z+]]*_xlfn.STDEV.P(Tab.o1[B])+AVERAGE(Tab.o1[B]),"")</f>
        <v/>
      </c>
      <c r="V283" s="124" t="str">
        <f>IF(Tab.o1[[#This Row],[a1]]=1,ABS((ABS(Tab.o1[[#This Row],[Red]]-Tab.o1[[#This Row],[Blue]]))),"")</f>
        <v/>
      </c>
      <c r="W283" s="125" t="str">
        <f>IF(Tab.o1[[#This Row],[a1]]=1,IF(W$3=0,1,Tab.o1[[#This Row],[Amp.]]*1/_xlfn.MINIFS(Tab.o1[Amp.],Tab.o1[Amp.],"&lt;&gt;0")),"")</f>
        <v/>
      </c>
      <c r="X283" s="126" t="str">
        <f>IF(Tab.o1[[#This Row],[a1]]=1,IF(ISNUMBER(Tab.o1[[#This Row],[i.]]),NORMDIST(Tab.o1[[#This Row],[Za]],0,1,FALSE)*Tab.o1[[#This Row],[i.]],AP$3),"")</f>
        <v/>
      </c>
      <c r="Y283" s="126" t="str">
        <f>IF(Tab.o1[[#This Row],[a1]]=1,0.01+0.94*Tab.o1[[#This Row],[PDF]]/MAX(Tab.o1[PDF]),"")</f>
        <v/>
      </c>
      <c r="Z283" s="126" t="str">
        <f>IF(Tab.o1[[#This Row],[a1]]=1,0.01+0.94*Tab.o1[[#This Row],[W1_PDF]]/MAX(Tab.o1[W1_PDF]),"")</f>
        <v/>
      </c>
      <c r="AA283" s="118" t="str">
        <f>IF(Tab.o1[[#This Row],[a1]]=1,ABS([1]!T.in.A[[#This Row],[oo6]]),"")</f>
        <v/>
      </c>
      <c r="AB283" s="127" t="str">
        <f>IF(Tab.o1[[#This Row],[a1]]=1,IF(AE$3=0,"",IF(AB$3=0,ABS([1]!T.in.A[[#This Row],[oo9]]),ABS(Tab.o1[[#This Row],[DIF_Target.]]*Tab.o1[[#This Row],[W1_PDF]]))),"")</f>
        <v/>
      </c>
      <c r="AC283" s="127" t="str">
        <f>IF(G$1=1,"",IF(Tab.o1[[#This Row],[a1]]=1,Tab.o1[[#This Row],[Wr]]^2,""))</f>
        <v/>
      </c>
      <c r="AD283" s="118" t="str">
        <f>IF(Tab.o1[[#This Row],[a1]]=1,IF(AE$3=0,"",Tab.o1[[#This Row],[Wr2]]/SUM(Tab.o1[Wr2])),"")</f>
        <v/>
      </c>
      <c r="AE283" s="128" t="str">
        <f>IF(Tab.o1[[#This Row],[a1]]=1,[1]!T.in.A[[#This Row],[oo10]],"")</f>
        <v/>
      </c>
      <c r="AF283" s="118" t="str">
        <f>IF(Tab.o1[[#This Row],[a1]]=1,ABS(Tab.o1[[#This Row],[DIF_Target.]]*Tab.o1[[#This Row],[PDF2]]*Tab.o1[[#This Row],[IN]]),"")</f>
        <v/>
      </c>
      <c r="AG283" s="129" t="str">
        <f>IF(Tab.o1[[#This Row],[a1]]=1,Tab.o1[[#This Row],[rW]]^2,"")</f>
        <v/>
      </c>
      <c r="AH283" s="130" t="str">
        <f>IF(Tab.o1[[#This Row],[a1]]=1,IF(AH$3=0,Tab.o1[[#This Row],[rW2]],0.01+0.94*Tab.o1[[#This Row],[rW2]]/SUM(Tab.o1[rW2])),"")</f>
        <v/>
      </c>
      <c r="AI283" s="128" t="str">
        <f>IF(Tab.o1[[#This Row],[a1]]=1,1/Tab.o1[[#This Row],[PDF]],"")</f>
        <v/>
      </c>
      <c r="AJ283" s="131" t="str">
        <f>IF(Tab.o1[[#This Row],[a1]]=1,[1]!T_AA[[#This Row],[IN'']]*[1]!T_AA[[#This Row],[Qde'']],"")</f>
        <v/>
      </c>
      <c r="AK283" s="132" t="str">
        <f>IF(Tab.o1[[#This Row],[a1]]=1,IF(AK$1=1,Tab.o1[[#This Row],[MED]]+Tab.o1[[#This Row],[MOD]]-Tab.o1[[#This Row],[MED]],""),"")</f>
        <v/>
      </c>
      <c r="AL283" s="133" t="str">
        <f>IF(Tab.o1[[#This Row],[a1]]=1,[1]!T.in.A[[#This Row],[oo16]],"")</f>
        <v/>
      </c>
      <c r="AM283" s="133" t="str">
        <f>IF(Tab.o1[[#This Row],[a1]]=1,IF(AM$3=1,[1]!T.in.A[[#This Row],[Σo16]],""),"")</f>
        <v/>
      </c>
      <c r="AN283" s="126" t="str">
        <f>IF(Tab.o1[[#This Row],[a1]]=1,[1]!T.in.A[[#This Row],[Σp5]],"")</f>
        <v/>
      </c>
      <c r="AO283" s="126" t="str">
        <f>IF(Tab.o1[[#This Row],[a1]]=1,IF(AO$3=1,[1]!T.in.A[[#This Row],[Σp5]],""),"")</f>
        <v/>
      </c>
      <c r="AP283" s="110" t="str">
        <f>IF(Tab.o1[[#This Row],[a1]]=1,IF(ISNUMBER(Tab.o1[[#This Row],[i.]]),NORMDIST(Tab.o1[[#This Row],[Za]],0,1,FALSE)*Tab.o1[[#This Row],[i.]],0),"")</f>
        <v/>
      </c>
      <c r="AQ283" s="125" t="str">
        <f>IF(Tab.o1[[#This Row],[a1]]=1,ABS(Tab.o1[[#This Row],[MOD]]-AVERAGE(Tab.o1[MOD])),"")</f>
        <v/>
      </c>
      <c r="AR283" s="134" t="str">
        <f>IF(Tab.o1[[#This Row],[a1]]=1,Tab.o1[[#This Row],[OBS]]/SUM(Tab.o1[OBS]),"")</f>
        <v/>
      </c>
      <c r="AS283" s="135" t="str">
        <f>IF(ISNUMBER(Tab.o1[[#This Row],[a1]]),ROW()-4,"")</f>
        <v/>
      </c>
      <c r="AT283" s="136" t="str">
        <f>Tab.o1[[#This Row],[MOD]]</f>
        <v/>
      </c>
      <c r="AU283" s="137" t="str">
        <f t="shared" si="17"/>
        <v/>
      </c>
      <c r="AV283" s="138" t="str">
        <f t="shared" si="18"/>
        <v/>
      </c>
      <c r="AW283" s="138" t="str">
        <f t="shared" si="19"/>
        <v/>
      </c>
      <c r="AX283" s="139" t="str">
        <f>[1]!T.in.A[[#This Row],[ID_T_manu]]</f>
        <v/>
      </c>
      <c r="AY283" s="140" t="str">
        <f>IF(ISNUMBER(Tab.o1[[#This Row],[a1]]),IF(AND(Tab.o1[[#This Row],[a1]]=1,Tab.o1[[#This Row],[b1]]&lt;=AY$4),#REF!,AY282),"")</f>
        <v/>
      </c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</row>
    <row r="284" spans="1:79" ht="15.75" hidden="1">
      <c r="A284" s="109">
        <v>-5.9999999999999993E-6</v>
      </c>
      <c r="B284" s="110">
        <f t="shared" si="16"/>
        <v>284</v>
      </c>
      <c r="C284" s="111" t="str">
        <f>IF(C$1=[1]!T.in.A[[#This Row],[oo2]],1,"")</f>
        <v/>
      </c>
      <c r="D284" s="112" t="str">
        <f>IF(Tab.o1[[#This Row],[a1]]=1,IF(SUM(C284:C285)=0,0,IF(SUM(C283:C284)=1,1,IF(SUM(C283:C285)&gt;1,D283+1,0))),"")</f>
        <v/>
      </c>
      <c r="E284" s="113" t="str">
        <f>IF(Tab.o1[[#This Row],[a1]]=1,[1]!T.in.A[[#This Row],[oo1]],"")</f>
        <v/>
      </c>
      <c r="F284" s="113" t="str">
        <f>IF(Tab.o1[[#This Row],[a1]]=1,[1]!T.in.A[[#This Row],[pp1]],"")</f>
        <v/>
      </c>
      <c r="G284" s="114" t="str">
        <f>IF(Tab.o1[[#This Row],[a1]]=1,G$2+IF(G$1=1,0,Tab.o1[[#This Row],[.x1]])+[1]!T.in.A[[#This Row],[oo3]],"")</f>
        <v/>
      </c>
      <c r="H284" s="115" t="str">
        <f>IF(Tab.o1[[#This Row],[a1]]=1,IF(H$2=0,0,IF(G$1=1,0,Tab.o1[[#This Row],[.x1]])+[1]!T.in.A[[#This Row],[oo4]]),"")</f>
        <v/>
      </c>
      <c r="I284" s="116" t="str">
        <f>IF(Tab.o1[[#This Row],[a1]]=1,IF(J$2=0,Tab.o1[[#This Row],[MED]],Tab.o1[[#This Row],[MOD]]),"")</f>
        <v/>
      </c>
      <c r="J284" s="116" t="str">
        <f>IF(Tab.o1[[#This Row],[a1]]=1,((Tab.o1[[#This Row],[DIF_Target.]]-AVERAGE(Tab.o1[DIF_Target.]))/_xlfn.STDEV.P(Tab.o1[DIF_Target.])),"")</f>
        <v/>
      </c>
      <c r="K284" s="117" t="str">
        <f>IF(Tab.o1[[#This Row],[a1]]=1,IF(J$2=0,Tab.o1[[#This Row],[MOD]]-Tab.o1[[#This Row],[B]],IF(J$2=1,0,-Tab.o1[[#This Row],[MED]])+Tab.o1[[#This Row],[B]]),"")</f>
        <v/>
      </c>
      <c r="L284" s="117" t="str">
        <f ca="1">IF(Tab.o1[[#This Row],[DIF_Target]]=0,IF(L$2=0,Tab.o1[[#This Row],[DIF_Target]],AVERAGE(OFFSET(Tab.o1[[#This Row],[DIF_Target]],1,0,L$3,1)))/3,Tab.o1[[#This Row],[DIF_Target]])</f>
        <v/>
      </c>
      <c r="M284" s="118" t="str">
        <f>IF(Tab.o1[[#This Row],[a1]]=1,NORMSDIST(Tab.o1[[#This Row],[Za]]),"")</f>
        <v/>
      </c>
      <c r="N284" s="119" t="str">
        <f>IF(Tab.o1[[#This Row],[a1]]=1,((Tab.o1[[#This Row],[MedMod]]-AVERAGE(Tab.o1[MedMod]))/_xlfn.STDEV.P(Tab.o1[MedMod])*H$1205)+G$1205,"")</f>
        <v/>
      </c>
      <c r="O284" s="141" t="str">
        <f>IF(Tab.o1[[#This Row],[a1]]=1,Tab.o1[[#This Row],[Zb]]*_xlfn.STDEV.P(Tab.o1[MedMod])+AVERAGE(Tab.o1[MedMod]),"")</f>
        <v/>
      </c>
      <c r="P284" s="117" t="str">
        <f ca="1">IF(Tab.o1[[#This Row],[B]]=0,AVERAGE(OFFSET(Tab.o1[[#This Row],[B]],1,0,L$3,1)),Tab.o1[[#This Row],[B]])</f>
        <v/>
      </c>
      <c r="Q284" s="121" t="str">
        <f>IF(Tab.o1[[#This Row],[a1]]=1,NORMSDIST(Tab.o1[[#This Row],[Zb]]),"")</f>
        <v/>
      </c>
      <c r="R284" s="122" t="str">
        <f>IF(Tab.o1[[#This Row],[a1]]=1,((Tab.o1[[#This Row],[MedMod]]-AVERAGE(Tab.o1[MedMod]))/_xlfn.STDEV.P(Tab.o1[MedMod])*H$1203)+G$1203,"")</f>
        <v/>
      </c>
      <c r="S284" s="122" t="str">
        <f>IF(Tab.o1[[#This Row],[a1]]=1,((Tab.o1[[#This Row],[MedMod]]-AVERAGE(Tab.o1[MedMod]))/_xlfn.STDEV.P(Tab.o1[MedMod])*H$1204)+G$1204,"")</f>
        <v/>
      </c>
      <c r="T284" s="123" t="str">
        <f>IF(Tab.o1[[#This Row],[a1]]=1,Tab.o1[[#This Row],[Z-]]*_xlfn.STDEV.P(Tab.o1[B])+AVERAGE(Tab.o1[B]),"")</f>
        <v/>
      </c>
      <c r="U284" s="123" t="str">
        <f>IF(Tab.o1[[#This Row],[a1]]=1,Tab.o1[[#This Row],[z+]]*_xlfn.STDEV.P(Tab.o1[B])+AVERAGE(Tab.o1[B]),"")</f>
        <v/>
      </c>
      <c r="V284" s="124" t="str">
        <f>IF(Tab.o1[[#This Row],[a1]]=1,ABS((ABS(Tab.o1[[#This Row],[Red]]-Tab.o1[[#This Row],[Blue]]))),"")</f>
        <v/>
      </c>
      <c r="W284" s="125" t="str">
        <f>IF(Tab.o1[[#This Row],[a1]]=1,IF(W$3=0,1,Tab.o1[[#This Row],[Amp.]]*1/_xlfn.MINIFS(Tab.o1[Amp.],Tab.o1[Amp.],"&lt;&gt;0")),"")</f>
        <v/>
      </c>
      <c r="X284" s="126" t="str">
        <f>IF(Tab.o1[[#This Row],[a1]]=1,IF(ISNUMBER(Tab.o1[[#This Row],[i.]]),NORMDIST(Tab.o1[[#This Row],[Za]],0,1,FALSE)*Tab.o1[[#This Row],[i.]],AP$3),"")</f>
        <v/>
      </c>
      <c r="Y284" s="126" t="str">
        <f>IF(Tab.o1[[#This Row],[a1]]=1,0.01+0.94*Tab.o1[[#This Row],[PDF]]/MAX(Tab.o1[PDF]),"")</f>
        <v/>
      </c>
      <c r="Z284" s="126" t="str">
        <f>IF(Tab.o1[[#This Row],[a1]]=1,0.01+0.94*Tab.o1[[#This Row],[W1_PDF]]/MAX(Tab.o1[W1_PDF]),"")</f>
        <v/>
      </c>
      <c r="AA284" s="118" t="str">
        <f>IF(Tab.o1[[#This Row],[a1]]=1,ABS([1]!T.in.A[[#This Row],[oo6]]),"")</f>
        <v/>
      </c>
      <c r="AB284" s="127" t="str">
        <f>IF(Tab.o1[[#This Row],[a1]]=1,IF(AE$3=0,"",IF(AB$3=0,ABS([1]!T.in.A[[#This Row],[oo9]]),ABS(Tab.o1[[#This Row],[DIF_Target.]]*Tab.o1[[#This Row],[W1_PDF]]))),"")</f>
        <v/>
      </c>
      <c r="AC284" s="127" t="str">
        <f>IF(G$1=1,"",IF(Tab.o1[[#This Row],[a1]]=1,Tab.o1[[#This Row],[Wr]]^2,""))</f>
        <v/>
      </c>
      <c r="AD284" s="118" t="str">
        <f>IF(Tab.o1[[#This Row],[a1]]=1,IF(AE$3=0,"",Tab.o1[[#This Row],[Wr2]]/SUM(Tab.o1[Wr2])),"")</f>
        <v/>
      </c>
      <c r="AE284" s="128" t="str">
        <f>IF(Tab.o1[[#This Row],[a1]]=1,[1]!T.in.A[[#This Row],[oo10]],"")</f>
        <v/>
      </c>
      <c r="AF284" s="118" t="str">
        <f>IF(Tab.o1[[#This Row],[a1]]=1,ABS(Tab.o1[[#This Row],[DIF_Target.]]*Tab.o1[[#This Row],[PDF2]]*Tab.o1[[#This Row],[IN]]),"")</f>
        <v/>
      </c>
      <c r="AG284" s="129" t="str">
        <f>IF(Tab.o1[[#This Row],[a1]]=1,Tab.o1[[#This Row],[rW]]^2,"")</f>
        <v/>
      </c>
      <c r="AH284" s="130" t="str">
        <f>IF(Tab.o1[[#This Row],[a1]]=1,IF(AH$3=0,Tab.o1[[#This Row],[rW2]],0.01+0.94*Tab.o1[[#This Row],[rW2]]/SUM(Tab.o1[rW2])),"")</f>
        <v/>
      </c>
      <c r="AI284" s="128" t="str">
        <f>IF(Tab.o1[[#This Row],[a1]]=1,1/Tab.o1[[#This Row],[PDF]],"")</f>
        <v/>
      </c>
      <c r="AJ284" s="131" t="str">
        <f>IF(Tab.o1[[#This Row],[a1]]=1,[1]!T_AA[[#This Row],[IN'']]*[1]!T_AA[[#This Row],[Qde'']],"")</f>
        <v/>
      </c>
      <c r="AK284" s="132" t="str">
        <f>IF(Tab.o1[[#This Row],[a1]]=1,IF(AK$1=1,Tab.o1[[#This Row],[MED]]+Tab.o1[[#This Row],[MOD]]-Tab.o1[[#This Row],[MED]],""),"")</f>
        <v/>
      </c>
      <c r="AL284" s="133" t="str">
        <f>IF(Tab.o1[[#This Row],[a1]]=1,[1]!T.in.A[[#This Row],[oo16]],"")</f>
        <v/>
      </c>
      <c r="AM284" s="133" t="str">
        <f>IF(Tab.o1[[#This Row],[a1]]=1,IF(AM$3=1,[1]!T.in.A[[#This Row],[Σo16]],""),"")</f>
        <v/>
      </c>
      <c r="AN284" s="126" t="str">
        <f>IF(Tab.o1[[#This Row],[a1]]=1,[1]!T.in.A[[#This Row],[Σp5]],"")</f>
        <v/>
      </c>
      <c r="AO284" s="126" t="str">
        <f>IF(Tab.o1[[#This Row],[a1]]=1,IF(AO$3=1,[1]!T.in.A[[#This Row],[Σp5]],""),"")</f>
        <v/>
      </c>
      <c r="AP284" s="110" t="str">
        <f>IF(Tab.o1[[#This Row],[a1]]=1,IF(ISNUMBER(Tab.o1[[#This Row],[i.]]),NORMDIST(Tab.o1[[#This Row],[Za]],0,1,FALSE)*Tab.o1[[#This Row],[i.]],0),"")</f>
        <v/>
      </c>
      <c r="AQ284" s="125" t="str">
        <f>IF(Tab.o1[[#This Row],[a1]]=1,ABS(Tab.o1[[#This Row],[MOD]]-AVERAGE(Tab.o1[MOD])),"")</f>
        <v/>
      </c>
      <c r="AR284" s="134" t="str">
        <f>IF(Tab.o1[[#This Row],[a1]]=1,Tab.o1[[#This Row],[OBS]]/SUM(Tab.o1[OBS]),"")</f>
        <v/>
      </c>
      <c r="AS284" s="135" t="str">
        <f>IF(ISNUMBER(Tab.o1[[#This Row],[a1]]),ROW()-4,"")</f>
        <v/>
      </c>
      <c r="AT284" s="136" t="str">
        <f>Tab.o1[[#This Row],[MOD]]</f>
        <v/>
      </c>
      <c r="AU284" s="137" t="str">
        <f t="shared" si="17"/>
        <v/>
      </c>
      <c r="AV284" s="138" t="str">
        <f t="shared" si="18"/>
        <v/>
      </c>
      <c r="AW284" s="138" t="str">
        <f t="shared" si="19"/>
        <v/>
      </c>
      <c r="AX284" s="139" t="str">
        <f>[1]!T.in.A[[#This Row],[ID_T_manu]]</f>
        <v/>
      </c>
      <c r="AY284" s="140" t="str">
        <f>IF(ISNUMBER(Tab.o1[[#This Row],[a1]]),IF(AND(Tab.o1[[#This Row],[a1]]=1,Tab.o1[[#This Row],[b1]]&lt;=AY$4),#REF!,AY283),"")</f>
        <v/>
      </c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</row>
    <row r="285" spans="1:79" ht="15.75" hidden="1">
      <c r="A285" s="109">
        <v>-5.0000000000000004E-6</v>
      </c>
      <c r="B285" s="110">
        <f t="shared" si="16"/>
        <v>285</v>
      </c>
      <c r="C285" s="111" t="str">
        <f>IF(C$1=[1]!T.in.A[[#This Row],[oo2]],1,"")</f>
        <v/>
      </c>
      <c r="D285" s="112" t="str">
        <f>IF(Tab.o1[[#This Row],[a1]]=1,IF(SUM(C285:C286)=0,0,IF(SUM(C284:C285)=1,1,IF(SUM(C284:C286)&gt;1,D284+1,0))),"")</f>
        <v/>
      </c>
      <c r="E285" s="113" t="str">
        <f>IF(Tab.o1[[#This Row],[a1]]=1,[1]!T.in.A[[#This Row],[oo1]],"")</f>
        <v/>
      </c>
      <c r="F285" s="113" t="str">
        <f>IF(Tab.o1[[#This Row],[a1]]=1,[1]!T.in.A[[#This Row],[pp1]],"")</f>
        <v/>
      </c>
      <c r="G285" s="114" t="str">
        <f>IF(Tab.o1[[#This Row],[a1]]=1,G$2+IF(G$1=1,0,Tab.o1[[#This Row],[.x1]])+[1]!T.in.A[[#This Row],[oo3]],"")</f>
        <v/>
      </c>
      <c r="H285" s="115" t="str">
        <f>IF(Tab.o1[[#This Row],[a1]]=1,IF(H$2=0,0,IF(G$1=1,0,Tab.o1[[#This Row],[.x1]])+[1]!T.in.A[[#This Row],[oo4]]),"")</f>
        <v/>
      </c>
      <c r="I285" s="116" t="str">
        <f>IF(Tab.o1[[#This Row],[a1]]=1,IF(J$2=0,Tab.o1[[#This Row],[MED]],Tab.o1[[#This Row],[MOD]]),"")</f>
        <v/>
      </c>
      <c r="J285" s="116" t="str">
        <f>IF(Tab.o1[[#This Row],[a1]]=1,((Tab.o1[[#This Row],[DIF_Target.]]-AVERAGE(Tab.o1[DIF_Target.]))/_xlfn.STDEV.P(Tab.o1[DIF_Target.])),"")</f>
        <v/>
      </c>
      <c r="K285" s="117" t="str">
        <f>IF(Tab.o1[[#This Row],[a1]]=1,IF(J$2=0,Tab.o1[[#This Row],[MOD]]-Tab.o1[[#This Row],[B]],IF(J$2=1,0,-Tab.o1[[#This Row],[MED]])+Tab.o1[[#This Row],[B]]),"")</f>
        <v/>
      </c>
      <c r="L285" s="117" t="str">
        <f ca="1">IF(Tab.o1[[#This Row],[DIF_Target]]=0,IF(L$2=0,Tab.o1[[#This Row],[DIF_Target]],AVERAGE(OFFSET(Tab.o1[[#This Row],[DIF_Target]],1,0,L$3,1)))/3,Tab.o1[[#This Row],[DIF_Target]])</f>
        <v/>
      </c>
      <c r="M285" s="118" t="str">
        <f>IF(Tab.o1[[#This Row],[a1]]=1,NORMSDIST(Tab.o1[[#This Row],[Za]]),"")</f>
        <v/>
      </c>
      <c r="N285" s="119" t="str">
        <f>IF(Tab.o1[[#This Row],[a1]]=1,((Tab.o1[[#This Row],[MedMod]]-AVERAGE(Tab.o1[MedMod]))/_xlfn.STDEV.P(Tab.o1[MedMod])*H$1205)+G$1205,"")</f>
        <v/>
      </c>
      <c r="O285" s="141" t="str">
        <f>IF(Tab.o1[[#This Row],[a1]]=1,Tab.o1[[#This Row],[Zb]]*_xlfn.STDEV.P(Tab.o1[MedMod])+AVERAGE(Tab.o1[MedMod]),"")</f>
        <v/>
      </c>
      <c r="P285" s="117" t="str">
        <f ca="1">IF(Tab.o1[[#This Row],[B]]=0,AVERAGE(OFFSET(Tab.o1[[#This Row],[B]],1,0,L$3,1)),Tab.o1[[#This Row],[B]])</f>
        <v/>
      </c>
      <c r="Q285" s="121" t="str">
        <f>IF(Tab.o1[[#This Row],[a1]]=1,NORMSDIST(Tab.o1[[#This Row],[Zb]]),"")</f>
        <v/>
      </c>
      <c r="R285" s="122" t="str">
        <f>IF(Tab.o1[[#This Row],[a1]]=1,((Tab.o1[[#This Row],[MedMod]]-AVERAGE(Tab.o1[MedMod]))/_xlfn.STDEV.P(Tab.o1[MedMod])*H$1203)+G$1203,"")</f>
        <v/>
      </c>
      <c r="S285" s="122" t="str">
        <f>IF(Tab.o1[[#This Row],[a1]]=1,((Tab.o1[[#This Row],[MedMod]]-AVERAGE(Tab.o1[MedMod]))/_xlfn.STDEV.P(Tab.o1[MedMod])*H$1204)+G$1204,"")</f>
        <v/>
      </c>
      <c r="T285" s="123" t="str">
        <f>IF(Tab.o1[[#This Row],[a1]]=1,Tab.o1[[#This Row],[Z-]]*_xlfn.STDEV.P(Tab.o1[B])+AVERAGE(Tab.o1[B]),"")</f>
        <v/>
      </c>
      <c r="U285" s="123" t="str">
        <f>IF(Tab.o1[[#This Row],[a1]]=1,Tab.o1[[#This Row],[z+]]*_xlfn.STDEV.P(Tab.o1[B])+AVERAGE(Tab.o1[B]),"")</f>
        <v/>
      </c>
      <c r="V285" s="124" t="str">
        <f>IF(Tab.o1[[#This Row],[a1]]=1,ABS((ABS(Tab.o1[[#This Row],[Red]]-Tab.o1[[#This Row],[Blue]]))),"")</f>
        <v/>
      </c>
      <c r="W285" s="125" t="str">
        <f>IF(Tab.o1[[#This Row],[a1]]=1,IF(W$3=0,1,Tab.o1[[#This Row],[Amp.]]*1/_xlfn.MINIFS(Tab.o1[Amp.],Tab.o1[Amp.],"&lt;&gt;0")),"")</f>
        <v/>
      </c>
      <c r="X285" s="126" t="str">
        <f>IF(Tab.o1[[#This Row],[a1]]=1,IF(ISNUMBER(Tab.o1[[#This Row],[i.]]),NORMDIST(Tab.o1[[#This Row],[Za]],0,1,FALSE)*Tab.o1[[#This Row],[i.]],AP$3),"")</f>
        <v/>
      </c>
      <c r="Y285" s="126" t="str">
        <f>IF(Tab.o1[[#This Row],[a1]]=1,0.01+0.94*Tab.o1[[#This Row],[PDF]]/MAX(Tab.o1[PDF]),"")</f>
        <v/>
      </c>
      <c r="Z285" s="126" t="str">
        <f>IF(Tab.o1[[#This Row],[a1]]=1,0.01+0.94*Tab.o1[[#This Row],[W1_PDF]]/MAX(Tab.o1[W1_PDF]),"")</f>
        <v/>
      </c>
      <c r="AA285" s="118" t="str">
        <f>IF(Tab.o1[[#This Row],[a1]]=1,ABS([1]!T.in.A[[#This Row],[oo6]]),"")</f>
        <v/>
      </c>
      <c r="AB285" s="127" t="str">
        <f>IF(Tab.o1[[#This Row],[a1]]=1,IF(AE$3=0,"",IF(AB$3=0,ABS([1]!T.in.A[[#This Row],[oo9]]),ABS(Tab.o1[[#This Row],[DIF_Target.]]*Tab.o1[[#This Row],[W1_PDF]]))),"")</f>
        <v/>
      </c>
      <c r="AC285" s="127" t="str">
        <f>IF(G$1=1,"",IF(Tab.o1[[#This Row],[a1]]=1,Tab.o1[[#This Row],[Wr]]^2,""))</f>
        <v/>
      </c>
      <c r="AD285" s="118" t="str">
        <f>IF(Tab.o1[[#This Row],[a1]]=1,IF(AE$3=0,"",Tab.o1[[#This Row],[Wr2]]/SUM(Tab.o1[Wr2])),"")</f>
        <v/>
      </c>
      <c r="AE285" s="128" t="str">
        <f>IF(Tab.o1[[#This Row],[a1]]=1,[1]!T.in.A[[#This Row],[oo10]],"")</f>
        <v/>
      </c>
      <c r="AF285" s="118" t="str">
        <f>IF(Tab.o1[[#This Row],[a1]]=1,ABS(Tab.o1[[#This Row],[DIF_Target.]]*Tab.o1[[#This Row],[PDF2]]*Tab.o1[[#This Row],[IN]]),"")</f>
        <v/>
      </c>
      <c r="AG285" s="129" t="str">
        <f>IF(Tab.o1[[#This Row],[a1]]=1,Tab.o1[[#This Row],[rW]]^2,"")</f>
        <v/>
      </c>
      <c r="AH285" s="130" t="str">
        <f>IF(Tab.o1[[#This Row],[a1]]=1,IF(AH$3=0,Tab.o1[[#This Row],[rW2]],0.01+0.94*Tab.o1[[#This Row],[rW2]]/SUM(Tab.o1[rW2])),"")</f>
        <v/>
      </c>
      <c r="AI285" s="128" t="str">
        <f>IF(Tab.o1[[#This Row],[a1]]=1,1/Tab.o1[[#This Row],[PDF]],"")</f>
        <v/>
      </c>
      <c r="AJ285" s="131" t="str">
        <f>IF(Tab.o1[[#This Row],[a1]]=1,[1]!T_AA[[#This Row],[IN'']]*[1]!T_AA[[#This Row],[Qde'']],"")</f>
        <v/>
      </c>
      <c r="AK285" s="132" t="str">
        <f>IF(Tab.o1[[#This Row],[a1]]=1,IF(AK$1=1,Tab.o1[[#This Row],[MED]]+Tab.o1[[#This Row],[MOD]]-Tab.o1[[#This Row],[MED]],""),"")</f>
        <v/>
      </c>
      <c r="AL285" s="133" t="str">
        <f>IF(Tab.o1[[#This Row],[a1]]=1,[1]!T.in.A[[#This Row],[oo16]],"")</f>
        <v/>
      </c>
      <c r="AM285" s="133" t="str">
        <f>IF(Tab.o1[[#This Row],[a1]]=1,IF(AM$3=1,[1]!T.in.A[[#This Row],[Σo16]],""),"")</f>
        <v/>
      </c>
      <c r="AN285" s="126" t="str">
        <f>IF(Tab.o1[[#This Row],[a1]]=1,[1]!T.in.A[[#This Row],[Σp5]],"")</f>
        <v/>
      </c>
      <c r="AO285" s="126" t="str">
        <f>IF(Tab.o1[[#This Row],[a1]]=1,IF(AO$3=1,[1]!T.in.A[[#This Row],[Σp5]],""),"")</f>
        <v/>
      </c>
      <c r="AP285" s="110" t="str">
        <f>IF(Tab.o1[[#This Row],[a1]]=1,IF(ISNUMBER(Tab.o1[[#This Row],[i.]]),NORMDIST(Tab.o1[[#This Row],[Za]],0,1,FALSE)*Tab.o1[[#This Row],[i.]],0),"")</f>
        <v/>
      </c>
      <c r="AQ285" s="125" t="str">
        <f>IF(Tab.o1[[#This Row],[a1]]=1,ABS(Tab.o1[[#This Row],[MOD]]-AVERAGE(Tab.o1[MOD])),"")</f>
        <v/>
      </c>
      <c r="AR285" s="134" t="str">
        <f>IF(Tab.o1[[#This Row],[a1]]=1,Tab.o1[[#This Row],[OBS]]/SUM(Tab.o1[OBS]),"")</f>
        <v/>
      </c>
      <c r="AS285" s="135" t="str">
        <f>IF(ISNUMBER(Tab.o1[[#This Row],[a1]]),ROW()-4,"")</f>
        <v/>
      </c>
      <c r="AT285" s="136" t="str">
        <f>Tab.o1[[#This Row],[MOD]]</f>
        <v/>
      </c>
      <c r="AU285" s="137" t="str">
        <f t="shared" si="17"/>
        <v/>
      </c>
      <c r="AV285" s="138" t="str">
        <f t="shared" si="18"/>
        <v/>
      </c>
      <c r="AW285" s="138" t="str">
        <f t="shared" si="19"/>
        <v/>
      </c>
      <c r="AX285" s="139" t="str">
        <f>[1]!T.in.A[[#This Row],[ID_T_manu]]</f>
        <v/>
      </c>
      <c r="AY285" s="140" t="str">
        <f>IF(ISNUMBER(Tab.o1[[#This Row],[a1]]),IF(AND(Tab.o1[[#This Row],[a1]]=1,Tab.o1[[#This Row],[b1]]&lt;=AY$4),#REF!,AY284),"")</f>
        <v/>
      </c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</row>
    <row r="286" spans="1:79" ht="15.75" hidden="1">
      <c r="A286" s="109">
        <v>-1.0000000000000002E-6</v>
      </c>
      <c r="B286" s="110">
        <f t="shared" si="16"/>
        <v>286</v>
      </c>
      <c r="C286" s="111" t="str">
        <f>IF(C$1=[1]!T.in.A[[#This Row],[oo2]],1,"")</f>
        <v/>
      </c>
      <c r="D286" s="112" t="str">
        <f>IF(Tab.o1[[#This Row],[a1]]=1,IF(SUM(C286:C287)=0,0,IF(SUM(C285:C286)=1,1,IF(SUM(C285:C287)&gt;1,D285+1,0))),"")</f>
        <v/>
      </c>
      <c r="E286" s="113" t="str">
        <f>IF(Tab.o1[[#This Row],[a1]]=1,[1]!T.in.A[[#This Row],[oo1]],"")</f>
        <v/>
      </c>
      <c r="F286" s="113" t="str">
        <f>IF(Tab.o1[[#This Row],[a1]]=1,[1]!T.in.A[[#This Row],[pp1]],"")</f>
        <v/>
      </c>
      <c r="G286" s="114" t="str">
        <f>IF(Tab.o1[[#This Row],[a1]]=1,G$2+IF(G$1=1,0,Tab.o1[[#This Row],[.x1]])+[1]!T.in.A[[#This Row],[oo3]],"")</f>
        <v/>
      </c>
      <c r="H286" s="115" t="str">
        <f>IF(Tab.o1[[#This Row],[a1]]=1,IF(H$2=0,0,IF(G$1=1,0,Tab.o1[[#This Row],[.x1]])+[1]!T.in.A[[#This Row],[oo4]]),"")</f>
        <v/>
      </c>
      <c r="I286" s="116" t="str">
        <f>IF(Tab.o1[[#This Row],[a1]]=1,IF(J$2=0,Tab.o1[[#This Row],[MED]],Tab.o1[[#This Row],[MOD]]),"")</f>
        <v/>
      </c>
      <c r="J286" s="116" t="str">
        <f>IF(Tab.o1[[#This Row],[a1]]=1,((Tab.o1[[#This Row],[DIF_Target.]]-AVERAGE(Tab.o1[DIF_Target.]))/_xlfn.STDEV.P(Tab.o1[DIF_Target.])),"")</f>
        <v/>
      </c>
      <c r="K286" s="117" t="str">
        <f>IF(Tab.o1[[#This Row],[a1]]=1,IF(J$2=0,Tab.o1[[#This Row],[MOD]]-Tab.o1[[#This Row],[B]],IF(J$2=1,0,-Tab.o1[[#This Row],[MED]])+Tab.o1[[#This Row],[B]]),"")</f>
        <v/>
      </c>
      <c r="L286" s="117" t="str">
        <f ca="1">IF(Tab.o1[[#This Row],[DIF_Target]]=0,IF(L$2=0,Tab.o1[[#This Row],[DIF_Target]],AVERAGE(OFFSET(Tab.o1[[#This Row],[DIF_Target]],1,0,L$3,1)))/3,Tab.o1[[#This Row],[DIF_Target]])</f>
        <v/>
      </c>
      <c r="M286" s="118" t="str">
        <f>IF(Tab.o1[[#This Row],[a1]]=1,NORMSDIST(Tab.o1[[#This Row],[Za]]),"")</f>
        <v/>
      </c>
      <c r="N286" s="119" t="str">
        <f>IF(Tab.o1[[#This Row],[a1]]=1,((Tab.o1[[#This Row],[MedMod]]-AVERAGE(Tab.o1[MedMod]))/_xlfn.STDEV.P(Tab.o1[MedMod])*H$1205)+G$1205,"")</f>
        <v/>
      </c>
      <c r="O286" s="141" t="str">
        <f>IF(Tab.o1[[#This Row],[a1]]=1,Tab.o1[[#This Row],[Zb]]*_xlfn.STDEV.P(Tab.o1[MedMod])+AVERAGE(Tab.o1[MedMod]),"")</f>
        <v/>
      </c>
      <c r="P286" s="117" t="str">
        <f ca="1">IF(Tab.o1[[#This Row],[B]]=0,AVERAGE(OFFSET(Tab.o1[[#This Row],[B]],1,0,L$3,1)),Tab.o1[[#This Row],[B]])</f>
        <v/>
      </c>
      <c r="Q286" s="121" t="str">
        <f>IF(Tab.o1[[#This Row],[a1]]=1,NORMSDIST(Tab.o1[[#This Row],[Zb]]),"")</f>
        <v/>
      </c>
      <c r="R286" s="122" t="str">
        <f>IF(Tab.o1[[#This Row],[a1]]=1,((Tab.o1[[#This Row],[MedMod]]-AVERAGE(Tab.o1[MedMod]))/_xlfn.STDEV.P(Tab.o1[MedMod])*H$1203)+G$1203,"")</f>
        <v/>
      </c>
      <c r="S286" s="122" t="str">
        <f>IF(Tab.o1[[#This Row],[a1]]=1,((Tab.o1[[#This Row],[MedMod]]-AVERAGE(Tab.o1[MedMod]))/_xlfn.STDEV.P(Tab.o1[MedMod])*H$1204)+G$1204,"")</f>
        <v/>
      </c>
      <c r="T286" s="123" t="str">
        <f>IF(Tab.o1[[#This Row],[a1]]=1,Tab.o1[[#This Row],[Z-]]*_xlfn.STDEV.P(Tab.o1[B])+AVERAGE(Tab.o1[B]),"")</f>
        <v/>
      </c>
      <c r="U286" s="123" t="str">
        <f>IF(Tab.o1[[#This Row],[a1]]=1,Tab.o1[[#This Row],[z+]]*_xlfn.STDEV.P(Tab.o1[B])+AVERAGE(Tab.o1[B]),"")</f>
        <v/>
      </c>
      <c r="V286" s="124" t="str">
        <f>IF(Tab.o1[[#This Row],[a1]]=1,ABS((ABS(Tab.o1[[#This Row],[Red]]-Tab.o1[[#This Row],[Blue]]))),"")</f>
        <v/>
      </c>
      <c r="W286" s="125" t="str">
        <f>IF(Tab.o1[[#This Row],[a1]]=1,IF(W$3=0,1,Tab.o1[[#This Row],[Amp.]]*1/_xlfn.MINIFS(Tab.o1[Amp.],Tab.o1[Amp.],"&lt;&gt;0")),"")</f>
        <v/>
      </c>
      <c r="X286" s="126" t="str">
        <f>IF(Tab.o1[[#This Row],[a1]]=1,IF(ISNUMBER(Tab.o1[[#This Row],[i.]]),NORMDIST(Tab.o1[[#This Row],[Za]],0,1,FALSE)*Tab.o1[[#This Row],[i.]],AP$3),"")</f>
        <v/>
      </c>
      <c r="Y286" s="126" t="str">
        <f>IF(Tab.o1[[#This Row],[a1]]=1,0.01+0.94*Tab.o1[[#This Row],[PDF]]/MAX(Tab.o1[PDF]),"")</f>
        <v/>
      </c>
      <c r="Z286" s="126" t="str">
        <f>IF(Tab.o1[[#This Row],[a1]]=1,0.01+0.94*Tab.o1[[#This Row],[W1_PDF]]/MAX(Tab.o1[W1_PDF]),"")</f>
        <v/>
      </c>
      <c r="AA286" s="118" t="str">
        <f>IF(Tab.o1[[#This Row],[a1]]=1,ABS([1]!T.in.A[[#This Row],[oo6]]),"")</f>
        <v/>
      </c>
      <c r="AB286" s="127" t="str">
        <f>IF(Tab.o1[[#This Row],[a1]]=1,IF(AE$3=0,"",IF(AB$3=0,ABS([1]!T.in.A[[#This Row],[oo9]]),ABS(Tab.o1[[#This Row],[DIF_Target.]]*Tab.o1[[#This Row],[W1_PDF]]))),"")</f>
        <v/>
      </c>
      <c r="AC286" s="127" t="str">
        <f>IF(G$1=1,"",IF(Tab.o1[[#This Row],[a1]]=1,Tab.o1[[#This Row],[Wr]]^2,""))</f>
        <v/>
      </c>
      <c r="AD286" s="118" t="str">
        <f>IF(Tab.o1[[#This Row],[a1]]=1,IF(AE$3=0,"",Tab.o1[[#This Row],[Wr2]]/SUM(Tab.o1[Wr2])),"")</f>
        <v/>
      </c>
      <c r="AE286" s="128" t="str">
        <f>IF(Tab.o1[[#This Row],[a1]]=1,[1]!T.in.A[[#This Row],[oo10]],"")</f>
        <v/>
      </c>
      <c r="AF286" s="118" t="str">
        <f>IF(Tab.o1[[#This Row],[a1]]=1,ABS(Tab.o1[[#This Row],[DIF_Target.]]*Tab.o1[[#This Row],[PDF2]]*Tab.o1[[#This Row],[IN]]),"")</f>
        <v/>
      </c>
      <c r="AG286" s="129" t="str">
        <f>IF(Tab.o1[[#This Row],[a1]]=1,Tab.o1[[#This Row],[rW]]^2,"")</f>
        <v/>
      </c>
      <c r="AH286" s="130" t="str">
        <f>IF(Tab.o1[[#This Row],[a1]]=1,IF(AH$3=0,Tab.o1[[#This Row],[rW2]],0.01+0.94*Tab.o1[[#This Row],[rW2]]/SUM(Tab.o1[rW2])),"")</f>
        <v/>
      </c>
      <c r="AI286" s="128" t="str">
        <f>IF(Tab.o1[[#This Row],[a1]]=1,1/Tab.o1[[#This Row],[PDF]],"")</f>
        <v/>
      </c>
      <c r="AJ286" s="131" t="str">
        <f>IF(Tab.o1[[#This Row],[a1]]=1,[1]!T_AA[[#This Row],[IN'']]*[1]!T_AA[[#This Row],[Qde'']],"")</f>
        <v/>
      </c>
      <c r="AK286" s="132" t="str">
        <f>IF(Tab.o1[[#This Row],[a1]]=1,IF(AK$1=1,Tab.o1[[#This Row],[MED]]+Tab.o1[[#This Row],[MOD]]-Tab.o1[[#This Row],[MED]],""),"")</f>
        <v/>
      </c>
      <c r="AL286" s="133" t="str">
        <f>IF(Tab.o1[[#This Row],[a1]]=1,[1]!T.in.A[[#This Row],[oo16]],"")</f>
        <v/>
      </c>
      <c r="AM286" s="133" t="str">
        <f>IF(Tab.o1[[#This Row],[a1]]=1,IF(AM$3=1,[1]!T.in.A[[#This Row],[Σo16]],""),"")</f>
        <v/>
      </c>
      <c r="AN286" s="126" t="str">
        <f>IF(Tab.o1[[#This Row],[a1]]=1,[1]!T.in.A[[#This Row],[Σp5]],"")</f>
        <v/>
      </c>
      <c r="AO286" s="126" t="str">
        <f>IF(Tab.o1[[#This Row],[a1]]=1,IF(AO$3=1,[1]!T.in.A[[#This Row],[Σp5]],""),"")</f>
        <v/>
      </c>
      <c r="AP286" s="110" t="str">
        <f>IF(Tab.o1[[#This Row],[a1]]=1,IF(ISNUMBER(Tab.o1[[#This Row],[i.]]),NORMDIST(Tab.o1[[#This Row],[Za]],0,1,FALSE)*Tab.o1[[#This Row],[i.]],0),"")</f>
        <v/>
      </c>
      <c r="AQ286" s="125" t="str">
        <f>IF(Tab.o1[[#This Row],[a1]]=1,ABS(Tab.o1[[#This Row],[MOD]]-AVERAGE(Tab.o1[MOD])),"")</f>
        <v/>
      </c>
      <c r="AR286" s="134" t="str">
        <f>IF(Tab.o1[[#This Row],[a1]]=1,Tab.o1[[#This Row],[OBS]]/SUM(Tab.o1[OBS]),"")</f>
        <v/>
      </c>
      <c r="AS286" s="135" t="str">
        <f>IF(ISNUMBER(Tab.o1[[#This Row],[a1]]),ROW()-4,"")</f>
        <v/>
      </c>
      <c r="AT286" s="136" t="str">
        <f>Tab.o1[[#This Row],[MOD]]</f>
        <v/>
      </c>
      <c r="AU286" s="137" t="str">
        <f t="shared" si="17"/>
        <v/>
      </c>
      <c r="AV286" s="138" t="str">
        <f t="shared" si="18"/>
        <v/>
      </c>
      <c r="AW286" s="138" t="str">
        <f t="shared" si="19"/>
        <v/>
      </c>
      <c r="AX286" s="139" t="str">
        <f>[1]!T.in.A[[#This Row],[ID_T_manu]]</f>
        <v/>
      </c>
      <c r="AY286" s="140" t="str">
        <f>IF(ISNUMBER(Tab.o1[[#This Row],[a1]]),IF(AND(Tab.o1[[#This Row],[a1]]=1,Tab.o1[[#This Row],[b1]]&lt;=AY$4),#REF!,AY285),"")</f>
        <v/>
      </c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</row>
    <row r="287" spans="1:79" ht="15.75" hidden="1">
      <c r="A287" s="109">
        <v>6.9999999999999999E-6</v>
      </c>
      <c r="B287" s="110">
        <f t="shared" si="16"/>
        <v>287</v>
      </c>
      <c r="C287" s="111" t="str">
        <f>IF(C$1=[1]!T.in.A[[#This Row],[oo2]],1,"")</f>
        <v/>
      </c>
      <c r="D287" s="112" t="str">
        <f>IF(Tab.o1[[#This Row],[a1]]=1,IF(SUM(C287:C288)=0,0,IF(SUM(C286:C287)=1,1,IF(SUM(C286:C288)&gt;1,D286+1,0))),"")</f>
        <v/>
      </c>
      <c r="E287" s="113" t="str">
        <f>IF(Tab.o1[[#This Row],[a1]]=1,[1]!T.in.A[[#This Row],[oo1]],"")</f>
        <v/>
      </c>
      <c r="F287" s="113" t="str">
        <f>IF(Tab.o1[[#This Row],[a1]]=1,[1]!T.in.A[[#This Row],[pp1]],"")</f>
        <v/>
      </c>
      <c r="G287" s="114" t="str">
        <f>IF(Tab.o1[[#This Row],[a1]]=1,G$2+IF(G$1=1,0,Tab.o1[[#This Row],[.x1]])+[1]!T.in.A[[#This Row],[oo3]],"")</f>
        <v/>
      </c>
      <c r="H287" s="115" t="str">
        <f>IF(Tab.o1[[#This Row],[a1]]=1,IF(H$2=0,0,IF(G$1=1,0,Tab.o1[[#This Row],[.x1]])+[1]!T.in.A[[#This Row],[oo4]]),"")</f>
        <v/>
      </c>
      <c r="I287" s="116" t="str">
        <f>IF(Tab.o1[[#This Row],[a1]]=1,IF(J$2=0,Tab.o1[[#This Row],[MED]],Tab.o1[[#This Row],[MOD]]),"")</f>
        <v/>
      </c>
      <c r="J287" s="116" t="str">
        <f>IF(Tab.o1[[#This Row],[a1]]=1,((Tab.o1[[#This Row],[DIF_Target.]]-AVERAGE(Tab.o1[DIF_Target.]))/_xlfn.STDEV.P(Tab.o1[DIF_Target.])),"")</f>
        <v/>
      </c>
      <c r="K287" s="117" t="str">
        <f>IF(Tab.o1[[#This Row],[a1]]=1,IF(J$2=0,Tab.o1[[#This Row],[MOD]]-Tab.o1[[#This Row],[B]],IF(J$2=1,0,-Tab.o1[[#This Row],[MED]])+Tab.o1[[#This Row],[B]]),"")</f>
        <v/>
      </c>
      <c r="L287" s="117" t="str">
        <f ca="1">IF(Tab.o1[[#This Row],[DIF_Target]]=0,IF(L$2=0,Tab.o1[[#This Row],[DIF_Target]],AVERAGE(OFFSET(Tab.o1[[#This Row],[DIF_Target]],1,0,L$3,1)))/3,Tab.o1[[#This Row],[DIF_Target]])</f>
        <v/>
      </c>
      <c r="M287" s="118" t="str">
        <f>IF(Tab.o1[[#This Row],[a1]]=1,NORMSDIST(Tab.o1[[#This Row],[Za]]),"")</f>
        <v/>
      </c>
      <c r="N287" s="119" t="str">
        <f>IF(Tab.o1[[#This Row],[a1]]=1,((Tab.o1[[#This Row],[MedMod]]-AVERAGE(Tab.o1[MedMod]))/_xlfn.STDEV.P(Tab.o1[MedMod])*H$1205)+G$1205,"")</f>
        <v/>
      </c>
      <c r="O287" s="141" t="str">
        <f>IF(Tab.o1[[#This Row],[a1]]=1,Tab.o1[[#This Row],[Zb]]*_xlfn.STDEV.P(Tab.o1[MedMod])+AVERAGE(Tab.o1[MedMod]),"")</f>
        <v/>
      </c>
      <c r="P287" s="117" t="str">
        <f ca="1">IF(Tab.o1[[#This Row],[B]]=0,AVERAGE(OFFSET(Tab.o1[[#This Row],[B]],1,0,L$3,1)),Tab.o1[[#This Row],[B]])</f>
        <v/>
      </c>
      <c r="Q287" s="121" t="str">
        <f>IF(Tab.o1[[#This Row],[a1]]=1,NORMSDIST(Tab.o1[[#This Row],[Zb]]),"")</f>
        <v/>
      </c>
      <c r="R287" s="122" t="str">
        <f>IF(Tab.o1[[#This Row],[a1]]=1,((Tab.o1[[#This Row],[MedMod]]-AVERAGE(Tab.o1[MedMod]))/_xlfn.STDEV.P(Tab.o1[MedMod])*H$1203)+G$1203,"")</f>
        <v/>
      </c>
      <c r="S287" s="122" t="str">
        <f>IF(Tab.o1[[#This Row],[a1]]=1,((Tab.o1[[#This Row],[MedMod]]-AVERAGE(Tab.o1[MedMod]))/_xlfn.STDEV.P(Tab.o1[MedMod])*H$1204)+G$1204,"")</f>
        <v/>
      </c>
      <c r="T287" s="123" t="str">
        <f>IF(Tab.o1[[#This Row],[a1]]=1,Tab.o1[[#This Row],[Z-]]*_xlfn.STDEV.P(Tab.o1[B])+AVERAGE(Tab.o1[B]),"")</f>
        <v/>
      </c>
      <c r="U287" s="123" t="str">
        <f>IF(Tab.o1[[#This Row],[a1]]=1,Tab.o1[[#This Row],[z+]]*_xlfn.STDEV.P(Tab.o1[B])+AVERAGE(Tab.o1[B]),"")</f>
        <v/>
      </c>
      <c r="V287" s="124" t="str">
        <f>IF(Tab.o1[[#This Row],[a1]]=1,ABS((ABS(Tab.o1[[#This Row],[Red]]-Tab.o1[[#This Row],[Blue]]))),"")</f>
        <v/>
      </c>
      <c r="W287" s="125" t="str">
        <f>IF(Tab.o1[[#This Row],[a1]]=1,IF(W$3=0,1,Tab.o1[[#This Row],[Amp.]]*1/_xlfn.MINIFS(Tab.o1[Amp.],Tab.o1[Amp.],"&lt;&gt;0")),"")</f>
        <v/>
      </c>
      <c r="X287" s="126" t="str">
        <f>IF(Tab.o1[[#This Row],[a1]]=1,IF(ISNUMBER(Tab.o1[[#This Row],[i.]]),NORMDIST(Tab.o1[[#This Row],[Za]],0,1,FALSE)*Tab.o1[[#This Row],[i.]],AP$3),"")</f>
        <v/>
      </c>
      <c r="Y287" s="126" t="str">
        <f>IF(Tab.o1[[#This Row],[a1]]=1,0.01+0.94*Tab.o1[[#This Row],[PDF]]/MAX(Tab.o1[PDF]),"")</f>
        <v/>
      </c>
      <c r="Z287" s="126" t="str">
        <f>IF(Tab.o1[[#This Row],[a1]]=1,0.01+0.94*Tab.o1[[#This Row],[W1_PDF]]/MAX(Tab.o1[W1_PDF]),"")</f>
        <v/>
      </c>
      <c r="AA287" s="118" t="str">
        <f>IF(Tab.o1[[#This Row],[a1]]=1,ABS([1]!T.in.A[[#This Row],[oo6]]),"")</f>
        <v/>
      </c>
      <c r="AB287" s="127" t="str">
        <f>IF(Tab.o1[[#This Row],[a1]]=1,IF(AE$3=0,"",IF(AB$3=0,ABS([1]!T.in.A[[#This Row],[oo9]]),ABS(Tab.o1[[#This Row],[DIF_Target.]]*Tab.o1[[#This Row],[W1_PDF]]))),"")</f>
        <v/>
      </c>
      <c r="AC287" s="127" t="str">
        <f>IF(G$1=1,"",IF(Tab.o1[[#This Row],[a1]]=1,Tab.o1[[#This Row],[Wr]]^2,""))</f>
        <v/>
      </c>
      <c r="AD287" s="118" t="str">
        <f>IF(Tab.o1[[#This Row],[a1]]=1,IF(AE$3=0,"",Tab.o1[[#This Row],[Wr2]]/SUM(Tab.o1[Wr2])),"")</f>
        <v/>
      </c>
      <c r="AE287" s="128" t="str">
        <f>IF(Tab.o1[[#This Row],[a1]]=1,[1]!T.in.A[[#This Row],[oo10]],"")</f>
        <v/>
      </c>
      <c r="AF287" s="118" t="str">
        <f>IF(Tab.o1[[#This Row],[a1]]=1,ABS(Tab.o1[[#This Row],[DIF_Target.]]*Tab.o1[[#This Row],[PDF2]]*Tab.o1[[#This Row],[IN]]),"")</f>
        <v/>
      </c>
      <c r="AG287" s="129" t="str">
        <f>IF(Tab.o1[[#This Row],[a1]]=1,Tab.o1[[#This Row],[rW]]^2,"")</f>
        <v/>
      </c>
      <c r="AH287" s="130" t="str">
        <f>IF(Tab.o1[[#This Row],[a1]]=1,IF(AH$3=0,Tab.o1[[#This Row],[rW2]],0.01+0.94*Tab.o1[[#This Row],[rW2]]/SUM(Tab.o1[rW2])),"")</f>
        <v/>
      </c>
      <c r="AI287" s="128" t="str">
        <f>IF(Tab.o1[[#This Row],[a1]]=1,1/Tab.o1[[#This Row],[PDF]],"")</f>
        <v/>
      </c>
      <c r="AJ287" s="131" t="str">
        <f>IF(Tab.o1[[#This Row],[a1]]=1,[1]!T_AA[[#This Row],[IN'']]*[1]!T_AA[[#This Row],[Qde'']],"")</f>
        <v/>
      </c>
      <c r="AK287" s="132" t="str">
        <f>IF(Tab.o1[[#This Row],[a1]]=1,IF(AK$1=1,Tab.o1[[#This Row],[MED]]+Tab.o1[[#This Row],[MOD]]-Tab.o1[[#This Row],[MED]],""),"")</f>
        <v/>
      </c>
      <c r="AL287" s="133" t="str">
        <f>IF(Tab.o1[[#This Row],[a1]]=1,[1]!T.in.A[[#This Row],[oo16]],"")</f>
        <v/>
      </c>
      <c r="AM287" s="133" t="str">
        <f>IF(Tab.o1[[#This Row],[a1]]=1,IF(AM$3=1,[1]!T.in.A[[#This Row],[Σo16]],""),"")</f>
        <v/>
      </c>
      <c r="AN287" s="126" t="str">
        <f>IF(Tab.o1[[#This Row],[a1]]=1,[1]!T.in.A[[#This Row],[Σp5]],"")</f>
        <v/>
      </c>
      <c r="AO287" s="126" t="str">
        <f>IF(Tab.o1[[#This Row],[a1]]=1,IF(AO$3=1,[1]!T.in.A[[#This Row],[Σp5]],""),"")</f>
        <v/>
      </c>
      <c r="AP287" s="110" t="str">
        <f>IF(Tab.o1[[#This Row],[a1]]=1,IF(ISNUMBER(Tab.o1[[#This Row],[i.]]),NORMDIST(Tab.o1[[#This Row],[Za]],0,1,FALSE)*Tab.o1[[#This Row],[i.]],0),"")</f>
        <v/>
      </c>
      <c r="AQ287" s="125" t="str">
        <f>IF(Tab.o1[[#This Row],[a1]]=1,ABS(Tab.o1[[#This Row],[MOD]]-AVERAGE(Tab.o1[MOD])),"")</f>
        <v/>
      </c>
      <c r="AR287" s="134" t="str">
        <f>IF(Tab.o1[[#This Row],[a1]]=1,Tab.o1[[#This Row],[OBS]]/SUM(Tab.o1[OBS]),"")</f>
        <v/>
      </c>
      <c r="AS287" s="135" t="str">
        <f>IF(ISNUMBER(Tab.o1[[#This Row],[a1]]),ROW()-4,"")</f>
        <v/>
      </c>
      <c r="AT287" s="136" t="str">
        <f>Tab.o1[[#This Row],[MOD]]</f>
        <v/>
      </c>
      <c r="AU287" s="137" t="str">
        <f t="shared" si="17"/>
        <v/>
      </c>
      <c r="AV287" s="138" t="str">
        <f t="shared" si="18"/>
        <v/>
      </c>
      <c r="AW287" s="138" t="str">
        <f t="shared" si="19"/>
        <v/>
      </c>
      <c r="AX287" s="139" t="str">
        <f>[1]!T.in.A[[#This Row],[ID_T_manu]]</f>
        <v/>
      </c>
      <c r="AY287" s="140" t="str">
        <f>IF(ISNUMBER(Tab.o1[[#This Row],[a1]]),IF(AND(Tab.o1[[#This Row],[a1]]=1,Tab.o1[[#This Row],[b1]]&lt;=AY$4),#REF!,AY286),"")</f>
        <v/>
      </c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</row>
    <row r="288" spans="1:79" ht="15.75" hidden="1">
      <c r="A288" s="109">
        <v>1.0000000000000002E-6</v>
      </c>
      <c r="B288" s="110">
        <f t="shared" si="16"/>
        <v>288</v>
      </c>
      <c r="C288" s="111" t="str">
        <f>IF(C$1=[1]!T.in.A[[#This Row],[oo2]],1,"")</f>
        <v/>
      </c>
      <c r="D288" s="112" t="str">
        <f>IF(Tab.o1[[#This Row],[a1]]=1,IF(SUM(C288:C289)=0,0,IF(SUM(C287:C288)=1,1,IF(SUM(C287:C289)&gt;1,D287+1,0))),"")</f>
        <v/>
      </c>
      <c r="E288" s="113" t="str">
        <f>IF(Tab.o1[[#This Row],[a1]]=1,[1]!T.in.A[[#This Row],[oo1]],"")</f>
        <v/>
      </c>
      <c r="F288" s="113" t="str">
        <f>IF(Tab.o1[[#This Row],[a1]]=1,[1]!T.in.A[[#This Row],[pp1]],"")</f>
        <v/>
      </c>
      <c r="G288" s="114" t="str">
        <f>IF(Tab.o1[[#This Row],[a1]]=1,G$2+IF(G$1=1,0,Tab.o1[[#This Row],[.x1]])+[1]!T.in.A[[#This Row],[oo3]],"")</f>
        <v/>
      </c>
      <c r="H288" s="115" t="str">
        <f>IF(Tab.o1[[#This Row],[a1]]=1,IF(H$2=0,0,IF(G$1=1,0,Tab.o1[[#This Row],[.x1]])+[1]!T.in.A[[#This Row],[oo4]]),"")</f>
        <v/>
      </c>
      <c r="I288" s="116" t="str">
        <f>IF(Tab.o1[[#This Row],[a1]]=1,IF(J$2=0,Tab.o1[[#This Row],[MED]],Tab.o1[[#This Row],[MOD]]),"")</f>
        <v/>
      </c>
      <c r="J288" s="116" t="str">
        <f>IF(Tab.o1[[#This Row],[a1]]=1,((Tab.o1[[#This Row],[DIF_Target.]]-AVERAGE(Tab.o1[DIF_Target.]))/_xlfn.STDEV.P(Tab.o1[DIF_Target.])),"")</f>
        <v/>
      </c>
      <c r="K288" s="117" t="str">
        <f>IF(Tab.o1[[#This Row],[a1]]=1,IF(J$2=0,Tab.o1[[#This Row],[MOD]]-Tab.o1[[#This Row],[B]],IF(J$2=1,0,-Tab.o1[[#This Row],[MED]])+Tab.o1[[#This Row],[B]]),"")</f>
        <v/>
      </c>
      <c r="L288" s="117" t="str">
        <f ca="1">IF(Tab.o1[[#This Row],[DIF_Target]]=0,IF(L$2=0,Tab.o1[[#This Row],[DIF_Target]],AVERAGE(OFFSET(Tab.o1[[#This Row],[DIF_Target]],1,0,L$3,1)))/3,Tab.o1[[#This Row],[DIF_Target]])</f>
        <v/>
      </c>
      <c r="M288" s="118" t="str">
        <f>IF(Tab.o1[[#This Row],[a1]]=1,NORMSDIST(Tab.o1[[#This Row],[Za]]),"")</f>
        <v/>
      </c>
      <c r="N288" s="119" t="str">
        <f>IF(Tab.o1[[#This Row],[a1]]=1,((Tab.o1[[#This Row],[MedMod]]-AVERAGE(Tab.o1[MedMod]))/_xlfn.STDEV.P(Tab.o1[MedMod])*H$1205)+G$1205,"")</f>
        <v/>
      </c>
      <c r="O288" s="141" t="str">
        <f>IF(Tab.o1[[#This Row],[a1]]=1,Tab.o1[[#This Row],[Zb]]*_xlfn.STDEV.P(Tab.o1[MedMod])+AVERAGE(Tab.o1[MedMod]),"")</f>
        <v/>
      </c>
      <c r="P288" s="117" t="str">
        <f ca="1">IF(Tab.o1[[#This Row],[B]]=0,AVERAGE(OFFSET(Tab.o1[[#This Row],[B]],1,0,L$3,1)),Tab.o1[[#This Row],[B]])</f>
        <v/>
      </c>
      <c r="Q288" s="121" t="str">
        <f>IF(Tab.o1[[#This Row],[a1]]=1,NORMSDIST(Tab.o1[[#This Row],[Zb]]),"")</f>
        <v/>
      </c>
      <c r="R288" s="122" t="str">
        <f>IF(Tab.o1[[#This Row],[a1]]=1,((Tab.o1[[#This Row],[MedMod]]-AVERAGE(Tab.o1[MedMod]))/_xlfn.STDEV.P(Tab.o1[MedMod])*H$1203)+G$1203,"")</f>
        <v/>
      </c>
      <c r="S288" s="122" t="str">
        <f>IF(Tab.o1[[#This Row],[a1]]=1,((Tab.o1[[#This Row],[MedMod]]-AVERAGE(Tab.o1[MedMod]))/_xlfn.STDEV.P(Tab.o1[MedMod])*H$1204)+G$1204,"")</f>
        <v/>
      </c>
      <c r="T288" s="123" t="str">
        <f>IF(Tab.o1[[#This Row],[a1]]=1,Tab.o1[[#This Row],[Z-]]*_xlfn.STDEV.P(Tab.o1[B])+AVERAGE(Tab.o1[B]),"")</f>
        <v/>
      </c>
      <c r="U288" s="123" t="str">
        <f>IF(Tab.o1[[#This Row],[a1]]=1,Tab.o1[[#This Row],[z+]]*_xlfn.STDEV.P(Tab.o1[B])+AVERAGE(Tab.o1[B]),"")</f>
        <v/>
      </c>
      <c r="V288" s="124" t="str">
        <f>IF(Tab.o1[[#This Row],[a1]]=1,ABS((ABS(Tab.o1[[#This Row],[Red]]-Tab.o1[[#This Row],[Blue]]))),"")</f>
        <v/>
      </c>
      <c r="W288" s="125" t="str">
        <f>IF(Tab.o1[[#This Row],[a1]]=1,IF(W$3=0,1,Tab.o1[[#This Row],[Amp.]]*1/_xlfn.MINIFS(Tab.o1[Amp.],Tab.o1[Amp.],"&lt;&gt;0")),"")</f>
        <v/>
      </c>
      <c r="X288" s="126" t="str">
        <f>IF(Tab.o1[[#This Row],[a1]]=1,IF(ISNUMBER(Tab.o1[[#This Row],[i.]]),NORMDIST(Tab.o1[[#This Row],[Za]],0,1,FALSE)*Tab.o1[[#This Row],[i.]],AP$3),"")</f>
        <v/>
      </c>
      <c r="Y288" s="126" t="str">
        <f>IF(Tab.o1[[#This Row],[a1]]=1,0.01+0.94*Tab.o1[[#This Row],[PDF]]/MAX(Tab.o1[PDF]),"")</f>
        <v/>
      </c>
      <c r="Z288" s="126" t="str">
        <f>IF(Tab.o1[[#This Row],[a1]]=1,0.01+0.94*Tab.o1[[#This Row],[W1_PDF]]/MAX(Tab.o1[W1_PDF]),"")</f>
        <v/>
      </c>
      <c r="AA288" s="118" t="str">
        <f>IF(Tab.o1[[#This Row],[a1]]=1,ABS([1]!T.in.A[[#This Row],[oo6]]),"")</f>
        <v/>
      </c>
      <c r="AB288" s="127" t="str">
        <f>IF(Tab.o1[[#This Row],[a1]]=1,IF(AE$3=0,"",IF(AB$3=0,ABS([1]!T.in.A[[#This Row],[oo9]]),ABS(Tab.o1[[#This Row],[DIF_Target.]]*Tab.o1[[#This Row],[W1_PDF]]))),"")</f>
        <v/>
      </c>
      <c r="AC288" s="127" t="str">
        <f>IF(G$1=1,"",IF(Tab.o1[[#This Row],[a1]]=1,Tab.o1[[#This Row],[Wr]]^2,""))</f>
        <v/>
      </c>
      <c r="AD288" s="118" t="str">
        <f>IF(Tab.o1[[#This Row],[a1]]=1,IF(AE$3=0,"",Tab.o1[[#This Row],[Wr2]]/SUM(Tab.o1[Wr2])),"")</f>
        <v/>
      </c>
      <c r="AE288" s="128" t="str">
        <f>IF(Tab.o1[[#This Row],[a1]]=1,[1]!T.in.A[[#This Row],[oo10]],"")</f>
        <v/>
      </c>
      <c r="AF288" s="118" t="str">
        <f>IF(Tab.o1[[#This Row],[a1]]=1,ABS(Tab.o1[[#This Row],[DIF_Target.]]*Tab.o1[[#This Row],[PDF2]]*Tab.o1[[#This Row],[IN]]),"")</f>
        <v/>
      </c>
      <c r="AG288" s="129" t="str">
        <f>IF(Tab.o1[[#This Row],[a1]]=1,Tab.o1[[#This Row],[rW]]^2,"")</f>
        <v/>
      </c>
      <c r="AH288" s="130" t="str">
        <f>IF(Tab.o1[[#This Row],[a1]]=1,IF(AH$3=0,Tab.o1[[#This Row],[rW2]],0.01+0.94*Tab.o1[[#This Row],[rW2]]/SUM(Tab.o1[rW2])),"")</f>
        <v/>
      </c>
      <c r="AI288" s="128" t="str">
        <f>IF(Tab.o1[[#This Row],[a1]]=1,1/Tab.o1[[#This Row],[PDF]],"")</f>
        <v/>
      </c>
      <c r="AJ288" s="131" t="str">
        <f>IF(Tab.o1[[#This Row],[a1]]=1,[1]!T_AA[[#This Row],[IN'']]*[1]!T_AA[[#This Row],[Qde'']],"")</f>
        <v/>
      </c>
      <c r="AK288" s="132" t="str">
        <f>IF(Tab.o1[[#This Row],[a1]]=1,IF(AK$1=1,Tab.o1[[#This Row],[MED]]+Tab.o1[[#This Row],[MOD]]-Tab.o1[[#This Row],[MED]],""),"")</f>
        <v/>
      </c>
      <c r="AL288" s="133" t="str">
        <f>IF(Tab.o1[[#This Row],[a1]]=1,[1]!T.in.A[[#This Row],[oo16]],"")</f>
        <v/>
      </c>
      <c r="AM288" s="133" t="str">
        <f>IF(Tab.o1[[#This Row],[a1]]=1,IF(AM$3=1,[1]!T.in.A[[#This Row],[Σo16]],""),"")</f>
        <v/>
      </c>
      <c r="AN288" s="126" t="str">
        <f>IF(Tab.o1[[#This Row],[a1]]=1,[1]!T.in.A[[#This Row],[Σp5]],"")</f>
        <v/>
      </c>
      <c r="AO288" s="126" t="str">
        <f>IF(Tab.o1[[#This Row],[a1]]=1,IF(AO$3=1,[1]!T.in.A[[#This Row],[Σp5]],""),"")</f>
        <v/>
      </c>
      <c r="AP288" s="110" t="str">
        <f>IF(Tab.o1[[#This Row],[a1]]=1,IF(ISNUMBER(Tab.o1[[#This Row],[i.]]),NORMDIST(Tab.o1[[#This Row],[Za]],0,1,FALSE)*Tab.o1[[#This Row],[i.]],0),"")</f>
        <v/>
      </c>
      <c r="AQ288" s="125" t="str">
        <f>IF(Tab.o1[[#This Row],[a1]]=1,ABS(Tab.o1[[#This Row],[MOD]]-AVERAGE(Tab.o1[MOD])),"")</f>
        <v/>
      </c>
      <c r="AR288" s="134" t="str">
        <f>IF(Tab.o1[[#This Row],[a1]]=1,Tab.o1[[#This Row],[OBS]]/SUM(Tab.o1[OBS]),"")</f>
        <v/>
      </c>
      <c r="AS288" s="135" t="str">
        <f>IF(ISNUMBER(Tab.o1[[#This Row],[a1]]),ROW()-4,"")</f>
        <v/>
      </c>
      <c r="AT288" s="136" t="str">
        <f>Tab.o1[[#This Row],[MOD]]</f>
        <v/>
      </c>
      <c r="AU288" s="137" t="str">
        <f t="shared" si="17"/>
        <v/>
      </c>
      <c r="AV288" s="138" t="str">
        <f t="shared" si="18"/>
        <v/>
      </c>
      <c r="AW288" s="138" t="str">
        <f t="shared" si="19"/>
        <v/>
      </c>
      <c r="AX288" s="139" t="str">
        <f>[1]!T.in.A[[#This Row],[ID_T_manu]]</f>
        <v/>
      </c>
      <c r="AY288" s="140" t="str">
        <f>IF(ISNUMBER(Tab.o1[[#This Row],[a1]]),IF(AND(Tab.o1[[#This Row],[a1]]=1,Tab.o1[[#This Row],[b1]]&lt;=AY$4),#REF!,AY287),"")</f>
        <v/>
      </c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</row>
    <row r="289" spans="1:79" ht="15.75" hidden="1">
      <c r="A289" s="109">
        <v>-6.9999999999999999E-6</v>
      </c>
      <c r="B289" s="110">
        <f t="shared" si="16"/>
        <v>289</v>
      </c>
      <c r="C289" s="111" t="str">
        <f>IF(C$1=[1]!T.in.A[[#This Row],[oo2]],1,"")</f>
        <v/>
      </c>
      <c r="D289" s="112" t="str">
        <f>IF(Tab.o1[[#This Row],[a1]]=1,IF(SUM(C289:C290)=0,0,IF(SUM(C288:C289)=1,1,IF(SUM(C288:C290)&gt;1,D288+1,0))),"")</f>
        <v/>
      </c>
      <c r="E289" s="113" t="str">
        <f>IF(Tab.o1[[#This Row],[a1]]=1,[1]!T.in.A[[#This Row],[oo1]],"")</f>
        <v/>
      </c>
      <c r="F289" s="113" t="str">
        <f>IF(Tab.o1[[#This Row],[a1]]=1,[1]!T.in.A[[#This Row],[pp1]],"")</f>
        <v/>
      </c>
      <c r="G289" s="114" t="str">
        <f>IF(Tab.o1[[#This Row],[a1]]=1,G$2+IF(G$1=1,0,Tab.o1[[#This Row],[.x1]])+[1]!T.in.A[[#This Row],[oo3]],"")</f>
        <v/>
      </c>
      <c r="H289" s="115" t="str">
        <f>IF(Tab.o1[[#This Row],[a1]]=1,IF(H$2=0,0,IF(G$1=1,0,Tab.o1[[#This Row],[.x1]])+[1]!T.in.A[[#This Row],[oo4]]),"")</f>
        <v/>
      </c>
      <c r="I289" s="116" t="str">
        <f>IF(Tab.o1[[#This Row],[a1]]=1,IF(J$2=0,Tab.o1[[#This Row],[MED]],Tab.o1[[#This Row],[MOD]]),"")</f>
        <v/>
      </c>
      <c r="J289" s="116" t="str">
        <f>IF(Tab.o1[[#This Row],[a1]]=1,((Tab.o1[[#This Row],[DIF_Target.]]-AVERAGE(Tab.o1[DIF_Target.]))/_xlfn.STDEV.P(Tab.o1[DIF_Target.])),"")</f>
        <v/>
      </c>
      <c r="K289" s="117" t="str">
        <f>IF(Tab.o1[[#This Row],[a1]]=1,IF(J$2=0,Tab.o1[[#This Row],[MOD]]-Tab.o1[[#This Row],[B]],IF(J$2=1,0,-Tab.o1[[#This Row],[MED]])+Tab.o1[[#This Row],[B]]),"")</f>
        <v/>
      </c>
      <c r="L289" s="117" t="str">
        <f ca="1">IF(Tab.o1[[#This Row],[DIF_Target]]=0,IF(L$2=0,Tab.o1[[#This Row],[DIF_Target]],AVERAGE(OFFSET(Tab.o1[[#This Row],[DIF_Target]],1,0,L$3,1)))/3,Tab.o1[[#This Row],[DIF_Target]])</f>
        <v/>
      </c>
      <c r="M289" s="118" t="str">
        <f>IF(Tab.o1[[#This Row],[a1]]=1,NORMSDIST(Tab.o1[[#This Row],[Za]]),"")</f>
        <v/>
      </c>
      <c r="N289" s="119" t="str">
        <f>IF(Tab.o1[[#This Row],[a1]]=1,((Tab.o1[[#This Row],[MedMod]]-AVERAGE(Tab.o1[MedMod]))/_xlfn.STDEV.P(Tab.o1[MedMod])*H$1205)+G$1205,"")</f>
        <v/>
      </c>
      <c r="O289" s="141" t="str">
        <f>IF(Tab.o1[[#This Row],[a1]]=1,Tab.o1[[#This Row],[Zb]]*_xlfn.STDEV.P(Tab.o1[MedMod])+AVERAGE(Tab.o1[MedMod]),"")</f>
        <v/>
      </c>
      <c r="P289" s="117" t="str">
        <f ca="1">IF(Tab.o1[[#This Row],[B]]=0,AVERAGE(OFFSET(Tab.o1[[#This Row],[B]],1,0,L$3,1)),Tab.o1[[#This Row],[B]])</f>
        <v/>
      </c>
      <c r="Q289" s="121" t="str">
        <f>IF(Tab.o1[[#This Row],[a1]]=1,NORMSDIST(Tab.o1[[#This Row],[Zb]]),"")</f>
        <v/>
      </c>
      <c r="R289" s="122" t="str">
        <f>IF(Tab.o1[[#This Row],[a1]]=1,((Tab.o1[[#This Row],[MedMod]]-AVERAGE(Tab.o1[MedMod]))/_xlfn.STDEV.P(Tab.o1[MedMod])*H$1203)+G$1203,"")</f>
        <v/>
      </c>
      <c r="S289" s="122" t="str">
        <f>IF(Tab.o1[[#This Row],[a1]]=1,((Tab.o1[[#This Row],[MedMod]]-AVERAGE(Tab.o1[MedMod]))/_xlfn.STDEV.P(Tab.o1[MedMod])*H$1204)+G$1204,"")</f>
        <v/>
      </c>
      <c r="T289" s="123" t="str">
        <f>IF(Tab.o1[[#This Row],[a1]]=1,Tab.o1[[#This Row],[Z-]]*_xlfn.STDEV.P(Tab.o1[B])+AVERAGE(Tab.o1[B]),"")</f>
        <v/>
      </c>
      <c r="U289" s="123" t="str">
        <f>IF(Tab.o1[[#This Row],[a1]]=1,Tab.o1[[#This Row],[z+]]*_xlfn.STDEV.P(Tab.o1[B])+AVERAGE(Tab.o1[B]),"")</f>
        <v/>
      </c>
      <c r="V289" s="124" t="str">
        <f>IF(Tab.o1[[#This Row],[a1]]=1,ABS((ABS(Tab.o1[[#This Row],[Red]]-Tab.o1[[#This Row],[Blue]]))),"")</f>
        <v/>
      </c>
      <c r="W289" s="125" t="str">
        <f>IF(Tab.o1[[#This Row],[a1]]=1,IF(W$3=0,1,Tab.o1[[#This Row],[Amp.]]*1/_xlfn.MINIFS(Tab.o1[Amp.],Tab.o1[Amp.],"&lt;&gt;0")),"")</f>
        <v/>
      </c>
      <c r="X289" s="126" t="str">
        <f>IF(Tab.o1[[#This Row],[a1]]=1,IF(ISNUMBER(Tab.o1[[#This Row],[i.]]),NORMDIST(Tab.o1[[#This Row],[Za]],0,1,FALSE)*Tab.o1[[#This Row],[i.]],AP$3),"")</f>
        <v/>
      </c>
      <c r="Y289" s="126" t="str">
        <f>IF(Tab.o1[[#This Row],[a1]]=1,0.01+0.94*Tab.o1[[#This Row],[PDF]]/MAX(Tab.o1[PDF]),"")</f>
        <v/>
      </c>
      <c r="Z289" s="126" t="str">
        <f>IF(Tab.o1[[#This Row],[a1]]=1,0.01+0.94*Tab.o1[[#This Row],[W1_PDF]]/MAX(Tab.o1[W1_PDF]),"")</f>
        <v/>
      </c>
      <c r="AA289" s="118" t="str">
        <f>IF(Tab.o1[[#This Row],[a1]]=1,ABS([1]!T.in.A[[#This Row],[oo6]]),"")</f>
        <v/>
      </c>
      <c r="AB289" s="127" t="str">
        <f>IF(Tab.o1[[#This Row],[a1]]=1,IF(AE$3=0,"",IF(AB$3=0,ABS([1]!T.in.A[[#This Row],[oo9]]),ABS(Tab.o1[[#This Row],[DIF_Target.]]*Tab.o1[[#This Row],[W1_PDF]]))),"")</f>
        <v/>
      </c>
      <c r="AC289" s="127" t="str">
        <f>IF(G$1=1,"",IF(Tab.o1[[#This Row],[a1]]=1,Tab.o1[[#This Row],[Wr]]^2,""))</f>
        <v/>
      </c>
      <c r="AD289" s="118" t="str">
        <f>IF(Tab.o1[[#This Row],[a1]]=1,IF(AE$3=0,"",Tab.o1[[#This Row],[Wr2]]/SUM(Tab.o1[Wr2])),"")</f>
        <v/>
      </c>
      <c r="AE289" s="128" t="str">
        <f>IF(Tab.o1[[#This Row],[a1]]=1,[1]!T.in.A[[#This Row],[oo10]],"")</f>
        <v/>
      </c>
      <c r="AF289" s="118" t="str">
        <f>IF(Tab.o1[[#This Row],[a1]]=1,ABS(Tab.o1[[#This Row],[DIF_Target.]]*Tab.o1[[#This Row],[PDF2]]*Tab.o1[[#This Row],[IN]]),"")</f>
        <v/>
      </c>
      <c r="AG289" s="129" t="str">
        <f>IF(Tab.o1[[#This Row],[a1]]=1,Tab.o1[[#This Row],[rW]]^2,"")</f>
        <v/>
      </c>
      <c r="AH289" s="130" t="str">
        <f>IF(Tab.o1[[#This Row],[a1]]=1,IF(AH$3=0,Tab.o1[[#This Row],[rW2]],0.01+0.94*Tab.o1[[#This Row],[rW2]]/SUM(Tab.o1[rW2])),"")</f>
        <v/>
      </c>
      <c r="AI289" s="128" t="str">
        <f>IF(Tab.o1[[#This Row],[a1]]=1,1/Tab.o1[[#This Row],[PDF]],"")</f>
        <v/>
      </c>
      <c r="AJ289" s="131" t="str">
        <f>IF(Tab.o1[[#This Row],[a1]]=1,[1]!T_AA[[#This Row],[IN'']]*[1]!T_AA[[#This Row],[Qde'']],"")</f>
        <v/>
      </c>
      <c r="AK289" s="132" t="str">
        <f>IF(Tab.o1[[#This Row],[a1]]=1,IF(AK$1=1,Tab.o1[[#This Row],[MED]]+Tab.o1[[#This Row],[MOD]]-Tab.o1[[#This Row],[MED]],""),"")</f>
        <v/>
      </c>
      <c r="AL289" s="133" t="str">
        <f>IF(Tab.o1[[#This Row],[a1]]=1,[1]!T.in.A[[#This Row],[oo16]],"")</f>
        <v/>
      </c>
      <c r="AM289" s="133" t="str">
        <f>IF(Tab.o1[[#This Row],[a1]]=1,IF(AM$3=1,[1]!T.in.A[[#This Row],[Σo16]],""),"")</f>
        <v/>
      </c>
      <c r="AN289" s="126" t="str">
        <f>IF(Tab.o1[[#This Row],[a1]]=1,[1]!T.in.A[[#This Row],[Σp5]],"")</f>
        <v/>
      </c>
      <c r="AO289" s="126" t="str">
        <f>IF(Tab.o1[[#This Row],[a1]]=1,IF(AO$3=1,[1]!T.in.A[[#This Row],[Σp5]],""),"")</f>
        <v/>
      </c>
      <c r="AP289" s="110" t="str">
        <f>IF(Tab.o1[[#This Row],[a1]]=1,IF(ISNUMBER(Tab.o1[[#This Row],[i.]]),NORMDIST(Tab.o1[[#This Row],[Za]],0,1,FALSE)*Tab.o1[[#This Row],[i.]],0),"")</f>
        <v/>
      </c>
      <c r="AQ289" s="125" t="str">
        <f>IF(Tab.o1[[#This Row],[a1]]=1,ABS(Tab.o1[[#This Row],[MOD]]-AVERAGE(Tab.o1[MOD])),"")</f>
        <v/>
      </c>
      <c r="AR289" s="134" t="str">
        <f>IF(Tab.o1[[#This Row],[a1]]=1,Tab.o1[[#This Row],[OBS]]/SUM(Tab.o1[OBS]),"")</f>
        <v/>
      </c>
      <c r="AS289" s="135" t="str">
        <f>IF(ISNUMBER(Tab.o1[[#This Row],[a1]]),ROW()-4,"")</f>
        <v/>
      </c>
      <c r="AT289" s="136" t="str">
        <f>Tab.o1[[#This Row],[MOD]]</f>
        <v/>
      </c>
      <c r="AU289" s="137" t="str">
        <f t="shared" si="17"/>
        <v/>
      </c>
      <c r="AV289" s="138" t="str">
        <f t="shared" si="18"/>
        <v/>
      </c>
      <c r="AW289" s="138" t="str">
        <f t="shared" si="19"/>
        <v/>
      </c>
      <c r="AX289" s="139" t="str">
        <f>[1]!T.in.A[[#This Row],[ID_T_manu]]</f>
        <v/>
      </c>
      <c r="AY289" s="140" t="str">
        <f>IF(ISNUMBER(Tab.o1[[#This Row],[a1]]),IF(AND(Tab.o1[[#This Row],[a1]]=1,Tab.o1[[#This Row],[b1]]&lt;=AY$4),#REF!,AY288),"")</f>
        <v/>
      </c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</row>
    <row r="290" spans="1:79" ht="15.75" hidden="1">
      <c r="A290" s="109">
        <v>-2.9999999999999997E-6</v>
      </c>
      <c r="B290" s="110">
        <f t="shared" si="16"/>
        <v>290</v>
      </c>
      <c r="C290" s="111" t="str">
        <f>IF(C$1=[1]!T.in.A[[#This Row],[oo2]],1,"")</f>
        <v/>
      </c>
      <c r="D290" s="112" t="str">
        <f>IF(Tab.o1[[#This Row],[a1]]=1,IF(SUM(C290:C291)=0,0,IF(SUM(C289:C290)=1,1,IF(SUM(C289:C291)&gt;1,D289+1,0))),"")</f>
        <v/>
      </c>
      <c r="E290" s="113" t="str">
        <f>IF(Tab.o1[[#This Row],[a1]]=1,[1]!T.in.A[[#This Row],[oo1]],"")</f>
        <v/>
      </c>
      <c r="F290" s="113" t="str">
        <f>IF(Tab.o1[[#This Row],[a1]]=1,[1]!T.in.A[[#This Row],[pp1]],"")</f>
        <v/>
      </c>
      <c r="G290" s="114" t="str">
        <f>IF(Tab.o1[[#This Row],[a1]]=1,G$2+IF(G$1=1,0,Tab.o1[[#This Row],[.x1]])+[1]!T.in.A[[#This Row],[oo3]],"")</f>
        <v/>
      </c>
      <c r="H290" s="115" t="str">
        <f>IF(Tab.o1[[#This Row],[a1]]=1,IF(H$2=0,0,IF(G$1=1,0,Tab.o1[[#This Row],[.x1]])+[1]!T.in.A[[#This Row],[oo4]]),"")</f>
        <v/>
      </c>
      <c r="I290" s="116" t="str">
        <f>IF(Tab.o1[[#This Row],[a1]]=1,IF(J$2=0,Tab.o1[[#This Row],[MED]],Tab.o1[[#This Row],[MOD]]),"")</f>
        <v/>
      </c>
      <c r="J290" s="116" t="str">
        <f>IF(Tab.o1[[#This Row],[a1]]=1,((Tab.o1[[#This Row],[DIF_Target.]]-AVERAGE(Tab.o1[DIF_Target.]))/_xlfn.STDEV.P(Tab.o1[DIF_Target.])),"")</f>
        <v/>
      </c>
      <c r="K290" s="117" t="str">
        <f>IF(Tab.o1[[#This Row],[a1]]=1,IF(J$2=0,Tab.o1[[#This Row],[MOD]]-Tab.o1[[#This Row],[B]],IF(J$2=1,0,-Tab.o1[[#This Row],[MED]])+Tab.o1[[#This Row],[B]]),"")</f>
        <v/>
      </c>
      <c r="L290" s="117" t="str">
        <f ca="1">IF(Tab.o1[[#This Row],[DIF_Target]]=0,IF(L$2=0,Tab.o1[[#This Row],[DIF_Target]],AVERAGE(OFFSET(Tab.o1[[#This Row],[DIF_Target]],1,0,L$3,1)))/3,Tab.o1[[#This Row],[DIF_Target]])</f>
        <v/>
      </c>
      <c r="M290" s="118" t="str">
        <f>IF(Tab.o1[[#This Row],[a1]]=1,NORMSDIST(Tab.o1[[#This Row],[Za]]),"")</f>
        <v/>
      </c>
      <c r="N290" s="119" t="str">
        <f>IF(Tab.o1[[#This Row],[a1]]=1,((Tab.o1[[#This Row],[MedMod]]-AVERAGE(Tab.o1[MedMod]))/_xlfn.STDEV.P(Tab.o1[MedMod])*H$1205)+G$1205,"")</f>
        <v/>
      </c>
      <c r="O290" s="141" t="str">
        <f>IF(Tab.o1[[#This Row],[a1]]=1,Tab.o1[[#This Row],[Zb]]*_xlfn.STDEV.P(Tab.o1[MedMod])+AVERAGE(Tab.o1[MedMod]),"")</f>
        <v/>
      </c>
      <c r="P290" s="117" t="str">
        <f ca="1">IF(Tab.o1[[#This Row],[B]]=0,AVERAGE(OFFSET(Tab.o1[[#This Row],[B]],1,0,L$3,1)),Tab.o1[[#This Row],[B]])</f>
        <v/>
      </c>
      <c r="Q290" s="121" t="str">
        <f>IF(Tab.o1[[#This Row],[a1]]=1,NORMSDIST(Tab.o1[[#This Row],[Zb]]),"")</f>
        <v/>
      </c>
      <c r="R290" s="122" t="str">
        <f>IF(Tab.o1[[#This Row],[a1]]=1,((Tab.o1[[#This Row],[MedMod]]-AVERAGE(Tab.o1[MedMod]))/_xlfn.STDEV.P(Tab.o1[MedMod])*H$1203)+G$1203,"")</f>
        <v/>
      </c>
      <c r="S290" s="122" t="str">
        <f>IF(Tab.o1[[#This Row],[a1]]=1,((Tab.o1[[#This Row],[MedMod]]-AVERAGE(Tab.o1[MedMod]))/_xlfn.STDEV.P(Tab.o1[MedMod])*H$1204)+G$1204,"")</f>
        <v/>
      </c>
      <c r="T290" s="123" t="str">
        <f>IF(Tab.o1[[#This Row],[a1]]=1,Tab.o1[[#This Row],[Z-]]*_xlfn.STDEV.P(Tab.o1[B])+AVERAGE(Tab.o1[B]),"")</f>
        <v/>
      </c>
      <c r="U290" s="123" t="str">
        <f>IF(Tab.o1[[#This Row],[a1]]=1,Tab.o1[[#This Row],[z+]]*_xlfn.STDEV.P(Tab.o1[B])+AVERAGE(Tab.o1[B]),"")</f>
        <v/>
      </c>
      <c r="V290" s="124" t="str">
        <f>IF(Tab.o1[[#This Row],[a1]]=1,ABS((ABS(Tab.o1[[#This Row],[Red]]-Tab.o1[[#This Row],[Blue]]))),"")</f>
        <v/>
      </c>
      <c r="W290" s="125" t="str">
        <f>IF(Tab.o1[[#This Row],[a1]]=1,IF(W$3=0,1,Tab.o1[[#This Row],[Amp.]]*1/_xlfn.MINIFS(Tab.o1[Amp.],Tab.o1[Amp.],"&lt;&gt;0")),"")</f>
        <v/>
      </c>
      <c r="X290" s="126" t="str">
        <f>IF(Tab.o1[[#This Row],[a1]]=1,IF(ISNUMBER(Tab.o1[[#This Row],[i.]]),NORMDIST(Tab.o1[[#This Row],[Za]],0,1,FALSE)*Tab.o1[[#This Row],[i.]],AP$3),"")</f>
        <v/>
      </c>
      <c r="Y290" s="126" t="str">
        <f>IF(Tab.o1[[#This Row],[a1]]=1,0.01+0.94*Tab.o1[[#This Row],[PDF]]/MAX(Tab.o1[PDF]),"")</f>
        <v/>
      </c>
      <c r="Z290" s="126" t="str">
        <f>IF(Tab.o1[[#This Row],[a1]]=1,0.01+0.94*Tab.o1[[#This Row],[W1_PDF]]/MAX(Tab.o1[W1_PDF]),"")</f>
        <v/>
      </c>
      <c r="AA290" s="118" t="str">
        <f>IF(Tab.o1[[#This Row],[a1]]=1,ABS([1]!T.in.A[[#This Row],[oo6]]),"")</f>
        <v/>
      </c>
      <c r="AB290" s="127" t="str">
        <f>IF(Tab.o1[[#This Row],[a1]]=1,IF(AE$3=0,"",IF(AB$3=0,ABS([1]!T.in.A[[#This Row],[oo9]]),ABS(Tab.o1[[#This Row],[DIF_Target.]]*Tab.o1[[#This Row],[W1_PDF]]))),"")</f>
        <v/>
      </c>
      <c r="AC290" s="127" t="str">
        <f>IF(G$1=1,"",IF(Tab.o1[[#This Row],[a1]]=1,Tab.o1[[#This Row],[Wr]]^2,""))</f>
        <v/>
      </c>
      <c r="AD290" s="118" t="str">
        <f>IF(Tab.o1[[#This Row],[a1]]=1,IF(AE$3=0,"",Tab.o1[[#This Row],[Wr2]]/SUM(Tab.o1[Wr2])),"")</f>
        <v/>
      </c>
      <c r="AE290" s="128" t="str">
        <f>IF(Tab.o1[[#This Row],[a1]]=1,[1]!T.in.A[[#This Row],[oo10]],"")</f>
        <v/>
      </c>
      <c r="AF290" s="118" t="str">
        <f>IF(Tab.o1[[#This Row],[a1]]=1,ABS(Tab.o1[[#This Row],[DIF_Target.]]*Tab.o1[[#This Row],[PDF2]]*Tab.o1[[#This Row],[IN]]),"")</f>
        <v/>
      </c>
      <c r="AG290" s="129" t="str">
        <f>IF(Tab.o1[[#This Row],[a1]]=1,Tab.o1[[#This Row],[rW]]^2,"")</f>
        <v/>
      </c>
      <c r="AH290" s="130" t="str">
        <f>IF(Tab.o1[[#This Row],[a1]]=1,IF(AH$3=0,Tab.o1[[#This Row],[rW2]],0.01+0.94*Tab.o1[[#This Row],[rW2]]/SUM(Tab.o1[rW2])),"")</f>
        <v/>
      </c>
      <c r="AI290" s="128" t="str">
        <f>IF(Tab.o1[[#This Row],[a1]]=1,1/Tab.o1[[#This Row],[PDF]],"")</f>
        <v/>
      </c>
      <c r="AJ290" s="131" t="str">
        <f>IF(Tab.o1[[#This Row],[a1]]=1,[1]!T_AA[[#This Row],[IN'']]*[1]!T_AA[[#This Row],[Qde'']],"")</f>
        <v/>
      </c>
      <c r="AK290" s="132" t="str">
        <f>IF(Tab.o1[[#This Row],[a1]]=1,IF(AK$1=1,Tab.o1[[#This Row],[MED]]+Tab.o1[[#This Row],[MOD]]-Tab.o1[[#This Row],[MED]],""),"")</f>
        <v/>
      </c>
      <c r="AL290" s="133" t="str">
        <f>IF(Tab.o1[[#This Row],[a1]]=1,[1]!T.in.A[[#This Row],[oo16]],"")</f>
        <v/>
      </c>
      <c r="AM290" s="133" t="str">
        <f>IF(Tab.o1[[#This Row],[a1]]=1,IF(AM$3=1,[1]!T.in.A[[#This Row],[Σo16]],""),"")</f>
        <v/>
      </c>
      <c r="AN290" s="126" t="str">
        <f>IF(Tab.o1[[#This Row],[a1]]=1,[1]!T.in.A[[#This Row],[Σp5]],"")</f>
        <v/>
      </c>
      <c r="AO290" s="126" t="str">
        <f>IF(Tab.o1[[#This Row],[a1]]=1,IF(AO$3=1,[1]!T.in.A[[#This Row],[Σp5]],""),"")</f>
        <v/>
      </c>
      <c r="AP290" s="110" t="str">
        <f>IF(Tab.o1[[#This Row],[a1]]=1,IF(ISNUMBER(Tab.o1[[#This Row],[i.]]),NORMDIST(Tab.o1[[#This Row],[Za]],0,1,FALSE)*Tab.o1[[#This Row],[i.]],0),"")</f>
        <v/>
      </c>
      <c r="AQ290" s="125" t="str">
        <f>IF(Tab.o1[[#This Row],[a1]]=1,ABS(Tab.o1[[#This Row],[MOD]]-AVERAGE(Tab.o1[MOD])),"")</f>
        <v/>
      </c>
      <c r="AR290" s="134" t="str">
        <f>IF(Tab.o1[[#This Row],[a1]]=1,Tab.o1[[#This Row],[OBS]]/SUM(Tab.o1[OBS]),"")</f>
        <v/>
      </c>
      <c r="AS290" s="135" t="str">
        <f>IF(ISNUMBER(Tab.o1[[#This Row],[a1]]),ROW()-4,"")</f>
        <v/>
      </c>
      <c r="AT290" s="136" t="str">
        <f>Tab.o1[[#This Row],[MOD]]</f>
        <v/>
      </c>
      <c r="AU290" s="137" t="str">
        <f t="shared" si="17"/>
        <v/>
      </c>
      <c r="AV290" s="138" t="str">
        <f t="shared" si="18"/>
        <v/>
      </c>
      <c r="AW290" s="138" t="str">
        <f t="shared" si="19"/>
        <v/>
      </c>
      <c r="AX290" s="139" t="str">
        <f>[1]!T.in.A[[#This Row],[ID_T_manu]]</f>
        <v/>
      </c>
      <c r="AY290" s="140" t="str">
        <f>IF(ISNUMBER(Tab.o1[[#This Row],[a1]]),IF(AND(Tab.o1[[#This Row],[a1]]=1,Tab.o1[[#This Row],[b1]]&lt;=AY$4),#REF!,AY289),"")</f>
        <v/>
      </c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</row>
    <row r="291" spans="1:79" ht="15.75" hidden="1">
      <c r="A291" s="109">
        <v>6.9999999999999999E-6</v>
      </c>
      <c r="B291" s="110">
        <f t="shared" si="16"/>
        <v>291</v>
      </c>
      <c r="C291" s="111" t="str">
        <f>IF(C$1=[1]!T.in.A[[#This Row],[oo2]],1,"")</f>
        <v/>
      </c>
      <c r="D291" s="112" t="str">
        <f>IF(Tab.o1[[#This Row],[a1]]=1,IF(SUM(C291:C292)=0,0,IF(SUM(C290:C291)=1,1,IF(SUM(C290:C292)&gt;1,D290+1,0))),"")</f>
        <v/>
      </c>
      <c r="E291" s="113" t="str">
        <f>IF(Tab.o1[[#This Row],[a1]]=1,[1]!T.in.A[[#This Row],[oo1]],"")</f>
        <v/>
      </c>
      <c r="F291" s="113" t="str">
        <f>IF(Tab.o1[[#This Row],[a1]]=1,[1]!T.in.A[[#This Row],[pp1]],"")</f>
        <v/>
      </c>
      <c r="G291" s="114" t="str">
        <f>IF(Tab.o1[[#This Row],[a1]]=1,G$2+IF(G$1=1,0,Tab.o1[[#This Row],[.x1]])+[1]!T.in.A[[#This Row],[oo3]],"")</f>
        <v/>
      </c>
      <c r="H291" s="115" t="str">
        <f>IF(Tab.o1[[#This Row],[a1]]=1,IF(H$2=0,0,IF(G$1=1,0,Tab.o1[[#This Row],[.x1]])+[1]!T.in.A[[#This Row],[oo4]]),"")</f>
        <v/>
      </c>
      <c r="I291" s="116" t="str">
        <f>IF(Tab.o1[[#This Row],[a1]]=1,IF(J$2=0,Tab.o1[[#This Row],[MED]],Tab.o1[[#This Row],[MOD]]),"")</f>
        <v/>
      </c>
      <c r="J291" s="116" t="str">
        <f>IF(Tab.o1[[#This Row],[a1]]=1,((Tab.o1[[#This Row],[DIF_Target.]]-AVERAGE(Tab.o1[DIF_Target.]))/_xlfn.STDEV.P(Tab.o1[DIF_Target.])),"")</f>
        <v/>
      </c>
      <c r="K291" s="117" t="str">
        <f>IF(Tab.o1[[#This Row],[a1]]=1,IF(J$2=0,Tab.o1[[#This Row],[MOD]]-Tab.o1[[#This Row],[B]],IF(J$2=1,0,-Tab.o1[[#This Row],[MED]])+Tab.o1[[#This Row],[B]]),"")</f>
        <v/>
      </c>
      <c r="L291" s="117" t="str">
        <f ca="1">IF(Tab.o1[[#This Row],[DIF_Target]]=0,IF(L$2=0,Tab.o1[[#This Row],[DIF_Target]],AVERAGE(OFFSET(Tab.o1[[#This Row],[DIF_Target]],1,0,L$3,1)))/3,Tab.o1[[#This Row],[DIF_Target]])</f>
        <v/>
      </c>
      <c r="M291" s="118" t="str">
        <f>IF(Tab.o1[[#This Row],[a1]]=1,NORMSDIST(Tab.o1[[#This Row],[Za]]),"")</f>
        <v/>
      </c>
      <c r="N291" s="119" t="str">
        <f>IF(Tab.o1[[#This Row],[a1]]=1,((Tab.o1[[#This Row],[MedMod]]-AVERAGE(Tab.o1[MedMod]))/_xlfn.STDEV.P(Tab.o1[MedMod])*H$1205)+G$1205,"")</f>
        <v/>
      </c>
      <c r="O291" s="141" t="str">
        <f>IF(Tab.o1[[#This Row],[a1]]=1,Tab.o1[[#This Row],[Zb]]*_xlfn.STDEV.P(Tab.o1[MedMod])+AVERAGE(Tab.o1[MedMod]),"")</f>
        <v/>
      </c>
      <c r="P291" s="117" t="str">
        <f ca="1">IF(Tab.o1[[#This Row],[B]]=0,AVERAGE(OFFSET(Tab.o1[[#This Row],[B]],1,0,L$3,1)),Tab.o1[[#This Row],[B]])</f>
        <v/>
      </c>
      <c r="Q291" s="121" t="str">
        <f>IF(Tab.o1[[#This Row],[a1]]=1,NORMSDIST(Tab.o1[[#This Row],[Zb]]),"")</f>
        <v/>
      </c>
      <c r="R291" s="122" t="str">
        <f>IF(Tab.o1[[#This Row],[a1]]=1,((Tab.o1[[#This Row],[MedMod]]-AVERAGE(Tab.o1[MedMod]))/_xlfn.STDEV.P(Tab.o1[MedMod])*H$1203)+G$1203,"")</f>
        <v/>
      </c>
      <c r="S291" s="122" t="str">
        <f>IF(Tab.o1[[#This Row],[a1]]=1,((Tab.o1[[#This Row],[MedMod]]-AVERAGE(Tab.o1[MedMod]))/_xlfn.STDEV.P(Tab.o1[MedMod])*H$1204)+G$1204,"")</f>
        <v/>
      </c>
      <c r="T291" s="123" t="str">
        <f>IF(Tab.o1[[#This Row],[a1]]=1,Tab.o1[[#This Row],[Z-]]*_xlfn.STDEV.P(Tab.o1[B])+AVERAGE(Tab.o1[B]),"")</f>
        <v/>
      </c>
      <c r="U291" s="123" t="str">
        <f>IF(Tab.o1[[#This Row],[a1]]=1,Tab.o1[[#This Row],[z+]]*_xlfn.STDEV.P(Tab.o1[B])+AVERAGE(Tab.o1[B]),"")</f>
        <v/>
      </c>
      <c r="V291" s="124" t="str">
        <f>IF(Tab.o1[[#This Row],[a1]]=1,ABS((ABS(Tab.o1[[#This Row],[Red]]-Tab.o1[[#This Row],[Blue]]))),"")</f>
        <v/>
      </c>
      <c r="W291" s="125" t="str">
        <f>IF(Tab.o1[[#This Row],[a1]]=1,IF(W$3=0,1,Tab.o1[[#This Row],[Amp.]]*1/_xlfn.MINIFS(Tab.o1[Amp.],Tab.o1[Amp.],"&lt;&gt;0")),"")</f>
        <v/>
      </c>
      <c r="X291" s="126" t="str">
        <f>IF(Tab.o1[[#This Row],[a1]]=1,IF(ISNUMBER(Tab.o1[[#This Row],[i.]]),NORMDIST(Tab.o1[[#This Row],[Za]],0,1,FALSE)*Tab.o1[[#This Row],[i.]],AP$3),"")</f>
        <v/>
      </c>
      <c r="Y291" s="126" t="str">
        <f>IF(Tab.o1[[#This Row],[a1]]=1,0.01+0.94*Tab.o1[[#This Row],[PDF]]/MAX(Tab.o1[PDF]),"")</f>
        <v/>
      </c>
      <c r="Z291" s="126" t="str">
        <f>IF(Tab.o1[[#This Row],[a1]]=1,0.01+0.94*Tab.o1[[#This Row],[W1_PDF]]/MAX(Tab.o1[W1_PDF]),"")</f>
        <v/>
      </c>
      <c r="AA291" s="118" t="str">
        <f>IF(Tab.o1[[#This Row],[a1]]=1,ABS([1]!T.in.A[[#This Row],[oo6]]),"")</f>
        <v/>
      </c>
      <c r="AB291" s="127" t="str">
        <f>IF(Tab.o1[[#This Row],[a1]]=1,IF(AE$3=0,"",IF(AB$3=0,ABS([1]!T.in.A[[#This Row],[oo9]]),ABS(Tab.o1[[#This Row],[DIF_Target.]]*Tab.o1[[#This Row],[W1_PDF]]))),"")</f>
        <v/>
      </c>
      <c r="AC291" s="127" t="str">
        <f>IF(G$1=1,"",IF(Tab.o1[[#This Row],[a1]]=1,Tab.o1[[#This Row],[Wr]]^2,""))</f>
        <v/>
      </c>
      <c r="AD291" s="118" t="str">
        <f>IF(Tab.o1[[#This Row],[a1]]=1,IF(AE$3=0,"",Tab.o1[[#This Row],[Wr2]]/SUM(Tab.o1[Wr2])),"")</f>
        <v/>
      </c>
      <c r="AE291" s="128" t="str">
        <f>IF(Tab.o1[[#This Row],[a1]]=1,[1]!T.in.A[[#This Row],[oo10]],"")</f>
        <v/>
      </c>
      <c r="AF291" s="118" t="str">
        <f>IF(Tab.o1[[#This Row],[a1]]=1,ABS(Tab.o1[[#This Row],[DIF_Target.]]*Tab.o1[[#This Row],[PDF2]]*Tab.o1[[#This Row],[IN]]),"")</f>
        <v/>
      </c>
      <c r="AG291" s="129" t="str">
        <f>IF(Tab.o1[[#This Row],[a1]]=1,Tab.o1[[#This Row],[rW]]^2,"")</f>
        <v/>
      </c>
      <c r="AH291" s="130" t="str">
        <f>IF(Tab.o1[[#This Row],[a1]]=1,IF(AH$3=0,Tab.o1[[#This Row],[rW2]],0.01+0.94*Tab.o1[[#This Row],[rW2]]/SUM(Tab.o1[rW2])),"")</f>
        <v/>
      </c>
      <c r="AI291" s="128" t="str">
        <f>IF(Tab.o1[[#This Row],[a1]]=1,1/Tab.o1[[#This Row],[PDF]],"")</f>
        <v/>
      </c>
      <c r="AJ291" s="131" t="str">
        <f>IF(Tab.o1[[#This Row],[a1]]=1,[1]!T_AA[[#This Row],[IN'']]*[1]!T_AA[[#This Row],[Qde'']],"")</f>
        <v/>
      </c>
      <c r="AK291" s="132" t="str">
        <f>IF(Tab.o1[[#This Row],[a1]]=1,IF(AK$1=1,Tab.o1[[#This Row],[MED]]+Tab.o1[[#This Row],[MOD]]-Tab.o1[[#This Row],[MED]],""),"")</f>
        <v/>
      </c>
      <c r="AL291" s="133" t="str">
        <f>IF(Tab.o1[[#This Row],[a1]]=1,[1]!T.in.A[[#This Row],[oo16]],"")</f>
        <v/>
      </c>
      <c r="AM291" s="133" t="str">
        <f>IF(Tab.o1[[#This Row],[a1]]=1,IF(AM$3=1,[1]!T.in.A[[#This Row],[Σo16]],""),"")</f>
        <v/>
      </c>
      <c r="AN291" s="126" t="str">
        <f>IF(Tab.o1[[#This Row],[a1]]=1,[1]!T.in.A[[#This Row],[Σp5]],"")</f>
        <v/>
      </c>
      <c r="AO291" s="126" t="str">
        <f>IF(Tab.o1[[#This Row],[a1]]=1,IF(AO$3=1,[1]!T.in.A[[#This Row],[Σp5]],""),"")</f>
        <v/>
      </c>
      <c r="AP291" s="110" t="str">
        <f>IF(Tab.o1[[#This Row],[a1]]=1,IF(ISNUMBER(Tab.o1[[#This Row],[i.]]),NORMDIST(Tab.o1[[#This Row],[Za]],0,1,FALSE)*Tab.o1[[#This Row],[i.]],0),"")</f>
        <v/>
      </c>
      <c r="AQ291" s="125" t="str">
        <f>IF(Tab.o1[[#This Row],[a1]]=1,ABS(Tab.o1[[#This Row],[MOD]]-AVERAGE(Tab.o1[MOD])),"")</f>
        <v/>
      </c>
      <c r="AR291" s="134" t="str">
        <f>IF(Tab.o1[[#This Row],[a1]]=1,Tab.o1[[#This Row],[OBS]]/SUM(Tab.o1[OBS]),"")</f>
        <v/>
      </c>
      <c r="AS291" s="135" t="str">
        <f>IF(ISNUMBER(Tab.o1[[#This Row],[a1]]),ROW()-4,"")</f>
        <v/>
      </c>
      <c r="AT291" s="136" t="str">
        <f>Tab.o1[[#This Row],[MOD]]</f>
        <v/>
      </c>
      <c r="AU291" s="137" t="str">
        <f t="shared" si="17"/>
        <v/>
      </c>
      <c r="AV291" s="138" t="str">
        <f t="shared" si="18"/>
        <v/>
      </c>
      <c r="AW291" s="138" t="str">
        <f t="shared" si="19"/>
        <v/>
      </c>
      <c r="AX291" s="139" t="str">
        <f>[1]!T.in.A[[#This Row],[ID_T_manu]]</f>
        <v/>
      </c>
      <c r="AY291" s="140" t="str">
        <f>IF(ISNUMBER(Tab.o1[[#This Row],[a1]]),IF(AND(Tab.o1[[#This Row],[a1]]=1,Tab.o1[[#This Row],[b1]]&lt;=AY$4),#REF!,AY290),"")</f>
        <v/>
      </c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</row>
    <row r="292" spans="1:79" ht="15.75" hidden="1">
      <c r="A292" s="109">
        <v>-2.9999999999999997E-6</v>
      </c>
      <c r="B292" s="110">
        <f t="shared" si="16"/>
        <v>292</v>
      </c>
      <c r="C292" s="111" t="str">
        <f>IF(C$1=[1]!T.in.A[[#This Row],[oo2]],1,"")</f>
        <v/>
      </c>
      <c r="D292" s="112" t="str">
        <f>IF(Tab.o1[[#This Row],[a1]]=1,IF(SUM(C292:C293)=0,0,IF(SUM(C291:C292)=1,1,IF(SUM(C291:C293)&gt;1,D291+1,0))),"")</f>
        <v/>
      </c>
      <c r="E292" s="113" t="str">
        <f>IF(Tab.o1[[#This Row],[a1]]=1,[1]!T.in.A[[#This Row],[oo1]],"")</f>
        <v/>
      </c>
      <c r="F292" s="113" t="str">
        <f>IF(Tab.o1[[#This Row],[a1]]=1,[1]!T.in.A[[#This Row],[pp1]],"")</f>
        <v/>
      </c>
      <c r="G292" s="114" t="str">
        <f>IF(Tab.o1[[#This Row],[a1]]=1,G$2+IF(G$1=1,0,Tab.o1[[#This Row],[.x1]])+[1]!T.in.A[[#This Row],[oo3]],"")</f>
        <v/>
      </c>
      <c r="H292" s="115" t="str">
        <f>IF(Tab.o1[[#This Row],[a1]]=1,IF(H$2=0,0,IF(G$1=1,0,Tab.o1[[#This Row],[.x1]])+[1]!T.in.A[[#This Row],[oo4]]),"")</f>
        <v/>
      </c>
      <c r="I292" s="116" t="str">
        <f>IF(Tab.o1[[#This Row],[a1]]=1,IF(J$2=0,Tab.o1[[#This Row],[MED]],Tab.o1[[#This Row],[MOD]]),"")</f>
        <v/>
      </c>
      <c r="J292" s="116" t="str">
        <f>IF(Tab.o1[[#This Row],[a1]]=1,((Tab.o1[[#This Row],[DIF_Target.]]-AVERAGE(Tab.o1[DIF_Target.]))/_xlfn.STDEV.P(Tab.o1[DIF_Target.])),"")</f>
        <v/>
      </c>
      <c r="K292" s="117" t="str">
        <f>IF(Tab.o1[[#This Row],[a1]]=1,IF(J$2=0,Tab.o1[[#This Row],[MOD]]-Tab.o1[[#This Row],[B]],IF(J$2=1,0,-Tab.o1[[#This Row],[MED]])+Tab.o1[[#This Row],[B]]),"")</f>
        <v/>
      </c>
      <c r="L292" s="117" t="str">
        <f ca="1">IF(Tab.o1[[#This Row],[DIF_Target]]=0,IF(L$2=0,Tab.o1[[#This Row],[DIF_Target]],AVERAGE(OFFSET(Tab.o1[[#This Row],[DIF_Target]],1,0,L$3,1)))/3,Tab.o1[[#This Row],[DIF_Target]])</f>
        <v/>
      </c>
      <c r="M292" s="118" t="str">
        <f>IF(Tab.o1[[#This Row],[a1]]=1,NORMSDIST(Tab.o1[[#This Row],[Za]]),"")</f>
        <v/>
      </c>
      <c r="N292" s="119" t="str">
        <f>IF(Tab.o1[[#This Row],[a1]]=1,((Tab.o1[[#This Row],[MedMod]]-AVERAGE(Tab.o1[MedMod]))/_xlfn.STDEV.P(Tab.o1[MedMod])*H$1205)+G$1205,"")</f>
        <v/>
      </c>
      <c r="O292" s="141" t="str">
        <f>IF(Tab.o1[[#This Row],[a1]]=1,Tab.o1[[#This Row],[Zb]]*_xlfn.STDEV.P(Tab.o1[MedMod])+AVERAGE(Tab.o1[MedMod]),"")</f>
        <v/>
      </c>
      <c r="P292" s="117" t="str">
        <f ca="1">IF(Tab.o1[[#This Row],[B]]=0,AVERAGE(OFFSET(Tab.o1[[#This Row],[B]],1,0,L$3,1)),Tab.o1[[#This Row],[B]])</f>
        <v/>
      </c>
      <c r="Q292" s="121" t="str">
        <f>IF(Tab.o1[[#This Row],[a1]]=1,NORMSDIST(Tab.o1[[#This Row],[Zb]]),"")</f>
        <v/>
      </c>
      <c r="R292" s="122" t="str">
        <f>IF(Tab.o1[[#This Row],[a1]]=1,((Tab.o1[[#This Row],[MedMod]]-AVERAGE(Tab.o1[MedMod]))/_xlfn.STDEV.P(Tab.o1[MedMod])*H$1203)+G$1203,"")</f>
        <v/>
      </c>
      <c r="S292" s="122" t="str">
        <f>IF(Tab.o1[[#This Row],[a1]]=1,((Tab.o1[[#This Row],[MedMod]]-AVERAGE(Tab.o1[MedMod]))/_xlfn.STDEV.P(Tab.o1[MedMod])*H$1204)+G$1204,"")</f>
        <v/>
      </c>
      <c r="T292" s="123" t="str">
        <f>IF(Tab.o1[[#This Row],[a1]]=1,Tab.o1[[#This Row],[Z-]]*_xlfn.STDEV.P(Tab.o1[B])+AVERAGE(Tab.o1[B]),"")</f>
        <v/>
      </c>
      <c r="U292" s="123" t="str">
        <f>IF(Tab.o1[[#This Row],[a1]]=1,Tab.o1[[#This Row],[z+]]*_xlfn.STDEV.P(Tab.o1[B])+AVERAGE(Tab.o1[B]),"")</f>
        <v/>
      </c>
      <c r="V292" s="124" t="str">
        <f>IF(Tab.o1[[#This Row],[a1]]=1,ABS((ABS(Tab.o1[[#This Row],[Red]]-Tab.o1[[#This Row],[Blue]]))),"")</f>
        <v/>
      </c>
      <c r="W292" s="125" t="str">
        <f>IF(Tab.o1[[#This Row],[a1]]=1,IF(W$3=0,1,Tab.o1[[#This Row],[Amp.]]*1/_xlfn.MINIFS(Tab.o1[Amp.],Tab.o1[Amp.],"&lt;&gt;0")),"")</f>
        <v/>
      </c>
      <c r="X292" s="126" t="str">
        <f>IF(Tab.o1[[#This Row],[a1]]=1,IF(ISNUMBER(Tab.o1[[#This Row],[i.]]),NORMDIST(Tab.o1[[#This Row],[Za]],0,1,FALSE)*Tab.o1[[#This Row],[i.]],AP$3),"")</f>
        <v/>
      </c>
      <c r="Y292" s="126" t="str">
        <f>IF(Tab.o1[[#This Row],[a1]]=1,0.01+0.94*Tab.o1[[#This Row],[PDF]]/MAX(Tab.o1[PDF]),"")</f>
        <v/>
      </c>
      <c r="Z292" s="126" t="str">
        <f>IF(Tab.o1[[#This Row],[a1]]=1,0.01+0.94*Tab.o1[[#This Row],[W1_PDF]]/MAX(Tab.o1[W1_PDF]),"")</f>
        <v/>
      </c>
      <c r="AA292" s="118" t="str">
        <f>IF(Tab.o1[[#This Row],[a1]]=1,ABS([1]!T.in.A[[#This Row],[oo6]]),"")</f>
        <v/>
      </c>
      <c r="AB292" s="127" t="str">
        <f>IF(Tab.o1[[#This Row],[a1]]=1,IF(AE$3=0,"",IF(AB$3=0,ABS([1]!T.in.A[[#This Row],[oo9]]),ABS(Tab.o1[[#This Row],[DIF_Target.]]*Tab.o1[[#This Row],[W1_PDF]]))),"")</f>
        <v/>
      </c>
      <c r="AC292" s="127" t="str">
        <f>IF(G$1=1,"",IF(Tab.o1[[#This Row],[a1]]=1,Tab.o1[[#This Row],[Wr]]^2,""))</f>
        <v/>
      </c>
      <c r="AD292" s="118" t="str">
        <f>IF(Tab.o1[[#This Row],[a1]]=1,IF(AE$3=0,"",Tab.o1[[#This Row],[Wr2]]/SUM(Tab.o1[Wr2])),"")</f>
        <v/>
      </c>
      <c r="AE292" s="128" t="str">
        <f>IF(Tab.o1[[#This Row],[a1]]=1,[1]!T.in.A[[#This Row],[oo10]],"")</f>
        <v/>
      </c>
      <c r="AF292" s="118" t="str">
        <f>IF(Tab.o1[[#This Row],[a1]]=1,ABS(Tab.o1[[#This Row],[DIF_Target.]]*Tab.o1[[#This Row],[PDF2]]*Tab.o1[[#This Row],[IN]]),"")</f>
        <v/>
      </c>
      <c r="AG292" s="129" t="str">
        <f>IF(Tab.o1[[#This Row],[a1]]=1,Tab.o1[[#This Row],[rW]]^2,"")</f>
        <v/>
      </c>
      <c r="AH292" s="130" t="str">
        <f>IF(Tab.o1[[#This Row],[a1]]=1,IF(AH$3=0,Tab.o1[[#This Row],[rW2]],0.01+0.94*Tab.o1[[#This Row],[rW2]]/SUM(Tab.o1[rW2])),"")</f>
        <v/>
      </c>
      <c r="AI292" s="128" t="str">
        <f>IF(Tab.o1[[#This Row],[a1]]=1,1/Tab.o1[[#This Row],[PDF]],"")</f>
        <v/>
      </c>
      <c r="AJ292" s="131" t="str">
        <f>IF(Tab.o1[[#This Row],[a1]]=1,[1]!T_AA[[#This Row],[IN'']]*[1]!T_AA[[#This Row],[Qde'']],"")</f>
        <v/>
      </c>
      <c r="AK292" s="132" t="str">
        <f>IF(Tab.o1[[#This Row],[a1]]=1,IF(AK$1=1,Tab.o1[[#This Row],[MED]]+Tab.o1[[#This Row],[MOD]]-Tab.o1[[#This Row],[MED]],""),"")</f>
        <v/>
      </c>
      <c r="AL292" s="133" t="str">
        <f>IF(Tab.o1[[#This Row],[a1]]=1,[1]!T.in.A[[#This Row],[oo16]],"")</f>
        <v/>
      </c>
      <c r="AM292" s="133" t="str">
        <f>IF(Tab.o1[[#This Row],[a1]]=1,IF(AM$3=1,[1]!T.in.A[[#This Row],[Σo16]],""),"")</f>
        <v/>
      </c>
      <c r="AN292" s="126" t="str">
        <f>IF(Tab.o1[[#This Row],[a1]]=1,[1]!T.in.A[[#This Row],[Σp5]],"")</f>
        <v/>
      </c>
      <c r="AO292" s="126" t="str">
        <f>IF(Tab.o1[[#This Row],[a1]]=1,IF(AO$3=1,[1]!T.in.A[[#This Row],[Σp5]],""),"")</f>
        <v/>
      </c>
      <c r="AP292" s="110" t="str">
        <f>IF(Tab.o1[[#This Row],[a1]]=1,IF(ISNUMBER(Tab.o1[[#This Row],[i.]]),NORMDIST(Tab.o1[[#This Row],[Za]],0,1,FALSE)*Tab.o1[[#This Row],[i.]],0),"")</f>
        <v/>
      </c>
      <c r="AQ292" s="125" t="str">
        <f>IF(Tab.o1[[#This Row],[a1]]=1,ABS(Tab.o1[[#This Row],[MOD]]-AVERAGE(Tab.o1[MOD])),"")</f>
        <v/>
      </c>
      <c r="AR292" s="134" t="str">
        <f>IF(Tab.o1[[#This Row],[a1]]=1,Tab.o1[[#This Row],[OBS]]/SUM(Tab.o1[OBS]),"")</f>
        <v/>
      </c>
      <c r="AS292" s="135" t="str">
        <f>IF(ISNUMBER(Tab.o1[[#This Row],[a1]]),ROW()-4,"")</f>
        <v/>
      </c>
      <c r="AT292" s="136" t="str">
        <f>Tab.o1[[#This Row],[MOD]]</f>
        <v/>
      </c>
      <c r="AU292" s="137" t="str">
        <f t="shared" si="17"/>
        <v/>
      </c>
      <c r="AV292" s="138" t="str">
        <f t="shared" si="18"/>
        <v/>
      </c>
      <c r="AW292" s="138" t="str">
        <f t="shared" si="19"/>
        <v/>
      </c>
      <c r="AX292" s="139" t="str">
        <f>[1]!T.in.A[[#This Row],[ID_T_manu]]</f>
        <v/>
      </c>
      <c r="AY292" s="140" t="str">
        <f>IF(ISNUMBER(Tab.o1[[#This Row],[a1]]),IF(AND(Tab.o1[[#This Row],[a1]]=1,Tab.o1[[#This Row],[b1]]&lt;=AY$4),#REF!,AY291),"")</f>
        <v/>
      </c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</row>
    <row r="293" spans="1:79" ht="15.75" hidden="1">
      <c r="A293" s="109">
        <v>-5.9999999999999993E-6</v>
      </c>
      <c r="B293" s="110">
        <f t="shared" si="16"/>
        <v>293</v>
      </c>
      <c r="C293" s="111" t="str">
        <f>IF(C$1=[1]!T.in.A[[#This Row],[oo2]],1,"")</f>
        <v/>
      </c>
      <c r="D293" s="112" t="str">
        <f>IF(Tab.o1[[#This Row],[a1]]=1,IF(SUM(C293:C294)=0,0,IF(SUM(C292:C293)=1,1,IF(SUM(C292:C294)&gt;1,D292+1,0))),"")</f>
        <v/>
      </c>
      <c r="E293" s="113" t="str">
        <f>IF(Tab.o1[[#This Row],[a1]]=1,[1]!T.in.A[[#This Row],[oo1]],"")</f>
        <v/>
      </c>
      <c r="F293" s="113" t="str">
        <f>IF(Tab.o1[[#This Row],[a1]]=1,[1]!T.in.A[[#This Row],[pp1]],"")</f>
        <v/>
      </c>
      <c r="G293" s="114" t="str">
        <f>IF(Tab.o1[[#This Row],[a1]]=1,G$2+IF(G$1=1,0,Tab.o1[[#This Row],[.x1]])+[1]!T.in.A[[#This Row],[oo3]],"")</f>
        <v/>
      </c>
      <c r="H293" s="115" t="str">
        <f>IF(Tab.o1[[#This Row],[a1]]=1,IF(H$2=0,0,IF(G$1=1,0,Tab.o1[[#This Row],[.x1]])+[1]!T.in.A[[#This Row],[oo4]]),"")</f>
        <v/>
      </c>
      <c r="I293" s="116" t="str">
        <f>IF(Tab.o1[[#This Row],[a1]]=1,IF(J$2=0,Tab.o1[[#This Row],[MED]],Tab.o1[[#This Row],[MOD]]),"")</f>
        <v/>
      </c>
      <c r="J293" s="116" t="str">
        <f>IF(Tab.o1[[#This Row],[a1]]=1,((Tab.o1[[#This Row],[DIF_Target.]]-AVERAGE(Tab.o1[DIF_Target.]))/_xlfn.STDEV.P(Tab.o1[DIF_Target.])),"")</f>
        <v/>
      </c>
      <c r="K293" s="117" t="str">
        <f>IF(Tab.o1[[#This Row],[a1]]=1,IF(J$2=0,Tab.o1[[#This Row],[MOD]]-Tab.o1[[#This Row],[B]],IF(J$2=1,0,-Tab.o1[[#This Row],[MED]])+Tab.o1[[#This Row],[B]]),"")</f>
        <v/>
      </c>
      <c r="L293" s="117" t="str">
        <f ca="1">IF(Tab.o1[[#This Row],[DIF_Target]]=0,IF(L$2=0,Tab.o1[[#This Row],[DIF_Target]],AVERAGE(OFFSET(Tab.o1[[#This Row],[DIF_Target]],1,0,L$3,1)))/3,Tab.o1[[#This Row],[DIF_Target]])</f>
        <v/>
      </c>
      <c r="M293" s="118" t="str">
        <f>IF(Tab.o1[[#This Row],[a1]]=1,NORMSDIST(Tab.o1[[#This Row],[Za]]),"")</f>
        <v/>
      </c>
      <c r="N293" s="119" t="str">
        <f>IF(Tab.o1[[#This Row],[a1]]=1,((Tab.o1[[#This Row],[MedMod]]-AVERAGE(Tab.o1[MedMod]))/_xlfn.STDEV.P(Tab.o1[MedMod])*H$1205)+G$1205,"")</f>
        <v/>
      </c>
      <c r="O293" s="141" t="str">
        <f>IF(Tab.o1[[#This Row],[a1]]=1,Tab.o1[[#This Row],[Zb]]*_xlfn.STDEV.P(Tab.o1[MedMod])+AVERAGE(Tab.o1[MedMod]),"")</f>
        <v/>
      </c>
      <c r="P293" s="117" t="str">
        <f ca="1">IF(Tab.o1[[#This Row],[B]]=0,AVERAGE(OFFSET(Tab.o1[[#This Row],[B]],1,0,L$3,1)),Tab.o1[[#This Row],[B]])</f>
        <v/>
      </c>
      <c r="Q293" s="121" t="str">
        <f>IF(Tab.o1[[#This Row],[a1]]=1,NORMSDIST(Tab.o1[[#This Row],[Zb]]),"")</f>
        <v/>
      </c>
      <c r="R293" s="122" t="str">
        <f>IF(Tab.o1[[#This Row],[a1]]=1,((Tab.o1[[#This Row],[MedMod]]-AVERAGE(Tab.o1[MedMod]))/_xlfn.STDEV.P(Tab.o1[MedMod])*H$1203)+G$1203,"")</f>
        <v/>
      </c>
      <c r="S293" s="122" t="str">
        <f>IF(Tab.o1[[#This Row],[a1]]=1,((Tab.o1[[#This Row],[MedMod]]-AVERAGE(Tab.o1[MedMod]))/_xlfn.STDEV.P(Tab.o1[MedMod])*H$1204)+G$1204,"")</f>
        <v/>
      </c>
      <c r="T293" s="123" t="str">
        <f>IF(Tab.o1[[#This Row],[a1]]=1,Tab.o1[[#This Row],[Z-]]*_xlfn.STDEV.P(Tab.o1[B])+AVERAGE(Tab.o1[B]),"")</f>
        <v/>
      </c>
      <c r="U293" s="123" t="str">
        <f>IF(Tab.o1[[#This Row],[a1]]=1,Tab.o1[[#This Row],[z+]]*_xlfn.STDEV.P(Tab.o1[B])+AVERAGE(Tab.o1[B]),"")</f>
        <v/>
      </c>
      <c r="V293" s="124" t="str">
        <f>IF(Tab.o1[[#This Row],[a1]]=1,ABS((ABS(Tab.o1[[#This Row],[Red]]-Tab.o1[[#This Row],[Blue]]))),"")</f>
        <v/>
      </c>
      <c r="W293" s="125" t="str">
        <f>IF(Tab.o1[[#This Row],[a1]]=1,IF(W$3=0,1,Tab.o1[[#This Row],[Amp.]]*1/_xlfn.MINIFS(Tab.o1[Amp.],Tab.o1[Amp.],"&lt;&gt;0")),"")</f>
        <v/>
      </c>
      <c r="X293" s="126" t="str">
        <f>IF(Tab.o1[[#This Row],[a1]]=1,IF(ISNUMBER(Tab.o1[[#This Row],[i.]]),NORMDIST(Tab.o1[[#This Row],[Za]],0,1,FALSE)*Tab.o1[[#This Row],[i.]],AP$3),"")</f>
        <v/>
      </c>
      <c r="Y293" s="126" t="str">
        <f>IF(Tab.o1[[#This Row],[a1]]=1,0.01+0.94*Tab.o1[[#This Row],[PDF]]/MAX(Tab.o1[PDF]),"")</f>
        <v/>
      </c>
      <c r="Z293" s="126" t="str">
        <f>IF(Tab.o1[[#This Row],[a1]]=1,0.01+0.94*Tab.o1[[#This Row],[W1_PDF]]/MAX(Tab.o1[W1_PDF]),"")</f>
        <v/>
      </c>
      <c r="AA293" s="118" t="str">
        <f>IF(Tab.o1[[#This Row],[a1]]=1,ABS([1]!T.in.A[[#This Row],[oo6]]),"")</f>
        <v/>
      </c>
      <c r="AB293" s="127" t="str">
        <f>IF(Tab.o1[[#This Row],[a1]]=1,IF(AE$3=0,"",IF(AB$3=0,ABS([1]!T.in.A[[#This Row],[oo9]]),ABS(Tab.o1[[#This Row],[DIF_Target.]]*Tab.o1[[#This Row],[W1_PDF]]))),"")</f>
        <v/>
      </c>
      <c r="AC293" s="127" t="str">
        <f>IF(G$1=1,"",IF(Tab.o1[[#This Row],[a1]]=1,Tab.o1[[#This Row],[Wr]]^2,""))</f>
        <v/>
      </c>
      <c r="AD293" s="118" t="str">
        <f>IF(Tab.o1[[#This Row],[a1]]=1,IF(AE$3=0,"",Tab.o1[[#This Row],[Wr2]]/SUM(Tab.o1[Wr2])),"")</f>
        <v/>
      </c>
      <c r="AE293" s="128" t="str">
        <f>IF(Tab.o1[[#This Row],[a1]]=1,[1]!T.in.A[[#This Row],[oo10]],"")</f>
        <v/>
      </c>
      <c r="AF293" s="118" t="str">
        <f>IF(Tab.o1[[#This Row],[a1]]=1,ABS(Tab.o1[[#This Row],[DIF_Target.]]*Tab.o1[[#This Row],[PDF2]]*Tab.o1[[#This Row],[IN]]),"")</f>
        <v/>
      </c>
      <c r="AG293" s="129" t="str">
        <f>IF(Tab.o1[[#This Row],[a1]]=1,Tab.o1[[#This Row],[rW]]^2,"")</f>
        <v/>
      </c>
      <c r="AH293" s="130" t="str">
        <f>IF(Tab.o1[[#This Row],[a1]]=1,IF(AH$3=0,Tab.o1[[#This Row],[rW2]],0.01+0.94*Tab.o1[[#This Row],[rW2]]/SUM(Tab.o1[rW2])),"")</f>
        <v/>
      </c>
      <c r="AI293" s="128" t="str">
        <f>IF(Tab.o1[[#This Row],[a1]]=1,1/Tab.o1[[#This Row],[PDF]],"")</f>
        <v/>
      </c>
      <c r="AJ293" s="131" t="str">
        <f>IF(Tab.o1[[#This Row],[a1]]=1,[1]!T_AA[[#This Row],[IN'']]*[1]!T_AA[[#This Row],[Qde'']],"")</f>
        <v/>
      </c>
      <c r="AK293" s="132" t="str">
        <f>IF(Tab.o1[[#This Row],[a1]]=1,IF(AK$1=1,Tab.o1[[#This Row],[MED]]+Tab.o1[[#This Row],[MOD]]-Tab.o1[[#This Row],[MED]],""),"")</f>
        <v/>
      </c>
      <c r="AL293" s="133" t="str">
        <f>IF(Tab.o1[[#This Row],[a1]]=1,[1]!T.in.A[[#This Row],[oo16]],"")</f>
        <v/>
      </c>
      <c r="AM293" s="133" t="str">
        <f>IF(Tab.o1[[#This Row],[a1]]=1,IF(AM$3=1,[1]!T.in.A[[#This Row],[Σo16]],""),"")</f>
        <v/>
      </c>
      <c r="AN293" s="126" t="str">
        <f>IF(Tab.o1[[#This Row],[a1]]=1,[1]!T.in.A[[#This Row],[Σp5]],"")</f>
        <v/>
      </c>
      <c r="AO293" s="126" t="str">
        <f>IF(Tab.o1[[#This Row],[a1]]=1,IF(AO$3=1,[1]!T.in.A[[#This Row],[Σp5]],""),"")</f>
        <v/>
      </c>
      <c r="AP293" s="110" t="str">
        <f>IF(Tab.o1[[#This Row],[a1]]=1,IF(ISNUMBER(Tab.o1[[#This Row],[i.]]),NORMDIST(Tab.o1[[#This Row],[Za]],0,1,FALSE)*Tab.o1[[#This Row],[i.]],0),"")</f>
        <v/>
      </c>
      <c r="AQ293" s="125" t="str">
        <f>IF(Tab.o1[[#This Row],[a1]]=1,ABS(Tab.o1[[#This Row],[MOD]]-AVERAGE(Tab.o1[MOD])),"")</f>
        <v/>
      </c>
      <c r="AR293" s="134" t="str">
        <f>IF(Tab.o1[[#This Row],[a1]]=1,Tab.o1[[#This Row],[OBS]]/SUM(Tab.o1[OBS]),"")</f>
        <v/>
      </c>
      <c r="AS293" s="135" t="str">
        <f>IF(ISNUMBER(Tab.o1[[#This Row],[a1]]),ROW()-4,"")</f>
        <v/>
      </c>
      <c r="AT293" s="136" t="str">
        <f>Tab.o1[[#This Row],[MOD]]</f>
        <v/>
      </c>
      <c r="AU293" s="137" t="str">
        <f t="shared" si="17"/>
        <v/>
      </c>
      <c r="AV293" s="138" t="str">
        <f t="shared" si="18"/>
        <v/>
      </c>
      <c r="AW293" s="138" t="str">
        <f t="shared" si="19"/>
        <v/>
      </c>
      <c r="AX293" s="139" t="str">
        <f>[1]!T.in.A[[#This Row],[ID_T_manu]]</f>
        <v/>
      </c>
      <c r="AY293" s="140" t="str">
        <f>IF(ISNUMBER(Tab.o1[[#This Row],[a1]]),IF(AND(Tab.o1[[#This Row],[a1]]=1,Tab.o1[[#This Row],[b1]]&lt;=AY$4),#REF!,AY292),"")</f>
        <v/>
      </c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</row>
    <row r="294" spans="1:79" ht="15.75" hidden="1">
      <c r="A294" s="109">
        <v>5.9999999999999993E-6</v>
      </c>
      <c r="B294" s="110">
        <f t="shared" si="16"/>
        <v>294</v>
      </c>
      <c r="C294" s="111" t="str">
        <f>IF(C$1=[1]!T.in.A[[#This Row],[oo2]],1,"")</f>
        <v/>
      </c>
      <c r="D294" s="112" t="str">
        <f>IF(Tab.o1[[#This Row],[a1]]=1,IF(SUM(C294:C295)=0,0,IF(SUM(C293:C294)=1,1,IF(SUM(C293:C295)&gt;1,D293+1,0))),"")</f>
        <v/>
      </c>
      <c r="E294" s="113" t="str">
        <f>IF(Tab.o1[[#This Row],[a1]]=1,[1]!T.in.A[[#This Row],[oo1]],"")</f>
        <v/>
      </c>
      <c r="F294" s="113" t="str">
        <f>IF(Tab.o1[[#This Row],[a1]]=1,[1]!T.in.A[[#This Row],[pp1]],"")</f>
        <v/>
      </c>
      <c r="G294" s="114" t="str">
        <f>IF(Tab.o1[[#This Row],[a1]]=1,G$2+IF(G$1=1,0,Tab.o1[[#This Row],[.x1]])+[1]!T.in.A[[#This Row],[oo3]],"")</f>
        <v/>
      </c>
      <c r="H294" s="115" t="str">
        <f>IF(Tab.o1[[#This Row],[a1]]=1,IF(H$2=0,0,IF(G$1=1,0,Tab.o1[[#This Row],[.x1]])+[1]!T.in.A[[#This Row],[oo4]]),"")</f>
        <v/>
      </c>
      <c r="I294" s="116" t="str">
        <f>IF(Tab.o1[[#This Row],[a1]]=1,IF(J$2=0,Tab.o1[[#This Row],[MED]],Tab.o1[[#This Row],[MOD]]),"")</f>
        <v/>
      </c>
      <c r="J294" s="116" t="str">
        <f>IF(Tab.o1[[#This Row],[a1]]=1,((Tab.o1[[#This Row],[DIF_Target.]]-AVERAGE(Tab.o1[DIF_Target.]))/_xlfn.STDEV.P(Tab.o1[DIF_Target.])),"")</f>
        <v/>
      </c>
      <c r="K294" s="117" t="str">
        <f>IF(Tab.o1[[#This Row],[a1]]=1,IF(J$2=0,Tab.o1[[#This Row],[MOD]]-Tab.o1[[#This Row],[B]],IF(J$2=1,0,-Tab.o1[[#This Row],[MED]])+Tab.o1[[#This Row],[B]]),"")</f>
        <v/>
      </c>
      <c r="L294" s="117" t="str">
        <f ca="1">IF(Tab.o1[[#This Row],[DIF_Target]]=0,IF(L$2=0,Tab.o1[[#This Row],[DIF_Target]],AVERAGE(OFFSET(Tab.o1[[#This Row],[DIF_Target]],1,0,L$3,1)))/3,Tab.o1[[#This Row],[DIF_Target]])</f>
        <v/>
      </c>
      <c r="M294" s="118" t="str">
        <f>IF(Tab.o1[[#This Row],[a1]]=1,NORMSDIST(Tab.o1[[#This Row],[Za]]),"")</f>
        <v/>
      </c>
      <c r="N294" s="119" t="str">
        <f>IF(Tab.o1[[#This Row],[a1]]=1,((Tab.o1[[#This Row],[MedMod]]-AVERAGE(Tab.o1[MedMod]))/_xlfn.STDEV.P(Tab.o1[MedMod])*H$1205)+G$1205,"")</f>
        <v/>
      </c>
      <c r="O294" s="141" t="str">
        <f>IF(Tab.o1[[#This Row],[a1]]=1,Tab.o1[[#This Row],[Zb]]*_xlfn.STDEV.P(Tab.o1[MedMod])+AVERAGE(Tab.o1[MedMod]),"")</f>
        <v/>
      </c>
      <c r="P294" s="117" t="str">
        <f ca="1">IF(Tab.o1[[#This Row],[B]]=0,AVERAGE(OFFSET(Tab.o1[[#This Row],[B]],1,0,L$3,1)),Tab.o1[[#This Row],[B]])</f>
        <v/>
      </c>
      <c r="Q294" s="121" t="str">
        <f>IF(Tab.o1[[#This Row],[a1]]=1,NORMSDIST(Tab.o1[[#This Row],[Zb]]),"")</f>
        <v/>
      </c>
      <c r="R294" s="122" t="str">
        <f>IF(Tab.o1[[#This Row],[a1]]=1,((Tab.o1[[#This Row],[MedMod]]-AVERAGE(Tab.o1[MedMod]))/_xlfn.STDEV.P(Tab.o1[MedMod])*H$1203)+G$1203,"")</f>
        <v/>
      </c>
      <c r="S294" s="122" t="str">
        <f>IF(Tab.o1[[#This Row],[a1]]=1,((Tab.o1[[#This Row],[MedMod]]-AVERAGE(Tab.o1[MedMod]))/_xlfn.STDEV.P(Tab.o1[MedMod])*H$1204)+G$1204,"")</f>
        <v/>
      </c>
      <c r="T294" s="123" t="str">
        <f>IF(Tab.o1[[#This Row],[a1]]=1,Tab.o1[[#This Row],[Z-]]*_xlfn.STDEV.P(Tab.o1[B])+AVERAGE(Tab.o1[B]),"")</f>
        <v/>
      </c>
      <c r="U294" s="123" t="str">
        <f>IF(Tab.o1[[#This Row],[a1]]=1,Tab.o1[[#This Row],[z+]]*_xlfn.STDEV.P(Tab.o1[B])+AVERAGE(Tab.o1[B]),"")</f>
        <v/>
      </c>
      <c r="V294" s="124" t="str">
        <f>IF(Tab.o1[[#This Row],[a1]]=1,ABS((ABS(Tab.o1[[#This Row],[Red]]-Tab.o1[[#This Row],[Blue]]))),"")</f>
        <v/>
      </c>
      <c r="W294" s="125" t="str">
        <f>IF(Tab.o1[[#This Row],[a1]]=1,IF(W$3=0,1,Tab.o1[[#This Row],[Amp.]]*1/_xlfn.MINIFS(Tab.o1[Amp.],Tab.o1[Amp.],"&lt;&gt;0")),"")</f>
        <v/>
      </c>
      <c r="X294" s="126" t="str">
        <f>IF(Tab.o1[[#This Row],[a1]]=1,IF(ISNUMBER(Tab.o1[[#This Row],[i.]]),NORMDIST(Tab.o1[[#This Row],[Za]],0,1,FALSE)*Tab.o1[[#This Row],[i.]],AP$3),"")</f>
        <v/>
      </c>
      <c r="Y294" s="126" t="str">
        <f>IF(Tab.o1[[#This Row],[a1]]=1,0.01+0.94*Tab.o1[[#This Row],[PDF]]/MAX(Tab.o1[PDF]),"")</f>
        <v/>
      </c>
      <c r="Z294" s="126" t="str">
        <f>IF(Tab.o1[[#This Row],[a1]]=1,0.01+0.94*Tab.o1[[#This Row],[W1_PDF]]/MAX(Tab.o1[W1_PDF]),"")</f>
        <v/>
      </c>
      <c r="AA294" s="118" t="str">
        <f>IF(Tab.o1[[#This Row],[a1]]=1,ABS([1]!T.in.A[[#This Row],[oo6]]),"")</f>
        <v/>
      </c>
      <c r="AB294" s="127" t="str">
        <f>IF(Tab.o1[[#This Row],[a1]]=1,IF(AE$3=0,"",IF(AB$3=0,ABS([1]!T.in.A[[#This Row],[oo9]]),ABS(Tab.o1[[#This Row],[DIF_Target.]]*Tab.o1[[#This Row],[W1_PDF]]))),"")</f>
        <v/>
      </c>
      <c r="AC294" s="127" t="str">
        <f>IF(G$1=1,"",IF(Tab.o1[[#This Row],[a1]]=1,Tab.o1[[#This Row],[Wr]]^2,""))</f>
        <v/>
      </c>
      <c r="AD294" s="118" t="str">
        <f>IF(Tab.o1[[#This Row],[a1]]=1,IF(AE$3=0,"",Tab.o1[[#This Row],[Wr2]]/SUM(Tab.o1[Wr2])),"")</f>
        <v/>
      </c>
      <c r="AE294" s="128" t="str">
        <f>IF(Tab.o1[[#This Row],[a1]]=1,[1]!T.in.A[[#This Row],[oo10]],"")</f>
        <v/>
      </c>
      <c r="AF294" s="118" t="str">
        <f>IF(Tab.o1[[#This Row],[a1]]=1,ABS(Tab.o1[[#This Row],[DIF_Target.]]*Tab.o1[[#This Row],[PDF2]]*Tab.o1[[#This Row],[IN]]),"")</f>
        <v/>
      </c>
      <c r="AG294" s="129" t="str">
        <f>IF(Tab.o1[[#This Row],[a1]]=1,Tab.o1[[#This Row],[rW]]^2,"")</f>
        <v/>
      </c>
      <c r="AH294" s="130" t="str">
        <f>IF(Tab.o1[[#This Row],[a1]]=1,IF(AH$3=0,Tab.o1[[#This Row],[rW2]],0.01+0.94*Tab.o1[[#This Row],[rW2]]/SUM(Tab.o1[rW2])),"")</f>
        <v/>
      </c>
      <c r="AI294" s="128" t="str">
        <f>IF(Tab.o1[[#This Row],[a1]]=1,1/Tab.o1[[#This Row],[PDF]],"")</f>
        <v/>
      </c>
      <c r="AJ294" s="131" t="str">
        <f>IF(Tab.o1[[#This Row],[a1]]=1,[1]!T_AA[[#This Row],[IN'']]*[1]!T_AA[[#This Row],[Qde'']],"")</f>
        <v/>
      </c>
      <c r="AK294" s="132" t="str">
        <f>IF(Tab.o1[[#This Row],[a1]]=1,IF(AK$1=1,Tab.o1[[#This Row],[MED]]+Tab.o1[[#This Row],[MOD]]-Tab.o1[[#This Row],[MED]],""),"")</f>
        <v/>
      </c>
      <c r="AL294" s="133" t="str">
        <f>IF(Tab.o1[[#This Row],[a1]]=1,[1]!T.in.A[[#This Row],[oo16]],"")</f>
        <v/>
      </c>
      <c r="AM294" s="133" t="str">
        <f>IF(Tab.o1[[#This Row],[a1]]=1,IF(AM$3=1,[1]!T.in.A[[#This Row],[Σo16]],""),"")</f>
        <v/>
      </c>
      <c r="AN294" s="126" t="str">
        <f>IF(Tab.o1[[#This Row],[a1]]=1,[1]!T.in.A[[#This Row],[Σp5]],"")</f>
        <v/>
      </c>
      <c r="AO294" s="126" t="str">
        <f>IF(Tab.o1[[#This Row],[a1]]=1,IF(AO$3=1,[1]!T.in.A[[#This Row],[Σp5]],""),"")</f>
        <v/>
      </c>
      <c r="AP294" s="110" t="str">
        <f>IF(Tab.o1[[#This Row],[a1]]=1,IF(ISNUMBER(Tab.o1[[#This Row],[i.]]),NORMDIST(Tab.o1[[#This Row],[Za]],0,1,FALSE)*Tab.o1[[#This Row],[i.]],0),"")</f>
        <v/>
      </c>
      <c r="AQ294" s="125" t="str">
        <f>IF(Tab.o1[[#This Row],[a1]]=1,ABS(Tab.o1[[#This Row],[MOD]]-AVERAGE(Tab.o1[MOD])),"")</f>
        <v/>
      </c>
      <c r="AR294" s="134" t="str">
        <f>IF(Tab.o1[[#This Row],[a1]]=1,Tab.o1[[#This Row],[OBS]]/SUM(Tab.o1[OBS]),"")</f>
        <v/>
      </c>
      <c r="AS294" s="135" t="str">
        <f>IF(ISNUMBER(Tab.o1[[#This Row],[a1]]),ROW()-4,"")</f>
        <v/>
      </c>
      <c r="AT294" s="136" t="str">
        <f>Tab.o1[[#This Row],[MOD]]</f>
        <v/>
      </c>
      <c r="AU294" s="137" t="str">
        <f t="shared" si="17"/>
        <v/>
      </c>
      <c r="AV294" s="138" t="str">
        <f t="shared" si="18"/>
        <v/>
      </c>
      <c r="AW294" s="138" t="str">
        <f t="shared" si="19"/>
        <v/>
      </c>
      <c r="AX294" s="139" t="str">
        <f>[1]!T.in.A[[#This Row],[ID_T_manu]]</f>
        <v/>
      </c>
      <c r="AY294" s="140" t="str">
        <f>IF(ISNUMBER(Tab.o1[[#This Row],[a1]]),IF(AND(Tab.o1[[#This Row],[a1]]=1,Tab.o1[[#This Row],[b1]]&lt;=AY$4),#REF!,AY293),"")</f>
        <v/>
      </c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</row>
    <row r="295" spans="1:79" ht="15.75" hidden="1">
      <c r="A295" s="109">
        <v>9.0000000000000002E-6</v>
      </c>
      <c r="B295" s="110">
        <f t="shared" si="16"/>
        <v>295</v>
      </c>
      <c r="C295" s="111" t="str">
        <f>IF(C$1=[1]!T.in.A[[#This Row],[oo2]],1,"")</f>
        <v/>
      </c>
      <c r="D295" s="112" t="str">
        <f>IF(Tab.o1[[#This Row],[a1]]=1,IF(SUM(C295:C296)=0,0,IF(SUM(C294:C295)=1,1,IF(SUM(C294:C296)&gt;1,D294+1,0))),"")</f>
        <v/>
      </c>
      <c r="E295" s="113" t="str">
        <f>IF(Tab.o1[[#This Row],[a1]]=1,[1]!T.in.A[[#This Row],[oo1]],"")</f>
        <v/>
      </c>
      <c r="F295" s="113" t="str">
        <f>IF(Tab.o1[[#This Row],[a1]]=1,[1]!T.in.A[[#This Row],[pp1]],"")</f>
        <v/>
      </c>
      <c r="G295" s="114" t="str">
        <f>IF(Tab.o1[[#This Row],[a1]]=1,G$2+IF(G$1=1,0,Tab.o1[[#This Row],[.x1]])+[1]!T.in.A[[#This Row],[oo3]],"")</f>
        <v/>
      </c>
      <c r="H295" s="115" t="str">
        <f>IF(Tab.o1[[#This Row],[a1]]=1,IF(H$2=0,0,IF(G$1=1,0,Tab.o1[[#This Row],[.x1]])+[1]!T.in.A[[#This Row],[oo4]]),"")</f>
        <v/>
      </c>
      <c r="I295" s="116" t="str">
        <f>IF(Tab.o1[[#This Row],[a1]]=1,IF(J$2=0,Tab.o1[[#This Row],[MED]],Tab.o1[[#This Row],[MOD]]),"")</f>
        <v/>
      </c>
      <c r="J295" s="116" t="str">
        <f>IF(Tab.o1[[#This Row],[a1]]=1,((Tab.o1[[#This Row],[DIF_Target.]]-AVERAGE(Tab.o1[DIF_Target.]))/_xlfn.STDEV.P(Tab.o1[DIF_Target.])),"")</f>
        <v/>
      </c>
      <c r="K295" s="117" t="str">
        <f>IF(Tab.o1[[#This Row],[a1]]=1,IF(J$2=0,Tab.o1[[#This Row],[MOD]]-Tab.o1[[#This Row],[B]],IF(J$2=1,0,-Tab.o1[[#This Row],[MED]])+Tab.o1[[#This Row],[B]]),"")</f>
        <v/>
      </c>
      <c r="L295" s="117" t="str">
        <f ca="1">IF(Tab.o1[[#This Row],[DIF_Target]]=0,IF(L$2=0,Tab.o1[[#This Row],[DIF_Target]],AVERAGE(OFFSET(Tab.o1[[#This Row],[DIF_Target]],1,0,L$3,1)))/3,Tab.o1[[#This Row],[DIF_Target]])</f>
        <v/>
      </c>
      <c r="M295" s="118" t="str">
        <f>IF(Tab.o1[[#This Row],[a1]]=1,NORMSDIST(Tab.o1[[#This Row],[Za]]),"")</f>
        <v/>
      </c>
      <c r="N295" s="119" t="str">
        <f>IF(Tab.o1[[#This Row],[a1]]=1,((Tab.o1[[#This Row],[MedMod]]-AVERAGE(Tab.o1[MedMod]))/_xlfn.STDEV.P(Tab.o1[MedMod])*H$1205)+G$1205,"")</f>
        <v/>
      </c>
      <c r="O295" s="141" t="str">
        <f>IF(Tab.o1[[#This Row],[a1]]=1,Tab.o1[[#This Row],[Zb]]*_xlfn.STDEV.P(Tab.o1[MedMod])+AVERAGE(Tab.o1[MedMod]),"")</f>
        <v/>
      </c>
      <c r="P295" s="117" t="str">
        <f ca="1">IF(Tab.o1[[#This Row],[B]]=0,AVERAGE(OFFSET(Tab.o1[[#This Row],[B]],1,0,L$3,1)),Tab.o1[[#This Row],[B]])</f>
        <v/>
      </c>
      <c r="Q295" s="121" t="str">
        <f>IF(Tab.o1[[#This Row],[a1]]=1,NORMSDIST(Tab.o1[[#This Row],[Zb]]),"")</f>
        <v/>
      </c>
      <c r="R295" s="122" t="str">
        <f>IF(Tab.o1[[#This Row],[a1]]=1,((Tab.o1[[#This Row],[MedMod]]-AVERAGE(Tab.o1[MedMod]))/_xlfn.STDEV.P(Tab.o1[MedMod])*H$1203)+G$1203,"")</f>
        <v/>
      </c>
      <c r="S295" s="122" t="str">
        <f>IF(Tab.o1[[#This Row],[a1]]=1,((Tab.o1[[#This Row],[MedMod]]-AVERAGE(Tab.o1[MedMod]))/_xlfn.STDEV.P(Tab.o1[MedMod])*H$1204)+G$1204,"")</f>
        <v/>
      </c>
      <c r="T295" s="123" t="str">
        <f>IF(Tab.o1[[#This Row],[a1]]=1,Tab.o1[[#This Row],[Z-]]*_xlfn.STDEV.P(Tab.o1[B])+AVERAGE(Tab.o1[B]),"")</f>
        <v/>
      </c>
      <c r="U295" s="123" t="str">
        <f>IF(Tab.o1[[#This Row],[a1]]=1,Tab.o1[[#This Row],[z+]]*_xlfn.STDEV.P(Tab.o1[B])+AVERAGE(Tab.o1[B]),"")</f>
        <v/>
      </c>
      <c r="V295" s="124" t="str">
        <f>IF(Tab.o1[[#This Row],[a1]]=1,ABS((ABS(Tab.o1[[#This Row],[Red]]-Tab.o1[[#This Row],[Blue]]))),"")</f>
        <v/>
      </c>
      <c r="W295" s="125" t="str">
        <f>IF(Tab.o1[[#This Row],[a1]]=1,IF(W$3=0,1,Tab.o1[[#This Row],[Amp.]]*1/_xlfn.MINIFS(Tab.o1[Amp.],Tab.o1[Amp.],"&lt;&gt;0")),"")</f>
        <v/>
      </c>
      <c r="X295" s="126" t="str">
        <f>IF(Tab.o1[[#This Row],[a1]]=1,IF(ISNUMBER(Tab.o1[[#This Row],[i.]]),NORMDIST(Tab.o1[[#This Row],[Za]],0,1,FALSE)*Tab.o1[[#This Row],[i.]],AP$3),"")</f>
        <v/>
      </c>
      <c r="Y295" s="126" t="str">
        <f>IF(Tab.o1[[#This Row],[a1]]=1,0.01+0.94*Tab.o1[[#This Row],[PDF]]/MAX(Tab.o1[PDF]),"")</f>
        <v/>
      </c>
      <c r="Z295" s="126" t="str">
        <f>IF(Tab.o1[[#This Row],[a1]]=1,0.01+0.94*Tab.o1[[#This Row],[W1_PDF]]/MAX(Tab.o1[W1_PDF]),"")</f>
        <v/>
      </c>
      <c r="AA295" s="118" t="str">
        <f>IF(Tab.o1[[#This Row],[a1]]=1,ABS([1]!T.in.A[[#This Row],[oo6]]),"")</f>
        <v/>
      </c>
      <c r="AB295" s="127" t="str">
        <f>IF(Tab.o1[[#This Row],[a1]]=1,IF(AE$3=0,"",IF(AB$3=0,ABS([1]!T.in.A[[#This Row],[oo9]]),ABS(Tab.o1[[#This Row],[DIF_Target.]]*Tab.o1[[#This Row],[W1_PDF]]))),"")</f>
        <v/>
      </c>
      <c r="AC295" s="127" t="str">
        <f>IF(G$1=1,"",IF(Tab.o1[[#This Row],[a1]]=1,Tab.o1[[#This Row],[Wr]]^2,""))</f>
        <v/>
      </c>
      <c r="AD295" s="118" t="str">
        <f>IF(Tab.o1[[#This Row],[a1]]=1,IF(AE$3=0,"",Tab.o1[[#This Row],[Wr2]]/SUM(Tab.o1[Wr2])),"")</f>
        <v/>
      </c>
      <c r="AE295" s="128" t="str">
        <f>IF(Tab.o1[[#This Row],[a1]]=1,[1]!T.in.A[[#This Row],[oo10]],"")</f>
        <v/>
      </c>
      <c r="AF295" s="118" t="str">
        <f>IF(Tab.o1[[#This Row],[a1]]=1,ABS(Tab.o1[[#This Row],[DIF_Target.]]*Tab.o1[[#This Row],[PDF2]]*Tab.o1[[#This Row],[IN]]),"")</f>
        <v/>
      </c>
      <c r="AG295" s="129" t="str">
        <f>IF(Tab.o1[[#This Row],[a1]]=1,Tab.o1[[#This Row],[rW]]^2,"")</f>
        <v/>
      </c>
      <c r="AH295" s="130" t="str">
        <f>IF(Tab.o1[[#This Row],[a1]]=1,IF(AH$3=0,Tab.o1[[#This Row],[rW2]],0.01+0.94*Tab.o1[[#This Row],[rW2]]/SUM(Tab.o1[rW2])),"")</f>
        <v/>
      </c>
      <c r="AI295" s="128" t="str">
        <f>IF(Tab.o1[[#This Row],[a1]]=1,1/Tab.o1[[#This Row],[PDF]],"")</f>
        <v/>
      </c>
      <c r="AJ295" s="131" t="str">
        <f>IF(Tab.o1[[#This Row],[a1]]=1,[1]!T_AA[[#This Row],[IN'']]*[1]!T_AA[[#This Row],[Qde'']],"")</f>
        <v/>
      </c>
      <c r="AK295" s="132" t="str">
        <f>IF(Tab.o1[[#This Row],[a1]]=1,IF(AK$1=1,Tab.o1[[#This Row],[MED]]+Tab.o1[[#This Row],[MOD]]-Tab.o1[[#This Row],[MED]],""),"")</f>
        <v/>
      </c>
      <c r="AL295" s="133" t="str">
        <f>IF(Tab.o1[[#This Row],[a1]]=1,[1]!T.in.A[[#This Row],[oo16]],"")</f>
        <v/>
      </c>
      <c r="AM295" s="133" t="str">
        <f>IF(Tab.o1[[#This Row],[a1]]=1,IF(AM$3=1,[1]!T.in.A[[#This Row],[Σo16]],""),"")</f>
        <v/>
      </c>
      <c r="AN295" s="126" t="str">
        <f>IF(Tab.o1[[#This Row],[a1]]=1,[1]!T.in.A[[#This Row],[Σp5]],"")</f>
        <v/>
      </c>
      <c r="AO295" s="126" t="str">
        <f>IF(Tab.o1[[#This Row],[a1]]=1,IF(AO$3=1,[1]!T.in.A[[#This Row],[Σp5]],""),"")</f>
        <v/>
      </c>
      <c r="AP295" s="110" t="str">
        <f>IF(Tab.o1[[#This Row],[a1]]=1,IF(ISNUMBER(Tab.o1[[#This Row],[i.]]),NORMDIST(Tab.o1[[#This Row],[Za]],0,1,FALSE)*Tab.o1[[#This Row],[i.]],0),"")</f>
        <v/>
      </c>
      <c r="AQ295" s="125" t="str">
        <f>IF(Tab.o1[[#This Row],[a1]]=1,ABS(Tab.o1[[#This Row],[MOD]]-AVERAGE(Tab.o1[MOD])),"")</f>
        <v/>
      </c>
      <c r="AR295" s="134" t="str">
        <f>IF(Tab.o1[[#This Row],[a1]]=1,Tab.o1[[#This Row],[OBS]]/SUM(Tab.o1[OBS]),"")</f>
        <v/>
      </c>
      <c r="AS295" s="135" t="str">
        <f>IF(ISNUMBER(Tab.o1[[#This Row],[a1]]),ROW()-4,"")</f>
        <v/>
      </c>
      <c r="AT295" s="136" t="str">
        <f>Tab.o1[[#This Row],[MOD]]</f>
        <v/>
      </c>
      <c r="AU295" s="137" t="str">
        <f t="shared" si="17"/>
        <v/>
      </c>
      <c r="AV295" s="138" t="str">
        <f t="shared" si="18"/>
        <v/>
      </c>
      <c r="AW295" s="138" t="str">
        <f t="shared" si="19"/>
        <v/>
      </c>
      <c r="AX295" s="139" t="str">
        <f>[1]!T.in.A[[#This Row],[ID_T_manu]]</f>
        <v/>
      </c>
      <c r="AY295" s="140" t="str">
        <f>IF(ISNUMBER(Tab.o1[[#This Row],[a1]]),IF(AND(Tab.o1[[#This Row],[a1]]=1,Tab.o1[[#This Row],[b1]]&lt;=AY$4),#REF!,AY294),"")</f>
        <v/>
      </c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</row>
    <row r="296" spans="1:79" ht="15.75" hidden="1">
      <c r="A296" s="109">
        <v>1.0000000000000002E-6</v>
      </c>
      <c r="B296" s="110">
        <f t="shared" si="16"/>
        <v>296</v>
      </c>
      <c r="C296" s="111" t="str">
        <f>IF(C$1=[1]!T.in.A[[#This Row],[oo2]],1,"")</f>
        <v/>
      </c>
      <c r="D296" s="112" t="str">
        <f>IF(Tab.o1[[#This Row],[a1]]=1,IF(SUM(C296:C297)=0,0,IF(SUM(C295:C296)=1,1,IF(SUM(C295:C297)&gt;1,D295+1,0))),"")</f>
        <v/>
      </c>
      <c r="E296" s="113" t="str">
        <f>IF(Tab.o1[[#This Row],[a1]]=1,[1]!T.in.A[[#This Row],[oo1]],"")</f>
        <v/>
      </c>
      <c r="F296" s="113" t="str">
        <f>IF(Tab.o1[[#This Row],[a1]]=1,[1]!T.in.A[[#This Row],[pp1]],"")</f>
        <v/>
      </c>
      <c r="G296" s="114" t="str">
        <f>IF(Tab.o1[[#This Row],[a1]]=1,G$2+IF(G$1=1,0,Tab.o1[[#This Row],[.x1]])+[1]!T.in.A[[#This Row],[oo3]],"")</f>
        <v/>
      </c>
      <c r="H296" s="115" t="str">
        <f>IF(Tab.o1[[#This Row],[a1]]=1,IF(H$2=0,0,IF(G$1=1,0,Tab.o1[[#This Row],[.x1]])+[1]!T.in.A[[#This Row],[oo4]]),"")</f>
        <v/>
      </c>
      <c r="I296" s="116" t="str">
        <f>IF(Tab.o1[[#This Row],[a1]]=1,IF(J$2=0,Tab.o1[[#This Row],[MED]],Tab.o1[[#This Row],[MOD]]),"")</f>
        <v/>
      </c>
      <c r="J296" s="116" t="str">
        <f>IF(Tab.o1[[#This Row],[a1]]=1,((Tab.o1[[#This Row],[DIF_Target.]]-AVERAGE(Tab.o1[DIF_Target.]))/_xlfn.STDEV.P(Tab.o1[DIF_Target.])),"")</f>
        <v/>
      </c>
      <c r="K296" s="117" t="str">
        <f>IF(Tab.o1[[#This Row],[a1]]=1,IF(J$2=0,Tab.o1[[#This Row],[MOD]]-Tab.o1[[#This Row],[B]],IF(J$2=1,0,-Tab.o1[[#This Row],[MED]])+Tab.o1[[#This Row],[B]]),"")</f>
        <v/>
      </c>
      <c r="L296" s="117" t="str">
        <f ca="1">IF(Tab.o1[[#This Row],[DIF_Target]]=0,IF(L$2=0,Tab.o1[[#This Row],[DIF_Target]],AVERAGE(OFFSET(Tab.o1[[#This Row],[DIF_Target]],1,0,L$3,1)))/3,Tab.o1[[#This Row],[DIF_Target]])</f>
        <v/>
      </c>
      <c r="M296" s="118" t="str">
        <f>IF(Tab.o1[[#This Row],[a1]]=1,NORMSDIST(Tab.o1[[#This Row],[Za]]),"")</f>
        <v/>
      </c>
      <c r="N296" s="119" t="str">
        <f>IF(Tab.o1[[#This Row],[a1]]=1,((Tab.o1[[#This Row],[MedMod]]-AVERAGE(Tab.o1[MedMod]))/_xlfn.STDEV.P(Tab.o1[MedMod])*H$1205)+G$1205,"")</f>
        <v/>
      </c>
      <c r="O296" s="141" t="str">
        <f>IF(Tab.o1[[#This Row],[a1]]=1,Tab.o1[[#This Row],[Zb]]*_xlfn.STDEV.P(Tab.o1[MedMod])+AVERAGE(Tab.o1[MedMod]),"")</f>
        <v/>
      </c>
      <c r="P296" s="117" t="str">
        <f ca="1">IF(Tab.o1[[#This Row],[B]]=0,AVERAGE(OFFSET(Tab.o1[[#This Row],[B]],1,0,L$3,1)),Tab.o1[[#This Row],[B]])</f>
        <v/>
      </c>
      <c r="Q296" s="121" t="str">
        <f>IF(Tab.o1[[#This Row],[a1]]=1,NORMSDIST(Tab.o1[[#This Row],[Zb]]),"")</f>
        <v/>
      </c>
      <c r="R296" s="122" t="str">
        <f>IF(Tab.o1[[#This Row],[a1]]=1,((Tab.o1[[#This Row],[MedMod]]-AVERAGE(Tab.o1[MedMod]))/_xlfn.STDEV.P(Tab.o1[MedMod])*H$1203)+G$1203,"")</f>
        <v/>
      </c>
      <c r="S296" s="122" t="str">
        <f>IF(Tab.o1[[#This Row],[a1]]=1,((Tab.o1[[#This Row],[MedMod]]-AVERAGE(Tab.o1[MedMod]))/_xlfn.STDEV.P(Tab.o1[MedMod])*H$1204)+G$1204,"")</f>
        <v/>
      </c>
      <c r="T296" s="123" t="str">
        <f>IF(Tab.o1[[#This Row],[a1]]=1,Tab.o1[[#This Row],[Z-]]*_xlfn.STDEV.P(Tab.o1[B])+AVERAGE(Tab.o1[B]),"")</f>
        <v/>
      </c>
      <c r="U296" s="123" t="str">
        <f>IF(Tab.o1[[#This Row],[a1]]=1,Tab.o1[[#This Row],[z+]]*_xlfn.STDEV.P(Tab.o1[B])+AVERAGE(Tab.o1[B]),"")</f>
        <v/>
      </c>
      <c r="V296" s="124" t="str">
        <f>IF(Tab.o1[[#This Row],[a1]]=1,ABS((ABS(Tab.o1[[#This Row],[Red]]-Tab.o1[[#This Row],[Blue]]))),"")</f>
        <v/>
      </c>
      <c r="W296" s="125" t="str">
        <f>IF(Tab.o1[[#This Row],[a1]]=1,IF(W$3=0,1,Tab.o1[[#This Row],[Amp.]]*1/_xlfn.MINIFS(Tab.o1[Amp.],Tab.o1[Amp.],"&lt;&gt;0")),"")</f>
        <v/>
      </c>
      <c r="X296" s="126" t="str">
        <f>IF(Tab.o1[[#This Row],[a1]]=1,IF(ISNUMBER(Tab.o1[[#This Row],[i.]]),NORMDIST(Tab.o1[[#This Row],[Za]],0,1,FALSE)*Tab.o1[[#This Row],[i.]],AP$3),"")</f>
        <v/>
      </c>
      <c r="Y296" s="126" t="str">
        <f>IF(Tab.o1[[#This Row],[a1]]=1,0.01+0.94*Tab.o1[[#This Row],[PDF]]/MAX(Tab.o1[PDF]),"")</f>
        <v/>
      </c>
      <c r="Z296" s="126" t="str">
        <f>IF(Tab.o1[[#This Row],[a1]]=1,0.01+0.94*Tab.o1[[#This Row],[W1_PDF]]/MAX(Tab.o1[W1_PDF]),"")</f>
        <v/>
      </c>
      <c r="AA296" s="118" t="str">
        <f>IF(Tab.o1[[#This Row],[a1]]=1,ABS([1]!T.in.A[[#This Row],[oo6]]),"")</f>
        <v/>
      </c>
      <c r="AB296" s="127" t="str">
        <f>IF(Tab.o1[[#This Row],[a1]]=1,IF(AE$3=0,"",IF(AB$3=0,ABS([1]!T.in.A[[#This Row],[oo9]]),ABS(Tab.o1[[#This Row],[DIF_Target.]]*Tab.o1[[#This Row],[W1_PDF]]))),"")</f>
        <v/>
      </c>
      <c r="AC296" s="127" t="str">
        <f>IF(G$1=1,"",IF(Tab.o1[[#This Row],[a1]]=1,Tab.o1[[#This Row],[Wr]]^2,""))</f>
        <v/>
      </c>
      <c r="AD296" s="118" t="str">
        <f>IF(Tab.o1[[#This Row],[a1]]=1,IF(AE$3=0,"",Tab.o1[[#This Row],[Wr2]]/SUM(Tab.o1[Wr2])),"")</f>
        <v/>
      </c>
      <c r="AE296" s="128" t="str">
        <f>IF(Tab.o1[[#This Row],[a1]]=1,[1]!T.in.A[[#This Row],[oo10]],"")</f>
        <v/>
      </c>
      <c r="AF296" s="118" t="str">
        <f>IF(Tab.o1[[#This Row],[a1]]=1,ABS(Tab.o1[[#This Row],[DIF_Target.]]*Tab.o1[[#This Row],[PDF2]]*Tab.o1[[#This Row],[IN]]),"")</f>
        <v/>
      </c>
      <c r="AG296" s="129" t="str">
        <f>IF(Tab.o1[[#This Row],[a1]]=1,Tab.o1[[#This Row],[rW]]^2,"")</f>
        <v/>
      </c>
      <c r="AH296" s="130" t="str">
        <f>IF(Tab.o1[[#This Row],[a1]]=1,IF(AH$3=0,Tab.o1[[#This Row],[rW2]],0.01+0.94*Tab.o1[[#This Row],[rW2]]/SUM(Tab.o1[rW2])),"")</f>
        <v/>
      </c>
      <c r="AI296" s="128" t="str">
        <f>IF(Tab.o1[[#This Row],[a1]]=1,1/Tab.o1[[#This Row],[PDF]],"")</f>
        <v/>
      </c>
      <c r="AJ296" s="131" t="str">
        <f>IF(Tab.o1[[#This Row],[a1]]=1,[1]!T_AA[[#This Row],[IN'']]*[1]!T_AA[[#This Row],[Qde'']],"")</f>
        <v/>
      </c>
      <c r="AK296" s="132" t="str">
        <f>IF(Tab.o1[[#This Row],[a1]]=1,IF(AK$1=1,Tab.o1[[#This Row],[MED]]+Tab.o1[[#This Row],[MOD]]-Tab.o1[[#This Row],[MED]],""),"")</f>
        <v/>
      </c>
      <c r="AL296" s="133" t="str">
        <f>IF(Tab.o1[[#This Row],[a1]]=1,[1]!T.in.A[[#This Row],[oo16]],"")</f>
        <v/>
      </c>
      <c r="AM296" s="133" t="str">
        <f>IF(Tab.o1[[#This Row],[a1]]=1,IF(AM$3=1,[1]!T.in.A[[#This Row],[Σo16]],""),"")</f>
        <v/>
      </c>
      <c r="AN296" s="126" t="str">
        <f>IF(Tab.o1[[#This Row],[a1]]=1,[1]!T.in.A[[#This Row],[Σp5]],"")</f>
        <v/>
      </c>
      <c r="AO296" s="126" t="str">
        <f>IF(Tab.o1[[#This Row],[a1]]=1,IF(AO$3=1,[1]!T.in.A[[#This Row],[Σp5]],""),"")</f>
        <v/>
      </c>
      <c r="AP296" s="110" t="str">
        <f>IF(Tab.o1[[#This Row],[a1]]=1,IF(ISNUMBER(Tab.o1[[#This Row],[i.]]),NORMDIST(Tab.o1[[#This Row],[Za]],0,1,FALSE)*Tab.o1[[#This Row],[i.]],0),"")</f>
        <v/>
      </c>
      <c r="AQ296" s="125" t="str">
        <f>IF(Tab.o1[[#This Row],[a1]]=1,ABS(Tab.o1[[#This Row],[MOD]]-AVERAGE(Tab.o1[MOD])),"")</f>
        <v/>
      </c>
      <c r="AR296" s="134" t="str">
        <f>IF(Tab.o1[[#This Row],[a1]]=1,Tab.o1[[#This Row],[OBS]]/SUM(Tab.o1[OBS]),"")</f>
        <v/>
      </c>
      <c r="AS296" s="135" t="str">
        <f>IF(ISNUMBER(Tab.o1[[#This Row],[a1]]),ROW()-4,"")</f>
        <v/>
      </c>
      <c r="AT296" s="136" t="str">
        <f>Tab.o1[[#This Row],[MOD]]</f>
        <v/>
      </c>
      <c r="AU296" s="137" t="str">
        <f t="shared" si="17"/>
        <v/>
      </c>
      <c r="AV296" s="138" t="str">
        <f t="shared" si="18"/>
        <v/>
      </c>
      <c r="AW296" s="138" t="str">
        <f t="shared" si="19"/>
        <v/>
      </c>
      <c r="AX296" s="139" t="str">
        <f>[1]!T.in.A[[#This Row],[ID_T_manu]]</f>
        <v/>
      </c>
      <c r="AY296" s="140" t="str">
        <f>IF(ISNUMBER(Tab.o1[[#This Row],[a1]]),IF(AND(Tab.o1[[#This Row],[a1]]=1,Tab.o1[[#This Row],[b1]]&lt;=AY$4),#REF!,AY295),"")</f>
        <v/>
      </c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</row>
    <row r="297" spans="1:79" ht="15.75" hidden="1">
      <c r="A297" s="109">
        <v>9.0000000000000002E-6</v>
      </c>
      <c r="B297" s="110">
        <f t="shared" si="16"/>
        <v>297</v>
      </c>
      <c r="C297" s="111" t="str">
        <f>IF(C$1=[1]!T.in.A[[#This Row],[oo2]],1,"")</f>
        <v/>
      </c>
      <c r="D297" s="112" t="str">
        <f>IF(Tab.o1[[#This Row],[a1]]=1,IF(SUM(C297:C298)=0,0,IF(SUM(C296:C297)=1,1,IF(SUM(C296:C298)&gt;1,D296+1,0))),"")</f>
        <v/>
      </c>
      <c r="E297" s="113" t="str">
        <f>IF(Tab.o1[[#This Row],[a1]]=1,[1]!T.in.A[[#This Row],[oo1]],"")</f>
        <v/>
      </c>
      <c r="F297" s="113" t="str">
        <f>IF(Tab.o1[[#This Row],[a1]]=1,[1]!T.in.A[[#This Row],[pp1]],"")</f>
        <v/>
      </c>
      <c r="G297" s="114" t="str">
        <f>IF(Tab.o1[[#This Row],[a1]]=1,G$2+IF(G$1=1,0,Tab.o1[[#This Row],[.x1]])+[1]!T.in.A[[#This Row],[oo3]],"")</f>
        <v/>
      </c>
      <c r="H297" s="115" t="str">
        <f>IF(Tab.o1[[#This Row],[a1]]=1,IF(H$2=0,0,IF(G$1=1,0,Tab.o1[[#This Row],[.x1]])+[1]!T.in.A[[#This Row],[oo4]]),"")</f>
        <v/>
      </c>
      <c r="I297" s="116" t="str">
        <f>IF(Tab.o1[[#This Row],[a1]]=1,IF(J$2=0,Tab.o1[[#This Row],[MED]],Tab.o1[[#This Row],[MOD]]),"")</f>
        <v/>
      </c>
      <c r="J297" s="116" t="str">
        <f>IF(Tab.o1[[#This Row],[a1]]=1,((Tab.o1[[#This Row],[DIF_Target.]]-AVERAGE(Tab.o1[DIF_Target.]))/_xlfn.STDEV.P(Tab.o1[DIF_Target.])),"")</f>
        <v/>
      </c>
      <c r="K297" s="117" t="str">
        <f>IF(Tab.o1[[#This Row],[a1]]=1,IF(J$2=0,Tab.o1[[#This Row],[MOD]]-Tab.o1[[#This Row],[B]],IF(J$2=1,0,-Tab.o1[[#This Row],[MED]])+Tab.o1[[#This Row],[B]]),"")</f>
        <v/>
      </c>
      <c r="L297" s="117" t="str">
        <f ca="1">IF(Tab.o1[[#This Row],[DIF_Target]]=0,IF(L$2=0,Tab.o1[[#This Row],[DIF_Target]],AVERAGE(OFFSET(Tab.o1[[#This Row],[DIF_Target]],1,0,L$3,1)))/3,Tab.o1[[#This Row],[DIF_Target]])</f>
        <v/>
      </c>
      <c r="M297" s="118" t="str">
        <f>IF(Tab.o1[[#This Row],[a1]]=1,NORMSDIST(Tab.o1[[#This Row],[Za]]),"")</f>
        <v/>
      </c>
      <c r="N297" s="119" t="str">
        <f>IF(Tab.o1[[#This Row],[a1]]=1,((Tab.o1[[#This Row],[MedMod]]-AVERAGE(Tab.o1[MedMod]))/_xlfn.STDEV.P(Tab.o1[MedMod])*H$1205)+G$1205,"")</f>
        <v/>
      </c>
      <c r="O297" s="141" t="str">
        <f>IF(Tab.o1[[#This Row],[a1]]=1,Tab.o1[[#This Row],[Zb]]*_xlfn.STDEV.P(Tab.o1[MedMod])+AVERAGE(Tab.o1[MedMod]),"")</f>
        <v/>
      </c>
      <c r="P297" s="117" t="str">
        <f ca="1">IF(Tab.o1[[#This Row],[B]]=0,AVERAGE(OFFSET(Tab.o1[[#This Row],[B]],1,0,L$3,1)),Tab.o1[[#This Row],[B]])</f>
        <v/>
      </c>
      <c r="Q297" s="121" t="str">
        <f>IF(Tab.o1[[#This Row],[a1]]=1,NORMSDIST(Tab.o1[[#This Row],[Zb]]),"")</f>
        <v/>
      </c>
      <c r="R297" s="122" t="str">
        <f>IF(Tab.o1[[#This Row],[a1]]=1,((Tab.o1[[#This Row],[MedMod]]-AVERAGE(Tab.o1[MedMod]))/_xlfn.STDEV.P(Tab.o1[MedMod])*H$1203)+G$1203,"")</f>
        <v/>
      </c>
      <c r="S297" s="122" t="str">
        <f>IF(Tab.o1[[#This Row],[a1]]=1,((Tab.o1[[#This Row],[MedMod]]-AVERAGE(Tab.o1[MedMod]))/_xlfn.STDEV.P(Tab.o1[MedMod])*H$1204)+G$1204,"")</f>
        <v/>
      </c>
      <c r="T297" s="123" t="str">
        <f>IF(Tab.o1[[#This Row],[a1]]=1,Tab.o1[[#This Row],[Z-]]*_xlfn.STDEV.P(Tab.o1[B])+AVERAGE(Tab.o1[B]),"")</f>
        <v/>
      </c>
      <c r="U297" s="123" t="str">
        <f>IF(Tab.o1[[#This Row],[a1]]=1,Tab.o1[[#This Row],[z+]]*_xlfn.STDEV.P(Tab.o1[B])+AVERAGE(Tab.o1[B]),"")</f>
        <v/>
      </c>
      <c r="V297" s="124" t="str">
        <f>IF(Tab.o1[[#This Row],[a1]]=1,ABS((ABS(Tab.o1[[#This Row],[Red]]-Tab.o1[[#This Row],[Blue]]))),"")</f>
        <v/>
      </c>
      <c r="W297" s="125" t="str">
        <f>IF(Tab.o1[[#This Row],[a1]]=1,IF(W$3=0,1,Tab.o1[[#This Row],[Amp.]]*1/_xlfn.MINIFS(Tab.o1[Amp.],Tab.o1[Amp.],"&lt;&gt;0")),"")</f>
        <v/>
      </c>
      <c r="X297" s="126" t="str">
        <f>IF(Tab.o1[[#This Row],[a1]]=1,IF(ISNUMBER(Tab.o1[[#This Row],[i.]]),NORMDIST(Tab.o1[[#This Row],[Za]],0,1,FALSE)*Tab.o1[[#This Row],[i.]],AP$3),"")</f>
        <v/>
      </c>
      <c r="Y297" s="126" t="str">
        <f>IF(Tab.o1[[#This Row],[a1]]=1,0.01+0.94*Tab.o1[[#This Row],[PDF]]/MAX(Tab.o1[PDF]),"")</f>
        <v/>
      </c>
      <c r="Z297" s="126" t="str">
        <f>IF(Tab.o1[[#This Row],[a1]]=1,0.01+0.94*Tab.o1[[#This Row],[W1_PDF]]/MAX(Tab.o1[W1_PDF]),"")</f>
        <v/>
      </c>
      <c r="AA297" s="118" t="str">
        <f>IF(Tab.o1[[#This Row],[a1]]=1,ABS([1]!T.in.A[[#This Row],[oo6]]),"")</f>
        <v/>
      </c>
      <c r="AB297" s="127" t="str">
        <f>IF(Tab.o1[[#This Row],[a1]]=1,IF(AE$3=0,"",IF(AB$3=0,ABS([1]!T.in.A[[#This Row],[oo9]]),ABS(Tab.o1[[#This Row],[DIF_Target.]]*Tab.o1[[#This Row],[W1_PDF]]))),"")</f>
        <v/>
      </c>
      <c r="AC297" s="127" t="str">
        <f>IF(G$1=1,"",IF(Tab.o1[[#This Row],[a1]]=1,Tab.o1[[#This Row],[Wr]]^2,""))</f>
        <v/>
      </c>
      <c r="AD297" s="118" t="str">
        <f>IF(Tab.o1[[#This Row],[a1]]=1,IF(AE$3=0,"",Tab.o1[[#This Row],[Wr2]]/SUM(Tab.o1[Wr2])),"")</f>
        <v/>
      </c>
      <c r="AE297" s="128" t="str">
        <f>IF(Tab.o1[[#This Row],[a1]]=1,[1]!T.in.A[[#This Row],[oo10]],"")</f>
        <v/>
      </c>
      <c r="AF297" s="118" t="str">
        <f>IF(Tab.o1[[#This Row],[a1]]=1,ABS(Tab.o1[[#This Row],[DIF_Target.]]*Tab.o1[[#This Row],[PDF2]]*Tab.o1[[#This Row],[IN]]),"")</f>
        <v/>
      </c>
      <c r="AG297" s="129" t="str">
        <f>IF(Tab.o1[[#This Row],[a1]]=1,Tab.o1[[#This Row],[rW]]^2,"")</f>
        <v/>
      </c>
      <c r="AH297" s="130" t="str">
        <f>IF(Tab.o1[[#This Row],[a1]]=1,IF(AH$3=0,Tab.o1[[#This Row],[rW2]],0.01+0.94*Tab.o1[[#This Row],[rW2]]/SUM(Tab.o1[rW2])),"")</f>
        <v/>
      </c>
      <c r="AI297" s="128" t="str">
        <f>IF(Tab.o1[[#This Row],[a1]]=1,1/Tab.o1[[#This Row],[PDF]],"")</f>
        <v/>
      </c>
      <c r="AJ297" s="131" t="str">
        <f>IF(Tab.o1[[#This Row],[a1]]=1,[1]!T_AA[[#This Row],[IN'']]*[1]!T_AA[[#This Row],[Qde'']],"")</f>
        <v/>
      </c>
      <c r="AK297" s="132" t="str">
        <f>IF(Tab.o1[[#This Row],[a1]]=1,IF(AK$1=1,Tab.o1[[#This Row],[MED]]+Tab.o1[[#This Row],[MOD]]-Tab.o1[[#This Row],[MED]],""),"")</f>
        <v/>
      </c>
      <c r="AL297" s="133" t="str">
        <f>IF(Tab.o1[[#This Row],[a1]]=1,[1]!T.in.A[[#This Row],[oo16]],"")</f>
        <v/>
      </c>
      <c r="AM297" s="133" t="str">
        <f>IF(Tab.o1[[#This Row],[a1]]=1,IF(AM$3=1,[1]!T.in.A[[#This Row],[Σo16]],""),"")</f>
        <v/>
      </c>
      <c r="AN297" s="126" t="str">
        <f>IF(Tab.o1[[#This Row],[a1]]=1,[1]!T.in.A[[#This Row],[Σp5]],"")</f>
        <v/>
      </c>
      <c r="AO297" s="126" t="str">
        <f>IF(Tab.o1[[#This Row],[a1]]=1,IF(AO$3=1,[1]!T.in.A[[#This Row],[Σp5]],""),"")</f>
        <v/>
      </c>
      <c r="AP297" s="110" t="str">
        <f>IF(Tab.o1[[#This Row],[a1]]=1,IF(ISNUMBER(Tab.o1[[#This Row],[i.]]),NORMDIST(Tab.o1[[#This Row],[Za]],0,1,FALSE)*Tab.o1[[#This Row],[i.]],0),"")</f>
        <v/>
      </c>
      <c r="AQ297" s="125" t="str">
        <f>IF(Tab.o1[[#This Row],[a1]]=1,ABS(Tab.o1[[#This Row],[MOD]]-AVERAGE(Tab.o1[MOD])),"")</f>
        <v/>
      </c>
      <c r="AR297" s="134" t="str">
        <f>IF(Tab.o1[[#This Row],[a1]]=1,Tab.o1[[#This Row],[OBS]]/SUM(Tab.o1[OBS]),"")</f>
        <v/>
      </c>
      <c r="AS297" s="135" t="str">
        <f>IF(ISNUMBER(Tab.o1[[#This Row],[a1]]),ROW()-4,"")</f>
        <v/>
      </c>
      <c r="AT297" s="136" t="str">
        <f>Tab.o1[[#This Row],[MOD]]</f>
        <v/>
      </c>
      <c r="AU297" s="137" t="str">
        <f t="shared" si="17"/>
        <v/>
      </c>
      <c r="AV297" s="138" t="str">
        <f t="shared" si="18"/>
        <v/>
      </c>
      <c r="AW297" s="138" t="str">
        <f t="shared" si="19"/>
        <v/>
      </c>
      <c r="AX297" s="139" t="str">
        <f>[1]!T.in.A[[#This Row],[ID_T_manu]]</f>
        <v/>
      </c>
      <c r="AY297" s="140" t="str">
        <f>IF(ISNUMBER(Tab.o1[[#This Row],[a1]]),IF(AND(Tab.o1[[#This Row],[a1]]=1,Tab.o1[[#This Row],[b1]]&lt;=AY$4),#REF!,AY296),"")</f>
        <v/>
      </c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</row>
    <row r="298" spans="1:79" ht="15.75" hidden="1">
      <c r="A298" s="109">
        <v>-5.9999999999999993E-6</v>
      </c>
      <c r="B298" s="110">
        <f t="shared" si="16"/>
        <v>298</v>
      </c>
      <c r="C298" s="111" t="str">
        <f>IF(C$1=[1]!T.in.A[[#This Row],[oo2]],1,"")</f>
        <v/>
      </c>
      <c r="D298" s="112" t="str">
        <f>IF(Tab.o1[[#This Row],[a1]]=1,IF(SUM(C298:C299)=0,0,IF(SUM(C297:C298)=1,1,IF(SUM(C297:C299)&gt;1,D297+1,0))),"")</f>
        <v/>
      </c>
      <c r="E298" s="113" t="str">
        <f>IF(Tab.o1[[#This Row],[a1]]=1,[1]!T.in.A[[#This Row],[oo1]],"")</f>
        <v/>
      </c>
      <c r="F298" s="113" t="str">
        <f>IF(Tab.o1[[#This Row],[a1]]=1,[1]!T.in.A[[#This Row],[pp1]],"")</f>
        <v/>
      </c>
      <c r="G298" s="114" t="str">
        <f>IF(Tab.o1[[#This Row],[a1]]=1,G$2+IF(G$1=1,0,Tab.o1[[#This Row],[.x1]])+[1]!T.in.A[[#This Row],[oo3]],"")</f>
        <v/>
      </c>
      <c r="H298" s="115" t="str">
        <f>IF(Tab.o1[[#This Row],[a1]]=1,IF(H$2=0,0,IF(G$1=1,0,Tab.o1[[#This Row],[.x1]])+[1]!T.in.A[[#This Row],[oo4]]),"")</f>
        <v/>
      </c>
      <c r="I298" s="116" t="str">
        <f>IF(Tab.o1[[#This Row],[a1]]=1,IF(J$2=0,Tab.o1[[#This Row],[MED]],Tab.o1[[#This Row],[MOD]]),"")</f>
        <v/>
      </c>
      <c r="J298" s="116" t="str">
        <f>IF(Tab.o1[[#This Row],[a1]]=1,((Tab.o1[[#This Row],[DIF_Target.]]-AVERAGE(Tab.o1[DIF_Target.]))/_xlfn.STDEV.P(Tab.o1[DIF_Target.])),"")</f>
        <v/>
      </c>
      <c r="K298" s="117" t="str">
        <f>IF(Tab.o1[[#This Row],[a1]]=1,IF(J$2=0,Tab.o1[[#This Row],[MOD]]-Tab.o1[[#This Row],[B]],IF(J$2=1,0,-Tab.o1[[#This Row],[MED]])+Tab.o1[[#This Row],[B]]),"")</f>
        <v/>
      </c>
      <c r="L298" s="117" t="str">
        <f ca="1">IF(Tab.o1[[#This Row],[DIF_Target]]=0,IF(L$2=0,Tab.o1[[#This Row],[DIF_Target]],AVERAGE(OFFSET(Tab.o1[[#This Row],[DIF_Target]],1,0,L$3,1)))/3,Tab.o1[[#This Row],[DIF_Target]])</f>
        <v/>
      </c>
      <c r="M298" s="118" t="str">
        <f>IF(Tab.o1[[#This Row],[a1]]=1,NORMSDIST(Tab.o1[[#This Row],[Za]]),"")</f>
        <v/>
      </c>
      <c r="N298" s="119" t="str">
        <f>IF(Tab.o1[[#This Row],[a1]]=1,((Tab.o1[[#This Row],[MedMod]]-AVERAGE(Tab.o1[MedMod]))/_xlfn.STDEV.P(Tab.o1[MedMod])*H$1205)+G$1205,"")</f>
        <v/>
      </c>
      <c r="O298" s="141" t="str">
        <f>IF(Tab.o1[[#This Row],[a1]]=1,Tab.o1[[#This Row],[Zb]]*_xlfn.STDEV.P(Tab.o1[MedMod])+AVERAGE(Tab.o1[MedMod]),"")</f>
        <v/>
      </c>
      <c r="P298" s="117" t="str">
        <f ca="1">IF(Tab.o1[[#This Row],[B]]=0,AVERAGE(OFFSET(Tab.o1[[#This Row],[B]],1,0,L$3,1)),Tab.o1[[#This Row],[B]])</f>
        <v/>
      </c>
      <c r="Q298" s="121" t="str">
        <f>IF(Tab.o1[[#This Row],[a1]]=1,NORMSDIST(Tab.o1[[#This Row],[Zb]]),"")</f>
        <v/>
      </c>
      <c r="R298" s="122" t="str">
        <f>IF(Tab.o1[[#This Row],[a1]]=1,((Tab.o1[[#This Row],[MedMod]]-AVERAGE(Tab.o1[MedMod]))/_xlfn.STDEV.P(Tab.o1[MedMod])*H$1203)+G$1203,"")</f>
        <v/>
      </c>
      <c r="S298" s="122" t="str">
        <f>IF(Tab.o1[[#This Row],[a1]]=1,((Tab.o1[[#This Row],[MedMod]]-AVERAGE(Tab.o1[MedMod]))/_xlfn.STDEV.P(Tab.o1[MedMod])*H$1204)+G$1204,"")</f>
        <v/>
      </c>
      <c r="T298" s="123" t="str">
        <f>IF(Tab.o1[[#This Row],[a1]]=1,Tab.o1[[#This Row],[Z-]]*_xlfn.STDEV.P(Tab.o1[B])+AVERAGE(Tab.o1[B]),"")</f>
        <v/>
      </c>
      <c r="U298" s="123" t="str">
        <f>IF(Tab.o1[[#This Row],[a1]]=1,Tab.o1[[#This Row],[z+]]*_xlfn.STDEV.P(Tab.o1[B])+AVERAGE(Tab.o1[B]),"")</f>
        <v/>
      </c>
      <c r="V298" s="124" t="str">
        <f>IF(Tab.o1[[#This Row],[a1]]=1,ABS((ABS(Tab.o1[[#This Row],[Red]]-Tab.o1[[#This Row],[Blue]]))),"")</f>
        <v/>
      </c>
      <c r="W298" s="125" t="str">
        <f>IF(Tab.o1[[#This Row],[a1]]=1,IF(W$3=0,1,Tab.o1[[#This Row],[Amp.]]*1/_xlfn.MINIFS(Tab.o1[Amp.],Tab.o1[Amp.],"&lt;&gt;0")),"")</f>
        <v/>
      </c>
      <c r="X298" s="126" t="str">
        <f>IF(Tab.o1[[#This Row],[a1]]=1,IF(ISNUMBER(Tab.o1[[#This Row],[i.]]),NORMDIST(Tab.o1[[#This Row],[Za]],0,1,FALSE)*Tab.o1[[#This Row],[i.]],AP$3),"")</f>
        <v/>
      </c>
      <c r="Y298" s="126" t="str">
        <f>IF(Tab.o1[[#This Row],[a1]]=1,0.01+0.94*Tab.o1[[#This Row],[PDF]]/MAX(Tab.o1[PDF]),"")</f>
        <v/>
      </c>
      <c r="Z298" s="126" t="str">
        <f>IF(Tab.o1[[#This Row],[a1]]=1,0.01+0.94*Tab.o1[[#This Row],[W1_PDF]]/MAX(Tab.o1[W1_PDF]),"")</f>
        <v/>
      </c>
      <c r="AA298" s="118" t="str">
        <f>IF(Tab.o1[[#This Row],[a1]]=1,ABS([1]!T.in.A[[#This Row],[oo6]]),"")</f>
        <v/>
      </c>
      <c r="AB298" s="127" t="str">
        <f>IF(Tab.o1[[#This Row],[a1]]=1,IF(AE$3=0,"",IF(AB$3=0,ABS([1]!T.in.A[[#This Row],[oo9]]),ABS(Tab.o1[[#This Row],[DIF_Target.]]*Tab.o1[[#This Row],[W1_PDF]]))),"")</f>
        <v/>
      </c>
      <c r="AC298" s="127" t="str">
        <f>IF(G$1=1,"",IF(Tab.o1[[#This Row],[a1]]=1,Tab.o1[[#This Row],[Wr]]^2,""))</f>
        <v/>
      </c>
      <c r="AD298" s="118" t="str">
        <f>IF(Tab.o1[[#This Row],[a1]]=1,IF(AE$3=0,"",Tab.o1[[#This Row],[Wr2]]/SUM(Tab.o1[Wr2])),"")</f>
        <v/>
      </c>
      <c r="AE298" s="128" t="str">
        <f>IF(Tab.o1[[#This Row],[a1]]=1,[1]!T.in.A[[#This Row],[oo10]],"")</f>
        <v/>
      </c>
      <c r="AF298" s="118" t="str">
        <f>IF(Tab.o1[[#This Row],[a1]]=1,ABS(Tab.o1[[#This Row],[DIF_Target.]]*Tab.o1[[#This Row],[PDF2]]*Tab.o1[[#This Row],[IN]]),"")</f>
        <v/>
      </c>
      <c r="AG298" s="129" t="str">
        <f>IF(Tab.o1[[#This Row],[a1]]=1,Tab.o1[[#This Row],[rW]]^2,"")</f>
        <v/>
      </c>
      <c r="AH298" s="130" t="str">
        <f>IF(Tab.o1[[#This Row],[a1]]=1,IF(AH$3=0,Tab.o1[[#This Row],[rW2]],0.01+0.94*Tab.o1[[#This Row],[rW2]]/SUM(Tab.o1[rW2])),"")</f>
        <v/>
      </c>
      <c r="AI298" s="128" t="str">
        <f>IF(Tab.o1[[#This Row],[a1]]=1,1/Tab.o1[[#This Row],[PDF]],"")</f>
        <v/>
      </c>
      <c r="AJ298" s="131" t="str">
        <f>IF(Tab.o1[[#This Row],[a1]]=1,[1]!T_AA[[#This Row],[IN'']]*[1]!T_AA[[#This Row],[Qde'']],"")</f>
        <v/>
      </c>
      <c r="AK298" s="132" t="str">
        <f>IF(Tab.o1[[#This Row],[a1]]=1,IF(AK$1=1,Tab.o1[[#This Row],[MED]]+Tab.o1[[#This Row],[MOD]]-Tab.o1[[#This Row],[MED]],""),"")</f>
        <v/>
      </c>
      <c r="AL298" s="133" t="str">
        <f>IF(Tab.o1[[#This Row],[a1]]=1,[1]!T.in.A[[#This Row],[oo16]],"")</f>
        <v/>
      </c>
      <c r="AM298" s="133" t="str">
        <f>IF(Tab.o1[[#This Row],[a1]]=1,IF(AM$3=1,[1]!T.in.A[[#This Row],[Σo16]],""),"")</f>
        <v/>
      </c>
      <c r="AN298" s="126" t="str">
        <f>IF(Tab.o1[[#This Row],[a1]]=1,[1]!T.in.A[[#This Row],[Σp5]],"")</f>
        <v/>
      </c>
      <c r="AO298" s="126" t="str">
        <f>IF(Tab.o1[[#This Row],[a1]]=1,IF(AO$3=1,[1]!T.in.A[[#This Row],[Σp5]],""),"")</f>
        <v/>
      </c>
      <c r="AP298" s="110" t="str">
        <f>IF(Tab.o1[[#This Row],[a1]]=1,IF(ISNUMBER(Tab.o1[[#This Row],[i.]]),NORMDIST(Tab.o1[[#This Row],[Za]],0,1,FALSE)*Tab.o1[[#This Row],[i.]],0),"")</f>
        <v/>
      </c>
      <c r="AQ298" s="125" t="str">
        <f>IF(Tab.o1[[#This Row],[a1]]=1,ABS(Tab.o1[[#This Row],[MOD]]-AVERAGE(Tab.o1[MOD])),"")</f>
        <v/>
      </c>
      <c r="AR298" s="134" t="str">
        <f>IF(Tab.o1[[#This Row],[a1]]=1,Tab.o1[[#This Row],[OBS]]/SUM(Tab.o1[OBS]),"")</f>
        <v/>
      </c>
      <c r="AS298" s="135" t="str">
        <f>IF(ISNUMBER(Tab.o1[[#This Row],[a1]]),ROW()-4,"")</f>
        <v/>
      </c>
      <c r="AT298" s="136" t="str">
        <f>Tab.o1[[#This Row],[MOD]]</f>
        <v/>
      </c>
      <c r="AU298" s="137" t="str">
        <f t="shared" si="17"/>
        <v/>
      </c>
      <c r="AV298" s="138" t="str">
        <f t="shared" si="18"/>
        <v/>
      </c>
      <c r="AW298" s="138" t="str">
        <f t="shared" si="19"/>
        <v/>
      </c>
      <c r="AX298" s="139" t="str">
        <f>[1]!T.in.A[[#This Row],[ID_T_manu]]</f>
        <v/>
      </c>
      <c r="AY298" s="140" t="str">
        <f>IF(ISNUMBER(Tab.o1[[#This Row],[a1]]),IF(AND(Tab.o1[[#This Row],[a1]]=1,Tab.o1[[#This Row],[b1]]&lt;=AY$4),#REF!,AY297),"")</f>
        <v/>
      </c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</row>
    <row r="299" spans="1:79" ht="15.75" hidden="1">
      <c r="A299" s="109">
        <v>-1.0000000000000001E-5</v>
      </c>
      <c r="B299" s="110">
        <f t="shared" si="16"/>
        <v>299</v>
      </c>
      <c r="C299" s="111" t="str">
        <f>IF(C$1=[1]!T.in.A[[#This Row],[oo2]],1,"")</f>
        <v/>
      </c>
      <c r="D299" s="112" t="str">
        <f>IF(Tab.o1[[#This Row],[a1]]=1,IF(SUM(C299:C300)=0,0,IF(SUM(C298:C299)=1,1,IF(SUM(C298:C300)&gt;1,D298+1,0))),"")</f>
        <v/>
      </c>
      <c r="E299" s="113" t="str">
        <f>IF(Tab.o1[[#This Row],[a1]]=1,[1]!T.in.A[[#This Row],[oo1]],"")</f>
        <v/>
      </c>
      <c r="F299" s="113" t="str">
        <f>IF(Tab.o1[[#This Row],[a1]]=1,[1]!T.in.A[[#This Row],[pp1]],"")</f>
        <v/>
      </c>
      <c r="G299" s="114" t="str">
        <f>IF(Tab.o1[[#This Row],[a1]]=1,G$2+IF(G$1=1,0,Tab.o1[[#This Row],[.x1]])+[1]!T.in.A[[#This Row],[oo3]],"")</f>
        <v/>
      </c>
      <c r="H299" s="115" t="str">
        <f>IF(Tab.o1[[#This Row],[a1]]=1,IF(H$2=0,0,IF(G$1=1,0,Tab.o1[[#This Row],[.x1]])+[1]!T.in.A[[#This Row],[oo4]]),"")</f>
        <v/>
      </c>
      <c r="I299" s="116" t="str">
        <f>IF(Tab.o1[[#This Row],[a1]]=1,IF(J$2=0,Tab.o1[[#This Row],[MED]],Tab.o1[[#This Row],[MOD]]),"")</f>
        <v/>
      </c>
      <c r="J299" s="116" t="str">
        <f>IF(Tab.o1[[#This Row],[a1]]=1,((Tab.o1[[#This Row],[DIF_Target.]]-AVERAGE(Tab.o1[DIF_Target.]))/_xlfn.STDEV.P(Tab.o1[DIF_Target.])),"")</f>
        <v/>
      </c>
      <c r="K299" s="117" t="str">
        <f>IF(Tab.o1[[#This Row],[a1]]=1,IF(J$2=0,Tab.o1[[#This Row],[MOD]]-Tab.o1[[#This Row],[B]],IF(J$2=1,0,-Tab.o1[[#This Row],[MED]])+Tab.o1[[#This Row],[B]]),"")</f>
        <v/>
      </c>
      <c r="L299" s="117" t="str">
        <f ca="1">IF(Tab.o1[[#This Row],[DIF_Target]]=0,IF(L$2=0,Tab.o1[[#This Row],[DIF_Target]],AVERAGE(OFFSET(Tab.o1[[#This Row],[DIF_Target]],1,0,L$3,1)))/3,Tab.o1[[#This Row],[DIF_Target]])</f>
        <v/>
      </c>
      <c r="M299" s="118" t="str">
        <f>IF(Tab.o1[[#This Row],[a1]]=1,NORMSDIST(Tab.o1[[#This Row],[Za]]),"")</f>
        <v/>
      </c>
      <c r="N299" s="119" t="str">
        <f>IF(Tab.o1[[#This Row],[a1]]=1,((Tab.o1[[#This Row],[MedMod]]-AVERAGE(Tab.o1[MedMod]))/_xlfn.STDEV.P(Tab.o1[MedMod])*H$1205)+G$1205,"")</f>
        <v/>
      </c>
      <c r="O299" s="141" t="str">
        <f>IF(Tab.o1[[#This Row],[a1]]=1,Tab.o1[[#This Row],[Zb]]*_xlfn.STDEV.P(Tab.o1[MedMod])+AVERAGE(Tab.o1[MedMod]),"")</f>
        <v/>
      </c>
      <c r="P299" s="117" t="str">
        <f ca="1">IF(Tab.o1[[#This Row],[B]]=0,AVERAGE(OFFSET(Tab.o1[[#This Row],[B]],1,0,L$3,1)),Tab.o1[[#This Row],[B]])</f>
        <v/>
      </c>
      <c r="Q299" s="121" t="str">
        <f>IF(Tab.o1[[#This Row],[a1]]=1,NORMSDIST(Tab.o1[[#This Row],[Zb]]),"")</f>
        <v/>
      </c>
      <c r="R299" s="122" t="str">
        <f>IF(Tab.o1[[#This Row],[a1]]=1,((Tab.o1[[#This Row],[MedMod]]-AVERAGE(Tab.o1[MedMod]))/_xlfn.STDEV.P(Tab.o1[MedMod])*H$1203)+G$1203,"")</f>
        <v/>
      </c>
      <c r="S299" s="122" t="str">
        <f>IF(Tab.o1[[#This Row],[a1]]=1,((Tab.o1[[#This Row],[MedMod]]-AVERAGE(Tab.o1[MedMod]))/_xlfn.STDEV.P(Tab.o1[MedMod])*H$1204)+G$1204,"")</f>
        <v/>
      </c>
      <c r="T299" s="123" t="str">
        <f>IF(Tab.o1[[#This Row],[a1]]=1,Tab.o1[[#This Row],[Z-]]*_xlfn.STDEV.P(Tab.o1[B])+AVERAGE(Tab.o1[B]),"")</f>
        <v/>
      </c>
      <c r="U299" s="123" t="str">
        <f>IF(Tab.o1[[#This Row],[a1]]=1,Tab.o1[[#This Row],[z+]]*_xlfn.STDEV.P(Tab.o1[B])+AVERAGE(Tab.o1[B]),"")</f>
        <v/>
      </c>
      <c r="V299" s="124" t="str">
        <f>IF(Tab.o1[[#This Row],[a1]]=1,ABS((ABS(Tab.o1[[#This Row],[Red]]-Tab.o1[[#This Row],[Blue]]))),"")</f>
        <v/>
      </c>
      <c r="W299" s="125" t="str">
        <f>IF(Tab.o1[[#This Row],[a1]]=1,IF(W$3=0,1,Tab.o1[[#This Row],[Amp.]]*1/_xlfn.MINIFS(Tab.o1[Amp.],Tab.o1[Amp.],"&lt;&gt;0")),"")</f>
        <v/>
      </c>
      <c r="X299" s="126" t="str">
        <f>IF(Tab.o1[[#This Row],[a1]]=1,IF(ISNUMBER(Tab.o1[[#This Row],[i.]]),NORMDIST(Tab.o1[[#This Row],[Za]],0,1,FALSE)*Tab.o1[[#This Row],[i.]],AP$3),"")</f>
        <v/>
      </c>
      <c r="Y299" s="126" t="str">
        <f>IF(Tab.o1[[#This Row],[a1]]=1,0.01+0.94*Tab.o1[[#This Row],[PDF]]/MAX(Tab.o1[PDF]),"")</f>
        <v/>
      </c>
      <c r="Z299" s="126" t="str">
        <f>IF(Tab.o1[[#This Row],[a1]]=1,0.01+0.94*Tab.o1[[#This Row],[W1_PDF]]/MAX(Tab.o1[W1_PDF]),"")</f>
        <v/>
      </c>
      <c r="AA299" s="118" t="str">
        <f>IF(Tab.o1[[#This Row],[a1]]=1,ABS([1]!T.in.A[[#This Row],[oo6]]),"")</f>
        <v/>
      </c>
      <c r="AB299" s="127" t="str">
        <f>IF(Tab.o1[[#This Row],[a1]]=1,IF(AE$3=0,"",IF(AB$3=0,ABS([1]!T.in.A[[#This Row],[oo9]]),ABS(Tab.o1[[#This Row],[DIF_Target.]]*Tab.o1[[#This Row],[W1_PDF]]))),"")</f>
        <v/>
      </c>
      <c r="AC299" s="127" t="str">
        <f>IF(G$1=1,"",IF(Tab.o1[[#This Row],[a1]]=1,Tab.o1[[#This Row],[Wr]]^2,""))</f>
        <v/>
      </c>
      <c r="AD299" s="118" t="str">
        <f>IF(Tab.o1[[#This Row],[a1]]=1,IF(AE$3=0,"",Tab.o1[[#This Row],[Wr2]]/SUM(Tab.o1[Wr2])),"")</f>
        <v/>
      </c>
      <c r="AE299" s="128" t="str">
        <f>IF(Tab.o1[[#This Row],[a1]]=1,[1]!T.in.A[[#This Row],[oo10]],"")</f>
        <v/>
      </c>
      <c r="AF299" s="118" t="str">
        <f>IF(Tab.o1[[#This Row],[a1]]=1,ABS(Tab.o1[[#This Row],[DIF_Target.]]*Tab.o1[[#This Row],[PDF2]]*Tab.o1[[#This Row],[IN]]),"")</f>
        <v/>
      </c>
      <c r="AG299" s="129" t="str">
        <f>IF(Tab.o1[[#This Row],[a1]]=1,Tab.o1[[#This Row],[rW]]^2,"")</f>
        <v/>
      </c>
      <c r="AH299" s="130" t="str">
        <f>IF(Tab.o1[[#This Row],[a1]]=1,IF(AH$3=0,Tab.o1[[#This Row],[rW2]],0.01+0.94*Tab.o1[[#This Row],[rW2]]/SUM(Tab.o1[rW2])),"")</f>
        <v/>
      </c>
      <c r="AI299" s="128" t="str">
        <f>IF(Tab.o1[[#This Row],[a1]]=1,1/Tab.o1[[#This Row],[PDF]],"")</f>
        <v/>
      </c>
      <c r="AJ299" s="131" t="str">
        <f>IF(Tab.o1[[#This Row],[a1]]=1,[1]!T_AA[[#This Row],[IN'']]*[1]!T_AA[[#This Row],[Qde'']],"")</f>
        <v/>
      </c>
      <c r="AK299" s="132" t="str">
        <f>IF(Tab.o1[[#This Row],[a1]]=1,IF(AK$1=1,Tab.o1[[#This Row],[MED]]+Tab.o1[[#This Row],[MOD]]-Tab.o1[[#This Row],[MED]],""),"")</f>
        <v/>
      </c>
      <c r="AL299" s="133" t="str">
        <f>IF(Tab.o1[[#This Row],[a1]]=1,[1]!T.in.A[[#This Row],[oo16]],"")</f>
        <v/>
      </c>
      <c r="AM299" s="133" t="str">
        <f>IF(Tab.o1[[#This Row],[a1]]=1,IF(AM$3=1,[1]!T.in.A[[#This Row],[Σo16]],""),"")</f>
        <v/>
      </c>
      <c r="AN299" s="126" t="str">
        <f>IF(Tab.o1[[#This Row],[a1]]=1,[1]!T.in.A[[#This Row],[Σp5]],"")</f>
        <v/>
      </c>
      <c r="AO299" s="126" t="str">
        <f>IF(Tab.o1[[#This Row],[a1]]=1,IF(AO$3=1,[1]!T.in.A[[#This Row],[Σp5]],""),"")</f>
        <v/>
      </c>
      <c r="AP299" s="110" t="str">
        <f>IF(Tab.o1[[#This Row],[a1]]=1,IF(ISNUMBER(Tab.o1[[#This Row],[i.]]),NORMDIST(Tab.o1[[#This Row],[Za]],0,1,FALSE)*Tab.o1[[#This Row],[i.]],0),"")</f>
        <v/>
      </c>
      <c r="AQ299" s="125" t="str">
        <f>IF(Tab.o1[[#This Row],[a1]]=1,ABS(Tab.o1[[#This Row],[MOD]]-AVERAGE(Tab.o1[MOD])),"")</f>
        <v/>
      </c>
      <c r="AR299" s="134" t="str">
        <f>IF(Tab.o1[[#This Row],[a1]]=1,Tab.o1[[#This Row],[OBS]]/SUM(Tab.o1[OBS]),"")</f>
        <v/>
      </c>
      <c r="AS299" s="135" t="str">
        <f>IF(ISNUMBER(Tab.o1[[#This Row],[a1]]),ROW()-4,"")</f>
        <v/>
      </c>
      <c r="AT299" s="136" t="str">
        <f>Tab.o1[[#This Row],[MOD]]</f>
        <v/>
      </c>
      <c r="AU299" s="137" t="str">
        <f t="shared" si="17"/>
        <v/>
      </c>
      <c r="AV299" s="138" t="str">
        <f t="shared" si="18"/>
        <v/>
      </c>
      <c r="AW299" s="138" t="str">
        <f t="shared" si="19"/>
        <v/>
      </c>
      <c r="AX299" s="139" t="str">
        <f>[1]!T.in.A[[#This Row],[ID_T_manu]]</f>
        <v/>
      </c>
      <c r="AY299" s="140" t="str">
        <f>IF(ISNUMBER(Tab.o1[[#This Row],[a1]]),IF(AND(Tab.o1[[#This Row],[a1]]=1,Tab.o1[[#This Row],[b1]]&lt;=AY$4),#REF!,AY298),"")</f>
        <v/>
      </c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</row>
    <row r="300" spans="1:79" ht="15.75" hidden="1">
      <c r="A300" s="109">
        <v>-5.0000000000000004E-6</v>
      </c>
      <c r="B300" s="110">
        <f t="shared" si="16"/>
        <v>300</v>
      </c>
      <c r="C300" s="111" t="str">
        <f>IF(C$1=[1]!T.in.A[[#This Row],[oo2]],1,"")</f>
        <v/>
      </c>
      <c r="D300" s="112" t="str">
        <f>IF(Tab.o1[[#This Row],[a1]]=1,IF(SUM(C300:C301)=0,0,IF(SUM(C299:C300)=1,1,IF(SUM(C299:C301)&gt;1,D299+1,0))),"")</f>
        <v/>
      </c>
      <c r="E300" s="113" t="str">
        <f>IF(Tab.o1[[#This Row],[a1]]=1,[1]!T.in.A[[#This Row],[oo1]],"")</f>
        <v/>
      </c>
      <c r="F300" s="113" t="str">
        <f>IF(Tab.o1[[#This Row],[a1]]=1,[1]!T.in.A[[#This Row],[pp1]],"")</f>
        <v/>
      </c>
      <c r="G300" s="114" t="str">
        <f>IF(Tab.o1[[#This Row],[a1]]=1,G$2+IF(G$1=1,0,Tab.o1[[#This Row],[.x1]])+[1]!T.in.A[[#This Row],[oo3]],"")</f>
        <v/>
      </c>
      <c r="H300" s="115" t="str">
        <f>IF(Tab.o1[[#This Row],[a1]]=1,IF(H$2=0,0,IF(G$1=1,0,Tab.o1[[#This Row],[.x1]])+[1]!T.in.A[[#This Row],[oo4]]),"")</f>
        <v/>
      </c>
      <c r="I300" s="116" t="str">
        <f>IF(Tab.o1[[#This Row],[a1]]=1,IF(J$2=0,Tab.o1[[#This Row],[MED]],Tab.o1[[#This Row],[MOD]]),"")</f>
        <v/>
      </c>
      <c r="J300" s="116" t="str">
        <f>IF(Tab.o1[[#This Row],[a1]]=1,((Tab.o1[[#This Row],[DIF_Target.]]-AVERAGE(Tab.o1[DIF_Target.]))/_xlfn.STDEV.P(Tab.o1[DIF_Target.])),"")</f>
        <v/>
      </c>
      <c r="K300" s="117" t="str">
        <f>IF(Tab.o1[[#This Row],[a1]]=1,IF(J$2=0,Tab.o1[[#This Row],[MOD]]-Tab.o1[[#This Row],[B]],IF(J$2=1,0,-Tab.o1[[#This Row],[MED]])+Tab.o1[[#This Row],[B]]),"")</f>
        <v/>
      </c>
      <c r="L300" s="117" t="str">
        <f ca="1">IF(Tab.o1[[#This Row],[DIF_Target]]=0,IF(L$2=0,Tab.o1[[#This Row],[DIF_Target]],AVERAGE(OFFSET(Tab.o1[[#This Row],[DIF_Target]],1,0,L$3,1)))/3,Tab.o1[[#This Row],[DIF_Target]])</f>
        <v/>
      </c>
      <c r="M300" s="118" t="str">
        <f>IF(Tab.o1[[#This Row],[a1]]=1,NORMSDIST(Tab.o1[[#This Row],[Za]]),"")</f>
        <v/>
      </c>
      <c r="N300" s="119" t="str">
        <f>IF(Tab.o1[[#This Row],[a1]]=1,((Tab.o1[[#This Row],[MedMod]]-AVERAGE(Tab.o1[MedMod]))/_xlfn.STDEV.P(Tab.o1[MedMod])*H$1205)+G$1205,"")</f>
        <v/>
      </c>
      <c r="O300" s="141" t="str">
        <f>IF(Tab.o1[[#This Row],[a1]]=1,Tab.o1[[#This Row],[Zb]]*_xlfn.STDEV.P(Tab.o1[MedMod])+AVERAGE(Tab.o1[MedMod]),"")</f>
        <v/>
      </c>
      <c r="P300" s="117" t="str">
        <f ca="1">IF(Tab.o1[[#This Row],[B]]=0,AVERAGE(OFFSET(Tab.o1[[#This Row],[B]],1,0,L$3,1)),Tab.o1[[#This Row],[B]])</f>
        <v/>
      </c>
      <c r="Q300" s="121" t="str">
        <f>IF(Tab.o1[[#This Row],[a1]]=1,NORMSDIST(Tab.o1[[#This Row],[Zb]]),"")</f>
        <v/>
      </c>
      <c r="R300" s="122" t="str">
        <f>IF(Tab.o1[[#This Row],[a1]]=1,((Tab.o1[[#This Row],[MedMod]]-AVERAGE(Tab.o1[MedMod]))/_xlfn.STDEV.P(Tab.o1[MedMod])*H$1203)+G$1203,"")</f>
        <v/>
      </c>
      <c r="S300" s="122" t="str">
        <f>IF(Tab.o1[[#This Row],[a1]]=1,((Tab.o1[[#This Row],[MedMod]]-AVERAGE(Tab.o1[MedMod]))/_xlfn.STDEV.P(Tab.o1[MedMod])*H$1204)+G$1204,"")</f>
        <v/>
      </c>
      <c r="T300" s="123" t="str">
        <f>IF(Tab.o1[[#This Row],[a1]]=1,Tab.o1[[#This Row],[Z-]]*_xlfn.STDEV.P(Tab.o1[B])+AVERAGE(Tab.o1[B]),"")</f>
        <v/>
      </c>
      <c r="U300" s="123" t="str">
        <f>IF(Tab.o1[[#This Row],[a1]]=1,Tab.o1[[#This Row],[z+]]*_xlfn.STDEV.P(Tab.o1[B])+AVERAGE(Tab.o1[B]),"")</f>
        <v/>
      </c>
      <c r="V300" s="124" t="str">
        <f>IF(Tab.o1[[#This Row],[a1]]=1,ABS((ABS(Tab.o1[[#This Row],[Red]]-Tab.o1[[#This Row],[Blue]]))),"")</f>
        <v/>
      </c>
      <c r="W300" s="125" t="str">
        <f>IF(Tab.o1[[#This Row],[a1]]=1,IF(W$3=0,1,Tab.o1[[#This Row],[Amp.]]*1/_xlfn.MINIFS(Tab.o1[Amp.],Tab.o1[Amp.],"&lt;&gt;0")),"")</f>
        <v/>
      </c>
      <c r="X300" s="126" t="str">
        <f>IF(Tab.o1[[#This Row],[a1]]=1,IF(ISNUMBER(Tab.o1[[#This Row],[i.]]),NORMDIST(Tab.o1[[#This Row],[Za]],0,1,FALSE)*Tab.o1[[#This Row],[i.]],AP$3),"")</f>
        <v/>
      </c>
      <c r="Y300" s="126" t="str">
        <f>IF(Tab.o1[[#This Row],[a1]]=1,0.01+0.94*Tab.o1[[#This Row],[PDF]]/MAX(Tab.o1[PDF]),"")</f>
        <v/>
      </c>
      <c r="Z300" s="126" t="str">
        <f>IF(Tab.o1[[#This Row],[a1]]=1,0.01+0.94*Tab.o1[[#This Row],[W1_PDF]]/MAX(Tab.o1[W1_PDF]),"")</f>
        <v/>
      </c>
      <c r="AA300" s="118" t="str">
        <f>IF(Tab.o1[[#This Row],[a1]]=1,ABS([1]!T.in.A[[#This Row],[oo6]]),"")</f>
        <v/>
      </c>
      <c r="AB300" s="127" t="str">
        <f>IF(Tab.o1[[#This Row],[a1]]=1,IF(AE$3=0,"",IF(AB$3=0,ABS([1]!T.in.A[[#This Row],[oo9]]),ABS(Tab.o1[[#This Row],[DIF_Target.]]*Tab.o1[[#This Row],[W1_PDF]]))),"")</f>
        <v/>
      </c>
      <c r="AC300" s="127" t="str">
        <f>IF(G$1=1,"",IF(Tab.o1[[#This Row],[a1]]=1,Tab.o1[[#This Row],[Wr]]^2,""))</f>
        <v/>
      </c>
      <c r="AD300" s="118" t="str">
        <f>IF(Tab.o1[[#This Row],[a1]]=1,IF(AE$3=0,"",Tab.o1[[#This Row],[Wr2]]/SUM(Tab.o1[Wr2])),"")</f>
        <v/>
      </c>
      <c r="AE300" s="128" t="str">
        <f>IF(Tab.o1[[#This Row],[a1]]=1,[1]!T.in.A[[#This Row],[oo10]],"")</f>
        <v/>
      </c>
      <c r="AF300" s="118" t="str">
        <f>IF(Tab.o1[[#This Row],[a1]]=1,ABS(Tab.o1[[#This Row],[DIF_Target.]]*Tab.o1[[#This Row],[PDF2]]*Tab.o1[[#This Row],[IN]]),"")</f>
        <v/>
      </c>
      <c r="AG300" s="129" t="str">
        <f>IF(Tab.o1[[#This Row],[a1]]=1,Tab.o1[[#This Row],[rW]]^2,"")</f>
        <v/>
      </c>
      <c r="AH300" s="130" t="str">
        <f>IF(Tab.o1[[#This Row],[a1]]=1,IF(AH$3=0,Tab.o1[[#This Row],[rW2]],0.01+0.94*Tab.o1[[#This Row],[rW2]]/SUM(Tab.o1[rW2])),"")</f>
        <v/>
      </c>
      <c r="AI300" s="128" t="str">
        <f>IF(Tab.o1[[#This Row],[a1]]=1,1/Tab.o1[[#This Row],[PDF]],"")</f>
        <v/>
      </c>
      <c r="AJ300" s="131" t="str">
        <f>IF(Tab.o1[[#This Row],[a1]]=1,[1]!T_AA[[#This Row],[IN'']]*[1]!T_AA[[#This Row],[Qde'']],"")</f>
        <v/>
      </c>
      <c r="AK300" s="132" t="str">
        <f>IF(Tab.o1[[#This Row],[a1]]=1,IF(AK$1=1,Tab.o1[[#This Row],[MED]]+Tab.o1[[#This Row],[MOD]]-Tab.o1[[#This Row],[MED]],""),"")</f>
        <v/>
      </c>
      <c r="AL300" s="133" t="str">
        <f>IF(Tab.o1[[#This Row],[a1]]=1,[1]!T.in.A[[#This Row],[oo16]],"")</f>
        <v/>
      </c>
      <c r="AM300" s="133" t="str">
        <f>IF(Tab.o1[[#This Row],[a1]]=1,IF(AM$3=1,[1]!T.in.A[[#This Row],[Σo16]],""),"")</f>
        <v/>
      </c>
      <c r="AN300" s="126" t="str">
        <f>IF(Tab.o1[[#This Row],[a1]]=1,[1]!T.in.A[[#This Row],[Σp5]],"")</f>
        <v/>
      </c>
      <c r="AO300" s="126" t="str">
        <f>IF(Tab.o1[[#This Row],[a1]]=1,IF(AO$3=1,[1]!T.in.A[[#This Row],[Σp5]],""),"")</f>
        <v/>
      </c>
      <c r="AP300" s="110" t="str">
        <f>IF(Tab.o1[[#This Row],[a1]]=1,IF(ISNUMBER(Tab.o1[[#This Row],[i.]]),NORMDIST(Tab.o1[[#This Row],[Za]],0,1,FALSE)*Tab.o1[[#This Row],[i.]],0),"")</f>
        <v/>
      </c>
      <c r="AQ300" s="125" t="str">
        <f>IF(Tab.o1[[#This Row],[a1]]=1,ABS(Tab.o1[[#This Row],[MOD]]-AVERAGE(Tab.o1[MOD])),"")</f>
        <v/>
      </c>
      <c r="AR300" s="134" t="str">
        <f>IF(Tab.o1[[#This Row],[a1]]=1,Tab.o1[[#This Row],[OBS]]/SUM(Tab.o1[OBS]),"")</f>
        <v/>
      </c>
      <c r="AS300" s="135" t="str">
        <f>IF(ISNUMBER(Tab.o1[[#This Row],[a1]]),ROW()-4,"")</f>
        <v/>
      </c>
      <c r="AT300" s="136" t="str">
        <f>Tab.o1[[#This Row],[MOD]]</f>
        <v/>
      </c>
      <c r="AU300" s="137" t="str">
        <f t="shared" si="17"/>
        <v/>
      </c>
      <c r="AV300" s="138" t="str">
        <f t="shared" si="18"/>
        <v/>
      </c>
      <c r="AW300" s="138" t="str">
        <f t="shared" si="19"/>
        <v/>
      </c>
      <c r="AX300" s="139" t="str">
        <f>[1]!T.in.A[[#This Row],[ID_T_manu]]</f>
        <v/>
      </c>
      <c r="AY300" s="140" t="str">
        <f>IF(ISNUMBER(Tab.o1[[#This Row],[a1]]),IF(AND(Tab.o1[[#This Row],[a1]]=1,Tab.o1[[#This Row],[b1]]&lt;=AY$4),#REF!,AY299),"")</f>
        <v/>
      </c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</row>
    <row r="301" spans="1:79" ht="15.75" hidden="1">
      <c r="A301" s="109">
        <v>-5.9999999999999993E-6</v>
      </c>
      <c r="B301" s="110">
        <f t="shared" si="16"/>
        <v>301</v>
      </c>
      <c r="C301" s="111" t="str">
        <f>IF(C$1=[1]!T.in.A[[#This Row],[oo2]],1,"")</f>
        <v/>
      </c>
      <c r="D301" s="112" t="str">
        <f>IF(Tab.o1[[#This Row],[a1]]=1,IF(SUM(C301:C302)=0,0,IF(SUM(C300:C301)=1,1,IF(SUM(C300:C302)&gt;1,D300+1,0))),"")</f>
        <v/>
      </c>
      <c r="E301" s="113" t="str">
        <f>IF(Tab.o1[[#This Row],[a1]]=1,[1]!T.in.A[[#This Row],[oo1]],"")</f>
        <v/>
      </c>
      <c r="F301" s="113" t="str">
        <f>IF(Tab.o1[[#This Row],[a1]]=1,[1]!T.in.A[[#This Row],[pp1]],"")</f>
        <v/>
      </c>
      <c r="G301" s="114" t="str">
        <f>IF(Tab.o1[[#This Row],[a1]]=1,G$2+IF(G$1=1,0,Tab.o1[[#This Row],[.x1]])+[1]!T.in.A[[#This Row],[oo3]],"")</f>
        <v/>
      </c>
      <c r="H301" s="115" t="str">
        <f>IF(Tab.o1[[#This Row],[a1]]=1,IF(H$2=0,0,IF(G$1=1,0,Tab.o1[[#This Row],[.x1]])+[1]!T.in.A[[#This Row],[oo4]]),"")</f>
        <v/>
      </c>
      <c r="I301" s="116" t="str">
        <f>IF(Tab.o1[[#This Row],[a1]]=1,IF(J$2=0,Tab.o1[[#This Row],[MED]],Tab.o1[[#This Row],[MOD]]),"")</f>
        <v/>
      </c>
      <c r="J301" s="116" t="str">
        <f>IF(Tab.o1[[#This Row],[a1]]=1,((Tab.o1[[#This Row],[DIF_Target.]]-AVERAGE(Tab.o1[DIF_Target.]))/_xlfn.STDEV.P(Tab.o1[DIF_Target.])),"")</f>
        <v/>
      </c>
      <c r="K301" s="117" t="str">
        <f>IF(Tab.o1[[#This Row],[a1]]=1,IF(J$2=0,Tab.o1[[#This Row],[MOD]]-Tab.o1[[#This Row],[B]],IF(J$2=1,0,-Tab.o1[[#This Row],[MED]])+Tab.o1[[#This Row],[B]]),"")</f>
        <v/>
      </c>
      <c r="L301" s="117" t="str">
        <f ca="1">IF(Tab.o1[[#This Row],[DIF_Target]]=0,IF(L$2=0,Tab.o1[[#This Row],[DIF_Target]],AVERAGE(OFFSET(Tab.o1[[#This Row],[DIF_Target]],1,0,L$3,1)))/3,Tab.o1[[#This Row],[DIF_Target]])</f>
        <v/>
      </c>
      <c r="M301" s="118" t="str">
        <f>IF(Tab.o1[[#This Row],[a1]]=1,NORMSDIST(Tab.o1[[#This Row],[Za]]),"")</f>
        <v/>
      </c>
      <c r="N301" s="119" t="str">
        <f>IF(Tab.o1[[#This Row],[a1]]=1,((Tab.o1[[#This Row],[MedMod]]-AVERAGE(Tab.o1[MedMod]))/_xlfn.STDEV.P(Tab.o1[MedMod])*H$1205)+G$1205,"")</f>
        <v/>
      </c>
      <c r="O301" s="141" t="str">
        <f>IF(Tab.o1[[#This Row],[a1]]=1,Tab.o1[[#This Row],[Zb]]*_xlfn.STDEV.P(Tab.o1[MedMod])+AVERAGE(Tab.o1[MedMod]),"")</f>
        <v/>
      </c>
      <c r="P301" s="117" t="str">
        <f ca="1">IF(Tab.o1[[#This Row],[B]]=0,AVERAGE(OFFSET(Tab.o1[[#This Row],[B]],1,0,L$3,1)),Tab.o1[[#This Row],[B]])</f>
        <v/>
      </c>
      <c r="Q301" s="121" t="str">
        <f>IF(Tab.o1[[#This Row],[a1]]=1,NORMSDIST(Tab.o1[[#This Row],[Zb]]),"")</f>
        <v/>
      </c>
      <c r="R301" s="122" t="str">
        <f>IF(Tab.o1[[#This Row],[a1]]=1,((Tab.o1[[#This Row],[MedMod]]-AVERAGE(Tab.o1[MedMod]))/_xlfn.STDEV.P(Tab.o1[MedMod])*H$1203)+G$1203,"")</f>
        <v/>
      </c>
      <c r="S301" s="122" t="str">
        <f>IF(Tab.o1[[#This Row],[a1]]=1,((Tab.o1[[#This Row],[MedMod]]-AVERAGE(Tab.o1[MedMod]))/_xlfn.STDEV.P(Tab.o1[MedMod])*H$1204)+G$1204,"")</f>
        <v/>
      </c>
      <c r="T301" s="123" t="str">
        <f>IF(Tab.o1[[#This Row],[a1]]=1,Tab.o1[[#This Row],[Z-]]*_xlfn.STDEV.P(Tab.o1[B])+AVERAGE(Tab.o1[B]),"")</f>
        <v/>
      </c>
      <c r="U301" s="123" t="str">
        <f>IF(Tab.o1[[#This Row],[a1]]=1,Tab.o1[[#This Row],[z+]]*_xlfn.STDEV.P(Tab.o1[B])+AVERAGE(Tab.o1[B]),"")</f>
        <v/>
      </c>
      <c r="V301" s="124" t="str">
        <f>IF(Tab.o1[[#This Row],[a1]]=1,ABS((ABS(Tab.o1[[#This Row],[Red]]-Tab.o1[[#This Row],[Blue]]))),"")</f>
        <v/>
      </c>
      <c r="W301" s="125" t="str">
        <f>IF(Tab.o1[[#This Row],[a1]]=1,IF(W$3=0,1,Tab.o1[[#This Row],[Amp.]]*1/_xlfn.MINIFS(Tab.o1[Amp.],Tab.o1[Amp.],"&lt;&gt;0")),"")</f>
        <v/>
      </c>
      <c r="X301" s="126" t="str">
        <f>IF(Tab.o1[[#This Row],[a1]]=1,IF(ISNUMBER(Tab.o1[[#This Row],[i.]]),NORMDIST(Tab.o1[[#This Row],[Za]],0,1,FALSE)*Tab.o1[[#This Row],[i.]],AP$3),"")</f>
        <v/>
      </c>
      <c r="Y301" s="126" t="str">
        <f>IF(Tab.o1[[#This Row],[a1]]=1,0.01+0.94*Tab.o1[[#This Row],[PDF]]/MAX(Tab.o1[PDF]),"")</f>
        <v/>
      </c>
      <c r="Z301" s="126" t="str">
        <f>IF(Tab.o1[[#This Row],[a1]]=1,0.01+0.94*Tab.o1[[#This Row],[W1_PDF]]/MAX(Tab.o1[W1_PDF]),"")</f>
        <v/>
      </c>
      <c r="AA301" s="118" t="str">
        <f>IF(Tab.o1[[#This Row],[a1]]=1,ABS([1]!T.in.A[[#This Row],[oo6]]),"")</f>
        <v/>
      </c>
      <c r="AB301" s="127" t="str">
        <f>IF(Tab.o1[[#This Row],[a1]]=1,IF(AE$3=0,"",IF(AB$3=0,ABS([1]!T.in.A[[#This Row],[oo9]]),ABS(Tab.o1[[#This Row],[DIF_Target.]]*Tab.o1[[#This Row],[W1_PDF]]))),"")</f>
        <v/>
      </c>
      <c r="AC301" s="127" t="str">
        <f>IF(G$1=1,"",IF(Tab.o1[[#This Row],[a1]]=1,Tab.o1[[#This Row],[Wr]]^2,""))</f>
        <v/>
      </c>
      <c r="AD301" s="118" t="str">
        <f>IF(Tab.o1[[#This Row],[a1]]=1,IF(AE$3=0,"",Tab.o1[[#This Row],[Wr2]]/SUM(Tab.o1[Wr2])),"")</f>
        <v/>
      </c>
      <c r="AE301" s="128" t="str">
        <f>IF(Tab.o1[[#This Row],[a1]]=1,[1]!T.in.A[[#This Row],[oo10]],"")</f>
        <v/>
      </c>
      <c r="AF301" s="118" t="str">
        <f>IF(Tab.o1[[#This Row],[a1]]=1,ABS(Tab.o1[[#This Row],[DIF_Target.]]*Tab.o1[[#This Row],[PDF2]]*Tab.o1[[#This Row],[IN]]),"")</f>
        <v/>
      </c>
      <c r="AG301" s="129" t="str">
        <f>IF(Tab.o1[[#This Row],[a1]]=1,Tab.o1[[#This Row],[rW]]^2,"")</f>
        <v/>
      </c>
      <c r="AH301" s="130" t="str">
        <f>IF(Tab.o1[[#This Row],[a1]]=1,IF(AH$3=0,Tab.o1[[#This Row],[rW2]],0.01+0.94*Tab.o1[[#This Row],[rW2]]/SUM(Tab.o1[rW2])),"")</f>
        <v/>
      </c>
      <c r="AI301" s="128" t="str">
        <f>IF(Tab.o1[[#This Row],[a1]]=1,1/Tab.o1[[#This Row],[PDF]],"")</f>
        <v/>
      </c>
      <c r="AJ301" s="131" t="str">
        <f>IF(Tab.o1[[#This Row],[a1]]=1,[1]!T_AA[[#This Row],[IN'']]*[1]!T_AA[[#This Row],[Qde'']],"")</f>
        <v/>
      </c>
      <c r="AK301" s="132" t="str">
        <f>IF(Tab.o1[[#This Row],[a1]]=1,IF(AK$1=1,Tab.o1[[#This Row],[MED]]+Tab.o1[[#This Row],[MOD]]-Tab.o1[[#This Row],[MED]],""),"")</f>
        <v/>
      </c>
      <c r="AL301" s="133" t="str">
        <f>IF(Tab.o1[[#This Row],[a1]]=1,[1]!T.in.A[[#This Row],[oo16]],"")</f>
        <v/>
      </c>
      <c r="AM301" s="133" t="str">
        <f>IF(Tab.o1[[#This Row],[a1]]=1,IF(AM$3=1,[1]!T.in.A[[#This Row],[Σo16]],""),"")</f>
        <v/>
      </c>
      <c r="AN301" s="126" t="str">
        <f>IF(Tab.o1[[#This Row],[a1]]=1,[1]!T.in.A[[#This Row],[Σp5]],"")</f>
        <v/>
      </c>
      <c r="AO301" s="126" t="str">
        <f>IF(Tab.o1[[#This Row],[a1]]=1,IF(AO$3=1,[1]!T.in.A[[#This Row],[Σp5]],""),"")</f>
        <v/>
      </c>
      <c r="AP301" s="110" t="str">
        <f>IF(Tab.o1[[#This Row],[a1]]=1,IF(ISNUMBER(Tab.o1[[#This Row],[i.]]),NORMDIST(Tab.o1[[#This Row],[Za]],0,1,FALSE)*Tab.o1[[#This Row],[i.]],0),"")</f>
        <v/>
      </c>
      <c r="AQ301" s="125" t="str">
        <f>IF(Tab.o1[[#This Row],[a1]]=1,ABS(Tab.o1[[#This Row],[MOD]]-AVERAGE(Tab.o1[MOD])),"")</f>
        <v/>
      </c>
      <c r="AR301" s="134" t="str">
        <f>IF(Tab.o1[[#This Row],[a1]]=1,Tab.o1[[#This Row],[OBS]]/SUM(Tab.o1[OBS]),"")</f>
        <v/>
      </c>
      <c r="AS301" s="135" t="str">
        <f>IF(ISNUMBER(Tab.o1[[#This Row],[a1]]),ROW()-4,"")</f>
        <v/>
      </c>
      <c r="AT301" s="136" t="str">
        <f>Tab.o1[[#This Row],[MOD]]</f>
        <v/>
      </c>
      <c r="AU301" s="137" t="str">
        <f t="shared" si="17"/>
        <v/>
      </c>
      <c r="AV301" s="138" t="str">
        <f t="shared" si="18"/>
        <v/>
      </c>
      <c r="AW301" s="138" t="str">
        <f t="shared" si="19"/>
        <v/>
      </c>
      <c r="AX301" s="139" t="str">
        <f>[1]!T.in.A[[#This Row],[ID_T_manu]]</f>
        <v/>
      </c>
      <c r="AY301" s="140" t="str">
        <f>IF(ISNUMBER(Tab.o1[[#This Row],[a1]]),IF(AND(Tab.o1[[#This Row],[a1]]=1,Tab.o1[[#This Row],[b1]]&lt;=AY$4),#REF!,AY300),"")</f>
        <v/>
      </c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</row>
    <row r="302" spans="1:79" ht="15.75" hidden="1">
      <c r="A302" s="109">
        <v>-2.9999999999999997E-6</v>
      </c>
      <c r="B302" s="110">
        <f t="shared" si="16"/>
        <v>302</v>
      </c>
      <c r="C302" s="111" t="str">
        <f>IF(C$1=[1]!T.in.A[[#This Row],[oo2]],1,"")</f>
        <v/>
      </c>
      <c r="D302" s="112" t="str">
        <f>IF(Tab.o1[[#This Row],[a1]]=1,IF(SUM(C302:C303)=0,0,IF(SUM(C301:C302)=1,1,IF(SUM(C301:C303)&gt;1,D301+1,0))),"")</f>
        <v/>
      </c>
      <c r="E302" s="113" t="str">
        <f>IF(Tab.o1[[#This Row],[a1]]=1,[1]!T.in.A[[#This Row],[oo1]],"")</f>
        <v/>
      </c>
      <c r="F302" s="113" t="str">
        <f>IF(Tab.o1[[#This Row],[a1]]=1,[1]!T.in.A[[#This Row],[pp1]],"")</f>
        <v/>
      </c>
      <c r="G302" s="114" t="str">
        <f>IF(Tab.o1[[#This Row],[a1]]=1,G$2+IF(G$1=1,0,Tab.o1[[#This Row],[.x1]])+[1]!T.in.A[[#This Row],[oo3]],"")</f>
        <v/>
      </c>
      <c r="H302" s="115" t="str">
        <f>IF(Tab.o1[[#This Row],[a1]]=1,IF(H$2=0,0,IF(G$1=1,0,Tab.o1[[#This Row],[.x1]])+[1]!T.in.A[[#This Row],[oo4]]),"")</f>
        <v/>
      </c>
      <c r="I302" s="116" t="str">
        <f>IF(Tab.o1[[#This Row],[a1]]=1,IF(J$2=0,Tab.o1[[#This Row],[MED]],Tab.o1[[#This Row],[MOD]]),"")</f>
        <v/>
      </c>
      <c r="J302" s="116" t="str">
        <f>IF(Tab.o1[[#This Row],[a1]]=1,((Tab.o1[[#This Row],[DIF_Target.]]-AVERAGE(Tab.o1[DIF_Target.]))/_xlfn.STDEV.P(Tab.o1[DIF_Target.])),"")</f>
        <v/>
      </c>
      <c r="K302" s="117" t="str">
        <f>IF(Tab.o1[[#This Row],[a1]]=1,IF(J$2=0,Tab.o1[[#This Row],[MOD]]-Tab.o1[[#This Row],[B]],IF(J$2=1,0,-Tab.o1[[#This Row],[MED]])+Tab.o1[[#This Row],[B]]),"")</f>
        <v/>
      </c>
      <c r="L302" s="117" t="str">
        <f ca="1">IF(Tab.o1[[#This Row],[DIF_Target]]=0,IF(L$2=0,Tab.o1[[#This Row],[DIF_Target]],AVERAGE(OFFSET(Tab.o1[[#This Row],[DIF_Target]],1,0,L$3,1)))/3,Tab.o1[[#This Row],[DIF_Target]])</f>
        <v/>
      </c>
      <c r="M302" s="118" t="str">
        <f>IF(Tab.o1[[#This Row],[a1]]=1,NORMSDIST(Tab.o1[[#This Row],[Za]]),"")</f>
        <v/>
      </c>
      <c r="N302" s="119" t="str">
        <f>IF(Tab.o1[[#This Row],[a1]]=1,((Tab.o1[[#This Row],[MedMod]]-AVERAGE(Tab.o1[MedMod]))/_xlfn.STDEV.P(Tab.o1[MedMod])*H$1205)+G$1205,"")</f>
        <v/>
      </c>
      <c r="O302" s="141" t="str">
        <f>IF(Tab.o1[[#This Row],[a1]]=1,Tab.o1[[#This Row],[Zb]]*_xlfn.STDEV.P(Tab.o1[MedMod])+AVERAGE(Tab.o1[MedMod]),"")</f>
        <v/>
      </c>
      <c r="P302" s="117" t="str">
        <f ca="1">IF(Tab.o1[[#This Row],[B]]=0,AVERAGE(OFFSET(Tab.o1[[#This Row],[B]],1,0,L$3,1)),Tab.o1[[#This Row],[B]])</f>
        <v/>
      </c>
      <c r="Q302" s="121" t="str">
        <f>IF(Tab.o1[[#This Row],[a1]]=1,NORMSDIST(Tab.o1[[#This Row],[Zb]]),"")</f>
        <v/>
      </c>
      <c r="R302" s="122" t="str">
        <f>IF(Tab.o1[[#This Row],[a1]]=1,((Tab.o1[[#This Row],[MedMod]]-AVERAGE(Tab.o1[MedMod]))/_xlfn.STDEV.P(Tab.o1[MedMod])*H$1203)+G$1203,"")</f>
        <v/>
      </c>
      <c r="S302" s="122" t="str">
        <f>IF(Tab.o1[[#This Row],[a1]]=1,((Tab.o1[[#This Row],[MedMod]]-AVERAGE(Tab.o1[MedMod]))/_xlfn.STDEV.P(Tab.o1[MedMod])*H$1204)+G$1204,"")</f>
        <v/>
      </c>
      <c r="T302" s="123" t="str">
        <f>IF(Tab.o1[[#This Row],[a1]]=1,Tab.o1[[#This Row],[Z-]]*_xlfn.STDEV.P(Tab.o1[B])+AVERAGE(Tab.o1[B]),"")</f>
        <v/>
      </c>
      <c r="U302" s="123" t="str">
        <f>IF(Tab.o1[[#This Row],[a1]]=1,Tab.o1[[#This Row],[z+]]*_xlfn.STDEV.P(Tab.o1[B])+AVERAGE(Tab.o1[B]),"")</f>
        <v/>
      </c>
      <c r="V302" s="124" t="str">
        <f>IF(Tab.o1[[#This Row],[a1]]=1,ABS((ABS(Tab.o1[[#This Row],[Red]]-Tab.o1[[#This Row],[Blue]]))),"")</f>
        <v/>
      </c>
      <c r="W302" s="125" t="str">
        <f>IF(Tab.o1[[#This Row],[a1]]=1,IF(W$3=0,1,Tab.o1[[#This Row],[Amp.]]*1/_xlfn.MINIFS(Tab.o1[Amp.],Tab.o1[Amp.],"&lt;&gt;0")),"")</f>
        <v/>
      </c>
      <c r="X302" s="126" t="str">
        <f>IF(Tab.o1[[#This Row],[a1]]=1,IF(ISNUMBER(Tab.o1[[#This Row],[i.]]),NORMDIST(Tab.o1[[#This Row],[Za]],0,1,FALSE)*Tab.o1[[#This Row],[i.]],AP$3),"")</f>
        <v/>
      </c>
      <c r="Y302" s="126" t="str">
        <f>IF(Tab.o1[[#This Row],[a1]]=1,0.01+0.94*Tab.o1[[#This Row],[PDF]]/MAX(Tab.o1[PDF]),"")</f>
        <v/>
      </c>
      <c r="Z302" s="126" t="str">
        <f>IF(Tab.o1[[#This Row],[a1]]=1,0.01+0.94*Tab.o1[[#This Row],[W1_PDF]]/MAX(Tab.o1[W1_PDF]),"")</f>
        <v/>
      </c>
      <c r="AA302" s="118" t="str">
        <f>IF(Tab.o1[[#This Row],[a1]]=1,ABS([1]!T.in.A[[#This Row],[oo6]]),"")</f>
        <v/>
      </c>
      <c r="AB302" s="127" t="str">
        <f>IF(Tab.o1[[#This Row],[a1]]=1,IF(AE$3=0,"",IF(AB$3=0,ABS([1]!T.in.A[[#This Row],[oo9]]),ABS(Tab.o1[[#This Row],[DIF_Target.]]*Tab.o1[[#This Row],[W1_PDF]]))),"")</f>
        <v/>
      </c>
      <c r="AC302" s="127" t="str">
        <f>IF(G$1=1,"",IF(Tab.o1[[#This Row],[a1]]=1,Tab.o1[[#This Row],[Wr]]^2,""))</f>
        <v/>
      </c>
      <c r="AD302" s="118" t="str">
        <f>IF(Tab.o1[[#This Row],[a1]]=1,IF(AE$3=0,"",Tab.o1[[#This Row],[Wr2]]/SUM(Tab.o1[Wr2])),"")</f>
        <v/>
      </c>
      <c r="AE302" s="128" t="str">
        <f>IF(Tab.o1[[#This Row],[a1]]=1,[1]!T.in.A[[#This Row],[oo10]],"")</f>
        <v/>
      </c>
      <c r="AF302" s="118" t="str">
        <f>IF(Tab.o1[[#This Row],[a1]]=1,ABS(Tab.o1[[#This Row],[DIF_Target.]]*Tab.o1[[#This Row],[PDF2]]*Tab.o1[[#This Row],[IN]]),"")</f>
        <v/>
      </c>
      <c r="AG302" s="129" t="str">
        <f>IF(Tab.o1[[#This Row],[a1]]=1,Tab.o1[[#This Row],[rW]]^2,"")</f>
        <v/>
      </c>
      <c r="AH302" s="130" t="str">
        <f>IF(Tab.o1[[#This Row],[a1]]=1,IF(AH$3=0,Tab.o1[[#This Row],[rW2]],0.01+0.94*Tab.o1[[#This Row],[rW2]]/SUM(Tab.o1[rW2])),"")</f>
        <v/>
      </c>
      <c r="AI302" s="128" t="str">
        <f>IF(Tab.o1[[#This Row],[a1]]=1,1/Tab.o1[[#This Row],[PDF]],"")</f>
        <v/>
      </c>
      <c r="AJ302" s="131" t="str">
        <f>IF(Tab.o1[[#This Row],[a1]]=1,[1]!T_AA[[#This Row],[IN'']]*[1]!T_AA[[#This Row],[Qde'']],"")</f>
        <v/>
      </c>
      <c r="AK302" s="132" t="str">
        <f>IF(Tab.o1[[#This Row],[a1]]=1,IF(AK$1=1,Tab.o1[[#This Row],[MED]]+Tab.o1[[#This Row],[MOD]]-Tab.o1[[#This Row],[MED]],""),"")</f>
        <v/>
      </c>
      <c r="AL302" s="133" t="str">
        <f>IF(Tab.o1[[#This Row],[a1]]=1,[1]!T.in.A[[#This Row],[oo16]],"")</f>
        <v/>
      </c>
      <c r="AM302" s="133" t="str">
        <f>IF(Tab.o1[[#This Row],[a1]]=1,IF(AM$3=1,[1]!T.in.A[[#This Row],[Σo16]],""),"")</f>
        <v/>
      </c>
      <c r="AN302" s="126" t="str">
        <f>IF(Tab.o1[[#This Row],[a1]]=1,[1]!T.in.A[[#This Row],[Σp5]],"")</f>
        <v/>
      </c>
      <c r="AO302" s="126" t="str">
        <f>IF(Tab.o1[[#This Row],[a1]]=1,IF(AO$3=1,[1]!T.in.A[[#This Row],[Σp5]],""),"")</f>
        <v/>
      </c>
      <c r="AP302" s="110" t="str">
        <f>IF(Tab.o1[[#This Row],[a1]]=1,IF(ISNUMBER(Tab.o1[[#This Row],[i.]]),NORMDIST(Tab.o1[[#This Row],[Za]],0,1,FALSE)*Tab.o1[[#This Row],[i.]],0),"")</f>
        <v/>
      </c>
      <c r="AQ302" s="125" t="str">
        <f>IF(Tab.o1[[#This Row],[a1]]=1,ABS(Tab.o1[[#This Row],[MOD]]-AVERAGE(Tab.o1[MOD])),"")</f>
        <v/>
      </c>
      <c r="AR302" s="134" t="str">
        <f>IF(Tab.o1[[#This Row],[a1]]=1,Tab.o1[[#This Row],[OBS]]/SUM(Tab.o1[OBS]),"")</f>
        <v/>
      </c>
      <c r="AS302" s="135" t="str">
        <f>IF(ISNUMBER(Tab.o1[[#This Row],[a1]]),ROW()-4,"")</f>
        <v/>
      </c>
      <c r="AT302" s="136" t="str">
        <f>Tab.o1[[#This Row],[MOD]]</f>
        <v/>
      </c>
      <c r="AU302" s="137" t="str">
        <f t="shared" si="17"/>
        <v/>
      </c>
      <c r="AV302" s="138" t="str">
        <f t="shared" si="18"/>
        <v/>
      </c>
      <c r="AW302" s="138" t="str">
        <f t="shared" si="19"/>
        <v/>
      </c>
      <c r="AX302" s="139" t="str">
        <f>[1]!T.in.A[[#This Row],[ID_T_manu]]</f>
        <v/>
      </c>
      <c r="AY302" s="140" t="str">
        <f>IF(ISNUMBER(Tab.o1[[#This Row],[a1]]),IF(AND(Tab.o1[[#This Row],[a1]]=1,Tab.o1[[#This Row],[b1]]&lt;=AY$4),#REF!,AY301),"")</f>
        <v/>
      </c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</row>
    <row r="303" spans="1:79" ht="15.75" hidden="1">
      <c r="A303" s="109">
        <v>5.9999999999999993E-6</v>
      </c>
      <c r="B303" s="110">
        <f t="shared" si="16"/>
        <v>303</v>
      </c>
      <c r="C303" s="111" t="str">
        <f>IF(C$1=[1]!T.in.A[[#This Row],[oo2]],1,"")</f>
        <v/>
      </c>
      <c r="D303" s="112" t="str">
        <f>IF(Tab.o1[[#This Row],[a1]]=1,IF(SUM(C303:C304)=0,0,IF(SUM(C302:C303)=1,1,IF(SUM(C302:C304)&gt;1,D302+1,0))),"")</f>
        <v/>
      </c>
      <c r="E303" s="113" t="str">
        <f>IF(Tab.o1[[#This Row],[a1]]=1,[1]!T.in.A[[#This Row],[oo1]],"")</f>
        <v/>
      </c>
      <c r="F303" s="113" t="str">
        <f>IF(Tab.o1[[#This Row],[a1]]=1,[1]!T.in.A[[#This Row],[pp1]],"")</f>
        <v/>
      </c>
      <c r="G303" s="114" t="str">
        <f>IF(Tab.o1[[#This Row],[a1]]=1,G$2+IF(G$1=1,0,Tab.o1[[#This Row],[.x1]])+[1]!T.in.A[[#This Row],[oo3]],"")</f>
        <v/>
      </c>
      <c r="H303" s="115" t="str">
        <f>IF(Tab.o1[[#This Row],[a1]]=1,IF(H$2=0,0,IF(G$1=1,0,Tab.o1[[#This Row],[.x1]])+[1]!T.in.A[[#This Row],[oo4]]),"")</f>
        <v/>
      </c>
      <c r="I303" s="116" t="str">
        <f>IF(Tab.o1[[#This Row],[a1]]=1,IF(J$2=0,Tab.o1[[#This Row],[MED]],Tab.o1[[#This Row],[MOD]]),"")</f>
        <v/>
      </c>
      <c r="J303" s="116" t="str">
        <f>IF(Tab.o1[[#This Row],[a1]]=1,((Tab.o1[[#This Row],[DIF_Target.]]-AVERAGE(Tab.o1[DIF_Target.]))/_xlfn.STDEV.P(Tab.o1[DIF_Target.])),"")</f>
        <v/>
      </c>
      <c r="K303" s="117" t="str">
        <f>IF(Tab.o1[[#This Row],[a1]]=1,IF(J$2=0,Tab.o1[[#This Row],[MOD]]-Tab.o1[[#This Row],[B]],IF(J$2=1,0,-Tab.o1[[#This Row],[MED]])+Tab.o1[[#This Row],[B]]),"")</f>
        <v/>
      </c>
      <c r="L303" s="117" t="str">
        <f ca="1">IF(Tab.o1[[#This Row],[DIF_Target]]=0,IF(L$2=0,Tab.o1[[#This Row],[DIF_Target]],AVERAGE(OFFSET(Tab.o1[[#This Row],[DIF_Target]],1,0,L$3,1)))/3,Tab.o1[[#This Row],[DIF_Target]])</f>
        <v/>
      </c>
      <c r="M303" s="118" t="str">
        <f>IF(Tab.o1[[#This Row],[a1]]=1,NORMSDIST(Tab.o1[[#This Row],[Za]]),"")</f>
        <v/>
      </c>
      <c r="N303" s="119" t="str">
        <f>IF(Tab.o1[[#This Row],[a1]]=1,((Tab.o1[[#This Row],[MedMod]]-AVERAGE(Tab.o1[MedMod]))/_xlfn.STDEV.P(Tab.o1[MedMod])*H$1205)+G$1205,"")</f>
        <v/>
      </c>
      <c r="O303" s="141" t="str">
        <f>IF(Tab.o1[[#This Row],[a1]]=1,Tab.o1[[#This Row],[Zb]]*_xlfn.STDEV.P(Tab.o1[MedMod])+AVERAGE(Tab.o1[MedMod]),"")</f>
        <v/>
      </c>
      <c r="P303" s="117" t="str">
        <f ca="1">IF(Tab.o1[[#This Row],[B]]=0,AVERAGE(OFFSET(Tab.o1[[#This Row],[B]],1,0,L$3,1)),Tab.o1[[#This Row],[B]])</f>
        <v/>
      </c>
      <c r="Q303" s="121" t="str">
        <f>IF(Tab.o1[[#This Row],[a1]]=1,NORMSDIST(Tab.o1[[#This Row],[Zb]]),"")</f>
        <v/>
      </c>
      <c r="R303" s="122" t="str">
        <f>IF(Tab.o1[[#This Row],[a1]]=1,((Tab.o1[[#This Row],[MedMod]]-AVERAGE(Tab.o1[MedMod]))/_xlfn.STDEV.P(Tab.o1[MedMod])*H$1203)+G$1203,"")</f>
        <v/>
      </c>
      <c r="S303" s="122" t="str">
        <f>IF(Tab.o1[[#This Row],[a1]]=1,((Tab.o1[[#This Row],[MedMod]]-AVERAGE(Tab.o1[MedMod]))/_xlfn.STDEV.P(Tab.o1[MedMod])*H$1204)+G$1204,"")</f>
        <v/>
      </c>
      <c r="T303" s="123" t="str">
        <f>IF(Tab.o1[[#This Row],[a1]]=1,Tab.o1[[#This Row],[Z-]]*_xlfn.STDEV.P(Tab.o1[B])+AVERAGE(Tab.o1[B]),"")</f>
        <v/>
      </c>
      <c r="U303" s="123" t="str">
        <f>IF(Tab.o1[[#This Row],[a1]]=1,Tab.o1[[#This Row],[z+]]*_xlfn.STDEV.P(Tab.o1[B])+AVERAGE(Tab.o1[B]),"")</f>
        <v/>
      </c>
      <c r="V303" s="124" t="str">
        <f>IF(Tab.o1[[#This Row],[a1]]=1,ABS((ABS(Tab.o1[[#This Row],[Red]]-Tab.o1[[#This Row],[Blue]]))),"")</f>
        <v/>
      </c>
      <c r="W303" s="125" t="str">
        <f>IF(Tab.o1[[#This Row],[a1]]=1,IF(W$3=0,1,Tab.o1[[#This Row],[Amp.]]*1/_xlfn.MINIFS(Tab.o1[Amp.],Tab.o1[Amp.],"&lt;&gt;0")),"")</f>
        <v/>
      </c>
      <c r="X303" s="126" t="str">
        <f>IF(Tab.o1[[#This Row],[a1]]=1,IF(ISNUMBER(Tab.o1[[#This Row],[i.]]),NORMDIST(Tab.o1[[#This Row],[Za]],0,1,FALSE)*Tab.o1[[#This Row],[i.]],AP$3),"")</f>
        <v/>
      </c>
      <c r="Y303" s="126" t="str">
        <f>IF(Tab.o1[[#This Row],[a1]]=1,0.01+0.94*Tab.o1[[#This Row],[PDF]]/MAX(Tab.o1[PDF]),"")</f>
        <v/>
      </c>
      <c r="Z303" s="126" t="str">
        <f>IF(Tab.o1[[#This Row],[a1]]=1,0.01+0.94*Tab.o1[[#This Row],[W1_PDF]]/MAX(Tab.o1[W1_PDF]),"")</f>
        <v/>
      </c>
      <c r="AA303" s="118" t="str">
        <f>IF(Tab.o1[[#This Row],[a1]]=1,ABS([1]!T.in.A[[#This Row],[oo6]]),"")</f>
        <v/>
      </c>
      <c r="AB303" s="127" t="str">
        <f>IF(Tab.o1[[#This Row],[a1]]=1,IF(AE$3=0,"",IF(AB$3=0,ABS([1]!T.in.A[[#This Row],[oo9]]),ABS(Tab.o1[[#This Row],[DIF_Target.]]*Tab.o1[[#This Row],[W1_PDF]]))),"")</f>
        <v/>
      </c>
      <c r="AC303" s="127" t="str">
        <f>IF(G$1=1,"",IF(Tab.o1[[#This Row],[a1]]=1,Tab.o1[[#This Row],[Wr]]^2,""))</f>
        <v/>
      </c>
      <c r="AD303" s="118" t="str">
        <f>IF(Tab.o1[[#This Row],[a1]]=1,IF(AE$3=0,"",Tab.o1[[#This Row],[Wr2]]/SUM(Tab.o1[Wr2])),"")</f>
        <v/>
      </c>
      <c r="AE303" s="128" t="str">
        <f>IF(Tab.o1[[#This Row],[a1]]=1,[1]!T.in.A[[#This Row],[oo10]],"")</f>
        <v/>
      </c>
      <c r="AF303" s="118" t="str">
        <f>IF(Tab.o1[[#This Row],[a1]]=1,ABS(Tab.o1[[#This Row],[DIF_Target.]]*Tab.o1[[#This Row],[PDF2]]*Tab.o1[[#This Row],[IN]]),"")</f>
        <v/>
      </c>
      <c r="AG303" s="129" t="str">
        <f>IF(Tab.o1[[#This Row],[a1]]=1,Tab.o1[[#This Row],[rW]]^2,"")</f>
        <v/>
      </c>
      <c r="AH303" s="130" t="str">
        <f>IF(Tab.o1[[#This Row],[a1]]=1,IF(AH$3=0,Tab.o1[[#This Row],[rW2]],0.01+0.94*Tab.o1[[#This Row],[rW2]]/SUM(Tab.o1[rW2])),"")</f>
        <v/>
      </c>
      <c r="AI303" s="128" t="str">
        <f>IF(Tab.o1[[#This Row],[a1]]=1,1/Tab.o1[[#This Row],[PDF]],"")</f>
        <v/>
      </c>
      <c r="AJ303" s="131" t="str">
        <f>IF(Tab.o1[[#This Row],[a1]]=1,[1]!T_AA[[#This Row],[IN'']]*[1]!T_AA[[#This Row],[Qde'']],"")</f>
        <v/>
      </c>
      <c r="AK303" s="132" t="str">
        <f>IF(Tab.o1[[#This Row],[a1]]=1,IF(AK$1=1,Tab.o1[[#This Row],[MED]]+Tab.o1[[#This Row],[MOD]]-Tab.o1[[#This Row],[MED]],""),"")</f>
        <v/>
      </c>
      <c r="AL303" s="133" t="str">
        <f>IF(Tab.o1[[#This Row],[a1]]=1,[1]!T.in.A[[#This Row],[oo16]],"")</f>
        <v/>
      </c>
      <c r="AM303" s="133" t="str">
        <f>IF(Tab.o1[[#This Row],[a1]]=1,IF(AM$3=1,[1]!T.in.A[[#This Row],[Σo16]],""),"")</f>
        <v/>
      </c>
      <c r="AN303" s="126" t="str">
        <f>IF(Tab.o1[[#This Row],[a1]]=1,[1]!T.in.A[[#This Row],[Σp5]],"")</f>
        <v/>
      </c>
      <c r="AO303" s="126" t="str">
        <f>IF(Tab.o1[[#This Row],[a1]]=1,IF(AO$3=1,[1]!T.in.A[[#This Row],[Σp5]],""),"")</f>
        <v/>
      </c>
      <c r="AP303" s="110" t="str">
        <f>IF(Tab.o1[[#This Row],[a1]]=1,IF(ISNUMBER(Tab.o1[[#This Row],[i.]]),NORMDIST(Tab.o1[[#This Row],[Za]],0,1,FALSE)*Tab.o1[[#This Row],[i.]],0),"")</f>
        <v/>
      </c>
      <c r="AQ303" s="125" t="str">
        <f>IF(Tab.o1[[#This Row],[a1]]=1,ABS(Tab.o1[[#This Row],[MOD]]-AVERAGE(Tab.o1[MOD])),"")</f>
        <v/>
      </c>
      <c r="AR303" s="134" t="str">
        <f>IF(Tab.o1[[#This Row],[a1]]=1,Tab.o1[[#This Row],[OBS]]/SUM(Tab.o1[OBS]),"")</f>
        <v/>
      </c>
      <c r="AS303" s="135" t="str">
        <f>IF(ISNUMBER(Tab.o1[[#This Row],[a1]]),ROW()-4,"")</f>
        <v/>
      </c>
      <c r="AT303" s="136" t="str">
        <f>Tab.o1[[#This Row],[MOD]]</f>
        <v/>
      </c>
      <c r="AU303" s="137" t="str">
        <f t="shared" si="17"/>
        <v/>
      </c>
      <c r="AV303" s="138" t="str">
        <f t="shared" si="18"/>
        <v/>
      </c>
      <c r="AW303" s="138" t="str">
        <f t="shared" si="19"/>
        <v/>
      </c>
      <c r="AX303" s="139" t="str">
        <f>[1]!T.in.A[[#This Row],[ID_T_manu]]</f>
        <v/>
      </c>
      <c r="AY303" s="140" t="str">
        <f>IF(ISNUMBER(Tab.o1[[#This Row],[a1]]),IF(AND(Tab.o1[[#This Row],[a1]]=1,Tab.o1[[#This Row],[b1]]&lt;=AY$4),#REF!,AY302),"")</f>
        <v/>
      </c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</row>
    <row r="304" spans="1:79" ht="15.75" hidden="1">
      <c r="A304" s="109">
        <v>-4.0000000000000007E-6</v>
      </c>
      <c r="B304" s="110">
        <f t="shared" si="16"/>
        <v>304</v>
      </c>
      <c r="C304" s="111" t="str">
        <f>IF(C$1=[1]!T.in.A[[#This Row],[oo2]],1,"")</f>
        <v/>
      </c>
      <c r="D304" s="112" t="str">
        <f>IF(Tab.o1[[#This Row],[a1]]=1,IF(SUM(C304:C305)=0,0,IF(SUM(C303:C304)=1,1,IF(SUM(C303:C305)&gt;1,D303+1,0))),"")</f>
        <v/>
      </c>
      <c r="E304" s="113" t="str">
        <f>IF(Tab.o1[[#This Row],[a1]]=1,[1]!T.in.A[[#This Row],[oo1]],"")</f>
        <v/>
      </c>
      <c r="F304" s="113" t="str">
        <f>IF(Tab.o1[[#This Row],[a1]]=1,[1]!T.in.A[[#This Row],[pp1]],"")</f>
        <v/>
      </c>
      <c r="G304" s="114" t="str">
        <f>IF(Tab.o1[[#This Row],[a1]]=1,G$2+IF(G$1=1,0,Tab.o1[[#This Row],[.x1]])+[1]!T.in.A[[#This Row],[oo3]],"")</f>
        <v/>
      </c>
      <c r="H304" s="115" t="str">
        <f>IF(Tab.o1[[#This Row],[a1]]=1,IF(H$2=0,0,IF(G$1=1,0,Tab.o1[[#This Row],[.x1]])+[1]!T.in.A[[#This Row],[oo4]]),"")</f>
        <v/>
      </c>
      <c r="I304" s="116" t="str">
        <f>IF(Tab.o1[[#This Row],[a1]]=1,IF(J$2=0,Tab.o1[[#This Row],[MED]],Tab.o1[[#This Row],[MOD]]),"")</f>
        <v/>
      </c>
      <c r="J304" s="116" t="str">
        <f>IF(Tab.o1[[#This Row],[a1]]=1,((Tab.o1[[#This Row],[DIF_Target.]]-AVERAGE(Tab.o1[DIF_Target.]))/_xlfn.STDEV.P(Tab.o1[DIF_Target.])),"")</f>
        <v/>
      </c>
      <c r="K304" s="117" t="str">
        <f>IF(Tab.o1[[#This Row],[a1]]=1,IF(J$2=0,Tab.o1[[#This Row],[MOD]]-Tab.o1[[#This Row],[B]],IF(J$2=1,0,-Tab.o1[[#This Row],[MED]])+Tab.o1[[#This Row],[B]]),"")</f>
        <v/>
      </c>
      <c r="L304" s="117" t="str">
        <f ca="1">IF(Tab.o1[[#This Row],[DIF_Target]]=0,IF(L$2=0,Tab.o1[[#This Row],[DIF_Target]],AVERAGE(OFFSET(Tab.o1[[#This Row],[DIF_Target]],1,0,L$3,1)))/3,Tab.o1[[#This Row],[DIF_Target]])</f>
        <v/>
      </c>
      <c r="M304" s="118" t="str">
        <f>IF(Tab.o1[[#This Row],[a1]]=1,NORMSDIST(Tab.o1[[#This Row],[Za]]),"")</f>
        <v/>
      </c>
      <c r="N304" s="119" t="str">
        <f>IF(Tab.o1[[#This Row],[a1]]=1,((Tab.o1[[#This Row],[MedMod]]-AVERAGE(Tab.o1[MedMod]))/_xlfn.STDEV.P(Tab.o1[MedMod])*H$1205)+G$1205,"")</f>
        <v/>
      </c>
      <c r="O304" s="141" t="str">
        <f>IF(Tab.o1[[#This Row],[a1]]=1,Tab.o1[[#This Row],[Zb]]*_xlfn.STDEV.P(Tab.o1[MedMod])+AVERAGE(Tab.o1[MedMod]),"")</f>
        <v/>
      </c>
      <c r="P304" s="117" t="str">
        <f ca="1">IF(Tab.o1[[#This Row],[B]]=0,AVERAGE(OFFSET(Tab.o1[[#This Row],[B]],1,0,L$3,1)),Tab.o1[[#This Row],[B]])</f>
        <v/>
      </c>
      <c r="Q304" s="121" t="str">
        <f>IF(Tab.o1[[#This Row],[a1]]=1,NORMSDIST(Tab.o1[[#This Row],[Zb]]),"")</f>
        <v/>
      </c>
      <c r="R304" s="122" t="str">
        <f>IF(Tab.o1[[#This Row],[a1]]=1,((Tab.o1[[#This Row],[MedMod]]-AVERAGE(Tab.o1[MedMod]))/_xlfn.STDEV.P(Tab.o1[MedMod])*H$1203)+G$1203,"")</f>
        <v/>
      </c>
      <c r="S304" s="122" t="str">
        <f>IF(Tab.o1[[#This Row],[a1]]=1,((Tab.o1[[#This Row],[MedMod]]-AVERAGE(Tab.o1[MedMod]))/_xlfn.STDEV.P(Tab.o1[MedMod])*H$1204)+G$1204,"")</f>
        <v/>
      </c>
      <c r="T304" s="123" t="str">
        <f>IF(Tab.o1[[#This Row],[a1]]=1,Tab.o1[[#This Row],[Z-]]*_xlfn.STDEV.P(Tab.o1[B])+AVERAGE(Tab.o1[B]),"")</f>
        <v/>
      </c>
      <c r="U304" s="123" t="str">
        <f>IF(Tab.o1[[#This Row],[a1]]=1,Tab.o1[[#This Row],[z+]]*_xlfn.STDEV.P(Tab.o1[B])+AVERAGE(Tab.o1[B]),"")</f>
        <v/>
      </c>
      <c r="V304" s="124" t="str">
        <f>IF(Tab.o1[[#This Row],[a1]]=1,ABS((ABS(Tab.o1[[#This Row],[Red]]-Tab.o1[[#This Row],[Blue]]))),"")</f>
        <v/>
      </c>
      <c r="W304" s="125" t="str">
        <f>IF(Tab.o1[[#This Row],[a1]]=1,IF(W$3=0,1,Tab.o1[[#This Row],[Amp.]]*1/_xlfn.MINIFS(Tab.o1[Amp.],Tab.o1[Amp.],"&lt;&gt;0")),"")</f>
        <v/>
      </c>
      <c r="X304" s="126" t="str">
        <f>IF(Tab.o1[[#This Row],[a1]]=1,IF(ISNUMBER(Tab.o1[[#This Row],[i.]]),NORMDIST(Tab.o1[[#This Row],[Za]],0,1,FALSE)*Tab.o1[[#This Row],[i.]],AP$3),"")</f>
        <v/>
      </c>
      <c r="Y304" s="126" t="str">
        <f>IF(Tab.o1[[#This Row],[a1]]=1,0.01+0.94*Tab.o1[[#This Row],[PDF]]/MAX(Tab.o1[PDF]),"")</f>
        <v/>
      </c>
      <c r="Z304" s="126" t="str">
        <f>IF(Tab.o1[[#This Row],[a1]]=1,0.01+0.94*Tab.o1[[#This Row],[W1_PDF]]/MAX(Tab.o1[W1_PDF]),"")</f>
        <v/>
      </c>
      <c r="AA304" s="118" t="str">
        <f>IF(Tab.o1[[#This Row],[a1]]=1,ABS([1]!T.in.A[[#This Row],[oo6]]),"")</f>
        <v/>
      </c>
      <c r="AB304" s="127" t="str">
        <f>IF(Tab.o1[[#This Row],[a1]]=1,IF(AE$3=0,"",IF(AB$3=0,ABS([1]!T.in.A[[#This Row],[oo9]]),ABS(Tab.o1[[#This Row],[DIF_Target.]]*Tab.o1[[#This Row],[W1_PDF]]))),"")</f>
        <v/>
      </c>
      <c r="AC304" s="127" t="str">
        <f>IF(G$1=1,"",IF(Tab.o1[[#This Row],[a1]]=1,Tab.o1[[#This Row],[Wr]]^2,""))</f>
        <v/>
      </c>
      <c r="AD304" s="118" t="str">
        <f>IF(Tab.o1[[#This Row],[a1]]=1,IF(AE$3=0,"",Tab.o1[[#This Row],[Wr2]]/SUM(Tab.o1[Wr2])),"")</f>
        <v/>
      </c>
      <c r="AE304" s="128" t="str">
        <f>IF(Tab.o1[[#This Row],[a1]]=1,[1]!T.in.A[[#This Row],[oo10]],"")</f>
        <v/>
      </c>
      <c r="AF304" s="118" t="str">
        <f>IF(Tab.o1[[#This Row],[a1]]=1,ABS(Tab.o1[[#This Row],[DIF_Target.]]*Tab.o1[[#This Row],[PDF2]]*Tab.o1[[#This Row],[IN]]),"")</f>
        <v/>
      </c>
      <c r="AG304" s="129" t="str">
        <f>IF(Tab.o1[[#This Row],[a1]]=1,Tab.o1[[#This Row],[rW]]^2,"")</f>
        <v/>
      </c>
      <c r="AH304" s="130" t="str">
        <f>IF(Tab.o1[[#This Row],[a1]]=1,IF(AH$3=0,Tab.o1[[#This Row],[rW2]],0.01+0.94*Tab.o1[[#This Row],[rW2]]/SUM(Tab.o1[rW2])),"")</f>
        <v/>
      </c>
      <c r="AI304" s="128" t="str">
        <f>IF(Tab.o1[[#This Row],[a1]]=1,1/Tab.o1[[#This Row],[PDF]],"")</f>
        <v/>
      </c>
      <c r="AJ304" s="131" t="str">
        <f>IF(Tab.o1[[#This Row],[a1]]=1,[1]!T_AA[[#This Row],[IN'']]*[1]!T_AA[[#This Row],[Qde'']],"")</f>
        <v/>
      </c>
      <c r="AK304" s="132" t="str">
        <f>IF(Tab.o1[[#This Row],[a1]]=1,IF(AK$1=1,Tab.o1[[#This Row],[MED]]+Tab.o1[[#This Row],[MOD]]-Tab.o1[[#This Row],[MED]],""),"")</f>
        <v/>
      </c>
      <c r="AL304" s="133" t="str">
        <f>IF(Tab.o1[[#This Row],[a1]]=1,[1]!T.in.A[[#This Row],[oo16]],"")</f>
        <v/>
      </c>
      <c r="AM304" s="133" t="str">
        <f>IF(Tab.o1[[#This Row],[a1]]=1,IF(AM$3=1,[1]!T.in.A[[#This Row],[Σo16]],""),"")</f>
        <v/>
      </c>
      <c r="AN304" s="126" t="str">
        <f>IF(Tab.o1[[#This Row],[a1]]=1,[1]!T.in.A[[#This Row],[Σp5]],"")</f>
        <v/>
      </c>
      <c r="AO304" s="126" t="str">
        <f>IF(Tab.o1[[#This Row],[a1]]=1,IF(AO$3=1,[1]!T.in.A[[#This Row],[Σp5]],""),"")</f>
        <v/>
      </c>
      <c r="AP304" s="110" t="str">
        <f>IF(Tab.o1[[#This Row],[a1]]=1,IF(ISNUMBER(Tab.o1[[#This Row],[i.]]),NORMDIST(Tab.o1[[#This Row],[Za]],0,1,FALSE)*Tab.o1[[#This Row],[i.]],0),"")</f>
        <v/>
      </c>
      <c r="AQ304" s="125" t="str">
        <f>IF(Tab.o1[[#This Row],[a1]]=1,ABS(Tab.o1[[#This Row],[MOD]]-AVERAGE(Tab.o1[MOD])),"")</f>
        <v/>
      </c>
      <c r="AR304" s="134" t="str">
        <f>IF(Tab.o1[[#This Row],[a1]]=1,Tab.o1[[#This Row],[OBS]]/SUM(Tab.o1[OBS]),"")</f>
        <v/>
      </c>
      <c r="AS304" s="135" t="str">
        <f>IF(ISNUMBER(Tab.o1[[#This Row],[a1]]),ROW()-4,"")</f>
        <v/>
      </c>
      <c r="AT304" s="136" t="str">
        <f>Tab.o1[[#This Row],[MOD]]</f>
        <v/>
      </c>
      <c r="AU304" s="137" t="str">
        <f t="shared" si="17"/>
        <v/>
      </c>
      <c r="AV304" s="138" t="str">
        <f t="shared" si="18"/>
        <v/>
      </c>
      <c r="AW304" s="138" t="str">
        <f t="shared" si="19"/>
        <v/>
      </c>
      <c r="AX304" s="139" t="str">
        <f>[1]!T.in.A[[#This Row],[ID_T_manu]]</f>
        <v/>
      </c>
      <c r="AY304" s="140" t="str">
        <f>IF(ISNUMBER(Tab.o1[[#This Row],[a1]]),IF(AND(Tab.o1[[#This Row],[a1]]=1,Tab.o1[[#This Row],[b1]]&lt;=AY$4),#REF!,AY303),"")</f>
        <v/>
      </c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</row>
    <row r="305" spans="1:79" ht="15.75" hidden="1">
      <c r="A305" s="109">
        <v>-1.0000000000000001E-5</v>
      </c>
      <c r="B305" s="110">
        <f t="shared" si="16"/>
        <v>305</v>
      </c>
      <c r="C305" s="111" t="str">
        <f>IF(C$1=[1]!T.in.A[[#This Row],[oo2]],1,"")</f>
        <v/>
      </c>
      <c r="D305" s="112" t="str">
        <f>IF(Tab.o1[[#This Row],[a1]]=1,IF(SUM(C305:C306)=0,0,IF(SUM(C304:C305)=1,1,IF(SUM(C304:C306)&gt;1,D304+1,0))),"")</f>
        <v/>
      </c>
      <c r="E305" s="113" t="str">
        <f>IF(Tab.o1[[#This Row],[a1]]=1,[1]!T.in.A[[#This Row],[oo1]],"")</f>
        <v/>
      </c>
      <c r="F305" s="113" t="str">
        <f>IF(Tab.o1[[#This Row],[a1]]=1,[1]!T.in.A[[#This Row],[pp1]],"")</f>
        <v/>
      </c>
      <c r="G305" s="114" t="str">
        <f>IF(Tab.o1[[#This Row],[a1]]=1,G$2+IF(G$1=1,0,Tab.o1[[#This Row],[.x1]])+[1]!T.in.A[[#This Row],[oo3]],"")</f>
        <v/>
      </c>
      <c r="H305" s="115" t="str">
        <f>IF(Tab.o1[[#This Row],[a1]]=1,IF(H$2=0,0,IF(G$1=1,0,Tab.o1[[#This Row],[.x1]])+[1]!T.in.A[[#This Row],[oo4]]),"")</f>
        <v/>
      </c>
      <c r="I305" s="116" t="str">
        <f>IF(Tab.o1[[#This Row],[a1]]=1,IF(J$2=0,Tab.o1[[#This Row],[MED]],Tab.o1[[#This Row],[MOD]]),"")</f>
        <v/>
      </c>
      <c r="J305" s="116" t="str">
        <f>IF(Tab.o1[[#This Row],[a1]]=1,((Tab.o1[[#This Row],[DIF_Target.]]-AVERAGE(Tab.o1[DIF_Target.]))/_xlfn.STDEV.P(Tab.o1[DIF_Target.])),"")</f>
        <v/>
      </c>
      <c r="K305" s="117" t="str">
        <f>IF(Tab.o1[[#This Row],[a1]]=1,IF(J$2=0,Tab.o1[[#This Row],[MOD]]-Tab.o1[[#This Row],[B]],IF(J$2=1,0,-Tab.o1[[#This Row],[MED]])+Tab.o1[[#This Row],[B]]),"")</f>
        <v/>
      </c>
      <c r="L305" s="117" t="str">
        <f ca="1">IF(Tab.o1[[#This Row],[DIF_Target]]=0,IF(L$2=0,Tab.o1[[#This Row],[DIF_Target]],AVERAGE(OFFSET(Tab.o1[[#This Row],[DIF_Target]],1,0,L$3,1)))/3,Tab.o1[[#This Row],[DIF_Target]])</f>
        <v/>
      </c>
      <c r="M305" s="118" t="str">
        <f>IF(Tab.o1[[#This Row],[a1]]=1,NORMSDIST(Tab.o1[[#This Row],[Za]]),"")</f>
        <v/>
      </c>
      <c r="N305" s="119" t="str">
        <f>IF(Tab.o1[[#This Row],[a1]]=1,((Tab.o1[[#This Row],[MedMod]]-AVERAGE(Tab.o1[MedMod]))/_xlfn.STDEV.P(Tab.o1[MedMod])*H$1205)+G$1205,"")</f>
        <v/>
      </c>
      <c r="O305" s="141" t="str">
        <f>IF(Tab.o1[[#This Row],[a1]]=1,Tab.o1[[#This Row],[Zb]]*_xlfn.STDEV.P(Tab.o1[MedMod])+AVERAGE(Tab.o1[MedMod]),"")</f>
        <v/>
      </c>
      <c r="P305" s="117" t="str">
        <f ca="1">IF(Tab.o1[[#This Row],[B]]=0,AVERAGE(OFFSET(Tab.o1[[#This Row],[B]],1,0,L$3,1)),Tab.o1[[#This Row],[B]])</f>
        <v/>
      </c>
      <c r="Q305" s="121" t="str">
        <f>IF(Tab.o1[[#This Row],[a1]]=1,NORMSDIST(Tab.o1[[#This Row],[Zb]]),"")</f>
        <v/>
      </c>
      <c r="R305" s="122" t="str">
        <f>IF(Tab.o1[[#This Row],[a1]]=1,((Tab.o1[[#This Row],[MedMod]]-AVERAGE(Tab.o1[MedMod]))/_xlfn.STDEV.P(Tab.o1[MedMod])*H$1203)+G$1203,"")</f>
        <v/>
      </c>
      <c r="S305" s="122" t="str">
        <f>IF(Tab.o1[[#This Row],[a1]]=1,((Tab.o1[[#This Row],[MedMod]]-AVERAGE(Tab.o1[MedMod]))/_xlfn.STDEV.P(Tab.o1[MedMod])*H$1204)+G$1204,"")</f>
        <v/>
      </c>
      <c r="T305" s="123" t="str">
        <f>IF(Tab.o1[[#This Row],[a1]]=1,Tab.o1[[#This Row],[Z-]]*_xlfn.STDEV.P(Tab.o1[B])+AVERAGE(Tab.o1[B]),"")</f>
        <v/>
      </c>
      <c r="U305" s="123" t="str">
        <f>IF(Tab.o1[[#This Row],[a1]]=1,Tab.o1[[#This Row],[z+]]*_xlfn.STDEV.P(Tab.o1[B])+AVERAGE(Tab.o1[B]),"")</f>
        <v/>
      </c>
      <c r="V305" s="124" t="str">
        <f>IF(Tab.o1[[#This Row],[a1]]=1,ABS((ABS(Tab.o1[[#This Row],[Red]]-Tab.o1[[#This Row],[Blue]]))),"")</f>
        <v/>
      </c>
      <c r="W305" s="125" t="str">
        <f>IF(Tab.o1[[#This Row],[a1]]=1,IF(W$3=0,1,Tab.o1[[#This Row],[Amp.]]*1/_xlfn.MINIFS(Tab.o1[Amp.],Tab.o1[Amp.],"&lt;&gt;0")),"")</f>
        <v/>
      </c>
      <c r="X305" s="126" t="str">
        <f>IF(Tab.o1[[#This Row],[a1]]=1,IF(ISNUMBER(Tab.o1[[#This Row],[i.]]),NORMDIST(Tab.o1[[#This Row],[Za]],0,1,FALSE)*Tab.o1[[#This Row],[i.]],AP$3),"")</f>
        <v/>
      </c>
      <c r="Y305" s="126" t="str">
        <f>IF(Tab.o1[[#This Row],[a1]]=1,0.01+0.94*Tab.o1[[#This Row],[PDF]]/MAX(Tab.o1[PDF]),"")</f>
        <v/>
      </c>
      <c r="Z305" s="126" t="str">
        <f>IF(Tab.o1[[#This Row],[a1]]=1,0.01+0.94*Tab.o1[[#This Row],[W1_PDF]]/MAX(Tab.o1[W1_PDF]),"")</f>
        <v/>
      </c>
      <c r="AA305" s="118" t="str">
        <f>IF(Tab.o1[[#This Row],[a1]]=1,ABS([1]!T.in.A[[#This Row],[oo6]]),"")</f>
        <v/>
      </c>
      <c r="AB305" s="127" t="str">
        <f>IF(Tab.o1[[#This Row],[a1]]=1,IF(AE$3=0,"",IF(AB$3=0,ABS([1]!T.in.A[[#This Row],[oo9]]),ABS(Tab.o1[[#This Row],[DIF_Target.]]*Tab.o1[[#This Row],[W1_PDF]]))),"")</f>
        <v/>
      </c>
      <c r="AC305" s="127" t="str">
        <f>IF(G$1=1,"",IF(Tab.o1[[#This Row],[a1]]=1,Tab.o1[[#This Row],[Wr]]^2,""))</f>
        <v/>
      </c>
      <c r="AD305" s="118" t="str">
        <f>IF(Tab.o1[[#This Row],[a1]]=1,IF(AE$3=0,"",Tab.o1[[#This Row],[Wr2]]/SUM(Tab.o1[Wr2])),"")</f>
        <v/>
      </c>
      <c r="AE305" s="128" t="str">
        <f>IF(Tab.o1[[#This Row],[a1]]=1,[1]!T.in.A[[#This Row],[oo10]],"")</f>
        <v/>
      </c>
      <c r="AF305" s="118" t="str">
        <f>IF(Tab.o1[[#This Row],[a1]]=1,ABS(Tab.o1[[#This Row],[DIF_Target.]]*Tab.o1[[#This Row],[PDF2]]*Tab.o1[[#This Row],[IN]]),"")</f>
        <v/>
      </c>
      <c r="AG305" s="129" t="str">
        <f>IF(Tab.o1[[#This Row],[a1]]=1,Tab.o1[[#This Row],[rW]]^2,"")</f>
        <v/>
      </c>
      <c r="AH305" s="130" t="str">
        <f>IF(Tab.o1[[#This Row],[a1]]=1,IF(AH$3=0,Tab.o1[[#This Row],[rW2]],0.01+0.94*Tab.o1[[#This Row],[rW2]]/SUM(Tab.o1[rW2])),"")</f>
        <v/>
      </c>
      <c r="AI305" s="128" t="str">
        <f>IF(Tab.o1[[#This Row],[a1]]=1,1/Tab.o1[[#This Row],[PDF]],"")</f>
        <v/>
      </c>
      <c r="AJ305" s="131" t="str">
        <f>IF(Tab.o1[[#This Row],[a1]]=1,[1]!T_AA[[#This Row],[IN'']]*[1]!T_AA[[#This Row],[Qde'']],"")</f>
        <v/>
      </c>
      <c r="AK305" s="132" t="str">
        <f>IF(Tab.o1[[#This Row],[a1]]=1,IF(AK$1=1,Tab.o1[[#This Row],[MED]]+Tab.o1[[#This Row],[MOD]]-Tab.o1[[#This Row],[MED]],""),"")</f>
        <v/>
      </c>
      <c r="AL305" s="133" t="str">
        <f>IF(Tab.o1[[#This Row],[a1]]=1,[1]!T.in.A[[#This Row],[oo16]],"")</f>
        <v/>
      </c>
      <c r="AM305" s="133" t="str">
        <f>IF(Tab.o1[[#This Row],[a1]]=1,IF(AM$3=1,[1]!T.in.A[[#This Row],[Σo16]],""),"")</f>
        <v/>
      </c>
      <c r="AN305" s="126" t="str">
        <f>IF(Tab.o1[[#This Row],[a1]]=1,[1]!T.in.A[[#This Row],[Σp5]],"")</f>
        <v/>
      </c>
      <c r="AO305" s="126" t="str">
        <f>IF(Tab.o1[[#This Row],[a1]]=1,IF(AO$3=1,[1]!T.in.A[[#This Row],[Σp5]],""),"")</f>
        <v/>
      </c>
      <c r="AP305" s="110" t="str">
        <f>IF(Tab.o1[[#This Row],[a1]]=1,IF(ISNUMBER(Tab.o1[[#This Row],[i.]]),NORMDIST(Tab.o1[[#This Row],[Za]],0,1,FALSE)*Tab.o1[[#This Row],[i.]],0),"")</f>
        <v/>
      </c>
      <c r="AQ305" s="125" t="str">
        <f>IF(Tab.o1[[#This Row],[a1]]=1,ABS(Tab.o1[[#This Row],[MOD]]-AVERAGE(Tab.o1[MOD])),"")</f>
        <v/>
      </c>
      <c r="AR305" s="134" t="str">
        <f>IF(Tab.o1[[#This Row],[a1]]=1,Tab.o1[[#This Row],[OBS]]/SUM(Tab.o1[OBS]),"")</f>
        <v/>
      </c>
      <c r="AS305" s="135" t="str">
        <f>IF(ISNUMBER(Tab.o1[[#This Row],[a1]]),ROW()-4,"")</f>
        <v/>
      </c>
      <c r="AT305" s="136" t="str">
        <f>Tab.o1[[#This Row],[MOD]]</f>
        <v/>
      </c>
      <c r="AU305" s="137" t="str">
        <f t="shared" si="17"/>
        <v/>
      </c>
      <c r="AV305" s="138" t="str">
        <f t="shared" si="18"/>
        <v/>
      </c>
      <c r="AW305" s="138" t="str">
        <f t="shared" si="19"/>
        <v/>
      </c>
      <c r="AX305" s="139" t="str">
        <f>[1]!T.in.A[[#This Row],[ID_T_manu]]</f>
        <v/>
      </c>
      <c r="AY305" s="140" t="str">
        <f>IF(ISNUMBER(Tab.o1[[#This Row],[a1]]),IF(AND(Tab.o1[[#This Row],[a1]]=1,Tab.o1[[#This Row],[b1]]&lt;=AY$4),#REF!,AY304),"")</f>
        <v/>
      </c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</row>
    <row r="306" spans="1:79" ht="15.75" hidden="1">
      <c r="A306" s="109">
        <v>-2.9999999999999997E-6</v>
      </c>
      <c r="B306" s="110">
        <f t="shared" si="16"/>
        <v>306</v>
      </c>
      <c r="C306" s="111" t="str">
        <f>IF(C$1=[1]!T.in.A[[#This Row],[oo2]],1,"")</f>
        <v/>
      </c>
      <c r="D306" s="112" t="str">
        <f>IF(Tab.o1[[#This Row],[a1]]=1,IF(SUM(C306:C307)=0,0,IF(SUM(C305:C306)=1,1,IF(SUM(C305:C307)&gt;1,D305+1,0))),"")</f>
        <v/>
      </c>
      <c r="E306" s="113" t="str">
        <f>IF(Tab.o1[[#This Row],[a1]]=1,[1]!T.in.A[[#This Row],[oo1]],"")</f>
        <v/>
      </c>
      <c r="F306" s="113" t="str">
        <f>IF(Tab.o1[[#This Row],[a1]]=1,[1]!T.in.A[[#This Row],[pp1]],"")</f>
        <v/>
      </c>
      <c r="G306" s="114" t="str">
        <f>IF(Tab.o1[[#This Row],[a1]]=1,G$2+IF(G$1=1,0,Tab.o1[[#This Row],[.x1]])+[1]!T.in.A[[#This Row],[oo3]],"")</f>
        <v/>
      </c>
      <c r="H306" s="115" t="str">
        <f>IF(Tab.o1[[#This Row],[a1]]=1,IF(H$2=0,0,IF(G$1=1,0,Tab.o1[[#This Row],[.x1]])+[1]!T.in.A[[#This Row],[oo4]]),"")</f>
        <v/>
      </c>
      <c r="I306" s="116" t="str">
        <f>IF(Tab.o1[[#This Row],[a1]]=1,IF(J$2=0,Tab.o1[[#This Row],[MED]],Tab.o1[[#This Row],[MOD]]),"")</f>
        <v/>
      </c>
      <c r="J306" s="116" t="str">
        <f>IF(Tab.o1[[#This Row],[a1]]=1,((Tab.o1[[#This Row],[DIF_Target.]]-AVERAGE(Tab.o1[DIF_Target.]))/_xlfn.STDEV.P(Tab.o1[DIF_Target.])),"")</f>
        <v/>
      </c>
      <c r="K306" s="117" t="str">
        <f>IF(Tab.o1[[#This Row],[a1]]=1,IF(J$2=0,Tab.o1[[#This Row],[MOD]]-Tab.o1[[#This Row],[B]],IF(J$2=1,0,-Tab.o1[[#This Row],[MED]])+Tab.o1[[#This Row],[B]]),"")</f>
        <v/>
      </c>
      <c r="L306" s="117" t="str">
        <f ca="1">IF(Tab.o1[[#This Row],[DIF_Target]]=0,IF(L$2=0,Tab.o1[[#This Row],[DIF_Target]],AVERAGE(OFFSET(Tab.o1[[#This Row],[DIF_Target]],1,0,L$3,1)))/3,Tab.o1[[#This Row],[DIF_Target]])</f>
        <v/>
      </c>
      <c r="M306" s="118" t="str">
        <f>IF(Tab.o1[[#This Row],[a1]]=1,NORMSDIST(Tab.o1[[#This Row],[Za]]),"")</f>
        <v/>
      </c>
      <c r="N306" s="119" t="str">
        <f>IF(Tab.o1[[#This Row],[a1]]=1,((Tab.o1[[#This Row],[MedMod]]-AVERAGE(Tab.o1[MedMod]))/_xlfn.STDEV.P(Tab.o1[MedMod])*H$1205)+G$1205,"")</f>
        <v/>
      </c>
      <c r="O306" s="141" t="str">
        <f>IF(Tab.o1[[#This Row],[a1]]=1,Tab.o1[[#This Row],[Zb]]*_xlfn.STDEV.P(Tab.o1[MedMod])+AVERAGE(Tab.o1[MedMod]),"")</f>
        <v/>
      </c>
      <c r="P306" s="117" t="str">
        <f ca="1">IF(Tab.o1[[#This Row],[B]]=0,AVERAGE(OFFSET(Tab.o1[[#This Row],[B]],1,0,L$3,1)),Tab.o1[[#This Row],[B]])</f>
        <v/>
      </c>
      <c r="Q306" s="121" t="str">
        <f>IF(Tab.o1[[#This Row],[a1]]=1,NORMSDIST(Tab.o1[[#This Row],[Zb]]),"")</f>
        <v/>
      </c>
      <c r="R306" s="122" t="str">
        <f>IF(Tab.o1[[#This Row],[a1]]=1,((Tab.o1[[#This Row],[MedMod]]-AVERAGE(Tab.o1[MedMod]))/_xlfn.STDEV.P(Tab.o1[MedMod])*H$1203)+G$1203,"")</f>
        <v/>
      </c>
      <c r="S306" s="122" t="str">
        <f>IF(Tab.o1[[#This Row],[a1]]=1,((Tab.o1[[#This Row],[MedMod]]-AVERAGE(Tab.o1[MedMod]))/_xlfn.STDEV.P(Tab.o1[MedMod])*H$1204)+G$1204,"")</f>
        <v/>
      </c>
      <c r="T306" s="123" t="str">
        <f>IF(Tab.o1[[#This Row],[a1]]=1,Tab.o1[[#This Row],[Z-]]*_xlfn.STDEV.P(Tab.o1[B])+AVERAGE(Tab.o1[B]),"")</f>
        <v/>
      </c>
      <c r="U306" s="123" t="str">
        <f>IF(Tab.o1[[#This Row],[a1]]=1,Tab.o1[[#This Row],[z+]]*_xlfn.STDEV.P(Tab.o1[B])+AVERAGE(Tab.o1[B]),"")</f>
        <v/>
      </c>
      <c r="V306" s="124" t="str">
        <f>IF(Tab.o1[[#This Row],[a1]]=1,ABS((ABS(Tab.o1[[#This Row],[Red]]-Tab.o1[[#This Row],[Blue]]))),"")</f>
        <v/>
      </c>
      <c r="W306" s="125" t="str">
        <f>IF(Tab.o1[[#This Row],[a1]]=1,IF(W$3=0,1,Tab.o1[[#This Row],[Amp.]]*1/_xlfn.MINIFS(Tab.o1[Amp.],Tab.o1[Amp.],"&lt;&gt;0")),"")</f>
        <v/>
      </c>
      <c r="X306" s="126" t="str">
        <f>IF(Tab.o1[[#This Row],[a1]]=1,IF(ISNUMBER(Tab.o1[[#This Row],[i.]]),NORMDIST(Tab.o1[[#This Row],[Za]],0,1,FALSE)*Tab.o1[[#This Row],[i.]],AP$3),"")</f>
        <v/>
      </c>
      <c r="Y306" s="126" t="str">
        <f>IF(Tab.o1[[#This Row],[a1]]=1,0.01+0.94*Tab.o1[[#This Row],[PDF]]/MAX(Tab.o1[PDF]),"")</f>
        <v/>
      </c>
      <c r="Z306" s="126" t="str">
        <f>IF(Tab.o1[[#This Row],[a1]]=1,0.01+0.94*Tab.o1[[#This Row],[W1_PDF]]/MAX(Tab.o1[W1_PDF]),"")</f>
        <v/>
      </c>
      <c r="AA306" s="118" t="str">
        <f>IF(Tab.o1[[#This Row],[a1]]=1,ABS([1]!T.in.A[[#This Row],[oo6]]),"")</f>
        <v/>
      </c>
      <c r="AB306" s="127" t="str">
        <f>IF(Tab.o1[[#This Row],[a1]]=1,IF(AE$3=0,"",IF(AB$3=0,ABS([1]!T.in.A[[#This Row],[oo9]]),ABS(Tab.o1[[#This Row],[DIF_Target.]]*Tab.o1[[#This Row],[W1_PDF]]))),"")</f>
        <v/>
      </c>
      <c r="AC306" s="127" t="str">
        <f>IF(G$1=1,"",IF(Tab.o1[[#This Row],[a1]]=1,Tab.o1[[#This Row],[Wr]]^2,""))</f>
        <v/>
      </c>
      <c r="AD306" s="118" t="str">
        <f>IF(Tab.o1[[#This Row],[a1]]=1,IF(AE$3=0,"",Tab.o1[[#This Row],[Wr2]]/SUM(Tab.o1[Wr2])),"")</f>
        <v/>
      </c>
      <c r="AE306" s="128" t="str">
        <f>IF(Tab.o1[[#This Row],[a1]]=1,[1]!T.in.A[[#This Row],[oo10]],"")</f>
        <v/>
      </c>
      <c r="AF306" s="118" t="str">
        <f>IF(Tab.o1[[#This Row],[a1]]=1,ABS(Tab.o1[[#This Row],[DIF_Target.]]*Tab.o1[[#This Row],[PDF2]]*Tab.o1[[#This Row],[IN]]),"")</f>
        <v/>
      </c>
      <c r="AG306" s="129" t="str">
        <f>IF(Tab.o1[[#This Row],[a1]]=1,Tab.o1[[#This Row],[rW]]^2,"")</f>
        <v/>
      </c>
      <c r="AH306" s="130" t="str">
        <f>IF(Tab.o1[[#This Row],[a1]]=1,IF(AH$3=0,Tab.o1[[#This Row],[rW2]],0.01+0.94*Tab.o1[[#This Row],[rW2]]/SUM(Tab.o1[rW2])),"")</f>
        <v/>
      </c>
      <c r="AI306" s="128" t="str">
        <f>IF(Tab.o1[[#This Row],[a1]]=1,1/Tab.o1[[#This Row],[PDF]],"")</f>
        <v/>
      </c>
      <c r="AJ306" s="131" t="str">
        <f>IF(Tab.o1[[#This Row],[a1]]=1,[1]!T_AA[[#This Row],[IN'']]*[1]!T_AA[[#This Row],[Qde'']],"")</f>
        <v/>
      </c>
      <c r="AK306" s="132" t="str">
        <f>IF(Tab.o1[[#This Row],[a1]]=1,IF(AK$1=1,Tab.o1[[#This Row],[MED]]+Tab.o1[[#This Row],[MOD]]-Tab.o1[[#This Row],[MED]],""),"")</f>
        <v/>
      </c>
      <c r="AL306" s="133" t="str">
        <f>IF(Tab.o1[[#This Row],[a1]]=1,[1]!T.in.A[[#This Row],[oo16]],"")</f>
        <v/>
      </c>
      <c r="AM306" s="133" t="str">
        <f>IF(Tab.o1[[#This Row],[a1]]=1,IF(AM$3=1,[1]!T.in.A[[#This Row],[Σo16]],""),"")</f>
        <v/>
      </c>
      <c r="AN306" s="126" t="str">
        <f>IF(Tab.o1[[#This Row],[a1]]=1,[1]!T.in.A[[#This Row],[Σp5]],"")</f>
        <v/>
      </c>
      <c r="AO306" s="126" t="str">
        <f>IF(Tab.o1[[#This Row],[a1]]=1,IF(AO$3=1,[1]!T.in.A[[#This Row],[Σp5]],""),"")</f>
        <v/>
      </c>
      <c r="AP306" s="110" t="str">
        <f>IF(Tab.o1[[#This Row],[a1]]=1,IF(ISNUMBER(Tab.o1[[#This Row],[i.]]),NORMDIST(Tab.o1[[#This Row],[Za]],0,1,FALSE)*Tab.o1[[#This Row],[i.]],0),"")</f>
        <v/>
      </c>
      <c r="AQ306" s="125" t="str">
        <f>IF(Tab.o1[[#This Row],[a1]]=1,ABS(Tab.o1[[#This Row],[MOD]]-AVERAGE(Tab.o1[MOD])),"")</f>
        <v/>
      </c>
      <c r="AR306" s="134" t="str">
        <f>IF(Tab.o1[[#This Row],[a1]]=1,Tab.o1[[#This Row],[OBS]]/SUM(Tab.o1[OBS]),"")</f>
        <v/>
      </c>
      <c r="AS306" s="135" t="str">
        <f>IF(ISNUMBER(Tab.o1[[#This Row],[a1]]),ROW()-4,"")</f>
        <v/>
      </c>
      <c r="AT306" s="136" t="str">
        <f>Tab.o1[[#This Row],[MOD]]</f>
        <v/>
      </c>
      <c r="AU306" s="137" t="str">
        <f t="shared" si="17"/>
        <v/>
      </c>
      <c r="AV306" s="138" t="str">
        <f t="shared" si="18"/>
        <v/>
      </c>
      <c r="AW306" s="138" t="str">
        <f t="shared" si="19"/>
        <v/>
      </c>
      <c r="AX306" s="139" t="str">
        <f>[1]!T.in.A[[#This Row],[ID_T_manu]]</f>
        <v/>
      </c>
      <c r="AY306" s="140" t="str">
        <f>IF(ISNUMBER(Tab.o1[[#This Row],[a1]]),IF(AND(Tab.o1[[#This Row],[a1]]=1,Tab.o1[[#This Row],[b1]]&lt;=AY$4),#REF!,AY305),"")</f>
        <v/>
      </c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</row>
    <row r="307" spans="1:79" ht="15.75" hidden="1">
      <c r="A307" s="109">
        <v>6.9999999999999999E-6</v>
      </c>
      <c r="B307" s="110">
        <f t="shared" si="16"/>
        <v>307</v>
      </c>
      <c r="C307" s="111" t="str">
        <f>IF(C$1=[1]!T.in.A[[#This Row],[oo2]],1,"")</f>
        <v/>
      </c>
      <c r="D307" s="112" t="str">
        <f>IF(Tab.o1[[#This Row],[a1]]=1,IF(SUM(C307:C308)=0,0,IF(SUM(C306:C307)=1,1,IF(SUM(C306:C308)&gt;1,D306+1,0))),"")</f>
        <v/>
      </c>
      <c r="E307" s="113" t="str">
        <f>IF(Tab.o1[[#This Row],[a1]]=1,[1]!T.in.A[[#This Row],[oo1]],"")</f>
        <v/>
      </c>
      <c r="F307" s="113" t="str">
        <f>IF(Tab.o1[[#This Row],[a1]]=1,[1]!T.in.A[[#This Row],[pp1]],"")</f>
        <v/>
      </c>
      <c r="G307" s="114" t="str">
        <f>IF(Tab.o1[[#This Row],[a1]]=1,G$2+IF(G$1=1,0,Tab.o1[[#This Row],[.x1]])+[1]!T.in.A[[#This Row],[oo3]],"")</f>
        <v/>
      </c>
      <c r="H307" s="115" t="str">
        <f>IF(Tab.o1[[#This Row],[a1]]=1,IF(H$2=0,0,IF(G$1=1,0,Tab.o1[[#This Row],[.x1]])+[1]!T.in.A[[#This Row],[oo4]]),"")</f>
        <v/>
      </c>
      <c r="I307" s="116" t="str">
        <f>IF(Tab.o1[[#This Row],[a1]]=1,IF(J$2=0,Tab.o1[[#This Row],[MED]],Tab.o1[[#This Row],[MOD]]),"")</f>
        <v/>
      </c>
      <c r="J307" s="116" t="str">
        <f>IF(Tab.o1[[#This Row],[a1]]=1,((Tab.o1[[#This Row],[DIF_Target.]]-AVERAGE(Tab.o1[DIF_Target.]))/_xlfn.STDEV.P(Tab.o1[DIF_Target.])),"")</f>
        <v/>
      </c>
      <c r="K307" s="117" t="str">
        <f>IF(Tab.o1[[#This Row],[a1]]=1,IF(J$2=0,Tab.o1[[#This Row],[MOD]]-Tab.o1[[#This Row],[B]],IF(J$2=1,0,-Tab.o1[[#This Row],[MED]])+Tab.o1[[#This Row],[B]]),"")</f>
        <v/>
      </c>
      <c r="L307" s="117" t="str">
        <f ca="1">IF(Tab.o1[[#This Row],[DIF_Target]]=0,IF(L$2=0,Tab.o1[[#This Row],[DIF_Target]],AVERAGE(OFFSET(Tab.o1[[#This Row],[DIF_Target]],1,0,L$3,1)))/3,Tab.o1[[#This Row],[DIF_Target]])</f>
        <v/>
      </c>
      <c r="M307" s="118" t="str">
        <f>IF(Tab.o1[[#This Row],[a1]]=1,NORMSDIST(Tab.o1[[#This Row],[Za]]),"")</f>
        <v/>
      </c>
      <c r="N307" s="119" t="str">
        <f>IF(Tab.o1[[#This Row],[a1]]=1,((Tab.o1[[#This Row],[MedMod]]-AVERAGE(Tab.o1[MedMod]))/_xlfn.STDEV.P(Tab.o1[MedMod])*H$1205)+G$1205,"")</f>
        <v/>
      </c>
      <c r="O307" s="141" t="str">
        <f>IF(Tab.o1[[#This Row],[a1]]=1,Tab.o1[[#This Row],[Zb]]*_xlfn.STDEV.P(Tab.o1[MedMod])+AVERAGE(Tab.o1[MedMod]),"")</f>
        <v/>
      </c>
      <c r="P307" s="117" t="str">
        <f ca="1">IF(Tab.o1[[#This Row],[B]]=0,AVERAGE(OFFSET(Tab.o1[[#This Row],[B]],1,0,L$3,1)),Tab.o1[[#This Row],[B]])</f>
        <v/>
      </c>
      <c r="Q307" s="121" t="str">
        <f>IF(Tab.o1[[#This Row],[a1]]=1,NORMSDIST(Tab.o1[[#This Row],[Zb]]),"")</f>
        <v/>
      </c>
      <c r="R307" s="122" t="str">
        <f>IF(Tab.o1[[#This Row],[a1]]=1,((Tab.o1[[#This Row],[MedMod]]-AVERAGE(Tab.o1[MedMod]))/_xlfn.STDEV.P(Tab.o1[MedMod])*H$1203)+G$1203,"")</f>
        <v/>
      </c>
      <c r="S307" s="122" t="str">
        <f>IF(Tab.o1[[#This Row],[a1]]=1,((Tab.o1[[#This Row],[MedMod]]-AVERAGE(Tab.o1[MedMod]))/_xlfn.STDEV.P(Tab.o1[MedMod])*H$1204)+G$1204,"")</f>
        <v/>
      </c>
      <c r="T307" s="123" t="str">
        <f>IF(Tab.o1[[#This Row],[a1]]=1,Tab.o1[[#This Row],[Z-]]*_xlfn.STDEV.P(Tab.o1[B])+AVERAGE(Tab.o1[B]),"")</f>
        <v/>
      </c>
      <c r="U307" s="123" t="str">
        <f>IF(Tab.o1[[#This Row],[a1]]=1,Tab.o1[[#This Row],[z+]]*_xlfn.STDEV.P(Tab.o1[B])+AVERAGE(Tab.o1[B]),"")</f>
        <v/>
      </c>
      <c r="V307" s="124" t="str">
        <f>IF(Tab.o1[[#This Row],[a1]]=1,ABS((ABS(Tab.o1[[#This Row],[Red]]-Tab.o1[[#This Row],[Blue]]))),"")</f>
        <v/>
      </c>
      <c r="W307" s="125" t="str">
        <f>IF(Tab.o1[[#This Row],[a1]]=1,IF(W$3=0,1,Tab.o1[[#This Row],[Amp.]]*1/_xlfn.MINIFS(Tab.o1[Amp.],Tab.o1[Amp.],"&lt;&gt;0")),"")</f>
        <v/>
      </c>
      <c r="X307" s="126" t="str">
        <f>IF(Tab.o1[[#This Row],[a1]]=1,IF(ISNUMBER(Tab.o1[[#This Row],[i.]]),NORMDIST(Tab.o1[[#This Row],[Za]],0,1,FALSE)*Tab.o1[[#This Row],[i.]],AP$3),"")</f>
        <v/>
      </c>
      <c r="Y307" s="126" t="str">
        <f>IF(Tab.o1[[#This Row],[a1]]=1,0.01+0.94*Tab.o1[[#This Row],[PDF]]/MAX(Tab.o1[PDF]),"")</f>
        <v/>
      </c>
      <c r="Z307" s="126" t="str">
        <f>IF(Tab.o1[[#This Row],[a1]]=1,0.01+0.94*Tab.o1[[#This Row],[W1_PDF]]/MAX(Tab.o1[W1_PDF]),"")</f>
        <v/>
      </c>
      <c r="AA307" s="118" t="str">
        <f>IF(Tab.o1[[#This Row],[a1]]=1,ABS([1]!T.in.A[[#This Row],[oo6]]),"")</f>
        <v/>
      </c>
      <c r="AB307" s="127" t="str">
        <f>IF(Tab.o1[[#This Row],[a1]]=1,IF(AE$3=0,"",IF(AB$3=0,ABS([1]!T.in.A[[#This Row],[oo9]]),ABS(Tab.o1[[#This Row],[DIF_Target.]]*Tab.o1[[#This Row],[W1_PDF]]))),"")</f>
        <v/>
      </c>
      <c r="AC307" s="127" t="str">
        <f>IF(G$1=1,"",IF(Tab.o1[[#This Row],[a1]]=1,Tab.o1[[#This Row],[Wr]]^2,""))</f>
        <v/>
      </c>
      <c r="AD307" s="118" t="str">
        <f>IF(Tab.o1[[#This Row],[a1]]=1,IF(AE$3=0,"",Tab.o1[[#This Row],[Wr2]]/SUM(Tab.o1[Wr2])),"")</f>
        <v/>
      </c>
      <c r="AE307" s="128" t="str">
        <f>IF(Tab.o1[[#This Row],[a1]]=1,[1]!T.in.A[[#This Row],[oo10]],"")</f>
        <v/>
      </c>
      <c r="AF307" s="118" t="str">
        <f>IF(Tab.o1[[#This Row],[a1]]=1,ABS(Tab.o1[[#This Row],[DIF_Target.]]*Tab.o1[[#This Row],[PDF2]]*Tab.o1[[#This Row],[IN]]),"")</f>
        <v/>
      </c>
      <c r="AG307" s="129" t="str">
        <f>IF(Tab.o1[[#This Row],[a1]]=1,Tab.o1[[#This Row],[rW]]^2,"")</f>
        <v/>
      </c>
      <c r="AH307" s="130" t="str">
        <f>IF(Tab.o1[[#This Row],[a1]]=1,IF(AH$3=0,Tab.o1[[#This Row],[rW2]],0.01+0.94*Tab.o1[[#This Row],[rW2]]/SUM(Tab.o1[rW2])),"")</f>
        <v/>
      </c>
      <c r="AI307" s="128" t="str">
        <f>IF(Tab.o1[[#This Row],[a1]]=1,1/Tab.o1[[#This Row],[PDF]],"")</f>
        <v/>
      </c>
      <c r="AJ307" s="131" t="str">
        <f>IF(Tab.o1[[#This Row],[a1]]=1,[1]!T_AA[[#This Row],[IN'']]*[1]!T_AA[[#This Row],[Qde'']],"")</f>
        <v/>
      </c>
      <c r="AK307" s="132" t="str">
        <f>IF(Tab.o1[[#This Row],[a1]]=1,IF(AK$1=1,Tab.o1[[#This Row],[MED]]+Tab.o1[[#This Row],[MOD]]-Tab.o1[[#This Row],[MED]],""),"")</f>
        <v/>
      </c>
      <c r="AL307" s="133" t="str">
        <f>IF(Tab.o1[[#This Row],[a1]]=1,[1]!T.in.A[[#This Row],[oo16]],"")</f>
        <v/>
      </c>
      <c r="AM307" s="133" t="str">
        <f>IF(Tab.o1[[#This Row],[a1]]=1,IF(AM$3=1,[1]!T.in.A[[#This Row],[Σo16]],""),"")</f>
        <v/>
      </c>
      <c r="AN307" s="126" t="str">
        <f>IF(Tab.o1[[#This Row],[a1]]=1,[1]!T.in.A[[#This Row],[Σp5]],"")</f>
        <v/>
      </c>
      <c r="AO307" s="126" t="str">
        <f>IF(Tab.o1[[#This Row],[a1]]=1,IF(AO$3=1,[1]!T.in.A[[#This Row],[Σp5]],""),"")</f>
        <v/>
      </c>
      <c r="AP307" s="110" t="str">
        <f>IF(Tab.o1[[#This Row],[a1]]=1,IF(ISNUMBER(Tab.o1[[#This Row],[i.]]),NORMDIST(Tab.o1[[#This Row],[Za]],0,1,FALSE)*Tab.o1[[#This Row],[i.]],0),"")</f>
        <v/>
      </c>
      <c r="AQ307" s="125" t="str">
        <f>IF(Tab.o1[[#This Row],[a1]]=1,ABS(Tab.o1[[#This Row],[MOD]]-AVERAGE(Tab.o1[MOD])),"")</f>
        <v/>
      </c>
      <c r="AR307" s="134" t="str">
        <f>IF(Tab.o1[[#This Row],[a1]]=1,Tab.o1[[#This Row],[OBS]]/SUM(Tab.o1[OBS]),"")</f>
        <v/>
      </c>
      <c r="AS307" s="135" t="str">
        <f>IF(ISNUMBER(Tab.o1[[#This Row],[a1]]),ROW()-4,"")</f>
        <v/>
      </c>
      <c r="AT307" s="136" t="str">
        <f>Tab.o1[[#This Row],[MOD]]</f>
        <v/>
      </c>
      <c r="AU307" s="137" t="str">
        <f t="shared" si="17"/>
        <v/>
      </c>
      <c r="AV307" s="138" t="str">
        <f t="shared" si="18"/>
        <v/>
      </c>
      <c r="AW307" s="138" t="str">
        <f t="shared" si="19"/>
        <v/>
      </c>
      <c r="AX307" s="139" t="str">
        <f>[1]!T.in.A[[#This Row],[ID_T_manu]]</f>
        <v/>
      </c>
      <c r="AY307" s="140" t="str">
        <f>IF(ISNUMBER(Tab.o1[[#This Row],[a1]]),IF(AND(Tab.o1[[#This Row],[a1]]=1,Tab.o1[[#This Row],[b1]]&lt;=AY$4),#REF!,AY306),"")</f>
        <v/>
      </c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</row>
    <row r="308" spans="1:79" ht="15.75" hidden="1">
      <c r="A308" s="109">
        <v>9.0000000000000002E-6</v>
      </c>
      <c r="B308" s="110">
        <f t="shared" si="16"/>
        <v>308</v>
      </c>
      <c r="C308" s="111" t="str">
        <f>IF(C$1=[1]!T.in.A[[#This Row],[oo2]],1,"")</f>
        <v/>
      </c>
      <c r="D308" s="112" t="str">
        <f>IF(Tab.o1[[#This Row],[a1]]=1,IF(SUM(C308:C309)=0,0,IF(SUM(C307:C308)=1,1,IF(SUM(C307:C309)&gt;1,D307+1,0))),"")</f>
        <v/>
      </c>
      <c r="E308" s="113" t="str">
        <f>IF(Tab.o1[[#This Row],[a1]]=1,[1]!T.in.A[[#This Row],[oo1]],"")</f>
        <v/>
      </c>
      <c r="F308" s="113" t="str">
        <f>IF(Tab.o1[[#This Row],[a1]]=1,[1]!T.in.A[[#This Row],[pp1]],"")</f>
        <v/>
      </c>
      <c r="G308" s="114" t="str">
        <f>IF(Tab.o1[[#This Row],[a1]]=1,G$2+IF(G$1=1,0,Tab.o1[[#This Row],[.x1]])+[1]!T.in.A[[#This Row],[oo3]],"")</f>
        <v/>
      </c>
      <c r="H308" s="115" t="str">
        <f>IF(Tab.o1[[#This Row],[a1]]=1,IF(H$2=0,0,IF(G$1=1,0,Tab.o1[[#This Row],[.x1]])+[1]!T.in.A[[#This Row],[oo4]]),"")</f>
        <v/>
      </c>
      <c r="I308" s="116" t="str">
        <f>IF(Tab.o1[[#This Row],[a1]]=1,IF(J$2=0,Tab.o1[[#This Row],[MED]],Tab.o1[[#This Row],[MOD]]),"")</f>
        <v/>
      </c>
      <c r="J308" s="116" t="str">
        <f>IF(Tab.o1[[#This Row],[a1]]=1,((Tab.o1[[#This Row],[DIF_Target.]]-AVERAGE(Tab.o1[DIF_Target.]))/_xlfn.STDEV.P(Tab.o1[DIF_Target.])),"")</f>
        <v/>
      </c>
      <c r="K308" s="117" t="str">
        <f>IF(Tab.o1[[#This Row],[a1]]=1,IF(J$2=0,Tab.o1[[#This Row],[MOD]]-Tab.o1[[#This Row],[B]],IF(J$2=1,0,-Tab.o1[[#This Row],[MED]])+Tab.o1[[#This Row],[B]]),"")</f>
        <v/>
      </c>
      <c r="L308" s="117" t="str">
        <f ca="1">IF(Tab.o1[[#This Row],[DIF_Target]]=0,IF(L$2=0,Tab.o1[[#This Row],[DIF_Target]],AVERAGE(OFFSET(Tab.o1[[#This Row],[DIF_Target]],1,0,L$3,1)))/3,Tab.o1[[#This Row],[DIF_Target]])</f>
        <v/>
      </c>
      <c r="M308" s="118" t="str">
        <f>IF(Tab.o1[[#This Row],[a1]]=1,NORMSDIST(Tab.o1[[#This Row],[Za]]),"")</f>
        <v/>
      </c>
      <c r="N308" s="119" t="str">
        <f>IF(Tab.o1[[#This Row],[a1]]=1,((Tab.o1[[#This Row],[MedMod]]-AVERAGE(Tab.o1[MedMod]))/_xlfn.STDEV.P(Tab.o1[MedMod])*H$1205)+G$1205,"")</f>
        <v/>
      </c>
      <c r="O308" s="141" t="str">
        <f>IF(Tab.o1[[#This Row],[a1]]=1,Tab.o1[[#This Row],[Zb]]*_xlfn.STDEV.P(Tab.o1[MedMod])+AVERAGE(Tab.o1[MedMod]),"")</f>
        <v/>
      </c>
      <c r="P308" s="117" t="str">
        <f ca="1">IF(Tab.o1[[#This Row],[B]]=0,AVERAGE(OFFSET(Tab.o1[[#This Row],[B]],1,0,L$3,1)),Tab.o1[[#This Row],[B]])</f>
        <v/>
      </c>
      <c r="Q308" s="121" t="str">
        <f>IF(Tab.o1[[#This Row],[a1]]=1,NORMSDIST(Tab.o1[[#This Row],[Zb]]),"")</f>
        <v/>
      </c>
      <c r="R308" s="122" t="str">
        <f>IF(Tab.o1[[#This Row],[a1]]=1,((Tab.o1[[#This Row],[MedMod]]-AVERAGE(Tab.o1[MedMod]))/_xlfn.STDEV.P(Tab.o1[MedMod])*H$1203)+G$1203,"")</f>
        <v/>
      </c>
      <c r="S308" s="122" t="str">
        <f>IF(Tab.o1[[#This Row],[a1]]=1,((Tab.o1[[#This Row],[MedMod]]-AVERAGE(Tab.o1[MedMod]))/_xlfn.STDEV.P(Tab.o1[MedMod])*H$1204)+G$1204,"")</f>
        <v/>
      </c>
      <c r="T308" s="123" t="str">
        <f>IF(Tab.o1[[#This Row],[a1]]=1,Tab.o1[[#This Row],[Z-]]*_xlfn.STDEV.P(Tab.o1[B])+AVERAGE(Tab.o1[B]),"")</f>
        <v/>
      </c>
      <c r="U308" s="123" t="str">
        <f>IF(Tab.o1[[#This Row],[a1]]=1,Tab.o1[[#This Row],[z+]]*_xlfn.STDEV.P(Tab.o1[B])+AVERAGE(Tab.o1[B]),"")</f>
        <v/>
      </c>
      <c r="V308" s="124" t="str">
        <f>IF(Tab.o1[[#This Row],[a1]]=1,ABS((ABS(Tab.o1[[#This Row],[Red]]-Tab.o1[[#This Row],[Blue]]))),"")</f>
        <v/>
      </c>
      <c r="W308" s="125" t="str">
        <f>IF(Tab.o1[[#This Row],[a1]]=1,IF(W$3=0,1,Tab.o1[[#This Row],[Amp.]]*1/_xlfn.MINIFS(Tab.o1[Amp.],Tab.o1[Amp.],"&lt;&gt;0")),"")</f>
        <v/>
      </c>
      <c r="X308" s="126" t="str">
        <f>IF(Tab.o1[[#This Row],[a1]]=1,IF(ISNUMBER(Tab.o1[[#This Row],[i.]]),NORMDIST(Tab.o1[[#This Row],[Za]],0,1,FALSE)*Tab.o1[[#This Row],[i.]],AP$3),"")</f>
        <v/>
      </c>
      <c r="Y308" s="126" t="str">
        <f>IF(Tab.o1[[#This Row],[a1]]=1,0.01+0.94*Tab.o1[[#This Row],[PDF]]/MAX(Tab.o1[PDF]),"")</f>
        <v/>
      </c>
      <c r="Z308" s="126" t="str">
        <f>IF(Tab.o1[[#This Row],[a1]]=1,0.01+0.94*Tab.o1[[#This Row],[W1_PDF]]/MAX(Tab.o1[W1_PDF]),"")</f>
        <v/>
      </c>
      <c r="AA308" s="118" t="str">
        <f>IF(Tab.o1[[#This Row],[a1]]=1,ABS([1]!T.in.A[[#This Row],[oo6]]),"")</f>
        <v/>
      </c>
      <c r="AB308" s="127" t="str">
        <f>IF(Tab.o1[[#This Row],[a1]]=1,IF(AE$3=0,"",IF(AB$3=0,ABS([1]!T.in.A[[#This Row],[oo9]]),ABS(Tab.o1[[#This Row],[DIF_Target.]]*Tab.o1[[#This Row],[W1_PDF]]))),"")</f>
        <v/>
      </c>
      <c r="AC308" s="127" t="str">
        <f>IF(G$1=1,"",IF(Tab.o1[[#This Row],[a1]]=1,Tab.o1[[#This Row],[Wr]]^2,""))</f>
        <v/>
      </c>
      <c r="AD308" s="118" t="str">
        <f>IF(Tab.o1[[#This Row],[a1]]=1,IF(AE$3=0,"",Tab.o1[[#This Row],[Wr2]]/SUM(Tab.o1[Wr2])),"")</f>
        <v/>
      </c>
      <c r="AE308" s="128" t="str">
        <f>IF(Tab.o1[[#This Row],[a1]]=1,[1]!T.in.A[[#This Row],[oo10]],"")</f>
        <v/>
      </c>
      <c r="AF308" s="118" t="str">
        <f>IF(Tab.o1[[#This Row],[a1]]=1,ABS(Tab.o1[[#This Row],[DIF_Target.]]*Tab.o1[[#This Row],[PDF2]]*Tab.o1[[#This Row],[IN]]),"")</f>
        <v/>
      </c>
      <c r="AG308" s="129" t="str">
        <f>IF(Tab.o1[[#This Row],[a1]]=1,Tab.o1[[#This Row],[rW]]^2,"")</f>
        <v/>
      </c>
      <c r="AH308" s="130" t="str">
        <f>IF(Tab.o1[[#This Row],[a1]]=1,IF(AH$3=0,Tab.o1[[#This Row],[rW2]],0.01+0.94*Tab.o1[[#This Row],[rW2]]/SUM(Tab.o1[rW2])),"")</f>
        <v/>
      </c>
      <c r="AI308" s="128" t="str">
        <f>IF(Tab.o1[[#This Row],[a1]]=1,1/Tab.o1[[#This Row],[PDF]],"")</f>
        <v/>
      </c>
      <c r="AJ308" s="131" t="str">
        <f>IF(Tab.o1[[#This Row],[a1]]=1,[1]!T_AA[[#This Row],[IN'']]*[1]!T_AA[[#This Row],[Qde'']],"")</f>
        <v/>
      </c>
      <c r="AK308" s="132" t="str">
        <f>IF(Tab.o1[[#This Row],[a1]]=1,IF(AK$1=1,Tab.o1[[#This Row],[MED]]+Tab.o1[[#This Row],[MOD]]-Tab.o1[[#This Row],[MED]],""),"")</f>
        <v/>
      </c>
      <c r="AL308" s="133" t="str">
        <f>IF(Tab.o1[[#This Row],[a1]]=1,[1]!T.in.A[[#This Row],[oo16]],"")</f>
        <v/>
      </c>
      <c r="AM308" s="133" t="str">
        <f>IF(Tab.o1[[#This Row],[a1]]=1,IF(AM$3=1,[1]!T.in.A[[#This Row],[Σo16]],""),"")</f>
        <v/>
      </c>
      <c r="AN308" s="126" t="str">
        <f>IF(Tab.o1[[#This Row],[a1]]=1,[1]!T.in.A[[#This Row],[Σp5]],"")</f>
        <v/>
      </c>
      <c r="AO308" s="126" t="str">
        <f>IF(Tab.o1[[#This Row],[a1]]=1,IF(AO$3=1,[1]!T.in.A[[#This Row],[Σp5]],""),"")</f>
        <v/>
      </c>
      <c r="AP308" s="110" t="str">
        <f>IF(Tab.o1[[#This Row],[a1]]=1,IF(ISNUMBER(Tab.o1[[#This Row],[i.]]),NORMDIST(Tab.o1[[#This Row],[Za]],0,1,FALSE)*Tab.o1[[#This Row],[i.]],0),"")</f>
        <v/>
      </c>
      <c r="AQ308" s="125" t="str">
        <f>IF(Tab.o1[[#This Row],[a1]]=1,ABS(Tab.o1[[#This Row],[MOD]]-AVERAGE(Tab.o1[MOD])),"")</f>
        <v/>
      </c>
      <c r="AR308" s="134" t="str">
        <f>IF(Tab.o1[[#This Row],[a1]]=1,Tab.o1[[#This Row],[OBS]]/SUM(Tab.o1[OBS]),"")</f>
        <v/>
      </c>
      <c r="AS308" s="135" t="str">
        <f>IF(ISNUMBER(Tab.o1[[#This Row],[a1]]),ROW()-4,"")</f>
        <v/>
      </c>
      <c r="AT308" s="136" t="str">
        <f>Tab.o1[[#This Row],[MOD]]</f>
        <v/>
      </c>
      <c r="AU308" s="137" t="str">
        <f t="shared" si="17"/>
        <v/>
      </c>
      <c r="AV308" s="138" t="str">
        <f t="shared" si="18"/>
        <v/>
      </c>
      <c r="AW308" s="138" t="str">
        <f t="shared" si="19"/>
        <v/>
      </c>
      <c r="AX308" s="139" t="str">
        <f>[1]!T.in.A[[#This Row],[ID_T_manu]]</f>
        <v/>
      </c>
      <c r="AY308" s="140" t="str">
        <f>IF(ISNUMBER(Tab.o1[[#This Row],[a1]]),IF(AND(Tab.o1[[#This Row],[a1]]=1,Tab.o1[[#This Row],[b1]]&lt;=AY$4),#REF!,AY307),"")</f>
        <v/>
      </c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</row>
    <row r="309" spans="1:79" ht="15.75" hidden="1">
      <c r="A309" s="109">
        <v>2.0000000000000003E-6</v>
      </c>
      <c r="B309" s="110">
        <f t="shared" si="16"/>
        <v>309</v>
      </c>
      <c r="C309" s="111" t="str">
        <f>IF(C$1=[1]!T.in.A[[#This Row],[oo2]],1,"")</f>
        <v/>
      </c>
      <c r="D309" s="112" t="str">
        <f>IF(Tab.o1[[#This Row],[a1]]=1,IF(SUM(C309:C310)=0,0,IF(SUM(C308:C309)=1,1,IF(SUM(C308:C310)&gt;1,D308+1,0))),"")</f>
        <v/>
      </c>
      <c r="E309" s="113" t="str">
        <f>IF(Tab.o1[[#This Row],[a1]]=1,[1]!T.in.A[[#This Row],[oo1]],"")</f>
        <v/>
      </c>
      <c r="F309" s="113" t="str">
        <f>IF(Tab.o1[[#This Row],[a1]]=1,[1]!T.in.A[[#This Row],[pp1]],"")</f>
        <v/>
      </c>
      <c r="G309" s="114" t="str">
        <f>IF(Tab.o1[[#This Row],[a1]]=1,G$2+IF(G$1=1,0,Tab.o1[[#This Row],[.x1]])+[1]!T.in.A[[#This Row],[oo3]],"")</f>
        <v/>
      </c>
      <c r="H309" s="115" t="str">
        <f>IF(Tab.o1[[#This Row],[a1]]=1,IF(H$2=0,0,IF(G$1=1,0,Tab.o1[[#This Row],[.x1]])+[1]!T.in.A[[#This Row],[oo4]]),"")</f>
        <v/>
      </c>
      <c r="I309" s="116" t="str">
        <f>IF(Tab.o1[[#This Row],[a1]]=1,IF(J$2=0,Tab.o1[[#This Row],[MED]],Tab.o1[[#This Row],[MOD]]),"")</f>
        <v/>
      </c>
      <c r="J309" s="116" t="str">
        <f>IF(Tab.o1[[#This Row],[a1]]=1,((Tab.o1[[#This Row],[DIF_Target.]]-AVERAGE(Tab.o1[DIF_Target.]))/_xlfn.STDEV.P(Tab.o1[DIF_Target.])),"")</f>
        <v/>
      </c>
      <c r="K309" s="117" t="str">
        <f>IF(Tab.o1[[#This Row],[a1]]=1,IF(J$2=0,Tab.o1[[#This Row],[MOD]]-Tab.o1[[#This Row],[B]],IF(J$2=1,0,-Tab.o1[[#This Row],[MED]])+Tab.o1[[#This Row],[B]]),"")</f>
        <v/>
      </c>
      <c r="L309" s="117" t="str">
        <f ca="1">IF(Tab.o1[[#This Row],[DIF_Target]]=0,IF(L$2=0,Tab.o1[[#This Row],[DIF_Target]],AVERAGE(OFFSET(Tab.o1[[#This Row],[DIF_Target]],1,0,L$3,1)))/3,Tab.o1[[#This Row],[DIF_Target]])</f>
        <v/>
      </c>
      <c r="M309" s="118" t="str">
        <f>IF(Tab.o1[[#This Row],[a1]]=1,NORMSDIST(Tab.o1[[#This Row],[Za]]),"")</f>
        <v/>
      </c>
      <c r="N309" s="119" t="str">
        <f>IF(Tab.o1[[#This Row],[a1]]=1,((Tab.o1[[#This Row],[MedMod]]-AVERAGE(Tab.o1[MedMod]))/_xlfn.STDEV.P(Tab.o1[MedMod])*H$1205)+G$1205,"")</f>
        <v/>
      </c>
      <c r="O309" s="141" t="str">
        <f>IF(Tab.o1[[#This Row],[a1]]=1,Tab.o1[[#This Row],[Zb]]*_xlfn.STDEV.P(Tab.o1[MedMod])+AVERAGE(Tab.o1[MedMod]),"")</f>
        <v/>
      </c>
      <c r="P309" s="117" t="str">
        <f ca="1">IF(Tab.o1[[#This Row],[B]]=0,AVERAGE(OFFSET(Tab.o1[[#This Row],[B]],1,0,L$3,1)),Tab.o1[[#This Row],[B]])</f>
        <v/>
      </c>
      <c r="Q309" s="121" t="str">
        <f>IF(Tab.o1[[#This Row],[a1]]=1,NORMSDIST(Tab.o1[[#This Row],[Zb]]),"")</f>
        <v/>
      </c>
      <c r="R309" s="122" t="str">
        <f>IF(Tab.o1[[#This Row],[a1]]=1,((Tab.o1[[#This Row],[MedMod]]-AVERAGE(Tab.o1[MedMod]))/_xlfn.STDEV.P(Tab.o1[MedMod])*H$1203)+G$1203,"")</f>
        <v/>
      </c>
      <c r="S309" s="122" t="str">
        <f>IF(Tab.o1[[#This Row],[a1]]=1,((Tab.o1[[#This Row],[MedMod]]-AVERAGE(Tab.o1[MedMod]))/_xlfn.STDEV.P(Tab.o1[MedMod])*H$1204)+G$1204,"")</f>
        <v/>
      </c>
      <c r="T309" s="123" t="str">
        <f>IF(Tab.o1[[#This Row],[a1]]=1,Tab.o1[[#This Row],[Z-]]*_xlfn.STDEV.P(Tab.o1[B])+AVERAGE(Tab.o1[B]),"")</f>
        <v/>
      </c>
      <c r="U309" s="123" t="str">
        <f>IF(Tab.o1[[#This Row],[a1]]=1,Tab.o1[[#This Row],[z+]]*_xlfn.STDEV.P(Tab.o1[B])+AVERAGE(Tab.o1[B]),"")</f>
        <v/>
      </c>
      <c r="V309" s="124" t="str">
        <f>IF(Tab.o1[[#This Row],[a1]]=1,ABS((ABS(Tab.o1[[#This Row],[Red]]-Tab.o1[[#This Row],[Blue]]))),"")</f>
        <v/>
      </c>
      <c r="W309" s="125" t="str">
        <f>IF(Tab.o1[[#This Row],[a1]]=1,IF(W$3=0,1,Tab.o1[[#This Row],[Amp.]]*1/_xlfn.MINIFS(Tab.o1[Amp.],Tab.o1[Amp.],"&lt;&gt;0")),"")</f>
        <v/>
      </c>
      <c r="X309" s="126" t="str">
        <f>IF(Tab.o1[[#This Row],[a1]]=1,IF(ISNUMBER(Tab.o1[[#This Row],[i.]]),NORMDIST(Tab.o1[[#This Row],[Za]],0,1,FALSE)*Tab.o1[[#This Row],[i.]],AP$3),"")</f>
        <v/>
      </c>
      <c r="Y309" s="126" t="str">
        <f>IF(Tab.o1[[#This Row],[a1]]=1,0.01+0.94*Tab.o1[[#This Row],[PDF]]/MAX(Tab.o1[PDF]),"")</f>
        <v/>
      </c>
      <c r="Z309" s="126" t="str">
        <f>IF(Tab.o1[[#This Row],[a1]]=1,0.01+0.94*Tab.o1[[#This Row],[W1_PDF]]/MAX(Tab.o1[W1_PDF]),"")</f>
        <v/>
      </c>
      <c r="AA309" s="118" t="str">
        <f>IF(Tab.o1[[#This Row],[a1]]=1,ABS([1]!T.in.A[[#This Row],[oo6]]),"")</f>
        <v/>
      </c>
      <c r="AB309" s="127" t="str">
        <f>IF(Tab.o1[[#This Row],[a1]]=1,IF(AE$3=0,"",IF(AB$3=0,ABS([1]!T.in.A[[#This Row],[oo9]]),ABS(Tab.o1[[#This Row],[DIF_Target.]]*Tab.o1[[#This Row],[W1_PDF]]))),"")</f>
        <v/>
      </c>
      <c r="AC309" s="127" t="str">
        <f>IF(G$1=1,"",IF(Tab.o1[[#This Row],[a1]]=1,Tab.o1[[#This Row],[Wr]]^2,""))</f>
        <v/>
      </c>
      <c r="AD309" s="118" t="str">
        <f>IF(Tab.o1[[#This Row],[a1]]=1,IF(AE$3=0,"",Tab.o1[[#This Row],[Wr2]]/SUM(Tab.o1[Wr2])),"")</f>
        <v/>
      </c>
      <c r="AE309" s="128" t="str">
        <f>IF(Tab.o1[[#This Row],[a1]]=1,[1]!T.in.A[[#This Row],[oo10]],"")</f>
        <v/>
      </c>
      <c r="AF309" s="118" t="str">
        <f>IF(Tab.o1[[#This Row],[a1]]=1,ABS(Tab.o1[[#This Row],[DIF_Target.]]*Tab.o1[[#This Row],[PDF2]]*Tab.o1[[#This Row],[IN]]),"")</f>
        <v/>
      </c>
      <c r="AG309" s="129" t="str">
        <f>IF(Tab.o1[[#This Row],[a1]]=1,Tab.o1[[#This Row],[rW]]^2,"")</f>
        <v/>
      </c>
      <c r="AH309" s="130" t="str">
        <f>IF(Tab.o1[[#This Row],[a1]]=1,IF(AH$3=0,Tab.o1[[#This Row],[rW2]],0.01+0.94*Tab.o1[[#This Row],[rW2]]/SUM(Tab.o1[rW2])),"")</f>
        <v/>
      </c>
      <c r="AI309" s="128" t="str">
        <f>IF(Tab.o1[[#This Row],[a1]]=1,1/Tab.o1[[#This Row],[PDF]],"")</f>
        <v/>
      </c>
      <c r="AJ309" s="131" t="str">
        <f>IF(Tab.o1[[#This Row],[a1]]=1,[1]!T_AA[[#This Row],[IN'']]*[1]!T_AA[[#This Row],[Qde'']],"")</f>
        <v/>
      </c>
      <c r="AK309" s="132" t="str">
        <f>IF(Tab.o1[[#This Row],[a1]]=1,IF(AK$1=1,Tab.o1[[#This Row],[MED]]+Tab.o1[[#This Row],[MOD]]-Tab.o1[[#This Row],[MED]],""),"")</f>
        <v/>
      </c>
      <c r="AL309" s="133" t="str">
        <f>IF(Tab.o1[[#This Row],[a1]]=1,[1]!T.in.A[[#This Row],[oo16]],"")</f>
        <v/>
      </c>
      <c r="AM309" s="133" t="str">
        <f>IF(Tab.o1[[#This Row],[a1]]=1,IF(AM$3=1,[1]!T.in.A[[#This Row],[Σo16]],""),"")</f>
        <v/>
      </c>
      <c r="AN309" s="126" t="str">
        <f>IF(Tab.o1[[#This Row],[a1]]=1,[1]!T.in.A[[#This Row],[Σp5]],"")</f>
        <v/>
      </c>
      <c r="AO309" s="126" t="str">
        <f>IF(Tab.o1[[#This Row],[a1]]=1,IF(AO$3=1,[1]!T.in.A[[#This Row],[Σp5]],""),"")</f>
        <v/>
      </c>
      <c r="AP309" s="110" t="str">
        <f>IF(Tab.o1[[#This Row],[a1]]=1,IF(ISNUMBER(Tab.o1[[#This Row],[i.]]),NORMDIST(Tab.o1[[#This Row],[Za]],0,1,FALSE)*Tab.o1[[#This Row],[i.]],0),"")</f>
        <v/>
      </c>
      <c r="AQ309" s="125" t="str">
        <f>IF(Tab.o1[[#This Row],[a1]]=1,ABS(Tab.o1[[#This Row],[MOD]]-AVERAGE(Tab.o1[MOD])),"")</f>
        <v/>
      </c>
      <c r="AR309" s="134" t="str">
        <f>IF(Tab.o1[[#This Row],[a1]]=1,Tab.o1[[#This Row],[OBS]]/SUM(Tab.o1[OBS]),"")</f>
        <v/>
      </c>
      <c r="AS309" s="135" t="str">
        <f>IF(ISNUMBER(Tab.o1[[#This Row],[a1]]),ROW()-4,"")</f>
        <v/>
      </c>
      <c r="AT309" s="136" t="str">
        <f>Tab.o1[[#This Row],[MOD]]</f>
        <v/>
      </c>
      <c r="AU309" s="137" t="str">
        <f t="shared" si="17"/>
        <v/>
      </c>
      <c r="AV309" s="138" t="str">
        <f t="shared" si="18"/>
        <v/>
      </c>
      <c r="AW309" s="138" t="str">
        <f t="shared" si="19"/>
        <v/>
      </c>
      <c r="AX309" s="139" t="str">
        <f>[1]!T.in.A[[#This Row],[ID_T_manu]]</f>
        <v/>
      </c>
      <c r="AY309" s="140" t="str">
        <f>IF(ISNUMBER(Tab.o1[[#This Row],[a1]]),IF(AND(Tab.o1[[#This Row],[a1]]=1,Tab.o1[[#This Row],[b1]]&lt;=AY$4),#REF!,AY308),"")</f>
        <v/>
      </c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</row>
    <row r="310" spans="1:79" ht="15.75" hidden="1">
      <c r="A310" s="109">
        <v>-4.0000000000000007E-6</v>
      </c>
      <c r="B310" s="110">
        <f t="shared" si="16"/>
        <v>310</v>
      </c>
      <c r="C310" s="111" t="str">
        <f>IF(C$1=[1]!T.in.A[[#This Row],[oo2]],1,"")</f>
        <v/>
      </c>
      <c r="D310" s="112" t="str">
        <f>IF(Tab.o1[[#This Row],[a1]]=1,IF(SUM(C310:C311)=0,0,IF(SUM(C309:C310)=1,1,IF(SUM(C309:C311)&gt;1,D309+1,0))),"")</f>
        <v/>
      </c>
      <c r="E310" s="113" t="str">
        <f>IF(Tab.o1[[#This Row],[a1]]=1,[1]!T.in.A[[#This Row],[oo1]],"")</f>
        <v/>
      </c>
      <c r="F310" s="113" t="str">
        <f>IF(Tab.o1[[#This Row],[a1]]=1,[1]!T.in.A[[#This Row],[pp1]],"")</f>
        <v/>
      </c>
      <c r="G310" s="114" t="str">
        <f>IF(Tab.o1[[#This Row],[a1]]=1,G$2+IF(G$1=1,0,Tab.o1[[#This Row],[.x1]])+[1]!T.in.A[[#This Row],[oo3]],"")</f>
        <v/>
      </c>
      <c r="H310" s="115" t="str">
        <f>IF(Tab.o1[[#This Row],[a1]]=1,IF(H$2=0,0,IF(G$1=1,0,Tab.o1[[#This Row],[.x1]])+[1]!T.in.A[[#This Row],[oo4]]),"")</f>
        <v/>
      </c>
      <c r="I310" s="116" t="str">
        <f>IF(Tab.o1[[#This Row],[a1]]=1,IF(J$2=0,Tab.o1[[#This Row],[MED]],Tab.o1[[#This Row],[MOD]]),"")</f>
        <v/>
      </c>
      <c r="J310" s="116" t="str">
        <f>IF(Tab.o1[[#This Row],[a1]]=1,((Tab.o1[[#This Row],[DIF_Target.]]-AVERAGE(Tab.o1[DIF_Target.]))/_xlfn.STDEV.P(Tab.o1[DIF_Target.])),"")</f>
        <v/>
      </c>
      <c r="K310" s="117" t="str">
        <f>IF(Tab.o1[[#This Row],[a1]]=1,IF(J$2=0,Tab.o1[[#This Row],[MOD]]-Tab.o1[[#This Row],[B]],IF(J$2=1,0,-Tab.o1[[#This Row],[MED]])+Tab.o1[[#This Row],[B]]),"")</f>
        <v/>
      </c>
      <c r="L310" s="117" t="str">
        <f ca="1">IF(Tab.o1[[#This Row],[DIF_Target]]=0,IF(L$2=0,Tab.o1[[#This Row],[DIF_Target]],AVERAGE(OFFSET(Tab.o1[[#This Row],[DIF_Target]],1,0,L$3,1)))/3,Tab.o1[[#This Row],[DIF_Target]])</f>
        <v/>
      </c>
      <c r="M310" s="118" t="str">
        <f>IF(Tab.o1[[#This Row],[a1]]=1,NORMSDIST(Tab.o1[[#This Row],[Za]]),"")</f>
        <v/>
      </c>
      <c r="N310" s="119" t="str">
        <f>IF(Tab.o1[[#This Row],[a1]]=1,((Tab.o1[[#This Row],[MedMod]]-AVERAGE(Tab.o1[MedMod]))/_xlfn.STDEV.P(Tab.o1[MedMod])*H$1205)+G$1205,"")</f>
        <v/>
      </c>
      <c r="O310" s="141" t="str">
        <f>IF(Tab.o1[[#This Row],[a1]]=1,Tab.o1[[#This Row],[Zb]]*_xlfn.STDEV.P(Tab.o1[MedMod])+AVERAGE(Tab.o1[MedMod]),"")</f>
        <v/>
      </c>
      <c r="P310" s="117" t="str">
        <f ca="1">IF(Tab.o1[[#This Row],[B]]=0,AVERAGE(OFFSET(Tab.o1[[#This Row],[B]],1,0,L$3,1)),Tab.o1[[#This Row],[B]])</f>
        <v/>
      </c>
      <c r="Q310" s="121" t="str">
        <f>IF(Tab.o1[[#This Row],[a1]]=1,NORMSDIST(Tab.o1[[#This Row],[Zb]]),"")</f>
        <v/>
      </c>
      <c r="R310" s="122" t="str">
        <f>IF(Tab.o1[[#This Row],[a1]]=1,((Tab.o1[[#This Row],[MedMod]]-AVERAGE(Tab.o1[MedMod]))/_xlfn.STDEV.P(Tab.o1[MedMod])*H$1203)+G$1203,"")</f>
        <v/>
      </c>
      <c r="S310" s="122" t="str">
        <f>IF(Tab.o1[[#This Row],[a1]]=1,((Tab.o1[[#This Row],[MedMod]]-AVERAGE(Tab.o1[MedMod]))/_xlfn.STDEV.P(Tab.o1[MedMod])*H$1204)+G$1204,"")</f>
        <v/>
      </c>
      <c r="T310" s="123" t="str">
        <f>IF(Tab.o1[[#This Row],[a1]]=1,Tab.o1[[#This Row],[Z-]]*_xlfn.STDEV.P(Tab.o1[B])+AVERAGE(Tab.o1[B]),"")</f>
        <v/>
      </c>
      <c r="U310" s="123" t="str">
        <f>IF(Tab.o1[[#This Row],[a1]]=1,Tab.o1[[#This Row],[z+]]*_xlfn.STDEV.P(Tab.o1[B])+AVERAGE(Tab.o1[B]),"")</f>
        <v/>
      </c>
      <c r="V310" s="124" t="str">
        <f>IF(Tab.o1[[#This Row],[a1]]=1,ABS((ABS(Tab.o1[[#This Row],[Red]]-Tab.o1[[#This Row],[Blue]]))),"")</f>
        <v/>
      </c>
      <c r="W310" s="125" t="str">
        <f>IF(Tab.o1[[#This Row],[a1]]=1,IF(W$3=0,1,Tab.o1[[#This Row],[Amp.]]*1/_xlfn.MINIFS(Tab.o1[Amp.],Tab.o1[Amp.],"&lt;&gt;0")),"")</f>
        <v/>
      </c>
      <c r="X310" s="126" t="str">
        <f>IF(Tab.o1[[#This Row],[a1]]=1,IF(ISNUMBER(Tab.o1[[#This Row],[i.]]),NORMDIST(Tab.o1[[#This Row],[Za]],0,1,FALSE)*Tab.o1[[#This Row],[i.]],AP$3),"")</f>
        <v/>
      </c>
      <c r="Y310" s="126" t="str">
        <f>IF(Tab.o1[[#This Row],[a1]]=1,0.01+0.94*Tab.o1[[#This Row],[PDF]]/MAX(Tab.o1[PDF]),"")</f>
        <v/>
      </c>
      <c r="Z310" s="126" t="str">
        <f>IF(Tab.o1[[#This Row],[a1]]=1,0.01+0.94*Tab.o1[[#This Row],[W1_PDF]]/MAX(Tab.o1[W1_PDF]),"")</f>
        <v/>
      </c>
      <c r="AA310" s="118" t="str">
        <f>IF(Tab.o1[[#This Row],[a1]]=1,ABS([1]!T.in.A[[#This Row],[oo6]]),"")</f>
        <v/>
      </c>
      <c r="AB310" s="127" t="str">
        <f>IF(Tab.o1[[#This Row],[a1]]=1,IF(AE$3=0,"",IF(AB$3=0,ABS([1]!T.in.A[[#This Row],[oo9]]),ABS(Tab.o1[[#This Row],[DIF_Target.]]*Tab.o1[[#This Row],[W1_PDF]]))),"")</f>
        <v/>
      </c>
      <c r="AC310" s="127" t="str">
        <f>IF(G$1=1,"",IF(Tab.o1[[#This Row],[a1]]=1,Tab.o1[[#This Row],[Wr]]^2,""))</f>
        <v/>
      </c>
      <c r="AD310" s="118" t="str">
        <f>IF(Tab.o1[[#This Row],[a1]]=1,IF(AE$3=0,"",Tab.o1[[#This Row],[Wr2]]/SUM(Tab.o1[Wr2])),"")</f>
        <v/>
      </c>
      <c r="AE310" s="128" t="str">
        <f>IF(Tab.o1[[#This Row],[a1]]=1,[1]!T.in.A[[#This Row],[oo10]],"")</f>
        <v/>
      </c>
      <c r="AF310" s="118" t="str">
        <f>IF(Tab.o1[[#This Row],[a1]]=1,ABS(Tab.o1[[#This Row],[DIF_Target.]]*Tab.o1[[#This Row],[PDF2]]*Tab.o1[[#This Row],[IN]]),"")</f>
        <v/>
      </c>
      <c r="AG310" s="129" t="str">
        <f>IF(Tab.o1[[#This Row],[a1]]=1,Tab.o1[[#This Row],[rW]]^2,"")</f>
        <v/>
      </c>
      <c r="AH310" s="130" t="str">
        <f>IF(Tab.o1[[#This Row],[a1]]=1,IF(AH$3=0,Tab.o1[[#This Row],[rW2]],0.01+0.94*Tab.o1[[#This Row],[rW2]]/SUM(Tab.o1[rW2])),"")</f>
        <v/>
      </c>
      <c r="AI310" s="128" t="str">
        <f>IF(Tab.o1[[#This Row],[a1]]=1,1/Tab.o1[[#This Row],[PDF]],"")</f>
        <v/>
      </c>
      <c r="AJ310" s="131" t="str">
        <f>IF(Tab.o1[[#This Row],[a1]]=1,[1]!T_AA[[#This Row],[IN'']]*[1]!T_AA[[#This Row],[Qde'']],"")</f>
        <v/>
      </c>
      <c r="AK310" s="132" t="str">
        <f>IF(Tab.o1[[#This Row],[a1]]=1,IF(AK$1=1,Tab.o1[[#This Row],[MED]]+Tab.o1[[#This Row],[MOD]]-Tab.o1[[#This Row],[MED]],""),"")</f>
        <v/>
      </c>
      <c r="AL310" s="133" t="str">
        <f>IF(Tab.o1[[#This Row],[a1]]=1,[1]!T.in.A[[#This Row],[oo16]],"")</f>
        <v/>
      </c>
      <c r="AM310" s="133" t="str">
        <f>IF(Tab.o1[[#This Row],[a1]]=1,IF(AM$3=1,[1]!T.in.A[[#This Row],[Σo16]],""),"")</f>
        <v/>
      </c>
      <c r="AN310" s="126" t="str">
        <f>IF(Tab.o1[[#This Row],[a1]]=1,[1]!T.in.A[[#This Row],[Σp5]],"")</f>
        <v/>
      </c>
      <c r="AO310" s="126" t="str">
        <f>IF(Tab.o1[[#This Row],[a1]]=1,IF(AO$3=1,[1]!T.in.A[[#This Row],[Σp5]],""),"")</f>
        <v/>
      </c>
      <c r="AP310" s="110" t="str">
        <f>IF(Tab.o1[[#This Row],[a1]]=1,IF(ISNUMBER(Tab.o1[[#This Row],[i.]]),NORMDIST(Tab.o1[[#This Row],[Za]],0,1,FALSE)*Tab.o1[[#This Row],[i.]],0),"")</f>
        <v/>
      </c>
      <c r="AQ310" s="125" t="str">
        <f>IF(Tab.o1[[#This Row],[a1]]=1,ABS(Tab.o1[[#This Row],[MOD]]-AVERAGE(Tab.o1[MOD])),"")</f>
        <v/>
      </c>
      <c r="AR310" s="134" t="str">
        <f>IF(Tab.o1[[#This Row],[a1]]=1,Tab.o1[[#This Row],[OBS]]/SUM(Tab.o1[OBS]),"")</f>
        <v/>
      </c>
      <c r="AS310" s="135" t="str">
        <f>IF(ISNUMBER(Tab.o1[[#This Row],[a1]]),ROW()-4,"")</f>
        <v/>
      </c>
      <c r="AT310" s="136" t="str">
        <f>Tab.o1[[#This Row],[MOD]]</f>
        <v/>
      </c>
      <c r="AU310" s="137" t="str">
        <f t="shared" si="17"/>
        <v/>
      </c>
      <c r="AV310" s="138" t="str">
        <f t="shared" si="18"/>
        <v/>
      </c>
      <c r="AW310" s="138" t="str">
        <f t="shared" si="19"/>
        <v/>
      </c>
      <c r="AX310" s="139" t="str">
        <f>[1]!T.in.A[[#This Row],[ID_T_manu]]</f>
        <v/>
      </c>
      <c r="AY310" s="140" t="str">
        <f>IF(ISNUMBER(Tab.o1[[#This Row],[a1]]),IF(AND(Tab.o1[[#This Row],[a1]]=1,Tab.o1[[#This Row],[b1]]&lt;=AY$4),#REF!,AY309),"")</f>
        <v/>
      </c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</row>
    <row r="311" spans="1:79" ht="15.75" hidden="1">
      <c r="A311" s="109">
        <v>-8.0000000000000013E-6</v>
      </c>
      <c r="B311" s="110">
        <f t="shared" si="16"/>
        <v>311</v>
      </c>
      <c r="C311" s="111" t="str">
        <f>IF(C$1=[1]!T.in.A[[#This Row],[oo2]],1,"")</f>
        <v/>
      </c>
      <c r="D311" s="112" t="str">
        <f>IF(Tab.o1[[#This Row],[a1]]=1,IF(SUM(C311:C312)=0,0,IF(SUM(C310:C311)=1,1,IF(SUM(C310:C312)&gt;1,D310+1,0))),"")</f>
        <v/>
      </c>
      <c r="E311" s="113" t="str">
        <f>IF(Tab.o1[[#This Row],[a1]]=1,[1]!T.in.A[[#This Row],[oo1]],"")</f>
        <v/>
      </c>
      <c r="F311" s="113" t="str">
        <f>IF(Tab.o1[[#This Row],[a1]]=1,[1]!T.in.A[[#This Row],[pp1]],"")</f>
        <v/>
      </c>
      <c r="G311" s="114" t="str">
        <f>IF(Tab.o1[[#This Row],[a1]]=1,G$2+IF(G$1=1,0,Tab.o1[[#This Row],[.x1]])+[1]!T.in.A[[#This Row],[oo3]],"")</f>
        <v/>
      </c>
      <c r="H311" s="115" t="str">
        <f>IF(Tab.o1[[#This Row],[a1]]=1,IF(H$2=0,0,IF(G$1=1,0,Tab.o1[[#This Row],[.x1]])+[1]!T.in.A[[#This Row],[oo4]]),"")</f>
        <v/>
      </c>
      <c r="I311" s="116" t="str">
        <f>IF(Tab.o1[[#This Row],[a1]]=1,IF(J$2=0,Tab.o1[[#This Row],[MED]],Tab.o1[[#This Row],[MOD]]),"")</f>
        <v/>
      </c>
      <c r="J311" s="116" t="str">
        <f>IF(Tab.o1[[#This Row],[a1]]=1,((Tab.o1[[#This Row],[DIF_Target.]]-AVERAGE(Tab.o1[DIF_Target.]))/_xlfn.STDEV.P(Tab.o1[DIF_Target.])),"")</f>
        <v/>
      </c>
      <c r="K311" s="117" t="str">
        <f>IF(Tab.o1[[#This Row],[a1]]=1,IF(J$2=0,Tab.o1[[#This Row],[MOD]]-Tab.o1[[#This Row],[B]],IF(J$2=1,0,-Tab.o1[[#This Row],[MED]])+Tab.o1[[#This Row],[B]]),"")</f>
        <v/>
      </c>
      <c r="L311" s="117" t="str">
        <f ca="1">IF(Tab.o1[[#This Row],[DIF_Target]]=0,IF(L$2=0,Tab.o1[[#This Row],[DIF_Target]],AVERAGE(OFFSET(Tab.o1[[#This Row],[DIF_Target]],1,0,L$3,1)))/3,Tab.o1[[#This Row],[DIF_Target]])</f>
        <v/>
      </c>
      <c r="M311" s="118" t="str">
        <f>IF(Tab.o1[[#This Row],[a1]]=1,NORMSDIST(Tab.o1[[#This Row],[Za]]),"")</f>
        <v/>
      </c>
      <c r="N311" s="119" t="str">
        <f>IF(Tab.o1[[#This Row],[a1]]=1,((Tab.o1[[#This Row],[MedMod]]-AVERAGE(Tab.o1[MedMod]))/_xlfn.STDEV.P(Tab.o1[MedMod])*H$1205)+G$1205,"")</f>
        <v/>
      </c>
      <c r="O311" s="141" t="str">
        <f>IF(Tab.o1[[#This Row],[a1]]=1,Tab.o1[[#This Row],[Zb]]*_xlfn.STDEV.P(Tab.o1[MedMod])+AVERAGE(Tab.o1[MedMod]),"")</f>
        <v/>
      </c>
      <c r="P311" s="117" t="str">
        <f ca="1">IF(Tab.o1[[#This Row],[B]]=0,AVERAGE(OFFSET(Tab.o1[[#This Row],[B]],1,0,L$3,1)),Tab.o1[[#This Row],[B]])</f>
        <v/>
      </c>
      <c r="Q311" s="121" t="str">
        <f>IF(Tab.o1[[#This Row],[a1]]=1,NORMSDIST(Tab.o1[[#This Row],[Zb]]),"")</f>
        <v/>
      </c>
      <c r="R311" s="122" t="str">
        <f>IF(Tab.o1[[#This Row],[a1]]=1,((Tab.o1[[#This Row],[MedMod]]-AVERAGE(Tab.o1[MedMod]))/_xlfn.STDEV.P(Tab.o1[MedMod])*H$1203)+G$1203,"")</f>
        <v/>
      </c>
      <c r="S311" s="122" t="str">
        <f>IF(Tab.o1[[#This Row],[a1]]=1,((Tab.o1[[#This Row],[MedMod]]-AVERAGE(Tab.o1[MedMod]))/_xlfn.STDEV.P(Tab.o1[MedMod])*H$1204)+G$1204,"")</f>
        <v/>
      </c>
      <c r="T311" s="123" t="str">
        <f>IF(Tab.o1[[#This Row],[a1]]=1,Tab.o1[[#This Row],[Z-]]*_xlfn.STDEV.P(Tab.o1[B])+AVERAGE(Tab.o1[B]),"")</f>
        <v/>
      </c>
      <c r="U311" s="123" t="str">
        <f>IF(Tab.o1[[#This Row],[a1]]=1,Tab.o1[[#This Row],[z+]]*_xlfn.STDEV.P(Tab.o1[B])+AVERAGE(Tab.o1[B]),"")</f>
        <v/>
      </c>
      <c r="V311" s="124" t="str">
        <f>IF(Tab.o1[[#This Row],[a1]]=1,ABS((ABS(Tab.o1[[#This Row],[Red]]-Tab.o1[[#This Row],[Blue]]))),"")</f>
        <v/>
      </c>
      <c r="W311" s="125" t="str">
        <f>IF(Tab.o1[[#This Row],[a1]]=1,IF(W$3=0,1,Tab.o1[[#This Row],[Amp.]]*1/_xlfn.MINIFS(Tab.o1[Amp.],Tab.o1[Amp.],"&lt;&gt;0")),"")</f>
        <v/>
      </c>
      <c r="X311" s="126" t="str">
        <f>IF(Tab.o1[[#This Row],[a1]]=1,IF(ISNUMBER(Tab.o1[[#This Row],[i.]]),NORMDIST(Tab.o1[[#This Row],[Za]],0,1,FALSE)*Tab.o1[[#This Row],[i.]],AP$3),"")</f>
        <v/>
      </c>
      <c r="Y311" s="126" t="str">
        <f>IF(Tab.o1[[#This Row],[a1]]=1,0.01+0.94*Tab.o1[[#This Row],[PDF]]/MAX(Tab.o1[PDF]),"")</f>
        <v/>
      </c>
      <c r="Z311" s="126" t="str">
        <f>IF(Tab.o1[[#This Row],[a1]]=1,0.01+0.94*Tab.o1[[#This Row],[W1_PDF]]/MAX(Tab.o1[W1_PDF]),"")</f>
        <v/>
      </c>
      <c r="AA311" s="118" t="str">
        <f>IF(Tab.o1[[#This Row],[a1]]=1,ABS([1]!T.in.A[[#This Row],[oo6]]),"")</f>
        <v/>
      </c>
      <c r="AB311" s="127" t="str">
        <f>IF(Tab.o1[[#This Row],[a1]]=1,IF(AE$3=0,"",IF(AB$3=0,ABS([1]!T.in.A[[#This Row],[oo9]]),ABS(Tab.o1[[#This Row],[DIF_Target.]]*Tab.o1[[#This Row],[W1_PDF]]))),"")</f>
        <v/>
      </c>
      <c r="AC311" s="127" t="str">
        <f>IF(G$1=1,"",IF(Tab.o1[[#This Row],[a1]]=1,Tab.o1[[#This Row],[Wr]]^2,""))</f>
        <v/>
      </c>
      <c r="AD311" s="118" t="str">
        <f>IF(Tab.o1[[#This Row],[a1]]=1,IF(AE$3=0,"",Tab.o1[[#This Row],[Wr2]]/SUM(Tab.o1[Wr2])),"")</f>
        <v/>
      </c>
      <c r="AE311" s="128" t="str">
        <f>IF(Tab.o1[[#This Row],[a1]]=1,[1]!T.in.A[[#This Row],[oo10]],"")</f>
        <v/>
      </c>
      <c r="AF311" s="118" t="str">
        <f>IF(Tab.o1[[#This Row],[a1]]=1,ABS(Tab.o1[[#This Row],[DIF_Target.]]*Tab.o1[[#This Row],[PDF2]]*Tab.o1[[#This Row],[IN]]),"")</f>
        <v/>
      </c>
      <c r="AG311" s="129" t="str">
        <f>IF(Tab.o1[[#This Row],[a1]]=1,Tab.o1[[#This Row],[rW]]^2,"")</f>
        <v/>
      </c>
      <c r="AH311" s="130" t="str">
        <f>IF(Tab.o1[[#This Row],[a1]]=1,IF(AH$3=0,Tab.o1[[#This Row],[rW2]],0.01+0.94*Tab.o1[[#This Row],[rW2]]/SUM(Tab.o1[rW2])),"")</f>
        <v/>
      </c>
      <c r="AI311" s="128" t="str">
        <f>IF(Tab.o1[[#This Row],[a1]]=1,1/Tab.o1[[#This Row],[PDF]],"")</f>
        <v/>
      </c>
      <c r="AJ311" s="131" t="str">
        <f>IF(Tab.o1[[#This Row],[a1]]=1,[1]!T_AA[[#This Row],[IN'']]*[1]!T_AA[[#This Row],[Qde'']],"")</f>
        <v/>
      </c>
      <c r="AK311" s="132" t="str">
        <f>IF(Tab.o1[[#This Row],[a1]]=1,IF(AK$1=1,Tab.o1[[#This Row],[MED]]+Tab.o1[[#This Row],[MOD]]-Tab.o1[[#This Row],[MED]],""),"")</f>
        <v/>
      </c>
      <c r="AL311" s="133" t="str">
        <f>IF(Tab.o1[[#This Row],[a1]]=1,[1]!T.in.A[[#This Row],[oo16]],"")</f>
        <v/>
      </c>
      <c r="AM311" s="133" t="str">
        <f>IF(Tab.o1[[#This Row],[a1]]=1,IF(AM$3=1,[1]!T.in.A[[#This Row],[Σo16]],""),"")</f>
        <v/>
      </c>
      <c r="AN311" s="126" t="str">
        <f>IF(Tab.o1[[#This Row],[a1]]=1,[1]!T.in.A[[#This Row],[Σp5]],"")</f>
        <v/>
      </c>
      <c r="AO311" s="126" t="str">
        <f>IF(Tab.o1[[#This Row],[a1]]=1,IF(AO$3=1,[1]!T.in.A[[#This Row],[Σp5]],""),"")</f>
        <v/>
      </c>
      <c r="AP311" s="110" t="str">
        <f>IF(Tab.o1[[#This Row],[a1]]=1,IF(ISNUMBER(Tab.o1[[#This Row],[i.]]),NORMDIST(Tab.o1[[#This Row],[Za]],0,1,FALSE)*Tab.o1[[#This Row],[i.]],0),"")</f>
        <v/>
      </c>
      <c r="AQ311" s="125" t="str">
        <f>IF(Tab.o1[[#This Row],[a1]]=1,ABS(Tab.o1[[#This Row],[MOD]]-AVERAGE(Tab.o1[MOD])),"")</f>
        <v/>
      </c>
      <c r="AR311" s="134" t="str">
        <f>IF(Tab.o1[[#This Row],[a1]]=1,Tab.o1[[#This Row],[OBS]]/SUM(Tab.o1[OBS]),"")</f>
        <v/>
      </c>
      <c r="AS311" s="135" t="str">
        <f>IF(ISNUMBER(Tab.o1[[#This Row],[a1]]),ROW()-4,"")</f>
        <v/>
      </c>
      <c r="AT311" s="136" t="str">
        <f>Tab.o1[[#This Row],[MOD]]</f>
        <v/>
      </c>
      <c r="AU311" s="137" t="str">
        <f t="shared" si="17"/>
        <v/>
      </c>
      <c r="AV311" s="138" t="str">
        <f t="shared" si="18"/>
        <v/>
      </c>
      <c r="AW311" s="138" t="str">
        <f t="shared" si="19"/>
        <v/>
      </c>
      <c r="AX311" s="139" t="str">
        <f>[1]!T.in.A[[#This Row],[ID_T_manu]]</f>
        <v/>
      </c>
      <c r="AY311" s="140" t="str">
        <f>IF(ISNUMBER(Tab.o1[[#This Row],[a1]]),IF(AND(Tab.o1[[#This Row],[a1]]=1,Tab.o1[[#This Row],[b1]]&lt;=AY$4),#REF!,AY310),"")</f>
        <v/>
      </c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</row>
    <row r="312" spans="1:79" ht="15.75" hidden="1">
      <c r="A312" s="109">
        <v>-9.0000000000000002E-6</v>
      </c>
      <c r="B312" s="110">
        <f t="shared" si="16"/>
        <v>312</v>
      </c>
      <c r="C312" s="111" t="str">
        <f>IF(C$1=[1]!T.in.A[[#This Row],[oo2]],1,"")</f>
        <v/>
      </c>
      <c r="D312" s="112" t="str">
        <f>IF(Tab.o1[[#This Row],[a1]]=1,IF(SUM(C312:C313)=0,0,IF(SUM(C311:C312)=1,1,IF(SUM(C311:C313)&gt;1,D311+1,0))),"")</f>
        <v/>
      </c>
      <c r="E312" s="113" t="str">
        <f>IF(Tab.o1[[#This Row],[a1]]=1,[1]!T.in.A[[#This Row],[oo1]],"")</f>
        <v/>
      </c>
      <c r="F312" s="113" t="str">
        <f>IF(Tab.o1[[#This Row],[a1]]=1,[1]!T.in.A[[#This Row],[pp1]],"")</f>
        <v/>
      </c>
      <c r="G312" s="114" t="str">
        <f>IF(Tab.o1[[#This Row],[a1]]=1,G$2+IF(G$1=1,0,Tab.o1[[#This Row],[.x1]])+[1]!T.in.A[[#This Row],[oo3]],"")</f>
        <v/>
      </c>
      <c r="H312" s="115" t="str">
        <f>IF(Tab.o1[[#This Row],[a1]]=1,IF(H$2=0,0,IF(G$1=1,0,Tab.o1[[#This Row],[.x1]])+[1]!T.in.A[[#This Row],[oo4]]),"")</f>
        <v/>
      </c>
      <c r="I312" s="116" t="str">
        <f>IF(Tab.o1[[#This Row],[a1]]=1,IF(J$2=0,Tab.o1[[#This Row],[MED]],Tab.o1[[#This Row],[MOD]]),"")</f>
        <v/>
      </c>
      <c r="J312" s="116" t="str">
        <f>IF(Tab.o1[[#This Row],[a1]]=1,((Tab.o1[[#This Row],[DIF_Target.]]-AVERAGE(Tab.o1[DIF_Target.]))/_xlfn.STDEV.P(Tab.o1[DIF_Target.])),"")</f>
        <v/>
      </c>
      <c r="K312" s="117" t="str">
        <f>IF(Tab.o1[[#This Row],[a1]]=1,IF(J$2=0,Tab.o1[[#This Row],[MOD]]-Tab.o1[[#This Row],[B]],IF(J$2=1,0,-Tab.o1[[#This Row],[MED]])+Tab.o1[[#This Row],[B]]),"")</f>
        <v/>
      </c>
      <c r="L312" s="117" t="str">
        <f ca="1">IF(Tab.o1[[#This Row],[DIF_Target]]=0,IF(L$2=0,Tab.o1[[#This Row],[DIF_Target]],AVERAGE(OFFSET(Tab.o1[[#This Row],[DIF_Target]],1,0,L$3,1)))/3,Tab.o1[[#This Row],[DIF_Target]])</f>
        <v/>
      </c>
      <c r="M312" s="118" t="str">
        <f>IF(Tab.o1[[#This Row],[a1]]=1,NORMSDIST(Tab.o1[[#This Row],[Za]]),"")</f>
        <v/>
      </c>
      <c r="N312" s="119" t="str">
        <f>IF(Tab.o1[[#This Row],[a1]]=1,((Tab.o1[[#This Row],[MedMod]]-AVERAGE(Tab.o1[MedMod]))/_xlfn.STDEV.P(Tab.o1[MedMod])*H$1205)+G$1205,"")</f>
        <v/>
      </c>
      <c r="O312" s="141" t="str">
        <f>IF(Tab.o1[[#This Row],[a1]]=1,Tab.o1[[#This Row],[Zb]]*_xlfn.STDEV.P(Tab.o1[MedMod])+AVERAGE(Tab.o1[MedMod]),"")</f>
        <v/>
      </c>
      <c r="P312" s="117" t="str">
        <f ca="1">IF(Tab.o1[[#This Row],[B]]=0,AVERAGE(OFFSET(Tab.o1[[#This Row],[B]],1,0,L$3,1)),Tab.o1[[#This Row],[B]])</f>
        <v/>
      </c>
      <c r="Q312" s="121" t="str">
        <f>IF(Tab.o1[[#This Row],[a1]]=1,NORMSDIST(Tab.o1[[#This Row],[Zb]]),"")</f>
        <v/>
      </c>
      <c r="R312" s="122" t="str">
        <f>IF(Tab.o1[[#This Row],[a1]]=1,((Tab.o1[[#This Row],[MedMod]]-AVERAGE(Tab.o1[MedMod]))/_xlfn.STDEV.P(Tab.o1[MedMod])*H$1203)+G$1203,"")</f>
        <v/>
      </c>
      <c r="S312" s="122" t="str">
        <f>IF(Tab.o1[[#This Row],[a1]]=1,((Tab.o1[[#This Row],[MedMod]]-AVERAGE(Tab.o1[MedMod]))/_xlfn.STDEV.P(Tab.o1[MedMod])*H$1204)+G$1204,"")</f>
        <v/>
      </c>
      <c r="T312" s="123" t="str">
        <f>IF(Tab.o1[[#This Row],[a1]]=1,Tab.o1[[#This Row],[Z-]]*_xlfn.STDEV.P(Tab.o1[B])+AVERAGE(Tab.o1[B]),"")</f>
        <v/>
      </c>
      <c r="U312" s="123" t="str">
        <f>IF(Tab.o1[[#This Row],[a1]]=1,Tab.o1[[#This Row],[z+]]*_xlfn.STDEV.P(Tab.o1[B])+AVERAGE(Tab.o1[B]),"")</f>
        <v/>
      </c>
      <c r="V312" s="124" t="str">
        <f>IF(Tab.o1[[#This Row],[a1]]=1,ABS((ABS(Tab.o1[[#This Row],[Red]]-Tab.o1[[#This Row],[Blue]]))),"")</f>
        <v/>
      </c>
      <c r="W312" s="125" t="str">
        <f>IF(Tab.o1[[#This Row],[a1]]=1,IF(W$3=0,1,Tab.o1[[#This Row],[Amp.]]*1/_xlfn.MINIFS(Tab.o1[Amp.],Tab.o1[Amp.],"&lt;&gt;0")),"")</f>
        <v/>
      </c>
      <c r="X312" s="126" t="str">
        <f>IF(Tab.o1[[#This Row],[a1]]=1,IF(ISNUMBER(Tab.o1[[#This Row],[i.]]),NORMDIST(Tab.o1[[#This Row],[Za]],0,1,FALSE)*Tab.o1[[#This Row],[i.]],AP$3),"")</f>
        <v/>
      </c>
      <c r="Y312" s="126" t="str">
        <f>IF(Tab.o1[[#This Row],[a1]]=1,0.01+0.94*Tab.o1[[#This Row],[PDF]]/MAX(Tab.o1[PDF]),"")</f>
        <v/>
      </c>
      <c r="Z312" s="126" t="str">
        <f>IF(Tab.o1[[#This Row],[a1]]=1,0.01+0.94*Tab.o1[[#This Row],[W1_PDF]]/MAX(Tab.o1[W1_PDF]),"")</f>
        <v/>
      </c>
      <c r="AA312" s="118" t="str">
        <f>IF(Tab.o1[[#This Row],[a1]]=1,ABS([1]!T.in.A[[#This Row],[oo6]]),"")</f>
        <v/>
      </c>
      <c r="AB312" s="127" t="str">
        <f>IF(Tab.o1[[#This Row],[a1]]=1,IF(AE$3=0,"",IF(AB$3=0,ABS([1]!T.in.A[[#This Row],[oo9]]),ABS(Tab.o1[[#This Row],[DIF_Target.]]*Tab.o1[[#This Row],[W1_PDF]]))),"")</f>
        <v/>
      </c>
      <c r="AC312" s="127" t="str">
        <f>IF(G$1=1,"",IF(Tab.o1[[#This Row],[a1]]=1,Tab.o1[[#This Row],[Wr]]^2,""))</f>
        <v/>
      </c>
      <c r="AD312" s="118" t="str">
        <f>IF(Tab.o1[[#This Row],[a1]]=1,IF(AE$3=0,"",Tab.o1[[#This Row],[Wr2]]/SUM(Tab.o1[Wr2])),"")</f>
        <v/>
      </c>
      <c r="AE312" s="128" t="str">
        <f>IF(Tab.o1[[#This Row],[a1]]=1,[1]!T.in.A[[#This Row],[oo10]],"")</f>
        <v/>
      </c>
      <c r="AF312" s="118" t="str">
        <f>IF(Tab.o1[[#This Row],[a1]]=1,ABS(Tab.o1[[#This Row],[DIF_Target.]]*Tab.o1[[#This Row],[PDF2]]*Tab.o1[[#This Row],[IN]]),"")</f>
        <v/>
      </c>
      <c r="AG312" s="129" t="str">
        <f>IF(Tab.o1[[#This Row],[a1]]=1,Tab.o1[[#This Row],[rW]]^2,"")</f>
        <v/>
      </c>
      <c r="AH312" s="130" t="str">
        <f>IF(Tab.o1[[#This Row],[a1]]=1,IF(AH$3=0,Tab.o1[[#This Row],[rW2]],0.01+0.94*Tab.o1[[#This Row],[rW2]]/SUM(Tab.o1[rW2])),"")</f>
        <v/>
      </c>
      <c r="AI312" s="128" t="str">
        <f>IF(Tab.o1[[#This Row],[a1]]=1,1/Tab.o1[[#This Row],[PDF]],"")</f>
        <v/>
      </c>
      <c r="AJ312" s="131" t="str">
        <f>IF(Tab.o1[[#This Row],[a1]]=1,[1]!T_AA[[#This Row],[IN'']]*[1]!T_AA[[#This Row],[Qde'']],"")</f>
        <v/>
      </c>
      <c r="AK312" s="132" t="str">
        <f>IF(Tab.o1[[#This Row],[a1]]=1,IF(AK$1=1,Tab.o1[[#This Row],[MED]]+Tab.o1[[#This Row],[MOD]]-Tab.o1[[#This Row],[MED]],""),"")</f>
        <v/>
      </c>
      <c r="AL312" s="133" t="str">
        <f>IF(Tab.o1[[#This Row],[a1]]=1,[1]!T.in.A[[#This Row],[oo16]],"")</f>
        <v/>
      </c>
      <c r="AM312" s="133" t="str">
        <f>IF(Tab.o1[[#This Row],[a1]]=1,IF(AM$3=1,[1]!T.in.A[[#This Row],[Σo16]],""),"")</f>
        <v/>
      </c>
      <c r="AN312" s="126" t="str">
        <f>IF(Tab.o1[[#This Row],[a1]]=1,[1]!T.in.A[[#This Row],[Σp5]],"")</f>
        <v/>
      </c>
      <c r="AO312" s="126" t="str">
        <f>IF(Tab.o1[[#This Row],[a1]]=1,IF(AO$3=1,[1]!T.in.A[[#This Row],[Σp5]],""),"")</f>
        <v/>
      </c>
      <c r="AP312" s="110" t="str">
        <f>IF(Tab.o1[[#This Row],[a1]]=1,IF(ISNUMBER(Tab.o1[[#This Row],[i.]]),NORMDIST(Tab.o1[[#This Row],[Za]],0,1,FALSE)*Tab.o1[[#This Row],[i.]],0),"")</f>
        <v/>
      </c>
      <c r="AQ312" s="125" t="str">
        <f>IF(Tab.o1[[#This Row],[a1]]=1,ABS(Tab.o1[[#This Row],[MOD]]-AVERAGE(Tab.o1[MOD])),"")</f>
        <v/>
      </c>
      <c r="AR312" s="134" t="str">
        <f>IF(Tab.o1[[#This Row],[a1]]=1,Tab.o1[[#This Row],[OBS]]/SUM(Tab.o1[OBS]),"")</f>
        <v/>
      </c>
      <c r="AS312" s="135" t="str">
        <f>IF(ISNUMBER(Tab.o1[[#This Row],[a1]]),ROW()-4,"")</f>
        <v/>
      </c>
      <c r="AT312" s="136" t="str">
        <f>Tab.o1[[#This Row],[MOD]]</f>
        <v/>
      </c>
      <c r="AU312" s="137" t="str">
        <f t="shared" si="17"/>
        <v/>
      </c>
      <c r="AV312" s="138" t="str">
        <f t="shared" si="18"/>
        <v/>
      </c>
      <c r="AW312" s="138" t="str">
        <f t="shared" si="19"/>
        <v/>
      </c>
      <c r="AX312" s="139" t="str">
        <f>[1]!T.in.A[[#This Row],[ID_T_manu]]</f>
        <v/>
      </c>
      <c r="AY312" s="140" t="str">
        <f>IF(ISNUMBER(Tab.o1[[#This Row],[a1]]),IF(AND(Tab.o1[[#This Row],[a1]]=1,Tab.o1[[#This Row],[b1]]&lt;=AY$4),#REF!,AY311),"")</f>
        <v/>
      </c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</row>
    <row r="313" spans="1:79" ht="15.75" hidden="1">
      <c r="A313" s="109">
        <v>-1.0000000000000002E-6</v>
      </c>
      <c r="B313" s="110">
        <f t="shared" si="16"/>
        <v>313</v>
      </c>
      <c r="C313" s="111" t="str">
        <f>IF(C$1=[1]!T.in.A[[#This Row],[oo2]],1,"")</f>
        <v/>
      </c>
      <c r="D313" s="112" t="str">
        <f>IF(Tab.o1[[#This Row],[a1]]=1,IF(SUM(C313:C314)=0,0,IF(SUM(C312:C313)=1,1,IF(SUM(C312:C314)&gt;1,D312+1,0))),"")</f>
        <v/>
      </c>
      <c r="E313" s="113" t="str">
        <f>IF(Tab.o1[[#This Row],[a1]]=1,[1]!T.in.A[[#This Row],[oo1]],"")</f>
        <v/>
      </c>
      <c r="F313" s="113" t="str">
        <f>IF(Tab.o1[[#This Row],[a1]]=1,[1]!T.in.A[[#This Row],[pp1]],"")</f>
        <v/>
      </c>
      <c r="G313" s="114" t="str">
        <f>IF(Tab.o1[[#This Row],[a1]]=1,G$2+IF(G$1=1,0,Tab.o1[[#This Row],[.x1]])+[1]!T.in.A[[#This Row],[oo3]],"")</f>
        <v/>
      </c>
      <c r="H313" s="115" t="str">
        <f>IF(Tab.o1[[#This Row],[a1]]=1,IF(H$2=0,0,IF(G$1=1,0,Tab.o1[[#This Row],[.x1]])+[1]!T.in.A[[#This Row],[oo4]]),"")</f>
        <v/>
      </c>
      <c r="I313" s="116" t="str">
        <f>IF(Tab.o1[[#This Row],[a1]]=1,IF(J$2=0,Tab.o1[[#This Row],[MED]],Tab.o1[[#This Row],[MOD]]),"")</f>
        <v/>
      </c>
      <c r="J313" s="116" t="str">
        <f>IF(Tab.o1[[#This Row],[a1]]=1,((Tab.o1[[#This Row],[DIF_Target.]]-AVERAGE(Tab.o1[DIF_Target.]))/_xlfn.STDEV.P(Tab.o1[DIF_Target.])),"")</f>
        <v/>
      </c>
      <c r="K313" s="117" t="str">
        <f>IF(Tab.o1[[#This Row],[a1]]=1,IF(J$2=0,Tab.o1[[#This Row],[MOD]]-Tab.o1[[#This Row],[B]],IF(J$2=1,0,-Tab.o1[[#This Row],[MED]])+Tab.o1[[#This Row],[B]]),"")</f>
        <v/>
      </c>
      <c r="L313" s="117" t="str">
        <f ca="1">IF(Tab.o1[[#This Row],[DIF_Target]]=0,IF(L$2=0,Tab.o1[[#This Row],[DIF_Target]],AVERAGE(OFFSET(Tab.o1[[#This Row],[DIF_Target]],1,0,L$3,1)))/3,Tab.o1[[#This Row],[DIF_Target]])</f>
        <v/>
      </c>
      <c r="M313" s="118" t="str">
        <f>IF(Tab.o1[[#This Row],[a1]]=1,NORMSDIST(Tab.o1[[#This Row],[Za]]),"")</f>
        <v/>
      </c>
      <c r="N313" s="119" t="str">
        <f>IF(Tab.o1[[#This Row],[a1]]=1,((Tab.o1[[#This Row],[MedMod]]-AVERAGE(Tab.o1[MedMod]))/_xlfn.STDEV.P(Tab.o1[MedMod])*H$1205)+G$1205,"")</f>
        <v/>
      </c>
      <c r="O313" s="141" t="str">
        <f>IF(Tab.o1[[#This Row],[a1]]=1,Tab.o1[[#This Row],[Zb]]*_xlfn.STDEV.P(Tab.o1[MedMod])+AVERAGE(Tab.o1[MedMod]),"")</f>
        <v/>
      </c>
      <c r="P313" s="117" t="str">
        <f ca="1">IF(Tab.o1[[#This Row],[B]]=0,AVERAGE(OFFSET(Tab.o1[[#This Row],[B]],1,0,L$3,1)),Tab.o1[[#This Row],[B]])</f>
        <v/>
      </c>
      <c r="Q313" s="121" t="str">
        <f>IF(Tab.o1[[#This Row],[a1]]=1,NORMSDIST(Tab.o1[[#This Row],[Zb]]),"")</f>
        <v/>
      </c>
      <c r="R313" s="122" t="str">
        <f>IF(Tab.o1[[#This Row],[a1]]=1,((Tab.o1[[#This Row],[MedMod]]-AVERAGE(Tab.o1[MedMod]))/_xlfn.STDEV.P(Tab.o1[MedMod])*H$1203)+G$1203,"")</f>
        <v/>
      </c>
      <c r="S313" s="122" t="str">
        <f>IF(Tab.o1[[#This Row],[a1]]=1,((Tab.o1[[#This Row],[MedMod]]-AVERAGE(Tab.o1[MedMod]))/_xlfn.STDEV.P(Tab.o1[MedMod])*H$1204)+G$1204,"")</f>
        <v/>
      </c>
      <c r="T313" s="123" t="str">
        <f>IF(Tab.o1[[#This Row],[a1]]=1,Tab.o1[[#This Row],[Z-]]*_xlfn.STDEV.P(Tab.o1[B])+AVERAGE(Tab.o1[B]),"")</f>
        <v/>
      </c>
      <c r="U313" s="123" t="str">
        <f>IF(Tab.o1[[#This Row],[a1]]=1,Tab.o1[[#This Row],[z+]]*_xlfn.STDEV.P(Tab.o1[B])+AVERAGE(Tab.o1[B]),"")</f>
        <v/>
      </c>
      <c r="V313" s="124" t="str">
        <f>IF(Tab.o1[[#This Row],[a1]]=1,ABS((ABS(Tab.o1[[#This Row],[Red]]-Tab.o1[[#This Row],[Blue]]))),"")</f>
        <v/>
      </c>
      <c r="W313" s="125" t="str">
        <f>IF(Tab.o1[[#This Row],[a1]]=1,IF(W$3=0,1,Tab.o1[[#This Row],[Amp.]]*1/_xlfn.MINIFS(Tab.o1[Amp.],Tab.o1[Amp.],"&lt;&gt;0")),"")</f>
        <v/>
      </c>
      <c r="X313" s="126" t="str">
        <f>IF(Tab.o1[[#This Row],[a1]]=1,IF(ISNUMBER(Tab.o1[[#This Row],[i.]]),NORMDIST(Tab.o1[[#This Row],[Za]],0,1,FALSE)*Tab.o1[[#This Row],[i.]],AP$3),"")</f>
        <v/>
      </c>
      <c r="Y313" s="126" t="str">
        <f>IF(Tab.o1[[#This Row],[a1]]=1,0.01+0.94*Tab.o1[[#This Row],[PDF]]/MAX(Tab.o1[PDF]),"")</f>
        <v/>
      </c>
      <c r="Z313" s="126" t="str">
        <f>IF(Tab.o1[[#This Row],[a1]]=1,0.01+0.94*Tab.o1[[#This Row],[W1_PDF]]/MAX(Tab.o1[W1_PDF]),"")</f>
        <v/>
      </c>
      <c r="AA313" s="118" t="str">
        <f>IF(Tab.o1[[#This Row],[a1]]=1,ABS([1]!T.in.A[[#This Row],[oo6]]),"")</f>
        <v/>
      </c>
      <c r="AB313" s="127" t="str">
        <f>IF(Tab.o1[[#This Row],[a1]]=1,IF(AE$3=0,"",IF(AB$3=0,ABS([1]!T.in.A[[#This Row],[oo9]]),ABS(Tab.o1[[#This Row],[DIF_Target.]]*Tab.o1[[#This Row],[W1_PDF]]))),"")</f>
        <v/>
      </c>
      <c r="AC313" s="127" t="str">
        <f>IF(G$1=1,"",IF(Tab.o1[[#This Row],[a1]]=1,Tab.o1[[#This Row],[Wr]]^2,""))</f>
        <v/>
      </c>
      <c r="AD313" s="118" t="str">
        <f>IF(Tab.o1[[#This Row],[a1]]=1,IF(AE$3=0,"",Tab.o1[[#This Row],[Wr2]]/SUM(Tab.o1[Wr2])),"")</f>
        <v/>
      </c>
      <c r="AE313" s="128" t="str">
        <f>IF(Tab.o1[[#This Row],[a1]]=1,[1]!T.in.A[[#This Row],[oo10]],"")</f>
        <v/>
      </c>
      <c r="AF313" s="118" t="str">
        <f>IF(Tab.o1[[#This Row],[a1]]=1,ABS(Tab.o1[[#This Row],[DIF_Target.]]*Tab.o1[[#This Row],[PDF2]]*Tab.o1[[#This Row],[IN]]),"")</f>
        <v/>
      </c>
      <c r="AG313" s="129" t="str">
        <f>IF(Tab.o1[[#This Row],[a1]]=1,Tab.o1[[#This Row],[rW]]^2,"")</f>
        <v/>
      </c>
      <c r="AH313" s="130" t="str">
        <f>IF(Tab.o1[[#This Row],[a1]]=1,IF(AH$3=0,Tab.o1[[#This Row],[rW2]],0.01+0.94*Tab.o1[[#This Row],[rW2]]/SUM(Tab.o1[rW2])),"")</f>
        <v/>
      </c>
      <c r="AI313" s="128" t="str">
        <f>IF(Tab.o1[[#This Row],[a1]]=1,1/Tab.o1[[#This Row],[PDF]],"")</f>
        <v/>
      </c>
      <c r="AJ313" s="131" t="str">
        <f>IF(Tab.o1[[#This Row],[a1]]=1,[1]!T_AA[[#This Row],[IN'']]*[1]!T_AA[[#This Row],[Qde'']],"")</f>
        <v/>
      </c>
      <c r="AK313" s="132" t="str">
        <f>IF(Tab.o1[[#This Row],[a1]]=1,IF(AK$1=1,Tab.o1[[#This Row],[MED]]+Tab.o1[[#This Row],[MOD]]-Tab.o1[[#This Row],[MED]],""),"")</f>
        <v/>
      </c>
      <c r="AL313" s="133" t="str">
        <f>IF(Tab.o1[[#This Row],[a1]]=1,[1]!T.in.A[[#This Row],[oo16]],"")</f>
        <v/>
      </c>
      <c r="AM313" s="133" t="str">
        <f>IF(Tab.o1[[#This Row],[a1]]=1,IF(AM$3=1,[1]!T.in.A[[#This Row],[Σo16]],""),"")</f>
        <v/>
      </c>
      <c r="AN313" s="126" t="str">
        <f>IF(Tab.o1[[#This Row],[a1]]=1,[1]!T.in.A[[#This Row],[Σp5]],"")</f>
        <v/>
      </c>
      <c r="AO313" s="126" t="str">
        <f>IF(Tab.o1[[#This Row],[a1]]=1,IF(AO$3=1,[1]!T.in.A[[#This Row],[Σp5]],""),"")</f>
        <v/>
      </c>
      <c r="AP313" s="110" t="str">
        <f>IF(Tab.o1[[#This Row],[a1]]=1,IF(ISNUMBER(Tab.o1[[#This Row],[i.]]),NORMDIST(Tab.o1[[#This Row],[Za]],0,1,FALSE)*Tab.o1[[#This Row],[i.]],0),"")</f>
        <v/>
      </c>
      <c r="AQ313" s="125" t="str">
        <f>IF(Tab.o1[[#This Row],[a1]]=1,ABS(Tab.o1[[#This Row],[MOD]]-AVERAGE(Tab.o1[MOD])),"")</f>
        <v/>
      </c>
      <c r="AR313" s="134" t="str">
        <f>IF(Tab.o1[[#This Row],[a1]]=1,Tab.o1[[#This Row],[OBS]]/SUM(Tab.o1[OBS]),"")</f>
        <v/>
      </c>
      <c r="AS313" s="135" t="str">
        <f>IF(ISNUMBER(Tab.o1[[#This Row],[a1]]),ROW()-4,"")</f>
        <v/>
      </c>
      <c r="AT313" s="136" t="str">
        <f>Tab.o1[[#This Row],[MOD]]</f>
        <v/>
      </c>
      <c r="AU313" s="137" t="str">
        <f t="shared" si="17"/>
        <v/>
      </c>
      <c r="AV313" s="138" t="str">
        <f t="shared" si="18"/>
        <v/>
      </c>
      <c r="AW313" s="138" t="str">
        <f t="shared" si="19"/>
        <v/>
      </c>
      <c r="AX313" s="139" t="str">
        <f>[1]!T.in.A[[#This Row],[ID_T_manu]]</f>
        <v/>
      </c>
      <c r="AY313" s="140" t="str">
        <f>IF(ISNUMBER(Tab.o1[[#This Row],[a1]]),IF(AND(Tab.o1[[#This Row],[a1]]=1,Tab.o1[[#This Row],[b1]]&lt;=AY$4),#REF!,AY312),"")</f>
        <v/>
      </c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</row>
    <row r="314" spans="1:79" ht="15.75" hidden="1">
      <c r="A314" s="109">
        <v>8.0000000000000013E-6</v>
      </c>
      <c r="B314" s="110">
        <f t="shared" si="16"/>
        <v>314</v>
      </c>
      <c r="C314" s="111" t="str">
        <f>IF(C$1=[1]!T.in.A[[#This Row],[oo2]],1,"")</f>
        <v/>
      </c>
      <c r="D314" s="112" t="str">
        <f>IF(Tab.o1[[#This Row],[a1]]=1,IF(SUM(C314:C315)=0,0,IF(SUM(C313:C314)=1,1,IF(SUM(C313:C315)&gt;1,D313+1,0))),"")</f>
        <v/>
      </c>
      <c r="E314" s="113" t="str">
        <f>IF(Tab.o1[[#This Row],[a1]]=1,[1]!T.in.A[[#This Row],[oo1]],"")</f>
        <v/>
      </c>
      <c r="F314" s="113" t="str">
        <f>IF(Tab.o1[[#This Row],[a1]]=1,[1]!T.in.A[[#This Row],[pp1]],"")</f>
        <v/>
      </c>
      <c r="G314" s="114" t="str">
        <f>IF(Tab.o1[[#This Row],[a1]]=1,G$2+IF(G$1=1,0,Tab.o1[[#This Row],[.x1]])+[1]!T.in.A[[#This Row],[oo3]],"")</f>
        <v/>
      </c>
      <c r="H314" s="115" t="str">
        <f>IF(Tab.o1[[#This Row],[a1]]=1,IF(H$2=0,0,IF(G$1=1,0,Tab.o1[[#This Row],[.x1]])+[1]!T.in.A[[#This Row],[oo4]]),"")</f>
        <v/>
      </c>
      <c r="I314" s="116" t="str">
        <f>IF(Tab.o1[[#This Row],[a1]]=1,IF(J$2=0,Tab.o1[[#This Row],[MED]],Tab.o1[[#This Row],[MOD]]),"")</f>
        <v/>
      </c>
      <c r="J314" s="116" t="str">
        <f>IF(Tab.o1[[#This Row],[a1]]=1,((Tab.o1[[#This Row],[DIF_Target.]]-AVERAGE(Tab.o1[DIF_Target.]))/_xlfn.STDEV.P(Tab.o1[DIF_Target.])),"")</f>
        <v/>
      </c>
      <c r="K314" s="117" t="str">
        <f>IF(Tab.o1[[#This Row],[a1]]=1,IF(J$2=0,Tab.o1[[#This Row],[MOD]]-Tab.o1[[#This Row],[B]],IF(J$2=1,0,-Tab.o1[[#This Row],[MED]])+Tab.o1[[#This Row],[B]]),"")</f>
        <v/>
      </c>
      <c r="L314" s="117" t="str">
        <f ca="1">IF(Tab.o1[[#This Row],[DIF_Target]]=0,IF(L$2=0,Tab.o1[[#This Row],[DIF_Target]],AVERAGE(OFFSET(Tab.o1[[#This Row],[DIF_Target]],1,0,L$3,1)))/3,Tab.o1[[#This Row],[DIF_Target]])</f>
        <v/>
      </c>
      <c r="M314" s="118" t="str">
        <f>IF(Tab.o1[[#This Row],[a1]]=1,NORMSDIST(Tab.o1[[#This Row],[Za]]),"")</f>
        <v/>
      </c>
      <c r="N314" s="119" t="str">
        <f>IF(Tab.o1[[#This Row],[a1]]=1,((Tab.o1[[#This Row],[MedMod]]-AVERAGE(Tab.o1[MedMod]))/_xlfn.STDEV.P(Tab.o1[MedMod])*H$1205)+G$1205,"")</f>
        <v/>
      </c>
      <c r="O314" s="141" t="str">
        <f>IF(Tab.o1[[#This Row],[a1]]=1,Tab.o1[[#This Row],[Zb]]*_xlfn.STDEV.P(Tab.o1[MedMod])+AVERAGE(Tab.o1[MedMod]),"")</f>
        <v/>
      </c>
      <c r="P314" s="117" t="str">
        <f ca="1">IF(Tab.o1[[#This Row],[B]]=0,AVERAGE(OFFSET(Tab.o1[[#This Row],[B]],1,0,L$3,1)),Tab.o1[[#This Row],[B]])</f>
        <v/>
      </c>
      <c r="Q314" s="121" t="str">
        <f>IF(Tab.o1[[#This Row],[a1]]=1,NORMSDIST(Tab.o1[[#This Row],[Zb]]),"")</f>
        <v/>
      </c>
      <c r="R314" s="122" t="str">
        <f>IF(Tab.o1[[#This Row],[a1]]=1,((Tab.o1[[#This Row],[MedMod]]-AVERAGE(Tab.o1[MedMod]))/_xlfn.STDEV.P(Tab.o1[MedMod])*H$1203)+G$1203,"")</f>
        <v/>
      </c>
      <c r="S314" s="122" t="str">
        <f>IF(Tab.o1[[#This Row],[a1]]=1,((Tab.o1[[#This Row],[MedMod]]-AVERAGE(Tab.o1[MedMod]))/_xlfn.STDEV.P(Tab.o1[MedMod])*H$1204)+G$1204,"")</f>
        <v/>
      </c>
      <c r="T314" s="123" t="str">
        <f>IF(Tab.o1[[#This Row],[a1]]=1,Tab.o1[[#This Row],[Z-]]*_xlfn.STDEV.P(Tab.o1[B])+AVERAGE(Tab.o1[B]),"")</f>
        <v/>
      </c>
      <c r="U314" s="123" t="str">
        <f>IF(Tab.o1[[#This Row],[a1]]=1,Tab.o1[[#This Row],[z+]]*_xlfn.STDEV.P(Tab.o1[B])+AVERAGE(Tab.o1[B]),"")</f>
        <v/>
      </c>
      <c r="V314" s="124" t="str">
        <f>IF(Tab.o1[[#This Row],[a1]]=1,ABS((ABS(Tab.o1[[#This Row],[Red]]-Tab.o1[[#This Row],[Blue]]))),"")</f>
        <v/>
      </c>
      <c r="W314" s="125" t="str">
        <f>IF(Tab.o1[[#This Row],[a1]]=1,IF(W$3=0,1,Tab.o1[[#This Row],[Amp.]]*1/_xlfn.MINIFS(Tab.o1[Amp.],Tab.o1[Amp.],"&lt;&gt;0")),"")</f>
        <v/>
      </c>
      <c r="X314" s="126" t="str">
        <f>IF(Tab.o1[[#This Row],[a1]]=1,IF(ISNUMBER(Tab.o1[[#This Row],[i.]]),NORMDIST(Tab.o1[[#This Row],[Za]],0,1,FALSE)*Tab.o1[[#This Row],[i.]],AP$3),"")</f>
        <v/>
      </c>
      <c r="Y314" s="126" t="str">
        <f>IF(Tab.o1[[#This Row],[a1]]=1,0.01+0.94*Tab.o1[[#This Row],[PDF]]/MAX(Tab.o1[PDF]),"")</f>
        <v/>
      </c>
      <c r="Z314" s="126" t="str">
        <f>IF(Tab.o1[[#This Row],[a1]]=1,0.01+0.94*Tab.o1[[#This Row],[W1_PDF]]/MAX(Tab.o1[W1_PDF]),"")</f>
        <v/>
      </c>
      <c r="AA314" s="118" t="str">
        <f>IF(Tab.o1[[#This Row],[a1]]=1,ABS([1]!T.in.A[[#This Row],[oo6]]),"")</f>
        <v/>
      </c>
      <c r="AB314" s="127" t="str">
        <f>IF(Tab.o1[[#This Row],[a1]]=1,IF(AE$3=0,"",IF(AB$3=0,ABS([1]!T.in.A[[#This Row],[oo9]]),ABS(Tab.o1[[#This Row],[DIF_Target.]]*Tab.o1[[#This Row],[W1_PDF]]))),"")</f>
        <v/>
      </c>
      <c r="AC314" s="127" t="str">
        <f>IF(G$1=1,"",IF(Tab.o1[[#This Row],[a1]]=1,Tab.o1[[#This Row],[Wr]]^2,""))</f>
        <v/>
      </c>
      <c r="AD314" s="118" t="str">
        <f>IF(Tab.o1[[#This Row],[a1]]=1,IF(AE$3=0,"",Tab.o1[[#This Row],[Wr2]]/SUM(Tab.o1[Wr2])),"")</f>
        <v/>
      </c>
      <c r="AE314" s="128" t="str">
        <f>IF(Tab.o1[[#This Row],[a1]]=1,[1]!T.in.A[[#This Row],[oo10]],"")</f>
        <v/>
      </c>
      <c r="AF314" s="118" t="str">
        <f>IF(Tab.o1[[#This Row],[a1]]=1,ABS(Tab.o1[[#This Row],[DIF_Target.]]*Tab.o1[[#This Row],[PDF2]]*Tab.o1[[#This Row],[IN]]),"")</f>
        <v/>
      </c>
      <c r="AG314" s="129" t="str">
        <f>IF(Tab.o1[[#This Row],[a1]]=1,Tab.o1[[#This Row],[rW]]^2,"")</f>
        <v/>
      </c>
      <c r="AH314" s="130" t="str">
        <f>IF(Tab.o1[[#This Row],[a1]]=1,IF(AH$3=0,Tab.o1[[#This Row],[rW2]],0.01+0.94*Tab.o1[[#This Row],[rW2]]/SUM(Tab.o1[rW2])),"")</f>
        <v/>
      </c>
      <c r="AI314" s="128" t="str">
        <f>IF(Tab.o1[[#This Row],[a1]]=1,1/Tab.o1[[#This Row],[PDF]],"")</f>
        <v/>
      </c>
      <c r="AJ314" s="131" t="str">
        <f>IF(Tab.o1[[#This Row],[a1]]=1,[1]!T_AA[[#This Row],[IN'']]*[1]!T_AA[[#This Row],[Qde'']],"")</f>
        <v/>
      </c>
      <c r="AK314" s="132" t="str">
        <f>IF(Tab.o1[[#This Row],[a1]]=1,IF(AK$1=1,Tab.o1[[#This Row],[MED]]+Tab.o1[[#This Row],[MOD]]-Tab.o1[[#This Row],[MED]],""),"")</f>
        <v/>
      </c>
      <c r="AL314" s="133" t="str">
        <f>IF(Tab.o1[[#This Row],[a1]]=1,[1]!T.in.A[[#This Row],[oo16]],"")</f>
        <v/>
      </c>
      <c r="AM314" s="133" t="str">
        <f>IF(Tab.o1[[#This Row],[a1]]=1,IF(AM$3=1,[1]!T.in.A[[#This Row],[Σo16]],""),"")</f>
        <v/>
      </c>
      <c r="AN314" s="126" t="str">
        <f>IF(Tab.o1[[#This Row],[a1]]=1,[1]!T.in.A[[#This Row],[Σp5]],"")</f>
        <v/>
      </c>
      <c r="AO314" s="126" t="str">
        <f>IF(Tab.o1[[#This Row],[a1]]=1,IF(AO$3=1,[1]!T.in.A[[#This Row],[Σp5]],""),"")</f>
        <v/>
      </c>
      <c r="AP314" s="110" t="str">
        <f>IF(Tab.o1[[#This Row],[a1]]=1,IF(ISNUMBER(Tab.o1[[#This Row],[i.]]),NORMDIST(Tab.o1[[#This Row],[Za]],0,1,FALSE)*Tab.o1[[#This Row],[i.]],0),"")</f>
        <v/>
      </c>
      <c r="AQ314" s="125" t="str">
        <f>IF(Tab.o1[[#This Row],[a1]]=1,ABS(Tab.o1[[#This Row],[MOD]]-AVERAGE(Tab.o1[MOD])),"")</f>
        <v/>
      </c>
      <c r="AR314" s="134" t="str">
        <f>IF(Tab.o1[[#This Row],[a1]]=1,Tab.o1[[#This Row],[OBS]]/SUM(Tab.o1[OBS]),"")</f>
        <v/>
      </c>
      <c r="AS314" s="135" t="str">
        <f>IF(ISNUMBER(Tab.o1[[#This Row],[a1]]),ROW()-4,"")</f>
        <v/>
      </c>
      <c r="AT314" s="136" t="str">
        <f>Tab.o1[[#This Row],[MOD]]</f>
        <v/>
      </c>
      <c r="AU314" s="137" t="str">
        <f t="shared" si="17"/>
        <v/>
      </c>
      <c r="AV314" s="138" t="str">
        <f t="shared" si="18"/>
        <v/>
      </c>
      <c r="AW314" s="138" t="str">
        <f t="shared" si="19"/>
        <v/>
      </c>
      <c r="AX314" s="139" t="str">
        <f>[1]!T.in.A[[#This Row],[ID_T_manu]]</f>
        <v/>
      </c>
      <c r="AY314" s="140" t="str">
        <f>IF(ISNUMBER(Tab.o1[[#This Row],[a1]]),IF(AND(Tab.o1[[#This Row],[a1]]=1,Tab.o1[[#This Row],[b1]]&lt;=AY$4),#REF!,AY313),"")</f>
        <v/>
      </c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</row>
    <row r="315" spans="1:79" ht="15.75" hidden="1">
      <c r="A315" s="109">
        <v>-9.0000000000000002E-6</v>
      </c>
      <c r="B315" s="110">
        <f t="shared" si="16"/>
        <v>315</v>
      </c>
      <c r="C315" s="111" t="str">
        <f>IF(C$1=[1]!T.in.A[[#This Row],[oo2]],1,"")</f>
        <v/>
      </c>
      <c r="D315" s="112" t="str">
        <f>IF(Tab.o1[[#This Row],[a1]]=1,IF(SUM(C315:C316)=0,0,IF(SUM(C314:C315)=1,1,IF(SUM(C314:C316)&gt;1,D314+1,0))),"")</f>
        <v/>
      </c>
      <c r="E315" s="113" t="str">
        <f>IF(Tab.o1[[#This Row],[a1]]=1,[1]!T.in.A[[#This Row],[oo1]],"")</f>
        <v/>
      </c>
      <c r="F315" s="113" t="str">
        <f>IF(Tab.o1[[#This Row],[a1]]=1,[1]!T.in.A[[#This Row],[pp1]],"")</f>
        <v/>
      </c>
      <c r="G315" s="114" t="str">
        <f>IF(Tab.o1[[#This Row],[a1]]=1,G$2+IF(G$1=1,0,Tab.o1[[#This Row],[.x1]])+[1]!T.in.A[[#This Row],[oo3]],"")</f>
        <v/>
      </c>
      <c r="H315" s="115" t="str">
        <f>IF(Tab.o1[[#This Row],[a1]]=1,IF(H$2=0,0,IF(G$1=1,0,Tab.o1[[#This Row],[.x1]])+[1]!T.in.A[[#This Row],[oo4]]),"")</f>
        <v/>
      </c>
      <c r="I315" s="116" t="str">
        <f>IF(Tab.o1[[#This Row],[a1]]=1,IF(J$2=0,Tab.o1[[#This Row],[MED]],Tab.o1[[#This Row],[MOD]]),"")</f>
        <v/>
      </c>
      <c r="J315" s="116" t="str">
        <f>IF(Tab.o1[[#This Row],[a1]]=1,((Tab.o1[[#This Row],[DIF_Target.]]-AVERAGE(Tab.o1[DIF_Target.]))/_xlfn.STDEV.P(Tab.o1[DIF_Target.])),"")</f>
        <v/>
      </c>
      <c r="K315" s="117" t="str">
        <f>IF(Tab.o1[[#This Row],[a1]]=1,IF(J$2=0,Tab.o1[[#This Row],[MOD]]-Tab.o1[[#This Row],[B]],IF(J$2=1,0,-Tab.o1[[#This Row],[MED]])+Tab.o1[[#This Row],[B]]),"")</f>
        <v/>
      </c>
      <c r="L315" s="117" t="str">
        <f ca="1">IF(Tab.o1[[#This Row],[DIF_Target]]=0,IF(L$2=0,Tab.o1[[#This Row],[DIF_Target]],AVERAGE(OFFSET(Tab.o1[[#This Row],[DIF_Target]],1,0,L$3,1)))/3,Tab.o1[[#This Row],[DIF_Target]])</f>
        <v/>
      </c>
      <c r="M315" s="118" t="str">
        <f>IF(Tab.o1[[#This Row],[a1]]=1,NORMSDIST(Tab.o1[[#This Row],[Za]]),"")</f>
        <v/>
      </c>
      <c r="N315" s="119" t="str">
        <f>IF(Tab.o1[[#This Row],[a1]]=1,((Tab.o1[[#This Row],[MedMod]]-AVERAGE(Tab.o1[MedMod]))/_xlfn.STDEV.P(Tab.o1[MedMod])*H$1205)+G$1205,"")</f>
        <v/>
      </c>
      <c r="O315" s="141" t="str">
        <f>IF(Tab.o1[[#This Row],[a1]]=1,Tab.o1[[#This Row],[Zb]]*_xlfn.STDEV.P(Tab.o1[MedMod])+AVERAGE(Tab.o1[MedMod]),"")</f>
        <v/>
      </c>
      <c r="P315" s="117" t="str">
        <f ca="1">IF(Tab.o1[[#This Row],[B]]=0,AVERAGE(OFFSET(Tab.o1[[#This Row],[B]],1,0,L$3,1)),Tab.o1[[#This Row],[B]])</f>
        <v/>
      </c>
      <c r="Q315" s="121" t="str">
        <f>IF(Tab.o1[[#This Row],[a1]]=1,NORMSDIST(Tab.o1[[#This Row],[Zb]]),"")</f>
        <v/>
      </c>
      <c r="R315" s="122" t="str">
        <f>IF(Tab.o1[[#This Row],[a1]]=1,((Tab.o1[[#This Row],[MedMod]]-AVERAGE(Tab.o1[MedMod]))/_xlfn.STDEV.P(Tab.o1[MedMod])*H$1203)+G$1203,"")</f>
        <v/>
      </c>
      <c r="S315" s="122" t="str">
        <f>IF(Tab.o1[[#This Row],[a1]]=1,((Tab.o1[[#This Row],[MedMod]]-AVERAGE(Tab.o1[MedMod]))/_xlfn.STDEV.P(Tab.o1[MedMod])*H$1204)+G$1204,"")</f>
        <v/>
      </c>
      <c r="T315" s="123" t="str">
        <f>IF(Tab.o1[[#This Row],[a1]]=1,Tab.o1[[#This Row],[Z-]]*_xlfn.STDEV.P(Tab.o1[B])+AVERAGE(Tab.o1[B]),"")</f>
        <v/>
      </c>
      <c r="U315" s="123" t="str">
        <f>IF(Tab.o1[[#This Row],[a1]]=1,Tab.o1[[#This Row],[z+]]*_xlfn.STDEV.P(Tab.o1[B])+AVERAGE(Tab.o1[B]),"")</f>
        <v/>
      </c>
      <c r="V315" s="124" t="str">
        <f>IF(Tab.o1[[#This Row],[a1]]=1,ABS((ABS(Tab.o1[[#This Row],[Red]]-Tab.o1[[#This Row],[Blue]]))),"")</f>
        <v/>
      </c>
      <c r="W315" s="125" t="str">
        <f>IF(Tab.o1[[#This Row],[a1]]=1,IF(W$3=0,1,Tab.o1[[#This Row],[Amp.]]*1/_xlfn.MINIFS(Tab.o1[Amp.],Tab.o1[Amp.],"&lt;&gt;0")),"")</f>
        <v/>
      </c>
      <c r="X315" s="126" t="str">
        <f>IF(Tab.o1[[#This Row],[a1]]=1,IF(ISNUMBER(Tab.o1[[#This Row],[i.]]),NORMDIST(Tab.o1[[#This Row],[Za]],0,1,FALSE)*Tab.o1[[#This Row],[i.]],AP$3),"")</f>
        <v/>
      </c>
      <c r="Y315" s="126" t="str">
        <f>IF(Tab.o1[[#This Row],[a1]]=1,0.01+0.94*Tab.o1[[#This Row],[PDF]]/MAX(Tab.o1[PDF]),"")</f>
        <v/>
      </c>
      <c r="Z315" s="126" t="str">
        <f>IF(Tab.o1[[#This Row],[a1]]=1,0.01+0.94*Tab.o1[[#This Row],[W1_PDF]]/MAX(Tab.o1[W1_PDF]),"")</f>
        <v/>
      </c>
      <c r="AA315" s="118" t="str">
        <f>IF(Tab.o1[[#This Row],[a1]]=1,ABS([1]!T.in.A[[#This Row],[oo6]]),"")</f>
        <v/>
      </c>
      <c r="AB315" s="127" t="str">
        <f>IF(Tab.o1[[#This Row],[a1]]=1,IF(AE$3=0,"",IF(AB$3=0,ABS([1]!T.in.A[[#This Row],[oo9]]),ABS(Tab.o1[[#This Row],[DIF_Target.]]*Tab.o1[[#This Row],[W1_PDF]]))),"")</f>
        <v/>
      </c>
      <c r="AC315" s="127" t="str">
        <f>IF(G$1=1,"",IF(Tab.o1[[#This Row],[a1]]=1,Tab.o1[[#This Row],[Wr]]^2,""))</f>
        <v/>
      </c>
      <c r="AD315" s="118" t="str">
        <f>IF(Tab.o1[[#This Row],[a1]]=1,IF(AE$3=0,"",Tab.o1[[#This Row],[Wr2]]/SUM(Tab.o1[Wr2])),"")</f>
        <v/>
      </c>
      <c r="AE315" s="128" t="str">
        <f>IF(Tab.o1[[#This Row],[a1]]=1,[1]!T.in.A[[#This Row],[oo10]],"")</f>
        <v/>
      </c>
      <c r="AF315" s="118" t="str">
        <f>IF(Tab.o1[[#This Row],[a1]]=1,ABS(Tab.o1[[#This Row],[DIF_Target.]]*Tab.o1[[#This Row],[PDF2]]*Tab.o1[[#This Row],[IN]]),"")</f>
        <v/>
      </c>
      <c r="AG315" s="129" t="str">
        <f>IF(Tab.o1[[#This Row],[a1]]=1,Tab.o1[[#This Row],[rW]]^2,"")</f>
        <v/>
      </c>
      <c r="AH315" s="130" t="str">
        <f>IF(Tab.o1[[#This Row],[a1]]=1,IF(AH$3=0,Tab.o1[[#This Row],[rW2]],0.01+0.94*Tab.o1[[#This Row],[rW2]]/SUM(Tab.o1[rW2])),"")</f>
        <v/>
      </c>
      <c r="AI315" s="128" t="str">
        <f>IF(Tab.o1[[#This Row],[a1]]=1,1/Tab.o1[[#This Row],[PDF]],"")</f>
        <v/>
      </c>
      <c r="AJ315" s="131" t="str">
        <f>IF(Tab.o1[[#This Row],[a1]]=1,[1]!T_AA[[#This Row],[IN'']]*[1]!T_AA[[#This Row],[Qde'']],"")</f>
        <v/>
      </c>
      <c r="AK315" s="132" t="str">
        <f>IF(Tab.o1[[#This Row],[a1]]=1,IF(AK$1=1,Tab.o1[[#This Row],[MED]]+Tab.o1[[#This Row],[MOD]]-Tab.o1[[#This Row],[MED]],""),"")</f>
        <v/>
      </c>
      <c r="AL315" s="133" t="str">
        <f>IF(Tab.o1[[#This Row],[a1]]=1,[1]!T.in.A[[#This Row],[oo16]],"")</f>
        <v/>
      </c>
      <c r="AM315" s="133" t="str">
        <f>IF(Tab.o1[[#This Row],[a1]]=1,IF(AM$3=1,[1]!T.in.A[[#This Row],[Σo16]],""),"")</f>
        <v/>
      </c>
      <c r="AN315" s="126" t="str">
        <f>IF(Tab.o1[[#This Row],[a1]]=1,[1]!T.in.A[[#This Row],[Σp5]],"")</f>
        <v/>
      </c>
      <c r="AO315" s="126" t="str">
        <f>IF(Tab.o1[[#This Row],[a1]]=1,IF(AO$3=1,[1]!T.in.A[[#This Row],[Σp5]],""),"")</f>
        <v/>
      </c>
      <c r="AP315" s="110" t="str">
        <f>IF(Tab.o1[[#This Row],[a1]]=1,IF(ISNUMBER(Tab.o1[[#This Row],[i.]]),NORMDIST(Tab.o1[[#This Row],[Za]],0,1,FALSE)*Tab.o1[[#This Row],[i.]],0),"")</f>
        <v/>
      </c>
      <c r="AQ315" s="125" t="str">
        <f>IF(Tab.o1[[#This Row],[a1]]=1,ABS(Tab.o1[[#This Row],[MOD]]-AVERAGE(Tab.o1[MOD])),"")</f>
        <v/>
      </c>
      <c r="AR315" s="134" t="str">
        <f>IF(Tab.o1[[#This Row],[a1]]=1,Tab.o1[[#This Row],[OBS]]/SUM(Tab.o1[OBS]),"")</f>
        <v/>
      </c>
      <c r="AS315" s="135" t="str">
        <f>IF(ISNUMBER(Tab.o1[[#This Row],[a1]]),ROW()-4,"")</f>
        <v/>
      </c>
      <c r="AT315" s="136" t="str">
        <f>Tab.o1[[#This Row],[MOD]]</f>
        <v/>
      </c>
      <c r="AU315" s="137" t="str">
        <f t="shared" si="17"/>
        <v/>
      </c>
      <c r="AV315" s="138" t="str">
        <f t="shared" si="18"/>
        <v/>
      </c>
      <c r="AW315" s="138" t="str">
        <f t="shared" si="19"/>
        <v/>
      </c>
      <c r="AX315" s="139" t="str">
        <f>[1]!T.in.A[[#This Row],[ID_T_manu]]</f>
        <v/>
      </c>
      <c r="AY315" s="140" t="str">
        <f>IF(ISNUMBER(Tab.o1[[#This Row],[a1]]),IF(AND(Tab.o1[[#This Row],[a1]]=1,Tab.o1[[#This Row],[b1]]&lt;=AY$4),#REF!,AY314),"")</f>
        <v/>
      </c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</row>
    <row r="316" spans="1:79" ht="15.75" hidden="1">
      <c r="A316" s="109">
        <v>-4.0000000000000007E-6</v>
      </c>
      <c r="B316" s="110">
        <f t="shared" si="16"/>
        <v>316</v>
      </c>
      <c r="C316" s="111" t="str">
        <f>IF(C$1=[1]!T.in.A[[#This Row],[oo2]],1,"")</f>
        <v/>
      </c>
      <c r="D316" s="112" t="str">
        <f>IF(Tab.o1[[#This Row],[a1]]=1,IF(SUM(C316:C317)=0,0,IF(SUM(C315:C316)=1,1,IF(SUM(C315:C317)&gt;1,D315+1,0))),"")</f>
        <v/>
      </c>
      <c r="E316" s="113" t="str">
        <f>IF(Tab.o1[[#This Row],[a1]]=1,[1]!T.in.A[[#This Row],[oo1]],"")</f>
        <v/>
      </c>
      <c r="F316" s="113" t="str">
        <f>IF(Tab.o1[[#This Row],[a1]]=1,[1]!T.in.A[[#This Row],[pp1]],"")</f>
        <v/>
      </c>
      <c r="G316" s="114" t="str">
        <f>IF(Tab.o1[[#This Row],[a1]]=1,G$2+IF(G$1=1,0,Tab.o1[[#This Row],[.x1]])+[1]!T.in.A[[#This Row],[oo3]],"")</f>
        <v/>
      </c>
      <c r="H316" s="115" t="str">
        <f>IF(Tab.o1[[#This Row],[a1]]=1,IF(H$2=0,0,IF(G$1=1,0,Tab.o1[[#This Row],[.x1]])+[1]!T.in.A[[#This Row],[oo4]]),"")</f>
        <v/>
      </c>
      <c r="I316" s="116" t="str">
        <f>IF(Tab.o1[[#This Row],[a1]]=1,IF(J$2=0,Tab.o1[[#This Row],[MED]],Tab.o1[[#This Row],[MOD]]),"")</f>
        <v/>
      </c>
      <c r="J316" s="116" t="str">
        <f>IF(Tab.o1[[#This Row],[a1]]=1,((Tab.o1[[#This Row],[DIF_Target.]]-AVERAGE(Tab.o1[DIF_Target.]))/_xlfn.STDEV.P(Tab.o1[DIF_Target.])),"")</f>
        <v/>
      </c>
      <c r="K316" s="117" t="str">
        <f>IF(Tab.o1[[#This Row],[a1]]=1,IF(J$2=0,Tab.o1[[#This Row],[MOD]]-Tab.o1[[#This Row],[B]],IF(J$2=1,0,-Tab.o1[[#This Row],[MED]])+Tab.o1[[#This Row],[B]]),"")</f>
        <v/>
      </c>
      <c r="L316" s="117" t="str">
        <f ca="1">IF(Tab.o1[[#This Row],[DIF_Target]]=0,IF(L$2=0,Tab.o1[[#This Row],[DIF_Target]],AVERAGE(OFFSET(Tab.o1[[#This Row],[DIF_Target]],1,0,L$3,1)))/3,Tab.o1[[#This Row],[DIF_Target]])</f>
        <v/>
      </c>
      <c r="M316" s="118" t="str">
        <f>IF(Tab.o1[[#This Row],[a1]]=1,NORMSDIST(Tab.o1[[#This Row],[Za]]),"")</f>
        <v/>
      </c>
      <c r="N316" s="119" t="str">
        <f>IF(Tab.o1[[#This Row],[a1]]=1,((Tab.o1[[#This Row],[MedMod]]-AVERAGE(Tab.o1[MedMod]))/_xlfn.STDEV.P(Tab.o1[MedMod])*H$1205)+G$1205,"")</f>
        <v/>
      </c>
      <c r="O316" s="141" t="str">
        <f>IF(Tab.o1[[#This Row],[a1]]=1,Tab.o1[[#This Row],[Zb]]*_xlfn.STDEV.P(Tab.o1[MedMod])+AVERAGE(Tab.o1[MedMod]),"")</f>
        <v/>
      </c>
      <c r="P316" s="117" t="str">
        <f ca="1">IF(Tab.o1[[#This Row],[B]]=0,AVERAGE(OFFSET(Tab.o1[[#This Row],[B]],1,0,L$3,1)),Tab.o1[[#This Row],[B]])</f>
        <v/>
      </c>
      <c r="Q316" s="121" t="str">
        <f>IF(Tab.o1[[#This Row],[a1]]=1,NORMSDIST(Tab.o1[[#This Row],[Zb]]),"")</f>
        <v/>
      </c>
      <c r="R316" s="122" t="str">
        <f>IF(Tab.o1[[#This Row],[a1]]=1,((Tab.o1[[#This Row],[MedMod]]-AVERAGE(Tab.o1[MedMod]))/_xlfn.STDEV.P(Tab.o1[MedMod])*H$1203)+G$1203,"")</f>
        <v/>
      </c>
      <c r="S316" s="122" t="str">
        <f>IF(Tab.o1[[#This Row],[a1]]=1,((Tab.o1[[#This Row],[MedMod]]-AVERAGE(Tab.o1[MedMod]))/_xlfn.STDEV.P(Tab.o1[MedMod])*H$1204)+G$1204,"")</f>
        <v/>
      </c>
      <c r="T316" s="123" t="str">
        <f>IF(Tab.o1[[#This Row],[a1]]=1,Tab.o1[[#This Row],[Z-]]*_xlfn.STDEV.P(Tab.o1[B])+AVERAGE(Tab.o1[B]),"")</f>
        <v/>
      </c>
      <c r="U316" s="123" t="str">
        <f>IF(Tab.o1[[#This Row],[a1]]=1,Tab.o1[[#This Row],[z+]]*_xlfn.STDEV.P(Tab.o1[B])+AVERAGE(Tab.o1[B]),"")</f>
        <v/>
      </c>
      <c r="V316" s="124" t="str">
        <f>IF(Tab.o1[[#This Row],[a1]]=1,ABS((ABS(Tab.o1[[#This Row],[Red]]-Tab.o1[[#This Row],[Blue]]))),"")</f>
        <v/>
      </c>
      <c r="W316" s="125" t="str">
        <f>IF(Tab.o1[[#This Row],[a1]]=1,IF(W$3=0,1,Tab.o1[[#This Row],[Amp.]]*1/_xlfn.MINIFS(Tab.o1[Amp.],Tab.o1[Amp.],"&lt;&gt;0")),"")</f>
        <v/>
      </c>
      <c r="X316" s="126" t="str">
        <f>IF(Tab.o1[[#This Row],[a1]]=1,IF(ISNUMBER(Tab.o1[[#This Row],[i.]]),NORMDIST(Tab.o1[[#This Row],[Za]],0,1,FALSE)*Tab.o1[[#This Row],[i.]],AP$3),"")</f>
        <v/>
      </c>
      <c r="Y316" s="126" t="str">
        <f>IF(Tab.o1[[#This Row],[a1]]=1,0.01+0.94*Tab.o1[[#This Row],[PDF]]/MAX(Tab.o1[PDF]),"")</f>
        <v/>
      </c>
      <c r="Z316" s="126" t="str">
        <f>IF(Tab.o1[[#This Row],[a1]]=1,0.01+0.94*Tab.o1[[#This Row],[W1_PDF]]/MAX(Tab.o1[W1_PDF]),"")</f>
        <v/>
      </c>
      <c r="AA316" s="118" t="str">
        <f>IF(Tab.o1[[#This Row],[a1]]=1,ABS([1]!T.in.A[[#This Row],[oo6]]),"")</f>
        <v/>
      </c>
      <c r="AB316" s="127" t="str">
        <f>IF(Tab.o1[[#This Row],[a1]]=1,IF(AE$3=0,"",IF(AB$3=0,ABS([1]!T.in.A[[#This Row],[oo9]]),ABS(Tab.o1[[#This Row],[DIF_Target.]]*Tab.o1[[#This Row],[W1_PDF]]))),"")</f>
        <v/>
      </c>
      <c r="AC316" s="127" t="str">
        <f>IF(G$1=1,"",IF(Tab.o1[[#This Row],[a1]]=1,Tab.o1[[#This Row],[Wr]]^2,""))</f>
        <v/>
      </c>
      <c r="AD316" s="118" t="str">
        <f>IF(Tab.o1[[#This Row],[a1]]=1,IF(AE$3=0,"",Tab.o1[[#This Row],[Wr2]]/SUM(Tab.o1[Wr2])),"")</f>
        <v/>
      </c>
      <c r="AE316" s="128" t="str">
        <f>IF(Tab.o1[[#This Row],[a1]]=1,[1]!T.in.A[[#This Row],[oo10]],"")</f>
        <v/>
      </c>
      <c r="AF316" s="118" t="str">
        <f>IF(Tab.o1[[#This Row],[a1]]=1,ABS(Tab.o1[[#This Row],[DIF_Target.]]*Tab.o1[[#This Row],[PDF2]]*Tab.o1[[#This Row],[IN]]),"")</f>
        <v/>
      </c>
      <c r="AG316" s="129" t="str">
        <f>IF(Tab.o1[[#This Row],[a1]]=1,Tab.o1[[#This Row],[rW]]^2,"")</f>
        <v/>
      </c>
      <c r="AH316" s="130" t="str">
        <f>IF(Tab.o1[[#This Row],[a1]]=1,IF(AH$3=0,Tab.o1[[#This Row],[rW2]],0.01+0.94*Tab.o1[[#This Row],[rW2]]/SUM(Tab.o1[rW2])),"")</f>
        <v/>
      </c>
      <c r="AI316" s="128" t="str">
        <f>IF(Tab.o1[[#This Row],[a1]]=1,1/Tab.o1[[#This Row],[PDF]],"")</f>
        <v/>
      </c>
      <c r="AJ316" s="131" t="str">
        <f>IF(Tab.o1[[#This Row],[a1]]=1,[1]!T_AA[[#This Row],[IN'']]*[1]!T_AA[[#This Row],[Qde'']],"")</f>
        <v/>
      </c>
      <c r="AK316" s="132" t="str">
        <f>IF(Tab.o1[[#This Row],[a1]]=1,IF(AK$1=1,Tab.o1[[#This Row],[MED]]+Tab.o1[[#This Row],[MOD]]-Tab.o1[[#This Row],[MED]],""),"")</f>
        <v/>
      </c>
      <c r="AL316" s="133" t="str">
        <f>IF(Tab.o1[[#This Row],[a1]]=1,[1]!T.in.A[[#This Row],[oo16]],"")</f>
        <v/>
      </c>
      <c r="AM316" s="133" t="str">
        <f>IF(Tab.o1[[#This Row],[a1]]=1,IF(AM$3=1,[1]!T.in.A[[#This Row],[Σo16]],""),"")</f>
        <v/>
      </c>
      <c r="AN316" s="126" t="str">
        <f>IF(Tab.o1[[#This Row],[a1]]=1,[1]!T.in.A[[#This Row],[Σp5]],"")</f>
        <v/>
      </c>
      <c r="AO316" s="126" t="str">
        <f>IF(Tab.o1[[#This Row],[a1]]=1,IF(AO$3=1,[1]!T.in.A[[#This Row],[Σp5]],""),"")</f>
        <v/>
      </c>
      <c r="AP316" s="110" t="str">
        <f>IF(Tab.o1[[#This Row],[a1]]=1,IF(ISNUMBER(Tab.o1[[#This Row],[i.]]),NORMDIST(Tab.o1[[#This Row],[Za]],0,1,FALSE)*Tab.o1[[#This Row],[i.]],0),"")</f>
        <v/>
      </c>
      <c r="AQ316" s="125" t="str">
        <f>IF(Tab.o1[[#This Row],[a1]]=1,ABS(Tab.o1[[#This Row],[MOD]]-AVERAGE(Tab.o1[MOD])),"")</f>
        <v/>
      </c>
      <c r="AR316" s="134" t="str">
        <f>IF(Tab.o1[[#This Row],[a1]]=1,Tab.o1[[#This Row],[OBS]]/SUM(Tab.o1[OBS]),"")</f>
        <v/>
      </c>
      <c r="AS316" s="135" t="str">
        <f>IF(ISNUMBER(Tab.o1[[#This Row],[a1]]),ROW()-4,"")</f>
        <v/>
      </c>
      <c r="AT316" s="136" t="str">
        <f>Tab.o1[[#This Row],[MOD]]</f>
        <v/>
      </c>
      <c r="AU316" s="137" t="str">
        <f t="shared" si="17"/>
        <v/>
      </c>
      <c r="AV316" s="138" t="str">
        <f t="shared" si="18"/>
        <v/>
      </c>
      <c r="AW316" s="138" t="str">
        <f t="shared" si="19"/>
        <v/>
      </c>
      <c r="AX316" s="139" t="str">
        <f>[1]!T.in.A[[#This Row],[ID_T_manu]]</f>
        <v/>
      </c>
      <c r="AY316" s="140" t="str">
        <f>IF(ISNUMBER(Tab.o1[[#This Row],[a1]]),IF(AND(Tab.o1[[#This Row],[a1]]=1,Tab.o1[[#This Row],[b1]]&lt;=AY$4),#REF!,AY315),"")</f>
        <v/>
      </c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</row>
    <row r="317" spans="1:79" ht="15.75" hidden="1">
      <c r="A317" s="109">
        <v>-5.9999999999999993E-6</v>
      </c>
      <c r="B317" s="110">
        <f t="shared" si="16"/>
        <v>317</v>
      </c>
      <c r="C317" s="111" t="str">
        <f>IF(C$1=[1]!T.in.A[[#This Row],[oo2]],1,"")</f>
        <v/>
      </c>
      <c r="D317" s="112" t="str">
        <f>IF(Tab.o1[[#This Row],[a1]]=1,IF(SUM(C317:C318)=0,0,IF(SUM(C316:C317)=1,1,IF(SUM(C316:C318)&gt;1,D316+1,0))),"")</f>
        <v/>
      </c>
      <c r="E317" s="113" t="str">
        <f>IF(Tab.o1[[#This Row],[a1]]=1,[1]!T.in.A[[#This Row],[oo1]],"")</f>
        <v/>
      </c>
      <c r="F317" s="113" t="str">
        <f>IF(Tab.o1[[#This Row],[a1]]=1,[1]!T.in.A[[#This Row],[pp1]],"")</f>
        <v/>
      </c>
      <c r="G317" s="114" t="str">
        <f>IF(Tab.o1[[#This Row],[a1]]=1,G$2+IF(G$1=1,0,Tab.o1[[#This Row],[.x1]])+[1]!T.in.A[[#This Row],[oo3]],"")</f>
        <v/>
      </c>
      <c r="H317" s="115" t="str">
        <f>IF(Tab.o1[[#This Row],[a1]]=1,IF(H$2=0,0,IF(G$1=1,0,Tab.o1[[#This Row],[.x1]])+[1]!T.in.A[[#This Row],[oo4]]),"")</f>
        <v/>
      </c>
      <c r="I317" s="116" t="str">
        <f>IF(Tab.o1[[#This Row],[a1]]=1,IF(J$2=0,Tab.o1[[#This Row],[MED]],Tab.o1[[#This Row],[MOD]]),"")</f>
        <v/>
      </c>
      <c r="J317" s="116" t="str">
        <f>IF(Tab.o1[[#This Row],[a1]]=1,((Tab.o1[[#This Row],[DIF_Target.]]-AVERAGE(Tab.o1[DIF_Target.]))/_xlfn.STDEV.P(Tab.o1[DIF_Target.])),"")</f>
        <v/>
      </c>
      <c r="K317" s="117" t="str">
        <f>IF(Tab.o1[[#This Row],[a1]]=1,IF(J$2=0,Tab.o1[[#This Row],[MOD]]-Tab.o1[[#This Row],[B]],IF(J$2=1,0,-Tab.o1[[#This Row],[MED]])+Tab.o1[[#This Row],[B]]),"")</f>
        <v/>
      </c>
      <c r="L317" s="117" t="str">
        <f ca="1">IF(Tab.o1[[#This Row],[DIF_Target]]=0,IF(L$2=0,Tab.o1[[#This Row],[DIF_Target]],AVERAGE(OFFSET(Tab.o1[[#This Row],[DIF_Target]],1,0,L$3,1)))/3,Tab.o1[[#This Row],[DIF_Target]])</f>
        <v/>
      </c>
      <c r="M317" s="118" t="str">
        <f>IF(Tab.o1[[#This Row],[a1]]=1,NORMSDIST(Tab.o1[[#This Row],[Za]]),"")</f>
        <v/>
      </c>
      <c r="N317" s="119" t="str">
        <f>IF(Tab.o1[[#This Row],[a1]]=1,((Tab.o1[[#This Row],[MedMod]]-AVERAGE(Tab.o1[MedMod]))/_xlfn.STDEV.P(Tab.o1[MedMod])*H$1205)+G$1205,"")</f>
        <v/>
      </c>
      <c r="O317" s="141" t="str">
        <f>IF(Tab.o1[[#This Row],[a1]]=1,Tab.o1[[#This Row],[Zb]]*_xlfn.STDEV.P(Tab.o1[MedMod])+AVERAGE(Tab.o1[MedMod]),"")</f>
        <v/>
      </c>
      <c r="P317" s="117" t="str">
        <f ca="1">IF(Tab.o1[[#This Row],[B]]=0,AVERAGE(OFFSET(Tab.o1[[#This Row],[B]],1,0,L$3,1)),Tab.o1[[#This Row],[B]])</f>
        <v/>
      </c>
      <c r="Q317" s="121" t="str">
        <f>IF(Tab.o1[[#This Row],[a1]]=1,NORMSDIST(Tab.o1[[#This Row],[Zb]]),"")</f>
        <v/>
      </c>
      <c r="R317" s="122" t="str">
        <f>IF(Tab.o1[[#This Row],[a1]]=1,((Tab.o1[[#This Row],[MedMod]]-AVERAGE(Tab.o1[MedMod]))/_xlfn.STDEV.P(Tab.o1[MedMod])*H$1203)+G$1203,"")</f>
        <v/>
      </c>
      <c r="S317" s="122" t="str">
        <f>IF(Tab.o1[[#This Row],[a1]]=1,((Tab.o1[[#This Row],[MedMod]]-AVERAGE(Tab.o1[MedMod]))/_xlfn.STDEV.P(Tab.o1[MedMod])*H$1204)+G$1204,"")</f>
        <v/>
      </c>
      <c r="T317" s="123" t="str">
        <f>IF(Tab.o1[[#This Row],[a1]]=1,Tab.o1[[#This Row],[Z-]]*_xlfn.STDEV.P(Tab.o1[B])+AVERAGE(Tab.o1[B]),"")</f>
        <v/>
      </c>
      <c r="U317" s="123" t="str">
        <f>IF(Tab.o1[[#This Row],[a1]]=1,Tab.o1[[#This Row],[z+]]*_xlfn.STDEV.P(Tab.o1[B])+AVERAGE(Tab.o1[B]),"")</f>
        <v/>
      </c>
      <c r="V317" s="124" t="str">
        <f>IF(Tab.o1[[#This Row],[a1]]=1,ABS((ABS(Tab.o1[[#This Row],[Red]]-Tab.o1[[#This Row],[Blue]]))),"")</f>
        <v/>
      </c>
      <c r="W317" s="125" t="str">
        <f>IF(Tab.o1[[#This Row],[a1]]=1,IF(W$3=0,1,Tab.o1[[#This Row],[Amp.]]*1/_xlfn.MINIFS(Tab.o1[Amp.],Tab.o1[Amp.],"&lt;&gt;0")),"")</f>
        <v/>
      </c>
      <c r="X317" s="126" t="str">
        <f>IF(Tab.o1[[#This Row],[a1]]=1,IF(ISNUMBER(Tab.o1[[#This Row],[i.]]),NORMDIST(Tab.o1[[#This Row],[Za]],0,1,FALSE)*Tab.o1[[#This Row],[i.]],AP$3),"")</f>
        <v/>
      </c>
      <c r="Y317" s="126" t="str">
        <f>IF(Tab.o1[[#This Row],[a1]]=1,0.01+0.94*Tab.o1[[#This Row],[PDF]]/MAX(Tab.o1[PDF]),"")</f>
        <v/>
      </c>
      <c r="Z317" s="126" t="str">
        <f>IF(Tab.o1[[#This Row],[a1]]=1,0.01+0.94*Tab.o1[[#This Row],[W1_PDF]]/MAX(Tab.o1[W1_PDF]),"")</f>
        <v/>
      </c>
      <c r="AA317" s="118" t="str">
        <f>IF(Tab.o1[[#This Row],[a1]]=1,ABS([1]!T.in.A[[#This Row],[oo6]]),"")</f>
        <v/>
      </c>
      <c r="AB317" s="127" t="str">
        <f>IF(Tab.o1[[#This Row],[a1]]=1,IF(AE$3=0,"",IF(AB$3=0,ABS([1]!T.in.A[[#This Row],[oo9]]),ABS(Tab.o1[[#This Row],[DIF_Target.]]*Tab.o1[[#This Row],[W1_PDF]]))),"")</f>
        <v/>
      </c>
      <c r="AC317" s="127" t="str">
        <f>IF(G$1=1,"",IF(Tab.o1[[#This Row],[a1]]=1,Tab.o1[[#This Row],[Wr]]^2,""))</f>
        <v/>
      </c>
      <c r="AD317" s="118" t="str">
        <f>IF(Tab.o1[[#This Row],[a1]]=1,IF(AE$3=0,"",Tab.o1[[#This Row],[Wr2]]/SUM(Tab.o1[Wr2])),"")</f>
        <v/>
      </c>
      <c r="AE317" s="128" t="str">
        <f>IF(Tab.o1[[#This Row],[a1]]=1,[1]!T.in.A[[#This Row],[oo10]],"")</f>
        <v/>
      </c>
      <c r="AF317" s="118" t="str">
        <f>IF(Tab.o1[[#This Row],[a1]]=1,ABS(Tab.o1[[#This Row],[DIF_Target.]]*Tab.o1[[#This Row],[PDF2]]*Tab.o1[[#This Row],[IN]]),"")</f>
        <v/>
      </c>
      <c r="AG317" s="129" t="str">
        <f>IF(Tab.o1[[#This Row],[a1]]=1,Tab.o1[[#This Row],[rW]]^2,"")</f>
        <v/>
      </c>
      <c r="AH317" s="130" t="str">
        <f>IF(Tab.o1[[#This Row],[a1]]=1,IF(AH$3=0,Tab.o1[[#This Row],[rW2]],0.01+0.94*Tab.o1[[#This Row],[rW2]]/SUM(Tab.o1[rW2])),"")</f>
        <v/>
      </c>
      <c r="AI317" s="128" t="str">
        <f>IF(Tab.o1[[#This Row],[a1]]=1,1/Tab.o1[[#This Row],[PDF]],"")</f>
        <v/>
      </c>
      <c r="AJ317" s="131" t="str">
        <f>IF(Tab.o1[[#This Row],[a1]]=1,[1]!T_AA[[#This Row],[IN'']]*[1]!T_AA[[#This Row],[Qde'']],"")</f>
        <v/>
      </c>
      <c r="AK317" s="132" t="str">
        <f>IF(Tab.o1[[#This Row],[a1]]=1,IF(AK$1=1,Tab.o1[[#This Row],[MED]]+Tab.o1[[#This Row],[MOD]]-Tab.o1[[#This Row],[MED]],""),"")</f>
        <v/>
      </c>
      <c r="AL317" s="133" t="str">
        <f>IF(Tab.o1[[#This Row],[a1]]=1,[1]!T.in.A[[#This Row],[oo16]],"")</f>
        <v/>
      </c>
      <c r="AM317" s="133" t="str">
        <f>IF(Tab.o1[[#This Row],[a1]]=1,IF(AM$3=1,[1]!T.in.A[[#This Row],[Σo16]],""),"")</f>
        <v/>
      </c>
      <c r="AN317" s="126" t="str">
        <f>IF(Tab.o1[[#This Row],[a1]]=1,[1]!T.in.A[[#This Row],[Σp5]],"")</f>
        <v/>
      </c>
      <c r="AO317" s="126" t="str">
        <f>IF(Tab.o1[[#This Row],[a1]]=1,IF(AO$3=1,[1]!T.in.A[[#This Row],[Σp5]],""),"")</f>
        <v/>
      </c>
      <c r="AP317" s="110" t="str">
        <f>IF(Tab.o1[[#This Row],[a1]]=1,IF(ISNUMBER(Tab.o1[[#This Row],[i.]]),NORMDIST(Tab.o1[[#This Row],[Za]],0,1,FALSE)*Tab.o1[[#This Row],[i.]],0),"")</f>
        <v/>
      </c>
      <c r="AQ317" s="125" t="str">
        <f>IF(Tab.o1[[#This Row],[a1]]=1,ABS(Tab.o1[[#This Row],[MOD]]-AVERAGE(Tab.o1[MOD])),"")</f>
        <v/>
      </c>
      <c r="AR317" s="134" t="str">
        <f>IF(Tab.o1[[#This Row],[a1]]=1,Tab.o1[[#This Row],[OBS]]/SUM(Tab.o1[OBS]),"")</f>
        <v/>
      </c>
      <c r="AS317" s="135" t="str">
        <f>IF(ISNUMBER(Tab.o1[[#This Row],[a1]]),ROW()-4,"")</f>
        <v/>
      </c>
      <c r="AT317" s="136" t="str">
        <f>Tab.o1[[#This Row],[MOD]]</f>
        <v/>
      </c>
      <c r="AU317" s="137" t="str">
        <f t="shared" si="17"/>
        <v/>
      </c>
      <c r="AV317" s="138" t="str">
        <f t="shared" si="18"/>
        <v/>
      </c>
      <c r="AW317" s="138" t="str">
        <f t="shared" si="19"/>
        <v/>
      </c>
      <c r="AX317" s="139" t="str">
        <f>[1]!T.in.A[[#This Row],[ID_T_manu]]</f>
        <v/>
      </c>
      <c r="AY317" s="140" t="str">
        <f>IF(ISNUMBER(Tab.o1[[#This Row],[a1]]),IF(AND(Tab.o1[[#This Row],[a1]]=1,Tab.o1[[#This Row],[b1]]&lt;=AY$4),#REF!,AY316),"")</f>
        <v/>
      </c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</row>
    <row r="318" spans="1:79" ht="15.75" hidden="1">
      <c r="A318" s="109">
        <v>5.0000000000000004E-6</v>
      </c>
      <c r="B318" s="110">
        <f t="shared" si="16"/>
        <v>318</v>
      </c>
      <c r="C318" s="111" t="str">
        <f>IF(C$1=[1]!T.in.A[[#This Row],[oo2]],1,"")</f>
        <v/>
      </c>
      <c r="D318" s="112" t="str">
        <f>IF(Tab.o1[[#This Row],[a1]]=1,IF(SUM(C318:C319)=0,0,IF(SUM(C317:C318)=1,1,IF(SUM(C317:C319)&gt;1,D317+1,0))),"")</f>
        <v/>
      </c>
      <c r="E318" s="113" t="str">
        <f>IF(Tab.o1[[#This Row],[a1]]=1,[1]!T.in.A[[#This Row],[oo1]],"")</f>
        <v/>
      </c>
      <c r="F318" s="113" t="str">
        <f>IF(Tab.o1[[#This Row],[a1]]=1,[1]!T.in.A[[#This Row],[pp1]],"")</f>
        <v/>
      </c>
      <c r="G318" s="114" t="str">
        <f>IF(Tab.o1[[#This Row],[a1]]=1,G$2+IF(G$1=1,0,Tab.o1[[#This Row],[.x1]])+[1]!T.in.A[[#This Row],[oo3]],"")</f>
        <v/>
      </c>
      <c r="H318" s="115" t="str">
        <f>IF(Tab.o1[[#This Row],[a1]]=1,IF(H$2=0,0,IF(G$1=1,0,Tab.o1[[#This Row],[.x1]])+[1]!T.in.A[[#This Row],[oo4]]),"")</f>
        <v/>
      </c>
      <c r="I318" s="116" t="str">
        <f>IF(Tab.o1[[#This Row],[a1]]=1,IF(J$2=0,Tab.o1[[#This Row],[MED]],Tab.o1[[#This Row],[MOD]]),"")</f>
        <v/>
      </c>
      <c r="J318" s="116" t="str">
        <f>IF(Tab.o1[[#This Row],[a1]]=1,((Tab.o1[[#This Row],[DIF_Target.]]-AVERAGE(Tab.o1[DIF_Target.]))/_xlfn.STDEV.P(Tab.o1[DIF_Target.])),"")</f>
        <v/>
      </c>
      <c r="K318" s="117" t="str">
        <f>IF(Tab.o1[[#This Row],[a1]]=1,IF(J$2=0,Tab.o1[[#This Row],[MOD]]-Tab.o1[[#This Row],[B]],IF(J$2=1,0,-Tab.o1[[#This Row],[MED]])+Tab.o1[[#This Row],[B]]),"")</f>
        <v/>
      </c>
      <c r="L318" s="117" t="str">
        <f ca="1">IF(Tab.o1[[#This Row],[DIF_Target]]=0,IF(L$2=0,Tab.o1[[#This Row],[DIF_Target]],AVERAGE(OFFSET(Tab.o1[[#This Row],[DIF_Target]],1,0,L$3,1)))/3,Tab.o1[[#This Row],[DIF_Target]])</f>
        <v/>
      </c>
      <c r="M318" s="118" t="str">
        <f>IF(Tab.o1[[#This Row],[a1]]=1,NORMSDIST(Tab.o1[[#This Row],[Za]]),"")</f>
        <v/>
      </c>
      <c r="N318" s="119" t="str">
        <f>IF(Tab.o1[[#This Row],[a1]]=1,((Tab.o1[[#This Row],[MedMod]]-AVERAGE(Tab.o1[MedMod]))/_xlfn.STDEV.P(Tab.o1[MedMod])*H$1205)+G$1205,"")</f>
        <v/>
      </c>
      <c r="O318" s="141" t="str">
        <f>IF(Tab.o1[[#This Row],[a1]]=1,Tab.o1[[#This Row],[Zb]]*_xlfn.STDEV.P(Tab.o1[MedMod])+AVERAGE(Tab.o1[MedMod]),"")</f>
        <v/>
      </c>
      <c r="P318" s="117" t="str">
        <f ca="1">IF(Tab.o1[[#This Row],[B]]=0,AVERAGE(OFFSET(Tab.o1[[#This Row],[B]],1,0,L$3,1)),Tab.o1[[#This Row],[B]])</f>
        <v/>
      </c>
      <c r="Q318" s="121" t="str">
        <f>IF(Tab.o1[[#This Row],[a1]]=1,NORMSDIST(Tab.o1[[#This Row],[Zb]]),"")</f>
        <v/>
      </c>
      <c r="R318" s="122" t="str">
        <f>IF(Tab.o1[[#This Row],[a1]]=1,((Tab.o1[[#This Row],[MedMod]]-AVERAGE(Tab.o1[MedMod]))/_xlfn.STDEV.P(Tab.o1[MedMod])*H$1203)+G$1203,"")</f>
        <v/>
      </c>
      <c r="S318" s="122" t="str">
        <f>IF(Tab.o1[[#This Row],[a1]]=1,((Tab.o1[[#This Row],[MedMod]]-AVERAGE(Tab.o1[MedMod]))/_xlfn.STDEV.P(Tab.o1[MedMod])*H$1204)+G$1204,"")</f>
        <v/>
      </c>
      <c r="T318" s="123" t="str">
        <f>IF(Tab.o1[[#This Row],[a1]]=1,Tab.o1[[#This Row],[Z-]]*_xlfn.STDEV.P(Tab.o1[B])+AVERAGE(Tab.o1[B]),"")</f>
        <v/>
      </c>
      <c r="U318" s="123" t="str">
        <f>IF(Tab.o1[[#This Row],[a1]]=1,Tab.o1[[#This Row],[z+]]*_xlfn.STDEV.P(Tab.o1[B])+AVERAGE(Tab.o1[B]),"")</f>
        <v/>
      </c>
      <c r="V318" s="124" t="str">
        <f>IF(Tab.o1[[#This Row],[a1]]=1,ABS((ABS(Tab.o1[[#This Row],[Red]]-Tab.o1[[#This Row],[Blue]]))),"")</f>
        <v/>
      </c>
      <c r="W318" s="125" t="str">
        <f>IF(Tab.o1[[#This Row],[a1]]=1,IF(W$3=0,1,Tab.o1[[#This Row],[Amp.]]*1/_xlfn.MINIFS(Tab.o1[Amp.],Tab.o1[Amp.],"&lt;&gt;0")),"")</f>
        <v/>
      </c>
      <c r="X318" s="126" t="str">
        <f>IF(Tab.o1[[#This Row],[a1]]=1,IF(ISNUMBER(Tab.o1[[#This Row],[i.]]),NORMDIST(Tab.o1[[#This Row],[Za]],0,1,FALSE)*Tab.o1[[#This Row],[i.]],AP$3),"")</f>
        <v/>
      </c>
      <c r="Y318" s="126" t="str">
        <f>IF(Tab.o1[[#This Row],[a1]]=1,0.01+0.94*Tab.o1[[#This Row],[PDF]]/MAX(Tab.o1[PDF]),"")</f>
        <v/>
      </c>
      <c r="Z318" s="126" t="str">
        <f>IF(Tab.o1[[#This Row],[a1]]=1,0.01+0.94*Tab.o1[[#This Row],[W1_PDF]]/MAX(Tab.o1[W1_PDF]),"")</f>
        <v/>
      </c>
      <c r="AA318" s="118" t="str">
        <f>IF(Tab.o1[[#This Row],[a1]]=1,ABS([1]!T.in.A[[#This Row],[oo6]]),"")</f>
        <v/>
      </c>
      <c r="AB318" s="127" t="str">
        <f>IF(Tab.o1[[#This Row],[a1]]=1,IF(AE$3=0,"",IF(AB$3=0,ABS([1]!T.in.A[[#This Row],[oo9]]),ABS(Tab.o1[[#This Row],[DIF_Target.]]*Tab.o1[[#This Row],[W1_PDF]]))),"")</f>
        <v/>
      </c>
      <c r="AC318" s="127" t="str">
        <f>IF(G$1=1,"",IF(Tab.o1[[#This Row],[a1]]=1,Tab.o1[[#This Row],[Wr]]^2,""))</f>
        <v/>
      </c>
      <c r="AD318" s="118" t="str">
        <f>IF(Tab.o1[[#This Row],[a1]]=1,IF(AE$3=0,"",Tab.o1[[#This Row],[Wr2]]/SUM(Tab.o1[Wr2])),"")</f>
        <v/>
      </c>
      <c r="AE318" s="128" t="str">
        <f>IF(Tab.o1[[#This Row],[a1]]=1,[1]!T.in.A[[#This Row],[oo10]],"")</f>
        <v/>
      </c>
      <c r="AF318" s="118" t="str">
        <f>IF(Tab.o1[[#This Row],[a1]]=1,ABS(Tab.o1[[#This Row],[DIF_Target.]]*Tab.o1[[#This Row],[PDF2]]*Tab.o1[[#This Row],[IN]]),"")</f>
        <v/>
      </c>
      <c r="AG318" s="129" t="str">
        <f>IF(Tab.o1[[#This Row],[a1]]=1,Tab.o1[[#This Row],[rW]]^2,"")</f>
        <v/>
      </c>
      <c r="AH318" s="130" t="str">
        <f>IF(Tab.o1[[#This Row],[a1]]=1,IF(AH$3=0,Tab.o1[[#This Row],[rW2]],0.01+0.94*Tab.o1[[#This Row],[rW2]]/SUM(Tab.o1[rW2])),"")</f>
        <v/>
      </c>
      <c r="AI318" s="128" t="str">
        <f>IF(Tab.o1[[#This Row],[a1]]=1,1/Tab.o1[[#This Row],[PDF]],"")</f>
        <v/>
      </c>
      <c r="AJ318" s="131" t="str">
        <f>IF(Tab.o1[[#This Row],[a1]]=1,[1]!T_AA[[#This Row],[IN'']]*[1]!T_AA[[#This Row],[Qde'']],"")</f>
        <v/>
      </c>
      <c r="AK318" s="132" t="str">
        <f>IF(Tab.o1[[#This Row],[a1]]=1,IF(AK$1=1,Tab.o1[[#This Row],[MED]]+Tab.o1[[#This Row],[MOD]]-Tab.o1[[#This Row],[MED]],""),"")</f>
        <v/>
      </c>
      <c r="AL318" s="133" t="str">
        <f>IF(Tab.o1[[#This Row],[a1]]=1,[1]!T.in.A[[#This Row],[oo16]],"")</f>
        <v/>
      </c>
      <c r="AM318" s="133" t="str">
        <f>IF(Tab.o1[[#This Row],[a1]]=1,IF(AM$3=1,[1]!T.in.A[[#This Row],[Σo16]],""),"")</f>
        <v/>
      </c>
      <c r="AN318" s="126" t="str">
        <f>IF(Tab.o1[[#This Row],[a1]]=1,[1]!T.in.A[[#This Row],[Σp5]],"")</f>
        <v/>
      </c>
      <c r="AO318" s="126" t="str">
        <f>IF(Tab.o1[[#This Row],[a1]]=1,IF(AO$3=1,[1]!T.in.A[[#This Row],[Σp5]],""),"")</f>
        <v/>
      </c>
      <c r="AP318" s="110" t="str">
        <f>IF(Tab.o1[[#This Row],[a1]]=1,IF(ISNUMBER(Tab.o1[[#This Row],[i.]]),NORMDIST(Tab.o1[[#This Row],[Za]],0,1,FALSE)*Tab.o1[[#This Row],[i.]],0),"")</f>
        <v/>
      </c>
      <c r="AQ318" s="125" t="str">
        <f>IF(Tab.o1[[#This Row],[a1]]=1,ABS(Tab.o1[[#This Row],[MOD]]-AVERAGE(Tab.o1[MOD])),"")</f>
        <v/>
      </c>
      <c r="AR318" s="134" t="str">
        <f>IF(Tab.o1[[#This Row],[a1]]=1,Tab.o1[[#This Row],[OBS]]/SUM(Tab.o1[OBS]),"")</f>
        <v/>
      </c>
      <c r="AS318" s="135" t="str">
        <f>IF(ISNUMBER(Tab.o1[[#This Row],[a1]]),ROW()-4,"")</f>
        <v/>
      </c>
      <c r="AT318" s="136" t="str">
        <f>Tab.o1[[#This Row],[MOD]]</f>
        <v/>
      </c>
      <c r="AU318" s="137" t="str">
        <f t="shared" si="17"/>
        <v/>
      </c>
      <c r="AV318" s="138" t="str">
        <f t="shared" si="18"/>
        <v/>
      </c>
      <c r="AW318" s="138" t="str">
        <f t="shared" si="19"/>
        <v/>
      </c>
      <c r="AX318" s="139" t="str">
        <f>[1]!T.in.A[[#This Row],[ID_T_manu]]</f>
        <v/>
      </c>
      <c r="AY318" s="140" t="str">
        <f>IF(ISNUMBER(Tab.o1[[#This Row],[a1]]),IF(AND(Tab.o1[[#This Row],[a1]]=1,Tab.o1[[#This Row],[b1]]&lt;=AY$4),#REF!,AY317),"")</f>
        <v/>
      </c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</row>
    <row r="319" spans="1:79" ht="15.75" hidden="1">
      <c r="A319" s="109">
        <v>4.0000000000000007E-6</v>
      </c>
      <c r="B319" s="110">
        <f t="shared" si="16"/>
        <v>319</v>
      </c>
      <c r="C319" s="111" t="str">
        <f>IF(C$1=[1]!T.in.A[[#This Row],[oo2]],1,"")</f>
        <v/>
      </c>
      <c r="D319" s="112" t="str">
        <f>IF(Tab.o1[[#This Row],[a1]]=1,IF(SUM(C319:C320)=0,0,IF(SUM(C318:C319)=1,1,IF(SUM(C318:C320)&gt;1,D318+1,0))),"")</f>
        <v/>
      </c>
      <c r="E319" s="113" t="str">
        <f>IF(Tab.o1[[#This Row],[a1]]=1,[1]!T.in.A[[#This Row],[oo1]],"")</f>
        <v/>
      </c>
      <c r="F319" s="113" t="str">
        <f>IF(Tab.o1[[#This Row],[a1]]=1,[1]!T.in.A[[#This Row],[pp1]],"")</f>
        <v/>
      </c>
      <c r="G319" s="114" t="str">
        <f>IF(Tab.o1[[#This Row],[a1]]=1,G$2+IF(G$1=1,0,Tab.o1[[#This Row],[.x1]])+[1]!T.in.A[[#This Row],[oo3]],"")</f>
        <v/>
      </c>
      <c r="H319" s="115" t="str">
        <f>IF(Tab.o1[[#This Row],[a1]]=1,IF(H$2=0,0,IF(G$1=1,0,Tab.o1[[#This Row],[.x1]])+[1]!T.in.A[[#This Row],[oo4]]),"")</f>
        <v/>
      </c>
      <c r="I319" s="116" t="str">
        <f>IF(Tab.o1[[#This Row],[a1]]=1,IF(J$2=0,Tab.o1[[#This Row],[MED]],Tab.o1[[#This Row],[MOD]]),"")</f>
        <v/>
      </c>
      <c r="J319" s="116" t="str">
        <f>IF(Tab.o1[[#This Row],[a1]]=1,((Tab.o1[[#This Row],[DIF_Target.]]-AVERAGE(Tab.o1[DIF_Target.]))/_xlfn.STDEV.P(Tab.o1[DIF_Target.])),"")</f>
        <v/>
      </c>
      <c r="K319" s="117" t="str">
        <f>IF(Tab.o1[[#This Row],[a1]]=1,IF(J$2=0,Tab.o1[[#This Row],[MOD]]-Tab.o1[[#This Row],[B]],IF(J$2=1,0,-Tab.o1[[#This Row],[MED]])+Tab.o1[[#This Row],[B]]),"")</f>
        <v/>
      </c>
      <c r="L319" s="117" t="str">
        <f ca="1">IF(Tab.o1[[#This Row],[DIF_Target]]=0,IF(L$2=0,Tab.o1[[#This Row],[DIF_Target]],AVERAGE(OFFSET(Tab.o1[[#This Row],[DIF_Target]],1,0,L$3,1)))/3,Tab.o1[[#This Row],[DIF_Target]])</f>
        <v/>
      </c>
      <c r="M319" s="118" t="str">
        <f>IF(Tab.o1[[#This Row],[a1]]=1,NORMSDIST(Tab.o1[[#This Row],[Za]]),"")</f>
        <v/>
      </c>
      <c r="N319" s="119" t="str">
        <f>IF(Tab.o1[[#This Row],[a1]]=1,((Tab.o1[[#This Row],[MedMod]]-AVERAGE(Tab.o1[MedMod]))/_xlfn.STDEV.P(Tab.o1[MedMod])*H$1205)+G$1205,"")</f>
        <v/>
      </c>
      <c r="O319" s="141" t="str">
        <f>IF(Tab.o1[[#This Row],[a1]]=1,Tab.o1[[#This Row],[Zb]]*_xlfn.STDEV.P(Tab.o1[MedMod])+AVERAGE(Tab.o1[MedMod]),"")</f>
        <v/>
      </c>
      <c r="P319" s="117" t="str">
        <f ca="1">IF(Tab.o1[[#This Row],[B]]=0,AVERAGE(OFFSET(Tab.o1[[#This Row],[B]],1,0,L$3,1)),Tab.o1[[#This Row],[B]])</f>
        <v/>
      </c>
      <c r="Q319" s="121" t="str">
        <f>IF(Tab.o1[[#This Row],[a1]]=1,NORMSDIST(Tab.o1[[#This Row],[Zb]]),"")</f>
        <v/>
      </c>
      <c r="R319" s="122" t="str">
        <f>IF(Tab.o1[[#This Row],[a1]]=1,((Tab.o1[[#This Row],[MedMod]]-AVERAGE(Tab.o1[MedMod]))/_xlfn.STDEV.P(Tab.o1[MedMod])*H$1203)+G$1203,"")</f>
        <v/>
      </c>
      <c r="S319" s="122" t="str">
        <f>IF(Tab.o1[[#This Row],[a1]]=1,((Tab.o1[[#This Row],[MedMod]]-AVERAGE(Tab.o1[MedMod]))/_xlfn.STDEV.P(Tab.o1[MedMod])*H$1204)+G$1204,"")</f>
        <v/>
      </c>
      <c r="T319" s="123" t="str">
        <f>IF(Tab.o1[[#This Row],[a1]]=1,Tab.o1[[#This Row],[Z-]]*_xlfn.STDEV.P(Tab.o1[B])+AVERAGE(Tab.o1[B]),"")</f>
        <v/>
      </c>
      <c r="U319" s="123" t="str">
        <f>IF(Tab.o1[[#This Row],[a1]]=1,Tab.o1[[#This Row],[z+]]*_xlfn.STDEV.P(Tab.o1[B])+AVERAGE(Tab.o1[B]),"")</f>
        <v/>
      </c>
      <c r="V319" s="124" t="str">
        <f>IF(Tab.o1[[#This Row],[a1]]=1,ABS((ABS(Tab.o1[[#This Row],[Red]]-Tab.o1[[#This Row],[Blue]]))),"")</f>
        <v/>
      </c>
      <c r="W319" s="125" t="str">
        <f>IF(Tab.o1[[#This Row],[a1]]=1,IF(W$3=0,1,Tab.o1[[#This Row],[Amp.]]*1/_xlfn.MINIFS(Tab.o1[Amp.],Tab.o1[Amp.],"&lt;&gt;0")),"")</f>
        <v/>
      </c>
      <c r="X319" s="126" t="str">
        <f>IF(Tab.o1[[#This Row],[a1]]=1,IF(ISNUMBER(Tab.o1[[#This Row],[i.]]),NORMDIST(Tab.o1[[#This Row],[Za]],0,1,FALSE)*Tab.o1[[#This Row],[i.]],AP$3),"")</f>
        <v/>
      </c>
      <c r="Y319" s="126" t="str">
        <f>IF(Tab.o1[[#This Row],[a1]]=1,0.01+0.94*Tab.o1[[#This Row],[PDF]]/MAX(Tab.o1[PDF]),"")</f>
        <v/>
      </c>
      <c r="Z319" s="126" t="str">
        <f>IF(Tab.o1[[#This Row],[a1]]=1,0.01+0.94*Tab.o1[[#This Row],[W1_PDF]]/MAX(Tab.o1[W1_PDF]),"")</f>
        <v/>
      </c>
      <c r="AA319" s="118" t="str">
        <f>IF(Tab.o1[[#This Row],[a1]]=1,ABS([1]!T.in.A[[#This Row],[oo6]]),"")</f>
        <v/>
      </c>
      <c r="AB319" s="127" t="str">
        <f>IF(Tab.o1[[#This Row],[a1]]=1,IF(AE$3=0,"",IF(AB$3=0,ABS([1]!T.in.A[[#This Row],[oo9]]),ABS(Tab.o1[[#This Row],[DIF_Target.]]*Tab.o1[[#This Row],[W1_PDF]]))),"")</f>
        <v/>
      </c>
      <c r="AC319" s="127" t="str">
        <f>IF(G$1=1,"",IF(Tab.o1[[#This Row],[a1]]=1,Tab.o1[[#This Row],[Wr]]^2,""))</f>
        <v/>
      </c>
      <c r="AD319" s="118" t="str">
        <f>IF(Tab.o1[[#This Row],[a1]]=1,IF(AE$3=0,"",Tab.o1[[#This Row],[Wr2]]/SUM(Tab.o1[Wr2])),"")</f>
        <v/>
      </c>
      <c r="AE319" s="128" t="str">
        <f>IF(Tab.o1[[#This Row],[a1]]=1,[1]!T.in.A[[#This Row],[oo10]],"")</f>
        <v/>
      </c>
      <c r="AF319" s="118" t="str">
        <f>IF(Tab.o1[[#This Row],[a1]]=1,ABS(Tab.o1[[#This Row],[DIF_Target.]]*Tab.o1[[#This Row],[PDF2]]*Tab.o1[[#This Row],[IN]]),"")</f>
        <v/>
      </c>
      <c r="AG319" s="129" t="str">
        <f>IF(Tab.o1[[#This Row],[a1]]=1,Tab.o1[[#This Row],[rW]]^2,"")</f>
        <v/>
      </c>
      <c r="AH319" s="130" t="str">
        <f>IF(Tab.o1[[#This Row],[a1]]=1,IF(AH$3=0,Tab.o1[[#This Row],[rW2]],0.01+0.94*Tab.o1[[#This Row],[rW2]]/SUM(Tab.o1[rW2])),"")</f>
        <v/>
      </c>
      <c r="AI319" s="128" t="str">
        <f>IF(Tab.o1[[#This Row],[a1]]=1,1/Tab.o1[[#This Row],[PDF]],"")</f>
        <v/>
      </c>
      <c r="AJ319" s="131" t="str">
        <f>IF(Tab.o1[[#This Row],[a1]]=1,[1]!T_AA[[#This Row],[IN'']]*[1]!T_AA[[#This Row],[Qde'']],"")</f>
        <v/>
      </c>
      <c r="AK319" s="132" t="str">
        <f>IF(Tab.o1[[#This Row],[a1]]=1,IF(AK$1=1,Tab.o1[[#This Row],[MED]]+Tab.o1[[#This Row],[MOD]]-Tab.o1[[#This Row],[MED]],""),"")</f>
        <v/>
      </c>
      <c r="AL319" s="133" t="str">
        <f>IF(Tab.o1[[#This Row],[a1]]=1,[1]!T.in.A[[#This Row],[oo16]],"")</f>
        <v/>
      </c>
      <c r="AM319" s="133" t="str">
        <f>IF(Tab.o1[[#This Row],[a1]]=1,IF(AM$3=1,[1]!T.in.A[[#This Row],[Σo16]],""),"")</f>
        <v/>
      </c>
      <c r="AN319" s="126" t="str">
        <f>IF(Tab.o1[[#This Row],[a1]]=1,[1]!T.in.A[[#This Row],[Σp5]],"")</f>
        <v/>
      </c>
      <c r="AO319" s="126" t="str">
        <f>IF(Tab.o1[[#This Row],[a1]]=1,IF(AO$3=1,[1]!T.in.A[[#This Row],[Σp5]],""),"")</f>
        <v/>
      </c>
      <c r="AP319" s="110" t="str">
        <f>IF(Tab.o1[[#This Row],[a1]]=1,IF(ISNUMBER(Tab.o1[[#This Row],[i.]]),NORMDIST(Tab.o1[[#This Row],[Za]],0,1,FALSE)*Tab.o1[[#This Row],[i.]],0),"")</f>
        <v/>
      </c>
      <c r="AQ319" s="125" t="str">
        <f>IF(Tab.o1[[#This Row],[a1]]=1,ABS(Tab.o1[[#This Row],[MOD]]-AVERAGE(Tab.o1[MOD])),"")</f>
        <v/>
      </c>
      <c r="AR319" s="134" t="str">
        <f>IF(Tab.o1[[#This Row],[a1]]=1,Tab.o1[[#This Row],[OBS]]/SUM(Tab.o1[OBS]),"")</f>
        <v/>
      </c>
      <c r="AS319" s="135" t="str">
        <f>IF(ISNUMBER(Tab.o1[[#This Row],[a1]]),ROW()-4,"")</f>
        <v/>
      </c>
      <c r="AT319" s="136" t="str">
        <f>Tab.o1[[#This Row],[MOD]]</f>
        <v/>
      </c>
      <c r="AU319" s="137" t="str">
        <f t="shared" si="17"/>
        <v/>
      </c>
      <c r="AV319" s="138" t="str">
        <f t="shared" si="18"/>
        <v/>
      </c>
      <c r="AW319" s="138" t="str">
        <f t="shared" si="19"/>
        <v/>
      </c>
      <c r="AX319" s="139" t="str">
        <f>[1]!T.in.A[[#This Row],[ID_T_manu]]</f>
        <v/>
      </c>
      <c r="AY319" s="140" t="str">
        <f>IF(ISNUMBER(Tab.o1[[#This Row],[a1]]),IF(AND(Tab.o1[[#This Row],[a1]]=1,Tab.o1[[#This Row],[b1]]&lt;=AY$4),#REF!,AY318),"")</f>
        <v/>
      </c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</row>
    <row r="320" spans="1:79" ht="15.75" hidden="1">
      <c r="A320" s="109">
        <v>9.0000000000000002E-6</v>
      </c>
      <c r="B320" s="110">
        <f t="shared" si="16"/>
        <v>320</v>
      </c>
      <c r="C320" s="111" t="str">
        <f>IF(C$1=[1]!T.in.A[[#This Row],[oo2]],1,"")</f>
        <v/>
      </c>
      <c r="D320" s="112" t="str">
        <f>IF(Tab.o1[[#This Row],[a1]]=1,IF(SUM(C320:C321)=0,0,IF(SUM(C319:C320)=1,1,IF(SUM(C319:C321)&gt;1,D319+1,0))),"")</f>
        <v/>
      </c>
      <c r="E320" s="113" t="str">
        <f>IF(Tab.o1[[#This Row],[a1]]=1,[1]!T.in.A[[#This Row],[oo1]],"")</f>
        <v/>
      </c>
      <c r="F320" s="113" t="str">
        <f>IF(Tab.o1[[#This Row],[a1]]=1,[1]!T.in.A[[#This Row],[pp1]],"")</f>
        <v/>
      </c>
      <c r="G320" s="114" t="str">
        <f>IF(Tab.o1[[#This Row],[a1]]=1,G$2+IF(G$1=1,0,Tab.o1[[#This Row],[.x1]])+[1]!T.in.A[[#This Row],[oo3]],"")</f>
        <v/>
      </c>
      <c r="H320" s="115" t="str">
        <f>IF(Tab.o1[[#This Row],[a1]]=1,IF(H$2=0,0,IF(G$1=1,0,Tab.o1[[#This Row],[.x1]])+[1]!T.in.A[[#This Row],[oo4]]),"")</f>
        <v/>
      </c>
      <c r="I320" s="116" t="str">
        <f>IF(Tab.o1[[#This Row],[a1]]=1,IF(J$2=0,Tab.o1[[#This Row],[MED]],Tab.o1[[#This Row],[MOD]]),"")</f>
        <v/>
      </c>
      <c r="J320" s="116" t="str">
        <f>IF(Tab.o1[[#This Row],[a1]]=1,((Tab.o1[[#This Row],[DIF_Target.]]-AVERAGE(Tab.o1[DIF_Target.]))/_xlfn.STDEV.P(Tab.o1[DIF_Target.])),"")</f>
        <v/>
      </c>
      <c r="K320" s="117" t="str">
        <f>IF(Tab.o1[[#This Row],[a1]]=1,IF(J$2=0,Tab.o1[[#This Row],[MOD]]-Tab.o1[[#This Row],[B]],IF(J$2=1,0,-Tab.o1[[#This Row],[MED]])+Tab.o1[[#This Row],[B]]),"")</f>
        <v/>
      </c>
      <c r="L320" s="117" t="str">
        <f ca="1">IF(Tab.o1[[#This Row],[DIF_Target]]=0,IF(L$2=0,Tab.o1[[#This Row],[DIF_Target]],AVERAGE(OFFSET(Tab.o1[[#This Row],[DIF_Target]],1,0,L$3,1)))/3,Tab.o1[[#This Row],[DIF_Target]])</f>
        <v/>
      </c>
      <c r="M320" s="118" t="str">
        <f>IF(Tab.o1[[#This Row],[a1]]=1,NORMSDIST(Tab.o1[[#This Row],[Za]]),"")</f>
        <v/>
      </c>
      <c r="N320" s="119" t="str">
        <f>IF(Tab.o1[[#This Row],[a1]]=1,((Tab.o1[[#This Row],[MedMod]]-AVERAGE(Tab.o1[MedMod]))/_xlfn.STDEV.P(Tab.o1[MedMod])*H$1205)+G$1205,"")</f>
        <v/>
      </c>
      <c r="O320" s="141" t="str">
        <f>IF(Tab.o1[[#This Row],[a1]]=1,Tab.o1[[#This Row],[Zb]]*_xlfn.STDEV.P(Tab.o1[MedMod])+AVERAGE(Tab.o1[MedMod]),"")</f>
        <v/>
      </c>
      <c r="P320" s="117" t="str">
        <f ca="1">IF(Tab.o1[[#This Row],[B]]=0,AVERAGE(OFFSET(Tab.o1[[#This Row],[B]],1,0,L$3,1)),Tab.o1[[#This Row],[B]])</f>
        <v/>
      </c>
      <c r="Q320" s="121" t="str">
        <f>IF(Tab.o1[[#This Row],[a1]]=1,NORMSDIST(Tab.o1[[#This Row],[Zb]]),"")</f>
        <v/>
      </c>
      <c r="R320" s="122" t="str">
        <f>IF(Tab.o1[[#This Row],[a1]]=1,((Tab.o1[[#This Row],[MedMod]]-AVERAGE(Tab.o1[MedMod]))/_xlfn.STDEV.P(Tab.o1[MedMod])*H$1203)+G$1203,"")</f>
        <v/>
      </c>
      <c r="S320" s="122" t="str">
        <f>IF(Tab.o1[[#This Row],[a1]]=1,((Tab.o1[[#This Row],[MedMod]]-AVERAGE(Tab.o1[MedMod]))/_xlfn.STDEV.P(Tab.o1[MedMod])*H$1204)+G$1204,"")</f>
        <v/>
      </c>
      <c r="T320" s="123" t="str">
        <f>IF(Tab.o1[[#This Row],[a1]]=1,Tab.o1[[#This Row],[Z-]]*_xlfn.STDEV.P(Tab.o1[B])+AVERAGE(Tab.o1[B]),"")</f>
        <v/>
      </c>
      <c r="U320" s="123" t="str">
        <f>IF(Tab.o1[[#This Row],[a1]]=1,Tab.o1[[#This Row],[z+]]*_xlfn.STDEV.P(Tab.o1[B])+AVERAGE(Tab.o1[B]),"")</f>
        <v/>
      </c>
      <c r="V320" s="124" t="str">
        <f>IF(Tab.o1[[#This Row],[a1]]=1,ABS((ABS(Tab.o1[[#This Row],[Red]]-Tab.o1[[#This Row],[Blue]]))),"")</f>
        <v/>
      </c>
      <c r="W320" s="125" t="str">
        <f>IF(Tab.o1[[#This Row],[a1]]=1,IF(W$3=0,1,Tab.o1[[#This Row],[Amp.]]*1/_xlfn.MINIFS(Tab.o1[Amp.],Tab.o1[Amp.],"&lt;&gt;0")),"")</f>
        <v/>
      </c>
      <c r="X320" s="126" t="str">
        <f>IF(Tab.o1[[#This Row],[a1]]=1,IF(ISNUMBER(Tab.o1[[#This Row],[i.]]),NORMDIST(Tab.o1[[#This Row],[Za]],0,1,FALSE)*Tab.o1[[#This Row],[i.]],AP$3),"")</f>
        <v/>
      </c>
      <c r="Y320" s="126" t="str">
        <f>IF(Tab.o1[[#This Row],[a1]]=1,0.01+0.94*Tab.o1[[#This Row],[PDF]]/MAX(Tab.o1[PDF]),"")</f>
        <v/>
      </c>
      <c r="Z320" s="126" t="str">
        <f>IF(Tab.o1[[#This Row],[a1]]=1,0.01+0.94*Tab.o1[[#This Row],[W1_PDF]]/MAX(Tab.o1[W1_PDF]),"")</f>
        <v/>
      </c>
      <c r="AA320" s="118" t="str">
        <f>IF(Tab.o1[[#This Row],[a1]]=1,ABS([1]!T.in.A[[#This Row],[oo6]]),"")</f>
        <v/>
      </c>
      <c r="AB320" s="127" t="str">
        <f>IF(Tab.o1[[#This Row],[a1]]=1,IF(AE$3=0,"",IF(AB$3=0,ABS([1]!T.in.A[[#This Row],[oo9]]),ABS(Tab.o1[[#This Row],[DIF_Target.]]*Tab.o1[[#This Row],[W1_PDF]]))),"")</f>
        <v/>
      </c>
      <c r="AC320" s="127" t="str">
        <f>IF(G$1=1,"",IF(Tab.o1[[#This Row],[a1]]=1,Tab.o1[[#This Row],[Wr]]^2,""))</f>
        <v/>
      </c>
      <c r="AD320" s="118" t="str">
        <f>IF(Tab.o1[[#This Row],[a1]]=1,IF(AE$3=0,"",Tab.o1[[#This Row],[Wr2]]/SUM(Tab.o1[Wr2])),"")</f>
        <v/>
      </c>
      <c r="AE320" s="128" t="str">
        <f>IF(Tab.o1[[#This Row],[a1]]=1,[1]!T.in.A[[#This Row],[oo10]],"")</f>
        <v/>
      </c>
      <c r="AF320" s="118" t="str">
        <f>IF(Tab.o1[[#This Row],[a1]]=1,ABS(Tab.o1[[#This Row],[DIF_Target.]]*Tab.o1[[#This Row],[PDF2]]*Tab.o1[[#This Row],[IN]]),"")</f>
        <v/>
      </c>
      <c r="AG320" s="129" t="str">
        <f>IF(Tab.o1[[#This Row],[a1]]=1,Tab.o1[[#This Row],[rW]]^2,"")</f>
        <v/>
      </c>
      <c r="AH320" s="130" t="str">
        <f>IF(Tab.o1[[#This Row],[a1]]=1,IF(AH$3=0,Tab.o1[[#This Row],[rW2]],0.01+0.94*Tab.o1[[#This Row],[rW2]]/SUM(Tab.o1[rW2])),"")</f>
        <v/>
      </c>
      <c r="AI320" s="128" t="str">
        <f>IF(Tab.o1[[#This Row],[a1]]=1,1/Tab.o1[[#This Row],[PDF]],"")</f>
        <v/>
      </c>
      <c r="AJ320" s="131" t="str">
        <f>IF(Tab.o1[[#This Row],[a1]]=1,[1]!T_AA[[#This Row],[IN'']]*[1]!T_AA[[#This Row],[Qde'']],"")</f>
        <v/>
      </c>
      <c r="AK320" s="132" t="str">
        <f>IF(Tab.o1[[#This Row],[a1]]=1,IF(AK$1=1,Tab.o1[[#This Row],[MED]]+Tab.o1[[#This Row],[MOD]]-Tab.o1[[#This Row],[MED]],""),"")</f>
        <v/>
      </c>
      <c r="AL320" s="133" t="str">
        <f>IF(Tab.o1[[#This Row],[a1]]=1,[1]!T.in.A[[#This Row],[oo16]],"")</f>
        <v/>
      </c>
      <c r="AM320" s="133" t="str">
        <f>IF(Tab.o1[[#This Row],[a1]]=1,IF(AM$3=1,[1]!T.in.A[[#This Row],[Σo16]],""),"")</f>
        <v/>
      </c>
      <c r="AN320" s="126" t="str">
        <f>IF(Tab.o1[[#This Row],[a1]]=1,[1]!T.in.A[[#This Row],[Σp5]],"")</f>
        <v/>
      </c>
      <c r="AO320" s="126" t="str">
        <f>IF(Tab.o1[[#This Row],[a1]]=1,IF(AO$3=1,[1]!T.in.A[[#This Row],[Σp5]],""),"")</f>
        <v/>
      </c>
      <c r="AP320" s="110" t="str">
        <f>IF(Tab.o1[[#This Row],[a1]]=1,IF(ISNUMBER(Tab.o1[[#This Row],[i.]]),NORMDIST(Tab.o1[[#This Row],[Za]],0,1,FALSE)*Tab.o1[[#This Row],[i.]],0),"")</f>
        <v/>
      </c>
      <c r="AQ320" s="125" t="str">
        <f>IF(Tab.o1[[#This Row],[a1]]=1,ABS(Tab.o1[[#This Row],[MOD]]-AVERAGE(Tab.o1[MOD])),"")</f>
        <v/>
      </c>
      <c r="AR320" s="134" t="str">
        <f>IF(Tab.o1[[#This Row],[a1]]=1,Tab.o1[[#This Row],[OBS]]/SUM(Tab.o1[OBS]),"")</f>
        <v/>
      </c>
      <c r="AS320" s="135" t="str">
        <f>IF(ISNUMBER(Tab.o1[[#This Row],[a1]]),ROW()-4,"")</f>
        <v/>
      </c>
      <c r="AT320" s="136" t="str">
        <f>Tab.o1[[#This Row],[MOD]]</f>
        <v/>
      </c>
      <c r="AU320" s="137" t="str">
        <f t="shared" si="17"/>
        <v/>
      </c>
      <c r="AV320" s="138" t="str">
        <f t="shared" si="18"/>
        <v/>
      </c>
      <c r="AW320" s="138" t="str">
        <f t="shared" si="19"/>
        <v/>
      </c>
      <c r="AX320" s="139" t="str">
        <f>[1]!T.in.A[[#This Row],[ID_T_manu]]</f>
        <v/>
      </c>
      <c r="AY320" s="140" t="str">
        <f>IF(ISNUMBER(Tab.o1[[#This Row],[a1]]),IF(AND(Tab.o1[[#This Row],[a1]]=1,Tab.o1[[#This Row],[b1]]&lt;=AY$4),#REF!,AY319),"")</f>
        <v/>
      </c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</row>
    <row r="321" spans="1:79" ht="15.75" hidden="1">
      <c r="A321" s="109">
        <v>-4.0000000000000007E-6</v>
      </c>
      <c r="B321" s="110">
        <f t="shared" si="16"/>
        <v>321</v>
      </c>
      <c r="C321" s="111" t="str">
        <f>IF(C$1=[1]!T.in.A[[#This Row],[oo2]],1,"")</f>
        <v/>
      </c>
      <c r="D321" s="112" t="str">
        <f>IF(Tab.o1[[#This Row],[a1]]=1,IF(SUM(C321:C322)=0,0,IF(SUM(C320:C321)=1,1,IF(SUM(C320:C322)&gt;1,D320+1,0))),"")</f>
        <v/>
      </c>
      <c r="E321" s="113" t="str">
        <f>IF(Tab.o1[[#This Row],[a1]]=1,[1]!T.in.A[[#This Row],[oo1]],"")</f>
        <v/>
      </c>
      <c r="F321" s="113" t="str">
        <f>IF(Tab.o1[[#This Row],[a1]]=1,[1]!T.in.A[[#This Row],[pp1]],"")</f>
        <v/>
      </c>
      <c r="G321" s="114" t="str">
        <f>IF(Tab.o1[[#This Row],[a1]]=1,G$2+IF(G$1=1,0,Tab.o1[[#This Row],[.x1]])+[1]!T.in.A[[#This Row],[oo3]],"")</f>
        <v/>
      </c>
      <c r="H321" s="115" t="str">
        <f>IF(Tab.o1[[#This Row],[a1]]=1,IF(H$2=0,0,IF(G$1=1,0,Tab.o1[[#This Row],[.x1]])+[1]!T.in.A[[#This Row],[oo4]]),"")</f>
        <v/>
      </c>
      <c r="I321" s="116" t="str">
        <f>IF(Tab.o1[[#This Row],[a1]]=1,IF(J$2=0,Tab.o1[[#This Row],[MED]],Tab.o1[[#This Row],[MOD]]),"")</f>
        <v/>
      </c>
      <c r="J321" s="116" t="str">
        <f>IF(Tab.o1[[#This Row],[a1]]=1,((Tab.o1[[#This Row],[DIF_Target.]]-AVERAGE(Tab.o1[DIF_Target.]))/_xlfn.STDEV.P(Tab.o1[DIF_Target.])),"")</f>
        <v/>
      </c>
      <c r="K321" s="117" t="str">
        <f>IF(Tab.o1[[#This Row],[a1]]=1,IF(J$2=0,Tab.o1[[#This Row],[MOD]]-Tab.o1[[#This Row],[B]],IF(J$2=1,0,-Tab.o1[[#This Row],[MED]])+Tab.o1[[#This Row],[B]]),"")</f>
        <v/>
      </c>
      <c r="L321" s="117" t="str">
        <f ca="1">IF(Tab.o1[[#This Row],[DIF_Target]]=0,IF(L$2=0,Tab.o1[[#This Row],[DIF_Target]],AVERAGE(OFFSET(Tab.o1[[#This Row],[DIF_Target]],1,0,L$3,1)))/3,Tab.o1[[#This Row],[DIF_Target]])</f>
        <v/>
      </c>
      <c r="M321" s="118" t="str">
        <f>IF(Tab.o1[[#This Row],[a1]]=1,NORMSDIST(Tab.o1[[#This Row],[Za]]),"")</f>
        <v/>
      </c>
      <c r="N321" s="119" t="str">
        <f>IF(Tab.o1[[#This Row],[a1]]=1,((Tab.o1[[#This Row],[MedMod]]-AVERAGE(Tab.o1[MedMod]))/_xlfn.STDEV.P(Tab.o1[MedMod])*H$1205)+G$1205,"")</f>
        <v/>
      </c>
      <c r="O321" s="141" t="str">
        <f>IF(Tab.o1[[#This Row],[a1]]=1,Tab.o1[[#This Row],[Zb]]*_xlfn.STDEV.P(Tab.o1[MedMod])+AVERAGE(Tab.o1[MedMod]),"")</f>
        <v/>
      </c>
      <c r="P321" s="117" t="str">
        <f ca="1">IF(Tab.o1[[#This Row],[B]]=0,AVERAGE(OFFSET(Tab.o1[[#This Row],[B]],1,0,L$3,1)),Tab.o1[[#This Row],[B]])</f>
        <v/>
      </c>
      <c r="Q321" s="121" t="str">
        <f>IF(Tab.o1[[#This Row],[a1]]=1,NORMSDIST(Tab.o1[[#This Row],[Zb]]),"")</f>
        <v/>
      </c>
      <c r="R321" s="122" t="str">
        <f>IF(Tab.o1[[#This Row],[a1]]=1,((Tab.o1[[#This Row],[MedMod]]-AVERAGE(Tab.o1[MedMod]))/_xlfn.STDEV.P(Tab.o1[MedMod])*H$1203)+G$1203,"")</f>
        <v/>
      </c>
      <c r="S321" s="122" t="str">
        <f>IF(Tab.o1[[#This Row],[a1]]=1,((Tab.o1[[#This Row],[MedMod]]-AVERAGE(Tab.o1[MedMod]))/_xlfn.STDEV.P(Tab.o1[MedMod])*H$1204)+G$1204,"")</f>
        <v/>
      </c>
      <c r="T321" s="123" t="str">
        <f>IF(Tab.o1[[#This Row],[a1]]=1,Tab.o1[[#This Row],[Z-]]*_xlfn.STDEV.P(Tab.o1[B])+AVERAGE(Tab.o1[B]),"")</f>
        <v/>
      </c>
      <c r="U321" s="123" t="str">
        <f>IF(Tab.o1[[#This Row],[a1]]=1,Tab.o1[[#This Row],[z+]]*_xlfn.STDEV.P(Tab.o1[B])+AVERAGE(Tab.o1[B]),"")</f>
        <v/>
      </c>
      <c r="V321" s="124" t="str">
        <f>IF(Tab.o1[[#This Row],[a1]]=1,ABS((ABS(Tab.o1[[#This Row],[Red]]-Tab.o1[[#This Row],[Blue]]))),"")</f>
        <v/>
      </c>
      <c r="W321" s="125" t="str">
        <f>IF(Tab.o1[[#This Row],[a1]]=1,IF(W$3=0,1,Tab.o1[[#This Row],[Amp.]]*1/_xlfn.MINIFS(Tab.o1[Amp.],Tab.o1[Amp.],"&lt;&gt;0")),"")</f>
        <v/>
      </c>
      <c r="X321" s="126" t="str">
        <f>IF(Tab.o1[[#This Row],[a1]]=1,IF(ISNUMBER(Tab.o1[[#This Row],[i.]]),NORMDIST(Tab.o1[[#This Row],[Za]],0,1,FALSE)*Tab.o1[[#This Row],[i.]],AP$3),"")</f>
        <v/>
      </c>
      <c r="Y321" s="126" t="str">
        <f>IF(Tab.o1[[#This Row],[a1]]=1,0.01+0.94*Tab.o1[[#This Row],[PDF]]/MAX(Tab.o1[PDF]),"")</f>
        <v/>
      </c>
      <c r="Z321" s="126" t="str">
        <f>IF(Tab.o1[[#This Row],[a1]]=1,0.01+0.94*Tab.o1[[#This Row],[W1_PDF]]/MAX(Tab.o1[W1_PDF]),"")</f>
        <v/>
      </c>
      <c r="AA321" s="118" t="str">
        <f>IF(Tab.o1[[#This Row],[a1]]=1,ABS([1]!T.in.A[[#This Row],[oo6]]),"")</f>
        <v/>
      </c>
      <c r="AB321" s="127" t="str">
        <f>IF(Tab.o1[[#This Row],[a1]]=1,IF(AE$3=0,"",IF(AB$3=0,ABS([1]!T.in.A[[#This Row],[oo9]]),ABS(Tab.o1[[#This Row],[DIF_Target.]]*Tab.o1[[#This Row],[W1_PDF]]))),"")</f>
        <v/>
      </c>
      <c r="AC321" s="127" t="str">
        <f>IF(G$1=1,"",IF(Tab.o1[[#This Row],[a1]]=1,Tab.o1[[#This Row],[Wr]]^2,""))</f>
        <v/>
      </c>
      <c r="AD321" s="118" t="str">
        <f>IF(Tab.o1[[#This Row],[a1]]=1,IF(AE$3=0,"",Tab.o1[[#This Row],[Wr2]]/SUM(Tab.o1[Wr2])),"")</f>
        <v/>
      </c>
      <c r="AE321" s="128" t="str">
        <f>IF(Tab.o1[[#This Row],[a1]]=1,[1]!T.in.A[[#This Row],[oo10]],"")</f>
        <v/>
      </c>
      <c r="AF321" s="118" t="str">
        <f>IF(Tab.o1[[#This Row],[a1]]=1,ABS(Tab.o1[[#This Row],[DIF_Target.]]*Tab.o1[[#This Row],[PDF2]]*Tab.o1[[#This Row],[IN]]),"")</f>
        <v/>
      </c>
      <c r="AG321" s="129" t="str">
        <f>IF(Tab.o1[[#This Row],[a1]]=1,Tab.o1[[#This Row],[rW]]^2,"")</f>
        <v/>
      </c>
      <c r="AH321" s="130" t="str">
        <f>IF(Tab.o1[[#This Row],[a1]]=1,IF(AH$3=0,Tab.o1[[#This Row],[rW2]],0.01+0.94*Tab.o1[[#This Row],[rW2]]/SUM(Tab.o1[rW2])),"")</f>
        <v/>
      </c>
      <c r="AI321" s="128" t="str">
        <f>IF(Tab.o1[[#This Row],[a1]]=1,1/Tab.o1[[#This Row],[PDF]],"")</f>
        <v/>
      </c>
      <c r="AJ321" s="131" t="str">
        <f>IF(Tab.o1[[#This Row],[a1]]=1,[1]!T_AA[[#This Row],[IN'']]*[1]!T_AA[[#This Row],[Qde'']],"")</f>
        <v/>
      </c>
      <c r="AK321" s="132" t="str">
        <f>IF(Tab.o1[[#This Row],[a1]]=1,IF(AK$1=1,Tab.o1[[#This Row],[MED]]+Tab.o1[[#This Row],[MOD]]-Tab.o1[[#This Row],[MED]],""),"")</f>
        <v/>
      </c>
      <c r="AL321" s="133" t="str">
        <f>IF(Tab.o1[[#This Row],[a1]]=1,[1]!T.in.A[[#This Row],[oo16]],"")</f>
        <v/>
      </c>
      <c r="AM321" s="133" t="str">
        <f>IF(Tab.o1[[#This Row],[a1]]=1,IF(AM$3=1,[1]!T.in.A[[#This Row],[Σo16]],""),"")</f>
        <v/>
      </c>
      <c r="AN321" s="126" t="str">
        <f>IF(Tab.o1[[#This Row],[a1]]=1,[1]!T.in.A[[#This Row],[Σp5]],"")</f>
        <v/>
      </c>
      <c r="AO321" s="126" t="str">
        <f>IF(Tab.o1[[#This Row],[a1]]=1,IF(AO$3=1,[1]!T.in.A[[#This Row],[Σp5]],""),"")</f>
        <v/>
      </c>
      <c r="AP321" s="110" t="str">
        <f>IF(Tab.o1[[#This Row],[a1]]=1,IF(ISNUMBER(Tab.o1[[#This Row],[i.]]),NORMDIST(Tab.o1[[#This Row],[Za]],0,1,FALSE)*Tab.o1[[#This Row],[i.]],0),"")</f>
        <v/>
      </c>
      <c r="AQ321" s="125" t="str">
        <f>IF(Tab.o1[[#This Row],[a1]]=1,ABS(Tab.o1[[#This Row],[MOD]]-AVERAGE(Tab.o1[MOD])),"")</f>
        <v/>
      </c>
      <c r="AR321" s="134" t="str">
        <f>IF(Tab.o1[[#This Row],[a1]]=1,Tab.o1[[#This Row],[OBS]]/SUM(Tab.o1[OBS]),"")</f>
        <v/>
      </c>
      <c r="AS321" s="135" t="str">
        <f>IF(ISNUMBER(Tab.o1[[#This Row],[a1]]),ROW()-4,"")</f>
        <v/>
      </c>
      <c r="AT321" s="136" t="str">
        <f>Tab.o1[[#This Row],[MOD]]</f>
        <v/>
      </c>
      <c r="AU321" s="137" t="str">
        <f t="shared" si="17"/>
        <v/>
      </c>
      <c r="AV321" s="138" t="str">
        <f t="shared" si="18"/>
        <v/>
      </c>
      <c r="AW321" s="138" t="str">
        <f t="shared" si="19"/>
        <v/>
      </c>
      <c r="AX321" s="139" t="str">
        <f>[1]!T.in.A[[#This Row],[ID_T_manu]]</f>
        <v/>
      </c>
      <c r="AY321" s="140" t="str">
        <f>IF(ISNUMBER(Tab.o1[[#This Row],[a1]]),IF(AND(Tab.o1[[#This Row],[a1]]=1,Tab.o1[[#This Row],[b1]]&lt;=AY$4),#REF!,AY320),"")</f>
        <v/>
      </c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</row>
    <row r="322" spans="1:79" ht="15.75" hidden="1">
      <c r="A322" s="109">
        <v>9.0000000000000002E-6</v>
      </c>
      <c r="B322" s="110">
        <f t="shared" si="16"/>
        <v>322</v>
      </c>
      <c r="C322" s="111" t="str">
        <f>IF(C$1=[1]!T.in.A[[#This Row],[oo2]],1,"")</f>
        <v/>
      </c>
      <c r="D322" s="112" t="str">
        <f>IF(Tab.o1[[#This Row],[a1]]=1,IF(SUM(C322:C323)=0,0,IF(SUM(C321:C322)=1,1,IF(SUM(C321:C323)&gt;1,D321+1,0))),"")</f>
        <v/>
      </c>
      <c r="E322" s="113" t="str">
        <f>IF(Tab.o1[[#This Row],[a1]]=1,[1]!T.in.A[[#This Row],[oo1]],"")</f>
        <v/>
      </c>
      <c r="F322" s="113" t="str">
        <f>IF(Tab.o1[[#This Row],[a1]]=1,[1]!T.in.A[[#This Row],[pp1]],"")</f>
        <v/>
      </c>
      <c r="G322" s="114" t="str">
        <f>IF(Tab.o1[[#This Row],[a1]]=1,G$2+IF(G$1=1,0,Tab.o1[[#This Row],[.x1]])+[1]!T.in.A[[#This Row],[oo3]],"")</f>
        <v/>
      </c>
      <c r="H322" s="115" t="str">
        <f>IF(Tab.o1[[#This Row],[a1]]=1,IF(H$2=0,0,IF(G$1=1,0,Tab.o1[[#This Row],[.x1]])+[1]!T.in.A[[#This Row],[oo4]]),"")</f>
        <v/>
      </c>
      <c r="I322" s="116" t="str">
        <f>IF(Tab.o1[[#This Row],[a1]]=1,IF(J$2=0,Tab.o1[[#This Row],[MED]],Tab.o1[[#This Row],[MOD]]),"")</f>
        <v/>
      </c>
      <c r="J322" s="116" t="str">
        <f>IF(Tab.o1[[#This Row],[a1]]=1,((Tab.o1[[#This Row],[DIF_Target.]]-AVERAGE(Tab.o1[DIF_Target.]))/_xlfn.STDEV.P(Tab.o1[DIF_Target.])),"")</f>
        <v/>
      </c>
      <c r="K322" s="117" t="str">
        <f>IF(Tab.o1[[#This Row],[a1]]=1,IF(J$2=0,Tab.o1[[#This Row],[MOD]]-Tab.o1[[#This Row],[B]],IF(J$2=1,0,-Tab.o1[[#This Row],[MED]])+Tab.o1[[#This Row],[B]]),"")</f>
        <v/>
      </c>
      <c r="L322" s="117" t="str">
        <f ca="1">IF(Tab.o1[[#This Row],[DIF_Target]]=0,IF(L$2=0,Tab.o1[[#This Row],[DIF_Target]],AVERAGE(OFFSET(Tab.o1[[#This Row],[DIF_Target]],1,0,L$3,1)))/3,Tab.o1[[#This Row],[DIF_Target]])</f>
        <v/>
      </c>
      <c r="M322" s="118" t="str">
        <f>IF(Tab.o1[[#This Row],[a1]]=1,NORMSDIST(Tab.o1[[#This Row],[Za]]),"")</f>
        <v/>
      </c>
      <c r="N322" s="119" t="str">
        <f>IF(Tab.o1[[#This Row],[a1]]=1,((Tab.o1[[#This Row],[MedMod]]-AVERAGE(Tab.o1[MedMod]))/_xlfn.STDEV.P(Tab.o1[MedMod])*H$1205)+G$1205,"")</f>
        <v/>
      </c>
      <c r="O322" s="141" t="str">
        <f>IF(Tab.o1[[#This Row],[a1]]=1,Tab.o1[[#This Row],[Zb]]*_xlfn.STDEV.P(Tab.o1[MedMod])+AVERAGE(Tab.o1[MedMod]),"")</f>
        <v/>
      </c>
      <c r="P322" s="117" t="str">
        <f ca="1">IF(Tab.o1[[#This Row],[B]]=0,AVERAGE(OFFSET(Tab.o1[[#This Row],[B]],1,0,L$3,1)),Tab.o1[[#This Row],[B]])</f>
        <v/>
      </c>
      <c r="Q322" s="121" t="str">
        <f>IF(Tab.o1[[#This Row],[a1]]=1,NORMSDIST(Tab.o1[[#This Row],[Zb]]),"")</f>
        <v/>
      </c>
      <c r="R322" s="122" t="str">
        <f>IF(Tab.o1[[#This Row],[a1]]=1,((Tab.o1[[#This Row],[MedMod]]-AVERAGE(Tab.o1[MedMod]))/_xlfn.STDEV.P(Tab.o1[MedMod])*H$1203)+G$1203,"")</f>
        <v/>
      </c>
      <c r="S322" s="122" t="str">
        <f>IF(Tab.o1[[#This Row],[a1]]=1,((Tab.o1[[#This Row],[MedMod]]-AVERAGE(Tab.o1[MedMod]))/_xlfn.STDEV.P(Tab.o1[MedMod])*H$1204)+G$1204,"")</f>
        <v/>
      </c>
      <c r="T322" s="123" t="str">
        <f>IF(Tab.o1[[#This Row],[a1]]=1,Tab.o1[[#This Row],[Z-]]*_xlfn.STDEV.P(Tab.o1[B])+AVERAGE(Tab.o1[B]),"")</f>
        <v/>
      </c>
      <c r="U322" s="123" t="str">
        <f>IF(Tab.o1[[#This Row],[a1]]=1,Tab.o1[[#This Row],[z+]]*_xlfn.STDEV.P(Tab.o1[B])+AVERAGE(Tab.o1[B]),"")</f>
        <v/>
      </c>
      <c r="V322" s="124" t="str">
        <f>IF(Tab.o1[[#This Row],[a1]]=1,ABS((ABS(Tab.o1[[#This Row],[Red]]-Tab.o1[[#This Row],[Blue]]))),"")</f>
        <v/>
      </c>
      <c r="W322" s="125" t="str">
        <f>IF(Tab.o1[[#This Row],[a1]]=1,IF(W$3=0,1,Tab.o1[[#This Row],[Amp.]]*1/_xlfn.MINIFS(Tab.o1[Amp.],Tab.o1[Amp.],"&lt;&gt;0")),"")</f>
        <v/>
      </c>
      <c r="X322" s="126" t="str">
        <f>IF(Tab.o1[[#This Row],[a1]]=1,IF(ISNUMBER(Tab.o1[[#This Row],[i.]]),NORMDIST(Tab.o1[[#This Row],[Za]],0,1,FALSE)*Tab.o1[[#This Row],[i.]],AP$3),"")</f>
        <v/>
      </c>
      <c r="Y322" s="126" t="str">
        <f>IF(Tab.o1[[#This Row],[a1]]=1,0.01+0.94*Tab.o1[[#This Row],[PDF]]/MAX(Tab.o1[PDF]),"")</f>
        <v/>
      </c>
      <c r="Z322" s="126" t="str">
        <f>IF(Tab.o1[[#This Row],[a1]]=1,0.01+0.94*Tab.o1[[#This Row],[W1_PDF]]/MAX(Tab.o1[W1_PDF]),"")</f>
        <v/>
      </c>
      <c r="AA322" s="118" t="str">
        <f>IF(Tab.o1[[#This Row],[a1]]=1,ABS([1]!T.in.A[[#This Row],[oo6]]),"")</f>
        <v/>
      </c>
      <c r="AB322" s="127" t="str">
        <f>IF(Tab.o1[[#This Row],[a1]]=1,IF(AE$3=0,"",IF(AB$3=0,ABS([1]!T.in.A[[#This Row],[oo9]]),ABS(Tab.o1[[#This Row],[DIF_Target.]]*Tab.o1[[#This Row],[W1_PDF]]))),"")</f>
        <v/>
      </c>
      <c r="AC322" s="127" t="str">
        <f>IF(G$1=1,"",IF(Tab.o1[[#This Row],[a1]]=1,Tab.o1[[#This Row],[Wr]]^2,""))</f>
        <v/>
      </c>
      <c r="AD322" s="118" t="str">
        <f>IF(Tab.o1[[#This Row],[a1]]=1,IF(AE$3=0,"",Tab.o1[[#This Row],[Wr2]]/SUM(Tab.o1[Wr2])),"")</f>
        <v/>
      </c>
      <c r="AE322" s="128" t="str">
        <f>IF(Tab.o1[[#This Row],[a1]]=1,[1]!T.in.A[[#This Row],[oo10]],"")</f>
        <v/>
      </c>
      <c r="AF322" s="118" t="str">
        <f>IF(Tab.o1[[#This Row],[a1]]=1,ABS(Tab.o1[[#This Row],[DIF_Target.]]*Tab.o1[[#This Row],[PDF2]]*Tab.o1[[#This Row],[IN]]),"")</f>
        <v/>
      </c>
      <c r="AG322" s="129" t="str">
        <f>IF(Tab.o1[[#This Row],[a1]]=1,Tab.o1[[#This Row],[rW]]^2,"")</f>
        <v/>
      </c>
      <c r="AH322" s="130" t="str">
        <f>IF(Tab.o1[[#This Row],[a1]]=1,IF(AH$3=0,Tab.o1[[#This Row],[rW2]],0.01+0.94*Tab.o1[[#This Row],[rW2]]/SUM(Tab.o1[rW2])),"")</f>
        <v/>
      </c>
      <c r="AI322" s="128" t="str">
        <f>IF(Tab.o1[[#This Row],[a1]]=1,1/Tab.o1[[#This Row],[PDF]],"")</f>
        <v/>
      </c>
      <c r="AJ322" s="131" t="str">
        <f>IF(Tab.o1[[#This Row],[a1]]=1,[1]!T_AA[[#This Row],[IN'']]*[1]!T_AA[[#This Row],[Qde'']],"")</f>
        <v/>
      </c>
      <c r="AK322" s="132" t="str">
        <f>IF(Tab.o1[[#This Row],[a1]]=1,IF(AK$1=1,Tab.o1[[#This Row],[MED]]+Tab.o1[[#This Row],[MOD]]-Tab.o1[[#This Row],[MED]],""),"")</f>
        <v/>
      </c>
      <c r="AL322" s="133" t="str">
        <f>IF(Tab.o1[[#This Row],[a1]]=1,[1]!T.in.A[[#This Row],[oo16]],"")</f>
        <v/>
      </c>
      <c r="AM322" s="133" t="str">
        <f>IF(Tab.o1[[#This Row],[a1]]=1,IF(AM$3=1,[1]!T.in.A[[#This Row],[Σo16]],""),"")</f>
        <v/>
      </c>
      <c r="AN322" s="126" t="str">
        <f>IF(Tab.o1[[#This Row],[a1]]=1,[1]!T.in.A[[#This Row],[Σp5]],"")</f>
        <v/>
      </c>
      <c r="AO322" s="126" t="str">
        <f>IF(Tab.o1[[#This Row],[a1]]=1,IF(AO$3=1,[1]!T.in.A[[#This Row],[Σp5]],""),"")</f>
        <v/>
      </c>
      <c r="AP322" s="110" t="str">
        <f>IF(Tab.o1[[#This Row],[a1]]=1,IF(ISNUMBER(Tab.o1[[#This Row],[i.]]),NORMDIST(Tab.o1[[#This Row],[Za]],0,1,FALSE)*Tab.o1[[#This Row],[i.]],0),"")</f>
        <v/>
      </c>
      <c r="AQ322" s="125" t="str">
        <f>IF(Tab.o1[[#This Row],[a1]]=1,ABS(Tab.o1[[#This Row],[MOD]]-AVERAGE(Tab.o1[MOD])),"")</f>
        <v/>
      </c>
      <c r="AR322" s="134" t="str">
        <f>IF(Tab.o1[[#This Row],[a1]]=1,Tab.o1[[#This Row],[OBS]]/SUM(Tab.o1[OBS]),"")</f>
        <v/>
      </c>
      <c r="AS322" s="135" t="str">
        <f>IF(ISNUMBER(Tab.o1[[#This Row],[a1]]),ROW()-4,"")</f>
        <v/>
      </c>
      <c r="AT322" s="136" t="str">
        <f>Tab.o1[[#This Row],[MOD]]</f>
        <v/>
      </c>
      <c r="AU322" s="137" t="str">
        <f t="shared" si="17"/>
        <v/>
      </c>
      <c r="AV322" s="138" t="str">
        <f t="shared" si="18"/>
        <v/>
      </c>
      <c r="AW322" s="138" t="str">
        <f t="shared" si="19"/>
        <v/>
      </c>
      <c r="AX322" s="139" t="str">
        <f>[1]!T.in.A[[#This Row],[ID_T_manu]]</f>
        <v/>
      </c>
      <c r="AY322" s="140" t="str">
        <f>IF(ISNUMBER(Tab.o1[[#This Row],[a1]]),IF(AND(Tab.o1[[#This Row],[a1]]=1,Tab.o1[[#This Row],[b1]]&lt;=AY$4),#REF!,AY321),"")</f>
        <v/>
      </c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</row>
    <row r="323" spans="1:79" ht="15.75" hidden="1">
      <c r="A323" s="109">
        <v>8.0000000000000013E-6</v>
      </c>
      <c r="B323" s="110">
        <f t="shared" si="16"/>
        <v>323</v>
      </c>
      <c r="C323" s="111" t="str">
        <f>IF(C$1=[1]!T.in.A[[#This Row],[oo2]],1,"")</f>
        <v/>
      </c>
      <c r="D323" s="112" t="str">
        <f>IF(Tab.o1[[#This Row],[a1]]=1,IF(SUM(C323:C324)=0,0,IF(SUM(C322:C323)=1,1,IF(SUM(C322:C324)&gt;1,D322+1,0))),"")</f>
        <v/>
      </c>
      <c r="E323" s="113" t="str">
        <f>IF(Tab.o1[[#This Row],[a1]]=1,[1]!T.in.A[[#This Row],[oo1]],"")</f>
        <v/>
      </c>
      <c r="F323" s="113" t="str">
        <f>IF(Tab.o1[[#This Row],[a1]]=1,[1]!T.in.A[[#This Row],[pp1]],"")</f>
        <v/>
      </c>
      <c r="G323" s="114" t="str">
        <f>IF(Tab.o1[[#This Row],[a1]]=1,G$2+IF(G$1=1,0,Tab.o1[[#This Row],[.x1]])+[1]!T.in.A[[#This Row],[oo3]],"")</f>
        <v/>
      </c>
      <c r="H323" s="115" t="str">
        <f>IF(Tab.o1[[#This Row],[a1]]=1,IF(H$2=0,0,IF(G$1=1,0,Tab.o1[[#This Row],[.x1]])+[1]!T.in.A[[#This Row],[oo4]]),"")</f>
        <v/>
      </c>
      <c r="I323" s="116" t="str">
        <f>IF(Tab.o1[[#This Row],[a1]]=1,IF(J$2=0,Tab.o1[[#This Row],[MED]],Tab.o1[[#This Row],[MOD]]),"")</f>
        <v/>
      </c>
      <c r="J323" s="116" t="str">
        <f>IF(Tab.o1[[#This Row],[a1]]=1,((Tab.o1[[#This Row],[DIF_Target.]]-AVERAGE(Tab.o1[DIF_Target.]))/_xlfn.STDEV.P(Tab.o1[DIF_Target.])),"")</f>
        <v/>
      </c>
      <c r="K323" s="117" t="str">
        <f>IF(Tab.o1[[#This Row],[a1]]=1,IF(J$2=0,Tab.o1[[#This Row],[MOD]]-Tab.o1[[#This Row],[B]],IF(J$2=1,0,-Tab.o1[[#This Row],[MED]])+Tab.o1[[#This Row],[B]]),"")</f>
        <v/>
      </c>
      <c r="L323" s="117" t="str">
        <f ca="1">IF(Tab.o1[[#This Row],[DIF_Target]]=0,IF(L$2=0,Tab.o1[[#This Row],[DIF_Target]],AVERAGE(OFFSET(Tab.o1[[#This Row],[DIF_Target]],1,0,L$3,1)))/3,Tab.o1[[#This Row],[DIF_Target]])</f>
        <v/>
      </c>
      <c r="M323" s="118" t="str">
        <f>IF(Tab.o1[[#This Row],[a1]]=1,NORMSDIST(Tab.o1[[#This Row],[Za]]),"")</f>
        <v/>
      </c>
      <c r="N323" s="119" t="str">
        <f>IF(Tab.o1[[#This Row],[a1]]=1,((Tab.o1[[#This Row],[MedMod]]-AVERAGE(Tab.o1[MedMod]))/_xlfn.STDEV.P(Tab.o1[MedMod])*H$1205)+G$1205,"")</f>
        <v/>
      </c>
      <c r="O323" s="141" t="str">
        <f>IF(Tab.o1[[#This Row],[a1]]=1,Tab.o1[[#This Row],[Zb]]*_xlfn.STDEV.P(Tab.o1[MedMod])+AVERAGE(Tab.o1[MedMod]),"")</f>
        <v/>
      </c>
      <c r="P323" s="117" t="str">
        <f ca="1">IF(Tab.o1[[#This Row],[B]]=0,AVERAGE(OFFSET(Tab.o1[[#This Row],[B]],1,0,L$3,1)),Tab.o1[[#This Row],[B]])</f>
        <v/>
      </c>
      <c r="Q323" s="121" t="str">
        <f>IF(Tab.o1[[#This Row],[a1]]=1,NORMSDIST(Tab.o1[[#This Row],[Zb]]),"")</f>
        <v/>
      </c>
      <c r="R323" s="122" t="str">
        <f>IF(Tab.o1[[#This Row],[a1]]=1,((Tab.o1[[#This Row],[MedMod]]-AVERAGE(Tab.o1[MedMod]))/_xlfn.STDEV.P(Tab.o1[MedMod])*H$1203)+G$1203,"")</f>
        <v/>
      </c>
      <c r="S323" s="122" t="str">
        <f>IF(Tab.o1[[#This Row],[a1]]=1,((Tab.o1[[#This Row],[MedMod]]-AVERAGE(Tab.o1[MedMod]))/_xlfn.STDEV.P(Tab.o1[MedMod])*H$1204)+G$1204,"")</f>
        <v/>
      </c>
      <c r="T323" s="123" t="str">
        <f>IF(Tab.o1[[#This Row],[a1]]=1,Tab.o1[[#This Row],[Z-]]*_xlfn.STDEV.P(Tab.o1[B])+AVERAGE(Tab.o1[B]),"")</f>
        <v/>
      </c>
      <c r="U323" s="123" t="str">
        <f>IF(Tab.o1[[#This Row],[a1]]=1,Tab.o1[[#This Row],[z+]]*_xlfn.STDEV.P(Tab.o1[B])+AVERAGE(Tab.o1[B]),"")</f>
        <v/>
      </c>
      <c r="V323" s="124" t="str">
        <f>IF(Tab.o1[[#This Row],[a1]]=1,ABS((ABS(Tab.o1[[#This Row],[Red]]-Tab.o1[[#This Row],[Blue]]))),"")</f>
        <v/>
      </c>
      <c r="W323" s="125" t="str">
        <f>IF(Tab.o1[[#This Row],[a1]]=1,IF(W$3=0,1,Tab.o1[[#This Row],[Amp.]]*1/_xlfn.MINIFS(Tab.o1[Amp.],Tab.o1[Amp.],"&lt;&gt;0")),"")</f>
        <v/>
      </c>
      <c r="X323" s="126" t="str">
        <f>IF(Tab.o1[[#This Row],[a1]]=1,IF(ISNUMBER(Tab.o1[[#This Row],[i.]]),NORMDIST(Tab.o1[[#This Row],[Za]],0,1,FALSE)*Tab.o1[[#This Row],[i.]],AP$3),"")</f>
        <v/>
      </c>
      <c r="Y323" s="126" t="str">
        <f>IF(Tab.o1[[#This Row],[a1]]=1,0.01+0.94*Tab.o1[[#This Row],[PDF]]/MAX(Tab.o1[PDF]),"")</f>
        <v/>
      </c>
      <c r="Z323" s="126" t="str">
        <f>IF(Tab.o1[[#This Row],[a1]]=1,0.01+0.94*Tab.o1[[#This Row],[W1_PDF]]/MAX(Tab.o1[W1_PDF]),"")</f>
        <v/>
      </c>
      <c r="AA323" s="118" t="str">
        <f>IF(Tab.o1[[#This Row],[a1]]=1,ABS([1]!T.in.A[[#This Row],[oo6]]),"")</f>
        <v/>
      </c>
      <c r="AB323" s="127" t="str">
        <f>IF(Tab.o1[[#This Row],[a1]]=1,IF(AE$3=0,"",IF(AB$3=0,ABS([1]!T.in.A[[#This Row],[oo9]]),ABS(Tab.o1[[#This Row],[DIF_Target.]]*Tab.o1[[#This Row],[W1_PDF]]))),"")</f>
        <v/>
      </c>
      <c r="AC323" s="127" t="str">
        <f>IF(G$1=1,"",IF(Tab.o1[[#This Row],[a1]]=1,Tab.o1[[#This Row],[Wr]]^2,""))</f>
        <v/>
      </c>
      <c r="AD323" s="118" t="str">
        <f>IF(Tab.o1[[#This Row],[a1]]=1,IF(AE$3=0,"",Tab.o1[[#This Row],[Wr2]]/SUM(Tab.o1[Wr2])),"")</f>
        <v/>
      </c>
      <c r="AE323" s="128" t="str">
        <f>IF(Tab.o1[[#This Row],[a1]]=1,[1]!T.in.A[[#This Row],[oo10]],"")</f>
        <v/>
      </c>
      <c r="AF323" s="118" t="str">
        <f>IF(Tab.o1[[#This Row],[a1]]=1,ABS(Tab.o1[[#This Row],[DIF_Target.]]*Tab.o1[[#This Row],[PDF2]]*Tab.o1[[#This Row],[IN]]),"")</f>
        <v/>
      </c>
      <c r="AG323" s="129" t="str">
        <f>IF(Tab.o1[[#This Row],[a1]]=1,Tab.o1[[#This Row],[rW]]^2,"")</f>
        <v/>
      </c>
      <c r="AH323" s="130" t="str">
        <f>IF(Tab.o1[[#This Row],[a1]]=1,IF(AH$3=0,Tab.o1[[#This Row],[rW2]],0.01+0.94*Tab.o1[[#This Row],[rW2]]/SUM(Tab.o1[rW2])),"")</f>
        <v/>
      </c>
      <c r="AI323" s="128" t="str">
        <f>IF(Tab.o1[[#This Row],[a1]]=1,1/Tab.o1[[#This Row],[PDF]],"")</f>
        <v/>
      </c>
      <c r="AJ323" s="131" t="str">
        <f>IF(Tab.o1[[#This Row],[a1]]=1,[1]!T_AA[[#This Row],[IN'']]*[1]!T_AA[[#This Row],[Qde'']],"")</f>
        <v/>
      </c>
      <c r="AK323" s="132" t="str">
        <f>IF(Tab.o1[[#This Row],[a1]]=1,IF(AK$1=1,Tab.o1[[#This Row],[MED]]+Tab.o1[[#This Row],[MOD]]-Tab.o1[[#This Row],[MED]],""),"")</f>
        <v/>
      </c>
      <c r="AL323" s="133" t="str">
        <f>IF(Tab.o1[[#This Row],[a1]]=1,[1]!T.in.A[[#This Row],[oo16]],"")</f>
        <v/>
      </c>
      <c r="AM323" s="133" t="str">
        <f>IF(Tab.o1[[#This Row],[a1]]=1,IF(AM$3=1,[1]!T.in.A[[#This Row],[Σo16]],""),"")</f>
        <v/>
      </c>
      <c r="AN323" s="126" t="str">
        <f>IF(Tab.o1[[#This Row],[a1]]=1,[1]!T.in.A[[#This Row],[Σp5]],"")</f>
        <v/>
      </c>
      <c r="AO323" s="126" t="str">
        <f>IF(Tab.o1[[#This Row],[a1]]=1,IF(AO$3=1,[1]!T.in.A[[#This Row],[Σp5]],""),"")</f>
        <v/>
      </c>
      <c r="AP323" s="110" t="str">
        <f>IF(Tab.o1[[#This Row],[a1]]=1,IF(ISNUMBER(Tab.o1[[#This Row],[i.]]),NORMDIST(Tab.o1[[#This Row],[Za]],0,1,FALSE)*Tab.o1[[#This Row],[i.]],0),"")</f>
        <v/>
      </c>
      <c r="AQ323" s="125" t="str">
        <f>IF(Tab.o1[[#This Row],[a1]]=1,ABS(Tab.o1[[#This Row],[MOD]]-AVERAGE(Tab.o1[MOD])),"")</f>
        <v/>
      </c>
      <c r="AR323" s="134" t="str">
        <f>IF(Tab.o1[[#This Row],[a1]]=1,Tab.o1[[#This Row],[OBS]]/SUM(Tab.o1[OBS]),"")</f>
        <v/>
      </c>
      <c r="AS323" s="135" t="str">
        <f>IF(ISNUMBER(Tab.o1[[#This Row],[a1]]),ROW()-4,"")</f>
        <v/>
      </c>
      <c r="AT323" s="136" t="str">
        <f>Tab.o1[[#This Row],[MOD]]</f>
        <v/>
      </c>
      <c r="AU323" s="137" t="str">
        <f t="shared" si="17"/>
        <v/>
      </c>
      <c r="AV323" s="138" t="str">
        <f t="shared" si="18"/>
        <v/>
      </c>
      <c r="AW323" s="138" t="str">
        <f t="shared" si="19"/>
        <v/>
      </c>
      <c r="AX323" s="139" t="str">
        <f>[1]!T.in.A[[#This Row],[ID_T_manu]]</f>
        <v/>
      </c>
      <c r="AY323" s="140" t="str">
        <f>IF(ISNUMBER(Tab.o1[[#This Row],[a1]]),IF(AND(Tab.o1[[#This Row],[a1]]=1,Tab.o1[[#This Row],[b1]]&lt;=AY$4),#REF!,AY322),"")</f>
        <v/>
      </c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</row>
    <row r="324" spans="1:79" ht="15.75" hidden="1">
      <c r="A324" s="109">
        <v>9.0000000000000002E-6</v>
      </c>
      <c r="B324" s="110">
        <f t="shared" si="16"/>
        <v>324</v>
      </c>
      <c r="C324" s="111" t="str">
        <f>IF(C$1=[1]!T.in.A[[#This Row],[oo2]],1,"")</f>
        <v/>
      </c>
      <c r="D324" s="112" t="str">
        <f>IF(Tab.o1[[#This Row],[a1]]=1,IF(SUM(C324:C325)=0,0,IF(SUM(C323:C324)=1,1,IF(SUM(C323:C325)&gt;1,D323+1,0))),"")</f>
        <v/>
      </c>
      <c r="E324" s="113" t="str">
        <f>IF(Tab.o1[[#This Row],[a1]]=1,[1]!T.in.A[[#This Row],[oo1]],"")</f>
        <v/>
      </c>
      <c r="F324" s="113" t="str">
        <f>IF(Tab.o1[[#This Row],[a1]]=1,[1]!T.in.A[[#This Row],[pp1]],"")</f>
        <v/>
      </c>
      <c r="G324" s="114" t="str">
        <f>IF(Tab.o1[[#This Row],[a1]]=1,G$2+IF(G$1=1,0,Tab.o1[[#This Row],[.x1]])+[1]!T.in.A[[#This Row],[oo3]],"")</f>
        <v/>
      </c>
      <c r="H324" s="115" t="str">
        <f>IF(Tab.o1[[#This Row],[a1]]=1,IF(H$2=0,0,IF(G$1=1,0,Tab.o1[[#This Row],[.x1]])+[1]!T.in.A[[#This Row],[oo4]]),"")</f>
        <v/>
      </c>
      <c r="I324" s="116" t="str">
        <f>IF(Tab.o1[[#This Row],[a1]]=1,IF(J$2=0,Tab.o1[[#This Row],[MED]],Tab.o1[[#This Row],[MOD]]),"")</f>
        <v/>
      </c>
      <c r="J324" s="116" t="str">
        <f>IF(Tab.o1[[#This Row],[a1]]=1,((Tab.o1[[#This Row],[DIF_Target.]]-AVERAGE(Tab.o1[DIF_Target.]))/_xlfn.STDEV.P(Tab.o1[DIF_Target.])),"")</f>
        <v/>
      </c>
      <c r="K324" s="117" t="str">
        <f>IF(Tab.o1[[#This Row],[a1]]=1,IF(J$2=0,Tab.o1[[#This Row],[MOD]]-Tab.o1[[#This Row],[B]],IF(J$2=1,0,-Tab.o1[[#This Row],[MED]])+Tab.o1[[#This Row],[B]]),"")</f>
        <v/>
      </c>
      <c r="L324" s="117" t="str">
        <f ca="1">IF(Tab.o1[[#This Row],[DIF_Target]]=0,IF(L$2=0,Tab.o1[[#This Row],[DIF_Target]],AVERAGE(OFFSET(Tab.o1[[#This Row],[DIF_Target]],1,0,L$3,1)))/3,Tab.o1[[#This Row],[DIF_Target]])</f>
        <v/>
      </c>
      <c r="M324" s="118" t="str">
        <f>IF(Tab.o1[[#This Row],[a1]]=1,NORMSDIST(Tab.o1[[#This Row],[Za]]),"")</f>
        <v/>
      </c>
      <c r="N324" s="119" t="str">
        <f>IF(Tab.o1[[#This Row],[a1]]=1,((Tab.o1[[#This Row],[MedMod]]-AVERAGE(Tab.o1[MedMod]))/_xlfn.STDEV.P(Tab.o1[MedMod])*H$1205)+G$1205,"")</f>
        <v/>
      </c>
      <c r="O324" s="141" t="str">
        <f>IF(Tab.o1[[#This Row],[a1]]=1,Tab.o1[[#This Row],[Zb]]*_xlfn.STDEV.P(Tab.o1[MedMod])+AVERAGE(Tab.o1[MedMod]),"")</f>
        <v/>
      </c>
      <c r="P324" s="117" t="str">
        <f ca="1">IF(Tab.o1[[#This Row],[B]]=0,AVERAGE(OFFSET(Tab.o1[[#This Row],[B]],1,0,L$3,1)),Tab.o1[[#This Row],[B]])</f>
        <v/>
      </c>
      <c r="Q324" s="121" t="str">
        <f>IF(Tab.o1[[#This Row],[a1]]=1,NORMSDIST(Tab.o1[[#This Row],[Zb]]),"")</f>
        <v/>
      </c>
      <c r="R324" s="122" t="str">
        <f>IF(Tab.o1[[#This Row],[a1]]=1,((Tab.o1[[#This Row],[MedMod]]-AVERAGE(Tab.o1[MedMod]))/_xlfn.STDEV.P(Tab.o1[MedMod])*H$1203)+G$1203,"")</f>
        <v/>
      </c>
      <c r="S324" s="122" t="str">
        <f>IF(Tab.o1[[#This Row],[a1]]=1,((Tab.o1[[#This Row],[MedMod]]-AVERAGE(Tab.o1[MedMod]))/_xlfn.STDEV.P(Tab.o1[MedMod])*H$1204)+G$1204,"")</f>
        <v/>
      </c>
      <c r="T324" s="123" t="str">
        <f>IF(Tab.o1[[#This Row],[a1]]=1,Tab.o1[[#This Row],[Z-]]*_xlfn.STDEV.P(Tab.o1[B])+AVERAGE(Tab.o1[B]),"")</f>
        <v/>
      </c>
      <c r="U324" s="123" t="str">
        <f>IF(Tab.o1[[#This Row],[a1]]=1,Tab.o1[[#This Row],[z+]]*_xlfn.STDEV.P(Tab.o1[B])+AVERAGE(Tab.o1[B]),"")</f>
        <v/>
      </c>
      <c r="V324" s="124" t="str">
        <f>IF(Tab.o1[[#This Row],[a1]]=1,ABS((ABS(Tab.o1[[#This Row],[Red]]-Tab.o1[[#This Row],[Blue]]))),"")</f>
        <v/>
      </c>
      <c r="W324" s="125" t="str">
        <f>IF(Tab.o1[[#This Row],[a1]]=1,IF(W$3=0,1,Tab.o1[[#This Row],[Amp.]]*1/_xlfn.MINIFS(Tab.o1[Amp.],Tab.o1[Amp.],"&lt;&gt;0")),"")</f>
        <v/>
      </c>
      <c r="X324" s="126" t="str">
        <f>IF(Tab.o1[[#This Row],[a1]]=1,IF(ISNUMBER(Tab.o1[[#This Row],[i.]]),NORMDIST(Tab.o1[[#This Row],[Za]],0,1,FALSE)*Tab.o1[[#This Row],[i.]],AP$3),"")</f>
        <v/>
      </c>
      <c r="Y324" s="126" t="str">
        <f>IF(Tab.o1[[#This Row],[a1]]=1,0.01+0.94*Tab.o1[[#This Row],[PDF]]/MAX(Tab.o1[PDF]),"")</f>
        <v/>
      </c>
      <c r="Z324" s="126" t="str">
        <f>IF(Tab.o1[[#This Row],[a1]]=1,0.01+0.94*Tab.o1[[#This Row],[W1_PDF]]/MAX(Tab.o1[W1_PDF]),"")</f>
        <v/>
      </c>
      <c r="AA324" s="118" t="str">
        <f>IF(Tab.o1[[#This Row],[a1]]=1,ABS([1]!T.in.A[[#This Row],[oo6]]),"")</f>
        <v/>
      </c>
      <c r="AB324" s="127" t="str">
        <f>IF(Tab.o1[[#This Row],[a1]]=1,IF(AE$3=0,"",IF(AB$3=0,ABS([1]!T.in.A[[#This Row],[oo9]]),ABS(Tab.o1[[#This Row],[DIF_Target.]]*Tab.o1[[#This Row],[W1_PDF]]))),"")</f>
        <v/>
      </c>
      <c r="AC324" s="127" t="str">
        <f>IF(G$1=1,"",IF(Tab.o1[[#This Row],[a1]]=1,Tab.o1[[#This Row],[Wr]]^2,""))</f>
        <v/>
      </c>
      <c r="AD324" s="118" t="str">
        <f>IF(Tab.o1[[#This Row],[a1]]=1,IF(AE$3=0,"",Tab.o1[[#This Row],[Wr2]]/SUM(Tab.o1[Wr2])),"")</f>
        <v/>
      </c>
      <c r="AE324" s="128" t="str">
        <f>IF(Tab.o1[[#This Row],[a1]]=1,[1]!T.in.A[[#This Row],[oo10]],"")</f>
        <v/>
      </c>
      <c r="AF324" s="118" t="str">
        <f>IF(Tab.o1[[#This Row],[a1]]=1,ABS(Tab.o1[[#This Row],[DIF_Target.]]*Tab.o1[[#This Row],[PDF2]]*Tab.o1[[#This Row],[IN]]),"")</f>
        <v/>
      </c>
      <c r="AG324" s="129" t="str">
        <f>IF(Tab.o1[[#This Row],[a1]]=1,Tab.o1[[#This Row],[rW]]^2,"")</f>
        <v/>
      </c>
      <c r="AH324" s="130" t="str">
        <f>IF(Tab.o1[[#This Row],[a1]]=1,IF(AH$3=0,Tab.o1[[#This Row],[rW2]],0.01+0.94*Tab.o1[[#This Row],[rW2]]/SUM(Tab.o1[rW2])),"")</f>
        <v/>
      </c>
      <c r="AI324" s="128" t="str">
        <f>IF(Tab.o1[[#This Row],[a1]]=1,1/Tab.o1[[#This Row],[PDF]],"")</f>
        <v/>
      </c>
      <c r="AJ324" s="131" t="str">
        <f>IF(Tab.o1[[#This Row],[a1]]=1,[1]!T_AA[[#This Row],[IN'']]*[1]!T_AA[[#This Row],[Qde'']],"")</f>
        <v/>
      </c>
      <c r="AK324" s="132" t="str">
        <f>IF(Tab.o1[[#This Row],[a1]]=1,IF(AK$1=1,Tab.o1[[#This Row],[MED]]+Tab.o1[[#This Row],[MOD]]-Tab.o1[[#This Row],[MED]],""),"")</f>
        <v/>
      </c>
      <c r="AL324" s="133" t="str">
        <f>IF(Tab.o1[[#This Row],[a1]]=1,[1]!T.in.A[[#This Row],[oo16]],"")</f>
        <v/>
      </c>
      <c r="AM324" s="133" t="str">
        <f>IF(Tab.o1[[#This Row],[a1]]=1,IF(AM$3=1,[1]!T.in.A[[#This Row],[Σo16]],""),"")</f>
        <v/>
      </c>
      <c r="AN324" s="126" t="str">
        <f>IF(Tab.o1[[#This Row],[a1]]=1,[1]!T.in.A[[#This Row],[Σp5]],"")</f>
        <v/>
      </c>
      <c r="AO324" s="126" t="str">
        <f>IF(Tab.o1[[#This Row],[a1]]=1,IF(AO$3=1,[1]!T.in.A[[#This Row],[Σp5]],""),"")</f>
        <v/>
      </c>
      <c r="AP324" s="110" t="str">
        <f>IF(Tab.o1[[#This Row],[a1]]=1,IF(ISNUMBER(Tab.o1[[#This Row],[i.]]),NORMDIST(Tab.o1[[#This Row],[Za]],0,1,FALSE)*Tab.o1[[#This Row],[i.]],0),"")</f>
        <v/>
      </c>
      <c r="AQ324" s="125" t="str">
        <f>IF(Tab.o1[[#This Row],[a1]]=1,ABS(Tab.o1[[#This Row],[MOD]]-AVERAGE(Tab.o1[MOD])),"")</f>
        <v/>
      </c>
      <c r="AR324" s="134" t="str">
        <f>IF(Tab.o1[[#This Row],[a1]]=1,Tab.o1[[#This Row],[OBS]]/SUM(Tab.o1[OBS]),"")</f>
        <v/>
      </c>
      <c r="AS324" s="135" t="str">
        <f>IF(ISNUMBER(Tab.o1[[#This Row],[a1]]),ROW()-4,"")</f>
        <v/>
      </c>
      <c r="AT324" s="136" t="str">
        <f>Tab.o1[[#This Row],[MOD]]</f>
        <v/>
      </c>
      <c r="AU324" s="137" t="str">
        <f t="shared" si="17"/>
        <v/>
      </c>
      <c r="AV324" s="138" t="str">
        <f t="shared" si="18"/>
        <v/>
      </c>
      <c r="AW324" s="138" t="str">
        <f t="shared" si="19"/>
        <v/>
      </c>
      <c r="AX324" s="139" t="str">
        <f>[1]!T.in.A[[#This Row],[ID_T_manu]]</f>
        <v/>
      </c>
      <c r="AY324" s="140" t="str">
        <f>IF(ISNUMBER(Tab.o1[[#This Row],[a1]]),IF(AND(Tab.o1[[#This Row],[a1]]=1,Tab.o1[[#This Row],[b1]]&lt;=AY$4),#REF!,AY323),"")</f>
        <v/>
      </c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</row>
    <row r="325" spans="1:79" ht="15.75" hidden="1">
      <c r="A325" s="109">
        <v>-5.0000000000000004E-6</v>
      </c>
      <c r="B325" s="110">
        <f t="shared" si="16"/>
        <v>325</v>
      </c>
      <c r="C325" s="111" t="str">
        <f>IF(C$1=[1]!T.in.A[[#This Row],[oo2]],1,"")</f>
        <v/>
      </c>
      <c r="D325" s="112" t="str">
        <f>IF(Tab.o1[[#This Row],[a1]]=1,IF(SUM(C325:C326)=0,0,IF(SUM(C324:C325)=1,1,IF(SUM(C324:C326)&gt;1,D324+1,0))),"")</f>
        <v/>
      </c>
      <c r="E325" s="113" t="str">
        <f>IF(Tab.o1[[#This Row],[a1]]=1,[1]!T.in.A[[#This Row],[oo1]],"")</f>
        <v/>
      </c>
      <c r="F325" s="113" t="str">
        <f>IF(Tab.o1[[#This Row],[a1]]=1,[1]!T.in.A[[#This Row],[pp1]],"")</f>
        <v/>
      </c>
      <c r="G325" s="114" t="str">
        <f>IF(Tab.o1[[#This Row],[a1]]=1,G$2+IF(G$1=1,0,Tab.o1[[#This Row],[.x1]])+[1]!T.in.A[[#This Row],[oo3]],"")</f>
        <v/>
      </c>
      <c r="H325" s="115" t="str">
        <f>IF(Tab.o1[[#This Row],[a1]]=1,IF(H$2=0,0,IF(G$1=1,0,Tab.o1[[#This Row],[.x1]])+[1]!T.in.A[[#This Row],[oo4]]),"")</f>
        <v/>
      </c>
      <c r="I325" s="116" t="str">
        <f>IF(Tab.o1[[#This Row],[a1]]=1,IF(J$2=0,Tab.o1[[#This Row],[MED]],Tab.o1[[#This Row],[MOD]]),"")</f>
        <v/>
      </c>
      <c r="J325" s="116" t="str">
        <f>IF(Tab.o1[[#This Row],[a1]]=1,((Tab.o1[[#This Row],[DIF_Target.]]-AVERAGE(Tab.o1[DIF_Target.]))/_xlfn.STDEV.P(Tab.o1[DIF_Target.])),"")</f>
        <v/>
      </c>
      <c r="K325" s="117" t="str">
        <f>IF(Tab.o1[[#This Row],[a1]]=1,IF(J$2=0,Tab.o1[[#This Row],[MOD]]-Tab.o1[[#This Row],[B]],IF(J$2=1,0,-Tab.o1[[#This Row],[MED]])+Tab.o1[[#This Row],[B]]),"")</f>
        <v/>
      </c>
      <c r="L325" s="117" t="str">
        <f ca="1">IF(Tab.o1[[#This Row],[DIF_Target]]=0,IF(L$2=0,Tab.o1[[#This Row],[DIF_Target]],AVERAGE(OFFSET(Tab.o1[[#This Row],[DIF_Target]],1,0,L$3,1)))/3,Tab.o1[[#This Row],[DIF_Target]])</f>
        <v/>
      </c>
      <c r="M325" s="118" t="str">
        <f>IF(Tab.o1[[#This Row],[a1]]=1,NORMSDIST(Tab.o1[[#This Row],[Za]]),"")</f>
        <v/>
      </c>
      <c r="N325" s="119" t="str">
        <f>IF(Tab.o1[[#This Row],[a1]]=1,((Tab.o1[[#This Row],[MedMod]]-AVERAGE(Tab.o1[MedMod]))/_xlfn.STDEV.P(Tab.o1[MedMod])*H$1205)+G$1205,"")</f>
        <v/>
      </c>
      <c r="O325" s="141" t="str">
        <f>IF(Tab.o1[[#This Row],[a1]]=1,Tab.o1[[#This Row],[Zb]]*_xlfn.STDEV.P(Tab.o1[MedMod])+AVERAGE(Tab.o1[MedMod]),"")</f>
        <v/>
      </c>
      <c r="P325" s="117" t="str">
        <f ca="1">IF(Tab.o1[[#This Row],[B]]=0,AVERAGE(OFFSET(Tab.o1[[#This Row],[B]],1,0,L$3,1)),Tab.o1[[#This Row],[B]])</f>
        <v/>
      </c>
      <c r="Q325" s="121" t="str">
        <f>IF(Tab.o1[[#This Row],[a1]]=1,NORMSDIST(Tab.o1[[#This Row],[Zb]]),"")</f>
        <v/>
      </c>
      <c r="R325" s="122" t="str">
        <f>IF(Tab.o1[[#This Row],[a1]]=1,((Tab.o1[[#This Row],[MedMod]]-AVERAGE(Tab.o1[MedMod]))/_xlfn.STDEV.P(Tab.o1[MedMod])*H$1203)+G$1203,"")</f>
        <v/>
      </c>
      <c r="S325" s="122" t="str">
        <f>IF(Tab.o1[[#This Row],[a1]]=1,((Tab.o1[[#This Row],[MedMod]]-AVERAGE(Tab.o1[MedMod]))/_xlfn.STDEV.P(Tab.o1[MedMod])*H$1204)+G$1204,"")</f>
        <v/>
      </c>
      <c r="T325" s="123" t="str">
        <f>IF(Tab.o1[[#This Row],[a1]]=1,Tab.o1[[#This Row],[Z-]]*_xlfn.STDEV.P(Tab.o1[B])+AVERAGE(Tab.o1[B]),"")</f>
        <v/>
      </c>
      <c r="U325" s="123" t="str">
        <f>IF(Tab.o1[[#This Row],[a1]]=1,Tab.o1[[#This Row],[z+]]*_xlfn.STDEV.P(Tab.o1[B])+AVERAGE(Tab.o1[B]),"")</f>
        <v/>
      </c>
      <c r="V325" s="124" t="str">
        <f>IF(Tab.o1[[#This Row],[a1]]=1,ABS((ABS(Tab.o1[[#This Row],[Red]]-Tab.o1[[#This Row],[Blue]]))),"")</f>
        <v/>
      </c>
      <c r="W325" s="125" t="str">
        <f>IF(Tab.o1[[#This Row],[a1]]=1,IF(W$3=0,1,Tab.o1[[#This Row],[Amp.]]*1/_xlfn.MINIFS(Tab.o1[Amp.],Tab.o1[Amp.],"&lt;&gt;0")),"")</f>
        <v/>
      </c>
      <c r="X325" s="126" t="str">
        <f>IF(Tab.o1[[#This Row],[a1]]=1,IF(ISNUMBER(Tab.o1[[#This Row],[i.]]),NORMDIST(Tab.o1[[#This Row],[Za]],0,1,FALSE)*Tab.o1[[#This Row],[i.]],AP$3),"")</f>
        <v/>
      </c>
      <c r="Y325" s="126" t="str">
        <f>IF(Tab.o1[[#This Row],[a1]]=1,0.01+0.94*Tab.o1[[#This Row],[PDF]]/MAX(Tab.o1[PDF]),"")</f>
        <v/>
      </c>
      <c r="Z325" s="126" t="str">
        <f>IF(Tab.o1[[#This Row],[a1]]=1,0.01+0.94*Tab.o1[[#This Row],[W1_PDF]]/MAX(Tab.o1[W1_PDF]),"")</f>
        <v/>
      </c>
      <c r="AA325" s="118" t="str">
        <f>IF(Tab.o1[[#This Row],[a1]]=1,ABS([1]!T.in.A[[#This Row],[oo6]]),"")</f>
        <v/>
      </c>
      <c r="AB325" s="127" t="str">
        <f>IF(Tab.o1[[#This Row],[a1]]=1,IF(AE$3=0,"",IF(AB$3=0,ABS([1]!T.in.A[[#This Row],[oo9]]),ABS(Tab.o1[[#This Row],[DIF_Target.]]*Tab.o1[[#This Row],[W1_PDF]]))),"")</f>
        <v/>
      </c>
      <c r="AC325" s="127" t="str">
        <f>IF(G$1=1,"",IF(Tab.o1[[#This Row],[a1]]=1,Tab.o1[[#This Row],[Wr]]^2,""))</f>
        <v/>
      </c>
      <c r="AD325" s="118" t="str">
        <f>IF(Tab.o1[[#This Row],[a1]]=1,IF(AE$3=0,"",Tab.o1[[#This Row],[Wr2]]/SUM(Tab.o1[Wr2])),"")</f>
        <v/>
      </c>
      <c r="AE325" s="128" t="str">
        <f>IF(Tab.o1[[#This Row],[a1]]=1,[1]!T.in.A[[#This Row],[oo10]],"")</f>
        <v/>
      </c>
      <c r="AF325" s="118" t="str">
        <f>IF(Tab.o1[[#This Row],[a1]]=1,ABS(Tab.o1[[#This Row],[DIF_Target.]]*Tab.o1[[#This Row],[PDF2]]*Tab.o1[[#This Row],[IN]]),"")</f>
        <v/>
      </c>
      <c r="AG325" s="129" t="str">
        <f>IF(Tab.o1[[#This Row],[a1]]=1,Tab.o1[[#This Row],[rW]]^2,"")</f>
        <v/>
      </c>
      <c r="AH325" s="130" t="str">
        <f>IF(Tab.o1[[#This Row],[a1]]=1,IF(AH$3=0,Tab.o1[[#This Row],[rW2]],0.01+0.94*Tab.o1[[#This Row],[rW2]]/SUM(Tab.o1[rW2])),"")</f>
        <v/>
      </c>
      <c r="AI325" s="128" t="str">
        <f>IF(Tab.o1[[#This Row],[a1]]=1,1/Tab.o1[[#This Row],[PDF]],"")</f>
        <v/>
      </c>
      <c r="AJ325" s="131" t="str">
        <f>IF(Tab.o1[[#This Row],[a1]]=1,[1]!T_AA[[#This Row],[IN'']]*[1]!T_AA[[#This Row],[Qde'']],"")</f>
        <v/>
      </c>
      <c r="AK325" s="132" t="str">
        <f>IF(Tab.o1[[#This Row],[a1]]=1,IF(AK$1=1,Tab.o1[[#This Row],[MED]]+Tab.o1[[#This Row],[MOD]]-Tab.o1[[#This Row],[MED]],""),"")</f>
        <v/>
      </c>
      <c r="AL325" s="133" t="str">
        <f>IF(Tab.o1[[#This Row],[a1]]=1,[1]!T.in.A[[#This Row],[oo16]],"")</f>
        <v/>
      </c>
      <c r="AM325" s="133" t="str">
        <f>IF(Tab.o1[[#This Row],[a1]]=1,IF(AM$3=1,[1]!T.in.A[[#This Row],[Σo16]],""),"")</f>
        <v/>
      </c>
      <c r="AN325" s="126" t="str">
        <f>IF(Tab.o1[[#This Row],[a1]]=1,[1]!T.in.A[[#This Row],[Σp5]],"")</f>
        <v/>
      </c>
      <c r="AO325" s="126" t="str">
        <f>IF(Tab.o1[[#This Row],[a1]]=1,IF(AO$3=1,[1]!T.in.A[[#This Row],[Σp5]],""),"")</f>
        <v/>
      </c>
      <c r="AP325" s="110" t="str">
        <f>IF(Tab.o1[[#This Row],[a1]]=1,IF(ISNUMBER(Tab.o1[[#This Row],[i.]]),NORMDIST(Tab.o1[[#This Row],[Za]],0,1,FALSE)*Tab.o1[[#This Row],[i.]],0),"")</f>
        <v/>
      </c>
      <c r="AQ325" s="125" t="str">
        <f>IF(Tab.o1[[#This Row],[a1]]=1,ABS(Tab.o1[[#This Row],[MOD]]-AVERAGE(Tab.o1[MOD])),"")</f>
        <v/>
      </c>
      <c r="AR325" s="134" t="str">
        <f>IF(Tab.o1[[#This Row],[a1]]=1,Tab.o1[[#This Row],[OBS]]/SUM(Tab.o1[OBS]),"")</f>
        <v/>
      </c>
      <c r="AS325" s="135" t="str">
        <f>IF(ISNUMBER(Tab.o1[[#This Row],[a1]]),ROW()-4,"")</f>
        <v/>
      </c>
      <c r="AT325" s="136" t="str">
        <f>Tab.o1[[#This Row],[MOD]]</f>
        <v/>
      </c>
      <c r="AU325" s="137" t="str">
        <f t="shared" si="17"/>
        <v/>
      </c>
      <c r="AV325" s="138" t="str">
        <f t="shared" si="18"/>
        <v/>
      </c>
      <c r="AW325" s="138" t="str">
        <f t="shared" si="19"/>
        <v/>
      </c>
      <c r="AX325" s="139" t="str">
        <f>[1]!T.in.A[[#This Row],[ID_T_manu]]</f>
        <v/>
      </c>
      <c r="AY325" s="140" t="str">
        <f>IF(ISNUMBER(Tab.o1[[#This Row],[a1]]),IF(AND(Tab.o1[[#This Row],[a1]]=1,Tab.o1[[#This Row],[b1]]&lt;=AY$4),#REF!,AY324),"")</f>
        <v/>
      </c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</row>
    <row r="326" spans="1:79" ht="15.75" hidden="1">
      <c r="A326" s="109">
        <v>5.0000000000000004E-6</v>
      </c>
      <c r="B326" s="110">
        <f t="shared" ref="B326:B389" si="20">B325+1</f>
        <v>326</v>
      </c>
      <c r="C326" s="111" t="str">
        <f>IF(C$1=[1]!T.in.A[[#This Row],[oo2]],1,"")</f>
        <v/>
      </c>
      <c r="D326" s="112" t="str">
        <f>IF(Tab.o1[[#This Row],[a1]]=1,IF(SUM(C326:C327)=0,0,IF(SUM(C325:C326)=1,1,IF(SUM(C325:C327)&gt;1,D325+1,0))),"")</f>
        <v/>
      </c>
      <c r="E326" s="113" t="str">
        <f>IF(Tab.o1[[#This Row],[a1]]=1,[1]!T.in.A[[#This Row],[oo1]],"")</f>
        <v/>
      </c>
      <c r="F326" s="113" t="str">
        <f>IF(Tab.o1[[#This Row],[a1]]=1,[1]!T.in.A[[#This Row],[pp1]],"")</f>
        <v/>
      </c>
      <c r="G326" s="114" t="str">
        <f>IF(Tab.o1[[#This Row],[a1]]=1,G$2+IF(G$1=1,0,Tab.o1[[#This Row],[.x1]])+[1]!T.in.A[[#This Row],[oo3]],"")</f>
        <v/>
      </c>
      <c r="H326" s="115" t="str">
        <f>IF(Tab.o1[[#This Row],[a1]]=1,IF(H$2=0,0,IF(G$1=1,0,Tab.o1[[#This Row],[.x1]])+[1]!T.in.A[[#This Row],[oo4]]),"")</f>
        <v/>
      </c>
      <c r="I326" s="116" t="str">
        <f>IF(Tab.o1[[#This Row],[a1]]=1,IF(J$2=0,Tab.o1[[#This Row],[MED]],Tab.o1[[#This Row],[MOD]]),"")</f>
        <v/>
      </c>
      <c r="J326" s="116" t="str">
        <f>IF(Tab.o1[[#This Row],[a1]]=1,((Tab.o1[[#This Row],[DIF_Target.]]-AVERAGE(Tab.o1[DIF_Target.]))/_xlfn.STDEV.P(Tab.o1[DIF_Target.])),"")</f>
        <v/>
      </c>
      <c r="K326" s="117" t="str">
        <f>IF(Tab.o1[[#This Row],[a1]]=1,IF(J$2=0,Tab.o1[[#This Row],[MOD]]-Tab.o1[[#This Row],[B]],IF(J$2=1,0,-Tab.o1[[#This Row],[MED]])+Tab.o1[[#This Row],[B]]),"")</f>
        <v/>
      </c>
      <c r="L326" s="117" t="str">
        <f ca="1">IF(Tab.o1[[#This Row],[DIF_Target]]=0,IF(L$2=0,Tab.o1[[#This Row],[DIF_Target]],AVERAGE(OFFSET(Tab.o1[[#This Row],[DIF_Target]],1,0,L$3,1)))/3,Tab.o1[[#This Row],[DIF_Target]])</f>
        <v/>
      </c>
      <c r="M326" s="118" t="str">
        <f>IF(Tab.o1[[#This Row],[a1]]=1,NORMSDIST(Tab.o1[[#This Row],[Za]]),"")</f>
        <v/>
      </c>
      <c r="N326" s="119" t="str">
        <f>IF(Tab.o1[[#This Row],[a1]]=1,((Tab.o1[[#This Row],[MedMod]]-AVERAGE(Tab.o1[MedMod]))/_xlfn.STDEV.P(Tab.o1[MedMod])*H$1205)+G$1205,"")</f>
        <v/>
      </c>
      <c r="O326" s="141" t="str">
        <f>IF(Tab.o1[[#This Row],[a1]]=1,Tab.o1[[#This Row],[Zb]]*_xlfn.STDEV.P(Tab.o1[MedMod])+AVERAGE(Tab.o1[MedMod]),"")</f>
        <v/>
      </c>
      <c r="P326" s="117" t="str">
        <f ca="1">IF(Tab.o1[[#This Row],[B]]=0,AVERAGE(OFFSET(Tab.o1[[#This Row],[B]],1,0,L$3,1)),Tab.o1[[#This Row],[B]])</f>
        <v/>
      </c>
      <c r="Q326" s="121" t="str">
        <f>IF(Tab.o1[[#This Row],[a1]]=1,NORMSDIST(Tab.o1[[#This Row],[Zb]]),"")</f>
        <v/>
      </c>
      <c r="R326" s="122" t="str">
        <f>IF(Tab.o1[[#This Row],[a1]]=1,((Tab.o1[[#This Row],[MedMod]]-AVERAGE(Tab.o1[MedMod]))/_xlfn.STDEV.P(Tab.o1[MedMod])*H$1203)+G$1203,"")</f>
        <v/>
      </c>
      <c r="S326" s="122" t="str">
        <f>IF(Tab.o1[[#This Row],[a1]]=1,((Tab.o1[[#This Row],[MedMod]]-AVERAGE(Tab.o1[MedMod]))/_xlfn.STDEV.P(Tab.o1[MedMod])*H$1204)+G$1204,"")</f>
        <v/>
      </c>
      <c r="T326" s="123" t="str">
        <f>IF(Tab.o1[[#This Row],[a1]]=1,Tab.o1[[#This Row],[Z-]]*_xlfn.STDEV.P(Tab.o1[B])+AVERAGE(Tab.o1[B]),"")</f>
        <v/>
      </c>
      <c r="U326" s="123" t="str">
        <f>IF(Tab.o1[[#This Row],[a1]]=1,Tab.o1[[#This Row],[z+]]*_xlfn.STDEV.P(Tab.o1[B])+AVERAGE(Tab.o1[B]),"")</f>
        <v/>
      </c>
      <c r="V326" s="124" t="str">
        <f>IF(Tab.o1[[#This Row],[a1]]=1,ABS((ABS(Tab.o1[[#This Row],[Red]]-Tab.o1[[#This Row],[Blue]]))),"")</f>
        <v/>
      </c>
      <c r="W326" s="125" t="str">
        <f>IF(Tab.o1[[#This Row],[a1]]=1,IF(W$3=0,1,Tab.o1[[#This Row],[Amp.]]*1/_xlfn.MINIFS(Tab.o1[Amp.],Tab.o1[Amp.],"&lt;&gt;0")),"")</f>
        <v/>
      </c>
      <c r="X326" s="126" t="str">
        <f>IF(Tab.o1[[#This Row],[a1]]=1,IF(ISNUMBER(Tab.o1[[#This Row],[i.]]),NORMDIST(Tab.o1[[#This Row],[Za]],0,1,FALSE)*Tab.o1[[#This Row],[i.]],AP$3),"")</f>
        <v/>
      </c>
      <c r="Y326" s="126" t="str">
        <f>IF(Tab.o1[[#This Row],[a1]]=1,0.01+0.94*Tab.o1[[#This Row],[PDF]]/MAX(Tab.o1[PDF]),"")</f>
        <v/>
      </c>
      <c r="Z326" s="126" t="str">
        <f>IF(Tab.o1[[#This Row],[a1]]=1,0.01+0.94*Tab.o1[[#This Row],[W1_PDF]]/MAX(Tab.o1[W1_PDF]),"")</f>
        <v/>
      </c>
      <c r="AA326" s="118" t="str">
        <f>IF(Tab.o1[[#This Row],[a1]]=1,ABS([1]!T.in.A[[#This Row],[oo6]]),"")</f>
        <v/>
      </c>
      <c r="AB326" s="127" t="str">
        <f>IF(Tab.o1[[#This Row],[a1]]=1,IF(AE$3=0,"",IF(AB$3=0,ABS([1]!T.in.A[[#This Row],[oo9]]),ABS(Tab.o1[[#This Row],[DIF_Target.]]*Tab.o1[[#This Row],[W1_PDF]]))),"")</f>
        <v/>
      </c>
      <c r="AC326" s="127" t="str">
        <f>IF(G$1=1,"",IF(Tab.o1[[#This Row],[a1]]=1,Tab.o1[[#This Row],[Wr]]^2,""))</f>
        <v/>
      </c>
      <c r="AD326" s="118" t="str">
        <f>IF(Tab.o1[[#This Row],[a1]]=1,IF(AE$3=0,"",Tab.o1[[#This Row],[Wr2]]/SUM(Tab.o1[Wr2])),"")</f>
        <v/>
      </c>
      <c r="AE326" s="128" t="str">
        <f>IF(Tab.o1[[#This Row],[a1]]=1,[1]!T.in.A[[#This Row],[oo10]],"")</f>
        <v/>
      </c>
      <c r="AF326" s="118" t="str">
        <f>IF(Tab.o1[[#This Row],[a1]]=1,ABS(Tab.o1[[#This Row],[DIF_Target.]]*Tab.o1[[#This Row],[PDF2]]*Tab.o1[[#This Row],[IN]]),"")</f>
        <v/>
      </c>
      <c r="AG326" s="129" t="str">
        <f>IF(Tab.o1[[#This Row],[a1]]=1,Tab.o1[[#This Row],[rW]]^2,"")</f>
        <v/>
      </c>
      <c r="AH326" s="130" t="str">
        <f>IF(Tab.o1[[#This Row],[a1]]=1,IF(AH$3=0,Tab.o1[[#This Row],[rW2]],0.01+0.94*Tab.o1[[#This Row],[rW2]]/SUM(Tab.o1[rW2])),"")</f>
        <v/>
      </c>
      <c r="AI326" s="128" t="str">
        <f>IF(Tab.o1[[#This Row],[a1]]=1,1/Tab.o1[[#This Row],[PDF]],"")</f>
        <v/>
      </c>
      <c r="AJ326" s="131" t="str">
        <f>IF(Tab.o1[[#This Row],[a1]]=1,[1]!T_AA[[#This Row],[IN'']]*[1]!T_AA[[#This Row],[Qde'']],"")</f>
        <v/>
      </c>
      <c r="AK326" s="132" t="str">
        <f>IF(Tab.o1[[#This Row],[a1]]=1,IF(AK$1=1,Tab.o1[[#This Row],[MED]]+Tab.o1[[#This Row],[MOD]]-Tab.o1[[#This Row],[MED]],""),"")</f>
        <v/>
      </c>
      <c r="AL326" s="133" t="str">
        <f>IF(Tab.o1[[#This Row],[a1]]=1,[1]!T.in.A[[#This Row],[oo16]],"")</f>
        <v/>
      </c>
      <c r="AM326" s="133" t="str">
        <f>IF(Tab.o1[[#This Row],[a1]]=1,IF(AM$3=1,[1]!T.in.A[[#This Row],[Σo16]],""),"")</f>
        <v/>
      </c>
      <c r="AN326" s="126" t="str">
        <f>IF(Tab.o1[[#This Row],[a1]]=1,[1]!T.in.A[[#This Row],[Σp5]],"")</f>
        <v/>
      </c>
      <c r="AO326" s="126" t="str">
        <f>IF(Tab.o1[[#This Row],[a1]]=1,IF(AO$3=1,[1]!T.in.A[[#This Row],[Σp5]],""),"")</f>
        <v/>
      </c>
      <c r="AP326" s="110" t="str">
        <f>IF(Tab.o1[[#This Row],[a1]]=1,IF(ISNUMBER(Tab.o1[[#This Row],[i.]]),NORMDIST(Tab.o1[[#This Row],[Za]],0,1,FALSE)*Tab.o1[[#This Row],[i.]],0),"")</f>
        <v/>
      </c>
      <c r="AQ326" s="125" t="str">
        <f>IF(Tab.o1[[#This Row],[a1]]=1,ABS(Tab.o1[[#This Row],[MOD]]-AVERAGE(Tab.o1[MOD])),"")</f>
        <v/>
      </c>
      <c r="AR326" s="134" t="str">
        <f>IF(Tab.o1[[#This Row],[a1]]=1,Tab.o1[[#This Row],[OBS]]/SUM(Tab.o1[OBS]),"")</f>
        <v/>
      </c>
      <c r="AS326" s="135" t="str">
        <f>IF(ISNUMBER(Tab.o1[[#This Row],[a1]]),ROW()-4,"")</f>
        <v/>
      </c>
      <c r="AT326" s="136" t="str">
        <f>Tab.o1[[#This Row],[MOD]]</f>
        <v/>
      </c>
      <c r="AU326" s="137" t="str">
        <f t="shared" ref="AU326:AU389" si="21">AT326</f>
        <v/>
      </c>
      <c r="AV326" s="138" t="str">
        <f t="shared" ref="AV326:AV389" si="22">IF(AND(ISNUMBER(AT326),ISNUMBER(AU326)),H326-AU326,"")</f>
        <v/>
      </c>
      <c r="AW326" s="138" t="str">
        <f t="shared" ref="AW326:AW389" si="23">IF(AW$4=0,"",IF(AV326&lt;AV$2,AV326," "))</f>
        <v/>
      </c>
      <c r="AX326" s="139" t="str">
        <f>[1]!T.in.A[[#This Row],[ID_T_manu]]</f>
        <v/>
      </c>
      <c r="AY326" s="140" t="str">
        <f>IF(ISNUMBER(Tab.o1[[#This Row],[a1]]),IF(AND(Tab.o1[[#This Row],[a1]]=1,Tab.o1[[#This Row],[b1]]&lt;=AY$4),#REF!,AY325),"")</f>
        <v/>
      </c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</row>
    <row r="327" spans="1:79" ht="15.75" hidden="1">
      <c r="A327" s="109">
        <v>-1.0000000000000002E-6</v>
      </c>
      <c r="B327" s="110">
        <f t="shared" si="20"/>
        <v>327</v>
      </c>
      <c r="C327" s="111" t="str">
        <f>IF(C$1=[1]!T.in.A[[#This Row],[oo2]],1,"")</f>
        <v/>
      </c>
      <c r="D327" s="112" t="str">
        <f>IF(Tab.o1[[#This Row],[a1]]=1,IF(SUM(C327:C328)=0,0,IF(SUM(C326:C327)=1,1,IF(SUM(C326:C328)&gt;1,D326+1,0))),"")</f>
        <v/>
      </c>
      <c r="E327" s="113" t="str">
        <f>IF(Tab.o1[[#This Row],[a1]]=1,[1]!T.in.A[[#This Row],[oo1]],"")</f>
        <v/>
      </c>
      <c r="F327" s="113" t="str">
        <f>IF(Tab.o1[[#This Row],[a1]]=1,[1]!T.in.A[[#This Row],[pp1]],"")</f>
        <v/>
      </c>
      <c r="G327" s="114" t="str">
        <f>IF(Tab.o1[[#This Row],[a1]]=1,G$2+IF(G$1=1,0,Tab.o1[[#This Row],[.x1]])+[1]!T.in.A[[#This Row],[oo3]],"")</f>
        <v/>
      </c>
      <c r="H327" s="115" t="str">
        <f>IF(Tab.o1[[#This Row],[a1]]=1,IF(H$2=0,0,IF(G$1=1,0,Tab.o1[[#This Row],[.x1]])+[1]!T.in.A[[#This Row],[oo4]]),"")</f>
        <v/>
      </c>
      <c r="I327" s="116" t="str">
        <f>IF(Tab.o1[[#This Row],[a1]]=1,IF(J$2=0,Tab.o1[[#This Row],[MED]],Tab.o1[[#This Row],[MOD]]),"")</f>
        <v/>
      </c>
      <c r="J327" s="116" t="str">
        <f>IF(Tab.o1[[#This Row],[a1]]=1,((Tab.o1[[#This Row],[DIF_Target.]]-AVERAGE(Tab.o1[DIF_Target.]))/_xlfn.STDEV.P(Tab.o1[DIF_Target.])),"")</f>
        <v/>
      </c>
      <c r="K327" s="117" t="str">
        <f>IF(Tab.o1[[#This Row],[a1]]=1,IF(J$2=0,Tab.o1[[#This Row],[MOD]]-Tab.o1[[#This Row],[B]],IF(J$2=1,0,-Tab.o1[[#This Row],[MED]])+Tab.o1[[#This Row],[B]]),"")</f>
        <v/>
      </c>
      <c r="L327" s="117" t="str">
        <f ca="1">IF(Tab.o1[[#This Row],[DIF_Target]]=0,IF(L$2=0,Tab.o1[[#This Row],[DIF_Target]],AVERAGE(OFFSET(Tab.o1[[#This Row],[DIF_Target]],1,0,L$3,1)))/3,Tab.o1[[#This Row],[DIF_Target]])</f>
        <v/>
      </c>
      <c r="M327" s="118" t="str">
        <f>IF(Tab.o1[[#This Row],[a1]]=1,NORMSDIST(Tab.o1[[#This Row],[Za]]),"")</f>
        <v/>
      </c>
      <c r="N327" s="119" t="str">
        <f>IF(Tab.o1[[#This Row],[a1]]=1,((Tab.o1[[#This Row],[MedMod]]-AVERAGE(Tab.o1[MedMod]))/_xlfn.STDEV.P(Tab.o1[MedMod])*H$1205)+G$1205,"")</f>
        <v/>
      </c>
      <c r="O327" s="141" t="str">
        <f>IF(Tab.o1[[#This Row],[a1]]=1,Tab.o1[[#This Row],[Zb]]*_xlfn.STDEV.P(Tab.o1[MedMod])+AVERAGE(Tab.o1[MedMod]),"")</f>
        <v/>
      </c>
      <c r="P327" s="117" t="str">
        <f ca="1">IF(Tab.o1[[#This Row],[B]]=0,AVERAGE(OFFSET(Tab.o1[[#This Row],[B]],1,0,L$3,1)),Tab.o1[[#This Row],[B]])</f>
        <v/>
      </c>
      <c r="Q327" s="121" t="str">
        <f>IF(Tab.o1[[#This Row],[a1]]=1,NORMSDIST(Tab.o1[[#This Row],[Zb]]),"")</f>
        <v/>
      </c>
      <c r="R327" s="122" t="str">
        <f>IF(Tab.o1[[#This Row],[a1]]=1,((Tab.o1[[#This Row],[MedMod]]-AVERAGE(Tab.o1[MedMod]))/_xlfn.STDEV.P(Tab.o1[MedMod])*H$1203)+G$1203,"")</f>
        <v/>
      </c>
      <c r="S327" s="122" t="str">
        <f>IF(Tab.o1[[#This Row],[a1]]=1,((Tab.o1[[#This Row],[MedMod]]-AVERAGE(Tab.o1[MedMod]))/_xlfn.STDEV.P(Tab.o1[MedMod])*H$1204)+G$1204,"")</f>
        <v/>
      </c>
      <c r="T327" s="123" t="str">
        <f>IF(Tab.o1[[#This Row],[a1]]=1,Tab.o1[[#This Row],[Z-]]*_xlfn.STDEV.P(Tab.o1[B])+AVERAGE(Tab.o1[B]),"")</f>
        <v/>
      </c>
      <c r="U327" s="123" t="str">
        <f>IF(Tab.o1[[#This Row],[a1]]=1,Tab.o1[[#This Row],[z+]]*_xlfn.STDEV.P(Tab.o1[B])+AVERAGE(Tab.o1[B]),"")</f>
        <v/>
      </c>
      <c r="V327" s="124" t="str">
        <f>IF(Tab.o1[[#This Row],[a1]]=1,ABS((ABS(Tab.o1[[#This Row],[Red]]-Tab.o1[[#This Row],[Blue]]))),"")</f>
        <v/>
      </c>
      <c r="W327" s="125" t="str">
        <f>IF(Tab.o1[[#This Row],[a1]]=1,IF(W$3=0,1,Tab.o1[[#This Row],[Amp.]]*1/_xlfn.MINIFS(Tab.o1[Amp.],Tab.o1[Amp.],"&lt;&gt;0")),"")</f>
        <v/>
      </c>
      <c r="X327" s="126" t="str">
        <f>IF(Tab.o1[[#This Row],[a1]]=1,IF(ISNUMBER(Tab.o1[[#This Row],[i.]]),NORMDIST(Tab.o1[[#This Row],[Za]],0,1,FALSE)*Tab.o1[[#This Row],[i.]],AP$3),"")</f>
        <v/>
      </c>
      <c r="Y327" s="126" t="str">
        <f>IF(Tab.o1[[#This Row],[a1]]=1,0.01+0.94*Tab.o1[[#This Row],[PDF]]/MAX(Tab.o1[PDF]),"")</f>
        <v/>
      </c>
      <c r="Z327" s="126" t="str">
        <f>IF(Tab.o1[[#This Row],[a1]]=1,0.01+0.94*Tab.o1[[#This Row],[W1_PDF]]/MAX(Tab.o1[W1_PDF]),"")</f>
        <v/>
      </c>
      <c r="AA327" s="118" t="str">
        <f>IF(Tab.o1[[#This Row],[a1]]=1,ABS([1]!T.in.A[[#This Row],[oo6]]),"")</f>
        <v/>
      </c>
      <c r="AB327" s="127" t="str">
        <f>IF(Tab.o1[[#This Row],[a1]]=1,IF(AE$3=0,"",IF(AB$3=0,ABS([1]!T.in.A[[#This Row],[oo9]]),ABS(Tab.o1[[#This Row],[DIF_Target.]]*Tab.o1[[#This Row],[W1_PDF]]))),"")</f>
        <v/>
      </c>
      <c r="AC327" s="127" t="str">
        <f>IF(G$1=1,"",IF(Tab.o1[[#This Row],[a1]]=1,Tab.o1[[#This Row],[Wr]]^2,""))</f>
        <v/>
      </c>
      <c r="AD327" s="118" t="str">
        <f>IF(Tab.o1[[#This Row],[a1]]=1,IF(AE$3=0,"",Tab.o1[[#This Row],[Wr2]]/SUM(Tab.o1[Wr2])),"")</f>
        <v/>
      </c>
      <c r="AE327" s="128" t="str">
        <f>IF(Tab.o1[[#This Row],[a1]]=1,[1]!T.in.A[[#This Row],[oo10]],"")</f>
        <v/>
      </c>
      <c r="AF327" s="118" t="str">
        <f>IF(Tab.o1[[#This Row],[a1]]=1,ABS(Tab.o1[[#This Row],[DIF_Target.]]*Tab.o1[[#This Row],[PDF2]]*Tab.o1[[#This Row],[IN]]),"")</f>
        <v/>
      </c>
      <c r="AG327" s="129" t="str">
        <f>IF(Tab.o1[[#This Row],[a1]]=1,Tab.o1[[#This Row],[rW]]^2,"")</f>
        <v/>
      </c>
      <c r="AH327" s="130" t="str">
        <f>IF(Tab.o1[[#This Row],[a1]]=1,IF(AH$3=0,Tab.o1[[#This Row],[rW2]],0.01+0.94*Tab.o1[[#This Row],[rW2]]/SUM(Tab.o1[rW2])),"")</f>
        <v/>
      </c>
      <c r="AI327" s="128" t="str">
        <f>IF(Tab.o1[[#This Row],[a1]]=1,1/Tab.o1[[#This Row],[PDF]],"")</f>
        <v/>
      </c>
      <c r="AJ327" s="131" t="str">
        <f>IF(Tab.o1[[#This Row],[a1]]=1,[1]!T_AA[[#This Row],[IN'']]*[1]!T_AA[[#This Row],[Qde'']],"")</f>
        <v/>
      </c>
      <c r="AK327" s="132" t="str">
        <f>IF(Tab.o1[[#This Row],[a1]]=1,IF(AK$1=1,Tab.o1[[#This Row],[MED]]+Tab.o1[[#This Row],[MOD]]-Tab.o1[[#This Row],[MED]],""),"")</f>
        <v/>
      </c>
      <c r="AL327" s="133" t="str">
        <f>IF(Tab.o1[[#This Row],[a1]]=1,[1]!T.in.A[[#This Row],[oo16]],"")</f>
        <v/>
      </c>
      <c r="AM327" s="133" t="str">
        <f>IF(Tab.o1[[#This Row],[a1]]=1,IF(AM$3=1,[1]!T.in.A[[#This Row],[Σo16]],""),"")</f>
        <v/>
      </c>
      <c r="AN327" s="126" t="str">
        <f>IF(Tab.o1[[#This Row],[a1]]=1,[1]!T.in.A[[#This Row],[Σp5]],"")</f>
        <v/>
      </c>
      <c r="AO327" s="126" t="str">
        <f>IF(Tab.o1[[#This Row],[a1]]=1,IF(AO$3=1,[1]!T.in.A[[#This Row],[Σp5]],""),"")</f>
        <v/>
      </c>
      <c r="AP327" s="110" t="str">
        <f>IF(Tab.o1[[#This Row],[a1]]=1,IF(ISNUMBER(Tab.o1[[#This Row],[i.]]),NORMDIST(Tab.o1[[#This Row],[Za]],0,1,FALSE)*Tab.o1[[#This Row],[i.]],0),"")</f>
        <v/>
      </c>
      <c r="AQ327" s="125" t="str">
        <f>IF(Tab.o1[[#This Row],[a1]]=1,ABS(Tab.o1[[#This Row],[MOD]]-AVERAGE(Tab.o1[MOD])),"")</f>
        <v/>
      </c>
      <c r="AR327" s="134" t="str">
        <f>IF(Tab.o1[[#This Row],[a1]]=1,Tab.o1[[#This Row],[OBS]]/SUM(Tab.o1[OBS]),"")</f>
        <v/>
      </c>
      <c r="AS327" s="135" t="str">
        <f>IF(ISNUMBER(Tab.o1[[#This Row],[a1]]),ROW()-4,"")</f>
        <v/>
      </c>
      <c r="AT327" s="136" t="str">
        <f>Tab.o1[[#This Row],[MOD]]</f>
        <v/>
      </c>
      <c r="AU327" s="137" t="str">
        <f t="shared" si="21"/>
        <v/>
      </c>
      <c r="AV327" s="138" t="str">
        <f t="shared" si="22"/>
        <v/>
      </c>
      <c r="AW327" s="138" t="str">
        <f t="shared" si="23"/>
        <v/>
      </c>
      <c r="AX327" s="139" t="str">
        <f>[1]!T.in.A[[#This Row],[ID_T_manu]]</f>
        <v/>
      </c>
      <c r="AY327" s="140" t="str">
        <f>IF(ISNUMBER(Tab.o1[[#This Row],[a1]]),IF(AND(Tab.o1[[#This Row],[a1]]=1,Tab.o1[[#This Row],[b1]]&lt;=AY$4),#REF!,AY326),"")</f>
        <v/>
      </c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</row>
    <row r="328" spans="1:79" ht="15.75" hidden="1">
      <c r="A328" s="109">
        <v>2.9999999999999997E-6</v>
      </c>
      <c r="B328" s="110">
        <f t="shared" si="20"/>
        <v>328</v>
      </c>
      <c r="C328" s="111" t="str">
        <f>IF(C$1=[1]!T.in.A[[#This Row],[oo2]],1,"")</f>
        <v/>
      </c>
      <c r="D328" s="112" t="str">
        <f>IF(Tab.o1[[#This Row],[a1]]=1,IF(SUM(C328:C329)=0,0,IF(SUM(C327:C328)=1,1,IF(SUM(C327:C329)&gt;1,D327+1,0))),"")</f>
        <v/>
      </c>
      <c r="E328" s="113" t="str">
        <f>IF(Tab.o1[[#This Row],[a1]]=1,[1]!T.in.A[[#This Row],[oo1]],"")</f>
        <v/>
      </c>
      <c r="F328" s="113" t="str">
        <f>IF(Tab.o1[[#This Row],[a1]]=1,[1]!T.in.A[[#This Row],[pp1]],"")</f>
        <v/>
      </c>
      <c r="G328" s="114" t="str">
        <f>IF(Tab.o1[[#This Row],[a1]]=1,G$2+IF(G$1=1,0,Tab.o1[[#This Row],[.x1]])+[1]!T.in.A[[#This Row],[oo3]],"")</f>
        <v/>
      </c>
      <c r="H328" s="115" t="str">
        <f>IF(Tab.o1[[#This Row],[a1]]=1,IF(H$2=0,0,IF(G$1=1,0,Tab.o1[[#This Row],[.x1]])+[1]!T.in.A[[#This Row],[oo4]]),"")</f>
        <v/>
      </c>
      <c r="I328" s="116" t="str">
        <f>IF(Tab.o1[[#This Row],[a1]]=1,IF(J$2=0,Tab.o1[[#This Row],[MED]],Tab.o1[[#This Row],[MOD]]),"")</f>
        <v/>
      </c>
      <c r="J328" s="116" t="str">
        <f>IF(Tab.o1[[#This Row],[a1]]=1,((Tab.o1[[#This Row],[DIF_Target.]]-AVERAGE(Tab.o1[DIF_Target.]))/_xlfn.STDEV.P(Tab.o1[DIF_Target.])),"")</f>
        <v/>
      </c>
      <c r="K328" s="117" t="str">
        <f>IF(Tab.o1[[#This Row],[a1]]=1,IF(J$2=0,Tab.o1[[#This Row],[MOD]]-Tab.o1[[#This Row],[B]],IF(J$2=1,0,-Tab.o1[[#This Row],[MED]])+Tab.o1[[#This Row],[B]]),"")</f>
        <v/>
      </c>
      <c r="L328" s="117" t="str">
        <f ca="1">IF(Tab.o1[[#This Row],[DIF_Target]]=0,IF(L$2=0,Tab.o1[[#This Row],[DIF_Target]],AVERAGE(OFFSET(Tab.o1[[#This Row],[DIF_Target]],1,0,L$3,1)))/3,Tab.o1[[#This Row],[DIF_Target]])</f>
        <v/>
      </c>
      <c r="M328" s="118" t="str">
        <f>IF(Tab.o1[[#This Row],[a1]]=1,NORMSDIST(Tab.o1[[#This Row],[Za]]),"")</f>
        <v/>
      </c>
      <c r="N328" s="119" t="str">
        <f>IF(Tab.o1[[#This Row],[a1]]=1,((Tab.o1[[#This Row],[MedMod]]-AVERAGE(Tab.o1[MedMod]))/_xlfn.STDEV.P(Tab.o1[MedMod])*H$1205)+G$1205,"")</f>
        <v/>
      </c>
      <c r="O328" s="141" t="str">
        <f>IF(Tab.o1[[#This Row],[a1]]=1,Tab.o1[[#This Row],[Zb]]*_xlfn.STDEV.P(Tab.o1[MedMod])+AVERAGE(Tab.o1[MedMod]),"")</f>
        <v/>
      </c>
      <c r="P328" s="117" t="str">
        <f ca="1">IF(Tab.o1[[#This Row],[B]]=0,AVERAGE(OFFSET(Tab.o1[[#This Row],[B]],1,0,L$3,1)),Tab.o1[[#This Row],[B]])</f>
        <v/>
      </c>
      <c r="Q328" s="121" t="str">
        <f>IF(Tab.o1[[#This Row],[a1]]=1,NORMSDIST(Tab.o1[[#This Row],[Zb]]),"")</f>
        <v/>
      </c>
      <c r="R328" s="122" t="str">
        <f>IF(Tab.o1[[#This Row],[a1]]=1,((Tab.o1[[#This Row],[MedMod]]-AVERAGE(Tab.o1[MedMod]))/_xlfn.STDEV.P(Tab.o1[MedMod])*H$1203)+G$1203,"")</f>
        <v/>
      </c>
      <c r="S328" s="122" t="str">
        <f>IF(Tab.o1[[#This Row],[a1]]=1,((Tab.o1[[#This Row],[MedMod]]-AVERAGE(Tab.o1[MedMod]))/_xlfn.STDEV.P(Tab.o1[MedMod])*H$1204)+G$1204,"")</f>
        <v/>
      </c>
      <c r="T328" s="123" t="str">
        <f>IF(Tab.o1[[#This Row],[a1]]=1,Tab.o1[[#This Row],[Z-]]*_xlfn.STDEV.P(Tab.o1[B])+AVERAGE(Tab.o1[B]),"")</f>
        <v/>
      </c>
      <c r="U328" s="123" t="str">
        <f>IF(Tab.o1[[#This Row],[a1]]=1,Tab.o1[[#This Row],[z+]]*_xlfn.STDEV.P(Tab.o1[B])+AVERAGE(Tab.o1[B]),"")</f>
        <v/>
      </c>
      <c r="V328" s="124" t="str">
        <f>IF(Tab.o1[[#This Row],[a1]]=1,ABS((ABS(Tab.o1[[#This Row],[Red]]-Tab.o1[[#This Row],[Blue]]))),"")</f>
        <v/>
      </c>
      <c r="W328" s="125" t="str">
        <f>IF(Tab.o1[[#This Row],[a1]]=1,IF(W$3=0,1,Tab.o1[[#This Row],[Amp.]]*1/_xlfn.MINIFS(Tab.o1[Amp.],Tab.o1[Amp.],"&lt;&gt;0")),"")</f>
        <v/>
      </c>
      <c r="X328" s="126" t="str">
        <f>IF(Tab.o1[[#This Row],[a1]]=1,IF(ISNUMBER(Tab.o1[[#This Row],[i.]]),NORMDIST(Tab.o1[[#This Row],[Za]],0,1,FALSE)*Tab.o1[[#This Row],[i.]],AP$3),"")</f>
        <v/>
      </c>
      <c r="Y328" s="126" t="str">
        <f>IF(Tab.o1[[#This Row],[a1]]=1,0.01+0.94*Tab.o1[[#This Row],[PDF]]/MAX(Tab.o1[PDF]),"")</f>
        <v/>
      </c>
      <c r="Z328" s="126" t="str">
        <f>IF(Tab.o1[[#This Row],[a1]]=1,0.01+0.94*Tab.o1[[#This Row],[W1_PDF]]/MAX(Tab.o1[W1_PDF]),"")</f>
        <v/>
      </c>
      <c r="AA328" s="118" t="str">
        <f>IF(Tab.o1[[#This Row],[a1]]=1,ABS([1]!T.in.A[[#This Row],[oo6]]),"")</f>
        <v/>
      </c>
      <c r="AB328" s="127" t="str">
        <f>IF(Tab.o1[[#This Row],[a1]]=1,IF(AE$3=0,"",IF(AB$3=0,ABS([1]!T.in.A[[#This Row],[oo9]]),ABS(Tab.o1[[#This Row],[DIF_Target.]]*Tab.o1[[#This Row],[W1_PDF]]))),"")</f>
        <v/>
      </c>
      <c r="AC328" s="127" t="str">
        <f>IF(G$1=1,"",IF(Tab.o1[[#This Row],[a1]]=1,Tab.o1[[#This Row],[Wr]]^2,""))</f>
        <v/>
      </c>
      <c r="AD328" s="118" t="str">
        <f>IF(Tab.o1[[#This Row],[a1]]=1,IF(AE$3=0,"",Tab.o1[[#This Row],[Wr2]]/SUM(Tab.o1[Wr2])),"")</f>
        <v/>
      </c>
      <c r="AE328" s="128" t="str">
        <f>IF(Tab.o1[[#This Row],[a1]]=1,[1]!T.in.A[[#This Row],[oo10]],"")</f>
        <v/>
      </c>
      <c r="AF328" s="118" t="str">
        <f>IF(Tab.o1[[#This Row],[a1]]=1,ABS(Tab.o1[[#This Row],[DIF_Target.]]*Tab.o1[[#This Row],[PDF2]]*Tab.o1[[#This Row],[IN]]),"")</f>
        <v/>
      </c>
      <c r="AG328" s="129" t="str">
        <f>IF(Tab.o1[[#This Row],[a1]]=1,Tab.o1[[#This Row],[rW]]^2,"")</f>
        <v/>
      </c>
      <c r="AH328" s="130" t="str">
        <f>IF(Tab.o1[[#This Row],[a1]]=1,IF(AH$3=0,Tab.o1[[#This Row],[rW2]],0.01+0.94*Tab.o1[[#This Row],[rW2]]/SUM(Tab.o1[rW2])),"")</f>
        <v/>
      </c>
      <c r="AI328" s="128" t="str">
        <f>IF(Tab.o1[[#This Row],[a1]]=1,1/Tab.o1[[#This Row],[PDF]],"")</f>
        <v/>
      </c>
      <c r="AJ328" s="131" t="str">
        <f>IF(Tab.o1[[#This Row],[a1]]=1,[1]!T_AA[[#This Row],[IN'']]*[1]!T_AA[[#This Row],[Qde'']],"")</f>
        <v/>
      </c>
      <c r="AK328" s="132" t="str">
        <f>IF(Tab.o1[[#This Row],[a1]]=1,IF(AK$1=1,Tab.o1[[#This Row],[MED]]+Tab.o1[[#This Row],[MOD]]-Tab.o1[[#This Row],[MED]],""),"")</f>
        <v/>
      </c>
      <c r="AL328" s="133" t="str">
        <f>IF(Tab.o1[[#This Row],[a1]]=1,[1]!T.in.A[[#This Row],[oo16]],"")</f>
        <v/>
      </c>
      <c r="AM328" s="133" t="str">
        <f>IF(Tab.o1[[#This Row],[a1]]=1,IF(AM$3=1,[1]!T.in.A[[#This Row],[Σo16]],""),"")</f>
        <v/>
      </c>
      <c r="AN328" s="126" t="str">
        <f>IF(Tab.o1[[#This Row],[a1]]=1,[1]!T.in.A[[#This Row],[Σp5]],"")</f>
        <v/>
      </c>
      <c r="AO328" s="126" t="str">
        <f>IF(Tab.o1[[#This Row],[a1]]=1,IF(AO$3=1,[1]!T.in.A[[#This Row],[Σp5]],""),"")</f>
        <v/>
      </c>
      <c r="AP328" s="110" t="str">
        <f>IF(Tab.o1[[#This Row],[a1]]=1,IF(ISNUMBER(Tab.o1[[#This Row],[i.]]),NORMDIST(Tab.o1[[#This Row],[Za]],0,1,FALSE)*Tab.o1[[#This Row],[i.]],0),"")</f>
        <v/>
      </c>
      <c r="AQ328" s="125" t="str">
        <f>IF(Tab.o1[[#This Row],[a1]]=1,ABS(Tab.o1[[#This Row],[MOD]]-AVERAGE(Tab.o1[MOD])),"")</f>
        <v/>
      </c>
      <c r="AR328" s="134" t="str">
        <f>IF(Tab.o1[[#This Row],[a1]]=1,Tab.o1[[#This Row],[OBS]]/SUM(Tab.o1[OBS]),"")</f>
        <v/>
      </c>
      <c r="AS328" s="135" t="str">
        <f>IF(ISNUMBER(Tab.o1[[#This Row],[a1]]),ROW()-4,"")</f>
        <v/>
      </c>
      <c r="AT328" s="136" t="str">
        <f>Tab.o1[[#This Row],[MOD]]</f>
        <v/>
      </c>
      <c r="AU328" s="137" t="str">
        <f t="shared" si="21"/>
        <v/>
      </c>
      <c r="AV328" s="138" t="str">
        <f t="shared" si="22"/>
        <v/>
      </c>
      <c r="AW328" s="138" t="str">
        <f t="shared" si="23"/>
        <v/>
      </c>
      <c r="AX328" s="139" t="str">
        <f>[1]!T.in.A[[#This Row],[ID_T_manu]]</f>
        <v/>
      </c>
      <c r="AY328" s="140" t="str">
        <f>IF(ISNUMBER(Tab.o1[[#This Row],[a1]]),IF(AND(Tab.o1[[#This Row],[a1]]=1,Tab.o1[[#This Row],[b1]]&lt;=AY$4),#REF!,AY327),"")</f>
        <v/>
      </c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</row>
    <row r="329" spans="1:79" ht="15.75" hidden="1">
      <c r="A329" s="109">
        <v>-6.9999999999999999E-6</v>
      </c>
      <c r="B329" s="110">
        <f t="shared" si="20"/>
        <v>329</v>
      </c>
      <c r="C329" s="111" t="str">
        <f>IF(C$1=[1]!T.in.A[[#This Row],[oo2]],1,"")</f>
        <v/>
      </c>
      <c r="D329" s="112" t="str">
        <f>IF(Tab.o1[[#This Row],[a1]]=1,IF(SUM(C329:C330)=0,0,IF(SUM(C328:C329)=1,1,IF(SUM(C328:C330)&gt;1,D328+1,0))),"")</f>
        <v/>
      </c>
      <c r="E329" s="113" t="str">
        <f>IF(Tab.o1[[#This Row],[a1]]=1,[1]!T.in.A[[#This Row],[oo1]],"")</f>
        <v/>
      </c>
      <c r="F329" s="113" t="str">
        <f>IF(Tab.o1[[#This Row],[a1]]=1,[1]!T.in.A[[#This Row],[pp1]],"")</f>
        <v/>
      </c>
      <c r="G329" s="114" t="str">
        <f>IF(Tab.o1[[#This Row],[a1]]=1,G$2+IF(G$1=1,0,Tab.o1[[#This Row],[.x1]])+[1]!T.in.A[[#This Row],[oo3]],"")</f>
        <v/>
      </c>
      <c r="H329" s="115" t="str">
        <f>IF(Tab.o1[[#This Row],[a1]]=1,IF(H$2=0,0,IF(G$1=1,0,Tab.o1[[#This Row],[.x1]])+[1]!T.in.A[[#This Row],[oo4]]),"")</f>
        <v/>
      </c>
      <c r="I329" s="116" t="str">
        <f>IF(Tab.o1[[#This Row],[a1]]=1,IF(J$2=0,Tab.o1[[#This Row],[MED]],Tab.o1[[#This Row],[MOD]]),"")</f>
        <v/>
      </c>
      <c r="J329" s="116" t="str">
        <f>IF(Tab.o1[[#This Row],[a1]]=1,((Tab.o1[[#This Row],[DIF_Target.]]-AVERAGE(Tab.o1[DIF_Target.]))/_xlfn.STDEV.P(Tab.o1[DIF_Target.])),"")</f>
        <v/>
      </c>
      <c r="K329" s="117" t="str">
        <f>IF(Tab.o1[[#This Row],[a1]]=1,IF(J$2=0,Tab.o1[[#This Row],[MOD]]-Tab.o1[[#This Row],[B]],IF(J$2=1,0,-Tab.o1[[#This Row],[MED]])+Tab.o1[[#This Row],[B]]),"")</f>
        <v/>
      </c>
      <c r="L329" s="117" t="str">
        <f ca="1">IF(Tab.o1[[#This Row],[DIF_Target]]=0,IF(L$2=0,Tab.o1[[#This Row],[DIF_Target]],AVERAGE(OFFSET(Tab.o1[[#This Row],[DIF_Target]],1,0,L$3,1)))/3,Tab.o1[[#This Row],[DIF_Target]])</f>
        <v/>
      </c>
      <c r="M329" s="118" t="str">
        <f>IF(Tab.o1[[#This Row],[a1]]=1,NORMSDIST(Tab.o1[[#This Row],[Za]]),"")</f>
        <v/>
      </c>
      <c r="N329" s="119" t="str">
        <f>IF(Tab.o1[[#This Row],[a1]]=1,((Tab.o1[[#This Row],[MedMod]]-AVERAGE(Tab.o1[MedMod]))/_xlfn.STDEV.P(Tab.o1[MedMod])*H$1205)+G$1205,"")</f>
        <v/>
      </c>
      <c r="O329" s="141" t="str">
        <f>IF(Tab.o1[[#This Row],[a1]]=1,Tab.o1[[#This Row],[Zb]]*_xlfn.STDEV.P(Tab.o1[MedMod])+AVERAGE(Tab.o1[MedMod]),"")</f>
        <v/>
      </c>
      <c r="P329" s="117" t="str">
        <f ca="1">IF(Tab.o1[[#This Row],[B]]=0,AVERAGE(OFFSET(Tab.o1[[#This Row],[B]],1,0,L$3,1)),Tab.o1[[#This Row],[B]])</f>
        <v/>
      </c>
      <c r="Q329" s="121" t="str">
        <f>IF(Tab.o1[[#This Row],[a1]]=1,NORMSDIST(Tab.o1[[#This Row],[Zb]]),"")</f>
        <v/>
      </c>
      <c r="R329" s="122" t="str">
        <f>IF(Tab.o1[[#This Row],[a1]]=1,((Tab.o1[[#This Row],[MedMod]]-AVERAGE(Tab.o1[MedMod]))/_xlfn.STDEV.P(Tab.o1[MedMod])*H$1203)+G$1203,"")</f>
        <v/>
      </c>
      <c r="S329" s="122" t="str">
        <f>IF(Tab.o1[[#This Row],[a1]]=1,((Tab.o1[[#This Row],[MedMod]]-AVERAGE(Tab.o1[MedMod]))/_xlfn.STDEV.P(Tab.o1[MedMod])*H$1204)+G$1204,"")</f>
        <v/>
      </c>
      <c r="T329" s="123" t="str">
        <f>IF(Tab.o1[[#This Row],[a1]]=1,Tab.o1[[#This Row],[Z-]]*_xlfn.STDEV.P(Tab.o1[B])+AVERAGE(Tab.o1[B]),"")</f>
        <v/>
      </c>
      <c r="U329" s="123" t="str">
        <f>IF(Tab.o1[[#This Row],[a1]]=1,Tab.o1[[#This Row],[z+]]*_xlfn.STDEV.P(Tab.o1[B])+AVERAGE(Tab.o1[B]),"")</f>
        <v/>
      </c>
      <c r="V329" s="124" t="str">
        <f>IF(Tab.o1[[#This Row],[a1]]=1,ABS((ABS(Tab.o1[[#This Row],[Red]]-Tab.o1[[#This Row],[Blue]]))),"")</f>
        <v/>
      </c>
      <c r="W329" s="125" t="str">
        <f>IF(Tab.o1[[#This Row],[a1]]=1,IF(W$3=0,1,Tab.o1[[#This Row],[Amp.]]*1/_xlfn.MINIFS(Tab.o1[Amp.],Tab.o1[Amp.],"&lt;&gt;0")),"")</f>
        <v/>
      </c>
      <c r="X329" s="126" t="str">
        <f>IF(Tab.o1[[#This Row],[a1]]=1,IF(ISNUMBER(Tab.o1[[#This Row],[i.]]),NORMDIST(Tab.o1[[#This Row],[Za]],0,1,FALSE)*Tab.o1[[#This Row],[i.]],AP$3),"")</f>
        <v/>
      </c>
      <c r="Y329" s="126" t="str">
        <f>IF(Tab.o1[[#This Row],[a1]]=1,0.01+0.94*Tab.o1[[#This Row],[PDF]]/MAX(Tab.o1[PDF]),"")</f>
        <v/>
      </c>
      <c r="Z329" s="126" t="str">
        <f>IF(Tab.o1[[#This Row],[a1]]=1,0.01+0.94*Tab.o1[[#This Row],[W1_PDF]]/MAX(Tab.o1[W1_PDF]),"")</f>
        <v/>
      </c>
      <c r="AA329" s="118" t="str">
        <f>IF(Tab.o1[[#This Row],[a1]]=1,ABS([1]!T.in.A[[#This Row],[oo6]]),"")</f>
        <v/>
      </c>
      <c r="AB329" s="127" t="str">
        <f>IF(Tab.o1[[#This Row],[a1]]=1,IF(AE$3=0,"",IF(AB$3=0,ABS([1]!T.in.A[[#This Row],[oo9]]),ABS(Tab.o1[[#This Row],[DIF_Target.]]*Tab.o1[[#This Row],[W1_PDF]]))),"")</f>
        <v/>
      </c>
      <c r="AC329" s="127" t="str">
        <f>IF(G$1=1,"",IF(Tab.o1[[#This Row],[a1]]=1,Tab.o1[[#This Row],[Wr]]^2,""))</f>
        <v/>
      </c>
      <c r="AD329" s="118" t="str">
        <f>IF(Tab.o1[[#This Row],[a1]]=1,IF(AE$3=0,"",Tab.o1[[#This Row],[Wr2]]/SUM(Tab.o1[Wr2])),"")</f>
        <v/>
      </c>
      <c r="AE329" s="128" t="str">
        <f>IF(Tab.o1[[#This Row],[a1]]=1,[1]!T.in.A[[#This Row],[oo10]],"")</f>
        <v/>
      </c>
      <c r="AF329" s="118" t="str">
        <f>IF(Tab.o1[[#This Row],[a1]]=1,ABS(Tab.o1[[#This Row],[DIF_Target.]]*Tab.o1[[#This Row],[PDF2]]*Tab.o1[[#This Row],[IN]]),"")</f>
        <v/>
      </c>
      <c r="AG329" s="129" t="str">
        <f>IF(Tab.o1[[#This Row],[a1]]=1,Tab.o1[[#This Row],[rW]]^2,"")</f>
        <v/>
      </c>
      <c r="AH329" s="130" t="str">
        <f>IF(Tab.o1[[#This Row],[a1]]=1,IF(AH$3=0,Tab.o1[[#This Row],[rW2]],0.01+0.94*Tab.o1[[#This Row],[rW2]]/SUM(Tab.o1[rW2])),"")</f>
        <v/>
      </c>
      <c r="AI329" s="128" t="str">
        <f>IF(Tab.o1[[#This Row],[a1]]=1,1/Tab.o1[[#This Row],[PDF]],"")</f>
        <v/>
      </c>
      <c r="AJ329" s="131" t="str">
        <f>IF(Tab.o1[[#This Row],[a1]]=1,[1]!T_AA[[#This Row],[IN'']]*[1]!T_AA[[#This Row],[Qde'']],"")</f>
        <v/>
      </c>
      <c r="AK329" s="132" t="str">
        <f>IF(Tab.o1[[#This Row],[a1]]=1,IF(AK$1=1,Tab.o1[[#This Row],[MED]]+Tab.o1[[#This Row],[MOD]]-Tab.o1[[#This Row],[MED]],""),"")</f>
        <v/>
      </c>
      <c r="AL329" s="133" t="str">
        <f>IF(Tab.o1[[#This Row],[a1]]=1,[1]!T.in.A[[#This Row],[oo16]],"")</f>
        <v/>
      </c>
      <c r="AM329" s="133" t="str">
        <f>IF(Tab.o1[[#This Row],[a1]]=1,IF(AM$3=1,[1]!T.in.A[[#This Row],[Σo16]],""),"")</f>
        <v/>
      </c>
      <c r="AN329" s="126" t="str">
        <f>IF(Tab.o1[[#This Row],[a1]]=1,[1]!T.in.A[[#This Row],[Σp5]],"")</f>
        <v/>
      </c>
      <c r="AO329" s="126" t="str">
        <f>IF(Tab.o1[[#This Row],[a1]]=1,IF(AO$3=1,[1]!T.in.A[[#This Row],[Σp5]],""),"")</f>
        <v/>
      </c>
      <c r="AP329" s="110" t="str">
        <f>IF(Tab.o1[[#This Row],[a1]]=1,IF(ISNUMBER(Tab.o1[[#This Row],[i.]]),NORMDIST(Tab.o1[[#This Row],[Za]],0,1,FALSE)*Tab.o1[[#This Row],[i.]],0),"")</f>
        <v/>
      </c>
      <c r="AQ329" s="125" t="str">
        <f>IF(Tab.o1[[#This Row],[a1]]=1,ABS(Tab.o1[[#This Row],[MOD]]-AVERAGE(Tab.o1[MOD])),"")</f>
        <v/>
      </c>
      <c r="AR329" s="134" t="str">
        <f>IF(Tab.o1[[#This Row],[a1]]=1,Tab.o1[[#This Row],[OBS]]/SUM(Tab.o1[OBS]),"")</f>
        <v/>
      </c>
      <c r="AS329" s="135" t="str">
        <f>IF(ISNUMBER(Tab.o1[[#This Row],[a1]]),ROW()-4,"")</f>
        <v/>
      </c>
      <c r="AT329" s="136" t="str">
        <f>Tab.o1[[#This Row],[MOD]]</f>
        <v/>
      </c>
      <c r="AU329" s="137" t="str">
        <f t="shared" si="21"/>
        <v/>
      </c>
      <c r="AV329" s="138" t="str">
        <f t="shared" si="22"/>
        <v/>
      </c>
      <c r="AW329" s="138" t="str">
        <f t="shared" si="23"/>
        <v/>
      </c>
      <c r="AX329" s="139" t="str">
        <f>[1]!T.in.A[[#This Row],[ID_T_manu]]</f>
        <v/>
      </c>
      <c r="AY329" s="140" t="str">
        <f>IF(ISNUMBER(Tab.o1[[#This Row],[a1]]),IF(AND(Tab.o1[[#This Row],[a1]]=1,Tab.o1[[#This Row],[b1]]&lt;=AY$4),#REF!,AY328),"")</f>
        <v/>
      </c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</row>
    <row r="330" spans="1:79" ht="15.75" hidden="1">
      <c r="A330" s="109">
        <v>5.9999999999999993E-6</v>
      </c>
      <c r="B330" s="110">
        <f t="shared" si="20"/>
        <v>330</v>
      </c>
      <c r="C330" s="111" t="str">
        <f>IF(C$1=[1]!T.in.A[[#This Row],[oo2]],1,"")</f>
        <v/>
      </c>
      <c r="D330" s="112" t="str">
        <f>IF(Tab.o1[[#This Row],[a1]]=1,IF(SUM(C330:C331)=0,0,IF(SUM(C329:C330)=1,1,IF(SUM(C329:C331)&gt;1,D329+1,0))),"")</f>
        <v/>
      </c>
      <c r="E330" s="113" t="str">
        <f>IF(Tab.o1[[#This Row],[a1]]=1,[1]!T.in.A[[#This Row],[oo1]],"")</f>
        <v/>
      </c>
      <c r="F330" s="113" t="str">
        <f>IF(Tab.o1[[#This Row],[a1]]=1,[1]!T.in.A[[#This Row],[pp1]],"")</f>
        <v/>
      </c>
      <c r="G330" s="114" t="str">
        <f>IF(Tab.o1[[#This Row],[a1]]=1,G$2+IF(G$1=1,0,Tab.o1[[#This Row],[.x1]])+[1]!T.in.A[[#This Row],[oo3]],"")</f>
        <v/>
      </c>
      <c r="H330" s="115" t="str">
        <f>IF(Tab.o1[[#This Row],[a1]]=1,IF(H$2=0,0,IF(G$1=1,0,Tab.o1[[#This Row],[.x1]])+[1]!T.in.A[[#This Row],[oo4]]),"")</f>
        <v/>
      </c>
      <c r="I330" s="116" t="str">
        <f>IF(Tab.o1[[#This Row],[a1]]=1,IF(J$2=0,Tab.o1[[#This Row],[MED]],Tab.o1[[#This Row],[MOD]]),"")</f>
        <v/>
      </c>
      <c r="J330" s="116" t="str">
        <f>IF(Tab.o1[[#This Row],[a1]]=1,((Tab.o1[[#This Row],[DIF_Target.]]-AVERAGE(Tab.o1[DIF_Target.]))/_xlfn.STDEV.P(Tab.o1[DIF_Target.])),"")</f>
        <v/>
      </c>
      <c r="K330" s="117" t="str">
        <f>IF(Tab.o1[[#This Row],[a1]]=1,IF(J$2=0,Tab.o1[[#This Row],[MOD]]-Tab.o1[[#This Row],[B]],IF(J$2=1,0,-Tab.o1[[#This Row],[MED]])+Tab.o1[[#This Row],[B]]),"")</f>
        <v/>
      </c>
      <c r="L330" s="117" t="str">
        <f ca="1">IF(Tab.o1[[#This Row],[DIF_Target]]=0,IF(L$2=0,Tab.o1[[#This Row],[DIF_Target]],AVERAGE(OFFSET(Tab.o1[[#This Row],[DIF_Target]],1,0,L$3,1)))/3,Tab.o1[[#This Row],[DIF_Target]])</f>
        <v/>
      </c>
      <c r="M330" s="118" t="str">
        <f>IF(Tab.o1[[#This Row],[a1]]=1,NORMSDIST(Tab.o1[[#This Row],[Za]]),"")</f>
        <v/>
      </c>
      <c r="N330" s="119" t="str">
        <f>IF(Tab.o1[[#This Row],[a1]]=1,((Tab.o1[[#This Row],[MedMod]]-AVERAGE(Tab.o1[MedMod]))/_xlfn.STDEV.P(Tab.o1[MedMod])*H$1205)+G$1205,"")</f>
        <v/>
      </c>
      <c r="O330" s="141" t="str">
        <f>IF(Tab.o1[[#This Row],[a1]]=1,Tab.o1[[#This Row],[Zb]]*_xlfn.STDEV.P(Tab.o1[MedMod])+AVERAGE(Tab.o1[MedMod]),"")</f>
        <v/>
      </c>
      <c r="P330" s="117" t="str">
        <f ca="1">IF(Tab.o1[[#This Row],[B]]=0,AVERAGE(OFFSET(Tab.o1[[#This Row],[B]],1,0,L$3,1)),Tab.o1[[#This Row],[B]])</f>
        <v/>
      </c>
      <c r="Q330" s="121" t="str">
        <f>IF(Tab.o1[[#This Row],[a1]]=1,NORMSDIST(Tab.o1[[#This Row],[Zb]]),"")</f>
        <v/>
      </c>
      <c r="R330" s="122" t="str">
        <f>IF(Tab.o1[[#This Row],[a1]]=1,((Tab.o1[[#This Row],[MedMod]]-AVERAGE(Tab.o1[MedMod]))/_xlfn.STDEV.P(Tab.o1[MedMod])*H$1203)+G$1203,"")</f>
        <v/>
      </c>
      <c r="S330" s="122" t="str">
        <f>IF(Tab.o1[[#This Row],[a1]]=1,((Tab.o1[[#This Row],[MedMod]]-AVERAGE(Tab.o1[MedMod]))/_xlfn.STDEV.P(Tab.o1[MedMod])*H$1204)+G$1204,"")</f>
        <v/>
      </c>
      <c r="T330" s="123" t="str">
        <f>IF(Tab.o1[[#This Row],[a1]]=1,Tab.o1[[#This Row],[Z-]]*_xlfn.STDEV.P(Tab.o1[B])+AVERAGE(Tab.o1[B]),"")</f>
        <v/>
      </c>
      <c r="U330" s="123" t="str">
        <f>IF(Tab.o1[[#This Row],[a1]]=1,Tab.o1[[#This Row],[z+]]*_xlfn.STDEV.P(Tab.o1[B])+AVERAGE(Tab.o1[B]),"")</f>
        <v/>
      </c>
      <c r="V330" s="124" t="str">
        <f>IF(Tab.o1[[#This Row],[a1]]=1,ABS((ABS(Tab.o1[[#This Row],[Red]]-Tab.o1[[#This Row],[Blue]]))),"")</f>
        <v/>
      </c>
      <c r="W330" s="125" t="str">
        <f>IF(Tab.o1[[#This Row],[a1]]=1,IF(W$3=0,1,Tab.o1[[#This Row],[Amp.]]*1/_xlfn.MINIFS(Tab.o1[Amp.],Tab.o1[Amp.],"&lt;&gt;0")),"")</f>
        <v/>
      </c>
      <c r="X330" s="126" t="str">
        <f>IF(Tab.o1[[#This Row],[a1]]=1,IF(ISNUMBER(Tab.o1[[#This Row],[i.]]),NORMDIST(Tab.o1[[#This Row],[Za]],0,1,FALSE)*Tab.o1[[#This Row],[i.]],AP$3),"")</f>
        <v/>
      </c>
      <c r="Y330" s="126" t="str">
        <f>IF(Tab.o1[[#This Row],[a1]]=1,0.01+0.94*Tab.o1[[#This Row],[PDF]]/MAX(Tab.o1[PDF]),"")</f>
        <v/>
      </c>
      <c r="Z330" s="126" t="str">
        <f>IF(Tab.o1[[#This Row],[a1]]=1,0.01+0.94*Tab.o1[[#This Row],[W1_PDF]]/MAX(Tab.o1[W1_PDF]),"")</f>
        <v/>
      </c>
      <c r="AA330" s="118" t="str">
        <f>IF(Tab.o1[[#This Row],[a1]]=1,ABS([1]!T.in.A[[#This Row],[oo6]]),"")</f>
        <v/>
      </c>
      <c r="AB330" s="127" t="str">
        <f>IF(Tab.o1[[#This Row],[a1]]=1,IF(AE$3=0,"",IF(AB$3=0,ABS([1]!T.in.A[[#This Row],[oo9]]),ABS(Tab.o1[[#This Row],[DIF_Target.]]*Tab.o1[[#This Row],[W1_PDF]]))),"")</f>
        <v/>
      </c>
      <c r="AC330" s="127" t="str">
        <f>IF(G$1=1,"",IF(Tab.o1[[#This Row],[a1]]=1,Tab.o1[[#This Row],[Wr]]^2,""))</f>
        <v/>
      </c>
      <c r="AD330" s="118" t="str">
        <f>IF(Tab.o1[[#This Row],[a1]]=1,IF(AE$3=0,"",Tab.o1[[#This Row],[Wr2]]/SUM(Tab.o1[Wr2])),"")</f>
        <v/>
      </c>
      <c r="AE330" s="128" t="str">
        <f>IF(Tab.o1[[#This Row],[a1]]=1,[1]!T.in.A[[#This Row],[oo10]],"")</f>
        <v/>
      </c>
      <c r="AF330" s="118" t="str">
        <f>IF(Tab.o1[[#This Row],[a1]]=1,ABS(Tab.o1[[#This Row],[DIF_Target.]]*Tab.o1[[#This Row],[PDF2]]*Tab.o1[[#This Row],[IN]]),"")</f>
        <v/>
      </c>
      <c r="AG330" s="129" t="str">
        <f>IF(Tab.o1[[#This Row],[a1]]=1,Tab.o1[[#This Row],[rW]]^2,"")</f>
        <v/>
      </c>
      <c r="AH330" s="130" t="str">
        <f>IF(Tab.o1[[#This Row],[a1]]=1,IF(AH$3=0,Tab.o1[[#This Row],[rW2]],0.01+0.94*Tab.o1[[#This Row],[rW2]]/SUM(Tab.o1[rW2])),"")</f>
        <v/>
      </c>
      <c r="AI330" s="128" t="str">
        <f>IF(Tab.o1[[#This Row],[a1]]=1,1/Tab.o1[[#This Row],[PDF]],"")</f>
        <v/>
      </c>
      <c r="AJ330" s="131" t="str">
        <f>IF(Tab.o1[[#This Row],[a1]]=1,[1]!T_AA[[#This Row],[IN'']]*[1]!T_AA[[#This Row],[Qde'']],"")</f>
        <v/>
      </c>
      <c r="AK330" s="132" t="str">
        <f>IF(Tab.o1[[#This Row],[a1]]=1,IF(AK$1=1,Tab.o1[[#This Row],[MED]]+Tab.o1[[#This Row],[MOD]]-Tab.o1[[#This Row],[MED]],""),"")</f>
        <v/>
      </c>
      <c r="AL330" s="133" t="str">
        <f>IF(Tab.o1[[#This Row],[a1]]=1,[1]!T.in.A[[#This Row],[oo16]],"")</f>
        <v/>
      </c>
      <c r="AM330" s="133" t="str">
        <f>IF(Tab.o1[[#This Row],[a1]]=1,IF(AM$3=1,[1]!T.in.A[[#This Row],[Σo16]],""),"")</f>
        <v/>
      </c>
      <c r="AN330" s="126" t="str">
        <f>IF(Tab.o1[[#This Row],[a1]]=1,[1]!T.in.A[[#This Row],[Σp5]],"")</f>
        <v/>
      </c>
      <c r="AO330" s="126" t="str">
        <f>IF(Tab.o1[[#This Row],[a1]]=1,IF(AO$3=1,[1]!T.in.A[[#This Row],[Σp5]],""),"")</f>
        <v/>
      </c>
      <c r="AP330" s="110" t="str">
        <f>IF(Tab.o1[[#This Row],[a1]]=1,IF(ISNUMBER(Tab.o1[[#This Row],[i.]]),NORMDIST(Tab.o1[[#This Row],[Za]],0,1,FALSE)*Tab.o1[[#This Row],[i.]],0),"")</f>
        <v/>
      </c>
      <c r="AQ330" s="125" t="str">
        <f>IF(Tab.o1[[#This Row],[a1]]=1,ABS(Tab.o1[[#This Row],[MOD]]-AVERAGE(Tab.o1[MOD])),"")</f>
        <v/>
      </c>
      <c r="AR330" s="134" t="str">
        <f>IF(Tab.o1[[#This Row],[a1]]=1,Tab.o1[[#This Row],[OBS]]/SUM(Tab.o1[OBS]),"")</f>
        <v/>
      </c>
      <c r="AS330" s="135" t="str">
        <f>IF(ISNUMBER(Tab.o1[[#This Row],[a1]]),ROW()-4,"")</f>
        <v/>
      </c>
      <c r="AT330" s="136" t="str">
        <f>Tab.o1[[#This Row],[MOD]]</f>
        <v/>
      </c>
      <c r="AU330" s="137" t="str">
        <f t="shared" si="21"/>
        <v/>
      </c>
      <c r="AV330" s="138" t="str">
        <f t="shared" si="22"/>
        <v/>
      </c>
      <c r="AW330" s="138" t="str">
        <f t="shared" si="23"/>
        <v/>
      </c>
      <c r="AX330" s="139" t="str">
        <f>[1]!T.in.A[[#This Row],[ID_T_manu]]</f>
        <v/>
      </c>
      <c r="AY330" s="140" t="str">
        <f>IF(ISNUMBER(Tab.o1[[#This Row],[a1]]),IF(AND(Tab.o1[[#This Row],[a1]]=1,Tab.o1[[#This Row],[b1]]&lt;=AY$4),#REF!,AY329),"")</f>
        <v/>
      </c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</row>
    <row r="331" spans="1:79" ht="15.75" hidden="1">
      <c r="A331" s="109">
        <v>-2.0000000000000003E-6</v>
      </c>
      <c r="B331" s="110">
        <f t="shared" si="20"/>
        <v>331</v>
      </c>
      <c r="C331" s="111" t="str">
        <f>IF(C$1=[1]!T.in.A[[#This Row],[oo2]],1,"")</f>
        <v/>
      </c>
      <c r="D331" s="112" t="str">
        <f>IF(Tab.o1[[#This Row],[a1]]=1,IF(SUM(C331:C332)=0,0,IF(SUM(C330:C331)=1,1,IF(SUM(C330:C332)&gt;1,D330+1,0))),"")</f>
        <v/>
      </c>
      <c r="E331" s="113" t="str">
        <f>IF(Tab.o1[[#This Row],[a1]]=1,[1]!T.in.A[[#This Row],[oo1]],"")</f>
        <v/>
      </c>
      <c r="F331" s="113" t="str">
        <f>IF(Tab.o1[[#This Row],[a1]]=1,[1]!T.in.A[[#This Row],[pp1]],"")</f>
        <v/>
      </c>
      <c r="G331" s="114" t="str">
        <f>IF(Tab.o1[[#This Row],[a1]]=1,G$2+IF(G$1=1,0,Tab.o1[[#This Row],[.x1]])+[1]!T.in.A[[#This Row],[oo3]],"")</f>
        <v/>
      </c>
      <c r="H331" s="115" t="str">
        <f>IF(Tab.o1[[#This Row],[a1]]=1,IF(H$2=0,0,IF(G$1=1,0,Tab.o1[[#This Row],[.x1]])+[1]!T.in.A[[#This Row],[oo4]]),"")</f>
        <v/>
      </c>
      <c r="I331" s="116" t="str">
        <f>IF(Tab.o1[[#This Row],[a1]]=1,IF(J$2=0,Tab.o1[[#This Row],[MED]],Tab.o1[[#This Row],[MOD]]),"")</f>
        <v/>
      </c>
      <c r="J331" s="116" t="str">
        <f>IF(Tab.o1[[#This Row],[a1]]=1,((Tab.o1[[#This Row],[DIF_Target.]]-AVERAGE(Tab.o1[DIF_Target.]))/_xlfn.STDEV.P(Tab.o1[DIF_Target.])),"")</f>
        <v/>
      </c>
      <c r="K331" s="117" t="str">
        <f>IF(Tab.o1[[#This Row],[a1]]=1,IF(J$2=0,Tab.o1[[#This Row],[MOD]]-Tab.o1[[#This Row],[B]],IF(J$2=1,0,-Tab.o1[[#This Row],[MED]])+Tab.o1[[#This Row],[B]]),"")</f>
        <v/>
      </c>
      <c r="L331" s="117" t="str">
        <f ca="1">IF(Tab.o1[[#This Row],[DIF_Target]]=0,IF(L$2=0,Tab.o1[[#This Row],[DIF_Target]],AVERAGE(OFFSET(Tab.o1[[#This Row],[DIF_Target]],1,0,L$3,1)))/3,Tab.o1[[#This Row],[DIF_Target]])</f>
        <v/>
      </c>
      <c r="M331" s="118" t="str">
        <f>IF(Tab.o1[[#This Row],[a1]]=1,NORMSDIST(Tab.o1[[#This Row],[Za]]),"")</f>
        <v/>
      </c>
      <c r="N331" s="119" t="str">
        <f>IF(Tab.o1[[#This Row],[a1]]=1,((Tab.o1[[#This Row],[MedMod]]-AVERAGE(Tab.o1[MedMod]))/_xlfn.STDEV.P(Tab.o1[MedMod])*H$1205)+G$1205,"")</f>
        <v/>
      </c>
      <c r="O331" s="141" t="str">
        <f>IF(Tab.o1[[#This Row],[a1]]=1,Tab.o1[[#This Row],[Zb]]*_xlfn.STDEV.P(Tab.o1[MedMod])+AVERAGE(Tab.o1[MedMod]),"")</f>
        <v/>
      </c>
      <c r="P331" s="117" t="str">
        <f ca="1">IF(Tab.o1[[#This Row],[B]]=0,AVERAGE(OFFSET(Tab.o1[[#This Row],[B]],1,0,L$3,1)),Tab.o1[[#This Row],[B]])</f>
        <v/>
      </c>
      <c r="Q331" s="121" t="str">
        <f>IF(Tab.o1[[#This Row],[a1]]=1,NORMSDIST(Tab.o1[[#This Row],[Zb]]),"")</f>
        <v/>
      </c>
      <c r="R331" s="122" t="str">
        <f>IF(Tab.o1[[#This Row],[a1]]=1,((Tab.o1[[#This Row],[MedMod]]-AVERAGE(Tab.o1[MedMod]))/_xlfn.STDEV.P(Tab.o1[MedMod])*H$1203)+G$1203,"")</f>
        <v/>
      </c>
      <c r="S331" s="122" t="str">
        <f>IF(Tab.o1[[#This Row],[a1]]=1,((Tab.o1[[#This Row],[MedMod]]-AVERAGE(Tab.o1[MedMod]))/_xlfn.STDEV.P(Tab.o1[MedMod])*H$1204)+G$1204,"")</f>
        <v/>
      </c>
      <c r="T331" s="123" t="str">
        <f>IF(Tab.o1[[#This Row],[a1]]=1,Tab.o1[[#This Row],[Z-]]*_xlfn.STDEV.P(Tab.o1[B])+AVERAGE(Tab.o1[B]),"")</f>
        <v/>
      </c>
      <c r="U331" s="123" t="str">
        <f>IF(Tab.o1[[#This Row],[a1]]=1,Tab.o1[[#This Row],[z+]]*_xlfn.STDEV.P(Tab.o1[B])+AVERAGE(Tab.o1[B]),"")</f>
        <v/>
      </c>
      <c r="V331" s="124" t="str">
        <f>IF(Tab.o1[[#This Row],[a1]]=1,ABS((ABS(Tab.o1[[#This Row],[Red]]-Tab.o1[[#This Row],[Blue]]))),"")</f>
        <v/>
      </c>
      <c r="W331" s="125" t="str">
        <f>IF(Tab.o1[[#This Row],[a1]]=1,IF(W$3=0,1,Tab.o1[[#This Row],[Amp.]]*1/_xlfn.MINIFS(Tab.o1[Amp.],Tab.o1[Amp.],"&lt;&gt;0")),"")</f>
        <v/>
      </c>
      <c r="X331" s="126" t="str">
        <f>IF(Tab.o1[[#This Row],[a1]]=1,IF(ISNUMBER(Tab.o1[[#This Row],[i.]]),NORMDIST(Tab.o1[[#This Row],[Za]],0,1,FALSE)*Tab.o1[[#This Row],[i.]],AP$3),"")</f>
        <v/>
      </c>
      <c r="Y331" s="126" t="str">
        <f>IF(Tab.o1[[#This Row],[a1]]=1,0.01+0.94*Tab.o1[[#This Row],[PDF]]/MAX(Tab.o1[PDF]),"")</f>
        <v/>
      </c>
      <c r="Z331" s="126" t="str">
        <f>IF(Tab.o1[[#This Row],[a1]]=1,0.01+0.94*Tab.o1[[#This Row],[W1_PDF]]/MAX(Tab.o1[W1_PDF]),"")</f>
        <v/>
      </c>
      <c r="AA331" s="118" t="str">
        <f>IF(Tab.o1[[#This Row],[a1]]=1,ABS([1]!T.in.A[[#This Row],[oo6]]),"")</f>
        <v/>
      </c>
      <c r="AB331" s="127" t="str">
        <f>IF(Tab.o1[[#This Row],[a1]]=1,IF(AE$3=0,"",IF(AB$3=0,ABS([1]!T.in.A[[#This Row],[oo9]]),ABS(Tab.o1[[#This Row],[DIF_Target.]]*Tab.o1[[#This Row],[W1_PDF]]))),"")</f>
        <v/>
      </c>
      <c r="AC331" s="127" t="str">
        <f>IF(G$1=1,"",IF(Tab.o1[[#This Row],[a1]]=1,Tab.o1[[#This Row],[Wr]]^2,""))</f>
        <v/>
      </c>
      <c r="AD331" s="118" t="str">
        <f>IF(Tab.o1[[#This Row],[a1]]=1,IF(AE$3=0,"",Tab.o1[[#This Row],[Wr2]]/SUM(Tab.o1[Wr2])),"")</f>
        <v/>
      </c>
      <c r="AE331" s="128" t="str">
        <f>IF(Tab.o1[[#This Row],[a1]]=1,[1]!T.in.A[[#This Row],[oo10]],"")</f>
        <v/>
      </c>
      <c r="AF331" s="118" t="str">
        <f>IF(Tab.o1[[#This Row],[a1]]=1,ABS(Tab.o1[[#This Row],[DIF_Target.]]*Tab.o1[[#This Row],[PDF2]]*Tab.o1[[#This Row],[IN]]),"")</f>
        <v/>
      </c>
      <c r="AG331" s="129" t="str">
        <f>IF(Tab.o1[[#This Row],[a1]]=1,Tab.o1[[#This Row],[rW]]^2,"")</f>
        <v/>
      </c>
      <c r="AH331" s="130" t="str">
        <f>IF(Tab.o1[[#This Row],[a1]]=1,IF(AH$3=0,Tab.o1[[#This Row],[rW2]],0.01+0.94*Tab.o1[[#This Row],[rW2]]/SUM(Tab.o1[rW2])),"")</f>
        <v/>
      </c>
      <c r="AI331" s="128" t="str">
        <f>IF(Tab.o1[[#This Row],[a1]]=1,1/Tab.o1[[#This Row],[PDF]],"")</f>
        <v/>
      </c>
      <c r="AJ331" s="131" t="str">
        <f>IF(Tab.o1[[#This Row],[a1]]=1,[1]!T_AA[[#This Row],[IN'']]*[1]!T_AA[[#This Row],[Qde'']],"")</f>
        <v/>
      </c>
      <c r="AK331" s="132" t="str">
        <f>IF(Tab.o1[[#This Row],[a1]]=1,IF(AK$1=1,Tab.o1[[#This Row],[MED]]+Tab.o1[[#This Row],[MOD]]-Tab.o1[[#This Row],[MED]],""),"")</f>
        <v/>
      </c>
      <c r="AL331" s="133" t="str">
        <f>IF(Tab.o1[[#This Row],[a1]]=1,[1]!T.in.A[[#This Row],[oo16]],"")</f>
        <v/>
      </c>
      <c r="AM331" s="133" t="str">
        <f>IF(Tab.o1[[#This Row],[a1]]=1,IF(AM$3=1,[1]!T.in.A[[#This Row],[Σo16]],""),"")</f>
        <v/>
      </c>
      <c r="AN331" s="126" t="str">
        <f>IF(Tab.o1[[#This Row],[a1]]=1,[1]!T.in.A[[#This Row],[Σp5]],"")</f>
        <v/>
      </c>
      <c r="AO331" s="126" t="str">
        <f>IF(Tab.o1[[#This Row],[a1]]=1,IF(AO$3=1,[1]!T.in.A[[#This Row],[Σp5]],""),"")</f>
        <v/>
      </c>
      <c r="AP331" s="110" t="str">
        <f>IF(Tab.o1[[#This Row],[a1]]=1,IF(ISNUMBER(Tab.o1[[#This Row],[i.]]),NORMDIST(Tab.o1[[#This Row],[Za]],0,1,FALSE)*Tab.o1[[#This Row],[i.]],0),"")</f>
        <v/>
      </c>
      <c r="AQ331" s="125" t="str">
        <f>IF(Tab.o1[[#This Row],[a1]]=1,ABS(Tab.o1[[#This Row],[MOD]]-AVERAGE(Tab.o1[MOD])),"")</f>
        <v/>
      </c>
      <c r="AR331" s="134" t="str">
        <f>IF(Tab.o1[[#This Row],[a1]]=1,Tab.o1[[#This Row],[OBS]]/SUM(Tab.o1[OBS]),"")</f>
        <v/>
      </c>
      <c r="AS331" s="135" t="str">
        <f>IF(ISNUMBER(Tab.o1[[#This Row],[a1]]),ROW()-4,"")</f>
        <v/>
      </c>
      <c r="AT331" s="136" t="str">
        <f>Tab.o1[[#This Row],[MOD]]</f>
        <v/>
      </c>
      <c r="AU331" s="137" t="str">
        <f t="shared" si="21"/>
        <v/>
      </c>
      <c r="AV331" s="138" t="str">
        <f t="shared" si="22"/>
        <v/>
      </c>
      <c r="AW331" s="138" t="str">
        <f t="shared" si="23"/>
        <v/>
      </c>
      <c r="AX331" s="139" t="str">
        <f>[1]!T.in.A[[#This Row],[ID_T_manu]]</f>
        <v/>
      </c>
      <c r="AY331" s="140" t="str">
        <f>IF(ISNUMBER(Tab.o1[[#This Row],[a1]]),IF(AND(Tab.o1[[#This Row],[a1]]=1,Tab.o1[[#This Row],[b1]]&lt;=AY$4),#REF!,AY330),"")</f>
        <v/>
      </c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</row>
    <row r="332" spans="1:79" ht="15.75" hidden="1">
      <c r="A332" s="109">
        <v>1.0000000000000002E-6</v>
      </c>
      <c r="B332" s="110">
        <f t="shared" si="20"/>
        <v>332</v>
      </c>
      <c r="C332" s="111" t="str">
        <f>IF(C$1=[1]!T.in.A[[#This Row],[oo2]],1,"")</f>
        <v/>
      </c>
      <c r="D332" s="112" t="str">
        <f>IF(Tab.o1[[#This Row],[a1]]=1,IF(SUM(C332:C333)=0,0,IF(SUM(C331:C332)=1,1,IF(SUM(C331:C333)&gt;1,D331+1,0))),"")</f>
        <v/>
      </c>
      <c r="E332" s="113" t="str">
        <f>IF(Tab.o1[[#This Row],[a1]]=1,[1]!T.in.A[[#This Row],[oo1]],"")</f>
        <v/>
      </c>
      <c r="F332" s="113" t="str">
        <f>IF(Tab.o1[[#This Row],[a1]]=1,[1]!T.in.A[[#This Row],[pp1]],"")</f>
        <v/>
      </c>
      <c r="G332" s="114" t="str">
        <f>IF(Tab.o1[[#This Row],[a1]]=1,G$2+IF(G$1=1,0,Tab.o1[[#This Row],[.x1]])+[1]!T.in.A[[#This Row],[oo3]],"")</f>
        <v/>
      </c>
      <c r="H332" s="115" t="str">
        <f>IF(Tab.o1[[#This Row],[a1]]=1,IF(H$2=0,0,IF(G$1=1,0,Tab.o1[[#This Row],[.x1]])+[1]!T.in.A[[#This Row],[oo4]]),"")</f>
        <v/>
      </c>
      <c r="I332" s="116" t="str">
        <f>IF(Tab.o1[[#This Row],[a1]]=1,IF(J$2=0,Tab.o1[[#This Row],[MED]],Tab.o1[[#This Row],[MOD]]),"")</f>
        <v/>
      </c>
      <c r="J332" s="116" t="str">
        <f>IF(Tab.o1[[#This Row],[a1]]=1,((Tab.o1[[#This Row],[DIF_Target.]]-AVERAGE(Tab.o1[DIF_Target.]))/_xlfn.STDEV.P(Tab.o1[DIF_Target.])),"")</f>
        <v/>
      </c>
      <c r="K332" s="117" t="str">
        <f>IF(Tab.o1[[#This Row],[a1]]=1,IF(J$2=0,Tab.o1[[#This Row],[MOD]]-Tab.o1[[#This Row],[B]],IF(J$2=1,0,-Tab.o1[[#This Row],[MED]])+Tab.o1[[#This Row],[B]]),"")</f>
        <v/>
      </c>
      <c r="L332" s="117" t="str">
        <f ca="1">IF(Tab.o1[[#This Row],[DIF_Target]]=0,IF(L$2=0,Tab.o1[[#This Row],[DIF_Target]],AVERAGE(OFFSET(Tab.o1[[#This Row],[DIF_Target]],1,0,L$3,1)))/3,Tab.o1[[#This Row],[DIF_Target]])</f>
        <v/>
      </c>
      <c r="M332" s="118" t="str">
        <f>IF(Tab.o1[[#This Row],[a1]]=1,NORMSDIST(Tab.o1[[#This Row],[Za]]),"")</f>
        <v/>
      </c>
      <c r="N332" s="119" t="str">
        <f>IF(Tab.o1[[#This Row],[a1]]=1,((Tab.o1[[#This Row],[MedMod]]-AVERAGE(Tab.o1[MedMod]))/_xlfn.STDEV.P(Tab.o1[MedMod])*H$1205)+G$1205,"")</f>
        <v/>
      </c>
      <c r="O332" s="141" t="str">
        <f>IF(Tab.o1[[#This Row],[a1]]=1,Tab.o1[[#This Row],[Zb]]*_xlfn.STDEV.P(Tab.o1[MedMod])+AVERAGE(Tab.o1[MedMod]),"")</f>
        <v/>
      </c>
      <c r="P332" s="117" t="str">
        <f ca="1">IF(Tab.o1[[#This Row],[B]]=0,AVERAGE(OFFSET(Tab.o1[[#This Row],[B]],1,0,L$3,1)),Tab.o1[[#This Row],[B]])</f>
        <v/>
      </c>
      <c r="Q332" s="121" t="str">
        <f>IF(Tab.o1[[#This Row],[a1]]=1,NORMSDIST(Tab.o1[[#This Row],[Zb]]),"")</f>
        <v/>
      </c>
      <c r="R332" s="122" t="str">
        <f>IF(Tab.o1[[#This Row],[a1]]=1,((Tab.o1[[#This Row],[MedMod]]-AVERAGE(Tab.o1[MedMod]))/_xlfn.STDEV.P(Tab.o1[MedMod])*H$1203)+G$1203,"")</f>
        <v/>
      </c>
      <c r="S332" s="122" t="str">
        <f>IF(Tab.o1[[#This Row],[a1]]=1,((Tab.o1[[#This Row],[MedMod]]-AVERAGE(Tab.o1[MedMod]))/_xlfn.STDEV.P(Tab.o1[MedMod])*H$1204)+G$1204,"")</f>
        <v/>
      </c>
      <c r="T332" s="123" t="str">
        <f>IF(Tab.o1[[#This Row],[a1]]=1,Tab.o1[[#This Row],[Z-]]*_xlfn.STDEV.P(Tab.o1[B])+AVERAGE(Tab.o1[B]),"")</f>
        <v/>
      </c>
      <c r="U332" s="123" t="str">
        <f>IF(Tab.o1[[#This Row],[a1]]=1,Tab.o1[[#This Row],[z+]]*_xlfn.STDEV.P(Tab.o1[B])+AVERAGE(Tab.o1[B]),"")</f>
        <v/>
      </c>
      <c r="V332" s="124" t="str">
        <f>IF(Tab.o1[[#This Row],[a1]]=1,ABS((ABS(Tab.o1[[#This Row],[Red]]-Tab.o1[[#This Row],[Blue]]))),"")</f>
        <v/>
      </c>
      <c r="W332" s="125" t="str">
        <f>IF(Tab.o1[[#This Row],[a1]]=1,IF(W$3=0,1,Tab.o1[[#This Row],[Amp.]]*1/_xlfn.MINIFS(Tab.o1[Amp.],Tab.o1[Amp.],"&lt;&gt;0")),"")</f>
        <v/>
      </c>
      <c r="X332" s="126" t="str">
        <f>IF(Tab.o1[[#This Row],[a1]]=1,IF(ISNUMBER(Tab.o1[[#This Row],[i.]]),NORMDIST(Tab.o1[[#This Row],[Za]],0,1,FALSE)*Tab.o1[[#This Row],[i.]],AP$3),"")</f>
        <v/>
      </c>
      <c r="Y332" s="126" t="str">
        <f>IF(Tab.o1[[#This Row],[a1]]=1,0.01+0.94*Tab.o1[[#This Row],[PDF]]/MAX(Tab.o1[PDF]),"")</f>
        <v/>
      </c>
      <c r="Z332" s="126" t="str">
        <f>IF(Tab.o1[[#This Row],[a1]]=1,0.01+0.94*Tab.o1[[#This Row],[W1_PDF]]/MAX(Tab.o1[W1_PDF]),"")</f>
        <v/>
      </c>
      <c r="AA332" s="118" t="str">
        <f>IF(Tab.o1[[#This Row],[a1]]=1,ABS([1]!T.in.A[[#This Row],[oo6]]),"")</f>
        <v/>
      </c>
      <c r="AB332" s="127" t="str">
        <f>IF(Tab.o1[[#This Row],[a1]]=1,IF(AE$3=0,"",IF(AB$3=0,ABS([1]!T.in.A[[#This Row],[oo9]]),ABS(Tab.o1[[#This Row],[DIF_Target.]]*Tab.o1[[#This Row],[W1_PDF]]))),"")</f>
        <v/>
      </c>
      <c r="AC332" s="127" t="str">
        <f>IF(G$1=1,"",IF(Tab.o1[[#This Row],[a1]]=1,Tab.o1[[#This Row],[Wr]]^2,""))</f>
        <v/>
      </c>
      <c r="AD332" s="118" t="str">
        <f>IF(Tab.o1[[#This Row],[a1]]=1,IF(AE$3=0,"",Tab.o1[[#This Row],[Wr2]]/SUM(Tab.o1[Wr2])),"")</f>
        <v/>
      </c>
      <c r="AE332" s="128" t="str">
        <f>IF(Tab.o1[[#This Row],[a1]]=1,[1]!T.in.A[[#This Row],[oo10]],"")</f>
        <v/>
      </c>
      <c r="AF332" s="118" t="str">
        <f>IF(Tab.o1[[#This Row],[a1]]=1,ABS(Tab.o1[[#This Row],[DIF_Target.]]*Tab.o1[[#This Row],[PDF2]]*Tab.o1[[#This Row],[IN]]),"")</f>
        <v/>
      </c>
      <c r="AG332" s="129" t="str">
        <f>IF(Tab.o1[[#This Row],[a1]]=1,Tab.o1[[#This Row],[rW]]^2,"")</f>
        <v/>
      </c>
      <c r="AH332" s="130" t="str">
        <f>IF(Tab.o1[[#This Row],[a1]]=1,IF(AH$3=0,Tab.o1[[#This Row],[rW2]],0.01+0.94*Tab.o1[[#This Row],[rW2]]/SUM(Tab.o1[rW2])),"")</f>
        <v/>
      </c>
      <c r="AI332" s="128" t="str">
        <f>IF(Tab.o1[[#This Row],[a1]]=1,1/Tab.o1[[#This Row],[PDF]],"")</f>
        <v/>
      </c>
      <c r="AJ332" s="131" t="str">
        <f>IF(Tab.o1[[#This Row],[a1]]=1,[1]!T_AA[[#This Row],[IN'']]*[1]!T_AA[[#This Row],[Qde'']],"")</f>
        <v/>
      </c>
      <c r="AK332" s="132" t="str">
        <f>IF(Tab.o1[[#This Row],[a1]]=1,IF(AK$1=1,Tab.o1[[#This Row],[MED]]+Tab.o1[[#This Row],[MOD]]-Tab.o1[[#This Row],[MED]],""),"")</f>
        <v/>
      </c>
      <c r="AL332" s="133" t="str">
        <f>IF(Tab.o1[[#This Row],[a1]]=1,[1]!T.in.A[[#This Row],[oo16]],"")</f>
        <v/>
      </c>
      <c r="AM332" s="133" t="str">
        <f>IF(Tab.o1[[#This Row],[a1]]=1,IF(AM$3=1,[1]!T.in.A[[#This Row],[Σo16]],""),"")</f>
        <v/>
      </c>
      <c r="AN332" s="126" t="str">
        <f>IF(Tab.o1[[#This Row],[a1]]=1,[1]!T.in.A[[#This Row],[Σp5]],"")</f>
        <v/>
      </c>
      <c r="AO332" s="126" t="str">
        <f>IF(Tab.o1[[#This Row],[a1]]=1,IF(AO$3=1,[1]!T.in.A[[#This Row],[Σp5]],""),"")</f>
        <v/>
      </c>
      <c r="AP332" s="110" t="str">
        <f>IF(Tab.o1[[#This Row],[a1]]=1,IF(ISNUMBER(Tab.o1[[#This Row],[i.]]),NORMDIST(Tab.o1[[#This Row],[Za]],0,1,FALSE)*Tab.o1[[#This Row],[i.]],0),"")</f>
        <v/>
      </c>
      <c r="AQ332" s="125" t="str">
        <f>IF(Tab.o1[[#This Row],[a1]]=1,ABS(Tab.o1[[#This Row],[MOD]]-AVERAGE(Tab.o1[MOD])),"")</f>
        <v/>
      </c>
      <c r="AR332" s="134" t="str">
        <f>IF(Tab.o1[[#This Row],[a1]]=1,Tab.o1[[#This Row],[OBS]]/SUM(Tab.o1[OBS]),"")</f>
        <v/>
      </c>
      <c r="AS332" s="135" t="str">
        <f>IF(ISNUMBER(Tab.o1[[#This Row],[a1]]),ROW()-4,"")</f>
        <v/>
      </c>
      <c r="AT332" s="136" t="str">
        <f>Tab.o1[[#This Row],[MOD]]</f>
        <v/>
      </c>
      <c r="AU332" s="137" t="str">
        <f t="shared" si="21"/>
        <v/>
      </c>
      <c r="AV332" s="138" t="str">
        <f t="shared" si="22"/>
        <v/>
      </c>
      <c r="AW332" s="138" t="str">
        <f t="shared" si="23"/>
        <v/>
      </c>
      <c r="AX332" s="139" t="str">
        <f>[1]!T.in.A[[#This Row],[ID_T_manu]]</f>
        <v/>
      </c>
      <c r="AY332" s="140" t="str">
        <f>IF(ISNUMBER(Tab.o1[[#This Row],[a1]]),IF(AND(Tab.o1[[#This Row],[a1]]=1,Tab.o1[[#This Row],[b1]]&lt;=AY$4),#REF!,AY331),"")</f>
        <v/>
      </c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</row>
    <row r="333" spans="1:79" ht="15.75" hidden="1">
      <c r="A333" s="109">
        <v>1.0000000000000002E-6</v>
      </c>
      <c r="B333" s="110">
        <f t="shared" si="20"/>
        <v>333</v>
      </c>
      <c r="C333" s="111" t="str">
        <f>IF(C$1=[1]!T.in.A[[#This Row],[oo2]],1,"")</f>
        <v/>
      </c>
      <c r="D333" s="112" t="str">
        <f>IF(Tab.o1[[#This Row],[a1]]=1,IF(SUM(C333:C334)=0,0,IF(SUM(C332:C333)=1,1,IF(SUM(C332:C334)&gt;1,D332+1,0))),"")</f>
        <v/>
      </c>
      <c r="E333" s="113" t="str">
        <f>IF(Tab.o1[[#This Row],[a1]]=1,[1]!T.in.A[[#This Row],[oo1]],"")</f>
        <v/>
      </c>
      <c r="F333" s="113" t="str">
        <f>IF(Tab.o1[[#This Row],[a1]]=1,[1]!T.in.A[[#This Row],[pp1]],"")</f>
        <v/>
      </c>
      <c r="G333" s="114" t="str">
        <f>IF(Tab.o1[[#This Row],[a1]]=1,G$2+IF(G$1=1,0,Tab.o1[[#This Row],[.x1]])+[1]!T.in.A[[#This Row],[oo3]],"")</f>
        <v/>
      </c>
      <c r="H333" s="115" t="str">
        <f>IF(Tab.o1[[#This Row],[a1]]=1,IF(H$2=0,0,IF(G$1=1,0,Tab.o1[[#This Row],[.x1]])+[1]!T.in.A[[#This Row],[oo4]]),"")</f>
        <v/>
      </c>
      <c r="I333" s="116" t="str">
        <f>IF(Tab.o1[[#This Row],[a1]]=1,IF(J$2=0,Tab.o1[[#This Row],[MED]],Tab.o1[[#This Row],[MOD]]),"")</f>
        <v/>
      </c>
      <c r="J333" s="116" t="str">
        <f>IF(Tab.o1[[#This Row],[a1]]=1,((Tab.o1[[#This Row],[DIF_Target.]]-AVERAGE(Tab.o1[DIF_Target.]))/_xlfn.STDEV.P(Tab.o1[DIF_Target.])),"")</f>
        <v/>
      </c>
      <c r="K333" s="117" t="str">
        <f>IF(Tab.o1[[#This Row],[a1]]=1,IF(J$2=0,Tab.o1[[#This Row],[MOD]]-Tab.o1[[#This Row],[B]],IF(J$2=1,0,-Tab.o1[[#This Row],[MED]])+Tab.o1[[#This Row],[B]]),"")</f>
        <v/>
      </c>
      <c r="L333" s="117" t="str">
        <f ca="1">IF(Tab.o1[[#This Row],[DIF_Target]]=0,IF(L$2=0,Tab.o1[[#This Row],[DIF_Target]],AVERAGE(OFFSET(Tab.o1[[#This Row],[DIF_Target]],1,0,L$3,1)))/3,Tab.o1[[#This Row],[DIF_Target]])</f>
        <v/>
      </c>
      <c r="M333" s="118" t="str">
        <f>IF(Tab.o1[[#This Row],[a1]]=1,NORMSDIST(Tab.o1[[#This Row],[Za]]),"")</f>
        <v/>
      </c>
      <c r="N333" s="119" t="str">
        <f>IF(Tab.o1[[#This Row],[a1]]=1,((Tab.o1[[#This Row],[MedMod]]-AVERAGE(Tab.o1[MedMod]))/_xlfn.STDEV.P(Tab.o1[MedMod])*H$1205)+G$1205,"")</f>
        <v/>
      </c>
      <c r="O333" s="141" t="str">
        <f>IF(Tab.o1[[#This Row],[a1]]=1,Tab.o1[[#This Row],[Zb]]*_xlfn.STDEV.P(Tab.o1[MedMod])+AVERAGE(Tab.o1[MedMod]),"")</f>
        <v/>
      </c>
      <c r="P333" s="117" t="str">
        <f ca="1">IF(Tab.o1[[#This Row],[B]]=0,AVERAGE(OFFSET(Tab.o1[[#This Row],[B]],1,0,L$3,1)),Tab.o1[[#This Row],[B]])</f>
        <v/>
      </c>
      <c r="Q333" s="121" t="str">
        <f>IF(Tab.o1[[#This Row],[a1]]=1,NORMSDIST(Tab.o1[[#This Row],[Zb]]),"")</f>
        <v/>
      </c>
      <c r="R333" s="122" t="str">
        <f>IF(Tab.o1[[#This Row],[a1]]=1,((Tab.o1[[#This Row],[MedMod]]-AVERAGE(Tab.o1[MedMod]))/_xlfn.STDEV.P(Tab.o1[MedMod])*H$1203)+G$1203,"")</f>
        <v/>
      </c>
      <c r="S333" s="122" t="str">
        <f>IF(Tab.o1[[#This Row],[a1]]=1,((Tab.o1[[#This Row],[MedMod]]-AVERAGE(Tab.o1[MedMod]))/_xlfn.STDEV.P(Tab.o1[MedMod])*H$1204)+G$1204,"")</f>
        <v/>
      </c>
      <c r="T333" s="123" t="str">
        <f>IF(Tab.o1[[#This Row],[a1]]=1,Tab.o1[[#This Row],[Z-]]*_xlfn.STDEV.P(Tab.o1[B])+AVERAGE(Tab.o1[B]),"")</f>
        <v/>
      </c>
      <c r="U333" s="123" t="str">
        <f>IF(Tab.o1[[#This Row],[a1]]=1,Tab.o1[[#This Row],[z+]]*_xlfn.STDEV.P(Tab.o1[B])+AVERAGE(Tab.o1[B]),"")</f>
        <v/>
      </c>
      <c r="V333" s="124" t="str">
        <f>IF(Tab.o1[[#This Row],[a1]]=1,ABS((ABS(Tab.o1[[#This Row],[Red]]-Tab.o1[[#This Row],[Blue]]))),"")</f>
        <v/>
      </c>
      <c r="W333" s="125" t="str">
        <f>IF(Tab.o1[[#This Row],[a1]]=1,IF(W$3=0,1,Tab.o1[[#This Row],[Amp.]]*1/_xlfn.MINIFS(Tab.o1[Amp.],Tab.o1[Amp.],"&lt;&gt;0")),"")</f>
        <v/>
      </c>
      <c r="X333" s="126" t="str">
        <f>IF(Tab.o1[[#This Row],[a1]]=1,IF(ISNUMBER(Tab.o1[[#This Row],[i.]]),NORMDIST(Tab.o1[[#This Row],[Za]],0,1,FALSE)*Tab.o1[[#This Row],[i.]],AP$3),"")</f>
        <v/>
      </c>
      <c r="Y333" s="126" t="str">
        <f>IF(Tab.o1[[#This Row],[a1]]=1,0.01+0.94*Tab.o1[[#This Row],[PDF]]/MAX(Tab.o1[PDF]),"")</f>
        <v/>
      </c>
      <c r="Z333" s="126" t="str">
        <f>IF(Tab.o1[[#This Row],[a1]]=1,0.01+0.94*Tab.o1[[#This Row],[W1_PDF]]/MAX(Tab.o1[W1_PDF]),"")</f>
        <v/>
      </c>
      <c r="AA333" s="118" t="str">
        <f>IF(Tab.o1[[#This Row],[a1]]=1,ABS([1]!T.in.A[[#This Row],[oo6]]),"")</f>
        <v/>
      </c>
      <c r="AB333" s="127" t="str">
        <f>IF(Tab.o1[[#This Row],[a1]]=1,IF(AE$3=0,"",IF(AB$3=0,ABS([1]!T.in.A[[#This Row],[oo9]]),ABS(Tab.o1[[#This Row],[DIF_Target.]]*Tab.o1[[#This Row],[W1_PDF]]))),"")</f>
        <v/>
      </c>
      <c r="AC333" s="127" t="str">
        <f>IF(G$1=1,"",IF(Tab.o1[[#This Row],[a1]]=1,Tab.o1[[#This Row],[Wr]]^2,""))</f>
        <v/>
      </c>
      <c r="AD333" s="118" t="str">
        <f>IF(Tab.o1[[#This Row],[a1]]=1,IF(AE$3=0,"",Tab.o1[[#This Row],[Wr2]]/SUM(Tab.o1[Wr2])),"")</f>
        <v/>
      </c>
      <c r="AE333" s="128" t="str">
        <f>IF(Tab.o1[[#This Row],[a1]]=1,[1]!T.in.A[[#This Row],[oo10]],"")</f>
        <v/>
      </c>
      <c r="AF333" s="118" t="str">
        <f>IF(Tab.o1[[#This Row],[a1]]=1,ABS(Tab.o1[[#This Row],[DIF_Target.]]*Tab.o1[[#This Row],[PDF2]]*Tab.o1[[#This Row],[IN]]),"")</f>
        <v/>
      </c>
      <c r="AG333" s="129" t="str">
        <f>IF(Tab.o1[[#This Row],[a1]]=1,Tab.o1[[#This Row],[rW]]^2,"")</f>
        <v/>
      </c>
      <c r="AH333" s="130" t="str">
        <f>IF(Tab.o1[[#This Row],[a1]]=1,IF(AH$3=0,Tab.o1[[#This Row],[rW2]],0.01+0.94*Tab.o1[[#This Row],[rW2]]/SUM(Tab.o1[rW2])),"")</f>
        <v/>
      </c>
      <c r="AI333" s="128" t="str">
        <f>IF(Tab.o1[[#This Row],[a1]]=1,1/Tab.o1[[#This Row],[PDF]],"")</f>
        <v/>
      </c>
      <c r="AJ333" s="131" t="str">
        <f>IF(Tab.o1[[#This Row],[a1]]=1,[1]!T_AA[[#This Row],[IN'']]*[1]!T_AA[[#This Row],[Qde'']],"")</f>
        <v/>
      </c>
      <c r="AK333" s="132" t="str">
        <f>IF(Tab.o1[[#This Row],[a1]]=1,IF(AK$1=1,Tab.o1[[#This Row],[MED]]+Tab.o1[[#This Row],[MOD]]-Tab.o1[[#This Row],[MED]],""),"")</f>
        <v/>
      </c>
      <c r="AL333" s="133" t="str">
        <f>IF(Tab.o1[[#This Row],[a1]]=1,[1]!T.in.A[[#This Row],[oo16]],"")</f>
        <v/>
      </c>
      <c r="AM333" s="133" t="str">
        <f>IF(Tab.o1[[#This Row],[a1]]=1,IF(AM$3=1,[1]!T.in.A[[#This Row],[Σo16]],""),"")</f>
        <v/>
      </c>
      <c r="AN333" s="126" t="str">
        <f>IF(Tab.o1[[#This Row],[a1]]=1,[1]!T.in.A[[#This Row],[Σp5]],"")</f>
        <v/>
      </c>
      <c r="AO333" s="126" t="str">
        <f>IF(Tab.o1[[#This Row],[a1]]=1,IF(AO$3=1,[1]!T.in.A[[#This Row],[Σp5]],""),"")</f>
        <v/>
      </c>
      <c r="AP333" s="110" t="str">
        <f>IF(Tab.o1[[#This Row],[a1]]=1,IF(ISNUMBER(Tab.o1[[#This Row],[i.]]),NORMDIST(Tab.o1[[#This Row],[Za]],0,1,FALSE)*Tab.o1[[#This Row],[i.]],0),"")</f>
        <v/>
      </c>
      <c r="AQ333" s="125" t="str">
        <f>IF(Tab.o1[[#This Row],[a1]]=1,ABS(Tab.o1[[#This Row],[MOD]]-AVERAGE(Tab.o1[MOD])),"")</f>
        <v/>
      </c>
      <c r="AR333" s="134" t="str">
        <f>IF(Tab.o1[[#This Row],[a1]]=1,Tab.o1[[#This Row],[OBS]]/SUM(Tab.o1[OBS]),"")</f>
        <v/>
      </c>
      <c r="AS333" s="135" t="str">
        <f>IF(ISNUMBER(Tab.o1[[#This Row],[a1]]),ROW()-4,"")</f>
        <v/>
      </c>
      <c r="AT333" s="136" t="str">
        <f>Tab.o1[[#This Row],[MOD]]</f>
        <v/>
      </c>
      <c r="AU333" s="137" t="str">
        <f t="shared" si="21"/>
        <v/>
      </c>
      <c r="AV333" s="138" t="str">
        <f t="shared" si="22"/>
        <v/>
      </c>
      <c r="AW333" s="138" t="str">
        <f t="shared" si="23"/>
        <v/>
      </c>
      <c r="AX333" s="139" t="str">
        <f>[1]!T.in.A[[#This Row],[ID_T_manu]]</f>
        <v/>
      </c>
      <c r="AY333" s="140" t="str">
        <f>IF(ISNUMBER(Tab.o1[[#This Row],[a1]]),IF(AND(Tab.o1[[#This Row],[a1]]=1,Tab.o1[[#This Row],[b1]]&lt;=AY$4),#REF!,AY332),"")</f>
        <v/>
      </c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</row>
    <row r="334" spans="1:79" ht="15.75" hidden="1">
      <c r="A334" s="109">
        <v>-1.0000000000000001E-5</v>
      </c>
      <c r="B334" s="110">
        <f t="shared" si="20"/>
        <v>334</v>
      </c>
      <c r="C334" s="111" t="str">
        <f>IF(C$1=[1]!T.in.A[[#This Row],[oo2]],1,"")</f>
        <v/>
      </c>
      <c r="D334" s="112" t="str">
        <f>IF(Tab.o1[[#This Row],[a1]]=1,IF(SUM(C334:C335)=0,0,IF(SUM(C333:C334)=1,1,IF(SUM(C333:C335)&gt;1,D333+1,0))),"")</f>
        <v/>
      </c>
      <c r="E334" s="113" t="str">
        <f>IF(Tab.o1[[#This Row],[a1]]=1,[1]!T.in.A[[#This Row],[oo1]],"")</f>
        <v/>
      </c>
      <c r="F334" s="113" t="str">
        <f>IF(Tab.o1[[#This Row],[a1]]=1,[1]!T.in.A[[#This Row],[pp1]],"")</f>
        <v/>
      </c>
      <c r="G334" s="114" t="str">
        <f>IF(Tab.o1[[#This Row],[a1]]=1,G$2+IF(G$1=1,0,Tab.o1[[#This Row],[.x1]])+[1]!T.in.A[[#This Row],[oo3]],"")</f>
        <v/>
      </c>
      <c r="H334" s="115" t="str">
        <f>IF(Tab.o1[[#This Row],[a1]]=1,IF(H$2=0,0,IF(G$1=1,0,Tab.o1[[#This Row],[.x1]])+[1]!T.in.A[[#This Row],[oo4]]),"")</f>
        <v/>
      </c>
      <c r="I334" s="116" t="str">
        <f>IF(Tab.o1[[#This Row],[a1]]=1,IF(J$2=0,Tab.o1[[#This Row],[MED]],Tab.o1[[#This Row],[MOD]]),"")</f>
        <v/>
      </c>
      <c r="J334" s="116" t="str">
        <f>IF(Tab.o1[[#This Row],[a1]]=1,((Tab.o1[[#This Row],[DIF_Target.]]-AVERAGE(Tab.o1[DIF_Target.]))/_xlfn.STDEV.P(Tab.o1[DIF_Target.])),"")</f>
        <v/>
      </c>
      <c r="K334" s="117" t="str">
        <f>IF(Tab.o1[[#This Row],[a1]]=1,IF(J$2=0,Tab.o1[[#This Row],[MOD]]-Tab.o1[[#This Row],[B]],IF(J$2=1,0,-Tab.o1[[#This Row],[MED]])+Tab.o1[[#This Row],[B]]),"")</f>
        <v/>
      </c>
      <c r="L334" s="117" t="str">
        <f ca="1">IF(Tab.o1[[#This Row],[DIF_Target]]=0,IF(L$2=0,Tab.o1[[#This Row],[DIF_Target]],AVERAGE(OFFSET(Tab.o1[[#This Row],[DIF_Target]],1,0,L$3,1)))/3,Tab.o1[[#This Row],[DIF_Target]])</f>
        <v/>
      </c>
      <c r="M334" s="118" t="str">
        <f>IF(Tab.o1[[#This Row],[a1]]=1,NORMSDIST(Tab.o1[[#This Row],[Za]]),"")</f>
        <v/>
      </c>
      <c r="N334" s="119" t="str">
        <f>IF(Tab.o1[[#This Row],[a1]]=1,((Tab.o1[[#This Row],[MedMod]]-AVERAGE(Tab.o1[MedMod]))/_xlfn.STDEV.P(Tab.o1[MedMod])*H$1205)+G$1205,"")</f>
        <v/>
      </c>
      <c r="O334" s="141" t="str">
        <f>IF(Tab.o1[[#This Row],[a1]]=1,Tab.o1[[#This Row],[Zb]]*_xlfn.STDEV.P(Tab.o1[MedMod])+AVERAGE(Tab.o1[MedMod]),"")</f>
        <v/>
      </c>
      <c r="P334" s="117" t="str">
        <f ca="1">IF(Tab.o1[[#This Row],[B]]=0,AVERAGE(OFFSET(Tab.o1[[#This Row],[B]],1,0,L$3,1)),Tab.o1[[#This Row],[B]])</f>
        <v/>
      </c>
      <c r="Q334" s="121" t="str">
        <f>IF(Tab.o1[[#This Row],[a1]]=1,NORMSDIST(Tab.o1[[#This Row],[Zb]]),"")</f>
        <v/>
      </c>
      <c r="R334" s="122" t="str">
        <f>IF(Tab.o1[[#This Row],[a1]]=1,((Tab.o1[[#This Row],[MedMod]]-AVERAGE(Tab.o1[MedMod]))/_xlfn.STDEV.P(Tab.o1[MedMod])*H$1203)+G$1203,"")</f>
        <v/>
      </c>
      <c r="S334" s="122" t="str">
        <f>IF(Tab.o1[[#This Row],[a1]]=1,((Tab.o1[[#This Row],[MedMod]]-AVERAGE(Tab.o1[MedMod]))/_xlfn.STDEV.P(Tab.o1[MedMod])*H$1204)+G$1204,"")</f>
        <v/>
      </c>
      <c r="T334" s="123" t="str">
        <f>IF(Tab.o1[[#This Row],[a1]]=1,Tab.o1[[#This Row],[Z-]]*_xlfn.STDEV.P(Tab.o1[B])+AVERAGE(Tab.o1[B]),"")</f>
        <v/>
      </c>
      <c r="U334" s="123" t="str">
        <f>IF(Tab.o1[[#This Row],[a1]]=1,Tab.o1[[#This Row],[z+]]*_xlfn.STDEV.P(Tab.o1[B])+AVERAGE(Tab.o1[B]),"")</f>
        <v/>
      </c>
      <c r="V334" s="124" t="str">
        <f>IF(Tab.o1[[#This Row],[a1]]=1,ABS((ABS(Tab.o1[[#This Row],[Red]]-Tab.o1[[#This Row],[Blue]]))),"")</f>
        <v/>
      </c>
      <c r="W334" s="125" t="str">
        <f>IF(Tab.o1[[#This Row],[a1]]=1,IF(W$3=0,1,Tab.o1[[#This Row],[Amp.]]*1/_xlfn.MINIFS(Tab.o1[Amp.],Tab.o1[Amp.],"&lt;&gt;0")),"")</f>
        <v/>
      </c>
      <c r="X334" s="126" t="str">
        <f>IF(Tab.o1[[#This Row],[a1]]=1,IF(ISNUMBER(Tab.o1[[#This Row],[i.]]),NORMDIST(Tab.o1[[#This Row],[Za]],0,1,FALSE)*Tab.o1[[#This Row],[i.]],AP$3),"")</f>
        <v/>
      </c>
      <c r="Y334" s="126" t="str">
        <f>IF(Tab.o1[[#This Row],[a1]]=1,0.01+0.94*Tab.o1[[#This Row],[PDF]]/MAX(Tab.o1[PDF]),"")</f>
        <v/>
      </c>
      <c r="Z334" s="126" t="str">
        <f>IF(Tab.o1[[#This Row],[a1]]=1,0.01+0.94*Tab.o1[[#This Row],[W1_PDF]]/MAX(Tab.o1[W1_PDF]),"")</f>
        <v/>
      </c>
      <c r="AA334" s="118" t="str">
        <f>IF(Tab.o1[[#This Row],[a1]]=1,ABS([1]!T.in.A[[#This Row],[oo6]]),"")</f>
        <v/>
      </c>
      <c r="AB334" s="127" t="str">
        <f>IF(Tab.o1[[#This Row],[a1]]=1,IF(AE$3=0,"",IF(AB$3=0,ABS([1]!T.in.A[[#This Row],[oo9]]),ABS(Tab.o1[[#This Row],[DIF_Target.]]*Tab.o1[[#This Row],[W1_PDF]]))),"")</f>
        <v/>
      </c>
      <c r="AC334" s="127" t="str">
        <f>IF(G$1=1,"",IF(Tab.o1[[#This Row],[a1]]=1,Tab.o1[[#This Row],[Wr]]^2,""))</f>
        <v/>
      </c>
      <c r="AD334" s="118" t="str">
        <f>IF(Tab.o1[[#This Row],[a1]]=1,IF(AE$3=0,"",Tab.o1[[#This Row],[Wr2]]/SUM(Tab.o1[Wr2])),"")</f>
        <v/>
      </c>
      <c r="AE334" s="128" t="str">
        <f>IF(Tab.o1[[#This Row],[a1]]=1,[1]!T.in.A[[#This Row],[oo10]],"")</f>
        <v/>
      </c>
      <c r="AF334" s="118" t="str">
        <f>IF(Tab.o1[[#This Row],[a1]]=1,ABS(Tab.o1[[#This Row],[DIF_Target.]]*Tab.o1[[#This Row],[PDF2]]*Tab.o1[[#This Row],[IN]]),"")</f>
        <v/>
      </c>
      <c r="AG334" s="129" t="str">
        <f>IF(Tab.o1[[#This Row],[a1]]=1,Tab.o1[[#This Row],[rW]]^2,"")</f>
        <v/>
      </c>
      <c r="AH334" s="130" t="str">
        <f>IF(Tab.o1[[#This Row],[a1]]=1,IF(AH$3=0,Tab.o1[[#This Row],[rW2]],0.01+0.94*Tab.o1[[#This Row],[rW2]]/SUM(Tab.o1[rW2])),"")</f>
        <v/>
      </c>
      <c r="AI334" s="128" t="str">
        <f>IF(Tab.o1[[#This Row],[a1]]=1,1/Tab.o1[[#This Row],[PDF]],"")</f>
        <v/>
      </c>
      <c r="AJ334" s="131" t="str">
        <f>IF(Tab.o1[[#This Row],[a1]]=1,[1]!T_AA[[#This Row],[IN'']]*[1]!T_AA[[#This Row],[Qde'']],"")</f>
        <v/>
      </c>
      <c r="AK334" s="132" t="str">
        <f>IF(Tab.o1[[#This Row],[a1]]=1,IF(AK$1=1,Tab.o1[[#This Row],[MED]]+Tab.o1[[#This Row],[MOD]]-Tab.o1[[#This Row],[MED]],""),"")</f>
        <v/>
      </c>
      <c r="AL334" s="133" t="str">
        <f>IF(Tab.o1[[#This Row],[a1]]=1,[1]!T.in.A[[#This Row],[oo16]],"")</f>
        <v/>
      </c>
      <c r="AM334" s="133" t="str">
        <f>IF(Tab.o1[[#This Row],[a1]]=1,IF(AM$3=1,[1]!T.in.A[[#This Row],[Σo16]],""),"")</f>
        <v/>
      </c>
      <c r="AN334" s="126" t="str">
        <f>IF(Tab.o1[[#This Row],[a1]]=1,[1]!T.in.A[[#This Row],[Σp5]],"")</f>
        <v/>
      </c>
      <c r="AO334" s="126" t="str">
        <f>IF(Tab.o1[[#This Row],[a1]]=1,IF(AO$3=1,[1]!T.in.A[[#This Row],[Σp5]],""),"")</f>
        <v/>
      </c>
      <c r="AP334" s="110" t="str">
        <f>IF(Tab.o1[[#This Row],[a1]]=1,IF(ISNUMBER(Tab.o1[[#This Row],[i.]]),NORMDIST(Tab.o1[[#This Row],[Za]],0,1,FALSE)*Tab.o1[[#This Row],[i.]],0),"")</f>
        <v/>
      </c>
      <c r="AQ334" s="125" t="str">
        <f>IF(Tab.o1[[#This Row],[a1]]=1,ABS(Tab.o1[[#This Row],[MOD]]-AVERAGE(Tab.o1[MOD])),"")</f>
        <v/>
      </c>
      <c r="AR334" s="134" t="str">
        <f>IF(Tab.o1[[#This Row],[a1]]=1,Tab.o1[[#This Row],[OBS]]/SUM(Tab.o1[OBS]),"")</f>
        <v/>
      </c>
      <c r="AS334" s="135" t="str">
        <f>IF(ISNUMBER(Tab.o1[[#This Row],[a1]]),ROW()-4,"")</f>
        <v/>
      </c>
      <c r="AT334" s="136" t="str">
        <f>Tab.o1[[#This Row],[MOD]]</f>
        <v/>
      </c>
      <c r="AU334" s="137" t="str">
        <f t="shared" si="21"/>
        <v/>
      </c>
      <c r="AV334" s="138" t="str">
        <f t="shared" si="22"/>
        <v/>
      </c>
      <c r="AW334" s="138" t="str">
        <f t="shared" si="23"/>
        <v/>
      </c>
      <c r="AX334" s="139" t="str">
        <f>[1]!T.in.A[[#This Row],[ID_T_manu]]</f>
        <v/>
      </c>
      <c r="AY334" s="140" t="str">
        <f>IF(ISNUMBER(Tab.o1[[#This Row],[a1]]),IF(AND(Tab.o1[[#This Row],[a1]]=1,Tab.o1[[#This Row],[b1]]&lt;=AY$4),#REF!,AY333),"")</f>
        <v/>
      </c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</row>
    <row r="335" spans="1:79" ht="15.75" hidden="1">
      <c r="A335" s="109">
        <v>5.9999999999999993E-6</v>
      </c>
      <c r="B335" s="110">
        <f t="shared" si="20"/>
        <v>335</v>
      </c>
      <c r="C335" s="111" t="str">
        <f>IF(C$1=[1]!T.in.A[[#This Row],[oo2]],1,"")</f>
        <v/>
      </c>
      <c r="D335" s="112" t="str">
        <f>IF(Tab.o1[[#This Row],[a1]]=1,IF(SUM(C335:C336)=0,0,IF(SUM(C334:C335)=1,1,IF(SUM(C334:C336)&gt;1,D334+1,0))),"")</f>
        <v/>
      </c>
      <c r="E335" s="113" t="str">
        <f>IF(Tab.o1[[#This Row],[a1]]=1,[1]!T.in.A[[#This Row],[oo1]],"")</f>
        <v/>
      </c>
      <c r="F335" s="113" t="str">
        <f>IF(Tab.o1[[#This Row],[a1]]=1,[1]!T.in.A[[#This Row],[pp1]],"")</f>
        <v/>
      </c>
      <c r="G335" s="114" t="str">
        <f>IF(Tab.o1[[#This Row],[a1]]=1,G$2+IF(G$1=1,0,Tab.o1[[#This Row],[.x1]])+[1]!T.in.A[[#This Row],[oo3]],"")</f>
        <v/>
      </c>
      <c r="H335" s="115" t="str">
        <f>IF(Tab.o1[[#This Row],[a1]]=1,IF(H$2=0,0,IF(G$1=1,0,Tab.o1[[#This Row],[.x1]])+[1]!T.in.A[[#This Row],[oo4]]),"")</f>
        <v/>
      </c>
      <c r="I335" s="116" t="str">
        <f>IF(Tab.o1[[#This Row],[a1]]=1,IF(J$2=0,Tab.o1[[#This Row],[MED]],Tab.o1[[#This Row],[MOD]]),"")</f>
        <v/>
      </c>
      <c r="J335" s="116" t="str">
        <f>IF(Tab.o1[[#This Row],[a1]]=1,((Tab.o1[[#This Row],[DIF_Target.]]-AVERAGE(Tab.o1[DIF_Target.]))/_xlfn.STDEV.P(Tab.o1[DIF_Target.])),"")</f>
        <v/>
      </c>
      <c r="K335" s="117" t="str">
        <f>IF(Tab.o1[[#This Row],[a1]]=1,IF(J$2=0,Tab.o1[[#This Row],[MOD]]-Tab.o1[[#This Row],[B]],IF(J$2=1,0,-Tab.o1[[#This Row],[MED]])+Tab.o1[[#This Row],[B]]),"")</f>
        <v/>
      </c>
      <c r="L335" s="117" t="str">
        <f ca="1">IF(Tab.o1[[#This Row],[DIF_Target]]=0,IF(L$2=0,Tab.o1[[#This Row],[DIF_Target]],AVERAGE(OFFSET(Tab.o1[[#This Row],[DIF_Target]],1,0,L$3,1)))/3,Tab.o1[[#This Row],[DIF_Target]])</f>
        <v/>
      </c>
      <c r="M335" s="118" t="str">
        <f>IF(Tab.o1[[#This Row],[a1]]=1,NORMSDIST(Tab.o1[[#This Row],[Za]]),"")</f>
        <v/>
      </c>
      <c r="N335" s="119" t="str">
        <f>IF(Tab.o1[[#This Row],[a1]]=1,((Tab.o1[[#This Row],[MedMod]]-AVERAGE(Tab.o1[MedMod]))/_xlfn.STDEV.P(Tab.o1[MedMod])*H$1205)+G$1205,"")</f>
        <v/>
      </c>
      <c r="O335" s="141" t="str">
        <f>IF(Tab.o1[[#This Row],[a1]]=1,Tab.o1[[#This Row],[Zb]]*_xlfn.STDEV.P(Tab.o1[MedMod])+AVERAGE(Tab.o1[MedMod]),"")</f>
        <v/>
      </c>
      <c r="P335" s="117" t="str">
        <f ca="1">IF(Tab.o1[[#This Row],[B]]=0,AVERAGE(OFFSET(Tab.o1[[#This Row],[B]],1,0,L$3,1)),Tab.o1[[#This Row],[B]])</f>
        <v/>
      </c>
      <c r="Q335" s="121" t="str">
        <f>IF(Tab.o1[[#This Row],[a1]]=1,NORMSDIST(Tab.o1[[#This Row],[Zb]]),"")</f>
        <v/>
      </c>
      <c r="R335" s="122" t="str">
        <f>IF(Tab.o1[[#This Row],[a1]]=1,((Tab.o1[[#This Row],[MedMod]]-AVERAGE(Tab.o1[MedMod]))/_xlfn.STDEV.P(Tab.o1[MedMod])*H$1203)+G$1203,"")</f>
        <v/>
      </c>
      <c r="S335" s="122" t="str">
        <f>IF(Tab.o1[[#This Row],[a1]]=1,((Tab.o1[[#This Row],[MedMod]]-AVERAGE(Tab.o1[MedMod]))/_xlfn.STDEV.P(Tab.o1[MedMod])*H$1204)+G$1204,"")</f>
        <v/>
      </c>
      <c r="T335" s="123" t="str">
        <f>IF(Tab.o1[[#This Row],[a1]]=1,Tab.o1[[#This Row],[Z-]]*_xlfn.STDEV.P(Tab.o1[B])+AVERAGE(Tab.o1[B]),"")</f>
        <v/>
      </c>
      <c r="U335" s="123" t="str">
        <f>IF(Tab.o1[[#This Row],[a1]]=1,Tab.o1[[#This Row],[z+]]*_xlfn.STDEV.P(Tab.o1[B])+AVERAGE(Tab.o1[B]),"")</f>
        <v/>
      </c>
      <c r="V335" s="124" t="str">
        <f>IF(Tab.o1[[#This Row],[a1]]=1,ABS((ABS(Tab.o1[[#This Row],[Red]]-Tab.o1[[#This Row],[Blue]]))),"")</f>
        <v/>
      </c>
      <c r="W335" s="125" t="str">
        <f>IF(Tab.o1[[#This Row],[a1]]=1,IF(W$3=0,1,Tab.o1[[#This Row],[Amp.]]*1/_xlfn.MINIFS(Tab.o1[Amp.],Tab.o1[Amp.],"&lt;&gt;0")),"")</f>
        <v/>
      </c>
      <c r="X335" s="126" t="str">
        <f>IF(Tab.o1[[#This Row],[a1]]=1,IF(ISNUMBER(Tab.o1[[#This Row],[i.]]),NORMDIST(Tab.o1[[#This Row],[Za]],0,1,FALSE)*Tab.o1[[#This Row],[i.]],AP$3),"")</f>
        <v/>
      </c>
      <c r="Y335" s="126" t="str">
        <f>IF(Tab.o1[[#This Row],[a1]]=1,0.01+0.94*Tab.o1[[#This Row],[PDF]]/MAX(Tab.o1[PDF]),"")</f>
        <v/>
      </c>
      <c r="Z335" s="126" t="str">
        <f>IF(Tab.o1[[#This Row],[a1]]=1,0.01+0.94*Tab.o1[[#This Row],[W1_PDF]]/MAX(Tab.o1[W1_PDF]),"")</f>
        <v/>
      </c>
      <c r="AA335" s="118" t="str">
        <f>IF(Tab.o1[[#This Row],[a1]]=1,ABS([1]!T.in.A[[#This Row],[oo6]]),"")</f>
        <v/>
      </c>
      <c r="AB335" s="127" t="str">
        <f>IF(Tab.o1[[#This Row],[a1]]=1,IF(AE$3=0,"",IF(AB$3=0,ABS([1]!T.in.A[[#This Row],[oo9]]),ABS(Tab.o1[[#This Row],[DIF_Target.]]*Tab.o1[[#This Row],[W1_PDF]]))),"")</f>
        <v/>
      </c>
      <c r="AC335" s="127" t="str">
        <f>IF(G$1=1,"",IF(Tab.o1[[#This Row],[a1]]=1,Tab.o1[[#This Row],[Wr]]^2,""))</f>
        <v/>
      </c>
      <c r="AD335" s="118" t="str">
        <f>IF(Tab.o1[[#This Row],[a1]]=1,IF(AE$3=0,"",Tab.o1[[#This Row],[Wr2]]/SUM(Tab.o1[Wr2])),"")</f>
        <v/>
      </c>
      <c r="AE335" s="128" t="str">
        <f>IF(Tab.o1[[#This Row],[a1]]=1,[1]!T.in.A[[#This Row],[oo10]],"")</f>
        <v/>
      </c>
      <c r="AF335" s="118" t="str">
        <f>IF(Tab.o1[[#This Row],[a1]]=1,ABS(Tab.o1[[#This Row],[DIF_Target.]]*Tab.o1[[#This Row],[PDF2]]*Tab.o1[[#This Row],[IN]]),"")</f>
        <v/>
      </c>
      <c r="AG335" s="129" t="str">
        <f>IF(Tab.o1[[#This Row],[a1]]=1,Tab.o1[[#This Row],[rW]]^2,"")</f>
        <v/>
      </c>
      <c r="AH335" s="130" t="str">
        <f>IF(Tab.o1[[#This Row],[a1]]=1,IF(AH$3=0,Tab.o1[[#This Row],[rW2]],0.01+0.94*Tab.o1[[#This Row],[rW2]]/SUM(Tab.o1[rW2])),"")</f>
        <v/>
      </c>
      <c r="AI335" s="128" t="str">
        <f>IF(Tab.o1[[#This Row],[a1]]=1,1/Tab.o1[[#This Row],[PDF]],"")</f>
        <v/>
      </c>
      <c r="AJ335" s="131" t="str">
        <f>IF(Tab.o1[[#This Row],[a1]]=1,[1]!T_AA[[#This Row],[IN'']]*[1]!T_AA[[#This Row],[Qde'']],"")</f>
        <v/>
      </c>
      <c r="AK335" s="132" t="str">
        <f>IF(Tab.o1[[#This Row],[a1]]=1,IF(AK$1=1,Tab.o1[[#This Row],[MED]]+Tab.o1[[#This Row],[MOD]]-Tab.o1[[#This Row],[MED]],""),"")</f>
        <v/>
      </c>
      <c r="AL335" s="133" t="str">
        <f>IF(Tab.o1[[#This Row],[a1]]=1,[1]!T.in.A[[#This Row],[oo16]],"")</f>
        <v/>
      </c>
      <c r="AM335" s="133" t="str">
        <f>IF(Tab.o1[[#This Row],[a1]]=1,IF(AM$3=1,[1]!T.in.A[[#This Row],[Σo16]],""),"")</f>
        <v/>
      </c>
      <c r="AN335" s="126" t="str">
        <f>IF(Tab.o1[[#This Row],[a1]]=1,[1]!T.in.A[[#This Row],[Σp5]],"")</f>
        <v/>
      </c>
      <c r="AO335" s="126" t="str">
        <f>IF(Tab.o1[[#This Row],[a1]]=1,IF(AO$3=1,[1]!T.in.A[[#This Row],[Σp5]],""),"")</f>
        <v/>
      </c>
      <c r="AP335" s="110" t="str">
        <f>IF(Tab.o1[[#This Row],[a1]]=1,IF(ISNUMBER(Tab.o1[[#This Row],[i.]]),NORMDIST(Tab.o1[[#This Row],[Za]],0,1,FALSE)*Tab.o1[[#This Row],[i.]],0),"")</f>
        <v/>
      </c>
      <c r="AQ335" s="125" t="str">
        <f>IF(Tab.o1[[#This Row],[a1]]=1,ABS(Tab.o1[[#This Row],[MOD]]-AVERAGE(Tab.o1[MOD])),"")</f>
        <v/>
      </c>
      <c r="AR335" s="134" t="str">
        <f>IF(Tab.o1[[#This Row],[a1]]=1,Tab.o1[[#This Row],[OBS]]/SUM(Tab.o1[OBS]),"")</f>
        <v/>
      </c>
      <c r="AS335" s="135" t="str">
        <f>IF(ISNUMBER(Tab.o1[[#This Row],[a1]]),ROW()-4,"")</f>
        <v/>
      </c>
      <c r="AT335" s="136" t="str">
        <f>Tab.o1[[#This Row],[MOD]]</f>
        <v/>
      </c>
      <c r="AU335" s="137" t="str">
        <f t="shared" si="21"/>
        <v/>
      </c>
      <c r="AV335" s="138" t="str">
        <f t="shared" si="22"/>
        <v/>
      </c>
      <c r="AW335" s="138" t="str">
        <f t="shared" si="23"/>
        <v/>
      </c>
      <c r="AX335" s="139" t="str">
        <f>[1]!T.in.A[[#This Row],[ID_T_manu]]</f>
        <v/>
      </c>
      <c r="AY335" s="140" t="str">
        <f>IF(ISNUMBER(Tab.o1[[#This Row],[a1]]),IF(AND(Tab.o1[[#This Row],[a1]]=1,Tab.o1[[#This Row],[b1]]&lt;=AY$4),#REF!,AY334),"")</f>
        <v/>
      </c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</row>
    <row r="336" spans="1:79" ht="15.75" hidden="1">
      <c r="A336" s="109">
        <v>-5.0000000000000004E-6</v>
      </c>
      <c r="B336" s="110">
        <f t="shared" si="20"/>
        <v>336</v>
      </c>
      <c r="C336" s="111" t="str">
        <f>IF(C$1=[1]!T.in.A[[#This Row],[oo2]],1,"")</f>
        <v/>
      </c>
      <c r="D336" s="112" t="str">
        <f>IF(Tab.o1[[#This Row],[a1]]=1,IF(SUM(C336:C337)=0,0,IF(SUM(C335:C336)=1,1,IF(SUM(C335:C337)&gt;1,D335+1,0))),"")</f>
        <v/>
      </c>
      <c r="E336" s="113" t="str">
        <f>IF(Tab.o1[[#This Row],[a1]]=1,[1]!T.in.A[[#This Row],[oo1]],"")</f>
        <v/>
      </c>
      <c r="F336" s="113" t="str">
        <f>IF(Tab.o1[[#This Row],[a1]]=1,[1]!T.in.A[[#This Row],[pp1]],"")</f>
        <v/>
      </c>
      <c r="G336" s="114" t="str">
        <f>IF(Tab.o1[[#This Row],[a1]]=1,G$2+IF(G$1=1,0,Tab.o1[[#This Row],[.x1]])+[1]!T.in.A[[#This Row],[oo3]],"")</f>
        <v/>
      </c>
      <c r="H336" s="115" t="str">
        <f>IF(Tab.o1[[#This Row],[a1]]=1,IF(H$2=0,0,IF(G$1=1,0,Tab.o1[[#This Row],[.x1]])+[1]!T.in.A[[#This Row],[oo4]]),"")</f>
        <v/>
      </c>
      <c r="I336" s="116" t="str">
        <f>IF(Tab.o1[[#This Row],[a1]]=1,IF(J$2=0,Tab.o1[[#This Row],[MED]],Tab.o1[[#This Row],[MOD]]),"")</f>
        <v/>
      </c>
      <c r="J336" s="116" t="str">
        <f>IF(Tab.o1[[#This Row],[a1]]=1,((Tab.o1[[#This Row],[DIF_Target.]]-AVERAGE(Tab.o1[DIF_Target.]))/_xlfn.STDEV.P(Tab.o1[DIF_Target.])),"")</f>
        <v/>
      </c>
      <c r="K336" s="117" t="str">
        <f>IF(Tab.o1[[#This Row],[a1]]=1,IF(J$2=0,Tab.o1[[#This Row],[MOD]]-Tab.o1[[#This Row],[B]],IF(J$2=1,0,-Tab.o1[[#This Row],[MED]])+Tab.o1[[#This Row],[B]]),"")</f>
        <v/>
      </c>
      <c r="L336" s="117" t="str">
        <f ca="1">IF(Tab.o1[[#This Row],[DIF_Target]]=0,IF(L$2=0,Tab.o1[[#This Row],[DIF_Target]],AVERAGE(OFFSET(Tab.o1[[#This Row],[DIF_Target]],1,0,L$3,1)))/3,Tab.o1[[#This Row],[DIF_Target]])</f>
        <v/>
      </c>
      <c r="M336" s="118" t="str">
        <f>IF(Tab.o1[[#This Row],[a1]]=1,NORMSDIST(Tab.o1[[#This Row],[Za]]),"")</f>
        <v/>
      </c>
      <c r="N336" s="119" t="str">
        <f>IF(Tab.o1[[#This Row],[a1]]=1,((Tab.o1[[#This Row],[MedMod]]-AVERAGE(Tab.o1[MedMod]))/_xlfn.STDEV.P(Tab.o1[MedMod])*H$1205)+G$1205,"")</f>
        <v/>
      </c>
      <c r="O336" s="141" t="str">
        <f>IF(Tab.o1[[#This Row],[a1]]=1,Tab.o1[[#This Row],[Zb]]*_xlfn.STDEV.P(Tab.o1[MedMod])+AVERAGE(Tab.o1[MedMod]),"")</f>
        <v/>
      </c>
      <c r="P336" s="117" t="str">
        <f ca="1">IF(Tab.o1[[#This Row],[B]]=0,AVERAGE(OFFSET(Tab.o1[[#This Row],[B]],1,0,L$3,1)),Tab.o1[[#This Row],[B]])</f>
        <v/>
      </c>
      <c r="Q336" s="121" t="str">
        <f>IF(Tab.o1[[#This Row],[a1]]=1,NORMSDIST(Tab.o1[[#This Row],[Zb]]),"")</f>
        <v/>
      </c>
      <c r="R336" s="122" t="str">
        <f>IF(Tab.o1[[#This Row],[a1]]=1,((Tab.o1[[#This Row],[MedMod]]-AVERAGE(Tab.o1[MedMod]))/_xlfn.STDEV.P(Tab.o1[MedMod])*H$1203)+G$1203,"")</f>
        <v/>
      </c>
      <c r="S336" s="122" t="str">
        <f>IF(Tab.o1[[#This Row],[a1]]=1,((Tab.o1[[#This Row],[MedMod]]-AVERAGE(Tab.o1[MedMod]))/_xlfn.STDEV.P(Tab.o1[MedMod])*H$1204)+G$1204,"")</f>
        <v/>
      </c>
      <c r="T336" s="123" t="str">
        <f>IF(Tab.o1[[#This Row],[a1]]=1,Tab.o1[[#This Row],[Z-]]*_xlfn.STDEV.P(Tab.o1[B])+AVERAGE(Tab.o1[B]),"")</f>
        <v/>
      </c>
      <c r="U336" s="123" t="str">
        <f>IF(Tab.o1[[#This Row],[a1]]=1,Tab.o1[[#This Row],[z+]]*_xlfn.STDEV.P(Tab.o1[B])+AVERAGE(Tab.o1[B]),"")</f>
        <v/>
      </c>
      <c r="V336" s="124" t="str">
        <f>IF(Tab.o1[[#This Row],[a1]]=1,ABS((ABS(Tab.o1[[#This Row],[Red]]-Tab.o1[[#This Row],[Blue]]))),"")</f>
        <v/>
      </c>
      <c r="W336" s="125" t="str">
        <f>IF(Tab.o1[[#This Row],[a1]]=1,IF(W$3=0,1,Tab.o1[[#This Row],[Amp.]]*1/_xlfn.MINIFS(Tab.o1[Amp.],Tab.o1[Amp.],"&lt;&gt;0")),"")</f>
        <v/>
      </c>
      <c r="X336" s="126" t="str">
        <f>IF(Tab.o1[[#This Row],[a1]]=1,IF(ISNUMBER(Tab.o1[[#This Row],[i.]]),NORMDIST(Tab.o1[[#This Row],[Za]],0,1,FALSE)*Tab.o1[[#This Row],[i.]],AP$3),"")</f>
        <v/>
      </c>
      <c r="Y336" s="126" t="str">
        <f>IF(Tab.o1[[#This Row],[a1]]=1,0.01+0.94*Tab.o1[[#This Row],[PDF]]/MAX(Tab.o1[PDF]),"")</f>
        <v/>
      </c>
      <c r="Z336" s="126" t="str">
        <f>IF(Tab.o1[[#This Row],[a1]]=1,0.01+0.94*Tab.o1[[#This Row],[W1_PDF]]/MAX(Tab.o1[W1_PDF]),"")</f>
        <v/>
      </c>
      <c r="AA336" s="118" t="str">
        <f>IF(Tab.o1[[#This Row],[a1]]=1,ABS([1]!T.in.A[[#This Row],[oo6]]),"")</f>
        <v/>
      </c>
      <c r="AB336" s="127" t="str">
        <f>IF(Tab.o1[[#This Row],[a1]]=1,IF(AE$3=0,"",IF(AB$3=0,ABS([1]!T.in.A[[#This Row],[oo9]]),ABS(Tab.o1[[#This Row],[DIF_Target.]]*Tab.o1[[#This Row],[W1_PDF]]))),"")</f>
        <v/>
      </c>
      <c r="AC336" s="127" t="str">
        <f>IF(G$1=1,"",IF(Tab.o1[[#This Row],[a1]]=1,Tab.o1[[#This Row],[Wr]]^2,""))</f>
        <v/>
      </c>
      <c r="AD336" s="118" t="str">
        <f>IF(Tab.o1[[#This Row],[a1]]=1,IF(AE$3=0,"",Tab.o1[[#This Row],[Wr2]]/SUM(Tab.o1[Wr2])),"")</f>
        <v/>
      </c>
      <c r="AE336" s="128" t="str">
        <f>IF(Tab.o1[[#This Row],[a1]]=1,[1]!T.in.A[[#This Row],[oo10]],"")</f>
        <v/>
      </c>
      <c r="AF336" s="118" t="str">
        <f>IF(Tab.o1[[#This Row],[a1]]=1,ABS(Tab.o1[[#This Row],[DIF_Target.]]*Tab.o1[[#This Row],[PDF2]]*Tab.o1[[#This Row],[IN]]),"")</f>
        <v/>
      </c>
      <c r="AG336" s="129" t="str">
        <f>IF(Tab.o1[[#This Row],[a1]]=1,Tab.o1[[#This Row],[rW]]^2,"")</f>
        <v/>
      </c>
      <c r="AH336" s="130" t="str">
        <f>IF(Tab.o1[[#This Row],[a1]]=1,IF(AH$3=0,Tab.o1[[#This Row],[rW2]],0.01+0.94*Tab.o1[[#This Row],[rW2]]/SUM(Tab.o1[rW2])),"")</f>
        <v/>
      </c>
      <c r="AI336" s="128" t="str">
        <f>IF(Tab.o1[[#This Row],[a1]]=1,1/Tab.o1[[#This Row],[PDF]],"")</f>
        <v/>
      </c>
      <c r="AJ336" s="131" t="str">
        <f>IF(Tab.o1[[#This Row],[a1]]=1,[1]!T_AA[[#This Row],[IN'']]*[1]!T_AA[[#This Row],[Qde'']],"")</f>
        <v/>
      </c>
      <c r="AK336" s="132" t="str">
        <f>IF(Tab.o1[[#This Row],[a1]]=1,IF(AK$1=1,Tab.o1[[#This Row],[MED]]+Tab.o1[[#This Row],[MOD]]-Tab.o1[[#This Row],[MED]],""),"")</f>
        <v/>
      </c>
      <c r="AL336" s="133" t="str">
        <f>IF(Tab.o1[[#This Row],[a1]]=1,[1]!T.in.A[[#This Row],[oo16]],"")</f>
        <v/>
      </c>
      <c r="AM336" s="133" t="str">
        <f>IF(Tab.o1[[#This Row],[a1]]=1,IF(AM$3=1,[1]!T.in.A[[#This Row],[Σo16]],""),"")</f>
        <v/>
      </c>
      <c r="AN336" s="126" t="str">
        <f>IF(Tab.o1[[#This Row],[a1]]=1,[1]!T.in.A[[#This Row],[Σp5]],"")</f>
        <v/>
      </c>
      <c r="AO336" s="126" t="str">
        <f>IF(Tab.o1[[#This Row],[a1]]=1,IF(AO$3=1,[1]!T.in.A[[#This Row],[Σp5]],""),"")</f>
        <v/>
      </c>
      <c r="AP336" s="110" t="str">
        <f>IF(Tab.o1[[#This Row],[a1]]=1,IF(ISNUMBER(Tab.o1[[#This Row],[i.]]),NORMDIST(Tab.o1[[#This Row],[Za]],0,1,FALSE)*Tab.o1[[#This Row],[i.]],0),"")</f>
        <v/>
      </c>
      <c r="AQ336" s="125" t="str">
        <f>IF(Tab.o1[[#This Row],[a1]]=1,ABS(Tab.o1[[#This Row],[MOD]]-AVERAGE(Tab.o1[MOD])),"")</f>
        <v/>
      </c>
      <c r="AR336" s="134" t="str">
        <f>IF(Tab.o1[[#This Row],[a1]]=1,Tab.o1[[#This Row],[OBS]]/SUM(Tab.o1[OBS]),"")</f>
        <v/>
      </c>
      <c r="AS336" s="135" t="str">
        <f>IF(ISNUMBER(Tab.o1[[#This Row],[a1]]),ROW()-4,"")</f>
        <v/>
      </c>
      <c r="AT336" s="136" t="str">
        <f>Tab.o1[[#This Row],[MOD]]</f>
        <v/>
      </c>
      <c r="AU336" s="137" t="str">
        <f t="shared" si="21"/>
        <v/>
      </c>
      <c r="AV336" s="138" t="str">
        <f t="shared" si="22"/>
        <v/>
      </c>
      <c r="AW336" s="138" t="str">
        <f t="shared" si="23"/>
        <v/>
      </c>
      <c r="AX336" s="139" t="str">
        <f>[1]!T.in.A[[#This Row],[ID_T_manu]]</f>
        <v/>
      </c>
      <c r="AY336" s="140" t="str">
        <f>IF(ISNUMBER(Tab.o1[[#This Row],[a1]]),IF(AND(Tab.o1[[#This Row],[a1]]=1,Tab.o1[[#This Row],[b1]]&lt;=AY$4),#REF!,AY335),"")</f>
        <v/>
      </c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</row>
    <row r="337" spans="1:79" ht="15.75" hidden="1">
      <c r="A337" s="109">
        <v>1.0000000000000002E-6</v>
      </c>
      <c r="B337" s="110">
        <f t="shared" si="20"/>
        <v>337</v>
      </c>
      <c r="C337" s="111" t="str">
        <f>IF(C$1=[1]!T.in.A[[#This Row],[oo2]],1,"")</f>
        <v/>
      </c>
      <c r="D337" s="112" t="str">
        <f>IF(Tab.o1[[#This Row],[a1]]=1,IF(SUM(C337:C338)=0,0,IF(SUM(C336:C337)=1,1,IF(SUM(C336:C338)&gt;1,D336+1,0))),"")</f>
        <v/>
      </c>
      <c r="E337" s="113" t="str">
        <f>IF(Tab.o1[[#This Row],[a1]]=1,[1]!T.in.A[[#This Row],[oo1]],"")</f>
        <v/>
      </c>
      <c r="F337" s="113" t="str">
        <f>IF(Tab.o1[[#This Row],[a1]]=1,[1]!T.in.A[[#This Row],[pp1]],"")</f>
        <v/>
      </c>
      <c r="G337" s="114" t="str">
        <f>IF(Tab.o1[[#This Row],[a1]]=1,G$2+IF(G$1=1,0,Tab.o1[[#This Row],[.x1]])+[1]!T.in.A[[#This Row],[oo3]],"")</f>
        <v/>
      </c>
      <c r="H337" s="115" t="str">
        <f>IF(Tab.o1[[#This Row],[a1]]=1,IF(H$2=0,0,IF(G$1=1,0,Tab.o1[[#This Row],[.x1]])+[1]!T.in.A[[#This Row],[oo4]]),"")</f>
        <v/>
      </c>
      <c r="I337" s="116" t="str">
        <f>IF(Tab.o1[[#This Row],[a1]]=1,IF(J$2=0,Tab.o1[[#This Row],[MED]],Tab.o1[[#This Row],[MOD]]),"")</f>
        <v/>
      </c>
      <c r="J337" s="116" t="str">
        <f>IF(Tab.o1[[#This Row],[a1]]=1,((Tab.o1[[#This Row],[DIF_Target.]]-AVERAGE(Tab.o1[DIF_Target.]))/_xlfn.STDEV.P(Tab.o1[DIF_Target.])),"")</f>
        <v/>
      </c>
      <c r="K337" s="117" t="str">
        <f>IF(Tab.o1[[#This Row],[a1]]=1,IF(J$2=0,Tab.o1[[#This Row],[MOD]]-Tab.o1[[#This Row],[B]],IF(J$2=1,0,-Tab.o1[[#This Row],[MED]])+Tab.o1[[#This Row],[B]]),"")</f>
        <v/>
      </c>
      <c r="L337" s="117" t="str">
        <f ca="1">IF(Tab.o1[[#This Row],[DIF_Target]]=0,IF(L$2=0,Tab.o1[[#This Row],[DIF_Target]],AVERAGE(OFFSET(Tab.o1[[#This Row],[DIF_Target]],1,0,L$3,1)))/3,Tab.o1[[#This Row],[DIF_Target]])</f>
        <v/>
      </c>
      <c r="M337" s="118" t="str">
        <f>IF(Tab.o1[[#This Row],[a1]]=1,NORMSDIST(Tab.o1[[#This Row],[Za]]),"")</f>
        <v/>
      </c>
      <c r="N337" s="119" t="str">
        <f>IF(Tab.o1[[#This Row],[a1]]=1,((Tab.o1[[#This Row],[MedMod]]-AVERAGE(Tab.o1[MedMod]))/_xlfn.STDEV.P(Tab.o1[MedMod])*H$1205)+G$1205,"")</f>
        <v/>
      </c>
      <c r="O337" s="141" t="str">
        <f>IF(Tab.o1[[#This Row],[a1]]=1,Tab.o1[[#This Row],[Zb]]*_xlfn.STDEV.P(Tab.o1[MedMod])+AVERAGE(Tab.o1[MedMod]),"")</f>
        <v/>
      </c>
      <c r="P337" s="117" t="str">
        <f ca="1">IF(Tab.o1[[#This Row],[B]]=0,AVERAGE(OFFSET(Tab.o1[[#This Row],[B]],1,0,L$3,1)),Tab.o1[[#This Row],[B]])</f>
        <v/>
      </c>
      <c r="Q337" s="121" t="str">
        <f>IF(Tab.o1[[#This Row],[a1]]=1,NORMSDIST(Tab.o1[[#This Row],[Zb]]),"")</f>
        <v/>
      </c>
      <c r="R337" s="122" t="str">
        <f>IF(Tab.o1[[#This Row],[a1]]=1,((Tab.o1[[#This Row],[MedMod]]-AVERAGE(Tab.o1[MedMod]))/_xlfn.STDEV.P(Tab.o1[MedMod])*H$1203)+G$1203,"")</f>
        <v/>
      </c>
      <c r="S337" s="122" t="str">
        <f>IF(Tab.o1[[#This Row],[a1]]=1,((Tab.o1[[#This Row],[MedMod]]-AVERAGE(Tab.o1[MedMod]))/_xlfn.STDEV.P(Tab.o1[MedMod])*H$1204)+G$1204,"")</f>
        <v/>
      </c>
      <c r="T337" s="123" t="str">
        <f>IF(Tab.o1[[#This Row],[a1]]=1,Tab.o1[[#This Row],[Z-]]*_xlfn.STDEV.P(Tab.o1[B])+AVERAGE(Tab.o1[B]),"")</f>
        <v/>
      </c>
      <c r="U337" s="123" t="str">
        <f>IF(Tab.o1[[#This Row],[a1]]=1,Tab.o1[[#This Row],[z+]]*_xlfn.STDEV.P(Tab.o1[B])+AVERAGE(Tab.o1[B]),"")</f>
        <v/>
      </c>
      <c r="V337" s="124" t="str">
        <f>IF(Tab.o1[[#This Row],[a1]]=1,ABS((ABS(Tab.o1[[#This Row],[Red]]-Tab.o1[[#This Row],[Blue]]))),"")</f>
        <v/>
      </c>
      <c r="W337" s="125" t="str">
        <f>IF(Tab.o1[[#This Row],[a1]]=1,IF(W$3=0,1,Tab.o1[[#This Row],[Amp.]]*1/_xlfn.MINIFS(Tab.o1[Amp.],Tab.o1[Amp.],"&lt;&gt;0")),"")</f>
        <v/>
      </c>
      <c r="X337" s="126" t="str">
        <f>IF(Tab.o1[[#This Row],[a1]]=1,IF(ISNUMBER(Tab.o1[[#This Row],[i.]]),NORMDIST(Tab.o1[[#This Row],[Za]],0,1,FALSE)*Tab.o1[[#This Row],[i.]],AP$3),"")</f>
        <v/>
      </c>
      <c r="Y337" s="126" t="str">
        <f>IF(Tab.o1[[#This Row],[a1]]=1,0.01+0.94*Tab.o1[[#This Row],[PDF]]/MAX(Tab.o1[PDF]),"")</f>
        <v/>
      </c>
      <c r="Z337" s="126" t="str">
        <f>IF(Tab.o1[[#This Row],[a1]]=1,0.01+0.94*Tab.o1[[#This Row],[W1_PDF]]/MAX(Tab.o1[W1_PDF]),"")</f>
        <v/>
      </c>
      <c r="AA337" s="118" t="str">
        <f>IF(Tab.o1[[#This Row],[a1]]=1,ABS([1]!T.in.A[[#This Row],[oo6]]),"")</f>
        <v/>
      </c>
      <c r="AB337" s="127" t="str">
        <f>IF(Tab.o1[[#This Row],[a1]]=1,IF(AE$3=0,"",IF(AB$3=0,ABS([1]!T.in.A[[#This Row],[oo9]]),ABS(Tab.o1[[#This Row],[DIF_Target.]]*Tab.o1[[#This Row],[W1_PDF]]))),"")</f>
        <v/>
      </c>
      <c r="AC337" s="127" t="str">
        <f>IF(G$1=1,"",IF(Tab.o1[[#This Row],[a1]]=1,Tab.o1[[#This Row],[Wr]]^2,""))</f>
        <v/>
      </c>
      <c r="AD337" s="118" t="str">
        <f>IF(Tab.o1[[#This Row],[a1]]=1,IF(AE$3=0,"",Tab.o1[[#This Row],[Wr2]]/SUM(Tab.o1[Wr2])),"")</f>
        <v/>
      </c>
      <c r="AE337" s="128" t="str">
        <f>IF(Tab.o1[[#This Row],[a1]]=1,[1]!T.in.A[[#This Row],[oo10]],"")</f>
        <v/>
      </c>
      <c r="AF337" s="118" t="str">
        <f>IF(Tab.o1[[#This Row],[a1]]=1,ABS(Tab.o1[[#This Row],[DIF_Target.]]*Tab.o1[[#This Row],[PDF2]]*Tab.o1[[#This Row],[IN]]),"")</f>
        <v/>
      </c>
      <c r="AG337" s="129" t="str">
        <f>IF(Tab.o1[[#This Row],[a1]]=1,Tab.o1[[#This Row],[rW]]^2,"")</f>
        <v/>
      </c>
      <c r="AH337" s="130" t="str">
        <f>IF(Tab.o1[[#This Row],[a1]]=1,IF(AH$3=0,Tab.o1[[#This Row],[rW2]],0.01+0.94*Tab.o1[[#This Row],[rW2]]/SUM(Tab.o1[rW2])),"")</f>
        <v/>
      </c>
      <c r="AI337" s="128" t="str">
        <f>IF(Tab.o1[[#This Row],[a1]]=1,1/Tab.o1[[#This Row],[PDF]],"")</f>
        <v/>
      </c>
      <c r="AJ337" s="131" t="str">
        <f>IF(Tab.o1[[#This Row],[a1]]=1,[1]!T_AA[[#This Row],[IN'']]*[1]!T_AA[[#This Row],[Qde'']],"")</f>
        <v/>
      </c>
      <c r="AK337" s="132" t="str">
        <f>IF(Tab.o1[[#This Row],[a1]]=1,IF(AK$1=1,Tab.o1[[#This Row],[MED]]+Tab.o1[[#This Row],[MOD]]-Tab.o1[[#This Row],[MED]],""),"")</f>
        <v/>
      </c>
      <c r="AL337" s="133" t="str">
        <f>IF(Tab.o1[[#This Row],[a1]]=1,[1]!T.in.A[[#This Row],[oo16]],"")</f>
        <v/>
      </c>
      <c r="AM337" s="133" t="str">
        <f>IF(Tab.o1[[#This Row],[a1]]=1,IF(AM$3=1,[1]!T.in.A[[#This Row],[Σo16]],""),"")</f>
        <v/>
      </c>
      <c r="AN337" s="126" t="str">
        <f>IF(Tab.o1[[#This Row],[a1]]=1,[1]!T.in.A[[#This Row],[Σp5]],"")</f>
        <v/>
      </c>
      <c r="AO337" s="126" t="str">
        <f>IF(Tab.o1[[#This Row],[a1]]=1,IF(AO$3=1,[1]!T.in.A[[#This Row],[Σp5]],""),"")</f>
        <v/>
      </c>
      <c r="AP337" s="110" t="str">
        <f>IF(Tab.o1[[#This Row],[a1]]=1,IF(ISNUMBER(Tab.o1[[#This Row],[i.]]),NORMDIST(Tab.o1[[#This Row],[Za]],0,1,FALSE)*Tab.o1[[#This Row],[i.]],0),"")</f>
        <v/>
      </c>
      <c r="AQ337" s="125" t="str">
        <f>IF(Tab.o1[[#This Row],[a1]]=1,ABS(Tab.o1[[#This Row],[MOD]]-AVERAGE(Tab.o1[MOD])),"")</f>
        <v/>
      </c>
      <c r="AR337" s="134" t="str">
        <f>IF(Tab.o1[[#This Row],[a1]]=1,Tab.o1[[#This Row],[OBS]]/SUM(Tab.o1[OBS]),"")</f>
        <v/>
      </c>
      <c r="AS337" s="135" t="str">
        <f>IF(ISNUMBER(Tab.o1[[#This Row],[a1]]),ROW()-4,"")</f>
        <v/>
      </c>
      <c r="AT337" s="136" t="str">
        <f>Tab.o1[[#This Row],[MOD]]</f>
        <v/>
      </c>
      <c r="AU337" s="137" t="str">
        <f t="shared" si="21"/>
        <v/>
      </c>
      <c r="AV337" s="138" t="str">
        <f t="shared" si="22"/>
        <v/>
      </c>
      <c r="AW337" s="138" t="str">
        <f t="shared" si="23"/>
        <v/>
      </c>
      <c r="AX337" s="139" t="str">
        <f>[1]!T.in.A[[#This Row],[ID_T_manu]]</f>
        <v/>
      </c>
      <c r="AY337" s="140" t="str">
        <f>IF(ISNUMBER(Tab.o1[[#This Row],[a1]]),IF(AND(Tab.o1[[#This Row],[a1]]=1,Tab.o1[[#This Row],[b1]]&lt;=AY$4),#REF!,AY336),"")</f>
        <v/>
      </c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</row>
    <row r="338" spans="1:79" ht="15.75" hidden="1">
      <c r="A338" s="109">
        <v>-5.9999999999999993E-6</v>
      </c>
      <c r="B338" s="110">
        <f t="shared" si="20"/>
        <v>338</v>
      </c>
      <c r="C338" s="111" t="str">
        <f>IF(C$1=[1]!T.in.A[[#This Row],[oo2]],1,"")</f>
        <v/>
      </c>
      <c r="D338" s="112" t="str">
        <f>IF(Tab.o1[[#This Row],[a1]]=1,IF(SUM(C338:C339)=0,0,IF(SUM(C337:C338)=1,1,IF(SUM(C337:C339)&gt;1,D337+1,0))),"")</f>
        <v/>
      </c>
      <c r="E338" s="113" t="str">
        <f>IF(Tab.o1[[#This Row],[a1]]=1,[1]!T.in.A[[#This Row],[oo1]],"")</f>
        <v/>
      </c>
      <c r="F338" s="113" t="str">
        <f>IF(Tab.o1[[#This Row],[a1]]=1,[1]!T.in.A[[#This Row],[pp1]],"")</f>
        <v/>
      </c>
      <c r="G338" s="114" t="str">
        <f>IF(Tab.o1[[#This Row],[a1]]=1,G$2+IF(G$1=1,0,Tab.o1[[#This Row],[.x1]])+[1]!T.in.A[[#This Row],[oo3]],"")</f>
        <v/>
      </c>
      <c r="H338" s="115" t="str">
        <f>IF(Tab.o1[[#This Row],[a1]]=1,IF(H$2=0,0,IF(G$1=1,0,Tab.o1[[#This Row],[.x1]])+[1]!T.in.A[[#This Row],[oo4]]),"")</f>
        <v/>
      </c>
      <c r="I338" s="116" t="str">
        <f>IF(Tab.o1[[#This Row],[a1]]=1,IF(J$2=0,Tab.o1[[#This Row],[MED]],Tab.o1[[#This Row],[MOD]]),"")</f>
        <v/>
      </c>
      <c r="J338" s="116" t="str">
        <f>IF(Tab.o1[[#This Row],[a1]]=1,((Tab.o1[[#This Row],[DIF_Target.]]-AVERAGE(Tab.o1[DIF_Target.]))/_xlfn.STDEV.P(Tab.o1[DIF_Target.])),"")</f>
        <v/>
      </c>
      <c r="K338" s="117" t="str">
        <f>IF(Tab.o1[[#This Row],[a1]]=1,IF(J$2=0,Tab.o1[[#This Row],[MOD]]-Tab.o1[[#This Row],[B]],IF(J$2=1,0,-Tab.o1[[#This Row],[MED]])+Tab.o1[[#This Row],[B]]),"")</f>
        <v/>
      </c>
      <c r="L338" s="117" t="str">
        <f ca="1">IF(Tab.o1[[#This Row],[DIF_Target]]=0,IF(L$2=0,Tab.o1[[#This Row],[DIF_Target]],AVERAGE(OFFSET(Tab.o1[[#This Row],[DIF_Target]],1,0,L$3,1)))/3,Tab.o1[[#This Row],[DIF_Target]])</f>
        <v/>
      </c>
      <c r="M338" s="118" t="str">
        <f>IF(Tab.o1[[#This Row],[a1]]=1,NORMSDIST(Tab.o1[[#This Row],[Za]]),"")</f>
        <v/>
      </c>
      <c r="N338" s="119" t="str">
        <f>IF(Tab.o1[[#This Row],[a1]]=1,((Tab.o1[[#This Row],[MedMod]]-AVERAGE(Tab.o1[MedMod]))/_xlfn.STDEV.P(Tab.o1[MedMod])*H$1205)+G$1205,"")</f>
        <v/>
      </c>
      <c r="O338" s="141" t="str">
        <f>IF(Tab.o1[[#This Row],[a1]]=1,Tab.o1[[#This Row],[Zb]]*_xlfn.STDEV.P(Tab.o1[MedMod])+AVERAGE(Tab.o1[MedMod]),"")</f>
        <v/>
      </c>
      <c r="P338" s="117" t="str">
        <f ca="1">IF(Tab.o1[[#This Row],[B]]=0,AVERAGE(OFFSET(Tab.o1[[#This Row],[B]],1,0,L$3,1)),Tab.o1[[#This Row],[B]])</f>
        <v/>
      </c>
      <c r="Q338" s="121" t="str">
        <f>IF(Tab.o1[[#This Row],[a1]]=1,NORMSDIST(Tab.o1[[#This Row],[Zb]]),"")</f>
        <v/>
      </c>
      <c r="R338" s="122" t="str">
        <f>IF(Tab.o1[[#This Row],[a1]]=1,((Tab.o1[[#This Row],[MedMod]]-AVERAGE(Tab.o1[MedMod]))/_xlfn.STDEV.P(Tab.o1[MedMod])*H$1203)+G$1203,"")</f>
        <v/>
      </c>
      <c r="S338" s="122" t="str">
        <f>IF(Tab.o1[[#This Row],[a1]]=1,((Tab.o1[[#This Row],[MedMod]]-AVERAGE(Tab.o1[MedMod]))/_xlfn.STDEV.P(Tab.o1[MedMod])*H$1204)+G$1204,"")</f>
        <v/>
      </c>
      <c r="T338" s="123" t="str">
        <f>IF(Tab.o1[[#This Row],[a1]]=1,Tab.o1[[#This Row],[Z-]]*_xlfn.STDEV.P(Tab.o1[B])+AVERAGE(Tab.o1[B]),"")</f>
        <v/>
      </c>
      <c r="U338" s="123" t="str">
        <f>IF(Tab.o1[[#This Row],[a1]]=1,Tab.o1[[#This Row],[z+]]*_xlfn.STDEV.P(Tab.o1[B])+AVERAGE(Tab.o1[B]),"")</f>
        <v/>
      </c>
      <c r="V338" s="124" t="str">
        <f>IF(Tab.o1[[#This Row],[a1]]=1,ABS((ABS(Tab.o1[[#This Row],[Red]]-Tab.o1[[#This Row],[Blue]]))),"")</f>
        <v/>
      </c>
      <c r="W338" s="125" t="str">
        <f>IF(Tab.o1[[#This Row],[a1]]=1,IF(W$3=0,1,Tab.o1[[#This Row],[Amp.]]*1/_xlfn.MINIFS(Tab.o1[Amp.],Tab.o1[Amp.],"&lt;&gt;0")),"")</f>
        <v/>
      </c>
      <c r="X338" s="126" t="str">
        <f>IF(Tab.o1[[#This Row],[a1]]=1,IF(ISNUMBER(Tab.o1[[#This Row],[i.]]),NORMDIST(Tab.o1[[#This Row],[Za]],0,1,FALSE)*Tab.o1[[#This Row],[i.]],AP$3),"")</f>
        <v/>
      </c>
      <c r="Y338" s="126" t="str">
        <f>IF(Tab.o1[[#This Row],[a1]]=1,0.01+0.94*Tab.o1[[#This Row],[PDF]]/MAX(Tab.o1[PDF]),"")</f>
        <v/>
      </c>
      <c r="Z338" s="126" t="str">
        <f>IF(Tab.o1[[#This Row],[a1]]=1,0.01+0.94*Tab.o1[[#This Row],[W1_PDF]]/MAX(Tab.o1[W1_PDF]),"")</f>
        <v/>
      </c>
      <c r="AA338" s="118" t="str">
        <f>IF(Tab.o1[[#This Row],[a1]]=1,ABS([1]!T.in.A[[#This Row],[oo6]]),"")</f>
        <v/>
      </c>
      <c r="AB338" s="127" t="str">
        <f>IF(Tab.o1[[#This Row],[a1]]=1,IF(AE$3=0,"",IF(AB$3=0,ABS([1]!T.in.A[[#This Row],[oo9]]),ABS(Tab.o1[[#This Row],[DIF_Target.]]*Tab.o1[[#This Row],[W1_PDF]]))),"")</f>
        <v/>
      </c>
      <c r="AC338" s="127" t="str">
        <f>IF(G$1=1,"",IF(Tab.o1[[#This Row],[a1]]=1,Tab.o1[[#This Row],[Wr]]^2,""))</f>
        <v/>
      </c>
      <c r="AD338" s="118" t="str">
        <f>IF(Tab.o1[[#This Row],[a1]]=1,IF(AE$3=0,"",Tab.o1[[#This Row],[Wr2]]/SUM(Tab.o1[Wr2])),"")</f>
        <v/>
      </c>
      <c r="AE338" s="128" t="str">
        <f>IF(Tab.o1[[#This Row],[a1]]=1,[1]!T.in.A[[#This Row],[oo10]],"")</f>
        <v/>
      </c>
      <c r="AF338" s="118" t="str">
        <f>IF(Tab.o1[[#This Row],[a1]]=1,ABS(Tab.o1[[#This Row],[DIF_Target.]]*Tab.o1[[#This Row],[PDF2]]*Tab.o1[[#This Row],[IN]]),"")</f>
        <v/>
      </c>
      <c r="AG338" s="129" t="str">
        <f>IF(Tab.o1[[#This Row],[a1]]=1,Tab.o1[[#This Row],[rW]]^2,"")</f>
        <v/>
      </c>
      <c r="AH338" s="130" t="str">
        <f>IF(Tab.o1[[#This Row],[a1]]=1,IF(AH$3=0,Tab.o1[[#This Row],[rW2]],0.01+0.94*Tab.o1[[#This Row],[rW2]]/SUM(Tab.o1[rW2])),"")</f>
        <v/>
      </c>
      <c r="AI338" s="128" t="str">
        <f>IF(Tab.o1[[#This Row],[a1]]=1,1/Tab.o1[[#This Row],[PDF]],"")</f>
        <v/>
      </c>
      <c r="AJ338" s="131" t="str">
        <f>IF(Tab.o1[[#This Row],[a1]]=1,[1]!T_AA[[#This Row],[IN'']]*[1]!T_AA[[#This Row],[Qde'']],"")</f>
        <v/>
      </c>
      <c r="AK338" s="132" t="str">
        <f>IF(Tab.o1[[#This Row],[a1]]=1,IF(AK$1=1,Tab.o1[[#This Row],[MED]]+Tab.o1[[#This Row],[MOD]]-Tab.o1[[#This Row],[MED]],""),"")</f>
        <v/>
      </c>
      <c r="AL338" s="133" t="str">
        <f>IF(Tab.o1[[#This Row],[a1]]=1,[1]!T.in.A[[#This Row],[oo16]],"")</f>
        <v/>
      </c>
      <c r="AM338" s="133" t="str">
        <f>IF(Tab.o1[[#This Row],[a1]]=1,IF(AM$3=1,[1]!T.in.A[[#This Row],[Σo16]],""),"")</f>
        <v/>
      </c>
      <c r="AN338" s="126" t="str">
        <f>IF(Tab.o1[[#This Row],[a1]]=1,[1]!T.in.A[[#This Row],[Σp5]],"")</f>
        <v/>
      </c>
      <c r="AO338" s="126" t="str">
        <f>IF(Tab.o1[[#This Row],[a1]]=1,IF(AO$3=1,[1]!T.in.A[[#This Row],[Σp5]],""),"")</f>
        <v/>
      </c>
      <c r="AP338" s="110" t="str">
        <f>IF(Tab.o1[[#This Row],[a1]]=1,IF(ISNUMBER(Tab.o1[[#This Row],[i.]]),NORMDIST(Tab.o1[[#This Row],[Za]],0,1,FALSE)*Tab.o1[[#This Row],[i.]],0),"")</f>
        <v/>
      </c>
      <c r="AQ338" s="125" t="str">
        <f>IF(Tab.o1[[#This Row],[a1]]=1,ABS(Tab.o1[[#This Row],[MOD]]-AVERAGE(Tab.o1[MOD])),"")</f>
        <v/>
      </c>
      <c r="AR338" s="134" t="str">
        <f>IF(Tab.o1[[#This Row],[a1]]=1,Tab.o1[[#This Row],[OBS]]/SUM(Tab.o1[OBS]),"")</f>
        <v/>
      </c>
      <c r="AS338" s="135" t="str">
        <f>IF(ISNUMBER(Tab.o1[[#This Row],[a1]]),ROW()-4,"")</f>
        <v/>
      </c>
      <c r="AT338" s="136" t="str">
        <f>Tab.o1[[#This Row],[MOD]]</f>
        <v/>
      </c>
      <c r="AU338" s="137" t="str">
        <f t="shared" si="21"/>
        <v/>
      </c>
      <c r="AV338" s="138" t="str">
        <f t="shared" si="22"/>
        <v/>
      </c>
      <c r="AW338" s="138" t="str">
        <f t="shared" si="23"/>
        <v/>
      </c>
      <c r="AX338" s="139" t="str">
        <f>[1]!T.in.A[[#This Row],[ID_T_manu]]</f>
        <v/>
      </c>
      <c r="AY338" s="140" t="str">
        <f>IF(ISNUMBER(Tab.o1[[#This Row],[a1]]),IF(AND(Tab.o1[[#This Row],[a1]]=1,Tab.o1[[#This Row],[b1]]&lt;=AY$4),#REF!,AY337),"")</f>
        <v/>
      </c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</row>
    <row r="339" spans="1:79" ht="15.75" hidden="1">
      <c r="A339" s="109">
        <v>-1.0000000000000002E-6</v>
      </c>
      <c r="B339" s="110">
        <f t="shared" si="20"/>
        <v>339</v>
      </c>
      <c r="C339" s="111" t="str">
        <f>IF(C$1=[1]!T.in.A[[#This Row],[oo2]],1,"")</f>
        <v/>
      </c>
      <c r="D339" s="112" t="str">
        <f>IF(Tab.o1[[#This Row],[a1]]=1,IF(SUM(C339:C340)=0,0,IF(SUM(C338:C339)=1,1,IF(SUM(C338:C340)&gt;1,D338+1,0))),"")</f>
        <v/>
      </c>
      <c r="E339" s="113" t="str">
        <f>IF(Tab.o1[[#This Row],[a1]]=1,[1]!T.in.A[[#This Row],[oo1]],"")</f>
        <v/>
      </c>
      <c r="F339" s="113" t="str">
        <f>IF(Tab.o1[[#This Row],[a1]]=1,[1]!T.in.A[[#This Row],[pp1]],"")</f>
        <v/>
      </c>
      <c r="G339" s="114" t="str">
        <f>IF(Tab.o1[[#This Row],[a1]]=1,G$2+IF(G$1=1,0,Tab.o1[[#This Row],[.x1]])+[1]!T.in.A[[#This Row],[oo3]],"")</f>
        <v/>
      </c>
      <c r="H339" s="115" t="str">
        <f>IF(Tab.o1[[#This Row],[a1]]=1,IF(H$2=0,0,IF(G$1=1,0,Tab.o1[[#This Row],[.x1]])+[1]!T.in.A[[#This Row],[oo4]]),"")</f>
        <v/>
      </c>
      <c r="I339" s="116" t="str">
        <f>IF(Tab.o1[[#This Row],[a1]]=1,IF(J$2=0,Tab.o1[[#This Row],[MED]],Tab.o1[[#This Row],[MOD]]),"")</f>
        <v/>
      </c>
      <c r="J339" s="116" t="str">
        <f>IF(Tab.o1[[#This Row],[a1]]=1,((Tab.o1[[#This Row],[DIF_Target.]]-AVERAGE(Tab.o1[DIF_Target.]))/_xlfn.STDEV.P(Tab.o1[DIF_Target.])),"")</f>
        <v/>
      </c>
      <c r="K339" s="117" t="str">
        <f>IF(Tab.o1[[#This Row],[a1]]=1,IF(J$2=0,Tab.o1[[#This Row],[MOD]]-Tab.o1[[#This Row],[B]],IF(J$2=1,0,-Tab.o1[[#This Row],[MED]])+Tab.o1[[#This Row],[B]]),"")</f>
        <v/>
      </c>
      <c r="L339" s="117" t="str">
        <f ca="1">IF(Tab.o1[[#This Row],[DIF_Target]]=0,IF(L$2=0,Tab.o1[[#This Row],[DIF_Target]],AVERAGE(OFFSET(Tab.o1[[#This Row],[DIF_Target]],1,0,L$3,1)))/3,Tab.o1[[#This Row],[DIF_Target]])</f>
        <v/>
      </c>
      <c r="M339" s="118" t="str">
        <f>IF(Tab.o1[[#This Row],[a1]]=1,NORMSDIST(Tab.o1[[#This Row],[Za]]),"")</f>
        <v/>
      </c>
      <c r="N339" s="119" t="str">
        <f>IF(Tab.o1[[#This Row],[a1]]=1,((Tab.o1[[#This Row],[MedMod]]-AVERAGE(Tab.o1[MedMod]))/_xlfn.STDEV.P(Tab.o1[MedMod])*H$1205)+G$1205,"")</f>
        <v/>
      </c>
      <c r="O339" s="141" t="str">
        <f>IF(Tab.o1[[#This Row],[a1]]=1,Tab.o1[[#This Row],[Zb]]*_xlfn.STDEV.P(Tab.o1[MedMod])+AVERAGE(Tab.o1[MedMod]),"")</f>
        <v/>
      </c>
      <c r="P339" s="117" t="str">
        <f ca="1">IF(Tab.o1[[#This Row],[B]]=0,AVERAGE(OFFSET(Tab.o1[[#This Row],[B]],1,0,L$3,1)),Tab.o1[[#This Row],[B]])</f>
        <v/>
      </c>
      <c r="Q339" s="121" t="str">
        <f>IF(Tab.o1[[#This Row],[a1]]=1,NORMSDIST(Tab.o1[[#This Row],[Zb]]),"")</f>
        <v/>
      </c>
      <c r="R339" s="122" t="str">
        <f>IF(Tab.o1[[#This Row],[a1]]=1,((Tab.o1[[#This Row],[MedMod]]-AVERAGE(Tab.o1[MedMod]))/_xlfn.STDEV.P(Tab.o1[MedMod])*H$1203)+G$1203,"")</f>
        <v/>
      </c>
      <c r="S339" s="122" t="str">
        <f>IF(Tab.o1[[#This Row],[a1]]=1,((Tab.o1[[#This Row],[MedMod]]-AVERAGE(Tab.o1[MedMod]))/_xlfn.STDEV.P(Tab.o1[MedMod])*H$1204)+G$1204,"")</f>
        <v/>
      </c>
      <c r="T339" s="123" t="str">
        <f>IF(Tab.o1[[#This Row],[a1]]=1,Tab.o1[[#This Row],[Z-]]*_xlfn.STDEV.P(Tab.o1[B])+AVERAGE(Tab.o1[B]),"")</f>
        <v/>
      </c>
      <c r="U339" s="123" t="str">
        <f>IF(Tab.o1[[#This Row],[a1]]=1,Tab.o1[[#This Row],[z+]]*_xlfn.STDEV.P(Tab.o1[B])+AVERAGE(Tab.o1[B]),"")</f>
        <v/>
      </c>
      <c r="V339" s="124" t="str">
        <f>IF(Tab.o1[[#This Row],[a1]]=1,ABS((ABS(Tab.o1[[#This Row],[Red]]-Tab.o1[[#This Row],[Blue]]))),"")</f>
        <v/>
      </c>
      <c r="W339" s="125" t="str">
        <f>IF(Tab.o1[[#This Row],[a1]]=1,IF(W$3=0,1,Tab.o1[[#This Row],[Amp.]]*1/_xlfn.MINIFS(Tab.o1[Amp.],Tab.o1[Amp.],"&lt;&gt;0")),"")</f>
        <v/>
      </c>
      <c r="X339" s="126" t="str">
        <f>IF(Tab.o1[[#This Row],[a1]]=1,IF(ISNUMBER(Tab.o1[[#This Row],[i.]]),NORMDIST(Tab.o1[[#This Row],[Za]],0,1,FALSE)*Tab.o1[[#This Row],[i.]],AP$3),"")</f>
        <v/>
      </c>
      <c r="Y339" s="126" t="str">
        <f>IF(Tab.o1[[#This Row],[a1]]=1,0.01+0.94*Tab.o1[[#This Row],[PDF]]/MAX(Tab.o1[PDF]),"")</f>
        <v/>
      </c>
      <c r="Z339" s="126" t="str">
        <f>IF(Tab.o1[[#This Row],[a1]]=1,0.01+0.94*Tab.o1[[#This Row],[W1_PDF]]/MAX(Tab.o1[W1_PDF]),"")</f>
        <v/>
      </c>
      <c r="AA339" s="118" t="str">
        <f>IF(Tab.o1[[#This Row],[a1]]=1,ABS([1]!T.in.A[[#This Row],[oo6]]),"")</f>
        <v/>
      </c>
      <c r="AB339" s="127" t="str">
        <f>IF(Tab.o1[[#This Row],[a1]]=1,IF(AE$3=0,"",IF(AB$3=0,ABS([1]!T.in.A[[#This Row],[oo9]]),ABS(Tab.o1[[#This Row],[DIF_Target.]]*Tab.o1[[#This Row],[W1_PDF]]))),"")</f>
        <v/>
      </c>
      <c r="AC339" s="127" t="str">
        <f>IF(G$1=1,"",IF(Tab.o1[[#This Row],[a1]]=1,Tab.o1[[#This Row],[Wr]]^2,""))</f>
        <v/>
      </c>
      <c r="AD339" s="118" t="str">
        <f>IF(Tab.o1[[#This Row],[a1]]=1,IF(AE$3=0,"",Tab.o1[[#This Row],[Wr2]]/SUM(Tab.o1[Wr2])),"")</f>
        <v/>
      </c>
      <c r="AE339" s="128" t="str">
        <f>IF(Tab.o1[[#This Row],[a1]]=1,[1]!T.in.A[[#This Row],[oo10]],"")</f>
        <v/>
      </c>
      <c r="AF339" s="118" t="str">
        <f>IF(Tab.o1[[#This Row],[a1]]=1,ABS(Tab.o1[[#This Row],[DIF_Target.]]*Tab.o1[[#This Row],[PDF2]]*Tab.o1[[#This Row],[IN]]),"")</f>
        <v/>
      </c>
      <c r="AG339" s="129" t="str">
        <f>IF(Tab.o1[[#This Row],[a1]]=1,Tab.o1[[#This Row],[rW]]^2,"")</f>
        <v/>
      </c>
      <c r="AH339" s="130" t="str">
        <f>IF(Tab.o1[[#This Row],[a1]]=1,IF(AH$3=0,Tab.o1[[#This Row],[rW2]],0.01+0.94*Tab.o1[[#This Row],[rW2]]/SUM(Tab.o1[rW2])),"")</f>
        <v/>
      </c>
      <c r="AI339" s="128" t="str">
        <f>IF(Tab.o1[[#This Row],[a1]]=1,1/Tab.o1[[#This Row],[PDF]],"")</f>
        <v/>
      </c>
      <c r="AJ339" s="131" t="str">
        <f>IF(Tab.o1[[#This Row],[a1]]=1,[1]!T_AA[[#This Row],[IN'']]*[1]!T_AA[[#This Row],[Qde'']],"")</f>
        <v/>
      </c>
      <c r="AK339" s="132" t="str">
        <f>IF(Tab.o1[[#This Row],[a1]]=1,IF(AK$1=1,Tab.o1[[#This Row],[MED]]+Tab.o1[[#This Row],[MOD]]-Tab.o1[[#This Row],[MED]],""),"")</f>
        <v/>
      </c>
      <c r="AL339" s="133" t="str">
        <f>IF(Tab.o1[[#This Row],[a1]]=1,[1]!T.in.A[[#This Row],[oo16]],"")</f>
        <v/>
      </c>
      <c r="AM339" s="133" t="str">
        <f>IF(Tab.o1[[#This Row],[a1]]=1,IF(AM$3=1,[1]!T.in.A[[#This Row],[Σo16]],""),"")</f>
        <v/>
      </c>
      <c r="AN339" s="126" t="str">
        <f>IF(Tab.o1[[#This Row],[a1]]=1,[1]!T.in.A[[#This Row],[Σp5]],"")</f>
        <v/>
      </c>
      <c r="AO339" s="126" t="str">
        <f>IF(Tab.o1[[#This Row],[a1]]=1,IF(AO$3=1,[1]!T.in.A[[#This Row],[Σp5]],""),"")</f>
        <v/>
      </c>
      <c r="AP339" s="110" t="str">
        <f>IF(Tab.o1[[#This Row],[a1]]=1,IF(ISNUMBER(Tab.o1[[#This Row],[i.]]),NORMDIST(Tab.o1[[#This Row],[Za]],0,1,FALSE)*Tab.o1[[#This Row],[i.]],0),"")</f>
        <v/>
      </c>
      <c r="AQ339" s="125" t="str">
        <f>IF(Tab.o1[[#This Row],[a1]]=1,ABS(Tab.o1[[#This Row],[MOD]]-AVERAGE(Tab.o1[MOD])),"")</f>
        <v/>
      </c>
      <c r="AR339" s="134" t="str">
        <f>IF(Tab.o1[[#This Row],[a1]]=1,Tab.o1[[#This Row],[OBS]]/SUM(Tab.o1[OBS]),"")</f>
        <v/>
      </c>
      <c r="AS339" s="135" t="str">
        <f>IF(ISNUMBER(Tab.o1[[#This Row],[a1]]),ROW()-4,"")</f>
        <v/>
      </c>
      <c r="AT339" s="136" t="str">
        <f>Tab.o1[[#This Row],[MOD]]</f>
        <v/>
      </c>
      <c r="AU339" s="137" t="str">
        <f t="shared" si="21"/>
        <v/>
      </c>
      <c r="AV339" s="138" t="str">
        <f t="shared" si="22"/>
        <v/>
      </c>
      <c r="AW339" s="138" t="str">
        <f t="shared" si="23"/>
        <v/>
      </c>
      <c r="AX339" s="139" t="str">
        <f>[1]!T.in.A[[#This Row],[ID_T_manu]]</f>
        <v/>
      </c>
      <c r="AY339" s="140" t="str">
        <f>IF(ISNUMBER(Tab.o1[[#This Row],[a1]]),IF(AND(Tab.o1[[#This Row],[a1]]=1,Tab.o1[[#This Row],[b1]]&lt;=AY$4),#REF!,AY338),"")</f>
        <v/>
      </c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</row>
    <row r="340" spans="1:79" ht="15.75" hidden="1">
      <c r="A340" s="109">
        <v>1.0000000000000002E-6</v>
      </c>
      <c r="B340" s="110">
        <f t="shared" si="20"/>
        <v>340</v>
      </c>
      <c r="C340" s="111" t="str">
        <f>IF(C$1=[1]!T.in.A[[#This Row],[oo2]],1,"")</f>
        <v/>
      </c>
      <c r="D340" s="112" t="str">
        <f>IF(Tab.o1[[#This Row],[a1]]=1,IF(SUM(C340:C341)=0,0,IF(SUM(C339:C340)=1,1,IF(SUM(C339:C341)&gt;1,D339+1,0))),"")</f>
        <v/>
      </c>
      <c r="E340" s="113" t="str">
        <f>IF(Tab.o1[[#This Row],[a1]]=1,[1]!T.in.A[[#This Row],[oo1]],"")</f>
        <v/>
      </c>
      <c r="F340" s="113" t="str">
        <f>IF(Tab.o1[[#This Row],[a1]]=1,[1]!T.in.A[[#This Row],[pp1]],"")</f>
        <v/>
      </c>
      <c r="G340" s="114" t="str">
        <f>IF(Tab.o1[[#This Row],[a1]]=1,G$2+IF(G$1=1,0,Tab.o1[[#This Row],[.x1]])+[1]!T.in.A[[#This Row],[oo3]],"")</f>
        <v/>
      </c>
      <c r="H340" s="115" t="str">
        <f>IF(Tab.o1[[#This Row],[a1]]=1,IF(H$2=0,0,IF(G$1=1,0,Tab.o1[[#This Row],[.x1]])+[1]!T.in.A[[#This Row],[oo4]]),"")</f>
        <v/>
      </c>
      <c r="I340" s="116" t="str">
        <f>IF(Tab.o1[[#This Row],[a1]]=1,IF(J$2=0,Tab.o1[[#This Row],[MED]],Tab.o1[[#This Row],[MOD]]),"")</f>
        <v/>
      </c>
      <c r="J340" s="116" t="str">
        <f>IF(Tab.o1[[#This Row],[a1]]=1,((Tab.o1[[#This Row],[DIF_Target.]]-AVERAGE(Tab.o1[DIF_Target.]))/_xlfn.STDEV.P(Tab.o1[DIF_Target.])),"")</f>
        <v/>
      </c>
      <c r="K340" s="117" t="str">
        <f>IF(Tab.o1[[#This Row],[a1]]=1,IF(J$2=0,Tab.o1[[#This Row],[MOD]]-Tab.o1[[#This Row],[B]],IF(J$2=1,0,-Tab.o1[[#This Row],[MED]])+Tab.o1[[#This Row],[B]]),"")</f>
        <v/>
      </c>
      <c r="L340" s="117" t="str">
        <f ca="1">IF(Tab.o1[[#This Row],[DIF_Target]]=0,IF(L$2=0,Tab.o1[[#This Row],[DIF_Target]],AVERAGE(OFFSET(Tab.o1[[#This Row],[DIF_Target]],1,0,L$3,1)))/3,Tab.o1[[#This Row],[DIF_Target]])</f>
        <v/>
      </c>
      <c r="M340" s="118" t="str">
        <f>IF(Tab.o1[[#This Row],[a1]]=1,NORMSDIST(Tab.o1[[#This Row],[Za]]),"")</f>
        <v/>
      </c>
      <c r="N340" s="119" t="str">
        <f>IF(Tab.o1[[#This Row],[a1]]=1,((Tab.o1[[#This Row],[MedMod]]-AVERAGE(Tab.o1[MedMod]))/_xlfn.STDEV.P(Tab.o1[MedMod])*H$1205)+G$1205,"")</f>
        <v/>
      </c>
      <c r="O340" s="141" t="str">
        <f>IF(Tab.o1[[#This Row],[a1]]=1,Tab.o1[[#This Row],[Zb]]*_xlfn.STDEV.P(Tab.o1[MedMod])+AVERAGE(Tab.o1[MedMod]),"")</f>
        <v/>
      </c>
      <c r="P340" s="117" t="str">
        <f ca="1">IF(Tab.o1[[#This Row],[B]]=0,AVERAGE(OFFSET(Tab.o1[[#This Row],[B]],1,0,L$3,1)),Tab.o1[[#This Row],[B]])</f>
        <v/>
      </c>
      <c r="Q340" s="121" t="str">
        <f>IF(Tab.o1[[#This Row],[a1]]=1,NORMSDIST(Tab.o1[[#This Row],[Zb]]),"")</f>
        <v/>
      </c>
      <c r="R340" s="122" t="str">
        <f>IF(Tab.o1[[#This Row],[a1]]=1,((Tab.o1[[#This Row],[MedMod]]-AVERAGE(Tab.o1[MedMod]))/_xlfn.STDEV.P(Tab.o1[MedMod])*H$1203)+G$1203,"")</f>
        <v/>
      </c>
      <c r="S340" s="122" t="str">
        <f>IF(Tab.o1[[#This Row],[a1]]=1,((Tab.o1[[#This Row],[MedMod]]-AVERAGE(Tab.o1[MedMod]))/_xlfn.STDEV.P(Tab.o1[MedMod])*H$1204)+G$1204,"")</f>
        <v/>
      </c>
      <c r="T340" s="123" t="str">
        <f>IF(Tab.o1[[#This Row],[a1]]=1,Tab.o1[[#This Row],[Z-]]*_xlfn.STDEV.P(Tab.o1[B])+AVERAGE(Tab.o1[B]),"")</f>
        <v/>
      </c>
      <c r="U340" s="123" t="str">
        <f>IF(Tab.o1[[#This Row],[a1]]=1,Tab.o1[[#This Row],[z+]]*_xlfn.STDEV.P(Tab.o1[B])+AVERAGE(Tab.o1[B]),"")</f>
        <v/>
      </c>
      <c r="V340" s="124" t="str">
        <f>IF(Tab.o1[[#This Row],[a1]]=1,ABS((ABS(Tab.o1[[#This Row],[Red]]-Tab.o1[[#This Row],[Blue]]))),"")</f>
        <v/>
      </c>
      <c r="W340" s="125" t="str">
        <f>IF(Tab.o1[[#This Row],[a1]]=1,IF(W$3=0,1,Tab.o1[[#This Row],[Amp.]]*1/_xlfn.MINIFS(Tab.o1[Amp.],Tab.o1[Amp.],"&lt;&gt;0")),"")</f>
        <v/>
      </c>
      <c r="X340" s="126" t="str">
        <f>IF(Tab.o1[[#This Row],[a1]]=1,IF(ISNUMBER(Tab.o1[[#This Row],[i.]]),NORMDIST(Tab.o1[[#This Row],[Za]],0,1,FALSE)*Tab.o1[[#This Row],[i.]],AP$3),"")</f>
        <v/>
      </c>
      <c r="Y340" s="126" t="str">
        <f>IF(Tab.o1[[#This Row],[a1]]=1,0.01+0.94*Tab.o1[[#This Row],[PDF]]/MAX(Tab.o1[PDF]),"")</f>
        <v/>
      </c>
      <c r="Z340" s="126" t="str">
        <f>IF(Tab.o1[[#This Row],[a1]]=1,0.01+0.94*Tab.o1[[#This Row],[W1_PDF]]/MAX(Tab.o1[W1_PDF]),"")</f>
        <v/>
      </c>
      <c r="AA340" s="118" t="str">
        <f>IF(Tab.o1[[#This Row],[a1]]=1,ABS([1]!T.in.A[[#This Row],[oo6]]),"")</f>
        <v/>
      </c>
      <c r="AB340" s="127" t="str">
        <f>IF(Tab.o1[[#This Row],[a1]]=1,IF(AE$3=0,"",IF(AB$3=0,ABS([1]!T.in.A[[#This Row],[oo9]]),ABS(Tab.o1[[#This Row],[DIF_Target.]]*Tab.o1[[#This Row],[W1_PDF]]))),"")</f>
        <v/>
      </c>
      <c r="AC340" s="127" t="str">
        <f>IF(G$1=1,"",IF(Tab.o1[[#This Row],[a1]]=1,Tab.o1[[#This Row],[Wr]]^2,""))</f>
        <v/>
      </c>
      <c r="AD340" s="118" t="str">
        <f>IF(Tab.o1[[#This Row],[a1]]=1,IF(AE$3=0,"",Tab.o1[[#This Row],[Wr2]]/SUM(Tab.o1[Wr2])),"")</f>
        <v/>
      </c>
      <c r="AE340" s="128" t="str">
        <f>IF(Tab.o1[[#This Row],[a1]]=1,[1]!T.in.A[[#This Row],[oo10]],"")</f>
        <v/>
      </c>
      <c r="AF340" s="118" t="str">
        <f>IF(Tab.o1[[#This Row],[a1]]=1,ABS(Tab.o1[[#This Row],[DIF_Target.]]*Tab.o1[[#This Row],[PDF2]]*Tab.o1[[#This Row],[IN]]),"")</f>
        <v/>
      </c>
      <c r="AG340" s="129" t="str">
        <f>IF(Tab.o1[[#This Row],[a1]]=1,Tab.o1[[#This Row],[rW]]^2,"")</f>
        <v/>
      </c>
      <c r="AH340" s="130" t="str">
        <f>IF(Tab.o1[[#This Row],[a1]]=1,IF(AH$3=0,Tab.o1[[#This Row],[rW2]],0.01+0.94*Tab.o1[[#This Row],[rW2]]/SUM(Tab.o1[rW2])),"")</f>
        <v/>
      </c>
      <c r="AI340" s="128" t="str">
        <f>IF(Tab.o1[[#This Row],[a1]]=1,1/Tab.o1[[#This Row],[PDF]],"")</f>
        <v/>
      </c>
      <c r="AJ340" s="131" t="str">
        <f>IF(Tab.o1[[#This Row],[a1]]=1,[1]!T_AA[[#This Row],[IN'']]*[1]!T_AA[[#This Row],[Qde'']],"")</f>
        <v/>
      </c>
      <c r="AK340" s="132" t="str">
        <f>IF(Tab.o1[[#This Row],[a1]]=1,IF(AK$1=1,Tab.o1[[#This Row],[MED]]+Tab.o1[[#This Row],[MOD]]-Tab.o1[[#This Row],[MED]],""),"")</f>
        <v/>
      </c>
      <c r="AL340" s="133" t="str">
        <f>IF(Tab.o1[[#This Row],[a1]]=1,[1]!T.in.A[[#This Row],[oo16]],"")</f>
        <v/>
      </c>
      <c r="AM340" s="133" t="str">
        <f>IF(Tab.o1[[#This Row],[a1]]=1,IF(AM$3=1,[1]!T.in.A[[#This Row],[Σo16]],""),"")</f>
        <v/>
      </c>
      <c r="AN340" s="126" t="str">
        <f>IF(Tab.o1[[#This Row],[a1]]=1,[1]!T.in.A[[#This Row],[Σp5]],"")</f>
        <v/>
      </c>
      <c r="AO340" s="126" t="str">
        <f>IF(Tab.o1[[#This Row],[a1]]=1,IF(AO$3=1,[1]!T.in.A[[#This Row],[Σp5]],""),"")</f>
        <v/>
      </c>
      <c r="AP340" s="110" t="str">
        <f>IF(Tab.o1[[#This Row],[a1]]=1,IF(ISNUMBER(Tab.o1[[#This Row],[i.]]),NORMDIST(Tab.o1[[#This Row],[Za]],0,1,FALSE)*Tab.o1[[#This Row],[i.]],0),"")</f>
        <v/>
      </c>
      <c r="AQ340" s="125" t="str">
        <f>IF(Tab.o1[[#This Row],[a1]]=1,ABS(Tab.o1[[#This Row],[MOD]]-AVERAGE(Tab.o1[MOD])),"")</f>
        <v/>
      </c>
      <c r="AR340" s="134" t="str">
        <f>IF(Tab.o1[[#This Row],[a1]]=1,Tab.o1[[#This Row],[OBS]]/SUM(Tab.o1[OBS]),"")</f>
        <v/>
      </c>
      <c r="AS340" s="135" t="str">
        <f>IF(ISNUMBER(Tab.o1[[#This Row],[a1]]),ROW()-4,"")</f>
        <v/>
      </c>
      <c r="AT340" s="136" t="str">
        <f>Tab.o1[[#This Row],[MOD]]</f>
        <v/>
      </c>
      <c r="AU340" s="137" t="str">
        <f t="shared" si="21"/>
        <v/>
      </c>
      <c r="AV340" s="138" t="str">
        <f t="shared" si="22"/>
        <v/>
      </c>
      <c r="AW340" s="138" t="str">
        <f t="shared" si="23"/>
        <v/>
      </c>
      <c r="AX340" s="139" t="str">
        <f>[1]!T.in.A[[#This Row],[ID_T_manu]]</f>
        <v/>
      </c>
      <c r="AY340" s="140" t="str">
        <f>IF(ISNUMBER(Tab.o1[[#This Row],[a1]]),IF(AND(Tab.o1[[#This Row],[a1]]=1,Tab.o1[[#This Row],[b1]]&lt;=AY$4),#REF!,AY339),"")</f>
        <v/>
      </c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</row>
    <row r="341" spans="1:79" ht="15.75" hidden="1">
      <c r="A341" s="109">
        <v>-5.9999999999999993E-6</v>
      </c>
      <c r="B341" s="110">
        <f t="shared" si="20"/>
        <v>341</v>
      </c>
      <c r="C341" s="111" t="str">
        <f>IF(C$1=[1]!T.in.A[[#This Row],[oo2]],1,"")</f>
        <v/>
      </c>
      <c r="D341" s="112" t="str">
        <f>IF(Tab.o1[[#This Row],[a1]]=1,IF(SUM(C341:C342)=0,0,IF(SUM(C340:C341)=1,1,IF(SUM(C340:C342)&gt;1,D340+1,0))),"")</f>
        <v/>
      </c>
      <c r="E341" s="113" t="str">
        <f>IF(Tab.o1[[#This Row],[a1]]=1,[1]!T.in.A[[#This Row],[oo1]],"")</f>
        <v/>
      </c>
      <c r="F341" s="113" t="str">
        <f>IF(Tab.o1[[#This Row],[a1]]=1,[1]!T.in.A[[#This Row],[pp1]],"")</f>
        <v/>
      </c>
      <c r="G341" s="114" t="str">
        <f>IF(Tab.o1[[#This Row],[a1]]=1,G$2+IF(G$1=1,0,Tab.o1[[#This Row],[.x1]])+[1]!T.in.A[[#This Row],[oo3]],"")</f>
        <v/>
      </c>
      <c r="H341" s="115" t="str">
        <f>IF(Tab.o1[[#This Row],[a1]]=1,IF(H$2=0,0,IF(G$1=1,0,Tab.o1[[#This Row],[.x1]])+[1]!T.in.A[[#This Row],[oo4]]),"")</f>
        <v/>
      </c>
      <c r="I341" s="116" t="str">
        <f>IF(Tab.o1[[#This Row],[a1]]=1,IF(J$2=0,Tab.o1[[#This Row],[MED]],Tab.o1[[#This Row],[MOD]]),"")</f>
        <v/>
      </c>
      <c r="J341" s="116" t="str">
        <f>IF(Tab.o1[[#This Row],[a1]]=1,((Tab.o1[[#This Row],[DIF_Target.]]-AVERAGE(Tab.o1[DIF_Target.]))/_xlfn.STDEV.P(Tab.o1[DIF_Target.])),"")</f>
        <v/>
      </c>
      <c r="K341" s="117" t="str">
        <f>IF(Tab.o1[[#This Row],[a1]]=1,IF(J$2=0,Tab.o1[[#This Row],[MOD]]-Tab.o1[[#This Row],[B]],IF(J$2=1,0,-Tab.o1[[#This Row],[MED]])+Tab.o1[[#This Row],[B]]),"")</f>
        <v/>
      </c>
      <c r="L341" s="117" t="str">
        <f ca="1">IF(Tab.o1[[#This Row],[DIF_Target]]=0,IF(L$2=0,Tab.o1[[#This Row],[DIF_Target]],AVERAGE(OFFSET(Tab.o1[[#This Row],[DIF_Target]],1,0,L$3,1)))/3,Tab.o1[[#This Row],[DIF_Target]])</f>
        <v/>
      </c>
      <c r="M341" s="118" t="str">
        <f>IF(Tab.o1[[#This Row],[a1]]=1,NORMSDIST(Tab.o1[[#This Row],[Za]]),"")</f>
        <v/>
      </c>
      <c r="N341" s="119" t="str">
        <f>IF(Tab.o1[[#This Row],[a1]]=1,((Tab.o1[[#This Row],[MedMod]]-AVERAGE(Tab.o1[MedMod]))/_xlfn.STDEV.P(Tab.o1[MedMod])*H$1205)+G$1205,"")</f>
        <v/>
      </c>
      <c r="O341" s="141" t="str">
        <f>IF(Tab.o1[[#This Row],[a1]]=1,Tab.o1[[#This Row],[Zb]]*_xlfn.STDEV.P(Tab.o1[MedMod])+AVERAGE(Tab.o1[MedMod]),"")</f>
        <v/>
      </c>
      <c r="P341" s="117" t="str">
        <f ca="1">IF(Tab.o1[[#This Row],[B]]=0,AVERAGE(OFFSET(Tab.o1[[#This Row],[B]],1,0,L$3,1)),Tab.o1[[#This Row],[B]])</f>
        <v/>
      </c>
      <c r="Q341" s="121" t="str">
        <f>IF(Tab.o1[[#This Row],[a1]]=1,NORMSDIST(Tab.o1[[#This Row],[Zb]]),"")</f>
        <v/>
      </c>
      <c r="R341" s="122" t="str">
        <f>IF(Tab.o1[[#This Row],[a1]]=1,((Tab.o1[[#This Row],[MedMod]]-AVERAGE(Tab.o1[MedMod]))/_xlfn.STDEV.P(Tab.o1[MedMod])*H$1203)+G$1203,"")</f>
        <v/>
      </c>
      <c r="S341" s="122" t="str">
        <f>IF(Tab.o1[[#This Row],[a1]]=1,((Tab.o1[[#This Row],[MedMod]]-AVERAGE(Tab.o1[MedMod]))/_xlfn.STDEV.P(Tab.o1[MedMod])*H$1204)+G$1204,"")</f>
        <v/>
      </c>
      <c r="T341" s="123" t="str">
        <f>IF(Tab.o1[[#This Row],[a1]]=1,Tab.o1[[#This Row],[Z-]]*_xlfn.STDEV.P(Tab.o1[B])+AVERAGE(Tab.o1[B]),"")</f>
        <v/>
      </c>
      <c r="U341" s="123" t="str">
        <f>IF(Tab.o1[[#This Row],[a1]]=1,Tab.o1[[#This Row],[z+]]*_xlfn.STDEV.P(Tab.o1[B])+AVERAGE(Tab.o1[B]),"")</f>
        <v/>
      </c>
      <c r="V341" s="124" t="str">
        <f>IF(Tab.o1[[#This Row],[a1]]=1,ABS((ABS(Tab.o1[[#This Row],[Red]]-Tab.o1[[#This Row],[Blue]]))),"")</f>
        <v/>
      </c>
      <c r="W341" s="125" t="str">
        <f>IF(Tab.o1[[#This Row],[a1]]=1,IF(W$3=0,1,Tab.o1[[#This Row],[Amp.]]*1/_xlfn.MINIFS(Tab.o1[Amp.],Tab.o1[Amp.],"&lt;&gt;0")),"")</f>
        <v/>
      </c>
      <c r="X341" s="126" t="str">
        <f>IF(Tab.o1[[#This Row],[a1]]=1,IF(ISNUMBER(Tab.o1[[#This Row],[i.]]),NORMDIST(Tab.o1[[#This Row],[Za]],0,1,FALSE)*Tab.o1[[#This Row],[i.]],AP$3),"")</f>
        <v/>
      </c>
      <c r="Y341" s="126" t="str">
        <f>IF(Tab.o1[[#This Row],[a1]]=1,0.01+0.94*Tab.o1[[#This Row],[PDF]]/MAX(Tab.o1[PDF]),"")</f>
        <v/>
      </c>
      <c r="Z341" s="126" t="str">
        <f>IF(Tab.o1[[#This Row],[a1]]=1,0.01+0.94*Tab.o1[[#This Row],[W1_PDF]]/MAX(Tab.o1[W1_PDF]),"")</f>
        <v/>
      </c>
      <c r="AA341" s="118" t="str">
        <f>IF(Tab.o1[[#This Row],[a1]]=1,ABS([1]!T.in.A[[#This Row],[oo6]]),"")</f>
        <v/>
      </c>
      <c r="AB341" s="127" t="str">
        <f>IF(Tab.o1[[#This Row],[a1]]=1,IF(AE$3=0,"",IF(AB$3=0,ABS([1]!T.in.A[[#This Row],[oo9]]),ABS(Tab.o1[[#This Row],[DIF_Target.]]*Tab.o1[[#This Row],[W1_PDF]]))),"")</f>
        <v/>
      </c>
      <c r="AC341" s="127" t="str">
        <f>IF(G$1=1,"",IF(Tab.o1[[#This Row],[a1]]=1,Tab.o1[[#This Row],[Wr]]^2,""))</f>
        <v/>
      </c>
      <c r="AD341" s="118" t="str">
        <f>IF(Tab.o1[[#This Row],[a1]]=1,IF(AE$3=0,"",Tab.o1[[#This Row],[Wr2]]/SUM(Tab.o1[Wr2])),"")</f>
        <v/>
      </c>
      <c r="AE341" s="128" t="str">
        <f>IF(Tab.o1[[#This Row],[a1]]=1,[1]!T.in.A[[#This Row],[oo10]],"")</f>
        <v/>
      </c>
      <c r="AF341" s="118" t="str">
        <f>IF(Tab.o1[[#This Row],[a1]]=1,ABS(Tab.o1[[#This Row],[DIF_Target.]]*Tab.o1[[#This Row],[PDF2]]*Tab.o1[[#This Row],[IN]]),"")</f>
        <v/>
      </c>
      <c r="AG341" s="129" t="str">
        <f>IF(Tab.o1[[#This Row],[a1]]=1,Tab.o1[[#This Row],[rW]]^2,"")</f>
        <v/>
      </c>
      <c r="AH341" s="130" t="str">
        <f>IF(Tab.o1[[#This Row],[a1]]=1,IF(AH$3=0,Tab.o1[[#This Row],[rW2]],0.01+0.94*Tab.o1[[#This Row],[rW2]]/SUM(Tab.o1[rW2])),"")</f>
        <v/>
      </c>
      <c r="AI341" s="128" t="str">
        <f>IF(Tab.o1[[#This Row],[a1]]=1,1/Tab.o1[[#This Row],[PDF]],"")</f>
        <v/>
      </c>
      <c r="AJ341" s="131" t="str">
        <f>IF(Tab.o1[[#This Row],[a1]]=1,[1]!T_AA[[#This Row],[IN'']]*[1]!T_AA[[#This Row],[Qde'']],"")</f>
        <v/>
      </c>
      <c r="AK341" s="132" t="str">
        <f>IF(Tab.o1[[#This Row],[a1]]=1,IF(AK$1=1,Tab.o1[[#This Row],[MED]]+Tab.o1[[#This Row],[MOD]]-Tab.o1[[#This Row],[MED]],""),"")</f>
        <v/>
      </c>
      <c r="AL341" s="133" t="str">
        <f>IF(Tab.o1[[#This Row],[a1]]=1,[1]!T.in.A[[#This Row],[oo16]],"")</f>
        <v/>
      </c>
      <c r="AM341" s="133" t="str">
        <f>IF(Tab.o1[[#This Row],[a1]]=1,IF(AM$3=1,[1]!T.in.A[[#This Row],[Σo16]],""),"")</f>
        <v/>
      </c>
      <c r="AN341" s="126" t="str">
        <f>IF(Tab.o1[[#This Row],[a1]]=1,[1]!T.in.A[[#This Row],[Σp5]],"")</f>
        <v/>
      </c>
      <c r="AO341" s="126" t="str">
        <f>IF(Tab.o1[[#This Row],[a1]]=1,IF(AO$3=1,[1]!T.in.A[[#This Row],[Σp5]],""),"")</f>
        <v/>
      </c>
      <c r="AP341" s="110" t="str">
        <f>IF(Tab.o1[[#This Row],[a1]]=1,IF(ISNUMBER(Tab.o1[[#This Row],[i.]]),NORMDIST(Tab.o1[[#This Row],[Za]],0,1,FALSE)*Tab.o1[[#This Row],[i.]],0),"")</f>
        <v/>
      </c>
      <c r="AQ341" s="125" t="str">
        <f>IF(Tab.o1[[#This Row],[a1]]=1,ABS(Tab.o1[[#This Row],[MOD]]-AVERAGE(Tab.o1[MOD])),"")</f>
        <v/>
      </c>
      <c r="AR341" s="134" t="str">
        <f>IF(Tab.o1[[#This Row],[a1]]=1,Tab.o1[[#This Row],[OBS]]/SUM(Tab.o1[OBS]),"")</f>
        <v/>
      </c>
      <c r="AS341" s="135" t="str">
        <f>IF(ISNUMBER(Tab.o1[[#This Row],[a1]]),ROW()-4,"")</f>
        <v/>
      </c>
      <c r="AT341" s="136" t="str">
        <f>Tab.o1[[#This Row],[MOD]]</f>
        <v/>
      </c>
      <c r="AU341" s="137" t="str">
        <f t="shared" si="21"/>
        <v/>
      </c>
      <c r="AV341" s="138" t="str">
        <f t="shared" si="22"/>
        <v/>
      </c>
      <c r="AW341" s="138" t="str">
        <f t="shared" si="23"/>
        <v/>
      </c>
      <c r="AX341" s="139" t="str">
        <f>[1]!T.in.A[[#This Row],[ID_T_manu]]</f>
        <v/>
      </c>
      <c r="AY341" s="140" t="str">
        <f>IF(ISNUMBER(Tab.o1[[#This Row],[a1]]),IF(AND(Tab.o1[[#This Row],[a1]]=1,Tab.o1[[#This Row],[b1]]&lt;=AY$4),#REF!,AY340),"")</f>
        <v/>
      </c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</row>
    <row r="342" spans="1:79" ht="15.75" hidden="1">
      <c r="A342" s="109">
        <v>-8.0000000000000013E-6</v>
      </c>
      <c r="B342" s="110">
        <f t="shared" si="20"/>
        <v>342</v>
      </c>
      <c r="C342" s="111" t="str">
        <f>IF(C$1=[1]!T.in.A[[#This Row],[oo2]],1,"")</f>
        <v/>
      </c>
      <c r="D342" s="112" t="str">
        <f>IF(Tab.o1[[#This Row],[a1]]=1,IF(SUM(C342:C343)=0,0,IF(SUM(C341:C342)=1,1,IF(SUM(C341:C343)&gt;1,D341+1,0))),"")</f>
        <v/>
      </c>
      <c r="E342" s="113" t="str">
        <f>IF(Tab.o1[[#This Row],[a1]]=1,[1]!T.in.A[[#This Row],[oo1]],"")</f>
        <v/>
      </c>
      <c r="F342" s="113" t="str">
        <f>IF(Tab.o1[[#This Row],[a1]]=1,[1]!T.in.A[[#This Row],[pp1]],"")</f>
        <v/>
      </c>
      <c r="G342" s="114" t="str">
        <f>IF(Tab.o1[[#This Row],[a1]]=1,G$2+IF(G$1=1,0,Tab.o1[[#This Row],[.x1]])+[1]!T.in.A[[#This Row],[oo3]],"")</f>
        <v/>
      </c>
      <c r="H342" s="115" t="str">
        <f>IF(Tab.o1[[#This Row],[a1]]=1,IF(H$2=0,0,IF(G$1=1,0,Tab.o1[[#This Row],[.x1]])+[1]!T.in.A[[#This Row],[oo4]]),"")</f>
        <v/>
      </c>
      <c r="I342" s="116" t="str">
        <f>IF(Tab.o1[[#This Row],[a1]]=1,IF(J$2=0,Tab.o1[[#This Row],[MED]],Tab.o1[[#This Row],[MOD]]),"")</f>
        <v/>
      </c>
      <c r="J342" s="116" t="str">
        <f>IF(Tab.o1[[#This Row],[a1]]=1,((Tab.o1[[#This Row],[DIF_Target.]]-AVERAGE(Tab.o1[DIF_Target.]))/_xlfn.STDEV.P(Tab.o1[DIF_Target.])),"")</f>
        <v/>
      </c>
      <c r="K342" s="117" t="str">
        <f>IF(Tab.o1[[#This Row],[a1]]=1,IF(J$2=0,Tab.o1[[#This Row],[MOD]]-Tab.o1[[#This Row],[B]],IF(J$2=1,0,-Tab.o1[[#This Row],[MED]])+Tab.o1[[#This Row],[B]]),"")</f>
        <v/>
      </c>
      <c r="L342" s="117" t="str">
        <f ca="1">IF(Tab.o1[[#This Row],[DIF_Target]]=0,IF(L$2=0,Tab.o1[[#This Row],[DIF_Target]],AVERAGE(OFFSET(Tab.o1[[#This Row],[DIF_Target]],1,0,L$3,1)))/3,Tab.o1[[#This Row],[DIF_Target]])</f>
        <v/>
      </c>
      <c r="M342" s="118" t="str">
        <f>IF(Tab.o1[[#This Row],[a1]]=1,NORMSDIST(Tab.o1[[#This Row],[Za]]),"")</f>
        <v/>
      </c>
      <c r="N342" s="119" t="str">
        <f>IF(Tab.o1[[#This Row],[a1]]=1,((Tab.o1[[#This Row],[MedMod]]-AVERAGE(Tab.o1[MedMod]))/_xlfn.STDEV.P(Tab.o1[MedMod])*H$1205)+G$1205,"")</f>
        <v/>
      </c>
      <c r="O342" s="141" t="str">
        <f>IF(Tab.o1[[#This Row],[a1]]=1,Tab.o1[[#This Row],[Zb]]*_xlfn.STDEV.P(Tab.o1[MedMod])+AVERAGE(Tab.o1[MedMod]),"")</f>
        <v/>
      </c>
      <c r="P342" s="117" t="str">
        <f ca="1">IF(Tab.o1[[#This Row],[B]]=0,AVERAGE(OFFSET(Tab.o1[[#This Row],[B]],1,0,L$3,1)),Tab.o1[[#This Row],[B]])</f>
        <v/>
      </c>
      <c r="Q342" s="121" t="str">
        <f>IF(Tab.o1[[#This Row],[a1]]=1,NORMSDIST(Tab.o1[[#This Row],[Zb]]),"")</f>
        <v/>
      </c>
      <c r="R342" s="122" t="str">
        <f>IF(Tab.o1[[#This Row],[a1]]=1,((Tab.o1[[#This Row],[MedMod]]-AVERAGE(Tab.o1[MedMod]))/_xlfn.STDEV.P(Tab.o1[MedMod])*H$1203)+G$1203,"")</f>
        <v/>
      </c>
      <c r="S342" s="122" t="str">
        <f>IF(Tab.o1[[#This Row],[a1]]=1,((Tab.o1[[#This Row],[MedMod]]-AVERAGE(Tab.o1[MedMod]))/_xlfn.STDEV.P(Tab.o1[MedMod])*H$1204)+G$1204,"")</f>
        <v/>
      </c>
      <c r="T342" s="123" t="str">
        <f>IF(Tab.o1[[#This Row],[a1]]=1,Tab.o1[[#This Row],[Z-]]*_xlfn.STDEV.P(Tab.o1[B])+AVERAGE(Tab.o1[B]),"")</f>
        <v/>
      </c>
      <c r="U342" s="123" t="str">
        <f>IF(Tab.o1[[#This Row],[a1]]=1,Tab.o1[[#This Row],[z+]]*_xlfn.STDEV.P(Tab.o1[B])+AVERAGE(Tab.o1[B]),"")</f>
        <v/>
      </c>
      <c r="V342" s="124" t="str">
        <f>IF(Tab.o1[[#This Row],[a1]]=1,ABS((ABS(Tab.o1[[#This Row],[Red]]-Tab.o1[[#This Row],[Blue]]))),"")</f>
        <v/>
      </c>
      <c r="W342" s="125" t="str">
        <f>IF(Tab.o1[[#This Row],[a1]]=1,IF(W$3=0,1,Tab.o1[[#This Row],[Amp.]]*1/_xlfn.MINIFS(Tab.o1[Amp.],Tab.o1[Amp.],"&lt;&gt;0")),"")</f>
        <v/>
      </c>
      <c r="X342" s="126" t="str">
        <f>IF(Tab.o1[[#This Row],[a1]]=1,IF(ISNUMBER(Tab.o1[[#This Row],[i.]]),NORMDIST(Tab.o1[[#This Row],[Za]],0,1,FALSE)*Tab.o1[[#This Row],[i.]],AP$3),"")</f>
        <v/>
      </c>
      <c r="Y342" s="126" t="str">
        <f>IF(Tab.o1[[#This Row],[a1]]=1,0.01+0.94*Tab.o1[[#This Row],[PDF]]/MAX(Tab.o1[PDF]),"")</f>
        <v/>
      </c>
      <c r="Z342" s="126" t="str">
        <f>IF(Tab.o1[[#This Row],[a1]]=1,0.01+0.94*Tab.o1[[#This Row],[W1_PDF]]/MAX(Tab.o1[W1_PDF]),"")</f>
        <v/>
      </c>
      <c r="AA342" s="118" t="str">
        <f>IF(Tab.o1[[#This Row],[a1]]=1,ABS([1]!T.in.A[[#This Row],[oo6]]),"")</f>
        <v/>
      </c>
      <c r="AB342" s="127" t="str">
        <f>IF(Tab.o1[[#This Row],[a1]]=1,IF(AE$3=0,"",IF(AB$3=0,ABS([1]!T.in.A[[#This Row],[oo9]]),ABS(Tab.o1[[#This Row],[DIF_Target.]]*Tab.o1[[#This Row],[W1_PDF]]))),"")</f>
        <v/>
      </c>
      <c r="AC342" s="127" t="str">
        <f>IF(G$1=1,"",IF(Tab.o1[[#This Row],[a1]]=1,Tab.o1[[#This Row],[Wr]]^2,""))</f>
        <v/>
      </c>
      <c r="AD342" s="118" t="str">
        <f>IF(Tab.o1[[#This Row],[a1]]=1,IF(AE$3=0,"",Tab.o1[[#This Row],[Wr2]]/SUM(Tab.o1[Wr2])),"")</f>
        <v/>
      </c>
      <c r="AE342" s="128" t="str">
        <f>IF(Tab.o1[[#This Row],[a1]]=1,[1]!T.in.A[[#This Row],[oo10]],"")</f>
        <v/>
      </c>
      <c r="AF342" s="118" t="str">
        <f>IF(Tab.o1[[#This Row],[a1]]=1,ABS(Tab.o1[[#This Row],[DIF_Target.]]*Tab.o1[[#This Row],[PDF2]]*Tab.o1[[#This Row],[IN]]),"")</f>
        <v/>
      </c>
      <c r="AG342" s="129" t="str">
        <f>IF(Tab.o1[[#This Row],[a1]]=1,Tab.o1[[#This Row],[rW]]^2,"")</f>
        <v/>
      </c>
      <c r="AH342" s="130" t="str">
        <f>IF(Tab.o1[[#This Row],[a1]]=1,IF(AH$3=0,Tab.o1[[#This Row],[rW2]],0.01+0.94*Tab.o1[[#This Row],[rW2]]/SUM(Tab.o1[rW2])),"")</f>
        <v/>
      </c>
      <c r="AI342" s="128" t="str">
        <f>IF(Tab.o1[[#This Row],[a1]]=1,1/Tab.o1[[#This Row],[PDF]],"")</f>
        <v/>
      </c>
      <c r="AJ342" s="131" t="str">
        <f>IF(Tab.o1[[#This Row],[a1]]=1,[1]!T_AA[[#This Row],[IN'']]*[1]!T_AA[[#This Row],[Qde'']],"")</f>
        <v/>
      </c>
      <c r="AK342" s="132" t="str">
        <f>IF(Tab.o1[[#This Row],[a1]]=1,IF(AK$1=1,Tab.o1[[#This Row],[MED]]+Tab.o1[[#This Row],[MOD]]-Tab.o1[[#This Row],[MED]],""),"")</f>
        <v/>
      </c>
      <c r="AL342" s="133" t="str">
        <f>IF(Tab.o1[[#This Row],[a1]]=1,[1]!T.in.A[[#This Row],[oo16]],"")</f>
        <v/>
      </c>
      <c r="AM342" s="133" t="str">
        <f>IF(Tab.o1[[#This Row],[a1]]=1,IF(AM$3=1,[1]!T.in.A[[#This Row],[Σo16]],""),"")</f>
        <v/>
      </c>
      <c r="AN342" s="126" t="str">
        <f>IF(Tab.o1[[#This Row],[a1]]=1,[1]!T.in.A[[#This Row],[Σp5]],"")</f>
        <v/>
      </c>
      <c r="AO342" s="126" t="str">
        <f>IF(Tab.o1[[#This Row],[a1]]=1,IF(AO$3=1,[1]!T.in.A[[#This Row],[Σp5]],""),"")</f>
        <v/>
      </c>
      <c r="AP342" s="110" t="str">
        <f>IF(Tab.o1[[#This Row],[a1]]=1,IF(ISNUMBER(Tab.o1[[#This Row],[i.]]),NORMDIST(Tab.o1[[#This Row],[Za]],0,1,FALSE)*Tab.o1[[#This Row],[i.]],0),"")</f>
        <v/>
      </c>
      <c r="AQ342" s="125" t="str">
        <f>IF(Tab.o1[[#This Row],[a1]]=1,ABS(Tab.o1[[#This Row],[MOD]]-AVERAGE(Tab.o1[MOD])),"")</f>
        <v/>
      </c>
      <c r="AR342" s="134" t="str">
        <f>IF(Tab.o1[[#This Row],[a1]]=1,Tab.o1[[#This Row],[OBS]]/SUM(Tab.o1[OBS]),"")</f>
        <v/>
      </c>
      <c r="AS342" s="135" t="str">
        <f>IF(ISNUMBER(Tab.o1[[#This Row],[a1]]),ROW()-4,"")</f>
        <v/>
      </c>
      <c r="AT342" s="136" t="str">
        <f>Tab.o1[[#This Row],[MOD]]</f>
        <v/>
      </c>
      <c r="AU342" s="137" t="str">
        <f t="shared" si="21"/>
        <v/>
      </c>
      <c r="AV342" s="138" t="str">
        <f t="shared" si="22"/>
        <v/>
      </c>
      <c r="AW342" s="138" t="str">
        <f t="shared" si="23"/>
        <v/>
      </c>
      <c r="AX342" s="139" t="str">
        <f>[1]!T.in.A[[#This Row],[ID_T_manu]]</f>
        <v/>
      </c>
      <c r="AY342" s="140" t="str">
        <f>IF(ISNUMBER(Tab.o1[[#This Row],[a1]]),IF(AND(Tab.o1[[#This Row],[a1]]=1,Tab.o1[[#This Row],[b1]]&lt;=AY$4),#REF!,AY341),"")</f>
        <v/>
      </c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</row>
    <row r="343" spans="1:79" ht="15.75" hidden="1">
      <c r="A343" s="109">
        <v>-2.9999999999999997E-6</v>
      </c>
      <c r="B343" s="110">
        <f t="shared" si="20"/>
        <v>343</v>
      </c>
      <c r="C343" s="111" t="str">
        <f>IF(C$1=[1]!T.in.A[[#This Row],[oo2]],1,"")</f>
        <v/>
      </c>
      <c r="D343" s="112" t="str">
        <f>IF(Tab.o1[[#This Row],[a1]]=1,IF(SUM(C343:C344)=0,0,IF(SUM(C342:C343)=1,1,IF(SUM(C342:C344)&gt;1,D342+1,0))),"")</f>
        <v/>
      </c>
      <c r="E343" s="113" t="str">
        <f>IF(Tab.o1[[#This Row],[a1]]=1,[1]!T.in.A[[#This Row],[oo1]],"")</f>
        <v/>
      </c>
      <c r="F343" s="113" t="str">
        <f>IF(Tab.o1[[#This Row],[a1]]=1,[1]!T.in.A[[#This Row],[pp1]],"")</f>
        <v/>
      </c>
      <c r="G343" s="114" t="str">
        <f>IF(Tab.o1[[#This Row],[a1]]=1,G$2+IF(G$1=1,0,Tab.o1[[#This Row],[.x1]])+[1]!T.in.A[[#This Row],[oo3]],"")</f>
        <v/>
      </c>
      <c r="H343" s="115" t="str">
        <f>IF(Tab.o1[[#This Row],[a1]]=1,IF(H$2=0,0,IF(G$1=1,0,Tab.o1[[#This Row],[.x1]])+[1]!T.in.A[[#This Row],[oo4]]),"")</f>
        <v/>
      </c>
      <c r="I343" s="116" t="str">
        <f>IF(Tab.o1[[#This Row],[a1]]=1,IF(J$2=0,Tab.o1[[#This Row],[MED]],Tab.o1[[#This Row],[MOD]]),"")</f>
        <v/>
      </c>
      <c r="J343" s="116" t="str">
        <f>IF(Tab.o1[[#This Row],[a1]]=1,((Tab.o1[[#This Row],[DIF_Target.]]-AVERAGE(Tab.o1[DIF_Target.]))/_xlfn.STDEV.P(Tab.o1[DIF_Target.])),"")</f>
        <v/>
      </c>
      <c r="K343" s="117" t="str">
        <f>IF(Tab.o1[[#This Row],[a1]]=1,IF(J$2=0,Tab.o1[[#This Row],[MOD]]-Tab.o1[[#This Row],[B]],IF(J$2=1,0,-Tab.o1[[#This Row],[MED]])+Tab.o1[[#This Row],[B]]),"")</f>
        <v/>
      </c>
      <c r="L343" s="117" t="str">
        <f ca="1">IF(Tab.o1[[#This Row],[DIF_Target]]=0,IF(L$2=0,Tab.o1[[#This Row],[DIF_Target]],AVERAGE(OFFSET(Tab.o1[[#This Row],[DIF_Target]],1,0,L$3,1)))/3,Tab.o1[[#This Row],[DIF_Target]])</f>
        <v/>
      </c>
      <c r="M343" s="118" t="str">
        <f>IF(Tab.o1[[#This Row],[a1]]=1,NORMSDIST(Tab.o1[[#This Row],[Za]]),"")</f>
        <v/>
      </c>
      <c r="N343" s="119" t="str">
        <f>IF(Tab.o1[[#This Row],[a1]]=1,((Tab.o1[[#This Row],[MedMod]]-AVERAGE(Tab.o1[MedMod]))/_xlfn.STDEV.P(Tab.o1[MedMod])*H$1205)+G$1205,"")</f>
        <v/>
      </c>
      <c r="O343" s="141" t="str">
        <f>IF(Tab.o1[[#This Row],[a1]]=1,Tab.o1[[#This Row],[Zb]]*_xlfn.STDEV.P(Tab.o1[MedMod])+AVERAGE(Tab.o1[MedMod]),"")</f>
        <v/>
      </c>
      <c r="P343" s="117" t="str">
        <f ca="1">IF(Tab.o1[[#This Row],[B]]=0,AVERAGE(OFFSET(Tab.o1[[#This Row],[B]],1,0,L$3,1)),Tab.o1[[#This Row],[B]])</f>
        <v/>
      </c>
      <c r="Q343" s="121" t="str">
        <f>IF(Tab.o1[[#This Row],[a1]]=1,NORMSDIST(Tab.o1[[#This Row],[Zb]]),"")</f>
        <v/>
      </c>
      <c r="R343" s="122" t="str">
        <f>IF(Tab.o1[[#This Row],[a1]]=1,((Tab.o1[[#This Row],[MedMod]]-AVERAGE(Tab.o1[MedMod]))/_xlfn.STDEV.P(Tab.o1[MedMod])*H$1203)+G$1203,"")</f>
        <v/>
      </c>
      <c r="S343" s="122" t="str">
        <f>IF(Tab.o1[[#This Row],[a1]]=1,((Tab.o1[[#This Row],[MedMod]]-AVERAGE(Tab.o1[MedMod]))/_xlfn.STDEV.P(Tab.o1[MedMod])*H$1204)+G$1204,"")</f>
        <v/>
      </c>
      <c r="T343" s="123" t="str">
        <f>IF(Tab.o1[[#This Row],[a1]]=1,Tab.o1[[#This Row],[Z-]]*_xlfn.STDEV.P(Tab.o1[B])+AVERAGE(Tab.o1[B]),"")</f>
        <v/>
      </c>
      <c r="U343" s="123" t="str">
        <f>IF(Tab.o1[[#This Row],[a1]]=1,Tab.o1[[#This Row],[z+]]*_xlfn.STDEV.P(Tab.o1[B])+AVERAGE(Tab.o1[B]),"")</f>
        <v/>
      </c>
      <c r="V343" s="124" t="str">
        <f>IF(Tab.o1[[#This Row],[a1]]=1,ABS((ABS(Tab.o1[[#This Row],[Red]]-Tab.o1[[#This Row],[Blue]]))),"")</f>
        <v/>
      </c>
      <c r="W343" s="125" t="str">
        <f>IF(Tab.o1[[#This Row],[a1]]=1,IF(W$3=0,1,Tab.o1[[#This Row],[Amp.]]*1/_xlfn.MINIFS(Tab.o1[Amp.],Tab.o1[Amp.],"&lt;&gt;0")),"")</f>
        <v/>
      </c>
      <c r="X343" s="126" t="str">
        <f>IF(Tab.o1[[#This Row],[a1]]=1,IF(ISNUMBER(Tab.o1[[#This Row],[i.]]),NORMDIST(Tab.o1[[#This Row],[Za]],0,1,FALSE)*Tab.o1[[#This Row],[i.]],AP$3),"")</f>
        <v/>
      </c>
      <c r="Y343" s="126" t="str">
        <f>IF(Tab.o1[[#This Row],[a1]]=1,0.01+0.94*Tab.o1[[#This Row],[PDF]]/MAX(Tab.o1[PDF]),"")</f>
        <v/>
      </c>
      <c r="Z343" s="126" t="str">
        <f>IF(Tab.o1[[#This Row],[a1]]=1,0.01+0.94*Tab.o1[[#This Row],[W1_PDF]]/MAX(Tab.o1[W1_PDF]),"")</f>
        <v/>
      </c>
      <c r="AA343" s="118" t="str">
        <f>IF(Tab.o1[[#This Row],[a1]]=1,ABS([1]!T.in.A[[#This Row],[oo6]]),"")</f>
        <v/>
      </c>
      <c r="AB343" s="127" t="str">
        <f>IF(Tab.o1[[#This Row],[a1]]=1,IF(AE$3=0,"",IF(AB$3=0,ABS([1]!T.in.A[[#This Row],[oo9]]),ABS(Tab.o1[[#This Row],[DIF_Target.]]*Tab.o1[[#This Row],[W1_PDF]]))),"")</f>
        <v/>
      </c>
      <c r="AC343" s="127" t="str">
        <f>IF(G$1=1,"",IF(Tab.o1[[#This Row],[a1]]=1,Tab.o1[[#This Row],[Wr]]^2,""))</f>
        <v/>
      </c>
      <c r="AD343" s="118" t="str">
        <f>IF(Tab.o1[[#This Row],[a1]]=1,IF(AE$3=0,"",Tab.o1[[#This Row],[Wr2]]/SUM(Tab.o1[Wr2])),"")</f>
        <v/>
      </c>
      <c r="AE343" s="128" t="str">
        <f>IF(Tab.o1[[#This Row],[a1]]=1,[1]!T.in.A[[#This Row],[oo10]],"")</f>
        <v/>
      </c>
      <c r="AF343" s="118" t="str">
        <f>IF(Tab.o1[[#This Row],[a1]]=1,ABS(Tab.o1[[#This Row],[DIF_Target.]]*Tab.o1[[#This Row],[PDF2]]*Tab.o1[[#This Row],[IN]]),"")</f>
        <v/>
      </c>
      <c r="AG343" s="129" t="str">
        <f>IF(Tab.o1[[#This Row],[a1]]=1,Tab.o1[[#This Row],[rW]]^2,"")</f>
        <v/>
      </c>
      <c r="AH343" s="130" t="str">
        <f>IF(Tab.o1[[#This Row],[a1]]=1,IF(AH$3=0,Tab.o1[[#This Row],[rW2]],0.01+0.94*Tab.o1[[#This Row],[rW2]]/SUM(Tab.o1[rW2])),"")</f>
        <v/>
      </c>
      <c r="AI343" s="128" t="str">
        <f>IF(Tab.o1[[#This Row],[a1]]=1,1/Tab.o1[[#This Row],[PDF]],"")</f>
        <v/>
      </c>
      <c r="AJ343" s="131" t="str">
        <f>IF(Tab.o1[[#This Row],[a1]]=1,[1]!T_AA[[#This Row],[IN'']]*[1]!T_AA[[#This Row],[Qde'']],"")</f>
        <v/>
      </c>
      <c r="AK343" s="132" t="str">
        <f>IF(Tab.o1[[#This Row],[a1]]=1,IF(AK$1=1,Tab.o1[[#This Row],[MED]]+Tab.o1[[#This Row],[MOD]]-Tab.o1[[#This Row],[MED]],""),"")</f>
        <v/>
      </c>
      <c r="AL343" s="133" t="str">
        <f>IF(Tab.o1[[#This Row],[a1]]=1,[1]!T.in.A[[#This Row],[oo16]],"")</f>
        <v/>
      </c>
      <c r="AM343" s="133" t="str">
        <f>IF(Tab.o1[[#This Row],[a1]]=1,IF(AM$3=1,[1]!T.in.A[[#This Row],[Σo16]],""),"")</f>
        <v/>
      </c>
      <c r="AN343" s="126" t="str">
        <f>IF(Tab.o1[[#This Row],[a1]]=1,[1]!T.in.A[[#This Row],[Σp5]],"")</f>
        <v/>
      </c>
      <c r="AO343" s="126" t="str">
        <f>IF(Tab.o1[[#This Row],[a1]]=1,IF(AO$3=1,[1]!T.in.A[[#This Row],[Σp5]],""),"")</f>
        <v/>
      </c>
      <c r="AP343" s="110" t="str">
        <f>IF(Tab.o1[[#This Row],[a1]]=1,IF(ISNUMBER(Tab.o1[[#This Row],[i.]]),NORMDIST(Tab.o1[[#This Row],[Za]],0,1,FALSE)*Tab.o1[[#This Row],[i.]],0),"")</f>
        <v/>
      </c>
      <c r="AQ343" s="125" t="str">
        <f>IF(Tab.o1[[#This Row],[a1]]=1,ABS(Tab.o1[[#This Row],[MOD]]-AVERAGE(Tab.o1[MOD])),"")</f>
        <v/>
      </c>
      <c r="AR343" s="134" t="str">
        <f>IF(Tab.o1[[#This Row],[a1]]=1,Tab.o1[[#This Row],[OBS]]/SUM(Tab.o1[OBS]),"")</f>
        <v/>
      </c>
      <c r="AS343" s="135" t="str">
        <f>IF(ISNUMBER(Tab.o1[[#This Row],[a1]]),ROW()-4,"")</f>
        <v/>
      </c>
      <c r="AT343" s="136" t="str">
        <f>Tab.o1[[#This Row],[MOD]]</f>
        <v/>
      </c>
      <c r="AU343" s="137" t="str">
        <f t="shared" si="21"/>
        <v/>
      </c>
      <c r="AV343" s="138" t="str">
        <f t="shared" si="22"/>
        <v/>
      </c>
      <c r="AW343" s="138" t="str">
        <f t="shared" si="23"/>
        <v/>
      </c>
      <c r="AX343" s="139" t="str">
        <f>[1]!T.in.A[[#This Row],[ID_T_manu]]</f>
        <v/>
      </c>
      <c r="AY343" s="140" t="str">
        <f>IF(ISNUMBER(Tab.o1[[#This Row],[a1]]),IF(AND(Tab.o1[[#This Row],[a1]]=1,Tab.o1[[#This Row],[b1]]&lt;=AY$4),#REF!,AY342),"")</f>
        <v/>
      </c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</row>
    <row r="344" spans="1:79" ht="15.75" hidden="1">
      <c r="A344" s="109">
        <v>1.0000000000000001E-5</v>
      </c>
      <c r="B344" s="110">
        <f t="shared" si="20"/>
        <v>344</v>
      </c>
      <c r="C344" s="111" t="str">
        <f>IF(C$1=[1]!T.in.A[[#This Row],[oo2]],1,"")</f>
        <v/>
      </c>
      <c r="D344" s="112" t="str">
        <f>IF(Tab.o1[[#This Row],[a1]]=1,IF(SUM(C344:C345)=0,0,IF(SUM(C343:C344)=1,1,IF(SUM(C343:C345)&gt;1,D343+1,0))),"")</f>
        <v/>
      </c>
      <c r="E344" s="113" t="str">
        <f>IF(Tab.o1[[#This Row],[a1]]=1,[1]!T.in.A[[#This Row],[oo1]],"")</f>
        <v/>
      </c>
      <c r="F344" s="113" t="str">
        <f>IF(Tab.o1[[#This Row],[a1]]=1,[1]!T.in.A[[#This Row],[pp1]],"")</f>
        <v/>
      </c>
      <c r="G344" s="114" t="str">
        <f>IF(Tab.o1[[#This Row],[a1]]=1,G$2+IF(G$1=1,0,Tab.o1[[#This Row],[.x1]])+[1]!T.in.A[[#This Row],[oo3]],"")</f>
        <v/>
      </c>
      <c r="H344" s="115" t="str">
        <f>IF(Tab.o1[[#This Row],[a1]]=1,IF(H$2=0,0,IF(G$1=1,0,Tab.o1[[#This Row],[.x1]])+[1]!T.in.A[[#This Row],[oo4]]),"")</f>
        <v/>
      </c>
      <c r="I344" s="116" t="str">
        <f>IF(Tab.o1[[#This Row],[a1]]=1,IF(J$2=0,Tab.o1[[#This Row],[MED]],Tab.o1[[#This Row],[MOD]]),"")</f>
        <v/>
      </c>
      <c r="J344" s="116" t="str">
        <f>IF(Tab.o1[[#This Row],[a1]]=1,((Tab.o1[[#This Row],[DIF_Target.]]-AVERAGE(Tab.o1[DIF_Target.]))/_xlfn.STDEV.P(Tab.o1[DIF_Target.])),"")</f>
        <v/>
      </c>
      <c r="K344" s="117" t="str">
        <f>IF(Tab.o1[[#This Row],[a1]]=1,IF(J$2=0,Tab.o1[[#This Row],[MOD]]-Tab.o1[[#This Row],[B]],IF(J$2=1,0,-Tab.o1[[#This Row],[MED]])+Tab.o1[[#This Row],[B]]),"")</f>
        <v/>
      </c>
      <c r="L344" s="117" t="str">
        <f ca="1">IF(Tab.o1[[#This Row],[DIF_Target]]=0,IF(L$2=0,Tab.o1[[#This Row],[DIF_Target]],AVERAGE(OFFSET(Tab.o1[[#This Row],[DIF_Target]],1,0,L$3,1)))/3,Tab.o1[[#This Row],[DIF_Target]])</f>
        <v/>
      </c>
      <c r="M344" s="118" t="str">
        <f>IF(Tab.o1[[#This Row],[a1]]=1,NORMSDIST(Tab.o1[[#This Row],[Za]]),"")</f>
        <v/>
      </c>
      <c r="N344" s="119" t="str">
        <f>IF(Tab.o1[[#This Row],[a1]]=1,((Tab.o1[[#This Row],[MedMod]]-AVERAGE(Tab.o1[MedMod]))/_xlfn.STDEV.P(Tab.o1[MedMod])*H$1205)+G$1205,"")</f>
        <v/>
      </c>
      <c r="O344" s="141" t="str">
        <f>IF(Tab.o1[[#This Row],[a1]]=1,Tab.o1[[#This Row],[Zb]]*_xlfn.STDEV.P(Tab.o1[MedMod])+AVERAGE(Tab.o1[MedMod]),"")</f>
        <v/>
      </c>
      <c r="P344" s="117" t="str">
        <f ca="1">IF(Tab.o1[[#This Row],[B]]=0,AVERAGE(OFFSET(Tab.o1[[#This Row],[B]],1,0,L$3,1)),Tab.o1[[#This Row],[B]])</f>
        <v/>
      </c>
      <c r="Q344" s="121" t="str">
        <f>IF(Tab.o1[[#This Row],[a1]]=1,NORMSDIST(Tab.o1[[#This Row],[Zb]]),"")</f>
        <v/>
      </c>
      <c r="R344" s="122" t="str">
        <f>IF(Tab.o1[[#This Row],[a1]]=1,((Tab.o1[[#This Row],[MedMod]]-AVERAGE(Tab.o1[MedMod]))/_xlfn.STDEV.P(Tab.o1[MedMod])*H$1203)+G$1203,"")</f>
        <v/>
      </c>
      <c r="S344" s="122" t="str">
        <f>IF(Tab.o1[[#This Row],[a1]]=1,((Tab.o1[[#This Row],[MedMod]]-AVERAGE(Tab.o1[MedMod]))/_xlfn.STDEV.P(Tab.o1[MedMod])*H$1204)+G$1204,"")</f>
        <v/>
      </c>
      <c r="T344" s="123" t="str">
        <f>IF(Tab.o1[[#This Row],[a1]]=1,Tab.o1[[#This Row],[Z-]]*_xlfn.STDEV.P(Tab.o1[B])+AVERAGE(Tab.o1[B]),"")</f>
        <v/>
      </c>
      <c r="U344" s="123" t="str">
        <f>IF(Tab.o1[[#This Row],[a1]]=1,Tab.o1[[#This Row],[z+]]*_xlfn.STDEV.P(Tab.o1[B])+AVERAGE(Tab.o1[B]),"")</f>
        <v/>
      </c>
      <c r="V344" s="124" t="str">
        <f>IF(Tab.o1[[#This Row],[a1]]=1,ABS((ABS(Tab.o1[[#This Row],[Red]]-Tab.o1[[#This Row],[Blue]]))),"")</f>
        <v/>
      </c>
      <c r="W344" s="125" t="str">
        <f>IF(Tab.o1[[#This Row],[a1]]=1,IF(W$3=0,1,Tab.o1[[#This Row],[Amp.]]*1/_xlfn.MINIFS(Tab.o1[Amp.],Tab.o1[Amp.],"&lt;&gt;0")),"")</f>
        <v/>
      </c>
      <c r="X344" s="126" t="str">
        <f>IF(Tab.o1[[#This Row],[a1]]=1,IF(ISNUMBER(Tab.o1[[#This Row],[i.]]),NORMDIST(Tab.o1[[#This Row],[Za]],0,1,FALSE)*Tab.o1[[#This Row],[i.]],AP$3),"")</f>
        <v/>
      </c>
      <c r="Y344" s="126" t="str">
        <f>IF(Tab.o1[[#This Row],[a1]]=1,0.01+0.94*Tab.o1[[#This Row],[PDF]]/MAX(Tab.o1[PDF]),"")</f>
        <v/>
      </c>
      <c r="Z344" s="126" t="str">
        <f>IF(Tab.o1[[#This Row],[a1]]=1,0.01+0.94*Tab.o1[[#This Row],[W1_PDF]]/MAX(Tab.o1[W1_PDF]),"")</f>
        <v/>
      </c>
      <c r="AA344" s="118" t="str">
        <f>IF(Tab.o1[[#This Row],[a1]]=1,ABS([1]!T.in.A[[#This Row],[oo6]]),"")</f>
        <v/>
      </c>
      <c r="AB344" s="127" t="str">
        <f>IF(Tab.o1[[#This Row],[a1]]=1,IF(AE$3=0,"",IF(AB$3=0,ABS([1]!T.in.A[[#This Row],[oo9]]),ABS(Tab.o1[[#This Row],[DIF_Target.]]*Tab.o1[[#This Row],[W1_PDF]]))),"")</f>
        <v/>
      </c>
      <c r="AC344" s="127" t="str">
        <f>IF(G$1=1,"",IF(Tab.o1[[#This Row],[a1]]=1,Tab.o1[[#This Row],[Wr]]^2,""))</f>
        <v/>
      </c>
      <c r="AD344" s="118" t="str">
        <f>IF(Tab.o1[[#This Row],[a1]]=1,IF(AE$3=0,"",Tab.o1[[#This Row],[Wr2]]/SUM(Tab.o1[Wr2])),"")</f>
        <v/>
      </c>
      <c r="AE344" s="128" t="str">
        <f>IF(Tab.o1[[#This Row],[a1]]=1,[1]!T.in.A[[#This Row],[oo10]],"")</f>
        <v/>
      </c>
      <c r="AF344" s="118" t="str">
        <f>IF(Tab.o1[[#This Row],[a1]]=1,ABS(Tab.o1[[#This Row],[DIF_Target.]]*Tab.o1[[#This Row],[PDF2]]*Tab.o1[[#This Row],[IN]]),"")</f>
        <v/>
      </c>
      <c r="AG344" s="129" t="str">
        <f>IF(Tab.o1[[#This Row],[a1]]=1,Tab.o1[[#This Row],[rW]]^2,"")</f>
        <v/>
      </c>
      <c r="AH344" s="130" t="str">
        <f>IF(Tab.o1[[#This Row],[a1]]=1,IF(AH$3=0,Tab.o1[[#This Row],[rW2]],0.01+0.94*Tab.o1[[#This Row],[rW2]]/SUM(Tab.o1[rW2])),"")</f>
        <v/>
      </c>
      <c r="AI344" s="128" t="str">
        <f>IF(Tab.o1[[#This Row],[a1]]=1,1/Tab.o1[[#This Row],[PDF]],"")</f>
        <v/>
      </c>
      <c r="AJ344" s="131" t="str">
        <f>IF(Tab.o1[[#This Row],[a1]]=1,[1]!T_AA[[#This Row],[IN'']]*[1]!T_AA[[#This Row],[Qde'']],"")</f>
        <v/>
      </c>
      <c r="AK344" s="132" t="str">
        <f>IF(Tab.o1[[#This Row],[a1]]=1,IF(AK$1=1,Tab.o1[[#This Row],[MED]]+Tab.o1[[#This Row],[MOD]]-Tab.o1[[#This Row],[MED]],""),"")</f>
        <v/>
      </c>
      <c r="AL344" s="133" t="str">
        <f>IF(Tab.o1[[#This Row],[a1]]=1,[1]!T.in.A[[#This Row],[oo16]],"")</f>
        <v/>
      </c>
      <c r="AM344" s="133" t="str">
        <f>IF(Tab.o1[[#This Row],[a1]]=1,IF(AM$3=1,[1]!T.in.A[[#This Row],[Σo16]],""),"")</f>
        <v/>
      </c>
      <c r="AN344" s="126" t="str">
        <f>IF(Tab.o1[[#This Row],[a1]]=1,[1]!T.in.A[[#This Row],[Σp5]],"")</f>
        <v/>
      </c>
      <c r="AO344" s="126" t="str">
        <f>IF(Tab.o1[[#This Row],[a1]]=1,IF(AO$3=1,[1]!T.in.A[[#This Row],[Σp5]],""),"")</f>
        <v/>
      </c>
      <c r="AP344" s="110" t="str">
        <f>IF(Tab.o1[[#This Row],[a1]]=1,IF(ISNUMBER(Tab.o1[[#This Row],[i.]]),NORMDIST(Tab.o1[[#This Row],[Za]],0,1,FALSE)*Tab.o1[[#This Row],[i.]],0),"")</f>
        <v/>
      </c>
      <c r="AQ344" s="125" t="str">
        <f>IF(Tab.o1[[#This Row],[a1]]=1,ABS(Tab.o1[[#This Row],[MOD]]-AVERAGE(Tab.o1[MOD])),"")</f>
        <v/>
      </c>
      <c r="AR344" s="134" t="str">
        <f>IF(Tab.o1[[#This Row],[a1]]=1,Tab.o1[[#This Row],[OBS]]/SUM(Tab.o1[OBS]),"")</f>
        <v/>
      </c>
      <c r="AS344" s="135" t="str">
        <f>IF(ISNUMBER(Tab.o1[[#This Row],[a1]]),ROW()-4,"")</f>
        <v/>
      </c>
      <c r="AT344" s="136" t="str">
        <f>Tab.o1[[#This Row],[MOD]]</f>
        <v/>
      </c>
      <c r="AU344" s="137" t="str">
        <f t="shared" si="21"/>
        <v/>
      </c>
      <c r="AV344" s="138" t="str">
        <f t="shared" si="22"/>
        <v/>
      </c>
      <c r="AW344" s="138" t="str">
        <f t="shared" si="23"/>
        <v/>
      </c>
      <c r="AX344" s="139" t="str">
        <f>[1]!T.in.A[[#This Row],[ID_T_manu]]</f>
        <v/>
      </c>
      <c r="AY344" s="140" t="str">
        <f>IF(ISNUMBER(Tab.o1[[#This Row],[a1]]),IF(AND(Tab.o1[[#This Row],[a1]]=1,Tab.o1[[#This Row],[b1]]&lt;=AY$4),#REF!,AY343),"")</f>
        <v/>
      </c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</row>
    <row r="345" spans="1:79" ht="15.75" hidden="1">
      <c r="A345" s="109">
        <v>-4.0000000000000007E-6</v>
      </c>
      <c r="B345" s="110">
        <f t="shared" si="20"/>
        <v>345</v>
      </c>
      <c r="C345" s="111" t="str">
        <f>IF(C$1=[1]!T.in.A[[#This Row],[oo2]],1,"")</f>
        <v/>
      </c>
      <c r="D345" s="112" t="str">
        <f>IF(Tab.o1[[#This Row],[a1]]=1,IF(SUM(C345:C346)=0,0,IF(SUM(C344:C345)=1,1,IF(SUM(C344:C346)&gt;1,D344+1,0))),"")</f>
        <v/>
      </c>
      <c r="E345" s="113" t="str">
        <f>IF(Tab.o1[[#This Row],[a1]]=1,[1]!T.in.A[[#This Row],[oo1]],"")</f>
        <v/>
      </c>
      <c r="F345" s="113" t="str">
        <f>IF(Tab.o1[[#This Row],[a1]]=1,[1]!T.in.A[[#This Row],[pp1]],"")</f>
        <v/>
      </c>
      <c r="G345" s="114" t="str">
        <f>IF(Tab.o1[[#This Row],[a1]]=1,G$2+IF(G$1=1,0,Tab.o1[[#This Row],[.x1]])+[1]!T.in.A[[#This Row],[oo3]],"")</f>
        <v/>
      </c>
      <c r="H345" s="115" t="str">
        <f>IF(Tab.o1[[#This Row],[a1]]=1,IF(H$2=0,0,IF(G$1=1,0,Tab.o1[[#This Row],[.x1]])+[1]!T.in.A[[#This Row],[oo4]]),"")</f>
        <v/>
      </c>
      <c r="I345" s="116" t="str">
        <f>IF(Tab.o1[[#This Row],[a1]]=1,IF(J$2=0,Tab.o1[[#This Row],[MED]],Tab.o1[[#This Row],[MOD]]),"")</f>
        <v/>
      </c>
      <c r="J345" s="116" t="str">
        <f>IF(Tab.o1[[#This Row],[a1]]=1,((Tab.o1[[#This Row],[DIF_Target.]]-AVERAGE(Tab.o1[DIF_Target.]))/_xlfn.STDEV.P(Tab.o1[DIF_Target.])),"")</f>
        <v/>
      </c>
      <c r="K345" s="117" t="str">
        <f>IF(Tab.o1[[#This Row],[a1]]=1,IF(J$2=0,Tab.o1[[#This Row],[MOD]]-Tab.o1[[#This Row],[B]],IF(J$2=1,0,-Tab.o1[[#This Row],[MED]])+Tab.o1[[#This Row],[B]]),"")</f>
        <v/>
      </c>
      <c r="L345" s="117" t="str">
        <f ca="1">IF(Tab.o1[[#This Row],[DIF_Target]]=0,IF(L$2=0,Tab.o1[[#This Row],[DIF_Target]],AVERAGE(OFFSET(Tab.o1[[#This Row],[DIF_Target]],1,0,L$3,1)))/3,Tab.o1[[#This Row],[DIF_Target]])</f>
        <v/>
      </c>
      <c r="M345" s="118" t="str">
        <f>IF(Tab.o1[[#This Row],[a1]]=1,NORMSDIST(Tab.o1[[#This Row],[Za]]),"")</f>
        <v/>
      </c>
      <c r="N345" s="119" t="str">
        <f>IF(Tab.o1[[#This Row],[a1]]=1,((Tab.o1[[#This Row],[MedMod]]-AVERAGE(Tab.o1[MedMod]))/_xlfn.STDEV.P(Tab.o1[MedMod])*H$1205)+G$1205,"")</f>
        <v/>
      </c>
      <c r="O345" s="141" t="str">
        <f>IF(Tab.o1[[#This Row],[a1]]=1,Tab.o1[[#This Row],[Zb]]*_xlfn.STDEV.P(Tab.o1[MedMod])+AVERAGE(Tab.o1[MedMod]),"")</f>
        <v/>
      </c>
      <c r="P345" s="117" t="str">
        <f ca="1">IF(Tab.o1[[#This Row],[B]]=0,AVERAGE(OFFSET(Tab.o1[[#This Row],[B]],1,0,L$3,1)),Tab.o1[[#This Row],[B]])</f>
        <v/>
      </c>
      <c r="Q345" s="121" t="str">
        <f>IF(Tab.o1[[#This Row],[a1]]=1,NORMSDIST(Tab.o1[[#This Row],[Zb]]),"")</f>
        <v/>
      </c>
      <c r="R345" s="122" t="str">
        <f>IF(Tab.o1[[#This Row],[a1]]=1,((Tab.o1[[#This Row],[MedMod]]-AVERAGE(Tab.o1[MedMod]))/_xlfn.STDEV.P(Tab.o1[MedMod])*H$1203)+G$1203,"")</f>
        <v/>
      </c>
      <c r="S345" s="122" t="str">
        <f>IF(Tab.o1[[#This Row],[a1]]=1,((Tab.o1[[#This Row],[MedMod]]-AVERAGE(Tab.o1[MedMod]))/_xlfn.STDEV.P(Tab.o1[MedMod])*H$1204)+G$1204,"")</f>
        <v/>
      </c>
      <c r="T345" s="123" t="str">
        <f>IF(Tab.o1[[#This Row],[a1]]=1,Tab.o1[[#This Row],[Z-]]*_xlfn.STDEV.P(Tab.o1[B])+AVERAGE(Tab.o1[B]),"")</f>
        <v/>
      </c>
      <c r="U345" s="123" t="str">
        <f>IF(Tab.o1[[#This Row],[a1]]=1,Tab.o1[[#This Row],[z+]]*_xlfn.STDEV.P(Tab.o1[B])+AVERAGE(Tab.o1[B]),"")</f>
        <v/>
      </c>
      <c r="V345" s="124" t="str">
        <f>IF(Tab.o1[[#This Row],[a1]]=1,ABS((ABS(Tab.o1[[#This Row],[Red]]-Tab.o1[[#This Row],[Blue]]))),"")</f>
        <v/>
      </c>
      <c r="W345" s="125" t="str">
        <f>IF(Tab.o1[[#This Row],[a1]]=1,IF(W$3=0,1,Tab.o1[[#This Row],[Amp.]]*1/_xlfn.MINIFS(Tab.o1[Amp.],Tab.o1[Amp.],"&lt;&gt;0")),"")</f>
        <v/>
      </c>
      <c r="X345" s="126" t="str">
        <f>IF(Tab.o1[[#This Row],[a1]]=1,IF(ISNUMBER(Tab.o1[[#This Row],[i.]]),NORMDIST(Tab.o1[[#This Row],[Za]],0,1,FALSE)*Tab.o1[[#This Row],[i.]],AP$3),"")</f>
        <v/>
      </c>
      <c r="Y345" s="126" t="str">
        <f>IF(Tab.o1[[#This Row],[a1]]=1,0.01+0.94*Tab.o1[[#This Row],[PDF]]/MAX(Tab.o1[PDF]),"")</f>
        <v/>
      </c>
      <c r="Z345" s="126" t="str">
        <f>IF(Tab.o1[[#This Row],[a1]]=1,0.01+0.94*Tab.o1[[#This Row],[W1_PDF]]/MAX(Tab.o1[W1_PDF]),"")</f>
        <v/>
      </c>
      <c r="AA345" s="118" t="str">
        <f>IF(Tab.o1[[#This Row],[a1]]=1,ABS([1]!T.in.A[[#This Row],[oo6]]),"")</f>
        <v/>
      </c>
      <c r="AB345" s="127" t="str">
        <f>IF(Tab.o1[[#This Row],[a1]]=1,IF(AE$3=0,"",IF(AB$3=0,ABS([1]!T.in.A[[#This Row],[oo9]]),ABS(Tab.o1[[#This Row],[DIF_Target.]]*Tab.o1[[#This Row],[W1_PDF]]))),"")</f>
        <v/>
      </c>
      <c r="AC345" s="127" t="str">
        <f>IF(G$1=1,"",IF(Tab.o1[[#This Row],[a1]]=1,Tab.o1[[#This Row],[Wr]]^2,""))</f>
        <v/>
      </c>
      <c r="AD345" s="118" t="str">
        <f>IF(Tab.o1[[#This Row],[a1]]=1,IF(AE$3=0,"",Tab.o1[[#This Row],[Wr2]]/SUM(Tab.o1[Wr2])),"")</f>
        <v/>
      </c>
      <c r="AE345" s="128" t="str">
        <f>IF(Tab.o1[[#This Row],[a1]]=1,[1]!T.in.A[[#This Row],[oo10]],"")</f>
        <v/>
      </c>
      <c r="AF345" s="118" t="str">
        <f>IF(Tab.o1[[#This Row],[a1]]=1,ABS(Tab.o1[[#This Row],[DIF_Target.]]*Tab.o1[[#This Row],[PDF2]]*Tab.o1[[#This Row],[IN]]),"")</f>
        <v/>
      </c>
      <c r="AG345" s="129" t="str">
        <f>IF(Tab.o1[[#This Row],[a1]]=1,Tab.o1[[#This Row],[rW]]^2,"")</f>
        <v/>
      </c>
      <c r="AH345" s="130" t="str">
        <f>IF(Tab.o1[[#This Row],[a1]]=1,IF(AH$3=0,Tab.o1[[#This Row],[rW2]],0.01+0.94*Tab.o1[[#This Row],[rW2]]/SUM(Tab.o1[rW2])),"")</f>
        <v/>
      </c>
      <c r="AI345" s="128" t="str">
        <f>IF(Tab.o1[[#This Row],[a1]]=1,1/Tab.o1[[#This Row],[PDF]],"")</f>
        <v/>
      </c>
      <c r="AJ345" s="131" t="str">
        <f>IF(Tab.o1[[#This Row],[a1]]=1,[1]!T_AA[[#This Row],[IN'']]*[1]!T_AA[[#This Row],[Qde'']],"")</f>
        <v/>
      </c>
      <c r="AK345" s="132" t="str">
        <f>IF(Tab.o1[[#This Row],[a1]]=1,IF(AK$1=1,Tab.o1[[#This Row],[MED]]+Tab.o1[[#This Row],[MOD]]-Tab.o1[[#This Row],[MED]],""),"")</f>
        <v/>
      </c>
      <c r="AL345" s="133" t="str">
        <f>IF(Tab.o1[[#This Row],[a1]]=1,[1]!T.in.A[[#This Row],[oo16]],"")</f>
        <v/>
      </c>
      <c r="AM345" s="133" t="str">
        <f>IF(Tab.o1[[#This Row],[a1]]=1,IF(AM$3=1,[1]!T.in.A[[#This Row],[Σo16]],""),"")</f>
        <v/>
      </c>
      <c r="AN345" s="126" t="str">
        <f>IF(Tab.o1[[#This Row],[a1]]=1,[1]!T.in.A[[#This Row],[Σp5]],"")</f>
        <v/>
      </c>
      <c r="AO345" s="126" t="str">
        <f>IF(Tab.o1[[#This Row],[a1]]=1,IF(AO$3=1,[1]!T.in.A[[#This Row],[Σp5]],""),"")</f>
        <v/>
      </c>
      <c r="AP345" s="110" t="str">
        <f>IF(Tab.o1[[#This Row],[a1]]=1,IF(ISNUMBER(Tab.o1[[#This Row],[i.]]),NORMDIST(Tab.o1[[#This Row],[Za]],0,1,FALSE)*Tab.o1[[#This Row],[i.]],0),"")</f>
        <v/>
      </c>
      <c r="AQ345" s="125" t="str">
        <f>IF(Tab.o1[[#This Row],[a1]]=1,ABS(Tab.o1[[#This Row],[MOD]]-AVERAGE(Tab.o1[MOD])),"")</f>
        <v/>
      </c>
      <c r="AR345" s="134" t="str">
        <f>IF(Tab.o1[[#This Row],[a1]]=1,Tab.o1[[#This Row],[OBS]]/SUM(Tab.o1[OBS]),"")</f>
        <v/>
      </c>
      <c r="AS345" s="135" t="str">
        <f>IF(ISNUMBER(Tab.o1[[#This Row],[a1]]),ROW()-4,"")</f>
        <v/>
      </c>
      <c r="AT345" s="136" t="str">
        <f>Tab.o1[[#This Row],[MOD]]</f>
        <v/>
      </c>
      <c r="AU345" s="137" t="str">
        <f t="shared" si="21"/>
        <v/>
      </c>
      <c r="AV345" s="138" t="str">
        <f t="shared" si="22"/>
        <v/>
      </c>
      <c r="AW345" s="138" t="str">
        <f t="shared" si="23"/>
        <v/>
      </c>
      <c r="AX345" s="139" t="str">
        <f>[1]!T.in.A[[#This Row],[ID_T_manu]]</f>
        <v/>
      </c>
      <c r="AY345" s="140" t="str">
        <f>IF(ISNUMBER(Tab.o1[[#This Row],[a1]]),IF(AND(Tab.o1[[#This Row],[a1]]=1,Tab.o1[[#This Row],[b1]]&lt;=AY$4),#REF!,AY344),"")</f>
        <v/>
      </c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</row>
    <row r="346" spans="1:79" ht="15.75" hidden="1">
      <c r="A346" s="109">
        <v>-2.9999999999999997E-6</v>
      </c>
      <c r="B346" s="110">
        <f t="shared" si="20"/>
        <v>346</v>
      </c>
      <c r="C346" s="111" t="str">
        <f>IF(C$1=[1]!T.in.A[[#This Row],[oo2]],1,"")</f>
        <v/>
      </c>
      <c r="D346" s="112" t="str">
        <f>IF(Tab.o1[[#This Row],[a1]]=1,IF(SUM(C346:C347)=0,0,IF(SUM(C345:C346)=1,1,IF(SUM(C345:C347)&gt;1,D345+1,0))),"")</f>
        <v/>
      </c>
      <c r="E346" s="113" t="str">
        <f>IF(Tab.o1[[#This Row],[a1]]=1,[1]!T.in.A[[#This Row],[oo1]],"")</f>
        <v/>
      </c>
      <c r="F346" s="113" t="str">
        <f>IF(Tab.o1[[#This Row],[a1]]=1,[1]!T.in.A[[#This Row],[pp1]],"")</f>
        <v/>
      </c>
      <c r="G346" s="114" t="str">
        <f>IF(Tab.o1[[#This Row],[a1]]=1,G$2+IF(G$1=1,0,Tab.o1[[#This Row],[.x1]])+[1]!T.in.A[[#This Row],[oo3]],"")</f>
        <v/>
      </c>
      <c r="H346" s="115" t="str">
        <f>IF(Tab.o1[[#This Row],[a1]]=1,IF(H$2=0,0,IF(G$1=1,0,Tab.o1[[#This Row],[.x1]])+[1]!T.in.A[[#This Row],[oo4]]),"")</f>
        <v/>
      </c>
      <c r="I346" s="116" t="str">
        <f>IF(Tab.o1[[#This Row],[a1]]=1,IF(J$2=0,Tab.o1[[#This Row],[MED]],Tab.o1[[#This Row],[MOD]]),"")</f>
        <v/>
      </c>
      <c r="J346" s="116" t="str">
        <f>IF(Tab.o1[[#This Row],[a1]]=1,((Tab.o1[[#This Row],[DIF_Target.]]-AVERAGE(Tab.o1[DIF_Target.]))/_xlfn.STDEV.P(Tab.o1[DIF_Target.])),"")</f>
        <v/>
      </c>
      <c r="K346" s="117" t="str">
        <f>IF(Tab.o1[[#This Row],[a1]]=1,IF(J$2=0,Tab.o1[[#This Row],[MOD]]-Tab.o1[[#This Row],[B]],IF(J$2=1,0,-Tab.o1[[#This Row],[MED]])+Tab.o1[[#This Row],[B]]),"")</f>
        <v/>
      </c>
      <c r="L346" s="117" t="str">
        <f ca="1">IF(Tab.o1[[#This Row],[DIF_Target]]=0,IF(L$2=0,Tab.o1[[#This Row],[DIF_Target]],AVERAGE(OFFSET(Tab.o1[[#This Row],[DIF_Target]],1,0,L$3,1)))/3,Tab.o1[[#This Row],[DIF_Target]])</f>
        <v/>
      </c>
      <c r="M346" s="118" t="str">
        <f>IF(Tab.o1[[#This Row],[a1]]=1,NORMSDIST(Tab.o1[[#This Row],[Za]]),"")</f>
        <v/>
      </c>
      <c r="N346" s="119" t="str">
        <f>IF(Tab.o1[[#This Row],[a1]]=1,((Tab.o1[[#This Row],[MedMod]]-AVERAGE(Tab.o1[MedMod]))/_xlfn.STDEV.P(Tab.o1[MedMod])*H$1205)+G$1205,"")</f>
        <v/>
      </c>
      <c r="O346" s="141" t="str">
        <f>IF(Tab.o1[[#This Row],[a1]]=1,Tab.o1[[#This Row],[Zb]]*_xlfn.STDEV.P(Tab.o1[MedMod])+AVERAGE(Tab.o1[MedMod]),"")</f>
        <v/>
      </c>
      <c r="P346" s="117" t="str">
        <f ca="1">IF(Tab.o1[[#This Row],[B]]=0,AVERAGE(OFFSET(Tab.o1[[#This Row],[B]],1,0,L$3,1)),Tab.o1[[#This Row],[B]])</f>
        <v/>
      </c>
      <c r="Q346" s="121" t="str">
        <f>IF(Tab.o1[[#This Row],[a1]]=1,NORMSDIST(Tab.o1[[#This Row],[Zb]]),"")</f>
        <v/>
      </c>
      <c r="R346" s="122" t="str">
        <f>IF(Tab.o1[[#This Row],[a1]]=1,((Tab.o1[[#This Row],[MedMod]]-AVERAGE(Tab.o1[MedMod]))/_xlfn.STDEV.P(Tab.o1[MedMod])*H$1203)+G$1203,"")</f>
        <v/>
      </c>
      <c r="S346" s="122" t="str">
        <f>IF(Tab.o1[[#This Row],[a1]]=1,((Tab.o1[[#This Row],[MedMod]]-AVERAGE(Tab.o1[MedMod]))/_xlfn.STDEV.P(Tab.o1[MedMod])*H$1204)+G$1204,"")</f>
        <v/>
      </c>
      <c r="T346" s="123" t="str">
        <f>IF(Tab.o1[[#This Row],[a1]]=1,Tab.o1[[#This Row],[Z-]]*_xlfn.STDEV.P(Tab.o1[B])+AVERAGE(Tab.o1[B]),"")</f>
        <v/>
      </c>
      <c r="U346" s="123" t="str">
        <f>IF(Tab.o1[[#This Row],[a1]]=1,Tab.o1[[#This Row],[z+]]*_xlfn.STDEV.P(Tab.o1[B])+AVERAGE(Tab.o1[B]),"")</f>
        <v/>
      </c>
      <c r="V346" s="124" t="str">
        <f>IF(Tab.o1[[#This Row],[a1]]=1,ABS((ABS(Tab.o1[[#This Row],[Red]]-Tab.o1[[#This Row],[Blue]]))),"")</f>
        <v/>
      </c>
      <c r="W346" s="125" t="str">
        <f>IF(Tab.o1[[#This Row],[a1]]=1,IF(W$3=0,1,Tab.o1[[#This Row],[Amp.]]*1/_xlfn.MINIFS(Tab.o1[Amp.],Tab.o1[Amp.],"&lt;&gt;0")),"")</f>
        <v/>
      </c>
      <c r="X346" s="126" t="str">
        <f>IF(Tab.o1[[#This Row],[a1]]=1,IF(ISNUMBER(Tab.o1[[#This Row],[i.]]),NORMDIST(Tab.o1[[#This Row],[Za]],0,1,FALSE)*Tab.o1[[#This Row],[i.]],AP$3),"")</f>
        <v/>
      </c>
      <c r="Y346" s="126" t="str">
        <f>IF(Tab.o1[[#This Row],[a1]]=1,0.01+0.94*Tab.o1[[#This Row],[PDF]]/MAX(Tab.o1[PDF]),"")</f>
        <v/>
      </c>
      <c r="Z346" s="126" t="str">
        <f>IF(Tab.o1[[#This Row],[a1]]=1,0.01+0.94*Tab.o1[[#This Row],[W1_PDF]]/MAX(Tab.o1[W1_PDF]),"")</f>
        <v/>
      </c>
      <c r="AA346" s="118" t="str">
        <f>IF(Tab.o1[[#This Row],[a1]]=1,ABS([1]!T.in.A[[#This Row],[oo6]]),"")</f>
        <v/>
      </c>
      <c r="AB346" s="127" t="str">
        <f>IF(Tab.o1[[#This Row],[a1]]=1,IF(AE$3=0,"",IF(AB$3=0,ABS([1]!T.in.A[[#This Row],[oo9]]),ABS(Tab.o1[[#This Row],[DIF_Target.]]*Tab.o1[[#This Row],[W1_PDF]]))),"")</f>
        <v/>
      </c>
      <c r="AC346" s="127" t="str">
        <f>IF(G$1=1,"",IF(Tab.o1[[#This Row],[a1]]=1,Tab.o1[[#This Row],[Wr]]^2,""))</f>
        <v/>
      </c>
      <c r="AD346" s="118" t="str">
        <f>IF(Tab.o1[[#This Row],[a1]]=1,IF(AE$3=0,"",Tab.o1[[#This Row],[Wr2]]/SUM(Tab.o1[Wr2])),"")</f>
        <v/>
      </c>
      <c r="AE346" s="128" t="str">
        <f>IF(Tab.o1[[#This Row],[a1]]=1,[1]!T.in.A[[#This Row],[oo10]],"")</f>
        <v/>
      </c>
      <c r="AF346" s="118" t="str">
        <f>IF(Tab.o1[[#This Row],[a1]]=1,ABS(Tab.o1[[#This Row],[DIF_Target.]]*Tab.o1[[#This Row],[PDF2]]*Tab.o1[[#This Row],[IN]]),"")</f>
        <v/>
      </c>
      <c r="AG346" s="129" t="str">
        <f>IF(Tab.o1[[#This Row],[a1]]=1,Tab.o1[[#This Row],[rW]]^2,"")</f>
        <v/>
      </c>
      <c r="AH346" s="130" t="str">
        <f>IF(Tab.o1[[#This Row],[a1]]=1,IF(AH$3=0,Tab.o1[[#This Row],[rW2]],0.01+0.94*Tab.o1[[#This Row],[rW2]]/SUM(Tab.o1[rW2])),"")</f>
        <v/>
      </c>
      <c r="AI346" s="128" t="str">
        <f>IF(Tab.o1[[#This Row],[a1]]=1,1/Tab.o1[[#This Row],[PDF]],"")</f>
        <v/>
      </c>
      <c r="AJ346" s="131" t="str">
        <f>IF(Tab.o1[[#This Row],[a1]]=1,[1]!T_AA[[#This Row],[IN'']]*[1]!T_AA[[#This Row],[Qde'']],"")</f>
        <v/>
      </c>
      <c r="AK346" s="132" t="str">
        <f>IF(Tab.o1[[#This Row],[a1]]=1,IF(AK$1=1,Tab.o1[[#This Row],[MED]]+Tab.o1[[#This Row],[MOD]]-Tab.o1[[#This Row],[MED]],""),"")</f>
        <v/>
      </c>
      <c r="AL346" s="133" t="str">
        <f>IF(Tab.o1[[#This Row],[a1]]=1,[1]!T.in.A[[#This Row],[oo16]],"")</f>
        <v/>
      </c>
      <c r="AM346" s="133" t="str">
        <f>IF(Tab.o1[[#This Row],[a1]]=1,IF(AM$3=1,[1]!T.in.A[[#This Row],[Σo16]],""),"")</f>
        <v/>
      </c>
      <c r="AN346" s="126" t="str">
        <f>IF(Tab.o1[[#This Row],[a1]]=1,[1]!T.in.A[[#This Row],[Σp5]],"")</f>
        <v/>
      </c>
      <c r="AO346" s="126" t="str">
        <f>IF(Tab.o1[[#This Row],[a1]]=1,IF(AO$3=1,[1]!T.in.A[[#This Row],[Σp5]],""),"")</f>
        <v/>
      </c>
      <c r="AP346" s="110" t="str">
        <f>IF(Tab.o1[[#This Row],[a1]]=1,IF(ISNUMBER(Tab.o1[[#This Row],[i.]]),NORMDIST(Tab.o1[[#This Row],[Za]],0,1,FALSE)*Tab.o1[[#This Row],[i.]],0),"")</f>
        <v/>
      </c>
      <c r="AQ346" s="125" t="str">
        <f>IF(Tab.o1[[#This Row],[a1]]=1,ABS(Tab.o1[[#This Row],[MOD]]-AVERAGE(Tab.o1[MOD])),"")</f>
        <v/>
      </c>
      <c r="AR346" s="134" t="str">
        <f>IF(Tab.o1[[#This Row],[a1]]=1,Tab.o1[[#This Row],[OBS]]/SUM(Tab.o1[OBS]),"")</f>
        <v/>
      </c>
      <c r="AS346" s="135" t="str">
        <f>IF(ISNUMBER(Tab.o1[[#This Row],[a1]]),ROW()-4,"")</f>
        <v/>
      </c>
      <c r="AT346" s="136" t="str">
        <f>Tab.o1[[#This Row],[MOD]]</f>
        <v/>
      </c>
      <c r="AU346" s="137" t="str">
        <f t="shared" si="21"/>
        <v/>
      </c>
      <c r="AV346" s="138" t="str">
        <f t="shared" si="22"/>
        <v/>
      </c>
      <c r="AW346" s="138" t="str">
        <f t="shared" si="23"/>
        <v/>
      </c>
      <c r="AX346" s="139" t="str">
        <f>[1]!T.in.A[[#This Row],[ID_T_manu]]</f>
        <v/>
      </c>
      <c r="AY346" s="140" t="str">
        <f>IF(ISNUMBER(Tab.o1[[#This Row],[a1]]),IF(AND(Tab.o1[[#This Row],[a1]]=1,Tab.o1[[#This Row],[b1]]&lt;=AY$4),#REF!,AY345),"")</f>
        <v/>
      </c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</row>
    <row r="347" spans="1:79" ht="15.75" hidden="1">
      <c r="A347" s="109">
        <v>1.0000000000000001E-5</v>
      </c>
      <c r="B347" s="110">
        <f t="shared" si="20"/>
        <v>347</v>
      </c>
      <c r="C347" s="111" t="str">
        <f>IF(C$1=[1]!T.in.A[[#This Row],[oo2]],1,"")</f>
        <v/>
      </c>
      <c r="D347" s="112" t="str">
        <f>IF(Tab.o1[[#This Row],[a1]]=1,IF(SUM(C347:C348)=0,0,IF(SUM(C346:C347)=1,1,IF(SUM(C346:C348)&gt;1,D346+1,0))),"")</f>
        <v/>
      </c>
      <c r="E347" s="113" t="str">
        <f>IF(Tab.o1[[#This Row],[a1]]=1,[1]!T.in.A[[#This Row],[oo1]],"")</f>
        <v/>
      </c>
      <c r="F347" s="113" t="str">
        <f>IF(Tab.o1[[#This Row],[a1]]=1,[1]!T.in.A[[#This Row],[pp1]],"")</f>
        <v/>
      </c>
      <c r="G347" s="114" t="str">
        <f>IF(Tab.o1[[#This Row],[a1]]=1,G$2+IF(G$1=1,0,Tab.o1[[#This Row],[.x1]])+[1]!T.in.A[[#This Row],[oo3]],"")</f>
        <v/>
      </c>
      <c r="H347" s="115" t="str">
        <f>IF(Tab.o1[[#This Row],[a1]]=1,IF(H$2=0,0,IF(G$1=1,0,Tab.o1[[#This Row],[.x1]])+[1]!T.in.A[[#This Row],[oo4]]),"")</f>
        <v/>
      </c>
      <c r="I347" s="116" t="str">
        <f>IF(Tab.o1[[#This Row],[a1]]=1,IF(J$2=0,Tab.o1[[#This Row],[MED]],Tab.o1[[#This Row],[MOD]]),"")</f>
        <v/>
      </c>
      <c r="J347" s="116" t="str">
        <f>IF(Tab.o1[[#This Row],[a1]]=1,((Tab.o1[[#This Row],[DIF_Target.]]-AVERAGE(Tab.o1[DIF_Target.]))/_xlfn.STDEV.P(Tab.o1[DIF_Target.])),"")</f>
        <v/>
      </c>
      <c r="K347" s="117" t="str">
        <f>IF(Tab.o1[[#This Row],[a1]]=1,IF(J$2=0,Tab.o1[[#This Row],[MOD]]-Tab.o1[[#This Row],[B]],IF(J$2=1,0,-Tab.o1[[#This Row],[MED]])+Tab.o1[[#This Row],[B]]),"")</f>
        <v/>
      </c>
      <c r="L347" s="117" t="str">
        <f ca="1">IF(Tab.o1[[#This Row],[DIF_Target]]=0,IF(L$2=0,Tab.o1[[#This Row],[DIF_Target]],AVERAGE(OFFSET(Tab.o1[[#This Row],[DIF_Target]],1,0,L$3,1)))/3,Tab.o1[[#This Row],[DIF_Target]])</f>
        <v/>
      </c>
      <c r="M347" s="118" t="str">
        <f>IF(Tab.o1[[#This Row],[a1]]=1,NORMSDIST(Tab.o1[[#This Row],[Za]]),"")</f>
        <v/>
      </c>
      <c r="N347" s="119" t="str">
        <f>IF(Tab.o1[[#This Row],[a1]]=1,((Tab.o1[[#This Row],[MedMod]]-AVERAGE(Tab.o1[MedMod]))/_xlfn.STDEV.P(Tab.o1[MedMod])*H$1205)+G$1205,"")</f>
        <v/>
      </c>
      <c r="O347" s="141" t="str">
        <f>IF(Tab.o1[[#This Row],[a1]]=1,Tab.o1[[#This Row],[Zb]]*_xlfn.STDEV.P(Tab.o1[MedMod])+AVERAGE(Tab.o1[MedMod]),"")</f>
        <v/>
      </c>
      <c r="P347" s="117" t="str">
        <f ca="1">IF(Tab.o1[[#This Row],[B]]=0,AVERAGE(OFFSET(Tab.o1[[#This Row],[B]],1,0,L$3,1)),Tab.o1[[#This Row],[B]])</f>
        <v/>
      </c>
      <c r="Q347" s="121" t="str">
        <f>IF(Tab.o1[[#This Row],[a1]]=1,NORMSDIST(Tab.o1[[#This Row],[Zb]]),"")</f>
        <v/>
      </c>
      <c r="R347" s="122" t="str">
        <f>IF(Tab.o1[[#This Row],[a1]]=1,((Tab.o1[[#This Row],[MedMod]]-AVERAGE(Tab.o1[MedMod]))/_xlfn.STDEV.P(Tab.o1[MedMod])*H$1203)+G$1203,"")</f>
        <v/>
      </c>
      <c r="S347" s="122" t="str">
        <f>IF(Tab.o1[[#This Row],[a1]]=1,((Tab.o1[[#This Row],[MedMod]]-AVERAGE(Tab.o1[MedMod]))/_xlfn.STDEV.P(Tab.o1[MedMod])*H$1204)+G$1204,"")</f>
        <v/>
      </c>
      <c r="T347" s="123" t="str">
        <f>IF(Tab.o1[[#This Row],[a1]]=1,Tab.o1[[#This Row],[Z-]]*_xlfn.STDEV.P(Tab.o1[B])+AVERAGE(Tab.o1[B]),"")</f>
        <v/>
      </c>
      <c r="U347" s="123" t="str">
        <f>IF(Tab.o1[[#This Row],[a1]]=1,Tab.o1[[#This Row],[z+]]*_xlfn.STDEV.P(Tab.o1[B])+AVERAGE(Tab.o1[B]),"")</f>
        <v/>
      </c>
      <c r="V347" s="124" t="str">
        <f>IF(Tab.o1[[#This Row],[a1]]=1,ABS((ABS(Tab.o1[[#This Row],[Red]]-Tab.o1[[#This Row],[Blue]]))),"")</f>
        <v/>
      </c>
      <c r="W347" s="125" t="str">
        <f>IF(Tab.o1[[#This Row],[a1]]=1,IF(W$3=0,1,Tab.o1[[#This Row],[Amp.]]*1/_xlfn.MINIFS(Tab.o1[Amp.],Tab.o1[Amp.],"&lt;&gt;0")),"")</f>
        <v/>
      </c>
      <c r="X347" s="126" t="str">
        <f>IF(Tab.o1[[#This Row],[a1]]=1,IF(ISNUMBER(Tab.o1[[#This Row],[i.]]),NORMDIST(Tab.o1[[#This Row],[Za]],0,1,FALSE)*Tab.o1[[#This Row],[i.]],AP$3),"")</f>
        <v/>
      </c>
      <c r="Y347" s="126" t="str">
        <f>IF(Tab.o1[[#This Row],[a1]]=1,0.01+0.94*Tab.o1[[#This Row],[PDF]]/MAX(Tab.o1[PDF]),"")</f>
        <v/>
      </c>
      <c r="Z347" s="126" t="str">
        <f>IF(Tab.o1[[#This Row],[a1]]=1,0.01+0.94*Tab.o1[[#This Row],[W1_PDF]]/MAX(Tab.o1[W1_PDF]),"")</f>
        <v/>
      </c>
      <c r="AA347" s="118" t="str">
        <f>IF(Tab.o1[[#This Row],[a1]]=1,ABS([1]!T.in.A[[#This Row],[oo6]]),"")</f>
        <v/>
      </c>
      <c r="AB347" s="127" t="str">
        <f>IF(Tab.o1[[#This Row],[a1]]=1,IF(AE$3=0,"",IF(AB$3=0,ABS([1]!T.in.A[[#This Row],[oo9]]),ABS(Tab.o1[[#This Row],[DIF_Target.]]*Tab.o1[[#This Row],[W1_PDF]]))),"")</f>
        <v/>
      </c>
      <c r="AC347" s="127" t="str">
        <f>IF(G$1=1,"",IF(Tab.o1[[#This Row],[a1]]=1,Tab.o1[[#This Row],[Wr]]^2,""))</f>
        <v/>
      </c>
      <c r="AD347" s="118" t="str">
        <f>IF(Tab.o1[[#This Row],[a1]]=1,IF(AE$3=0,"",Tab.o1[[#This Row],[Wr2]]/SUM(Tab.o1[Wr2])),"")</f>
        <v/>
      </c>
      <c r="AE347" s="128" t="str">
        <f>IF(Tab.o1[[#This Row],[a1]]=1,[1]!T.in.A[[#This Row],[oo10]],"")</f>
        <v/>
      </c>
      <c r="AF347" s="118" t="str">
        <f>IF(Tab.o1[[#This Row],[a1]]=1,ABS(Tab.o1[[#This Row],[DIF_Target.]]*Tab.o1[[#This Row],[PDF2]]*Tab.o1[[#This Row],[IN]]),"")</f>
        <v/>
      </c>
      <c r="AG347" s="129" t="str">
        <f>IF(Tab.o1[[#This Row],[a1]]=1,Tab.o1[[#This Row],[rW]]^2,"")</f>
        <v/>
      </c>
      <c r="AH347" s="130" t="str">
        <f>IF(Tab.o1[[#This Row],[a1]]=1,IF(AH$3=0,Tab.o1[[#This Row],[rW2]],0.01+0.94*Tab.o1[[#This Row],[rW2]]/SUM(Tab.o1[rW2])),"")</f>
        <v/>
      </c>
      <c r="AI347" s="128" t="str">
        <f>IF(Tab.o1[[#This Row],[a1]]=1,1/Tab.o1[[#This Row],[PDF]],"")</f>
        <v/>
      </c>
      <c r="AJ347" s="131" t="str">
        <f>IF(Tab.o1[[#This Row],[a1]]=1,[1]!T_AA[[#This Row],[IN'']]*[1]!T_AA[[#This Row],[Qde'']],"")</f>
        <v/>
      </c>
      <c r="AK347" s="132" t="str">
        <f>IF(Tab.o1[[#This Row],[a1]]=1,IF(AK$1=1,Tab.o1[[#This Row],[MED]]+Tab.o1[[#This Row],[MOD]]-Tab.o1[[#This Row],[MED]],""),"")</f>
        <v/>
      </c>
      <c r="AL347" s="133" t="str">
        <f>IF(Tab.o1[[#This Row],[a1]]=1,[1]!T.in.A[[#This Row],[oo16]],"")</f>
        <v/>
      </c>
      <c r="AM347" s="133" t="str">
        <f>IF(Tab.o1[[#This Row],[a1]]=1,IF(AM$3=1,[1]!T.in.A[[#This Row],[Σo16]],""),"")</f>
        <v/>
      </c>
      <c r="AN347" s="126" t="str">
        <f>IF(Tab.o1[[#This Row],[a1]]=1,[1]!T.in.A[[#This Row],[Σp5]],"")</f>
        <v/>
      </c>
      <c r="AO347" s="126" t="str">
        <f>IF(Tab.o1[[#This Row],[a1]]=1,IF(AO$3=1,[1]!T.in.A[[#This Row],[Σp5]],""),"")</f>
        <v/>
      </c>
      <c r="AP347" s="110" t="str">
        <f>IF(Tab.o1[[#This Row],[a1]]=1,IF(ISNUMBER(Tab.o1[[#This Row],[i.]]),NORMDIST(Tab.o1[[#This Row],[Za]],0,1,FALSE)*Tab.o1[[#This Row],[i.]],0),"")</f>
        <v/>
      </c>
      <c r="AQ347" s="125" t="str">
        <f>IF(Tab.o1[[#This Row],[a1]]=1,ABS(Tab.o1[[#This Row],[MOD]]-AVERAGE(Tab.o1[MOD])),"")</f>
        <v/>
      </c>
      <c r="AR347" s="134" t="str">
        <f>IF(Tab.o1[[#This Row],[a1]]=1,Tab.o1[[#This Row],[OBS]]/SUM(Tab.o1[OBS]),"")</f>
        <v/>
      </c>
      <c r="AS347" s="135" t="str">
        <f>IF(ISNUMBER(Tab.o1[[#This Row],[a1]]),ROW()-4,"")</f>
        <v/>
      </c>
      <c r="AT347" s="136" t="str">
        <f>Tab.o1[[#This Row],[MOD]]</f>
        <v/>
      </c>
      <c r="AU347" s="137" t="str">
        <f t="shared" si="21"/>
        <v/>
      </c>
      <c r="AV347" s="138" t="str">
        <f t="shared" si="22"/>
        <v/>
      </c>
      <c r="AW347" s="138" t="str">
        <f t="shared" si="23"/>
        <v/>
      </c>
      <c r="AX347" s="139" t="str">
        <f>[1]!T.in.A[[#This Row],[ID_T_manu]]</f>
        <v/>
      </c>
      <c r="AY347" s="140" t="str">
        <f>IF(ISNUMBER(Tab.o1[[#This Row],[a1]]),IF(AND(Tab.o1[[#This Row],[a1]]=1,Tab.o1[[#This Row],[b1]]&lt;=AY$4),#REF!,AY346),"")</f>
        <v/>
      </c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</row>
    <row r="348" spans="1:79" ht="15.75" hidden="1">
      <c r="A348" s="109">
        <v>-6.9999999999999999E-6</v>
      </c>
      <c r="B348" s="110">
        <f t="shared" si="20"/>
        <v>348</v>
      </c>
      <c r="C348" s="111" t="str">
        <f>IF(C$1=[1]!T.in.A[[#This Row],[oo2]],1,"")</f>
        <v/>
      </c>
      <c r="D348" s="112" t="str">
        <f>IF(Tab.o1[[#This Row],[a1]]=1,IF(SUM(C348:C349)=0,0,IF(SUM(C347:C348)=1,1,IF(SUM(C347:C349)&gt;1,D347+1,0))),"")</f>
        <v/>
      </c>
      <c r="E348" s="113" t="str">
        <f>IF(Tab.o1[[#This Row],[a1]]=1,[1]!T.in.A[[#This Row],[oo1]],"")</f>
        <v/>
      </c>
      <c r="F348" s="113" t="str">
        <f>IF(Tab.o1[[#This Row],[a1]]=1,[1]!T.in.A[[#This Row],[pp1]],"")</f>
        <v/>
      </c>
      <c r="G348" s="114" t="str">
        <f>IF(Tab.o1[[#This Row],[a1]]=1,G$2+IF(G$1=1,0,Tab.o1[[#This Row],[.x1]])+[1]!T.in.A[[#This Row],[oo3]],"")</f>
        <v/>
      </c>
      <c r="H348" s="115" t="str">
        <f>IF(Tab.o1[[#This Row],[a1]]=1,IF(H$2=0,0,IF(G$1=1,0,Tab.o1[[#This Row],[.x1]])+[1]!T.in.A[[#This Row],[oo4]]),"")</f>
        <v/>
      </c>
      <c r="I348" s="116" t="str">
        <f>IF(Tab.o1[[#This Row],[a1]]=1,IF(J$2=0,Tab.o1[[#This Row],[MED]],Tab.o1[[#This Row],[MOD]]),"")</f>
        <v/>
      </c>
      <c r="J348" s="116" t="str">
        <f>IF(Tab.o1[[#This Row],[a1]]=1,((Tab.o1[[#This Row],[DIF_Target.]]-AVERAGE(Tab.o1[DIF_Target.]))/_xlfn.STDEV.P(Tab.o1[DIF_Target.])),"")</f>
        <v/>
      </c>
      <c r="K348" s="117" t="str">
        <f>IF(Tab.o1[[#This Row],[a1]]=1,IF(J$2=0,Tab.o1[[#This Row],[MOD]]-Tab.o1[[#This Row],[B]],IF(J$2=1,0,-Tab.o1[[#This Row],[MED]])+Tab.o1[[#This Row],[B]]),"")</f>
        <v/>
      </c>
      <c r="L348" s="117" t="str">
        <f ca="1">IF(Tab.o1[[#This Row],[DIF_Target]]=0,IF(L$2=0,Tab.o1[[#This Row],[DIF_Target]],AVERAGE(OFFSET(Tab.o1[[#This Row],[DIF_Target]],1,0,L$3,1)))/3,Tab.o1[[#This Row],[DIF_Target]])</f>
        <v/>
      </c>
      <c r="M348" s="118" t="str">
        <f>IF(Tab.o1[[#This Row],[a1]]=1,NORMSDIST(Tab.o1[[#This Row],[Za]]),"")</f>
        <v/>
      </c>
      <c r="N348" s="119" t="str">
        <f>IF(Tab.o1[[#This Row],[a1]]=1,((Tab.o1[[#This Row],[MedMod]]-AVERAGE(Tab.o1[MedMod]))/_xlfn.STDEV.P(Tab.o1[MedMod])*H$1205)+G$1205,"")</f>
        <v/>
      </c>
      <c r="O348" s="141" t="str">
        <f>IF(Tab.o1[[#This Row],[a1]]=1,Tab.o1[[#This Row],[Zb]]*_xlfn.STDEV.P(Tab.o1[MedMod])+AVERAGE(Tab.o1[MedMod]),"")</f>
        <v/>
      </c>
      <c r="P348" s="117" t="str">
        <f ca="1">IF(Tab.o1[[#This Row],[B]]=0,AVERAGE(OFFSET(Tab.o1[[#This Row],[B]],1,0,L$3,1)),Tab.o1[[#This Row],[B]])</f>
        <v/>
      </c>
      <c r="Q348" s="121" t="str">
        <f>IF(Tab.o1[[#This Row],[a1]]=1,NORMSDIST(Tab.o1[[#This Row],[Zb]]),"")</f>
        <v/>
      </c>
      <c r="R348" s="122" t="str">
        <f>IF(Tab.o1[[#This Row],[a1]]=1,((Tab.o1[[#This Row],[MedMod]]-AVERAGE(Tab.o1[MedMod]))/_xlfn.STDEV.P(Tab.o1[MedMod])*H$1203)+G$1203,"")</f>
        <v/>
      </c>
      <c r="S348" s="122" t="str">
        <f>IF(Tab.o1[[#This Row],[a1]]=1,((Tab.o1[[#This Row],[MedMod]]-AVERAGE(Tab.o1[MedMod]))/_xlfn.STDEV.P(Tab.o1[MedMod])*H$1204)+G$1204,"")</f>
        <v/>
      </c>
      <c r="T348" s="123" t="str">
        <f>IF(Tab.o1[[#This Row],[a1]]=1,Tab.o1[[#This Row],[Z-]]*_xlfn.STDEV.P(Tab.o1[B])+AVERAGE(Tab.o1[B]),"")</f>
        <v/>
      </c>
      <c r="U348" s="123" t="str">
        <f>IF(Tab.o1[[#This Row],[a1]]=1,Tab.o1[[#This Row],[z+]]*_xlfn.STDEV.P(Tab.o1[B])+AVERAGE(Tab.o1[B]),"")</f>
        <v/>
      </c>
      <c r="V348" s="124" t="str">
        <f>IF(Tab.o1[[#This Row],[a1]]=1,ABS((ABS(Tab.o1[[#This Row],[Red]]-Tab.o1[[#This Row],[Blue]]))),"")</f>
        <v/>
      </c>
      <c r="W348" s="125" t="str">
        <f>IF(Tab.o1[[#This Row],[a1]]=1,IF(W$3=0,1,Tab.o1[[#This Row],[Amp.]]*1/_xlfn.MINIFS(Tab.o1[Amp.],Tab.o1[Amp.],"&lt;&gt;0")),"")</f>
        <v/>
      </c>
      <c r="X348" s="126" t="str">
        <f>IF(Tab.o1[[#This Row],[a1]]=1,IF(ISNUMBER(Tab.o1[[#This Row],[i.]]),NORMDIST(Tab.o1[[#This Row],[Za]],0,1,FALSE)*Tab.o1[[#This Row],[i.]],AP$3),"")</f>
        <v/>
      </c>
      <c r="Y348" s="126" t="str">
        <f>IF(Tab.o1[[#This Row],[a1]]=1,0.01+0.94*Tab.o1[[#This Row],[PDF]]/MAX(Tab.o1[PDF]),"")</f>
        <v/>
      </c>
      <c r="Z348" s="126" t="str">
        <f>IF(Tab.o1[[#This Row],[a1]]=1,0.01+0.94*Tab.o1[[#This Row],[W1_PDF]]/MAX(Tab.o1[W1_PDF]),"")</f>
        <v/>
      </c>
      <c r="AA348" s="118" t="str">
        <f>IF(Tab.o1[[#This Row],[a1]]=1,ABS([1]!T.in.A[[#This Row],[oo6]]),"")</f>
        <v/>
      </c>
      <c r="AB348" s="127" t="str">
        <f>IF(Tab.o1[[#This Row],[a1]]=1,IF(AE$3=0,"",IF(AB$3=0,ABS([1]!T.in.A[[#This Row],[oo9]]),ABS(Tab.o1[[#This Row],[DIF_Target.]]*Tab.o1[[#This Row],[W1_PDF]]))),"")</f>
        <v/>
      </c>
      <c r="AC348" s="127" t="str">
        <f>IF(G$1=1,"",IF(Tab.o1[[#This Row],[a1]]=1,Tab.o1[[#This Row],[Wr]]^2,""))</f>
        <v/>
      </c>
      <c r="AD348" s="118" t="str">
        <f>IF(Tab.o1[[#This Row],[a1]]=1,IF(AE$3=0,"",Tab.o1[[#This Row],[Wr2]]/SUM(Tab.o1[Wr2])),"")</f>
        <v/>
      </c>
      <c r="AE348" s="128" t="str">
        <f>IF(Tab.o1[[#This Row],[a1]]=1,[1]!T.in.A[[#This Row],[oo10]],"")</f>
        <v/>
      </c>
      <c r="AF348" s="118" t="str">
        <f>IF(Tab.o1[[#This Row],[a1]]=1,ABS(Tab.o1[[#This Row],[DIF_Target.]]*Tab.o1[[#This Row],[PDF2]]*Tab.o1[[#This Row],[IN]]),"")</f>
        <v/>
      </c>
      <c r="AG348" s="129" t="str">
        <f>IF(Tab.o1[[#This Row],[a1]]=1,Tab.o1[[#This Row],[rW]]^2,"")</f>
        <v/>
      </c>
      <c r="AH348" s="130" t="str">
        <f>IF(Tab.o1[[#This Row],[a1]]=1,IF(AH$3=0,Tab.o1[[#This Row],[rW2]],0.01+0.94*Tab.o1[[#This Row],[rW2]]/SUM(Tab.o1[rW2])),"")</f>
        <v/>
      </c>
      <c r="AI348" s="128" t="str">
        <f>IF(Tab.o1[[#This Row],[a1]]=1,1/Tab.o1[[#This Row],[PDF]],"")</f>
        <v/>
      </c>
      <c r="AJ348" s="131" t="str">
        <f>IF(Tab.o1[[#This Row],[a1]]=1,[1]!T_AA[[#This Row],[IN'']]*[1]!T_AA[[#This Row],[Qde'']],"")</f>
        <v/>
      </c>
      <c r="AK348" s="132" t="str">
        <f>IF(Tab.o1[[#This Row],[a1]]=1,IF(AK$1=1,Tab.o1[[#This Row],[MED]]+Tab.o1[[#This Row],[MOD]]-Tab.o1[[#This Row],[MED]],""),"")</f>
        <v/>
      </c>
      <c r="AL348" s="133" t="str">
        <f>IF(Tab.o1[[#This Row],[a1]]=1,[1]!T.in.A[[#This Row],[oo16]],"")</f>
        <v/>
      </c>
      <c r="AM348" s="133" t="str">
        <f>IF(Tab.o1[[#This Row],[a1]]=1,IF(AM$3=1,[1]!T.in.A[[#This Row],[Σo16]],""),"")</f>
        <v/>
      </c>
      <c r="AN348" s="126" t="str">
        <f>IF(Tab.o1[[#This Row],[a1]]=1,[1]!T.in.A[[#This Row],[Σp5]],"")</f>
        <v/>
      </c>
      <c r="AO348" s="126" t="str">
        <f>IF(Tab.o1[[#This Row],[a1]]=1,IF(AO$3=1,[1]!T.in.A[[#This Row],[Σp5]],""),"")</f>
        <v/>
      </c>
      <c r="AP348" s="110" t="str">
        <f>IF(Tab.o1[[#This Row],[a1]]=1,IF(ISNUMBER(Tab.o1[[#This Row],[i.]]),NORMDIST(Tab.o1[[#This Row],[Za]],0,1,FALSE)*Tab.o1[[#This Row],[i.]],0),"")</f>
        <v/>
      </c>
      <c r="AQ348" s="125" t="str">
        <f>IF(Tab.o1[[#This Row],[a1]]=1,ABS(Tab.o1[[#This Row],[MOD]]-AVERAGE(Tab.o1[MOD])),"")</f>
        <v/>
      </c>
      <c r="AR348" s="134" t="str">
        <f>IF(Tab.o1[[#This Row],[a1]]=1,Tab.o1[[#This Row],[OBS]]/SUM(Tab.o1[OBS]),"")</f>
        <v/>
      </c>
      <c r="AS348" s="135" t="str">
        <f>IF(ISNUMBER(Tab.o1[[#This Row],[a1]]),ROW()-4,"")</f>
        <v/>
      </c>
      <c r="AT348" s="136" t="str">
        <f>Tab.o1[[#This Row],[MOD]]</f>
        <v/>
      </c>
      <c r="AU348" s="137" t="str">
        <f t="shared" si="21"/>
        <v/>
      </c>
      <c r="AV348" s="138" t="str">
        <f t="shared" si="22"/>
        <v/>
      </c>
      <c r="AW348" s="138" t="str">
        <f t="shared" si="23"/>
        <v/>
      </c>
      <c r="AX348" s="139" t="str">
        <f>[1]!T.in.A[[#This Row],[ID_T_manu]]</f>
        <v/>
      </c>
      <c r="AY348" s="140" t="str">
        <f>IF(ISNUMBER(Tab.o1[[#This Row],[a1]]),IF(AND(Tab.o1[[#This Row],[a1]]=1,Tab.o1[[#This Row],[b1]]&lt;=AY$4),#REF!,AY347),"")</f>
        <v/>
      </c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</row>
    <row r="349" spans="1:79" ht="15.75" hidden="1">
      <c r="A349" s="109">
        <v>-9.0000000000000002E-6</v>
      </c>
      <c r="B349" s="110">
        <f t="shared" si="20"/>
        <v>349</v>
      </c>
      <c r="C349" s="111" t="str">
        <f>IF(C$1=[1]!T.in.A[[#This Row],[oo2]],1,"")</f>
        <v/>
      </c>
      <c r="D349" s="112" t="str">
        <f>IF(Tab.o1[[#This Row],[a1]]=1,IF(SUM(C349:C350)=0,0,IF(SUM(C348:C349)=1,1,IF(SUM(C348:C350)&gt;1,D348+1,0))),"")</f>
        <v/>
      </c>
      <c r="E349" s="113" t="str">
        <f>IF(Tab.o1[[#This Row],[a1]]=1,[1]!T.in.A[[#This Row],[oo1]],"")</f>
        <v/>
      </c>
      <c r="F349" s="113" t="str">
        <f>IF(Tab.o1[[#This Row],[a1]]=1,[1]!T.in.A[[#This Row],[pp1]],"")</f>
        <v/>
      </c>
      <c r="G349" s="114" t="str">
        <f>IF(Tab.o1[[#This Row],[a1]]=1,G$2+IF(G$1=1,0,Tab.o1[[#This Row],[.x1]])+[1]!T.in.A[[#This Row],[oo3]],"")</f>
        <v/>
      </c>
      <c r="H349" s="115" t="str">
        <f>IF(Tab.o1[[#This Row],[a1]]=1,IF(H$2=0,0,IF(G$1=1,0,Tab.o1[[#This Row],[.x1]])+[1]!T.in.A[[#This Row],[oo4]]),"")</f>
        <v/>
      </c>
      <c r="I349" s="116" t="str">
        <f>IF(Tab.o1[[#This Row],[a1]]=1,IF(J$2=0,Tab.o1[[#This Row],[MED]],Tab.o1[[#This Row],[MOD]]),"")</f>
        <v/>
      </c>
      <c r="J349" s="116" t="str">
        <f>IF(Tab.o1[[#This Row],[a1]]=1,((Tab.o1[[#This Row],[DIF_Target.]]-AVERAGE(Tab.o1[DIF_Target.]))/_xlfn.STDEV.P(Tab.o1[DIF_Target.])),"")</f>
        <v/>
      </c>
      <c r="K349" s="117" t="str">
        <f>IF(Tab.o1[[#This Row],[a1]]=1,IF(J$2=0,Tab.o1[[#This Row],[MOD]]-Tab.o1[[#This Row],[B]],IF(J$2=1,0,-Tab.o1[[#This Row],[MED]])+Tab.o1[[#This Row],[B]]),"")</f>
        <v/>
      </c>
      <c r="L349" s="117" t="str">
        <f ca="1">IF(Tab.o1[[#This Row],[DIF_Target]]=0,IF(L$2=0,Tab.o1[[#This Row],[DIF_Target]],AVERAGE(OFFSET(Tab.o1[[#This Row],[DIF_Target]],1,0,L$3,1)))/3,Tab.o1[[#This Row],[DIF_Target]])</f>
        <v/>
      </c>
      <c r="M349" s="118" t="str">
        <f>IF(Tab.o1[[#This Row],[a1]]=1,NORMSDIST(Tab.o1[[#This Row],[Za]]),"")</f>
        <v/>
      </c>
      <c r="N349" s="119" t="str">
        <f>IF(Tab.o1[[#This Row],[a1]]=1,((Tab.o1[[#This Row],[MedMod]]-AVERAGE(Tab.o1[MedMod]))/_xlfn.STDEV.P(Tab.o1[MedMod])*H$1205)+G$1205,"")</f>
        <v/>
      </c>
      <c r="O349" s="141" t="str">
        <f>IF(Tab.o1[[#This Row],[a1]]=1,Tab.o1[[#This Row],[Zb]]*_xlfn.STDEV.P(Tab.o1[MedMod])+AVERAGE(Tab.o1[MedMod]),"")</f>
        <v/>
      </c>
      <c r="P349" s="117" t="str">
        <f ca="1">IF(Tab.o1[[#This Row],[B]]=0,AVERAGE(OFFSET(Tab.o1[[#This Row],[B]],1,0,L$3,1)),Tab.o1[[#This Row],[B]])</f>
        <v/>
      </c>
      <c r="Q349" s="121" t="str">
        <f>IF(Tab.o1[[#This Row],[a1]]=1,NORMSDIST(Tab.o1[[#This Row],[Zb]]),"")</f>
        <v/>
      </c>
      <c r="R349" s="122" t="str">
        <f>IF(Tab.o1[[#This Row],[a1]]=1,((Tab.o1[[#This Row],[MedMod]]-AVERAGE(Tab.o1[MedMod]))/_xlfn.STDEV.P(Tab.o1[MedMod])*H$1203)+G$1203,"")</f>
        <v/>
      </c>
      <c r="S349" s="122" t="str">
        <f>IF(Tab.o1[[#This Row],[a1]]=1,((Tab.o1[[#This Row],[MedMod]]-AVERAGE(Tab.o1[MedMod]))/_xlfn.STDEV.P(Tab.o1[MedMod])*H$1204)+G$1204,"")</f>
        <v/>
      </c>
      <c r="T349" s="123" t="str">
        <f>IF(Tab.o1[[#This Row],[a1]]=1,Tab.o1[[#This Row],[Z-]]*_xlfn.STDEV.P(Tab.o1[B])+AVERAGE(Tab.o1[B]),"")</f>
        <v/>
      </c>
      <c r="U349" s="123" t="str">
        <f>IF(Tab.o1[[#This Row],[a1]]=1,Tab.o1[[#This Row],[z+]]*_xlfn.STDEV.P(Tab.o1[B])+AVERAGE(Tab.o1[B]),"")</f>
        <v/>
      </c>
      <c r="V349" s="124" t="str">
        <f>IF(Tab.o1[[#This Row],[a1]]=1,ABS((ABS(Tab.o1[[#This Row],[Red]]-Tab.o1[[#This Row],[Blue]]))),"")</f>
        <v/>
      </c>
      <c r="W349" s="125" t="str">
        <f>IF(Tab.o1[[#This Row],[a1]]=1,IF(W$3=0,1,Tab.o1[[#This Row],[Amp.]]*1/_xlfn.MINIFS(Tab.o1[Amp.],Tab.o1[Amp.],"&lt;&gt;0")),"")</f>
        <v/>
      </c>
      <c r="X349" s="126" t="str">
        <f>IF(Tab.o1[[#This Row],[a1]]=1,IF(ISNUMBER(Tab.o1[[#This Row],[i.]]),NORMDIST(Tab.o1[[#This Row],[Za]],0,1,FALSE)*Tab.o1[[#This Row],[i.]],AP$3),"")</f>
        <v/>
      </c>
      <c r="Y349" s="126" t="str">
        <f>IF(Tab.o1[[#This Row],[a1]]=1,0.01+0.94*Tab.o1[[#This Row],[PDF]]/MAX(Tab.o1[PDF]),"")</f>
        <v/>
      </c>
      <c r="Z349" s="126" t="str">
        <f>IF(Tab.o1[[#This Row],[a1]]=1,0.01+0.94*Tab.o1[[#This Row],[W1_PDF]]/MAX(Tab.o1[W1_PDF]),"")</f>
        <v/>
      </c>
      <c r="AA349" s="118" t="str">
        <f>IF(Tab.o1[[#This Row],[a1]]=1,ABS([1]!T.in.A[[#This Row],[oo6]]),"")</f>
        <v/>
      </c>
      <c r="AB349" s="127" t="str">
        <f>IF(Tab.o1[[#This Row],[a1]]=1,IF(AE$3=0,"",IF(AB$3=0,ABS([1]!T.in.A[[#This Row],[oo9]]),ABS(Tab.o1[[#This Row],[DIF_Target.]]*Tab.o1[[#This Row],[W1_PDF]]))),"")</f>
        <v/>
      </c>
      <c r="AC349" s="127" t="str">
        <f>IF(G$1=1,"",IF(Tab.o1[[#This Row],[a1]]=1,Tab.o1[[#This Row],[Wr]]^2,""))</f>
        <v/>
      </c>
      <c r="AD349" s="118" t="str">
        <f>IF(Tab.o1[[#This Row],[a1]]=1,IF(AE$3=0,"",Tab.o1[[#This Row],[Wr2]]/SUM(Tab.o1[Wr2])),"")</f>
        <v/>
      </c>
      <c r="AE349" s="128" t="str">
        <f>IF(Tab.o1[[#This Row],[a1]]=1,[1]!T.in.A[[#This Row],[oo10]],"")</f>
        <v/>
      </c>
      <c r="AF349" s="118" t="str">
        <f>IF(Tab.o1[[#This Row],[a1]]=1,ABS(Tab.o1[[#This Row],[DIF_Target.]]*Tab.o1[[#This Row],[PDF2]]*Tab.o1[[#This Row],[IN]]),"")</f>
        <v/>
      </c>
      <c r="AG349" s="129" t="str">
        <f>IF(Tab.o1[[#This Row],[a1]]=1,Tab.o1[[#This Row],[rW]]^2,"")</f>
        <v/>
      </c>
      <c r="AH349" s="130" t="str">
        <f>IF(Tab.o1[[#This Row],[a1]]=1,IF(AH$3=0,Tab.o1[[#This Row],[rW2]],0.01+0.94*Tab.o1[[#This Row],[rW2]]/SUM(Tab.o1[rW2])),"")</f>
        <v/>
      </c>
      <c r="AI349" s="128" t="str">
        <f>IF(Tab.o1[[#This Row],[a1]]=1,1/Tab.o1[[#This Row],[PDF]],"")</f>
        <v/>
      </c>
      <c r="AJ349" s="131" t="str">
        <f>IF(Tab.o1[[#This Row],[a1]]=1,[1]!T_AA[[#This Row],[IN'']]*[1]!T_AA[[#This Row],[Qde'']],"")</f>
        <v/>
      </c>
      <c r="AK349" s="132" t="str">
        <f>IF(Tab.o1[[#This Row],[a1]]=1,IF(AK$1=1,Tab.o1[[#This Row],[MED]]+Tab.o1[[#This Row],[MOD]]-Tab.o1[[#This Row],[MED]],""),"")</f>
        <v/>
      </c>
      <c r="AL349" s="133" t="str">
        <f>IF(Tab.o1[[#This Row],[a1]]=1,[1]!T.in.A[[#This Row],[oo16]],"")</f>
        <v/>
      </c>
      <c r="AM349" s="133" t="str">
        <f>IF(Tab.o1[[#This Row],[a1]]=1,IF(AM$3=1,[1]!T.in.A[[#This Row],[Σo16]],""),"")</f>
        <v/>
      </c>
      <c r="AN349" s="126" t="str">
        <f>IF(Tab.o1[[#This Row],[a1]]=1,[1]!T.in.A[[#This Row],[Σp5]],"")</f>
        <v/>
      </c>
      <c r="AO349" s="126" t="str">
        <f>IF(Tab.o1[[#This Row],[a1]]=1,IF(AO$3=1,[1]!T.in.A[[#This Row],[Σp5]],""),"")</f>
        <v/>
      </c>
      <c r="AP349" s="110" t="str">
        <f>IF(Tab.o1[[#This Row],[a1]]=1,IF(ISNUMBER(Tab.o1[[#This Row],[i.]]),NORMDIST(Tab.o1[[#This Row],[Za]],0,1,FALSE)*Tab.o1[[#This Row],[i.]],0),"")</f>
        <v/>
      </c>
      <c r="AQ349" s="125" t="str">
        <f>IF(Tab.o1[[#This Row],[a1]]=1,ABS(Tab.o1[[#This Row],[MOD]]-AVERAGE(Tab.o1[MOD])),"")</f>
        <v/>
      </c>
      <c r="AR349" s="134" t="str">
        <f>IF(Tab.o1[[#This Row],[a1]]=1,Tab.o1[[#This Row],[OBS]]/SUM(Tab.o1[OBS]),"")</f>
        <v/>
      </c>
      <c r="AS349" s="135" t="str">
        <f>IF(ISNUMBER(Tab.o1[[#This Row],[a1]]),ROW()-4,"")</f>
        <v/>
      </c>
      <c r="AT349" s="136" t="str">
        <f>Tab.o1[[#This Row],[MOD]]</f>
        <v/>
      </c>
      <c r="AU349" s="137" t="str">
        <f t="shared" si="21"/>
        <v/>
      </c>
      <c r="AV349" s="138" t="str">
        <f t="shared" si="22"/>
        <v/>
      </c>
      <c r="AW349" s="138" t="str">
        <f t="shared" si="23"/>
        <v/>
      </c>
      <c r="AX349" s="139" t="str">
        <f>[1]!T.in.A[[#This Row],[ID_T_manu]]</f>
        <v/>
      </c>
      <c r="AY349" s="140" t="str">
        <f>IF(ISNUMBER(Tab.o1[[#This Row],[a1]]),IF(AND(Tab.o1[[#This Row],[a1]]=1,Tab.o1[[#This Row],[b1]]&lt;=AY$4),#REF!,AY348),"")</f>
        <v/>
      </c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</row>
    <row r="350" spans="1:79" ht="15.75" hidden="1">
      <c r="A350" s="109">
        <v>-1.0000000000000002E-6</v>
      </c>
      <c r="B350" s="110">
        <f t="shared" si="20"/>
        <v>350</v>
      </c>
      <c r="C350" s="111" t="str">
        <f>IF(C$1=[1]!T.in.A[[#This Row],[oo2]],1,"")</f>
        <v/>
      </c>
      <c r="D350" s="112" t="str">
        <f>IF(Tab.o1[[#This Row],[a1]]=1,IF(SUM(C350:C351)=0,0,IF(SUM(C349:C350)=1,1,IF(SUM(C349:C351)&gt;1,D349+1,0))),"")</f>
        <v/>
      </c>
      <c r="E350" s="113" t="str">
        <f>IF(Tab.o1[[#This Row],[a1]]=1,[1]!T.in.A[[#This Row],[oo1]],"")</f>
        <v/>
      </c>
      <c r="F350" s="113" t="str">
        <f>IF(Tab.o1[[#This Row],[a1]]=1,[1]!T.in.A[[#This Row],[pp1]],"")</f>
        <v/>
      </c>
      <c r="G350" s="114" t="str">
        <f>IF(Tab.o1[[#This Row],[a1]]=1,G$2+IF(G$1=1,0,Tab.o1[[#This Row],[.x1]])+[1]!T.in.A[[#This Row],[oo3]],"")</f>
        <v/>
      </c>
      <c r="H350" s="115" t="str">
        <f>IF(Tab.o1[[#This Row],[a1]]=1,IF(H$2=0,0,IF(G$1=1,0,Tab.o1[[#This Row],[.x1]])+[1]!T.in.A[[#This Row],[oo4]]),"")</f>
        <v/>
      </c>
      <c r="I350" s="116" t="str">
        <f>IF(Tab.o1[[#This Row],[a1]]=1,IF(J$2=0,Tab.o1[[#This Row],[MED]],Tab.o1[[#This Row],[MOD]]),"")</f>
        <v/>
      </c>
      <c r="J350" s="116" t="str">
        <f>IF(Tab.o1[[#This Row],[a1]]=1,((Tab.o1[[#This Row],[DIF_Target.]]-AVERAGE(Tab.o1[DIF_Target.]))/_xlfn.STDEV.P(Tab.o1[DIF_Target.])),"")</f>
        <v/>
      </c>
      <c r="K350" s="117" t="str">
        <f>IF(Tab.o1[[#This Row],[a1]]=1,IF(J$2=0,Tab.o1[[#This Row],[MOD]]-Tab.o1[[#This Row],[B]],IF(J$2=1,0,-Tab.o1[[#This Row],[MED]])+Tab.o1[[#This Row],[B]]),"")</f>
        <v/>
      </c>
      <c r="L350" s="117" t="str">
        <f ca="1">IF(Tab.o1[[#This Row],[DIF_Target]]=0,IF(L$2=0,Tab.o1[[#This Row],[DIF_Target]],AVERAGE(OFFSET(Tab.o1[[#This Row],[DIF_Target]],1,0,L$3,1)))/3,Tab.o1[[#This Row],[DIF_Target]])</f>
        <v/>
      </c>
      <c r="M350" s="118" t="str">
        <f>IF(Tab.o1[[#This Row],[a1]]=1,NORMSDIST(Tab.o1[[#This Row],[Za]]),"")</f>
        <v/>
      </c>
      <c r="N350" s="119" t="str">
        <f>IF(Tab.o1[[#This Row],[a1]]=1,((Tab.o1[[#This Row],[MedMod]]-AVERAGE(Tab.o1[MedMod]))/_xlfn.STDEV.P(Tab.o1[MedMod])*H$1205)+G$1205,"")</f>
        <v/>
      </c>
      <c r="O350" s="141" t="str">
        <f>IF(Tab.o1[[#This Row],[a1]]=1,Tab.o1[[#This Row],[Zb]]*_xlfn.STDEV.P(Tab.o1[MedMod])+AVERAGE(Tab.o1[MedMod]),"")</f>
        <v/>
      </c>
      <c r="P350" s="117" t="str">
        <f ca="1">IF(Tab.o1[[#This Row],[B]]=0,AVERAGE(OFFSET(Tab.o1[[#This Row],[B]],1,0,L$3,1)),Tab.o1[[#This Row],[B]])</f>
        <v/>
      </c>
      <c r="Q350" s="121" t="str">
        <f>IF(Tab.o1[[#This Row],[a1]]=1,NORMSDIST(Tab.o1[[#This Row],[Zb]]),"")</f>
        <v/>
      </c>
      <c r="R350" s="122" t="str">
        <f>IF(Tab.o1[[#This Row],[a1]]=1,((Tab.o1[[#This Row],[MedMod]]-AVERAGE(Tab.o1[MedMod]))/_xlfn.STDEV.P(Tab.o1[MedMod])*H$1203)+G$1203,"")</f>
        <v/>
      </c>
      <c r="S350" s="122" t="str">
        <f>IF(Tab.o1[[#This Row],[a1]]=1,((Tab.o1[[#This Row],[MedMod]]-AVERAGE(Tab.o1[MedMod]))/_xlfn.STDEV.P(Tab.o1[MedMod])*H$1204)+G$1204,"")</f>
        <v/>
      </c>
      <c r="T350" s="123" t="str">
        <f>IF(Tab.o1[[#This Row],[a1]]=1,Tab.o1[[#This Row],[Z-]]*_xlfn.STDEV.P(Tab.o1[B])+AVERAGE(Tab.o1[B]),"")</f>
        <v/>
      </c>
      <c r="U350" s="123" t="str">
        <f>IF(Tab.o1[[#This Row],[a1]]=1,Tab.o1[[#This Row],[z+]]*_xlfn.STDEV.P(Tab.o1[B])+AVERAGE(Tab.o1[B]),"")</f>
        <v/>
      </c>
      <c r="V350" s="124" t="str">
        <f>IF(Tab.o1[[#This Row],[a1]]=1,ABS((ABS(Tab.o1[[#This Row],[Red]]-Tab.o1[[#This Row],[Blue]]))),"")</f>
        <v/>
      </c>
      <c r="W350" s="125" t="str">
        <f>IF(Tab.o1[[#This Row],[a1]]=1,IF(W$3=0,1,Tab.o1[[#This Row],[Amp.]]*1/_xlfn.MINIFS(Tab.o1[Amp.],Tab.o1[Amp.],"&lt;&gt;0")),"")</f>
        <v/>
      </c>
      <c r="X350" s="126" t="str">
        <f>IF(Tab.o1[[#This Row],[a1]]=1,IF(ISNUMBER(Tab.o1[[#This Row],[i.]]),NORMDIST(Tab.o1[[#This Row],[Za]],0,1,FALSE)*Tab.o1[[#This Row],[i.]],AP$3),"")</f>
        <v/>
      </c>
      <c r="Y350" s="126" t="str">
        <f>IF(Tab.o1[[#This Row],[a1]]=1,0.01+0.94*Tab.o1[[#This Row],[PDF]]/MAX(Tab.o1[PDF]),"")</f>
        <v/>
      </c>
      <c r="Z350" s="126" t="str">
        <f>IF(Tab.o1[[#This Row],[a1]]=1,0.01+0.94*Tab.o1[[#This Row],[W1_PDF]]/MAX(Tab.o1[W1_PDF]),"")</f>
        <v/>
      </c>
      <c r="AA350" s="118" t="str">
        <f>IF(Tab.o1[[#This Row],[a1]]=1,ABS([1]!T.in.A[[#This Row],[oo6]]),"")</f>
        <v/>
      </c>
      <c r="AB350" s="127" t="str">
        <f>IF(Tab.o1[[#This Row],[a1]]=1,IF(AE$3=0,"",IF(AB$3=0,ABS([1]!T.in.A[[#This Row],[oo9]]),ABS(Tab.o1[[#This Row],[DIF_Target.]]*Tab.o1[[#This Row],[W1_PDF]]))),"")</f>
        <v/>
      </c>
      <c r="AC350" s="127" t="str">
        <f>IF(G$1=1,"",IF(Tab.o1[[#This Row],[a1]]=1,Tab.o1[[#This Row],[Wr]]^2,""))</f>
        <v/>
      </c>
      <c r="AD350" s="118" t="str">
        <f>IF(Tab.o1[[#This Row],[a1]]=1,IF(AE$3=0,"",Tab.o1[[#This Row],[Wr2]]/SUM(Tab.o1[Wr2])),"")</f>
        <v/>
      </c>
      <c r="AE350" s="128" t="str">
        <f>IF(Tab.o1[[#This Row],[a1]]=1,[1]!T.in.A[[#This Row],[oo10]],"")</f>
        <v/>
      </c>
      <c r="AF350" s="118" t="str">
        <f>IF(Tab.o1[[#This Row],[a1]]=1,ABS(Tab.o1[[#This Row],[DIF_Target.]]*Tab.o1[[#This Row],[PDF2]]*Tab.o1[[#This Row],[IN]]),"")</f>
        <v/>
      </c>
      <c r="AG350" s="129" t="str">
        <f>IF(Tab.o1[[#This Row],[a1]]=1,Tab.o1[[#This Row],[rW]]^2,"")</f>
        <v/>
      </c>
      <c r="AH350" s="130" t="str">
        <f>IF(Tab.o1[[#This Row],[a1]]=1,IF(AH$3=0,Tab.o1[[#This Row],[rW2]],0.01+0.94*Tab.o1[[#This Row],[rW2]]/SUM(Tab.o1[rW2])),"")</f>
        <v/>
      </c>
      <c r="AI350" s="128" t="str">
        <f>IF(Tab.o1[[#This Row],[a1]]=1,1/Tab.o1[[#This Row],[PDF]],"")</f>
        <v/>
      </c>
      <c r="AJ350" s="131" t="str">
        <f>IF(Tab.o1[[#This Row],[a1]]=1,[1]!T_AA[[#This Row],[IN'']]*[1]!T_AA[[#This Row],[Qde'']],"")</f>
        <v/>
      </c>
      <c r="AK350" s="132" t="str">
        <f>IF(Tab.o1[[#This Row],[a1]]=1,IF(AK$1=1,Tab.o1[[#This Row],[MED]]+Tab.o1[[#This Row],[MOD]]-Tab.o1[[#This Row],[MED]],""),"")</f>
        <v/>
      </c>
      <c r="AL350" s="133" t="str">
        <f>IF(Tab.o1[[#This Row],[a1]]=1,[1]!T.in.A[[#This Row],[oo16]],"")</f>
        <v/>
      </c>
      <c r="AM350" s="133" t="str">
        <f>IF(Tab.o1[[#This Row],[a1]]=1,IF(AM$3=1,[1]!T.in.A[[#This Row],[Σo16]],""),"")</f>
        <v/>
      </c>
      <c r="AN350" s="126" t="str">
        <f>IF(Tab.o1[[#This Row],[a1]]=1,[1]!T.in.A[[#This Row],[Σp5]],"")</f>
        <v/>
      </c>
      <c r="AO350" s="126" t="str">
        <f>IF(Tab.o1[[#This Row],[a1]]=1,IF(AO$3=1,[1]!T.in.A[[#This Row],[Σp5]],""),"")</f>
        <v/>
      </c>
      <c r="AP350" s="110" t="str">
        <f>IF(Tab.o1[[#This Row],[a1]]=1,IF(ISNUMBER(Tab.o1[[#This Row],[i.]]),NORMDIST(Tab.o1[[#This Row],[Za]],0,1,FALSE)*Tab.o1[[#This Row],[i.]],0),"")</f>
        <v/>
      </c>
      <c r="AQ350" s="125" t="str">
        <f>IF(Tab.o1[[#This Row],[a1]]=1,ABS(Tab.o1[[#This Row],[MOD]]-AVERAGE(Tab.o1[MOD])),"")</f>
        <v/>
      </c>
      <c r="AR350" s="134" t="str">
        <f>IF(Tab.o1[[#This Row],[a1]]=1,Tab.o1[[#This Row],[OBS]]/SUM(Tab.o1[OBS]),"")</f>
        <v/>
      </c>
      <c r="AS350" s="135" t="str">
        <f>IF(ISNUMBER(Tab.o1[[#This Row],[a1]]),ROW()-4,"")</f>
        <v/>
      </c>
      <c r="AT350" s="136" t="str">
        <f>Tab.o1[[#This Row],[MOD]]</f>
        <v/>
      </c>
      <c r="AU350" s="137" t="str">
        <f t="shared" si="21"/>
        <v/>
      </c>
      <c r="AV350" s="138" t="str">
        <f t="shared" si="22"/>
        <v/>
      </c>
      <c r="AW350" s="138" t="str">
        <f t="shared" si="23"/>
        <v/>
      </c>
      <c r="AX350" s="139" t="str">
        <f>[1]!T.in.A[[#This Row],[ID_T_manu]]</f>
        <v/>
      </c>
      <c r="AY350" s="140" t="str">
        <f>IF(ISNUMBER(Tab.o1[[#This Row],[a1]]),IF(AND(Tab.o1[[#This Row],[a1]]=1,Tab.o1[[#This Row],[b1]]&lt;=AY$4),#REF!,AY349),"")</f>
        <v/>
      </c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</row>
    <row r="351" spans="1:79" ht="15.75" hidden="1">
      <c r="A351" s="109">
        <v>-1.0000000000000002E-6</v>
      </c>
      <c r="B351" s="110">
        <f t="shared" si="20"/>
        <v>351</v>
      </c>
      <c r="C351" s="111" t="str">
        <f>IF(C$1=[1]!T.in.A[[#This Row],[oo2]],1,"")</f>
        <v/>
      </c>
      <c r="D351" s="112" t="str">
        <f>IF(Tab.o1[[#This Row],[a1]]=1,IF(SUM(C351:C352)=0,0,IF(SUM(C350:C351)=1,1,IF(SUM(C350:C352)&gt;1,D350+1,0))),"")</f>
        <v/>
      </c>
      <c r="E351" s="113" t="str">
        <f>IF(Tab.o1[[#This Row],[a1]]=1,[1]!T.in.A[[#This Row],[oo1]],"")</f>
        <v/>
      </c>
      <c r="F351" s="113" t="str">
        <f>IF(Tab.o1[[#This Row],[a1]]=1,[1]!T.in.A[[#This Row],[pp1]],"")</f>
        <v/>
      </c>
      <c r="G351" s="114" t="str">
        <f>IF(Tab.o1[[#This Row],[a1]]=1,G$2+IF(G$1=1,0,Tab.o1[[#This Row],[.x1]])+[1]!T.in.A[[#This Row],[oo3]],"")</f>
        <v/>
      </c>
      <c r="H351" s="115" t="str">
        <f>IF(Tab.o1[[#This Row],[a1]]=1,IF(H$2=0,0,IF(G$1=1,0,Tab.o1[[#This Row],[.x1]])+[1]!T.in.A[[#This Row],[oo4]]),"")</f>
        <v/>
      </c>
      <c r="I351" s="116" t="str">
        <f>IF(Tab.o1[[#This Row],[a1]]=1,IF(J$2=0,Tab.o1[[#This Row],[MED]],Tab.o1[[#This Row],[MOD]]),"")</f>
        <v/>
      </c>
      <c r="J351" s="116" t="str">
        <f>IF(Tab.o1[[#This Row],[a1]]=1,((Tab.o1[[#This Row],[DIF_Target.]]-AVERAGE(Tab.o1[DIF_Target.]))/_xlfn.STDEV.P(Tab.o1[DIF_Target.])),"")</f>
        <v/>
      </c>
      <c r="K351" s="117" t="str">
        <f>IF(Tab.o1[[#This Row],[a1]]=1,IF(J$2=0,Tab.o1[[#This Row],[MOD]]-Tab.o1[[#This Row],[B]],IF(J$2=1,0,-Tab.o1[[#This Row],[MED]])+Tab.o1[[#This Row],[B]]),"")</f>
        <v/>
      </c>
      <c r="L351" s="117" t="str">
        <f ca="1">IF(Tab.o1[[#This Row],[DIF_Target]]=0,IF(L$2=0,Tab.o1[[#This Row],[DIF_Target]],AVERAGE(OFFSET(Tab.o1[[#This Row],[DIF_Target]],1,0,L$3,1)))/3,Tab.o1[[#This Row],[DIF_Target]])</f>
        <v/>
      </c>
      <c r="M351" s="118" t="str">
        <f>IF(Tab.o1[[#This Row],[a1]]=1,NORMSDIST(Tab.o1[[#This Row],[Za]]),"")</f>
        <v/>
      </c>
      <c r="N351" s="119" t="str">
        <f>IF(Tab.o1[[#This Row],[a1]]=1,((Tab.o1[[#This Row],[MedMod]]-AVERAGE(Tab.o1[MedMod]))/_xlfn.STDEV.P(Tab.o1[MedMod])*H$1205)+G$1205,"")</f>
        <v/>
      </c>
      <c r="O351" s="141" t="str">
        <f>IF(Tab.o1[[#This Row],[a1]]=1,Tab.o1[[#This Row],[Zb]]*_xlfn.STDEV.P(Tab.o1[MedMod])+AVERAGE(Tab.o1[MedMod]),"")</f>
        <v/>
      </c>
      <c r="P351" s="117" t="str">
        <f ca="1">IF(Tab.o1[[#This Row],[B]]=0,AVERAGE(OFFSET(Tab.o1[[#This Row],[B]],1,0,L$3,1)),Tab.o1[[#This Row],[B]])</f>
        <v/>
      </c>
      <c r="Q351" s="121" t="str">
        <f>IF(Tab.o1[[#This Row],[a1]]=1,NORMSDIST(Tab.o1[[#This Row],[Zb]]),"")</f>
        <v/>
      </c>
      <c r="R351" s="122" t="str">
        <f>IF(Tab.o1[[#This Row],[a1]]=1,((Tab.o1[[#This Row],[MedMod]]-AVERAGE(Tab.o1[MedMod]))/_xlfn.STDEV.P(Tab.o1[MedMod])*H$1203)+G$1203,"")</f>
        <v/>
      </c>
      <c r="S351" s="122" t="str">
        <f>IF(Tab.o1[[#This Row],[a1]]=1,((Tab.o1[[#This Row],[MedMod]]-AVERAGE(Tab.o1[MedMod]))/_xlfn.STDEV.P(Tab.o1[MedMod])*H$1204)+G$1204,"")</f>
        <v/>
      </c>
      <c r="T351" s="123" t="str">
        <f>IF(Tab.o1[[#This Row],[a1]]=1,Tab.o1[[#This Row],[Z-]]*_xlfn.STDEV.P(Tab.o1[B])+AVERAGE(Tab.o1[B]),"")</f>
        <v/>
      </c>
      <c r="U351" s="123" t="str">
        <f>IF(Tab.o1[[#This Row],[a1]]=1,Tab.o1[[#This Row],[z+]]*_xlfn.STDEV.P(Tab.o1[B])+AVERAGE(Tab.o1[B]),"")</f>
        <v/>
      </c>
      <c r="V351" s="124" t="str">
        <f>IF(Tab.o1[[#This Row],[a1]]=1,ABS((ABS(Tab.o1[[#This Row],[Red]]-Tab.o1[[#This Row],[Blue]]))),"")</f>
        <v/>
      </c>
      <c r="W351" s="125" t="str">
        <f>IF(Tab.o1[[#This Row],[a1]]=1,IF(W$3=0,1,Tab.o1[[#This Row],[Amp.]]*1/_xlfn.MINIFS(Tab.o1[Amp.],Tab.o1[Amp.],"&lt;&gt;0")),"")</f>
        <v/>
      </c>
      <c r="X351" s="126" t="str">
        <f>IF(Tab.o1[[#This Row],[a1]]=1,IF(ISNUMBER(Tab.o1[[#This Row],[i.]]),NORMDIST(Tab.o1[[#This Row],[Za]],0,1,FALSE)*Tab.o1[[#This Row],[i.]],AP$3),"")</f>
        <v/>
      </c>
      <c r="Y351" s="126" t="str">
        <f>IF(Tab.o1[[#This Row],[a1]]=1,0.01+0.94*Tab.o1[[#This Row],[PDF]]/MAX(Tab.o1[PDF]),"")</f>
        <v/>
      </c>
      <c r="Z351" s="126" t="str">
        <f>IF(Tab.o1[[#This Row],[a1]]=1,0.01+0.94*Tab.o1[[#This Row],[W1_PDF]]/MAX(Tab.o1[W1_PDF]),"")</f>
        <v/>
      </c>
      <c r="AA351" s="118" t="str">
        <f>IF(Tab.o1[[#This Row],[a1]]=1,ABS([1]!T.in.A[[#This Row],[oo6]]),"")</f>
        <v/>
      </c>
      <c r="AB351" s="127" t="str">
        <f>IF(Tab.o1[[#This Row],[a1]]=1,IF(AE$3=0,"",IF(AB$3=0,ABS([1]!T.in.A[[#This Row],[oo9]]),ABS(Tab.o1[[#This Row],[DIF_Target.]]*Tab.o1[[#This Row],[W1_PDF]]))),"")</f>
        <v/>
      </c>
      <c r="AC351" s="127" t="str">
        <f>IF(G$1=1,"",IF(Tab.o1[[#This Row],[a1]]=1,Tab.o1[[#This Row],[Wr]]^2,""))</f>
        <v/>
      </c>
      <c r="AD351" s="118" t="str">
        <f>IF(Tab.o1[[#This Row],[a1]]=1,IF(AE$3=0,"",Tab.o1[[#This Row],[Wr2]]/SUM(Tab.o1[Wr2])),"")</f>
        <v/>
      </c>
      <c r="AE351" s="128" t="str">
        <f>IF(Tab.o1[[#This Row],[a1]]=1,[1]!T.in.A[[#This Row],[oo10]],"")</f>
        <v/>
      </c>
      <c r="AF351" s="118" t="str">
        <f>IF(Tab.o1[[#This Row],[a1]]=1,ABS(Tab.o1[[#This Row],[DIF_Target.]]*Tab.o1[[#This Row],[PDF2]]*Tab.o1[[#This Row],[IN]]),"")</f>
        <v/>
      </c>
      <c r="AG351" s="129" t="str">
        <f>IF(Tab.o1[[#This Row],[a1]]=1,Tab.o1[[#This Row],[rW]]^2,"")</f>
        <v/>
      </c>
      <c r="AH351" s="130" t="str">
        <f>IF(Tab.o1[[#This Row],[a1]]=1,IF(AH$3=0,Tab.o1[[#This Row],[rW2]],0.01+0.94*Tab.o1[[#This Row],[rW2]]/SUM(Tab.o1[rW2])),"")</f>
        <v/>
      </c>
      <c r="AI351" s="128" t="str">
        <f>IF(Tab.o1[[#This Row],[a1]]=1,1/Tab.o1[[#This Row],[PDF]],"")</f>
        <v/>
      </c>
      <c r="AJ351" s="131" t="str">
        <f>IF(Tab.o1[[#This Row],[a1]]=1,[1]!T_AA[[#This Row],[IN'']]*[1]!T_AA[[#This Row],[Qde'']],"")</f>
        <v/>
      </c>
      <c r="AK351" s="132" t="str">
        <f>IF(Tab.o1[[#This Row],[a1]]=1,IF(AK$1=1,Tab.o1[[#This Row],[MED]]+Tab.o1[[#This Row],[MOD]]-Tab.o1[[#This Row],[MED]],""),"")</f>
        <v/>
      </c>
      <c r="AL351" s="133" t="str">
        <f>IF(Tab.o1[[#This Row],[a1]]=1,[1]!T.in.A[[#This Row],[oo16]],"")</f>
        <v/>
      </c>
      <c r="AM351" s="133" t="str">
        <f>IF(Tab.o1[[#This Row],[a1]]=1,IF(AM$3=1,[1]!T.in.A[[#This Row],[Σo16]],""),"")</f>
        <v/>
      </c>
      <c r="AN351" s="126" t="str">
        <f>IF(Tab.o1[[#This Row],[a1]]=1,[1]!T.in.A[[#This Row],[Σp5]],"")</f>
        <v/>
      </c>
      <c r="AO351" s="126" t="str">
        <f>IF(Tab.o1[[#This Row],[a1]]=1,IF(AO$3=1,[1]!T.in.A[[#This Row],[Σp5]],""),"")</f>
        <v/>
      </c>
      <c r="AP351" s="110" t="str">
        <f>IF(Tab.o1[[#This Row],[a1]]=1,IF(ISNUMBER(Tab.o1[[#This Row],[i.]]),NORMDIST(Tab.o1[[#This Row],[Za]],0,1,FALSE)*Tab.o1[[#This Row],[i.]],0),"")</f>
        <v/>
      </c>
      <c r="AQ351" s="125" t="str">
        <f>IF(Tab.o1[[#This Row],[a1]]=1,ABS(Tab.o1[[#This Row],[MOD]]-AVERAGE(Tab.o1[MOD])),"")</f>
        <v/>
      </c>
      <c r="AR351" s="134" t="str">
        <f>IF(Tab.o1[[#This Row],[a1]]=1,Tab.o1[[#This Row],[OBS]]/SUM(Tab.o1[OBS]),"")</f>
        <v/>
      </c>
      <c r="AS351" s="135" t="str">
        <f>IF(ISNUMBER(Tab.o1[[#This Row],[a1]]),ROW()-4,"")</f>
        <v/>
      </c>
      <c r="AT351" s="136" t="str">
        <f>Tab.o1[[#This Row],[MOD]]</f>
        <v/>
      </c>
      <c r="AU351" s="137" t="str">
        <f t="shared" si="21"/>
        <v/>
      </c>
      <c r="AV351" s="138" t="str">
        <f t="shared" si="22"/>
        <v/>
      </c>
      <c r="AW351" s="138" t="str">
        <f t="shared" si="23"/>
        <v/>
      </c>
      <c r="AX351" s="139" t="str">
        <f>[1]!T.in.A[[#This Row],[ID_T_manu]]</f>
        <v/>
      </c>
      <c r="AY351" s="140" t="str">
        <f>IF(ISNUMBER(Tab.o1[[#This Row],[a1]]),IF(AND(Tab.o1[[#This Row],[a1]]=1,Tab.o1[[#This Row],[b1]]&lt;=AY$4),#REF!,AY350),"")</f>
        <v/>
      </c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</row>
    <row r="352" spans="1:79" ht="15.75" hidden="1">
      <c r="A352" s="109">
        <v>2.9999999999999997E-6</v>
      </c>
      <c r="B352" s="110">
        <f t="shared" si="20"/>
        <v>352</v>
      </c>
      <c r="C352" s="111" t="str">
        <f>IF(C$1=[1]!T.in.A[[#This Row],[oo2]],1,"")</f>
        <v/>
      </c>
      <c r="D352" s="112" t="str">
        <f>IF(Tab.o1[[#This Row],[a1]]=1,IF(SUM(C352:C353)=0,0,IF(SUM(C351:C352)=1,1,IF(SUM(C351:C353)&gt;1,D351+1,0))),"")</f>
        <v/>
      </c>
      <c r="E352" s="113" t="str">
        <f>IF(Tab.o1[[#This Row],[a1]]=1,[1]!T.in.A[[#This Row],[oo1]],"")</f>
        <v/>
      </c>
      <c r="F352" s="113" t="str">
        <f>IF(Tab.o1[[#This Row],[a1]]=1,[1]!T.in.A[[#This Row],[pp1]],"")</f>
        <v/>
      </c>
      <c r="G352" s="114" t="str">
        <f>IF(Tab.o1[[#This Row],[a1]]=1,G$2+IF(G$1=1,0,Tab.o1[[#This Row],[.x1]])+[1]!T.in.A[[#This Row],[oo3]],"")</f>
        <v/>
      </c>
      <c r="H352" s="115" t="str">
        <f>IF(Tab.o1[[#This Row],[a1]]=1,IF(H$2=0,0,IF(G$1=1,0,Tab.o1[[#This Row],[.x1]])+[1]!T.in.A[[#This Row],[oo4]]),"")</f>
        <v/>
      </c>
      <c r="I352" s="116" t="str">
        <f>IF(Tab.o1[[#This Row],[a1]]=1,IF(J$2=0,Tab.o1[[#This Row],[MED]],Tab.o1[[#This Row],[MOD]]),"")</f>
        <v/>
      </c>
      <c r="J352" s="116" t="str">
        <f>IF(Tab.o1[[#This Row],[a1]]=1,((Tab.o1[[#This Row],[DIF_Target.]]-AVERAGE(Tab.o1[DIF_Target.]))/_xlfn.STDEV.P(Tab.o1[DIF_Target.])),"")</f>
        <v/>
      </c>
      <c r="K352" s="117" t="str">
        <f>IF(Tab.o1[[#This Row],[a1]]=1,IF(J$2=0,Tab.o1[[#This Row],[MOD]]-Tab.o1[[#This Row],[B]],IF(J$2=1,0,-Tab.o1[[#This Row],[MED]])+Tab.o1[[#This Row],[B]]),"")</f>
        <v/>
      </c>
      <c r="L352" s="117" t="str">
        <f ca="1">IF(Tab.o1[[#This Row],[DIF_Target]]=0,IF(L$2=0,Tab.o1[[#This Row],[DIF_Target]],AVERAGE(OFFSET(Tab.o1[[#This Row],[DIF_Target]],1,0,L$3,1)))/3,Tab.o1[[#This Row],[DIF_Target]])</f>
        <v/>
      </c>
      <c r="M352" s="118" t="str">
        <f>IF(Tab.o1[[#This Row],[a1]]=1,NORMSDIST(Tab.o1[[#This Row],[Za]]),"")</f>
        <v/>
      </c>
      <c r="N352" s="119" t="str">
        <f>IF(Tab.o1[[#This Row],[a1]]=1,((Tab.o1[[#This Row],[MedMod]]-AVERAGE(Tab.o1[MedMod]))/_xlfn.STDEV.P(Tab.o1[MedMod])*H$1205)+G$1205,"")</f>
        <v/>
      </c>
      <c r="O352" s="141" t="str">
        <f>IF(Tab.o1[[#This Row],[a1]]=1,Tab.o1[[#This Row],[Zb]]*_xlfn.STDEV.P(Tab.o1[MedMod])+AVERAGE(Tab.o1[MedMod]),"")</f>
        <v/>
      </c>
      <c r="P352" s="117" t="str">
        <f ca="1">IF(Tab.o1[[#This Row],[B]]=0,AVERAGE(OFFSET(Tab.o1[[#This Row],[B]],1,0,L$3,1)),Tab.o1[[#This Row],[B]])</f>
        <v/>
      </c>
      <c r="Q352" s="121" t="str">
        <f>IF(Tab.o1[[#This Row],[a1]]=1,NORMSDIST(Tab.o1[[#This Row],[Zb]]),"")</f>
        <v/>
      </c>
      <c r="R352" s="122" t="str">
        <f>IF(Tab.o1[[#This Row],[a1]]=1,((Tab.o1[[#This Row],[MedMod]]-AVERAGE(Tab.o1[MedMod]))/_xlfn.STDEV.P(Tab.o1[MedMod])*H$1203)+G$1203,"")</f>
        <v/>
      </c>
      <c r="S352" s="122" t="str">
        <f>IF(Tab.o1[[#This Row],[a1]]=1,((Tab.o1[[#This Row],[MedMod]]-AVERAGE(Tab.o1[MedMod]))/_xlfn.STDEV.P(Tab.o1[MedMod])*H$1204)+G$1204,"")</f>
        <v/>
      </c>
      <c r="T352" s="123" t="str">
        <f>IF(Tab.o1[[#This Row],[a1]]=1,Tab.o1[[#This Row],[Z-]]*_xlfn.STDEV.P(Tab.o1[B])+AVERAGE(Tab.o1[B]),"")</f>
        <v/>
      </c>
      <c r="U352" s="123" t="str">
        <f>IF(Tab.o1[[#This Row],[a1]]=1,Tab.o1[[#This Row],[z+]]*_xlfn.STDEV.P(Tab.o1[B])+AVERAGE(Tab.o1[B]),"")</f>
        <v/>
      </c>
      <c r="V352" s="124" t="str">
        <f>IF(Tab.o1[[#This Row],[a1]]=1,ABS((ABS(Tab.o1[[#This Row],[Red]]-Tab.o1[[#This Row],[Blue]]))),"")</f>
        <v/>
      </c>
      <c r="W352" s="125" t="str">
        <f>IF(Tab.o1[[#This Row],[a1]]=1,IF(W$3=0,1,Tab.o1[[#This Row],[Amp.]]*1/_xlfn.MINIFS(Tab.o1[Amp.],Tab.o1[Amp.],"&lt;&gt;0")),"")</f>
        <v/>
      </c>
      <c r="X352" s="126" t="str">
        <f>IF(Tab.o1[[#This Row],[a1]]=1,IF(ISNUMBER(Tab.o1[[#This Row],[i.]]),NORMDIST(Tab.o1[[#This Row],[Za]],0,1,FALSE)*Tab.o1[[#This Row],[i.]],AP$3),"")</f>
        <v/>
      </c>
      <c r="Y352" s="126" t="str">
        <f>IF(Tab.o1[[#This Row],[a1]]=1,0.01+0.94*Tab.o1[[#This Row],[PDF]]/MAX(Tab.o1[PDF]),"")</f>
        <v/>
      </c>
      <c r="Z352" s="126" t="str">
        <f>IF(Tab.o1[[#This Row],[a1]]=1,0.01+0.94*Tab.o1[[#This Row],[W1_PDF]]/MAX(Tab.o1[W1_PDF]),"")</f>
        <v/>
      </c>
      <c r="AA352" s="118" t="str">
        <f>IF(Tab.o1[[#This Row],[a1]]=1,ABS([1]!T.in.A[[#This Row],[oo6]]),"")</f>
        <v/>
      </c>
      <c r="AB352" s="127" t="str">
        <f>IF(Tab.o1[[#This Row],[a1]]=1,IF(AE$3=0,"",IF(AB$3=0,ABS([1]!T.in.A[[#This Row],[oo9]]),ABS(Tab.o1[[#This Row],[DIF_Target.]]*Tab.o1[[#This Row],[W1_PDF]]))),"")</f>
        <v/>
      </c>
      <c r="AC352" s="127" t="str">
        <f>IF(G$1=1,"",IF(Tab.o1[[#This Row],[a1]]=1,Tab.o1[[#This Row],[Wr]]^2,""))</f>
        <v/>
      </c>
      <c r="AD352" s="118" t="str">
        <f>IF(Tab.o1[[#This Row],[a1]]=1,IF(AE$3=0,"",Tab.o1[[#This Row],[Wr2]]/SUM(Tab.o1[Wr2])),"")</f>
        <v/>
      </c>
      <c r="AE352" s="128" t="str">
        <f>IF(Tab.o1[[#This Row],[a1]]=1,[1]!T.in.A[[#This Row],[oo10]],"")</f>
        <v/>
      </c>
      <c r="AF352" s="118" t="str">
        <f>IF(Tab.o1[[#This Row],[a1]]=1,ABS(Tab.o1[[#This Row],[DIF_Target.]]*Tab.o1[[#This Row],[PDF2]]*Tab.o1[[#This Row],[IN]]),"")</f>
        <v/>
      </c>
      <c r="AG352" s="129" t="str">
        <f>IF(Tab.o1[[#This Row],[a1]]=1,Tab.o1[[#This Row],[rW]]^2,"")</f>
        <v/>
      </c>
      <c r="AH352" s="130" t="str">
        <f>IF(Tab.o1[[#This Row],[a1]]=1,IF(AH$3=0,Tab.o1[[#This Row],[rW2]],0.01+0.94*Tab.o1[[#This Row],[rW2]]/SUM(Tab.o1[rW2])),"")</f>
        <v/>
      </c>
      <c r="AI352" s="128" t="str">
        <f>IF(Tab.o1[[#This Row],[a1]]=1,1/Tab.o1[[#This Row],[PDF]],"")</f>
        <v/>
      </c>
      <c r="AJ352" s="131" t="str">
        <f>IF(Tab.o1[[#This Row],[a1]]=1,[1]!T_AA[[#This Row],[IN'']]*[1]!T_AA[[#This Row],[Qde'']],"")</f>
        <v/>
      </c>
      <c r="AK352" s="132" t="str">
        <f>IF(Tab.o1[[#This Row],[a1]]=1,IF(AK$1=1,Tab.o1[[#This Row],[MED]]+Tab.o1[[#This Row],[MOD]]-Tab.o1[[#This Row],[MED]],""),"")</f>
        <v/>
      </c>
      <c r="AL352" s="133" t="str">
        <f>IF(Tab.o1[[#This Row],[a1]]=1,[1]!T.in.A[[#This Row],[oo16]],"")</f>
        <v/>
      </c>
      <c r="AM352" s="133" t="str">
        <f>IF(Tab.o1[[#This Row],[a1]]=1,IF(AM$3=1,[1]!T.in.A[[#This Row],[Σo16]],""),"")</f>
        <v/>
      </c>
      <c r="AN352" s="126" t="str">
        <f>IF(Tab.o1[[#This Row],[a1]]=1,[1]!T.in.A[[#This Row],[Σp5]],"")</f>
        <v/>
      </c>
      <c r="AO352" s="126" t="str">
        <f>IF(Tab.o1[[#This Row],[a1]]=1,IF(AO$3=1,[1]!T.in.A[[#This Row],[Σp5]],""),"")</f>
        <v/>
      </c>
      <c r="AP352" s="110" t="str">
        <f>IF(Tab.o1[[#This Row],[a1]]=1,IF(ISNUMBER(Tab.o1[[#This Row],[i.]]),NORMDIST(Tab.o1[[#This Row],[Za]],0,1,FALSE)*Tab.o1[[#This Row],[i.]],0),"")</f>
        <v/>
      </c>
      <c r="AQ352" s="125" t="str">
        <f>IF(Tab.o1[[#This Row],[a1]]=1,ABS(Tab.o1[[#This Row],[MOD]]-AVERAGE(Tab.o1[MOD])),"")</f>
        <v/>
      </c>
      <c r="AR352" s="134" t="str">
        <f>IF(Tab.o1[[#This Row],[a1]]=1,Tab.o1[[#This Row],[OBS]]/SUM(Tab.o1[OBS]),"")</f>
        <v/>
      </c>
      <c r="AS352" s="135" t="str">
        <f>IF(ISNUMBER(Tab.o1[[#This Row],[a1]]),ROW()-4,"")</f>
        <v/>
      </c>
      <c r="AT352" s="136" t="str">
        <f>Tab.o1[[#This Row],[MOD]]</f>
        <v/>
      </c>
      <c r="AU352" s="137" t="str">
        <f t="shared" si="21"/>
        <v/>
      </c>
      <c r="AV352" s="138" t="str">
        <f t="shared" si="22"/>
        <v/>
      </c>
      <c r="AW352" s="138" t="str">
        <f t="shared" si="23"/>
        <v/>
      </c>
      <c r="AX352" s="139" t="str">
        <f>[1]!T.in.A[[#This Row],[ID_T_manu]]</f>
        <v/>
      </c>
      <c r="AY352" s="140" t="str">
        <f>IF(ISNUMBER(Tab.o1[[#This Row],[a1]]),IF(AND(Tab.o1[[#This Row],[a1]]=1,Tab.o1[[#This Row],[b1]]&lt;=AY$4),#REF!,AY351),"")</f>
        <v/>
      </c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</row>
    <row r="353" spans="1:79" ht="15.75" hidden="1">
      <c r="A353" s="109">
        <v>4.0000000000000007E-6</v>
      </c>
      <c r="B353" s="110">
        <f t="shared" si="20"/>
        <v>353</v>
      </c>
      <c r="C353" s="111" t="str">
        <f>IF(C$1=[1]!T.in.A[[#This Row],[oo2]],1,"")</f>
        <v/>
      </c>
      <c r="D353" s="112" t="str">
        <f>IF(Tab.o1[[#This Row],[a1]]=1,IF(SUM(C353:C354)=0,0,IF(SUM(C352:C353)=1,1,IF(SUM(C352:C354)&gt;1,D352+1,0))),"")</f>
        <v/>
      </c>
      <c r="E353" s="113" t="str">
        <f>IF(Tab.o1[[#This Row],[a1]]=1,[1]!T.in.A[[#This Row],[oo1]],"")</f>
        <v/>
      </c>
      <c r="F353" s="113" t="str">
        <f>IF(Tab.o1[[#This Row],[a1]]=1,[1]!T.in.A[[#This Row],[pp1]],"")</f>
        <v/>
      </c>
      <c r="G353" s="114" t="str">
        <f>IF(Tab.o1[[#This Row],[a1]]=1,G$2+IF(G$1=1,0,Tab.o1[[#This Row],[.x1]])+[1]!T.in.A[[#This Row],[oo3]],"")</f>
        <v/>
      </c>
      <c r="H353" s="115" t="str">
        <f>IF(Tab.o1[[#This Row],[a1]]=1,IF(H$2=0,0,IF(G$1=1,0,Tab.o1[[#This Row],[.x1]])+[1]!T.in.A[[#This Row],[oo4]]),"")</f>
        <v/>
      </c>
      <c r="I353" s="116" t="str">
        <f>IF(Tab.o1[[#This Row],[a1]]=1,IF(J$2=0,Tab.o1[[#This Row],[MED]],Tab.o1[[#This Row],[MOD]]),"")</f>
        <v/>
      </c>
      <c r="J353" s="116" t="str">
        <f>IF(Tab.o1[[#This Row],[a1]]=1,((Tab.o1[[#This Row],[DIF_Target.]]-AVERAGE(Tab.o1[DIF_Target.]))/_xlfn.STDEV.P(Tab.o1[DIF_Target.])),"")</f>
        <v/>
      </c>
      <c r="K353" s="117" t="str">
        <f>IF(Tab.o1[[#This Row],[a1]]=1,IF(J$2=0,Tab.o1[[#This Row],[MOD]]-Tab.o1[[#This Row],[B]],IF(J$2=1,0,-Tab.o1[[#This Row],[MED]])+Tab.o1[[#This Row],[B]]),"")</f>
        <v/>
      </c>
      <c r="L353" s="117" t="str">
        <f ca="1">IF(Tab.o1[[#This Row],[DIF_Target]]=0,IF(L$2=0,Tab.o1[[#This Row],[DIF_Target]],AVERAGE(OFFSET(Tab.o1[[#This Row],[DIF_Target]],1,0,L$3,1)))/3,Tab.o1[[#This Row],[DIF_Target]])</f>
        <v/>
      </c>
      <c r="M353" s="118" t="str">
        <f>IF(Tab.o1[[#This Row],[a1]]=1,NORMSDIST(Tab.o1[[#This Row],[Za]]),"")</f>
        <v/>
      </c>
      <c r="N353" s="119" t="str">
        <f>IF(Tab.o1[[#This Row],[a1]]=1,((Tab.o1[[#This Row],[MedMod]]-AVERAGE(Tab.o1[MedMod]))/_xlfn.STDEV.P(Tab.o1[MedMod])*H$1205)+G$1205,"")</f>
        <v/>
      </c>
      <c r="O353" s="141" t="str">
        <f>IF(Tab.o1[[#This Row],[a1]]=1,Tab.o1[[#This Row],[Zb]]*_xlfn.STDEV.P(Tab.o1[MedMod])+AVERAGE(Tab.o1[MedMod]),"")</f>
        <v/>
      </c>
      <c r="P353" s="117" t="str">
        <f ca="1">IF(Tab.o1[[#This Row],[B]]=0,AVERAGE(OFFSET(Tab.o1[[#This Row],[B]],1,0,L$3,1)),Tab.o1[[#This Row],[B]])</f>
        <v/>
      </c>
      <c r="Q353" s="121" t="str">
        <f>IF(Tab.o1[[#This Row],[a1]]=1,NORMSDIST(Tab.o1[[#This Row],[Zb]]),"")</f>
        <v/>
      </c>
      <c r="R353" s="122" t="str">
        <f>IF(Tab.o1[[#This Row],[a1]]=1,((Tab.o1[[#This Row],[MedMod]]-AVERAGE(Tab.o1[MedMod]))/_xlfn.STDEV.P(Tab.o1[MedMod])*H$1203)+G$1203,"")</f>
        <v/>
      </c>
      <c r="S353" s="122" t="str">
        <f>IF(Tab.o1[[#This Row],[a1]]=1,((Tab.o1[[#This Row],[MedMod]]-AVERAGE(Tab.o1[MedMod]))/_xlfn.STDEV.P(Tab.o1[MedMod])*H$1204)+G$1204,"")</f>
        <v/>
      </c>
      <c r="T353" s="123" t="str">
        <f>IF(Tab.o1[[#This Row],[a1]]=1,Tab.o1[[#This Row],[Z-]]*_xlfn.STDEV.P(Tab.o1[B])+AVERAGE(Tab.o1[B]),"")</f>
        <v/>
      </c>
      <c r="U353" s="123" t="str">
        <f>IF(Tab.o1[[#This Row],[a1]]=1,Tab.o1[[#This Row],[z+]]*_xlfn.STDEV.P(Tab.o1[B])+AVERAGE(Tab.o1[B]),"")</f>
        <v/>
      </c>
      <c r="V353" s="124" t="str">
        <f>IF(Tab.o1[[#This Row],[a1]]=1,ABS((ABS(Tab.o1[[#This Row],[Red]]-Tab.o1[[#This Row],[Blue]]))),"")</f>
        <v/>
      </c>
      <c r="W353" s="125" t="str">
        <f>IF(Tab.o1[[#This Row],[a1]]=1,IF(W$3=0,1,Tab.o1[[#This Row],[Amp.]]*1/_xlfn.MINIFS(Tab.o1[Amp.],Tab.o1[Amp.],"&lt;&gt;0")),"")</f>
        <v/>
      </c>
      <c r="X353" s="126" t="str">
        <f>IF(Tab.o1[[#This Row],[a1]]=1,IF(ISNUMBER(Tab.o1[[#This Row],[i.]]),NORMDIST(Tab.o1[[#This Row],[Za]],0,1,FALSE)*Tab.o1[[#This Row],[i.]],AP$3),"")</f>
        <v/>
      </c>
      <c r="Y353" s="126" t="str">
        <f>IF(Tab.o1[[#This Row],[a1]]=1,0.01+0.94*Tab.o1[[#This Row],[PDF]]/MAX(Tab.o1[PDF]),"")</f>
        <v/>
      </c>
      <c r="Z353" s="126" t="str">
        <f>IF(Tab.o1[[#This Row],[a1]]=1,0.01+0.94*Tab.o1[[#This Row],[W1_PDF]]/MAX(Tab.o1[W1_PDF]),"")</f>
        <v/>
      </c>
      <c r="AA353" s="118" t="str">
        <f>IF(Tab.o1[[#This Row],[a1]]=1,ABS([1]!T.in.A[[#This Row],[oo6]]),"")</f>
        <v/>
      </c>
      <c r="AB353" s="127" t="str">
        <f>IF(Tab.o1[[#This Row],[a1]]=1,IF(AE$3=0,"",IF(AB$3=0,ABS([1]!T.in.A[[#This Row],[oo9]]),ABS(Tab.o1[[#This Row],[DIF_Target.]]*Tab.o1[[#This Row],[W1_PDF]]))),"")</f>
        <v/>
      </c>
      <c r="AC353" s="127" t="str">
        <f>IF(G$1=1,"",IF(Tab.o1[[#This Row],[a1]]=1,Tab.o1[[#This Row],[Wr]]^2,""))</f>
        <v/>
      </c>
      <c r="AD353" s="118" t="str">
        <f>IF(Tab.o1[[#This Row],[a1]]=1,IF(AE$3=0,"",Tab.o1[[#This Row],[Wr2]]/SUM(Tab.o1[Wr2])),"")</f>
        <v/>
      </c>
      <c r="AE353" s="128" t="str">
        <f>IF(Tab.o1[[#This Row],[a1]]=1,[1]!T.in.A[[#This Row],[oo10]],"")</f>
        <v/>
      </c>
      <c r="AF353" s="118" t="str">
        <f>IF(Tab.o1[[#This Row],[a1]]=1,ABS(Tab.o1[[#This Row],[DIF_Target.]]*Tab.o1[[#This Row],[PDF2]]*Tab.o1[[#This Row],[IN]]),"")</f>
        <v/>
      </c>
      <c r="AG353" s="129" t="str">
        <f>IF(Tab.o1[[#This Row],[a1]]=1,Tab.o1[[#This Row],[rW]]^2,"")</f>
        <v/>
      </c>
      <c r="AH353" s="130" t="str">
        <f>IF(Tab.o1[[#This Row],[a1]]=1,IF(AH$3=0,Tab.o1[[#This Row],[rW2]],0.01+0.94*Tab.o1[[#This Row],[rW2]]/SUM(Tab.o1[rW2])),"")</f>
        <v/>
      </c>
      <c r="AI353" s="128" t="str">
        <f>IF(Tab.o1[[#This Row],[a1]]=1,1/Tab.o1[[#This Row],[PDF]],"")</f>
        <v/>
      </c>
      <c r="AJ353" s="131" t="str">
        <f>IF(Tab.o1[[#This Row],[a1]]=1,[1]!T_AA[[#This Row],[IN'']]*[1]!T_AA[[#This Row],[Qde'']],"")</f>
        <v/>
      </c>
      <c r="AK353" s="132" t="str">
        <f>IF(Tab.o1[[#This Row],[a1]]=1,IF(AK$1=1,Tab.o1[[#This Row],[MED]]+Tab.o1[[#This Row],[MOD]]-Tab.o1[[#This Row],[MED]],""),"")</f>
        <v/>
      </c>
      <c r="AL353" s="133" t="str">
        <f>IF(Tab.o1[[#This Row],[a1]]=1,[1]!T.in.A[[#This Row],[oo16]],"")</f>
        <v/>
      </c>
      <c r="AM353" s="133" t="str">
        <f>IF(Tab.o1[[#This Row],[a1]]=1,IF(AM$3=1,[1]!T.in.A[[#This Row],[Σo16]],""),"")</f>
        <v/>
      </c>
      <c r="AN353" s="126" t="str">
        <f>IF(Tab.o1[[#This Row],[a1]]=1,[1]!T.in.A[[#This Row],[Σp5]],"")</f>
        <v/>
      </c>
      <c r="AO353" s="126" t="str">
        <f>IF(Tab.o1[[#This Row],[a1]]=1,IF(AO$3=1,[1]!T.in.A[[#This Row],[Σp5]],""),"")</f>
        <v/>
      </c>
      <c r="AP353" s="110" t="str">
        <f>IF(Tab.o1[[#This Row],[a1]]=1,IF(ISNUMBER(Tab.o1[[#This Row],[i.]]),NORMDIST(Tab.o1[[#This Row],[Za]],0,1,FALSE)*Tab.o1[[#This Row],[i.]],0),"")</f>
        <v/>
      </c>
      <c r="AQ353" s="125" t="str">
        <f>IF(Tab.o1[[#This Row],[a1]]=1,ABS(Tab.o1[[#This Row],[MOD]]-AVERAGE(Tab.o1[MOD])),"")</f>
        <v/>
      </c>
      <c r="AR353" s="134" t="str">
        <f>IF(Tab.o1[[#This Row],[a1]]=1,Tab.o1[[#This Row],[OBS]]/SUM(Tab.o1[OBS]),"")</f>
        <v/>
      </c>
      <c r="AS353" s="135" t="str">
        <f>IF(ISNUMBER(Tab.o1[[#This Row],[a1]]),ROW()-4,"")</f>
        <v/>
      </c>
      <c r="AT353" s="136" t="str">
        <f>Tab.o1[[#This Row],[MOD]]</f>
        <v/>
      </c>
      <c r="AU353" s="137" t="str">
        <f t="shared" si="21"/>
        <v/>
      </c>
      <c r="AV353" s="138" t="str">
        <f t="shared" si="22"/>
        <v/>
      </c>
      <c r="AW353" s="138" t="str">
        <f t="shared" si="23"/>
        <v/>
      </c>
      <c r="AX353" s="139" t="str">
        <f>[1]!T.in.A[[#This Row],[ID_T_manu]]</f>
        <v/>
      </c>
      <c r="AY353" s="140" t="str">
        <f>IF(ISNUMBER(Tab.o1[[#This Row],[a1]]),IF(AND(Tab.o1[[#This Row],[a1]]=1,Tab.o1[[#This Row],[b1]]&lt;=AY$4),#REF!,AY352),"")</f>
        <v/>
      </c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</row>
    <row r="354" spans="1:79" ht="15.75" hidden="1">
      <c r="A354" s="109">
        <v>-5.0000000000000004E-6</v>
      </c>
      <c r="B354" s="110">
        <f t="shared" si="20"/>
        <v>354</v>
      </c>
      <c r="C354" s="111" t="str">
        <f>IF(C$1=[1]!T.in.A[[#This Row],[oo2]],1,"")</f>
        <v/>
      </c>
      <c r="D354" s="112" t="str">
        <f>IF(Tab.o1[[#This Row],[a1]]=1,IF(SUM(C354:C355)=0,0,IF(SUM(C353:C354)=1,1,IF(SUM(C353:C355)&gt;1,D353+1,0))),"")</f>
        <v/>
      </c>
      <c r="E354" s="113" t="str">
        <f>IF(Tab.o1[[#This Row],[a1]]=1,[1]!T.in.A[[#This Row],[oo1]],"")</f>
        <v/>
      </c>
      <c r="F354" s="113" t="str">
        <f>IF(Tab.o1[[#This Row],[a1]]=1,[1]!T.in.A[[#This Row],[pp1]],"")</f>
        <v/>
      </c>
      <c r="G354" s="114" t="str">
        <f>IF(Tab.o1[[#This Row],[a1]]=1,G$2+IF(G$1=1,0,Tab.o1[[#This Row],[.x1]])+[1]!T.in.A[[#This Row],[oo3]],"")</f>
        <v/>
      </c>
      <c r="H354" s="115" t="str">
        <f>IF(Tab.o1[[#This Row],[a1]]=1,IF(H$2=0,0,IF(G$1=1,0,Tab.o1[[#This Row],[.x1]])+[1]!T.in.A[[#This Row],[oo4]]),"")</f>
        <v/>
      </c>
      <c r="I354" s="116" t="str">
        <f>IF(Tab.o1[[#This Row],[a1]]=1,IF(J$2=0,Tab.o1[[#This Row],[MED]],Tab.o1[[#This Row],[MOD]]),"")</f>
        <v/>
      </c>
      <c r="J354" s="116" t="str">
        <f>IF(Tab.o1[[#This Row],[a1]]=1,((Tab.o1[[#This Row],[DIF_Target.]]-AVERAGE(Tab.o1[DIF_Target.]))/_xlfn.STDEV.P(Tab.o1[DIF_Target.])),"")</f>
        <v/>
      </c>
      <c r="K354" s="117" t="str">
        <f>IF(Tab.o1[[#This Row],[a1]]=1,IF(J$2=0,Tab.o1[[#This Row],[MOD]]-Tab.o1[[#This Row],[B]],IF(J$2=1,0,-Tab.o1[[#This Row],[MED]])+Tab.o1[[#This Row],[B]]),"")</f>
        <v/>
      </c>
      <c r="L354" s="117" t="str">
        <f ca="1">IF(Tab.o1[[#This Row],[DIF_Target]]=0,IF(L$2=0,Tab.o1[[#This Row],[DIF_Target]],AVERAGE(OFFSET(Tab.o1[[#This Row],[DIF_Target]],1,0,L$3,1)))/3,Tab.o1[[#This Row],[DIF_Target]])</f>
        <v/>
      </c>
      <c r="M354" s="118" t="str">
        <f>IF(Tab.o1[[#This Row],[a1]]=1,NORMSDIST(Tab.o1[[#This Row],[Za]]),"")</f>
        <v/>
      </c>
      <c r="N354" s="119" t="str">
        <f>IF(Tab.o1[[#This Row],[a1]]=1,((Tab.o1[[#This Row],[MedMod]]-AVERAGE(Tab.o1[MedMod]))/_xlfn.STDEV.P(Tab.o1[MedMod])*H$1205)+G$1205,"")</f>
        <v/>
      </c>
      <c r="O354" s="141" t="str">
        <f>IF(Tab.o1[[#This Row],[a1]]=1,Tab.o1[[#This Row],[Zb]]*_xlfn.STDEV.P(Tab.o1[MedMod])+AVERAGE(Tab.o1[MedMod]),"")</f>
        <v/>
      </c>
      <c r="P354" s="117" t="str">
        <f ca="1">IF(Tab.o1[[#This Row],[B]]=0,AVERAGE(OFFSET(Tab.o1[[#This Row],[B]],1,0,L$3,1)),Tab.o1[[#This Row],[B]])</f>
        <v/>
      </c>
      <c r="Q354" s="121" t="str">
        <f>IF(Tab.o1[[#This Row],[a1]]=1,NORMSDIST(Tab.o1[[#This Row],[Zb]]),"")</f>
        <v/>
      </c>
      <c r="R354" s="122" t="str">
        <f>IF(Tab.o1[[#This Row],[a1]]=1,((Tab.o1[[#This Row],[MedMod]]-AVERAGE(Tab.o1[MedMod]))/_xlfn.STDEV.P(Tab.o1[MedMod])*H$1203)+G$1203,"")</f>
        <v/>
      </c>
      <c r="S354" s="122" t="str">
        <f>IF(Tab.o1[[#This Row],[a1]]=1,((Tab.o1[[#This Row],[MedMod]]-AVERAGE(Tab.o1[MedMod]))/_xlfn.STDEV.P(Tab.o1[MedMod])*H$1204)+G$1204,"")</f>
        <v/>
      </c>
      <c r="T354" s="123" t="str">
        <f>IF(Tab.o1[[#This Row],[a1]]=1,Tab.o1[[#This Row],[Z-]]*_xlfn.STDEV.P(Tab.o1[B])+AVERAGE(Tab.o1[B]),"")</f>
        <v/>
      </c>
      <c r="U354" s="123" t="str">
        <f>IF(Tab.o1[[#This Row],[a1]]=1,Tab.o1[[#This Row],[z+]]*_xlfn.STDEV.P(Tab.o1[B])+AVERAGE(Tab.o1[B]),"")</f>
        <v/>
      </c>
      <c r="V354" s="124" t="str">
        <f>IF(Tab.o1[[#This Row],[a1]]=1,ABS((ABS(Tab.o1[[#This Row],[Red]]-Tab.o1[[#This Row],[Blue]]))),"")</f>
        <v/>
      </c>
      <c r="W354" s="125" t="str">
        <f>IF(Tab.o1[[#This Row],[a1]]=1,IF(W$3=0,1,Tab.o1[[#This Row],[Amp.]]*1/_xlfn.MINIFS(Tab.o1[Amp.],Tab.o1[Amp.],"&lt;&gt;0")),"")</f>
        <v/>
      </c>
      <c r="X354" s="126" t="str">
        <f>IF(Tab.o1[[#This Row],[a1]]=1,IF(ISNUMBER(Tab.o1[[#This Row],[i.]]),NORMDIST(Tab.o1[[#This Row],[Za]],0,1,FALSE)*Tab.o1[[#This Row],[i.]],AP$3),"")</f>
        <v/>
      </c>
      <c r="Y354" s="126" t="str">
        <f>IF(Tab.o1[[#This Row],[a1]]=1,0.01+0.94*Tab.o1[[#This Row],[PDF]]/MAX(Tab.o1[PDF]),"")</f>
        <v/>
      </c>
      <c r="Z354" s="126" t="str">
        <f>IF(Tab.o1[[#This Row],[a1]]=1,0.01+0.94*Tab.o1[[#This Row],[W1_PDF]]/MAX(Tab.o1[W1_PDF]),"")</f>
        <v/>
      </c>
      <c r="AA354" s="118" t="str">
        <f>IF(Tab.o1[[#This Row],[a1]]=1,ABS([1]!T.in.A[[#This Row],[oo6]]),"")</f>
        <v/>
      </c>
      <c r="AB354" s="127" t="str">
        <f>IF(Tab.o1[[#This Row],[a1]]=1,IF(AE$3=0,"",IF(AB$3=0,ABS([1]!T.in.A[[#This Row],[oo9]]),ABS(Tab.o1[[#This Row],[DIF_Target.]]*Tab.o1[[#This Row],[W1_PDF]]))),"")</f>
        <v/>
      </c>
      <c r="AC354" s="127" t="str">
        <f>IF(G$1=1,"",IF(Tab.o1[[#This Row],[a1]]=1,Tab.o1[[#This Row],[Wr]]^2,""))</f>
        <v/>
      </c>
      <c r="AD354" s="118" t="str">
        <f>IF(Tab.o1[[#This Row],[a1]]=1,IF(AE$3=0,"",Tab.o1[[#This Row],[Wr2]]/SUM(Tab.o1[Wr2])),"")</f>
        <v/>
      </c>
      <c r="AE354" s="128" t="str">
        <f>IF(Tab.o1[[#This Row],[a1]]=1,[1]!T.in.A[[#This Row],[oo10]],"")</f>
        <v/>
      </c>
      <c r="AF354" s="118" t="str">
        <f>IF(Tab.o1[[#This Row],[a1]]=1,ABS(Tab.o1[[#This Row],[DIF_Target.]]*Tab.o1[[#This Row],[PDF2]]*Tab.o1[[#This Row],[IN]]),"")</f>
        <v/>
      </c>
      <c r="AG354" s="129" t="str">
        <f>IF(Tab.o1[[#This Row],[a1]]=1,Tab.o1[[#This Row],[rW]]^2,"")</f>
        <v/>
      </c>
      <c r="AH354" s="130" t="str">
        <f>IF(Tab.o1[[#This Row],[a1]]=1,IF(AH$3=0,Tab.o1[[#This Row],[rW2]],0.01+0.94*Tab.o1[[#This Row],[rW2]]/SUM(Tab.o1[rW2])),"")</f>
        <v/>
      </c>
      <c r="AI354" s="128" t="str">
        <f>IF(Tab.o1[[#This Row],[a1]]=1,1/Tab.o1[[#This Row],[PDF]],"")</f>
        <v/>
      </c>
      <c r="AJ354" s="131" t="str">
        <f>IF(Tab.o1[[#This Row],[a1]]=1,[1]!T_AA[[#This Row],[IN'']]*[1]!T_AA[[#This Row],[Qde'']],"")</f>
        <v/>
      </c>
      <c r="AK354" s="132" t="str">
        <f>IF(Tab.o1[[#This Row],[a1]]=1,IF(AK$1=1,Tab.o1[[#This Row],[MED]]+Tab.o1[[#This Row],[MOD]]-Tab.o1[[#This Row],[MED]],""),"")</f>
        <v/>
      </c>
      <c r="AL354" s="133" t="str">
        <f>IF(Tab.o1[[#This Row],[a1]]=1,[1]!T.in.A[[#This Row],[oo16]],"")</f>
        <v/>
      </c>
      <c r="AM354" s="133" t="str">
        <f>IF(Tab.o1[[#This Row],[a1]]=1,IF(AM$3=1,[1]!T.in.A[[#This Row],[Σo16]],""),"")</f>
        <v/>
      </c>
      <c r="AN354" s="126" t="str">
        <f>IF(Tab.o1[[#This Row],[a1]]=1,[1]!T.in.A[[#This Row],[Σp5]],"")</f>
        <v/>
      </c>
      <c r="AO354" s="126" t="str">
        <f>IF(Tab.o1[[#This Row],[a1]]=1,IF(AO$3=1,[1]!T.in.A[[#This Row],[Σp5]],""),"")</f>
        <v/>
      </c>
      <c r="AP354" s="110" t="str">
        <f>IF(Tab.o1[[#This Row],[a1]]=1,IF(ISNUMBER(Tab.o1[[#This Row],[i.]]),NORMDIST(Tab.o1[[#This Row],[Za]],0,1,FALSE)*Tab.o1[[#This Row],[i.]],0),"")</f>
        <v/>
      </c>
      <c r="AQ354" s="125" t="str">
        <f>IF(Tab.o1[[#This Row],[a1]]=1,ABS(Tab.o1[[#This Row],[MOD]]-AVERAGE(Tab.o1[MOD])),"")</f>
        <v/>
      </c>
      <c r="AR354" s="134" t="str">
        <f>IF(Tab.o1[[#This Row],[a1]]=1,Tab.o1[[#This Row],[OBS]]/SUM(Tab.o1[OBS]),"")</f>
        <v/>
      </c>
      <c r="AS354" s="135" t="str">
        <f>IF(ISNUMBER(Tab.o1[[#This Row],[a1]]),ROW()-4,"")</f>
        <v/>
      </c>
      <c r="AT354" s="136" t="str">
        <f>Tab.o1[[#This Row],[MOD]]</f>
        <v/>
      </c>
      <c r="AU354" s="137" t="str">
        <f t="shared" si="21"/>
        <v/>
      </c>
      <c r="AV354" s="138" t="str">
        <f t="shared" si="22"/>
        <v/>
      </c>
      <c r="AW354" s="138" t="str">
        <f t="shared" si="23"/>
        <v/>
      </c>
      <c r="AX354" s="139" t="str">
        <f>[1]!T.in.A[[#This Row],[ID_T_manu]]</f>
        <v/>
      </c>
      <c r="AY354" s="140" t="str">
        <f>IF(ISNUMBER(Tab.o1[[#This Row],[a1]]),IF(AND(Tab.o1[[#This Row],[a1]]=1,Tab.o1[[#This Row],[b1]]&lt;=AY$4),#REF!,AY353),"")</f>
        <v/>
      </c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</row>
    <row r="355" spans="1:79" ht="15.75" hidden="1">
      <c r="A355" s="109">
        <v>-8.0000000000000013E-6</v>
      </c>
      <c r="B355" s="110">
        <f t="shared" si="20"/>
        <v>355</v>
      </c>
      <c r="C355" s="111" t="str">
        <f>IF(C$1=[1]!T.in.A[[#This Row],[oo2]],1,"")</f>
        <v/>
      </c>
      <c r="D355" s="112" t="str">
        <f>IF(Tab.o1[[#This Row],[a1]]=1,IF(SUM(C355:C356)=0,0,IF(SUM(C354:C355)=1,1,IF(SUM(C354:C356)&gt;1,D354+1,0))),"")</f>
        <v/>
      </c>
      <c r="E355" s="113" t="str">
        <f>IF(Tab.o1[[#This Row],[a1]]=1,[1]!T.in.A[[#This Row],[oo1]],"")</f>
        <v/>
      </c>
      <c r="F355" s="113" t="str">
        <f>IF(Tab.o1[[#This Row],[a1]]=1,[1]!T.in.A[[#This Row],[pp1]],"")</f>
        <v/>
      </c>
      <c r="G355" s="114" t="str">
        <f>IF(Tab.o1[[#This Row],[a1]]=1,G$2+IF(G$1=1,0,Tab.o1[[#This Row],[.x1]])+[1]!T.in.A[[#This Row],[oo3]],"")</f>
        <v/>
      </c>
      <c r="H355" s="115" t="str">
        <f>IF(Tab.o1[[#This Row],[a1]]=1,IF(H$2=0,0,IF(G$1=1,0,Tab.o1[[#This Row],[.x1]])+[1]!T.in.A[[#This Row],[oo4]]),"")</f>
        <v/>
      </c>
      <c r="I355" s="116" t="str">
        <f>IF(Tab.o1[[#This Row],[a1]]=1,IF(J$2=0,Tab.o1[[#This Row],[MED]],Tab.o1[[#This Row],[MOD]]),"")</f>
        <v/>
      </c>
      <c r="J355" s="116" t="str">
        <f>IF(Tab.o1[[#This Row],[a1]]=1,((Tab.o1[[#This Row],[DIF_Target.]]-AVERAGE(Tab.o1[DIF_Target.]))/_xlfn.STDEV.P(Tab.o1[DIF_Target.])),"")</f>
        <v/>
      </c>
      <c r="K355" s="117" t="str">
        <f>IF(Tab.o1[[#This Row],[a1]]=1,IF(J$2=0,Tab.o1[[#This Row],[MOD]]-Tab.o1[[#This Row],[B]],IF(J$2=1,0,-Tab.o1[[#This Row],[MED]])+Tab.o1[[#This Row],[B]]),"")</f>
        <v/>
      </c>
      <c r="L355" s="117" t="str">
        <f ca="1">IF(Tab.o1[[#This Row],[DIF_Target]]=0,IF(L$2=0,Tab.o1[[#This Row],[DIF_Target]],AVERAGE(OFFSET(Tab.o1[[#This Row],[DIF_Target]],1,0,L$3,1)))/3,Tab.o1[[#This Row],[DIF_Target]])</f>
        <v/>
      </c>
      <c r="M355" s="118" t="str">
        <f>IF(Tab.o1[[#This Row],[a1]]=1,NORMSDIST(Tab.o1[[#This Row],[Za]]),"")</f>
        <v/>
      </c>
      <c r="N355" s="119" t="str">
        <f>IF(Tab.o1[[#This Row],[a1]]=1,((Tab.o1[[#This Row],[MedMod]]-AVERAGE(Tab.o1[MedMod]))/_xlfn.STDEV.P(Tab.o1[MedMod])*H$1205)+G$1205,"")</f>
        <v/>
      </c>
      <c r="O355" s="141" t="str">
        <f>IF(Tab.o1[[#This Row],[a1]]=1,Tab.o1[[#This Row],[Zb]]*_xlfn.STDEV.P(Tab.o1[MedMod])+AVERAGE(Tab.o1[MedMod]),"")</f>
        <v/>
      </c>
      <c r="P355" s="117" t="str">
        <f ca="1">IF(Tab.o1[[#This Row],[B]]=0,AVERAGE(OFFSET(Tab.o1[[#This Row],[B]],1,0,L$3,1)),Tab.o1[[#This Row],[B]])</f>
        <v/>
      </c>
      <c r="Q355" s="121" t="str">
        <f>IF(Tab.o1[[#This Row],[a1]]=1,NORMSDIST(Tab.o1[[#This Row],[Zb]]),"")</f>
        <v/>
      </c>
      <c r="R355" s="122" t="str">
        <f>IF(Tab.o1[[#This Row],[a1]]=1,((Tab.o1[[#This Row],[MedMod]]-AVERAGE(Tab.o1[MedMod]))/_xlfn.STDEV.P(Tab.o1[MedMod])*H$1203)+G$1203,"")</f>
        <v/>
      </c>
      <c r="S355" s="122" t="str">
        <f>IF(Tab.o1[[#This Row],[a1]]=1,((Tab.o1[[#This Row],[MedMod]]-AVERAGE(Tab.o1[MedMod]))/_xlfn.STDEV.P(Tab.o1[MedMod])*H$1204)+G$1204,"")</f>
        <v/>
      </c>
      <c r="T355" s="123" t="str">
        <f>IF(Tab.o1[[#This Row],[a1]]=1,Tab.o1[[#This Row],[Z-]]*_xlfn.STDEV.P(Tab.o1[B])+AVERAGE(Tab.o1[B]),"")</f>
        <v/>
      </c>
      <c r="U355" s="123" t="str">
        <f>IF(Tab.o1[[#This Row],[a1]]=1,Tab.o1[[#This Row],[z+]]*_xlfn.STDEV.P(Tab.o1[B])+AVERAGE(Tab.o1[B]),"")</f>
        <v/>
      </c>
      <c r="V355" s="124" t="str">
        <f>IF(Tab.o1[[#This Row],[a1]]=1,ABS((ABS(Tab.o1[[#This Row],[Red]]-Tab.o1[[#This Row],[Blue]]))),"")</f>
        <v/>
      </c>
      <c r="W355" s="125" t="str">
        <f>IF(Tab.o1[[#This Row],[a1]]=1,IF(W$3=0,1,Tab.o1[[#This Row],[Amp.]]*1/_xlfn.MINIFS(Tab.o1[Amp.],Tab.o1[Amp.],"&lt;&gt;0")),"")</f>
        <v/>
      </c>
      <c r="X355" s="126" t="str">
        <f>IF(Tab.o1[[#This Row],[a1]]=1,IF(ISNUMBER(Tab.o1[[#This Row],[i.]]),NORMDIST(Tab.o1[[#This Row],[Za]],0,1,FALSE)*Tab.o1[[#This Row],[i.]],AP$3),"")</f>
        <v/>
      </c>
      <c r="Y355" s="126" t="str">
        <f>IF(Tab.o1[[#This Row],[a1]]=1,0.01+0.94*Tab.o1[[#This Row],[PDF]]/MAX(Tab.o1[PDF]),"")</f>
        <v/>
      </c>
      <c r="Z355" s="126" t="str">
        <f>IF(Tab.o1[[#This Row],[a1]]=1,0.01+0.94*Tab.o1[[#This Row],[W1_PDF]]/MAX(Tab.o1[W1_PDF]),"")</f>
        <v/>
      </c>
      <c r="AA355" s="118" t="str">
        <f>IF(Tab.o1[[#This Row],[a1]]=1,ABS([1]!T.in.A[[#This Row],[oo6]]),"")</f>
        <v/>
      </c>
      <c r="AB355" s="127" t="str">
        <f>IF(Tab.o1[[#This Row],[a1]]=1,IF(AE$3=0,"",IF(AB$3=0,ABS([1]!T.in.A[[#This Row],[oo9]]),ABS(Tab.o1[[#This Row],[DIF_Target.]]*Tab.o1[[#This Row],[W1_PDF]]))),"")</f>
        <v/>
      </c>
      <c r="AC355" s="127" t="str">
        <f>IF(G$1=1,"",IF(Tab.o1[[#This Row],[a1]]=1,Tab.o1[[#This Row],[Wr]]^2,""))</f>
        <v/>
      </c>
      <c r="AD355" s="118" t="str">
        <f>IF(Tab.o1[[#This Row],[a1]]=1,IF(AE$3=0,"",Tab.o1[[#This Row],[Wr2]]/SUM(Tab.o1[Wr2])),"")</f>
        <v/>
      </c>
      <c r="AE355" s="128" t="str">
        <f>IF(Tab.o1[[#This Row],[a1]]=1,[1]!T.in.A[[#This Row],[oo10]],"")</f>
        <v/>
      </c>
      <c r="AF355" s="118" t="str">
        <f>IF(Tab.o1[[#This Row],[a1]]=1,ABS(Tab.o1[[#This Row],[DIF_Target.]]*Tab.o1[[#This Row],[PDF2]]*Tab.o1[[#This Row],[IN]]),"")</f>
        <v/>
      </c>
      <c r="AG355" s="129" t="str">
        <f>IF(Tab.o1[[#This Row],[a1]]=1,Tab.o1[[#This Row],[rW]]^2,"")</f>
        <v/>
      </c>
      <c r="AH355" s="130" t="str">
        <f>IF(Tab.o1[[#This Row],[a1]]=1,IF(AH$3=0,Tab.o1[[#This Row],[rW2]],0.01+0.94*Tab.o1[[#This Row],[rW2]]/SUM(Tab.o1[rW2])),"")</f>
        <v/>
      </c>
      <c r="AI355" s="128" t="str">
        <f>IF(Tab.o1[[#This Row],[a1]]=1,1/Tab.o1[[#This Row],[PDF]],"")</f>
        <v/>
      </c>
      <c r="AJ355" s="131" t="str">
        <f>IF(Tab.o1[[#This Row],[a1]]=1,[1]!T_AA[[#This Row],[IN'']]*[1]!T_AA[[#This Row],[Qde'']],"")</f>
        <v/>
      </c>
      <c r="AK355" s="132" t="str">
        <f>IF(Tab.o1[[#This Row],[a1]]=1,IF(AK$1=1,Tab.o1[[#This Row],[MED]]+Tab.o1[[#This Row],[MOD]]-Tab.o1[[#This Row],[MED]],""),"")</f>
        <v/>
      </c>
      <c r="AL355" s="133" t="str">
        <f>IF(Tab.o1[[#This Row],[a1]]=1,[1]!T.in.A[[#This Row],[oo16]],"")</f>
        <v/>
      </c>
      <c r="AM355" s="133" t="str">
        <f>IF(Tab.o1[[#This Row],[a1]]=1,IF(AM$3=1,[1]!T.in.A[[#This Row],[Σo16]],""),"")</f>
        <v/>
      </c>
      <c r="AN355" s="126" t="str">
        <f>IF(Tab.o1[[#This Row],[a1]]=1,[1]!T.in.A[[#This Row],[Σp5]],"")</f>
        <v/>
      </c>
      <c r="AO355" s="126" t="str">
        <f>IF(Tab.o1[[#This Row],[a1]]=1,IF(AO$3=1,[1]!T.in.A[[#This Row],[Σp5]],""),"")</f>
        <v/>
      </c>
      <c r="AP355" s="110" t="str">
        <f>IF(Tab.o1[[#This Row],[a1]]=1,IF(ISNUMBER(Tab.o1[[#This Row],[i.]]),NORMDIST(Tab.o1[[#This Row],[Za]],0,1,FALSE)*Tab.o1[[#This Row],[i.]],0),"")</f>
        <v/>
      </c>
      <c r="AQ355" s="125" t="str">
        <f>IF(Tab.o1[[#This Row],[a1]]=1,ABS(Tab.o1[[#This Row],[MOD]]-AVERAGE(Tab.o1[MOD])),"")</f>
        <v/>
      </c>
      <c r="AR355" s="134" t="str">
        <f>IF(Tab.o1[[#This Row],[a1]]=1,Tab.o1[[#This Row],[OBS]]/SUM(Tab.o1[OBS]),"")</f>
        <v/>
      </c>
      <c r="AS355" s="135" t="str">
        <f>IF(ISNUMBER(Tab.o1[[#This Row],[a1]]),ROW()-4,"")</f>
        <v/>
      </c>
      <c r="AT355" s="136" t="str">
        <f>Tab.o1[[#This Row],[MOD]]</f>
        <v/>
      </c>
      <c r="AU355" s="137" t="str">
        <f t="shared" si="21"/>
        <v/>
      </c>
      <c r="AV355" s="138" t="str">
        <f t="shared" si="22"/>
        <v/>
      </c>
      <c r="AW355" s="138" t="str">
        <f t="shared" si="23"/>
        <v/>
      </c>
      <c r="AX355" s="139" t="str">
        <f>[1]!T.in.A[[#This Row],[ID_T_manu]]</f>
        <v/>
      </c>
      <c r="AY355" s="140" t="str">
        <f>IF(ISNUMBER(Tab.o1[[#This Row],[a1]]),IF(AND(Tab.o1[[#This Row],[a1]]=1,Tab.o1[[#This Row],[b1]]&lt;=AY$4),#REF!,AY354),"")</f>
        <v/>
      </c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</row>
    <row r="356" spans="1:79" ht="15.75" hidden="1">
      <c r="A356" s="109">
        <v>-5.0000000000000004E-6</v>
      </c>
      <c r="B356" s="110">
        <f t="shared" si="20"/>
        <v>356</v>
      </c>
      <c r="C356" s="111" t="str">
        <f>IF(C$1=[1]!T.in.A[[#This Row],[oo2]],1,"")</f>
        <v/>
      </c>
      <c r="D356" s="112" t="str">
        <f>IF(Tab.o1[[#This Row],[a1]]=1,IF(SUM(C356:C357)=0,0,IF(SUM(C355:C356)=1,1,IF(SUM(C355:C357)&gt;1,D355+1,0))),"")</f>
        <v/>
      </c>
      <c r="E356" s="113" t="str">
        <f>IF(Tab.o1[[#This Row],[a1]]=1,[1]!T.in.A[[#This Row],[oo1]],"")</f>
        <v/>
      </c>
      <c r="F356" s="113" t="str">
        <f>IF(Tab.o1[[#This Row],[a1]]=1,[1]!T.in.A[[#This Row],[pp1]],"")</f>
        <v/>
      </c>
      <c r="G356" s="114" t="str">
        <f>IF(Tab.o1[[#This Row],[a1]]=1,G$2+IF(G$1=1,0,Tab.o1[[#This Row],[.x1]])+[1]!T.in.A[[#This Row],[oo3]],"")</f>
        <v/>
      </c>
      <c r="H356" s="115" t="str">
        <f>IF(Tab.o1[[#This Row],[a1]]=1,IF(H$2=0,0,IF(G$1=1,0,Tab.o1[[#This Row],[.x1]])+[1]!T.in.A[[#This Row],[oo4]]),"")</f>
        <v/>
      </c>
      <c r="I356" s="116" t="str">
        <f>IF(Tab.o1[[#This Row],[a1]]=1,IF(J$2=0,Tab.o1[[#This Row],[MED]],Tab.o1[[#This Row],[MOD]]),"")</f>
        <v/>
      </c>
      <c r="J356" s="116" t="str">
        <f>IF(Tab.o1[[#This Row],[a1]]=1,((Tab.o1[[#This Row],[DIF_Target.]]-AVERAGE(Tab.o1[DIF_Target.]))/_xlfn.STDEV.P(Tab.o1[DIF_Target.])),"")</f>
        <v/>
      </c>
      <c r="K356" s="117" t="str">
        <f>IF(Tab.o1[[#This Row],[a1]]=1,IF(J$2=0,Tab.o1[[#This Row],[MOD]]-Tab.o1[[#This Row],[B]],IF(J$2=1,0,-Tab.o1[[#This Row],[MED]])+Tab.o1[[#This Row],[B]]),"")</f>
        <v/>
      </c>
      <c r="L356" s="117" t="str">
        <f ca="1">IF(Tab.o1[[#This Row],[DIF_Target]]=0,IF(L$2=0,Tab.o1[[#This Row],[DIF_Target]],AVERAGE(OFFSET(Tab.o1[[#This Row],[DIF_Target]],1,0,L$3,1)))/3,Tab.o1[[#This Row],[DIF_Target]])</f>
        <v/>
      </c>
      <c r="M356" s="118" t="str">
        <f>IF(Tab.o1[[#This Row],[a1]]=1,NORMSDIST(Tab.o1[[#This Row],[Za]]),"")</f>
        <v/>
      </c>
      <c r="N356" s="119" t="str">
        <f>IF(Tab.o1[[#This Row],[a1]]=1,((Tab.o1[[#This Row],[MedMod]]-AVERAGE(Tab.o1[MedMod]))/_xlfn.STDEV.P(Tab.o1[MedMod])*H$1205)+G$1205,"")</f>
        <v/>
      </c>
      <c r="O356" s="141" t="str">
        <f>IF(Tab.o1[[#This Row],[a1]]=1,Tab.o1[[#This Row],[Zb]]*_xlfn.STDEV.P(Tab.o1[MedMod])+AVERAGE(Tab.o1[MedMod]),"")</f>
        <v/>
      </c>
      <c r="P356" s="117" t="str">
        <f ca="1">IF(Tab.o1[[#This Row],[B]]=0,AVERAGE(OFFSET(Tab.o1[[#This Row],[B]],1,0,L$3,1)),Tab.o1[[#This Row],[B]])</f>
        <v/>
      </c>
      <c r="Q356" s="121" t="str">
        <f>IF(Tab.o1[[#This Row],[a1]]=1,NORMSDIST(Tab.o1[[#This Row],[Zb]]),"")</f>
        <v/>
      </c>
      <c r="R356" s="122" t="str">
        <f>IF(Tab.o1[[#This Row],[a1]]=1,((Tab.o1[[#This Row],[MedMod]]-AVERAGE(Tab.o1[MedMod]))/_xlfn.STDEV.P(Tab.o1[MedMod])*H$1203)+G$1203,"")</f>
        <v/>
      </c>
      <c r="S356" s="122" t="str">
        <f>IF(Tab.o1[[#This Row],[a1]]=1,((Tab.o1[[#This Row],[MedMod]]-AVERAGE(Tab.o1[MedMod]))/_xlfn.STDEV.P(Tab.o1[MedMod])*H$1204)+G$1204,"")</f>
        <v/>
      </c>
      <c r="T356" s="123" t="str">
        <f>IF(Tab.o1[[#This Row],[a1]]=1,Tab.o1[[#This Row],[Z-]]*_xlfn.STDEV.P(Tab.o1[B])+AVERAGE(Tab.o1[B]),"")</f>
        <v/>
      </c>
      <c r="U356" s="123" t="str">
        <f>IF(Tab.o1[[#This Row],[a1]]=1,Tab.o1[[#This Row],[z+]]*_xlfn.STDEV.P(Tab.o1[B])+AVERAGE(Tab.o1[B]),"")</f>
        <v/>
      </c>
      <c r="V356" s="124" t="str">
        <f>IF(Tab.o1[[#This Row],[a1]]=1,ABS((ABS(Tab.o1[[#This Row],[Red]]-Tab.o1[[#This Row],[Blue]]))),"")</f>
        <v/>
      </c>
      <c r="W356" s="125" t="str">
        <f>IF(Tab.o1[[#This Row],[a1]]=1,IF(W$3=0,1,Tab.o1[[#This Row],[Amp.]]*1/_xlfn.MINIFS(Tab.o1[Amp.],Tab.o1[Amp.],"&lt;&gt;0")),"")</f>
        <v/>
      </c>
      <c r="X356" s="126" t="str">
        <f>IF(Tab.o1[[#This Row],[a1]]=1,IF(ISNUMBER(Tab.o1[[#This Row],[i.]]),NORMDIST(Tab.o1[[#This Row],[Za]],0,1,FALSE)*Tab.o1[[#This Row],[i.]],AP$3),"")</f>
        <v/>
      </c>
      <c r="Y356" s="126" t="str">
        <f>IF(Tab.o1[[#This Row],[a1]]=1,0.01+0.94*Tab.o1[[#This Row],[PDF]]/MAX(Tab.o1[PDF]),"")</f>
        <v/>
      </c>
      <c r="Z356" s="126" t="str">
        <f>IF(Tab.o1[[#This Row],[a1]]=1,0.01+0.94*Tab.o1[[#This Row],[W1_PDF]]/MAX(Tab.o1[W1_PDF]),"")</f>
        <v/>
      </c>
      <c r="AA356" s="118" t="str">
        <f>IF(Tab.o1[[#This Row],[a1]]=1,ABS([1]!T.in.A[[#This Row],[oo6]]),"")</f>
        <v/>
      </c>
      <c r="AB356" s="127" t="str">
        <f>IF(Tab.o1[[#This Row],[a1]]=1,IF(AE$3=0,"",IF(AB$3=0,ABS([1]!T.in.A[[#This Row],[oo9]]),ABS(Tab.o1[[#This Row],[DIF_Target.]]*Tab.o1[[#This Row],[W1_PDF]]))),"")</f>
        <v/>
      </c>
      <c r="AC356" s="127" t="str">
        <f>IF(G$1=1,"",IF(Tab.o1[[#This Row],[a1]]=1,Tab.o1[[#This Row],[Wr]]^2,""))</f>
        <v/>
      </c>
      <c r="AD356" s="118" t="str">
        <f>IF(Tab.o1[[#This Row],[a1]]=1,IF(AE$3=0,"",Tab.o1[[#This Row],[Wr2]]/SUM(Tab.o1[Wr2])),"")</f>
        <v/>
      </c>
      <c r="AE356" s="128" t="str">
        <f>IF(Tab.o1[[#This Row],[a1]]=1,[1]!T.in.A[[#This Row],[oo10]],"")</f>
        <v/>
      </c>
      <c r="AF356" s="118" t="str">
        <f>IF(Tab.o1[[#This Row],[a1]]=1,ABS(Tab.o1[[#This Row],[DIF_Target.]]*Tab.o1[[#This Row],[PDF2]]*Tab.o1[[#This Row],[IN]]),"")</f>
        <v/>
      </c>
      <c r="AG356" s="129" t="str">
        <f>IF(Tab.o1[[#This Row],[a1]]=1,Tab.o1[[#This Row],[rW]]^2,"")</f>
        <v/>
      </c>
      <c r="AH356" s="130" t="str">
        <f>IF(Tab.o1[[#This Row],[a1]]=1,IF(AH$3=0,Tab.o1[[#This Row],[rW2]],0.01+0.94*Tab.o1[[#This Row],[rW2]]/SUM(Tab.o1[rW2])),"")</f>
        <v/>
      </c>
      <c r="AI356" s="128" t="str">
        <f>IF(Tab.o1[[#This Row],[a1]]=1,1/Tab.o1[[#This Row],[PDF]],"")</f>
        <v/>
      </c>
      <c r="AJ356" s="131" t="str">
        <f>IF(Tab.o1[[#This Row],[a1]]=1,[1]!T_AA[[#This Row],[IN'']]*[1]!T_AA[[#This Row],[Qde'']],"")</f>
        <v/>
      </c>
      <c r="AK356" s="132" t="str">
        <f>IF(Tab.o1[[#This Row],[a1]]=1,IF(AK$1=1,Tab.o1[[#This Row],[MED]]+Tab.o1[[#This Row],[MOD]]-Tab.o1[[#This Row],[MED]],""),"")</f>
        <v/>
      </c>
      <c r="AL356" s="133" t="str">
        <f>IF(Tab.o1[[#This Row],[a1]]=1,[1]!T.in.A[[#This Row],[oo16]],"")</f>
        <v/>
      </c>
      <c r="AM356" s="133" t="str">
        <f>IF(Tab.o1[[#This Row],[a1]]=1,IF(AM$3=1,[1]!T.in.A[[#This Row],[Σo16]],""),"")</f>
        <v/>
      </c>
      <c r="AN356" s="126" t="str">
        <f>IF(Tab.o1[[#This Row],[a1]]=1,[1]!T.in.A[[#This Row],[Σp5]],"")</f>
        <v/>
      </c>
      <c r="AO356" s="126" t="str">
        <f>IF(Tab.o1[[#This Row],[a1]]=1,IF(AO$3=1,[1]!T.in.A[[#This Row],[Σp5]],""),"")</f>
        <v/>
      </c>
      <c r="AP356" s="110" t="str">
        <f>IF(Tab.o1[[#This Row],[a1]]=1,IF(ISNUMBER(Tab.o1[[#This Row],[i.]]),NORMDIST(Tab.o1[[#This Row],[Za]],0,1,FALSE)*Tab.o1[[#This Row],[i.]],0),"")</f>
        <v/>
      </c>
      <c r="AQ356" s="125" t="str">
        <f>IF(Tab.o1[[#This Row],[a1]]=1,ABS(Tab.o1[[#This Row],[MOD]]-AVERAGE(Tab.o1[MOD])),"")</f>
        <v/>
      </c>
      <c r="AR356" s="134" t="str">
        <f>IF(Tab.o1[[#This Row],[a1]]=1,Tab.o1[[#This Row],[OBS]]/SUM(Tab.o1[OBS]),"")</f>
        <v/>
      </c>
      <c r="AS356" s="135" t="str">
        <f>IF(ISNUMBER(Tab.o1[[#This Row],[a1]]),ROW()-4,"")</f>
        <v/>
      </c>
      <c r="AT356" s="136" t="str">
        <f>Tab.o1[[#This Row],[MOD]]</f>
        <v/>
      </c>
      <c r="AU356" s="137" t="str">
        <f t="shared" si="21"/>
        <v/>
      </c>
      <c r="AV356" s="138" t="str">
        <f t="shared" si="22"/>
        <v/>
      </c>
      <c r="AW356" s="138" t="str">
        <f t="shared" si="23"/>
        <v/>
      </c>
      <c r="AX356" s="139" t="str">
        <f>[1]!T.in.A[[#This Row],[ID_T_manu]]</f>
        <v/>
      </c>
      <c r="AY356" s="140" t="str">
        <f>IF(ISNUMBER(Tab.o1[[#This Row],[a1]]),IF(AND(Tab.o1[[#This Row],[a1]]=1,Tab.o1[[#This Row],[b1]]&lt;=AY$4),#REF!,AY355),"")</f>
        <v/>
      </c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</row>
    <row r="357" spans="1:79" ht="15.75" hidden="1">
      <c r="A357" s="109">
        <v>5.9999999999999993E-6</v>
      </c>
      <c r="B357" s="110">
        <f t="shared" si="20"/>
        <v>357</v>
      </c>
      <c r="C357" s="111" t="str">
        <f>IF(C$1=[1]!T.in.A[[#This Row],[oo2]],1,"")</f>
        <v/>
      </c>
      <c r="D357" s="112" t="str">
        <f>IF(Tab.o1[[#This Row],[a1]]=1,IF(SUM(C357:C358)=0,0,IF(SUM(C356:C357)=1,1,IF(SUM(C356:C358)&gt;1,D356+1,0))),"")</f>
        <v/>
      </c>
      <c r="E357" s="113" t="str">
        <f>IF(Tab.o1[[#This Row],[a1]]=1,[1]!T.in.A[[#This Row],[oo1]],"")</f>
        <v/>
      </c>
      <c r="F357" s="113" t="str">
        <f>IF(Tab.o1[[#This Row],[a1]]=1,[1]!T.in.A[[#This Row],[pp1]],"")</f>
        <v/>
      </c>
      <c r="G357" s="114" t="str">
        <f>IF(Tab.o1[[#This Row],[a1]]=1,G$2+IF(G$1=1,0,Tab.o1[[#This Row],[.x1]])+[1]!T.in.A[[#This Row],[oo3]],"")</f>
        <v/>
      </c>
      <c r="H357" s="115" t="str">
        <f>IF(Tab.o1[[#This Row],[a1]]=1,IF(H$2=0,0,IF(G$1=1,0,Tab.o1[[#This Row],[.x1]])+[1]!T.in.A[[#This Row],[oo4]]),"")</f>
        <v/>
      </c>
      <c r="I357" s="116" t="str">
        <f>IF(Tab.o1[[#This Row],[a1]]=1,IF(J$2=0,Tab.o1[[#This Row],[MED]],Tab.o1[[#This Row],[MOD]]),"")</f>
        <v/>
      </c>
      <c r="J357" s="116" t="str">
        <f>IF(Tab.o1[[#This Row],[a1]]=1,((Tab.o1[[#This Row],[DIF_Target.]]-AVERAGE(Tab.o1[DIF_Target.]))/_xlfn.STDEV.P(Tab.o1[DIF_Target.])),"")</f>
        <v/>
      </c>
      <c r="K357" s="117" t="str">
        <f>IF(Tab.o1[[#This Row],[a1]]=1,IF(J$2=0,Tab.o1[[#This Row],[MOD]]-Tab.o1[[#This Row],[B]],IF(J$2=1,0,-Tab.o1[[#This Row],[MED]])+Tab.o1[[#This Row],[B]]),"")</f>
        <v/>
      </c>
      <c r="L357" s="117" t="str">
        <f ca="1">IF(Tab.o1[[#This Row],[DIF_Target]]=0,IF(L$2=0,Tab.o1[[#This Row],[DIF_Target]],AVERAGE(OFFSET(Tab.o1[[#This Row],[DIF_Target]],1,0,L$3,1)))/3,Tab.o1[[#This Row],[DIF_Target]])</f>
        <v/>
      </c>
      <c r="M357" s="118" t="str">
        <f>IF(Tab.o1[[#This Row],[a1]]=1,NORMSDIST(Tab.o1[[#This Row],[Za]]),"")</f>
        <v/>
      </c>
      <c r="N357" s="119" t="str">
        <f>IF(Tab.o1[[#This Row],[a1]]=1,((Tab.o1[[#This Row],[MedMod]]-AVERAGE(Tab.o1[MedMod]))/_xlfn.STDEV.P(Tab.o1[MedMod])*H$1205)+G$1205,"")</f>
        <v/>
      </c>
      <c r="O357" s="141" t="str">
        <f>IF(Tab.o1[[#This Row],[a1]]=1,Tab.o1[[#This Row],[Zb]]*_xlfn.STDEV.P(Tab.o1[MedMod])+AVERAGE(Tab.o1[MedMod]),"")</f>
        <v/>
      </c>
      <c r="P357" s="117" t="str">
        <f ca="1">IF(Tab.o1[[#This Row],[B]]=0,AVERAGE(OFFSET(Tab.o1[[#This Row],[B]],1,0,L$3,1)),Tab.o1[[#This Row],[B]])</f>
        <v/>
      </c>
      <c r="Q357" s="121" t="str">
        <f>IF(Tab.o1[[#This Row],[a1]]=1,NORMSDIST(Tab.o1[[#This Row],[Zb]]),"")</f>
        <v/>
      </c>
      <c r="R357" s="122" t="str">
        <f>IF(Tab.o1[[#This Row],[a1]]=1,((Tab.o1[[#This Row],[MedMod]]-AVERAGE(Tab.o1[MedMod]))/_xlfn.STDEV.P(Tab.o1[MedMod])*H$1203)+G$1203,"")</f>
        <v/>
      </c>
      <c r="S357" s="122" t="str">
        <f>IF(Tab.o1[[#This Row],[a1]]=1,((Tab.o1[[#This Row],[MedMod]]-AVERAGE(Tab.o1[MedMod]))/_xlfn.STDEV.P(Tab.o1[MedMod])*H$1204)+G$1204,"")</f>
        <v/>
      </c>
      <c r="T357" s="123" t="str">
        <f>IF(Tab.o1[[#This Row],[a1]]=1,Tab.o1[[#This Row],[Z-]]*_xlfn.STDEV.P(Tab.o1[B])+AVERAGE(Tab.o1[B]),"")</f>
        <v/>
      </c>
      <c r="U357" s="123" t="str">
        <f>IF(Tab.o1[[#This Row],[a1]]=1,Tab.o1[[#This Row],[z+]]*_xlfn.STDEV.P(Tab.o1[B])+AVERAGE(Tab.o1[B]),"")</f>
        <v/>
      </c>
      <c r="V357" s="124" t="str">
        <f>IF(Tab.o1[[#This Row],[a1]]=1,ABS((ABS(Tab.o1[[#This Row],[Red]]-Tab.o1[[#This Row],[Blue]]))),"")</f>
        <v/>
      </c>
      <c r="W357" s="125" t="str">
        <f>IF(Tab.o1[[#This Row],[a1]]=1,IF(W$3=0,1,Tab.o1[[#This Row],[Amp.]]*1/_xlfn.MINIFS(Tab.o1[Amp.],Tab.o1[Amp.],"&lt;&gt;0")),"")</f>
        <v/>
      </c>
      <c r="X357" s="126" t="str">
        <f>IF(Tab.o1[[#This Row],[a1]]=1,IF(ISNUMBER(Tab.o1[[#This Row],[i.]]),NORMDIST(Tab.o1[[#This Row],[Za]],0,1,FALSE)*Tab.o1[[#This Row],[i.]],AP$3),"")</f>
        <v/>
      </c>
      <c r="Y357" s="126" t="str">
        <f>IF(Tab.o1[[#This Row],[a1]]=1,0.01+0.94*Tab.o1[[#This Row],[PDF]]/MAX(Tab.o1[PDF]),"")</f>
        <v/>
      </c>
      <c r="Z357" s="126" t="str">
        <f>IF(Tab.o1[[#This Row],[a1]]=1,0.01+0.94*Tab.o1[[#This Row],[W1_PDF]]/MAX(Tab.o1[W1_PDF]),"")</f>
        <v/>
      </c>
      <c r="AA357" s="118" t="str">
        <f>IF(Tab.o1[[#This Row],[a1]]=1,ABS([1]!T.in.A[[#This Row],[oo6]]),"")</f>
        <v/>
      </c>
      <c r="AB357" s="127" t="str">
        <f>IF(Tab.o1[[#This Row],[a1]]=1,IF(AE$3=0,"",IF(AB$3=0,ABS([1]!T.in.A[[#This Row],[oo9]]),ABS(Tab.o1[[#This Row],[DIF_Target.]]*Tab.o1[[#This Row],[W1_PDF]]))),"")</f>
        <v/>
      </c>
      <c r="AC357" s="127" t="str">
        <f>IF(G$1=1,"",IF(Tab.o1[[#This Row],[a1]]=1,Tab.o1[[#This Row],[Wr]]^2,""))</f>
        <v/>
      </c>
      <c r="AD357" s="118" t="str">
        <f>IF(Tab.o1[[#This Row],[a1]]=1,IF(AE$3=0,"",Tab.o1[[#This Row],[Wr2]]/SUM(Tab.o1[Wr2])),"")</f>
        <v/>
      </c>
      <c r="AE357" s="128" t="str">
        <f>IF(Tab.o1[[#This Row],[a1]]=1,[1]!T.in.A[[#This Row],[oo10]],"")</f>
        <v/>
      </c>
      <c r="AF357" s="118" t="str">
        <f>IF(Tab.o1[[#This Row],[a1]]=1,ABS(Tab.o1[[#This Row],[DIF_Target.]]*Tab.o1[[#This Row],[PDF2]]*Tab.o1[[#This Row],[IN]]),"")</f>
        <v/>
      </c>
      <c r="AG357" s="129" t="str">
        <f>IF(Tab.o1[[#This Row],[a1]]=1,Tab.o1[[#This Row],[rW]]^2,"")</f>
        <v/>
      </c>
      <c r="AH357" s="130" t="str">
        <f>IF(Tab.o1[[#This Row],[a1]]=1,IF(AH$3=0,Tab.o1[[#This Row],[rW2]],0.01+0.94*Tab.o1[[#This Row],[rW2]]/SUM(Tab.o1[rW2])),"")</f>
        <v/>
      </c>
      <c r="AI357" s="128" t="str">
        <f>IF(Tab.o1[[#This Row],[a1]]=1,1/Tab.o1[[#This Row],[PDF]],"")</f>
        <v/>
      </c>
      <c r="AJ357" s="131" t="str">
        <f>IF(Tab.o1[[#This Row],[a1]]=1,[1]!T_AA[[#This Row],[IN'']]*[1]!T_AA[[#This Row],[Qde'']],"")</f>
        <v/>
      </c>
      <c r="AK357" s="132" t="str">
        <f>IF(Tab.o1[[#This Row],[a1]]=1,IF(AK$1=1,Tab.o1[[#This Row],[MED]]+Tab.o1[[#This Row],[MOD]]-Tab.o1[[#This Row],[MED]],""),"")</f>
        <v/>
      </c>
      <c r="AL357" s="133" t="str">
        <f>IF(Tab.o1[[#This Row],[a1]]=1,[1]!T.in.A[[#This Row],[oo16]],"")</f>
        <v/>
      </c>
      <c r="AM357" s="133" t="str">
        <f>IF(Tab.o1[[#This Row],[a1]]=1,IF(AM$3=1,[1]!T.in.A[[#This Row],[Σo16]],""),"")</f>
        <v/>
      </c>
      <c r="AN357" s="126" t="str">
        <f>IF(Tab.o1[[#This Row],[a1]]=1,[1]!T.in.A[[#This Row],[Σp5]],"")</f>
        <v/>
      </c>
      <c r="AO357" s="126" t="str">
        <f>IF(Tab.o1[[#This Row],[a1]]=1,IF(AO$3=1,[1]!T.in.A[[#This Row],[Σp5]],""),"")</f>
        <v/>
      </c>
      <c r="AP357" s="110" t="str">
        <f>IF(Tab.o1[[#This Row],[a1]]=1,IF(ISNUMBER(Tab.o1[[#This Row],[i.]]),NORMDIST(Tab.o1[[#This Row],[Za]],0,1,FALSE)*Tab.o1[[#This Row],[i.]],0),"")</f>
        <v/>
      </c>
      <c r="AQ357" s="125" t="str">
        <f>IF(Tab.o1[[#This Row],[a1]]=1,ABS(Tab.o1[[#This Row],[MOD]]-AVERAGE(Tab.o1[MOD])),"")</f>
        <v/>
      </c>
      <c r="AR357" s="134" t="str">
        <f>IF(Tab.o1[[#This Row],[a1]]=1,Tab.o1[[#This Row],[OBS]]/SUM(Tab.o1[OBS]),"")</f>
        <v/>
      </c>
      <c r="AS357" s="135" t="str">
        <f>IF(ISNUMBER(Tab.o1[[#This Row],[a1]]),ROW()-4,"")</f>
        <v/>
      </c>
      <c r="AT357" s="136" t="str">
        <f>Tab.o1[[#This Row],[MOD]]</f>
        <v/>
      </c>
      <c r="AU357" s="137" t="str">
        <f t="shared" si="21"/>
        <v/>
      </c>
      <c r="AV357" s="138" t="str">
        <f t="shared" si="22"/>
        <v/>
      </c>
      <c r="AW357" s="138" t="str">
        <f t="shared" si="23"/>
        <v/>
      </c>
      <c r="AX357" s="139" t="str">
        <f>[1]!T.in.A[[#This Row],[ID_T_manu]]</f>
        <v/>
      </c>
      <c r="AY357" s="140" t="str">
        <f>IF(ISNUMBER(Tab.o1[[#This Row],[a1]]),IF(AND(Tab.o1[[#This Row],[a1]]=1,Tab.o1[[#This Row],[b1]]&lt;=AY$4),#REF!,AY356),"")</f>
        <v/>
      </c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</row>
    <row r="358" spans="1:79" ht="15.75" hidden="1">
      <c r="A358" s="109">
        <v>1.0000000000000002E-6</v>
      </c>
      <c r="B358" s="110">
        <f t="shared" si="20"/>
        <v>358</v>
      </c>
      <c r="C358" s="111" t="str">
        <f>IF(C$1=[1]!T.in.A[[#This Row],[oo2]],1,"")</f>
        <v/>
      </c>
      <c r="D358" s="112" t="str">
        <f>IF(Tab.o1[[#This Row],[a1]]=1,IF(SUM(C358:C359)=0,0,IF(SUM(C357:C358)=1,1,IF(SUM(C357:C359)&gt;1,D357+1,0))),"")</f>
        <v/>
      </c>
      <c r="E358" s="113" t="str">
        <f>IF(Tab.o1[[#This Row],[a1]]=1,[1]!T.in.A[[#This Row],[oo1]],"")</f>
        <v/>
      </c>
      <c r="F358" s="113" t="str">
        <f>IF(Tab.o1[[#This Row],[a1]]=1,[1]!T.in.A[[#This Row],[pp1]],"")</f>
        <v/>
      </c>
      <c r="G358" s="114" t="str">
        <f>IF(Tab.o1[[#This Row],[a1]]=1,G$2+IF(G$1=1,0,Tab.o1[[#This Row],[.x1]])+[1]!T.in.A[[#This Row],[oo3]],"")</f>
        <v/>
      </c>
      <c r="H358" s="115" t="str">
        <f>IF(Tab.o1[[#This Row],[a1]]=1,IF(H$2=0,0,IF(G$1=1,0,Tab.o1[[#This Row],[.x1]])+[1]!T.in.A[[#This Row],[oo4]]),"")</f>
        <v/>
      </c>
      <c r="I358" s="116" t="str">
        <f>IF(Tab.o1[[#This Row],[a1]]=1,IF(J$2=0,Tab.o1[[#This Row],[MED]],Tab.o1[[#This Row],[MOD]]),"")</f>
        <v/>
      </c>
      <c r="J358" s="116" t="str">
        <f>IF(Tab.o1[[#This Row],[a1]]=1,((Tab.o1[[#This Row],[DIF_Target.]]-AVERAGE(Tab.o1[DIF_Target.]))/_xlfn.STDEV.P(Tab.o1[DIF_Target.])),"")</f>
        <v/>
      </c>
      <c r="K358" s="117" t="str">
        <f>IF(Tab.o1[[#This Row],[a1]]=1,IF(J$2=0,Tab.o1[[#This Row],[MOD]]-Tab.o1[[#This Row],[B]],IF(J$2=1,0,-Tab.o1[[#This Row],[MED]])+Tab.o1[[#This Row],[B]]),"")</f>
        <v/>
      </c>
      <c r="L358" s="117" t="str">
        <f ca="1">IF(Tab.o1[[#This Row],[DIF_Target]]=0,IF(L$2=0,Tab.o1[[#This Row],[DIF_Target]],AVERAGE(OFFSET(Tab.o1[[#This Row],[DIF_Target]],1,0,L$3,1)))/3,Tab.o1[[#This Row],[DIF_Target]])</f>
        <v/>
      </c>
      <c r="M358" s="118" t="str">
        <f>IF(Tab.o1[[#This Row],[a1]]=1,NORMSDIST(Tab.o1[[#This Row],[Za]]),"")</f>
        <v/>
      </c>
      <c r="N358" s="119" t="str">
        <f>IF(Tab.o1[[#This Row],[a1]]=1,((Tab.o1[[#This Row],[MedMod]]-AVERAGE(Tab.o1[MedMod]))/_xlfn.STDEV.P(Tab.o1[MedMod])*H$1205)+G$1205,"")</f>
        <v/>
      </c>
      <c r="O358" s="141" t="str">
        <f>IF(Tab.o1[[#This Row],[a1]]=1,Tab.o1[[#This Row],[Zb]]*_xlfn.STDEV.P(Tab.o1[MedMod])+AVERAGE(Tab.o1[MedMod]),"")</f>
        <v/>
      </c>
      <c r="P358" s="117" t="str">
        <f ca="1">IF(Tab.o1[[#This Row],[B]]=0,AVERAGE(OFFSET(Tab.o1[[#This Row],[B]],1,0,L$3,1)),Tab.o1[[#This Row],[B]])</f>
        <v/>
      </c>
      <c r="Q358" s="121" t="str">
        <f>IF(Tab.o1[[#This Row],[a1]]=1,NORMSDIST(Tab.o1[[#This Row],[Zb]]),"")</f>
        <v/>
      </c>
      <c r="R358" s="122" t="str">
        <f>IF(Tab.o1[[#This Row],[a1]]=1,((Tab.o1[[#This Row],[MedMod]]-AVERAGE(Tab.o1[MedMod]))/_xlfn.STDEV.P(Tab.o1[MedMod])*H$1203)+G$1203,"")</f>
        <v/>
      </c>
      <c r="S358" s="122" t="str">
        <f>IF(Tab.o1[[#This Row],[a1]]=1,((Tab.o1[[#This Row],[MedMod]]-AVERAGE(Tab.o1[MedMod]))/_xlfn.STDEV.P(Tab.o1[MedMod])*H$1204)+G$1204,"")</f>
        <v/>
      </c>
      <c r="T358" s="123" t="str">
        <f>IF(Tab.o1[[#This Row],[a1]]=1,Tab.o1[[#This Row],[Z-]]*_xlfn.STDEV.P(Tab.o1[B])+AVERAGE(Tab.o1[B]),"")</f>
        <v/>
      </c>
      <c r="U358" s="123" t="str">
        <f>IF(Tab.o1[[#This Row],[a1]]=1,Tab.o1[[#This Row],[z+]]*_xlfn.STDEV.P(Tab.o1[B])+AVERAGE(Tab.o1[B]),"")</f>
        <v/>
      </c>
      <c r="V358" s="124" t="str">
        <f>IF(Tab.o1[[#This Row],[a1]]=1,ABS((ABS(Tab.o1[[#This Row],[Red]]-Tab.o1[[#This Row],[Blue]]))),"")</f>
        <v/>
      </c>
      <c r="W358" s="125" t="str">
        <f>IF(Tab.o1[[#This Row],[a1]]=1,IF(W$3=0,1,Tab.o1[[#This Row],[Amp.]]*1/_xlfn.MINIFS(Tab.o1[Amp.],Tab.o1[Amp.],"&lt;&gt;0")),"")</f>
        <v/>
      </c>
      <c r="X358" s="126" t="str">
        <f>IF(Tab.o1[[#This Row],[a1]]=1,IF(ISNUMBER(Tab.o1[[#This Row],[i.]]),NORMDIST(Tab.o1[[#This Row],[Za]],0,1,FALSE)*Tab.o1[[#This Row],[i.]],AP$3),"")</f>
        <v/>
      </c>
      <c r="Y358" s="126" t="str">
        <f>IF(Tab.o1[[#This Row],[a1]]=1,0.01+0.94*Tab.o1[[#This Row],[PDF]]/MAX(Tab.o1[PDF]),"")</f>
        <v/>
      </c>
      <c r="Z358" s="126" t="str">
        <f>IF(Tab.o1[[#This Row],[a1]]=1,0.01+0.94*Tab.o1[[#This Row],[W1_PDF]]/MAX(Tab.o1[W1_PDF]),"")</f>
        <v/>
      </c>
      <c r="AA358" s="118" t="str">
        <f>IF(Tab.o1[[#This Row],[a1]]=1,ABS([1]!T.in.A[[#This Row],[oo6]]),"")</f>
        <v/>
      </c>
      <c r="AB358" s="127" t="str">
        <f>IF(Tab.o1[[#This Row],[a1]]=1,IF(AE$3=0,"",IF(AB$3=0,ABS([1]!T.in.A[[#This Row],[oo9]]),ABS(Tab.o1[[#This Row],[DIF_Target.]]*Tab.o1[[#This Row],[W1_PDF]]))),"")</f>
        <v/>
      </c>
      <c r="AC358" s="127" t="str">
        <f>IF(G$1=1,"",IF(Tab.o1[[#This Row],[a1]]=1,Tab.o1[[#This Row],[Wr]]^2,""))</f>
        <v/>
      </c>
      <c r="AD358" s="118" t="str">
        <f>IF(Tab.o1[[#This Row],[a1]]=1,IF(AE$3=0,"",Tab.o1[[#This Row],[Wr2]]/SUM(Tab.o1[Wr2])),"")</f>
        <v/>
      </c>
      <c r="AE358" s="128" t="str">
        <f>IF(Tab.o1[[#This Row],[a1]]=1,[1]!T.in.A[[#This Row],[oo10]],"")</f>
        <v/>
      </c>
      <c r="AF358" s="118" t="str">
        <f>IF(Tab.o1[[#This Row],[a1]]=1,ABS(Tab.o1[[#This Row],[DIF_Target.]]*Tab.o1[[#This Row],[PDF2]]*Tab.o1[[#This Row],[IN]]),"")</f>
        <v/>
      </c>
      <c r="AG358" s="129" t="str">
        <f>IF(Tab.o1[[#This Row],[a1]]=1,Tab.o1[[#This Row],[rW]]^2,"")</f>
        <v/>
      </c>
      <c r="AH358" s="130" t="str">
        <f>IF(Tab.o1[[#This Row],[a1]]=1,IF(AH$3=0,Tab.o1[[#This Row],[rW2]],0.01+0.94*Tab.o1[[#This Row],[rW2]]/SUM(Tab.o1[rW2])),"")</f>
        <v/>
      </c>
      <c r="AI358" s="128" t="str">
        <f>IF(Tab.o1[[#This Row],[a1]]=1,1/Tab.o1[[#This Row],[PDF]],"")</f>
        <v/>
      </c>
      <c r="AJ358" s="131" t="str">
        <f>IF(Tab.o1[[#This Row],[a1]]=1,[1]!T_AA[[#This Row],[IN'']]*[1]!T_AA[[#This Row],[Qde'']],"")</f>
        <v/>
      </c>
      <c r="AK358" s="132" t="str">
        <f>IF(Tab.o1[[#This Row],[a1]]=1,IF(AK$1=1,Tab.o1[[#This Row],[MED]]+Tab.o1[[#This Row],[MOD]]-Tab.o1[[#This Row],[MED]],""),"")</f>
        <v/>
      </c>
      <c r="AL358" s="133" t="str">
        <f>IF(Tab.o1[[#This Row],[a1]]=1,[1]!T.in.A[[#This Row],[oo16]],"")</f>
        <v/>
      </c>
      <c r="AM358" s="133" t="str">
        <f>IF(Tab.o1[[#This Row],[a1]]=1,IF(AM$3=1,[1]!T.in.A[[#This Row],[Σo16]],""),"")</f>
        <v/>
      </c>
      <c r="AN358" s="126" t="str">
        <f>IF(Tab.o1[[#This Row],[a1]]=1,[1]!T.in.A[[#This Row],[Σp5]],"")</f>
        <v/>
      </c>
      <c r="AO358" s="126" t="str">
        <f>IF(Tab.o1[[#This Row],[a1]]=1,IF(AO$3=1,[1]!T.in.A[[#This Row],[Σp5]],""),"")</f>
        <v/>
      </c>
      <c r="AP358" s="110" t="str">
        <f>IF(Tab.o1[[#This Row],[a1]]=1,IF(ISNUMBER(Tab.o1[[#This Row],[i.]]),NORMDIST(Tab.o1[[#This Row],[Za]],0,1,FALSE)*Tab.o1[[#This Row],[i.]],0),"")</f>
        <v/>
      </c>
      <c r="AQ358" s="125" t="str">
        <f>IF(Tab.o1[[#This Row],[a1]]=1,ABS(Tab.o1[[#This Row],[MOD]]-AVERAGE(Tab.o1[MOD])),"")</f>
        <v/>
      </c>
      <c r="AR358" s="134" t="str">
        <f>IF(Tab.o1[[#This Row],[a1]]=1,Tab.o1[[#This Row],[OBS]]/SUM(Tab.o1[OBS]),"")</f>
        <v/>
      </c>
      <c r="AS358" s="135" t="str">
        <f>IF(ISNUMBER(Tab.o1[[#This Row],[a1]]),ROW()-4,"")</f>
        <v/>
      </c>
      <c r="AT358" s="136" t="str">
        <f>Tab.o1[[#This Row],[MOD]]</f>
        <v/>
      </c>
      <c r="AU358" s="137" t="str">
        <f t="shared" si="21"/>
        <v/>
      </c>
      <c r="AV358" s="138" t="str">
        <f t="shared" si="22"/>
        <v/>
      </c>
      <c r="AW358" s="138" t="str">
        <f t="shared" si="23"/>
        <v/>
      </c>
      <c r="AX358" s="139" t="str">
        <f>[1]!T.in.A[[#This Row],[ID_T_manu]]</f>
        <v/>
      </c>
      <c r="AY358" s="140" t="str">
        <f>IF(ISNUMBER(Tab.o1[[#This Row],[a1]]),IF(AND(Tab.o1[[#This Row],[a1]]=1,Tab.o1[[#This Row],[b1]]&lt;=AY$4),#REF!,AY357),"")</f>
        <v/>
      </c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</row>
    <row r="359" spans="1:79" ht="15.75" hidden="1">
      <c r="A359" s="109">
        <v>1.0000000000000002E-6</v>
      </c>
      <c r="B359" s="110">
        <f t="shared" si="20"/>
        <v>359</v>
      </c>
      <c r="C359" s="111" t="str">
        <f>IF(C$1=[1]!T.in.A[[#This Row],[oo2]],1,"")</f>
        <v/>
      </c>
      <c r="D359" s="112" t="str">
        <f>IF(Tab.o1[[#This Row],[a1]]=1,IF(SUM(C359:C360)=0,0,IF(SUM(C358:C359)=1,1,IF(SUM(C358:C360)&gt;1,D358+1,0))),"")</f>
        <v/>
      </c>
      <c r="E359" s="113" t="str">
        <f>IF(Tab.o1[[#This Row],[a1]]=1,[1]!T.in.A[[#This Row],[oo1]],"")</f>
        <v/>
      </c>
      <c r="F359" s="113" t="str">
        <f>IF(Tab.o1[[#This Row],[a1]]=1,[1]!T.in.A[[#This Row],[pp1]],"")</f>
        <v/>
      </c>
      <c r="G359" s="114" t="str">
        <f>IF(Tab.o1[[#This Row],[a1]]=1,G$2+IF(G$1=1,0,Tab.o1[[#This Row],[.x1]])+[1]!T.in.A[[#This Row],[oo3]],"")</f>
        <v/>
      </c>
      <c r="H359" s="115" t="str">
        <f>IF(Tab.o1[[#This Row],[a1]]=1,IF(H$2=0,0,IF(G$1=1,0,Tab.o1[[#This Row],[.x1]])+[1]!T.in.A[[#This Row],[oo4]]),"")</f>
        <v/>
      </c>
      <c r="I359" s="116" t="str">
        <f>IF(Tab.o1[[#This Row],[a1]]=1,IF(J$2=0,Tab.o1[[#This Row],[MED]],Tab.o1[[#This Row],[MOD]]),"")</f>
        <v/>
      </c>
      <c r="J359" s="116" t="str">
        <f>IF(Tab.o1[[#This Row],[a1]]=1,((Tab.o1[[#This Row],[DIF_Target.]]-AVERAGE(Tab.o1[DIF_Target.]))/_xlfn.STDEV.P(Tab.o1[DIF_Target.])),"")</f>
        <v/>
      </c>
      <c r="K359" s="117" t="str">
        <f>IF(Tab.o1[[#This Row],[a1]]=1,IF(J$2=0,Tab.o1[[#This Row],[MOD]]-Tab.o1[[#This Row],[B]],IF(J$2=1,0,-Tab.o1[[#This Row],[MED]])+Tab.o1[[#This Row],[B]]),"")</f>
        <v/>
      </c>
      <c r="L359" s="117" t="str">
        <f ca="1">IF(Tab.o1[[#This Row],[DIF_Target]]=0,IF(L$2=0,Tab.o1[[#This Row],[DIF_Target]],AVERAGE(OFFSET(Tab.o1[[#This Row],[DIF_Target]],1,0,L$3,1)))/3,Tab.o1[[#This Row],[DIF_Target]])</f>
        <v/>
      </c>
      <c r="M359" s="118" t="str">
        <f>IF(Tab.o1[[#This Row],[a1]]=1,NORMSDIST(Tab.o1[[#This Row],[Za]]),"")</f>
        <v/>
      </c>
      <c r="N359" s="119" t="str">
        <f>IF(Tab.o1[[#This Row],[a1]]=1,((Tab.o1[[#This Row],[MedMod]]-AVERAGE(Tab.o1[MedMod]))/_xlfn.STDEV.P(Tab.o1[MedMod])*H$1205)+G$1205,"")</f>
        <v/>
      </c>
      <c r="O359" s="141" t="str">
        <f>IF(Tab.o1[[#This Row],[a1]]=1,Tab.o1[[#This Row],[Zb]]*_xlfn.STDEV.P(Tab.o1[MedMod])+AVERAGE(Tab.o1[MedMod]),"")</f>
        <v/>
      </c>
      <c r="P359" s="117" t="str">
        <f ca="1">IF(Tab.o1[[#This Row],[B]]=0,AVERAGE(OFFSET(Tab.o1[[#This Row],[B]],1,0,L$3,1)),Tab.o1[[#This Row],[B]])</f>
        <v/>
      </c>
      <c r="Q359" s="121" t="str">
        <f>IF(Tab.o1[[#This Row],[a1]]=1,NORMSDIST(Tab.o1[[#This Row],[Zb]]),"")</f>
        <v/>
      </c>
      <c r="R359" s="122" t="str">
        <f>IF(Tab.o1[[#This Row],[a1]]=1,((Tab.o1[[#This Row],[MedMod]]-AVERAGE(Tab.o1[MedMod]))/_xlfn.STDEV.P(Tab.o1[MedMod])*H$1203)+G$1203,"")</f>
        <v/>
      </c>
      <c r="S359" s="122" t="str">
        <f>IF(Tab.o1[[#This Row],[a1]]=1,((Tab.o1[[#This Row],[MedMod]]-AVERAGE(Tab.o1[MedMod]))/_xlfn.STDEV.P(Tab.o1[MedMod])*H$1204)+G$1204,"")</f>
        <v/>
      </c>
      <c r="T359" s="123" t="str">
        <f>IF(Tab.o1[[#This Row],[a1]]=1,Tab.o1[[#This Row],[Z-]]*_xlfn.STDEV.P(Tab.o1[B])+AVERAGE(Tab.o1[B]),"")</f>
        <v/>
      </c>
      <c r="U359" s="123" t="str">
        <f>IF(Tab.o1[[#This Row],[a1]]=1,Tab.o1[[#This Row],[z+]]*_xlfn.STDEV.P(Tab.o1[B])+AVERAGE(Tab.o1[B]),"")</f>
        <v/>
      </c>
      <c r="V359" s="124" t="str">
        <f>IF(Tab.o1[[#This Row],[a1]]=1,ABS((ABS(Tab.o1[[#This Row],[Red]]-Tab.o1[[#This Row],[Blue]]))),"")</f>
        <v/>
      </c>
      <c r="W359" s="125" t="str">
        <f>IF(Tab.o1[[#This Row],[a1]]=1,IF(W$3=0,1,Tab.o1[[#This Row],[Amp.]]*1/_xlfn.MINIFS(Tab.o1[Amp.],Tab.o1[Amp.],"&lt;&gt;0")),"")</f>
        <v/>
      </c>
      <c r="X359" s="126" t="str">
        <f>IF(Tab.o1[[#This Row],[a1]]=1,IF(ISNUMBER(Tab.o1[[#This Row],[i.]]),NORMDIST(Tab.o1[[#This Row],[Za]],0,1,FALSE)*Tab.o1[[#This Row],[i.]],AP$3),"")</f>
        <v/>
      </c>
      <c r="Y359" s="126" t="str">
        <f>IF(Tab.o1[[#This Row],[a1]]=1,0.01+0.94*Tab.o1[[#This Row],[PDF]]/MAX(Tab.o1[PDF]),"")</f>
        <v/>
      </c>
      <c r="Z359" s="126" t="str">
        <f>IF(Tab.o1[[#This Row],[a1]]=1,0.01+0.94*Tab.o1[[#This Row],[W1_PDF]]/MAX(Tab.o1[W1_PDF]),"")</f>
        <v/>
      </c>
      <c r="AA359" s="118" t="str">
        <f>IF(Tab.o1[[#This Row],[a1]]=1,ABS([1]!T.in.A[[#This Row],[oo6]]),"")</f>
        <v/>
      </c>
      <c r="AB359" s="127" t="str">
        <f>IF(Tab.o1[[#This Row],[a1]]=1,IF(AE$3=0,"",IF(AB$3=0,ABS([1]!T.in.A[[#This Row],[oo9]]),ABS(Tab.o1[[#This Row],[DIF_Target.]]*Tab.o1[[#This Row],[W1_PDF]]))),"")</f>
        <v/>
      </c>
      <c r="AC359" s="127" t="str">
        <f>IF(G$1=1,"",IF(Tab.o1[[#This Row],[a1]]=1,Tab.o1[[#This Row],[Wr]]^2,""))</f>
        <v/>
      </c>
      <c r="AD359" s="118" t="str">
        <f>IF(Tab.o1[[#This Row],[a1]]=1,IF(AE$3=0,"",Tab.o1[[#This Row],[Wr2]]/SUM(Tab.o1[Wr2])),"")</f>
        <v/>
      </c>
      <c r="AE359" s="128" t="str">
        <f>IF(Tab.o1[[#This Row],[a1]]=1,[1]!T.in.A[[#This Row],[oo10]],"")</f>
        <v/>
      </c>
      <c r="AF359" s="118" t="str">
        <f>IF(Tab.o1[[#This Row],[a1]]=1,ABS(Tab.o1[[#This Row],[DIF_Target.]]*Tab.o1[[#This Row],[PDF2]]*Tab.o1[[#This Row],[IN]]),"")</f>
        <v/>
      </c>
      <c r="AG359" s="129" t="str">
        <f>IF(Tab.o1[[#This Row],[a1]]=1,Tab.o1[[#This Row],[rW]]^2,"")</f>
        <v/>
      </c>
      <c r="AH359" s="130" t="str">
        <f>IF(Tab.o1[[#This Row],[a1]]=1,IF(AH$3=0,Tab.o1[[#This Row],[rW2]],0.01+0.94*Tab.o1[[#This Row],[rW2]]/SUM(Tab.o1[rW2])),"")</f>
        <v/>
      </c>
      <c r="AI359" s="128" t="str">
        <f>IF(Tab.o1[[#This Row],[a1]]=1,1/Tab.o1[[#This Row],[PDF]],"")</f>
        <v/>
      </c>
      <c r="AJ359" s="131" t="str">
        <f>IF(Tab.o1[[#This Row],[a1]]=1,[1]!T_AA[[#This Row],[IN'']]*[1]!T_AA[[#This Row],[Qde'']],"")</f>
        <v/>
      </c>
      <c r="AK359" s="132" t="str">
        <f>IF(Tab.o1[[#This Row],[a1]]=1,IF(AK$1=1,Tab.o1[[#This Row],[MED]]+Tab.o1[[#This Row],[MOD]]-Tab.o1[[#This Row],[MED]],""),"")</f>
        <v/>
      </c>
      <c r="AL359" s="133" t="str">
        <f>IF(Tab.o1[[#This Row],[a1]]=1,[1]!T.in.A[[#This Row],[oo16]],"")</f>
        <v/>
      </c>
      <c r="AM359" s="133" t="str">
        <f>IF(Tab.o1[[#This Row],[a1]]=1,IF(AM$3=1,[1]!T.in.A[[#This Row],[Σo16]],""),"")</f>
        <v/>
      </c>
      <c r="AN359" s="126" t="str">
        <f>IF(Tab.o1[[#This Row],[a1]]=1,[1]!T.in.A[[#This Row],[Σp5]],"")</f>
        <v/>
      </c>
      <c r="AO359" s="126" t="str">
        <f>IF(Tab.o1[[#This Row],[a1]]=1,IF(AO$3=1,[1]!T.in.A[[#This Row],[Σp5]],""),"")</f>
        <v/>
      </c>
      <c r="AP359" s="110" t="str">
        <f>IF(Tab.o1[[#This Row],[a1]]=1,IF(ISNUMBER(Tab.o1[[#This Row],[i.]]),NORMDIST(Tab.o1[[#This Row],[Za]],0,1,FALSE)*Tab.o1[[#This Row],[i.]],0),"")</f>
        <v/>
      </c>
      <c r="AQ359" s="125" t="str">
        <f>IF(Tab.o1[[#This Row],[a1]]=1,ABS(Tab.o1[[#This Row],[MOD]]-AVERAGE(Tab.o1[MOD])),"")</f>
        <v/>
      </c>
      <c r="AR359" s="134" t="str">
        <f>IF(Tab.o1[[#This Row],[a1]]=1,Tab.o1[[#This Row],[OBS]]/SUM(Tab.o1[OBS]),"")</f>
        <v/>
      </c>
      <c r="AS359" s="135" t="str">
        <f>IF(ISNUMBER(Tab.o1[[#This Row],[a1]]),ROW()-4,"")</f>
        <v/>
      </c>
      <c r="AT359" s="136" t="str">
        <f>Tab.o1[[#This Row],[MOD]]</f>
        <v/>
      </c>
      <c r="AU359" s="137" t="str">
        <f t="shared" si="21"/>
        <v/>
      </c>
      <c r="AV359" s="138" t="str">
        <f t="shared" si="22"/>
        <v/>
      </c>
      <c r="AW359" s="138" t="str">
        <f t="shared" si="23"/>
        <v/>
      </c>
      <c r="AX359" s="139" t="str">
        <f>[1]!T.in.A[[#This Row],[ID_T_manu]]</f>
        <v/>
      </c>
      <c r="AY359" s="140" t="str">
        <f>IF(ISNUMBER(Tab.o1[[#This Row],[a1]]),IF(AND(Tab.o1[[#This Row],[a1]]=1,Tab.o1[[#This Row],[b1]]&lt;=AY$4),#REF!,AY358),"")</f>
        <v/>
      </c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</row>
    <row r="360" spans="1:79" ht="15.75" hidden="1">
      <c r="A360" s="109">
        <v>-6.9999999999999999E-6</v>
      </c>
      <c r="B360" s="110">
        <f t="shared" si="20"/>
        <v>360</v>
      </c>
      <c r="C360" s="111" t="str">
        <f>IF(C$1=[1]!T.in.A[[#This Row],[oo2]],1,"")</f>
        <v/>
      </c>
      <c r="D360" s="112" t="str">
        <f>IF(Tab.o1[[#This Row],[a1]]=1,IF(SUM(C360:C361)=0,0,IF(SUM(C359:C360)=1,1,IF(SUM(C359:C361)&gt;1,D359+1,0))),"")</f>
        <v/>
      </c>
      <c r="E360" s="113" t="str">
        <f>IF(Tab.o1[[#This Row],[a1]]=1,[1]!T.in.A[[#This Row],[oo1]],"")</f>
        <v/>
      </c>
      <c r="F360" s="113" t="str">
        <f>IF(Tab.o1[[#This Row],[a1]]=1,[1]!T.in.A[[#This Row],[pp1]],"")</f>
        <v/>
      </c>
      <c r="G360" s="114" t="str">
        <f>IF(Tab.o1[[#This Row],[a1]]=1,G$2+IF(G$1=1,0,Tab.o1[[#This Row],[.x1]])+[1]!T.in.A[[#This Row],[oo3]],"")</f>
        <v/>
      </c>
      <c r="H360" s="115" t="str">
        <f>IF(Tab.o1[[#This Row],[a1]]=1,IF(H$2=0,0,IF(G$1=1,0,Tab.o1[[#This Row],[.x1]])+[1]!T.in.A[[#This Row],[oo4]]),"")</f>
        <v/>
      </c>
      <c r="I360" s="116" t="str">
        <f>IF(Tab.o1[[#This Row],[a1]]=1,IF(J$2=0,Tab.o1[[#This Row],[MED]],Tab.o1[[#This Row],[MOD]]),"")</f>
        <v/>
      </c>
      <c r="J360" s="116" t="str">
        <f>IF(Tab.o1[[#This Row],[a1]]=1,((Tab.o1[[#This Row],[DIF_Target.]]-AVERAGE(Tab.o1[DIF_Target.]))/_xlfn.STDEV.P(Tab.o1[DIF_Target.])),"")</f>
        <v/>
      </c>
      <c r="K360" s="117" t="str">
        <f>IF(Tab.o1[[#This Row],[a1]]=1,IF(J$2=0,Tab.o1[[#This Row],[MOD]]-Tab.o1[[#This Row],[B]],IF(J$2=1,0,-Tab.o1[[#This Row],[MED]])+Tab.o1[[#This Row],[B]]),"")</f>
        <v/>
      </c>
      <c r="L360" s="117" t="str">
        <f ca="1">IF(Tab.o1[[#This Row],[DIF_Target]]=0,IF(L$2=0,Tab.o1[[#This Row],[DIF_Target]],AVERAGE(OFFSET(Tab.o1[[#This Row],[DIF_Target]],1,0,L$3,1)))/3,Tab.o1[[#This Row],[DIF_Target]])</f>
        <v/>
      </c>
      <c r="M360" s="118" t="str">
        <f>IF(Tab.o1[[#This Row],[a1]]=1,NORMSDIST(Tab.o1[[#This Row],[Za]]),"")</f>
        <v/>
      </c>
      <c r="N360" s="119" t="str">
        <f>IF(Tab.o1[[#This Row],[a1]]=1,((Tab.o1[[#This Row],[MedMod]]-AVERAGE(Tab.o1[MedMod]))/_xlfn.STDEV.P(Tab.o1[MedMod])*H$1205)+G$1205,"")</f>
        <v/>
      </c>
      <c r="O360" s="141" t="str">
        <f>IF(Tab.o1[[#This Row],[a1]]=1,Tab.o1[[#This Row],[Zb]]*_xlfn.STDEV.P(Tab.o1[MedMod])+AVERAGE(Tab.o1[MedMod]),"")</f>
        <v/>
      </c>
      <c r="P360" s="117" t="str">
        <f ca="1">IF(Tab.o1[[#This Row],[B]]=0,AVERAGE(OFFSET(Tab.o1[[#This Row],[B]],1,0,L$3,1)),Tab.o1[[#This Row],[B]])</f>
        <v/>
      </c>
      <c r="Q360" s="121" t="str">
        <f>IF(Tab.o1[[#This Row],[a1]]=1,NORMSDIST(Tab.o1[[#This Row],[Zb]]),"")</f>
        <v/>
      </c>
      <c r="R360" s="122" t="str">
        <f>IF(Tab.o1[[#This Row],[a1]]=1,((Tab.o1[[#This Row],[MedMod]]-AVERAGE(Tab.o1[MedMod]))/_xlfn.STDEV.P(Tab.o1[MedMod])*H$1203)+G$1203,"")</f>
        <v/>
      </c>
      <c r="S360" s="122" t="str">
        <f>IF(Tab.o1[[#This Row],[a1]]=1,((Tab.o1[[#This Row],[MedMod]]-AVERAGE(Tab.o1[MedMod]))/_xlfn.STDEV.P(Tab.o1[MedMod])*H$1204)+G$1204,"")</f>
        <v/>
      </c>
      <c r="T360" s="123" t="str">
        <f>IF(Tab.o1[[#This Row],[a1]]=1,Tab.o1[[#This Row],[Z-]]*_xlfn.STDEV.P(Tab.o1[B])+AVERAGE(Tab.o1[B]),"")</f>
        <v/>
      </c>
      <c r="U360" s="123" t="str">
        <f>IF(Tab.o1[[#This Row],[a1]]=1,Tab.o1[[#This Row],[z+]]*_xlfn.STDEV.P(Tab.o1[B])+AVERAGE(Tab.o1[B]),"")</f>
        <v/>
      </c>
      <c r="V360" s="124" t="str">
        <f>IF(Tab.o1[[#This Row],[a1]]=1,ABS((ABS(Tab.o1[[#This Row],[Red]]-Tab.o1[[#This Row],[Blue]]))),"")</f>
        <v/>
      </c>
      <c r="W360" s="125" t="str">
        <f>IF(Tab.o1[[#This Row],[a1]]=1,IF(W$3=0,1,Tab.o1[[#This Row],[Amp.]]*1/_xlfn.MINIFS(Tab.o1[Amp.],Tab.o1[Amp.],"&lt;&gt;0")),"")</f>
        <v/>
      </c>
      <c r="X360" s="126" t="str">
        <f>IF(Tab.o1[[#This Row],[a1]]=1,IF(ISNUMBER(Tab.o1[[#This Row],[i.]]),NORMDIST(Tab.o1[[#This Row],[Za]],0,1,FALSE)*Tab.o1[[#This Row],[i.]],AP$3),"")</f>
        <v/>
      </c>
      <c r="Y360" s="126" t="str">
        <f>IF(Tab.o1[[#This Row],[a1]]=1,0.01+0.94*Tab.o1[[#This Row],[PDF]]/MAX(Tab.o1[PDF]),"")</f>
        <v/>
      </c>
      <c r="Z360" s="126" t="str">
        <f>IF(Tab.o1[[#This Row],[a1]]=1,0.01+0.94*Tab.o1[[#This Row],[W1_PDF]]/MAX(Tab.o1[W1_PDF]),"")</f>
        <v/>
      </c>
      <c r="AA360" s="118" t="str">
        <f>IF(Tab.o1[[#This Row],[a1]]=1,ABS([1]!T.in.A[[#This Row],[oo6]]),"")</f>
        <v/>
      </c>
      <c r="AB360" s="127" t="str">
        <f>IF(Tab.o1[[#This Row],[a1]]=1,IF(AE$3=0,"",IF(AB$3=0,ABS([1]!T.in.A[[#This Row],[oo9]]),ABS(Tab.o1[[#This Row],[DIF_Target.]]*Tab.o1[[#This Row],[W1_PDF]]))),"")</f>
        <v/>
      </c>
      <c r="AC360" s="127" t="str">
        <f>IF(G$1=1,"",IF(Tab.o1[[#This Row],[a1]]=1,Tab.o1[[#This Row],[Wr]]^2,""))</f>
        <v/>
      </c>
      <c r="AD360" s="118" t="str">
        <f>IF(Tab.o1[[#This Row],[a1]]=1,IF(AE$3=0,"",Tab.o1[[#This Row],[Wr2]]/SUM(Tab.o1[Wr2])),"")</f>
        <v/>
      </c>
      <c r="AE360" s="128" t="str">
        <f>IF(Tab.o1[[#This Row],[a1]]=1,[1]!T.in.A[[#This Row],[oo10]],"")</f>
        <v/>
      </c>
      <c r="AF360" s="118" t="str">
        <f>IF(Tab.o1[[#This Row],[a1]]=1,ABS(Tab.o1[[#This Row],[DIF_Target.]]*Tab.o1[[#This Row],[PDF2]]*Tab.o1[[#This Row],[IN]]),"")</f>
        <v/>
      </c>
      <c r="AG360" s="129" t="str">
        <f>IF(Tab.o1[[#This Row],[a1]]=1,Tab.o1[[#This Row],[rW]]^2,"")</f>
        <v/>
      </c>
      <c r="AH360" s="130" t="str">
        <f>IF(Tab.o1[[#This Row],[a1]]=1,IF(AH$3=0,Tab.o1[[#This Row],[rW2]],0.01+0.94*Tab.o1[[#This Row],[rW2]]/SUM(Tab.o1[rW2])),"")</f>
        <v/>
      </c>
      <c r="AI360" s="128" t="str">
        <f>IF(Tab.o1[[#This Row],[a1]]=1,1/Tab.o1[[#This Row],[PDF]],"")</f>
        <v/>
      </c>
      <c r="AJ360" s="131" t="str">
        <f>IF(Tab.o1[[#This Row],[a1]]=1,[1]!T_AA[[#This Row],[IN'']]*[1]!T_AA[[#This Row],[Qde'']],"")</f>
        <v/>
      </c>
      <c r="AK360" s="132" t="str">
        <f>IF(Tab.o1[[#This Row],[a1]]=1,IF(AK$1=1,Tab.o1[[#This Row],[MED]]+Tab.o1[[#This Row],[MOD]]-Tab.o1[[#This Row],[MED]],""),"")</f>
        <v/>
      </c>
      <c r="AL360" s="133" t="str">
        <f>IF(Tab.o1[[#This Row],[a1]]=1,[1]!T.in.A[[#This Row],[oo16]],"")</f>
        <v/>
      </c>
      <c r="AM360" s="133" t="str">
        <f>IF(Tab.o1[[#This Row],[a1]]=1,IF(AM$3=1,[1]!T.in.A[[#This Row],[Σo16]],""),"")</f>
        <v/>
      </c>
      <c r="AN360" s="126" t="str">
        <f>IF(Tab.o1[[#This Row],[a1]]=1,[1]!T.in.A[[#This Row],[Σp5]],"")</f>
        <v/>
      </c>
      <c r="AO360" s="126" t="str">
        <f>IF(Tab.o1[[#This Row],[a1]]=1,IF(AO$3=1,[1]!T.in.A[[#This Row],[Σp5]],""),"")</f>
        <v/>
      </c>
      <c r="AP360" s="110" t="str">
        <f>IF(Tab.o1[[#This Row],[a1]]=1,IF(ISNUMBER(Tab.o1[[#This Row],[i.]]),NORMDIST(Tab.o1[[#This Row],[Za]],0,1,FALSE)*Tab.o1[[#This Row],[i.]],0),"")</f>
        <v/>
      </c>
      <c r="AQ360" s="125" t="str">
        <f>IF(Tab.o1[[#This Row],[a1]]=1,ABS(Tab.o1[[#This Row],[MOD]]-AVERAGE(Tab.o1[MOD])),"")</f>
        <v/>
      </c>
      <c r="AR360" s="134" t="str">
        <f>IF(Tab.o1[[#This Row],[a1]]=1,Tab.o1[[#This Row],[OBS]]/SUM(Tab.o1[OBS]),"")</f>
        <v/>
      </c>
      <c r="AS360" s="135" t="str">
        <f>IF(ISNUMBER(Tab.o1[[#This Row],[a1]]),ROW()-4,"")</f>
        <v/>
      </c>
      <c r="AT360" s="136" t="str">
        <f>Tab.o1[[#This Row],[MOD]]</f>
        <v/>
      </c>
      <c r="AU360" s="137" t="str">
        <f t="shared" si="21"/>
        <v/>
      </c>
      <c r="AV360" s="138" t="str">
        <f t="shared" si="22"/>
        <v/>
      </c>
      <c r="AW360" s="138" t="str">
        <f t="shared" si="23"/>
        <v/>
      </c>
      <c r="AX360" s="139" t="str">
        <f>[1]!T.in.A[[#This Row],[ID_T_manu]]</f>
        <v/>
      </c>
      <c r="AY360" s="140" t="str">
        <f>IF(ISNUMBER(Tab.o1[[#This Row],[a1]]),IF(AND(Tab.o1[[#This Row],[a1]]=1,Tab.o1[[#This Row],[b1]]&lt;=AY$4),#REF!,AY359),"")</f>
        <v/>
      </c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</row>
    <row r="361" spans="1:79" ht="15.75" hidden="1">
      <c r="A361" s="109">
        <v>5.9999999999999993E-6</v>
      </c>
      <c r="B361" s="110">
        <f t="shared" si="20"/>
        <v>361</v>
      </c>
      <c r="C361" s="111" t="str">
        <f>IF(C$1=[1]!T.in.A[[#This Row],[oo2]],1,"")</f>
        <v/>
      </c>
      <c r="D361" s="112" t="str">
        <f>IF(Tab.o1[[#This Row],[a1]]=1,IF(SUM(C361:C362)=0,0,IF(SUM(C360:C361)=1,1,IF(SUM(C360:C362)&gt;1,D360+1,0))),"")</f>
        <v/>
      </c>
      <c r="E361" s="113" t="str">
        <f>IF(Tab.o1[[#This Row],[a1]]=1,[1]!T.in.A[[#This Row],[oo1]],"")</f>
        <v/>
      </c>
      <c r="F361" s="113" t="str">
        <f>IF(Tab.o1[[#This Row],[a1]]=1,[1]!T.in.A[[#This Row],[pp1]],"")</f>
        <v/>
      </c>
      <c r="G361" s="114" t="str">
        <f>IF(Tab.o1[[#This Row],[a1]]=1,G$2+IF(G$1=1,0,Tab.o1[[#This Row],[.x1]])+[1]!T.in.A[[#This Row],[oo3]],"")</f>
        <v/>
      </c>
      <c r="H361" s="115" t="str">
        <f>IF(Tab.o1[[#This Row],[a1]]=1,IF(H$2=0,0,IF(G$1=1,0,Tab.o1[[#This Row],[.x1]])+[1]!T.in.A[[#This Row],[oo4]]),"")</f>
        <v/>
      </c>
      <c r="I361" s="116" t="str">
        <f>IF(Tab.o1[[#This Row],[a1]]=1,IF(J$2=0,Tab.o1[[#This Row],[MED]],Tab.o1[[#This Row],[MOD]]),"")</f>
        <v/>
      </c>
      <c r="J361" s="116" t="str">
        <f>IF(Tab.o1[[#This Row],[a1]]=1,((Tab.o1[[#This Row],[DIF_Target.]]-AVERAGE(Tab.o1[DIF_Target.]))/_xlfn.STDEV.P(Tab.o1[DIF_Target.])),"")</f>
        <v/>
      </c>
      <c r="K361" s="117" t="str">
        <f>IF(Tab.o1[[#This Row],[a1]]=1,IF(J$2=0,Tab.o1[[#This Row],[MOD]]-Tab.o1[[#This Row],[B]],IF(J$2=1,0,-Tab.o1[[#This Row],[MED]])+Tab.o1[[#This Row],[B]]),"")</f>
        <v/>
      </c>
      <c r="L361" s="117" t="str">
        <f ca="1">IF(Tab.o1[[#This Row],[DIF_Target]]=0,IF(L$2=0,Tab.o1[[#This Row],[DIF_Target]],AVERAGE(OFFSET(Tab.o1[[#This Row],[DIF_Target]],1,0,L$3,1)))/3,Tab.o1[[#This Row],[DIF_Target]])</f>
        <v/>
      </c>
      <c r="M361" s="118" t="str">
        <f>IF(Tab.o1[[#This Row],[a1]]=1,NORMSDIST(Tab.o1[[#This Row],[Za]]),"")</f>
        <v/>
      </c>
      <c r="N361" s="119" t="str">
        <f>IF(Tab.o1[[#This Row],[a1]]=1,((Tab.o1[[#This Row],[MedMod]]-AVERAGE(Tab.o1[MedMod]))/_xlfn.STDEV.P(Tab.o1[MedMod])*H$1205)+G$1205,"")</f>
        <v/>
      </c>
      <c r="O361" s="141" t="str">
        <f>IF(Tab.o1[[#This Row],[a1]]=1,Tab.o1[[#This Row],[Zb]]*_xlfn.STDEV.P(Tab.o1[MedMod])+AVERAGE(Tab.o1[MedMod]),"")</f>
        <v/>
      </c>
      <c r="P361" s="117" t="str">
        <f ca="1">IF(Tab.o1[[#This Row],[B]]=0,AVERAGE(OFFSET(Tab.o1[[#This Row],[B]],1,0,L$3,1)),Tab.o1[[#This Row],[B]])</f>
        <v/>
      </c>
      <c r="Q361" s="121" t="str">
        <f>IF(Tab.o1[[#This Row],[a1]]=1,NORMSDIST(Tab.o1[[#This Row],[Zb]]),"")</f>
        <v/>
      </c>
      <c r="R361" s="122" t="str">
        <f>IF(Tab.o1[[#This Row],[a1]]=1,((Tab.o1[[#This Row],[MedMod]]-AVERAGE(Tab.o1[MedMod]))/_xlfn.STDEV.P(Tab.o1[MedMod])*H$1203)+G$1203,"")</f>
        <v/>
      </c>
      <c r="S361" s="122" t="str">
        <f>IF(Tab.o1[[#This Row],[a1]]=1,((Tab.o1[[#This Row],[MedMod]]-AVERAGE(Tab.o1[MedMod]))/_xlfn.STDEV.P(Tab.o1[MedMod])*H$1204)+G$1204,"")</f>
        <v/>
      </c>
      <c r="T361" s="123" t="str">
        <f>IF(Tab.o1[[#This Row],[a1]]=1,Tab.o1[[#This Row],[Z-]]*_xlfn.STDEV.P(Tab.o1[B])+AVERAGE(Tab.o1[B]),"")</f>
        <v/>
      </c>
      <c r="U361" s="123" t="str">
        <f>IF(Tab.o1[[#This Row],[a1]]=1,Tab.o1[[#This Row],[z+]]*_xlfn.STDEV.P(Tab.o1[B])+AVERAGE(Tab.o1[B]),"")</f>
        <v/>
      </c>
      <c r="V361" s="124" t="str">
        <f>IF(Tab.o1[[#This Row],[a1]]=1,ABS((ABS(Tab.o1[[#This Row],[Red]]-Tab.o1[[#This Row],[Blue]]))),"")</f>
        <v/>
      </c>
      <c r="W361" s="125" t="str">
        <f>IF(Tab.o1[[#This Row],[a1]]=1,IF(W$3=0,1,Tab.o1[[#This Row],[Amp.]]*1/_xlfn.MINIFS(Tab.o1[Amp.],Tab.o1[Amp.],"&lt;&gt;0")),"")</f>
        <v/>
      </c>
      <c r="X361" s="126" t="str">
        <f>IF(Tab.o1[[#This Row],[a1]]=1,IF(ISNUMBER(Tab.o1[[#This Row],[i.]]),NORMDIST(Tab.o1[[#This Row],[Za]],0,1,FALSE)*Tab.o1[[#This Row],[i.]],AP$3),"")</f>
        <v/>
      </c>
      <c r="Y361" s="126" t="str">
        <f>IF(Tab.o1[[#This Row],[a1]]=1,0.01+0.94*Tab.o1[[#This Row],[PDF]]/MAX(Tab.o1[PDF]),"")</f>
        <v/>
      </c>
      <c r="Z361" s="126" t="str">
        <f>IF(Tab.o1[[#This Row],[a1]]=1,0.01+0.94*Tab.o1[[#This Row],[W1_PDF]]/MAX(Tab.o1[W1_PDF]),"")</f>
        <v/>
      </c>
      <c r="AA361" s="118" t="str">
        <f>IF(Tab.o1[[#This Row],[a1]]=1,ABS([1]!T.in.A[[#This Row],[oo6]]),"")</f>
        <v/>
      </c>
      <c r="AB361" s="127" t="str">
        <f>IF(Tab.o1[[#This Row],[a1]]=1,IF(AE$3=0,"",IF(AB$3=0,ABS([1]!T.in.A[[#This Row],[oo9]]),ABS(Tab.o1[[#This Row],[DIF_Target.]]*Tab.o1[[#This Row],[W1_PDF]]))),"")</f>
        <v/>
      </c>
      <c r="AC361" s="127" t="str">
        <f>IF(G$1=1,"",IF(Tab.o1[[#This Row],[a1]]=1,Tab.o1[[#This Row],[Wr]]^2,""))</f>
        <v/>
      </c>
      <c r="AD361" s="118" t="str">
        <f>IF(Tab.o1[[#This Row],[a1]]=1,IF(AE$3=0,"",Tab.o1[[#This Row],[Wr2]]/SUM(Tab.o1[Wr2])),"")</f>
        <v/>
      </c>
      <c r="AE361" s="128" t="str">
        <f>IF(Tab.o1[[#This Row],[a1]]=1,[1]!T.in.A[[#This Row],[oo10]],"")</f>
        <v/>
      </c>
      <c r="AF361" s="118" t="str">
        <f>IF(Tab.o1[[#This Row],[a1]]=1,ABS(Tab.o1[[#This Row],[DIF_Target.]]*Tab.o1[[#This Row],[PDF2]]*Tab.o1[[#This Row],[IN]]),"")</f>
        <v/>
      </c>
      <c r="AG361" s="129" t="str">
        <f>IF(Tab.o1[[#This Row],[a1]]=1,Tab.o1[[#This Row],[rW]]^2,"")</f>
        <v/>
      </c>
      <c r="AH361" s="130" t="str">
        <f>IF(Tab.o1[[#This Row],[a1]]=1,IF(AH$3=0,Tab.o1[[#This Row],[rW2]],0.01+0.94*Tab.o1[[#This Row],[rW2]]/SUM(Tab.o1[rW2])),"")</f>
        <v/>
      </c>
      <c r="AI361" s="128" t="str">
        <f>IF(Tab.o1[[#This Row],[a1]]=1,1/Tab.o1[[#This Row],[PDF]],"")</f>
        <v/>
      </c>
      <c r="AJ361" s="131" t="str">
        <f>IF(Tab.o1[[#This Row],[a1]]=1,[1]!T_AA[[#This Row],[IN'']]*[1]!T_AA[[#This Row],[Qde'']],"")</f>
        <v/>
      </c>
      <c r="AK361" s="132" t="str">
        <f>IF(Tab.o1[[#This Row],[a1]]=1,IF(AK$1=1,Tab.o1[[#This Row],[MED]]+Tab.o1[[#This Row],[MOD]]-Tab.o1[[#This Row],[MED]],""),"")</f>
        <v/>
      </c>
      <c r="AL361" s="133" t="str">
        <f>IF(Tab.o1[[#This Row],[a1]]=1,[1]!T.in.A[[#This Row],[oo16]],"")</f>
        <v/>
      </c>
      <c r="AM361" s="133" t="str">
        <f>IF(Tab.o1[[#This Row],[a1]]=1,IF(AM$3=1,[1]!T.in.A[[#This Row],[Σo16]],""),"")</f>
        <v/>
      </c>
      <c r="AN361" s="126" t="str">
        <f>IF(Tab.o1[[#This Row],[a1]]=1,[1]!T.in.A[[#This Row],[Σp5]],"")</f>
        <v/>
      </c>
      <c r="AO361" s="126" t="str">
        <f>IF(Tab.o1[[#This Row],[a1]]=1,IF(AO$3=1,[1]!T.in.A[[#This Row],[Σp5]],""),"")</f>
        <v/>
      </c>
      <c r="AP361" s="110" t="str">
        <f>IF(Tab.o1[[#This Row],[a1]]=1,IF(ISNUMBER(Tab.o1[[#This Row],[i.]]),NORMDIST(Tab.o1[[#This Row],[Za]],0,1,FALSE)*Tab.o1[[#This Row],[i.]],0),"")</f>
        <v/>
      </c>
      <c r="AQ361" s="125" t="str">
        <f>IF(Tab.o1[[#This Row],[a1]]=1,ABS(Tab.o1[[#This Row],[MOD]]-AVERAGE(Tab.o1[MOD])),"")</f>
        <v/>
      </c>
      <c r="AR361" s="134" t="str">
        <f>IF(Tab.o1[[#This Row],[a1]]=1,Tab.o1[[#This Row],[OBS]]/SUM(Tab.o1[OBS]),"")</f>
        <v/>
      </c>
      <c r="AS361" s="135" t="str">
        <f>IF(ISNUMBER(Tab.o1[[#This Row],[a1]]),ROW()-4,"")</f>
        <v/>
      </c>
      <c r="AT361" s="136" t="str">
        <f>Tab.o1[[#This Row],[MOD]]</f>
        <v/>
      </c>
      <c r="AU361" s="137" t="str">
        <f t="shared" si="21"/>
        <v/>
      </c>
      <c r="AV361" s="138" t="str">
        <f t="shared" si="22"/>
        <v/>
      </c>
      <c r="AW361" s="138" t="str">
        <f t="shared" si="23"/>
        <v/>
      </c>
      <c r="AX361" s="139" t="str">
        <f>[1]!T.in.A[[#This Row],[ID_T_manu]]</f>
        <v/>
      </c>
      <c r="AY361" s="140" t="str">
        <f>IF(ISNUMBER(Tab.o1[[#This Row],[a1]]),IF(AND(Tab.o1[[#This Row],[a1]]=1,Tab.o1[[#This Row],[b1]]&lt;=AY$4),#REF!,AY360),"")</f>
        <v/>
      </c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</row>
    <row r="362" spans="1:79" ht="15.75" hidden="1">
      <c r="A362" s="109">
        <v>-2.0000000000000003E-6</v>
      </c>
      <c r="B362" s="110">
        <f t="shared" si="20"/>
        <v>362</v>
      </c>
      <c r="C362" s="111" t="str">
        <f>IF(C$1=[1]!T.in.A[[#This Row],[oo2]],1,"")</f>
        <v/>
      </c>
      <c r="D362" s="112" t="str">
        <f>IF(Tab.o1[[#This Row],[a1]]=1,IF(SUM(C362:C363)=0,0,IF(SUM(C361:C362)=1,1,IF(SUM(C361:C363)&gt;1,D361+1,0))),"")</f>
        <v/>
      </c>
      <c r="E362" s="113" t="str">
        <f>IF(Tab.o1[[#This Row],[a1]]=1,[1]!T.in.A[[#This Row],[oo1]],"")</f>
        <v/>
      </c>
      <c r="F362" s="113" t="str">
        <f>IF(Tab.o1[[#This Row],[a1]]=1,[1]!T.in.A[[#This Row],[pp1]],"")</f>
        <v/>
      </c>
      <c r="G362" s="114" t="str">
        <f>IF(Tab.o1[[#This Row],[a1]]=1,G$2+IF(G$1=1,0,Tab.o1[[#This Row],[.x1]])+[1]!T.in.A[[#This Row],[oo3]],"")</f>
        <v/>
      </c>
      <c r="H362" s="115" t="str">
        <f>IF(Tab.o1[[#This Row],[a1]]=1,IF(H$2=0,0,IF(G$1=1,0,Tab.o1[[#This Row],[.x1]])+[1]!T.in.A[[#This Row],[oo4]]),"")</f>
        <v/>
      </c>
      <c r="I362" s="116" t="str">
        <f>IF(Tab.o1[[#This Row],[a1]]=1,IF(J$2=0,Tab.o1[[#This Row],[MED]],Tab.o1[[#This Row],[MOD]]),"")</f>
        <v/>
      </c>
      <c r="J362" s="116" t="str">
        <f>IF(Tab.o1[[#This Row],[a1]]=1,((Tab.o1[[#This Row],[DIF_Target.]]-AVERAGE(Tab.o1[DIF_Target.]))/_xlfn.STDEV.P(Tab.o1[DIF_Target.])),"")</f>
        <v/>
      </c>
      <c r="K362" s="117" t="str">
        <f>IF(Tab.o1[[#This Row],[a1]]=1,IF(J$2=0,Tab.o1[[#This Row],[MOD]]-Tab.o1[[#This Row],[B]],IF(J$2=1,0,-Tab.o1[[#This Row],[MED]])+Tab.o1[[#This Row],[B]]),"")</f>
        <v/>
      </c>
      <c r="L362" s="117" t="str">
        <f ca="1">IF(Tab.o1[[#This Row],[DIF_Target]]=0,IF(L$2=0,Tab.o1[[#This Row],[DIF_Target]],AVERAGE(OFFSET(Tab.o1[[#This Row],[DIF_Target]],1,0,L$3,1)))/3,Tab.o1[[#This Row],[DIF_Target]])</f>
        <v/>
      </c>
      <c r="M362" s="118" t="str">
        <f>IF(Tab.o1[[#This Row],[a1]]=1,NORMSDIST(Tab.o1[[#This Row],[Za]]),"")</f>
        <v/>
      </c>
      <c r="N362" s="119" t="str">
        <f>IF(Tab.o1[[#This Row],[a1]]=1,((Tab.o1[[#This Row],[MedMod]]-AVERAGE(Tab.o1[MedMod]))/_xlfn.STDEV.P(Tab.o1[MedMod])*H$1205)+G$1205,"")</f>
        <v/>
      </c>
      <c r="O362" s="141" t="str">
        <f>IF(Tab.o1[[#This Row],[a1]]=1,Tab.o1[[#This Row],[Zb]]*_xlfn.STDEV.P(Tab.o1[MedMod])+AVERAGE(Tab.o1[MedMod]),"")</f>
        <v/>
      </c>
      <c r="P362" s="117" t="str">
        <f ca="1">IF(Tab.o1[[#This Row],[B]]=0,AVERAGE(OFFSET(Tab.o1[[#This Row],[B]],1,0,L$3,1)),Tab.o1[[#This Row],[B]])</f>
        <v/>
      </c>
      <c r="Q362" s="121" t="str">
        <f>IF(Tab.o1[[#This Row],[a1]]=1,NORMSDIST(Tab.o1[[#This Row],[Zb]]),"")</f>
        <v/>
      </c>
      <c r="R362" s="122" t="str">
        <f>IF(Tab.o1[[#This Row],[a1]]=1,((Tab.o1[[#This Row],[MedMod]]-AVERAGE(Tab.o1[MedMod]))/_xlfn.STDEV.P(Tab.o1[MedMod])*H$1203)+G$1203,"")</f>
        <v/>
      </c>
      <c r="S362" s="122" t="str">
        <f>IF(Tab.o1[[#This Row],[a1]]=1,((Tab.o1[[#This Row],[MedMod]]-AVERAGE(Tab.o1[MedMod]))/_xlfn.STDEV.P(Tab.o1[MedMod])*H$1204)+G$1204,"")</f>
        <v/>
      </c>
      <c r="T362" s="123" t="str">
        <f>IF(Tab.o1[[#This Row],[a1]]=1,Tab.o1[[#This Row],[Z-]]*_xlfn.STDEV.P(Tab.o1[B])+AVERAGE(Tab.o1[B]),"")</f>
        <v/>
      </c>
      <c r="U362" s="123" t="str">
        <f>IF(Tab.o1[[#This Row],[a1]]=1,Tab.o1[[#This Row],[z+]]*_xlfn.STDEV.P(Tab.o1[B])+AVERAGE(Tab.o1[B]),"")</f>
        <v/>
      </c>
      <c r="V362" s="124" t="str">
        <f>IF(Tab.o1[[#This Row],[a1]]=1,ABS((ABS(Tab.o1[[#This Row],[Red]]-Tab.o1[[#This Row],[Blue]]))),"")</f>
        <v/>
      </c>
      <c r="W362" s="125" t="str">
        <f>IF(Tab.o1[[#This Row],[a1]]=1,IF(W$3=0,1,Tab.o1[[#This Row],[Amp.]]*1/_xlfn.MINIFS(Tab.o1[Amp.],Tab.o1[Amp.],"&lt;&gt;0")),"")</f>
        <v/>
      </c>
      <c r="X362" s="126" t="str">
        <f>IF(Tab.o1[[#This Row],[a1]]=1,IF(ISNUMBER(Tab.o1[[#This Row],[i.]]),NORMDIST(Tab.o1[[#This Row],[Za]],0,1,FALSE)*Tab.o1[[#This Row],[i.]],AP$3),"")</f>
        <v/>
      </c>
      <c r="Y362" s="126" t="str">
        <f>IF(Tab.o1[[#This Row],[a1]]=1,0.01+0.94*Tab.o1[[#This Row],[PDF]]/MAX(Tab.o1[PDF]),"")</f>
        <v/>
      </c>
      <c r="Z362" s="126" t="str">
        <f>IF(Tab.o1[[#This Row],[a1]]=1,0.01+0.94*Tab.o1[[#This Row],[W1_PDF]]/MAX(Tab.o1[W1_PDF]),"")</f>
        <v/>
      </c>
      <c r="AA362" s="118" t="str">
        <f>IF(Tab.o1[[#This Row],[a1]]=1,ABS([1]!T.in.A[[#This Row],[oo6]]),"")</f>
        <v/>
      </c>
      <c r="AB362" s="127" t="str">
        <f>IF(Tab.o1[[#This Row],[a1]]=1,IF(AE$3=0,"",IF(AB$3=0,ABS([1]!T.in.A[[#This Row],[oo9]]),ABS(Tab.o1[[#This Row],[DIF_Target.]]*Tab.o1[[#This Row],[W1_PDF]]))),"")</f>
        <v/>
      </c>
      <c r="AC362" s="127" t="str">
        <f>IF(G$1=1,"",IF(Tab.o1[[#This Row],[a1]]=1,Tab.o1[[#This Row],[Wr]]^2,""))</f>
        <v/>
      </c>
      <c r="AD362" s="118" t="str">
        <f>IF(Tab.o1[[#This Row],[a1]]=1,IF(AE$3=0,"",Tab.o1[[#This Row],[Wr2]]/SUM(Tab.o1[Wr2])),"")</f>
        <v/>
      </c>
      <c r="AE362" s="128" t="str">
        <f>IF(Tab.o1[[#This Row],[a1]]=1,[1]!T.in.A[[#This Row],[oo10]],"")</f>
        <v/>
      </c>
      <c r="AF362" s="118" t="str">
        <f>IF(Tab.o1[[#This Row],[a1]]=1,ABS(Tab.o1[[#This Row],[DIF_Target.]]*Tab.o1[[#This Row],[PDF2]]*Tab.o1[[#This Row],[IN]]),"")</f>
        <v/>
      </c>
      <c r="AG362" s="129" t="str">
        <f>IF(Tab.o1[[#This Row],[a1]]=1,Tab.o1[[#This Row],[rW]]^2,"")</f>
        <v/>
      </c>
      <c r="AH362" s="130" t="str">
        <f>IF(Tab.o1[[#This Row],[a1]]=1,IF(AH$3=0,Tab.o1[[#This Row],[rW2]],0.01+0.94*Tab.o1[[#This Row],[rW2]]/SUM(Tab.o1[rW2])),"")</f>
        <v/>
      </c>
      <c r="AI362" s="128" t="str">
        <f>IF(Tab.o1[[#This Row],[a1]]=1,1/Tab.o1[[#This Row],[PDF]],"")</f>
        <v/>
      </c>
      <c r="AJ362" s="131" t="str">
        <f>IF(Tab.o1[[#This Row],[a1]]=1,[1]!T_AA[[#This Row],[IN'']]*[1]!T_AA[[#This Row],[Qde'']],"")</f>
        <v/>
      </c>
      <c r="AK362" s="132" t="str">
        <f>IF(Tab.o1[[#This Row],[a1]]=1,IF(AK$1=1,Tab.o1[[#This Row],[MED]]+Tab.o1[[#This Row],[MOD]]-Tab.o1[[#This Row],[MED]],""),"")</f>
        <v/>
      </c>
      <c r="AL362" s="133" t="str">
        <f>IF(Tab.o1[[#This Row],[a1]]=1,[1]!T.in.A[[#This Row],[oo16]],"")</f>
        <v/>
      </c>
      <c r="AM362" s="133" t="str">
        <f>IF(Tab.o1[[#This Row],[a1]]=1,IF(AM$3=1,[1]!T.in.A[[#This Row],[Σo16]],""),"")</f>
        <v/>
      </c>
      <c r="AN362" s="126" t="str">
        <f>IF(Tab.o1[[#This Row],[a1]]=1,[1]!T.in.A[[#This Row],[Σp5]],"")</f>
        <v/>
      </c>
      <c r="AO362" s="126" t="str">
        <f>IF(Tab.o1[[#This Row],[a1]]=1,IF(AO$3=1,[1]!T.in.A[[#This Row],[Σp5]],""),"")</f>
        <v/>
      </c>
      <c r="AP362" s="110" t="str">
        <f>IF(Tab.o1[[#This Row],[a1]]=1,IF(ISNUMBER(Tab.o1[[#This Row],[i.]]),NORMDIST(Tab.o1[[#This Row],[Za]],0,1,FALSE)*Tab.o1[[#This Row],[i.]],0),"")</f>
        <v/>
      </c>
      <c r="AQ362" s="125" t="str">
        <f>IF(Tab.o1[[#This Row],[a1]]=1,ABS(Tab.o1[[#This Row],[MOD]]-AVERAGE(Tab.o1[MOD])),"")</f>
        <v/>
      </c>
      <c r="AR362" s="134" t="str">
        <f>IF(Tab.o1[[#This Row],[a1]]=1,Tab.o1[[#This Row],[OBS]]/SUM(Tab.o1[OBS]),"")</f>
        <v/>
      </c>
      <c r="AS362" s="135" t="str">
        <f>IF(ISNUMBER(Tab.o1[[#This Row],[a1]]),ROW()-4,"")</f>
        <v/>
      </c>
      <c r="AT362" s="136" t="str">
        <f>Tab.o1[[#This Row],[MOD]]</f>
        <v/>
      </c>
      <c r="AU362" s="137" t="str">
        <f t="shared" si="21"/>
        <v/>
      </c>
      <c r="AV362" s="138" t="str">
        <f t="shared" si="22"/>
        <v/>
      </c>
      <c r="AW362" s="138" t="str">
        <f t="shared" si="23"/>
        <v/>
      </c>
      <c r="AX362" s="139" t="str">
        <f>[1]!T.in.A[[#This Row],[ID_T_manu]]</f>
        <v/>
      </c>
      <c r="AY362" s="140" t="str">
        <f>IF(ISNUMBER(Tab.o1[[#This Row],[a1]]),IF(AND(Tab.o1[[#This Row],[a1]]=1,Tab.o1[[#This Row],[b1]]&lt;=AY$4),#REF!,AY361),"")</f>
        <v/>
      </c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</row>
    <row r="363" spans="1:79" ht="15.75" hidden="1">
      <c r="A363" s="109">
        <v>5.9999999999999993E-6</v>
      </c>
      <c r="B363" s="110">
        <f t="shared" si="20"/>
        <v>363</v>
      </c>
      <c r="C363" s="111" t="str">
        <f>IF(C$1=[1]!T.in.A[[#This Row],[oo2]],1,"")</f>
        <v/>
      </c>
      <c r="D363" s="112" t="str">
        <f>IF(Tab.o1[[#This Row],[a1]]=1,IF(SUM(C363:C364)=0,0,IF(SUM(C362:C363)=1,1,IF(SUM(C362:C364)&gt;1,D362+1,0))),"")</f>
        <v/>
      </c>
      <c r="E363" s="113" t="str">
        <f>IF(Tab.o1[[#This Row],[a1]]=1,[1]!T.in.A[[#This Row],[oo1]],"")</f>
        <v/>
      </c>
      <c r="F363" s="113" t="str">
        <f>IF(Tab.o1[[#This Row],[a1]]=1,[1]!T.in.A[[#This Row],[pp1]],"")</f>
        <v/>
      </c>
      <c r="G363" s="114" t="str">
        <f>IF(Tab.o1[[#This Row],[a1]]=1,G$2+IF(G$1=1,0,Tab.o1[[#This Row],[.x1]])+[1]!T.in.A[[#This Row],[oo3]],"")</f>
        <v/>
      </c>
      <c r="H363" s="115" t="str">
        <f>IF(Tab.o1[[#This Row],[a1]]=1,IF(H$2=0,0,IF(G$1=1,0,Tab.o1[[#This Row],[.x1]])+[1]!T.in.A[[#This Row],[oo4]]),"")</f>
        <v/>
      </c>
      <c r="I363" s="116" t="str">
        <f>IF(Tab.o1[[#This Row],[a1]]=1,IF(J$2=0,Tab.o1[[#This Row],[MED]],Tab.o1[[#This Row],[MOD]]),"")</f>
        <v/>
      </c>
      <c r="J363" s="116" t="str">
        <f>IF(Tab.o1[[#This Row],[a1]]=1,((Tab.o1[[#This Row],[DIF_Target.]]-AVERAGE(Tab.o1[DIF_Target.]))/_xlfn.STDEV.P(Tab.o1[DIF_Target.])),"")</f>
        <v/>
      </c>
      <c r="K363" s="117" t="str">
        <f>IF(Tab.o1[[#This Row],[a1]]=1,IF(J$2=0,Tab.o1[[#This Row],[MOD]]-Tab.o1[[#This Row],[B]],IF(J$2=1,0,-Tab.o1[[#This Row],[MED]])+Tab.o1[[#This Row],[B]]),"")</f>
        <v/>
      </c>
      <c r="L363" s="117" t="str">
        <f ca="1">IF(Tab.o1[[#This Row],[DIF_Target]]=0,IF(L$2=0,Tab.o1[[#This Row],[DIF_Target]],AVERAGE(OFFSET(Tab.o1[[#This Row],[DIF_Target]],1,0,L$3,1)))/3,Tab.o1[[#This Row],[DIF_Target]])</f>
        <v/>
      </c>
      <c r="M363" s="118" t="str">
        <f>IF(Tab.o1[[#This Row],[a1]]=1,NORMSDIST(Tab.o1[[#This Row],[Za]]),"")</f>
        <v/>
      </c>
      <c r="N363" s="119" t="str">
        <f>IF(Tab.o1[[#This Row],[a1]]=1,((Tab.o1[[#This Row],[MedMod]]-AVERAGE(Tab.o1[MedMod]))/_xlfn.STDEV.P(Tab.o1[MedMod])*H$1205)+G$1205,"")</f>
        <v/>
      </c>
      <c r="O363" s="141" t="str">
        <f>IF(Tab.o1[[#This Row],[a1]]=1,Tab.o1[[#This Row],[Zb]]*_xlfn.STDEV.P(Tab.o1[MedMod])+AVERAGE(Tab.o1[MedMod]),"")</f>
        <v/>
      </c>
      <c r="P363" s="117" t="str">
        <f ca="1">IF(Tab.o1[[#This Row],[B]]=0,AVERAGE(OFFSET(Tab.o1[[#This Row],[B]],1,0,L$3,1)),Tab.o1[[#This Row],[B]])</f>
        <v/>
      </c>
      <c r="Q363" s="121" t="str">
        <f>IF(Tab.o1[[#This Row],[a1]]=1,NORMSDIST(Tab.o1[[#This Row],[Zb]]),"")</f>
        <v/>
      </c>
      <c r="R363" s="122" t="str">
        <f>IF(Tab.o1[[#This Row],[a1]]=1,((Tab.o1[[#This Row],[MedMod]]-AVERAGE(Tab.o1[MedMod]))/_xlfn.STDEV.P(Tab.o1[MedMod])*H$1203)+G$1203,"")</f>
        <v/>
      </c>
      <c r="S363" s="122" t="str">
        <f>IF(Tab.o1[[#This Row],[a1]]=1,((Tab.o1[[#This Row],[MedMod]]-AVERAGE(Tab.o1[MedMod]))/_xlfn.STDEV.P(Tab.o1[MedMod])*H$1204)+G$1204,"")</f>
        <v/>
      </c>
      <c r="T363" s="123" t="str">
        <f>IF(Tab.o1[[#This Row],[a1]]=1,Tab.o1[[#This Row],[Z-]]*_xlfn.STDEV.P(Tab.o1[B])+AVERAGE(Tab.o1[B]),"")</f>
        <v/>
      </c>
      <c r="U363" s="123" t="str">
        <f>IF(Tab.o1[[#This Row],[a1]]=1,Tab.o1[[#This Row],[z+]]*_xlfn.STDEV.P(Tab.o1[B])+AVERAGE(Tab.o1[B]),"")</f>
        <v/>
      </c>
      <c r="V363" s="124" t="str">
        <f>IF(Tab.o1[[#This Row],[a1]]=1,ABS((ABS(Tab.o1[[#This Row],[Red]]-Tab.o1[[#This Row],[Blue]]))),"")</f>
        <v/>
      </c>
      <c r="W363" s="125" t="str">
        <f>IF(Tab.o1[[#This Row],[a1]]=1,IF(W$3=0,1,Tab.o1[[#This Row],[Amp.]]*1/_xlfn.MINIFS(Tab.o1[Amp.],Tab.o1[Amp.],"&lt;&gt;0")),"")</f>
        <v/>
      </c>
      <c r="X363" s="126" t="str">
        <f>IF(Tab.o1[[#This Row],[a1]]=1,IF(ISNUMBER(Tab.o1[[#This Row],[i.]]),NORMDIST(Tab.o1[[#This Row],[Za]],0,1,FALSE)*Tab.o1[[#This Row],[i.]],AP$3),"")</f>
        <v/>
      </c>
      <c r="Y363" s="126" t="str">
        <f>IF(Tab.o1[[#This Row],[a1]]=1,0.01+0.94*Tab.o1[[#This Row],[PDF]]/MAX(Tab.o1[PDF]),"")</f>
        <v/>
      </c>
      <c r="Z363" s="126" t="str">
        <f>IF(Tab.o1[[#This Row],[a1]]=1,0.01+0.94*Tab.o1[[#This Row],[W1_PDF]]/MAX(Tab.o1[W1_PDF]),"")</f>
        <v/>
      </c>
      <c r="AA363" s="118" t="str">
        <f>IF(Tab.o1[[#This Row],[a1]]=1,ABS([1]!T.in.A[[#This Row],[oo6]]),"")</f>
        <v/>
      </c>
      <c r="AB363" s="127" t="str">
        <f>IF(Tab.o1[[#This Row],[a1]]=1,IF(AE$3=0,"",IF(AB$3=0,ABS([1]!T.in.A[[#This Row],[oo9]]),ABS(Tab.o1[[#This Row],[DIF_Target.]]*Tab.o1[[#This Row],[W1_PDF]]))),"")</f>
        <v/>
      </c>
      <c r="AC363" s="127" t="str">
        <f>IF(G$1=1,"",IF(Tab.o1[[#This Row],[a1]]=1,Tab.o1[[#This Row],[Wr]]^2,""))</f>
        <v/>
      </c>
      <c r="AD363" s="118" t="str">
        <f>IF(Tab.o1[[#This Row],[a1]]=1,IF(AE$3=0,"",Tab.o1[[#This Row],[Wr2]]/SUM(Tab.o1[Wr2])),"")</f>
        <v/>
      </c>
      <c r="AE363" s="128" t="str">
        <f>IF(Tab.o1[[#This Row],[a1]]=1,[1]!T.in.A[[#This Row],[oo10]],"")</f>
        <v/>
      </c>
      <c r="AF363" s="118" t="str">
        <f>IF(Tab.o1[[#This Row],[a1]]=1,ABS(Tab.o1[[#This Row],[DIF_Target.]]*Tab.o1[[#This Row],[PDF2]]*Tab.o1[[#This Row],[IN]]),"")</f>
        <v/>
      </c>
      <c r="AG363" s="129" t="str">
        <f>IF(Tab.o1[[#This Row],[a1]]=1,Tab.o1[[#This Row],[rW]]^2,"")</f>
        <v/>
      </c>
      <c r="AH363" s="130" t="str">
        <f>IF(Tab.o1[[#This Row],[a1]]=1,IF(AH$3=0,Tab.o1[[#This Row],[rW2]],0.01+0.94*Tab.o1[[#This Row],[rW2]]/SUM(Tab.o1[rW2])),"")</f>
        <v/>
      </c>
      <c r="AI363" s="128" t="str">
        <f>IF(Tab.o1[[#This Row],[a1]]=1,1/Tab.o1[[#This Row],[PDF]],"")</f>
        <v/>
      </c>
      <c r="AJ363" s="131" t="str">
        <f>IF(Tab.o1[[#This Row],[a1]]=1,[1]!T_AA[[#This Row],[IN'']]*[1]!T_AA[[#This Row],[Qde'']],"")</f>
        <v/>
      </c>
      <c r="AK363" s="132" t="str">
        <f>IF(Tab.o1[[#This Row],[a1]]=1,IF(AK$1=1,Tab.o1[[#This Row],[MED]]+Tab.o1[[#This Row],[MOD]]-Tab.o1[[#This Row],[MED]],""),"")</f>
        <v/>
      </c>
      <c r="AL363" s="133" t="str">
        <f>IF(Tab.o1[[#This Row],[a1]]=1,[1]!T.in.A[[#This Row],[oo16]],"")</f>
        <v/>
      </c>
      <c r="AM363" s="133" t="str">
        <f>IF(Tab.o1[[#This Row],[a1]]=1,IF(AM$3=1,[1]!T.in.A[[#This Row],[Σo16]],""),"")</f>
        <v/>
      </c>
      <c r="AN363" s="126" t="str">
        <f>IF(Tab.o1[[#This Row],[a1]]=1,[1]!T.in.A[[#This Row],[Σp5]],"")</f>
        <v/>
      </c>
      <c r="AO363" s="126" t="str">
        <f>IF(Tab.o1[[#This Row],[a1]]=1,IF(AO$3=1,[1]!T.in.A[[#This Row],[Σp5]],""),"")</f>
        <v/>
      </c>
      <c r="AP363" s="110" t="str">
        <f>IF(Tab.o1[[#This Row],[a1]]=1,IF(ISNUMBER(Tab.o1[[#This Row],[i.]]),NORMDIST(Tab.o1[[#This Row],[Za]],0,1,FALSE)*Tab.o1[[#This Row],[i.]],0),"")</f>
        <v/>
      </c>
      <c r="AQ363" s="125" t="str">
        <f>IF(Tab.o1[[#This Row],[a1]]=1,ABS(Tab.o1[[#This Row],[MOD]]-AVERAGE(Tab.o1[MOD])),"")</f>
        <v/>
      </c>
      <c r="AR363" s="134" t="str">
        <f>IF(Tab.o1[[#This Row],[a1]]=1,Tab.o1[[#This Row],[OBS]]/SUM(Tab.o1[OBS]),"")</f>
        <v/>
      </c>
      <c r="AS363" s="135" t="str">
        <f>IF(ISNUMBER(Tab.o1[[#This Row],[a1]]),ROW()-4,"")</f>
        <v/>
      </c>
      <c r="AT363" s="136" t="str">
        <f>Tab.o1[[#This Row],[MOD]]</f>
        <v/>
      </c>
      <c r="AU363" s="137" t="str">
        <f t="shared" si="21"/>
        <v/>
      </c>
      <c r="AV363" s="138" t="str">
        <f t="shared" si="22"/>
        <v/>
      </c>
      <c r="AW363" s="138" t="str">
        <f t="shared" si="23"/>
        <v/>
      </c>
      <c r="AX363" s="139" t="str">
        <f>[1]!T.in.A[[#This Row],[ID_T_manu]]</f>
        <v/>
      </c>
      <c r="AY363" s="140" t="str">
        <f>IF(ISNUMBER(Tab.o1[[#This Row],[a1]]),IF(AND(Tab.o1[[#This Row],[a1]]=1,Tab.o1[[#This Row],[b1]]&lt;=AY$4),#REF!,AY362),"")</f>
        <v/>
      </c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</row>
    <row r="364" spans="1:79" ht="15.75" hidden="1">
      <c r="A364" s="109">
        <v>-2.9999999999999997E-6</v>
      </c>
      <c r="B364" s="110">
        <f t="shared" si="20"/>
        <v>364</v>
      </c>
      <c r="C364" s="111" t="str">
        <f>IF(C$1=[1]!T.in.A[[#This Row],[oo2]],1,"")</f>
        <v/>
      </c>
      <c r="D364" s="112" t="str">
        <f>IF(Tab.o1[[#This Row],[a1]]=1,IF(SUM(C364:C365)=0,0,IF(SUM(C363:C364)=1,1,IF(SUM(C363:C365)&gt;1,D363+1,0))),"")</f>
        <v/>
      </c>
      <c r="E364" s="113" t="str">
        <f>IF(Tab.o1[[#This Row],[a1]]=1,[1]!T.in.A[[#This Row],[oo1]],"")</f>
        <v/>
      </c>
      <c r="F364" s="113" t="str">
        <f>IF(Tab.o1[[#This Row],[a1]]=1,[1]!T.in.A[[#This Row],[pp1]],"")</f>
        <v/>
      </c>
      <c r="G364" s="114" t="str">
        <f>IF(Tab.o1[[#This Row],[a1]]=1,G$2+IF(G$1=1,0,Tab.o1[[#This Row],[.x1]])+[1]!T.in.A[[#This Row],[oo3]],"")</f>
        <v/>
      </c>
      <c r="H364" s="115" t="str">
        <f>IF(Tab.o1[[#This Row],[a1]]=1,IF(H$2=0,0,IF(G$1=1,0,Tab.o1[[#This Row],[.x1]])+[1]!T.in.A[[#This Row],[oo4]]),"")</f>
        <v/>
      </c>
      <c r="I364" s="116" t="str">
        <f>IF(Tab.o1[[#This Row],[a1]]=1,IF(J$2=0,Tab.o1[[#This Row],[MED]],Tab.o1[[#This Row],[MOD]]),"")</f>
        <v/>
      </c>
      <c r="J364" s="116" t="str">
        <f>IF(Tab.o1[[#This Row],[a1]]=1,((Tab.o1[[#This Row],[DIF_Target.]]-AVERAGE(Tab.o1[DIF_Target.]))/_xlfn.STDEV.P(Tab.o1[DIF_Target.])),"")</f>
        <v/>
      </c>
      <c r="K364" s="117" t="str">
        <f>IF(Tab.o1[[#This Row],[a1]]=1,IF(J$2=0,Tab.o1[[#This Row],[MOD]]-Tab.o1[[#This Row],[B]],IF(J$2=1,0,-Tab.o1[[#This Row],[MED]])+Tab.o1[[#This Row],[B]]),"")</f>
        <v/>
      </c>
      <c r="L364" s="117" t="str">
        <f ca="1">IF(Tab.o1[[#This Row],[DIF_Target]]=0,IF(L$2=0,Tab.o1[[#This Row],[DIF_Target]],AVERAGE(OFFSET(Tab.o1[[#This Row],[DIF_Target]],1,0,L$3,1)))/3,Tab.o1[[#This Row],[DIF_Target]])</f>
        <v/>
      </c>
      <c r="M364" s="118" t="str">
        <f>IF(Tab.o1[[#This Row],[a1]]=1,NORMSDIST(Tab.o1[[#This Row],[Za]]),"")</f>
        <v/>
      </c>
      <c r="N364" s="119" t="str">
        <f>IF(Tab.o1[[#This Row],[a1]]=1,((Tab.o1[[#This Row],[MedMod]]-AVERAGE(Tab.o1[MedMod]))/_xlfn.STDEV.P(Tab.o1[MedMod])*H$1205)+G$1205,"")</f>
        <v/>
      </c>
      <c r="O364" s="141" t="str">
        <f>IF(Tab.o1[[#This Row],[a1]]=1,Tab.o1[[#This Row],[Zb]]*_xlfn.STDEV.P(Tab.o1[MedMod])+AVERAGE(Tab.o1[MedMod]),"")</f>
        <v/>
      </c>
      <c r="P364" s="117" t="str">
        <f ca="1">IF(Tab.o1[[#This Row],[B]]=0,AVERAGE(OFFSET(Tab.o1[[#This Row],[B]],1,0,L$3,1)),Tab.o1[[#This Row],[B]])</f>
        <v/>
      </c>
      <c r="Q364" s="121" t="str">
        <f>IF(Tab.o1[[#This Row],[a1]]=1,NORMSDIST(Tab.o1[[#This Row],[Zb]]),"")</f>
        <v/>
      </c>
      <c r="R364" s="122" t="str">
        <f>IF(Tab.o1[[#This Row],[a1]]=1,((Tab.o1[[#This Row],[MedMod]]-AVERAGE(Tab.o1[MedMod]))/_xlfn.STDEV.P(Tab.o1[MedMod])*H$1203)+G$1203,"")</f>
        <v/>
      </c>
      <c r="S364" s="122" t="str">
        <f>IF(Tab.o1[[#This Row],[a1]]=1,((Tab.o1[[#This Row],[MedMod]]-AVERAGE(Tab.o1[MedMod]))/_xlfn.STDEV.P(Tab.o1[MedMod])*H$1204)+G$1204,"")</f>
        <v/>
      </c>
      <c r="T364" s="123" t="str">
        <f>IF(Tab.o1[[#This Row],[a1]]=1,Tab.o1[[#This Row],[Z-]]*_xlfn.STDEV.P(Tab.o1[B])+AVERAGE(Tab.o1[B]),"")</f>
        <v/>
      </c>
      <c r="U364" s="123" t="str">
        <f>IF(Tab.o1[[#This Row],[a1]]=1,Tab.o1[[#This Row],[z+]]*_xlfn.STDEV.P(Tab.o1[B])+AVERAGE(Tab.o1[B]),"")</f>
        <v/>
      </c>
      <c r="V364" s="124" t="str">
        <f>IF(Tab.o1[[#This Row],[a1]]=1,ABS((ABS(Tab.o1[[#This Row],[Red]]-Tab.o1[[#This Row],[Blue]]))),"")</f>
        <v/>
      </c>
      <c r="W364" s="125" t="str">
        <f>IF(Tab.o1[[#This Row],[a1]]=1,IF(W$3=0,1,Tab.o1[[#This Row],[Amp.]]*1/_xlfn.MINIFS(Tab.o1[Amp.],Tab.o1[Amp.],"&lt;&gt;0")),"")</f>
        <v/>
      </c>
      <c r="X364" s="126" t="str">
        <f>IF(Tab.o1[[#This Row],[a1]]=1,IF(ISNUMBER(Tab.o1[[#This Row],[i.]]),NORMDIST(Tab.o1[[#This Row],[Za]],0,1,FALSE)*Tab.o1[[#This Row],[i.]],AP$3),"")</f>
        <v/>
      </c>
      <c r="Y364" s="126" t="str">
        <f>IF(Tab.o1[[#This Row],[a1]]=1,0.01+0.94*Tab.o1[[#This Row],[PDF]]/MAX(Tab.o1[PDF]),"")</f>
        <v/>
      </c>
      <c r="Z364" s="126" t="str">
        <f>IF(Tab.o1[[#This Row],[a1]]=1,0.01+0.94*Tab.o1[[#This Row],[W1_PDF]]/MAX(Tab.o1[W1_PDF]),"")</f>
        <v/>
      </c>
      <c r="AA364" s="118" t="str">
        <f>IF(Tab.o1[[#This Row],[a1]]=1,ABS([1]!T.in.A[[#This Row],[oo6]]),"")</f>
        <v/>
      </c>
      <c r="AB364" s="127" t="str">
        <f>IF(Tab.o1[[#This Row],[a1]]=1,IF(AE$3=0,"",IF(AB$3=0,ABS([1]!T.in.A[[#This Row],[oo9]]),ABS(Tab.o1[[#This Row],[DIF_Target.]]*Tab.o1[[#This Row],[W1_PDF]]))),"")</f>
        <v/>
      </c>
      <c r="AC364" s="127" t="str">
        <f>IF(G$1=1,"",IF(Tab.o1[[#This Row],[a1]]=1,Tab.o1[[#This Row],[Wr]]^2,""))</f>
        <v/>
      </c>
      <c r="AD364" s="118" t="str">
        <f>IF(Tab.o1[[#This Row],[a1]]=1,IF(AE$3=0,"",Tab.o1[[#This Row],[Wr2]]/SUM(Tab.o1[Wr2])),"")</f>
        <v/>
      </c>
      <c r="AE364" s="128" t="str">
        <f>IF(Tab.o1[[#This Row],[a1]]=1,[1]!T.in.A[[#This Row],[oo10]],"")</f>
        <v/>
      </c>
      <c r="AF364" s="118" t="str">
        <f>IF(Tab.o1[[#This Row],[a1]]=1,ABS(Tab.o1[[#This Row],[DIF_Target.]]*Tab.o1[[#This Row],[PDF2]]*Tab.o1[[#This Row],[IN]]),"")</f>
        <v/>
      </c>
      <c r="AG364" s="129" t="str">
        <f>IF(Tab.o1[[#This Row],[a1]]=1,Tab.o1[[#This Row],[rW]]^2,"")</f>
        <v/>
      </c>
      <c r="AH364" s="130" t="str">
        <f>IF(Tab.o1[[#This Row],[a1]]=1,IF(AH$3=0,Tab.o1[[#This Row],[rW2]],0.01+0.94*Tab.o1[[#This Row],[rW2]]/SUM(Tab.o1[rW2])),"")</f>
        <v/>
      </c>
      <c r="AI364" s="128" t="str">
        <f>IF(Tab.o1[[#This Row],[a1]]=1,1/Tab.o1[[#This Row],[PDF]],"")</f>
        <v/>
      </c>
      <c r="AJ364" s="131" t="str">
        <f>IF(Tab.o1[[#This Row],[a1]]=1,[1]!T_AA[[#This Row],[IN'']]*[1]!T_AA[[#This Row],[Qde'']],"")</f>
        <v/>
      </c>
      <c r="AK364" s="132" t="str">
        <f>IF(Tab.o1[[#This Row],[a1]]=1,IF(AK$1=1,Tab.o1[[#This Row],[MED]]+Tab.o1[[#This Row],[MOD]]-Tab.o1[[#This Row],[MED]],""),"")</f>
        <v/>
      </c>
      <c r="AL364" s="133" t="str">
        <f>IF(Tab.o1[[#This Row],[a1]]=1,[1]!T.in.A[[#This Row],[oo16]],"")</f>
        <v/>
      </c>
      <c r="AM364" s="133" t="str">
        <f>IF(Tab.o1[[#This Row],[a1]]=1,IF(AM$3=1,[1]!T.in.A[[#This Row],[Σo16]],""),"")</f>
        <v/>
      </c>
      <c r="AN364" s="126" t="str">
        <f>IF(Tab.o1[[#This Row],[a1]]=1,[1]!T.in.A[[#This Row],[Σp5]],"")</f>
        <v/>
      </c>
      <c r="AO364" s="126" t="str">
        <f>IF(Tab.o1[[#This Row],[a1]]=1,IF(AO$3=1,[1]!T.in.A[[#This Row],[Σp5]],""),"")</f>
        <v/>
      </c>
      <c r="AP364" s="110" t="str">
        <f>IF(Tab.o1[[#This Row],[a1]]=1,IF(ISNUMBER(Tab.o1[[#This Row],[i.]]),NORMDIST(Tab.o1[[#This Row],[Za]],0,1,FALSE)*Tab.o1[[#This Row],[i.]],0),"")</f>
        <v/>
      </c>
      <c r="AQ364" s="125" t="str">
        <f>IF(Tab.o1[[#This Row],[a1]]=1,ABS(Tab.o1[[#This Row],[MOD]]-AVERAGE(Tab.o1[MOD])),"")</f>
        <v/>
      </c>
      <c r="AR364" s="134" t="str">
        <f>IF(Tab.o1[[#This Row],[a1]]=1,Tab.o1[[#This Row],[OBS]]/SUM(Tab.o1[OBS]),"")</f>
        <v/>
      </c>
      <c r="AS364" s="135" t="str">
        <f>IF(ISNUMBER(Tab.o1[[#This Row],[a1]]),ROW()-4,"")</f>
        <v/>
      </c>
      <c r="AT364" s="136" t="str">
        <f>Tab.o1[[#This Row],[MOD]]</f>
        <v/>
      </c>
      <c r="AU364" s="137" t="str">
        <f t="shared" si="21"/>
        <v/>
      </c>
      <c r="AV364" s="138" t="str">
        <f t="shared" si="22"/>
        <v/>
      </c>
      <c r="AW364" s="138" t="str">
        <f t="shared" si="23"/>
        <v/>
      </c>
      <c r="AX364" s="139" t="str">
        <f>[1]!T.in.A[[#This Row],[ID_T_manu]]</f>
        <v/>
      </c>
      <c r="AY364" s="140" t="str">
        <f>IF(ISNUMBER(Tab.o1[[#This Row],[a1]]),IF(AND(Tab.o1[[#This Row],[a1]]=1,Tab.o1[[#This Row],[b1]]&lt;=AY$4),#REF!,AY363),"")</f>
        <v/>
      </c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</row>
    <row r="365" spans="1:79" ht="15.75" hidden="1">
      <c r="A365" s="109">
        <v>-1.0000000000000002E-6</v>
      </c>
      <c r="B365" s="110">
        <f t="shared" si="20"/>
        <v>365</v>
      </c>
      <c r="C365" s="111" t="str">
        <f>IF(C$1=[1]!T.in.A[[#This Row],[oo2]],1,"")</f>
        <v/>
      </c>
      <c r="D365" s="112" t="str">
        <f>IF(Tab.o1[[#This Row],[a1]]=1,IF(SUM(C365:C366)=0,0,IF(SUM(C364:C365)=1,1,IF(SUM(C364:C366)&gt;1,D364+1,0))),"")</f>
        <v/>
      </c>
      <c r="E365" s="113" t="str">
        <f>IF(Tab.o1[[#This Row],[a1]]=1,[1]!T.in.A[[#This Row],[oo1]],"")</f>
        <v/>
      </c>
      <c r="F365" s="113" t="str">
        <f>IF(Tab.o1[[#This Row],[a1]]=1,[1]!T.in.A[[#This Row],[pp1]],"")</f>
        <v/>
      </c>
      <c r="G365" s="114" t="str">
        <f>IF(Tab.o1[[#This Row],[a1]]=1,G$2+IF(G$1=1,0,Tab.o1[[#This Row],[.x1]])+[1]!T.in.A[[#This Row],[oo3]],"")</f>
        <v/>
      </c>
      <c r="H365" s="115" t="str">
        <f>IF(Tab.o1[[#This Row],[a1]]=1,IF(H$2=0,0,IF(G$1=1,0,Tab.o1[[#This Row],[.x1]])+[1]!T.in.A[[#This Row],[oo4]]),"")</f>
        <v/>
      </c>
      <c r="I365" s="116" t="str">
        <f>IF(Tab.o1[[#This Row],[a1]]=1,IF(J$2=0,Tab.o1[[#This Row],[MED]],Tab.o1[[#This Row],[MOD]]),"")</f>
        <v/>
      </c>
      <c r="J365" s="116" t="str">
        <f>IF(Tab.o1[[#This Row],[a1]]=1,((Tab.o1[[#This Row],[DIF_Target.]]-AVERAGE(Tab.o1[DIF_Target.]))/_xlfn.STDEV.P(Tab.o1[DIF_Target.])),"")</f>
        <v/>
      </c>
      <c r="K365" s="117" t="str">
        <f>IF(Tab.o1[[#This Row],[a1]]=1,IF(J$2=0,Tab.o1[[#This Row],[MOD]]-Tab.o1[[#This Row],[B]],IF(J$2=1,0,-Tab.o1[[#This Row],[MED]])+Tab.o1[[#This Row],[B]]),"")</f>
        <v/>
      </c>
      <c r="L365" s="117" t="str">
        <f ca="1">IF(Tab.o1[[#This Row],[DIF_Target]]=0,IF(L$2=0,Tab.o1[[#This Row],[DIF_Target]],AVERAGE(OFFSET(Tab.o1[[#This Row],[DIF_Target]],1,0,L$3,1)))/3,Tab.o1[[#This Row],[DIF_Target]])</f>
        <v/>
      </c>
      <c r="M365" s="118" t="str">
        <f>IF(Tab.o1[[#This Row],[a1]]=1,NORMSDIST(Tab.o1[[#This Row],[Za]]),"")</f>
        <v/>
      </c>
      <c r="N365" s="119" t="str">
        <f>IF(Tab.o1[[#This Row],[a1]]=1,((Tab.o1[[#This Row],[MedMod]]-AVERAGE(Tab.o1[MedMod]))/_xlfn.STDEV.P(Tab.o1[MedMod])*H$1205)+G$1205,"")</f>
        <v/>
      </c>
      <c r="O365" s="141" t="str">
        <f>IF(Tab.o1[[#This Row],[a1]]=1,Tab.o1[[#This Row],[Zb]]*_xlfn.STDEV.P(Tab.o1[MedMod])+AVERAGE(Tab.o1[MedMod]),"")</f>
        <v/>
      </c>
      <c r="P365" s="117" t="str">
        <f ca="1">IF(Tab.o1[[#This Row],[B]]=0,AVERAGE(OFFSET(Tab.o1[[#This Row],[B]],1,0,L$3,1)),Tab.o1[[#This Row],[B]])</f>
        <v/>
      </c>
      <c r="Q365" s="121" t="str">
        <f>IF(Tab.o1[[#This Row],[a1]]=1,NORMSDIST(Tab.o1[[#This Row],[Zb]]),"")</f>
        <v/>
      </c>
      <c r="R365" s="122" t="str">
        <f>IF(Tab.o1[[#This Row],[a1]]=1,((Tab.o1[[#This Row],[MedMod]]-AVERAGE(Tab.o1[MedMod]))/_xlfn.STDEV.P(Tab.o1[MedMod])*H$1203)+G$1203,"")</f>
        <v/>
      </c>
      <c r="S365" s="122" t="str">
        <f>IF(Tab.o1[[#This Row],[a1]]=1,((Tab.o1[[#This Row],[MedMod]]-AVERAGE(Tab.o1[MedMod]))/_xlfn.STDEV.P(Tab.o1[MedMod])*H$1204)+G$1204,"")</f>
        <v/>
      </c>
      <c r="T365" s="123" t="str">
        <f>IF(Tab.o1[[#This Row],[a1]]=1,Tab.o1[[#This Row],[Z-]]*_xlfn.STDEV.P(Tab.o1[B])+AVERAGE(Tab.o1[B]),"")</f>
        <v/>
      </c>
      <c r="U365" s="123" t="str">
        <f>IF(Tab.o1[[#This Row],[a1]]=1,Tab.o1[[#This Row],[z+]]*_xlfn.STDEV.P(Tab.o1[B])+AVERAGE(Tab.o1[B]),"")</f>
        <v/>
      </c>
      <c r="V365" s="124" t="str">
        <f>IF(Tab.o1[[#This Row],[a1]]=1,ABS((ABS(Tab.o1[[#This Row],[Red]]-Tab.o1[[#This Row],[Blue]]))),"")</f>
        <v/>
      </c>
      <c r="W365" s="125" t="str">
        <f>IF(Tab.o1[[#This Row],[a1]]=1,IF(W$3=0,1,Tab.o1[[#This Row],[Amp.]]*1/_xlfn.MINIFS(Tab.o1[Amp.],Tab.o1[Amp.],"&lt;&gt;0")),"")</f>
        <v/>
      </c>
      <c r="X365" s="126" t="str">
        <f>IF(Tab.o1[[#This Row],[a1]]=1,IF(ISNUMBER(Tab.o1[[#This Row],[i.]]),NORMDIST(Tab.o1[[#This Row],[Za]],0,1,FALSE)*Tab.o1[[#This Row],[i.]],AP$3),"")</f>
        <v/>
      </c>
      <c r="Y365" s="126" t="str">
        <f>IF(Tab.o1[[#This Row],[a1]]=1,0.01+0.94*Tab.o1[[#This Row],[PDF]]/MAX(Tab.o1[PDF]),"")</f>
        <v/>
      </c>
      <c r="Z365" s="126" t="str">
        <f>IF(Tab.o1[[#This Row],[a1]]=1,0.01+0.94*Tab.o1[[#This Row],[W1_PDF]]/MAX(Tab.o1[W1_PDF]),"")</f>
        <v/>
      </c>
      <c r="AA365" s="118" t="str">
        <f>IF(Tab.o1[[#This Row],[a1]]=1,ABS([1]!T.in.A[[#This Row],[oo6]]),"")</f>
        <v/>
      </c>
      <c r="AB365" s="127" t="str">
        <f>IF(Tab.o1[[#This Row],[a1]]=1,IF(AE$3=0,"",IF(AB$3=0,ABS([1]!T.in.A[[#This Row],[oo9]]),ABS(Tab.o1[[#This Row],[DIF_Target.]]*Tab.o1[[#This Row],[W1_PDF]]))),"")</f>
        <v/>
      </c>
      <c r="AC365" s="127" t="str">
        <f>IF(G$1=1,"",IF(Tab.o1[[#This Row],[a1]]=1,Tab.o1[[#This Row],[Wr]]^2,""))</f>
        <v/>
      </c>
      <c r="AD365" s="118" t="str">
        <f>IF(Tab.o1[[#This Row],[a1]]=1,IF(AE$3=0,"",Tab.o1[[#This Row],[Wr2]]/SUM(Tab.o1[Wr2])),"")</f>
        <v/>
      </c>
      <c r="AE365" s="128" t="str">
        <f>IF(Tab.o1[[#This Row],[a1]]=1,[1]!T.in.A[[#This Row],[oo10]],"")</f>
        <v/>
      </c>
      <c r="AF365" s="118" t="str">
        <f>IF(Tab.o1[[#This Row],[a1]]=1,ABS(Tab.o1[[#This Row],[DIF_Target.]]*Tab.o1[[#This Row],[PDF2]]*Tab.o1[[#This Row],[IN]]),"")</f>
        <v/>
      </c>
      <c r="AG365" s="129" t="str">
        <f>IF(Tab.o1[[#This Row],[a1]]=1,Tab.o1[[#This Row],[rW]]^2,"")</f>
        <v/>
      </c>
      <c r="AH365" s="130" t="str">
        <f>IF(Tab.o1[[#This Row],[a1]]=1,IF(AH$3=0,Tab.o1[[#This Row],[rW2]],0.01+0.94*Tab.o1[[#This Row],[rW2]]/SUM(Tab.o1[rW2])),"")</f>
        <v/>
      </c>
      <c r="AI365" s="128" t="str">
        <f>IF(Tab.o1[[#This Row],[a1]]=1,1/Tab.o1[[#This Row],[PDF]],"")</f>
        <v/>
      </c>
      <c r="AJ365" s="131" t="str">
        <f>IF(Tab.o1[[#This Row],[a1]]=1,[1]!T_AA[[#This Row],[IN'']]*[1]!T_AA[[#This Row],[Qde'']],"")</f>
        <v/>
      </c>
      <c r="AK365" s="132" t="str">
        <f>IF(Tab.o1[[#This Row],[a1]]=1,IF(AK$1=1,Tab.o1[[#This Row],[MED]]+Tab.o1[[#This Row],[MOD]]-Tab.o1[[#This Row],[MED]],""),"")</f>
        <v/>
      </c>
      <c r="AL365" s="133" t="str">
        <f>IF(Tab.o1[[#This Row],[a1]]=1,[1]!T.in.A[[#This Row],[oo16]],"")</f>
        <v/>
      </c>
      <c r="AM365" s="133" t="str">
        <f>IF(Tab.o1[[#This Row],[a1]]=1,IF(AM$3=1,[1]!T.in.A[[#This Row],[Σo16]],""),"")</f>
        <v/>
      </c>
      <c r="AN365" s="126" t="str">
        <f>IF(Tab.o1[[#This Row],[a1]]=1,[1]!T.in.A[[#This Row],[Σp5]],"")</f>
        <v/>
      </c>
      <c r="AO365" s="126" t="str">
        <f>IF(Tab.o1[[#This Row],[a1]]=1,IF(AO$3=1,[1]!T.in.A[[#This Row],[Σp5]],""),"")</f>
        <v/>
      </c>
      <c r="AP365" s="110" t="str">
        <f>IF(Tab.o1[[#This Row],[a1]]=1,IF(ISNUMBER(Tab.o1[[#This Row],[i.]]),NORMDIST(Tab.o1[[#This Row],[Za]],0,1,FALSE)*Tab.o1[[#This Row],[i.]],0),"")</f>
        <v/>
      </c>
      <c r="AQ365" s="125" t="str">
        <f>IF(Tab.o1[[#This Row],[a1]]=1,ABS(Tab.o1[[#This Row],[MOD]]-AVERAGE(Tab.o1[MOD])),"")</f>
        <v/>
      </c>
      <c r="AR365" s="134" t="str">
        <f>IF(Tab.o1[[#This Row],[a1]]=1,Tab.o1[[#This Row],[OBS]]/SUM(Tab.o1[OBS]),"")</f>
        <v/>
      </c>
      <c r="AS365" s="135" t="str">
        <f>IF(ISNUMBER(Tab.o1[[#This Row],[a1]]),ROW()-4,"")</f>
        <v/>
      </c>
      <c r="AT365" s="136" t="str">
        <f>Tab.o1[[#This Row],[MOD]]</f>
        <v/>
      </c>
      <c r="AU365" s="137" t="str">
        <f t="shared" si="21"/>
        <v/>
      </c>
      <c r="AV365" s="138" t="str">
        <f t="shared" si="22"/>
        <v/>
      </c>
      <c r="AW365" s="138" t="str">
        <f t="shared" si="23"/>
        <v/>
      </c>
      <c r="AX365" s="139" t="str">
        <f>[1]!T.in.A[[#This Row],[ID_T_manu]]</f>
        <v/>
      </c>
      <c r="AY365" s="140" t="str">
        <f>IF(ISNUMBER(Tab.o1[[#This Row],[a1]]),IF(AND(Tab.o1[[#This Row],[a1]]=1,Tab.o1[[#This Row],[b1]]&lt;=AY$4),#REF!,AY364),"")</f>
        <v/>
      </c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</row>
    <row r="366" spans="1:79" ht="15.75" hidden="1">
      <c r="A366" s="109">
        <v>1.0000000000000002E-6</v>
      </c>
      <c r="B366" s="110">
        <f t="shared" si="20"/>
        <v>366</v>
      </c>
      <c r="C366" s="111" t="str">
        <f>IF(C$1=[1]!T.in.A[[#This Row],[oo2]],1,"")</f>
        <v/>
      </c>
      <c r="D366" s="112" t="str">
        <f>IF(Tab.o1[[#This Row],[a1]]=1,IF(SUM(C366:C367)=0,0,IF(SUM(C365:C366)=1,1,IF(SUM(C365:C367)&gt;1,D365+1,0))),"")</f>
        <v/>
      </c>
      <c r="E366" s="113" t="str">
        <f>IF(Tab.o1[[#This Row],[a1]]=1,[1]!T.in.A[[#This Row],[oo1]],"")</f>
        <v/>
      </c>
      <c r="F366" s="113" t="str">
        <f>IF(Tab.o1[[#This Row],[a1]]=1,[1]!T.in.A[[#This Row],[pp1]],"")</f>
        <v/>
      </c>
      <c r="G366" s="114" t="str">
        <f>IF(Tab.o1[[#This Row],[a1]]=1,G$2+IF(G$1=1,0,Tab.o1[[#This Row],[.x1]])+[1]!T.in.A[[#This Row],[oo3]],"")</f>
        <v/>
      </c>
      <c r="H366" s="115" t="str">
        <f>IF(Tab.o1[[#This Row],[a1]]=1,IF(H$2=0,0,IF(G$1=1,0,Tab.o1[[#This Row],[.x1]])+[1]!T.in.A[[#This Row],[oo4]]),"")</f>
        <v/>
      </c>
      <c r="I366" s="116" t="str">
        <f>IF(Tab.o1[[#This Row],[a1]]=1,IF(J$2=0,Tab.o1[[#This Row],[MED]],Tab.o1[[#This Row],[MOD]]),"")</f>
        <v/>
      </c>
      <c r="J366" s="116" t="str">
        <f>IF(Tab.o1[[#This Row],[a1]]=1,((Tab.o1[[#This Row],[DIF_Target.]]-AVERAGE(Tab.o1[DIF_Target.]))/_xlfn.STDEV.P(Tab.o1[DIF_Target.])),"")</f>
        <v/>
      </c>
      <c r="K366" s="117" t="str">
        <f>IF(Tab.o1[[#This Row],[a1]]=1,IF(J$2=0,Tab.o1[[#This Row],[MOD]]-Tab.o1[[#This Row],[B]],IF(J$2=1,0,-Tab.o1[[#This Row],[MED]])+Tab.o1[[#This Row],[B]]),"")</f>
        <v/>
      </c>
      <c r="L366" s="117" t="str">
        <f ca="1">IF(Tab.o1[[#This Row],[DIF_Target]]=0,IF(L$2=0,Tab.o1[[#This Row],[DIF_Target]],AVERAGE(OFFSET(Tab.o1[[#This Row],[DIF_Target]],1,0,L$3,1)))/3,Tab.o1[[#This Row],[DIF_Target]])</f>
        <v/>
      </c>
      <c r="M366" s="118" t="str">
        <f>IF(Tab.o1[[#This Row],[a1]]=1,NORMSDIST(Tab.o1[[#This Row],[Za]]),"")</f>
        <v/>
      </c>
      <c r="N366" s="119" t="str">
        <f>IF(Tab.o1[[#This Row],[a1]]=1,((Tab.o1[[#This Row],[MedMod]]-AVERAGE(Tab.o1[MedMod]))/_xlfn.STDEV.P(Tab.o1[MedMod])*H$1205)+G$1205,"")</f>
        <v/>
      </c>
      <c r="O366" s="141" t="str">
        <f>IF(Tab.o1[[#This Row],[a1]]=1,Tab.o1[[#This Row],[Zb]]*_xlfn.STDEV.P(Tab.o1[MedMod])+AVERAGE(Tab.o1[MedMod]),"")</f>
        <v/>
      </c>
      <c r="P366" s="117" t="str">
        <f ca="1">IF(Tab.o1[[#This Row],[B]]=0,AVERAGE(OFFSET(Tab.o1[[#This Row],[B]],1,0,L$3,1)),Tab.o1[[#This Row],[B]])</f>
        <v/>
      </c>
      <c r="Q366" s="121" t="str">
        <f>IF(Tab.o1[[#This Row],[a1]]=1,NORMSDIST(Tab.o1[[#This Row],[Zb]]),"")</f>
        <v/>
      </c>
      <c r="R366" s="122" t="str">
        <f>IF(Tab.o1[[#This Row],[a1]]=1,((Tab.o1[[#This Row],[MedMod]]-AVERAGE(Tab.o1[MedMod]))/_xlfn.STDEV.P(Tab.o1[MedMod])*H$1203)+G$1203,"")</f>
        <v/>
      </c>
      <c r="S366" s="122" t="str">
        <f>IF(Tab.o1[[#This Row],[a1]]=1,((Tab.o1[[#This Row],[MedMod]]-AVERAGE(Tab.o1[MedMod]))/_xlfn.STDEV.P(Tab.o1[MedMod])*H$1204)+G$1204,"")</f>
        <v/>
      </c>
      <c r="T366" s="123" t="str">
        <f>IF(Tab.o1[[#This Row],[a1]]=1,Tab.o1[[#This Row],[Z-]]*_xlfn.STDEV.P(Tab.o1[B])+AVERAGE(Tab.o1[B]),"")</f>
        <v/>
      </c>
      <c r="U366" s="123" t="str">
        <f>IF(Tab.o1[[#This Row],[a1]]=1,Tab.o1[[#This Row],[z+]]*_xlfn.STDEV.P(Tab.o1[B])+AVERAGE(Tab.o1[B]),"")</f>
        <v/>
      </c>
      <c r="V366" s="124" t="str">
        <f>IF(Tab.o1[[#This Row],[a1]]=1,ABS((ABS(Tab.o1[[#This Row],[Red]]-Tab.o1[[#This Row],[Blue]]))),"")</f>
        <v/>
      </c>
      <c r="W366" s="125" t="str">
        <f>IF(Tab.o1[[#This Row],[a1]]=1,IF(W$3=0,1,Tab.o1[[#This Row],[Amp.]]*1/_xlfn.MINIFS(Tab.o1[Amp.],Tab.o1[Amp.],"&lt;&gt;0")),"")</f>
        <v/>
      </c>
      <c r="X366" s="126" t="str">
        <f>IF(Tab.o1[[#This Row],[a1]]=1,IF(ISNUMBER(Tab.o1[[#This Row],[i.]]),NORMDIST(Tab.o1[[#This Row],[Za]],0,1,FALSE)*Tab.o1[[#This Row],[i.]],AP$3),"")</f>
        <v/>
      </c>
      <c r="Y366" s="126" t="str">
        <f>IF(Tab.o1[[#This Row],[a1]]=1,0.01+0.94*Tab.o1[[#This Row],[PDF]]/MAX(Tab.o1[PDF]),"")</f>
        <v/>
      </c>
      <c r="Z366" s="126" t="str">
        <f>IF(Tab.o1[[#This Row],[a1]]=1,0.01+0.94*Tab.o1[[#This Row],[W1_PDF]]/MAX(Tab.o1[W1_PDF]),"")</f>
        <v/>
      </c>
      <c r="AA366" s="118" t="str">
        <f>IF(Tab.o1[[#This Row],[a1]]=1,ABS([1]!T.in.A[[#This Row],[oo6]]),"")</f>
        <v/>
      </c>
      <c r="AB366" s="127" t="str">
        <f>IF(Tab.o1[[#This Row],[a1]]=1,IF(AE$3=0,"",IF(AB$3=0,ABS([1]!T.in.A[[#This Row],[oo9]]),ABS(Tab.o1[[#This Row],[DIF_Target.]]*Tab.o1[[#This Row],[W1_PDF]]))),"")</f>
        <v/>
      </c>
      <c r="AC366" s="127" t="str">
        <f>IF(G$1=1,"",IF(Tab.o1[[#This Row],[a1]]=1,Tab.o1[[#This Row],[Wr]]^2,""))</f>
        <v/>
      </c>
      <c r="AD366" s="118" t="str">
        <f>IF(Tab.o1[[#This Row],[a1]]=1,IF(AE$3=0,"",Tab.o1[[#This Row],[Wr2]]/SUM(Tab.o1[Wr2])),"")</f>
        <v/>
      </c>
      <c r="AE366" s="128" t="str">
        <f>IF(Tab.o1[[#This Row],[a1]]=1,[1]!T.in.A[[#This Row],[oo10]],"")</f>
        <v/>
      </c>
      <c r="AF366" s="118" t="str">
        <f>IF(Tab.o1[[#This Row],[a1]]=1,ABS(Tab.o1[[#This Row],[DIF_Target.]]*Tab.o1[[#This Row],[PDF2]]*Tab.o1[[#This Row],[IN]]),"")</f>
        <v/>
      </c>
      <c r="AG366" s="129" t="str">
        <f>IF(Tab.o1[[#This Row],[a1]]=1,Tab.o1[[#This Row],[rW]]^2,"")</f>
        <v/>
      </c>
      <c r="AH366" s="130" t="str">
        <f>IF(Tab.o1[[#This Row],[a1]]=1,IF(AH$3=0,Tab.o1[[#This Row],[rW2]],0.01+0.94*Tab.o1[[#This Row],[rW2]]/SUM(Tab.o1[rW2])),"")</f>
        <v/>
      </c>
      <c r="AI366" s="128" t="str">
        <f>IF(Tab.o1[[#This Row],[a1]]=1,1/Tab.o1[[#This Row],[PDF]],"")</f>
        <v/>
      </c>
      <c r="AJ366" s="131" t="str">
        <f>IF(Tab.o1[[#This Row],[a1]]=1,[1]!T_AA[[#This Row],[IN'']]*[1]!T_AA[[#This Row],[Qde'']],"")</f>
        <v/>
      </c>
      <c r="AK366" s="132" t="str">
        <f>IF(Tab.o1[[#This Row],[a1]]=1,IF(AK$1=1,Tab.o1[[#This Row],[MED]]+Tab.o1[[#This Row],[MOD]]-Tab.o1[[#This Row],[MED]],""),"")</f>
        <v/>
      </c>
      <c r="AL366" s="133" t="str">
        <f>IF(Tab.o1[[#This Row],[a1]]=1,[1]!T.in.A[[#This Row],[oo16]],"")</f>
        <v/>
      </c>
      <c r="AM366" s="133" t="str">
        <f>IF(Tab.o1[[#This Row],[a1]]=1,IF(AM$3=1,[1]!T.in.A[[#This Row],[Σo16]],""),"")</f>
        <v/>
      </c>
      <c r="AN366" s="126" t="str">
        <f>IF(Tab.o1[[#This Row],[a1]]=1,[1]!T.in.A[[#This Row],[Σp5]],"")</f>
        <v/>
      </c>
      <c r="AO366" s="126" t="str">
        <f>IF(Tab.o1[[#This Row],[a1]]=1,IF(AO$3=1,[1]!T.in.A[[#This Row],[Σp5]],""),"")</f>
        <v/>
      </c>
      <c r="AP366" s="110" t="str">
        <f>IF(Tab.o1[[#This Row],[a1]]=1,IF(ISNUMBER(Tab.o1[[#This Row],[i.]]),NORMDIST(Tab.o1[[#This Row],[Za]],0,1,FALSE)*Tab.o1[[#This Row],[i.]],0),"")</f>
        <v/>
      </c>
      <c r="AQ366" s="125" t="str">
        <f>IF(Tab.o1[[#This Row],[a1]]=1,ABS(Tab.o1[[#This Row],[MOD]]-AVERAGE(Tab.o1[MOD])),"")</f>
        <v/>
      </c>
      <c r="AR366" s="134" t="str">
        <f>IF(Tab.o1[[#This Row],[a1]]=1,Tab.o1[[#This Row],[OBS]]/SUM(Tab.o1[OBS]),"")</f>
        <v/>
      </c>
      <c r="AS366" s="135" t="str">
        <f>IF(ISNUMBER(Tab.o1[[#This Row],[a1]]),ROW()-4,"")</f>
        <v/>
      </c>
      <c r="AT366" s="136" t="str">
        <f>Tab.o1[[#This Row],[MOD]]</f>
        <v/>
      </c>
      <c r="AU366" s="137" t="str">
        <f t="shared" si="21"/>
        <v/>
      </c>
      <c r="AV366" s="138" t="str">
        <f t="shared" si="22"/>
        <v/>
      </c>
      <c r="AW366" s="138" t="str">
        <f t="shared" si="23"/>
        <v/>
      </c>
      <c r="AX366" s="139" t="str">
        <f>[1]!T.in.A[[#This Row],[ID_T_manu]]</f>
        <v/>
      </c>
      <c r="AY366" s="140" t="str">
        <f>IF(ISNUMBER(Tab.o1[[#This Row],[a1]]),IF(AND(Tab.o1[[#This Row],[a1]]=1,Tab.o1[[#This Row],[b1]]&lt;=AY$4),#REF!,AY365),"")</f>
        <v/>
      </c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</row>
    <row r="367" spans="1:79" ht="15.75" hidden="1">
      <c r="A367" s="109">
        <v>-6.9999999999999999E-6</v>
      </c>
      <c r="B367" s="110">
        <f t="shared" si="20"/>
        <v>367</v>
      </c>
      <c r="C367" s="111" t="str">
        <f>IF(C$1=[1]!T.in.A[[#This Row],[oo2]],1,"")</f>
        <v/>
      </c>
      <c r="D367" s="112" t="str">
        <f>IF(Tab.o1[[#This Row],[a1]]=1,IF(SUM(C367:C368)=0,0,IF(SUM(C366:C367)=1,1,IF(SUM(C366:C368)&gt;1,D366+1,0))),"")</f>
        <v/>
      </c>
      <c r="E367" s="113" t="str">
        <f>IF(Tab.o1[[#This Row],[a1]]=1,[1]!T.in.A[[#This Row],[oo1]],"")</f>
        <v/>
      </c>
      <c r="F367" s="113" t="str">
        <f>IF(Tab.o1[[#This Row],[a1]]=1,[1]!T.in.A[[#This Row],[pp1]],"")</f>
        <v/>
      </c>
      <c r="G367" s="114" t="str">
        <f>IF(Tab.o1[[#This Row],[a1]]=1,G$2+IF(G$1=1,0,Tab.o1[[#This Row],[.x1]])+[1]!T.in.A[[#This Row],[oo3]],"")</f>
        <v/>
      </c>
      <c r="H367" s="115" t="str">
        <f>IF(Tab.o1[[#This Row],[a1]]=1,IF(H$2=0,0,IF(G$1=1,0,Tab.o1[[#This Row],[.x1]])+[1]!T.in.A[[#This Row],[oo4]]),"")</f>
        <v/>
      </c>
      <c r="I367" s="116" t="str">
        <f>IF(Tab.o1[[#This Row],[a1]]=1,IF(J$2=0,Tab.o1[[#This Row],[MED]],Tab.o1[[#This Row],[MOD]]),"")</f>
        <v/>
      </c>
      <c r="J367" s="116" t="str">
        <f>IF(Tab.o1[[#This Row],[a1]]=1,((Tab.o1[[#This Row],[DIF_Target.]]-AVERAGE(Tab.o1[DIF_Target.]))/_xlfn.STDEV.P(Tab.o1[DIF_Target.])),"")</f>
        <v/>
      </c>
      <c r="K367" s="117" t="str">
        <f>IF(Tab.o1[[#This Row],[a1]]=1,IF(J$2=0,Tab.o1[[#This Row],[MOD]]-Tab.o1[[#This Row],[B]],IF(J$2=1,0,-Tab.o1[[#This Row],[MED]])+Tab.o1[[#This Row],[B]]),"")</f>
        <v/>
      </c>
      <c r="L367" s="117" t="str">
        <f ca="1">IF(Tab.o1[[#This Row],[DIF_Target]]=0,IF(L$2=0,Tab.o1[[#This Row],[DIF_Target]],AVERAGE(OFFSET(Tab.o1[[#This Row],[DIF_Target]],1,0,L$3,1)))/3,Tab.o1[[#This Row],[DIF_Target]])</f>
        <v/>
      </c>
      <c r="M367" s="118" t="str">
        <f>IF(Tab.o1[[#This Row],[a1]]=1,NORMSDIST(Tab.o1[[#This Row],[Za]]),"")</f>
        <v/>
      </c>
      <c r="N367" s="119" t="str">
        <f>IF(Tab.o1[[#This Row],[a1]]=1,((Tab.o1[[#This Row],[MedMod]]-AVERAGE(Tab.o1[MedMod]))/_xlfn.STDEV.P(Tab.o1[MedMod])*H$1205)+G$1205,"")</f>
        <v/>
      </c>
      <c r="O367" s="141" t="str">
        <f>IF(Tab.o1[[#This Row],[a1]]=1,Tab.o1[[#This Row],[Zb]]*_xlfn.STDEV.P(Tab.o1[MedMod])+AVERAGE(Tab.o1[MedMod]),"")</f>
        <v/>
      </c>
      <c r="P367" s="117" t="str">
        <f ca="1">IF(Tab.o1[[#This Row],[B]]=0,AVERAGE(OFFSET(Tab.o1[[#This Row],[B]],1,0,L$3,1)),Tab.o1[[#This Row],[B]])</f>
        <v/>
      </c>
      <c r="Q367" s="121" t="str">
        <f>IF(Tab.o1[[#This Row],[a1]]=1,NORMSDIST(Tab.o1[[#This Row],[Zb]]),"")</f>
        <v/>
      </c>
      <c r="R367" s="122" t="str">
        <f>IF(Tab.o1[[#This Row],[a1]]=1,((Tab.o1[[#This Row],[MedMod]]-AVERAGE(Tab.o1[MedMod]))/_xlfn.STDEV.P(Tab.o1[MedMod])*H$1203)+G$1203,"")</f>
        <v/>
      </c>
      <c r="S367" s="122" t="str">
        <f>IF(Tab.o1[[#This Row],[a1]]=1,((Tab.o1[[#This Row],[MedMod]]-AVERAGE(Tab.o1[MedMod]))/_xlfn.STDEV.P(Tab.o1[MedMod])*H$1204)+G$1204,"")</f>
        <v/>
      </c>
      <c r="T367" s="123" t="str">
        <f>IF(Tab.o1[[#This Row],[a1]]=1,Tab.o1[[#This Row],[Z-]]*_xlfn.STDEV.P(Tab.o1[B])+AVERAGE(Tab.o1[B]),"")</f>
        <v/>
      </c>
      <c r="U367" s="123" t="str">
        <f>IF(Tab.o1[[#This Row],[a1]]=1,Tab.o1[[#This Row],[z+]]*_xlfn.STDEV.P(Tab.o1[B])+AVERAGE(Tab.o1[B]),"")</f>
        <v/>
      </c>
      <c r="V367" s="124" t="str">
        <f>IF(Tab.o1[[#This Row],[a1]]=1,ABS((ABS(Tab.o1[[#This Row],[Red]]-Tab.o1[[#This Row],[Blue]]))),"")</f>
        <v/>
      </c>
      <c r="W367" s="125" t="str">
        <f>IF(Tab.o1[[#This Row],[a1]]=1,IF(W$3=0,1,Tab.o1[[#This Row],[Amp.]]*1/_xlfn.MINIFS(Tab.o1[Amp.],Tab.o1[Amp.],"&lt;&gt;0")),"")</f>
        <v/>
      </c>
      <c r="X367" s="126" t="str">
        <f>IF(Tab.o1[[#This Row],[a1]]=1,IF(ISNUMBER(Tab.o1[[#This Row],[i.]]),NORMDIST(Tab.o1[[#This Row],[Za]],0,1,FALSE)*Tab.o1[[#This Row],[i.]],AP$3),"")</f>
        <v/>
      </c>
      <c r="Y367" s="126" t="str">
        <f>IF(Tab.o1[[#This Row],[a1]]=1,0.01+0.94*Tab.o1[[#This Row],[PDF]]/MAX(Tab.o1[PDF]),"")</f>
        <v/>
      </c>
      <c r="Z367" s="126" t="str">
        <f>IF(Tab.o1[[#This Row],[a1]]=1,0.01+0.94*Tab.o1[[#This Row],[W1_PDF]]/MAX(Tab.o1[W1_PDF]),"")</f>
        <v/>
      </c>
      <c r="AA367" s="118" t="str">
        <f>IF(Tab.o1[[#This Row],[a1]]=1,ABS([1]!T.in.A[[#This Row],[oo6]]),"")</f>
        <v/>
      </c>
      <c r="AB367" s="127" t="str">
        <f>IF(Tab.o1[[#This Row],[a1]]=1,IF(AE$3=0,"",IF(AB$3=0,ABS([1]!T.in.A[[#This Row],[oo9]]),ABS(Tab.o1[[#This Row],[DIF_Target.]]*Tab.o1[[#This Row],[W1_PDF]]))),"")</f>
        <v/>
      </c>
      <c r="AC367" s="127" t="str">
        <f>IF(G$1=1,"",IF(Tab.o1[[#This Row],[a1]]=1,Tab.o1[[#This Row],[Wr]]^2,""))</f>
        <v/>
      </c>
      <c r="AD367" s="118" t="str">
        <f>IF(Tab.o1[[#This Row],[a1]]=1,IF(AE$3=0,"",Tab.o1[[#This Row],[Wr2]]/SUM(Tab.o1[Wr2])),"")</f>
        <v/>
      </c>
      <c r="AE367" s="128" t="str">
        <f>IF(Tab.o1[[#This Row],[a1]]=1,[1]!T.in.A[[#This Row],[oo10]],"")</f>
        <v/>
      </c>
      <c r="AF367" s="118" t="str">
        <f>IF(Tab.o1[[#This Row],[a1]]=1,ABS(Tab.o1[[#This Row],[DIF_Target.]]*Tab.o1[[#This Row],[PDF2]]*Tab.o1[[#This Row],[IN]]),"")</f>
        <v/>
      </c>
      <c r="AG367" s="129" t="str">
        <f>IF(Tab.o1[[#This Row],[a1]]=1,Tab.o1[[#This Row],[rW]]^2,"")</f>
        <v/>
      </c>
      <c r="AH367" s="130" t="str">
        <f>IF(Tab.o1[[#This Row],[a1]]=1,IF(AH$3=0,Tab.o1[[#This Row],[rW2]],0.01+0.94*Tab.o1[[#This Row],[rW2]]/SUM(Tab.o1[rW2])),"")</f>
        <v/>
      </c>
      <c r="AI367" s="128" t="str">
        <f>IF(Tab.o1[[#This Row],[a1]]=1,1/Tab.o1[[#This Row],[PDF]],"")</f>
        <v/>
      </c>
      <c r="AJ367" s="131" t="str">
        <f>IF(Tab.o1[[#This Row],[a1]]=1,[1]!T_AA[[#This Row],[IN'']]*[1]!T_AA[[#This Row],[Qde'']],"")</f>
        <v/>
      </c>
      <c r="AK367" s="132" t="str">
        <f>IF(Tab.o1[[#This Row],[a1]]=1,IF(AK$1=1,Tab.o1[[#This Row],[MED]]+Tab.o1[[#This Row],[MOD]]-Tab.o1[[#This Row],[MED]],""),"")</f>
        <v/>
      </c>
      <c r="AL367" s="133" t="str">
        <f>IF(Tab.o1[[#This Row],[a1]]=1,[1]!T.in.A[[#This Row],[oo16]],"")</f>
        <v/>
      </c>
      <c r="AM367" s="133" t="str">
        <f>IF(Tab.o1[[#This Row],[a1]]=1,IF(AM$3=1,[1]!T.in.A[[#This Row],[Σo16]],""),"")</f>
        <v/>
      </c>
      <c r="AN367" s="126" t="str">
        <f>IF(Tab.o1[[#This Row],[a1]]=1,[1]!T.in.A[[#This Row],[Σp5]],"")</f>
        <v/>
      </c>
      <c r="AO367" s="126" t="str">
        <f>IF(Tab.o1[[#This Row],[a1]]=1,IF(AO$3=1,[1]!T.in.A[[#This Row],[Σp5]],""),"")</f>
        <v/>
      </c>
      <c r="AP367" s="110" t="str">
        <f>IF(Tab.o1[[#This Row],[a1]]=1,IF(ISNUMBER(Tab.o1[[#This Row],[i.]]),NORMDIST(Tab.o1[[#This Row],[Za]],0,1,FALSE)*Tab.o1[[#This Row],[i.]],0),"")</f>
        <v/>
      </c>
      <c r="AQ367" s="125" t="str">
        <f>IF(Tab.o1[[#This Row],[a1]]=1,ABS(Tab.o1[[#This Row],[MOD]]-AVERAGE(Tab.o1[MOD])),"")</f>
        <v/>
      </c>
      <c r="AR367" s="134" t="str">
        <f>IF(Tab.o1[[#This Row],[a1]]=1,Tab.o1[[#This Row],[OBS]]/SUM(Tab.o1[OBS]),"")</f>
        <v/>
      </c>
      <c r="AS367" s="135" t="str">
        <f>IF(ISNUMBER(Tab.o1[[#This Row],[a1]]),ROW()-4,"")</f>
        <v/>
      </c>
      <c r="AT367" s="136" t="str">
        <f>Tab.o1[[#This Row],[MOD]]</f>
        <v/>
      </c>
      <c r="AU367" s="137" t="str">
        <f t="shared" si="21"/>
        <v/>
      </c>
      <c r="AV367" s="138" t="str">
        <f t="shared" si="22"/>
        <v/>
      </c>
      <c r="AW367" s="138" t="str">
        <f t="shared" si="23"/>
        <v/>
      </c>
      <c r="AX367" s="139" t="str">
        <f>[1]!T.in.A[[#This Row],[ID_T_manu]]</f>
        <v/>
      </c>
      <c r="AY367" s="140" t="str">
        <f>IF(ISNUMBER(Tab.o1[[#This Row],[a1]]),IF(AND(Tab.o1[[#This Row],[a1]]=1,Tab.o1[[#This Row],[b1]]&lt;=AY$4),#REF!,AY366),"")</f>
        <v/>
      </c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</row>
    <row r="368" spans="1:79" ht="15.75" hidden="1">
      <c r="A368" s="109">
        <v>1.0000000000000002E-6</v>
      </c>
      <c r="B368" s="110">
        <f t="shared" si="20"/>
        <v>368</v>
      </c>
      <c r="C368" s="111" t="str">
        <f>IF(C$1=[1]!T.in.A[[#This Row],[oo2]],1,"")</f>
        <v/>
      </c>
      <c r="D368" s="112" t="str">
        <f>IF(Tab.o1[[#This Row],[a1]]=1,IF(SUM(C368:C369)=0,0,IF(SUM(C367:C368)=1,1,IF(SUM(C367:C369)&gt;1,D367+1,0))),"")</f>
        <v/>
      </c>
      <c r="E368" s="113" t="str">
        <f>IF(Tab.o1[[#This Row],[a1]]=1,[1]!T.in.A[[#This Row],[oo1]],"")</f>
        <v/>
      </c>
      <c r="F368" s="113" t="str">
        <f>IF(Tab.o1[[#This Row],[a1]]=1,[1]!T.in.A[[#This Row],[pp1]],"")</f>
        <v/>
      </c>
      <c r="G368" s="114" t="str">
        <f>IF(Tab.o1[[#This Row],[a1]]=1,G$2+IF(G$1=1,0,Tab.o1[[#This Row],[.x1]])+[1]!T.in.A[[#This Row],[oo3]],"")</f>
        <v/>
      </c>
      <c r="H368" s="115" t="str">
        <f>IF(Tab.o1[[#This Row],[a1]]=1,IF(H$2=0,0,IF(G$1=1,0,Tab.o1[[#This Row],[.x1]])+[1]!T.in.A[[#This Row],[oo4]]),"")</f>
        <v/>
      </c>
      <c r="I368" s="116" t="str">
        <f>IF(Tab.o1[[#This Row],[a1]]=1,IF(J$2=0,Tab.o1[[#This Row],[MED]],Tab.o1[[#This Row],[MOD]]),"")</f>
        <v/>
      </c>
      <c r="J368" s="116" t="str">
        <f>IF(Tab.o1[[#This Row],[a1]]=1,((Tab.o1[[#This Row],[DIF_Target.]]-AVERAGE(Tab.o1[DIF_Target.]))/_xlfn.STDEV.P(Tab.o1[DIF_Target.])),"")</f>
        <v/>
      </c>
      <c r="K368" s="117" t="str">
        <f>IF(Tab.o1[[#This Row],[a1]]=1,IF(J$2=0,Tab.o1[[#This Row],[MOD]]-Tab.o1[[#This Row],[B]],IF(J$2=1,0,-Tab.o1[[#This Row],[MED]])+Tab.o1[[#This Row],[B]]),"")</f>
        <v/>
      </c>
      <c r="L368" s="117" t="str">
        <f ca="1">IF(Tab.o1[[#This Row],[DIF_Target]]=0,IF(L$2=0,Tab.o1[[#This Row],[DIF_Target]],AVERAGE(OFFSET(Tab.o1[[#This Row],[DIF_Target]],1,0,L$3,1)))/3,Tab.o1[[#This Row],[DIF_Target]])</f>
        <v/>
      </c>
      <c r="M368" s="118" t="str">
        <f>IF(Tab.o1[[#This Row],[a1]]=1,NORMSDIST(Tab.o1[[#This Row],[Za]]),"")</f>
        <v/>
      </c>
      <c r="N368" s="119" t="str">
        <f>IF(Tab.o1[[#This Row],[a1]]=1,((Tab.o1[[#This Row],[MedMod]]-AVERAGE(Tab.o1[MedMod]))/_xlfn.STDEV.P(Tab.o1[MedMod])*H$1205)+G$1205,"")</f>
        <v/>
      </c>
      <c r="O368" s="141" t="str">
        <f>IF(Tab.o1[[#This Row],[a1]]=1,Tab.o1[[#This Row],[Zb]]*_xlfn.STDEV.P(Tab.o1[MedMod])+AVERAGE(Tab.o1[MedMod]),"")</f>
        <v/>
      </c>
      <c r="P368" s="117" t="str">
        <f ca="1">IF(Tab.o1[[#This Row],[B]]=0,AVERAGE(OFFSET(Tab.o1[[#This Row],[B]],1,0,L$3,1)),Tab.o1[[#This Row],[B]])</f>
        <v/>
      </c>
      <c r="Q368" s="121" t="str">
        <f>IF(Tab.o1[[#This Row],[a1]]=1,NORMSDIST(Tab.o1[[#This Row],[Zb]]),"")</f>
        <v/>
      </c>
      <c r="R368" s="122" t="str">
        <f>IF(Tab.o1[[#This Row],[a1]]=1,((Tab.o1[[#This Row],[MedMod]]-AVERAGE(Tab.o1[MedMod]))/_xlfn.STDEV.P(Tab.o1[MedMod])*H$1203)+G$1203,"")</f>
        <v/>
      </c>
      <c r="S368" s="122" t="str">
        <f>IF(Tab.o1[[#This Row],[a1]]=1,((Tab.o1[[#This Row],[MedMod]]-AVERAGE(Tab.o1[MedMod]))/_xlfn.STDEV.P(Tab.o1[MedMod])*H$1204)+G$1204,"")</f>
        <v/>
      </c>
      <c r="T368" s="123" t="str">
        <f>IF(Tab.o1[[#This Row],[a1]]=1,Tab.o1[[#This Row],[Z-]]*_xlfn.STDEV.P(Tab.o1[B])+AVERAGE(Tab.o1[B]),"")</f>
        <v/>
      </c>
      <c r="U368" s="123" t="str">
        <f>IF(Tab.o1[[#This Row],[a1]]=1,Tab.o1[[#This Row],[z+]]*_xlfn.STDEV.P(Tab.o1[B])+AVERAGE(Tab.o1[B]),"")</f>
        <v/>
      </c>
      <c r="V368" s="124" t="str">
        <f>IF(Tab.o1[[#This Row],[a1]]=1,ABS((ABS(Tab.o1[[#This Row],[Red]]-Tab.o1[[#This Row],[Blue]]))),"")</f>
        <v/>
      </c>
      <c r="W368" s="125" t="str">
        <f>IF(Tab.o1[[#This Row],[a1]]=1,IF(W$3=0,1,Tab.o1[[#This Row],[Amp.]]*1/_xlfn.MINIFS(Tab.o1[Amp.],Tab.o1[Amp.],"&lt;&gt;0")),"")</f>
        <v/>
      </c>
      <c r="X368" s="126" t="str">
        <f>IF(Tab.o1[[#This Row],[a1]]=1,IF(ISNUMBER(Tab.o1[[#This Row],[i.]]),NORMDIST(Tab.o1[[#This Row],[Za]],0,1,FALSE)*Tab.o1[[#This Row],[i.]],AP$3),"")</f>
        <v/>
      </c>
      <c r="Y368" s="126" t="str">
        <f>IF(Tab.o1[[#This Row],[a1]]=1,0.01+0.94*Tab.o1[[#This Row],[PDF]]/MAX(Tab.o1[PDF]),"")</f>
        <v/>
      </c>
      <c r="Z368" s="126" t="str">
        <f>IF(Tab.o1[[#This Row],[a1]]=1,0.01+0.94*Tab.o1[[#This Row],[W1_PDF]]/MAX(Tab.o1[W1_PDF]),"")</f>
        <v/>
      </c>
      <c r="AA368" s="118" t="str">
        <f>IF(Tab.o1[[#This Row],[a1]]=1,ABS([1]!T.in.A[[#This Row],[oo6]]),"")</f>
        <v/>
      </c>
      <c r="AB368" s="127" t="str">
        <f>IF(Tab.o1[[#This Row],[a1]]=1,IF(AE$3=0,"",IF(AB$3=0,ABS([1]!T.in.A[[#This Row],[oo9]]),ABS(Tab.o1[[#This Row],[DIF_Target.]]*Tab.o1[[#This Row],[W1_PDF]]))),"")</f>
        <v/>
      </c>
      <c r="AC368" s="127" t="str">
        <f>IF(G$1=1,"",IF(Tab.o1[[#This Row],[a1]]=1,Tab.o1[[#This Row],[Wr]]^2,""))</f>
        <v/>
      </c>
      <c r="AD368" s="118" t="str">
        <f>IF(Tab.o1[[#This Row],[a1]]=1,IF(AE$3=0,"",Tab.o1[[#This Row],[Wr2]]/SUM(Tab.o1[Wr2])),"")</f>
        <v/>
      </c>
      <c r="AE368" s="128" t="str">
        <f>IF(Tab.o1[[#This Row],[a1]]=1,[1]!T.in.A[[#This Row],[oo10]],"")</f>
        <v/>
      </c>
      <c r="AF368" s="118" t="str">
        <f>IF(Tab.o1[[#This Row],[a1]]=1,ABS(Tab.o1[[#This Row],[DIF_Target.]]*Tab.o1[[#This Row],[PDF2]]*Tab.o1[[#This Row],[IN]]),"")</f>
        <v/>
      </c>
      <c r="AG368" s="129" t="str">
        <f>IF(Tab.o1[[#This Row],[a1]]=1,Tab.o1[[#This Row],[rW]]^2,"")</f>
        <v/>
      </c>
      <c r="AH368" s="130" t="str">
        <f>IF(Tab.o1[[#This Row],[a1]]=1,IF(AH$3=0,Tab.o1[[#This Row],[rW2]],0.01+0.94*Tab.o1[[#This Row],[rW2]]/SUM(Tab.o1[rW2])),"")</f>
        <v/>
      </c>
      <c r="AI368" s="128" t="str">
        <f>IF(Tab.o1[[#This Row],[a1]]=1,1/Tab.o1[[#This Row],[PDF]],"")</f>
        <v/>
      </c>
      <c r="AJ368" s="131" t="str">
        <f>IF(Tab.o1[[#This Row],[a1]]=1,[1]!T_AA[[#This Row],[IN'']]*[1]!T_AA[[#This Row],[Qde'']],"")</f>
        <v/>
      </c>
      <c r="AK368" s="132" t="str">
        <f>IF(Tab.o1[[#This Row],[a1]]=1,IF(AK$1=1,Tab.o1[[#This Row],[MED]]+Tab.o1[[#This Row],[MOD]]-Tab.o1[[#This Row],[MED]],""),"")</f>
        <v/>
      </c>
      <c r="AL368" s="133" t="str">
        <f>IF(Tab.o1[[#This Row],[a1]]=1,[1]!T.in.A[[#This Row],[oo16]],"")</f>
        <v/>
      </c>
      <c r="AM368" s="133" t="str">
        <f>IF(Tab.o1[[#This Row],[a1]]=1,IF(AM$3=1,[1]!T.in.A[[#This Row],[Σo16]],""),"")</f>
        <v/>
      </c>
      <c r="AN368" s="126" t="str">
        <f>IF(Tab.o1[[#This Row],[a1]]=1,[1]!T.in.A[[#This Row],[Σp5]],"")</f>
        <v/>
      </c>
      <c r="AO368" s="126" t="str">
        <f>IF(Tab.o1[[#This Row],[a1]]=1,IF(AO$3=1,[1]!T.in.A[[#This Row],[Σp5]],""),"")</f>
        <v/>
      </c>
      <c r="AP368" s="110" t="str">
        <f>IF(Tab.o1[[#This Row],[a1]]=1,IF(ISNUMBER(Tab.o1[[#This Row],[i.]]),NORMDIST(Tab.o1[[#This Row],[Za]],0,1,FALSE)*Tab.o1[[#This Row],[i.]],0),"")</f>
        <v/>
      </c>
      <c r="AQ368" s="125" t="str">
        <f>IF(Tab.o1[[#This Row],[a1]]=1,ABS(Tab.o1[[#This Row],[MOD]]-AVERAGE(Tab.o1[MOD])),"")</f>
        <v/>
      </c>
      <c r="AR368" s="134" t="str">
        <f>IF(Tab.o1[[#This Row],[a1]]=1,Tab.o1[[#This Row],[OBS]]/SUM(Tab.o1[OBS]),"")</f>
        <v/>
      </c>
      <c r="AS368" s="135" t="str">
        <f>IF(ISNUMBER(Tab.o1[[#This Row],[a1]]),ROW()-4,"")</f>
        <v/>
      </c>
      <c r="AT368" s="136" t="str">
        <f>Tab.o1[[#This Row],[MOD]]</f>
        <v/>
      </c>
      <c r="AU368" s="137" t="str">
        <f t="shared" si="21"/>
        <v/>
      </c>
      <c r="AV368" s="138" t="str">
        <f t="shared" si="22"/>
        <v/>
      </c>
      <c r="AW368" s="138" t="str">
        <f t="shared" si="23"/>
        <v/>
      </c>
      <c r="AX368" s="139" t="str">
        <f>[1]!T.in.A[[#This Row],[ID_T_manu]]</f>
        <v/>
      </c>
      <c r="AY368" s="140" t="str">
        <f>IF(ISNUMBER(Tab.o1[[#This Row],[a1]]),IF(AND(Tab.o1[[#This Row],[a1]]=1,Tab.o1[[#This Row],[b1]]&lt;=AY$4),#REF!,AY367),"")</f>
        <v/>
      </c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</row>
    <row r="369" spans="1:79" ht="15.75" hidden="1">
      <c r="A369" s="109">
        <v>4.0000000000000007E-6</v>
      </c>
      <c r="B369" s="110">
        <f t="shared" si="20"/>
        <v>369</v>
      </c>
      <c r="C369" s="111" t="str">
        <f>IF(C$1=[1]!T.in.A[[#This Row],[oo2]],1,"")</f>
        <v/>
      </c>
      <c r="D369" s="112" t="str">
        <f>IF(Tab.o1[[#This Row],[a1]]=1,IF(SUM(C369:C370)=0,0,IF(SUM(C368:C369)=1,1,IF(SUM(C368:C370)&gt;1,D368+1,0))),"")</f>
        <v/>
      </c>
      <c r="E369" s="113" t="str">
        <f>IF(Tab.o1[[#This Row],[a1]]=1,[1]!T.in.A[[#This Row],[oo1]],"")</f>
        <v/>
      </c>
      <c r="F369" s="113" t="str">
        <f>IF(Tab.o1[[#This Row],[a1]]=1,[1]!T.in.A[[#This Row],[pp1]],"")</f>
        <v/>
      </c>
      <c r="G369" s="114" t="str">
        <f>IF(Tab.o1[[#This Row],[a1]]=1,G$2+IF(G$1=1,0,Tab.o1[[#This Row],[.x1]])+[1]!T.in.A[[#This Row],[oo3]],"")</f>
        <v/>
      </c>
      <c r="H369" s="115" t="str">
        <f>IF(Tab.o1[[#This Row],[a1]]=1,IF(H$2=0,0,IF(G$1=1,0,Tab.o1[[#This Row],[.x1]])+[1]!T.in.A[[#This Row],[oo4]]),"")</f>
        <v/>
      </c>
      <c r="I369" s="116" t="str">
        <f>IF(Tab.o1[[#This Row],[a1]]=1,IF(J$2=0,Tab.o1[[#This Row],[MED]],Tab.o1[[#This Row],[MOD]]),"")</f>
        <v/>
      </c>
      <c r="J369" s="116" t="str">
        <f>IF(Tab.o1[[#This Row],[a1]]=1,((Tab.o1[[#This Row],[DIF_Target.]]-AVERAGE(Tab.o1[DIF_Target.]))/_xlfn.STDEV.P(Tab.o1[DIF_Target.])),"")</f>
        <v/>
      </c>
      <c r="K369" s="117" t="str">
        <f>IF(Tab.o1[[#This Row],[a1]]=1,IF(J$2=0,Tab.o1[[#This Row],[MOD]]-Tab.o1[[#This Row],[B]],IF(J$2=1,0,-Tab.o1[[#This Row],[MED]])+Tab.o1[[#This Row],[B]]),"")</f>
        <v/>
      </c>
      <c r="L369" s="117" t="str">
        <f ca="1">IF(Tab.o1[[#This Row],[DIF_Target]]=0,IF(L$2=0,Tab.o1[[#This Row],[DIF_Target]],AVERAGE(OFFSET(Tab.o1[[#This Row],[DIF_Target]],1,0,L$3,1)))/3,Tab.o1[[#This Row],[DIF_Target]])</f>
        <v/>
      </c>
      <c r="M369" s="118" t="str">
        <f>IF(Tab.o1[[#This Row],[a1]]=1,NORMSDIST(Tab.o1[[#This Row],[Za]]),"")</f>
        <v/>
      </c>
      <c r="N369" s="119" t="str">
        <f>IF(Tab.o1[[#This Row],[a1]]=1,((Tab.o1[[#This Row],[MedMod]]-AVERAGE(Tab.o1[MedMod]))/_xlfn.STDEV.P(Tab.o1[MedMod])*H$1205)+G$1205,"")</f>
        <v/>
      </c>
      <c r="O369" s="141" t="str">
        <f>IF(Tab.o1[[#This Row],[a1]]=1,Tab.o1[[#This Row],[Zb]]*_xlfn.STDEV.P(Tab.o1[MedMod])+AVERAGE(Tab.o1[MedMod]),"")</f>
        <v/>
      </c>
      <c r="P369" s="117" t="str">
        <f ca="1">IF(Tab.o1[[#This Row],[B]]=0,AVERAGE(OFFSET(Tab.o1[[#This Row],[B]],1,0,L$3,1)),Tab.o1[[#This Row],[B]])</f>
        <v/>
      </c>
      <c r="Q369" s="121" t="str">
        <f>IF(Tab.o1[[#This Row],[a1]]=1,NORMSDIST(Tab.o1[[#This Row],[Zb]]),"")</f>
        <v/>
      </c>
      <c r="R369" s="122" t="str">
        <f>IF(Tab.o1[[#This Row],[a1]]=1,((Tab.o1[[#This Row],[MedMod]]-AVERAGE(Tab.o1[MedMod]))/_xlfn.STDEV.P(Tab.o1[MedMod])*H$1203)+G$1203,"")</f>
        <v/>
      </c>
      <c r="S369" s="122" t="str">
        <f>IF(Tab.o1[[#This Row],[a1]]=1,((Tab.o1[[#This Row],[MedMod]]-AVERAGE(Tab.o1[MedMod]))/_xlfn.STDEV.P(Tab.o1[MedMod])*H$1204)+G$1204,"")</f>
        <v/>
      </c>
      <c r="T369" s="123" t="str">
        <f>IF(Tab.o1[[#This Row],[a1]]=1,Tab.o1[[#This Row],[Z-]]*_xlfn.STDEV.P(Tab.o1[B])+AVERAGE(Tab.o1[B]),"")</f>
        <v/>
      </c>
      <c r="U369" s="123" t="str">
        <f>IF(Tab.o1[[#This Row],[a1]]=1,Tab.o1[[#This Row],[z+]]*_xlfn.STDEV.P(Tab.o1[B])+AVERAGE(Tab.o1[B]),"")</f>
        <v/>
      </c>
      <c r="V369" s="124" t="str">
        <f>IF(Tab.o1[[#This Row],[a1]]=1,ABS((ABS(Tab.o1[[#This Row],[Red]]-Tab.o1[[#This Row],[Blue]]))),"")</f>
        <v/>
      </c>
      <c r="W369" s="125" t="str">
        <f>IF(Tab.o1[[#This Row],[a1]]=1,IF(W$3=0,1,Tab.o1[[#This Row],[Amp.]]*1/_xlfn.MINIFS(Tab.o1[Amp.],Tab.o1[Amp.],"&lt;&gt;0")),"")</f>
        <v/>
      </c>
      <c r="X369" s="126" t="str">
        <f>IF(Tab.o1[[#This Row],[a1]]=1,IF(ISNUMBER(Tab.o1[[#This Row],[i.]]),NORMDIST(Tab.o1[[#This Row],[Za]],0,1,FALSE)*Tab.o1[[#This Row],[i.]],AP$3),"")</f>
        <v/>
      </c>
      <c r="Y369" s="126" t="str">
        <f>IF(Tab.o1[[#This Row],[a1]]=1,0.01+0.94*Tab.o1[[#This Row],[PDF]]/MAX(Tab.o1[PDF]),"")</f>
        <v/>
      </c>
      <c r="Z369" s="126" t="str">
        <f>IF(Tab.o1[[#This Row],[a1]]=1,0.01+0.94*Tab.o1[[#This Row],[W1_PDF]]/MAX(Tab.o1[W1_PDF]),"")</f>
        <v/>
      </c>
      <c r="AA369" s="118" t="str">
        <f>IF(Tab.o1[[#This Row],[a1]]=1,ABS([1]!T.in.A[[#This Row],[oo6]]),"")</f>
        <v/>
      </c>
      <c r="AB369" s="127" t="str">
        <f>IF(Tab.o1[[#This Row],[a1]]=1,IF(AE$3=0,"",IF(AB$3=0,ABS([1]!T.in.A[[#This Row],[oo9]]),ABS(Tab.o1[[#This Row],[DIF_Target.]]*Tab.o1[[#This Row],[W1_PDF]]))),"")</f>
        <v/>
      </c>
      <c r="AC369" s="127" t="str">
        <f>IF(G$1=1,"",IF(Tab.o1[[#This Row],[a1]]=1,Tab.o1[[#This Row],[Wr]]^2,""))</f>
        <v/>
      </c>
      <c r="AD369" s="118" t="str">
        <f>IF(Tab.o1[[#This Row],[a1]]=1,IF(AE$3=0,"",Tab.o1[[#This Row],[Wr2]]/SUM(Tab.o1[Wr2])),"")</f>
        <v/>
      </c>
      <c r="AE369" s="128" t="str">
        <f>IF(Tab.o1[[#This Row],[a1]]=1,[1]!T.in.A[[#This Row],[oo10]],"")</f>
        <v/>
      </c>
      <c r="AF369" s="118" t="str">
        <f>IF(Tab.o1[[#This Row],[a1]]=1,ABS(Tab.o1[[#This Row],[DIF_Target.]]*Tab.o1[[#This Row],[PDF2]]*Tab.o1[[#This Row],[IN]]),"")</f>
        <v/>
      </c>
      <c r="AG369" s="129" t="str">
        <f>IF(Tab.o1[[#This Row],[a1]]=1,Tab.o1[[#This Row],[rW]]^2,"")</f>
        <v/>
      </c>
      <c r="AH369" s="130" t="str">
        <f>IF(Tab.o1[[#This Row],[a1]]=1,IF(AH$3=0,Tab.o1[[#This Row],[rW2]],0.01+0.94*Tab.o1[[#This Row],[rW2]]/SUM(Tab.o1[rW2])),"")</f>
        <v/>
      </c>
      <c r="AI369" s="128" t="str">
        <f>IF(Tab.o1[[#This Row],[a1]]=1,1/Tab.o1[[#This Row],[PDF]],"")</f>
        <v/>
      </c>
      <c r="AJ369" s="131" t="str">
        <f>IF(Tab.o1[[#This Row],[a1]]=1,[1]!T_AA[[#This Row],[IN'']]*[1]!T_AA[[#This Row],[Qde'']],"")</f>
        <v/>
      </c>
      <c r="AK369" s="132" t="str">
        <f>IF(Tab.o1[[#This Row],[a1]]=1,IF(AK$1=1,Tab.o1[[#This Row],[MED]]+Tab.o1[[#This Row],[MOD]]-Tab.o1[[#This Row],[MED]],""),"")</f>
        <v/>
      </c>
      <c r="AL369" s="133" t="str">
        <f>IF(Tab.o1[[#This Row],[a1]]=1,[1]!T.in.A[[#This Row],[oo16]],"")</f>
        <v/>
      </c>
      <c r="AM369" s="133" t="str">
        <f>IF(Tab.o1[[#This Row],[a1]]=1,IF(AM$3=1,[1]!T.in.A[[#This Row],[Σo16]],""),"")</f>
        <v/>
      </c>
      <c r="AN369" s="126" t="str">
        <f>IF(Tab.o1[[#This Row],[a1]]=1,[1]!T.in.A[[#This Row],[Σp5]],"")</f>
        <v/>
      </c>
      <c r="AO369" s="126" t="str">
        <f>IF(Tab.o1[[#This Row],[a1]]=1,IF(AO$3=1,[1]!T.in.A[[#This Row],[Σp5]],""),"")</f>
        <v/>
      </c>
      <c r="AP369" s="110" t="str">
        <f>IF(Tab.o1[[#This Row],[a1]]=1,IF(ISNUMBER(Tab.o1[[#This Row],[i.]]),NORMDIST(Tab.o1[[#This Row],[Za]],0,1,FALSE)*Tab.o1[[#This Row],[i.]],0),"")</f>
        <v/>
      </c>
      <c r="AQ369" s="125" t="str">
        <f>IF(Tab.o1[[#This Row],[a1]]=1,ABS(Tab.o1[[#This Row],[MOD]]-AVERAGE(Tab.o1[MOD])),"")</f>
        <v/>
      </c>
      <c r="AR369" s="134" t="str">
        <f>IF(Tab.o1[[#This Row],[a1]]=1,Tab.o1[[#This Row],[OBS]]/SUM(Tab.o1[OBS]),"")</f>
        <v/>
      </c>
      <c r="AS369" s="135" t="str">
        <f>IF(ISNUMBER(Tab.o1[[#This Row],[a1]]),ROW()-4,"")</f>
        <v/>
      </c>
      <c r="AT369" s="136" t="str">
        <f>Tab.o1[[#This Row],[MOD]]</f>
        <v/>
      </c>
      <c r="AU369" s="137" t="str">
        <f t="shared" si="21"/>
        <v/>
      </c>
      <c r="AV369" s="138" t="str">
        <f t="shared" si="22"/>
        <v/>
      </c>
      <c r="AW369" s="138" t="str">
        <f t="shared" si="23"/>
        <v/>
      </c>
      <c r="AX369" s="139" t="str">
        <f>[1]!T.in.A[[#This Row],[ID_T_manu]]</f>
        <v/>
      </c>
      <c r="AY369" s="140" t="str">
        <f>IF(ISNUMBER(Tab.o1[[#This Row],[a1]]),IF(AND(Tab.o1[[#This Row],[a1]]=1,Tab.o1[[#This Row],[b1]]&lt;=AY$4),#REF!,AY368),"")</f>
        <v/>
      </c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</row>
    <row r="370" spans="1:79" ht="15.75" hidden="1">
      <c r="A370" s="109">
        <v>-2.9999999999999997E-6</v>
      </c>
      <c r="B370" s="110">
        <f t="shared" si="20"/>
        <v>370</v>
      </c>
      <c r="C370" s="111" t="str">
        <f>IF(C$1=[1]!T.in.A[[#This Row],[oo2]],1,"")</f>
        <v/>
      </c>
      <c r="D370" s="112" t="str">
        <f>IF(Tab.o1[[#This Row],[a1]]=1,IF(SUM(C370:C371)=0,0,IF(SUM(C369:C370)=1,1,IF(SUM(C369:C371)&gt;1,D369+1,0))),"")</f>
        <v/>
      </c>
      <c r="E370" s="113" t="str">
        <f>IF(Tab.o1[[#This Row],[a1]]=1,[1]!T.in.A[[#This Row],[oo1]],"")</f>
        <v/>
      </c>
      <c r="F370" s="113" t="str">
        <f>IF(Tab.o1[[#This Row],[a1]]=1,[1]!T.in.A[[#This Row],[pp1]],"")</f>
        <v/>
      </c>
      <c r="G370" s="114" t="str">
        <f>IF(Tab.o1[[#This Row],[a1]]=1,G$2+IF(G$1=1,0,Tab.o1[[#This Row],[.x1]])+[1]!T.in.A[[#This Row],[oo3]],"")</f>
        <v/>
      </c>
      <c r="H370" s="115" t="str">
        <f>IF(Tab.o1[[#This Row],[a1]]=1,IF(H$2=0,0,IF(G$1=1,0,Tab.o1[[#This Row],[.x1]])+[1]!T.in.A[[#This Row],[oo4]]),"")</f>
        <v/>
      </c>
      <c r="I370" s="116" t="str">
        <f>IF(Tab.o1[[#This Row],[a1]]=1,IF(J$2=0,Tab.o1[[#This Row],[MED]],Tab.o1[[#This Row],[MOD]]),"")</f>
        <v/>
      </c>
      <c r="J370" s="116" t="str">
        <f>IF(Tab.o1[[#This Row],[a1]]=1,((Tab.o1[[#This Row],[DIF_Target.]]-AVERAGE(Tab.o1[DIF_Target.]))/_xlfn.STDEV.P(Tab.o1[DIF_Target.])),"")</f>
        <v/>
      </c>
      <c r="K370" s="117" t="str">
        <f>IF(Tab.o1[[#This Row],[a1]]=1,IF(J$2=0,Tab.o1[[#This Row],[MOD]]-Tab.o1[[#This Row],[B]],IF(J$2=1,0,-Tab.o1[[#This Row],[MED]])+Tab.o1[[#This Row],[B]]),"")</f>
        <v/>
      </c>
      <c r="L370" s="117" t="str">
        <f ca="1">IF(Tab.o1[[#This Row],[DIF_Target]]=0,IF(L$2=0,Tab.o1[[#This Row],[DIF_Target]],AVERAGE(OFFSET(Tab.o1[[#This Row],[DIF_Target]],1,0,L$3,1)))/3,Tab.o1[[#This Row],[DIF_Target]])</f>
        <v/>
      </c>
      <c r="M370" s="118" t="str">
        <f>IF(Tab.o1[[#This Row],[a1]]=1,NORMSDIST(Tab.o1[[#This Row],[Za]]),"")</f>
        <v/>
      </c>
      <c r="N370" s="119" t="str">
        <f>IF(Tab.o1[[#This Row],[a1]]=1,((Tab.o1[[#This Row],[MedMod]]-AVERAGE(Tab.o1[MedMod]))/_xlfn.STDEV.P(Tab.o1[MedMod])*H$1205)+G$1205,"")</f>
        <v/>
      </c>
      <c r="O370" s="141" t="str">
        <f>IF(Tab.o1[[#This Row],[a1]]=1,Tab.o1[[#This Row],[Zb]]*_xlfn.STDEV.P(Tab.o1[MedMod])+AVERAGE(Tab.o1[MedMod]),"")</f>
        <v/>
      </c>
      <c r="P370" s="117" t="str">
        <f ca="1">IF(Tab.o1[[#This Row],[B]]=0,AVERAGE(OFFSET(Tab.o1[[#This Row],[B]],1,0,L$3,1)),Tab.o1[[#This Row],[B]])</f>
        <v/>
      </c>
      <c r="Q370" s="121" t="str">
        <f>IF(Tab.o1[[#This Row],[a1]]=1,NORMSDIST(Tab.o1[[#This Row],[Zb]]),"")</f>
        <v/>
      </c>
      <c r="R370" s="122" t="str">
        <f>IF(Tab.o1[[#This Row],[a1]]=1,((Tab.o1[[#This Row],[MedMod]]-AVERAGE(Tab.o1[MedMod]))/_xlfn.STDEV.P(Tab.o1[MedMod])*H$1203)+G$1203,"")</f>
        <v/>
      </c>
      <c r="S370" s="122" t="str">
        <f>IF(Tab.o1[[#This Row],[a1]]=1,((Tab.o1[[#This Row],[MedMod]]-AVERAGE(Tab.o1[MedMod]))/_xlfn.STDEV.P(Tab.o1[MedMod])*H$1204)+G$1204,"")</f>
        <v/>
      </c>
      <c r="T370" s="123" t="str">
        <f>IF(Tab.o1[[#This Row],[a1]]=1,Tab.o1[[#This Row],[Z-]]*_xlfn.STDEV.P(Tab.o1[B])+AVERAGE(Tab.o1[B]),"")</f>
        <v/>
      </c>
      <c r="U370" s="123" t="str">
        <f>IF(Tab.o1[[#This Row],[a1]]=1,Tab.o1[[#This Row],[z+]]*_xlfn.STDEV.P(Tab.o1[B])+AVERAGE(Tab.o1[B]),"")</f>
        <v/>
      </c>
      <c r="V370" s="124" t="str">
        <f>IF(Tab.o1[[#This Row],[a1]]=1,ABS((ABS(Tab.o1[[#This Row],[Red]]-Tab.o1[[#This Row],[Blue]]))),"")</f>
        <v/>
      </c>
      <c r="W370" s="125" t="str">
        <f>IF(Tab.o1[[#This Row],[a1]]=1,IF(W$3=0,1,Tab.o1[[#This Row],[Amp.]]*1/_xlfn.MINIFS(Tab.o1[Amp.],Tab.o1[Amp.],"&lt;&gt;0")),"")</f>
        <v/>
      </c>
      <c r="X370" s="126" t="str">
        <f>IF(Tab.o1[[#This Row],[a1]]=1,IF(ISNUMBER(Tab.o1[[#This Row],[i.]]),NORMDIST(Tab.o1[[#This Row],[Za]],0,1,FALSE)*Tab.o1[[#This Row],[i.]],AP$3),"")</f>
        <v/>
      </c>
      <c r="Y370" s="126" t="str">
        <f>IF(Tab.o1[[#This Row],[a1]]=1,0.01+0.94*Tab.o1[[#This Row],[PDF]]/MAX(Tab.o1[PDF]),"")</f>
        <v/>
      </c>
      <c r="Z370" s="126" t="str">
        <f>IF(Tab.o1[[#This Row],[a1]]=1,0.01+0.94*Tab.o1[[#This Row],[W1_PDF]]/MAX(Tab.o1[W1_PDF]),"")</f>
        <v/>
      </c>
      <c r="AA370" s="118" t="str">
        <f>IF(Tab.o1[[#This Row],[a1]]=1,ABS([1]!T.in.A[[#This Row],[oo6]]),"")</f>
        <v/>
      </c>
      <c r="AB370" s="127" t="str">
        <f>IF(Tab.o1[[#This Row],[a1]]=1,IF(AE$3=0,"",IF(AB$3=0,ABS([1]!T.in.A[[#This Row],[oo9]]),ABS(Tab.o1[[#This Row],[DIF_Target.]]*Tab.o1[[#This Row],[W1_PDF]]))),"")</f>
        <v/>
      </c>
      <c r="AC370" s="127" t="str">
        <f>IF(G$1=1,"",IF(Tab.o1[[#This Row],[a1]]=1,Tab.o1[[#This Row],[Wr]]^2,""))</f>
        <v/>
      </c>
      <c r="AD370" s="118" t="str">
        <f>IF(Tab.o1[[#This Row],[a1]]=1,IF(AE$3=0,"",Tab.o1[[#This Row],[Wr2]]/SUM(Tab.o1[Wr2])),"")</f>
        <v/>
      </c>
      <c r="AE370" s="128" t="str">
        <f>IF(Tab.o1[[#This Row],[a1]]=1,[1]!T.in.A[[#This Row],[oo10]],"")</f>
        <v/>
      </c>
      <c r="AF370" s="118" t="str">
        <f>IF(Tab.o1[[#This Row],[a1]]=1,ABS(Tab.o1[[#This Row],[DIF_Target.]]*Tab.o1[[#This Row],[PDF2]]*Tab.o1[[#This Row],[IN]]),"")</f>
        <v/>
      </c>
      <c r="AG370" s="129" t="str">
        <f>IF(Tab.o1[[#This Row],[a1]]=1,Tab.o1[[#This Row],[rW]]^2,"")</f>
        <v/>
      </c>
      <c r="AH370" s="130" t="str">
        <f>IF(Tab.o1[[#This Row],[a1]]=1,IF(AH$3=0,Tab.o1[[#This Row],[rW2]],0.01+0.94*Tab.o1[[#This Row],[rW2]]/SUM(Tab.o1[rW2])),"")</f>
        <v/>
      </c>
      <c r="AI370" s="128" t="str">
        <f>IF(Tab.o1[[#This Row],[a1]]=1,1/Tab.o1[[#This Row],[PDF]],"")</f>
        <v/>
      </c>
      <c r="AJ370" s="131" t="str">
        <f>IF(Tab.o1[[#This Row],[a1]]=1,[1]!T_AA[[#This Row],[IN'']]*[1]!T_AA[[#This Row],[Qde'']],"")</f>
        <v/>
      </c>
      <c r="AK370" s="132" t="str">
        <f>IF(Tab.o1[[#This Row],[a1]]=1,IF(AK$1=1,Tab.o1[[#This Row],[MED]]+Tab.o1[[#This Row],[MOD]]-Tab.o1[[#This Row],[MED]],""),"")</f>
        <v/>
      </c>
      <c r="AL370" s="133" t="str">
        <f>IF(Tab.o1[[#This Row],[a1]]=1,[1]!T.in.A[[#This Row],[oo16]],"")</f>
        <v/>
      </c>
      <c r="AM370" s="133" t="str">
        <f>IF(Tab.o1[[#This Row],[a1]]=1,IF(AM$3=1,[1]!T.in.A[[#This Row],[Σo16]],""),"")</f>
        <v/>
      </c>
      <c r="AN370" s="126" t="str">
        <f>IF(Tab.o1[[#This Row],[a1]]=1,[1]!T.in.A[[#This Row],[Σp5]],"")</f>
        <v/>
      </c>
      <c r="AO370" s="126" t="str">
        <f>IF(Tab.o1[[#This Row],[a1]]=1,IF(AO$3=1,[1]!T.in.A[[#This Row],[Σp5]],""),"")</f>
        <v/>
      </c>
      <c r="AP370" s="110" t="str">
        <f>IF(Tab.o1[[#This Row],[a1]]=1,IF(ISNUMBER(Tab.o1[[#This Row],[i.]]),NORMDIST(Tab.o1[[#This Row],[Za]],0,1,FALSE)*Tab.o1[[#This Row],[i.]],0),"")</f>
        <v/>
      </c>
      <c r="AQ370" s="125" t="str">
        <f>IF(Tab.o1[[#This Row],[a1]]=1,ABS(Tab.o1[[#This Row],[MOD]]-AVERAGE(Tab.o1[MOD])),"")</f>
        <v/>
      </c>
      <c r="AR370" s="134" t="str">
        <f>IF(Tab.o1[[#This Row],[a1]]=1,Tab.o1[[#This Row],[OBS]]/SUM(Tab.o1[OBS]),"")</f>
        <v/>
      </c>
      <c r="AS370" s="135" t="str">
        <f>IF(ISNUMBER(Tab.o1[[#This Row],[a1]]),ROW()-4,"")</f>
        <v/>
      </c>
      <c r="AT370" s="136" t="str">
        <f>Tab.o1[[#This Row],[MOD]]</f>
        <v/>
      </c>
      <c r="AU370" s="137" t="str">
        <f t="shared" si="21"/>
        <v/>
      </c>
      <c r="AV370" s="138" t="str">
        <f t="shared" si="22"/>
        <v/>
      </c>
      <c r="AW370" s="138" t="str">
        <f t="shared" si="23"/>
        <v/>
      </c>
      <c r="AX370" s="139" t="str">
        <f>[1]!T.in.A[[#This Row],[ID_T_manu]]</f>
        <v/>
      </c>
      <c r="AY370" s="140" t="str">
        <f>IF(ISNUMBER(Tab.o1[[#This Row],[a1]]),IF(AND(Tab.o1[[#This Row],[a1]]=1,Tab.o1[[#This Row],[b1]]&lt;=AY$4),#REF!,AY369),"")</f>
        <v/>
      </c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</row>
    <row r="371" spans="1:79" ht="15.75" hidden="1">
      <c r="A371" s="109">
        <v>-1.0000000000000002E-6</v>
      </c>
      <c r="B371" s="110">
        <f t="shared" si="20"/>
        <v>371</v>
      </c>
      <c r="C371" s="111" t="str">
        <f>IF(C$1=[1]!T.in.A[[#This Row],[oo2]],1,"")</f>
        <v/>
      </c>
      <c r="D371" s="112" t="str">
        <f>IF(Tab.o1[[#This Row],[a1]]=1,IF(SUM(C371:C372)=0,0,IF(SUM(C370:C371)=1,1,IF(SUM(C370:C372)&gt;1,D370+1,0))),"")</f>
        <v/>
      </c>
      <c r="E371" s="113" t="str">
        <f>IF(Tab.o1[[#This Row],[a1]]=1,[1]!T.in.A[[#This Row],[oo1]],"")</f>
        <v/>
      </c>
      <c r="F371" s="113" t="str">
        <f>IF(Tab.o1[[#This Row],[a1]]=1,[1]!T.in.A[[#This Row],[pp1]],"")</f>
        <v/>
      </c>
      <c r="G371" s="114" t="str">
        <f>IF(Tab.o1[[#This Row],[a1]]=1,G$2+IF(G$1=1,0,Tab.o1[[#This Row],[.x1]])+[1]!T.in.A[[#This Row],[oo3]],"")</f>
        <v/>
      </c>
      <c r="H371" s="115" t="str">
        <f>IF(Tab.o1[[#This Row],[a1]]=1,IF(H$2=0,0,IF(G$1=1,0,Tab.o1[[#This Row],[.x1]])+[1]!T.in.A[[#This Row],[oo4]]),"")</f>
        <v/>
      </c>
      <c r="I371" s="116" t="str">
        <f>IF(Tab.o1[[#This Row],[a1]]=1,IF(J$2=0,Tab.o1[[#This Row],[MED]],Tab.o1[[#This Row],[MOD]]),"")</f>
        <v/>
      </c>
      <c r="J371" s="116" t="str">
        <f>IF(Tab.o1[[#This Row],[a1]]=1,((Tab.o1[[#This Row],[DIF_Target.]]-AVERAGE(Tab.o1[DIF_Target.]))/_xlfn.STDEV.P(Tab.o1[DIF_Target.])),"")</f>
        <v/>
      </c>
      <c r="K371" s="117" t="str">
        <f>IF(Tab.o1[[#This Row],[a1]]=1,IF(J$2=0,Tab.o1[[#This Row],[MOD]]-Tab.o1[[#This Row],[B]],IF(J$2=1,0,-Tab.o1[[#This Row],[MED]])+Tab.o1[[#This Row],[B]]),"")</f>
        <v/>
      </c>
      <c r="L371" s="117" t="str">
        <f ca="1">IF(Tab.o1[[#This Row],[DIF_Target]]=0,IF(L$2=0,Tab.o1[[#This Row],[DIF_Target]],AVERAGE(OFFSET(Tab.o1[[#This Row],[DIF_Target]],1,0,L$3,1)))/3,Tab.o1[[#This Row],[DIF_Target]])</f>
        <v/>
      </c>
      <c r="M371" s="118" t="str">
        <f>IF(Tab.o1[[#This Row],[a1]]=1,NORMSDIST(Tab.o1[[#This Row],[Za]]),"")</f>
        <v/>
      </c>
      <c r="N371" s="119" t="str">
        <f>IF(Tab.o1[[#This Row],[a1]]=1,((Tab.o1[[#This Row],[MedMod]]-AVERAGE(Tab.o1[MedMod]))/_xlfn.STDEV.P(Tab.o1[MedMod])*H$1205)+G$1205,"")</f>
        <v/>
      </c>
      <c r="O371" s="141" t="str">
        <f>IF(Tab.o1[[#This Row],[a1]]=1,Tab.o1[[#This Row],[Zb]]*_xlfn.STDEV.P(Tab.o1[MedMod])+AVERAGE(Tab.o1[MedMod]),"")</f>
        <v/>
      </c>
      <c r="P371" s="117" t="str">
        <f ca="1">IF(Tab.o1[[#This Row],[B]]=0,AVERAGE(OFFSET(Tab.o1[[#This Row],[B]],1,0,L$3,1)),Tab.o1[[#This Row],[B]])</f>
        <v/>
      </c>
      <c r="Q371" s="121" t="str">
        <f>IF(Tab.o1[[#This Row],[a1]]=1,NORMSDIST(Tab.o1[[#This Row],[Zb]]),"")</f>
        <v/>
      </c>
      <c r="R371" s="122" t="str">
        <f>IF(Tab.o1[[#This Row],[a1]]=1,((Tab.o1[[#This Row],[MedMod]]-AVERAGE(Tab.o1[MedMod]))/_xlfn.STDEV.P(Tab.o1[MedMod])*H$1203)+G$1203,"")</f>
        <v/>
      </c>
      <c r="S371" s="122" t="str">
        <f>IF(Tab.o1[[#This Row],[a1]]=1,((Tab.o1[[#This Row],[MedMod]]-AVERAGE(Tab.o1[MedMod]))/_xlfn.STDEV.P(Tab.o1[MedMod])*H$1204)+G$1204,"")</f>
        <v/>
      </c>
      <c r="T371" s="123" t="str">
        <f>IF(Tab.o1[[#This Row],[a1]]=1,Tab.o1[[#This Row],[Z-]]*_xlfn.STDEV.P(Tab.o1[B])+AVERAGE(Tab.o1[B]),"")</f>
        <v/>
      </c>
      <c r="U371" s="123" t="str">
        <f>IF(Tab.o1[[#This Row],[a1]]=1,Tab.o1[[#This Row],[z+]]*_xlfn.STDEV.P(Tab.o1[B])+AVERAGE(Tab.o1[B]),"")</f>
        <v/>
      </c>
      <c r="V371" s="124" t="str">
        <f>IF(Tab.o1[[#This Row],[a1]]=1,ABS((ABS(Tab.o1[[#This Row],[Red]]-Tab.o1[[#This Row],[Blue]]))),"")</f>
        <v/>
      </c>
      <c r="W371" s="125" t="str">
        <f>IF(Tab.o1[[#This Row],[a1]]=1,IF(W$3=0,1,Tab.o1[[#This Row],[Amp.]]*1/_xlfn.MINIFS(Tab.o1[Amp.],Tab.o1[Amp.],"&lt;&gt;0")),"")</f>
        <v/>
      </c>
      <c r="X371" s="126" t="str">
        <f>IF(Tab.o1[[#This Row],[a1]]=1,IF(ISNUMBER(Tab.o1[[#This Row],[i.]]),NORMDIST(Tab.o1[[#This Row],[Za]],0,1,FALSE)*Tab.o1[[#This Row],[i.]],AP$3),"")</f>
        <v/>
      </c>
      <c r="Y371" s="126" t="str">
        <f>IF(Tab.o1[[#This Row],[a1]]=1,0.01+0.94*Tab.o1[[#This Row],[PDF]]/MAX(Tab.o1[PDF]),"")</f>
        <v/>
      </c>
      <c r="Z371" s="126" t="str">
        <f>IF(Tab.o1[[#This Row],[a1]]=1,0.01+0.94*Tab.o1[[#This Row],[W1_PDF]]/MAX(Tab.o1[W1_PDF]),"")</f>
        <v/>
      </c>
      <c r="AA371" s="118" t="str">
        <f>IF(Tab.o1[[#This Row],[a1]]=1,ABS([1]!T.in.A[[#This Row],[oo6]]),"")</f>
        <v/>
      </c>
      <c r="AB371" s="127" t="str">
        <f>IF(Tab.o1[[#This Row],[a1]]=1,IF(AE$3=0,"",IF(AB$3=0,ABS([1]!T.in.A[[#This Row],[oo9]]),ABS(Tab.o1[[#This Row],[DIF_Target.]]*Tab.o1[[#This Row],[W1_PDF]]))),"")</f>
        <v/>
      </c>
      <c r="AC371" s="127" t="str">
        <f>IF(G$1=1,"",IF(Tab.o1[[#This Row],[a1]]=1,Tab.o1[[#This Row],[Wr]]^2,""))</f>
        <v/>
      </c>
      <c r="AD371" s="118" t="str">
        <f>IF(Tab.o1[[#This Row],[a1]]=1,IF(AE$3=0,"",Tab.o1[[#This Row],[Wr2]]/SUM(Tab.o1[Wr2])),"")</f>
        <v/>
      </c>
      <c r="AE371" s="128" t="str">
        <f>IF(Tab.o1[[#This Row],[a1]]=1,[1]!T.in.A[[#This Row],[oo10]],"")</f>
        <v/>
      </c>
      <c r="AF371" s="118" t="str">
        <f>IF(Tab.o1[[#This Row],[a1]]=1,ABS(Tab.o1[[#This Row],[DIF_Target.]]*Tab.o1[[#This Row],[PDF2]]*Tab.o1[[#This Row],[IN]]),"")</f>
        <v/>
      </c>
      <c r="AG371" s="129" t="str">
        <f>IF(Tab.o1[[#This Row],[a1]]=1,Tab.o1[[#This Row],[rW]]^2,"")</f>
        <v/>
      </c>
      <c r="AH371" s="130" t="str">
        <f>IF(Tab.o1[[#This Row],[a1]]=1,IF(AH$3=0,Tab.o1[[#This Row],[rW2]],0.01+0.94*Tab.o1[[#This Row],[rW2]]/SUM(Tab.o1[rW2])),"")</f>
        <v/>
      </c>
      <c r="AI371" s="128" t="str">
        <f>IF(Tab.o1[[#This Row],[a1]]=1,1/Tab.o1[[#This Row],[PDF]],"")</f>
        <v/>
      </c>
      <c r="AJ371" s="131" t="str">
        <f>IF(Tab.o1[[#This Row],[a1]]=1,[1]!T_AA[[#This Row],[IN'']]*[1]!T_AA[[#This Row],[Qde'']],"")</f>
        <v/>
      </c>
      <c r="AK371" s="132" t="str">
        <f>IF(Tab.o1[[#This Row],[a1]]=1,IF(AK$1=1,Tab.o1[[#This Row],[MED]]+Tab.o1[[#This Row],[MOD]]-Tab.o1[[#This Row],[MED]],""),"")</f>
        <v/>
      </c>
      <c r="AL371" s="133" t="str">
        <f>IF(Tab.o1[[#This Row],[a1]]=1,[1]!T.in.A[[#This Row],[oo16]],"")</f>
        <v/>
      </c>
      <c r="AM371" s="133" t="str">
        <f>IF(Tab.o1[[#This Row],[a1]]=1,IF(AM$3=1,[1]!T.in.A[[#This Row],[Σo16]],""),"")</f>
        <v/>
      </c>
      <c r="AN371" s="126" t="str">
        <f>IF(Tab.o1[[#This Row],[a1]]=1,[1]!T.in.A[[#This Row],[Σp5]],"")</f>
        <v/>
      </c>
      <c r="AO371" s="126" t="str">
        <f>IF(Tab.o1[[#This Row],[a1]]=1,IF(AO$3=1,[1]!T.in.A[[#This Row],[Σp5]],""),"")</f>
        <v/>
      </c>
      <c r="AP371" s="110" t="str">
        <f>IF(Tab.o1[[#This Row],[a1]]=1,IF(ISNUMBER(Tab.o1[[#This Row],[i.]]),NORMDIST(Tab.o1[[#This Row],[Za]],0,1,FALSE)*Tab.o1[[#This Row],[i.]],0),"")</f>
        <v/>
      </c>
      <c r="AQ371" s="125" t="str">
        <f>IF(Tab.o1[[#This Row],[a1]]=1,ABS(Tab.o1[[#This Row],[MOD]]-AVERAGE(Tab.o1[MOD])),"")</f>
        <v/>
      </c>
      <c r="AR371" s="134" t="str">
        <f>IF(Tab.o1[[#This Row],[a1]]=1,Tab.o1[[#This Row],[OBS]]/SUM(Tab.o1[OBS]),"")</f>
        <v/>
      </c>
      <c r="AS371" s="135" t="str">
        <f>IF(ISNUMBER(Tab.o1[[#This Row],[a1]]),ROW()-4,"")</f>
        <v/>
      </c>
      <c r="AT371" s="136" t="str">
        <f>Tab.o1[[#This Row],[MOD]]</f>
        <v/>
      </c>
      <c r="AU371" s="137" t="str">
        <f t="shared" si="21"/>
        <v/>
      </c>
      <c r="AV371" s="138" t="str">
        <f t="shared" si="22"/>
        <v/>
      </c>
      <c r="AW371" s="138" t="str">
        <f t="shared" si="23"/>
        <v/>
      </c>
      <c r="AX371" s="139" t="str">
        <f>[1]!T.in.A[[#This Row],[ID_T_manu]]</f>
        <v/>
      </c>
      <c r="AY371" s="140" t="str">
        <f>IF(ISNUMBER(Tab.o1[[#This Row],[a1]]),IF(AND(Tab.o1[[#This Row],[a1]]=1,Tab.o1[[#This Row],[b1]]&lt;=AY$4),#REF!,AY370),"")</f>
        <v/>
      </c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</row>
    <row r="372" spans="1:79" ht="15.75" hidden="1">
      <c r="A372" s="109">
        <v>-9.0000000000000002E-6</v>
      </c>
      <c r="B372" s="110">
        <f t="shared" si="20"/>
        <v>372</v>
      </c>
      <c r="C372" s="111" t="str">
        <f>IF(C$1=[1]!T.in.A[[#This Row],[oo2]],1,"")</f>
        <v/>
      </c>
      <c r="D372" s="112" t="str">
        <f>IF(Tab.o1[[#This Row],[a1]]=1,IF(SUM(C372:C373)=0,0,IF(SUM(C371:C372)=1,1,IF(SUM(C371:C373)&gt;1,D371+1,0))),"")</f>
        <v/>
      </c>
      <c r="E372" s="113" t="str">
        <f>IF(Tab.o1[[#This Row],[a1]]=1,[1]!T.in.A[[#This Row],[oo1]],"")</f>
        <v/>
      </c>
      <c r="F372" s="113" t="str">
        <f>IF(Tab.o1[[#This Row],[a1]]=1,[1]!T.in.A[[#This Row],[pp1]],"")</f>
        <v/>
      </c>
      <c r="G372" s="114" t="str">
        <f>IF(Tab.o1[[#This Row],[a1]]=1,G$2+IF(G$1=1,0,Tab.o1[[#This Row],[.x1]])+[1]!T.in.A[[#This Row],[oo3]],"")</f>
        <v/>
      </c>
      <c r="H372" s="115" t="str">
        <f>IF(Tab.o1[[#This Row],[a1]]=1,IF(H$2=0,0,IF(G$1=1,0,Tab.o1[[#This Row],[.x1]])+[1]!T.in.A[[#This Row],[oo4]]),"")</f>
        <v/>
      </c>
      <c r="I372" s="116" t="str">
        <f>IF(Tab.o1[[#This Row],[a1]]=1,IF(J$2=0,Tab.o1[[#This Row],[MED]],Tab.o1[[#This Row],[MOD]]),"")</f>
        <v/>
      </c>
      <c r="J372" s="116" t="str">
        <f>IF(Tab.o1[[#This Row],[a1]]=1,((Tab.o1[[#This Row],[DIF_Target.]]-AVERAGE(Tab.o1[DIF_Target.]))/_xlfn.STDEV.P(Tab.o1[DIF_Target.])),"")</f>
        <v/>
      </c>
      <c r="K372" s="117" t="str">
        <f>IF(Tab.o1[[#This Row],[a1]]=1,IF(J$2=0,Tab.o1[[#This Row],[MOD]]-Tab.o1[[#This Row],[B]],IF(J$2=1,0,-Tab.o1[[#This Row],[MED]])+Tab.o1[[#This Row],[B]]),"")</f>
        <v/>
      </c>
      <c r="L372" s="117" t="str">
        <f ca="1">IF(Tab.o1[[#This Row],[DIF_Target]]=0,IF(L$2=0,Tab.o1[[#This Row],[DIF_Target]],AVERAGE(OFFSET(Tab.o1[[#This Row],[DIF_Target]],1,0,L$3,1)))/3,Tab.o1[[#This Row],[DIF_Target]])</f>
        <v/>
      </c>
      <c r="M372" s="118" t="str">
        <f>IF(Tab.o1[[#This Row],[a1]]=1,NORMSDIST(Tab.o1[[#This Row],[Za]]),"")</f>
        <v/>
      </c>
      <c r="N372" s="119" t="str">
        <f>IF(Tab.o1[[#This Row],[a1]]=1,((Tab.o1[[#This Row],[MedMod]]-AVERAGE(Tab.o1[MedMod]))/_xlfn.STDEV.P(Tab.o1[MedMod])*H$1205)+G$1205,"")</f>
        <v/>
      </c>
      <c r="O372" s="141" t="str">
        <f>IF(Tab.o1[[#This Row],[a1]]=1,Tab.o1[[#This Row],[Zb]]*_xlfn.STDEV.P(Tab.o1[MedMod])+AVERAGE(Tab.o1[MedMod]),"")</f>
        <v/>
      </c>
      <c r="P372" s="117" t="str">
        <f ca="1">IF(Tab.o1[[#This Row],[B]]=0,AVERAGE(OFFSET(Tab.o1[[#This Row],[B]],1,0,L$3,1)),Tab.o1[[#This Row],[B]])</f>
        <v/>
      </c>
      <c r="Q372" s="121" t="str">
        <f>IF(Tab.o1[[#This Row],[a1]]=1,NORMSDIST(Tab.o1[[#This Row],[Zb]]),"")</f>
        <v/>
      </c>
      <c r="R372" s="122" t="str">
        <f>IF(Tab.o1[[#This Row],[a1]]=1,((Tab.o1[[#This Row],[MedMod]]-AVERAGE(Tab.o1[MedMod]))/_xlfn.STDEV.P(Tab.o1[MedMod])*H$1203)+G$1203,"")</f>
        <v/>
      </c>
      <c r="S372" s="122" t="str">
        <f>IF(Tab.o1[[#This Row],[a1]]=1,((Tab.o1[[#This Row],[MedMod]]-AVERAGE(Tab.o1[MedMod]))/_xlfn.STDEV.P(Tab.o1[MedMod])*H$1204)+G$1204,"")</f>
        <v/>
      </c>
      <c r="T372" s="123" t="str">
        <f>IF(Tab.o1[[#This Row],[a1]]=1,Tab.o1[[#This Row],[Z-]]*_xlfn.STDEV.P(Tab.o1[B])+AVERAGE(Tab.o1[B]),"")</f>
        <v/>
      </c>
      <c r="U372" s="123" t="str">
        <f>IF(Tab.o1[[#This Row],[a1]]=1,Tab.o1[[#This Row],[z+]]*_xlfn.STDEV.P(Tab.o1[B])+AVERAGE(Tab.o1[B]),"")</f>
        <v/>
      </c>
      <c r="V372" s="124" t="str">
        <f>IF(Tab.o1[[#This Row],[a1]]=1,ABS((ABS(Tab.o1[[#This Row],[Red]]-Tab.o1[[#This Row],[Blue]]))),"")</f>
        <v/>
      </c>
      <c r="W372" s="125" t="str">
        <f>IF(Tab.o1[[#This Row],[a1]]=1,IF(W$3=0,1,Tab.o1[[#This Row],[Amp.]]*1/_xlfn.MINIFS(Tab.o1[Amp.],Tab.o1[Amp.],"&lt;&gt;0")),"")</f>
        <v/>
      </c>
      <c r="X372" s="126" t="str">
        <f>IF(Tab.o1[[#This Row],[a1]]=1,IF(ISNUMBER(Tab.o1[[#This Row],[i.]]),NORMDIST(Tab.o1[[#This Row],[Za]],0,1,FALSE)*Tab.o1[[#This Row],[i.]],AP$3),"")</f>
        <v/>
      </c>
      <c r="Y372" s="126" t="str">
        <f>IF(Tab.o1[[#This Row],[a1]]=1,0.01+0.94*Tab.o1[[#This Row],[PDF]]/MAX(Tab.o1[PDF]),"")</f>
        <v/>
      </c>
      <c r="Z372" s="126" t="str">
        <f>IF(Tab.o1[[#This Row],[a1]]=1,0.01+0.94*Tab.o1[[#This Row],[W1_PDF]]/MAX(Tab.o1[W1_PDF]),"")</f>
        <v/>
      </c>
      <c r="AA372" s="118" t="str">
        <f>IF(Tab.o1[[#This Row],[a1]]=1,ABS([1]!T.in.A[[#This Row],[oo6]]),"")</f>
        <v/>
      </c>
      <c r="AB372" s="127" t="str">
        <f>IF(Tab.o1[[#This Row],[a1]]=1,IF(AE$3=0,"",IF(AB$3=0,ABS([1]!T.in.A[[#This Row],[oo9]]),ABS(Tab.o1[[#This Row],[DIF_Target.]]*Tab.o1[[#This Row],[W1_PDF]]))),"")</f>
        <v/>
      </c>
      <c r="AC372" s="127" t="str">
        <f>IF(G$1=1,"",IF(Tab.o1[[#This Row],[a1]]=1,Tab.o1[[#This Row],[Wr]]^2,""))</f>
        <v/>
      </c>
      <c r="AD372" s="118" t="str">
        <f>IF(Tab.o1[[#This Row],[a1]]=1,IF(AE$3=0,"",Tab.o1[[#This Row],[Wr2]]/SUM(Tab.o1[Wr2])),"")</f>
        <v/>
      </c>
      <c r="AE372" s="128" t="str">
        <f>IF(Tab.o1[[#This Row],[a1]]=1,[1]!T.in.A[[#This Row],[oo10]],"")</f>
        <v/>
      </c>
      <c r="AF372" s="118" t="str">
        <f>IF(Tab.o1[[#This Row],[a1]]=1,ABS(Tab.o1[[#This Row],[DIF_Target.]]*Tab.o1[[#This Row],[PDF2]]*Tab.o1[[#This Row],[IN]]),"")</f>
        <v/>
      </c>
      <c r="AG372" s="129" t="str">
        <f>IF(Tab.o1[[#This Row],[a1]]=1,Tab.o1[[#This Row],[rW]]^2,"")</f>
        <v/>
      </c>
      <c r="AH372" s="130" t="str">
        <f>IF(Tab.o1[[#This Row],[a1]]=1,IF(AH$3=0,Tab.o1[[#This Row],[rW2]],0.01+0.94*Tab.o1[[#This Row],[rW2]]/SUM(Tab.o1[rW2])),"")</f>
        <v/>
      </c>
      <c r="AI372" s="128" t="str">
        <f>IF(Tab.o1[[#This Row],[a1]]=1,1/Tab.o1[[#This Row],[PDF]],"")</f>
        <v/>
      </c>
      <c r="AJ372" s="131" t="str">
        <f>IF(Tab.o1[[#This Row],[a1]]=1,[1]!T_AA[[#This Row],[IN'']]*[1]!T_AA[[#This Row],[Qde'']],"")</f>
        <v/>
      </c>
      <c r="AK372" s="132" t="str">
        <f>IF(Tab.o1[[#This Row],[a1]]=1,IF(AK$1=1,Tab.o1[[#This Row],[MED]]+Tab.o1[[#This Row],[MOD]]-Tab.o1[[#This Row],[MED]],""),"")</f>
        <v/>
      </c>
      <c r="AL372" s="133" t="str">
        <f>IF(Tab.o1[[#This Row],[a1]]=1,[1]!T.in.A[[#This Row],[oo16]],"")</f>
        <v/>
      </c>
      <c r="AM372" s="133" t="str">
        <f>IF(Tab.o1[[#This Row],[a1]]=1,IF(AM$3=1,[1]!T.in.A[[#This Row],[Σo16]],""),"")</f>
        <v/>
      </c>
      <c r="AN372" s="126" t="str">
        <f>IF(Tab.o1[[#This Row],[a1]]=1,[1]!T.in.A[[#This Row],[Σp5]],"")</f>
        <v/>
      </c>
      <c r="AO372" s="126" t="str">
        <f>IF(Tab.o1[[#This Row],[a1]]=1,IF(AO$3=1,[1]!T.in.A[[#This Row],[Σp5]],""),"")</f>
        <v/>
      </c>
      <c r="AP372" s="110" t="str">
        <f>IF(Tab.o1[[#This Row],[a1]]=1,IF(ISNUMBER(Tab.o1[[#This Row],[i.]]),NORMDIST(Tab.o1[[#This Row],[Za]],0,1,FALSE)*Tab.o1[[#This Row],[i.]],0),"")</f>
        <v/>
      </c>
      <c r="AQ372" s="125" t="str">
        <f>IF(Tab.o1[[#This Row],[a1]]=1,ABS(Tab.o1[[#This Row],[MOD]]-AVERAGE(Tab.o1[MOD])),"")</f>
        <v/>
      </c>
      <c r="AR372" s="134" t="str">
        <f>IF(Tab.o1[[#This Row],[a1]]=1,Tab.o1[[#This Row],[OBS]]/SUM(Tab.o1[OBS]),"")</f>
        <v/>
      </c>
      <c r="AS372" s="135" t="str">
        <f>IF(ISNUMBER(Tab.o1[[#This Row],[a1]]),ROW()-4,"")</f>
        <v/>
      </c>
      <c r="AT372" s="136" t="str">
        <f>Tab.o1[[#This Row],[MOD]]</f>
        <v/>
      </c>
      <c r="AU372" s="137" t="str">
        <f t="shared" si="21"/>
        <v/>
      </c>
      <c r="AV372" s="138" t="str">
        <f t="shared" si="22"/>
        <v/>
      </c>
      <c r="AW372" s="138" t="str">
        <f t="shared" si="23"/>
        <v/>
      </c>
      <c r="AX372" s="139" t="str">
        <f>[1]!T.in.A[[#This Row],[ID_T_manu]]</f>
        <v/>
      </c>
      <c r="AY372" s="140" t="str">
        <f>IF(ISNUMBER(Tab.o1[[#This Row],[a1]]),IF(AND(Tab.o1[[#This Row],[a1]]=1,Tab.o1[[#This Row],[b1]]&lt;=AY$4),#REF!,AY371),"")</f>
        <v/>
      </c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</row>
    <row r="373" spans="1:79" ht="15.75" hidden="1">
      <c r="A373" s="109">
        <v>-5.0000000000000004E-6</v>
      </c>
      <c r="B373" s="110">
        <f t="shared" si="20"/>
        <v>373</v>
      </c>
      <c r="C373" s="111" t="str">
        <f>IF(C$1=[1]!T.in.A[[#This Row],[oo2]],1,"")</f>
        <v/>
      </c>
      <c r="D373" s="112" t="str">
        <f>IF(Tab.o1[[#This Row],[a1]]=1,IF(SUM(C373:C374)=0,0,IF(SUM(C372:C373)=1,1,IF(SUM(C372:C374)&gt;1,D372+1,0))),"")</f>
        <v/>
      </c>
      <c r="E373" s="113" t="str">
        <f>IF(Tab.o1[[#This Row],[a1]]=1,[1]!T.in.A[[#This Row],[oo1]],"")</f>
        <v/>
      </c>
      <c r="F373" s="113" t="str">
        <f>IF(Tab.o1[[#This Row],[a1]]=1,[1]!T.in.A[[#This Row],[pp1]],"")</f>
        <v/>
      </c>
      <c r="G373" s="114" t="str">
        <f>IF(Tab.o1[[#This Row],[a1]]=1,G$2+IF(G$1=1,0,Tab.o1[[#This Row],[.x1]])+[1]!T.in.A[[#This Row],[oo3]],"")</f>
        <v/>
      </c>
      <c r="H373" s="115" t="str">
        <f>IF(Tab.o1[[#This Row],[a1]]=1,IF(H$2=0,0,IF(G$1=1,0,Tab.o1[[#This Row],[.x1]])+[1]!T.in.A[[#This Row],[oo4]]),"")</f>
        <v/>
      </c>
      <c r="I373" s="116" t="str">
        <f>IF(Tab.o1[[#This Row],[a1]]=1,IF(J$2=0,Tab.o1[[#This Row],[MED]],Tab.o1[[#This Row],[MOD]]),"")</f>
        <v/>
      </c>
      <c r="J373" s="116" t="str">
        <f>IF(Tab.o1[[#This Row],[a1]]=1,((Tab.o1[[#This Row],[DIF_Target.]]-AVERAGE(Tab.o1[DIF_Target.]))/_xlfn.STDEV.P(Tab.o1[DIF_Target.])),"")</f>
        <v/>
      </c>
      <c r="K373" s="117" t="str">
        <f>IF(Tab.o1[[#This Row],[a1]]=1,IF(J$2=0,Tab.o1[[#This Row],[MOD]]-Tab.o1[[#This Row],[B]],IF(J$2=1,0,-Tab.o1[[#This Row],[MED]])+Tab.o1[[#This Row],[B]]),"")</f>
        <v/>
      </c>
      <c r="L373" s="117" t="str">
        <f ca="1">IF(Tab.o1[[#This Row],[DIF_Target]]=0,IF(L$2=0,Tab.o1[[#This Row],[DIF_Target]],AVERAGE(OFFSET(Tab.o1[[#This Row],[DIF_Target]],1,0,L$3,1)))/3,Tab.o1[[#This Row],[DIF_Target]])</f>
        <v/>
      </c>
      <c r="M373" s="118" t="str">
        <f>IF(Tab.o1[[#This Row],[a1]]=1,NORMSDIST(Tab.o1[[#This Row],[Za]]),"")</f>
        <v/>
      </c>
      <c r="N373" s="119" t="str">
        <f>IF(Tab.o1[[#This Row],[a1]]=1,((Tab.o1[[#This Row],[MedMod]]-AVERAGE(Tab.o1[MedMod]))/_xlfn.STDEV.P(Tab.o1[MedMod])*H$1205)+G$1205,"")</f>
        <v/>
      </c>
      <c r="O373" s="141" t="str">
        <f>IF(Tab.o1[[#This Row],[a1]]=1,Tab.o1[[#This Row],[Zb]]*_xlfn.STDEV.P(Tab.o1[MedMod])+AVERAGE(Tab.o1[MedMod]),"")</f>
        <v/>
      </c>
      <c r="P373" s="117" t="str">
        <f ca="1">IF(Tab.o1[[#This Row],[B]]=0,AVERAGE(OFFSET(Tab.o1[[#This Row],[B]],1,0,L$3,1)),Tab.o1[[#This Row],[B]])</f>
        <v/>
      </c>
      <c r="Q373" s="121" t="str">
        <f>IF(Tab.o1[[#This Row],[a1]]=1,NORMSDIST(Tab.o1[[#This Row],[Zb]]),"")</f>
        <v/>
      </c>
      <c r="R373" s="122" t="str">
        <f>IF(Tab.o1[[#This Row],[a1]]=1,((Tab.o1[[#This Row],[MedMod]]-AVERAGE(Tab.o1[MedMod]))/_xlfn.STDEV.P(Tab.o1[MedMod])*H$1203)+G$1203,"")</f>
        <v/>
      </c>
      <c r="S373" s="122" t="str">
        <f>IF(Tab.o1[[#This Row],[a1]]=1,((Tab.o1[[#This Row],[MedMod]]-AVERAGE(Tab.o1[MedMod]))/_xlfn.STDEV.P(Tab.o1[MedMod])*H$1204)+G$1204,"")</f>
        <v/>
      </c>
      <c r="T373" s="123" t="str">
        <f>IF(Tab.o1[[#This Row],[a1]]=1,Tab.o1[[#This Row],[Z-]]*_xlfn.STDEV.P(Tab.o1[B])+AVERAGE(Tab.o1[B]),"")</f>
        <v/>
      </c>
      <c r="U373" s="123" t="str">
        <f>IF(Tab.o1[[#This Row],[a1]]=1,Tab.o1[[#This Row],[z+]]*_xlfn.STDEV.P(Tab.o1[B])+AVERAGE(Tab.o1[B]),"")</f>
        <v/>
      </c>
      <c r="V373" s="124" t="str">
        <f>IF(Tab.o1[[#This Row],[a1]]=1,ABS((ABS(Tab.o1[[#This Row],[Red]]-Tab.o1[[#This Row],[Blue]]))),"")</f>
        <v/>
      </c>
      <c r="W373" s="125" t="str">
        <f>IF(Tab.o1[[#This Row],[a1]]=1,IF(W$3=0,1,Tab.o1[[#This Row],[Amp.]]*1/_xlfn.MINIFS(Tab.o1[Amp.],Tab.o1[Amp.],"&lt;&gt;0")),"")</f>
        <v/>
      </c>
      <c r="X373" s="126" t="str">
        <f>IF(Tab.o1[[#This Row],[a1]]=1,IF(ISNUMBER(Tab.o1[[#This Row],[i.]]),NORMDIST(Tab.o1[[#This Row],[Za]],0,1,FALSE)*Tab.o1[[#This Row],[i.]],AP$3),"")</f>
        <v/>
      </c>
      <c r="Y373" s="126" t="str">
        <f>IF(Tab.o1[[#This Row],[a1]]=1,0.01+0.94*Tab.o1[[#This Row],[PDF]]/MAX(Tab.o1[PDF]),"")</f>
        <v/>
      </c>
      <c r="Z373" s="126" t="str">
        <f>IF(Tab.o1[[#This Row],[a1]]=1,0.01+0.94*Tab.o1[[#This Row],[W1_PDF]]/MAX(Tab.o1[W1_PDF]),"")</f>
        <v/>
      </c>
      <c r="AA373" s="118" t="str">
        <f>IF(Tab.o1[[#This Row],[a1]]=1,ABS([1]!T.in.A[[#This Row],[oo6]]),"")</f>
        <v/>
      </c>
      <c r="AB373" s="127" t="str">
        <f>IF(Tab.o1[[#This Row],[a1]]=1,IF(AE$3=0,"",IF(AB$3=0,ABS([1]!T.in.A[[#This Row],[oo9]]),ABS(Tab.o1[[#This Row],[DIF_Target.]]*Tab.o1[[#This Row],[W1_PDF]]))),"")</f>
        <v/>
      </c>
      <c r="AC373" s="127" t="str">
        <f>IF(G$1=1,"",IF(Tab.o1[[#This Row],[a1]]=1,Tab.o1[[#This Row],[Wr]]^2,""))</f>
        <v/>
      </c>
      <c r="AD373" s="118" t="str">
        <f>IF(Tab.o1[[#This Row],[a1]]=1,IF(AE$3=0,"",Tab.o1[[#This Row],[Wr2]]/SUM(Tab.o1[Wr2])),"")</f>
        <v/>
      </c>
      <c r="AE373" s="128" t="str">
        <f>IF(Tab.o1[[#This Row],[a1]]=1,[1]!T.in.A[[#This Row],[oo10]],"")</f>
        <v/>
      </c>
      <c r="AF373" s="118" t="str">
        <f>IF(Tab.o1[[#This Row],[a1]]=1,ABS(Tab.o1[[#This Row],[DIF_Target.]]*Tab.o1[[#This Row],[PDF2]]*Tab.o1[[#This Row],[IN]]),"")</f>
        <v/>
      </c>
      <c r="AG373" s="129" t="str">
        <f>IF(Tab.o1[[#This Row],[a1]]=1,Tab.o1[[#This Row],[rW]]^2,"")</f>
        <v/>
      </c>
      <c r="AH373" s="130" t="str">
        <f>IF(Tab.o1[[#This Row],[a1]]=1,IF(AH$3=0,Tab.o1[[#This Row],[rW2]],0.01+0.94*Tab.o1[[#This Row],[rW2]]/SUM(Tab.o1[rW2])),"")</f>
        <v/>
      </c>
      <c r="AI373" s="128" t="str">
        <f>IF(Tab.o1[[#This Row],[a1]]=1,1/Tab.o1[[#This Row],[PDF]],"")</f>
        <v/>
      </c>
      <c r="AJ373" s="131" t="str">
        <f>IF(Tab.o1[[#This Row],[a1]]=1,[1]!T_AA[[#This Row],[IN'']]*[1]!T_AA[[#This Row],[Qde'']],"")</f>
        <v/>
      </c>
      <c r="AK373" s="132" t="str">
        <f>IF(Tab.o1[[#This Row],[a1]]=1,IF(AK$1=1,Tab.o1[[#This Row],[MED]]+Tab.o1[[#This Row],[MOD]]-Tab.o1[[#This Row],[MED]],""),"")</f>
        <v/>
      </c>
      <c r="AL373" s="133" t="str">
        <f>IF(Tab.o1[[#This Row],[a1]]=1,[1]!T.in.A[[#This Row],[oo16]],"")</f>
        <v/>
      </c>
      <c r="AM373" s="133" t="str">
        <f>IF(Tab.o1[[#This Row],[a1]]=1,IF(AM$3=1,[1]!T.in.A[[#This Row],[Σo16]],""),"")</f>
        <v/>
      </c>
      <c r="AN373" s="126" t="str">
        <f>IF(Tab.o1[[#This Row],[a1]]=1,[1]!T.in.A[[#This Row],[Σp5]],"")</f>
        <v/>
      </c>
      <c r="AO373" s="126" t="str">
        <f>IF(Tab.o1[[#This Row],[a1]]=1,IF(AO$3=1,[1]!T.in.A[[#This Row],[Σp5]],""),"")</f>
        <v/>
      </c>
      <c r="AP373" s="110" t="str">
        <f>IF(Tab.o1[[#This Row],[a1]]=1,IF(ISNUMBER(Tab.o1[[#This Row],[i.]]),NORMDIST(Tab.o1[[#This Row],[Za]],0,1,FALSE)*Tab.o1[[#This Row],[i.]],0),"")</f>
        <v/>
      </c>
      <c r="AQ373" s="125" t="str">
        <f>IF(Tab.o1[[#This Row],[a1]]=1,ABS(Tab.o1[[#This Row],[MOD]]-AVERAGE(Tab.o1[MOD])),"")</f>
        <v/>
      </c>
      <c r="AR373" s="134" t="str">
        <f>IF(Tab.o1[[#This Row],[a1]]=1,Tab.o1[[#This Row],[OBS]]/SUM(Tab.o1[OBS]),"")</f>
        <v/>
      </c>
      <c r="AS373" s="135" t="str">
        <f>IF(ISNUMBER(Tab.o1[[#This Row],[a1]]),ROW()-4,"")</f>
        <v/>
      </c>
      <c r="AT373" s="136" t="str">
        <f>Tab.o1[[#This Row],[MOD]]</f>
        <v/>
      </c>
      <c r="AU373" s="137" t="str">
        <f t="shared" si="21"/>
        <v/>
      </c>
      <c r="AV373" s="138" t="str">
        <f t="shared" si="22"/>
        <v/>
      </c>
      <c r="AW373" s="138" t="str">
        <f t="shared" si="23"/>
        <v/>
      </c>
      <c r="AX373" s="139" t="str">
        <f>[1]!T.in.A[[#This Row],[ID_T_manu]]</f>
        <v/>
      </c>
      <c r="AY373" s="140" t="str">
        <f>IF(ISNUMBER(Tab.o1[[#This Row],[a1]]),IF(AND(Tab.o1[[#This Row],[a1]]=1,Tab.o1[[#This Row],[b1]]&lt;=AY$4),#REF!,AY372),"")</f>
        <v/>
      </c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</row>
    <row r="374" spans="1:79" ht="15.75" hidden="1">
      <c r="A374" s="109">
        <v>-2.0000000000000003E-6</v>
      </c>
      <c r="B374" s="110">
        <f t="shared" si="20"/>
        <v>374</v>
      </c>
      <c r="C374" s="111" t="str">
        <f>IF(C$1=[1]!T.in.A[[#This Row],[oo2]],1,"")</f>
        <v/>
      </c>
      <c r="D374" s="112" t="str">
        <f>IF(Tab.o1[[#This Row],[a1]]=1,IF(SUM(C374:C375)=0,0,IF(SUM(C373:C374)=1,1,IF(SUM(C373:C375)&gt;1,D373+1,0))),"")</f>
        <v/>
      </c>
      <c r="E374" s="113" t="str">
        <f>IF(Tab.o1[[#This Row],[a1]]=1,[1]!T.in.A[[#This Row],[oo1]],"")</f>
        <v/>
      </c>
      <c r="F374" s="113" t="str">
        <f>IF(Tab.o1[[#This Row],[a1]]=1,[1]!T.in.A[[#This Row],[pp1]],"")</f>
        <v/>
      </c>
      <c r="G374" s="114" t="str">
        <f>IF(Tab.o1[[#This Row],[a1]]=1,G$2+IF(G$1=1,0,Tab.o1[[#This Row],[.x1]])+[1]!T.in.A[[#This Row],[oo3]],"")</f>
        <v/>
      </c>
      <c r="H374" s="115" t="str">
        <f>IF(Tab.o1[[#This Row],[a1]]=1,IF(H$2=0,0,IF(G$1=1,0,Tab.o1[[#This Row],[.x1]])+[1]!T.in.A[[#This Row],[oo4]]),"")</f>
        <v/>
      </c>
      <c r="I374" s="116" t="str">
        <f>IF(Tab.o1[[#This Row],[a1]]=1,IF(J$2=0,Tab.o1[[#This Row],[MED]],Tab.o1[[#This Row],[MOD]]),"")</f>
        <v/>
      </c>
      <c r="J374" s="116" t="str">
        <f>IF(Tab.o1[[#This Row],[a1]]=1,((Tab.o1[[#This Row],[DIF_Target.]]-AVERAGE(Tab.o1[DIF_Target.]))/_xlfn.STDEV.P(Tab.o1[DIF_Target.])),"")</f>
        <v/>
      </c>
      <c r="K374" s="117" t="str">
        <f>IF(Tab.o1[[#This Row],[a1]]=1,IF(J$2=0,Tab.o1[[#This Row],[MOD]]-Tab.o1[[#This Row],[B]],IF(J$2=1,0,-Tab.o1[[#This Row],[MED]])+Tab.o1[[#This Row],[B]]),"")</f>
        <v/>
      </c>
      <c r="L374" s="117" t="str">
        <f ca="1">IF(Tab.o1[[#This Row],[DIF_Target]]=0,IF(L$2=0,Tab.o1[[#This Row],[DIF_Target]],AVERAGE(OFFSET(Tab.o1[[#This Row],[DIF_Target]],1,0,L$3,1)))/3,Tab.o1[[#This Row],[DIF_Target]])</f>
        <v/>
      </c>
      <c r="M374" s="118" t="str">
        <f>IF(Tab.o1[[#This Row],[a1]]=1,NORMSDIST(Tab.o1[[#This Row],[Za]]),"")</f>
        <v/>
      </c>
      <c r="N374" s="119" t="str">
        <f>IF(Tab.o1[[#This Row],[a1]]=1,((Tab.o1[[#This Row],[MedMod]]-AVERAGE(Tab.o1[MedMod]))/_xlfn.STDEV.P(Tab.o1[MedMod])*H$1205)+G$1205,"")</f>
        <v/>
      </c>
      <c r="O374" s="141" t="str">
        <f>IF(Tab.o1[[#This Row],[a1]]=1,Tab.o1[[#This Row],[Zb]]*_xlfn.STDEV.P(Tab.o1[MedMod])+AVERAGE(Tab.o1[MedMod]),"")</f>
        <v/>
      </c>
      <c r="P374" s="117" t="str">
        <f ca="1">IF(Tab.o1[[#This Row],[B]]=0,AVERAGE(OFFSET(Tab.o1[[#This Row],[B]],1,0,L$3,1)),Tab.o1[[#This Row],[B]])</f>
        <v/>
      </c>
      <c r="Q374" s="121" t="str">
        <f>IF(Tab.o1[[#This Row],[a1]]=1,NORMSDIST(Tab.o1[[#This Row],[Zb]]),"")</f>
        <v/>
      </c>
      <c r="R374" s="122" t="str">
        <f>IF(Tab.o1[[#This Row],[a1]]=1,((Tab.o1[[#This Row],[MedMod]]-AVERAGE(Tab.o1[MedMod]))/_xlfn.STDEV.P(Tab.o1[MedMod])*H$1203)+G$1203,"")</f>
        <v/>
      </c>
      <c r="S374" s="122" t="str">
        <f>IF(Tab.o1[[#This Row],[a1]]=1,((Tab.o1[[#This Row],[MedMod]]-AVERAGE(Tab.o1[MedMod]))/_xlfn.STDEV.P(Tab.o1[MedMod])*H$1204)+G$1204,"")</f>
        <v/>
      </c>
      <c r="T374" s="123" t="str">
        <f>IF(Tab.o1[[#This Row],[a1]]=1,Tab.o1[[#This Row],[Z-]]*_xlfn.STDEV.P(Tab.o1[B])+AVERAGE(Tab.o1[B]),"")</f>
        <v/>
      </c>
      <c r="U374" s="123" t="str">
        <f>IF(Tab.o1[[#This Row],[a1]]=1,Tab.o1[[#This Row],[z+]]*_xlfn.STDEV.P(Tab.o1[B])+AVERAGE(Tab.o1[B]),"")</f>
        <v/>
      </c>
      <c r="V374" s="124" t="str">
        <f>IF(Tab.o1[[#This Row],[a1]]=1,ABS((ABS(Tab.o1[[#This Row],[Red]]-Tab.o1[[#This Row],[Blue]]))),"")</f>
        <v/>
      </c>
      <c r="W374" s="125" t="str">
        <f>IF(Tab.o1[[#This Row],[a1]]=1,IF(W$3=0,1,Tab.o1[[#This Row],[Amp.]]*1/_xlfn.MINIFS(Tab.o1[Amp.],Tab.o1[Amp.],"&lt;&gt;0")),"")</f>
        <v/>
      </c>
      <c r="X374" s="126" t="str">
        <f>IF(Tab.o1[[#This Row],[a1]]=1,IF(ISNUMBER(Tab.o1[[#This Row],[i.]]),NORMDIST(Tab.o1[[#This Row],[Za]],0,1,FALSE)*Tab.o1[[#This Row],[i.]],AP$3),"")</f>
        <v/>
      </c>
      <c r="Y374" s="126" t="str">
        <f>IF(Tab.o1[[#This Row],[a1]]=1,0.01+0.94*Tab.o1[[#This Row],[PDF]]/MAX(Tab.o1[PDF]),"")</f>
        <v/>
      </c>
      <c r="Z374" s="126" t="str">
        <f>IF(Tab.o1[[#This Row],[a1]]=1,0.01+0.94*Tab.o1[[#This Row],[W1_PDF]]/MAX(Tab.o1[W1_PDF]),"")</f>
        <v/>
      </c>
      <c r="AA374" s="118" t="str">
        <f>IF(Tab.o1[[#This Row],[a1]]=1,ABS([1]!T.in.A[[#This Row],[oo6]]),"")</f>
        <v/>
      </c>
      <c r="AB374" s="127" t="str">
        <f>IF(Tab.o1[[#This Row],[a1]]=1,IF(AE$3=0,"",IF(AB$3=0,ABS([1]!T.in.A[[#This Row],[oo9]]),ABS(Tab.o1[[#This Row],[DIF_Target.]]*Tab.o1[[#This Row],[W1_PDF]]))),"")</f>
        <v/>
      </c>
      <c r="AC374" s="127" t="str">
        <f>IF(G$1=1,"",IF(Tab.o1[[#This Row],[a1]]=1,Tab.o1[[#This Row],[Wr]]^2,""))</f>
        <v/>
      </c>
      <c r="AD374" s="118" t="str">
        <f>IF(Tab.o1[[#This Row],[a1]]=1,IF(AE$3=0,"",Tab.o1[[#This Row],[Wr2]]/SUM(Tab.o1[Wr2])),"")</f>
        <v/>
      </c>
      <c r="AE374" s="128" t="str">
        <f>IF(Tab.o1[[#This Row],[a1]]=1,[1]!T.in.A[[#This Row],[oo10]],"")</f>
        <v/>
      </c>
      <c r="AF374" s="118" t="str">
        <f>IF(Tab.o1[[#This Row],[a1]]=1,ABS(Tab.o1[[#This Row],[DIF_Target.]]*Tab.o1[[#This Row],[PDF2]]*Tab.o1[[#This Row],[IN]]),"")</f>
        <v/>
      </c>
      <c r="AG374" s="129" t="str">
        <f>IF(Tab.o1[[#This Row],[a1]]=1,Tab.o1[[#This Row],[rW]]^2,"")</f>
        <v/>
      </c>
      <c r="AH374" s="130" t="str">
        <f>IF(Tab.o1[[#This Row],[a1]]=1,IF(AH$3=0,Tab.o1[[#This Row],[rW2]],0.01+0.94*Tab.o1[[#This Row],[rW2]]/SUM(Tab.o1[rW2])),"")</f>
        <v/>
      </c>
      <c r="AI374" s="128" t="str">
        <f>IF(Tab.o1[[#This Row],[a1]]=1,1/Tab.o1[[#This Row],[PDF]],"")</f>
        <v/>
      </c>
      <c r="AJ374" s="131" t="str">
        <f>IF(Tab.o1[[#This Row],[a1]]=1,[1]!T_AA[[#This Row],[IN'']]*[1]!T_AA[[#This Row],[Qde'']],"")</f>
        <v/>
      </c>
      <c r="AK374" s="132" t="str">
        <f>IF(Tab.o1[[#This Row],[a1]]=1,IF(AK$1=1,Tab.o1[[#This Row],[MED]]+Tab.o1[[#This Row],[MOD]]-Tab.o1[[#This Row],[MED]],""),"")</f>
        <v/>
      </c>
      <c r="AL374" s="133" t="str">
        <f>IF(Tab.o1[[#This Row],[a1]]=1,[1]!T.in.A[[#This Row],[oo16]],"")</f>
        <v/>
      </c>
      <c r="AM374" s="133" t="str">
        <f>IF(Tab.o1[[#This Row],[a1]]=1,IF(AM$3=1,[1]!T.in.A[[#This Row],[Σo16]],""),"")</f>
        <v/>
      </c>
      <c r="AN374" s="126" t="str">
        <f>IF(Tab.o1[[#This Row],[a1]]=1,[1]!T.in.A[[#This Row],[Σp5]],"")</f>
        <v/>
      </c>
      <c r="AO374" s="126" t="str">
        <f>IF(Tab.o1[[#This Row],[a1]]=1,IF(AO$3=1,[1]!T.in.A[[#This Row],[Σp5]],""),"")</f>
        <v/>
      </c>
      <c r="AP374" s="110" t="str">
        <f>IF(Tab.o1[[#This Row],[a1]]=1,IF(ISNUMBER(Tab.o1[[#This Row],[i.]]),NORMDIST(Tab.o1[[#This Row],[Za]],0,1,FALSE)*Tab.o1[[#This Row],[i.]],0),"")</f>
        <v/>
      </c>
      <c r="AQ374" s="125" t="str">
        <f>IF(Tab.o1[[#This Row],[a1]]=1,ABS(Tab.o1[[#This Row],[MOD]]-AVERAGE(Tab.o1[MOD])),"")</f>
        <v/>
      </c>
      <c r="AR374" s="134" t="str">
        <f>IF(Tab.o1[[#This Row],[a1]]=1,Tab.o1[[#This Row],[OBS]]/SUM(Tab.o1[OBS]),"")</f>
        <v/>
      </c>
      <c r="AS374" s="135" t="str">
        <f>IF(ISNUMBER(Tab.o1[[#This Row],[a1]]),ROW()-4,"")</f>
        <v/>
      </c>
      <c r="AT374" s="136" t="str">
        <f>Tab.o1[[#This Row],[MOD]]</f>
        <v/>
      </c>
      <c r="AU374" s="137" t="str">
        <f t="shared" si="21"/>
        <v/>
      </c>
      <c r="AV374" s="138" t="str">
        <f t="shared" si="22"/>
        <v/>
      </c>
      <c r="AW374" s="138" t="str">
        <f t="shared" si="23"/>
        <v/>
      </c>
      <c r="AX374" s="139" t="str">
        <f>[1]!T.in.A[[#This Row],[ID_T_manu]]</f>
        <v/>
      </c>
      <c r="AY374" s="140" t="str">
        <f>IF(ISNUMBER(Tab.o1[[#This Row],[a1]]),IF(AND(Tab.o1[[#This Row],[a1]]=1,Tab.o1[[#This Row],[b1]]&lt;=AY$4),#REF!,AY373),"")</f>
        <v/>
      </c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</row>
    <row r="375" spans="1:79" ht="15.75" hidden="1">
      <c r="A375" s="109">
        <v>-5.9999999999999993E-6</v>
      </c>
      <c r="B375" s="110">
        <f t="shared" si="20"/>
        <v>375</v>
      </c>
      <c r="C375" s="111" t="str">
        <f>IF(C$1=[1]!T.in.A[[#This Row],[oo2]],1,"")</f>
        <v/>
      </c>
      <c r="D375" s="112" t="str">
        <f>IF(Tab.o1[[#This Row],[a1]]=1,IF(SUM(C375:C376)=0,0,IF(SUM(C374:C375)=1,1,IF(SUM(C374:C376)&gt;1,D374+1,0))),"")</f>
        <v/>
      </c>
      <c r="E375" s="113" t="str">
        <f>IF(Tab.o1[[#This Row],[a1]]=1,[1]!T.in.A[[#This Row],[oo1]],"")</f>
        <v/>
      </c>
      <c r="F375" s="113" t="str">
        <f>IF(Tab.o1[[#This Row],[a1]]=1,[1]!T.in.A[[#This Row],[pp1]],"")</f>
        <v/>
      </c>
      <c r="G375" s="114" t="str">
        <f>IF(Tab.o1[[#This Row],[a1]]=1,G$2+IF(G$1=1,0,Tab.o1[[#This Row],[.x1]])+[1]!T.in.A[[#This Row],[oo3]],"")</f>
        <v/>
      </c>
      <c r="H375" s="115" t="str">
        <f>IF(Tab.o1[[#This Row],[a1]]=1,IF(H$2=0,0,IF(G$1=1,0,Tab.o1[[#This Row],[.x1]])+[1]!T.in.A[[#This Row],[oo4]]),"")</f>
        <v/>
      </c>
      <c r="I375" s="116" t="str">
        <f>IF(Tab.o1[[#This Row],[a1]]=1,IF(J$2=0,Tab.o1[[#This Row],[MED]],Tab.o1[[#This Row],[MOD]]),"")</f>
        <v/>
      </c>
      <c r="J375" s="116" t="str">
        <f>IF(Tab.o1[[#This Row],[a1]]=1,((Tab.o1[[#This Row],[DIF_Target.]]-AVERAGE(Tab.o1[DIF_Target.]))/_xlfn.STDEV.P(Tab.o1[DIF_Target.])),"")</f>
        <v/>
      </c>
      <c r="K375" s="117" t="str">
        <f>IF(Tab.o1[[#This Row],[a1]]=1,IF(J$2=0,Tab.o1[[#This Row],[MOD]]-Tab.o1[[#This Row],[B]],IF(J$2=1,0,-Tab.o1[[#This Row],[MED]])+Tab.o1[[#This Row],[B]]),"")</f>
        <v/>
      </c>
      <c r="L375" s="117" t="str">
        <f ca="1">IF(Tab.o1[[#This Row],[DIF_Target]]=0,IF(L$2=0,Tab.o1[[#This Row],[DIF_Target]],AVERAGE(OFFSET(Tab.o1[[#This Row],[DIF_Target]],1,0,L$3,1)))/3,Tab.o1[[#This Row],[DIF_Target]])</f>
        <v/>
      </c>
      <c r="M375" s="118" t="str">
        <f>IF(Tab.o1[[#This Row],[a1]]=1,NORMSDIST(Tab.o1[[#This Row],[Za]]),"")</f>
        <v/>
      </c>
      <c r="N375" s="119" t="str">
        <f>IF(Tab.o1[[#This Row],[a1]]=1,((Tab.o1[[#This Row],[MedMod]]-AVERAGE(Tab.o1[MedMod]))/_xlfn.STDEV.P(Tab.o1[MedMod])*H$1205)+G$1205,"")</f>
        <v/>
      </c>
      <c r="O375" s="141" t="str">
        <f>IF(Tab.o1[[#This Row],[a1]]=1,Tab.o1[[#This Row],[Zb]]*_xlfn.STDEV.P(Tab.o1[MedMod])+AVERAGE(Tab.o1[MedMod]),"")</f>
        <v/>
      </c>
      <c r="P375" s="117" t="str">
        <f ca="1">IF(Tab.o1[[#This Row],[B]]=0,AVERAGE(OFFSET(Tab.o1[[#This Row],[B]],1,0,L$3,1)),Tab.o1[[#This Row],[B]])</f>
        <v/>
      </c>
      <c r="Q375" s="121" t="str">
        <f>IF(Tab.o1[[#This Row],[a1]]=1,NORMSDIST(Tab.o1[[#This Row],[Zb]]),"")</f>
        <v/>
      </c>
      <c r="R375" s="122" t="str">
        <f>IF(Tab.o1[[#This Row],[a1]]=1,((Tab.o1[[#This Row],[MedMod]]-AVERAGE(Tab.o1[MedMod]))/_xlfn.STDEV.P(Tab.o1[MedMod])*H$1203)+G$1203,"")</f>
        <v/>
      </c>
      <c r="S375" s="122" t="str">
        <f>IF(Tab.o1[[#This Row],[a1]]=1,((Tab.o1[[#This Row],[MedMod]]-AVERAGE(Tab.o1[MedMod]))/_xlfn.STDEV.P(Tab.o1[MedMod])*H$1204)+G$1204,"")</f>
        <v/>
      </c>
      <c r="T375" s="123" t="str">
        <f>IF(Tab.o1[[#This Row],[a1]]=1,Tab.o1[[#This Row],[Z-]]*_xlfn.STDEV.P(Tab.o1[B])+AVERAGE(Tab.o1[B]),"")</f>
        <v/>
      </c>
      <c r="U375" s="123" t="str">
        <f>IF(Tab.o1[[#This Row],[a1]]=1,Tab.o1[[#This Row],[z+]]*_xlfn.STDEV.P(Tab.o1[B])+AVERAGE(Tab.o1[B]),"")</f>
        <v/>
      </c>
      <c r="V375" s="124" t="str">
        <f>IF(Tab.o1[[#This Row],[a1]]=1,ABS((ABS(Tab.o1[[#This Row],[Red]]-Tab.o1[[#This Row],[Blue]]))),"")</f>
        <v/>
      </c>
      <c r="W375" s="125" t="str">
        <f>IF(Tab.o1[[#This Row],[a1]]=1,IF(W$3=0,1,Tab.o1[[#This Row],[Amp.]]*1/_xlfn.MINIFS(Tab.o1[Amp.],Tab.o1[Amp.],"&lt;&gt;0")),"")</f>
        <v/>
      </c>
      <c r="X375" s="126" t="str">
        <f>IF(Tab.o1[[#This Row],[a1]]=1,IF(ISNUMBER(Tab.o1[[#This Row],[i.]]),NORMDIST(Tab.o1[[#This Row],[Za]],0,1,FALSE)*Tab.o1[[#This Row],[i.]],AP$3),"")</f>
        <v/>
      </c>
      <c r="Y375" s="126" t="str">
        <f>IF(Tab.o1[[#This Row],[a1]]=1,0.01+0.94*Tab.o1[[#This Row],[PDF]]/MAX(Tab.o1[PDF]),"")</f>
        <v/>
      </c>
      <c r="Z375" s="126" t="str">
        <f>IF(Tab.o1[[#This Row],[a1]]=1,0.01+0.94*Tab.o1[[#This Row],[W1_PDF]]/MAX(Tab.o1[W1_PDF]),"")</f>
        <v/>
      </c>
      <c r="AA375" s="118" t="str">
        <f>IF(Tab.o1[[#This Row],[a1]]=1,ABS([1]!T.in.A[[#This Row],[oo6]]),"")</f>
        <v/>
      </c>
      <c r="AB375" s="127" t="str">
        <f>IF(Tab.o1[[#This Row],[a1]]=1,IF(AE$3=0,"",IF(AB$3=0,ABS([1]!T.in.A[[#This Row],[oo9]]),ABS(Tab.o1[[#This Row],[DIF_Target.]]*Tab.o1[[#This Row],[W1_PDF]]))),"")</f>
        <v/>
      </c>
      <c r="AC375" s="127" t="str">
        <f>IF(G$1=1,"",IF(Tab.o1[[#This Row],[a1]]=1,Tab.o1[[#This Row],[Wr]]^2,""))</f>
        <v/>
      </c>
      <c r="AD375" s="118" t="str">
        <f>IF(Tab.o1[[#This Row],[a1]]=1,IF(AE$3=0,"",Tab.o1[[#This Row],[Wr2]]/SUM(Tab.o1[Wr2])),"")</f>
        <v/>
      </c>
      <c r="AE375" s="128" t="str">
        <f>IF(Tab.o1[[#This Row],[a1]]=1,[1]!T.in.A[[#This Row],[oo10]],"")</f>
        <v/>
      </c>
      <c r="AF375" s="118" t="str">
        <f>IF(Tab.o1[[#This Row],[a1]]=1,ABS(Tab.o1[[#This Row],[DIF_Target.]]*Tab.o1[[#This Row],[PDF2]]*Tab.o1[[#This Row],[IN]]),"")</f>
        <v/>
      </c>
      <c r="AG375" s="129" t="str">
        <f>IF(Tab.o1[[#This Row],[a1]]=1,Tab.o1[[#This Row],[rW]]^2,"")</f>
        <v/>
      </c>
      <c r="AH375" s="130" t="str">
        <f>IF(Tab.o1[[#This Row],[a1]]=1,IF(AH$3=0,Tab.o1[[#This Row],[rW2]],0.01+0.94*Tab.o1[[#This Row],[rW2]]/SUM(Tab.o1[rW2])),"")</f>
        <v/>
      </c>
      <c r="AI375" s="128" t="str">
        <f>IF(Tab.o1[[#This Row],[a1]]=1,1/Tab.o1[[#This Row],[PDF]],"")</f>
        <v/>
      </c>
      <c r="AJ375" s="131" t="str">
        <f>IF(Tab.o1[[#This Row],[a1]]=1,[1]!T_AA[[#This Row],[IN'']]*[1]!T_AA[[#This Row],[Qde'']],"")</f>
        <v/>
      </c>
      <c r="AK375" s="132" t="str">
        <f>IF(Tab.o1[[#This Row],[a1]]=1,IF(AK$1=1,Tab.o1[[#This Row],[MED]]+Tab.o1[[#This Row],[MOD]]-Tab.o1[[#This Row],[MED]],""),"")</f>
        <v/>
      </c>
      <c r="AL375" s="133" t="str">
        <f>IF(Tab.o1[[#This Row],[a1]]=1,[1]!T.in.A[[#This Row],[oo16]],"")</f>
        <v/>
      </c>
      <c r="AM375" s="133" t="str">
        <f>IF(Tab.o1[[#This Row],[a1]]=1,IF(AM$3=1,[1]!T.in.A[[#This Row],[Σo16]],""),"")</f>
        <v/>
      </c>
      <c r="AN375" s="126" t="str">
        <f>IF(Tab.o1[[#This Row],[a1]]=1,[1]!T.in.A[[#This Row],[Σp5]],"")</f>
        <v/>
      </c>
      <c r="AO375" s="126" t="str">
        <f>IF(Tab.o1[[#This Row],[a1]]=1,IF(AO$3=1,[1]!T.in.A[[#This Row],[Σp5]],""),"")</f>
        <v/>
      </c>
      <c r="AP375" s="110" t="str">
        <f>IF(Tab.o1[[#This Row],[a1]]=1,IF(ISNUMBER(Tab.o1[[#This Row],[i.]]),NORMDIST(Tab.o1[[#This Row],[Za]],0,1,FALSE)*Tab.o1[[#This Row],[i.]],0),"")</f>
        <v/>
      </c>
      <c r="AQ375" s="125" t="str">
        <f>IF(Tab.o1[[#This Row],[a1]]=1,ABS(Tab.o1[[#This Row],[MOD]]-AVERAGE(Tab.o1[MOD])),"")</f>
        <v/>
      </c>
      <c r="AR375" s="134" t="str">
        <f>IF(Tab.o1[[#This Row],[a1]]=1,Tab.o1[[#This Row],[OBS]]/SUM(Tab.o1[OBS]),"")</f>
        <v/>
      </c>
      <c r="AS375" s="135" t="str">
        <f>IF(ISNUMBER(Tab.o1[[#This Row],[a1]]),ROW()-4,"")</f>
        <v/>
      </c>
      <c r="AT375" s="136" t="str">
        <f>Tab.o1[[#This Row],[MOD]]</f>
        <v/>
      </c>
      <c r="AU375" s="137" t="str">
        <f t="shared" si="21"/>
        <v/>
      </c>
      <c r="AV375" s="138" t="str">
        <f t="shared" si="22"/>
        <v/>
      </c>
      <c r="AW375" s="138" t="str">
        <f t="shared" si="23"/>
        <v/>
      </c>
      <c r="AX375" s="139" t="str">
        <f>[1]!T.in.A[[#This Row],[ID_T_manu]]</f>
        <v/>
      </c>
      <c r="AY375" s="140" t="str">
        <f>IF(ISNUMBER(Tab.o1[[#This Row],[a1]]),IF(AND(Tab.o1[[#This Row],[a1]]=1,Tab.o1[[#This Row],[b1]]&lt;=AY$4),#REF!,AY374),"")</f>
        <v/>
      </c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</row>
    <row r="376" spans="1:79" ht="15.75" hidden="1">
      <c r="A376" s="109">
        <v>-5.0000000000000004E-6</v>
      </c>
      <c r="B376" s="110">
        <f t="shared" si="20"/>
        <v>376</v>
      </c>
      <c r="C376" s="111" t="str">
        <f>IF(C$1=[1]!T.in.A[[#This Row],[oo2]],1,"")</f>
        <v/>
      </c>
      <c r="D376" s="112" t="str">
        <f>IF(Tab.o1[[#This Row],[a1]]=1,IF(SUM(C376:C377)=0,0,IF(SUM(C375:C376)=1,1,IF(SUM(C375:C377)&gt;1,D375+1,0))),"")</f>
        <v/>
      </c>
      <c r="E376" s="113" t="str">
        <f>IF(Tab.o1[[#This Row],[a1]]=1,[1]!T.in.A[[#This Row],[oo1]],"")</f>
        <v/>
      </c>
      <c r="F376" s="113" t="str">
        <f>IF(Tab.o1[[#This Row],[a1]]=1,[1]!T.in.A[[#This Row],[pp1]],"")</f>
        <v/>
      </c>
      <c r="G376" s="114" t="str">
        <f>IF(Tab.o1[[#This Row],[a1]]=1,G$2+IF(G$1=1,0,Tab.o1[[#This Row],[.x1]])+[1]!T.in.A[[#This Row],[oo3]],"")</f>
        <v/>
      </c>
      <c r="H376" s="115" t="str">
        <f>IF(Tab.o1[[#This Row],[a1]]=1,IF(H$2=0,0,IF(G$1=1,0,Tab.o1[[#This Row],[.x1]])+[1]!T.in.A[[#This Row],[oo4]]),"")</f>
        <v/>
      </c>
      <c r="I376" s="116" t="str">
        <f>IF(Tab.o1[[#This Row],[a1]]=1,IF(J$2=0,Tab.o1[[#This Row],[MED]],Tab.o1[[#This Row],[MOD]]),"")</f>
        <v/>
      </c>
      <c r="J376" s="116" t="str">
        <f>IF(Tab.o1[[#This Row],[a1]]=1,((Tab.o1[[#This Row],[DIF_Target.]]-AVERAGE(Tab.o1[DIF_Target.]))/_xlfn.STDEV.P(Tab.o1[DIF_Target.])),"")</f>
        <v/>
      </c>
      <c r="K376" s="117" t="str">
        <f>IF(Tab.o1[[#This Row],[a1]]=1,IF(J$2=0,Tab.o1[[#This Row],[MOD]]-Tab.o1[[#This Row],[B]],IF(J$2=1,0,-Tab.o1[[#This Row],[MED]])+Tab.o1[[#This Row],[B]]),"")</f>
        <v/>
      </c>
      <c r="L376" s="117" t="str">
        <f ca="1">IF(Tab.o1[[#This Row],[DIF_Target]]=0,IF(L$2=0,Tab.o1[[#This Row],[DIF_Target]],AVERAGE(OFFSET(Tab.o1[[#This Row],[DIF_Target]],1,0,L$3,1)))/3,Tab.o1[[#This Row],[DIF_Target]])</f>
        <v/>
      </c>
      <c r="M376" s="118" t="str">
        <f>IF(Tab.o1[[#This Row],[a1]]=1,NORMSDIST(Tab.o1[[#This Row],[Za]]),"")</f>
        <v/>
      </c>
      <c r="N376" s="119" t="str">
        <f>IF(Tab.o1[[#This Row],[a1]]=1,((Tab.o1[[#This Row],[MedMod]]-AVERAGE(Tab.o1[MedMod]))/_xlfn.STDEV.P(Tab.o1[MedMod])*H$1205)+G$1205,"")</f>
        <v/>
      </c>
      <c r="O376" s="141" t="str">
        <f>IF(Tab.o1[[#This Row],[a1]]=1,Tab.o1[[#This Row],[Zb]]*_xlfn.STDEV.P(Tab.o1[MedMod])+AVERAGE(Tab.o1[MedMod]),"")</f>
        <v/>
      </c>
      <c r="P376" s="117" t="str">
        <f ca="1">IF(Tab.o1[[#This Row],[B]]=0,AVERAGE(OFFSET(Tab.o1[[#This Row],[B]],1,0,L$3,1)),Tab.o1[[#This Row],[B]])</f>
        <v/>
      </c>
      <c r="Q376" s="121" t="str">
        <f>IF(Tab.o1[[#This Row],[a1]]=1,NORMSDIST(Tab.o1[[#This Row],[Zb]]),"")</f>
        <v/>
      </c>
      <c r="R376" s="122" t="str">
        <f>IF(Tab.o1[[#This Row],[a1]]=1,((Tab.o1[[#This Row],[MedMod]]-AVERAGE(Tab.o1[MedMod]))/_xlfn.STDEV.P(Tab.o1[MedMod])*H$1203)+G$1203,"")</f>
        <v/>
      </c>
      <c r="S376" s="122" t="str">
        <f>IF(Tab.o1[[#This Row],[a1]]=1,((Tab.o1[[#This Row],[MedMod]]-AVERAGE(Tab.o1[MedMod]))/_xlfn.STDEV.P(Tab.o1[MedMod])*H$1204)+G$1204,"")</f>
        <v/>
      </c>
      <c r="T376" s="123" t="str">
        <f>IF(Tab.o1[[#This Row],[a1]]=1,Tab.o1[[#This Row],[Z-]]*_xlfn.STDEV.P(Tab.o1[B])+AVERAGE(Tab.o1[B]),"")</f>
        <v/>
      </c>
      <c r="U376" s="123" t="str">
        <f>IF(Tab.o1[[#This Row],[a1]]=1,Tab.o1[[#This Row],[z+]]*_xlfn.STDEV.P(Tab.o1[B])+AVERAGE(Tab.o1[B]),"")</f>
        <v/>
      </c>
      <c r="V376" s="124" t="str">
        <f>IF(Tab.o1[[#This Row],[a1]]=1,ABS((ABS(Tab.o1[[#This Row],[Red]]-Tab.o1[[#This Row],[Blue]]))),"")</f>
        <v/>
      </c>
      <c r="W376" s="125" t="str">
        <f>IF(Tab.o1[[#This Row],[a1]]=1,IF(W$3=0,1,Tab.o1[[#This Row],[Amp.]]*1/_xlfn.MINIFS(Tab.o1[Amp.],Tab.o1[Amp.],"&lt;&gt;0")),"")</f>
        <v/>
      </c>
      <c r="X376" s="126" t="str">
        <f>IF(Tab.o1[[#This Row],[a1]]=1,IF(ISNUMBER(Tab.o1[[#This Row],[i.]]),NORMDIST(Tab.o1[[#This Row],[Za]],0,1,FALSE)*Tab.o1[[#This Row],[i.]],AP$3),"")</f>
        <v/>
      </c>
      <c r="Y376" s="126" t="str">
        <f>IF(Tab.o1[[#This Row],[a1]]=1,0.01+0.94*Tab.o1[[#This Row],[PDF]]/MAX(Tab.o1[PDF]),"")</f>
        <v/>
      </c>
      <c r="Z376" s="126" t="str">
        <f>IF(Tab.o1[[#This Row],[a1]]=1,0.01+0.94*Tab.o1[[#This Row],[W1_PDF]]/MAX(Tab.o1[W1_PDF]),"")</f>
        <v/>
      </c>
      <c r="AA376" s="118" t="str">
        <f>IF(Tab.o1[[#This Row],[a1]]=1,ABS([1]!T.in.A[[#This Row],[oo6]]),"")</f>
        <v/>
      </c>
      <c r="AB376" s="127" t="str">
        <f>IF(Tab.o1[[#This Row],[a1]]=1,IF(AE$3=0,"",IF(AB$3=0,ABS([1]!T.in.A[[#This Row],[oo9]]),ABS(Tab.o1[[#This Row],[DIF_Target.]]*Tab.o1[[#This Row],[W1_PDF]]))),"")</f>
        <v/>
      </c>
      <c r="AC376" s="127" t="str">
        <f>IF(G$1=1,"",IF(Tab.o1[[#This Row],[a1]]=1,Tab.o1[[#This Row],[Wr]]^2,""))</f>
        <v/>
      </c>
      <c r="AD376" s="118" t="str">
        <f>IF(Tab.o1[[#This Row],[a1]]=1,IF(AE$3=0,"",Tab.o1[[#This Row],[Wr2]]/SUM(Tab.o1[Wr2])),"")</f>
        <v/>
      </c>
      <c r="AE376" s="128" t="str">
        <f>IF(Tab.o1[[#This Row],[a1]]=1,[1]!T.in.A[[#This Row],[oo10]],"")</f>
        <v/>
      </c>
      <c r="AF376" s="118" t="str">
        <f>IF(Tab.o1[[#This Row],[a1]]=1,ABS(Tab.o1[[#This Row],[DIF_Target.]]*Tab.o1[[#This Row],[PDF2]]*Tab.o1[[#This Row],[IN]]),"")</f>
        <v/>
      </c>
      <c r="AG376" s="129" t="str">
        <f>IF(Tab.o1[[#This Row],[a1]]=1,Tab.o1[[#This Row],[rW]]^2,"")</f>
        <v/>
      </c>
      <c r="AH376" s="130" t="str">
        <f>IF(Tab.o1[[#This Row],[a1]]=1,IF(AH$3=0,Tab.o1[[#This Row],[rW2]],0.01+0.94*Tab.o1[[#This Row],[rW2]]/SUM(Tab.o1[rW2])),"")</f>
        <v/>
      </c>
      <c r="AI376" s="128" t="str">
        <f>IF(Tab.o1[[#This Row],[a1]]=1,1/Tab.o1[[#This Row],[PDF]],"")</f>
        <v/>
      </c>
      <c r="AJ376" s="131" t="str">
        <f>IF(Tab.o1[[#This Row],[a1]]=1,[1]!T_AA[[#This Row],[IN'']]*[1]!T_AA[[#This Row],[Qde'']],"")</f>
        <v/>
      </c>
      <c r="AK376" s="132" t="str">
        <f>IF(Tab.o1[[#This Row],[a1]]=1,IF(AK$1=1,Tab.o1[[#This Row],[MED]]+Tab.o1[[#This Row],[MOD]]-Tab.o1[[#This Row],[MED]],""),"")</f>
        <v/>
      </c>
      <c r="AL376" s="133" t="str">
        <f>IF(Tab.o1[[#This Row],[a1]]=1,[1]!T.in.A[[#This Row],[oo16]],"")</f>
        <v/>
      </c>
      <c r="AM376" s="133" t="str">
        <f>IF(Tab.o1[[#This Row],[a1]]=1,IF(AM$3=1,[1]!T.in.A[[#This Row],[Σo16]],""),"")</f>
        <v/>
      </c>
      <c r="AN376" s="126" t="str">
        <f>IF(Tab.o1[[#This Row],[a1]]=1,[1]!T.in.A[[#This Row],[Σp5]],"")</f>
        <v/>
      </c>
      <c r="AO376" s="126" t="str">
        <f>IF(Tab.o1[[#This Row],[a1]]=1,IF(AO$3=1,[1]!T.in.A[[#This Row],[Σp5]],""),"")</f>
        <v/>
      </c>
      <c r="AP376" s="110" t="str">
        <f>IF(Tab.o1[[#This Row],[a1]]=1,IF(ISNUMBER(Tab.o1[[#This Row],[i.]]),NORMDIST(Tab.o1[[#This Row],[Za]],0,1,FALSE)*Tab.o1[[#This Row],[i.]],0),"")</f>
        <v/>
      </c>
      <c r="AQ376" s="125" t="str">
        <f>IF(Tab.o1[[#This Row],[a1]]=1,ABS(Tab.o1[[#This Row],[MOD]]-AVERAGE(Tab.o1[MOD])),"")</f>
        <v/>
      </c>
      <c r="AR376" s="134" t="str">
        <f>IF(Tab.o1[[#This Row],[a1]]=1,Tab.o1[[#This Row],[OBS]]/SUM(Tab.o1[OBS]),"")</f>
        <v/>
      </c>
      <c r="AS376" s="135" t="str">
        <f>IF(ISNUMBER(Tab.o1[[#This Row],[a1]]),ROW()-4,"")</f>
        <v/>
      </c>
      <c r="AT376" s="136" t="str">
        <f>Tab.o1[[#This Row],[MOD]]</f>
        <v/>
      </c>
      <c r="AU376" s="137" t="str">
        <f t="shared" si="21"/>
        <v/>
      </c>
      <c r="AV376" s="138" t="str">
        <f t="shared" si="22"/>
        <v/>
      </c>
      <c r="AW376" s="138" t="str">
        <f t="shared" si="23"/>
        <v/>
      </c>
      <c r="AX376" s="139" t="str">
        <f>[1]!T.in.A[[#This Row],[ID_T_manu]]</f>
        <v/>
      </c>
      <c r="AY376" s="140" t="str">
        <f>IF(ISNUMBER(Tab.o1[[#This Row],[a1]]),IF(AND(Tab.o1[[#This Row],[a1]]=1,Tab.o1[[#This Row],[b1]]&lt;=AY$4),#REF!,AY375),"")</f>
        <v/>
      </c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</row>
    <row r="377" spans="1:79" ht="15.75" hidden="1">
      <c r="A377" s="109">
        <v>2.9999999999999997E-6</v>
      </c>
      <c r="B377" s="110">
        <f t="shared" si="20"/>
        <v>377</v>
      </c>
      <c r="C377" s="111" t="str">
        <f>IF(C$1=[1]!T.in.A[[#This Row],[oo2]],1,"")</f>
        <v/>
      </c>
      <c r="D377" s="112" t="str">
        <f>IF(Tab.o1[[#This Row],[a1]]=1,IF(SUM(C377:C378)=0,0,IF(SUM(C376:C377)=1,1,IF(SUM(C376:C378)&gt;1,D376+1,0))),"")</f>
        <v/>
      </c>
      <c r="E377" s="113" t="str">
        <f>IF(Tab.o1[[#This Row],[a1]]=1,[1]!T.in.A[[#This Row],[oo1]],"")</f>
        <v/>
      </c>
      <c r="F377" s="113" t="str">
        <f>IF(Tab.o1[[#This Row],[a1]]=1,[1]!T.in.A[[#This Row],[pp1]],"")</f>
        <v/>
      </c>
      <c r="G377" s="114" t="str">
        <f>IF(Tab.o1[[#This Row],[a1]]=1,G$2+IF(G$1=1,0,Tab.o1[[#This Row],[.x1]])+[1]!T.in.A[[#This Row],[oo3]],"")</f>
        <v/>
      </c>
      <c r="H377" s="115" t="str">
        <f>IF(Tab.o1[[#This Row],[a1]]=1,IF(H$2=0,0,IF(G$1=1,0,Tab.o1[[#This Row],[.x1]])+[1]!T.in.A[[#This Row],[oo4]]),"")</f>
        <v/>
      </c>
      <c r="I377" s="116" t="str">
        <f>IF(Tab.o1[[#This Row],[a1]]=1,IF(J$2=0,Tab.o1[[#This Row],[MED]],Tab.o1[[#This Row],[MOD]]),"")</f>
        <v/>
      </c>
      <c r="J377" s="116" t="str">
        <f>IF(Tab.o1[[#This Row],[a1]]=1,((Tab.o1[[#This Row],[DIF_Target.]]-AVERAGE(Tab.o1[DIF_Target.]))/_xlfn.STDEV.P(Tab.o1[DIF_Target.])),"")</f>
        <v/>
      </c>
      <c r="K377" s="117" t="str">
        <f>IF(Tab.o1[[#This Row],[a1]]=1,IF(J$2=0,Tab.o1[[#This Row],[MOD]]-Tab.o1[[#This Row],[B]],IF(J$2=1,0,-Tab.o1[[#This Row],[MED]])+Tab.o1[[#This Row],[B]]),"")</f>
        <v/>
      </c>
      <c r="L377" s="117" t="str">
        <f ca="1">IF(Tab.o1[[#This Row],[DIF_Target]]=0,IF(L$2=0,Tab.o1[[#This Row],[DIF_Target]],AVERAGE(OFFSET(Tab.o1[[#This Row],[DIF_Target]],1,0,L$3,1)))/3,Tab.o1[[#This Row],[DIF_Target]])</f>
        <v/>
      </c>
      <c r="M377" s="118" t="str">
        <f>IF(Tab.o1[[#This Row],[a1]]=1,NORMSDIST(Tab.o1[[#This Row],[Za]]),"")</f>
        <v/>
      </c>
      <c r="N377" s="119" t="str">
        <f>IF(Tab.o1[[#This Row],[a1]]=1,((Tab.o1[[#This Row],[MedMod]]-AVERAGE(Tab.o1[MedMod]))/_xlfn.STDEV.P(Tab.o1[MedMod])*H$1205)+G$1205,"")</f>
        <v/>
      </c>
      <c r="O377" s="141" t="str">
        <f>IF(Tab.o1[[#This Row],[a1]]=1,Tab.o1[[#This Row],[Zb]]*_xlfn.STDEV.P(Tab.o1[MedMod])+AVERAGE(Tab.o1[MedMod]),"")</f>
        <v/>
      </c>
      <c r="P377" s="117" t="str">
        <f ca="1">IF(Tab.o1[[#This Row],[B]]=0,AVERAGE(OFFSET(Tab.o1[[#This Row],[B]],1,0,L$3,1)),Tab.o1[[#This Row],[B]])</f>
        <v/>
      </c>
      <c r="Q377" s="121" t="str">
        <f>IF(Tab.o1[[#This Row],[a1]]=1,NORMSDIST(Tab.o1[[#This Row],[Zb]]),"")</f>
        <v/>
      </c>
      <c r="R377" s="122" t="str">
        <f>IF(Tab.o1[[#This Row],[a1]]=1,((Tab.o1[[#This Row],[MedMod]]-AVERAGE(Tab.o1[MedMod]))/_xlfn.STDEV.P(Tab.o1[MedMod])*H$1203)+G$1203,"")</f>
        <v/>
      </c>
      <c r="S377" s="122" t="str">
        <f>IF(Tab.o1[[#This Row],[a1]]=1,((Tab.o1[[#This Row],[MedMod]]-AVERAGE(Tab.o1[MedMod]))/_xlfn.STDEV.P(Tab.o1[MedMod])*H$1204)+G$1204,"")</f>
        <v/>
      </c>
      <c r="T377" s="123" t="str">
        <f>IF(Tab.o1[[#This Row],[a1]]=1,Tab.o1[[#This Row],[Z-]]*_xlfn.STDEV.P(Tab.o1[B])+AVERAGE(Tab.o1[B]),"")</f>
        <v/>
      </c>
      <c r="U377" s="123" t="str">
        <f>IF(Tab.o1[[#This Row],[a1]]=1,Tab.o1[[#This Row],[z+]]*_xlfn.STDEV.P(Tab.o1[B])+AVERAGE(Tab.o1[B]),"")</f>
        <v/>
      </c>
      <c r="V377" s="124" t="str">
        <f>IF(Tab.o1[[#This Row],[a1]]=1,ABS((ABS(Tab.o1[[#This Row],[Red]]-Tab.o1[[#This Row],[Blue]]))),"")</f>
        <v/>
      </c>
      <c r="W377" s="125" t="str">
        <f>IF(Tab.o1[[#This Row],[a1]]=1,IF(W$3=0,1,Tab.o1[[#This Row],[Amp.]]*1/_xlfn.MINIFS(Tab.o1[Amp.],Tab.o1[Amp.],"&lt;&gt;0")),"")</f>
        <v/>
      </c>
      <c r="X377" s="126" t="str">
        <f>IF(Tab.o1[[#This Row],[a1]]=1,IF(ISNUMBER(Tab.o1[[#This Row],[i.]]),NORMDIST(Tab.o1[[#This Row],[Za]],0,1,FALSE)*Tab.o1[[#This Row],[i.]],AP$3),"")</f>
        <v/>
      </c>
      <c r="Y377" s="126" t="str">
        <f>IF(Tab.o1[[#This Row],[a1]]=1,0.01+0.94*Tab.o1[[#This Row],[PDF]]/MAX(Tab.o1[PDF]),"")</f>
        <v/>
      </c>
      <c r="Z377" s="126" t="str">
        <f>IF(Tab.o1[[#This Row],[a1]]=1,0.01+0.94*Tab.o1[[#This Row],[W1_PDF]]/MAX(Tab.o1[W1_PDF]),"")</f>
        <v/>
      </c>
      <c r="AA377" s="118" t="str">
        <f>IF(Tab.o1[[#This Row],[a1]]=1,ABS([1]!T.in.A[[#This Row],[oo6]]),"")</f>
        <v/>
      </c>
      <c r="AB377" s="127" t="str">
        <f>IF(Tab.o1[[#This Row],[a1]]=1,IF(AE$3=0,"",IF(AB$3=0,ABS([1]!T.in.A[[#This Row],[oo9]]),ABS(Tab.o1[[#This Row],[DIF_Target.]]*Tab.o1[[#This Row],[W1_PDF]]))),"")</f>
        <v/>
      </c>
      <c r="AC377" s="127" t="str">
        <f>IF(G$1=1,"",IF(Tab.o1[[#This Row],[a1]]=1,Tab.o1[[#This Row],[Wr]]^2,""))</f>
        <v/>
      </c>
      <c r="AD377" s="118" t="str">
        <f>IF(Tab.o1[[#This Row],[a1]]=1,IF(AE$3=0,"",Tab.o1[[#This Row],[Wr2]]/SUM(Tab.o1[Wr2])),"")</f>
        <v/>
      </c>
      <c r="AE377" s="128" t="str">
        <f>IF(Tab.o1[[#This Row],[a1]]=1,[1]!T.in.A[[#This Row],[oo10]],"")</f>
        <v/>
      </c>
      <c r="AF377" s="118" t="str">
        <f>IF(Tab.o1[[#This Row],[a1]]=1,ABS(Tab.o1[[#This Row],[DIF_Target.]]*Tab.o1[[#This Row],[PDF2]]*Tab.o1[[#This Row],[IN]]),"")</f>
        <v/>
      </c>
      <c r="AG377" s="129" t="str">
        <f>IF(Tab.o1[[#This Row],[a1]]=1,Tab.o1[[#This Row],[rW]]^2,"")</f>
        <v/>
      </c>
      <c r="AH377" s="130" t="str">
        <f>IF(Tab.o1[[#This Row],[a1]]=1,IF(AH$3=0,Tab.o1[[#This Row],[rW2]],0.01+0.94*Tab.o1[[#This Row],[rW2]]/SUM(Tab.o1[rW2])),"")</f>
        <v/>
      </c>
      <c r="AI377" s="128" t="str">
        <f>IF(Tab.o1[[#This Row],[a1]]=1,1/Tab.o1[[#This Row],[PDF]],"")</f>
        <v/>
      </c>
      <c r="AJ377" s="131" t="str">
        <f>IF(Tab.o1[[#This Row],[a1]]=1,[1]!T_AA[[#This Row],[IN'']]*[1]!T_AA[[#This Row],[Qde'']],"")</f>
        <v/>
      </c>
      <c r="AK377" s="132" t="str">
        <f>IF(Tab.o1[[#This Row],[a1]]=1,IF(AK$1=1,Tab.o1[[#This Row],[MED]]+Tab.o1[[#This Row],[MOD]]-Tab.o1[[#This Row],[MED]],""),"")</f>
        <v/>
      </c>
      <c r="AL377" s="133" t="str">
        <f>IF(Tab.o1[[#This Row],[a1]]=1,[1]!T.in.A[[#This Row],[oo16]],"")</f>
        <v/>
      </c>
      <c r="AM377" s="133" t="str">
        <f>IF(Tab.o1[[#This Row],[a1]]=1,IF(AM$3=1,[1]!T.in.A[[#This Row],[Σo16]],""),"")</f>
        <v/>
      </c>
      <c r="AN377" s="126" t="str">
        <f>IF(Tab.o1[[#This Row],[a1]]=1,[1]!T.in.A[[#This Row],[Σp5]],"")</f>
        <v/>
      </c>
      <c r="AO377" s="126" t="str">
        <f>IF(Tab.o1[[#This Row],[a1]]=1,IF(AO$3=1,[1]!T.in.A[[#This Row],[Σp5]],""),"")</f>
        <v/>
      </c>
      <c r="AP377" s="110" t="str">
        <f>IF(Tab.o1[[#This Row],[a1]]=1,IF(ISNUMBER(Tab.o1[[#This Row],[i.]]),NORMDIST(Tab.o1[[#This Row],[Za]],0,1,FALSE)*Tab.o1[[#This Row],[i.]],0),"")</f>
        <v/>
      </c>
      <c r="AQ377" s="125" t="str">
        <f>IF(Tab.o1[[#This Row],[a1]]=1,ABS(Tab.o1[[#This Row],[MOD]]-AVERAGE(Tab.o1[MOD])),"")</f>
        <v/>
      </c>
      <c r="AR377" s="134" t="str">
        <f>IF(Tab.o1[[#This Row],[a1]]=1,Tab.o1[[#This Row],[OBS]]/SUM(Tab.o1[OBS]),"")</f>
        <v/>
      </c>
      <c r="AS377" s="135" t="str">
        <f>IF(ISNUMBER(Tab.o1[[#This Row],[a1]]),ROW()-4,"")</f>
        <v/>
      </c>
      <c r="AT377" s="136" t="str">
        <f>Tab.o1[[#This Row],[MOD]]</f>
        <v/>
      </c>
      <c r="AU377" s="137" t="str">
        <f t="shared" si="21"/>
        <v/>
      </c>
      <c r="AV377" s="138" t="str">
        <f t="shared" si="22"/>
        <v/>
      </c>
      <c r="AW377" s="138" t="str">
        <f t="shared" si="23"/>
        <v/>
      </c>
      <c r="AX377" s="139" t="str">
        <f>[1]!T.in.A[[#This Row],[ID_T_manu]]</f>
        <v/>
      </c>
      <c r="AY377" s="140" t="str">
        <f>IF(ISNUMBER(Tab.o1[[#This Row],[a1]]),IF(AND(Tab.o1[[#This Row],[a1]]=1,Tab.o1[[#This Row],[b1]]&lt;=AY$4),#REF!,AY376),"")</f>
        <v/>
      </c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</row>
    <row r="378" spans="1:79" ht="15.75" hidden="1">
      <c r="A378" s="109">
        <v>5.0000000000000004E-6</v>
      </c>
      <c r="B378" s="110">
        <f t="shared" si="20"/>
        <v>378</v>
      </c>
      <c r="C378" s="111" t="str">
        <f>IF(C$1=[1]!T.in.A[[#This Row],[oo2]],1,"")</f>
        <v/>
      </c>
      <c r="D378" s="112" t="str">
        <f>IF(Tab.o1[[#This Row],[a1]]=1,IF(SUM(C378:C379)=0,0,IF(SUM(C377:C378)=1,1,IF(SUM(C377:C379)&gt;1,D377+1,0))),"")</f>
        <v/>
      </c>
      <c r="E378" s="113" t="str">
        <f>IF(Tab.o1[[#This Row],[a1]]=1,[1]!T.in.A[[#This Row],[oo1]],"")</f>
        <v/>
      </c>
      <c r="F378" s="113" t="str">
        <f>IF(Tab.o1[[#This Row],[a1]]=1,[1]!T.in.A[[#This Row],[pp1]],"")</f>
        <v/>
      </c>
      <c r="G378" s="114" t="str">
        <f>IF(Tab.o1[[#This Row],[a1]]=1,G$2+IF(G$1=1,0,Tab.o1[[#This Row],[.x1]])+[1]!T.in.A[[#This Row],[oo3]],"")</f>
        <v/>
      </c>
      <c r="H378" s="115" t="str">
        <f>IF(Tab.o1[[#This Row],[a1]]=1,IF(H$2=0,0,IF(G$1=1,0,Tab.o1[[#This Row],[.x1]])+[1]!T.in.A[[#This Row],[oo4]]),"")</f>
        <v/>
      </c>
      <c r="I378" s="116" t="str">
        <f>IF(Tab.o1[[#This Row],[a1]]=1,IF(J$2=0,Tab.o1[[#This Row],[MED]],Tab.o1[[#This Row],[MOD]]),"")</f>
        <v/>
      </c>
      <c r="J378" s="116" t="str">
        <f>IF(Tab.o1[[#This Row],[a1]]=1,((Tab.o1[[#This Row],[DIF_Target.]]-AVERAGE(Tab.o1[DIF_Target.]))/_xlfn.STDEV.P(Tab.o1[DIF_Target.])),"")</f>
        <v/>
      </c>
      <c r="K378" s="117" t="str">
        <f>IF(Tab.o1[[#This Row],[a1]]=1,IF(J$2=0,Tab.o1[[#This Row],[MOD]]-Tab.o1[[#This Row],[B]],IF(J$2=1,0,-Tab.o1[[#This Row],[MED]])+Tab.o1[[#This Row],[B]]),"")</f>
        <v/>
      </c>
      <c r="L378" s="117" t="str">
        <f ca="1">IF(Tab.o1[[#This Row],[DIF_Target]]=0,IF(L$2=0,Tab.o1[[#This Row],[DIF_Target]],AVERAGE(OFFSET(Tab.o1[[#This Row],[DIF_Target]],1,0,L$3,1)))/3,Tab.o1[[#This Row],[DIF_Target]])</f>
        <v/>
      </c>
      <c r="M378" s="118" t="str">
        <f>IF(Tab.o1[[#This Row],[a1]]=1,NORMSDIST(Tab.o1[[#This Row],[Za]]),"")</f>
        <v/>
      </c>
      <c r="N378" s="119" t="str">
        <f>IF(Tab.o1[[#This Row],[a1]]=1,((Tab.o1[[#This Row],[MedMod]]-AVERAGE(Tab.o1[MedMod]))/_xlfn.STDEV.P(Tab.o1[MedMod])*H$1205)+G$1205,"")</f>
        <v/>
      </c>
      <c r="O378" s="141" t="str">
        <f>IF(Tab.o1[[#This Row],[a1]]=1,Tab.o1[[#This Row],[Zb]]*_xlfn.STDEV.P(Tab.o1[MedMod])+AVERAGE(Tab.o1[MedMod]),"")</f>
        <v/>
      </c>
      <c r="P378" s="117" t="str">
        <f ca="1">IF(Tab.o1[[#This Row],[B]]=0,AVERAGE(OFFSET(Tab.o1[[#This Row],[B]],1,0,L$3,1)),Tab.o1[[#This Row],[B]])</f>
        <v/>
      </c>
      <c r="Q378" s="121" t="str">
        <f>IF(Tab.o1[[#This Row],[a1]]=1,NORMSDIST(Tab.o1[[#This Row],[Zb]]),"")</f>
        <v/>
      </c>
      <c r="R378" s="122" t="str">
        <f>IF(Tab.o1[[#This Row],[a1]]=1,((Tab.o1[[#This Row],[MedMod]]-AVERAGE(Tab.o1[MedMod]))/_xlfn.STDEV.P(Tab.o1[MedMod])*H$1203)+G$1203,"")</f>
        <v/>
      </c>
      <c r="S378" s="122" t="str">
        <f>IF(Tab.o1[[#This Row],[a1]]=1,((Tab.o1[[#This Row],[MedMod]]-AVERAGE(Tab.o1[MedMod]))/_xlfn.STDEV.P(Tab.o1[MedMod])*H$1204)+G$1204,"")</f>
        <v/>
      </c>
      <c r="T378" s="123" t="str">
        <f>IF(Tab.o1[[#This Row],[a1]]=1,Tab.o1[[#This Row],[Z-]]*_xlfn.STDEV.P(Tab.o1[B])+AVERAGE(Tab.o1[B]),"")</f>
        <v/>
      </c>
      <c r="U378" s="123" t="str">
        <f>IF(Tab.o1[[#This Row],[a1]]=1,Tab.o1[[#This Row],[z+]]*_xlfn.STDEV.P(Tab.o1[B])+AVERAGE(Tab.o1[B]),"")</f>
        <v/>
      </c>
      <c r="V378" s="124" t="str">
        <f>IF(Tab.o1[[#This Row],[a1]]=1,ABS((ABS(Tab.o1[[#This Row],[Red]]-Tab.o1[[#This Row],[Blue]]))),"")</f>
        <v/>
      </c>
      <c r="W378" s="125" t="str">
        <f>IF(Tab.o1[[#This Row],[a1]]=1,IF(W$3=0,1,Tab.o1[[#This Row],[Amp.]]*1/_xlfn.MINIFS(Tab.o1[Amp.],Tab.o1[Amp.],"&lt;&gt;0")),"")</f>
        <v/>
      </c>
      <c r="X378" s="126" t="str">
        <f>IF(Tab.o1[[#This Row],[a1]]=1,IF(ISNUMBER(Tab.o1[[#This Row],[i.]]),NORMDIST(Tab.o1[[#This Row],[Za]],0,1,FALSE)*Tab.o1[[#This Row],[i.]],AP$3),"")</f>
        <v/>
      </c>
      <c r="Y378" s="126" t="str">
        <f>IF(Tab.o1[[#This Row],[a1]]=1,0.01+0.94*Tab.o1[[#This Row],[PDF]]/MAX(Tab.o1[PDF]),"")</f>
        <v/>
      </c>
      <c r="Z378" s="126" t="str">
        <f>IF(Tab.o1[[#This Row],[a1]]=1,0.01+0.94*Tab.o1[[#This Row],[W1_PDF]]/MAX(Tab.o1[W1_PDF]),"")</f>
        <v/>
      </c>
      <c r="AA378" s="118" t="str">
        <f>IF(Tab.o1[[#This Row],[a1]]=1,ABS([1]!T.in.A[[#This Row],[oo6]]),"")</f>
        <v/>
      </c>
      <c r="AB378" s="127" t="str">
        <f>IF(Tab.o1[[#This Row],[a1]]=1,IF(AE$3=0,"",IF(AB$3=0,ABS([1]!T.in.A[[#This Row],[oo9]]),ABS(Tab.o1[[#This Row],[DIF_Target.]]*Tab.o1[[#This Row],[W1_PDF]]))),"")</f>
        <v/>
      </c>
      <c r="AC378" s="127" t="str">
        <f>IF(G$1=1,"",IF(Tab.o1[[#This Row],[a1]]=1,Tab.o1[[#This Row],[Wr]]^2,""))</f>
        <v/>
      </c>
      <c r="AD378" s="118" t="str">
        <f>IF(Tab.o1[[#This Row],[a1]]=1,IF(AE$3=0,"",Tab.o1[[#This Row],[Wr2]]/SUM(Tab.o1[Wr2])),"")</f>
        <v/>
      </c>
      <c r="AE378" s="128" t="str">
        <f>IF(Tab.o1[[#This Row],[a1]]=1,[1]!T.in.A[[#This Row],[oo10]],"")</f>
        <v/>
      </c>
      <c r="AF378" s="118" t="str">
        <f>IF(Tab.o1[[#This Row],[a1]]=1,ABS(Tab.o1[[#This Row],[DIF_Target.]]*Tab.o1[[#This Row],[PDF2]]*Tab.o1[[#This Row],[IN]]),"")</f>
        <v/>
      </c>
      <c r="AG378" s="129" t="str">
        <f>IF(Tab.o1[[#This Row],[a1]]=1,Tab.o1[[#This Row],[rW]]^2,"")</f>
        <v/>
      </c>
      <c r="AH378" s="130" t="str">
        <f>IF(Tab.o1[[#This Row],[a1]]=1,IF(AH$3=0,Tab.o1[[#This Row],[rW2]],0.01+0.94*Tab.o1[[#This Row],[rW2]]/SUM(Tab.o1[rW2])),"")</f>
        <v/>
      </c>
      <c r="AI378" s="128" t="str">
        <f>IF(Tab.o1[[#This Row],[a1]]=1,1/Tab.o1[[#This Row],[PDF]],"")</f>
        <v/>
      </c>
      <c r="AJ378" s="131" t="str">
        <f>IF(Tab.o1[[#This Row],[a1]]=1,[1]!T_AA[[#This Row],[IN'']]*[1]!T_AA[[#This Row],[Qde'']],"")</f>
        <v/>
      </c>
      <c r="AK378" s="132" t="str">
        <f>IF(Tab.o1[[#This Row],[a1]]=1,IF(AK$1=1,Tab.o1[[#This Row],[MED]]+Tab.o1[[#This Row],[MOD]]-Tab.o1[[#This Row],[MED]],""),"")</f>
        <v/>
      </c>
      <c r="AL378" s="133" t="str">
        <f>IF(Tab.o1[[#This Row],[a1]]=1,[1]!T.in.A[[#This Row],[oo16]],"")</f>
        <v/>
      </c>
      <c r="AM378" s="133" t="str">
        <f>IF(Tab.o1[[#This Row],[a1]]=1,IF(AM$3=1,[1]!T.in.A[[#This Row],[Σo16]],""),"")</f>
        <v/>
      </c>
      <c r="AN378" s="126" t="str">
        <f>IF(Tab.o1[[#This Row],[a1]]=1,[1]!T.in.A[[#This Row],[Σp5]],"")</f>
        <v/>
      </c>
      <c r="AO378" s="126" t="str">
        <f>IF(Tab.o1[[#This Row],[a1]]=1,IF(AO$3=1,[1]!T.in.A[[#This Row],[Σp5]],""),"")</f>
        <v/>
      </c>
      <c r="AP378" s="110" t="str">
        <f>IF(Tab.o1[[#This Row],[a1]]=1,IF(ISNUMBER(Tab.o1[[#This Row],[i.]]),NORMDIST(Tab.o1[[#This Row],[Za]],0,1,FALSE)*Tab.o1[[#This Row],[i.]],0),"")</f>
        <v/>
      </c>
      <c r="AQ378" s="125" t="str">
        <f>IF(Tab.o1[[#This Row],[a1]]=1,ABS(Tab.o1[[#This Row],[MOD]]-AVERAGE(Tab.o1[MOD])),"")</f>
        <v/>
      </c>
      <c r="AR378" s="134" t="str">
        <f>IF(Tab.o1[[#This Row],[a1]]=1,Tab.o1[[#This Row],[OBS]]/SUM(Tab.o1[OBS]),"")</f>
        <v/>
      </c>
      <c r="AS378" s="135" t="str">
        <f>IF(ISNUMBER(Tab.o1[[#This Row],[a1]]),ROW()-4,"")</f>
        <v/>
      </c>
      <c r="AT378" s="136" t="str">
        <f>Tab.o1[[#This Row],[MOD]]</f>
        <v/>
      </c>
      <c r="AU378" s="137" t="str">
        <f t="shared" si="21"/>
        <v/>
      </c>
      <c r="AV378" s="138" t="str">
        <f t="shared" si="22"/>
        <v/>
      </c>
      <c r="AW378" s="138" t="str">
        <f t="shared" si="23"/>
        <v/>
      </c>
      <c r="AX378" s="139" t="str">
        <f>[1]!T.in.A[[#This Row],[ID_T_manu]]</f>
        <v/>
      </c>
      <c r="AY378" s="140" t="str">
        <f>IF(ISNUMBER(Tab.o1[[#This Row],[a1]]),IF(AND(Tab.o1[[#This Row],[a1]]=1,Tab.o1[[#This Row],[b1]]&lt;=AY$4),#REF!,AY377),"")</f>
        <v/>
      </c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</row>
    <row r="379" spans="1:79" ht="15.75" hidden="1">
      <c r="A379" s="109">
        <v>-1.0000000000000002E-6</v>
      </c>
      <c r="B379" s="110">
        <f t="shared" si="20"/>
        <v>379</v>
      </c>
      <c r="C379" s="111" t="str">
        <f>IF(C$1=[1]!T.in.A[[#This Row],[oo2]],1,"")</f>
        <v/>
      </c>
      <c r="D379" s="112" t="str">
        <f>IF(Tab.o1[[#This Row],[a1]]=1,IF(SUM(C379:C380)=0,0,IF(SUM(C378:C379)=1,1,IF(SUM(C378:C380)&gt;1,D378+1,0))),"")</f>
        <v/>
      </c>
      <c r="E379" s="113" t="str">
        <f>IF(Tab.o1[[#This Row],[a1]]=1,[1]!T.in.A[[#This Row],[oo1]],"")</f>
        <v/>
      </c>
      <c r="F379" s="113" t="str">
        <f>IF(Tab.o1[[#This Row],[a1]]=1,[1]!T.in.A[[#This Row],[pp1]],"")</f>
        <v/>
      </c>
      <c r="G379" s="114" t="str">
        <f>IF(Tab.o1[[#This Row],[a1]]=1,G$2+IF(G$1=1,0,Tab.o1[[#This Row],[.x1]])+[1]!T.in.A[[#This Row],[oo3]],"")</f>
        <v/>
      </c>
      <c r="H379" s="115" t="str">
        <f>IF(Tab.o1[[#This Row],[a1]]=1,IF(H$2=0,0,IF(G$1=1,0,Tab.o1[[#This Row],[.x1]])+[1]!T.in.A[[#This Row],[oo4]]),"")</f>
        <v/>
      </c>
      <c r="I379" s="116" t="str">
        <f>IF(Tab.o1[[#This Row],[a1]]=1,IF(J$2=0,Tab.o1[[#This Row],[MED]],Tab.o1[[#This Row],[MOD]]),"")</f>
        <v/>
      </c>
      <c r="J379" s="116" t="str">
        <f>IF(Tab.o1[[#This Row],[a1]]=1,((Tab.o1[[#This Row],[DIF_Target.]]-AVERAGE(Tab.o1[DIF_Target.]))/_xlfn.STDEV.P(Tab.o1[DIF_Target.])),"")</f>
        <v/>
      </c>
      <c r="K379" s="117" t="str">
        <f>IF(Tab.o1[[#This Row],[a1]]=1,IF(J$2=0,Tab.o1[[#This Row],[MOD]]-Tab.o1[[#This Row],[B]],IF(J$2=1,0,-Tab.o1[[#This Row],[MED]])+Tab.o1[[#This Row],[B]]),"")</f>
        <v/>
      </c>
      <c r="L379" s="117" t="str">
        <f ca="1">IF(Tab.o1[[#This Row],[DIF_Target]]=0,IF(L$2=0,Tab.o1[[#This Row],[DIF_Target]],AVERAGE(OFFSET(Tab.o1[[#This Row],[DIF_Target]],1,0,L$3,1)))/3,Tab.o1[[#This Row],[DIF_Target]])</f>
        <v/>
      </c>
      <c r="M379" s="118" t="str">
        <f>IF(Tab.o1[[#This Row],[a1]]=1,NORMSDIST(Tab.o1[[#This Row],[Za]]),"")</f>
        <v/>
      </c>
      <c r="N379" s="119" t="str">
        <f>IF(Tab.o1[[#This Row],[a1]]=1,((Tab.o1[[#This Row],[MedMod]]-AVERAGE(Tab.o1[MedMod]))/_xlfn.STDEV.P(Tab.o1[MedMod])*H$1205)+G$1205,"")</f>
        <v/>
      </c>
      <c r="O379" s="141" t="str">
        <f>IF(Tab.o1[[#This Row],[a1]]=1,Tab.o1[[#This Row],[Zb]]*_xlfn.STDEV.P(Tab.o1[MedMod])+AVERAGE(Tab.o1[MedMod]),"")</f>
        <v/>
      </c>
      <c r="P379" s="117" t="str">
        <f ca="1">IF(Tab.o1[[#This Row],[B]]=0,AVERAGE(OFFSET(Tab.o1[[#This Row],[B]],1,0,L$3,1)),Tab.o1[[#This Row],[B]])</f>
        <v/>
      </c>
      <c r="Q379" s="121" t="str">
        <f>IF(Tab.o1[[#This Row],[a1]]=1,NORMSDIST(Tab.o1[[#This Row],[Zb]]),"")</f>
        <v/>
      </c>
      <c r="R379" s="122" t="str">
        <f>IF(Tab.o1[[#This Row],[a1]]=1,((Tab.o1[[#This Row],[MedMod]]-AVERAGE(Tab.o1[MedMod]))/_xlfn.STDEV.P(Tab.o1[MedMod])*H$1203)+G$1203,"")</f>
        <v/>
      </c>
      <c r="S379" s="122" t="str">
        <f>IF(Tab.o1[[#This Row],[a1]]=1,((Tab.o1[[#This Row],[MedMod]]-AVERAGE(Tab.o1[MedMod]))/_xlfn.STDEV.P(Tab.o1[MedMod])*H$1204)+G$1204,"")</f>
        <v/>
      </c>
      <c r="T379" s="123" t="str">
        <f>IF(Tab.o1[[#This Row],[a1]]=1,Tab.o1[[#This Row],[Z-]]*_xlfn.STDEV.P(Tab.o1[B])+AVERAGE(Tab.o1[B]),"")</f>
        <v/>
      </c>
      <c r="U379" s="123" t="str">
        <f>IF(Tab.o1[[#This Row],[a1]]=1,Tab.o1[[#This Row],[z+]]*_xlfn.STDEV.P(Tab.o1[B])+AVERAGE(Tab.o1[B]),"")</f>
        <v/>
      </c>
      <c r="V379" s="124" t="str">
        <f>IF(Tab.o1[[#This Row],[a1]]=1,ABS((ABS(Tab.o1[[#This Row],[Red]]-Tab.o1[[#This Row],[Blue]]))),"")</f>
        <v/>
      </c>
      <c r="W379" s="125" t="str">
        <f>IF(Tab.o1[[#This Row],[a1]]=1,IF(W$3=0,1,Tab.o1[[#This Row],[Amp.]]*1/_xlfn.MINIFS(Tab.o1[Amp.],Tab.o1[Amp.],"&lt;&gt;0")),"")</f>
        <v/>
      </c>
      <c r="X379" s="126" t="str">
        <f>IF(Tab.o1[[#This Row],[a1]]=1,IF(ISNUMBER(Tab.o1[[#This Row],[i.]]),NORMDIST(Tab.o1[[#This Row],[Za]],0,1,FALSE)*Tab.o1[[#This Row],[i.]],AP$3),"")</f>
        <v/>
      </c>
      <c r="Y379" s="126" t="str">
        <f>IF(Tab.o1[[#This Row],[a1]]=1,0.01+0.94*Tab.o1[[#This Row],[PDF]]/MAX(Tab.o1[PDF]),"")</f>
        <v/>
      </c>
      <c r="Z379" s="126" t="str">
        <f>IF(Tab.o1[[#This Row],[a1]]=1,0.01+0.94*Tab.o1[[#This Row],[W1_PDF]]/MAX(Tab.o1[W1_PDF]),"")</f>
        <v/>
      </c>
      <c r="AA379" s="118" t="str">
        <f>IF(Tab.o1[[#This Row],[a1]]=1,ABS([1]!T.in.A[[#This Row],[oo6]]),"")</f>
        <v/>
      </c>
      <c r="AB379" s="127" t="str">
        <f>IF(Tab.o1[[#This Row],[a1]]=1,IF(AE$3=0,"",IF(AB$3=0,ABS([1]!T.in.A[[#This Row],[oo9]]),ABS(Tab.o1[[#This Row],[DIF_Target.]]*Tab.o1[[#This Row],[W1_PDF]]))),"")</f>
        <v/>
      </c>
      <c r="AC379" s="127" t="str">
        <f>IF(G$1=1,"",IF(Tab.o1[[#This Row],[a1]]=1,Tab.o1[[#This Row],[Wr]]^2,""))</f>
        <v/>
      </c>
      <c r="AD379" s="118" t="str">
        <f>IF(Tab.o1[[#This Row],[a1]]=1,IF(AE$3=0,"",Tab.o1[[#This Row],[Wr2]]/SUM(Tab.o1[Wr2])),"")</f>
        <v/>
      </c>
      <c r="AE379" s="128" t="str">
        <f>IF(Tab.o1[[#This Row],[a1]]=1,[1]!T.in.A[[#This Row],[oo10]],"")</f>
        <v/>
      </c>
      <c r="AF379" s="118" t="str">
        <f>IF(Tab.o1[[#This Row],[a1]]=1,ABS(Tab.o1[[#This Row],[DIF_Target.]]*Tab.o1[[#This Row],[PDF2]]*Tab.o1[[#This Row],[IN]]),"")</f>
        <v/>
      </c>
      <c r="AG379" s="129" t="str">
        <f>IF(Tab.o1[[#This Row],[a1]]=1,Tab.o1[[#This Row],[rW]]^2,"")</f>
        <v/>
      </c>
      <c r="AH379" s="130" t="str">
        <f>IF(Tab.o1[[#This Row],[a1]]=1,IF(AH$3=0,Tab.o1[[#This Row],[rW2]],0.01+0.94*Tab.o1[[#This Row],[rW2]]/SUM(Tab.o1[rW2])),"")</f>
        <v/>
      </c>
      <c r="AI379" s="128" t="str">
        <f>IF(Tab.o1[[#This Row],[a1]]=1,1/Tab.o1[[#This Row],[PDF]],"")</f>
        <v/>
      </c>
      <c r="AJ379" s="131" t="str">
        <f>IF(Tab.o1[[#This Row],[a1]]=1,[1]!T_AA[[#This Row],[IN'']]*[1]!T_AA[[#This Row],[Qde'']],"")</f>
        <v/>
      </c>
      <c r="AK379" s="132" t="str">
        <f>IF(Tab.o1[[#This Row],[a1]]=1,IF(AK$1=1,Tab.o1[[#This Row],[MED]]+Tab.o1[[#This Row],[MOD]]-Tab.o1[[#This Row],[MED]],""),"")</f>
        <v/>
      </c>
      <c r="AL379" s="133" t="str">
        <f>IF(Tab.o1[[#This Row],[a1]]=1,[1]!T.in.A[[#This Row],[oo16]],"")</f>
        <v/>
      </c>
      <c r="AM379" s="133" t="str">
        <f>IF(Tab.o1[[#This Row],[a1]]=1,IF(AM$3=1,[1]!T.in.A[[#This Row],[Σo16]],""),"")</f>
        <v/>
      </c>
      <c r="AN379" s="126" t="str">
        <f>IF(Tab.o1[[#This Row],[a1]]=1,[1]!T.in.A[[#This Row],[Σp5]],"")</f>
        <v/>
      </c>
      <c r="AO379" s="126" t="str">
        <f>IF(Tab.o1[[#This Row],[a1]]=1,IF(AO$3=1,[1]!T.in.A[[#This Row],[Σp5]],""),"")</f>
        <v/>
      </c>
      <c r="AP379" s="110" t="str">
        <f>IF(Tab.o1[[#This Row],[a1]]=1,IF(ISNUMBER(Tab.o1[[#This Row],[i.]]),NORMDIST(Tab.o1[[#This Row],[Za]],0,1,FALSE)*Tab.o1[[#This Row],[i.]],0),"")</f>
        <v/>
      </c>
      <c r="AQ379" s="125" t="str">
        <f>IF(Tab.o1[[#This Row],[a1]]=1,ABS(Tab.o1[[#This Row],[MOD]]-AVERAGE(Tab.o1[MOD])),"")</f>
        <v/>
      </c>
      <c r="AR379" s="134" t="str">
        <f>IF(Tab.o1[[#This Row],[a1]]=1,Tab.o1[[#This Row],[OBS]]/SUM(Tab.o1[OBS]),"")</f>
        <v/>
      </c>
      <c r="AS379" s="135" t="str">
        <f>IF(ISNUMBER(Tab.o1[[#This Row],[a1]]),ROW()-4,"")</f>
        <v/>
      </c>
      <c r="AT379" s="136" t="str">
        <f>Tab.o1[[#This Row],[MOD]]</f>
        <v/>
      </c>
      <c r="AU379" s="137" t="str">
        <f t="shared" si="21"/>
        <v/>
      </c>
      <c r="AV379" s="138" t="str">
        <f t="shared" si="22"/>
        <v/>
      </c>
      <c r="AW379" s="138" t="str">
        <f t="shared" si="23"/>
        <v/>
      </c>
      <c r="AX379" s="139" t="str">
        <f>[1]!T.in.A[[#This Row],[ID_T_manu]]</f>
        <v/>
      </c>
      <c r="AY379" s="140" t="str">
        <f>IF(ISNUMBER(Tab.o1[[#This Row],[a1]]),IF(AND(Tab.o1[[#This Row],[a1]]=1,Tab.o1[[#This Row],[b1]]&lt;=AY$4),#REF!,AY378),"")</f>
        <v/>
      </c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</row>
    <row r="380" spans="1:79" ht="15.75" hidden="1">
      <c r="A380" s="109">
        <v>-5.0000000000000004E-6</v>
      </c>
      <c r="B380" s="110">
        <f t="shared" si="20"/>
        <v>380</v>
      </c>
      <c r="C380" s="111" t="str">
        <f>IF(C$1=[1]!T.in.A[[#This Row],[oo2]],1,"")</f>
        <v/>
      </c>
      <c r="D380" s="112" t="str">
        <f>IF(Tab.o1[[#This Row],[a1]]=1,IF(SUM(C380:C381)=0,0,IF(SUM(C379:C380)=1,1,IF(SUM(C379:C381)&gt;1,D379+1,0))),"")</f>
        <v/>
      </c>
      <c r="E380" s="113" t="str">
        <f>IF(Tab.o1[[#This Row],[a1]]=1,[1]!T.in.A[[#This Row],[oo1]],"")</f>
        <v/>
      </c>
      <c r="F380" s="113" t="str">
        <f>IF(Tab.o1[[#This Row],[a1]]=1,[1]!T.in.A[[#This Row],[pp1]],"")</f>
        <v/>
      </c>
      <c r="G380" s="114" t="str">
        <f>IF(Tab.o1[[#This Row],[a1]]=1,G$2+IF(G$1=1,0,Tab.o1[[#This Row],[.x1]])+[1]!T.in.A[[#This Row],[oo3]],"")</f>
        <v/>
      </c>
      <c r="H380" s="115" t="str">
        <f>IF(Tab.o1[[#This Row],[a1]]=1,IF(H$2=0,0,IF(G$1=1,0,Tab.o1[[#This Row],[.x1]])+[1]!T.in.A[[#This Row],[oo4]]),"")</f>
        <v/>
      </c>
      <c r="I380" s="116" t="str">
        <f>IF(Tab.o1[[#This Row],[a1]]=1,IF(J$2=0,Tab.o1[[#This Row],[MED]],Tab.o1[[#This Row],[MOD]]),"")</f>
        <v/>
      </c>
      <c r="J380" s="116" t="str">
        <f>IF(Tab.o1[[#This Row],[a1]]=1,((Tab.o1[[#This Row],[DIF_Target.]]-AVERAGE(Tab.o1[DIF_Target.]))/_xlfn.STDEV.P(Tab.o1[DIF_Target.])),"")</f>
        <v/>
      </c>
      <c r="K380" s="117" t="str">
        <f>IF(Tab.o1[[#This Row],[a1]]=1,IF(J$2=0,Tab.o1[[#This Row],[MOD]]-Tab.o1[[#This Row],[B]],IF(J$2=1,0,-Tab.o1[[#This Row],[MED]])+Tab.o1[[#This Row],[B]]),"")</f>
        <v/>
      </c>
      <c r="L380" s="117" t="str">
        <f ca="1">IF(Tab.o1[[#This Row],[DIF_Target]]=0,IF(L$2=0,Tab.o1[[#This Row],[DIF_Target]],AVERAGE(OFFSET(Tab.o1[[#This Row],[DIF_Target]],1,0,L$3,1)))/3,Tab.o1[[#This Row],[DIF_Target]])</f>
        <v/>
      </c>
      <c r="M380" s="118" t="str">
        <f>IF(Tab.o1[[#This Row],[a1]]=1,NORMSDIST(Tab.o1[[#This Row],[Za]]),"")</f>
        <v/>
      </c>
      <c r="N380" s="119" t="str">
        <f>IF(Tab.o1[[#This Row],[a1]]=1,((Tab.o1[[#This Row],[MedMod]]-AVERAGE(Tab.o1[MedMod]))/_xlfn.STDEV.P(Tab.o1[MedMod])*H$1205)+G$1205,"")</f>
        <v/>
      </c>
      <c r="O380" s="141" t="str">
        <f>IF(Tab.o1[[#This Row],[a1]]=1,Tab.o1[[#This Row],[Zb]]*_xlfn.STDEV.P(Tab.o1[MedMod])+AVERAGE(Tab.o1[MedMod]),"")</f>
        <v/>
      </c>
      <c r="P380" s="117" t="str">
        <f ca="1">IF(Tab.o1[[#This Row],[B]]=0,AVERAGE(OFFSET(Tab.o1[[#This Row],[B]],1,0,L$3,1)),Tab.o1[[#This Row],[B]])</f>
        <v/>
      </c>
      <c r="Q380" s="121" t="str">
        <f>IF(Tab.o1[[#This Row],[a1]]=1,NORMSDIST(Tab.o1[[#This Row],[Zb]]),"")</f>
        <v/>
      </c>
      <c r="R380" s="122" t="str">
        <f>IF(Tab.o1[[#This Row],[a1]]=1,((Tab.o1[[#This Row],[MedMod]]-AVERAGE(Tab.o1[MedMod]))/_xlfn.STDEV.P(Tab.o1[MedMod])*H$1203)+G$1203,"")</f>
        <v/>
      </c>
      <c r="S380" s="122" t="str">
        <f>IF(Tab.o1[[#This Row],[a1]]=1,((Tab.o1[[#This Row],[MedMod]]-AVERAGE(Tab.o1[MedMod]))/_xlfn.STDEV.P(Tab.o1[MedMod])*H$1204)+G$1204,"")</f>
        <v/>
      </c>
      <c r="T380" s="123" t="str">
        <f>IF(Tab.o1[[#This Row],[a1]]=1,Tab.o1[[#This Row],[Z-]]*_xlfn.STDEV.P(Tab.o1[B])+AVERAGE(Tab.o1[B]),"")</f>
        <v/>
      </c>
      <c r="U380" s="123" t="str">
        <f>IF(Tab.o1[[#This Row],[a1]]=1,Tab.o1[[#This Row],[z+]]*_xlfn.STDEV.P(Tab.o1[B])+AVERAGE(Tab.o1[B]),"")</f>
        <v/>
      </c>
      <c r="V380" s="124" t="str">
        <f>IF(Tab.o1[[#This Row],[a1]]=1,ABS((ABS(Tab.o1[[#This Row],[Red]]-Tab.o1[[#This Row],[Blue]]))),"")</f>
        <v/>
      </c>
      <c r="W380" s="125" t="str">
        <f>IF(Tab.o1[[#This Row],[a1]]=1,IF(W$3=0,1,Tab.o1[[#This Row],[Amp.]]*1/_xlfn.MINIFS(Tab.o1[Amp.],Tab.o1[Amp.],"&lt;&gt;0")),"")</f>
        <v/>
      </c>
      <c r="X380" s="126" t="str">
        <f>IF(Tab.o1[[#This Row],[a1]]=1,IF(ISNUMBER(Tab.o1[[#This Row],[i.]]),NORMDIST(Tab.o1[[#This Row],[Za]],0,1,FALSE)*Tab.o1[[#This Row],[i.]],AP$3),"")</f>
        <v/>
      </c>
      <c r="Y380" s="126" t="str">
        <f>IF(Tab.o1[[#This Row],[a1]]=1,0.01+0.94*Tab.o1[[#This Row],[PDF]]/MAX(Tab.o1[PDF]),"")</f>
        <v/>
      </c>
      <c r="Z380" s="126" t="str">
        <f>IF(Tab.o1[[#This Row],[a1]]=1,0.01+0.94*Tab.o1[[#This Row],[W1_PDF]]/MAX(Tab.o1[W1_PDF]),"")</f>
        <v/>
      </c>
      <c r="AA380" s="118" t="str">
        <f>IF(Tab.o1[[#This Row],[a1]]=1,ABS([1]!T.in.A[[#This Row],[oo6]]),"")</f>
        <v/>
      </c>
      <c r="AB380" s="127" t="str">
        <f>IF(Tab.o1[[#This Row],[a1]]=1,IF(AE$3=0,"",IF(AB$3=0,ABS([1]!T.in.A[[#This Row],[oo9]]),ABS(Tab.o1[[#This Row],[DIF_Target.]]*Tab.o1[[#This Row],[W1_PDF]]))),"")</f>
        <v/>
      </c>
      <c r="AC380" s="127" t="str">
        <f>IF(G$1=1,"",IF(Tab.o1[[#This Row],[a1]]=1,Tab.o1[[#This Row],[Wr]]^2,""))</f>
        <v/>
      </c>
      <c r="AD380" s="118" t="str">
        <f>IF(Tab.o1[[#This Row],[a1]]=1,IF(AE$3=0,"",Tab.o1[[#This Row],[Wr2]]/SUM(Tab.o1[Wr2])),"")</f>
        <v/>
      </c>
      <c r="AE380" s="128" t="str">
        <f>IF(Tab.o1[[#This Row],[a1]]=1,[1]!T.in.A[[#This Row],[oo10]],"")</f>
        <v/>
      </c>
      <c r="AF380" s="118" t="str">
        <f>IF(Tab.o1[[#This Row],[a1]]=1,ABS(Tab.o1[[#This Row],[DIF_Target.]]*Tab.o1[[#This Row],[PDF2]]*Tab.o1[[#This Row],[IN]]),"")</f>
        <v/>
      </c>
      <c r="AG380" s="129" t="str">
        <f>IF(Tab.o1[[#This Row],[a1]]=1,Tab.o1[[#This Row],[rW]]^2,"")</f>
        <v/>
      </c>
      <c r="AH380" s="130" t="str">
        <f>IF(Tab.o1[[#This Row],[a1]]=1,IF(AH$3=0,Tab.o1[[#This Row],[rW2]],0.01+0.94*Tab.o1[[#This Row],[rW2]]/SUM(Tab.o1[rW2])),"")</f>
        <v/>
      </c>
      <c r="AI380" s="128" t="str">
        <f>IF(Tab.o1[[#This Row],[a1]]=1,1/Tab.o1[[#This Row],[PDF]],"")</f>
        <v/>
      </c>
      <c r="AJ380" s="131" t="str">
        <f>IF(Tab.o1[[#This Row],[a1]]=1,[1]!T_AA[[#This Row],[IN'']]*[1]!T_AA[[#This Row],[Qde'']],"")</f>
        <v/>
      </c>
      <c r="AK380" s="132" t="str">
        <f>IF(Tab.o1[[#This Row],[a1]]=1,IF(AK$1=1,Tab.o1[[#This Row],[MED]]+Tab.o1[[#This Row],[MOD]]-Tab.o1[[#This Row],[MED]],""),"")</f>
        <v/>
      </c>
      <c r="AL380" s="133" t="str">
        <f>IF(Tab.o1[[#This Row],[a1]]=1,[1]!T.in.A[[#This Row],[oo16]],"")</f>
        <v/>
      </c>
      <c r="AM380" s="133" t="str">
        <f>IF(Tab.o1[[#This Row],[a1]]=1,IF(AM$3=1,[1]!T.in.A[[#This Row],[Σo16]],""),"")</f>
        <v/>
      </c>
      <c r="AN380" s="126" t="str">
        <f>IF(Tab.o1[[#This Row],[a1]]=1,[1]!T.in.A[[#This Row],[Σp5]],"")</f>
        <v/>
      </c>
      <c r="AO380" s="126" t="str">
        <f>IF(Tab.o1[[#This Row],[a1]]=1,IF(AO$3=1,[1]!T.in.A[[#This Row],[Σp5]],""),"")</f>
        <v/>
      </c>
      <c r="AP380" s="110" t="str">
        <f>IF(Tab.o1[[#This Row],[a1]]=1,IF(ISNUMBER(Tab.o1[[#This Row],[i.]]),NORMDIST(Tab.o1[[#This Row],[Za]],0,1,FALSE)*Tab.o1[[#This Row],[i.]],0),"")</f>
        <v/>
      </c>
      <c r="AQ380" s="125" t="str">
        <f>IF(Tab.o1[[#This Row],[a1]]=1,ABS(Tab.o1[[#This Row],[MOD]]-AVERAGE(Tab.o1[MOD])),"")</f>
        <v/>
      </c>
      <c r="AR380" s="134" t="str">
        <f>IF(Tab.o1[[#This Row],[a1]]=1,Tab.o1[[#This Row],[OBS]]/SUM(Tab.o1[OBS]),"")</f>
        <v/>
      </c>
      <c r="AS380" s="135" t="str">
        <f>IF(ISNUMBER(Tab.o1[[#This Row],[a1]]),ROW()-4,"")</f>
        <v/>
      </c>
      <c r="AT380" s="136" t="str">
        <f>Tab.o1[[#This Row],[MOD]]</f>
        <v/>
      </c>
      <c r="AU380" s="137" t="str">
        <f t="shared" si="21"/>
        <v/>
      </c>
      <c r="AV380" s="138" t="str">
        <f t="shared" si="22"/>
        <v/>
      </c>
      <c r="AW380" s="138" t="str">
        <f t="shared" si="23"/>
        <v/>
      </c>
      <c r="AX380" s="139" t="str">
        <f>[1]!T.in.A[[#This Row],[ID_T_manu]]</f>
        <v/>
      </c>
      <c r="AY380" s="140" t="str">
        <f>IF(ISNUMBER(Tab.o1[[#This Row],[a1]]),IF(AND(Tab.o1[[#This Row],[a1]]=1,Tab.o1[[#This Row],[b1]]&lt;=AY$4),#REF!,AY379),"")</f>
        <v/>
      </c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</row>
    <row r="381" spans="1:79" ht="15.75" hidden="1">
      <c r="A381" s="109">
        <v>6.9999999999999999E-6</v>
      </c>
      <c r="B381" s="110">
        <f t="shared" si="20"/>
        <v>381</v>
      </c>
      <c r="C381" s="111" t="str">
        <f>IF(C$1=[1]!T.in.A[[#This Row],[oo2]],1,"")</f>
        <v/>
      </c>
      <c r="D381" s="112" t="str">
        <f>IF(Tab.o1[[#This Row],[a1]]=1,IF(SUM(C381:C382)=0,0,IF(SUM(C380:C381)=1,1,IF(SUM(C380:C382)&gt;1,D380+1,0))),"")</f>
        <v/>
      </c>
      <c r="E381" s="113" t="str">
        <f>IF(Tab.o1[[#This Row],[a1]]=1,[1]!T.in.A[[#This Row],[oo1]],"")</f>
        <v/>
      </c>
      <c r="F381" s="113" t="str">
        <f>IF(Tab.o1[[#This Row],[a1]]=1,[1]!T.in.A[[#This Row],[pp1]],"")</f>
        <v/>
      </c>
      <c r="G381" s="114" t="str">
        <f>IF(Tab.o1[[#This Row],[a1]]=1,G$2+IF(G$1=1,0,Tab.o1[[#This Row],[.x1]])+[1]!T.in.A[[#This Row],[oo3]],"")</f>
        <v/>
      </c>
      <c r="H381" s="115" t="str">
        <f>IF(Tab.o1[[#This Row],[a1]]=1,IF(H$2=0,0,IF(G$1=1,0,Tab.o1[[#This Row],[.x1]])+[1]!T.in.A[[#This Row],[oo4]]),"")</f>
        <v/>
      </c>
      <c r="I381" s="116" t="str">
        <f>IF(Tab.o1[[#This Row],[a1]]=1,IF(J$2=0,Tab.o1[[#This Row],[MED]],Tab.o1[[#This Row],[MOD]]),"")</f>
        <v/>
      </c>
      <c r="J381" s="116" t="str">
        <f>IF(Tab.o1[[#This Row],[a1]]=1,((Tab.o1[[#This Row],[DIF_Target.]]-AVERAGE(Tab.o1[DIF_Target.]))/_xlfn.STDEV.P(Tab.o1[DIF_Target.])),"")</f>
        <v/>
      </c>
      <c r="K381" s="117" t="str">
        <f>IF(Tab.o1[[#This Row],[a1]]=1,IF(J$2=0,Tab.o1[[#This Row],[MOD]]-Tab.o1[[#This Row],[B]],IF(J$2=1,0,-Tab.o1[[#This Row],[MED]])+Tab.o1[[#This Row],[B]]),"")</f>
        <v/>
      </c>
      <c r="L381" s="117" t="str">
        <f ca="1">IF(Tab.o1[[#This Row],[DIF_Target]]=0,IF(L$2=0,Tab.o1[[#This Row],[DIF_Target]],AVERAGE(OFFSET(Tab.o1[[#This Row],[DIF_Target]],1,0,L$3,1)))/3,Tab.o1[[#This Row],[DIF_Target]])</f>
        <v/>
      </c>
      <c r="M381" s="118" t="str">
        <f>IF(Tab.o1[[#This Row],[a1]]=1,NORMSDIST(Tab.o1[[#This Row],[Za]]),"")</f>
        <v/>
      </c>
      <c r="N381" s="119" t="str">
        <f>IF(Tab.o1[[#This Row],[a1]]=1,((Tab.o1[[#This Row],[MedMod]]-AVERAGE(Tab.o1[MedMod]))/_xlfn.STDEV.P(Tab.o1[MedMod])*H$1205)+G$1205,"")</f>
        <v/>
      </c>
      <c r="O381" s="141" t="str">
        <f>IF(Tab.o1[[#This Row],[a1]]=1,Tab.o1[[#This Row],[Zb]]*_xlfn.STDEV.P(Tab.o1[MedMod])+AVERAGE(Tab.o1[MedMod]),"")</f>
        <v/>
      </c>
      <c r="P381" s="117" t="str">
        <f ca="1">IF(Tab.o1[[#This Row],[B]]=0,AVERAGE(OFFSET(Tab.o1[[#This Row],[B]],1,0,L$3,1)),Tab.o1[[#This Row],[B]])</f>
        <v/>
      </c>
      <c r="Q381" s="121" t="str">
        <f>IF(Tab.o1[[#This Row],[a1]]=1,NORMSDIST(Tab.o1[[#This Row],[Zb]]),"")</f>
        <v/>
      </c>
      <c r="R381" s="122" t="str">
        <f>IF(Tab.o1[[#This Row],[a1]]=1,((Tab.o1[[#This Row],[MedMod]]-AVERAGE(Tab.o1[MedMod]))/_xlfn.STDEV.P(Tab.o1[MedMod])*H$1203)+G$1203,"")</f>
        <v/>
      </c>
      <c r="S381" s="122" t="str">
        <f>IF(Tab.o1[[#This Row],[a1]]=1,((Tab.o1[[#This Row],[MedMod]]-AVERAGE(Tab.o1[MedMod]))/_xlfn.STDEV.P(Tab.o1[MedMod])*H$1204)+G$1204,"")</f>
        <v/>
      </c>
      <c r="T381" s="123" t="str">
        <f>IF(Tab.o1[[#This Row],[a1]]=1,Tab.o1[[#This Row],[Z-]]*_xlfn.STDEV.P(Tab.o1[B])+AVERAGE(Tab.o1[B]),"")</f>
        <v/>
      </c>
      <c r="U381" s="123" t="str">
        <f>IF(Tab.o1[[#This Row],[a1]]=1,Tab.o1[[#This Row],[z+]]*_xlfn.STDEV.P(Tab.o1[B])+AVERAGE(Tab.o1[B]),"")</f>
        <v/>
      </c>
      <c r="V381" s="124" t="str">
        <f>IF(Tab.o1[[#This Row],[a1]]=1,ABS((ABS(Tab.o1[[#This Row],[Red]]-Tab.o1[[#This Row],[Blue]]))),"")</f>
        <v/>
      </c>
      <c r="W381" s="125" t="str">
        <f>IF(Tab.o1[[#This Row],[a1]]=1,IF(W$3=0,1,Tab.o1[[#This Row],[Amp.]]*1/_xlfn.MINIFS(Tab.o1[Amp.],Tab.o1[Amp.],"&lt;&gt;0")),"")</f>
        <v/>
      </c>
      <c r="X381" s="126" t="str">
        <f>IF(Tab.o1[[#This Row],[a1]]=1,IF(ISNUMBER(Tab.o1[[#This Row],[i.]]),NORMDIST(Tab.o1[[#This Row],[Za]],0,1,FALSE)*Tab.o1[[#This Row],[i.]],AP$3),"")</f>
        <v/>
      </c>
      <c r="Y381" s="126" t="str">
        <f>IF(Tab.o1[[#This Row],[a1]]=1,0.01+0.94*Tab.o1[[#This Row],[PDF]]/MAX(Tab.o1[PDF]),"")</f>
        <v/>
      </c>
      <c r="Z381" s="126" t="str">
        <f>IF(Tab.o1[[#This Row],[a1]]=1,0.01+0.94*Tab.o1[[#This Row],[W1_PDF]]/MAX(Tab.o1[W1_PDF]),"")</f>
        <v/>
      </c>
      <c r="AA381" s="118" t="str">
        <f>IF(Tab.o1[[#This Row],[a1]]=1,ABS([1]!T.in.A[[#This Row],[oo6]]),"")</f>
        <v/>
      </c>
      <c r="AB381" s="127" t="str">
        <f>IF(Tab.o1[[#This Row],[a1]]=1,IF(AE$3=0,"",IF(AB$3=0,ABS([1]!T.in.A[[#This Row],[oo9]]),ABS(Tab.o1[[#This Row],[DIF_Target.]]*Tab.o1[[#This Row],[W1_PDF]]))),"")</f>
        <v/>
      </c>
      <c r="AC381" s="127" t="str">
        <f>IF(G$1=1,"",IF(Tab.o1[[#This Row],[a1]]=1,Tab.o1[[#This Row],[Wr]]^2,""))</f>
        <v/>
      </c>
      <c r="AD381" s="118" t="str">
        <f>IF(Tab.o1[[#This Row],[a1]]=1,IF(AE$3=0,"",Tab.o1[[#This Row],[Wr2]]/SUM(Tab.o1[Wr2])),"")</f>
        <v/>
      </c>
      <c r="AE381" s="128" t="str">
        <f>IF(Tab.o1[[#This Row],[a1]]=1,[1]!T.in.A[[#This Row],[oo10]],"")</f>
        <v/>
      </c>
      <c r="AF381" s="118" t="str">
        <f>IF(Tab.o1[[#This Row],[a1]]=1,ABS(Tab.o1[[#This Row],[DIF_Target.]]*Tab.o1[[#This Row],[PDF2]]*Tab.o1[[#This Row],[IN]]),"")</f>
        <v/>
      </c>
      <c r="AG381" s="129" t="str">
        <f>IF(Tab.o1[[#This Row],[a1]]=1,Tab.o1[[#This Row],[rW]]^2,"")</f>
        <v/>
      </c>
      <c r="AH381" s="130" t="str">
        <f>IF(Tab.o1[[#This Row],[a1]]=1,IF(AH$3=0,Tab.o1[[#This Row],[rW2]],0.01+0.94*Tab.o1[[#This Row],[rW2]]/SUM(Tab.o1[rW2])),"")</f>
        <v/>
      </c>
      <c r="AI381" s="128" t="str">
        <f>IF(Tab.o1[[#This Row],[a1]]=1,1/Tab.o1[[#This Row],[PDF]],"")</f>
        <v/>
      </c>
      <c r="AJ381" s="131" t="str">
        <f>IF(Tab.o1[[#This Row],[a1]]=1,[1]!T_AA[[#This Row],[IN'']]*[1]!T_AA[[#This Row],[Qde'']],"")</f>
        <v/>
      </c>
      <c r="AK381" s="132" t="str">
        <f>IF(Tab.o1[[#This Row],[a1]]=1,IF(AK$1=1,Tab.o1[[#This Row],[MED]]+Tab.o1[[#This Row],[MOD]]-Tab.o1[[#This Row],[MED]],""),"")</f>
        <v/>
      </c>
      <c r="AL381" s="133" t="str">
        <f>IF(Tab.o1[[#This Row],[a1]]=1,[1]!T.in.A[[#This Row],[oo16]],"")</f>
        <v/>
      </c>
      <c r="AM381" s="133" t="str">
        <f>IF(Tab.o1[[#This Row],[a1]]=1,IF(AM$3=1,[1]!T.in.A[[#This Row],[Σo16]],""),"")</f>
        <v/>
      </c>
      <c r="AN381" s="126" t="str">
        <f>IF(Tab.o1[[#This Row],[a1]]=1,[1]!T.in.A[[#This Row],[Σp5]],"")</f>
        <v/>
      </c>
      <c r="AO381" s="126" t="str">
        <f>IF(Tab.o1[[#This Row],[a1]]=1,IF(AO$3=1,[1]!T.in.A[[#This Row],[Σp5]],""),"")</f>
        <v/>
      </c>
      <c r="AP381" s="110" t="str">
        <f>IF(Tab.o1[[#This Row],[a1]]=1,IF(ISNUMBER(Tab.o1[[#This Row],[i.]]),NORMDIST(Tab.o1[[#This Row],[Za]],0,1,FALSE)*Tab.o1[[#This Row],[i.]],0),"")</f>
        <v/>
      </c>
      <c r="AQ381" s="125" t="str">
        <f>IF(Tab.o1[[#This Row],[a1]]=1,ABS(Tab.o1[[#This Row],[MOD]]-AVERAGE(Tab.o1[MOD])),"")</f>
        <v/>
      </c>
      <c r="AR381" s="134" t="str">
        <f>IF(Tab.o1[[#This Row],[a1]]=1,Tab.o1[[#This Row],[OBS]]/SUM(Tab.o1[OBS]),"")</f>
        <v/>
      </c>
      <c r="AS381" s="135" t="str">
        <f>IF(ISNUMBER(Tab.o1[[#This Row],[a1]]),ROW()-4,"")</f>
        <v/>
      </c>
      <c r="AT381" s="136" t="str">
        <f>Tab.o1[[#This Row],[MOD]]</f>
        <v/>
      </c>
      <c r="AU381" s="137" t="str">
        <f t="shared" si="21"/>
        <v/>
      </c>
      <c r="AV381" s="138" t="str">
        <f t="shared" si="22"/>
        <v/>
      </c>
      <c r="AW381" s="138" t="str">
        <f t="shared" si="23"/>
        <v/>
      </c>
      <c r="AX381" s="139" t="str">
        <f>[1]!T.in.A[[#This Row],[ID_T_manu]]</f>
        <v/>
      </c>
      <c r="AY381" s="140" t="str">
        <f>IF(ISNUMBER(Tab.o1[[#This Row],[a1]]),IF(AND(Tab.o1[[#This Row],[a1]]=1,Tab.o1[[#This Row],[b1]]&lt;=AY$4),#REF!,AY380),"")</f>
        <v/>
      </c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</row>
    <row r="382" spans="1:79" ht="15.75" hidden="1">
      <c r="A382" s="109">
        <v>-2.0000000000000003E-6</v>
      </c>
      <c r="B382" s="110">
        <f t="shared" si="20"/>
        <v>382</v>
      </c>
      <c r="C382" s="111" t="str">
        <f>IF(C$1=[1]!T.in.A[[#This Row],[oo2]],1,"")</f>
        <v/>
      </c>
      <c r="D382" s="112" t="str">
        <f>IF(Tab.o1[[#This Row],[a1]]=1,IF(SUM(C382:C383)=0,0,IF(SUM(C381:C382)=1,1,IF(SUM(C381:C383)&gt;1,D381+1,0))),"")</f>
        <v/>
      </c>
      <c r="E382" s="113" t="str">
        <f>IF(Tab.o1[[#This Row],[a1]]=1,[1]!T.in.A[[#This Row],[oo1]],"")</f>
        <v/>
      </c>
      <c r="F382" s="113" t="str">
        <f>IF(Tab.o1[[#This Row],[a1]]=1,[1]!T.in.A[[#This Row],[pp1]],"")</f>
        <v/>
      </c>
      <c r="G382" s="114" t="str">
        <f>IF(Tab.o1[[#This Row],[a1]]=1,G$2+IF(G$1=1,0,Tab.o1[[#This Row],[.x1]])+[1]!T.in.A[[#This Row],[oo3]],"")</f>
        <v/>
      </c>
      <c r="H382" s="115" t="str">
        <f>IF(Tab.o1[[#This Row],[a1]]=1,IF(H$2=0,0,IF(G$1=1,0,Tab.o1[[#This Row],[.x1]])+[1]!T.in.A[[#This Row],[oo4]]),"")</f>
        <v/>
      </c>
      <c r="I382" s="116" t="str">
        <f>IF(Tab.o1[[#This Row],[a1]]=1,IF(J$2=0,Tab.o1[[#This Row],[MED]],Tab.o1[[#This Row],[MOD]]),"")</f>
        <v/>
      </c>
      <c r="J382" s="116" t="str">
        <f>IF(Tab.o1[[#This Row],[a1]]=1,((Tab.o1[[#This Row],[DIF_Target.]]-AVERAGE(Tab.o1[DIF_Target.]))/_xlfn.STDEV.P(Tab.o1[DIF_Target.])),"")</f>
        <v/>
      </c>
      <c r="K382" s="117" t="str">
        <f>IF(Tab.o1[[#This Row],[a1]]=1,IF(J$2=0,Tab.o1[[#This Row],[MOD]]-Tab.o1[[#This Row],[B]],IF(J$2=1,0,-Tab.o1[[#This Row],[MED]])+Tab.o1[[#This Row],[B]]),"")</f>
        <v/>
      </c>
      <c r="L382" s="117" t="str">
        <f ca="1">IF(Tab.o1[[#This Row],[DIF_Target]]=0,IF(L$2=0,Tab.o1[[#This Row],[DIF_Target]],AVERAGE(OFFSET(Tab.o1[[#This Row],[DIF_Target]],1,0,L$3,1)))/3,Tab.o1[[#This Row],[DIF_Target]])</f>
        <v/>
      </c>
      <c r="M382" s="118" t="str">
        <f>IF(Tab.o1[[#This Row],[a1]]=1,NORMSDIST(Tab.o1[[#This Row],[Za]]),"")</f>
        <v/>
      </c>
      <c r="N382" s="119" t="str">
        <f>IF(Tab.o1[[#This Row],[a1]]=1,((Tab.o1[[#This Row],[MedMod]]-AVERAGE(Tab.o1[MedMod]))/_xlfn.STDEV.P(Tab.o1[MedMod])*H$1205)+G$1205,"")</f>
        <v/>
      </c>
      <c r="O382" s="141" t="str">
        <f>IF(Tab.o1[[#This Row],[a1]]=1,Tab.o1[[#This Row],[Zb]]*_xlfn.STDEV.P(Tab.o1[MedMod])+AVERAGE(Tab.o1[MedMod]),"")</f>
        <v/>
      </c>
      <c r="P382" s="117" t="str">
        <f ca="1">IF(Tab.o1[[#This Row],[B]]=0,AVERAGE(OFFSET(Tab.o1[[#This Row],[B]],1,0,L$3,1)),Tab.o1[[#This Row],[B]])</f>
        <v/>
      </c>
      <c r="Q382" s="121" t="str">
        <f>IF(Tab.o1[[#This Row],[a1]]=1,NORMSDIST(Tab.o1[[#This Row],[Zb]]),"")</f>
        <v/>
      </c>
      <c r="R382" s="122" t="str">
        <f>IF(Tab.o1[[#This Row],[a1]]=1,((Tab.o1[[#This Row],[MedMod]]-AVERAGE(Tab.o1[MedMod]))/_xlfn.STDEV.P(Tab.o1[MedMod])*H$1203)+G$1203,"")</f>
        <v/>
      </c>
      <c r="S382" s="122" t="str">
        <f>IF(Tab.o1[[#This Row],[a1]]=1,((Tab.o1[[#This Row],[MedMod]]-AVERAGE(Tab.o1[MedMod]))/_xlfn.STDEV.P(Tab.o1[MedMod])*H$1204)+G$1204,"")</f>
        <v/>
      </c>
      <c r="T382" s="123" t="str">
        <f>IF(Tab.o1[[#This Row],[a1]]=1,Tab.o1[[#This Row],[Z-]]*_xlfn.STDEV.P(Tab.o1[B])+AVERAGE(Tab.o1[B]),"")</f>
        <v/>
      </c>
      <c r="U382" s="123" t="str">
        <f>IF(Tab.o1[[#This Row],[a1]]=1,Tab.o1[[#This Row],[z+]]*_xlfn.STDEV.P(Tab.o1[B])+AVERAGE(Tab.o1[B]),"")</f>
        <v/>
      </c>
      <c r="V382" s="124" t="str">
        <f>IF(Tab.o1[[#This Row],[a1]]=1,ABS((ABS(Tab.o1[[#This Row],[Red]]-Tab.o1[[#This Row],[Blue]]))),"")</f>
        <v/>
      </c>
      <c r="W382" s="125" t="str">
        <f>IF(Tab.o1[[#This Row],[a1]]=1,IF(W$3=0,1,Tab.o1[[#This Row],[Amp.]]*1/_xlfn.MINIFS(Tab.o1[Amp.],Tab.o1[Amp.],"&lt;&gt;0")),"")</f>
        <v/>
      </c>
      <c r="X382" s="126" t="str">
        <f>IF(Tab.o1[[#This Row],[a1]]=1,IF(ISNUMBER(Tab.o1[[#This Row],[i.]]),NORMDIST(Tab.o1[[#This Row],[Za]],0,1,FALSE)*Tab.o1[[#This Row],[i.]],AP$3),"")</f>
        <v/>
      </c>
      <c r="Y382" s="126" t="str">
        <f>IF(Tab.o1[[#This Row],[a1]]=1,0.01+0.94*Tab.o1[[#This Row],[PDF]]/MAX(Tab.o1[PDF]),"")</f>
        <v/>
      </c>
      <c r="Z382" s="126" t="str">
        <f>IF(Tab.o1[[#This Row],[a1]]=1,0.01+0.94*Tab.o1[[#This Row],[W1_PDF]]/MAX(Tab.o1[W1_PDF]),"")</f>
        <v/>
      </c>
      <c r="AA382" s="118" t="str">
        <f>IF(Tab.o1[[#This Row],[a1]]=1,ABS([1]!T.in.A[[#This Row],[oo6]]),"")</f>
        <v/>
      </c>
      <c r="AB382" s="127" t="str">
        <f>IF(Tab.o1[[#This Row],[a1]]=1,IF(AE$3=0,"",IF(AB$3=0,ABS([1]!T.in.A[[#This Row],[oo9]]),ABS(Tab.o1[[#This Row],[DIF_Target.]]*Tab.o1[[#This Row],[W1_PDF]]))),"")</f>
        <v/>
      </c>
      <c r="AC382" s="127" t="str">
        <f>IF(G$1=1,"",IF(Tab.o1[[#This Row],[a1]]=1,Tab.o1[[#This Row],[Wr]]^2,""))</f>
        <v/>
      </c>
      <c r="AD382" s="118" t="str">
        <f>IF(Tab.o1[[#This Row],[a1]]=1,IF(AE$3=0,"",Tab.o1[[#This Row],[Wr2]]/SUM(Tab.o1[Wr2])),"")</f>
        <v/>
      </c>
      <c r="AE382" s="128" t="str">
        <f>IF(Tab.o1[[#This Row],[a1]]=1,[1]!T.in.A[[#This Row],[oo10]],"")</f>
        <v/>
      </c>
      <c r="AF382" s="118" t="str">
        <f>IF(Tab.o1[[#This Row],[a1]]=1,ABS(Tab.o1[[#This Row],[DIF_Target.]]*Tab.o1[[#This Row],[PDF2]]*Tab.o1[[#This Row],[IN]]),"")</f>
        <v/>
      </c>
      <c r="AG382" s="129" t="str">
        <f>IF(Tab.o1[[#This Row],[a1]]=1,Tab.o1[[#This Row],[rW]]^2,"")</f>
        <v/>
      </c>
      <c r="AH382" s="130" t="str">
        <f>IF(Tab.o1[[#This Row],[a1]]=1,IF(AH$3=0,Tab.o1[[#This Row],[rW2]],0.01+0.94*Tab.o1[[#This Row],[rW2]]/SUM(Tab.o1[rW2])),"")</f>
        <v/>
      </c>
      <c r="AI382" s="128" t="str">
        <f>IF(Tab.o1[[#This Row],[a1]]=1,1/Tab.o1[[#This Row],[PDF]],"")</f>
        <v/>
      </c>
      <c r="AJ382" s="131" t="str">
        <f>IF(Tab.o1[[#This Row],[a1]]=1,[1]!T_AA[[#This Row],[IN'']]*[1]!T_AA[[#This Row],[Qde'']],"")</f>
        <v/>
      </c>
      <c r="AK382" s="132" t="str">
        <f>IF(Tab.o1[[#This Row],[a1]]=1,IF(AK$1=1,Tab.o1[[#This Row],[MED]]+Tab.o1[[#This Row],[MOD]]-Tab.o1[[#This Row],[MED]],""),"")</f>
        <v/>
      </c>
      <c r="AL382" s="133" t="str">
        <f>IF(Tab.o1[[#This Row],[a1]]=1,[1]!T.in.A[[#This Row],[oo16]],"")</f>
        <v/>
      </c>
      <c r="AM382" s="133" t="str">
        <f>IF(Tab.o1[[#This Row],[a1]]=1,IF(AM$3=1,[1]!T.in.A[[#This Row],[Σo16]],""),"")</f>
        <v/>
      </c>
      <c r="AN382" s="126" t="str">
        <f>IF(Tab.o1[[#This Row],[a1]]=1,[1]!T.in.A[[#This Row],[Σp5]],"")</f>
        <v/>
      </c>
      <c r="AO382" s="126" t="str">
        <f>IF(Tab.o1[[#This Row],[a1]]=1,IF(AO$3=1,[1]!T.in.A[[#This Row],[Σp5]],""),"")</f>
        <v/>
      </c>
      <c r="AP382" s="110" t="str">
        <f>IF(Tab.o1[[#This Row],[a1]]=1,IF(ISNUMBER(Tab.o1[[#This Row],[i.]]),NORMDIST(Tab.o1[[#This Row],[Za]],0,1,FALSE)*Tab.o1[[#This Row],[i.]],0),"")</f>
        <v/>
      </c>
      <c r="AQ382" s="125" t="str">
        <f>IF(Tab.o1[[#This Row],[a1]]=1,ABS(Tab.o1[[#This Row],[MOD]]-AVERAGE(Tab.o1[MOD])),"")</f>
        <v/>
      </c>
      <c r="AR382" s="134" t="str">
        <f>IF(Tab.o1[[#This Row],[a1]]=1,Tab.o1[[#This Row],[OBS]]/SUM(Tab.o1[OBS]),"")</f>
        <v/>
      </c>
      <c r="AS382" s="135" t="str">
        <f>IF(ISNUMBER(Tab.o1[[#This Row],[a1]]),ROW()-4,"")</f>
        <v/>
      </c>
      <c r="AT382" s="136" t="str">
        <f>Tab.o1[[#This Row],[MOD]]</f>
        <v/>
      </c>
      <c r="AU382" s="137" t="str">
        <f t="shared" si="21"/>
        <v/>
      </c>
      <c r="AV382" s="138" t="str">
        <f t="shared" si="22"/>
        <v/>
      </c>
      <c r="AW382" s="138" t="str">
        <f t="shared" si="23"/>
        <v/>
      </c>
      <c r="AX382" s="139" t="str">
        <f>[1]!T.in.A[[#This Row],[ID_T_manu]]</f>
        <v/>
      </c>
      <c r="AY382" s="140" t="str">
        <f>IF(ISNUMBER(Tab.o1[[#This Row],[a1]]),IF(AND(Tab.o1[[#This Row],[a1]]=1,Tab.o1[[#This Row],[b1]]&lt;=AY$4),#REF!,AY381),"")</f>
        <v/>
      </c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</row>
    <row r="383" spans="1:79" ht="15.75" hidden="1">
      <c r="A383" s="109">
        <v>1.0000000000000001E-5</v>
      </c>
      <c r="B383" s="110">
        <f t="shared" si="20"/>
        <v>383</v>
      </c>
      <c r="C383" s="111" t="str">
        <f>IF(C$1=[1]!T.in.A[[#This Row],[oo2]],1,"")</f>
        <v/>
      </c>
      <c r="D383" s="112" t="str">
        <f>IF(Tab.o1[[#This Row],[a1]]=1,IF(SUM(C383:C384)=0,0,IF(SUM(C382:C383)=1,1,IF(SUM(C382:C384)&gt;1,D382+1,0))),"")</f>
        <v/>
      </c>
      <c r="E383" s="113" t="str">
        <f>IF(Tab.o1[[#This Row],[a1]]=1,[1]!T.in.A[[#This Row],[oo1]],"")</f>
        <v/>
      </c>
      <c r="F383" s="113" t="str">
        <f>IF(Tab.o1[[#This Row],[a1]]=1,[1]!T.in.A[[#This Row],[pp1]],"")</f>
        <v/>
      </c>
      <c r="G383" s="114" t="str">
        <f>IF(Tab.o1[[#This Row],[a1]]=1,G$2+IF(G$1=1,0,Tab.o1[[#This Row],[.x1]])+[1]!T.in.A[[#This Row],[oo3]],"")</f>
        <v/>
      </c>
      <c r="H383" s="115" t="str">
        <f>IF(Tab.o1[[#This Row],[a1]]=1,IF(H$2=0,0,IF(G$1=1,0,Tab.o1[[#This Row],[.x1]])+[1]!T.in.A[[#This Row],[oo4]]),"")</f>
        <v/>
      </c>
      <c r="I383" s="116" t="str">
        <f>IF(Tab.o1[[#This Row],[a1]]=1,IF(J$2=0,Tab.o1[[#This Row],[MED]],Tab.o1[[#This Row],[MOD]]),"")</f>
        <v/>
      </c>
      <c r="J383" s="116" t="str">
        <f>IF(Tab.o1[[#This Row],[a1]]=1,((Tab.o1[[#This Row],[DIF_Target.]]-AVERAGE(Tab.o1[DIF_Target.]))/_xlfn.STDEV.P(Tab.o1[DIF_Target.])),"")</f>
        <v/>
      </c>
      <c r="K383" s="117" t="str">
        <f>IF(Tab.o1[[#This Row],[a1]]=1,IF(J$2=0,Tab.o1[[#This Row],[MOD]]-Tab.o1[[#This Row],[B]],IF(J$2=1,0,-Tab.o1[[#This Row],[MED]])+Tab.o1[[#This Row],[B]]),"")</f>
        <v/>
      </c>
      <c r="L383" s="117" t="str">
        <f ca="1">IF(Tab.o1[[#This Row],[DIF_Target]]=0,IF(L$2=0,Tab.o1[[#This Row],[DIF_Target]],AVERAGE(OFFSET(Tab.o1[[#This Row],[DIF_Target]],1,0,L$3,1)))/3,Tab.o1[[#This Row],[DIF_Target]])</f>
        <v/>
      </c>
      <c r="M383" s="118" t="str">
        <f>IF(Tab.o1[[#This Row],[a1]]=1,NORMSDIST(Tab.o1[[#This Row],[Za]]),"")</f>
        <v/>
      </c>
      <c r="N383" s="119" t="str">
        <f>IF(Tab.o1[[#This Row],[a1]]=1,((Tab.o1[[#This Row],[MedMod]]-AVERAGE(Tab.o1[MedMod]))/_xlfn.STDEV.P(Tab.o1[MedMod])*H$1205)+G$1205,"")</f>
        <v/>
      </c>
      <c r="O383" s="141" t="str">
        <f>IF(Tab.o1[[#This Row],[a1]]=1,Tab.o1[[#This Row],[Zb]]*_xlfn.STDEV.P(Tab.o1[MedMod])+AVERAGE(Tab.o1[MedMod]),"")</f>
        <v/>
      </c>
      <c r="P383" s="117" t="str">
        <f ca="1">IF(Tab.o1[[#This Row],[B]]=0,AVERAGE(OFFSET(Tab.o1[[#This Row],[B]],1,0,L$3,1)),Tab.o1[[#This Row],[B]])</f>
        <v/>
      </c>
      <c r="Q383" s="121" t="str">
        <f>IF(Tab.o1[[#This Row],[a1]]=1,NORMSDIST(Tab.o1[[#This Row],[Zb]]),"")</f>
        <v/>
      </c>
      <c r="R383" s="122" t="str">
        <f>IF(Tab.o1[[#This Row],[a1]]=1,((Tab.o1[[#This Row],[MedMod]]-AVERAGE(Tab.o1[MedMod]))/_xlfn.STDEV.P(Tab.o1[MedMod])*H$1203)+G$1203,"")</f>
        <v/>
      </c>
      <c r="S383" s="122" t="str">
        <f>IF(Tab.o1[[#This Row],[a1]]=1,((Tab.o1[[#This Row],[MedMod]]-AVERAGE(Tab.o1[MedMod]))/_xlfn.STDEV.P(Tab.o1[MedMod])*H$1204)+G$1204,"")</f>
        <v/>
      </c>
      <c r="T383" s="123" t="str">
        <f>IF(Tab.o1[[#This Row],[a1]]=1,Tab.o1[[#This Row],[Z-]]*_xlfn.STDEV.P(Tab.o1[B])+AVERAGE(Tab.o1[B]),"")</f>
        <v/>
      </c>
      <c r="U383" s="123" t="str">
        <f>IF(Tab.o1[[#This Row],[a1]]=1,Tab.o1[[#This Row],[z+]]*_xlfn.STDEV.P(Tab.o1[B])+AVERAGE(Tab.o1[B]),"")</f>
        <v/>
      </c>
      <c r="V383" s="124" t="str">
        <f>IF(Tab.o1[[#This Row],[a1]]=1,ABS((ABS(Tab.o1[[#This Row],[Red]]-Tab.o1[[#This Row],[Blue]]))),"")</f>
        <v/>
      </c>
      <c r="W383" s="125" t="str">
        <f>IF(Tab.o1[[#This Row],[a1]]=1,IF(W$3=0,1,Tab.o1[[#This Row],[Amp.]]*1/_xlfn.MINIFS(Tab.o1[Amp.],Tab.o1[Amp.],"&lt;&gt;0")),"")</f>
        <v/>
      </c>
      <c r="X383" s="126" t="str">
        <f>IF(Tab.o1[[#This Row],[a1]]=1,IF(ISNUMBER(Tab.o1[[#This Row],[i.]]),NORMDIST(Tab.o1[[#This Row],[Za]],0,1,FALSE)*Tab.o1[[#This Row],[i.]],AP$3),"")</f>
        <v/>
      </c>
      <c r="Y383" s="126" t="str">
        <f>IF(Tab.o1[[#This Row],[a1]]=1,0.01+0.94*Tab.o1[[#This Row],[PDF]]/MAX(Tab.o1[PDF]),"")</f>
        <v/>
      </c>
      <c r="Z383" s="126" t="str">
        <f>IF(Tab.o1[[#This Row],[a1]]=1,0.01+0.94*Tab.o1[[#This Row],[W1_PDF]]/MAX(Tab.o1[W1_PDF]),"")</f>
        <v/>
      </c>
      <c r="AA383" s="118" t="str">
        <f>IF(Tab.o1[[#This Row],[a1]]=1,ABS([1]!T.in.A[[#This Row],[oo6]]),"")</f>
        <v/>
      </c>
      <c r="AB383" s="127" t="str">
        <f>IF(Tab.o1[[#This Row],[a1]]=1,IF(AE$3=0,"",IF(AB$3=0,ABS([1]!T.in.A[[#This Row],[oo9]]),ABS(Tab.o1[[#This Row],[DIF_Target.]]*Tab.o1[[#This Row],[W1_PDF]]))),"")</f>
        <v/>
      </c>
      <c r="AC383" s="127" t="str">
        <f>IF(G$1=1,"",IF(Tab.o1[[#This Row],[a1]]=1,Tab.o1[[#This Row],[Wr]]^2,""))</f>
        <v/>
      </c>
      <c r="AD383" s="118" t="str">
        <f>IF(Tab.o1[[#This Row],[a1]]=1,IF(AE$3=0,"",Tab.o1[[#This Row],[Wr2]]/SUM(Tab.o1[Wr2])),"")</f>
        <v/>
      </c>
      <c r="AE383" s="128" t="str">
        <f>IF(Tab.o1[[#This Row],[a1]]=1,[1]!T.in.A[[#This Row],[oo10]],"")</f>
        <v/>
      </c>
      <c r="AF383" s="118" t="str">
        <f>IF(Tab.o1[[#This Row],[a1]]=1,ABS(Tab.o1[[#This Row],[DIF_Target.]]*Tab.o1[[#This Row],[PDF2]]*Tab.o1[[#This Row],[IN]]),"")</f>
        <v/>
      </c>
      <c r="AG383" s="129" t="str">
        <f>IF(Tab.o1[[#This Row],[a1]]=1,Tab.o1[[#This Row],[rW]]^2,"")</f>
        <v/>
      </c>
      <c r="AH383" s="130" t="str">
        <f>IF(Tab.o1[[#This Row],[a1]]=1,IF(AH$3=0,Tab.o1[[#This Row],[rW2]],0.01+0.94*Tab.o1[[#This Row],[rW2]]/SUM(Tab.o1[rW2])),"")</f>
        <v/>
      </c>
      <c r="AI383" s="128" t="str">
        <f>IF(Tab.o1[[#This Row],[a1]]=1,1/Tab.o1[[#This Row],[PDF]],"")</f>
        <v/>
      </c>
      <c r="AJ383" s="131" t="str">
        <f>IF(Tab.o1[[#This Row],[a1]]=1,[1]!T_AA[[#This Row],[IN'']]*[1]!T_AA[[#This Row],[Qde'']],"")</f>
        <v/>
      </c>
      <c r="AK383" s="132" t="str">
        <f>IF(Tab.o1[[#This Row],[a1]]=1,IF(AK$1=1,Tab.o1[[#This Row],[MED]]+Tab.o1[[#This Row],[MOD]]-Tab.o1[[#This Row],[MED]],""),"")</f>
        <v/>
      </c>
      <c r="AL383" s="133" t="str">
        <f>IF(Tab.o1[[#This Row],[a1]]=1,[1]!T.in.A[[#This Row],[oo16]],"")</f>
        <v/>
      </c>
      <c r="AM383" s="133" t="str">
        <f>IF(Tab.o1[[#This Row],[a1]]=1,IF(AM$3=1,[1]!T.in.A[[#This Row],[Σo16]],""),"")</f>
        <v/>
      </c>
      <c r="AN383" s="126" t="str">
        <f>IF(Tab.o1[[#This Row],[a1]]=1,[1]!T.in.A[[#This Row],[Σp5]],"")</f>
        <v/>
      </c>
      <c r="AO383" s="126" t="str">
        <f>IF(Tab.o1[[#This Row],[a1]]=1,IF(AO$3=1,[1]!T.in.A[[#This Row],[Σp5]],""),"")</f>
        <v/>
      </c>
      <c r="AP383" s="110" t="str">
        <f>IF(Tab.o1[[#This Row],[a1]]=1,IF(ISNUMBER(Tab.o1[[#This Row],[i.]]),NORMDIST(Tab.o1[[#This Row],[Za]],0,1,FALSE)*Tab.o1[[#This Row],[i.]],0),"")</f>
        <v/>
      </c>
      <c r="AQ383" s="125" t="str">
        <f>IF(Tab.o1[[#This Row],[a1]]=1,ABS(Tab.o1[[#This Row],[MOD]]-AVERAGE(Tab.o1[MOD])),"")</f>
        <v/>
      </c>
      <c r="AR383" s="134" t="str">
        <f>IF(Tab.o1[[#This Row],[a1]]=1,Tab.o1[[#This Row],[OBS]]/SUM(Tab.o1[OBS]),"")</f>
        <v/>
      </c>
      <c r="AS383" s="135" t="str">
        <f>IF(ISNUMBER(Tab.o1[[#This Row],[a1]]),ROW()-4,"")</f>
        <v/>
      </c>
      <c r="AT383" s="136" t="str">
        <f>Tab.o1[[#This Row],[MOD]]</f>
        <v/>
      </c>
      <c r="AU383" s="137" t="str">
        <f t="shared" si="21"/>
        <v/>
      </c>
      <c r="AV383" s="138" t="str">
        <f t="shared" si="22"/>
        <v/>
      </c>
      <c r="AW383" s="138" t="str">
        <f t="shared" si="23"/>
        <v/>
      </c>
      <c r="AX383" s="139" t="str">
        <f>[1]!T.in.A[[#This Row],[ID_T_manu]]</f>
        <v/>
      </c>
      <c r="AY383" s="140" t="str">
        <f>IF(ISNUMBER(Tab.o1[[#This Row],[a1]]),IF(AND(Tab.o1[[#This Row],[a1]]=1,Tab.o1[[#This Row],[b1]]&lt;=AY$4),#REF!,AY382),"")</f>
        <v/>
      </c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</row>
    <row r="384" spans="1:79" ht="15.75" hidden="1">
      <c r="A384" s="109">
        <v>-4.0000000000000007E-6</v>
      </c>
      <c r="B384" s="110">
        <f t="shared" si="20"/>
        <v>384</v>
      </c>
      <c r="C384" s="111" t="str">
        <f>IF(C$1=[1]!T.in.A[[#This Row],[oo2]],1,"")</f>
        <v/>
      </c>
      <c r="D384" s="112" t="str">
        <f>IF(Tab.o1[[#This Row],[a1]]=1,IF(SUM(C384:C385)=0,0,IF(SUM(C383:C384)=1,1,IF(SUM(C383:C385)&gt;1,D383+1,0))),"")</f>
        <v/>
      </c>
      <c r="E384" s="113" t="str">
        <f>IF(Tab.o1[[#This Row],[a1]]=1,[1]!T.in.A[[#This Row],[oo1]],"")</f>
        <v/>
      </c>
      <c r="F384" s="113" t="str">
        <f>IF(Tab.o1[[#This Row],[a1]]=1,[1]!T.in.A[[#This Row],[pp1]],"")</f>
        <v/>
      </c>
      <c r="G384" s="114" t="str">
        <f>IF(Tab.o1[[#This Row],[a1]]=1,G$2+IF(G$1=1,0,Tab.o1[[#This Row],[.x1]])+[1]!T.in.A[[#This Row],[oo3]],"")</f>
        <v/>
      </c>
      <c r="H384" s="115" t="str">
        <f>IF(Tab.o1[[#This Row],[a1]]=1,IF(H$2=0,0,IF(G$1=1,0,Tab.o1[[#This Row],[.x1]])+[1]!T.in.A[[#This Row],[oo4]]),"")</f>
        <v/>
      </c>
      <c r="I384" s="116" t="str">
        <f>IF(Tab.o1[[#This Row],[a1]]=1,IF(J$2=0,Tab.o1[[#This Row],[MED]],Tab.o1[[#This Row],[MOD]]),"")</f>
        <v/>
      </c>
      <c r="J384" s="116" t="str">
        <f>IF(Tab.o1[[#This Row],[a1]]=1,((Tab.o1[[#This Row],[DIF_Target.]]-AVERAGE(Tab.o1[DIF_Target.]))/_xlfn.STDEV.P(Tab.o1[DIF_Target.])),"")</f>
        <v/>
      </c>
      <c r="K384" s="117" t="str">
        <f>IF(Tab.o1[[#This Row],[a1]]=1,IF(J$2=0,Tab.o1[[#This Row],[MOD]]-Tab.o1[[#This Row],[B]],IF(J$2=1,0,-Tab.o1[[#This Row],[MED]])+Tab.o1[[#This Row],[B]]),"")</f>
        <v/>
      </c>
      <c r="L384" s="117" t="str">
        <f ca="1">IF(Tab.o1[[#This Row],[DIF_Target]]=0,IF(L$2=0,Tab.o1[[#This Row],[DIF_Target]],AVERAGE(OFFSET(Tab.o1[[#This Row],[DIF_Target]],1,0,L$3,1)))/3,Tab.o1[[#This Row],[DIF_Target]])</f>
        <v/>
      </c>
      <c r="M384" s="118" t="str">
        <f>IF(Tab.o1[[#This Row],[a1]]=1,NORMSDIST(Tab.o1[[#This Row],[Za]]),"")</f>
        <v/>
      </c>
      <c r="N384" s="119" t="str">
        <f>IF(Tab.o1[[#This Row],[a1]]=1,((Tab.o1[[#This Row],[MedMod]]-AVERAGE(Tab.o1[MedMod]))/_xlfn.STDEV.P(Tab.o1[MedMod])*H$1205)+G$1205,"")</f>
        <v/>
      </c>
      <c r="O384" s="141" t="str">
        <f>IF(Tab.o1[[#This Row],[a1]]=1,Tab.o1[[#This Row],[Zb]]*_xlfn.STDEV.P(Tab.o1[MedMod])+AVERAGE(Tab.o1[MedMod]),"")</f>
        <v/>
      </c>
      <c r="P384" s="117" t="str">
        <f ca="1">IF(Tab.o1[[#This Row],[B]]=0,AVERAGE(OFFSET(Tab.o1[[#This Row],[B]],1,0,L$3,1)),Tab.o1[[#This Row],[B]])</f>
        <v/>
      </c>
      <c r="Q384" s="121" t="str">
        <f>IF(Tab.o1[[#This Row],[a1]]=1,NORMSDIST(Tab.o1[[#This Row],[Zb]]),"")</f>
        <v/>
      </c>
      <c r="R384" s="122" t="str">
        <f>IF(Tab.o1[[#This Row],[a1]]=1,((Tab.o1[[#This Row],[MedMod]]-AVERAGE(Tab.o1[MedMod]))/_xlfn.STDEV.P(Tab.o1[MedMod])*H$1203)+G$1203,"")</f>
        <v/>
      </c>
      <c r="S384" s="122" t="str">
        <f>IF(Tab.o1[[#This Row],[a1]]=1,((Tab.o1[[#This Row],[MedMod]]-AVERAGE(Tab.o1[MedMod]))/_xlfn.STDEV.P(Tab.o1[MedMod])*H$1204)+G$1204,"")</f>
        <v/>
      </c>
      <c r="T384" s="123" t="str">
        <f>IF(Tab.o1[[#This Row],[a1]]=1,Tab.o1[[#This Row],[Z-]]*_xlfn.STDEV.P(Tab.o1[B])+AVERAGE(Tab.o1[B]),"")</f>
        <v/>
      </c>
      <c r="U384" s="123" t="str">
        <f>IF(Tab.o1[[#This Row],[a1]]=1,Tab.o1[[#This Row],[z+]]*_xlfn.STDEV.P(Tab.o1[B])+AVERAGE(Tab.o1[B]),"")</f>
        <v/>
      </c>
      <c r="V384" s="124" t="str">
        <f>IF(Tab.o1[[#This Row],[a1]]=1,ABS((ABS(Tab.o1[[#This Row],[Red]]-Tab.o1[[#This Row],[Blue]]))),"")</f>
        <v/>
      </c>
      <c r="W384" s="125" t="str">
        <f>IF(Tab.o1[[#This Row],[a1]]=1,IF(W$3=0,1,Tab.o1[[#This Row],[Amp.]]*1/_xlfn.MINIFS(Tab.o1[Amp.],Tab.o1[Amp.],"&lt;&gt;0")),"")</f>
        <v/>
      </c>
      <c r="X384" s="126" t="str">
        <f>IF(Tab.o1[[#This Row],[a1]]=1,IF(ISNUMBER(Tab.o1[[#This Row],[i.]]),NORMDIST(Tab.o1[[#This Row],[Za]],0,1,FALSE)*Tab.o1[[#This Row],[i.]],AP$3),"")</f>
        <v/>
      </c>
      <c r="Y384" s="126" t="str">
        <f>IF(Tab.o1[[#This Row],[a1]]=1,0.01+0.94*Tab.o1[[#This Row],[PDF]]/MAX(Tab.o1[PDF]),"")</f>
        <v/>
      </c>
      <c r="Z384" s="126" t="str">
        <f>IF(Tab.o1[[#This Row],[a1]]=1,0.01+0.94*Tab.o1[[#This Row],[W1_PDF]]/MAX(Tab.o1[W1_PDF]),"")</f>
        <v/>
      </c>
      <c r="AA384" s="118" t="str">
        <f>IF(Tab.o1[[#This Row],[a1]]=1,ABS([1]!T.in.A[[#This Row],[oo6]]),"")</f>
        <v/>
      </c>
      <c r="AB384" s="127" t="str">
        <f>IF(Tab.o1[[#This Row],[a1]]=1,IF(AE$3=0,"",IF(AB$3=0,ABS([1]!T.in.A[[#This Row],[oo9]]),ABS(Tab.o1[[#This Row],[DIF_Target.]]*Tab.o1[[#This Row],[W1_PDF]]))),"")</f>
        <v/>
      </c>
      <c r="AC384" s="127" t="str">
        <f>IF(G$1=1,"",IF(Tab.o1[[#This Row],[a1]]=1,Tab.o1[[#This Row],[Wr]]^2,""))</f>
        <v/>
      </c>
      <c r="AD384" s="118" t="str">
        <f>IF(Tab.o1[[#This Row],[a1]]=1,IF(AE$3=0,"",Tab.o1[[#This Row],[Wr2]]/SUM(Tab.o1[Wr2])),"")</f>
        <v/>
      </c>
      <c r="AE384" s="128" t="str">
        <f>IF(Tab.o1[[#This Row],[a1]]=1,[1]!T.in.A[[#This Row],[oo10]],"")</f>
        <v/>
      </c>
      <c r="AF384" s="118" t="str">
        <f>IF(Tab.o1[[#This Row],[a1]]=1,ABS(Tab.o1[[#This Row],[DIF_Target.]]*Tab.o1[[#This Row],[PDF2]]*Tab.o1[[#This Row],[IN]]),"")</f>
        <v/>
      </c>
      <c r="AG384" s="129" t="str">
        <f>IF(Tab.o1[[#This Row],[a1]]=1,Tab.o1[[#This Row],[rW]]^2,"")</f>
        <v/>
      </c>
      <c r="AH384" s="130" t="str">
        <f>IF(Tab.o1[[#This Row],[a1]]=1,IF(AH$3=0,Tab.o1[[#This Row],[rW2]],0.01+0.94*Tab.o1[[#This Row],[rW2]]/SUM(Tab.o1[rW2])),"")</f>
        <v/>
      </c>
      <c r="AI384" s="128" t="str">
        <f>IF(Tab.o1[[#This Row],[a1]]=1,1/Tab.o1[[#This Row],[PDF]],"")</f>
        <v/>
      </c>
      <c r="AJ384" s="131" t="str">
        <f>IF(Tab.o1[[#This Row],[a1]]=1,[1]!T_AA[[#This Row],[IN'']]*[1]!T_AA[[#This Row],[Qde'']],"")</f>
        <v/>
      </c>
      <c r="AK384" s="132" t="str">
        <f>IF(Tab.o1[[#This Row],[a1]]=1,IF(AK$1=1,Tab.o1[[#This Row],[MED]]+Tab.o1[[#This Row],[MOD]]-Tab.o1[[#This Row],[MED]],""),"")</f>
        <v/>
      </c>
      <c r="AL384" s="133" t="str">
        <f>IF(Tab.o1[[#This Row],[a1]]=1,[1]!T.in.A[[#This Row],[oo16]],"")</f>
        <v/>
      </c>
      <c r="AM384" s="133" t="str">
        <f>IF(Tab.o1[[#This Row],[a1]]=1,IF(AM$3=1,[1]!T.in.A[[#This Row],[Σo16]],""),"")</f>
        <v/>
      </c>
      <c r="AN384" s="126" t="str">
        <f>IF(Tab.o1[[#This Row],[a1]]=1,[1]!T.in.A[[#This Row],[Σp5]],"")</f>
        <v/>
      </c>
      <c r="AO384" s="126" t="str">
        <f>IF(Tab.o1[[#This Row],[a1]]=1,IF(AO$3=1,[1]!T.in.A[[#This Row],[Σp5]],""),"")</f>
        <v/>
      </c>
      <c r="AP384" s="110" t="str">
        <f>IF(Tab.o1[[#This Row],[a1]]=1,IF(ISNUMBER(Tab.o1[[#This Row],[i.]]),NORMDIST(Tab.o1[[#This Row],[Za]],0,1,FALSE)*Tab.o1[[#This Row],[i.]],0),"")</f>
        <v/>
      </c>
      <c r="AQ384" s="125" t="str">
        <f>IF(Tab.o1[[#This Row],[a1]]=1,ABS(Tab.o1[[#This Row],[MOD]]-AVERAGE(Tab.o1[MOD])),"")</f>
        <v/>
      </c>
      <c r="AR384" s="134" t="str">
        <f>IF(Tab.o1[[#This Row],[a1]]=1,Tab.o1[[#This Row],[OBS]]/SUM(Tab.o1[OBS]),"")</f>
        <v/>
      </c>
      <c r="AS384" s="135" t="str">
        <f>IF(ISNUMBER(Tab.o1[[#This Row],[a1]]),ROW()-4,"")</f>
        <v/>
      </c>
      <c r="AT384" s="136" t="str">
        <f>Tab.o1[[#This Row],[MOD]]</f>
        <v/>
      </c>
      <c r="AU384" s="137" t="str">
        <f t="shared" si="21"/>
        <v/>
      </c>
      <c r="AV384" s="138" t="str">
        <f t="shared" si="22"/>
        <v/>
      </c>
      <c r="AW384" s="138" t="str">
        <f t="shared" si="23"/>
        <v/>
      </c>
      <c r="AX384" s="139" t="str">
        <f>[1]!T.in.A[[#This Row],[ID_T_manu]]</f>
        <v/>
      </c>
      <c r="AY384" s="140" t="str">
        <f>IF(ISNUMBER(Tab.o1[[#This Row],[a1]]),IF(AND(Tab.o1[[#This Row],[a1]]=1,Tab.o1[[#This Row],[b1]]&lt;=AY$4),#REF!,AY383),"")</f>
        <v/>
      </c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</row>
    <row r="385" spans="1:79" ht="15.75" hidden="1">
      <c r="A385" s="109">
        <v>-5.0000000000000004E-6</v>
      </c>
      <c r="B385" s="110">
        <f t="shared" si="20"/>
        <v>385</v>
      </c>
      <c r="C385" s="111" t="str">
        <f>IF(C$1=[1]!T.in.A[[#This Row],[oo2]],1,"")</f>
        <v/>
      </c>
      <c r="D385" s="112" t="str">
        <f>IF(Tab.o1[[#This Row],[a1]]=1,IF(SUM(C385:C386)=0,0,IF(SUM(C384:C385)=1,1,IF(SUM(C384:C386)&gt;1,D384+1,0))),"")</f>
        <v/>
      </c>
      <c r="E385" s="113" t="str">
        <f>IF(Tab.o1[[#This Row],[a1]]=1,[1]!T.in.A[[#This Row],[oo1]],"")</f>
        <v/>
      </c>
      <c r="F385" s="113" t="str">
        <f>IF(Tab.o1[[#This Row],[a1]]=1,[1]!T.in.A[[#This Row],[pp1]],"")</f>
        <v/>
      </c>
      <c r="G385" s="114" t="str">
        <f>IF(Tab.o1[[#This Row],[a1]]=1,G$2+IF(G$1=1,0,Tab.o1[[#This Row],[.x1]])+[1]!T.in.A[[#This Row],[oo3]],"")</f>
        <v/>
      </c>
      <c r="H385" s="115" t="str">
        <f>IF(Tab.o1[[#This Row],[a1]]=1,IF(H$2=0,0,IF(G$1=1,0,Tab.o1[[#This Row],[.x1]])+[1]!T.in.A[[#This Row],[oo4]]),"")</f>
        <v/>
      </c>
      <c r="I385" s="116" t="str">
        <f>IF(Tab.o1[[#This Row],[a1]]=1,IF(J$2=0,Tab.o1[[#This Row],[MED]],Tab.o1[[#This Row],[MOD]]),"")</f>
        <v/>
      </c>
      <c r="J385" s="116" t="str">
        <f>IF(Tab.o1[[#This Row],[a1]]=1,((Tab.o1[[#This Row],[DIF_Target.]]-AVERAGE(Tab.o1[DIF_Target.]))/_xlfn.STDEV.P(Tab.o1[DIF_Target.])),"")</f>
        <v/>
      </c>
      <c r="K385" s="117" t="str">
        <f>IF(Tab.o1[[#This Row],[a1]]=1,IF(J$2=0,Tab.o1[[#This Row],[MOD]]-Tab.o1[[#This Row],[B]],IF(J$2=1,0,-Tab.o1[[#This Row],[MED]])+Tab.o1[[#This Row],[B]]),"")</f>
        <v/>
      </c>
      <c r="L385" s="117" t="str">
        <f ca="1">IF(Tab.o1[[#This Row],[DIF_Target]]=0,IF(L$2=0,Tab.o1[[#This Row],[DIF_Target]],AVERAGE(OFFSET(Tab.o1[[#This Row],[DIF_Target]],1,0,L$3,1)))/3,Tab.o1[[#This Row],[DIF_Target]])</f>
        <v/>
      </c>
      <c r="M385" s="118" t="str">
        <f>IF(Tab.o1[[#This Row],[a1]]=1,NORMSDIST(Tab.o1[[#This Row],[Za]]),"")</f>
        <v/>
      </c>
      <c r="N385" s="119" t="str">
        <f>IF(Tab.o1[[#This Row],[a1]]=1,((Tab.o1[[#This Row],[MedMod]]-AVERAGE(Tab.o1[MedMod]))/_xlfn.STDEV.P(Tab.o1[MedMod])*H$1205)+G$1205,"")</f>
        <v/>
      </c>
      <c r="O385" s="141" t="str">
        <f>IF(Tab.o1[[#This Row],[a1]]=1,Tab.o1[[#This Row],[Zb]]*_xlfn.STDEV.P(Tab.o1[MedMod])+AVERAGE(Tab.o1[MedMod]),"")</f>
        <v/>
      </c>
      <c r="P385" s="117" t="str">
        <f ca="1">IF(Tab.o1[[#This Row],[B]]=0,AVERAGE(OFFSET(Tab.o1[[#This Row],[B]],1,0,L$3,1)),Tab.o1[[#This Row],[B]])</f>
        <v/>
      </c>
      <c r="Q385" s="121" t="str">
        <f>IF(Tab.o1[[#This Row],[a1]]=1,NORMSDIST(Tab.o1[[#This Row],[Zb]]),"")</f>
        <v/>
      </c>
      <c r="R385" s="122" t="str">
        <f>IF(Tab.o1[[#This Row],[a1]]=1,((Tab.o1[[#This Row],[MedMod]]-AVERAGE(Tab.o1[MedMod]))/_xlfn.STDEV.P(Tab.o1[MedMod])*H$1203)+G$1203,"")</f>
        <v/>
      </c>
      <c r="S385" s="122" t="str">
        <f>IF(Tab.o1[[#This Row],[a1]]=1,((Tab.o1[[#This Row],[MedMod]]-AVERAGE(Tab.o1[MedMod]))/_xlfn.STDEV.P(Tab.o1[MedMod])*H$1204)+G$1204,"")</f>
        <v/>
      </c>
      <c r="T385" s="123" t="str">
        <f>IF(Tab.o1[[#This Row],[a1]]=1,Tab.o1[[#This Row],[Z-]]*_xlfn.STDEV.P(Tab.o1[B])+AVERAGE(Tab.o1[B]),"")</f>
        <v/>
      </c>
      <c r="U385" s="123" t="str">
        <f>IF(Tab.o1[[#This Row],[a1]]=1,Tab.o1[[#This Row],[z+]]*_xlfn.STDEV.P(Tab.o1[B])+AVERAGE(Tab.o1[B]),"")</f>
        <v/>
      </c>
      <c r="V385" s="124" t="str">
        <f>IF(Tab.o1[[#This Row],[a1]]=1,ABS((ABS(Tab.o1[[#This Row],[Red]]-Tab.o1[[#This Row],[Blue]]))),"")</f>
        <v/>
      </c>
      <c r="W385" s="125" t="str">
        <f>IF(Tab.o1[[#This Row],[a1]]=1,IF(W$3=0,1,Tab.o1[[#This Row],[Amp.]]*1/_xlfn.MINIFS(Tab.o1[Amp.],Tab.o1[Amp.],"&lt;&gt;0")),"")</f>
        <v/>
      </c>
      <c r="X385" s="126" t="str">
        <f>IF(Tab.o1[[#This Row],[a1]]=1,IF(ISNUMBER(Tab.o1[[#This Row],[i.]]),NORMDIST(Tab.o1[[#This Row],[Za]],0,1,FALSE)*Tab.o1[[#This Row],[i.]],AP$3),"")</f>
        <v/>
      </c>
      <c r="Y385" s="126" t="str">
        <f>IF(Tab.o1[[#This Row],[a1]]=1,0.01+0.94*Tab.o1[[#This Row],[PDF]]/MAX(Tab.o1[PDF]),"")</f>
        <v/>
      </c>
      <c r="Z385" s="126" t="str">
        <f>IF(Tab.o1[[#This Row],[a1]]=1,0.01+0.94*Tab.o1[[#This Row],[W1_PDF]]/MAX(Tab.o1[W1_PDF]),"")</f>
        <v/>
      </c>
      <c r="AA385" s="118" t="str">
        <f>IF(Tab.o1[[#This Row],[a1]]=1,ABS([1]!T.in.A[[#This Row],[oo6]]),"")</f>
        <v/>
      </c>
      <c r="AB385" s="127" t="str">
        <f>IF(Tab.o1[[#This Row],[a1]]=1,IF(AE$3=0,"",IF(AB$3=0,ABS([1]!T.in.A[[#This Row],[oo9]]),ABS(Tab.o1[[#This Row],[DIF_Target.]]*Tab.o1[[#This Row],[W1_PDF]]))),"")</f>
        <v/>
      </c>
      <c r="AC385" s="127" t="str">
        <f>IF(G$1=1,"",IF(Tab.o1[[#This Row],[a1]]=1,Tab.o1[[#This Row],[Wr]]^2,""))</f>
        <v/>
      </c>
      <c r="AD385" s="118" t="str">
        <f>IF(Tab.o1[[#This Row],[a1]]=1,IF(AE$3=0,"",Tab.o1[[#This Row],[Wr2]]/SUM(Tab.o1[Wr2])),"")</f>
        <v/>
      </c>
      <c r="AE385" s="128" t="str">
        <f>IF(Tab.o1[[#This Row],[a1]]=1,[1]!T.in.A[[#This Row],[oo10]],"")</f>
        <v/>
      </c>
      <c r="AF385" s="118" t="str">
        <f>IF(Tab.o1[[#This Row],[a1]]=1,ABS(Tab.o1[[#This Row],[DIF_Target.]]*Tab.o1[[#This Row],[PDF2]]*Tab.o1[[#This Row],[IN]]),"")</f>
        <v/>
      </c>
      <c r="AG385" s="129" t="str">
        <f>IF(Tab.o1[[#This Row],[a1]]=1,Tab.o1[[#This Row],[rW]]^2,"")</f>
        <v/>
      </c>
      <c r="AH385" s="130" t="str">
        <f>IF(Tab.o1[[#This Row],[a1]]=1,IF(AH$3=0,Tab.o1[[#This Row],[rW2]],0.01+0.94*Tab.o1[[#This Row],[rW2]]/SUM(Tab.o1[rW2])),"")</f>
        <v/>
      </c>
      <c r="AI385" s="128" t="str">
        <f>IF(Tab.o1[[#This Row],[a1]]=1,1/Tab.o1[[#This Row],[PDF]],"")</f>
        <v/>
      </c>
      <c r="AJ385" s="131" t="str">
        <f>IF(Tab.o1[[#This Row],[a1]]=1,[1]!T_AA[[#This Row],[IN'']]*[1]!T_AA[[#This Row],[Qde'']],"")</f>
        <v/>
      </c>
      <c r="AK385" s="132" t="str">
        <f>IF(Tab.o1[[#This Row],[a1]]=1,IF(AK$1=1,Tab.o1[[#This Row],[MED]]+Tab.o1[[#This Row],[MOD]]-Tab.o1[[#This Row],[MED]],""),"")</f>
        <v/>
      </c>
      <c r="AL385" s="133" t="str">
        <f>IF(Tab.o1[[#This Row],[a1]]=1,[1]!T.in.A[[#This Row],[oo16]],"")</f>
        <v/>
      </c>
      <c r="AM385" s="133" t="str">
        <f>IF(Tab.o1[[#This Row],[a1]]=1,IF(AM$3=1,[1]!T.in.A[[#This Row],[Σo16]],""),"")</f>
        <v/>
      </c>
      <c r="AN385" s="126" t="str">
        <f>IF(Tab.o1[[#This Row],[a1]]=1,[1]!T.in.A[[#This Row],[Σp5]],"")</f>
        <v/>
      </c>
      <c r="AO385" s="126" t="str">
        <f>IF(Tab.o1[[#This Row],[a1]]=1,IF(AO$3=1,[1]!T.in.A[[#This Row],[Σp5]],""),"")</f>
        <v/>
      </c>
      <c r="AP385" s="110" t="str">
        <f>IF(Tab.o1[[#This Row],[a1]]=1,IF(ISNUMBER(Tab.o1[[#This Row],[i.]]),NORMDIST(Tab.o1[[#This Row],[Za]],0,1,FALSE)*Tab.o1[[#This Row],[i.]],0),"")</f>
        <v/>
      </c>
      <c r="AQ385" s="125" t="str">
        <f>IF(Tab.o1[[#This Row],[a1]]=1,ABS(Tab.o1[[#This Row],[MOD]]-AVERAGE(Tab.o1[MOD])),"")</f>
        <v/>
      </c>
      <c r="AR385" s="134" t="str">
        <f>IF(Tab.o1[[#This Row],[a1]]=1,Tab.o1[[#This Row],[OBS]]/SUM(Tab.o1[OBS]),"")</f>
        <v/>
      </c>
      <c r="AS385" s="135" t="str">
        <f>IF(ISNUMBER(Tab.o1[[#This Row],[a1]]),ROW()-4,"")</f>
        <v/>
      </c>
      <c r="AT385" s="136" t="str">
        <f>Tab.o1[[#This Row],[MOD]]</f>
        <v/>
      </c>
      <c r="AU385" s="137" t="str">
        <f t="shared" si="21"/>
        <v/>
      </c>
      <c r="AV385" s="138" t="str">
        <f t="shared" si="22"/>
        <v/>
      </c>
      <c r="AW385" s="138" t="str">
        <f t="shared" si="23"/>
        <v/>
      </c>
      <c r="AX385" s="139" t="str">
        <f>[1]!T.in.A[[#This Row],[ID_T_manu]]</f>
        <v/>
      </c>
      <c r="AY385" s="140" t="str">
        <f>IF(ISNUMBER(Tab.o1[[#This Row],[a1]]),IF(AND(Tab.o1[[#This Row],[a1]]=1,Tab.o1[[#This Row],[b1]]&lt;=AY$4),#REF!,AY384),"")</f>
        <v/>
      </c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</row>
    <row r="386" spans="1:79" ht="15.75" hidden="1">
      <c r="A386" s="109">
        <v>-8.0000000000000013E-6</v>
      </c>
      <c r="B386" s="110">
        <f t="shared" si="20"/>
        <v>386</v>
      </c>
      <c r="C386" s="111" t="str">
        <f>IF(C$1=[1]!T.in.A[[#This Row],[oo2]],1,"")</f>
        <v/>
      </c>
      <c r="D386" s="112" t="str">
        <f>IF(Tab.o1[[#This Row],[a1]]=1,IF(SUM(C386:C387)=0,0,IF(SUM(C385:C386)=1,1,IF(SUM(C385:C387)&gt;1,D385+1,0))),"")</f>
        <v/>
      </c>
      <c r="E386" s="113" t="str">
        <f>IF(Tab.o1[[#This Row],[a1]]=1,[1]!T.in.A[[#This Row],[oo1]],"")</f>
        <v/>
      </c>
      <c r="F386" s="113" t="str">
        <f>IF(Tab.o1[[#This Row],[a1]]=1,[1]!T.in.A[[#This Row],[pp1]],"")</f>
        <v/>
      </c>
      <c r="G386" s="114" t="str">
        <f>IF(Tab.o1[[#This Row],[a1]]=1,G$2+IF(G$1=1,0,Tab.o1[[#This Row],[.x1]])+[1]!T.in.A[[#This Row],[oo3]],"")</f>
        <v/>
      </c>
      <c r="H386" s="115" t="str">
        <f>IF(Tab.o1[[#This Row],[a1]]=1,IF(H$2=0,0,IF(G$1=1,0,Tab.o1[[#This Row],[.x1]])+[1]!T.in.A[[#This Row],[oo4]]),"")</f>
        <v/>
      </c>
      <c r="I386" s="116" t="str">
        <f>IF(Tab.o1[[#This Row],[a1]]=1,IF(J$2=0,Tab.o1[[#This Row],[MED]],Tab.o1[[#This Row],[MOD]]),"")</f>
        <v/>
      </c>
      <c r="J386" s="116" t="str">
        <f>IF(Tab.o1[[#This Row],[a1]]=1,((Tab.o1[[#This Row],[DIF_Target.]]-AVERAGE(Tab.o1[DIF_Target.]))/_xlfn.STDEV.P(Tab.o1[DIF_Target.])),"")</f>
        <v/>
      </c>
      <c r="K386" s="117" t="str">
        <f>IF(Tab.o1[[#This Row],[a1]]=1,IF(J$2=0,Tab.o1[[#This Row],[MOD]]-Tab.o1[[#This Row],[B]],IF(J$2=1,0,-Tab.o1[[#This Row],[MED]])+Tab.o1[[#This Row],[B]]),"")</f>
        <v/>
      </c>
      <c r="L386" s="117" t="str">
        <f ca="1">IF(Tab.o1[[#This Row],[DIF_Target]]=0,IF(L$2=0,Tab.o1[[#This Row],[DIF_Target]],AVERAGE(OFFSET(Tab.o1[[#This Row],[DIF_Target]],1,0,L$3,1)))/3,Tab.o1[[#This Row],[DIF_Target]])</f>
        <v/>
      </c>
      <c r="M386" s="118" t="str">
        <f>IF(Tab.o1[[#This Row],[a1]]=1,NORMSDIST(Tab.o1[[#This Row],[Za]]),"")</f>
        <v/>
      </c>
      <c r="N386" s="119" t="str">
        <f>IF(Tab.o1[[#This Row],[a1]]=1,((Tab.o1[[#This Row],[MedMod]]-AVERAGE(Tab.o1[MedMod]))/_xlfn.STDEV.P(Tab.o1[MedMod])*H$1205)+G$1205,"")</f>
        <v/>
      </c>
      <c r="O386" s="141" t="str">
        <f>IF(Tab.o1[[#This Row],[a1]]=1,Tab.o1[[#This Row],[Zb]]*_xlfn.STDEV.P(Tab.o1[MedMod])+AVERAGE(Tab.o1[MedMod]),"")</f>
        <v/>
      </c>
      <c r="P386" s="117" t="str">
        <f ca="1">IF(Tab.o1[[#This Row],[B]]=0,AVERAGE(OFFSET(Tab.o1[[#This Row],[B]],1,0,L$3,1)),Tab.o1[[#This Row],[B]])</f>
        <v/>
      </c>
      <c r="Q386" s="121" t="str">
        <f>IF(Tab.o1[[#This Row],[a1]]=1,NORMSDIST(Tab.o1[[#This Row],[Zb]]),"")</f>
        <v/>
      </c>
      <c r="R386" s="122" t="str">
        <f>IF(Tab.o1[[#This Row],[a1]]=1,((Tab.o1[[#This Row],[MedMod]]-AVERAGE(Tab.o1[MedMod]))/_xlfn.STDEV.P(Tab.o1[MedMod])*H$1203)+G$1203,"")</f>
        <v/>
      </c>
      <c r="S386" s="122" t="str">
        <f>IF(Tab.o1[[#This Row],[a1]]=1,((Tab.o1[[#This Row],[MedMod]]-AVERAGE(Tab.o1[MedMod]))/_xlfn.STDEV.P(Tab.o1[MedMod])*H$1204)+G$1204,"")</f>
        <v/>
      </c>
      <c r="T386" s="123" t="str">
        <f>IF(Tab.o1[[#This Row],[a1]]=1,Tab.o1[[#This Row],[Z-]]*_xlfn.STDEV.P(Tab.o1[B])+AVERAGE(Tab.o1[B]),"")</f>
        <v/>
      </c>
      <c r="U386" s="123" t="str">
        <f>IF(Tab.o1[[#This Row],[a1]]=1,Tab.o1[[#This Row],[z+]]*_xlfn.STDEV.P(Tab.o1[B])+AVERAGE(Tab.o1[B]),"")</f>
        <v/>
      </c>
      <c r="V386" s="124" t="str">
        <f>IF(Tab.o1[[#This Row],[a1]]=1,ABS((ABS(Tab.o1[[#This Row],[Red]]-Tab.o1[[#This Row],[Blue]]))),"")</f>
        <v/>
      </c>
      <c r="W386" s="125" t="str">
        <f>IF(Tab.o1[[#This Row],[a1]]=1,IF(W$3=0,1,Tab.o1[[#This Row],[Amp.]]*1/_xlfn.MINIFS(Tab.o1[Amp.],Tab.o1[Amp.],"&lt;&gt;0")),"")</f>
        <v/>
      </c>
      <c r="X386" s="126" t="str">
        <f>IF(Tab.o1[[#This Row],[a1]]=1,IF(ISNUMBER(Tab.o1[[#This Row],[i.]]),NORMDIST(Tab.o1[[#This Row],[Za]],0,1,FALSE)*Tab.o1[[#This Row],[i.]],AP$3),"")</f>
        <v/>
      </c>
      <c r="Y386" s="126" t="str">
        <f>IF(Tab.o1[[#This Row],[a1]]=1,0.01+0.94*Tab.o1[[#This Row],[PDF]]/MAX(Tab.o1[PDF]),"")</f>
        <v/>
      </c>
      <c r="Z386" s="126" t="str">
        <f>IF(Tab.o1[[#This Row],[a1]]=1,0.01+0.94*Tab.o1[[#This Row],[W1_PDF]]/MAX(Tab.o1[W1_PDF]),"")</f>
        <v/>
      </c>
      <c r="AA386" s="118" t="str">
        <f>IF(Tab.o1[[#This Row],[a1]]=1,ABS([1]!T.in.A[[#This Row],[oo6]]),"")</f>
        <v/>
      </c>
      <c r="AB386" s="127" t="str">
        <f>IF(Tab.o1[[#This Row],[a1]]=1,IF(AE$3=0,"",IF(AB$3=0,ABS([1]!T.in.A[[#This Row],[oo9]]),ABS(Tab.o1[[#This Row],[DIF_Target.]]*Tab.o1[[#This Row],[W1_PDF]]))),"")</f>
        <v/>
      </c>
      <c r="AC386" s="127" t="str">
        <f>IF(G$1=1,"",IF(Tab.o1[[#This Row],[a1]]=1,Tab.o1[[#This Row],[Wr]]^2,""))</f>
        <v/>
      </c>
      <c r="AD386" s="118" t="str">
        <f>IF(Tab.o1[[#This Row],[a1]]=1,IF(AE$3=0,"",Tab.o1[[#This Row],[Wr2]]/SUM(Tab.o1[Wr2])),"")</f>
        <v/>
      </c>
      <c r="AE386" s="128" t="str">
        <f>IF(Tab.o1[[#This Row],[a1]]=1,[1]!T.in.A[[#This Row],[oo10]],"")</f>
        <v/>
      </c>
      <c r="AF386" s="118" t="str">
        <f>IF(Tab.o1[[#This Row],[a1]]=1,ABS(Tab.o1[[#This Row],[DIF_Target.]]*Tab.o1[[#This Row],[PDF2]]*Tab.o1[[#This Row],[IN]]),"")</f>
        <v/>
      </c>
      <c r="AG386" s="129" t="str">
        <f>IF(Tab.o1[[#This Row],[a1]]=1,Tab.o1[[#This Row],[rW]]^2,"")</f>
        <v/>
      </c>
      <c r="AH386" s="130" t="str">
        <f>IF(Tab.o1[[#This Row],[a1]]=1,IF(AH$3=0,Tab.o1[[#This Row],[rW2]],0.01+0.94*Tab.o1[[#This Row],[rW2]]/SUM(Tab.o1[rW2])),"")</f>
        <v/>
      </c>
      <c r="AI386" s="128" t="str">
        <f>IF(Tab.o1[[#This Row],[a1]]=1,1/Tab.o1[[#This Row],[PDF]],"")</f>
        <v/>
      </c>
      <c r="AJ386" s="131" t="str">
        <f>IF(Tab.o1[[#This Row],[a1]]=1,[1]!T_AA[[#This Row],[IN'']]*[1]!T_AA[[#This Row],[Qde'']],"")</f>
        <v/>
      </c>
      <c r="AK386" s="132" t="str">
        <f>IF(Tab.o1[[#This Row],[a1]]=1,IF(AK$1=1,Tab.o1[[#This Row],[MED]]+Tab.o1[[#This Row],[MOD]]-Tab.o1[[#This Row],[MED]],""),"")</f>
        <v/>
      </c>
      <c r="AL386" s="133" t="str">
        <f>IF(Tab.o1[[#This Row],[a1]]=1,[1]!T.in.A[[#This Row],[oo16]],"")</f>
        <v/>
      </c>
      <c r="AM386" s="133" t="str">
        <f>IF(Tab.o1[[#This Row],[a1]]=1,IF(AM$3=1,[1]!T.in.A[[#This Row],[Σo16]],""),"")</f>
        <v/>
      </c>
      <c r="AN386" s="126" t="str">
        <f>IF(Tab.o1[[#This Row],[a1]]=1,[1]!T.in.A[[#This Row],[Σp5]],"")</f>
        <v/>
      </c>
      <c r="AO386" s="126" t="str">
        <f>IF(Tab.o1[[#This Row],[a1]]=1,IF(AO$3=1,[1]!T.in.A[[#This Row],[Σp5]],""),"")</f>
        <v/>
      </c>
      <c r="AP386" s="110" t="str">
        <f>IF(Tab.o1[[#This Row],[a1]]=1,IF(ISNUMBER(Tab.o1[[#This Row],[i.]]),NORMDIST(Tab.o1[[#This Row],[Za]],0,1,FALSE)*Tab.o1[[#This Row],[i.]],0),"")</f>
        <v/>
      </c>
      <c r="AQ386" s="125" t="str">
        <f>IF(Tab.o1[[#This Row],[a1]]=1,ABS(Tab.o1[[#This Row],[MOD]]-AVERAGE(Tab.o1[MOD])),"")</f>
        <v/>
      </c>
      <c r="AR386" s="134" t="str">
        <f>IF(Tab.o1[[#This Row],[a1]]=1,Tab.o1[[#This Row],[OBS]]/SUM(Tab.o1[OBS]),"")</f>
        <v/>
      </c>
      <c r="AS386" s="135" t="str">
        <f>IF(ISNUMBER(Tab.o1[[#This Row],[a1]]),ROW()-4,"")</f>
        <v/>
      </c>
      <c r="AT386" s="136" t="str">
        <f>Tab.o1[[#This Row],[MOD]]</f>
        <v/>
      </c>
      <c r="AU386" s="137" t="str">
        <f t="shared" si="21"/>
        <v/>
      </c>
      <c r="AV386" s="138" t="str">
        <f t="shared" si="22"/>
        <v/>
      </c>
      <c r="AW386" s="138" t="str">
        <f t="shared" si="23"/>
        <v/>
      </c>
      <c r="AX386" s="139" t="str">
        <f>[1]!T.in.A[[#This Row],[ID_T_manu]]</f>
        <v/>
      </c>
      <c r="AY386" s="140" t="str">
        <f>IF(ISNUMBER(Tab.o1[[#This Row],[a1]]),IF(AND(Tab.o1[[#This Row],[a1]]=1,Tab.o1[[#This Row],[b1]]&lt;=AY$4),#REF!,AY385),"")</f>
        <v/>
      </c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</row>
    <row r="387" spans="1:79" ht="15.75" hidden="1">
      <c r="A387" s="109">
        <v>1.0000000000000002E-6</v>
      </c>
      <c r="B387" s="110">
        <f t="shared" si="20"/>
        <v>387</v>
      </c>
      <c r="C387" s="111" t="str">
        <f>IF(C$1=[1]!T.in.A[[#This Row],[oo2]],1,"")</f>
        <v/>
      </c>
      <c r="D387" s="112" t="str">
        <f>IF(Tab.o1[[#This Row],[a1]]=1,IF(SUM(C387:C388)=0,0,IF(SUM(C386:C387)=1,1,IF(SUM(C386:C388)&gt;1,D386+1,0))),"")</f>
        <v/>
      </c>
      <c r="E387" s="113" t="str">
        <f>IF(Tab.o1[[#This Row],[a1]]=1,[1]!T.in.A[[#This Row],[oo1]],"")</f>
        <v/>
      </c>
      <c r="F387" s="113" t="str">
        <f>IF(Tab.o1[[#This Row],[a1]]=1,[1]!T.in.A[[#This Row],[pp1]],"")</f>
        <v/>
      </c>
      <c r="G387" s="114" t="str">
        <f>IF(Tab.o1[[#This Row],[a1]]=1,G$2+IF(G$1=1,0,Tab.o1[[#This Row],[.x1]])+[1]!T.in.A[[#This Row],[oo3]],"")</f>
        <v/>
      </c>
      <c r="H387" s="115" t="str">
        <f>IF(Tab.o1[[#This Row],[a1]]=1,IF(H$2=0,0,IF(G$1=1,0,Tab.o1[[#This Row],[.x1]])+[1]!T.in.A[[#This Row],[oo4]]),"")</f>
        <v/>
      </c>
      <c r="I387" s="116" t="str">
        <f>IF(Tab.o1[[#This Row],[a1]]=1,IF(J$2=0,Tab.o1[[#This Row],[MED]],Tab.o1[[#This Row],[MOD]]),"")</f>
        <v/>
      </c>
      <c r="J387" s="116" t="str">
        <f>IF(Tab.o1[[#This Row],[a1]]=1,((Tab.o1[[#This Row],[DIF_Target.]]-AVERAGE(Tab.o1[DIF_Target.]))/_xlfn.STDEV.P(Tab.o1[DIF_Target.])),"")</f>
        <v/>
      </c>
      <c r="K387" s="117" t="str">
        <f>IF(Tab.o1[[#This Row],[a1]]=1,IF(J$2=0,Tab.o1[[#This Row],[MOD]]-Tab.o1[[#This Row],[B]],IF(J$2=1,0,-Tab.o1[[#This Row],[MED]])+Tab.o1[[#This Row],[B]]),"")</f>
        <v/>
      </c>
      <c r="L387" s="117" t="str">
        <f ca="1">IF(Tab.o1[[#This Row],[DIF_Target]]=0,IF(L$2=0,Tab.o1[[#This Row],[DIF_Target]],AVERAGE(OFFSET(Tab.o1[[#This Row],[DIF_Target]],1,0,L$3,1)))/3,Tab.o1[[#This Row],[DIF_Target]])</f>
        <v/>
      </c>
      <c r="M387" s="118" t="str">
        <f>IF(Tab.o1[[#This Row],[a1]]=1,NORMSDIST(Tab.o1[[#This Row],[Za]]),"")</f>
        <v/>
      </c>
      <c r="N387" s="119" t="str">
        <f>IF(Tab.o1[[#This Row],[a1]]=1,((Tab.o1[[#This Row],[MedMod]]-AVERAGE(Tab.o1[MedMod]))/_xlfn.STDEV.P(Tab.o1[MedMod])*H$1205)+G$1205,"")</f>
        <v/>
      </c>
      <c r="O387" s="141" t="str">
        <f>IF(Tab.o1[[#This Row],[a1]]=1,Tab.o1[[#This Row],[Zb]]*_xlfn.STDEV.P(Tab.o1[MedMod])+AVERAGE(Tab.o1[MedMod]),"")</f>
        <v/>
      </c>
      <c r="P387" s="117" t="str">
        <f ca="1">IF(Tab.o1[[#This Row],[B]]=0,AVERAGE(OFFSET(Tab.o1[[#This Row],[B]],1,0,L$3,1)),Tab.o1[[#This Row],[B]])</f>
        <v/>
      </c>
      <c r="Q387" s="121" t="str">
        <f>IF(Tab.o1[[#This Row],[a1]]=1,NORMSDIST(Tab.o1[[#This Row],[Zb]]),"")</f>
        <v/>
      </c>
      <c r="R387" s="122" t="str">
        <f>IF(Tab.o1[[#This Row],[a1]]=1,((Tab.o1[[#This Row],[MedMod]]-AVERAGE(Tab.o1[MedMod]))/_xlfn.STDEV.P(Tab.o1[MedMod])*H$1203)+G$1203,"")</f>
        <v/>
      </c>
      <c r="S387" s="122" t="str">
        <f>IF(Tab.o1[[#This Row],[a1]]=1,((Tab.o1[[#This Row],[MedMod]]-AVERAGE(Tab.o1[MedMod]))/_xlfn.STDEV.P(Tab.o1[MedMod])*H$1204)+G$1204,"")</f>
        <v/>
      </c>
      <c r="T387" s="123" t="str">
        <f>IF(Tab.o1[[#This Row],[a1]]=1,Tab.o1[[#This Row],[Z-]]*_xlfn.STDEV.P(Tab.o1[B])+AVERAGE(Tab.o1[B]),"")</f>
        <v/>
      </c>
      <c r="U387" s="123" t="str">
        <f>IF(Tab.o1[[#This Row],[a1]]=1,Tab.o1[[#This Row],[z+]]*_xlfn.STDEV.P(Tab.o1[B])+AVERAGE(Tab.o1[B]),"")</f>
        <v/>
      </c>
      <c r="V387" s="124" t="str">
        <f>IF(Tab.o1[[#This Row],[a1]]=1,ABS((ABS(Tab.o1[[#This Row],[Red]]-Tab.o1[[#This Row],[Blue]]))),"")</f>
        <v/>
      </c>
      <c r="W387" s="125" t="str">
        <f>IF(Tab.o1[[#This Row],[a1]]=1,IF(W$3=0,1,Tab.o1[[#This Row],[Amp.]]*1/_xlfn.MINIFS(Tab.o1[Amp.],Tab.o1[Amp.],"&lt;&gt;0")),"")</f>
        <v/>
      </c>
      <c r="X387" s="126" t="str">
        <f>IF(Tab.o1[[#This Row],[a1]]=1,IF(ISNUMBER(Tab.o1[[#This Row],[i.]]),NORMDIST(Tab.o1[[#This Row],[Za]],0,1,FALSE)*Tab.o1[[#This Row],[i.]],AP$3),"")</f>
        <v/>
      </c>
      <c r="Y387" s="126" t="str">
        <f>IF(Tab.o1[[#This Row],[a1]]=1,0.01+0.94*Tab.o1[[#This Row],[PDF]]/MAX(Tab.o1[PDF]),"")</f>
        <v/>
      </c>
      <c r="Z387" s="126" t="str">
        <f>IF(Tab.o1[[#This Row],[a1]]=1,0.01+0.94*Tab.o1[[#This Row],[W1_PDF]]/MAX(Tab.o1[W1_PDF]),"")</f>
        <v/>
      </c>
      <c r="AA387" s="118" t="str">
        <f>IF(Tab.o1[[#This Row],[a1]]=1,ABS([1]!T.in.A[[#This Row],[oo6]]),"")</f>
        <v/>
      </c>
      <c r="AB387" s="127" t="str">
        <f>IF(Tab.o1[[#This Row],[a1]]=1,IF(AE$3=0,"",IF(AB$3=0,ABS([1]!T.in.A[[#This Row],[oo9]]),ABS(Tab.o1[[#This Row],[DIF_Target.]]*Tab.o1[[#This Row],[W1_PDF]]))),"")</f>
        <v/>
      </c>
      <c r="AC387" s="127" t="str">
        <f>IF(G$1=1,"",IF(Tab.o1[[#This Row],[a1]]=1,Tab.o1[[#This Row],[Wr]]^2,""))</f>
        <v/>
      </c>
      <c r="AD387" s="118" t="str">
        <f>IF(Tab.o1[[#This Row],[a1]]=1,IF(AE$3=0,"",Tab.o1[[#This Row],[Wr2]]/SUM(Tab.o1[Wr2])),"")</f>
        <v/>
      </c>
      <c r="AE387" s="128" t="str">
        <f>IF(Tab.o1[[#This Row],[a1]]=1,[1]!T.in.A[[#This Row],[oo10]],"")</f>
        <v/>
      </c>
      <c r="AF387" s="118" t="str">
        <f>IF(Tab.o1[[#This Row],[a1]]=1,ABS(Tab.o1[[#This Row],[DIF_Target.]]*Tab.o1[[#This Row],[PDF2]]*Tab.o1[[#This Row],[IN]]),"")</f>
        <v/>
      </c>
      <c r="AG387" s="129" t="str">
        <f>IF(Tab.o1[[#This Row],[a1]]=1,Tab.o1[[#This Row],[rW]]^2,"")</f>
        <v/>
      </c>
      <c r="AH387" s="130" t="str">
        <f>IF(Tab.o1[[#This Row],[a1]]=1,IF(AH$3=0,Tab.o1[[#This Row],[rW2]],0.01+0.94*Tab.o1[[#This Row],[rW2]]/SUM(Tab.o1[rW2])),"")</f>
        <v/>
      </c>
      <c r="AI387" s="128" t="str">
        <f>IF(Tab.o1[[#This Row],[a1]]=1,1/Tab.o1[[#This Row],[PDF]],"")</f>
        <v/>
      </c>
      <c r="AJ387" s="131" t="str">
        <f>IF(Tab.o1[[#This Row],[a1]]=1,[1]!T_AA[[#This Row],[IN'']]*[1]!T_AA[[#This Row],[Qde'']],"")</f>
        <v/>
      </c>
      <c r="AK387" s="132" t="str">
        <f>IF(Tab.o1[[#This Row],[a1]]=1,IF(AK$1=1,Tab.o1[[#This Row],[MED]]+Tab.o1[[#This Row],[MOD]]-Tab.o1[[#This Row],[MED]],""),"")</f>
        <v/>
      </c>
      <c r="AL387" s="133" t="str">
        <f>IF(Tab.o1[[#This Row],[a1]]=1,[1]!T.in.A[[#This Row],[oo16]],"")</f>
        <v/>
      </c>
      <c r="AM387" s="133" t="str">
        <f>IF(Tab.o1[[#This Row],[a1]]=1,IF(AM$3=1,[1]!T.in.A[[#This Row],[Σo16]],""),"")</f>
        <v/>
      </c>
      <c r="AN387" s="126" t="str">
        <f>IF(Tab.o1[[#This Row],[a1]]=1,[1]!T.in.A[[#This Row],[Σp5]],"")</f>
        <v/>
      </c>
      <c r="AO387" s="126" t="str">
        <f>IF(Tab.o1[[#This Row],[a1]]=1,IF(AO$3=1,[1]!T.in.A[[#This Row],[Σp5]],""),"")</f>
        <v/>
      </c>
      <c r="AP387" s="110" t="str">
        <f>IF(Tab.o1[[#This Row],[a1]]=1,IF(ISNUMBER(Tab.o1[[#This Row],[i.]]),NORMDIST(Tab.o1[[#This Row],[Za]],0,1,FALSE)*Tab.o1[[#This Row],[i.]],0),"")</f>
        <v/>
      </c>
      <c r="AQ387" s="125" t="str">
        <f>IF(Tab.o1[[#This Row],[a1]]=1,ABS(Tab.o1[[#This Row],[MOD]]-AVERAGE(Tab.o1[MOD])),"")</f>
        <v/>
      </c>
      <c r="AR387" s="134" t="str">
        <f>IF(Tab.o1[[#This Row],[a1]]=1,Tab.o1[[#This Row],[OBS]]/SUM(Tab.o1[OBS]),"")</f>
        <v/>
      </c>
      <c r="AS387" s="135" t="str">
        <f>IF(ISNUMBER(Tab.o1[[#This Row],[a1]]),ROW()-4,"")</f>
        <v/>
      </c>
      <c r="AT387" s="136" t="str">
        <f>Tab.o1[[#This Row],[MOD]]</f>
        <v/>
      </c>
      <c r="AU387" s="137" t="str">
        <f t="shared" si="21"/>
        <v/>
      </c>
      <c r="AV387" s="138" t="str">
        <f t="shared" si="22"/>
        <v/>
      </c>
      <c r="AW387" s="138" t="str">
        <f t="shared" si="23"/>
        <v/>
      </c>
      <c r="AX387" s="139" t="str">
        <f>[1]!T.in.A[[#This Row],[ID_T_manu]]</f>
        <v/>
      </c>
      <c r="AY387" s="140" t="str">
        <f>IF(ISNUMBER(Tab.o1[[#This Row],[a1]]),IF(AND(Tab.o1[[#This Row],[a1]]=1,Tab.o1[[#This Row],[b1]]&lt;=AY$4),#REF!,AY386),"")</f>
        <v/>
      </c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</row>
    <row r="388" spans="1:79" ht="15.75" hidden="1">
      <c r="A388" s="109">
        <v>-1.0000000000000001E-5</v>
      </c>
      <c r="B388" s="110">
        <f t="shared" si="20"/>
        <v>388</v>
      </c>
      <c r="C388" s="111" t="str">
        <f>IF(C$1=[1]!T.in.A[[#This Row],[oo2]],1,"")</f>
        <v/>
      </c>
      <c r="D388" s="112" t="str">
        <f>IF(Tab.o1[[#This Row],[a1]]=1,IF(SUM(C388:C389)=0,0,IF(SUM(C387:C388)=1,1,IF(SUM(C387:C389)&gt;1,D387+1,0))),"")</f>
        <v/>
      </c>
      <c r="E388" s="113" t="str">
        <f>IF(Tab.o1[[#This Row],[a1]]=1,[1]!T.in.A[[#This Row],[oo1]],"")</f>
        <v/>
      </c>
      <c r="F388" s="113" t="str">
        <f>IF(Tab.o1[[#This Row],[a1]]=1,[1]!T.in.A[[#This Row],[pp1]],"")</f>
        <v/>
      </c>
      <c r="G388" s="114" t="str">
        <f>IF(Tab.o1[[#This Row],[a1]]=1,G$2+IF(G$1=1,0,Tab.o1[[#This Row],[.x1]])+[1]!T.in.A[[#This Row],[oo3]],"")</f>
        <v/>
      </c>
      <c r="H388" s="115" t="str">
        <f>IF(Tab.o1[[#This Row],[a1]]=1,IF(H$2=0,0,IF(G$1=1,0,Tab.o1[[#This Row],[.x1]])+[1]!T.in.A[[#This Row],[oo4]]),"")</f>
        <v/>
      </c>
      <c r="I388" s="116" t="str">
        <f>IF(Tab.o1[[#This Row],[a1]]=1,IF(J$2=0,Tab.o1[[#This Row],[MED]],Tab.o1[[#This Row],[MOD]]),"")</f>
        <v/>
      </c>
      <c r="J388" s="116" t="str">
        <f>IF(Tab.o1[[#This Row],[a1]]=1,((Tab.o1[[#This Row],[DIF_Target.]]-AVERAGE(Tab.o1[DIF_Target.]))/_xlfn.STDEV.P(Tab.o1[DIF_Target.])),"")</f>
        <v/>
      </c>
      <c r="K388" s="117" t="str">
        <f>IF(Tab.o1[[#This Row],[a1]]=1,IF(J$2=0,Tab.o1[[#This Row],[MOD]]-Tab.o1[[#This Row],[B]],IF(J$2=1,0,-Tab.o1[[#This Row],[MED]])+Tab.o1[[#This Row],[B]]),"")</f>
        <v/>
      </c>
      <c r="L388" s="117" t="str">
        <f ca="1">IF(Tab.o1[[#This Row],[DIF_Target]]=0,IF(L$2=0,Tab.o1[[#This Row],[DIF_Target]],AVERAGE(OFFSET(Tab.o1[[#This Row],[DIF_Target]],1,0,L$3,1)))/3,Tab.o1[[#This Row],[DIF_Target]])</f>
        <v/>
      </c>
      <c r="M388" s="118" t="str">
        <f>IF(Tab.o1[[#This Row],[a1]]=1,NORMSDIST(Tab.o1[[#This Row],[Za]]),"")</f>
        <v/>
      </c>
      <c r="N388" s="119" t="str">
        <f>IF(Tab.o1[[#This Row],[a1]]=1,((Tab.o1[[#This Row],[MedMod]]-AVERAGE(Tab.o1[MedMod]))/_xlfn.STDEV.P(Tab.o1[MedMod])*H$1205)+G$1205,"")</f>
        <v/>
      </c>
      <c r="O388" s="141" t="str">
        <f>IF(Tab.o1[[#This Row],[a1]]=1,Tab.o1[[#This Row],[Zb]]*_xlfn.STDEV.P(Tab.o1[MedMod])+AVERAGE(Tab.o1[MedMod]),"")</f>
        <v/>
      </c>
      <c r="P388" s="117" t="str">
        <f ca="1">IF(Tab.o1[[#This Row],[B]]=0,AVERAGE(OFFSET(Tab.o1[[#This Row],[B]],1,0,L$3,1)),Tab.o1[[#This Row],[B]])</f>
        <v/>
      </c>
      <c r="Q388" s="121" t="str">
        <f>IF(Tab.o1[[#This Row],[a1]]=1,NORMSDIST(Tab.o1[[#This Row],[Zb]]),"")</f>
        <v/>
      </c>
      <c r="R388" s="122" t="str">
        <f>IF(Tab.o1[[#This Row],[a1]]=1,((Tab.o1[[#This Row],[MedMod]]-AVERAGE(Tab.o1[MedMod]))/_xlfn.STDEV.P(Tab.o1[MedMod])*H$1203)+G$1203,"")</f>
        <v/>
      </c>
      <c r="S388" s="122" t="str">
        <f>IF(Tab.o1[[#This Row],[a1]]=1,((Tab.o1[[#This Row],[MedMod]]-AVERAGE(Tab.o1[MedMod]))/_xlfn.STDEV.P(Tab.o1[MedMod])*H$1204)+G$1204,"")</f>
        <v/>
      </c>
      <c r="T388" s="123" t="str">
        <f>IF(Tab.o1[[#This Row],[a1]]=1,Tab.o1[[#This Row],[Z-]]*_xlfn.STDEV.P(Tab.o1[B])+AVERAGE(Tab.o1[B]),"")</f>
        <v/>
      </c>
      <c r="U388" s="123" t="str">
        <f>IF(Tab.o1[[#This Row],[a1]]=1,Tab.o1[[#This Row],[z+]]*_xlfn.STDEV.P(Tab.o1[B])+AVERAGE(Tab.o1[B]),"")</f>
        <v/>
      </c>
      <c r="V388" s="124" t="str">
        <f>IF(Tab.o1[[#This Row],[a1]]=1,ABS((ABS(Tab.o1[[#This Row],[Red]]-Tab.o1[[#This Row],[Blue]]))),"")</f>
        <v/>
      </c>
      <c r="W388" s="125" t="str">
        <f>IF(Tab.o1[[#This Row],[a1]]=1,IF(W$3=0,1,Tab.o1[[#This Row],[Amp.]]*1/_xlfn.MINIFS(Tab.o1[Amp.],Tab.o1[Amp.],"&lt;&gt;0")),"")</f>
        <v/>
      </c>
      <c r="X388" s="126" t="str">
        <f>IF(Tab.o1[[#This Row],[a1]]=1,IF(ISNUMBER(Tab.o1[[#This Row],[i.]]),NORMDIST(Tab.o1[[#This Row],[Za]],0,1,FALSE)*Tab.o1[[#This Row],[i.]],AP$3),"")</f>
        <v/>
      </c>
      <c r="Y388" s="126" t="str">
        <f>IF(Tab.o1[[#This Row],[a1]]=1,0.01+0.94*Tab.o1[[#This Row],[PDF]]/MAX(Tab.o1[PDF]),"")</f>
        <v/>
      </c>
      <c r="Z388" s="126" t="str">
        <f>IF(Tab.o1[[#This Row],[a1]]=1,0.01+0.94*Tab.o1[[#This Row],[W1_PDF]]/MAX(Tab.o1[W1_PDF]),"")</f>
        <v/>
      </c>
      <c r="AA388" s="118" t="str">
        <f>IF(Tab.o1[[#This Row],[a1]]=1,ABS([1]!T.in.A[[#This Row],[oo6]]),"")</f>
        <v/>
      </c>
      <c r="AB388" s="127" t="str">
        <f>IF(Tab.o1[[#This Row],[a1]]=1,IF(AE$3=0,"",IF(AB$3=0,ABS([1]!T.in.A[[#This Row],[oo9]]),ABS(Tab.o1[[#This Row],[DIF_Target.]]*Tab.o1[[#This Row],[W1_PDF]]))),"")</f>
        <v/>
      </c>
      <c r="AC388" s="127" t="str">
        <f>IF(G$1=1,"",IF(Tab.o1[[#This Row],[a1]]=1,Tab.o1[[#This Row],[Wr]]^2,""))</f>
        <v/>
      </c>
      <c r="AD388" s="118" t="str">
        <f>IF(Tab.o1[[#This Row],[a1]]=1,IF(AE$3=0,"",Tab.o1[[#This Row],[Wr2]]/SUM(Tab.o1[Wr2])),"")</f>
        <v/>
      </c>
      <c r="AE388" s="128" t="str">
        <f>IF(Tab.o1[[#This Row],[a1]]=1,[1]!T.in.A[[#This Row],[oo10]],"")</f>
        <v/>
      </c>
      <c r="AF388" s="118" t="str">
        <f>IF(Tab.o1[[#This Row],[a1]]=1,ABS(Tab.o1[[#This Row],[DIF_Target.]]*Tab.o1[[#This Row],[PDF2]]*Tab.o1[[#This Row],[IN]]),"")</f>
        <v/>
      </c>
      <c r="AG388" s="129" t="str">
        <f>IF(Tab.o1[[#This Row],[a1]]=1,Tab.o1[[#This Row],[rW]]^2,"")</f>
        <v/>
      </c>
      <c r="AH388" s="130" t="str">
        <f>IF(Tab.o1[[#This Row],[a1]]=1,IF(AH$3=0,Tab.o1[[#This Row],[rW2]],0.01+0.94*Tab.o1[[#This Row],[rW2]]/SUM(Tab.o1[rW2])),"")</f>
        <v/>
      </c>
      <c r="AI388" s="128" t="str">
        <f>IF(Tab.o1[[#This Row],[a1]]=1,1/Tab.o1[[#This Row],[PDF]],"")</f>
        <v/>
      </c>
      <c r="AJ388" s="131" t="str">
        <f>IF(Tab.o1[[#This Row],[a1]]=1,[1]!T_AA[[#This Row],[IN'']]*[1]!T_AA[[#This Row],[Qde'']],"")</f>
        <v/>
      </c>
      <c r="AK388" s="132" t="str">
        <f>IF(Tab.o1[[#This Row],[a1]]=1,IF(AK$1=1,Tab.o1[[#This Row],[MED]]+Tab.o1[[#This Row],[MOD]]-Tab.o1[[#This Row],[MED]],""),"")</f>
        <v/>
      </c>
      <c r="AL388" s="133" t="str">
        <f>IF(Tab.o1[[#This Row],[a1]]=1,[1]!T.in.A[[#This Row],[oo16]],"")</f>
        <v/>
      </c>
      <c r="AM388" s="133" t="str">
        <f>IF(Tab.o1[[#This Row],[a1]]=1,IF(AM$3=1,[1]!T.in.A[[#This Row],[Σo16]],""),"")</f>
        <v/>
      </c>
      <c r="AN388" s="126" t="str">
        <f>IF(Tab.o1[[#This Row],[a1]]=1,[1]!T.in.A[[#This Row],[Σp5]],"")</f>
        <v/>
      </c>
      <c r="AO388" s="126" t="str">
        <f>IF(Tab.o1[[#This Row],[a1]]=1,IF(AO$3=1,[1]!T.in.A[[#This Row],[Σp5]],""),"")</f>
        <v/>
      </c>
      <c r="AP388" s="110" t="str">
        <f>IF(Tab.o1[[#This Row],[a1]]=1,IF(ISNUMBER(Tab.o1[[#This Row],[i.]]),NORMDIST(Tab.o1[[#This Row],[Za]],0,1,FALSE)*Tab.o1[[#This Row],[i.]],0),"")</f>
        <v/>
      </c>
      <c r="AQ388" s="125" t="str">
        <f>IF(Tab.o1[[#This Row],[a1]]=1,ABS(Tab.o1[[#This Row],[MOD]]-AVERAGE(Tab.o1[MOD])),"")</f>
        <v/>
      </c>
      <c r="AR388" s="134" t="str">
        <f>IF(Tab.o1[[#This Row],[a1]]=1,Tab.o1[[#This Row],[OBS]]/SUM(Tab.o1[OBS]),"")</f>
        <v/>
      </c>
      <c r="AS388" s="135" t="str">
        <f>IF(ISNUMBER(Tab.o1[[#This Row],[a1]]),ROW()-4,"")</f>
        <v/>
      </c>
      <c r="AT388" s="136" t="str">
        <f>Tab.o1[[#This Row],[MOD]]</f>
        <v/>
      </c>
      <c r="AU388" s="137" t="str">
        <f t="shared" si="21"/>
        <v/>
      </c>
      <c r="AV388" s="138" t="str">
        <f t="shared" si="22"/>
        <v/>
      </c>
      <c r="AW388" s="138" t="str">
        <f t="shared" si="23"/>
        <v/>
      </c>
      <c r="AX388" s="139" t="str">
        <f>[1]!T.in.A[[#This Row],[ID_T_manu]]</f>
        <v/>
      </c>
      <c r="AY388" s="140" t="str">
        <f>IF(ISNUMBER(Tab.o1[[#This Row],[a1]]),IF(AND(Tab.o1[[#This Row],[a1]]=1,Tab.o1[[#This Row],[b1]]&lt;=AY$4),#REF!,AY387),"")</f>
        <v/>
      </c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</row>
    <row r="389" spans="1:79" ht="15.75" hidden="1">
      <c r="A389" s="109">
        <v>9.0000000000000002E-6</v>
      </c>
      <c r="B389" s="110">
        <f t="shared" si="20"/>
        <v>389</v>
      </c>
      <c r="C389" s="111" t="str">
        <f>IF(C$1=[1]!T.in.A[[#This Row],[oo2]],1,"")</f>
        <v/>
      </c>
      <c r="D389" s="112" t="str">
        <f>IF(Tab.o1[[#This Row],[a1]]=1,IF(SUM(C389:C390)=0,0,IF(SUM(C388:C389)=1,1,IF(SUM(C388:C390)&gt;1,D388+1,0))),"")</f>
        <v/>
      </c>
      <c r="E389" s="113" t="str">
        <f>IF(Tab.o1[[#This Row],[a1]]=1,[1]!T.in.A[[#This Row],[oo1]],"")</f>
        <v/>
      </c>
      <c r="F389" s="113" t="str">
        <f>IF(Tab.o1[[#This Row],[a1]]=1,[1]!T.in.A[[#This Row],[pp1]],"")</f>
        <v/>
      </c>
      <c r="G389" s="114" t="str">
        <f>IF(Tab.o1[[#This Row],[a1]]=1,G$2+IF(G$1=1,0,Tab.o1[[#This Row],[.x1]])+[1]!T.in.A[[#This Row],[oo3]],"")</f>
        <v/>
      </c>
      <c r="H389" s="115" t="str">
        <f>IF(Tab.o1[[#This Row],[a1]]=1,IF(H$2=0,0,IF(G$1=1,0,Tab.o1[[#This Row],[.x1]])+[1]!T.in.A[[#This Row],[oo4]]),"")</f>
        <v/>
      </c>
      <c r="I389" s="116" t="str">
        <f>IF(Tab.o1[[#This Row],[a1]]=1,IF(J$2=0,Tab.o1[[#This Row],[MED]],Tab.o1[[#This Row],[MOD]]),"")</f>
        <v/>
      </c>
      <c r="J389" s="116" t="str">
        <f>IF(Tab.o1[[#This Row],[a1]]=1,((Tab.o1[[#This Row],[DIF_Target.]]-AVERAGE(Tab.o1[DIF_Target.]))/_xlfn.STDEV.P(Tab.o1[DIF_Target.])),"")</f>
        <v/>
      </c>
      <c r="K389" s="117" t="str">
        <f>IF(Tab.o1[[#This Row],[a1]]=1,IF(J$2=0,Tab.o1[[#This Row],[MOD]]-Tab.o1[[#This Row],[B]],IF(J$2=1,0,-Tab.o1[[#This Row],[MED]])+Tab.o1[[#This Row],[B]]),"")</f>
        <v/>
      </c>
      <c r="L389" s="117" t="str">
        <f ca="1">IF(Tab.o1[[#This Row],[DIF_Target]]=0,IF(L$2=0,Tab.o1[[#This Row],[DIF_Target]],AVERAGE(OFFSET(Tab.o1[[#This Row],[DIF_Target]],1,0,L$3,1)))/3,Tab.o1[[#This Row],[DIF_Target]])</f>
        <v/>
      </c>
      <c r="M389" s="118" t="str">
        <f>IF(Tab.o1[[#This Row],[a1]]=1,NORMSDIST(Tab.o1[[#This Row],[Za]]),"")</f>
        <v/>
      </c>
      <c r="N389" s="119" t="str">
        <f>IF(Tab.o1[[#This Row],[a1]]=1,((Tab.o1[[#This Row],[MedMod]]-AVERAGE(Tab.o1[MedMod]))/_xlfn.STDEV.P(Tab.o1[MedMod])*H$1205)+G$1205,"")</f>
        <v/>
      </c>
      <c r="O389" s="141" t="str">
        <f>IF(Tab.o1[[#This Row],[a1]]=1,Tab.o1[[#This Row],[Zb]]*_xlfn.STDEV.P(Tab.o1[MedMod])+AVERAGE(Tab.o1[MedMod]),"")</f>
        <v/>
      </c>
      <c r="P389" s="117" t="str">
        <f ca="1">IF(Tab.o1[[#This Row],[B]]=0,AVERAGE(OFFSET(Tab.o1[[#This Row],[B]],1,0,L$3,1)),Tab.o1[[#This Row],[B]])</f>
        <v/>
      </c>
      <c r="Q389" s="121" t="str">
        <f>IF(Tab.o1[[#This Row],[a1]]=1,NORMSDIST(Tab.o1[[#This Row],[Zb]]),"")</f>
        <v/>
      </c>
      <c r="R389" s="122" t="str">
        <f>IF(Tab.o1[[#This Row],[a1]]=1,((Tab.o1[[#This Row],[MedMod]]-AVERAGE(Tab.o1[MedMod]))/_xlfn.STDEV.P(Tab.o1[MedMod])*H$1203)+G$1203,"")</f>
        <v/>
      </c>
      <c r="S389" s="122" t="str">
        <f>IF(Tab.o1[[#This Row],[a1]]=1,((Tab.o1[[#This Row],[MedMod]]-AVERAGE(Tab.o1[MedMod]))/_xlfn.STDEV.P(Tab.o1[MedMod])*H$1204)+G$1204,"")</f>
        <v/>
      </c>
      <c r="T389" s="123" t="str">
        <f>IF(Tab.o1[[#This Row],[a1]]=1,Tab.o1[[#This Row],[Z-]]*_xlfn.STDEV.P(Tab.o1[B])+AVERAGE(Tab.o1[B]),"")</f>
        <v/>
      </c>
      <c r="U389" s="123" t="str">
        <f>IF(Tab.o1[[#This Row],[a1]]=1,Tab.o1[[#This Row],[z+]]*_xlfn.STDEV.P(Tab.o1[B])+AVERAGE(Tab.o1[B]),"")</f>
        <v/>
      </c>
      <c r="V389" s="124" t="str">
        <f>IF(Tab.o1[[#This Row],[a1]]=1,ABS((ABS(Tab.o1[[#This Row],[Red]]-Tab.o1[[#This Row],[Blue]]))),"")</f>
        <v/>
      </c>
      <c r="W389" s="125" t="str">
        <f>IF(Tab.o1[[#This Row],[a1]]=1,IF(W$3=0,1,Tab.o1[[#This Row],[Amp.]]*1/_xlfn.MINIFS(Tab.o1[Amp.],Tab.o1[Amp.],"&lt;&gt;0")),"")</f>
        <v/>
      </c>
      <c r="X389" s="126" t="str">
        <f>IF(Tab.o1[[#This Row],[a1]]=1,IF(ISNUMBER(Tab.o1[[#This Row],[i.]]),NORMDIST(Tab.o1[[#This Row],[Za]],0,1,FALSE)*Tab.o1[[#This Row],[i.]],AP$3),"")</f>
        <v/>
      </c>
      <c r="Y389" s="126" t="str">
        <f>IF(Tab.o1[[#This Row],[a1]]=1,0.01+0.94*Tab.o1[[#This Row],[PDF]]/MAX(Tab.o1[PDF]),"")</f>
        <v/>
      </c>
      <c r="Z389" s="126" t="str">
        <f>IF(Tab.o1[[#This Row],[a1]]=1,0.01+0.94*Tab.o1[[#This Row],[W1_PDF]]/MAX(Tab.o1[W1_PDF]),"")</f>
        <v/>
      </c>
      <c r="AA389" s="118" t="str">
        <f>IF(Tab.o1[[#This Row],[a1]]=1,ABS([1]!T.in.A[[#This Row],[oo6]]),"")</f>
        <v/>
      </c>
      <c r="AB389" s="127" t="str">
        <f>IF(Tab.o1[[#This Row],[a1]]=1,IF(AE$3=0,"",IF(AB$3=0,ABS([1]!T.in.A[[#This Row],[oo9]]),ABS(Tab.o1[[#This Row],[DIF_Target.]]*Tab.o1[[#This Row],[W1_PDF]]))),"")</f>
        <v/>
      </c>
      <c r="AC389" s="127" t="str">
        <f>IF(G$1=1,"",IF(Tab.o1[[#This Row],[a1]]=1,Tab.o1[[#This Row],[Wr]]^2,""))</f>
        <v/>
      </c>
      <c r="AD389" s="118" t="str">
        <f>IF(Tab.o1[[#This Row],[a1]]=1,IF(AE$3=0,"",Tab.o1[[#This Row],[Wr2]]/SUM(Tab.o1[Wr2])),"")</f>
        <v/>
      </c>
      <c r="AE389" s="128" t="str">
        <f>IF(Tab.o1[[#This Row],[a1]]=1,[1]!T.in.A[[#This Row],[oo10]],"")</f>
        <v/>
      </c>
      <c r="AF389" s="118" t="str">
        <f>IF(Tab.o1[[#This Row],[a1]]=1,ABS(Tab.o1[[#This Row],[DIF_Target.]]*Tab.o1[[#This Row],[PDF2]]*Tab.o1[[#This Row],[IN]]),"")</f>
        <v/>
      </c>
      <c r="AG389" s="129" t="str">
        <f>IF(Tab.o1[[#This Row],[a1]]=1,Tab.o1[[#This Row],[rW]]^2,"")</f>
        <v/>
      </c>
      <c r="AH389" s="130" t="str">
        <f>IF(Tab.o1[[#This Row],[a1]]=1,IF(AH$3=0,Tab.o1[[#This Row],[rW2]],0.01+0.94*Tab.o1[[#This Row],[rW2]]/SUM(Tab.o1[rW2])),"")</f>
        <v/>
      </c>
      <c r="AI389" s="128" t="str">
        <f>IF(Tab.o1[[#This Row],[a1]]=1,1/Tab.o1[[#This Row],[PDF]],"")</f>
        <v/>
      </c>
      <c r="AJ389" s="131" t="str">
        <f>IF(Tab.o1[[#This Row],[a1]]=1,[1]!T_AA[[#This Row],[IN'']]*[1]!T_AA[[#This Row],[Qde'']],"")</f>
        <v/>
      </c>
      <c r="AK389" s="132" t="str">
        <f>IF(Tab.o1[[#This Row],[a1]]=1,IF(AK$1=1,Tab.o1[[#This Row],[MED]]+Tab.o1[[#This Row],[MOD]]-Tab.o1[[#This Row],[MED]],""),"")</f>
        <v/>
      </c>
      <c r="AL389" s="133" t="str">
        <f>IF(Tab.o1[[#This Row],[a1]]=1,[1]!T.in.A[[#This Row],[oo16]],"")</f>
        <v/>
      </c>
      <c r="AM389" s="133" t="str">
        <f>IF(Tab.o1[[#This Row],[a1]]=1,IF(AM$3=1,[1]!T.in.A[[#This Row],[Σo16]],""),"")</f>
        <v/>
      </c>
      <c r="AN389" s="126" t="str">
        <f>IF(Tab.o1[[#This Row],[a1]]=1,[1]!T.in.A[[#This Row],[Σp5]],"")</f>
        <v/>
      </c>
      <c r="AO389" s="126" t="str">
        <f>IF(Tab.o1[[#This Row],[a1]]=1,IF(AO$3=1,[1]!T.in.A[[#This Row],[Σp5]],""),"")</f>
        <v/>
      </c>
      <c r="AP389" s="110" t="str">
        <f>IF(Tab.o1[[#This Row],[a1]]=1,IF(ISNUMBER(Tab.o1[[#This Row],[i.]]),NORMDIST(Tab.o1[[#This Row],[Za]],0,1,FALSE)*Tab.o1[[#This Row],[i.]],0),"")</f>
        <v/>
      </c>
      <c r="AQ389" s="125" t="str">
        <f>IF(Tab.o1[[#This Row],[a1]]=1,ABS(Tab.o1[[#This Row],[MOD]]-AVERAGE(Tab.o1[MOD])),"")</f>
        <v/>
      </c>
      <c r="AR389" s="134" t="str">
        <f>IF(Tab.o1[[#This Row],[a1]]=1,Tab.o1[[#This Row],[OBS]]/SUM(Tab.o1[OBS]),"")</f>
        <v/>
      </c>
      <c r="AS389" s="135" t="str">
        <f>IF(ISNUMBER(Tab.o1[[#This Row],[a1]]),ROW()-4,"")</f>
        <v/>
      </c>
      <c r="AT389" s="136" t="str">
        <f>Tab.o1[[#This Row],[MOD]]</f>
        <v/>
      </c>
      <c r="AU389" s="137" t="str">
        <f t="shared" si="21"/>
        <v/>
      </c>
      <c r="AV389" s="138" t="str">
        <f t="shared" si="22"/>
        <v/>
      </c>
      <c r="AW389" s="138" t="str">
        <f t="shared" si="23"/>
        <v/>
      </c>
      <c r="AX389" s="139" t="str">
        <f>[1]!T.in.A[[#This Row],[ID_T_manu]]</f>
        <v/>
      </c>
      <c r="AY389" s="140" t="str">
        <f>IF(ISNUMBER(Tab.o1[[#This Row],[a1]]),IF(AND(Tab.o1[[#This Row],[a1]]=1,Tab.o1[[#This Row],[b1]]&lt;=AY$4),#REF!,AY388),"")</f>
        <v/>
      </c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</row>
    <row r="390" spans="1:79" ht="15.75" hidden="1">
      <c r="A390" s="109">
        <v>1.0000000000000002E-6</v>
      </c>
      <c r="B390" s="110">
        <f t="shared" ref="B390:B453" si="24">B389+1</f>
        <v>390</v>
      </c>
      <c r="C390" s="111" t="str">
        <f>IF(C$1=[1]!T.in.A[[#This Row],[oo2]],1,"")</f>
        <v/>
      </c>
      <c r="D390" s="112" t="str">
        <f>IF(Tab.o1[[#This Row],[a1]]=1,IF(SUM(C390:C391)=0,0,IF(SUM(C389:C390)=1,1,IF(SUM(C389:C391)&gt;1,D389+1,0))),"")</f>
        <v/>
      </c>
      <c r="E390" s="113" t="str">
        <f>IF(Tab.o1[[#This Row],[a1]]=1,[1]!T.in.A[[#This Row],[oo1]],"")</f>
        <v/>
      </c>
      <c r="F390" s="113" t="str">
        <f>IF(Tab.o1[[#This Row],[a1]]=1,[1]!T.in.A[[#This Row],[pp1]],"")</f>
        <v/>
      </c>
      <c r="G390" s="114" t="str">
        <f>IF(Tab.o1[[#This Row],[a1]]=1,G$2+IF(G$1=1,0,Tab.o1[[#This Row],[.x1]])+[1]!T.in.A[[#This Row],[oo3]],"")</f>
        <v/>
      </c>
      <c r="H390" s="115" t="str">
        <f>IF(Tab.o1[[#This Row],[a1]]=1,IF(H$2=0,0,IF(G$1=1,0,Tab.o1[[#This Row],[.x1]])+[1]!T.in.A[[#This Row],[oo4]]),"")</f>
        <v/>
      </c>
      <c r="I390" s="116" t="str">
        <f>IF(Tab.o1[[#This Row],[a1]]=1,IF(J$2=0,Tab.o1[[#This Row],[MED]],Tab.o1[[#This Row],[MOD]]),"")</f>
        <v/>
      </c>
      <c r="J390" s="116" t="str">
        <f>IF(Tab.o1[[#This Row],[a1]]=1,((Tab.o1[[#This Row],[DIF_Target.]]-AVERAGE(Tab.o1[DIF_Target.]))/_xlfn.STDEV.P(Tab.o1[DIF_Target.])),"")</f>
        <v/>
      </c>
      <c r="K390" s="117" t="str">
        <f>IF(Tab.o1[[#This Row],[a1]]=1,IF(J$2=0,Tab.o1[[#This Row],[MOD]]-Tab.o1[[#This Row],[B]],IF(J$2=1,0,-Tab.o1[[#This Row],[MED]])+Tab.o1[[#This Row],[B]]),"")</f>
        <v/>
      </c>
      <c r="L390" s="117" t="str">
        <f ca="1">IF(Tab.o1[[#This Row],[DIF_Target]]=0,IF(L$2=0,Tab.o1[[#This Row],[DIF_Target]],AVERAGE(OFFSET(Tab.o1[[#This Row],[DIF_Target]],1,0,L$3,1)))/3,Tab.o1[[#This Row],[DIF_Target]])</f>
        <v/>
      </c>
      <c r="M390" s="118" t="str">
        <f>IF(Tab.o1[[#This Row],[a1]]=1,NORMSDIST(Tab.o1[[#This Row],[Za]]),"")</f>
        <v/>
      </c>
      <c r="N390" s="119" t="str">
        <f>IF(Tab.o1[[#This Row],[a1]]=1,((Tab.o1[[#This Row],[MedMod]]-AVERAGE(Tab.o1[MedMod]))/_xlfn.STDEV.P(Tab.o1[MedMod])*H$1205)+G$1205,"")</f>
        <v/>
      </c>
      <c r="O390" s="141" t="str">
        <f>IF(Tab.o1[[#This Row],[a1]]=1,Tab.o1[[#This Row],[Zb]]*_xlfn.STDEV.P(Tab.o1[MedMod])+AVERAGE(Tab.o1[MedMod]),"")</f>
        <v/>
      </c>
      <c r="P390" s="117" t="str">
        <f ca="1">IF(Tab.o1[[#This Row],[B]]=0,AVERAGE(OFFSET(Tab.o1[[#This Row],[B]],1,0,L$3,1)),Tab.o1[[#This Row],[B]])</f>
        <v/>
      </c>
      <c r="Q390" s="121" t="str">
        <f>IF(Tab.o1[[#This Row],[a1]]=1,NORMSDIST(Tab.o1[[#This Row],[Zb]]),"")</f>
        <v/>
      </c>
      <c r="R390" s="122" t="str">
        <f>IF(Tab.o1[[#This Row],[a1]]=1,((Tab.o1[[#This Row],[MedMod]]-AVERAGE(Tab.o1[MedMod]))/_xlfn.STDEV.P(Tab.o1[MedMod])*H$1203)+G$1203,"")</f>
        <v/>
      </c>
      <c r="S390" s="122" t="str">
        <f>IF(Tab.o1[[#This Row],[a1]]=1,((Tab.o1[[#This Row],[MedMod]]-AVERAGE(Tab.o1[MedMod]))/_xlfn.STDEV.P(Tab.o1[MedMod])*H$1204)+G$1204,"")</f>
        <v/>
      </c>
      <c r="T390" s="123" t="str">
        <f>IF(Tab.o1[[#This Row],[a1]]=1,Tab.o1[[#This Row],[Z-]]*_xlfn.STDEV.P(Tab.o1[B])+AVERAGE(Tab.o1[B]),"")</f>
        <v/>
      </c>
      <c r="U390" s="123" t="str">
        <f>IF(Tab.o1[[#This Row],[a1]]=1,Tab.o1[[#This Row],[z+]]*_xlfn.STDEV.P(Tab.o1[B])+AVERAGE(Tab.o1[B]),"")</f>
        <v/>
      </c>
      <c r="V390" s="124" t="str">
        <f>IF(Tab.o1[[#This Row],[a1]]=1,ABS((ABS(Tab.o1[[#This Row],[Red]]-Tab.o1[[#This Row],[Blue]]))),"")</f>
        <v/>
      </c>
      <c r="W390" s="125" t="str">
        <f>IF(Tab.o1[[#This Row],[a1]]=1,IF(W$3=0,1,Tab.o1[[#This Row],[Amp.]]*1/_xlfn.MINIFS(Tab.o1[Amp.],Tab.o1[Amp.],"&lt;&gt;0")),"")</f>
        <v/>
      </c>
      <c r="X390" s="126" t="str">
        <f>IF(Tab.o1[[#This Row],[a1]]=1,IF(ISNUMBER(Tab.o1[[#This Row],[i.]]),NORMDIST(Tab.o1[[#This Row],[Za]],0,1,FALSE)*Tab.o1[[#This Row],[i.]],AP$3),"")</f>
        <v/>
      </c>
      <c r="Y390" s="126" t="str">
        <f>IF(Tab.o1[[#This Row],[a1]]=1,0.01+0.94*Tab.o1[[#This Row],[PDF]]/MAX(Tab.o1[PDF]),"")</f>
        <v/>
      </c>
      <c r="Z390" s="126" t="str">
        <f>IF(Tab.o1[[#This Row],[a1]]=1,0.01+0.94*Tab.o1[[#This Row],[W1_PDF]]/MAX(Tab.o1[W1_PDF]),"")</f>
        <v/>
      </c>
      <c r="AA390" s="118" t="str">
        <f>IF(Tab.o1[[#This Row],[a1]]=1,ABS([1]!T.in.A[[#This Row],[oo6]]),"")</f>
        <v/>
      </c>
      <c r="AB390" s="127" t="str">
        <f>IF(Tab.o1[[#This Row],[a1]]=1,IF(AE$3=0,"",IF(AB$3=0,ABS([1]!T.in.A[[#This Row],[oo9]]),ABS(Tab.o1[[#This Row],[DIF_Target.]]*Tab.o1[[#This Row],[W1_PDF]]))),"")</f>
        <v/>
      </c>
      <c r="AC390" s="127" t="str">
        <f>IF(G$1=1,"",IF(Tab.o1[[#This Row],[a1]]=1,Tab.o1[[#This Row],[Wr]]^2,""))</f>
        <v/>
      </c>
      <c r="AD390" s="118" t="str">
        <f>IF(Tab.o1[[#This Row],[a1]]=1,IF(AE$3=0,"",Tab.o1[[#This Row],[Wr2]]/SUM(Tab.o1[Wr2])),"")</f>
        <v/>
      </c>
      <c r="AE390" s="128" t="str">
        <f>IF(Tab.o1[[#This Row],[a1]]=1,[1]!T.in.A[[#This Row],[oo10]],"")</f>
        <v/>
      </c>
      <c r="AF390" s="118" t="str">
        <f>IF(Tab.o1[[#This Row],[a1]]=1,ABS(Tab.o1[[#This Row],[DIF_Target.]]*Tab.o1[[#This Row],[PDF2]]*Tab.o1[[#This Row],[IN]]),"")</f>
        <v/>
      </c>
      <c r="AG390" s="129" t="str">
        <f>IF(Tab.o1[[#This Row],[a1]]=1,Tab.o1[[#This Row],[rW]]^2,"")</f>
        <v/>
      </c>
      <c r="AH390" s="130" t="str">
        <f>IF(Tab.o1[[#This Row],[a1]]=1,IF(AH$3=0,Tab.o1[[#This Row],[rW2]],0.01+0.94*Tab.o1[[#This Row],[rW2]]/SUM(Tab.o1[rW2])),"")</f>
        <v/>
      </c>
      <c r="AI390" s="128" t="str">
        <f>IF(Tab.o1[[#This Row],[a1]]=1,1/Tab.o1[[#This Row],[PDF]],"")</f>
        <v/>
      </c>
      <c r="AJ390" s="131" t="str">
        <f>IF(Tab.o1[[#This Row],[a1]]=1,[1]!T_AA[[#This Row],[IN'']]*[1]!T_AA[[#This Row],[Qde'']],"")</f>
        <v/>
      </c>
      <c r="AK390" s="132" t="str">
        <f>IF(Tab.o1[[#This Row],[a1]]=1,IF(AK$1=1,Tab.o1[[#This Row],[MED]]+Tab.o1[[#This Row],[MOD]]-Tab.o1[[#This Row],[MED]],""),"")</f>
        <v/>
      </c>
      <c r="AL390" s="133" t="str">
        <f>IF(Tab.o1[[#This Row],[a1]]=1,[1]!T.in.A[[#This Row],[oo16]],"")</f>
        <v/>
      </c>
      <c r="AM390" s="133" t="str">
        <f>IF(Tab.o1[[#This Row],[a1]]=1,IF(AM$3=1,[1]!T.in.A[[#This Row],[Σo16]],""),"")</f>
        <v/>
      </c>
      <c r="AN390" s="126" t="str">
        <f>IF(Tab.o1[[#This Row],[a1]]=1,[1]!T.in.A[[#This Row],[Σp5]],"")</f>
        <v/>
      </c>
      <c r="AO390" s="126" t="str">
        <f>IF(Tab.o1[[#This Row],[a1]]=1,IF(AO$3=1,[1]!T.in.A[[#This Row],[Σp5]],""),"")</f>
        <v/>
      </c>
      <c r="AP390" s="110" t="str">
        <f>IF(Tab.o1[[#This Row],[a1]]=1,IF(ISNUMBER(Tab.o1[[#This Row],[i.]]),NORMDIST(Tab.o1[[#This Row],[Za]],0,1,FALSE)*Tab.o1[[#This Row],[i.]],0),"")</f>
        <v/>
      </c>
      <c r="AQ390" s="125" t="str">
        <f>IF(Tab.o1[[#This Row],[a1]]=1,ABS(Tab.o1[[#This Row],[MOD]]-AVERAGE(Tab.o1[MOD])),"")</f>
        <v/>
      </c>
      <c r="AR390" s="134" t="str">
        <f>IF(Tab.o1[[#This Row],[a1]]=1,Tab.o1[[#This Row],[OBS]]/SUM(Tab.o1[OBS]),"")</f>
        <v/>
      </c>
      <c r="AS390" s="135" t="str">
        <f>IF(ISNUMBER(Tab.o1[[#This Row],[a1]]),ROW()-4,"")</f>
        <v/>
      </c>
      <c r="AT390" s="136" t="str">
        <f>Tab.o1[[#This Row],[MOD]]</f>
        <v/>
      </c>
      <c r="AU390" s="137" t="str">
        <f t="shared" ref="AU390:AU453" si="25">AT390</f>
        <v/>
      </c>
      <c r="AV390" s="138" t="str">
        <f t="shared" ref="AV390:AV453" si="26">IF(AND(ISNUMBER(AT390),ISNUMBER(AU390)),H390-AU390,"")</f>
        <v/>
      </c>
      <c r="AW390" s="138" t="str">
        <f t="shared" ref="AW390:AW453" si="27">IF(AW$4=0,"",IF(AV390&lt;AV$2,AV390," "))</f>
        <v/>
      </c>
      <c r="AX390" s="139" t="str">
        <f>[1]!T.in.A[[#This Row],[ID_T_manu]]</f>
        <v/>
      </c>
      <c r="AY390" s="140" t="str">
        <f>IF(ISNUMBER(Tab.o1[[#This Row],[a1]]),IF(AND(Tab.o1[[#This Row],[a1]]=1,Tab.o1[[#This Row],[b1]]&lt;=AY$4),#REF!,AY389),"")</f>
        <v/>
      </c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</row>
    <row r="391" spans="1:79" ht="15.75" hidden="1">
      <c r="A391" s="109">
        <v>1.0000000000000002E-6</v>
      </c>
      <c r="B391" s="110">
        <f t="shared" si="24"/>
        <v>391</v>
      </c>
      <c r="C391" s="111" t="str">
        <f>IF(C$1=[1]!T.in.A[[#This Row],[oo2]],1,"")</f>
        <v/>
      </c>
      <c r="D391" s="112" t="str">
        <f>IF(Tab.o1[[#This Row],[a1]]=1,IF(SUM(C391:C392)=0,0,IF(SUM(C390:C391)=1,1,IF(SUM(C390:C392)&gt;1,D390+1,0))),"")</f>
        <v/>
      </c>
      <c r="E391" s="113" t="str">
        <f>IF(Tab.o1[[#This Row],[a1]]=1,[1]!T.in.A[[#This Row],[oo1]],"")</f>
        <v/>
      </c>
      <c r="F391" s="113" t="str">
        <f>IF(Tab.o1[[#This Row],[a1]]=1,[1]!T.in.A[[#This Row],[pp1]],"")</f>
        <v/>
      </c>
      <c r="G391" s="114" t="str">
        <f>IF(Tab.o1[[#This Row],[a1]]=1,G$2+IF(G$1=1,0,Tab.o1[[#This Row],[.x1]])+[1]!T.in.A[[#This Row],[oo3]],"")</f>
        <v/>
      </c>
      <c r="H391" s="115" t="str">
        <f>IF(Tab.o1[[#This Row],[a1]]=1,IF(H$2=0,0,IF(G$1=1,0,Tab.o1[[#This Row],[.x1]])+[1]!T.in.A[[#This Row],[oo4]]),"")</f>
        <v/>
      </c>
      <c r="I391" s="116" t="str">
        <f>IF(Tab.o1[[#This Row],[a1]]=1,IF(J$2=0,Tab.o1[[#This Row],[MED]],Tab.o1[[#This Row],[MOD]]),"")</f>
        <v/>
      </c>
      <c r="J391" s="116" t="str">
        <f>IF(Tab.o1[[#This Row],[a1]]=1,((Tab.o1[[#This Row],[DIF_Target.]]-AVERAGE(Tab.o1[DIF_Target.]))/_xlfn.STDEV.P(Tab.o1[DIF_Target.])),"")</f>
        <v/>
      </c>
      <c r="K391" s="117" t="str">
        <f>IF(Tab.o1[[#This Row],[a1]]=1,IF(J$2=0,Tab.o1[[#This Row],[MOD]]-Tab.o1[[#This Row],[B]],IF(J$2=1,0,-Tab.o1[[#This Row],[MED]])+Tab.o1[[#This Row],[B]]),"")</f>
        <v/>
      </c>
      <c r="L391" s="117" t="str">
        <f ca="1">IF(Tab.o1[[#This Row],[DIF_Target]]=0,IF(L$2=0,Tab.o1[[#This Row],[DIF_Target]],AVERAGE(OFFSET(Tab.o1[[#This Row],[DIF_Target]],1,0,L$3,1)))/3,Tab.o1[[#This Row],[DIF_Target]])</f>
        <v/>
      </c>
      <c r="M391" s="118" t="str">
        <f>IF(Tab.o1[[#This Row],[a1]]=1,NORMSDIST(Tab.o1[[#This Row],[Za]]),"")</f>
        <v/>
      </c>
      <c r="N391" s="119" t="str">
        <f>IF(Tab.o1[[#This Row],[a1]]=1,((Tab.o1[[#This Row],[MedMod]]-AVERAGE(Tab.o1[MedMod]))/_xlfn.STDEV.P(Tab.o1[MedMod])*H$1205)+G$1205,"")</f>
        <v/>
      </c>
      <c r="O391" s="141" t="str">
        <f>IF(Tab.o1[[#This Row],[a1]]=1,Tab.o1[[#This Row],[Zb]]*_xlfn.STDEV.P(Tab.o1[MedMod])+AVERAGE(Tab.o1[MedMod]),"")</f>
        <v/>
      </c>
      <c r="P391" s="117" t="str">
        <f ca="1">IF(Tab.o1[[#This Row],[B]]=0,AVERAGE(OFFSET(Tab.o1[[#This Row],[B]],1,0,L$3,1)),Tab.o1[[#This Row],[B]])</f>
        <v/>
      </c>
      <c r="Q391" s="121" t="str">
        <f>IF(Tab.o1[[#This Row],[a1]]=1,NORMSDIST(Tab.o1[[#This Row],[Zb]]),"")</f>
        <v/>
      </c>
      <c r="R391" s="122" t="str">
        <f>IF(Tab.o1[[#This Row],[a1]]=1,((Tab.o1[[#This Row],[MedMod]]-AVERAGE(Tab.o1[MedMod]))/_xlfn.STDEV.P(Tab.o1[MedMod])*H$1203)+G$1203,"")</f>
        <v/>
      </c>
      <c r="S391" s="122" t="str">
        <f>IF(Tab.o1[[#This Row],[a1]]=1,((Tab.o1[[#This Row],[MedMod]]-AVERAGE(Tab.o1[MedMod]))/_xlfn.STDEV.P(Tab.o1[MedMod])*H$1204)+G$1204,"")</f>
        <v/>
      </c>
      <c r="T391" s="123" t="str">
        <f>IF(Tab.o1[[#This Row],[a1]]=1,Tab.o1[[#This Row],[Z-]]*_xlfn.STDEV.P(Tab.o1[B])+AVERAGE(Tab.o1[B]),"")</f>
        <v/>
      </c>
      <c r="U391" s="123" t="str">
        <f>IF(Tab.o1[[#This Row],[a1]]=1,Tab.o1[[#This Row],[z+]]*_xlfn.STDEV.P(Tab.o1[B])+AVERAGE(Tab.o1[B]),"")</f>
        <v/>
      </c>
      <c r="V391" s="124" t="str">
        <f>IF(Tab.o1[[#This Row],[a1]]=1,ABS((ABS(Tab.o1[[#This Row],[Red]]-Tab.o1[[#This Row],[Blue]]))),"")</f>
        <v/>
      </c>
      <c r="W391" s="125" t="str">
        <f>IF(Tab.o1[[#This Row],[a1]]=1,IF(W$3=0,1,Tab.o1[[#This Row],[Amp.]]*1/_xlfn.MINIFS(Tab.o1[Amp.],Tab.o1[Amp.],"&lt;&gt;0")),"")</f>
        <v/>
      </c>
      <c r="X391" s="126" t="str">
        <f>IF(Tab.o1[[#This Row],[a1]]=1,IF(ISNUMBER(Tab.o1[[#This Row],[i.]]),NORMDIST(Tab.o1[[#This Row],[Za]],0,1,FALSE)*Tab.o1[[#This Row],[i.]],AP$3),"")</f>
        <v/>
      </c>
      <c r="Y391" s="126" t="str">
        <f>IF(Tab.o1[[#This Row],[a1]]=1,0.01+0.94*Tab.o1[[#This Row],[PDF]]/MAX(Tab.o1[PDF]),"")</f>
        <v/>
      </c>
      <c r="Z391" s="126" t="str">
        <f>IF(Tab.o1[[#This Row],[a1]]=1,0.01+0.94*Tab.o1[[#This Row],[W1_PDF]]/MAX(Tab.o1[W1_PDF]),"")</f>
        <v/>
      </c>
      <c r="AA391" s="118" t="str">
        <f>IF(Tab.o1[[#This Row],[a1]]=1,ABS([1]!T.in.A[[#This Row],[oo6]]),"")</f>
        <v/>
      </c>
      <c r="AB391" s="127" t="str">
        <f>IF(Tab.o1[[#This Row],[a1]]=1,IF(AE$3=0,"",IF(AB$3=0,ABS([1]!T.in.A[[#This Row],[oo9]]),ABS(Tab.o1[[#This Row],[DIF_Target.]]*Tab.o1[[#This Row],[W1_PDF]]))),"")</f>
        <v/>
      </c>
      <c r="AC391" s="127" t="str">
        <f>IF(G$1=1,"",IF(Tab.o1[[#This Row],[a1]]=1,Tab.o1[[#This Row],[Wr]]^2,""))</f>
        <v/>
      </c>
      <c r="AD391" s="118" t="str">
        <f>IF(Tab.o1[[#This Row],[a1]]=1,IF(AE$3=0,"",Tab.o1[[#This Row],[Wr2]]/SUM(Tab.o1[Wr2])),"")</f>
        <v/>
      </c>
      <c r="AE391" s="128" t="str">
        <f>IF(Tab.o1[[#This Row],[a1]]=1,[1]!T.in.A[[#This Row],[oo10]],"")</f>
        <v/>
      </c>
      <c r="AF391" s="118" t="str">
        <f>IF(Tab.o1[[#This Row],[a1]]=1,ABS(Tab.o1[[#This Row],[DIF_Target.]]*Tab.o1[[#This Row],[PDF2]]*Tab.o1[[#This Row],[IN]]),"")</f>
        <v/>
      </c>
      <c r="AG391" s="129" t="str">
        <f>IF(Tab.o1[[#This Row],[a1]]=1,Tab.o1[[#This Row],[rW]]^2,"")</f>
        <v/>
      </c>
      <c r="AH391" s="130" t="str">
        <f>IF(Tab.o1[[#This Row],[a1]]=1,IF(AH$3=0,Tab.o1[[#This Row],[rW2]],0.01+0.94*Tab.o1[[#This Row],[rW2]]/SUM(Tab.o1[rW2])),"")</f>
        <v/>
      </c>
      <c r="AI391" s="128" t="str">
        <f>IF(Tab.o1[[#This Row],[a1]]=1,1/Tab.o1[[#This Row],[PDF]],"")</f>
        <v/>
      </c>
      <c r="AJ391" s="131" t="str">
        <f>IF(Tab.o1[[#This Row],[a1]]=1,[1]!T_AA[[#This Row],[IN'']]*[1]!T_AA[[#This Row],[Qde'']],"")</f>
        <v/>
      </c>
      <c r="AK391" s="132" t="str">
        <f>IF(Tab.o1[[#This Row],[a1]]=1,IF(AK$1=1,Tab.o1[[#This Row],[MED]]+Tab.o1[[#This Row],[MOD]]-Tab.o1[[#This Row],[MED]],""),"")</f>
        <v/>
      </c>
      <c r="AL391" s="133" t="str">
        <f>IF(Tab.o1[[#This Row],[a1]]=1,[1]!T.in.A[[#This Row],[oo16]],"")</f>
        <v/>
      </c>
      <c r="AM391" s="133" t="str">
        <f>IF(Tab.o1[[#This Row],[a1]]=1,IF(AM$3=1,[1]!T.in.A[[#This Row],[Σo16]],""),"")</f>
        <v/>
      </c>
      <c r="AN391" s="126" t="str">
        <f>IF(Tab.o1[[#This Row],[a1]]=1,[1]!T.in.A[[#This Row],[Σp5]],"")</f>
        <v/>
      </c>
      <c r="AO391" s="126" t="str">
        <f>IF(Tab.o1[[#This Row],[a1]]=1,IF(AO$3=1,[1]!T.in.A[[#This Row],[Σp5]],""),"")</f>
        <v/>
      </c>
      <c r="AP391" s="110" t="str">
        <f>IF(Tab.o1[[#This Row],[a1]]=1,IF(ISNUMBER(Tab.o1[[#This Row],[i.]]),NORMDIST(Tab.o1[[#This Row],[Za]],0,1,FALSE)*Tab.o1[[#This Row],[i.]],0),"")</f>
        <v/>
      </c>
      <c r="AQ391" s="125" t="str">
        <f>IF(Tab.o1[[#This Row],[a1]]=1,ABS(Tab.o1[[#This Row],[MOD]]-AVERAGE(Tab.o1[MOD])),"")</f>
        <v/>
      </c>
      <c r="AR391" s="134" t="str">
        <f>IF(Tab.o1[[#This Row],[a1]]=1,Tab.o1[[#This Row],[OBS]]/SUM(Tab.o1[OBS]),"")</f>
        <v/>
      </c>
      <c r="AS391" s="135" t="str">
        <f>IF(ISNUMBER(Tab.o1[[#This Row],[a1]]),ROW()-4,"")</f>
        <v/>
      </c>
      <c r="AT391" s="136" t="str">
        <f>Tab.o1[[#This Row],[MOD]]</f>
        <v/>
      </c>
      <c r="AU391" s="137" t="str">
        <f t="shared" si="25"/>
        <v/>
      </c>
      <c r="AV391" s="138" t="str">
        <f t="shared" si="26"/>
        <v/>
      </c>
      <c r="AW391" s="138" t="str">
        <f t="shared" si="27"/>
        <v/>
      </c>
      <c r="AX391" s="139" t="str">
        <f>[1]!T.in.A[[#This Row],[ID_T_manu]]</f>
        <v/>
      </c>
      <c r="AY391" s="140" t="str">
        <f>IF(ISNUMBER(Tab.o1[[#This Row],[a1]]),IF(AND(Tab.o1[[#This Row],[a1]]=1,Tab.o1[[#This Row],[b1]]&lt;=AY$4),#REF!,AY390),"")</f>
        <v/>
      </c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</row>
    <row r="392" spans="1:79" ht="15.75" hidden="1">
      <c r="A392" s="109">
        <v>9.0000000000000002E-6</v>
      </c>
      <c r="B392" s="110">
        <f t="shared" si="24"/>
        <v>392</v>
      </c>
      <c r="C392" s="111" t="str">
        <f>IF(C$1=[1]!T.in.A[[#This Row],[oo2]],1,"")</f>
        <v/>
      </c>
      <c r="D392" s="112" t="str">
        <f>IF(Tab.o1[[#This Row],[a1]]=1,IF(SUM(C392:C393)=0,0,IF(SUM(C391:C392)=1,1,IF(SUM(C391:C393)&gt;1,D391+1,0))),"")</f>
        <v/>
      </c>
      <c r="E392" s="113" t="str">
        <f>IF(Tab.o1[[#This Row],[a1]]=1,[1]!T.in.A[[#This Row],[oo1]],"")</f>
        <v/>
      </c>
      <c r="F392" s="113" t="str">
        <f>IF(Tab.o1[[#This Row],[a1]]=1,[1]!T.in.A[[#This Row],[pp1]],"")</f>
        <v/>
      </c>
      <c r="G392" s="114" t="str">
        <f>IF(Tab.o1[[#This Row],[a1]]=1,G$2+IF(G$1=1,0,Tab.o1[[#This Row],[.x1]])+[1]!T.in.A[[#This Row],[oo3]],"")</f>
        <v/>
      </c>
      <c r="H392" s="115" t="str">
        <f>IF(Tab.o1[[#This Row],[a1]]=1,IF(H$2=0,0,IF(G$1=1,0,Tab.o1[[#This Row],[.x1]])+[1]!T.in.A[[#This Row],[oo4]]),"")</f>
        <v/>
      </c>
      <c r="I392" s="116" t="str">
        <f>IF(Tab.o1[[#This Row],[a1]]=1,IF(J$2=0,Tab.o1[[#This Row],[MED]],Tab.o1[[#This Row],[MOD]]),"")</f>
        <v/>
      </c>
      <c r="J392" s="116" t="str">
        <f>IF(Tab.o1[[#This Row],[a1]]=1,((Tab.o1[[#This Row],[DIF_Target.]]-AVERAGE(Tab.o1[DIF_Target.]))/_xlfn.STDEV.P(Tab.o1[DIF_Target.])),"")</f>
        <v/>
      </c>
      <c r="K392" s="117" t="str">
        <f>IF(Tab.o1[[#This Row],[a1]]=1,IF(J$2=0,Tab.o1[[#This Row],[MOD]]-Tab.o1[[#This Row],[B]],IF(J$2=1,0,-Tab.o1[[#This Row],[MED]])+Tab.o1[[#This Row],[B]]),"")</f>
        <v/>
      </c>
      <c r="L392" s="117" t="str">
        <f ca="1">IF(Tab.o1[[#This Row],[DIF_Target]]=0,IF(L$2=0,Tab.o1[[#This Row],[DIF_Target]],AVERAGE(OFFSET(Tab.o1[[#This Row],[DIF_Target]],1,0,L$3,1)))/3,Tab.o1[[#This Row],[DIF_Target]])</f>
        <v/>
      </c>
      <c r="M392" s="118" t="str">
        <f>IF(Tab.o1[[#This Row],[a1]]=1,NORMSDIST(Tab.o1[[#This Row],[Za]]),"")</f>
        <v/>
      </c>
      <c r="N392" s="119" t="str">
        <f>IF(Tab.o1[[#This Row],[a1]]=1,((Tab.o1[[#This Row],[MedMod]]-AVERAGE(Tab.o1[MedMod]))/_xlfn.STDEV.P(Tab.o1[MedMod])*H$1205)+G$1205,"")</f>
        <v/>
      </c>
      <c r="O392" s="141" t="str">
        <f>IF(Tab.o1[[#This Row],[a1]]=1,Tab.o1[[#This Row],[Zb]]*_xlfn.STDEV.P(Tab.o1[MedMod])+AVERAGE(Tab.o1[MedMod]),"")</f>
        <v/>
      </c>
      <c r="P392" s="117" t="str">
        <f ca="1">IF(Tab.o1[[#This Row],[B]]=0,AVERAGE(OFFSET(Tab.o1[[#This Row],[B]],1,0,L$3,1)),Tab.o1[[#This Row],[B]])</f>
        <v/>
      </c>
      <c r="Q392" s="121" t="str">
        <f>IF(Tab.o1[[#This Row],[a1]]=1,NORMSDIST(Tab.o1[[#This Row],[Zb]]),"")</f>
        <v/>
      </c>
      <c r="R392" s="122" t="str">
        <f>IF(Tab.o1[[#This Row],[a1]]=1,((Tab.o1[[#This Row],[MedMod]]-AVERAGE(Tab.o1[MedMod]))/_xlfn.STDEV.P(Tab.o1[MedMod])*H$1203)+G$1203,"")</f>
        <v/>
      </c>
      <c r="S392" s="122" t="str">
        <f>IF(Tab.o1[[#This Row],[a1]]=1,((Tab.o1[[#This Row],[MedMod]]-AVERAGE(Tab.o1[MedMod]))/_xlfn.STDEV.P(Tab.o1[MedMod])*H$1204)+G$1204,"")</f>
        <v/>
      </c>
      <c r="T392" s="123" t="str">
        <f>IF(Tab.o1[[#This Row],[a1]]=1,Tab.o1[[#This Row],[Z-]]*_xlfn.STDEV.P(Tab.o1[B])+AVERAGE(Tab.o1[B]),"")</f>
        <v/>
      </c>
      <c r="U392" s="123" t="str">
        <f>IF(Tab.o1[[#This Row],[a1]]=1,Tab.o1[[#This Row],[z+]]*_xlfn.STDEV.P(Tab.o1[B])+AVERAGE(Tab.o1[B]),"")</f>
        <v/>
      </c>
      <c r="V392" s="124" t="str">
        <f>IF(Tab.o1[[#This Row],[a1]]=1,ABS((ABS(Tab.o1[[#This Row],[Red]]-Tab.o1[[#This Row],[Blue]]))),"")</f>
        <v/>
      </c>
      <c r="W392" s="125" t="str">
        <f>IF(Tab.o1[[#This Row],[a1]]=1,IF(W$3=0,1,Tab.o1[[#This Row],[Amp.]]*1/_xlfn.MINIFS(Tab.o1[Amp.],Tab.o1[Amp.],"&lt;&gt;0")),"")</f>
        <v/>
      </c>
      <c r="X392" s="126" t="str">
        <f>IF(Tab.o1[[#This Row],[a1]]=1,IF(ISNUMBER(Tab.o1[[#This Row],[i.]]),NORMDIST(Tab.o1[[#This Row],[Za]],0,1,FALSE)*Tab.o1[[#This Row],[i.]],AP$3),"")</f>
        <v/>
      </c>
      <c r="Y392" s="126" t="str">
        <f>IF(Tab.o1[[#This Row],[a1]]=1,0.01+0.94*Tab.o1[[#This Row],[PDF]]/MAX(Tab.o1[PDF]),"")</f>
        <v/>
      </c>
      <c r="Z392" s="126" t="str">
        <f>IF(Tab.o1[[#This Row],[a1]]=1,0.01+0.94*Tab.o1[[#This Row],[W1_PDF]]/MAX(Tab.o1[W1_PDF]),"")</f>
        <v/>
      </c>
      <c r="AA392" s="118" t="str">
        <f>IF(Tab.o1[[#This Row],[a1]]=1,ABS([1]!T.in.A[[#This Row],[oo6]]),"")</f>
        <v/>
      </c>
      <c r="AB392" s="127" t="str">
        <f>IF(Tab.o1[[#This Row],[a1]]=1,IF(AE$3=0,"",IF(AB$3=0,ABS([1]!T.in.A[[#This Row],[oo9]]),ABS(Tab.o1[[#This Row],[DIF_Target.]]*Tab.o1[[#This Row],[W1_PDF]]))),"")</f>
        <v/>
      </c>
      <c r="AC392" s="127" t="str">
        <f>IF(G$1=1,"",IF(Tab.o1[[#This Row],[a1]]=1,Tab.o1[[#This Row],[Wr]]^2,""))</f>
        <v/>
      </c>
      <c r="AD392" s="118" t="str">
        <f>IF(Tab.o1[[#This Row],[a1]]=1,IF(AE$3=0,"",Tab.o1[[#This Row],[Wr2]]/SUM(Tab.o1[Wr2])),"")</f>
        <v/>
      </c>
      <c r="AE392" s="128" t="str">
        <f>IF(Tab.o1[[#This Row],[a1]]=1,[1]!T.in.A[[#This Row],[oo10]],"")</f>
        <v/>
      </c>
      <c r="AF392" s="118" t="str">
        <f>IF(Tab.o1[[#This Row],[a1]]=1,ABS(Tab.o1[[#This Row],[DIF_Target.]]*Tab.o1[[#This Row],[PDF2]]*Tab.o1[[#This Row],[IN]]),"")</f>
        <v/>
      </c>
      <c r="AG392" s="129" t="str">
        <f>IF(Tab.o1[[#This Row],[a1]]=1,Tab.o1[[#This Row],[rW]]^2,"")</f>
        <v/>
      </c>
      <c r="AH392" s="130" t="str">
        <f>IF(Tab.o1[[#This Row],[a1]]=1,IF(AH$3=0,Tab.o1[[#This Row],[rW2]],0.01+0.94*Tab.o1[[#This Row],[rW2]]/SUM(Tab.o1[rW2])),"")</f>
        <v/>
      </c>
      <c r="AI392" s="128" t="str">
        <f>IF(Tab.o1[[#This Row],[a1]]=1,1/Tab.o1[[#This Row],[PDF]],"")</f>
        <v/>
      </c>
      <c r="AJ392" s="131" t="str">
        <f>IF(Tab.o1[[#This Row],[a1]]=1,[1]!T_AA[[#This Row],[IN'']]*[1]!T_AA[[#This Row],[Qde'']],"")</f>
        <v/>
      </c>
      <c r="AK392" s="132" t="str">
        <f>IF(Tab.o1[[#This Row],[a1]]=1,IF(AK$1=1,Tab.o1[[#This Row],[MED]]+Tab.o1[[#This Row],[MOD]]-Tab.o1[[#This Row],[MED]],""),"")</f>
        <v/>
      </c>
      <c r="AL392" s="133" t="str">
        <f>IF(Tab.o1[[#This Row],[a1]]=1,[1]!T.in.A[[#This Row],[oo16]],"")</f>
        <v/>
      </c>
      <c r="AM392" s="133" t="str">
        <f>IF(Tab.o1[[#This Row],[a1]]=1,IF(AM$3=1,[1]!T.in.A[[#This Row],[Σo16]],""),"")</f>
        <v/>
      </c>
      <c r="AN392" s="126" t="str">
        <f>IF(Tab.o1[[#This Row],[a1]]=1,[1]!T.in.A[[#This Row],[Σp5]],"")</f>
        <v/>
      </c>
      <c r="AO392" s="126" t="str">
        <f>IF(Tab.o1[[#This Row],[a1]]=1,IF(AO$3=1,[1]!T.in.A[[#This Row],[Σp5]],""),"")</f>
        <v/>
      </c>
      <c r="AP392" s="110" t="str">
        <f>IF(Tab.o1[[#This Row],[a1]]=1,IF(ISNUMBER(Tab.o1[[#This Row],[i.]]),NORMDIST(Tab.o1[[#This Row],[Za]],0,1,FALSE)*Tab.o1[[#This Row],[i.]],0),"")</f>
        <v/>
      </c>
      <c r="AQ392" s="125" t="str">
        <f>IF(Tab.o1[[#This Row],[a1]]=1,ABS(Tab.o1[[#This Row],[MOD]]-AVERAGE(Tab.o1[MOD])),"")</f>
        <v/>
      </c>
      <c r="AR392" s="134" t="str">
        <f>IF(Tab.o1[[#This Row],[a1]]=1,Tab.o1[[#This Row],[OBS]]/SUM(Tab.o1[OBS]),"")</f>
        <v/>
      </c>
      <c r="AS392" s="135" t="str">
        <f>IF(ISNUMBER(Tab.o1[[#This Row],[a1]]),ROW()-4,"")</f>
        <v/>
      </c>
      <c r="AT392" s="136" t="str">
        <f>Tab.o1[[#This Row],[MOD]]</f>
        <v/>
      </c>
      <c r="AU392" s="137" t="str">
        <f t="shared" si="25"/>
        <v/>
      </c>
      <c r="AV392" s="138" t="str">
        <f t="shared" si="26"/>
        <v/>
      </c>
      <c r="AW392" s="138" t="str">
        <f t="shared" si="27"/>
        <v/>
      </c>
      <c r="AX392" s="139" t="str">
        <f>[1]!T.in.A[[#This Row],[ID_T_manu]]</f>
        <v/>
      </c>
      <c r="AY392" s="140" t="str">
        <f>IF(ISNUMBER(Tab.o1[[#This Row],[a1]]),IF(AND(Tab.o1[[#This Row],[a1]]=1,Tab.o1[[#This Row],[b1]]&lt;=AY$4),#REF!,AY391),"")</f>
        <v/>
      </c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</row>
    <row r="393" spans="1:79" ht="15.75" hidden="1">
      <c r="A393" s="109">
        <v>1.0000000000000002E-6</v>
      </c>
      <c r="B393" s="110">
        <f t="shared" si="24"/>
        <v>393</v>
      </c>
      <c r="C393" s="111" t="str">
        <f>IF(C$1=[1]!T.in.A[[#This Row],[oo2]],1,"")</f>
        <v/>
      </c>
      <c r="D393" s="112" t="str">
        <f>IF(Tab.o1[[#This Row],[a1]]=1,IF(SUM(C393:C394)=0,0,IF(SUM(C392:C393)=1,1,IF(SUM(C392:C394)&gt;1,D392+1,0))),"")</f>
        <v/>
      </c>
      <c r="E393" s="113" t="str">
        <f>IF(Tab.o1[[#This Row],[a1]]=1,[1]!T.in.A[[#This Row],[oo1]],"")</f>
        <v/>
      </c>
      <c r="F393" s="113" t="str">
        <f>IF(Tab.o1[[#This Row],[a1]]=1,[1]!T.in.A[[#This Row],[pp1]],"")</f>
        <v/>
      </c>
      <c r="G393" s="114" t="str">
        <f>IF(Tab.o1[[#This Row],[a1]]=1,G$2+IF(G$1=1,0,Tab.o1[[#This Row],[.x1]])+[1]!T.in.A[[#This Row],[oo3]],"")</f>
        <v/>
      </c>
      <c r="H393" s="115" t="str">
        <f>IF(Tab.o1[[#This Row],[a1]]=1,IF(H$2=0,0,IF(G$1=1,0,Tab.o1[[#This Row],[.x1]])+[1]!T.in.A[[#This Row],[oo4]]),"")</f>
        <v/>
      </c>
      <c r="I393" s="116" t="str">
        <f>IF(Tab.o1[[#This Row],[a1]]=1,IF(J$2=0,Tab.o1[[#This Row],[MED]],Tab.o1[[#This Row],[MOD]]),"")</f>
        <v/>
      </c>
      <c r="J393" s="116" t="str">
        <f>IF(Tab.o1[[#This Row],[a1]]=1,((Tab.o1[[#This Row],[DIF_Target.]]-AVERAGE(Tab.o1[DIF_Target.]))/_xlfn.STDEV.P(Tab.o1[DIF_Target.])),"")</f>
        <v/>
      </c>
      <c r="K393" s="117" t="str">
        <f>IF(Tab.o1[[#This Row],[a1]]=1,IF(J$2=0,Tab.o1[[#This Row],[MOD]]-Tab.o1[[#This Row],[B]],IF(J$2=1,0,-Tab.o1[[#This Row],[MED]])+Tab.o1[[#This Row],[B]]),"")</f>
        <v/>
      </c>
      <c r="L393" s="117" t="str">
        <f ca="1">IF(Tab.o1[[#This Row],[DIF_Target]]=0,IF(L$2=0,Tab.o1[[#This Row],[DIF_Target]],AVERAGE(OFFSET(Tab.o1[[#This Row],[DIF_Target]],1,0,L$3,1)))/3,Tab.o1[[#This Row],[DIF_Target]])</f>
        <v/>
      </c>
      <c r="M393" s="118" t="str">
        <f>IF(Tab.o1[[#This Row],[a1]]=1,NORMSDIST(Tab.o1[[#This Row],[Za]]),"")</f>
        <v/>
      </c>
      <c r="N393" s="119" t="str">
        <f>IF(Tab.o1[[#This Row],[a1]]=1,((Tab.o1[[#This Row],[MedMod]]-AVERAGE(Tab.o1[MedMod]))/_xlfn.STDEV.P(Tab.o1[MedMod])*H$1205)+G$1205,"")</f>
        <v/>
      </c>
      <c r="O393" s="141" t="str">
        <f>IF(Tab.o1[[#This Row],[a1]]=1,Tab.o1[[#This Row],[Zb]]*_xlfn.STDEV.P(Tab.o1[MedMod])+AVERAGE(Tab.o1[MedMod]),"")</f>
        <v/>
      </c>
      <c r="P393" s="117" t="str">
        <f ca="1">IF(Tab.o1[[#This Row],[B]]=0,AVERAGE(OFFSET(Tab.o1[[#This Row],[B]],1,0,L$3,1)),Tab.o1[[#This Row],[B]])</f>
        <v/>
      </c>
      <c r="Q393" s="121" t="str">
        <f>IF(Tab.o1[[#This Row],[a1]]=1,NORMSDIST(Tab.o1[[#This Row],[Zb]]),"")</f>
        <v/>
      </c>
      <c r="R393" s="122" t="str">
        <f>IF(Tab.o1[[#This Row],[a1]]=1,((Tab.o1[[#This Row],[MedMod]]-AVERAGE(Tab.o1[MedMod]))/_xlfn.STDEV.P(Tab.o1[MedMod])*H$1203)+G$1203,"")</f>
        <v/>
      </c>
      <c r="S393" s="122" t="str">
        <f>IF(Tab.o1[[#This Row],[a1]]=1,((Tab.o1[[#This Row],[MedMod]]-AVERAGE(Tab.o1[MedMod]))/_xlfn.STDEV.P(Tab.o1[MedMod])*H$1204)+G$1204,"")</f>
        <v/>
      </c>
      <c r="T393" s="123" t="str">
        <f>IF(Tab.o1[[#This Row],[a1]]=1,Tab.o1[[#This Row],[Z-]]*_xlfn.STDEV.P(Tab.o1[B])+AVERAGE(Tab.o1[B]),"")</f>
        <v/>
      </c>
      <c r="U393" s="123" t="str">
        <f>IF(Tab.o1[[#This Row],[a1]]=1,Tab.o1[[#This Row],[z+]]*_xlfn.STDEV.P(Tab.o1[B])+AVERAGE(Tab.o1[B]),"")</f>
        <v/>
      </c>
      <c r="V393" s="124" t="str">
        <f>IF(Tab.o1[[#This Row],[a1]]=1,ABS((ABS(Tab.o1[[#This Row],[Red]]-Tab.o1[[#This Row],[Blue]]))),"")</f>
        <v/>
      </c>
      <c r="W393" s="125" t="str">
        <f>IF(Tab.o1[[#This Row],[a1]]=1,IF(W$3=0,1,Tab.o1[[#This Row],[Amp.]]*1/_xlfn.MINIFS(Tab.o1[Amp.],Tab.o1[Amp.],"&lt;&gt;0")),"")</f>
        <v/>
      </c>
      <c r="X393" s="126" t="str">
        <f>IF(Tab.o1[[#This Row],[a1]]=1,IF(ISNUMBER(Tab.o1[[#This Row],[i.]]),NORMDIST(Tab.o1[[#This Row],[Za]],0,1,FALSE)*Tab.o1[[#This Row],[i.]],AP$3),"")</f>
        <v/>
      </c>
      <c r="Y393" s="126" t="str">
        <f>IF(Tab.o1[[#This Row],[a1]]=1,0.01+0.94*Tab.o1[[#This Row],[PDF]]/MAX(Tab.o1[PDF]),"")</f>
        <v/>
      </c>
      <c r="Z393" s="126" t="str">
        <f>IF(Tab.o1[[#This Row],[a1]]=1,0.01+0.94*Tab.o1[[#This Row],[W1_PDF]]/MAX(Tab.o1[W1_PDF]),"")</f>
        <v/>
      </c>
      <c r="AA393" s="118" t="str">
        <f>IF(Tab.o1[[#This Row],[a1]]=1,ABS([1]!T.in.A[[#This Row],[oo6]]),"")</f>
        <v/>
      </c>
      <c r="AB393" s="127" t="str">
        <f>IF(Tab.o1[[#This Row],[a1]]=1,IF(AE$3=0,"",IF(AB$3=0,ABS([1]!T.in.A[[#This Row],[oo9]]),ABS(Tab.o1[[#This Row],[DIF_Target.]]*Tab.o1[[#This Row],[W1_PDF]]))),"")</f>
        <v/>
      </c>
      <c r="AC393" s="127" t="str">
        <f>IF(G$1=1,"",IF(Tab.o1[[#This Row],[a1]]=1,Tab.o1[[#This Row],[Wr]]^2,""))</f>
        <v/>
      </c>
      <c r="AD393" s="118" t="str">
        <f>IF(Tab.o1[[#This Row],[a1]]=1,IF(AE$3=0,"",Tab.o1[[#This Row],[Wr2]]/SUM(Tab.o1[Wr2])),"")</f>
        <v/>
      </c>
      <c r="AE393" s="128" t="str">
        <f>IF(Tab.o1[[#This Row],[a1]]=1,[1]!T.in.A[[#This Row],[oo10]],"")</f>
        <v/>
      </c>
      <c r="AF393" s="118" t="str">
        <f>IF(Tab.o1[[#This Row],[a1]]=1,ABS(Tab.o1[[#This Row],[DIF_Target.]]*Tab.o1[[#This Row],[PDF2]]*Tab.o1[[#This Row],[IN]]),"")</f>
        <v/>
      </c>
      <c r="AG393" s="129" t="str">
        <f>IF(Tab.o1[[#This Row],[a1]]=1,Tab.o1[[#This Row],[rW]]^2,"")</f>
        <v/>
      </c>
      <c r="AH393" s="130" t="str">
        <f>IF(Tab.o1[[#This Row],[a1]]=1,IF(AH$3=0,Tab.o1[[#This Row],[rW2]],0.01+0.94*Tab.o1[[#This Row],[rW2]]/SUM(Tab.o1[rW2])),"")</f>
        <v/>
      </c>
      <c r="AI393" s="128" t="str">
        <f>IF(Tab.o1[[#This Row],[a1]]=1,1/Tab.o1[[#This Row],[PDF]],"")</f>
        <v/>
      </c>
      <c r="AJ393" s="131" t="str">
        <f>IF(Tab.o1[[#This Row],[a1]]=1,[1]!T_AA[[#This Row],[IN'']]*[1]!T_AA[[#This Row],[Qde'']],"")</f>
        <v/>
      </c>
      <c r="AK393" s="132" t="str">
        <f>IF(Tab.o1[[#This Row],[a1]]=1,IF(AK$1=1,Tab.o1[[#This Row],[MED]]+Tab.o1[[#This Row],[MOD]]-Tab.o1[[#This Row],[MED]],""),"")</f>
        <v/>
      </c>
      <c r="AL393" s="133" t="str">
        <f>IF(Tab.o1[[#This Row],[a1]]=1,[1]!T.in.A[[#This Row],[oo16]],"")</f>
        <v/>
      </c>
      <c r="AM393" s="133" t="str">
        <f>IF(Tab.o1[[#This Row],[a1]]=1,IF(AM$3=1,[1]!T.in.A[[#This Row],[Σo16]],""),"")</f>
        <v/>
      </c>
      <c r="AN393" s="126" t="str">
        <f>IF(Tab.o1[[#This Row],[a1]]=1,[1]!T.in.A[[#This Row],[Σp5]],"")</f>
        <v/>
      </c>
      <c r="AO393" s="126" t="str">
        <f>IF(Tab.o1[[#This Row],[a1]]=1,IF(AO$3=1,[1]!T.in.A[[#This Row],[Σp5]],""),"")</f>
        <v/>
      </c>
      <c r="AP393" s="110" t="str">
        <f>IF(Tab.o1[[#This Row],[a1]]=1,IF(ISNUMBER(Tab.o1[[#This Row],[i.]]),NORMDIST(Tab.o1[[#This Row],[Za]],0,1,FALSE)*Tab.o1[[#This Row],[i.]],0),"")</f>
        <v/>
      </c>
      <c r="AQ393" s="125" t="str">
        <f>IF(Tab.o1[[#This Row],[a1]]=1,ABS(Tab.o1[[#This Row],[MOD]]-AVERAGE(Tab.o1[MOD])),"")</f>
        <v/>
      </c>
      <c r="AR393" s="134" t="str">
        <f>IF(Tab.o1[[#This Row],[a1]]=1,Tab.o1[[#This Row],[OBS]]/SUM(Tab.o1[OBS]),"")</f>
        <v/>
      </c>
      <c r="AS393" s="135" t="str">
        <f>IF(ISNUMBER(Tab.o1[[#This Row],[a1]]),ROW()-4,"")</f>
        <v/>
      </c>
      <c r="AT393" s="136" t="str">
        <f>Tab.o1[[#This Row],[MOD]]</f>
        <v/>
      </c>
      <c r="AU393" s="137" t="str">
        <f t="shared" si="25"/>
        <v/>
      </c>
      <c r="AV393" s="138" t="str">
        <f t="shared" si="26"/>
        <v/>
      </c>
      <c r="AW393" s="138" t="str">
        <f t="shared" si="27"/>
        <v/>
      </c>
      <c r="AX393" s="139" t="str">
        <f>[1]!T.in.A[[#This Row],[ID_T_manu]]</f>
        <v/>
      </c>
      <c r="AY393" s="140" t="str">
        <f>IF(ISNUMBER(Tab.o1[[#This Row],[a1]]),IF(AND(Tab.o1[[#This Row],[a1]]=1,Tab.o1[[#This Row],[b1]]&lt;=AY$4),#REF!,AY392),"")</f>
        <v/>
      </c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</row>
    <row r="394" spans="1:79" ht="15.75" hidden="1">
      <c r="A394" s="109">
        <v>1.0000000000000001E-5</v>
      </c>
      <c r="B394" s="110">
        <f t="shared" si="24"/>
        <v>394</v>
      </c>
      <c r="C394" s="111" t="str">
        <f>IF(C$1=[1]!T.in.A[[#This Row],[oo2]],1,"")</f>
        <v/>
      </c>
      <c r="D394" s="112" t="str">
        <f>IF(Tab.o1[[#This Row],[a1]]=1,IF(SUM(C394:C395)=0,0,IF(SUM(C393:C394)=1,1,IF(SUM(C393:C395)&gt;1,D393+1,0))),"")</f>
        <v/>
      </c>
      <c r="E394" s="113" t="str">
        <f>IF(Tab.o1[[#This Row],[a1]]=1,[1]!T.in.A[[#This Row],[oo1]],"")</f>
        <v/>
      </c>
      <c r="F394" s="113" t="str">
        <f>IF(Tab.o1[[#This Row],[a1]]=1,[1]!T.in.A[[#This Row],[pp1]],"")</f>
        <v/>
      </c>
      <c r="G394" s="114" t="str">
        <f>IF(Tab.o1[[#This Row],[a1]]=1,G$2+IF(G$1=1,0,Tab.o1[[#This Row],[.x1]])+[1]!T.in.A[[#This Row],[oo3]],"")</f>
        <v/>
      </c>
      <c r="H394" s="115" t="str">
        <f>IF(Tab.o1[[#This Row],[a1]]=1,IF(H$2=0,0,IF(G$1=1,0,Tab.o1[[#This Row],[.x1]])+[1]!T.in.A[[#This Row],[oo4]]),"")</f>
        <v/>
      </c>
      <c r="I394" s="116" t="str">
        <f>IF(Tab.o1[[#This Row],[a1]]=1,IF(J$2=0,Tab.o1[[#This Row],[MED]],Tab.o1[[#This Row],[MOD]]),"")</f>
        <v/>
      </c>
      <c r="J394" s="116" t="str">
        <f>IF(Tab.o1[[#This Row],[a1]]=1,((Tab.o1[[#This Row],[DIF_Target.]]-AVERAGE(Tab.o1[DIF_Target.]))/_xlfn.STDEV.P(Tab.o1[DIF_Target.])),"")</f>
        <v/>
      </c>
      <c r="K394" s="117" t="str">
        <f>IF(Tab.o1[[#This Row],[a1]]=1,IF(J$2=0,Tab.o1[[#This Row],[MOD]]-Tab.o1[[#This Row],[B]],IF(J$2=1,0,-Tab.o1[[#This Row],[MED]])+Tab.o1[[#This Row],[B]]),"")</f>
        <v/>
      </c>
      <c r="L394" s="117" t="str">
        <f ca="1">IF(Tab.o1[[#This Row],[DIF_Target]]=0,IF(L$2=0,Tab.o1[[#This Row],[DIF_Target]],AVERAGE(OFFSET(Tab.o1[[#This Row],[DIF_Target]],1,0,L$3,1)))/3,Tab.o1[[#This Row],[DIF_Target]])</f>
        <v/>
      </c>
      <c r="M394" s="118" t="str">
        <f>IF(Tab.o1[[#This Row],[a1]]=1,NORMSDIST(Tab.o1[[#This Row],[Za]]),"")</f>
        <v/>
      </c>
      <c r="N394" s="119" t="str">
        <f>IF(Tab.o1[[#This Row],[a1]]=1,((Tab.o1[[#This Row],[MedMod]]-AVERAGE(Tab.o1[MedMod]))/_xlfn.STDEV.P(Tab.o1[MedMod])*H$1205)+G$1205,"")</f>
        <v/>
      </c>
      <c r="O394" s="141" t="str">
        <f>IF(Tab.o1[[#This Row],[a1]]=1,Tab.o1[[#This Row],[Zb]]*_xlfn.STDEV.P(Tab.o1[MedMod])+AVERAGE(Tab.o1[MedMod]),"")</f>
        <v/>
      </c>
      <c r="P394" s="117" t="str">
        <f ca="1">IF(Tab.o1[[#This Row],[B]]=0,AVERAGE(OFFSET(Tab.o1[[#This Row],[B]],1,0,L$3,1)),Tab.o1[[#This Row],[B]])</f>
        <v/>
      </c>
      <c r="Q394" s="121" t="str">
        <f>IF(Tab.o1[[#This Row],[a1]]=1,NORMSDIST(Tab.o1[[#This Row],[Zb]]),"")</f>
        <v/>
      </c>
      <c r="R394" s="122" t="str">
        <f>IF(Tab.o1[[#This Row],[a1]]=1,((Tab.o1[[#This Row],[MedMod]]-AVERAGE(Tab.o1[MedMod]))/_xlfn.STDEV.P(Tab.o1[MedMod])*H$1203)+G$1203,"")</f>
        <v/>
      </c>
      <c r="S394" s="122" t="str">
        <f>IF(Tab.o1[[#This Row],[a1]]=1,((Tab.o1[[#This Row],[MedMod]]-AVERAGE(Tab.o1[MedMod]))/_xlfn.STDEV.P(Tab.o1[MedMod])*H$1204)+G$1204,"")</f>
        <v/>
      </c>
      <c r="T394" s="123" t="str">
        <f>IF(Tab.o1[[#This Row],[a1]]=1,Tab.o1[[#This Row],[Z-]]*_xlfn.STDEV.P(Tab.o1[B])+AVERAGE(Tab.o1[B]),"")</f>
        <v/>
      </c>
      <c r="U394" s="123" t="str">
        <f>IF(Tab.o1[[#This Row],[a1]]=1,Tab.o1[[#This Row],[z+]]*_xlfn.STDEV.P(Tab.o1[B])+AVERAGE(Tab.o1[B]),"")</f>
        <v/>
      </c>
      <c r="V394" s="124" t="str">
        <f>IF(Tab.o1[[#This Row],[a1]]=1,ABS((ABS(Tab.o1[[#This Row],[Red]]-Tab.o1[[#This Row],[Blue]]))),"")</f>
        <v/>
      </c>
      <c r="W394" s="125" t="str">
        <f>IF(Tab.o1[[#This Row],[a1]]=1,IF(W$3=0,1,Tab.o1[[#This Row],[Amp.]]*1/_xlfn.MINIFS(Tab.o1[Amp.],Tab.o1[Amp.],"&lt;&gt;0")),"")</f>
        <v/>
      </c>
      <c r="X394" s="126" t="str">
        <f>IF(Tab.o1[[#This Row],[a1]]=1,IF(ISNUMBER(Tab.o1[[#This Row],[i.]]),NORMDIST(Tab.o1[[#This Row],[Za]],0,1,FALSE)*Tab.o1[[#This Row],[i.]],AP$3),"")</f>
        <v/>
      </c>
      <c r="Y394" s="126" t="str">
        <f>IF(Tab.o1[[#This Row],[a1]]=1,0.01+0.94*Tab.o1[[#This Row],[PDF]]/MAX(Tab.o1[PDF]),"")</f>
        <v/>
      </c>
      <c r="Z394" s="126" t="str">
        <f>IF(Tab.o1[[#This Row],[a1]]=1,0.01+0.94*Tab.o1[[#This Row],[W1_PDF]]/MAX(Tab.o1[W1_PDF]),"")</f>
        <v/>
      </c>
      <c r="AA394" s="118" t="str">
        <f>IF(Tab.o1[[#This Row],[a1]]=1,ABS([1]!T.in.A[[#This Row],[oo6]]),"")</f>
        <v/>
      </c>
      <c r="AB394" s="127" t="str">
        <f>IF(Tab.o1[[#This Row],[a1]]=1,IF(AE$3=0,"",IF(AB$3=0,ABS([1]!T.in.A[[#This Row],[oo9]]),ABS(Tab.o1[[#This Row],[DIF_Target.]]*Tab.o1[[#This Row],[W1_PDF]]))),"")</f>
        <v/>
      </c>
      <c r="AC394" s="127" t="str">
        <f>IF(G$1=1,"",IF(Tab.o1[[#This Row],[a1]]=1,Tab.o1[[#This Row],[Wr]]^2,""))</f>
        <v/>
      </c>
      <c r="AD394" s="118" t="str">
        <f>IF(Tab.o1[[#This Row],[a1]]=1,IF(AE$3=0,"",Tab.o1[[#This Row],[Wr2]]/SUM(Tab.o1[Wr2])),"")</f>
        <v/>
      </c>
      <c r="AE394" s="128" t="str">
        <f>IF(Tab.o1[[#This Row],[a1]]=1,[1]!T.in.A[[#This Row],[oo10]],"")</f>
        <v/>
      </c>
      <c r="AF394" s="118" t="str">
        <f>IF(Tab.o1[[#This Row],[a1]]=1,ABS(Tab.o1[[#This Row],[DIF_Target.]]*Tab.o1[[#This Row],[PDF2]]*Tab.o1[[#This Row],[IN]]),"")</f>
        <v/>
      </c>
      <c r="AG394" s="129" t="str">
        <f>IF(Tab.o1[[#This Row],[a1]]=1,Tab.o1[[#This Row],[rW]]^2,"")</f>
        <v/>
      </c>
      <c r="AH394" s="130" t="str">
        <f>IF(Tab.o1[[#This Row],[a1]]=1,IF(AH$3=0,Tab.o1[[#This Row],[rW2]],0.01+0.94*Tab.o1[[#This Row],[rW2]]/SUM(Tab.o1[rW2])),"")</f>
        <v/>
      </c>
      <c r="AI394" s="128" t="str">
        <f>IF(Tab.o1[[#This Row],[a1]]=1,1/Tab.o1[[#This Row],[PDF]],"")</f>
        <v/>
      </c>
      <c r="AJ394" s="131" t="str">
        <f>IF(Tab.o1[[#This Row],[a1]]=1,[1]!T_AA[[#This Row],[IN'']]*[1]!T_AA[[#This Row],[Qde'']],"")</f>
        <v/>
      </c>
      <c r="AK394" s="132" t="str">
        <f>IF(Tab.o1[[#This Row],[a1]]=1,IF(AK$1=1,Tab.o1[[#This Row],[MED]]+Tab.o1[[#This Row],[MOD]]-Tab.o1[[#This Row],[MED]],""),"")</f>
        <v/>
      </c>
      <c r="AL394" s="133" t="str">
        <f>IF(Tab.o1[[#This Row],[a1]]=1,[1]!T.in.A[[#This Row],[oo16]],"")</f>
        <v/>
      </c>
      <c r="AM394" s="133" t="str">
        <f>IF(Tab.o1[[#This Row],[a1]]=1,IF(AM$3=1,[1]!T.in.A[[#This Row],[Σo16]],""),"")</f>
        <v/>
      </c>
      <c r="AN394" s="126" t="str">
        <f>IF(Tab.o1[[#This Row],[a1]]=1,[1]!T.in.A[[#This Row],[Σp5]],"")</f>
        <v/>
      </c>
      <c r="AO394" s="126" t="str">
        <f>IF(Tab.o1[[#This Row],[a1]]=1,IF(AO$3=1,[1]!T.in.A[[#This Row],[Σp5]],""),"")</f>
        <v/>
      </c>
      <c r="AP394" s="110" t="str">
        <f>IF(Tab.o1[[#This Row],[a1]]=1,IF(ISNUMBER(Tab.o1[[#This Row],[i.]]),NORMDIST(Tab.o1[[#This Row],[Za]],0,1,FALSE)*Tab.o1[[#This Row],[i.]],0),"")</f>
        <v/>
      </c>
      <c r="AQ394" s="125" t="str">
        <f>IF(Tab.o1[[#This Row],[a1]]=1,ABS(Tab.o1[[#This Row],[MOD]]-AVERAGE(Tab.o1[MOD])),"")</f>
        <v/>
      </c>
      <c r="AR394" s="134" t="str">
        <f>IF(Tab.o1[[#This Row],[a1]]=1,Tab.o1[[#This Row],[OBS]]/SUM(Tab.o1[OBS]),"")</f>
        <v/>
      </c>
      <c r="AS394" s="135" t="str">
        <f>IF(ISNUMBER(Tab.o1[[#This Row],[a1]]),ROW()-4,"")</f>
        <v/>
      </c>
      <c r="AT394" s="136" t="str">
        <f>Tab.o1[[#This Row],[MOD]]</f>
        <v/>
      </c>
      <c r="AU394" s="137" t="str">
        <f t="shared" si="25"/>
        <v/>
      </c>
      <c r="AV394" s="138" t="str">
        <f t="shared" si="26"/>
        <v/>
      </c>
      <c r="AW394" s="138" t="str">
        <f t="shared" si="27"/>
        <v/>
      </c>
      <c r="AX394" s="139" t="str">
        <f>[1]!T.in.A[[#This Row],[ID_T_manu]]</f>
        <v/>
      </c>
      <c r="AY394" s="140" t="str">
        <f>IF(ISNUMBER(Tab.o1[[#This Row],[a1]]),IF(AND(Tab.o1[[#This Row],[a1]]=1,Tab.o1[[#This Row],[b1]]&lt;=AY$4),#REF!,AY393),"")</f>
        <v/>
      </c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</row>
    <row r="395" spans="1:79" ht="15.75" hidden="1">
      <c r="A395" s="109">
        <v>9.0000000000000002E-6</v>
      </c>
      <c r="B395" s="110">
        <f t="shared" si="24"/>
        <v>395</v>
      </c>
      <c r="C395" s="111" t="str">
        <f>IF(C$1=[1]!T.in.A[[#This Row],[oo2]],1,"")</f>
        <v/>
      </c>
      <c r="D395" s="112" t="str">
        <f>IF(Tab.o1[[#This Row],[a1]]=1,IF(SUM(C395:C396)=0,0,IF(SUM(C394:C395)=1,1,IF(SUM(C394:C396)&gt;1,D394+1,0))),"")</f>
        <v/>
      </c>
      <c r="E395" s="113" t="str">
        <f>IF(Tab.o1[[#This Row],[a1]]=1,[1]!T.in.A[[#This Row],[oo1]],"")</f>
        <v/>
      </c>
      <c r="F395" s="113" t="str">
        <f>IF(Tab.o1[[#This Row],[a1]]=1,[1]!T.in.A[[#This Row],[pp1]],"")</f>
        <v/>
      </c>
      <c r="G395" s="114" t="str">
        <f>IF(Tab.o1[[#This Row],[a1]]=1,G$2+IF(G$1=1,0,Tab.o1[[#This Row],[.x1]])+[1]!T.in.A[[#This Row],[oo3]],"")</f>
        <v/>
      </c>
      <c r="H395" s="115" t="str">
        <f>IF(Tab.o1[[#This Row],[a1]]=1,IF(H$2=0,0,IF(G$1=1,0,Tab.o1[[#This Row],[.x1]])+[1]!T.in.A[[#This Row],[oo4]]),"")</f>
        <v/>
      </c>
      <c r="I395" s="116" t="str">
        <f>IF(Tab.o1[[#This Row],[a1]]=1,IF(J$2=0,Tab.o1[[#This Row],[MED]],Tab.o1[[#This Row],[MOD]]),"")</f>
        <v/>
      </c>
      <c r="J395" s="116" t="str">
        <f>IF(Tab.o1[[#This Row],[a1]]=1,((Tab.o1[[#This Row],[DIF_Target.]]-AVERAGE(Tab.o1[DIF_Target.]))/_xlfn.STDEV.P(Tab.o1[DIF_Target.])),"")</f>
        <v/>
      </c>
      <c r="K395" s="117" t="str">
        <f>IF(Tab.o1[[#This Row],[a1]]=1,IF(J$2=0,Tab.o1[[#This Row],[MOD]]-Tab.o1[[#This Row],[B]],IF(J$2=1,0,-Tab.o1[[#This Row],[MED]])+Tab.o1[[#This Row],[B]]),"")</f>
        <v/>
      </c>
      <c r="L395" s="117" t="str">
        <f ca="1">IF(Tab.o1[[#This Row],[DIF_Target]]=0,IF(L$2=0,Tab.o1[[#This Row],[DIF_Target]],AVERAGE(OFFSET(Tab.o1[[#This Row],[DIF_Target]],1,0,L$3,1)))/3,Tab.o1[[#This Row],[DIF_Target]])</f>
        <v/>
      </c>
      <c r="M395" s="118" t="str">
        <f>IF(Tab.o1[[#This Row],[a1]]=1,NORMSDIST(Tab.o1[[#This Row],[Za]]),"")</f>
        <v/>
      </c>
      <c r="N395" s="119" t="str">
        <f>IF(Tab.o1[[#This Row],[a1]]=1,((Tab.o1[[#This Row],[MedMod]]-AVERAGE(Tab.o1[MedMod]))/_xlfn.STDEV.P(Tab.o1[MedMod])*H$1205)+G$1205,"")</f>
        <v/>
      </c>
      <c r="O395" s="141" t="str">
        <f>IF(Tab.o1[[#This Row],[a1]]=1,Tab.o1[[#This Row],[Zb]]*_xlfn.STDEV.P(Tab.o1[MedMod])+AVERAGE(Tab.o1[MedMod]),"")</f>
        <v/>
      </c>
      <c r="P395" s="117" t="str">
        <f ca="1">IF(Tab.o1[[#This Row],[B]]=0,AVERAGE(OFFSET(Tab.o1[[#This Row],[B]],1,0,L$3,1)),Tab.o1[[#This Row],[B]])</f>
        <v/>
      </c>
      <c r="Q395" s="121" t="str">
        <f>IF(Tab.o1[[#This Row],[a1]]=1,NORMSDIST(Tab.o1[[#This Row],[Zb]]),"")</f>
        <v/>
      </c>
      <c r="R395" s="122" t="str">
        <f>IF(Tab.o1[[#This Row],[a1]]=1,((Tab.o1[[#This Row],[MedMod]]-AVERAGE(Tab.o1[MedMod]))/_xlfn.STDEV.P(Tab.o1[MedMod])*H$1203)+G$1203,"")</f>
        <v/>
      </c>
      <c r="S395" s="122" t="str">
        <f>IF(Tab.o1[[#This Row],[a1]]=1,((Tab.o1[[#This Row],[MedMod]]-AVERAGE(Tab.o1[MedMod]))/_xlfn.STDEV.P(Tab.o1[MedMod])*H$1204)+G$1204,"")</f>
        <v/>
      </c>
      <c r="T395" s="123" t="str">
        <f>IF(Tab.o1[[#This Row],[a1]]=1,Tab.o1[[#This Row],[Z-]]*_xlfn.STDEV.P(Tab.o1[B])+AVERAGE(Tab.o1[B]),"")</f>
        <v/>
      </c>
      <c r="U395" s="123" t="str">
        <f>IF(Tab.o1[[#This Row],[a1]]=1,Tab.o1[[#This Row],[z+]]*_xlfn.STDEV.P(Tab.o1[B])+AVERAGE(Tab.o1[B]),"")</f>
        <v/>
      </c>
      <c r="V395" s="124" t="str">
        <f>IF(Tab.o1[[#This Row],[a1]]=1,ABS((ABS(Tab.o1[[#This Row],[Red]]-Tab.o1[[#This Row],[Blue]]))),"")</f>
        <v/>
      </c>
      <c r="W395" s="125" t="str">
        <f>IF(Tab.o1[[#This Row],[a1]]=1,IF(W$3=0,1,Tab.o1[[#This Row],[Amp.]]*1/_xlfn.MINIFS(Tab.o1[Amp.],Tab.o1[Amp.],"&lt;&gt;0")),"")</f>
        <v/>
      </c>
      <c r="X395" s="126" t="str">
        <f>IF(Tab.o1[[#This Row],[a1]]=1,IF(ISNUMBER(Tab.o1[[#This Row],[i.]]),NORMDIST(Tab.o1[[#This Row],[Za]],0,1,FALSE)*Tab.o1[[#This Row],[i.]],AP$3),"")</f>
        <v/>
      </c>
      <c r="Y395" s="126" t="str">
        <f>IF(Tab.o1[[#This Row],[a1]]=1,0.01+0.94*Tab.o1[[#This Row],[PDF]]/MAX(Tab.o1[PDF]),"")</f>
        <v/>
      </c>
      <c r="Z395" s="126" t="str">
        <f>IF(Tab.o1[[#This Row],[a1]]=1,0.01+0.94*Tab.o1[[#This Row],[W1_PDF]]/MAX(Tab.o1[W1_PDF]),"")</f>
        <v/>
      </c>
      <c r="AA395" s="118" t="str">
        <f>IF(Tab.o1[[#This Row],[a1]]=1,ABS([1]!T.in.A[[#This Row],[oo6]]),"")</f>
        <v/>
      </c>
      <c r="AB395" s="127" t="str">
        <f>IF(Tab.o1[[#This Row],[a1]]=1,IF(AE$3=0,"",IF(AB$3=0,ABS([1]!T.in.A[[#This Row],[oo9]]),ABS(Tab.o1[[#This Row],[DIF_Target.]]*Tab.o1[[#This Row],[W1_PDF]]))),"")</f>
        <v/>
      </c>
      <c r="AC395" s="127" t="str">
        <f>IF(G$1=1,"",IF(Tab.o1[[#This Row],[a1]]=1,Tab.o1[[#This Row],[Wr]]^2,""))</f>
        <v/>
      </c>
      <c r="AD395" s="118" t="str">
        <f>IF(Tab.o1[[#This Row],[a1]]=1,IF(AE$3=0,"",Tab.o1[[#This Row],[Wr2]]/SUM(Tab.o1[Wr2])),"")</f>
        <v/>
      </c>
      <c r="AE395" s="128" t="str">
        <f>IF(Tab.o1[[#This Row],[a1]]=1,[1]!T.in.A[[#This Row],[oo10]],"")</f>
        <v/>
      </c>
      <c r="AF395" s="118" t="str">
        <f>IF(Tab.o1[[#This Row],[a1]]=1,ABS(Tab.o1[[#This Row],[DIF_Target.]]*Tab.o1[[#This Row],[PDF2]]*Tab.o1[[#This Row],[IN]]),"")</f>
        <v/>
      </c>
      <c r="AG395" s="129" t="str">
        <f>IF(Tab.o1[[#This Row],[a1]]=1,Tab.o1[[#This Row],[rW]]^2,"")</f>
        <v/>
      </c>
      <c r="AH395" s="130" t="str">
        <f>IF(Tab.o1[[#This Row],[a1]]=1,IF(AH$3=0,Tab.o1[[#This Row],[rW2]],0.01+0.94*Tab.o1[[#This Row],[rW2]]/SUM(Tab.o1[rW2])),"")</f>
        <v/>
      </c>
      <c r="AI395" s="128" t="str">
        <f>IF(Tab.o1[[#This Row],[a1]]=1,1/Tab.o1[[#This Row],[PDF]],"")</f>
        <v/>
      </c>
      <c r="AJ395" s="131" t="str">
        <f>IF(Tab.o1[[#This Row],[a1]]=1,[1]!T_AA[[#This Row],[IN'']]*[1]!T_AA[[#This Row],[Qde'']],"")</f>
        <v/>
      </c>
      <c r="AK395" s="132" t="str">
        <f>IF(Tab.o1[[#This Row],[a1]]=1,IF(AK$1=1,Tab.o1[[#This Row],[MED]]+Tab.o1[[#This Row],[MOD]]-Tab.o1[[#This Row],[MED]],""),"")</f>
        <v/>
      </c>
      <c r="AL395" s="133" t="str">
        <f>IF(Tab.o1[[#This Row],[a1]]=1,[1]!T.in.A[[#This Row],[oo16]],"")</f>
        <v/>
      </c>
      <c r="AM395" s="133" t="str">
        <f>IF(Tab.o1[[#This Row],[a1]]=1,IF(AM$3=1,[1]!T.in.A[[#This Row],[Σo16]],""),"")</f>
        <v/>
      </c>
      <c r="AN395" s="126" t="str">
        <f>IF(Tab.o1[[#This Row],[a1]]=1,[1]!T.in.A[[#This Row],[Σp5]],"")</f>
        <v/>
      </c>
      <c r="AO395" s="126" t="str">
        <f>IF(Tab.o1[[#This Row],[a1]]=1,IF(AO$3=1,[1]!T.in.A[[#This Row],[Σp5]],""),"")</f>
        <v/>
      </c>
      <c r="AP395" s="110" t="str">
        <f>IF(Tab.o1[[#This Row],[a1]]=1,IF(ISNUMBER(Tab.o1[[#This Row],[i.]]),NORMDIST(Tab.o1[[#This Row],[Za]],0,1,FALSE)*Tab.o1[[#This Row],[i.]],0),"")</f>
        <v/>
      </c>
      <c r="AQ395" s="125" t="str">
        <f>IF(Tab.o1[[#This Row],[a1]]=1,ABS(Tab.o1[[#This Row],[MOD]]-AVERAGE(Tab.o1[MOD])),"")</f>
        <v/>
      </c>
      <c r="AR395" s="134" t="str">
        <f>IF(Tab.o1[[#This Row],[a1]]=1,Tab.o1[[#This Row],[OBS]]/SUM(Tab.o1[OBS]),"")</f>
        <v/>
      </c>
      <c r="AS395" s="135" t="str">
        <f>IF(ISNUMBER(Tab.o1[[#This Row],[a1]]),ROW()-4,"")</f>
        <v/>
      </c>
      <c r="AT395" s="136" t="str">
        <f>Tab.o1[[#This Row],[MOD]]</f>
        <v/>
      </c>
      <c r="AU395" s="137" t="str">
        <f t="shared" si="25"/>
        <v/>
      </c>
      <c r="AV395" s="138" t="str">
        <f t="shared" si="26"/>
        <v/>
      </c>
      <c r="AW395" s="138" t="str">
        <f t="shared" si="27"/>
        <v/>
      </c>
      <c r="AX395" s="139" t="str">
        <f>[1]!T.in.A[[#This Row],[ID_T_manu]]</f>
        <v/>
      </c>
      <c r="AY395" s="140" t="str">
        <f>IF(ISNUMBER(Tab.o1[[#This Row],[a1]]),IF(AND(Tab.o1[[#This Row],[a1]]=1,Tab.o1[[#This Row],[b1]]&lt;=AY$4),#REF!,AY394),"")</f>
        <v/>
      </c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</row>
    <row r="396" spans="1:79" ht="15.75" hidden="1">
      <c r="A396" s="109">
        <v>5.0000000000000004E-6</v>
      </c>
      <c r="B396" s="110">
        <f t="shared" si="24"/>
        <v>396</v>
      </c>
      <c r="C396" s="111" t="str">
        <f>IF(C$1=[1]!T.in.A[[#This Row],[oo2]],1,"")</f>
        <v/>
      </c>
      <c r="D396" s="112" t="str">
        <f>IF(Tab.o1[[#This Row],[a1]]=1,IF(SUM(C396:C397)=0,0,IF(SUM(C395:C396)=1,1,IF(SUM(C395:C397)&gt;1,D395+1,0))),"")</f>
        <v/>
      </c>
      <c r="E396" s="113" t="str">
        <f>IF(Tab.o1[[#This Row],[a1]]=1,[1]!T.in.A[[#This Row],[oo1]],"")</f>
        <v/>
      </c>
      <c r="F396" s="113" t="str">
        <f>IF(Tab.o1[[#This Row],[a1]]=1,[1]!T.in.A[[#This Row],[pp1]],"")</f>
        <v/>
      </c>
      <c r="G396" s="114" t="str">
        <f>IF(Tab.o1[[#This Row],[a1]]=1,G$2+IF(G$1=1,0,Tab.o1[[#This Row],[.x1]])+[1]!T.in.A[[#This Row],[oo3]],"")</f>
        <v/>
      </c>
      <c r="H396" s="115" t="str">
        <f>IF(Tab.o1[[#This Row],[a1]]=1,IF(H$2=0,0,IF(G$1=1,0,Tab.o1[[#This Row],[.x1]])+[1]!T.in.A[[#This Row],[oo4]]),"")</f>
        <v/>
      </c>
      <c r="I396" s="116" t="str">
        <f>IF(Tab.o1[[#This Row],[a1]]=1,IF(J$2=0,Tab.o1[[#This Row],[MED]],Tab.o1[[#This Row],[MOD]]),"")</f>
        <v/>
      </c>
      <c r="J396" s="116" t="str">
        <f>IF(Tab.o1[[#This Row],[a1]]=1,((Tab.o1[[#This Row],[DIF_Target.]]-AVERAGE(Tab.o1[DIF_Target.]))/_xlfn.STDEV.P(Tab.o1[DIF_Target.])),"")</f>
        <v/>
      </c>
      <c r="K396" s="117" t="str">
        <f>IF(Tab.o1[[#This Row],[a1]]=1,IF(J$2=0,Tab.o1[[#This Row],[MOD]]-Tab.o1[[#This Row],[B]],IF(J$2=1,0,-Tab.o1[[#This Row],[MED]])+Tab.o1[[#This Row],[B]]),"")</f>
        <v/>
      </c>
      <c r="L396" s="117" t="str">
        <f ca="1">IF(Tab.o1[[#This Row],[DIF_Target]]=0,IF(L$2=0,Tab.o1[[#This Row],[DIF_Target]],AVERAGE(OFFSET(Tab.o1[[#This Row],[DIF_Target]],1,0,L$3,1)))/3,Tab.o1[[#This Row],[DIF_Target]])</f>
        <v/>
      </c>
      <c r="M396" s="118" t="str">
        <f>IF(Tab.o1[[#This Row],[a1]]=1,NORMSDIST(Tab.o1[[#This Row],[Za]]),"")</f>
        <v/>
      </c>
      <c r="N396" s="119" t="str">
        <f>IF(Tab.o1[[#This Row],[a1]]=1,((Tab.o1[[#This Row],[MedMod]]-AVERAGE(Tab.o1[MedMod]))/_xlfn.STDEV.P(Tab.o1[MedMod])*H$1205)+G$1205,"")</f>
        <v/>
      </c>
      <c r="O396" s="141" t="str">
        <f>IF(Tab.o1[[#This Row],[a1]]=1,Tab.o1[[#This Row],[Zb]]*_xlfn.STDEV.P(Tab.o1[MedMod])+AVERAGE(Tab.o1[MedMod]),"")</f>
        <v/>
      </c>
      <c r="P396" s="117" t="str">
        <f ca="1">IF(Tab.o1[[#This Row],[B]]=0,AVERAGE(OFFSET(Tab.o1[[#This Row],[B]],1,0,L$3,1)),Tab.o1[[#This Row],[B]])</f>
        <v/>
      </c>
      <c r="Q396" s="121" t="str">
        <f>IF(Tab.o1[[#This Row],[a1]]=1,NORMSDIST(Tab.o1[[#This Row],[Zb]]),"")</f>
        <v/>
      </c>
      <c r="R396" s="122" t="str">
        <f>IF(Tab.o1[[#This Row],[a1]]=1,((Tab.o1[[#This Row],[MedMod]]-AVERAGE(Tab.o1[MedMod]))/_xlfn.STDEV.P(Tab.o1[MedMod])*H$1203)+G$1203,"")</f>
        <v/>
      </c>
      <c r="S396" s="122" t="str">
        <f>IF(Tab.o1[[#This Row],[a1]]=1,((Tab.o1[[#This Row],[MedMod]]-AVERAGE(Tab.o1[MedMod]))/_xlfn.STDEV.P(Tab.o1[MedMod])*H$1204)+G$1204,"")</f>
        <v/>
      </c>
      <c r="T396" s="123" t="str">
        <f>IF(Tab.o1[[#This Row],[a1]]=1,Tab.o1[[#This Row],[Z-]]*_xlfn.STDEV.P(Tab.o1[B])+AVERAGE(Tab.o1[B]),"")</f>
        <v/>
      </c>
      <c r="U396" s="123" t="str">
        <f>IF(Tab.o1[[#This Row],[a1]]=1,Tab.o1[[#This Row],[z+]]*_xlfn.STDEV.P(Tab.o1[B])+AVERAGE(Tab.o1[B]),"")</f>
        <v/>
      </c>
      <c r="V396" s="124" t="str">
        <f>IF(Tab.o1[[#This Row],[a1]]=1,ABS((ABS(Tab.o1[[#This Row],[Red]]-Tab.o1[[#This Row],[Blue]]))),"")</f>
        <v/>
      </c>
      <c r="W396" s="125" t="str">
        <f>IF(Tab.o1[[#This Row],[a1]]=1,IF(W$3=0,1,Tab.o1[[#This Row],[Amp.]]*1/_xlfn.MINIFS(Tab.o1[Amp.],Tab.o1[Amp.],"&lt;&gt;0")),"")</f>
        <v/>
      </c>
      <c r="X396" s="126" t="str">
        <f>IF(Tab.o1[[#This Row],[a1]]=1,IF(ISNUMBER(Tab.o1[[#This Row],[i.]]),NORMDIST(Tab.o1[[#This Row],[Za]],0,1,FALSE)*Tab.o1[[#This Row],[i.]],AP$3),"")</f>
        <v/>
      </c>
      <c r="Y396" s="126" t="str">
        <f>IF(Tab.o1[[#This Row],[a1]]=1,0.01+0.94*Tab.o1[[#This Row],[PDF]]/MAX(Tab.o1[PDF]),"")</f>
        <v/>
      </c>
      <c r="Z396" s="126" t="str">
        <f>IF(Tab.o1[[#This Row],[a1]]=1,0.01+0.94*Tab.o1[[#This Row],[W1_PDF]]/MAX(Tab.o1[W1_PDF]),"")</f>
        <v/>
      </c>
      <c r="AA396" s="118" t="str">
        <f>IF(Tab.o1[[#This Row],[a1]]=1,ABS([1]!T.in.A[[#This Row],[oo6]]),"")</f>
        <v/>
      </c>
      <c r="AB396" s="127" t="str">
        <f>IF(Tab.o1[[#This Row],[a1]]=1,IF(AE$3=0,"",IF(AB$3=0,ABS([1]!T.in.A[[#This Row],[oo9]]),ABS(Tab.o1[[#This Row],[DIF_Target.]]*Tab.o1[[#This Row],[W1_PDF]]))),"")</f>
        <v/>
      </c>
      <c r="AC396" s="127" t="str">
        <f>IF(G$1=1,"",IF(Tab.o1[[#This Row],[a1]]=1,Tab.o1[[#This Row],[Wr]]^2,""))</f>
        <v/>
      </c>
      <c r="AD396" s="118" t="str">
        <f>IF(Tab.o1[[#This Row],[a1]]=1,IF(AE$3=0,"",Tab.o1[[#This Row],[Wr2]]/SUM(Tab.o1[Wr2])),"")</f>
        <v/>
      </c>
      <c r="AE396" s="128" t="str">
        <f>IF(Tab.o1[[#This Row],[a1]]=1,[1]!T.in.A[[#This Row],[oo10]],"")</f>
        <v/>
      </c>
      <c r="AF396" s="118" t="str">
        <f>IF(Tab.o1[[#This Row],[a1]]=1,ABS(Tab.o1[[#This Row],[DIF_Target.]]*Tab.o1[[#This Row],[PDF2]]*Tab.o1[[#This Row],[IN]]),"")</f>
        <v/>
      </c>
      <c r="AG396" s="129" t="str">
        <f>IF(Tab.o1[[#This Row],[a1]]=1,Tab.o1[[#This Row],[rW]]^2,"")</f>
        <v/>
      </c>
      <c r="AH396" s="130" t="str">
        <f>IF(Tab.o1[[#This Row],[a1]]=1,IF(AH$3=0,Tab.o1[[#This Row],[rW2]],0.01+0.94*Tab.o1[[#This Row],[rW2]]/SUM(Tab.o1[rW2])),"")</f>
        <v/>
      </c>
      <c r="AI396" s="128" t="str">
        <f>IF(Tab.o1[[#This Row],[a1]]=1,1/Tab.o1[[#This Row],[PDF]],"")</f>
        <v/>
      </c>
      <c r="AJ396" s="131" t="str">
        <f>IF(Tab.o1[[#This Row],[a1]]=1,[1]!T_AA[[#This Row],[IN'']]*[1]!T_AA[[#This Row],[Qde'']],"")</f>
        <v/>
      </c>
      <c r="AK396" s="132" t="str">
        <f>IF(Tab.o1[[#This Row],[a1]]=1,IF(AK$1=1,Tab.o1[[#This Row],[MED]]+Tab.o1[[#This Row],[MOD]]-Tab.o1[[#This Row],[MED]],""),"")</f>
        <v/>
      </c>
      <c r="AL396" s="133" t="str">
        <f>IF(Tab.o1[[#This Row],[a1]]=1,[1]!T.in.A[[#This Row],[oo16]],"")</f>
        <v/>
      </c>
      <c r="AM396" s="133" t="str">
        <f>IF(Tab.o1[[#This Row],[a1]]=1,IF(AM$3=1,[1]!T.in.A[[#This Row],[Σo16]],""),"")</f>
        <v/>
      </c>
      <c r="AN396" s="126" t="str">
        <f>IF(Tab.o1[[#This Row],[a1]]=1,[1]!T.in.A[[#This Row],[Σp5]],"")</f>
        <v/>
      </c>
      <c r="AO396" s="126" t="str">
        <f>IF(Tab.o1[[#This Row],[a1]]=1,IF(AO$3=1,[1]!T.in.A[[#This Row],[Σp5]],""),"")</f>
        <v/>
      </c>
      <c r="AP396" s="110" t="str">
        <f>IF(Tab.o1[[#This Row],[a1]]=1,IF(ISNUMBER(Tab.o1[[#This Row],[i.]]),NORMDIST(Tab.o1[[#This Row],[Za]],0,1,FALSE)*Tab.o1[[#This Row],[i.]],0),"")</f>
        <v/>
      </c>
      <c r="AQ396" s="125" t="str">
        <f>IF(Tab.o1[[#This Row],[a1]]=1,ABS(Tab.o1[[#This Row],[MOD]]-AVERAGE(Tab.o1[MOD])),"")</f>
        <v/>
      </c>
      <c r="AR396" s="134" t="str">
        <f>IF(Tab.o1[[#This Row],[a1]]=1,Tab.o1[[#This Row],[OBS]]/SUM(Tab.o1[OBS]),"")</f>
        <v/>
      </c>
      <c r="AS396" s="135" t="str">
        <f>IF(ISNUMBER(Tab.o1[[#This Row],[a1]]),ROW()-4,"")</f>
        <v/>
      </c>
      <c r="AT396" s="136" t="str">
        <f>Tab.o1[[#This Row],[MOD]]</f>
        <v/>
      </c>
      <c r="AU396" s="137" t="str">
        <f t="shared" si="25"/>
        <v/>
      </c>
      <c r="AV396" s="138" t="str">
        <f t="shared" si="26"/>
        <v/>
      </c>
      <c r="AW396" s="138" t="str">
        <f t="shared" si="27"/>
        <v/>
      </c>
      <c r="AX396" s="139" t="str">
        <f>[1]!T.in.A[[#This Row],[ID_T_manu]]</f>
        <v/>
      </c>
      <c r="AY396" s="140" t="str">
        <f>IF(ISNUMBER(Tab.o1[[#This Row],[a1]]),IF(AND(Tab.o1[[#This Row],[a1]]=1,Tab.o1[[#This Row],[b1]]&lt;=AY$4),#REF!,AY395),"")</f>
        <v/>
      </c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</row>
    <row r="397" spans="1:79" ht="15.75" hidden="1">
      <c r="A397" s="109">
        <v>4.0000000000000007E-6</v>
      </c>
      <c r="B397" s="110">
        <f t="shared" si="24"/>
        <v>397</v>
      </c>
      <c r="C397" s="111" t="str">
        <f>IF(C$1=[1]!T.in.A[[#This Row],[oo2]],1,"")</f>
        <v/>
      </c>
      <c r="D397" s="112" t="str">
        <f>IF(Tab.o1[[#This Row],[a1]]=1,IF(SUM(C397:C398)=0,0,IF(SUM(C396:C397)=1,1,IF(SUM(C396:C398)&gt;1,D396+1,0))),"")</f>
        <v/>
      </c>
      <c r="E397" s="113" t="str">
        <f>IF(Tab.o1[[#This Row],[a1]]=1,[1]!T.in.A[[#This Row],[oo1]],"")</f>
        <v/>
      </c>
      <c r="F397" s="113" t="str">
        <f>IF(Tab.o1[[#This Row],[a1]]=1,[1]!T.in.A[[#This Row],[pp1]],"")</f>
        <v/>
      </c>
      <c r="G397" s="114" t="str">
        <f>IF(Tab.o1[[#This Row],[a1]]=1,G$2+IF(G$1=1,0,Tab.o1[[#This Row],[.x1]])+[1]!T.in.A[[#This Row],[oo3]],"")</f>
        <v/>
      </c>
      <c r="H397" s="115" t="str">
        <f>IF(Tab.o1[[#This Row],[a1]]=1,IF(H$2=0,0,IF(G$1=1,0,Tab.o1[[#This Row],[.x1]])+[1]!T.in.A[[#This Row],[oo4]]),"")</f>
        <v/>
      </c>
      <c r="I397" s="116" t="str">
        <f>IF(Tab.o1[[#This Row],[a1]]=1,IF(J$2=0,Tab.o1[[#This Row],[MED]],Tab.o1[[#This Row],[MOD]]),"")</f>
        <v/>
      </c>
      <c r="J397" s="116" t="str">
        <f>IF(Tab.o1[[#This Row],[a1]]=1,((Tab.o1[[#This Row],[DIF_Target.]]-AVERAGE(Tab.o1[DIF_Target.]))/_xlfn.STDEV.P(Tab.o1[DIF_Target.])),"")</f>
        <v/>
      </c>
      <c r="K397" s="117" t="str">
        <f>IF(Tab.o1[[#This Row],[a1]]=1,IF(J$2=0,Tab.o1[[#This Row],[MOD]]-Tab.o1[[#This Row],[B]],IF(J$2=1,0,-Tab.o1[[#This Row],[MED]])+Tab.o1[[#This Row],[B]]),"")</f>
        <v/>
      </c>
      <c r="L397" s="117" t="str">
        <f ca="1">IF(Tab.o1[[#This Row],[DIF_Target]]=0,IF(L$2=0,Tab.o1[[#This Row],[DIF_Target]],AVERAGE(OFFSET(Tab.o1[[#This Row],[DIF_Target]],1,0,L$3,1)))/3,Tab.o1[[#This Row],[DIF_Target]])</f>
        <v/>
      </c>
      <c r="M397" s="118" t="str">
        <f>IF(Tab.o1[[#This Row],[a1]]=1,NORMSDIST(Tab.o1[[#This Row],[Za]]),"")</f>
        <v/>
      </c>
      <c r="N397" s="119" t="str">
        <f>IF(Tab.o1[[#This Row],[a1]]=1,((Tab.o1[[#This Row],[MedMod]]-AVERAGE(Tab.o1[MedMod]))/_xlfn.STDEV.P(Tab.o1[MedMod])*H$1205)+G$1205,"")</f>
        <v/>
      </c>
      <c r="O397" s="141" t="str">
        <f>IF(Tab.o1[[#This Row],[a1]]=1,Tab.o1[[#This Row],[Zb]]*_xlfn.STDEV.P(Tab.o1[MedMod])+AVERAGE(Tab.o1[MedMod]),"")</f>
        <v/>
      </c>
      <c r="P397" s="117" t="str">
        <f ca="1">IF(Tab.o1[[#This Row],[B]]=0,AVERAGE(OFFSET(Tab.o1[[#This Row],[B]],1,0,L$3,1)),Tab.o1[[#This Row],[B]])</f>
        <v/>
      </c>
      <c r="Q397" s="121" t="str">
        <f>IF(Tab.o1[[#This Row],[a1]]=1,NORMSDIST(Tab.o1[[#This Row],[Zb]]),"")</f>
        <v/>
      </c>
      <c r="R397" s="122" t="str">
        <f>IF(Tab.o1[[#This Row],[a1]]=1,((Tab.o1[[#This Row],[MedMod]]-AVERAGE(Tab.o1[MedMod]))/_xlfn.STDEV.P(Tab.o1[MedMod])*H$1203)+G$1203,"")</f>
        <v/>
      </c>
      <c r="S397" s="122" t="str">
        <f>IF(Tab.o1[[#This Row],[a1]]=1,((Tab.o1[[#This Row],[MedMod]]-AVERAGE(Tab.o1[MedMod]))/_xlfn.STDEV.P(Tab.o1[MedMod])*H$1204)+G$1204,"")</f>
        <v/>
      </c>
      <c r="T397" s="123" t="str">
        <f>IF(Tab.o1[[#This Row],[a1]]=1,Tab.o1[[#This Row],[Z-]]*_xlfn.STDEV.P(Tab.o1[B])+AVERAGE(Tab.o1[B]),"")</f>
        <v/>
      </c>
      <c r="U397" s="123" t="str">
        <f>IF(Tab.o1[[#This Row],[a1]]=1,Tab.o1[[#This Row],[z+]]*_xlfn.STDEV.P(Tab.o1[B])+AVERAGE(Tab.o1[B]),"")</f>
        <v/>
      </c>
      <c r="V397" s="124" t="str">
        <f>IF(Tab.o1[[#This Row],[a1]]=1,ABS((ABS(Tab.o1[[#This Row],[Red]]-Tab.o1[[#This Row],[Blue]]))),"")</f>
        <v/>
      </c>
      <c r="W397" s="125" t="str">
        <f>IF(Tab.o1[[#This Row],[a1]]=1,IF(W$3=0,1,Tab.o1[[#This Row],[Amp.]]*1/_xlfn.MINIFS(Tab.o1[Amp.],Tab.o1[Amp.],"&lt;&gt;0")),"")</f>
        <v/>
      </c>
      <c r="X397" s="126" t="str">
        <f>IF(Tab.o1[[#This Row],[a1]]=1,IF(ISNUMBER(Tab.o1[[#This Row],[i.]]),NORMDIST(Tab.o1[[#This Row],[Za]],0,1,FALSE)*Tab.o1[[#This Row],[i.]],AP$3),"")</f>
        <v/>
      </c>
      <c r="Y397" s="126" t="str">
        <f>IF(Tab.o1[[#This Row],[a1]]=1,0.01+0.94*Tab.o1[[#This Row],[PDF]]/MAX(Tab.o1[PDF]),"")</f>
        <v/>
      </c>
      <c r="Z397" s="126" t="str">
        <f>IF(Tab.o1[[#This Row],[a1]]=1,0.01+0.94*Tab.o1[[#This Row],[W1_PDF]]/MAX(Tab.o1[W1_PDF]),"")</f>
        <v/>
      </c>
      <c r="AA397" s="118" t="str">
        <f>IF(Tab.o1[[#This Row],[a1]]=1,ABS([1]!T.in.A[[#This Row],[oo6]]),"")</f>
        <v/>
      </c>
      <c r="AB397" s="127" t="str">
        <f>IF(Tab.o1[[#This Row],[a1]]=1,IF(AE$3=0,"",IF(AB$3=0,ABS([1]!T.in.A[[#This Row],[oo9]]),ABS(Tab.o1[[#This Row],[DIF_Target.]]*Tab.o1[[#This Row],[W1_PDF]]))),"")</f>
        <v/>
      </c>
      <c r="AC397" s="127" t="str">
        <f>IF(G$1=1,"",IF(Tab.o1[[#This Row],[a1]]=1,Tab.o1[[#This Row],[Wr]]^2,""))</f>
        <v/>
      </c>
      <c r="AD397" s="118" t="str">
        <f>IF(Tab.o1[[#This Row],[a1]]=1,IF(AE$3=0,"",Tab.o1[[#This Row],[Wr2]]/SUM(Tab.o1[Wr2])),"")</f>
        <v/>
      </c>
      <c r="AE397" s="128" t="str">
        <f>IF(Tab.o1[[#This Row],[a1]]=1,[1]!T.in.A[[#This Row],[oo10]],"")</f>
        <v/>
      </c>
      <c r="AF397" s="118" t="str">
        <f>IF(Tab.o1[[#This Row],[a1]]=1,ABS(Tab.o1[[#This Row],[DIF_Target.]]*Tab.o1[[#This Row],[PDF2]]*Tab.o1[[#This Row],[IN]]),"")</f>
        <v/>
      </c>
      <c r="AG397" s="129" t="str">
        <f>IF(Tab.o1[[#This Row],[a1]]=1,Tab.o1[[#This Row],[rW]]^2,"")</f>
        <v/>
      </c>
      <c r="AH397" s="130" t="str">
        <f>IF(Tab.o1[[#This Row],[a1]]=1,IF(AH$3=0,Tab.o1[[#This Row],[rW2]],0.01+0.94*Tab.o1[[#This Row],[rW2]]/SUM(Tab.o1[rW2])),"")</f>
        <v/>
      </c>
      <c r="AI397" s="128" t="str">
        <f>IF(Tab.o1[[#This Row],[a1]]=1,1/Tab.o1[[#This Row],[PDF]],"")</f>
        <v/>
      </c>
      <c r="AJ397" s="131" t="str">
        <f>IF(Tab.o1[[#This Row],[a1]]=1,[1]!T_AA[[#This Row],[IN'']]*[1]!T_AA[[#This Row],[Qde'']],"")</f>
        <v/>
      </c>
      <c r="AK397" s="132" t="str">
        <f>IF(Tab.o1[[#This Row],[a1]]=1,IF(AK$1=1,Tab.o1[[#This Row],[MED]]+Tab.o1[[#This Row],[MOD]]-Tab.o1[[#This Row],[MED]],""),"")</f>
        <v/>
      </c>
      <c r="AL397" s="133" t="str">
        <f>IF(Tab.o1[[#This Row],[a1]]=1,[1]!T.in.A[[#This Row],[oo16]],"")</f>
        <v/>
      </c>
      <c r="AM397" s="133" t="str">
        <f>IF(Tab.o1[[#This Row],[a1]]=1,IF(AM$3=1,[1]!T.in.A[[#This Row],[Σo16]],""),"")</f>
        <v/>
      </c>
      <c r="AN397" s="126" t="str">
        <f>IF(Tab.o1[[#This Row],[a1]]=1,[1]!T.in.A[[#This Row],[Σp5]],"")</f>
        <v/>
      </c>
      <c r="AO397" s="126" t="str">
        <f>IF(Tab.o1[[#This Row],[a1]]=1,IF(AO$3=1,[1]!T.in.A[[#This Row],[Σp5]],""),"")</f>
        <v/>
      </c>
      <c r="AP397" s="110" t="str">
        <f>IF(Tab.o1[[#This Row],[a1]]=1,IF(ISNUMBER(Tab.o1[[#This Row],[i.]]),NORMDIST(Tab.o1[[#This Row],[Za]],0,1,FALSE)*Tab.o1[[#This Row],[i.]],0),"")</f>
        <v/>
      </c>
      <c r="AQ397" s="125" t="str">
        <f>IF(Tab.o1[[#This Row],[a1]]=1,ABS(Tab.o1[[#This Row],[MOD]]-AVERAGE(Tab.o1[MOD])),"")</f>
        <v/>
      </c>
      <c r="AR397" s="134" t="str">
        <f>IF(Tab.o1[[#This Row],[a1]]=1,Tab.o1[[#This Row],[OBS]]/SUM(Tab.o1[OBS]),"")</f>
        <v/>
      </c>
      <c r="AS397" s="135" t="str">
        <f>IF(ISNUMBER(Tab.o1[[#This Row],[a1]]),ROW()-4,"")</f>
        <v/>
      </c>
      <c r="AT397" s="136" t="str">
        <f>Tab.o1[[#This Row],[MOD]]</f>
        <v/>
      </c>
      <c r="AU397" s="137" t="str">
        <f t="shared" si="25"/>
        <v/>
      </c>
      <c r="AV397" s="138" t="str">
        <f t="shared" si="26"/>
        <v/>
      </c>
      <c r="AW397" s="138" t="str">
        <f t="shared" si="27"/>
        <v/>
      </c>
      <c r="AX397" s="139" t="str">
        <f>[1]!T.in.A[[#This Row],[ID_T_manu]]</f>
        <v/>
      </c>
      <c r="AY397" s="140" t="str">
        <f>IF(ISNUMBER(Tab.o1[[#This Row],[a1]]),IF(AND(Tab.o1[[#This Row],[a1]]=1,Tab.o1[[#This Row],[b1]]&lt;=AY$4),#REF!,AY396),"")</f>
        <v/>
      </c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</row>
    <row r="398" spans="1:79" ht="15.75" hidden="1">
      <c r="A398" s="109">
        <v>4.0000000000000007E-6</v>
      </c>
      <c r="B398" s="110">
        <f t="shared" si="24"/>
        <v>398</v>
      </c>
      <c r="C398" s="111" t="str">
        <f>IF(C$1=[1]!T.in.A[[#This Row],[oo2]],1,"")</f>
        <v/>
      </c>
      <c r="D398" s="112" t="str">
        <f>IF(Tab.o1[[#This Row],[a1]]=1,IF(SUM(C398:C399)=0,0,IF(SUM(C397:C398)=1,1,IF(SUM(C397:C399)&gt;1,D397+1,0))),"")</f>
        <v/>
      </c>
      <c r="E398" s="113" t="str">
        <f>IF(Tab.o1[[#This Row],[a1]]=1,[1]!T.in.A[[#This Row],[oo1]],"")</f>
        <v/>
      </c>
      <c r="F398" s="113" t="str">
        <f>IF(Tab.o1[[#This Row],[a1]]=1,[1]!T.in.A[[#This Row],[pp1]],"")</f>
        <v/>
      </c>
      <c r="G398" s="114" t="str">
        <f>IF(Tab.o1[[#This Row],[a1]]=1,G$2+IF(G$1=1,0,Tab.o1[[#This Row],[.x1]])+[1]!T.in.A[[#This Row],[oo3]],"")</f>
        <v/>
      </c>
      <c r="H398" s="115" t="str">
        <f>IF(Tab.o1[[#This Row],[a1]]=1,IF(H$2=0,0,IF(G$1=1,0,Tab.o1[[#This Row],[.x1]])+[1]!T.in.A[[#This Row],[oo4]]),"")</f>
        <v/>
      </c>
      <c r="I398" s="116" t="str">
        <f>IF(Tab.o1[[#This Row],[a1]]=1,IF(J$2=0,Tab.o1[[#This Row],[MED]],Tab.o1[[#This Row],[MOD]]),"")</f>
        <v/>
      </c>
      <c r="J398" s="116" t="str">
        <f>IF(Tab.o1[[#This Row],[a1]]=1,((Tab.o1[[#This Row],[DIF_Target.]]-AVERAGE(Tab.o1[DIF_Target.]))/_xlfn.STDEV.P(Tab.o1[DIF_Target.])),"")</f>
        <v/>
      </c>
      <c r="K398" s="117" t="str">
        <f>IF(Tab.o1[[#This Row],[a1]]=1,IF(J$2=0,Tab.o1[[#This Row],[MOD]]-Tab.o1[[#This Row],[B]],IF(J$2=1,0,-Tab.o1[[#This Row],[MED]])+Tab.o1[[#This Row],[B]]),"")</f>
        <v/>
      </c>
      <c r="L398" s="117" t="str">
        <f ca="1">IF(Tab.o1[[#This Row],[DIF_Target]]=0,IF(L$2=0,Tab.o1[[#This Row],[DIF_Target]],AVERAGE(OFFSET(Tab.o1[[#This Row],[DIF_Target]],1,0,L$3,1)))/3,Tab.o1[[#This Row],[DIF_Target]])</f>
        <v/>
      </c>
      <c r="M398" s="118" t="str">
        <f>IF(Tab.o1[[#This Row],[a1]]=1,NORMSDIST(Tab.o1[[#This Row],[Za]]),"")</f>
        <v/>
      </c>
      <c r="N398" s="119" t="str">
        <f>IF(Tab.o1[[#This Row],[a1]]=1,((Tab.o1[[#This Row],[MedMod]]-AVERAGE(Tab.o1[MedMod]))/_xlfn.STDEV.P(Tab.o1[MedMod])*H$1205)+G$1205,"")</f>
        <v/>
      </c>
      <c r="O398" s="141" t="str">
        <f>IF(Tab.o1[[#This Row],[a1]]=1,Tab.o1[[#This Row],[Zb]]*_xlfn.STDEV.P(Tab.o1[MedMod])+AVERAGE(Tab.o1[MedMod]),"")</f>
        <v/>
      </c>
      <c r="P398" s="117" t="str">
        <f ca="1">IF(Tab.o1[[#This Row],[B]]=0,AVERAGE(OFFSET(Tab.o1[[#This Row],[B]],1,0,L$3,1)),Tab.o1[[#This Row],[B]])</f>
        <v/>
      </c>
      <c r="Q398" s="121" t="str">
        <f>IF(Tab.o1[[#This Row],[a1]]=1,NORMSDIST(Tab.o1[[#This Row],[Zb]]),"")</f>
        <v/>
      </c>
      <c r="R398" s="122" t="str">
        <f>IF(Tab.o1[[#This Row],[a1]]=1,((Tab.o1[[#This Row],[MedMod]]-AVERAGE(Tab.o1[MedMod]))/_xlfn.STDEV.P(Tab.o1[MedMod])*H$1203)+G$1203,"")</f>
        <v/>
      </c>
      <c r="S398" s="122" t="str">
        <f>IF(Tab.o1[[#This Row],[a1]]=1,((Tab.o1[[#This Row],[MedMod]]-AVERAGE(Tab.o1[MedMod]))/_xlfn.STDEV.P(Tab.o1[MedMod])*H$1204)+G$1204,"")</f>
        <v/>
      </c>
      <c r="T398" s="123" t="str">
        <f>IF(Tab.o1[[#This Row],[a1]]=1,Tab.o1[[#This Row],[Z-]]*_xlfn.STDEV.P(Tab.o1[B])+AVERAGE(Tab.o1[B]),"")</f>
        <v/>
      </c>
      <c r="U398" s="123" t="str">
        <f>IF(Tab.o1[[#This Row],[a1]]=1,Tab.o1[[#This Row],[z+]]*_xlfn.STDEV.P(Tab.o1[B])+AVERAGE(Tab.o1[B]),"")</f>
        <v/>
      </c>
      <c r="V398" s="124" t="str">
        <f>IF(Tab.o1[[#This Row],[a1]]=1,ABS((ABS(Tab.o1[[#This Row],[Red]]-Tab.o1[[#This Row],[Blue]]))),"")</f>
        <v/>
      </c>
      <c r="W398" s="125" t="str">
        <f>IF(Tab.o1[[#This Row],[a1]]=1,IF(W$3=0,1,Tab.o1[[#This Row],[Amp.]]*1/_xlfn.MINIFS(Tab.o1[Amp.],Tab.o1[Amp.],"&lt;&gt;0")),"")</f>
        <v/>
      </c>
      <c r="X398" s="126" t="str">
        <f>IF(Tab.o1[[#This Row],[a1]]=1,IF(ISNUMBER(Tab.o1[[#This Row],[i.]]),NORMDIST(Tab.o1[[#This Row],[Za]],0,1,FALSE)*Tab.o1[[#This Row],[i.]],AP$3),"")</f>
        <v/>
      </c>
      <c r="Y398" s="126" t="str">
        <f>IF(Tab.o1[[#This Row],[a1]]=1,0.01+0.94*Tab.o1[[#This Row],[PDF]]/MAX(Tab.o1[PDF]),"")</f>
        <v/>
      </c>
      <c r="Z398" s="126" t="str">
        <f>IF(Tab.o1[[#This Row],[a1]]=1,0.01+0.94*Tab.o1[[#This Row],[W1_PDF]]/MAX(Tab.o1[W1_PDF]),"")</f>
        <v/>
      </c>
      <c r="AA398" s="118" t="str">
        <f>IF(Tab.o1[[#This Row],[a1]]=1,ABS([1]!T.in.A[[#This Row],[oo6]]),"")</f>
        <v/>
      </c>
      <c r="AB398" s="127" t="str">
        <f>IF(Tab.o1[[#This Row],[a1]]=1,IF(AE$3=0,"",IF(AB$3=0,ABS([1]!T.in.A[[#This Row],[oo9]]),ABS(Tab.o1[[#This Row],[DIF_Target.]]*Tab.o1[[#This Row],[W1_PDF]]))),"")</f>
        <v/>
      </c>
      <c r="AC398" s="127" t="str">
        <f>IF(G$1=1,"",IF(Tab.o1[[#This Row],[a1]]=1,Tab.o1[[#This Row],[Wr]]^2,""))</f>
        <v/>
      </c>
      <c r="AD398" s="118" t="str">
        <f>IF(Tab.o1[[#This Row],[a1]]=1,IF(AE$3=0,"",Tab.o1[[#This Row],[Wr2]]/SUM(Tab.o1[Wr2])),"")</f>
        <v/>
      </c>
      <c r="AE398" s="128" t="str">
        <f>IF(Tab.o1[[#This Row],[a1]]=1,[1]!T.in.A[[#This Row],[oo10]],"")</f>
        <v/>
      </c>
      <c r="AF398" s="118" t="str">
        <f>IF(Tab.o1[[#This Row],[a1]]=1,ABS(Tab.o1[[#This Row],[DIF_Target.]]*Tab.o1[[#This Row],[PDF2]]*Tab.o1[[#This Row],[IN]]),"")</f>
        <v/>
      </c>
      <c r="AG398" s="129" t="str">
        <f>IF(Tab.o1[[#This Row],[a1]]=1,Tab.o1[[#This Row],[rW]]^2,"")</f>
        <v/>
      </c>
      <c r="AH398" s="130" t="str">
        <f>IF(Tab.o1[[#This Row],[a1]]=1,IF(AH$3=0,Tab.o1[[#This Row],[rW2]],0.01+0.94*Tab.o1[[#This Row],[rW2]]/SUM(Tab.o1[rW2])),"")</f>
        <v/>
      </c>
      <c r="AI398" s="128" t="str">
        <f>IF(Tab.o1[[#This Row],[a1]]=1,1/Tab.o1[[#This Row],[PDF]],"")</f>
        <v/>
      </c>
      <c r="AJ398" s="131" t="str">
        <f>IF(Tab.o1[[#This Row],[a1]]=1,[1]!T_AA[[#This Row],[IN'']]*[1]!T_AA[[#This Row],[Qde'']],"")</f>
        <v/>
      </c>
      <c r="AK398" s="132" t="str">
        <f>IF(Tab.o1[[#This Row],[a1]]=1,IF(AK$1=1,Tab.o1[[#This Row],[MED]]+Tab.o1[[#This Row],[MOD]]-Tab.o1[[#This Row],[MED]],""),"")</f>
        <v/>
      </c>
      <c r="AL398" s="133" t="str">
        <f>IF(Tab.o1[[#This Row],[a1]]=1,[1]!T.in.A[[#This Row],[oo16]],"")</f>
        <v/>
      </c>
      <c r="AM398" s="133" t="str">
        <f>IF(Tab.o1[[#This Row],[a1]]=1,IF(AM$3=1,[1]!T.in.A[[#This Row],[Σo16]],""),"")</f>
        <v/>
      </c>
      <c r="AN398" s="126" t="str">
        <f>IF(Tab.o1[[#This Row],[a1]]=1,[1]!T.in.A[[#This Row],[Σp5]],"")</f>
        <v/>
      </c>
      <c r="AO398" s="126" t="str">
        <f>IF(Tab.o1[[#This Row],[a1]]=1,IF(AO$3=1,[1]!T.in.A[[#This Row],[Σp5]],""),"")</f>
        <v/>
      </c>
      <c r="AP398" s="110" t="str">
        <f>IF(Tab.o1[[#This Row],[a1]]=1,IF(ISNUMBER(Tab.o1[[#This Row],[i.]]),NORMDIST(Tab.o1[[#This Row],[Za]],0,1,FALSE)*Tab.o1[[#This Row],[i.]],0),"")</f>
        <v/>
      </c>
      <c r="AQ398" s="125" t="str">
        <f>IF(Tab.o1[[#This Row],[a1]]=1,ABS(Tab.o1[[#This Row],[MOD]]-AVERAGE(Tab.o1[MOD])),"")</f>
        <v/>
      </c>
      <c r="AR398" s="134" t="str">
        <f>IF(Tab.o1[[#This Row],[a1]]=1,Tab.o1[[#This Row],[OBS]]/SUM(Tab.o1[OBS]),"")</f>
        <v/>
      </c>
      <c r="AS398" s="135" t="str">
        <f>IF(ISNUMBER(Tab.o1[[#This Row],[a1]]),ROW()-4,"")</f>
        <v/>
      </c>
      <c r="AT398" s="136" t="str">
        <f>Tab.o1[[#This Row],[MOD]]</f>
        <v/>
      </c>
      <c r="AU398" s="137" t="str">
        <f t="shared" si="25"/>
        <v/>
      </c>
      <c r="AV398" s="138" t="str">
        <f t="shared" si="26"/>
        <v/>
      </c>
      <c r="AW398" s="138" t="str">
        <f t="shared" si="27"/>
        <v/>
      </c>
      <c r="AX398" s="139" t="str">
        <f>[1]!T.in.A[[#This Row],[ID_T_manu]]</f>
        <v/>
      </c>
      <c r="AY398" s="140" t="str">
        <f>IF(ISNUMBER(Tab.o1[[#This Row],[a1]]),IF(AND(Tab.o1[[#This Row],[a1]]=1,Tab.o1[[#This Row],[b1]]&lt;=AY$4),#REF!,AY397),"")</f>
        <v/>
      </c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</row>
    <row r="399" spans="1:79" ht="15.75" hidden="1">
      <c r="A399" s="109">
        <v>9.0000000000000002E-6</v>
      </c>
      <c r="B399" s="110">
        <f t="shared" si="24"/>
        <v>399</v>
      </c>
      <c r="C399" s="111" t="str">
        <f>IF(C$1=[1]!T.in.A[[#This Row],[oo2]],1,"")</f>
        <v/>
      </c>
      <c r="D399" s="112" t="str">
        <f>IF(Tab.o1[[#This Row],[a1]]=1,IF(SUM(C399:C400)=0,0,IF(SUM(C398:C399)=1,1,IF(SUM(C398:C400)&gt;1,D398+1,0))),"")</f>
        <v/>
      </c>
      <c r="E399" s="113" t="str">
        <f>IF(Tab.o1[[#This Row],[a1]]=1,[1]!T.in.A[[#This Row],[oo1]],"")</f>
        <v/>
      </c>
      <c r="F399" s="113" t="str">
        <f>IF(Tab.o1[[#This Row],[a1]]=1,[1]!T.in.A[[#This Row],[pp1]],"")</f>
        <v/>
      </c>
      <c r="G399" s="114" t="str">
        <f>IF(Tab.o1[[#This Row],[a1]]=1,G$2+IF(G$1=1,0,Tab.o1[[#This Row],[.x1]])+[1]!T.in.A[[#This Row],[oo3]],"")</f>
        <v/>
      </c>
      <c r="H399" s="115" t="str">
        <f>IF(Tab.o1[[#This Row],[a1]]=1,IF(H$2=0,0,IF(G$1=1,0,Tab.o1[[#This Row],[.x1]])+[1]!T.in.A[[#This Row],[oo4]]),"")</f>
        <v/>
      </c>
      <c r="I399" s="116" t="str">
        <f>IF(Tab.o1[[#This Row],[a1]]=1,IF(J$2=0,Tab.o1[[#This Row],[MED]],Tab.o1[[#This Row],[MOD]]),"")</f>
        <v/>
      </c>
      <c r="J399" s="116" t="str">
        <f>IF(Tab.o1[[#This Row],[a1]]=1,((Tab.o1[[#This Row],[DIF_Target.]]-AVERAGE(Tab.o1[DIF_Target.]))/_xlfn.STDEV.P(Tab.o1[DIF_Target.])),"")</f>
        <v/>
      </c>
      <c r="K399" s="117" t="str">
        <f>IF(Tab.o1[[#This Row],[a1]]=1,IF(J$2=0,Tab.o1[[#This Row],[MOD]]-Tab.o1[[#This Row],[B]],IF(J$2=1,0,-Tab.o1[[#This Row],[MED]])+Tab.o1[[#This Row],[B]]),"")</f>
        <v/>
      </c>
      <c r="L399" s="117" t="str">
        <f ca="1">IF(Tab.o1[[#This Row],[DIF_Target]]=0,IF(L$2=0,Tab.o1[[#This Row],[DIF_Target]],AVERAGE(OFFSET(Tab.o1[[#This Row],[DIF_Target]],1,0,L$3,1)))/3,Tab.o1[[#This Row],[DIF_Target]])</f>
        <v/>
      </c>
      <c r="M399" s="118" t="str">
        <f>IF(Tab.o1[[#This Row],[a1]]=1,NORMSDIST(Tab.o1[[#This Row],[Za]]),"")</f>
        <v/>
      </c>
      <c r="N399" s="119" t="str">
        <f>IF(Tab.o1[[#This Row],[a1]]=1,((Tab.o1[[#This Row],[MedMod]]-AVERAGE(Tab.o1[MedMod]))/_xlfn.STDEV.P(Tab.o1[MedMod])*H$1205)+G$1205,"")</f>
        <v/>
      </c>
      <c r="O399" s="141" t="str">
        <f>IF(Tab.o1[[#This Row],[a1]]=1,Tab.o1[[#This Row],[Zb]]*_xlfn.STDEV.P(Tab.o1[MedMod])+AVERAGE(Tab.o1[MedMod]),"")</f>
        <v/>
      </c>
      <c r="P399" s="117" t="str">
        <f ca="1">IF(Tab.o1[[#This Row],[B]]=0,AVERAGE(OFFSET(Tab.o1[[#This Row],[B]],1,0,L$3,1)),Tab.o1[[#This Row],[B]])</f>
        <v/>
      </c>
      <c r="Q399" s="121" t="str">
        <f>IF(Tab.o1[[#This Row],[a1]]=1,NORMSDIST(Tab.o1[[#This Row],[Zb]]),"")</f>
        <v/>
      </c>
      <c r="R399" s="122" t="str">
        <f>IF(Tab.o1[[#This Row],[a1]]=1,((Tab.o1[[#This Row],[MedMod]]-AVERAGE(Tab.o1[MedMod]))/_xlfn.STDEV.P(Tab.o1[MedMod])*H$1203)+G$1203,"")</f>
        <v/>
      </c>
      <c r="S399" s="122" t="str">
        <f>IF(Tab.o1[[#This Row],[a1]]=1,((Tab.o1[[#This Row],[MedMod]]-AVERAGE(Tab.o1[MedMod]))/_xlfn.STDEV.P(Tab.o1[MedMod])*H$1204)+G$1204,"")</f>
        <v/>
      </c>
      <c r="T399" s="123" t="str">
        <f>IF(Tab.o1[[#This Row],[a1]]=1,Tab.o1[[#This Row],[Z-]]*_xlfn.STDEV.P(Tab.o1[B])+AVERAGE(Tab.o1[B]),"")</f>
        <v/>
      </c>
      <c r="U399" s="123" t="str">
        <f>IF(Tab.o1[[#This Row],[a1]]=1,Tab.o1[[#This Row],[z+]]*_xlfn.STDEV.P(Tab.o1[B])+AVERAGE(Tab.o1[B]),"")</f>
        <v/>
      </c>
      <c r="V399" s="124" t="str">
        <f>IF(Tab.o1[[#This Row],[a1]]=1,ABS((ABS(Tab.o1[[#This Row],[Red]]-Tab.o1[[#This Row],[Blue]]))),"")</f>
        <v/>
      </c>
      <c r="W399" s="125" t="str">
        <f>IF(Tab.o1[[#This Row],[a1]]=1,IF(W$3=0,1,Tab.o1[[#This Row],[Amp.]]*1/_xlfn.MINIFS(Tab.o1[Amp.],Tab.o1[Amp.],"&lt;&gt;0")),"")</f>
        <v/>
      </c>
      <c r="X399" s="126" t="str">
        <f>IF(Tab.o1[[#This Row],[a1]]=1,IF(ISNUMBER(Tab.o1[[#This Row],[i.]]),NORMDIST(Tab.o1[[#This Row],[Za]],0,1,FALSE)*Tab.o1[[#This Row],[i.]],AP$3),"")</f>
        <v/>
      </c>
      <c r="Y399" s="126" t="str">
        <f>IF(Tab.o1[[#This Row],[a1]]=1,0.01+0.94*Tab.o1[[#This Row],[PDF]]/MAX(Tab.o1[PDF]),"")</f>
        <v/>
      </c>
      <c r="Z399" s="126" t="str">
        <f>IF(Tab.o1[[#This Row],[a1]]=1,0.01+0.94*Tab.o1[[#This Row],[W1_PDF]]/MAX(Tab.o1[W1_PDF]),"")</f>
        <v/>
      </c>
      <c r="AA399" s="118" t="str">
        <f>IF(Tab.o1[[#This Row],[a1]]=1,ABS([1]!T.in.A[[#This Row],[oo6]]),"")</f>
        <v/>
      </c>
      <c r="AB399" s="127" t="str">
        <f>IF(Tab.o1[[#This Row],[a1]]=1,IF(AE$3=0,"",IF(AB$3=0,ABS([1]!T.in.A[[#This Row],[oo9]]),ABS(Tab.o1[[#This Row],[DIF_Target.]]*Tab.o1[[#This Row],[W1_PDF]]))),"")</f>
        <v/>
      </c>
      <c r="AC399" s="127" t="str">
        <f>IF(G$1=1,"",IF(Tab.o1[[#This Row],[a1]]=1,Tab.o1[[#This Row],[Wr]]^2,""))</f>
        <v/>
      </c>
      <c r="AD399" s="118" t="str">
        <f>IF(Tab.o1[[#This Row],[a1]]=1,IF(AE$3=0,"",Tab.o1[[#This Row],[Wr2]]/SUM(Tab.o1[Wr2])),"")</f>
        <v/>
      </c>
      <c r="AE399" s="128" t="str">
        <f>IF(Tab.o1[[#This Row],[a1]]=1,[1]!T.in.A[[#This Row],[oo10]],"")</f>
        <v/>
      </c>
      <c r="AF399" s="118" t="str">
        <f>IF(Tab.o1[[#This Row],[a1]]=1,ABS(Tab.o1[[#This Row],[DIF_Target.]]*Tab.o1[[#This Row],[PDF2]]*Tab.o1[[#This Row],[IN]]),"")</f>
        <v/>
      </c>
      <c r="AG399" s="129" t="str">
        <f>IF(Tab.o1[[#This Row],[a1]]=1,Tab.o1[[#This Row],[rW]]^2,"")</f>
        <v/>
      </c>
      <c r="AH399" s="130" t="str">
        <f>IF(Tab.o1[[#This Row],[a1]]=1,IF(AH$3=0,Tab.o1[[#This Row],[rW2]],0.01+0.94*Tab.o1[[#This Row],[rW2]]/SUM(Tab.o1[rW2])),"")</f>
        <v/>
      </c>
      <c r="AI399" s="128" t="str">
        <f>IF(Tab.o1[[#This Row],[a1]]=1,1/Tab.o1[[#This Row],[PDF]],"")</f>
        <v/>
      </c>
      <c r="AJ399" s="131" t="str">
        <f>IF(Tab.o1[[#This Row],[a1]]=1,[1]!T_AA[[#This Row],[IN'']]*[1]!T_AA[[#This Row],[Qde'']],"")</f>
        <v/>
      </c>
      <c r="AK399" s="132" t="str">
        <f>IF(Tab.o1[[#This Row],[a1]]=1,IF(AK$1=1,Tab.o1[[#This Row],[MED]]+Tab.o1[[#This Row],[MOD]]-Tab.o1[[#This Row],[MED]],""),"")</f>
        <v/>
      </c>
      <c r="AL399" s="133" t="str">
        <f>IF(Tab.o1[[#This Row],[a1]]=1,[1]!T.in.A[[#This Row],[oo16]],"")</f>
        <v/>
      </c>
      <c r="AM399" s="133" t="str">
        <f>IF(Tab.o1[[#This Row],[a1]]=1,IF(AM$3=1,[1]!T.in.A[[#This Row],[Σo16]],""),"")</f>
        <v/>
      </c>
      <c r="AN399" s="126" t="str">
        <f>IF(Tab.o1[[#This Row],[a1]]=1,[1]!T.in.A[[#This Row],[Σp5]],"")</f>
        <v/>
      </c>
      <c r="AO399" s="126" t="str">
        <f>IF(Tab.o1[[#This Row],[a1]]=1,IF(AO$3=1,[1]!T.in.A[[#This Row],[Σp5]],""),"")</f>
        <v/>
      </c>
      <c r="AP399" s="110" t="str">
        <f>IF(Tab.o1[[#This Row],[a1]]=1,IF(ISNUMBER(Tab.o1[[#This Row],[i.]]),NORMDIST(Tab.o1[[#This Row],[Za]],0,1,FALSE)*Tab.o1[[#This Row],[i.]],0),"")</f>
        <v/>
      </c>
      <c r="AQ399" s="125" t="str">
        <f>IF(Tab.o1[[#This Row],[a1]]=1,ABS(Tab.o1[[#This Row],[MOD]]-AVERAGE(Tab.o1[MOD])),"")</f>
        <v/>
      </c>
      <c r="AR399" s="134" t="str">
        <f>IF(Tab.o1[[#This Row],[a1]]=1,Tab.o1[[#This Row],[OBS]]/SUM(Tab.o1[OBS]),"")</f>
        <v/>
      </c>
      <c r="AS399" s="135" t="str">
        <f>IF(ISNUMBER(Tab.o1[[#This Row],[a1]]),ROW()-4,"")</f>
        <v/>
      </c>
      <c r="AT399" s="136" t="str">
        <f>Tab.o1[[#This Row],[MOD]]</f>
        <v/>
      </c>
      <c r="AU399" s="137" t="str">
        <f t="shared" si="25"/>
        <v/>
      </c>
      <c r="AV399" s="138" t="str">
        <f t="shared" si="26"/>
        <v/>
      </c>
      <c r="AW399" s="138" t="str">
        <f t="shared" si="27"/>
        <v/>
      </c>
      <c r="AX399" s="139" t="str">
        <f>[1]!T.in.A[[#This Row],[ID_T_manu]]</f>
        <v/>
      </c>
      <c r="AY399" s="140" t="str">
        <f>IF(ISNUMBER(Tab.o1[[#This Row],[a1]]),IF(AND(Tab.o1[[#This Row],[a1]]=1,Tab.o1[[#This Row],[b1]]&lt;=AY$4),#REF!,AY398),"")</f>
        <v/>
      </c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</row>
    <row r="400" spans="1:79" ht="15.75" hidden="1">
      <c r="A400" s="109">
        <v>-8.0000000000000013E-6</v>
      </c>
      <c r="B400" s="110">
        <f t="shared" si="24"/>
        <v>400</v>
      </c>
      <c r="C400" s="111" t="str">
        <f>IF(C$1=[1]!T.in.A[[#This Row],[oo2]],1,"")</f>
        <v/>
      </c>
      <c r="D400" s="112" t="str">
        <f>IF(Tab.o1[[#This Row],[a1]]=1,IF(SUM(C400:C401)=0,0,IF(SUM(C399:C400)=1,1,IF(SUM(C399:C401)&gt;1,D399+1,0))),"")</f>
        <v/>
      </c>
      <c r="E400" s="113" t="str">
        <f>IF(Tab.o1[[#This Row],[a1]]=1,[1]!T.in.A[[#This Row],[oo1]],"")</f>
        <v/>
      </c>
      <c r="F400" s="113" t="str">
        <f>IF(Tab.o1[[#This Row],[a1]]=1,[1]!T.in.A[[#This Row],[pp1]],"")</f>
        <v/>
      </c>
      <c r="G400" s="114" t="str">
        <f>IF(Tab.o1[[#This Row],[a1]]=1,G$2+IF(G$1=1,0,Tab.o1[[#This Row],[.x1]])+[1]!T.in.A[[#This Row],[oo3]],"")</f>
        <v/>
      </c>
      <c r="H400" s="115" t="str">
        <f>IF(Tab.o1[[#This Row],[a1]]=1,IF(H$2=0,0,IF(G$1=1,0,Tab.o1[[#This Row],[.x1]])+[1]!T.in.A[[#This Row],[oo4]]),"")</f>
        <v/>
      </c>
      <c r="I400" s="116" t="str">
        <f>IF(Tab.o1[[#This Row],[a1]]=1,IF(J$2=0,Tab.o1[[#This Row],[MED]],Tab.o1[[#This Row],[MOD]]),"")</f>
        <v/>
      </c>
      <c r="J400" s="116" t="str">
        <f>IF(Tab.o1[[#This Row],[a1]]=1,((Tab.o1[[#This Row],[DIF_Target.]]-AVERAGE(Tab.o1[DIF_Target.]))/_xlfn.STDEV.P(Tab.o1[DIF_Target.])),"")</f>
        <v/>
      </c>
      <c r="K400" s="117" t="str">
        <f>IF(Tab.o1[[#This Row],[a1]]=1,IF(J$2=0,Tab.o1[[#This Row],[MOD]]-Tab.o1[[#This Row],[B]],IF(J$2=1,0,-Tab.o1[[#This Row],[MED]])+Tab.o1[[#This Row],[B]]),"")</f>
        <v/>
      </c>
      <c r="L400" s="117" t="str">
        <f ca="1">IF(Tab.o1[[#This Row],[DIF_Target]]=0,IF(L$2=0,Tab.o1[[#This Row],[DIF_Target]],AVERAGE(OFFSET(Tab.o1[[#This Row],[DIF_Target]],1,0,L$3,1)))/3,Tab.o1[[#This Row],[DIF_Target]])</f>
        <v/>
      </c>
      <c r="M400" s="118" t="str">
        <f>IF(Tab.o1[[#This Row],[a1]]=1,NORMSDIST(Tab.o1[[#This Row],[Za]]),"")</f>
        <v/>
      </c>
      <c r="N400" s="119" t="str">
        <f>IF(Tab.o1[[#This Row],[a1]]=1,((Tab.o1[[#This Row],[MedMod]]-AVERAGE(Tab.o1[MedMod]))/_xlfn.STDEV.P(Tab.o1[MedMod])*H$1205)+G$1205,"")</f>
        <v/>
      </c>
      <c r="O400" s="141" t="str">
        <f>IF(Tab.o1[[#This Row],[a1]]=1,Tab.o1[[#This Row],[Zb]]*_xlfn.STDEV.P(Tab.o1[MedMod])+AVERAGE(Tab.o1[MedMod]),"")</f>
        <v/>
      </c>
      <c r="P400" s="117" t="str">
        <f ca="1">IF(Tab.o1[[#This Row],[B]]=0,AVERAGE(OFFSET(Tab.o1[[#This Row],[B]],1,0,L$3,1)),Tab.o1[[#This Row],[B]])</f>
        <v/>
      </c>
      <c r="Q400" s="121" t="str">
        <f>IF(Tab.o1[[#This Row],[a1]]=1,NORMSDIST(Tab.o1[[#This Row],[Zb]]),"")</f>
        <v/>
      </c>
      <c r="R400" s="122" t="str">
        <f>IF(Tab.o1[[#This Row],[a1]]=1,((Tab.o1[[#This Row],[MedMod]]-AVERAGE(Tab.o1[MedMod]))/_xlfn.STDEV.P(Tab.o1[MedMod])*H$1203)+G$1203,"")</f>
        <v/>
      </c>
      <c r="S400" s="122" t="str">
        <f>IF(Tab.o1[[#This Row],[a1]]=1,((Tab.o1[[#This Row],[MedMod]]-AVERAGE(Tab.o1[MedMod]))/_xlfn.STDEV.P(Tab.o1[MedMod])*H$1204)+G$1204,"")</f>
        <v/>
      </c>
      <c r="T400" s="123" t="str">
        <f>IF(Tab.o1[[#This Row],[a1]]=1,Tab.o1[[#This Row],[Z-]]*_xlfn.STDEV.P(Tab.o1[B])+AVERAGE(Tab.o1[B]),"")</f>
        <v/>
      </c>
      <c r="U400" s="123" t="str">
        <f>IF(Tab.o1[[#This Row],[a1]]=1,Tab.o1[[#This Row],[z+]]*_xlfn.STDEV.P(Tab.o1[B])+AVERAGE(Tab.o1[B]),"")</f>
        <v/>
      </c>
      <c r="V400" s="124" t="str">
        <f>IF(Tab.o1[[#This Row],[a1]]=1,ABS((ABS(Tab.o1[[#This Row],[Red]]-Tab.o1[[#This Row],[Blue]]))),"")</f>
        <v/>
      </c>
      <c r="W400" s="125" t="str">
        <f>IF(Tab.o1[[#This Row],[a1]]=1,IF(W$3=0,1,Tab.o1[[#This Row],[Amp.]]*1/_xlfn.MINIFS(Tab.o1[Amp.],Tab.o1[Amp.],"&lt;&gt;0")),"")</f>
        <v/>
      </c>
      <c r="X400" s="126" t="str">
        <f>IF(Tab.o1[[#This Row],[a1]]=1,IF(ISNUMBER(Tab.o1[[#This Row],[i.]]),NORMDIST(Tab.o1[[#This Row],[Za]],0,1,FALSE)*Tab.o1[[#This Row],[i.]],AP$3),"")</f>
        <v/>
      </c>
      <c r="Y400" s="126" t="str">
        <f>IF(Tab.o1[[#This Row],[a1]]=1,0.01+0.94*Tab.o1[[#This Row],[PDF]]/MAX(Tab.o1[PDF]),"")</f>
        <v/>
      </c>
      <c r="Z400" s="126" t="str">
        <f>IF(Tab.o1[[#This Row],[a1]]=1,0.01+0.94*Tab.o1[[#This Row],[W1_PDF]]/MAX(Tab.o1[W1_PDF]),"")</f>
        <v/>
      </c>
      <c r="AA400" s="118" t="str">
        <f>IF(Tab.o1[[#This Row],[a1]]=1,ABS([1]!T.in.A[[#This Row],[oo6]]),"")</f>
        <v/>
      </c>
      <c r="AB400" s="127" t="str">
        <f>IF(Tab.o1[[#This Row],[a1]]=1,IF(AE$3=0,"",IF(AB$3=0,ABS([1]!T.in.A[[#This Row],[oo9]]),ABS(Tab.o1[[#This Row],[DIF_Target.]]*Tab.o1[[#This Row],[W1_PDF]]))),"")</f>
        <v/>
      </c>
      <c r="AC400" s="127" t="str">
        <f>IF(G$1=1,"",IF(Tab.o1[[#This Row],[a1]]=1,Tab.o1[[#This Row],[Wr]]^2,""))</f>
        <v/>
      </c>
      <c r="AD400" s="118" t="str">
        <f>IF(Tab.o1[[#This Row],[a1]]=1,IF(AE$3=0,"",Tab.o1[[#This Row],[Wr2]]/SUM(Tab.o1[Wr2])),"")</f>
        <v/>
      </c>
      <c r="AE400" s="128" t="str">
        <f>IF(Tab.o1[[#This Row],[a1]]=1,[1]!T.in.A[[#This Row],[oo10]],"")</f>
        <v/>
      </c>
      <c r="AF400" s="118" t="str">
        <f>IF(Tab.o1[[#This Row],[a1]]=1,ABS(Tab.o1[[#This Row],[DIF_Target.]]*Tab.o1[[#This Row],[PDF2]]*Tab.o1[[#This Row],[IN]]),"")</f>
        <v/>
      </c>
      <c r="AG400" s="129" t="str">
        <f>IF(Tab.o1[[#This Row],[a1]]=1,Tab.o1[[#This Row],[rW]]^2,"")</f>
        <v/>
      </c>
      <c r="AH400" s="130" t="str">
        <f>IF(Tab.o1[[#This Row],[a1]]=1,IF(AH$3=0,Tab.o1[[#This Row],[rW2]],0.01+0.94*Tab.o1[[#This Row],[rW2]]/SUM(Tab.o1[rW2])),"")</f>
        <v/>
      </c>
      <c r="AI400" s="128" t="str">
        <f>IF(Tab.o1[[#This Row],[a1]]=1,1/Tab.o1[[#This Row],[PDF]],"")</f>
        <v/>
      </c>
      <c r="AJ400" s="131" t="str">
        <f>IF(Tab.o1[[#This Row],[a1]]=1,[1]!T_AA[[#This Row],[IN'']]*[1]!T_AA[[#This Row],[Qde'']],"")</f>
        <v/>
      </c>
      <c r="AK400" s="132" t="str">
        <f>IF(Tab.o1[[#This Row],[a1]]=1,IF(AK$1=1,Tab.o1[[#This Row],[MED]]+Tab.o1[[#This Row],[MOD]]-Tab.o1[[#This Row],[MED]],""),"")</f>
        <v/>
      </c>
      <c r="AL400" s="133" t="str">
        <f>IF(Tab.o1[[#This Row],[a1]]=1,[1]!T.in.A[[#This Row],[oo16]],"")</f>
        <v/>
      </c>
      <c r="AM400" s="133" t="str">
        <f>IF(Tab.o1[[#This Row],[a1]]=1,IF(AM$3=1,[1]!T.in.A[[#This Row],[Σo16]],""),"")</f>
        <v/>
      </c>
      <c r="AN400" s="126" t="str">
        <f>IF(Tab.o1[[#This Row],[a1]]=1,[1]!T.in.A[[#This Row],[Σp5]],"")</f>
        <v/>
      </c>
      <c r="AO400" s="126" t="str">
        <f>IF(Tab.o1[[#This Row],[a1]]=1,IF(AO$3=1,[1]!T.in.A[[#This Row],[Σp5]],""),"")</f>
        <v/>
      </c>
      <c r="AP400" s="110" t="str">
        <f>IF(Tab.o1[[#This Row],[a1]]=1,IF(ISNUMBER(Tab.o1[[#This Row],[i.]]),NORMDIST(Tab.o1[[#This Row],[Za]],0,1,FALSE)*Tab.o1[[#This Row],[i.]],0),"")</f>
        <v/>
      </c>
      <c r="AQ400" s="125" t="str">
        <f>IF(Tab.o1[[#This Row],[a1]]=1,ABS(Tab.o1[[#This Row],[MOD]]-AVERAGE(Tab.o1[MOD])),"")</f>
        <v/>
      </c>
      <c r="AR400" s="134" t="str">
        <f>IF(Tab.o1[[#This Row],[a1]]=1,Tab.o1[[#This Row],[OBS]]/SUM(Tab.o1[OBS]),"")</f>
        <v/>
      </c>
      <c r="AS400" s="135" t="str">
        <f>IF(ISNUMBER(Tab.o1[[#This Row],[a1]]),ROW()-4,"")</f>
        <v/>
      </c>
      <c r="AT400" s="136" t="str">
        <f>Tab.o1[[#This Row],[MOD]]</f>
        <v/>
      </c>
      <c r="AU400" s="137" t="str">
        <f t="shared" si="25"/>
        <v/>
      </c>
      <c r="AV400" s="138" t="str">
        <f t="shared" si="26"/>
        <v/>
      </c>
      <c r="AW400" s="138" t="str">
        <f t="shared" si="27"/>
        <v/>
      </c>
      <c r="AX400" s="139" t="str">
        <f>[1]!T.in.A[[#This Row],[ID_T_manu]]</f>
        <v/>
      </c>
      <c r="AY400" s="140" t="str">
        <f>IF(ISNUMBER(Tab.o1[[#This Row],[a1]]),IF(AND(Tab.o1[[#This Row],[a1]]=1,Tab.o1[[#This Row],[b1]]&lt;=AY$4),#REF!,AY399),"")</f>
        <v/>
      </c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</row>
    <row r="401" spans="1:79" ht="15.75" hidden="1">
      <c r="A401" s="109">
        <v>6.9999999999999999E-6</v>
      </c>
      <c r="B401" s="110">
        <f t="shared" si="24"/>
        <v>401</v>
      </c>
      <c r="C401" s="111" t="str">
        <f>IF(C$1=[1]!T.in.A[[#This Row],[oo2]],1,"")</f>
        <v/>
      </c>
      <c r="D401" s="112" t="str">
        <f>IF(Tab.o1[[#This Row],[a1]]=1,IF(SUM(C401:C402)=0,0,IF(SUM(C400:C401)=1,1,IF(SUM(C400:C402)&gt;1,D400+1,0))),"")</f>
        <v/>
      </c>
      <c r="E401" s="113" t="str">
        <f>IF(Tab.o1[[#This Row],[a1]]=1,[1]!T.in.A[[#This Row],[oo1]],"")</f>
        <v/>
      </c>
      <c r="F401" s="113" t="str">
        <f>IF(Tab.o1[[#This Row],[a1]]=1,[1]!T.in.A[[#This Row],[pp1]],"")</f>
        <v/>
      </c>
      <c r="G401" s="114" t="str">
        <f>IF(Tab.o1[[#This Row],[a1]]=1,G$2+IF(G$1=1,0,Tab.o1[[#This Row],[.x1]])+[1]!T.in.A[[#This Row],[oo3]],"")</f>
        <v/>
      </c>
      <c r="H401" s="115" t="str">
        <f>IF(Tab.o1[[#This Row],[a1]]=1,IF(H$2=0,0,IF(G$1=1,0,Tab.o1[[#This Row],[.x1]])+[1]!T.in.A[[#This Row],[oo4]]),"")</f>
        <v/>
      </c>
      <c r="I401" s="116" t="str">
        <f>IF(Tab.o1[[#This Row],[a1]]=1,IF(J$2=0,Tab.o1[[#This Row],[MED]],Tab.o1[[#This Row],[MOD]]),"")</f>
        <v/>
      </c>
      <c r="J401" s="116" t="str">
        <f>IF(Tab.o1[[#This Row],[a1]]=1,((Tab.o1[[#This Row],[DIF_Target.]]-AVERAGE(Tab.o1[DIF_Target.]))/_xlfn.STDEV.P(Tab.o1[DIF_Target.])),"")</f>
        <v/>
      </c>
      <c r="K401" s="117" t="str">
        <f>IF(Tab.o1[[#This Row],[a1]]=1,IF(J$2=0,Tab.o1[[#This Row],[MOD]]-Tab.o1[[#This Row],[B]],IF(J$2=1,0,-Tab.o1[[#This Row],[MED]])+Tab.o1[[#This Row],[B]]),"")</f>
        <v/>
      </c>
      <c r="L401" s="117" t="str">
        <f ca="1">IF(Tab.o1[[#This Row],[DIF_Target]]=0,IF(L$2=0,Tab.o1[[#This Row],[DIF_Target]],AVERAGE(OFFSET(Tab.o1[[#This Row],[DIF_Target]],1,0,L$3,1)))/3,Tab.o1[[#This Row],[DIF_Target]])</f>
        <v/>
      </c>
      <c r="M401" s="118" t="str">
        <f>IF(Tab.o1[[#This Row],[a1]]=1,NORMSDIST(Tab.o1[[#This Row],[Za]]),"")</f>
        <v/>
      </c>
      <c r="N401" s="119" t="str">
        <f>IF(Tab.o1[[#This Row],[a1]]=1,((Tab.o1[[#This Row],[MedMod]]-AVERAGE(Tab.o1[MedMod]))/_xlfn.STDEV.P(Tab.o1[MedMod])*H$1205)+G$1205,"")</f>
        <v/>
      </c>
      <c r="O401" s="141" t="str">
        <f>IF(Tab.o1[[#This Row],[a1]]=1,Tab.o1[[#This Row],[Zb]]*_xlfn.STDEV.P(Tab.o1[MedMod])+AVERAGE(Tab.o1[MedMod]),"")</f>
        <v/>
      </c>
      <c r="P401" s="117" t="str">
        <f ca="1">IF(Tab.o1[[#This Row],[B]]=0,AVERAGE(OFFSET(Tab.o1[[#This Row],[B]],1,0,L$3,1)),Tab.o1[[#This Row],[B]])</f>
        <v/>
      </c>
      <c r="Q401" s="121" t="str">
        <f>IF(Tab.o1[[#This Row],[a1]]=1,NORMSDIST(Tab.o1[[#This Row],[Zb]]),"")</f>
        <v/>
      </c>
      <c r="R401" s="122" t="str">
        <f>IF(Tab.o1[[#This Row],[a1]]=1,((Tab.o1[[#This Row],[MedMod]]-AVERAGE(Tab.o1[MedMod]))/_xlfn.STDEV.P(Tab.o1[MedMod])*H$1203)+G$1203,"")</f>
        <v/>
      </c>
      <c r="S401" s="122" t="str">
        <f>IF(Tab.o1[[#This Row],[a1]]=1,((Tab.o1[[#This Row],[MedMod]]-AVERAGE(Tab.o1[MedMod]))/_xlfn.STDEV.P(Tab.o1[MedMod])*H$1204)+G$1204,"")</f>
        <v/>
      </c>
      <c r="T401" s="123" t="str">
        <f>IF(Tab.o1[[#This Row],[a1]]=1,Tab.o1[[#This Row],[Z-]]*_xlfn.STDEV.P(Tab.o1[B])+AVERAGE(Tab.o1[B]),"")</f>
        <v/>
      </c>
      <c r="U401" s="123" t="str">
        <f>IF(Tab.o1[[#This Row],[a1]]=1,Tab.o1[[#This Row],[z+]]*_xlfn.STDEV.P(Tab.o1[B])+AVERAGE(Tab.o1[B]),"")</f>
        <v/>
      </c>
      <c r="V401" s="124" t="str">
        <f>IF(Tab.o1[[#This Row],[a1]]=1,ABS((ABS(Tab.o1[[#This Row],[Red]]-Tab.o1[[#This Row],[Blue]]))),"")</f>
        <v/>
      </c>
      <c r="W401" s="125" t="str">
        <f>IF(Tab.o1[[#This Row],[a1]]=1,IF(W$3=0,1,Tab.o1[[#This Row],[Amp.]]*1/_xlfn.MINIFS(Tab.o1[Amp.],Tab.o1[Amp.],"&lt;&gt;0")),"")</f>
        <v/>
      </c>
      <c r="X401" s="126" t="str">
        <f>IF(Tab.o1[[#This Row],[a1]]=1,IF(ISNUMBER(Tab.o1[[#This Row],[i.]]),NORMDIST(Tab.o1[[#This Row],[Za]],0,1,FALSE)*Tab.o1[[#This Row],[i.]],AP$3),"")</f>
        <v/>
      </c>
      <c r="Y401" s="126" t="str">
        <f>IF(Tab.o1[[#This Row],[a1]]=1,0.01+0.94*Tab.o1[[#This Row],[PDF]]/MAX(Tab.o1[PDF]),"")</f>
        <v/>
      </c>
      <c r="Z401" s="126" t="str">
        <f>IF(Tab.o1[[#This Row],[a1]]=1,0.01+0.94*Tab.o1[[#This Row],[W1_PDF]]/MAX(Tab.o1[W1_PDF]),"")</f>
        <v/>
      </c>
      <c r="AA401" s="118" t="str">
        <f>IF(Tab.o1[[#This Row],[a1]]=1,ABS([1]!T.in.A[[#This Row],[oo6]]),"")</f>
        <v/>
      </c>
      <c r="AB401" s="127" t="str">
        <f>IF(Tab.o1[[#This Row],[a1]]=1,IF(AE$3=0,"",IF(AB$3=0,ABS([1]!T.in.A[[#This Row],[oo9]]),ABS(Tab.o1[[#This Row],[DIF_Target.]]*Tab.o1[[#This Row],[W1_PDF]]))),"")</f>
        <v/>
      </c>
      <c r="AC401" s="127" t="str">
        <f>IF(G$1=1,"",IF(Tab.o1[[#This Row],[a1]]=1,Tab.o1[[#This Row],[Wr]]^2,""))</f>
        <v/>
      </c>
      <c r="AD401" s="118" t="str">
        <f>IF(Tab.o1[[#This Row],[a1]]=1,IF(AE$3=0,"",Tab.o1[[#This Row],[Wr2]]/SUM(Tab.o1[Wr2])),"")</f>
        <v/>
      </c>
      <c r="AE401" s="128" t="str">
        <f>IF(Tab.o1[[#This Row],[a1]]=1,[1]!T.in.A[[#This Row],[oo10]],"")</f>
        <v/>
      </c>
      <c r="AF401" s="118" t="str">
        <f>IF(Tab.o1[[#This Row],[a1]]=1,ABS(Tab.o1[[#This Row],[DIF_Target.]]*Tab.o1[[#This Row],[PDF2]]*Tab.o1[[#This Row],[IN]]),"")</f>
        <v/>
      </c>
      <c r="AG401" s="129" t="str">
        <f>IF(Tab.o1[[#This Row],[a1]]=1,Tab.o1[[#This Row],[rW]]^2,"")</f>
        <v/>
      </c>
      <c r="AH401" s="130" t="str">
        <f>IF(Tab.o1[[#This Row],[a1]]=1,IF(AH$3=0,Tab.o1[[#This Row],[rW2]],0.01+0.94*Tab.o1[[#This Row],[rW2]]/SUM(Tab.o1[rW2])),"")</f>
        <v/>
      </c>
      <c r="AI401" s="128" t="str">
        <f>IF(Tab.o1[[#This Row],[a1]]=1,1/Tab.o1[[#This Row],[PDF]],"")</f>
        <v/>
      </c>
      <c r="AJ401" s="131" t="str">
        <f>IF(Tab.o1[[#This Row],[a1]]=1,[1]!T_AA[[#This Row],[IN'']]*[1]!T_AA[[#This Row],[Qde'']],"")</f>
        <v/>
      </c>
      <c r="AK401" s="132" t="str">
        <f>IF(Tab.o1[[#This Row],[a1]]=1,IF(AK$1=1,Tab.o1[[#This Row],[MED]]+Tab.o1[[#This Row],[MOD]]-Tab.o1[[#This Row],[MED]],""),"")</f>
        <v/>
      </c>
      <c r="AL401" s="133" t="str">
        <f>IF(Tab.o1[[#This Row],[a1]]=1,[1]!T.in.A[[#This Row],[oo16]],"")</f>
        <v/>
      </c>
      <c r="AM401" s="133" t="str">
        <f>IF(Tab.o1[[#This Row],[a1]]=1,IF(AM$3=1,[1]!T.in.A[[#This Row],[Σo16]],""),"")</f>
        <v/>
      </c>
      <c r="AN401" s="126" t="str">
        <f>IF(Tab.o1[[#This Row],[a1]]=1,[1]!T.in.A[[#This Row],[Σp5]],"")</f>
        <v/>
      </c>
      <c r="AO401" s="126" t="str">
        <f>IF(Tab.o1[[#This Row],[a1]]=1,IF(AO$3=1,[1]!T.in.A[[#This Row],[Σp5]],""),"")</f>
        <v/>
      </c>
      <c r="AP401" s="110" t="str">
        <f>IF(Tab.o1[[#This Row],[a1]]=1,IF(ISNUMBER(Tab.o1[[#This Row],[i.]]),NORMDIST(Tab.o1[[#This Row],[Za]],0,1,FALSE)*Tab.o1[[#This Row],[i.]],0),"")</f>
        <v/>
      </c>
      <c r="AQ401" s="125" t="str">
        <f>IF(Tab.o1[[#This Row],[a1]]=1,ABS(Tab.o1[[#This Row],[MOD]]-AVERAGE(Tab.o1[MOD])),"")</f>
        <v/>
      </c>
      <c r="AR401" s="134" t="str">
        <f>IF(Tab.o1[[#This Row],[a1]]=1,Tab.o1[[#This Row],[OBS]]/SUM(Tab.o1[OBS]),"")</f>
        <v/>
      </c>
      <c r="AS401" s="135" t="str">
        <f>IF(ISNUMBER(Tab.o1[[#This Row],[a1]]),ROW()-4,"")</f>
        <v/>
      </c>
      <c r="AT401" s="136" t="str">
        <f>Tab.o1[[#This Row],[MOD]]</f>
        <v/>
      </c>
      <c r="AU401" s="137" t="str">
        <f t="shared" si="25"/>
        <v/>
      </c>
      <c r="AV401" s="138" t="str">
        <f t="shared" si="26"/>
        <v/>
      </c>
      <c r="AW401" s="138" t="str">
        <f t="shared" si="27"/>
        <v/>
      </c>
      <c r="AX401" s="139" t="str">
        <f>[1]!T.in.A[[#This Row],[ID_T_manu]]</f>
        <v/>
      </c>
      <c r="AY401" s="140" t="str">
        <f>IF(ISNUMBER(Tab.o1[[#This Row],[a1]]),IF(AND(Tab.o1[[#This Row],[a1]]=1,Tab.o1[[#This Row],[b1]]&lt;=AY$4),#REF!,AY400),"")</f>
        <v/>
      </c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</row>
    <row r="402" spans="1:79" ht="15.75" hidden="1">
      <c r="A402" s="109">
        <v>-1.0000000000000002E-6</v>
      </c>
      <c r="B402" s="110">
        <f t="shared" si="24"/>
        <v>402</v>
      </c>
      <c r="C402" s="111" t="str">
        <f>IF(C$1=[1]!T.in.A[[#This Row],[oo2]],1,"")</f>
        <v/>
      </c>
      <c r="D402" s="112" t="str">
        <f>IF(Tab.o1[[#This Row],[a1]]=1,IF(SUM(C402:C403)=0,0,IF(SUM(C401:C402)=1,1,IF(SUM(C401:C403)&gt;1,D401+1,0))),"")</f>
        <v/>
      </c>
      <c r="E402" s="113" t="str">
        <f>IF(Tab.o1[[#This Row],[a1]]=1,[1]!T.in.A[[#This Row],[oo1]],"")</f>
        <v/>
      </c>
      <c r="F402" s="113" t="str">
        <f>IF(Tab.o1[[#This Row],[a1]]=1,[1]!T.in.A[[#This Row],[pp1]],"")</f>
        <v/>
      </c>
      <c r="G402" s="114" t="str">
        <f>IF(Tab.o1[[#This Row],[a1]]=1,G$2+IF(G$1=1,0,Tab.o1[[#This Row],[.x1]])+[1]!T.in.A[[#This Row],[oo3]],"")</f>
        <v/>
      </c>
      <c r="H402" s="115" t="str">
        <f>IF(Tab.o1[[#This Row],[a1]]=1,IF(H$2=0,0,IF(G$1=1,0,Tab.o1[[#This Row],[.x1]])+[1]!T.in.A[[#This Row],[oo4]]),"")</f>
        <v/>
      </c>
      <c r="I402" s="116" t="str">
        <f>IF(Tab.o1[[#This Row],[a1]]=1,IF(J$2=0,Tab.o1[[#This Row],[MED]],Tab.o1[[#This Row],[MOD]]),"")</f>
        <v/>
      </c>
      <c r="J402" s="116" t="str">
        <f>IF(Tab.o1[[#This Row],[a1]]=1,((Tab.o1[[#This Row],[DIF_Target.]]-AVERAGE(Tab.o1[DIF_Target.]))/_xlfn.STDEV.P(Tab.o1[DIF_Target.])),"")</f>
        <v/>
      </c>
      <c r="K402" s="117" t="str">
        <f>IF(Tab.o1[[#This Row],[a1]]=1,IF(J$2=0,Tab.o1[[#This Row],[MOD]]-Tab.o1[[#This Row],[B]],IF(J$2=1,0,-Tab.o1[[#This Row],[MED]])+Tab.o1[[#This Row],[B]]),"")</f>
        <v/>
      </c>
      <c r="L402" s="117" t="str">
        <f ca="1">IF(Tab.o1[[#This Row],[DIF_Target]]=0,IF(L$2=0,Tab.o1[[#This Row],[DIF_Target]],AVERAGE(OFFSET(Tab.o1[[#This Row],[DIF_Target]],1,0,L$3,1)))/3,Tab.o1[[#This Row],[DIF_Target]])</f>
        <v/>
      </c>
      <c r="M402" s="118" t="str">
        <f>IF(Tab.o1[[#This Row],[a1]]=1,NORMSDIST(Tab.o1[[#This Row],[Za]]),"")</f>
        <v/>
      </c>
      <c r="N402" s="119" t="str">
        <f>IF(Tab.o1[[#This Row],[a1]]=1,((Tab.o1[[#This Row],[MedMod]]-AVERAGE(Tab.o1[MedMod]))/_xlfn.STDEV.P(Tab.o1[MedMod])*H$1205)+G$1205,"")</f>
        <v/>
      </c>
      <c r="O402" s="141" t="str">
        <f>IF(Tab.o1[[#This Row],[a1]]=1,Tab.o1[[#This Row],[Zb]]*_xlfn.STDEV.P(Tab.o1[MedMod])+AVERAGE(Tab.o1[MedMod]),"")</f>
        <v/>
      </c>
      <c r="P402" s="117" t="str">
        <f ca="1">IF(Tab.o1[[#This Row],[B]]=0,AVERAGE(OFFSET(Tab.o1[[#This Row],[B]],1,0,L$3,1)),Tab.o1[[#This Row],[B]])</f>
        <v/>
      </c>
      <c r="Q402" s="121" t="str">
        <f>IF(Tab.o1[[#This Row],[a1]]=1,NORMSDIST(Tab.o1[[#This Row],[Zb]]),"")</f>
        <v/>
      </c>
      <c r="R402" s="122" t="str">
        <f>IF(Tab.o1[[#This Row],[a1]]=1,((Tab.o1[[#This Row],[MedMod]]-AVERAGE(Tab.o1[MedMod]))/_xlfn.STDEV.P(Tab.o1[MedMod])*H$1203)+G$1203,"")</f>
        <v/>
      </c>
      <c r="S402" s="122" t="str">
        <f>IF(Tab.o1[[#This Row],[a1]]=1,((Tab.o1[[#This Row],[MedMod]]-AVERAGE(Tab.o1[MedMod]))/_xlfn.STDEV.P(Tab.o1[MedMod])*H$1204)+G$1204,"")</f>
        <v/>
      </c>
      <c r="T402" s="123" t="str">
        <f>IF(Tab.o1[[#This Row],[a1]]=1,Tab.o1[[#This Row],[Z-]]*_xlfn.STDEV.P(Tab.o1[B])+AVERAGE(Tab.o1[B]),"")</f>
        <v/>
      </c>
      <c r="U402" s="123" t="str">
        <f>IF(Tab.o1[[#This Row],[a1]]=1,Tab.o1[[#This Row],[z+]]*_xlfn.STDEV.P(Tab.o1[B])+AVERAGE(Tab.o1[B]),"")</f>
        <v/>
      </c>
      <c r="V402" s="124" t="str">
        <f>IF(Tab.o1[[#This Row],[a1]]=1,ABS((ABS(Tab.o1[[#This Row],[Red]]-Tab.o1[[#This Row],[Blue]]))),"")</f>
        <v/>
      </c>
      <c r="W402" s="125" t="str">
        <f>IF(Tab.o1[[#This Row],[a1]]=1,IF(W$3=0,1,Tab.o1[[#This Row],[Amp.]]*1/_xlfn.MINIFS(Tab.o1[Amp.],Tab.o1[Amp.],"&lt;&gt;0")),"")</f>
        <v/>
      </c>
      <c r="X402" s="126" t="str">
        <f>IF(Tab.o1[[#This Row],[a1]]=1,IF(ISNUMBER(Tab.o1[[#This Row],[i.]]),NORMDIST(Tab.o1[[#This Row],[Za]],0,1,FALSE)*Tab.o1[[#This Row],[i.]],AP$3),"")</f>
        <v/>
      </c>
      <c r="Y402" s="126" t="str">
        <f>IF(Tab.o1[[#This Row],[a1]]=1,0.01+0.94*Tab.o1[[#This Row],[PDF]]/MAX(Tab.o1[PDF]),"")</f>
        <v/>
      </c>
      <c r="Z402" s="126" t="str">
        <f>IF(Tab.o1[[#This Row],[a1]]=1,0.01+0.94*Tab.o1[[#This Row],[W1_PDF]]/MAX(Tab.o1[W1_PDF]),"")</f>
        <v/>
      </c>
      <c r="AA402" s="118" t="str">
        <f>IF(Tab.o1[[#This Row],[a1]]=1,ABS([1]!T.in.A[[#This Row],[oo6]]),"")</f>
        <v/>
      </c>
      <c r="AB402" s="127" t="str">
        <f>IF(Tab.o1[[#This Row],[a1]]=1,IF(AE$3=0,"",IF(AB$3=0,ABS([1]!T.in.A[[#This Row],[oo9]]),ABS(Tab.o1[[#This Row],[DIF_Target.]]*Tab.o1[[#This Row],[W1_PDF]]))),"")</f>
        <v/>
      </c>
      <c r="AC402" s="127" t="str">
        <f>IF(G$1=1,"",IF(Tab.o1[[#This Row],[a1]]=1,Tab.o1[[#This Row],[Wr]]^2,""))</f>
        <v/>
      </c>
      <c r="AD402" s="118" t="str">
        <f>IF(Tab.o1[[#This Row],[a1]]=1,IF(AE$3=0,"",Tab.o1[[#This Row],[Wr2]]/SUM(Tab.o1[Wr2])),"")</f>
        <v/>
      </c>
      <c r="AE402" s="128" t="str">
        <f>IF(Tab.o1[[#This Row],[a1]]=1,[1]!T.in.A[[#This Row],[oo10]],"")</f>
        <v/>
      </c>
      <c r="AF402" s="118" t="str">
        <f>IF(Tab.o1[[#This Row],[a1]]=1,ABS(Tab.o1[[#This Row],[DIF_Target.]]*Tab.o1[[#This Row],[PDF2]]*Tab.o1[[#This Row],[IN]]),"")</f>
        <v/>
      </c>
      <c r="AG402" s="129" t="str">
        <f>IF(Tab.o1[[#This Row],[a1]]=1,Tab.o1[[#This Row],[rW]]^2,"")</f>
        <v/>
      </c>
      <c r="AH402" s="130" t="str">
        <f>IF(Tab.o1[[#This Row],[a1]]=1,IF(AH$3=0,Tab.o1[[#This Row],[rW2]],0.01+0.94*Tab.o1[[#This Row],[rW2]]/SUM(Tab.o1[rW2])),"")</f>
        <v/>
      </c>
      <c r="AI402" s="128" t="str">
        <f>IF(Tab.o1[[#This Row],[a1]]=1,1/Tab.o1[[#This Row],[PDF]],"")</f>
        <v/>
      </c>
      <c r="AJ402" s="131" t="str">
        <f>IF(Tab.o1[[#This Row],[a1]]=1,[1]!T_AA[[#This Row],[IN'']]*[1]!T_AA[[#This Row],[Qde'']],"")</f>
        <v/>
      </c>
      <c r="AK402" s="132" t="str">
        <f>IF(Tab.o1[[#This Row],[a1]]=1,IF(AK$1=1,Tab.o1[[#This Row],[MED]]+Tab.o1[[#This Row],[MOD]]-Tab.o1[[#This Row],[MED]],""),"")</f>
        <v/>
      </c>
      <c r="AL402" s="133" t="str">
        <f>IF(Tab.o1[[#This Row],[a1]]=1,[1]!T.in.A[[#This Row],[oo16]],"")</f>
        <v/>
      </c>
      <c r="AM402" s="133" t="str">
        <f>IF(Tab.o1[[#This Row],[a1]]=1,IF(AM$3=1,[1]!T.in.A[[#This Row],[Σo16]],""),"")</f>
        <v/>
      </c>
      <c r="AN402" s="126" t="str">
        <f>IF(Tab.o1[[#This Row],[a1]]=1,[1]!T.in.A[[#This Row],[Σp5]],"")</f>
        <v/>
      </c>
      <c r="AO402" s="126" t="str">
        <f>IF(Tab.o1[[#This Row],[a1]]=1,IF(AO$3=1,[1]!T.in.A[[#This Row],[Σp5]],""),"")</f>
        <v/>
      </c>
      <c r="AP402" s="110" t="str">
        <f>IF(Tab.o1[[#This Row],[a1]]=1,IF(ISNUMBER(Tab.o1[[#This Row],[i.]]),NORMDIST(Tab.o1[[#This Row],[Za]],0,1,FALSE)*Tab.o1[[#This Row],[i.]],0),"")</f>
        <v/>
      </c>
      <c r="AQ402" s="125" t="str">
        <f>IF(Tab.o1[[#This Row],[a1]]=1,ABS(Tab.o1[[#This Row],[MOD]]-AVERAGE(Tab.o1[MOD])),"")</f>
        <v/>
      </c>
      <c r="AR402" s="134" t="str">
        <f>IF(Tab.o1[[#This Row],[a1]]=1,Tab.o1[[#This Row],[OBS]]/SUM(Tab.o1[OBS]),"")</f>
        <v/>
      </c>
      <c r="AS402" s="135" t="str">
        <f>IF(ISNUMBER(Tab.o1[[#This Row],[a1]]),ROW()-4,"")</f>
        <v/>
      </c>
      <c r="AT402" s="136" t="str">
        <f>Tab.o1[[#This Row],[MOD]]</f>
        <v/>
      </c>
      <c r="AU402" s="137" t="str">
        <f t="shared" si="25"/>
        <v/>
      </c>
      <c r="AV402" s="138" t="str">
        <f t="shared" si="26"/>
        <v/>
      </c>
      <c r="AW402" s="138" t="str">
        <f t="shared" si="27"/>
        <v/>
      </c>
      <c r="AX402" s="139" t="str">
        <f>[1]!T.in.A[[#This Row],[ID_T_manu]]</f>
        <v/>
      </c>
      <c r="AY402" s="140" t="str">
        <f>IF(ISNUMBER(Tab.o1[[#This Row],[a1]]),IF(AND(Tab.o1[[#This Row],[a1]]=1,Tab.o1[[#This Row],[b1]]&lt;=AY$4),#REF!,AY401),"")</f>
        <v/>
      </c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</row>
    <row r="403" spans="1:79" ht="15.75" hidden="1">
      <c r="A403" s="109">
        <v>4.0000000000000007E-6</v>
      </c>
      <c r="B403" s="110">
        <f t="shared" si="24"/>
        <v>403</v>
      </c>
      <c r="C403" s="111" t="str">
        <f>IF(C$1=[1]!T.in.A[[#This Row],[oo2]],1,"")</f>
        <v/>
      </c>
      <c r="D403" s="112" t="str">
        <f>IF(Tab.o1[[#This Row],[a1]]=1,IF(SUM(C403:C404)=0,0,IF(SUM(C402:C403)=1,1,IF(SUM(C402:C404)&gt;1,D402+1,0))),"")</f>
        <v/>
      </c>
      <c r="E403" s="113" t="str">
        <f>IF(Tab.o1[[#This Row],[a1]]=1,[1]!T.in.A[[#This Row],[oo1]],"")</f>
        <v/>
      </c>
      <c r="F403" s="113" t="str">
        <f>IF(Tab.o1[[#This Row],[a1]]=1,[1]!T.in.A[[#This Row],[pp1]],"")</f>
        <v/>
      </c>
      <c r="G403" s="114" t="str">
        <f>IF(Tab.o1[[#This Row],[a1]]=1,G$2+IF(G$1=1,0,Tab.o1[[#This Row],[.x1]])+[1]!T.in.A[[#This Row],[oo3]],"")</f>
        <v/>
      </c>
      <c r="H403" s="115" t="str">
        <f>IF(Tab.o1[[#This Row],[a1]]=1,IF(H$2=0,0,IF(G$1=1,0,Tab.o1[[#This Row],[.x1]])+[1]!T.in.A[[#This Row],[oo4]]),"")</f>
        <v/>
      </c>
      <c r="I403" s="116" t="str">
        <f>IF(Tab.o1[[#This Row],[a1]]=1,IF(J$2=0,Tab.o1[[#This Row],[MED]],Tab.o1[[#This Row],[MOD]]),"")</f>
        <v/>
      </c>
      <c r="J403" s="116" t="str">
        <f>IF(Tab.o1[[#This Row],[a1]]=1,((Tab.o1[[#This Row],[DIF_Target.]]-AVERAGE(Tab.o1[DIF_Target.]))/_xlfn.STDEV.P(Tab.o1[DIF_Target.])),"")</f>
        <v/>
      </c>
      <c r="K403" s="117" t="str">
        <f>IF(Tab.o1[[#This Row],[a1]]=1,IF(J$2=0,Tab.o1[[#This Row],[MOD]]-Tab.o1[[#This Row],[B]],IF(J$2=1,0,-Tab.o1[[#This Row],[MED]])+Tab.o1[[#This Row],[B]]),"")</f>
        <v/>
      </c>
      <c r="L403" s="117" t="str">
        <f ca="1">IF(Tab.o1[[#This Row],[DIF_Target]]=0,IF(L$2=0,Tab.o1[[#This Row],[DIF_Target]],AVERAGE(OFFSET(Tab.o1[[#This Row],[DIF_Target]],1,0,L$3,1)))/3,Tab.o1[[#This Row],[DIF_Target]])</f>
        <v/>
      </c>
      <c r="M403" s="118" t="str">
        <f>IF(Tab.o1[[#This Row],[a1]]=1,NORMSDIST(Tab.o1[[#This Row],[Za]]),"")</f>
        <v/>
      </c>
      <c r="N403" s="119" t="str">
        <f>IF(Tab.o1[[#This Row],[a1]]=1,((Tab.o1[[#This Row],[MedMod]]-AVERAGE(Tab.o1[MedMod]))/_xlfn.STDEV.P(Tab.o1[MedMod])*H$1205)+G$1205,"")</f>
        <v/>
      </c>
      <c r="O403" s="141" t="str">
        <f>IF(Tab.o1[[#This Row],[a1]]=1,Tab.o1[[#This Row],[Zb]]*_xlfn.STDEV.P(Tab.o1[MedMod])+AVERAGE(Tab.o1[MedMod]),"")</f>
        <v/>
      </c>
      <c r="P403" s="117" t="str">
        <f ca="1">IF(Tab.o1[[#This Row],[B]]=0,AVERAGE(OFFSET(Tab.o1[[#This Row],[B]],1,0,L$3,1)),Tab.o1[[#This Row],[B]])</f>
        <v/>
      </c>
      <c r="Q403" s="121" t="str">
        <f>IF(Tab.o1[[#This Row],[a1]]=1,NORMSDIST(Tab.o1[[#This Row],[Zb]]),"")</f>
        <v/>
      </c>
      <c r="R403" s="122" t="str">
        <f>IF(Tab.o1[[#This Row],[a1]]=1,((Tab.o1[[#This Row],[MedMod]]-AVERAGE(Tab.o1[MedMod]))/_xlfn.STDEV.P(Tab.o1[MedMod])*H$1203)+G$1203,"")</f>
        <v/>
      </c>
      <c r="S403" s="122" t="str">
        <f>IF(Tab.o1[[#This Row],[a1]]=1,((Tab.o1[[#This Row],[MedMod]]-AVERAGE(Tab.o1[MedMod]))/_xlfn.STDEV.P(Tab.o1[MedMod])*H$1204)+G$1204,"")</f>
        <v/>
      </c>
      <c r="T403" s="123" t="str">
        <f>IF(Tab.o1[[#This Row],[a1]]=1,Tab.o1[[#This Row],[Z-]]*_xlfn.STDEV.P(Tab.o1[B])+AVERAGE(Tab.o1[B]),"")</f>
        <v/>
      </c>
      <c r="U403" s="123" t="str">
        <f>IF(Tab.o1[[#This Row],[a1]]=1,Tab.o1[[#This Row],[z+]]*_xlfn.STDEV.P(Tab.o1[B])+AVERAGE(Tab.o1[B]),"")</f>
        <v/>
      </c>
      <c r="V403" s="124" t="str">
        <f>IF(Tab.o1[[#This Row],[a1]]=1,ABS((ABS(Tab.o1[[#This Row],[Red]]-Tab.o1[[#This Row],[Blue]]))),"")</f>
        <v/>
      </c>
      <c r="W403" s="125" t="str">
        <f>IF(Tab.o1[[#This Row],[a1]]=1,IF(W$3=0,1,Tab.o1[[#This Row],[Amp.]]*1/_xlfn.MINIFS(Tab.o1[Amp.],Tab.o1[Amp.],"&lt;&gt;0")),"")</f>
        <v/>
      </c>
      <c r="X403" s="126" t="str">
        <f>IF(Tab.o1[[#This Row],[a1]]=1,IF(ISNUMBER(Tab.o1[[#This Row],[i.]]),NORMDIST(Tab.o1[[#This Row],[Za]],0,1,FALSE)*Tab.o1[[#This Row],[i.]],AP$3),"")</f>
        <v/>
      </c>
      <c r="Y403" s="126" t="str">
        <f>IF(Tab.o1[[#This Row],[a1]]=1,0.01+0.94*Tab.o1[[#This Row],[PDF]]/MAX(Tab.o1[PDF]),"")</f>
        <v/>
      </c>
      <c r="Z403" s="126" t="str">
        <f>IF(Tab.o1[[#This Row],[a1]]=1,0.01+0.94*Tab.o1[[#This Row],[W1_PDF]]/MAX(Tab.o1[W1_PDF]),"")</f>
        <v/>
      </c>
      <c r="AA403" s="118" t="str">
        <f>IF(Tab.o1[[#This Row],[a1]]=1,ABS([1]!T.in.A[[#This Row],[oo6]]),"")</f>
        <v/>
      </c>
      <c r="AB403" s="127" t="str">
        <f>IF(Tab.o1[[#This Row],[a1]]=1,IF(AE$3=0,"",IF(AB$3=0,ABS([1]!T.in.A[[#This Row],[oo9]]),ABS(Tab.o1[[#This Row],[DIF_Target.]]*Tab.o1[[#This Row],[W1_PDF]]))),"")</f>
        <v/>
      </c>
      <c r="AC403" s="127" t="str">
        <f>IF(G$1=1,"",IF(Tab.o1[[#This Row],[a1]]=1,Tab.o1[[#This Row],[Wr]]^2,""))</f>
        <v/>
      </c>
      <c r="AD403" s="118" t="str">
        <f>IF(Tab.o1[[#This Row],[a1]]=1,IF(AE$3=0,"",Tab.o1[[#This Row],[Wr2]]/SUM(Tab.o1[Wr2])),"")</f>
        <v/>
      </c>
      <c r="AE403" s="128" t="str">
        <f>IF(Tab.o1[[#This Row],[a1]]=1,[1]!T.in.A[[#This Row],[oo10]],"")</f>
        <v/>
      </c>
      <c r="AF403" s="118" t="str">
        <f>IF(Tab.o1[[#This Row],[a1]]=1,ABS(Tab.o1[[#This Row],[DIF_Target.]]*Tab.o1[[#This Row],[PDF2]]*Tab.o1[[#This Row],[IN]]),"")</f>
        <v/>
      </c>
      <c r="AG403" s="129" t="str">
        <f>IF(Tab.o1[[#This Row],[a1]]=1,Tab.o1[[#This Row],[rW]]^2,"")</f>
        <v/>
      </c>
      <c r="AH403" s="130" t="str">
        <f>IF(Tab.o1[[#This Row],[a1]]=1,IF(AH$3=0,Tab.o1[[#This Row],[rW2]],0.01+0.94*Tab.o1[[#This Row],[rW2]]/SUM(Tab.o1[rW2])),"")</f>
        <v/>
      </c>
      <c r="AI403" s="128" t="str">
        <f>IF(Tab.o1[[#This Row],[a1]]=1,1/Tab.o1[[#This Row],[PDF]],"")</f>
        <v/>
      </c>
      <c r="AJ403" s="131" t="str">
        <f>IF(Tab.o1[[#This Row],[a1]]=1,[1]!T_AA[[#This Row],[IN'']]*[1]!T_AA[[#This Row],[Qde'']],"")</f>
        <v/>
      </c>
      <c r="AK403" s="132" t="str">
        <f>IF(Tab.o1[[#This Row],[a1]]=1,IF(AK$1=1,Tab.o1[[#This Row],[MED]]+Tab.o1[[#This Row],[MOD]]-Tab.o1[[#This Row],[MED]],""),"")</f>
        <v/>
      </c>
      <c r="AL403" s="133" t="str">
        <f>IF(Tab.o1[[#This Row],[a1]]=1,[1]!T.in.A[[#This Row],[oo16]],"")</f>
        <v/>
      </c>
      <c r="AM403" s="133" t="str">
        <f>IF(Tab.o1[[#This Row],[a1]]=1,IF(AM$3=1,[1]!T.in.A[[#This Row],[Σo16]],""),"")</f>
        <v/>
      </c>
      <c r="AN403" s="126" t="str">
        <f>IF(Tab.o1[[#This Row],[a1]]=1,[1]!T.in.A[[#This Row],[Σp5]],"")</f>
        <v/>
      </c>
      <c r="AO403" s="126" t="str">
        <f>IF(Tab.o1[[#This Row],[a1]]=1,IF(AO$3=1,[1]!T.in.A[[#This Row],[Σp5]],""),"")</f>
        <v/>
      </c>
      <c r="AP403" s="110" t="str">
        <f>IF(Tab.o1[[#This Row],[a1]]=1,IF(ISNUMBER(Tab.o1[[#This Row],[i.]]),NORMDIST(Tab.o1[[#This Row],[Za]],0,1,FALSE)*Tab.o1[[#This Row],[i.]],0),"")</f>
        <v/>
      </c>
      <c r="AQ403" s="125" t="str">
        <f>IF(Tab.o1[[#This Row],[a1]]=1,ABS(Tab.o1[[#This Row],[MOD]]-AVERAGE(Tab.o1[MOD])),"")</f>
        <v/>
      </c>
      <c r="AR403" s="134" t="str">
        <f>IF(Tab.o1[[#This Row],[a1]]=1,Tab.o1[[#This Row],[OBS]]/SUM(Tab.o1[OBS]),"")</f>
        <v/>
      </c>
      <c r="AS403" s="135" t="str">
        <f>IF(ISNUMBER(Tab.o1[[#This Row],[a1]]),ROW()-4,"")</f>
        <v/>
      </c>
      <c r="AT403" s="136" t="str">
        <f>Tab.o1[[#This Row],[MOD]]</f>
        <v/>
      </c>
      <c r="AU403" s="137" t="str">
        <f t="shared" si="25"/>
        <v/>
      </c>
      <c r="AV403" s="138" t="str">
        <f t="shared" si="26"/>
        <v/>
      </c>
      <c r="AW403" s="138" t="str">
        <f t="shared" si="27"/>
        <v/>
      </c>
      <c r="AX403" s="139" t="str">
        <f>[1]!T.in.A[[#This Row],[ID_T_manu]]</f>
        <v/>
      </c>
      <c r="AY403" s="140" t="str">
        <f>IF(ISNUMBER(Tab.o1[[#This Row],[a1]]),IF(AND(Tab.o1[[#This Row],[a1]]=1,Tab.o1[[#This Row],[b1]]&lt;=AY$4),#REF!,AY402),"")</f>
        <v/>
      </c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</row>
    <row r="404" spans="1:79" ht="15.75" hidden="1">
      <c r="A404" s="109">
        <v>8.0000000000000013E-6</v>
      </c>
      <c r="B404" s="110">
        <f t="shared" si="24"/>
        <v>404</v>
      </c>
      <c r="C404" s="111" t="str">
        <f>IF(C$1=[1]!T.in.A[[#This Row],[oo2]],1,"")</f>
        <v/>
      </c>
      <c r="D404" s="112" t="str">
        <f>IF(Tab.o1[[#This Row],[a1]]=1,IF(SUM(C404:C405)=0,0,IF(SUM(C403:C404)=1,1,IF(SUM(C403:C405)&gt;1,D403+1,0))),"")</f>
        <v/>
      </c>
      <c r="E404" s="113" t="str">
        <f>IF(Tab.o1[[#This Row],[a1]]=1,[1]!T.in.A[[#This Row],[oo1]],"")</f>
        <v/>
      </c>
      <c r="F404" s="113" t="str">
        <f>IF(Tab.o1[[#This Row],[a1]]=1,[1]!T.in.A[[#This Row],[pp1]],"")</f>
        <v/>
      </c>
      <c r="G404" s="114" t="str">
        <f>IF(Tab.o1[[#This Row],[a1]]=1,G$2+IF(G$1=1,0,Tab.o1[[#This Row],[.x1]])+[1]!T.in.A[[#This Row],[oo3]],"")</f>
        <v/>
      </c>
      <c r="H404" s="115" t="str">
        <f>IF(Tab.o1[[#This Row],[a1]]=1,IF(H$2=0,0,IF(G$1=1,0,Tab.o1[[#This Row],[.x1]])+[1]!T.in.A[[#This Row],[oo4]]),"")</f>
        <v/>
      </c>
      <c r="I404" s="116" t="str">
        <f>IF(Tab.o1[[#This Row],[a1]]=1,IF(J$2=0,Tab.o1[[#This Row],[MED]],Tab.o1[[#This Row],[MOD]]),"")</f>
        <v/>
      </c>
      <c r="J404" s="116" t="str">
        <f>IF(Tab.o1[[#This Row],[a1]]=1,((Tab.o1[[#This Row],[DIF_Target.]]-AVERAGE(Tab.o1[DIF_Target.]))/_xlfn.STDEV.P(Tab.o1[DIF_Target.])),"")</f>
        <v/>
      </c>
      <c r="K404" s="117" t="str">
        <f>IF(Tab.o1[[#This Row],[a1]]=1,IF(J$2=0,Tab.o1[[#This Row],[MOD]]-Tab.o1[[#This Row],[B]],IF(J$2=1,0,-Tab.o1[[#This Row],[MED]])+Tab.o1[[#This Row],[B]]),"")</f>
        <v/>
      </c>
      <c r="L404" s="117" t="str">
        <f ca="1">IF(Tab.o1[[#This Row],[DIF_Target]]=0,IF(L$2=0,Tab.o1[[#This Row],[DIF_Target]],AVERAGE(OFFSET(Tab.o1[[#This Row],[DIF_Target]],1,0,L$3,1)))/3,Tab.o1[[#This Row],[DIF_Target]])</f>
        <v/>
      </c>
      <c r="M404" s="118" t="str">
        <f>IF(Tab.o1[[#This Row],[a1]]=1,NORMSDIST(Tab.o1[[#This Row],[Za]]),"")</f>
        <v/>
      </c>
      <c r="N404" s="119" t="str">
        <f>IF(Tab.o1[[#This Row],[a1]]=1,((Tab.o1[[#This Row],[MedMod]]-AVERAGE(Tab.o1[MedMod]))/_xlfn.STDEV.P(Tab.o1[MedMod])*H$1205)+G$1205,"")</f>
        <v/>
      </c>
      <c r="O404" s="141" t="str">
        <f>IF(Tab.o1[[#This Row],[a1]]=1,Tab.o1[[#This Row],[Zb]]*_xlfn.STDEV.P(Tab.o1[MedMod])+AVERAGE(Tab.o1[MedMod]),"")</f>
        <v/>
      </c>
      <c r="P404" s="117" t="str">
        <f ca="1">IF(Tab.o1[[#This Row],[B]]=0,AVERAGE(OFFSET(Tab.o1[[#This Row],[B]],1,0,L$3,1)),Tab.o1[[#This Row],[B]])</f>
        <v/>
      </c>
      <c r="Q404" s="121" t="str">
        <f>IF(Tab.o1[[#This Row],[a1]]=1,NORMSDIST(Tab.o1[[#This Row],[Zb]]),"")</f>
        <v/>
      </c>
      <c r="R404" s="122" t="str">
        <f>IF(Tab.o1[[#This Row],[a1]]=1,((Tab.o1[[#This Row],[MedMod]]-AVERAGE(Tab.o1[MedMod]))/_xlfn.STDEV.P(Tab.o1[MedMod])*H$1203)+G$1203,"")</f>
        <v/>
      </c>
      <c r="S404" s="122" t="str">
        <f>IF(Tab.o1[[#This Row],[a1]]=1,((Tab.o1[[#This Row],[MedMod]]-AVERAGE(Tab.o1[MedMod]))/_xlfn.STDEV.P(Tab.o1[MedMod])*H$1204)+G$1204,"")</f>
        <v/>
      </c>
      <c r="T404" s="123" t="str">
        <f>IF(Tab.o1[[#This Row],[a1]]=1,Tab.o1[[#This Row],[Z-]]*_xlfn.STDEV.P(Tab.o1[B])+AVERAGE(Tab.o1[B]),"")</f>
        <v/>
      </c>
      <c r="U404" s="123" t="str">
        <f>IF(Tab.o1[[#This Row],[a1]]=1,Tab.o1[[#This Row],[z+]]*_xlfn.STDEV.P(Tab.o1[B])+AVERAGE(Tab.o1[B]),"")</f>
        <v/>
      </c>
      <c r="V404" s="124" t="str">
        <f>IF(Tab.o1[[#This Row],[a1]]=1,ABS((ABS(Tab.o1[[#This Row],[Red]]-Tab.o1[[#This Row],[Blue]]))),"")</f>
        <v/>
      </c>
      <c r="W404" s="125" t="str">
        <f>IF(Tab.o1[[#This Row],[a1]]=1,IF(W$3=0,1,Tab.o1[[#This Row],[Amp.]]*1/_xlfn.MINIFS(Tab.o1[Amp.],Tab.o1[Amp.],"&lt;&gt;0")),"")</f>
        <v/>
      </c>
      <c r="X404" s="126" t="str">
        <f>IF(Tab.o1[[#This Row],[a1]]=1,IF(ISNUMBER(Tab.o1[[#This Row],[i.]]),NORMDIST(Tab.o1[[#This Row],[Za]],0,1,FALSE)*Tab.o1[[#This Row],[i.]],AP$3),"")</f>
        <v/>
      </c>
      <c r="Y404" s="126" t="str">
        <f>IF(Tab.o1[[#This Row],[a1]]=1,0.01+0.94*Tab.o1[[#This Row],[PDF]]/MAX(Tab.o1[PDF]),"")</f>
        <v/>
      </c>
      <c r="Z404" s="126" t="str">
        <f>IF(Tab.o1[[#This Row],[a1]]=1,0.01+0.94*Tab.o1[[#This Row],[W1_PDF]]/MAX(Tab.o1[W1_PDF]),"")</f>
        <v/>
      </c>
      <c r="AA404" s="118" t="str">
        <f>IF(Tab.o1[[#This Row],[a1]]=1,ABS([1]!T.in.A[[#This Row],[oo6]]),"")</f>
        <v/>
      </c>
      <c r="AB404" s="127" t="str">
        <f>IF(Tab.o1[[#This Row],[a1]]=1,IF(AE$3=0,"",IF(AB$3=0,ABS([1]!T.in.A[[#This Row],[oo9]]),ABS(Tab.o1[[#This Row],[DIF_Target.]]*Tab.o1[[#This Row],[W1_PDF]]))),"")</f>
        <v/>
      </c>
      <c r="AC404" s="127" t="str">
        <f>IF(G$1=1,"",IF(Tab.o1[[#This Row],[a1]]=1,Tab.o1[[#This Row],[Wr]]^2,""))</f>
        <v/>
      </c>
      <c r="AD404" s="118" t="str">
        <f>IF(Tab.o1[[#This Row],[a1]]=1,IF(AE$3=0,"",Tab.o1[[#This Row],[Wr2]]/SUM(Tab.o1[Wr2])),"")</f>
        <v/>
      </c>
      <c r="AE404" s="128" t="str">
        <f>IF(Tab.o1[[#This Row],[a1]]=1,[1]!T.in.A[[#This Row],[oo10]],"")</f>
        <v/>
      </c>
      <c r="AF404" s="118" t="str">
        <f>IF(Tab.o1[[#This Row],[a1]]=1,ABS(Tab.o1[[#This Row],[DIF_Target.]]*Tab.o1[[#This Row],[PDF2]]*Tab.o1[[#This Row],[IN]]),"")</f>
        <v/>
      </c>
      <c r="AG404" s="129" t="str">
        <f>IF(Tab.o1[[#This Row],[a1]]=1,Tab.o1[[#This Row],[rW]]^2,"")</f>
        <v/>
      </c>
      <c r="AH404" s="130" t="str">
        <f>IF(Tab.o1[[#This Row],[a1]]=1,IF(AH$3=0,Tab.o1[[#This Row],[rW2]],0.01+0.94*Tab.o1[[#This Row],[rW2]]/SUM(Tab.o1[rW2])),"")</f>
        <v/>
      </c>
      <c r="AI404" s="128" t="str">
        <f>IF(Tab.o1[[#This Row],[a1]]=1,1/Tab.o1[[#This Row],[PDF]],"")</f>
        <v/>
      </c>
      <c r="AJ404" s="131" t="str">
        <f>IF(Tab.o1[[#This Row],[a1]]=1,[1]!T_AA[[#This Row],[IN'']]*[1]!T_AA[[#This Row],[Qde'']],"")</f>
        <v/>
      </c>
      <c r="AK404" s="132" t="str">
        <f>IF(Tab.o1[[#This Row],[a1]]=1,IF(AK$1=1,Tab.o1[[#This Row],[MED]]+Tab.o1[[#This Row],[MOD]]-Tab.o1[[#This Row],[MED]],""),"")</f>
        <v/>
      </c>
      <c r="AL404" s="133" t="str">
        <f>IF(Tab.o1[[#This Row],[a1]]=1,[1]!T.in.A[[#This Row],[oo16]],"")</f>
        <v/>
      </c>
      <c r="AM404" s="133" t="str">
        <f>IF(Tab.o1[[#This Row],[a1]]=1,IF(AM$3=1,[1]!T.in.A[[#This Row],[Σo16]],""),"")</f>
        <v/>
      </c>
      <c r="AN404" s="126" t="str">
        <f>IF(Tab.o1[[#This Row],[a1]]=1,[1]!T.in.A[[#This Row],[Σp5]],"")</f>
        <v/>
      </c>
      <c r="AO404" s="126" t="str">
        <f>IF(Tab.o1[[#This Row],[a1]]=1,IF(AO$3=1,[1]!T.in.A[[#This Row],[Σp5]],""),"")</f>
        <v/>
      </c>
      <c r="AP404" s="110" t="str">
        <f>IF(Tab.o1[[#This Row],[a1]]=1,IF(ISNUMBER(Tab.o1[[#This Row],[i.]]),NORMDIST(Tab.o1[[#This Row],[Za]],0,1,FALSE)*Tab.o1[[#This Row],[i.]],0),"")</f>
        <v/>
      </c>
      <c r="AQ404" s="125" t="str">
        <f>IF(Tab.o1[[#This Row],[a1]]=1,ABS(Tab.o1[[#This Row],[MOD]]-AVERAGE(Tab.o1[MOD])),"")</f>
        <v/>
      </c>
      <c r="AR404" s="134" t="str">
        <f>IF(Tab.o1[[#This Row],[a1]]=1,Tab.o1[[#This Row],[OBS]]/SUM(Tab.o1[OBS]),"")</f>
        <v/>
      </c>
      <c r="AS404" s="135" t="str">
        <f>IF(ISNUMBER(Tab.o1[[#This Row],[a1]]),ROW()-4,"")</f>
        <v/>
      </c>
      <c r="AT404" s="136" t="str">
        <f>Tab.o1[[#This Row],[MOD]]</f>
        <v/>
      </c>
      <c r="AU404" s="137" t="str">
        <f t="shared" si="25"/>
        <v/>
      </c>
      <c r="AV404" s="138" t="str">
        <f t="shared" si="26"/>
        <v/>
      </c>
      <c r="AW404" s="138" t="str">
        <f t="shared" si="27"/>
        <v/>
      </c>
      <c r="AX404" s="139" t="str">
        <f>[1]!T.in.A[[#This Row],[ID_T_manu]]</f>
        <v/>
      </c>
      <c r="AY404" s="140" t="str">
        <f>IF(ISNUMBER(Tab.o1[[#This Row],[a1]]),IF(AND(Tab.o1[[#This Row],[a1]]=1,Tab.o1[[#This Row],[b1]]&lt;=AY$4),#REF!,AY403),"")</f>
        <v/>
      </c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</row>
    <row r="405" spans="1:79" ht="15.75" hidden="1">
      <c r="A405" s="109">
        <v>1.0000000000000002E-6</v>
      </c>
      <c r="B405" s="110">
        <f t="shared" si="24"/>
        <v>405</v>
      </c>
      <c r="C405" s="111" t="str">
        <f>IF(C$1=[1]!T.in.A[[#This Row],[oo2]],1,"")</f>
        <v/>
      </c>
      <c r="D405" s="112" t="str">
        <f>IF(Tab.o1[[#This Row],[a1]]=1,IF(SUM(C405:C406)=0,0,IF(SUM(C404:C405)=1,1,IF(SUM(C404:C406)&gt;1,D404+1,0))),"")</f>
        <v/>
      </c>
      <c r="E405" s="113" t="str">
        <f>IF(Tab.o1[[#This Row],[a1]]=1,[1]!T.in.A[[#This Row],[oo1]],"")</f>
        <v/>
      </c>
      <c r="F405" s="113" t="str">
        <f>IF(Tab.o1[[#This Row],[a1]]=1,[1]!T.in.A[[#This Row],[pp1]],"")</f>
        <v/>
      </c>
      <c r="G405" s="114" t="str">
        <f>IF(Tab.o1[[#This Row],[a1]]=1,G$2+IF(G$1=1,0,Tab.o1[[#This Row],[.x1]])+[1]!T.in.A[[#This Row],[oo3]],"")</f>
        <v/>
      </c>
      <c r="H405" s="115" t="str">
        <f>IF(Tab.o1[[#This Row],[a1]]=1,IF(H$2=0,0,IF(G$1=1,0,Tab.o1[[#This Row],[.x1]])+[1]!T.in.A[[#This Row],[oo4]]),"")</f>
        <v/>
      </c>
      <c r="I405" s="116" t="str">
        <f>IF(Tab.o1[[#This Row],[a1]]=1,IF(J$2=0,Tab.o1[[#This Row],[MED]],Tab.o1[[#This Row],[MOD]]),"")</f>
        <v/>
      </c>
      <c r="J405" s="116" t="str">
        <f>IF(Tab.o1[[#This Row],[a1]]=1,((Tab.o1[[#This Row],[DIF_Target.]]-AVERAGE(Tab.o1[DIF_Target.]))/_xlfn.STDEV.P(Tab.o1[DIF_Target.])),"")</f>
        <v/>
      </c>
      <c r="K405" s="117" t="str">
        <f>IF(Tab.o1[[#This Row],[a1]]=1,IF(J$2=0,Tab.o1[[#This Row],[MOD]]-Tab.o1[[#This Row],[B]],IF(J$2=1,0,-Tab.o1[[#This Row],[MED]])+Tab.o1[[#This Row],[B]]),"")</f>
        <v/>
      </c>
      <c r="L405" s="117" t="str">
        <f ca="1">IF(Tab.o1[[#This Row],[DIF_Target]]=0,IF(L$2=0,Tab.o1[[#This Row],[DIF_Target]],AVERAGE(OFFSET(Tab.o1[[#This Row],[DIF_Target]],1,0,L$3,1)))/3,Tab.o1[[#This Row],[DIF_Target]])</f>
        <v/>
      </c>
      <c r="M405" s="118" t="str">
        <f>IF(Tab.o1[[#This Row],[a1]]=1,NORMSDIST(Tab.o1[[#This Row],[Za]]),"")</f>
        <v/>
      </c>
      <c r="N405" s="119" t="str">
        <f>IF(Tab.o1[[#This Row],[a1]]=1,((Tab.o1[[#This Row],[MedMod]]-AVERAGE(Tab.o1[MedMod]))/_xlfn.STDEV.P(Tab.o1[MedMod])*H$1205)+G$1205,"")</f>
        <v/>
      </c>
      <c r="O405" s="141" t="str">
        <f>IF(Tab.o1[[#This Row],[a1]]=1,Tab.o1[[#This Row],[Zb]]*_xlfn.STDEV.P(Tab.o1[MedMod])+AVERAGE(Tab.o1[MedMod]),"")</f>
        <v/>
      </c>
      <c r="P405" s="117" t="str">
        <f ca="1">IF(Tab.o1[[#This Row],[B]]=0,AVERAGE(OFFSET(Tab.o1[[#This Row],[B]],1,0,L$3,1)),Tab.o1[[#This Row],[B]])</f>
        <v/>
      </c>
      <c r="Q405" s="121" t="str">
        <f>IF(Tab.o1[[#This Row],[a1]]=1,NORMSDIST(Tab.o1[[#This Row],[Zb]]),"")</f>
        <v/>
      </c>
      <c r="R405" s="122" t="str">
        <f>IF(Tab.o1[[#This Row],[a1]]=1,((Tab.o1[[#This Row],[MedMod]]-AVERAGE(Tab.o1[MedMod]))/_xlfn.STDEV.P(Tab.o1[MedMod])*H$1203)+G$1203,"")</f>
        <v/>
      </c>
      <c r="S405" s="122" t="str">
        <f>IF(Tab.o1[[#This Row],[a1]]=1,((Tab.o1[[#This Row],[MedMod]]-AVERAGE(Tab.o1[MedMod]))/_xlfn.STDEV.P(Tab.o1[MedMod])*H$1204)+G$1204,"")</f>
        <v/>
      </c>
      <c r="T405" s="123" t="str">
        <f>IF(Tab.o1[[#This Row],[a1]]=1,Tab.o1[[#This Row],[Z-]]*_xlfn.STDEV.P(Tab.o1[B])+AVERAGE(Tab.o1[B]),"")</f>
        <v/>
      </c>
      <c r="U405" s="123" t="str">
        <f>IF(Tab.o1[[#This Row],[a1]]=1,Tab.o1[[#This Row],[z+]]*_xlfn.STDEV.P(Tab.o1[B])+AVERAGE(Tab.o1[B]),"")</f>
        <v/>
      </c>
      <c r="V405" s="124" t="str">
        <f>IF(Tab.o1[[#This Row],[a1]]=1,ABS((ABS(Tab.o1[[#This Row],[Red]]-Tab.o1[[#This Row],[Blue]]))),"")</f>
        <v/>
      </c>
      <c r="W405" s="125" t="str">
        <f>IF(Tab.o1[[#This Row],[a1]]=1,IF(W$3=0,1,Tab.o1[[#This Row],[Amp.]]*1/_xlfn.MINIFS(Tab.o1[Amp.],Tab.o1[Amp.],"&lt;&gt;0")),"")</f>
        <v/>
      </c>
      <c r="X405" s="126" t="str">
        <f>IF(Tab.o1[[#This Row],[a1]]=1,IF(ISNUMBER(Tab.o1[[#This Row],[i.]]),NORMDIST(Tab.o1[[#This Row],[Za]],0,1,FALSE)*Tab.o1[[#This Row],[i.]],AP$3),"")</f>
        <v/>
      </c>
      <c r="Y405" s="126" t="str">
        <f>IF(Tab.o1[[#This Row],[a1]]=1,0.01+0.94*Tab.o1[[#This Row],[PDF]]/MAX(Tab.o1[PDF]),"")</f>
        <v/>
      </c>
      <c r="Z405" s="126" t="str">
        <f>IF(Tab.o1[[#This Row],[a1]]=1,0.01+0.94*Tab.o1[[#This Row],[W1_PDF]]/MAX(Tab.o1[W1_PDF]),"")</f>
        <v/>
      </c>
      <c r="AA405" s="118" t="str">
        <f>IF(Tab.o1[[#This Row],[a1]]=1,ABS([1]!T.in.A[[#This Row],[oo6]]),"")</f>
        <v/>
      </c>
      <c r="AB405" s="127" t="str">
        <f>IF(Tab.o1[[#This Row],[a1]]=1,IF(AE$3=0,"",IF(AB$3=0,ABS([1]!T.in.A[[#This Row],[oo9]]),ABS(Tab.o1[[#This Row],[DIF_Target.]]*Tab.o1[[#This Row],[W1_PDF]]))),"")</f>
        <v/>
      </c>
      <c r="AC405" s="127" t="str">
        <f>IF(G$1=1,"",IF(Tab.o1[[#This Row],[a1]]=1,Tab.o1[[#This Row],[Wr]]^2,""))</f>
        <v/>
      </c>
      <c r="AD405" s="118" t="str">
        <f>IF(Tab.o1[[#This Row],[a1]]=1,IF(AE$3=0,"",Tab.o1[[#This Row],[Wr2]]/SUM(Tab.o1[Wr2])),"")</f>
        <v/>
      </c>
      <c r="AE405" s="128" t="str">
        <f>IF(Tab.o1[[#This Row],[a1]]=1,[1]!T.in.A[[#This Row],[oo10]],"")</f>
        <v/>
      </c>
      <c r="AF405" s="118" t="str">
        <f>IF(Tab.o1[[#This Row],[a1]]=1,ABS(Tab.o1[[#This Row],[DIF_Target.]]*Tab.o1[[#This Row],[PDF2]]*Tab.o1[[#This Row],[IN]]),"")</f>
        <v/>
      </c>
      <c r="AG405" s="129" t="str">
        <f>IF(Tab.o1[[#This Row],[a1]]=1,Tab.o1[[#This Row],[rW]]^2,"")</f>
        <v/>
      </c>
      <c r="AH405" s="130" t="str">
        <f>IF(Tab.o1[[#This Row],[a1]]=1,IF(AH$3=0,Tab.o1[[#This Row],[rW2]],0.01+0.94*Tab.o1[[#This Row],[rW2]]/SUM(Tab.o1[rW2])),"")</f>
        <v/>
      </c>
      <c r="AI405" s="128" t="str">
        <f>IF(Tab.o1[[#This Row],[a1]]=1,1/Tab.o1[[#This Row],[PDF]],"")</f>
        <v/>
      </c>
      <c r="AJ405" s="131" t="str">
        <f>IF(Tab.o1[[#This Row],[a1]]=1,[1]!T_AA[[#This Row],[IN'']]*[1]!T_AA[[#This Row],[Qde'']],"")</f>
        <v/>
      </c>
      <c r="AK405" s="132" t="str">
        <f>IF(Tab.o1[[#This Row],[a1]]=1,IF(AK$1=1,Tab.o1[[#This Row],[MED]]+Tab.o1[[#This Row],[MOD]]-Tab.o1[[#This Row],[MED]],""),"")</f>
        <v/>
      </c>
      <c r="AL405" s="133" t="str">
        <f>IF(Tab.o1[[#This Row],[a1]]=1,[1]!T.in.A[[#This Row],[oo16]],"")</f>
        <v/>
      </c>
      <c r="AM405" s="133" t="str">
        <f>IF(Tab.o1[[#This Row],[a1]]=1,IF(AM$3=1,[1]!T.in.A[[#This Row],[Σo16]],""),"")</f>
        <v/>
      </c>
      <c r="AN405" s="126" t="str">
        <f>IF(Tab.o1[[#This Row],[a1]]=1,[1]!T.in.A[[#This Row],[Σp5]],"")</f>
        <v/>
      </c>
      <c r="AO405" s="126" t="str">
        <f>IF(Tab.o1[[#This Row],[a1]]=1,IF(AO$3=1,[1]!T.in.A[[#This Row],[Σp5]],""),"")</f>
        <v/>
      </c>
      <c r="AP405" s="110" t="str">
        <f>IF(Tab.o1[[#This Row],[a1]]=1,IF(ISNUMBER(Tab.o1[[#This Row],[i.]]),NORMDIST(Tab.o1[[#This Row],[Za]],0,1,FALSE)*Tab.o1[[#This Row],[i.]],0),"")</f>
        <v/>
      </c>
      <c r="AQ405" s="125" t="str">
        <f>IF(Tab.o1[[#This Row],[a1]]=1,ABS(Tab.o1[[#This Row],[MOD]]-AVERAGE(Tab.o1[MOD])),"")</f>
        <v/>
      </c>
      <c r="AR405" s="134" t="str">
        <f>IF(Tab.o1[[#This Row],[a1]]=1,Tab.o1[[#This Row],[OBS]]/SUM(Tab.o1[OBS]),"")</f>
        <v/>
      </c>
      <c r="AS405" s="135" t="str">
        <f>IF(ISNUMBER(Tab.o1[[#This Row],[a1]]),ROW()-4,"")</f>
        <v/>
      </c>
      <c r="AT405" s="136" t="str">
        <f>Tab.o1[[#This Row],[MOD]]</f>
        <v/>
      </c>
      <c r="AU405" s="137" t="str">
        <f t="shared" si="25"/>
        <v/>
      </c>
      <c r="AV405" s="138" t="str">
        <f t="shared" si="26"/>
        <v/>
      </c>
      <c r="AW405" s="138" t="str">
        <f t="shared" si="27"/>
        <v/>
      </c>
      <c r="AX405" s="139" t="str">
        <f>[1]!T.in.A[[#This Row],[ID_T_manu]]</f>
        <v/>
      </c>
      <c r="AY405" s="140" t="str">
        <f>IF(ISNUMBER(Tab.o1[[#This Row],[a1]]),IF(AND(Tab.o1[[#This Row],[a1]]=1,Tab.o1[[#This Row],[b1]]&lt;=AY$4),#REF!,AY404),"")</f>
        <v/>
      </c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</row>
    <row r="406" spans="1:79" ht="15.75" hidden="1">
      <c r="A406" s="109">
        <v>1.0000000000000001E-5</v>
      </c>
      <c r="B406" s="110">
        <f t="shared" si="24"/>
        <v>406</v>
      </c>
      <c r="C406" s="111" t="str">
        <f>IF(C$1=[1]!T.in.A[[#This Row],[oo2]],1,"")</f>
        <v/>
      </c>
      <c r="D406" s="112" t="str">
        <f>IF(Tab.o1[[#This Row],[a1]]=1,IF(SUM(C406:C407)=0,0,IF(SUM(C405:C406)=1,1,IF(SUM(C405:C407)&gt;1,D405+1,0))),"")</f>
        <v/>
      </c>
      <c r="E406" s="113" t="str">
        <f>IF(Tab.o1[[#This Row],[a1]]=1,[1]!T.in.A[[#This Row],[oo1]],"")</f>
        <v/>
      </c>
      <c r="F406" s="113" t="str">
        <f>IF(Tab.o1[[#This Row],[a1]]=1,[1]!T.in.A[[#This Row],[pp1]],"")</f>
        <v/>
      </c>
      <c r="G406" s="114" t="str">
        <f>IF(Tab.o1[[#This Row],[a1]]=1,G$2+IF(G$1=1,0,Tab.o1[[#This Row],[.x1]])+[1]!T.in.A[[#This Row],[oo3]],"")</f>
        <v/>
      </c>
      <c r="H406" s="115" t="str">
        <f>IF(Tab.o1[[#This Row],[a1]]=1,IF(H$2=0,0,IF(G$1=1,0,Tab.o1[[#This Row],[.x1]])+[1]!T.in.A[[#This Row],[oo4]]),"")</f>
        <v/>
      </c>
      <c r="I406" s="116" t="str">
        <f>IF(Tab.o1[[#This Row],[a1]]=1,IF(J$2=0,Tab.o1[[#This Row],[MED]],Tab.o1[[#This Row],[MOD]]),"")</f>
        <v/>
      </c>
      <c r="J406" s="116" t="str">
        <f>IF(Tab.o1[[#This Row],[a1]]=1,((Tab.o1[[#This Row],[DIF_Target.]]-AVERAGE(Tab.o1[DIF_Target.]))/_xlfn.STDEV.P(Tab.o1[DIF_Target.])),"")</f>
        <v/>
      </c>
      <c r="K406" s="117" t="str">
        <f>IF(Tab.o1[[#This Row],[a1]]=1,IF(J$2=0,Tab.o1[[#This Row],[MOD]]-Tab.o1[[#This Row],[B]],IF(J$2=1,0,-Tab.o1[[#This Row],[MED]])+Tab.o1[[#This Row],[B]]),"")</f>
        <v/>
      </c>
      <c r="L406" s="117" t="str">
        <f ca="1">IF(Tab.o1[[#This Row],[DIF_Target]]=0,IF(L$2=0,Tab.o1[[#This Row],[DIF_Target]],AVERAGE(OFFSET(Tab.o1[[#This Row],[DIF_Target]],1,0,L$3,1)))/3,Tab.o1[[#This Row],[DIF_Target]])</f>
        <v/>
      </c>
      <c r="M406" s="118" t="str">
        <f>IF(Tab.o1[[#This Row],[a1]]=1,NORMSDIST(Tab.o1[[#This Row],[Za]]),"")</f>
        <v/>
      </c>
      <c r="N406" s="119" t="str">
        <f>IF(Tab.o1[[#This Row],[a1]]=1,((Tab.o1[[#This Row],[MedMod]]-AVERAGE(Tab.o1[MedMod]))/_xlfn.STDEV.P(Tab.o1[MedMod])*H$1205)+G$1205,"")</f>
        <v/>
      </c>
      <c r="O406" s="141" t="str">
        <f>IF(Tab.o1[[#This Row],[a1]]=1,Tab.o1[[#This Row],[Zb]]*_xlfn.STDEV.P(Tab.o1[MedMod])+AVERAGE(Tab.o1[MedMod]),"")</f>
        <v/>
      </c>
      <c r="P406" s="117" t="str">
        <f ca="1">IF(Tab.o1[[#This Row],[B]]=0,AVERAGE(OFFSET(Tab.o1[[#This Row],[B]],1,0,L$3,1)),Tab.o1[[#This Row],[B]])</f>
        <v/>
      </c>
      <c r="Q406" s="121" t="str">
        <f>IF(Tab.o1[[#This Row],[a1]]=1,NORMSDIST(Tab.o1[[#This Row],[Zb]]),"")</f>
        <v/>
      </c>
      <c r="R406" s="122" t="str">
        <f>IF(Tab.o1[[#This Row],[a1]]=1,((Tab.o1[[#This Row],[MedMod]]-AVERAGE(Tab.o1[MedMod]))/_xlfn.STDEV.P(Tab.o1[MedMod])*H$1203)+G$1203,"")</f>
        <v/>
      </c>
      <c r="S406" s="122" t="str">
        <f>IF(Tab.o1[[#This Row],[a1]]=1,((Tab.o1[[#This Row],[MedMod]]-AVERAGE(Tab.o1[MedMod]))/_xlfn.STDEV.P(Tab.o1[MedMod])*H$1204)+G$1204,"")</f>
        <v/>
      </c>
      <c r="T406" s="123" t="str">
        <f>IF(Tab.o1[[#This Row],[a1]]=1,Tab.o1[[#This Row],[Z-]]*_xlfn.STDEV.P(Tab.o1[B])+AVERAGE(Tab.o1[B]),"")</f>
        <v/>
      </c>
      <c r="U406" s="123" t="str">
        <f>IF(Tab.o1[[#This Row],[a1]]=1,Tab.o1[[#This Row],[z+]]*_xlfn.STDEV.P(Tab.o1[B])+AVERAGE(Tab.o1[B]),"")</f>
        <v/>
      </c>
      <c r="V406" s="124" t="str">
        <f>IF(Tab.o1[[#This Row],[a1]]=1,ABS((ABS(Tab.o1[[#This Row],[Red]]-Tab.o1[[#This Row],[Blue]]))),"")</f>
        <v/>
      </c>
      <c r="W406" s="125" t="str">
        <f>IF(Tab.o1[[#This Row],[a1]]=1,IF(W$3=0,1,Tab.o1[[#This Row],[Amp.]]*1/_xlfn.MINIFS(Tab.o1[Amp.],Tab.o1[Amp.],"&lt;&gt;0")),"")</f>
        <v/>
      </c>
      <c r="X406" s="126" t="str">
        <f>IF(Tab.o1[[#This Row],[a1]]=1,IF(ISNUMBER(Tab.o1[[#This Row],[i.]]),NORMDIST(Tab.o1[[#This Row],[Za]],0,1,FALSE)*Tab.o1[[#This Row],[i.]],AP$3),"")</f>
        <v/>
      </c>
      <c r="Y406" s="126" t="str">
        <f>IF(Tab.o1[[#This Row],[a1]]=1,0.01+0.94*Tab.o1[[#This Row],[PDF]]/MAX(Tab.o1[PDF]),"")</f>
        <v/>
      </c>
      <c r="Z406" s="126" t="str">
        <f>IF(Tab.o1[[#This Row],[a1]]=1,0.01+0.94*Tab.o1[[#This Row],[W1_PDF]]/MAX(Tab.o1[W1_PDF]),"")</f>
        <v/>
      </c>
      <c r="AA406" s="118" t="str">
        <f>IF(Tab.o1[[#This Row],[a1]]=1,ABS([1]!T.in.A[[#This Row],[oo6]]),"")</f>
        <v/>
      </c>
      <c r="AB406" s="127" t="str">
        <f>IF(Tab.o1[[#This Row],[a1]]=1,IF(AE$3=0,"",IF(AB$3=0,ABS([1]!T.in.A[[#This Row],[oo9]]),ABS(Tab.o1[[#This Row],[DIF_Target.]]*Tab.o1[[#This Row],[W1_PDF]]))),"")</f>
        <v/>
      </c>
      <c r="AC406" s="127" t="str">
        <f>IF(G$1=1,"",IF(Tab.o1[[#This Row],[a1]]=1,Tab.o1[[#This Row],[Wr]]^2,""))</f>
        <v/>
      </c>
      <c r="AD406" s="118" t="str">
        <f>IF(Tab.o1[[#This Row],[a1]]=1,IF(AE$3=0,"",Tab.o1[[#This Row],[Wr2]]/SUM(Tab.o1[Wr2])),"")</f>
        <v/>
      </c>
      <c r="AE406" s="128" t="str">
        <f>IF(Tab.o1[[#This Row],[a1]]=1,[1]!T.in.A[[#This Row],[oo10]],"")</f>
        <v/>
      </c>
      <c r="AF406" s="118" t="str">
        <f>IF(Tab.o1[[#This Row],[a1]]=1,ABS(Tab.o1[[#This Row],[DIF_Target.]]*Tab.o1[[#This Row],[PDF2]]*Tab.o1[[#This Row],[IN]]),"")</f>
        <v/>
      </c>
      <c r="AG406" s="129" t="str">
        <f>IF(Tab.o1[[#This Row],[a1]]=1,Tab.o1[[#This Row],[rW]]^2,"")</f>
        <v/>
      </c>
      <c r="AH406" s="130" t="str">
        <f>IF(Tab.o1[[#This Row],[a1]]=1,IF(AH$3=0,Tab.o1[[#This Row],[rW2]],0.01+0.94*Tab.o1[[#This Row],[rW2]]/SUM(Tab.o1[rW2])),"")</f>
        <v/>
      </c>
      <c r="AI406" s="128" t="str">
        <f>IF(Tab.o1[[#This Row],[a1]]=1,1/Tab.o1[[#This Row],[PDF]],"")</f>
        <v/>
      </c>
      <c r="AJ406" s="131" t="str">
        <f>IF(Tab.o1[[#This Row],[a1]]=1,[1]!T_AA[[#This Row],[IN'']]*[1]!T_AA[[#This Row],[Qde'']],"")</f>
        <v/>
      </c>
      <c r="AK406" s="132" t="str">
        <f>IF(Tab.o1[[#This Row],[a1]]=1,IF(AK$1=1,Tab.o1[[#This Row],[MED]]+Tab.o1[[#This Row],[MOD]]-Tab.o1[[#This Row],[MED]],""),"")</f>
        <v/>
      </c>
      <c r="AL406" s="133" t="str">
        <f>IF(Tab.o1[[#This Row],[a1]]=1,[1]!T.in.A[[#This Row],[oo16]],"")</f>
        <v/>
      </c>
      <c r="AM406" s="133" t="str">
        <f>IF(Tab.o1[[#This Row],[a1]]=1,IF(AM$3=1,[1]!T.in.A[[#This Row],[Σo16]],""),"")</f>
        <v/>
      </c>
      <c r="AN406" s="126" t="str">
        <f>IF(Tab.o1[[#This Row],[a1]]=1,[1]!T.in.A[[#This Row],[Σp5]],"")</f>
        <v/>
      </c>
      <c r="AO406" s="126" t="str">
        <f>IF(Tab.o1[[#This Row],[a1]]=1,IF(AO$3=1,[1]!T.in.A[[#This Row],[Σp5]],""),"")</f>
        <v/>
      </c>
      <c r="AP406" s="110" t="str">
        <f>IF(Tab.o1[[#This Row],[a1]]=1,IF(ISNUMBER(Tab.o1[[#This Row],[i.]]),NORMDIST(Tab.o1[[#This Row],[Za]],0,1,FALSE)*Tab.o1[[#This Row],[i.]],0),"")</f>
        <v/>
      </c>
      <c r="AQ406" s="125" t="str">
        <f>IF(Tab.o1[[#This Row],[a1]]=1,ABS(Tab.o1[[#This Row],[MOD]]-AVERAGE(Tab.o1[MOD])),"")</f>
        <v/>
      </c>
      <c r="AR406" s="134" t="str">
        <f>IF(Tab.o1[[#This Row],[a1]]=1,Tab.o1[[#This Row],[OBS]]/SUM(Tab.o1[OBS]),"")</f>
        <v/>
      </c>
      <c r="AS406" s="135" t="str">
        <f>IF(ISNUMBER(Tab.o1[[#This Row],[a1]]),ROW()-4,"")</f>
        <v/>
      </c>
      <c r="AT406" s="136" t="str">
        <f>Tab.o1[[#This Row],[MOD]]</f>
        <v/>
      </c>
      <c r="AU406" s="137" t="str">
        <f t="shared" si="25"/>
        <v/>
      </c>
      <c r="AV406" s="138" t="str">
        <f t="shared" si="26"/>
        <v/>
      </c>
      <c r="AW406" s="138" t="str">
        <f t="shared" si="27"/>
        <v/>
      </c>
      <c r="AX406" s="139" t="str">
        <f>[1]!T.in.A[[#This Row],[ID_T_manu]]</f>
        <v/>
      </c>
      <c r="AY406" s="140" t="str">
        <f>IF(ISNUMBER(Tab.o1[[#This Row],[a1]]),IF(AND(Tab.o1[[#This Row],[a1]]=1,Tab.o1[[#This Row],[b1]]&lt;=AY$4),#REF!,AY405),"")</f>
        <v/>
      </c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</row>
    <row r="407" spans="1:79" ht="15.75" hidden="1">
      <c r="A407" s="109">
        <v>8.0000000000000013E-6</v>
      </c>
      <c r="B407" s="110">
        <f t="shared" si="24"/>
        <v>407</v>
      </c>
      <c r="C407" s="111" t="str">
        <f>IF(C$1=[1]!T.in.A[[#This Row],[oo2]],1,"")</f>
        <v/>
      </c>
      <c r="D407" s="112" t="str">
        <f>IF(Tab.o1[[#This Row],[a1]]=1,IF(SUM(C407:C408)=0,0,IF(SUM(C406:C407)=1,1,IF(SUM(C406:C408)&gt;1,D406+1,0))),"")</f>
        <v/>
      </c>
      <c r="E407" s="113" t="str">
        <f>IF(Tab.o1[[#This Row],[a1]]=1,[1]!T.in.A[[#This Row],[oo1]],"")</f>
        <v/>
      </c>
      <c r="F407" s="113" t="str">
        <f>IF(Tab.o1[[#This Row],[a1]]=1,[1]!T.in.A[[#This Row],[pp1]],"")</f>
        <v/>
      </c>
      <c r="G407" s="114" t="str">
        <f>IF(Tab.o1[[#This Row],[a1]]=1,G$2+IF(G$1=1,0,Tab.o1[[#This Row],[.x1]])+[1]!T.in.A[[#This Row],[oo3]],"")</f>
        <v/>
      </c>
      <c r="H407" s="115" t="str">
        <f>IF(Tab.o1[[#This Row],[a1]]=1,IF(H$2=0,0,IF(G$1=1,0,Tab.o1[[#This Row],[.x1]])+[1]!T.in.A[[#This Row],[oo4]]),"")</f>
        <v/>
      </c>
      <c r="I407" s="116" t="str">
        <f>IF(Tab.o1[[#This Row],[a1]]=1,IF(J$2=0,Tab.o1[[#This Row],[MED]],Tab.o1[[#This Row],[MOD]]),"")</f>
        <v/>
      </c>
      <c r="J407" s="116" t="str">
        <f>IF(Tab.o1[[#This Row],[a1]]=1,((Tab.o1[[#This Row],[DIF_Target.]]-AVERAGE(Tab.o1[DIF_Target.]))/_xlfn.STDEV.P(Tab.o1[DIF_Target.])),"")</f>
        <v/>
      </c>
      <c r="K407" s="117" t="str">
        <f>IF(Tab.o1[[#This Row],[a1]]=1,IF(J$2=0,Tab.o1[[#This Row],[MOD]]-Tab.o1[[#This Row],[B]],IF(J$2=1,0,-Tab.o1[[#This Row],[MED]])+Tab.o1[[#This Row],[B]]),"")</f>
        <v/>
      </c>
      <c r="L407" s="117" t="str">
        <f ca="1">IF(Tab.o1[[#This Row],[DIF_Target]]=0,IF(L$2=0,Tab.o1[[#This Row],[DIF_Target]],AVERAGE(OFFSET(Tab.o1[[#This Row],[DIF_Target]],1,0,L$3,1)))/3,Tab.o1[[#This Row],[DIF_Target]])</f>
        <v/>
      </c>
      <c r="M407" s="118" t="str">
        <f>IF(Tab.o1[[#This Row],[a1]]=1,NORMSDIST(Tab.o1[[#This Row],[Za]]),"")</f>
        <v/>
      </c>
      <c r="N407" s="119" t="str">
        <f>IF(Tab.o1[[#This Row],[a1]]=1,((Tab.o1[[#This Row],[MedMod]]-AVERAGE(Tab.o1[MedMod]))/_xlfn.STDEV.P(Tab.o1[MedMod])*H$1205)+G$1205,"")</f>
        <v/>
      </c>
      <c r="O407" s="141" t="str">
        <f>IF(Tab.o1[[#This Row],[a1]]=1,Tab.o1[[#This Row],[Zb]]*_xlfn.STDEV.P(Tab.o1[MedMod])+AVERAGE(Tab.o1[MedMod]),"")</f>
        <v/>
      </c>
      <c r="P407" s="117" t="str">
        <f ca="1">IF(Tab.o1[[#This Row],[B]]=0,AVERAGE(OFFSET(Tab.o1[[#This Row],[B]],1,0,L$3,1)),Tab.o1[[#This Row],[B]])</f>
        <v/>
      </c>
      <c r="Q407" s="121" t="str">
        <f>IF(Tab.o1[[#This Row],[a1]]=1,NORMSDIST(Tab.o1[[#This Row],[Zb]]),"")</f>
        <v/>
      </c>
      <c r="R407" s="122" t="str">
        <f>IF(Tab.o1[[#This Row],[a1]]=1,((Tab.o1[[#This Row],[MedMod]]-AVERAGE(Tab.o1[MedMod]))/_xlfn.STDEV.P(Tab.o1[MedMod])*H$1203)+G$1203,"")</f>
        <v/>
      </c>
      <c r="S407" s="122" t="str">
        <f>IF(Tab.o1[[#This Row],[a1]]=1,((Tab.o1[[#This Row],[MedMod]]-AVERAGE(Tab.o1[MedMod]))/_xlfn.STDEV.P(Tab.o1[MedMod])*H$1204)+G$1204,"")</f>
        <v/>
      </c>
      <c r="T407" s="123" t="str">
        <f>IF(Tab.o1[[#This Row],[a1]]=1,Tab.o1[[#This Row],[Z-]]*_xlfn.STDEV.P(Tab.o1[B])+AVERAGE(Tab.o1[B]),"")</f>
        <v/>
      </c>
      <c r="U407" s="123" t="str">
        <f>IF(Tab.o1[[#This Row],[a1]]=1,Tab.o1[[#This Row],[z+]]*_xlfn.STDEV.P(Tab.o1[B])+AVERAGE(Tab.o1[B]),"")</f>
        <v/>
      </c>
      <c r="V407" s="124" t="str">
        <f>IF(Tab.o1[[#This Row],[a1]]=1,ABS((ABS(Tab.o1[[#This Row],[Red]]-Tab.o1[[#This Row],[Blue]]))),"")</f>
        <v/>
      </c>
      <c r="W407" s="125" t="str">
        <f>IF(Tab.o1[[#This Row],[a1]]=1,IF(W$3=0,1,Tab.o1[[#This Row],[Amp.]]*1/_xlfn.MINIFS(Tab.o1[Amp.],Tab.o1[Amp.],"&lt;&gt;0")),"")</f>
        <v/>
      </c>
      <c r="X407" s="126" t="str">
        <f>IF(Tab.o1[[#This Row],[a1]]=1,IF(ISNUMBER(Tab.o1[[#This Row],[i.]]),NORMDIST(Tab.o1[[#This Row],[Za]],0,1,FALSE)*Tab.o1[[#This Row],[i.]],AP$3),"")</f>
        <v/>
      </c>
      <c r="Y407" s="126" t="str">
        <f>IF(Tab.o1[[#This Row],[a1]]=1,0.01+0.94*Tab.o1[[#This Row],[PDF]]/MAX(Tab.o1[PDF]),"")</f>
        <v/>
      </c>
      <c r="Z407" s="126" t="str">
        <f>IF(Tab.o1[[#This Row],[a1]]=1,0.01+0.94*Tab.o1[[#This Row],[W1_PDF]]/MAX(Tab.o1[W1_PDF]),"")</f>
        <v/>
      </c>
      <c r="AA407" s="118" t="str">
        <f>IF(Tab.o1[[#This Row],[a1]]=1,ABS([1]!T.in.A[[#This Row],[oo6]]),"")</f>
        <v/>
      </c>
      <c r="AB407" s="127" t="str">
        <f>IF(Tab.o1[[#This Row],[a1]]=1,IF(AE$3=0,"",IF(AB$3=0,ABS([1]!T.in.A[[#This Row],[oo9]]),ABS(Tab.o1[[#This Row],[DIF_Target.]]*Tab.o1[[#This Row],[W1_PDF]]))),"")</f>
        <v/>
      </c>
      <c r="AC407" s="127" t="str">
        <f>IF(G$1=1,"",IF(Tab.o1[[#This Row],[a1]]=1,Tab.o1[[#This Row],[Wr]]^2,""))</f>
        <v/>
      </c>
      <c r="AD407" s="118" t="str">
        <f>IF(Tab.o1[[#This Row],[a1]]=1,IF(AE$3=0,"",Tab.o1[[#This Row],[Wr2]]/SUM(Tab.o1[Wr2])),"")</f>
        <v/>
      </c>
      <c r="AE407" s="128" t="str">
        <f>IF(Tab.o1[[#This Row],[a1]]=1,[1]!T.in.A[[#This Row],[oo10]],"")</f>
        <v/>
      </c>
      <c r="AF407" s="118" t="str">
        <f>IF(Tab.o1[[#This Row],[a1]]=1,ABS(Tab.o1[[#This Row],[DIF_Target.]]*Tab.o1[[#This Row],[PDF2]]*Tab.o1[[#This Row],[IN]]),"")</f>
        <v/>
      </c>
      <c r="AG407" s="129" t="str">
        <f>IF(Tab.o1[[#This Row],[a1]]=1,Tab.o1[[#This Row],[rW]]^2,"")</f>
        <v/>
      </c>
      <c r="AH407" s="130" t="str">
        <f>IF(Tab.o1[[#This Row],[a1]]=1,IF(AH$3=0,Tab.o1[[#This Row],[rW2]],0.01+0.94*Tab.o1[[#This Row],[rW2]]/SUM(Tab.o1[rW2])),"")</f>
        <v/>
      </c>
      <c r="AI407" s="128" t="str">
        <f>IF(Tab.o1[[#This Row],[a1]]=1,1/Tab.o1[[#This Row],[PDF]],"")</f>
        <v/>
      </c>
      <c r="AJ407" s="131" t="str">
        <f>IF(Tab.o1[[#This Row],[a1]]=1,[1]!T_AA[[#This Row],[IN'']]*[1]!T_AA[[#This Row],[Qde'']],"")</f>
        <v/>
      </c>
      <c r="AK407" s="132" t="str">
        <f>IF(Tab.o1[[#This Row],[a1]]=1,IF(AK$1=1,Tab.o1[[#This Row],[MED]]+Tab.o1[[#This Row],[MOD]]-Tab.o1[[#This Row],[MED]],""),"")</f>
        <v/>
      </c>
      <c r="AL407" s="133" t="str">
        <f>IF(Tab.o1[[#This Row],[a1]]=1,[1]!T.in.A[[#This Row],[oo16]],"")</f>
        <v/>
      </c>
      <c r="AM407" s="133" t="str">
        <f>IF(Tab.o1[[#This Row],[a1]]=1,IF(AM$3=1,[1]!T.in.A[[#This Row],[Σo16]],""),"")</f>
        <v/>
      </c>
      <c r="AN407" s="126" t="str">
        <f>IF(Tab.o1[[#This Row],[a1]]=1,[1]!T.in.A[[#This Row],[Σp5]],"")</f>
        <v/>
      </c>
      <c r="AO407" s="126" t="str">
        <f>IF(Tab.o1[[#This Row],[a1]]=1,IF(AO$3=1,[1]!T.in.A[[#This Row],[Σp5]],""),"")</f>
        <v/>
      </c>
      <c r="AP407" s="110" t="str">
        <f>IF(Tab.o1[[#This Row],[a1]]=1,IF(ISNUMBER(Tab.o1[[#This Row],[i.]]),NORMDIST(Tab.o1[[#This Row],[Za]],0,1,FALSE)*Tab.o1[[#This Row],[i.]],0),"")</f>
        <v/>
      </c>
      <c r="AQ407" s="125" t="str">
        <f>IF(Tab.o1[[#This Row],[a1]]=1,ABS(Tab.o1[[#This Row],[MOD]]-AVERAGE(Tab.o1[MOD])),"")</f>
        <v/>
      </c>
      <c r="AR407" s="134" t="str">
        <f>IF(Tab.o1[[#This Row],[a1]]=1,Tab.o1[[#This Row],[OBS]]/SUM(Tab.o1[OBS]),"")</f>
        <v/>
      </c>
      <c r="AS407" s="135" t="str">
        <f>IF(ISNUMBER(Tab.o1[[#This Row],[a1]]),ROW()-4,"")</f>
        <v/>
      </c>
      <c r="AT407" s="136" t="str">
        <f>Tab.o1[[#This Row],[MOD]]</f>
        <v/>
      </c>
      <c r="AU407" s="137" t="str">
        <f t="shared" si="25"/>
        <v/>
      </c>
      <c r="AV407" s="138" t="str">
        <f t="shared" si="26"/>
        <v/>
      </c>
      <c r="AW407" s="138" t="str">
        <f t="shared" si="27"/>
        <v/>
      </c>
      <c r="AX407" s="139" t="str">
        <f>[1]!T.in.A[[#This Row],[ID_T_manu]]</f>
        <v/>
      </c>
      <c r="AY407" s="140" t="str">
        <f>IF(ISNUMBER(Tab.o1[[#This Row],[a1]]),IF(AND(Tab.o1[[#This Row],[a1]]=1,Tab.o1[[#This Row],[b1]]&lt;=AY$4),#REF!,AY406),"")</f>
        <v/>
      </c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</row>
    <row r="408" spans="1:79" ht="15.75" hidden="1">
      <c r="A408" s="109">
        <v>5.9999999999999993E-6</v>
      </c>
      <c r="B408" s="110">
        <f t="shared" si="24"/>
        <v>408</v>
      </c>
      <c r="C408" s="111" t="str">
        <f>IF(C$1=[1]!T.in.A[[#This Row],[oo2]],1,"")</f>
        <v/>
      </c>
      <c r="D408" s="112" t="str">
        <f>IF(Tab.o1[[#This Row],[a1]]=1,IF(SUM(C408:C409)=0,0,IF(SUM(C407:C408)=1,1,IF(SUM(C407:C409)&gt;1,D407+1,0))),"")</f>
        <v/>
      </c>
      <c r="E408" s="113" t="str">
        <f>IF(Tab.o1[[#This Row],[a1]]=1,[1]!T.in.A[[#This Row],[oo1]],"")</f>
        <v/>
      </c>
      <c r="F408" s="113" t="str">
        <f>IF(Tab.o1[[#This Row],[a1]]=1,[1]!T.in.A[[#This Row],[pp1]],"")</f>
        <v/>
      </c>
      <c r="G408" s="114" t="str">
        <f>IF(Tab.o1[[#This Row],[a1]]=1,G$2+IF(G$1=1,0,Tab.o1[[#This Row],[.x1]])+[1]!T.in.A[[#This Row],[oo3]],"")</f>
        <v/>
      </c>
      <c r="H408" s="115" t="str">
        <f>IF(Tab.o1[[#This Row],[a1]]=1,IF(H$2=0,0,IF(G$1=1,0,Tab.o1[[#This Row],[.x1]])+[1]!T.in.A[[#This Row],[oo4]]),"")</f>
        <v/>
      </c>
      <c r="I408" s="116" t="str">
        <f>IF(Tab.o1[[#This Row],[a1]]=1,IF(J$2=0,Tab.o1[[#This Row],[MED]],Tab.o1[[#This Row],[MOD]]),"")</f>
        <v/>
      </c>
      <c r="J408" s="116" t="str">
        <f>IF(Tab.o1[[#This Row],[a1]]=1,((Tab.o1[[#This Row],[DIF_Target.]]-AVERAGE(Tab.o1[DIF_Target.]))/_xlfn.STDEV.P(Tab.o1[DIF_Target.])),"")</f>
        <v/>
      </c>
      <c r="K408" s="117" t="str">
        <f>IF(Tab.o1[[#This Row],[a1]]=1,IF(J$2=0,Tab.o1[[#This Row],[MOD]]-Tab.o1[[#This Row],[B]],IF(J$2=1,0,-Tab.o1[[#This Row],[MED]])+Tab.o1[[#This Row],[B]]),"")</f>
        <v/>
      </c>
      <c r="L408" s="117" t="str">
        <f ca="1">IF(Tab.o1[[#This Row],[DIF_Target]]=0,IF(L$2=0,Tab.o1[[#This Row],[DIF_Target]],AVERAGE(OFFSET(Tab.o1[[#This Row],[DIF_Target]],1,0,L$3,1)))/3,Tab.o1[[#This Row],[DIF_Target]])</f>
        <v/>
      </c>
      <c r="M408" s="118" t="str">
        <f>IF(Tab.o1[[#This Row],[a1]]=1,NORMSDIST(Tab.o1[[#This Row],[Za]]),"")</f>
        <v/>
      </c>
      <c r="N408" s="119" t="str">
        <f>IF(Tab.o1[[#This Row],[a1]]=1,((Tab.o1[[#This Row],[MedMod]]-AVERAGE(Tab.o1[MedMod]))/_xlfn.STDEV.P(Tab.o1[MedMod])*H$1205)+G$1205,"")</f>
        <v/>
      </c>
      <c r="O408" s="141" t="str">
        <f>IF(Tab.o1[[#This Row],[a1]]=1,Tab.o1[[#This Row],[Zb]]*_xlfn.STDEV.P(Tab.o1[MedMod])+AVERAGE(Tab.o1[MedMod]),"")</f>
        <v/>
      </c>
      <c r="P408" s="117" t="str">
        <f ca="1">IF(Tab.o1[[#This Row],[B]]=0,AVERAGE(OFFSET(Tab.o1[[#This Row],[B]],1,0,L$3,1)),Tab.o1[[#This Row],[B]])</f>
        <v/>
      </c>
      <c r="Q408" s="121" t="str">
        <f>IF(Tab.o1[[#This Row],[a1]]=1,NORMSDIST(Tab.o1[[#This Row],[Zb]]),"")</f>
        <v/>
      </c>
      <c r="R408" s="122" t="str">
        <f>IF(Tab.o1[[#This Row],[a1]]=1,((Tab.o1[[#This Row],[MedMod]]-AVERAGE(Tab.o1[MedMod]))/_xlfn.STDEV.P(Tab.o1[MedMod])*H$1203)+G$1203,"")</f>
        <v/>
      </c>
      <c r="S408" s="122" t="str">
        <f>IF(Tab.o1[[#This Row],[a1]]=1,((Tab.o1[[#This Row],[MedMod]]-AVERAGE(Tab.o1[MedMod]))/_xlfn.STDEV.P(Tab.o1[MedMod])*H$1204)+G$1204,"")</f>
        <v/>
      </c>
      <c r="T408" s="123" t="str">
        <f>IF(Tab.o1[[#This Row],[a1]]=1,Tab.o1[[#This Row],[Z-]]*_xlfn.STDEV.P(Tab.o1[B])+AVERAGE(Tab.o1[B]),"")</f>
        <v/>
      </c>
      <c r="U408" s="123" t="str">
        <f>IF(Tab.o1[[#This Row],[a1]]=1,Tab.o1[[#This Row],[z+]]*_xlfn.STDEV.P(Tab.o1[B])+AVERAGE(Tab.o1[B]),"")</f>
        <v/>
      </c>
      <c r="V408" s="124" t="str">
        <f>IF(Tab.o1[[#This Row],[a1]]=1,ABS((ABS(Tab.o1[[#This Row],[Red]]-Tab.o1[[#This Row],[Blue]]))),"")</f>
        <v/>
      </c>
      <c r="W408" s="125" t="str">
        <f>IF(Tab.o1[[#This Row],[a1]]=1,IF(W$3=0,1,Tab.o1[[#This Row],[Amp.]]*1/_xlfn.MINIFS(Tab.o1[Amp.],Tab.o1[Amp.],"&lt;&gt;0")),"")</f>
        <v/>
      </c>
      <c r="X408" s="126" t="str">
        <f>IF(Tab.o1[[#This Row],[a1]]=1,IF(ISNUMBER(Tab.o1[[#This Row],[i.]]),NORMDIST(Tab.o1[[#This Row],[Za]],0,1,FALSE)*Tab.o1[[#This Row],[i.]],AP$3),"")</f>
        <v/>
      </c>
      <c r="Y408" s="126" t="str">
        <f>IF(Tab.o1[[#This Row],[a1]]=1,0.01+0.94*Tab.o1[[#This Row],[PDF]]/MAX(Tab.o1[PDF]),"")</f>
        <v/>
      </c>
      <c r="Z408" s="126" t="str">
        <f>IF(Tab.o1[[#This Row],[a1]]=1,0.01+0.94*Tab.o1[[#This Row],[W1_PDF]]/MAX(Tab.o1[W1_PDF]),"")</f>
        <v/>
      </c>
      <c r="AA408" s="118" t="str">
        <f>IF(Tab.o1[[#This Row],[a1]]=1,ABS([1]!T.in.A[[#This Row],[oo6]]),"")</f>
        <v/>
      </c>
      <c r="AB408" s="127" t="str">
        <f>IF(Tab.o1[[#This Row],[a1]]=1,IF(AE$3=0,"",IF(AB$3=0,ABS([1]!T.in.A[[#This Row],[oo9]]),ABS(Tab.o1[[#This Row],[DIF_Target.]]*Tab.o1[[#This Row],[W1_PDF]]))),"")</f>
        <v/>
      </c>
      <c r="AC408" s="127" t="str">
        <f>IF(G$1=1,"",IF(Tab.o1[[#This Row],[a1]]=1,Tab.o1[[#This Row],[Wr]]^2,""))</f>
        <v/>
      </c>
      <c r="AD408" s="118" t="str">
        <f>IF(Tab.o1[[#This Row],[a1]]=1,IF(AE$3=0,"",Tab.o1[[#This Row],[Wr2]]/SUM(Tab.o1[Wr2])),"")</f>
        <v/>
      </c>
      <c r="AE408" s="128" t="str">
        <f>IF(Tab.o1[[#This Row],[a1]]=1,[1]!T.in.A[[#This Row],[oo10]],"")</f>
        <v/>
      </c>
      <c r="AF408" s="118" t="str">
        <f>IF(Tab.o1[[#This Row],[a1]]=1,ABS(Tab.o1[[#This Row],[DIF_Target.]]*Tab.o1[[#This Row],[PDF2]]*Tab.o1[[#This Row],[IN]]),"")</f>
        <v/>
      </c>
      <c r="AG408" s="129" t="str">
        <f>IF(Tab.o1[[#This Row],[a1]]=1,Tab.o1[[#This Row],[rW]]^2,"")</f>
        <v/>
      </c>
      <c r="AH408" s="130" t="str">
        <f>IF(Tab.o1[[#This Row],[a1]]=1,IF(AH$3=0,Tab.o1[[#This Row],[rW2]],0.01+0.94*Tab.o1[[#This Row],[rW2]]/SUM(Tab.o1[rW2])),"")</f>
        <v/>
      </c>
      <c r="AI408" s="128" t="str">
        <f>IF(Tab.o1[[#This Row],[a1]]=1,1/Tab.o1[[#This Row],[PDF]],"")</f>
        <v/>
      </c>
      <c r="AJ408" s="131" t="str">
        <f>IF(Tab.o1[[#This Row],[a1]]=1,[1]!T_AA[[#This Row],[IN'']]*[1]!T_AA[[#This Row],[Qde'']],"")</f>
        <v/>
      </c>
      <c r="AK408" s="132" t="str">
        <f>IF(Tab.o1[[#This Row],[a1]]=1,IF(AK$1=1,Tab.o1[[#This Row],[MED]]+Tab.o1[[#This Row],[MOD]]-Tab.o1[[#This Row],[MED]],""),"")</f>
        <v/>
      </c>
      <c r="AL408" s="133" t="str">
        <f>IF(Tab.o1[[#This Row],[a1]]=1,[1]!T.in.A[[#This Row],[oo16]],"")</f>
        <v/>
      </c>
      <c r="AM408" s="133" t="str">
        <f>IF(Tab.o1[[#This Row],[a1]]=1,IF(AM$3=1,[1]!T.in.A[[#This Row],[Σo16]],""),"")</f>
        <v/>
      </c>
      <c r="AN408" s="126" t="str">
        <f>IF(Tab.o1[[#This Row],[a1]]=1,[1]!T.in.A[[#This Row],[Σp5]],"")</f>
        <v/>
      </c>
      <c r="AO408" s="126" t="str">
        <f>IF(Tab.o1[[#This Row],[a1]]=1,IF(AO$3=1,[1]!T.in.A[[#This Row],[Σp5]],""),"")</f>
        <v/>
      </c>
      <c r="AP408" s="110" t="str">
        <f>IF(Tab.o1[[#This Row],[a1]]=1,IF(ISNUMBER(Tab.o1[[#This Row],[i.]]),NORMDIST(Tab.o1[[#This Row],[Za]],0,1,FALSE)*Tab.o1[[#This Row],[i.]],0),"")</f>
        <v/>
      </c>
      <c r="AQ408" s="125" t="str">
        <f>IF(Tab.o1[[#This Row],[a1]]=1,ABS(Tab.o1[[#This Row],[MOD]]-AVERAGE(Tab.o1[MOD])),"")</f>
        <v/>
      </c>
      <c r="AR408" s="134" t="str">
        <f>IF(Tab.o1[[#This Row],[a1]]=1,Tab.o1[[#This Row],[OBS]]/SUM(Tab.o1[OBS]),"")</f>
        <v/>
      </c>
      <c r="AS408" s="135" t="str">
        <f>IF(ISNUMBER(Tab.o1[[#This Row],[a1]]),ROW()-4,"")</f>
        <v/>
      </c>
      <c r="AT408" s="136" t="str">
        <f>Tab.o1[[#This Row],[MOD]]</f>
        <v/>
      </c>
      <c r="AU408" s="137" t="str">
        <f t="shared" si="25"/>
        <v/>
      </c>
      <c r="AV408" s="138" t="str">
        <f t="shared" si="26"/>
        <v/>
      </c>
      <c r="AW408" s="138" t="str">
        <f t="shared" si="27"/>
        <v/>
      </c>
      <c r="AX408" s="139" t="str">
        <f>[1]!T.in.A[[#This Row],[ID_T_manu]]</f>
        <v/>
      </c>
      <c r="AY408" s="140" t="str">
        <f>IF(ISNUMBER(Tab.o1[[#This Row],[a1]]),IF(AND(Tab.o1[[#This Row],[a1]]=1,Tab.o1[[#This Row],[b1]]&lt;=AY$4),#REF!,AY407),"")</f>
        <v/>
      </c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</row>
    <row r="409" spans="1:79" ht="15.75" hidden="1">
      <c r="A409" s="109">
        <v>-2.0000000000000003E-6</v>
      </c>
      <c r="B409" s="110">
        <f t="shared" si="24"/>
        <v>409</v>
      </c>
      <c r="C409" s="111" t="str">
        <f>IF(C$1=[1]!T.in.A[[#This Row],[oo2]],1,"")</f>
        <v/>
      </c>
      <c r="D409" s="112" t="str">
        <f>IF(Tab.o1[[#This Row],[a1]]=1,IF(SUM(C409:C410)=0,0,IF(SUM(C408:C409)=1,1,IF(SUM(C408:C410)&gt;1,D408+1,0))),"")</f>
        <v/>
      </c>
      <c r="E409" s="113" t="str">
        <f>IF(Tab.o1[[#This Row],[a1]]=1,[1]!T.in.A[[#This Row],[oo1]],"")</f>
        <v/>
      </c>
      <c r="F409" s="113" t="str">
        <f>IF(Tab.o1[[#This Row],[a1]]=1,[1]!T.in.A[[#This Row],[pp1]],"")</f>
        <v/>
      </c>
      <c r="G409" s="114" t="str">
        <f>IF(Tab.o1[[#This Row],[a1]]=1,G$2+IF(G$1=1,0,Tab.o1[[#This Row],[.x1]])+[1]!T.in.A[[#This Row],[oo3]],"")</f>
        <v/>
      </c>
      <c r="H409" s="115" t="str">
        <f>IF(Tab.o1[[#This Row],[a1]]=1,IF(H$2=0,0,IF(G$1=1,0,Tab.o1[[#This Row],[.x1]])+[1]!T.in.A[[#This Row],[oo4]]),"")</f>
        <v/>
      </c>
      <c r="I409" s="116" t="str">
        <f>IF(Tab.o1[[#This Row],[a1]]=1,IF(J$2=0,Tab.o1[[#This Row],[MED]],Tab.o1[[#This Row],[MOD]]),"")</f>
        <v/>
      </c>
      <c r="J409" s="116" t="str">
        <f>IF(Tab.o1[[#This Row],[a1]]=1,((Tab.o1[[#This Row],[DIF_Target.]]-AVERAGE(Tab.o1[DIF_Target.]))/_xlfn.STDEV.P(Tab.o1[DIF_Target.])),"")</f>
        <v/>
      </c>
      <c r="K409" s="117" t="str">
        <f>IF(Tab.o1[[#This Row],[a1]]=1,IF(J$2=0,Tab.o1[[#This Row],[MOD]]-Tab.o1[[#This Row],[B]],IF(J$2=1,0,-Tab.o1[[#This Row],[MED]])+Tab.o1[[#This Row],[B]]),"")</f>
        <v/>
      </c>
      <c r="L409" s="117" t="str">
        <f ca="1">IF(Tab.o1[[#This Row],[DIF_Target]]=0,IF(L$2=0,Tab.o1[[#This Row],[DIF_Target]],AVERAGE(OFFSET(Tab.o1[[#This Row],[DIF_Target]],1,0,L$3,1)))/3,Tab.o1[[#This Row],[DIF_Target]])</f>
        <v/>
      </c>
      <c r="M409" s="118" t="str">
        <f>IF(Tab.o1[[#This Row],[a1]]=1,NORMSDIST(Tab.o1[[#This Row],[Za]]),"")</f>
        <v/>
      </c>
      <c r="N409" s="119" t="str">
        <f>IF(Tab.o1[[#This Row],[a1]]=1,((Tab.o1[[#This Row],[MedMod]]-AVERAGE(Tab.o1[MedMod]))/_xlfn.STDEV.P(Tab.o1[MedMod])*H$1205)+G$1205,"")</f>
        <v/>
      </c>
      <c r="O409" s="141" t="str">
        <f>IF(Tab.o1[[#This Row],[a1]]=1,Tab.o1[[#This Row],[Zb]]*_xlfn.STDEV.P(Tab.o1[MedMod])+AVERAGE(Tab.o1[MedMod]),"")</f>
        <v/>
      </c>
      <c r="P409" s="117" t="str">
        <f ca="1">IF(Tab.o1[[#This Row],[B]]=0,AVERAGE(OFFSET(Tab.o1[[#This Row],[B]],1,0,L$3,1)),Tab.o1[[#This Row],[B]])</f>
        <v/>
      </c>
      <c r="Q409" s="121" t="str">
        <f>IF(Tab.o1[[#This Row],[a1]]=1,NORMSDIST(Tab.o1[[#This Row],[Zb]]),"")</f>
        <v/>
      </c>
      <c r="R409" s="122" t="str">
        <f>IF(Tab.o1[[#This Row],[a1]]=1,((Tab.o1[[#This Row],[MedMod]]-AVERAGE(Tab.o1[MedMod]))/_xlfn.STDEV.P(Tab.o1[MedMod])*H$1203)+G$1203,"")</f>
        <v/>
      </c>
      <c r="S409" s="122" t="str">
        <f>IF(Tab.o1[[#This Row],[a1]]=1,((Tab.o1[[#This Row],[MedMod]]-AVERAGE(Tab.o1[MedMod]))/_xlfn.STDEV.P(Tab.o1[MedMod])*H$1204)+G$1204,"")</f>
        <v/>
      </c>
      <c r="T409" s="123" t="str">
        <f>IF(Tab.o1[[#This Row],[a1]]=1,Tab.o1[[#This Row],[Z-]]*_xlfn.STDEV.P(Tab.o1[B])+AVERAGE(Tab.o1[B]),"")</f>
        <v/>
      </c>
      <c r="U409" s="123" t="str">
        <f>IF(Tab.o1[[#This Row],[a1]]=1,Tab.o1[[#This Row],[z+]]*_xlfn.STDEV.P(Tab.o1[B])+AVERAGE(Tab.o1[B]),"")</f>
        <v/>
      </c>
      <c r="V409" s="124" t="str">
        <f>IF(Tab.o1[[#This Row],[a1]]=1,ABS((ABS(Tab.o1[[#This Row],[Red]]-Tab.o1[[#This Row],[Blue]]))),"")</f>
        <v/>
      </c>
      <c r="W409" s="125" t="str">
        <f>IF(Tab.o1[[#This Row],[a1]]=1,IF(W$3=0,1,Tab.o1[[#This Row],[Amp.]]*1/_xlfn.MINIFS(Tab.o1[Amp.],Tab.o1[Amp.],"&lt;&gt;0")),"")</f>
        <v/>
      </c>
      <c r="X409" s="126" t="str">
        <f>IF(Tab.o1[[#This Row],[a1]]=1,IF(ISNUMBER(Tab.o1[[#This Row],[i.]]),NORMDIST(Tab.o1[[#This Row],[Za]],0,1,FALSE)*Tab.o1[[#This Row],[i.]],AP$3),"")</f>
        <v/>
      </c>
      <c r="Y409" s="126" t="str">
        <f>IF(Tab.o1[[#This Row],[a1]]=1,0.01+0.94*Tab.o1[[#This Row],[PDF]]/MAX(Tab.o1[PDF]),"")</f>
        <v/>
      </c>
      <c r="Z409" s="126" t="str">
        <f>IF(Tab.o1[[#This Row],[a1]]=1,0.01+0.94*Tab.o1[[#This Row],[W1_PDF]]/MAX(Tab.o1[W1_PDF]),"")</f>
        <v/>
      </c>
      <c r="AA409" s="118" t="str">
        <f>IF(Tab.o1[[#This Row],[a1]]=1,ABS([1]!T.in.A[[#This Row],[oo6]]),"")</f>
        <v/>
      </c>
      <c r="AB409" s="127" t="str">
        <f>IF(Tab.o1[[#This Row],[a1]]=1,IF(AE$3=0,"",IF(AB$3=0,ABS([1]!T.in.A[[#This Row],[oo9]]),ABS(Tab.o1[[#This Row],[DIF_Target.]]*Tab.o1[[#This Row],[W1_PDF]]))),"")</f>
        <v/>
      </c>
      <c r="AC409" s="127" t="str">
        <f>IF(G$1=1,"",IF(Tab.o1[[#This Row],[a1]]=1,Tab.o1[[#This Row],[Wr]]^2,""))</f>
        <v/>
      </c>
      <c r="AD409" s="118" t="str">
        <f>IF(Tab.o1[[#This Row],[a1]]=1,IF(AE$3=0,"",Tab.o1[[#This Row],[Wr2]]/SUM(Tab.o1[Wr2])),"")</f>
        <v/>
      </c>
      <c r="AE409" s="128" t="str">
        <f>IF(Tab.o1[[#This Row],[a1]]=1,[1]!T.in.A[[#This Row],[oo10]],"")</f>
        <v/>
      </c>
      <c r="AF409" s="118" t="str">
        <f>IF(Tab.o1[[#This Row],[a1]]=1,ABS(Tab.o1[[#This Row],[DIF_Target.]]*Tab.o1[[#This Row],[PDF2]]*Tab.o1[[#This Row],[IN]]),"")</f>
        <v/>
      </c>
      <c r="AG409" s="129" t="str">
        <f>IF(Tab.o1[[#This Row],[a1]]=1,Tab.o1[[#This Row],[rW]]^2,"")</f>
        <v/>
      </c>
      <c r="AH409" s="130" t="str">
        <f>IF(Tab.o1[[#This Row],[a1]]=1,IF(AH$3=0,Tab.o1[[#This Row],[rW2]],0.01+0.94*Tab.o1[[#This Row],[rW2]]/SUM(Tab.o1[rW2])),"")</f>
        <v/>
      </c>
      <c r="AI409" s="128" t="str">
        <f>IF(Tab.o1[[#This Row],[a1]]=1,1/Tab.o1[[#This Row],[PDF]],"")</f>
        <v/>
      </c>
      <c r="AJ409" s="131" t="str">
        <f>IF(Tab.o1[[#This Row],[a1]]=1,[1]!T_AA[[#This Row],[IN'']]*[1]!T_AA[[#This Row],[Qde'']],"")</f>
        <v/>
      </c>
      <c r="AK409" s="132" t="str">
        <f>IF(Tab.o1[[#This Row],[a1]]=1,IF(AK$1=1,Tab.o1[[#This Row],[MED]]+Tab.o1[[#This Row],[MOD]]-Tab.o1[[#This Row],[MED]],""),"")</f>
        <v/>
      </c>
      <c r="AL409" s="133" t="str">
        <f>IF(Tab.o1[[#This Row],[a1]]=1,[1]!T.in.A[[#This Row],[oo16]],"")</f>
        <v/>
      </c>
      <c r="AM409" s="133" t="str">
        <f>IF(Tab.o1[[#This Row],[a1]]=1,IF(AM$3=1,[1]!T.in.A[[#This Row],[Σo16]],""),"")</f>
        <v/>
      </c>
      <c r="AN409" s="126" t="str">
        <f>IF(Tab.o1[[#This Row],[a1]]=1,[1]!T.in.A[[#This Row],[Σp5]],"")</f>
        <v/>
      </c>
      <c r="AO409" s="126" t="str">
        <f>IF(Tab.o1[[#This Row],[a1]]=1,IF(AO$3=1,[1]!T.in.A[[#This Row],[Σp5]],""),"")</f>
        <v/>
      </c>
      <c r="AP409" s="110" t="str">
        <f>IF(Tab.o1[[#This Row],[a1]]=1,IF(ISNUMBER(Tab.o1[[#This Row],[i.]]),NORMDIST(Tab.o1[[#This Row],[Za]],0,1,FALSE)*Tab.o1[[#This Row],[i.]],0),"")</f>
        <v/>
      </c>
      <c r="AQ409" s="125" t="str">
        <f>IF(Tab.o1[[#This Row],[a1]]=1,ABS(Tab.o1[[#This Row],[MOD]]-AVERAGE(Tab.o1[MOD])),"")</f>
        <v/>
      </c>
      <c r="AR409" s="134" t="str">
        <f>IF(Tab.o1[[#This Row],[a1]]=1,Tab.o1[[#This Row],[OBS]]/SUM(Tab.o1[OBS]),"")</f>
        <v/>
      </c>
      <c r="AS409" s="135" t="str">
        <f>IF(ISNUMBER(Tab.o1[[#This Row],[a1]]),ROW()-4,"")</f>
        <v/>
      </c>
      <c r="AT409" s="136" t="str">
        <f>Tab.o1[[#This Row],[MOD]]</f>
        <v/>
      </c>
      <c r="AU409" s="137" t="str">
        <f t="shared" si="25"/>
        <v/>
      </c>
      <c r="AV409" s="138" t="str">
        <f t="shared" si="26"/>
        <v/>
      </c>
      <c r="AW409" s="138" t="str">
        <f t="shared" si="27"/>
        <v/>
      </c>
      <c r="AX409" s="139" t="str">
        <f>[1]!T.in.A[[#This Row],[ID_T_manu]]</f>
        <v/>
      </c>
      <c r="AY409" s="140" t="str">
        <f>IF(ISNUMBER(Tab.o1[[#This Row],[a1]]),IF(AND(Tab.o1[[#This Row],[a1]]=1,Tab.o1[[#This Row],[b1]]&lt;=AY$4),#REF!,AY408),"")</f>
        <v/>
      </c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</row>
    <row r="410" spans="1:79" ht="15.75" hidden="1">
      <c r="A410" s="109">
        <v>-1.0000000000000001E-5</v>
      </c>
      <c r="B410" s="110">
        <f t="shared" si="24"/>
        <v>410</v>
      </c>
      <c r="C410" s="111" t="str">
        <f>IF(C$1=[1]!T.in.A[[#This Row],[oo2]],1,"")</f>
        <v/>
      </c>
      <c r="D410" s="112" t="str">
        <f>IF(Tab.o1[[#This Row],[a1]]=1,IF(SUM(C410:C411)=0,0,IF(SUM(C409:C410)=1,1,IF(SUM(C409:C411)&gt;1,D409+1,0))),"")</f>
        <v/>
      </c>
      <c r="E410" s="113" t="str">
        <f>IF(Tab.o1[[#This Row],[a1]]=1,[1]!T.in.A[[#This Row],[oo1]],"")</f>
        <v/>
      </c>
      <c r="F410" s="113" t="str">
        <f>IF(Tab.o1[[#This Row],[a1]]=1,[1]!T.in.A[[#This Row],[pp1]],"")</f>
        <v/>
      </c>
      <c r="G410" s="114" t="str">
        <f>IF(Tab.o1[[#This Row],[a1]]=1,G$2+IF(G$1=1,0,Tab.o1[[#This Row],[.x1]])+[1]!T.in.A[[#This Row],[oo3]],"")</f>
        <v/>
      </c>
      <c r="H410" s="115" t="str">
        <f>IF(Tab.o1[[#This Row],[a1]]=1,IF(H$2=0,0,IF(G$1=1,0,Tab.o1[[#This Row],[.x1]])+[1]!T.in.A[[#This Row],[oo4]]),"")</f>
        <v/>
      </c>
      <c r="I410" s="116" t="str">
        <f>IF(Tab.o1[[#This Row],[a1]]=1,IF(J$2=0,Tab.o1[[#This Row],[MED]],Tab.o1[[#This Row],[MOD]]),"")</f>
        <v/>
      </c>
      <c r="J410" s="116" t="str">
        <f>IF(Tab.o1[[#This Row],[a1]]=1,((Tab.o1[[#This Row],[DIF_Target.]]-AVERAGE(Tab.o1[DIF_Target.]))/_xlfn.STDEV.P(Tab.o1[DIF_Target.])),"")</f>
        <v/>
      </c>
      <c r="K410" s="117" t="str">
        <f>IF(Tab.o1[[#This Row],[a1]]=1,IF(J$2=0,Tab.o1[[#This Row],[MOD]]-Tab.o1[[#This Row],[B]],IF(J$2=1,0,-Tab.o1[[#This Row],[MED]])+Tab.o1[[#This Row],[B]]),"")</f>
        <v/>
      </c>
      <c r="L410" s="117" t="str">
        <f ca="1">IF(Tab.o1[[#This Row],[DIF_Target]]=0,IF(L$2=0,Tab.o1[[#This Row],[DIF_Target]],AVERAGE(OFFSET(Tab.o1[[#This Row],[DIF_Target]],1,0,L$3,1)))/3,Tab.o1[[#This Row],[DIF_Target]])</f>
        <v/>
      </c>
      <c r="M410" s="118" t="str">
        <f>IF(Tab.o1[[#This Row],[a1]]=1,NORMSDIST(Tab.o1[[#This Row],[Za]]),"")</f>
        <v/>
      </c>
      <c r="N410" s="119" t="str">
        <f>IF(Tab.o1[[#This Row],[a1]]=1,((Tab.o1[[#This Row],[MedMod]]-AVERAGE(Tab.o1[MedMod]))/_xlfn.STDEV.P(Tab.o1[MedMod])*H$1205)+G$1205,"")</f>
        <v/>
      </c>
      <c r="O410" s="141" t="str">
        <f>IF(Tab.o1[[#This Row],[a1]]=1,Tab.o1[[#This Row],[Zb]]*_xlfn.STDEV.P(Tab.o1[MedMod])+AVERAGE(Tab.o1[MedMod]),"")</f>
        <v/>
      </c>
      <c r="P410" s="117" t="str">
        <f ca="1">IF(Tab.o1[[#This Row],[B]]=0,AVERAGE(OFFSET(Tab.o1[[#This Row],[B]],1,0,L$3,1)),Tab.o1[[#This Row],[B]])</f>
        <v/>
      </c>
      <c r="Q410" s="121" t="str">
        <f>IF(Tab.o1[[#This Row],[a1]]=1,NORMSDIST(Tab.o1[[#This Row],[Zb]]),"")</f>
        <v/>
      </c>
      <c r="R410" s="122" t="str">
        <f>IF(Tab.o1[[#This Row],[a1]]=1,((Tab.o1[[#This Row],[MedMod]]-AVERAGE(Tab.o1[MedMod]))/_xlfn.STDEV.P(Tab.o1[MedMod])*H$1203)+G$1203,"")</f>
        <v/>
      </c>
      <c r="S410" s="122" t="str">
        <f>IF(Tab.o1[[#This Row],[a1]]=1,((Tab.o1[[#This Row],[MedMod]]-AVERAGE(Tab.o1[MedMod]))/_xlfn.STDEV.P(Tab.o1[MedMod])*H$1204)+G$1204,"")</f>
        <v/>
      </c>
      <c r="T410" s="123" t="str">
        <f>IF(Tab.o1[[#This Row],[a1]]=1,Tab.o1[[#This Row],[Z-]]*_xlfn.STDEV.P(Tab.o1[B])+AVERAGE(Tab.o1[B]),"")</f>
        <v/>
      </c>
      <c r="U410" s="123" t="str">
        <f>IF(Tab.o1[[#This Row],[a1]]=1,Tab.o1[[#This Row],[z+]]*_xlfn.STDEV.P(Tab.o1[B])+AVERAGE(Tab.o1[B]),"")</f>
        <v/>
      </c>
      <c r="V410" s="124" t="str">
        <f>IF(Tab.o1[[#This Row],[a1]]=1,ABS((ABS(Tab.o1[[#This Row],[Red]]-Tab.o1[[#This Row],[Blue]]))),"")</f>
        <v/>
      </c>
      <c r="W410" s="125" t="str">
        <f>IF(Tab.o1[[#This Row],[a1]]=1,IF(W$3=0,1,Tab.o1[[#This Row],[Amp.]]*1/_xlfn.MINIFS(Tab.o1[Amp.],Tab.o1[Amp.],"&lt;&gt;0")),"")</f>
        <v/>
      </c>
      <c r="X410" s="126" t="str">
        <f>IF(Tab.o1[[#This Row],[a1]]=1,IF(ISNUMBER(Tab.o1[[#This Row],[i.]]),NORMDIST(Tab.o1[[#This Row],[Za]],0,1,FALSE)*Tab.o1[[#This Row],[i.]],AP$3),"")</f>
        <v/>
      </c>
      <c r="Y410" s="126" t="str">
        <f>IF(Tab.o1[[#This Row],[a1]]=1,0.01+0.94*Tab.o1[[#This Row],[PDF]]/MAX(Tab.o1[PDF]),"")</f>
        <v/>
      </c>
      <c r="Z410" s="126" t="str">
        <f>IF(Tab.o1[[#This Row],[a1]]=1,0.01+0.94*Tab.o1[[#This Row],[W1_PDF]]/MAX(Tab.o1[W1_PDF]),"")</f>
        <v/>
      </c>
      <c r="AA410" s="118" t="str">
        <f>IF(Tab.o1[[#This Row],[a1]]=1,ABS([1]!T.in.A[[#This Row],[oo6]]),"")</f>
        <v/>
      </c>
      <c r="AB410" s="127" t="str">
        <f>IF(Tab.o1[[#This Row],[a1]]=1,IF(AE$3=0,"",IF(AB$3=0,ABS([1]!T.in.A[[#This Row],[oo9]]),ABS(Tab.o1[[#This Row],[DIF_Target.]]*Tab.o1[[#This Row],[W1_PDF]]))),"")</f>
        <v/>
      </c>
      <c r="AC410" s="127" t="str">
        <f>IF(G$1=1,"",IF(Tab.o1[[#This Row],[a1]]=1,Tab.o1[[#This Row],[Wr]]^2,""))</f>
        <v/>
      </c>
      <c r="AD410" s="118" t="str">
        <f>IF(Tab.o1[[#This Row],[a1]]=1,IF(AE$3=0,"",Tab.o1[[#This Row],[Wr2]]/SUM(Tab.o1[Wr2])),"")</f>
        <v/>
      </c>
      <c r="AE410" s="128" t="str">
        <f>IF(Tab.o1[[#This Row],[a1]]=1,[1]!T.in.A[[#This Row],[oo10]],"")</f>
        <v/>
      </c>
      <c r="AF410" s="118" t="str">
        <f>IF(Tab.o1[[#This Row],[a1]]=1,ABS(Tab.o1[[#This Row],[DIF_Target.]]*Tab.o1[[#This Row],[PDF2]]*Tab.o1[[#This Row],[IN]]),"")</f>
        <v/>
      </c>
      <c r="AG410" s="129" t="str">
        <f>IF(Tab.o1[[#This Row],[a1]]=1,Tab.o1[[#This Row],[rW]]^2,"")</f>
        <v/>
      </c>
      <c r="AH410" s="130" t="str">
        <f>IF(Tab.o1[[#This Row],[a1]]=1,IF(AH$3=0,Tab.o1[[#This Row],[rW2]],0.01+0.94*Tab.o1[[#This Row],[rW2]]/SUM(Tab.o1[rW2])),"")</f>
        <v/>
      </c>
      <c r="AI410" s="128" t="str">
        <f>IF(Tab.o1[[#This Row],[a1]]=1,1/Tab.o1[[#This Row],[PDF]],"")</f>
        <v/>
      </c>
      <c r="AJ410" s="131" t="str">
        <f>IF(Tab.o1[[#This Row],[a1]]=1,[1]!T_AA[[#This Row],[IN'']]*[1]!T_AA[[#This Row],[Qde'']],"")</f>
        <v/>
      </c>
      <c r="AK410" s="132" t="str">
        <f>IF(Tab.o1[[#This Row],[a1]]=1,IF(AK$1=1,Tab.o1[[#This Row],[MED]]+Tab.o1[[#This Row],[MOD]]-Tab.o1[[#This Row],[MED]],""),"")</f>
        <v/>
      </c>
      <c r="AL410" s="133" t="str">
        <f>IF(Tab.o1[[#This Row],[a1]]=1,[1]!T.in.A[[#This Row],[oo16]],"")</f>
        <v/>
      </c>
      <c r="AM410" s="133" t="str">
        <f>IF(Tab.o1[[#This Row],[a1]]=1,IF(AM$3=1,[1]!T.in.A[[#This Row],[Σo16]],""),"")</f>
        <v/>
      </c>
      <c r="AN410" s="126" t="str">
        <f>IF(Tab.o1[[#This Row],[a1]]=1,[1]!T.in.A[[#This Row],[Σp5]],"")</f>
        <v/>
      </c>
      <c r="AO410" s="126" t="str">
        <f>IF(Tab.o1[[#This Row],[a1]]=1,IF(AO$3=1,[1]!T.in.A[[#This Row],[Σp5]],""),"")</f>
        <v/>
      </c>
      <c r="AP410" s="110" t="str">
        <f>IF(Tab.o1[[#This Row],[a1]]=1,IF(ISNUMBER(Tab.o1[[#This Row],[i.]]),NORMDIST(Tab.o1[[#This Row],[Za]],0,1,FALSE)*Tab.o1[[#This Row],[i.]],0),"")</f>
        <v/>
      </c>
      <c r="AQ410" s="125" t="str">
        <f>IF(Tab.o1[[#This Row],[a1]]=1,ABS(Tab.o1[[#This Row],[MOD]]-AVERAGE(Tab.o1[MOD])),"")</f>
        <v/>
      </c>
      <c r="AR410" s="134" t="str">
        <f>IF(Tab.o1[[#This Row],[a1]]=1,Tab.o1[[#This Row],[OBS]]/SUM(Tab.o1[OBS]),"")</f>
        <v/>
      </c>
      <c r="AS410" s="135" t="str">
        <f>IF(ISNUMBER(Tab.o1[[#This Row],[a1]]),ROW()-4,"")</f>
        <v/>
      </c>
      <c r="AT410" s="136" t="str">
        <f>Tab.o1[[#This Row],[MOD]]</f>
        <v/>
      </c>
      <c r="AU410" s="137" t="str">
        <f t="shared" si="25"/>
        <v/>
      </c>
      <c r="AV410" s="138" t="str">
        <f t="shared" si="26"/>
        <v/>
      </c>
      <c r="AW410" s="138" t="str">
        <f t="shared" si="27"/>
        <v/>
      </c>
      <c r="AX410" s="139" t="str">
        <f>[1]!T.in.A[[#This Row],[ID_T_manu]]</f>
        <v/>
      </c>
      <c r="AY410" s="140" t="str">
        <f>IF(ISNUMBER(Tab.o1[[#This Row],[a1]]),IF(AND(Tab.o1[[#This Row],[a1]]=1,Tab.o1[[#This Row],[b1]]&lt;=AY$4),#REF!,AY409),"")</f>
        <v/>
      </c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</row>
    <row r="411" spans="1:79" ht="15.75" hidden="1">
      <c r="A411" s="109">
        <v>-4.0000000000000007E-6</v>
      </c>
      <c r="B411" s="110">
        <f t="shared" si="24"/>
        <v>411</v>
      </c>
      <c r="C411" s="111" t="str">
        <f>IF(C$1=[1]!T.in.A[[#This Row],[oo2]],1,"")</f>
        <v/>
      </c>
      <c r="D411" s="112" t="str">
        <f>IF(Tab.o1[[#This Row],[a1]]=1,IF(SUM(C411:C412)=0,0,IF(SUM(C410:C411)=1,1,IF(SUM(C410:C412)&gt;1,D410+1,0))),"")</f>
        <v/>
      </c>
      <c r="E411" s="113" t="str">
        <f>IF(Tab.o1[[#This Row],[a1]]=1,[1]!T.in.A[[#This Row],[oo1]],"")</f>
        <v/>
      </c>
      <c r="F411" s="113" t="str">
        <f>IF(Tab.o1[[#This Row],[a1]]=1,[1]!T.in.A[[#This Row],[pp1]],"")</f>
        <v/>
      </c>
      <c r="G411" s="114" t="str">
        <f>IF(Tab.o1[[#This Row],[a1]]=1,G$2+IF(G$1=1,0,Tab.o1[[#This Row],[.x1]])+[1]!T.in.A[[#This Row],[oo3]],"")</f>
        <v/>
      </c>
      <c r="H411" s="115" t="str">
        <f>IF(Tab.o1[[#This Row],[a1]]=1,IF(H$2=0,0,IF(G$1=1,0,Tab.o1[[#This Row],[.x1]])+[1]!T.in.A[[#This Row],[oo4]]),"")</f>
        <v/>
      </c>
      <c r="I411" s="116" t="str">
        <f>IF(Tab.o1[[#This Row],[a1]]=1,IF(J$2=0,Tab.o1[[#This Row],[MED]],Tab.o1[[#This Row],[MOD]]),"")</f>
        <v/>
      </c>
      <c r="J411" s="116" t="str">
        <f>IF(Tab.o1[[#This Row],[a1]]=1,((Tab.o1[[#This Row],[DIF_Target.]]-AVERAGE(Tab.o1[DIF_Target.]))/_xlfn.STDEV.P(Tab.o1[DIF_Target.])),"")</f>
        <v/>
      </c>
      <c r="K411" s="117" t="str">
        <f>IF(Tab.o1[[#This Row],[a1]]=1,IF(J$2=0,Tab.o1[[#This Row],[MOD]]-Tab.o1[[#This Row],[B]],IF(J$2=1,0,-Tab.o1[[#This Row],[MED]])+Tab.o1[[#This Row],[B]]),"")</f>
        <v/>
      </c>
      <c r="L411" s="117" t="str">
        <f ca="1">IF(Tab.o1[[#This Row],[DIF_Target]]=0,IF(L$2=0,Tab.o1[[#This Row],[DIF_Target]],AVERAGE(OFFSET(Tab.o1[[#This Row],[DIF_Target]],1,0,L$3,1)))/3,Tab.o1[[#This Row],[DIF_Target]])</f>
        <v/>
      </c>
      <c r="M411" s="118" t="str">
        <f>IF(Tab.o1[[#This Row],[a1]]=1,NORMSDIST(Tab.o1[[#This Row],[Za]]),"")</f>
        <v/>
      </c>
      <c r="N411" s="119" t="str">
        <f>IF(Tab.o1[[#This Row],[a1]]=1,((Tab.o1[[#This Row],[MedMod]]-AVERAGE(Tab.o1[MedMod]))/_xlfn.STDEV.P(Tab.o1[MedMod])*H$1205)+G$1205,"")</f>
        <v/>
      </c>
      <c r="O411" s="141" t="str">
        <f>IF(Tab.o1[[#This Row],[a1]]=1,Tab.o1[[#This Row],[Zb]]*_xlfn.STDEV.P(Tab.o1[MedMod])+AVERAGE(Tab.o1[MedMod]),"")</f>
        <v/>
      </c>
      <c r="P411" s="117" t="str">
        <f ca="1">IF(Tab.o1[[#This Row],[B]]=0,AVERAGE(OFFSET(Tab.o1[[#This Row],[B]],1,0,L$3,1)),Tab.o1[[#This Row],[B]])</f>
        <v/>
      </c>
      <c r="Q411" s="121" t="str">
        <f>IF(Tab.o1[[#This Row],[a1]]=1,NORMSDIST(Tab.o1[[#This Row],[Zb]]),"")</f>
        <v/>
      </c>
      <c r="R411" s="122" t="str">
        <f>IF(Tab.o1[[#This Row],[a1]]=1,((Tab.o1[[#This Row],[MedMod]]-AVERAGE(Tab.o1[MedMod]))/_xlfn.STDEV.P(Tab.o1[MedMod])*H$1203)+G$1203,"")</f>
        <v/>
      </c>
      <c r="S411" s="122" t="str">
        <f>IF(Tab.o1[[#This Row],[a1]]=1,((Tab.o1[[#This Row],[MedMod]]-AVERAGE(Tab.o1[MedMod]))/_xlfn.STDEV.P(Tab.o1[MedMod])*H$1204)+G$1204,"")</f>
        <v/>
      </c>
      <c r="T411" s="123" t="str">
        <f>IF(Tab.o1[[#This Row],[a1]]=1,Tab.o1[[#This Row],[Z-]]*_xlfn.STDEV.P(Tab.o1[B])+AVERAGE(Tab.o1[B]),"")</f>
        <v/>
      </c>
      <c r="U411" s="123" t="str">
        <f>IF(Tab.o1[[#This Row],[a1]]=1,Tab.o1[[#This Row],[z+]]*_xlfn.STDEV.P(Tab.o1[B])+AVERAGE(Tab.o1[B]),"")</f>
        <v/>
      </c>
      <c r="V411" s="124" t="str">
        <f>IF(Tab.o1[[#This Row],[a1]]=1,ABS((ABS(Tab.o1[[#This Row],[Red]]-Tab.o1[[#This Row],[Blue]]))),"")</f>
        <v/>
      </c>
      <c r="W411" s="125" t="str">
        <f>IF(Tab.o1[[#This Row],[a1]]=1,IF(W$3=0,1,Tab.o1[[#This Row],[Amp.]]*1/_xlfn.MINIFS(Tab.o1[Amp.],Tab.o1[Amp.],"&lt;&gt;0")),"")</f>
        <v/>
      </c>
      <c r="X411" s="126" t="str">
        <f>IF(Tab.o1[[#This Row],[a1]]=1,IF(ISNUMBER(Tab.o1[[#This Row],[i.]]),NORMDIST(Tab.o1[[#This Row],[Za]],0,1,FALSE)*Tab.o1[[#This Row],[i.]],AP$3),"")</f>
        <v/>
      </c>
      <c r="Y411" s="126" t="str">
        <f>IF(Tab.o1[[#This Row],[a1]]=1,0.01+0.94*Tab.o1[[#This Row],[PDF]]/MAX(Tab.o1[PDF]),"")</f>
        <v/>
      </c>
      <c r="Z411" s="126" t="str">
        <f>IF(Tab.o1[[#This Row],[a1]]=1,0.01+0.94*Tab.o1[[#This Row],[W1_PDF]]/MAX(Tab.o1[W1_PDF]),"")</f>
        <v/>
      </c>
      <c r="AA411" s="118" t="str">
        <f>IF(Tab.o1[[#This Row],[a1]]=1,ABS([1]!T.in.A[[#This Row],[oo6]]),"")</f>
        <v/>
      </c>
      <c r="AB411" s="127" t="str">
        <f>IF(Tab.o1[[#This Row],[a1]]=1,IF(AE$3=0,"",IF(AB$3=0,ABS([1]!T.in.A[[#This Row],[oo9]]),ABS(Tab.o1[[#This Row],[DIF_Target.]]*Tab.o1[[#This Row],[W1_PDF]]))),"")</f>
        <v/>
      </c>
      <c r="AC411" s="127" t="str">
        <f>IF(G$1=1,"",IF(Tab.o1[[#This Row],[a1]]=1,Tab.o1[[#This Row],[Wr]]^2,""))</f>
        <v/>
      </c>
      <c r="AD411" s="118" t="str">
        <f>IF(Tab.o1[[#This Row],[a1]]=1,IF(AE$3=0,"",Tab.o1[[#This Row],[Wr2]]/SUM(Tab.o1[Wr2])),"")</f>
        <v/>
      </c>
      <c r="AE411" s="128" t="str">
        <f>IF(Tab.o1[[#This Row],[a1]]=1,[1]!T.in.A[[#This Row],[oo10]],"")</f>
        <v/>
      </c>
      <c r="AF411" s="118" t="str">
        <f>IF(Tab.o1[[#This Row],[a1]]=1,ABS(Tab.o1[[#This Row],[DIF_Target.]]*Tab.o1[[#This Row],[PDF2]]*Tab.o1[[#This Row],[IN]]),"")</f>
        <v/>
      </c>
      <c r="AG411" s="129" t="str">
        <f>IF(Tab.o1[[#This Row],[a1]]=1,Tab.o1[[#This Row],[rW]]^2,"")</f>
        <v/>
      </c>
      <c r="AH411" s="130" t="str">
        <f>IF(Tab.o1[[#This Row],[a1]]=1,IF(AH$3=0,Tab.o1[[#This Row],[rW2]],0.01+0.94*Tab.o1[[#This Row],[rW2]]/SUM(Tab.o1[rW2])),"")</f>
        <v/>
      </c>
      <c r="AI411" s="128" t="str">
        <f>IF(Tab.o1[[#This Row],[a1]]=1,1/Tab.o1[[#This Row],[PDF]],"")</f>
        <v/>
      </c>
      <c r="AJ411" s="131" t="str">
        <f>IF(Tab.o1[[#This Row],[a1]]=1,[1]!T_AA[[#This Row],[IN'']]*[1]!T_AA[[#This Row],[Qde'']],"")</f>
        <v/>
      </c>
      <c r="AK411" s="132" t="str">
        <f>IF(Tab.o1[[#This Row],[a1]]=1,IF(AK$1=1,Tab.o1[[#This Row],[MED]]+Tab.o1[[#This Row],[MOD]]-Tab.o1[[#This Row],[MED]],""),"")</f>
        <v/>
      </c>
      <c r="AL411" s="133" t="str">
        <f>IF(Tab.o1[[#This Row],[a1]]=1,[1]!T.in.A[[#This Row],[oo16]],"")</f>
        <v/>
      </c>
      <c r="AM411" s="133" t="str">
        <f>IF(Tab.o1[[#This Row],[a1]]=1,IF(AM$3=1,[1]!T.in.A[[#This Row],[Σo16]],""),"")</f>
        <v/>
      </c>
      <c r="AN411" s="126" t="str">
        <f>IF(Tab.o1[[#This Row],[a1]]=1,[1]!T.in.A[[#This Row],[Σp5]],"")</f>
        <v/>
      </c>
      <c r="AO411" s="126" t="str">
        <f>IF(Tab.o1[[#This Row],[a1]]=1,IF(AO$3=1,[1]!T.in.A[[#This Row],[Σp5]],""),"")</f>
        <v/>
      </c>
      <c r="AP411" s="110" t="str">
        <f>IF(Tab.o1[[#This Row],[a1]]=1,IF(ISNUMBER(Tab.o1[[#This Row],[i.]]),NORMDIST(Tab.o1[[#This Row],[Za]],0,1,FALSE)*Tab.o1[[#This Row],[i.]],0),"")</f>
        <v/>
      </c>
      <c r="AQ411" s="125" t="str">
        <f>IF(Tab.o1[[#This Row],[a1]]=1,ABS(Tab.o1[[#This Row],[MOD]]-AVERAGE(Tab.o1[MOD])),"")</f>
        <v/>
      </c>
      <c r="AR411" s="134" t="str">
        <f>IF(Tab.o1[[#This Row],[a1]]=1,Tab.o1[[#This Row],[OBS]]/SUM(Tab.o1[OBS]),"")</f>
        <v/>
      </c>
      <c r="AS411" s="135" t="str">
        <f>IF(ISNUMBER(Tab.o1[[#This Row],[a1]]),ROW()-4,"")</f>
        <v/>
      </c>
      <c r="AT411" s="136" t="str">
        <f>Tab.o1[[#This Row],[MOD]]</f>
        <v/>
      </c>
      <c r="AU411" s="137" t="str">
        <f t="shared" si="25"/>
        <v/>
      </c>
      <c r="AV411" s="138" t="str">
        <f t="shared" si="26"/>
        <v/>
      </c>
      <c r="AW411" s="138" t="str">
        <f t="shared" si="27"/>
        <v/>
      </c>
      <c r="AX411" s="139" t="str">
        <f>[1]!T.in.A[[#This Row],[ID_T_manu]]</f>
        <v/>
      </c>
      <c r="AY411" s="140" t="str">
        <f>IF(ISNUMBER(Tab.o1[[#This Row],[a1]]),IF(AND(Tab.o1[[#This Row],[a1]]=1,Tab.o1[[#This Row],[b1]]&lt;=AY$4),#REF!,AY410),"")</f>
        <v/>
      </c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</row>
    <row r="412" spans="1:79" ht="15.75" hidden="1">
      <c r="A412" s="109">
        <v>-2.9999999999999997E-6</v>
      </c>
      <c r="B412" s="110">
        <f t="shared" si="24"/>
        <v>412</v>
      </c>
      <c r="C412" s="111" t="str">
        <f>IF(C$1=[1]!T.in.A[[#This Row],[oo2]],1,"")</f>
        <v/>
      </c>
      <c r="D412" s="112" t="str">
        <f>IF(Tab.o1[[#This Row],[a1]]=1,IF(SUM(C412:C413)=0,0,IF(SUM(C411:C412)=1,1,IF(SUM(C411:C413)&gt;1,D411+1,0))),"")</f>
        <v/>
      </c>
      <c r="E412" s="113" t="str">
        <f>IF(Tab.o1[[#This Row],[a1]]=1,[1]!T.in.A[[#This Row],[oo1]],"")</f>
        <v/>
      </c>
      <c r="F412" s="113" t="str">
        <f>IF(Tab.o1[[#This Row],[a1]]=1,[1]!T.in.A[[#This Row],[pp1]],"")</f>
        <v/>
      </c>
      <c r="G412" s="114" t="str">
        <f>IF(Tab.o1[[#This Row],[a1]]=1,G$2+IF(G$1=1,0,Tab.o1[[#This Row],[.x1]])+[1]!T.in.A[[#This Row],[oo3]],"")</f>
        <v/>
      </c>
      <c r="H412" s="115" t="str">
        <f>IF(Tab.o1[[#This Row],[a1]]=1,IF(H$2=0,0,IF(G$1=1,0,Tab.o1[[#This Row],[.x1]])+[1]!T.in.A[[#This Row],[oo4]]),"")</f>
        <v/>
      </c>
      <c r="I412" s="116" t="str">
        <f>IF(Tab.o1[[#This Row],[a1]]=1,IF(J$2=0,Tab.o1[[#This Row],[MED]],Tab.o1[[#This Row],[MOD]]),"")</f>
        <v/>
      </c>
      <c r="J412" s="116" t="str">
        <f>IF(Tab.o1[[#This Row],[a1]]=1,((Tab.o1[[#This Row],[DIF_Target.]]-AVERAGE(Tab.o1[DIF_Target.]))/_xlfn.STDEV.P(Tab.o1[DIF_Target.])),"")</f>
        <v/>
      </c>
      <c r="K412" s="117" t="str">
        <f>IF(Tab.o1[[#This Row],[a1]]=1,IF(J$2=0,Tab.o1[[#This Row],[MOD]]-Tab.o1[[#This Row],[B]],IF(J$2=1,0,-Tab.o1[[#This Row],[MED]])+Tab.o1[[#This Row],[B]]),"")</f>
        <v/>
      </c>
      <c r="L412" s="117" t="str">
        <f ca="1">IF(Tab.o1[[#This Row],[DIF_Target]]=0,IF(L$2=0,Tab.o1[[#This Row],[DIF_Target]],AVERAGE(OFFSET(Tab.o1[[#This Row],[DIF_Target]],1,0,L$3,1)))/3,Tab.o1[[#This Row],[DIF_Target]])</f>
        <v/>
      </c>
      <c r="M412" s="118" t="str">
        <f>IF(Tab.o1[[#This Row],[a1]]=1,NORMSDIST(Tab.o1[[#This Row],[Za]]),"")</f>
        <v/>
      </c>
      <c r="N412" s="119" t="str">
        <f>IF(Tab.o1[[#This Row],[a1]]=1,((Tab.o1[[#This Row],[MedMod]]-AVERAGE(Tab.o1[MedMod]))/_xlfn.STDEV.P(Tab.o1[MedMod])*H$1205)+G$1205,"")</f>
        <v/>
      </c>
      <c r="O412" s="141" t="str">
        <f>IF(Tab.o1[[#This Row],[a1]]=1,Tab.o1[[#This Row],[Zb]]*_xlfn.STDEV.P(Tab.o1[MedMod])+AVERAGE(Tab.o1[MedMod]),"")</f>
        <v/>
      </c>
      <c r="P412" s="117" t="str">
        <f ca="1">IF(Tab.o1[[#This Row],[B]]=0,AVERAGE(OFFSET(Tab.o1[[#This Row],[B]],1,0,L$3,1)),Tab.o1[[#This Row],[B]])</f>
        <v/>
      </c>
      <c r="Q412" s="121" t="str">
        <f>IF(Tab.o1[[#This Row],[a1]]=1,NORMSDIST(Tab.o1[[#This Row],[Zb]]),"")</f>
        <v/>
      </c>
      <c r="R412" s="122" t="str">
        <f>IF(Tab.o1[[#This Row],[a1]]=1,((Tab.o1[[#This Row],[MedMod]]-AVERAGE(Tab.o1[MedMod]))/_xlfn.STDEV.P(Tab.o1[MedMod])*H$1203)+G$1203,"")</f>
        <v/>
      </c>
      <c r="S412" s="122" t="str">
        <f>IF(Tab.o1[[#This Row],[a1]]=1,((Tab.o1[[#This Row],[MedMod]]-AVERAGE(Tab.o1[MedMod]))/_xlfn.STDEV.P(Tab.o1[MedMod])*H$1204)+G$1204,"")</f>
        <v/>
      </c>
      <c r="T412" s="123" t="str">
        <f>IF(Tab.o1[[#This Row],[a1]]=1,Tab.o1[[#This Row],[Z-]]*_xlfn.STDEV.P(Tab.o1[B])+AVERAGE(Tab.o1[B]),"")</f>
        <v/>
      </c>
      <c r="U412" s="123" t="str">
        <f>IF(Tab.o1[[#This Row],[a1]]=1,Tab.o1[[#This Row],[z+]]*_xlfn.STDEV.P(Tab.o1[B])+AVERAGE(Tab.o1[B]),"")</f>
        <v/>
      </c>
      <c r="V412" s="124" t="str">
        <f>IF(Tab.o1[[#This Row],[a1]]=1,ABS((ABS(Tab.o1[[#This Row],[Red]]-Tab.o1[[#This Row],[Blue]]))),"")</f>
        <v/>
      </c>
      <c r="W412" s="125" t="str">
        <f>IF(Tab.o1[[#This Row],[a1]]=1,IF(W$3=0,1,Tab.o1[[#This Row],[Amp.]]*1/_xlfn.MINIFS(Tab.o1[Amp.],Tab.o1[Amp.],"&lt;&gt;0")),"")</f>
        <v/>
      </c>
      <c r="X412" s="126" t="str">
        <f>IF(Tab.o1[[#This Row],[a1]]=1,IF(ISNUMBER(Tab.o1[[#This Row],[i.]]),NORMDIST(Tab.o1[[#This Row],[Za]],0,1,FALSE)*Tab.o1[[#This Row],[i.]],AP$3),"")</f>
        <v/>
      </c>
      <c r="Y412" s="126" t="str">
        <f>IF(Tab.o1[[#This Row],[a1]]=1,0.01+0.94*Tab.o1[[#This Row],[PDF]]/MAX(Tab.o1[PDF]),"")</f>
        <v/>
      </c>
      <c r="Z412" s="126" t="str">
        <f>IF(Tab.o1[[#This Row],[a1]]=1,0.01+0.94*Tab.o1[[#This Row],[W1_PDF]]/MAX(Tab.o1[W1_PDF]),"")</f>
        <v/>
      </c>
      <c r="AA412" s="118" t="str">
        <f>IF(Tab.o1[[#This Row],[a1]]=1,ABS([1]!T.in.A[[#This Row],[oo6]]),"")</f>
        <v/>
      </c>
      <c r="AB412" s="127" t="str">
        <f>IF(Tab.o1[[#This Row],[a1]]=1,IF(AE$3=0,"",IF(AB$3=0,ABS([1]!T.in.A[[#This Row],[oo9]]),ABS(Tab.o1[[#This Row],[DIF_Target.]]*Tab.o1[[#This Row],[W1_PDF]]))),"")</f>
        <v/>
      </c>
      <c r="AC412" s="127" t="str">
        <f>IF(G$1=1,"",IF(Tab.o1[[#This Row],[a1]]=1,Tab.o1[[#This Row],[Wr]]^2,""))</f>
        <v/>
      </c>
      <c r="AD412" s="118" t="str">
        <f>IF(Tab.o1[[#This Row],[a1]]=1,IF(AE$3=0,"",Tab.o1[[#This Row],[Wr2]]/SUM(Tab.o1[Wr2])),"")</f>
        <v/>
      </c>
      <c r="AE412" s="128" t="str">
        <f>IF(Tab.o1[[#This Row],[a1]]=1,[1]!T.in.A[[#This Row],[oo10]],"")</f>
        <v/>
      </c>
      <c r="AF412" s="118" t="str">
        <f>IF(Tab.o1[[#This Row],[a1]]=1,ABS(Tab.o1[[#This Row],[DIF_Target.]]*Tab.o1[[#This Row],[PDF2]]*Tab.o1[[#This Row],[IN]]),"")</f>
        <v/>
      </c>
      <c r="AG412" s="129" t="str">
        <f>IF(Tab.o1[[#This Row],[a1]]=1,Tab.o1[[#This Row],[rW]]^2,"")</f>
        <v/>
      </c>
      <c r="AH412" s="130" t="str">
        <f>IF(Tab.o1[[#This Row],[a1]]=1,IF(AH$3=0,Tab.o1[[#This Row],[rW2]],0.01+0.94*Tab.o1[[#This Row],[rW2]]/SUM(Tab.o1[rW2])),"")</f>
        <v/>
      </c>
      <c r="AI412" s="128" t="str">
        <f>IF(Tab.o1[[#This Row],[a1]]=1,1/Tab.o1[[#This Row],[PDF]],"")</f>
        <v/>
      </c>
      <c r="AJ412" s="131" t="str">
        <f>IF(Tab.o1[[#This Row],[a1]]=1,[1]!T_AA[[#This Row],[IN'']]*[1]!T_AA[[#This Row],[Qde'']],"")</f>
        <v/>
      </c>
      <c r="AK412" s="132" t="str">
        <f>IF(Tab.o1[[#This Row],[a1]]=1,IF(AK$1=1,Tab.o1[[#This Row],[MED]]+Tab.o1[[#This Row],[MOD]]-Tab.o1[[#This Row],[MED]],""),"")</f>
        <v/>
      </c>
      <c r="AL412" s="133" t="str">
        <f>IF(Tab.o1[[#This Row],[a1]]=1,[1]!T.in.A[[#This Row],[oo16]],"")</f>
        <v/>
      </c>
      <c r="AM412" s="133" t="str">
        <f>IF(Tab.o1[[#This Row],[a1]]=1,IF(AM$3=1,[1]!T.in.A[[#This Row],[Σo16]],""),"")</f>
        <v/>
      </c>
      <c r="AN412" s="126" t="str">
        <f>IF(Tab.o1[[#This Row],[a1]]=1,[1]!T.in.A[[#This Row],[Σp5]],"")</f>
        <v/>
      </c>
      <c r="AO412" s="126" t="str">
        <f>IF(Tab.o1[[#This Row],[a1]]=1,IF(AO$3=1,[1]!T.in.A[[#This Row],[Σp5]],""),"")</f>
        <v/>
      </c>
      <c r="AP412" s="110" t="str">
        <f>IF(Tab.o1[[#This Row],[a1]]=1,IF(ISNUMBER(Tab.o1[[#This Row],[i.]]),NORMDIST(Tab.o1[[#This Row],[Za]],0,1,FALSE)*Tab.o1[[#This Row],[i.]],0),"")</f>
        <v/>
      </c>
      <c r="AQ412" s="125" t="str">
        <f>IF(Tab.o1[[#This Row],[a1]]=1,ABS(Tab.o1[[#This Row],[MOD]]-AVERAGE(Tab.o1[MOD])),"")</f>
        <v/>
      </c>
      <c r="AR412" s="134" t="str">
        <f>IF(Tab.o1[[#This Row],[a1]]=1,Tab.o1[[#This Row],[OBS]]/SUM(Tab.o1[OBS]),"")</f>
        <v/>
      </c>
      <c r="AS412" s="135" t="str">
        <f>IF(ISNUMBER(Tab.o1[[#This Row],[a1]]),ROW()-4,"")</f>
        <v/>
      </c>
      <c r="AT412" s="136" t="str">
        <f>Tab.o1[[#This Row],[MOD]]</f>
        <v/>
      </c>
      <c r="AU412" s="137" t="str">
        <f t="shared" si="25"/>
        <v/>
      </c>
      <c r="AV412" s="138" t="str">
        <f t="shared" si="26"/>
        <v/>
      </c>
      <c r="AW412" s="138" t="str">
        <f t="shared" si="27"/>
        <v/>
      </c>
      <c r="AX412" s="139" t="str">
        <f>[1]!T.in.A[[#This Row],[ID_T_manu]]</f>
        <v/>
      </c>
      <c r="AY412" s="140" t="str">
        <f>IF(ISNUMBER(Tab.o1[[#This Row],[a1]]),IF(AND(Tab.o1[[#This Row],[a1]]=1,Tab.o1[[#This Row],[b1]]&lt;=AY$4),#REF!,AY411),"")</f>
        <v/>
      </c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</row>
    <row r="413" spans="1:79" ht="15.75" hidden="1">
      <c r="A413" s="109">
        <v>1.0000000000000002E-6</v>
      </c>
      <c r="B413" s="110">
        <f t="shared" si="24"/>
        <v>413</v>
      </c>
      <c r="C413" s="111" t="str">
        <f>IF(C$1=[1]!T.in.A[[#This Row],[oo2]],1,"")</f>
        <v/>
      </c>
      <c r="D413" s="112" t="str">
        <f>IF(Tab.o1[[#This Row],[a1]]=1,IF(SUM(C413:C414)=0,0,IF(SUM(C412:C413)=1,1,IF(SUM(C412:C414)&gt;1,D412+1,0))),"")</f>
        <v/>
      </c>
      <c r="E413" s="113" t="str">
        <f>IF(Tab.o1[[#This Row],[a1]]=1,[1]!T.in.A[[#This Row],[oo1]],"")</f>
        <v/>
      </c>
      <c r="F413" s="113" t="str">
        <f>IF(Tab.o1[[#This Row],[a1]]=1,[1]!T.in.A[[#This Row],[pp1]],"")</f>
        <v/>
      </c>
      <c r="G413" s="114" t="str">
        <f>IF(Tab.o1[[#This Row],[a1]]=1,G$2+IF(G$1=1,0,Tab.o1[[#This Row],[.x1]])+[1]!T.in.A[[#This Row],[oo3]],"")</f>
        <v/>
      </c>
      <c r="H413" s="115" t="str">
        <f>IF(Tab.o1[[#This Row],[a1]]=1,IF(H$2=0,0,IF(G$1=1,0,Tab.o1[[#This Row],[.x1]])+[1]!T.in.A[[#This Row],[oo4]]),"")</f>
        <v/>
      </c>
      <c r="I413" s="116" t="str">
        <f>IF(Tab.o1[[#This Row],[a1]]=1,IF(J$2=0,Tab.o1[[#This Row],[MED]],Tab.o1[[#This Row],[MOD]]),"")</f>
        <v/>
      </c>
      <c r="J413" s="116" t="str">
        <f>IF(Tab.o1[[#This Row],[a1]]=1,((Tab.o1[[#This Row],[DIF_Target.]]-AVERAGE(Tab.o1[DIF_Target.]))/_xlfn.STDEV.P(Tab.o1[DIF_Target.])),"")</f>
        <v/>
      </c>
      <c r="K413" s="117" t="str">
        <f>IF(Tab.o1[[#This Row],[a1]]=1,IF(J$2=0,Tab.o1[[#This Row],[MOD]]-Tab.o1[[#This Row],[B]],IF(J$2=1,0,-Tab.o1[[#This Row],[MED]])+Tab.o1[[#This Row],[B]]),"")</f>
        <v/>
      </c>
      <c r="L413" s="117" t="str">
        <f ca="1">IF(Tab.o1[[#This Row],[DIF_Target]]=0,IF(L$2=0,Tab.o1[[#This Row],[DIF_Target]],AVERAGE(OFFSET(Tab.o1[[#This Row],[DIF_Target]],1,0,L$3,1)))/3,Tab.o1[[#This Row],[DIF_Target]])</f>
        <v/>
      </c>
      <c r="M413" s="118" t="str">
        <f>IF(Tab.o1[[#This Row],[a1]]=1,NORMSDIST(Tab.o1[[#This Row],[Za]]),"")</f>
        <v/>
      </c>
      <c r="N413" s="119" t="str">
        <f>IF(Tab.o1[[#This Row],[a1]]=1,((Tab.o1[[#This Row],[MedMod]]-AVERAGE(Tab.o1[MedMod]))/_xlfn.STDEV.P(Tab.o1[MedMod])*H$1205)+G$1205,"")</f>
        <v/>
      </c>
      <c r="O413" s="141" t="str">
        <f>IF(Tab.o1[[#This Row],[a1]]=1,Tab.o1[[#This Row],[Zb]]*_xlfn.STDEV.P(Tab.o1[MedMod])+AVERAGE(Tab.o1[MedMod]),"")</f>
        <v/>
      </c>
      <c r="P413" s="117" t="str">
        <f ca="1">IF(Tab.o1[[#This Row],[B]]=0,AVERAGE(OFFSET(Tab.o1[[#This Row],[B]],1,0,L$3,1)),Tab.o1[[#This Row],[B]])</f>
        <v/>
      </c>
      <c r="Q413" s="121" t="str">
        <f>IF(Tab.o1[[#This Row],[a1]]=1,NORMSDIST(Tab.o1[[#This Row],[Zb]]),"")</f>
        <v/>
      </c>
      <c r="R413" s="122" t="str">
        <f>IF(Tab.o1[[#This Row],[a1]]=1,((Tab.o1[[#This Row],[MedMod]]-AVERAGE(Tab.o1[MedMod]))/_xlfn.STDEV.P(Tab.o1[MedMod])*H$1203)+G$1203,"")</f>
        <v/>
      </c>
      <c r="S413" s="122" t="str">
        <f>IF(Tab.o1[[#This Row],[a1]]=1,((Tab.o1[[#This Row],[MedMod]]-AVERAGE(Tab.o1[MedMod]))/_xlfn.STDEV.P(Tab.o1[MedMod])*H$1204)+G$1204,"")</f>
        <v/>
      </c>
      <c r="T413" s="123" t="str">
        <f>IF(Tab.o1[[#This Row],[a1]]=1,Tab.o1[[#This Row],[Z-]]*_xlfn.STDEV.P(Tab.o1[B])+AVERAGE(Tab.o1[B]),"")</f>
        <v/>
      </c>
      <c r="U413" s="123" t="str">
        <f>IF(Tab.o1[[#This Row],[a1]]=1,Tab.o1[[#This Row],[z+]]*_xlfn.STDEV.P(Tab.o1[B])+AVERAGE(Tab.o1[B]),"")</f>
        <v/>
      </c>
      <c r="V413" s="124" t="str">
        <f>IF(Tab.o1[[#This Row],[a1]]=1,ABS((ABS(Tab.o1[[#This Row],[Red]]-Tab.o1[[#This Row],[Blue]]))),"")</f>
        <v/>
      </c>
      <c r="W413" s="125" t="str">
        <f>IF(Tab.o1[[#This Row],[a1]]=1,IF(W$3=0,1,Tab.o1[[#This Row],[Amp.]]*1/_xlfn.MINIFS(Tab.o1[Amp.],Tab.o1[Amp.],"&lt;&gt;0")),"")</f>
        <v/>
      </c>
      <c r="X413" s="126" t="str">
        <f>IF(Tab.o1[[#This Row],[a1]]=1,IF(ISNUMBER(Tab.o1[[#This Row],[i.]]),NORMDIST(Tab.o1[[#This Row],[Za]],0,1,FALSE)*Tab.o1[[#This Row],[i.]],AP$3),"")</f>
        <v/>
      </c>
      <c r="Y413" s="126" t="str">
        <f>IF(Tab.o1[[#This Row],[a1]]=1,0.01+0.94*Tab.o1[[#This Row],[PDF]]/MAX(Tab.o1[PDF]),"")</f>
        <v/>
      </c>
      <c r="Z413" s="126" t="str">
        <f>IF(Tab.o1[[#This Row],[a1]]=1,0.01+0.94*Tab.o1[[#This Row],[W1_PDF]]/MAX(Tab.o1[W1_PDF]),"")</f>
        <v/>
      </c>
      <c r="AA413" s="118" t="str">
        <f>IF(Tab.o1[[#This Row],[a1]]=1,ABS([1]!T.in.A[[#This Row],[oo6]]),"")</f>
        <v/>
      </c>
      <c r="AB413" s="127" t="str">
        <f>IF(Tab.o1[[#This Row],[a1]]=1,IF(AE$3=0,"",IF(AB$3=0,ABS([1]!T.in.A[[#This Row],[oo9]]),ABS(Tab.o1[[#This Row],[DIF_Target.]]*Tab.o1[[#This Row],[W1_PDF]]))),"")</f>
        <v/>
      </c>
      <c r="AC413" s="127" t="str">
        <f>IF(G$1=1,"",IF(Tab.o1[[#This Row],[a1]]=1,Tab.o1[[#This Row],[Wr]]^2,""))</f>
        <v/>
      </c>
      <c r="AD413" s="118" t="str">
        <f>IF(Tab.o1[[#This Row],[a1]]=1,IF(AE$3=0,"",Tab.o1[[#This Row],[Wr2]]/SUM(Tab.o1[Wr2])),"")</f>
        <v/>
      </c>
      <c r="AE413" s="128" t="str">
        <f>IF(Tab.o1[[#This Row],[a1]]=1,[1]!T.in.A[[#This Row],[oo10]],"")</f>
        <v/>
      </c>
      <c r="AF413" s="118" t="str">
        <f>IF(Tab.o1[[#This Row],[a1]]=1,ABS(Tab.o1[[#This Row],[DIF_Target.]]*Tab.o1[[#This Row],[PDF2]]*Tab.o1[[#This Row],[IN]]),"")</f>
        <v/>
      </c>
      <c r="AG413" s="129" t="str">
        <f>IF(Tab.o1[[#This Row],[a1]]=1,Tab.o1[[#This Row],[rW]]^2,"")</f>
        <v/>
      </c>
      <c r="AH413" s="130" t="str">
        <f>IF(Tab.o1[[#This Row],[a1]]=1,IF(AH$3=0,Tab.o1[[#This Row],[rW2]],0.01+0.94*Tab.o1[[#This Row],[rW2]]/SUM(Tab.o1[rW2])),"")</f>
        <v/>
      </c>
      <c r="AI413" s="128" t="str">
        <f>IF(Tab.o1[[#This Row],[a1]]=1,1/Tab.o1[[#This Row],[PDF]],"")</f>
        <v/>
      </c>
      <c r="AJ413" s="131" t="str">
        <f>IF(Tab.o1[[#This Row],[a1]]=1,[1]!T_AA[[#This Row],[IN'']]*[1]!T_AA[[#This Row],[Qde'']],"")</f>
        <v/>
      </c>
      <c r="AK413" s="132" t="str">
        <f>IF(Tab.o1[[#This Row],[a1]]=1,IF(AK$1=1,Tab.o1[[#This Row],[MED]]+Tab.o1[[#This Row],[MOD]]-Tab.o1[[#This Row],[MED]],""),"")</f>
        <v/>
      </c>
      <c r="AL413" s="133" t="str">
        <f>IF(Tab.o1[[#This Row],[a1]]=1,[1]!T.in.A[[#This Row],[oo16]],"")</f>
        <v/>
      </c>
      <c r="AM413" s="133" t="str">
        <f>IF(Tab.o1[[#This Row],[a1]]=1,IF(AM$3=1,[1]!T.in.A[[#This Row],[Σo16]],""),"")</f>
        <v/>
      </c>
      <c r="AN413" s="126" t="str">
        <f>IF(Tab.o1[[#This Row],[a1]]=1,[1]!T.in.A[[#This Row],[Σp5]],"")</f>
        <v/>
      </c>
      <c r="AO413" s="126" t="str">
        <f>IF(Tab.o1[[#This Row],[a1]]=1,IF(AO$3=1,[1]!T.in.A[[#This Row],[Σp5]],""),"")</f>
        <v/>
      </c>
      <c r="AP413" s="110" t="str">
        <f>IF(Tab.o1[[#This Row],[a1]]=1,IF(ISNUMBER(Tab.o1[[#This Row],[i.]]),NORMDIST(Tab.o1[[#This Row],[Za]],0,1,FALSE)*Tab.o1[[#This Row],[i.]],0),"")</f>
        <v/>
      </c>
      <c r="AQ413" s="125" t="str">
        <f>IF(Tab.o1[[#This Row],[a1]]=1,ABS(Tab.o1[[#This Row],[MOD]]-AVERAGE(Tab.o1[MOD])),"")</f>
        <v/>
      </c>
      <c r="AR413" s="134" t="str">
        <f>IF(Tab.o1[[#This Row],[a1]]=1,Tab.o1[[#This Row],[OBS]]/SUM(Tab.o1[OBS]),"")</f>
        <v/>
      </c>
      <c r="AS413" s="135" t="str">
        <f>IF(ISNUMBER(Tab.o1[[#This Row],[a1]]),ROW()-4,"")</f>
        <v/>
      </c>
      <c r="AT413" s="136" t="str">
        <f>Tab.o1[[#This Row],[MOD]]</f>
        <v/>
      </c>
      <c r="AU413" s="137" t="str">
        <f t="shared" si="25"/>
        <v/>
      </c>
      <c r="AV413" s="138" t="str">
        <f t="shared" si="26"/>
        <v/>
      </c>
      <c r="AW413" s="138" t="str">
        <f t="shared" si="27"/>
        <v/>
      </c>
      <c r="AX413" s="139" t="str">
        <f>[1]!T.in.A[[#This Row],[ID_T_manu]]</f>
        <v/>
      </c>
      <c r="AY413" s="140" t="str">
        <f>IF(ISNUMBER(Tab.o1[[#This Row],[a1]]),IF(AND(Tab.o1[[#This Row],[a1]]=1,Tab.o1[[#This Row],[b1]]&lt;=AY$4),#REF!,AY412),"")</f>
        <v/>
      </c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</row>
    <row r="414" spans="1:79" ht="15.75" hidden="1">
      <c r="A414" s="109">
        <v>5.0000000000000004E-6</v>
      </c>
      <c r="B414" s="110">
        <f t="shared" si="24"/>
        <v>414</v>
      </c>
      <c r="C414" s="111" t="str">
        <f>IF(C$1=[1]!T.in.A[[#This Row],[oo2]],1,"")</f>
        <v/>
      </c>
      <c r="D414" s="112" t="str">
        <f>IF(Tab.o1[[#This Row],[a1]]=1,IF(SUM(C414:C415)=0,0,IF(SUM(C413:C414)=1,1,IF(SUM(C413:C415)&gt;1,D413+1,0))),"")</f>
        <v/>
      </c>
      <c r="E414" s="113" t="str">
        <f>IF(Tab.o1[[#This Row],[a1]]=1,[1]!T.in.A[[#This Row],[oo1]],"")</f>
        <v/>
      </c>
      <c r="F414" s="113" t="str">
        <f>IF(Tab.o1[[#This Row],[a1]]=1,[1]!T.in.A[[#This Row],[pp1]],"")</f>
        <v/>
      </c>
      <c r="G414" s="114" t="str">
        <f>IF(Tab.o1[[#This Row],[a1]]=1,G$2+IF(G$1=1,0,Tab.o1[[#This Row],[.x1]])+[1]!T.in.A[[#This Row],[oo3]],"")</f>
        <v/>
      </c>
      <c r="H414" s="115" t="str">
        <f>IF(Tab.o1[[#This Row],[a1]]=1,IF(H$2=0,0,IF(G$1=1,0,Tab.o1[[#This Row],[.x1]])+[1]!T.in.A[[#This Row],[oo4]]),"")</f>
        <v/>
      </c>
      <c r="I414" s="116" t="str">
        <f>IF(Tab.o1[[#This Row],[a1]]=1,IF(J$2=0,Tab.o1[[#This Row],[MED]],Tab.o1[[#This Row],[MOD]]),"")</f>
        <v/>
      </c>
      <c r="J414" s="116" t="str">
        <f>IF(Tab.o1[[#This Row],[a1]]=1,((Tab.o1[[#This Row],[DIF_Target.]]-AVERAGE(Tab.o1[DIF_Target.]))/_xlfn.STDEV.P(Tab.o1[DIF_Target.])),"")</f>
        <v/>
      </c>
      <c r="K414" s="117" t="str">
        <f>IF(Tab.o1[[#This Row],[a1]]=1,IF(J$2=0,Tab.o1[[#This Row],[MOD]]-Tab.o1[[#This Row],[B]],IF(J$2=1,0,-Tab.o1[[#This Row],[MED]])+Tab.o1[[#This Row],[B]]),"")</f>
        <v/>
      </c>
      <c r="L414" s="117" t="str">
        <f ca="1">IF(Tab.o1[[#This Row],[DIF_Target]]=0,IF(L$2=0,Tab.o1[[#This Row],[DIF_Target]],AVERAGE(OFFSET(Tab.o1[[#This Row],[DIF_Target]],1,0,L$3,1)))/3,Tab.o1[[#This Row],[DIF_Target]])</f>
        <v/>
      </c>
      <c r="M414" s="118" t="str">
        <f>IF(Tab.o1[[#This Row],[a1]]=1,NORMSDIST(Tab.o1[[#This Row],[Za]]),"")</f>
        <v/>
      </c>
      <c r="N414" s="119" t="str">
        <f>IF(Tab.o1[[#This Row],[a1]]=1,((Tab.o1[[#This Row],[MedMod]]-AVERAGE(Tab.o1[MedMod]))/_xlfn.STDEV.P(Tab.o1[MedMod])*H$1205)+G$1205,"")</f>
        <v/>
      </c>
      <c r="O414" s="141" t="str">
        <f>IF(Tab.o1[[#This Row],[a1]]=1,Tab.o1[[#This Row],[Zb]]*_xlfn.STDEV.P(Tab.o1[MedMod])+AVERAGE(Tab.o1[MedMod]),"")</f>
        <v/>
      </c>
      <c r="P414" s="117" t="str">
        <f ca="1">IF(Tab.o1[[#This Row],[B]]=0,AVERAGE(OFFSET(Tab.o1[[#This Row],[B]],1,0,L$3,1)),Tab.o1[[#This Row],[B]])</f>
        <v/>
      </c>
      <c r="Q414" s="121" t="str">
        <f>IF(Tab.o1[[#This Row],[a1]]=1,NORMSDIST(Tab.o1[[#This Row],[Zb]]),"")</f>
        <v/>
      </c>
      <c r="R414" s="122" t="str">
        <f>IF(Tab.o1[[#This Row],[a1]]=1,((Tab.o1[[#This Row],[MedMod]]-AVERAGE(Tab.o1[MedMod]))/_xlfn.STDEV.P(Tab.o1[MedMod])*H$1203)+G$1203,"")</f>
        <v/>
      </c>
      <c r="S414" s="122" t="str">
        <f>IF(Tab.o1[[#This Row],[a1]]=1,((Tab.o1[[#This Row],[MedMod]]-AVERAGE(Tab.o1[MedMod]))/_xlfn.STDEV.P(Tab.o1[MedMod])*H$1204)+G$1204,"")</f>
        <v/>
      </c>
      <c r="T414" s="123" t="str">
        <f>IF(Tab.o1[[#This Row],[a1]]=1,Tab.o1[[#This Row],[Z-]]*_xlfn.STDEV.P(Tab.o1[B])+AVERAGE(Tab.o1[B]),"")</f>
        <v/>
      </c>
      <c r="U414" s="123" t="str">
        <f>IF(Tab.o1[[#This Row],[a1]]=1,Tab.o1[[#This Row],[z+]]*_xlfn.STDEV.P(Tab.o1[B])+AVERAGE(Tab.o1[B]),"")</f>
        <v/>
      </c>
      <c r="V414" s="124" t="str">
        <f>IF(Tab.o1[[#This Row],[a1]]=1,ABS((ABS(Tab.o1[[#This Row],[Red]]-Tab.o1[[#This Row],[Blue]]))),"")</f>
        <v/>
      </c>
      <c r="W414" s="125" t="str">
        <f>IF(Tab.o1[[#This Row],[a1]]=1,IF(W$3=0,1,Tab.o1[[#This Row],[Amp.]]*1/_xlfn.MINIFS(Tab.o1[Amp.],Tab.o1[Amp.],"&lt;&gt;0")),"")</f>
        <v/>
      </c>
      <c r="X414" s="126" t="str">
        <f>IF(Tab.o1[[#This Row],[a1]]=1,IF(ISNUMBER(Tab.o1[[#This Row],[i.]]),NORMDIST(Tab.o1[[#This Row],[Za]],0,1,FALSE)*Tab.o1[[#This Row],[i.]],AP$3),"")</f>
        <v/>
      </c>
      <c r="Y414" s="126" t="str">
        <f>IF(Tab.o1[[#This Row],[a1]]=1,0.01+0.94*Tab.o1[[#This Row],[PDF]]/MAX(Tab.o1[PDF]),"")</f>
        <v/>
      </c>
      <c r="Z414" s="126" t="str">
        <f>IF(Tab.o1[[#This Row],[a1]]=1,0.01+0.94*Tab.o1[[#This Row],[W1_PDF]]/MAX(Tab.o1[W1_PDF]),"")</f>
        <v/>
      </c>
      <c r="AA414" s="118" t="str">
        <f>IF(Tab.o1[[#This Row],[a1]]=1,ABS([1]!T.in.A[[#This Row],[oo6]]),"")</f>
        <v/>
      </c>
      <c r="AB414" s="127" t="str">
        <f>IF(Tab.o1[[#This Row],[a1]]=1,IF(AE$3=0,"",IF(AB$3=0,ABS([1]!T.in.A[[#This Row],[oo9]]),ABS(Tab.o1[[#This Row],[DIF_Target.]]*Tab.o1[[#This Row],[W1_PDF]]))),"")</f>
        <v/>
      </c>
      <c r="AC414" s="127" t="str">
        <f>IF(G$1=1,"",IF(Tab.o1[[#This Row],[a1]]=1,Tab.o1[[#This Row],[Wr]]^2,""))</f>
        <v/>
      </c>
      <c r="AD414" s="118" t="str">
        <f>IF(Tab.o1[[#This Row],[a1]]=1,IF(AE$3=0,"",Tab.o1[[#This Row],[Wr2]]/SUM(Tab.o1[Wr2])),"")</f>
        <v/>
      </c>
      <c r="AE414" s="128" t="str">
        <f>IF(Tab.o1[[#This Row],[a1]]=1,[1]!T.in.A[[#This Row],[oo10]],"")</f>
        <v/>
      </c>
      <c r="AF414" s="118" t="str">
        <f>IF(Tab.o1[[#This Row],[a1]]=1,ABS(Tab.o1[[#This Row],[DIF_Target.]]*Tab.o1[[#This Row],[PDF2]]*Tab.o1[[#This Row],[IN]]),"")</f>
        <v/>
      </c>
      <c r="AG414" s="129" t="str">
        <f>IF(Tab.o1[[#This Row],[a1]]=1,Tab.o1[[#This Row],[rW]]^2,"")</f>
        <v/>
      </c>
      <c r="AH414" s="130" t="str">
        <f>IF(Tab.o1[[#This Row],[a1]]=1,IF(AH$3=0,Tab.o1[[#This Row],[rW2]],0.01+0.94*Tab.o1[[#This Row],[rW2]]/SUM(Tab.o1[rW2])),"")</f>
        <v/>
      </c>
      <c r="AI414" s="128" t="str">
        <f>IF(Tab.o1[[#This Row],[a1]]=1,1/Tab.o1[[#This Row],[PDF]],"")</f>
        <v/>
      </c>
      <c r="AJ414" s="131" t="str">
        <f>IF(Tab.o1[[#This Row],[a1]]=1,[1]!T_AA[[#This Row],[IN'']]*[1]!T_AA[[#This Row],[Qde'']],"")</f>
        <v/>
      </c>
      <c r="AK414" s="132" t="str">
        <f>IF(Tab.o1[[#This Row],[a1]]=1,IF(AK$1=1,Tab.o1[[#This Row],[MED]]+Tab.o1[[#This Row],[MOD]]-Tab.o1[[#This Row],[MED]],""),"")</f>
        <v/>
      </c>
      <c r="AL414" s="133" t="str">
        <f>IF(Tab.o1[[#This Row],[a1]]=1,[1]!T.in.A[[#This Row],[oo16]],"")</f>
        <v/>
      </c>
      <c r="AM414" s="133" t="str">
        <f>IF(Tab.o1[[#This Row],[a1]]=1,IF(AM$3=1,[1]!T.in.A[[#This Row],[Σo16]],""),"")</f>
        <v/>
      </c>
      <c r="AN414" s="126" t="str">
        <f>IF(Tab.o1[[#This Row],[a1]]=1,[1]!T.in.A[[#This Row],[Σp5]],"")</f>
        <v/>
      </c>
      <c r="AO414" s="126" t="str">
        <f>IF(Tab.o1[[#This Row],[a1]]=1,IF(AO$3=1,[1]!T.in.A[[#This Row],[Σp5]],""),"")</f>
        <v/>
      </c>
      <c r="AP414" s="110" t="str">
        <f>IF(Tab.o1[[#This Row],[a1]]=1,IF(ISNUMBER(Tab.o1[[#This Row],[i.]]),NORMDIST(Tab.o1[[#This Row],[Za]],0,1,FALSE)*Tab.o1[[#This Row],[i.]],0),"")</f>
        <v/>
      </c>
      <c r="AQ414" s="125" t="str">
        <f>IF(Tab.o1[[#This Row],[a1]]=1,ABS(Tab.o1[[#This Row],[MOD]]-AVERAGE(Tab.o1[MOD])),"")</f>
        <v/>
      </c>
      <c r="AR414" s="134" t="str">
        <f>IF(Tab.o1[[#This Row],[a1]]=1,Tab.o1[[#This Row],[OBS]]/SUM(Tab.o1[OBS]),"")</f>
        <v/>
      </c>
      <c r="AS414" s="135" t="str">
        <f>IF(ISNUMBER(Tab.o1[[#This Row],[a1]]),ROW()-4,"")</f>
        <v/>
      </c>
      <c r="AT414" s="136" t="str">
        <f>Tab.o1[[#This Row],[MOD]]</f>
        <v/>
      </c>
      <c r="AU414" s="137" t="str">
        <f t="shared" si="25"/>
        <v/>
      </c>
      <c r="AV414" s="138" t="str">
        <f t="shared" si="26"/>
        <v/>
      </c>
      <c r="AW414" s="138" t="str">
        <f t="shared" si="27"/>
        <v/>
      </c>
      <c r="AX414" s="139" t="str">
        <f>[1]!T.in.A[[#This Row],[ID_T_manu]]</f>
        <v/>
      </c>
      <c r="AY414" s="140" t="str">
        <f>IF(ISNUMBER(Tab.o1[[#This Row],[a1]]),IF(AND(Tab.o1[[#This Row],[a1]]=1,Tab.o1[[#This Row],[b1]]&lt;=AY$4),#REF!,AY413),"")</f>
        <v/>
      </c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</row>
    <row r="415" spans="1:79" ht="15.75" hidden="1">
      <c r="A415" s="109">
        <v>-2.0000000000000003E-6</v>
      </c>
      <c r="B415" s="110">
        <f t="shared" si="24"/>
        <v>415</v>
      </c>
      <c r="C415" s="111" t="str">
        <f>IF(C$1=[1]!T.in.A[[#This Row],[oo2]],1,"")</f>
        <v/>
      </c>
      <c r="D415" s="112" t="str">
        <f>IF(Tab.o1[[#This Row],[a1]]=1,IF(SUM(C415:C416)=0,0,IF(SUM(C414:C415)=1,1,IF(SUM(C414:C416)&gt;1,D414+1,0))),"")</f>
        <v/>
      </c>
      <c r="E415" s="113" t="str">
        <f>IF(Tab.o1[[#This Row],[a1]]=1,[1]!T.in.A[[#This Row],[oo1]],"")</f>
        <v/>
      </c>
      <c r="F415" s="113" t="str">
        <f>IF(Tab.o1[[#This Row],[a1]]=1,[1]!T.in.A[[#This Row],[pp1]],"")</f>
        <v/>
      </c>
      <c r="G415" s="114" t="str">
        <f>IF(Tab.o1[[#This Row],[a1]]=1,G$2+IF(G$1=1,0,Tab.o1[[#This Row],[.x1]])+[1]!T.in.A[[#This Row],[oo3]],"")</f>
        <v/>
      </c>
      <c r="H415" s="115" t="str">
        <f>IF(Tab.o1[[#This Row],[a1]]=1,IF(H$2=0,0,IF(G$1=1,0,Tab.o1[[#This Row],[.x1]])+[1]!T.in.A[[#This Row],[oo4]]),"")</f>
        <v/>
      </c>
      <c r="I415" s="116" t="str">
        <f>IF(Tab.o1[[#This Row],[a1]]=1,IF(J$2=0,Tab.o1[[#This Row],[MED]],Tab.o1[[#This Row],[MOD]]),"")</f>
        <v/>
      </c>
      <c r="J415" s="116" t="str">
        <f>IF(Tab.o1[[#This Row],[a1]]=1,((Tab.o1[[#This Row],[DIF_Target.]]-AVERAGE(Tab.o1[DIF_Target.]))/_xlfn.STDEV.P(Tab.o1[DIF_Target.])),"")</f>
        <v/>
      </c>
      <c r="K415" s="117" t="str">
        <f>IF(Tab.o1[[#This Row],[a1]]=1,IF(J$2=0,Tab.o1[[#This Row],[MOD]]-Tab.o1[[#This Row],[B]],IF(J$2=1,0,-Tab.o1[[#This Row],[MED]])+Tab.o1[[#This Row],[B]]),"")</f>
        <v/>
      </c>
      <c r="L415" s="117" t="str">
        <f ca="1">IF(Tab.o1[[#This Row],[DIF_Target]]=0,IF(L$2=0,Tab.o1[[#This Row],[DIF_Target]],AVERAGE(OFFSET(Tab.o1[[#This Row],[DIF_Target]],1,0,L$3,1)))/3,Tab.o1[[#This Row],[DIF_Target]])</f>
        <v/>
      </c>
      <c r="M415" s="118" t="str">
        <f>IF(Tab.o1[[#This Row],[a1]]=1,NORMSDIST(Tab.o1[[#This Row],[Za]]),"")</f>
        <v/>
      </c>
      <c r="N415" s="119" t="str">
        <f>IF(Tab.o1[[#This Row],[a1]]=1,((Tab.o1[[#This Row],[MedMod]]-AVERAGE(Tab.o1[MedMod]))/_xlfn.STDEV.P(Tab.o1[MedMod])*H$1205)+G$1205,"")</f>
        <v/>
      </c>
      <c r="O415" s="141" t="str">
        <f>IF(Tab.o1[[#This Row],[a1]]=1,Tab.o1[[#This Row],[Zb]]*_xlfn.STDEV.P(Tab.o1[MedMod])+AVERAGE(Tab.o1[MedMod]),"")</f>
        <v/>
      </c>
      <c r="P415" s="117" t="str">
        <f ca="1">IF(Tab.o1[[#This Row],[B]]=0,AVERAGE(OFFSET(Tab.o1[[#This Row],[B]],1,0,L$3,1)),Tab.o1[[#This Row],[B]])</f>
        <v/>
      </c>
      <c r="Q415" s="121" t="str">
        <f>IF(Tab.o1[[#This Row],[a1]]=1,NORMSDIST(Tab.o1[[#This Row],[Zb]]),"")</f>
        <v/>
      </c>
      <c r="R415" s="122" t="str">
        <f>IF(Tab.o1[[#This Row],[a1]]=1,((Tab.o1[[#This Row],[MedMod]]-AVERAGE(Tab.o1[MedMod]))/_xlfn.STDEV.P(Tab.o1[MedMod])*H$1203)+G$1203,"")</f>
        <v/>
      </c>
      <c r="S415" s="122" t="str">
        <f>IF(Tab.o1[[#This Row],[a1]]=1,((Tab.o1[[#This Row],[MedMod]]-AVERAGE(Tab.o1[MedMod]))/_xlfn.STDEV.P(Tab.o1[MedMod])*H$1204)+G$1204,"")</f>
        <v/>
      </c>
      <c r="T415" s="123" t="str">
        <f>IF(Tab.o1[[#This Row],[a1]]=1,Tab.o1[[#This Row],[Z-]]*_xlfn.STDEV.P(Tab.o1[B])+AVERAGE(Tab.o1[B]),"")</f>
        <v/>
      </c>
      <c r="U415" s="123" t="str">
        <f>IF(Tab.o1[[#This Row],[a1]]=1,Tab.o1[[#This Row],[z+]]*_xlfn.STDEV.P(Tab.o1[B])+AVERAGE(Tab.o1[B]),"")</f>
        <v/>
      </c>
      <c r="V415" s="124" t="str">
        <f>IF(Tab.o1[[#This Row],[a1]]=1,ABS((ABS(Tab.o1[[#This Row],[Red]]-Tab.o1[[#This Row],[Blue]]))),"")</f>
        <v/>
      </c>
      <c r="W415" s="125" t="str">
        <f>IF(Tab.o1[[#This Row],[a1]]=1,IF(W$3=0,1,Tab.o1[[#This Row],[Amp.]]*1/_xlfn.MINIFS(Tab.o1[Amp.],Tab.o1[Amp.],"&lt;&gt;0")),"")</f>
        <v/>
      </c>
      <c r="X415" s="126" t="str">
        <f>IF(Tab.o1[[#This Row],[a1]]=1,IF(ISNUMBER(Tab.o1[[#This Row],[i.]]),NORMDIST(Tab.o1[[#This Row],[Za]],0,1,FALSE)*Tab.o1[[#This Row],[i.]],AP$3),"")</f>
        <v/>
      </c>
      <c r="Y415" s="126" t="str">
        <f>IF(Tab.o1[[#This Row],[a1]]=1,0.01+0.94*Tab.o1[[#This Row],[PDF]]/MAX(Tab.o1[PDF]),"")</f>
        <v/>
      </c>
      <c r="Z415" s="126" t="str">
        <f>IF(Tab.o1[[#This Row],[a1]]=1,0.01+0.94*Tab.o1[[#This Row],[W1_PDF]]/MAX(Tab.o1[W1_PDF]),"")</f>
        <v/>
      </c>
      <c r="AA415" s="118" t="str">
        <f>IF(Tab.o1[[#This Row],[a1]]=1,ABS([1]!T.in.A[[#This Row],[oo6]]),"")</f>
        <v/>
      </c>
      <c r="AB415" s="127" t="str">
        <f>IF(Tab.o1[[#This Row],[a1]]=1,IF(AE$3=0,"",IF(AB$3=0,ABS([1]!T.in.A[[#This Row],[oo9]]),ABS(Tab.o1[[#This Row],[DIF_Target.]]*Tab.o1[[#This Row],[W1_PDF]]))),"")</f>
        <v/>
      </c>
      <c r="AC415" s="127" t="str">
        <f>IF(G$1=1,"",IF(Tab.o1[[#This Row],[a1]]=1,Tab.o1[[#This Row],[Wr]]^2,""))</f>
        <v/>
      </c>
      <c r="AD415" s="118" t="str">
        <f>IF(Tab.o1[[#This Row],[a1]]=1,IF(AE$3=0,"",Tab.o1[[#This Row],[Wr2]]/SUM(Tab.o1[Wr2])),"")</f>
        <v/>
      </c>
      <c r="AE415" s="128" t="str">
        <f>IF(Tab.o1[[#This Row],[a1]]=1,[1]!T.in.A[[#This Row],[oo10]],"")</f>
        <v/>
      </c>
      <c r="AF415" s="118" t="str">
        <f>IF(Tab.o1[[#This Row],[a1]]=1,ABS(Tab.o1[[#This Row],[DIF_Target.]]*Tab.o1[[#This Row],[PDF2]]*Tab.o1[[#This Row],[IN]]),"")</f>
        <v/>
      </c>
      <c r="AG415" s="129" t="str">
        <f>IF(Tab.o1[[#This Row],[a1]]=1,Tab.o1[[#This Row],[rW]]^2,"")</f>
        <v/>
      </c>
      <c r="AH415" s="130" t="str">
        <f>IF(Tab.o1[[#This Row],[a1]]=1,IF(AH$3=0,Tab.o1[[#This Row],[rW2]],0.01+0.94*Tab.o1[[#This Row],[rW2]]/SUM(Tab.o1[rW2])),"")</f>
        <v/>
      </c>
      <c r="AI415" s="128" t="str">
        <f>IF(Tab.o1[[#This Row],[a1]]=1,1/Tab.o1[[#This Row],[PDF]],"")</f>
        <v/>
      </c>
      <c r="AJ415" s="131" t="str">
        <f>IF(Tab.o1[[#This Row],[a1]]=1,[1]!T_AA[[#This Row],[IN'']]*[1]!T_AA[[#This Row],[Qde'']],"")</f>
        <v/>
      </c>
      <c r="AK415" s="132" t="str">
        <f>IF(Tab.o1[[#This Row],[a1]]=1,IF(AK$1=1,Tab.o1[[#This Row],[MED]]+Tab.o1[[#This Row],[MOD]]-Tab.o1[[#This Row],[MED]],""),"")</f>
        <v/>
      </c>
      <c r="AL415" s="133" t="str">
        <f>IF(Tab.o1[[#This Row],[a1]]=1,[1]!T.in.A[[#This Row],[oo16]],"")</f>
        <v/>
      </c>
      <c r="AM415" s="133" t="str">
        <f>IF(Tab.o1[[#This Row],[a1]]=1,IF(AM$3=1,[1]!T.in.A[[#This Row],[Σo16]],""),"")</f>
        <v/>
      </c>
      <c r="AN415" s="126" t="str">
        <f>IF(Tab.o1[[#This Row],[a1]]=1,[1]!T.in.A[[#This Row],[Σp5]],"")</f>
        <v/>
      </c>
      <c r="AO415" s="126" t="str">
        <f>IF(Tab.o1[[#This Row],[a1]]=1,IF(AO$3=1,[1]!T.in.A[[#This Row],[Σp5]],""),"")</f>
        <v/>
      </c>
      <c r="AP415" s="110" t="str">
        <f>IF(Tab.o1[[#This Row],[a1]]=1,IF(ISNUMBER(Tab.o1[[#This Row],[i.]]),NORMDIST(Tab.o1[[#This Row],[Za]],0,1,FALSE)*Tab.o1[[#This Row],[i.]],0),"")</f>
        <v/>
      </c>
      <c r="AQ415" s="125" t="str">
        <f>IF(Tab.o1[[#This Row],[a1]]=1,ABS(Tab.o1[[#This Row],[MOD]]-AVERAGE(Tab.o1[MOD])),"")</f>
        <v/>
      </c>
      <c r="AR415" s="134" t="str">
        <f>IF(Tab.o1[[#This Row],[a1]]=1,Tab.o1[[#This Row],[OBS]]/SUM(Tab.o1[OBS]),"")</f>
        <v/>
      </c>
      <c r="AS415" s="135" t="str">
        <f>IF(ISNUMBER(Tab.o1[[#This Row],[a1]]),ROW()-4,"")</f>
        <v/>
      </c>
      <c r="AT415" s="136" t="str">
        <f>Tab.o1[[#This Row],[MOD]]</f>
        <v/>
      </c>
      <c r="AU415" s="137" t="str">
        <f t="shared" si="25"/>
        <v/>
      </c>
      <c r="AV415" s="138" t="str">
        <f t="shared" si="26"/>
        <v/>
      </c>
      <c r="AW415" s="138" t="str">
        <f t="shared" si="27"/>
        <v/>
      </c>
      <c r="AX415" s="139" t="str">
        <f>[1]!T.in.A[[#This Row],[ID_T_manu]]</f>
        <v/>
      </c>
      <c r="AY415" s="140" t="str">
        <f>IF(ISNUMBER(Tab.o1[[#This Row],[a1]]),IF(AND(Tab.o1[[#This Row],[a1]]=1,Tab.o1[[#This Row],[b1]]&lt;=AY$4),#REF!,AY414),"")</f>
        <v/>
      </c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</row>
    <row r="416" spans="1:79" ht="15.75" hidden="1">
      <c r="A416" s="109">
        <v>-5.9999999999999993E-6</v>
      </c>
      <c r="B416" s="110">
        <f t="shared" si="24"/>
        <v>416</v>
      </c>
      <c r="C416" s="111" t="str">
        <f>IF(C$1=[1]!T.in.A[[#This Row],[oo2]],1,"")</f>
        <v/>
      </c>
      <c r="D416" s="112" t="str">
        <f>IF(Tab.o1[[#This Row],[a1]]=1,IF(SUM(C416:C417)=0,0,IF(SUM(C415:C416)=1,1,IF(SUM(C415:C417)&gt;1,D415+1,0))),"")</f>
        <v/>
      </c>
      <c r="E416" s="113" t="str">
        <f>IF(Tab.o1[[#This Row],[a1]]=1,[1]!T.in.A[[#This Row],[oo1]],"")</f>
        <v/>
      </c>
      <c r="F416" s="113" t="str">
        <f>IF(Tab.o1[[#This Row],[a1]]=1,[1]!T.in.A[[#This Row],[pp1]],"")</f>
        <v/>
      </c>
      <c r="G416" s="114" t="str">
        <f>IF(Tab.o1[[#This Row],[a1]]=1,G$2+IF(G$1=1,0,Tab.o1[[#This Row],[.x1]])+[1]!T.in.A[[#This Row],[oo3]],"")</f>
        <v/>
      </c>
      <c r="H416" s="115" t="str">
        <f>IF(Tab.o1[[#This Row],[a1]]=1,IF(H$2=0,0,IF(G$1=1,0,Tab.o1[[#This Row],[.x1]])+[1]!T.in.A[[#This Row],[oo4]]),"")</f>
        <v/>
      </c>
      <c r="I416" s="116" t="str">
        <f>IF(Tab.o1[[#This Row],[a1]]=1,IF(J$2=0,Tab.o1[[#This Row],[MED]],Tab.o1[[#This Row],[MOD]]),"")</f>
        <v/>
      </c>
      <c r="J416" s="116" t="str">
        <f>IF(Tab.o1[[#This Row],[a1]]=1,((Tab.o1[[#This Row],[DIF_Target.]]-AVERAGE(Tab.o1[DIF_Target.]))/_xlfn.STDEV.P(Tab.o1[DIF_Target.])),"")</f>
        <v/>
      </c>
      <c r="K416" s="117" t="str">
        <f>IF(Tab.o1[[#This Row],[a1]]=1,IF(J$2=0,Tab.o1[[#This Row],[MOD]]-Tab.o1[[#This Row],[B]],IF(J$2=1,0,-Tab.o1[[#This Row],[MED]])+Tab.o1[[#This Row],[B]]),"")</f>
        <v/>
      </c>
      <c r="L416" s="117" t="str">
        <f ca="1">IF(Tab.o1[[#This Row],[DIF_Target]]=0,IF(L$2=0,Tab.o1[[#This Row],[DIF_Target]],AVERAGE(OFFSET(Tab.o1[[#This Row],[DIF_Target]],1,0,L$3,1)))/3,Tab.o1[[#This Row],[DIF_Target]])</f>
        <v/>
      </c>
      <c r="M416" s="118" t="str">
        <f>IF(Tab.o1[[#This Row],[a1]]=1,NORMSDIST(Tab.o1[[#This Row],[Za]]),"")</f>
        <v/>
      </c>
      <c r="N416" s="119" t="str">
        <f>IF(Tab.o1[[#This Row],[a1]]=1,((Tab.o1[[#This Row],[MedMod]]-AVERAGE(Tab.o1[MedMod]))/_xlfn.STDEV.P(Tab.o1[MedMod])*H$1205)+G$1205,"")</f>
        <v/>
      </c>
      <c r="O416" s="141" t="str">
        <f>IF(Tab.o1[[#This Row],[a1]]=1,Tab.o1[[#This Row],[Zb]]*_xlfn.STDEV.P(Tab.o1[MedMod])+AVERAGE(Tab.o1[MedMod]),"")</f>
        <v/>
      </c>
      <c r="P416" s="117" t="str">
        <f ca="1">IF(Tab.o1[[#This Row],[B]]=0,AVERAGE(OFFSET(Tab.o1[[#This Row],[B]],1,0,L$3,1)),Tab.o1[[#This Row],[B]])</f>
        <v/>
      </c>
      <c r="Q416" s="121" t="str">
        <f>IF(Tab.o1[[#This Row],[a1]]=1,NORMSDIST(Tab.o1[[#This Row],[Zb]]),"")</f>
        <v/>
      </c>
      <c r="R416" s="122" t="str">
        <f>IF(Tab.o1[[#This Row],[a1]]=1,((Tab.o1[[#This Row],[MedMod]]-AVERAGE(Tab.o1[MedMod]))/_xlfn.STDEV.P(Tab.o1[MedMod])*H$1203)+G$1203,"")</f>
        <v/>
      </c>
      <c r="S416" s="122" t="str">
        <f>IF(Tab.o1[[#This Row],[a1]]=1,((Tab.o1[[#This Row],[MedMod]]-AVERAGE(Tab.o1[MedMod]))/_xlfn.STDEV.P(Tab.o1[MedMod])*H$1204)+G$1204,"")</f>
        <v/>
      </c>
      <c r="T416" s="123" t="str">
        <f>IF(Tab.o1[[#This Row],[a1]]=1,Tab.o1[[#This Row],[Z-]]*_xlfn.STDEV.P(Tab.o1[B])+AVERAGE(Tab.o1[B]),"")</f>
        <v/>
      </c>
      <c r="U416" s="123" t="str">
        <f>IF(Tab.o1[[#This Row],[a1]]=1,Tab.o1[[#This Row],[z+]]*_xlfn.STDEV.P(Tab.o1[B])+AVERAGE(Tab.o1[B]),"")</f>
        <v/>
      </c>
      <c r="V416" s="124" t="str">
        <f>IF(Tab.o1[[#This Row],[a1]]=1,ABS((ABS(Tab.o1[[#This Row],[Red]]-Tab.o1[[#This Row],[Blue]]))),"")</f>
        <v/>
      </c>
      <c r="W416" s="125" t="str">
        <f>IF(Tab.o1[[#This Row],[a1]]=1,IF(W$3=0,1,Tab.o1[[#This Row],[Amp.]]*1/_xlfn.MINIFS(Tab.o1[Amp.],Tab.o1[Amp.],"&lt;&gt;0")),"")</f>
        <v/>
      </c>
      <c r="X416" s="126" t="str">
        <f>IF(Tab.o1[[#This Row],[a1]]=1,IF(ISNUMBER(Tab.o1[[#This Row],[i.]]),NORMDIST(Tab.o1[[#This Row],[Za]],0,1,FALSE)*Tab.o1[[#This Row],[i.]],AP$3),"")</f>
        <v/>
      </c>
      <c r="Y416" s="126" t="str">
        <f>IF(Tab.o1[[#This Row],[a1]]=1,0.01+0.94*Tab.o1[[#This Row],[PDF]]/MAX(Tab.o1[PDF]),"")</f>
        <v/>
      </c>
      <c r="Z416" s="126" t="str">
        <f>IF(Tab.o1[[#This Row],[a1]]=1,0.01+0.94*Tab.o1[[#This Row],[W1_PDF]]/MAX(Tab.o1[W1_PDF]),"")</f>
        <v/>
      </c>
      <c r="AA416" s="118" t="str">
        <f>IF(Tab.o1[[#This Row],[a1]]=1,ABS([1]!T.in.A[[#This Row],[oo6]]),"")</f>
        <v/>
      </c>
      <c r="AB416" s="127" t="str">
        <f>IF(Tab.o1[[#This Row],[a1]]=1,IF(AE$3=0,"",IF(AB$3=0,ABS([1]!T.in.A[[#This Row],[oo9]]),ABS(Tab.o1[[#This Row],[DIF_Target.]]*Tab.o1[[#This Row],[W1_PDF]]))),"")</f>
        <v/>
      </c>
      <c r="AC416" s="127" t="str">
        <f>IF(G$1=1,"",IF(Tab.o1[[#This Row],[a1]]=1,Tab.o1[[#This Row],[Wr]]^2,""))</f>
        <v/>
      </c>
      <c r="AD416" s="118" t="str">
        <f>IF(Tab.o1[[#This Row],[a1]]=1,IF(AE$3=0,"",Tab.o1[[#This Row],[Wr2]]/SUM(Tab.o1[Wr2])),"")</f>
        <v/>
      </c>
      <c r="AE416" s="128" t="str">
        <f>IF(Tab.o1[[#This Row],[a1]]=1,[1]!T.in.A[[#This Row],[oo10]],"")</f>
        <v/>
      </c>
      <c r="AF416" s="118" t="str">
        <f>IF(Tab.o1[[#This Row],[a1]]=1,ABS(Tab.o1[[#This Row],[DIF_Target.]]*Tab.o1[[#This Row],[PDF2]]*Tab.o1[[#This Row],[IN]]),"")</f>
        <v/>
      </c>
      <c r="AG416" s="129" t="str">
        <f>IF(Tab.o1[[#This Row],[a1]]=1,Tab.o1[[#This Row],[rW]]^2,"")</f>
        <v/>
      </c>
      <c r="AH416" s="130" t="str">
        <f>IF(Tab.o1[[#This Row],[a1]]=1,IF(AH$3=0,Tab.o1[[#This Row],[rW2]],0.01+0.94*Tab.o1[[#This Row],[rW2]]/SUM(Tab.o1[rW2])),"")</f>
        <v/>
      </c>
      <c r="AI416" s="128" t="str">
        <f>IF(Tab.o1[[#This Row],[a1]]=1,1/Tab.o1[[#This Row],[PDF]],"")</f>
        <v/>
      </c>
      <c r="AJ416" s="131" t="str">
        <f>IF(Tab.o1[[#This Row],[a1]]=1,[1]!T_AA[[#This Row],[IN'']]*[1]!T_AA[[#This Row],[Qde'']],"")</f>
        <v/>
      </c>
      <c r="AK416" s="132" t="str">
        <f>IF(Tab.o1[[#This Row],[a1]]=1,IF(AK$1=1,Tab.o1[[#This Row],[MED]]+Tab.o1[[#This Row],[MOD]]-Tab.o1[[#This Row],[MED]],""),"")</f>
        <v/>
      </c>
      <c r="AL416" s="133" t="str">
        <f>IF(Tab.o1[[#This Row],[a1]]=1,[1]!T.in.A[[#This Row],[oo16]],"")</f>
        <v/>
      </c>
      <c r="AM416" s="133" t="str">
        <f>IF(Tab.o1[[#This Row],[a1]]=1,IF(AM$3=1,[1]!T.in.A[[#This Row],[Σo16]],""),"")</f>
        <v/>
      </c>
      <c r="AN416" s="126" t="str">
        <f>IF(Tab.o1[[#This Row],[a1]]=1,[1]!T.in.A[[#This Row],[Σp5]],"")</f>
        <v/>
      </c>
      <c r="AO416" s="126" t="str">
        <f>IF(Tab.o1[[#This Row],[a1]]=1,IF(AO$3=1,[1]!T.in.A[[#This Row],[Σp5]],""),"")</f>
        <v/>
      </c>
      <c r="AP416" s="110" t="str">
        <f>IF(Tab.o1[[#This Row],[a1]]=1,IF(ISNUMBER(Tab.o1[[#This Row],[i.]]),NORMDIST(Tab.o1[[#This Row],[Za]],0,1,FALSE)*Tab.o1[[#This Row],[i.]],0),"")</f>
        <v/>
      </c>
      <c r="AQ416" s="125" t="str">
        <f>IF(Tab.o1[[#This Row],[a1]]=1,ABS(Tab.o1[[#This Row],[MOD]]-AVERAGE(Tab.o1[MOD])),"")</f>
        <v/>
      </c>
      <c r="AR416" s="134" t="str">
        <f>IF(Tab.o1[[#This Row],[a1]]=1,Tab.o1[[#This Row],[OBS]]/SUM(Tab.o1[OBS]),"")</f>
        <v/>
      </c>
      <c r="AS416" s="135" t="str">
        <f>IF(ISNUMBER(Tab.o1[[#This Row],[a1]]),ROW()-4,"")</f>
        <v/>
      </c>
      <c r="AT416" s="136" t="str">
        <f>Tab.o1[[#This Row],[MOD]]</f>
        <v/>
      </c>
      <c r="AU416" s="137" t="str">
        <f t="shared" si="25"/>
        <v/>
      </c>
      <c r="AV416" s="138" t="str">
        <f t="shared" si="26"/>
        <v/>
      </c>
      <c r="AW416" s="138" t="str">
        <f t="shared" si="27"/>
        <v/>
      </c>
      <c r="AX416" s="139" t="str">
        <f>[1]!T.in.A[[#This Row],[ID_T_manu]]</f>
        <v/>
      </c>
      <c r="AY416" s="140" t="str">
        <f>IF(ISNUMBER(Tab.o1[[#This Row],[a1]]),IF(AND(Tab.o1[[#This Row],[a1]]=1,Tab.o1[[#This Row],[b1]]&lt;=AY$4),#REF!,AY415),"")</f>
        <v/>
      </c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</row>
    <row r="417" spans="1:79" ht="15.75" hidden="1">
      <c r="A417" s="109">
        <v>-2.0000000000000003E-6</v>
      </c>
      <c r="B417" s="110">
        <f t="shared" si="24"/>
        <v>417</v>
      </c>
      <c r="C417" s="111" t="str">
        <f>IF(C$1=[1]!T.in.A[[#This Row],[oo2]],1,"")</f>
        <v/>
      </c>
      <c r="D417" s="112" t="str">
        <f>IF(Tab.o1[[#This Row],[a1]]=1,IF(SUM(C417:C418)=0,0,IF(SUM(C416:C417)=1,1,IF(SUM(C416:C418)&gt;1,D416+1,0))),"")</f>
        <v/>
      </c>
      <c r="E417" s="113" t="str">
        <f>IF(Tab.o1[[#This Row],[a1]]=1,[1]!T.in.A[[#This Row],[oo1]],"")</f>
        <v/>
      </c>
      <c r="F417" s="113" t="str">
        <f>IF(Tab.o1[[#This Row],[a1]]=1,[1]!T.in.A[[#This Row],[pp1]],"")</f>
        <v/>
      </c>
      <c r="G417" s="114" t="str">
        <f>IF(Tab.o1[[#This Row],[a1]]=1,G$2+IF(G$1=1,0,Tab.o1[[#This Row],[.x1]])+[1]!T.in.A[[#This Row],[oo3]],"")</f>
        <v/>
      </c>
      <c r="H417" s="115" t="str">
        <f>IF(Tab.o1[[#This Row],[a1]]=1,IF(H$2=0,0,IF(G$1=1,0,Tab.o1[[#This Row],[.x1]])+[1]!T.in.A[[#This Row],[oo4]]),"")</f>
        <v/>
      </c>
      <c r="I417" s="116" t="str">
        <f>IF(Tab.o1[[#This Row],[a1]]=1,IF(J$2=0,Tab.o1[[#This Row],[MED]],Tab.o1[[#This Row],[MOD]]),"")</f>
        <v/>
      </c>
      <c r="J417" s="116" t="str">
        <f>IF(Tab.o1[[#This Row],[a1]]=1,((Tab.o1[[#This Row],[DIF_Target.]]-AVERAGE(Tab.o1[DIF_Target.]))/_xlfn.STDEV.P(Tab.o1[DIF_Target.])),"")</f>
        <v/>
      </c>
      <c r="K417" s="117" t="str">
        <f>IF(Tab.o1[[#This Row],[a1]]=1,IF(J$2=0,Tab.o1[[#This Row],[MOD]]-Tab.o1[[#This Row],[B]],IF(J$2=1,0,-Tab.o1[[#This Row],[MED]])+Tab.o1[[#This Row],[B]]),"")</f>
        <v/>
      </c>
      <c r="L417" s="117" t="str">
        <f ca="1">IF(Tab.o1[[#This Row],[DIF_Target]]=0,IF(L$2=0,Tab.o1[[#This Row],[DIF_Target]],AVERAGE(OFFSET(Tab.o1[[#This Row],[DIF_Target]],1,0,L$3,1)))/3,Tab.o1[[#This Row],[DIF_Target]])</f>
        <v/>
      </c>
      <c r="M417" s="118" t="str">
        <f>IF(Tab.o1[[#This Row],[a1]]=1,NORMSDIST(Tab.o1[[#This Row],[Za]]),"")</f>
        <v/>
      </c>
      <c r="N417" s="119" t="str">
        <f>IF(Tab.o1[[#This Row],[a1]]=1,((Tab.o1[[#This Row],[MedMod]]-AVERAGE(Tab.o1[MedMod]))/_xlfn.STDEV.P(Tab.o1[MedMod])*H$1205)+G$1205,"")</f>
        <v/>
      </c>
      <c r="O417" s="141" t="str">
        <f>IF(Tab.o1[[#This Row],[a1]]=1,Tab.o1[[#This Row],[Zb]]*_xlfn.STDEV.P(Tab.o1[MedMod])+AVERAGE(Tab.o1[MedMod]),"")</f>
        <v/>
      </c>
      <c r="P417" s="117" t="str">
        <f ca="1">IF(Tab.o1[[#This Row],[B]]=0,AVERAGE(OFFSET(Tab.o1[[#This Row],[B]],1,0,L$3,1)),Tab.o1[[#This Row],[B]])</f>
        <v/>
      </c>
      <c r="Q417" s="121" t="str">
        <f>IF(Tab.o1[[#This Row],[a1]]=1,NORMSDIST(Tab.o1[[#This Row],[Zb]]),"")</f>
        <v/>
      </c>
      <c r="R417" s="122" t="str">
        <f>IF(Tab.o1[[#This Row],[a1]]=1,((Tab.o1[[#This Row],[MedMod]]-AVERAGE(Tab.o1[MedMod]))/_xlfn.STDEV.P(Tab.o1[MedMod])*H$1203)+G$1203,"")</f>
        <v/>
      </c>
      <c r="S417" s="122" t="str">
        <f>IF(Tab.o1[[#This Row],[a1]]=1,((Tab.o1[[#This Row],[MedMod]]-AVERAGE(Tab.o1[MedMod]))/_xlfn.STDEV.P(Tab.o1[MedMod])*H$1204)+G$1204,"")</f>
        <v/>
      </c>
      <c r="T417" s="123" t="str">
        <f>IF(Tab.o1[[#This Row],[a1]]=1,Tab.o1[[#This Row],[Z-]]*_xlfn.STDEV.P(Tab.o1[B])+AVERAGE(Tab.o1[B]),"")</f>
        <v/>
      </c>
      <c r="U417" s="123" t="str">
        <f>IF(Tab.o1[[#This Row],[a1]]=1,Tab.o1[[#This Row],[z+]]*_xlfn.STDEV.P(Tab.o1[B])+AVERAGE(Tab.o1[B]),"")</f>
        <v/>
      </c>
      <c r="V417" s="124" t="str">
        <f>IF(Tab.o1[[#This Row],[a1]]=1,ABS((ABS(Tab.o1[[#This Row],[Red]]-Tab.o1[[#This Row],[Blue]]))),"")</f>
        <v/>
      </c>
      <c r="W417" s="125" t="str">
        <f>IF(Tab.o1[[#This Row],[a1]]=1,IF(W$3=0,1,Tab.o1[[#This Row],[Amp.]]*1/_xlfn.MINIFS(Tab.o1[Amp.],Tab.o1[Amp.],"&lt;&gt;0")),"")</f>
        <v/>
      </c>
      <c r="X417" s="126" t="str">
        <f>IF(Tab.o1[[#This Row],[a1]]=1,IF(ISNUMBER(Tab.o1[[#This Row],[i.]]),NORMDIST(Tab.o1[[#This Row],[Za]],0,1,FALSE)*Tab.o1[[#This Row],[i.]],AP$3),"")</f>
        <v/>
      </c>
      <c r="Y417" s="126" t="str">
        <f>IF(Tab.o1[[#This Row],[a1]]=1,0.01+0.94*Tab.o1[[#This Row],[PDF]]/MAX(Tab.o1[PDF]),"")</f>
        <v/>
      </c>
      <c r="Z417" s="126" t="str">
        <f>IF(Tab.o1[[#This Row],[a1]]=1,0.01+0.94*Tab.o1[[#This Row],[W1_PDF]]/MAX(Tab.o1[W1_PDF]),"")</f>
        <v/>
      </c>
      <c r="AA417" s="118" t="str">
        <f>IF(Tab.o1[[#This Row],[a1]]=1,ABS([1]!T.in.A[[#This Row],[oo6]]),"")</f>
        <v/>
      </c>
      <c r="AB417" s="127" t="str">
        <f>IF(Tab.o1[[#This Row],[a1]]=1,IF(AE$3=0,"",IF(AB$3=0,ABS([1]!T.in.A[[#This Row],[oo9]]),ABS(Tab.o1[[#This Row],[DIF_Target.]]*Tab.o1[[#This Row],[W1_PDF]]))),"")</f>
        <v/>
      </c>
      <c r="AC417" s="127" t="str">
        <f>IF(G$1=1,"",IF(Tab.o1[[#This Row],[a1]]=1,Tab.o1[[#This Row],[Wr]]^2,""))</f>
        <v/>
      </c>
      <c r="AD417" s="118" t="str">
        <f>IF(Tab.o1[[#This Row],[a1]]=1,IF(AE$3=0,"",Tab.o1[[#This Row],[Wr2]]/SUM(Tab.o1[Wr2])),"")</f>
        <v/>
      </c>
      <c r="AE417" s="128" t="str">
        <f>IF(Tab.o1[[#This Row],[a1]]=1,[1]!T.in.A[[#This Row],[oo10]],"")</f>
        <v/>
      </c>
      <c r="AF417" s="118" t="str">
        <f>IF(Tab.o1[[#This Row],[a1]]=1,ABS(Tab.o1[[#This Row],[DIF_Target.]]*Tab.o1[[#This Row],[PDF2]]*Tab.o1[[#This Row],[IN]]),"")</f>
        <v/>
      </c>
      <c r="AG417" s="129" t="str">
        <f>IF(Tab.o1[[#This Row],[a1]]=1,Tab.o1[[#This Row],[rW]]^2,"")</f>
        <v/>
      </c>
      <c r="AH417" s="130" t="str">
        <f>IF(Tab.o1[[#This Row],[a1]]=1,IF(AH$3=0,Tab.o1[[#This Row],[rW2]],0.01+0.94*Tab.o1[[#This Row],[rW2]]/SUM(Tab.o1[rW2])),"")</f>
        <v/>
      </c>
      <c r="AI417" s="128" t="str">
        <f>IF(Tab.o1[[#This Row],[a1]]=1,1/Tab.o1[[#This Row],[PDF]],"")</f>
        <v/>
      </c>
      <c r="AJ417" s="131" t="str">
        <f>IF(Tab.o1[[#This Row],[a1]]=1,[1]!T_AA[[#This Row],[IN'']]*[1]!T_AA[[#This Row],[Qde'']],"")</f>
        <v/>
      </c>
      <c r="AK417" s="132" t="str">
        <f>IF(Tab.o1[[#This Row],[a1]]=1,IF(AK$1=1,Tab.o1[[#This Row],[MED]]+Tab.o1[[#This Row],[MOD]]-Tab.o1[[#This Row],[MED]],""),"")</f>
        <v/>
      </c>
      <c r="AL417" s="133" t="str">
        <f>IF(Tab.o1[[#This Row],[a1]]=1,[1]!T.in.A[[#This Row],[oo16]],"")</f>
        <v/>
      </c>
      <c r="AM417" s="133" t="str">
        <f>IF(Tab.o1[[#This Row],[a1]]=1,IF(AM$3=1,[1]!T.in.A[[#This Row],[Σo16]],""),"")</f>
        <v/>
      </c>
      <c r="AN417" s="126" t="str">
        <f>IF(Tab.o1[[#This Row],[a1]]=1,[1]!T.in.A[[#This Row],[Σp5]],"")</f>
        <v/>
      </c>
      <c r="AO417" s="126" t="str">
        <f>IF(Tab.o1[[#This Row],[a1]]=1,IF(AO$3=1,[1]!T.in.A[[#This Row],[Σp5]],""),"")</f>
        <v/>
      </c>
      <c r="AP417" s="110" t="str">
        <f>IF(Tab.o1[[#This Row],[a1]]=1,IF(ISNUMBER(Tab.o1[[#This Row],[i.]]),NORMDIST(Tab.o1[[#This Row],[Za]],0,1,FALSE)*Tab.o1[[#This Row],[i.]],0),"")</f>
        <v/>
      </c>
      <c r="AQ417" s="125" t="str">
        <f>IF(Tab.o1[[#This Row],[a1]]=1,ABS(Tab.o1[[#This Row],[MOD]]-AVERAGE(Tab.o1[MOD])),"")</f>
        <v/>
      </c>
      <c r="AR417" s="134" t="str">
        <f>IF(Tab.o1[[#This Row],[a1]]=1,Tab.o1[[#This Row],[OBS]]/SUM(Tab.o1[OBS]),"")</f>
        <v/>
      </c>
      <c r="AS417" s="135" t="str">
        <f>IF(ISNUMBER(Tab.o1[[#This Row],[a1]]),ROW()-4,"")</f>
        <v/>
      </c>
      <c r="AT417" s="136" t="str">
        <f>Tab.o1[[#This Row],[MOD]]</f>
        <v/>
      </c>
      <c r="AU417" s="137" t="str">
        <f t="shared" si="25"/>
        <v/>
      </c>
      <c r="AV417" s="138" t="str">
        <f t="shared" si="26"/>
        <v/>
      </c>
      <c r="AW417" s="138" t="str">
        <f t="shared" si="27"/>
        <v/>
      </c>
      <c r="AX417" s="139" t="str">
        <f>[1]!T.in.A[[#This Row],[ID_T_manu]]</f>
        <v/>
      </c>
      <c r="AY417" s="140" t="str">
        <f>IF(ISNUMBER(Tab.o1[[#This Row],[a1]]),IF(AND(Tab.o1[[#This Row],[a1]]=1,Tab.o1[[#This Row],[b1]]&lt;=AY$4),#REF!,AY416),"")</f>
        <v/>
      </c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</row>
    <row r="418" spans="1:79" ht="15.75" hidden="1">
      <c r="A418" s="109">
        <v>-9.0000000000000002E-6</v>
      </c>
      <c r="B418" s="110">
        <f t="shared" si="24"/>
        <v>418</v>
      </c>
      <c r="C418" s="111" t="str">
        <f>IF(C$1=[1]!T.in.A[[#This Row],[oo2]],1,"")</f>
        <v/>
      </c>
      <c r="D418" s="112" t="str">
        <f>IF(Tab.o1[[#This Row],[a1]]=1,IF(SUM(C418:C419)=0,0,IF(SUM(C417:C418)=1,1,IF(SUM(C417:C419)&gt;1,D417+1,0))),"")</f>
        <v/>
      </c>
      <c r="E418" s="113" t="str">
        <f>IF(Tab.o1[[#This Row],[a1]]=1,[1]!T.in.A[[#This Row],[oo1]],"")</f>
        <v/>
      </c>
      <c r="F418" s="113" t="str">
        <f>IF(Tab.o1[[#This Row],[a1]]=1,[1]!T.in.A[[#This Row],[pp1]],"")</f>
        <v/>
      </c>
      <c r="G418" s="114" t="str">
        <f>IF(Tab.o1[[#This Row],[a1]]=1,G$2+IF(G$1=1,0,Tab.o1[[#This Row],[.x1]])+[1]!T.in.A[[#This Row],[oo3]],"")</f>
        <v/>
      </c>
      <c r="H418" s="115" t="str">
        <f>IF(Tab.o1[[#This Row],[a1]]=1,IF(H$2=0,0,IF(G$1=1,0,Tab.o1[[#This Row],[.x1]])+[1]!T.in.A[[#This Row],[oo4]]),"")</f>
        <v/>
      </c>
      <c r="I418" s="116" t="str">
        <f>IF(Tab.o1[[#This Row],[a1]]=1,IF(J$2=0,Tab.o1[[#This Row],[MED]],Tab.o1[[#This Row],[MOD]]),"")</f>
        <v/>
      </c>
      <c r="J418" s="116" t="str">
        <f>IF(Tab.o1[[#This Row],[a1]]=1,((Tab.o1[[#This Row],[DIF_Target.]]-AVERAGE(Tab.o1[DIF_Target.]))/_xlfn.STDEV.P(Tab.o1[DIF_Target.])),"")</f>
        <v/>
      </c>
      <c r="K418" s="117" t="str">
        <f>IF(Tab.o1[[#This Row],[a1]]=1,IF(J$2=0,Tab.o1[[#This Row],[MOD]]-Tab.o1[[#This Row],[B]],IF(J$2=1,0,-Tab.o1[[#This Row],[MED]])+Tab.o1[[#This Row],[B]]),"")</f>
        <v/>
      </c>
      <c r="L418" s="117" t="str">
        <f ca="1">IF(Tab.o1[[#This Row],[DIF_Target]]=0,IF(L$2=0,Tab.o1[[#This Row],[DIF_Target]],AVERAGE(OFFSET(Tab.o1[[#This Row],[DIF_Target]],1,0,L$3,1)))/3,Tab.o1[[#This Row],[DIF_Target]])</f>
        <v/>
      </c>
      <c r="M418" s="118" t="str">
        <f>IF(Tab.o1[[#This Row],[a1]]=1,NORMSDIST(Tab.o1[[#This Row],[Za]]),"")</f>
        <v/>
      </c>
      <c r="N418" s="119" t="str">
        <f>IF(Tab.o1[[#This Row],[a1]]=1,((Tab.o1[[#This Row],[MedMod]]-AVERAGE(Tab.o1[MedMod]))/_xlfn.STDEV.P(Tab.o1[MedMod])*H$1205)+G$1205,"")</f>
        <v/>
      </c>
      <c r="O418" s="141" t="str">
        <f>IF(Tab.o1[[#This Row],[a1]]=1,Tab.o1[[#This Row],[Zb]]*_xlfn.STDEV.P(Tab.o1[MedMod])+AVERAGE(Tab.o1[MedMod]),"")</f>
        <v/>
      </c>
      <c r="P418" s="117" t="str">
        <f ca="1">IF(Tab.o1[[#This Row],[B]]=0,AVERAGE(OFFSET(Tab.o1[[#This Row],[B]],1,0,L$3,1)),Tab.o1[[#This Row],[B]])</f>
        <v/>
      </c>
      <c r="Q418" s="121" t="str">
        <f>IF(Tab.o1[[#This Row],[a1]]=1,NORMSDIST(Tab.o1[[#This Row],[Zb]]),"")</f>
        <v/>
      </c>
      <c r="R418" s="122" t="str">
        <f>IF(Tab.o1[[#This Row],[a1]]=1,((Tab.o1[[#This Row],[MedMod]]-AVERAGE(Tab.o1[MedMod]))/_xlfn.STDEV.P(Tab.o1[MedMod])*H$1203)+G$1203,"")</f>
        <v/>
      </c>
      <c r="S418" s="122" t="str">
        <f>IF(Tab.o1[[#This Row],[a1]]=1,((Tab.o1[[#This Row],[MedMod]]-AVERAGE(Tab.o1[MedMod]))/_xlfn.STDEV.P(Tab.o1[MedMod])*H$1204)+G$1204,"")</f>
        <v/>
      </c>
      <c r="T418" s="123" t="str">
        <f>IF(Tab.o1[[#This Row],[a1]]=1,Tab.o1[[#This Row],[Z-]]*_xlfn.STDEV.P(Tab.o1[B])+AVERAGE(Tab.o1[B]),"")</f>
        <v/>
      </c>
      <c r="U418" s="123" t="str">
        <f>IF(Tab.o1[[#This Row],[a1]]=1,Tab.o1[[#This Row],[z+]]*_xlfn.STDEV.P(Tab.o1[B])+AVERAGE(Tab.o1[B]),"")</f>
        <v/>
      </c>
      <c r="V418" s="124" t="str">
        <f>IF(Tab.o1[[#This Row],[a1]]=1,ABS((ABS(Tab.o1[[#This Row],[Red]]-Tab.o1[[#This Row],[Blue]]))),"")</f>
        <v/>
      </c>
      <c r="W418" s="125" t="str">
        <f>IF(Tab.o1[[#This Row],[a1]]=1,IF(W$3=0,1,Tab.o1[[#This Row],[Amp.]]*1/_xlfn.MINIFS(Tab.o1[Amp.],Tab.o1[Amp.],"&lt;&gt;0")),"")</f>
        <v/>
      </c>
      <c r="X418" s="126" t="str">
        <f>IF(Tab.o1[[#This Row],[a1]]=1,IF(ISNUMBER(Tab.o1[[#This Row],[i.]]),NORMDIST(Tab.o1[[#This Row],[Za]],0,1,FALSE)*Tab.o1[[#This Row],[i.]],AP$3),"")</f>
        <v/>
      </c>
      <c r="Y418" s="126" t="str">
        <f>IF(Tab.o1[[#This Row],[a1]]=1,0.01+0.94*Tab.o1[[#This Row],[PDF]]/MAX(Tab.o1[PDF]),"")</f>
        <v/>
      </c>
      <c r="Z418" s="126" t="str">
        <f>IF(Tab.o1[[#This Row],[a1]]=1,0.01+0.94*Tab.o1[[#This Row],[W1_PDF]]/MAX(Tab.o1[W1_PDF]),"")</f>
        <v/>
      </c>
      <c r="AA418" s="118" t="str">
        <f>IF(Tab.o1[[#This Row],[a1]]=1,ABS([1]!T.in.A[[#This Row],[oo6]]),"")</f>
        <v/>
      </c>
      <c r="AB418" s="127" t="str">
        <f>IF(Tab.o1[[#This Row],[a1]]=1,IF(AE$3=0,"",IF(AB$3=0,ABS([1]!T.in.A[[#This Row],[oo9]]),ABS(Tab.o1[[#This Row],[DIF_Target.]]*Tab.o1[[#This Row],[W1_PDF]]))),"")</f>
        <v/>
      </c>
      <c r="AC418" s="127" t="str">
        <f>IF(G$1=1,"",IF(Tab.o1[[#This Row],[a1]]=1,Tab.o1[[#This Row],[Wr]]^2,""))</f>
        <v/>
      </c>
      <c r="AD418" s="118" t="str">
        <f>IF(Tab.o1[[#This Row],[a1]]=1,IF(AE$3=0,"",Tab.o1[[#This Row],[Wr2]]/SUM(Tab.o1[Wr2])),"")</f>
        <v/>
      </c>
      <c r="AE418" s="128" t="str">
        <f>IF(Tab.o1[[#This Row],[a1]]=1,[1]!T.in.A[[#This Row],[oo10]],"")</f>
        <v/>
      </c>
      <c r="AF418" s="118" t="str">
        <f>IF(Tab.o1[[#This Row],[a1]]=1,ABS(Tab.o1[[#This Row],[DIF_Target.]]*Tab.o1[[#This Row],[PDF2]]*Tab.o1[[#This Row],[IN]]),"")</f>
        <v/>
      </c>
      <c r="AG418" s="129" t="str">
        <f>IF(Tab.o1[[#This Row],[a1]]=1,Tab.o1[[#This Row],[rW]]^2,"")</f>
        <v/>
      </c>
      <c r="AH418" s="130" t="str">
        <f>IF(Tab.o1[[#This Row],[a1]]=1,IF(AH$3=0,Tab.o1[[#This Row],[rW2]],0.01+0.94*Tab.o1[[#This Row],[rW2]]/SUM(Tab.o1[rW2])),"")</f>
        <v/>
      </c>
      <c r="AI418" s="128" t="str">
        <f>IF(Tab.o1[[#This Row],[a1]]=1,1/Tab.o1[[#This Row],[PDF]],"")</f>
        <v/>
      </c>
      <c r="AJ418" s="131" t="str">
        <f>IF(Tab.o1[[#This Row],[a1]]=1,[1]!T_AA[[#This Row],[IN'']]*[1]!T_AA[[#This Row],[Qde'']],"")</f>
        <v/>
      </c>
      <c r="AK418" s="132" t="str">
        <f>IF(Tab.o1[[#This Row],[a1]]=1,IF(AK$1=1,Tab.o1[[#This Row],[MED]]+Tab.o1[[#This Row],[MOD]]-Tab.o1[[#This Row],[MED]],""),"")</f>
        <v/>
      </c>
      <c r="AL418" s="133" t="str">
        <f>IF(Tab.o1[[#This Row],[a1]]=1,[1]!T.in.A[[#This Row],[oo16]],"")</f>
        <v/>
      </c>
      <c r="AM418" s="133" t="str">
        <f>IF(Tab.o1[[#This Row],[a1]]=1,IF(AM$3=1,[1]!T.in.A[[#This Row],[Σo16]],""),"")</f>
        <v/>
      </c>
      <c r="AN418" s="126" t="str">
        <f>IF(Tab.o1[[#This Row],[a1]]=1,[1]!T.in.A[[#This Row],[Σp5]],"")</f>
        <v/>
      </c>
      <c r="AO418" s="126" t="str">
        <f>IF(Tab.o1[[#This Row],[a1]]=1,IF(AO$3=1,[1]!T.in.A[[#This Row],[Σp5]],""),"")</f>
        <v/>
      </c>
      <c r="AP418" s="110" t="str">
        <f>IF(Tab.o1[[#This Row],[a1]]=1,IF(ISNUMBER(Tab.o1[[#This Row],[i.]]),NORMDIST(Tab.o1[[#This Row],[Za]],0,1,FALSE)*Tab.o1[[#This Row],[i.]],0),"")</f>
        <v/>
      </c>
      <c r="AQ418" s="125" t="str">
        <f>IF(Tab.o1[[#This Row],[a1]]=1,ABS(Tab.o1[[#This Row],[MOD]]-AVERAGE(Tab.o1[MOD])),"")</f>
        <v/>
      </c>
      <c r="AR418" s="134" t="str">
        <f>IF(Tab.o1[[#This Row],[a1]]=1,Tab.o1[[#This Row],[OBS]]/SUM(Tab.o1[OBS]),"")</f>
        <v/>
      </c>
      <c r="AS418" s="135" t="str">
        <f>IF(ISNUMBER(Tab.o1[[#This Row],[a1]]),ROW()-4,"")</f>
        <v/>
      </c>
      <c r="AT418" s="136" t="str">
        <f>Tab.o1[[#This Row],[MOD]]</f>
        <v/>
      </c>
      <c r="AU418" s="137" t="str">
        <f t="shared" si="25"/>
        <v/>
      </c>
      <c r="AV418" s="138" t="str">
        <f t="shared" si="26"/>
        <v/>
      </c>
      <c r="AW418" s="138" t="str">
        <f t="shared" si="27"/>
        <v/>
      </c>
      <c r="AX418" s="139" t="str">
        <f>[1]!T.in.A[[#This Row],[ID_T_manu]]</f>
        <v/>
      </c>
      <c r="AY418" s="140" t="str">
        <f>IF(ISNUMBER(Tab.o1[[#This Row],[a1]]),IF(AND(Tab.o1[[#This Row],[a1]]=1,Tab.o1[[#This Row],[b1]]&lt;=AY$4),#REF!,AY417),"")</f>
        <v/>
      </c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</row>
    <row r="419" spans="1:79" ht="15.75" hidden="1">
      <c r="A419" s="109">
        <v>2.0000000000000003E-6</v>
      </c>
      <c r="B419" s="110">
        <f t="shared" si="24"/>
        <v>419</v>
      </c>
      <c r="C419" s="111" t="str">
        <f>IF(C$1=[1]!T.in.A[[#This Row],[oo2]],1,"")</f>
        <v/>
      </c>
      <c r="D419" s="112" t="str">
        <f>IF(Tab.o1[[#This Row],[a1]]=1,IF(SUM(C419:C420)=0,0,IF(SUM(C418:C419)=1,1,IF(SUM(C418:C420)&gt;1,D418+1,0))),"")</f>
        <v/>
      </c>
      <c r="E419" s="113" t="str">
        <f>IF(Tab.o1[[#This Row],[a1]]=1,[1]!T.in.A[[#This Row],[oo1]],"")</f>
        <v/>
      </c>
      <c r="F419" s="113" t="str">
        <f>IF(Tab.o1[[#This Row],[a1]]=1,[1]!T.in.A[[#This Row],[pp1]],"")</f>
        <v/>
      </c>
      <c r="G419" s="114" t="str">
        <f>IF(Tab.o1[[#This Row],[a1]]=1,G$2+IF(G$1=1,0,Tab.o1[[#This Row],[.x1]])+[1]!T.in.A[[#This Row],[oo3]],"")</f>
        <v/>
      </c>
      <c r="H419" s="115" t="str">
        <f>IF(Tab.o1[[#This Row],[a1]]=1,IF(H$2=0,0,IF(G$1=1,0,Tab.o1[[#This Row],[.x1]])+[1]!T.in.A[[#This Row],[oo4]]),"")</f>
        <v/>
      </c>
      <c r="I419" s="116" t="str">
        <f>IF(Tab.o1[[#This Row],[a1]]=1,IF(J$2=0,Tab.o1[[#This Row],[MED]],Tab.o1[[#This Row],[MOD]]),"")</f>
        <v/>
      </c>
      <c r="J419" s="116" t="str">
        <f>IF(Tab.o1[[#This Row],[a1]]=1,((Tab.o1[[#This Row],[DIF_Target.]]-AVERAGE(Tab.o1[DIF_Target.]))/_xlfn.STDEV.P(Tab.o1[DIF_Target.])),"")</f>
        <v/>
      </c>
      <c r="K419" s="117" t="str">
        <f>IF(Tab.o1[[#This Row],[a1]]=1,IF(J$2=0,Tab.o1[[#This Row],[MOD]]-Tab.o1[[#This Row],[B]],IF(J$2=1,0,-Tab.o1[[#This Row],[MED]])+Tab.o1[[#This Row],[B]]),"")</f>
        <v/>
      </c>
      <c r="L419" s="117" t="str">
        <f ca="1">IF(Tab.o1[[#This Row],[DIF_Target]]=0,IF(L$2=0,Tab.o1[[#This Row],[DIF_Target]],AVERAGE(OFFSET(Tab.o1[[#This Row],[DIF_Target]],1,0,L$3,1)))/3,Tab.o1[[#This Row],[DIF_Target]])</f>
        <v/>
      </c>
      <c r="M419" s="118" t="str">
        <f>IF(Tab.o1[[#This Row],[a1]]=1,NORMSDIST(Tab.o1[[#This Row],[Za]]),"")</f>
        <v/>
      </c>
      <c r="N419" s="119" t="str">
        <f>IF(Tab.o1[[#This Row],[a1]]=1,((Tab.o1[[#This Row],[MedMod]]-AVERAGE(Tab.o1[MedMod]))/_xlfn.STDEV.P(Tab.o1[MedMod])*H$1205)+G$1205,"")</f>
        <v/>
      </c>
      <c r="O419" s="141" t="str">
        <f>IF(Tab.o1[[#This Row],[a1]]=1,Tab.o1[[#This Row],[Zb]]*_xlfn.STDEV.P(Tab.o1[MedMod])+AVERAGE(Tab.o1[MedMod]),"")</f>
        <v/>
      </c>
      <c r="P419" s="117" t="str">
        <f ca="1">IF(Tab.o1[[#This Row],[B]]=0,AVERAGE(OFFSET(Tab.o1[[#This Row],[B]],1,0,L$3,1)),Tab.o1[[#This Row],[B]])</f>
        <v/>
      </c>
      <c r="Q419" s="121" t="str">
        <f>IF(Tab.o1[[#This Row],[a1]]=1,NORMSDIST(Tab.o1[[#This Row],[Zb]]),"")</f>
        <v/>
      </c>
      <c r="R419" s="122" t="str">
        <f>IF(Tab.o1[[#This Row],[a1]]=1,((Tab.o1[[#This Row],[MedMod]]-AVERAGE(Tab.o1[MedMod]))/_xlfn.STDEV.P(Tab.o1[MedMod])*H$1203)+G$1203,"")</f>
        <v/>
      </c>
      <c r="S419" s="122" t="str">
        <f>IF(Tab.o1[[#This Row],[a1]]=1,((Tab.o1[[#This Row],[MedMod]]-AVERAGE(Tab.o1[MedMod]))/_xlfn.STDEV.P(Tab.o1[MedMod])*H$1204)+G$1204,"")</f>
        <v/>
      </c>
      <c r="T419" s="123" t="str">
        <f>IF(Tab.o1[[#This Row],[a1]]=1,Tab.o1[[#This Row],[Z-]]*_xlfn.STDEV.P(Tab.o1[B])+AVERAGE(Tab.o1[B]),"")</f>
        <v/>
      </c>
      <c r="U419" s="123" t="str">
        <f>IF(Tab.o1[[#This Row],[a1]]=1,Tab.o1[[#This Row],[z+]]*_xlfn.STDEV.P(Tab.o1[B])+AVERAGE(Tab.o1[B]),"")</f>
        <v/>
      </c>
      <c r="V419" s="124" t="str">
        <f>IF(Tab.o1[[#This Row],[a1]]=1,ABS((ABS(Tab.o1[[#This Row],[Red]]-Tab.o1[[#This Row],[Blue]]))),"")</f>
        <v/>
      </c>
      <c r="W419" s="125" t="str">
        <f>IF(Tab.o1[[#This Row],[a1]]=1,IF(W$3=0,1,Tab.o1[[#This Row],[Amp.]]*1/_xlfn.MINIFS(Tab.o1[Amp.],Tab.o1[Amp.],"&lt;&gt;0")),"")</f>
        <v/>
      </c>
      <c r="X419" s="126" t="str">
        <f>IF(Tab.o1[[#This Row],[a1]]=1,IF(ISNUMBER(Tab.o1[[#This Row],[i.]]),NORMDIST(Tab.o1[[#This Row],[Za]],0,1,FALSE)*Tab.o1[[#This Row],[i.]],AP$3),"")</f>
        <v/>
      </c>
      <c r="Y419" s="126" t="str">
        <f>IF(Tab.o1[[#This Row],[a1]]=1,0.01+0.94*Tab.o1[[#This Row],[PDF]]/MAX(Tab.o1[PDF]),"")</f>
        <v/>
      </c>
      <c r="Z419" s="126" t="str">
        <f>IF(Tab.o1[[#This Row],[a1]]=1,0.01+0.94*Tab.o1[[#This Row],[W1_PDF]]/MAX(Tab.o1[W1_PDF]),"")</f>
        <v/>
      </c>
      <c r="AA419" s="118" t="str">
        <f>IF(Tab.o1[[#This Row],[a1]]=1,ABS([1]!T.in.A[[#This Row],[oo6]]),"")</f>
        <v/>
      </c>
      <c r="AB419" s="127" t="str">
        <f>IF(Tab.o1[[#This Row],[a1]]=1,IF(AE$3=0,"",IF(AB$3=0,ABS([1]!T.in.A[[#This Row],[oo9]]),ABS(Tab.o1[[#This Row],[DIF_Target.]]*Tab.o1[[#This Row],[W1_PDF]]))),"")</f>
        <v/>
      </c>
      <c r="AC419" s="127" t="str">
        <f>IF(G$1=1,"",IF(Tab.o1[[#This Row],[a1]]=1,Tab.o1[[#This Row],[Wr]]^2,""))</f>
        <v/>
      </c>
      <c r="AD419" s="118" t="str">
        <f>IF(Tab.o1[[#This Row],[a1]]=1,IF(AE$3=0,"",Tab.o1[[#This Row],[Wr2]]/SUM(Tab.o1[Wr2])),"")</f>
        <v/>
      </c>
      <c r="AE419" s="128" t="str">
        <f>IF(Tab.o1[[#This Row],[a1]]=1,[1]!T.in.A[[#This Row],[oo10]],"")</f>
        <v/>
      </c>
      <c r="AF419" s="118" t="str">
        <f>IF(Tab.o1[[#This Row],[a1]]=1,ABS(Tab.o1[[#This Row],[DIF_Target.]]*Tab.o1[[#This Row],[PDF2]]*Tab.o1[[#This Row],[IN]]),"")</f>
        <v/>
      </c>
      <c r="AG419" s="129" t="str">
        <f>IF(Tab.o1[[#This Row],[a1]]=1,Tab.o1[[#This Row],[rW]]^2,"")</f>
        <v/>
      </c>
      <c r="AH419" s="130" t="str">
        <f>IF(Tab.o1[[#This Row],[a1]]=1,IF(AH$3=0,Tab.o1[[#This Row],[rW2]],0.01+0.94*Tab.o1[[#This Row],[rW2]]/SUM(Tab.o1[rW2])),"")</f>
        <v/>
      </c>
      <c r="AI419" s="128" t="str">
        <f>IF(Tab.o1[[#This Row],[a1]]=1,1/Tab.o1[[#This Row],[PDF]],"")</f>
        <v/>
      </c>
      <c r="AJ419" s="131" t="str">
        <f>IF(Tab.o1[[#This Row],[a1]]=1,[1]!T_AA[[#This Row],[IN'']]*[1]!T_AA[[#This Row],[Qde'']],"")</f>
        <v/>
      </c>
      <c r="AK419" s="132" t="str">
        <f>IF(Tab.o1[[#This Row],[a1]]=1,IF(AK$1=1,Tab.o1[[#This Row],[MED]]+Tab.o1[[#This Row],[MOD]]-Tab.o1[[#This Row],[MED]],""),"")</f>
        <v/>
      </c>
      <c r="AL419" s="133" t="str">
        <f>IF(Tab.o1[[#This Row],[a1]]=1,[1]!T.in.A[[#This Row],[oo16]],"")</f>
        <v/>
      </c>
      <c r="AM419" s="133" t="str">
        <f>IF(Tab.o1[[#This Row],[a1]]=1,IF(AM$3=1,[1]!T.in.A[[#This Row],[Σo16]],""),"")</f>
        <v/>
      </c>
      <c r="AN419" s="126" t="str">
        <f>IF(Tab.o1[[#This Row],[a1]]=1,[1]!T.in.A[[#This Row],[Σp5]],"")</f>
        <v/>
      </c>
      <c r="AO419" s="126" t="str">
        <f>IF(Tab.o1[[#This Row],[a1]]=1,IF(AO$3=1,[1]!T.in.A[[#This Row],[Σp5]],""),"")</f>
        <v/>
      </c>
      <c r="AP419" s="110" t="str">
        <f>IF(Tab.o1[[#This Row],[a1]]=1,IF(ISNUMBER(Tab.o1[[#This Row],[i.]]),NORMDIST(Tab.o1[[#This Row],[Za]],0,1,FALSE)*Tab.o1[[#This Row],[i.]],0),"")</f>
        <v/>
      </c>
      <c r="AQ419" s="125" t="str">
        <f>IF(Tab.o1[[#This Row],[a1]]=1,ABS(Tab.o1[[#This Row],[MOD]]-AVERAGE(Tab.o1[MOD])),"")</f>
        <v/>
      </c>
      <c r="AR419" s="134" t="str">
        <f>IF(Tab.o1[[#This Row],[a1]]=1,Tab.o1[[#This Row],[OBS]]/SUM(Tab.o1[OBS]),"")</f>
        <v/>
      </c>
      <c r="AS419" s="135" t="str">
        <f>IF(ISNUMBER(Tab.o1[[#This Row],[a1]]),ROW()-4,"")</f>
        <v/>
      </c>
      <c r="AT419" s="136" t="str">
        <f>Tab.o1[[#This Row],[MOD]]</f>
        <v/>
      </c>
      <c r="AU419" s="137" t="str">
        <f t="shared" si="25"/>
        <v/>
      </c>
      <c r="AV419" s="138" t="str">
        <f t="shared" si="26"/>
        <v/>
      </c>
      <c r="AW419" s="138" t="str">
        <f t="shared" si="27"/>
        <v/>
      </c>
      <c r="AX419" s="139" t="str">
        <f>[1]!T.in.A[[#This Row],[ID_T_manu]]</f>
        <v/>
      </c>
      <c r="AY419" s="140" t="str">
        <f>IF(ISNUMBER(Tab.o1[[#This Row],[a1]]),IF(AND(Tab.o1[[#This Row],[a1]]=1,Tab.o1[[#This Row],[b1]]&lt;=AY$4),#REF!,AY418),"")</f>
        <v/>
      </c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</row>
    <row r="420" spans="1:79" ht="15.75" hidden="1">
      <c r="A420" s="109">
        <v>-2.0000000000000003E-6</v>
      </c>
      <c r="B420" s="110">
        <f t="shared" si="24"/>
        <v>420</v>
      </c>
      <c r="C420" s="111" t="str">
        <f>IF(C$1=[1]!T.in.A[[#This Row],[oo2]],1,"")</f>
        <v/>
      </c>
      <c r="D420" s="112" t="str">
        <f>IF(Tab.o1[[#This Row],[a1]]=1,IF(SUM(C420:C421)=0,0,IF(SUM(C419:C420)=1,1,IF(SUM(C419:C421)&gt;1,D419+1,0))),"")</f>
        <v/>
      </c>
      <c r="E420" s="113" t="str">
        <f>IF(Tab.o1[[#This Row],[a1]]=1,[1]!T.in.A[[#This Row],[oo1]],"")</f>
        <v/>
      </c>
      <c r="F420" s="113" t="str">
        <f>IF(Tab.o1[[#This Row],[a1]]=1,[1]!T.in.A[[#This Row],[pp1]],"")</f>
        <v/>
      </c>
      <c r="G420" s="114" t="str">
        <f>IF(Tab.o1[[#This Row],[a1]]=1,G$2+IF(G$1=1,0,Tab.o1[[#This Row],[.x1]])+[1]!T.in.A[[#This Row],[oo3]],"")</f>
        <v/>
      </c>
      <c r="H420" s="115" t="str">
        <f>IF(Tab.o1[[#This Row],[a1]]=1,IF(H$2=0,0,IF(G$1=1,0,Tab.o1[[#This Row],[.x1]])+[1]!T.in.A[[#This Row],[oo4]]),"")</f>
        <v/>
      </c>
      <c r="I420" s="116" t="str">
        <f>IF(Tab.o1[[#This Row],[a1]]=1,IF(J$2=0,Tab.o1[[#This Row],[MED]],Tab.o1[[#This Row],[MOD]]),"")</f>
        <v/>
      </c>
      <c r="J420" s="116" t="str">
        <f>IF(Tab.o1[[#This Row],[a1]]=1,((Tab.o1[[#This Row],[DIF_Target.]]-AVERAGE(Tab.o1[DIF_Target.]))/_xlfn.STDEV.P(Tab.o1[DIF_Target.])),"")</f>
        <v/>
      </c>
      <c r="K420" s="117" t="str">
        <f>IF(Tab.o1[[#This Row],[a1]]=1,IF(J$2=0,Tab.o1[[#This Row],[MOD]]-Tab.o1[[#This Row],[B]],IF(J$2=1,0,-Tab.o1[[#This Row],[MED]])+Tab.o1[[#This Row],[B]]),"")</f>
        <v/>
      </c>
      <c r="L420" s="117" t="str">
        <f ca="1">IF(Tab.o1[[#This Row],[DIF_Target]]=0,IF(L$2=0,Tab.o1[[#This Row],[DIF_Target]],AVERAGE(OFFSET(Tab.o1[[#This Row],[DIF_Target]],1,0,L$3,1)))/3,Tab.o1[[#This Row],[DIF_Target]])</f>
        <v/>
      </c>
      <c r="M420" s="118" t="str">
        <f>IF(Tab.o1[[#This Row],[a1]]=1,NORMSDIST(Tab.o1[[#This Row],[Za]]),"")</f>
        <v/>
      </c>
      <c r="N420" s="119" t="str">
        <f>IF(Tab.o1[[#This Row],[a1]]=1,((Tab.o1[[#This Row],[MedMod]]-AVERAGE(Tab.o1[MedMod]))/_xlfn.STDEV.P(Tab.o1[MedMod])*H$1205)+G$1205,"")</f>
        <v/>
      </c>
      <c r="O420" s="141" t="str">
        <f>IF(Tab.o1[[#This Row],[a1]]=1,Tab.o1[[#This Row],[Zb]]*_xlfn.STDEV.P(Tab.o1[MedMod])+AVERAGE(Tab.o1[MedMod]),"")</f>
        <v/>
      </c>
      <c r="P420" s="117" t="str">
        <f ca="1">IF(Tab.o1[[#This Row],[B]]=0,AVERAGE(OFFSET(Tab.o1[[#This Row],[B]],1,0,L$3,1)),Tab.o1[[#This Row],[B]])</f>
        <v/>
      </c>
      <c r="Q420" s="121" t="str">
        <f>IF(Tab.o1[[#This Row],[a1]]=1,NORMSDIST(Tab.o1[[#This Row],[Zb]]),"")</f>
        <v/>
      </c>
      <c r="R420" s="122" t="str">
        <f>IF(Tab.o1[[#This Row],[a1]]=1,((Tab.o1[[#This Row],[MedMod]]-AVERAGE(Tab.o1[MedMod]))/_xlfn.STDEV.P(Tab.o1[MedMod])*H$1203)+G$1203,"")</f>
        <v/>
      </c>
      <c r="S420" s="122" t="str">
        <f>IF(Tab.o1[[#This Row],[a1]]=1,((Tab.o1[[#This Row],[MedMod]]-AVERAGE(Tab.o1[MedMod]))/_xlfn.STDEV.P(Tab.o1[MedMod])*H$1204)+G$1204,"")</f>
        <v/>
      </c>
      <c r="T420" s="123" t="str">
        <f>IF(Tab.o1[[#This Row],[a1]]=1,Tab.o1[[#This Row],[Z-]]*_xlfn.STDEV.P(Tab.o1[B])+AVERAGE(Tab.o1[B]),"")</f>
        <v/>
      </c>
      <c r="U420" s="123" t="str">
        <f>IF(Tab.o1[[#This Row],[a1]]=1,Tab.o1[[#This Row],[z+]]*_xlfn.STDEV.P(Tab.o1[B])+AVERAGE(Tab.o1[B]),"")</f>
        <v/>
      </c>
      <c r="V420" s="124" t="str">
        <f>IF(Tab.o1[[#This Row],[a1]]=1,ABS((ABS(Tab.o1[[#This Row],[Red]]-Tab.o1[[#This Row],[Blue]]))),"")</f>
        <v/>
      </c>
      <c r="W420" s="125" t="str">
        <f>IF(Tab.o1[[#This Row],[a1]]=1,IF(W$3=0,1,Tab.o1[[#This Row],[Amp.]]*1/_xlfn.MINIFS(Tab.o1[Amp.],Tab.o1[Amp.],"&lt;&gt;0")),"")</f>
        <v/>
      </c>
      <c r="X420" s="126" t="str">
        <f>IF(Tab.o1[[#This Row],[a1]]=1,IF(ISNUMBER(Tab.o1[[#This Row],[i.]]),NORMDIST(Tab.o1[[#This Row],[Za]],0,1,FALSE)*Tab.o1[[#This Row],[i.]],AP$3),"")</f>
        <v/>
      </c>
      <c r="Y420" s="126" t="str">
        <f>IF(Tab.o1[[#This Row],[a1]]=1,0.01+0.94*Tab.o1[[#This Row],[PDF]]/MAX(Tab.o1[PDF]),"")</f>
        <v/>
      </c>
      <c r="Z420" s="126" t="str">
        <f>IF(Tab.o1[[#This Row],[a1]]=1,0.01+0.94*Tab.o1[[#This Row],[W1_PDF]]/MAX(Tab.o1[W1_PDF]),"")</f>
        <v/>
      </c>
      <c r="AA420" s="118" t="str">
        <f>IF(Tab.o1[[#This Row],[a1]]=1,ABS([1]!T.in.A[[#This Row],[oo6]]),"")</f>
        <v/>
      </c>
      <c r="AB420" s="127" t="str">
        <f>IF(Tab.o1[[#This Row],[a1]]=1,IF(AE$3=0,"",IF(AB$3=0,ABS([1]!T.in.A[[#This Row],[oo9]]),ABS(Tab.o1[[#This Row],[DIF_Target.]]*Tab.o1[[#This Row],[W1_PDF]]))),"")</f>
        <v/>
      </c>
      <c r="AC420" s="127" t="str">
        <f>IF(G$1=1,"",IF(Tab.o1[[#This Row],[a1]]=1,Tab.o1[[#This Row],[Wr]]^2,""))</f>
        <v/>
      </c>
      <c r="AD420" s="118" t="str">
        <f>IF(Tab.o1[[#This Row],[a1]]=1,IF(AE$3=0,"",Tab.o1[[#This Row],[Wr2]]/SUM(Tab.o1[Wr2])),"")</f>
        <v/>
      </c>
      <c r="AE420" s="128" t="str">
        <f>IF(Tab.o1[[#This Row],[a1]]=1,[1]!T.in.A[[#This Row],[oo10]],"")</f>
        <v/>
      </c>
      <c r="AF420" s="118" t="str">
        <f>IF(Tab.o1[[#This Row],[a1]]=1,ABS(Tab.o1[[#This Row],[DIF_Target.]]*Tab.o1[[#This Row],[PDF2]]*Tab.o1[[#This Row],[IN]]),"")</f>
        <v/>
      </c>
      <c r="AG420" s="129" t="str">
        <f>IF(Tab.o1[[#This Row],[a1]]=1,Tab.o1[[#This Row],[rW]]^2,"")</f>
        <v/>
      </c>
      <c r="AH420" s="130" t="str">
        <f>IF(Tab.o1[[#This Row],[a1]]=1,IF(AH$3=0,Tab.o1[[#This Row],[rW2]],0.01+0.94*Tab.o1[[#This Row],[rW2]]/SUM(Tab.o1[rW2])),"")</f>
        <v/>
      </c>
      <c r="AI420" s="128" t="str">
        <f>IF(Tab.o1[[#This Row],[a1]]=1,1/Tab.o1[[#This Row],[PDF]],"")</f>
        <v/>
      </c>
      <c r="AJ420" s="131" t="str">
        <f>IF(Tab.o1[[#This Row],[a1]]=1,[1]!T_AA[[#This Row],[IN'']]*[1]!T_AA[[#This Row],[Qde'']],"")</f>
        <v/>
      </c>
      <c r="AK420" s="132" t="str">
        <f>IF(Tab.o1[[#This Row],[a1]]=1,IF(AK$1=1,Tab.o1[[#This Row],[MED]]+Tab.o1[[#This Row],[MOD]]-Tab.o1[[#This Row],[MED]],""),"")</f>
        <v/>
      </c>
      <c r="AL420" s="133" t="str">
        <f>IF(Tab.o1[[#This Row],[a1]]=1,[1]!T.in.A[[#This Row],[oo16]],"")</f>
        <v/>
      </c>
      <c r="AM420" s="133" t="str">
        <f>IF(Tab.o1[[#This Row],[a1]]=1,IF(AM$3=1,[1]!T.in.A[[#This Row],[Σo16]],""),"")</f>
        <v/>
      </c>
      <c r="AN420" s="126" t="str">
        <f>IF(Tab.o1[[#This Row],[a1]]=1,[1]!T.in.A[[#This Row],[Σp5]],"")</f>
        <v/>
      </c>
      <c r="AO420" s="126" t="str">
        <f>IF(Tab.o1[[#This Row],[a1]]=1,IF(AO$3=1,[1]!T.in.A[[#This Row],[Σp5]],""),"")</f>
        <v/>
      </c>
      <c r="AP420" s="110" t="str">
        <f>IF(Tab.o1[[#This Row],[a1]]=1,IF(ISNUMBER(Tab.o1[[#This Row],[i.]]),NORMDIST(Tab.o1[[#This Row],[Za]],0,1,FALSE)*Tab.o1[[#This Row],[i.]],0),"")</f>
        <v/>
      </c>
      <c r="AQ420" s="125" t="str">
        <f>IF(Tab.o1[[#This Row],[a1]]=1,ABS(Tab.o1[[#This Row],[MOD]]-AVERAGE(Tab.o1[MOD])),"")</f>
        <v/>
      </c>
      <c r="AR420" s="134" t="str">
        <f>IF(Tab.o1[[#This Row],[a1]]=1,Tab.o1[[#This Row],[OBS]]/SUM(Tab.o1[OBS]),"")</f>
        <v/>
      </c>
      <c r="AS420" s="135" t="str">
        <f>IF(ISNUMBER(Tab.o1[[#This Row],[a1]]),ROW()-4,"")</f>
        <v/>
      </c>
      <c r="AT420" s="136" t="str">
        <f>Tab.o1[[#This Row],[MOD]]</f>
        <v/>
      </c>
      <c r="AU420" s="137" t="str">
        <f t="shared" si="25"/>
        <v/>
      </c>
      <c r="AV420" s="138" t="str">
        <f t="shared" si="26"/>
        <v/>
      </c>
      <c r="AW420" s="138" t="str">
        <f t="shared" si="27"/>
        <v/>
      </c>
      <c r="AX420" s="139" t="str">
        <f>[1]!T.in.A[[#This Row],[ID_T_manu]]</f>
        <v/>
      </c>
      <c r="AY420" s="140" t="str">
        <f>IF(ISNUMBER(Tab.o1[[#This Row],[a1]]),IF(AND(Tab.o1[[#This Row],[a1]]=1,Tab.o1[[#This Row],[b1]]&lt;=AY$4),#REF!,AY419),"")</f>
        <v/>
      </c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</row>
    <row r="421" spans="1:79" ht="15.75" hidden="1">
      <c r="A421" s="109">
        <v>1.0000000000000002E-6</v>
      </c>
      <c r="B421" s="110">
        <f t="shared" si="24"/>
        <v>421</v>
      </c>
      <c r="C421" s="111" t="str">
        <f>IF(C$1=[1]!T.in.A[[#This Row],[oo2]],1,"")</f>
        <v/>
      </c>
      <c r="D421" s="112" t="str">
        <f>IF(Tab.o1[[#This Row],[a1]]=1,IF(SUM(C421:C422)=0,0,IF(SUM(C420:C421)=1,1,IF(SUM(C420:C422)&gt;1,D420+1,0))),"")</f>
        <v/>
      </c>
      <c r="E421" s="113" t="str">
        <f>IF(Tab.o1[[#This Row],[a1]]=1,[1]!T.in.A[[#This Row],[oo1]],"")</f>
        <v/>
      </c>
      <c r="F421" s="113" t="str">
        <f>IF(Tab.o1[[#This Row],[a1]]=1,[1]!T.in.A[[#This Row],[pp1]],"")</f>
        <v/>
      </c>
      <c r="G421" s="114" t="str">
        <f>IF(Tab.o1[[#This Row],[a1]]=1,G$2+IF(G$1=1,0,Tab.o1[[#This Row],[.x1]])+[1]!T.in.A[[#This Row],[oo3]],"")</f>
        <v/>
      </c>
      <c r="H421" s="115" t="str">
        <f>IF(Tab.o1[[#This Row],[a1]]=1,IF(H$2=0,0,IF(G$1=1,0,Tab.o1[[#This Row],[.x1]])+[1]!T.in.A[[#This Row],[oo4]]),"")</f>
        <v/>
      </c>
      <c r="I421" s="116" t="str">
        <f>IF(Tab.o1[[#This Row],[a1]]=1,IF(J$2=0,Tab.o1[[#This Row],[MED]],Tab.o1[[#This Row],[MOD]]),"")</f>
        <v/>
      </c>
      <c r="J421" s="116" t="str">
        <f>IF(Tab.o1[[#This Row],[a1]]=1,((Tab.o1[[#This Row],[DIF_Target.]]-AVERAGE(Tab.o1[DIF_Target.]))/_xlfn.STDEV.P(Tab.o1[DIF_Target.])),"")</f>
        <v/>
      </c>
      <c r="K421" s="117" t="str">
        <f>IF(Tab.o1[[#This Row],[a1]]=1,IF(J$2=0,Tab.o1[[#This Row],[MOD]]-Tab.o1[[#This Row],[B]],IF(J$2=1,0,-Tab.o1[[#This Row],[MED]])+Tab.o1[[#This Row],[B]]),"")</f>
        <v/>
      </c>
      <c r="L421" s="117" t="str">
        <f ca="1">IF(Tab.o1[[#This Row],[DIF_Target]]=0,IF(L$2=0,Tab.o1[[#This Row],[DIF_Target]],AVERAGE(OFFSET(Tab.o1[[#This Row],[DIF_Target]],1,0,L$3,1)))/3,Tab.o1[[#This Row],[DIF_Target]])</f>
        <v/>
      </c>
      <c r="M421" s="118" t="str">
        <f>IF(Tab.o1[[#This Row],[a1]]=1,NORMSDIST(Tab.o1[[#This Row],[Za]]),"")</f>
        <v/>
      </c>
      <c r="N421" s="119" t="str">
        <f>IF(Tab.o1[[#This Row],[a1]]=1,((Tab.o1[[#This Row],[MedMod]]-AVERAGE(Tab.o1[MedMod]))/_xlfn.STDEV.P(Tab.o1[MedMod])*H$1205)+G$1205,"")</f>
        <v/>
      </c>
      <c r="O421" s="141" t="str">
        <f>IF(Tab.o1[[#This Row],[a1]]=1,Tab.o1[[#This Row],[Zb]]*_xlfn.STDEV.P(Tab.o1[MedMod])+AVERAGE(Tab.o1[MedMod]),"")</f>
        <v/>
      </c>
      <c r="P421" s="117" t="str">
        <f ca="1">IF(Tab.o1[[#This Row],[B]]=0,AVERAGE(OFFSET(Tab.o1[[#This Row],[B]],1,0,L$3,1)),Tab.o1[[#This Row],[B]])</f>
        <v/>
      </c>
      <c r="Q421" s="121" t="str">
        <f>IF(Tab.o1[[#This Row],[a1]]=1,NORMSDIST(Tab.o1[[#This Row],[Zb]]),"")</f>
        <v/>
      </c>
      <c r="R421" s="122" t="str">
        <f>IF(Tab.o1[[#This Row],[a1]]=1,((Tab.o1[[#This Row],[MedMod]]-AVERAGE(Tab.o1[MedMod]))/_xlfn.STDEV.P(Tab.o1[MedMod])*H$1203)+G$1203,"")</f>
        <v/>
      </c>
      <c r="S421" s="122" t="str">
        <f>IF(Tab.o1[[#This Row],[a1]]=1,((Tab.o1[[#This Row],[MedMod]]-AVERAGE(Tab.o1[MedMod]))/_xlfn.STDEV.P(Tab.o1[MedMod])*H$1204)+G$1204,"")</f>
        <v/>
      </c>
      <c r="T421" s="123" t="str">
        <f>IF(Tab.o1[[#This Row],[a1]]=1,Tab.o1[[#This Row],[Z-]]*_xlfn.STDEV.P(Tab.o1[B])+AVERAGE(Tab.o1[B]),"")</f>
        <v/>
      </c>
      <c r="U421" s="123" t="str">
        <f>IF(Tab.o1[[#This Row],[a1]]=1,Tab.o1[[#This Row],[z+]]*_xlfn.STDEV.P(Tab.o1[B])+AVERAGE(Tab.o1[B]),"")</f>
        <v/>
      </c>
      <c r="V421" s="124" t="str">
        <f>IF(Tab.o1[[#This Row],[a1]]=1,ABS((ABS(Tab.o1[[#This Row],[Red]]-Tab.o1[[#This Row],[Blue]]))),"")</f>
        <v/>
      </c>
      <c r="W421" s="125" t="str">
        <f>IF(Tab.o1[[#This Row],[a1]]=1,IF(W$3=0,1,Tab.o1[[#This Row],[Amp.]]*1/_xlfn.MINIFS(Tab.o1[Amp.],Tab.o1[Amp.],"&lt;&gt;0")),"")</f>
        <v/>
      </c>
      <c r="X421" s="126" t="str">
        <f>IF(Tab.o1[[#This Row],[a1]]=1,IF(ISNUMBER(Tab.o1[[#This Row],[i.]]),NORMDIST(Tab.o1[[#This Row],[Za]],0,1,FALSE)*Tab.o1[[#This Row],[i.]],AP$3),"")</f>
        <v/>
      </c>
      <c r="Y421" s="126" t="str">
        <f>IF(Tab.o1[[#This Row],[a1]]=1,0.01+0.94*Tab.o1[[#This Row],[PDF]]/MAX(Tab.o1[PDF]),"")</f>
        <v/>
      </c>
      <c r="Z421" s="126" t="str">
        <f>IF(Tab.o1[[#This Row],[a1]]=1,0.01+0.94*Tab.o1[[#This Row],[W1_PDF]]/MAX(Tab.o1[W1_PDF]),"")</f>
        <v/>
      </c>
      <c r="AA421" s="118" t="str">
        <f>IF(Tab.o1[[#This Row],[a1]]=1,ABS([1]!T.in.A[[#This Row],[oo6]]),"")</f>
        <v/>
      </c>
      <c r="AB421" s="127" t="str">
        <f>IF(Tab.o1[[#This Row],[a1]]=1,IF(AE$3=0,"",IF(AB$3=0,ABS([1]!T.in.A[[#This Row],[oo9]]),ABS(Tab.o1[[#This Row],[DIF_Target.]]*Tab.o1[[#This Row],[W1_PDF]]))),"")</f>
        <v/>
      </c>
      <c r="AC421" s="127" t="str">
        <f>IF(G$1=1,"",IF(Tab.o1[[#This Row],[a1]]=1,Tab.o1[[#This Row],[Wr]]^2,""))</f>
        <v/>
      </c>
      <c r="AD421" s="118" t="str">
        <f>IF(Tab.o1[[#This Row],[a1]]=1,IF(AE$3=0,"",Tab.o1[[#This Row],[Wr2]]/SUM(Tab.o1[Wr2])),"")</f>
        <v/>
      </c>
      <c r="AE421" s="128" t="str">
        <f>IF(Tab.o1[[#This Row],[a1]]=1,[1]!T.in.A[[#This Row],[oo10]],"")</f>
        <v/>
      </c>
      <c r="AF421" s="118" t="str">
        <f>IF(Tab.o1[[#This Row],[a1]]=1,ABS(Tab.o1[[#This Row],[DIF_Target.]]*Tab.o1[[#This Row],[PDF2]]*Tab.o1[[#This Row],[IN]]),"")</f>
        <v/>
      </c>
      <c r="AG421" s="129" t="str">
        <f>IF(Tab.o1[[#This Row],[a1]]=1,Tab.o1[[#This Row],[rW]]^2,"")</f>
        <v/>
      </c>
      <c r="AH421" s="130" t="str">
        <f>IF(Tab.o1[[#This Row],[a1]]=1,IF(AH$3=0,Tab.o1[[#This Row],[rW2]],0.01+0.94*Tab.o1[[#This Row],[rW2]]/SUM(Tab.o1[rW2])),"")</f>
        <v/>
      </c>
      <c r="AI421" s="128" t="str">
        <f>IF(Tab.o1[[#This Row],[a1]]=1,1/Tab.o1[[#This Row],[PDF]],"")</f>
        <v/>
      </c>
      <c r="AJ421" s="131" t="str">
        <f>IF(Tab.o1[[#This Row],[a1]]=1,[1]!T_AA[[#This Row],[IN'']]*[1]!T_AA[[#This Row],[Qde'']],"")</f>
        <v/>
      </c>
      <c r="AK421" s="132" t="str">
        <f>IF(Tab.o1[[#This Row],[a1]]=1,IF(AK$1=1,Tab.o1[[#This Row],[MED]]+Tab.o1[[#This Row],[MOD]]-Tab.o1[[#This Row],[MED]],""),"")</f>
        <v/>
      </c>
      <c r="AL421" s="133" t="str">
        <f>IF(Tab.o1[[#This Row],[a1]]=1,[1]!T.in.A[[#This Row],[oo16]],"")</f>
        <v/>
      </c>
      <c r="AM421" s="133" t="str">
        <f>IF(Tab.o1[[#This Row],[a1]]=1,IF(AM$3=1,[1]!T.in.A[[#This Row],[Σo16]],""),"")</f>
        <v/>
      </c>
      <c r="AN421" s="126" t="str">
        <f>IF(Tab.o1[[#This Row],[a1]]=1,[1]!T.in.A[[#This Row],[Σp5]],"")</f>
        <v/>
      </c>
      <c r="AO421" s="126" t="str">
        <f>IF(Tab.o1[[#This Row],[a1]]=1,IF(AO$3=1,[1]!T.in.A[[#This Row],[Σp5]],""),"")</f>
        <v/>
      </c>
      <c r="AP421" s="110" t="str">
        <f>IF(Tab.o1[[#This Row],[a1]]=1,IF(ISNUMBER(Tab.o1[[#This Row],[i.]]),NORMDIST(Tab.o1[[#This Row],[Za]],0,1,FALSE)*Tab.o1[[#This Row],[i.]],0),"")</f>
        <v/>
      </c>
      <c r="AQ421" s="125" t="str">
        <f>IF(Tab.o1[[#This Row],[a1]]=1,ABS(Tab.o1[[#This Row],[MOD]]-AVERAGE(Tab.o1[MOD])),"")</f>
        <v/>
      </c>
      <c r="AR421" s="134" t="str">
        <f>IF(Tab.o1[[#This Row],[a1]]=1,Tab.o1[[#This Row],[OBS]]/SUM(Tab.o1[OBS]),"")</f>
        <v/>
      </c>
      <c r="AS421" s="135" t="str">
        <f>IF(ISNUMBER(Tab.o1[[#This Row],[a1]]),ROW()-4,"")</f>
        <v/>
      </c>
      <c r="AT421" s="136" t="str">
        <f>Tab.o1[[#This Row],[MOD]]</f>
        <v/>
      </c>
      <c r="AU421" s="137" t="str">
        <f t="shared" si="25"/>
        <v/>
      </c>
      <c r="AV421" s="138" t="str">
        <f t="shared" si="26"/>
        <v/>
      </c>
      <c r="AW421" s="138" t="str">
        <f t="shared" si="27"/>
        <v/>
      </c>
      <c r="AX421" s="139" t="str">
        <f>[1]!T.in.A[[#This Row],[ID_T_manu]]</f>
        <v/>
      </c>
      <c r="AY421" s="140" t="str">
        <f>IF(ISNUMBER(Tab.o1[[#This Row],[a1]]),IF(AND(Tab.o1[[#This Row],[a1]]=1,Tab.o1[[#This Row],[b1]]&lt;=AY$4),#REF!,AY420),"")</f>
        <v/>
      </c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</row>
    <row r="422" spans="1:79" ht="15.75" hidden="1">
      <c r="A422" s="109">
        <v>-9.0000000000000002E-6</v>
      </c>
      <c r="B422" s="110">
        <f t="shared" si="24"/>
        <v>422</v>
      </c>
      <c r="C422" s="111" t="str">
        <f>IF(C$1=[1]!T.in.A[[#This Row],[oo2]],1,"")</f>
        <v/>
      </c>
      <c r="D422" s="112" t="str">
        <f>IF(Tab.o1[[#This Row],[a1]]=1,IF(SUM(C422:C423)=0,0,IF(SUM(C421:C422)=1,1,IF(SUM(C421:C423)&gt;1,D421+1,0))),"")</f>
        <v/>
      </c>
      <c r="E422" s="113" t="str">
        <f>IF(Tab.o1[[#This Row],[a1]]=1,[1]!T.in.A[[#This Row],[oo1]],"")</f>
        <v/>
      </c>
      <c r="F422" s="113" t="str">
        <f>IF(Tab.o1[[#This Row],[a1]]=1,[1]!T.in.A[[#This Row],[pp1]],"")</f>
        <v/>
      </c>
      <c r="G422" s="114" t="str">
        <f>IF(Tab.o1[[#This Row],[a1]]=1,G$2+IF(G$1=1,0,Tab.o1[[#This Row],[.x1]])+[1]!T.in.A[[#This Row],[oo3]],"")</f>
        <v/>
      </c>
      <c r="H422" s="115" t="str">
        <f>IF(Tab.o1[[#This Row],[a1]]=1,IF(H$2=0,0,IF(G$1=1,0,Tab.o1[[#This Row],[.x1]])+[1]!T.in.A[[#This Row],[oo4]]),"")</f>
        <v/>
      </c>
      <c r="I422" s="116" t="str">
        <f>IF(Tab.o1[[#This Row],[a1]]=1,IF(J$2=0,Tab.o1[[#This Row],[MED]],Tab.o1[[#This Row],[MOD]]),"")</f>
        <v/>
      </c>
      <c r="J422" s="116" t="str">
        <f>IF(Tab.o1[[#This Row],[a1]]=1,((Tab.o1[[#This Row],[DIF_Target.]]-AVERAGE(Tab.o1[DIF_Target.]))/_xlfn.STDEV.P(Tab.o1[DIF_Target.])),"")</f>
        <v/>
      </c>
      <c r="K422" s="117" t="str">
        <f>IF(Tab.o1[[#This Row],[a1]]=1,IF(J$2=0,Tab.o1[[#This Row],[MOD]]-Tab.o1[[#This Row],[B]],IF(J$2=1,0,-Tab.o1[[#This Row],[MED]])+Tab.o1[[#This Row],[B]]),"")</f>
        <v/>
      </c>
      <c r="L422" s="117" t="str">
        <f ca="1">IF(Tab.o1[[#This Row],[DIF_Target]]=0,IF(L$2=0,Tab.o1[[#This Row],[DIF_Target]],AVERAGE(OFFSET(Tab.o1[[#This Row],[DIF_Target]],1,0,L$3,1)))/3,Tab.o1[[#This Row],[DIF_Target]])</f>
        <v/>
      </c>
      <c r="M422" s="118" t="str">
        <f>IF(Tab.o1[[#This Row],[a1]]=1,NORMSDIST(Tab.o1[[#This Row],[Za]]),"")</f>
        <v/>
      </c>
      <c r="N422" s="119" t="str">
        <f>IF(Tab.o1[[#This Row],[a1]]=1,((Tab.o1[[#This Row],[MedMod]]-AVERAGE(Tab.o1[MedMod]))/_xlfn.STDEV.P(Tab.o1[MedMod])*H$1205)+G$1205,"")</f>
        <v/>
      </c>
      <c r="O422" s="141" t="str">
        <f>IF(Tab.o1[[#This Row],[a1]]=1,Tab.o1[[#This Row],[Zb]]*_xlfn.STDEV.P(Tab.o1[MedMod])+AVERAGE(Tab.o1[MedMod]),"")</f>
        <v/>
      </c>
      <c r="P422" s="117" t="str">
        <f ca="1">IF(Tab.o1[[#This Row],[B]]=0,AVERAGE(OFFSET(Tab.o1[[#This Row],[B]],1,0,L$3,1)),Tab.o1[[#This Row],[B]])</f>
        <v/>
      </c>
      <c r="Q422" s="121" t="str">
        <f>IF(Tab.o1[[#This Row],[a1]]=1,NORMSDIST(Tab.o1[[#This Row],[Zb]]),"")</f>
        <v/>
      </c>
      <c r="R422" s="122" t="str">
        <f>IF(Tab.o1[[#This Row],[a1]]=1,((Tab.o1[[#This Row],[MedMod]]-AVERAGE(Tab.o1[MedMod]))/_xlfn.STDEV.P(Tab.o1[MedMod])*H$1203)+G$1203,"")</f>
        <v/>
      </c>
      <c r="S422" s="122" t="str">
        <f>IF(Tab.o1[[#This Row],[a1]]=1,((Tab.o1[[#This Row],[MedMod]]-AVERAGE(Tab.o1[MedMod]))/_xlfn.STDEV.P(Tab.o1[MedMod])*H$1204)+G$1204,"")</f>
        <v/>
      </c>
      <c r="T422" s="123" t="str">
        <f>IF(Tab.o1[[#This Row],[a1]]=1,Tab.o1[[#This Row],[Z-]]*_xlfn.STDEV.P(Tab.o1[B])+AVERAGE(Tab.o1[B]),"")</f>
        <v/>
      </c>
      <c r="U422" s="123" t="str">
        <f>IF(Tab.o1[[#This Row],[a1]]=1,Tab.o1[[#This Row],[z+]]*_xlfn.STDEV.P(Tab.o1[B])+AVERAGE(Tab.o1[B]),"")</f>
        <v/>
      </c>
      <c r="V422" s="124" t="str">
        <f>IF(Tab.o1[[#This Row],[a1]]=1,ABS((ABS(Tab.o1[[#This Row],[Red]]-Tab.o1[[#This Row],[Blue]]))),"")</f>
        <v/>
      </c>
      <c r="W422" s="125" t="str">
        <f>IF(Tab.o1[[#This Row],[a1]]=1,IF(W$3=0,1,Tab.o1[[#This Row],[Amp.]]*1/_xlfn.MINIFS(Tab.o1[Amp.],Tab.o1[Amp.],"&lt;&gt;0")),"")</f>
        <v/>
      </c>
      <c r="X422" s="126" t="str">
        <f>IF(Tab.o1[[#This Row],[a1]]=1,IF(ISNUMBER(Tab.o1[[#This Row],[i.]]),NORMDIST(Tab.o1[[#This Row],[Za]],0,1,FALSE)*Tab.o1[[#This Row],[i.]],AP$3),"")</f>
        <v/>
      </c>
      <c r="Y422" s="126" t="str">
        <f>IF(Tab.o1[[#This Row],[a1]]=1,0.01+0.94*Tab.o1[[#This Row],[PDF]]/MAX(Tab.o1[PDF]),"")</f>
        <v/>
      </c>
      <c r="Z422" s="126" t="str">
        <f>IF(Tab.o1[[#This Row],[a1]]=1,0.01+0.94*Tab.o1[[#This Row],[W1_PDF]]/MAX(Tab.o1[W1_PDF]),"")</f>
        <v/>
      </c>
      <c r="AA422" s="118" t="str">
        <f>IF(Tab.o1[[#This Row],[a1]]=1,ABS([1]!T.in.A[[#This Row],[oo6]]),"")</f>
        <v/>
      </c>
      <c r="AB422" s="127" t="str">
        <f>IF(Tab.o1[[#This Row],[a1]]=1,IF(AE$3=0,"",IF(AB$3=0,ABS([1]!T.in.A[[#This Row],[oo9]]),ABS(Tab.o1[[#This Row],[DIF_Target.]]*Tab.o1[[#This Row],[W1_PDF]]))),"")</f>
        <v/>
      </c>
      <c r="AC422" s="127" t="str">
        <f>IF(G$1=1,"",IF(Tab.o1[[#This Row],[a1]]=1,Tab.o1[[#This Row],[Wr]]^2,""))</f>
        <v/>
      </c>
      <c r="AD422" s="118" t="str">
        <f>IF(Tab.o1[[#This Row],[a1]]=1,IF(AE$3=0,"",Tab.o1[[#This Row],[Wr2]]/SUM(Tab.o1[Wr2])),"")</f>
        <v/>
      </c>
      <c r="AE422" s="128" t="str">
        <f>IF(Tab.o1[[#This Row],[a1]]=1,[1]!T.in.A[[#This Row],[oo10]],"")</f>
        <v/>
      </c>
      <c r="AF422" s="118" t="str">
        <f>IF(Tab.o1[[#This Row],[a1]]=1,ABS(Tab.o1[[#This Row],[DIF_Target.]]*Tab.o1[[#This Row],[PDF2]]*Tab.o1[[#This Row],[IN]]),"")</f>
        <v/>
      </c>
      <c r="AG422" s="129" t="str">
        <f>IF(Tab.o1[[#This Row],[a1]]=1,Tab.o1[[#This Row],[rW]]^2,"")</f>
        <v/>
      </c>
      <c r="AH422" s="130" t="str">
        <f>IF(Tab.o1[[#This Row],[a1]]=1,IF(AH$3=0,Tab.o1[[#This Row],[rW2]],0.01+0.94*Tab.o1[[#This Row],[rW2]]/SUM(Tab.o1[rW2])),"")</f>
        <v/>
      </c>
      <c r="AI422" s="128" t="str">
        <f>IF(Tab.o1[[#This Row],[a1]]=1,1/Tab.o1[[#This Row],[PDF]],"")</f>
        <v/>
      </c>
      <c r="AJ422" s="131" t="str">
        <f>IF(Tab.o1[[#This Row],[a1]]=1,[1]!T_AA[[#This Row],[IN'']]*[1]!T_AA[[#This Row],[Qde'']],"")</f>
        <v/>
      </c>
      <c r="AK422" s="132" t="str">
        <f>IF(Tab.o1[[#This Row],[a1]]=1,IF(AK$1=1,Tab.o1[[#This Row],[MED]]+Tab.o1[[#This Row],[MOD]]-Tab.o1[[#This Row],[MED]],""),"")</f>
        <v/>
      </c>
      <c r="AL422" s="133" t="str">
        <f>IF(Tab.o1[[#This Row],[a1]]=1,[1]!T.in.A[[#This Row],[oo16]],"")</f>
        <v/>
      </c>
      <c r="AM422" s="133" t="str">
        <f>IF(Tab.o1[[#This Row],[a1]]=1,IF(AM$3=1,[1]!T.in.A[[#This Row],[Σo16]],""),"")</f>
        <v/>
      </c>
      <c r="AN422" s="126" t="str">
        <f>IF(Tab.o1[[#This Row],[a1]]=1,[1]!T.in.A[[#This Row],[Σp5]],"")</f>
        <v/>
      </c>
      <c r="AO422" s="126" t="str">
        <f>IF(Tab.o1[[#This Row],[a1]]=1,IF(AO$3=1,[1]!T.in.A[[#This Row],[Σp5]],""),"")</f>
        <v/>
      </c>
      <c r="AP422" s="110" t="str">
        <f>IF(Tab.o1[[#This Row],[a1]]=1,IF(ISNUMBER(Tab.o1[[#This Row],[i.]]),NORMDIST(Tab.o1[[#This Row],[Za]],0,1,FALSE)*Tab.o1[[#This Row],[i.]],0),"")</f>
        <v/>
      </c>
      <c r="AQ422" s="125" t="str">
        <f>IF(Tab.o1[[#This Row],[a1]]=1,ABS(Tab.o1[[#This Row],[MOD]]-AVERAGE(Tab.o1[MOD])),"")</f>
        <v/>
      </c>
      <c r="AR422" s="134" t="str">
        <f>IF(Tab.o1[[#This Row],[a1]]=1,Tab.o1[[#This Row],[OBS]]/SUM(Tab.o1[OBS]),"")</f>
        <v/>
      </c>
      <c r="AS422" s="135" t="str">
        <f>IF(ISNUMBER(Tab.o1[[#This Row],[a1]]),ROW()-4,"")</f>
        <v/>
      </c>
      <c r="AT422" s="136" t="str">
        <f>Tab.o1[[#This Row],[MOD]]</f>
        <v/>
      </c>
      <c r="AU422" s="137" t="str">
        <f t="shared" si="25"/>
        <v/>
      </c>
      <c r="AV422" s="138" t="str">
        <f t="shared" si="26"/>
        <v/>
      </c>
      <c r="AW422" s="138" t="str">
        <f t="shared" si="27"/>
        <v/>
      </c>
      <c r="AX422" s="139" t="str">
        <f>[1]!T.in.A[[#This Row],[ID_T_manu]]</f>
        <v/>
      </c>
      <c r="AY422" s="140" t="str">
        <f>IF(ISNUMBER(Tab.o1[[#This Row],[a1]]),IF(AND(Tab.o1[[#This Row],[a1]]=1,Tab.o1[[#This Row],[b1]]&lt;=AY$4),#REF!,AY421),"")</f>
        <v/>
      </c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</row>
    <row r="423" spans="1:79" ht="15.75" hidden="1">
      <c r="A423" s="109">
        <v>-9.0000000000000002E-6</v>
      </c>
      <c r="B423" s="110">
        <f t="shared" si="24"/>
        <v>423</v>
      </c>
      <c r="C423" s="111" t="str">
        <f>IF(C$1=[1]!T.in.A[[#This Row],[oo2]],1,"")</f>
        <v/>
      </c>
      <c r="D423" s="112" t="str">
        <f>IF(Tab.o1[[#This Row],[a1]]=1,IF(SUM(C423:C424)=0,0,IF(SUM(C422:C423)=1,1,IF(SUM(C422:C424)&gt;1,D422+1,0))),"")</f>
        <v/>
      </c>
      <c r="E423" s="113" t="str">
        <f>IF(Tab.o1[[#This Row],[a1]]=1,[1]!T.in.A[[#This Row],[oo1]],"")</f>
        <v/>
      </c>
      <c r="F423" s="113" t="str">
        <f>IF(Tab.o1[[#This Row],[a1]]=1,[1]!T.in.A[[#This Row],[pp1]],"")</f>
        <v/>
      </c>
      <c r="G423" s="114" t="str">
        <f>IF(Tab.o1[[#This Row],[a1]]=1,G$2+IF(G$1=1,0,Tab.o1[[#This Row],[.x1]])+[1]!T.in.A[[#This Row],[oo3]],"")</f>
        <v/>
      </c>
      <c r="H423" s="115" t="str">
        <f>IF(Tab.o1[[#This Row],[a1]]=1,IF(H$2=0,0,IF(G$1=1,0,Tab.o1[[#This Row],[.x1]])+[1]!T.in.A[[#This Row],[oo4]]),"")</f>
        <v/>
      </c>
      <c r="I423" s="116" t="str">
        <f>IF(Tab.o1[[#This Row],[a1]]=1,IF(J$2=0,Tab.o1[[#This Row],[MED]],Tab.o1[[#This Row],[MOD]]),"")</f>
        <v/>
      </c>
      <c r="J423" s="116" t="str">
        <f>IF(Tab.o1[[#This Row],[a1]]=1,((Tab.o1[[#This Row],[DIF_Target.]]-AVERAGE(Tab.o1[DIF_Target.]))/_xlfn.STDEV.P(Tab.o1[DIF_Target.])),"")</f>
        <v/>
      </c>
      <c r="K423" s="117" t="str">
        <f>IF(Tab.o1[[#This Row],[a1]]=1,IF(J$2=0,Tab.o1[[#This Row],[MOD]]-Tab.o1[[#This Row],[B]],IF(J$2=1,0,-Tab.o1[[#This Row],[MED]])+Tab.o1[[#This Row],[B]]),"")</f>
        <v/>
      </c>
      <c r="L423" s="117" t="str">
        <f ca="1">IF(Tab.o1[[#This Row],[DIF_Target]]=0,IF(L$2=0,Tab.o1[[#This Row],[DIF_Target]],AVERAGE(OFFSET(Tab.o1[[#This Row],[DIF_Target]],1,0,L$3,1)))/3,Tab.o1[[#This Row],[DIF_Target]])</f>
        <v/>
      </c>
      <c r="M423" s="118" t="str">
        <f>IF(Tab.o1[[#This Row],[a1]]=1,NORMSDIST(Tab.o1[[#This Row],[Za]]),"")</f>
        <v/>
      </c>
      <c r="N423" s="119" t="str">
        <f>IF(Tab.o1[[#This Row],[a1]]=1,((Tab.o1[[#This Row],[MedMod]]-AVERAGE(Tab.o1[MedMod]))/_xlfn.STDEV.P(Tab.o1[MedMod])*H$1205)+G$1205,"")</f>
        <v/>
      </c>
      <c r="O423" s="141" t="str">
        <f>IF(Tab.o1[[#This Row],[a1]]=1,Tab.o1[[#This Row],[Zb]]*_xlfn.STDEV.P(Tab.o1[MedMod])+AVERAGE(Tab.o1[MedMod]),"")</f>
        <v/>
      </c>
      <c r="P423" s="117" t="str">
        <f ca="1">IF(Tab.o1[[#This Row],[B]]=0,AVERAGE(OFFSET(Tab.o1[[#This Row],[B]],1,0,L$3,1)),Tab.o1[[#This Row],[B]])</f>
        <v/>
      </c>
      <c r="Q423" s="121" t="str">
        <f>IF(Tab.o1[[#This Row],[a1]]=1,NORMSDIST(Tab.o1[[#This Row],[Zb]]),"")</f>
        <v/>
      </c>
      <c r="R423" s="122" t="str">
        <f>IF(Tab.o1[[#This Row],[a1]]=1,((Tab.o1[[#This Row],[MedMod]]-AVERAGE(Tab.o1[MedMod]))/_xlfn.STDEV.P(Tab.o1[MedMod])*H$1203)+G$1203,"")</f>
        <v/>
      </c>
      <c r="S423" s="122" t="str">
        <f>IF(Tab.o1[[#This Row],[a1]]=1,((Tab.o1[[#This Row],[MedMod]]-AVERAGE(Tab.o1[MedMod]))/_xlfn.STDEV.P(Tab.o1[MedMod])*H$1204)+G$1204,"")</f>
        <v/>
      </c>
      <c r="T423" s="123" t="str">
        <f>IF(Tab.o1[[#This Row],[a1]]=1,Tab.o1[[#This Row],[Z-]]*_xlfn.STDEV.P(Tab.o1[B])+AVERAGE(Tab.o1[B]),"")</f>
        <v/>
      </c>
      <c r="U423" s="123" t="str">
        <f>IF(Tab.o1[[#This Row],[a1]]=1,Tab.o1[[#This Row],[z+]]*_xlfn.STDEV.P(Tab.o1[B])+AVERAGE(Tab.o1[B]),"")</f>
        <v/>
      </c>
      <c r="V423" s="124" t="str">
        <f>IF(Tab.o1[[#This Row],[a1]]=1,ABS((ABS(Tab.o1[[#This Row],[Red]]-Tab.o1[[#This Row],[Blue]]))),"")</f>
        <v/>
      </c>
      <c r="W423" s="125" t="str">
        <f>IF(Tab.o1[[#This Row],[a1]]=1,IF(W$3=0,1,Tab.o1[[#This Row],[Amp.]]*1/_xlfn.MINIFS(Tab.o1[Amp.],Tab.o1[Amp.],"&lt;&gt;0")),"")</f>
        <v/>
      </c>
      <c r="X423" s="126" t="str">
        <f>IF(Tab.o1[[#This Row],[a1]]=1,IF(ISNUMBER(Tab.o1[[#This Row],[i.]]),NORMDIST(Tab.o1[[#This Row],[Za]],0,1,FALSE)*Tab.o1[[#This Row],[i.]],AP$3),"")</f>
        <v/>
      </c>
      <c r="Y423" s="126" t="str">
        <f>IF(Tab.o1[[#This Row],[a1]]=1,0.01+0.94*Tab.o1[[#This Row],[PDF]]/MAX(Tab.o1[PDF]),"")</f>
        <v/>
      </c>
      <c r="Z423" s="126" t="str">
        <f>IF(Tab.o1[[#This Row],[a1]]=1,0.01+0.94*Tab.o1[[#This Row],[W1_PDF]]/MAX(Tab.o1[W1_PDF]),"")</f>
        <v/>
      </c>
      <c r="AA423" s="118" t="str">
        <f>IF(Tab.o1[[#This Row],[a1]]=1,ABS([1]!T.in.A[[#This Row],[oo6]]),"")</f>
        <v/>
      </c>
      <c r="AB423" s="127" t="str">
        <f>IF(Tab.o1[[#This Row],[a1]]=1,IF(AE$3=0,"",IF(AB$3=0,ABS([1]!T.in.A[[#This Row],[oo9]]),ABS(Tab.o1[[#This Row],[DIF_Target.]]*Tab.o1[[#This Row],[W1_PDF]]))),"")</f>
        <v/>
      </c>
      <c r="AC423" s="127" t="str">
        <f>IF(G$1=1,"",IF(Tab.o1[[#This Row],[a1]]=1,Tab.o1[[#This Row],[Wr]]^2,""))</f>
        <v/>
      </c>
      <c r="AD423" s="118" t="str">
        <f>IF(Tab.o1[[#This Row],[a1]]=1,IF(AE$3=0,"",Tab.o1[[#This Row],[Wr2]]/SUM(Tab.o1[Wr2])),"")</f>
        <v/>
      </c>
      <c r="AE423" s="128" t="str">
        <f>IF(Tab.o1[[#This Row],[a1]]=1,[1]!T.in.A[[#This Row],[oo10]],"")</f>
        <v/>
      </c>
      <c r="AF423" s="118" t="str">
        <f>IF(Tab.o1[[#This Row],[a1]]=1,ABS(Tab.o1[[#This Row],[DIF_Target.]]*Tab.o1[[#This Row],[PDF2]]*Tab.o1[[#This Row],[IN]]),"")</f>
        <v/>
      </c>
      <c r="AG423" s="129" t="str">
        <f>IF(Tab.o1[[#This Row],[a1]]=1,Tab.o1[[#This Row],[rW]]^2,"")</f>
        <v/>
      </c>
      <c r="AH423" s="130" t="str">
        <f>IF(Tab.o1[[#This Row],[a1]]=1,IF(AH$3=0,Tab.o1[[#This Row],[rW2]],0.01+0.94*Tab.o1[[#This Row],[rW2]]/SUM(Tab.o1[rW2])),"")</f>
        <v/>
      </c>
      <c r="AI423" s="128" t="str">
        <f>IF(Tab.o1[[#This Row],[a1]]=1,1/Tab.o1[[#This Row],[PDF]],"")</f>
        <v/>
      </c>
      <c r="AJ423" s="131" t="str">
        <f>IF(Tab.o1[[#This Row],[a1]]=1,[1]!T_AA[[#This Row],[IN'']]*[1]!T_AA[[#This Row],[Qde'']],"")</f>
        <v/>
      </c>
      <c r="AK423" s="132" t="str">
        <f>IF(Tab.o1[[#This Row],[a1]]=1,IF(AK$1=1,Tab.o1[[#This Row],[MED]]+Tab.o1[[#This Row],[MOD]]-Tab.o1[[#This Row],[MED]],""),"")</f>
        <v/>
      </c>
      <c r="AL423" s="133" t="str">
        <f>IF(Tab.o1[[#This Row],[a1]]=1,[1]!T.in.A[[#This Row],[oo16]],"")</f>
        <v/>
      </c>
      <c r="AM423" s="133" t="str">
        <f>IF(Tab.o1[[#This Row],[a1]]=1,IF(AM$3=1,[1]!T.in.A[[#This Row],[Σo16]],""),"")</f>
        <v/>
      </c>
      <c r="AN423" s="126" t="str">
        <f>IF(Tab.o1[[#This Row],[a1]]=1,[1]!T.in.A[[#This Row],[Σp5]],"")</f>
        <v/>
      </c>
      <c r="AO423" s="126" t="str">
        <f>IF(Tab.o1[[#This Row],[a1]]=1,IF(AO$3=1,[1]!T.in.A[[#This Row],[Σp5]],""),"")</f>
        <v/>
      </c>
      <c r="AP423" s="110" t="str">
        <f>IF(Tab.o1[[#This Row],[a1]]=1,IF(ISNUMBER(Tab.o1[[#This Row],[i.]]),NORMDIST(Tab.o1[[#This Row],[Za]],0,1,FALSE)*Tab.o1[[#This Row],[i.]],0),"")</f>
        <v/>
      </c>
      <c r="AQ423" s="125" t="str">
        <f>IF(Tab.o1[[#This Row],[a1]]=1,ABS(Tab.o1[[#This Row],[MOD]]-AVERAGE(Tab.o1[MOD])),"")</f>
        <v/>
      </c>
      <c r="AR423" s="134" t="str">
        <f>IF(Tab.o1[[#This Row],[a1]]=1,Tab.o1[[#This Row],[OBS]]/SUM(Tab.o1[OBS]),"")</f>
        <v/>
      </c>
      <c r="AS423" s="135" t="str">
        <f>IF(ISNUMBER(Tab.o1[[#This Row],[a1]]),ROW()-4,"")</f>
        <v/>
      </c>
      <c r="AT423" s="136" t="str">
        <f>Tab.o1[[#This Row],[MOD]]</f>
        <v/>
      </c>
      <c r="AU423" s="137" t="str">
        <f t="shared" si="25"/>
        <v/>
      </c>
      <c r="AV423" s="138" t="str">
        <f t="shared" si="26"/>
        <v/>
      </c>
      <c r="AW423" s="138" t="str">
        <f t="shared" si="27"/>
        <v/>
      </c>
      <c r="AX423" s="139" t="str">
        <f>[1]!T.in.A[[#This Row],[ID_T_manu]]</f>
        <v/>
      </c>
      <c r="AY423" s="140" t="str">
        <f>IF(ISNUMBER(Tab.o1[[#This Row],[a1]]),IF(AND(Tab.o1[[#This Row],[a1]]=1,Tab.o1[[#This Row],[b1]]&lt;=AY$4),#REF!,AY422),"")</f>
        <v/>
      </c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</row>
    <row r="424" spans="1:79" ht="15.75" hidden="1">
      <c r="A424" s="109">
        <v>6.9999999999999999E-6</v>
      </c>
      <c r="B424" s="110">
        <f t="shared" si="24"/>
        <v>424</v>
      </c>
      <c r="C424" s="111" t="str">
        <f>IF(C$1=[1]!T.in.A[[#This Row],[oo2]],1,"")</f>
        <v/>
      </c>
      <c r="D424" s="112" t="str">
        <f>IF(Tab.o1[[#This Row],[a1]]=1,IF(SUM(C424:C425)=0,0,IF(SUM(C423:C424)=1,1,IF(SUM(C423:C425)&gt;1,D423+1,0))),"")</f>
        <v/>
      </c>
      <c r="E424" s="113" t="str">
        <f>IF(Tab.o1[[#This Row],[a1]]=1,[1]!T.in.A[[#This Row],[oo1]],"")</f>
        <v/>
      </c>
      <c r="F424" s="113" t="str">
        <f>IF(Tab.o1[[#This Row],[a1]]=1,[1]!T.in.A[[#This Row],[pp1]],"")</f>
        <v/>
      </c>
      <c r="G424" s="114" t="str">
        <f>IF(Tab.o1[[#This Row],[a1]]=1,G$2+IF(G$1=1,0,Tab.o1[[#This Row],[.x1]])+[1]!T.in.A[[#This Row],[oo3]],"")</f>
        <v/>
      </c>
      <c r="H424" s="115" t="str">
        <f>IF(Tab.o1[[#This Row],[a1]]=1,IF(H$2=0,0,IF(G$1=1,0,Tab.o1[[#This Row],[.x1]])+[1]!T.in.A[[#This Row],[oo4]]),"")</f>
        <v/>
      </c>
      <c r="I424" s="116" t="str">
        <f>IF(Tab.o1[[#This Row],[a1]]=1,IF(J$2=0,Tab.o1[[#This Row],[MED]],Tab.o1[[#This Row],[MOD]]),"")</f>
        <v/>
      </c>
      <c r="J424" s="116" t="str">
        <f>IF(Tab.o1[[#This Row],[a1]]=1,((Tab.o1[[#This Row],[DIF_Target.]]-AVERAGE(Tab.o1[DIF_Target.]))/_xlfn.STDEV.P(Tab.o1[DIF_Target.])),"")</f>
        <v/>
      </c>
      <c r="K424" s="117" t="str">
        <f>IF(Tab.o1[[#This Row],[a1]]=1,IF(J$2=0,Tab.o1[[#This Row],[MOD]]-Tab.o1[[#This Row],[B]],IF(J$2=1,0,-Tab.o1[[#This Row],[MED]])+Tab.o1[[#This Row],[B]]),"")</f>
        <v/>
      </c>
      <c r="L424" s="117" t="str">
        <f ca="1">IF(Tab.o1[[#This Row],[DIF_Target]]=0,IF(L$2=0,Tab.o1[[#This Row],[DIF_Target]],AVERAGE(OFFSET(Tab.o1[[#This Row],[DIF_Target]],1,0,L$3,1)))/3,Tab.o1[[#This Row],[DIF_Target]])</f>
        <v/>
      </c>
      <c r="M424" s="118" t="str">
        <f>IF(Tab.o1[[#This Row],[a1]]=1,NORMSDIST(Tab.o1[[#This Row],[Za]]),"")</f>
        <v/>
      </c>
      <c r="N424" s="119" t="str">
        <f>IF(Tab.o1[[#This Row],[a1]]=1,((Tab.o1[[#This Row],[MedMod]]-AVERAGE(Tab.o1[MedMod]))/_xlfn.STDEV.P(Tab.o1[MedMod])*H$1205)+G$1205,"")</f>
        <v/>
      </c>
      <c r="O424" s="141" t="str">
        <f>IF(Tab.o1[[#This Row],[a1]]=1,Tab.o1[[#This Row],[Zb]]*_xlfn.STDEV.P(Tab.o1[MedMod])+AVERAGE(Tab.o1[MedMod]),"")</f>
        <v/>
      </c>
      <c r="P424" s="117" t="str">
        <f ca="1">IF(Tab.o1[[#This Row],[B]]=0,AVERAGE(OFFSET(Tab.o1[[#This Row],[B]],1,0,L$3,1)),Tab.o1[[#This Row],[B]])</f>
        <v/>
      </c>
      <c r="Q424" s="121" t="str">
        <f>IF(Tab.o1[[#This Row],[a1]]=1,NORMSDIST(Tab.o1[[#This Row],[Zb]]),"")</f>
        <v/>
      </c>
      <c r="R424" s="122" t="str">
        <f>IF(Tab.o1[[#This Row],[a1]]=1,((Tab.o1[[#This Row],[MedMod]]-AVERAGE(Tab.o1[MedMod]))/_xlfn.STDEV.P(Tab.o1[MedMod])*H$1203)+G$1203,"")</f>
        <v/>
      </c>
      <c r="S424" s="122" t="str">
        <f>IF(Tab.o1[[#This Row],[a1]]=1,((Tab.o1[[#This Row],[MedMod]]-AVERAGE(Tab.o1[MedMod]))/_xlfn.STDEV.P(Tab.o1[MedMod])*H$1204)+G$1204,"")</f>
        <v/>
      </c>
      <c r="T424" s="123" t="str">
        <f>IF(Tab.o1[[#This Row],[a1]]=1,Tab.o1[[#This Row],[Z-]]*_xlfn.STDEV.P(Tab.o1[B])+AVERAGE(Tab.o1[B]),"")</f>
        <v/>
      </c>
      <c r="U424" s="123" t="str">
        <f>IF(Tab.o1[[#This Row],[a1]]=1,Tab.o1[[#This Row],[z+]]*_xlfn.STDEV.P(Tab.o1[B])+AVERAGE(Tab.o1[B]),"")</f>
        <v/>
      </c>
      <c r="V424" s="124" t="str">
        <f>IF(Tab.o1[[#This Row],[a1]]=1,ABS((ABS(Tab.o1[[#This Row],[Red]]-Tab.o1[[#This Row],[Blue]]))),"")</f>
        <v/>
      </c>
      <c r="W424" s="125" t="str">
        <f>IF(Tab.o1[[#This Row],[a1]]=1,IF(W$3=0,1,Tab.o1[[#This Row],[Amp.]]*1/_xlfn.MINIFS(Tab.o1[Amp.],Tab.o1[Amp.],"&lt;&gt;0")),"")</f>
        <v/>
      </c>
      <c r="X424" s="126" t="str">
        <f>IF(Tab.o1[[#This Row],[a1]]=1,IF(ISNUMBER(Tab.o1[[#This Row],[i.]]),NORMDIST(Tab.o1[[#This Row],[Za]],0,1,FALSE)*Tab.o1[[#This Row],[i.]],AP$3),"")</f>
        <v/>
      </c>
      <c r="Y424" s="126" t="str">
        <f>IF(Tab.o1[[#This Row],[a1]]=1,0.01+0.94*Tab.o1[[#This Row],[PDF]]/MAX(Tab.o1[PDF]),"")</f>
        <v/>
      </c>
      <c r="Z424" s="126" t="str">
        <f>IF(Tab.o1[[#This Row],[a1]]=1,0.01+0.94*Tab.o1[[#This Row],[W1_PDF]]/MAX(Tab.o1[W1_PDF]),"")</f>
        <v/>
      </c>
      <c r="AA424" s="118" t="str">
        <f>IF(Tab.o1[[#This Row],[a1]]=1,ABS([1]!T.in.A[[#This Row],[oo6]]),"")</f>
        <v/>
      </c>
      <c r="AB424" s="127" t="str">
        <f>IF(Tab.o1[[#This Row],[a1]]=1,IF(AE$3=0,"",IF(AB$3=0,ABS([1]!T.in.A[[#This Row],[oo9]]),ABS(Tab.o1[[#This Row],[DIF_Target.]]*Tab.o1[[#This Row],[W1_PDF]]))),"")</f>
        <v/>
      </c>
      <c r="AC424" s="127" t="str">
        <f>IF(G$1=1,"",IF(Tab.o1[[#This Row],[a1]]=1,Tab.o1[[#This Row],[Wr]]^2,""))</f>
        <v/>
      </c>
      <c r="AD424" s="118" t="str">
        <f>IF(Tab.o1[[#This Row],[a1]]=1,IF(AE$3=0,"",Tab.o1[[#This Row],[Wr2]]/SUM(Tab.o1[Wr2])),"")</f>
        <v/>
      </c>
      <c r="AE424" s="128" t="str">
        <f>IF(Tab.o1[[#This Row],[a1]]=1,[1]!T.in.A[[#This Row],[oo10]],"")</f>
        <v/>
      </c>
      <c r="AF424" s="118" t="str">
        <f>IF(Tab.o1[[#This Row],[a1]]=1,ABS(Tab.o1[[#This Row],[DIF_Target.]]*Tab.o1[[#This Row],[PDF2]]*Tab.o1[[#This Row],[IN]]),"")</f>
        <v/>
      </c>
      <c r="AG424" s="129" t="str">
        <f>IF(Tab.o1[[#This Row],[a1]]=1,Tab.o1[[#This Row],[rW]]^2,"")</f>
        <v/>
      </c>
      <c r="AH424" s="130" t="str">
        <f>IF(Tab.o1[[#This Row],[a1]]=1,IF(AH$3=0,Tab.o1[[#This Row],[rW2]],0.01+0.94*Tab.o1[[#This Row],[rW2]]/SUM(Tab.o1[rW2])),"")</f>
        <v/>
      </c>
      <c r="AI424" s="128" t="str">
        <f>IF(Tab.o1[[#This Row],[a1]]=1,1/Tab.o1[[#This Row],[PDF]],"")</f>
        <v/>
      </c>
      <c r="AJ424" s="131" t="str">
        <f>IF(Tab.o1[[#This Row],[a1]]=1,[1]!T_AA[[#This Row],[IN'']]*[1]!T_AA[[#This Row],[Qde'']],"")</f>
        <v/>
      </c>
      <c r="AK424" s="132" t="str">
        <f>IF(Tab.o1[[#This Row],[a1]]=1,IF(AK$1=1,Tab.o1[[#This Row],[MED]]+Tab.o1[[#This Row],[MOD]]-Tab.o1[[#This Row],[MED]],""),"")</f>
        <v/>
      </c>
      <c r="AL424" s="133" t="str">
        <f>IF(Tab.o1[[#This Row],[a1]]=1,[1]!T.in.A[[#This Row],[oo16]],"")</f>
        <v/>
      </c>
      <c r="AM424" s="133" t="str">
        <f>IF(Tab.o1[[#This Row],[a1]]=1,IF(AM$3=1,[1]!T.in.A[[#This Row],[Σo16]],""),"")</f>
        <v/>
      </c>
      <c r="AN424" s="126" t="str">
        <f>IF(Tab.o1[[#This Row],[a1]]=1,[1]!T.in.A[[#This Row],[Σp5]],"")</f>
        <v/>
      </c>
      <c r="AO424" s="126" t="str">
        <f>IF(Tab.o1[[#This Row],[a1]]=1,IF(AO$3=1,[1]!T.in.A[[#This Row],[Σp5]],""),"")</f>
        <v/>
      </c>
      <c r="AP424" s="110" t="str">
        <f>IF(Tab.o1[[#This Row],[a1]]=1,IF(ISNUMBER(Tab.o1[[#This Row],[i.]]),NORMDIST(Tab.o1[[#This Row],[Za]],0,1,FALSE)*Tab.o1[[#This Row],[i.]],0),"")</f>
        <v/>
      </c>
      <c r="AQ424" s="125" t="str">
        <f>IF(Tab.o1[[#This Row],[a1]]=1,ABS(Tab.o1[[#This Row],[MOD]]-AVERAGE(Tab.o1[MOD])),"")</f>
        <v/>
      </c>
      <c r="AR424" s="134" t="str">
        <f>IF(Tab.o1[[#This Row],[a1]]=1,Tab.o1[[#This Row],[OBS]]/SUM(Tab.o1[OBS]),"")</f>
        <v/>
      </c>
      <c r="AS424" s="135" t="str">
        <f>IF(ISNUMBER(Tab.o1[[#This Row],[a1]]),ROW()-4,"")</f>
        <v/>
      </c>
      <c r="AT424" s="136" t="str">
        <f>Tab.o1[[#This Row],[MOD]]</f>
        <v/>
      </c>
      <c r="AU424" s="137" t="str">
        <f t="shared" si="25"/>
        <v/>
      </c>
      <c r="AV424" s="138" t="str">
        <f t="shared" si="26"/>
        <v/>
      </c>
      <c r="AW424" s="138" t="str">
        <f t="shared" si="27"/>
        <v/>
      </c>
      <c r="AX424" s="139" t="str">
        <f>[1]!T.in.A[[#This Row],[ID_T_manu]]</f>
        <v/>
      </c>
      <c r="AY424" s="140" t="str">
        <f>IF(ISNUMBER(Tab.o1[[#This Row],[a1]]),IF(AND(Tab.o1[[#This Row],[a1]]=1,Tab.o1[[#This Row],[b1]]&lt;=AY$4),#REF!,AY423),"")</f>
        <v/>
      </c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</row>
    <row r="425" spans="1:79" ht="15.75" hidden="1">
      <c r="A425" s="109">
        <v>-5.0000000000000004E-6</v>
      </c>
      <c r="B425" s="110">
        <f t="shared" si="24"/>
        <v>425</v>
      </c>
      <c r="C425" s="111" t="str">
        <f>IF(C$1=[1]!T.in.A[[#This Row],[oo2]],1,"")</f>
        <v/>
      </c>
      <c r="D425" s="112" t="str">
        <f>IF(Tab.o1[[#This Row],[a1]]=1,IF(SUM(C425:C426)=0,0,IF(SUM(C424:C425)=1,1,IF(SUM(C424:C426)&gt;1,D424+1,0))),"")</f>
        <v/>
      </c>
      <c r="E425" s="113" t="str">
        <f>IF(Tab.o1[[#This Row],[a1]]=1,[1]!T.in.A[[#This Row],[oo1]],"")</f>
        <v/>
      </c>
      <c r="F425" s="113" t="str">
        <f>IF(Tab.o1[[#This Row],[a1]]=1,[1]!T.in.A[[#This Row],[pp1]],"")</f>
        <v/>
      </c>
      <c r="G425" s="114" t="str">
        <f>IF(Tab.o1[[#This Row],[a1]]=1,G$2+IF(G$1=1,0,Tab.o1[[#This Row],[.x1]])+[1]!T.in.A[[#This Row],[oo3]],"")</f>
        <v/>
      </c>
      <c r="H425" s="115" t="str">
        <f>IF(Tab.o1[[#This Row],[a1]]=1,IF(H$2=0,0,IF(G$1=1,0,Tab.o1[[#This Row],[.x1]])+[1]!T.in.A[[#This Row],[oo4]]),"")</f>
        <v/>
      </c>
      <c r="I425" s="116" t="str">
        <f>IF(Tab.o1[[#This Row],[a1]]=1,IF(J$2=0,Tab.o1[[#This Row],[MED]],Tab.o1[[#This Row],[MOD]]),"")</f>
        <v/>
      </c>
      <c r="J425" s="116" t="str">
        <f>IF(Tab.o1[[#This Row],[a1]]=1,((Tab.o1[[#This Row],[DIF_Target.]]-AVERAGE(Tab.o1[DIF_Target.]))/_xlfn.STDEV.P(Tab.o1[DIF_Target.])),"")</f>
        <v/>
      </c>
      <c r="K425" s="117" t="str">
        <f>IF(Tab.o1[[#This Row],[a1]]=1,IF(J$2=0,Tab.o1[[#This Row],[MOD]]-Tab.o1[[#This Row],[B]],IF(J$2=1,0,-Tab.o1[[#This Row],[MED]])+Tab.o1[[#This Row],[B]]),"")</f>
        <v/>
      </c>
      <c r="L425" s="117" t="str">
        <f ca="1">IF(Tab.o1[[#This Row],[DIF_Target]]=0,IF(L$2=0,Tab.o1[[#This Row],[DIF_Target]],AVERAGE(OFFSET(Tab.o1[[#This Row],[DIF_Target]],1,0,L$3,1)))/3,Tab.o1[[#This Row],[DIF_Target]])</f>
        <v/>
      </c>
      <c r="M425" s="118" t="str">
        <f>IF(Tab.o1[[#This Row],[a1]]=1,NORMSDIST(Tab.o1[[#This Row],[Za]]),"")</f>
        <v/>
      </c>
      <c r="N425" s="119" t="str">
        <f>IF(Tab.o1[[#This Row],[a1]]=1,((Tab.o1[[#This Row],[MedMod]]-AVERAGE(Tab.o1[MedMod]))/_xlfn.STDEV.P(Tab.o1[MedMod])*H$1205)+G$1205,"")</f>
        <v/>
      </c>
      <c r="O425" s="141" t="str">
        <f>IF(Tab.o1[[#This Row],[a1]]=1,Tab.o1[[#This Row],[Zb]]*_xlfn.STDEV.P(Tab.o1[MedMod])+AVERAGE(Tab.o1[MedMod]),"")</f>
        <v/>
      </c>
      <c r="P425" s="117" t="str">
        <f ca="1">IF(Tab.o1[[#This Row],[B]]=0,AVERAGE(OFFSET(Tab.o1[[#This Row],[B]],1,0,L$3,1)),Tab.o1[[#This Row],[B]])</f>
        <v/>
      </c>
      <c r="Q425" s="121" t="str">
        <f>IF(Tab.o1[[#This Row],[a1]]=1,NORMSDIST(Tab.o1[[#This Row],[Zb]]),"")</f>
        <v/>
      </c>
      <c r="R425" s="122" t="str">
        <f>IF(Tab.o1[[#This Row],[a1]]=1,((Tab.o1[[#This Row],[MedMod]]-AVERAGE(Tab.o1[MedMod]))/_xlfn.STDEV.P(Tab.o1[MedMod])*H$1203)+G$1203,"")</f>
        <v/>
      </c>
      <c r="S425" s="122" t="str">
        <f>IF(Tab.o1[[#This Row],[a1]]=1,((Tab.o1[[#This Row],[MedMod]]-AVERAGE(Tab.o1[MedMod]))/_xlfn.STDEV.P(Tab.o1[MedMod])*H$1204)+G$1204,"")</f>
        <v/>
      </c>
      <c r="T425" s="123" t="str">
        <f>IF(Tab.o1[[#This Row],[a1]]=1,Tab.o1[[#This Row],[Z-]]*_xlfn.STDEV.P(Tab.o1[B])+AVERAGE(Tab.o1[B]),"")</f>
        <v/>
      </c>
      <c r="U425" s="123" t="str">
        <f>IF(Tab.o1[[#This Row],[a1]]=1,Tab.o1[[#This Row],[z+]]*_xlfn.STDEV.P(Tab.o1[B])+AVERAGE(Tab.o1[B]),"")</f>
        <v/>
      </c>
      <c r="V425" s="124" t="str">
        <f>IF(Tab.o1[[#This Row],[a1]]=1,ABS((ABS(Tab.o1[[#This Row],[Red]]-Tab.o1[[#This Row],[Blue]]))),"")</f>
        <v/>
      </c>
      <c r="W425" s="125" t="str">
        <f>IF(Tab.o1[[#This Row],[a1]]=1,IF(W$3=0,1,Tab.o1[[#This Row],[Amp.]]*1/_xlfn.MINIFS(Tab.o1[Amp.],Tab.o1[Amp.],"&lt;&gt;0")),"")</f>
        <v/>
      </c>
      <c r="X425" s="126" t="str">
        <f>IF(Tab.o1[[#This Row],[a1]]=1,IF(ISNUMBER(Tab.o1[[#This Row],[i.]]),NORMDIST(Tab.o1[[#This Row],[Za]],0,1,FALSE)*Tab.o1[[#This Row],[i.]],AP$3),"")</f>
        <v/>
      </c>
      <c r="Y425" s="126" t="str">
        <f>IF(Tab.o1[[#This Row],[a1]]=1,0.01+0.94*Tab.o1[[#This Row],[PDF]]/MAX(Tab.o1[PDF]),"")</f>
        <v/>
      </c>
      <c r="Z425" s="126" t="str">
        <f>IF(Tab.o1[[#This Row],[a1]]=1,0.01+0.94*Tab.o1[[#This Row],[W1_PDF]]/MAX(Tab.o1[W1_PDF]),"")</f>
        <v/>
      </c>
      <c r="AA425" s="118" t="str">
        <f>IF(Tab.o1[[#This Row],[a1]]=1,ABS([1]!T.in.A[[#This Row],[oo6]]),"")</f>
        <v/>
      </c>
      <c r="AB425" s="127" t="str">
        <f>IF(Tab.o1[[#This Row],[a1]]=1,IF(AE$3=0,"",IF(AB$3=0,ABS([1]!T.in.A[[#This Row],[oo9]]),ABS(Tab.o1[[#This Row],[DIF_Target.]]*Tab.o1[[#This Row],[W1_PDF]]))),"")</f>
        <v/>
      </c>
      <c r="AC425" s="127" t="str">
        <f>IF(G$1=1,"",IF(Tab.o1[[#This Row],[a1]]=1,Tab.o1[[#This Row],[Wr]]^2,""))</f>
        <v/>
      </c>
      <c r="AD425" s="118" t="str">
        <f>IF(Tab.o1[[#This Row],[a1]]=1,IF(AE$3=0,"",Tab.o1[[#This Row],[Wr2]]/SUM(Tab.o1[Wr2])),"")</f>
        <v/>
      </c>
      <c r="AE425" s="128" t="str">
        <f>IF(Tab.o1[[#This Row],[a1]]=1,[1]!T.in.A[[#This Row],[oo10]],"")</f>
        <v/>
      </c>
      <c r="AF425" s="118" t="str">
        <f>IF(Tab.o1[[#This Row],[a1]]=1,ABS(Tab.o1[[#This Row],[DIF_Target.]]*Tab.o1[[#This Row],[PDF2]]*Tab.o1[[#This Row],[IN]]),"")</f>
        <v/>
      </c>
      <c r="AG425" s="129" t="str">
        <f>IF(Tab.o1[[#This Row],[a1]]=1,Tab.o1[[#This Row],[rW]]^2,"")</f>
        <v/>
      </c>
      <c r="AH425" s="130" t="str">
        <f>IF(Tab.o1[[#This Row],[a1]]=1,IF(AH$3=0,Tab.o1[[#This Row],[rW2]],0.01+0.94*Tab.o1[[#This Row],[rW2]]/SUM(Tab.o1[rW2])),"")</f>
        <v/>
      </c>
      <c r="AI425" s="128" t="str">
        <f>IF(Tab.o1[[#This Row],[a1]]=1,1/Tab.o1[[#This Row],[PDF]],"")</f>
        <v/>
      </c>
      <c r="AJ425" s="131" t="str">
        <f>IF(Tab.o1[[#This Row],[a1]]=1,[1]!T_AA[[#This Row],[IN'']]*[1]!T_AA[[#This Row],[Qde'']],"")</f>
        <v/>
      </c>
      <c r="AK425" s="132" t="str">
        <f>IF(Tab.o1[[#This Row],[a1]]=1,IF(AK$1=1,Tab.o1[[#This Row],[MED]]+Tab.o1[[#This Row],[MOD]]-Tab.o1[[#This Row],[MED]],""),"")</f>
        <v/>
      </c>
      <c r="AL425" s="133" t="str">
        <f>IF(Tab.o1[[#This Row],[a1]]=1,[1]!T.in.A[[#This Row],[oo16]],"")</f>
        <v/>
      </c>
      <c r="AM425" s="133" t="str">
        <f>IF(Tab.o1[[#This Row],[a1]]=1,IF(AM$3=1,[1]!T.in.A[[#This Row],[Σo16]],""),"")</f>
        <v/>
      </c>
      <c r="AN425" s="126" t="str">
        <f>IF(Tab.o1[[#This Row],[a1]]=1,[1]!T.in.A[[#This Row],[Σp5]],"")</f>
        <v/>
      </c>
      <c r="AO425" s="126" t="str">
        <f>IF(Tab.o1[[#This Row],[a1]]=1,IF(AO$3=1,[1]!T.in.A[[#This Row],[Σp5]],""),"")</f>
        <v/>
      </c>
      <c r="AP425" s="110" t="str">
        <f>IF(Tab.o1[[#This Row],[a1]]=1,IF(ISNUMBER(Tab.o1[[#This Row],[i.]]),NORMDIST(Tab.o1[[#This Row],[Za]],0,1,FALSE)*Tab.o1[[#This Row],[i.]],0),"")</f>
        <v/>
      </c>
      <c r="AQ425" s="125" t="str">
        <f>IF(Tab.o1[[#This Row],[a1]]=1,ABS(Tab.o1[[#This Row],[MOD]]-AVERAGE(Tab.o1[MOD])),"")</f>
        <v/>
      </c>
      <c r="AR425" s="134" t="str">
        <f>IF(Tab.o1[[#This Row],[a1]]=1,Tab.o1[[#This Row],[OBS]]/SUM(Tab.o1[OBS]),"")</f>
        <v/>
      </c>
      <c r="AS425" s="135" t="str">
        <f>IF(ISNUMBER(Tab.o1[[#This Row],[a1]]),ROW()-4,"")</f>
        <v/>
      </c>
      <c r="AT425" s="136" t="str">
        <f>Tab.o1[[#This Row],[MOD]]</f>
        <v/>
      </c>
      <c r="AU425" s="137" t="str">
        <f t="shared" si="25"/>
        <v/>
      </c>
      <c r="AV425" s="138" t="str">
        <f t="shared" si="26"/>
        <v/>
      </c>
      <c r="AW425" s="138" t="str">
        <f t="shared" si="27"/>
        <v/>
      </c>
      <c r="AX425" s="139" t="str">
        <f>[1]!T.in.A[[#This Row],[ID_T_manu]]</f>
        <v/>
      </c>
      <c r="AY425" s="140" t="str">
        <f>IF(ISNUMBER(Tab.o1[[#This Row],[a1]]),IF(AND(Tab.o1[[#This Row],[a1]]=1,Tab.o1[[#This Row],[b1]]&lt;=AY$4),#REF!,AY424),"")</f>
        <v/>
      </c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</row>
    <row r="426" spans="1:79" ht="15.75" hidden="1">
      <c r="A426" s="109">
        <v>4.0000000000000007E-6</v>
      </c>
      <c r="B426" s="110">
        <f t="shared" si="24"/>
        <v>426</v>
      </c>
      <c r="C426" s="111" t="str">
        <f>IF(C$1=[1]!T.in.A[[#This Row],[oo2]],1,"")</f>
        <v/>
      </c>
      <c r="D426" s="112" t="str">
        <f>IF(Tab.o1[[#This Row],[a1]]=1,IF(SUM(C426:C427)=0,0,IF(SUM(C425:C426)=1,1,IF(SUM(C425:C427)&gt;1,D425+1,0))),"")</f>
        <v/>
      </c>
      <c r="E426" s="113" t="str">
        <f>IF(Tab.o1[[#This Row],[a1]]=1,[1]!T.in.A[[#This Row],[oo1]],"")</f>
        <v/>
      </c>
      <c r="F426" s="113" t="str">
        <f>IF(Tab.o1[[#This Row],[a1]]=1,[1]!T.in.A[[#This Row],[pp1]],"")</f>
        <v/>
      </c>
      <c r="G426" s="114" t="str">
        <f>IF(Tab.o1[[#This Row],[a1]]=1,G$2+IF(G$1=1,0,Tab.o1[[#This Row],[.x1]])+[1]!T.in.A[[#This Row],[oo3]],"")</f>
        <v/>
      </c>
      <c r="H426" s="115" t="str">
        <f>IF(Tab.o1[[#This Row],[a1]]=1,IF(H$2=0,0,IF(G$1=1,0,Tab.o1[[#This Row],[.x1]])+[1]!T.in.A[[#This Row],[oo4]]),"")</f>
        <v/>
      </c>
      <c r="I426" s="116" t="str">
        <f>IF(Tab.o1[[#This Row],[a1]]=1,IF(J$2=0,Tab.o1[[#This Row],[MED]],Tab.o1[[#This Row],[MOD]]),"")</f>
        <v/>
      </c>
      <c r="J426" s="116" t="str">
        <f>IF(Tab.o1[[#This Row],[a1]]=1,((Tab.o1[[#This Row],[DIF_Target.]]-AVERAGE(Tab.o1[DIF_Target.]))/_xlfn.STDEV.P(Tab.o1[DIF_Target.])),"")</f>
        <v/>
      </c>
      <c r="K426" s="117" t="str">
        <f>IF(Tab.o1[[#This Row],[a1]]=1,IF(J$2=0,Tab.o1[[#This Row],[MOD]]-Tab.o1[[#This Row],[B]],IF(J$2=1,0,-Tab.o1[[#This Row],[MED]])+Tab.o1[[#This Row],[B]]),"")</f>
        <v/>
      </c>
      <c r="L426" s="117" t="str">
        <f ca="1">IF(Tab.o1[[#This Row],[DIF_Target]]=0,IF(L$2=0,Tab.o1[[#This Row],[DIF_Target]],AVERAGE(OFFSET(Tab.o1[[#This Row],[DIF_Target]],1,0,L$3,1)))/3,Tab.o1[[#This Row],[DIF_Target]])</f>
        <v/>
      </c>
      <c r="M426" s="118" t="str">
        <f>IF(Tab.o1[[#This Row],[a1]]=1,NORMSDIST(Tab.o1[[#This Row],[Za]]),"")</f>
        <v/>
      </c>
      <c r="N426" s="119" t="str">
        <f>IF(Tab.o1[[#This Row],[a1]]=1,((Tab.o1[[#This Row],[MedMod]]-AVERAGE(Tab.o1[MedMod]))/_xlfn.STDEV.P(Tab.o1[MedMod])*H$1205)+G$1205,"")</f>
        <v/>
      </c>
      <c r="O426" s="141" t="str">
        <f>IF(Tab.o1[[#This Row],[a1]]=1,Tab.o1[[#This Row],[Zb]]*_xlfn.STDEV.P(Tab.o1[MedMod])+AVERAGE(Tab.o1[MedMod]),"")</f>
        <v/>
      </c>
      <c r="P426" s="117" t="str">
        <f ca="1">IF(Tab.o1[[#This Row],[B]]=0,AVERAGE(OFFSET(Tab.o1[[#This Row],[B]],1,0,L$3,1)),Tab.o1[[#This Row],[B]])</f>
        <v/>
      </c>
      <c r="Q426" s="121" t="str">
        <f>IF(Tab.o1[[#This Row],[a1]]=1,NORMSDIST(Tab.o1[[#This Row],[Zb]]),"")</f>
        <v/>
      </c>
      <c r="R426" s="122" t="str">
        <f>IF(Tab.o1[[#This Row],[a1]]=1,((Tab.o1[[#This Row],[MedMod]]-AVERAGE(Tab.o1[MedMod]))/_xlfn.STDEV.P(Tab.o1[MedMod])*H$1203)+G$1203,"")</f>
        <v/>
      </c>
      <c r="S426" s="122" t="str">
        <f>IF(Tab.o1[[#This Row],[a1]]=1,((Tab.o1[[#This Row],[MedMod]]-AVERAGE(Tab.o1[MedMod]))/_xlfn.STDEV.P(Tab.o1[MedMod])*H$1204)+G$1204,"")</f>
        <v/>
      </c>
      <c r="T426" s="123" t="str">
        <f>IF(Tab.o1[[#This Row],[a1]]=1,Tab.o1[[#This Row],[Z-]]*_xlfn.STDEV.P(Tab.o1[B])+AVERAGE(Tab.o1[B]),"")</f>
        <v/>
      </c>
      <c r="U426" s="123" t="str">
        <f>IF(Tab.o1[[#This Row],[a1]]=1,Tab.o1[[#This Row],[z+]]*_xlfn.STDEV.P(Tab.o1[B])+AVERAGE(Tab.o1[B]),"")</f>
        <v/>
      </c>
      <c r="V426" s="124" t="str">
        <f>IF(Tab.o1[[#This Row],[a1]]=1,ABS((ABS(Tab.o1[[#This Row],[Red]]-Tab.o1[[#This Row],[Blue]]))),"")</f>
        <v/>
      </c>
      <c r="W426" s="125" t="str">
        <f>IF(Tab.o1[[#This Row],[a1]]=1,IF(W$3=0,1,Tab.o1[[#This Row],[Amp.]]*1/_xlfn.MINIFS(Tab.o1[Amp.],Tab.o1[Amp.],"&lt;&gt;0")),"")</f>
        <v/>
      </c>
      <c r="X426" s="126" t="str">
        <f>IF(Tab.o1[[#This Row],[a1]]=1,IF(ISNUMBER(Tab.o1[[#This Row],[i.]]),NORMDIST(Tab.o1[[#This Row],[Za]],0,1,FALSE)*Tab.o1[[#This Row],[i.]],AP$3),"")</f>
        <v/>
      </c>
      <c r="Y426" s="126" t="str">
        <f>IF(Tab.o1[[#This Row],[a1]]=1,0.01+0.94*Tab.o1[[#This Row],[PDF]]/MAX(Tab.o1[PDF]),"")</f>
        <v/>
      </c>
      <c r="Z426" s="126" t="str">
        <f>IF(Tab.o1[[#This Row],[a1]]=1,0.01+0.94*Tab.o1[[#This Row],[W1_PDF]]/MAX(Tab.o1[W1_PDF]),"")</f>
        <v/>
      </c>
      <c r="AA426" s="118" t="str">
        <f>IF(Tab.o1[[#This Row],[a1]]=1,ABS([1]!T.in.A[[#This Row],[oo6]]),"")</f>
        <v/>
      </c>
      <c r="AB426" s="127" t="str">
        <f>IF(Tab.o1[[#This Row],[a1]]=1,IF(AE$3=0,"",IF(AB$3=0,ABS([1]!T.in.A[[#This Row],[oo9]]),ABS(Tab.o1[[#This Row],[DIF_Target.]]*Tab.o1[[#This Row],[W1_PDF]]))),"")</f>
        <v/>
      </c>
      <c r="AC426" s="127" t="str">
        <f>IF(G$1=1,"",IF(Tab.o1[[#This Row],[a1]]=1,Tab.o1[[#This Row],[Wr]]^2,""))</f>
        <v/>
      </c>
      <c r="AD426" s="118" t="str">
        <f>IF(Tab.o1[[#This Row],[a1]]=1,IF(AE$3=0,"",Tab.o1[[#This Row],[Wr2]]/SUM(Tab.o1[Wr2])),"")</f>
        <v/>
      </c>
      <c r="AE426" s="128" t="str">
        <f>IF(Tab.o1[[#This Row],[a1]]=1,[1]!T.in.A[[#This Row],[oo10]],"")</f>
        <v/>
      </c>
      <c r="AF426" s="118" t="str">
        <f>IF(Tab.o1[[#This Row],[a1]]=1,ABS(Tab.o1[[#This Row],[DIF_Target.]]*Tab.o1[[#This Row],[PDF2]]*Tab.o1[[#This Row],[IN]]),"")</f>
        <v/>
      </c>
      <c r="AG426" s="129" t="str">
        <f>IF(Tab.o1[[#This Row],[a1]]=1,Tab.o1[[#This Row],[rW]]^2,"")</f>
        <v/>
      </c>
      <c r="AH426" s="130" t="str">
        <f>IF(Tab.o1[[#This Row],[a1]]=1,IF(AH$3=0,Tab.o1[[#This Row],[rW2]],0.01+0.94*Tab.o1[[#This Row],[rW2]]/SUM(Tab.o1[rW2])),"")</f>
        <v/>
      </c>
      <c r="AI426" s="128" t="str">
        <f>IF(Tab.o1[[#This Row],[a1]]=1,1/Tab.o1[[#This Row],[PDF]],"")</f>
        <v/>
      </c>
      <c r="AJ426" s="131" t="str">
        <f>IF(Tab.o1[[#This Row],[a1]]=1,[1]!T_AA[[#This Row],[IN'']]*[1]!T_AA[[#This Row],[Qde'']],"")</f>
        <v/>
      </c>
      <c r="AK426" s="132" t="str">
        <f>IF(Tab.o1[[#This Row],[a1]]=1,IF(AK$1=1,Tab.o1[[#This Row],[MED]]+Tab.o1[[#This Row],[MOD]]-Tab.o1[[#This Row],[MED]],""),"")</f>
        <v/>
      </c>
      <c r="AL426" s="133" t="str">
        <f>IF(Tab.o1[[#This Row],[a1]]=1,[1]!T.in.A[[#This Row],[oo16]],"")</f>
        <v/>
      </c>
      <c r="AM426" s="133" t="str">
        <f>IF(Tab.o1[[#This Row],[a1]]=1,IF(AM$3=1,[1]!T.in.A[[#This Row],[Σo16]],""),"")</f>
        <v/>
      </c>
      <c r="AN426" s="126" t="str">
        <f>IF(Tab.o1[[#This Row],[a1]]=1,[1]!T.in.A[[#This Row],[Σp5]],"")</f>
        <v/>
      </c>
      <c r="AO426" s="126" t="str">
        <f>IF(Tab.o1[[#This Row],[a1]]=1,IF(AO$3=1,[1]!T.in.A[[#This Row],[Σp5]],""),"")</f>
        <v/>
      </c>
      <c r="AP426" s="110" t="str">
        <f>IF(Tab.o1[[#This Row],[a1]]=1,IF(ISNUMBER(Tab.o1[[#This Row],[i.]]),NORMDIST(Tab.o1[[#This Row],[Za]],0,1,FALSE)*Tab.o1[[#This Row],[i.]],0),"")</f>
        <v/>
      </c>
      <c r="AQ426" s="125" t="str">
        <f>IF(Tab.o1[[#This Row],[a1]]=1,ABS(Tab.o1[[#This Row],[MOD]]-AVERAGE(Tab.o1[MOD])),"")</f>
        <v/>
      </c>
      <c r="AR426" s="134" t="str">
        <f>IF(Tab.o1[[#This Row],[a1]]=1,Tab.o1[[#This Row],[OBS]]/SUM(Tab.o1[OBS]),"")</f>
        <v/>
      </c>
      <c r="AS426" s="135" t="str">
        <f>IF(ISNUMBER(Tab.o1[[#This Row],[a1]]),ROW()-4,"")</f>
        <v/>
      </c>
      <c r="AT426" s="136" t="str">
        <f>Tab.o1[[#This Row],[MOD]]</f>
        <v/>
      </c>
      <c r="AU426" s="137" t="str">
        <f t="shared" si="25"/>
        <v/>
      </c>
      <c r="AV426" s="138" t="str">
        <f t="shared" si="26"/>
        <v/>
      </c>
      <c r="AW426" s="138" t="str">
        <f t="shared" si="27"/>
        <v/>
      </c>
      <c r="AX426" s="139" t="str">
        <f>[1]!T.in.A[[#This Row],[ID_T_manu]]</f>
        <v/>
      </c>
      <c r="AY426" s="140" t="str">
        <f>IF(ISNUMBER(Tab.o1[[#This Row],[a1]]),IF(AND(Tab.o1[[#This Row],[a1]]=1,Tab.o1[[#This Row],[b1]]&lt;=AY$4),#REF!,AY425),"")</f>
        <v/>
      </c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</row>
    <row r="427" spans="1:79" ht="15.75" hidden="1">
      <c r="A427" s="109">
        <v>-8.0000000000000013E-6</v>
      </c>
      <c r="B427" s="110">
        <f t="shared" si="24"/>
        <v>427</v>
      </c>
      <c r="C427" s="111" t="str">
        <f>IF(C$1=[1]!T.in.A[[#This Row],[oo2]],1,"")</f>
        <v/>
      </c>
      <c r="D427" s="112" t="str">
        <f>IF(Tab.o1[[#This Row],[a1]]=1,IF(SUM(C427:C428)=0,0,IF(SUM(C426:C427)=1,1,IF(SUM(C426:C428)&gt;1,D426+1,0))),"")</f>
        <v/>
      </c>
      <c r="E427" s="113" t="str">
        <f>IF(Tab.o1[[#This Row],[a1]]=1,[1]!T.in.A[[#This Row],[oo1]],"")</f>
        <v/>
      </c>
      <c r="F427" s="113" t="str">
        <f>IF(Tab.o1[[#This Row],[a1]]=1,[1]!T.in.A[[#This Row],[pp1]],"")</f>
        <v/>
      </c>
      <c r="G427" s="114" t="str">
        <f>IF(Tab.o1[[#This Row],[a1]]=1,G$2+IF(G$1=1,0,Tab.o1[[#This Row],[.x1]])+[1]!T.in.A[[#This Row],[oo3]],"")</f>
        <v/>
      </c>
      <c r="H427" s="115" t="str">
        <f>IF(Tab.o1[[#This Row],[a1]]=1,IF(H$2=0,0,IF(G$1=1,0,Tab.o1[[#This Row],[.x1]])+[1]!T.in.A[[#This Row],[oo4]]),"")</f>
        <v/>
      </c>
      <c r="I427" s="116" t="str">
        <f>IF(Tab.o1[[#This Row],[a1]]=1,IF(J$2=0,Tab.o1[[#This Row],[MED]],Tab.o1[[#This Row],[MOD]]),"")</f>
        <v/>
      </c>
      <c r="J427" s="116" t="str">
        <f>IF(Tab.o1[[#This Row],[a1]]=1,((Tab.o1[[#This Row],[DIF_Target.]]-AVERAGE(Tab.o1[DIF_Target.]))/_xlfn.STDEV.P(Tab.o1[DIF_Target.])),"")</f>
        <v/>
      </c>
      <c r="K427" s="117" t="str">
        <f>IF(Tab.o1[[#This Row],[a1]]=1,IF(J$2=0,Tab.o1[[#This Row],[MOD]]-Tab.o1[[#This Row],[B]],IF(J$2=1,0,-Tab.o1[[#This Row],[MED]])+Tab.o1[[#This Row],[B]]),"")</f>
        <v/>
      </c>
      <c r="L427" s="117" t="str">
        <f ca="1">IF(Tab.o1[[#This Row],[DIF_Target]]=0,IF(L$2=0,Tab.o1[[#This Row],[DIF_Target]],AVERAGE(OFFSET(Tab.o1[[#This Row],[DIF_Target]],1,0,L$3,1)))/3,Tab.o1[[#This Row],[DIF_Target]])</f>
        <v/>
      </c>
      <c r="M427" s="118" t="str">
        <f>IF(Tab.o1[[#This Row],[a1]]=1,NORMSDIST(Tab.o1[[#This Row],[Za]]),"")</f>
        <v/>
      </c>
      <c r="N427" s="119" t="str">
        <f>IF(Tab.o1[[#This Row],[a1]]=1,((Tab.o1[[#This Row],[MedMod]]-AVERAGE(Tab.o1[MedMod]))/_xlfn.STDEV.P(Tab.o1[MedMod])*H$1205)+G$1205,"")</f>
        <v/>
      </c>
      <c r="O427" s="141" t="str">
        <f>IF(Tab.o1[[#This Row],[a1]]=1,Tab.o1[[#This Row],[Zb]]*_xlfn.STDEV.P(Tab.o1[MedMod])+AVERAGE(Tab.o1[MedMod]),"")</f>
        <v/>
      </c>
      <c r="P427" s="117" t="str">
        <f ca="1">IF(Tab.o1[[#This Row],[B]]=0,AVERAGE(OFFSET(Tab.o1[[#This Row],[B]],1,0,L$3,1)),Tab.o1[[#This Row],[B]])</f>
        <v/>
      </c>
      <c r="Q427" s="121" t="str">
        <f>IF(Tab.o1[[#This Row],[a1]]=1,NORMSDIST(Tab.o1[[#This Row],[Zb]]),"")</f>
        <v/>
      </c>
      <c r="R427" s="122" t="str">
        <f>IF(Tab.o1[[#This Row],[a1]]=1,((Tab.o1[[#This Row],[MedMod]]-AVERAGE(Tab.o1[MedMod]))/_xlfn.STDEV.P(Tab.o1[MedMod])*H$1203)+G$1203,"")</f>
        <v/>
      </c>
      <c r="S427" s="122" t="str">
        <f>IF(Tab.o1[[#This Row],[a1]]=1,((Tab.o1[[#This Row],[MedMod]]-AVERAGE(Tab.o1[MedMod]))/_xlfn.STDEV.P(Tab.o1[MedMod])*H$1204)+G$1204,"")</f>
        <v/>
      </c>
      <c r="T427" s="123" t="str">
        <f>IF(Tab.o1[[#This Row],[a1]]=1,Tab.o1[[#This Row],[Z-]]*_xlfn.STDEV.P(Tab.o1[B])+AVERAGE(Tab.o1[B]),"")</f>
        <v/>
      </c>
      <c r="U427" s="123" t="str">
        <f>IF(Tab.o1[[#This Row],[a1]]=1,Tab.o1[[#This Row],[z+]]*_xlfn.STDEV.P(Tab.o1[B])+AVERAGE(Tab.o1[B]),"")</f>
        <v/>
      </c>
      <c r="V427" s="124" t="str">
        <f>IF(Tab.o1[[#This Row],[a1]]=1,ABS((ABS(Tab.o1[[#This Row],[Red]]-Tab.o1[[#This Row],[Blue]]))),"")</f>
        <v/>
      </c>
      <c r="W427" s="125" t="str">
        <f>IF(Tab.o1[[#This Row],[a1]]=1,IF(W$3=0,1,Tab.o1[[#This Row],[Amp.]]*1/_xlfn.MINIFS(Tab.o1[Amp.],Tab.o1[Amp.],"&lt;&gt;0")),"")</f>
        <v/>
      </c>
      <c r="X427" s="126" t="str">
        <f>IF(Tab.o1[[#This Row],[a1]]=1,IF(ISNUMBER(Tab.o1[[#This Row],[i.]]),NORMDIST(Tab.o1[[#This Row],[Za]],0,1,FALSE)*Tab.o1[[#This Row],[i.]],AP$3),"")</f>
        <v/>
      </c>
      <c r="Y427" s="126" t="str">
        <f>IF(Tab.o1[[#This Row],[a1]]=1,0.01+0.94*Tab.o1[[#This Row],[PDF]]/MAX(Tab.o1[PDF]),"")</f>
        <v/>
      </c>
      <c r="Z427" s="126" t="str">
        <f>IF(Tab.o1[[#This Row],[a1]]=1,0.01+0.94*Tab.o1[[#This Row],[W1_PDF]]/MAX(Tab.o1[W1_PDF]),"")</f>
        <v/>
      </c>
      <c r="AA427" s="118" t="str">
        <f>IF(Tab.o1[[#This Row],[a1]]=1,ABS([1]!T.in.A[[#This Row],[oo6]]),"")</f>
        <v/>
      </c>
      <c r="AB427" s="127" t="str">
        <f>IF(Tab.o1[[#This Row],[a1]]=1,IF(AE$3=0,"",IF(AB$3=0,ABS([1]!T.in.A[[#This Row],[oo9]]),ABS(Tab.o1[[#This Row],[DIF_Target.]]*Tab.o1[[#This Row],[W1_PDF]]))),"")</f>
        <v/>
      </c>
      <c r="AC427" s="127" t="str">
        <f>IF(G$1=1,"",IF(Tab.o1[[#This Row],[a1]]=1,Tab.o1[[#This Row],[Wr]]^2,""))</f>
        <v/>
      </c>
      <c r="AD427" s="118" t="str">
        <f>IF(Tab.o1[[#This Row],[a1]]=1,IF(AE$3=0,"",Tab.o1[[#This Row],[Wr2]]/SUM(Tab.o1[Wr2])),"")</f>
        <v/>
      </c>
      <c r="AE427" s="128" t="str">
        <f>IF(Tab.o1[[#This Row],[a1]]=1,[1]!T.in.A[[#This Row],[oo10]],"")</f>
        <v/>
      </c>
      <c r="AF427" s="118" t="str">
        <f>IF(Tab.o1[[#This Row],[a1]]=1,ABS(Tab.o1[[#This Row],[DIF_Target.]]*Tab.o1[[#This Row],[PDF2]]*Tab.o1[[#This Row],[IN]]),"")</f>
        <v/>
      </c>
      <c r="AG427" s="129" t="str">
        <f>IF(Tab.o1[[#This Row],[a1]]=1,Tab.o1[[#This Row],[rW]]^2,"")</f>
        <v/>
      </c>
      <c r="AH427" s="130" t="str">
        <f>IF(Tab.o1[[#This Row],[a1]]=1,IF(AH$3=0,Tab.o1[[#This Row],[rW2]],0.01+0.94*Tab.o1[[#This Row],[rW2]]/SUM(Tab.o1[rW2])),"")</f>
        <v/>
      </c>
      <c r="AI427" s="128" t="str">
        <f>IF(Tab.o1[[#This Row],[a1]]=1,1/Tab.o1[[#This Row],[PDF]],"")</f>
        <v/>
      </c>
      <c r="AJ427" s="131" t="str">
        <f>IF(Tab.o1[[#This Row],[a1]]=1,[1]!T_AA[[#This Row],[IN'']]*[1]!T_AA[[#This Row],[Qde'']],"")</f>
        <v/>
      </c>
      <c r="AK427" s="132" t="str">
        <f>IF(Tab.o1[[#This Row],[a1]]=1,IF(AK$1=1,Tab.o1[[#This Row],[MED]]+Tab.o1[[#This Row],[MOD]]-Tab.o1[[#This Row],[MED]],""),"")</f>
        <v/>
      </c>
      <c r="AL427" s="133" t="str">
        <f>IF(Tab.o1[[#This Row],[a1]]=1,[1]!T.in.A[[#This Row],[oo16]],"")</f>
        <v/>
      </c>
      <c r="AM427" s="133" t="str">
        <f>IF(Tab.o1[[#This Row],[a1]]=1,IF(AM$3=1,[1]!T.in.A[[#This Row],[Σo16]],""),"")</f>
        <v/>
      </c>
      <c r="AN427" s="126" t="str">
        <f>IF(Tab.o1[[#This Row],[a1]]=1,[1]!T.in.A[[#This Row],[Σp5]],"")</f>
        <v/>
      </c>
      <c r="AO427" s="126" t="str">
        <f>IF(Tab.o1[[#This Row],[a1]]=1,IF(AO$3=1,[1]!T.in.A[[#This Row],[Σp5]],""),"")</f>
        <v/>
      </c>
      <c r="AP427" s="110" t="str">
        <f>IF(Tab.o1[[#This Row],[a1]]=1,IF(ISNUMBER(Tab.o1[[#This Row],[i.]]),NORMDIST(Tab.o1[[#This Row],[Za]],0,1,FALSE)*Tab.o1[[#This Row],[i.]],0),"")</f>
        <v/>
      </c>
      <c r="AQ427" s="125" t="str">
        <f>IF(Tab.o1[[#This Row],[a1]]=1,ABS(Tab.o1[[#This Row],[MOD]]-AVERAGE(Tab.o1[MOD])),"")</f>
        <v/>
      </c>
      <c r="AR427" s="134" t="str">
        <f>IF(Tab.o1[[#This Row],[a1]]=1,Tab.o1[[#This Row],[OBS]]/SUM(Tab.o1[OBS]),"")</f>
        <v/>
      </c>
      <c r="AS427" s="135" t="str">
        <f>IF(ISNUMBER(Tab.o1[[#This Row],[a1]]),ROW()-4,"")</f>
        <v/>
      </c>
      <c r="AT427" s="136" t="str">
        <f>Tab.o1[[#This Row],[MOD]]</f>
        <v/>
      </c>
      <c r="AU427" s="137" t="str">
        <f t="shared" si="25"/>
        <v/>
      </c>
      <c r="AV427" s="138" t="str">
        <f t="shared" si="26"/>
        <v/>
      </c>
      <c r="AW427" s="138" t="str">
        <f t="shared" si="27"/>
        <v/>
      </c>
      <c r="AX427" s="139" t="str">
        <f>[1]!T.in.A[[#This Row],[ID_T_manu]]</f>
        <v/>
      </c>
      <c r="AY427" s="140" t="str">
        <f>IF(ISNUMBER(Tab.o1[[#This Row],[a1]]),IF(AND(Tab.o1[[#This Row],[a1]]=1,Tab.o1[[#This Row],[b1]]&lt;=AY$4),#REF!,AY426),"")</f>
        <v/>
      </c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</row>
    <row r="428" spans="1:79" ht="15.75" hidden="1">
      <c r="A428" s="109">
        <v>8.0000000000000013E-6</v>
      </c>
      <c r="B428" s="110">
        <f t="shared" si="24"/>
        <v>428</v>
      </c>
      <c r="C428" s="111" t="str">
        <f>IF(C$1=[1]!T.in.A[[#This Row],[oo2]],1,"")</f>
        <v/>
      </c>
      <c r="D428" s="112" t="str">
        <f>IF(Tab.o1[[#This Row],[a1]]=1,IF(SUM(C428:C429)=0,0,IF(SUM(C427:C428)=1,1,IF(SUM(C427:C429)&gt;1,D427+1,0))),"")</f>
        <v/>
      </c>
      <c r="E428" s="113" t="str">
        <f>IF(Tab.o1[[#This Row],[a1]]=1,[1]!T.in.A[[#This Row],[oo1]],"")</f>
        <v/>
      </c>
      <c r="F428" s="113" t="str">
        <f>IF(Tab.o1[[#This Row],[a1]]=1,[1]!T.in.A[[#This Row],[pp1]],"")</f>
        <v/>
      </c>
      <c r="G428" s="114" t="str">
        <f>IF(Tab.o1[[#This Row],[a1]]=1,G$2+IF(G$1=1,0,Tab.o1[[#This Row],[.x1]])+[1]!T.in.A[[#This Row],[oo3]],"")</f>
        <v/>
      </c>
      <c r="H428" s="115" t="str">
        <f>IF(Tab.o1[[#This Row],[a1]]=1,IF(H$2=0,0,IF(G$1=1,0,Tab.o1[[#This Row],[.x1]])+[1]!T.in.A[[#This Row],[oo4]]),"")</f>
        <v/>
      </c>
      <c r="I428" s="116" t="str">
        <f>IF(Tab.o1[[#This Row],[a1]]=1,IF(J$2=0,Tab.o1[[#This Row],[MED]],Tab.o1[[#This Row],[MOD]]),"")</f>
        <v/>
      </c>
      <c r="J428" s="116" t="str">
        <f>IF(Tab.o1[[#This Row],[a1]]=1,((Tab.o1[[#This Row],[DIF_Target.]]-AVERAGE(Tab.o1[DIF_Target.]))/_xlfn.STDEV.P(Tab.o1[DIF_Target.])),"")</f>
        <v/>
      </c>
      <c r="K428" s="117" t="str">
        <f>IF(Tab.o1[[#This Row],[a1]]=1,IF(J$2=0,Tab.o1[[#This Row],[MOD]]-Tab.o1[[#This Row],[B]],IF(J$2=1,0,-Tab.o1[[#This Row],[MED]])+Tab.o1[[#This Row],[B]]),"")</f>
        <v/>
      </c>
      <c r="L428" s="117" t="str">
        <f ca="1">IF(Tab.o1[[#This Row],[DIF_Target]]=0,IF(L$2=0,Tab.o1[[#This Row],[DIF_Target]],AVERAGE(OFFSET(Tab.o1[[#This Row],[DIF_Target]],1,0,L$3,1)))/3,Tab.o1[[#This Row],[DIF_Target]])</f>
        <v/>
      </c>
      <c r="M428" s="118" t="str">
        <f>IF(Tab.o1[[#This Row],[a1]]=1,NORMSDIST(Tab.o1[[#This Row],[Za]]),"")</f>
        <v/>
      </c>
      <c r="N428" s="119" t="str">
        <f>IF(Tab.o1[[#This Row],[a1]]=1,((Tab.o1[[#This Row],[MedMod]]-AVERAGE(Tab.o1[MedMod]))/_xlfn.STDEV.P(Tab.o1[MedMod])*H$1205)+G$1205,"")</f>
        <v/>
      </c>
      <c r="O428" s="141" t="str">
        <f>IF(Tab.o1[[#This Row],[a1]]=1,Tab.o1[[#This Row],[Zb]]*_xlfn.STDEV.P(Tab.o1[MedMod])+AVERAGE(Tab.o1[MedMod]),"")</f>
        <v/>
      </c>
      <c r="P428" s="117" t="str">
        <f ca="1">IF(Tab.o1[[#This Row],[B]]=0,AVERAGE(OFFSET(Tab.o1[[#This Row],[B]],1,0,L$3,1)),Tab.o1[[#This Row],[B]])</f>
        <v/>
      </c>
      <c r="Q428" s="121" t="str">
        <f>IF(Tab.o1[[#This Row],[a1]]=1,NORMSDIST(Tab.o1[[#This Row],[Zb]]),"")</f>
        <v/>
      </c>
      <c r="R428" s="122" t="str">
        <f>IF(Tab.o1[[#This Row],[a1]]=1,((Tab.o1[[#This Row],[MedMod]]-AVERAGE(Tab.o1[MedMod]))/_xlfn.STDEV.P(Tab.o1[MedMod])*H$1203)+G$1203,"")</f>
        <v/>
      </c>
      <c r="S428" s="122" t="str">
        <f>IF(Tab.o1[[#This Row],[a1]]=1,((Tab.o1[[#This Row],[MedMod]]-AVERAGE(Tab.o1[MedMod]))/_xlfn.STDEV.P(Tab.o1[MedMod])*H$1204)+G$1204,"")</f>
        <v/>
      </c>
      <c r="T428" s="123" t="str">
        <f>IF(Tab.o1[[#This Row],[a1]]=1,Tab.o1[[#This Row],[Z-]]*_xlfn.STDEV.P(Tab.o1[B])+AVERAGE(Tab.o1[B]),"")</f>
        <v/>
      </c>
      <c r="U428" s="123" t="str">
        <f>IF(Tab.o1[[#This Row],[a1]]=1,Tab.o1[[#This Row],[z+]]*_xlfn.STDEV.P(Tab.o1[B])+AVERAGE(Tab.o1[B]),"")</f>
        <v/>
      </c>
      <c r="V428" s="124" t="str">
        <f>IF(Tab.o1[[#This Row],[a1]]=1,ABS((ABS(Tab.o1[[#This Row],[Red]]-Tab.o1[[#This Row],[Blue]]))),"")</f>
        <v/>
      </c>
      <c r="W428" s="125" t="str">
        <f>IF(Tab.o1[[#This Row],[a1]]=1,IF(W$3=0,1,Tab.o1[[#This Row],[Amp.]]*1/_xlfn.MINIFS(Tab.o1[Amp.],Tab.o1[Amp.],"&lt;&gt;0")),"")</f>
        <v/>
      </c>
      <c r="X428" s="126" t="str">
        <f>IF(Tab.o1[[#This Row],[a1]]=1,IF(ISNUMBER(Tab.o1[[#This Row],[i.]]),NORMDIST(Tab.o1[[#This Row],[Za]],0,1,FALSE)*Tab.o1[[#This Row],[i.]],AP$3),"")</f>
        <v/>
      </c>
      <c r="Y428" s="126" t="str">
        <f>IF(Tab.o1[[#This Row],[a1]]=1,0.01+0.94*Tab.o1[[#This Row],[PDF]]/MAX(Tab.o1[PDF]),"")</f>
        <v/>
      </c>
      <c r="Z428" s="126" t="str">
        <f>IF(Tab.o1[[#This Row],[a1]]=1,0.01+0.94*Tab.o1[[#This Row],[W1_PDF]]/MAX(Tab.o1[W1_PDF]),"")</f>
        <v/>
      </c>
      <c r="AA428" s="118" t="str">
        <f>IF(Tab.o1[[#This Row],[a1]]=1,ABS([1]!T.in.A[[#This Row],[oo6]]),"")</f>
        <v/>
      </c>
      <c r="AB428" s="127" t="str">
        <f>IF(Tab.o1[[#This Row],[a1]]=1,IF(AE$3=0,"",IF(AB$3=0,ABS([1]!T.in.A[[#This Row],[oo9]]),ABS(Tab.o1[[#This Row],[DIF_Target.]]*Tab.o1[[#This Row],[W1_PDF]]))),"")</f>
        <v/>
      </c>
      <c r="AC428" s="127" t="str">
        <f>IF(G$1=1,"",IF(Tab.o1[[#This Row],[a1]]=1,Tab.o1[[#This Row],[Wr]]^2,""))</f>
        <v/>
      </c>
      <c r="AD428" s="118" t="str">
        <f>IF(Tab.o1[[#This Row],[a1]]=1,IF(AE$3=0,"",Tab.o1[[#This Row],[Wr2]]/SUM(Tab.o1[Wr2])),"")</f>
        <v/>
      </c>
      <c r="AE428" s="128" t="str">
        <f>IF(Tab.o1[[#This Row],[a1]]=1,[1]!T.in.A[[#This Row],[oo10]],"")</f>
        <v/>
      </c>
      <c r="AF428" s="118" t="str">
        <f>IF(Tab.o1[[#This Row],[a1]]=1,ABS(Tab.o1[[#This Row],[DIF_Target.]]*Tab.o1[[#This Row],[PDF2]]*Tab.o1[[#This Row],[IN]]),"")</f>
        <v/>
      </c>
      <c r="AG428" s="129" t="str">
        <f>IF(Tab.o1[[#This Row],[a1]]=1,Tab.o1[[#This Row],[rW]]^2,"")</f>
        <v/>
      </c>
      <c r="AH428" s="130" t="str">
        <f>IF(Tab.o1[[#This Row],[a1]]=1,IF(AH$3=0,Tab.o1[[#This Row],[rW2]],0.01+0.94*Tab.o1[[#This Row],[rW2]]/SUM(Tab.o1[rW2])),"")</f>
        <v/>
      </c>
      <c r="AI428" s="128" t="str">
        <f>IF(Tab.o1[[#This Row],[a1]]=1,1/Tab.o1[[#This Row],[PDF]],"")</f>
        <v/>
      </c>
      <c r="AJ428" s="131" t="str">
        <f>IF(Tab.o1[[#This Row],[a1]]=1,[1]!T_AA[[#This Row],[IN'']]*[1]!T_AA[[#This Row],[Qde'']],"")</f>
        <v/>
      </c>
      <c r="AK428" s="132" t="str">
        <f>IF(Tab.o1[[#This Row],[a1]]=1,IF(AK$1=1,Tab.o1[[#This Row],[MED]]+Tab.o1[[#This Row],[MOD]]-Tab.o1[[#This Row],[MED]],""),"")</f>
        <v/>
      </c>
      <c r="AL428" s="133" t="str">
        <f>IF(Tab.o1[[#This Row],[a1]]=1,[1]!T.in.A[[#This Row],[oo16]],"")</f>
        <v/>
      </c>
      <c r="AM428" s="133" t="str">
        <f>IF(Tab.o1[[#This Row],[a1]]=1,IF(AM$3=1,[1]!T.in.A[[#This Row],[Σo16]],""),"")</f>
        <v/>
      </c>
      <c r="AN428" s="126" t="str">
        <f>IF(Tab.o1[[#This Row],[a1]]=1,[1]!T.in.A[[#This Row],[Σp5]],"")</f>
        <v/>
      </c>
      <c r="AO428" s="126" t="str">
        <f>IF(Tab.o1[[#This Row],[a1]]=1,IF(AO$3=1,[1]!T.in.A[[#This Row],[Σp5]],""),"")</f>
        <v/>
      </c>
      <c r="AP428" s="110" t="str">
        <f>IF(Tab.o1[[#This Row],[a1]]=1,IF(ISNUMBER(Tab.o1[[#This Row],[i.]]),NORMDIST(Tab.o1[[#This Row],[Za]],0,1,FALSE)*Tab.o1[[#This Row],[i.]],0),"")</f>
        <v/>
      </c>
      <c r="AQ428" s="125" t="str">
        <f>IF(Tab.o1[[#This Row],[a1]]=1,ABS(Tab.o1[[#This Row],[MOD]]-AVERAGE(Tab.o1[MOD])),"")</f>
        <v/>
      </c>
      <c r="AR428" s="134" t="str">
        <f>IF(Tab.o1[[#This Row],[a1]]=1,Tab.o1[[#This Row],[OBS]]/SUM(Tab.o1[OBS]),"")</f>
        <v/>
      </c>
      <c r="AS428" s="135" t="str">
        <f>IF(ISNUMBER(Tab.o1[[#This Row],[a1]]),ROW()-4,"")</f>
        <v/>
      </c>
      <c r="AT428" s="136" t="str">
        <f>Tab.o1[[#This Row],[MOD]]</f>
        <v/>
      </c>
      <c r="AU428" s="137" t="str">
        <f t="shared" si="25"/>
        <v/>
      </c>
      <c r="AV428" s="138" t="str">
        <f t="shared" si="26"/>
        <v/>
      </c>
      <c r="AW428" s="138" t="str">
        <f t="shared" si="27"/>
        <v/>
      </c>
      <c r="AX428" s="139" t="str">
        <f>[1]!T.in.A[[#This Row],[ID_T_manu]]</f>
        <v/>
      </c>
      <c r="AY428" s="140" t="str">
        <f>IF(ISNUMBER(Tab.o1[[#This Row],[a1]]),IF(AND(Tab.o1[[#This Row],[a1]]=1,Tab.o1[[#This Row],[b1]]&lt;=AY$4),#REF!,AY427),"")</f>
        <v/>
      </c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</row>
    <row r="429" spans="1:79" ht="15.75" hidden="1">
      <c r="A429" s="109">
        <v>-1.0000000000000002E-6</v>
      </c>
      <c r="B429" s="110">
        <f t="shared" si="24"/>
        <v>429</v>
      </c>
      <c r="C429" s="111" t="str">
        <f>IF(C$1=[1]!T.in.A[[#This Row],[oo2]],1,"")</f>
        <v/>
      </c>
      <c r="D429" s="112" t="str">
        <f>IF(Tab.o1[[#This Row],[a1]]=1,IF(SUM(C429:C430)=0,0,IF(SUM(C428:C429)=1,1,IF(SUM(C428:C430)&gt;1,D428+1,0))),"")</f>
        <v/>
      </c>
      <c r="E429" s="113" t="str">
        <f>IF(Tab.o1[[#This Row],[a1]]=1,[1]!T.in.A[[#This Row],[oo1]],"")</f>
        <v/>
      </c>
      <c r="F429" s="113" t="str">
        <f>IF(Tab.o1[[#This Row],[a1]]=1,[1]!T.in.A[[#This Row],[pp1]],"")</f>
        <v/>
      </c>
      <c r="G429" s="114" t="str">
        <f>IF(Tab.o1[[#This Row],[a1]]=1,G$2+IF(G$1=1,0,Tab.o1[[#This Row],[.x1]])+[1]!T.in.A[[#This Row],[oo3]],"")</f>
        <v/>
      </c>
      <c r="H429" s="115" t="str">
        <f>IF(Tab.o1[[#This Row],[a1]]=1,IF(H$2=0,0,IF(G$1=1,0,Tab.o1[[#This Row],[.x1]])+[1]!T.in.A[[#This Row],[oo4]]),"")</f>
        <v/>
      </c>
      <c r="I429" s="116" t="str">
        <f>IF(Tab.o1[[#This Row],[a1]]=1,IF(J$2=0,Tab.o1[[#This Row],[MED]],Tab.o1[[#This Row],[MOD]]),"")</f>
        <v/>
      </c>
      <c r="J429" s="116" t="str">
        <f>IF(Tab.o1[[#This Row],[a1]]=1,((Tab.o1[[#This Row],[DIF_Target.]]-AVERAGE(Tab.o1[DIF_Target.]))/_xlfn.STDEV.P(Tab.o1[DIF_Target.])),"")</f>
        <v/>
      </c>
      <c r="K429" s="117" t="str">
        <f>IF(Tab.o1[[#This Row],[a1]]=1,IF(J$2=0,Tab.o1[[#This Row],[MOD]]-Tab.o1[[#This Row],[B]],IF(J$2=1,0,-Tab.o1[[#This Row],[MED]])+Tab.o1[[#This Row],[B]]),"")</f>
        <v/>
      </c>
      <c r="L429" s="117" t="str">
        <f ca="1">IF(Tab.o1[[#This Row],[DIF_Target]]=0,IF(L$2=0,Tab.o1[[#This Row],[DIF_Target]],AVERAGE(OFFSET(Tab.o1[[#This Row],[DIF_Target]],1,0,L$3,1)))/3,Tab.o1[[#This Row],[DIF_Target]])</f>
        <v/>
      </c>
      <c r="M429" s="118" t="str">
        <f>IF(Tab.o1[[#This Row],[a1]]=1,NORMSDIST(Tab.o1[[#This Row],[Za]]),"")</f>
        <v/>
      </c>
      <c r="N429" s="119" t="str">
        <f>IF(Tab.o1[[#This Row],[a1]]=1,((Tab.o1[[#This Row],[MedMod]]-AVERAGE(Tab.o1[MedMod]))/_xlfn.STDEV.P(Tab.o1[MedMod])*H$1205)+G$1205,"")</f>
        <v/>
      </c>
      <c r="O429" s="141" t="str">
        <f>IF(Tab.o1[[#This Row],[a1]]=1,Tab.o1[[#This Row],[Zb]]*_xlfn.STDEV.P(Tab.o1[MedMod])+AVERAGE(Tab.o1[MedMod]),"")</f>
        <v/>
      </c>
      <c r="P429" s="117" t="str">
        <f ca="1">IF(Tab.o1[[#This Row],[B]]=0,AVERAGE(OFFSET(Tab.o1[[#This Row],[B]],1,0,L$3,1)),Tab.o1[[#This Row],[B]])</f>
        <v/>
      </c>
      <c r="Q429" s="121" t="str">
        <f>IF(Tab.o1[[#This Row],[a1]]=1,NORMSDIST(Tab.o1[[#This Row],[Zb]]),"")</f>
        <v/>
      </c>
      <c r="R429" s="122" t="str">
        <f>IF(Tab.o1[[#This Row],[a1]]=1,((Tab.o1[[#This Row],[MedMod]]-AVERAGE(Tab.o1[MedMod]))/_xlfn.STDEV.P(Tab.o1[MedMod])*H$1203)+G$1203,"")</f>
        <v/>
      </c>
      <c r="S429" s="122" t="str">
        <f>IF(Tab.o1[[#This Row],[a1]]=1,((Tab.o1[[#This Row],[MedMod]]-AVERAGE(Tab.o1[MedMod]))/_xlfn.STDEV.P(Tab.o1[MedMod])*H$1204)+G$1204,"")</f>
        <v/>
      </c>
      <c r="T429" s="123" t="str">
        <f>IF(Tab.o1[[#This Row],[a1]]=1,Tab.o1[[#This Row],[Z-]]*_xlfn.STDEV.P(Tab.o1[B])+AVERAGE(Tab.o1[B]),"")</f>
        <v/>
      </c>
      <c r="U429" s="123" t="str">
        <f>IF(Tab.o1[[#This Row],[a1]]=1,Tab.o1[[#This Row],[z+]]*_xlfn.STDEV.P(Tab.o1[B])+AVERAGE(Tab.o1[B]),"")</f>
        <v/>
      </c>
      <c r="V429" s="124" t="str">
        <f>IF(Tab.o1[[#This Row],[a1]]=1,ABS((ABS(Tab.o1[[#This Row],[Red]]-Tab.o1[[#This Row],[Blue]]))),"")</f>
        <v/>
      </c>
      <c r="W429" s="125" t="str">
        <f>IF(Tab.o1[[#This Row],[a1]]=1,IF(W$3=0,1,Tab.o1[[#This Row],[Amp.]]*1/_xlfn.MINIFS(Tab.o1[Amp.],Tab.o1[Amp.],"&lt;&gt;0")),"")</f>
        <v/>
      </c>
      <c r="X429" s="126" t="str">
        <f>IF(Tab.o1[[#This Row],[a1]]=1,IF(ISNUMBER(Tab.o1[[#This Row],[i.]]),NORMDIST(Tab.o1[[#This Row],[Za]],0,1,FALSE)*Tab.o1[[#This Row],[i.]],AP$3),"")</f>
        <v/>
      </c>
      <c r="Y429" s="126" t="str">
        <f>IF(Tab.o1[[#This Row],[a1]]=1,0.01+0.94*Tab.o1[[#This Row],[PDF]]/MAX(Tab.o1[PDF]),"")</f>
        <v/>
      </c>
      <c r="Z429" s="126" t="str">
        <f>IF(Tab.o1[[#This Row],[a1]]=1,0.01+0.94*Tab.o1[[#This Row],[W1_PDF]]/MAX(Tab.o1[W1_PDF]),"")</f>
        <v/>
      </c>
      <c r="AA429" s="118" t="str">
        <f>IF(Tab.o1[[#This Row],[a1]]=1,ABS([1]!T.in.A[[#This Row],[oo6]]),"")</f>
        <v/>
      </c>
      <c r="AB429" s="127" t="str">
        <f>IF(Tab.o1[[#This Row],[a1]]=1,IF(AE$3=0,"",IF(AB$3=0,ABS([1]!T.in.A[[#This Row],[oo9]]),ABS(Tab.o1[[#This Row],[DIF_Target.]]*Tab.o1[[#This Row],[W1_PDF]]))),"")</f>
        <v/>
      </c>
      <c r="AC429" s="127" t="str">
        <f>IF(G$1=1,"",IF(Tab.o1[[#This Row],[a1]]=1,Tab.o1[[#This Row],[Wr]]^2,""))</f>
        <v/>
      </c>
      <c r="AD429" s="118" t="str">
        <f>IF(Tab.o1[[#This Row],[a1]]=1,IF(AE$3=0,"",Tab.o1[[#This Row],[Wr2]]/SUM(Tab.o1[Wr2])),"")</f>
        <v/>
      </c>
      <c r="AE429" s="128" t="str">
        <f>IF(Tab.o1[[#This Row],[a1]]=1,[1]!T.in.A[[#This Row],[oo10]],"")</f>
        <v/>
      </c>
      <c r="AF429" s="118" t="str">
        <f>IF(Tab.o1[[#This Row],[a1]]=1,ABS(Tab.o1[[#This Row],[DIF_Target.]]*Tab.o1[[#This Row],[PDF2]]*Tab.o1[[#This Row],[IN]]),"")</f>
        <v/>
      </c>
      <c r="AG429" s="129" t="str">
        <f>IF(Tab.o1[[#This Row],[a1]]=1,Tab.o1[[#This Row],[rW]]^2,"")</f>
        <v/>
      </c>
      <c r="AH429" s="130" t="str">
        <f>IF(Tab.o1[[#This Row],[a1]]=1,IF(AH$3=0,Tab.o1[[#This Row],[rW2]],0.01+0.94*Tab.o1[[#This Row],[rW2]]/SUM(Tab.o1[rW2])),"")</f>
        <v/>
      </c>
      <c r="AI429" s="128" t="str">
        <f>IF(Tab.o1[[#This Row],[a1]]=1,1/Tab.o1[[#This Row],[PDF]],"")</f>
        <v/>
      </c>
      <c r="AJ429" s="131" t="str">
        <f>IF(Tab.o1[[#This Row],[a1]]=1,[1]!T_AA[[#This Row],[IN'']]*[1]!T_AA[[#This Row],[Qde'']],"")</f>
        <v/>
      </c>
      <c r="AK429" s="132" t="str">
        <f>IF(Tab.o1[[#This Row],[a1]]=1,IF(AK$1=1,Tab.o1[[#This Row],[MED]]+Tab.o1[[#This Row],[MOD]]-Tab.o1[[#This Row],[MED]],""),"")</f>
        <v/>
      </c>
      <c r="AL429" s="133" t="str">
        <f>IF(Tab.o1[[#This Row],[a1]]=1,[1]!T.in.A[[#This Row],[oo16]],"")</f>
        <v/>
      </c>
      <c r="AM429" s="133" t="str">
        <f>IF(Tab.o1[[#This Row],[a1]]=1,IF(AM$3=1,[1]!T.in.A[[#This Row],[Σo16]],""),"")</f>
        <v/>
      </c>
      <c r="AN429" s="126" t="str">
        <f>IF(Tab.o1[[#This Row],[a1]]=1,[1]!T.in.A[[#This Row],[Σp5]],"")</f>
        <v/>
      </c>
      <c r="AO429" s="126" t="str">
        <f>IF(Tab.o1[[#This Row],[a1]]=1,IF(AO$3=1,[1]!T.in.A[[#This Row],[Σp5]],""),"")</f>
        <v/>
      </c>
      <c r="AP429" s="110" t="str">
        <f>IF(Tab.o1[[#This Row],[a1]]=1,IF(ISNUMBER(Tab.o1[[#This Row],[i.]]),NORMDIST(Tab.o1[[#This Row],[Za]],0,1,FALSE)*Tab.o1[[#This Row],[i.]],0),"")</f>
        <v/>
      </c>
      <c r="AQ429" s="125" t="str">
        <f>IF(Tab.o1[[#This Row],[a1]]=1,ABS(Tab.o1[[#This Row],[MOD]]-AVERAGE(Tab.o1[MOD])),"")</f>
        <v/>
      </c>
      <c r="AR429" s="134" t="str">
        <f>IF(Tab.o1[[#This Row],[a1]]=1,Tab.o1[[#This Row],[OBS]]/SUM(Tab.o1[OBS]),"")</f>
        <v/>
      </c>
      <c r="AS429" s="135" t="str">
        <f>IF(ISNUMBER(Tab.o1[[#This Row],[a1]]),ROW()-4,"")</f>
        <v/>
      </c>
      <c r="AT429" s="136" t="str">
        <f>Tab.o1[[#This Row],[MOD]]</f>
        <v/>
      </c>
      <c r="AU429" s="137" t="str">
        <f t="shared" si="25"/>
        <v/>
      </c>
      <c r="AV429" s="138" t="str">
        <f t="shared" si="26"/>
        <v/>
      </c>
      <c r="AW429" s="138" t="str">
        <f t="shared" si="27"/>
        <v/>
      </c>
      <c r="AX429" s="139" t="str">
        <f>[1]!T.in.A[[#This Row],[ID_T_manu]]</f>
        <v/>
      </c>
      <c r="AY429" s="140" t="str">
        <f>IF(ISNUMBER(Tab.o1[[#This Row],[a1]]),IF(AND(Tab.o1[[#This Row],[a1]]=1,Tab.o1[[#This Row],[b1]]&lt;=AY$4),#REF!,AY428),"")</f>
        <v/>
      </c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</row>
    <row r="430" spans="1:79" ht="15.75" hidden="1">
      <c r="A430" s="109">
        <v>5.9999999999999993E-6</v>
      </c>
      <c r="B430" s="110">
        <f t="shared" si="24"/>
        <v>430</v>
      </c>
      <c r="C430" s="111" t="str">
        <f>IF(C$1=[1]!T.in.A[[#This Row],[oo2]],1,"")</f>
        <v/>
      </c>
      <c r="D430" s="112" t="str">
        <f>IF(Tab.o1[[#This Row],[a1]]=1,IF(SUM(C430:C431)=0,0,IF(SUM(C429:C430)=1,1,IF(SUM(C429:C431)&gt;1,D429+1,0))),"")</f>
        <v/>
      </c>
      <c r="E430" s="113" t="str">
        <f>IF(Tab.o1[[#This Row],[a1]]=1,[1]!T.in.A[[#This Row],[oo1]],"")</f>
        <v/>
      </c>
      <c r="F430" s="113" t="str">
        <f>IF(Tab.o1[[#This Row],[a1]]=1,[1]!T.in.A[[#This Row],[pp1]],"")</f>
        <v/>
      </c>
      <c r="G430" s="114" t="str">
        <f>IF(Tab.o1[[#This Row],[a1]]=1,G$2+IF(G$1=1,0,Tab.o1[[#This Row],[.x1]])+[1]!T.in.A[[#This Row],[oo3]],"")</f>
        <v/>
      </c>
      <c r="H430" s="115" t="str">
        <f>IF(Tab.o1[[#This Row],[a1]]=1,IF(H$2=0,0,IF(G$1=1,0,Tab.o1[[#This Row],[.x1]])+[1]!T.in.A[[#This Row],[oo4]]),"")</f>
        <v/>
      </c>
      <c r="I430" s="116" t="str">
        <f>IF(Tab.o1[[#This Row],[a1]]=1,IF(J$2=0,Tab.o1[[#This Row],[MED]],Tab.o1[[#This Row],[MOD]]),"")</f>
        <v/>
      </c>
      <c r="J430" s="116" t="str">
        <f>IF(Tab.o1[[#This Row],[a1]]=1,((Tab.o1[[#This Row],[DIF_Target.]]-AVERAGE(Tab.o1[DIF_Target.]))/_xlfn.STDEV.P(Tab.o1[DIF_Target.])),"")</f>
        <v/>
      </c>
      <c r="K430" s="117" t="str">
        <f>IF(Tab.o1[[#This Row],[a1]]=1,IF(J$2=0,Tab.o1[[#This Row],[MOD]]-Tab.o1[[#This Row],[B]],IF(J$2=1,0,-Tab.o1[[#This Row],[MED]])+Tab.o1[[#This Row],[B]]),"")</f>
        <v/>
      </c>
      <c r="L430" s="117" t="str">
        <f ca="1">IF(Tab.o1[[#This Row],[DIF_Target]]=0,IF(L$2=0,Tab.o1[[#This Row],[DIF_Target]],AVERAGE(OFFSET(Tab.o1[[#This Row],[DIF_Target]],1,0,L$3,1)))/3,Tab.o1[[#This Row],[DIF_Target]])</f>
        <v/>
      </c>
      <c r="M430" s="118" t="str">
        <f>IF(Tab.o1[[#This Row],[a1]]=1,NORMSDIST(Tab.o1[[#This Row],[Za]]),"")</f>
        <v/>
      </c>
      <c r="N430" s="119" t="str">
        <f>IF(Tab.o1[[#This Row],[a1]]=1,((Tab.o1[[#This Row],[MedMod]]-AVERAGE(Tab.o1[MedMod]))/_xlfn.STDEV.P(Tab.o1[MedMod])*H$1205)+G$1205,"")</f>
        <v/>
      </c>
      <c r="O430" s="141" t="str">
        <f>IF(Tab.o1[[#This Row],[a1]]=1,Tab.o1[[#This Row],[Zb]]*_xlfn.STDEV.P(Tab.o1[MedMod])+AVERAGE(Tab.o1[MedMod]),"")</f>
        <v/>
      </c>
      <c r="P430" s="117" t="str">
        <f ca="1">IF(Tab.o1[[#This Row],[B]]=0,AVERAGE(OFFSET(Tab.o1[[#This Row],[B]],1,0,L$3,1)),Tab.o1[[#This Row],[B]])</f>
        <v/>
      </c>
      <c r="Q430" s="121" t="str">
        <f>IF(Tab.o1[[#This Row],[a1]]=1,NORMSDIST(Tab.o1[[#This Row],[Zb]]),"")</f>
        <v/>
      </c>
      <c r="R430" s="122" t="str">
        <f>IF(Tab.o1[[#This Row],[a1]]=1,((Tab.o1[[#This Row],[MedMod]]-AVERAGE(Tab.o1[MedMod]))/_xlfn.STDEV.P(Tab.o1[MedMod])*H$1203)+G$1203,"")</f>
        <v/>
      </c>
      <c r="S430" s="122" t="str">
        <f>IF(Tab.o1[[#This Row],[a1]]=1,((Tab.o1[[#This Row],[MedMod]]-AVERAGE(Tab.o1[MedMod]))/_xlfn.STDEV.P(Tab.o1[MedMod])*H$1204)+G$1204,"")</f>
        <v/>
      </c>
      <c r="T430" s="123" t="str">
        <f>IF(Tab.o1[[#This Row],[a1]]=1,Tab.o1[[#This Row],[Z-]]*_xlfn.STDEV.P(Tab.o1[B])+AVERAGE(Tab.o1[B]),"")</f>
        <v/>
      </c>
      <c r="U430" s="123" t="str">
        <f>IF(Tab.o1[[#This Row],[a1]]=1,Tab.o1[[#This Row],[z+]]*_xlfn.STDEV.P(Tab.o1[B])+AVERAGE(Tab.o1[B]),"")</f>
        <v/>
      </c>
      <c r="V430" s="124" t="str">
        <f>IF(Tab.o1[[#This Row],[a1]]=1,ABS((ABS(Tab.o1[[#This Row],[Red]]-Tab.o1[[#This Row],[Blue]]))),"")</f>
        <v/>
      </c>
      <c r="W430" s="125" t="str">
        <f>IF(Tab.o1[[#This Row],[a1]]=1,IF(W$3=0,1,Tab.o1[[#This Row],[Amp.]]*1/_xlfn.MINIFS(Tab.o1[Amp.],Tab.o1[Amp.],"&lt;&gt;0")),"")</f>
        <v/>
      </c>
      <c r="X430" s="126" t="str">
        <f>IF(Tab.o1[[#This Row],[a1]]=1,IF(ISNUMBER(Tab.o1[[#This Row],[i.]]),NORMDIST(Tab.o1[[#This Row],[Za]],0,1,FALSE)*Tab.o1[[#This Row],[i.]],AP$3),"")</f>
        <v/>
      </c>
      <c r="Y430" s="126" t="str">
        <f>IF(Tab.o1[[#This Row],[a1]]=1,0.01+0.94*Tab.o1[[#This Row],[PDF]]/MAX(Tab.o1[PDF]),"")</f>
        <v/>
      </c>
      <c r="Z430" s="126" t="str">
        <f>IF(Tab.o1[[#This Row],[a1]]=1,0.01+0.94*Tab.o1[[#This Row],[W1_PDF]]/MAX(Tab.o1[W1_PDF]),"")</f>
        <v/>
      </c>
      <c r="AA430" s="118" t="str">
        <f>IF(Tab.o1[[#This Row],[a1]]=1,ABS([1]!T.in.A[[#This Row],[oo6]]),"")</f>
        <v/>
      </c>
      <c r="AB430" s="127" t="str">
        <f>IF(Tab.o1[[#This Row],[a1]]=1,IF(AE$3=0,"",IF(AB$3=0,ABS([1]!T.in.A[[#This Row],[oo9]]),ABS(Tab.o1[[#This Row],[DIF_Target.]]*Tab.o1[[#This Row],[W1_PDF]]))),"")</f>
        <v/>
      </c>
      <c r="AC430" s="127" t="str">
        <f>IF(G$1=1,"",IF(Tab.o1[[#This Row],[a1]]=1,Tab.o1[[#This Row],[Wr]]^2,""))</f>
        <v/>
      </c>
      <c r="AD430" s="118" t="str">
        <f>IF(Tab.o1[[#This Row],[a1]]=1,IF(AE$3=0,"",Tab.o1[[#This Row],[Wr2]]/SUM(Tab.o1[Wr2])),"")</f>
        <v/>
      </c>
      <c r="AE430" s="128" t="str">
        <f>IF(Tab.o1[[#This Row],[a1]]=1,[1]!T.in.A[[#This Row],[oo10]],"")</f>
        <v/>
      </c>
      <c r="AF430" s="118" t="str">
        <f>IF(Tab.o1[[#This Row],[a1]]=1,ABS(Tab.o1[[#This Row],[DIF_Target.]]*Tab.o1[[#This Row],[PDF2]]*Tab.o1[[#This Row],[IN]]),"")</f>
        <v/>
      </c>
      <c r="AG430" s="129" t="str">
        <f>IF(Tab.o1[[#This Row],[a1]]=1,Tab.o1[[#This Row],[rW]]^2,"")</f>
        <v/>
      </c>
      <c r="AH430" s="130" t="str">
        <f>IF(Tab.o1[[#This Row],[a1]]=1,IF(AH$3=0,Tab.o1[[#This Row],[rW2]],0.01+0.94*Tab.o1[[#This Row],[rW2]]/SUM(Tab.o1[rW2])),"")</f>
        <v/>
      </c>
      <c r="AI430" s="128" t="str">
        <f>IF(Tab.o1[[#This Row],[a1]]=1,1/Tab.o1[[#This Row],[PDF]],"")</f>
        <v/>
      </c>
      <c r="AJ430" s="131" t="str">
        <f>IF(Tab.o1[[#This Row],[a1]]=1,[1]!T_AA[[#This Row],[IN'']]*[1]!T_AA[[#This Row],[Qde'']],"")</f>
        <v/>
      </c>
      <c r="AK430" s="132" t="str">
        <f>IF(Tab.o1[[#This Row],[a1]]=1,IF(AK$1=1,Tab.o1[[#This Row],[MED]]+Tab.o1[[#This Row],[MOD]]-Tab.o1[[#This Row],[MED]],""),"")</f>
        <v/>
      </c>
      <c r="AL430" s="133" t="str">
        <f>IF(Tab.o1[[#This Row],[a1]]=1,[1]!T.in.A[[#This Row],[oo16]],"")</f>
        <v/>
      </c>
      <c r="AM430" s="133" t="str">
        <f>IF(Tab.o1[[#This Row],[a1]]=1,IF(AM$3=1,[1]!T.in.A[[#This Row],[Σo16]],""),"")</f>
        <v/>
      </c>
      <c r="AN430" s="126" t="str">
        <f>IF(Tab.o1[[#This Row],[a1]]=1,[1]!T.in.A[[#This Row],[Σp5]],"")</f>
        <v/>
      </c>
      <c r="AO430" s="126" t="str">
        <f>IF(Tab.o1[[#This Row],[a1]]=1,IF(AO$3=1,[1]!T.in.A[[#This Row],[Σp5]],""),"")</f>
        <v/>
      </c>
      <c r="AP430" s="110" t="str">
        <f>IF(Tab.o1[[#This Row],[a1]]=1,IF(ISNUMBER(Tab.o1[[#This Row],[i.]]),NORMDIST(Tab.o1[[#This Row],[Za]],0,1,FALSE)*Tab.o1[[#This Row],[i.]],0),"")</f>
        <v/>
      </c>
      <c r="AQ430" s="125" t="str">
        <f>IF(Tab.o1[[#This Row],[a1]]=1,ABS(Tab.o1[[#This Row],[MOD]]-AVERAGE(Tab.o1[MOD])),"")</f>
        <v/>
      </c>
      <c r="AR430" s="134" t="str">
        <f>IF(Tab.o1[[#This Row],[a1]]=1,Tab.o1[[#This Row],[OBS]]/SUM(Tab.o1[OBS]),"")</f>
        <v/>
      </c>
      <c r="AS430" s="135" t="str">
        <f>IF(ISNUMBER(Tab.o1[[#This Row],[a1]]),ROW()-4,"")</f>
        <v/>
      </c>
      <c r="AT430" s="136" t="str">
        <f>Tab.o1[[#This Row],[MOD]]</f>
        <v/>
      </c>
      <c r="AU430" s="137" t="str">
        <f t="shared" si="25"/>
        <v/>
      </c>
      <c r="AV430" s="138" t="str">
        <f t="shared" si="26"/>
        <v/>
      </c>
      <c r="AW430" s="138" t="str">
        <f t="shared" si="27"/>
        <v/>
      </c>
      <c r="AX430" s="139" t="str">
        <f>[1]!T.in.A[[#This Row],[ID_T_manu]]</f>
        <v/>
      </c>
      <c r="AY430" s="140" t="str">
        <f>IF(ISNUMBER(Tab.o1[[#This Row],[a1]]),IF(AND(Tab.o1[[#This Row],[a1]]=1,Tab.o1[[#This Row],[b1]]&lt;=AY$4),#REF!,AY429),"")</f>
        <v/>
      </c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</row>
    <row r="431" spans="1:79" ht="15.75" hidden="1">
      <c r="A431" s="109">
        <v>-9.0000000000000002E-6</v>
      </c>
      <c r="B431" s="110">
        <f t="shared" si="24"/>
        <v>431</v>
      </c>
      <c r="C431" s="111" t="str">
        <f>IF(C$1=[1]!T.in.A[[#This Row],[oo2]],1,"")</f>
        <v/>
      </c>
      <c r="D431" s="112" t="str">
        <f>IF(Tab.o1[[#This Row],[a1]]=1,IF(SUM(C431:C432)=0,0,IF(SUM(C430:C431)=1,1,IF(SUM(C430:C432)&gt;1,D430+1,0))),"")</f>
        <v/>
      </c>
      <c r="E431" s="113" t="str">
        <f>IF(Tab.o1[[#This Row],[a1]]=1,[1]!T.in.A[[#This Row],[oo1]],"")</f>
        <v/>
      </c>
      <c r="F431" s="113" t="str">
        <f>IF(Tab.o1[[#This Row],[a1]]=1,[1]!T.in.A[[#This Row],[pp1]],"")</f>
        <v/>
      </c>
      <c r="G431" s="114" t="str">
        <f>IF(Tab.o1[[#This Row],[a1]]=1,G$2+IF(G$1=1,0,Tab.o1[[#This Row],[.x1]])+[1]!T.in.A[[#This Row],[oo3]],"")</f>
        <v/>
      </c>
      <c r="H431" s="115" t="str">
        <f>IF(Tab.o1[[#This Row],[a1]]=1,IF(H$2=0,0,IF(G$1=1,0,Tab.o1[[#This Row],[.x1]])+[1]!T.in.A[[#This Row],[oo4]]),"")</f>
        <v/>
      </c>
      <c r="I431" s="116" t="str">
        <f>IF(Tab.o1[[#This Row],[a1]]=1,IF(J$2=0,Tab.o1[[#This Row],[MED]],Tab.o1[[#This Row],[MOD]]),"")</f>
        <v/>
      </c>
      <c r="J431" s="116" t="str">
        <f>IF(Tab.o1[[#This Row],[a1]]=1,((Tab.o1[[#This Row],[DIF_Target.]]-AVERAGE(Tab.o1[DIF_Target.]))/_xlfn.STDEV.P(Tab.o1[DIF_Target.])),"")</f>
        <v/>
      </c>
      <c r="K431" s="117" t="str">
        <f>IF(Tab.o1[[#This Row],[a1]]=1,IF(J$2=0,Tab.o1[[#This Row],[MOD]]-Tab.o1[[#This Row],[B]],IF(J$2=1,0,-Tab.o1[[#This Row],[MED]])+Tab.o1[[#This Row],[B]]),"")</f>
        <v/>
      </c>
      <c r="L431" s="117" t="str">
        <f ca="1">IF(Tab.o1[[#This Row],[DIF_Target]]=0,IF(L$2=0,Tab.o1[[#This Row],[DIF_Target]],AVERAGE(OFFSET(Tab.o1[[#This Row],[DIF_Target]],1,0,L$3,1)))/3,Tab.o1[[#This Row],[DIF_Target]])</f>
        <v/>
      </c>
      <c r="M431" s="118" t="str">
        <f>IF(Tab.o1[[#This Row],[a1]]=1,NORMSDIST(Tab.o1[[#This Row],[Za]]),"")</f>
        <v/>
      </c>
      <c r="N431" s="119" t="str">
        <f>IF(Tab.o1[[#This Row],[a1]]=1,((Tab.o1[[#This Row],[MedMod]]-AVERAGE(Tab.o1[MedMod]))/_xlfn.STDEV.P(Tab.o1[MedMod])*H$1205)+G$1205,"")</f>
        <v/>
      </c>
      <c r="O431" s="141" t="str">
        <f>IF(Tab.o1[[#This Row],[a1]]=1,Tab.o1[[#This Row],[Zb]]*_xlfn.STDEV.P(Tab.o1[MedMod])+AVERAGE(Tab.o1[MedMod]),"")</f>
        <v/>
      </c>
      <c r="P431" s="117" t="str">
        <f ca="1">IF(Tab.o1[[#This Row],[B]]=0,AVERAGE(OFFSET(Tab.o1[[#This Row],[B]],1,0,L$3,1)),Tab.o1[[#This Row],[B]])</f>
        <v/>
      </c>
      <c r="Q431" s="121" t="str">
        <f>IF(Tab.o1[[#This Row],[a1]]=1,NORMSDIST(Tab.o1[[#This Row],[Zb]]),"")</f>
        <v/>
      </c>
      <c r="R431" s="122" t="str">
        <f>IF(Tab.o1[[#This Row],[a1]]=1,((Tab.o1[[#This Row],[MedMod]]-AVERAGE(Tab.o1[MedMod]))/_xlfn.STDEV.P(Tab.o1[MedMod])*H$1203)+G$1203,"")</f>
        <v/>
      </c>
      <c r="S431" s="122" t="str">
        <f>IF(Tab.o1[[#This Row],[a1]]=1,((Tab.o1[[#This Row],[MedMod]]-AVERAGE(Tab.o1[MedMod]))/_xlfn.STDEV.P(Tab.o1[MedMod])*H$1204)+G$1204,"")</f>
        <v/>
      </c>
      <c r="T431" s="123" t="str">
        <f>IF(Tab.o1[[#This Row],[a1]]=1,Tab.o1[[#This Row],[Z-]]*_xlfn.STDEV.P(Tab.o1[B])+AVERAGE(Tab.o1[B]),"")</f>
        <v/>
      </c>
      <c r="U431" s="123" t="str">
        <f>IF(Tab.o1[[#This Row],[a1]]=1,Tab.o1[[#This Row],[z+]]*_xlfn.STDEV.P(Tab.o1[B])+AVERAGE(Tab.o1[B]),"")</f>
        <v/>
      </c>
      <c r="V431" s="124" t="str">
        <f>IF(Tab.o1[[#This Row],[a1]]=1,ABS((ABS(Tab.o1[[#This Row],[Red]]-Tab.o1[[#This Row],[Blue]]))),"")</f>
        <v/>
      </c>
      <c r="W431" s="125" t="str">
        <f>IF(Tab.o1[[#This Row],[a1]]=1,IF(W$3=0,1,Tab.o1[[#This Row],[Amp.]]*1/_xlfn.MINIFS(Tab.o1[Amp.],Tab.o1[Amp.],"&lt;&gt;0")),"")</f>
        <v/>
      </c>
      <c r="X431" s="126" t="str">
        <f>IF(Tab.o1[[#This Row],[a1]]=1,IF(ISNUMBER(Tab.o1[[#This Row],[i.]]),NORMDIST(Tab.o1[[#This Row],[Za]],0,1,FALSE)*Tab.o1[[#This Row],[i.]],AP$3),"")</f>
        <v/>
      </c>
      <c r="Y431" s="126" t="str">
        <f>IF(Tab.o1[[#This Row],[a1]]=1,0.01+0.94*Tab.o1[[#This Row],[PDF]]/MAX(Tab.o1[PDF]),"")</f>
        <v/>
      </c>
      <c r="Z431" s="126" t="str">
        <f>IF(Tab.o1[[#This Row],[a1]]=1,0.01+0.94*Tab.o1[[#This Row],[W1_PDF]]/MAX(Tab.o1[W1_PDF]),"")</f>
        <v/>
      </c>
      <c r="AA431" s="118" t="str">
        <f>IF(Tab.o1[[#This Row],[a1]]=1,ABS([1]!T.in.A[[#This Row],[oo6]]),"")</f>
        <v/>
      </c>
      <c r="AB431" s="127" t="str">
        <f>IF(Tab.o1[[#This Row],[a1]]=1,IF(AE$3=0,"",IF(AB$3=0,ABS([1]!T.in.A[[#This Row],[oo9]]),ABS(Tab.o1[[#This Row],[DIF_Target.]]*Tab.o1[[#This Row],[W1_PDF]]))),"")</f>
        <v/>
      </c>
      <c r="AC431" s="127" t="str">
        <f>IF(G$1=1,"",IF(Tab.o1[[#This Row],[a1]]=1,Tab.o1[[#This Row],[Wr]]^2,""))</f>
        <v/>
      </c>
      <c r="AD431" s="118" t="str">
        <f>IF(Tab.o1[[#This Row],[a1]]=1,IF(AE$3=0,"",Tab.o1[[#This Row],[Wr2]]/SUM(Tab.o1[Wr2])),"")</f>
        <v/>
      </c>
      <c r="AE431" s="128" t="str">
        <f>IF(Tab.o1[[#This Row],[a1]]=1,[1]!T.in.A[[#This Row],[oo10]],"")</f>
        <v/>
      </c>
      <c r="AF431" s="118" t="str">
        <f>IF(Tab.o1[[#This Row],[a1]]=1,ABS(Tab.o1[[#This Row],[DIF_Target.]]*Tab.o1[[#This Row],[PDF2]]*Tab.o1[[#This Row],[IN]]),"")</f>
        <v/>
      </c>
      <c r="AG431" s="129" t="str">
        <f>IF(Tab.o1[[#This Row],[a1]]=1,Tab.o1[[#This Row],[rW]]^2,"")</f>
        <v/>
      </c>
      <c r="AH431" s="130" t="str">
        <f>IF(Tab.o1[[#This Row],[a1]]=1,IF(AH$3=0,Tab.o1[[#This Row],[rW2]],0.01+0.94*Tab.o1[[#This Row],[rW2]]/SUM(Tab.o1[rW2])),"")</f>
        <v/>
      </c>
      <c r="AI431" s="128" t="str">
        <f>IF(Tab.o1[[#This Row],[a1]]=1,1/Tab.o1[[#This Row],[PDF]],"")</f>
        <v/>
      </c>
      <c r="AJ431" s="131" t="str">
        <f>IF(Tab.o1[[#This Row],[a1]]=1,[1]!T_AA[[#This Row],[IN'']]*[1]!T_AA[[#This Row],[Qde'']],"")</f>
        <v/>
      </c>
      <c r="AK431" s="132" t="str">
        <f>IF(Tab.o1[[#This Row],[a1]]=1,IF(AK$1=1,Tab.o1[[#This Row],[MED]]+Tab.o1[[#This Row],[MOD]]-Tab.o1[[#This Row],[MED]],""),"")</f>
        <v/>
      </c>
      <c r="AL431" s="133" t="str">
        <f>IF(Tab.o1[[#This Row],[a1]]=1,[1]!T.in.A[[#This Row],[oo16]],"")</f>
        <v/>
      </c>
      <c r="AM431" s="133" t="str">
        <f>IF(Tab.o1[[#This Row],[a1]]=1,IF(AM$3=1,[1]!T.in.A[[#This Row],[Σo16]],""),"")</f>
        <v/>
      </c>
      <c r="AN431" s="126" t="str">
        <f>IF(Tab.o1[[#This Row],[a1]]=1,[1]!T.in.A[[#This Row],[Σp5]],"")</f>
        <v/>
      </c>
      <c r="AO431" s="126" t="str">
        <f>IF(Tab.o1[[#This Row],[a1]]=1,IF(AO$3=1,[1]!T.in.A[[#This Row],[Σp5]],""),"")</f>
        <v/>
      </c>
      <c r="AP431" s="110" t="str">
        <f>IF(Tab.o1[[#This Row],[a1]]=1,IF(ISNUMBER(Tab.o1[[#This Row],[i.]]),NORMDIST(Tab.o1[[#This Row],[Za]],0,1,FALSE)*Tab.o1[[#This Row],[i.]],0),"")</f>
        <v/>
      </c>
      <c r="AQ431" s="125" t="str">
        <f>IF(Tab.o1[[#This Row],[a1]]=1,ABS(Tab.o1[[#This Row],[MOD]]-AVERAGE(Tab.o1[MOD])),"")</f>
        <v/>
      </c>
      <c r="AR431" s="134" t="str">
        <f>IF(Tab.o1[[#This Row],[a1]]=1,Tab.o1[[#This Row],[OBS]]/SUM(Tab.o1[OBS]),"")</f>
        <v/>
      </c>
      <c r="AS431" s="135" t="str">
        <f>IF(ISNUMBER(Tab.o1[[#This Row],[a1]]),ROW()-4,"")</f>
        <v/>
      </c>
      <c r="AT431" s="136" t="str">
        <f>Tab.o1[[#This Row],[MOD]]</f>
        <v/>
      </c>
      <c r="AU431" s="137" t="str">
        <f t="shared" si="25"/>
        <v/>
      </c>
      <c r="AV431" s="138" t="str">
        <f t="shared" si="26"/>
        <v/>
      </c>
      <c r="AW431" s="138" t="str">
        <f t="shared" si="27"/>
        <v/>
      </c>
      <c r="AX431" s="139" t="str">
        <f>[1]!T.in.A[[#This Row],[ID_T_manu]]</f>
        <v/>
      </c>
      <c r="AY431" s="140" t="str">
        <f>IF(ISNUMBER(Tab.o1[[#This Row],[a1]]),IF(AND(Tab.o1[[#This Row],[a1]]=1,Tab.o1[[#This Row],[b1]]&lt;=AY$4),#REF!,AY430),"")</f>
        <v/>
      </c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</row>
    <row r="432" spans="1:79" ht="15.75" hidden="1">
      <c r="A432" s="109">
        <v>-9.0000000000000002E-6</v>
      </c>
      <c r="B432" s="110">
        <f t="shared" si="24"/>
        <v>432</v>
      </c>
      <c r="C432" s="111" t="str">
        <f>IF(C$1=[1]!T.in.A[[#This Row],[oo2]],1,"")</f>
        <v/>
      </c>
      <c r="D432" s="112" t="str">
        <f>IF(Tab.o1[[#This Row],[a1]]=1,IF(SUM(C432:C433)=0,0,IF(SUM(C431:C432)=1,1,IF(SUM(C431:C433)&gt;1,D431+1,0))),"")</f>
        <v/>
      </c>
      <c r="E432" s="113" t="str">
        <f>IF(Tab.o1[[#This Row],[a1]]=1,[1]!T.in.A[[#This Row],[oo1]],"")</f>
        <v/>
      </c>
      <c r="F432" s="113" t="str">
        <f>IF(Tab.o1[[#This Row],[a1]]=1,[1]!T.in.A[[#This Row],[pp1]],"")</f>
        <v/>
      </c>
      <c r="G432" s="114" t="str">
        <f>IF(Tab.o1[[#This Row],[a1]]=1,G$2+IF(G$1=1,0,Tab.o1[[#This Row],[.x1]])+[1]!T.in.A[[#This Row],[oo3]],"")</f>
        <v/>
      </c>
      <c r="H432" s="115" t="str">
        <f>IF(Tab.o1[[#This Row],[a1]]=1,IF(H$2=0,0,IF(G$1=1,0,Tab.o1[[#This Row],[.x1]])+[1]!T.in.A[[#This Row],[oo4]]),"")</f>
        <v/>
      </c>
      <c r="I432" s="116" t="str">
        <f>IF(Tab.o1[[#This Row],[a1]]=1,IF(J$2=0,Tab.o1[[#This Row],[MED]],Tab.o1[[#This Row],[MOD]]),"")</f>
        <v/>
      </c>
      <c r="J432" s="116" t="str">
        <f>IF(Tab.o1[[#This Row],[a1]]=1,((Tab.o1[[#This Row],[DIF_Target.]]-AVERAGE(Tab.o1[DIF_Target.]))/_xlfn.STDEV.P(Tab.o1[DIF_Target.])),"")</f>
        <v/>
      </c>
      <c r="K432" s="117" t="str">
        <f>IF(Tab.o1[[#This Row],[a1]]=1,IF(J$2=0,Tab.o1[[#This Row],[MOD]]-Tab.o1[[#This Row],[B]],IF(J$2=1,0,-Tab.o1[[#This Row],[MED]])+Tab.o1[[#This Row],[B]]),"")</f>
        <v/>
      </c>
      <c r="L432" s="117" t="str">
        <f ca="1">IF(Tab.o1[[#This Row],[DIF_Target]]=0,IF(L$2=0,Tab.o1[[#This Row],[DIF_Target]],AVERAGE(OFFSET(Tab.o1[[#This Row],[DIF_Target]],1,0,L$3,1)))/3,Tab.o1[[#This Row],[DIF_Target]])</f>
        <v/>
      </c>
      <c r="M432" s="118" t="str">
        <f>IF(Tab.o1[[#This Row],[a1]]=1,NORMSDIST(Tab.o1[[#This Row],[Za]]),"")</f>
        <v/>
      </c>
      <c r="N432" s="119" t="str">
        <f>IF(Tab.o1[[#This Row],[a1]]=1,((Tab.o1[[#This Row],[MedMod]]-AVERAGE(Tab.o1[MedMod]))/_xlfn.STDEV.P(Tab.o1[MedMod])*H$1205)+G$1205,"")</f>
        <v/>
      </c>
      <c r="O432" s="141" t="str">
        <f>IF(Tab.o1[[#This Row],[a1]]=1,Tab.o1[[#This Row],[Zb]]*_xlfn.STDEV.P(Tab.o1[MedMod])+AVERAGE(Tab.o1[MedMod]),"")</f>
        <v/>
      </c>
      <c r="P432" s="117" t="str">
        <f ca="1">IF(Tab.o1[[#This Row],[B]]=0,AVERAGE(OFFSET(Tab.o1[[#This Row],[B]],1,0,L$3,1)),Tab.o1[[#This Row],[B]])</f>
        <v/>
      </c>
      <c r="Q432" s="121" t="str">
        <f>IF(Tab.o1[[#This Row],[a1]]=1,NORMSDIST(Tab.o1[[#This Row],[Zb]]),"")</f>
        <v/>
      </c>
      <c r="R432" s="122" t="str">
        <f>IF(Tab.o1[[#This Row],[a1]]=1,((Tab.o1[[#This Row],[MedMod]]-AVERAGE(Tab.o1[MedMod]))/_xlfn.STDEV.P(Tab.o1[MedMod])*H$1203)+G$1203,"")</f>
        <v/>
      </c>
      <c r="S432" s="122" t="str">
        <f>IF(Tab.o1[[#This Row],[a1]]=1,((Tab.o1[[#This Row],[MedMod]]-AVERAGE(Tab.o1[MedMod]))/_xlfn.STDEV.P(Tab.o1[MedMod])*H$1204)+G$1204,"")</f>
        <v/>
      </c>
      <c r="T432" s="123" t="str">
        <f>IF(Tab.o1[[#This Row],[a1]]=1,Tab.o1[[#This Row],[Z-]]*_xlfn.STDEV.P(Tab.o1[B])+AVERAGE(Tab.o1[B]),"")</f>
        <v/>
      </c>
      <c r="U432" s="123" t="str">
        <f>IF(Tab.o1[[#This Row],[a1]]=1,Tab.o1[[#This Row],[z+]]*_xlfn.STDEV.P(Tab.o1[B])+AVERAGE(Tab.o1[B]),"")</f>
        <v/>
      </c>
      <c r="V432" s="124" t="str">
        <f>IF(Tab.o1[[#This Row],[a1]]=1,ABS((ABS(Tab.o1[[#This Row],[Red]]-Tab.o1[[#This Row],[Blue]]))),"")</f>
        <v/>
      </c>
      <c r="W432" s="125" t="str">
        <f>IF(Tab.o1[[#This Row],[a1]]=1,IF(W$3=0,1,Tab.o1[[#This Row],[Amp.]]*1/_xlfn.MINIFS(Tab.o1[Amp.],Tab.o1[Amp.],"&lt;&gt;0")),"")</f>
        <v/>
      </c>
      <c r="X432" s="126" t="str">
        <f>IF(Tab.o1[[#This Row],[a1]]=1,IF(ISNUMBER(Tab.o1[[#This Row],[i.]]),NORMDIST(Tab.o1[[#This Row],[Za]],0,1,FALSE)*Tab.o1[[#This Row],[i.]],AP$3),"")</f>
        <v/>
      </c>
      <c r="Y432" s="126" t="str">
        <f>IF(Tab.o1[[#This Row],[a1]]=1,0.01+0.94*Tab.o1[[#This Row],[PDF]]/MAX(Tab.o1[PDF]),"")</f>
        <v/>
      </c>
      <c r="Z432" s="126" t="str">
        <f>IF(Tab.o1[[#This Row],[a1]]=1,0.01+0.94*Tab.o1[[#This Row],[W1_PDF]]/MAX(Tab.o1[W1_PDF]),"")</f>
        <v/>
      </c>
      <c r="AA432" s="118" t="str">
        <f>IF(Tab.o1[[#This Row],[a1]]=1,ABS([1]!T.in.A[[#This Row],[oo6]]),"")</f>
        <v/>
      </c>
      <c r="AB432" s="127" t="str">
        <f>IF(Tab.o1[[#This Row],[a1]]=1,IF(AE$3=0,"",IF(AB$3=0,ABS([1]!T.in.A[[#This Row],[oo9]]),ABS(Tab.o1[[#This Row],[DIF_Target.]]*Tab.o1[[#This Row],[W1_PDF]]))),"")</f>
        <v/>
      </c>
      <c r="AC432" s="127" t="str">
        <f>IF(G$1=1,"",IF(Tab.o1[[#This Row],[a1]]=1,Tab.o1[[#This Row],[Wr]]^2,""))</f>
        <v/>
      </c>
      <c r="AD432" s="118" t="str">
        <f>IF(Tab.o1[[#This Row],[a1]]=1,IF(AE$3=0,"",Tab.o1[[#This Row],[Wr2]]/SUM(Tab.o1[Wr2])),"")</f>
        <v/>
      </c>
      <c r="AE432" s="128" t="str">
        <f>IF(Tab.o1[[#This Row],[a1]]=1,[1]!T.in.A[[#This Row],[oo10]],"")</f>
        <v/>
      </c>
      <c r="AF432" s="118" t="str">
        <f>IF(Tab.o1[[#This Row],[a1]]=1,ABS(Tab.o1[[#This Row],[DIF_Target.]]*Tab.o1[[#This Row],[PDF2]]*Tab.o1[[#This Row],[IN]]),"")</f>
        <v/>
      </c>
      <c r="AG432" s="129" t="str">
        <f>IF(Tab.o1[[#This Row],[a1]]=1,Tab.o1[[#This Row],[rW]]^2,"")</f>
        <v/>
      </c>
      <c r="AH432" s="130" t="str">
        <f>IF(Tab.o1[[#This Row],[a1]]=1,IF(AH$3=0,Tab.o1[[#This Row],[rW2]],0.01+0.94*Tab.o1[[#This Row],[rW2]]/SUM(Tab.o1[rW2])),"")</f>
        <v/>
      </c>
      <c r="AI432" s="128" t="str">
        <f>IF(Tab.o1[[#This Row],[a1]]=1,1/Tab.o1[[#This Row],[PDF]],"")</f>
        <v/>
      </c>
      <c r="AJ432" s="131" t="str">
        <f>IF(Tab.o1[[#This Row],[a1]]=1,[1]!T_AA[[#This Row],[IN'']]*[1]!T_AA[[#This Row],[Qde'']],"")</f>
        <v/>
      </c>
      <c r="AK432" s="132" t="str">
        <f>IF(Tab.o1[[#This Row],[a1]]=1,IF(AK$1=1,Tab.o1[[#This Row],[MED]]+Tab.o1[[#This Row],[MOD]]-Tab.o1[[#This Row],[MED]],""),"")</f>
        <v/>
      </c>
      <c r="AL432" s="133" t="str">
        <f>IF(Tab.o1[[#This Row],[a1]]=1,[1]!T.in.A[[#This Row],[oo16]],"")</f>
        <v/>
      </c>
      <c r="AM432" s="133" t="str">
        <f>IF(Tab.o1[[#This Row],[a1]]=1,IF(AM$3=1,[1]!T.in.A[[#This Row],[Σo16]],""),"")</f>
        <v/>
      </c>
      <c r="AN432" s="126" t="str">
        <f>IF(Tab.o1[[#This Row],[a1]]=1,[1]!T.in.A[[#This Row],[Σp5]],"")</f>
        <v/>
      </c>
      <c r="AO432" s="126" t="str">
        <f>IF(Tab.o1[[#This Row],[a1]]=1,IF(AO$3=1,[1]!T.in.A[[#This Row],[Σp5]],""),"")</f>
        <v/>
      </c>
      <c r="AP432" s="110" t="str">
        <f>IF(Tab.o1[[#This Row],[a1]]=1,IF(ISNUMBER(Tab.o1[[#This Row],[i.]]),NORMDIST(Tab.o1[[#This Row],[Za]],0,1,FALSE)*Tab.o1[[#This Row],[i.]],0),"")</f>
        <v/>
      </c>
      <c r="AQ432" s="125" t="str">
        <f>IF(Tab.o1[[#This Row],[a1]]=1,ABS(Tab.o1[[#This Row],[MOD]]-AVERAGE(Tab.o1[MOD])),"")</f>
        <v/>
      </c>
      <c r="AR432" s="134" t="str">
        <f>IF(Tab.o1[[#This Row],[a1]]=1,Tab.o1[[#This Row],[OBS]]/SUM(Tab.o1[OBS]),"")</f>
        <v/>
      </c>
      <c r="AS432" s="135" t="str">
        <f>IF(ISNUMBER(Tab.o1[[#This Row],[a1]]),ROW()-4,"")</f>
        <v/>
      </c>
      <c r="AT432" s="136" t="str">
        <f>Tab.o1[[#This Row],[MOD]]</f>
        <v/>
      </c>
      <c r="AU432" s="137" t="str">
        <f t="shared" si="25"/>
        <v/>
      </c>
      <c r="AV432" s="138" t="str">
        <f t="shared" si="26"/>
        <v/>
      </c>
      <c r="AW432" s="138" t="str">
        <f t="shared" si="27"/>
        <v/>
      </c>
      <c r="AX432" s="139" t="str">
        <f>[1]!T.in.A[[#This Row],[ID_T_manu]]</f>
        <v/>
      </c>
      <c r="AY432" s="140" t="str">
        <f>IF(ISNUMBER(Tab.o1[[#This Row],[a1]]),IF(AND(Tab.o1[[#This Row],[a1]]=1,Tab.o1[[#This Row],[b1]]&lt;=AY$4),#REF!,AY431),"")</f>
        <v/>
      </c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</row>
    <row r="433" spans="1:79" ht="15.75" hidden="1">
      <c r="A433" s="109">
        <v>1.0000000000000001E-5</v>
      </c>
      <c r="B433" s="110">
        <f t="shared" si="24"/>
        <v>433</v>
      </c>
      <c r="C433" s="111" t="str">
        <f>IF(C$1=[1]!T.in.A[[#This Row],[oo2]],1,"")</f>
        <v/>
      </c>
      <c r="D433" s="112" t="str">
        <f>IF(Tab.o1[[#This Row],[a1]]=1,IF(SUM(C433:C434)=0,0,IF(SUM(C432:C433)=1,1,IF(SUM(C432:C434)&gt;1,D432+1,0))),"")</f>
        <v/>
      </c>
      <c r="E433" s="113" t="str">
        <f>IF(Tab.o1[[#This Row],[a1]]=1,[1]!T.in.A[[#This Row],[oo1]],"")</f>
        <v/>
      </c>
      <c r="F433" s="113" t="str">
        <f>IF(Tab.o1[[#This Row],[a1]]=1,[1]!T.in.A[[#This Row],[pp1]],"")</f>
        <v/>
      </c>
      <c r="G433" s="114" t="str">
        <f>IF(Tab.o1[[#This Row],[a1]]=1,G$2+IF(G$1=1,0,Tab.o1[[#This Row],[.x1]])+[1]!T.in.A[[#This Row],[oo3]],"")</f>
        <v/>
      </c>
      <c r="H433" s="115" t="str">
        <f>IF(Tab.o1[[#This Row],[a1]]=1,IF(H$2=0,0,IF(G$1=1,0,Tab.o1[[#This Row],[.x1]])+[1]!T.in.A[[#This Row],[oo4]]),"")</f>
        <v/>
      </c>
      <c r="I433" s="116" t="str">
        <f>IF(Tab.o1[[#This Row],[a1]]=1,IF(J$2=0,Tab.o1[[#This Row],[MED]],Tab.o1[[#This Row],[MOD]]),"")</f>
        <v/>
      </c>
      <c r="J433" s="116" t="str">
        <f>IF(Tab.o1[[#This Row],[a1]]=1,((Tab.o1[[#This Row],[DIF_Target.]]-AVERAGE(Tab.o1[DIF_Target.]))/_xlfn.STDEV.P(Tab.o1[DIF_Target.])),"")</f>
        <v/>
      </c>
      <c r="K433" s="117" t="str">
        <f>IF(Tab.o1[[#This Row],[a1]]=1,IF(J$2=0,Tab.o1[[#This Row],[MOD]]-Tab.o1[[#This Row],[B]],IF(J$2=1,0,-Tab.o1[[#This Row],[MED]])+Tab.o1[[#This Row],[B]]),"")</f>
        <v/>
      </c>
      <c r="L433" s="117" t="str">
        <f ca="1">IF(Tab.o1[[#This Row],[DIF_Target]]=0,IF(L$2=0,Tab.o1[[#This Row],[DIF_Target]],AVERAGE(OFFSET(Tab.o1[[#This Row],[DIF_Target]],1,0,L$3,1)))/3,Tab.o1[[#This Row],[DIF_Target]])</f>
        <v/>
      </c>
      <c r="M433" s="118" t="str">
        <f>IF(Tab.o1[[#This Row],[a1]]=1,NORMSDIST(Tab.o1[[#This Row],[Za]]),"")</f>
        <v/>
      </c>
      <c r="N433" s="119" t="str">
        <f>IF(Tab.o1[[#This Row],[a1]]=1,((Tab.o1[[#This Row],[MedMod]]-AVERAGE(Tab.o1[MedMod]))/_xlfn.STDEV.P(Tab.o1[MedMod])*H$1205)+G$1205,"")</f>
        <v/>
      </c>
      <c r="O433" s="141" t="str">
        <f>IF(Tab.o1[[#This Row],[a1]]=1,Tab.o1[[#This Row],[Zb]]*_xlfn.STDEV.P(Tab.o1[MedMod])+AVERAGE(Tab.o1[MedMod]),"")</f>
        <v/>
      </c>
      <c r="P433" s="117" t="str">
        <f ca="1">IF(Tab.o1[[#This Row],[B]]=0,AVERAGE(OFFSET(Tab.o1[[#This Row],[B]],1,0,L$3,1)),Tab.o1[[#This Row],[B]])</f>
        <v/>
      </c>
      <c r="Q433" s="121" t="str">
        <f>IF(Tab.o1[[#This Row],[a1]]=1,NORMSDIST(Tab.o1[[#This Row],[Zb]]),"")</f>
        <v/>
      </c>
      <c r="R433" s="122" t="str">
        <f>IF(Tab.o1[[#This Row],[a1]]=1,((Tab.o1[[#This Row],[MedMod]]-AVERAGE(Tab.o1[MedMod]))/_xlfn.STDEV.P(Tab.o1[MedMod])*H$1203)+G$1203,"")</f>
        <v/>
      </c>
      <c r="S433" s="122" t="str">
        <f>IF(Tab.o1[[#This Row],[a1]]=1,((Tab.o1[[#This Row],[MedMod]]-AVERAGE(Tab.o1[MedMod]))/_xlfn.STDEV.P(Tab.o1[MedMod])*H$1204)+G$1204,"")</f>
        <v/>
      </c>
      <c r="T433" s="123" t="str">
        <f>IF(Tab.o1[[#This Row],[a1]]=1,Tab.o1[[#This Row],[Z-]]*_xlfn.STDEV.P(Tab.o1[B])+AVERAGE(Tab.o1[B]),"")</f>
        <v/>
      </c>
      <c r="U433" s="123" t="str">
        <f>IF(Tab.o1[[#This Row],[a1]]=1,Tab.o1[[#This Row],[z+]]*_xlfn.STDEV.P(Tab.o1[B])+AVERAGE(Tab.o1[B]),"")</f>
        <v/>
      </c>
      <c r="V433" s="124" t="str">
        <f>IF(Tab.o1[[#This Row],[a1]]=1,ABS((ABS(Tab.o1[[#This Row],[Red]]-Tab.o1[[#This Row],[Blue]]))),"")</f>
        <v/>
      </c>
      <c r="W433" s="125" t="str">
        <f>IF(Tab.o1[[#This Row],[a1]]=1,IF(W$3=0,1,Tab.o1[[#This Row],[Amp.]]*1/_xlfn.MINIFS(Tab.o1[Amp.],Tab.o1[Amp.],"&lt;&gt;0")),"")</f>
        <v/>
      </c>
      <c r="X433" s="126" t="str">
        <f>IF(Tab.o1[[#This Row],[a1]]=1,IF(ISNUMBER(Tab.o1[[#This Row],[i.]]),NORMDIST(Tab.o1[[#This Row],[Za]],0,1,FALSE)*Tab.o1[[#This Row],[i.]],AP$3),"")</f>
        <v/>
      </c>
      <c r="Y433" s="126" t="str">
        <f>IF(Tab.o1[[#This Row],[a1]]=1,0.01+0.94*Tab.o1[[#This Row],[PDF]]/MAX(Tab.o1[PDF]),"")</f>
        <v/>
      </c>
      <c r="Z433" s="126" t="str">
        <f>IF(Tab.o1[[#This Row],[a1]]=1,0.01+0.94*Tab.o1[[#This Row],[W1_PDF]]/MAX(Tab.o1[W1_PDF]),"")</f>
        <v/>
      </c>
      <c r="AA433" s="118" t="str">
        <f>IF(Tab.o1[[#This Row],[a1]]=1,ABS([1]!T.in.A[[#This Row],[oo6]]),"")</f>
        <v/>
      </c>
      <c r="AB433" s="127" t="str">
        <f>IF(Tab.o1[[#This Row],[a1]]=1,IF(AE$3=0,"",IF(AB$3=0,ABS([1]!T.in.A[[#This Row],[oo9]]),ABS(Tab.o1[[#This Row],[DIF_Target.]]*Tab.o1[[#This Row],[W1_PDF]]))),"")</f>
        <v/>
      </c>
      <c r="AC433" s="127" t="str">
        <f>IF(G$1=1,"",IF(Tab.o1[[#This Row],[a1]]=1,Tab.o1[[#This Row],[Wr]]^2,""))</f>
        <v/>
      </c>
      <c r="AD433" s="118" t="str">
        <f>IF(Tab.o1[[#This Row],[a1]]=1,IF(AE$3=0,"",Tab.o1[[#This Row],[Wr2]]/SUM(Tab.o1[Wr2])),"")</f>
        <v/>
      </c>
      <c r="AE433" s="128" t="str">
        <f>IF(Tab.o1[[#This Row],[a1]]=1,[1]!T.in.A[[#This Row],[oo10]],"")</f>
        <v/>
      </c>
      <c r="AF433" s="118" t="str">
        <f>IF(Tab.o1[[#This Row],[a1]]=1,ABS(Tab.o1[[#This Row],[DIF_Target.]]*Tab.o1[[#This Row],[PDF2]]*Tab.o1[[#This Row],[IN]]),"")</f>
        <v/>
      </c>
      <c r="AG433" s="129" t="str">
        <f>IF(Tab.o1[[#This Row],[a1]]=1,Tab.o1[[#This Row],[rW]]^2,"")</f>
        <v/>
      </c>
      <c r="AH433" s="130" t="str">
        <f>IF(Tab.o1[[#This Row],[a1]]=1,IF(AH$3=0,Tab.o1[[#This Row],[rW2]],0.01+0.94*Tab.o1[[#This Row],[rW2]]/SUM(Tab.o1[rW2])),"")</f>
        <v/>
      </c>
      <c r="AI433" s="128" t="str">
        <f>IF(Tab.o1[[#This Row],[a1]]=1,1/Tab.o1[[#This Row],[PDF]],"")</f>
        <v/>
      </c>
      <c r="AJ433" s="131" t="str">
        <f>IF(Tab.o1[[#This Row],[a1]]=1,[1]!T_AA[[#This Row],[IN'']]*[1]!T_AA[[#This Row],[Qde'']],"")</f>
        <v/>
      </c>
      <c r="AK433" s="132" t="str">
        <f>IF(Tab.o1[[#This Row],[a1]]=1,IF(AK$1=1,Tab.o1[[#This Row],[MED]]+Tab.o1[[#This Row],[MOD]]-Tab.o1[[#This Row],[MED]],""),"")</f>
        <v/>
      </c>
      <c r="AL433" s="133" t="str">
        <f>IF(Tab.o1[[#This Row],[a1]]=1,[1]!T.in.A[[#This Row],[oo16]],"")</f>
        <v/>
      </c>
      <c r="AM433" s="133" t="str">
        <f>IF(Tab.o1[[#This Row],[a1]]=1,IF(AM$3=1,[1]!T.in.A[[#This Row],[Σo16]],""),"")</f>
        <v/>
      </c>
      <c r="AN433" s="126" t="str">
        <f>IF(Tab.o1[[#This Row],[a1]]=1,[1]!T.in.A[[#This Row],[Σp5]],"")</f>
        <v/>
      </c>
      <c r="AO433" s="126" t="str">
        <f>IF(Tab.o1[[#This Row],[a1]]=1,IF(AO$3=1,[1]!T.in.A[[#This Row],[Σp5]],""),"")</f>
        <v/>
      </c>
      <c r="AP433" s="110" t="str">
        <f>IF(Tab.o1[[#This Row],[a1]]=1,IF(ISNUMBER(Tab.o1[[#This Row],[i.]]),NORMDIST(Tab.o1[[#This Row],[Za]],0,1,FALSE)*Tab.o1[[#This Row],[i.]],0),"")</f>
        <v/>
      </c>
      <c r="AQ433" s="125" t="str">
        <f>IF(Tab.o1[[#This Row],[a1]]=1,ABS(Tab.o1[[#This Row],[MOD]]-AVERAGE(Tab.o1[MOD])),"")</f>
        <v/>
      </c>
      <c r="AR433" s="134" t="str">
        <f>IF(Tab.o1[[#This Row],[a1]]=1,Tab.o1[[#This Row],[OBS]]/SUM(Tab.o1[OBS]),"")</f>
        <v/>
      </c>
      <c r="AS433" s="135" t="str">
        <f>IF(ISNUMBER(Tab.o1[[#This Row],[a1]]),ROW()-4,"")</f>
        <v/>
      </c>
      <c r="AT433" s="136" t="str">
        <f>Tab.o1[[#This Row],[MOD]]</f>
        <v/>
      </c>
      <c r="AU433" s="137" t="str">
        <f t="shared" si="25"/>
        <v/>
      </c>
      <c r="AV433" s="138" t="str">
        <f t="shared" si="26"/>
        <v/>
      </c>
      <c r="AW433" s="138" t="str">
        <f t="shared" si="27"/>
        <v/>
      </c>
      <c r="AX433" s="139" t="str">
        <f>[1]!T.in.A[[#This Row],[ID_T_manu]]</f>
        <v/>
      </c>
      <c r="AY433" s="140" t="str">
        <f>IF(ISNUMBER(Tab.o1[[#This Row],[a1]]),IF(AND(Tab.o1[[#This Row],[a1]]=1,Tab.o1[[#This Row],[b1]]&lt;=AY$4),#REF!,AY432),"")</f>
        <v/>
      </c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</row>
    <row r="434" spans="1:79" ht="15.75" hidden="1">
      <c r="A434" s="109">
        <v>-5.0000000000000004E-6</v>
      </c>
      <c r="B434" s="110">
        <f t="shared" si="24"/>
        <v>434</v>
      </c>
      <c r="C434" s="111" t="str">
        <f>IF(C$1=[1]!T.in.A[[#This Row],[oo2]],1,"")</f>
        <v/>
      </c>
      <c r="D434" s="112" t="str">
        <f>IF(Tab.o1[[#This Row],[a1]]=1,IF(SUM(C434:C435)=0,0,IF(SUM(C433:C434)=1,1,IF(SUM(C433:C435)&gt;1,D433+1,0))),"")</f>
        <v/>
      </c>
      <c r="E434" s="113" t="str">
        <f>IF(Tab.o1[[#This Row],[a1]]=1,[1]!T.in.A[[#This Row],[oo1]],"")</f>
        <v/>
      </c>
      <c r="F434" s="113" t="str">
        <f>IF(Tab.o1[[#This Row],[a1]]=1,[1]!T.in.A[[#This Row],[pp1]],"")</f>
        <v/>
      </c>
      <c r="G434" s="114" t="str">
        <f>IF(Tab.o1[[#This Row],[a1]]=1,G$2+IF(G$1=1,0,Tab.o1[[#This Row],[.x1]])+[1]!T.in.A[[#This Row],[oo3]],"")</f>
        <v/>
      </c>
      <c r="H434" s="115" t="str">
        <f>IF(Tab.o1[[#This Row],[a1]]=1,IF(H$2=0,0,IF(G$1=1,0,Tab.o1[[#This Row],[.x1]])+[1]!T.in.A[[#This Row],[oo4]]),"")</f>
        <v/>
      </c>
      <c r="I434" s="116" t="str">
        <f>IF(Tab.o1[[#This Row],[a1]]=1,IF(J$2=0,Tab.o1[[#This Row],[MED]],Tab.o1[[#This Row],[MOD]]),"")</f>
        <v/>
      </c>
      <c r="J434" s="116" t="str">
        <f>IF(Tab.o1[[#This Row],[a1]]=1,((Tab.o1[[#This Row],[DIF_Target.]]-AVERAGE(Tab.o1[DIF_Target.]))/_xlfn.STDEV.P(Tab.o1[DIF_Target.])),"")</f>
        <v/>
      </c>
      <c r="K434" s="117" t="str">
        <f>IF(Tab.o1[[#This Row],[a1]]=1,IF(J$2=0,Tab.o1[[#This Row],[MOD]]-Tab.o1[[#This Row],[B]],IF(J$2=1,0,-Tab.o1[[#This Row],[MED]])+Tab.o1[[#This Row],[B]]),"")</f>
        <v/>
      </c>
      <c r="L434" s="117" t="str">
        <f ca="1">IF(Tab.o1[[#This Row],[DIF_Target]]=0,IF(L$2=0,Tab.o1[[#This Row],[DIF_Target]],AVERAGE(OFFSET(Tab.o1[[#This Row],[DIF_Target]],1,0,L$3,1)))/3,Tab.o1[[#This Row],[DIF_Target]])</f>
        <v/>
      </c>
      <c r="M434" s="118" t="str">
        <f>IF(Tab.o1[[#This Row],[a1]]=1,NORMSDIST(Tab.o1[[#This Row],[Za]]),"")</f>
        <v/>
      </c>
      <c r="N434" s="119" t="str">
        <f>IF(Tab.o1[[#This Row],[a1]]=1,((Tab.o1[[#This Row],[MedMod]]-AVERAGE(Tab.o1[MedMod]))/_xlfn.STDEV.P(Tab.o1[MedMod])*H$1205)+G$1205,"")</f>
        <v/>
      </c>
      <c r="O434" s="141" t="str">
        <f>IF(Tab.o1[[#This Row],[a1]]=1,Tab.o1[[#This Row],[Zb]]*_xlfn.STDEV.P(Tab.o1[MedMod])+AVERAGE(Tab.o1[MedMod]),"")</f>
        <v/>
      </c>
      <c r="P434" s="117" t="str">
        <f ca="1">IF(Tab.o1[[#This Row],[B]]=0,AVERAGE(OFFSET(Tab.o1[[#This Row],[B]],1,0,L$3,1)),Tab.o1[[#This Row],[B]])</f>
        <v/>
      </c>
      <c r="Q434" s="121" t="str">
        <f>IF(Tab.o1[[#This Row],[a1]]=1,NORMSDIST(Tab.o1[[#This Row],[Zb]]),"")</f>
        <v/>
      </c>
      <c r="R434" s="122" t="str">
        <f>IF(Tab.o1[[#This Row],[a1]]=1,((Tab.o1[[#This Row],[MedMod]]-AVERAGE(Tab.o1[MedMod]))/_xlfn.STDEV.P(Tab.o1[MedMod])*H$1203)+G$1203,"")</f>
        <v/>
      </c>
      <c r="S434" s="122" t="str">
        <f>IF(Tab.o1[[#This Row],[a1]]=1,((Tab.o1[[#This Row],[MedMod]]-AVERAGE(Tab.o1[MedMod]))/_xlfn.STDEV.P(Tab.o1[MedMod])*H$1204)+G$1204,"")</f>
        <v/>
      </c>
      <c r="T434" s="123" t="str">
        <f>IF(Tab.o1[[#This Row],[a1]]=1,Tab.o1[[#This Row],[Z-]]*_xlfn.STDEV.P(Tab.o1[B])+AVERAGE(Tab.o1[B]),"")</f>
        <v/>
      </c>
      <c r="U434" s="123" t="str">
        <f>IF(Tab.o1[[#This Row],[a1]]=1,Tab.o1[[#This Row],[z+]]*_xlfn.STDEV.P(Tab.o1[B])+AVERAGE(Tab.o1[B]),"")</f>
        <v/>
      </c>
      <c r="V434" s="124" t="str">
        <f>IF(Tab.o1[[#This Row],[a1]]=1,ABS((ABS(Tab.o1[[#This Row],[Red]]-Tab.o1[[#This Row],[Blue]]))),"")</f>
        <v/>
      </c>
      <c r="W434" s="125" t="str">
        <f>IF(Tab.o1[[#This Row],[a1]]=1,IF(W$3=0,1,Tab.o1[[#This Row],[Amp.]]*1/_xlfn.MINIFS(Tab.o1[Amp.],Tab.o1[Amp.],"&lt;&gt;0")),"")</f>
        <v/>
      </c>
      <c r="X434" s="126" t="str">
        <f>IF(Tab.o1[[#This Row],[a1]]=1,IF(ISNUMBER(Tab.o1[[#This Row],[i.]]),NORMDIST(Tab.o1[[#This Row],[Za]],0,1,FALSE)*Tab.o1[[#This Row],[i.]],AP$3),"")</f>
        <v/>
      </c>
      <c r="Y434" s="126" t="str">
        <f>IF(Tab.o1[[#This Row],[a1]]=1,0.01+0.94*Tab.o1[[#This Row],[PDF]]/MAX(Tab.o1[PDF]),"")</f>
        <v/>
      </c>
      <c r="Z434" s="126" t="str">
        <f>IF(Tab.o1[[#This Row],[a1]]=1,0.01+0.94*Tab.o1[[#This Row],[W1_PDF]]/MAX(Tab.o1[W1_PDF]),"")</f>
        <v/>
      </c>
      <c r="AA434" s="118" t="str">
        <f>IF(Tab.o1[[#This Row],[a1]]=1,ABS([1]!T.in.A[[#This Row],[oo6]]),"")</f>
        <v/>
      </c>
      <c r="AB434" s="127" t="str">
        <f>IF(Tab.o1[[#This Row],[a1]]=1,IF(AE$3=0,"",IF(AB$3=0,ABS([1]!T.in.A[[#This Row],[oo9]]),ABS(Tab.o1[[#This Row],[DIF_Target.]]*Tab.o1[[#This Row],[W1_PDF]]))),"")</f>
        <v/>
      </c>
      <c r="AC434" s="127" t="str">
        <f>IF(G$1=1,"",IF(Tab.o1[[#This Row],[a1]]=1,Tab.o1[[#This Row],[Wr]]^2,""))</f>
        <v/>
      </c>
      <c r="AD434" s="118" t="str">
        <f>IF(Tab.o1[[#This Row],[a1]]=1,IF(AE$3=0,"",Tab.o1[[#This Row],[Wr2]]/SUM(Tab.o1[Wr2])),"")</f>
        <v/>
      </c>
      <c r="AE434" s="128" t="str">
        <f>IF(Tab.o1[[#This Row],[a1]]=1,[1]!T.in.A[[#This Row],[oo10]],"")</f>
        <v/>
      </c>
      <c r="AF434" s="118" t="str">
        <f>IF(Tab.o1[[#This Row],[a1]]=1,ABS(Tab.o1[[#This Row],[DIF_Target.]]*Tab.o1[[#This Row],[PDF2]]*Tab.o1[[#This Row],[IN]]),"")</f>
        <v/>
      </c>
      <c r="AG434" s="129" t="str">
        <f>IF(Tab.o1[[#This Row],[a1]]=1,Tab.o1[[#This Row],[rW]]^2,"")</f>
        <v/>
      </c>
      <c r="AH434" s="130" t="str">
        <f>IF(Tab.o1[[#This Row],[a1]]=1,IF(AH$3=0,Tab.o1[[#This Row],[rW2]],0.01+0.94*Tab.o1[[#This Row],[rW2]]/SUM(Tab.o1[rW2])),"")</f>
        <v/>
      </c>
      <c r="AI434" s="128" t="str">
        <f>IF(Tab.o1[[#This Row],[a1]]=1,1/Tab.o1[[#This Row],[PDF]],"")</f>
        <v/>
      </c>
      <c r="AJ434" s="131" t="str">
        <f>IF(Tab.o1[[#This Row],[a1]]=1,[1]!T_AA[[#This Row],[IN'']]*[1]!T_AA[[#This Row],[Qde'']],"")</f>
        <v/>
      </c>
      <c r="AK434" s="132" t="str">
        <f>IF(Tab.o1[[#This Row],[a1]]=1,IF(AK$1=1,Tab.o1[[#This Row],[MED]]+Tab.o1[[#This Row],[MOD]]-Tab.o1[[#This Row],[MED]],""),"")</f>
        <v/>
      </c>
      <c r="AL434" s="133" t="str">
        <f>IF(Tab.o1[[#This Row],[a1]]=1,[1]!T.in.A[[#This Row],[oo16]],"")</f>
        <v/>
      </c>
      <c r="AM434" s="133" t="str">
        <f>IF(Tab.o1[[#This Row],[a1]]=1,IF(AM$3=1,[1]!T.in.A[[#This Row],[Σo16]],""),"")</f>
        <v/>
      </c>
      <c r="AN434" s="126" t="str">
        <f>IF(Tab.o1[[#This Row],[a1]]=1,[1]!T.in.A[[#This Row],[Σp5]],"")</f>
        <v/>
      </c>
      <c r="AO434" s="126" t="str">
        <f>IF(Tab.o1[[#This Row],[a1]]=1,IF(AO$3=1,[1]!T.in.A[[#This Row],[Σp5]],""),"")</f>
        <v/>
      </c>
      <c r="AP434" s="110" t="str">
        <f>IF(Tab.o1[[#This Row],[a1]]=1,IF(ISNUMBER(Tab.o1[[#This Row],[i.]]),NORMDIST(Tab.o1[[#This Row],[Za]],0,1,FALSE)*Tab.o1[[#This Row],[i.]],0),"")</f>
        <v/>
      </c>
      <c r="AQ434" s="125" t="str">
        <f>IF(Tab.o1[[#This Row],[a1]]=1,ABS(Tab.o1[[#This Row],[MOD]]-AVERAGE(Tab.o1[MOD])),"")</f>
        <v/>
      </c>
      <c r="AR434" s="134" t="str">
        <f>IF(Tab.o1[[#This Row],[a1]]=1,Tab.o1[[#This Row],[OBS]]/SUM(Tab.o1[OBS]),"")</f>
        <v/>
      </c>
      <c r="AS434" s="135" t="str">
        <f>IF(ISNUMBER(Tab.o1[[#This Row],[a1]]),ROW()-4,"")</f>
        <v/>
      </c>
      <c r="AT434" s="136" t="str">
        <f>Tab.o1[[#This Row],[MOD]]</f>
        <v/>
      </c>
      <c r="AU434" s="137" t="str">
        <f t="shared" si="25"/>
        <v/>
      </c>
      <c r="AV434" s="138" t="str">
        <f t="shared" si="26"/>
        <v/>
      </c>
      <c r="AW434" s="138" t="str">
        <f t="shared" si="27"/>
        <v/>
      </c>
      <c r="AX434" s="139" t="str">
        <f>[1]!T.in.A[[#This Row],[ID_T_manu]]</f>
        <v/>
      </c>
      <c r="AY434" s="140" t="str">
        <f>IF(ISNUMBER(Tab.o1[[#This Row],[a1]]),IF(AND(Tab.o1[[#This Row],[a1]]=1,Tab.o1[[#This Row],[b1]]&lt;=AY$4),#REF!,AY433),"")</f>
        <v/>
      </c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</row>
    <row r="435" spans="1:79" ht="15.75" hidden="1">
      <c r="A435" s="109">
        <v>-5.9999999999999993E-6</v>
      </c>
      <c r="B435" s="110">
        <f t="shared" si="24"/>
        <v>435</v>
      </c>
      <c r="C435" s="111" t="str">
        <f>IF(C$1=[1]!T.in.A[[#This Row],[oo2]],1,"")</f>
        <v/>
      </c>
      <c r="D435" s="112" t="str">
        <f>IF(Tab.o1[[#This Row],[a1]]=1,IF(SUM(C435:C436)=0,0,IF(SUM(C434:C435)=1,1,IF(SUM(C434:C436)&gt;1,D434+1,0))),"")</f>
        <v/>
      </c>
      <c r="E435" s="113" t="str">
        <f>IF(Tab.o1[[#This Row],[a1]]=1,[1]!T.in.A[[#This Row],[oo1]],"")</f>
        <v/>
      </c>
      <c r="F435" s="113" t="str">
        <f>IF(Tab.o1[[#This Row],[a1]]=1,[1]!T.in.A[[#This Row],[pp1]],"")</f>
        <v/>
      </c>
      <c r="G435" s="114" t="str">
        <f>IF(Tab.o1[[#This Row],[a1]]=1,G$2+IF(G$1=1,0,Tab.o1[[#This Row],[.x1]])+[1]!T.in.A[[#This Row],[oo3]],"")</f>
        <v/>
      </c>
      <c r="H435" s="115" t="str">
        <f>IF(Tab.o1[[#This Row],[a1]]=1,IF(H$2=0,0,IF(G$1=1,0,Tab.o1[[#This Row],[.x1]])+[1]!T.in.A[[#This Row],[oo4]]),"")</f>
        <v/>
      </c>
      <c r="I435" s="116" t="str">
        <f>IF(Tab.o1[[#This Row],[a1]]=1,IF(J$2=0,Tab.o1[[#This Row],[MED]],Tab.o1[[#This Row],[MOD]]),"")</f>
        <v/>
      </c>
      <c r="J435" s="116" t="str">
        <f>IF(Tab.o1[[#This Row],[a1]]=1,((Tab.o1[[#This Row],[DIF_Target.]]-AVERAGE(Tab.o1[DIF_Target.]))/_xlfn.STDEV.P(Tab.o1[DIF_Target.])),"")</f>
        <v/>
      </c>
      <c r="K435" s="117" t="str">
        <f>IF(Tab.o1[[#This Row],[a1]]=1,IF(J$2=0,Tab.o1[[#This Row],[MOD]]-Tab.o1[[#This Row],[B]],IF(J$2=1,0,-Tab.o1[[#This Row],[MED]])+Tab.o1[[#This Row],[B]]),"")</f>
        <v/>
      </c>
      <c r="L435" s="117" t="str">
        <f ca="1">IF(Tab.o1[[#This Row],[DIF_Target]]=0,IF(L$2=0,Tab.o1[[#This Row],[DIF_Target]],AVERAGE(OFFSET(Tab.o1[[#This Row],[DIF_Target]],1,0,L$3,1)))/3,Tab.o1[[#This Row],[DIF_Target]])</f>
        <v/>
      </c>
      <c r="M435" s="118" t="str">
        <f>IF(Tab.o1[[#This Row],[a1]]=1,NORMSDIST(Tab.o1[[#This Row],[Za]]),"")</f>
        <v/>
      </c>
      <c r="N435" s="119" t="str">
        <f>IF(Tab.o1[[#This Row],[a1]]=1,((Tab.o1[[#This Row],[MedMod]]-AVERAGE(Tab.o1[MedMod]))/_xlfn.STDEV.P(Tab.o1[MedMod])*H$1205)+G$1205,"")</f>
        <v/>
      </c>
      <c r="O435" s="141" t="str">
        <f>IF(Tab.o1[[#This Row],[a1]]=1,Tab.o1[[#This Row],[Zb]]*_xlfn.STDEV.P(Tab.o1[MedMod])+AVERAGE(Tab.o1[MedMod]),"")</f>
        <v/>
      </c>
      <c r="P435" s="117" t="str">
        <f ca="1">IF(Tab.o1[[#This Row],[B]]=0,AVERAGE(OFFSET(Tab.o1[[#This Row],[B]],1,0,L$3,1)),Tab.o1[[#This Row],[B]])</f>
        <v/>
      </c>
      <c r="Q435" s="121" t="str">
        <f>IF(Tab.o1[[#This Row],[a1]]=1,NORMSDIST(Tab.o1[[#This Row],[Zb]]),"")</f>
        <v/>
      </c>
      <c r="R435" s="122" t="str">
        <f>IF(Tab.o1[[#This Row],[a1]]=1,((Tab.o1[[#This Row],[MedMod]]-AVERAGE(Tab.o1[MedMod]))/_xlfn.STDEV.P(Tab.o1[MedMod])*H$1203)+G$1203,"")</f>
        <v/>
      </c>
      <c r="S435" s="122" t="str">
        <f>IF(Tab.o1[[#This Row],[a1]]=1,((Tab.o1[[#This Row],[MedMod]]-AVERAGE(Tab.o1[MedMod]))/_xlfn.STDEV.P(Tab.o1[MedMod])*H$1204)+G$1204,"")</f>
        <v/>
      </c>
      <c r="T435" s="123" t="str">
        <f>IF(Tab.o1[[#This Row],[a1]]=1,Tab.o1[[#This Row],[Z-]]*_xlfn.STDEV.P(Tab.o1[B])+AVERAGE(Tab.o1[B]),"")</f>
        <v/>
      </c>
      <c r="U435" s="123" t="str">
        <f>IF(Tab.o1[[#This Row],[a1]]=1,Tab.o1[[#This Row],[z+]]*_xlfn.STDEV.P(Tab.o1[B])+AVERAGE(Tab.o1[B]),"")</f>
        <v/>
      </c>
      <c r="V435" s="124" t="str">
        <f>IF(Tab.o1[[#This Row],[a1]]=1,ABS((ABS(Tab.o1[[#This Row],[Red]]-Tab.o1[[#This Row],[Blue]]))),"")</f>
        <v/>
      </c>
      <c r="W435" s="125" t="str">
        <f>IF(Tab.o1[[#This Row],[a1]]=1,IF(W$3=0,1,Tab.o1[[#This Row],[Amp.]]*1/_xlfn.MINIFS(Tab.o1[Amp.],Tab.o1[Amp.],"&lt;&gt;0")),"")</f>
        <v/>
      </c>
      <c r="X435" s="126" t="str">
        <f>IF(Tab.o1[[#This Row],[a1]]=1,IF(ISNUMBER(Tab.o1[[#This Row],[i.]]),NORMDIST(Tab.o1[[#This Row],[Za]],0,1,FALSE)*Tab.o1[[#This Row],[i.]],AP$3),"")</f>
        <v/>
      </c>
      <c r="Y435" s="126" t="str">
        <f>IF(Tab.o1[[#This Row],[a1]]=1,0.01+0.94*Tab.o1[[#This Row],[PDF]]/MAX(Tab.o1[PDF]),"")</f>
        <v/>
      </c>
      <c r="Z435" s="126" t="str">
        <f>IF(Tab.o1[[#This Row],[a1]]=1,0.01+0.94*Tab.o1[[#This Row],[W1_PDF]]/MAX(Tab.o1[W1_PDF]),"")</f>
        <v/>
      </c>
      <c r="AA435" s="118" t="str">
        <f>IF(Tab.o1[[#This Row],[a1]]=1,ABS([1]!T.in.A[[#This Row],[oo6]]),"")</f>
        <v/>
      </c>
      <c r="AB435" s="127" t="str">
        <f>IF(Tab.o1[[#This Row],[a1]]=1,IF(AE$3=0,"",IF(AB$3=0,ABS([1]!T.in.A[[#This Row],[oo9]]),ABS(Tab.o1[[#This Row],[DIF_Target.]]*Tab.o1[[#This Row],[W1_PDF]]))),"")</f>
        <v/>
      </c>
      <c r="AC435" s="127" t="str">
        <f>IF(G$1=1,"",IF(Tab.o1[[#This Row],[a1]]=1,Tab.o1[[#This Row],[Wr]]^2,""))</f>
        <v/>
      </c>
      <c r="AD435" s="118" t="str">
        <f>IF(Tab.o1[[#This Row],[a1]]=1,IF(AE$3=0,"",Tab.o1[[#This Row],[Wr2]]/SUM(Tab.o1[Wr2])),"")</f>
        <v/>
      </c>
      <c r="AE435" s="128" t="str">
        <f>IF(Tab.o1[[#This Row],[a1]]=1,[1]!T.in.A[[#This Row],[oo10]],"")</f>
        <v/>
      </c>
      <c r="AF435" s="118" t="str">
        <f>IF(Tab.o1[[#This Row],[a1]]=1,ABS(Tab.o1[[#This Row],[DIF_Target.]]*Tab.o1[[#This Row],[PDF2]]*Tab.o1[[#This Row],[IN]]),"")</f>
        <v/>
      </c>
      <c r="AG435" s="129" t="str">
        <f>IF(Tab.o1[[#This Row],[a1]]=1,Tab.o1[[#This Row],[rW]]^2,"")</f>
        <v/>
      </c>
      <c r="AH435" s="130" t="str">
        <f>IF(Tab.o1[[#This Row],[a1]]=1,IF(AH$3=0,Tab.o1[[#This Row],[rW2]],0.01+0.94*Tab.o1[[#This Row],[rW2]]/SUM(Tab.o1[rW2])),"")</f>
        <v/>
      </c>
      <c r="AI435" s="128" t="str">
        <f>IF(Tab.o1[[#This Row],[a1]]=1,1/Tab.o1[[#This Row],[PDF]],"")</f>
        <v/>
      </c>
      <c r="AJ435" s="131" t="str">
        <f>IF(Tab.o1[[#This Row],[a1]]=1,[1]!T_AA[[#This Row],[IN'']]*[1]!T_AA[[#This Row],[Qde'']],"")</f>
        <v/>
      </c>
      <c r="AK435" s="132" t="str">
        <f>IF(Tab.o1[[#This Row],[a1]]=1,IF(AK$1=1,Tab.o1[[#This Row],[MED]]+Tab.o1[[#This Row],[MOD]]-Tab.o1[[#This Row],[MED]],""),"")</f>
        <v/>
      </c>
      <c r="AL435" s="133" t="str">
        <f>IF(Tab.o1[[#This Row],[a1]]=1,[1]!T.in.A[[#This Row],[oo16]],"")</f>
        <v/>
      </c>
      <c r="AM435" s="133" t="str">
        <f>IF(Tab.o1[[#This Row],[a1]]=1,IF(AM$3=1,[1]!T.in.A[[#This Row],[Σo16]],""),"")</f>
        <v/>
      </c>
      <c r="AN435" s="126" t="str">
        <f>IF(Tab.o1[[#This Row],[a1]]=1,[1]!T.in.A[[#This Row],[Σp5]],"")</f>
        <v/>
      </c>
      <c r="AO435" s="126" t="str">
        <f>IF(Tab.o1[[#This Row],[a1]]=1,IF(AO$3=1,[1]!T.in.A[[#This Row],[Σp5]],""),"")</f>
        <v/>
      </c>
      <c r="AP435" s="110" t="str">
        <f>IF(Tab.o1[[#This Row],[a1]]=1,IF(ISNUMBER(Tab.o1[[#This Row],[i.]]),NORMDIST(Tab.o1[[#This Row],[Za]],0,1,FALSE)*Tab.o1[[#This Row],[i.]],0),"")</f>
        <v/>
      </c>
      <c r="AQ435" s="125" t="str">
        <f>IF(Tab.o1[[#This Row],[a1]]=1,ABS(Tab.o1[[#This Row],[MOD]]-AVERAGE(Tab.o1[MOD])),"")</f>
        <v/>
      </c>
      <c r="AR435" s="134" t="str">
        <f>IF(Tab.o1[[#This Row],[a1]]=1,Tab.o1[[#This Row],[OBS]]/SUM(Tab.o1[OBS]),"")</f>
        <v/>
      </c>
      <c r="AS435" s="135" t="str">
        <f>IF(ISNUMBER(Tab.o1[[#This Row],[a1]]),ROW()-4,"")</f>
        <v/>
      </c>
      <c r="AT435" s="136" t="str">
        <f>Tab.o1[[#This Row],[MOD]]</f>
        <v/>
      </c>
      <c r="AU435" s="137" t="str">
        <f t="shared" si="25"/>
        <v/>
      </c>
      <c r="AV435" s="138" t="str">
        <f t="shared" si="26"/>
        <v/>
      </c>
      <c r="AW435" s="138" t="str">
        <f t="shared" si="27"/>
        <v/>
      </c>
      <c r="AX435" s="139" t="str">
        <f>[1]!T.in.A[[#This Row],[ID_T_manu]]</f>
        <v/>
      </c>
      <c r="AY435" s="140" t="str">
        <f>IF(ISNUMBER(Tab.o1[[#This Row],[a1]]),IF(AND(Tab.o1[[#This Row],[a1]]=1,Tab.o1[[#This Row],[b1]]&lt;=AY$4),#REF!,AY434),"")</f>
        <v/>
      </c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</row>
    <row r="436" spans="1:79" ht="15.75" hidden="1">
      <c r="A436" s="109">
        <v>5.0000000000000004E-6</v>
      </c>
      <c r="B436" s="110">
        <f t="shared" si="24"/>
        <v>436</v>
      </c>
      <c r="C436" s="111" t="str">
        <f>IF(C$1=[1]!T.in.A[[#This Row],[oo2]],1,"")</f>
        <v/>
      </c>
      <c r="D436" s="112" t="str">
        <f>IF(Tab.o1[[#This Row],[a1]]=1,IF(SUM(C436:C437)=0,0,IF(SUM(C435:C436)=1,1,IF(SUM(C435:C437)&gt;1,D435+1,0))),"")</f>
        <v/>
      </c>
      <c r="E436" s="113" t="str">
        <f>IF(Tab.o1[[#This Row],[a1]]=1,[1]!T.in.A[[#This Row],[oo1]],"")</f>
        <v/>
      </c>
      <c r="F436" s="113" t="str">
        <f>IF(Tab.o1[[#This Row],[a1]]=1,[1]!T.in.A[[#This Row],[pp1]],"")</f>
        <v/>
      </c>
      <c r="G436" s="114" t="str">
        <f>IF(Tab.o1[[#This Row],[a1]]=1,G$2+IF(G$1=1,0,Tab.o1[[#This Row],[.x1]])+[1]!T.in.A[[#This Row],[oo3]],"")</f>
        <v/>
      </c>
      <c r="H436" s="115" t="str">
        <f>IF(Tab.o1[[#This Row],[a1]]=1,IF(H$2=0,0,IF(G$1=1,0,Tab.o1[[#This Row],[.x1]])+[1]!T.in.A[[#This Row],[oo4]]),"")</f>
        <v/>
      </c>
      <c r="I436" s="116" t="str">
        <f>IF(Tab.o1[[#This Row],[a1]]=1,IF(J$2=0,Tab.o1[[#This Row],[MED]],Tab.o1[[#This Row],[MOD]]),"")</f>
        <v/>
      </c>
      <c r="J436" s="116" t="str">
        <f>IF(Tab.o1[[#This Row],[a1]]=1,((Tab.o1[[#This Row],[DIF_Target.]]-AVERAGE(Tab.o1[DIF_Target.]))/_xlfn.STDEV.P(Tab.o1[DIF_Target.])),"")</f>
        <v/>
      </c>
      <c r="K436" s="117" t="str">
        <f>IF(Tab.o1[[#This Row],[a1]]=1,IF(J$2=0,Tab.o1[[#This Row],[MOD]]-Tab.o1[[#This Row],[B]],IF(J$2=1,0,-Tab.o1[[#This Row],[MED]])+Tab.o1[[#This Row],[B]]),"")</f>
        <v/>
      </c>
      <c r="L436" s="117" t="str">
        <f ca="1">IF(Tab.o1[[#This Row],[DIF_Target]]=0,IF(L$2=0,Tab.o1[[#This Row],[DIF_Target]],AVERAGE(OFFSET(Tab.o1[[#This Row],[DIF_Target]],1,0,L$3,1)))/3,Tab.o1[[#This Row],[DIF_Target]])</f>
        <v/>
      </c>
      <c r="M436" s="118" t="str">
        <f>IF(Tab.o1[[#This Row],[a1]]=1,NORMSDIST(Tab.o1[[#This Row],[Za]]),"")</f>
        <v/>
      </c>
      <c r="N436" s="119" t="str">
        <f>IF(Tab.o1[[#This Row],[a1]]=1,((Tab.o1[[#This Row],[MedMod]]-AVERAGE(Tab.o1[MedMod]))/_xlfn.STDEV.P(Tab.o1[MedMod])*H$1205)+G$1205,"")</f>
        <v/>
      </c>
      <c r="O436" s="141" t="str">
        <f>IF(Tab.o1[[#This Row],[a1]]=1,Tab.o1[[#This Row],[Zb]]*_xlfn.STDEV.P(Tab.o1[MedMod])+AVERAGE(Tab.o1[MedMod]),"")</f>
        <v/>
      </c>
      <c r="P436" s="117" t="str">
        <f ca="1">IF(Tab.o1[[#This Row],[B]]=0,AVERAGE(OFFSET(Tab.o1[[#This Row],[B]],1,0,L$3,1)),Tab.o1[[#This Row],[B]])</f>
        <v/>
      </c>
      <c r="Q436" s="121" t="str">
        <f>IF(Tab.o1[[#This Row],[a1]]=1,NORMSDIST(Tab.o1[[#This Row],[Zb]]),"")</f>
        <v/>
      </c>
      <c r="R436" s="122" t="str">
        <f>IF(Tab.o1[[#This Row],[a1]]=1,((Tab.o1[[#This Row],[MedMod]]-AVERAGE(Tab.o1[MedMod]))/_xlfn.STDEV.P(Tab.o1[MedMod])*H$1203)+G$1203,"")</f>
        <v/>
      </c>
      <c r="S436" s="122" t="str">
        <f>IF(Tab.o1[[#This Row],[a1]]=1,((Tab.o1[[#This Row],[MedMod]]-AVERAGE(Tab.o1[MedMod]))/_xlfn.STDEV.P(Tab.o1[MedMod])*H$1204)+G$1204,"")</f>
        <v/>
      </c>
      <c r="T436" s="123" t="str">
        <f>IF(Tab.o1[[#This Row],[a1]]=1,Tab.o1[[#This Row],[Z-]]*_xlfn.STDEV.P(Tab.o1[B])+AVERAGE(Tab.o1[B]),"")</f>
        <v/>
      </c>
      <c r="U436" s="123" t="str">
        <f>IF(Tab.o1[[#This Row],[a1]]=1,Tab.o1[[#This Row],[z+]]*_xlfn.STDEV.P(Tab.o1[B])+AVERAGE(Tab.o1[B]),"")</f>
        <v/>
      </c>
      <c r="V436" s="124" t="str">
        <f>IF(Tab.o1[[#This Row],[a1]]=1,ABS((ABS(Tab.o1[[#This Row],[Red]]-Tab.o1[[#This Row],[Blue]]))),"")</f>
        <v/>
      </c>
      <c r="W436" s="125" t="str">
        <f>IF(Tab.o1[[#This Row],[a1]]=1,IF(W$3=0,1,Tab.o1[[#This Row],[Amp.]]*1/_xlfn.MINIFS(Tab.o1[Amp.],Tab.o1[Amp.],"&lt;&gt;0")),"")</f>
        <v/>
      </c>
      <c r="X436" s="126" t="str">
        <f>IF(Tab.o1[[#This Row],[a1]]=1,IF(ISNUMBER(Tab.o1[[#This Row],[i.]]),NORMDIST(Tab.o1[[#This Row],[Za]],0,1,FALSE)*Tab.o1[[#This Row],[i.]],AP$3),"")</f>
        <v/>
      </c>
      <c r="Y436" s="126" t="str">
        <f>IF(Tab.o1[[#This Row],[a1]]=1,0.01+0.94*Tab.o1[[#This Row],[PDF]]/MAX(Tab.o1[PDF]),"")</f>
        <v/>
      </c>
      <c r="Z436" s="126" t="str">
        <f>IF(Tab.o1[[#This Row],[a1]]=1,0.01+0.94*Tab.o1[[#This Row],[W1_PDF]]/MAX(Tab.o1[W1_PDF]),"")</f>
        <v/>
      </c>
      <c r="AA436" s="118" t="str">
        <f>IF(Tab.o1[[#This Row],[a1]]=1,ABS([1]!T.in.A[[#This Row],[oo6]]),"")</f>
        <v/>
      </c>
      <c r="AB436" s="127" t="str">
        <f>IF(Tab.o1[[#This Row],[a1]]=1,IF(AE$3=0,"",IF(AB$3=0,ABS([1]!T.in.A[[#This Row],[oo9]]),ABS(Tab.o1[[#This Row],[DIF_Target.]]*Tab.o1[[#This Row],[W1_PDF]]))),"")</f>
        <v/>
      </c>
      <c r="AC436" s="127" t="str">
        <f>IF(G$1=1,"",IF(Tab.o1[[#This Row],[a1]]=1,Tab.o1[[#This Row],[Wr]]^2,""))</f>
        <v/>
      </c>
      <c r="AD436" s="118" t="str">
        <f>IF(Tab.o1[[#This Row],[a1]]=1,IF(AE$3=0,"",Tab.o1[[#This Row],[Wr2]]/SUM(Tab.o1[Wr2])),"")</f>
        <v/>
      </c>
      <c r="AE436" s="128" t="str">
        <f>IF(Tab.o1[[#This Row],[a1]]=1,[1]!T.in.A[[#This Row],[oo10]],"")</f>
        <v/>
      </c>
      <c r="AF436" s="118" t="str">
        <f>IF(Tab.o1[[#This Row],[a1]]=1,ABS(Tab.o1[[#This Row],[DIF_Target.]]*Tab.o1[[#This Row],[PDF2]]*Tab.o1[[#This Row],[IN]]),"")</f>
        <v/>
      </c>
      <c r="AG436" s="129" t="str">
        <f>IF(Tab.o1[[#This Row],[a1]]=1,Tab.o1[[#This Row],[rW]]^2,"")</f>
        <v/>
      </c>
      <c r="AH436" s="130" t="str">
        <f>IF(Tab.o1[[#This Row],[a1]]=1,IF(AH$3=0,Tab.o1[[#This Row],[rW2]],0.01+0.94*Tab.o1[[#This Row],[rW2]]/SUM(Tab.o1[rW2])),"")</f>
        <v/>
      </c>
      <c r="AI436" s="128" t="str">
        <f>IF(Tab.o1[[#This Row],[a1]]=1,1/Tab.o1[[#This Row],[PDF]],"")</f>
        <v/>
      </c>
      <c r="AJ436" s="131" t="str">
        <f>IF(Tab.o1[[#This Row],[a1]]=1,[1]!T_AA[[#This Row],[IN'']]*[1]!T_AA[[#This Row],[Qde'']],"")</f>
        <v/>
      </c>
      <c r="AK436" s="132" t="str">
        <f>IF(Tab.o1[[#This Row],[a1]]=1,IF(AK$1=1,Tab.o1[[#This Row],[MED]]+Tab.o1[[#This Row],[MOD]]-Tab.o1[[#This Row],[MED]],""),"")</f>
        <v/>
      </c>
      <c r="AL436" s="133" t="str">
        <f>IF(Tab.o1[[#This Row],[a1]]=1,[1]!T.in.A[[#This Row],[oo16]],"")</f>
        <v/>
      </c>
      <c r="AM436" s="133" t="str">
        <f>IF(Tab.o1[[#This Row],[a1]]=1,IF(AM$3=1,[1]!T.in.A[[#This Row],[Σo16]],""),"")</f>
        <v/>
      </c>
      <c r="AN436" s="126" t="str">
        <f>IF(Tab.o1[[#This Row],[a1]]=1,[1]!T.in.A[[#This Row],[Σp5]],"")</f>
        <v/>
      </c>
      <c r="AO436" s="126" t="str">
        <f>IF(Tab.o1[[#This Row],[a1]]=1,IF(AO$3=1,[1]!T.in.A[[#This Row],[Σp5]],""),"")</f>
        <v/>
      </c>
      <c r="AP436" s="110" t="str">
        <f>IF(Tab.o1[[#This Row],[a1]]=1,IF(ISNUMBER(Tab.o1[[#This Row],[i.]]),NORMDIST(Tab.o1[[#This Row],[Za]],0,1,FALSE)*Tab.o1[[#This Row],[i.]],0),"")</f>
        <v/>
      </c>
      <c r="AQ436" s="125" t="str">
        <f>IF(Tab.o1[[#This Row],[a1]]=1,ABS(Tab.o1[[#This Row],[MOD]]-AVERAGE(Tab.o1[MOD])),"")</f>
        <v/>
      </c>
      <c r="AR436" s="134" t="str">
        <f>IF(Tab.o1[[#This Row],[a1]]=1,Tab.o1[[#This Row],[OBS]]/SUM(Tab.o1[OBS]),"")</f>
        <v/>
      </c>
      <c r="AS436" s="135" t="str">
        <f>IF(ISNUMBER(Tab.o1[[#This Row],[a1]]),ROW()-4,"")</f>
        <v/>
      </c>
      <c r="AT436" s="136" t="str">
        <f>Tab.o1[[#This Row],[MOD]]</f>
        <v/>
      </c>
      <c r="AU436" s="137" t="str">
        <f t="shared" si="25"/>
        <v/>
      </c>
      <c r="AV436" s="138" t="str">
        <f t="shared" si="26"/>
        <v/>
      </c>
      <c r="AW436" s="138" t="str">
        <f t="shared" si="27"/>
        <v/>
      </c>
      <c r="AX436" s="139" t="str">
        <f>[1]!T.in.A[[#This Row],[ID_T_manu]]</f>
        <v/>
      </c>
      <c r="AY436" s="140" t="str">
        <f>IF(ISNUMBER(Tab.o1[[#This Row],[a1]]),IF(AND(Tab.o1[[#This Row],[a1]]=1,Tab.o1[[#This Row],[b1]]&lt;=AY$4),#REF!,AY435),"")</f>
        <v/>
      </c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</row>
    <row r="437" spans="1:79" ht="15.75" hidden="1">
      <c r="A437" s="109">
        <v>-5.9999999999999993E-6</v>
      </c>
      <c r="B437" s="110">
        <f t="shared" si="24"/>
        <v>437</v>
      </c>
      <c r="C437" s="111" t="str">
        <f>IF(C$1=[1]!T.in.A[[#This Row],[oo2]],1,"")</f>
        <v/>
      </c>
      <c r="D437" s="112" t="str">
        <f>IF(Tab.o1[[#This Row],[a1]]=1,IF(SUM(C437:C438)=0,0,IF(SUM(C436:C437)=1,1,IF(SUM(C436:C438)&gt;1,D436+1,0))),"")</f>
        <v/>
      </c>
      <c r="E437" s="113" t="str">
        <f>IF(Tab.o1[[#This Row],[a1]]=1,[1]!T.in.A[[#This Row],[oo1]],"")</f>
        <v/>
      </c>
      <c r="F437" s="113" t="str">
        <f>IF(Tab.o1[[#This Row],[a1]]=1,[1]!T.in.A[[#This Row],[pp1]],"")</f>
        <v/>
      </c>
      <c r="G437" s="114" t="str">
        <f>IF(Tab.o1[[#This Row],[a1]]=1,G$2+IF(G$1=1,0,Tab.o1[[#This Row],[.x1]])+[1]!T.in.A[[#This Row],[oo3]],"")</f>
        <v/>
      </c>
      <c r="H437" s="115" t="str">
        <f>IF(Tab.o1[[#This Row],[a1]]=1,IF(H$2=0,0,IF(G$1=1,0,Tab.o1[[#This Row],[.x1]])+[1]!T.in.A[[#This Row],[oo4]]),"")</f>
        <v/>
      </c>
      <c r="I437" s="116" t="str">
        <f>IF(Tab.o1[[#This Row],[a1]]=1,IF(J$2=0,Tab.o1[[#This Row],[MED]],Tab.o1[[#This Row],[MOD]]),"")</f>
        <v/>
      </c>
      <c r="J437" s="116" t="str">
        <f>IF(Tab.o1[[#This Row],[a1]]=1,((Tab.o1[[#This Row],[DIF_Target.]]-AVERAGE(Tab.o1[DIF_Target.]))/_xlfn.STDEV.P(Tab.o1[DIF_Target.])),"")</f>
        <v/>
      </c>
      <c r="K437" s="117" t="str">
        <f>IF(Tab.o1[[#This Row],[a1]]=1,IF(J$2=0,Tab.o1[[#This Row],[MOD]]-Tab.o1[[#This Row],[B]],IF(J$2=1,0,-Tab.o1[[#This Row],[MED]])+Tab.o1[[#This Row],[B]]),"")</f>
        <v/>
      </c>
      <c r="L437" s="117" t="str">
        <f ca="1">IF(Tab.o1[[#This Row],[DIF_Target]]=0,IF(L$2=0,Tab.o1[[#This Row],[DIF_Target]],AVERAGE(OFFSET(Tab.o1[[#This Row],[DIF_Target]],1,0,L$3,1)))/3,Tab.o1[[#This Row],[DIF_Target]])</f>
        <v/>
      </c>
      <c r="M437" s="118" t="str">
        <f>IF(Tab.o1[[#This Row],[a1]]=1,NORMSDIST(Tab.o1[[#This Row],[Za]]),"")</f>
        <v/>
      </c>
      <c r="N437" s="119" t="str">
        <f>IF(Tab.o1[[#This Row],[a1]]=1,((Tab.o1[[#This Row],[MedMod]]-AVERAGE(Tab.o1[MedMod]))/_xlfn.STDEV.P(Tab.o1[MedMod])*H$1205)+G$1205,"")</f>
        <v/>
      </c>
      <c r="O437" s="141" t="str">
        <f>IF(Tab.o1[[#This Row],[a1]]=1,Tab.o1[[#This Row],[Zb]]*_xlfn.STDEV.P(Tab.o1[MedMod])+AVERAGE(Tab.o1[MedMod]),"")</f>
        <v/>
      </c>
      <c r="P437" s="117" t="str">
        <f ca="1">IF(Tab.o1[[#This Row],[B]]=0,AVERAGE(OFFSET(Tab.o1[[#This Row],[B]],1,0,L$3,1)),Tab.o1[[#This Row],[B]])</f>
        <v/>
      </c>
      <c r="Q437" s="121" t="str">
        <f>IF(Tab.o1[[#This Row],[a1]]=1,NORMSDIST(Tab.o1[[#This Row],[Zb]]),"")</f>
        <v/>
      </c>
      <c r="R437" s="122" t="str">
        <f>IF(Tab.o1[[#This Row],[a1]]=1,((Tab.o1[[#This Row],[MedMod]]-AVERAGE(Tab.o1[MedMod]))/_xlfn.STDEV.P(Tab.o1[MedMod])*H$1203)+G$1203,"")</f>
        <v/>
      </c>
      <c r="S437" s="122" t="str">
        <f>IF(Tab.o1[[#This Row],[a1]]=1,((Tab.o1[[#This Row],[MedMod]]-AVERAGE(Tab.o1[MedMod]))/_xlfn.STDEV.P(Tab.o1[MedMod])*H$1204)+G$1204,"")</f>
        <v/>
      </c>
      <c r="T437" s="123" t="str">
        <f>IF(Tab.o1[[#This Row],[a1]]=1,Tab.o1[[#This Row],[Z-]]*_xlfn.STDEV.P(Tab.o1[B])+AVERAGE(Tab.o1[B]),"")</f>
        <v/>
      </c>
      <c r="U437" s="123" t="str">
        <f>IF(Tab.o1[[#This Row],[a1]]=1,Tab.o1[[#This Row],[z+]]*_xlfn.STDEV.P(Tab.o1[B])+AVERAGE(Tab.o1[B]),"")</f>
        <v/>
      </c>
      <c r="V437" s="124" t="str">
        <f>IF(Tab.o1[[#This Row],[a1]]=1,ABS((ABS(Tab.o1[[#This Row],[Red]]-Tab.o1[[#This Row],[Blue]]))),"")</f>
        <v/>
      </c>
      <c r="W437" s="125" t="str">
        <f>IF(Tab.o1[[#This Row],[a1]]=1,IF(W$3=0,1,Tab.o1[[#This Row],[Amp.]]*1/_xlfn.MINIFS(Tab.o1[Amp.],Tab.o1[Amp.],"&lt;&gt;0")),"")</f>
        <v/>
      </c>
      <c r="X437" s="126" t="str">
        <f>IF(Tab.o1[[#This Row],[a1]]=1,IF(ISNUMBER(Tab.o1[[#This Row],[i.]]),NORMDIST(Tab.o1[[#This Row],[Za]],0,1,FALSE)*Tab.o1[[#This Row],[i.]],AP$3),"")</f>
        <v/>
      </c>
      <c r="Y437" s="126" t="str">
        <f>IF(Tab.o1[[#This Row],[a1]]=1,0.01+0.94*Tab.o1[[#This Row],[PDF]]/MAX(Tab.o1[PDF]),"")</f>
        <v/>
      </c>
      <c r="Z437" s="126" t="str">
        <f>IF(Tab.o1[[#This Row],[a1]]=1,0.01+0.94*Tab.o1[[#This Row],[W1_PDF]]/MAX(Tab.o1[W1_PDF]),"")</f>
        <v/>
      </c>
      <c r="AA437" s="118" t="str">
        <f>IF(Tab.o1[[#This Row],[a1]]=1,ABS([1]!T.in.A[[#This Row],[oo6]]),"")</f>
        <v/>
      </c>
      <c r="AB437" s="127" t="str">
        <f>IF(Tab.o1[[#This Row],[a1]]=1,IF(AE$3=0,"",IF(AB$3=0,ABS([1]!T.in.A[[#This Row],[oo9]]),ABS(Tab.o1[[#This Row],[DIF_Target.]]*Tab.o1[[#This Row],[W1_PDF]]))),"")</f>
        <v/>
      </c>
      <c r="AC437" s="127" t="str">
        <f>IF(G$1=1,"",IF(Tab.o1[[#This Row],[a1]]=1,Tab.o1[[#This Row],[Wr]]^2,""))</f>
        <v/>
      </c>
      <c r="AD437" s="118" t="str">
        <f>IF(Tab.o1[[#This Row],[a1]]=1,IF(AE$3=0,"",Tab.o1[[#This Row],[Wr2]]/SUM(Tab.o1[Wr2])),"")</f>
        <v/>
      </c>
      <c r="AE437" s="128" t="str">
        <f>IF(Tab.o1[[#This Row],[a1]]=1,[1]!T.in.A[[#This Row],[oo10]],"")</f>
        <v/>
      </c>
      <c r="AF437" s="118" t="str">
        <f>IF(Tab.o1[[#This Row],[a1]]=1,ABS(Tab.o1[[#This Row],[DIF_Target.]]*Tab.o1[[#This Row],[PDF2]]*Tab.o1[[#This Row],[IN]]),"")</f>
        <v/>
      </c>
      <c r="AG437" s="129" t="str">
        <f>IF(Tab.o1[[#This Row],[a1]]=1,Tab.o1[[#This Row],[rW]]^2,"")</f>
        <v/>
      </c>
      <c r="AH437" s="130" t="str">
        <f>IF(Tab.o1[[#This Row],[a1]]=1,IF(AH$3=0,Tab.o1[[#This Row],[rW2]],0.01+0.94*Tab.o1[[#This Row],[rW2]]/SUM(Tab.o1[rW2])),"")</f>
        <v/>
      </c>
      <c r="AI437" s="128" t="str">
        <f>IF(Tab.o1[[#This Row],[a1]]=1,1/Tab.o1[[#This Row],[PDF]],"")</f>
        <v/>
      </c>
      <c r="AJ437" s="131" t="str">
        <f>IF(Tab.o1[[#This Row],[a1]]=1,[1]!T_AA[[#This Row],[IN'']]*[1]!T_AA[[#This Row],[Qde'']],"")</f>
        <v/>
      </c>
      <c r="AK437" s="132" t="str">
        <f>IF(Tab.o1[[#This Row],[a1]]=1,IF(AK$1=1,Tab.o1[[#This Row],[MED]]+Tab.o1[[#This Row],[MOD]]-Tab.o1[[#This Row],[MED]],""),"")</f>
        <v/>
      </c>
      <c r="AL437" s="133" t="str">
        <f>IF(Tab.o1[[#This Row],[a1]]=1,[1]!T.in.A[[#This Row],[oo16]],"")</f>
        <v/>
      </c>
      <c r="AM437" s="133" t="str">
        <f>IF(Tab.o1[[#This Row],[a1]]=1,IF(AM$3=1,[1]!T.in.A[[#This Row],[Σo16]],""),"")</f>
        <v/>
      </c>
      <c r="AN437" s="126" t="str">
        <f>IF(Tab.o1[[#This Row],[a1]]=1,[1]!T.in.A[[#This Row],[Σp5]],"")</f>
        <v/>
      </c>
      <c r="AO437" s="126" t="str">
        <f>IF(Tab.o1[[#This Row],[a1]]=1,IF(AO$3=1,[1]!T.in.A[[#This Row],[Σp5]],""),"")</f>
        <v/>
      </c>
      <c r="AP437" s="110" t="str">
        <f>IF(Tab.o1[[#This Row],[a1]]=1,IF(ISNUMBER(Tab.o1[[#This Row],[i.]]),NORMDIST(Tab.o1[[#This Row],[Za]],0,1,FALSE)*Tab.o1[[#This Row],[i.]],0),"")</f>
        <v/>
      </c>
      <c r="AQ437" s="125" t="str">
        <f>IF(Tab.o1[[#This Row],[a1]]=1,ABS(Tab.o1[[#This Row],[MOD]]-AVERAGE(Tab.o1[MOD])),"")</f>
        <v/>
      </c>
      <c r="AR437" s="134" t="str">
        <f>IF(Tab.o1[[#This Row],[a1]]=1,Tab.o1[[#This Row],[OBS]]/SUM(Tab.o1[OBS]),"")</f>
        <v/>
      </c>
      <c r="AS437" s="135" t="str">
        <f>IF(ISNUMBER(Tab.o1[[#This Row],[a1]]),ROW()-4,"")</f>
        <v/>
      </c>
      <c r="AT437" s="136" t="str">
        <f>Tab.o1[[#This Row],[MOD]]</f>
        <v/>
      </c>
      <c r="AU437" s="137" t="str">
        <f t="shared" si="25"/>
        <v/>
      </c>
      <c r="AV437" s="138" t="str">
        <f t="shared" si="26"/>
        <v/>
      </c>
      <c r="AW437" s="138" t="str">
        <f t="shared" si="27"/>
        <v/>
      </c>
      <c r="AX437" s="139" t="str">
        <f>[1]!T.in.A[[#This Row],[ID_T_manu]]</f>
        <v/>
      </c>
      <c r="AY437" s="140" t="str">
        <f>IF(ISNUMBER(Tab.o1[[#This Row],[a1]]),IF(AND(Tab.o1[[#This Row],[a1]]=1,Tab.o1[[#This Row],[b1]]&lt;=AY$4),#REF!,AY436),"")</f>
        <v/>
      </c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</row>
    <row r="438" spans="1:79" ht="15.75" hidden="1">
      <c r="A438" s="109">
        <v>6.9999999999999999E-6</v>
      </c>
      <c r="B438" s="110">
        <f t="shared" si="24"/>
        <v>438</v>
      </c>
      <c r="C438" s="111" t="str">
        <f>IF(C$1=[1]!T.in.A[[#This Row],[oo2]],1,"")</f>
        <v/>
      </c>
      <c r="D438" s="112" t="str">
        <f>IF(Tab.o1[[#This Row],[a1]]=1,IF(SUM(C438:C439)=0,0,IF(SUM(C437:C438)=1,1,IF(SUM(C437:C439)&gt;1,D437+1,0))),"")</f>
        <v/>
      </c>
      <c r="E438" s="113" t="str">
        <f>IF(Tab.o1[[#This Row],[a1]]=1,[1]!T.in.A[[#This Row],[oo1]],"")</f>
        <v/>
      </c>
      <c r="F438" s="113" t="str">
        <f>IF(Tab.o1[[#This Row],[a1]]=1,[1]!T.in.A[[#This Row],[pp1]],"")</f>
        <v/>
      </c>
      <c r="G438" s="114" t="str">
        <f>IF(Tab.o1[[#This Row],[a1]]=1,G$2+IF(G$1=1,0,Tab.o1[[#This Row],[.x1]])+[1]!T.in.A[[#This Row],[oo3]],"")</f>
        <v/>
      </c>
      <c r="H438" s="115" t="str">
        <f>IF(Tab.o1[[#This Row],[a1]]=1,IF(H$2=0,0,IF(G$1=1,0,Tab.o1[[#This Row],[.x1]])+[1]!T.in.A[[#This Row],[oo4]]),"")</f>
        <v/>
      </c>
      <c r="I438" s="116" t="str">
        <f>IF(Tab.o1[[#This Row],[a1]]=1,IF(J$2=0,Tab.o1[[#This Row],[MED]],Tab.o1[[#This Row],[MOD]]),"")</f>
        <v/>
      </c>
      <c r="J438" s="116" t="str">
        <f>IF(Tab.o1[[#This Row],[a1]]=1,((Tab.o1[[#This Row],[DIF_Target.]]-AVERAGE(Tab.o1[DIF_Target.]))/_xlfn.STDEV.P(Tab.o1[DIF_Target.])),"")</f>
        <v/>
      </c>
      <c r="K438" s="117" t="str">
        <f>IF(Tab.o1[[#This Row],[a1]]=1,IF(J$2=0,Tab.o1[[#This Row],[MOD]]-Tab.o1[[#This Row],[B]],IF(J$2=1,0,-Tab.o1[[#This Row],[MED]])+Tab.o1[[#This Row],[B]]),"")</f>
        <v/>
      </c>
      <c r="L438" s="117" t="str">
        <f ca="1">IF(Tab.o1[[#This Row],[DIF_Target]]=0,IF(L$2=0,Tab.o1[[#This Row],[DIF_Target]],AVERAGE(OFFSET(Tab.o1[[#This Row],[DIF_Target]],1,0,L$3,1)))/3,Tab.o1[[#This Row],[DIF_Target]])</f>
        <v/>
      </c>
      <c r="M438" s="118" t="str">
        <f>IF(Tab.o1[[#This Row],[a1]]=1,NORMSDIST(Tab.o1[[#This Row],[Za]]),"")</f>
        <v/>
      </c>
      <c r="N438" s="119" t="str">
        <f>IF(Tab.o1[[#This Row],[a1]]=1,((Tab.o1[[#This Row],[MedMod]]-AVERAGE(Tab.o1[MedMod]))/_xlfn.STDEV.P(Tab.o1[MedMod])*H$1205)+G$1205,"")</f>
        <v/>
      </c>
      <c r="O438" s="141" t="str">
        <f>IF(Tab.o1[[#This Row],[a1]]=1,Tab.o1[[#This Row],[Zb]]*_xlfn.STDEV.P(Tab.o1[MedMod])+AVERAGE(Tab.o1[MedMod]),"")</f>
        <v/>
      </c>
      <c r="P438" s="117" t="str">
        <f ca="1">IF(Tab.o1[[#This Row],[B]]=0,AVERAGE(OFFSET(Tab.o1[[#This Row],[B]],1,0,L$3,1)),Tab.o1[[#This Row],[B]])</f>
        <v/>
      </c>
      <c r="Q438" s="121" t="str">
        <f>IF(Tab.o1[[#This Row],[a1]]=1,NORMSDIST(Tab.o1[[#This Row],[Zb]]),"")</f>
        <v/>
      </c>
      <c r="R438" s="122" t="str">
        <f>IF(Tab.o1[[#This Row],[a1]]=1,((Tab.o1[[#This Row],[MedMod]]-AVERAGE(Tab.o1[MedMod]))/_xlfn.STDEV.P(Tab.o1[MedMod])*H$1203)+G$1203,"")</f>
        <v/>
      </c>
      <c r="S438" s="122" t="str">
        <f>IF(Tab.o1[[#This Row],[a1]]=1,((Tab.o1[[#This Row],[MedMod]]-AVERAGE(Tab.o1[MedMod]))/_xlfn.STDEV.P(Tab.o1[MedMod])*H$1204)+G$1204,"")</f>
        <v/>
      </c>
      <c r="T438" s="123" t="str">
        <f>IF(Tab.o1[[#This Row],[a1]]=1,Tab.o1[[#This Row],[Z-]]*_xlfn.STDEV.P(Tab.o1[B])+AVERAGE(Tab.o1[B]),"")</f>
        <v/>
      </c>
      <c r="U438" s="123" t="str">
        <f>IF(Tab.o1[[#This Row],[a1]]=1,Tab.o1[[#This Row],[z+]]*_xlfn.STDEV.P(Tab.o1[B])+AVERAGE(Tab.o1[B]),"")</f>
        <v/>
      </c>
      <c r="V438" s="124" t="str">
        <f>IF(Tab.o1[[#This Row],[a1]]=1,ABS((ABS(Tab.o1[[#This Row],[Red]]-Tab.o1[[#This Row],[Blue]]))),"")</f>
        <v/>
      </c>
      <c r="W438" s="125" t="str">
        <f>IF(Tab.o1[[#This Row],[a1]]=1,IF(W$3=0,1,Tab.o1[[#This Row],[Amp.]]*1/_xlfn.MINIFS(Tab.o1[Amp.],Tab.o1[Amp.],"&lt;&gt;0")),"")</f>
        <v/>
      </c>
      <c r="X438" s="126" t="str">
        <f>IF(Tab.o1[[#This Row],[a1]]=1,IF(ISNUMBER(Tab.o1[[#This Row],[i.]]),NORMDIST(Tab.o1[[#This Row],[Za]],0,1,FALSE)*Tab.o1[[#This Row],[i.]],AP$3),"")</f>
        <v/>
      </c>
      <c r="Y438" s="126" t="str">
        <f>IF(Tab.o1[[#This Row],[a1]]=1,0.01+0.94*Tab.o1[[#This Row],[PDF]]/MAX(Tab.o1[PDF]),"")</f>
        <v/>
      </c>
      <c r="Z438" s="126" t="str">
        <f>IF(Tab.o1[[#This Row],[a1]]=1,0.01+0.94*Tab.o1[[#This Row],[W1_PDF]]/MAX(Tab.o1[W1_PDF]),"")</f>
        <v/>
      </c>
      <c r="AA438" s="118" t="str">
        <f>IF(Tab.o1[[#This Row],[a1]]=1,ABS([1]!T.in.A[[#This Row],[oo6]]),"")</f>
        <v/>
      </c>
      <c r="AB438" s="127" t="str">
        <f>IF(Tab.o1[[#This Row],[a1]]=1,IF(AE$3=0,"",IF(AB$3=0,ABS([1]!T.in.A[[#This Row],[oo9]]),ABS(Tab.o1[[#This Row],[DIF_Target.]]*Tab.o1[[#This Row],[W1_PDF]]))),"")</f>
        <v/>
      </c>
      <c r="AC438" s="127" t="str">
        <f>IF(G$1=1,"",IF(Tab.o1[[#This Row],[a1]]=1,Tab.o1[[#This Row],[Wr]]^2,""))</f>
        <v/>
      </c>
      <c r="AD438" s="118" t="str">
        <f>IF(Tab.o1[[#This Row],[a1]]=1,IF(AE$3=0,"",Tab.o1[[#This Row],[Wr2]]/SUM(Tab.o1[Wr2])),"")</f>
        <v/>
      </c>
      <c r="AE438" s="128" t="str">
        <f>IF(Tab.o1[[#This Row],[a1]]=1,[1]!T.in.A[[#This Row],[oo10]],"")</f>
        <v/>
      </c>
      <c r="AF438" s="118" t="str">
        <f>IF(Tab.o1[[#This Row],[a1]]=1,ABS(Tab.o1[[#This Row],[DIF_Target.]]*Tab.o1[[#This Row],[PDF2]]*Tab.o1[[#This Row],[IN]]),"")</f>
        <v/>
      </c>
      <c r="AG438" s="129" t="str">
        <f>IF(Tab.o1[[#This Row],[a1]]=1,Tab.o1[[#This Row],[rW]]^2,"")</f>
        <v/>
      </c>
      <c r="AH438" s="130" t="str">
        <f>IF(Tab.o1[[#This Row],[a1]]=1,IF(AH$3=0,Tab.o1[[#This Row],[rW2]],0.01+0.94*Tab.o1[[#This Row],[rW2]]/SUM(Tab.o1[rW2])),"")</f>
        <v/>
      </c>
      <c r="AI438" s="128" t="str">
        <f>IF(Tab.o1[[#This Row],[a1]]=1,1/Tab.o1[[#This Row],[PDF]],"")</f>
        <v/>
      </c>
      <c r="AJ438" s="131" t="str">
        <f>IF(Tab.o1[[#This Row],[a1]]=1,[1]!T_AA[[#This Row],[IN'']]*[1]!T_AA[[#This Row],[Qde'']],"")</f>
        <v/>
      </c>
      <c r="AK438" s="132" t="str">
        <f>IF(Tab.o1[[#This Row],[a1]]=1,IF(AK$1=1,Tab.o1[[#This Row],[MED]]+Tab.o1[[#This Row],[MOD]]-Tab.o1[[#This Row],[MED]],""),"")</f>
        <v/>
      </c>
      <c r="AL438" s="133" t="str">
        <f>IF(Tab.o1[[#This Row],[a1]]=1,[1]!T.in.A[[#This Row],[oo16]],"")</f>
        <v/>
      </c>
      <c r="AM438" s="133" t="str">
        <f>IF(Tab.o1[[#This Row],[a1]]=1,IF(AM$3=1,[1]!T.in.A[[#This Row],[Σo16]],""),"")</f>
        <v/>
      </c>
      <c r="AN438" s="126" t="str">
        <f>IF(Tab.o1[[#This Row],[a1]]=1,[1]!T.in.A[[#This Row],[Σp5]],"")</f>
        <v/>
      </c>
      <c r="AO438" s="126" t="str">
        <f>IF(Tab.o1[[#This Row],[a1]]=1,IF(AO$3=1,[1]!T.in.A[[#This Row],[Σp5]],""),"")</f>
        <v/>
      </c>
      <c r="AP438" s="110" t="str">
        <f>IF(Tab.o1[[#This Row],[a1]]=1,IF(ISNUMBER(Tab.o1[[#This Row],[i.]]),NORMDIST(Tab.o1[[#This Row],[Za]],0,1,FALSE)*Tab.o1[[#This Row],[i.]],0),"")</f>
        <v/>
      </c>
      <c r="AQ438" s="125" t="str">
        <f>IF(Tab.o1[[#This Row],[a1]]=1,ABS(Tab.o1[[#This Row],[MOD]]-AVERAGE(Tab.o1[MOD])),"")</f>
        <v/>
      </c>
      <c r="AR438" s="134" t="str">
        <f>IF(Tab.o1[[#This Row],[a1]]=1,Tab.o1[[#This Row],[OBS]]/SUM(Tab.o1[OBS]),"")</f>
        <v/>
      </c>
      <c r="AS438" s="135" t="str">
        <f>IF(ISNUMBER(Tab.o1[[#This Row],[a1]]),ROW()-4,"")</f>
        <v/>
      </c>
      <c r="AT438" s="136" t="str">
        <f>Tab.o1[[#This Row],[MOD]]</f>
        <v/>
      </c>
      <c r="AU438" s="137" t="str">
        <f t="shared" si="25"/>
        <v/>
      </c>
      <c r="AV438" s="138" t="str">
        <f t="shared" si="26"/>
        <v/>
      </c>
      <c r="AW438" s="138" t="str">
        <f t="shared" si="27"/>
        <v/>
      </c>
      <c r="AX438" s="139" t="str">
        <f>[1]!T.in.A[[#This Row],[ID_T_manu]]</f>
        <v/>
      </c>
      <c r="AY438" s="140" t="str">
        <f>IF(ISNUMBER(Tab.o1[[#This Row],[a1]]),IF(AND(Tab.o1[[#This Row],[a1]]=1,Tab.o1[[#This Row],[b1]]&lt;=AY$4),#REF!,AY437),"")</f>
        <v/>
      </c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</row>
    <row r="439" spans="1:79" ht="15.75" hidden="1">
      <c r="A439" s="109">
        <v>-1.0000000000000002E-6</v>
      </c>
      <c r="B439" s="110">
        <f t="shared" si="24"/>
        <v>439</v>
      </c>
      <c r="C439" s="111" t="str">
        <f>IF(C$1=[1]!T.in.A[[#This Row],[oo2]],1,"")</f>
        <v/>
      </c>
      <c r="D439" s="112" t="str">
        <f>IF(Tab.o1[[#This Row],[a1]]=1,IF(SUM(C439:C440)=0,0,IF(SUM(C438:C439)=1,1,IF(SUM(C438:C440)&gt;1,D438+1,0))),"")</f>
        <v/>
      </c>
      <c r="E439" s="113" t="str">
        <f>IF(Tab.o1[[#This Row],[a1]]=1,[1]!T.in.A[[#This Row],[oo1]],"")</f>
        <v/>
      </c>
      <c r="F439" s="113" t="str">
        <f>IF(Tab.o1[[#This Row],[a1]]=1,[1]!T.in.A[[#This Row],[pp1]],"")</f>
        <v/>
      </c>
      <c r="G439" s="114" t="str">
        <f>IF(Tab.o1[[#This Row],[a1]]=1,G$2+IF(G$1=1,0,Tab.o1[[#This Row],[.x1]])+[1]!T.in.A[[#This Row],[oo3]],"")</f>
        <v/>
      </c>
      <c r="H439" s="115" t="str">
        <f>IF(Tab.o1[[#This Row],[a1]]=1,IF(H$2=0,0,IF(G$1=1,0,Tab.o1[[#This Row],[.x1]])+[1]!T.in.A[[#This Row],[oo4]]),"")</f>
        <v/>
      </c>
      <c r="I439" s="116" t="str">
        <f>IF(Tab.o1[[#This Row],[a1]]=1,IF(J$2=0,Tab.o1[[#This Row],[MED]],Tab.o1[[#This Row],[MOD]]),"")</f>
        <v/>
      </c>
      <c r="J439" s="116" t="str">
        <f>IF(Tab.o1[[#This Row],[a1]]=1,((Tab.o1[[#This Row],[DIF_Target.]]-AVERAGE(Tab.o1[DIF_Target.]))/_xlfn.STDEV.P(Tab.o1[DIF_Target.])),"")</f>
        <v/>
      </c>
      <c r="K439" s="117" t="str">
        <f>IF(Tab.o1[[#This Row],[a1]]=1,IF(J$2=0,Tab.o1[[#This Row],[MOD]]-Tab.o1[[#This Row],[B]],IF(J$2=1,0,-Tab.o1[[#This Row],[MED]])+Tab.o1[[#This Row],[B]]),"")</f>
        <v/>
      </c>
      <c r="L439" s="117" t="str">
        <f ca="1">IF(Tab.o1[[#This Row],[DIF_Target]]=0,IF(L$2=0,Tab.o1[[#This Row],[DIF_Target]],AVERAGE(OFFSET(Tab.o1[[#This Row],[DIF_Target]],1,0,L$3,1)))/3,Tab.o1[[#This Row],[DIF_Target]])</f>
        <v/>
      </c>
      <c r="M439" s="118" t="str">
        <f>IF(Tab.o1[[#This Row],[a1]]=1,NORMSDIST(Tab.o1[[#This Row],[Za]]),"")</f>
        <v/>
      </c>
      <c r="N439" s="119" t="str">
        <f>IF(Tab.o1[[#This Row],[a1]]=1,((Tab.o1[[#This Row],[MedMod]]-AVERAGE(Tab.o1[MedMod]))/_xlfn.STDEV.P(Tab.o1[MedMod])*H$1205)+G$1205,"")</f>
        <v/>
      </c>
      <c r="O439" s="141" t="str">
        <f>IF(Tab.o1[[#This Row],[a1]]=1,Tab.o1[[#This Row],[Zb]]*_xlfn.STDEV.P(Tab.o1[MedMod])+AVERAGE(Tab.o1[MedMod]),"")</f>
        <v/>
      </c>
      <c r="P439" s="117" t="str">
        <f ca="1">IF(Tab.o1[[#This Row],[B]]=0,AVERAGE(OFFSET(Tab.o1[[#This Row],[B]],1,0,L$3,1)),Tab.o1[[#This Row],[B]])</f>
        <v/>
      </c>
      <c r="Q439" s="121" t="str">
        <f>IF(Tab.o1[[#This Row],[a1]]=1,NORMSDIST(Tab.o1[[#This Row],[Zb]]),"")</f>
        <v/>
      </c>
      <c r="R439" s="122" t="str">
        <f>IF(Tab.o1[[#This Row],[a1]]=1,((Tab.o1[[#This Row],[MedMod]]-AVERAGE(Tab.o1[MedMod]))/_xlfn.STDEV.P(Tab.o1[MedMod])*H$1203)+G$1203,"")</f>
        <v/>
      </c>
      <c r="S439" s="122" t="str">
        <f>IF(Tab.o1[[#This Row],[a1]]=1,((Tab.o1[[#This Row],[MedMod]]-AVERAGE(Tab.o1[MedMod]))/_xlfn.STDEV.P(Tab.o1[MedMod])*H$1204)+G$1204,"")</f>
        <v/>
      </c>
      <c r="T439" s="123" t="str">
        <f>IF(Tab.o1[[#This Row],[a1]]=1,Tab.o1[[#This Row],[Z-]]*_xlfn.STDEV.P(Tab.o1[B])+AVERAGE(Tab.o1[B]),"")</f>
        <v/>
      </c>
      <c r="U439" s="123" t="str">
        <f>IF(Tab.o1[[#This Row],[a1]]=1,Tab.o1[[#This Row],[z+]]*_xlfn.STDEV.P(Tab.o1[B])+AVERAGE(Tab.o1[B]),"")</f>
        <v/>
      </c>
      <c r="V439" s="124" t="str">
        <f>IF(Tab.o1[[#This Row],[a1]]=1,ABS((ABS(Tab.o1[[#This Row],[Red]]-Tab.o1[[#This Row],[Blue]]))),"")</f>
        <v/>
      </c>
      <c r="W439" s="125" t="str">
        <f>IF(Tab.o1[[#This Row],[a1]]=1,IF(W$3=0,1,Tab.o1[[#This Row],[Amp.]]*1/_xlfn.MINIFS(Tab.o1[Amp.],Tab.o1[Amp.],"&lt;&gt;0")),"")</f>
        <v/>
      </c>
      <c r="X439" s="126" t="str">
        <f>IF(Tab.o1[[#This Row],[a1]]=1,IF(ISNUMBER(Tab.o1[[#This Row],[i.]]),NORMDIST(Tab.o1[[#This Row],[Za]],0,1,FALSE)*Tab.o1[[#This Row],[i.]],AP$3),"")</f>
        <v/>
      </c>
      <c r="Y439" s="126" t="str">
        <f>IF(Tab.o1[[#This Row],[a1]]=1,0.01+0.94*Tab.o1[[#This Row],[PDF]]/MAX(Tab.o1[PDF]),"")</f>
        <v/>
      </c>
      <c r="Z439" s="126" t="str">
        <f>IF(Tab.o1[[#This Row],[a1]]=1,0.01+0.94*Tab.o1[[#This Row],[W1_PDF]]/MAX(Tab.o1[W1_PDF]),"")</f>
        <v/>
      </c>
      <c r="AA439" s="118" t="str">
        <f>IF(Tab.o1[[#This Row],[a1]]=1,ABS([1]!T.in.A[[#This Row],[oo6]]),"")</f>
        <v/>
      </c>
      <c r="AB439" s="127" t="str">
        <f>IF(Tab.o1[[#This Row],[a1]]=1,IF(AE$3=0,"",IF(AB$3=0,ABS([1]!T.in.A[[#This Row],[oo9]]),ABS(Tab.o1[[#This Row],[DIF_Target.]]*Tab.o1[[#This Row],[W1_PDF]]))),"")</f>
        <v/>
      </c>
      <c r="AC439" s="127" t="str">
        <f>IF(G$1=1,"",IF(Tab.o1[[#This Row],[a1]]=1,Tab.o1[[#This Row],[Wr]]^2,""))</f>
        <v/>
      </c>
      <c r="AD439" s="118" t="str">
        <f>IF(Tab.o1[[#This Row],[a1]]=1,IF(AE$3=0,"",Tab.o1[[#This Row],[Wr2]]/SUM(Tab.o1[Wr2])),"")</f>
        <v/>
      </c>
      <c r="AE439" s="128" t="str">
        <f>IF(Tab.o1[[#This Row],[a1]]=1,[1]!T.in.A[[#This Row],[oo10]],"")</f>
        <v/>
      </c>
      <c r="AF439" s="118" t="str">
        <f>IF(Tab.o1[[#This Row],[a1]]=1,ABS(Tab.o1[[#This Row],[DIF_Target.]]*Tab.o1[[#This Row],[PDF2]]*Tab.o1[[#This Row],[IN]]),"")</f>
        <v/>
      </c>
      <c r="AG439" s="129" t="str">
        <f>IF(Tab.o1[[#This Row],[a1]]=1,Tab.o1[[#This Row],[rW]]^2,"")</f>
        <v/>
      </c>
      <c r="AH439" s="130" t="str">
        <f>IF(Tab.o1[[#This Row],[a1]]=1,IF(AH$3=0,Tab.o1[[#This Row],[rW2]],0.01+0.94*Tab.o1[[#This Row],[rW2]]/SUM(Tab.o1[rW2])),"")</f>
        <v/>
      </c>
      <c r="AI439" s="128" t="str">
        <f>IF(Tab.o1[[#This Row],[a1]]=1,1/Tab.o1[[#This Row],[PDF]],"")</f>
        <v/>
      </c>
      <c r="AJ439" s="131" t="str">
        <f>IF(Tab.o1[[#This Row],[a1]]=1,[1]!T_AA[[#This Row],[IN'']]*[1]!T_AA[[#This Row],[Qde'']],"")</f>
        <v/>
      </c>
      <c r="AK439" s="132" t="str">
        <f>IF(Tab.o1[[#This Row],[a1]]=1,IF(AK$1=1,Tab.o1[[#This Row],[MED]]+Tab.o1[[#This Row],[MOD]]-Tab.o1[[#This Row],[MED]],""),"")</f>
        <v/>
      </c>
      <c r="AL439" s="133" t="str">
        <f>IF(Tab.o1[[#This Row],[a1]]=1,[1]!T.in.A[[#This Row],[oo16]],"")</f>
        <v/>
      </c>
      <c r="AM439" s="133" t="str">
        <f>IF(Tab.o1[[#This Row],[a1]]=1,IF(AM$3=1,[1]!T.in.A[[#This Row],[Σo16]],""),"")</f>
        <v/>
      </c>
      <c r="AN439" s="126" t="str">
        <f>IF(Tab.o1[[#This Row],[a1]]=1,[1]!T.in.A[[#This Row],[Σp5]],"")</f>
        <v/>
      </c>
      <c r="AO439" s="126" t="str">
        <f>IF(Tab.o1[[#This Row],[a1]]=1,IF(AO$3=1,[1]!T.in.A[[#This Row],[Σp5]],""),"")</f>
        <v/>
      </c>
      <c r="AP439" s="110" t="str">
        <f>IF(Tab.o1[[#This Row],[a1]]=1,IF(ISNUMBER(Tab.o1[[#This Row],[i.]]),NORMDIST(Tab.o1[[#This Row],[Za]],0,1,FALSE)*Tab.o1[[#This Row],[i.]],0),"")</f>
        <v/>
      </c>
      <c r="AQ439" s="125" t="str">
        <f>IF(Tab.o1[[#This Row],[a1]]=1,ABS(Tab.o1[[#This Row],[MOD]]-AVERAGE(Tab.o1[MOD])),"")</f>
        <v/>
      </c>
      <c r="AR439" s="134" t="str">
        <f>IF(Tab.o1[[#This Row],[a1]]=1,Tab.o1[[#This Row],[OBS]]/SUM(Tab.o1[OBS]),"")</f>
        <v/>
      </c>
      <c r="AS439" s="135" t="str">
        <f>IF(ISNUMBER(Tab.o1[[#This Row],[a1]]),ROW()-4,"")</f>
        <v/>
      </c>
      <c r="AT439" s="136" t="str">
        <f>Tab.o1[[#This Row],[MOD]]</f>
        <v/>
      </c>
      <c r="AU439" s="137" t="str">
        <f t="shared" si="25"/>
        <v/>
      </c>
      <c r="AV439" s="138" t="str">
        <f t="shared" si="26"/>
        <v/>
      </c>
      <c r="AW439" s="138" t="str">
        <f t="shared" si="27"/>
        <v/>
      </c>
      <c r="AX439" s="139" t="str">
        <f>[1]!T.in.A[[#This Row],[ID_T_manu]]</f>
        <v/>
      </c>
      <c r="AY439" s="140" t="str">
        <f>IF(ISNUMBER(Tab.o1[[#This Row],[a1]]),IF(AND(Tab.o1[[#This Row],[a1]]=1,Tab.o1[[#This Row],[b1]]&lt;=AY$4),#REF!,AY438),"")</f>
        <v/>
      </c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</row>
    <row r="440" spans="1:79" ht="15.75" hidden="1">
      <c r="A440" s="109">
        <v>-5.9999999999999993E-6</v>
      </c>
      <c r="B440" s="110">
        <f t="shared" si="24"/>
        <v>440</v>
      </c>
      <c r="C440" s="111" t="str">
        <f>IF(C$1=[1]!T.in.A[[#This Row],[oo2]],1,"")</f>
        <v/>
      </c>
      <c r="D440" s="112" t="str">
        <f>IF(Tab.o1[[#This Row],[a1]]=1,IF(SUM(C440:C441)=0,0,IF(SUM(C439:C440)=1,1,IF(SUM(C439:C441)&gt;1,D439+1,0))),"")</f>
        <v/>
      </c>
      <c r="E440" s="113" t="str">
        <f>IF(Tab.o1[[#This Row],[a1]]=1,[1]!T.in.A[[#This Row],[oo1]],"")</f>
        <v/>
      </c>
      <c r="F440" s="113" t="str">
        <f>IF(Tab.o1[[#This Row],[a1]]=1,[1]!T.in.A[[#This Row],[pp1]],"")</f>
        <v/>
      </c>
      <c r="G440" s="114" t="str">
        <f>IF(Tab.o1[[#This Row],[a1]]=1,G$2+IF(G$1=1,0,Tab.o1[[#This Row],[.x1]])+[1]!T.in.A[[#This Row],[oo3]],"")</f>
        <v/>
      </c>
      <c r="H440" s="115" t="str">
        <f>IF(Tab.o1[[#This Row],[a1]]=1,IF(H$2=0,0,IF(G$1=1,0,Tab.o1[[#This Row],[.x1]])+[1]!T.in.A[[#This Row],[oo4]]),"")</f>
        <v/>
      </c>
      <c r="I440" s="116" t="str">
        <f>IF(Tab.o1[[#This Row],[a1]]=1,IF(J$2=0,Tab.o1[[#This Row],[MED]],Tab.o1[[#This Row],[MOD]]),"")</f>
        <v/>
      </c>
      <c r="J440" s="116" t="str">
        <f>IF(Tab.o1[[#This Row],[a1]]=1,((Tab.o1[[#This Row],[DIF_Target.]]-AVERAGE(Tab.o1[DIF_Target.]))/_xlfn.STDEV.P(Tab.o1[DIF_Target.])),"")</f>
        <v/>
      </c>
      <c r="K440" s="117" t="str">
        <f>IF(Tab.o1[[#This Row],[a1]]=1,IF(J$2=0,Tab.o1[[#This Row],[MOD]]-Tab.o1[[#This Row],[B]],IF(J$2=1,0,-Tab.o1[[#This Row],[MED]])+Tab.o1[[#This Row],[B]]),"")</f>
        <v/>
      </c>
      <c r="L440" s="117" t="str">
        <f ca="1">IF(Tab.o1[[#This Row],[DIF_Target]]=0,IF(L$2=0,Tab.o1[[#This Row],[DIF_Target]],AVERAGE(OFFSET(Tab.o1[[#This Row],[DIF_Target]],1,0,L$3,1)))/3,Tab.o1[[#This Row],[DIF_Target]])</f>
        <v/>
      </c>
      <c r="M440" s="118" t="str">
        <f>IF(Tab.o1[[#This Row],[a1]]=1,NORMSDIST(Tab.o1[[#This Row],[Za]]),"")</f>
        <v/>
      </c>
      <c r="N440" s="119" t="str">
        <f>IF(Tab.o1[[#This Row],[a1]]=1,((Tab.o1[[#This Row],[MedMod]]-AVERAGE(Tab.o1[MedMod]))/_xlfn.STDEV.P(Tab.o1[MedMod])*H$1205)+G$1205,"")</f>
        <v/>
      </c>
      <c r="O440" s="141" t="str">
        <f>IF(Tab.o1[[#This Row],[a1]]=1,Tab.o1[[#This Row],[Zb]]*_xlfn.STDEV.P(Tab.o1[MedMod])+AVERAGE(Tab.o1[MedMod]),"")</f>
        <v/>
      </c>
      <c r="P440" s="117" t="str">
        <f ca="1">IF(Tab.o1[[#This Row],[B]]=0,AVERAGE(OFFSET(Tab.o1[[#This Row],[B]],1,0,L$3,1)),Tab.o1[[#This Row],[B]])</f>
        <v/>
      </c>
      <c r="Q440" s="121" t="str">
        <f>IF(Tab.o1[[#This Row],[a1]]=1,NORMSDIST(Tab.o1[[#This Row],[Zb]]),"")</f>
        <v/>
      </c>
      <c r="R440" s="122" t="str">
        <f>IF(Tab.o1[[#This Row],[a1]]=1,((Tab.o1[[#This Row],[MedMod]]-AVERAGE(Tab.o1[MedMod]))/_xlfn.STDEV.P(Tab.o1[MedMod])*H$1203)+G$1203,"")</f>
        <v/>
      </c>
      <c r="S440" s="122" t="str">
        <f>IF(Tab.o1[[#This Row],[a1]]=1,((Tab.o1[[#This Row],[MedMod]]-AVERAGE(Tab.o1[MedMod]))/_xlfn.STDEV.P(Tab.o1[MedMod])*H$1204)+G$1204,"")</f>
        <v/>
      </c>
      <c r="T440" s="123" t="str">
        <f>IF(Tab.o1[[#This Row],[a1]]=1,Tab.o1[[#This Row],[Z-]]*_xlfn.STDEV.P(Tab.o1[B])+AVERAGE(Tab.o1[B]),"")</f>
        <v/>
      </c>
      <c r="U440" s="123" t="str">
        <f>IF(Tab.o1[[#This Row],[a1]]=1,Tab.o1[[#This Row],[z+]]*_xlfn.STDEV.P(Tab.o1[B])+AVERAGE(Tab.o1[B]),"")</f>
        <v/>
      </c>
      <c r="V440" s="124" t="str">
        <f>IF(Tab.o1[[#This Row],[a1]]=1,ABS((ABS(Tab.o1[[#This Row],[Red]]-Tab.o1[[#This Row],[Blue]]))),"")</f>
        <v/>
      </c>
      <c r="W440" s="125" t="str">
        <f>IF(Tab.o1[[#This Row],[a1]]=1,IF(W$3=0,1,Tab.o1[[#This Row],[Amp.]]*1/_xlfn.MINIFS(Tab.o1[Amp.],Tab.o1[Amp.],"&lt;&gt;0")),"")</f>
        <v/>
      </c>
      <c r="X440" s="126" t="str">
        <f>IF(Tab.o1[[#This Row],[a1]]=1,IF(ISNUMBER(Tab.o1[[#This Row],[i.]]),NORMDIST(Tab.o1[[#This Row],[Za]],0,1,FALSE)*Tab.o1[[#This Row],[i.]],AP$3),"")</f>
        <v/>
      </c>
      <c r="Y440" s="126" t="str">
        <f>IF(Tab.o1[[#This Row],[a1]]=1,0.01+0.94*Tab.o1[[#This Row],[PDF]]/MAX(Tab.o1[PDF]),"")</f>
        <v/>
      </c>
      <c r="Z440" s="126" t="str">
        <f>IF(Tab.o1[[#This Row],[a1]]=1,0.01+0.94*Tab.o1[[#This Row],[W1_PDF]]/MAX(Tab.o1[W1_PDF]),"")</f>
        <v/>
      </c>
      <c r="AA440" s="118" t="str">
        <f>IF(Tab.o1[[#This Row],[a1]]=1,ABS([1]!T.in.A[[#This Row],[oo6]]),"")</f>
        <v/>
      </c>
      <c r="AB440" s="127" t="str">
        <f>IF(Tab.o1[[#This Row],[a1]]=1,IF(AE$3=0,"",IF(AB$3=0,ABS([1]!T.in.A[[#This Row],[oo9]]),ABS(Tab.o1[[#This Row],[DIF_Target.]]*Tab.o1[[#This Row],[W1_PDF]]))),"")</f>
        <v/>
      </c>
      <c r="AC440" s="127" t="str">
        <f>IF(G$1=1,"",IF(Tab.o1[[#This Row],[a1]]=1,Tab.o1[[#This Row],[Wr]]^2,""))</f>
        <v/>
      </c>
      <c r="AD440" s="118" t="str">
        <f>IF(Tab.o1[[#This Row],[a1]]=1,IF(AE$3=0,"",Tab.o1[[#This Row],[Wr2]]/SUM(Tab.o1[Wr2])),"")</f>
        <v/>
      </c>
      <c r="AE440" s="128" t="str">
        <f>IF(Tab.o1[[#This Row],[a1]]=1,[1]!T.in.A[[#This Row],[oo10]],"")</f>
        <v/>
      </c>
      <c r="AF440" s="118" t="str">
        <f>IF(Tab.o1[[#This Row],[a1]]=1,ABS(Tab.o1[[#This Row],[DIF_Target.]]*Tab.o1[[#This Row],[PDF2]]*Tab.o1[[#This Row],[IN]]),"")</f>
        <v/>
      </c>
      <c r="AG440" s="129" t="str">
        <f>IF(Tab.o1[[#This Row],[a1]]=1,Tab.o1[[#This Row],[rW]]^2,"")</f>
        <v/>
      </c>
      <c r="AH440" s="130" t="str">
        <f>IF(Tab.o1[[#This Row],[a1]]=1,IF(AH$3=0,Tab.o1[[#This Row],[rW2]],0.01+0.94*Tab.o1[[#This Row],[rW2]]/SUM(Tab.o1[rW2])),"")</f>
        <v/>
      </c>
      <c r="AI440" s="128" t="str">
        <f>IF(Tab.o1[[#This Row],[a1]]=1,1/Tab.o1[[#This Row],[PDF]],"")</f>
        <v/>
      </c>
      <c r="AJ440" s="131" t="str">
        <f>IF(Tab.o1[[#This Row],[a1]]=1,[1]!T_AA[[#This Row],[IN'']]*[1]!T_AA[[#This Row],[Qde'']],"")</f>
        <v/>
      </c>
      <c r="AK440" s="132" t="str">
        <f>IF(Tab.o1[[#This Row],[a1]]=1,IF(AK$1=1,Tab.o1[[#This Row],[MED]]+Tab.o1[[#This Row],[MOD]]-Tab.o1[[#This Row],[MED]],""),"")</f>
        <v/>
      </c>
      <c r="AL440" s="133" t="str">
        <f>IF(Tab.o1[[#This Row],[a1]]=1,[1]!T.in.A[[#This Row],[oo16]],"")</f>
        <v/>
      </c>
      <c r="AM440" s="133" t="str">
        <f>IF(Tab.o1[[#This Row],[a1]]=1,IF(AM$3=1,[1]!T.in.A[[#This Row],[Σo16]],""),"")</f>
        <v/>
      </c>
      <c r="AN440" s="126" t="str">
        <f>IF(Tab.o1[[#This Row],[a1]]=1,[1]!T.in.A[[#This Row],[Σp5]],"")</f>
        <v/>
      </c>
      <c r="AO440" s="126" t="str">
        <f>IF(Tab.o1[[#This Row],[a1]]=1,IF(AO$3=1,[1]!T.in.A[[#This Row],[Σp5]],""),"")</f>
        <v/>
      </c>
      <c r="AP440" s="110" t="str">
        <f>IF(Tab.o1[[#This Row],[a1]]=1,IF(ISNUMBER(Tab.o1[[#This Row],[i.]]),NORMDIST(Tab.o1[[#This Row],[Za]],0,1,FALSE)*Tab.o1[[#This Row],[i.]],0),"")</f>
        <v/>
      </c>
      <c r="AQ440" s="125" t="str">
        <f>IF(Tab.o1[[#This Row],[a1]]=1,ABS(Tab.o1[[#This Row],[MOD]]-AVERAGE(Tab.o1[MOD])),"")</f>
        <v/>
      </c>
      <c r="AR440" s="134" t="str">
        <f>IF(Tab.o1[[#This Row],[a1]]=1,Tab.o1[[#This Row],[OBS]]/SUM(Tab.o1[OBS]),"")</f>
        <v/>
      </c>
      <c r="AS440" s="135" t="str">
        <f>IF(ISNUMBER(Tab.o1[[#This Row],[a1]]),ROW()-4,"")</f>
        <v/>
      </c>
      <c r="AT440" s="136" t="str">
        <f>Tab.o1[[#This Row],[MOD]]</f>
        <v/>
      </c>
      <c r="AU440" s="137" t="str">
        <f t="shared" si="25"/>
        <v/>
      </c>
      <c r="AV440" s="138" t="str">
        <f t="shared" si="26"/>
        <v/>
      </c>
      <c r="AW440" s="138" t="str">
        <f t="shared" si="27"/>
        <v/>
      </c>
      <c r="AX440" s="139" t="str">
        <f>[1]!T.in.A[[#This Row],[ID_T_manu]]</f>
        <v/>
      </c>
      <c r="AY440" s="140" t="str">
        <f>IF(ISNUMBER(Tab.o1[[#This Row],[a1]]),IF(AND(Tab.o1[[#This Row],[a1]]=1,Tab.o1[[#This Row],[b1]]&lt;=AY$4),#REF!,AY439),"")</f>
        <v/>
      </c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</row>
    <row r="441" spans="1:79" ht="15.75" hidden="1">
      <c r="A441" s="109">
        <v>-5.0000000000000004E-6</v>
      </c>
      <c r="B441" s="110">
        <f t="shared" si="24"/>
        <v>441</v>
      </c>
      <c r="C441" s="111" t="str">
        <f>IF(C$1=[1]!T.in.A[[#This Row],[oo2]],1,"")</f>
        <v/>
      </c>
      <c r="D441" s="112" t="str">
        <f>IF(Tab.o1[[#This Row],[a1]]=1,IF(SUM(C441:C442)=0,0,IF(SUM(C440:C441)=1,1,IF(SUM(C440:C442)&gt;1,D440+1,0))),"")</f>
        <v/>
      </c>
      <c r="E441" s="113" t="str">
        <f>IF(Tab.o1[[#This Row],[a1]]=1,[1]!T.in.A[[#This Row],[oo1]],"")</f>
        <v/>
      </c>
      <c r="F441" s="113" t="str">
        <f>IF(Tab.o1[[#This Row],[a1]]=1,[1]!T.in.A[[#This Row],[pp1]],"")</f>
        <v/>
      </c>
      <c r="G441" s="114" t="str">
        <f>IF(Tab.o1[[#This Row],[a1]]=1,G$2+IF(G$1=1,0,Tab.o1[[#This Row],[.x1]])+[1]!T.in.A[[#This Row],[oo3]],"")</f>
        <v/>
      </c>
      <c r="H441" s="115" t="str">
        <f>IF(Tab.o1[[#This Row],[a1]]=1,IF(H$2=0,0,IF(G$1=1,0,Tab.o1[[#This Row],[.x1]])+[1]!T.in.A[[#This Row],[oo4]]),"")</f>
        <v/>
      </c>
      <c r="I441" s="116" t="str">
        <f>IF(Tab.o1[[#This Row],[a1]]=1,IF(J$2=0,Tab.o1[[#This Row],[MED]],Tab.o1[[#This Row],[MOD]]),"")</f>
        <v/>
      </c>
      <c r="J441" s="116" t="str">
        <f>IF(Tab.o1[[#This Row],[a1]]=1,((Tab.o1[[#This Row],[DIF_Target.]]-AVERAGE(Tab.o1[DIF_Target.]))/_xlfn.STDEV.P(Tab.o1[DIF_Target.])),"")</f>
        <v/>
      </c>
      <c r="K441" s="117" t="str">
        <f>IF(Tab.o1[[#This Row],[a1]]=1,IF(J$2=0,Tab.o1[[#This Row],[MOD]]-Tab.o1[[#This Row],[B]],IF(J$2=1,0,-Tab.o1[[#This Row],[MED]])+Tab.o1[[#This Row],[B]]),"")</f>
        <v/>
      </c>
      <c r="L441" s="117" t="str">
        <f ca="1">IF(Tab.o1[[#This Row],[DIF_Target]]=0,IF(L$2=0,Tab.o1[[#This Row],[DIF_Target]],AVERAGE(OFFSET(Tab.o1[[#This Row],[DIF_Target]],1,0,L$3,1)))/3,Tab.o1[[#This Row],[DIF_Target]])</f>
        <v/>
      </c>
      <c r="M441" s="118" t="str">
        <f>IF(Tab.o1[[#This Row],[a1]]=1,NORMSDIST(Tab.o1[[#This Row],[Za]]),"")</f>
        <v/>
      </c>
      <c r="N441" s="119" t="str">
        <f>IF(Tab.o1[[#This Row],[a1]]=1,((Tab.o1[[#This Row],[MedMod]]-AVERAGE(Tab.o1[MedMod]))/_xlfn.STDEV.P(Tab.o1[MedMod])*H$1205)+G$1205,"")</f>
        <v/>
      </c>
      <c r="O441" s="141" t="str">
        <f>IF(Tab.o1[[#This Row],[a1]]=1,Tab.o1[[#This Row],[Zb]]*_xlfn.STDEV.P(Tab.o1[MedMod])+AVERAGE(Tab.o1[MedMod]),"")</f>
        <v/>
      </c>
      <c r="P441" s="117" t="str">
        <f ca="1">IF(Tab.o1[[#This Row],[B]]=0,AVERAGE(OFFSET(Tab.o1[[#This Row],[B]],1,0,L$3,1)),Tab.o1[[#This Row],[B]])</f>
        <v/>
      </c>
      <c r="Q441" s="121" t="str">
        <f>IF(Tab.o1[[#This Row],[a1]]=1,NORMSDIST(Tab.o1[[#This Row],[Zb]]),"")</f>
        <v/>
      </c>
      <c r="R441" s="122" t="str">
        <f>IF(Tab.o1[[#This Row],[a1]]=1,((Tab.o1[[#This Row],[MedMod]]-AVERAGE(Tab.o1[MedMod]))/_xlfn.STDEV.P(Tab.o1[MedMod])*H$1203)+G$1203,"")</f>
        <v/>
      </c>
      <c r="S441" s="122" t="str">
        <f>IF(Tab.o1[[#This Row],[a1]]=1,((Tab.o1[[#This Row],[MedMod]]-AVERAGE(Tab.o1[MedMod]))/_xlfn.STDEV.P(Tab.o1[MedMod])*H$1204)+G$1204,"")</f>
        <v/>
      </c>
      <c r="T441" s="123" t="str">
        <f>IF(Tab.o1[[#This Row],[a1]]=1,Tab.o1[[#This Row],[Z-]]*_xlfn.STDEV.P(Tab.o1[B])+AVERAGE(Tab.o1[B]),"")</f>
        <v/>
      </c>
      <c r="U441" s="123" t="str">
        <f>IF(Tab.o1[[#This Row],[a1]]=1,Tab.o1[[#This Row],[z+]]*_xlfn.STDEV.P(Tab.o1[B])+AVERAGE(Tab.o1[B]),"")</f>
        <v/>
      </c>
      <c r="V441" s="124" t="str">
        <f>IF(Tab.o1[[#This Row],[a1]]=1,ABS((ABS(Tab.o1[[#This Row],[Red]]-Tab.o1[[#This Row],[Blue]]))),"")</f>
        <v/>
      </c>
      <c r="W441" s="125" t="str">
        <f>IF(Tab.o1[[#This Row],[a1]]=1,IF(W$3=0,1,Tab.o1[[#This Row],[Amp.]]*1/_xlfn.MINIFS(Tab.o1[Amp.],Tab.o1[Amp.],"&lt;&gt;0")),"")</f>
        <v/>
      </c>
      <c r="X441" s="126" t="str">
        <f>IF(Tab.o1[[#This Row],[a1]]=1,IF(ISNUMBER(Tab.o1[[#This Row],[i.]]),NORMDIST(Tab.o1[[#This Row],[Za]],0,1,FALSE)*Tab.o1[[#This Row],[i.]],AP$3),"")</f>
        <v/>
      </c>
      <c r="Y441" s="126" t="str">
        <f>IF(Tab.o1[[#This Row],[a1]]=1,0.01+0.94*Tab.o1[[#This Row],[PDF]]/MAX(Tab.o1[PDF]),"")</f>
        <v/>
      </c>
      <c r="Z441" s="126" t="str">
        <f>IF(Tab.o1[[#This Row],[a1]]=1,0.01+0.94*Tab.o1[[#This Row],[W1_PDF]]/MAX(Tab.o1[W1_PDF]),"")</f>
        <v/>
      </c>
      <c r="AA441" s="118" t="str">
        <f>IF(Tab.o1[[#This Row],[a1]]=1,ABS([1]!T.in.A[[#This Row],[oo6]]),"")</f>
        <v/>
      </c>
      <c r="AB441" s="127" t="str">
        <f>IF(Tab.o1[[#This Row],[a1]]=1,IF(AE$3=0,"",IF(AB$3=0,ABS([1]!T.in.A[[#This Row],[oo9]]),ABS(Tab.o1[[#This Row],[DIF_Target.]]*Tab.o1[[#This Row],[W1_PDF]]))),"")</f>
        <v/>
      </c>
      <c r="AC441" s="127" t="str">
        <f>IF(G$1=1,"",IF(Tab.o1[[#This Row],[a1]]=1,Tab.o1[[#This Row],[Wr]]^2,""))</f>
        <v/>
      </c>
      <c r="AD441" s="118" t="str">
        <f>IF(Tab.o1[[#This Row],[a1]]=1,IF(AE$3=0,"",Tab.o1[[#This Row],[Wr2]]/SUM(Tab.o1[Wr2])),"")</f>
        <v/>
      </c>
      <c r="AE441" s="128" t="str">
        <f>IF(Tab.o1[[#This Row],[a1]]=1,[1]!T.in.A[[#This Row],[oo10]],"")</f>
        <v/>
      </c>
      <c r="AF441" s="118" t="str">
        <f>IF(Tab.o1[[#This Row],[a1]]=1,ABS(Tab.o1[[#This Row],[DIF_Target.]]*Tab.o1[[#This Row],[PDF2]]*Tab.o1[[#This Row],[IN]]),"")</f>
        <v/>
      </c>
      <c r="AG441" s="129" t="str">
        <f>IF(Tab.o1[[#This Row],[a1]]=1,Tab.o1[[#This Row],[rW]]^2,"")</f>
        <v/>
      </c>
      <c r="AH441" s="130" t="str">
        <f>IF(Tab.o1[[#This Row],[a1]]=1,IF(AH$3=0,Tab.o1[[#This Row],[rW2]],0.01+0.94*Tab.o1[[#This Row],[rW2]]/SUM(Tab.o1[rW2])),"")</f>
        <v/>
      </c>
      <c r="AI441" s="128" t="str">
        <f>IF(Tab.o1[[#This Row],[a1]]=1,1/Tab.o1[[#This Row],[PDF]],"")</f>
        <v/>
      </c>
      <c r="AJ441" s="131" t="str">
        <f>IF(Tab.o1[[#This Row],[a1]]=1,[1]!T_AA[[#This Row],[IN'']]*[1]!T_AA[[#This Row],[Qde'']],"")</f>
        <v/>
      </c>
      <c r="AK441" s="132" t="str">
        <f>IF(Tab.o1[[#This Row],[a1]]=1,IF(AK$1=1,Tab.o1[[#This Row],[MED]]+Tab.o1[[#This Row],[MOD]]-Tab.o1[[#This Row],[MED]],""),"")</f>
        <v/>
      </c>
      <c r="AL441" s="133" t="str">
        <f>IF(Tab.o1[[#This Row],[a1]]=1,[1]!T.in.A[[#This Row],[oo16]],"")</f>
        <v/>
      </c>
      <c r="AM441" s="133" t="str">
        <f>IF(Tab.o1[[#This Row],[a1]]=1,IF(AM$3=1,[1]!T.in.A[[#This Row],[Σo16]],""),"")</f>
        <v/>
      </c>
      <c r="AN441" s="126" t="str">
        <f>IF(Tab.o1[[#This Row],[a1]]=1,[1]!T.in.A[[#This Row],[Σp5]],"")</f>
        <v/>
      </c>
      <c r="AO441" s="126" t="str">
        <f>IF(Tab.o1[[#This Row],[a1]]=1,IF(AO$3=1,[1]!T.in.A[[#This Row],[Σp5]],""),"")</f>
        <v/>
      </c>
      <c r="AP441" s="110" t="str">
        <f>IF(Tab.o1[[#This Row],[a1]]=1,IF(ISNUMBER(Tab.o1[[#This Row],[i.]]),NORMDIST(Tab.o1[[#This Row],[Za]],0,1,FALSE)*Tab.o1[[#This Row],[i.]],0),"")</f>
        <v/>
      </c>
      <c r="AQ441" s="125" t="str">
        <f>IF(Tab.o1[[#This Row],[a1]]=1,ABS(Tab.o1[[#This Row],[MOD]]-AVERAGE(Tab.o1[MOD])),"")</f>
        <v/>
      </c>
      <c r="AR441" s="134" t="str">
        <f>IF(Tab.o1[[#This Row],[a1]]=1,Tab.o1[[#This Row],[OBS]]/SUM(Tab.o1[OBS]),"")</f>
        <v/>
      </c>
      <c r="AS441" s="135" t="str">
        <f>IF(ISNUMBER(Tab.o1[[#This Row],[a1]]),ROW()-4,"")</f>
        <v/>
      </c>
      <c r="AT441" s="136" t="str">
        <f>Tab.o1[[#This Row],[MOD]]</f>
        <v/>
      </c>
      <c r="AU441" s="137" t="str">
        <f t="shared" si="25"/>
        <v/>
      </c>
      <c r="AV441" s="138" t="str">
        <f t="shared" si="26"/>
        <v/>
      </c>
      <c r="AW441" s="138" t="str">
        <f t="shared" si="27"/>
        <v/>
      </c>
      <c r="AX441" s="139" t="str">
        <f>[1]!T.in.A[[#This Row],[ID_T_manu]]</f>
        <v/>
      </c>
      <c r="AY441" s="140" t="str">
        <f>IF(ISNUMBER(Tab.o1[[#This Row],[a1]]),IF(AND(Tab.o1[[#This Row],[a1]]=1,Tab.o1[[#This Row],[b1]]&lt;=AY$4),#REF!,AY440),"")</f>
        <v/>
      </c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</row>
    <row r="442" spans="1:79" ht="15.75" hidden="1">
      <c r="A442" s="109">
        <v>1.0000000000000002E-6</v>
      </c>
      <c r="B442" s="110">
        <f t="shared" si="24"/>
        <v>442</v>
      </c>
      <c r="C442" s="111" t="str">
        <f>IF(C$1=[1]!T.in.A[[#This Row],[oo2]],1,"")</f>
        <v/>
      </c>
      <c r="D442" s="112" t="str">
        <f>IF(Tab.o1[[#This Row],[a1]]=1,IF(SUM(C442:C443)=0,0,IF(SUM(C441:C442)=1,1,IF(SUM(C441:C443)&gt;1,D441+1,0))),"")</f>
        <v/>
      </c>
      <c r="E442" s="113" t="str">
        <f>IF(Tab.o1[[#This Row],[a1]]=1,[1]!T.in.A[[#This Row],[oo1]],"")</f>
        <v/>
      </c>
      <c r="F442" s="113" t="str">
        <f>IF(Tab.o1[[#This Row],[a1]]=1,[1]!T.in.A[[#This Row],[pp1]],"")</f>
        <v/>
      </c>
      <c r="G442" s="114" t="str">
        <f>IF(Tab.o1[[#This Row],[a1]]=1,G$2+IF(G$1=1,0,Tab.o1[[#This Row],[.x1]])+[1]!T.in.A[[#This Row],[oo3]],"")</f>
        <v/>
      </c>
      <c r="H442" s="115" t="str">
        <f>IF(Tab.o1[[#This Row],[a1]]=1,IF(H$2=0,0,IF(G$1=1,0,Tab.o1[[#This Row],[.x1]])+[1]!T.in.A[[#This Row],[oo4]]),"")</f>
        <v/>
      </c>
      <c r="I442" s="116" t="str">
        <f>IF(Tab.o1[[#This Row],[a1]]=1,IF(J$2=0,Tab.o1[[#This Row],[MED]],Tab.o1[[#This Row],[MOD]]),"")</f>
        <v/>
      </c>
      <c r="J442" s="116" t="str">
        <f>IF(Tab.o1[[#This Row],[a1]]=1,((Tab.o1[[#This Row],[DIF_Target.]]-AVERAGE(Tab.o1[DIF_Target.]))/_xlfn.STDEV.P(Tab.o1[DIF_Target.])),"")</f>
        <v/>
      </c>
      <c r="K442" s="117" t="str">
        <f>IF(Tab.o1[[#This Row],[a1]]=1,IF(J$2=0,Tab.o1[[#This Row],[MOD]]-Tab.o1[[#This Row],[B]],IF(J$2=1,0,-Tab.o1[[#This Row],[MED]])+Tab.o1[[#This Row],[B]]),"")</f>
        <v/>
      </c>
      <c r="L442" s="117" t="str">
        <f ca="1">IF(Tab.o1[[#This Row],[DIF_Target]]=0,IF(L$2=0,Tab.o1[[#This Row],[DIF_Target]],AVERAGE(OFFSET(Tab.o1[[#This Row],[DIF_Target]],1,0,L$3,1)))/3,Tab.o1[[#This Row],[DIF_Target]])</f>
        <v/>
      </c>
      <c r="M442" s="118" t="str">
        <f>IF(Tab.o1[[#This Row],[a1]]=1,NORMSDIST(Tab.o1[[#This Row],[Za]]),"")</f>
        <v/>
      </c>
      <c r="N442" s="119" t="str">
        <f>IF(Tab.o1[[#This Row],[a1]]=1,((Tab.o1[[#This Row],[MedMod]]-AVERAGE(Tab.o1[MedMod]))/_xlfn.STDEV.P(Tab.o1[MedMod])*H$1205)+G$1205,"")</f>
        <v/>
      </c>
      <c r="O442" s="141" t="str">
        <f>IF(Tab.o1[[#This Row],[a1]]=1,Tab.o1[[#This Row],[Zb]]*_xlfn.STDEV.P(Tab.o1[MedMod])+AVERAGE(Tab.o1[MedMod]),"")</f>
        <v/>
      </c>
      <c r="P442" s="117" t="str">
        <f ca="1">IF(Tab.o1[[#This Row],[B]]=0,AVERAGE(OFFSET(Tab.o1[[#This Row],[B]],1,0,L$3,1)),Tab.o1[[#This Row],[B]])</f>
        <v/>
      </c>
      <c r="Q442" s="121" t="str">
        <f>IF(Tab.o1[[#This Row],[a1]]=1,NORMSDIST(Tab.o1[[#This Row],[Zb]]),"")</f>
        <v/>
      </c>
      <c r="R442" s="122" t="str">
        <f>IF(Tab.o1[[#This Row],[a1]]=1,((Tab.o1[[#This Row],[MedMod]]-AVERAGE(Tab.o1[MedMod]))/_xlfn.STDEV.P(Tab.o1[MedMod])*H$1203)+G$1203,"")</f>
        <v/>
      </c>
      <c r="S442" s="122" t="str">
        <f>IF(Tab.o1[[#This Row],[a1]]=1,((Tab.o1[[#This Row],[MedMod]]-AVERAGE(Tab.o1[MedMod]))/_xlfn.STDEV.P(Tab.o1[MedMod])*H$1204)+G$1204,"")</f>
        <v/>
      </c>
      <c r="T442" s="123" t="str">
        <f>IF(Tab.o1[[#This Row],[a1]]=1,Tab.o1[[#This Row],[Z-]]*_xlfn.STDEV.P(Tab.o1[B])+AVERAGE(Tab.o1[B]),"")</f>
        <v/>
      </c>
      <c r="U442" s="123" t="str">
        <f>IF(Tab.o1[[#This Row],[a1]]=1,Tab.o1[[#This Row],[z+]]*_xlfn.STDEV.P(Tab.o1[B])+AVERAGE(Tab.o1[B]),"")</f>
        <v/>
      </c>
      <c r="V442" s="124" t="str">
        <f>IF(Tab.o1[[#This Row],[a1]]=1,ABS((ABS(Tab.o1[[#This Row],[Red]]-Tab.o1[[#This Row],[Blue]]))),"")</f>
        <v/>
      </c>
      <c r="W442" s="125" t="str">
        <f>IF(Tab.o1[[#This Row],[a1]]=1,IF(W$3=0,1,Tab.o1[[#This Row],[Amp.]]*1/_xlfn.MINIFS(Tab.o1[Amp.],Tab.o1[Amp.],"&lt;&gt;0")),"")</f>
        <v/>
      </c>
      <c r="X442" s="126" t="str">
        <f>IF(Tab.o1[[#This Row],[a1]]=1,IF(ISNUMBER(Tab.o1[[#This Row],[i.]]),NORMDIST(Tab.o1[[#This Row],[Za]],0,1,FALSE)*Tab.o1[[#This Row],[i.]],AP$3),"")</f>
        <v/>
      </c>
      <c r="Y442" s="126" t="str">
        <f>IF(Tab.o1[[#This Row],[a1]]=1,0.01+0.94*Tab.o1[[#This Row],[PDF]]/MAX(Tab.o1[PDF]),"")</f>
        <v/>
      </c>
      <c r="Z442" s="126" t="str">
        <f>IF(Tab.o1[[#This Row],[a1]]=1,0.01+0.94*Tab.o1[[#This Row],[W1_PDF]]/MAX(Tab.o1[W1_PDF]),"")</f>
        <v/>
      </c>
      <c r="AA442" s="118" t="str">
        <f>IF(Tab.o1[[#This Row],[a1]]=1,ABS([1]!T.in.A[[#This Row],[oo6]]),"")</f>
        <v/>
      </c>
      <c r="AB442" s="127" t="str">
        <f>IF(Tab.o1[[#This Row],[a1]]=1,IF(AE$3=0,"",IF(AB$3=0,ABS([1]!T.in.A[[#This Row],[oo9]]),ABS(Tab.o1[[#This Row],[DIF_Target.]]*Tab.o1[[#This Row],[W1_PDF]]))),"")</f>
        <v/>
      </c>
      <c r="AC442" s="127" t="str">
        <f>IF(G$1=1,"",IF(Tab.o1[[#This Row],[a1]]=1,Tab.o1[[#This Row],[Wr]]^2,""))</f>
        <v/>
      </c>
      <c r="AD442" s="118" t="str">
        <f>IF(Tab.o1[[#This Row],[a1]]=1,IF(AE$3=0,"",Tab.o1[[#This Row],[Wr2]]/SUM(Tab.o1[Wr2])),"")</f>
        <v/>
      </c>
      <c r="AE442" s="128" t="str">
        <f>IF(Tab.o1[[#This Row],[a1]]=1,[1]!T.in.A[[#This Row],[oo10]],"")</f>
        <v/>
      </c>
      <c r="AF442" s="118" t="str">
        <f>IF(Tab.o1[[#This Row],[a1]]=1,ABS(Tab.o1[[#This Row],[DIF_Target.]]*Tab.o1[[#This Row],[PDF2]]*Tab.o1[[#This Row],[IN]]),"")</f>
        <v/>
      </c>
      <c r="AG442" s="129" t="str">
        <f>IF(Tab.o1[[#This Row],[a1]]=1,Tab.o1[[#This Row],[rW]]^2,"")</f>
        <v/>
      </c>
      <c r="AH442" s="130" t="str">
        <f>IF(Tab.o1[[#This Row],[a1]]=1,IF(AH$3=0,Tab.o1[[#This Row],[rW2]],0.01+0.94*Tab.o1[[#This Row],[rW2]]/SUM(Tab.o1[rW2])),"")</f>
        <v/>
      </c>
      <c r="AI442" s="128" t="str">
        <f>IF(Tab.o1[[#This Row],[a1]]=1,1/Tab.o1[[#This Row],[PDF]],"")</f>
        <v/>
      </c>
      <c r="AJ442" s="131" t="str">
        <f>IF(Tab.o1[[#This Row],[a1]]=1,[1]!T_AA[[#This Row],[IN'']]*[1]!T_AA[[#This Row],[Qde'']],"")</f>
        <v/>
      </c>
      <c r="AK442" s="132" t="str">
        <f>IF(Tab.o1[[#This Row],[a1]]=1,IF(AK$1=1,Tab.o1[[#This Row],[MED]]+Tab.o1[[#This Row],[MOD]]-Tab.o1[[#This Row],[MED]],""),"")</f>
        <v/>
      </c>
      <c r="AL442" s="133" t="str">
        <f>IF(Tab.o1[[#This Row],[a1]]=1,[1]!T.in.A[[#This Row],[oo16]],"")</f>
        <v/>
      </c>
      <c r="AM442" s="133" t="str">
        <f>IF(Tab.o1[[#This Row],[a1]]=1,IF(AM$3=1,[1]!T.in.A[[#This Row],[Σo16]],""),"")</f>
        <v/>
      </c>
      <c r="AN442" s="126" t="str">
        <f>IF(Tab.o1[[#This Row],[a1]]=1,[1]!T.in.A[[#This Row],[Σp5]],"")</f>
        <v/>
      </c>
      <c r="AO442" s="126" t="str">
        <f>IF(Tab.o1[[#This Row],[a1]]=1,IF(AO$3=1,[1]!T.in.A[[#This Row],[Σp5]],""),"")</f>
        <v/>
      </c>
      <c r="AP442" s="110" t="str">
        <f>IF(Tab.o1[[#This Row],[a1]]=1,IF(ISNUMBER(Tab.o1[[#This Row],[i.]]),NORMDIST(Tab.o1[[#This Row],[Za]],0,1,FALSE)*Tab.o1[[#This Row],[i.]],0),"")</f>
        <v/>
      </c>
      <c r="AQ442" s="125" t="str">
        <f>IF(Tab.o1[[#This Row],[a1]]=1,ABS(Tab.o1[[#This Row],[MOD]]-AVERAGE(Tab.o1[MOD])),"")</f>
        <v/>
      </c>
      <c r="AR442" s="134" t="str">
        <f>IF(Tab.o1[[#This Row],[a1]]=1,Tab.o1[[#This Row],[OBS]]/SUM(Tab.o1[OBS]),"")</f>
        <v/>
      </c>
      <c r="AS442" s="135" t="str">
        <f>IF(ISNUMBER(Tab.o1[[#This Row],[a1]]),ROW()-4,"")</f>
        <v/>
      </c>
      <c r="AT442" s="136" t="str">
        <f>Tab.o1[[#This Row],[MOD]]</f>
        <v/>
      </c>
      <c r="AU442" s="137" t="str">
        <f t="shared" si="25"/>
        <v/>
      </c>
      <c r="AV442" s="138" t="str">
        <f t="shared" si="26"/>
        <v/>
      </c>
      <c r="AW442" s="138" t="str">
        <f t="shared" si="27"/>
        <v/>
      </c>
      <c r="AX442" s="139" t="str">
        <f>[1]!T.in.A[[#This Row],[ID_T_manu]]</f>
        <v/>
      </c>
      <c r="AY442" s="140" t="str">
        <f>IF(ISNUMBER(Tab.o1[[#This Row],[a1]]),IF(AND(Tab.o1[[#This Row],[a1]]=1,Tab.o1[[#This Row],[b1]]&lt;=AY$4),#REF!,AY441),"")</f>
        <v/>
      </c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</row>
    <row r="443" spans="1:79" ht="15.75" hidden="1">
      <c r="A443" s="109">
        <v>9.0000000000000002E-6</v>
      </c>
      <c r="B443" s="110">
        <f t="shared" si="24"/>
        <v>443</v>
      </c>
      <c r="C443" s="111" t="str">
        <f>IF(C$1=[1]!T.in.A[[#This Row],[oo2]],1,"")</f>
        <v/>
      </c>
      <c r="D443" s="112" t="str">
        <f>IF(Tab.o1[[#This Row],[a1]]=1,IF(SUM(C443:C444)=0,0,IF(SUM(C442:C443)=1,1,IF(SUM(C442:C444)&gt;1,D442+1,0))),"")</f>
        <v/>
      </c>
      <c r="E443" s="113" t="str">
        <f>IF(Tab.o1[[#This Row],[a1]]=1,[1]!T.in.A[[#This Row],[oo1]],"")</f>
        <v/>
      </c>
      <c r="F443" s="113" t="str">
        <f>IF(Tab.o1[[#This Row],[a1]]=1,[1]!T.in.A[[#This Row],[pp1]],"")</f>
        <v/>
      </c>
      <c r="G443" s="114" t="str">
        <f>IF(Tab.o1[[#This Row],[a1]]=1,G$2+IF(G$1=1,0,Tab.o1[[#This Row],[.x1]])+[1]!T.in.A[[#This Row],[oo3]],"")</f>
        <v/>
      </c>
      <c r="H443" s="115" t="str">
        <f>IF(Tab.o1[[#This Row],[a1]]=1,IF(H$2=0,0,IF(G$1=1,0,Tab.o1[[#This Row],[.x1]])+[1]!T.in.A[[#This Row],[oo4]]),"")</f>
        <v/>
      </c>
      <c r="I443" s="116" t="str">
        <f>IF(Tab.o1[[#This Row],[a1]]=1,IF(J$2=0,Tab.o1[[#This Row],[MED]],Tab.o1[[#This Row],[MOD]]),"")</f>
        <v/>
      </c>
      <c r="J443" s="116" t="str">
        <f>IF(Tab.o1[[#This Row],[a1]]=1,((Tab.o1[[#This Row],[DIF_Target.]]-AVERAGE(Tab.o1[DIF_Target.]))/_xlfn.STDEV.P(Tab.o1[DIF_Target.])),"")</f>
        <v/>
      </c>
      <c r="K443" s="117" t="str">
        <f>IF(Tab.o1[[#This Row],[a1]]=1,IF(J$2=0,Tab.o1[[#This Row],[MOD]]-Tab.o1[[#This Row],[B]],IF(J$2=1,0,-Tab.o1[[#This Row],[MED]])+Tab.o1[[#This Row],[B]]),"")</f>
        <v/>
      </c>
      <c r="L443" s="117" t="str">
        <f ca="1">IF(Tab.o1[[#This Row],[DIF_Target]]=0,IF(L$2=0,Tab.o1[[#This Row],[DIF_Target]],AVERAGE(OFFSET(Tab.o1[[#This Row],[DIF_Target]],1,0,L$3,1)))/3,Tab.o1[[#This Row],[DIF_Target]])</f>
        <v/>
      </c>
      <c r="M443" s="118" t="str">
        <f>IF(Tab.o1[[#This Row],[a1]]=1,NORMSDIST(Tab.o1[[#This Row],[Za]]),"")</f>
        <v/>
      </c>
      <c r="N443" s="119" t="str">
        <f>IF(Tab.o1[[#This Row],[a1]]=1,((Tab.o1[[#This Row],[MedMod]]-AVERAGE(Tab.o1[MedMod]))/_xlfn.STDEV.P(Tab.o1[MedMod])*H$1205)+G$1205,"")</f>
        <v/>
      </c>
      <c r="O443" s="141" t="str">
        <f>IF(Tab.o1[[#This Row],[a1]]=1,Tab.o1[[#This Row],[Zb]]*_xlfn.STDEV.P(Tab.o1[MedMod])+AVERAGE(Tab.o1[MedMod]),"")</f>
        <v/>
      </c>
      <c r="P443" s="117" t="str">
        <f ca="1">IF(Tab.o1[[#This Row],[B]]=0,AVERAGE(OFFSET(Tab.o1[[#This Row],[B]],1,0,L$3,1)),Tab.o1[[#This Row],[B]])</f>
        <v/>
      </c>
      <c r="Q443" s="121" t="str">
        <f>IF(Tab.o1[[#This Row],[a1]]=1,NORMSDIST(Tab.o1[[#This Row],[Zb]]),"")</f>
        <v/>
      </c>
      <c r="R443" s="122" t="str">
        <f>IF(Tab.o1[[#This Row],[a1]]=1,((Tab.o1[[#This Row],[MedMod]]-AVERAGE(Tab.o1[MedMod]))/_xlfn.STDEV.P(Tab.o1[MedMod])*H$1203)+G$1203,"")</f>
        <v/>
      </c>
      <c r="S443" s="122" t="str">
        <f>IF(Tab.o1[[#This Row],[a1]]=1,((Tab.o1[[#This Row],[MedMod]]-AVERAGE(Tab.o1[MedMod]))/_xlfn.STDEV.P(Tab.o1[MedMod])*H$1204)+G$1204,"")</f>
        <v/>
      </c>
      <c r="T443" s="123" t="str">
        <f>IF(Tab.o1[[#This Row],[a1]]=1,Tab.o1[[#This Row],[Z-]]*_xlfn.STDEV.P(Tab.o1[B])+AVERAGE(Tab.o1[B]),"")</f>
        <v/>
      </c>
      <c r="U443" s="123" t="str">
        <f>IF(Tab.o1[[#This Row],[a1]]=1,Tab.o1[[#This Row],[z+]]*_xlfn.STDEV.P(Tab.o1[B])+AVERAGE(Tab.o1[B]),"")</f>
        <v/>
      </c>
      <c r="V443" s="124" t="str">
        <f>IF(Tab.o1[[#This Row],[a1]]=1,ABS((ABS(Tab.o1[[#This Row],[Red]]-Tab.o1[[#This Row],[Blue]]))),"")</f>
        <v/>
      </c>
      <c r="W443" s="125" t="str">
        <f>IF(Tab.o1[[#This Row],[a1]]=1,IF(W$3=0,1,Tab.o1[[#This Row],[Amp.]]*1/_xlfn.MINIFS(Tab.o1[Amp.],Tab.o1[Amp.],"&lt;&gt;0")),"")</f>
        <v/>
      </c>
      <c r="X443" s="126" t="str">
        <f>IF(Tab.o1[[#This Row],[a1]]=1,IF(ISNUMBER(Tab.o1[[#This Row],[i.]]),NORMDIST(Tab.o1[[#This Row],[Za]],0,1,FALSE)*Tab.o1[[#This Row],[i.]],AP$3),"")</f>
        <v/>
      </c>
      <c r="Y443" s="126" t="str">
        <f>IF(Tab.o1[[#This Row],[a1]]=1,0.01+0.94*Tab.o1[[#This Row],[PDF]]/MAX(Tab.o1[PDF]),"")</f>
        <v/>
      </c>
      <c r="Z443" s="126" t="str">
        <f>IF(Tab.o1[[#This Row],[a1]]=1,0.01+0.94*Tab.o1[[#This Row],[W1_PDF]]/MAX(Tab.o1[W1_PDF]),"")</f>
        <v/>
      </c>
      <c r="AA443" s="118" t="str">
        <f>IF(Tab.o1[[#This Row],[a1]]=1,ABS([1]!T.in.A[[#This Row],[oo6]]),"")</f>
        <v/>
      </c>
      <c r="AB443" s="127" t="str">
        <f>IF(Tab.o1[[#This Row],[a1]]=1,IF(AE$3=0,"",IF(AB$3=0,ABS([1]!T.in.A[[#This Row],[oo9]]),ABS(Tab.o1[[#This Row],[DIF_Target.]]*Tab.o1[[#This Row],[W1_PDF]]))),"")</f>
        <v/>
      </c>
      <c r="AC443" s="127" t="str">
        <f>IF(G$1=1,"",IF(Tab.o1[[#This Row],[a1]]=1,Tab.o1[[#This Row],[Wr]]^2,""))</f>
        <v/>
      </c>
      <c r="AD443" s="118" t="str">
        <f>IF(Tab.o1[[#This Row],[a1]]=1,IF(AE$3=0,"",Tab.o1[[#This Row],[Wr2]]/SUM(Tab.o1[Wr2])),"")</f>
        <v/>
      </c>
      <c r="AE443" s="128" t="str">
        <f>IF(Tab.o1[[#This Row],[a1]]=1,[1]!T.in.A[[#This Row],[oo10]],"")</f>
        <v/>
      </c>
      <c r="AF443" s="118" t="str">
        <f>IF(Tab.o1[[#This Row],[a1]]=1,ABS(Tab.o1[[#This Row],[DIF_Target.]]*Tab.o1[[#This Row],[PDF2]]*Tab.o1[[#This Row],[IN]]),"")</f>
        <v/>
      </c>
      <c r="AG443" s="129" t="str">
        <f>IF(Tab.o1[[#This Row],[a1]]=1,Tab.o1[[#This Row],[rW]]^2,"")</f>
        <v/>
      </c>
      <c r="AH443" s="130" t="str">
        <f>IF(Tab.o1[[#This Row],[a1]]=1,IF(AH$3=0,Tab.o1[[#This Row],[rW2]],0.01+0.94*Tab.o1[[#This Row],[rW2]]/SUM(Tab.o1[rW2])),"")</f>
        <v/>
      </c>
      <c r="AI443" s="128" t="str">
        <f>IF(Tab.o1[[#This Row],[a1]]=1,1/Tab.o1[[#This Row],[PDF]],"")</f>
        <v/>
      </c>
      <c r="AJ443" s="131" t="str">
        <f>IF(Tab.o1[[#This Row],[a1]]=1,[1]!T_AA[[#This Row],[IN'']]*[1]!T_AA[[#This Row],[Qde'']],"")</f>
        <v/>
      </c>
      <c r="AK443" s="132" t="str">
        <f>IF(Tab.o1[[#This Row],[a1]]=1,IF(AK$1=1,Tab.o1[[#This Row],[MED]]+Tab.o1[[#This Row],[MOD]]-Tab.o1[[#This Row],[MED]],""),"")</f>
        <v/>
      </c>
      <c r="AL443" s="133" t="str">
        <f>IF(Tab.o1[[#This Row],[a1]]=1,[1]!T.in.A[[#This Row],[oo16]],"")</f>
        <v/>
      </c>
      <c r="AM443" s="133" t="str">
        <f>IF(Tab.o1[[#This Row],[a1]]=1,IF(AM$3=1,[1]!T.in.A[[#This Row],[Σo16]],""),"")</f>
        <v/>
      </c>
      <c r="AN443" s="126" t="str">
        <f>IF(Tab.o1[[#This Row],[a1]]=1,[1]!T.in.A[[#This Row],[Σp5]],"")</f>
        <v/>
      </c>
      <c r="AO443" s="126" t="str">
        <f>IF(Tab.o1[[#This Row],[a1]]=1,IF(AO$3=1,[1]!T.in.A[[#This Row],[Σp5]],""),"")</f>
        <v/>
      </c>
      <c r="AP443" s="110" t="str">
        <f>IF(Tab.o1[[#This Row],[a1]]=1,IF(ISNUMBER(Tab.o1[[#This Row],[i.]]),NORMDIST(Tab.o1[[#This Row],[Za]],0,1,FALSE)*Tab.o1[[#This Row],[i.]],0),"")</f>
        <v/>
      </c>
      <c r="AQ443" s="125" t="str">
        <f>IF(Tab.o1[[#This Row],[a1]]=1,ABS(Tab.o1[[#This Row],[MOD]]-AVERAGE(Tab.o1[MOD])),"")</f>
        <v/>
      </c>
      <c r="AR443" s="134" t="str">
        <f>IF(Tab.o1[[#This Row],[a1]]=1,Tab.o1[[#This Row],[OBS]]/SUM(Tab.o1[OBS]),"")</f>
        <v/>
      </c>
      <c r="AS443" s="135" t="str">
        <f>IF(ISNUMBER(Tab.o1[[#This Row],[a1]]),ROW()-4,"")</f>
        <v/>
      </c>
      <c r="AT443" s="136" t="str">
        <f>Tab.o1[[#This Row],[MOD]]</f>
        <v/>
      </c>
      <c r="AU443" s="137" t="str">
        <f t="shared" si="25"/>
        <v/>
      </c>
      <c r="AV443" s="138" t="str">
        <f t="shared" si="26"/>
        <v/>
      </c>
      <c r="AW443" s="138" t="str">
        <f t="shared" si="27"/>
        <v/>
      </c>
      <c r="AX443" s="139" t="str">
        <f>[1]!T.in.A[[#This Row],[ID_T_manu]]</f>
        <v/>
      </c>
      <c r="AY443" s="140" t="str">
        <f>IF(ISNUMBER(Tab.o1[[#This Row],[a1]]),IF(AND(Tab.o1[[#This Row],[a1]]=1,Tab.o1[[#This Row],[b1]]&lt;=AY$4),#REF!,AY442),"")</f>
        <v/>
      </c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</row>
    <row r="444" spans="1:79" ht="15.75" hidden="1">
      <c r="A444" s="109">
        <v>1.0000000000000002E-6</v>
      </c>
      <c r="B444" s="110">
        <f t="shared" si="24"/>
        <v>444</v>
      </c>
      <c r="C444" s="111" t="str">
        <f>IF(C$1=[1]!T.in.A[[#This Row],[oo2]],1,"")</f>
        <v/>
      </c>
      <c r="D444" s="112" t="str">
        <f>IF(Tab.o1[[#This Row],[a1]]=1,IF(SUM(C444:C445)=0,0,IF(SUM(C443:C444)=1,1,IF(SUM(C443:C445)&gt;1,D443+1,0))),"")</f>
        <v/>
      </c>
      <c r="E444" s="113" t="str">
        <f>IF(Tab.o1[[#This Row],[a1]]=1,[1]!T.in.A[[#This Row],[oo1]],"")</f>
        <v/>
      </c>
      <c r="F444" s="113" t="str">
        <f>IF(Tab.o1[[#This Row],[a1]]=1,[1]!T.in.A[[#This Row],[pp1]],"")</f>
        <v/>
      </c>
      <c r="G444" s="114" t="str">
        <f>IF(Tab.o1[[#This Row],[a1]]=1,G$2+IF(G$1=1,0,Tab.o1[[#This Row],[.x1]])+[1]!T.in.A[[#This Row],[oo3]],"")</f>
        <v/>
      </c>
      <c r="H444" s="115" t="str">
        <f>IF(Tab.o1[[#This Row],[a1]]=1,IF(H$2=0,0,IF(G$1=1,0,Tab.o1[[#This Row],[.x1]])+[1]!T.in.A[[#This Row],[oo4]]),"")</f>
        <v/>
      </c>
      <c r="I444" s="116" t="str">
        <f>IF(Tab.o1[[#This Row],[a1]]=1,IF(J$2=0,Tab.o1[[#This Row],[MED]],Tab.o1[[#This Row],[MOD]]),"")</f>
        <v/>
      </c>
      <c r="J444" s="116" t="str">
        <f>IF(Tab.o1[[#This Row],[a1]]=1,((Tab.o1[[#This Row],[DIF_Target.]]-AVERAGE(Tab.o1[DIF_Target.]))/_xlfn.STDEV.P(Tab.o1[DIF_Target.])),"")</f>
        <v/>
      </c>
      <c r="K444" s="117" t="str">
        <f>IF(Tab.o1[[#This Row],[a1]]=1,IF(J$2=0,Tab.o1[[#This Row],[MOD]]-Tab.o1[[#This Row],[B]],IF(J$2=1,0,-Tab.o1[[#This Row],[MED]])+Tab.o1[[#This Row],[B]]),"")</f>
        <v/>
      </c>
      <c r="L444" s="117" t="str">
        <f ca="1">IF(Tab.o1[[#This Row],[DIF_Target]]=0,IF(L$2=0,Tab.o1[[#This Row],[DIF_Target]],AVERAGE(OFFSET(Tab.o1[[#This Row],[DIF_Target]],1,0,L$3,1)))/3,Tab.o1[[#This Row],[DIF_Target]])</f>
        <v/>
      </c>
      <c r="M444" s="118" t="str">
        <f>IF(Tab.o1[[#This Row],[a1]]=1,NORMSDIST(Tab.o1[[#This Row],[Za]]),"")</f>
        <v/>
      </c>
      <c r="N444" s="119" t="str">
        <f>IF(Tab.o1[[#This Row],[a1]]=1,((Tab.o1[[#This Row],[MedMod]]-AVERAGE(Tab.o1[MedMod]))/_xlfn.STDEV.P(Tab.o1[MedMod])*H$1205)+G$1205,"")</f>
        <v/>
      </c>
      <c r="O444" s="141" t="str">
        <f>IF(Tab.o1[[#This Row],[a1]]=1,Tab.o1[[#This Row],[Zb]]*_xlfn.STDEV.P(Tab.o1[MedMod])+AVERAGE(Tab.o1[MedMod]),"")</f>
        <v/>
      </c>
      <c r="P444" s="117" t="str">
        <f ca="1">IF(Tab.o1[[#This Row],[B]]=0,AVERAGE(OFFSET(Tab.o1[[#This Row],[B]],1,0,L$3,1)),Tab.o1[[#This Row],[B]])</f>
        <v/>
      </c>
      <c r="Q444" s="121" t="str">
        <f>IF(Tab.o1[[#This Row],[a1]]=1,NORMSDIST(Tab.o1[[#This Row],[Zb]]),"")</f>
        <v/>
      </c>
      <c r="R444" s="122" t="str">
        <f>IF(Tab.o1[[#This Row],[a1]]=1,((Tab.o1[[#This Row],[MedMod]]-AVERAGE(Tab.o1[MedMod]))/_xlfn.STDEV.P(Tab.o1[MedMod])*H$1203)+G$1203,"")</f>
        <v/>
      </c>
      <c r="S444" s="122" t="str">
        <f>IF(Tab.o1[[#This Row],[a1]]=1,((Tab.o1[[#This Row],[MedMod]]-AVERAGE(Tab.o1[MedMod]))/_xlfn.STDEV.P(Tab.o1[MedMod])*H$1204)+G$1204,"")</f>
        <v/>
      </c>
      <c r="T444" s="123" t="str">
        <f>IF(Tab.o1[[#This Row],[a1]]=1,Tab.o1[[#This Row],[Z-]]*_xlfn.STDEV.P(Tab.o1[B])+AVERAGE(Tab.o1[B]),"")</f>
        <v/>
      </c>
      <c r="U444" s="123" t="str">
        <f>IF(Tab.o1[[#This Row],[a1]]=1,Tab.o1[[#This Row],[z+]]*_xlfn.STDEV.P(Tab.o1[B])+AVERAGE(Tab.o1[B]),"")</f>
        <v/>
      </c>
      <c r="V444" s="124" t="str">
        <f>IF(Tab.o1[[#This Row],[a1]]=1,ABS((ABS(Tab.o1[[#This Row],[Red]]-Tab.o1[[#This Row],[Blue]]))),"")</f>
        <v/>
      </c>
      <c r="W444" s="125" t="str">
        <f>IF(Tab.o1[[#This Row],[a1]]=1,IF(W$3=0,1,Tab.o1[[#This Row],[Amp.]]*1/_xlfn.MINIFS(Tab.o1[Amp.],Tab.o1[Amp.],"&lt;&gt;0")),"")</f>
        <v/>
      </c>
      <c r="X444" s="126" t="str">
        <f>IF(Tab.o1[[#This Row],[a1]]=1,IF(ISNUMBER(Tab.o1[[#This Row],[i.]]),NORMDIST(Tab.o1[[#This Row],[Za]],0,1,FALSE)*Tab.o1[[#This Row],[i.]],AP$3),"")</f>
        <v/>
      </c>
      <c r="Y444" s="126" t="str">
        <f>IF(Tab.o1[[#This Row],[a1]]=1,0.01+0.94*Tab.o1[[#This Row],[PDF]]/MAX(Tab.o1[PDF]),"")</f>
        <v/>
      </c>
      <c r="Z444" s="126" t="str">
        <f>IF(Tab.o1[[#This Row],[a1]]=1,0.01+0.94*Tab.o1[[#This Row],[W1_PDF]]/MAX(Tab.o1[W1_PDF]),"")</f>
        <v/>
      </c>
      <c r="AA444" s="118" t="str">
        <f>IF(Tab.o1[[#This Row],[a1]]=1,ABS([1]!T.in.A[[#This Row],[oo6]]),"")</f>
        <v/>
      </c>
      <c r="AB444" s="127" t="str">
        <f>IF(Tab.o1[[#This Row],[a1]]=1,IF(AE$3=0,"",IF(AB$3=0,ABS([1]!T.in.A[[#This Row],[oo9]]),ABS(Tab.o1[[#This Row],[DIF_Target.]]*Tab.o1[[#This Row],[W1_PDF]]))),"")</f>
        <v/>
      </c>
      <c r="AC444" s="127" t="str">
        <f>IF(G$1=1,"",IF(Tab.o1[[#This Row],[a1]]=1,Tab.o1[[#This Row],[Wr]]^2,""))</f>
        <v/>
      </c>
      <c r="AD444" s="118" t="str">
        <f>IF(Tab.o1[[#This Row],[a1]]=1,IF(AE$3=0,"",Tab.o1[[#This Row],[Wr2]]/SUM(Tab.o1[Wr2])),"")</f>
        <v/>
      </c>
      <c r="AE444" s="128" t="str">
        <f>IF(Tab.o1[[#This Row],[a1]]=1,[1]!T.in.A[[#This Row],[oo10]],"")</f>
        <v/>
      </c>
      <c r="AF444" s="118" t="str">
        <f>IF(Tab.o1[[#This Row],[a1]]=1,ABS(Tab.o1[[#This Row],[DIF_Target.]]*Tab.o1[[#This Row],[PDF2]]*Tab.o1[[#This Row],[IN]]),"")</f>
        <v/>
      </c>
      <c r="AG444" s="129" t="str">
        <f>IF(Tab.o1[[#This Row],[a1]]=1,Tab.o1[[#This Row],[rW]]^2,"")</f>
        <v/>
      </c>
      <c r="AH444" s="130" t="str">
        <f>IF(Tab.o1[[#This Row],[a1]]=1,IF(AH$3=0,Tab.o1[[#This Row],[rW2]],0.01+0.94*Tab.o1[[#This Row],[rW2]]/SUM(Tab.o1[rW2])),"")</f>
        <v/>
      </c>
      <c r="AI444" s="128" t="str">
        <f>IF(Tab.o1[[#This Row],[a1]]=1,1/Tab.o1[[#This Row],[PDF]],"")</f>
        <v/>
      </c>
      <c r="AJ444" s="131" t="str">
        <f>IF(Tab.o1[[#This Row],[a1]]=1,[1]!T_AA[[#This Row],[IN'']]*[1]!T_AA[[#This Row],[Qde'']],"")</f>
        <v/>
      </c>
      <c r="AK444" s="132" t="str">
        <f>IF(Tab.o1[[#This Row],[a1]]=1,IF(AK$1=1,Tab.o1[[#This Row],[MED]]+Tab.o1[[#This Row],[MOD]]-Tab.o1[[#This Row],[MED]],""),"")</f>
        <v/>
      </c>
      <c r="AL444" s="133" t="str">
        <f>IF(Tab.o1[[#This Row],[a1]]=1,[1]!T.in.A[[#This Row],[oo16]],"")</f>
        <v/>
      </c>
      <c r="AM444" s="133" t="str">
        <f>IF(Tab.o1[[#This Row],[a1]]=1,IF(AM$3=1,[1]!T.in.A[[#This Row],[Σo16]],""),"")</f>
        <v/>
      </c>
      <c r="AN444" s="126" t="str">
        <f>IF(Tab.o1[[#This Row],[a1]]=1,[1]!T.in.A[[#This Row],[Σp5]],"")</f>
        <v/>
      </c>
      <c r="AO444" s="126" t="str">
        <f>IF(Tab.o1[[#This Row],[a1]]=1,IF(AO$3=1,[1]!T.in.A[[#This Row],[Σp5]],""),"")</f>
        <v/>
      </c>
      <c r="AP444" s="110" t="str">
        <f>IF(Tab.o1[[#This Row],[a1]]=1,IF(ISNUMBER(Tab.o1[[#This Row],[i.]]),NORMDIST(Tab.o1[[#This Row],[Za]],0,1,FALSE)*Tab.o1[[#This Row],[i.]],0),"")</f>
        <v/>
      </c>
      <c r="AQ444" s="125" t="str">
        <f>IF(Tab.o1[[#This Row],[a1]]=1,ABS(Tab.o1[[#This Row],[MOD]]-AVERAGE(Tab.o1[MOD])),"")</f>
        <v/>
      </c>
      <c r="AR444" s="134" t="str">
        <f>IF(Tab.o1[[#This Row],[a1]]=1,Tab.o1[[#This Row],[OBS]]/SUM(Tab.o1[OBS]),"")</f>
        <v/>
      </c>
      <c r="AS444" s="135" t="str">
        <f>IF(ISNUMBER(Tab.o1[[#This Row],[a1]]),ROW()-4,"")</f>
        <v/>
      </c>
      <c r="AT444" s="136" t="str">
        <f>Tab.o1[[#This Row],[MOD]]</f>
        <v/>
      </c>
      <c r="AU444" s="137" t="str">
        <f t="shared" si="25"/>
        <v/>
      </c>
      <c r="AV444" s="138" t="str">
        <f t="shared" si="26"/>
        <v/>
      </c>
      <c r="AW444" s="138" t="str">
        <f t="shared" si="27"/>
        <v/>
      </c>
      <c r="AX444" s="139" t="str">
        <f>[1]!T.in.A[[#This Row],[ID_T_manu]]</f>
        <v/>
      </c>
      <c r="AY444" s="140" t="str">
        <f>IF(ISNUMBER(Tab.o1[[#This Row],[a1]]),IF(AND(Tab.o1[[#This Row],[a1]]=1,Tab.o1[[#This Row],[b1]]&lt;=AY$4),#REF!,AY443),"")</f>
        <v/>
      </c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</row>
    <row r="445" spans="1:79" ht="15.75" hidden="1">
      <c r="A445" s="109">
        <v>1.0000000000000002E-6</v>
      </c>
      <c r="B445" s="110">
        <f t="shared" si="24"/>
        <v>445</v>
      </c>
      <c r="C445" s="111" t="str">
        <f>IF(C$1=[1]!T.in.A[[#This Row],[oo2]],1,"")</f>
        <v/>
      </c>
      <c r="D445" s="112" t="str">
        <f>IF(Tab.o1[[#This Row],[a1]]=1,IF(SUM(C445:C446)=0,0,IF(SUM(C444:C445)=1,1,IF(SUM(C444:C446)&gt;1,D444+1,0))),"")</f>
        <v/>
      </c>
      <c r="E445" s="113" t="str">
        <f>IF(Tab.o1[[#This Row],[a1]]=1,[1]!T.in.A[[#This Row],[oo1]],"")</f>
        <v/>
      </c>
      <c r="F445" s="113" t="str">
        <f>IF(Tab.o1[[#This Row],[a1]]=1,[1]!T.in.A[[#This Row],[pp1]],"")</f>
        <v/>
      </c>
      <c r="G445" s="114" t="str">
        <f>IF(Tab.o1[[#This Row],[a1]]=1,G$2+IF(G$1=1,0,Tab.o1[[#This Row],[.x1]])+[1]!T.in.A[[#This Row],[oo3]],"")</f>
        <v/>
      </c>
      <c r="H445" s="115" t="str">
        <f>IF(Tab.o1[[#This Row],[a1]]=1,IF(H$2=0,0,IF(G$1=1,0,Tab.o1[[#This Row],[.x1]])+[1]!T.in.A[[#This Row],[oo4]]),"")</f>
        <v/>
      </c>
      <c r="I445" s="116" t="str">
        <f>IF(Tab.o1[[#This Row],[a1]]=1,IF(J$2=0,Tab.o1[[#This Row],[MED]],Tab.o1[[#This Row],[MOD]]),"")</f>
        <v/>
      </c>
      <c r="J445" s="116" t="str">
        <f>IF(Tab.o1[[#This Row],[a1]]=1,((Tab.o1[[#This Row],[DIF_Target.]]-AVERAGE(Tab.o1[DIF_Target.]))/_xlfn.STDEV.P(Tab.o1[DIF_Target.])),"")</f>
        <v/>
      </c>
      <c r="K445" s="117" t="str">
        <f>IF(Tab.o1[[#This Row],[a1]]=1,IF(J$2=0,Tab.o1[[#This Row],[MOD]]-Tab.o1[[#This Row],[B]],IF(J$2=1,0,-Tab.o1[[#This Row],[MED]])+Tab.o1[[#This Row],[B]]),"")</f>
        <v/>
      </c>
      <c r="L445" s="117" t="str">
        <f ca="1">IF(Tab.o1[[#This Row],[DIF_Target]]=0,IF(L$2=0,Tab.o1[[#This Row],[DIF_Target]],AVERAGE(OFFSET(Tab.o1[[#This Row],[DIF_Target]],1,0,L$3,1)))/3,Tab.o1[[#This Row],[DIF_Target]])</f>
        <v/>
      </c>
      <c r="M445" s="118" t="str">
        <f>IF(Tab.o1[[#This Row],[a1]]=1,NORMSDIST(Tab.o1[[#This Row],[Za]]),"")</f>
        <v/>
      </c>
      <c r="N445" s="119" t="str">
        <f>IF(Tab.o1[[#This Row],[a1]]=1,((Tab.o1[[#This Row],[MedMod]]-AVERAGE(Tab.o1[MedMod]))/_xlfn.STDEV.P(Tab.o1[MedMod])*H$1205)+G$1205,"")</f>
        <v/>
      </c>
      <c r="O445" s="141" t="str">
        <f>IF(Tab.o1[[#This Row],[a1]]=1,Tab.o1[[#This Row],[Zb]]*_xlfn.STDEV.P(Tab.o1[MedMod])+AVERAGE(Tab.o1[MedMod]),"")</f>
        <v/>
      </c>
      <c r="P445" s="117" t="str">
        <f ca="1">IF(Tab.o1[[#This Row],[B]]=0,AVERAGE(OFFSET(Tab.o1[[#This Row],[B]],1,0,L$3,1)),Tab.o1[[#This Row],[B]])</f>
        <v/>
      </c>
      <c r="Q445" s="121" t="str">
        <f>IF(Tab.o1[[#This Row],[a1]]=1,NORMSDIST(Tab.o1[[#This Row],[Zb]]),"")</f>
        <v/>
      </c>
      <c r="R445" s="122" t="str">
        <f>IF(Tab.o1[[#This Row],[a1]]=1,((Tab.o1[[#This Row],[MedMod]]-AVERAGE(Tab.o1[MedMod]))/_xlfn.STDEV.P(Tab.o1[MedMod])*H$1203)+G$1203,"")</f>
        <v/>
      </c>
      <c r="S445" s="122" t="str">
        <f>IF(Tab.o1[[#This Row],[a1]]=1,((Tab.o1[[#This Row],[MedMod]]-AVERAGE(Tab.o1[MedMod]))/_xlfn.STDEV.P(Tab.o1[MedMod])*H$1204)+G$1204,"")</f>
        <v/>
      </c>
      <c r="T445" s="123" t="str">
        <f>IF(Tab.o1[[#This Row],[a1]]=1,Tab.o1[[#This Row],[Z-]]*_xlfn.STDEV.P(Tab.o1[B])+AVERAGE(Tab.o1[B]),"")</f>
        <v/>
      </c>
      <c r="U445" s="123" t="str">
        <f>IF(Tab.o1[[#This Row],[a1]]=1,Tab.o1[[#This Row],[z+]]*_xlfn.STDEV.P(Tab.o1[B])+AVERAGE(Tab.o1[B]),"")</f>
        <v/>
      </c>
      <c r="V445" s="124" t="str">
        <f>IF(Tab.o1[[#This Row],[a1]]=1,ABS((ABS(Tab.o1[[#This Row],[Red]]-Tab.o1[[#This Row],[Blue]]))),"")</f>
        <v/>
      </c>
      <c r="W445" s="125" t="str">
        <f>IF(Tab.o1[[#This Row],[a1]]=1,IF(W$3=0,1,Tab.o1[[#This Row],[Amp.]]*1/_xlfn.MINIFS(Tab.o1[Amp.],Tab.o1[Amp.],"&lt;&gt;0")),"")</f>
        <v/>
      </c>
      <c r="X445" s="126" t="str">
        <f>IF(Tab.o1[[#This Row],[a1]]=1,IF(ISNUMBER(Tab.o1[[#This Row],[i.]]),NORMDIST(Tab.o1[[#This Row],[Za]],0,1,FALSE)*Tab.o1[[#This Row],[i.]],AP$3),"")</f>
        <v/>
      </c>
      <c r="Y445" s="126" t="str">
        <f>IF(Tab.o1[[#This Row],[a1]]=1,0.01+0.94*Tab.o1[[#This Row],[PDF]]/MAX(Tab.o1[PDF]),"")</f>
        <v/>
      </c>
      <c r="Z445" s="126" t="str">
        <f>IF(Tab.o1[[#This Row],[a1]]=1,0.01+0.94*Tab.o1[[#This Row],[W1_PDF]]/MAX(Tab.o1[W1_PDF]),"")</f>
        <v/>
      </c>
      <c r="AA445" s="118" t="str">
        <f>IF(Tab.o1[[#This Row],[a1]]=1,ABS([1]!T.in.A[[#This Row],[oo6]]),"")</f>
        <v/>
      </c>
      <c r="AB445" s="127" t="str">
        <f>IF(Tab.o1[[#This Row],[a1]]=1,IF(AE$3=0,"",IF(AB$3=0,ABS([1]!T.in.A[[#This Row],[oo9]]),ABS(Tab.o1[[#This Row],[DIF_Target.]]*Tab.o1[[#This Row],[W1_PDF]]))),"")</f>
        <v/>
      </c>
      <c r="AC445" s="127" t="str">
        <f>IF(G$1=1,"",IF(Tab.o1[[#This Row],[a1]]=1,Tab.o1[[#This Row],[Wr]]^2,""))</f>
        <v/>
      </c>
      <c r="AD445" s="118" t="str">
        <f>IF(Tab.o1[[#This Row],[a1]]=1,IF(AE$3=0,"",Tab.o1[[#This Row],[Wr2]]/SUM(Tab.o1[Wr2])),"")</f>
        <v/>
      </c>
      <c r="AE445" s="128" t="str">
        <f>IF(Tab.o1[[#This Row],[a1]]=1,[1]!T.in.A[[#This Row],[oo10]],"")</f>
        <v/>
      </c>
      <c r="AF445" s="118" t="str">
        <f>IF(Tab.o1[[#This Row],[a1]]=1,ABS(Tab.o1[[#This Row],[DIF_Target.]]*Tab.o1[[#This Row],[PDF2]]*Tab.o1[[#This Row],[IN]]),"")</f>
        <v/>
      </c>
      <c r="AG445" s="129" t="str">
        <f>IF(Tab.o1[[#This Row],[a1]]=1,Tab.o1[[#This Row],[rW]]^2,"")</f>
        <v/>
      </c>
      <c r="AH445" s="130" t="str">
        <f>IF(Tab.o1[[#This Row],[a1]]=1,IF(AH$3=0,Tab.o1[[#This Row],[rW2]],0.01+0.94*Tab.o1[[#This Row],[rW2]]/SUM(Tab.o1[rW2])),"")</f>
        <v/>
      </c>
      <c r="AI445" s="128" t="str">
        <f>IF(Tab.o1[[#This Row],[a1]]=1,1/Tab.o1[[#This Row],[PDF]],"")</f>
        <v/>
      </c>
      <c r="AJ445" s="131" t="str">
        <f>IF(Tab.o1[[#This Row],[a1]]=1,[1]!T_AA[[#This Row],[IN'']]*[1]!T_AA[[#This Row],[Qde'']],"")</f>
        <v/>
      </c>
      <c r="AK445" s="132" t="str">
        <f>IF(Tab.o1[[#This Row],[a1]]=1,IF(AK$1=1,Tab.o1[[#This Row],[MED]]+Tab.o1[[#This Row],[MOD]]-Tab.o1[[#This Row],[MED]],""),"")</f>
        <v/>
      </c>
      <c r="AL445" s="133" t="str">
        <f>IF(Tab.o1[[#This Row],[a1]]=1,[1]!T.in.A[[#This Row],[oo16]],"")</f>
        <v/>
      </c>
      <c r="AM445" s="133" t="str">
        <f>IF(Tab.o1[[#This Row],[a1]]=1,IF(AM$3=1,[1]!T.in.A[[#This Row],[Σo16]],""),"")</f>
        <v/>
      </c>
      <c r="AN445" s="126" t="str">
        <f>IF(Tab.o1[[#This Row],[a1]]=1,[1]!T.in.A[[#This Row],[Σp5]],"")</f>
        <v/>
      </c>
      <c r="AO445" s="126" t="str">
        <f>IF(Tab.o1[[#This Row],[a1]]=1,IF(AO$3=1,[1]!T.in.A[[#This Row],[Σp5]],""),"")</f>
        <v/>
      </c>
      <c r="AP445" s="110" t="str">
        <f>IF(Tab.o1[[#This Row],[a1]]=1,IF(ISNUMBER(Tab.o1[[#This Row],[i.]]),NORMDIST(Tab.o1[[#This Row],[Za]],0,1,FALSE)*Tab.o1[[#This Row],[i.]],0),"")</f>
        <v/>
      </c>
      <c r="AQ445" s="125" t="str">
        <f>IF(Tab.o1[[#This Row],[a1]]=1,ABS(Tab.o1[[#This Row],[MOD]]-AVERAGE(Tab.o1[MOD])),"")</f>
        <v/>
      </c>
      <c r="AR445" s="134" t="str">
        <f>IF(Tab.o1[[#This Row],[a1]]=1,Tab.o1[[#This Row],[OBS]]/SUM(Tab.o1[OBS]),"")</f>
        <v/>
      </c>
      <c r="AS445" s="135" t="str">
        <f>IF(ISNUMBER(Tab.o1[[#This Row],[a1]]),ROW()-4,"")</f>
        <v/>
      </c>
      <c r="AT445" s="136" t="str">
        <f>Tab.o1[[#This Row],[MOD]]</f>
        <v/>
      </c>
      <c r="AU445" s="137" t="str">
        <f t="shared" si="25"/>
        <v/>
      </c>
      <c r="AV445" s="138" t="str">
        <f t="shared" si="26"/>
        <v/>
      </c>
      <c r="AW445" s="138" t="str">
        <f t="shared" si="27"/>
        <v/>
      </c>
      <c r="AX445" s="139" t="str">
        <f>[1]!T.in.A[[#This Row],[ID_T_manu]]</f>
        <v/>
      </c>
      <c r="AY445" s="140" t="str">
        <f>IF(ISNUMBER(Tab.o1[[#This Row],[a1]]),IF(AND(Tab.o1[[#This Row],[a1]]=1,Tab.o1[[#This Row],[b1]]&lt;=AY$4),#REF!,AY444),"")</f>
        <v/>
      </c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</row>
    <row r="446" spans="1:79" ht="15.75" hidden="1">
      <c r="A446" s="109">
        <v>9.0000000000000002E-6</v>
      </c>
      <c r="B446" s="110">
        <f t="shared" si="24"/>
        <v>446</v>
      </c>
      <c r="C446" s="111" t="str">
        <f>IF(C$1=[1]!T.in.A[[#This Row],[oo2]],1,"")</f>
        <v/>
      </c>
      <c r="D446" s="112" t="str">
        <f>IF(Tab.o1[[#This Row],[a1]]=1,IF(SUM(C446:C447)=0,0,IF(SUM(C445:C446)=1,1,IF(SUM(C445:C447)&gt;1,D445+1,0))),"")</f>
        <v/>
      </c>
      <c r="E446" s="113" t="str">
        <f>IF(Tab.o1[[#This Row],[a1]]=1,[1]!T.in.A[[#This Row],[oo1]],"")</f>
        <v/>
      </c>
      <c r="F446" s="113" t="str">
        <f>IF(Tab.o1[[#This Row],[a1]]=1,[1]!T.in.A[[#This Row],[pp1]],"")</f>
        <v/>
      </c>
      <c r="G446" s="114" t="str">
        <f>IF(Tab.o1[[#This Row],[a1]]=1,G$2+IF(G$1=1,0,Tab.o1[[#This Row],[.x1]])+[1]!T.in.A[[#This Row],[oo3]],"")</f>
        <v/>
      </c>
      <c r="H446" s="115" t="str">
        <f>IF(Tab.o1[[#This Row],[a1]]=1,IF(H$2=0,0,IF(G$1=1,0,Tab.o1[[#This Row],[.x1]])+[1]!T.in.A[[#This Row],[oo4]]),"")</f>
        <v/>
      </c>
      <c r="I446" s="116" t="str">
        <f>IF(Tab.o1[[#This Row],[a1]]=1,IF(J$2=0,Tab.o1[[#This Row],[MED]],Tab.o1[[#This Row],[MOD]]),"")</f>
        <v/>
      </c>
      <c r="J446" s="116" t="str">
        <f>IF(Tab.o1[[#This Row],[a1]]=1,((Tab.o1[[#This Row],[DIF_Target.]]-AVERAGE(Tab.o1[DIF_Target.]))/_xlfn.STDEV.P(Tab.o1[DIF_Target.])),"")</f>
        <v/>
      </c>
      <c r="K446" s="117" t="str">
        <f>IF(Tab.o1[[#This Row],[a1]]=1,IF(J$2=0,Tab.o1[[#This Row],[MOD]]-Tab.o1[[#This Row],[B]],IF(J$2=1,0,-Tab.o1[[#This Row],[MED]])+Tab.o1[[#This Row],[B]]),"")</f>
        <v/>
      </c>
      <c r="L446" s="117" t="str">
        <f ca="1">IF(Tab.o1[[#This Row],[DIF_Target]]=0,IF(L$2=0,Tab.o1[[#This Row],[DIF_Target]],AVERAGE(OFFSET(Tab.o1[[#This Row],[DIF_Target]],1,0,L$3,1)))/3,Tab.o1[[#This Row],[DIF_Target]])</f>
        <v/>
      </c>
      <c r="M446" s="118" t="str">
        <f>IF(Tab.o1[[#This Row],[a1]]=1,NORMSDIST(Tab.o1[[#This Row],[Za]]),"")</f>
        <v/>
      </c>
      <c r="N446" s="119" t="str">
        <f>IF(Tab.o1[[#This Row],[a1]]=1,((Tab.o1[[#This Row],[MedMod]]-AVERAGE(Tab.o1[MedMod]))/_xlfn.STDEV.P(Tab.o1[MedMod])*H$1205)+G$1205,"")</f>
        <v/>
      </c>
      <c r="O446" s="141" t="str">
        <f>IF(Tab.o1[[#This Row],[a1]]=1,Tab.o1[[#This Row],[Zb]]*_xlfn.STDEV.P(Tab.o1[MedMod])+AVERAGE(Tab.o1[MedMod]),"")</f>
        <v/>
      </c>
      <c r="P446" s="117" t="str">
        <f ca="1">IF(Tab.o1[[#This Row],[B]]=0,AVERAGE(OFFSET(Tab.o1[[#This Row],[B]],1,0,L$3,1)),Tab.o1[[#This Row],[B]])</f>
        <v/>
      </c>
      <c r="Q446" s="121" t="str">
        <f>IF(Tab.o1[[#This Row],[a1]]=1,NORMSDIST(Tab.o1[[#This Row],[Zb]]),"")</f>
        <v/>
      </c>
      <c r="R446" s="122" t="str">
        <f>IF(Tab.o1[[#This Row],[a1]]=1,((Tab.o1[[#This Row],[MedMod]]-AVERAGE(Tab.o1[MedMod]))/_xlfn.STDEV.P(Tab.o1[MedMod])*H$1203)+G$1203,"")</f>
        <v/>
      </c>
      <c r="S446" s="122" t="str">
        <f>IF(Tab.o1[[#This Row],[a1]]=1,((Tab.o1[[#This Row],[MedMod]]-AVERAGE(Tab.o1[MedMod]))/_xlfn.STDEV.P(Tab.o1[MedMod])*H$1204)+G$1204,"")</f>
        <v/>
      </c>
      <c r="T446" s="123" t="str">
        <f>IF(Tab.o1[[#This Row],[a1]]=1,Tab.o1[[#This Row],[Z-]]*_xlfn.STDEV.P(Tab.o1[B])+AVERAGE(Tab.o1[B]),"")</f>
        <v/>
      </c>
      <c r="U446" s="123" t="str">
        <f>IF(Tab.o1[[#This Row],[a1]]=1,Tab.o1[[#This Row],[z+]]*_xlfn.STDEV.P(Tab.o1[B])+AVERAGE(Tab.o1[B]),"")</f>
        <v/>
      </c>
      <c r="V446" s="124" t="str">
        <f>IF(Tab.o1[[#This Row],[a1]]=1,ABS((ABS(Tab.o1[[#This Row],[Red]]-Tab.o1[[#This Row],[Blue]]))),"")</f>
        <v/>
      </c>
      <c r="W446" s="125" t="str">
        <f>IF(Tab.o1[[#This Row],[a1]]=1,IF(W$3=0,1,Tab.o1[[#This Row],[Amp.]]*1/_xlfn.MINIFS(Tab.o1[Amp.],Tab.o1[Amp.],"&lt;&gt;0")),"")</f>
        <v/>
      </c>
      <c r="X446" s="126" t="str">
        <f>IF(Tab.o1[[#This Row],[a1]]=1,IF(ISNUMBER(Tab.o1[[#This Row],[i.]]),NORMDIST(Tab.o1[[#This Row],[Za]],0,1,FALSE)*Tab.o1[[#This Row],[i.]],AP$3),"")</f>
        <v/>
      </c>
      <c r="Y446" s="126" t="str">
        <f>IF(Tab.o1[[#This Row],[a1]]=1,0.01+0.94*Tab.o1[[#This Row],[PDF]]/MAX(Tab.o1[PDF]),"")</f>
        <v/>
      </c>
      <c r="Z446" s="126" t="str">
        <f>IF(Tab.o1[[#This Row],[a1]]=1,0.01+0.94*Tab.o1[[#This Row],[W1_PDF]]/MAX(Tab.o1[W1_PDF]),"")</f>
        <v/>
      </c>
      <c r="AA446" s="118" t="str">
        <f>IF(Tab.o1[[#This Row],[a1]]=1,ABS([1]!T.in.A[[#This Row],[oo6]]),"")</f>
        <v/>
      </c>
      <c r="AB446" s="127" t="str">
        <f>IF(Tab.o1[[#This Row],[a1]]=1,IF(AE$3=0,"",IF(AB$3=0,ABS([1]!T.in.A[[#This Row],[oo9]]),ABS(Tab.o1[[#This Row],[DIF_Target.]]*Tab.o1[[#This Row],[W1_PDF]]))),"")</f>
        <v/>
      </c>
      <c r="AC446" s="127" t="str">
        <f>IF(G$1=1,"",IF(Tab.o1[[#This Row],[a1]]=1,Tab.o1[[#This Row],[Wr]]^2,""))</f>
        <v/>
      </c>
      <c r="AD446" s="118" t="str">
        <f>IF(Tab.o1[[#This Row],[a1]]=1,IF(AE$3=0,"",Tab.o1[[#This Row],[Wr2]]/SUM(Tab.o1[Wr2])),"")</f>
        <v/>
      </c>
      <c r="AE446" s="128" t="str">
        <f>IF(Tab.o1[[#This Row],[a1]]=1,[1]!T.in.A[[#This Row],[oo10]],"")</f>
        <v/>
      </c>
      <c r="AF446" s="118" t="str">
        <f>IF(Tab.o1[[#This Row],[a1]]=1,ABS(Tab.o1[[#This Row],[DIF_Target.]]*Tab.o1[[#This Row],[PDF2]]*Tab.o1[[#This Row],[IN]]),"")</f>
        <v/>
      </c>
      <c r="AG446" s="129" t="str">
        <f>IF(Tab.o1[[#This Row],[a1]]=1,Tab.o1[[#This Row],[rW]]^2,"")</f>
        <v/>
      </c>
      <c r="AH446" s="130" t="str">
        <f>IF(Tab.o1[[#This Row],[a1]]=1,IF(AH$3=0,Tab.o1[[#This Row],[rW2]],0.01+0.94*Tab.o1[[#This Row],[rW2]]/SUM(Tab.o1[rW2])),"")</f>
        <v/>
      </c>
      <c r="AI446" s="128" t="str">
        <f>IF(Tab.o1[[#This Row],[a1]]=1,1/Tab.o1[[#This Row],[PDF]],"")</f>
        <v/>
      </c>
      <c r="AJ446" s="131" t="str">
        <f>IF(Tab.o1[[#This Row],[a1]]=1,[1]!T_AA[[#This Row],[IN'']]*[1]!T_AA[[#This Row],[Qde'']],"")</f>
        <v/>
      </c>
      <c r="AK446" s="132" t="str">
        <f>IF(Tab.o1[[#This Row],[a1]]=1,IF(AK$1=1,Tab.o1[[#This Row],[MED]]+Tab.o1[[#This Row],[MOD]]-Tab.o1[[#This Row],[MED]],""),"")</f>
        <v/>
      </c>
      <c r="AL446" s="133" t="str">
        <f>IF(Tab.o1[[#This Row],[a1]]=1,[1]!T.in.A[[#This Row],[oo16]],"")</f>
        <v/>
      </c>
      <c r="AM446" s="133" t="str">
        <f>IF(Tab.o1[[#This Row],[a1]]=1,IF(AM$3=1,[1]!T.in.A[[#This Row],[Σo16]],""),"")</f>
        <v/>
      </c>
      <c r="AN446" s="126" t="str">
        <f>IF(Tab.o1[[#This Row],[a1]]=1,[1]!T.in.A[[#This Row],[Σp5]],"")</f>
        <v/>
      </c>
      <c r="AO446" s="126" t="str">
        <f>IF(Tab.o1[[#This Row],[a1]]=1,IF(AO$3=1,[1]!T.in.A[[#This Row],[Σp5]],""),"")</f>
        <v/>
      </c>
      <c r="AP446" s="110" t="str">
        <f>IF(Tab.o1[[#This Row],[a1]]=1,IF(ISNUMBER(Tab.o1[[#This Row],[i.]]),NORMDIST(Tab.o1[[#This Row],[Za]],0,1,FALSE)*Tab.o1[[#This Row],[i.]],0),"")</f>
        <v/>
      </c>
      <c r="AQ446" s="125" t="str">
        <f>IF(Tab.o1[[#This Row],[a1]]=1,ABS(Tab.o1[[#This Row],[MOD]]-AVERAGE(Tab.o1[MOD])),"")</f>
        <v/>
      </c>
      <c r="AR446" s="134" t="str">
        <f>IF(Tab.o1[[#This Row],[a1]]=1,Tab.o1[[#This Row],[OBS]]/SUM(Tab.o1[OBS]),"")</f>
        <v/>
      </c>
      <c r="AS446" s="135" t="str">
        <f>IF(ISNUMBER(Tab.o1[[#This Row],[a1]]),ROW()-4,"")</f>
        <v/>
      </c>
      <c r="AT446" s="136" t="str">
        <f>Tab.o1[[#This Row],[MOD]]</f>
        <v/>
      </c>
      <c r="AU446" s="137" t="str">
        <f t="shared" si="25"/>
        <v/>
      </c>
      <c r="AV446" s="138" t="str">
        <f t="shared" si="26"/>
        <v/>
      </c>
      <c r="AW446" s="138" t="str">
        <f t="shared" si="27"/>
        <v/>
      </c>
      <c r="AX446" s="139" t="str">
        <f>[1]!T.in.A[[#This Row],[ID_T_manu]]</f>
        <v/>
      </c>
      <c r="AY446" s="140" t="str">
        <f>IF(ISNUMBER(Tab.o1[[#This Row],[a1]]),IF(AND(Tab.o1[[#This Row],[a1]]=1,Tab.o1[[#This Row],[b1]]&lt;=AY$4),#REF!,AY445),"")</f>
        <v/>
      </c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</row>
    <row r="447" spans="1:79" ht="15.75" hidden="1">
      <c r="A447" s="109">
        <v>5.0000000000000004E-6</v>
      </c>
      <c r="B447" s="110">
        <f t="shared" si="24"/>
        <v>447</v>
      </c>
      <c r="C447" s="111" t="str">
        <f>IF(C$1=[1]!T.in.A[[#This Row],[oo2]],1,"")</f>
        <v/>
      </c>
      <c r="D447" s="112" t="str">
        <f>IF(Tab.o1[[#This Row],[a1]]=1,IF(SUM(C447:C448)=0,0,IF(SUM(C446:C447)=1,1,IF(SUM(C446:C448)&gt;1,D446+1,0))),"")</f>
        <v/>
      </c>
      <c r="E447" s="113" t="str">
        <f>IF(Tab.o1[[#This Row],[a1]]=1,[1]!T.in.A[[#This Row],[oo1]],"")</f>
        <v/>
      </c>
      <c r="F447" s="113" t="str">
        <f>IF(Tab.o1[[#This Row],[a1]]=1,[1]!T.in.A[[#This Row],[pp1]],"")</f>
        <v/>
      </c>
      <c r="G447" s="114" t="str">
        <f>IF(Tab.o1[[#This Row],[a1]]=1,G$2+IF(G$1=1,0,Tab.o1[[#This Row],[.x1]])+[1]!T.in.A[[#This Row],[oo3]],"")</f>
        <v/>
      </c>
      <c r="H447" s="115" t="str">
        <f>IF(Tab.o1[[#This Row],[a1]]=1,IF(H$2=0,0,IF(G$1=1,0,Tab.o1[[#This Row],[.x1]])+[1]!T.in.A[[#This Row],[oo4]]),"")</f>
        <v/>
      </c>
      <c r="I447" s="116" t="str">
        <f>IF(Tab.o1[[#This Row],[a1]]=1,IF(J$2=0,Tab.o1[[#This Row],[MED]],Tab.o1[[#This Row],[MOD]]),"")</f>
        <v/>
      </c>
      <c r="J447" s="116" t="str">
        <f>IF(Tab.o1[[#This Row],[a1]]=1,((Tab.o1[[#This Row],[DIF_Target.]]-AVERAGE(Tab.o1[DIF_Target.]))/_xlfn.STDEV.P(Tab.o1[DIF_Target.])),"")</f>
        <v/>
      </c>
      <c r="K447" s="117" t="str">
        <f>IF(Tab.o1[[#This Row],[a1]]=1,IF(J$2=0,Tab.o1[[#This Row],[MOD]]-Tab.o1[[#This Row],[B]],IF(J$2=1,0,-Tab.o1[[#This Row],[MED]])+Tab.o1[[#This Row],[B]]),"")</f>
        <v/>
      </c>
      <c r="L447" s="117" t="str">
        <f ca="1">IF(Tab.o1[[#This Row],[DIF_Target]]=0,IF(L$2=0,Tab.o1[[#This Row],[DIF_Target]],AVERAGE(OFFSET(Tab.o1[[#This Row],[DIF_Target]],1,0,L$3,1)))/3,Tab.o1[[#This Row],[DIF_Target]])</f>
        <v/>
      </c>
      <c r="M447" s="118" t="str">
        <f>IF(Tab.o1[[#This Row],[a1]]=1,NORMSDIST(Tab.o1[[#This Row],[Za]]),"")</f>
        <v/>
      </c>
      <c r="N447" s="119" t="str">
        <f>IF(Tab.o1[[#This Row],[a1]]=1,((Tab.o1[[#This Row],[MedMod]]-AVERAGE(Tab.o1[MedMod]))/_xlfn.STDEV.P(Tab.o1[MedMod])*H$1205)+G$1205,"")</f>
        <v/>
      </c>
      <c r="O447" s="141" t="str">
        <f>IF(Tab.o1[[#This Row],[a1]]=1,Tab.o1[[#This Row],[Zb]]*_xlfn.STDEV.P(Tab.o1[MedMod])+AVERAGE(Tab.o1[MedMod]),"")</f>
        <v/>
      </c>
      <c r="P447" s="117" t="str">
        <f ca="1">IF(Tab.o1[[#This Row],[B]]=0,AVERAGE(OFFSET(Tab.o1[[#This Row],[B]],1,0,L$3,1)),Tab.o1[[#This Row],[B]])</f>
        <v/>
      </c>
      <c r="Q447" s="121" t="str">
        <f>IF(Tab.o1[[#This Row],[a1]]=1,NORMSDIST(Tab.o1[[#This Row],[Zb]]),"")</f>
        <v/>
      </c>
      <c r="R447" s="122" t="str">
        <f>IF(Tab.o1[[#This Row],[a1]]=1,((Tab.o1[[#This Row],[MedMod]]-AVERAGE(Tab.o1[MedMod]))/_xlfn.STDEV.P(Tab.o1[MedMod])*H$1203)+G$1203,"")</f>
        <v/>
      </c>
      <c r="S447" s="122" t="str">
        <f>IF(Tab.o1[[#This Row],[a1]]=1,((Tab.o1[[#This Row],[MedMod]]-AVERAGE(Tab.o1[MedMod]))/_xlfn.STDEV.P(Tab.o1[MedMod])*H$1204)+G$1204,"")</f>
        <v/>
      </c>
      <c r="T447" s="123" t="str">
        <f>IF(Tab.o1[[#This Row],[a1]]=1,Tab.o1[[#This Row],[Z-]]*_xlfn.STDEV.P(Tab.o1[B])+AVERAGE(Tab.o1[B]),"")</f>
        <v/>
      </c>
      <c r="U447" s="123" t="str">
        <f>IF(Tab.o1[[#This Row],[a1]]=1,Tab.o1[[#This Row],[z+]]*_xlfn.STDEV.P(Tab.o1[B])+AVERAGE(Tab.o1[B]),"")</f>
        <v/>
      </c>
      <c r="V447" s="124" t="str">
        <f>IF(Tab.o1[[#This Row],[a1]]=1,ABS((ABS(Tab.o1[[#This Row],[Red]]-Tab.o1[[#This Row],[Blue]]))),"")</f>
        <v/>
      </c>
      <c r="W447" s="125" t="str">
        <f>IF(Tab.o1[[#This Row],[a1]]=1,IF(W$3=0,1,Tab.o1[[#This Row],[Amp.]]*1/_xlfn.MINIFS(Tab.o1[Amp.],Tab.o1[Amp.],"&lt;&gt;0")),"")</f>
        <v/>
      </c>
      <c r="X447" s="126" t="str">
        <f>IF(Tab.o1[[#This Row],[a1]]=1,IF(ISNUMBER(Tab.o1[[#This Row],[i.]]),NORMDIST(Tab.o1[[#This Row],[Za]],0,1,FALSE)*Tab.o1[[#This Row],[i.]],AP$3),"")</f>
        <v/>
      </c>
      <c r="Y447" s="126" t="str">
        <f>IF(Tab.o1[[#This Row],[a1]]=1,0.01+0.94*Tab.o1[[#This Row],[PDF]]/MAX(Tab.o1[PDF]),"")</f>
        <v/>
      </c>
      <c r="Z447" s="126" t="str">
        <f>IF(Tab.o1[[#This Row],[a1]]=1,0.01+0.94*Tab.o1[[#This Row],[W1_PDF]]/MAX(Tab.o1[W1_PDF]),"")</f>
        <v/>
      </c>
      <c r="AA447" s="118" t="str">
        <f>IF(Tab.o1[[#This Row],[a1]]=1,ABS([1]!T.in.A[[#This Row],[oo6]]),"")</f>
        <v/>
      </c>
      <c r="AB447" s="127" t="str">
        <f>IF(Tab.o1[[#This Row],[a1]]=1,IF(AE$3=0,"",IF(AB$3=0,ABS([1]!T.in.A[[#This Row],[oo9]]),ABS(Tab.o1[[#This Row],[DIF_Target.]]*Tab.o1[[#This Row],[W1_PDF]]))),"")</f>
        <v/>
      </c>
      <c r="AC447" s="127" t="str">
        <f>IF(G$1=1,"",IF(Tab.o1[[#This Row],[a1]]=1,Tab.o1[[#This Row],[Wr]]^2,""))</f>
        <v/>
      </c>
      <c r="AD447" s="118" t="str">
        <f>IF(Tab.o1[[#This Row],[a1]]=1,IF(AE$3=0,"",Tab.o1[[#This Row],[Wr2]]/SUM(Tab.o1[Wr2])),"")</f>
        <v/>
      </c>
      <c r="AE447" s="128" t="str">
        <f>IF(Tab.o1[[#This Row],[a1]]=1,[1]!T.in.A[[#This Row],[oo10]],"")</f>
        <v/>
      </c>
      <c r="AF447" s="118" t="str">
        <f>IF(Tab.o1[[#This Row],[a1]]=1,ABS(Tab.o1[[#This Row],[DIF_Target.]]*Tab.o1[[#This Row],[PDF2]]*Tab.o1[[#This Row],[IN]]),"")</f>
        <v/>
      </c>
      <c r="AG447" s="129" t="str">
        <f>IF(Tab.o1[[#This Row],[a1]]=1,Tab.o1[[#This Row],[rW]]^2,"")</f>
        <v/>
      </c>
      <c r="AH447" s="130" t="str">
        <f>IF(Tab.o1[[#This Row],[a1]]=1,IF(AH$3=0,Tab.o1[[#This Row],[rW2]],0.01+0.94*Tab.o1[[#This Row],[rW2]]/SUM(Tab.o1[rW2])),"")</f>
        <v/>
      </c>
      <c r="AI447" s="128" t="str">
        <f>IF(Tab.o1[[#This Row],[a1]]=1,1/Tab.o1[[#This Row],[PDF]],"")</f>
        <v/>
      </c>
      <c r="AJ447" s="131" t="str">
        <f>IF(Tab.o1[[#This Row],[a1]]=1,[1]!T_AA[[#This Row],[IN'']]*[1]!T_AA[[#This Row],[Qde'']],"")</f>
        <v/>
      </c>
      <c r="AK447" s="132" t="str">
        <f>IF(Tab.o1[[#This Row],[a1]]=1,IF(AK$1=1,Tab.o1[[#This Row],[MED]]+Tab.o1[[#This Row],[MOD]]-Tab.o1[[#This Row],[MED]],""),"")</f>
        <v/>
      </c>
      <c r="AL447" s="133" t="str">
        <f>IF(Tab.o1[[#This Row],[a1]]=1,[1]!T.in.A[[#This Row],[oo16]],"")</f>
        <v/>
      </c>
      <c r="AM447" s="133" t="str">
        <f>IF(Tab.o1[[#This Row],[a1]]=1,IF(AM$3=1,[1]!T.in.A[[#This Row],[Σo16]],""),"")</f>
        <v/>
      </c>
      <c r="AN447" s="126" t="str">
        <f>IF(Tab.o1[[#This Row],[a1]]=1,[1]!T.in.A[[#This Row],[Σp5]],"")</f>
        <v/>
      </c>
      <c r="AO447" s="126" t="str">
        <f>IF(Tab.o1[[#This Row],[a1]]=1,IF(AO$3=1,[1]!T.in.A[[#This Row],[Σp5]],""),"")</f>
        <v/>
      </c>
      <c r="AP447" s="110" t="str">
        <f>IF(Tab.o1[[#This Row],[a1]]=1,IF(ISNUMBER(Tab.o1[[#This Row],[i.]]),NORMDIST(Tab.o1[[#This Row],[Za]],0,1,FALSE)*Tab.o1[[#This Row],[i.]],0),"")</f>
        <v/>
      </c>
      <c r="AQ447" s="125" t="str">
        <f>IF(Tab.o1[[#This Row],[a1]]=1,ABS(Tab.o1[[#This Row],[MOD]]-AVERAGE(Tab.o1[MOD])),"")</f>
        <v/>
      </c>
      <c r="AR447" s="134" t="str">
        <f>IF(Tab.o1[[#This Row],[a1]]=1,Tab.o1[[#This Row],[OBS]]/SUM(Tab.o1[OBS]),"")</f>
        <v/>
      </c>
      <c r="AS447" s="135" t="str">
        <f>IF(ISNUMBER(Tab.o1[[#This Row],[a1]]),ROW()-4,"")</f>
        <v/>
      </c>
      <c r="AT447" s="136" t="str">
        <f>Tab.o1[[#This Row],[MOD]]</f>
        <v/>
      </c>
      <c r="AU447" s="137" t="str">
        <f t="shared" si="25"/>
        <v/>
      </c>
      <c r="AV447" s="138" t="str">
        <f t="shared" si="26"/>
        <v/>
      </c>
      <c r="AW447" s="138" t="str">
        <f t="shared" si="27"/>
        <v/>
      </c>
      <c r="AX447" s="139" t="str">
        <f>[1]!T.in.A[[#This Row],[ID_T_manu]]</f>
        <v/>
      </c>
      <c r="AY447" s="140" t="str">
        <f>IF(ISNUMBER(Tab.o1[[#This Row],[a1]]),IF(AND(Tab.o1[[#This Row],[a1]]=1,Tab.o1[[#This Row],[b1]]&lt;=AY$4),#REF!,AY446),"")</f>
        <v/>
      </c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</row>
    <row r="448" spans="1:79" ht="15.75" hidden="1">
      <c r="A448" s="109">
        <v>-5.0000000000000004E-6</v>
      </c>
      <c r="B448" s="110">
        <f t="shared" si="24"/>
        <v>448</v>
      </c>
      <c r="C448" s="111" t="str">
        <f>IF(C$1=[1]!T.in.A[[#This Row],[oo2]],1,"")</f>
        <v/>
      </c>
      <c r="D448" s="112" t="str">
        <f>IF(Tab.o1[[#This Row],[a1]]=1,IF(SUM(C448:C449)=0,0,IF(SUM(C447:C448)=1,1,IF(SUM(C447:C449)&gt;1,D447+1,0))),"")</f>
        <v/>
      </c>
      <c r="E448" s="113" t="str">
        <f>IF(Tab.o1[[#This Row],[a1]]=1,[1]!T.in.A[[#This Row],[oo1]],"")</f>
        <v/>
      </c>
      <c r="F448" s="113" t="str">
        <f>IF(Tab.o1[[#This Row],[a1]]=1,[1]!T.in.A[[#This Row],[pp1]],"")</f>
        <v/>
      </c>
      <c r="G448" s="114" t="str">
        <f>IF(Tab.o1[[#This Row],[a1]]=1,G$2+IF(G$1=1,0,Tab.o1[[#This Row],[.x1]])+[1]!T.in.A[[#This Row],[oo3]],"")</f>
        <v/>
      </c>
      <c r="H448" s="115" t="str">
        <f>IF(Tab.o1[[#This Row],[a1]]=1,IF(H$2=0,0,IF(G$1=1,0,Tab.o1[[#This Row],[.x1]])+[1]!T.in.A[[#This Row],[oo4]]),"")</f>
        <v/>
      </c>
      <c r="I448" s="116" t="str">
        <f>IF(Tab.o1[[#This Row],[a1]]=1,IF(J$2=0,Tab.o1[[#This Row],[MED]],Tab.o1[[#This Row],[MOD]]),"")</f>
        <v/>
      </c>
      <c r="J448" s="116" t="str">
        <f>IF(Tab.o1[[#This Row],[a1]]=1,((Tab.o1[[#This Row],[DIF_Target.]]-AVERAGE(Tab.o1[DIF_Target.]))/_xlfn.STDEV.P(Tab.o1[DIF_Target.])),"")</f>
        <v/>
      </c>
      <c r="K448" s="117" t="str">
        <f>IF(Tab.o1[[#This Row],[a1]]=1,IF(J$2=0,Tab.o1[[#This Row],[MOD]]-Tab.o1[[#This Row],[B]],IF(J$2=1,0,-Tab.o1[[#This Row],[MED]])+Tab.o1[[#This Row],[B]]),"")</f>
        <v/>
      </c>
      <c r="L448" s="117" t="str">
        <f ca="1">IF(Tab.o1[[#This Row],[DIF_Target]]=0,IF(L$2=0,Tab.o1[[#This Row],[DIF_Target]],AVERAGE(OFFSET(Tab.o1[[#This Row],[DIF_Target]],1,0,L$3,1)))/3,Tab.o1[[#This Row],[DIF_Target]])</f>
        <v/>
      </c>
      <c r="M448" s="118" t="str">
        <f>IF(Tab.o1[[#This Row],[a1]]=1,NORMSDIST(Tab.o1[[#This Row],[Za]]),"")</f>
        <v/>
      </c>
      <c r="N448" s="119" t="str">
        <f>IF(Tab.o1[[#This Row],[a1]]=1,((Tab.o1[[#This Row],[MedMod]]-AVERAGE(Tab.o1[MedMod]))/_xlfn.STDEV.P(Tab.o1[MedMod])*H$1205)+G$1205,"")</f>
        <v/>
      </c>
      <c r="O448" s="141" t="str">
        <f>IF(Tab.o1[[#This Row],[a1]]=1,Tab.o1[[#This Row],[Zb]]*_xlfn.STDEV.P(Tab.o1[MedMod])+AVERAGE(Tab.o1[MedMod]),"")</f>
        <v/>
      </c>
      <c r="P448" s="117" t="str">
        <f ca="1">IF(Tab.o1[[#This Row],[B]]=0,AVERAGE(OFFSET(Tab.o1[[#This Row],[B]],1,0,L$3,1)),Tab.o1[[#This Row],[B]])</f>
        <v/>
      </c>
      <c r="Q448" s="121" t="str">
        <f>IF(Tab.o1[[#This Row],[a1]]=1,NORMSDIST(Tab.o1[[#This Row],[Zb]]),"")</f>
        <v/>
      </c>
      <c r="R448" s="122" t="str">
        <f>IF(Tab.o1[[#This Row],[a1]]=1,((Tab.o1[[#This Row],[MedMod]]-AVERAGE(Tab.o1[MedMod]))/_xlfn.STDEV.P(Tab.o1[MedMod])*H$1203)+G$1203,"")</f>
        <v/>
      </c>
      <c r="S448" s="122" t="str">
        <f>IF(Tab.o1[[#This Row],[a1]]=1,((Tab.o1[[#This Row],[MedMod]]-AVERAGE(Tab.o1[MedMod]))/_xlfn.STDEV.P(Tab.o1[MedMod])*H$1204)+G$1204,"")</f>
        <v/>
      </c>
      <c r="T448" s="123" t="str">
        <f>IF(Tab.o1[[#This Row],[a1]]=1,Tab.o1[[#This Row],[Z-]]*_xlfn.STDEV.P(Tab.o1[B])+AVERAGE(Tab.o1[B]),"")</f>
        <v/>
      </c>
      <c r="U448" s="123" t="str">
        <f>IF(Tab.o1[[#This Row],[a1]]=1,Tab.o1[[#This Row],[z+]]*_xlfn.STDEV.P(Tab.o1[B])+AVERAGE(Tab.o1[B]),"")</f>
        <v/>
      </c>
      <c r="V448" s="124" t="str">
        <f>IF(Tab.o1[[#This Row],[a1]]=1,ABS((ABS(Tab.o1[[#This Row],[Red]]-Tab.o1[[#This Row],[Blue]]))),"")</f>
        <v/>
      </c>
      <c r="W448" s="125" t="str">
        <f>IF(Tab.o1[[#This Row],[a1]]=1,IF(W$3=0,1,Tab.o1[[#This Row],[Amp.]]*1/_xlfn.MINIFS(Tab.o1[Amp.],Tab.o1[Amp.],"&lt;&gt;0")),"")</f>
        <v/>
      </c>
      <c r="X448" s="126" t="str">
        <f>IF(Tab.o1[[#This Row],[a1]]=1,IF(ISNUMBER(Tab.o1[[#This Row],[i.]]),NORMDIST(Tab.o1[[#This Row],[Za]],0,1,FALSE)*Tab.o1[[#This Row],[i.]],AP$3),"")</f>
        <v/>
      </c>
      <c r="Y448" s="126" t="str">
        <f>IF(Tab.o1[[#This Row],[a1]]=1,0.01+0.94*Tab.o1[[#This Row],[PDF]]/MAX(Tab.o1[PDF]),"")</f>
        <v/>
      </c>
      <c r="Z448" s="126" t="str">
        <f>IF(Tab.o1[[#This Row],[a1]]=1,0.01+0.94*Tab.o1[[#This Row],[W1_PDF]]/MAX(Tab.o1[W1_PDF]),"")</f>
        <v/>
      </c>
      <c r="AA448" s="118" t="str">
        <f>IF(Tab.o1[[#This Row],[a1]]=1,ABS([1]!T.in.A[[#This Row],[oo6]]),"")</f>
        <v/>
      </c>
      <c r="AB448" s="127" t="str">
        <f>IF(Tab.o1[[#This Row],[a1]]=1,IF(AE$3=0,"",IF(AB$3=0,ABS([1]!T.in.A[[#This Row],[oo9]]),ABS(Tab.o1[[#This Row],[DIF_Target.]]*Tab.o1[[#This Row],[W1_PDF]]))),"")</f>
        <v/>
      </c>
      <c r="AC448" s="127" t="str">
        <f>IF(G$1=1,"",IF(Tab.o1[[#This Row],[a1]]=1,Tab.o1[[#This Row],[Wr]]^2,""))</f>
        <v/>
      </c>
      <c r="AD448" s="118" t="str">
        <f>IF(Tab.o1[[#This Row],[a1]]=1,IF(AE$3=0,"",Tab.o1[[#This Row],[Wr2]]/SUM(Tab.o1[Wr2])),"")</f>
        <v/>
      </c>
      <c r="AE448" s="128" t="str">
        <f>IF(Tab.o1[[#This Row],[a1]]=1,[1]!T.in.A[[#This Row],[oo10]],"")</f>
        <v/>
      </c>
      <c r="AF448" s="118" t="str">
        <f>IF(Tab.o1[[#This Row],[a1]]=1,ABS(Tab.o1[[#This Row],[DIF_Target.]]*Tab.o1[[#This Row],[PDF2]]*Tab.o1[[#This Row],[IN]]),"")</f>
        <v/>
      </c>
      <c r="AG448" s="129" t="str">
        <f>IF(Tab.o1[[#This Row],[a1]]=1,Tab.o1[[#This Row],[rW]]^2,"")</f>
        <v/>
      </c>
      <c r="AH448" s="130" t="str">
        <f>IF(Tab.o1[[#This Row],[a1]]=1,IF(AH$3=0,Tab.o1[[#This Row],[rW2]],0.01+0.94*Tab.o1[[#This Row],[rW2]]/SUM(Tab.o1[rW2])),"")</f>
        <v/>
      </c>
      <c r="AI448" s="128" t="str">
        <f>IF(Tab.o1[[#This Row],[a1]]=1,1/Tab.o1[[#This Row],[PDF]],"")</f>
        <v/>
      </c>
      <c r="AJ448" s="131" t="str">
        <f>IF(Tab.o1[[#This Row],[a1]]=1,[1]!T_AA[[#This Row],[IN'']]*[1]!T_AA[[#This Row],[Qde'']],"")</f>
        <v/>
      </c>
      <c r="AK448" s="132" t="str">
        <f>IF(Tab.o1[[#This Row],[a1]]=1,IF(AK$1=1,Tab.o1[[#This Row],[MED]]+Tab.o1[[#This Row],[MOD]]-Tab.o1[[#This Row],[MED]],""),"")</f>
        <v/>
      </c>
      <c r="AL448" s="133" t="str">
        <f>IF(Tab.o1[[#This Row],[a1]]=1,[1]!T.in.A[[#This Row],[oo16]],"")</f>
        <v/>
      </c>
      <c r="AM448" s="133" t="str">
        <f>IF(Tab.o1[[#This Row],[a1]]=1,IF(AM$3=1,[1]!T.in.A[[#This Row],[Σo16]],""),"")</f>
        <v/>
      </c>
      <c r="AN448" s="126" t="str">
        <f>IF(Tab.o1[[#This Row],[a1]]=1,[1]!T.in.A[[#This Row],[Σp5]],"")</f>
        <v/>
      </c>
      <c r="AO448" s="126" t="str">
        <f>IF(Tab.o1[[#This Row],[a1]]=1,IF(AO$3=1,[1]!T.in.A[[#This Row],[Σp5]],""),"")</f>
        <v/>
      </c>
      <c r="AP448" s="110" t="str">
        <f>IF(Tab.o1[[#This Row],[a1]]=1,IF(ISNUMBER(Tab.o1[[#This Row],[i.]]),NORMDIST(Tab.o1[[#This Row],[Za]],0,1,FALSE)*Tab.o1[[#This Row],[i.]],0),"")</f>
        <v/>
      </c>
      <c r="AQ448" s="125" t="str">
        <f>IF(Tab.o1[[#This Row],[a1]]=1,ABS(Tab.o1[[#This Row],[MOD]]-AVERAGE(Tab.o1[MOD])),"")</f>
        <v/>
      </c>
      <c r="AR448" s="134" t="str">
        <f>IF(Tab.o1[[#This Row],[a1]]=1,Tab.o1[[#This Row],[OBS]]/SUM(Tab.o1[OBS]),"")</f>
        <v/>
      </c>
      <c r="AS448" s="135" t="str">
        <f>IF(ISNUMBER(Tab.o1[[#This Row],[a1]]),ROW()-4,"")</f>
        <v/>
      </c>
      <c r="AT448" s="136" t="str">
        <f>Tab.o1[[#This Row],[MOD]]</f>
        <v/>
      </c>
      <c r="AU448" s="137" t="str">
        <f t="shared" si="25"/>
        <v/>
      </c>
      <c r="AV448" s="138" t="str">
        <f t="shared" si="26"/>
        <v/>
      </c>
      <c r="AW448" s="138" t="str">
        <f t="shared" si="27"/>
        <v/>
      </c>
      <c r="AX448" s="139" t="str">
        <f>[1]!T.in.A[[#This Row],[ID_T_manu]]</f>
        <v/>
      </c>
      <c r="AY448" s="140" t="str">
        <f>IF(ISNUMBER(Tab.o1[[#This Row],[a1]]),IF(AND(Tab.o1[[#This Row],[a1]]=1,Tab.o1[[#This Row],[b1]]&lt;=AY$4),#REF!,AY447),"")</f>
        <v/>
      </c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</row>
    <row r="449" spans="1:79" ht="15.75" hidden="1">
      <c r="A449" s="109">
        <v>1.0000000000000002E-6</v>
      </c>
      <c r="B449" s="110">
        <f t="shared" si="24"/>
        <v>449</v>
      </c>
      <c r="C449" s="111" t="str">
        <f>IF(C$1=[1]!T.in.A[[#This Row],[oo2]],1,"")</f>
        <v/>
      </c>
      <c r="D449" s="112" t="str">
        <f>IF(Tab.o1[[#This Row],[a1]]=1,IF(SUM(C449:C450)=0,0,IF(SUM(C448:C449)=1,1,IF(SUM(C448:C450)&gt;1,D448+1,0))),"")</f>
        <v/>
      </c>
      <c r="E449" s="113" t="str">
        <f>IF(Tab.o1[[#This Row],[a1]]=1,[1]!T.in.A[[#This Row],[oo1]],"")</f>
        <v/>
      </c>
      <c r="F449" s="113" t="str">
        <f>IF(Tab.o1[[#This Row],[a1]]=1,[1]!T.in.A[[#This Row],[pp1]],"")</f>
        <v/>
      </c>
      <c r="G449" s="114" t="str">
        <f>IF(Tab.o1[[#This Row],[a1]]=1,G$2+IF(G$1=1,0,Tab.o1[[#This Row],[.x1]])+[1]!T.in.A[[#This Row],[oo3]],"")</f>
        <v/>
      </c>
      <c r="H449" s="115" t="str">
        <f>IF(Tab.o1[[#This Row],[a1]]=1,IF(H$2=0,0,IF(G$1=1,0,Tab.o1[[#This Row],[.x1]])+[1]!T.in.A[[#This Row],[oo4]]),"")</f>
        <v/>
      </c>
      <c r="I449" s="116" t="str">
        <f>IF(Tab.o1[[#This Row],[a1]]=1,IF(J$2=0,Tab.o1[[#This Row],[MED]],Tab.o1[[#This Row],[MOD]]),"")</f>
        <v/>
      </c>
      <c r="J449" s="116" t="str">
        <f>IF(Tab.o1[[#This Row],[a1]]=1,((Tab.o1[[#This Row],[DIF_Target.]]-AVERAGE(Tab.o1[DIF_Target.]))/_xlfn.STDEV.P(Tab.o1[DIF_Target.])),"")</f>
        <v/>
      </c>
      <c r="K449" s="117" t="str">
        <f>IF(Tab.o1[[#This Row],[a1]]=1,IF(J$2=0,Tab.o1[[#This Row],[MOD]]-Tab.o1[[#This Row],[B]],IF(J$2=1,0,-Tab.o1[[#This Row],[MED]])+Tab.o1[[#This Row],[B]]),"")</f>
        <v/>
      </c>
      <c r="L449" s="117" t="str">
        <f ca="1">IF(Tab.o1[[#This Row],[DIF_Target]]=0,IF(L$2=0,Tab.o1[[#This Row],[DIF_Target]],AVERAGE(OFFSET(Tab.o1[[#This Row],[DIF_Target]],1,0,L$3,1)))/3,Tab.o1[[#This Row],[DIF_Target]])</f>
        <v/>
      </c>
      <c r="M449" s="118" t="str">
        <f>IF(Tab.o1[[#This Row],[a1]]=1,NORMSDIST(Tab.o1[[#This Row],[Za]]),"")</f>
        <v/>
      </c>
      <c r="N449" s="119" t="str">
        <f>IF(Tab.o1[[#This Row],[a1]]=1,((Tab.o1[[#This Row],[MedMod]]-AVERAGE(Tab.o1[MedMod]))/_xlfn.STDEV.P(Tab.o1[MedMod])*H$1205)+G$1205,"")</f>
        <v/>
      </c>
      <c r="O449" s="141" t="str">
        <f>IF(Tab.o1[[#This Row],[a1]]=1,Tab.o1[[#This Row],[Zb]]*_xlfn.STDEV.P(Tab.o1[MedMod])+AVERAGE(Tab.o1[MedMod]),"")</f>
        <v/>
      </c>
      <c r="P449" s="117" t="str">
        <f ca="1">IF(Tab.o1[[#This Row],[B]]=0,AVERAGE(OFFSET(Tab.o1[[#This Row],[B]],1,0,L$3,1)),Tab.o1[[#This Row],[B]])</f>
        <v/>
      </c>
      <c r="Q449" s="121" t="str">
        <f>IF(Tab.o1[[#This Row],[a1]]=1,NORMSDIST(Tab.o1[[#This Row],[Zb]]),"")</f>
        <v/>
      </c>
      <c r="R449" s="122" t="str">
        <f>IF(Tab.o1[[#This Row],[a1]]=1,((Tab.o1[[#This Row],[MedMod]]-AVERAGE(Tab.o1[MedMod]))/_xlfn.STDEV.P(Tab.o1[MedMod])*H$1203)+G$1203,"")</f>
        <v/>
      </c>
      <c r="S449" s="122" t="str">
        <f>IF(Tab.o1[[#This Row],[a1]]=1,((Tab.o1[[#This Row],[MedMod]]-AVERAGE(Tab.o1[MedMod]))/_xlfn.STDEV.P(Tab.o1[MedMod])*H$1204)+G$1204,"")</f>
        <v/>
      </c>
      <c r="T449" s="123" t="str">
        <f>IF(Tab.o1[[#This Row],[a1]]=1,Tab.o1[[#This Row],[Z-]]*_xlfn.STDEV.P(Tab.o1[B])+AVERAGE(Tab.o1[B]),"")</f>
        <v/>
      </c>
      <c r="U449" s="123" t="str">
        <f>IF(Tab.o1[[#This Row],[a1]]=1,Tab.o1[[#This Row],[z+]]*_xlfn.STDEV.P(Tab.o1[B])+AVERAGE(Tab.o1[B]),"")</f>
        <v/>
      </c>
      <c r="V449" s="124" t="str">
        <f>IF(Tab.o1[[#This Row],[a1]]=1,ABS((ABS(Tab.o1[[#This Row],[Red]]-Tab.o1[[#This Row],[Blue]]))),"")</f>
        <v/>
      </c>
      <c r="W449" s="125" t="str">
        <f>IF(Tab.o1[[#This Row],[a1]]=1,IF(W$3=0,1,Tab.o1[[#This Row],[Amp.]]*1/_xlfn.MINIFS(Tab.o1[Amp.],Tab.o1[Amp.],"&lt;&gt;0")),"")</f>
        <v/>
      </c>
      <c r="X449" s="126" t="str">
        <f>IF(Tab.o1[[#This Row],[a1]]=1,IF(ISNUMBER(Tab.o1[[#This Row],[i.]]),NORMDIST(Tab.o1[[#This Row],[Za]],0,1,FALSE)*Tab.o1[[#This Row],[i.]],AP$3),"")</f>
        <v/>
      </c>
      <c r="Y449" s="126" t="str">
        <f>IF(Tab.o1[[#This Row],[a1]]=1,0.01+0.94*Tab.o1[[#This Row],[PDF]]/MAX(Tab.o1[PDF]),"")</f>
        <v/>
      </c>
      <c r="Z449" s="126" t="str">
        <f>IF(Tab.o1[[#This Row],[a1]]=1,0.01+0.94*Tab.o1[[#This Row],[W1_PDF]]/MAX(Tab.o1[W1_PDF]),"")</f>
        <v/>
      </c>
      <c r="AA449" s="118" t="str">
        <f>IF(Tab.o1[[#This Row],[a1]]=1,ABS([1]!T.in.A[[#This Row],[oo6]]),"")</f>
        <v/>
      </c>
      <c r="AB449" s="127" t="str">
        <f>IF(Tab.o1[[#This Row],[a1]]=1,IF(AE$3=0,"",IF(AB$3=0,ABS([1]!T.in.A[[#This Row],[oo9]]),ABS(Tab.o1[[#This Row],[DIF_Target.]]*Tab.o1[[#This Row],[W1_PDF]]))),"")</f>
        <v/>
      </c>
      <c r="AC449" s="127" t="str">
        <f>IF(G$1=1,"",IF(Tab.o1[[#This Row],[a1]]=1,Tab.o1[[#This Row],[Wr]]^2,""))</f>
        <v/>
      </c>
      <c r="AD449" s="118" t="str">
        <f>IF(Tab.o1[[#This Row],[a1]]=1,IF(AE$3=0,"",Tab.o1[[#This Row],[Wr2]]/SUM(Tab.o1[Wr2])),"")</f>
        <v/>
      </c>
      <c r="AE449" s="128" t="str">
        <f>IF(Tab.o1[[#This Row],[a1]]=1,[1]!T.in.A[[#This Row],[oo10]],"")</f>
        <v/>
      </c>
      <c r="AF449" s="118" t="str">
        <f>IF(Tab.o1[[#This Row],[a1]]=1,ABS(Tab.o1[[#This Row],[DIF_Target.]]*Tab.o1[[#This Row],[PDF2]]*Tab.o1[[#This Row],[IN]]),"")</f>
        <v/>
      </c>
      <c r="AG449" s="129" t="str">
        <f>IF(Tab.o1[[#This Row],[a1]]=1,Tab.o1[[#This Row],[rW]]^2,"")</f>
        <v/>
      </c>
      <c r="AH449" s="130" t="str">
        <f>IF(Tab.o1[[#This Row],[a1]]=1,IF(AH$3=0,Tab.o1[[#This Row],[rW2]],0.01+0.94*Tab.o1[[#This Row],[rW2]]/SUM(Tab.o1[rW2])),"")</f>
        <v/>
      </c>
      <c r="AI449" s="128" t="str">
        <f>IF(Tab.o1[[#This Row],[a1]]=1,1/Tab.o1[[#This Row],[PDF]],"")</f>
        <v/>
      </c>
      <c r="AJ449" s="131" t="str">
        <f>IF(Tab.o1[[#This Row],[a1]]=1,[1]!T_AA[[#This Row],[IN'']]*[1]!T_AA[[#This Row],[Qde'']],"")</f>
        <v/>
      </c>
      <c r="AK449" s="132" t="str">
        <f>IF(Tab.o1[[#This Row],[a1]]=1,IF(AK$1=1,Tab.o1[[#This Row],[MED]]+Tab.o1[[#This Row],[MOD]]-Tab.o1[[#This Row],[MED]],""),"")</f>
        <v/>
      </c>
      <c r="AL449" s="133" t="str">
        <f>IF(Tab.o1[[#This Row],[a1]]=1,[1]!T.in.A[[#This Row],[oo16]],"")</f>
        <v/>
      </c>
      <c r="AM449" s="133" t="str">
        <f>IF(Tab.o1[[#This Row],[a1]]=1,IF(AM$3=1,[1]!T.in.A[[#This Row],[Σo16]],""),"")</f>
        <v/>
      </c>
      <c r="AN449" s="126" t="str">
        <f>IF(Tab.o1[[#This Row],[a1]]=1,[1]!T.in.A[[#This Row],[Σp5]],"")</f>
        <v/>
      </c>
      <c r="AO449" s="126" t="str">
        <f>IF(Tab.o1[[#This Row],[a1]]=1,IF(AO$3=1,[1]!T.in.A[[#This Row],[Σp5]],""),"")</f>
        <v/>
      </c>
      <c r="AP449" s="110" t="str">
        <f>IF(Tab.o1[[#This Row],[a1]]=1,IF(ISNUMBER(Tab.o1[[#This Row],[i.]]),NORMDIST(Tab.o1[[#This Row],[Za]],0,1,FALSE)*Tab.o1[[#This Row],[i.]],0),"")</f>
        <v/>
      </c>
      <c r="AQ449" s="125" t="str">
        <f>IF(Tab.o1[[#This Row],[a1]]=1,ABS(Tab.o1[[#This Row],[MOD]]-AVERAGE(Tab.o1[MOD])),"")</f>
        <v/>
      </c>
      <c r="AR449" s="134" t="str">
        <f>IF(Tab.o1[[#This Row],[a1]]=1,Tab.o1[[#This Row],[OBS]]/SUM(Tab.o1[OBS]),"")</f>
        <v/>
      </c>
      <c r="AS449" s="135" t="str">
        <f>IF(ISNUMBER(Tab.o1[[#This Row],[a1]]),ROW()-4,"")</f>
        <v/>
      </c>
      <c r="AT449" s="136" t="str">
        <f>Tab.o1[[#This Row],[MOD]]</f>
        <v/>
      </c>
      <c r="AU449" s="137" t="str">
        <f t="shared" si="25"/>
        <v/>
      </c>
      <c r="AV449" s="138" t="str">
        <f t="shared" si="26"/>
        <v/>
      </c>
      <c r="AW449" s="138" t="str">
        <f t="shared" si="27"/>
        <v/>
      </c>
      <c r="AX449" s="139" t="str">
        <f>[1]!T.in.A[[#This Row],[ID_T_manu]]</f>
        <v/>
      </c>
      <c r="AY449" s="140" t="str">
        <f>IF(ISNUMBER(Tab.o1[[#This Row],[a1]]),IF(AND(Tab.o1[[#This Row],[a1]]=1,Tab.o1[[#This Row],[b1]]&lt;=AY$4),#REF!,AY448),"")</f>
        <v/>
      </c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</row>
    <row r="450" spans="1:79" ht="15.75" hidden="1">
      <c r="A450" s="109">
        <v>-6.9999999999999999E-6</v>
      </c>
      <c r="B450" s="110">
        <f t="shared" si="24"/>
        <v>450</v>
      </c>
      <c r="C450" s="111" t="str">
        <f>IF(C$1=[1]!T.in.A[[#This Row],[oo2]],1,"")</f>
        <v/>
      </c>
      <c r="D450" s="112" t="str">
        <f>IF(Tab.o1[[#This Row],[a1]]=1,IF(SUM(C450:C451)=0,0,IF(SUM(C449:C450)=1,1,IF(SUM(C449:C451)&gt;1,D449+1,0))),"")</f>
        <v/>
      </c>
      <c r="E450" s="113" t="str">
        <f>IF(Tab.o1[[#This Row],[a1]]=1,[1]!T.in.A[[#This Row],[oo1]],"")</f>
        <v/>
      </c>
      <c r="F450" s="113" t="str">
        <f>IF(Tab.o1[[#This Row],[a1]]=1,[1]!T.in.A[[#This Row],[pp1]],"")</f>
        <v/>
      </c>
      <c r="G450" s="114" t="str">
        <f>IF(Tab.o1[[#This Row],[a1]]=1,G$2+IF(G$1=1,0,Tab.o1[[#This Row],[.x1]])+[1]!T.in.A[[#This Row],[oo3]],"")</f>
        <v/>
      </c>
      <c r="H450" s="115" t="str">
        <f>IF(Tab.o1[[#This Row],[a1]]=1,IF(H$2=0,0,IF(G$1=1,0,Tab.o1[[#This Row],[.x1]])+[1]!T.in.A[[#This Row],[oo4]]),"")</f>
        <v/>
      </c>
      <c r="I450" s="116" t="str">
        <f>IF(Tab.o1[[#This Row],[a1]]=1,IF(J$2=0,Tab.o1[[#This Row],[MED]],Tab.o1[[#This Row],[MOD]]),"")</f>
        <v/>
      </c>
      <c r="J450" s="116" t="str">
        <f>IF(Tab.o1[[#This Row],[a1]]=1,((Tab.o1[[#This Row],[DIF_Target.]]-AVERAGE(Tab.o1[DIF_Target.]))/_xlfn.STDEV.P(Tab.o1[DIF_Target.])),"")</f>
        <v/>
      </c>
      <c r="K450" s="117" t="str">
        <f>IF(Tab.o1[[#This Row],[a1]]=1,IF(J$2=0,Tab.o1[[#This Row],[MOD]]-Tab.o1[[#This Row],[B]],IF(J$2=1,0,-Tab.o1[[#This Row],[MED]])+Tab.o1[[#This Row],[B]]),"")</f>
        <v/>
      </c>
      <c r="L450" s="117" t="str">
        <f ca="1">IF(Tab.o1[[#This Row],[DIF_Target]]=0,IF(L$2=0,Tab.o1[[#This Row],[DIF_Target]],AVERAGE(OFFSET(Tab.o1[[#This Row],[DIF_Target]],1,0,L$3,1)))/3,Tab.o1[[#This Row],[DIF_Target]])</f>
        <v/>
      </c>
      <c r="M450" s="118" t="str">
        <f>IF(Tab.o1[[#This Row],[a1]]=1,NORMSDIST(Tab.o1[[#This Row],[Za]]),"")</f>
        <v/>
      </c>
      <c r="N450" s="119" t="str">
        <f>IF(Tab.o1[[#This Row],[a1]]=1,((Tab.o1[[#This Row],[MedMod]]-AVERAGE(Tab.o1[MedMod]))/_xlfn.STDEV.P(Tab.o1[MedMod])*H$1205)+G$1205,"")</f>
        <v/>
      </c>
      <c r="O450" s="141" t="str">
        <f>IF(Tab.o1[[#This Row],[a1]]=1,Tab.o1[[#This Row],[Zb]]*_xlfn.STDEV.P(Tab.o1[MedMod])+AVERAGE(Tab.o1[MedMod]),"")</f>
        <v/>
      </c>
      <c r="P450" s="117" t="str">
        <f ca="1">IF(Tab.o1[[#This Row],[B]]=0,AVERAGE(OFFSET(Tab.o1[[#This Row],[B]],1,0,L$3,1)),Tab.o1[[#This Row],[B]])</f>
        <v/>
      </c>
      <c r="Q450" s="121" t="str">
        <f>IF(Tab.o1[[#This Row],[a1]]=1,NORMSDIST(Tab.o1[[#This Row],[Zb]]),"")</f>
        <v/>
      </c>
      <c r="R450" s="122" t="str">
        <f>IF(Tab.o1[[#This Row],[a1]]=1,((Tab.o1[[#This Row],[MedMod]]-AVERAGE(Tab.o1[MedMod]))/_xlfn.STDEV.P(Tab.o1[MedMod])*H$1203)+G$1203,"")</f>
        <v/>
      </c>
      <c r="S450" s="122" t="str">
        <f>IF(Tab.o1[[#This Row],[a1]]=1,((Tab.o1[[#This Row],[MedMod]]-AVERAGE(Tab.o1[MedMod]))/_xlfn.STDEV.P(Tab.o1[MedMod])*H$1204)+G$1204,"")</f>
        <v/>
      </c>
      <c r="T450" s="123" t="str">
        <f>IF(Tab.o1[[#This Row],[a1]]=1,Tab.o1[[#This Row],[Z-]]*_xlfn.STDEV.P(Tab.o1[B])+AVERAGE(Tab.o1[B]),"")</f>
        <v/>
      </c>
      <c r="U450" s="123" t="str">
        <f>IF(Tab.o1[[#This Row],[a1]]=1,Tab.o1[[#This Row],[z+]]*_xlfn.STDEV.P(Tab.o1[B])+AVERAGE(Tab.o1[B]),"")</f>
        <v/>
      </c>
      <c r="V450" s="124" t="str">
        <f>IF(Tab.o1[[#This Row],[a1]]=1,ABS((ABS(Tab.o1[[#This Row],[Red]]-Tab.o1[[#This Row],[Blue]]))),"")</f>
        <v/>
      </c>
      <c r="W450" s="125" t="str">
        <f>IF(Tab.o1[[#This Row],[a1]]=1,IF(W$3=0,1,Tab.o1[[#This Row],[Amp.]]*1/_xlfn.MINIFS(Tab.o1[Amp.],Tab.o1[Amp.],"&lt;&gt;0")),"")</f>
        <v/>
      </c>
      <c r="X450" s="126" t="str">
        <f>IF(Tab.o1[[#This Row],[a1]]=1,IF(ISNUMBER(Tab.o1[[#This Row],[i.]]),NORMDIST(Tab.o1[[#This Row],[Za]],0,1,FALSE)*Tab.o1[[#This Row],[i.]],AP$3),"")</f>
        <v/>
      </c>
      <c r="Y450" s="126" t="str">
        <f>IF(Tab.o1[[#This Row],[a1]]=1,0.01+0.94*Tab.o1[[#This Row],[PDF]]/MAX(Tab.o1[PDF]),"")</f>
        <v/>
      </c>
      <c r="Z450" s="126" t="str">
        <f>IF(Tab.o1[[#This Row],[a1]]=1,0.01+0.94*Tab.o1[[#This Row],[W1_PDF]]/MAX(Tab.o1[W1_PDF]),"")</f>
        <v/>
      </c>
      <c r="AA450" s="118" t="str">
        <f>IF(Tab.o1[[#This Row],[a1]]=1,ABS([1]!T.in.A[[#This Row],[oo6]]),"")</f>
        <v/>
      </c>
      <c r="AB450" s="127" t="str">
        <f>IF(Tab.o1[[#This Row],[a1]]=1,IF(AE$3=0,"",IF(AB$3=0,ABS([1]!T.in.A[[#This Row],[oo9]]),ABS(Tab.o1[[#This Row],[DIF_Target.]]*Tab.o1[[#This Row],[W1_PDF]]))),"")</f>
        <v/>
      </c>
      <c r="AC450" s="127" t="str">
        <f>IF(G$1=1,"",IF(Tab.o1[[#This Row],[a1]]=1,Tab.o1[[#This Row],[Wr]]^2,""))</f>
        <v/>
      </c>
      <c r="AD450" s="118" t="str">
        <f>IF(Tab.o1[[#This Row],[a1]]=1,IF(AE$3=0,"",Tab.o1[[#This Row],[Wr2]]/SUM(Tab.o1[Wr2])),"")</f>
        <v/>
      </c>
      <c r="AE450" s="128" t="str">
        <f>IF(Tab.o1[[#This Row],[a1]]=1,[1]!T.in.A[[#This Row],[oo10]],"")</f>
        <v/>
      </c>
      <c r="AF450" s="118" t="str">
        <f>IF(Tab.o1[[#This Row],[a1]]=1,ABS(Tab.o1[[#This Row],[DIF_Target.]]*Tab.o1[[#This Row],[PDF2]]*Tab.o1[[#This Row],[IN]]),"")</f>
        <v/>
      </c>
      <c r="AG450" s="129" t="str">
        <f>IF(Tab.o1[[#This Row],[a1]]=1,Tab.o1[[#This Row],[rW]]^2,"")</f>
        <v/>
      </c>
      <c r="AH450" s="130" t="str">
        <f>IF(Tab.o1[[#This Row],[a1]]=1,IF(AH$3=0,Tab.o1[[#This Row],[rW2]],0.01+0.94*Tab.o1[[#This Row],[rW2]]/SUM(Tab.o1[rW2])),"")</f>
        <v/>
      </c>
      <c r="AI450" s="128" t="str">
        <f>IF(Tab.o1[[#This Row],[a1]]=1,1/Tab.o1[[#This Row],[PDF]],"")</f>
        <v/>
      </c>
      <c r="AJ450" s="131" t="str">
        <f>IF(Tab.o1[[#This Row],[a1]]=1,[1]!T_AA[[#This Row],[IN'']]*[1]!T_AA[[#This Row],[Qde'']],"")</f>
        <v/>
      </c>
      <c r="AK450" s="132" t="str">
        <f>IF(Tab.o1[[#This Row],[a1]]=1,IF(AK$1=1,Tab.o1[[#This Row],[MED]]+Tab.o1[[#This Row],[MOD]]-Tab.o1[[#This Row],[MED]],""),"")</f>
        <v/>
      </c>
      <c r="AL450" s="133" t="str">
        <f>IF(Tab.o1[[#This Row],[a1]]=1,[1]!T.in.A[[#This Row],[oo16]],"")</f>
        <v/>
      </c>
      <c r="AM450" s="133" t="str">
        <f>IF(Tab.o1[[#This Row],[a1]]=1,IF(AM$3=1,[1]!T.in.A[[#This Row],[Σo16]],""),"")</f>
        <v/>
      </c>
      <c r="AN450" s="126" t="str">
        <f>IF(Tab.o1[[#This Row],[a1]]=1,[1]!T.in.A[[#This Row],[Σp5]],"")</f>
        <v/>
      </c>
      <c r="AO450" s="126" t="str">
        <f>IF(Tab.o1[[#This Row],[a1]]=1,IF(AO$3=1,[1]!T.in.A[[#This Row],[Σp5]],""),"")</f>
        <v/>
      </c>
      <c r="AP450" s="110" t="str">
        <f>IF(Tab.o1[[#This Row],[a1]]=1,IF(ISNUMBER(Tab.o1[[#This Row],[i.]]),NORMDIST(Tab.o1[[#This Row],[Za]],0,1,FALSE)*Tab.o1[[#This Row],[i.]],0),"")</f>
        <v/>
      </c>
      <c r="AQ450" s="125" t="str">
        <f>IF(Tab.o1[[#This Row],[a1]]=1,ABS(Tab.o1[[#This Row],[MOD]]-AVERAGE(Tab.o1[MOD])),"")</f>
        <v/>
      </c>
      <c r="AR450" s="134" t="str">
        <f>IF(Tab.o1[[#This Row],[a1]]=1,Tab.o1[[#This Row],[OBS]]/SUM(Tab.o1[OBS]),"")</f>
        <v/>
      </c>
      <c r="AS450" s="135" t="str">
        <f>IF(ISNUMBER(Tab.o1[[#This Row],[a1]]),ROW()-4,"")</f>
        <v/>
      </c>
      <c r="AT450" s="136" t="str">
        <f>Tab.o1[[#This Row],[MOD]]</f>
        <v/>
      </c>
      <c r="AU450" s="137" t="str">
        <f t="shared" si="25"/>
        <v/>
      </c>
      <c r="AV450" s="138" t="str">
        <f t="shared" si="26"/>
        <v/>
      </c>
      <c r="AW450" s="138" t="str">
        <f t="shared" si="27"/>
        <v/>
      </c>
      <c r="AX450" s="139" t="str">
        <f>[1]!T.in.A[[#This Row],[ID_T_manu]]</f>
        <v/>
      </c>
      <c r="AY450" s="140" t="str">
        <f>IF(ISNUMBER(Tab.o1[[#This Row],[a1]]),IF(AND(Tab.o1[[#This Row],[a1]]=1,Tab.o1[[#This Row],[b1]]&lt;=AY$4),#REF!,AY449),"")</f>
        <v/>
      </c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</row>
    <row r="451" spans="1:79" ht="15.75" hidden="1">
      <c r="A451" s="109">
        <v>-5.0000000000000004E-6</v>
      </c>
      <c r="B451" s="110">
        <f t="shared" si="24"/>
        <v>451</v>
      </c>
      <c r="C451" s="111" t="str">
        <f>IF(C$1=[1]!T.in.A[[#This Row],[oo2]],1,"")</f>
        <v/>
      </c>
      <c r="D451" s="112" t="str">
        <f>IF(Tab.o1[[#This Row],[a1]]=1,IF(SUM(C451:C452)=0,0,IF(SUM(C450:C451)=1,1,IF(SUM(C450:C452)&gt;1,D450+1,0))),"")</f>
        <v/>
      </c>
      <c r="E451" s="113" t="str">
        <f>IF(Tab.o1[[#This Row],[a1]]=1,[1]!T.in.A[[#This Row],[oo1]],"")</f>
        <v/>
      </c>
      <c r="F451" s="113" t="str">
        <f>IF(Tab.o1[[#This Row],[a1]]=1,[1]!T.in.A[[#This Row],[pp1]],"")</f>
        <v/>
      </c>
      <c r="G451" s="114" t="str">
        <f>IF(Tab.o1[[#This Row],[a1]]=1,G$2+IF(G$1=1,0,Tab.o1[[#This Row],[.x1]])+[1]!T.in.A[[#This Row],[oo3]],"")</f>
        <v/>
      </c>
      <c r="H451" s="115" t="str">
        <f>IF(Tab.o1[[#This Row],[a1]]=1,IF(H$2=0,0,IF(G$1=1,0,Tab.o1[[#This Row],[.x1]])+[1]!T.in.A[[#This Row],[oo4]]),"")</f>
        <v/>
      </c>
      <c r="I451" s="116" t="str">
        <f>IF(Tab.o1[[#This Row],[a1]]=1,IF(J$2=0,Tab.o1[[#This Row],[MED]],Tab.o1[[#This Row],[MOD]]),"")</f>
        <v/>
      </c>
      <c r="J451" s="116" t="str">
        <f>IF(Tab.o1[[#This Row],[a1]]=1,((Tab.o1[[#This Row],[DIF_Target.]]-AVERAGE(Tab.o1[DIF_Target.]))/_xlfn.STDEV.P(Tab.o1[DIF_Target.])),"")</f>
        <v/>
      </c>
      <c r="K451" s="117" t="str">
        <f>IF(Tab.o1[[#This Row],[a1]]=1,IF(J$2=0,Tab.o1[[#This Row],[MOD]]-Tab.o1[[#This Row],[B]],IF(J$2=1,0,-Tab.o1[[#This Row],[MED]])+Tab.o1[[#This Row],[B]]),"")</f>
        <v/>
      </c>
      <c r="L451" s="117" t="str">
        <f ca="1">IF(Tab.o1[[#This Row],[DIF_Target]]=0,IF(L$2=0,Tab.o1[[#This Row],[DIF_Target]],AVERAGE(OFFSET(Tab.o1[[#This Row],[DIF_Target]],1,0,L$3,1)))/3,Tab.o1[[#This Row],[DIF_Target]])</f>
        <v/>
      </c>
      <c r="M451" s="118" t="str">
        <f>IF(Tab.o1[[#This Row],[a1]]=1,NORMSDIST(Tab.o1[[#This Row],[Za]]),"")</f>
        <v/>
      </c>
      <c r="N451" s="119" t="str">
        <f>IF(Tab.o1[[#This Row],[a1]]=1,((Tab.o1[[#This Row],[MedMod]]-AVERAGE(Tab.o1[MedMod]))/_xlfn.STDEV.P(Tab.o1[MedMod])*H$1205)+G$1205,"")</f>
        <v/>
      </c>
      <c r="O451" s="141" t="str">
        <f>IF(Tab.o1[[#This Row],[a1]]=1,Tab.o1[[#This Row],[Zb]]*_xlfn.STDEV.P(Tab.o1[MedMod])+AVERAGE(Tab.o1[MedMod]),"")</f>
        <v/>
      </c>
      <c r="P451" s="117" t="str">
        <f ca="1">IF(Tab.o1[[#This Row],[B]]=0,AVERAGE(OFFSET(Tab.o1[[#This Row],[B]],1,0,L$3,1)),Tab.o1[[#This Row],[B]])</f>
        <v/>
      </c>
      <c r="Q451" s="121" t="str">
        <f>IF(Tab.o1[[#This Row],[a1]]=1,NORMSDIST(Tab.o1[[#This Row],[Zb]]),"")</f>
        <v/>
      </c>
      <c r="R451" s="122" t="str">
        <f>IF(Tab.o1[[#This Row],[a1]]=1,((Tab.o1[[#This Row],[MedMod]]-AVERAGE(Tab.o1[MedMod]))/_xlfn.STDEV.P(Tab.o1[MedMod])*H$1203)+G$1203,"")</f>
        <v/>
      </c>
      <c r="S451" s="122" t="str">
        <f>IF(Tab.o1[[#This Row],[a1]]=1,((Tab.o1[[#This Row],[MedMod]]-AVERAGE(Tab.o1[MedMod]))/_xlfn.STDEV.P(Tab.o1[MedMod])*H$1204)+G$1204,"")</f>
        <v/>
      </c>
      <c r="T451" s="123" t="str">
        <f>IF(Tab.o1[[#This Row],[a1]]=1,Tab.o1[[#This Row],[Z-]]*_xlfn.STDEV.P(Tab.o1[B])+AVERAGE(Tab.o1[B]),"")</f>
        <v/>
      </c>
      <c r="U451" s="123" t="str">
        <f>IF(Tab.o1[[#This Row],[a1]]=1,Tab.o1[[#This Row],[z+]]*_xlfn.STDEV.P(Tab.o1[B])+AVERAGE(Tab.o1[B]),"")</f>
        <v/>
      </c>
      <c r="V451" s="124" t="str">
        <f>IF(Tab.o1[[#This Row],[a1]]=1,ABS((ABS(Tab.o1[[#This Row],[Red]]-Tab.o1[[#This Row],[Blue]]))),"")</f>
        <v/>
      </c>
      <c r="W451" s="125" t="str">
        <f>IF(Tab.o1[[#This Row],[a1]]=1,IF(W$3=0,1,Tab.o1[[#This Row],[Amp.]]*1/_xlfn.MINIFS(Tab.o1[Amp.],Tab.o1[Amp.],"&lt;&gt;0")),"")</f>
        <v/>
      </c>
      <c r="X451" s="126" t="str">
        <f>IF(Tab.o1[[#This Row],[a1]]=1,IF(ISNUMBER(Tab.o1[[#This Row],[i.]]),NORMDIST(Tab.o1[[#This Row],[Za]],0,1,FALSE)*Tab.o1[[#This Row],[i.]],AP$3),"")</f>
        <v/>
      </c>
      <c r="Y451" s="126" t="str">
        <f>IF(Tab.o1[[#This Row],[a1]]=1,0.01+0.94*Tab.o1[[#This Row],[PDF]]/MAX(Tab.o1[PDF]),"")</f>
        <v/>
      </c>
      <c r="Z451" s="126" t="str">
        <f>IF(Tab.o1[[#This Row],[a1]]=1,0.01+0.94*Tab.o1[[#This Row],[W1_PDF]]/MAX(Tab.o1[W1_PDF]),"")</f>
        <v/>
      </c>
      <c r="AA451" s="118" t="str">
        <f>IF(Tab.o1[[#This Row],[a1]]=1,ABS([1]!T.in.A[[#This Row],[oo6]]),"")</f>
        <v/>
      </c>
      <c r="AB451" s="127" t="str">
        <f>IF(Tab.o1[[#This Row],[a1]]=1,IF(AE$3=0,"",IF(AB$3=0,ABS([1]!T.in.A[[#This Row],[oo9]]),ABS(Tab.o1[[#This Row],[DIF_Target.]]*Tab.o1[[#This Row],[W1_PDF]]))),"")</f>
        <v/>
      </c>
      <c r="AC451" s="127" t="str">
        <f>IF(G$1=1,"",IF(Tab.o1[[#This Row],[a1]]=1,Tab.o1[[#This Row],[Wr]]^2,""))</f>
        <v/>
      </c>
      <c r="AD451" s="118" t="str">
        <f>IF(Tab.o1[[#This Row],[a1]]=1,IF(AE$3=0,"",Tab.o1[[#This Row],[Wr2]]/SUM(Tab.o1[Wr2])),"")</f>
        <v/>
      </c>
      <c r="AE451" s="128" t="str">
        <f>IF(Tab.o1[[#This Row],[a1]]=1,[1]!T.in.A[[#This Row],[oo10]],"")</f>
        <v/>
      </c>
      <c r="AF451" s="118" t="str">
        <f>IF(Tab.o1[[#This Row],[a1]]=1,ABS(Tab.o1[[#This Row],[DIF_Target.]]*Tab.o1[[#This Row],[PDF2]]*Tab.o1[[#This Row],[IN]]),"")</f>
        <v/>
      </c>
      <c r="AG451" s="129" t="str">
        <f>IF(Tab.o1[[#This Row],[a1]]=1,Tab.o1[[#This Row],[rW]]^2,"")</f>
        <v/>
      </c>
      <c r="AH451" s="130" t="str">
        <f>IF(Tab.o1[[#This Row],[a1]]=1,IF(AH$3=0,Tab.o1[[#This Row],[rW2]],0.01+0.94*Tab.o1[[#This Row],[rW2]]/SUM(Tab.o1[rW2])),"")</f>
        <v/>
      </c>
      <c r="AI451" s="128" t="str">
        <f>IF(Tab.o1[[#This Row],[a1]]=1,1/Tab.o1[[#This Row],[PDF]],"")</f>
        <v/>
      </c>
      <c r="AJ451" s="131" t="str">
        <f>IF(Tab.o1[[#This Row],[a1]]=1,[1]!T_AA[[#This Row],[IN'']]*[1]!T_AA[[#This Row],[Qde'']],"")</f>
        <v/>
      </c>
      <c r="AK451" s="132" t="str">
        <f>IF(Tab.o1[[#This Row],[a1]]=1,IF(AK$1=1,Tab.o1[[#This Row],[MED]]+Tab.o1[[#This Row],[MOD]]-Tab.o1[[#This Row],[MED]],""),"")</f>
        <v/>
      </c>
      <c r="AL451" s="133" t="str">
        <f>IF(Tab.o1[[#This Row],[a1]]=1,[1]!T.in.A[[#This Row],[oo16]],"")</f>
        <v/>
      </c>
      <c r="AM451" s="133" t="str">
        <f>IF(Tab.o1[[#This Row],[a1]]=1,IF(AM$3=1,[1]!T.in.A[[#This Row],[Σo16]],""),"")</f>
        <v/>
      </c>
      <c r="AN451" s="126" t="str">
        <f>IF(Tab.o1[[#This Row],[a1]]=1,[1]!T.in.A[[#This Row],[Σp5]],"")</f>
        <v/>
      </c>
      <c r="AO451" s="126" t="str">
        <f>IF(Tab.o1[[#This Row],[a1]]=1,IF(AO$3=1,[1]!T.in.A[[#This Row],[Σp5]],""),"")</f>
        <v/>
      </c>
      <c r="AP451" s="110" t="str">
        <f>IF(Tab.o1[[#This Row],[a1]]=1,IF(ISNUMBER(Tab.o1[[#This Row],[i.]]),NORMDIST(Tab.o1[[#This Row],[Za]],0,1,FALSE)*Tab.o1[[#This Row],[i.]],0),"")</f>
        <v/>
      </c>
      <c r="AQ451" s="125" t="str">
        <f>IF(Tab.o1[[#This Row],[a1]]=1,ABS(Tab.o1[[#This Row],[MOD]]-AVERAGE(Tab.o1[MOD])),"")</f>
        <v/>
      </c>
      <c r="AR451" s="134" t="str">
        <f>IF(Tab.o1[[#This Row],[a1]]=1,Tab.o1[[#This Row],[OBS]]/SUM(Tab.o1[OBS]),"")</f>
        <v/>
      </c>
      <c r="AS451" s="135" t="str">
        <f>IF(ISNUMBER(Tab.o1[[#This Row],[a1]]),ROW()-4,"")</f>
        <v/>
      </c>
      <c r="AT451" s="136" t="str">
        <f>Tab.o1[[#This Row],[MOD]]</f>
        <v/>
      </c>
      <c r="AU451" s="137" t="str">
        <f t="shared" si="25"/>
        <v/>
      </c>
      <c r="AV451" s="138" t="str">
        <f t="shared" si="26"/>
        <v/>
      </c>
      <c r="AW451" s="138" t="str">
        <f t="shared" si="27"/>
        <v/>
      </c>
      <c r="AX451" s="139" t="str">
        <f>[1]!T.in.A[[#This Row],[ID_T_manu]]</f>
        <v/>
      </c>
      <c r="AY451" s="140" t="str">
        <f>IF(ISNUMBER(Tab.o1[[#This Row],[a1]]),IF(AND(Tab.o1[[#This Row],[a1]]=1,Tab.o1[[#This Row],[b1]]&lt;=AY$4),#REF!,AY450),"")</f>
        <v/>
      </c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</row>
    <row r="452" spans="1:79" ht="15.75" hidden="1">
      <c r="A452" s="109">
        <v>8.0000000000000013E-6</v>
      </c>
      <c r="B452" s="110">
        <f t="shared" si="24"/>
        <v>452</v>
      </c>
      <c r="C452" s="111" t="str">
        <f>IF(C$1=[1]!T.in.A[[#This Row],[oo2]],1,"")</f>
        <v/>
      </c>
      <c r="D452" s="112" t="str">
        <f>IF(Tab.o1[[#This Row],[a1]]=1,IF(SUM(C452:C453)=0,0,IF(SUM(C451:C452)=1,1,IF(SUM(C451:C453)&gt;1,D451+1,0))),"")</f>
        <v/>
      </c>
      <c r="E452" s="113" t="str">
        <f>IF(Tab.o1[[#This Row],[a1]]=1,[1]!T.in.A[[#This Row],[oo1]],"")</f>
        <v/>
      </c>
      <c r="F452" s="113" t="str">
        <f>IF(Tab.o1[[#This Row],[a1]]=1,[1]!T.in.A[[#This Row],[pp1]],"")</f>
        <v/>
      </c>
      <c r="G452" s="114" t="str">
        <f>IF(Tab.o1[[#This Row],[a1]]=1,G$2+IF(G$1=1,0,Tab.o1[[#This Row],[.x1]])+[1]!T.in.A[[#This Row],[oo3]],"")</f>
        <v/>
      </c>
      <c r="H452" s="115" t="str">
        <f>IF(Tab.o1[[#This Row],[a1]]=1,IF(H$2=0,0,IF(G$1=1,0,Tab.o1[[#This Row],[.x1]])+[1]!T.in.A[[#This Row],[oo4]]),"")</f>
        <v/>
      </c>
      <c r="I452" s="116" t="str">
        <f>IF(Tab.o1[[#This Row],[a1]]=1,IF(J$2=0,Tab.o1[[#This Row],[MED]],Tab.o1[[#This Row],[MOD]]),"")</f>
        <v/>
      </c>
      <c r="J452" s="116" t="str">
        <f>IF(Tab.o1[[#This Row],[a1]]=1,((Tab.o1[[#This Row],[DIF_Target.]]-AVERAGE(Tab.o1[DIF_Target.]))/_xlfn.STDEV.P(Tab.o1[DIF_Target.])),"")</f>
        <v/>
      </c>
      <c r="K452" s="117" t="str">
        <f>IF(Tab.o1[[#This Row],[a1]]=1,IF(J$2=0,Tab.o1[[#This Row],[MOD]]-Tab.o1[[#This Row],[B]],IF(J$2=1,0,-Tab.o1[[#This Row],[MED]])+Tab.o1[[#This Row],[B]]),"")</f>
        <v/>
      </c>
      <c r="L452" s="117" t="str">
        <f ca="1">IF(Tab.o1[[#This Row],[DIF_Target]]=0,IF(L$2=0,Tab.o1[[#This Row],[DIF_Target]],AVERAGE(OFFSET(Tab.o1[[#This Row],[DIF_Target]],1,0,L$3,1)))/3,Tab.o1[[#This Row],[DIF_Target]])</f>
        <v/>
      </c>
      <c r="M452" s="118" t="str">
        <f>IF(Tab.o1[[#This Row],[a1]]=1,NORMSDIST(Tab.o1[[#This Row],[Za]]),"")</f>
        <v/>
      </c>
      <c r="N452" s="119" t="str">
        <f>IF(Tab.o1[[#This Row],[a1]]=1,((Tab.o1[[#This Row],[MedMod]]-AVERAGE(Tab.o1[MedMod]))/_xlfn.STDEV.P(Tab.o1[MedMod])*H$1205)+G$1205,"")</f>
        <v/>
      </c>
      <c r="O452" s="141" t="str">
        <f>IF(Tab.o1[[#This Row],[a1]]=1,Tab.o1[[#This Row],[Zb]]*_xlfn.STDEV.P(Tab.o1[MedMod])+AVERAGE(Tab.o1[MedMod]),"")</f>
        <v/>
      </c>
      <c r="P452" s="117" t="str">
        <f ca="1">IF(Tab.o1[[#This Row],[B]]=0,AVERAGE(OFFSET(Tab.o1[[#This Row],[B]],1,0,L$3,1)),Tab.o1[[#This Row],[B]])</f>
        <v/>
      </c>
      <c r="Q452" s="121" t="str">
        <f>IF(Tab.o1[[#This Row],[a1]]=1,NORMSDIST(Tab.o1[[#This Row],[Zb]]),"")</f>
        <v/>
      </c>
      <c r="R452" s="122" t="str">
        <f>IF(Tab.o1[[#This Row],[a1]]=1,((Tab.o1[[#This Row],[MedMod]]-AVERAGE(Tab.o1[MedMod]))/_xlfn.STDEV.P(Tab.o1[MedMod])*H$1203)+G$1203,"")</f>
        <v/>
      </c>
      <c r="S452" s="122" t="str">
        <f>IF(Tab.o1[[#This Row],[a1]]=1,((Tab.o1[[#This Row],[MedMod]]-AVERAGE(Tab.o1[MedMod]))/_xlfn.STDEV.P(Tab.o1[MedMod])*H$1204)+G$1204,"")</f>
        <v/>
      </c>
      <c r="T452" s="123" t="str">
        <f>IF(Tab.o1[[#This Row],[a1]]=1,Tab.o1[[#This Row],[Z-]]*_xlfn.STDEV.P(Tab.o1[B])+AVERAGE(Tab.o1[B]),"")</f>
        <v/>
      </c>
      <c r="U452" s="123" t="str">
        <f>IF(Tab.o1[[#This Row],[a1]]=1,Tab.o1[[#This Row],[z+]]*_xlfn.STDEV.P(Tab.o1[B])+AVERAGE(Tab.o1[B]),"")</f>
        <v/>
      </c>
      <c r="V452" s="124" t="str">
        <f>IF(Tab.o1[[#This Row],[a1]]=1,ABS((ABS(Tab.o1[[#This Row],[Red]]-Tab.o1[[#This Row],[Blue]]))),"")</f>
        <v/>
      </c>
      <c r="W452" s="125" t="str">
        <f>IF(Tab.o1[[#This Row],[a1]]=1,IF(W$3=0,1,Tab.o1[[#This Row],[Amp.]]*1/_xlfn.MINIFS(Tab.o1[Amp.],Tab.o1[Amp.],"&lt;&gt;0")),"")</f>
        <v/>
      </c>
      <c r="X452" s="126" t="str">
        <f>IF(Tab.o1[[#This Row],[a1]]=1,IF(ISNUMBER(Tab.o1[[#This Row],[i.]]),NORMDIST(Tab.o1[[#This Row],[Za]],0,1,FALSE)*Tab.o1[[#This Row],[i.]],AP$3),"")</f>
        <v/>
      </c>
      <c r="Y452" s="126" t="str">
        <f>IF(Tab.o1[[#This Row],[a1]]=1,0.01+0.94*Tab.o1[[#This Row],[PDF]]/MAX(Tab.o1[PDF]),"")</f>
        <v/>
      </c>
      <c r="Z452" s="126" t="str">
        <f>IF(Tab.o1[[#This Row],[a1]]=1,0.01+0.94*Tab.o1[[#This Row],[W1_PDF]]/MAX(Tab.o1[W1_PDF]),"")</f>
        <v/>
      </c>
      <c r="AA452" s="118" t="str">
        <f>IF(Tab.o1[[#This Row],[a1]]=1,ABS([1]!T.in.A[[#This Row],[oo6]]),"")</f>
        <v/>
      </c>
      <c r="AB452" s="127" t="str">
        <f>IF(Tab.o1[[#This Row],[a1]]=1,IF(AE$3=0,"",IF(AB$3=0,ABS([1]!T.in.A[[#This Row],[oo9]]),ABS(Tab.o1[[#This Row],[DIF_Target.]]*Tab.o1[[#This Row],[W1_PDF]]))),"")</f>
        <v/>
      </c>
      <c r="AC452" s="127" t="str">
        <f>IF(G$1=1,"",IF(Tab.o1[[#This Row],[a1]]=1,Tab.o1[[#This Row],[Wr]]^2,""))</f>
        <v/>
      </c>
      <c r="AD452" s="118" t="str">
        <f>IF(Tab.o1[[#This Row],[a1]]=1,IF(AE$3=0,"",Tab.o1[[#This Row],[Wr2]]/SUM(Tab.o1[Wr2])),"")</f>
        <v/>
      </c>
      <c r="AE452" s="128" t="str">
        <f>IF(Tab.o1[[#This Row],[a1]]=1,[1]!T.in.A[[#This Row],[oo10]],"")</f>
        <v/>
      </c>
      <c r="AF452" s="118" t="str">
        <f>IF(Tab.o1[[#This Row],[a1]]=1,ABS(Tab.o1[[#This Row],[DIF_Target.]]*Tab.o1[[#This Row],[PDF2]]*Tab.o1[[#This Row],[IN]]),"")</f>
        <v/>
      </c>
      <c r="AG452" s="129" t="str">
        <f>IF(Tab.o1[[#This Row],[a1]]=1,Tab.o1[[#This Row],[rW]]^2,"")</f>
        <v/>
      </c>
      <c r="AH452" s="130" t="str">
        <f>IF(Tab.o1[[#This Row],[a1]]=1,IF(AH$3=0,Tab.o1[[#This Row],[rW2]],0.01+0.94*Tab.o1[[#This Row],[rW2]]/SUM(Tab.o1[rW2])),"")</f>
        <v/>
      </c>
      <c r="AI452" s="128" t="str">
        <f>IF(Tab.o1[[#This Row],[a1]]=1,1/Tab.o1[[#This Row],[PDF]],"")</f>
        <v/>
      </c>
      <c r="AJ452" s="131" t="str">
        <f>IF(Tab.o1[[#This Row],[a1]]=1,[1]!T_AA[[#This Row],[IN'']]*[1]!T_AA[[#This Row],[Qde'']],"")</f>
        <v/>
      </c>
      <c r="AK452" s="132" t="str">
        <f>IF(Tab.o1[[#This Row],[a1]]=1,IF(AK$1=1,Tab.o1[[#This Row],[MED]]+Tab.o1[[#This Row],[MOD]]-Tab.o1[[#This Row],[MED]],""),"")</f>
        <v/>
      </c>
      <c r="AL452" s="133" t="str">
        <f>IF(Tab.o1[[#This Row],[a1]]=1,[1]!T.in.A[[#This Row],[oo16]],"")</f>
        <v/>
      </c>
      <c r="AM452" s="133" t="str">
        <f>IF(Tab.o1[[#This Row],[a1]]=1,IF(AM$3=1,[1]!T.in.A[[#This Row],[Σo16]],""),"")</f>
        <v/>
      </c>
      <c r="AN452" s="126" t="str">
        <f>IF(Tab.o1[[#This Row],[a1]]=1,[1]!T.in.A[[#This Row],[Σp5]],"")</f>
        <v/>
      </c>
      <c r="AO452" s="126" t="str">
        <f>IF(Tab.o1[[#This Row],[a1]]=1,IF(AO$3=1,[1]!T.in.A[[#This Row],[Σp5]],""),"")</f>
        <v/>
      </c>
      <c r="AP452" s="110" t="str">
        <f>IF(Tab.o1[[#This Row],[a1]]=1,IF(ISNUMBER(Tab.o1[[#This Row],[i.]]),NORMDIST(Tab.o1[[#This Row],[Za]],0,1,FALSE)*Tab.o1[[#This Row],[i.]],0),"")</f>
        <v/>
      </c>
      <c r="AQ452" s="125" t="str">
        <f>IF(Tab.o1[[#This Row],[a1]]=1,ABS(Tab.o1[[#This Row],[MOD]]-AVERAGE(Tab.o1[MOD])),"")</f>
        <v/>
      </c>
      <c r="AR452" s="134" t="str">
        <f>IF(Tab.o1[[#This Row],[a1]]=1,Tab.o1[[#This Row],[OBS]]/SUM(Tab.o1[OBS]),"")</f>
        <v/>
      </c>
      <c r="AS452" s="135" t="str">
        <f>IF(ISNUMBER(Tab.o1[[#This Row],[a1]]),ROW()-4,"")</f>
        <v/>
      </c>
      <c r="AT452" s="136" t="str">
        <f>Tab.o1[[#This Row],[MOD]]</f>
        <v/>
      </c>
      <c r="AU452" s="137" t="str">
        <f t="shared" si="25"/>
        <v/>
      </c>
      <c r="AV452" s="138" t="str">
        <f t="shared" si="26"/>
        <v/>
      </c>
      <c r="AW452" s="138" t="str">
        <f t="shared" si="27"/>
        <v/>
      </c>
      <c r="AX452" s="139" t="str">
        <f>[1]!T.in.A[[#This Row],[ID_T_manu]]</f>
        <v/>
      </c>
      <c r="AY452" s="140" t="str">
        <f>IF(ISNUMBER(Tab.o1[[#This Row],[a1]]),IF(AND(Tab.o1[[#This Row],[a1]]=1,Tab.o1[[#This Row],[b1]]&lt;=AY$4),#REF!,AY451),"")</f>
        <v/>
      </c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</row>
    <row r="453" spans="1:79" ht="15.75" hidden="1">
      <c r="A453" s="109">
        <v>-4.0000000000000007E-6</v>
      </c>
      <c r="B453" s="110">
        <f t="shared" si="24"/>
        <v>453</v>
      </c>
      <c r="C453" s="111" t="str">
        <f>IF(C$1=[1]!T.in.A[[#This Row],[oo2]],1,"")</f>
        <v/>
      </c>
      <c r="D453" s="112" t="str">
        <f>IF(Tab.o1[[#This Row],[a1]]=1,IF(SUM(C453:C454)=0,0,IF(SUM(C452:C453)=1,1,IF(SUM(C452:C454)&gt;1,D452+1,0))),"")</f>
        <v/>
      </c>
      <c r="E453" s="113" t="str">
        <f>IF(Tab.o1[[#This Row],[a1]]=1,[1]!T.in.A[[#This Row],[oo1]],"")</f>
        <v/>
      </c>
      <c r="F453" s="113" t="str">
        <f>IF(Tab.o1[[#This Row],[a1]]=1,[1]!T.in.A[[#This Row],[pp1]],"")</f>
        <v/>
      </c>
      <c r="G453" s="114" t="str">
        <f>IF(Tab.o1[[#This Row],[a1]]=1,G$2+IF(G$1=1,0,Tab.o1[[#This Row],[.x1]])+[1]!T.in.A[[#This Row],[oo3]],"")</f>
        <v/>
      </c>
      <c r="H453" s="115" t="str">
        <f>IF(Tab.o1[[#This Row],[a1]]=1,IF(H$2=0,0,IF(G$1=1,0,Tab.o1[[#This Row],[.x1]])+[1]!T.in.A[[#This Row],[oo4]]),"")</f>
        <v/>
      </c>
      <c r="I453" s="116" t="str">
        <f>IF(Tab.o1[[#This Row],[a1]]=1,IF(J$2=0,Tab.o1[[#This Row],[MED]],Tab.o1[[#This Row],[MOD]]),"")</f>
        <v/>
      </c>
      <c r="J453" s="116" t="str">
        <f>IF(Tab.o1[[#This Row],[a1]]=1,((Tab.o1[[#This Row],[DIF_Target.]]-AVERAGE(Tab.o1[DIF_Target.]))/_xlfn.STDEV.P(Tab.o1[DIF_Target.])),"")</f>
        <v/>
      </c>
      <c r="K453" s="117" t="str">
        <f>IF(Tab.o1[[#This Row],[a1]]=1,IF(J$2=0,Tab.o1[[#This Row],[MOD]]-Tab.o1[[#This Row],[B]],IF(J$2=1,0,-Tab.o1[[#This Row],[MED]])+Tab.o1[[#This Row],[B]]),"")</f>
        <v/>
      </c>
      <c r="L453" s="117" t="str">
        <f ca="1">IF(Tab.o1[[#This Row],[DIF_Target]]=0,IF(L$2=0,Tab.o1[[#This Row],[DIF_Target]],AVERAGE(OFFSET(Tab.o1[[#This Row],[DIF_Target]],1,0,L$3,1)))/3,Tab.o1[[#This Row],[DIF_Target]])</f>
        <v/>
      </c>
      <c r="M453" s="118" t="str">
        <f>IF(Tab.o1[[#This Row],[a1]]=1,NORMSDIST(Tab.o1[[#This Row],[Za]]),"")</f>
        <v/>
      </c>
      <c r="N453" s="119" t="str">
        <f>IF(Tab.o1[[#This Row],[a1]]=1,((Tab.o1[[#This Row],[MedMod]]-AVERAGE(Tab.o1[MedMod]))/_xlfn.STDEV.P(Tab.o1[MedMod])*H$1205)+G$1205,"")</f>
        <v/>
      </c>
      <c r="O453" s="141" t="str">
        <f>IF(Tab.o1[[#This Row],[a1]]=1,Tab.o1[[#This Row],[Zb]]*_xlfn.STDEV.P(Tab.o1[MedMod])+AVERAGE(Tab.o1[MedMod]),"")</f>
        <v/>
      </c>
      <c r="P453" s="117" t="str">
        <f ca="1">IF(Tab.o1[[#This Row],[B]]=0,AVERAGE(OFFSET(Tab.o1[[#This Row],[B]],1,0,L$3,1)),Tab.o1[[#This Row],[B]])</f>
        <v/>
      </c>
      <c r="Q453" s="121" t="str">
        <f>IF(Tab.o1[[#This Row],[a1]]=1,NORMSDIST(Tab.o1[[#This Row],[Zb]]),"")</f>
        <v/>
      </c>
      <c r="R453" s="122" t="str">
        <f>IF(Tab.o1[[#This Row],[a1]]=1,((Tab.o1[[#This Row],[MedMod]]-AVERAGE(Tab.o1[MedMod]))/_xlfn.STDEV.P(Tab.o1[MedMod])*H$1203)+G$1203,"")</f>
        <v/>
      </c>
      <c r="S453" s="122" t="str">
        <f>IF(Tab.o1[[#This Row],[a1]]=1,((Tab.o1[[#This Row],[MedMod]]-AVERAGE(Tab.o1[MedMod]))/_xlfn.STDEV.P(Tab.o1[MedMod])*H$1204)+G$1204,"")</f>
        <v/>
      </c>
      <c r="T453" s="123" t="str">
        <f>IF(Tab.o1[[#This Row],[a1]]=1,Tab.o1[[#This Row],[Z-]]*_xlfn.STDEV.P(Tab.o1[B])+AVERAGE(Tab.o1[B]),"")</f>
        <v/>
      </c>
      <c r="U453" s="123" t="str">
        <f>IF(Tab.o1[[#This Row],[a1]]=1,Tab.o1[[#This Row],[z+]]*_xlfn.STDEV.P(Tab.o1[B])+AVERAGE(Tab.o1[B]),"")</f>
        <v/>
      </c>
      <c r="V453" s="124" t="str">
        <f>IF(Tab.o1[[#This Row],[a1]]=1,ABS((ABS(Tab.o1[[#This Row],[Red]]-Tab.o1[[#This Row],[Blue]]))),"")</f>
        <v/>
      </c>
      <c r="W453" s="125" t="str">
        <f>IF(Tab.o1[[#This Row],[a1]]=1,IF(W$3=0,1,Tab.o1[[#This Row],[Amp.]]*1/_xlfn.MINIFS(Tab.o1[Amp.],Tab.o1[Amp.],"&lt;&gt;0")),"")</f>
        <v/>
      </c>
      <c r="X453" s="126" t="str">
        <f>IF(Tab.o1[[#This Row],[a1]]=1,IF(ISNUMBER(Tab.o1[[#This Row],[i.]]),NORMDIST(Tab.o1[[#This Row],[Za]],0,1,FALSE)*Tab.o1[[#This Row],[i.]],AP$3),"")</f>
        <v/>
      </c>
      <c r="Y453" s="126" t="str">
        <f>IF(Tab.o1[[#This Row],[a1]]=1,0.01+0.94*Tab.o1[[#This Row],[PDF]]/MAX(Tab.o1[PDF]),"")</f>
        <v/>
      </c>
      <c r="Z453" s="126" t="str">
        <f>IF(Tab.o1[[#This Row],[a1]]=1,0.01+0.94*Tab.o1[[#This Row],[W1_PDF]]/MAX(Tab.o1[W1_PDF]),"")</f>
        <v/>
      </c>
      <c r="AA453" s="118" t="str">
        <f>IF(Tab.o1[[#This Row],[a1]]=1,ABS([1]!T.in.A[[#This Row],[oo6]]),"")</f>
        <v/>
      </c>
      <c r="AB453" s="127" t="str">
        <f>IF(Tab.o1[[#This Row],[a1]]=1,IF(AE$3=0,"",IF(AB$3=0,ABS([1]!T.in.A[[#This Row],[oo9]]),ABS(Tab.o1[[#This Row],[DIF_Target.]]*Tab.o1[[#This Row],[W1_PDF]]))),"")</f>
        <v/>
      </c>
      <c r="AC453" s="127" t="str">
        <f>IF(G$1=1,"",IF(Tab.o1[[#This Row],[a1]]=1,Tab.o1[[#This Row],[Wr]]^2,""))</f>
        <v/>
      </c>
      <c r="AD453" s="118" t="str">
        <f>IF(Tab.o1[[#This Row],[a1]]=1,IF(AE$3=0,"",Tab.o1[[#This Row],[Wr2]]/SUM(Tab.o1[Wr2])),"")</f>
        <v/>
      </c>
      <c r="AE453" s="128" t="str">
        <f>IF(Tab.o1[[#This Row],[a1]]=1,[1]!T.in.A[[#This Row],[oo10]],"")</f>
        <v/>
      </c>
      <c r="AF453" s="118" t="str">
        <f>IF(Tab.o1[[#This Row],[a1]]=1,ABS(Tab.o1[[#This Row],[DIF_Target.]]*Tab.o1[[#This Row],[PDF2]]*Tab.o1[[#This Row],[IN]]),"")</f>
        <v/>
      </c>
      <c r="AG453" s="129" t="str">
        <f>IF(Tab.o1[[#This Row],[a1]]=1,Tab.o1[[#This Row],[rW]]^2,"")</f>
        <v/>
      </c>
      <c r="AH453" s="130" t="str">
        <f>IF(Tab.o1[[#This Row],[a1]]=1,IF(AH$3=0,Tab.o1[[#This Row],[rW2]],0.01+0.94*Tab.o1[[#This Row],[rW2]]/SUM(Tab.o1[rW2])),"")</f>
        <v/>
      </c>
      <c r="AI453" s="128" t="str">
        <f>IF(Tab.o1[[#This Row],[a1]]=1,1/Tab.o1[[#This Row],[PDF]],"")</f>
        <v/>
      </c>
      <c r="AJ453" s="131" t="str">
        <f>IF(Tab.o1[[#This Row],[a1]]=1,[1]!T_AA[[#This Row],[IN'']]*[1]!T_AA[[#This Row],[Qde'']],"")</f>
        <v/>
      </c>
      <c r="AK453" s="132" t="str">
        <f>IF(Tab.o1[[#This Row],[a1]]=1,IF(AK$1=1,Tab.o1[[#This Row],[MED]]+Tab.o1[[#This Row],[MOD]]-Tab.o1[[#This Row],[MED]],""),"")</f>
        <v/>
      </c>
      <c r="AL453" s="133" t="str">
        <f>IF(Tab.o1[[#This Row],[a1]]=1,[1]!T.in.A[[#This Row],[oo16]],"")</f>
        <v/>
      </c>
      <c r="AM453" s="133" t="str">
        <f>IF(Tab.o1[[#This Row],[a1]]=1,IF(AM$3=1,[1]!T.in.A[[#This Row],[Σo16]],""),"")</f>
        <v/>
      </c>
      <c r="AN453" s="126" t="str">
        <f>IF(Tab.o1[[#This Row],[a1]]=1,[1]!T.in.A[[#This Row],[Σp5]],"")</f>
        <v/>
      </c>
      <c r="AO453" s="126" t="str">
        <f>IF(Tab.o1[[#This Row],[a1]]=1,IF(AO$3=1,[1]!T.in.A[[#This Row],[Σp5]],""),"")</f>
        <v/>
      </c>
      <c r="AP453" s="110" t="str">
        <f>IF(Tab.o1[[#This Row],[a1]]=1,IF(ISNUMBER(Tab.o1[[#This Row],[i.]]),NORMDIST(Tab.o1[[#This Row],[Za]],0,1,FALSE)*Tab.o1[[#This Row],[i.]],0),"")</f>
        <v/>
      </c>
      <c r="AQ453" s="125" t="str">
        <f>IF(Tab.o1[[#This Row],[a1]]=1,ABS(Tab.o1[[#This Row],[MOD]]-AVERAGE(Tab.o1[MOD])),"")</f>
        <v/>
      </c>
      <c r="AR453" s="134" t="str">
        <f>IF(Tab.o1[[#This Row],[a1]]=1,Tab.o1[[#This Row],[OBS]]/SUM(Tab.o1[OBS]),"")</f>
        <v/>
      </c>
      <c r="AS453" s="135" t="str">
        <f>IF(ISNUMBER(Tab.o1[[#This Row],[a1]]),ROW()-4,"")</f>
        <v/>
      </c>
      <c r="AT453" s="136" t="str">
        <f>Tab.o1[[#This Row],[MOD]]</f>
        <v/>
      </c>
      <c r="AU453" s="137" t="str">
        <f t="shared" si="25"/>
        <v/>
      </c>
      <c r="AV453" s="138" t="str">
        <f t="shared" si="26"/>
        <v/>
      </c>
      <c r="AW453" s="138" t="str">
        <f t="shared" si="27"/>
        <v/>
      </c>
      <c r="AX453" s="139" t="str">
        <f>[1]!T.in.A[[#This Row],[ID_T_manu]]</f>
        <v/>
      </c>
      <c r="AY453" s="140" t="str">
        <f>IF(ISNUMBER(Tab.o1[[#This Row],[a1]]),IF(AND(Tab.o1[[#This Row],[a1]]=1,Tab.o1[[#This Row],[b1]]&lt;=AY$4),#REF!,AY452),"")</f>
        <v/>
      </c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</row>
    <row r="454" spans="1:79" ht="15.75" hidden="1">
      <c r="A454" s="109">
        <v>-5.9999999999999993E-6</v>
      </c>
      <c r="B454" s="110">
        <f t="shared" ref="B454:B517" si="28">B453+1</f>
        <v>454</v>
      </c>
      <c r="C454" s="111" t="str">
        <f>IF(C$1=[1]!T.in.A[[#This Row],[oo2]],1,"")</f>
        <v/>
      </c>
      <c r="D454" s="112" t="str">
        <f>IF(Tab.o1[[#This Row],[a1]]=1,IF(SUM(C454:C455)=0,0,IF(SUM(C453:C454)=1,1,IF(SUM(C453:C455)&gt;1,D453+1,0))),"")</f>
        <v/>
      </c>
      <c r="E454" s="113" t="str">
        <f>IF(Tab.o1[[#This Row],[a1]]=1,[1]!T.in.A[[#This Row],[oo1]],"")</f>
        <v/>
      </c>
      <c r="F454" s="113" t="str">
        <f>IF(Tab.o1[[#This Row],[a1]]=1,[1]!T.in.A[[#This Row],[pp1]],"")</f>
        <v/>
      </c>
      <c r="G454" s="114" t="str">
        <f>IF(Tab.o1[[#This Row],[a1]]=1,G$2+IF(G$1=1,0,Tab.o1[[#This Row],[.x1]])+[1]!T.in.A[[#This Row],[oo3]],"")</f>
        <v/>
      </c>
      <c r="H454" s="115" t="str">
        <f>IF(Tab.o1[[#This Row],[a1]]=1,IF(H$2=0,0,IF(G$1=1,0,Tab.o1[[#This Row],[.x1]])+[1]!T.in.A[[#This Row],[oo4]]),"")</f>
        <v/>
      </c>
      <c r="I454" s="116" t="str">
        <f>IF(Tab.o1[[#This Row],[a1]]=1,IF(J$2=0,Tab.o1[[#This Row],[MED]],Tab.o1[[#This Row],[MOD]]),"")</f>
        <v/>
      </c>
      <c r="J454" s="116" t="str">
        <f>IF(Tab.o1[[#This Row],[a1]]=1,((Tab.o1[[#This Row],[DIF_Target.]]-AVERAGE(Tab.o1[DIF_Target.]))/_xlfn.STDEV.P(Tab.o1[DIF_Target.])),"")</f>
        <v/>
      </c>
      <c r="K454" s="117" t="str">
        <f>IF(Tab.o1[[#This Row],[a1]]=1,IF(J$2=0,Tab.o1[[#This Row],[MOD]]-Tab.o1[[#This Row],[B]],IF(J$2=1,0,-Tab.o1[[#This Row],[MED]])+Tab.o1[[#This Row],[B]]),"")</f>
        <v/>
      </c>
      <c r="L454" s="117" t="str">
        <f ca="1">IF(Tab.o1[[#This Row],[DIF_Target]]=0,IF(L$2=0,Tab.o1[[#This Row],[DIF_Target]],AVERAGE(OFFSET(Tab.o1[[#This Row],[DIF_Target]],1,0,L$3,1)))/3,Tab.o1[[#This Row],[DIF_Target]])</f>
        <v/>
      </c>
      <c r="M454" s="118" t="str">
        <f>IF(Tab.o1[[#This Row],[a1]]=1,NORMSDIST(Tab.o1[[#This Row],[Za]]),"")</f>
        <v/>
      </c>
      <c r="N454" s="119" t="str">
        <f>IF(Tab.o1[[#This Row],[a1]]=1,((Tab.o1[[#This Row],[MedMod]]-AVERAGE(Tab.o1[MedMod]))/_xlfn.STDEV.P(Tab.o1[MedMod])*H$1205)+G$1205,"")</f>
        <v/>
      </c>
      <c r="O454" s="141" t="str">
        <f>IF(Tab.o1[[#This Row],[a1]]=1,Tab.o1[[#This Row],[Zb]]*_xlfn.STDEV.P(Tab.o1[MedMod])+AVERAGE(Tab.o1[MedMod]),"")</f>
        <v/>
      </c>
      <c r="P454" s="117" t="str">
        <f ca="1">IF(Tab.o1[[#This Row],[B]]=0,AVERAGE(OFFSET(Tab.o1[[#This Row],[B]],1,0,L$3,1)),Tab.o1[[#This Row],[B]])</f>
        <v/>
      </c>
      <c r="Q454" s="121" t="str">
        <f>IF(Tab.o1[[#This Row],[a1]]=1,NORMSDIST(Tab.o1[[#This Row],[Zb]]),"")</f>
        <v/>
      </c>
      <c r="R454" s="122" t="str">
        <f>IF(Tab.o1[[#This Row],[a1]]=1,((Tab.o1[[#This Row],[MedMod]]-AVERAGE(Tab.o1[MedMod]))/_xlfn.STDEV.P(Tab.o1[MedMod])*H$1203)+G$1203,"")</f>
        <v/>
      </c>
      <c r="S454" s="122" t="str">
        <f>IF(Tab.o1[[#This Row],[a1]]=1,((Tab.o1[[#This Row],[MedMod]]-AVERAGE(Tab.o1[MedMod]))/_xlfn.STDEV.P(Tab.o1[MedMod])*H$1204)+G$1204,"")</f>
        <v/>
      </c>
      <c r="T454" s="123" t="str">
        <f>IF(Tab.o1[[#This Row],[a1]]=1,Tab.o1[[#This Row],[Z-]]*_xlfn.STDEV.P(Tab.o1[B])+AVERAGE(Tab.o1[B]),"")</f>
        <v/>
      </c>
      <c r="U454" s="123" t="str">
        <f>IF(Tab.o1[[#This Row],[a1]]=1,Tab.o1[[#This Row],[z+]]*_xlfn.STDEV.P(Tab.o1[B])+AVERAGE(Tab.o1[B]),"")</f>
        <v/>
      </c>
      <c r="V454" s="124" t="str">
        <f>IF(Tab.o1[[#This Row],[a1]]=1,ABS((ABS(Tab.o1[[#This Row],[Red]]-Tab.o1[[#This Row],[Blue]]))),"")</f>
        <v/>
      </c>
      <c r="W454" s="125" t="str">
        <f>IF(Tab.o1[[#This Row],[a1]]=1,IF(W$3=0,1,Tab.o1[[#This Row],[Amp.]]*1/_xlfn.MINIFS(Tab.o1[Amp.],Tab.o1[Amp.],"&lt;&gt;0")),"")</f>
        <v/>
      </c>
      <c r="X454" s="126" t="str">
        <f>IF(Tab.o1[[#This Row],[a1]]=1,IF(ISNUMBER(Tab.o1[[#This Row],[i.]]),NORMDIST(Tab.o1[[#This Row],[Za]],0,1,FALSE)*Tab.o1[[#This Row],[i.]],AP$3),"")</f>
        <v/>
      </c>
      <c r="Y454" s="126" t="str">
        <f>IF(Tab.o1[[#This Row],[a1]]=1,0.01+0.94*Tab.o1[[#This Row],[PDF]]/MAX(Tab.o1[PDF]),"")</f>
        <v/>
      </c>
      <c r="Z454" s="126" t="str">
        <f>IF(Tab.o1[[#This Row],[a1]]=1,0.01+0.94*Tab.o1[[#This Row],[W1_PDF]]/MAX(Tab.o1[W1_PDF]),"")</f>
        <v/>
      </c>
      <c r="AA454" s="118" t="str">
        <f>IF(Tab.o1[[#This Row],[a1]]=1,ABS([1]!T.in.A[[#This Row],[oo6]]),"")</f>
        <v/>
      </c>
      <c r="AB454" s="127" t="str">
        <f>IF(Tab.o1[[#This Row],[a1]]=1,IF(AE$3=0,"",IF(AB$3=0,ABS([1]!T.in.A[[#This Row],[oo9]]),ABS(Tab.o1[[#This Row],[DIF_Target.]]*Tab.o1[[#This Row],[W1_PDF]]))),"")</f>
        <v/>
      </c>
      <c r="AC454" s="127" t="str">
        <f>IF(G$1=1,"",IF(Tab.o1[[#This Row],[a1]]=1,Tab.o1[[#This Row],[Wr]]^2,""))</f>
        <v/>
      </c>
      <c r="AD454" s="118" t="str">
        <f>IF(Tab.o1[[#This Row],[a1]]=1,IF(AE$3=0,"",Tab.o1[[#This Row],[Wr2]]/SUM(Tab.o1[Wr2])),"")</f>
        <v/>
      </c>
      <c r="AE454" s="128" t="str">
        <f>IF(Tab.o1[[#This Row],[a1]]=1,[1]!T.in.A[[#This Row],[oo10]],"")</f>
        <v/>
      </c>
      <c r="AF454" s="118" t="str">
        <f>IF(Tab.o1[[#This Row],[a1]]=1,ABS(Tab.o1[[#This Row],[DIF_Target.]]*Tab.o1[[#This Row],[PDF2]]*Tab.o1[[#This Row],[IN]]),"")</f>
        <v/>
      </c>
      <c r="AG454" s="129" t="str">
        <f>IF(Tab.o1[[#This Row],[a1]]=1,Tab.o1[[#This Row],[rW]]^2,"")</f>
        <v/>
      </c>
      <c r="AH454" s="130" t="str">
        <f>IF(Tab.o1[[#This Row],[a1]]=1,IF(AH$3=0,Tab.o1[[#This Row],[rW2]],0.01+0.94*Tab.o1[[#This Row],[rW2]]/SUM(Tab.o1[rW2])),"")</f>
        <v/>
      </c>
      <c r="AI454" s="128" t="str">
        <f>IF(Tab.o1[[#This Row],[a1]]=1,1/Tab.o1[[#This Row],[PDF]],"")</f>
        <v/>
      </c>
      <c r="AJ454" s="131" t="str">
        <f>IF(Tab.o1[[#This Row],[a1]]=1,[1]!T_AA[[#This Row],[IN'']]*[1]!T_AA[[#This Row],[Qde'']],"")</f>
        <v/>
      </c>
      <c r="AK454" s="132" t="str">
        <f>IF(Tab.o1[[#This Row],[a1]]=1,IF(AK$1=1,Tab.o1[[#This Row],[MED]]+Tab.o1[[#This Row],[MOD]]-Tab.o1[[#This Row],[MED]],""),"")</f>
        <v/>
      </c>
      <c r="AL454" s="133" t="str">
        <f>IF(Tab.o1[[#This Row],[a1]]=1,[1]!T.in.A[[#This Row],[oo16]],"")</f>
        <v/>
      </c>
      <c r="AM454" s="133" t="str">
        <f>IF(Tab.o1[[#This Row],[a1]]=1,IF(AM$3=1,[1]!T.in.A[[#This Row],[Σo16]],""),"")</f>
        <v/>
      </c>
      <c r="AN454" s="126" t="str">
        <f>IF(Tab.o1[[#This Row],[a1]]=1,[1]!T.in.A[[#This Row],[Σp5]],"")</f>
        <v/>
      </c>
      <c r="AO454" s="126" t="str">
        <f>IF(Tab.o1[[#This Row],[a1]]=1,IF(AO$3=1,[1]!T.in.A[[#This Row],[Σp5]],""),"")</f>
        <v/>
      </c>
      <c r="AP454" s="110" t="str">
        <f>IF(Tab.o1[[#This Row],[a1]]=1,IF(ISNUMBER(Tab.o1[[#This Row],[i.]]),NORMDIST(Tab.o1[[#This Row],[Za]],0,1,FALSE)*Tab.o1[[#This Row],[i.]],0),"")</f>
        <v/>
      </c>
      <c r="AQ454" s="125" t="str">
        <f>IF(Tab.o1[[#This Row],[a1]]=1,ABS(Tab.o1[[#This Row],[MOD]]-AVERAGE(Tab.o1[MOD])),"")</f>
        <v/>
      </c>
      <c r="AR454" s="134" t="str">
        <f>IF(Tab.o1[[#This Row],[a1]]=1,Tab.o1[[#This Row],[OBS]]/SUM(Tab.o1[OBS]),"")</f>
        <v/>
      </c>
      <c r="AS454" s="135" t="str">
        <f>IF(ISNUMBER(Tab.o1[[#This Row],[a1]]),ROW()-4,"")</f>
        <v/>
      </c>
      <c r="AT454" s="136" t="str">
        <f>Tab.o1[[#This Row],[MOD]]</f>
        <v/>
      </c>
      <c r="AU454" s="137" t="str">
        <f t="shared" ref="AU454:AU517" si="29">AT454</f>
        <v/>
      </c>
      <c r="AV454" s="138" t="str">
        <f t="shared" ref="AV454:AV517" si="30">IF(AND(ISNUMBER(AT454),ISNUMBER(AU454)),H454-AU454,"")</f>
        <v/>
      </c>
      <c r="AW454" s="138" t="str">
        <f t="shared" ref="AW454:AW517" si="31">IF(AW$4=0,"",IF(AV454&lt;AV$2,AV454," "))</f>
        <v/>
      </c>
      <c r="AX454" s="139" t="str">
        <f>[1]!T.in.A[[#This Row],[ID_T_manu]]</f>
        <v/>
      </c>
      <c r="AY454" s="140" t="str">
        <f>IF(ISNUMBER(Tab.o1[[#This Row],[a1]]),IF(AND(Tab.o1[[#This Row],[a1]]=1,Tab.o1[[#This Row],[b1]]&lt;=AY$4),#REF!,AY453),"")</f>
        <v/>
      </c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</row>
    <row r="455" spans="1:79" ht="15.75" hidden="1">
      <c r="A455" s="109">
        <v>1.0000000000000001E-5</v>
      </c>
      <c r="B455" s="110">
        <f t="shared" si="28"/>
        <v>455</v>
      </c>
      <c r="C455" s="111" t="str">
        <f>IF(C$1=[1]!T.in.A[[#This Row],[oo2]],1,"")</f>
        <v/>
      </c>
      <c r="D455" s="112" t="str">
        <f>IF(Tab.o1[[#This Row],[a1]]=1,IF(SUM(C455:C456)=0,0,IF(SUM(C454:C455)=1,1,IF(SUM(C454:C456)&gt;1,D454+1,0))),"")</f>
        <v/>
      </c>
      <c r="E455" s="113" t="str">
        <f>IF(Tab.o1[[#This Row],[a1]]=1,[1]!T.in.A[[#This Row],[oo1]],"")</f>
        <v/>
      </c>
      <c r="F455" s="113" t="str">
        <f>IF(Tab.o1[[#This Row],[a1]]=1,[1]!T.in.A[[#This Row],[pp1]],"")</f>
        <v/>
      </c>
      <c r="G455" s="114" t="str">
        <f>IF(Tab.o1[[#This Row],[a1]]=1,G$2+IF(G$1=1,0,Tab.o1[[#This Row],[.x1]])+[1]!T.in.A[[#This Row],[oo3]],"")</f>
        <v/>
      </c>
      <c r="H455" s="115" t="str">
        <f>IF(Tab.o1[[#This Row],[a1]]=1,IF(H$2=0,0,IF(G$1=1,0,Tab.o1[[#This Row],[.x1]])+[1]!T.in.A[[#This Row],[oo4]]),"")</f>
        <v/>
      </c>
      <c r="I455" s="116" t="str">
        <f>IF(Tab.o1[[#This Row],[a1]]=1,IF(J$2=0,Tab.o1[[#This Row],[MED]],Tab.o1[[#This Row],[MOD]]),"")</f>
        <v/>
      </c>
      <c r="J455" s="116" t="str">
        <f>IF(Tab.o1[[#This Row],[a1]]=1,((Tab.o1[[#This Row],[DIF_Target.]]-AVERAGE(Tab.o1[DIF_Target.]))/_xlfn.STDEV.P(Tab.o1[DIF_Target.])),"")</f>
        <v/>
      </c>
      <c r="K455" s="117" t="str">
        <f>IF(Tab.o1[[#This Row],[a1]]=1,IF(J$2=0,Tab.o1[[#This Row],[MOD]]-Tab.o1[[#This Row],[B]],IF(J$2=1,0,-Tab.o1[[#This Row],[MED]])+Tab.o1[[#This Row],[B]]),"")</f>
        <v/>
      </c>
      <c r="L455" s="117" t="str">
        <f ca="1">IF(Tab.o1[[#This Row],[DIF_Target]]=0,IF(L$2=0,Tab.o1[[#This Row],[DIF_Target]],AVERAGE(OFFSET(Tab.o1[[#This Row],[DIF_Target]],1,0,L$3,1)))/3,Tab.o1[[#This Row],[DIF_Target]])</f>
        <v/>
      </c>
      <c r="M455" s="118" t="str">
        <f>IF(Tab.o1[[#This Row],[a1]]=1,NORMSDIST(Tab.o1[[#This Row],[Za]]),"")</f>
        <v/>
      </c>
      <c r="N455" s="119" t="str">
        <f>IF(Tab.o1[[#This Row],[a1]]=1,((Tab.o1[[#This Row],[MedMod]]-AVERAGE(Tab.o1[MedMod]))/_xlfn.STDEV.P(Tab.o1[MedMod])*H$1205)+G$1205,"")</f>
        <v/>
      </c>
      <c r="O455" s="141" t="str">
        <f>IF(Tab.o1[[#This Row],[a1]]=1,Tab.o1[[#This Row],[Zb]]*_xlfn.STDEV.P(Tab.o1[MedMod])+AVERAGE(Tab.o1[MedMod]),"")</f>
        <v/>
      </c>
      <c r="P455" s="117" t="str">
        <f ca="1">IF(Tab.o1[[#This Row],[B]]=0,AVERAGE(OFFSET(Tab.o1[[#This Row],[B]],1,0,L$3,1)),Tab.o1[[#This Row],[B]])</f>
        <v/>
      </c>
      <c r="Q455" s="121" t="str">
        <f>IF(Tab.o1[[#This Row],[a1]]=1,NORMSDIST(Tab.o1[[#This Row],[Zb]]),"")</f>
        <v/>
      </c>
      <c r="R455" s="122" t="str">
        <f>IF(Tab.o1[[#This Row],[a1]]=1,((Tab.o1[[#This Row],[MedMod]]-AVERAGE(Tab.o1[MedMod]))/_xlfn.STDEV.P(Tab.o1[MedMod])*H$1203)+G$1203,"")</f>
        <v/>
      </c>
      <c r="S455" s="122" t="str">
        <f>IF(Tab.o1[[#This Row],[a1]]=1,((Tab.o1[[#This Row],[MedMod]]-AVERAGE(Tab.o1[MedMod]))/_xlfn.STDEV.P(Tab.o1[MedMod])*H$1204)+G$1204,"")</f>
        <v/>
      </c>
      <c r="T455" s="123" t="str">
        <f>IF(Tab.o1[[#This Row],[a1]]=1,Tab.o1[[#This Row],[Z-]]*_xlfn.STDEV.P(Tab.o1[B])+AVERAGE(Tab.o1[B]),"")</f>
        <v/>
      </c>
      <c r="U455" s="123" t="str">
        <f>IF(Tab.o1[[#This Row],[a1]]=1,Tab.o1[[#This Row],[z+]]*_xlfn.STDEV.P(Tab.o1[B])+AVERAGE(Tab.o1[B]),"")</f>
        <v/>
      </c>
      <c r="V455" s="124" t="str">
        <f>IF(Tab.o1[[#This Row],[a1]]=1,ABS((ABS(Tab.o1[[#This Row],[Red]]-Tab.o1[[#This Row],[Blue]]))),"")</f>
        <v/>
      </c>
      <c r="W455" s="125" t="str">
        <f>IF(Tab.o1[[#This Row],[a1]]=1,IF(W$3=0,1,Tab.o1[[#This Row],[Amp.]]*1/_xlfn.MINIFS(Tab.o1[Amp.],Tab.o1[Amp.],"&lt;&gt;0")),"")</f>
        <v/>
      </c>
      <c r="X455" s="126" t="str">
        <f>IF(Tab.o1[[#This Row],[a1]]=1,IF(ISNUMBER(Tab.o1[[#This Row],[i.]]),NORMDIST(Tab.o1[[#This Row],[Za]],0,1,FALSE)*Tab.o1[[#This Row],[i.]],AP$3),"")</f>
        <v/>
      </c>
      <c r="Y455" s="126" t="str">
        <f>IF(Tab.o1[[#This Row],[a1]]=1,0.01+0.94*Tab.o1[[#This Row],[PDF]]/MAX(Tab.o1[PDF]),"")</f>
        <v/>
      </c>
      <c r="Z455" s="126" t="str">
        <f>IF(Tab.o1[[#This Row],[a1]]=1,0.01+0.94*Tab.o1[[#This Row],[W1_PDF]]/MAX(Tab.o1[W1_PDF]),"")</f>
        <v/>
      </c>
      <c r="AA455" s="118" t="str">
        <f>IF(Tab.o1[[#This Row],[a1]]=1,ABS([1]!T.in.A[[#This Row],[oo6]]),"")</f>
        <v/>
      </c>
      <c r="AB455" s="127" t="str">
        <f>IF(Tab.o1[[#This Row],[a1]]=1,IF(AE$3=0,"",IF(AB$3=0,ABS([1]!T.in.A[[#This Row],[oo9]]),ABS(Tab.o1[[#This Row],[DIF_Target.]]*Tab.o1[[#This Row],[W1_PDF]]))),"")</f>
        <v/>
      </c>
      <c r="AC455" s="127" t="str">
        <f>IF(G$1=1,"",IF(Tab.o1[[#This Row],[a1]]=1,Tab.o1[[#This Row],[Wr]]^2,""))</f>
        <v/>
      </c>
      <c r="AD455" s="118" t="str">
        <f>IF(Tab.o1[[#This Row],[a1]]=1,IF(AE$3=0,"",Tab.o1[[#This Row],[Wr2]]/SUM(Tab.o1[Wr2])),"")</f>
        <v/>
      </c>
      <c r="AE455" s="128" t="str">
        <f>IF(Tab.o1[[#This Row],[a1]]=1,[1]!T.in.A[[#This Row],[oo10]],"")</f>
        <v/>
      </c>
      <c r="AF455" s="118" t="str">
        <f>IF(Tab.o1[[#This Row],[a1]]=1,ABS(Tab.o1[[#This Row],[DIF_Target.]]*Tab.o1[[#This Row],[PDF2]]*Tab.o1[[#This Row],[IN]]),"")</f>
        <v/>
      </c>
      <c r="AG455" s="129" t="str">
        <f>IF(Tab.o1[[#This Row],[a1]]=1,Tab.o1[[#This Row],[rW]]^2,"")</f>
        <v/>
      </c>
      <c r="AH455" s="130" t="str">
        <f>IF(Tab.o1[[#This Row],[a1]]=1,IF(AH$3=0,Tab.o1[[#This Row],[rW2]],0.01+0.94*Tab.o1[[#This Row],[rW2]]/SUM(Tab.o1[rW2])),"")</f>
        <v/>
      </c>
      <c r="AI455" s="128" t="str">
        <f>IF(Tab.o1[[#This Row],[a1]]=1,1/Tab.o1[[#This Row],[PDF]],"")</f>
        <v/>
      </c>
      <c r="AJ455" s="131" t="str">
        <f>IF(Tab.o1[[#This Row],[a1]]=1,[1]!T_AA[[#This Row],[IN'']]*[1]!T_AA[[#This Row],[Qde'']],"")</f>
        <v/>
      </c>
      <c r="AK455" s="132" t="str">
        <f>IF(Tab.o1[[#This Row],[a1]]=1,IF(AK$1=1,Tab.o1[[#This Row],[MED]]+Tab.o1[[#This Row],[MOD]]-Tab.o1[[#This Row],[MED]],""),"")</f>
        <v/>
      </c>
      <c r="AL455" s="133" t="str">
        <f>IF(Tab.o1[[#This Row],[a1]]=1,[1]!T.in.A[[#This Row],[oo16]],"")</f>
        <v/>
      </c>
      <c r="AM455" s="133" t="str">
        <f>IF(Tab.o1[[#This Row],[a1]]=1,IF(AM$3=1,[1]!T.in.A[[#This Row],[Σo16]],""),"")</f>
        <v/>
      </c>
      <c r="AN455" s="126" t="str">
        <f>IF(Tab.o1[[#This Row],[a1]]=1,[1]!T.in.A[[#This Row],[Σp5]],"")</f>
        <v/>
      </c>
      <c r="AO455" s="126" t="str">
        <f>IF(Tab.o1[[#This Row],[a1]]=1,IF(AO$3=1,[1]!T.in.A[[#This Row],[Σp5]],""),"")</f>
        <v/>
      </c>
      <c r="AP455" s="110" t="str">
        <f>IF(Tab.o1[[#This Row],[a1]]=1,IF(ISNUMBER(Tab.o1[[#This Row],[i.]]),NORMDIST(Tab.o1[[#This Row],[Za]],0,1,FALSE)*Tab.o1[[#This Row],[i.]],0),"")</f>
        <v/>
      </c>
      <c r="AQ455" s="125" t="str">
        <f>IF(Tab.o1[[#This Row],[a1]]=1,ABS(Tab.o1[[#This Row],[MOD]]-AVERAGE(Tab.o1[MOD])),"")</f>
        <v/>
      </c>
      <c r="AR455" s="134" t="str">
        <f>IF(Tab.o1[[#This Row],[a1]]=1,Tab.o1[[#This Row],[OBS]]/SUM(Tab.o1[OBS]),"")</f>
        <v/>
      </c>
      <c r="AS455" s="135" t="str">
        <f>IF(ISNUMBER(Tab.o1[[#This Row],[a1]]),ROW()-4,"")</f>
        <v/>
      </c>
      <c r="AT455" s="136" t="str">
        <f>Tab.o1[[#This Row],[MOD]]</f>
        <v/>
      </c>
      <c r="AU455" s="137" t="str">
        <f t="shared" si="29"/>
        <v/>
      </c>
      <c r="AV455" s="138" t="str">
        <f t="shared" si="30"/>
        <v/>
      </c>
      <c r="AW455" s="138" t="str">
        <f t="shared" si="31"/>
        <v/>
      </c>
      <c r="AX455" s="139" t="str">
        <f>[1]!T.in.A[[#This Row],[ID_T_manu]]</f>
        <v/>
      </c>
      <c r="AY455" s="140" t="str">
        <f>IF(ISNUMBER(Tab.o1[[#This Row],[a1]]),IF(AND(Tab.o1[[#This Row],[a1]]=1,Tab.o1[[#This Row],[b1]]&lt;=AY$4),#REF!,AY454),"")</f>
        <v/>
      </c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</row>
    <row r="456" spans="1:79" ht="15.75" hidden="1">
      <c r="A456" s="109">
        <v>1.0000000000000002E-6</v>
      </c>
      <c r="B456" s="110">
        <f t="shared" si="28"/>
        <v>456</v>
      </c>
      <c r="C456" s="111" t="str">
        <f>IF(C$1=[1]!T.in.A[[#This Row],[oo2]],1,"")</f>
        <v/>
      </c>
      <c r="D456" s="112" t="str">
        <f>IF(Tab.o1[[#This Row],[a1]]=1,IF(SUM(C456:C457)=0,0,IF(SUM(C455:C456)=1,1,IF(SUM(C455:C457)&gt;1,D455+1,0))),"")</f>
        <v/>
      </c>
      <c r="E456" s="113" t="str">
        <f>IF(Tab.o1[[#This Row],[a1]]=1,[1]!T.in.A[[#This Row],[oo1]],"")</f>
        <v/>
      </c>
      <c r="F456" s="113" t="str">
        <f>IF(Tab.o1[[#This Row],[a1]]=1,[1]!T.in.A[[#This Row],[pp1]],"")</f>
        <v/>
      </c>
      <c r="G456" s="114" t="str">
        <f>IF(Tab.o1[[#This Row],[a1]]=1,G$2+IF(G$1=1,0,Tab.o1[[#This Row],[.x1]])+[1]!T.in.A[[#This Row],[oo3]],"")</f>
        <v/>
      </c>
      <c r="H456" s="115" t="str">
        <f>IF(Tab.o1[[#This Row],[a1]]=1,IF(H$2=0,0,IF(G$1=1,0,Tab.o1[[#This Row],[.x1]])+[1]!T.in.A[[#This Row],[oo4]]),"")</f>
        <v/>
      </c>
      <c r="I456" s="116" t="str">
        <f>IF(Tab.o1[[#This Row],[a1]]=1,IF(J$2=0,Tab.o1[[#This Row],[MED]],Tab.o1[[#This Row],[MOD]]),"")</f>
        <v/>
      </c>
      <c r="J456" s="116" t="str">
        <f>IF(Tab.o1[[#This Row],[a1]]=1,((Tab.o1[[#This Row],[DIF_Target.]]-AVERAGE(Tab.o1[DIF_Target.]))/_xlfn.STDEV.P(Tab.o1[DIF_Target.])),"")</f>
        <v/>
      </c>
      <c r="K456" s="117" t="str">
        <f>IF(Tab.o1[[#This Row],[a1]]=1,IF(J$2=0,Tab.o1[[#This Row],[MOD]]-Tab.o1[[#This Row],[B]],IF(J$2=1,0,-Tab.o1[[#This Row],[MED]])+Tab.o1[[#This Row],[B]]),"")</f>
        <v/>
      </c>
      <c r="L456" s="117" t="str">
        <f ca="1">IF(Tab.o1[[#This Row],[DIF_Target]]=0,IF(L$2=0,Tab.o1[[#This Row],[DIF_Target]],AVERAGE(OFFSET(Tab.o1[[#This Row],[DIF_Target]],1,0,L$3,1)))/3,Tab.o1[[#This Row],[DIF_Target]])</f>
        <v/>
      </c>
      <c r="M456" s="118" t="str">
        <f>IF(Tab.o1[[#This Row],[a1]]=1,NORMSDIST(Tab.o1[[#This Row],[Za]]),"")</f>
        <v/>
      </c>
      <c r="N456" s="119" t="str">
        <f>IF(Tab.o1[[#This Row],[a1]]=1,((Tab.o1[[#This Row],[MedMod]]-AVERAGE(Tab.o1[MedMod]))/_xlfn.STDEV.P(Tab.o1[MedMod])*H$1205)+G$1205,"")</f>
        <v/>
      </c>
      <c r="O456" s="141" t="str">
        <f>IF(Tab.o1[[#This Row],[a1]]=1,Tab.o1[[#This Row],[Zb]]*_xlfn.STDEV.P(Tab.o1[MedMod])+AVERAGE(Tab.o1[MedMod]),"")</f>
        <v/>
      </c>
      <c r="P456" s="117" t="str">
        <f ca="1">IF(Tab.o1[[#This Row],[B]]=0,AVERAGE(OFFSET(Tab.o1[[#This Row],[B]],1,0,L$3,1)),Tab.o1[[#This Row],[B]])</f>
        <v/>
      </c>
      <c r="Q456" s="121" t="str">
        <f>IF(Tab.o1[[#This Row],[a1]]=1,NORMSDIST(Tab.o1[[#This Row],[Zb]]),"")</f>
        <v/>
      </c>
      <c r="R456" s="122" t="str">
        <f>IF(Tab.o1[[#This Row],[a1]]=1,((Tab.o1[[#This Row],[MedMod]]-AVERAGE(Tab.o1[MedMod]))/_xlfn.STDEV.P(Tab.o1[MedMod])*H$1203)+G$1203,"")</f>
        <v/>
      </c>
      <c r="S456" s="122" t="str">
        <f>IF(Tab.o1[[#This Row],[a1]]=1,((Tab.o1[[#This Row],[MedMod]]-AVERAGE(Tab.o1[MedMod]))/_xlfn.STDEV.P(Tab.o1[MedMod])*H$1204)+G$1204,"")</f>
        <v/>
      </c>
      <c r="T456" s="123" t="str">
        <f>IF(Tab.o1[[#This Row],[a1]]=1,Tab.o1[[#This Row],[Z-]]*_xlfn.STDEV.P(Tab.o1[B])+AVERAGE(Tab.o1[B]),"")</f>
        <v/>
      </c>
      <c r="U456" s="123" t="str">
        <f>IF(Tab.o1[[#This Row],[a1]]=1,Tab.o1[[#This Row],[z+]]*_xlfn.STDEV.P(Tab.o1[B])+AVERAGE(Tab.o1[B]),"")</f>
        <v/>
      </c>
      <c r="V456" s="124" t="str">
        <f>IF(Tab.o1[[#This Row],[a1]]=1,ABS((ABS(Tab.o1[[#This Row],[Red]]-Tab.o1[[#This Row],[Blue]]))),"")</f>
        <v/>
      </c>
      <c r="W456" s="125" t="str">
        <f>IF(Tab.o1[[#This Row],[a1]]=1,IF(W$3=0,1,Tab.o1[[#This Row],[Amp.]]*1/_xlfn.MINIFS(Tab.o1[Amp.],Tab.o1[Amp.],"&lt;&gt;0")),"")</f>
        <v/>
      </c>
      <c r="X456" s="126" t="str">
        <f>IF(Tab.o1[[#This Row],[a1]]=1,IF(ISNUMBER(Tab.o1[[#This Row],[i.]]),NORMDIST(Tab.o1[[#This Row],[Za]],0,1,FALSE)*Tab.o1[[#This Row],[i.]],AP$3),"")</f>
        <v/>
      </c>
      <c r="Y456" s="126" t="str">
        <f>IF(Tab.o1[[#This Row],[a1]]=1,0.01+0.94*Tab.o1[[#This Row],[PDF]]/MAX(Tab.o1[PDF]),"")</f>
        <v/>
      </c>
      <c r="Z456" s="126" t="str">
        <f>IF(Tab.o1[[#This Row],[a1]]=1,0.01+0.94*Tab.o1[[#This Row],[W1_PDF]]/MAX(Tab.o1[W1_PDF]),"")</f>
        <v/>
      </c>
      <c r="AA456" s="118" t="str">
        <f>IF(Tab.o1[[#This Row],[a1]]=1,ABS([1]!T.in.A[[#This Row],[oo6]]),"")</f>
        <v/>
      </c>
      <c r="AB456" s="127" t="str">
        <f>IF(Tab.o1[[#This Row],[a1]]=1,IF(AE$3=0,"",IF(AB$3=0,ABS([1]!T.in.A[[#This Row],[oo9]]),ABS(Tab.o1[[#This Row],[DIF_Target.]]*Tab.o1[[#This Row],[W1_PDF]]))),"")</f>
        <v/>
      </c>
      <c r="AC456" s="127" t="str">
        <f>IF(G$1=1,"",IF(Tab.o1[[#This Row],[a1]]=1,Tab.o1[[#This Row],[Wr]]^2,""))</f>
        <v/>
      </c>
      <c r="AD456" s="118" t="str">
        <f>IF(Tab.o1[[#This Row],[a1]]=1,IF(AE$3=0,"",Tab.o1[[#This Row],[Wr2]]/SUM(Tab.o1[Wr2])),"")</f>
        <v/>
      </c>
      <c r="AE456" s="128" t="str">
        <f>IF(Tab.o1[[#This Row],[a1]]=1,[1]!T.in.A[[#This Row],[oo10]],"")</f>
        <v/>
      </c>
      <c r="AF456" s="118" t="str">
        <f>IF(Tab.o1[[#This Row],[a1]]=1,ABS(Tab.o1[[#This Row],[DIF_Target.]]*Tab.o1[[#This Row],[PDF2]]*Tab.o1[[#This Row],[IN]]),"")</f>
        <v/>
      </c>
      <c r="AG456" s="129" t="str">
        <f>IF(Tab.o1[[#This Row],[a1]]=1,Tab.o1[[#This Row],[rW]]^2,"")</f>
        <v/>
      </c>
      <c r="AH456" s="130" t="str">
        <f>IF(Tab.o1[[#This Row],[a1]]=1,IF(AH$3=0,Tab.o1[[#This Row],[rW2]],0.01+0.94*Tab.o1[[#This Row],[rW2]]/SUM(Tab.o1[rW2])),"")</f>
        <v/>
      </c>
      <c r="AI456" s="128" t="str">
        <f>IF(Tab.o1[[#This Row],[a1]]=1,1/Tab.o1[[#This Row],[PDF]],"")</f>
        <v/>
      </c>
      <c r="AJ456" s="131" t="str">
        <f>IF(Tab.o1[[#This Row],[a1]]=1,[1]!T_AA[[#This Row],[IN'']]*[1]!T_AA[[#This Row],[Qde'']],"")</f>
        <v/>
      </c>
      <c r="AK456" s="132" t="str">
        <f>IF(Tab.o1[[#This Row],[a1]]=1,IF(AK$1=1,Tab.o1[[#This Row],[MED]]+Tab.o1[[#This Row],[MOD]]-Tab.o1[[#This Row],[MED]],""),"")</f>
        <v/>
      </c>
      <c r="AL456" s="133" t="str">
        <f>IF(Tab.o1[[#This Row],[a1]]=1,[1]!T.in.A[[#This Row],[oo16]],"")</f>
        <v/>
      </c>
      <c r="AM456" s="133" t="str">
        <f>IF(Tab.o1[[#This Row],[a1]]=1,IF(AM$3=1,[1]!T.in.A[[#This Row],[Σo16]],""),"")</f>
        <v/>
      </c>
      <c r="AN456" s="126" t="str">
        <f>IF(Tab.o1[[#This Row],[a1]]=1,[1]!T.in.A[[#This Row],[Σp5]],"")</f>
        <v/>
      </c>
      <c r="AO456" s="126" t="str">
        <f>IF(Tab.o1[[#This Row],[a1]]=1,IF(AO$3=1,[1]!T.in.A[[#This Row],[Σp5]],""),"")</f>
        <v/>
      </c>
      <c r="AP456" s="110" t="str">
        <f>IF(Tab.o1[[#This Row],[a1]]=1,IF(ISNUMBER(Tab.o1[[#This Row],[i.]]),NORMDIST(Tab.o1[[#This Row],[Za]],0,1,FALSE)*Tab.o1[[#This Row],[i.]],0),"")</f>
        <v/>
      </c>
      <c r="AQ456" s="125" t="str">
        <f>IF(Tab.o1[[#This Row],[a1]]=1,ABS(Tab.o1[[#This Row],[MOD]]-AVERAGE(Tab.o1[MOD])),"")</f>
        <v/>
      </c>
      <c r="AR456" s="134" t="str">
        <f>IF(Tab.o1[[#This Row],[a1]]=1,Tab.o1[[#This Row],[OBS]]/SUM(Tab.o1[OBS]),"")</f>
        <v/>
      </c>
      <c r="AS456" s="135" t="str">
        <f>IF(ISNUMBER(Tab.o1[[#This Row],[a1]]),ROW()-4,"")</f>
        <v/>
      </c>
      <c r="AT456" s="136" t="str">
        <f>Tab.o1[[#This Row],[MOD]]</f>
        <v/>
      </c>
      <c r="AU456" s="137" t="str">
        <f t="shared" si="29"/>
        <v/>
      </c>
      <c r="AV456" s="138" t="str">
        <f t="shared" si="30"/>
        <v/>
      </c>
      <c r="AW456" s="138" t="str">
        <f t="shared" si="31"/>
        <v/>
      </c>
      <c r="AX456" s="139" t="str">
        <f>[1]!T.in.A[[#This Row],[ID_T_manu]]</f>
        <v/>
      </c>
      <c r="AY456" s="140" t="str">
        <f>IF(ISNUMBER(Tab.o1[[#This Row],[a1]]),IF(AND(Tab.o1[[#This Row],[a1]]=1,Tab.o1[[#This Row],[b1]]&lt;=AY$4),#REF!,AY455),"")</f>
        <v/>
      </c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</row>
    <row r="457" spans="1:79" ht="15.75" hidden="1">
      <c r="A457" s="109">
        <v>-9.0000000000000002E-6</v>
      </c>
      <c r="B457" s="110">
        <f t="shared" si="28"/>
        <v>457</v>
      </c>
      <c r="C457" s="111" t="str">
        <f>IF(C$1=[1]!T.in.A[[#This Row],[oo2]],1,"")</f>
        <v/>
      </c>
      <c r="D457" s="112" t="str">
        <f>IF(Tab.o1[[#This Row],[a1]]=1,IF(SUM(C457:C458)=0,0,IF(SUM(C456:C457)=1,1,IF(SUM(C456:C458)&gt;1,D456+1,0))),"")</f>
        <v/>
      </c>
      <c r="E457" s="113" t="str">
        <f>IF(Tab.o1[[#This Row],[a1]]=1,[1]!T.in.A[[#This Row],[oo1]],"")</f>
        <v/>
      </c>
      <c r="F457" s="113" t="str">
        <f>IF(Tab.o1[[#This Row],[a1]]=1,[1]!T.in.A[[#This Row],[pp1]],"")</f>
        <v/>
      </c>
      <c r="G457" s="114" t="str">
        <f>IF(Tab.o1[[#This Row],[a1]]=1,G$2+IF(G$1=1,0,Tab.o1[[#This Row],[.x1]])+[1]!T.in.A[[#This Row],[oo3]],"")</f>
        <v/>
      </c>
      <c r="H457" s="115" t="str">
        <f>IF(Tab.o1[[#This Row],[a1]]=1,IF(H$2=0,0,IF(G$1=1,0,Tab.o1[[#This Row],[.x1]])+[1]!T.in.A[[#This Row],[oo4]]),"")</f>
        <v/>
      </c>
      <c r="I457" s="116" t="str">
        <f>IF(Tab.o1[[#This Row],[a1]]=1,IF(J$2=0,Tab.o1[[#This Row],[MED]],Tab.o1[[#This Row],[MOD]]),"")</f>
        <v/>
      </c>
      <c r="J457" s="116" t="str">
        <f>IF(Tab.o1[[#This Row],[a1]]=1,((Tab.o1[[#This Row],[DIF_Target.]]-AVERAGE(Tab.o1[DIF_Target.]))/_xlfn.STDEV.P(Tab.o1[DIF_Target.])),"")</f>
        <v/>
      </c>
      <c r="K457" s="117" t="str">
        <f>IF(Tab.o1[[#This Row],[a1]]=1,IF(J$2=0,Tab.o1[[#This Row],[MOD]]-Tab.o1[[#This Row],[B]],IF(J$2=1,0,-Tab.o1[[#This Row],[MED]])+Tab.o1[[#This Row],[B]]),"")</f>
        <v/>
      </c>
      <c r="L457" s="117" t="str">
        <f ca="1">IF(Tab.o1[[#This Row],[DIF_Target]]=0,IF(L$2=0,Tab.o1[[#This Row],[DIF_Target]],AVERAGE(OFFSET(Tab.o1[[#This Row],[DIF_Target]],1,0,L$3,1)))/3,Tab.o1[[#This Row],[DIF_Target]])</f>
        <v/>
      </c>
      <c r="M457" s="118" t="str">
        <f>IF(Tab.o1[[#This Row],[a1]]=1,NORMSDIST(Tab.o1[[#This Row],[Za]]),"")</f>
        <v/>
      </c>
      <c r="N457" s="119" t="str">
        <f>IF(Tab.o1[[#This Row],[a1]]=1,((Tab.o1[[#This Row],[MedMod]]-AVERAGE(Tab.o1[MedMod]))/_xlfn.STDEV.P(Tab.o1[MedMod])*H$1205)+G$1205,"")</f>
        <v/>
      </c>
      <c r="O457" s="141" t="str">
        <f>IF(Tab.o1[[#This Row],[a1]]=1,Tab.o1[[#This Row],[Zb]]*_xlfn.STDEV.P(Tab.o1[MedMod])+AVERAGE(Tab.o1[MedMod]),"")</f>
        <v/>
      </c>
      <c r="P457" s="117" t="str">
        <f ca="1">IF(Tab.o1[[#This Row],[B]]=0,AVERAGE(OFFSET(Tab.o1[[#This Row],[B]],1,0,L$3,1)),Tab.o1[[#This Row],[B]])</f>
        <v/>
      </c>
      <c r="Q457" s="121" t="str">
        <f>IF(Tab.o1[[#This Row],[a1]]=1,NORMSDIST(Tab.o1[[#This Row],[Zb]]),"")</f>
        <v/>
      </c>
      <c r="R457" s="122" t="str">
        <f>IF(Tab.o1[[#This Row],[a1]]=1,((Tab.o1[[#This Row],[MedMod]]-AVERAGE(Tab.o1[MedMod]))/_xlfn.STDEV.P(Tab.o1[MedMod])*H$1203)+G$1203,"")</f>
        <v/>
      </c>
      <c r="S457" s="122" t="str">
        <f>IF(Tab.o1[[#This Row],[a1]]=1,((Tab.o1[[#This Row],[MedMod]]-AVERAGE(Tab.o1[MedMod]))/_xlfn.STDEV.P(Tab.o1[MedMod])*H$1204)+G$1204,"")</f>
        <v/>
      </c>
      <c r="T457" s="123" t="str">
        <f>IF(Tab.o1[[#This Row],[a1]]=1,Tab.o1[[#This Row],[Z-]]*_xlfn.STDEV.P(Tab.o1[B])+AVERAGE(Tab.o1[B]),"")</f>
        <v/>
      </c>
      <c r="U457" s="123" t="str">
        <f>IF(Tab.o1[[#This Row],[a1]]=1,Tab.o1[[#This Row],[z+]]*_xlfn.STDEV.P(Tab.o1[B])+AVERAGE(Tab.o1[B]),"")</f>
        <v/>
      </c>
      <c r="V457" s="124" t="str">
        <f>IF(Tab.o1[[#This Row],[a1]]=1,ABS((ABS(Tab.o1[[#This Row],[Red]]-Tab.o1[[#This Row],[Blue]]))),"")</f>
        <v/>
      </c>
      <c r="W457" s="125" t="str">
        <f>IF(Tab.o1[[#This Row],[a1]]=1,IF(W$3=0,1,Tab.o1[[#This Row],[Amp.]]*1/_xlfn.MINIFS(Tab.o1[Amp.],Tab.o1[Amp.],"&lt;&gt;0")),"")</f>
        <v/>
      </c>
      <c r="X457" s="126" t="str">
        <f>IF(Tab.o1[[#This Row],[a1]]=1,IF(ISNUMBER(Tab.o1[[#This Row],[i.]]),NORMDIST(Tab.o1[[#This Row],[Za]],0,1,FALSE)*Tab.o1[[#This Row],[i.]],AP$3),"")</f>
        <v/>
      </c>
      <c r="Y457" s="126" t="str">
        <f>IF(Tab.o1[[#This Row],[a1]]=1,0.01+0.94*Tab.o1[[#This Row],[PDF]]/MAX(Tab.o1[PDF]),"")</f>
        <v/>
      </c>
      <c r="Z457" s="126" t="str">
        <f>IF(Tab.o1[[#This Row],[a1]]=1,0.01+0.94*Tab.o1[[#This Row],[W1_PDF]]/MAX(Tab.o1[W1_PDF]),"")</f>
        <v/>
      </c>
      <c r="AA457" s="118" t="str">
        <f>IF(Tab.o1[[#This Row],[a1]]=1,ABS([1]!T.in.A[[#This Row],[oo6]]),"")</f>
        <v/>
      </c>
      <c r="AB457" s="127" t="str">
        <f>IF(Tab.o1[[#This Row],[a1]]=1,IF(AE$3=0,"",IF(AB$3=0,ABS([1]!T.in.A[[#This Row],[oo9]]),ABS(Tab.o1[[#This Row],[DIF_Target.]]*Tab.o1[[#This Row],[W1_PDF]]))),"")</f>
        <v/>
      </c>
      <c r="AC457" s="127" t="str">
        <f>IF(G$1=1,"",IF(Tab.o1[[#This Row],[a1]]=1,Tab.o1[[#This Row],[Wr]]^2,""))</f>
        <v/>
      </c>
      <c r="AD457" s="118" t="str">
        <f>IF(Tab.o1[[#This Row],[a1]]=1,IF(AE$3=0,"",Tab.o1[[#This Row],[Wr2]]/SUM(Tab.o1[Wr2])),"")</f>
        <v/>
      </c>
      <c r="AE457" s="128" t="str">
        <f>IF(Tab.o1[[#This Row],[a1]]=1,[1]!T.in.A[[#This Row],[oo10]],"")</f>
        <v/>
      </c>
      <c r="AF457" s="118" t="str">
        <f>IF(Tab.o1[[#This Row],[a1]]=1,ABS(Tab.o1[[#This Row],[DIF_Target.]]*Tab.o1[[#This Row],[PDF2]]*Tab.o1[[#This Row],[IN]]),"")</f>
        <v/>
      </c>
      <c r="AG457" s="129" t="str">
        <f>IF(Tab.o1[[#This Row],[a1]]=1,Tab.o1[[#This Row],[rW]]^2,"")</f>
        <v/>
      </c>
      <c r="AH457" s="130" t="str">
        <f>IF(Tab.o1[[#This Row],[a1]]=1,IF(AH$3=0,Tab.o1[[#This Row],[rW2]],0.01+0.94*Tab.o1[[#This Row],[rW2]]/SUM(Tab.o1[rW2])),"")</f>
        <v/>
      </c>
      <c r="AI457" s="128" t="str">
        <f>IF(Tab.o1[[#This Row],[a1]]=1,1/Tab.o1[[#This Row],[PDF]],"")</f>
        <v/>
      </c>
      <c r="AJ457" s="131" t="str">
        <f>IF(Tab.o1[[#This Row],[a1]]=1,[1]!T_AA[[#This Row],[IN'']]*[1]!T_AA[[#This Row],[Qde'']],"")</f>
        <v/>
      </c>
      <c r="AK457" s="132" t="str">
        <f>IF(Tab.o1[[#This Row],[a1]]=1,IF(AK$1=1,Tab.o1[[#This Row],[MED]]+Tab.o1[[#This Row],[MOD]]-Tab.o1[[#This Row],[MED]],""),"")</f>
        <v/>
      </c>
      <c r="AL457" s="133" t="str">
        <f>IF(Tab.o1[[#This Row],[a1]]=1,[1]!T.in.A[[#This Row],[oo16]],"")</f>
        <v/>
      </c>
      <c r="AM457" s="133" t="str">
        <f>IF(Tab.o1[[#This Row],[a1]]=1,IF(AM$3=1,[1]!T.in.A[[#This Row],[Σo16]],""),"")</f>
        <v/>
      </c>
      <c r="AN457" s="126" t="str">
        <f>IF(Tab.o1[[#This Row],[a1]]=1,[1]!T.in.A[[#This Row],[Σp5]],"")</f>
        <v/>
      </c>
      <c r="AO457" s="126" t="str">
        <f>IF(Tab.o1[[#This Row],[a1]]=1,IF(AO$3=1,[1]!T.in.A[[#This Row],[Σp5]],""),"")</f>
        <v/>
      </c>
      <c r="AP457" s="110" t="str">
        <f>IF(Tab.o1[[#This Row],[a1]]=1,IF(ISNUMBER(Tab.o1[[#This Row],[i.]]),NORMDIST(Tab.o1[[#This Row],[Za]],0,1,FALSE)*Tab.o1[[#This Row],[i.]],0),"")</f>
        <v/>
      </c>
      <c r="AQ457" s="125" t="str">
        <f>IF(Tab.o1[[#This Row],[a1]]=1,ABS(Tab.o1[[#This Row],[MOD]]-AVERAGE(Tab.o1[MOD])),"")</f>
        <v/>
      </c>
      <c r="AR457" s="134" t="str">
        <f>IF(Tab.o1[[#This Row],[a1]]=1,Tab.o1[[#This Row],[OBS]]/SUM(Tab.o1[OBS]),"")</f>
        <v/>
      </c>
      <c r="AS457" s="135" t="str">
        <f>IF(ISNUMBER(Tab.o1[[#This Row],[a1]]),ROW()-4,"")</f>
        <v/>
      </c>
      <c r="AT457" s="136" t="str">
        <f>Tab.o1[[#This Row],[MOD]]</f>
        <v/>
      </c>
      <c r="AU457" s="137" t="str">
        <f t="shared" si="29"/>
        <v/>
      </c>
      <c r="AV457" s="138" t="str">
        <f t="shared" si="30"/>
        <v/>
      </c>
      <c r="AW457" s="138" t="str">
        <f t="shared" si="31"/>
        <v/>
      </c>
      <c r="AX457" s="139" t="str">
        <f>[1]!T.in.A[[#This Row],[ID_T_manu]]</f>
        <v/>
      </c>
      <c r="AY457" s="140" t="str">
        <f>IF(ISNUMBER(Tab.o1[[#This Row],[a1]]),IF(AND(Tab.o1[[#This Row],[a1]]=1,Tab.o1[[#This Row],[b1]]&lt;=AY$4),#REF!,AY456),"")</f>
        <v/>
      </c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</row>
    <row r="458" spans="1:79" ht="15.75" hidden="1">
      <c r="A458" s="109">
        <v>-9.0000000000000002E-6</v>
      </c>
      <c r="B458" s="110">
        <f t="shared" si="28"/>
        <v>458</v>
      </c>
      <c r="C458" s="111" t="str">
        <f>IF(C$1=[1]!T.in.A[[#This Row],[oo2]],1,"")</f>
        <v/>
      </c>
      <c r="D458" s="112" t="str">
        <f>IF(Tab.o1[[#This Row],[a1]]=1,IF(SUM(C458:C459)=0,0,IF(SUM(C457:C458)=1,1,IF(SUM(C457:C459)&gt;1,D457+1,0))),"")</f>
        <v/>
      </c>
      <c r="E458" s="113" t="str">
        <f>IF(Tab.o1[[#This Row],[a1]]=1,[1]!T.in.A[[#This Row],[oo1]],"")</f>
        <v/>
      </c>
      <c r="F458" s="113" t="str">
        <f>IF(Tab.o1[[#This Row],[a1]]=1,[1]!T.in.A[[#This Row],[pp1]],"")</f>
        <v/>
      </c>
      <c r="G458" s="114" t="str">
        <f>IF(Tab.o1[[#This Row],[a1]]=1,G$2+IF(G$1=1,0,Tab.o1[[#This Row],[.x1]])+[1]!T.in.A[[#This Row],[oo3]],"")</f>
        <v/>
      </c>
      <c r="H458" s="115" t="str">
        <f>IF(Tab.o1[[#This Row],[a1]]=1,IF(H$2=0,0,IF(G$1=1,0,Tab.o1[[#This Row],[.x1]])+[1]!T.in.A[[#This Row],[oo4]]),"")</f>
        <v/>
      </c>
      <c r="I458" s="116" t="str">
        <f>IF(Tab.o1[[#This Row],[a1]]=1,IF(J$2=0,Tab.o1[[#This Row],[MED]],Tab.o1[[#This Row],[MOD]]),"")</f>
        <v/>
      </c>
      <c r="J458" s="116" t="str">
        <f>IF(Tab.o1[[#This Row],[a1]]=1,((Tab.o1[[#This Row],[DIF_Target.]]-AVERAGE(Tab.o1[DIF_Target.]))/_xlfn.STDEV.P(Tab.o1[DIF_Target.])),"")</f>
        <v/>
      </c>
      <c r="K458" s="117" t="str">
        <f>IF(Tab.o1[[#This Row],[a1]]=1,IF(J$2=0,Tab.o1[[#This Row],[MOD]]-Tab.o1[[#This Row],[B]],IF(J$2=1,0,-Tab.o1[[#This Row],[MED]])+Tab.o1[[#This Row],[B]]),"")</f>
        <v/>
      </c>
      <c r="L458" s="117" t="str">
        <f ca="1">IF(Tab.o1[[#This Row],[DIF_Target]]=0,IF(L$2=0,Tab.o1[[#This Row],[DIF_Target]],AVERAGE(OFFSET(Tab.o1[[#This Row],[DIF_Target]],1,0,L$3,1)))/3,Tab.o1[[#This Row],[DIF_Target]])</f>
        <v/>
      </c>
      <c r="M458" s="118" t="str">
        <f>IF(Tab.o1[[#This Row],[a1]]=1,NORMSDIST(Tab.o1[[#This Row],[Za]]),"")</f>
        <v/>
      </c>
      <c r="N458" s="119" t="str">
        <f>IF(Tab.o1[[#This Row],[a1]]=1,((Tab.o1[[#This Row],[MedMod]]-AVERAGE(Tab.o1[MedMod]))/_xlfn.STDEV.P(Tab.o1[MedMod])*H$1205)+G$1205,"")</f>
        <v/>
      </c>
      <c r="O458" s="141" t="str">
        <f>IF(Tab.o1[[#This Row],[a1]]=1,Tab.o1[[#This Row],[Zb]]*_xlfn.STDEV.P(Tab.o1[MedMod])+AVERAGE(Tab.o1[MedMod]),"")</f>
        <v/>
      </c>
      <c r="P458" s="117" t="str">
        <f ca="1">IF(Tab.o1[[#This Row],[B]]=0,AVERAGE(OFFSET(Tab.o1[[#This Row],[B]],1,0,L$3,1)),Tab.o1[[#This Row],[B]])</f>
        <v/>
      </c>
      <c r="Q458" s="121" t="str">
        <f>IF(Tab.o1[[#This Row],[a1]]=1,NORMSDIST(Tab.o1[[#This Row],[Zb]]),"")</f>
        <v/>
      </c>
      <c r="R458" s="122" t="str">
        <f>IF(Tab.o1[[#This Row],[a1]]=1,((Tab.o1[[#This Row],[MedMod]]-AVERAGE(Tab.o1[MedMod]))/_xlfn.STDEV.P(Tab.o1[MedMod])*H$1203)+G$1203,"")</f>
        <v/>
      </c>
      <c r="S458" s="122" t="str">
        <f>IF(Tab.o1[[#This Row],[a1]]=1,((Tab.o1[[#This Row],[MedMod]]-AVERAGE(Tab.o1[MedMod]))/_xlfn.STDEV.P(Tab.o1[MedMod])*H$1204)+G$1204,"")</f>
        <v/>
      </c>
      <c r="T458" s="123" t="str">
        <f>IF(Tab.o1[[#This Row],[a1]]=1,Tab.o1[[#This Row],[Z-]]*_xlfn.STDEV.P(Tab.o1[B])+AVERAGE(Tab.o1[B]),"")</f>
        <v/>
      </c>
      <c r="U458" s="123" t="str">
        <f>IF(Tab.o1[[#This Row],[a1]]=1,Tab.o1[[#This Row],[z+]]*_xlfn.STDEV.P(Tab.o1[B])+AVERAGE(Tab.o1[B]),"")</f>
        <v/>
      </c>
      <c r="V458" s="124" t="str">
        <f>IF(Tab.o1[[#This Row],[a1]]=1,ABS((ABS(Tab.o1[[#This Row],[Red]]-Tab.o1[[#This Row],[Blue]]))),"")</f>
        <v/>
      </c>
      <c r="W458" s="125" t="str">
        <f>IF(Tab.o1[[#This Row],[a1]]=1,IF(W$3=0,1,Tab.o1[[#This Row],[Amp.]]*1/_xlfn.MINIFS(Tab.o1[Amp.],Tab.o1[Amp.],"&lt;&gt;0")),"")</f>
        <v/>
      </c>
      <c r="X458" s="126" t="str">
        <f>IF(Tab.o1[[#This Row],[a1]]=1,IF(ISNUMBER(Tab.o1[[#This Row],[i.]]),NORMDIST(Tab.o1[[#This Row],[Za]],0,1,FALSE)*Tab.o1[[#This Row],[i.]],AP$3),"")</f>
        <v/>
      </c>
      <c r="Y458" s="126" t="str">
        <f>IF(Tab.o1[[#This Row],[a1]]=1,0.01+0.94*Tab.o1[[#This Row],[PDF]]/MAX(Tab.o1[PDF]),"")</f>
        <v/>
      </c>
      <c r="Z458" s="126" t="str">
        <f>IF(Tab.o1[[#This Row],[a1]]=1,0.01+0.94*Tab.o1[[#This Row],[W1_PDF]]/MAX(Tab.o1[W1_PDF]),"")</f>
        <v/>
      </c>
      <c r="AA458" s="118" t="str">
        <f>IF(Tab.o1[[#This Row],[a1]]=1,ABS([1]!T.in.A[[#This Row],[oo6]]),"")</f>
        <v/>
      </c>
      <c r="AB458" s="127" t="str">
        <f>IF(Tab.o1[[#This Row],[a1]]=1,IF(AE$3=0,"",IF(AB$3=0,ABS([1]!T.in.A[[#This Row],[oo9]]),ABS(Tab.o1[[#This Row],[DIF_Target.]]*Tab.o1[[#This Row],[W1_PDF]]))),"")</f>
        <v/>
      </c>
      <c r="AC458" s="127" t="str">
        <f>IF(G$1=1,"",IF(Tab.o1[[#This Row],[a1]]=1,Tab.o1[[#This Row],[Wr]]^2,""))</f>
        <v/>
      </c>
      <c r="AD458" s="118" t="str">
        <f>IF(Tab.o1[[#This Row],[a1]]=1,IF(AE$3=0,"",Tab.o1[[#This Row],[Wr2]]/SUM(Tab.o1[Wr2])),"")</f>
        <v/>
      </c>
      <c r="AE458" s="128" t="str">
        <f>IF(Tab.o1[[#This Row],[a1]]=1,[1]!T.in.A[[#This Row],[oo10]],"")</f>
        <v/>
      </c>
      <c r="AF458" s="118" t="str">
        <f>IF(Tab.o1[[#This Row],[a1]]=1,ABS(Tab.o1[[#This Row],[DIF_Target.]]*Tab.o1[[#This Row],[PDF2]]*Tab.o1[[#This Row],[IN]]),"")</f>
        <v/>
      </c>
      <c r="AG458" s="129" t="str">
        <f>IF(Tab.o1[[#This Row],[a1]]=1,Tab.o1[[#This Row],[rW]]^2,"")</f>
        <v/>
      </c>
      <c r="AH458" s="130" t="str">
        <f>IF(Tab.o1[[#This Row],[a1]]=1,IF(AH$3=0,Tab.o1[[#This Row],[rW2]],0.01+0.94*Tab.o1[[#This Row],[rW2]]/SUM(Tab.o1[rW2])),"")</f>
        <v/>
      </c>
      <c r="AI458" s="128" t="str">
        <f>IF(Tab.o1[[#This Row],[a1]]=1,1/Tab.o1[[#This Row],[PDF]],"")</f>
        <v/>
      </c>
      <c r="AJ458" s="131" t="str">
        <f>IF(Tab.o1[[#This Row],[a1]]=1,[1]!T_AA[[#This Row],[IN'']]*[1]!T_AA[[#This Row],[Qde'']],"")</f>
        <v/>
      </c>
      <c r="AK458" s="132" t="str">
        <f>IF(Tab.o1[[#This Row],[a1]]=1,IF(AK$1=1,Tab.o1[[#This Row],[MED]]+Tab.o1[[#This Row],[MOD]]-Tab.o1[[#This Row],[MED]],""),"")</f>
        <v/>
      </c>
      <c r="AL458" s="133" t="str">
        <f>IF(Tab.o1[[#This Row],[a1]]=1,[1]!T.in.A[[#This Row],[oo16]],"")</f>
        <v/>
      </c>
      <c r="AM458" s="133" t="str">
        <f>IF(Tab.o1[[#This Row],[a1]]=1,IF(AM$3=1,[1]!T.in.A[[#This Row],[Σo16]],""),"")</f>
        <v/>
      </c>
      <c r="AN458" s="126" t="str">
        <f>IF(Tab.o1[[#This Row],[a1]]=1,[1]!T.in.A[[#This Row],[Σp5]],"")</f>
        <v/>
      </c>
      <c r="AO458" s="126" t="str">
        <f>IF(Tab.o1[[#This Row],[a1]]=1,IF(AO$3=1,[1]!T.in.A[[#This Row],[Σp5]],""),"")</f>
        <v/>
      </c>
      <c r="AP458" s="110" t="str">
        <f>IF(Tab.o1[[#This Row],[a1]]=1,IF(ISNUMBER(Tab.o1[[#This Row],[i.]]),NORMDIST(Tab.o1[[#This Row],[Za]],0,1,FALSE)*Tab.o1[[#This Row],[i.]],0),"")</f>
        <v/>
      </c>
      <c r="AQ458" s="125" t="str">
        <f>IF(Tab.o1[[#This Row],[a1]]=1,ABS(Tab.o1[[#This Row],[MOD]]-AVERAGE(Tab.o1[MOD])),"")</f>
        <v/>
      </c>
      <c r="AR458" s="134" t="str">
        <f>IF(Tab.o1[[#This Row],[a1]]=1,Tab.o1[[#This Row],[OBS]]/SUM(Tab.o1[OBS]),"")</f>
        <v/>
      </c>
      <c r="AS458" s="135" t="str">
        <f>IF(ISNUMBER(Tab.o1[[#This Row],[a1]]),ROW()-4,"")</f>
        <v/>
      </c>
      <c r="AT458" s="136" t="str">
        <f>Tab.o1[[#This Row],[MOD]]</f>
        <v/>
      </c>
      <c r="AU458" s="137" t="str">
        <f t="shared" si="29"/>
        <v/>
      </c>
      <c r="AV458" s="138" t="str">
        <f t="shared" si="30"/>
        <v/>
      </c>
      <c r="AW458" s="138" t="str">
        <f t="shared" si="31"/>
        <v/>
      </c>
      <c r="AX458" s="139" t="str">
        <f>[1]!T.in.A[[#This Row],[ID_T_manu]]</f>
        <v/>
      </c>
      <c r="AY458" s="140" t="str">
        <f>IF(ISNUMBER(Tab.o1[[#This Row],[a1]]),IF(AND(Tab.o1[[#This Row],[a1]]=1,Tab.o1[[#This Row],[b1]]&lt;=AY$4),#REF!,AY457),"")</f>
        <v/>
      </c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</row>
    <row r="459" spans="1:79" ht="15.75" hidden="1">
      <c r="A459" s="109">
        <v>-1.0000000000000001E-5</v>
      </c>
      <c r="B459" s="110">
        <f t="shared" si="28"/>
        <v>459</v>
      </c>
      <c r="C459" s="111" t="str">
        <f>IF(C$1=[1]!T.in.A[[#This Row],[oo2]],1,"")</f>
        <v/>
      </c>
      <c r="D459" s="112" t="str">
        <f>IF(Tab.o1[[#This Row],[a1]]=1,IF(SUM(C459:C460)=0,0,IF(SUM(C458:C459)=1,1,IF(SUM(C458:C460)&gt;1,D458+1,0))),"")</f>
        <v/>
      </c>
      <c r="E459" s="113" t="str">
        <f>IF(Tab.o1[[#This Row],[a1]]=1,[1]!T.in.A[[#This Row],[oo1]],"")</f>
        <v/>
      </c>
      <c r="F459" s="113" t="str">
        <f>IF(Tab.o1[[#This Row],[a1]]=1,[1]!T.in.A[[#This Row],[pp1]],"")</f>
        <v/>
      </c>
      <c r="G459" s="114" t="str">
        <f>IF(Tab.o1[[#This Row],[a1]]=1,G$2+IF(G$1=1,0,Tab.o1[[#This Row],[.x1]])+[1]!T.in.A[[#This Row],[oo3]],"")</f>
        <v/>
      </c>
      <c r="H459" s="115" t="str">
        <f>IF(Tab.o1[[#This Row],[a1]]=1,IF(H$2=0,0,IF(G$1=1,0,Tab.o1[[#This Row],[.x1]])+[1]!T.in.A[[#This Row],[oo4]]),"")</f>
        <v/>
      </c>
      <c r="I459" s="116" t="str">
        <f>IF(Tab.o1[[#This Row],[a1]]=1,IF(J$2=0,Tab.o1[[#This Row],[MED]],Tab.o1[[#This Row],[MOD]]),"")</f>
        <v/>
      </c>
      <c r="J459" s="116" t="str">
        <f>IF(Tab.o1[[#This Row],[a1]]=1,((Tab.o1[[#This Row],[DIF_Target.]]-AVERAGE(Tab.o1[DIF_Target.]))/_xlfn.STDEV.P(Tab.o1[DIF_Target.])),"")</f>
        <v/>
      </c>
      <c r="K459" s="117" t="str">
        <f>IF(Tab.o1[[#This Row],[a1]]=1,IF(J$2=0,Tab.o1[[#This Row],[MOD]]-Tab.o1[[#This Row],[B]],IF(J$2=1,0,-Tab.o1[[#This Row],[MED]])+Tab.o1[[#This Row],[B]]),"")</f>
        <v/>
      </c>
      <c r="L459" s="117" t="str">
        <f ca="1">IF(Tab.o1[[#This Row],[DIF_Target]]=0,IF(L$2=0,Tab.o1[[#This Row],[DIF_Target]],AVERAGE(OFFSET(Tab.o1[[#This Row],[DIF_Target]],1,0,L$3,1)))/3,Tab.o1[[#This Row],[DIF_Target]])</f>
        <v/>
      </c>
      <c r="M459" s="118" t="str">
        <f>IF(Tab.o1[[#This Row],[a1]]=1,NORMSDIST(Tab.o1[[#This Row],[Za]]),"")</f>
        <v/>
      </c>
      <c r="N459" s="119" t="str">
        <f>IF(Tab.o1[[#This Row],[a1]]=1,((Tab.o1[[#This Row],[MedMod]]-AVERAGE(Tab.o1[MedMod]))/_xlfn.STDEV.P(Tab.o1[MedMod])*H$1205)+G$1205,"")</f>
        <v/>
      </c>
      <c r="O459" s="141" t="str">
        <f>IF(Tab.o1[[#This Row],[a1]]=1,Tab.o1[[#This Row],[Zb]]*_xlfn.STDEV.P(Tab.o1[MedMod])+AVERAGE(Tab.o1[MedMod]),"")</f>
        <v/>
      </c>
      <c r="P459" s="117" t="str">
        <f ca="1">IF(Tab.o1[[#This Row],[B]]=0,AVERAGE(OFFSET(Tab.o1[[#This Row],[B]],1,0,L$3,1)),Tab.o1[[#This Row],[B]])</f>
        <v/>
      </c>
      <c r="Q459" s="121" t="str">
        <f>IF(Tab.o1[[#This Row],[a1]]=1,NORMSDIST(Tab.o1[[#This Row],[Zb]]),"")</f>
        <v/>
      </c>
      <c r="R459" s="122" t="str">
        <f>IF(Tab.o1[[#This Row],[a1]]=1,((Tab.o1[[#This Row],[MedMod]]-AVERAGE(Tab.o1[MedMod]))/_xlfn.STDEV.P(Tab.o1[MedMod])*H$1203)+G$1203,"")</f>
        <v/>
      </c>
      <c r="S459" s="122" t="str">
        <f>IF(Tab.o1[[#This Row],[a1]]=1,((Tab.o1[[#This Row],[MedMod]]-AVERAGE(Tab.o1[MedMod]))/_xlfn.STDEV.P(Tab.o1[MedMod])*H$1204)+G$1204,"")</f>
        <v/>
      </c>
      <c r="T459" s="123" t="str">
        <f>IF(Tab.o1[[#This Row],[a1]]=1,Tab.o1[[#This Row],[Z-]]*_xlfn.STDEV.P(Tab.o1[B])+AVERAGE(Tab.o1[B]),"")</f>
        <v/>
      </c>
      <c r="U459" s="123" t="str">
        <f>IF(Tab.o1[[#This Row],[a1]]=1,Tab.o1[[#This Row],[z+]]*_xlfn.STDEV.P(Tab.o1[B])+AVERAGE(Tab.o1[B]),"")</f>
        <v/>
      </c>
      <c r="V459" s="124" t="str">
        <f>IF(Tab.o1[[#This Row],[a1]]=1,ABS((ABS(Tab.o1[[#This Row],[Red]]-Tab.o1[[#This Row],[Blue]]))),"")</f>
        <v/>
      </c>
      <c r="W459" s="125" t="str">
        <f>IF(Tab.o1[[#This Row],[a1]]=1,IF(W$3=0,1,Tab.o1[[#This Row],[Amp.]]*1/_xlfn.MINIFS(Tab.o1[Amp.],Tab.o1[Amp.],"&lt;&gt;0")),"")</f>
        <v/>
      </c>
      <c r="X459" s="126" t="str">
        <f>IF(Tab.o1[[#This Row],[a1]]=1,IF(ISNUMBER(Tab.o1[[#This Row],[i.]]),NORMDIST(Tab.o1[[#This Row],[Za]],0,1,FALSE)*Tab.o1[[#This Row],[i.]],AP$3),"")</f>
        <v/>
      </c>
      <c r="Y459" s="126" t="str">
        <f>IF(Tab.o1[[#This Row],[a1]]=1,0.01+0.94*Tab.o1[[#This Row],[PDF]]/MAX(Tab.o1[PDF]),"")</f>
        <v/>
      </c>
      <c r="Z459" s="126" t="str">
        <f>IF(Tab.o1[[#This Row],[a1]]=1,0.01+0.94*Tab.o1[[#This Row],[W1_PDF]]/MAX(Tab.o1[W1_PDF]),"")</f>
        <v/>
      </c>
      <c r="AA459" s="118" t="str">
        <f>IF(Tab.o1[[#This Row],[a1]]=1,ABS([1]!T.in.A[[#This Row],[oo6]]),"")</f>
        <v/>
      </c>
      <c r="AB459" s="127" t="str">
        <f>IF(Tab.o1[[#This Row],[a1]]=1,IF(AE$3=0,"",IF(AB$3=0,ABS([1]!T.in.A[[#This Row],[oo9]]),ABS(Tab.o1[[#This Row],[DIF_Target.]]*Tab.o1[[#This Row],[W1_PDF]]))),"")</f>
        <v/>
      </c>
      <c r="AC459" s="127" t="str">
        <f>IF(G$1=1,"",IF(Tab.o1[[#This Row],[a1]]=1,Tab.o1[[#This Row],[Wr]]^2,""))</f>
        <v/>
      </c>
      <c r="AD459" s="118" t="str">
        <f>IF(Tab.o1[[#This Row],[a1]]=1,IF(AE$3=0,"",Tab.o1[[#This Row],[Wr2]]/SUM(Tab.o1[Wr2])),"")</f>
        <v/>
      </c>
      <c r="AE459" s="128" t="str">
        <f>IF(Tab.o1[[#This Row],[a1]]=1,[1]!T.in.A[[#This Row],[oo10]],"")</f>
        <v/>
      </c>
      <c r="AF459" s="118" t="str">
        <f>IF(Tab.o1[[#This Row],[a1]]=1,ABS(Tab.o1[[#This Row],[DIF_Target.]]*Tab.o1[[#This Row],[PDF2]]*Tab.o1[[#This Row],[IN]]),"")</f>
        <v/>
      </c>
      <c r="AG459" s="129" t="str">
        <f>IF(Tab.o1[[#This Row],[a1]]=1,Tab.o1[[#This Row],[rW]]^2,"")</f>
        <v/>
      </c>
      <c r="AH459" s="130" t="str">
        <f>IF(Tab.o1[[#This Row],[a1]]=1,IF(AH$3=0,Tab.o1[[#This Row],[rW2]],0.01+0.94*Tab.o1[[#This Row],[rW2]]/SUM(Tab.o1[rW2])),"")</f>
        <v/>
      </c>
      <c r="AI459" s="128" t="str">
        <f>IF(Tab.o1[[#This Row],[a1]]=1,1/Tab.o1[[#This Row],[PDF]],"")</f>
        <v/>
      </c>
      <c r="AJ459" s="131" t="str">
        <f>IF(Tab.o1[[#This Row],[a1]]=1,[1]!T_AA[[#This Row],[IN'']]*[1]!T_AA[[#This Row],[Qde'']],"")</f>
        <v/>
      </c>
      <c r="AK459" s="132" t="str">
        <f>IF(Tab.o1[[#This Row],[a1]]=1,IF(AK$1=1,Tab.o1[[#This Row],[MED]]+Tab.o1[[#This Row],[MOD]]-Tab.o1[[#This Row],[MED]],""),"")</f>
        <v/>
      </c>
      <c r="AL459" s="133" t="str">
        <f>IF(Tab.o1[[#This Row],[a1]]=1,[1]!T.in.A[[#This Row],[oo16]],"")</f>
        <v/>
      </c>
      <c r="AM459" s="133" t="str">
        <f>IF(Tab.o1[[#This Row],[a1]]=1,IF(AM$3=1,[1]!T.in.A[[#This Row],[Σo16]],""),"")</f>
        <v/>
      </c>
      <c r="AN459" s="126" t="str">
        <f>IF(Tab.o1[[#This Row],[a1]]=1,[1]!T.in.A[[#This Row],[Σp5]],"")</f>
        <v/>
      </c>
      <c r="AO459" s="126" t="str">
        <f>IF(Tab.o1[[#This Row],[a1]]=1,IF(AO$3=1,[1]!T.in.A[[#This Row],[Σp5]],""),"")</f>
        <v/>
      </c>
      <c r="AP459" s="110" t="str">
        <f>IF(Tab.o1[[#This Row],[a1]]=1,IF(ISNUMBER(Tab.o1[[#This Row],[i.]]),NORMDIST(Tab.o1[[#This Row],[Za]],0,1,FALSE)*Tab.o1[[#This Row],[i.]],0),"")</f>
        <v/>
      </c>
      <c r="AQ459" s="125" t="str">
        <f>IF(Tab.o1[[#This Row],[a1]]=1,ABS(Tab.o1[[#This Row],[MOD]]-AVERAGE(Tab.o1[MOD])),"")</f>
        <v/>
      </c>
      <c r="AR459" s="134" t="str">
        <f>IF(Tab.o1[[#This Row],[a1]]=1,Tab.o1[[#This Row],[OBS]]/SUM(Tab.o1[OBS]),"")</f>
        <v/>
      </c>
      <c r="AS459" s="135" t="str">
        <f>IF(ISNUMBER(Tab.o1[[#This Row],[a1]]),ROW()-4,"")</f>
        <v/>
      </c>
      <c r="AT459" s="136" t="str">
        <f>Tab.o1[[#This Row],[MOD]]</f>
        <v/>
      </c>
      <c r="AU459" s="137" t="str">
        <f t="shared" si="29"/>
        <v/>
      </c>
      <c r="AV459" s="138" t="str">
        <f t="shared" si="30"/>
        <v/>
      </c>
      <c r="AW459" s="138" t="str">
        <f t="shared" si="31"/>
        <v/>
      </c>
      <c r="AX459" s="139" t="str">
        <f>[1]!T.in.A[[#This Row],[ID_T_manu]]</f>
        <v/>
      </c>
      <c r="AY459" s="140" t="str">
        <f>IF(ISNUMBER(Tab.o1[[#This Row],[a1]]),IF(AND(Tab.o1[[#This Row],[a1]]=1,Tab.o1[[#This Row],[b1]]&lt;=AY$4),#REF!,AY458),"")</f>
        <v/>
      </c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</row>
    <row r="460" spans="1:79" ht="15.75" hidden="1">
      <c r="A460" s="109">
        <v>1.0000000000000002E-6</v>
      </c>
      <c r="B460" s="110">
        <f t="shared" si="28"/>
        <v>460</v>
      </c>
      <c r="C460" s="111" t="str">
        <f>IF(C$1=[1]!T.in.A[[#This Row],[oo2]],1,"")</f>
        <v/>
      </c>
      <c r="D460" s="112" t="str">
        <f>IF(Tab.o1[[#This Row],[a1]]=1,IF(SUM(C460:C461)=0,0,IF(SUM(C459:C460)=1,1,IF(SUM(C459:C461)&gt;1,D459+1,0))),"")</f>
        <v/>
      </c>
      <c r="E460" s="113" t="str">
        <f>IF(Tab.o1[[#This Row],[a1]]=1,[1]!T.in.A[[#This Row],[oo1]],"")</f>
        <v/>
      </c>
      <c r="F460" s="113" t="str">
        <f>IF(Tab.o1[[#This Row],[a1]]=1,[1]!T.in.A[[#This Row],[pp1]],"")</f>
        <v/>
      </c>
      <c r="G460" s="114" t="str">
        <f>IF(Tab.o1[[#This Row],[a1]]=1,G$2+IF(G$1=1,0,Tab.o1[[#This Row],[.x1]])+[1]!T.in.A[[#This Row],[oo3]],"")</f>
        <v/>
      </c>
      <c r="H460" s="115" t="str">
        <f>IF(Tab.o1[[#This Row],[a1]]=1,IF(H$2=0,0,IF(G$1=1,0,Tab.o1[[#This Row],[.x1]])+[1]!T.in.A[[#This Row],[oo4]]),"")</f>
        <v/>
      </c>
      <c r="I460" s="116" t="str">
        <f>IF(Tab.o1[[#This Row],[a1]]=1,IF(J$2=0,Tab.o1[[#This Row],[MED]],Tab.o1[[#This Row],[MOD]]),"")</f>
        <v/>
      </c>
      <c r="J460" s="116" t="str">
        <f>IF(Tab.o1[[#This Row],[a1]]=1,((Tab.o1[[#This Row],[DIF_Target.]]-AVERAGE(Tab.o1[DIF_Target.]))/_xlfn.STDEV.P(Tab.o1[DIF_Target.])),"")</f>
        <v/>
      </c>
      <c r="K460" s="117" t="str">
        <f>IF(Tab.o1[[#This Row],[a1]]=1,IF(J$2=0,Tab.o1[[#This Row],[MOD]]-Tab.o1[[#This Row],[B]],IF(J$2=1,0,-Tab.o1[[#This Row],[MED]])+Tab.o1[[#This Row],[B]]),"")</f>
        <v/>
      </c>
      <c r="L460" s="117" t="str">
        <f ca="1">IF(Tab.o1[[#This Row],[DIF_Target]]=0,IF(L$2=0,Tab.o1[[#This Row],[DIF_Target]],AVERAGE(OFFSET(Tab.o1[[#This Row],[DIF_Target]],1,0,L$3,1)))/3,Tab.o1[[#This Row],[DIF_Target]])</f>
        <v/>
      </c>
      <c r="M460" s="118" t="str">
        <f>IF(Tab.o1[[#This Row],[a1]]=1,NORMSDIST(Tab.o1[[#This Row],[Za]]),"")</f>
        <v/>
      </c>
      <c r="N460" s="119" t="str">
        <f>IF(Tab.o1[[#This Row],[a1]]=1,((Tab.o1[[#This Row],[MedMod]]-AVERAGE(Tab.o1[MedMod]))/_xlfn.STDEV.P(Tab.o1[MedMod])*H$1205)+G$1205,"")</f>
        <v/>
      </c>
      <c r="O460" s="141" t="str">
        <f>IF(Tab.o1[[#This Row],[a1]]=1,Tab.o1[[#This Row],[Zb]]*_xlfn.STDEV.P(Tab.o1[MedMod])+AVERAGE(Tab.o1[MedMod]),"")</f>
        <v/>
      </c>
      <c r="P460" s="117" t="str">
        <f ca="1">IF(Tab.o1[[#This Row],[B]]=0,AVERAGE(OFFSET(Tab.o1[[#This Row],[B]],1,0,L$3,1)),Tab.o1[[#This Row],[B]])</f>
        <v/>
      </c>
      <c r="Q460" s="121" t="str">
        <f>IF(Tab.o1[[#This Row],[a1]]=1,NORMSDIST(Tab.o1[[#This Row],[Zb]]),"")</f>
        <v/>
      </c>
      <c r="R460" s="122" t="str">
        <f>IF(Tab.o1[[#This Row],[a1]]=1,((Tab.o1[[#This Row],[MedMod]]-AVERAGE(Tab.o1[MedMod]))/_xlfn.STDEV.P(Tab.o1[MedMod])*H$1203)+G$1203,"")</f>
        <v/>
      </c>
      <c r="S460" s="122" t="str">
        <f>IF(Tab.o1[[#This Row],[a1]]=1,((Tab.o1[[#This Row],[MedMod]]-AVERAGE(Tab.o1[MedMod]))/_xlfn.STDEV.P(Tab.o1[MedMod])*H$1204)+G$1204,"")</f>
        <v/>
      </c>
      <c r="T460" s="123" t="str">
        <f>IF(Tab.o1[[#This Row],[a1]]=1,Tab.o1[[#This Row],[Z-]]*_xlfn.STDEV.P(Tab.o1[B])+AVERAGE(Tab.o1[B]),"")</f>
        <v/>
      </c>
      <c r="U460" s="123" t="str">
        <f>IF(Tab.o1[[#This Row],[a1]]=1,Tab.o1[[#This Row],[z+]]*_xlfn.STDEV.P(Tab.o1[B])+AVERAGE(Tab.o1[B]),"")</f>
        <v/>
      </c>
      <c r="V460" s="124" t="str">
        <f>IF(Tab.o1[[#This Row],[a1]]=1,ABS((ABS(Tab.o1[[#This Row],[Red]]-Tab.o1[[#This Row],[Blue]]))),"")</f>
        <v/>
      </c>
      <c r="W460" s="125" t="str">
        <f>IF(Tab.o1[[#This Row],[a1]]=1,IF(W$3=0,1,Tab.o1[[#This Row],[Amp.]]*1/_xlfn.MINIFS(Tab.o1[Amp.],Tab.o1[Amp.],"&lt;&gt;0")),"")</f>
        <v/>
      </c>
      <c r="X460" s="126" t="str">
        <f>IF(Tab.o1[[#This Row],[a1]]=1,IF(ISNUMBER(Tab.o1[[#This Row],[i.]]),NORMDIST(Tab.o1[[#This Row],[Za]],0,1,FALSE)*Tab.o1[[#This Row],[i.]],AP$3),"")</f>
        <v/>
      </c>
      <c r="Y460" s="126" t="str">
        <f>IF(Tab.o1[[#This Row],[a1]]=1,0.01+0.94*Tab.o1[[#This Row],[PDF]]/MAX(Tab.o1[PDF]),"")</f>
        <v/>
      </c>
      <c r="Z460" s="126" t="str">
        <f>IF(Tab.o1[[#This Row],[a1]]=1,0.01+0.94*Tab.o1[[#This Row],[W1_PDF]]/MAX(Tab.o1[W1_PDF]),"")</f>
        <v/>
      </c>
      <c r="AA460" s="118" t="str">
        <f>IF(Tab.o1[[#This Row],[a1]]=1,ABS([1]!T.in.A[[#This Row],[oo6]]),"")</f>
        <v/>
      </c>
      <c r="AB460" s="127" t="str">
        <f>IF(Tab.o1[[#This Row],[a1]]=1,IF(AE$3=0,"",IF(AB$3=0,ABS([1]!T.in.A[[#This Row],[oo9]]),ABS(Tab.o1[[#This Row],[DIF_Target.]]*Tab.o1[[#This Row],[W1_PDF]]))),"")</f>
        <v/>
      </c>
      <c r="AC460" s="127" t="str">
        <f>IF(G$1=1,"",IF(Tab.o1[[#This Row],[a1]]=1,Tab.o1[[#This Row],[Wr]]^2,""))</f>
        <v/>
      </c>
      <c r="AD460" s="118" t="str">
        <f>IF(Tab.o1[[#This Row],[a1]]=1,IF(AE$3=0,"",Tab.o1[[#This Row],[Wr2]]/SUM(Tab.o1[Wr2])),"")</f>
        <v/>
      </c>
      <c r="AE460" s="128" t="str">
        <f>IF(Tab.o1[[#This Row],[a1]]=1,[1]!T.in.A[[#This Row],[oo10]],"")</f>
        <v/>
      </c>
      <c r="AF460" s="118" t="str">
        <f>IF(Tab.o1[[#This Row],[a1]]=1,ABS(Tab.o1[[#This Row],[DIF_Target.]]*Tab.o1[[#This Row],[PDF2]]*Tab.o1[[#This Row],[IN]]),"")</f>
        <v/>
      </c>
      <c r="AG460" s="129" t="str">
        <f>IF(Tab.o1[[#This Row],[a1]]=1,Tab.o1[[#This Row],[rW]]^2,"")</f>
        <v/>
      </c>
      <c r="AH460" s="130" t="str">
        <f>IF(Tab.o1[[#This Row],[a1]]=1,IF(AH$3=0,Tab.o1[[#This Row],[rW2]],0.01+0.94*Tab.o1[[#This Row],[rW2]]/SUM(Tab.o1[rW2])),"")</f>
        <v/>
      </c>
      <c r="AI460" s="128" t="str">
        <f>IF(Tab.o1[[#This Row],[a1]]=1,1/Tab.o1[[#This Row],[PDF]],"")</f>
        <v/>
      </c>
      <c r="AJ460" s="131" t="str">
        <f>IF(Tab.o1[[#This Row],[a1]]=1,[1]!T_AA[[#This Row],[IN'']]*[1]!T_AA[[#This Row],[Qde'']],"")</f>
        <v/>
      </c>
      <c r="AK460" s="132" t="str">
        <f>IF(Tab.o1[[#This Row],[a1]]=1,IF(AK$1=1,Tab.o1[[#This Row],[MED]]+Tab.o1[[#This Row],[MOD]]-Tab.o1[[#This Row],[MED]],""),"")</f>
        <v/>
      </c>
      <c r="AL460" s="133" t="str">
        <f>IF(Tab.o1[[#This Row],[a1]]=1,[1]!T.in.A[[#This Row],[oo16]],"")</f>
        <v/>
      </c>
      <c r="AM460" s="133" t="str">
        <f>IF(Tab.o1[[#This Row],[a1]]=1,IF(AM$3=1,[1]!T.in.A[[#This Row],[Σo16]],""),"")</f>
        <v/>
      </c>
      <c r="AN460" s="126" t="str">
        <f>IF(Tab.o1[[#This Row],[a1]]=1,[1]!T.in.A[[#This Row],[Σp5]],"")</f>
        <v/>
      </c>
      <c r="AO460" s="126" t="str">
        <f>IF(Tab.o1[[#This Row],[a1]]=1,IF(AO$3=1,[1]!T.in.A[[#This Row],[Σp5]],""),"")</f>
        <v/>
      </c>
      <c r="AP460" s="110" t="str">
        <f>IF(Tab.o1[[#This Row],[a1]]=1,IF(ISNUMBER(Tab.o1[[#This Row],[i.]]),NORMDIST(Tab.o1[[#This Row],[Za]],0,1,FALSE)*Tab.o1[[#This Row],[i.]],0),"")</f>
        <v/>
      </c>
      <c r="AQ460" s="125" t="str">
        <f>IF(Tab.o1[[#This Row],[a1]]=1,ABS(Tab.o1[[#This Row],[MOD]]-AVERAGE(Tab.o1[MOD])),"")</f>
        <v/>
      </c>
      <c r="AR460" s="134" t="str">
        <f>IF(Tab.o1[[#This Row],[a1]]=1,Tab.o1[[#This Row],[OBS]]/SUM(Tab.o1[OBS]),"")</f>
        <v/>
      </c>
      <c r="AS460" s="135" t="str">
        <f>IF(ISNUMBER(Tab.o1[[#This Row],[a1]]),ROW()-4,"")</f>
        <v/>
      </c>
      <c r="AT460" s="136" t="str">
        <f>Tab.o1[[#This Row],[MOD]]</f>
        <v/>
      </c>
      <c r="AU460" s="137" t="str">
        <f t="shared" si="29"/>
        <v/>
      </c>
      <c r="AV460" s="138" t="str">
        <f t="shared" si="30"/>
        <v/>
      </c>
      <c r="AW460" s="138" t="str">
        <f t="shared" si="31"/>
        <v/>
      </c>
      <c r="AX460" s="139" t="str">
        <f>[1]!T.in.A[[#This Row],[ID_T_manu]]</f>
        <v/>
      </c>
      <c r="AY460" s="140" t="str">
        <f>IF(ISNUMBER(Tab.o1[[#This Row],[a1]]),IF(AND(Tab.o1[[#This Row],[a1]]=1,Tab.o1[[#This Row],[b1]]&lt;=AY$4),#REF!,AY459),"")</f>
        <v/>
      </c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</row>
    <row r="461" spans="1:79" ht="15.75" hidden="1">
      <c r="A461" s="109">
        <v>8.0000000000000013E-6</v>
      </c>
      <c r="B461" s="110">
        <f t="shared" si="28"/>
        <v>461</v>
      </c>
      <c r="C461" s="111" t="str">
        <f>IF(C$1=[1]!T.in.A[[#This Row],[oo2]],1,"")</f>
        <v/>
      </c>
      <c r="D461" s="112" t="str">
        <f>IF(Tab.o1[[#This Row],[a1]]=1,IF(SUM(C461:C462)=0,0,IF(SUM(C460:C461)=1,1,IF(SUM(C460:C462)&gt;1,D460+1,0))),"")</f>
        <v/>
      </c>
      <c r="E461" s="113" t="str">
        <f>IF(Tab.o1[[#This Row],[a1]]=1,[1]!T.in.A[[#This Row],[oo1]],"")</f>
        <v/>
      </c>
      <c r="F461" s="113" t="str">
        <f>IF(Tab.o1[[#This Row],[a1]]=1,[1]!T.in.A[[#This Row],[pp1]],"")</f>
        <v/>
      </c>
      <c r="G461" s="114" t="str">
        <f>IF(Tab.o1[[#This Row],[a1]]=1,G$2+IF(G$1=1,0,Tab.o1[[#This Row],[.x1]])+[1]!T.in.A[[#This Row],[oo3]],"")</f>
        <v/>
      </c>
      <c r="H461" s="115" t="str">
        <f>IF(Tab.o1[[#This Row],[a1]]=1,IF(H$2=0,0,IF(G$1=1,0,Tab.o1[[#This Row],[.x1]])+[1]!T.in.A[[#This Row],[oo4]]),"")</f>
        <v/>
      </c>
      <c r="I461" s="116" t="str">
        <f>IF(Tab.o1[[#This Row],[a1]]=1,IF(J$2=0,Tab.o1[[#This Row],[MED]],Tab.o1[[#This Row],[MOD]]),"")</f>
        <v/>
      </c>
      <c r="J461" s="116" t="str">
        <f>IF(Tab.o1[[#This Row],[a1]]=1,((Tab.o1[[#This Row],[DIF_Target.]]-AVERAGE(Tab.o1[DIF_Target.]))/_xlfn.STDEV.P(Tab.o1[DIF_Target.])),"")</f>
        <v/>
      </c>
      <c r="K461" s="117" t="str">
        <f>IF(Tab.o1[[#This Row],[a1]]=1,IF(J$2=0,Tab.o1[[#This Row],[MOD]]-Tab.o1[[#This Row],[B]],IF(J$2=1,0,-Tab.o1[[#This Row],[MED]])+Tab.o1[[#This Row],[B]]),"")</f>
        <v/>
      </c>
      <c r="L461" s="117" t="str">
        <f ca="1">IF(Tab.o1[[#This Row],[DIF_Target]]=0,IF(L$2=0,Tab.o1[[#This Row],[DIF_Target]],AVERAGE(OFFSET(Tab.o1[[#This Row],[DIF_Target]],1,0,L$3,1)))/3,Tab.o1[[#This Row],[DIF_Target]])</f>
        <v/>
      </c>
      <c r="M461" s="118" t="str">
        <f>IF(Tab.o1[[#This Row],[a1]]=1,NORMSDIST(Tab.o1[[#This Row],[Za]]),"")</f>
        <v/>
      </c>
      <c r="N461" s="119" t="str">
        <f>IF(Tab.o1[[#This Row],[a1]]=1,((Tab.o1[[#This Row],[MedMod]]-AVERAGE(Tab.o1[MedMod]))/_xlfn.STDEV.P(Tab.o1[MedMod])*H$1205)+G$1205,"")</f>
        <v/>
      </c>
      <c r="O461" s="141" t="str">
        <f>IF(Tab.o1[[#This Row],[a1]]=1,Tab.o1[[#This Row],[Zb]]*_xlfn.STDEV.P(Tab.o1[MedMod])+AVERAGE(Tab.o1[MedMod]),"")</f>
        <v/>
      </c>
      <c r="P461" s="117" t="str">
        <f ca="1">IF(Tab.o1[[#This Row],[B]]=0,AVERAGE(OFFSET(Tab.o1[[#This Row],[B]],1,0,L$3,1)),Tab.o1[[#This Row],[B]])</f>
        <v/>
      </c>
      <c r="Q461" s="121" t="str">
        <f>IF(Tab.o1[[#This Row],[a1]]=1,NORMSDIST(Tab.o1[[#This Row],[Zb]]),"")</f>
        <v/>
      </c>
      <c r="R461" s="122" t="str">
        <f>IF(Tab.o1[[#This Row],[a1]]=1,((Tab.o1[[#This Row],[MedMod]]-AVERAGE(Tab.o1[MedMod]))/_xlfn.STDEV.P(Tab.o1[MedMod])*H$1203)+G$1203,"")</f>
        <v/>
      </c>
      <c r="S461" s="122" t="str">
        <f>IF(Tab.o1[[#This Row],[a1]]=1,((Tab.o1[[#This Row],[MedMod]]-AVERAGE(Tab.o1[MedMod]))/_xlfn.STDEV.P(Tab.o1[MedMod])*H$1204)+G$1204,"")</f>
        <v/>
      </c>
      <c r="T461" s="123" t="str">
        <f>IF(Tab.o1[[#This Row],[a1]]=1,Tab.o1[[#This Row],[Z-]]*_xlfn.STDEV.P(Tab.o1[B])+AVERAGE(Tab.o1[B]),"")</f>
        <v/>
      </c>
      <c r="U461" s="123" t="str">
        <f>IF(Tab.o1[[#This Row],[a1]]=1,Tab.o1[[#This Row],[z+]]*_xlfn.STDEV.P(Tab.o1[B])+AVERAGE(Tab.o1[B]),"")</f>
        <v/>
      </c>
      <c r="V461" s="124" t="str">
        <f>IF(Tab.o1[[#This Row],[a1]]=1,ABS((ABS(Tab.o1[[#This Row],[Red]]-Tab.o1[[#This Row],[Blue]]))),"")</f>
        <v/>
      </c>
      <c r="W461" s="125" t="str">
        <f>IF(Tab.o1[[#This Row],[a1]]=1,IF(W$3=0,1,Tab.o1[[#This Row],[Amp.]]*1/_xlfn.MINIFS(Tab.o1[Amp.],Tab.o1[Amp.],"&lt;&gt;0")),"")</f>
        <v/>
      </c>
      <c r="X461" s="126" t="str">
        <f>IF(Tab.o1[[#This Row],[a1]]=1,IF(ISNUMBER(Tab.o1[[#This Row],[i.]]),NORMDIST(Tab.o1[[#This Row],[Za]],0,1,FALSE)*Tab.o1[[#This Row],[i.]],AP$3),"")</f>
        <v/>
      </c>
      <c r="Y461" s="126" t="str">
        <f>IF(Tab.o1[[#This Row],[a1]]=1,0.01+0.94*Tab.o1[[#This Row],[PDF]]/MAX(Tab.o1[PDF]),"")</f>
        <v/>
      </c>
      <c r="Z461" s="126" t="str">
        <f>IF(Tab.o1[[#This Row],[a1]]=1,0.01+0.94*Tab.o1[[#This Row],[W1_PDF]]/MAX(Tab.o1[W1_PDF]),"")</f>
        <v/>
      </c>
      <c r="AA461" s="118" t="str">
        <f>IF(Tab.o1[[#This Row],[a1]]=1,ABS([1]!T.in.A[[#This Row],[oo6]]),"")</f>
        <v/>
      </c>
      <c r="AB461" s="127" t="str">
        <f>IF(Tab.o1[[#This Row],[a1]]=1,IF(AE$3=0,"",IF(AB$3=0,ABS([1]!T.in.A[[#This Row],[oo9]]),ABS(Tab.o1[[#This Row],[DIF_Target.]]*Tab.o1[[#This Row],[W1_PDF]]))),"")</f>
        <v/>
      </c>
      <c r="AC461" s="127" t="str">
        <f>IF(G$1=1,"",IF(Tab.o1[[#This Row],[a1]]=1,Tab.o1[[#This Row],[Wr]]^2,""))</f>
        <v/>
      </c>
      <c r="AD461" s="118" t="str">
        <f>IF(Tab.o1[[#This Row],[a1]]=1,IF(AE$3=0,"",Tab.o1[[#This Row],[Wr2]]/SUM(Tab.o1[Wr2])),"")</f>
        <v/>
      </c>
      <c r="AE461" s="128" t="str">
        <f>IF(Tab.o1[[#This Row],[a1]]=1,[1]!T.in.A[[#This Row],[oo10]],"")</f>
        <v/>
      </c>
      <c r="AF461" s="118" t="str">
        <f>IF(Tab.o1[[#This Row],[a1]]=1,ABS(Tab.o1[[#This Row],[DIF_Target.]]*Tab.o1[[#This Row],[PDF2]]*Tab.o1[[#This Row],[IN]]),"")</f>
        <v/>
      </c>
      <c r="AG461" s="129" t="str">
        <f>IF(Tab.o1[[#This Row],[a1]]=1,Tab.o1[[#This Row],[rW]]^2,"")</f>
        <v/>
      </c>
      <c r="AH461" s="130" t="str">
        <f>IF(Tab.o1[[#This Row],[a1]]=1,IF(AH$3=0,Tab.o1[[#This Row],[rW2]],0.01+0.94*Tab.o1[[#This Row],[rW2]]/SUM(Tab.o1[rW2])),"")</f>
        <v/>
      </c>
      <c r="AI461" s="128" t="str">
        <f>IF(Tab.o1[[#This Row],[a1]]=1,1/Tab.o1[[#This Row],[PDF]],"")</f>
        <v/>
      </c>
      <c r="AJ461" s="131" t="str">
        <f>IF(Tab.o1[[#This Row],[a1]]=1,[1]!T_AA[[#This Row],[IN'']]*[1]!T_AA[[#This Row],[Qde'']],"")</f>
        <v/>
      </c>
      <c r="AK461" s="132" t="str">
        <f>IF(Tab.o1[[#This Row],[a1]]=1,IF(AK$1=1,Tab.o1[[#This Row],[MED]]+Tab.o1[[#This Row],[MOD]]-Tab.o1[[#This Row],[MED]],""),"")</f>
        <v/>
      </c>
      <c r="AL461" s="133" t="str">
        <f>IF(Tab.o1[[#This Row],[a1]]=1,[1]!T.in.A[[#This Row],[oo16]],"")</f>
        <v/>
      </c>
      <c r="AM461" s="133" t="str">
        <f>IF(Tab.o1[[#This Row],[a1]]=1,IF(AM$3=1,[1]!T.in.A[[#This Row],[Σo16]],""),"")</f>
        <v/>
      </c>
      <c r="AN461" s="126" t="str">
        <f>IF(Tab.o1[[#This Row],[a1]]=1,[1]!T.in.A[[#This Row],[Σp5]],"")</f>
        <v/>
      </c>
      <c r="AO461" s="126" t="str">
        <f>IF(Tab.o1[[#This Row],[a1]]=1,IF(AO$3=1,[1]!T.in.A[[#This Row],[Σp5]],""),"")</f>
        <v/>
      </c>
      <c r="AP461" s="110" t="str">
        <f>IF(Tab.o1[[#This Row],[a1]]=1,IF(ISNUMBER(Tab.o1[[#This Row],[i.]]),NORMDIST(Tab.o1[[#This Row],[Za]],0,1,FALSE)*Tab.o1[[#This Row],[i.]],0),"")</f>
        <v/>
      </c>
      <c r="AQ461" s="125" t="str">
        <f>IF(Tab.o1[[#This Row],[a1]]=1,ABS(Tab.o1[[#This Row],[MOD]]-AVERAGE(Tab.o1[MOD])),"")</f>
        <v/>
      </c>
      <c r="AR461" s="134" t="str">
        <f>IF(Tab.o1[[#This Row],[a1]]=1,Tab.o1[[#This Row],[OBS]]/SUM(Tab.o1[OBS]),"")</f>
        <v/>
      </c>
      <c r="AS461" s="135" t="str">
        <f>IF(ISNUMBER(Tab.o1[[#This Row],[a1]]),ROW()-4,"")</f>
        <v/>
      </c>
      <c r="AT461" s="136" t="str">
        <f>Tab.o1[[#This Row],[MOD]]</f>
        <v/>
      </c>
      <c r="AU461" s="137" t="str">
        <f t="shared" si="29"/>
        <v/>
      </c>
      <c r="AV461" s="138" t="str">
        <f t="shared" si="30"/>
        <v/>
      </c>
      <c r="AW461" s="138" t="str">
        <f t="shared" si="31"/>
        <v/>
      </c>
      <c r="AX461" s="139" t="str">
        <f>[1]!T.in.A[[#This Row],[ID_T_manu]]</f>
        <v/>
      </c>
      <c r="AY461" s="140" t="str">
        <f>IF(ISNUMBER(Tab.o1[[#This Row],[a1]]),IF(AND(Tab.o1[[#This Row],[a1]]=1,Tab.o1[[#This Row],[b1]]&lt;=AY$4),#REF!,AY460),"")</f>
        <v/>
      </c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</row>
    <row r="462" spans="1:79" ht="15.75" hidden="1">
      <c r="A462" s="109">
        <v>2.0000000000000003E-6</v>
      </c>
      <c r="B462" s="110">
        <f t="shared" si="28"/>
        <v>462</v>
      </c>
      <c r="C462" s="111" t="str">
        <f>IF(C$1=[1]!T.in.A[[#This Row],[oo2]],1,"")</f>
        <v/>
      </c>
      <c r="D462" s="112" t="str">
        <f>IF(Tab.o1[[#This Row],[a1]]=1,IF(SUM(C462:C463)=0,0,IF(SUM(C461:C462)=1,1,IF(SUM(C461:C463)&gt;1,D461+1,0))),"")</f>
        <v/>
      </c>
      <c r="E462" s="113" t="str">
        <f>IF(Tab.o1[[#This Row],[a1]]=1,[1]!T.in.A[[#This Row],[oo1]],"")</f>
        <v/>
      </c>
      <c r="F462" s="113" t="str">
        <f>IF(Tab.o1[[#This Row],[a1]]=1,[1]!T.in.A[[#This Row],[pp1]],"")</f>
        <v/>
      </c>
      <c r="G462" s="114" t="str">
        <f>IF(Tab.o1[[#This Row],[a1]]=1,G$2+IF(G$1=1,0,Tab.o1[[#This Row],[.x1]])+[1]!T.in.A[[#This Row],[oo3]],"")</f>
        <v/>
      </c>
      <c r="H462" s="115" t="str">
        <f>IF(Tab.o1[[#This Row],[a1]]=1,IF(H$2=0,0,IF(G$1=1,0,Tab.o1[[#This Row],[.x1]])+[1]!T.in.A[[#This Row],[oo4]]),"")</f>
        <v/>
      </c>
      <c r="I462" s="116" t="str">
        <f>IF(Tab.o1[[#This Row],[a1]]=1,IF(J$2=0,Tab.o1[[#This Row],[MED]],Tab.o1[[#This Row],[MOD]]),"")</f>
        <v/>
      </c>
      <c r="J462" s="116" t="str">
        <f>IF(Tab.o1[[#This Row],[a1]]=1,((Tab.o1[[#This Row],[DIF_Target.]]-AVERAGE(Tab.o1[DIF_Target.]))/_xlfn.STDEV.P(Tab.o1[DIF_Target.])),"")</f>
        <v/>
      </c>
      <c r="K462" s="117" t="str">
        <f>IF(Tab.o1[[#This Row],[a1]]=1,IF(J$2=0,Tab.o1[[#This Row],[MOD]]-Tab.o1[[#This Row],[B]],IF(J$2=1,0,-Tab.o1[[#This Row],[MED]])+Tab.o1[[#This Row],[B]]),"")</f>
        <v/>
      </c>
      <c r="L462" s="117" t="str">
        <f ca="1">IF(Tab.o1[[#This Row],[DIF_Target]]=0,IF(L$2=0,Tab.o1[[#This Row],[DIF_Target]],AVERAGE(OFFSET(Tab.o1[[#This Row],[DIF_Target]],1,0,L$3,1)))/3,Tab.o1[[#This Row],[DIF_Target]])</f>
        <v/>
      </c>
      <c r="M462" s="118" t="str">
        <f>IF(Tab.o1[[#This Row],[a1]]=1,NORMSDIST(Tab.o1[[#This Row],[Za]]),"")</f>
        <v/>
      </c>
      <c r="N462" s="119" t="str">
        <f>IF(Tab.o1[[#This Row],[a1]]=1,((Tab.o1[[#This Row],[MedMod]]-AVERAGE(Tab.o1[MedMod]))/_xlfn.STDEV.P(Tab.o1[MedMod])*H$1205)+G$1205,"")</f>
        <v/>
      </c>
      <c r="O462" s="141" t="str">
        <f>IF(Tab.o1[[#This Row],[a1]]=1,Tab.o1[[#This Row],[Zb]]*_xlfn.STDEV.P(Tab.o1[MedMod])+AVERAGE(Tab.o1[MedMod]),"")</f>
        <v/>
      </c>
      <c r="P462" s="117" t="str">
        <f ca="1">IF(Tab.o1[[#This Row],[B]]=0,AVERAGE(OFFSET(Tab.o1[[#This Row],[B]],1,0,L$3,1)),Tab.o1[[#This Row],[B]])</f>
        <v/>
      </c>
      <c r="Q462" s="121" t="str">
        <f>IF(Tab.o1[[#This Row],[a1]]=1,NORMSDIST(Tab.o1[[#This Row],[Zb]]),"")</f>
        <v/>
      </c>
      <c r="R462" s="122" t="str">
        <f>IF(Tab.o1[[#This Row],[a1]]=1,((Tab.o1[[#This Row],[MedMod]]-AVERAGE(Tab.o1[MedMod]))/_xlfn.STDEV.P(Tab.o1[MedMod])*H$1203)+G$1203,"")</f>
        <v/>
      </c>
      <c r="S462" s="122" t="str">
        <f>IF(Tab.o1[[#This Row],[a1]]=1,((Tab.o1[[#This Row],[MedMod]]-AVERAGE(Tab.o1[MedMod]))/_xlfn.STDEV.P(Tab.o1[MedMod])*H$1204)+G$1204,"")</f>
        <v/>
      </c>
      <c r="T462" s="123" t="str">
        <f>IF(Tab.o1[[#This Row],[a1]]=1,Tab.o1[[#This Row],[Z-]]*_xlfn.STDEV.P(Tab.o1[B])+AVERAGE(Tab.o1[B]),"")</f>
        <v/>
      </c>
      <c r="U462" s="123" t="str">
        <f>IF(Tab.o1[[#This Row],[a1]]=1,Tab.o1[[#This Row],[z+]]*_xlfn.STDEV.P(Tab.o1[B])+AVERAGE(Tab.o1[B]),"")</f>
        <v/>
      </c>
      <c r="V462" s="124" t="str">
        <f>IF(Tab.o1[[#This Row],[a1]]=1,ABS((ABS(Tab.o1[[#This Row],[Red]]-Tab.o1[[#This Row],[Blue]]))),"")</f>
        <v/>
      </c>
      <c r="W462" s="125" t="str">
        <f>IF(Tab.o1[[#This Row],[a1]]=1,IF(W$3=0,1,Tab.o1[[#This Row],[Amp.]]*1/_xlfn.MINIFS(Tab.o1[Amp.],Tab.o1[Amp.],"&lt;&gt;0")),"")</f>
        <v/>
      </c>
      <c r="X462" s="126" t="str">
        <f>IF(Tab.o1[[#This Row],[a1]]=1,IF(ISNUMBER(Tab.o1[[#This Row],[i.]]),NORMDIST(Tab.o1[[#This Row],[Za]],0,1,FALSE)*Tab.o1[[#This Row],[i.]],AP$3),"")</f>
        <v/>
      </c>
      <c r="Y462" s="126" t="str">
        <f>IF(Tab.o1[[#This Row],[a1]]=1,0.01+0.94*Tab.o1[[#This Row],[PDF]]/MAX(Tab.o1[PDF]),"")</f>
        <v/>
      </c>
      <c r="Z462" s="126" t="str">
        <f>IF(Tab.o1[[#This Row],[a1]]=1,0.01+0.94*Tab.o1[[#This Row],[W1_PDF]]/MAX(Tab.o1[W1_PDF]),"")</f>
        <v/>
      </c>
      <c r="AA462" s="118" t="str">
        <f>IF(Tab.o1[[#This Row],[a1]]=1,ABS([1]!T.in.A[[#This Row],[oo6]]),"")</f>
        <v/>
      </c>
      <c r="AB462" s="127" t="str">
        <f>IF(Tab.o1[[#This Row],[a1]]=1,IF(AE$3=0,"",IF(AB$3=0,ABS([1]!T.in.A[[#This Row],[oo9]]),ABS(Tab.o1[[#This Row],[DIF_Target.]]*Tab.o1[[#This Row],[W1_PDF]]))),"")</f>
        <v/>
      </c>
      <c r="AC462" s="127" t="str">
        <f>IF(G$1=1,"",IF(Tab.o1[[#This Row],[a1]]=1,Tab.o1[[#This Row],[Wr]]^2,""))</f>
        <v/>
      </c>
      <c r="AD462" s="118" t="str">
        <f>IF(Tab.o1[[#This Row],[a1]]=1,IF(AE$3=0,"",Tab.o1[[#This Row],[Wr2]]/SUM(Tab.o1[Wr2])),"")</f>
        <v/>
      </c>
      <c r="AE462" s="128" t="str">
        <f>IF(Tab.o1[[#This Row],[a1]]=1,[1]!T.in.A[[#This Row],[oo10]],"")</f>
        <v/>
      </c>
      <c r="AF462" s="118" t="str">
        <f>IF(Tab.o1[[#This Row],[a1]]=1,ABS(Tab.o1[[#This Row],[DIF_Target.]]*Tab.o1[[#This Row],[PDF2]]*Tab.o1[[#This Row],[IN]]),"")</f>
        <v/>
      </c>
      <c r="AG462" s="129" t="str">
        <f>IF(Tab.o1[[#This Row],[a1]]=1,Tab.o1[[#This Row],[rW]]^2,"")</f>
        <v/>
      </c>
      <c r="AH462" s="130" t="str">
        <f>IF(Tab.o1[[#This Row],[a1]]=1,IF(AH$3=0,Tab.o1[[#This Row],[rW2]],0.01+0.94*Tab.o1[[#This Row],[rW2]]/SUM(Tab.o1[rW2])),"")</f>
        <v/>
      </c>
      <c r="AI462" s="128" t="str">
        <f>IF(Tab.o1[[#This Row],[a1]]=1,1/Tab.o1[[#This Row],[PDF]],"")</f>
        <v/>
      </c>
      <c r="AJ462" s="131" t="str">
        <f>IF(Tab.o1[[#This Row],[a1]]=1,[1]!T_AA[[#This Row],[IN'']]*[1]!T_AA[[#This Row],[Qde'']],"")</f>
        <v/>
      </c>
      <c r="AK462" s="132" t="str">
        <f>IF(Tab.o1[[#This Row],[a1]]=1,IF(AK$1=1,Tab.o1[[#This Row],[MED]]+Tab.o1[[#This Row],[MOD]]-Tab.o1[[#This Row],[MED]],""),"")</f>
        <v/>
      </c>
      <c r="AL462" s="133" t="str">
        <f>IF(Tab.o1[[#This Row],[a1]]=1,[1]!T.in.A[[#This Row],[oo16]],"")</f>
        <v/>
      </c>
      <c r="AM462" s="133" t="str">
        <f>IF(Tab.o1[[#This Row],[a1]]=1,IF(AM$3=1,[1]!T.in.A[[#This Row],[Σo16]],""),"")</f>
        <v/>
      </c>
      <c r="AN462" s="126" t="str">
        <f>IF(Tab.o1[[#This Row],[a1]]=1,[1]!T.in.A[[#This Row],[Σp5]],"")</f>
        <v/>
      </c>
      <c r="AO462" s="126" t="str">
        <f>IF(Tab.o1[[#This Row],[a1]]=1,IF(AO$3=1,[1]!T.in.A[[#This Row],[Σp5]],""),"")</f>
        <v/>
      </c>
      <c r="AP462" s="110" t="str">
        <f>IF(Tab.o1[[#This Row],[a1]]=1,IF(ISNUMBER(Tab.o1[[#This Row],[i.]]),NORMDIST(Tab.o1[[#This Row],[Za]],0,1,FALSE)*Tab.o1[[#This Row],[i.]],0),"")</f>
        <v/>
      </c>
      <c r="AQ462" s="125" t="str">
        <f>IF(Tab.o1[[#This Row],[a1]]=1,ABS(Tab.o1[[#This Row],[MOD]]-AVERAGE(Tab.o1[MOD])),"")</f>
        <v/>
      </c>
      <c r="AR462" s="134" t="str">
        <f>IF(Tab.o1[[#This Row],[a1]]=1,Tab.o1[[#This Row],[OBS]]/SUM(Tab.o1[OBS]),"")</f>
        <v/>
      </c>
      <c r="AS462" s="135" t="str">
        <f>IF(ISNUMBER(Tab.o1[[#This Row],[a1]]),ROW()-4,"")</f>
        <v/>
      </c>
      <c r="AT462" s="136" t="str">
        <f>Tab.o1[[#This Row],[MOD]]</f>
        <v/>
      </c>
      <c r="AU462" s="137" t="str">
        <f t="shared" si="29"/>
        <v/>
      </c>
      <c r="AV462" s="138" t="str">
        <f t="shared" si="30"/>
        <v/>
      </c>
      <c r="AW462" s="138" t="str">
        <f t="shared" si="31"/>
        <v/>
      </c>
      <c r="AX462" s="139" t="str">
        <f>[1]!T.in.A[[#This Row],[ID_T_manu]]</f>
        <v/>
      </c>
      <c r="AY462" s="140" t="str">
        <f>IF(ISNUMBER(Tab.o1[[#This Row],[a1]]),IF(AND(Tab.o1[[#This Row],[a1]]=1,Tab.o1[[#This Row],[b1]]&lt;=AY$4),#REF!,AY461),"")</f>
        <v/>
      </c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</row>
    <row r="463" spans="1:79" ht="15.75" hidden="1">
      <c r="A463" s="109">
        <v>-6.9999999999999999E-6</v>
      </c>
      <c r="B463" s="110">
        <f t="shared" si="28"/>
        <v>463</v>
      </c>
      <c r="C463" s="111" t="str">
        <f>IF(C$1=[1]!T.in.A[[#This Row],[oo2]],1,"")</f>
        <v/>
      </c>
      <c r="D463" s="112" t="str">
        <f>IF(Tab.o1[[#This Row],[a1]]=1,IF(SUM(C463:C464)=0,0,IF(SUM(C462:C463)=1,1,IF(SUM(C462:C464)&gt;1,D462+1,0))),"")</f>
        <v/>
      </c>
      <c r="E463" s="113" t="str">
        <f>IF(Tab.o1[[#This Row],[a1]]=1,[1]!T.in.A[[#This Row],[oo1]],"")</f>
        <v/>
      </c>
      <c r="F463" s="113" t="str">
        <f>IF(Tab.o1[[#This Row],[a1]]=1,[1]!T.in.A[[#This Row],[pp1]],"")</f>
        <v/>
      </c>
      <c r="G463" s="114" t="str">
        <f>IF(Tab.o1[[#This Row],[a1]]=1,G$2+IF(G$1=1,0,Tab.o1[[#This Row],[.x1]])+[1]!T.in.A[[#This Row],[oo3]],"")</f>
        <v/>
      </c>
      <c r="H463" s="115" t="str">
        <f>IF(Tab.o1[[#This Row],[a1]]=1,IF(H$2=0,0,IF(G$1=1,0,Tab.o1[[#This Row],[.x1]])+[1]!T.in.A[[#This Row],[oo4]]),"")</f>
        <v/>
      </c>
      <c r="I463" s="116" t="str">
        <f>IF(Tab.o1[[#This Row],[a1]]=1,IF(J$2=0,Tab.o1[[#This Row],[MED]],Tab.o1[[#This Row],[MOD]]),"")</f>
        <v/>
      </c>
      <c r="J463" s="116" t="str">
        <f>IF(Tab.o1[[#This Row],[a1]]=1,((Tab.o1[[#This Row],[DIF_Target.]]-AVERAGE(Tab.o1[DIF_Target.]))/_xlfn.STDEV.P(Tab.o1[DIF_Target.])),"")</f>
        <v/>
      </c>
      <c r="K463" s="117" t="str">
        <f>IF(Tab.o1[[#This Row],[a1]]=1,IF(J$2=0,Tab.o1[[#This Row],[MOD]]-Tab.o1[[#This Row],[B]],IF(J$2=1,0,-Tab.o1[[#This Row],[MED]])+Tab.o1[[#This Row],[B]]),"")</f>
        <v/>
      </c>
      <c r="L463" s="117" t="str">
        <f ca="1">IF(Tab.o1[[#This Row],[DIF_Target]]=0,IF(L$2=0,Tab.o1[[#This Row],[DIF_Target]],AVERAGE(OFFSET(Tab.o1[[#This Row],[DIF_Target]],1,0,L$3,1)))/3,Tab.o1[[#This Row],[DIF_Target]])</f>
        <v/>
      </c>
      <c r="M463" s="118" t="str">
        <f>IF(Tab.o1[[#This Row],[a1]]=1,NORMSDIST(Tab.o1[[#This Row],[Za]]),"")</f>
        <v/>
      </c>
      <c r="N463" s="119" t="str">
        <f>IF(Tab.o1[[#This Row],[a1]]=1,((Tab.o1[[#This Row],[MedMod]]-AVERAGE(Tab.o1[MedMod]))/_xlfn.STDEV.P(Tab.o1[MedMod])*H$1205)+G$1205,"")</f>
        <v/>
      </c>
      <c r="O463" s="141" t="str">
        <f>IF(Tab.o1[[#This Row],[a1]]=1,Tab.o1[[#This Row],[Zb]]*_xlfn.STDEV.P(Tab.o1[MedMod])+AVERAGE(Tab.o1[MedMod]),"")</f>
        <v/>
      </c>
      <c r="P463" s="117" t="str">
        <f ca="1">IF(Tab.o1[[#This Row],[B]]=0,AVERAGE(OFFSET(Tab.o1[[#This Row],[B]],1,0,L$3,1)),Tab.o1[[#This Row],[B]])</f>
        <v/>
      </c>
      <c r="Q463" s="121" t="str">
        <f>IF(Tab.o1[[#This Row],[a1]]=1,NORMSDIST(Tab.o1[[#This Row],[Zb]]),"")</f>
        <v/>
      </c>
      <c r="R463" s="122" t="str">
        <f>IF(Tab.o1[[#This Row],[a1]]=1,((Tab.o1[[#This Row],[MedMod]]-AVERAGE(Tab.o1[MedMod]))/_xlfn.STDEV.P(Tab.o1[MedMod])*H$1203)+G$1203,"")</f>
        <v/>
      </c>
      <c r="S463" s="122" t="str">
        <f>IF(Tab.o1[[#This Row],[a1]]=1,((Tab.o1[[#This Row],[MedMod]]-AVERAGE(Tab.o1[MedMod]))/_xlfn.STDEV.P(Tab.o1[MedMod])*H$1204)+G$1204,"")</f>
        <v/>
      </c>
      <c r="T463" s="123" t="str">
        <f>IF(Tab.o1[[#This Row],[a1]]=1,Tab.o1[[#This Row],[Z-]]*_xlfn.STDEV.P(Tab.o1[B])+AVERAGE(Tab.o1[B]),"")</f>
        <v/>
      </c>
      <c r="U463" s="123" t="str">
        <f>IF(Tab.o1[[#This Row],[a1]]=1,Tab.o1[[#This Row],[z+]]*_xlfn.STDEV.P(Tab.o1[B])+AVERAGE(Tab.o1[B]),"")</f>
        <v/>
      </c>
      <c r="V463" s="124" t="str">
        <f>IF(Tab.o1[[#This Row],[a1]]=1,ABS((ABS(Tab.o1[[#This Row],[Red]]-Tab.o1[[#This Row],[Blue]]))),"")</f>
        <v/>
      </c>
      <c r="W463" s="125" t="str">
        <f>IF(Tab.o1[[#This Row],[a1]]=1,IF(W$3=0,1,Tab.o1[[#This Row],[Amp.]]*1/_xlfn.MINIFS(Tab.o1[Amp.],Tab.o1[Amp.],"&lt;&gt;0")),"")</f>
        <v/>
      </c>
      <c r="X463" s="126" t="str">
        <f>IF(Tab.o1[[#This Row],[a1]]=1,IF(ISNUMBER(Tab.o1[[#This Row],[i.]]),NORMDIST(Tab.o1[[#This Row],[Za]],0,1,FALSE)*Tab.o1[[#This Row],[i.]],AP$3),"")</f>
        <v/>
      </c>
      <c r="Y463" s="126" t="str">
        <f>IF(Tab.o1[[#This Row],[a1]]=1,0.01+0.94*Tab.o1[[#This Row],[PDF]]/MAX(Tab.o1[PDF]),"")</f>
        <v/>
      </c>
      <c r="Z463" s="126" t="str">
        <f>IF(Tab.o1[[#This Row],[a1]]=1,0.01+0.94*Tab.o1[[#This Row],[W1_PDF]]/MAX(Tab.o1[W1_PDF]),"")</f>
        <v/>
      </c>
      <c r="AA463" s="118" t="str">
        <f>IF(Tab.o1[[#This Row],[a1]]=1,ABS([1]!T.in.A[[#This Row],[oo6]]),"")</f>
        <v/>
      </c>
      <c r="AB463" s="127" t="str">
        <f>IF(Tab.o1[[#This Row],[a1]]=1,IF(AE$3=0,"",IF(AB$3=0,ABS([1]!T.in.A[[#This Row],[oo9]]),ABS(Tab.o1[[#This Row],[DIF_Target.]]*Tab.o1[[#This Row],[W1_PDF]]))),"")</f>
        <v/>
      </c>
      <c r="AC463" s="127" t="str">
        <f>IF(G$1=1,"",IF(Tab.o1[[#This Row],[a1]]=1,Tab.o1[[#This Row],[Wr]]^2,""))</f>
        <v/>
      </c>
      <c r="AD463" s="118" t="str">
        <f>IF(Tab.o1[[#This Row],[a1]]=1,IF(AE$3=0,"",Tab.o1[[#This Row],[Wr2]]/SUM(Tab.o1[Wr2])),"")</f>
        <v/>
      </c>
      <c r="AE463" s="128" t="str">
        <f>IF(Tab.o1[[#This Row],[a1]]=1,[1]!T.in.A[[#This Row],[oo10]],"")</f>
        <v/>
      </c>
      <c r="AF463" s="118" t="str">
        <f>IF(Tab.o1[[#This Row],[a1]]=1,ABS(Tab.o1[[#This Row],[DIF_Target.]]*Tab.o1[[#This Row],[PDF2]]*Tab.o1[[#This Row],[IN]]),"")</f>
        <v/>
      </c>
      <c r="AG463" s="129" t="str">
        <f>IF(Tab.o1[[#This Row],[a1]]=1,Tab.o1[[#This Row],[rW]]^2,"")</f>
        <v/>
      </c>
      <c r="AH463" s="130" t="str">
        <f>IF(Tab.o1[[#This Row],[a1]]=1,IF(AH$3=0,Tab.o1[[#This Row],[rW2]],0.01+0.94*Tab.o1[[#This Row],[rW2]]/SUM(Tab.o1[rW2])),"")</f>
        <v/>
      </c>
      <c r="AI463" s="128" t="str">
        <f>IF(Tab.o1[[#This Row],[a1]]=1,1/Tab.o1[[#This Row],[PDF]],"")</f>
        <v/>
      </c>
      <c r="AJ463" s="131" t="str">
        <f>IF(Tab.o1[[#This Row],[a1]]=1,[1]!T_AA[[#This Row],[IN'']]*[1]!T_AA[[#This Row],[Qde'']],"")</f>
        <v/>
      </c>
      <c r="AK463" s="132" t="str">
        <f>IF(Tab.o1[[#This Row],[a1]]=1,IF(AK$1=1,Tab.o1[[#This Row],[MED]]+Tab.o1[[#This Row],[MOD]]-Tab.o1[[#This Row],[MED]],""),"")</f>
        <v/>
      </c>
      <c r="AL463" s="133" t="str">
        <f>IF(Tab.o1[[#This Row],[a1]]=1,[1]!T.in.A[[#This Row],[oo16]],"")</f>
        <v/>
      </c>
      <c r="AM463" s="133" t="str">
        <f>IF(Tab.o1[[#This Row],[a1]]=1,IF(AM$3=1,[1]!T.in.A[[#This Row],[Σo16]],""),"")</f>
        <v/>
      </c>
      <c r="AN463" s="126" t="str">
        <f>IF(Tab.o1[[#This Row],[a1]]=1,[1]!T.in.A[[#This Row],[Σp5]],"")</f>
        <v/>
      </c>
      <c r="AO463" s="126" t="str">
        <f>IF(Tab.o1[[#This Row],[a1]]=1,IF(AO$3=1,[1]!T.in.A[[#This Row],[Σp5]],""),"")</f>
        <v/>
      </c>
      <c r="AP463" s="110" t="str">
        <f>IF(Tab.o1[[#This Row],[a1]]=1,IF(ISNUMBER(Tab.o1[[#This Row],[i.]]),NORMDIST(Tab.o1[[#This Row],[Za]],0,1,FALSE)*Tab.o1[[#This Row],[i.]],0),"")</f>
        <v/>
      </c>
      <c r="AQ463" s="125" t="str">
        <f>IF(Tab.o1[[#This Row],[a1]]=1,ABS(Tab.o1[[#This Row],[MOD]]-AVERAGE(Tab.o1[MOD])),"")</f>
        <v/>
      </c>
      <c r="AR463" s="134" t="str">
        <f>IF(Tab.o1[[#This Row],[a1]]=1,Tab.o1[[#This Row],[OBS]]/SUM(Tab.o1[OBS]),"")</f>
        <v/>
      </c>
      <c r="AS463" s="135" t="str">
        <f>IF(ISNUMBER(Tab.o1[[#This Row],[a1]]),ROW()-4,"")</f>
        <v/>
      </c>
      <c r="AT463" s="136" t="str">
        <f>Tab.o1[[#This Row],[MOD]]</f>
        <v/>
      </c>
      <c r="AU463" s="137" t="str">
        <f t="shared" si="29"/>
        <v/>
      </c>
      <c r="AV463" s="138" t="str">
        <f t="shared" si="30"/>
        <v/>
      </c>
      <c r="AW463" s="138" t="str">
        <f t="shared" si="31"/>
        <v/>
      </c>
      <c r="AX463" s="139" t="str">
        <f>[1]!T.in.A[[#This Row],[ID_T_manu]]</f>
        <v/>
      </c>
      <c r="AY463" s="140" t="str">
        <f>IF(ISNUMBER(Tab.o1[[#This Row],[a1]]),IF(AND(Tab.o1[[#This Row],[a1]]=1,Tab.o1[[#This Row],[b1]]&lt;=AY$4),#REF!,AY462),"")</f>
        <v/>
      </c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</row>
    <row r="464" spans="1:79" ht="15.75" hidden="1">
      <c r="A464" s="109">
        <v>-6.9999999999999999E-6</v>
      </c>
      <c r="B464" s="110">
        <f t="shared" si="28"/>
        <v>464</v>
      </c>
      <c r="C464" s="111" t="str">
        <f>IF(C$1=[1]!T.in.A[[#This Row],[oo2]],1,"")</f>
        <v/>
      </c>
      <c r="D464" s="112" t="str">
        <f>IF(Tab.o1[[#This Row],[a1]]=1,IF(SUM(C464:C465)=0,0,IF(SUM(C463:C464)=1,1,IF(SUM(C463:C465)&gt;1,D463+1,0))),"")</f>
        <v/>
      </c>
      <c r="E464" s="113" t="str">
        <f>IF(Tab.o1[[#This Row],[a1]]=1,[1]!T.in.A[[#This Row],[oo1]],"")</f>
        <v/>
      </c>
      <c r="F464" s="113" t="str">
        <f>IF(Tab.o1[[#This Row],[a1]]=1,[1]!T.in.A[[#This Row],[pp1]],"")</f>
        <v/>
      </c>
      <c r="G464" s="114" t="str">
        <f>IF(Tab.o1[[#This Row],[a1]]=1,G$2+IF(G$1=1,0,Tab.o1[[#This Row],[.x1]])+[1]!T.in.A[[#This Row],[oo3]],"")</f>
        <v/>
      </c>
      <c r="H464" s="115" t="str">
        <f>IF(Tab.o1[[#This Row],[a1]]=1,IF(H$2=0,0,IF(G$1=1,0,Tab.o1[[#This Row],[.x1]])+[1]!T.in.A[[#This Row],[oo4]]),"")</f>
        <v/>
      </c>
      <c r="I464" s="116" t="str">
        <f>IF(Tab.o1[[#This Row],[a1]]=1,IF(J$2=0,Tab.o1[[#This Row],[MED]],Tab.o1[[#This Row],[MOD]]),"")</f>
        <v/>
      </c>
      <c r="J464" s="116" t="str">
        <f>IF(Tab.o1[[#This Row],[a1]]=1,((Tab.o1[[#This Row],[DIF_Target.]]-AVERAGE(Tab.o1[DIF_Target.]))/_xlfn.STDEV.P(Tab.o1[DIF_Target.])),"")</f>
        <v/>
      </c>
      <c r="K464" s="117" t="str">
        <f>IF(Tab.o1[[#This Row],[a1]]=1,IF(J$2=0,Tab.o1[[#This Row],[MOD]]-Tab.o1[[#This Row],[B]],IF(J$2=1,0,-Tab.o1[[#This Row],[MED]])+Tab.o1[[#This Row],[B]]),"")</f>
        <v/>
      </c>
      <c r="L464" s="117" t="str">
        <f ca="1">IF(Tab.o1[[#This Row],[DIF_Target]]=0,IF(L$2=0,Tab.o1[[#This Row],[DIF_Target]],AVERAGE(OFFSET(Tab.o1[[#This Row],[DIF_Target]],1,0,L$3,1)))/3,Tab.o1[[#This Row],[DIF_Target]])</f>
        <v/>
      </c>
      <c r="M464" s="118" t="str">
        <f>IF(Tab.o1[[#This Row],[a1]]=1,NORMSDIST(Tab.o1[[#This Row],[Za]]),"")</f>
        <v/>
      </c>
      <c r="N464" s="119" t="str">
        <f>IF(Tab.o1[[#This Row],[a1]]=1,((Tab.o1[[#This Row],[MedMod]]-AVERAGE(Tab.o1[MedMod]))/_xlfn.STDEV.P(Tab.o1[MedMod])*H$1205)+G$1205,"")</f>
        <v/>
      </c>
      <c r="O464" s="141" t="str">
        <f>IF(Tab.o1[[#This Row],[a1]]=1,Tab.o1[[#This Row],[Zb]]*_xlfn.STDEV.P(Tab.o1[MedMod])+AVERAGE(Tab.o1[MedMod]),"")</f>
        <v/>
      </c>
      <c r="P464" s="117" t="str">
        <f ca="1">IF(Tab.o1[[#This Row],[B]]=0,AVERAGE(OFFSET(Tab.o1[[#This Row],[B]],1,0,L$3,1)),Tab.o1[[#This Row],[B]])</f>
        <v/>
      </c>
      <c r="Q464" s="121" t="str">
        <f>IF(Tab.o1[[#This Row],[a1]]=1,NORMSDIST(Tab.o1[[#This Row],[Zb]]),"")</f>
        <v/>
      </c>
      <c r="R464" s="122" t="str">
        <f>IF(Tab.o1[[#This Row],[a1]]=1,((Tab.o1[[#This Row],[MedMod]]-AVERAGE(Tab.o1[MedMod]))/_xlfn.STDEV.P(Tab.o1[MedMod])*H$1203)+G$1203,"")</f>
        <v/>
      </c>
      <c r="S464" s="122" t="str">
        <f>IF(Tab.o1[[#This Row],[a1]]=1,((Tab.o1[[#This Row],[MedMod]]-AVERAGE(Tab.o1[MedMod]))/_xlfn.STDEV.P(Tab.o1[MedMod])*H$1204)+G$1204,"")</f>
        <v/>
      </c>
      <c r="T464" s="123" t="str">
        <f>IF(Tab.o1[[#This Row],[a1]]=1,Tab.o1[[#This Row],[Z-]]*_xlfn.STDEV.P(Tab.o1[B])+AVERAGE(Tab.o1[B]),"")</f>
        <v/>
      </c>
      <c r="U464" s="123" t="str">
        <f>IF(Tab.o1[[#This Row],[a1]]=1,Tab.o1[[#This Row],[z+]]*_xlfn.STDEV.P(Tab.o1[B])+AVERAGE(Tab.o1[B]),"")</f>
        <v/>
      </c>
      <c r="V464" s="124" t="str">
        <f>IF(Tab.o1[[#This Row],[a1]]=1,ABS((ABS(Tab.o1[[#This Row],[Red]]-Tab.o1[[#This Row],[Blue]]))),"")</f>
        <v/>
      </c>
      <c r="W464" s="125" t="str">
        <f>IF(Tab.o1[[#This Row],[a1]]=1,IF(W$3=0,1,Tab.o1[[#This Row],[Amp.]]*1/_xlfn.MINIFS(Tab.o1[Amp.],Tab.o1[Amp.],"&lt;&gt;0")),"")</f>
        <v/>
      </c>
      <c r="X464" s="126" t="str">
        <f>IF(Tab.o1[[#This Row],[a1]]=1,IF(ISNUMBER(Tab.o1[[#This Row],[i.]]),NORMDIST(Tab.o1[[#This Row],[Za]],0,1,FALSE)*Tab.o1[[#This Row],[i.]],AP$3),"")</f>
        <v/>
      </c>
      <c r="Y464" s="126" t="str">
        <f>IF(Tab.o1[[#This Row],[a1]]=1,0.01+0.94*Tab.o1[[#This Row],[PDF]]/MAX(Tab.o1[PDF]),"")</f>
        <v/>
      </c>
      <c r="Z464" s="126" t="str">
        <f>IF(Tab.o1[[#This Row],[a1]]=1,0.01+0.94*Tab.o1[[#This Row],[W1_PDF]]/MAX(Tab.o1[W1_PDF]),"")</f>
        <v/>
      </c>
      <c r="AA464" s="118" t="str">
        <f>IF(Tab.o1[[#This Row],[a1]]=1,ABS([1]!T.in.A[[#This Row],[oo6]]),"")</f>
        <v/>
      </c>
      <c r="AB464" s="127" t="str">
        <f>IF(Tab.o1[[#This Row],[a1]]=1,IF(AE$3=0,"",IF(AB$3=0,ABS([1]!T.in.A[[#This Row],[oo9]]),ABS(Tab.o1[[#This Row],[DIF_Target.]]*Tab.o1[[#This Row],[W1_PDF]]))),"")</f>
        <v/>
      </c>
      <c r="AC464" s="127" t="str">
        <f>IF(G$1=1,"",IF(Tab.o1[[#This Row],[a1]]=1,Tab.o1[[#This Row],[Wr]]^2,""))</f>
        <v/>
      </c>
      <c r="AD464" s="118" t="str">
        <f>IF(Tab.o1[[#This Row],[a1]]=1,IF(AE$3=0,"",Tab.o1[[#This Row],[Wr2]]/SUM(Tab.o1[Wr2])),"")</f>
        <v/>
      </c>
      <c r="AE464" s="128" t="str">
        <f>IF(Tab.o1[[#This Row],[a1]]=1,[1]!T.in.A[[#This Row],[oo10]],"")</f>
        <v/>
      </c>
      <c r="AF464" s="118" t="str">
        <f>IF(Tab.o1[[#This Row],[a1]]=1,ABS(Tab.o1[[#This Row],[DIF_Target.]]*Tab.o1[[#This Row],[PDF2]]*Tab.o1[[#This Row],[IN]]),"")</f>
        <v/>
      </c>
      <c r="AG464" s="129" t="str">
        <f>IF(Tab.o1[[#This Row],[a1]]=1,Tab.o1[[#This Row],[rW]]^2,"")</f>
        <v/>
      </c>
      <c r="AH464" s="130" t="str">
        <f>IF(Tab.o1[[#This Row],[a1]]=1,IF(AH$3=0,Tab.o1[[#This Row],[rW2]],0.01+0.94*Tab.o1[[#This Row],[rW2]]/SUM(Tab.o1[rW2])),"")</f>
        <v/>
      </c>
      <c r="AI464" s="128" t="str">
        <f>IF(Tab.o1[[#This Row],[a1]]=1,1/Tab.o1[[#This Row],[PDF]],"")</f>
        <v/>
      </c>
      <c r="AJ464" s="131" t="str">
        <f>IF(Tab.o1[[#This Row],[a1]]=1,[1]!T_AA[[#This Row],[IN'']]*[1]!T_AA[[#This Row],[Qde'']],"")</f>
        <v/>
      </c>
      <c r="AK464" s="132" t="str">
        <f>IF(Tab.o1[[#This Row],[a1]]=1,IF(AK$1=1,Tab.o1[[#This Row],[MED]]+Tab.o1[[#This Row],[MOD]]-Tab.o1[[#This Row],[MED]],""),"")</f>
        <v/>
      </c>
      <c r="AL464" s="133" t="str">
        <f>IF(Tab.o1[[#This Row],[a1]]=1,[1]!T.in.A[[#This Row],[oo16]],"")</f>
        <v/>
      </c>
      <c r="AM464" s="133" t="str">
        <f>IF(Tab.o1[[#This Row],[a1]]=1,IF(AM$3=1,[1]!T.in.A[[#This Row],[Σo16]],""),"")</f>
        <v/>
      </c>
      <c r="AN464" s="126" t="str">
        <f>IF(Tab.o1[[#This Row],[a1]]=1,[1]!T.in.A[[#This Row],[Σp5]],"")</f>
        <v/>
      </c>
      <c r="AO464" s="126" t="str">
        <f>IF(Tab.o1[[#This Row],[a1]]=1,IF(AO$3=1,[1]!T.in.A[[#This Row],[Σp5]],""),"")</f>
        <v/>
      </c>
      <c r="AP464" s="110" t="str">
        <f>IF(Tab.o1[[#This Row],[a1]]=1,IF(ISNUMBER(Tab.o1[[#This Row],[i.]]),NORMDIST(Tab.o1[[#This Row],[Za]],0,1,FALSE)*Tab.o1[[#This Row],[i.]],0),"")</f>
        <v/>
      </c>
      <c r="AQ464" s="125" t="str">
        <f>IF(Tab.o1[[#This Row],[a1]]=1,ABS(Tab.o1[[#This Row],[MOD]]-AVERAGE(Tab.o1[MOD])),"")</f>
        <v/>
      </c>
      <c r="AR464" s="134" t="str">
        <f>IF(Tab.o1[[#This Row],[a1]]=1,Tab.o1[[#This Row],[OBS]]/SUM(Tab.o1[OBS]),"")</f>
        <v/>
      </c>
      <c r="AS464" s="135" t="str">
        <f>IF(ISNUMBER(Tab.o1[[#This Row],[a1]]),ROW()-4,"")</f>
        <v/>
      </c>
      <c r="AT464" s="136" t="str">
        <f>Tab.o1[[#This Row],[MOD]]</f>
        <v/>
      </c>
      <c r="AU464" s="137" t="str">
        <f t="shared" si="29"/>
        <v/>
      </c>
      <c r="AV464" s="138" t="str">
        <f t="shared" si="30"/>
        <v/>
      </c>
      <c r="AW464" s="138" t="str">
        <f t="shared" si="31"/>
        <v/>
      </c>
      <c r="AX464" s="139" t="str">
        <f>[1]!T.in.A[[#This Row],[ID_T_manu]]</f>
        <v/>
      </c>
      <c r="AY464" s="140" t="str">
        <f>IF(ISNUMBER(Tab.o1[[#This Row],[a1]]),IF(AND(Tab.o1[[#This Row],[a1]]=1,Tab.o1[[#This Row],[b1]]&lt;=AY$4),#REF!,AY463),"")</f>
        <v/>
      </c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</row>
    <row r="465" spans="1:79" ht="15.75" hidden="1">
      <c r="A465" s="109">
        <v>-9.0000000000000002E-6</v>
      </c>
      <c r="B465" s="110">
        <f t="shared" si="28"/>
        <v>465</v>
      </c>
      <c r="C465" s="111" t="str">
        <f>IF(C$1=[1]!T.in.A[[#This Row],[oo2]],1,"")</f>
        <v/>
      </c>
      <c r="D465" s="112" t="str">
        <f>IF(Tab.o1[[#This Row],[a1]]=1,IF(SUM(C465:C466)=0,0,IF(SUM(C464:C465)=1,1,IF(SUM(C464:C466)&gt;1,D464+1,0))),"")</f>
        <v/>
      </c>
      <c r="E465" s="113" t="str">
        <f>IF(Tab.o1[[#This Row],[a1]]=1,[1]!T.in.A[[#This Row],[oo1]],"")</f>
        <v/>
      </c>
      <c r="F465" s="113" t="str">
        <f>IF(Tab.o1[[#This Row],[a1]]=1,[1]!T.in.A[[#This Row],[pp1]],"")</f>
        <v/>
      </c>
      <c r="G465" s="114" t="str">
        <f>IF(Tab.o1[[#This Row],[a1]]=1,G$2+IF(G$1=1,0,Tab.o1[[#This Row],[.x1]])+[1]!T.in.A[[#This Row],[oo3]],"")</f>
        <v/>
      </c>
      <c r="H465" s="115" t="str">
        <f>IF(Tab.o1[[#This Row],[a1]]=1,IF(H$2=0,0,IF(G$1=1,0,Tab.o1[[#This Row],[.x1]])+[1]!T.in.A[[#This Row],[oo4]]),"")</f>
        <v/>
      </c>
      <c r="I465" s="116" t="str">
        <f>IF(Tab.o1[[#This Row],[a1]]=1,IF(J$2=0,Tab.o1[[#This Row],[MED]],Tab.o1[[#This Row],[MOD]]),"")</f>
        <v/>
      </c>
      <c r="J465" s="116" t="str">
        <f>IF(Tab.o1[[#This Row],[a1]]=1,((Tab.o1[[#This Row],[DIF_Target.]]-AVERAGE(Tab.o1[DIF_Target.]))/_xlfn.STDEV.P(Tab.o1[DIF_Target.])),"")</f>
        <v/>
      </c>
      <c r="K465" s="117" t="str">
        <f>IF(Tab.o1[[#This Row],[a1]]=1,IF(J$2=0,Tab.o1[[#This Row],[MOD]]-Tab.o1[[#This Row],[B]],IF(J$2=1,0,-Tab.o1[[#This Row],[MED]])+Tab.o1[[#This Row],[B]]),"")</f>
        <v/>
      </c>
      <c r="L465" s="117" t="str">
        <f ca="1">IF(Tab.o1[[#This Row],[DIF_Target]]=0,IF(L$2=0,Tab.o1[[#This Row],[DIF_Target]],AVERAGE(OFFSET(Tab.o1[[#This Row],[DIF_Target]],1,0,L$3,1)))/3,Tab.o1[[#This Row],[DIF_Target]])</f>
        <v/>
      </c>
      <c r="M465" s="118" t="str">
        <f>IF(Tab.o1[[#This Row],[a1]]=1,NORMSDIST(Tab.o1[[#This Row],[Za]]),"")</f>
        <v/>
      </c>
      <c r="N465" s="119" t="str">
        <f>IF(Tab.o1[[#This Row],[a1]]=1,((Tab.o1[[#This Row],[MedMod]]-AVERAGE(Tab.o1[MedMod]))/_xlfn.STDEV.P(Tab.o1[MedMod])*H$1205)+G$1205,"")</f>
        <v/>
      </c>
      <c r="O465" s="141" t="str">
        <f>IF(Tab.o1[[#This Row],[a1]]=1,Tab.o1[[#This Row],[Zb]]*_xlfn.STDEV.P(Tab.o1[MedMod])+AVERAGE(Tab.o1[MedMod]),"")</f>
        <v/>
      </c>
      <c r="P465" s="117" t="str">
        <f ca="1">IF(Tab.o1[[#This Row],[B]]=0,AVERAGE(OFFSET(Tab.o1[[#This Row],[B]],1,0,L$3,1)),Tab.o1[[#This Row],[B]])</f>
        <v/>
      </c>
      <c r="Q465" s="121" t="str">
        <f>IF(Tab.o1[[#This Row],[a1]]=1,NORMSDIST(Tab.o1[[#This Row],[Zb]]),"")</f>
        <v/>
      </c>
      <c r="R465" s="122" t="str">
        <f>IF(Tab.o1[[#This Row],[a1]]=1,((Tab.o1[[#This Row],[MedMod]]-AVERAGE(Tab.o1[MedMod]))/_xlfn.STDEV.P(Tab.o1[MedMod])*H$1203)+G$1203,"")</f>
        <v/>
      </c>
      <c r="S465" s="122" t="str">
        <f>IF(Tab.o1[[#This Row],[a1]]=1,((Tab.o1[[#This Row],[MedMod]]-AVERAGE(Tab.o1[MedMod]))/_xlfn.STDEV.P(Tab.o1[MedMod])*H$1204)+G$1204,"")</f>
        <v/>
      </c>
      <c r="T465" s="123" t="str">
        <f>IF(Tab.o1[[#This Row],[a1]]=1,Tab.o1[[#This Row],[Z-]]*_xlfn.STDEV.P(Tab.o1[B])+AVERAGE(Tab.o1[B]),"")</f>
        <v/>
      </c>
      <c r="U465" s="123" t="str">
        <f>IF(Tab.o1[[#This Row],[a1]]=1,Tab.o1[[#This Row],[z+]]*_xlfn.STDEV.P(Tab.o1[B])+AVERAGE(Tab.o1[B]),"")</f>
        <v/>
      </c>
      <c r="V465" s="124" t="str">
        <f>IF(Tab.o1[[#This Row],[a1]]=1,ABS((ABS(Tab.o1[[#This Row],[Red]]-Tab.o1[[#This Row],[Blue]]))),"")</f>
        <v/>
      </c>
      <c r="W465" s="125" t="str">
        <f>IF(Tab.o1[[#This Row],[a1]]=1,IF(W$3=0,1,Tab.o1[[#This Row],[Amp.]]*1/_xlfn.MINIFS(Tab.o1[Amp.],Tab.o1[Amp.],"&lt;&gt;0")),"")</f>
        <v/>
      </c>
      <c r="X465" s="126" t="str">
        <f>IF(Tab.o1[[#This Row],[a1]]=1,IF(ISNUMBER(Tab.o1[[#This Row],[i.]]),NORMDIST(Tab.o1[[#This Row],[Za]],0,1,FALSE)*Tab.o1[[#This Row],[i.]],AP$3),"")</f>
        <v/>
      </c>
      <c r="Y465" s="126" t="str">
        <f>IF(Tab.o1[[#This Row],[a1]]=1,0.01+0.94*Tab.o1[[#This Row],[PDF]]/MAX(Tab.o1[PDF]),"")</f>
        <v/>
      </c>
      <c r="Z465" s="126" t="str">
        <f>IF(Tab.o1[[#This Row],[a1]]=1,0.01+0.94*Tab.o1[[#This Row],[W1_PDF]]/MAX(Tab.o1[W1_PDF]),"")</f>
        <v/>
      </c>
      <c r="AA465" s="118" t="str">
        <f>IF(Tab.o1[[#This Row],[a1]]=1,ABS([1]!T.in.A[[#This Row],[oo6]]),"")</f>
        <v/>
      </c>
      <c r="AB465" s="127" t="str">
        <f>IF(Tab.o1[[#This Row],[a1]]=1,IF(AE$3=0,"",IF(AB$3=0,ABS([1]!T.in.A[[#This Row],[oo9]]),ABS(Tab.o1[[#This Row],[DIF_Target.]]*Tab.o1[[#This Row],[W1_PDF]]))),"")</f>
        <v/>
      </c>
      <c r="AC465" s="127" t="str">
        <f>IF(G$1=1,"",IF(Tab.o1[[#This Row],[a1]]=1,Tab.o1[[#This Row],[Wr]]^2,""))</f>
        <v/>
      </c>
      <c r="AD465" s="118" t="str">
        <f>IF(Tab.o1[[#This Row],[a1]]=1,IF(AE$3=0,"",Tab.o1[[#This Row],[Wr2]]/SUM(Tab.o1[Wr2])),"")</f>
        <v/>
      </c>
      <c r="AE465" s="128" t="str">
        <f>IF(Tab.o1[[#This Row],[a1]]=1,[1]!T.in.A[[#This Row],[oo10]],"")</f>
        <v/>
      </c>
      <c r="AF465" s="118" t="str">
        <f>IF(Tab.o1[[#This Row],[a1]]=1,ABS(Tab.o1[[#This Row],[DIF_Target.]]*Tab.o1[[#This Row],[PDF2]]*Tab.o1[[#This Row],[IN]]),"")</f>
        <v/>
      </c>
      <c r="AG465" s="129" t="str">
        <f>IF(Tab.o1[[#This Row],[a1]]=1,Tab.o1[[#This Row],[rW]]^2,"")</f>
        <v/>
      </c>
      <c r="AH465" s="130" t="str">
        <f>IF(Tab.o1[[#This Row],[a1]]=1,IF(AH$3=0,Tab.o1[[#This Row],[rW2]],0.01+0.94*Tab.o1[[#This Row],[rW2]]/SUM(Tab.o1[rW2])),"")</f>
        <v/>
      </c>
      <c r="AI465" s="128" t="str">
        <f>IF(Tab.o1[[#This Row],[a1]]=1,1/Tab.o1[[#This Row],[PDF]],"")</f>
        <v/>
      </c>
      <c r="AJ465" s="131" t="str">
        <f>IF(Tab.o1[[#This Row],[a1]]=1,[1]!T_AA[[#This Row],[IN'']]*[1]!T_AA[[#This Row],[Qde'']],"")</f>
        <v/>
      </c>
      <c r="AK465" s="132" t="str">
        <f>IF(Tab.o1[[#This Row],[a1]]=1,IF(AK$1=1,Tab.o1[[#This Row],[MED]]+Tab.o1[[#This Row],[MOD]]-Tab.o1[[#This Row],[MED]],""),"")</f>
        <v/>
      </c>
      <c r="AL465" s="133" t="str">
        <f>IF(Tab.o1[[#This Row],[a1]]=1,[1]!T.in.A[[#This Row],[oo16]],"")</f>
        <v/>
      </c>
      <c r="AM465" s="133" t="str">
        <f>IF(Tab.o1[[#This Row],[a1]]=1,IF(AM$3=1,[1]!T.in.A[[#This Row],[Σo16]],""),"")</f>
        <v/>
      </c>
      <c r="AN465" s="126" t="str">
        <f>IF(Tab.o1[[#This Row],[a1]]=1,[1]!T.in.A[[#This Row],[Σp5]],"")</f>
        <v/>
      </c>
      <c r="AO465" s="126" t="str">
        <f>IF(Tab.o1[[#This Row],[a1]]=1,IF(AO$3=1,[1]!T.in.A[[#This Row],[Σp5]],""),"")</f>
        <v/>
      </c>
      <c r="AP465" s="110" t="str">
        <f>IF(Tab.o1[[#This Row],[a1]]=1,IF(ISNUMBER(Tab.o1[[#This Row],[i.]]),NORMDIST(Tab.o1[[#This Row],[Za]],0,1,FALSE)*Tab.o1[[#This Row],[i.]],0),"")</f>
        <v/>
      </c>
      <c r="AQ465" s="125" t="str">
        <f>IF(Tab.o1[[#This Row],[a1]]=1,ABS(Tab.o1[[#This Row],[MOD]]-AVERAGE(Tab.o1[MOD])),"")</f>
        <v/>
      </c>
      <c r="AR465" s="134" t="str">
        <f>IF(Tab.o1[[#This Row],[a1]]=1,Tab.o1[[#This Row],[OBS]]/SUM(Tab.o1[OBS]),"")</f>
        <v/>
      </c>
      <c r="AS465" s="135" t="str">
        <f>IF(ISNUMBER(Tab.o1[[#This Row],[a1]]),ROW()-4,"")</f>
        <v/>
      </c>
      <c r="AT465" s="136" t="str">
        <f>Tab.o1[[#This Row],[MOD]]</f>
        <v/>
      </c>
      <c r="AU465" s="137" t="str">
        <f t="shared" si="29"/>
        <v/>
      </c>
      <c r="AV465" s="138" t="str">
        <f t="shared" si="30"/>
        <v/>
      </c>
      <c r="AW465" s="138" t="str">
        <f t="shared" si="31"/>
        <v/>
      </c>
      <c r="AX465" s="139" t="str">
        <f>[1]!T.in.A[[#This Row],[ID_T_manu]]</f>
        <v/>
      </c>
      <c r="AY465" s="140" t="str">
        <f>IF(ISNUMBER(Tab.o1[[#This Row],[a1]]),IF(AND(Tab.o1[[#This Row],[a1]]=1,Tab.o1[[#This Row],[b1]]&lt;=AY$4),#REF!,AY464),"")</f>
        <v/>
      </c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</row>
    <row r="466" spans="1:79" ht="15.75" hidden="1">
      <c r="A466" s="109">
        <v>5.0000000000000004E-6</v>
      </c>
      <c r="B466" s="110">
        <f t="shared" si="28"/>
        <v>466</v>
      </c>
      <c r="C466" s="111" t="str">
        <f>IF(C$1=[1]!T.in.A[[#This Row],[oo2]],1,"")</f>
        <v/>
      </c>
      <c r="D466" s="112" t="str">
        <f>IF(Tab.o1[[#This Row],[a1]]=1,IF(SUM(C466:C467)=0,0,IF(SUM(C465:C466)=1,1,IF(SUM(C465:C467)&gt;1,D465+1,0))),"")</f>
        <v/>
      </c>
      <c r="E466" s="113" t="str">
        <f>IF(Tab.o1[[#This Row],[a1]]=1,[1]!T.in.A[[#This Row],[oo1]],"")</f>
        <v/>
      </c>
      <c r="F466" s="113" t="str">
        <f>IF(Tab.o1[[#This Row],[a1]]=1,[1]!T.in.A[[#This Row],[pp1]],"")</f>
        <v/>
      </c>
      <c r="G466" s="114" t="str">
        <f>IF(Tab.o1[[#This Row],[a1]]=1,G$2+IF(G$1=1,0,Tab.o1[[#This Row],[.x1]])+[1]!T.in.A[[#This Row],[oo3]],"")</f>
        <v/>
      </c>
      <c r="H466" s="115" t="str">
        <f>IF(Tab.o1[[#This Row],[a1]]=1,IF(H$2=0,0,IF(G$1=1,0,Tab.o1[[#This Row],[.x1]])+[1]!T.in.A[[#This Row],[oo4]]),"")</f>
        <v/>
      </c>
      <c r="I466" s="116" t="str">
        <f>IF(Tab.o1[[#This Row],[a1]]=1,IF(J$2=0,Tab.o1[[#This Row],[MED]],Tab.o1[[#This Row],[MOD]]),"")</f>
        <v/>
      </c>
      <c r="J466" s="116" t="str">
        <f>IF(Tab.o1[[#This Row],[a1]]=1,((Tab.o1[[#This Row],[DIF_Target.]]-AVERAGE(Tab.o1[DIF_Target.]))/_xlfn.STDEV.P(Tab.o1[DIF_Target.])),"")</f>
        <v/>
      </c>
      <c r="K466" s="117" t="str">
        <f>IF(Tab.o1[[#This Row],[a1]]=1,IF(J$2=0,Tab.o1[[#This Row],[MOD]]-Tab.o1[[#This Row],[B]],IF(J$2=1,0,-Tab.o1[[#This Row],[MED]])+Tab.o1[[#This Row],[B]]),"")</f>
        <v/>
      </c>
      <c r="L466" s="117" t="str">
        <f ca="1">IF(Tab.o1[[#This Row],[DIF_Target]]=0,IF(L$2=0,Tab.o1[[#This Row],[DIF_Target]],AVERAGE(OFFSET(Tab.o1[[#This Row],[DIF_Target]],1,0,L$3,1)))/3,Tab.o1[[#This Row],[DIF_Target]])</f>
        <v/>
      </c>
      <c r="M466" s="118" t="str">
        <f>IF(Tab.o1[[#This Row],[a1]]=1,NORMSDIST(Tab.o1[[#This Row],[Za]]),"")</f>
        <v/>
      </c>
      <c r="N466" s="119" t="str">
        <f>IF(Tab.o1[[#This Row],[a1]]=1,((Tab.o1[[#This Row],[MedMod]]-AVERAGE(Tab.o1[MedMod]))/_xlfn.STDEV.P(Tab.o1[MedMod])*H$1205)+G$1205,"")</f>
        <v/>
      </c>
      <c r="O466" s="141" t="str">
        <f>IF(Tab.o1[[#This Row],[a1]]=1,Tab.o1[[#This Row],[Zb]]*_xlfn.STDEV.P(Tab.o1[MedMod])+AVERAGE(Tab.o1[MedMod]),"")</f>
        <v/>
      </c>
      <c r="P466" s="117" t="str">
        <f ca="1">IF(Tab.o1[[#This Row],[B]]=0,AVERAGE(OFFSET(Tab.o1[[#This Row],[B]],1,0,L$3,1)),Tab.o1[[#This Row],[B]])</f>
        <v/>
      </c>
      <c r="Q466" s="121" t="str">
        <f>IF(Tab.o1[[#This Row],[a1]]=1,NORMSDIST(Tab.o1[[#This Row],[Zb]]),"")</f>
        <v/>
      </c>
      <c r="R466" s="122" t="str">
        <f>IF(Tab.o1[[#This Row],[a1]]=1,((Tab.o1[[#This Row],[MedMod]]-AVERAGE(Tab.o1[MedMod]))/_xlfn.STDEV.P(Tab.o1[MedMod])*H$1203)+G$1203,"")</f>
        <v/>
      </c>
      <c r="S466" s="122" t="str">
        <f>IF(Tab.o1[[#This Row],[a1]]=1,((Tab.o1[[#This Row],[MedMod]]-AVERAGE(Tab.o1[MedMod]))/_xlfn.STDEV.P(Tab.o1[MedMod])*H$1204)+G$1204,"")</f>
        <v/>
      </c>
      <c r="T466" s="123" t="str">
        <f>IF(Tab.o1[[#This Row],[a1]]=1,Tab.o1[[#This Row],[Z-]]*_xlfn.STDEV.P(Tab.o1[B])+AVERAGE(Tab.o1[B]),"")</f>
        <v/>
      </c>
      <c r="U466" s="123" t="str">
        <f>IF(Tab.o1[[#This Row],[a1]]=1,Tab.o1[[#This Row],[z+]]*_xlfn.STDEV.P(Tab.o1[B])+AVERAGE(Tab.o1[B]),"")</f>
        <v/>
      </c>
      <c r="V466" s="124" t="str">
        <f>IF(Tab.o1[[#This Row],[a1]]=1,ABS((ABS(Tab.o1[[#This Row],[Red]]-Tab.o1[[#This Row],[Blue]]))),"")</f>
        <v/>
      </c>
      <c r="W466" s="125" t="str">
        <f>IF(Tab.o1[[#This Row],[a1]]=1,IF(W$3=0,1,Tab.o1[[#This Row],[Amp.]]*1/_xlfn.MINIFS(Tab.o1[Amp.],Tab.o1[Amp.],"&lt;&gt;0")),"")</f>
        <v/>
      </c>
      <c r="X466" s="126" t="str">
        <f>IF(Tab.o1[[#This Row],[a1]]=1,IF(ISNUMBER(Tab.o1[[#This Row],[i.]]),NORMDIST(Tab.o1[[#This Row],[Za]],0,1,FALSE)*Tab.o1[[#This Row],[i.]],AP$3),"")</f>
        <v/>
      </c>
      <c r="Y466" s="126" t="str">
        <f>IF(Tab.o1[[#This Row],[a1]]=1,0.01+0.94*Tab.o1[[#This Row],[PDF]]/MAX(Tab.o1[PDF]),"")</f>
        <v/>
      </c>
      <c r="Z466" s="126" t="str">
        <f>IF(Tab.o1[[#This Row],[a1]]=1,0.01+0.94*Tab.o1[[#This Row],[W1_PDF]]/MAX(Tab.o1[W1_PDF]),"")</f>
        <v/>
      </c>
      <c r="AA466" s="118" t="str">
        <f>IF(Tab.o1[[#This Row],[a1]]=1,ABS([1]!T.in.A[[#This Row],[oo6]]),"")</f>
        <v/>
      </c>
      <c r="AB466" s="127" t="str">
        <f>IF(Tab.o1[[#This Row],[a1]]=1,IF(AE$3=0,"",IF(AB$3=0,ABS([1]!T.in.A[[#This Row],[oo9]]),ABS(Tab.o1[[#This Row],[DIF_Target.]]*Tab.o1[[#This Row],[W1_PDF]]))),"")</f>
        <v/>
      </c>
      <c r="AC466" s="127" t="str">
        <f>IF(G$1=1,"",IF(Tab.o1[[#This Row],[a1]]=1,Tab.o1[[#This Row],[Wr]]^2,""))</f>
        <v/>
      </c>
      <c r="AD466" s="118" t="str">
        <f>IF(Tab.o1[[#This Row],[a1]]=1,IF(AE$3=0,"",Tab.o1[[#This Row],[Wr2]]/SUM(Tab.o1[Wr2])),"")</f>
        <v/>
      </c>
      <c r="AE466" s="128" t="str">
        <f>IF(Tab.o1[[#This Row],[a1]]=1,[1]!T.in.A[[#This Row],[oo10]],"")</f>
        <v/>
      </c>
      <c r="AF466" s="118" t="str">
        <f>IF(Tab.o1[[#This Row],[a1]]=1,ABS(Tab.o1[[#This Row],[DIF_Target.]]*Tab.o1[[#This Row],[PDF2]]*Tab.o1[[#This Row],[IN]]),"")</f>
        <v/>
      </c>
      <c r="AG466" s="129" t="str">
        <f>IF(Tab.o1[[#This Row],[a1]]=1,Tab.o1[[#This Row],[rW]]^2,"")</f>
        <v/>
      </c>
      <c r="AH466" s="130" t="str">
        <f>IF(Tab.o1[[#This Row],[a1]]=1,IF(AH$3=0,Tab.o1[[#This Row],[rW2]],0.01+0.94*Tab.o1[[#This Row],[rW2]]/SUM(Tab.o1[rW2])),"")</f>
        <v/>
      </c>
      <c r="AI466" s="128" t="str">
        <f>IF(Tab.o1[[#This Row],[a1]]=1,1/Tab.o1[[#This Row],[PDF]],"")</f>
        <v/>
      </c>
      <c r="AJ466" s="131" t="str">
        <f>IF(Tab.o1[[#This Row],[a1]]=1,[1]!T_AA[[#This Row],[IN'']]*[1]!T_AA[[#This Row],[Qde'']],"")</f>
        <v/>
      </c>
      <c r="AK466" s="132" t="str">
        <f>IF(Tab.o1[[#This Row],[a1]]=1,IF(AK$1=1,Tab.o1[[#This Row],[MED]]+Tab.o1[[#This Row],[MOD]]-Tab.o1[[#This Row],[MED]],""),"")</f>
        <v/>
      </c>
      <c r="AL466" s="133" t="str">
        <f>IF(Tab.o1[[#This Row],[a1]]=1,[1]!T.in.A[[#This Row],[oo16]],"")</f>
        <v/>
      </c>
      <c r="AM466" s="133" t="str">
        <f>IF(Tab.o1[[#This Row],[a1]]=1,IF(AM$3=1,[1]!T.in.A[[#This Row],[Σo16]],""),"")</f>
        <v/>
      </c>
      <c r="AN466" s="126" t="str">
        <f>IF(Tab.o1[[#This Row],[a1]]=1,[1]!T.in.A[[#This Row],[Σp5]],"")</f>
        <v/>
      </c>
      <c r="AO466" s="126" t="str">
        <f>IF(Tab.o1[[#This Row],[a1]]=1,IF(AO$3=1,[1]!T.in.A[[#This Row],[Σp5]],""),"")</f>
        <v/>
      </c>
      <c r="AP466" s="110" t="str">
        <f>IF(Tab.o1[[#This Row],[a1]]=1,IF(ISNUMBER(Tab.o1[[#This Row],[i.]]),NORMDIST(Tab.o1[[#This Row],[Za]],0,1,FALSE)*Tab.o1[[#This Row],[i.]],0),"")</f>
        <v/>
      </c>
      <c r="AQ466" s="125" t="str">
        <f>IF(Tab.o1[[#This Row],[a1]]=1,ABS(Tab.o1[[#This Row],[MOD]]-AVERAGE(Tab.o1[MOD])),"")</f>
        <v/>
      </c>
      <c r="AR466" s="134" t="str">
        <f>IF(Tab.o1[[#This Row],[a1]]=1,Tab.o1[[#This Row],[OBS]]/SUM(Tab.o1[OBS]),"")</f>
        <v/>
      </c>
      <c r="AS466" s="135" t="str">
        <f>IF(ISNUMBER(Tab.o1[[#This Row],[a1]]),ROW()-4,"")</f>
        <v/>
      </c>
      <c r="AT466" s="136" t="str">
        <f>Tab.o1[[#This Row],[MOD]]</f>
        <v/>
      </c>
      <c r="AU466" s="137" t="str">
        <f t="shared" si="29"/>
        <v/>
      </c>
      <c r="AV466" s="138" t="str">
        <f t="shared" si="30"/>
        <v/>
      </c>
      <c r="AW466" s="138" t="str">
        <f t="shared" si="31"/>
        <v/>
      </c>
      <c r="AX466" s="139" t="str">
        <f>[1]!T.in.A[[#This Row],[ID_T_manu]]</f>
        <v/>
      </c>
      <c r="AY466" s="140" t="str">
        <f>IF(ISNUMBER(Tab.o1[[#This Row],[a1]]),IF(AND(Tab.o1[[#This Row],[a1]]=1,Tab.o1[[#This Row],[b1]]&lt;=AY$4),#REF!,AY465),"")</f>
        <v/>
      </c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</row>
    <row r="467" spans="1:79" ht="15.75" hidden="1">
      <c r="A467" s="109">
        <v>5.0000000000000004E-6</v>
      </c>
      <c r="B467" s="110">
        <f t="shared" si="28"/>
        <v>467</v>
      </c>
      <c r="C467" s="111" t="str">
        <f>IF(C$1=[1]!T.in.A[[#This Row],[oo2]],1,"")</f>
        <v/>
      </c>
      <c r="D467" s="112" t="str">
        <f>IF(Tab.o1[[#This Row],[a1]]=1,IF(SUM(C467:C468)=0,0,IF(SUM(C466:C467)=1,1,IF(SUM(C466:C468)&gt;1,D466+1,0))),"")</f>
        <v/>
      </c>
      <c r="E467" s="113" t="str">
        <f>IF(Tab.o1[[#This Row],[a1]]=1,[1]!T.in.A[[#This Row],[oo1]],"")</f>
        <v/>
      </c>
      <c r="F467" s="113" t="str">
        <f>IF(Tab.o1[[#This Row],[a1]]=1,[1]!T.in.A[[#This Row],[pp1]],"")</f>
        <v/>
      </c>
      <c r="G467" s="114" t="str">
        <f>IF(Tab.o1[[#This Row],[a1]]=1,G$2+IF(G$1=1,0,Tab.o1[[#This Row],[.x1]])+[1]!T.in.A[[#This Row],[oo3]],"")</f>
        <v/>
      </c>
      <c r="H467" s="115" t="str">
        <f>IF(Tab.o1[[#This Row],[a1]]=1,IF(H$2=0,0,IF(G$1=1,0,Tab.o1[[#This Row],[.x1]])+[1]!T.in.A[[#This Row],[oo4]]),"")</f>
        <v/>
      </c>
      <c r="I467" s="116" t="str">
        <f>IF(Tab.o1[[#This Row],[a1]]=1,IF(J$2=0,Tab.o1[[#This Row],[MED]],Tab.o1[[#This Row],[MOD]]),"")</f>
        <v/>
      </c>
      <c r="J467" s="116" t="str">
        <f>IF(Tab.o1[[#This Row],[a1]]=1,((Tab.o1[[#This Row],[DIF_Target.]]-AVERAGE(Tab.o1[DIF_Target.]))/_xlfn.STDEV.P(Tab.o1[DIF_Target.])),"")</f>
        <v/>
      </c>
      <c r="K467" s="117" t="str">
        <f>IF(Tab.o1[[#This Row],[a1]]=1,IF(J$2=0,Tab.o1[[#This Row],[MOD]]-Tab.o1[[#This Row],[B]],IF(J$2=1,0,-Tab.o1[[#This Row],[MED]])+Tab.o1[[#This Row],[B]]),"")</f>
        <v/>
      </c>
      <c r="L467" s="117" t="str">
        <f ca="1">IF(Tab.o1[[#This Row],[DIF_Target]]=0,IF(L$2=0,Tab.o1[[#This Row],[DIF_Target]],AVERAGE(OFFSET(Tab.o1[[#This Row],[DIF_Target]],1,0,L$3,1)))/3,Tab.o1[[#This Row],[DIF_Target]])</f>
        <v/>
      </c>
      <c r="M467" s="118" t="str">
        <f>IF(Tab.o1[[#This Row],[a1]]=1,NORMSDIST(Tab.o1[[#This Row],[Za]]),"")</f>
        <v/>
      </c>
      <c r="N467" s="119" t="str">
        <f>IF(Tab.o1[[#This Row],[a1]]=1,((Tab.o1[[#This Row],[MedMod]]-AVERAGE(Tab.o1[MedMod]))/_xlfn.STDEV.P(Tab.o1[MedMod])*H$1205)+G$1205,"")</f>
        <v/>
      </c>
      <c r="O467" s="141" t="str">
        <f>IF(Tab.o1[[#This Row],[a1]]=1,Tab.o1[[#This Row],[Zb]]*_xlfn.STDEV.P(Tab.o1[MedMod])+AVERAGE(Tab.o1[MedMod]),"")</f>
        <v/>
      </c>
      <c r="P467" s="117" t="str">
        <f ca="1">IF(Tab.o1[[#This Row],[B]]=0,AVERAGE(OFFSET(Tab.o1[[#This Row],[B]],1,0,L$3,1)),Tab.o1[[#This Row],[B]])</f>
        <v/>
      </c>
      <c r="Q467" s="121" t="str">
        <f>IF(Tab.o1[[#This Row],[a1]]=1,NORMSDIST(Tab.o1[[#This Row],[Zb]]),"")</f>
        <v/>
      </c>
      <c r="R467" s="122" t="str">
        <f>IF(Tab.o1[[#This Row],[a1]]=1,((Tab.o1[[#This Row],[MedMod]]-AVERAGE(Tab.o1[MedMod]))/_xlfn.STDEV.P(Tab.o1[MedMod])*H$1203)+G$1203,"")</f>
        <v/>
      </c>
      <c r="S467" s="122" t="str">
        <f>IF(Tab.o1[[#This Row],[a1]]=1,((Tab.o1[[#This Row],[MedMod]]-AVERAGE(Tab.o1[MedMod]))/_xlfn.STDEV.P(Tab.o1[MedMod])*H$1204)+G$1204,"")</f>
        <v/>
      </c>
      <c r="T467" s="123" t="str">
        <f>IF(Tab.o1[[#This Row],[a1]]=1,Tab.o1[[#This Row],[Z-]]*_xlfn.STDEV.P(Tab.o1[B])+AVERAGE(Tab.o1[B]),"")</f>
        <v/>
      </c>
      <c r="U467" s="123" t="str">
        <f>IF(Tab.o1[[#This Row],[a1]]=1,Tab.o1[[#This Row],[z+]]*_xlfn.STDEV.P(Tab.o1[B])+AVERAGE(Tab.o1[B]),"")</f>
        <v/>
      </c>
      <c r="V467" s="124" t="str">
        <f>IF(Tab.o1[[#This Row],[a1]]=1,ABS((ABS(Tab.o1[[#This Row],[Red]]-Tab.o1[[#This Row],[Blue]]))),"")</f>
        <v/>
      </c>
      <c r="W467" s="125" t="str">
        <f>IF(Tab.o1[[#This Row],[a1]]=1,IF(W$3=0,1,Tab.o1[[#This Row],[Amp.]]*1/_xlfn.MINIFS(Tab.o1[Amp.],Tab.o1[Amp.],"&lt;&gt;0")),"")</f>
        <v/>
      </c>
      <c r="X467" s="126" t="str">
        <f>IF(Tab.o1[[#This Row],[a1]]=1,IF(ISNUMBER(Tab.o1[[#This Row],[i.]]),NORMDIST(Tab.o1[[#This Row],[Za]],0,1,FALSE)*Tab.o1[[#This Row],[i.]],AP$3),"")</f>
        <v/>
      </c>
      <c r="Y467" s="126" t="str">
        <f>IF(Tab.o1[[#This Row],[a1]]=1,0.01+0.94*Tab.o1[[#This Row],[PDF]]/MAX(Tab.o1[PDF]),"")</f>
        <v/>
      </c>
      <c r="Z467" s="126" t="str">
        <f>IF(Tab.o1[[#This Row],[a1]]=1,0.01+0.94*Tab.o1[[#This Row],[W1_PDF]]/MAX(Tab.o1[W1_PDF]),"")</f>
        <v/>
      </c>
      <c r="AA467" s="118" t="str">
        <f>IF(Tab.o1[[#This Row],[a1]]=1,ABS([1]!T.in.A[[#This Row],[oo6]]),"")</f>
        <v/>
      </c>
      <c r="AB467" s="127" t="str">
        <f>IF(Tab.o1[[#This Row],[a1]]=1,IF(AE$3=0,"",IF(AB$3=0,ABS([1]!T.in.A[[#This Row],[oo9]]),ABS(Tab.o1[[#This Row],[DIF_Target.]]*Tab.o1[[#This Row],[W1_PDF]]))),"")</f>
        <v/>
      </c>
      <c r="AC467" s="127" t="str">
        <f>IF(G$1=1,"",IF(Tab.o1[[#This Row],[a1]]=1,Tab.o1[[#This Row],[Wr]]^2,""))</f>
        <v/>
      </c>
      <c r="AD467" s="118" t="str">
        <f>IF(Tab.o1[[#This Row],[a1]]=1,IF(AE$3=0,"",Tab.o1[[#This Row],[Wr2]]/SUM(Tab.o1[Wr2])),"")</f>
        <v/>
      </c>
      <c r="AE467" s="128" t="str">
        <f>IF(Tab.o1[[#This Row],[a1]]=1,[1]!T.in.A[[#This Row],[oo10]],"")</f>
        <v/>
      </c>
      <c r="AF467" s="118" t="str">
        <f>IF(Tab.o1[[#This Row],[a1]]=1,ABS(Tab.o1[[#This Row],[DIF_Target.]]*Tab.o1[[#This Row],[PDF2]]*Tab.o1[[#This Row],[IN]]),"")</f>
        <v/>
      </c>
      <c r="AG467" s="129" t="str">
        <f>IF(Tab.o1[[#This Row],[a1]]=1,Tab.o1[[#This Row],[rW]]^2,"")</f>
        <v/>
      </c>
      <c r="AH467" s="130" t="str">
        <f>IF(Tab.o1[[#This Row],[a1]]=1,IF(AH$3=0,Tab.o1[[#This Row],[rW2]],0.01+0.94*Tab.o1[[#This Row],[rW2]]/SUM(Tab.o1[rW2])),"")</f>
        <v/>
      </c>
      <c r="AI467" s="128" t="str">
        <f>IF(Tab.o1[[#This Row],[a1]]=1,1/Tab.o1[[#This Row],[PDF]],"")</f>
        <v/>
      </c>
      <c r="AJ467" s="131" t="str">
        <f>IF(Tab.o1[[#This Row],[a1]]=1,[1]!T_AA[[#This Row],[IN'']]*[1]!T_AA[[#This Row],[Qde'']],"")</f>
        <v/>
      </c>
      <c r="AK467" s="132" t="str">
        <f>IF(Tab.o1[[#This Row],[a1]]=1,IF(AK$1=1,Tab.o1[[#This Row],[MED]]+Tab.o1[[#This Row],[MOD]]-Tab.o1[[#This Row],[MED]],""),"")</f>
        <v/>
      </c>
      <c r="AL467" s="133" t="str">
        <f>IF(Tab.o1[[#This Row],[a1]]=1,[1]!T.in.A[[#This Row],[oo16]],"")</f>
        <v/>
      </c>
      <c r="AM467" s="133" t="str">
        <f>IF(Tab.o1[[#This Row],[a1]]=1,IF(AM$3=1,[1]!T.in.A[[#This Row],[Σo16]],""),"")</f>
        <v/>
      </c>
      <c r="AN467" s="126" t="str">
        <f>IF(Tab.o1[[#This Row],[a1]]=1,[1]!T.in.A[[#This Row],[Σp5]],"")</f>
        <v/>
      </c>
      <c r="AO467" s="126" t="str">
        <f>IF(Tab.o1[[#This Row],[a1]]=1,IF(AO$3=1,[1]!T.in.A[[#This Row],[Σp5]],""),"")</f>
        <v/>
      </c>
      <c r="AP467" s="110" t="str">
        <f>IF(Tab.o1[[#This Row],[a1]]=1,IF(ISNUMBER(Tab.o1[[#This Row],[i.]]),NORMDIST(Tab.o1[[#This Row],[Za]],0,1,FALSE)*Tab.o1[[#This Row],[i.]],0),"")</f>
        <v/>
      </c>
      <c r="AQ467" s="125" t="str">
        <f>IF(Tab.o1[[#This Row],[a1]]=1,ABS(Tab.o1[[#This Row],[MOD]]-AVERAGE(Tab.o1[MOD])),"")</f>
        <v/>
      </c>
      <c r="AR467" s="134" t="str">
        <f>IF(Tab.o1[[#This Row],[a1]]=1,Tab.o1[[#This Row],[OBS]]/SUM(Tab.o1[OBS]),"")</f>
        <v/>
      </c>
      <c r="AS467" s="135" t="str">
        <f>IF(ISNUMBER(Tab.o1[[#This Row],[a1]]),ROW()-4,"")</f>
        <v/>
      </c>
      <c r="AT467" s="136" t="str">
        <f>Tab.o1[[#This Row],[MOD]]</f>
        <v/>
      </c>
      <c r="AU467" s="137" t="str">
        <f t="shared" si="29"/>
        <v/>
      </c>
      <c r="AV467" s="138" t="str">
        <f t="shared" si="30"/>
        <v/>
      </c>
      <c r="AW467" s="138" t="str">
        <f t="shared" si="31"/>
        <v/>
      </c>
      <c r="AX467" s="139" t="str">
        <f>[1]!T.in.A[[#This Row],[ID_T_manu]]</f>
        <v/>
      </c>
      <c r="AY467" s="140" t="str">
        <f>IF(ISNUMBER(Tab.o1[[#This Row],[a1]]),IF(AND(Tab.o1[[#This Row],[a1]]=1,Tab.o1[[#This Row],[b1]]&lt;=AY$4),#REF!,AY466),"")</f>
        <v/>
      </c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</row>
    <row r="468" spans="1:79" ht="15.75" hidden="1">
      <c r="A468" s="109">
        <v>1.0000000000000001E-5</v>
      </c>
      <c r="B468" s="110">
        <f t="shared" si="28"/>
        <v>468</v>
      </c>
      <c r="C468" s="111" t="str">
        <f>IF(C$1=[1]!T.in.A[[#This Row],[oo2]],1,"")</f>
        <v/>
      </c>
      <c r="D468" s="112" t="str">
        <f>IF(Tab.o1[[#This Row],[a1]]=1,IF(SUM(C468:C469)=0,0,IF(SUM(C467:C468)=1,1,IF(SUM(C467:C469)&gt;1,D467+1,0))),"")</f>
        <v/>
      </c>
      <c r="E468" s="113" t="str">
        <f>IF(Tab.o1[[#This Row],[a1]]=1,[1]!T.in.A[[#This Row],[oo1]],"")</f>
        <v/>
      </c>
      <c r="F468" s="113" t="str">
        <f>IF(Tab.o1[[#This Row],[a1]]=1,[1]!T.in.A[[#This Row],[pp1]],"")</f>
        <v/>
      </c>
      <c r="G468" s="114" t="str">
        <f>IF(Tab.o1[[#This Row],[a1]]=1,G$2+IF(G$1=1,0,Tab.o1[[#This Row],[.x1]])+[1]!T.in.A[[#This Row],[oo3]],"")</f>
        <v/>
      </c>
      <c r="H468" s="115" t="str">
        <f>IF(Tab.o1[[#This Row],[a1]]=1,IF(H$2=0,0,IF(G$1=1,0,Tab.o1[[#This Row],[.x1]])+[1]!T.in.A[[#This Row],[oo4]]),"")</f>
        <v/>
      </c>
      <c r="I468" s="116" t="str">
        <f>IF(Tab.o1[[#This Row],[a1]]=1,IF(J$2=0,Tab.o1[[#This Row],[MED]],Tab.o1[[#This Row],[MOD]]),"")</f>
        <v/>
      </c>
      <c r="J468" s="116" t="str">
        <f>IF(Tab.o1[[#This Row],[a1]]=1,((Tab.o1[[#This Row],[DIF_Target.]]-AVERAGE(Tab.o1[DIF_Target.]))/_xlfn.STDEV.P(Tab.o1[DIF_Target.])),"")</f>
        <v/>
      </c>
      <c r="K468" s="117" t="str">
        <f>IF(Tab.o1[[#This Row],[a1]]=1,IF(J$2=0,Tab.o1[[#This Row],[MOD]]-Tab.o1[[#This Row],[B]],IF(J$2=1,0,-Tab.o1[[#This Row],[MED]])+Tab.o1[[#This Row],[B]]),"")</f>
        <v/>
      </c>
      <c r="L468" s="117" t="str">
        <f ca="1">IF(Tab.o1[[#This Row],[DIF_Target]]=0,IF(L$2=0,Tab.o1[[#This Row],[DIF_Target]],AVERAGE(OFFSET(Tab.o1[[#This Row],[DIF_Target]],1,0,L$3,1)))/3,Tab.o1[[#This Row],[DIF_Target]])</f>
        <v/>
      </c>
      <c r="M468" s="118" t="str">
        <f>IF(Tab.o1[[#This Row],[a1]]=1,NORMSDIST(Tab.o1[[#This Row],[Za]]),"")</f>
        <v/>
      </c>
      <c r="N468" s="119" t="str">
        <f>IF(Tab.o1[[#This Row],[a1]]=1,((Tab.o1[[#This Row],[MedMod]]-AVERAGE(Tab.o1[MedMod]))/_xlfn.STDEV.P(Tab.o1[MedMod])*H$1205)+G$1205,"")</f>
        <v/>
      </c>
      <c r="O468" s="141" t="str">
        <f>IF(Tab.o1[[#This Row],[a1]]=1,Tab.o1[[#This Row],[Zb]]*_xlfn.STDEV.P(Tab.o1[MedMod])+AVERAGE(Tab.o1[MedMod]),"")</f>
        <v/>
      </c>
      <c r="P468" s="117" t="str">
        <f ca="1">IF(Tab.o1[[#This Row],[B]]=0,AVERAGE(OFFSET(Tab.o1[[#This Row],[B]],1,0,L$3,1)),Tab.o1[[#This Row],[B]])</f>
        <v/>
      </c>
      <c r="Q468" s="121" t="str">
        <f>IF(Tab.o1[[#This Row],[a1]]=1,NORMSDIST(Tab.o1[[#This Row],[Zb]]),"")</f>
        <v/>
      </c>
      <c r="R468" s="122" t="str">
        <f>IF(Tab.o1[[#This Row],[a1]]=1,((Tab.o1[[#This Row],[MedMod]]-AVERAGE(Tab.o1[MedMod]))/_xlfn.STDEV.P(Tab.o1[MedMod])*H$1203)+G$1203,"")</f>
        <v/>
      </c>
      <c r="S468" s="122" t="str">
        <f>IF(Tab.o1[[#This Row],[a1]]=1,((Tab.o1[[#This Row],[MedMod]]-AVERAGE(Tab.o1[MedMod]))/_xlfn.STDEV.P(Tab.o1[MedMod])*H$1204)+G$1204,"")</f>
        <v/>
      </c>
      <c r="T468" s="123" t="str">
        <f>IF(Tab.o1[[#This Row],[a1]]=1,Tab.o1[[#This Row],[Z-]]*_xlfn.STDEV.P(Tab.o1[B])+AVERAGE(Tab.o1[B]),"")</f>
        <v/>
      </c>
      <c r="U468" s="123" t="str">
        <f>IF(Tab.o1[[#This Row],[a1]]=1,Tab.o1[[#This Row],[z+]]*_xlfn.STDEV.P(Tab.o1[B])+AVERAGE(Tab.o1[B]),"")</f>
        <v/>
      </c>
      <c r="V468" s="124" t="str">
        <f>IF(Tab.o1[[#This Row],[a1]]=1,ABS((ABS(Tab.o1[[#This Row],[Red]]-Tab.o1[[#This Row],[Blue]]))),"")</f>
        <v/>
      </c>
      <c r="W468" s="125" t="str">
        <f>IF(Tab.o1[[#This Row],[a1]]=1,IF(W$3=0,1,Tab.o1[[#This Row],[Amp.]]*1/_xlfn.MINIFS(Tab.o1[Amp.],Tab.o1[Amp.],"&lt;&gt;0")),"")</f>
        <v/>
      </c>
      <c r="X468" s="126" t="str">
        <f>IF(Tab.o1[[#This Row],[a1]]=1,IF(ISNUMBER(Tab.o1[[#This Row],[i.]]),NORMDIST(Tab.o1[[#This Row],[Za]],0,1,FALSE)*Tab.o1[[#This Row],[i.]],AP$3),"")</f>
        <v/>
      </c>
      <c r="Y468" s="126" t="str">
        <f>IF(Tab.o1[[#This Row],[a1]]=1,0.01+0.94*Tab.o1[[#This Row],[PDF]]/MAX(Tab.o1[PDF]),"")</f>
        <v/>
      </c>
      <c r="Z468" s="126" t="str">
        <f>IF(Tab.o1[[#This Row],[a1]]=1,0.01+0.94*Tab.o1[[#This Row],[W1_PDF]]/MAX(Tab.o1[W1_PDF]),"")</f>
        <v/>
      </c>
      <c r="AA468" s="118" t="str">
        <f>IF(Tab.o1[[#This Row],[a1]]=1,ABS([1]!T.in.A[[#This Row],[oo6]]),"")</f>
        <v/>
      </c>
      <c r="AB468" s="127" t="str">
        <f>IF(Tab.o1[[#This Row],[a1]]=1,IF(AE$3=0,"",IF(AB$3=0,ABS([1]!T.in.A[[#This Row],[oo9]]),ABS(Tab.o1[[#This Row],[DIF_Target.]]*Tab.o1[[#This Row],[W1_PDF]]))),"")</f>
        <v/>
      </c>
      <c r="AC468" s="127" t="str">
        <f>IF(G$1=1,"",IF(Tab.o1[[#This Row],[a1]]=1,Tab.o1[[#This Row],[Wr]]^2,""))</f>
        <v/>
      </c>
      <c r="AD468" s="118" t="str">
        <f>IF(Tab.o1[[#This Row],[a1]]=1,IF(AE$3=0,"",Tab.o1[[#This Row],[Wr2]]/SUM(Tab.o1[Wr2])),"")</f>
        <v/>
      </c>
      <c r="AE468" s="128" t="str">
        <f>IF(Tab.o1[[#This Row],[a1]]=1,[1]!T.in.A[[#This Row],[oo10]],"")</f>
        <v/>
      </c>
      <c r="AF468" s="118" t="str">
        <f>IF(Tab.o1[[#This Row],[a1]]=1,ABS(Tab.o1[[#This Row],[DIF_Target.]]*Tab.o1[[#This Row],[PDF2]]*Tab.o1[[#This Row],[IN]]),"")</f>
        <v/>
      </c>
      <c r="AG468" s="129" t="str">
        <f>IF(Tab.o1[[#This Row],[a1]]=1,Tab.o1[[#This Row],[rW]]^2,"")</f>
        <v/>
      </c>
      <c r="AH468" s="130" t="str">
        <f>IF(Tab.o1[[#This Row],[a1]]=1,IF(AH$3=0,Tab.o1[[#This Row],[rW2]],0.01+0.94*Tab.o1[[#This Row],[rW2]]/SUM(Tab.o1[rW2])),"")</f>
        <v/>
      </c>
      <c r="AI468" s="128" t="str">
        <f>IF(Tab.o1[[#This Row],[a1]]=1,1/Tab.o1[[#This Row],[PDF]],"")</f>
        <v/>
      </c>
      <c r="AJ468" s="131" t="str">
        <f>IF(Tab.o1[[#This Row],[a1]]=1,[1]!T_AA[[#This Row],[IN'']]*[1]!T_AA[[#This Row],[Qde'']],"")</f>
        <v/>
      </c>
      <c r="AK468" s="132" t="str">
        <f>IF(Tab.o1[[#This Row],[a1]]=1,IF(AK$1=1,Tab.o1[[#This Row],[MED]]+Tab.o1[[#This Row],[MOD]]-Tab.o1[[#This Row],[MED]],""),"")</f>
        <v/>
      </c>
      <c r="AL468" s="133" t="str">
        <f>IF(Tab.o1[[#This Row],[a1]]=1,[1]!T.in.A[[#This Row],[oo16]],"")</f>
        <v/>
      </c>
      <c r="AM468" s="133" t="str">
        <f>IF(Tab.o1[[#This Row],[a1]]=1,IF(AM$3=1,[1]!T.in.A[[#This Row],[Σo16]],""),"")</f>
        <v/>
      </c>
      <c r="AN468" s="126" t="str">
        <f>IF(Tab.o1[[#This Row],[a1]]=1,[1]!T.in.A[[#This Row],[Σp5]],"")</f>
        <v/>
      </c>
      <c r="AO468" s="126" t="str">
        <f>IF(Tab.o1[[#This Row],[a1]]=1,IF(AO$3=1,[1]!T.in.A[[#This Row],[Σp5]],""),"")</f>
        <v/>
      </c>
      <c r="AP468" s="110" t="str">
        <f>IF(Tab.o1[[#This Row],[a1]]=1,IF(ISNUMBER(Tab.o1[[#This Row],[i.]]),NORMDIST(Tab.o1[[#This Row],[Za]],0,1,FALSE)*Tab.o1[[#This Row],[i.]],0),"")</f>
        <v/>
      </c>
      <c r="AQ468" s="125" t="str">
        <f>IF(Tab.o1[[#This Row],[a1]]=1,ABS(Tab.o1[[#This Row],[MOD]]-AVERAGE(Tab.o1[MOD])),"")</f>
        <v/>
      </c>
      <c r="AR468" s="134" t="str">
        <f>IF(Tab.o1[[#This Row],[a1]]=1,Tab.o1[[#This Row],[OBS]]/SUM(Tab.o1[OBS]),"")</f>
        <v/>
      </c>
      <c r="AS468" s="135" t="str">
        <f>IF(ISNUMBER(Tab.o1[[#This Row],[a1]]),ROW()-4,"")</f>
        <v/>
      </c>
      <c r="AT468" s="136" t="str">
        <f>Tab.o1[[#This Row],[MOD]]</f>
        <v/>
      </c>
      <c r="AU468" s="137" t="str">
        <f t="shared" si="29"/>
        <v/>
      </c>
      <c r="AV468" s="138" t="str">
        <f t="shared" si="30"/>
        <v/>
      </c>
      <c r="AW468" s="138" t="str">
        <f t="shared" si="31"/>
        <v/>
      </c>
      <c r="AX468" s="139" t="str">
        <f>[1]!T.in.A[[#This Row],[ID_T_manu]]</f>
        <v/>
      </c>
      <c r="AY468" s="140" t="str">
        <f>IF(ISNUMBER(Tab.o1[[#This Row],[a1]]),IF(AND(Tab.o1[[#This Row],[a1]]=1,Tab.o1[[#This Row],[b1]]&lt;=AY$4),#REF!,AY467),"")</f>
        <v/>
      </c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</row>
    <row r="469" spans="1:79" ht="15.75" hidden="1">
      <c r="A469" s="109">
        <v>1.0000000000000001E-5</v>
      </c>
      <c r="B469" s="110">
        <f t="shared" si="28"/>
        <v>469</v>
      </c>
      <c r="C469" s="111" t="str">
        <f>IF(C$1=[1]!T.in.A[[#This Row],[oo2]],1,"")</f>
        <v/>
      </c>
      <c r="D469" s="112" t="str">
        <f>IF(Tab.o1[[#This Row],[a1]]=1,IF(SUM(C469:C470)=0,0,IF(SUM(C468:C469)=1,1,IF(SUM(C468:C470)&gt;1,D468+1,0))),"")</f>
        <v/>
      </c>
      <c r="E469" s="113" t="str">
        <f>IF(Tab.o1[[#This Row],[a1]]=1,[1]!T.in.A[[#This Row],[oo1]],"")</f>
        <v/>
      </c>
      <c r="F469" s="113" t="str">
        <f>IF(Tab.o1[[#This Row],[a1]]=1,[1]!T.in.A[[#This Row],[pp1]],"")</f>
        <v/>
      </c>
      <c r="G469" s="114" t="str">
        <f>IF(Tab.o1[[#This Row],[a1]]=1,G$2+IF(G$1=1,0,Tab.o1[[#This Row],[.x1]])+[1]!T.in.A[[#This Row],[oo3]],"")</f>
        <v/>
      </c>
      <c r="H469" s="115" t="str">
        <f>IF(Tab.o1[[#This Row],[a1]]=1,IF(H$2=0,0,IF(G$1=1,0,Tab.o1[[#This Row],[.x1]])+[1]!T.in.A[[#This Row],[oo4]]),"")</f>
        <v/>
      </c>
      <c r="I469" s="116" t="str">
        <f>IF(Tab.o1[[#This Row],[a1]]=1,IF(J$2=0,Tab.o1[[#This Row],[MED]],Tab.o1[[#This Row],[MOD]]),"")</f>
        <v/>
      </c>
      <c r="J469" s="116" t="str">
        <f>IF(Tab.o1[[#This Row],[a1]]=1,((Tab.o1[[#This Row],[DIF_Target.]]-AVERAGE(Tab.o1[DIF_Target.]))/_xlfn.STDEV.P(Tab.o1[DIF_Target.])),"")</f>
        <v/>
      </c>
      <c r="K469" s="117" t="str">
        <f>IF(Tab.o1[[#This Row],[a1]]=1,IF(J$2=0,Tab.o1[[#This Row],[MOD]]-Tab.o1[[#This Row],[B]],IF(J$2=1,0,-Tab.o1[[#This Row],[MED]])+Tab.o1[[#This Row],[B]]),"")</f>
        <v/>
      </c>
      <c r="L469" s="117" t="str">
        <f ca="1">IF(Tab.o1[[#This Row],[DIF_Target]]=0,IF(L$2=0,Tab.o1[[#This Row],[DIF_Target]],AVERAGE(OFFSET(Tab.o1[[#This Row],[DIF_Target]],1,0,L$3,1)))/3,Tab.o1[[#This Row],[DIF_Target]])</f>
        <v/>
      </c>
      <c r="M469" s="118" t="str">
        <f>IF(Tab.o1[[#This Row],[a1]]=1,NORMSDIST(Tab.o1[[#This Row],[Za]]),"")</f>
        <v/>
      </c>
      <c r="N469" s="119" t="str">
        <f>IF(Tab.o1[[#This Row],[a1]]=1,((Tab.o1[[#This Row],[MedMod]]-AVERAGE(Tab.o1[MedMod]))/_xlfn.STDEV.P(Tab.o1[MedMod])*H$1205)+G$1205,"")</f>
        <v/>
      </c>
      <c r="O469" s="141" t="str">
        <f>IF(Tab.o1[[#This Row],[a1]]=1,Tab.o1[[#This Row],[Zb]]*_xlfn.STDEV.P(Tab.o1[MedMod])+AVERAGE(Tab.o1[MedMod]),"")</f>
        <v/>
      </c>
      <c r="P469" s="117" t="str">
        <f ca="1">IF(Tab.o1[[#This Row],[B]]=0,AVERAGE(OFFSET(Tab.o1[[#This Row],[B]],1,0,L$3,1)),Tab.o1[[#This Row],[B]])</f>
        <v/>
      </c>
      <c r="Q469" s="121" t="str">
        <f>IF(Tab.o1[[#This Row],[a1]]=1,NORMSDIST(Tab.o1[[#This Row],[Zb]]),"")</f>
        <v/>
      </c>
      <c r="R469" s="122" t="str">
        <f>IF(Tab.o1[[#This Row],[a1]]=1,((Tab.o1[[#This Row],[MedMod]]-AVERAGE(Tab.o1[MedMod]))/_xlfn.STDEV.P(Tab.o1[MedMod])*H$1203)+G$1203,"")</f>
        <v/>
      </c>
      <c r="S469" s="122" t="str">
        <f>IF(Tab.o1[[#This Row],[a1]]=1,((Tab.o1[[#This Row],[MedMod]]-AVERAGE(Tab.o1[MedMod]))/_xlfn.STDEV.P(Tab.o1[MedMod])*H$1204)+G$1204,"")</f>
        <v/>
      </c>
      <c r="T469" s="123" t="str">
        <f>IF(Tab.o1[[#This Row],[a1]]=1,Tab.o1[[#This Row],[Z-]]*_xlfn.STDEV.P(Tab.o1[B])+AVERAGE(Tab.o1[B]),"")</f>
        <v/>
      </c>
      <c r="U469" s="123" t="str">
        <f>IF(Tab.o1[[#This Row],[a1]]=1,Tab.o1[[#This Row],[z+]]*_xlfn.STDEV.P(Tab.o1[B])+AVERAGE(Tab.o1[B]),"")</f>
        <v/>
      </c>
      <c r="V469" s="124" t="str">
        <f>IF(Tab.o1[[#This Row],[a1]]=1,ABS((ABS(Tab.o1[[#This Row],[Red]]-Tab.o1[[#This Row],[Blue]]))),"")</f>
        <v/>
      </c>
      <c r="W469" s="125" t="str">
        <f>IF(Tab.o1[[#This Row],[a1]]=1,IF(W$3=0,1,Tab.o1[[#This Row],[Amp.]]*1/_xlfn.MINIFS(Tab.o1[Amp.],Tab.o1[Amp.],"&lt;&gt;0")),"")</f>
        <v/>
      </c>
      <c r="X469" s="126" t="str">
        <f>IF(Tab.o1[[#This Row],[a1]]=1,IF(ISNUMBER(Tab.o1[[#This Row],[i.]]),NORMDIST(Tab.o1[[#This Row],[Za]],0,1,FALSE)*Tab.o1[[#This Row],[i.]],AP$3),"")</f>
        <v/>
      </c>
      <c r="Y469" s="126" t="str">
        <f>IF(Tab.o1[[#This Row],[a1]]=1,0.01+0.94*Tab.o1[[#This Row],[PDF]]/MAX(Tab.o1[PDF]),"")</f>
        <v/>
      </c>
      <c r="Z469" s="126" t="str">
        <f>IF(Tab.o1[[#This Row],[a1]]=1,0.01+0.94*Tab.o1[[#This Row],[W1_PDF]]/MAX(Tab.o1[W1_PDF]),"")</f>
        <v/>
      </c>
      <c r="AA469" s="118" t="str">
        <f>IF(Tab.o1[[#This Row],[a1]]=1,ABS([1]!T.in.A[[#This Row],[oo6]]),"")</f>
        <v/>
      </c>
      <c r="AB469" s="127" t="str">
        <f>IF(Tab.o1[[#This Row],[a1]]=1,IF(AE$3=0,"",IF(AB$3=0,ABS([1]!T.in.A[[#This Row],[oo9]]),ABS(Tab.o1[[#This Row],[DIF_Target.]]*Tab.o1[[#This Row],[W1_PDF]]))),"")</f>
        <v/>
      </c>
      <c r="AC469" s="127" t="str">
        <f>IF(G$1=1,"",IF(Tab.o1[[#This Row],[a1]]=1,Tab.o1[[#This Row],[Wr]]^2,""))</f>
        <v/>
      </c>
      <c r="AD469" s="118" t="str">
        <f>IF(Tab.o1[[#This Row],[a1]]=1,IF(AE$3=0,"",Tab.o1[[#This Row],[Wr2]]/SUM(Tab.o1[Wr2])),"")</f>
        <v/>
      </c>
      <c r="AE469" s="128" t="str">
        <f>IF(Tab.o1[[#This Row],[a1]]=1,[1]!T.in.A[[#This Row],[oo10]],"")</f>
        <v/>
      </c>
      <c r="AF469" s="118" t="str">
        <f>IF(Tab.o1[[#This Row],[a1]]=1,ABS(Tab.o1[[#This Row],[DIF_Target.]]*Tab.o1[[#This Row],[PDF2]]*Tab.o1[[#This Row],[IN]]),"")</f>
        <v/>
      </c>
      <c r="AG469" s="129" t="str">
        <f>IF(Tab.o1[[#This Row],[a1]]=1,Tab.o1[[#This Row],[rW]]^2,"")</f>
        <v/>
      </c>
      <c r="AH469" s="130" t="str">
        <f>IF(Tab.o1[[#This Row],[a1]]=1,IF(AH$3=0,Tab.o1[[#This Row],[rW2]],0.01+0.94*Tab.o1[[#This Row],[rW2]]/SUM(Tab.o1[rW2])),"")</f>
        <v/>
      </c>
      <c r="AI469" s="128" t="str">
        <f>IF(Tab.o1[[#This Row],[a1]]=1,1/Tab.o1[[#This Row],[PDF]],"")</f>
        <v/>
      </c>
      <c r="AJ469" s="131" t="str">
        <f>IF(Tab.o1[[#This Row],[a1]]=1,[1]!T_AA[[#This Row],[IN'']]*[1]!T_AA[[#This Row],[Qde'']],"")</f>
        <v/>
      </c>
      <c r="AK469" s="132" t="str">
        <f>IF(Tab.o1[[#This Row],[a1]]=1,IF(AK$1=1,Tab.o1[[#This Row],[MED]]+Tab.o1[[#This Row],[MOD]]-Tab.o1[[#This Row],[MED]],""),"")</f>
        <v/>
      </c>
      <c r="AL469" s="133" t="str">
        <f>IF(Tab.o1[[#This Row],[a1]]=1,[1]!T.in.A[[#This Row],[oo16]],"")</f>
        <v/>
      </c>
      <c r="AM469" s="133" t="str">
        <f>IF(Tab.o1[[#This Row],[a1]]=1,IF(AM$3=1,[1]!T.in.A[[#This Row],[Σo16]],""),"")</f>
        <v/>
      </c>
      <c r="AN469" s="126" t="str">
        <f>IF(Tab.o1[[#This Row],[a1]]=1,[1]!T.in.A[[#This Row],[Σp5]],"")</f>
        <v/>
      </c>
      <c r="AO469" s="126" t="str">
        <f>IF(Tab.o1[[#This Row],[a1]]=1,IF(AO$3=1,[1]!T.in.A[[#This Row],[Σp5]],""),"")</f>
        <v/>
      </c>
      <c r="AP469" s="110" t="str">
        <f>IF(Tab.o1[[#This Row],[a1]]=1,IF(ISNUMBER(Tab.o1[[#This Row],[i.]]),NORMDIST(Tab.o1[[#This Row],[Za]],0,1,FALSE)*Tab.o1[[#This Row],[i.]],0),"")</f>
        <v/>
      </c>
      <c r="AQ469" s="125" t="str">
        <f>IF(Tab.o1[[#This Row],[a1]]=1,ABS(Tab.o1[[#This Row],[MOD]]-AVERAGE(Tab.o1[MOD])),"")</f>
        <v/>
      </c>
      <c r="AR469" s="134" t="str">
        <f>IF(Tab.o1[[#This Row],[a1]]=1,Tab.o1[[#This Row],[OBS]]/SUM(Tab.o1[OBS]),"")</f>
        <v/>
      </c>
      <c r="AS469" s="135" t="str">
        <f>IF(ISNUMBER(Tab.o1[[#This Row],[a1]]),ROW()-4,"")</f>
        <v/>
      </c>
      <c r="AT469" s="136" t="str">
        <f>Tab.o1[[#This Row],[MOD]]</f>
        <v/>
      </c>
      <c r="AU469" s="137" t="str">
        <f t="shared" si="29"/>
        <v/>
      </c>
      <c r="AV469" s="138" t="str">
        <f t="shared" si="30"/>
        <v/>
      </c>
      <c r="AW469" s="138" t="str">
        <f t="shared" si="31"/>
        <v/>
      </c>
      <c r="AX469" s="139" t="str">
        <f>[1]!T.in.A[[#This Row],[ID_T_manu]]</f>
        <v/>
      </c>
      <c r="AY469" s="140" t="str">
        <f>IF(ISNUMBER(Tab.o1[[#This Row],[a1]]),IF(AND(Tab.o1[[#This Row],[a1]]=1,Tab.o1[[#This Row],[b1]]&lt;=AY$4),#REF!,AY468),"")</f>
        <v/>
      </c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</row>
    <row r="470" spans="1:79" ht="15.75" hidden="1">
      <c r="A470" s="109">
        <v>5.0000000000000004E-6</v>
      </c>
      <c r="B470" s="110">
        <f t="shared" si="28"/>
        <v>470</v>
      </c>
      <c r="C470" s="111" t="str">
        <f>IF(C$1=[1]!T.in.A[[#This Row],[oo2]],1,"")</f>
        <v/>
      </c>
      <c r="D470" s="112" t="str">
        <f>IF(Tab.o1[[#This Row],[a1]]=1,IF(SUM(C470:C471)=0,0,IF(SUM(C469:C470)=1,1,IF(SUM(C469:C471)&gt;1,D469+1,0))),"")</f>
        <v/>
      </c>
      <c r="E470" s="113" t="str">
        <f>IF(Tab.o1[[#This Row],[a1]]=1,[1]!T.in.A[[#This Row],[oo1]],"")</f>
        <v/>
      </c>
      <c r="F470" s="113" t="str">
        <f>IF(Tab.o1[[#This Row],[a1]]=1,[1]!T.in.A[[#This Row],[pp1]],"")</f>
        <v/>
      </c>
      <c r="G470" s="114" t="str">
        <f>IF(Tab.o1[[#This Row],[a1]]=1,G$2+IF(G$1=1,0,Tab.o1[[#This Row],[.x1]])+[1]!T.in.A[[#This Row],[oo3]],"")</f>
        <v/>
      </c>
      <c r="H470" s="115" t="str">
        <f>IF(Tab.o1[[#This Row],[a1]]=1,IF(H$2=0,0,IF(G$1=1,0,Tab.o1[[#This Row],[.x1]])+[1]!T.in.A[[#This Row],[oo4]]),"")</f>
        <v/>
      </c>
      <c r="I470" s="116" t="str">
        <f>IF(Tab.o1[[#This Row],[a1]]=1,IF(J$2=0,Tab.o1[[#This Row],[MED]],Tab.o1[[#This Row],[MOD]]),"")</f>
        <v/>
      </c>
      <c r="J470" s="116" t="str">
        <f>IF(Tab.o1[[#This Row],[a1]]=1,((Tab.o1[[#This Row],[DIF_Target.]]-AVERAGE(Tab.o1[DIF_Target.]))/_xlfn.STDEV.P(Tab.o1[DIF_Target.])),"")</f>
        <v/>
      </c>
      <c r="K470" s="117" t="str">
        <f>IF(Tab.o1[[#This Row],[a1]]=1,IF(J$2=0,Tab.o1[[#This Row],[MOD]]-Tab.o1[[#This Row],[B]],IF(J$2=1,0,-Tab.o1[[#This Row],[MED]])+Tab.o1[[#This Row],[B]]),"")</f>
        <v/>
      </c>
      <c r="L470" s="117" t="str">
        <f ca="1">IF(Tab.o1[[#This Row],[DIF_Target]]=0,IF(L$2=0,Tab.o1[[#This Row],[DIF_Target]],AVERAGE(OFFSET(Tab.o1[[#This Row],[DIF_Target]],1,0,L$3,1)))/3,Tab.o1[[#This Row],[DIF_Target]])</f>
        <v/>
      </c>
      <c r="M470" s="118" t="str">
        <f>IF(Tab.o1[[#This Row],[a1]]=1,NORMSDIST(Tab.o1[[#This Row],[Za]]),"")</f>
        <v/>
      </c>
      <c r="N470" s="119" t="str">
        <f>IF(Tab.o1[[#This Row],[a1]]=1,((Tab.o1[[#This Row],[MedMod]]-AVERAGE(Tab.o1[MedMod]))/_xlfn.STDEV.P(Tab.o1[MedMod])*H$1205)+G$1205,"")</f>
        <v/>
      </c>
      <c r="O470" s="141" t="str">
        <f>IF(Tab.o1[[#This Row],[a1]]=1,Tab.o1[[#This Row],[Zb]]*_xlfn.STDEV.P(Tab.o1[MedMod])+AVERAGE(Tab.o1[MedMod]),"")</f>
        <v/>
      </c>
      <c r="P470" s="117" t="str">
        <f ca="1">IF(Tab.o1[[#This Row],[B]]=0,AVERAGE(OFFSET(Tab.o1[[#This Row],[B]],1,0,L$3,1)),Tab.o1[[#This Row],[B]])</f>
        <v/>
      </c>
      <c r="Q470" s="121" t="str">
        <f>IF(Tab.o1[[#This Row],[a1]]=1,NORMSDIST(Tab.o1[[#This Row],[Zb]]),"")</f>
        <v/>
      </c>
      <c r="R470" s="122" t="str">
        <f>IF(Tab.o1[[#This Row],[a1]]=1,((Tab.o1[[#This Row],[MedMod]]-AVERAGE(Tab.o1[MedMod]))/_xlfn.STDEV.P(Tab.o1[MedMod])*H$1203)+G$1203,"")</f>
        <v/>
      </c>
      <c r="S470" s="122" t="str">
        <f>IF(Tab.o1[[#This Row],[a1]]=1,((Tab.o1[[#This Row],[MedMod]]-AVERAGE(Tab.o1[MedMod]))/_xlfn.STDEV.P(Tab.o1[MedMod])*H$1204)+G$1204,"")</f>
        <v/>
      </c>
      <c r="T470" s="123" t="str">
        <f>IF(Tab.o1[[#This Row],[a1]]=1,Tab.o1[[#This Row],[Z-]]*_xlfn.STDEV.P(Tab.o1[B])+AVERAGE(Tab.o1[B]),"")</f>
        <v/>
      </c>
      <c r="U470" s="123" t="str">
        <f>IF(Tab.o1[[#This Row],[a1]]=1,Tab.o1[[#This Row],[z+]]*_xlfn.STDEV.P(Tab.o1[B])+AVERAGE(Tab.o1[B]),"")</f>
        <v/>
      </c>
      <c r="V470" s="124" t="str">
        <f>IF(Tab.o1[[#This Row],[a1]]=1,ABS((ABS(Tab.o1[[#This Row],[Red]]-Tab.o1[[#This Row],[Blue]]))),"")</f>
        <v/>
      </c>
      <c r="W470" s="125" t="str">
        <f>IF(Tab.o1[[#This Row],[a1]]=1,IF(W$3=0,1,Tab.o1[[#This Row],[Amp.]]*1/_xlfn.MINIFS(Tab.o1[Amp.],Tab.o1[Amp.],"&lt;&gt;0")),"")</f>
        <v/>
      </c>
      <c r="X470" s="126" t="str">
        <f>IF(Tab.o1[[#This Row],[a1]]=1,IF(ISNUMBER(Tab.o1[[#This Row],[i.]]),NORMDIST(Tab.o1[[#This Row],[Za]],0,1,FALSE)*Tab.o1[[#This Row],[i.]],AP$3),"")</f>
        <v/>
      </c>
      <c r="Y470" s="126" t="str">
        <f>IF(Tab.o1[[#This Row],[a1]]=1,0.01+0.94*Tab.o1[[#This Row],[PDF]]/MAX(Tab.o1[PDF]),"")</f>
        <v/>
      </c>
      <c r="Z470" s="126" t="str">
        <f>IF(Tab.o1[[#This Row],[a1]]=1,0.01+0.94*Tab.o1[[#This Row],[W1_PDF]]/MAX(Tab.o1[W1_PDF]),"")</f>
        <v/>
      </c>
      <c r="AA470" s="118" t="str">
        <f>IF(Tab.o1[[#This Row],[a1]]=1,ABS([1]!T.in.A[[#This Row],[oo6]]),"")</f>
        <v/>
      </c>
      <c r="AB470" s="127" t="str">
        <f>IF(Tab.o1[[#This Row],[a1]]=1,IF(AE$3=0,"",IF(AB$3=0,ABS([1]!T.in.A[[#This Row],[oo9]]),ABS(Tab.o1[[#This Row],[DIF_Target.]]*Tab.o1[[#This Row],[W1_PDF]]))),"")</f>
        <v/>
      </c>
      <c r="AC470" s="127" t="str">
        <f>IF(G$1=1,"",IF(Tab.o1[[#This Row],[a1]]=1,Tab.o1[[#This Row],[Wr]]^2,""))</f>
        <v/>
      </c>
      <c r="AD470" s="118" t="str">
        <f>IF(Tab.o1[[#This Row],[a1]]=1,IF(AE$3=0,"",Tab.o1[[#This Row],[Wr2]]/SUM(Tab.o1[Wr2])),"")</f>
        <v/>
      </c>
      <c r="AE470" s="128" t="str">
        <f>IF(Tab.o1[[#This Row],[a1]]=1,[1]!T.in.A[[#This Row],[oo10]],"")</f>
        <v/>
      </c>
      <c r="AF470" s="118" t="str">
        <f>IF(Tab.o1[[#This Row],[a1]]=1,ABS(Tab.o1[[#This Row],[DIF_Target.]]*Tab.o1[[#This Row],[PDF2]]*Tab.o1[[#This Row],[IN]]),"")</f>
        <v/>
      </c>
      <c r="AG470" s="129" t="str">
        <f>IF(Tab.o1[[#This Row],[a1]]=1,Tab.o1[[#This Row],[rW]]^2,"")</f>
        <v/>
      </c>
      <c r="AH470" s="130" t="str">
        <f>IF(Tab.o1[[#This Row],[a1]]=1,IF(AH$3=0,Tab.o1[[#This Row],[rW2]],0.01+0.94*Tab.o1[[#This Row],[rW2]]/SUM(Tab.o1[rW2])),"")</f>
        <v/>
      </c>
      <c r="AI470" s="128" t="str">
        <f>IF(Tab.o1[[#This Row],[a1]]=1,1/Tab.o1[[#This Row],[PDF]],"")</f>
        <v/>
      </c>
      <c r="AJ470" s="131" t="str">
        <f>IF(Tab.o1[[#This Row],[a1]]=1,[1]!T_AA[[#This Row],[IN'']]*[1]!T_AA[[#This Row],[Qde'']],"")</f>
        <v/>
      </c>
      <c r="AK470" s="132" t="str">
        <f>IF(Tab.o1[[#This Row],[a1]]=1,IF(AK$1=1,Tab.o1[[#This Row],[MED]]+Tab.o1[[#This Row],[MOD]]-Tab.o1[[#This Row],[MED]],""),"")</f>
        <v/>
      </c>
      <c r="AL470" s="133" t="str">
        <f>IF(Tab.o1[[#This Row],[a1]]=1,[1]!T.in.A[[#This Row],[oo16]],"")</f>
        <v/>
      </c>
      <c r="AM470" s="133" t="str">
        <f>IF(Tab.o1[[#This Row],[a1]]=1,IF(AM$3=1,[1]!T.in.A[[#This Row],[Σo16]],""),"")</f>
        <v/>
      </c>
      <c r="AN470" s="126" t="str">
        <f>IF(Tab.o1[[#This Row],[a1]]=1,[1]!T.in.A[[#This Row],[Σp5]],"")</f>
        <v/>
      </c>
      <c r="AO470" s="126" t="str">
        <f>IF(Tab.o1[[#This Row],[a1]]=1,IF(AO$3=1,[1]!T.in.A[[#This Row],[Σp5]],""),"")</f>
        <v/>
      </c>
      <c r="AP470" s="110" t="str">
        <f>IF(Tab.o1[[#This Row],[a1]]=1,IF(ISNUMBER(Tab.o1[[#This Row],[i.]]),NORMDIST(Tab.o1[[#This Row],[Za]],0,1,FALSE)*Tab.o1[[#This Row],[i.]],0),"")</f>
        <v/>
      </c>
      <c r="AQ470" s="125" t="str">
        <f>IF(Tab.o1[[#This Row],[a1]]=1,ABS(Tab.o1[[#This Row],[MOD]]-AVERAGE(Tab.o1[MOD])),"")</f>
        <v/>
      </c>
      <c r="AR470" s="134" t="str">
        <f>IF(Tab.o1[[#This Row],[a1]]=1,Tab.o1[[#This Row],[OBS]]/SUM(Tab.o1[OBS]),"")</f>
        <v/>
      </c>
      <c r="AS470" s="135" t="str">
        <f>IF(ISNUMBER(Tab.o1[[#This Row],[a1]]),ROW()-4,"")</f>
        <v/>
      </c>
      <c r="AT470" s="136" t="str">
        <f>Tab.o1[[#This Row],[MOD]]</f>
        <v/>
      </c>
      <c r="AU470" s="137" t="str">
        <f t="shared" si="29"/>
        <v/>
      </c>
      <c r="AV470" s="138" t="str">
        <f t="shared" si="30"/>
        <v/>
      </c>
      <c r="AW470" s="138" t="str">
        <f t="shared" si="31"/>
        <v/>
      </c>
      <c r="AX470" s="139" t="str">
        <f>[1]!T.in.A[[#This Row],[ID_T_manu]]</f>
        <v/>
      </c>
      <c r="AY470" s="140" t="str">
        <f>IF(ISNUMBER(Tab.o1[[#This Row],[a1]]),IF(AND(Tab.o1[[#This Row],[a1]]=1,Tab.o1[[#This Row],[b1]]&lt;=AY$4),#REF!,AY469),"")</f>
        <v/>
      </c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</row>
    <row r="471" spans="1:79" ht="15.75" hidden="1">
      <c r="A471" s="109">
        <v>-5.0000000000000004E-6</v>
      </c>
      <c r="B471" s="110">
        <f t="shared" si="28"/>
        <v>471</v>
      </c>
      <c r="C471" s="111" t="str">
        <f>IF(C$1=[1]!T.in.A[[#This Row],[oo2]],1,"")</f>
        <v/>
      </c>
      <c r="D471" s="112" t="str">
        <f>IF(Tab.o1[[#This Row],[a1]]=1,IF(SUM(C471:C472)=0,0,IF(SUM(C470:C471)=1,1,IF(SUM(C470:C472)&gt;1,D470+1,0))),"")</f>
        <v/>
      </c>
      <c r="E471" s="113" t="str">
        <f>IF(Tab.o1[[#This Row],[a1]]=1,[1]!T.in.A[[#This Row],[oo1]],"")</f>
        <v/>
      </c>
      <c r="F471" s="113" t="str">
        <f>IF(Tab.o1[[#This Row],[a1]]=1,[1]!T.in.A[[#This Row],[pp1]],"")</f>
        <v/>
      </c>
      <c r="G471" s="114" t="str">
        <f>IF(Tab.o1[[#This Row],[a1]]=1,G$2+IF(G$1=1,0,Tab.o1[[#This Row],[.x1]])+[1]!T.in.A[[#This Row],[oo3]],"")</f>
        <v/>
      </c>
      <c r="H471" s="115" t="str">
        <f>IF(Tab.o1[[#This Row],[a1]]=1,IF(H$2=0,0,IF(G$1=1,0,Tab.o1[[#This Row],[.x1]])+[1]!T.in.A[[#This Row],[oo4]]),"")</f>
        <v/>
      </c>
      <c r="I471" s="116" t="str">
        <f>IF(Tab.o1[[#This Row],[a1]]=1,IF(J$2=0,Tab.o1[[#This Row],[MED]],Tab.o1[[#This Row],[MOD]]),"")</f>
        <v/>
      </c>
      <c r="J471" s="116" t="str">
        <f>IF(Tab.o1[[#This Row],[a1]]=1,((Tab.o1[[#This Row],[DIF_Target.]]-AVERAGE(Tab.o1[DIF_Target.]))/_xlfn.STDEV.P(Tab.o1[DIF_Target.])),"")</f>
        <v/>
      </c>
      <c r="K471" s="117" t="str">
        <f>IF(Tab.o1[[#This Row],[a1]]=1,IF(J$2=0,Tab.o1[[#This Row],[MOD]]-Tab.o1[[#This Row],[B]],IF(J$2=1,0,-Tab.o1[[#This Row],[MED]])+Tab.o1[[#This Row],[B]]),"")</f>
        <v/>
      </c>
      <c r="L471" s="117" t="str">
        <f ca="1">IF(Tab.o1[[#This Row],[DIF_Target]]=0,IF(L$2=0,Tab.o1[[#This Row],[DIF_Target]],AVERAGE(OFFSET(Tab.o1[[#This Row],[DIF_Target]],1,0,L$3,1)))/3,Tab.o1[[#This Row],[DIF_Target]])</f>
        <v/>
      </c>
      <c r="M471" s="118" t="str">
        <f>IF(Tab.o1[[#This Row],[a1]]=1,NORMSDIST(Tab.o1[[#This Row],[Za]]),"")</f>
        <v/>
      </c>
      <c r="N471" s="119" t="str">
        <f>IF(Tab.o1[[#This Row],[a1]]=1,((Tab.o1[[#This Row],[MedMod]]-AVERAGE(Tab.o1[MedMod]))/_xlfn.STDEV.P(Tab.o1[MedMod])*H$1205)+G$1205,"")</f>
        <v/>
      </c>
      <c r="O471" s="141" t="str">
        <f>IF(Tab.o1[[#This Row],[a1]]=1,Tab.o1[[#This Row],[Zb]]*_xlfn.STDEV.P(Tab.o1[MedMod])+AVERAGE(Tab.o1[MedMod]),"")</f>
        <v/>
      </c>
      <c r="P471" s="117" t="str">
        <f ca="1">IF(Tab.o1[[#This Row],[B]]=0,AVERAGE(OFFSET(Tab.o1[[#This Row],[B]],1,0,L$3,1)),Tab.o1[[#This Row],[B]])</f>
        <v/>
      </c>
      <c r="Q471" s="121" t="str">
        <f>IF(Tab.o1[[#This Row],[a1]]=1,NORMSDIST(Tab.o1[[#This Row],[Zb]]),"")</f>
        <v/>
      </c>
      <c r="R471" s="122" t="str">
        <f>IF(Tab.o1[[#This Row],[a1]]=1,((Tab.o1[[#This Row],[MedMod]]-AVERAGE(Tab.o1[MedMod]))/_xlfn.STDEV.P(Tab.o1[MedMod])*H$1203)+G$1203,"")</f>
        <v/>
      </c>
      <c r="S471" s="122" t="str">
        <f>IF(Tab.o1[[#This Row],[a1]]=1,((Tab.o1[[#This Row],[MedMod]]-AVERAGE(Tab.o1[MedMod]))/_xlfn.STDEV.P(Tab.o1[MedMod])*H$1204)+G$1204,"")</f>
        <v/>
      </c>
      <c r="T471" s="123" t="str">
        <f>IF(Tab.o1[[#This Row],[a1]]=1,Tab.o1[[#This Row],[Z-]]*_xlfn.STDEV.P(Tab.o1[B])+AVERAGE(Tab.o1[B]),"")</f>
        <v/>
      </c>
      <c r="U471" s="123" t="str">
        <f>IF(Tab.o1[[#This Row],[a1]]=1,Tab.o1[[#This Row],[z+]]*_xlfn.STDEV.P(Tab.o1[B])+AVERAGE(Tab.o1[B]),"")</f>
        <v/>
      </c>
      <c r="V471" s="124" t="str">
        <f>IF(Tab.o1[[#This Row],[a1]]=1,ABS((ABS(Tab.o1[[#This Row],[Red]]-Tab.o1[[#This Row],[Blue]]))),"")</f>
        <v/>
      </c>
      <c r="W471" s="125" t="str">
        <f>IF(Tab.o1[[#This Row],[a1]]=1,IF(W$3=0,1,Tab.o1[[#This Row],[Amp.]]*1/_xlfn.MINIFS(Tab.o1[Amp.],Tab.o1[Amp.],"&lt;&gt;0")),"")</f>
        <v/>
      </c>
      <c r="X471" s="126" t="str">
        <f>IF(Tab.o1[[#This Row],[a1]]=1,IF(ISNUMBER(Tab.o1[[#This Row],[i.]]),NORMDIST(Tab.o1[[#This Row],[Za]],0,1,FALSE)*Tab.o1[[#This Row],[i.]],AP$3),"")</f>
        <v/>
      </c>
      <c r="Y471" s="126" t="str">
        <f>IF(Tab.o1[[#This Row],[a1]]=1,0.01+0.94*Tab.o1[[#This Row],[PDF]]/MAX(Tab.o1[PDF]),"")</f>
        <v/>
      </c>
      <c r="Z471" s="126" t="str">
        <f>IF(Tab.o1[[#This Row],[a1]]=1,0.01+0.94*Tab.o1[[#This Row],[W1_PDF]]/MAX(Tab.o1[W1_PDF]),"")</f>
        <v/>
      </c>
      <c r="AA471" s="118" t="str">
        <f>IF(Tab.o1[[#This Row],[a1]]=1,ABS([1]!T.in.A[[#This Row],[oo6]]),"")</f>
        <v/>
      </c>
      <c r="AB471" s="127" t="str">
        <f>IF(Tab.o1[[#This Row],[a1]]=1,IF(AE$3=0,"",IF(AB$3=0,ABS([1]!T.in.A[[#This Row],[oo9]]),ABS(Tab.o1[[#This Row],[DIF_Target.]]*Tab.o1[[#This Row],[W1_PDF]]))),"")</f>
        <v/>
      </c>
      <c r="AC471" s="127" t="str">
        <f>IF(G$1=1,"",IF(Tab.o1[[#This Row],[a1]]=1,Tab.o1[[#This Row],[Wr]]^2,""))</f>
        <v/>
      </c>
      <c r="AD471" s="118" t="str">
        <f>IF(Tab.o1[[#This Row],[a1]]=1,IF(AE$3=0,"",Tab.o1[[#This Row],[Wr2]]/SUM(Tab.o1[Wr2])),"")</f>
        <v/>
      </c>
      <c r="AE471" s="128" t="str">
        <f>IF(Tab.o1[[#This Row],[a1]]=1,[1]!T.in.A[[#This Row],[oo10]],"")</f>
        <v/>
      </c>
      <c r="AF471" s="118" t="str">
        <f>IF(Tab.o1[[#This Row],[a1]]=1,ABS(Tab.o1[[#This Row],[DIF_Target.]]*Tab.o1[[#This Row],[PDF2]]*Tab.o1[[#This Row],[IN]]),"")</f>
        <v/>
      </c>
      <c r="AG471" s="129" t="str">
        <f>IF(Tab.o1[[#This Row],[a1]]=1,Tab.o1[[#This Row],[rW]]^2,"")</f>
        <v/>
      </c>
      <c r="AH471" s="130" t="str">
        <f>IF(Tab.o1[[#This Row],[a1]]=1,IF(AH$3=0,Tab.o1[[#This Row],[rW2]],0.01+0.94*Tab.o1[[#This Row],[rW2]]/SUM(Tab.o1[rW2])),"")</f>
        <v/>
      </c>
      <c r="AI471" s="128" t="str">
        <f>IF(Tab.o1[[#This Row],[a1]]=1,1/Tab.o1[[#This Row],[PDF]],"")</f>
        <v/>
      </c>
      <c r="AJ471" s="131" t="str">
        <f>IF(Tab.o1[[#This Row],[a1]]=1,[1]!T_AA[[#This Row],[IN'']]*[1]!T_AA[[#This Row],[Qde'']],"")</f>
        <v/>
      </c>
      <c r="AK471" s="132" t="str">
        <f>IF(Tab.o1[[#This Row],[a1]]=1,IF(AK$1=1,Tab.o1[[#This Row],[MED]]+Tab.o1[[#This Row],[MOD]]-Tab.o1[[#This Row],[MED]],""),"")</f>
        <v/>
      </c>
      <c r="AL471" s="133" t="str">
        <f>IF(Tab.o1[[#This Row],[a1]]=1,[1]!T.in.A[[#This Row],[oo16]],"")</f>
        <v/>
      </c>
      <c r="AM471" s="133" t="str">
        <f>IF(Tab.o1[[#This Row],[a1]]=1,IF(AM$3=1,[1]!T.in.A[[#This Row],[Σo16]],""),"")</f>
        <v/>
      </c>
      <c r="AN471" s="126" t="str">
        <f>IF(Tab.o1[[#This Row],[a1]]=1,[1]!T.in.A[[#This Row],[Σp5]],"")</f>
        <v/>
      </c>
      <c r="AO471" s="126" t="str">
        <f>IF(Tab.o1[[#This Row],[a1]]=1,IF(AO$3=1,[1]!T.in.A[[#This Row],[Σp5]],""),"")</f>
        <v/>
      </c>
      <c r="AP471" s="110" t="str">
        <f>IF(Tab.o1[[#This Row],[a1]]=1,IF(ISNUMBER(Tab.o1[[#This Row],[i.]]),NORMDIST(Tab.o1[[#This Row],[Za]],0,1,FALSE)*Tab.o1[[#This Row],[i.]],0),"")</f>
        <v/>
      </c>
      <c r="AQ471" s="125" t="str">
        <f>IF(Tab.o1[[#This Row],[a1]]=1,ABS(Tab.o1[[#This Row],[MOD]]-AVERAGE(Tab.o1[MOD])),"")</f>
        <v/>
      </c>
      <c r="AR471" s="134" t="str">
        <f>IF(Tab.o1[[#This Row],[a1]]=1,Tab.o1[[#This Row],[OBS]]/SUM(Tab.o1[OBS]),"")</f>
        <v/>
      </c>
      <c r="AS471" s="135" t="str">
        <f>IF(ISNUMBER(Tab.o1[[#This Row],[a1]]),ROW()-4,"")</f>
        <v/>
      </c>
      <c r="AT471" s="136" t="str">
        <f>Tab.o1[[#This Row],[MOD]]</f>
        <v/>
      </c>
      <c r="AU471" s="137" t="str">
        <f t="shared" si="29"/>
        <v/>
      </c>
      <c r="AV471" s="138" t="str">
        <f t="shared" si="30"/>
        <v/>
      </c>
      <c r="AW471" s="138" t="str">
        <f t="shared" si="31"/>
        <v/>
      </c>
      <c r="AX471" s="139" t="str">
        <f>[1]!T.in.A[[#This Row],[ID_T_manu]]</f>
        <v/>
      </c>
      <c r="AY471" s="140" t="str">
        <f>IF(ISNUMBER(Tab.o1[[#This Row],[a1]]),IF(AND(Tab.o1[[#This Row],[a1]]=1,Tab.o1[[#This Row],[b1]]&lt;=AY$4),#REF!,AY470),"")</f>
        <v/>
      </c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</row>
    <row r="472" spans="1:79" ht="15.75" hidden="1">
      <c r="A472" s="109">
        <v>4.0000000000000007E-6</v>
      </c>
      <c r="B472" s="110">
        <f t="shared" si="28"/>
        <v>472</v>
      </c>
      <c r="C472" s="111" t="str">
        <f>IF(C$1=[1]!T.in.A[[#This Row],[oo2]],1,"")</f>
        <v/>
      </c>
      <c r="D472" s="112" t="str">
        <f>IF(Tab.o1[[#This Row],[a1]]=1,IF(SUM(C472:C473)=0,0,IF(SUM(C471:C472)=1,1,IF(SUM(C471:C473)&gt;1,D471+1,0))),"")</f>
        <v/>
      </c>
      <c r="E472" s="113" t="str">
        <f>IF(Tab.o1[[#This Row],[a1]]=1,[1]!T.in.A[[#This Row],[oo1]],"")</f>
        <v/>
      </c>
      <c r="F472" s="113" t="str">
        <f>IF(Tab.o1[[#This Row],[a1]]=1,[1]!T.in.A[[#This Row],[pp1]],"")</f>
        <v/>
      </c>
      <c r="G472" s="114" t="str">
        <f>IF(Tab.o1[[#This Row],[a1]]=1,G$2+IF(G$1=1,0,Tab.o1[[#This Row],[.x1]])+[1]!T.in.A[[#This Row],[oo3]],"")</f>
        <v/>
      </c>
      <c r="H472" s="115" t="str">
        <f>IF(Tab.o1[[#This Row],[a1]]=1,IF(H$2=0,0,IF(G$1=1,0,Tab.o1[[#This Row],[.x1]])+[1]!T.in.A[[#This Row],[oo4]]),"")</f>
        <v/>
      </c>
      <c r="I472" s="116" t="str">
        <f>IF(Tab.o1[[#This Row],[a1]]=1,IF(J$2=0,Tab.o1[[#This Row],[MED]],Tab.o1[[#This Row],[MOD]]),"")</f>
        <v/>
      </c>
      <c r="J472" s="116" t="str">
        <f>IF(Tab.o1[[#This Row],[a1]]=1,((Tab.o1[[#This Row],[DIF_Target.]]-AVERAGE(Tab.o1[DIF_Target.]))/_xlfn.STDEV.P(Tab.o1[DIF_Target.])),"")</f>
        <v/>
      </c>
      <c r="K472" s="117" t="str">
        <f>IF(Tab.o1[[#This Row],[a1]]=1,IF(J$2=0,Tab.o1[[#This Row],[MOD]]-Tab.o1[[#This Row],[B]],IF(J$2=1,0,-Tab.o1[[#This Row],[MED]])+Tab.o1[[#This Row],[B]]),"")</f>
        <v/>
      </c>
      <c r="L472" s="117" t="str">
        <f ca="1">IF(Tab.o1[[#This Row],[DIF_Target]]=0,IF(L$2=0,Tab.o1[[#This Row],[DIF_Target]],AVERAGE(OFFSET(Tab.o1[[#This Row],[DIF_Target]],1,0,L$3,1)))/3,Tab.o1[[#This Row],[DIF_Target]])</f>
        <v/>
      </c>
      <c r="M472" s="118" t="str">
        <f>IF(Tab.o1[[#This Row],[a1]]=1,NORMSDIST(Tab.o1[[#This Row],[Za]]),"")</f>
        <v/>
      </c>
      <c r="N472" s="119" t="str">
        <f>IF(Tab.o1[[#This Row],[a1]]=1,((Tab.o1[[#This Row],[MedMod]]-AVERAGE(Tab.o1[MedMod]))/_xlfn.STDEV.P(Tab.o1[MedMod])*H$1205)+G$1205,"")</f>
        <v/>
      </c>
      <c r="O472" s="141" t="str">
        <f>IF(Tab.o1[[#This Row],[a1]]=1,Tab.o1[[#This Row],[Zb]]*_xlfn.STDEV.P(Tab.o1[MedMod])+AVERAGE(Tab.o1[MedMod]),"")</f>
        <v/>
      </c>
      <c r="P472" s="117" t="str">
        <f ca="1">IF(Tab.o1[[#This Row],[B]]=0,AVERAGE(OFFSET(Tab.o1[[#This Row],[B]],1,0,L$3,1)),Tab.o1[[#This Row],[B]])</f>
        <v/>
      </c>
      <c r="Q472" s="121" t="str">
        <f>IF(Tab.o1[[#This Row],[a1]]=1,NORMSDIST(Tab.o1[[#This Row],[Zb]]),"")</f>
        <v/>
      </c>
      <c r="R472" s="122" t="str">
        <f>IF(Tab.o1[[#This Row],[a1]]=1,((Tab.o1[[#This Row],[MedMod]]-AVERAGE(Tab.o1[MedMod]))/_xlfn.STDEV.P(Tab.o1[MedMod])*H$1203)+G$1203,"")</f>
        <v/>
      </c>
      <c r="S472" s="122" t="str">
        <f>IF(Tab.o1[[#This Row],[a1]]=1,((Tab.o1[[#This Row],[MedMod]]-AVERAGE(Tab.o1[MedMod]))/_xlfn.STDEV.P(Tab.o1[MedMod])*H$1204)+G$1204,"")</f>
        <v/>
      </c>
      <c r="T472" s="123" t="str">
        <f>IF(Tab.o1[[#This Row],[a1]]=1,Tab.o1[[#This Row],[Z-]]*_xlfn.STDEV.P(Tab.o1[B])+AVERAGE(Tab.o1[B]),"")</f>
        <v/>
      </c>
      <c r="U472" s="123" t="str">
        <f>IF(Tab.o1[[#This Row],[a1]]=1,Tab.o1[[#This Row],[z+]]*_xlfn.STDEV.P(Tab.o1[B])+AVERAGE(Tab.o1[B]),"")</f>
        <v/>
      </c>
      <c r="V472" s="124" t="str">
        <f>IF(Tab.o1[[#This Row],[a1]]=1,ABS((ABS(Tab.o1[[#This Row],[Red]]-Tab.o1[[#This Row],[Blue]]))),"")</f>
        <v/>
      </c>
      <c r="W472" s="125" t="str">
        <f>IF(Tab.o1[[#This Row],[a1]]=1,IF(W$3=0,1,Tab.o1[[#This Row],[Amp.]]*1/_xlfn.MINIFS(Tab.o1[Amp.],Tab.o1[Amp.],"&lt;&gt;0")),"")</f>
        <v/>
      </c>
      <c r="X472" s="126" t="str">
        <f>IF(Tab.o1[[#This Row],[a1]]=1,IF(ISNUMBER(Tab.o1[[#This Row],[i.]]),NORMDIST(Tab.o1[[#This Row],[Za]],0,1,FALSE)*Tab.o1[[#This Row],[i.]],AP$3),"")</f>
        <v/>
      </c>
      <c r="Y472" s="126" t="str">
        <f>IF(Tab.o1[[#This Row],[a1]]=1,0.01+0.94*Tab.o1[[#This Row],[PDF]]/MAX(Tab.o1[PDF]),"")</f>
        <v/>
      </c>
      <c r="Z472" s="126" t="str">
        <f>IF(Tab.o1[[#This Row],[a1]]=1,0.01+0.94*Tab.o1[[#This Row],[W1_PDF]]/MAX(Tab.o1[W1_PDF]),"")</f>
        <v/>
      </c>
      <c r="AA472" s="118" t="str">
        <f>IF(Tab.o1[[#This Row],[a1]]=1,ABS([1]!T.in.A[[#This Row],[oo6]]),"")</f>
        <v/>
      </c>
      <c r="AB472" s="127" t="str">
        <f>IF(Tab.o1[[#This Row],[a1]]=1,IF(AE$3=0,"",IF(AB$3=0,ABS([1]!T.in.A[[#This Row],[oo9]]),ABS(Tab.o1[[#This Row],[DIF_Target.]]*Tab.o1[[#This Row],[W1_PDF]]))),"")</f>
        <v/>
      </c>
      <c r="AC472" s="127" t="str">
        <f>IF(G$1=1,"",IF(Tab.o1[[#This Row],[a1]]=1,Tab.o1[[#This Row],[Wr]]^2,""))</f>
        <v/>
      </c>
      <c r="AD472" s="118" t="str">
        <f>IF(Tab.o1[[#This Row],[a1]]=1,IF(AE$3=0,"",Tab.o1[[#This Row],[Wr2]]/SUM(Tab.o1[Wr2])),"")</f>
        <v/>
      </c>
      <c r="AE472" s="128" t="str">
        <f>IF(Tab.o1[[#This Row],[a1]]=1,[1]!T.in.A[[#This Row],[oo10]],"")</f>
        <v/>
      </c>
      <c r="AF472" s="118" t="str">
        <f>IF(Tab.o1[[#This Row],[a1]]=1,ABS(Tab.o1[[#This Row],[DIF_Target.]]*Tab.o1[[#This Row],[PDF2]]*Tab.o1[[#This Row],[IN]]),"")</f>
        <v/>
      </c>
      <c r="AG472" s="129" t="str">
        <f>IF(Tab.o1[[#This Row],[a1]]=1,Tab.o1[[#This Row],[rW]]^2,"")</f>
        <v/>
      </c>
      <c r="AH472" s="130" t="str">
        <f>IF(Tab.o1[[#This Row],[a1]]=1,IF(AH$3=0,Tab.o1[[#This Row],[rW2]],0.01+0.94*Tab.o1[[#This Row],[rW2]]/SUM(Tab.o1[rW2])),"")</f>
        <v/>
      </c>
      <c r="AI472" s="128" t="str">
        <f>IF(Tab.o1[[#This Row],[a1]]=1,1/Tab.o1[[#This Row],[PDF]],"")</f>
        <v/>
      </c>
      <c r="AJ472" s="131" t="str">
        <f>IF(Tab.o1[[#This Row],[a1]]=1,[1]!T_AA[[#This Row],[IN'']]*[1]!T_AA[[#This Row],[Qde'']],"")</f>
        <v/>
      </c>
      <c r="AK472" s="132" t="str">
        <f>IF(Tab.o1[[#This Row],[a1]]=1,IF(AK$1=1,Tab.o1[[#This Row],[MED]]+Tab.o1[[#This Row],[MOD]]-Tab.o1[[#This Row],[MED]],""),"")</f>
        <v/>
      </c>
      <c r="AL472" s="133" t="str">
        <f>IF(Tab.o1[[#This Row],[a1]]=1,[1]!T.in.A[[#This Row],[oo16]],"")</f>
        <v/>
      </c>
      <c r="AM472" s="133" t="str">
        <f>IF(Tab.o1[[#This Row],[a1]]=1,IF(AM$3=1,[1]!T.in.A[[#This Row],[Σo16]],""),"")</f>
        <v/>
      </c>
      <c r="AN472" s="126" t="str">
        <f>IF(Tab.o1[[#This Row],[a1]]=1,[1]!T.in.A[[#This Row],[Σp5]],"")</f>
        <v/>
      </c>
      <c r="AO472" s="126" t="str">
        <f>IF(Tab.o1[[#This Row],[a1]]=1,IF(AO$3=1,[1]!T.in.A[[#This Row],[Σp5]],""),"")</f>
        <v/>
      </c>
      <c r="AP472" s="110" t="str">
        <f>IF(Tab.o1[[#This Row],[a1]]=1,IF(ISNUMBER(Tab.o1[[#This Row],[i.]]),NORMDIST(Tab.o1[[#This Row],[Za]],0,1,FALSE)*Tab.o1[[#This Row],[i.]],0),"")</f>
        <v/>
      </c>
      <c r="AQ472" s="125" t="str">
        <f>IF(Tab.o1[[#This Row],[a1]]=1,ABS(Tab.o1[[#This Row],[MOD]]-AVERAGE(Tab.o1[MOD])),"")</f>
        <v/>
      </c>
      <c r="AR472" s="134" t="str">
        <f>IF(Tab.o1[[#This Row],[a1]]=1,Tab.o1[[#This Row],[OBS]]/SUM(Tab.o1[OBS]),"")</f>
        <v/>
      </c>
      <c r="AS472" s="135" t="str">
        <f>IF(ISNUMBER(Tab.o1[[#This Row],[a1]]),ROW()-4,"")</f>
        <v/>
      </c>
      <c r="AT472" s="136" t="str">
        <f>Tab.o1[[#This Row],[MOD]]</f>
        <v/>
      </c>
      <c r="AU472" s="137" t="str">
        <f t="shared" si="29"/>
        <v/>
      </c>
      <c r="AV472" s="138" t="str">
        <f t="shared" si="30"/>
        <v/>
      </c>
      <c r="AW472" s="138" t="str">
        <f t="shared" si="31"/>
        <v/>
      </c>
      <c r="AX472" s="139" t="str">
        <f>[1]!T.in.A[[#This Row],[ID_T_manu]]</f>
        <v/>
      </c>
      <c r="AY472" s="140" t="str">
        <f>IF(ISNUMBER(Tab.o1[[#This Row],[a1]]),IF(AND(Tab.o1[[#This Row],[a1]]=1,Tab.o1[[#This Row],[b1]]&lt;=AY$4),#REF!,AY471),"")</f>
        <v/>
      </c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</row>
    <row r="473" spans="1:79" ht="15.75" hidden="1">
      <c r="A473" s="109">
        <v>9.0000000000000002E-6</v>
      </c>
      <c r="B473" s="110">
        <f t="shared" si="28"/>
        <v>473</v>
      </c>
      <c r="C473" s="111" t="str">
        <f>IF(C$1=[1]!T.in.A[[#This Row],[oo2]],1,"")</f>
        <v/>
      </c>
      <c r="D473" s="112" t="str">
        <f>IF(Tab.o1[[#This Row],[a1]]=1,IF(SUM(C473:C474)=0,0,IF(SUM(C472:C473)=1,1,IF(SUM(C472:C474)&gt;1,D472+1,0))),"")</f>
        <v/>
      </c>
      <c r="E473" s="113" t="str">
        <f>IF(Tab.o1[[#This Row],[a1]]=1,[1]!T.in.A[[#This Row],[oo1]],"")</f>
        <v/>
      </c>
      <c r="F473" s="113" t="str">
        <f>IF(Tab.o1[[#This Row],[a1]]=1,[1]!T.in.A[[#This Row],[pp1]],"")</f>
        <v/>
      </c>
      <c r="G473" s="114" t="str">
        <f>IF(Tab.o1[[#This Row],[a1]]=1,G$2+IF(G$1=1,0,Tab.o1[[#This Row],[.x1]])+[1]!T.in.A[[#This Row],[oo3]],"")</f>
        <v/>
      </c>
      <c r="H473" s="115" t="str">
        <f>IF(Tab.o1[[#This Row],[a1]]=1,IF(H$2=0,0,IF(G$1=1,0,Tab.o1[[#This Row],[.x1]])+[1]!T.in.A[[#This Row],[oo4]]),"")</f>
        <v/>
      </c>
      <c r="I473" s="116" t="str">
        <f>IF(Tab.o1[[#This Row],[a1]]=1,IF(J$2=0,Tab.o1[[#This Row],[MED]],Tab.o1[[#This Row],[MOD]]),"")</f>
        <v/>
      </c>
      <c r="J473" s="116" t="str">
        <f>IF(Tab.o1[[#This Row],[a1]]=1,((Tab.o1[[#This Row],[DIF_Target.]]-AVERAGE(Tab.o1[DIF_Target.]))/_xlfn.STDEV.P(Tab.o1[DIF_Target.])),"")</f>
        <v/>
      </c>
      <c r="K473" s="117" t="str">
        <f>IF(Tab.o1[[#This Row],[a1]]=1,IF(J$2=0,Tab.o1[[#This Row],[MOD]]-Tab.o1[[#This Row],[B]],IF(J$2=1,0,-Tab.o1[[#This Row],[MED]])+Tab.o1[[#This Row],[B]]),"")</f>
        <v/>
      </c>
      <c r="L473" s="117" t="str">
        <f ca="1">IF(Tab.o1[[#This Row],[DIF_Target]]=0,IF(L$2=0,Tab.o1[[#This Row],[DIF_Target]],AVERAGE(OFFSET(Tab.o1[[#This Row],[DIF_Target]],1,0,L$3,1)))/3,Tab.o1[[#This Row],[DIF_Target]])</f>
        <v/>
      </c>
      <c r="M473" s="118" t="str">
        <f>IF(Tab.o1[[#This Row],[a1]]=1,NORMSDIST(Tab.o1[[#This Row],[Za]]),"")</f>
        <v/>
      </c>
      <c r="N473" s="119" t="str">
        <f>IF(Tab.o1[[#This Row],[a1]]=1,((Tab.o1[[#This Row],[MedMod]]-AVERAGE(Tab.o1[MedMod]))/_xlfn.STDEV.P(Tab.o1[MedMod])*H$1205)+G$1205,"")</f>
        <v/>
      </c>
      <c r="O473" s="141" t="str">
        <f>IF(Tab.o1[[#This Row],[a1]]=1,Tab.o1[[#This Row],[Zb]]*_xlfn.STDEV.P(Tab.o1[MedMod])+AVERAGE(Tab.o1[MedMod]),"")</f>
        <v/>
      </c>
      <c r="P473" s="117" t="str">
        <f ca="1">IF(Tab.o1[[#This Row],[B]]=0,AVERAGE(OFFSET(Tab.o1[[#This Row],[B]],1,0,L$3,1)),Tab.o1[[#This Row],[B]])</f>
        <v/>
      </c>
      <c r="Q473" s="121" t="str">
        <f>IF(Tab.o1[[#This Row],[a1]]=1,NORMSDIST(Tab.o1[[#This Row],[Zb]]),"")</f>
        <v/>
      </c>
      <c r="R473" s="122" t="str">
        <f>IF(Tab.o1[[#This Row],[a1]]=1,((Tab.o1[[#This Row],[MedMod]]-AVERAGE(Tab.o1[MedMod]))/_xlfn.STDEV.P(Tab.o1[MedMod])*H$1203)+G$1203,"")</f>
        <v/>
      </c>
      <c r="S473" s="122" t="str">
        <f>IF(Tab.o1[[#This Row],[a1]]=1,((Tab.o1[[#This Row],[MedMod]]-AVERAGE(Tab.o1[MedMod]))/_xlfn.STDEV.P(Tab.o1[MedMod])*H$1204)+G$1204,"")</f>
        <v/>
      </c>
      <c r="T473" s="123" t="str">
        <f>IF(Tab.o1[[#This Row],[a1]]=1,Tab.o1[[#This Row],[Z-]]*_xlfn.STDEV.P(Tab.o1[B])+AVERAGE(Tab.o1[B]),"")</f>
        <v/>
      </c>
      <c r="U473" s="123" t="str">
        <f>IF(Tab.o1[[#This Row],[a1]]=1,Tab.o1[[#This Row],[z+]]*_xlfn.STDEV.P(Tab.o1[B])+AVERAGE(Tab.o1[B]),"")</f>
        <v/>
      </c>
      <c r="V473" s="124" t="str">
        <f>IF(Tab.o1[[#This Row],[a1]]=1,ABS((ABS(Tab.o1[[#This Row],[Red]]-Tab.o1[[#This Row],[Blue]]))),"")</f>
        <v/>
      </c>
      <c r="W473" s="125" t="str">
        <f>IF(Tab.o1[[#This Row],[a1]]=1,IF(W$3=0,1,Tab.o1[[#This Row],[Amp.]]*1/_xlfn.MINIFS(Tab.o1[Amp.],Tab.o1[Amp.],"&lt;&gt;0")),"")</f>
        <v/>
      </c>
      <c r="X473" s="126" t="str">
        <f>IF(Tab.o1[[#This Row],[a1]]=1,IF(ISNUMBER(Tab.o1[[#This Row],[i.]]),NORMDIST(Tab.o1[[#This Row],[Za]],0,1,FALSE)*Tab.o1[[#This Row],[i.]],AP$3),"")</f>
        <v/>
      </c>
      <c r="Y473" s="126" t="str">
        <f>IF(Tab.o1[[#This Row],[a1]]=1,0.01+0.94*Tab.o1[[#This Row],[PDF]]/MAX(Tab.o1[PDF]),"")</f>
        <v/>
      </c>
      <c r="Z473" s="126" t="str">
        <f>IF(Tab.o1[[#This Row],[a1]]=1,0.01+0.94*Tab.o1[[#This Row],[W1_PDF]]/MAX(Tab.o1[W1_PDF]),"")</f>
        <v/>
      </c>
      <c r="AA473" s="118" t="str">
        <f>IF(Tab.o1[[#This Row],[a1]]=1,ABS([1]!T.in.A[[#This Row],[oo6]]),"")</f>
        <v/>
      </c>
      <c r="AB473" s="127" t="str">
        <f>IF(Tab.o1[[#This Row],[a1]]=1,IF(AE$3=0,"",IF(AB$3=0,ABS([1]!T.in.A[[#This Row],[oo9]]),ABS(Tab.o1[[#This Row],[DIF_Target.]]*Tab.o1[[#This Row],[W1_PDF]]))),"")</f>
        <v/>
      </c>
      <c r="AC473" s="127" t="str">
        <f>IF(G$1=1,"",IF(Tab.o1[[#This Row],[a1]]=1,Tab.o1[[#This Row],[Wr]]^2,""))</f>
        <v/>
      </c>
      <c r="AD473" s="118" t="str">
        <f>IF(Tab.o1[[#This Row],[a1]]=1,IF(AE$3=0,"",Tab.o1[[#This Row],[Wr2]]/SUM(Tab.o1[Wr2])),"")</f>
        <v/>
      </c>
      <c r="AE473" s="128" t="str">
        <f>IF(Tab.o1[[#This Row],[a1]]=1,[1]!T.in.A[[#This Row],[oo10]],"")</f>
        <v/>
      </c>
      <c r="AF473" s="118" t="str">
        <f>IF(Tab.o1[[#This Row],[a1]]=1,ABS(Tab.o1[[#This Row],[DIF_Target.]]*Tab.o1[[#This Row],[PDF2]]*Tab.o1[[#This Row],[IN]]),"")</f>
        <v/>
      </c>
      <c r="AG473" s="129" t="str">
        <f>IF(Tab.o1[[#This Row],[a1]]=1,Tab.o1[[#This Row],[rW]]^2,"")</f>
        <v/>
      </c>
      <c r="AH473" s="130" t="str">
        <f>IF(Tab.o1[[#This Row],[a1]]=1,IF(AH$3=0,Tab.o1[[#This Row],[rW2]],0.01+0.94*Tab.o1[[#This Row],[rW2]]/SUM(Tab.o1[rW2])),"")</f>
        <v/>
      </c>
      <c r="AI473" s="128" t="str">
        <f>IF(Tab.o1[[#This Row],[a1]]=1,1/Tab.o1[[#This Row],[PDF]],"")</f>
        <v/>
      </c>
      <c r="AJ473" s="131" t="str">
        <f>IF(Tab.o1[[#This Row],[a1]]=1,[1]!T_AA[[#This Row],[IN'']]*[1]!T_AA[[#This Row],[Qde'']],"")</f>
        <v/>
      </c>
      <c r="AK473" s="132" t="str">
        <f>IF(Tab.o1[[#This Row],[a1]]=1,IF(AK$1=1,Tab.o1[[#This Row],[MED]]+Tab.o1[[#This Row],[MOD]]-Tab.o1[[#This Row],[MED]],""),"")</f>
        <v/>
      </c>
      <c r="AL473" s="133" t="str">
        <f>IF(Tab.o1[[#This Row],[a1]]=1,[1]!T.in.A[[#This Row],[oo16]],"")</f>
        <v/>
      </c>
      <c r="AM473" s="133" t="str">
        <f>IF(Tab.o1[[#This Row],[a1]]=1,IF(AM$3=1,[1]!T.in.A[[#This Row],[Σo16]],""),"")</f>
        <v/>
      </c>
      <c r="AN473" s="126" t="str">
        <f>IF(Tab.o1[[#This Row],[a1]]=1,[1]!T.in.A[[#This Row],[Σp5]],"")</f>
        <v/>
      </c>
      <c r="AO473" s="126" t="str">
        <f>IF(Tab.o1[[#This Row],[a1]]=1,IF(AO$3=1,[1]!T.in.A[[#This Row],[Σp5]],""),"")</f>
        <v/>
      </c>
      <c r="AP473" s="110" t="str">
        <f>IF(Tab.o1[[#This Row],[a1]]=1,IF(ISNUMBER(Tab.o1[[#This Row],[i.]]),NORMDIST(Tab.o1[[#This Row],[Za]],0,1,FALSE)*Tab.o1[[#This Row],[i.]],0),"")</f>
        <v/>
      </c>
      <c r="AQ473" s="125" t="str">
        <f>IF(Tab.o1[[#This Row],[a1]]=1,ABS(Tab.o1[[#This Row],[MOD]]-AVERAGE(Tab.o1[MOD])),"")</f>
        <v/>
      </c>
      <c r="AR473" s="134" t="str">
        <f>IF(Tab.o1[[#This Row],[a1]]=1,Tab.o1[[#This Row],[OBS]]/SUM(Tab.o1[OBS]),"")</f>
        <v/>
      </c>
      <c r="AS473" s="135" t="str">
        <f>IF(ISNUMBER(Tab.o1[[#This Row],[a1]]),ROW()-4,"")</f>
        <v/>
      </c>
      <c r="AT473" s="136" t="str">
        <f>Tab.o1[[#This Row],[MOD]]</f>
        <v/>
      </c>
      <c r="AU473" s="137" t="str">
        <f t="shared" si="29"/>
        <v/>
      </c>
      <c r="AV473" s="138" t="str">
        <f t="shared" si="30"/>
        <v/>
      </c>
      <c r="AW473" s="138" t="str">
        <f t="shared" si="31"/>
        <v/>
      </c>
      <c r="AX473" s="139" t="str">
        <f>[1]!T.in.A[[#This Row],[ID_T_manu]]</f>
        <v/>
      </c>
      <c r="AY473" s="140" t="str">
        <f>IF(ISNUMBER(Tab.o1[[#This Row],[a1]]),IF(AND(Tab.o1[[#This Row],[a1]]=1,Tab.o1[[#This Row],[b1]]&lt;=AY$4),#REF!,AY472),"")</f>
        <v/>
      </c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</row>
    <row r="474" spans="1:79" ht="15.75" hidden="1">
      <c r="A474" s="109">
        <v>9.0000000000000002E-6</v>
      </c>
      <c r="B474" s="110">
        <f t="shared" si="28"/>
        <v>474</v>
      </c>
      <c r="C474" s="111" t="str">
        <f>IF(C$1=[1]!T.in.A[[#This Row],[oo2]],1,"")</f>
        <v/>
      </c>
      <c r="D474" s="112" t="str">
        <f>IF(Tab.o1[[#This Row],[a1]]=1,IF(SUM(C474:C475)=0,0,IF(SUM(C473:C474)=1,1,IF(SUM(C473:C475)&gt;1,D473+1,0))),"")</f>
        <v/>
      </c>
      <c r="E474" s="113" t="str">
        <f>IF(Tab.o1[[#This Row],[a1]]=1,[1]!T.in.A[[#This Row],[oo1]],"")</f>
        <v/>
      </c>
      <c r="F474" s="113" t="str">
        <f>IF(Tab.o1[[#This Row],[a1]]=1,[1]!T.in.A[[#This Row],[pp1]],"")</f>
        <v/>
      </c>
      <c r="G474" s="114" t="str">
        <f>IF(Tab.o1[[#This Row],[a1]]=1,G$2+IF(G$1=1,0,Tab.o1[[#This Row],[.x1]])+[1]!T.in.A[[#This Row],[oo3]],"")</f>
        <v/>
      </c>
      <c r="H474" s="115" t="str">
        <f>IF(Tab.o1[[#This Row],[a1]]=1,IF(H$2=0,0,IF(G$1=1,0,Tab.o1[[#This Row],[.x1]])+[1]!T.in.A[[#This Row],[oo4]]),"")</f>
        <v/>
      </c>
      <c r="I474" s="116" t="str">
        <f>IF(Tab.o1[[#This Row],[a1]]=1,IF(J$2=0,Tab.o1[[#This Row],[MED]],Tab.o1[[#This Row],[MOD]]),"")</f>
        <v/>
      </c>
      <c r="J474" s="116" t="str">
        <f>IF(Tab.o1[[#This Row],[a1]]=1,((Tab.o1[[#This Row],[DIF_Target.]]-AVERAGE(Tab.o1[DIF_Target.]))/_xlfn.STDEV.P(Tab.o1[DIF_Target.])),"")</f>
        <v/>
      </c>
      <c r="K474" s="117" t="str">
        <f>IF(Tab.o1[[#This Row],[a1]]=1,IF(J$2=0,Tab.o1[[#This Row],[MOD]]-Tab.o1[[#This Row],[B]],IF(J$2=1,0,-Tab.o1[[#This Row],[MED]])+Tab.o1[[#This Row],[B]]),"")</f>
        <v/>
      </c>
      <c r="L474" s="117" t="str">
        <f ca="1">IF(Tab.o1[[#This Row],[DIF_Target]]=0,IF(L$2=0,Tab.o1[[#This Row],[DIF_Target]],AVERAGE(OFFSET(Tab.o1[[#This Row],[DIF_Target]],1,0,L$3,1)))/3,Tab.o1[[#This Row],[DIF_Target]])</f>
        <v/>
      </c>
      <c r="M474" s="118" t="str">
        <f>IF(Tab.o1[[#This Row],[a1]]=1,NORMSDIST(Tab.o1[[#This Row],[Za]]),"")</f>
        <v/>
      </c>
      <c r="N474" s="119" t="str">
        <f>IF(Tab.o1[[#This Row],[a1]]=1,((Tab.o1[[#This Row],[MedMod]]-AVERAGE(Tab.o1[MedMod]))/_xlfn.STDEV.P(Tab.o1[MedMod])*H$1205)+G$1205,"")</f>
        <v/>
      </c>
      <c r="O474" s="141" t="str">
        <f>IF(Tab.o1[[#This Row],[a1]]=1,Tab.o1[[#This Row],[Zb]]*_xlfn.STDEV.P(Tab.o1[MedMod])+AVERAGE(Tab.o1[MedMod]),"")</f>
        <v/>
      </c>
      <c r="P474" s="117" t="str">
        <f ca="1">IF(Tab.o1[[#This Row],[B]]=0,AVERAGE(OFFSET(Tab.o1[[#This Row],[B]],1,0,L$3,1)),Tab.o1[[#This Row],[B]])</f>
        <v/>
      </c>
      <c r="Q474" s="121" t="str">
        <f>IF(Tab.o1[[#This Row],[a1]]=1,NORMSDIST(Tab.o1[[#This Row],[Zb]]),"")</f>
        <v/>
      </c>
      <c r="R474" s="122" t="str">
        <f>IF(Tab.o1[[#This Row],[a1]]=1,((Tab.o1[[#This Row],[MedMod]]-AVERAGE(Tab.o1[MedMod]))/_xlfn.STDEV.P(Tab.o1[MedMod])*H$1203)+G$1203,"")</f>
        <v/>
      </c>
      <c r="S474" s="122" t="str">
        <f>IF(Tab.o1[[#This Row],[a1]]=1,((Tab.o1[[#This Row],[MedMod]]-AVERAGE(Tab.o1[MedMod]))/_xlfn.STDEV.P(Tab.o1[MedMod])*H$1204)+G$1204,"")</f>
        <v/>
      </c>
      <c r="T474" s="123" t="str">
        <f>IF(Tab.o1[[#This Row],[a1]]=1,Tab.o1[[#This Row],[Z-]]*_xlfn.STDEV.P(Tab.o1[B])+AVERAGE(Tab.o1[B]),"")</f>
        <v/>
      </c>
      <c r="U474" s="123" t="str">
        <f>IF(Tab.o1[[#This Row],[a1]]=1,Tab.o1[[#This Row],[z+]]*_xlfn.STDEV.P(Tab.o1[B])+AVERAGE(Tab.o1[B]),"")</f>
        <v/>
      </c>
      <c r="V474" s="124" t="str">
        <f>IF(Tab.o1[[#This Row],[a1]]=1,ABS((ABS(Tab.o1[[#This Row],[Red]]-Tab.o1[[#This Row],[Blue]]))),"")</f>
        <v/>
      </c>
      <c r="W474" s="125" t="str">
        <f>IF(Tab.o1[[#This Row],[a1]]=1,IF(W$3=0,1,Tab.o1[[#This Row],[Amp.]]*1/_xlfn.MINIFS(Tab.o1[Amp.],Tab.o1[Amp.],"&lt;&gt;0")),"")</f>
        <v/>
      </c>
      <c r="X474" s="126" t="str">
        <f>IF(Tab.o1[[#This Row],[a1]]=1,IF(ISNUMBER(Tab.o1[[#This Row],[i.]]),NORMDIST(Tab.o1[[#This Row],[Za]],0,1,FALSE)*Tab.o1[[#This Row],[i.]],AP$3),"")</f>
        <v/>
      </c>
      <c r="Y474" s="126" t="str">
        <f>IF(Tab.o1[[#This Row],[a1]]=1,0.01+0.94*Tab.o1[[#This Row],[PDF]]/MAX(Tab.o1[PDF]),"")</f>
        <v/>
      </c>
      <c r="Z474" s="126" t="str">
        <f>IF(Tab.o1[[#This Row],[a1]]=1,0.01+0.94*Tab.o1[[#This Row],[W1_PDF]]/MAX(Tab.o1[W1_PDF]),"")</f>
        <v/>
      </c>
      <c r="AA474" s="118" t="str">
        <f>IF(Tab.o1[[#This Row],[a1]]=1,ABS([1]!T.in.A[[#This Row],[oo6]]),"")</f>
        <v/>
      </c>
      <c r="AB474" s="127" t="str">
        <f>IF(Tab.o1[[#This Row],[a1]]=1,IF(AE$3=0,"",IF(AB$3=0,ABS([1]!T.in.A[[#This Row],[oo9]]),ABS(Tab.o1[[#This Row],[DIF_Target.]]*Tab.o1[[#This Row],[W1_PDF]]))),"")</f>
        <v/>
      </c>
      <c r="AC474" s="127" t="str">
        <f>IF(G$1=1,"",IF(Tab.o1[[#This Row],[a1]]=1,Tab.o1[[#This Row],[Wr]]^2,""))</f>
        <v/>
      </c>
      <c r="AD474" s="118" t="str">
        <f>IF(Tab.o1[[#This Row],[a1]]=1,IF(AE$3=0,"",Tab.o1[[#This Row],[Wr2]]/SUM(Tab.o1[Wr2])),"")</f>
        <v/>
      </c>
      <c r="AE474" s="128" t="str">
        <f>IF(Tab.o1[[#This Row],[a1]]=1,[1]!T.in.A[[#This Row],[oo10]],"")</f>
        <v/>
      </c>
      <c r="AF474" s="118" t="str">
        <f>IF(Tab.o1[[#This Row],[a1]]=1,ABS(Tab.o1[[#This Row],[DIF_Target.]]*Tab.o1[[#This Row],[PDF2]]*Tab.o1[[#This Row],[IN]]),"")</f>
        <v/>
      </c>
      <c r="AG474" s="129" t="str">
        <f>IF(Tab.o1[[#This Row],[a1]]=1,Tab.o1[[#This Row],[rW]]^2,"")</f>
        <v/>
      </c>
      <c r="AH474" s="130" t="str">
        <f>IF(Tab.o1[[#This Row],[a1]]=1,IF(AH$3=0,Tab.o1[[#This Row],[rW2]],0.01+0.94*Tab.o1[[#This Row],[rW2]]/SUM(Tab.o1[rW2])),"")</f>
        <v/>
      </c>
      <c r="AI474" s="128" t="str">
        <f>IF(Tab.o1[[#This Row],[a1]]=1,1/Tab.o1[[#This Row],[PDF]],"")</f>
        <v/>
      </c>
      <c r="AJ474" s="131" t="str">
        <f>IF(Tab.o1[[#This Row],[a1]]=1,[1]!T_AA[[#This Row],[IN'']]*[1]!T_AA[[#This Row],[Qde'']],"")</f>
        <v/>
      </c>
      <c r="AK474" s="132" t="str">
        <f>IF(Tab.o1[[#This Row],[a1]]=1,IF(AK$1=1,Tab.o1[[#This Row],[MED]]+Tab.o1[[#This Row],[MOD]]-Tab.o1[[#This Row],[MED]],""),"")</f>
        <v/>
      </c>
      <c r="AL474" s="133" t="str">
        <f>IF(Tab.o1[[#This Row],[a1]]=1,[1]!T.in.A[[#This Row],[oo16]],"")</f>
        <v/>
      </c>
      <c r="AM474" s="133" t="str">
        <f>IF(Tab.o1[[#This Row],[a1]]=1,IF(AM$3=1,[1]!T.in.A[[#This Row],[Σo16]],""),"")</f>
        <v/>
      </c>
      <c r="AN474" s="126" t="str">
        <f>IF(Tab.o1[[#This Row],[a1]]=1,[1]!T.in.A[[#This Row],[Σp5]],"")</f>
        <v/>
      </c>
      <c r="AO474" s="126" t="str">
        <f>IF(Tab.o1[[#This Row],[a1]]=1,IF(AO$3=1,[1]!T.in.A[[#This Row],[Σp5]],""),"")</f>
        <v/>
      </c>
      <c r="AP474" s="110" t="str">
        <f>IF(Tab.o1[[#This Row],[a1]]=1,IF(ISNUMBER(Tab.o1[[#This Row],[i.]]),NORMDIST(Tab.o1[[#This Row],[Za]],0,1,FALSE)*Tab.o1[[#This Row],[i.]],0),"")</f>
        <v/>
      </c>
      <c r="AQ474" s="125" t="str">
        <f>IF(Tab.o1[[#This Row],[a1]]=1,ABS(Tab.o1[[#This Row],[MOD]]-AVERAGE(Tab.o1[MOD])),"")</f>
        <v/>
      </c>
      <c r="AR474" s="134" t="str">
        <f>IF(Tab.o1[[#This Row],[a1]]=1,Tab.o1[[#This Row],[OBS]]/SUM(Tab.o1[OBS]),"")</f>
        <v/>
      </c>
      <c r="AS474" s="135" t="str">
        <f>IF(ISNUMBER(Tab.o1[[#This Row],[a1]]),ROW()-4,"")</f>
        <v/>
      </c>
      <c r="AT474" s="136" t="str">
        <f>Tab.o1[[#This Row],[MOD]]</f>
        <v/>
      </c>
      <c r="AU474" s="137" t="str">
        <f t="shared" si="29"/>
        <v/>
      </c>
      <c r="AV474" s="138" t="str">
        <f t="shared" si="30"/>
        <v/>
      </c>
      <c r="AW474" s="138" t="str">
        <f t="shared" si="31"/>
        <v/>
      </c>
      <c r="AX474" s="139" t="str">
        <f>[1]!T.in.A[[#This Row],[ID_T_manu]]</f>
        <v/>
      </c>
      <c r="AY474" s="140" t="str">
        <f>IF(ISNUMBER(Tab.o1[[#This Row],[a1]]),IF(AND(Tab.o1[[#This Row],[a1]]=1,Tab.o1[[#This Row],[b1]]&lt;=AY$4),#REF!,AY473),"")</f>
        <v/>
      </c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</row>
    <row r="475" spans="1:79" ht="15.75" hidden="1">
      <c r="A475" s="109">
        <v>1.0000000000000002E-6</v>
      </c>
      <c r="B475" s="110">
        <f t="shared" si="28"/>
        <v>475</v>
      </c>
      <c r="C475" s="111" t="str">
        <f>IF(C$1=[1]!T.in.A[[#This Row],[oo2]],1,"")</f>
        <v/>
      </c>
      <c r="D475" s="112" t="str">
        <f>IF(Tab.o1[[#This Row],[a1]]=1,IF(SUM(C475:C476)=0,0,IF(SUM(C474:C475)=1,1,IF(SUM(C474:C476)&gt;1,D474+1,0))),"")</f>
        <v/>
      </c>
      <c r="E475" s="113" t="str">
        <f>IF(Tab.o1[[#This Row],[a1]]=1,[1]!T.in.A[[#This Row],[oo1]],"")</f>
        <v/>
      </c>
      <c r="F475" s="113" t="str">
        <f>IF(Tab.o1[[#This Row],[a1]]=1,[1]!T.in.A[[#This Row],[pp1]],"")</f>
        <v/>
      </c>
      <c r="G475" s="114" t="str">
        <f>IF(Tab.o1[[#This Row],[a1]]=1,G$2+IF(G$1=1,0,Tab.o1[[#This Row],[.x1]])+[1]!T.in.A[[#This Row],[oo3]],"")</f>
        <v/>
      </c>
      <c r="H475" s="115" t="str">
        <f>IF(Tab.o1[[#This Row],[a1]]=1,IF(H$2=0,0,IF(G$1=1,0,Tab.o1[[#This Row],[.x1]])+[1]!T.in.A[[#This Row],[oo4]]),"")</f>
        <v/>
      </c>
      <c r="I475" s="116" t="str">
        <f>IF(Tab.o1[[#This Row],[a1]]=1,IF(J$2=0,Tab.o1[[#This Row],[MED]],Tab.o1[[#This Row],[MOD]]),"")</f>
        <v/>
      </c>
      <c r="J475" s="116" t="str">
        <f>IF(Tab.o1[[#This Row],[a1]]=1,((Tab.o1[[#This Row],[DIF_Target.]]-AVERAGE(Tab.o1[DIF_Target.]))/_xlfn.STDEV.P(Tab.o1[DIF_Target.])),"")</f>
        <v/>
      </c>
      <c r="K475" s="117" t="str">
        <f>IF(Tab.o1[[#This Row],[a1]]=1,IF(J$2=0,Tab.o1[[#This Row],[MOD]]-Tab.o1[[#This Row],[B]],IF(J$2=1,0,-Tab.o1[[#This Row],[MED]])+Tab.o1[[#This Row],[B]]),"")</f>
        <v/>
      </c>
      <c r="L475" s="117" t="str">
        <f ca="1">IF(Tab.o1[[#This Row],[DIF_Target]]=0,IF(L$2=0,Tab.o1[[#This Row],[DIF_Target]],AVERAGE(OFFSET(Tab.o1[[#This Row],[DIF_Target]],1,0,L$3,1)))/3,Tab.o1[[#This Row],[DIF_Target]])</f>
        <v/>
      </c>
      <c r="M475" s="118" t="str">
        <f>IF(Tab.o1[[#This Row],[a1]]=1,NORMSDIST(Tab.o1[[#This Row],[Za]]),"")</f>
        <v/>
      </c>
      <c r="N475" s="119" t="str">
        <f>IF(Tab.o1[[#This Row],[a1]]=1,((Tab.o1[[#This Row],[MedMod]]-AVERAGE(Tab.o1[MedMod]))/_xlfn.STDEV.P(Tab.o1[MedMod])*H$1205)+G$1205,"")</f>
        <v/>
      </c>
      <c r="O475" s="141" t="str">
        <f>IF(Tab.o1[[#This Row],[a1]]=1,Tab.o1[[#This Row],[Zb]]*_xlfn.STDEV.P(Tab.o1[MedMod])+AVERAGE(Tab.o1[MedMod]),"")</f>
        <v/>
      </c>
      <c r="P475" s="117" t="str">
        <f ca="1">IF(Tab.o1[[#This Row],[B]]=0,AVERAGE(OFFSET(Tab.o1[[#This Row],[B]],1,0,L$3,1)),Tab.o1[[#This Row],[B]])</f>
        <v/>
      </c>
      <c r="Q475" s="121" t="str">
        <f>IF(Tab.o1[[#This Row],[a1]]=1,NORMSDIST(Tab.o1[[#This Row],[Zb]]),"")</f>
        <v/>
      </c>
      <c r="R475" s="122" t="str">
        <f>IF(Tab.o1[[#This Row],[a1]]=1,((Tab.o1[[#This Row],[MedMod]]-AVERAGE(Tab.o1[MedMod]))/_xlfn.STDEV.P(Tab.o1[MedMod])*H$1203)+G$1203,"")</f>
        <v/>
      </c>
      <c r="S475" s="122" t="str">
        <f>IF(Tab.o1[[#This Row],[a1]]=1,((Tab.o1[[#This Row],[MedMod]]-AVERAGE(Tab.o1[MedMod]))/_xlfn.STDEV.P(Tab.o1[MedMod])*H$1204)+G$1204,"")</f>
        <v/>
      </c>
      <c r="T475" s="123" t="str">
        <f>IF(Tab.o1[[#This Row],[a1]]=1,Tab.o1[[#This Row],[Z-]]*_xlfn.STDEV.P(Tab.o1[B])+AVERAGE(Tab.o1[B]),"")</f>
        <v/>
      </c>
      <c r="U475" s="123" t="str">
        <f>IF(Tab.o1[[#This Row],[a1]]=1,Tab.o1[[#This Row],[z+]]*_xlfn.STDEV.P(Tab.o1[B])+AVERAGE(Tab.o1[B]),"")</f>
        <v/>
      </c>
      <c r="V475" s="124" t="str">
        <f>IF(Tab.o1[[#This Row],[a1]]=1,ABS((ABS(Tab.o1[[#This Row],[Red]]-Tab.o1[[#This Row],[Blue]]))),"")</f>
        <v/>
      </c>
      <c r="W475" s="125" t="str">
        <f>IF(Tab.o1[[#This Row],[a1]]=1,IF(W$3=0,1,Tab.o1[[#This Row],[Amp.]]*1/_xlfn.MINIFS(Tab.o1[Amp.],Tab.o1[Amp.],"&lt;&gt;0")),"")</f>
        <v/>
      </c>
      <c r="X475" s="126" t="str">
        <f>IF(Tab.o1[[#This Row],[a1]]=1,IF(ISNUMBER(Tab.o1[[#This Row],[i.]]),NORMDIST(Tab.o1[[#This Row],[Za]],0,1,FALSE)*Tab.o1[[#This Row],[i.]],AP$3),"")</f>
        <v/>
      </c>
      <c r="Y475" s="126" t="str">
        <f>IF(Tab.o1[[#This Row],[a1]]=1,0.01+0.94*Tab.o1[[#This Row],[PDF]]/MAX(Tab.o1[PDF]),"")</f>
        <v/>
      </c>
      <c r="Z475" s="126" t="str">
        <f>IF(Tab.o1[[#This Row],[a1]]=1,0.01+0.94*Tab.o1[[#This Row],[W1_PDF]]/MAX(Tab.o1[W1_PDF]),"")</f>
        <v/>
      </c>
      <c r="AA475" s="118" t="str">
        <f>IF(Tab.o1[[#This Row],[a1]]=1,ABS([1]!T.in.A[[#This Row],[oo6]]),"")</f>
        <v/>
      </c>
      <c r="AB475" s="127" t="str">
        <f>IF(Tab.o1[[#This Row],[a1]]=1,IF(AE$3=0,"",IF(AB$3=0,ABS([1]!T.in.A[[#This Row],[oo9]]),ABS(Tab.o1[[#This Row],[DIF_Target.]]*Tab.o1[[#This Row],[W1_PDF]]))),"")</f>
        <v/>
      </c>
      <c r="AC475" s="127" t="str">
        <f>IF(G$1=1,"",IF(Tab.o1[[#This Row],[a1]]=1,Tab.o1[[#This Row],[Wr]]^2,""))</f>
        <v/>
      </c>
      <c r="AD475" s="118" t="str">
        <f>IF(Tab.o1[[#This Row],[a1]]=1,IF(AE$3=0,"",Tab.o1[[#This Row],[Wr2]]/SUM(Tab.o1[Wr2])),"")</f>
        <v/>
      </c>
      <c r="AE475" s="128" t="str">
        <f>IF(Tab.o1[[#This Row],[a1]]=1,[1]!T.in.A[[#This Row],[oo10]],"")</f>
        <v/>
      </c>
      <c r="AF475" s="118" t="str">
        <f>IF(Tab.o1[[#This Row],[a1]]=1,ABS(Tab.o1[[#This Row],[DIF_Target.]]*Tab.o1[[#This Row],[PDF2]]*Tab.o1[[#This Row],[IN]]),"")</f>
        <v/>
      </c>
      <c r="AG475" s="129" t="str">
        <f>IF(Tab.o1[[#This Row],[a1]]=1,Tab.o1[[#This Row],[rW]]^2,"")</f>
        <v/>
      </c>
      <c r="AH475" s="130" t="str">
        <f>IF(Tab.o1[[#This Row],[a1]]=1,IF(AH$3=0,Tab.o1[[#This Row],[rW2]],0.01+0.94*Tab.o1[[#This Row],[rW2]]/SUM(Tab.o1[rW2])),"")</f>
        <v/>
      </c>
      <c r="AI475" s="128" t="str">
        <f>IF(Tab.o1[[#This Row],[a1]]=1,1/Tab.o1[[#This Row],[PDF]],"")</f>
        <v/>
      </c>
      <c r="AJ475" s="131" t="str">
        <f>IF(Tab.o1[[#This Row],[a1]]=1,[1]!T_AA[[#This Row],[IN'']]*[1]!T_AA[[#This Row],[Qde'']],"")</f>
        <v/>
      </c>
      <c r="AK475" s="132" t="str">
        <f>IF(Tab.o1[[#This Row],[a1]]=1,IF(AK$1=1,Tab.o1[[#This Row],[MED]]+Tab.o1[[#This Row],[MOD]]-Tab.o1[[#This Row],[MED]],""),"")</f>
        <v/>
      </c>
      <c r="AL475" s="133" t="str">
        <f>IF(Tab.o1[[#This Row],[a1]]=1,[1]!T.in.A[[#This Row],[oo16]],"")</f>
        <v/>
      </c>
      <c r="AM475" s="133" t="str">
        <f>IF(Tab.o1[[#This Row],[a1]]=1,IF(AM$3=1,[1]!T.in.A[[#This Row],[Σo16]],""),"")</f>
        <v/>
      </c>
      <c r="AN475" s="126" t="str">
        <f>IF(Tab.o1[[#This Row],[a1]]=1,[1]!T.in.A[[#This Row],[Σp5]],"")</f>
        <v/>
      </c>
      <c r="AO475" s="126" t="str">
        <f>IF(Tab.o1[[#This Row],[a1]]=1,IF(AO$3=1,[1]!T.in.A[[#This Row],[Σp5]],""),"")</f>
        <v/>
      </c>
      <c r="AP475" s="110" t="str">
        <f>IF(Tab.o1[[#This Row],[a1]]=1,IF(ISNUMBER(Tab.o1[[#This Row],[i.]]),NORMDIST(Tab.o1[[#This Row],[Za]],0,1,FALSE)*Tab.o1[[#This Row],[i.]],0),"")</f>
        <v/>
      </c>
      <c r="AQ475" s="125" t="str">
        <f>IF(Tab.o1[[#This Row],[a1]]=1,ABS(Tab.o1[[#This Row],[MOD]]-AVERAGE(Tab.o1[MOD])),"")</f>
        <v/>
      </c>
      <c r="AR475" s="134" t="str">
        <f>IF(Tab.o1[[#This Row],[a1]]=1,Tab.o1[[#This Row],[OBS]]/SUM(Tab.o1[OBS]),"")</f>
        <v/>
      </c>
      <c r="AS475" s="135" t="str">
        <f>IF(ISNUMBER(Tab.o1[[#This Row],[a1]]),ROW()-4,"")</f>
        <v/>
      </c>
      <c r="AT475" s="136" t="str">
        <f>Tab.o1[[#This Row],[MOD]]</f>
        <v/>
      </c>
      <c r="AU475" s="137" t="str">
        <f t="shared" si="29"/>
        <v/>
      </c>
      <c r="AV475" s="138" t="str">
        <f t="shared" si="30"/>
        <v/>
      </c>
      <c r="AW475" s="138" t="str">
        <f t="shared" si="31"/>
        <v/>
      </c>
      <c r="AX475" s="139" t="str">
        <f>[1]!T.in.A[[#This Row],[ID_T_manu]]</f>
        <v/>
      </c>
      <c r="AY475" s="140" t="str">
        <f>IF(ISNUMBER(Tab.o1[[#This Row],[a1]]),IF(AND(Tab.o1[[#This Row],[a1]]=1,Tab.o1[[#This Row],[b1]]&lt;=AY$4),#REF!,AY474),"")</f>
        <v/>
      </c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</row>
    <row r="476" spans="1:79" ht="15.75" hidden="1">
      <c r="A476" s="109">
        <v>-5.0000000000000004E-6</v>
      </c>
      <c r="B476" s="110">
        <f t="shared" si="28"/>
        <v>476</v>
      </c>
      <c r="C476" s="111" t="str">
        <f>IF(C$1=[1]!T.in.A[[#This Row],[oo2]],1,"")</f>
        <v/>
      </c>
      <c r="D476" s="112" t="str">
        <f>IF(Tab.o1[[#This Row],[a1]]=1,IF(SUM(C476:C477)=0,0,IF(SUM(C475:C476)=1,1,IF(SUM(C475:C477)&gt;1,D475+1,0))),"")</f>
        <v/>
      </c>
      <c r="E476" s="113" t="str">
        <f>IF(Tab.o1[[#This Row],[a1]]=1,[1]!T.in.A[[#This Row],[oo1]],"")</f>
        <v/>
      </c>
      <c r="F476" s="113" t="str">
        <f>IF(Tab.o1[[#This Row],[a1]]=1,[1]!T.in.A[[#This Row],[pp1]],"")</f>
        <v/>
      </c>
      <c r="G476" s="114" t="str">
        <f>IF(Tab.o1[[#This Row],[a1]]=1,G$2+IF(G$1=1,0,Tab.o1[[#This Row],[.x1]])+[1]!T.in.A[[#This Row],[oo3]],"")</f>
        <v/>
      </c>
      <c r="H476" s="115" t="str">
        <f>IF(Tab.o1[[#This Row],[a1]]=1,IF(H$2=0,0,IF(G$1=1,0,Tab.o1[[#This Row],[.x1]])+[1]!T.in.A[[#This Row],[oo4]]),"")</f>
        <v/>
      </c>
      <c r="I476" s="116" t="str">
        <f>IF(Tab.o1[[#This Row],[a1]]=1,IF(J$2=0,Tab.o1[[#This Row],[MED]],Tab.o1[[#This Row],[MOD]]),"")</f>
        <v/>
      </c>
      <c r="J476" s="116" t="str">
        <f>IF(Tab.o1[[#This Row],[a1]]=1,((Tab.o1[[#This Row],[DIF_Target.]]-AVERAGE(Tab.o1[DIF_Target.]))/_xlfn.STDEV.P(Tab.o1[DIF_Target.])),"")</f>
        <v/>
      </c>
      <c r="K476" s="117" t="str">
        <f>IF(Tab.o1[[#This Row],[a1]]=1,IF(J$2=0,Tab.o1[[#This Row],[MOD]]-Tab.o1[[#This Row],[B]],IF(J$2=1,0,-Tab.o1[[#This Row],[MED]])+Tab.o1[[#This Row],[B]]),"")</f>
        <v/>
      </c>
      <c r="L476" s="117" t="str">
        <f ca="1">IF(Tab.o1[[#This Row],[DIF_Target]]=0,IF(L$2=0,Tab.o1[[#This Row],[DIF_Target]],AVERAGE(OFFSET(Tab.o1[[#This Row],[DIF_Target]],1,0,L$3,1)))/3,Tab.o1[[#This Row],[DIF_Target]])</f>
        <v/>
      </c>
      <c r="M476" s="118" t="str">
        <f>IF(Tab.o1[[#This Row],[a1]]=1,NORMSDIST(Tab.o1[[#This Row],[Za]]),"")</f>
        <v/>
      </c>
      <c r="N476" s="119" t="str">
        <f>IF(Tab.o1[[#This Row],[a1]]=1,((Tab.o1[[#This Row],[MedMod]]-AVERAGE(Tab.o1[MedMod]))/_xlfn.STDEV.P(Tab.o1[MedMod])*H$1205)+G$1205,"")</f>
        <v/>
      </c>
      <c r="O476" s="141" t="str">
        <f>IF(Tab.o1[[#This Row],[a1]]=1,Tab.o1[[#This Row],[Zb]]*_xlfn.STDEV.P(Tab.o1[MedMod])+AVERAGE(Tab.o1[MedMod]),"")</f>
        <v/>
      </c>
      <c r="P476" s="117" t="str">
        <f ca="1">IF(Tab.o1[[#This Row],[B]]=0,AVERAGE(OFFSET(Tab.o1[[#This Row],[B]],1,0,L$3,1)),Tab.o1[[#This Row],[B]])</f>
        <v/>
      </c>
      <c r="Q476" s="121" t="str">
        <f>IF(Tab.o1[[#This Row],[a1]]=1,NORMSDIST(Tab.o1[[#This Row],[Zb]]),"")</f>
        <v/>
      </c>
      <c r="R476" s="122" t="str">
        <f>IF(Tab.o1[[#This Row],[a1]]=1,((Tab.o1[[#This Row],[MedMod]]-AVERAGE(Tab.o1[MedMod]))/_xlfn.STDEV.P(Tab.o1[MedMod])*H$1203)+G$1203,"")</f>
        <v/>
      </c>
      <c r="S476" s="122" t="str">
        <f>IF(Tab.o1[[#This Row],[a1]]=1,((Tab.o1[[#This Row],[MedMod]]-AVERAGE(Tab.o1[MedMod]))/_xlfn.STDEV.P(Tab.o1[MedMod])*H$1204)+G$1204,"")</f>
        <v/>
      </c>
      <c r="T476" s="123" t="str">
        <f>IF(Tab.o1[[#This Row],[a1]]=1,Tab.o1[[#This Row],[Z-]]*_xlfn.STDEV.P(Tab.o1[B])+AVERAGE(Tab.o1[B]),"")</f>
        <v/>
      </c>
      <c r="U476" s="123" t="str">
        <f>IF(Tab.o1[[#This Row],[a1]]=1,Tab.o1[[#This Row],[z+]]*_xlfn.STDEV.P(Tab.o1[B])+AVERAGE(Tab.o1[B]),"")</f>
        <v/>
      </c>
      <c r="V476" s="124" t="str">
        <f>IF(Tab.o1[[#This Row],[a1]]=1,ABS((ABS(Tab.o1[[#This Row],[Red]]-Tab.o1[[#This Row],[Blue]]))),"")</f>
        <v/>
      </c>
      <c r="W476" s="125" t="str">
        <f>IF(Tab.o1[[#This Row],[a1]]=1,IF(W$3=0,1,Tab.o1[[#This Row],[Amp.]]*1/_xlfn.MINIFS(Tab.o1[Amp.],Tab.o1[Amp.],"&lt;&gt;0")),"")</f>
        <v/>
      </c>
      <c r="X476" s="126" t="str">
        <f>IF(Tab.o1[[#This Row],[a1]]=1,IF(ISNUMBER(Tab.o1[[#This Row],[i.]]),NORMDIST(Tab.o1[[#This Row],[Za]],0,1,FALSE)*Tab.o1[[#This Row],[i.]],AP$3),"")</f>
        <v/>
      </c>
      <c r="Y476" s="126" t="str">
        <f>IF(Tab.o1[[#This Row],[a1]]=1,0.01+0.94*Tab.o1[[#This Row],[PDF]]/MAX(Tab.o1[PDF]),"")</f>
        <v/>
      </c>
      <c r="Z476" s="126" t="str">
        <f>IF(Tab.o1[[#This Row],[a1]]=1,0.01+0.94*Tab.o1[[#This Row],[W1_PDF]]/MAX(Tab.o1[W1_PDF]),"")</f>
        <v/>
      </c>
      <c r="AA476" s="118" t="str">
        <f>IF(Tab.o1[[#This Row],[a1]]=1,ABS([1]!T.in.A[[#This Row],[oo6]]),"")</f>
        <v/>
      </c>
      <c r="AB476" s="127" t="str">
        <f>IF(Tab.o1[[#This Row],[a1]]=1,IF(AE$3=0,"",IF(AB$3=0,ABS([1]!T.in.A[[#This Row],[oo9]]),ABS(Tab.o1[[#This Row],[DIF_Target.]]*Tab.o1[[#This Row],[W1_PDF]]))),"")</f>
        <v/>
      </c>
      <c r="AC476" s="127" t="str">
        <f>IF(G$1=1,"",IF(Tab.o1[[#This Row],[a1]]=1,Tab.o1[[#This Row],[Wr]]^2,""))</f>
        <v/>
      </c>
      <c r="AD476" s="118" t="str">
        <f>IF(Tab.o1[[#This Row],[a1]]=1,IF(AE$3=0,"",Tab.o1[[#This Row],[Wr2]]/SUM(Tab.o1[Wr2])),"")</f>
        <v/>
      </c>
      <c r="AE476" s="128" t="str">
        <f>IF(Tab.o1[[#This Row],[a1]]=1,[1]!T.in.A[[#This Row],[oo10]],"")</f>
        <v/>
      </c>
      <c r="AF476" s="118" t="str">
        <f>IF(Tab.o1[[#This Row],[a1]]=1,ABS(Tab.o1[[#This Row],[DIF_Target.]]*Tab.o1[[#This Row],[PDF2]]*Tab.o1[[#This Row],[IN]]),"")</f>
        <v/>
      </c>
      <c r="AG476" s="129" t="str">
        <f>IF(Tab.o1[[#This Row],[a1]]=1,Tab.o1[[#This Row],[rW]]^2,"")</f>
        <v/>
      </c>
      <c r="AH476" s="130" t="str">
        <f>IF(Tab.o1[[#This Row],[a1]]=1,IF(AH$3=0,Tab.o1[[#This Row],[rW2]],0.01+0.94*Tab.o1[[#This Row],[rW2]]/SUM(Tab.o1[rW2])),"")</f>
        <v/>
      </c>
      <c r="AI476" s="128" t="str">
        <f>IF(Tab.o1[[#This Row],[a1]]=1,1/Tab.o1[[#This Row],[PDF]],"")</f>
        <v/>
      </c>
      <c r="AJ476" s="131" t="str">
        <f>IF(Tab.o1[[#This Row],[a1]]=1,[1]!T_AA[[#This Row],[IN'']]*[1]!T_AA[[#This Row],[Qde'']],"")</f>
        <v/>
      </c>
      <c r="AK476" s="132" t="str">
        <f>IF(Tab.o1[[#This Row],[a1]]=1,IF(AK$1=1,Tab.o1[[#This Row],[MED]]+Tab.o1[[#This Row],[MOD]]-Tab.o1[[#This Row],[MED]],""),"")</f>
        <v/>
      </c>
      <c r="AL476" s="133" t="str">
        <f>IF(Tab.o1[[#This Row],[a1]]=1,[1]!T.in.A[[#This Row],[oo16]],"")</f>
        <v/>
      </c>
      <c r="AM476" s="133" t="str">
        <f>IF(Tab.o1[[#This Row],[a1]]=1,IF(AM$3=1,[1]!T.in.A[[#This Row],[Σo16]],""),"")</f>
        <v/>
      </c>
      <c r="AN476" s="126" t="str">
        <f>IF(Tab.o1[[#This Row],[a1]]=1,[1]!T.in.A[[#This Row],[Σp5]],"")</f>
        <v/>
      </c>
      <c r="AO476" s="126" t="str">
        <f>IF(Tab.o1[[#This Row],[a1]]=1,IF(AO$3=1,[1]!T.in.A[[#This Row],[Σp5]],""),"")</f>
        <v/>
      </c>
      <c r="AP476" s="110" t="str">
        <f>IF(Tab.o1[[#This Row],[a1]]=1,IF(ISNUMBER(Tab.o1[[#This Row],[i.]]),NORMDIST(Tab.o1[[#This Row],[Za]],0,1,FALSE)*Tab.o1[[#This Row],[i.]],0),"")</f>
        <v/>
      </c>
      <c r="AQ476" s="125" t="str">
        <f>IF(Tab.o1[[#This Row],[a1]]=1,ABS(Tab.o1[[#This Row],[MOD]]-AVERAGE(Tab.o1[MOD])),"")</f>
        <v/>
      </c>
      <c r="AR476" s="134" t="str">
        <f>IF(Tab.o1[[#This Row],[a1]]=1,Tab.o1[[#This Row],[OBS]]/SUM(Tab.o1[OBS]),"")</f>
        <v/>
      </c>
      <c r="AS476" s="135" t="str">
        <f>IF(ISNUMBER(Tab.o1[[#This Row],[a1]]),ROW()-4,"")</f>
        <v/>
      </c>
      <c r="AT476" s="136" t="str">
        <f>Tab.o1[[#This Row],[MOD]]</f>
        <v/>
      </c>
      <c r="AU476" s="137" t="str">
        <f t="shared" si="29"/>
        <v/>
      </c>
      <c r="AV476" s="138" t="str">
        <f t="shared" si="30"/>
        <v/>
      </c>
      <c r="AW476" s="138" t="str">
        <f t="shared" si="31"/>
        <v/>
      </c>
      <c r="AX476" s="139" t="str">
        <f>[1]!T.in.A[[#This Row],[ID_T_manu]]</f>
        <v/>
      </c>
      <c r="AY476" s="140" t="str">
        <f>IF(ISNUMBER(Tab.o1[[#This Row],[a1]]),IF(AND(Tab.o1[[#This Row],[a1]]=1,Tab.o1[[#This Row],[b1]]&lt;=AY$4),#REF!,AY475),"")</f>
        <v/>
      </c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</row>
    <row r="477" spans="1:79" ht="15.75" hidden="1">
      <c r="A477" s="109">
        <v>8.0000000000000013E-6</v>
      </c>
      <c r="B477" s="110">
        <f t="shared" si="28"/>
        <v>477</v>
      </c>
      <c r="C477" s="111" t="str">
        <f>IF(C$1=[1]!T.in.A[[#This Row],[oo2]],1,"")</f>
        <v/>
      </c>
      <c r="D477" s="112" t="str">
        <f>IF(Tab.o1[[#This Row],[a1]]=1,IF(SUM(C477:C478)=0,0,IF(SUM(C476:C477)=1,1,IF(SUM(C476:C478)&gt;1,D476+1,0))),"")</f>
        <v/>
      </c>
      <c r="E477" s="113" t="str">
        <f>IF(Tab.o1[[#This Row],[a1]]=1,[1]!T.in.A[[#This Row],[oo1]],"")</f>
        <v/>
      </c>
      <c r="F477" s="113" t="str">
        <f>IF(Tab.o1[[#This Row],[a1]]=1,[1]!T.in.A[[#This Row],[pp1]],"")</f>
        <v/>
      </c>
      <c r="G477" s="114" t="str">
        <f>IF(Tab.o1[[#This Row],[a1]]=1,G$2+IF(G$1=1,0,Tab.o1[[#This Row],[.x1]])+[1]!T.in.A[[#This Row],[oo3]],"")</f>
        <v/>
      </c>
      <c r="H477" s="115" t="str">
        <f>IF(Tab.o1[[#This Row],[a1]]=1,IF(H$2=0,0,IF(G$1=1,0,Tab.o1[[#This Row],[.x1]])+[1]!T.in.A[[#This Row],[oo4]]),"")</f>
        <v/>
      </c>
      <c r="I477" s="116" t="str">
        <f>IF(Tab.o1[[#This Row],[a1]]=1,IF(J$2=0,Tab.o1[[#This Row],[MED]],Tab.o1[[#This Row],[MOD]]),"")</f>
        <v/>
      </c>
      <c r="J477" s="116" t="str">
        <f>IF(Tab.o1[[#This Row],[a1]]=1,((Tab.o1[[#This Row],[DIF_Target.]]-AVERAGE(Tab.o1[DIF_Target.]))/_xlfn.STDEV.P(Tab.o1[DIF_Target.])),"")</f>
        <v/>
      </c>
      <c r="K477" s="117" t="str">
        <f>IF(Tab.o1[[#This Row],[a1]]=1,IF(J$2=0,Tab.o1[[#This Row],[MOD]]-Tab.o1[[#This Row],[B]],IF(J$2=1,0,-Tab.o1[[#This Row],[MED]])+Tab.o1[[#This Row],[B]]),"")</f>
        <v/>
      </c>
      <c r="L477" s="117" t="str">
        <f ca="1">IF(Tab.o1[[#This Row],[DIF_Target]]=0,IF(L$2=0,Tab.o1[[#This Row],[DIF_Target]],AVERAGE(OFFSET(Tab.o1[[#This Row],[DIF_Target]],1,0,L$3,1)))/3,Tab.o1[[#This Row],[DIF_Target]])</f>
        <v/>
      </c>
      <c r="M477" s="118" t="str">
        <f>IF(Tab.o1[[#This Row],[a1]]=1,NORMSDIST(Tab.o1[[#This Row],[Za]]),"")</f>
        <v/>
      </c>
      <c r="N477" s="119" t="str">
        <f>IF(Tab.o1[[#This Row],[a1]]=1,((Tab.o1[[#This Row],[MedMod]]-AVERAGE(Tab.o1[MedMod]))/_xlfn.STDEV.P(Tab.o1[MedMod])*H$1205)+G$1205,"")</f>
        <v/>
      </c>
      <c r="O477" s="141" t="str">
        <f>IF(Tab.o1[[#This Row],[a1]]=1,Tab.o1[[#This Row],[Zb]]*_xlfn.STDEV.P(Tab.o1[MedMod])+AVERAGE(Tab.o1[MedMod]),"")</f>
        <v/>
      </c>
      <c r="P477" s="117" t="str">
        <f ca="1">IF(Tab.o1[[#This Row],[B]]=0,AVERAGE(OFFSET(Tab.o1[[#This Row],[B]],1,0,L$3,1)),Tab.o1[[#This Row],[B]])</f>
        <v/>
      </c>
      <c r="Q477" s="121" t="str">
        <f>IF(Tab.o1[[#This Row],[a1]]=1,NORMSDIST(Tab.o1[[#This Row],[Zb]]),"")</f>
        <v/>
      </c>
      <c r="R477" s="122" t="str">
        <f>IF(Tab.o1[[#This Row],[a1]]=1,((Tab.o1[[#This Row],[MedMod]]-AVERAGE(Tab.o1[MedMod]))/_xlfn.STDEV.P(Tab.o1[MedMod])*H$1203)+G$1203,"")</f>
        <v/>
      </c>
      <c r="S477" s="122" t="str">
        <f>IF(Tab.o1[[#This Row],[a1]]=1,((Tab.o1[[#This Row],[MedMod]]-AVERAGE(Tab.o1[MedMod]))/_xlfn.STDEV.P(Tab.o1[MedMod])*H$1204)+G$1204,"")</f>
        <v/>
      </c>
      <c r="T477" s="123" t="str">
        <f>IF(Tab.o1[[#This Row],[a1]]=1,Tab.o1[[#This Row],[Z-]]*_xlfn.STDEV.P(Tab.o1[B])+AVERAGE(Tab.o1[B]),"")</f>
        <v/>
      </c>
      <c r="U477" s="123" t="str">
        <f>IF(Tab.o1[[#This Row],[a1]]=1,Tab.o1[[#This Row],[z+]]*_xlfn.STDEV.P(Tab.o1[B])+AVERAGE(Tab.o1[B]),"")</f>
        <v/>
      </c>
      <c r="V477" s="124" t="str">
        <f>IF(Tab.o1[[#This Row],[a1]]=1,ABS((ABS(Tab.o1[[#This Row],[Red]]-Tab.o1[[#This Row],[Blue]]))),"")</f>
        <v/>
      </c>
      <c r="W477" s="125" t="str">
        <f>IF(Tab.o1[[#This Row],[a1]]=1,IF(W$3=0,1,Tab.o1[[#This Row],[Amp.]]*1/_xlfn.MINIFS(Tab.o1[Amp.],Tab.o1[Amp.],"&lt;&gt;0")),"")</f>
        <v/>
      </c>
      <c r="X477" s="126" t="str">
        <f>IF(Tab.o1[[#This Row],[a1]]=1,IF(ISNUMBER(Tab.o1[[#This Row],[i.]]),NORMDIST(Tab.o1[[#This Row],[Za]],0,1,FALSE)*Tab.o1[[#This Row],[i.]],AP$3),"")</f>
        <v/>
      </c>
      <c r="Y477" s="126" t="str">
        <f>IF(Tab.o1[[#This Row],[a1]]=1,0.01+0.94*Tab.o1[[#This Row],[PDF]]/MAX(Tab.o1[PDF]),"")</f>
        <v/>
      </c>
      <c r="Z477" s="126" t="str">
        <f>IF(Tab.o1[[#This Row],[a1]]=1,0.01+0.94*Tab.o1[[#This Row],[W1_PDF]]/MAX(Tab.o1[W1_PDF]),"")</f>
        <v/>
      </c>
      <c r="AA477" s="118" t="str">
        <f>IF(Tab.o1[[#This Row],[a1]]=1,ABS([1]!T.in.A[[#This Row],[oo6]]),"")</f>
        <v/>
      </c>
      <c r="AB477" s="127" t="str">
        <f>IF(Tab.o1[[#This Row],[a1]]=1,IF(AE$3=0,"",IF(AB$3=0,ABS([1]!T.in.A[[#This Row],[oo9]]),ABS(Tab.o1[[#This Row],[DIF_Target.]]*Tab.o1[[#This Row],[W1_PDF]]))),"")</f>
        <v/>
      </c>
      <c r="AC477" s="127" t="str">
        <f>IF(G$1=1,"",IF(Tab.o1[[#This Row],[a1]]=1,Tab.o1[[#This Row],[Wr]]^2,""))</f>
        <v/>
      </c>
      <c r="AD477" s="118" t="str">
        <f>IF(Tab.o1[[#This Row],[a1]]=1,IF(AE$3=0,"",Tab.o1[[#This Row],[Wr2]]/SUM(Tab.o1[Wr2])),"")</f>
        <v/>
      </c>
      <c r="AE477" s="128" t="str">
        <f>IF(Tab.o1[[#This Row],[a1]]=1,[1]!T.in.A[[#This Row],[oo10]],"")</f>
        <v/>
      </c>
      <c r="AF477" s="118" t="str">
        <f>IF(Tab.o1[[#This Row],[a1]]=1,ABS(Tab.o1[[#This Row],[DIF_Target.]]*Tab.o1[[#This Row],[PDF2]]*Tab.o1[[#This Row],[IN]]),"")</f>
        <v/>
      </c>
      <c r="AG477" s="129" t="str">
        <f>IF(Tab.o1[[#This Row],[a1]]=1,Tab.o1[[#This Row],[rW]]^2,"")</f>
        <v/>
      </c>
      <c r="AH477" s="130" t="str">
        <f>IF(Tab.o1[[#This Row],[a1]]=1,IF(AH$3=0,Tab.o1[[#This Row],[rW2]],0.01+0.94*Tab.o1[[#This Row],[rW2]]/SUM(Tab.o1[rW2])),"")</f>
        <v/>
      </c>
      <c r="AI477" s="128" t="str">
        <f>IF(Tab.o1[[#This Row],[a1]]=1,1/Tab.o1[[#This Row],[PDF]],"")</f>
        <v/>
      </c>
      <c r="AJ477" s="131" t="str">
        <f>IF(Tab.o1[[#This Row],[a1]]=1,[1]!T_AA[[#This Row],[IN'']]*[1]!T_AA[[#This Row],[Qde'']],"")</f>
        <v/>
      </c>
      <c r="AK477" s="132" t="str">
        <f>IF(Tab.o1[[#This Row],[a1]]=1,IF(AK$1=1,Tab.o1[[#This Row],[MED]]+Tab.o1[[#This Row],[MOD]]-Tab.o1[[#This Row],[MED]],""),"")</f>
        <v/>
      </c>
      <c r="AL477" s="133" t="str">
        <f>IF(Tab.o1[[#This Row],[a1]]=1,[1]!T.in.A[[#This Row],[oo16]],"")</f>
        <v/>
      </c>
      <c r="AM477" s="133" t="str">
        <f>IF(Tab.o1[[#This Row],[a1]]=1,IF(AM$3=1,[1]!T.in.A[[#This Row],[Σo16]],""),"")</f>
        <v/>
      </c>
      <c r="AN477" s="126" t="str">
        <f>IF(Tab.o1[[#This Row],[a1]]=1,[1]!T.in.A[[#This Row],[Σp5]],"")</f>
        <v/>
      </c>
      <c r="AO477" s="126" t="str">
        <f>IF(Tab.o1[[#This Row],[a1]]=1,IF(AO$3=1,[1]!T.in.A[[#This Row],[Σp5]],""),"")</f>
        <v/>
      </c>
      <c r="AP477" s="110" t="str">
        <f>IF(Tab.o1[[#This Row],[a1]]=1,IF(ISNUMBER(Tab.o1[[#This Row],[i.]]),NORMDIST(Tab.o1[[#This Row],[Za]],0,1,FALSE)*Tab.o1[[#This Row],[i.]],0),"")</f>
        <v/>
      </c>
      <c r="AQ477" s="125" t="str">
        <f>IF(Tab.o1[[#This Row],[a1]]=1,ABS(Tab.o1[[#This Row],[MOD]]-AVERAGE(Tab.o1[MOD])),"")</f>
        <v/>
      </c>
      <c r="AR477" s="134" t="str">
        <f>IF(Tab.o1[[#This Row],[a1]]=1,Tab.o1[[#This Row],[OBS]]/SUM(Tab.o1[OBS]),"")</f>
        <v/>
      </c>
      <c r="AS477" s="135" t="str">
        <f>IF(ISNUMBER(Tab.o1[[#This Row],[a1]]),ROW()-4,"")</f>
        <v/>
      </c>
      <c r="AT477" s="136" t="str">
        <f>Tab.o1[[#This Row],[MOD]]</f>
        <v/>
      </c>
      <c r="AU477" s="137" t="str">
        <f t="shared" si="29"/>
        <v/>
      </c>
      <c r="AV477" s="138" t="str">
        <f t="shared" si="30"/>
        <v/>
      </c>
      <c r="AW477" s="138" t="str">
        <f t="shared" si="31"/>
        <v/>
      </c>
      <c r="AX477" s="139" t="str">
        <f>[1]!T.in.A[[#This Row],[ID_T_manu]]</f>
        <v/>
      </c>
      <c r="AY477" s="140" t="str">
        <f>IF(ISNUMBER(Tab.o1[[#This Row],[a1]]),IF(AND(Tab.o1[[#This Row],[a1]]=1,Tab.o1[[#This Row],[b1]]&lt;=AY$4),#REF!,AY476),"")</f>
        <v/>
      </c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</row>
    <row r="478" spans="1:79" ht="15.75" hidden="1">
      <c r="A478" s="109">
        <v>-5.9999999999999993E-6</v>
      </c>
      <c r="B478" s="110">
        <f t="shared" si="28"/>
        <v>478</v>
      </c>
      <c r="C478" s="111" t="str">
        <f>IF(C$1=[1]!T.in.A[[#This Row],[oo2]],1,"")</f>
        <v/>
      </c>
      <c r="D478" s="112" t="str">
        <f>IF(Tab.o1[[#This Row],[a1]]=1,IF(SUM(C478:C479)=0,0,IF(SUM(C477:C478)=1,1,IF(SUM(C477:C479)&gt;1,D477+1,0))),"")</f>
        <v/>
      </c>
      <c r="E478" s="113" t="str">
        <f>IF(Tab.o1[[#This Row],[a1]]=1,[1]!T.in.A[[#This Row],[oo1]],"")</f>
        <v/>
      </c>
      <c r="F478" s="113" t="str">
        <f>IF(Tab.o1[[#This Row],[a1]]=1,[1]!T.in.A[[#This Row],[pp1]],"")</f>
        <v/>
      </c>
      <c r="G478" s="114" t="str">
        <f>IF(Tab.o1[[#This Row],[a1]]=1,G$2+IF(G$1=1,0,Tab.o1[[#This Row],[.x1]])+[1]!T.in.A[[#This Row],[oo3]],"")</f>
        <v/>
      </c>
      <c r="H478" s="115" t="str">
        <f>IF(Tab.o1[[#This Row],[a1]]=1,IF(H$2=0,0,IF(G$1=1,0,Tab.o1[[#This Row],[.x1]])+[1]!T.in.A[[#This Row],[oo4]]),"")</f>
        <v/>
      </c>
      <c r="I478" s="116" t="str">
        <f>IF(Tab.o1[[#This Row],[a1]]=1,IF(J$2=0,Tab.o1[[#This Row],[MED]],Tab.o1[[#This Row],[MOD]]),"")</f>
        <v/>
      </c>
      <c r="J478" s="116" t="str">
        <f>IF(Tab.o1[[#This Row],[a1]]=1,((Tab.o1[[#This Row],[DIF_Target.]]-AVERAGE(Tab.o1[DIF_Target.]))/_xlfn.STDEV.P(Tab.o1[DIF_Target.])),"")</f>
        <v/>
      </c>
      <c r="K478" s="117" t="str">
        <f>IF(Tab.o1[[#This Row],[a1]]=1,IF(J$2=0,Tab.o1[[#This Row],[MOD]]-Tab.o1[[#This Row],[B]],IF(J$2=1,0,-Tab.o1[[#This Row],[MED]])+Tab.o1[[#This Row],[B]]),"")</f>
        <v/>
      </c>
      <c r="L478" s="117" t="str">
        <f ca="1">IF(Tab.o1[[#This Row],[DIF_Target]]=0,IF(L$2=0,Tab.o1[[#This Row],[DIF_Target]],AVERAGE(OFFSET(Tab.o1[[#This Row],[DIF_Target]],1,0,L$3,1)))/3,Tab.o1[[#This Row],[DIF_Target]])</f>
        <v/>
      </c>
      <c r="M478" s="118" t="str">
        <f>IF(Tab.o1[[#This Row],[a1]]=1,NORMSDIST(Tab.o1[[#This Row],[Za]]),"")</f>
        <v/>
      </c>
      <c r="N478" s="119" t="str">
        <f>IF(Tab.o1[[#This Row],[a1]]=1,((Tab.o1[[#This Row],[MedMod]]-AVERAGE(Tab.o1[MedMod]))/_xlfn.STDEV.P(Tab.o1[MedMod])*H$1205)+G$1205,"")</f>
        <v/>
      </c>
      <c r="O478" s="141" t="str">
        <f>IF(Tab.o1[[#This Row],[a1]]=1,Tab.o1[[#This Row],[Zb]]*_xlfn.STDEV.P(Tab.o1[MedMod])+AVERAGE(Tab.o1[MedMod]),"")</f>
        <v/>
      </c>
      <c r="P478" s="117" t="str">
        <f ca="1">IF(Tab.o1[[#This Row],[B]]=0,AVERAGE(OFFSET(Tab.o1[[#This Row],[B]],1,0,L$3,1)),Tab.o1[[#This Row],[B]])</f>
        <v/>
      </c>
      <c r="Q478" s="121" t="str">
        <f>IF(Tab.o1[[#This Row],[a1]]=1,NORMSDIST(Tab.o1[[#This Row],[Zb]]),"")</f>
        <v/>
      </c>
      <c r="R478" s="122" t="str">
        <f>IF(Tab.o1[[#This Row],[a1]]=1,((Tab.o1[[#This Row],[MedMod]]-AVERAGE(Tab.o1[MedMod]))/_xlfn.STDEV.P(Tab.o1[MedMod])*H$1203)+G$1203,"")</f>
        <v/>
      </c>
      <c r="S478" s="122" t="str">
        <f>IF(Tab.o1[[#This Row],[a1]]=1,((Tab.o1[[#This Row],[MedMod]]-AVERAGE(Tab.o1[MedMod]))/_xlfn.STDEV.P(Tab.o1[MedMod])*H$1204)+G$1204,"")</f>
        <v/>
      </c>
      <c r="T478" s="123" t="str">
        <f>IF(Tab.o1[[#This Row],[a1]]=1,Tab.o1[[#This Row],[Z-]]*_xlfn.STDEV.P(Tab.o1[B])+AVERAGE(Tab.o1[B]),"")</f>
        <v/>
      </c>
      <c r="U478" s="123" t="str">
        <f>IF(Tab.o1[[#This Row],[a1]]=1,Tab.o1[[#This Row],[z+]]*_xlfn.STDEV.P(Tab.o1[B])+AVERAGE(Tab.o1[B]),"")</f>
        <v/>
      </c>
      <c r="V478" s="124" t="str">
        <f>IF(Tab.o1[[#This Row],[a1]]=1,ABS((ABS(Tab.o1[[#This Row],[Red]]-Tab.o1[[#This Row],[Blue]]))),"")</f>
        <v/>
      </c>
      <c r="W478" s="125" t="str">
        <f>IF(Tab.o1[[#This Row],[a1]]=1,IF(W$3=0,1,Tab.o1[[#This Row],[Amp.]]*1/_xlfn.MINIFS(Tab.o1[Amp.],Tab.o1[Amp.],"&lt;&gt;0")),"")</f>
        <v/>
      </c>
      <c r="X478" s="126" t="str">
        <f>IF(Tab.o1[[#This Row],[a1]]=1,IF(ISNUMBER(Tab.o1[[#This Row],[i.]]),NORMDIST(Tab.o1[[#This Row],[Za]],0,1,FALSE)*Tab.o1[[#This Row],[i.]],AP$3),"")</f>
        <v/>
      </c>
      <c r="Y478" s="126" t="str">
        <f>IF(Tab.o1[[#This Row],[a1]]=1,0.01+0.94*Tab.o1[[#This Row],[PDF]]/MAX(Tab.o1[PDF]),"")</f>
        <v/>
      </c>
      <c r="Z478" s="126" t="str">
        <f>IF(Tab.o1[[#This Row],[a1]]=1,0.01+0.94*Tab.o1[[#This Row],[W1_PDF]]/MAX(Tab.o1[W1_PDF]),"")</f>
        <v/>
      </c>
      <c r="AA478" s="118" t="str">
        <f>IF(Tab.o1[[#This Row],[a1]]=1,ABS([1]!T.in.A[[#This Row],[oo6]]),"")</f>
        <v/>
      </c>
      <c r="AB478" s="127" t="str">
        <f>IF(Tab.o1[[#This Row],[a1]]=1,IF(AE$3=0,"",IF(AB$3=0,ABS([1]!T.in.A[[#This Row],[oo9]]),ABS(Tab.o1[[#This Row],[DIF_Target.]]*Tab.o1[[#This Row],[W1_PDF]]))),"")</f>
        <v/>
      </c>
      <c r="AC478" s="127" t="str">
        <f>IF(G$1=1,"",IF(Tab.o1[[#This Row],[a1]]=1,Tab.o1[[#This Row],[Wr]]^2,""))</f>
        <v/>
      </c>
      <c r="AD478" s="118" t="str">
        <f>IF(Tab.o1[[#This Row],[a1]]=1,IF(AE$3=0,"",Tab.o1[[#This Row],[Wr2]]/SUM(Tab.o1[Wr2])),"")</f>
        <v/>
      </c>
      <c r="AE478" s="128" t="str">
        <f>IF(Tab.o1[[#This Row],[a1]]=1,[1]!T.in.A[[#This Row],[oo10]],"")</f>
        <v/>
      </c>
      <c r="AF478" s="118" t="str">
        <f>IF(Tab.o1[[#This Row],[a1]]=1,ABS(Tab.o1[[#This Row],[DIF_Target.]]*Tab.o1[[#This Row],[PDF2]]*Tab.o1[[#This Row],[IN]]),"")</f>
        <v/>
      </c>
      <c r="AG478" s="129" t="str">
        <f>IF(Tab.o1[[#This Row],[a1]]=1,Tab.o1[[#This Row],[rW]]^2,"")</f>
        <v/>
      </c>
      <c r="AH478" s="130" t="str">
        <f>IF(Tab.o1[[#This Row],[a1]]=1,IF(AH$3=0,Tab.o1[[#This Row],[rW2]],0.01+0.94*Tab.o1[[#This Row],[rW2]]/SUM(Tab.o1[rW2])),"")</f>
        <v/>
      </c>
      <c r="AI478" s="128" t="str">
        <f>IF(Tab.o1[[#This Row],[a1]]=1,1/Tab.o1[[#This Row],[PDF]],"")</f>
        <v/>
      </c>
      <c r="AJ478" s="131" t="str">
        <f>IF(Tab.o1[[#This Row],[a1]]=1,[1]!T_AA[[#This Row],[IN'']]*[1]!T_AA[[#This Row],[Qde'']],"")</f>
        <v/>
      </c>
      <c r="AK478" s="132" t="str">
        <f>IF(Tab.o1[[#This Row],[a1]]=1,IF(AK$1=1,Tab.o1[[#This Row],[MED]]+Tab.o1[[#This Row],[MOD]]-Tab.o1[[#This Row],[MED]],""),"")</f>
        <v/>
      </c>
      <c r="AL478" s="133" t="str">
        <f>IF(Tab.o1[[#This Row],[a1]]=1,[1]!T.in.A[[#This Row],[oo16]],"")</f>
        <v/>
      </c>
      <c r="AM478" s="133" t="str">
        <f>IF(Tab.o1[[#This Row],[a1]]=1,IF(AM$3=1,[1]!T.in.A[[#This Row],[Σo16]],""),"")</f>
        <v/>
      </c>
      <c r="AN478" s="126" t="str">
        <f>IF(Tab.o1[[#This Row],[a1]]=1,[1]!T.in.A[[#This Row],[Σp5]],"")</f>
        <v/>
      </c>
      <c r="AO478" s="126" t="str">
        <f>IF(Tab.o1[[#This Row],[a1]]=1,IF(AO$3=1,[1]!T.in.A[[#This Row],[Σp5]],""),"")</f>
        <v/>
      </c>
      <c r="AP478" s="110" t="str">
        <f>IF(Tab.o1[[#This Row],[a1]]=1,IF(ISNUMBER(Tab.o1[[#This Row],[i.]]),NORMDIST(Tab.o1[[#This Row],[Za]],0,1,FALSE)*Tab.o1[[#This Row],[i.]],0),"")</f>
        <v/>
      </c>
      <c r="AQ478" s="125" t="str">
        <f>IF(Tab.o1[[#This Row],[a1]]=1,ABS(Tab.o1[[#This Row],[MOD]]-AVERAGE(Tab.o1[MOD])),"")</f>
        <v/>
      </c>
      <c r="AR478" s="134" t="str">
        <f>IF(Tab.o1[[#This Row],[a1]]=1,Tab.o1[[#This Row],[OBS]]/SUM(Tab.o1[OBS]),"")</f>
        <v/>
      </c>
      <c r="AS478" s="135" t="str">
        <f>IF(ISNUMBER(Tab.o1[[#This Row],[a1]]),ROW()-4,"")</f>
        <v/>
      </c>
      <c r="AT478" s="136" t="str">
        <f>Tab.o1[[#This Row],[MOD]]</f>
        <v/>
      </c>
      <c r="AU478" s="137" t="str">
        <f t="shared" si="29"/>
        <v/>
      </c>
      <c r="AV478" s="138" t="str">
        <f t="shared" si="30"/>
        <v/>
      </c>
      <c r="AW478" s="138" t="str">
        <f t="shared" si="31"/>
        <v/>
      </c>
      <c r="AX478" s="139" t="str">
        <f>[1]!T.in.A[[#This Row],[ID_T_manu]]</f>
        <v/>
      </c>
      <c r="AY478" s="140" t="str">
        <f>IF(ISNUMBER(Tab.o1[[#This Row],[a1]]),IF(AND(Tab.o1[[#This Row],[a1]]=1,Tab.o1[[#This Row],[b1]]&lt;=AY$4),#REF!,AY477),"")</f>
        <v/>
      </c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</row>
    <row r="479" spans="1:79" ht="15.75" hidden="1">
      <c r="A479" s="109">
        <v>4.0000000000000007E-6</v>
      </c>
      <c r="B479" s="110">
        <f t="shared" si="28"/>
        <v>479</v>
      </c>
      <c r="C479" s="111" t="str">
        <f>IF(C$1=[1]!T.in.A[[#This Row],[oo2]],1,"")</f>
        <v/>
      </c>
      <c r="D479" s="112" t="str">
        <f>IF(Tab.o1[[#This Row],[a1]]=1,IF(SUM(C479:C480)=0,0,IF(SUM(C478:C479)=1,1,IF(SUM(C478:C480)&gt;1,D478+1,0))),"")</f>
        <v/>
      </c>
      <c r="E479" s="113" t="str">
        <f>IF(Tab.o1[[#This Row],[a1]]=1,[1]!T.in.A[[#This Row],[oo1]],"")</f>
        <v/>
      </c>
      <c r="F479" s="113" t="str">
        <f>IF(Tab.o1[[#This Row],[a1]]=1,[1]!T.in.A[[#This Row],[pp1]],"")</f>
        <v/>
      </c>
      <c r="G479" s="114" t="str">
        <f>IF(Tab.o1[[#This Row],[a1]]=1,G$2+IF(G$1=1,0,Tab.o1[[#This Row],[.x1]])+[1]!T.in.A[[#This Row],[oo3]],"")</f>
        <v/>
      </c>
      <c r="H479" s="115" t="str">
        <f>IF(Tab.o1[[#This Row],[a1]]=1,IF(H$2=0,0,IF(G$1=1,0,Tab.o1[[#This Row],[.x1]])+[1]!T.in.A[[#This Row],[oo4]]),"")</f>
        <v/>
      </c>
      <c r="I479" s="116" t="str">
        <f>IF(Tab.o1[[#This Row],[a1]]=1,IF(J$2=0,Tab.o1[[#This Row],[MED]],Tab.o1[[#This Row],[MOD]]),"")</f>
        <v/>
      </c>
      <c r="J479" s="116" t="str">
        <f>IF(Tab.o1[[#This Row],[a1]]=1,((Tab.o1[[#This Row],[DIF_Target.]]-AVERAGE(Tab.o1[DIF_Target.]))/_xlfn.STDEV.P(Tab.o1[DIF_Target.])),"")</f>
        <v/>
      </c>
      <c r="K479" s="117" t="str">
        <f>IF(Tab.o1[[#This Row],[a1]]=1,IF(J$2=0,Tab.o1[[#This Row],[MOD]]-Tab.o1[[#This Row],[B]],IF(J$2=1,0,-Tab.o1[[#This Row],[MED]])+Tab.o1[[#This Row],[B]]),"")</f>
        <v/>
      </c>
      <c r="L479" s="117" t="str">
        <f ca="1">IF(Tab.o1[[#This Row],[DIF_Target]]=0,IF(L$2=0,Tab.o1[[#This Row],[DIF_Target]],AVERAGE(OFFSET(Tab.o1[[#This Row],[DIF_Target]],1,0,L$3,1)))/3,Tab.o1[[#This Row],[DIF_Target]])</f>
        <v/>
      </c>
      <c r="M479" s="118" t="str">
        <f>IF(Tab.o1[[#This Row],[a1]]=1,NORMSDIST(Tab.o1[[#This Row],[Za]]),"")</f>
        <v/>
      </c>
      <c r="N479" s="119" t="str">
        <f>IF(Tab.o1[[#This Row],[a1]]=1,((Tab.o1[[#This Row],[MedMod]]-AVERAGE(Tab.o1[MedMod]))/_xlfn.STDEV.P(Tab.o1[MedMod])*H$1205)+G$1205,"")</f>
        <v/>
      </c>
      <c r="O479" s="141" t="str">
        <f>IF(Tab.o1[[#This Row],[a1]]=1,Tab.o1[[#This Row],[Zb]]*_xlfn.STDEV.P(Tab.o1[MedMod])+AVERAGE(Tab.o1[MedMod]),"")</f>
        <v/>
      </c>
      <c r="P479" s="117" t="str">
        <f ca="1">IF(Tab.o1[[#This Row],[B]]=0,AVERAGE(OFFSET(Tab.o1[[#This Row],[B]],1,0,L$3,1)),Tab.o1[[#This Row],[B]])</f>
        <v/>
      </c>
      <c r="Q479" s="121" t="str">
        <f>IF(Tab.o1[[#This Row],[a1]]=1,NORMSDIST(Tab.o1[[#This Row],[Zb]]),"")</f>
        <v/>
      </c>
      <c r="R479" s="122" t="str">
        <f>IF(Tab.o1[[#This Row],[a1]]=1,((Tab.o1[[#This Row],[MedMod]]-AVERAGE(Tab.o1[MedMod]))/_xlfn.STDEV.P(Tab.o1[MedMod])*H$1203)+G$1203,"")</f>
        <v/>
      </c>
      <c r="S479" s="122" t="str">
        <f>IF(Tab.o1[[#This Row],[a1]]=1,((Tab.o1[[#This Row],[MedMod]]-AVERAGE(Tab.o1[MedMod]))/_xlfn.STDEV.P(Tab.o1[MedMod])*H$1204)+G$1204,"")</f>
        <v/>
      </c>
      <c r="T479" s="123" t="str">
        <f>IF(Tab.o1[[#This Row],[a1]]=1,Tab.o1[[#This Row],[Z-]]*_xlfn.STDEV.P(Tab.o1[B])+AVERAGE(Tab.o1[B]),"")</f>
        <v/>
      </c>
      <c r="U479" s="123" t="str">
        <f>IF(Tab.o1[[#This Row],[a1]]=1,Tab.o1[[#This Row],[z+]]*_xlfn.STDEV.P(Tab.o1[B])+AVERAGE(Tab.o1[B]),"")</f>
        <v/>
      </c>
      <c r="V479" s="124" t="str">
        <f>IF(Tab.o1[[#This Row],[a1]]=1,ABS((ABS(Tab.o1[[#This Row],[Red]]-Tab.o1[[#This Row],[Blue]]))),"")</f>
        <v/>
      </c>
      <c r="W479" s="125" t="str">
        <f>IF(Tab.o1[[#This Row],[a1]]=1,IF(W$3=0,1,Tab.o1[[#This Row],[Amp.]]*1/_xlfn.MINIFS(Tab.o1[Amp.],Tab.o1[Amp.],"&lt;&gt;0")),"")</f>
        <v/>
      </c>
      <c r="X479" s="126" t="str">
        <f>IF(Tab.o1[[#This Row],[a1]]=1,IF(ISNUMBER(Tab.o1[[#This Row],[i.]]),NORMDIST(Tab.o1[[#This Row],[Za]],0,1,FALSE)*Tab.o1[[#This Row],[i.]],AP$3),"")</f>
        <v/>
      </c>
      <c r="Y479" s="126" t="str">
        <f>IF(Tab.o1[[#This Row],[a1]]=1,0.01+0.94*Tab.o1[[#This Row],[PDF]]/MAX(Tab.o1[PDF]),"")</f>
        <v/>
      </c>
      <c r="Z479" s="126" t="str">
        <f>IF(Tab.o1[[#This Row],[a1]]=1,0.01+0.94*Tab.o1[[#This Row],[W1_PDF]]/MAX(Tab.o1[W1_PDF]),"")</f>
        <v/>
      </c>
      <c r="AA479" s="118" t="str">
        <f>IF(Tab.o1[[#This Row],[a1]]=1,ABS([1]!T.in.A[[#This Row],[oo6]]),"")</f>
        <v/>
      </c>
      <c r="AB479" s="127" t="str">
        <f>IF(Tab.o1[[#This Row],[a1]]=1,IF(AE$3=0,"",IF(AB$3=0,ABS([1]!T.in.A[[#This Row],[oo9]]),ABS(Tab.o1[[#This Row],[DIF_Target.]]*Tab.o1[[#This Row],[W1_PDF]]))),"")</f>
        <v/>
      </c>
      <c r="AC479" s="127" t="str">
        <f>IF(G$1=1,"",IF(Tab.o1[[#This Row],[a1]]=1,Tab.o1[[#This Row],[Wr]]^2,""))</f>
        <v/>
      </c>
      <c r="AD479" s="118" t="str">
        <f>IF(Tab.o1[[#This Row],[a1]]=1,IF(AE$3=0,"",Tab.o1[[#This Row],[Wr2]]/SUM(Tab.o1[Wr2])),"")</f>
        <v/>
      </c>
      <c r="AE479" s="128" t="str">
        <f>IF(Tab.o1[[#This Row],[a1]]=1,[1]!T.in.A[[#This Row],[oo10]],"")</f>
        <v/>
      </c>
      <c r="AF479" s="118" t="str">
        <f>IF(Tab.o1[[#This Row],[a1]]=1,ABS(Tab.o1[[#This Row],[DIF_Target.]]*Tab.o1[[#This Row],[PDF2]]*Tab.o1[[#This Row],[IN]]),"")</f>
        <v/>
      </c>
      <c r="AG479" s="129" t="str">
        <f>IF(Tab.o1[[#This Row],[a1]]=1,Tab.o1[[#This Row],[rW]]^2,"")</f>
        <v/>
      </c>
      <c r="AH479" s="130" t="str">
        <f>IF(Tab.o1[[#This Row],[a1]]=1,IF(AH$3=0,Tab.o1[[#This Row],[rW2]],0.01+0.94*Tab.o1[[#This Row],[rW2]]/SUM(Tab.o1[rW2])),"")</f>
        <v/>
      </c>
      <c r="AI479" s="128" t="str">
        <f>IF(Tab.o1[[#This Row],[a1]]=1,1/Tab.o1[[#This Row],[PDF]],"")</f>
        <v/>
      </c>
      <c r="AJ479" s="131" t="str">
        <f>IF(Tab.o1[[#This Row],[a1]]=1,[1]!T_AA[[#This Row],[IN'']]*[1]!T_AA[[#This Row],[Qde'']],"")</f>
        <v/>
      </c>
      <c r="AK479" s="132" t="str">
        <f>IF(Tab.o1[[#This Row],[a1]]=1,IF(AK$1=1,Tab.o1[[#This Row],[MED]]+Tab.o1[[#This Row],[MOD]]-Tab.o1[[#This Row],[MED]],""),"")</f>
        <v/>
      </c>
      <c r="AL479" s="133" t="str">
        <f>IF(Tab.o1[[#This Row],[a1]]=1,[1]!T.in.A[[#This Row],[oo16]],"")</f>
        <v/>
      </c>
      <c r="AM479" s="133" t="str">
        <f>IF(Tab.o1[[#This Row],[a1]]=1,IF(AM$3=1,[1]!T.in.A[[#This Row],[Σo16]],""),"")</f>
        <v/>
      </c>
      <c r="AN479" s="126" t="str">
        <f>IF(Tab.o1[[#This Row],[a1]]=1,[1]!T.in.A[[#This Row],[Σp5]],"")</f>
        <v/>
      </c>
      <c r="AO479" s="126" t="str">
        <f>IF(Tab.o1[[#This Row],[a1]]=1,IF(AO$3=1,[1]!T.in.A[[#This Row],[Σp5]],""),"")</f>
        <v/>
      </c>
      <c r="AP479" s="110" t="str">
        <f>IF(Tab.o1[[#This Row],[a1]]=1,IF(ISNUMBER(Tab.o1[[#This Row],[i.]]),NORMDIST(Tab.o1[[#This Row],[Za]],0,1,FALSE)*Tab.o1[[#This Row],[i.]],0),"")</f>
        <v/>
      </c>
      <c r="AQ479" s="125" t="str">
        <f>IF(Tab.o1[[#This Row],[a1]]=1,ABS(Tab.o1[[#This Row],[MOD]]-AVERAGE(Tab.o1[MOD])),"")</f>
        <v/>
      </c>
      <c r="AR479" s="134" t="str">
        <f>IF(Tab.o1[[#This Row],[a1]]=1,Tab.o1[[#This Row],[OBS]]/SUM(Tab.o1[OBS]),"")</f>
        <v/>
      </c>
      <c r="AS479" s="135" t="str">
        <f>IF(ISNUMBER(Tab.o1[[#This Row],[a1]]),ROW()-4,"")</f>
        <v/>
      </c>
      <c r="AT479" s="136" t="str">
        <f>Tab.o1[[#This Row],[MOD]]</f>
        <v/>
      </c>
      <c r="AU479" s="137" t="str">
        <f t="shared" si="29"/>
        <v/>
      </c>
      <c r="AV479" s="138" t="str">
        <f t="shared" si="30"/>
        <v/>
      </c>
      <c r="AW479" s="138" t="str">
        <f t="shared" si="31"/>
        <v/>
      </c>
      <c r="AX479" s="139" t="str">
        <f>[1]!T.in.A[[#This Row],[ID_T_manu]]</f>
        <v/>
      </c>
      <c r="AY479" s="140" t="str">
        <f>IF(ISNUMBER(Tab.o1[[#This Row],[a1]]),IF(AND(Tab.o1[[#This Row],[a1]]=1,Tab.o1[[#This Row],[b1]]&lt;=AY$4),#REF!,AY478),"")</f>
        <v/>
      </c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</row>
    <row r="480" spans="1:79" ht="15.75" hidden="1">
      <c r="A480" s="109">
        <v>4.0000000000000007E-6</v>
      </c>
      <c r="B480" s="110">
        <f t="shared" si="28"/>
        <v>480</v>
      </c>
      <c r="C480" s="111" t="str">
        <f>IF(C$1=[1]!T.in.A[[#This Row],[oo2]],1,"")</f>
        <v/>
      </c>
      <c r="D480" s="112" t="str">
        <f>IF(Tab.o1[[#This Row],[a1]]=1,IF(SUM(C480:C481)=0,0,IF(SUM(C479:C480)=1,1,IF(SUM(C479:C481)&gt;1,D479+1,0))),"")</f>
        <v/>
      </c>
      <c r="E480" s="113" t="str">
        <f>IF(Tab.o1[[#This Row],[a1]]=1,[1]!T.in.A[[#This Row],[oo1]],"")</f>
        <v/>
      </c>
      <c r="F480" s="113" t="str">
        <f>IF(Tab.o1[[#This Row],[a1]]=1,[1]!T.in.A[[#This Row],[pp1]],"")</f>
        <v/>
      </c>
      <c r="G480" s="114" t="str">
        <f>IF(Tab.o1[[#This Row],[a1]]=1,G$2+IF(G$1=1,0,Tab.o1[[#This Row],[.x1]])+[1]!T.in.A[[#This Row],[oo3]],"")</f>
        <v/>
      </c>
      <c r="H480" s="115" t="str">
        <f>IF(Tab.o1[[#This Row],[a1]]=1,IF(H$2=0,0,IF(G$1=1,0,Tab.o1[[#This Row],[.x1]])+[1]!T.in.A[[#This Row],[oo4]]),"")</f>
        <v/>
      </c>
      <c r="I480" s="116" t="str">
        <f>IF(Tab.o1[[#This Row],[a1]]=1,IF(J$2=0,Tab.o1[[#This Row],[MED]],Tab.o1[[#This Row],[MOD]]),"")</f>
        <v/>
      </c>
      <c r="J480" s="116" t="str">
        <f>IF(Tab.o1[[#This Row],[a1]]=1,((Tab.o1[[#This Row],[DIF_Target.]]-AVERAGE(Tab.o1[DIF_Target.]))/_xlfn.STDEV.P(Tab.o1[DIF_Target.])),"")</f>
        <v/>
      </c>
      <c r="K480" s="117" t="str">
        <f>IF(Tab.o1[[#This Row],[a1]]=1,IF(J$2=0,Tab.o1[[#This Row],[MOD]]-Tab.o1[[#This Row],[B]],IF(J$2=1,0,-Tab.o1[[#This Row],[MED]])+Tab.o1[[#This Row],[B]]),"")</f>
        <v/>
      </c>
      <c r="L480" s="117" t="str">
        <f ca="1">IF(Tab.o1[[#This Row],[DIF_Target]]=0,IF(L$2=0,Tab.o1[[#This Row],[DIF_Target]],AVERAGE(OFFSET(Tab.o1[[#This Row],[DIF_Target]],1,0,L$3,1)))/3,Tab.o1[[#This Row],[DIF_Target]])</f>
        <v/>
      </c>
      <c r="M480" s="118" t="str">
        <f>IF(Tab.o1[[#This Row],[a1]]=1,NORMSDIST(Tab.o1[[#This Row],[Za]]),"")</f>
        <v/>
      </c>
      <c r="N480" s="119" t="str">
        <f>IF(Tab.o1[[#This Row],[a1]]=1,((Tab.o1[[#This Row],[MedMod]]-AVERAGE(Tab.o1[MedMod]))/_xlfn.STDEV.P(Tab.o1[MedMod])*H$1205)+G$1205,"")</f>
        <v/>
      </c>
      <c r="O480" s="141" t="str">
        <f>IF(Tab.o1[[#This Row],[a1]]=1,Tab.o1[[#This Row],[Zb]]*_xlfn.STDEV.P(Tab.o1[MedMod])+AVERAGE(Tab.o1[MedMod]),"")</f>
        <v/>
      </c>
      <c r="P480" s="117" t="str">
        <f ca="1">IF(Tab.o1[[#This Row],[B]]=0,AVERAGE(OFFSET(Tab.o1[[#This Row],[B]],1,0,L$3,1)),Tab.o1[[#This Row],[B]])</f>
        <v/>
      </c>
      <c r="Q480" s="121" t="str">
        <f>IF(Tab.o1[[#This Row],[a1]]=1,NORMSDIST(Tab.o1[[#This Row],[Zb]]),"")</f>
        <v/>
      </c>
      <c r="R480" s="122" t="str">
        <f>IF(Tab.o1[[#This Row],[a1]]=1,((Tab.o1[[#This Row],[MedMod]]-AVERAGE(Tab.o1[MedMod]))/_xlfn.STDEV.P(Tab.o1[MedMod])*H$1203)+G$1203,"")</f>
        <v/>
      </c>
      <c r="S480" s="122" t="str">
        <f>IF(Tab.o1[[#This Row],[a1]]=1,((Tab.o1[[#This Row],[MedMod]]-AVERAGE(Tab.o1[MedMod]))/_xlfn.STDEV.P(Tab.o1[MedMod])*H$1204)+G$1204,"")</f>
        <v/>
      </c>
      <c r="T480" s="123" t="str">
        <f>IF(Tab.o1[[#This Row],[a1]]=1,Tab.o1[[#This Row],[Z-]]*_xlfn.STDEV.P(Tab.o1[B])+AVERAGE(Tab.o1[B]),"")</f>
        <v/>
      </c>
      <c r="U480" s="123" t="str">
        <f>IF(Tab.o1[[#This Row],[a1]]=1,Tab.o1[[#This Row],[z+]]*_xlfn.STDEV.P(Tab.o1[B])+AVERAGE(Tab.o1[B]),"")</f>
        <v/>
      </c>
      <c r="V480" s="124" t="str">
        <f>IF(Tab.o1[[#This Row],[a1]]=1,ABS((ABS(Tab.o1[[#This Row],[Red]]-Tab.o1[[#This Row],[Blue]]))),"")</f>
        <v/>
      </c>
      <c r="W480" s="125" t="str">
        <f>IF(Tab.o1[[#This Row],[a1]]=1,IF(W$3=0,1,Tab.o1[[#This Row],[Amp.]]*1/_xlfn.MINIFS(Tab.o1[Amp.],Tab.o1[Amp.],"&lt;&gt;0")),"")</f>
        <v/>
      </c>
      <c r="X480" s="126" t="str">
        <f>IF(Tab.o1[[#This Row],[a1]]=1,IF(ISNUMBER(Tab.o1[[#This Row],[i.]]),NORMDIST(Tab.o1[[#This Row],[Za]],0,1,FALSE)*Tab.o1[[#This Row],[i.]],AP$3),"")</f>
        <v/>
      </c>
      <c r="Y480" s="126" t="str">
        <f>IF(Tab.o1[[#This Row],[a1]]=1,0.01+0.94*Tab.o1[[#This Row],[PDF]]/MAX(Tab.o1[PDF]),"")</f>
        <v/>
      </c>
      <c r="Z480" s="126" t="str">
        <f>IF(Tab.o1[[#This Row],[a1]]=1,0.01+0.94*Tab.o1[[#This Row],[W1_PDF]]/MAX(Tab.o1[W1_PDF]),"")</f>
        <v/>
      </c>
      <c r="AA480" s="118" t="str">
        <f>IF(Tab.o1[[#This Row],[a1]]=1,ABS([1]!T.in.A[[#This Row],[oo6]]),"")</f>
        <v/>
      </c>
      <c r="AB480" s="127" t="str">
        <f>IF(Tab.o1[[#This Row],[a1]]=1,IF(AE$3=0,"",IF(AB$3=0,ABS([1]!T.in.A[[#This Row],[oo9]]),ABS(Tab.o1[[#This Row],[DIF_Target.]]*Tab.o1[[#This Row],[W1_PDF]]))),"")</f>
        <v/>
      </c>
      <c r="AC480" s="127" t="str">
        <f>IF(G$1=1,"",IF(Tab.o1[[#This Row],[a1]]=1,Tab.o1[[#This Row],[Wr]]^2,""))</f>
        <v/>
      </c>
      <c r="AD480" s="118" t="str">
        <f>IF(Tab.o1[[#This Row],[a1]]=1,IF(AE$3=0,"",Tab.o1[[#This Row],[Wr2]]/SUM(Tab.o1[Wr2])),"")</f>
        <v/>
      </c>
      <c r="AE480" s="128" t="str">
        <f>IF(Tab.o1[[#This Row],[a1]]=1,[1]!T.in.A[[#This Row],[oo10]],"")</f>
        <v/>
      </c>
      <c r="AF480" s="118" t="str">
        <f>IF(Tab.o1[[#This Row],[a1]]=1,ABS(Tab.o1[[#This Row],[DIF_Target.]]*Tab.o1[[#This Row],[PDF2]]*Tab.o1[[#This Row],[IN]]),"")</f>
        <v/>
      </c>
      <c r="AG480" s="129" t="str">
        <f>IF(Tab.o1[[#This Row],[a1]]=1,Tab.o1[[#This Row],[rW]]^2,"")</f>
        <v/>
      </c>
      <c r="AH480" s="130" t="str">
        <f>IF(Tab.o1[[#This Row],[a1]]=1,IF(AH$3=0,Tab.o1[[#This Row],[rW2]],0.01+0.94*Tab.o1[[#This Row],[rW2]]/SUM(Tab.o1[rW2])),"")</f>
        <v/>
      </c>
      <c r="AI480" s="128" t="str">
        <f>IF(Tab.o1[[#This Row],[a1]]=1,1/Tab.o1[[#This Row],[PDF]],"")</f>
        <v/>
      </c>
      <c r="AJ480" s="131" t="str">
        <f>IF(Tab.o1[[#This Row],[a1]]=1,[1]!T_AA[[#This Row],[IN'']]*[1]!T_AA[[#This Row],[Qde'']],"")</f>
        <v/>
      </c>
      <c r="AK480" s="132" t="str">
        <f>IF(Tab.o1[[#This Row],[a1]]=1,IF(AK$1=1,Tab.o1[[#This Row],[MED]]+Tab.o1[[#This Row],[MOD]]-Tab.o1[[#This Row],[MED]],""),"")</f>
        <v/>
      </c>
      <c r="AL480" s="133" t="str">
        <f>IF(Tab.o1[[#This Row],[a1]]=1,[1]!T.in.A[[#This Row],[oo16]],"")</f>
        <v/>
      </c>
      <c r="AM480" s="133" t="str">
        <f>IF(Tab.o1[[#This Row],[a1]]=1,IF(AM$3=1,[1]!T.in.A[[#This Row],[Σo16]],""),"")</f>
        <v/>
      </c>
      <c r="AN480" s="126" t="str">
        <f>IF(Tab.o1[[#This Row],[a1]]=1,[1]!T.in.A[[#This Row],[Σp5]],"")</f>
        <v/>
      </c>
      <c r="AO480" s="126" t="str">
        <f>IF(Tab.o1[[#This Row],[a1]]=1,IF(AO$3=1,[1]!T.in.A[[#This Row],[Σp5]],""),"")</f>
        <v/>
      </c>
      <c r="AP480" s="110" t="str">
        <f>IF(Tab.o1[[#This Row],[a1]]=1,IF(ISNUMBER(Tab.o1[[#This Row],[i.]]),NORMDIST(Tab.o1[[#This Row],[Za]],0,1,FALSE)*Tab.o1[[#This Row],[i.]],0),"")</f>
        <v/>
      </c>
      <c r="AQ480" s="125" t="str">
        <f>IF(Tab.o1[[#This Row],[a1]]=1,ABS(Tab.o1[[#This Row],[MOD]]-AVERAGE(Tab.o1[MOD])),"")</f>
        <v/>
      </c>
      <c r="AR480" s="134" t="str">
        <f>IF(Tab.o1[[#This Row],[a1]]=1,Tab.o1[[#This Row],[OBS]]/SUM(Tab.o1[OBS]),"")</f>
        <v/>
      </c>
      <c r="AS480" s="135" t="str">
        <f>IF(ISNUMBER(Tab.o1[[#This Row],[a1]]),ROW()-4,"")</f>
        <v/>
      </c>
      <c r="AT480" s="136" t="str">
        <f>Tab.o1[[#This Row],[MOD]]</f>
        <v/>
      </c>
      <c r="AU480" s="137" t="str">
        <f t="shared" si="29"/>
        <v/>
      </c>
      <c r="AV480" s="138" t="str">
        <f t="shared" si="30"/>
        <v/>
      </c>
      <c r="AW480" s="138" t="str">
        <f t="shared" si="31"/>
        <v/>
      </c>
      <c r="AX480" s="139" t="str">
        <f>[1]!T.in.A[[#This Row],[ID_T_manu]]</f>
        <v/>
      </c>
      <c r="AY480" s="140" t="str">
        <f>IF(ISNUMBER(Tab.o1[[#This Row],[a1]]),IF(AND(Tab.o1[[#This Row],[a1]]=1,Tab.o1[[#This Row],[b1]]&lt;=AY$4),#REF!,AY479),"")</f>
        <v/>
      </c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</row>
    <row r="481" spans="1:79" ht="15.75" hidden="1">
      <c r="A481" s="109">
        <v>5.9999999999999993E-6</v>
      </c>
      <c r="B481" s="110">
        <f t="shared" si="28"/>
        <v>481</v>
      </c>
      <c r="C481" s="111" t="str">
        <f>IF(C$1=[1]!T.in.A[[#This Row],[oo2]],1,"")</f>
        <v/>
      </c>
      <c r="D481" s="112" t="str">
        <f>IF(Tab.o1[[#This Row],[a1]]=1,IF(SUM(C481:C482)=0,0,IF(SUM(C480:C481)=1,1,IF(SUM(C480:C482)&gt;1,D480+1,0))),"")</f>
        <v/>
      </c>
      <c r="E481" s="113" t="str">
        <f>IF(Tab.o1[[#This Row],[a1]]=1,[1]!T.in.A[[#This Row],[oo1]],"")</f>
        <v/>
      </c>
      <c r="F481" s="113" t="str">
        <f>IF(Tab.o1[[#This Row],[a1]]=1,[1]!T.in.A[[#This Row],[pp1]],"")</f>
        <v/>
      </c>
      <c r="G481" s="114" t="str">
        <f>IF(Tab.o1[[#This Row],[a1]]=1,G$2+IF(G$1=1,0,Tab.o1[[#This Row],[.x1]])+[1]!T.in.A[[#This Row],[oo3]],"")</f>
        <v/>
      </c>
      <c r="H481" s="115" t="str">
        <f>IF(Tab.o1[[#This Row],[a1]]=1,IF(H$2=0,0,IF(G$1=1,0,Tab.o1[[#This Row],[.x1]])+[1]!T.in.A[[#This Row],[oo4]]),"")</f>
        <v/>
      </c>
      <c r="I481" s="116" t="str">
        <f>IF(Tab.o1[[#This Row],[a1]]=1,IF(J$2=0,Tab.o1[[#This Row],[MED]],Tab.o1[[#This Row],[MOD]]),"")</f>
        <v/>
      </c>
      <c r="J481" s="116" t="str">
        <f>IF(Tab.o1[[#This Row],[a1]]=1,((Tab.o1[[#This Row],[DIF_Target.]]-AVERAGE(Tab.o1[DIF_Target.]))/_xlfn.STDEV.P(Tab.o1[DIF_Target.])),"")</f>
        <v/>
      </c>
      <c r="K481" s="117" t="str">
        <f>IF(Tab.o1[[#This Row],[a1]]=1,IF(J$2=0,Tab.o1[[#This Row],[MOD]]-Tab.o1[[#This Row],[B]],IF(J$2=1,0,-Tab.o1[[#This Row],[MED]])+Tab.o1[[#This Row],[B]]),"")</f>
        <v/>
      </c>
      <c r="L481" s="117" t="str">
        <f ca="1">IF(Tab.o1[[#This Row],[DIF_Target]]=0,IF(L$2=0,Tab.o1[[#This Row],[DIF_Target]],AVERAGE(OFFSET(Tab.o1[[#This Row],[DIF_Target]],1,0,L$3,1)))/3,Tab.o1[[#This Row],[DIF_Target]])</f>
        <v/>
      </c>
      <c r="M481" s="118" t="str">
        <f>IF(Tab.o1[[#This Row],[a1]]=1,NORMSDIST(Tab.o1[[#This Row],[Za]]),"")</f>
        <v/>
      </c>
      <c r="N481" s="119" t="str">
        <f>IF(Tab.o1[[#This Row],[a1]]=1,((Tab.o1[[#This Row],[MedMod]]-AVERAGE(Tab.o1[MedMod]))/_xlfn.STDEV.P(Tab.o1[MedMod])*H$1205)+G$1205,"")</f>
        <v/>
      </c>
      <c r="O481" s="141" t="str">
        <f>IF(Tab.o1[[#This Row],[a1]]=1,Tab.o1[[#This Row],[Zb]]*_xlfn.STDEV.P(Tab.o1[MedMod])+AVERAGE(Tab.o1[MedMod]),"")</f>
        <v/>
      </c>
      <c r="P481" s="117" t="str">
        <f ca="1">IF(Tab.o1[[#This Row],[B]]=0,AVERAGE(OFFSET(Tab.o1[[#This Row],[B]],1,0,L$3,1)),Tab.o1[[#This Row],[B]])</f>
        <v/>
      </c>
      <c r="Q481" s="121" t="str">
        <f>IF(Tab.o1[[#This Row],[a1]]=1,NORMSDIST(Tab.o1[[#This Row],[Zb]]),"")</f>
        <v/>
      </c>
      <c r="R481" s="122" t="str">
        <f>IF(Tab.o1[[#This Row],[a1]]=1,((Tab.o1[[#This Row],[MedMod]]-AVERAGE(Tab.o1[MedMod]))/_xlfn.STDEV.P(Tab.o1[MedMod])*H$1203)+G$1203,"")</f>
        <v/>
      </c>
      <c r="S481" s="122" t="str">
        <f>IF(Tab.o1[[#This Row],[a1]]=1,((Tab.o1[[#This Row],[MedMod]]-AVERAGE(Tab.o1[MedMod]))/_xlfn.STDEV.P(Tab.o1[MedMod])*H$1204)+G$1204,"")</f>
        <v/>
      </c>
      <c r="T481" s="123" t="str">
        <f>IF(Tab.o1[[#This Row],[a1]]=1,Tab.o1[[#This Row],[Z-]]*_xlfn.STDEV.P(Tab.o1[B])+AVERAGE(Tab.o1[B]),"")</f>
        <v/>
      </c>
      <c r="U481" s="123" t="str">
        <f>IF(Tab.o1[[#This Row],[a1]]=1,Tab.o1[[#This Row],[z+]]*_xlfn.STDEV.P(Tab.o1[B])+AVERAGE(Tab.o1[B]),"")</f>
        <v/>
      </c>
      <c r="V481" s="124" t="str">
        <f>IF(Tab.o1[[#This Row],[a1]]=1,ABS((ABS(Tab.o1[[#This Row],[Red]]-Tab.o1[[#This Row],[Blue]]))),"")</f>
        <v/>
      </c>
      <c r="W481" s="125" t="str">
        <f>IF(Tab.o1[[#This Row],[a1]]=1,IF(W$3=0,1,Tab.o1[[#This Row],[Amp.]]*1/_xlfn.MINIFS(Tab.o1[Amp.],Tab.o1[Amp.],"&lt;&gt;0")),"")</f>
        <v/>
      </c>
      <c r="X481" s="126" t="str">
        <f>IF(Tab.o1[[#This Row],[a1]]=1,IF(ISNUMBER(Tab.o1[[#This Row],[i.]]),NORMDIST(Tab.o1[[#This Row],[Za]],0,1,FALSE)*Tab.o1[[#This Row],[i.]],AP$3),"")</f>
        <v/>
      </c>
      <c r="Y481" s="126" t="str">
        <f>IF(Tab.o1[[#This Row],[a1]]=1,0.01+0.94*Tab.o1[[#This Row],[PDF]]/MAX(Tab.o1[PDF]),"")</f>
        <v/>
      </c>
      <c r="Z481" s="126" t="str">
        <f>IF(Tab.o1[[#This Row],[a1]]=1,0.01+0.94*Tab.o1[[#This Row],[W1_PDF]]/MAX(Tab.o1[W1_PDF]),"")</f>
        <v/>
      </c>
      <c r="AA481" s="118" t="str">
        <f>IF(Tab.o1[[#This Row],[a1]]=1,ABS([1]!T.in.A[[#This Row],[oo6]]),"")</f>
        <v/>
      </c>
      <c r="AB481" s="127" t="str">
        <f>IF(Tab.o1[[#This Row],[a1]]=1,IF(AE$3=0,"",IF(AB$3=0,ABS([1]!T.in.A[[#This Row],[oo9]]),ABS(Tab.o1[[#This Row],[DIF_Target.]]*Tab.o1[[#This Row],[W1_PDF]]))),"")</f>
        <v/>
      </c>
      <c r="AC481" s="127" t="str">
        <f>IF(G$1=1,"",IF(Tab.o1[[#This Row],[a1]]=1,Tab.o1[[#This Row],[Wr]]^2,""))</f>
        <v/>
      </c>
      <c r="AD481" s="118" t="str">
        <f>IF(Tab.o1[[#This Row],[a1]]=1,IF(AE$3=0,"",Tab.o1[[#This Row],[Wr2]]/SUM(Tab.o1[Wr2])),"")</f>
        <v/>
      </c>
      <c r="AE481" s="128" t="str">
        <f>IF(Tab.o1[[#This Row],[a1]]=1,[1]!T.in.A[[#This Row],[oo10]],"")</f>
        <v/>
      </c>
      <c r="AF481" s="118" t="str">
        <f>IF(Tab.o1[[#This Row],[a1]]=1,ABS(Tab.o1[[#This Row],[DIF_Target.]]*Tab.o1[[#This Row],[PDF2]]*Tab.o1[[#This Row],[IN]]),"")</f>
        <v/>
      </c>
      <c r="AG481" s="129" t="str">
        <f>IF(Tab.o1[[#This Row],[a1]]=1,Tab.o1[[#This Row],[rW]]^2,"")</f>
        <v/>
      </c>
      <c r="AH481" s="130" t="str">
        <f>IF(Tab.o1[[#This Row],[a1]]=1,IF(AH$3=0,Tab.o1[[#This Row],[rW2]],0.01+0.94*Tab.o1[[#This Row],[rW2]]/SUM(Tab.o1[rW2])),"")</f>
        <v/>
      </c>
      <c r="AI481" s="128" t="str">
        <f>IF(Tab.o1[[#This Row],[a1]]=1,1/Tab.o1[[#This Row],[PDF]],"")</f>
        <v/>
      </c>
      <c r="AJ481" s="131" t="str">
        <f>IF(Tab.o1[[#This Row],[a1]]=1,[1]!T_AA[[#This Row],[IN'']]*[1]!T_AA[[#This Row],[Qde'']],"")</f>
        <v/>
      </c>
      <c r="AK481" s="132" t="str">
        <f>IF(Tab.o1[[#This Row],[a1]]=1,IF(AK$1=1,Tab.o1[[#This Row],[MED]]+Tab.o1[[#This Row],[MOD]]-Tab.o1[[#This Row],[MED]],""),"")</f>
        <v/>
      </c>
      <c r="AL481" s="133" t="str">
        <f>IF(Tab.o1[[#This Row],[a1]]=1,[1]!T.in.A[[#This Row],[oo16]],"")</f>
        <v/>
      </c>
      <c r="AM481" s="133" t="str">
        <f>IF(Tab.o1[[#This Row],[a1]]=1,IF(AM$3=1,[1]!T.in.A[[#This Row],[Σo16]],""),"")</f>
        <v/>
      </c>
      <c r="AN481" s="126" t="str">
        <f>IF(Tab.o1[[#This Row],[a1]]=1,[1]!T.in.A[[#This Row],[Σp5]],"")</f>
        <v/>
      </c>
      <c r="AO481" s="126" t="str">
        <f>IF(Tab.o1[[#This Row],[a1]]=1,IF(AO$3=1,[1]!T.in.A[[#This Row],[Σp5]],""),"")</f>
        <v/>
      </c>
      <c r="AP481" s="110" t="str">
        <f>IF(Tab.o1[[#This Row],[a1]]=1,IF(ISNUMBER(Tab.o1[[#This Row],[i.]]),NORMDIST(Tab.o1[[#This Row],[Za]],0,1,FALSE)*Tab.o1[[#This Row],[i.]],0),"")</f>
        <v/>
      </c>
      <c r="AQ481" s="125" t="str">
        <f>IF(Tab.o1[[#This Row],[a1]]=1,ABS(Tab.o1[[#This Row],[MOD]]-AVERAGE(Tab.o1[MOD])),"")</f>
        <v/>
      </c>
      <c r="AR481" s="134" t="str">
        <f>IF(Tab.o1[[#This Row],[a1]]=1,Tab.o1[[#This Row],[OBS]]/SUM(Tab.o1[OBS]),"")</f>
        <v/>
      </c>
      <c r="AS481" s="135" t="str">
        <f>IF(ISNUMBER(Tab.o1[[#This Row],[a1]]),ROW()-4,"")</f>
        <v/>
      </c>
      <c r="AT481" s="136" t="str">
        <f>Tab.o1[[#This Row],[MOD]]</f>
        <v/>
      </c>
      <c r="AU481" s="137" t="str">
        <f t="shared" si="29"/>
        <v/>
      </c>
      <c r="AV481" s="138" t="str">
        <f t="shared" si="30"/>
        <v/>
      </c>
      <c r="AW481" s="138" t="str">
        <f t="shared" si="31"/>
        <v/>
      </c>
      <c r="AX481" s="139" t="str">
        <f>[1]!T.in.A[[#This Row],[ID_T_manu]]</f>
        <v/>
      </c>
      <c r="AY481" s="140" t="str">
        <f>IF(ISNUMBER(Tab.o1[[#This Row],[a1]]),IF(AND(Tab.o1[[#This Row],[a1]]=1,Tab.o1[[#This Row],[b1]]&lt;=AY$4),#REF!,AY480),"")</f>
        <v/>
      </c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</row>
    <row r="482" spans="1:79" ht="15.75" hidden="1">
      <c r="A482" s="109">
        <v>-5.0000000000000004E-6</v>
      </c>
      <c r="B482" s="110">
        <f t="shared" si="28"/>
        <v>482</v>
      </c>
      <c r="C482" s="111" t="str">
        <f>IF(C$1=[1]!T.in.A[[#This Row],[oo2]],1,"")</f>
        <v/>
      </c>
      <c r="D482" s="112" t="str">
        <f>IF(Tab.o1[[#This Row],[a1]]=1,IF(SUM(C482:C483)=0,0,IF(SUM(C481:C482)=1,1,IF(SUM(C481:C483)&gt;1,D481+1,0))),"")</f>
        <v/>
      </c>
      <c r="E482" s="113" t="str">
        <f>IF(Tab.o1[[#This Row],[a1]]=1,[1]!T.in.A[[#This Row],[oo1]],"")</f>
        <v/>
      </c>
      <c r="F482" s="113" t="str">
        <f>IF(Tab.o1[[#This Row],[a1]]=1,[1]!T.in.A[[#This Row],[pp1]],"")</f>
        <v/>
      </c>
      <c r="G482" s="114" t="str">
        <f>IF(Tab.o1[[#This Row],[a1]]=1,G$2+IF(G$1=1,0,Tab.o1[[#This Row],[.x1]])+[1]!T.in.A[[#This Row],[oo3]],"")</f>
        <v/>
      </c>
      <c r="H482" s="115" t="str">
        <f>IF(Tab.o1[[#This Row],[a1]]=1,IF(H$2=0,0,IF(G$1=1,0,Tab.o1[[#This Row],[.x1]])+[1]!T.in.A[[#This Row],[oo4]]),"")</f>
        <v/>
      </c>
      <c r="I482" s="116" t="str">
        <f>IF(Tab.o1[[#This Row],[a1]]=1,IF(J$2=0,Tab.o1[[#This Row],[MED]],Tab.o1[[#This Row],[MOD]]),"")</f>
        <v/>
      </c>
      <c r="J482" s="116" t="str">
        <f>IF(Tab.o1[[#This Row],[a1]]=1,((Tab.o1[[#This Row],[DIF_Target.]]-AVERAGE(Tab.o1[DIF_Target.]))/_xlfn.STDEV.P(Tab.o1[DIF_Target.])),"")</f>
        <v/>
      </c>
      <c r="K482" s="117" t="str">
        <f>IF(Tab.o1[[#This Row],[a1]]=1,IF(J$2=0,Tab.o1[[#This Row],[MOD]]-Tab.o1[[#This Row],[B]],IF(J$2=1,0,-Tab.o1[[#This Row],[MED]])+Tab.o1[[#This Row],[B]]),"")</f>
        <v/>
      </c>
      <c r="L482" s="117" t="str">
        <f ca="1">IF(Tab.o1[[#This Row],[DIF_Target]]=0,IF(L$2=0,Tab.o1[[#This Row],[DIF_Target]],AVERAGE(OFFSET(Tab.o1[[#This Row],[DIF_Target]],1,0,L$3,1)))/3,Tab.o1[[#This Row],[DIF_Target]])</f>
        <v/>
      </c>
      <c r="M482" s="118" t="str">
        <f>IF(Tab.o1[[#This Row],[a1]]=1,NORMSDIST(Tab.o1[[#This Row],[Za]]),"")</f>
        <v/>
      </c>
      <c r="N482" s="119" t="str">
        <f>IF(Tab.o1[[#This Row],[a1]]=1,((Tab.o1[[#This Row],[MedMod]]-AVERAGE(Tab.o1[MedMod]))/_xlfn.STDEV.P(Tab.o1[MedMod])*H$1205)+G$1205,"")</f>
        <v/>
      </c>
      <c r="O482" s="141" t="str">
        <f>IF(Tab.o1[[#This Row],[a1]]=1,Tab.o1[[#This Row],[Zb]]*_xlfn.STDEV.P(Tab.o1[MedMod])+AVERAGE(Tab.o1[MedMod]),"")</f>
        <v/>
      </c>
      <c r="P482" s="117" t="str">
        <f ca="1">IF(Tab.o1[[#This Row],[B]]=0,AVERAGE(OFFSET(Tab.o1[[#This Row],[B]],1,0,L$3,1)),Tab.o1[[#This Row],[B]])</f>
        <v/>
      </c>
      <c r="Q482" s="121" t="str">
        <f>IF(Tab.o1[[#This Row],[a1]]=1,NORMSDIST(Tab.o1[[#This Row],[Zb]]),"")</f>
        <v/>
      </c>
      <c r="R482" s="122" t="str">
        <f>IF(Tab.o1[[#This Row],[a1]]=1,((Tab.o1[[#This Row],[MedMod]]-AVERAGE(Tab.o1[MedMod]))/_xlfn.STDEV.P(Tab.o1[MedMod])*H$1203)+G$1203,"")</f>
        <v/>
      </c>
      <c r="S482" s="122" t="str">
        <f>IF(Tab.o1[[#This Row],[a1]]=1,((Tab.o1[[#This Row],[MedMod]]-AVERAGE(Tab.o1[MedMod]))/_xlfn.STDEV.P(Tab.o1[MedMod])*H$1204)+G$1204,"")</f>
        <v/>
      </c>
      <c r="T482" s="123" t="str">
        <f>IF(Tab.o1[[#This Row],[a1]]=1,Tab.o1[[#This Row],[Z-]]*_xlfn.STDEV.P(Tab.o1[B])+AVERAGE(Tab.o1[B]),"")</f>
        <v/>
      </c>
      <c r="U482" s="123" t="str">
        <f>IF(Tab.o1[[#This Row],[a1]]=1,Tab.o1[[#This Row],[z+]]*_xlfn.STDEV.P(Tab.o1[B])+AVERAGE(Tab.o1[B]),"")</f>
        <v/>
      </c>
      <c r="V482" s="124" t="str">
        <f>IF(Tab.o1[[#This Row],[a1]]=1,ABS((ABS(Tab.o1[[#This Row],[Red]]-Tab.o1[[#This Row],[Blue]]))),"")</f>
        <v/>
      </c>
      <c r="W482" s="125" t="str">
        <f>IF(Tab.o1[[#This Row],[a1]]=1,IF(W$3=0,1,Tab.o1[[#This Row],[Amp.]]*1/_xlfn.MINIFS(Tab.o1[Amp.],Tab.o1[Amp.],"&lt;&gt;0")),"")</f>
        <v/>
      </c>
      <c r="X482" s="126" t="str">
        <f>IF(Tab.o1[[#This Row],[a1]]=1,IF(ISNUMBER(Tab.o1[[#This Row],[i.]]),NORMDIST(Tab.o1[[#This Row],[Za]],0,1,FALSE)*Tab.o1[[#This Row],[i.]],AP$3),"")</f>
        <v/>
      </c>
      <c r="Y482" s="126" t="str">
        <f>IF(Tab.o1[[#This Row],[a1]]=1,0.01+0.94*Tab.o1[[#This Row],[PDF]]/MAX(Tab.o1[PDF]),"")</f>
        <v/>
      </c>
      <c r="Z482" s="126" t="str">
        <f>IF(Tab.o1[[#This Row],[a1]]=1,0.01+0.94*Tab.o1[[#This Row],[W1_PDF]]/MAX(Tab.o1[W1_PDF]),"")</f>
        <v/>
      </c>
      <c r="AA482" s="118" t="str">
        <f>IF(Tab.o1[[#This Row],[a1]]=1,ABS([1]!T.in.A[[#This Row],[oo6]]),"")</f>
        <v/>
      </c>
      <c r="AB482" s="127" t="str">
        <f>IF(Tab.o1[[#This Row],[a1]]=1,IF(AE$3=0,"",IF(AB$3=0,ABS([1]!T.in.A[[#This Row],[oo9]]),ABS(Tab.o1[[#This Row],[DIF_Target.]]*Tab.o1[[#This Row],[W1_PDF]]))),"")</f>
        <v/>
      </c>
      <c r="AC482" s="127" t="str">
        <f>IF(G$1=1,"",IF(Tab.o1[[#This Row],[a1]]=1,Tab.o1[[#This Row],[Wr]]^2,""))</f>
        <v/>
      </c>
      <c r="AD482" s="118" t="str">
        <f>IF(Tab.o1[[#This Row],[a1]]=1,IF(AE$3=0,"",Tab.o1[[#This Row],[Wr2]]/SUM(Tab.o1[Wr2])),"")</f>
        <v/>
      </c>
      <c r="AE482" s="128" t="str">
        <f>IF(Tab.o1[[#This Row],[a1]]=1,[1]!T.in.A[[#This Row],[oo10]],"")</f>
        <v/>
      </c>
      <c r="AF482" s="118" t="str">
        <f>IF(Tab.o1[[#This Row],[a1]]=1,ABS(Tab.o1[[#This Row],[DIF_Target.]]*Tab.o1[[#This Row],[PDF2]]*Tab.o1[[#This Row],[IN]]),"")</f>
        <v/>
      </c>
      <c r="AG482" s="129" t="str">
        <f>IF(Tab.o1[[#This Row],[a1]]=1,Tab.o1[[#This Row],[rW]]^2,"")</f>
        <v/>
      </c>
      <c r="AH482" s="130" t="str">
        <f>IF(Tab.o1[[#This Row],[a1]]=1,IF(AH$3=0,Tab.o1[[#This Row],[rW2]],0.01+0.94*Tab.o1[[#This Row],[rW2]]/SUM(Tab.o1[rW2])),"")</f>
        <v/>
      </c>
      <c r="AI482" s="128" t="str">
        <f>IF(Tab.o1[[#This Row],[a1]]=1,1/Tab.o1[[#This Row],[PDF]],"")</f>
        <v/>
      </c>
      <c r="AJ482" s="131" t="str">
        <f>IF(Tab.o1[[#This Row],[a1]]=1,[1]!T_AA[[#This Row],[IN'']]*[1]!T_AA[[#This Row],[Qde'']],"")</f>
        <v/>
      </c>
      <c r="AK482" s="132" t="str">
        <f>IF(Tab.o1[[#This Row],[a1]]=1,IF(AK$1=1,Tab.o1[[#This Row],[MED]]+Tab.o1[[#This Row],[MOD]]-Tab.o1[[#This Row],[MED]],""),"")</f>
        <v/>
      </c>
      <c r="AL482" s="133" t="str">
        <f>IF(Tab.o1[[#This Row],[a1]]=1,[1]!T.in.A[[#This Row],[oo16]],"")</f>
        <v/>
      </c>
      <c r="AM482" s="133" t="str">
        <f>IF(Tab.o1[[#This Row],[a1]]=1,IF(AM$3=1,[1]!T.in.A[[#This Row],[Σo16]],""),"")</f>
        <v/>
      </c>
      <c r="AN482" s="126" t="str">
        <f>IF(Tab.o1[[#This Row],[a1]]=1,[1]!T.in.A[[#This Row],[Σp5]],"")</f>
        <v/>
      </c>
      <c r="AO482" s="126" t="str">
        <f>IF(Tab.o1[[#This Row],[a1]]=1,IF(AO$3=1,[1]!T.in.A[[#This Row],[Σp5]],""),"")</f>
        <v/>
      </c>
      <c r="AP482" s="110" t="str">
        <f>IF(Tab.o1[[#This Row],[a1]]=1,IF(ISNUMBER(Tab.o1[[#This Row],[i.]]),NORMDIST(Tab.o1[[#This Row],[Za]],0,1,FALSE)*Tab.o1[[#This Row],[i.]],0),"")</f>
        <v/>
      </c>
      <c r="AQ482" s="125" t="str">
        <f>IF(Tab.o1[[#This Row],[a1]]=1,ABS(Tab.o1[[#This Row],[MOD]]-AVERAGE(Tab.o1[MOD])),"")</f>
        <v/>
      </c>
      <c r="AR482" s="134" t="str">
        <f>IF(Tab.o1[[#This Row],[a1]]=1,Tab.o1[[#This Row],[OBS]]/SUM(Tab.o1[OBS]),"")</f>
        <v/>
      </c>
      <c r="AS482" s="135" t="str">
        <f>IF(ISNUMBER(Tab.o1[[#This Row],[a1]]),ROW()-4,"")</f>
        <v/>
      </c>
      <c r="AT482" s="136" t="str">
        <f>Tab.o1[[#This Row],[MOD]]</f>
        <v/>
      </c>
      <c r="AU482" s="137" t="str">
        <f t="shared" si="29"/>
        <v/>
      </c>
      <c r="AV482" s="138" t="str">
        <f t="shared" si="30"/>
        <v/>
      </c>
      <c r="AW482" s="138" t="str">
        <f t="shared" si="31"/>
        <v/>
      </c>
      <c r="AX482" s="139" t="str">
        <f>[1]!T.in.A[[#This Row],[ID_T_manu]]</f>
        <v/>
      </c>
      <c r="AY482" s="140" t="str">
        <f>IF(ISNUMBER(Tab.o1[[#This Row],[a1]]),IF(AND(Tab.o1[[#This Row],[a1]]=1,Tab.o1[[#This Row],[b1]]&lt;=AY$4),#REF!,AY481),"")</f>
        <v/>
      </c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</row>
    <row r="483" spans="1:79" ht="15.75" hidden="1">
      <c r="A483" s="109">
        <v>-4.0000000000000007E-6</v>
      </c>
      <c r="B483" s="110">
        <f t="shared" si="28"/>
        <v>483</v>
      </c>
      <c r="C483" s="111" t="str">
        <f>IF(C$1=[1]!T.in.A[[#This Row],[oo2]],1,"")</f>
        <v/>
      </c>
      <c r="D483" s="112" t="str">
        <f>IF(Tab.o1[[#This Row],[a1]]=1,IF(SUM(C483:C484)=0,0,IF(SUM(C482:C483)=1,1,IF(SUM(C482:C484)&gt;1,D482+1,0))),"")</f>
        <v/>
      </c>
      <c r="E483" s="113" t="str">
        <f>IF(Tab.o1[[#This Row],[a1]]=1,[1]!T.in.A[[#This Row],[oo1]],"")</f>
        <v/>
      </c>
      <c r="F483" s="113" t="str">
        <f>IF(Tab.o1[[#This Row],[a1]]=1,[1]!T.in.A[[#This Row],[pp1]],"")</f>
        <v/>
      </c>
      <c r="G483" s="114" t="str">
        <f>IF(Tab.o1[[#This Row],[a1]]=1,G$2+IF(G$1=1,0,Tab.o1[[#This Row],[.x1]])+[1]!T.in.A[[#This Row],[oo3]],"")</f>
        <v/>
      </c>
      <c r="H483" s="115" t="str">
        <f>IF(Tab.o1[[#This Row],[a1]]=1,IF(H$2=0,0,IF(G$1=1,0,Tab.o1[[#This Row],[.x1]])+[1]!T.in.A[[#This Row],[oo4]]),"")</f>
        <v/>
      </c>
      <c r="I483" s="116" t="str">
        <f>IF(Tab.o1[[#This Row],[a1]]=1,IF(J$2=0,Tab.o1[[#This Row],[MED]],Tab.o1[[#This Row],[MOD]]),"")</f>
        <v/>
      </c>
      <c r="J483" s="116" t="str">
        <f>IF(Tab.o1[[#This Row],[a1]]=1,((Tab.o1[[#This Row],[DIF_Target.]]-AVERAGE(Tab.o1[DIF_Target.]))/_xlfn.STDEV.P(Tab.o1[DIF_Target.])),"")</f>
        <v/>
      </c>
      <c r="K483" s="117" t="str">
        <f>IF(Tab.o1[[#This Row],[a1]]=1,IF(J$2=0,Tab.o1[[#This Row],[MOD]]-Tab.o1[[#This Row],[B]],IF(J$2=1,0,-Tab.o1[[#This Row],[MED]])+Tab.o1[[#This Row],[B]]),"")</f>
        <v/>
      </c>
      <c r="L483" s="117" t="str">
        <f ca="1">IF(Tab.o1[[#This Row],[DIF_Target]]=0,IF(L$2=0,Tab.o1[[#This Row],[DIF_Target]],AVERAGE(OFFSET(Tab.o1[[#This Row],[DIF_Target]],1,0,L$3,1)))/3,Tab.o1[[#This Row],[DIF_Target]])</f>
        <v/>
      </c>
      <c r="M483" s="118" t="str">
        <f>IF(Tab.o1[[#This Row],[a1]]=1,NORMSDIST(Tab.o1[[#This Row],[Za]]),"")</f>
        <v/>
      </c>
      <c r="N483" s="119" t="str">
        <f>IF(Tab.o1[[#This Row],[a1]]=1,((Tab.o1[[#This Row],[MedMod]]-AVERAGE(Tab.o1[MedMod]))/_xlfn.STDEV.P(Tab.o1[MedMod])*H$1205)+G$1205,"")</f>
        <v/>
      </c>
      <c r="O483" s="141" t="str">
        <f>IF(Tab.o1[[#This Row],[a1]]=1,Tab.o1[[#This Row],[Zb]]*_xlfn.STDEV.P(Tab.o1[MedMod])+AVERAGE(Tab.o1[MedMod]),"")</f>
        <v/>
      </c>
      <c r="P483" s="117" t="str">
        <f ca="1">IF(Tab.o1[[#This Row],[B]]=0,AVERAGE(OFFSET(Tab.o1[[#This Row],[B]],1,0,L$3,1)),Tab.o1[[#This Row],[B]])</f>
        <v/>
      </c>
      <c r="Q483" s="121" t="str">
        <f>IF(Tab.o1[[#This Row],[a1]]=1,NORMSDIST(Tab.o1[[#This Row],[Zb]]),"")</f>
        <v/>
      </c>
      <c r="R483" s="122" t="str">
        <f>IF(Tab.o1[[#This Row],[a1]]=1,((Tab.o1[[#This Row],[MedMod]]-AVERAGE(Tab.o1[MedMod]))/_xlfn.STDEV.P(Tab.o1[MedMod])*H$1203)+G$1203,"")</f>
        <v/>
      </c>
      <c r="S483" s="122" t="str">
        <f>IF(Tab.o1[[#This Row],[a1]]=1,((Tab.o1[[#This Row],[MedMod]]-AVERAGE(Tab.o1[MedMod]))/_xlfn.STDEV.P(Tab.o1[MedMod])*H$1204)+G$1204,"")</f>
        <v/>
      </c>
      <c r="T483" s="123" t="str">
        <f>IF(Tab.o1[[#This Row],[a1]]=1,Tab.o1[[#This Row],[Z-]]*_xlfn.STDEV.P(Tab.o1[B])+AVERAGE(Tab.o1[B]),"")</f>
        <v/>
      </c>
      <c r="U483" s="123" t="str">
        <f>IF(Tab.o1[[#This Row],[a1]]=1,Tab.o1[[#This Row],[z+]]*_xlfn.STDEV.P(Tab.o1[B])+AVERAGE(Tab.o1[B]),"")</f>
        <v/>
      </c>
      <c r="V483" s="124" t="str">
        <f>IF(Tab.o1[[#This Row],[a1]]=1,ABS((ABS(Tab.o1[[#This Row],[Red]]-Tab.o1[[#This Row],[Blue]]))),"")</f>
        <v/>
      </c>
      <c r="W483" s="125" t="str">
        <f>IF(Tab.o1[[#This Row],[a1]]=1,IF(W$3=0,1,Tab.o1[[#This Row],[Amp.]]*1/_xlfn.MINIFS(Tab.o1[Amp.],Tab.o1[Amp.],"&lt;&gt;0")),"")</f>
        <v/>
      </c>
      <c r="X483" s="126" t="str">
        <f>IF(Tab.o1[[#This Row],[a1]]=1,IF(ISNUMBER(Tab.o1[[#This Row],[i.]]),NORMDIST(Tab.o1[[#This Row],[Za]],0,1,FALSE)*Tab.o1[[#This Row],[i.]],AP$3),"")</f>
        <v/>
      </c>
      <c r="Y483" s="126" t="str">
        <f>IF(Tab.o1[[#This Row],[a1]]=1,0.01+0.94*Tab.o1[[#This Row],[PDF]]/MAX(Tab.o1[PDF]),"")</f>
        <v/>
      </c>
      <c r="Z483" s="126" t="str">
        <f>IF(Tab.o1[[#This Row],[a1]]=1,0.01+0.94*Tab.o1[[#This Row],[W1_PDF]]/MAX(Tab.o1[W1_PDF]),"")</f>
        <v/>
      </c>
      <c r="AA483" s="118" t="str">
        <f>IF(Tab.o1[[#This Row],[a1]]=1,ABS([1]!T.in.A[[#This Row],[oo6]]),"")</f>
        <v/>
      </c>
      <c r="AB483" s="127" t="str">
        <f>IF(Tab.o1[[#This Row],[a1]]=1,IF(AE$3=0,"",IF(AB$3=0,ABS([1]!T.in.A[[#This Row],[oo9]]),ABS(Tab.o1[[#This Row],[DIF_Target.]]*Tab.o1[[#This Row],[W1_PDF]]))),"")</f>
        <v/>
      </c>
      <c r="AC483" s="127" t="str">
        <f>IF(G$1=1,"",IF(Tab.o1[[#This Row],[a1]]=1,Tab.o1[[#This Row],[Wr]]^2,""))</f>
        <v/>
      </c>
      <c r="AD483" s="118" t="str">
        <f>IF(Tab.o1[[#This Row],[a1]]=1,IF(AE$3=0,"",Tab.o1[[#This Row],[Wr2]]/SUM(Tab.o1[Wr2])),"")</f>
        <v/>
      </c>
      <c r="AE483" s="128" t="str">
        <f>IF(Tab.o1[[#This Row],[a1]]=1,[1]!T.in.A[[#This Row],[oo10]],"")</f>
        <v/>
      </c>
      <c r="AF483" s="118" t="str">
        <f>IF(Tab.o1[[#This Row],[a1]]=1,ABS(Tab.o1[[#This Row],[DIF_Target.]]*Tab.o1[[#This Row],[PDF2]]*Tab.o1[[#This Row],[IN]]),"")</f>
        <v/>
      </c>
      <c r="AG483" s="129" t="str">
        <f>IF(Tab.o1[[#This Row],[a1]]=1,Tab.o1[[#This Row],[rW]]^2,"")</f>
        <v/>
      </c>
      <c r="AH483" s="130" t="str">
        <f>IF(Tab.o1[[#This Row],[a1]]=1,IF(AH$3=0,Tab.o1[[#This Row],[rW2]],0.01+0.94*Tab.o1[[#This Row],[rW2]]/SUM(Tab.o1[rW2])),"")</f>
        <v/>
      </c>
      <c r="AI483" s="128" t="str">
        <f>IF(Tab.o1[[#This Row],[a1]]=1,1/Tab.o1[[#This Row],[PDF]],"")</f>
        <v/>
      </c>
      <c r="AJ483" s="131" t="str">
        <f>IF(Tab.o1[[#This Row],[a1]]=1,[1]!T_AA[[#This Row],[IN'']]*[1]!T_AA[[#This Row],[Qde'']],"")</f>
        <v/>
      </c>
      <c r="AK483" s="132" t="str">
        <f>IF(Tab.o1[[#This Row],[a1]]=1,IF(AK$1=1,Tab.o1[[#This Row],[MED]]+Tab.o1[[#This Row],[MOD]]-Tab.o1[[#This Row],[MED]],""),"")</f>
        <v/>
      </c>
      <c r="AL483" s="133" t="str">
        <f>IF(Tab.o1[[#This Row],[a1]]=1,[1]!T.in.A[[#This Row],[oo16]],"")</f>
        <v/>
      </c>
      <c r="AM483" s="133" t="str">
        <f>IF(Tab.o1[[#This Row],[a1]]=1,IF(AM$3=1,[1]!T.in.A[[#This Row],[Σo16]],""),"")</f>
        <v/>
      </c>
      <c r="AN483" s="126" t="str">
        <f>IF(Tab.o1[[#This Row],[a1]]=1,[1]!T.in.A[[#This Row],[Σp5]],"")</f>
        <v/>
      </c>
      <c r="AO483" s="126" t="str">
        <f>IF(Tab.o1[[#This Row],[a1]]=1,IF(AO$3=1,[1]!T.in.A[[#This Row],[Σp5]],""),"")</f>
        <v/>
      </c>
      <c r="AP483" s="110" t="str">
        <f>IF(Tab.o1[[#This Row],[a1]]=1,IF(ISNUMBER(Tab.o1[[#This Row],[i.]]),NORMDIST(Tab.o1[[#This Row],[Za]],0,1,FALSE)*Tab.o1[[#This Row],[i.]],0),"")</f>
        <v/>
      </c>
      <c r="AQ483" s="125" t="str">
        <f>IF(Tab.o1[[#This Row],[a1]]=1,ABS(Tab.o1[[#This Row],[MOD]]-AVERAGE(Tab.o1[MOD])),"")</f>
        <v/>
      </c>
      <c r="AR483" s="134" t="str">
        <f>IF(Tab.o1[[#This Row],[a1]]=1,Tab.o1[[#This Row],[OBS]]/SUM(Tab.o1[OBS]),"")</f>
        <v/>
      </c>
      <c r="AS483" s="135" t="str">
        <f>IF(ISNUMBER(Tab.o1[[#This Row],[a1]]),ROW()-4,"")</f>
        <v/>
      </c>
      <c r="AT483" s="136" t="str">
        <f>Tab.o1[[#This Row],[MOD]]</f>
        <v/>
      </c>
      <c r="AU483" s="137" t="str">
        <f t="shared" si="29"/>
        <v/>
      </c>
      <c r="AV483" s="138" t="str">
        <f t="shared" si="30"/>
        <v/>
      </c>
      <c r="AW483" s="138" t="str">
        <f t="shared" si="31"/>
        <v/>
      </c>
      <c r="AX483" s="139" t="str">
        <f>[1]!T.in.A[[#This Row],[ID_T_manu]]</f>
        <v/>
      </c>
      <c r="AY483" s="140" t="str">
        <f>IF(ISNUMBER(Tab.o1[[#This Row],[a1]]),IF(AND(Tab.o1[[#This Row],[a1]]=1,Tab.o1[[#This Row],[b1]]&lt;=AY$4),#REF!,AY482),"")</f>
        <v/>
      </c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</row>
    <row r="484" spans="1:79" ht="15.75" hidden="1">
      <c r="A484" s="109">
        <v>4.0000000000000007E-6</v>
      </c>
      <c r="B484" s="110">
        <f t="shared" si="28"/>
        <v>484</v>
      </c>
      <c r="C484" s="111" t="str">
        <f>IF(C$1=[1]!T.in.A[[#This Row],[oo2]],1,"")</f>
        <v/>
      </c>
      <c r="D484" s="112" t="str">
        <f>IF(Tab.o1[[#This Row],[a1]]=1,IF(SUM(C484:C485)=0,0,IF(SUM(C483:C484)=1,1,IF(SUM(C483:C485)&gt;1,D483+1,0))),"")</f>
        <v/>
      </c>
      <c r="E484" s="113" t="str">
        <f>IF(Tab.o1[[#This Row],[a1]]=1,[1]!T.in.A[[#This Row],[oo1]],"")</f>
        <v/>
      </c>
      <c r="F484" s="113" t="str">
        <f>IF(Tab.o1[[#This Row],[a1]]=1,[1]!T.in.A[[#This Row],[pp1]],"")</f>
        <v/>
      </c>
      <c r="G484" s="114" t="str">
        <f>IF(Tab.o1[[#This Row],[a1]]=1,G$2+IF(G$1=1,0,Tab.o1[[#This Row],[.x1]])+[1]!T.in.A[[#This Row],[oo3]],"")</f>
        <v/>
      </c>
      <c r="H484" s="115" t="str">
        <f>IF(Tab.o1[[#This Row],[a1]]=1,IF(H$2=0,0,IF(G$1=1,0,Tab.o1[[#This Row],[.x1]])+[1]!T.in.A[[#This Row],[oo4]]),"")</f>
        <v/>
      </c>
      <c r="I484" s="116" t="str">
        <f>IF(Tab.o1[[#This Row],[a1]]=1,IF(J$2=0,Tab.o1[[#This Row],[MED]],Tab.o1[[#This Row],[MOD]]),"")</f>
        <v/>
      </c>
      <c r="J484" s="116" t="str">
        <f>IF(Tab.o1[[#This Row],[a1]]=1,((Tab.o1[[#This Row],[DIF_Target.]]-AVERAGE(Tab.o1[DIF_Target.]))/_xlfn.STDEV.P(Tab.o1[DIF_Target.])),"")</f>
        <v/>
      </c>
      <c r="K484" s="117" t="str">
        <f>IF(Tab.o1[[#This Row],[a1]]=1,IF(J$2=0,Tab.o1[[#This Row],[MOD]]-Tab.o1[[#This Row],[B]],IF(J$2=1,0,-Tab.o1[[#This Row],[MED]])+Tab.o1[[#This Row],[B]]),"")</f>
        <v/>
      </c>
      <c r="L484" s="117" t="str">
        <f ca="1">IF(Tab.o1[[#This Row],[DIF_Target]]=0,IF(L$2=0,Tab.o1[[#This Row],[DIF_Target]],AVERAGE(OFFSET(Tab.o1[[#This Row],[DIF_Target]],1,0,L$3,1)))/3,Tab.o1[[#This Row],[DIF_Target]])</f>
        <v/>
      </c>
      <c r="M484" s="118" t="str">
        <f>IF(Tab.o1[[#This Row],[a1]]=1,NORMSDIST(Tab.o1[[#This Row],[Za]]),"")</f>
        <v/>
      </c>
      <c r="N484" s="119" t="str">
        <f>IF(Tab.o1[[#This Row],[a1]]=1,((Tab.o1[[#This Row],[MedMod]]-AVERAGE(Tab.o1[MedMod]))/_xlfn.STDEV.P(Tab.o1[MedMod])*H$1205)+G$1205,"")</f>
        <v/>
      </c>
      <c r="O484" s="141" t="str">
        <f>IF(Tab.o1[[#This Row],[a1]]=1,Tab.o1[[#This Row],[Zb]]*_xlfn.STDEV.P(Tab.o1[MedMod])+AVERAGE(Tab.o1[MedMod]),"")</f>
        <v/>
      </c>
      <c r="P484" s="117" t="str">
        <f ca="1">IF(Tab.o1[[#This Row],[B]]=0,AVERAGE(OFFSET(Tab.o1[[#This Row],[B]],1,0,L$3,1)),Tab.o1[[#This Row],[B]])</f>
        <v/>
      </c>
      <c r="Q484" s="121" t="str">
        <f>IF(Tab.o1[[#This Row],[a1]]=1,NORMSDIST(Tab.o1[[#This Row],[Zb]]),"")</f>
        <v/>
      </c>
      <c r="R484" s="122" t="str">
        <f>IF(Tab.o1[[#This Row],[a1]]=1,((Tab.o1[[#This Row],[MedMod]]-AVERAGE(Tab.o1[MedMod]))/_xlfn.STDEV.P(Tab.o1[MedMod])*H$1203)+G$1203,"")</f>
        <v/>
      </c>
      <c r="S484" s="122" t="str">
        <f>IF(Tab.o1[[#This Row],[a1]]=1,((Tab.o1[[#This Row],[MedMod]]-AVERAGE(Tab.o1[MedMod]))/_xlfn.STDEV.P(Tab.o1[MedMod])*H$1204)+G$1204,"")</f>
        <v/>
      </c>
      <c r="T484" s="123" t="str">
        <f>IF(Tab.o1[[#This Row],[a1]]=1,Tab.o1[[#This Row],[Z-]]*_xlfn.STDEV.P(Tab.o1[B])+AVERAGE(Tab.o1[B]),"")</f>
        <v/>
      </c>
      <c r="U484" s="123" t="str">
        <f>IF(Tab.o1[[#This Row],[a1]]=1,Tab.o1[[#This Row],[z+]]*_xlfn.STDEV.P(Tab.o1[B])+AVERAGE(Tab.o1[B]),"")</f>
        <v/>
      </c>
      <c r="V484" s="124" t="str">
        <f>IF(Tab.o1[[#This Row],[a1]]=1,ABS((ABS(Tab.o1[[#This Row],[Red]]-Tab.o1[[#This Row],[Blue]]))),"")</f>
        <v/>
      </c>
      <c r="W484" s="125" t="str">
        <f>IF(Tab.o1[[#This Row],[a1]]=1,IF(W$3=0,1,Tab.o1[[#This Row],[Amp.]]*1/_xlfn.MINIFS(Tab.o1[Amp.],Tab.o1[Amp.],"&lt;&gt;0")),"")</f>
        <v/>
      </c>
      <c r="X484" s="126" t="str">
        <f>IF(Tab.o1[[#This Row],[a1]]=1,IF(ISNUMBER(Tab.o1[[#This Row],[i.]]),NORMDIST(Tab.o1[[#This Row],[Za]],0,1,FALSE)*Tab.o1[[#This Row],[i.]],AP$3),"")</f>
        <v/>
      </c>
      <c r="Y484" s="126" t="str">
        <f>IF(Tab.o1[[#This Row],[a1]]=1,0.01+0.94*Tab.o1[[#This Row],[PDF]]/MAX(Tab.o1[PDF]),"")</f>
        <v/>
      </c>
      <c r="Z484" s="126" t="str">
        <f>IF(Tab.o1[[#This Row],[a1]]=1,0.01+0.94*Tab.o1[[#This Row],[W1_PDF]]/MAX(Tab.o1[W1_PDF]),"")</f>
        <v/>
      </c>
      <c r="AA484" s="118" t="str">
        <f>IF(Tab.o1[[#This Row],[a1]]=1,ABS([1]!T.in.A[[#This Row],[oo6]]),"")</f>
        <v/>
      </c>
      <c r="AB484" s="127" t="str">
        <f>IF(Tab.o1[[#This Row],[a1]]=1,IF(AE$3=0,"",IF(AB$3=0,ABS([1]!T.in.A[[#This Row],[oo9]]),ABS(Tab.o1[[#This Row],[DIF_Target.]]*Tab.o1[[#This Row],[W1_PDF]]))),"")</f>
        <v/>
      </c>
      <c r="AC484" s="127" t="str">
        <f>IF(G$1=1,"",IF(Tab.o1[[#This Row],[a1]]=1,Tab.o1[[#This Row],[Wr]]^2,""))</f>
        <v/>
      </c>
      <c r="AD484" s="118" t="str">
        <f>IF(Tab.o1[[#This Row],[a1]]=1,IF(AE$3=0,"",Tab.o1[[#This Row],[Wr2]]/SUM(Tab.o1[Wr2])),"")</f>
        <v/>
      </c>
      <c r="AE484" s="128" t="str">
        <f>IF(Tab.o1[[#This Row],[a1]]=1,[1]!T.in.A[[#This Row],[oo10]],"")</f>
        <v/>
      </c>
      <c r="AF484" s="118" t="str">
        <f>IF(Tab.o1[[#This Row],[a1]]=1,ABS(Tab.o1[[#This Row],[DIF_Target.]]*Tab.o1[[#This Row],[PDF2]]*Tab.o1[[#This Row],[IN]]),"")</f>
        <v/>
      </c>
      <c r="AG484" s="129" t="str">
        <f>IF(Tab.o1[[#This Row],[a1]]=1,Tab.o1[[#This Row],[rW]]^2,"")</f>
        <v/>
      </c>
      <c r="AH484" s="130" t="str">
        <f>IF(Tab.o1[[#This Row],[a1]]=1,IF(AH$3=0,Tab.o1[[#This Row],[rW2]],0.01+0.94*Tab.o1[[#This Row],[rW2]]/SUM(Tab.o1[rW2])),"")</f>
        <v/>
      </c>
      <c r="AI484" s="128" t="str">
        <f>IF(Tab.o1[[#This Row],[a1]]=1,1/Tab.o1[[#This Row],[PDF]],"")</f>
        <v/>
      </c>
      <c r="AJ484" s="131" t="str">
        <f>IF(Tab.o1[[#This Row],[a1]]=1,[1]!T_AA[[#This Row],[IN'']]*[1]!T_AA[[#This Row],[Qde'']],"")</f>
        <v/>
      </c>
      <c r="AK484" s="132" t="str">
        <f>IF(Tab.o1[[#This Row],[a1]]=1,IF(AK$1=1,Tab.o1[[#This Row],[MED]]+Tab.o1[[#This Row],[MOD]]-Tab.o1[[#This Row],[MED]],""),"")</f>
        <v/>
      </c>
      <c r="AL484" s="133" t="str">
        <f>IF(Tab.o1[[#This Row],[a1]]=1,[1]!T.in.A[[#This Row],[oo16]],"")</f>
        <v/>
      </c>
      <c r="AM484" s="133" t="str">
        <f>IF(Tab.o1[[#This Row],[a1]]=1,IF(AM$3=1,[1]!T.in.A[[#This Row],[Σo16]],""),"")</f>
        <v/>
      </c>
      <c r="AN484" s="126" t="str">
        <f>IF(Tab.o1[[#This Row],[a1]]=1,[1]!T.in.A[[#This Row],[Σp5]],"")</f>
        <v/>
      </c>
      <c r="AO484" s="126" t="str">
        <f>IF(Tab.o1[[#This Row],[a1]]=1,IF(AO$3=1,[1]!T.in.A[[#This Row],[Σp5]],""),"")</f>
        <v/>
      </c>
      <c r="AP484" s="110" t="str">
        <f>IF(Tab.o1[[#This Row],[a1]]=1,IF(ISNUMBER(Tab.o1[[#This Row],[i.]]),NORMDIST(Tab.o1[[#This Row],[Za]],0,1,FALSE)*Tab.o1[[#This Row],[i.]],0),"")</f>
        <v/>
      </c>
      <c r="AQ484" s="125" t="str">
        <f>IF(Tab.o1[[#This Row],[a1]]=1,ABS(Tab.o1[[#This Row],[MOD]]-AVERAGE(Tab.o1[MOD])),"")</f>
        <v/>
      </c>
      <c r="AR484" s="134" t="str">
        <f>IF(Tab.o1[[#This Row],[a1]]=1,Tab.o1[[#This Row],[OBS]]/SUM(Tab.o1[OBS]),"")</f>
        <v/>
      </c>
      <c r="AS484" s="135" t="str">
        <f>IF(ISNUMBER(Tab.o1[[#This Row],[a1]]),ROW()-4,"")</f>
        <v/>
      </c>
      <c r="AT484" s="136" t="str">
        <f>Tab.o1[[#This Row],[MOD]]</f>
        <v/>
      </c>
      <c r="AU484" s="137" t="str">
        <f t="shared" si="29"/>
        <v/>
      </c>
      <c r="AV484" s="138" t="str">
        <f t="shared" si="30"/>
        <v/>
      </c>
      <c r="AW484" s="138" t="str">
        <f t="shared" si="31"/>
        <v/>
      </c>
      <c r="AX484" s="139" t="str">
        <f>[1]!T.in.A[[#This Row],[ID_T_manu]]</f>
        <v/>
      </c>
      <c r="AY484" s="140" t="str">
        <f>IF(ISNUMBER(Tab.o1[[#This Row],[a1]]),IF(AND(Tab.o1[[#This Row],[a1]]=1,Tab.o1[[#This Row],[b1]]&lt;=AY$4),#REF!,AY483),"")</f>
        <v/>
      </c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</row>
    <row r="485" spans="1:79" ht="15.75" hidden="1">
      <c r="A485" s="109">
        <v>-6.9999999999999999E-6</v>
      </c>
      <c r="B485" s="110">
        <f t="shared" si="28"/>
        <v>485</v>
      </c>
      <c r="C485" s="111" t="str">
        <f>IF(C$1=[1]!T.in.A[[#This Row],[oo2]],1,"")</f>
        <v/>
      </c>
      <c r="D485" s="112" t="str">
        <f>IF(Tab.o1[[#This Row],[a1]]=1,IF(SUM(C485:C486)=0,0,IF(SUM(C484:C485)=1,1,IF(SUM(C484:C486)&gt;1,D484+1,0))),"")</f>
        <v/>
      </c>
      <c r="E485" s="113" t="str">
        <f>IF(Tab.o1[[#This Row],[a1]]=1,[1]!T.in.A[[#This Row],[oo1]],"")</f>
        <v/>
      </c>
      <c r="F485" s="113" t="str">
        <f>IF(Tab.o1[[#This Row],[a1]]=1,[1]!T.in.A[[#This Row],[pp1]],"")</f>
        <v/>
      </c>
      <c r="G485" s="114" t="str">
        <f>IF(Tab.o1[[#This Row],[a1]]=1,G$2+IF(G$1=1,0,Tab.o1[[#This Row],[.x1]])+[1]!T.in.A[[#This Row],[oo3]],"")</f>
        <v/>
      </c>
      <c r="H485" s="115" t="str">
        <f>IF(Tab.o1[[#This Row],[a1]]=1,IF(H$2=0,0,IF(G$1=1,0,Tab.o1[[#This Row],[.x1]])+[1]!T.in.A[[#This Row],[oo4]]),"")</f>
        <v/>
      </c>
      <c r="I485" s="116" t="str">
        <f>IF(Tab.o1[[#This Row],[a1]]=1,IF(J$2=0,Tab.o1[[#This Row],[MED]],Tab.o1[[#This Row],[MOD]]),"")</f>
        <v/>
      </c>
      <c r="J485" s="116" t="str">
        <f>IF(Tab.o1[[#This Row],[a1]]=1,((Tab.o1[[#This Row],[DIF_Target.]]-AVERAGE(Tab.o1[DIF_Target.]))/_xlfn.STDEV.P(Tab.o1[DIF_Target.])),"")</f>
        <v/>
      </c>
      <c r="K485" s="117" t="str">
        <f>IF(Tab.o1[[#This Row],[a1]]=1,IF(J$2=0,Tab.o1[[#This Row],[MOD]]-Tab.o1[[#This Row],[B]],IF(J$2=1,0,-Tab.o1[[#This Row],[MED]])+Tab.o1[[#This Row],[B]]),"")</f>
        <v/>
      </c>
      <c r="L485" s="117" t="str">
        <f ca="1">IF(Tab.o1[[#This Row],[DIF_Target]]=0,IF(L$2=0,Tab.o1[[#This Row],[DIF_Target]],AVERAGE(OFFSET(Tab.o1[[#This Row],[DIF_Target]],1,0,L$3,1)))/3,Tab.o1[[#This Row],[DIF_Target]])</f>
        <v/>
      </c>
      <c r="M485" s="118" t="str">
        <f>IF(Tab.o1[[#This Row],[a1]]=1,NORMSDIST(Tab.o1[[#This Row],[Za]]),"")</f>
        <v/>
      </c>
      <c r="N485" s="119" t="str">
        <f>IF(Tab.o1[[#This Row],[a1]]=1,((Tab.o1[[#This Row],[MedMod]]-AVERAGE(Tab.o1[MedMod]))/_xlfn.STDEV.P(Tab.o1[MedMod])*H$1205)+G$1205,"")</f>
        <v/>
      </c>
      <c r="O485" s="141" t="str">
        <f>IF(Tab.o1[[#This Row],[a1]]=1,Tab.o1[[#This Row],[Zb]]*_xlfn.STDEV.P(Tab.o1[MedMod])+AVERAGE(Tab.o1[MedMod]),"")</f>
        <v/>
      </c>
      <c r="P485" s="117" t="str">
        <f ca="1">IF(Tab.o1[[#This Row],[B]]=0,AVERAGE(OFFSET(Tab.o1[[#This Row],[B]],1,0,L$3,1)),Tab.o1[[#This Row],[B]])</f>
        <v/>
      </c>
      <c r="Q485" s="121" t="str">
        <f>IF(Tab.o1[[#This Row],[a1]]=1,NORMSDIST(Tab.o1[[#This Row],[Zb]]),"")</f>
        <v/>
      </c>
      <c r="R485" s="122" t="str">
        <f>IF(Tab.o1[[#This Row],[a1]]=1,((Tab.o1[[#This Row],[MedMod]]-AVERAGE(Tab.o1[MedMod]))/_xlfn.STDEV.P(Tab.o1[MedMod])*H$1203)+G$1203,"")</f>
        <v/>
      </c>
      <c r="S485" s="122" t="str">
        <f>IF(Tab.o1[[#This Row],[a1]]=1,((Tab.o1[[#This Row],[MedMod]]-AVERAGE(Tab.o1[MedMod]))/_xlfn.STDEV.P(Tab.o1[MedMod])*H$1204)+G$1204,"")</f>
        <v/>
      </c>
      <c r="T485" s="123" t="str">
        <f>IF(Tab.o1[[#This Row],[a1]]=1,Tab.o1[[#This Row],[Z-]]*_xlfn.STDEV.P(Tab.o1[B])+AVERAGE(Tab.o1[B]),"")</f>
        <v/>
      </c>
      <c r="U485" s="123" t="str">
        <f>IF(Tab.o1[[#This Row],[a1]]=1,Tab.o1[[#This Row],[z+]]*_xlfn.STDEV.P(Tab.o1[B])+AVERAGE(Tab.o1[B]),"")</f>
        <v/>
      </c>
      <c r="V485" s="124" t="str">
        <f>IF(Tab.o1[[#This Row],[a1]]=1,ABS((ABS(Tab.o1[[#This Row],[Red]]-Tab.o1[[#This Row],[Blue]]))),"")</f>
        <v/>
      </c>
      <c r="W485" s="125" t="str">
        <f>IF(Tab.o1[[#This Row],[a1]]=1,IF(W$3=0,1,Tab.o1[[#This Row],[Amp.]]*1/_xlfn.MINIFS(Tab.o1[Amp.],Tab.o1[Amp.],"&lt;&gt;0")),"")</f>
        <v/>
      </c>
      <c r="X485" s="126" t="str">
        <f>IF(Tab.o1[[#This Row],[a1]]=1,IF(ISNUMBER(Tab.o1[[#This Row],[i.]]),NORMDIST(Tab.o1[[#This Row],[Za]],0,1,FALSE)*Tab.o1[[#This Row],[i.]],AP$3),"")</f>
        <v/>
      </c>
      <c r="Y485" s="126" t="str">
        <f>IF(Tab.o1[[#This Row],[a1]]=1,0.01+0.94*Tab.o1[[#This Row],[PDF]]/MAX(Tab.o1[PDF]),"")</f>
        <v/>
      </c>
      <c r="Z485" s="126" t="str">
        <f>IF(Tab.o1[[#This Row],[a1]]=1,0.01+0.94*Tab.o1[[#This Row],[W1_PDF]]/MAX(Tab.o1[W1_PDF]),"")</f>
        <v/>
      </c>
      <c r="AA485" s="118" t="str">
        <f>IF(Tab.o1[[#This Row],[a1]]=1,ABS([1]!T.in.A[[#This Row],[oo6]]),"")</f>
        <v/>
      </c>
      <c r="AB485" s="127" t="str">
        <f>IF(Tab.o1[[#This Row],[a1]]=1,IF(AE$3=0,"",IF(AB$3=0,ABS([1]!T.in.A[[#This Row],[oo9]]),ABS(Tab.o1[[#This Row],[DIF_Target.]]*Tab.o1[[#This Row],[W1_PDF]]))),"")</f>
        <v/>
      </c>
      <c r="AC485" s="127" t="str">
        <f>IF(G$1=1,"",IF(Tab.o1[[#This Row],[a1]]=1,Tab.o1[[#This Row],[Wr]]^2,""))</f>
        <v/>
      </c>
      <c r="AD485" s="118" t="str">
        <f>IF(Tab.o1[[#This Row],[a1]]=1,IF(AE$3=0,"",Tab.o1[[#This Row],[Wr2]]/SUM(Tab.o1[Wr2])),"")</f>
        <v/>
      </c>
      <c r="AE485" s="128" t="str">
        <f>IF(Tab.o1[[#This Row],[a1]]=1,[1]!T.in.A[[#This Row],[oo10]],"")</f>
        <v/>
      </c>
      <c r="AF485" s="118" t="str">
        <f>IF(Tab.o1[[#This Row],[a1]]=1,ABS(Tab.o1[[#This Row],[DIF_Target.]]*Tab.o1[[#This Row],[PDF2]]*Tab.o1[[#This Row],[IN]]),"")</f>
        <v/>
      </c>
      <c r="AG485" s="129" t="str">
        <f>IF(Tab.o1[[#This Row],[a1]]=1,Tab.o1[[#This Row],[rW]]^2,"")</f>
        <v/>
      </c>
      <c r="AH485" s="130" t="str">
        <f>IF(Tab.o1[[#This Row],[a1]]=1,IF(AH$3=0,Tab.o1[[#This Row],[rW2]],0.01+0.94*Tab.o1[[#This Row],[rW2]]/SUM(Tab.o1[rW2])),"")</f>
        <v/>
      </c>
      <c r="AI485" s="128" t="str">
        <f>IF(Tab.o1[[#This Row],[a1]]=1,1/Tab.o1[[#This Row],[PDF]],"")</f>
        <v/>
      </c>
      <c r="AJ485" s="131" t="str">
        <f>IF(Tab.o1[[#This Row],[a1]]=1,[1]!T_AA[[#This Row],[IN'']]*[1]!T_AA[[#This Row],[Qde'']],"")</f>
        <v/>
      </c>
      <c r="AK485" s="132" t="str">
        <f>IF(Tab.o1[[#This Row],[a1]]=1,IF(AK$1=1,Tab.o1[[#This Row],[MED]]+Tab.o1[[#This Row],[MOD]]-Tab.o1[[#This Row],[MED]],""),"")</f>
        <v/>
      </c>
      <c r="AL485" s="133" t="str">
        <f>IF(Tab.o1[[#This Row],[a1]]=1,[1]!T.in.A[[#This Row],[oo16]],"")</f>
        <v/>
      </c>
      <c r="AM485" s="133" t="str">
        <f>IF(Tab.o1[[#This Row],[a1]]=1,IF(AM$3=1,[1]!T.in.A[[#This Row],[Σo16]],""),"")</f>
        <v/>
      </c>
      <c r="AN485" s="126" t="str">
        <f>IF(Tab.o1[[#This Row],[a1]]=1,[1]!T.in.A[[#This Row],[Σp5]],"")</f>
        <v/>
      </c>
      <c r="AO485" s="126" t="str">
        <f>IF(Tab.o1[[#This Row],[a1]]=1,IF(AO$3=1,[1]!T.in.A[[#This Row],[Σp5]],""),"")</f>
        <v/>
      </c>
      <c r="AP485" s="110" t="str">
        <f>IF(Tab.o1[[#This Row],[a1]]=1,IF(ISNUMBER(Tab.o1[[#This Row],[i.]]),NORMDIST(Tab.o1[[#This Row],[Za]],0,1,FALSE)*Tab.o1[[#This Row],[i.]],0),"")</f>
        <v/>
      </c>
      <c r="AQ485" s="125" t="str">
        <f>IF(Tab.o1[[#This Row],[a1]]=1,ABS(Tab.o1[[#This Row],[MOD]]-AVERAGE(Tab.o1[MOD])),"")</f>
        <v/>
      </c>
      <c r="AR485" s="134" t="str">
        <f>IF(Tab.o1[[#This Row],[a1]]=1,Tab.o1[[#This Row],[OBS]]/SUM(Tab.o1[OBS]),"")</f>
        <v/>
      </c>
      <c r="AS485" s="135" t="str">
        <f>IF(ISNUMBER(Tab.o1[[#This Row],[a1]]),ROW()-4,"")</f>
        <v/>
      </c>
      <c r="AT485" s="136" t="str">
        <f>Tab.o1[[#This Row],[MOD]]</f>
        <v/>
      </c>
      <c r="AU485" s="137" t="str">
        <f t="shared" si="29"/>
        <v/>
      </c>
      <c r="AV485" s="138" t="str">
        <f t="shared" si="30"/>
        <v/>
      </c>
      <c r="AW485" s="138" t="str">
        <f t="shared" si="31"/>
        <v/>
      </c>
      <c r="AX485" s="139" t="str">
        <f>[1]!T.in.A[[#This Row],[ID_T_manu]]</f>
        <v/>
      </c>
      <c r="AY485" s="140" t="str">
        <f>IF(ISNUMBER(Tab.o1[[#This Row],[a1]]),IF(AND(Tab.o1[[#This Row],[a1]]=1,Tab.o1[[#This Row],[b1]]&lt;=AY$4),#REF!,AY484),"")</f>
        <v/>
      </c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</row>
    <row r="486" spans="1:79" ht="15.75" hidden="1">
      <c r="A486" s="109">
        <v>1.0000000000000002E-6</v>
      </c>
      <c r="B486" s="110">
        <f t="shared" si="28"/>
        <v>486</v>
      </c>
      <c r="C486" s="111" t="str">
        <f>IF(C$1=[1]!T.in.A[[#This Row],[oo2]],1,"")</f>
        <v/>
      </c>
      <c r="D486" s="112" t="str">
        <f>IF(Tab.o1[[#This Row],[a1]]=1,IF(SUM(C486:C487)=0,0,IF(SUM(C485:C486)=1,1,IF(SUM(C485:C487)&gt;1,D485+1,0))),"")</f>
        <v/>
      </c>
      <c r="E486" s="113" t="str">
        <f>IF(Tab.o1[[#This Row],[a1]]=1,[1]!T.in.A[[#This Row],[oo1]],"")</f>
        <v/>
      </c>
      <c r="F486" s="113" t="str">
        <f>IF(Tab.o1[[#This Row],[a1]]=1,[1]!T.in.A[[#This Row],[pp1]],"")</f>
        <v/>
      </c>
      <c r="G486" s="114" t="str">
        <f>IF(Tab.o1[[#This Row],[a1]]=1,G$2+IF(G$1=1,0,Tab.o1[[#This Row],[.x1]])+[1]!T.in.A[[#This Row],[oo3]],"")</f>
        <v/>
      </c>
      <c r="H486" s="115" t="str">
        <f>IF(Tab.o1[[#This Row],[a1]]=1,IF(H$2=0,0,IF(G$1=1,0,Tab.o1[[#This Row],[.x1]])+[1]!T.in.A[[#This Row],[oo4]]),"")</f>
        <v/>
      </c>
      <c r="I486" s="116" t="str">
        <f>IF(Tab.o1[[#This Row],[a1]]=1,IF(J$2=0,Tab.o1[[#This Row],[MED]],Tab.o1[[#This Row],[MOD]]),"")</f>
        <v/>
      </c>
      <c r="J486" s="116" t="str">
        <f>IF(Tab.o1[[#This Row],[a1]]=1,((Tab.o1[[#This Row],[DIF_Target.]]-AVERAGE(Tab.o1[DIF_Target.]))/_xlfn.STDEV.P(Tab.o1[DIF_Target.])),"")</f>
        <v/>
      </c>
      <c r="K486" s="117" t="str">
        <f>IF(Tab.o1[[#This Row],[a1]]=1,IF(J$2=0,Tab.o1[[#This Row],[MOD]]-Tab.o1[[#This Row],[B]],IF(J$2=1,0,-Tab.o1[[#This Row],[MED]])+Tab.o1[[#This Row],[B]]),"")</f>
        <v/>
      </c>
      <c r="L486" s="117" t="str">
        <f ca="1">IF(Tab.o1[[#This Row],[DIF_Target]]=0,IF(L$2=0,Tab.o1[[#This Row],[DIF_Target]],AVERAGE(OFFSET(Tab.o1[[#This Row],[DIF_Target]],1,0,L$3,1)))/3,Tab.o1[[#This Row],[DIF_Target]])</f>
        <v/>
      </c>
      <c r="M486" s="118" t="str">
        <f>IF(Tab.o1[[#This Row],[a1]]=1,NORMSDIST(Tab.o1[[#This Row],[Za]]),"")</f>
        <v/>
      </c>
      <c r="N486" s="119" t="str">
        <f>IF(Tab.o1[[#This Row],[a1]]=1,((Tab.o1[[#This Row],[MedMod]]-AVERAGE(Tab.o1[MedMod]))/_xlfn.STDEV.P(Tab.o1[MedMod])*H$1205)+G$1205,"")</f>
        <v/>
      </c>
      <c r="O486" s="141" t="str">
        <f>IF(Tab.o1[[#This Row],[a1]]=1,Tab.o1[[#This Row],[Zb]]*_xlfn.STDEV.P(Tab.o1[MedMod])+AVERAGE(Tab.o1[MedMod]),"")</f>
        <v/>
      </c>
      <c r="P486" s="117" t="str">
        <f ca="1">IF(Tab.o1[[#This Row],[B]]=0,AVERAGE(OFFSET(Tab.o1[[#This Row],[B]],1,0,L$3,1)),Tab.o1[[#This Row],[B]])</f>
        <v/>
      </c>
      <c r="Q486" s="121" t="str">
        <f>IF(Tab.o1[[#This Row],[a1]]=1,NORMSDIST(Tab.o1[[#This Row],[Zb]]),"")</f>
        <v/>
      </c>
      <c r="R486" s="122" t="str">
        <f>IF(Tab.o1[[#This Row],[a1]]=1,((Tab.o1[[#This Row],[MedMod]]-AVERAGE(Tab.o1[MedMod]))/_xlfn.STDEV.P(Tab.o1[MedMod])*H$1203)+G$1203,"")</f>
        <v/>
      </c>
      <c r="S486" s="122" t="str">
        <f>IF(Tab.o1[[#This Row],[a1]]=1,((Tab.o1[[#This Row],[MedMod]]-AVERAGE(Tab.o1[MedMod]))/_xlfn.STDEV.P(Tab.o1[MedMod])*H$1204)+G$1204,"")</f>
        <v/>
      </c>
      <c r="T486" s="123" t="str">
        <f>IF(Tab.o1[[#This Row],[a1]]=1,Tab.o1[[#This Row],[Z-]]*_xlfn.STDEV.P(Tab.o1[B])+AVERAGE(Tab.o1[B]),"")</f>
        <v/>
      </c>
      <c r="U486" s="123" t="str">
        <f>IF(Tab.o1[[#This Row],[a1]]=1,Tab.o1[[#This Row],[z+]]*_xlfn.STDEV.P(Tab.o1[B])+AVERAGE(Tab.o1[B]),"")</f>
        <v/>
      </c>
      <c r="V486" s="124" t="str">
        <f>IF(Tab.o1[[#This Row],[a1]]=1,ABS((ABS(Tab.o1[[#This Row],[Red]]-Tab.o1[[#This Row],[Blue]]))),"")</f>
        <v/>
      </c>
      <c r="W486" s="125" t="str">
        <f>IF(Tab.o1[[#This Row],[a1]]=1,IF(W$3=0,1,Tab.o1[[#This Row],[Amp.]]*1/_xlfn.MINIFS(Tab.o1[Amp.],Tab.o1[Amp.],"&lt;&gt;0")),"")</f>
        <v/>
      </c>
      <c r="X486" s="126" t="str">
        <f>IF(Tab.o1[[#This Row],[a1]]=1,IF(ISNUMBER(Tab.o1[[#This Row],[i.]]),NORMDIST(Tab.o1[[#This Row],[Za]],0,1,FALSE)*Tab.o1[[#This Row],[i.]],AP$3),"")</f>
        <v/>
      </c>
      <c r="Y486" s="126" t="str">
        <f>IF(Tab.o1[[#This Row],[a1]]=1,0.01+0.94*Tab.o1[[#This Row],[PDF]]/MAX(Tab.o1[PDF]),"")</f>
        <v/>
      </c>
      <c r="Z486" s="126" t="str">
        <f>IF(Tab.o1[[#This Row],[a1]]=1,0.01+0.94*Tab.o1[[#This Row],[W1_PDF]]/MAX(Tab.o1[W1_PDF]),"")</f>
        <v/>
      </c>
      <c r="AA486" s="118" t="str">
        <f>IF(Tab.o1[[#This Row],[a1]]=1,ABS([1]!T.in.A[[#This Row],[oo6]]),"")</f>
        <v/>
      </c>
      <c r="AB486" s="127" t="str">
        <f>IF(Tab.o1[[#This Row],[a1]]=1,IF(AE$3=0,"",IF(AB$3=0,ABS([1]!T.in.A[[#This Row],[oo9]]),ABS(Tab.o1[[#This Row],[DIF_Target.]]*Tab.o1[[#This Row],[W1_PDF]]))),"")</f>
        <v/>
      </c>
      <c r="AC486" s="127" t="str">
        <f>IF(G$1=1,"",IF(Tab.o1[[#This Row],[a1]]=1,Tab.o1[[#This Row],[Wr]]^2,""))</f>
        <v/>
      </c>
      <c r="AD486" s="118" t="str">
        <f>IF(Tab.o1[[#This Row],[a1]]=1,IF(AE$3=0,"",Tab.o1[[#This Row],[Wr2]]/SUM(Tab.o1[Wr2])),"")</f>
        <v/>
      </c>
      <c r="AE486" s="128" t="str">
        <f>IF(Tab.o1[[#This Row],[a1]]=1,[1]!T.in.A[[#This Row],[oo10]],"")</f>
        <v/>
      </c>
      <c r="AF486" s="118" t="str">
        <f>IF(Tab.o1[[#This Row],[a1]]=1,ABS(Tab.o1[[#This Row],[DIF_Target.]]*Tab.o1[[#This Row],[PDF2]]*Tab.o1[[#This Row],[IN]]),"")</f>
        <v/>
      </c>
      <c r="AG486" s="129" t="str">
        <f>IF(Tab.o1[[#This Row],[a1]]=1,Tab.o1[[#This Row],[rW]]^2,"")</f>
        <v/>
      </c>
      <c r="AH486" s="130" t="str">
        <f>IF(Tab.o1[[#This Row],[a1]]=1,IF(AH$3=0,Tab.o1[[#This Row],[rW2]],0.01+0.94*Tab.o1[[#This Row],[rW2]]/SUM(Tab.o1[rW2])),"")</f>
        <v/>
      </c>
      <c r="AI486" s="128" t="str">
        <f>IF(Tab.o1[[#This Row],[a1]]=1,1/Tab.o1[[#This Row],[PDF]],"")</f>
        <v/>
      </c>
      <c r="AJ486" s="131" t="str">
        <f>IF(Tab.o1[[#This Row],[a1]]=1,[1]!T_AA[[#This Row],[IN'']]*[1]!T_AA[[#This Row],[Qde'']],"")</f>
        <v/>
      </c>
      <c r="AK486" s="132" t="str">
        <f>IF(Tab.o1[[#This Row],[a1]]=1,IF(AK$1=1,Tab.o1[[#This Row],[MED]]+Tab.o1[[#This Row],[MOD]]-Tab.o1[[#This Row],[MED]],""),"")</f>
        <v/>
      </c>
      <c r="AL486" s="133" t="str">
        <f>IF(Tab.o1[[#This Row],[a1]]=1,[1]!T.in.A[[#This Row],[oo16]],"")</f>
        <v/>
      </c>
      <c r="AM486" s="133" t="str">
        <f>IF(Tab.o1[[#This Row],[a1]]=1,IF(AM$3=1,[1]!T.in.A[[#This Row],[Σo16]],""),"")</f>
        <v/>
      </c>
      <c r="AN486" s="126" t="str">
        <f>IF(Tab.o1[[#This Row],[a1]]=1,[1]!T.in.A[[#This Row],[Σp5]],"")</f>
        <v/>
      </c>
      <c r="AO486" s="126" t="str">
        <f>IF(Tab.o1[[#This Row],[a1]]=1,IF(AO$3=1,[1]!T.in.A[[#This Row],[Σp5]],""),"")</f>
        <v/>
      </c>
      <c r="AP486" s="110" t="str">
        <f>IF(Tab.o1[[#This Row],[a1]]=1,IF(ISNUMBER(Tab.o1[[#This Row],[i.]]),NORMDIST(Tab.o1[[#This Row],[Za]],0,1,FALSE)*Tab.o1[[#This Row],[i.]],0),"")</f>
        <v/>
      </c>
      <c r="AQ486" s="125" t="str">
        <f>IF(Tab.o1[[#This Row],[a1]]=1,ABS(Tab.o1[[#This Row],[MOD]]-AVERAGE(Tab.o1[MOD])),"")</f>
        <v/>
      </c>
      <c r="AR486" s="134" t="str">
        <f>IF(Tab.o1[[#This Row],[a1]]=1,Tab.o1[[#This Row],[OBS]]/SUM(Tab.o1[OBS]),"")</f>
        <v/>
      </c>
      <c r="AS486" s="135" t="str">
        <f>IF(ISNUMBER(Tab.o1[[#This Row],[a1]]),ROW()-4,"")</f>
        <v/>
      </c>
      <c r="AT486" s="136" t="str">
        <f>Tab.o1[[#This Row],[MOD]]</f>
        <v/>
      </c>
      <c r="AU486" s="137" t="str">
        <f t="shared" si="29"/>
        <v/>
      </c>
      <c r="AV486" s="138" t="str">
        <f t="shared" si="30"/>
        <v/>
      </c>
      <c r="AW486" s="138" t="str">
        <f t="shared" si="31"/>
        <v/>
      </c>
      <c r="AX486" s="139" t="str">
        <f>[1]!T.in.A[[#This Row],[ID_T_manu]]</f>
        <v/>
      </c>
      <c r="AY486" s="140" t="str">
        <f>IF(ISNUMBER(Tab.o1[[#This Row],[a1]]),IF(AND(Tab.o1[[#This Row],[a1]]=1,Tab.o1[[#This Row],[b1]]&lt;=AY$4),#REF!,AY485),"")</f>
        <v/>
      </c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</row>
    <row r="487" spans="1:79" ht="15.75" hidden="1">
      <c r="A487" s="109">
        <v>5.9999999999999993E-6</v>
      </c>
      <c r="B487" s="110">
        <f t="shared" si="28"/>
        <v>487</v>
      </c>
      <c r="C487" s="111" t="str">
        <f>IF(C$1=[1]!T.in.A[[#This Row],[oo2]],1,"")</f>
        <v/>
      </c>
      <c r="D487" s="112" t="str">
        <f>IF(Tab.o1[[#This Row],[a1]]=1,IF(SUM(C487:C488)=0,0,IF(SUM(C486:C487)=1,1,IF(SUM(C486:C488)&gt;1,D486+1,0))),"")</f>
        <v/>
      </c>
      <c r="E487" s="113" t="str">
        <f>IF(Tab.o1[[#This Row],[a1]]=1,[1]!T.in.A[[#This Row],[oo1]],"")</f>
        <v/>
      </c>
      <c r="F487" s="113" t="str">
        <f>IF(Tab.o1[[#This Row],[a1]]=1,[1]!T.in.A[[#This Row],[pp1]],"")</f>
        <v/>
      </c>
      <c r="G487" s="114" t="str">
        <f>IF(Tab.o1[[#This Row],[a1]]=1,G$2+IF(G$1=1,0,Tab.o1[[#This Row],[.x1]])+[1]!T.in.A[[#This Row],[oo3]],"")</f>
        <v/>
      </c>
      <c r="H487" s="115" t="str">
        <f>IF(Tab.o1[[#This Row],[a1]]=1,IF(H$2=0,0,IF(G$1=1,0,Tab.o1[[#This Row],[.x1]])+[1]!T.in.A[[#This Row],[oo4]]),"")</f>
        <v/>
      </c>
      <c r="I487" s="116" t="str">
        <f>IF(Tab.o1[[#This Row],[a1]]=1,IF(J$2=0,Tab.o1[[#This Row],[MED]],Tab.o1[[#This Row],[MOD]]),"")</f>
        <v/>
      </c>
      <c r="J487" s="116" t="str">
        <f>IF(Tab.o1[[#This Row],[a1]]=1,((Tab.o1[[#This Row],[DIF_Target.]]-AVERAGE(Tab.o1[DIF_Target.]))/_xlfn.STDEV.P(Tab.o1[DIF_Target.])),"")</f>
        <v/>
      </c>
      <c r="K487" s="117" t="str">
        <f>IF(Tab.o1[[#This Row],[a1]]=1,IF(J$2=0,Tab.o1[[#This Row],[MOD]]-Tab.o1[[#This Row],[B]],IF(J$2=1,0,-Tab.o1[[#This Row],[MED]])+Tab.o1[[#This Row],[B]]),"")</f>
        <v/>
      </c>
      <c r="L487" s="117" t="str">
        <f ca="1">IF(Tab.o1[[#This Row],[DIF_Target]]=0,IF(L$2=0,Tab.o1[[#This Row],[DIF_Target]],AVERAGE(OFFSET(Tab.o1[[#This Row],[DIF_Target]],1,0,L$3,1)))/3,Tab.o1[[#This Row],[DIF_Target]])</f>
        <v/>
      </c>
      <c r="M487" s="118" t="str">
        <f>IF(Tab.o1[[#This Row],[a1]]=1,NORMSDIST(Tab.o1[[#This Row],[Za]]),"")</f>
        <v/>
      </c>
      <c r="N487" s="119" t="str">
        <f>IF(Tab.o1[[#This Row],[a1]]=1,((Tab.o1[[#This Row],[MedMod]]-AVERAGE(Tab.o1[MedMod]))/_xlfn.STDEV.P(Tab.o1[MedMod])*H$1205)+G$1205,"")</f>
        <v/>
      </c>
      <c r="O487" s="141" t="str">
        <f>IF(Tab.o1[[#This Row],[a1]]=1,Tab.o1[[#This Row],[Zb]]*_xlfn.STDEV.P(Tab.o1[MedMod])+AVERAGE(Tab.o1[MedMod]),"")</f>
        <v/>
      </c>
      <c r="P487" s="117" t="str">
        <f ca="1">IF(Tab.o1[[#This Row],[B]]=0,AVERAGE(OFFSET(Tab.o1[[#This Row],[B]],1,0,L$3,1)),Tab.o1[[#This Row],[B]])</f>
        <v/>
      </c>
      <c r="Q487" s="121" t="str">
        <f>IF(Tab.o1[[#This Row],[a1]]=1,NORMSDIST(Tab.o1[[#This Row],[Zb]]),"")</f>
        <v/>
      </c>
      <c r="R487" s="122" t="str">
        <f>IF(Tab.o1[[#This Row],[a1]]=1,((Tab.o1[[#This Row],[MedMod]]-AVERAGE(Tab.o1[MedMod]))/_xlfn.STDEV.P(Tab.o1[MedMod])*H$1203)+G$1203,"")</f>
        <v/>
      </c>
      <c r="S487" s="122" t="str">
        <f>IF(Tab.o1[[#This Row],[a1]]=1,((Tab.o1[[#This Row],[MedMod]]-AVERAGE(Tab.o1[MedMod]))/_xlfn.STDEV.P(Tab.o1[MedMod])*H$1204)+G$1204,"")</f>
        <v/>
      </c>
      <c r="T487" s="123" t="str">
        <f>IF(Tab.o1[[#This Row],[a1]]=1,Tab.o1[[#This Row],[Z-]]*_xlfn.STDEV.P(Tab.o1[B])+AVERAGE(Tab.o1[B]),"")</f>
        <v/>
      </c>
      <c r="U487" s="123" t="str">
        <f>IF(Tab.o1[[#This Row],[a1]]=1,Tab.o1[[#This Row],[z+]]*_xlfn.STDEV.P(Tab.o1[B])+AVERAGE(Tab.o1[B]),"")</f>
        <v/>
      </c>
      <c r="V487" s="124" t="str">
        <f>IF(Tab.o1[[#This Row],[a1]]=1,ABS((ABS(Tab.o1[[#This Row],[Red]]-Tab.o1[[#This Row],[Blue]]))),"")</f>
        <v/>
      </c>
      <c r="W487" s="125" t="str">
        <f>IF(Tab.o1[[#This Row],[a1]]=1,IF(W$3=0,1,Tab.o1[[#This Row],[Amp.]]*1/_xlfn.MINIFS(Tab.o1[Amp.],Tab.o1[Amp.],"&lt;&gt;0")),"")</f>
        <v/>
      </c>
      <c r="X487" s="126" t="str">
        <f>IF(Tab.o1[[#This Row],[a1]]=1,IF(ISNUMBER(Tab.o1[[#This Row],[i.]]),NORMDIST(Tab.o1[[#This Row],[Za]],0,1,FALSE)*Tab.o1[[#This Row],[i.]],AP$3),"")</f>
        <v/>
      </c>
      <c r="Y487" s="126" t="str">
        <f>IF(Tab.o1[[#This Row],[a1]]=1,0.01+0.94*Tab.o1[[#This Row],[PDF]]/MAX(Tab.o1[PDF]),"")</f>
        <v/>
      </c>
      <c r="Z487" s="126" t="str">
        <f>IF(Tab.o1[[#This Row],[a1]]=1,0.01+0.94*Tab.o1[[#This Row],[W1_PDF]]/MAX(Tab.o1[W1_PDF]),"")</f>
        <v/>
      </c>
      <c r="AA487" s="118" t="str">
        <f>IF(Tab.o1[[#This Row],[a1]]=1,ABS([1]!T.in.A[[#This Row],[oo6]]),"")</f>
        <v/>
      </c>
      <c r="AB487" s="127" t="str">
        <f>IF(Tab.o1[[#This Row],[a1]]=1,IF(AE$3=0,"",IF(AB$3=0,ABS([1]!T.in.A[[#This Row],[oo9]]),ABS(Tab.o1[[#This Row],[DIF_Target.]]*Tab.o1[[#This Row],[W1_PDF]]))),"")</f>
        <v/>
      </c>
      <c r="AC487" s="127" t="str">
        <f>IF(G$1=1,"",IF(Tab.o1[[#This Row],[a1]]=1,Tab.o1[[#This Row],[Wr]]^2,""))</f>
        <v/>
      </c>
      <c r="AD487" s="118" t="str">
        <f>IF(Tab.o1[[#This Row],[a1]]=1,IF(AE$3=0,"",Tab.o1[[#This Row],[Wr2]]/SUM(Tab.o1[Wr2])),"")</f>
        <v/>
      </c>
      <c r="AE487" s="128" t="str">
        <f>IF(Tab.o1[[#This Row],[a1]]=1,[1]!T.in.A[[#This Row],[oo10]],"")</f>
        <v/>
      </c>
      <c r="AF487" s="118" t="str">
        <f>IF(Tab.o1[[#This Row],[a1]]=1,ABS(Tab.o1[[#This Row],[DIF_Target.]]*Tab.o1[[#This Row],[PDF2]]*Tab.o1[[#This Row],[IN]]),"")</f>
        <v/>
      </c>
      <c r="AG487" s="129" t="str">
        <f>IF(Tab.o1[[#This Row],[a1]]=1,Tab.o1[[#This Row],[rW]]^2,"")</f>
        <v/>
      </c>
      <c r="AH487" s="130" t="str">
        <f>IF(Tab.o1[[#This Row],[a1]]=1,IF(AH$3=0,Tab.o1[[#This Row],[rW2]],0.01+0.94*Tab.o1[[#This Row],[rW2]]/SUM(Tab.o1[rW2])),"")</f>
        <v/>
      </c>
      <c r="AI487" s="128" t="str">
        <f>IF(Tab.o1[[#This Row],[a1]]=1,1/Tab.o1[[#This Row],[PDF]],"")</f>
        <v/>
      </c>
      <c r="AJ487" s="131" t="str">
        <f>IF(Tab.o1[[#This Row],[a1]]=1,[1]!T_AA[[#This Row],[IN'']]*[1]!T_AA[[#This Row],[Qde'']],"")</f>
        <v/>
      </c>
      <c r="AK487" s="132" t="str">
        <f>IF(Tab.o1[[#This Row],[a1]]=1,IF(AK$1=1,Tab.o1[[#This Row],[MED]]+Tab.o1[[#This Row],[MOD]]-Tab.o1[[#This Row],[MED]],""),"")</f>
        <v/>
      </c>
      <c r="AL487" s="133" t="str">
        <f>IF(Tab.o1[[#This Row],[a1]]=1,[1]!T.in.A[[#This Row],[oo16]],"")</f>
        <v/>
      </c>
      <c r="AM487" s="133" t="str">
        <f>IF(Tab.o1[[#This Row],[a1]]=1,IF(AM$3=1,[1]!T.in.A[[#This Row],[Σo16]],""),"")</f>
        <v/>
      </c>
      <c r="AN487" s="126" t="str">
        <f>IF(Tab.o1[[#This Row],[a1]]=1,[1]!T.in.A[[#This Row],[Σp5]],"")</f>
        <v/>
      </c>
      <c r="AO487" s="126" t="str">
        <f>IF(Tab.o1[[#This Row],[a1]]=1,IF(AO$3=1,[1]!T.in.A[[#This Row],[Σp5]],""),"")</f>
        <v/>
      </c>
      <c r="AP487" s="110" t="str">
        <f>IF(Tab.o1[[#This Row],[a1]]=1,IF(ISNUMBER(Tab.o1[[#This Row],[i.]]),NORMDIST(Tab.o1[[#This Row],[Za]],0,1,FALSE)*Tab.o1[[#This Row],[i.]],0),"")</f>
        <v/>
      </c>
      <c r="AQ487" s="125" t="str">
        <f>IF(Tab.o1[[#This Row],[a1]]=1,ABS(Tab.o1[[#This Row],[MOD]]-AVERAGE(Tab.o1[MOD])),"")</f>
        <v/>
      </c>
      <c r="AR487" s="134" t="str">
        <f>IF(Tab.o1[[#This Row],[a1]]=1,Tab.o1[[#This Row],[OBS]]/SUM(Tab.o1[OBS]),"")</f>
        <v/>
      </c>
      <c r="AS487" s="135" t="str">
        <f>IF(ISNUMBER(Tab.o1[[#This Row],[a1]]),ROW()-4,"")</f>
        <v/>
      </c>
      <c r="AT487" s="136" t="str">
        <f>Tab.o1[[#This Row],[MOD]]</f>
        <v/>
      </c>
      <c r="AU487" s="137" t="str">
        <f t="shared" si="29"/>
        <v/>
      </c>
      <c r="AV487" s="138" t="str">
        <f t="shared" si="30"/>
        <v/>
      </c>
      <c r="AW487" s="138" t="str">
        <f t="shared" si="31"/>
        <v/>
      </c>
      <c r="AX487" s="139" t="str">
        <f>[1]!T.in.A[[#This Row],[ID_T_manu]]</f>
        <v/>
      </c>
      <c r="AY487" s="140" t="str">
        <f>IF(ISNUMBER(Tab.o1[[#This Row],[a1]]),IF(AND(Tab.o1[[#This Row],[a1]]=1,Tab.o1[[#This Row],[b1]]&lt;=AY$4),#REF!,AY486),"")</f>
        <v/>
      </c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</row>
    <row r="488" spans="1:79" ht="15.75" hidden="1">
      <c r="A488" s="109">
        <v>-1.0000000000000002E-6</v>
      </c>
      <c r="B488" s="110">
        <f t="shared" si="28"/>
        <v>488</v>
      </c>
      <c r="C488" s="111" t="str">
        <f>IF(C$1=[1]!T.in.A[[#This Row],[oo2]],1,"")</f>
        <v/>
      </c>
      <c r="D488" s="112" t="str">
        <f>IF(Tab.o1[[#This Row],[a1]]=1,IF(SUM(C488:C489)=0,0,IF(SUM(C487:C488)=1,1,IF(SUM(C487:C489)&gt;1,D487+1,0))),"")</f>
        <v/>
      </c>
      <c r="E488" s="113" t="str">
        <f>IF(Tab.o1[[#This Row],[a1]]=1,[1]!T.in.A[[#This Row],[oo1]],"")</f>
        <v/>
      </c>
      <c r="F488" s="113" t="str">
        <f>IF(Tab.o1[[#This Row],[a1]]=1,[1]!T.in.A[[#This Row],[pp1]],"")</f>
        <v/>
      </c>
      <c r="G488" s="114" t="str">
        <f>IF(Tab.o1[[#This Row],[a1]]=1,G$2+IF(G$1=1,0,Tab.o1[[#This Row],[.x1]])+[1]!T.in.A[[#This Row],[oo3]],"")</f>
        <v/>
      </c>
      <c r="H488" s="115" t="str">
        <f>IF(Tab.o1[[#This Row],[a1]]=1,IF(H$2=0,0,IF(G$1=1,0,Tab.o1[[#This Row],[.x1]])+[1]!T.in.A[[#This Row],[oo4]]),"")</f>
        <v/>
      </c>
      <c r="I488" s="116" t="str">
        <f>IF(Tab.o1[[#This Row],[a1]]=1,IF(J$2=0,Tab.o1[[#This Row],[MED]],Tab.o1[[#This Row],[MOD]]),"")</f>
        <v/>
      </c>
      <c r="J488" s="116" t="str">
        <f>IF(Tab.o1[[#This Row],[a1]]=1,((Tab.o1[[#This Row],[DIF_Target.]]-AVERAGE(Tab.o1[DIF_Target.]))/_xlfn.STDEV.P(Tab.o1[DIF_Target.])),"")</f>
        <v/>
      </c>
      <c r="K488" s="117" t="str">
        <f>IF(Tab.o1[[#This Row],[a1]]=1,IF(J$2=0,Tab.o1[[#This Row],[MOD]]-Tab.o1[[#This Row],[B]],IF(J$2=1,0,-Tab.o1[[#This Row],[MED]])+Tab.o1[[#This Row],[B]]),"")</f>
        <v/>
      </c>
      <c r="L488" s="117" t="str">
        <f ca="1">IF(Tab.o1[[#This Row],[DIF_Target]]=0,IF(L$2=0,Tab.o1[[#This Row],[DIF_Target]],AVERAGE(OFFSET(Tab.o1[[#This Row],[DIF_Target]],1,0,L$3,1)))/3,Tab.o1[[#This Row],[DIF_Target]])</f>
        <v/>
      </c>
      <c r="M488" s="118" t="str">
        <f>IF(Tab.o1[[#This Row],[a1]]=1,NORMSDIST(Tab.o1[[#This Row],[Za]]),"")</f>
        <v/>
      </c>
      <c r="N488" s="119" t="str">
        <f>IF(Tab.o1[[#This Row],[a1]]=1,((Tab.o1[[#This Row],[MedMod]]-AVERAGE(Tab.o1[MedMod]))/_xlfn.STDEV.P(Tab.o1[MedMod])*H$1205)+G$1205,"")</f>
        <v/>
      </c>
      <c r="O488" s="141" t="str">
        <f>IF(Tab.o1[[#This Row],[a1]]=1,Tab.o1[[#This Row],[Zb]]*_xlfn.STDEV.P(Tab.o1[MedMod])+AVERAGE(Tab.o1[MedMod]),"")</f>
        <v/>
      </c>
      <c r="P488" s="117" t="str">
        <f ca="1">IF(Tab.o1[[#This Row],[B]]=0,AVERAGE(OFFSET(Tab.o1[[#This Row],[B]],1,0,L$3,1)),Tab.o1[[#This Row],[B]])</f>
        <v/>
      </c>
      <c r="Q488" s="121" t="str">
        <f>IF(Tab.o1[[#This Row],[a1]]=1,NORMSDIST(Tab.o1[[#This Row],[Zb]]),"")</f>
        <v/>
      </c>
      <c r="R488" s="122" t="str">
        <f>IF(Tab.o1[[#This Row],[a1]]=1,((Tab.o1[[#This Row],[MedMod]]-AVERAGE(Tab.o1[MedMod]))/_xlfn.STDEV.P(Tab.o1[MedMod])*H$1203)+G$1203,"")</f>
        <v/>
      </c>
      <c r="S488" s="122" t="str">
        <f>IF(Tab.o1[[#This Row],[a1]]=1,((Tab.o1[[#This Row],[MedMod]]-AVERAGE(Tab.o1[MedMod]))/_xlfn.STDEV.P(Tab.o1[MedMod])*H$1204)+G$1204,"")</f>
        <v/>
      </c>
      <c r="T488" s="123" t="str">
        <f>IF(Tab.o1[[#This Row],[a1]]=1,Tab.o1[[#This Row],[Z-]]*_xlfn.STDEV.P(Tab.o1[B])+AVERAGE(Tab.o1[B]),"")</f>
        <v/>
      </c>
      <c r="U488" s="123" t="str">
        <f>IF(Tab.o1[[#This Row],[a1]]=1,Tab.o1[[#This Row],[z+]]*_xlfn.STDEV.P(Tab.o1[B])+AVERAGE(Tab.o1[B]),"")</f>
        <v/>
      </c>
      <c r="V488" s="124" t="str">
        <f>IF(Tab.o1[[#This Row],[a1]]=1,ABS((ABS(Tab.o1[[#This Row],[Red]]-Tab.o1[[#This Row],[Blue]]))),"")</f>
        <v/>
      </c>
      <c r="W488" s="125" t="str">
        <f>IF(Tab.o1[[#This Row],[a1]]=1,IF(W$3=0,1,Tab.o1[[#This Row],[Amp.]]*1/_xlfn.MINIFS(Tab.o1[Amp.],Tab.o1[Amp.],"&lt;&gt;0")),"")</f>
        <v/>
      </c>
      <c r="X488" s="126" t="str">
        <f>IF(Tab.o1[[#This Row],[a1]]=1,IF(ISNUMBER(Tab.o1[[#This Row],[i.]]),NORMDIST(Tab.o1[[#This Row],[Za]],0,1,FALSE)*Tab.o1[[#This Row],[i.]],AP$3),"")</f>
        <v/>
      </c>
      <c r="Y488" s="126" t="str">
        <f>IF(Tab.o1[[#This Row],[a1]]=1,0.01+0.94*Tab.o1[[#This Row],[PDF]]/MAX(Tab.o1[PDF]),"")</f>
        <v/>
      </c>
      <c r="Z488" s="126" t="str">
        <f>IF(Tab.o1[[#This Row],[a1]]=1,0.01+0.94*Tab.o1[[#This Row],[W1_PDF]]/MAX(Tab.o1[W1_PDF]),"")</f>
        <v/>
      </c>
      <c r="AA488" s="118" t="str">
        <f>IF(Tab.o1[[#This Row],[a1]]=1,ABS([1]!T.in.A[[#This Row],[oo6]]),"")</f>
        <v/>
      </c>
      <c r="AB488" s="127" t="str">
        <f>IF(Tab.o1[[#This Row],[a1]]=1,IF(AE$3=0,"",IF(AB$3=0,ABS([1]!T.in.A[[#This Row],[oo9]]),ABS(Tab.o1[[#This Row],[DIF_Target.]]*Tab.o1[[#This Row],[W1_PDF]]))),"")</f>
        <v/>
      </c>
      <c r="AC488" s="127" t="str">
        <f>IF(G$1=1,"",IF(Tab.o1[[#This Row],[a1]]=1,Tab.o1[[#This Row],[Wr]]^2,""))</f>
        <v/>
      </c>
      <c r="AD488" s="118" t="str">
        <f>IF(Tab.o1[[#This Row],[a1]]=1,IF(AE$3=0,"",Tab.o1[[#This Row],[Wr2]]/SUM(Tab.o1[Wr2])),"")</f>
        <v/>
      </c>
      <c r="AE488" s="128" t="str">
        <f>IF(Tab.o1[[#This Row],[a1]]=1,[1]!T.in.A[[#This Row],[oo10]],"")</f>
        <v/>
      </c>
      <c r="AF488" s="118" t="str">
        <f>IF(Tab.o1[[#This Row],[a1]]=1,ABS(Tab.o1[[#This Row],[DIF_Target.]]*Tab.o1[[#This Row],[PDF2]]*Tab.o1[[#This Row],[IN]]),"")</f>
        <v/>
      </c>
      <c r="AG488" s="129" t="str">
        <f>IF(Tab.o1[[#This Row],[a1]]=1,Tab.o1[[#This Row],[rW]]^2,"")</f>
        <v/>
      </c>
      <c r="AH488" s="130" t="str">
        <f>IF(Tab.o1[[#This Row],[a1]]=1,IF(AH$3=0,Tab.o1[[#This Row],[rW2]],0.01+0.94*Tab.o1[[#This Row],[rW2]]/SUM(Tab.o1[rW2])),"")</f>
        <v/>
      </c>
      <c r="AI488" s="128" t="str">
        <f>IF(Tab.o1[[#This Row],[a1]]=1,1/Tab.o1[[#This Row],[PDF]],"")</f>
        <v/>
      </c>
      <c r="AJ488" s="131" t="str">
        <f>IF(Tab.o1[[#This Row],[a1]]=1,[1]!T_AA[[#This Row],[IN'']]*[1]!T_AA[[#This Row],[Qde'']],"")</f>
        <v/>
      </c>
      <c r="AK488" s="132" t="str">
        <f>IF(Tab.o1[[#This Row],[a1]]=1,IF(AK$1=1,Tab.o1[[#This Row],[MED]]+Tab.o1[[#This Row],[MOD]]-Tab.o1[[#This Row],[MED]],""),"")</f>
        <v/>
      </c>
      <c r="AL488" s="133" t="str">
        <f>IF(Tab.o1[[#This Row],[a1]]=1,[1]!T.in.A[[#This Row],[oo16]],"")</f>
        <v/>
      </c>
      <c r="AM488" s="133" t="str">
        <f>IF(Tab.o1[[#This Row],[a1]]=1,IF(AM$3=1,[1]!T.in.A[[#This Row],[Σo16]],""),"")</f>
        <v/>
      </c>
      <c r="AN488" s="126" t="str">
        <f>IF(Tab.o1[[#This Row],[a1]]=1,[1]!T.in.A[[#This Row],[Σp5]],"")</f>
        <v/>
      </c>
      <c r="AO488" s="126" t="str">
        <f>IF(Tab.o1[[#This Row],[a1]]=1,IF(AO$3=1,[1]!T.in.A[[#This Row],[Σp5]],""),"")</f>
        <v/>
      </c>
      <c r="AP488" s="110" t="str">
        <f>IF(Tab.o1[[#This Row],[a1]]=1,IF(ISNUMBER(Tab.o1[[#This Row],[i.]]),NORMDIST(Tab.o1[[#This Row],[Za]],0,1,FALSE)*Tab.o1[[#This Row],[i.]],0),"")</f>
        <v/>
      </c>
      <c r="AQ488" s="125" t="str">
        <f>IF(Tab.o1[[#This Row],[a1]]=1,ABS(Tab.o1[[#This Row],[MOD]]-AVERAGE(Tab.o1[MOD])),"")</f>
        <v/>
      </c>
      <c r="AR488" s="134" t="str">
        <f>IF(Tab.o1[[#This Row],[a1]]=1,Tab.o1[[#This Row],[OBS]]/SUM(Tab.o1[OBS]),"")</f>
        <v/>
      </c>
      <c r="AS488" s="135" t="str">
        <f>IF(ISNUMBER(Tab.o1[[#This Row],[a1]]),ROW()-4,"")</f>
        <v/>
      </c>
      <c r="AT488" s="136" t="str">
        <f>Tab.o1[[#This Row],[MOD]]</f>
        <v/>
      </c>
      <c r="AU488" s="137" t="str">
        <f t="shared" si="29"/>
        <v/>
      </c>
      <c r="AV488" s="138" t="str">
        <f t="shared" si="30"/>
        <v/>
      </c>
      <c r="AW488" s="138" t="str">
        <f t="shared" si="31"/>
        <v/>
      </c>
      <c r="AX488" s="139" t="str">
        <f>[1]!T.in.A[[#This Row],[ID_T_manu]]</f>
        <v/>
      </c>
      <c r="AY488" s="140" t="str">
        <f>IF(ISNUMBER(Tab.o1[[#This Row],[a1]]),IF(AND(Tab.o1[[#This Row],[a1]]=1,Tab.o1[[#This Row],[b1]]&lt;=AY$4),#REF!,AY487),"")</f>
        <v/>
      </c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</row>
    <row r="489" spans="1:79" ht="15.75" hidden="1">
      <c r="A489" s="109">
        <v>1.0000000000000001E-5</v>
      </c>
      <c r="B489" s="110">
        <f t="shared" si="28"/>
        <v>489</v>
      </c>
      <c r="C489" s="111" t="str">
        <f>IF(C$1=[1]!T.in.A[[#This Row],[oo2]],1,"")</f>
        <v/>
      </c>
      <c r="D489" s="112" t="str">
        <f>IF(Tab.o1[[#This Row],[a1]]=1,IF(SUM(C489:C490)=0,0,IF(SUM(C488:C489)=1,1,IF(SUM(C488:C490)&gt;1,D488+1,0))),"")</f>
        <v/>
      </c>
      <c r="E489" s="113" t="str">
        <f>IF(Tab.o1[[#This Row],[a1]]=1,[1]!T.in.A[[#This Row],[oo1]],"")</f>
        <v/>
      </c>
      <c r="F489" s="113" t="str">
        <f>IF(Tab.o1[[#This Row],[a1]]=1,[1]!T.in.A[[#This Row],[pp1]],"")</f>
        <v/>
      </c>
      <c r="G489" s="114" t="str">
        <f>IF(Tab.o1[[#This Row],[a1]]=1,G$2+IF(G$1=1,0,Tab.o1[[#This Row],[.x1]])+[1]!T.in.A[[#This Row],[oo3]],"")</f>
        <v/>
      </c>
      <c r="H489" s="115" t="str">
        <f>IF(Tab.o1[[#This Row],[a1]]=1,IF(H$2=0,0,IF(G$1=1,0,Tab.o1[[#This Row],[.x1]])+[1]!T.in.A[[#This Row],[oo4]]),"")</f>
        <v/>
      </c>
      <c r="I489" s="116" t="str">
        <f>IF(Tab.o1[[#This Row],[a1]]=1,IF(J$2=0,Tab.o1[[#This Row],[MED]],Tab.o1[[#This Row],[MOD]]),"")</f>
        <v/>
      </c>
      <c r="J489" s="116" t="str">
        <f>IF(Tab.o1[[#This Row],[a1]]=1,((Tab.o1[[#This Row],[DIF_Target.]]-AVERAGE(Tab.o1[DIF_Target.]))/_xlfn.STDEV.P(Tab.o1[DIF_Target.])),"")</f>
        <v/>
      </c>
      <c r="K489" s="117" t="str">
        <f>IF(Tab.o1[[#This Row],[a1]]=1,IF(J$2=0,Tab.o1[[#This Row],[MOD]]-Tab.o1[[#This Row],[B]],IF(J$2=1,0,-Tab.o1[[#This Row],[MED]])+Tab.o1[[#This Row],[B]]),"")</f>
        <v/>
      </c>
      <c r="L489" s="117" t="str">
        <f ca="1">IF(Tab.o1[[#This Row],[DIF_Target]]=0,IF(L$2=0,Tab.o1[[#This Row],[DIF_Target]],AVERAGE(OFFSET(Tab.o1[[#This Row],[DIF_Target]],1,0,L$3,1)))/3,Tab.o1[[#This Row],[DIF_Target]])</f>
        <v/>
      </c>
      <c r="M489" s="118" t="str">
        <f>IF(Tab.o1[[#This Row],[a1]]=1,NORMSDIST(Tab.o1[[#This Row],[Za]]),"")</f>
        <v/>
      </c>
      <c r="N489" s="119" t="str">
        <f>IF(Tab.o1[[#This Row],[a1]]=1,((Tab.o1[[#This Row],[MedMod]]-AVERAGE(Tab.o1[MedMod]))/_xlfn.STDEV.P(Tab.o1[MedMod])*H$1205)+G$1205,"")</f>
        <v/>
      </c>
      <c r="O489" s="141" t="str">
        <f>IF(Tab.o1[[#This Row],[a1]]=1,Tab.o1[[#This Row],[Zb]]*_xlfn.STDEV.P(Tab.o1[MedMod])+AVERAGE(Tab.o1[MedMod]),"")</f>
        <v/>
      </c>
      <c r="P489" s="117" t="str">
        <f ca="1">IF(Tab.o1[[#This Row],[B]]=0,AVERAGE(OFFSET(Tab.o1[[#This Row],[B]],1,0,L$3,1)),Tab.o1[[#This Row],[B]])</f>
        <v/>
      </c>
      <c r="Q489" s="121" t="str">
        <f>IF(Tab.o1[[#This Row],[a1]]=1,NORMSDIST(Tab.o1[[#This Row],[Zb]]),"")</f>
        <v/>
      </c>
      <c r="R489" s="122" t="str">
        <f>IF(Tab.o1[[#This Row],[a1]]=1,((Tab.o1[[#This Row],[MedMod]]-AVERAGE(Tab.o1[MedMod]))/_xlfn.STDEV.P(Tab.o1[MedMod])*H$1203)+G$1203,"")</f>
        <v/>
      </c>
      <c r="S489" s="122" t="str">
        <f>IF(Tab.o1[[#This Row],[a1]]=1,((Tab.o1[[#This Row],[MedMod]]-AVERAGE(Tab.o1[MedMod]))/_xlfn.STDEV.P(Tab.o1[MedMod])*H$1204)+G$1204,"")</f>
        <v/>
      </c>
      <c r="T489" s="123" t="str">
        <f>IF(Tab.o1[[#This Row],[a1]]=1,Tab.o1[[#This Row],[Z-]]*_xlfn.STDEV.P(Tab.o1[B])+AVERAGE(Tab.o1[B]),"")</f>
        <v/>
      </c>
      <c r="U489" s="123" t="str">
        <f>IF(Tab.o1[[#This Row],[a1]]=1,Tab.o1[[#This Row],[z+]]*_xlfn.STDEV.P(Tab.o1[B])+AVERAGE(Tab.o1[B]),"")</f>
        <v/>
      </c>
      <c r="V489" s="124" t="str">
        <f>IF(Tab.o1[[#This Row],[a1]]=1,ABS((ABS(Tab.o1[[#This Row],[Red]]-Tab.o1[[#This Row],[Blue]]))),"")</f>
        <v/>
      </c>
      <c r="W489" s="125" t="str">
        <f>IF(Tab.o1[[#This Row],[a1]]=1,IF(W$3=0,1,Tab.o1[[#This Row],[Amp.]]*1/_xlfn.MINIFS(Tab.o1[Amp.],Tab.o1[Amp.],"&lt;&gt;0")),"")</f>
        <v/>
      </c>
      <c r="X489" s="126" t="str">
        <f>IF(Tab.o1[[#This Row],[a1]]=1,IF(ISNUMBER(Tab.o1[[#This Row],[i.]]),NORMDIST(Tab.o1[[#This Row],[Za]],0,1,FALSE)*Tab.o1[[#This Row],[i.]],AP$3),"")</f>
        <v/>
      </c>
      <c r="Y489" s="126" t="str">
        <f>IF(Tab.o1[[#This Row],[a1]]=1,0.01+0.94*Tab.o1[[#This Row],[PDF]]/MAX(Tab.o1[PDF]),"")</f>
        <v/>
      </c>
      <c r="Z489" s="126" t="str">
        <f>IF(Tab.o1[[#This Row],[a1]]=1,0.01+0.94*Tab.o1[[#This Row],[W1_PDF]]/MAX(Tab.o1[W1_PDF]),"")</f>
        <v/>
      </c>
      <c r="AA489" s="118" t="str">
        <f>IF(Tab.o1[[#This Row],[a1]]=1,ABS([1]!T.in.A[[#This Row],[oo6]]),"")</f>
        <v/>
      </c>
      <c r="AB489" s="127" t="str">
        <f>IF(Tab.o1[[#This Row],[a1]]=1,IF(AE$3=0,"",IF(AB$3=0,ABS([1]!T.in.A[[#This Row],[oo9]]),ABS(Tab.o1[[#This Row],[DIF_Target.]]*Tab.o1[[#This Row],[W1_PDF]]))),"")</f>
        <v/>
      </c>
      <c r="AC489" s="127" t="str">
        <f>IF(G$1=1,"",IF(Tab.o1[[#This Row],[a1]]=1,Tab.o1[[#This Row],[Wr]]^2,""))</f>
        <v/>
      </c>
      <c r="AD489" s="118" t="str">
        <f>IF(Tab.o1[[#This Row],[a1]]=1,IF(AE$3=0,"",Tab.o1[[#This Row],[Wr2]]/SUM(Tab.o1[Wr2])),"")</f>
        <v/>
      </c>
      <c r="AE489" s="128" t="str">
        <f>IF(Tab.o1[[#This Row],[a1]]=1,[1]!T.in.A[[#This Row],[oo10]],"")</f>
        <v/>
      </c>
      <c r="AF489" s="118" t="str">
        <f>IF(Tab.o1[[#This Row],[a1]]=1,ABS(Tab.o1[[#This Row],[DIF_Target.]]*Tab.o1[[#This Row],[PDF2]]*Tab.o1[[#This Row],[IN]]),"")</f>
        <v/>
      </c>
      <c r="AG489" s="129" t="str">
        <f>IF(Tab.o1[[#This Row],[a1]]=1,Tab.o1[[#This Row],[rW]]^2,"")</f>
        <v/>
      </c>
      <c r="AH489" s="130" t="str">
        <f>IF(Tab.o1[[#This Row],[a1]]=1,IF(AH$3=0,Tab.o1[[#This Row],[rW2]],0.01+0.94*Tab.o1[[#This Row],[rW2]]/SUM(Tab.o1[rW2])),"")</f>
        <v/>
      </c>
      <c r="AI489" s="128" t="str">
        <f>IF(Tab.o1[[#This Row],[a1]]=1,1/Tab.o1[[#This Row],[PDF]],"")</f>
        <v/>
      </c>
      <c r="AJ489" s="131" t="str">
        <f>IF(Tab.o1[[#This Row],[a1]]=1,[1]!T_AA[[#This Row],[IN'']]*[1]!T_AA[[#This Row],[Qde'']],"")</f>
        <v/>
      </c>
      <c r="AK489" s="132" t="str">
        <f>IF(Tab.o1[[#This Row],[a1]]=1,IF(AK$1=1,Tab.o1[[#This Row],[MED]]+Tab.o1[[#This Row],[MOD]]-Tab.o1[[#This Row],[MED]],""),"")</f>
        <v/>
      </c>
      <c r="AL489" s="133" t="str">
        <f>IF(Tab.o1[[#This Row],[a1]]=1,[1]!T.in.A[[#This Row],[oo16]],"")</f>
        <v/>
      </c>
      <c r="AM489" s="133" t="str">
        <f>IF(Tab.o1[[#This Row],[a1]]=1,IF(AM$3=1,[1]!T.in.A[[#This Row],[Σo16]],""),"")</f>
        <v/>
      </c>
      <c r="AN489" s="126" t="str">
        <f>IF(Tab.o1[[#This Row],[a1]]=1,[1]!T.in.A[[#This Row],[Σp5]],"")</f>
        <v/>
      </c>
      <c r="AO489" s="126" t="str">
        <f>IF(Tab.o1[[#This Row],[a1]]=1,IF(AO$3=1,[1]!T.in.A[[#This Row],[Σp5]],""),"")</f>
        <v/>
      </c>
      <c r="AP489" s="110" t="str">
        <f>IF(Tab.o1[[#This Row],[a1]]=1,IF(ISNUMBER(Tab.o1[[#This Row],[i.]]),NORMDIST(Tab.o1[[#This Row],[Za]],0,1,FALSE)*Tab.o1[[#This Row],[i.]],0),"")</f>
        <v/>
      </c>
      <c r="AQ489" s="125" t="str">
        <f>IF(Tab.o1[[#This Row],[a1]]=1,ABS(Tab.o1[[#This Row],[MOD]]-AVERAGE(Tab.o1[MOD])),"")</f>
        <v/>
      </c>
      <c r="AR489" s="134" t="str">
        <f>IF(Tab.o1[[#This Row],[a1]]=1,Tab.o1[[#This Row],[OBS]]/SUM(Tab.o1[OBS]),"")</f>
        <v/>
      </c>
      <c r="AS489" s="135" t="str">
        <f>IF(ISNUMBER(Tab.o1[[#This Row],[a1]]),ROW()-4,"")</f>
        <v/>
      </c>
      <c r="AT489" s="136" t="str">
        <f>Tab.o1[[#This Row],[MOD]]</f>
        <v/>
      </c>
      <c r="AU489" s="137" t="str">
        <f t="shared" si="29"/>
        <v/>
      </c>
      <c r="AV489" s="138" t="str">
        <f t="shared" si="30"/>
        <v/>
      </c>
      <c r="AW489" s="138" t="str">
        <f t="shared" si="31"/>
        <v/>
      </c>
      <c r="AX489" s="139" t="str">
        <f>[1]!T.in.A[[#This Row],[ID_T_manu]]</f>
        <v/>
      </c>
      <c r="AY489" s="140" t="str">
        <f>IF(ISNUMBER(Tab.o1[[#This Row],[a1]]),IF(AND(Tab.o1[[#This Row],[a1]]=1,Tab.o1[[#This Row],[b1]]&lt;=AY$4),#REF!,AY488),"")</f>
        <v/>
      </c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</row>
    <row r="490" spans="1:79" ht="15.75" hidden="1">
      <c r="A490" s="109">
        <v>-1.0000000000000002E-6</v>
      </c>
      <c r="B490" s="110">
        <f t="shared" si="28"/>
        <v>490</v>
      </c>
      <c r="C490" s="111" t="str">
        <f>IF(C$1=[1]!T.in.A[[#This Row],[oo2]],1,"")</f>
        <v/>
      </c>
      <c r="D490" s="112" t="str">
        <f>IF(Tab.o1[[#This Row],[a1]]=1,IF(SUM(C490:C491)=0,0,IF(SUM(C489:C490)=1,1,IF(SUM(C489:C491)&gt;1,D489+1,0))),"")</f>
        <v/>
      </c>
      <c r="E490" s="113" t="str">
        <f>IF(Tab.o1[[#This Row],[a1]]=1,[1]!T.in.A[[#This Row],[oo1]],"")</f>
        <v/>
      </c>
      <c r="F490" s="113" t="str">
        <f>IF(Tab.o1[[#This Row],[a1]]=1,[1]!T.in.A[[#This Row],[pp1]],"")</f>
        <v/>
      </c>
      <c r="G490" s="114" t="str">
        <f>IF(Tab.o1[[#This Row],[a1]]=1,G$2+IF(G$1=1,0,Tab.o1[[#This Row],[.x1]])+[1]!T.in.A[[#This Row],[oo3]],"")</f>
        <v/>
      </c>
      <c r="H490" s="115" t="str">
        <f>IF(Tab.o1[[#This Row],[a1]]=1,IF(H$2=0,0,IF(G$1=1,0,Tab.o1[[#This Row],[.x1]])+[1]!T.in.A[[#This Row],[oo4]]),"")</f>
        <v/>
      </c>
      <c r="I490" s="116" t="str">
        <f>IF(Tab.o1[[#This Row],[a1]]=1,IF(J$2=0,Tab.o1[[#This Row],[MED]],Tab.o1[[#This Row],[MOD]]),"")</f>
        <v/>
      </c>
      <c r="J490" s="116" t="str">
        <f>IF(Tab.o1[[#This Row],[a1]]=1,((Tab.o1[[#This Row],[DIF_Target.]]-AVERAGE(Tab.o1[DIF_Target.]))/_xlfn.STDEV.P(Tab.o1[DIF_Target.])),"")</f>
        <v/>
      </c>
      <c r="K490" s="117" t="str">
        <f>IF(Tab.o1[[#This Row],[a1]]=1,IF(J$2=0,Tab.o1[[#This Row],[MOD]]-Tab.o1[[#This Row],[B]],IF(J$2=1,0,-Tab.o1[[#This Row],[MED]])+Tab.o1[[#This Row],[B]]),"")</f>
        <v/>
      </c>
      <c r="L490" s="117" t="str">
        <f ca="1">IF(Tab.o1[[#This Row],[DIF_Target]]=0,IF(L$2=0,Tab.o1[[#This Row],[DIF_Target]],AVERAGE(OFFSET(Tab.o1[[#This Row],[DIF_Target]],1,0,L$3,1)))/3,Tab.o1[[#This Row],[DIF_Target]])</f>
        <v/>
      </c>
      <c r="M490" s="118" t="str">
        <f>IF(Tab.o1[[#This Row],[a1]]=1,NORMSDIST(Tab.o1[[#This Row],[Za]]),"")</f>
        <v/>
      </c>
      <c r="N490" s="119" t="str">
        <f>IF(Tab.o1[[#This Row],[a1]]=1,((Tab.o1[[#This Row],[MedMod]]-AVERAGE(Tab.o1[MedMod]))/_xlfn.STDEV.P(Tab.o1[MedMod])*H$1205)+G$1205,"")</f>
        <v/>
      </c>
      <c r="O490" s="141" t="str">
        <f>IF(Tab.o1[[#This Row],[a1]]=1,Tab.o1[[#This Row],[Zb]]*_xlfn.STDEV.P(Tab.o1[MedMod])+AVERAGE(Tab.o1[MedMod]),"")</f>
        <v/>
      </c>
      <c r="P490" s="117" t="str">
        <f ca="1">IF(Tab.o1[[#This Row],[B]]=0,AVERAGE(OFFSET(Tab.o1[[#This Row],[B]],1,0,L$3,1)),Tab.o1[[#This Row],[B]])</f>
        <v/>
      </c>
      <c r="Q490" s="121" t="str">
        <f>IF(Tab.o1[[#This Row],[a1]]=1,NORMSDIST(Tab.o1[[#This Row],[Zb]]),"")</f>
        <v/>
      </c>
      <c r="R490" s="122" t="str">
        <f>IF(Tab.o1[[#This Row],[a1]]=1,((Tab.o1[[#This Row],[MedMod]]-AVERAGE(Tab.o1[MedMod]))/_xlfn.STDEV.P(Tab.o1[MedMod])*H$1203)+G$1203,"")</f>
        <v/>
      </c>
      <c r="S490" s="122" t="str">
        <f>IF(Tab.o1[[#This Row],[a1]]=1,((Tab.o1[[#This Row],[MedMod]]-AVERAGE(Tab.o1[MedMod]))/_xlfn.STDEV.P(Tab.o1[MedMod])*H$1204)+G$1204,"")</f>
        <v/>
      </c>
      <c r="T490" s="123" t="str">
        <f>IF(Tab.o1[[#This Row],[a1]]=1,Tab.o1[[#This Row],[Z-]]*_xlfn.STDEV.P(Tab.o1[B])+AVERAGE(Tab.o1[B]),"")</f>
        <v/>
      </c>
      <c r="U490" s="123" t="str">
        <f>IF(Tab.o1[[#This Row],[a1]]=1,Tab.o1[[#This Row],[z+]]*_xlfn.STDEV.P(Tab.o1[B])+AVERAGE(Tab.o1[B]),"")</f>
        <v/>
      </c>
      <c r="V490" s="124" t="str">
        <f>IF(Tab.o1[[#This Row],[a1]]=1,ABS((ABS(Tab.o1[[#This Row],[Red]]-Tab.o1[[#This Row],[Blue]]))),"")</f>
        <v/>
      </c>
      <c r="W490" s="125" t="str">
        <f>IF(Tab.o1[[#This Row],[a1]]=1,IF(W$3=0,1,Tab.o1[[#This Row],[Amp.]]*1/_xlfn.MINIFS(Tab.o1[Amp.],Tab.o1[Amp.],"&lt;&gt;0")),"")</f>
        <v/>
      </c>
      <c r="X490" s="126" t="str">
        <f>IF(Tab.o1[[#This Row],[a1]]=1,IF(ISNUMBER(Tab.o1[[#This Row],[i.]]),NORMDIST(Tab.o1[[#This Row],[Za]],0,1,FALSE)*Tab.o1[[#This Row],[i.]],AP$3),"")</f>
        <v/>
      </c>
      <c r="Y490" s="126" t="str">
        <f>IF(Tab.o1[[#This Row],[a1]]=1,0.01+0.94*Tab.o1[[#This Row],[PDF]]/MAX(Tab.o1[PDF]),"")</f>
        <v/>
      </c>
      <c r="Z490" s="126" t="str">
        <f>IF(Tab.o1[[#This Row],[a1]]=1,0.01+0.94*Tab.o1[[#This Row],[W1_PDF]]/MAX(Tab.o1[W1_PDF]),"")</f>
        <v/>
      </c>
      <c r="AA490" s="118" t="str">
        <f>IF(Tab.o1[[#This Row],[a1]]=1,ABS([1]!T.in.A[[#This Row],[oo6]]),"")</f>
        <v/>
      </c>
      <c r="AB490" s="127" t="str">
        <f>IF(Tab.o1[[#This Row],[a1]]=1,IF(AE$3=0,"",IF(AB$3=0,ABS([1]!T.in.A[[#This Row],[oo9]]),ABS(Tab.o1[[#This Row],[DIF_Target.]]*Tab.o1[[#This Row],[W1_PDF]]))),"")</f>
        <v/>
      </c>
      <c r="AC490" s="127" t="str">
        <f>IF(G$1=1,"",IF(Tab.o1[[#This Row],[a1]]=1,Tab.o1[[#This Row],[Wr]]^2,""))</f>
        <v/>
      </c>
      <c r="AD490" s="118" t="str">
        <f>IF(Tab.o1[[#This Row],[a1]]=1,IF(AE$3=0,"",Tab.o1[[#This Row],[Wr2]]/SUM(Tab.o1[Wr2])),"")</f>
        <v/>
      </c>
      <c r="AE490" s="128" t="str">
        <f>IF(Tab.o1[[#This Row],[a1]]=1,[1]!T.in.A[[#This Row],[oo10]],"")</f>
        <v/>
      </c>
      <c r="AF490" s="118" t="str">
        <f>IF(Tab.o1[[#This Row],[a1]]=1,ABS(Tab.o1[[#This Row],[DIF_Target.]]*Tab.o1[[#This Row],[PDF2]]*Tab.o1[[#This Row],[IN]]),"")</f>
        <v/>
      </c>
      <c r="AG490" s="129" t="str">
        <f>IF(Tab.o1[[#This Row],[a1]]=1,Tab.o1[[#This Row],[rW]]^2,"")</f>
        <v/>
      </c>
      <c r="AH490" s="130" t="str">
        <f>IF(Tab.o1[[#This Row],[a1]]=1,IF(AH$3=0,Tab.o1[[#This Row],[rW2]],0.01+0.94*Tab.o1[[#This Row],[rW2]]/SUM(Tab.o1[rW2])),"")</f>
        <v/>
      </c>
      <c r="AI490" s="128" t="str">
        <f>IF(Tab.o1[[#This Row],[a1]]=1,1/Tab.o1[[#This Row],[PDF]],"")</f>
        <v/>
      </c>
      <c r="AJ490" s="131" t="str">
        <f>IF(Tab.o1[[#This Row],[a1]]=1,[1]!T_AA[[#This Row],[IN'']]*[1]!T_AA[[#This Row],[Qde'']],"")</f>
        <v/>
      </c>
      <c r="AK490" s="132" t="str">
        <f>IF(Tab.o1[[#This Row],[a1]]=1,IF(AK$1=1,Tab.o1[[#This Row],[MED]]+Tab.o1[[#This Row],[MOD]]-Tab.o1[[#This Row],[MED]],""),"")</f>
        <v/>
      </c>
      <c r="AL490" s="133" t="str">
        <f>IF(Tab.o1[[#This Row],[a1]]=1,[1]!T.in.A[[#This Row],[oo16]],"")</f>
        <v/>
      </c>
      <c r="AM490" s="133" t="str">
        <f>IF(Tab.o1[[#This Row],[a1]]=1,IF(AM$3=1,[1]!T.in.A[[#This Row],[Σo16]],""),"")</f>
        <v/>
      </c>
      <c r="AN490" s="126" t="str">
        <f>IF(Tab.o1[[#This Row],[a1]]=1,[1]!T.in.A[[#This Row],[Σp5]],"")</f>
        <v/>
      </c>
      <c r="AO490" s="126" t="str">
        <f>IF(Tab.o1[[#This Row],[a1]]=1,IF(AO$3=1,[1]!T.in.A[[#This Row],[Σp5]],""),"")</f>
        <v/>
      </c>
      <c r="AP490" s="110" t="str">
        <f>IF(Tab.o1[[#This Row],[a1]]=1,IF(ISNUMBER(Tab.o1[[#This Row],[i.]]),NORMDIST(Tab.o1[[#This Row],[Za]],0,1,FALSE)*Tab.o1[[#This Row],[i.]],0),"")</f>
        <v/>
      </c>
      <c r="AQ490" s="125" t="str">
        <f>IF(Tab.o1[[#This Row],[a1]]=1,ABS(Tab.o1[[#This Row],[MOD]]-AVERAGE(Tab.o1[MOD])),"")</f>
        <v/>
      </c>
      <c r="AR490" s="134" t="str">
        <f>IF(Tab.o1[[#This Row],[a1]]=1,Tab.o1[[#This Row],[OBS]]/SUM(Tab.o1[OBS]),"")</f>
        <v/>
      </c>
      <c r="AS490" s="135" t="str">
        <f>IF(ISNUMBER(Tab.o1[[#This Row],[a1]]),ROW()-4,"")</f>
        <v/>
      </c>
      <c r="AT490" s="136" t="str">
        <f>Tab.o1[[#This Row],[MOD]]</f>
        <v/>
      </c>
      <c r="AU490" s="137" t="str">
        <f t="shared" si="29"/>
        <v/>
      </c>
      <c r="AV490" s="138" t="str">
        <f t="shared" si="30"/>
        <v/>
      </c>
      <c r="AW490" s="138" t="str">
        <f t="shared" si="31"/>
        <v/>
      </c>
      <c r="AX490" s="139" t="str">
        <f>[1]!T.in.A[[#This Row],[ID_T_manu]]</f>
        <v/>
      </c>
      <c r="AY490" s="140" t="str">
        <f>IF(ISNUMBER(Tab.o1[[#This Row],[a1]]),IF(AND(Tab.o1[[#This Row],[a1]]=1,Tab.o1[[#This Row],[b1]]&lt;=AY$4),#REF!,AY489),"")</f>
        <v/>
      </c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</row>
    <row r="491" spans="1:79" ht="15.75" hidden="1">
      <c r="A491" s="109">
        <v>1.0000000000000002E-6</v>
      </c>
      <c r="B491" s="110">
        <f t="shared" si="28"/>
        <v>491</v>
      </c>
      <c r="C491" s="111" t="str">
        <f>IF(C$1=[1]!T.in.A[[#This Row],[oo2]],1,"")</f>
        <v/>
      </c>
      <c r="D491" s="112" t="str">
        <f>IF(Tab.o1[[#This Row],[a1]]=1,IF(SUM(C491:C492)=0,0,IF(SUM(C490:C491)=1,1,IF(SUM(C490:C492)&gt;1,D490+1,0))),"")</f>
        <v/>
      </c>
      <c r="E491" s="113" t="str">
        <f>IF(Tab.o1[[#This Row],[a1]]=1,[1]!T.in.A[[#This Row],[oo1]],"")</f>
        <v/>
      </c>
      <c r="F491" s="113" t="str">
        <f>IF(Tab.o1[[#This Row],[a1]]=1,[1]!T.in.A[[#This Row],[pp1]],"")</f>
        <v/>
      </c>
      <c r="G491" s="114" t="str">
        <f>IF(Tab.o1[[#This Row],[a1]]=1,G$2+IF(G$1=1,0,Tab.o1[[#This Row],[.x1]])+[1]!T.in.A[[#This Row],[oo3]],"")</f>
        <v/>
      </c>
      <c r="H491" s="115" t="str">
        <f>IF(Tab.o1[[#This Row],[a1]]=1,IF(H$2=0,0,IF(G$1=1,0,Tab.o1[[#This Row],[.x1]])+[1]!T.in.A[[#This Row],[oo4]]),"")</f>
        <v/>
      </c>
      <c r="I491" s="116" t="str">
        <f>IF(Tab.o1[[#This Row],[a1]]=1,IF(J$2=0,Tab.o1[[#This Row],[MED]],Tab.o1[[#This Row],[MOD]]),"")</f>
        <v/>
      </c>
      <c r="J491" s="116" t="str">
        <f>IF(Tab.o1[[#This Row],[a1]]=1,((Tab.o1[[#This Row],[DIF_Target.]]-AVERAGE(Tab.o1[DIF_Target.]))/_xlfn.STDEV.P(Tab.o1[DIF_Target.])),"")</f>
        <v/>
      </c>
      <c r="K491" s="117" t="str">
        <f>IF(Tab.o1[[#This Row],[a1]]=1,IF(J$2=0,Tab.o1[[#This Row],[MOD]]-Tab.o1[[#This Row],[B]],IF(J$2=1,0,-Tab.o1[[#This Row],[MED]])+Tab.o1[[#This Row],[B]]),"")</f>
        <v/>
      </c>
      <c r="L491" s="117" t="str">
        <f ca="1">IF(Tab.o1[[#This Row],[DIF_Target]]=0,IF(L$2=0,Tab.o1[[#This Row],[DIF_Target]],AVERAGE(OFFSET(Tab.o1[[#This Row],[DIF_Target]],1,0,L$3,1)))/3,Tab.o1[[#This Row],[DIF_Target]])</f>
        <v/>
      </c>
      <c r="M491" s="118" t="str">
        <f>IF(Tab.o1[[#This Row],[a1]]=1,NORMSDIST(Tab.o1[[#This Row],[Za]]),"")</f>
        <v/>
      </c>
      <c r="N491" s="119" t="str">
        <f>IF(Tab.o1[[#This Row],[a1]]=1,((Tab.o1[[#This Row],[MedMod]]-AVERAGE(Tab.o1[MedMod]))/_xlfn.STDEV.P(Tab.o1[MedMod])*H$1205)+G$1205,"")</f>
        <v/>
      </c>
      <c r="O491" s="141" t="str">
        <f>IF(Tab.o1[[#This Row],[a1]]=1,Tab.o1[[#This Row],[Zb]]*_xlfn.STDEV.P(Tab.o1[MedMod])+AVERAGE(Tab.o1[MedMod]),"")</f>
        <v/>
      </c>
      <c r="P491" s="117" t="str">
        <f ca="1">IF(Tab.o1[[#This Row],[B]]=0,AVERAGE(OFFSET(Tab.o1[[#This Row],[B]],1,0,L$3,1)),Tab.o1[[#This Row],[B]])</f>
        <v/>
      </c>
      <c r="Q491" s="121" t="str">
        <f>IF(Tab.o1[[#This Row],[a1]]=1,NORMSDIST(Tab.o1[[#This Row],[Zb]]),"")</f>
        <v/>
      </c>
      <c r="R491" s="122" t="str">
        <f>IF(Tab.o1[[#This Row],[a1]]=1,((Tab.o1[[#This Row],[MedMod]]-AVERAGE(Tab.o1[MedMod]))/_xlfn.STDEV.P(Tab.o1[MedMod])*H$1203)+G$1203,"")</f>
        <v/>
      </c>
      <c r="S491" s="122" t="str">
        <f>IF(Tab.o1[[#This Row],[a1]]=1,((Tab.o1[[#This Row],[MedMod]]-AVERAGE(Tab.o1[MedMod]))/_xlfn.STDEV.P(Tab.o1[MedMod])*H$1204)+G$1204,"")</f>
        <v/>
      </c>
      <c r="T491" s="123" t="str">
        <f>IF(Tab.o1[[#This Row],[a1]]=1,Tab.o1[[#This Row],[Z-]]*_xlfn.STDEV.P(Tab.o1[B])+AVERAGE(Tab.o1[B]),"")</f>
        <v/>
      </c>
      <c r="U491" s="123" t="str">
        <f>IF(Tab.o1[[#This Row],[a1]]=1,Tab.o1[[#This Row],[z+]]*_xlfn.STDEV.P(Tab.o1[B])+AVERAGE(Tab.o1[B]),"")</f>
        <v/>
      </c>
      <c r="V491" s="124" t="str">
        <f>IF(Tab.o1[[#This Row],[a1]]=1,ABS((ABS(Tab.o1[[#This Row],[Red]]-Tab.o1[[#This Row],[Blue]]))),"")</f>
        <v/>
      </c>
      <c r="W491" s="125" t="str">
        <f>IF(Tab.o1[[#This Row],[a1]]=1,IF(W$3=0,1,Tab.o1[[#This Row],[Amp.]]*1/_xlfn.MINIFS(Tab.o1[Amp.],Tab.o1[Amp.],"&lt;&gt;0")),"")</f>
        <v/>
      </c>
      <c r="X491" s="126" t="str">
        <f>IF(Tab.o1[[#This Row],[a1]]=1,IF(ISNUMBER(Tab.o1[[#This Row],[i.]]),NORMDIST(Tab.o1[[#This Row],[Za]],0,1,FALSE)*Tab.o1[[#This Row],[i.]],AP$3),"")</f>
        <v/>
      </c>
      <c r="Y491" s="126" t="str">
        <f>IF(Tab.o1[[#This Row],[a1]]=1,0.01+0.94*Tab.o1[[#This Row],[PDF]]/MAX(Tab.o1[PDF]),"")</f>
        <v/>
      </c>
      <c r="Z491" s="126" t="str">
        <f>IF(Tab.o1[[#This Row],[a1]]=1,0.01+0.94*Tab.o1[[#This Row],[W1_PDF]]/MAX(Tab.o1[W1_PDF]),"")</f>
        <v/>
      </c>
      <c r="AA491" s="118" t="str">
        <f>IF(Tab.o1[[#This Row],[a1]]=1,ABS([1]!T.in.A[[#This Row],[oo6]]),"")</f>
        <v/>
      </c>
      <c r="AB491" s="127" t="str">
        <f>IF(Tab.o1[[#This Row],[a1]]=1,IF(AE$3=0,"",IF(AB$3=0,ABS([1]!T.in.A[[#This Row],[oo9]]),ABS(Tab.o1[[#This Row],[DIF_Target.]]*Tab.o1[[#This Row],[W1_PDF]]))),"")</f>
        <v/>
      </c>
      <c r="AC491" s="127" t="str">
        <f>IF(G$1=1,"",IF(Tab.o1[[#This Row],[a1]]=1,Tab.o1[[#This Row],[Wr]]^2,""))</f>
        <v/>
      </c>
      <c r="AD491" s="118" t="str">
        <f>IF(Tab.o1[[#This Row],[a1]]=1,IF(AE$3=0,"",Tab.o1[[#This Row],[Wr2]]/SUM(Tab.o1[Wr2])),"")</f>
        <v/>
      </c>
      <c r="AE491" s="128" t="str">
        <f>IF(Tab.o1[[#This Row],[a1]]=1,[1]!T.in.A[[#This Row],[oo10]],"")</f>
        <v/>
      </c>
      <c r="AF491" s="118" t="str">
        <f>IF(Tab.o1[[#This Row],[a1]]=1,ABS(Tab.o1[[#This Row],[DIF_Target.]]*Tab.o1[[#This Row],[PDF2]]*Tab.o1[[#This Row],[IN]]),"")</f>
        <v/>
      </c>
      <c r="AG491" s="129" t="str">
        <f>IF(Tab.o1[[#This Row],[a1]]=1,Tab.o1[[#This Row],[rW]]^2,"")</f>
        <v/>
      </c>
      <c r="AH491" s="130" t="str">
        <f>IF(Tab.o1[[#This Row],[a1]]=1,IF(AH$3=0,Tab.o1[[#This Row],[rW2]],0.01+0.94*Tab.o1[[#This Row],[rW2]]/SUM(Tab.o1[rW2])),"")</f>
        <v/>
      </c>
      <c r="AI491" s="128" t="str">
        <f>IF(Tab.o1[[#This Row],[a1]]=1,1/Tab.o1[[#This Row],[PDF]],"")</f>
        <v/>
      </c>
      <c r="AJ491" s="131" t="str">
        <f>IF(Tab.o1[[#This Row],[a1]]=1,[1]!T_AA[[#This Row],[IN'']]*[1]!T_AA[[#This Row],[Qde'']],"")</f>
        <v/>
      </c>
      <c r="AK491" s="132" t="str">
        <f>IF(Tab.o1[[#This Row],[a1]]=1,IF(AK$1=1,Tab.o1[[#This Row],[MED]]+Tab.o1[[#This Row],[MOD]]-Tab.o1[[#This Row],[MED]],""),"")</f>
        <v/>
      </c>
      <c r="AL491" s="133" t="str">
        <f>IF(Tab.o1[[#This Row],[a1]]=1,[1]!T.in.A[[#This Row],[oo16]],"")</f>
        <v/>
      </c>
      <c r="AM491" s="133" t="str">
        <f>IF(Tab.o1[[#This Row],[a1]]=1,IF(AM$3=1,[1]!T.in.A[[#This Row],[Σo16]],""),"")</f>
        <v/>
      </c>
      <c r="AN491" s="126" t="str">
        <f>IF(Tab.o1[[#This Row],[a1]]=1,[1]!T.in.A[[#This Row],[Σp5]],"")</f>
        <v/>
      </c>
      <c r="AO491" s="126" t="str">
        <f>IF(Tab.o1[[#This Row],[a1]]=1,IF(AO$3=1,[1]!T.in.A[[#This Row],[Σp5]],""),"")</f>
        <v/>
      </c>
      <c r="AP491" s="110" t="str">
        <f>IF(Tab.o1[[#This Row],[a1]]=1,IF(ISNUMBER(Tab.o1[[#This Row],[i.]]),NORMDIST(Tab.o1[[#This Row],[Za]],0,1,FALSE)*Tab.o1[[#This Row],[i.]],0),"")</f>
        <v/>
      </c>
      <c r="AQ491" s="125" t="str">
        <f>IF(Tab.o1[[#This Row],[a1]]=1,ABS(Tab.o1[[#This Row],[MOD]]-AVERAGE(Tab.o1[MOD])),"")</f>
        <v/>
      </c>
      <c r="AR491" s="134" t="str">
        <f>IF(Tab.o1[[#This Row],[a1]]=1,Tab.o1[[#This Row],[OBS]]/SUM(Tab.o1[OBS]),"")</f>
        <v/>
      </c>
      <c r="AS491" s="135" t="str">
        <f>IF(ISNUMBER(Tab.o1[[#This Row],[a1]]),ROW()-4,"")</f>
        <v/>
      </c>
      <c r="AT491" s="136" t="str">
        <f>Tab.o1[[#This Row],[MOD]]</f>
        <v/>
      </c>
      <c r="AU491" s="137" t="str">
        <f t="shared" si="29"/>
        <v/>
      </c>
      <c r="AV491" s="138" t="str">
        <f t="shared" si="30"/>
        <v/>
      </c>
      <c r="AW491" s="138" t="str">
        <f t="shared" si="31"/>
        <v/>
      </c>
      <c r="AX491" s="139" t="str">
        <f>[1]!T.in.A[[#This Row],[ID_T_manu]]</f>
        <v/>
      </c>
      <c r="AY491" s="140" t="str">
        <f>IF(ISNUMBER(Tab.o1[[#This Row],[a1]]),IF(AND(Tab.o1[[#This Row],[a1]]=1,Tab.o1[[#This Row],[b1]]&lt;=AY$4),#REF!,AY490),"")</f>
        <v/>
      </c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</row>
    <row r="492" spans="1:79" ht="15.75" hidden="1">
      <c r="A492" s="109">
        <v>-1.0000000000000002E-6</v>
      </c>
      <c r="B492" s="110">
        <f t="shared" si="28"/>
        <v>492</v>
      </c>
      <c r="C492" s="111" t="str">
        <f>IF(C$1=[1]!T.in.A[[#This Row],[oo2]],1,"")</f>
        <v/>
      </c>
      <c r="D492" s="112" t="str">
        <f>IF(Tab.o1[[#This Row],[a1]]=1,IF(SUM(C492:C493)=0,0,IF(SUM(C491:C492)=1,1,IF(SUM(C491:C493)&gt;1,D491+1,0))),"")</f>
        <v/>
      </c>
      <c r="E492" s="113" t="str">
        <f>IF(Tab.o1[[#This Row],[a1]]=1,[1]!T.in.A[[#This Row],[oo1]],"")</f>
        <v/>
      </c>
      <c r="F492" s="113" t="str">
        <f>IF(Tab.o1[[#This Row],[a1]]=1,[1]!T.in.A[[#This Row],[pp1]],"")</f>
        <v/>
      </c>
      <c r="G492" s="114" t="str">
        <f>IF(Tab.o1[[#This Row],[a1]]=1,G$2+IF(G$1=1,0,Tab.o1[[#This Row],[.x1]])+[1]!T.in.A[[#This Row],[oo3]],"")</f>
        <v/>
      </c>
      <c r="H492" s="115" t="str">
        <f>IF(Tab.o1[[#This Row],[a1]]=1,IF(H$2=0,0,IF(G$1=1,0,Tab.o1[[#This Row],[.x1]])+[1]!T.in.A[[#This Row],[oo4]]),"")</f>
        <v/>
      </c>
      <c r="I492" s="116" t="str">
        <f>IF(Tab.o1[[#This Row],[a1]]=1,IF(J$2=0,Tab.o1[[#This Row],[MED]],Tab.o1[[#This Row],[MOD]]),"")</f>
        <v/>
      </c>
      <c r="J492" s="116" t="str">
        <f>IF(Tab.o1[[#This Row],[a1]]=1,((Tab.o1[[#This Row],[DIF_Target.]]-AVERAGE(Tab.o1[DIF_Target.]))/_xlfn.STDEV.P(Tab.o1[DIF_Target.])),"")</f>
        <v/>
      </c>
      <c r="K492" s="117" t="str">
        <f>IF(Tab.o1[[#This Row],[a1]]=1,IF(J$2=0,Tab.o1[[#This Row],[MOD]]-Tab.o1[[#This Row],[B]],IF(J$2=1,0,-Tab.o1[[#This Row],[MED]])+Tab.o1[[#This Row],[B]]),"")</f>
        <v/>
      </c>
      <c r="L492" s="117" t="str">
        <f ca="1">IF(Tab.o1[[#This Row],[DIF_Target]]=0,IF(L$2=0,Tab.o1[[#This Row],[DIF_Target]],AVERAGE(OFFSET(Tab.o1[[#This Row],[DIF_Target]],1,0,L$3,1)))/3,Tab.o1[[#This Row],[DIF_Target]])</f>
        <v/>
      </c>
      <c r="M492" s="118" t="str">
        <f>IF(Tab.o1[[#This Row],[a1]]=1,NORMSDIST(Tab.o1[[#This Row],[Za]]),"")</f>
        <v/>
      </c>
      <c r="N492" s="119" t="str">
        <f>IF(Tab.o1[[#This Row],[a1]]=1,((Tab.o1[[#This Row],[MedMod]]-AVERAGE(Tab.o1[MedMod]))/_xlfn.STDEV.P(Tab.o1[MedMod])*H$1205)+G$1205,"")</f>
        <v/>
      </c>
      <c r="O492" s="141" t="str">
        <f>IF(Tab.o1[[#This Row],[a1]]=1,Tab.o1[[#This Row],[Zb]]*_xlfn.STDEV.P(Tab.o1[MedMod])+AVERAGE(Tab.o1[MedMod]),"")</f>
        <v/>
      </c>
      <c r="P492" s="117" t="str">
        <f ca="1">IF(Tab.o1[[#This Row],[B]]=0,AVERAGE(OFFSET(Tab.o1[[#This Row],[B]],1,0,L$3,1)),Tab.o1[[#This Row],[B]])</f>
        <v/>
      </c>
      <c r="Q492" s="121" t="str">
        <f>IF(Tab.o1[[#This Row],[a1]]=1,NORMSDIST(Tab.o1[[#This Row],[Zb]]),"")</f>
        <v/>
      </c>
      <c r="R492" s="122" t="str">
        <f>IF(Tab.o1[[#This Row],[a1]]=1,((Tab.o1[[#This Row],[MedMod]]-AVERAGE(Tab.o1[MedMod]))/_xlfn.STDEV.P(Tab.o1[MedMod])*H$1203)+G$1203,"")</f>
        <v/>
      </c>
      <c r="S492" s="122" t="str">
        <f>IF(Tab.o1[[#This Row],[a1]]=1,((Tab.o1[[#This Row],[MedMod]]-AVERAGE(Tab.o1[MedMod]))/_xlfn.STDEV.P(Tab.o1[MedMod])*H$1204)+G$1204,"")</f>
        <v/>
      </c>
      <c r="T492" s="123" t="str">
        <f>IF(Tab.o1[[#This Row],[a1]]=1,Tab.o1[[#This Row],[Z-]]*_xlfn.STDEV.P(Tab.o1[B])+AVERAGE(Tab.o1[B]),"")</f>
        <v/>
      </c>
      <c r="U492" s="123" t="str">
        <f>IF(Tab.o1[[#This Row],[a1]]=1,Tab.o1[[#This Row],[z+]]*_xlfn.STDEV.P(Tab.o1[B])+AVERAGE(Tab.o1[B]),"")</f>
        <v/>
      </c>
      <c r="V492" s="124" t="str">
        <f>IF(Tab.o1[[#This Row],[a1]]=1,ABS((ABS(Tab.o1[[#This Row],[Red]]-Tab.o1[[#This Row],[Blue]]))),"")</f>
        <v/>
      </c>
      <c r="W492" s="125" t="str">
        <f>IF(Tab.o1[[#This Row],[a1]]=1,IF(W$3=0,1,Tab.o1[[#This Row],[Amp.]]*1/_xlfn.MINIFS(Tab.o1[Amp.],Tab.o1[Amp.],"&lt;&gt;0")),"")</f>
        <v/>
      </c>
      <c r="X492" s="126" t="str">
        <f>IF(Tab.o1[[#This Row],[a1]]=1,IF(ISNUMBER(Tab.o1[[#This Row],[i.]]),NORMDIST(Tab.o1[[#This Row],[Za]],0,1,FALSE)*Tab.o1[[#This Row],[i.]],AP$3),"")</f>
        <v/>
      </c>
      <c r="Y492" s="126" t="str">
        <f>IF(Tab.o1[[#This Row],[a1]]=1,0.01+0.94*Tab.o1[[#This Row],[PDF]]/MAX(Tab.o1[PDF]),"")</f>
        <v/>
      </c>
      <c r="Z492" s="126" t="str">
        <f>IF(Tab.o1[[#This Row],[a1]]=1,0.01+0.94*Tab.o1[[#This Row],[W1_PDF]]/MAX(Tab.o1[W1_PDF]),"")</f>
        <v/>
      </c>
      <c r="AA492" s="118" t="str">
        <f>IF(Tab.o1[[#This Row],[a1]]=1,ABS([1]!T.in.A[[#This Row],[oo6]]),"")</f>
        <v/>
      </c>
      <c r="AB492" s="127" t="str">
        <f>IF(Tab.o1[[#This Row],[a1]]=1,IF(AE$3=0,"",IF(AB$3=0,ABS([1]!T.in.A[[#This Row],[oo9]]),ABS(Tab.o1[[#This Row],[DIF_Target.]]*Tab.o1[[#This Row],[W1_PDF]]))),"")</f>
        <v/>
      </c>
      <c r="AC492" s="127" t="str">
        <f>IF(G$1=1,"",IF(Tab.o1[[#This Row],[a1]]=1,Tab.o1[[#This Row],[Wr]]^2,""))</f>
        <v/>
      </c>
      <c r="AD492" s="118" t="str">
        <f>IF(Tab.o1[[#This Row],[a1]]=1,IF(AE$3=0,"",Tab.o1[[#This Row],[Wr2]]/SUM(Tab.o1[Wr2])),"")</f>
        <v/>
      </c>
      <c r="AE492" s="128" t="str">
        <f>IF(Tab.o1[[#This Row],[a1]]=1,[1]!T.in.A[[#This Row],[oo10]],"")</f>
        <v/>
      </c>
      <c r="AF492" s="118" t="str">
        <f>IF(Tab.o1[[#This Row],[a1]]=1,ABS(Tab.o1[[#This Row],[DIF_Target.]]*Tab.o1[[#This Row],[PDF2]]*Tab.o1[[#This Row],[IN]]),"")</f>
        <v/>
      </c>
      <c r="AG492" s="129" t="str">
        <f>IF(Tab.o1[[#This Row],[a1]]=1,Tab.o1[[#This Row],[rW]]^2,"")</f>
        <v/>
      </c>
      <c r="AH492" s="130" t="str">
        <f>IF(Tab.o1[[#This Row],[a1]]=1,IF(AH$3=0,Tab.o1[[#This Row],[rW2]],0.01+0.94*Tab.o1[[#This Row],[rW2]]/SUM(Tab.o1[rW2])),"")</f>
        <v/>
      </c>
      <c r="AI492" s="128" t="str">
        <f>IF(Tab.o1[[#This Row],[a1]]=1,1/Tab.o1[[#This Row],[PDF]],"")</f>
        <v/>
      </c>
      <c r="AJ492" s="131" t="str">
        <f>IF(Tab.o1[[#This Row],[a1]]=1,[1]!T_AA[[#This Row],[IN'']]*[1]!T_AA[[#This Row],[Qde'']],"")</f>
        <v/>
      </c>
      <c r="AK492" s="132" t="str">
        <f>IF(Tab.o1[[#This Row],[a1]]=1,IF(AK$1=1,Tab.o1[[#This Row],[MED]]+Tab.o1[[#This Row],[MOD]]-Tab.o1[[#This Row],[MED]],""),"")</f>
        <v/>
      </c>
      <c r="AL492" s="133" t="str">
        <f>IF(Tab.o1[[#This Row],[a1]]=1,[1]!T.in.A[[#This Row],[oo16]],"")</f>
        <v/>
      </c>
      <c r="AM492" s="133" t="str">
        <f>IF(Tab.o1[[#This Row],[a1]]=1,IF(AM$3=1,[1]!T.in.A[[#This Row],[Σo16]],""),"")</f>
        <v/>
      </c>
      <c r="AN492" s="126" t="str">
        <f>IF(Tab.o1[[#This Row],[a1]]=1,[1]!T.in.A[[#This Row],[Σp5]],"")</f>
        <v/>
      </c>
      <c r="AO492" s="126" t="str">
        <f>IF(Tab.o1[[#This Row],[a1]]=1,IF(AO$3=1,[1]!T.in.A[[#This Row],[Σp5]],""),"")</f>
        <v/>
      </c>
      <c r="AP492" s="110" t="str">
        <f>IF(Tab.o1[[#This Row],[a1]]=1,IF(ISNUMBER(Tab.o1[[#This Row],[i.]]),NORMDIST(Tab.o1[[#This Row],[Za]],0,1,FALSE)*Tab.o1[[#This Row],[i.]],0),"")</f>
        <v/>
      </c>
      <c r="AQ492" s="125" t="str">
        <f>IF(Tab.o1[[#This Row],[a1]]=1,ABS(Tab.o1[[#This Row],[MOD]]-AVERAGE(Tab.o1[MOD])),"")</f>
        <v/>
      </c>
      <c r="AR492" s="134" t="str">
        <f>IF(Tab.o1[[#This Row],[a1]]=1,Tab.o1[[#This Row],[OBS]]/SUM(Tab.o1[OBS]),"")</f>
        <v/>
      </c>
      <c r="AS492" s="135" t="str">
        <f>IF(ISNUMBER(Tab.o1[[#This Row],[a1]]),ROW()-4,"")</f>
        <v/>
      </c>
      <c r="AT492" s="136" t="str">
        <f>Tab.o1[[#This Row],[MOD]]</f>
        <v/>
      </c>
      <c r="AU492" s="137" t="str">
        <f t="shared" si="29"/>
        <v/>
      </c>
      <c r="AV492" s="138" t="str">
        <f t="shared" si="30"/>
        <v/>
      </c>
      <c r="AW492" s="138" t="str">
        <f t="shared" si="31"/>
        <v/>
      </c>
      <c r="AX492" s="139" t="str">
        <f>[1]!T.in.A[[#This Row],[ID_T_manu]]</f>
        <v/>
      </c>
      <c r="AY492" s="140" t="str">
        <f>IF(ISNUMBER(Tab.o1[[#This Row],[a1]]),IF(AND(Tab.o1[[#This Row],[a1]]=1,Tab.o1[[#This Row],[b1]]&lt;=AY$4),#REF!,AY491),"")</f>
        <v/>
      </c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</row>
    <row r="493" spans="1:79" ht="15.75" hidden="1">
      <c r="A493" s="109">
        <v>1.0000000000000002E-6</v>
      </c>
      <c r="B493" s="110">
        <f t="shared" si="28"/>
        <v>493</v>
      </c>
      <c r="C493" s="111" t="str">
        <f>IF(C$1=[1]!T.in.A[[#This Row],[oo2]],1,"")</f>
        <v/>
      </c>
      <c r="D493" s="112" t="str">
        <f>IF(Tab.o1[[#This Row],[a1]]=1,IF(SUM(C493:C494)=0,0,IF(SUM(C492:C493)=1,1,IF(SUM(C492:C494)&gt;1,D492+1,0))),"")</f>
        <v/>
      </c>
      <c r="E493" s="113" t="str">
        <f>IF(Tab.o1[[#This Row],[a1]]=1,[1]!T.in.A[[#This Row],[oo1]],"")</f>
        <v/>
      </c>
      <c r="F493" s="113" t="str">
        <f>IF(Tab.o1[[#This Row],[a1]]=1,[1]!T.in.A[[#This Row],[pp1]],"")</f>
        <v/>
      </c>
      <c r="G493" s="114" t="str">
        <f>IF(Tab.o1[[#This Row],[a1]]=1,G$2+IF(G$1=1,0,Tab.o1[[#This Row],[.x1]])+[1]!T.in.A[[#This Row],[oo3]],"")</f>
        <v/>
      </c>
      <c r="H493" s="115" t="str">
        <f>IF(Tab.o1[[#This Row],[a1]]=1,IF(H$2=0,0,IF(G$1=1,0,Tab.o1[[#This Row],[.x1]])+[1]!T.in.A[[#This Row],[oo4]]),"")</f>
        <v/>
      </c>
      <c r="I493" s="116" t="str">
        <f>IF(Tab.o1[[#This Row],[a1]]=1,IF(J$2=0,Tab.o1[[#This Row],[MED]],Tab.o1[[#This Row],[MOD]]),"")</f>
        <v/>
      </c>
      <c r="J493" s="116" t="str">
        <f>IF(Tab.o1[[#This Row],[a1]]=1,((Tab.o1[[#This Row],[DIF_Target.]]-AVERAGE(Tab.o1[DIF_Target.]))/_xlfn.STDEV.P(Tab.o1[DIF_Target.])),"")</f>
        <v/>
      </c>
      <c r="K493" s="117" t="str">
        <f>IF(Tab.o1[[#This Row],[a1]]=1,IF(J$2=0,Tab.o1[[#This Row],[MOD]]-Tab.o1[[#This Row],[B]],IF(J$2=1,0,-Tab.o1[[#This Row],[MED]])+Tab.o1[[#This Row],[B]]),"")</f>
        <v/>
      </c>
      <c r="L493" s="117" t="str">
        <f ca="1">IF(Tab.o1[[#This Row],[DIF_Target]]=0,IF(L$2=0,Tab.o1[[#This Row],[DIF_Target]],AVERAGE(OFFSET(Tab.o1[[#This Row],[DIF_Target]],1,0,L$3,1)))/3,Tab.o1[[#This Row],[DIF_Target]])</f>
        <v/>
      </c>
      <c r="M493" s="118" t="str">
        <f>IF(Tab.o1[[#This Row],[a1]]=1,NORMSDIST(Tab.o1[[#This Row],[Za]]),"")</f>
        <v/>
      </c>
      <c r="N493" s="119" t="str">
        <f>IF(Tab.o1[[#This Row],[a1]]=1,((Tab.o1[[#This Row],[MedMod]]-AVERAGE(Tab.o1[MedMod]))/_xlfn.STDEV.P(Tab.o1[MedMod])*H$1205)+G$1205,"")</f>
        <v/>
      </c>
      <c r="O493" s="141" t="str">
        <f>IF(Tab.o1[[#This Row],[a1]]=1,Tab.o1[[#This Row],[Zb]]*_xlfn.STDEV.P(Tab.o1[MedMod])+AVERAGE(Tab.o1[MedMod]),"")</f>
        <v/>
      </c>
      <c r="P493" s="117" t="str">
        <f ca="1">IF(Tab.o1[[#This Row],[B]]=0,AVERAGE(OFFSET(Tab.o1[[#This Row],[B]],1,0,L$3,1)),Tab.o1[[#This Row],[B]])</f>
        <v/>
      </c>
      <c r="Q493" s="121" t="str">
        <f>IF(Tab.o1[[#This Row],[a1]]=1,NORMSDIST(Tab.o1[[#This Row],[Zb]]),"")</f>
        <v/>
      </c>
      <c r="R493" s="122" t="str">
        <f>IF(Tab.o1[[#This Row],[a1]]=1,((Tab.o1[[#This Row],[MedMod]]-AVERAGE(Tab.o1[MedMod]))/_xlfn.STDEV.P(Tab.o1[MedMod])*H$1203)+G$1203,"")</f>
        <v/>
      </c>
      <c r="S493" s="122" t="str">
        <f>IF(Tab.o1[[#This Row],[a1]]=1,((Tab.o1[[#This Row],[MedMod]]-AVERAGE(Tab.o1[MedMod]))/_xlfn.STDEV.P(Tab.o1[MedMod])*H$1204)+G$1204,"")</f>
        <v/>
      </c>
      <c r="T493" s="123" t="str">
        <f>IF(Tab.o1[[#This Row],[a1]]=1,Tab.o1[[#This Row],[Z-]]*_xlfn.STDEV.P(Tab.o1[B])+AVERAGE(Tab.o1[B]),"")</f>
        <v/>
      </c>
      <c r="U493" s="123" t="str">
        <f>IF(Tab.o1[[#This Row],[a1]]=1,Tab.o1[[#This Row],[z+]]*_xlfn.STDEV.P(Tab.o1[B])+AVERAGE(Tab.o1[B]),"")</f>
        <v/>
      </c>
      <c r="V493" s="124" t="str">
        <f>IF(Tab.o1[[#This Row],[a1]]=1,ABS((ABS(Tab.o1[[#This Row],[Red]]-Tab.o1[[#This Row],[Blue]]))),"")</f>
        <v/>
      </c>
      <c r="W493" s="125" t="str">
        <f>IF(Tab.o1[[#This Row],[a1]]=1,IF(W$3=0,1,Tab.o1[[#This Row],[Amp.]]*1/_xlfn.MINIFS(Tab.o1[Amp.],Tab.o1[Amp.],"&lt;&gt;0")),"")</f>
        <v/>
      </c>
      <c r="X493" s="126" t="str">
        <f>IF(Tab.o1[[#This Row],[a1]]=1,IF(ISNUMBER(Tab.o1[[#This Row],[i.]]),NORMDIST(Tab.o1[[#This Row],[Za]],0,1,FALSE)*Tab.o1[[#This Row],[i.]],AP$3),"")</f>
        <v/>
      </c>
      <c r="Y493" s="126" t="str">
        <f>IF(Tab.o1[[#This Row],[a1]]=1,0.01+0.94*Tab.o1[[#This Row],[PDF]]/MAX(Tab.o1[PDF]),"")</f>
        <v/>
      </c>
      <c r="Z493" s="126" t="str">
        <f>IF(Tab.o1[[#This Row],[a1]]=1,0.01+0.94*Tab.o1[[#This Row],[W1_PDF]]/MAX(Tab.o1[W1_PDF]),"")</f>
        <v/>
      </c>
      <c r="AA493" s="118" t="str">
        <f>IF(Tab.o1[[#This Row],[a1]]=1,ABS([1]!T.in.A[[#This Row],[oo6]]),"")</f>
        <v/>
      </c>
      <c r="AB493" s="127" t="str">
        <f>IF(Tab.o1[[#This Row],[a1]]=1,IF(AE$3=0,"",IF(AB$3=0,ABS([1]!T.in.A[[#This Row],[oo9]]),ABS(Tab.o1[[#This Row],[DIF_Target.]]*Tab.o1[[#This Row],[W1_PDF]]))),"")</f>
        <v/>
      </c>
      <c r="AC493" s="127" t="str">
        <f>IF(G$1=1,"",IF(Tab.o1[[#This Row],[a1]]=1,Tab.o1[[#This Row],[Wr]]^2,""))</f>
        <v/>
      </c>
      <c r="AD493" s="118" t="str">
        <f>IF(Tab.o1[[#This Row],[a1]]=1,IF(AE$3=0,"",Tab.o1[[#This Row],[Wr2]]/SUM(Tab.o1[Wr2])),"")</f>
        <v/>
      </c>
      <c r="AE493" s="128" t="str">
        <f>IF(Tab.o1[[#This Row],[a1]]=1,[1]!T.in.A[[#This Row],[oo10]],"")</f>
        <v/>
      </c>
      <c r="AF493" s="118" t="str">
        <f>IF(Tab.o1[[#This Row],[a1]]=1,ABS(Tab.o1[[#This Row],[DIF_Target.]]*Tab.o1[[#This Row],[PDF2]]*Tab.o1[[#This Row],[IN]]),"")</f>
        <v/>
      </c>
      <c r="AG493" s="129" t="str">
        <f>IF(Tab.o1[[#This Row],[a1]]=1,Tab.o1[[#This Row],[rW]]^2,"")</f>
        <v/>
      </c>
      <c r="AH493" s="130" t="str">
        <f>IF(Tab.o1[[#This Row],[a1]]=1,IF(AH$3=0,Tab.o1[[#This Row],[rW2]],0.01+0.94*Tab.o1[[#This Row],[rW2]]/SUM(Tab.o1[rW2])),"")</f>
        <v/>
      </c>
      <c r="AI493" s="128" t="str">
        <f>IF(Tab.o1[[#This Row],[a1]]=1,1/Tab.o1[[#This Row],[PDF]],"")</f>
        <v/>
      </c>
      <c r="AJ493" s="131" t="str">
        <f>IF(Tab.o1[[#This Row],[a1]]=1,[1]!T_AA[[#This Row],[IN'']]*[1]!T_AA[[#This Row],[Qde'']],"")</f>
        <v/>
      </c>
      <c r="AK493" s="132" t="str">
        <f>IF(Tab.o1[[#This Row],[a1]]=1,IF(AK$1=1,Tab.o1[[#This Row],[MED]]+Tab.o1[[#This Row],[MOD]]-Tab.o1[[#This Row],[MED]],""),"")</f>
        <v/>
      </c>
      <c r="AL493" s="133" t="str">
        <f>IF(Tab.o1[[#This Row],[a1]]=1,[1]!T.in.A[[#This Row],[oo16]],"")</f>
        <v/>
      </c>
      <c r="AM493" s="133" t="str">
        <f>IF(Tab.o1[[#This Row],[a1]]=1,IF(AM$3=1,[1]!T.in.A[[#This Row],[Σo16]],""),"")</f>
        <v/>
      </c>
      <c r="AN493" s="126" t="str">
        <f>IF(Tab.o1[[#This Row],[a1]]=1,[1]!T.in.A[[#This Row],[Σp5]],"")</f>
        <v/>
      </c>
      <c r="AO493" s="126" t="str">
        <f>IF(Tab.o1[[#This Row],[a1]]=1,IF(AO$3=1,[1]!T.in.A[[#This Row],[Σp5]],""),"")</f>
        <v/>
      </c>
      <c r="AP493" s="110" t="str">
        <f>IF(Tab.o1[[#This Row],[a1]]=1,IF(ISNUMBER(Tab.o1[[#This Row],[i.]]),NORMDIST(Tab.o1[[#This Row],[Za]],0,1,FALSE)*Tab.o1[[#This Row],[i.]],0),"")</f>
        <v/>
      </c>
      <c r="AQ493" s="125" t="str">
        <f>IF(Tab.o1[[#This Row],[a1]]=1,ABS(Tab.o1[[#This Row],[MOD]]-AVERAGE(Tab.o1[MOD])),"")</f>
        <v/>
      </c>
      <c r="AR493" s="134" t="str">
        <f>IF(Tab.o1[[#This Row],[a1]]=1,Tab.o1[[#This Row],[OBS]]/SUM(Tab.o1[OBS]),"")</f>
        <v/>
      </c>
      <c r="AS493" s="135" t="str">
        <f>IF(ISNUMBER(Tab.o1[[#This Row],[a1]]),ROW()-4,"")</f>
        <v/>
      </c>
      <c r="AT493" s="136" t="str">
        <f>Tab.o1[[#This Row],[MOD]]</f>
        <v/>
      </c>
      <c r="AU493" s="137" t="str">
        <f t="shared" si="29"/>
        <v/>
      </c>
      <c r="AV493" s="138" t="str">
        <f t="shared" si="30"/>
        <v/>
      </c>
      <c r="AW493" s="138" t="str">
        <f t="shared" si="31"/>
        <v/>
      </c>
      <c r="AX493" s="139" t="str">
        <f>[1]!T.in.A[[#This Row],[ID_T_manu]]</f>
        <v/>
      </c>
      <c r="AY493" s="140" t="str">
        <f>IF(ISNUMBER(Tab.o1[[#This Row],[a1]]),IF(AND(Tab.o1[[#This Row],[a1]]=1,Tab.o1[[#This Row],[b1]]&lt;=AY$4),#REF!,AY492),"")</f>
        <v/>
      </c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</row>
    <row r="494" spans="1:79" ht="15.75" hidden="1">
      <c r="A494" s="109">
        <v>-1.0000000000000002E-6</v>
      </c>
      <c r="B494" s="110">
        <f t="shared" si="28"/>
        <v>494</v>
      </c>
      <c r="C494" s="111" t="str">
        <f>IF(C$1=[1]!T.in.A[[#This Row],[oo2]],1,"")</f>
        <v/>
      </c>
      <c r="D494" s="112" t="str">
        <f>IF(Tab.o1[[#This Row],[a1]]=1,IF(SUM(C494:C495)=0,0,IF(SUM(C493:C494)=1,1,IF(SUM(C493:C495)&gt;1,D493+1,0))),"")</f>
        <v/>
      </c>
      <c r="E494" s="113" t="str">
        <f>IF(Tab.o1[[#This Row],[a1]]=1,[1]!T.in.A[[#This Row],[oo1]],"")</f>
        <v/>
      </c>
      <c r="F494" s="113" t="str">
        <f>IF(Tab.o1[[#This Row],[a1]]=1,[1]!T.in.A[[#This Row],[pp1]],"")</f>
        <v/>
      </c>
      <c r="G494" s="114" t="str">
        <f>IF(Tab.o1[[#This Row],[a1]]=1,G$2+IF(G$1=1,0,Tab.o1[[#This Row],[.x1]])+[1]!T.in.A[[#This Row],[oo3]],"")</f>
        <v/>
      </c>
      <c r="H494" s="115" t="str">
        <f>IF(Tab.o1[[#This Row],[a1]]=1,IF(H$2=0,0,IF(G$1=1,0,Tab.o1[[#This Row],[.x1]])+[1]!T.in.A[[#This Row],[oo4]]),"")</f>
        <v/>
      </c>
      <c r="I494" s="116" t="str">
        <f>IF(Tab.o1[[#This Row],[a1]]=1,IF(J$2=0,Tab.o1[[#This Row],[MED]],Tab.o1[[#This Row],[MOD]]),"")</f>
        <v/>
      </c>
      <c r="J494" s="116" t="str">
        <f>IF(Tab.o1[[#This Row],[a1]]=1,((Tab.o1[[#This Row],[DIF_Target.]]-AVERAGE(Tab.o1[DIF_Target.]))/_xlfn.STDEV.P(Tab.o1[DIF_Target.])),"")</f>
        <v/>
      </c>
      <c r="K494" s="117" t="str">
        <f>IF(Tab.o1[[#This Row],[a1]]=1,IF(J$2=0,Tab.o1[[#This Row],[MOD]]-Tab.o1[[#This Row],[B]],IF(J$2=1,0,-Tab.o1[[#This Row],[MED]])+Tab.o1[[#This Row],[B]]),"")</f>
        <v/>
      </c>
      <c r="L494" s="117" t="str">
        <f ca="1">IF(Tab.o1[[#This Row],[DIF_Target]]=0,IF(L$2=0,Tab.o1[[#This Row],[DIF_Target]],AVERAGE(OFFSET(Tab.o1[[#This Row],[DIF_Target]],1,0,L$3,1)))/3,Tab.o1[[#This Row],[DIF_Target]])</f>
        <v/>
      </c>
      <c r="M494" s="118" t="str">
        <f>IF(Tab.o1[[#This Row],[a1]]=1,NORMSDIST(Tab.o1[[#This Row],[Za]]),"")</f>
        <v/>
      </c>
      <c r="N494" s="119" t="str">
        <f>IF(Tab.o1[[#This Row],[a1]]=1,((Tab.o1[[#This Row],[MedMod]]-AVERAGE(Tab.o1[MedMod]))/_xlfn.STDEV.P(Tab.o1[MedMod])*H$1205)+G$1205,"")</f>
        <v/>
      </c>
      <c r="O494" s="141" t="str">
        <f>IF(Tab.o1[[#This Row],[a1]]=1,Tab.o1[[#This Row],[Zb]]*_xlfn.STDEV.P(Tab.o1[MedMod])+AVERAGE(Tab.o1[MedMod]),"")</f>
        <v/>
      </c>
      <c r="P494" s="117" t="str">
        <f ca="1">IF(Tab.o1[[#This Row],[B]]=0,AVERAGE(OFFSET(Tab.o1[[#This Row],[B]],1,0,L$3,1)),Tab.o1[[#This Row],[B]])</f>
        <v/>
      </c>
      <c r="Q494" s="121" t="str">
        <f>IF(Tab.o1[[#This Row],[a1]]=1,NORMSDIST(Tab.o1[[#This Row],[Zb]]),"")</f>
        <v/>
      </c>
      <c r="R494" s="122" t="str">
        <f>IF(Tab.o1[[#This Row],[a1]]=1,((Tab.o1[[#This Row],[MedMod]]-AVERAGE(Tab.o1[MedMod]))/_xlfn.STDEV.P(Tab.o1[MedMod])*H$1203)+G$1203,"")</f>
        <v/>
      </c>
      <c r="S494" s="122" t="str">
        <f>IF(Tab.o1[[#This Row],[a1]]=1,((Tab.o1[[#This Row],[MedMod]]-AVERAGE(Tab.o1[MedMod]))/_xlfn.STDEV.P(Tab.o1[MedMod])*H$1204)+G$1204,"")</f>
        <v/>
      </c>
      <c r="T494" s="123" t="str">
        <f>IF(Tab.o1[[#This Row],[a1]]=1,Tab.o1[[#This Row],[Z-]]*_xlfn.STDEV.P(Tab.o1[B])+AVERAGE(Tab.o1[B]),"")</f>
        <v/>
      </c>
      <c r="U494" s="123" t="str">
        <f>IF(Tab.o1[[#This Row],[a1]]=1,Tab.o1[[#This Row],[z+]]*_xlfn.STDEV.P(Tab.o1[B])+AVERAGE(Tab.o1[B]),"")</f>
        <v/>
      </c>
      <c r="V494" s="124" t="str">
        <f>IF(Tab.o1[[#This Row],[a1]]=1,ABS((ABS(Tab.o1[[#This Row],[Red]]-Tab.o1[[#This Row],[Blue]]))),"")</f>
        <v/>
      </c>
      <c r="W494" s="125" t="str">
        <f>IF(Tab.o1[[#This Row],[a1]]=1,IF(W$3=0,1,Tab.o1[[#This Row],[Amp.]]*1/_xlfn.MINIFS(Tab.o1[Amp.],Tab.o1[Amp.],"&lt;&gt;0")),"")</f>
        <v/>
      </c>
      <c r="X494" s="126" t="str">
        <f>IF(Tab.o1[[#This Row],[a1]]=1,IF(ISNUMBER(Tab.o1[[#This Row],[i.]]),NORMDIST(Tab.o1[[#This Row],[Za]],0,1,FALSE)*Tab.o1[[#This Row],[i.]],AP$3),"")</f>
        <v/>
      </c>
      <c r="Y494" s="126" t="str">
        <f>IF(Tab.o1[[#This Row],[a1]]=1,0.01+0.94*Tab.o1[[#This Row],[PDF]]/MAX(Tab.o1[PDF]),"")</f>
        <v/>
      </c>
      <c r="Z494" s="126" t="str">
        <f>IF(Tab.o1[[#This Row],[a1]]=1,0.01+0.94*Tab.o1[[#This Row],[W1_PDF]]/MAX(Tab.o1[W1_PDF]),"")</f>
        <v/>
      </c>
      <c r="AA494" s="118" t="str">
        <f>IF(Tab.o1[[#This Row],[a1]]=1,ABS([1]!T.in.A[[#This Row],[oo6]]),"")</f>
        <v/>
      </c>
      <c r="AB494" s="127" t="str">
        <f>IF(Tab.o1[[#This Row],[a1]]=1,IF(AE$3=0,"",IF(AB$3=0,ABS([1]!T.in.A[[#This Row],[oo9]]),ABS(Tab.o1[[#This Row],[DIF_Target.]]*Tab.o1[[#This Row],[W1_PDF]]))),"")</f>
        <v/>
      </c>
      <c r="AC494" s="127" t="str">
        <f>IF(G$1=1,"",IF(Tab.o1[[#This Row],[a1]]=1,Tab.o1[[#This Row],[Wr]]^2,""))</f>
        <v/>
      </c>
      <c r="AD494" s="118" t="str">
        <f>IF(Tab.o1[[#This Row],[a1]]=1,IF(AE$3=0,"",Tab.o1[[#This Row],[Wr2]]/SUM(Tab.o1[Wr2])),"")</f>
        <v/>
      </c>
      <c r="AE494" s="128" t="str">
        <f>IF(Tab.o1[[#This Row],[a1]]=1,[1]!T.in.A[[#This Row],[oo10]],"")</f>
        <v/>
      </c>
      <c r="AF494" s="118" t="str">
        <f>IF(Tab.o1[[#This Row],[a1]]=1,ABS(Tab.o1[[#This Row],[DIF_Target.]]*Tab.o1[[#This Row],[PDF2]]*Tab.o1[[#This Row],[IN]]),"")</f>
        <v/>
      </c>
      <c r="AG494" s="129" t="str">
        <f>IF(Tab.o1[[#This Row],[a1]]=1,Tab.o1[[#This Row],[rW]]^2,"")</f>
        <v/>
      </c>
      <c r="AH494" s="130" t="str">
        <f>IF(Tab.o1[[#This Row],[a1]]=1,IF(AH$3=0,Tab.o1[[#This Row],[rW2]],0.01+0.94*Tab.o1[[#This Row],[rW2]]/SUM(Tab.o1[rW2])),"")</f>
        <v/>
      </c>
      <c r="AI494" s="128" t="str">
        <f>IF(Tab.o1[[#This Row],[a1]]=1,1/Tab.o1[[#This Row],[PDF]],"")</f>
        <v/>
      </c>
      <c r="AJ494" s="131" t="str">
        <f>IF(Tab.o1[[#This Row],[a1]]=1,[1]!T_AA[[#This Row],[IN'']]*[1]!T_AA[[#This Row],[Qde'']],"")</f>
        <v/>
      </c>
      <c r="AK494" s="132" t="str">
        <f>IF(Tab.o1[[#This Row],[a1]]=1,IF(AK$1=1,Tab.o1[[#This Row],[MED]]+Tab.o1[[#This Row],[MOD]]-Tab.o1[[#This Row],[MED]],""),"")</f>
        <v/>
      </c>
      <c r="AL494" s="133" t="str">
        <f>IF(Tab.o1[[#This Row],[a1]]=1,[1]!T.in.A[[#This Row],[oo16]],"")</f>
        <v/>
      </c>
      <c r="AM494" s="133" t="str">
        <f>IF(Tab.o1[[#This Row],[a1]]=1,IF(AM$3=1,[1]!T.in.A[[#This Row],[Σo16]],""),"")</f>
        <v/>
      </c>
      <c r="AN494" s="126" t="str">
        <f>IF(Tab.o1[[#This Row],[a1]]=1,[1]!T.in.A[[#This Row],[Σp5]],"")</f>
        <v/>
      </c>
      <c r="AO494" s="126" t="str">
        <f>IF(Tab.o1[[#This Row],[a1]]=1,IF(AO$3=1,[1]!T.in.A[[#This Row],[Σp5]],""),"")</f>
        <v/>
      </c>
      <c r="AP494" s="110" t="str">
        <f>IF(Tab.o1[[#This Row],[a1]]=1,IF(ISNUMBER(Tab.o1[[#This Row],[i.]]),NORMDIST(Tab.o1[[#This Row],[Za]],0,1,FALSE)*Tab.o1[[#This Row],[i.]],0),"")</f>
        <v/>
      </c>
      <c r="AQ494" s="125" t="str">
        <f>IF(Tab.o1[[#This Row],[a1]]=1,ABS(Tab.o1[[#This Row],[MOD]]-AVERAGE(Tab.o1[MOD])),"")</f>
        <v/>
      </c>
      <c r="AR494" s="134" t="str">
        <f>IF(Tab.o1[[#This Row],[a1]]=1,Tab.o1[[#This Row],[OBS]]/SUM(Tab.o1[OBS]),"")</f>
        <v/>
      </c>
      <c r="AS494" s="135" t="str">
        <f>IF(ISNUMBER(Tab.o1[[#This Row],[a1]]),ROW()-4,"")</f>
        <v/>
      </c>
      <c r="AT494" s="136" t="str">
        <f>Tab.o1[[#This Row],[MOD]]</f>
        <v/>
      </c>
      <c r="AU494" s="137" t="str">
        <f t="shared" si="29"/>
        <v/>
      </c>
      <c r="AV494" s="138" t="str">
        <f t="shared" si="30"/>
        <v/>
      </c>
      <c r="AW494" s="138" t="str">
        <f t="shared" si="31"/>
        <v/>
      </c>
      <c r="AX494" s="139" t="str">
        <f>[1]!T.in.A[[#This Row],[ID_T_manu]]</f>
        <v/>
      </c>
      <c r="AY494" s="140" t="str">
        <f>IF(ISNUMBER(Tab.o1[[#This Row],[a1]]),IF(AND(Tab.o1[[#This Row],[a1]]=1,Tab.o1[[#This Row],[b1]]&lt;=AY$4),#REF!,AY493),"")</f>
        <v/>
      </c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</row>
    <row r="495" spans="1:79" ht="15.75" hidden="1">
      <c r="A495" s="109">
        <v>-5.9999999999999993E-6</v>
      </c>
      <c r="B495" s="110">
        <f t="shared" si="28"/>
        <v>495</v>
      </c>
      <c r="C495" s="111" t="str">
        <f>IF(C$1=[1]!T.in.A[[#This Row],[oo2]],1,"")</f>
        <v/>
      </c>
      <c r="D495" s="112" t="str">
        <f>IF(Tab.o1[[#This Row],[a1]]=1,IF(SUM(C495:C496)=0,0,IF(SUM(C494:C495)=1,1,IF(SUM(C494:C496)&gt;1,D494+1,0))),"")</f>
        <v/>
      </c>
      <c r="E495" s="113" t="str">
        <f>IF(Tab.o1[[#This Row],[a1]]=1,[1]!T.in.A[[#This Row],[oo1]],"")</f>
        <v/>
      </c>
      <c r="F495" s="113" t="str">
        <f>IF(Tab.o1[[#This Row],[a1]]=1,[1]!T.in.A[[#This Row],[pp1]],"")</f>
        <v/>
      </c>
      <c r="G495" s="114" t="str">
        <f>IF(Tab.o1[[#This Row],[a1]]=1,G$2+IF(G$1=1,0,Tab.o1[[#This Row],[.x1]])+[1]!T.in.A[[#This Row],[oo3]],"")</f>
        <v/>
      </c>
      <c r="H495" s="115" t="str">
        <f>IF(Tab.o1[[#This Row],[a1]]=1,IF(H$2=0,0,IF(G$1=1,0,Tab.o1[[#This Row],[.x1]])+[1]!T.in.A[[#This Row],[oo4]]),"")</f>
        <v/>
      </c>
      <c r="I495" s="116" t="str">
        <f>IF(Tab.o1[[#This Row],[a1]]=1,IF(J$2=0,Tab.o1[[#This Row],[MED]],Tab.o1[[#This Row],[MOD]]),"")</f>
        <v/>
      </c>
      <c r="J495" s="116" t="str">
        <f>IF(Tab.o1[[#This Row],[a1]]=1,((Tab.o1[[#This Row],[DIF_Target.]]-AVERAGE(Tab.o1[DIF_Target.]))/_xlfn.STDEV.P(Tab.o1[DIF_Target.])),"")</f>
        <v/>
      </c>
      <c r="K495" s="117" t="str">
        <f>IF(Tab.o1[[#This Row],[a1]]=1,IF(J$2=0,Tab.o1[[#This Row],[MOD]]-Tab.o1[[#This Row],[B]],IF(J$2=1,0,-Tab.o1[[#This Row],[MED]])+Tab.o1[[#This Row],[B]]),"")</f>
        <v/>
      </c>
      <c r="L495" s="117" t="str">
        <f ca="1">IF(Tab.o1[[#This Row],[DIF_Target]]=0,IF(L$2=0,Tab.o1[[#This Row],[DIF_Target]],AVERAGE(OFFSET(Tab.o1[[#This Row],[DIF_Target]],1,0,L$3,1)))/3,Tab.o1[[#This Row],[DIF_Target]])</f>
        <v/>
      </c>
      <c r="M495" s="118" t="str">
        <f>IF(Tab.o1[[#This Row],[a1]]=1,NORMSDIST(Tab.o1[[#This Row],[Za]]),"")</f>
        <v/>
      </c>
      <c r="N495" s="119" t="str">
        <f>IF(Tab.o1[[#This Row],[a1]]=1,((Tab.o1[[#This Row],[MedMod]]-AVERAGE(Tab.o1[MedMod]))/_xlfn.STDEV.P(Tab.o1[MedMod])*H$1205)+G$1205,"")</f>
        <v/>
      </c>
      <c r="O495" s="141" t="str">
        <f>IF(Tab.o1[[#This Row],[a1]]=1,Tab.o1[[#This Row],[Zb]]*_xlfn.STDEV.P(Tab.o1[MedMod])+AVERAGE(Tab.o1[MedMod]),"")</f>
        <v/>
      </c>
      <c r="P495" s="117" t="str">
        <f ca="1">IF(Tab.o1[[#This Row],[B]]=0,AVERAGE(OFFSET(Tab.o1[[#This Row],[B]],1,0,L$3,1)),Tab.o1[[#This Row],[B]])</f>
        <v/>
      </c>
      <c r="Q495" s="121" t="str">
        <f>IF(Tab.o1[[#This Row],[a1]]=1,NORMSDIST(Tab.o1[[#This Row],[Zb]]),"")</f>
        <v/>
      </c>
      <c r="R495" s="122" t="str">
        <f>IF(Tab.o1[[#This Row],[a1]]=1,((Tab.o1[[#This Row],[MedMod]]-AVERAGE(Tab.o1[MedMod]))/_xlfn.STDEV.P(Tab.o1[MedMod])*H$1203)+G$1203,"")</f>
        <v/>
      </c>
      <c r="S495" s="122" t="str">
        <f>IF(Tab.o1[[#This Row],[a1]]=1,((Tab.o1[[#This Row],[MedMod]]-AVERAGE(Tab.o1[MedMod]))/_xlfn.STDEV.P(Tab.o1[MedMod])*H$1204)+G$1204,"")</f>
        <v/>
      </c>
      <c r="T495" s="123" t="str">
        <f>IF(Tab.o1[[#This Row],[a1]]=1,Tab.o1[[#This Row],[Z-]]*_xlfn.STDEV.P(Tab.o1[B])+AVERAGE(Tab.o1[B]),"")</f>
        <v/>
      </c>
      <c r="U495" s="123" t="str">
        <f>IF(Tab.o1[[#This Row],[a1]]=1,Tab.o1[[#This Row],[z+]]*_xlfn.STDEV.P(Tab.o1[B])+AVERAGE(Tab.o1[B]),"")</f>
        <v/>
      </c>
      <c r="V495" s="124" t="str">
        <f>IF(Tab.o1[[#This Row],[a1]]=1,ABS((ABS(Tab.o1[[#This Row],[Red]]-Tab.o1[[#This Row],[Blue]]))),"")</f>
        <v/>
      </c>
      <c r="W495" s="125" t="str">
        <f>IF(Tab.o1[[#This Row],[a1]]=1,IF(W$3=0,1,Tab.o1[[#This Row],[Amp.]]*1/_xlfn.MINIFS(Tab.o1[Amp.],Tab.o1[Amp.],"&lt;&gt;0")),"")</f>
        <v/>
      </c>
      <c r="X495" s="126" t="str">
        <f>IF(Tab.o1[[#This Row],[a1]]=1,IF(ISNUMBER(Tab.o1[[#This Row],[i.]]),NORMDIST(Tab.o1[[#This Row],[Za]],0,1,FALSE)*Tab.o1[[#This Row],[i.]],AP$3),"")</f>
        <v/>
      </c>
      <c r="Y495" s="126" t="str">
        <f>IF(Tab.o1[[#This Row],[a1]]=1,0.01+0.94*Tab.o1[[#This Row],[PDF]]/MAX(Tab.o1[PDF]),"")</f>
        <v/>
      </c>
      <c r="Z495" s="126" t="str">
        <f>IF(Tab.o1[[#This Row],[a1]]=1,0.01+0.94*Tab.o1[[#This Row],[W1_PDF]]/MAX(Tab.o1[W1_PDF]),"")</f>
        <v/>
      </c>
      <c r="AA495" s="118" t="str">
        <f>IF(Tab.o1[[#This Row],[a1]]=1,ABS([1]!T.in.A[[#This Row],[oo6]]),"")</f>
        <v/>
      </c>
      <c r="AB495" s="127" t="str">
        <f>IF(Tab.o1[[#This Row],[a1]]=1,IF(AE$3=0,"",IF(AB$3=0,ABS([1]!T.in.A[[#This Row],[oo9]]),ABS(Tab.o1[[#This Row],[DIF_Target.]]*Tab.o1[[#This Row],[W1_PDF]]))),"")</f>
        <v/>
      </c>
      <c r="AC495" s="127" t="str">
        <f>IF(G$1=1,"",IF(Tab.o1[[#This Row],[a1]]=1,Tab.o1[[#This Row],[Wr]]^2,""))</f>
        <v/>
      </c>
      <c r="AD495" s="118" t="str">
        <f>IF(Tab.o1[[#This Row],[a1]]=1,IF(AE$3=0,"",Tab.o1[[#This Row],[Wr2]]/SUM(Tab.o1[Wr2])),"")</f>
        <v/>
      </c>
      <c r="AE495" s="128" t="str">
        <f>IF(Tab.o1[[#This Row],[a1]]=1,[1]!T.in.A[[#This Row],[oo10]],"")</f>
        <v/>
      </c>
      <c r="AF495" s="118" t="str">
        <f>IF(Tab.o1[[#This Row],[a1]]=1,ABS(Tab.o1[[#This Row],[DIF_Target.]]*Tab.o1[[#This Row],[PDF2]]*Tab.o1[[#This Row],[IN]]),"")</f>
        <v/>
      </c>
      <c r="AG495" s="129" t="str">
        <f>IF(Tab.o1[[#This Row],[a1]]=1,Tab.o1[[#This Row],[rW]]^2,"")</f>
        <v/>
      </c>
      <c r="AH495" s="130" t="str">
        <f>IF(Tab.o1[[#This Row],[a1]]=1,IF(AH$3=0,Tab.o1[[#This Row],[rW2]],0.01+0.94*Tab.o1[[#This Row],[rW2]]/SUM(Tab.o1[rW2])),"")</f>
        <v/>
      </c>
      <c r="AI495" s="128" t="str">
        <f>IF(Tab.o1[[#This Row],[a1]]=1,1/Tab.o1[[#This Row],[PDF]],"")</f>
        <v/>
      </c>
      <c r="AJ495" s="131" t="str">
        <f>IF(Tab.o1[[#This Row],[a1]]=1,[1]!T_AA[[#This Row],[IN'']]*[1]!T_AA[[#This Row],[Qde'']],"")</f>
        <v/>
      </c>
      <c r="AK495" s="132" t="str">
        <f>IF(Tab.o1[[#This Row],[a1]]=1,IF(AK$1=1,Tab.o1[[#This Row],[MED]]+Tab.o1[[#This Row],[MOD]]-Tab.o1[[#This Row],[MED]],""),"")</f>
        <v/>
      </c>
      <c r="AL495" s="133" t="str">
        <f>IF(Tab.o1[[#This Row],[a1]]=1,[1]!T.in.A[[#This Row],[oo16]],"")</f>
        <v/>
      </c>
      <c r="AM495" s="133" t="str">
        <f>IF(Tab.o1[[#This Row],[a1]]=1,IF(AM$3=1,[1]!T.in.A[[#This Row],[Σo16]],""),"")</f>
        <v/>
      </c>
      <c r="AN495" s="126" t="str">
        <f>IF(Tab.o1[[#This Row],[a1]]=1,[1]!T.in.A[[#This Row],[Σp5]],"")</f>
        <v/>
      </c>
      <c r="AO495" s="126" t="str">
        <f>IF(Tab.o1[[#This Row],[a1]]=1,IF(AO$3=1,[1]!T.in.A[[#This Row],[Σp5]],""),"")</f>
        <v/>
      </c>
      <c r="AP495" s="110" t="str">
        <f>IF(Tab.o1[[#This Row],[a1]]=1,IF(ISNUMBER(Tab.o1[[#This Row],[i.]]),NORMDIST(Tab.o1[[#This Row],[Za]],0,1,FALSE)*Tab.o1[[#This Row],[i.]],0),"")</f>
        <v/>
      </c>
      <c r="AQ495" s="125" t="str">
        <f>IF(Tab.o1[[#This Row],[a1]]=1,ABS(Tab.o1[[#This Row],[MOD]]-AVERAGE(Tab.o1[MOD])),"")</f>
        <v/>
      </c>
      <c r="AR495" s="134" t="str">
        <f>IF(Tab.o1[[#This Row],[a1]]=1,Tab.o1[[#This Row],[OBS]]/SUM(Tab.o1[OBS]),"")</f>
        <v/>
      </c>
      <c r="AS495" s="135" t="str">
        <f>IF(ISNUMBER(Tab.o1[[#This Row],[a1]]),ROW()-4,"")</f>
        <v/>
      </c>
      <c r="AT495" s="136" t="str">
        <f>Tab.o1[[#This Row],[MOD]]</f>
        <v/>
      </c>
      <c r="AU495" s="137" t="str">
        <f t="shared" si="29"/>
        <v/>
      </c>
      <c r="AV495" s="138" t="str">
        <f t="shared" si="30"/>
        <v/>
      </c>
      <c r="AW495" s="138" t="str">
        <f t="shared" si="31"/>
        <v/>
      </c>
      <c r="AX495" s="139" t="str">
        <f>[1]!T.in.A[[#This Row],[ID_T_manu]]</f>
        <v/>
      </c>
      <c r="AY495" s="140" t="str">
        <f>IF(ISNUMBER(Tab.o1[[#This Row],[a1]]),IF(AND(Tab.o1[[#This Row],[a1]]=1,Tab.o1[[#This Row],[b1]]&lt;=AY$4),#REF!,AY494),"")</f>
        <v/>
      </c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</row>
    <row r="496" spans="1:79" ht="15.75" hidden="1">
      <c r="A496" s="109">
        <v>-2.0000000000000003E-6</v>
      </c>
      <c r="B496" s="110">
        <f t="shared" si="28"/>
        <v>496</v>
      </c>
      <c r="C496" s="111" t="str">
        <f>IF(C$1=[1]!T.in.A[[#This Row],[oo2]],1,"")</f>
        <v/>
      </c>
      <c r="D496" s="112" t="str">
        <f>IF(Tab.o1[[#This Row],[a1]]=1,IF(SUM(C496:C497)=0,0,IF(SUM(C495:C496)=1,1,IF(SUM(C495:C497)&gt;1,D495+1,0))),"")</f>
        <v/>
      </c>
      <c r="E496" s="113" t="str">
        <f>IF(Tab.o1[[#This Row],[a1]]=1,[1]!T.in.A[[#This Row],[oo1]],"")</f>
        <v/>
      </c>
      <c r="F496" s="113" t="str">
        <f>IF(Tab.o1[[#This Row],[a1]]=1,[1]!T.in.A[[#This Row],[pp1]],"")</f>
        <v/>
      </c>
      <c r="G496" s="114" t="str">
        <f>IF(Tab.o1[[#This Row],[a1]]=1,G$2+IF(G$1=1,0,Tab.o1[[#This Row],[.x1]])+[1]!T.in.A[[#This Row],[oo3]],"")</f>
        <v/>
      </c>
      <c r="H496" s="115" t="str">
        <f>IF(Tab.o1[[#This Row],[a1]]=1,IF(H$2=0,0,IF(G$1=1,0,Tab.o1[[#This Row],[.x1]])+[1]!T.in.A[[#This Row],[oo4]]),"")</f>
        <v/>
      </c>
      <c r="I496" s="116" t="str">
        <f>IF(Tab.o1[[#This Row],[a1]]=1,IF(J$2=0,Tab.o1[[#This Row],[MED]],Tab.o1[[#This Row],[MOD]]),"")</f>
        <v/>
      </c>
      <c r="J496" s="116" t="str">
        <f>IF(Tab.o1[[#This Row],[a1]]=1,((Tab.o1[[#This Row],[DIF_Target.]]-AVERAGE(Tab.o1[DIF_Target.]))/_xlfn.STDEV.P(Tab.o1[DIF_Target.])),"")</f>
        <v/>
      </c>
      <c r="K496" s="117" t="str">
        <f>IF(Tab.o1[[#This Row],[a1]]=1,IF(J$2=0,Tab.o1[[#This Row],[MOD]]-Tab.o1[[#This Row],[B]],IF(J$2=1,0,-Tab.o1[[#This Row],[MED]])+Tab.o1[[#This Row],[B]]),"")</f>
        <v/>
      </c>
      <c r="L496" s="117" t="str">
        <f ca="1">IF(Tab.o1[[#This Row],[DIF_Target]]=0,IF(L$2=0,Tab.o1[[#This Row],[DIF_Target]],AVERAGE(OFFSET(Tab.o1[[#This Row],[DIF_Target]],1,0,L$3,1)))/3,Tab.o1[[#This Row],[DIF_Target]])</f>
        <v/>
      </c>
      <c r="M496" s="118" t="str">
        <f>IF(Tab.o1[[#This Row],[a1]]=1,NORMSDIST(Tab.o1[[#This Row],[Za]]),"")</f>
        <v/>
      </c>
      <c r="N496" s="119" t="str">
        <f>IF(Tab.o1[[#This Row],[a1]]=1,((Tab.o1[[#This Row],[MedMod]]-AVERAGE(Tab.o1[MedMod]))/_xlfn.STDEV.P(Tab.o1[MedMod])*H$1205)+G$1205,"")</f>
        <v/>
      </c>
      <c r="O496" s="141" t="str">
        <f>IF(Tab.o1[[#This Row],[a1]]=1,Tab.o1[[#This Row],[Zb]]*_xlfn.STDEV.P(Tab.o1[MedMod])+AVERAGE(Tab.o1[MedMod]),"")</f>
        <v/>
      </c>
      <c r="P496" s="117" t="str">
        <f ca="1">IF(Tab.o1[[#This Row],[B]]=0,AVERAGE(OFFSET(Tab.o1[[#This Row],[B]],1,0,L$3,1)),Tab.o1[[#This Row],[B]])</f>
        <v/>
      </c>
      <c r="Q496" s="121" t="str">
        <f>IF(Tab.o1[[#This Row],[a1]]=1,NORMSDIST(Tab.o1[[#This Row],[Zb]]),"")</f>
        <v/>
      </c>
      <c r="R496" s="122" t="str">
        <f>IF(Tab.o1[[#This Row],[a1]]=1,((Tab.o1[[#This Row],[MedMod]]-AVERAGE(Tab.o1[MedMod]))/_xlfn.STDEV.P(Tab.o1[MedMod])*H$1203)+G$1203,"")</f>
        <v/>
      </c>
      <c r="S496" s="122" t="str">
        <f>IF(Tab.o1[[#This Row],[a1]]=1,((Tab.o1[[#This Row],[MedMod]]-AVERAGE(Tab.o1[MedMod]))/_xlfn.STDEV.P(Tab.o1[MedMod])*H$1204)+G$1204,"")</f>
        <v/>
      </c>
      <c r="T496" s="123" t="str">
        <f>IF(Tab.o1[[#This Row],[a1]]=1,Tab.o1[[#This Row],[Z-]]*_xlfn.STDEV.P(Tab.o1[B])+AVERAGE(Tab.o1[B]),"")</f>
        <v/>
      </c>
      <c r="U496" s="123" t="str">
        <f>IF(Tab.o1[[#This Row],[a1]]=1,Tab.o1[[#This Row],[z+]]*_xlfn.STDEV.P(Tab.o1[B])+AVERAGE(Tab.o1[B]),"")</f>
        <v/>
      </c>
      <c r="V496" s="124" t="str">
        <f>IF(Tab.o1[[#This Row],[a1]]=1,ABS((ABS(Tab.o1[[#This Row],[Red]]-Tab.o1[[#This Row],[Blue]]))),"")</f>
        <v/>
      </c>
      <c r="W496" s="125" t="str">
        <f>IF(Tab.o1[[#This Row],[a1]]=1,IF(W$3=0,1,Tab.o1[[#This Row],[Amp.]]*1/_xlfn.MINIFS(Tab.o1[Amp.],Tab.o1[Amp.],"&lt;&gt;0")),"")</f>
        <v/>
      </c>
      <c r="X496" s="126" t="str">
        <f>IF(Tab.o1[[#This Row],[a1]]=1,IF(ISNUMBER(Tab.o1[[#This Row],[i.]]),NORMDIST(Tab.o1[[#This Row],[Za]],0,1,FALSE)*Tab.o1[[#This Row],[i.]],AP$3),"")</f>
        <v/>
      </c>
      <c r="Y496" s="126" t="str">
        <f>IF(Tab.o1[[#This Row],[a1]]=1,0.01+0.94*Tab.o1[[#This Row],[PDF]]/MAX(Tab.o1[PDF]),"")</f>
        <v/>
      </c>
      <c r="Z496" s="126" t="str">
        <f>IF(Tab.o1[[#This Row],[a1]]=1,0.01+0.94*Tab.o1[[#This Row],[W1_PDF]]/MAX(Tab.o1[W1_PDF]),"")</f>
        <v/>
      </c>
      <c r="AA496" s="118" t="str">
        <f>IF(Tab.o1[[#This Row],[a1]]=1,ABS([1]!T.in.A[[#This Row],[oo6]]),"")</f>
        <v/>
      </c>
      <c r="AB496" s="127" t="str">
        <f>IF(Tab.o1[[#This Row],[a1]]=1,IF(AE$3=0,"",IF(AB$3=0,ABS([1]!T.in.A[[#This Row],[oo9]]),ABS(Tab.o1[[#This Row],[DIF_Target.]]*Tab.o1[[#This Row],[W1_PDF]]))),"")</f>
        <v/>
      </c>
      <c r="AC496" s="127" t="str">
        <f>IF(G$1=1,"",IF(Tab.o1[[#This Row],[a1]]=1,Tab.o1[[#This Row],[Wr]]^2,""))</f>
        <v/>
      </c>
      <c r="AD496" s="118" t="str">
        <f>IF(Tab.o1[[#This Row],[a1]]=1,IF(AE$3=0,"",Tab.o1[[#This Row],[Wr2]]/SUM(Tab.o1[Wr2])),"")</f>
        <v/>
      </c>
      <c r="AE496" s="128" t="str">
        <f>IF(Tab.o1[[#This Row],[a1]]=1,[1]!T.in.A[[#This Row],[oo10]],"")</f>
        <v/>
      </c>
      <c r="AF496" s="118" t="str">
        <f>IF(Tab.o1[[#This Row],[a1]]=1,ABS(Tab.o1[[#This Row],[DIF_Target.]]*Tab.o1[[#This Row],[PDF2]]*Tab.o1[[#This Row],[IN]]),"")</f>
        <v/>
      </c>
      <c r="AG496" s="129" t="str">
        <f>IF(Tab.o1[[#This Row],[a1]]=1,Tab.o1[[#This Row],[rW]]^2,"")</f>
        <v/>
      </c>
      <c r="AH496" s="130" t="str">
        <f>IF(Tab.o1[[#This Row],[a1]]=1,IF(AH$3=0,Tab.o1[[#This Row],[rW2]],0.01+0.94*Tab.o1[[#This Row],[rW2]]/SUM(Tab.o1[rW2])),"")</f>
        <v/>
      </c>
      <c r="AI496" s="128" t="str">
        <f>IF(Tab.o1[[#This Row],[a1]]=1,1/Tab.o1[[#This Row],[PDF]],"")</f>
        <v/>
      </c>
      <c r="AJ496" s="131" t="str">
        <f>IF(Tab.o1[[#This Row],[a1]]=1,[1]!T_AA[[#This Row],[IN'']]*[1]!T_AA[[#This Row],[Qde'']],"")</f>
        <v/>
      </c>
      <c r="AK496" s="132" t="str">
        <f>IF(Tab.o1[[#This Row],[a1]]=1,IF(AK$1=1,Tab.o1[[#This Row],[MED]]+Tab.o1[[#This Row],[MOD]]-Tab.o1[[#This Row],[MED]],""),"")</f>
        <v/>
      </c>
      <c r="AL496" s="133" t="str">
        <f>IF(Tab.o1[[#This Row],[a1]]=1,[1]!T.in.A[[#This Row],[oo16]],"")</f>
        <v/>
      </c>
      <c r="AM496" s="133" t="str">
        <f>IF(Tab.o1[[#This Row],[a1]]=1,IF(AM$3=1,[1]!T.in.A[[#This Row],[Σo16]],""),"")</f>
        <v/>
      </c>
      <c r="AN496" s="126" t="str">
        <f>IF(Tab.o1[[#This Row],[a1]]=1,[1]!T.in.A[[#This Row],[Σp5]],"")</f>
        <v/>
      </c>
      <c r="AO496" s="126" t="str">
        <f>IF(Tab.o1[[#This Row],[a1]]=1,IF(AO$3=1,[1]!T.in.A[[#This Row],[Σp5]],""),"")</f>
        <v/>
      </c>
      <c r="AP496" s="110" t="str">
        <f>IF(Tab.o1[[#This Row],[a1]]=1,IF(ISNUMBER(Tab.o1[[#This Row],[i.]]),NORMDIST(Tab.o1[[#This Row],[Za]],0,1,FALSE)*Tab.o1[[#This Row],[i.]],0),"")</f>
        <v/>
      </c>
      <c r="AQ496" s="125" t="str">
        <f>IF(Tab.o1[[#This Row],[a1]]=1,ABS(Tab.o1[[#This Row],[MOD]]-AVERAGE(Tab.o1[MOD])),"")</f>
        <v/>
      </c>
      <c r="AR496" s="134" t="str">
        <f>IF(Tab.o1[[#This Row],[a1]]=1,Tab.o1[[#This Row],[OBS]]/SUM(Tab.o1[OBS]),"")</f>
        <v/>
      </c>
      <c r="AS496" s="135" t="str">
        <f>IF(ISNUMBER(Tab.o1[[#This Row],[a1]]),ROW()-4,"")</f>
        <v/>
      </c>
      <c r="AT496" s="136" t="str">
        <f>Tab.o1[[#This Row],[MOD]]</f>
        <v/>
      </c>
      <c r="AU496" s="137" t="str">
        <f t="shared" si="29"/>
        <v/>
      </c>
      <c r="AV496" s="138" t="str">
        <f t="shared" si="30"/>
        <v/>
      </c>
      <c r="AW496" s="138" t="str">
        <f t="shared" si="31"/>
        <v/>
      </c>
      <c r="AX496" s="139" t="str">
        <f>[1]!T.in.A[[#This Row],[ID_T_manu]]</f>
        <v/>
      </c>
      <c r="AY496" s="140" t="str">
        <f>IF(ISNUMBER(Tab.o1[[#This Row],[a1]]),IF(AND(Tab.o1[[#This Row],[a1]]=1,Tab.o1[[#This Row],[b1]]&lt;=AY$4),#REF!,AY495),"")</f>
        <v/>
      </c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</row>
    <row r="497" spans="1:79" ht="15.75" hidden="1">
      <c r="A497" s="109">
        <v>6.9999999999999999E-6</v>
      </c>
      <c r="B497" s="110">
        <f t="shared" si="28"/>
        <v>497</v>
      </c>
      <c r="C497" s="111" t="str">
        <f>IF(C$1=[1]!T.in.A[[#This Row],[oo2]],1,"")</f>
        <v/>
      </c>
      <c r="D497" s="112" t="str">
        <f>IF(Tab.o1[[#This Row],[a1]]=1,IF(SUM(C497:C498)=0,0,IF(SUM(C496:C497)=1,1,IF(SUM(C496:C498)&gt;1,D496+1,0))),"")</f>
        <v/>
      </c>
      <c r="E497" s="113" t="str">
        <f>IF(Tab.o1[[#This Row],[a1]]=1,[1]!T.in.A[[#This Row],[oo1]],"")</f>
        <v/>
      </c>
      <c r="F497" s="113" t="str">
        <f>IF(Tab.o1[[#This Row],[a1]]=1,[1]!T.in.A[[#This Row],[pp1]],"")</f>
        <v/>
      </c>
      <c r="G497" s="114" t="str">
        <f>IF(Tab.o1[[#This Row],[a1]]=1,G$2+IF(G$1=1,0,Tab.o1[[#This Row],[.x1]])+[1]!T.in.A[[#This Row],[oo3]],"")</f>
        <v/>
      </c>
      <c r="H497" s="115" t="str">
        <f>IF(Tab.o1[[#This Row],[a1]]=1,IF(H$2=0,0,IF(G$1=1,0,Tab.o1[[#This Row],[.x1]])+[1]!T.in.A[[#This Row],[oo4]]),"")</f>
        <v/>
      </c>
      <c r="I497" s="116" t="str">
        <f>IF(Tab.o1[[#This Row],[a1]]=1,IF(J$2=0,Tab.o1[[#This Row],[MED]],Tab.o1[[#This Row],[MOD]]),"")</f>
        <v/>
      </c>
      <c r="J497" s="116" t="str">
        <f>IF(Tab.o1[[#This Row],[a1]]=1,((Tab.o1[[#This Row],[DIF_Target.]]-AVERAGE(Tab.o1[DIF_Target.]))/_xlfn.STDEV.P(Tab.o1[DIF_Target.])),"")</f>
        <v/>
      </c>
      <c r="K497" s="117" t="str">
        <f>IF(Tab.o1[[#This Row],[a1]]=1,IF(J$2=0,Tab.o1[[#This Row],[MOD]]-Tab.o1[[#This Row],[B]],IF(J$2=1,0,-Tab.o1[[#This Row],[MED]])+Tab.o1[[#This Row],[B]]),"")</f>
        <v/>
      </c>
      <c r="L497" s="117" t="str">
        <f ca="1">IF(Tab.o1[[#This Row],[DIF_Target]]=0,IF(L$2=0,Tab.o1[[#This Row],[DIF_Target]],AVERAGE(OFFSET(Tab.o1[[#This Row],[DIF_Target]],1,0,L$3,1)))/3,Tab.o1[[#This Row],[DIF_Target]])</f>
        <v/>
      </c>
      <c r="M497" s="118" t="str">
        <f>IF(Tab.o1[[#This Row],[a1]]=1,NORMSDIST(Tab.o1[[#This Row],[Za]]),"")</f>
        <v/>
      </c>
      <c r="N497" s="119" t="str">
        <f>IF(Tab.o1[[#This Row],[a1]]=1,((Tab.o1[[#This Row],[MedMod]]-AVERAGE(Tab.o1[MedMod]))/_xlfn.STDEV.P(Tab.o1[MedMod])*H$1205)+G$1205,"")</f>
        <v/>
      </c>
      <c r="O497" s="141" t="str">
        <f>IF(Tab.o1[[#This Row],[a1]]=1,Tab.o1[[#This Row],[Zb]]*_xlfn.STDEV.P(Tab.o1[MedMod])+AVERAGE(Tab.o1[MedMod]),"")</f>
        <v/>
      </c>
      <c r="P497" s="117" t="str">
        <f ca="1">IF(Tab.o1[[#This Row],[B]]=0,AVERAGE(OFFSET(Tab.o1[[#This Row],[B]],1,0,L$3,1)),Tab.o1[[#This Row],[B]])</f>
        <v/>
      </c>
      <c r="Q497" s="121" t="str">
        <f>IF(Tab.o1[[#This Row],[a1]]=1,NORMSDIST(Tab.o1[[#This Row],[Zb]]),"")</f>
        <v/>
      </c>
      <c r="R497" s="122" t="str">
        <f>IF(Tab.o1[[#This Row],[a1]]=1,((Tab.o1[[#This Row],[MedMod]]-AVERAGE(Tab.o1[MedMod]))/_xlfn.STDEV.P(Tab.o1[MedMod])*H$1203)+G$1203,"")</f>
        <v/>
      </c>
      <c r="S497" s="122" t="str">
        <f>IF(Tab.o1[[#This Row],[a1]]=1,((Tab.o1[[#This Row],[MedMod]]-AVERAGE(Tab.o1[MedMod]))/_xlfn.STDEV.P(Tab.o1[MedMod])*H$1204)+G$1204,"")</f>
        <v/>
      </c>
      <c r="T497" s="123" t="str">
        <f>IF(Tab.o1[[#This Row],[a1]]=1,Tab.o1[[#This Row],[Z-]]*_xlfn.STDEV.P(Tab.o1[B])+AVERAGE(Tab.o1[B]),"")</f>
        <v/>
      </c>
      <c r="U497" s="123" t="str">
        <f>IF(Tab.o1[[#This Row],[a1]]=1,Tab.o1[[#This Row],[z+]]*_xlfn.STDEV.P(Tab.o1[B])+AVERAGE(Tab.o1[B]),"")</f>
        <v/>
      </c>
      <c r="V497" s="124" t="str">
        <f>IF(Tab.o1[[#This Row],[a1]]=1,ABS((ABS(Tab.o1[[#This Row],[Red]]-Tab.o1[[#This Row],[Blue]]))),"")</f>
        <v/>
      </c>
      <c r="W497" s="125" t="str">
        <f>IF(Tab.o1[[#This Row],[a1]]=1,IF(W$3=0,1,Tab.o1[[#This Row],[Amp.]]*1/_xlfn.MINIFS(Tab.o1[Amp.],Tab.o1[Amp.],"&lt;&gt;0")),"")</f>
        <v/>
      </c>
      <c r="X497" s="126" t="str">
        <f>IF(Tab.o1[[#This Row],[a1]]=1,IF(ISNUMBER(Tab.o1[[#This Row],[i.]]),NORMDIST(Tab.o1[[#This Row],[Za]],0,1,FALSE)*Tab.o1[[#This Row],[i.]],AP$3),"")</f>
        <v/>
      </c>
      <c r="Y497" s="126" t="str">
        <f>IF(Tab.o1[[#This Row],[a1]]=1,0.01+0.94*Tab.o1[[#This Row],[PDF]]/MAX(Tab.o1[PDF]),"")</f>
        <v/>
      </c>
      <c r="Z497" s="126" t="str">
        <f>IF(Tab.o1[[#This Row],[a1]]=1,0.01+0.94*Tab.o1[[#This Row],[W1_PDF]]/MAX(Tab.o1[W1_PDF]),"")</f>
        <v/>
      </c>
      <c r="AA497" s="118" t="str">
        <f>IF(Tab.o1[[#This Row],[a1]]=1,ABS([1]!T.in.A[[#This Row],[oo6]]),"")</f>
        <v/>
      </c>
      <c r="AB497" s="127" t="str">
        <f>IF(Tab.o1[[#This Row],[a1]]=1,IF(AE$3=0,"",IF(AB$3=0,ABS([1]!T.in.A[[#This Row],[oo9]]),ABS(Tab.o1[[#This Row],[DIF_Target.]]*Tab.o1[[#This Row],[W1_PDF]]))),"")</f>
        <v/>
      </c>
      <c r="AC497" s="127" t="str">
        <f>IF(G$1=1,"",IF(Tab.o1[[#This Row],[a1]]=1,Tab.o1[[#This Row],[Wr]]^2,""))</f>
        <v/>
      </c>
      <c r="AD497" s="118" t="str">
        <f>IF(Tab.o1[[#This Row],[a1]]=1,IF(AE$3=0,"",Tab.o1[[#This Row],[Wr2]]/SUM(Tab.o1[Wr2])),"")</f>
        <v/>
      </c>
      <c r="AE497" s="128" t="str">
        <f>IF(Tab.o1[[#This Row],[a1]]=1,[1]!T.in.A[[#This Row],[oo10]],"")</f>
        <v/>
      </c>
      <c r="AF497" s="118" t="str">
        <f>IF(Tab.o1[[#This Row],[a1]]=1,ABS(Tab.o1[[#This Row],[DIF_Target.]]*Tab.o1[[#This Row],[PDF2]]*Tab.o1[[#This Row],[IN]]),"")</f>
        <v/>
      </c>
      <c r="AG497" s="129" t="str">
        <f>IF(Tab.o1[[#This Row],[a1]]=1,Tab.o1[[#This Row],[rW]]^2,"")</f>
        <v/>
      </c>
      <c r="AH497" s="130" t="str">
        <f>IF(Tab.o1[[#This Row],[a1]]=1,IF(AH$3=0,Tab.o1[[#This Row],[rW2]],0.01+0.94*Tab.o1[[#This Row],[rW2]]/SUM(Tab.o1[rW2])),"")</f>
        <v/>
      </c>
      <c r="AI497" s="128" t="str">
        <f>IF(Tab.o1[[#This Row],[a1]]=1,1/Tab.o1[[#This Row],[PDF]],"")</f>
        <v/>
      </c>
      <c r="AJ497" s="131" t="str">
        <f>IF(Tab.o1[[#This Row],[a1]]=1,[1]!T_AA[[#This Row],[IN'']]*[1]!T_AA[[#This Row],[Qde'']],"")</f>
        <v/>
      </c>
      <c r="AK497" s="132" t="str">
        <f>IF(Tab.o1[[#This Row],[a1]]=1,IF(AK$1=1,Tab.o1[[#This Row],[MED]]+Tab.o1[[#This Row],[MOD]]-Tab.o1[[#This Row],[MED]],""),"")</f>
        <v/>
      </c>
      <c r="AL497" s="133" t="str">
        <f>IF(Tab.o1[[#This Row],[a1]]=1,[1]!T.in.A[[#This Row],[oo16]],"")</f>
        <v/>
      </c>
      <c r="AM497" s="133" t="str">
        <f>IF(Tab.o1[[#This Row],[a1]]=1,IF(AM$3=1,[1]!T.in.A[[#This Row],[Σo16]],""),"")</f>
        <v/>
      </c>
      <c r="AN497" s="126" t="str">
        <f>IF(Tab.o1[[#This Row],[a1]]=1,[1]!T.in.A[[#This Row],[Σp5]],"")</f>
        <v/>
      </c>
      <c r="AO497" s="126" t="str">
        <f>IF(Tab.o1[[#This Row],[a1]]=1,IF(AO$3=1,[1]!T.in.A[[#This Row],[Σp5]],""),"")</f>
        <v/>
      </c>
      <c r="AP497" s="110" t="str">
        <f>IF(Tab.o1[[#This Row],[a1]]=1,IF(ISNUMBER(Tab.o1[[#This Row],[i.]]),NORMDIST(Tab.o1[[#This Row],[Za]],0,1,FALSE)*Tab.o1[[#This Row],[i.]],0),"")</f>
        <v/>
      </c>
      <c r="AQ497" s="125" t="str">
        <f>IF(Tab.o1[[#This Row],[a1]]=1,ABS(Tab.o1[[#This Row],[MOD]]-AVERAGE(Tab.o1[MOD])),"")</f>
        <v/>
      </c>
      <c r="AR497" s="134" t="str">
        <f>IF(Tab.o1[[#This Row],[a1]]=1,Tab.o1[[#This Row],[OBS]]/SUM(Tab.o1[OBS]),"")</f>
        <v/>
      </c>
      <c r="AS497" s="135" t="str">
        <f>IF(ISNUMBER(Tab.o1[[#This Row],[a1]]),ROW()-4,"")</f>
        <v/>
      </c>
      <c r="AT497" s="136" t="str">
        <f>Tab.o1[[#This Row],[MOD]]</f>
        <v/>
      </c>
      <c r="AU497" s="137" t="str">
        <f t="shared" si="29"/>
        <v/>
      </c>
      <c r="AV497" s="138" t="str">
        <f t="shared" si="30"/>
        <v/>
      </c>
      <c r="AW497" s="138" t="str">
        <f t="shared" si="31"/>
        <v/>
      </c>
      <c r="AX497" s="139" t="str">
        <f>[1]!T.in.A[[#This Row],[ID_T_manu]]</f>
        <v/>
      </c>
      <c r="AY497" s="140" t="str">
        <f>IF(ISNUMBER(Tab.o1[[#This Row],[a1]]),IF(AND(Tab.o1[[#This Row],[a1]]=1,Tab.o1[[#This Row],[b1]]&lt;=AY$4),#REF!,AY496),"")</f>
        <v/>
      </c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</row>
    <row r="498" spans="1:79" ht="15.75" hidden="1">
      <c r="A498" s="109">
        <v>4.0000000000000007E-6</v>
      </c>
      <c r="B498" s="110">
        <f t="shared" si="28"/>
        <v>498</v>
      </c>
      <c r="C498" s="111" t="str">
        <f>IF(C$1=[1]!T.in.A[[#This Row],[oo2]],1,"")</f>
        <v/>
      </c>
      <c r="D498" s="112" t="str">
        <f>IF(Tab.o1[[#This Row],[a1]]=1,IF(SUM(C498:C499)=0,0,IF(SUM(C497:C498)=1,1,IF(SUM(C497:C499)&gt;1,D497+1,0))),"")</f>
        <v/>
      </c>
      <c r="E498" s="113" t="str">
        <f>IF(Tab.o1[[#This Row],[a1]]=1,[1]!T.in.A[[#This Row],[oo1]],"")</f>
        <v/>
      </c>
      <c r="F498" s="113" t="str">
        <f>IF(Tab.o1[[#This Row],[a1]]=1,[1]!T.in.A[[#This Row],[pp1]],"")</f>
        <v/>
      </c>
      <c r="G498" s="114" t="str">
        <f>IF(Tab.o1[[#This Row],[a1]]=1,G$2+IF(G$1=1,0,Tab.o1[[#This Row],[.x1]])+[1]!T.in.A[[#This Row],[oo3]],"")</f>
        <v/>
      </c>
      <c r="H498" s="115" t="str">
        <f>IF(Tab.o1[[#This Row],[a1]]=1,IF(H$2=0,0,IF(G$1=1,0,Tab.o1[[#This Row],[.x1]])+[1]!T.in.A[[#This Row],[oo4]]),"")</f>
        <v/>
      </c>
      <c r="I498" s="116" t="str">
        <f>IF(Tab.o1[[#This Row],[a1]]=1,IF(J$2=0,Tab.o1[[#This Row],[MED]],Tab.o1[[#This Row],[MOD]]),"")</f>
        <v/>
      </c>
      <c r="J498" s="116" t="str">
        <f>IF(Tab.o1[[#This Row],[a1]]=1,((Tab.o1[[#This Row],[DIF_Target.]]-AVERAGE(Tab.o1[DIF_Target.]))/_xlfn.STDEV.P(Tab.o1[DIF_Target.])),"")</f>
        <v/>
      </c>
      <c r="K498" s="117" t="str">
        <f>IF(Tab.o1[[#This Row],[a1]]=1,IF(J$2=0,Tab.o1[[#This Row],[MOD]]-Tab.o1[[#This Row],[B]],IF(J$2=1,0,-Tab.o1[[#This Row],[MED]])+Tab.o1[[#This Row],[B]]),"")</f>
        <v/>
      </c>
      <c r="L498" s="117" t="str">
        <f ca="1">IF(Tab.o1[[#This Row],[DIF_Target]]=0,IF(L$2=0,Tab.o1[[#This Row],[DIF_Target]],AVERAGE(OFFSET(Tab.o1[[#This Row],[DIF_Target]],1,0,L$3,1)))/3,Tab.o1[[#This Row],[DIF_Target]])</f>
        <v/>
      </c>
      <c r="M498" s="118" t="str">
        <f>IF(Tab.o1[[#This Row],[a1]]=1,NORMSDIST(Tab.o1[[#This Row],[Za]]),"")</f>
        <v/>
      </c>
      <c r="N498" s="119" t="str">
        <f>IF(Tab.o1[[#This Row],[a1]]=1,((Tab.o1[[#This Row],[MedMod]]-AVERAGE(Tab.o1[MedMod]))/_xlfn.STDEV.P(Tab.o1[MedMod])*H$1205)+G$1205,"")</f>
        <v/>
      </c>
      <c r="O498" s="141" t="str">
        <f>IF(Tab.o1[[#This Row],[a1]]=1,Tab.o1[[#This Row],[Zb]]*_xlfn.STDEV.P(Tab.o1[MedMod])+AVERAGE(Tab.o1[MedMod]),"")</f>
        <v/>
      </c>
      <c r="P498" s="117" t="str">
        <f ca="1">IF(Tab.o1[[#This Row],[B]]=0,AVERAGE(OFFSET(Tab.o1[[#This Row],[B]],1,0,L$3,1)),Tab.o1[[#This Row],[B]])</f>
        <v/>
      </c>
      <c r="Q498" s="121" t="str">
        <f>IF(Tab.o1[[#This Row],[a1]]=1,NORMSDIST(Tab.o1[[#This Row],[Zb]]),"")</f>
        <v/>
      </c>
      <c r="R498" s="122" t="str">
        <f>IF(Tab.o1[[#This Row],[a1]]=1,((Tab.o1[[#This Row],[MedMod]]-AVERAGE(Tab.o1[MedMod]))/_xlfn.STDEV.P(Tab.o1[MedMod])*H$1203)+G$1203,"")</f>
        <v/>
      </c>
      <c r="S498" s="122" t="str">
        <f>IF(Tab.o1[[#This Row],[a1]]=1,((Tab.o1[[#This Row],[MedMod]]-AVERAGE(Tab.o1[MedMod]))/_xlfn.STDEV.P(Tab.o1[MedMod])*H$1204)+G$1204,"")</f>
        <v/>
      </c>
      <c r="T498" s="123" t="str">
        <f>IF(Tab.o1[[#This Row],[a1]]=1,Tab.o1[[#This Row],[Z-]]*_xlfn.STDEV.P(Tab.o1[B])+AVERAGE(Tab.o1[B]),"")</f>
        <v/>
      </c>
      <c r="U498" s="123" t="str">
        <f>IF(Tab.o1[[#This Row],[a1]]=1,Tab.o1[[#This Row],[z+]]*_xlfn.STDEV.P(Tab.o1[B])+AVERAGE(Tab.o1[B]),"")</f>
        <v/>
      </c>
      <c r="V498" s="124" t="str">
        <f>IF(Tab.o1[[#This Row],[a1]]=1,ABS((ABS(Tab.o1[[#This Row],[Red]]-Tab.o1[[#This Row],[Blue]]))),"")</f>
        <v/>
      </c>
      <c r="W498" s="125" t="str">
        <f>IF(Tab.o1[[#This Row],[a1]]=1,IF(W$3=0,1,Tab.o1[[#This Row],[Amp.]]*1/_xlfn.MINIFS(Tab.o1[Amp.],Tab.o1[Amp.],"&lt;&gt;0")),"")</f>
        <v/>
      </c>
      <c r="X498" s="126" t="str">
        <f>IF(Tab.o1[[#This Row],[a1]]=1,IF(ISNUMBER(Tab.o1[[#This Row],[i.]]),NORMDIST(Tab.o1[[#This Row],[Za]],0,1,FALSE)*Tab.o1[[#This Row],[i.]],AP$3),"")</f>
        <v/>
      </c>
      <c r="Y498" s="126" t="str">
        <f>IF(Tab.o1[[#This Row],[a1]]=1,0.01+0.94*Tab.o1[[#This Row],[PDF]]/MAX(Tab.o1[PDF]),"")</f>
        <v/>
      </c>
      <c r="Z498" s="126" t="str">
        <f>IF(Tab.o1[[#This Row],[a1]]=1,0.01+0.94*Tab.o1[[#This Row],[W1_PDF]]/MAX(Tab.o1[W1_PDF]),"")</f>
        <v/>
      </c>
      <c r="AA498" s="118" t="str">
        <f>IF(Tab.o1[[#This Row],[a1]]=1,ABS([1]!T.in.A[[#This Row],[oo6]]),"")</f>
        <v/>
      </c>
      <c r="AB498" s="127" t="str">
        <f>IF(Tab.o1[[#This Row],[a1]]=1,IF(AE$3=0,"",IF(AB$3=0,ABS([1]!T.in.A[[#This Row],[oo9]]),ABS(Tab.o1[[#This Row],[DIF_Target.]]*Tab.o1[[#This Row],[W1_PDF]]))),"")</f>
        <v/>
      </c>
      <c r="AC498" s="127" t="str">
        <f>IF(G$1=1,"",IF(Tab.o1[[#This Row],[a1]]=1,Tab.o1[[#This Row],[Wr]]^2,""))</f>
        <v/>
      </c>
      <c r="AD498" s="118" t="str">
        <f>IF(Tab.o1[[#This Row],[a1]]=1,IF(AE$3=0,"",Tab.o1[[#This Row],[Wr2]]/SUM(Tab.o1[Wr2])),"")</f>
        <v/>
      </c>
      <c r="AE498" s="128" t="str">
        <f>IF(Tab.o1[[#This Row],[a1]]=1,[1]!T.in.A[[#This Row],[oo10]],"")</f>
        <v/>
      </c>
      <c r="AF498" s="118" t="str">
        <f>IF(Tab.o1[[#This Row],[a1]]=1,ABS(Tab.o1[[#This Row],[DIF_Target.]]*Tab.o1[[#This Row],[PDF2]]*Tab.o1[[#This Row],[IN]]),"")</f>
        <v/>
      </c>
      <c r="AG498" s="129" t="str">
        <f>IF(Tab.o1[[#This Row],[a1]]=1,Tab.o1[[#This Row],[rW]]^2,"")</f>
        <v/>
      </c>
      <c r="AH498" s="130" t="str">
        <f>IF(Tab.o1[[#This Row],[a1]]=1,IF(AH$3=0,Tab.o1[[#This Row],[rW2]],0.01+0.94*Tab.o1[[#This Row],[rW2]]/SUM(Tab.o1[rW2])),"")</f>
        <v/>
      </c>
      <c r="AI498" s="128" t="str">
        <f>IF(Tab.o1[[#This Row],[a1]]=1,1/Tab.o1[[#This Row],[PDF]],"")</f>
        <v/>
      </c>
      <c r="AJ498" s="131" t="str">
        <f>IF(Tab.o1[[#This Row],[a1]]=1,[1]!T_AA[[#This Row],[IN'']]*[1]!T_AA[[#This Row],[Qde'']],"")</f>
        <v/>
      </c>
      <c r="AK498" s="132" t="str">
        <f>IF(Tab.o1[[#This Row],[a1]]=1,IF(AK$1=1,Tab.o1[[#This Row],[MED]]+Tab.o1[[#This Row],[MOD]]-Tab.o1[[#This Row],[MED]],""),"")</f>
        <v/>
      </c>
      <c r="AL498" s="133" t="str">
        <f>IF(Tab.o1[[#This Row],[a1]]=1,[1]!T.in.A[[#This Row],[oo16]],"")</f>
        <v/>
      </c>
      <c r="AM498" s="133" t="str">
        <f>IF(Tab.o1[[#This Row],[a1]]=1,IF(AM$3=1,[1]!T.in.A[[#This Row],[Σo16]],""),"")</f>
        <v/>
      </c>
      <c r="AN498" s="126" t="str">
        <f>IF(Tab.o1[[#This Row],[a1]]=1,[1]!T.in.A[[#This Row],[Σp5]],"")</f>
        <v/>
      </c>
      <c r="AO498" s="126" t="str">
        <f>IF(Tab.o1[[#This Row],[a1]]=1,IF(AO$3=1,[1]!T.in.A[[#This Row],[Σp5]],""),"")</f>
        <v/>
      </c>
      <c r="AP498" s="110" t="str">
        <f>IF(Tab.o1[[#This Row],[a1]]=1,IF(ISNUMBER(Tab.o1[[#This Row],[i.]]),NORMDIST(Tab.o1[[#This Row],[Za]],0,1,FALSE)*Tab.o1[[#This Row],[i.]],0),"")</f>
        <v/>
      </c>
      <c r="AQ498" s="125" t="str">
        <f>IF(Tab.o1[[#This Row],[a1]]=1,ABS(Tab.o1[[#This Row],[MOD]]-AVERAGE(Tab.o1[MOD])),"")</f>
        <v/>
      </c>
      <c r="AR498" s="134" t="str">
        <f>IF(Tab.o1[[#This Row],[a1]]=1,Tab.o1[[#This Row],[OBS]]/SUM(Tab.o1[OBS]),"")</f>
        <v/>
      </c>
      <c r="AS498" s="135" t="str">
        <f>IF(ISNUMBER(Tab.o1[[#This Row],[a1]]),ROW()-4,"")</f>
        <v/>
      </c>
      <c r="AT498" s="136" t="str">
        <f>Tab.o1[[#This Row],[MOD]]</f>
        <v/>
      </c>
      <c r="AU498" s="137" t="str">
        <f t="shared" si="29"/>
        <v/>
      </c>
      <c r="AV498" s="138" t="str">
        <f t="shared" si="30"/>
        <v/>
      </c>
      <c r="AW498" s="138" t="str">
        <f t="shared" si="31"/>
        <v/>
      </c>
      <c r="AX498" s="139" t="str">
        <f>[1]!T.in.A[[#This Row],[ID_T_manu]]</f>
        <v/>
      </c>
      <c r="AY498" s="140" t="str">
        <f>IF(ISNUMBER(Tab.o1[[#This Row],[a1]]),IF(AND(Tab.o1[[#This Row],[a1]]=1,Tab.o1[[#This Row],[b1]]&lt;=AY$4),#REF!,AY497),"")</f>
        <v/>
      </c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</row>
    <row r="499" spans="1:79" ht="15.75" hidden="1">
      <c r="A499" s="109">
        <v>1.0000000000000001E-5</v>
      </c>
      <c r="B499" s="110">
        <f t="shared" si="28"/>
        <v>499</v>
      </c>
      <c r="C499" s="111" t="str">
        <f>IF(C$1=[1]!T.in.A[[#This Row],[oo2]],1,"")</f>
        <v/>
      </c>
      <c r="D499" s="112" t="str">
        <f>IF(Tab.o1[[#This Row],[a1]]=1,IF(SUM(C499:C500)=0,0,IF(SUM(C498:C499)=1,1,IF(SUM(C498:C500)&gt;1,D498+1,0))),"")</f>
        <v/>
      </c>
      <c r="E499" s="113" t="str">
        <f>IF(Tab.o1[[#This Row],[a1]]=1,[1]!T.in.A[[#This Row],[oo1]],"")</f>
        <v/>
      </c>
      <c r="F499" s="113" t="str">
        <f>IF(Tab.o1[[#This Row],[a1]]=1,[1]!T.in.A[[#This Row],[pp1]],"")</f>
        <v/>
      </c>
      <c r="G499" s="114" t="str">
        <f>IF(Tab.o1[[#This Row],[a1]]=1,G$2+IF(G$1=1,0,Tab.o1[[#This Row],[.x1]])+[1]!T.in.A[[#This Row],[oo3]],"")</f>
        <v/>
      </c>
      <c r="H499" s="115" t="str">
        <f>IF(Tab.o1[[#This Row],[a1]]=1,IF(H$2=0,0,IF(G$1=1,0,Tab.o1[[#This Row],[.x1]])+[1]!T.in.A[[#This Row],[oo4]]),"")</f>
        <v/>
      </c>
      <c r="I499" s="116" t="str">
        <f>IF(Tab.o1[[#This Row],[a1]]=1,IF(J$2=0,Tab.o1[[#This Row],[MED]],Tab.o1[[#This Row],[MOD]]),"")</f>
        <v/>
      </c>
      <c r="J499" s="116" t="str">
        <f>IF(Tab.o1[[#This Row],[a1]]=1,((Tab.o1[[#This Row],[DIF_Target.]]-AVERAGE(Tab.o1[DIF_Target.]))/_xlfn.STDEV.P(Tab.o1[DIF_Target.])),"")</f>
        <v/>
      </c>
      <c r="K499" s="117" t="str">
        <f>IF(Tab.o1[[#This Row],[a1]]=1,IF(J$2=0,Tab.o1[[#This Row],[MOD]]-Tab.o1[[#This Row],[B]],IF(J$2=1,0,-Tab.o1[[#This Row],[MED]])+Tab.o1[[#This Row],[B]]),"")</f>
        <v/>
      </c>
      <c r="L499" s="117" t="str">
        <f ca="1">IF(Tab.o1[[#This Row],[DIF_Target]]=0,IF(L$2=0,Tab.o1[[#This Row],[DIF_Target]],AVERAGE(OFFSET(Tab.o1[[#This Row],[DIF_Target]],1,0,L$3,1)))/3,Tab.o1[[#This Row],[DIF_Target]])</f>
        <v/>
      </c>
      <c r="M499" s="118" t="str">
        <f>IF(Tab.o1[[#This Row],[a1]]=1,NORMSDIST(Tab.o1[[#This Row],[Za]]),"")</f>
        <v/>
      </c>
      <c r="N499" s="119" t="str">
        <f>IF(Tab.o1[[#This Row],[a1]]=1,((Tab.o1[[#This Row],[MedMod]]-AVERAGE(Tab.o1[MedMod]))/_xlfn.STDEV.P(Tab.o1[MedMod])*H$1205)+G$1205,"")</f>
        <v/>
      </c>
      <c r="O499" s="141" t="str">
        <f>IF(Tab.o1[[#This Row],[a1]]=1,Tab.o1[[#This Row],[Zb]]*_xlfn.STDEV.P(Tab.o1[MedMod])+AVERAGE(Tab.o1[MedMod]),"")</f>
        <v/>
      </c>
      <c r="P499" s="117" t="str">
        <f ca="1">IF(Tab.o1[[#This Row],[B]]=0,AVERAGE(OFFSET(Tab.o1[[#This Row],[B]],1,0,L$3,1)),Tab.o1[[#This Row],[B]])</f>
        <v/>
      </c>
      <c r="Q499" s="121" t="str">
        <f>IF(Tab.o1[[#This Row],[a1]]=1,NORMSDIST(Tab.o1[[#This Row],[Zb]]),"")</f>
        <v/>
      </c>
      <c r="R499" s="122" t="str">
        <f>IF(Tab.o1[[#This Row],[a1]]=1,((Tab.o1[[#This Row],[MedMod]]-AVERAGE(Tab.o1[MedMod]))/_xlfn.STDEV.P(Tab.o1[MedMod])*H$1203)+G$1203,"")</f>
        <v/>
      </c>
      <c r="S499" s="122" t="str">
        <f>IF(Tab.o1[[#This Row],[a1]]=1,((Tab.o1[[#This Row],[MedMod]]-AVERAGE(Tab.o1[MedMod]))/_xlfn.STDEV.P(Tab.o1[MedMod])*H$1204)+G$1204,"")</f>
        <v/>
      </c>
      <c r="T499" s="123" t="str">
        <f>IF(Tab.o1[[#This Row],[a1]]=1,Tab.o1[[#This Row],[Z-]]*_xlfn.STDEV.P(Tab.o1[B])+AVERAGE(Tab.o1[B]),"")</f>
        <v/>
      </c>
      <c r="U499" s="123" t="str">
        <f>IF(Tab.o1[[#This Row],[a1]]=1,Tab.o1[[#This Row],[z+]]*_xlfn.STDEV.P(Tab.o1[B])+AVERAGE(Tab.o1[B]),"")</f>
        <v/>
      </c>
      <c r="V499" s="124" t="str">
        <f>IF(Tab.o1[[#This Row],[a1]]=1,ABS((ABS(Tab.o1[[#This Row],[Red]]-Tab.o1[[#This Row],[Blue]]))),"")</f>
        <v/>
      </c>
      <c r="W499" s="125" t="str">
        <f>IF(Tab.o1[[#This Row],[a1]]=1,IF(W$3=0,1,Tab.o1[[#This Row],[Amp.]]*1/_xlfn.MINIFS(Tab.o1[Amp.],Tab.o1[Amp.],"&lt;&gt;0")),"")</f>
        <v/>
      </c>
      <c r="X499" s="126" t="str">
        <f>IF(Tab.o1[[#This Row],[a1]]=1,IF(ISNUMBER(Tab.o1[[#This Row],[i.]]),NORMDIST(Tab.o1[[#This Row],[Za]],0,1,FALSE)*Tab.o1[[#This Row],[i.]],AP$3),"")</f>
        <v/>
      </c>
      <c r="Y499" s="126" t="str">
        <f>IF(Tab.o1[[#This Row],[a1]]=1,0.01+0.94*Tab.o1[[#This Row],[PDF]]/MAX(Tab.o1[PDF]),"")</f>
        <v/>
      </c>
      <c r="Z499" s="126" t="str">
        <f>IF(Tab.o1[[#This Row],[a1]]=1,0.01+0.94*Tab.o1[[#This Row],[W1_PDF]]/MAX(Tab.o1[W1_PDF]),"")</f>
        <v/>
      </c>
      <c r="AA499" s="118" t="str">
        <f>IF(Tab.o1[[#This Row],[a1]]=1,ABS([1]!T.in.A[[#This Row],[oo6]]),"")</f>
        <v/>
      </c>
      <c r="AB499" s="127" t="str">
        <f>IF(Tab.o1[[#This Row],[a1]]=1,IF(AE$3=0,"",IF(AB$3=0,ABS([1]!T.in.A[[#This Row],[oo9]]),ABS(Tab.o1[[#This Row],[DIF_Target.]]*Tab.o1[[#This Row],[W1_PDF]]))),"")</f>
        <v/>
      </c>
      <c r="AC499" s="127" t="str">
        <f>IF(G$1=1,"",IF(Tab.o1[[#This Row],[a1]]=1,Tab.o1[[#This Row],[Wr]]^2,""))</f>
        <v/>
      </c>
      <c r="AD499" s="118" t="str">
        <f>IF(Tab.o1[[#This Row],[a1]]=1,IF(AE$3=0,"",Tab.o1[[#This Row],[Wr2]]/SUM(Tab.o1[Wr2])),"")</f>
        <v/>
      </c>
      <c r="AE499" s="128" t="str">
        <f>IF(Tab.o1[[#This Row],[a1]]=1,[1]!T.in.A[[#This Row],[oo10]],"")</f>
        <v/>
      </c>
      <c r="AF499" s="118" t="str">
        <f>IF(Tab.o1[[#This Row],[a1]]=1,ABS(Tab.o1[[#This Row],[DIF_Target.]]*Tab.o1[[#This Row],[PDF2]]*Tab.o1[[#This Row],[IN]]),"")</f>
        <v/>
      </c>
      <c r="AG499" s="129" t="str">
        <f>IF(Tab.o1[[#This Row],[a1]]=1,Tab.o1[[#This Row],[rW]]^2,"")</f>
        <v/>
      </c>
      <c r="AH499" s="130" t="str">
        <f>IF(Tab.o1[[#This Row],[a1]]=1,IF(AH$3=0,Tab.o1[[#This Row],[rW2]],0.01+0.94*Tab.o1[[#This Row],[rW2]]/SUM(Tab.o1[rW2])),"")</f>
        <v/>
      </c>
      <c r="AI499" s="128" t="str">
        <f>IF(Tab.o1[[#This Row],[a1]]=1,1/Tab.o1[[#This Row],[PDF]],"")</f>
        <v/>
      </c>
      <c r="AJ499" s="131" t="str">
        <f>IF(Tab.o1[[#This Row],[a1]]=1,[1]!T_AA[[#This Row],[IN'']]*[1]!T_AA[[#This Row],[Qde'']],"")</f>
        <v/>
      </c>
      <c r="AK499" s="132" t="str">
        <f>IF(Tab.o1[[#This Row],[a1]]=1,IF(AK$1=1,Tab.o1[[#This Row],[MED]]+Tab.o1[[#This Row],[MOD]]-Tab.o1[[#This Row],[MED]],""),"")</f>
        <v/>
      </c>
      <c r="AL499" s="133" t="str">
        <f>IF(Tab.o1[[#This Row],[a1]]=1,[1]!T.in.A[[#This Row],[oo16]],"")</f>
        <v/>
      </c>
      <c r="AM499" s="133" t="str">
        <f>IF(Tab.o1[[#This Row],[a1]]=1,IF(AM$3=1,[1]!T.in.A[[#This Row],[Σo16]],""),"")</f>
        <v/>
      </c>
      <c r="AN499" s="126" t="str">
        <f>IF(Tab.o1[[#This Row],[a1]]=1,[1]!T.in.A[[#This Row],[Σp5]],"")</f>
        <v/>
      </c>
      <c r="AO499" s="126" t="str">
        <f>IF(Tab.o1[[#This Row],[a1]]=1,IF(AO$3=1,[1]!T.in.A[[#This Row],[Σp5]],""),"")</f>
        <v/>
      </c>
      <c r="AP499" s="110" t="str">
        <f>IF(Tab.o1[[#This Row],[a1]]=1,IF(ISNUMBER(Tab.o1[[#This Row],[i.]]),NORMDIST(Tab.o1[[#This Row],[Za]],0,1,FALSE)*Tab.o1[[#This Row],[i.]],0),"")</f>
        <v/>
      </c>
      <c r="AQ499" s="125" t="str">
        <f>IF(Tab.o1[[#This Row],[a1]]=1,ABS(Tab.o1[[#This Row],[MOD]]-AVERAGE(Tab.o1[MOD])),"")</f>
        <v/>
      </c>
      <c r="AR499" s="134" t="str">
        <f>IF(Tab.o1[[#This Row],[a1]]=1,Tab.o1[[#This Row],[OBS]]/SUM(Tab.o1[OBS]),"")</f>
        <v/>
      </c>
      <c r="AS499" s="135" t="str">
        <f>IF(ISNUMBER(Tab.o1[[#This Row],[a1]]),ROW()-4,"")</f>
        <v/>
      </c>
      <c r="AT499" s="136" t="str">
        <f>Tab.o1[[#This Row],[MOD]]</f>
        <v/>
      </c>
      <c r="AU499" s="137" t="str">
        <f t="shared" si="29"/>
        <v/>
      </c>
      <c r="AV499" s="138" t="str">
        <f t="shared" si="30"/>
        <v/>
      </c>
      <c r="AW499" s="138" t="str">
        <f t="shared" si="31"/>
        <v/>
      </c>
      <c r="AX499" s="139" t="str">
        <f>[1]!T.in.A[[#This Row],[ID_T_manu]]</f>
        <v/>
      </c>
      <c r="AY499" s="140" t="str">
        <f>IF(ISNUMBER(Tab.o1[[#This Row],[a1]]),IF(AND(Tab.o1[[#This Row],[a1]]=1,Tab.o1[[#This Row],[b1]]&lt;=AY$4),#REF!,AY498),"")</f>
        <v/>
      </c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</row>
    <row r="500" spans="1:79" ht="15.75" hidden="1">
      <c r="A500" s="109">
        <v>6.9999999999999999E-6</v>
      </c>
      <c r="B500" s="110">
        <f t="shared" si="28"/>
        <v>500</v>
      </c>
      <c r="C500" s="111" t="str">
        <f>IF(C$1=[1]!T.in.A[[#This Row],[oo2]],1,"")</f>
        <v/>
      </c>
      <c r="D500" s="112" t="str">
        <f>IF(Tab.o1[[#This Row],[a1]]=1,IF(SUM(C500:C501)=0,0,IF(SUM(C499:C500)=1,1,IF(SUM(C499:C501)&gt;1,D499+1,0))),"")</f>
        <v/>
      </c>
      <c r="E500" s="113" t="str">
        <f>IF(Tab.o1[[#This Row],[a1]]=1,[1]!T.in.A[[#This Row],[oo1]],"")</f>
        <v/>
      </c>
      <c r="F500" s="113" t="str">
        <f>IF(Tab.o1[[#This Row],[a1]]=1,[1]!T.in.A[[#This Row],[pp1]],"")</f>
        <v/>
      </c>
      <c r="G500" s="114" t="str">
        <f>IF(Tab.o1[[#This Row],[a1]]=1,G$2+IF(G$1=1,0,Tab.o1[[#This Row],[.x1]])+[1]!T.in.A[[#This Row],[oo3]],"")</f>
        <v/>
      </c>
      <c r="H500" s="115" t="str">
        <f>IF(Tab.o1[[#This Row],[a1]]=1,IF(H$2=0,0,IF(G$1=1,0,Tab.o1[[#This Row],[.x1]])+[1]!T.in.A[[#This Row],[oo4]]),"")</f>
        <v/>
      </c>
      <c r="I500" s="116" t="str">
        <f>IF(Tab.o1[[#This Row],[a1]]=1,IF(J$2=0,Tab.o1[[#This Row],[MED]],Tab.o1[[#This Row],[MOD]]),"")</f>
        <v/>
      </c>
      <c r="J500" s="116" t="str">
        <f>IF(Tab.o1[[#This Row],[a1]]=1,((Tab.o1[[#This Row],[DIF_Target.]]-AVERAGE(Tab.o1[DIF_Target.]))/_xlfn.STDEV.P(Tab.o1[DIF_Target.])),"")</f>
        <v/>
      </c>
      <c r="K500" s="117" t="str">
        <f>IF(Tab.o1[[#This Row],[a1]]=1,IF(J$2=0,Tab.o1[[#This Row],[MOD]]-Tab.o1[[#This Row],[B]],IF(J$2=1,0,-Tab.o1[[#This Row],[MED]])+Tab.o1[[#This Row],[B]]),"")</f>
        <v/>
      </c>
      <c r="L500" s="117" t="str">
        <f ca="1">IF(Tab.o1[[#This Row],[DIF_Target]]=0,IF(L$2=0,Tab.o1[[#This Row],[DIF_Target]],AVERAGE(OFFSET(Tab.o1[[#This Row],[DIF_Target]],1,0,L$3,1)))/3,Tab.o1[[#This Row],[DIF_Target]])</f>
        <v/>
      </c>
      <c r="M500" s="118" t="str">
        <f>IF(Tab.o1[[#This Row],[a1]]=1,NORMSDIST(Tab.o1[[#This Row],[Za]]),"")</f>
        <v/>
      </c>
      <c r="N500" s="119" t="str">
        <f>IF(Tab.o1[[#This Row],[a1]]=1,((Tab.o1[[#This Row],[MedMod]]-AVERAGE(Tab.o1[MedMod]))/_xlfn.STDEV.P(Tab.o1[MedMod])*H$1205)+G$1205,"")</f>
        <v/>
      </c>
      <c r="O500" s="141" t="str">
        <f>IF(Tab.o1[[#This Row],[a1]]=1,Tab.o1[[#This Row],[Zb]]*_xlfn.STDEV.P(Tab.o1[MedMod])+AVERAGE(Tab.o1[MedMod]),"")</f>
        <v/>
      </c>
      <c r="P500" s="117" t="str">
        <f ca="1">IF(Tab.o1[[#This Row],[B]]=0,AVERAGE(OFFSET(Tab.o1[[#This Row],[B]],1,0,L$3,1)),Tab.o1[[#This Row],[B]])</f>
        <v/>
      </c>
      <c r="Q500" s="121" t="str">
        <f>IF(Tab.o1[[#This Row],[a1]]=1,NORMSDIST(Tab.o1[[#This Row],[Zb]]),"")</f>
        <v/>
      </c>
      <c r="R500" s="122" t="str">
        <f>IF(Tab.o1[[#This Row],[a1]]=1,((Tab.o1[[#This Row],[MedMod]]-AVERAGE(Tab.o1[MedMod]))/_xlfn.STDEV.P(Tab.o1[MedMod])*H$1203)+G$1203,"")</f>
        <v/>
      </c>
      <c r="S500" s="122" t="str">
        <f>IF(Tab.o1[[#This Row],[a1]]=1,((Tab.o1[[#This Row],[MedMod]]-AVERAGE(Tab.o1[MedMod]))/_xlfn.STDEV.P(Tab.o1[MedMod])*H$1204)+G$1204,"")</f>
        <v/>
      </c>
      <c r="T500" s="123" t="str">
        <f>IF(Tab.o1[[#This Row],[a1]]=1,Tab.o1[[#This Row],[Z-]]*_xlfn.STDEV.P(Tab.o1[B])+AVERAGE(Tab.o1[B]),"")</f>
        <v/>
      </c>
      <c r="U500" s="123" t="str">
        <f>IF(Tab.o1[[#This Row],[a1]]=1,Tab.o1[[#This Row],[z+]]*_xlfn.STDEV.P(Tab.o1[B])+AVERAGE(Tab.o1[B]),"")</f>
        <v/>
      </c>
      <c r="V500" s="124" t="str">
        <f>IF(Tab.o1[[#This Row],[a1]]=1,ABS((ABS(Tab.o1[[#This Row],[Red]]-Tab.o1[[#This Row],[Blue]]))),"")</f>
        <v/>
      </c>
      <c r="W500" s="125" t="str">
        <f>IF(Tab.o1[[#This Row],[a1]]=1,IF(W$3=0,1,Tab.o1[[#This Row],[Amp.]]*1/_xlfn.MINIFS(Tab.o1[Amp.],Tab.o1[Amp.],"&lt;&gt;0")),"")</f>
        <v/>
      </c>
      <c r="X500" s="126" t="str">
        <f>IF(Tab.o1[[#This Row],[a1]]=1,IF(ISNUMBER(Tab.o1[[#This Row],[i.]]),NORMDIST(Tab.o1[[#This Row],[Za]],0,1,FALSE)*Tab.o1[[#This Row],[i.]],AP$3),"")</f>
        <v/>
      </c>
      <c r="Y500" s="126" t="str">
        <f>IF(Tab.o1[[#This Row],[a1]]=1,0.01+0.94*Tab.o1[[#This Row],[PDF]]/MAX(Tab.o1[PDF]),"")</f>
        <v/>
      </c>
      <c r="Z500" s="126" t="str">
        <f>IF(Tab.o1[[#This Row],[a1]]=1,0.01+0.94*Tab.o1[[#This Row],[W1_PDF]]/MAX(Tab.o1[W1_PDF]),"")</f>
        <v/>
      </c>
      <c r="AA500" s="118" t="str">
        <f>IF(Tab.o1[[#This Row],[a1]]=1,ABS([1]!T.in.A[[#This Row],[oo6]]),"")</f>
        <v/>
      </c>
      <c r="AB500" s="127" t="str">
        <f>IF(Tab.o1[[#This Row],[a1]]=1,IF(AE$3=0,"",IF(AB$3=0,ABS([1]!T.in.A[[#This Row],[oo9]]),ABS(Tab.o1[[#This Row],[DIF_Target.]]*Tab.o1[[#This Row],[W1_PDF]]))),"")</f>
        <v/>
      </c>
      <c r="AC500" s="127" t="str">
        <f>IF(G$1=1,"",IF(Tab.o1[[#This Row],[a1]]=1,Tab.o1[[#This Row],[Wr]]^2,""))</f>
        <v/>
      </c>
      <c r="AD500" s="118" t="str">
        <f>IF(Tab.o1[[#This Row],[a1]]=1,IF(AE$3=0,"",Tab.o1[[#This Row],[Wr2]]/SUM(Tab.o1[Wr2])),"")</f>
        <v/>
      </c>
      <c r="AE500" s="128" t="str">
        <f>IF(Tab.o1[[#This Row],[a1]]=1,[1]!T.in.A[[#This Row],[oo10]],"")</f>
        <v/>
      </c>
      <c r="AF500" s="118" t="str">
        <f>IF(Tab.o1[[#This Row],[a1]]=1,ABS(Tab.o1[[#This Row],[DIF_Target.]]*Tab.o1[[#This Row],[PDF2]]*Tab.o1[[#This Row],[IN]]),"")</f>
        <v/>
      </c>
      <c r="AG500" s="129" t="str">
        <f>IF(Tab.o1[[#This Row],[a1]]=1,Tab.o1[[#This Row],[rW]]^2,"")</f>
        <v/>
      </c>
      <c r="AH500" s="130" t="str">
        <f>IF(Tab.o1[[#This Row],[a1]]=1,IF(AH$3=0,Tab.o1[[#This Row],[rW2]],0.01+0.94*Tab.o1[[#This Row],[rW2]]/SUM(Tab.o1[rW2])),"")</f>
        <v/>
      </c>
      <c r="AI500" s="128" t="str">
        <f>IF(Tab.o1[[#This Row],[a1]]=1,1/Tab.o1[[#This Row],[PDF]],"")</f>
        <v/>
      </c>
      <c r="AJ500" s="131" t="str">
        <f>IF(Tab.o1[[#This Row],[a1]]=1,[1]!T_AA[[#This Row],[IN'']]*[1]!T_AA[[#This Row],[Qde'']],"")</f>
        <v/>
      </c>
      <c r="AK500" s="132" t="str">
        <f>IF(Tab.o1[[#This Row],[a1]]=1,IF(AK$1=1,Tab.o1[[#This Row],[MED]]+Tab.o1[[#This Row],[MOD]]-Tab.o1[[#This Row],[MED]],""),"")</f>
        <v/>
      </c>
      <c r="AL500" s="133" t="str">
        <f>IF(Tab.o1[[#This Row],[a1]]=1,[1]!T.in.A[[#This Row],[oo16]],"")</f>
        <v/>
      </c>
      <c r="AM500" s="133" t="str">
        <f>IF(Tab.o1[[#This Row],[a1]]=1,IF(AM$3=1,[1]!T.in.A[[#This Row],[Σo16]],""),"")</f>
        <v/>
      </c>
      <c r="AN500" s="126" t="str">
        <f>IF(Tab.o1[[#This Row],[a1]]=1,[1]!T.in.A[[#This Row],[Σp5]],"")</f>
        <v/>
      </c>
      <c r="AO500" s="126" t="str">
        <f>IF(Tab.o1[[#This Row],[a1]]=1,IF(AO$3=1,[1]!T.in.A[[#This Row],[Σp5]],""),"")</f>
        <v/>
      </c>
      <c r="AP500" s="110" t="str">
        <f>IF(Tab.o1[[#This Row],[a1]]=1,IF(ISNUMBER(Tab.o1[[#This Row],[i.]]),NORMDIST(Tab.o1[[#This Row],[Za]],0,1,FALSE)*Tab.o1[[#This Row],[i.]],0),"")</f>
        <v/>
      </c>
      <c r="AQ500" s="125" t="str">
        <f>IF(Tab.o1[[#This Row],[a1]]=1,ABS(Tab.o1[[#This Row],[MOD]]-AVERAGE(Tab.o1[MOD])),"")</f>
        <v/>
      </c>
      <c r="AR500" s="134" t="str">
        <f>IF(Tab.o1[[#This Row],[a1]]=1,Tab.o1[[#This Row],[OBS]]/SUM(Tab.o1[OBS]),"")</f>
        <v/>
      </c>
      <c r="AS500" s="135" t="str">
        <f>IF(ISNUMBER(Tab.o1[[#This Row],[a1]]),ROW()-4,"")</f>
        <v/>
      </c>
      <c r="AT500" s="136" t="str">
        <f>Tab.o1[[#This Row],[MOD]]</f>
        <v/>
      </c>
      <c r="AU500" s="137" t="str">
        <f t="shared" si="29"/>
        <v/>
      </c>
      <c r="AV500" s="138" t="str">
        <f t="shared" si="30"/>
        <v/>
      </c>
      <c r="AW500" s="138" t="str">
        <f t="shared" si="31"/>
        <v/>
      </c>
      <c r="AX500" s="139" t="str">
        <f>[1]!T.in.A[[#This Row],[ID_T_manu]]</f>
        <v/>
      </c>
      <c r="AY500" s="140" t="str">
        <f>IF(ISNUMBER(Tab.o1[[#This Row],[a1]]),IF(AND(Tab.o1[[#This Row],[a1]]=1,Tab.o1[[#This Row],[b1]]&lt;=AY$4),#REF!,AY499),"")</f>
        <v/>
      </c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</row>
    <row r="501" spans="1:79" ht="15.75" hidden="1">
      <c r="A501" s="109">
        <v>-6.9999999999999999E-6</v>
      </c>
      <c r="B501" s="110">
        <f t="shared" si="28"/>
        <v>501</v>
      </c>
      <c r="C501" s="111" t="str">
        <f>IF(C$1=[1]!T.in.A[[#This Row],[oo2]],1,"")</f>
        <v/>
      </c>
      <c r="D501" s="112" t="str">
        <f>IF(Tab.o1[[#This Row],[a1]]=1,IF(SUM(C501:C502)=0,0,IF(SUM(C500:C501)=1,1,IF(SUM(C500:C502)&gt;1,D500+1,0))),"")</f>
        <v/>
      </c>
      <c r="E501" s="113" t="str">
        <f>IF(Tab.o1[[#This Row],[a1]]=1,[1]!T.in.A[[#This Row],[oo1]],"")</f>
        <v/>
      </c>
      <c r="F501" s="113" t="str">
        <f>IF(Tab.o1[[#This Row],[a1]]=1,[1]!T.in.A[[#This Row],[pp1]],"")</f>
        <v/>
      </c>
      <c r="G501" s="114" t="str">
        <f>IF(Tab.o1[[#This Row],[a1]]=1,G$2+IF(G$1=1,0,Tab.o1[[#This Row],[.x1]])+[1]!T.in.A[[#This Row],[oo3]],"")</f>
        <v/>
      </c>
      <c r="H501" s="115" t="str">
        <f>IF(Tab.o1[[#This Row],[a1]]=1,IF(H$2=0,0,IF(G$1=1,0,Tab.o1[[#This Row],[.x1]])+[1]!T.in.A[[#This Row],[oo4]]),"")</f>
        <v/>
      </c>
      <c r="I501" s="116" t="str">
        <f>IF(Tab.o1[[#This Row],[a1]]=1,IF(J$2=0,Tab.o1[[#This Row],[MED]],Tab.o1[[#This Row],[MOD]]),"")</f>
        <v/>
      </c>
      <c r="J501" s="116" t="str">
        <f>IF(Tab.o1[[#This Row],[a1]]=1,((Tab.o1[[#This Row],[DIF_Target.]]-AVERAGE(Tab.o1[DIF_Target.]))/_xlfn.STDEV.P(Tab.o1[DIF_Target.])),"")</f>
        <v/>
      </c>
      <c r="K501" s="117" t="str">
        <f>IF(Tab.o1[[#This Row],[a1]]=1,IF(J$2=0,Tab.o1[[#This Row],[MOD]]-Tab.o1[[#This Row],[B]],IF(J$2=1,0,-Tab.o1[[#This Row],[MED]])+Tab.o1[[#This Row],[B]]),"")</f>
        <v/>
      </c>
      <c r="L501" s="117" t="str">
        <f ca="1">IF(Tab.o1[[#This Row],[DIF_Target]]=0,IF(L$2=0,Tab.o1[[#This Row],[DIF_Target]],AVERAGE(OFFSET(Tab.o1[[#This Row],[DIF_Target]],1,0,L$3,1)))/3,Tab.o1[[#This Row],[DIF_Target]])</f>
        <v/>
      </c>
      <c r="M501" s="118" t="str">
        <f>IF(Tab.o1[[#This Row],[a1]]=1,NORMSDIST(Tab.o1[[#This Row],[Za]]),"")</f>
        <v/>
      </c>
      <c r="N501" s="119" t="str">
        <f>IF(Tab.o1[[#This Row],[a1]]=1,((Tab.o1[[#This Row],[MedMod]]-AVERAGE(Tab.o1[MedMod]))/_xlfn.STDEV.P(Tab.o1[MedMod])*H$1205)+G$1205,"")</f>
        <v/>
      </c>
      <c r="O501" s="141" t="str">
        <f>IF(Tab.o1[[#This Row],[a1]]=1,Tab.o1[[#This Row],[Zb]]*_xlfn.STDEV.P(Tab.o1[MedMod])+AVERAGE(Tab.o1[MedMod]),"")</f>
        <v/>
      </c>
      <c r="P501" s="117" t="str">
        <f ca="1">IF(Tab.o1[[#This Row],[B]]=0,AVERAGE(OFFSET(Tab.o1[[#This Row],[B]],1,0,L$3,1)),Tab.o1[[#This Row],[B]])</f>
        <v/>
      </c>
      <c r="Q501" s="121" t="str">
        <f>IF(Tab.o1[[#This Row],[a1]]=1,NORMSDIST(Tab.o1[[#This Row],[Zb]]),"")</f>
        <v/>
      </c>
      <c r="R501" s="122" t="str">
        <f>IF(Tab.o1[[#This Row],[a1]]=1,((Tab.o1[[#This Row],[MedMod]]-AVERAGE(Tab.o1[MedMod]))/_xlfn.STDEV.P(Tab.o1[MedMod])*H$1203)+G$1203,"")</f>
        <v/>
      </c>
      <c r="S501" s="122" t="str">
        <f>IF(Tab.o1[[#This Row],[a1]]=1,((Tab.o1[[#This Row],[MedMod]]-AVERAGE(Tab.o1[MedMod]))/_xlfn.STDEV.P(Tab.o1[MedMod])*H$1204)+G$1204,"")</f>
        <v/>
      </c>
      <c r="T501" s="123" t="str">
        <f>IF(Tab.o1[[#This Row],[a1]]=1,Tab.o1[[#This Row],[Z-]]*_xlfn.STDEV.P(Tab.o1[B])+AVERAGE(Tab.o1[B]),"")</f>
        <v/>
      </c>
      <c r="U501" s="123" t="str">
        <f>IF(Tab.o1[[#This Row],[a1]]=1,Tab.o1[[#This Row],[z+]]*_xlfn.STDEV.P(Tab.o1[B])+AVERAGE(Tab.o1[B]),"")</f>
        <v/>
      </c>
      <c r="V501" s="124" t="str">
        <f>IF(Tab.o1[[#This Row],[a1]]=1,ABS((ABS(Tab.o1[[#This Row],[Red]]-Tab.o1[[#This Row],[Blue]]))),"")</f>
        <v/>
      </c>
      <c r="W501" s="125" t="str">
        <f>IF(Tab.o1[[#This Row],[a1]]=1,IF(W$3=0,1,Tab.o1[[#This Row],[Amp.]]*1/_xlfn.MINIFS(Tab.o1[Amp.],Tab.o1[Amp.],"&lt;&gt;0")),"")</f>
        <v/>
      </c>
      <c r="X501" s="126" t="str">
        <f>IF(Tab.o1[[#This Row],[a1]]=1,IF(ISNUMBER(Tab.o1[[#This Row],[i.]]),NORMDIST(Tab.o1[[#This Row],[Za]],0,1,FALSE)*Tab.o1[[#This Row],[i.]],AP$3),"")</f>
        <v/>
      </c>
      <c r="Y501" s="126" t="str">
        <f>IF(Tab.o1[[#This Row],[a1]]=1,0.01+0.94*Tab.o1[[#This Row],[PDF]]/MAX(Tab.o1[PDF]),"")</f>
        <v/>
      </c>
      <c r="Z501" s="126" t="str">
        <f>IF(Tab.o1[[#This Row],[a1]]=1,0.01+0.94*Tab.o1[[#This Row],[W1_PDF]]/MAX(Tab.o1[W1_PDF]),"")</f>
        <v/>
      </c>
      <c r="AA501" s="118" t="str">
        <f>IF(Tab.o1[[#This Row],[a1]]=1,ABS([1]!T.in.A[[#This Row],[oo6]]),"")</f>
        <v/>
      </c>
      <c r="AB501" s="127" t="str">
        <f>IF(Tab.o1[[#This Row],[a1]]=1,IF(AE$3=0,"",IF(AB$3=0,ABS([1]!T.in.A[[#This Row],[oo9]]),ABS(Tab.o1[[#This Row],[DIF_Target.]]*Tab.o1[[#This Row],[W1_PDF]]))),"")</f>
        <v/>
      </c>
      <c r="AC501" s="127" t="str">
        <f>IF(G$1=1,"",IF(Tab.o1[[#This Row],[a1]]=1,Tab.o1[[#This Row],[Wr]]^2,""))</f>
        <v/>
      </c>
      <c r="AD501" s="118" t="str">
        <f>IF(Tab.o1[[#This Row],[a1]]=1,IF(AE$3=0,"",Tab.o1[[#This Row],[Wr2]]/SUM(Tab.o1[Wr2])),"")</f>
        <v/>
      </c>
      <c r="AE501" s="128" t="str">
        <f>IF(Tab.o1[[#This Row],[a1]]=1,[1]!T.in.A[[#This Row],[oo10]],"")</f>
        <v/>
      </c>
      <c r="AF501" s="118" t="str">
        <f>IF(Tab.o1[[#This Row],[a1]]=1,ABS(Tab.o1[[#This Row],[DIF_Target.]]*Tab.o1[[#This Row],[PDF2]]*Tab.o1[[#This Row],[IN]]),"")</f>
        <v/>
      </c>
      <c r="AG501" s="129" t="str">
        <f>IF(Tab.o1[[#This Row],[a1]]=1,Tab.o1[[#This Row],[rW]]^2,"")</f>
        <v/>
      </c>
      <c r="AH501" s="130" t="str">
        <f>IF(Tab.o1[[#This Row],[a1]]=1,IF(AH$3=0,Tab.o1[[#This Row],[rW2]],0.01+0.94*Tab.o1[[#This Row],[rW2]]/SUM(Tab.o1[rW2])),"")</f>
        <v/>
      </c>
      <c r="AI501" s="128" t="str">
        <f>IF(Tab.o1[[#This Row],[a1]]=1,1/Tab.o1[[#This Row],[PDF]],"")</f>
        <v/>
      </c>
      <c r="AJ501" s="131" t="str">
        <f>IF(Tab.o1[[#This Row],[a1]]=1,[1]!T_AA[[#This Row],[IN'']]*[1]!T_AA[[#This Row],[Qde'']],"")</f>
        <v/>
      </c>
      <c r="AK501" s="132" t="str">
        <f>IF(Tab.o1[[#This Row],[a1]]=1,IF(AK$1=1,Tab.o1[[#This Row],[MED]]+Tab.o1[[#This Row],[MOD]]-Tab.o1[[#This Row],[MED]],""),"")</f>
        <v/>
      </c>
      <c r="AL501" s="133" t="str">
        <f>IF(Tab.o1[[#This Row],[a1]]=1,[1]!T.in.A[[#This Row],[oo16]],"")</f>
        <v/>
      </c>
      <c r="AM501" s="133" t="str">
        <f>IF(Tab.o1[[#This Row],[a1]]=1,IF(AM$3=1,[1]!T.in.A[[#This Row],[Σo16]],""),"")</f>
        <v/>
      </c>
      <c r="AN501" s="126" t="str">
        <f>IF(Tab.o1[[#This Row],[a1]]=1,[1]!T.in.A[[#This Row],[Σp5]],"")</f>
        <v/>
      </c>
      <c r="AO501" s="126" t="str">
        <f>IF(Tab.o1[[#This Row],[a1]]=1,IF(AO$3=1,[1]!T.in.A[[#This Row],[Σp5]],""),"")</f>
        <v/>
      </c>
      <c r="AP501" s="110" t="str">
        <f>IF(Tab.o1[[#This Row],[a1]]=1,IF(ISNUMBER(Tab.o1[[#This Row],[i.]]),NORMDIST(Tab.o1[[#This Row],[Za]],0,1,FALSE)*Tab.o1[[#This Row],[i.]],0),"")</f>
        <v/>
      </c>
      <c r="AQ501" s="125" t="str">
        <f>IF(Tab.o1[[#This Row],[a1]]=1,ABS(Tab.o1[[#This Row],[MOD]]-AVERAGE(Tab.o1[MOD])),"")</f>
        <v/>
      </c>
      <c r="AR501" s="134" t="str">
        <f>IF(Tab.o1[[#This Row],[a1]]=1,Tab.o1[[#This Row],[OBS]]/SUM(Tab.o1[OBS]),"")</f>
        <v/>
      </c>
      <c r="AS501" s="135" t="str">
        <f>IF(ISNUMBER(Tab.o1[[#This Row],[a1]]),ROW()-4,"")</f>
        <v/>
      </c>
      <c r="AT501" s="136" t="str">
        <f>Tab.o1[[#This Row],[MOD]]</f>
        <v/>
      </c>
      <c r="AU501" s="137" t="str">
        <f t="shared" si="29"/>
        <v/>
      </c>
      <c r="AV501" s="138" t="str">
        <f t="shared" si="30"/>
        <v/>
      </c>
      <c r="AW501" s="138" t="str">
        <f t="shared" si="31"/>
        <v/>
      </c>
      <c r="AX501" s="139" t="str">
        <f>[1]!T.in.A[[#This Row],[ID_T_manu]]</f>
        <v/>
      </c>
      <c r="AY501" s="140" t="str">
        <f>IF(ISNUMBER(Tab.o1[[#This Row],[a1]]),IF(AND(Tab.o1[[#This Row],[a1]]=1,Tab.o1[[#This Row],[b1]]&lt;=AY$4),#REF!,AY500),"")</f>
        <v/>
      </c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</row>
    <row r="502" spans="1:79" ht="15.75" hidden="1">
      <c r="A502" s="109">
        <v>4.0000000000000007E-6</v>
      </c>
      <c r="B502" s="110">
        <f t="shared" si="28"/>
        <v>502</v>
      </c>
      <c r="C502" s="111" t="str">
        <f>IF(C$1=[1]!T.in.A[[#This Row],[oo2]],1,"")</f>
        <v/>
      </c>
      <c r="D502" s="112" t="str">
        <f>IF(Tab.o1[[#This Row],[a1]]=1,IF(SUM(C502:C503)=0,0,IF(SUM(C501:C502)=1,1,IF(SUM(C501:C503)&gt;1,D501+1,0))),"")</f>
        <v/>
      </c>
      <c r="E502" s="113" t="str">
        <f>IF(Tab.o1[[#This Row],[a1]]=1,[1]!T.in.A[[#This Row],[oo1]],"")</f>
        <v/>
      </c>
      <c r="F502" s="113" t="str">
        <f>IF(Tab.o1[[#This Row],[a1]]=1,[1]!T.in.A[[#This Row],[pp1]],"")</f>
        <v/>
      </c>
      <c r="G502" s="114" t="str">
        <f>IF(Tab.o1[[#This Row],[a1]]=1,G$2+IF(G$1=1,0,Tab.o1[[#This Row],[.x1]])+[1]!T.in.A[[#This Row],[oo3]],"")</f>
        <v/>
      </c>
      <c r="H502" s="115" t="str">
        <f>IF(Tab.o1[[#This Row],[a1]]=1,IF(H$2=0,0,IF(G$1=1,0,Tab.o1[[#This Row],[.x1]])+[1]!T.in.A[[#This Row],[oo4]]),"")</f>
        <v/>
      </c>
      <c r="I502" s="116" t="str">
        <f>IF(Tab.o1[[#This Row],[a1]]=1,IF(J$2=0,Tab.o1[[#This Row],[MED]],Tab.o1[[#This Row],[MOD]]),"")</f>
        <v/>
      </c>
      <c r="J502" s="116" t="str">
        <f>IF(Tab.o1[[#This Row],[a1]]=1,((Tab.o1[[#This Row],[DIF_Target.]]-AVERAGE(Tab.o1[DIF_Target.]))/_xlfn.STDEV.P(Tab.o1[DIF_Target.])),"")</f>
        <v/>
      </c>
      <c r="K502" s="117" t="str">
        <f>IF(Tab.o1[[#This Row],[a1]]=1,IF(J$2=0,Tab.o1[[#This Row],[MOD]]-Tab.o1[[#This Row],[B]],IF(J$2=1,0,-Tab.o1[[#This Row],[MED]])+Tab.o1[[#This Row],[B]]),"")</f>
        <v/>
      </c>
      <c r="L502" s="117" t="str">
        <f ca="1">IF(Tab.o1[[#This Row],[DIF_Target]]=0,IF(L$2=0,Tab.o1[[#This Row],[DIF_Target]],AVERAGE(OFFSET(Tab.o1[[#This Row],[DIF_Target]],1,0,L$3,1)))/3,Tab.o1[[#This Row],[DIF_Target]])</f>
        <v/>
      </c>
      <c r="M502" s="118" t="str">
        <f>IF(Tab.o1[[#This Row],[a1]]=1,NORMSDIST(Tab.o1[[#This Row],[Za]]),"")</f>
        <v/>
      </c>
      <c r="N502" s="119" t="str">
        <f>IF(Tab.o1[[#This Row],[a1]]=1,((Tab.o1[[#This Row],[MedMod]]-AVERAGE(Tab.o1[MedMod]))/_xlfn.STDEV.P(Tab.o1[MedMod])*H$1205)+G$1205,"")</f>
        <v/>
      </c>
      <c r="O502" s="141" t="str">
        <f>IF(Tab.o1[[#This Row],[a1]]=1,Tab.o1[[#This Row],[Zb]]*_xlfn.STDEV.P(Tab.o1[MedMod])+AVERAGE(Tab.o1[MedMod]),"")</f>
        <v/>
      </c>
      <c r="P502" s="117" t="str">
        <f ca="1">IF(Tab.o1[[#This Row],[B]]=0,AVERAGE(OFFSET(Tab.o1[[#This Row],[B]],1,0,L$3,1)),Tab.o1[[#This Row],[B]])</f>
        <v/>
      </c>
      <c r="Q502" s="121" t="str">
        <f>IF(Tab.o1[[#This Row],[a1]]=1,NORMSDIST(Tab.o1[[#This Row],[Zb]]),"")</f>
        <v/>
      </c>
      <c r="R502" s="122" t="str">
        <f>IF(Tab.o1[[#This Row],[a1]]=1,((Tab.o1[[#This Row],[MedMod]]-AVERAGE(Tab.o1[MedMod]))/_xlfn.STDEV.P(Tab.o1[MedMod])*H$1203)+G$1203,"")</f>
        <v/>
      </c>
      <c r="S502" s="122" t="str">
        <f>IF(Tab.o1[[#This Row],[a1]]=1,((Tab.o1[[#This Row],[MedMod]]-AVERAGE(Tab.o1[MedMod]))/_xlfn.STDEV.P(Tab.o1[MedMod])*H$1204)+G$1204,"")</f>
        <v/>
      </c>
      <c r="T502" s="123" t="str">
        <f>IF(Tab.o1[[#This Row],[a1]]=1,Tab.o1[[#This Row],[Z-]]*_xlfn.STDEV.P(Tab.o1[B])+AVERAGE(Tab.o1[B]),"")</f>
        <v/>
      </c>
      <c r="U502" s="123" t="str">
        <f>IF(Tab.o1[[#This Row],[a1]]=1,Tab.o1[[#This Row],[z+]]*_xlfn.STDEV.P(Tab.o1[B])+AVERAGE(Tab.o1[B]),"")</f>
        <v/>
      </c>
      <c r="V502" s="124" t="str">
        <f>IF(Tab.o1[[#This Row],[a1]]=1,ABS((ABS(Tab.o1[[#This Row],[Red]]-Tab.o1[[#This Row],[Blue]]))),"")</f>
        <v/>
      </c>
      <c r="W502" s="125" t="str">
        <f>IF(Tab.o1[[#This Row],[a1]]=1,IF(W$3=0,1,Tab.o1[[#This Row],[Amp.]]*1/_xlfn.MINIFS(Tab.o1[Amp.],Tab.o1[Amp.],"&lt;&gt;0")),"")</f>
        <v/>
      </c>
      <c r="X502" s="126" t="str">
        <f>IF(Tab.o1[[#This Row],[a1]]=1,IF(ISNUMBER(Tab.o1[[#This Row],[i.]]),NORMDIST(Tab.o1[[#This Row],[Za]],0,1,FALSE)*Tab.o1[[#This Row],[i.]],AP$3),"")</f>
        <v/>
      </c>
      <c r="Y502" s="126" t="str">
        <f>IF(Tab.o1[[#This Row],[a1]]=1,0.01+0.94*Tab.o1[[#This Row],[PDF]]/MAX(Tab.o1[PDF]),"")</f>
        <v/>
      </c>
      <c r="Z502" s="126" t="str">
        <f>IF(Tab.o1[[#This Row],[a1]]=1,0.01+0.94*Tab.o1[[#This Row],[W1_PDF]]/MAX(Tab.o1[W1_PDF]),"")</f>
        <v/>
      </c>
      <c r="AA502" s="118" t="str">
        <f>IF(Tab.o1[[#This Row],[a1]]=1,ABS([1]!T.in.A[[#This Row],[oo6]]),"")</f>
        <v/>
      </c>
      <c r="AB502" s="127" t="str">
        <f>IF(Tab.o1[[#This Row],[a1]]=1,IF(AE$3=0,"",IF(AB$3=0,ABS([1]!T.in.A[[#This Row],[oo9]]),ABS(Tab.o1[[#This Row],[DIF_Target.]]*Tab.o1[[#This Row],[W1_PDF]]))),"")</f>
        <v/>
      </c>
      <c r="AC502" s="127" t="str">
        <f>IF(G$1=1,"",IF(Tab.o1[[#This Row],[a1]]=1,Tab.o1[[#This Row],[Wr]]^2,""))</f>
        <v/>
      </c>
      <c r="AD502" s="118" t="str">
        <f>IF(Tab.o1[[#This Row],[a1]]=1,IF(AE$3=0,"",Tab.o1[[#This Row],[Wr2]]/SUM(Tab.o1[Wr2])),"")</f>
        <v/>
      </c>
      <c r="AE502" s="128" t="str">
        <f>IF(Tab.o1[[#This Row],[a1]]=1,[1]!T.in.A[[#This Row],[oo10]],"")</f>
        <v/>
      </c>
      <c r="AF502" s="118" t="str">
        <f>IF(Tab.o1[[#This Row],[a1]]=1,ABS(Tab.o1[[#This Row],[DIF_Target.]]*Tab.o1[[#This Row],[PDF2]]*Tab.o1[[#This Row],[IN]]),"")</f>
        <v/>
      </c>
      <c r="AG502" s="129" t="str">
        <f>IF(Tab.o1[[#This Row],[a1]]=1,Tab.o1[[#This Row],[rW]]^2,"")</f>
        <v/>
      </c>
      <c r="AH502" s="130" t="str">
        <f>IF(Tab.o1[[#This Row],[a1]]=1,IF(AH$3=0,Tab.o1[[#This Row],[rW2]],0.01+0.94*Tab.o1[[#This Row],[rW2]]/SUM(Tab.o1[rW2])),"")</f>
        <v/>
      </c>
      <c r="AI502" s="128" t="str">
        <f>IF(Tab.o1[[#This Row],[a1]]=1,1/Tab.o1[[#This Row],[PDF]],"")</f>
        <v/>
      </c>
      <c r="AJ502" s="131" t="str">
        <f>IF(Tab.o1[[#This Row],[a1]]=1,[1]!T_AA[[#This Row],[IN'']]*[1]!T_AA[[#This Row],[Qde'']],"")</f>
        <v/>
      </c>
      <c r="AK502" s="132" t="str">
        <f>IF(Tab.o1[[#This Row],[a1]]=1,IF(AK$1=1,Tab.o1[[#This Row],[MED]]+Tab.o1[[#This Row],[MOD]]-Tab.o1[[#This Row],[MED]],""),"")</f>
        <v/>
      </c>
      <c r="AL502" s="133" t="str">
        <f>IF(Tab.o1[[#This Row],[a1]]=1,[1]!T.in.A[[#This Row],[oo16]],"")</f>
        <v/>
      </c>
      <c r="AM502" s="133" t="str">
        <f>IF(Tab.o1[[#This Row],[a1]]=1,IF(AM$3=1,[1]!T.in.A[[#This Row],[Σo16]],""),"")</f>
        <v/>
      </c>
      <c r="AN502" s="126" t="str">
        <f>IF(Tab.o1[[#This Row],[a1]]=1,[1]!T.in.A[[#This Row],[Σp5]],"")</f>
        <v/>
      </c>
      <c r="AO502" s="126" t="str">
        <f>IF(Tab.o1[[#This Row],[a1]]=1,IF(AO$3=1,[1]!T.in.A[[#This Row],[Σp5]],""),"")</f>
        <v/>
      </c>
      <c r="AP502" s="110" t="str">
        <f>IF(Tab.o1[[#This Row],[a1]]=1,IF(ISNUMBER(Tab.o1[[#This Row],[i.]]),NORMDIST(Tab.o1[[#This Row],[Za]],0,1,FALSE)*Tab.o1[[#This Row],[i.]],0),"")</f>
        <v/>
      </c>
      <c r="AQ502" s="125" t="str">
        <f>IF(Tab.o1[[#This Row],[a1]]=1,ABS(Tab.o1[[#This Row],[MOD]]-AVERAGE(Tab.o1[MOD])),"")</f>
        <v/>
      </c>
      <c r="AR502" s="134" t="str">
        <f>IF(Tab.o1[[#This Row],[a1]]=1,Tab.o1[[#This Row],[OBS]]/SUM(Tab.o1[OBS]),"")</f>
        <v/>
      </c>
      <c r="AS502" s="135" t="str">
        <f>IF(ISNUMBER(Tab.o1[[#This Row],[a1]]),ROW()-4,"")</f>
        <v/>
      </c>
      <c r="AT502" s="136" t="str">
        <f>Tab.o1[[#This Row],[MOD]]</f>
        <v/>
      </c>
      <c r="AU502" s="137" t="str">
        <f t="shared" si="29"/>
        <v/>
      </c>
      <c r="AV502" s="138" t="str">
        <f t="shared" si="30"/>
        <v/>
      </c>
      <c r="AW502" s="138" t="str">
        <f t="shared" si="31"/>
        <v/>
      </c>
      <c r="AX502" s="139" t="str">
        <f>[1]!T.in.A[[#This Row],[ID_T_manu]]</f>
        <v/>
      </c>
      <c r="AY502" s="140" t="str">
        <f>IF(ISNUMBER(Tab.o1[[#This Row],[a1]]),IF(AND(Tab.o1[[#This Row],[a1]]=1,Tab.o1[[#This Row],[b1]]&lt;=AY$4),#REF!,AY501),"")</f>
        <v/>
      </c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</row>
    <row r="503" spans="1:79" ht="15.75" hidden="1">
      <c r="A503" s="109">
        <v>-2.0000000000000003E-6</v>
      </c>
      <c r="B503" s="110">
        <f t="shared" si="28"/>
        <v>503</v>
      </c>
      <c r="C503" s="111" t="str">
        <f>IF(C$1=[1]!T.in.A[[#This Row],[oo2]],1,"")</f>
        <v/>
      </c>
      <c r="D503" s="112" t="str">
        <f>IF(Tab.o1[[#This Row],[a1]]=1,IF(SUM(C503:C504)=0,0,IF(SUM(C502:C503)=1,1,IF(SUM(C502:C504)&gt;1,D502+1,0))),"")</f>
        <v/>
      </c>
      <c r="E503" s="113" t="str">
        <f>IF(Tab.o1[[#This Row],[a1]]=1,[1]!T.in.A[[#This Row],[oo1]],"")</f>
        <v/>
      </c>
      <c r="F503" s="113" t="str">
        <f>IF(Tab.o1[[#This Row],[a1]]=1,[1]!T.in.A[[#This Row],[pp1]],"")</f>
        <v/>
      </c>
      <c r="G503" s="114" t="str">
        <f>IF(Tab.o1[[#This Row],[a1]]=1,G$2+IF(G$1=1,0,Tab.o1[[#This Row],[.x1]])+[1]!T.in.A[[#This Row],[oo3]],"")</f>
        <v/>
      </c>
      <c r="H503" s="115" t="str">
        <f>IF(Tab.o1[[#This Row],[a1]]=1,IF(H$2=0,0,IF(G$1=1,0,Tab.o1[[#This Row],[.x1]])+[1]!T.in.A[[#This Row],[oo4]]),"")</f>
        <v/>
      </c>
      <c r="I503" s="116" t="str">
        <f>IF(Tab.o1[[#This Row],[a1]]=1,IF(J$2=0,Tab.o1[[#This Row],[MED]],Tab.o1[[#This Row],[MOD]]),"")</f>
        <v/>
      </c>
      <c r="J503" s="116" t="str">
        <f>IF(Tab.o1[[#This Row],[a1]]=1,((Tab.o1[[#This Row],[DIF_Target.]]-AVERAGE(Tab.o1[DIF_Target.]))/_xlfn.STDEV.P(Tab.o1[DIF_Target.])),"")</f>
        <v/>
      </c>
      <c r="K503" s="117" t="str">
        <f>IF(Tab.o1[[#This Row],[a1]]=1,IF(J$2=0,Tab.o1[[#This Row],[MOD]]-Tab.o1[[#This Row],[B]],IF(J$2=1,0,-Tab.o1[[#This Row],[MED]])+Tab.o1[[#This Row],[B]]),"")</f>
        <v/>
      </c>
      <c r="L503" s="117" t="str">
        <f ca="1">IF(Tab.o1[[#This Row],[DIF_Target]]=0,IF(L$2=0,Tab.o1[[#This Row],[DIF_Target]],AVERAGE(OFFSET(Tab.o1[[#This Row],[DIF_Target]],1,0,L$3,1)))/3,Tab.o1[[#This Row],[DIF_Target]])</f>
        <v/>
      </c>
      <c r="M503" s="118" t="str">
        <f>IF(Tab.o1[[#This Row],[a1]]=1,NORMSDIST(Tab.o1[[#This Row],[Za]]),"")</f>
        <v/>
      </c>
      <c r="N503" s="119" t="str">
        <f>IF(Tab.o1[[#This Row],[a1]]=1,((Tab.o1[[#This Row],[MedMod]]-AVERAGE(Tab.o1[MedMod]))/_xlfn.STDEV.P(Tab.o1[MedMod])*H$1205)+G$1205,"")</f>
        <v/>
      </c>
      <c r="O503" s="141" t="str">
        <f>IF(Tab.o1[[#This Row],[a1]]=1,Tab.o1[[#This Row],[Zb]]*_xlfn.STDEV.P(Tab.o1[MedMod])+AVERAGE(Tab.o1[MedMod]),"")</f>
        <v/>
      </c>
      <c r="P503" s="117" t="str">
        <f ca="1">IF(Tab.o1[[#This Row],[B]]=0,AVERAGE(OFFSET(Tab.o1[[#This Row],[B]],1,0,L$3,1)),Tab.o1[[#This Row],[B]])</f>
        <v/>
      </c>
      <c r="Q503" s="121" t="str">
        <f>IF(Tab.o1[[#This Row],[a1]]=1,NORMSDIST(Tab.o1[[#This Row],[Zb]]),"")</f>
        <v/>
      </c>
      <c r="R503" s="122" t="str">
        <f>IF(Tab.o1[[#This Row],[a1]]=1,((Tab.o1[[#This Row],[MedMod]]-AVERAGE(Tab.o1[MedMod]))/_xlfn.STDEV.P(Tab.o1[MedMod])*H$1203)+G$1203,"")</f>
        <v/>
      </c>
      <c r="S503" s="122" t="str">
        <f>IF(Tab.o1[[#This Row],[a1]]=1,((Tab.o1[[#This Row],[MedMod]]-AVERAGE(Tab.o1[MedMod]))/_xlfn.STDEV.P(Tab.o1[MedMod])*H$1204)+G$1204,"")</f>
        <v/>
      </c>
      <c r="T503" s="123" t="str">
        <f>IF(Tab.o1[[#This Row],[a1]]=1,Tab.o1[[#This Row],[Z-]]*_xlfn.STDEV.P(Tab.o1[B])+AVERAGE(Tab.o1[B]),"")</f>
        <v/>
      </c>
      <c r="U503" s="123" t="str">
        <f>IF(Tab.o1[[#This Row],[a1]]=1,Tab.o1[[#This Row],[z+]]*_xlfn.STDEV.P(Tab.o1[B])+AVERAGE(Tab.o1[B]),"")</f>
        <v/>
      </c>
      <c r="V503" s="124" t="str">
        <f>IF(Tab.o1[[#This Row],[a1]]=1,ABS((ABS(Tab.o1[[#This Row],[Red]]-Tab.o1[[#This Row],[Blue]]))),"")</f>
        <v/>
      </c>
      <c r="W503" s="125" t="str">
        <f>IF(Tab.o1[[#This Row],[a1]]=1,IF(W$3=0,1,Tab.o1[[#This Row],[Amp.]]*1/_xlfn.MINIFS(Tab.o1[Amp.],Tab.o1[Amp.],"&lt;&gt;0")),"")</f>
        <v/>
      </c>
      <c r="X503" s="126" t="str">
        <f>IF(Tab.o1[[#This Row],[a1]]=1,IF(ISNUMBER(Tab.o1[[#This Row],[i.]]),NORMDIST(Tab.o1[[#This Row],[Za]],0,1,FALSE)*Tab.o1[[#This Row],[i.]],AP$3),"")</f>
        <v/>
      </c>
      <c r="Y503" s="126" t="str">
        <f>IF(Tab.o1[[#This Row],[a1]]=1,0.01+0.94*Tab.o1[[#This Row],[PDF]]/MAX(Tab.o1[PDF]),"")</f>
        <v/>
      </c>
      <c r="Z503" s="126" t="str">
        <f>IF(Tab.o1[[#This Row],[a1]]=1,0.01+0.94*Tab.o1[[#This Row],[W1_PDF]]/MAX(Tab.o1[W1_PDF]),"")</f>
        <v/>
      </c>
      <c r="AA503" s="118" t="str">
        <f>IF(Tab.o1[[#This Row],[a1]]=1,ABS([1]!T.in.A[[#This Row],[oo6]]),"")</f>
        <v/>
      </c>
      <c r="AB503" s="127" t="str">
        <f>IF(Tab.o1[[#This Row],[a1]]=1,IF(AE$3=0,"",IF(AB$3=0,ABS([1]!T.in.A[[#This Row],[oo9]]),ABS(Tab.o1[[#This Row],[DIF_Target.]]*Tab.o1[[#This Row],[W1_PDF]]))),"")</f>
        <v/>
      </c>
      <c r="AC503" s="127" t="str">
        <f>IF(G$1=1,"",IF(Tab.o1[[#This Row],[a1]]=1,Tab.o1[[#This Row],[Wr]]^2,""))</f>
        <v/>
      </c>
      <c r="AD503" s="118" t="str">
        <f>IF(Tab.o1[[#This Row],[a1]]=1,IF(AE$3=0,"",Tab.o1[[#This Row],[Wr2]]/SUM(Tab.o1[Wr2])),"")</f>
        <v/>
      </c>
      <c r="AE503" s="128" t="str">
        <f>IF(Tab.o1[[#This Row],[a1]]=1,[1]!T.in.A[[#This Row],[oo10]],"")</f>
        <v/>
      </c>
      <c r="AF503" s="118" t="str">
        <f>IF(Tab.o1[[#This Row],[a1]]=1,ABS(Tab.o1[[#This Row],[DIF_Target.]]*Tab.o1[[#This Row],[PDF2]]*Tab.o1[[#This Row],[IN]]),"")</f>
        <v/>
      </c>
      <c r="AG503" s="129" t="str">
        <f>IF(Tab.o1[[#This Row],[a1]]=1,Tab.o1[[#This Row],[rW]]^2,"")</f>
        <v/>
      </c>
      <c r="AH503" s="130" t="str">
        <f>IF(Tab.o1[[#This Row],[a1]]=1,IF(AH$3=0,Tab.o1[[#This Row],[rW2]],0.01+0.94*Tab.o1[[#This Row],[rW2]]/SUM(Tab.o1[rW2])),"")</f>
        <v/>
      </c>
      <c r="AI503" s="128" t="str">
        <f>IF(Tab.o1[[#This Row],[a1]]=1,1/Tab.o1[[#This Row],[PDF]],"")</f>
        <v/>
      </c>
      <c r="AJ503" s="131" t="str">
        <f>IF(Tab.o1[[#This Row],[a1]]=1,[1]!T_AA[[#This Row],[IN'']]*[1]!T_AA[[#This Row],[Qde'']],"")</f>
        <v/>
      </c>
      <c r="AK503" s="132" t="str">
        <f>IF(Tab.o1[[#This Row],[a1]]=1,IF(AK$1=1,Tab.o1[[#This Row],[MED]]+Tab.o1[[#This Row],[MOD]]-Tab.o1[[#This Row],[MED]],""),"")</f>
        <v/>
      </c>
      <c r="AL503" s="133" t="str">
        <f>IF(Tab.o1[[#This Row],[a1]]=1,[1]!T.in.A[[#This Row],[oo16]],"")</f>
        <v/>
      </c>
      <c r="AM503" s="133" t="str">
        <f>IF(Tab.o1[[#This Row],[a1]]=1,IF(AM$3=1,[1]!T.in.A[[#This Row],[Σo16]],""),"")</f>
        <v/>
      </c>
      <c r="AN503" s="126" t="str">
        <f>IF(Tab.o1[[#This Row],[a1]]=1,[1]!T.in.A[[#This Row],[Σp5]],"")</f>
        <v/>
      </c>
      <c r="AO503" s="126" t="str">
        <f>IF(Tab.o1[[#This Row],[a1]]=1,IF(AO$3=1,[1]!T.in.A[[#This Row],[Σp5]],""),"")</f>
        <v/>
      </c>
      <c r="AP503" s="110" t="str">
        <f>IF(Tab.o1[[#This Row],[a1]]=1,IF(ISNUMBER(Tab.o1[[#This Row],[i.]]),NORMDIST(Tab.o1[[#This Row],[Za]],0,1,FALSE)*Tab.o1[[#This Row],[i.]],0),"")</f>
        <v/>
      </c>
      <c r="AQ503" s="125" t="str">
        <f>IF(Tab.o1[[#This Row],[a1]]=1,ABS(Tab.o1[[#This Row],[MOD]]-AVERAGE(Tab.o1[MOD])),"")</f>
        <v/>
      </c>
      <c r="AR503" s="134" t="str">
        <f>IF(Tab.o1[[#This Row],[a1]]=1,Tab.o1[[#This Row],[OBS]]/SUM(Tab.o1[OBS]),"")</f>
        <v/>
      </c>
      <c r="AS503" s="135" t="str">
        <f>IF(ISNUMBER(Tab.o1[[#This Row],[a1]]),ROW()-4,"")</f>
        <v/>
      </c>
      <c r="AT503" s="136" t="str">
        <f>Tab.o1[[#This Row],[MOD]]</f>
        <v/>
      </c>
      <c r="AU503" s="137" t="str">
        <f t="shared" si="29"/>
        <v/>
      </c>
      <c r="AV503" s="138" t="str">
        <f t="shared" si="30"/>
        <v/>
      </c>
      <c r="AW503" s="138" t="str">
        <f t="shared" si="31"/>
        <v/>
      </c>
      <c r="AX503" s="139" t="str">
        <f>[1]!T.in.A[[#This Row],[ID_T_manu]]</f>
        <v/>
      </c>
      <c r="AY503" s="140" t="str">
        <f>IF(ISNUMBER(Tab.o1[[#This Row],[a1]]),IF(AND(Tab.o1[[#This Row],[a1]]=1,Tab.o1[[#This Row],[b1]]&lt;=AY$4),#REF!,AY502),"")</f>
        <v/>
      </c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</row>
    <row r="504" spans="1:79" ht="15.75" hidden="1">
      <c r="A504" s="109">
        <v>-1.0000000000000001E-5</v>
      </c>
      <c r="B504" s="110">
        <f t="shared" si="28"/>
        <v>504</v>
      </c>
      <c r="C504" s="111" t="str">
        <f>IF(C$1=[1]!T.in.A[[#This Row],[oo2]],1,"")</f>
        <v/>
      </c>
      <c r="D504" s="112" t="str">
        <f>IF(Tab.o1[[#This Row],[a1]]=1,IF(SUM(C504:C505)=0,0,IF(SUM(C503:C504)=1,1,IF(SUM(C503:C505)&gt;1,D503+1,0))),"")</f>
        <v/>
      </c>
      <c r="E504" s="113" t="str">
        <f>IF(Tab.o1[[#This Row],[a1]]=1,[1]!T.in.A[[#This Row],[oo1]],"")</f>
        <v/>
      </c>
      <c r="F504" s="113" t="str">
        <f>IF(Tab.o1[[#This Row],[a1]]=1,[1]!T.in.A[[#This Row],[pp1]],"")</f>
        <v/>
      </c>
      <c r="G504" s="114" t="str">
        <f>IF(Tab.o1[[#This Row],[a1]]=1,G$2+IF(G$1=1,0,Tab.o1[[#This Row],[.x1]])+[1]!T.in.A[[#This Row],[oo3]],"")</f>
        <v/>
      </c>
      <c r="H504" s="115" t="str">
        <f>IF(Tab.o1[[#This Row],[a1]]=1,IF(H$2=0,0,IF(G$1=1,0,Tab.o1[[#This Row],[.x1]])+[1]!T.in.A[[#This Row],[oo4]]),"")</f>
        <v/>
      </c>
      <c r="I504" s="116" t="str">
        <f>IF(Tab.o1[[#This Row],[a1]]=1,IF(J$2=0,Tab.o1[[#This Row],[MED]],Tab.o1[[#This Row],[MOD]]),"")</f>
        <v/>
      </c>
      <c r="J504" s="116" t="str">
        <f>IF(Tab.o1[[#This Row],[a1]]=1,((Tab.o1[[#This Row],[DIF_Target.]]-AVERAGE(Tab.o1[DIF_Target.]))/_xlfn.STDEV.P(Tab.o1[DIF_Target.])),"")</f>
        <v/>
      </c>
      <c r="K504" s="117" t="str">
        <f>IF(Tab.o1[[#This Row],[a1]]=1,IF(J$2=0,Tab.o1[[#This Row],[MOD]]-Tab.o1[[#This Row],[B]],IF(J$2=1,0,-Tab.o1[[#This Row],[MED]])+Tab.o1[[#This Row],[B]]),"")</f>
        <v/>
      </c>
      <c r="L504" s="117" t="str">
        <f ca="1">IF(Tab.o1[[#This Row],[DIF_Target]]=0,IF(L$2=0,Tab.o1[[#This Row],[DIF_Target]],AVERAGE(OFFSET(Tab.o1[[#This Row],[DIF_Target]],1,0,L$3,1)))/3,Tab.o1[[#This Row],[DIF_Target]])</f>
        <v/>
      </c>
      <c r="M504" s="118" t="str">
        <f>IF(Tab.o1[[#This Row],[a1]]=1,NORMSDIST(Tab.o1[[#This Row],[Za]]),"")</f>
        <v/>
      </c>
      <c r="N504" s="119" t="str">
        <f>IF(Tab.o1[[#This Row],[a1]]=1,((Tab.o1[[#This Row],[MedMod]]-AVERAGE(Tab.o1[MedMod]))/_xlfn.STDEV.P(Tab.o1[MedMod])*H$1205)+G$1205,"")</f>
        <v/>
      </c>
      <c r="O504" s="141" t="str">
        <f>IF(Tab.o1[[#This Row],[a1]]=1,Tab.o1[[#This Row],[Zb]]*_xlfn.STDEV.P(Tab.o1[MedMod])+AVERAGE(Tab.o1[MedMod]),"")</f>
        <v/>
      </c>
      <c r="P504" s="117" t="str">
        <f ca="1">IF(Tab.o1[[#This Row],[B]]=0,AVERAGE(OFFSET(Tab.o1[[#This Row],[B]],1,0,L$3,1)),Tab.o1[[#This Row],[B]])</f>
        <v/>
      </c>
      <c r="Q504" s="121" t="str">
        <f>IF(Tab.o1[[#This Row],[a1]]=1,NORMSDIST(Tab.o1[[#This Row],[Zb]]),"")</f>
        <v/>
      </c>
      <c r="R504" s="122" t="str">
        <f>IF(Tab.o1[[#This Row],[a1]]=1,((Tab.o1[[#This Row],[MedMod]]-AVERAGE(Tab.o1[MedMod]))/_xlfn.STDEV.P(Tab.o1[MedMod])*H$1203)+G$1203,"")</f>
        <v/>
      </c>
      <c r="S504" s="122" t="str">
        <f>IF(Tab.o1[[#This Row],[a1]]=1,((Tab.o1[[#This Row],[MedMod]]-AVERAGE(Tab.o1[MedMod]))/_xlfn.STDEV.P(Tab.o1[MedMod])*H$1204)+G$1204,"")</f>
        <v/>
      </c>
      <c r="T504" s="123" t="str">
        <f>IF(Tab.o1[[#This Row],[a1]]=1,Tab.o1[[#This Row],[Z-]]*_xlfn.STDEV.P(Tab.o1[B])+AVERAGE(Tab.o1[B]),"")</f>
        <v/>
      </c>
      <c r="U504" s="123" t="str">
        <f>IF(Tab.o1[[#This Row],[a1]]=1,Tab.o1[[#This Row],[z+]]*_xlfn.STDEV.P(Tab.o1[B])+AVERAGE(Tab.o1[B]),"")</f>
        <v/>
      </c>
      <c r="V504" s="124" t="str">
        <f>IF(Tab.o1[[#This Row],[a1]]=1,ABS((ABS(Tab.o1[[#This Row],[Red]]-Tab.o1[[#This Row],[Blue]]))),"")</f>
        <v/>
      </c>
      <c r="W504" s="125" t="str">
        <f>IF(Tab.o1[[#This Row],[a1]]=1,IF(W$3=0,1,Tab.o1[[#This Row],[Amp.]]*1/_xlfn.MINIFS(Tab.o1[Amp.],Tab.o1[Amp.],"&lt;&gt;0")),"")</f>
        <v/>
      </c>
      <c r="X504" s="126" t="str">
        <f>IF(Tab.o1[[#This Row],[a1]]=1,IF(ISNUMBER(Tab.o1[[#This Row],[i.]]),NORMDIST(Tab.o1[[#This Row],[Za]],0,1,FALSE)*Tab.o1[[#This Row],[i.]],AP$3),"")</f>
        <v/>
      </c>
      <c r="Y504" s="126" t="str">
        <f>IF(Tab.o1[[#This Row],[a1]]=1,0.01+0.94*Tab.o1[[#This Row],[PDF]]/MAX(Tab.o1[PDF]),"")</f>
        <v/>
      </c>
      <c r="Z504" s="126" t="str">
        <f>IF(Tab.o1[[#This Row],[a1]]=1,0.01+0.94*Tab.o1[[#This Row],[W1_PDF]]/MAX(Tab.o1[W1_PDF]),"")</f>
        <v/>
      </c>
      <c r="AA504" s="118" t="str">
        <f>IF(Tab.o1[[#This Row],[a1]]=1,ABS([1]!T.in.A[[#This Row],[oo6]]),"")</f>
        <v/>
      </c>
      <c r="AB504" s="127" t="str">
        <f>IF(Tab.o1[[#This Row],[a1]]=1,IF(AE$3=0,"",IF(AB$3=0,ABS([1]!T.in.A[[#This Row],[oo9]]),ABS(Tab.o1[[#This Row],[DIF_Target.]]*Tab.o1[[#This Row],[W1_PDF]]))),"")</f>
        <v/>
      </c>
      <c r="AC504" s="127" t="str">
        <f>IF(G$1=1,"",IF(Tab.o1[[#This Row],[a1]]=1,Tab.o1[[#This Row],[Wr]]^2,""))</f>
        <v/>
      </c>
      <c r="AD504" s="118" t="str">
        <f>IF(Tab.o1[[#This Row],[a1]]=1,IF(AE$3=0,"",Tab.o1[[#This Row],[Wr2]]/SUM(Tab.o1[Wr2])),"")</f>
        <v/>
      </c>
      <c r="AE504" s="128" t="str">
        <f>IF(Tab.o1[[#This Row],[a1]]=1,[1]!T.in.A[[#This Row],[oo10]],"")</f>
        <v/>
      </c>
      <c r="AF504" s="118" t="str">
        <f>IF(Tab.o1[[#This Row],[a1]]=1,ABS(Tab.o1[[#This Row],[DIF_Target.]]*Tab.o1[[#This Row],[PDF2]]*Tab.o1[[#This Row],[IN]]),"")</f>
        <v/>
      </c>
      <c r="AG504" s="129" t="str">
        <f>IF(Tab.o1[[#This Row],[a1]]=1,Tab.o1[[#This Row],[rW]]^2,"")</f>
        <v/>
      </c>
      <c r="AH504" s="130" t="str">
        <f>IF(Tab.o1[[#This Row],[a1]]=1,IF(AH$3=0,Tab.o1[[#This Row],[rW2]],0.01+0.94*Tab.o1[[#This Row],[rW2]]/SUM(Tab.o1[rW2])),"")</f>
        <v/>
      </c>
      <c r="AI504" s="128" t="str">
        <f>IF(Tab.o1[[#This Row],[a1]]=1,1/Tab.o1[[#This Row],[PDF]],"")</f>
        <v/>
      </c>
      <c r="AJ504" s="131" t="str">
        <f>IF(Tab.o1[[#This Row],[a1]]=1,[1]!T_AA[[#This Row],[IN'']]*[1]!T_AA[[#This Row],[Qde'']],"")</f>
        <v/>
      </c>
      <c r="AK504" s="132" t="str">
        <f>IF(Tab.o1[[#This Row],[a1]]=1,IF(AK$1=1,Tab.o1[[#This Row],[MED]]+Tab.o1[[#This Row],[MOD]]-Tab.o1[[#This Row],[MED]],""),"")</f>
        <v/>
      </c>
      <c r="AL504" s="133" t="str">
        <f>IF(Tab.o1[[#This Row],[a1]]=1,[1]!T.in.A[[#This Row],[oo16]],"")</f>
        <v/>
      </c>
      <c r="AM504" s="133" t="str">
        <f>IF(Tab.o1[[#This Row],[a1]]=1,IF(AM$3=1,[1]!T.in.A[[#This Row],[Σo16]],""),"")</f>
        <v/>
      </c>
      <c r="AN504" s="126" t="str">
        <f>IF(Tab.o1[[#This Row],[a1]]=1,[1]!T.in.A[[#This Row],[Σp5]],"")</f>
        <v/>
      </c>
      <c r="AO504" s="126" t="str">
        <f>IF(Tab.o1[[#This Row],[a1]]=1,IF(AO$3=1,[1]!T.in.A[[#This Row],[Σp5]],""),"")</f>
        <v/>
      </c>
      <c r="AP504" s="110" t="str">
        <f>IF(Tab.o1[[#This Row],[a1]]=1,IF(ISNUMBER(Tab.o1[[#This Row],[i.]]),NORMDIST(Tab.o1[[#This Row],[Za]],0,1,FALSE)*Tab.o1[[#This Row],[i.]],0),"")</f>
        <v/>
      </c>
      <c r="AQ504" s="125" t="str">
        <f>IF(Tab.o1[[#This Row],[a1]]=1,ABS(Tab.o1[[#This Row],[MOD]]-AVERAGE(Tab.o1[MOD])),"")</f>
        <v/>
      </c>
      <c r="AR504" s="134" t="str">
        <f>IF(Tab.o1[[#This Row],[a1]]=1,Tab.o1[[#This Row],[OBS]]/SUM(Tab.o1[OBS]),"")</f>
        <v/>
      </c>
      <c r="AS504" s="135" t="str">
        <f>IF(ISNUMBER(Tab.o1[[#This Row],[a1]]),ROW()-4,"")</f>
        <v/>
      </c>
      <c r="AT504" s="136" t="str">
        <f>Tab.o1[[#This Row],[MOD]]</f>
        <v/>
      </c>
      <c r="AU504" s="137" t="str">
        <f t="shared" si="29"/>
        <v/>
      </c>
      <c r="AV504" s="138" t="str">
        <f t="shared" si="30"/>
        <v/>
      </c>
      <c r="AW504" s="138" t="str">
        <f t="shared" si="31"/>
        <v/>
      </c>
      <c r="AX504" s="139" t="str">
        <f>[1]!T.in.A[[#This Row],[ID_T_manu]]</f>
        <v/>
      </c>
      <c r="AY504" s="140" t="str">
        <f>IF(ISNUMBER(Tab.o1[[#This Row],[a1]]),IF(AND(Tab.o1[[#This Row],[a1]]=1,Tab.o1[[#This Row],[b1]]&lt;=AY$4),#REF!,AY503),"")</f>
        <v/>
      </c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</row>
    <row r="505" spans="1:79" ht="15.75" hidden="1">
      <c r="A505" s="109">
        <v>-2.9999999999999997E-6</v>
      </c>
      <c r="B505" s="110">
        <f t="shared" si="28"/>
        <v>505</v>
      </c>
      <c r="C505" s="111" t="str">
        <f>IF(C$1=[1]!T.in.A[[#This Row],[oo2]],1,"")</f>
        <v/>
      </c>
      <c r="D505" s="112" t="str">
        <f>IF(Tab.o1[[#This Row],[a1]]=1,IF(SUM(C505:C506)=0,0,IF(SUM(C504:C505)=1,1,IF(SUM(C504:C506)&gt;1,D504+1,0))),"")</f>
        <v/>
      </c>
      <c r="E505" s="113" t="str">
        <f>IF(Tab.o1[[#This Row],[a1]]=1,[1]!T.in.A[[#This Row],[oo1]],"")</f>
        <v/>
      </c>
      <c r="F505" s="113" t="str">
        <f>IF(Tab.o1[[#This Row],[a1]]=1,[1]!T.in.A[[#This Row],[pp1]],"")</f>
        <v/>
      </c>
      <c r="G505" s="114" t="str">
        <f>IF(Tab.o1[[#This Row],[a1]]=1,G$2+IF(G$1=1,0,Tab.o1[[#This Row],[.x1]])+[1]!T.in.A[[#This Row],[oo3]],"")</f>
        <v/>
      </c>
      <c r="H505" s="115" t="str">
        <f>IF(Tab.o1[[#This Row],[a1]]=1,IF(H$2=0,0,IF(G$1=1,0,Tab.o1[[#This Row],[.x1]])+[1]!T.in.A[[#This Row],[oo4]]),"")</f>
        <v/>
      </c>
      <c r="I505" s="116" t="str">
        <f>IF(Tab.o1[[#This Row],[a1]]=1,IF(J$2=0,Tab.o1[[#This Row],[MED]],Tab.o1[[#This Row],[MOD]]),"")</f>
        <v/>
      </c>
      <c r="J505" s="116" t="str">
        <f>IF(Tab.o1[[#This Row],[a1]]=1,((Tab.o1[[#This Row],[DIF_Target.]]-AVERAGE(Tab.o1[DIF_Target.]))/_xlfn.STDEV.P(Tab.o1[DIF_Target.])),"")</f>
        <v/>
      </c>
      <c r="K505" s="117" t="str">
        <f>IF(Tab.o1[[#This Row],[a1]]=1,IF(J$2=0,Tab.o1[[#This Row],[MOD]]-Tab.o1[[#This Row],[B]],IF(J$2=1,0,-Tab.o1[[#This Row],[MED]])+Tab.o1[[#This Row],[B]]),"")</f>
        <v/>
      </c>
      <c r="L505" s="117" t="str">
        <f ca="1">IF(Tab.o1[[#This Row],[DIF_Target]]=0,IF(L$2=0,Tab.o1[[#This Row],[DIF_Target]],AVERAGE(OFFSET(Tab.o1[[#This Row],[DIF_Target]],1,0,L$3,1)))/3,Tab.o1[[#This Row],[DIF_Target]])</f>
        <v/>
      </c>
      <c r="M505" s="118" t="str">
        <f>IF(Tab.o1[[#This Row],[a1]]=1,NORMSDIST(Tab.o1[[#This Row],[Za]]),"")</f>
        <v/>
      </c>
      <c r="N505" s="119" t="str">
        <f>IF(Tab.o1[[#This Row],[a1]]=1,((Tab.o1[[#This Row],[MedMod]]-AVERAGE(Tab.o1[MedMod]))/_xlfn.STDEV.P(Tab.o1[MedMod])*H$1205)+G$1205,"")</f>
        <v/>
      </c>
      <c r="O505" s="141" t="str">
        <f>IF(Tab.o1[[#This Row],[a1]]=1,Tab.o1[[#This Row],[Zb]]*_xlfn.STDEV.P(Tab.o1[MedMod])+AVERAGE(Tab.o1[MedMod]),"")</f>
        <v/>
      </c>
      <c r="P505" s="117" t="str">
        <f ca="1">IF(Tab.o1[[#This Row],[B]]=0,AVERAGE(OFFSET(Tab.o1[[#This Row],[B]],1,0,L$3,1)),Tab.o1[[#This Row],[B]])</f>
        <v/>
      </c>
      <c r="Q505" s="121" t="str">
        <f>IF(Tab.o1[[#This Row],[a1]]=1,NORMSDIST(Tab.o1[[#This Row],[Zb]]),"")</f>
        <v/>
      </c>
      <c r="R505" s="122" t="str">
        <f>IF(Tab.o1[[#This Row],[a1]]=1,((Tab.o1[[#This Row],[MedMod]]-AVERAGE(Tab.o1[MedMod]))/_xlfn.STDEV.P(Tab.o1[MedMod])*H$1203)+G$1203,"")</f>
        <v/>
      </c>
      <c r="S505" s="122" t="str">
        <f>IF(Tab.o1[[#This Row],[a1]]=1,((Tab.o1[[#This Row],[MedMod]]-AVERAGE(Tab.o1[MedMod]))/_xlfn.STDEV.P(Tab.o1[MedMod])*H$1204)+G$1204,"")</f>
        <v/>
      </c>
      <c r="T505" s="123" t="str">
        <f>IF(Tab.o1[[#This Row],[a1]]=1,Tab.o1[[#This Row],[Z-]]*_xlfn.STDEV.P(Tab.o1[B])+AVERAGE(Tab.o1[B]),"")</f>
        <v/>
      </c>
      <c r="U505" s="123" t="str">
        <f>IF(Tab.o1[[#This Row],[a1]]=1,Tab.o1[[#This Row],[z+]]*_xlfn.STDEV.P(Tab.o1[B])+AVERAGE(Tab.o1[B]),"")</f>
        <v/>
      </c>
      <c r="V505" s="124" t="str">
        <f>IF(Tab.o1[[#This Row],[a1]]=1,ABS((ABS(Tab.o1[[#This Row],[Red]]-Tab.o1[[#This Row],[Blue]]))),"")</f>
        <v/>
      </c>
      <c r="W505" s="125" t="str">
        <f>IF(Tab.o1[[#This Row],[a1]]=1,IF(W$3=0,1,Tab.o1[[#This Row],[Amp.]]*1/_xlfn.MINIFS(Tab.o1[Amp.],Tab.o1[Amp.],"&lt;&gt;0")),"")</f>
        <v/>
      </c>
      <c r="X505" s="126" t="str">
        <f>IF(Tab.o1[[#This Row],[a1]]=1,IF(ISNUMBER(Tab.o1[[#This Row],[i.]]),NORMDIST(Tab.o1[[#This Row],[Za]],0,1,FALSE)*Tab.o1[[#This Row],[i.]],AP$3),"")</f>
        <v/>
      </c>
      <c r="Y505" s="126" t="str">
        <f>IF(Tab.o1[[#This Row],[a1]]=1,0.01+0.94*Tab.o1[[#This Row],[PDF]]/MAX(Tab.o1[PDF]),"")</f>
        <v/>
      </c>
      <c r="Z505" s="126" t="str">
        <f>IF(Tab.o1[[#This Row],[a1]]=1,0.01+0.94*Tab.o1[[#This Row],[W1_PDF]]/MAX(Tab.o1[W1_PDF]),"")</f>
        <v/>
      </c>
      <c r="AA505" s="118" t="str">
        <f>IF(Tab.o1[[#This Row],[a1]]=1,ABS([1]!T.in.A[[#This Row],[oo6]]),"")</f>
        <v/>
      </c>
      <c r="AB505" s="127" t="str">
        <f>IF(Tab.o1[[#This Row],[a1]]=1,IF(AE$3=0,"",IF(AB$3=0,ABS([1]!T.in.A[[#This Row],[oo9]]),ABS(Tab.o1[[#This Row],[DIF_Target.]]*Tab.o1[[#This Row],[W1_PDF]]))),"")</f>
        <v/>
      </c>
      <c r="AC505" s="127" t="str">
        <f>IF(G$1=1,"",IF(Tab.o1[[#This Row],[a1]]=1,Tab.o1[[#This Row],[Wr]]^2,""))</f>
        <v/>
      </c>
      <c r="AD505" s="118" t="str">
        <f>IF(Tab.o1[[#This Row],[a1]]=1,IF(AE$3=0,"",Tab.o1[[#This Row],[Wr2]]/SUM(Tab.o1[Wr2])),"")</f>
        <v/>
      </c>
      <c r="AE505" s="128" t="str">
        <f>IF(Tab.o1[[#This Row],[a1]]=1,[1]!T.in.A[[#This Row],[oo10]],"")</f>
        <v/>
      </c>
      <c r="AF505" s="118" t="str">
        <f>IF(Tab.o1[[#This Row],[a1]]=1,ABS(Tab.o1[[#This Row],[DIF_Target.]]*Tab.o1[[#This Row],[PDF2]]*Tab.o1[[#This Row],[IN]]),"")</f>
        <v/>
      </c>
      <c r="AG505" s="129" t="str">
        <f>IF(Tab.o1[[#This Row],[a1]]=1,Tab.o1[[#This Row],[rW]]^2,"")</f>
        <v/>
      </c>
      <c r="AH505" s="130" t="str">
        <f>IF(Tab.o1[[#This Row],[a1]]=1,IF(AH$3=0,Tab.o1[[#This Row],[rW2]],0.01+0.94*Tab.o1[[#This Row],[rW2]]/SUM(Tab.o1[rW2])),"")</f>
        <v/>
      </c>
      <c r="AI505" s="128" t="str">
        <f>IF(Tab.o1[[#This Row],[a1]]=1,1/Tab.o1[[#This Row],[PDF]],"")</f>
        <v/>
      </c>
      <c r="AJ505" s="131" t="str">
        <f>IF(Tab.o1[[#This Row],[a1]]=1,[1]!T_AA[[#This Row],[IN'']]*[1]!T_AA[[#This Row],[Qde'']],"")</f>
        <v/>
      </c>
      <c r="AK505" s="132" t="str">
        <f>IF(Tab.o1[[#This Row],[a1]]=1,IF(AK$1=1,Tab.o1[[#This Row],[MED]]+Tab.o1[[#This Row],[MOD]]-Tab.o1[[#This Row],[MED]],""),"")</f>
        <v/>
      </c>
      <c r="AL505" s="133" t="str">
        <f>IF(Tab.o1[[#This Row],[a1]]=1,[1]!T.in.A[[#This Row],[oo16]],"")</f>
        <v/>
      </c>
      <c r="AM505" s="133" t="str">
        <f>IF(Tab.o1[[#This Row],[a1]]=1,IF(AM$3=1,[1]!T.in.A[[#This Row],[Σo16]],""),"")</f>
        <v/>
      </c>
      <c r="AN505" s="126" t="str">
        <f>IF(Tab.o1[[#This Row],[a1]]=1,[1]!T.in.A[[#This Row],[Σp5]],"")</f>
        <v/>
      </c>
      <c r="AO505" s="126" t="str">
        <f>IF(Tab.o1[[#This Row],[a1]]=1,IF(AO$3=1,[1]!T.in.A[[#This Row],[Σp5]],""),"")</f>
        <v/>
      </c>
      <c r="AP505" s="110" t="str">
        <f>IF(Tab.o1[[#This Row],[a1]]=1,IF(ISNUMBER(Tab.o1[[#This Row],[i.]]),NORMDIST(Tab.o1[[#This Row],[Za]],0,1,FALSE)*Tab.o1[[#This Row],[i.]],0),"")</f>
        <v/>
      </c>
      <c r="AQ505" s="125" t="str">
        <f>IF(Tab.o1[[#This Row],[a1]]=1,ABS(Tab.o1[[#This Row],[MOD]]-AVERAGE(Tab.o1[MOD])),"")</f>
        <v/>
      </c>
      <c r="AR505" s="134" t="str">
        <f>IF(Tab.o1[[#This Row],[a1]]=1,Tab.o1[[#This Row],[OBS]]/SUM(Tab.o1[OBS]),"")</f>
        <v/>
      </c>
      <c r="AS505" s="135" t="str">
        <f>IF(ISNUMBER(Tab.o1[[#This Row],[a1]]),ROW()-4,"")</f>
        <v/>
      </c>
      <c r="AT505" s="136" t="str">
        <f>Tab.o1[[#This Row],[MOD]]</f>
        <v/>
      </c>
      <c r="AU505" s="137" t="str">
        <f t="shared" si="29"/>
        <v/>
      </c>
      <c r="AV505" s="138" t="str">
        <f t="shared" si="30"/>
        <v/>
      </c>
      <c r="AW505" s="138" t="str">
        <f t="shared" si="31"/>
        <v/>
      </c>
      <c r="AX505" s="139" t="str">
        <f>[1]!T.in.A[[#This Row],[ID_T_manu]]</f>
        <v/>
      </c>
      <c r="AY505" s="140" t="str">
        <f>IF(ISNUMBER(Tab.o1[[#This Row],[a1]]),IF(AND(Tab.o1[[#This Row],[a1]]=1,Tab.o1[[#This Row],[b1]]&lt;=AY$4),#REF!,AY504),"")</f>
        <v/>
      </c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</row>
    <row r="506" spans="1:79" ht="15.75" hidden="1">
      <c r="A506" s="109">
        <v>1.0000000000000001E-5</v>
      </c>
      <c r="B506" s="110">
        <f t="shared" si="28"/>
        <v>506</v>
      </c>
      <c r="C506" s="111" t="str">
        <f>IF(C$1=[1]!T.in.A[[#This Row],[oo2]],1,"")</f>
        <v/>
      </c>
      <c r="D506" s="112" t="str">
        <f>IF(Tab.o1[[#This Row],[a1]]=1,IF(SUM(C506:C507)=0,0,IF(SUM(C505:C506)=1,1,IF(SUM(C505:C507)&gt;1,D505+1,0))),"")</f>
        <v/>
      </c>
      <c r="E506" s="113" t="str">
        <f>IF(Tab.o1[[#This Row],[a1]]=1,[1]!T.in.A[[#This Row],[oo1]],"")</f>
        <v/>
      </c>
      <c r="F506" s="113" t="str">
        <f>IF(Tab.o1[[#This Row],[a1]]=1,[1]!T.in.A[[#This Row],[pp1]],"")</f>
        <v/>
      </c>
      <c r="G506" s="114" t="str">
        <f>IF(Tab.o1[[#This Row],[a1]]=1,G$2+IF(G$1=1,0,Tab.o1[[#This Row],[.x1]])+[1]!T.in.A[[#This Row],[oo3]],"")</f>
        <v/>
      </c>
      <c r="H506" s="115" t="str">
        <f>IF(Tab.o1[[#This Row],[a1]]=1,IF(H$2=0,0,IF(G$1=1,0,Tab.o1[[#This Row],[.x1]])+[1]!T.in.A[[#This Row],[oo4]]),"")</f>
        <v/>
      </c>
      <c r="I506" s="116" t="str">
        <f>IF(Tab.o1[[#This Row],[a1]]=1,IF(J$2=0,Tab.o1[[#This Row],[MED]],Tab.o1[[#This Row],[MOD]]),"")</f>
        <v/>
      </c>
      <c r="J506" s="116" t="str">
        <f>IF(Tab.o1[[#This Row],[a1]]=1,((Tab.o1[[#This Row],[DIF_Target.]]-AVERAGE(Tab.o1[DIF_Target.]))/_xlfn.STDEV.P(Tab.o1[DIF_Target.])),"")</f>
        <v/>
      </c>
      <c r="K506" s="117" t="str">
        <f>IF(Tab.o1[[#This Row],[a1]]=1,IF(J$2=0,Tab.o1[[#This Row],[MOD]]-Tab.o1[[#This Row],[B]],IF(J$2=1,0,-Tab.o1[[#This Row],[MED]])+Tab.o1[[#This Row],[B]]),"")</f>
        <v/>
      </c>
      <c r="L506" s="117" t="str">
        <f ca="1">IF(Tab.o1[[#This Row],[DIF_Target]]=0,IF(L$2=0,Tab.o1[[#This Row],[DIF_Target]],AVERAGE(OFFSET(Tab.o1[[#This Row],[DIF_Target]],1,0,L$3,1)))/3,Tab.o1[[#This Row],[DIF_Target]])</f>
        <v/>
      </c>
      <c r="M506" s="118" t="str">
        <f>IF(Tab.o1[[#This Row],[a1]]=1,NORMSDIST(Tab.o1[[#This Row],[Za]]),"")</f>
        <v/>
      </c>
      <c r="N506" s="119" t="str">
        <f>IF(Tab.o1[[#This Row],[a1]]=1,((Tab.o1[[#This Row],[MedMod]]-AVERAGE(Tab.o1[MedMod]))/_xlfn.STDEV.P(Tab.o1[MedMod])*H$1205)+G$1205,"")</f>
        <v/>
      </c>
      <c r="O506" s="141" t="str">
        <f>IF(Tab.o1[[#This Row],[a1]]=1,Tab.o1[[#This Row],[Zb]]*_xlfn.STDEV.P(Tab.o1[MedMod])+AVERAGE(Tab.o1[MedMod]),"")</f>
        <v/>
      </c>
      <c r="P506" s="117" t="str">
        <f ca="1">IF(Tab.o1[[#This Row],[B]]=0,AVERAGE(OFFSET(Tab.o1[[#This Row],[B]],1,0,L$3,1)),Tab.o1[[#This Row],[B]])</f>
        <v/>
      </c>
      <c r="Q506" s="121" t="str">
        <f>IF(Tab.o1[[#This Row],[a1]]=1,NORMSDIST(Tab.o1[[#This Row],[Zb]]),"")</f>
        <v/>
      </c>
      <c r="R506" s="122" t="str">
        <f>IF(Tab.o1[[#This Row],[a1]]=1,((Tab.o1[[#This Row],[MedMod]]-AVERAGE(Tab.o1[MedMod]))/_xlfn.STDEV.P(Tab.o1[MedMod])*H$1203)+G$1203,"")</f>
        <v/>
      </c>
      <c r="S506" s="122" t="str">
        <f>IF(Tab.o1[[#This Row],[a1]]=1,((Tab.o1[[#This Row],[MedMod]]-AVERAGE(Tab.o1[MedMod]))/_xlfn.STDEV.P(Tab.o1[MedMod])*H$1204)+G$1204,"")</f>
        <v/>
      </c>
      <c r="T506" s="123" t="str">
        <f>IF(Tab.o1[[#This Row],[a1]]=1,Tab.o1[[#This Row],[Z-]]*_xlfn.STDEV.P(Tab.o1[B])+AVERAGE(Tab.o1[B]),"")</f>
        <v/>
      </c>
      <c r="U506" s="123" t="str">
        <f>IF(Tab.o1[[#This Row],[a1]]=1,Tab.o1[[#This Row],[z+]]*_xlfn.STDEV.P(Tab.o1[B])+AVERAGE(Tab.o1[B]),"")</f>
        <v/>
      </c>
      <c r="V506" s="124" t="str">
        <f>IF(Tab.o1[[#This Row],[a1]]=1,ABS((ABS(Tab.o1[[#This Row],[Red]]-Tab.o1[[#This Row],[Blue]]))),"")</f>
        <v/>
      </c>
      <c r="W506" s="125" t="str">
        <f>IF(Tab.o1[[#This Row],[a1]]=1,IF(W$3=0,1,Tab.o1[[#This Row],[Amp.]]*1/_xlfn.MINIFS(Tab.o1[Amp.],Tab.o1[Amp.],"&lt;&gt;0")),"")</f>
        <v/>
      </c>
      <c r="X506" s="126" t="str">
        <f>IF(Tab.o1[[#This Row],[a1]]=1,IF(ISNUMBER(Tab.o1[[#This Row],[i.]]),NORMDIST(Tab.o1[[#This Row],[Za]],0,1,FALSE)*Tab.o1[[#This Row],[i.]],AP$3),"")</f>
        <v/>
      </c>
      <c r="Y506" s="126" t="str">
        <f>IF(Tab.o1[[#This Row],[a1]]=1,0.01+0.94*Tab.o1[[#This Row],[PDF]]/MAX(Tab.o1[PDF]),"")</f>
        <v/>
      </c>
      <c r="Z506" s="126" t="str">
        <f>IF(Tab.o1[[#This Row],[a1]]=1,0.01+0.94*Tab.o1[[#This Row],[W1_PDF]]/MAX(Tab.o1[W1_PDF]),"")</f>
        <v/>
      </c>
      <c r="AA506" s="118" t="str">
        <f>IF(Tab.o1[[#This Row],[a1]]=1,ABS([1]!T.in.A[[#This Row],[oo6]]),"")</f>
        <v/>
      </c>
      <c r="AB506" s="127" t="str">
        <f>IF(Tab.o1[[#This Row],[a1]]=1,IF(AE$3=0,"",IF(AB$3=0,ABS([1]!T.in.A[[#This Row],[oo9]]),ABS(Tab.o1[[#This Row],[DIF_Target.]]*Tab.o1[[#This Row],[W1_PDF]]))),"")</f>
        <v/>
      </c>
      <c r="AC506" s="127" t="str">
        <f>IF(G$1=1,"",IF(Tab.o1[[#This Row],[a1]]=1,Tab.o1[[#This Row],[Wr]]^2,""))</f>
        <v/>
      </c>
      <c r="AD506" s="118" t="str">
        <f>IF(Tab.o1[[#This Row],[a1]]=1,IF(AE$3=0,"",Tab.o1[[#This Row],[Wr2]]/SUM(Tab.o1[Wr2])),"")</f>
        <v/>
      </c>
      <c r="AE506" s="128" t="str">
        <f>IF(Tab.o1[[#This Row],[a1]]=1,[1]!T.in.A[[#This Row],[oo10]],"")</f>
        <v/>
      </c>
      <c r="AF506" s="118" t="str">
        <f>IF(Tab.o1[[#This Row],[a1]]=1,ABS(Tab.o1[[#This Row],[DIF_Target.]]*Tab.o1[[#This Row],[PDF2]]*Tab.o1[[#This Row],[IN]]),"")</f>
        <v/>
      </c>
      <c r="AG506" s="129" t="str">
        <f>IF(Tab.o1[[#This Row],[a1]]=1,Tab.o1[[#This Row],[rW]]^2,"")</f>
        <v/>
      </c>
      <c r="AH506" s="130" t="str">
        <f>IF(Tab.o1[[#This Row],[a1]]=1,IF(AH$3=0,Tab.o1[[#This Row],[rW2]],0.01+0.94*Tab.o1[[#This Row],[rW2]]/SUM(Tab.o1[rW2])),"")</f>
        <v/>
      </c>
      <c r="AI506" s="128" t="str">
        <f>IF(Tab.o1[[#This Row],[a1]]=1,1/Tab.o1[[#This Row],[PDF]],"")</f>
        <v/>
      </c>
      <c r="AJ506" s="131" t="str">
        <f>IF(Tab.o1[[#This Row],[a1]]=1,[1]!T_AA[[#This Row],[IN'']]*[1]!T_AA[[#This Row],[Qde'']],"")</f>
        <v/>
      </c>
      <c r="AK506" s="132" t="str">
        <f>IF(Tab.o1[[#This Row],[a1]]=1,IF(AK$1=1,Tab.o1[[#This Row],[MED]]+Tab.o1[[#This Row],[MOD]]-Tab.o1[[#This Row],[MED]],""),"")</f>
        <v/>
      </c>
      <c r="AL506" s="133" t="str">
        <f>IF(Tab.o1[[#This Row],[a1]]=1,[1]!T.in.A[[#This Row],[oo16]],"")</f>
        <v/>
      </c>
      <c r="AM506" s="133" t="str">
        <f>IF(Tab.o1[[#This Row],[a1]]=1,IF(AM$3=1,[1]!T.in.A[[#This Row],[Σo16]],""),"")</f>
        <v/>
      </c>
      <c r="AN506" s="126" t="str">
        <f>IF(Tab.o1[[#This Row],[a1]]=1,[1]!T.in.A[[#This Row],[Σp5]],"")</f>
        <v/>
      </c>
      <c r="AO506" s="126" t="str">
        <f>IF(Tab.o1[[#This Row],[a1]]=1,IF(AO$3=1,[1]!T.in.A[[#This Row],[Σp5]],""),"")</f>
        <v/>
      </c>
      <c r="AP506" s="110" t="str">
        <f>IF(Tab.o1[[#This Row],[a1]]=1,IF(ISNUMBER(Tab.o1[[#This Row],[i.]]),NORMDIST(Tab.o1[[#This Row],[Za]],0,1,FALSE)*Tab.o1[[#This Row],[i.]],0),"")</f>
        <v/>
      </c>
      <c r="AQ506" s="125" t="str">
        <f>IF(Tab.o1[[#This Row],[a1]]=1,ABS(Tab.o1[[#This Row],[MOD]]-AVERAGE(Tab.o1[MOD])),"")</f>
        <v/>
      </c>
      <c r="AR506" s="134" t="str">
        <f>IF(Tab.o1[[#This Row],[a1]]=1,Tab.o1[[#This Row],[OBS]]/SUM(Tab.o1[OBS]),"")</f>
        <v/>
      </c>
      <c r="AS506" s="135" t="str">
        <f>IF(ISNUMBER(Tab.o1[[#This Row],[a1]]),ROW()-4,"")</f>
        <v/>
      </c>
      <c r="AT506" s="136" t="str">
        <f>Tab.o1[[#This Row],[MOD]]</f>
        <v/>
      </c>
      <c r="AU506" s="137" t="str">
        <f t="shared" si="29"/>
        <v/>
      </c>
      <c r="AV506" s="138" t="str">
        <f t="shared" si="30"/>
        <v/>
      </c>
      <c r="AW506" s="138" t="str">
        <f t="shared" si="31"/>
        <v/>
      </c>
      <c r="AX506" s="139" t="str">
        <f>[1]!T.in.A[[#This Row],[ID_T_manu]]</f>
        <v/>
      </c>
      <c r="AY506" s="140" t="str">
        <f>IF(ISNUMBER(Tab.o1[[#This Row],[a1]]),IF(AND(Tab.o1[[#This Row],[a1]]=1,Tab.o1[[#This Row],[b1]]&lt;=AY$4),#REF!,AY505),"")</f>
        <v/>
      </c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</row>
    <row r="507" spans="1:79" ht="15.75" hidden="1">
      <c r="A507" s="109">
        <v>-1.0000000000000002E-6</v>
      </c>
      <c r="B507" s="110">
        <f t="shared" si="28"/>
        <v>507</v>
      </c>
      <c r="C507" s="111" t="str">
        <f>IF(C$1=[1]!T.in.A[[#This Row],[oo2]],1,"")</f>
        <v/>
      </c>
      <c r="D507" s="112" t="str">
        <f>IF(Tab.o1[[#This Row],[a1]]=1,IF(SUM(C507:C508)=0,0,IF(SUM(C506:C507)=1,1,IF(SUM(C506:C508)&gt;1,D506+1,0))),"")</f>
        <v/>
      </c>
      <c r="E507" s="113" t="str">
        <f>IF(Tab.o1[[#This Row],[a1]]=1,[1]!T.in.A[[#This Row],[oo1]],"")</f>
        <v/>
      </c>
      <c r="F507" s="113" t="str">
        <f>IF(Tab.o1[[#This Row],[a1]]=1,[1]!T.in.A[[#This Row],[pp1]],"")</f>
        <v/>
      </c>
      <c r="G507" s="114" t="str">
        <f>IF(Tab.o1[[#This Row],[a1]]=1,G$2+IF(G$1=1,0,Tab.o1[[#This Row],[.x1]])+[1]!T.in.A[[#This Row],[oo3]],"")</f>
        <v/>
      </c>
      <c r="H507" s="115" t="str">
        <f>IF(Tab.o1[[#This Row],[a1]]=1,IF(H$2=0,0,IF(G$1=1,0,Tab.o1[[#This Row],[.x1]])+[1]!T.in.A[[#This Row],[oo4]]),"")</f>
        <v/>
      </c>
      <c r="I507" s="116" t="str">
        <f>IF(Tab.o1[[#This Row],[a1]]=1,IF(J$2=0,Tab.o1[[#This Row],[MED]],Tab.o1[[#This Row],[MOD]]),"")</f>
        <v/>
      </c>
      <c r="J507" s="116" t="str">
        <f>IF(Tab.o1[[#This Row],[a1]]=1,((Tab.o1[[#This Row],[DIF_Target.]]-AVERAGE(Tab.o1[DIF_Target.]))/_xlfn.STDEV.P(Tab.o1[DIF_Target.])),"")</f>
        <v/>
      </c>
      <c r="K507" s="117" t="str">
        <f>IF(Tab.o1[[#This Row],[a1]]=1,IF(J$2=0,Tab.o1[[#This Row],[MOD]]-Tab.o1[[#This Row],[B]],IF(J$2=1,0,-Tab.o1[[#This Row],[MED]])+Tab.o1[[#This Row],[B]]),"")</f>
        <v/>
      </c>
      <c r="L507" s="117" t="str">
        <f ca="1">IF(Tab.o1[[#This Row],[DIF_Target]]=0,IF(L$2=0,Tab.o1[[#This Row],[DIF_Target]],AVERAGE(OFFSET(Tab.o1[[#This Row],[DIF_Target]],1,0,L$3,1)))/3,Tab.o1[[#This Row],[DIF_Target]])</f>
        <v/>
      </c>
      <c r="M507" s="118" t="str">
        <f>IF(Tab.o1[[#This Row],[a1]]=1,NORMSDIST(Tab.o1[[#This Row],[Za]]),"")</f>
        <v/>
      </c>
      <c r="N507" s="119" t="str">
        <f>IF(Tab.o1[[#This Row],[a1]]=1,((Tab.o1[[#This Row],[MedMod]]-AVERAGE(Tab.o1[MedMod]))/_xlfn.STDEV.P(Tab.o1[MedMod])*H$1205)+G$1205,"")</f>
        <v/>
      </c>
      <c r="O507" s="141" t="str">
        <f>IF(Tab.o1[[#This Row],[a1]]=1,Tab.o1[[#This Row],[Zb]]*_xlfn.STDEV.P(Tab.o1[MedMod])+AVERAGE(Tab.o1[MedMod]),"")</f>
        <v/>
      </c>
      <c r="P507" s="117" t="str">
        <f ca="1">IF(Tab.o1[[#This Row],[B]]=0,AVERAGE(OFFSET(Tab.o1[[#This Row],[B]],1,0,L$3,1)),Tab.o1[[#This Row],[B]])</f>
        <v/>
      </c>
      <c r="Q507" s="121" t="str">
        <f>IF(Tab.o1[[#This Row],[a1]]=1,NORMSDIST(Tab.o1[[#This Row],[Zb]]),"")</f>
        <v/>
      </c>
      <c r="R507" s="122" t="str">
        <f>IF(Tab.o1[[#This Row],[a1]]=1,((Tab.o1[[#This Row],[MedMod]]-AVERAGE(Tab.o1[MedMod]))/_xlfn.STDEV.P(Tab.o1[MedMod])*H$1203)+G$1203,"")</f>
        <v/>
      </c>
      <c r="S507" s="122" t="str">
        <f>IF(Tab.o1[[#This Row],[a1]]=1,((Tab.o1[[#This Row],[MedMod]]-AVERAGE(Tab.o1[MedMod]))/_xlfn.STDEV.P(Tab.o1[MedMod])*H$1204)+G$1204,"")</f>
        <v/>
      </c>
      <c r="T507" s="123" t="str">
        <f>IF(Tab.o1[[#This Row],[a1]]=1,Tab.o1[[#This Row],[Z-]]*_xlfn.STDEV.P(Tab.o1[B])+AVERAGE(Tab.o1[B]),"")</f>
        <v/>
      </c>
      <c r="U507" s="123" t="str">
        <f>IF(Tab.o1[[#This Row],[a1]]=1,Tab.o1[[#This Row],[z+]]*_xlfn.STDEV.P(Tab.o1[B])+AVERAGE(Tab.o1[B]),"")</f>
        <v/>
      </c>
      <c r="V507" s="124" t="str">
        <f>IF(Tab.o1[[#This Row],[a1]]=1,ABS((ABS(Tab.o1[[#This Row],[Red]]-Tab.o1[[#This Row],[Blue]]))),"")</f>
        <v/>
      </c>
      <c r="W507" s="125" t="str">
        <f>IF(Tab.o1[[#This Row],[a1]]=1,IF(W$3=0,1,Tab.o1[[#This Row],[Amp.]]*1/_xlfn.MINIFS(Tab.o1[Amp.],Tab.o1[Amp.],"&lt;&gt;0")),"")</f>
        <v/>
      </c>
      <c r="X507" s="126" t="str">
        <f>IF(Tab.o1[[#This Row],[a1]]=1,IF(ISNUMBER(Tab.o1[[#This Row],[i.]]),NORMDIST(Tab.o1[[#This Row],[Za]],0,1,FALSE)*Tab.o1[[#This Row],[i.]],AP$3),"")</f>
        <v/>
      </c>
      <c r="Y507" s="126" t="str">
        <f>IF(Tab.o1[[#This Row],[a1]]=1,0.01+0.94*Tab.o1[[#This Row],[PDF]]/MAX(Tab.o1[PDF]),"")</f>
        <v/>
      </c>
      <c r="Z507" s="126" t="str">
        <f>IF(Tab.o1[[#This Row],[a1]]=1,0.01+0.94*Tab.o1[[#This Row],[W1_PDF]]/MAX(Tab.o1[W1_PDF]),"")</f>
        <v/>
      </c>
      <c r="AA507" s="118" t="str">
        <f>IF(Tab.o1[[#This Row],[a1]]=1,ABS([1]!T.in.A[[#This Row],[oo6]]),"")</f>
        <v/>
      </c>
      <c r="AB507" s="127" t="str">
        <f>IF(Tab.o1[[#This Row],[a1]]=1,IF(AE$3=0,"",IF(AB$3=0,ABS([1]!T.in.A[[#This Row],[oo9]]),ABS(Tab.o1[[#This Row],[DIF_Target.]]*Tab.o1[[#This Row],[W1_PDF]]))),"")</f>
        <v/>
      </c>
      <c r="AC507" s="127" t="str">
        <f>IF(G$1=1,"",IF(Tab.o1[[#This Row],[a1]]=1,Tab.o1[[#This Row],[Wr]]^2,""))</f>
        <v/>
      </c>
      <c r="AD507" s="118" t="str">
        <f>IF(Tab.o1[[#This Row],[a1]]=1,IF(AE$3=0,"",Tab.o1[[#This Row],[Wr2]]/SUM(Tab.o1[Wr2])),"")</f>
        <v/>
      </c>
      <c r="AE507" s="128" t="str">
        <f>IF(Tab.o1[[#This Row],[a1]]=1,[1]!T.in.A[[#This Row],[oo10]],"")</f>
        <v/>
      </c>
      <c r="AF507" s="118" t="str">
        <f>IF(Tab.o1[[#This Row],[a1]]=1,ABS(Tab.o1[[#This Row],[DIF_Target.]]*Tab.o1[[#This Row],[PDF2]]*Tab.o1[[#This Row],[IN]]),"")</f>
        <v/>
      </c>
      <c r="AG507" s="129" t="str">
        <f>IF(Tab.o1[[#This Row],[a1]]=1,Tab.o1[[#This Row],[rW]]^2,"")</f>
        <v/>
      </c>
      <c r="AH507" s="130" t="str">
        <f>IF(Tab.o1[[#This Row],[a1]]=1,IF(AH$3=0,Tab.o1[[#This Row],[rW2]],0.01+0.94*Tab.o1[[#This Row],[rW2]]/SUM(Tab.o1[rW2])),"")</f>
        <v/>
      </c>
      <c r="AI507" s="128" t="str">
        <f>IF(Tab.o1[[#This Row],[a1]]=1,1/Tab.o1[[#This Row],[PDF]],"")</f>
        <v/>
      </c>
      <c r="AJ507" s="131" t="str">
        <f>IF(Tab.o1[[#This Row],[a1]]=1,[1]!T_AA[[#This Row],[IN'']]*[1]!T_AA[[#This Row],[Qde'']],"")</f>
        <v/>
      </c>
      <c r="AK507" s="132" t="str">
        <f>IF(Tab.o1[[#This Row],[a1]]=1,IF(AK$1=1,Tab.o1[[#This Row],[MED]]+Tab.o1[[#This Row],[MOD]]-Tab.o1[[#This Row],[MED]],""),"")</f>
        <v/>
      </c>
      <c r="AL507" s="133" t="str">
        <f>IF(Tab.o1[[#This Row],[a1]]=1,[1]!T.in.A[[#This Row],[oo16]],"")</f>
        <v/>
      </c>
      <c r="AM507" s="133" t="str">
        <f>IF(Tab.o1[[#This Row],[a1]]=1,IF(AM$3=1,[1]!T.in.A[[#This Row],[Σo16]],""),"")</f>
        <v/>
      </c>
      <c r="AN507" s="126" t="str">
        <f>IF(Tab.o1[[#This Row],[a1]]=1,[1]!T.in.A[[#This Row],[Σp5]],"")</f>
        <v/>
      </c>
      <c r="AO507" s="126" t="str">
        <f>IF(Tab.o1[[#This Row],[a1]]=1,IF(AO$3=1,[1]!T.in.A[[#This Row],[Σp5]],""),"")</f>
        <v/>
      </c>
      <c r="AP507" s="110" t="str">
        <f>IF(Tab.o1[[#This Row],[a1]]=1,IF(ISNUMBER(Tab.o1[[#This Row],[i.]]),NORMDIST(Tab.o1[[#This Row],[Za]],0,1,FALSE)*Tab.o1[[#This Row],[i.]],0),"")</f>
        <v/>
      </c>
      <c r="AQ507" s="125" t="str">
        <f>IF(Tab.o1[[#This Row],[a1]]=1,ABS(Tab.o1[[#This Row],[MOD]]-AVERAGE(Tab.o1[MOD])),"")</f>
        <v/>
      </c>
      <c r="AR507" s="134" t="str">
        <f>IF(Tab.o1[[#This Row],[a1]]=1,Tab.o1[[#This Row],[OBS]]/SUM(Tab.o1[OBS]),"")</f>
        <v/>
      </c>
      <c r="AS507" s="135" t="str">
        <f>IF(ISNUMBER(Tab.o1[[#This Row],[a1]]),ROW()-4,"")</f>
        <v/>
      </c>
      <c r="AT507" s="136" t="str">
        <f>Tab.o1[[#This Row],[MOD]]</f>
        <v/>
      </c>
      <c r="AU507" s="137" t="str">
        <f t="shared" si="29"/>
        <v/>
      </c>
      <c r="AV507" s="138" t="str">
        <f t="shared" si="30"/>
        <v/>
      </c>
      <c r="AW507" s="138" t="str">
        <f t="shared" si="31"/>
        <v/>
      </c>
      <c r="AX507" s="139" t="str">
        <f>[1]!T.in.A[[#This Row],[ID_T_manu]]</f>
        <v/>
      </c>
      <c r="AY507" s="140" t="str">
        <f>IF(ISNUMBER(Tab.o1[[#This Row],[a1]]),IF(AND(Tab.o1[[#This Row],[a1]]=1,Tab.o1[[#This Row],[b1]]&lt;=AY$4),#REF!,AY506),"")</f>
        <v/>
      </c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</row>
    <row r="508" spans="1:79" ht="15.75" hidden="1">
      <c r="A508" s="109">
        <v>-5.9999999999999993E-6</v>
      </c>
      <c r="B508" s="110">
        <f t="shared" si="28"/>
        <v>508</v>
      </c>
      <c r="C508" s="111" t="str">
        <f>IF(C$1=[1]!T.in.A[[#This Row],[oo2]],1,"")</f>
        <v/>
      </c>
      <c r="D508" s="112" t="str">
        <f>IF(Tab.o1[[#This Row],[a1]]=1,IF(SUM(C508:C509)=0,0,IF(SUM(C507:C508)=1,1,IF(SUM(C507:C509)&gt;1,D507+1,0))),"")</f>
        <v/>
      </c>
      <c r="E508" s="113" t="str">
        <f>IF(Tab.o1[[#This Row],[a1]]=1,[1]!T.in.A[[#This Row],[oo1]],"")</f>
        <v/>
      </c>
      <c r="F508" s="113" t="str">
        <f>IF(Tab.o1[[#This Row],[a1]]=1,[1]!T.in.A[[#This Row],[pp1]],"")</f>
        <v/>
      </c>
      <c r="G508" s="114" t="str">
        <f>IF(Tab.o1[[#This Row],[a1]]=1,G$2+IF(G$1=1,0,Tab.o1[[#This Row],[.x1]])+[1]!T.in.A[[#This Row],[oo3]],"")</f>
        <v/>
      </c>
      <c r="H508" s="115" t="str">
        <f>IF(Tab.o1[[#This Row],[a1]]=1,IF(H$2=0,0,IF(G$1=1,0,Tab.o1[[#This Row],[.x1]])+[1]!T.in.A[[#This Row],[oo4]]),"")</f>
        <v/>
      </c>
      <c r="I508" s="116" t="str">
        <f>IF(Tab.o1[[#This Row],[a1]]=1,IF(J$2=0,Tab.o1[[#This Row],[MED]],Tab.o1[[#This Row],[MOD]]),"")</f>
        <v/>
      </c>
      <c r="J508" s="116" t="str">
        <f>IF(Tab.o1[[#This Row],[a1]]=1,((Tab.o1[[#This Row],[DIF_Target.]]-AVERAGE(Tab.o1[DIF_Target.]))/_xlfn.STDEV.P(Tab.o1[DIF_Target.])),"")</f>
        <v/>
      </c>
      <c r="K508" s="117" t="str">
        <f>IF(Tab.o1[[#This Row],[a1]]=1,IF(J$2=0,Tab.o1[[#This Row],[MOD]]-Tab.o1[[#This Row],[B]],IF(J$2=1,0,-Tab.o1[[#This Row],[MED]])+Tab.o1[[#This Row],[B]]),"")</f>
        <v/>
      </c>
      <c r="L508" s="117" t="str">
        <f ca="1">IF(Tab.o1[[#This Row],[DIF_Target]]=0,IF(L$2=0,Tab.o1[[#This Row],[DIF_Target]],AVERAGE(OFFSET(Tab.o1[[#This Row],[DIF_Target]],1,0,L$3,1)))/3,Tab.o1[[#This Row],[DIF_Target]])</f>
        <v/>
      </c>
      <c r="M508" s="118" t="str">
        <f>IF(Tab.o1[[#This Row],[a1]]=1,NORMSDIST(Tab.o1[[#This Row],[Za]]),"")</f>
        <v/>
      </c>
      <c r="N508" s="119" t="str">
        <f>IF(Tab.o1[[#This Row],[a1]]=1,((Tab.o1[[#This Row],[MedMod]]-AVERAGE(Tab.o1[MedMod]))/_xlfn.STDEV.P(Tab.o1[MedMod])*H$1205)+G$1205,"")</f>
        <v/>
      </c>
      <c r="O508" s="141" t="str">
        <f>IF(Tab.o1[[#This Row],[a1]]=1,Tab.o1[[#This Row],[Zb]]*_xlfn.STDEV.P(Tab.o1[MedMod])+AVERAGE(Tab.o1[MedMod]),"")</f>
        <v/>
      </c>
      <c r="P508" s="117" t="str">
        <f ca="1">IF(Tab.o1[[#This Row],[B]]=0,AVERAGE(OFFSET(Tab.o1[[#This Row],[B]],1,0,L$3,1)),Tab.o1[[#This Row],[B]])</f>
        <v/>
      </c>
      <c r="Q508" s="121" t="str">
        <f>IF(Tab.o1[[#This Row],[a1]]=1,NORMSDIST(Tab.o1[[#This Row],[Zb]]),"")</f>
        <v/>
      </c>
      <c r="R508" s="122" t="str">
        <f>IF(Tab.o1[[#This Row],[a1]]=1,((Tab.o1[[#This Row],[MedMod]]-AVERAGE(Tab.o1[MedMod]))/_xlfn.STDEV.P(Tab.o1[MedMod])*H$1203)+G$1203,"")</f>
        <v/>
      </c>
      <c r="S508" s="122" t="str">
        <f>IF(Tab.o1[[#This Row],[a1]]=1,((Tab.o1[[#This Row],[MedMod]]-AVERAGE(Tab.o1[MedMod]))/_xlfn.STDEV.P(Tab.o1[MedMod])*H$1204)+G$1204,"")</f>
        <v/>
      </c>
      <c r="T508" s="123" t="str">
        <f>IF(Tab.o1[[#This Row],[a1]]=1,Tab.o1[[#This Row],[Z-]]*_xlfn.STDEV.P(Tab.o1[B])+AVERAGE(Tab.o1[B]),"")</f>
        <v/>
      </c>
      <c r="U508" s="123" t="str">
        <f>IF(Tab.o1[[#This Row],[a1]]=1,Tab.o1[[#This Row],[z+]]*_xlfn.STDEV.P(Tab.o1[B])+AVERAGE(Tab.o1[B]),"")</f>
        <v/>
      </c>
      <c r="V508" s="124" t="str">
        <f>IF(Tab.o1[[#This Row],[a1]]=1,ABS((ABS(Tab.o1[[#This Row],[Red]]-Tab.o1[[#This Row],[Blue]]))),"")</f>
        <v/>
      </c>
      <c r="W508" s="125" t="str">
        <f>IF(Tab.o1[[#This Row],[a1]]=1,IF(W$3=0,1,Tab.o1[[#This Row],[Amp.]]*1/_xlfn.MINIFS(Tab.o1[Amp.],Tab.o1[Amp.],"&lt;&gt;0")),"")</f>
        <v/>
      </c>
      <c r="X508" s="126" t="str">
        <f>IF(Tab.o1[[#This Row],[a1]]=1,IF(ISNUMBER(Tab.o1[[#This Row],[i.]]),NORMDIST(Tab.o1[[#This Row],[Za]],0,1,FALSE)*Tab.o1[[#This Row],[i.]],AP$3),"")</f>
        <v/>
      </c>
      <c r="Y508" s="126" t="str">
        <f>IF(Tab.o1[[#This Row],[a1]]=1,0.01+0.94*Tab.o1[[#This Row],[PDF]]/MAX(Tab.o1[PDF]),"")</f>
        <v/>
      </c>
      <c r="Z508" s="126" t="str">
        <f>IF(Tab.o1[[#This Row],[a1]]=1,0.01+0.94*Tab.o1[[#This Row],[W1_PDF]]/MAX(Tab.o1[W1_PDF]),"")</f>
        <v/>
      </c>
      <c r="AA508" s="118" t="str">
        <f>IF(Tab.o1[[#This Row],[a1]]=1,ABS([1]!T.in.A[[#This Row],[oo6]]),"")</f>
        <v/>
      </c>
      <c r="AB508" s="127" t="str">
        <f>IF(Tab.o1[[#This Row],[a1]]=1,IF(AE$3=0,"",IF(AB$3=0,ABS([1]!T.in.A[[#This Row],[oo9]]),ABS(Tab.o1[[#This Row],[DIF_Target.]]*Tab.o1[[#This Row],[W1_PDF]]))),"")</f>
        <v/>
      </c>
      <c r="AC508" s="127" t="str">
        <f>IF(G$1=1,"",IF(Tab.o1[[#This Row],[a1]]=1,Tab.o1[[#This Row],[Wr]]^2,""))</f>
        <v/>
      </c>
      <c r="AD508" s="118" t="str">
        <f>IF(Tab.o1[[#This Row],[a1]]=1,IF(AE$3=0,"",Tab.o1[[#This Row],[Wr2]]/SUM(Tab.o1[Wr2])),"")</f>
        <v/>
      </c>
      <c r="AE508" s="128" t="str">
        <f>IF(Tab.o1[[#This Row],[a1]]=1,[1]!T.in.A[[#This Row],[oo10]],"")</f>
        <v/>
      </c>
      <c r="AF508" s="118" t="str">
        <f>IF(Tab.o1[[#This Row],[a1]]=1,ABS(Tab.o1[[#This Row],[DIF_Target.]]*Tab.o1[[#This Row],[PDF2]]*Tab.o1[[#This Row],[IN]]),"")</f>
        <v/>
      </c>
      <c r="AG508" s="129" t="str">
        <f>IF(Tab.o1[[#This Row],[a1]]=1,Tab.o1[[#This Row],[rW]]^2,"")</f>
        <v/>
      </c>
      <c r="AH508" s="130" t="str">
        <f>IF(Tab.o1[[#This Row],[a1]]=1,IF(AH$3=0,Tab.o1[[#This Row],[rW2]],0.01+0.94*Tab.o1[[#This Row],[rW2]]/SUM(Tab.o1[rW2])),"")</f>
        <v/>
      </c>
      <c r="AI508" s="128" t="str">
        <f>IF(Tab.o1[[#This Row],[a1]]=1,1/Tab.o1[[#This Row],[PDF]],"")</f>
        <v/>
      </c>
      <c r="AJ508" s="131" t="str">
        <f>IF(Tab.o1[[#This Row],[a1]]=1,[1]!T_AA[[#This Row],[IN'']]*[1]!T_AA[[#This Row],[Qde'']],"")</f>
        <v/>
      </c>
      <c r="AK508" s="132" t="str">
        <f>IF(Tab.o1[[#This Row],[a1]]=1,IF(AK$1=1,Tab.o1[[#This Row],[MED]]+Tab.o1[[#This Row],[MOD]]-Tab.o1[[#This Row],[MED]],""),"")</f>
        <v/>
      </c>
      <c r="AL508" s="133" t="str">
        <f>IF(Tab.o1[[#This Row],[a1]]=1,[1]!T.in.A[[#This Row],[oo16]],"")</f>
        <v/>
      </c>
      <c r="AM508" s="133" t="str">
        <f>IF(Tab.o1[[#This Row],[a1]]=1,IF(AM$3=1,[1]!T.in.A[[#This Row],[Σo16]],""),"")</f>
        <v/>
      </c>
      <c r="AN508" s="126" t="str">
        <f>IF(Tab.o1[[#This Row],[a1]]=1,[1]!T.in.A[[#This Row],[Σp5]],"")</f>
        <v/>
      </c>
      <c r="AO508" s="126" t="str">
        <f>IF(Tab.o1[[#This Row],[a1]]=1,IF(AO$3=1,[1]!T.in.A[[#This Row],[Σp5]],""),"")</f>
        <v/>
      </c>
      <c r="AP508" s="110" t="str">
        <f>IF(Tab.o1[[#This Row],[a1]]=1,IF(ISNUMBER(Tab.o1[[#This Row],[i.]]),NORMDIST(Tab.o1[[#This Row],[Za]],0,1,FALSE)*Tab.o1[[#This Row],[i.]],0),"")</f>
        <v/>
      </c>
      <c r="AQ508" s="125" t="str">
        <f>IF(Tab.o1[[#This Row],[a1]]=1,ABS(Tab.o1[[#This Row],[MOD]]-AVERAGE(Tab.o1[MOD])),"")</f>
        <v/>
      </c>
      <c r="AR508" s="134" t="str">
        <f>IF(Tab.o1[[#This Row],[a1]]=1,Tab.o1[[#This Row],[OBS]]/SUM(Tab.o1[OBS]),"")</f>
        <v/>
      </c>
      <c r="AS508" s="135" t="str">
        <f>IF(ISNUMBER(Tab.o1[[#This Row],[a1]]),ROW()-4,"")</f>
        <v/>
      </c>
      <c r="AT508" s="136" t="str">
        <f>Tab.o1[[#This Row],[MOD]]</f>
        <v/>
      </c>
      <c r="AU508" s="137" t="str">
        <f t="shared" si="29"/>
        <v/>
      </c>
      <c r="AV508" s="138" t="str">
        <f t="shared" si="30"/>
        <v/>
      </c>
      <c r="AW508" s="138" t="str">
        <f t="shared" si="31"/>
        <v/>
      </c>
      <c r="AX508" s="139" t="str">
        <f>[1]!T.in.A[[#This Row],[ID_T_manu]]</f>
        <v/>
      </c>
      <c r="AY508" s="140" t="str">
        <f>IF(ISNUMBER(Tab.o1[[#This Row],[a1]]),IF(AND(Tab.o1[[#This Row],[a1]]=1,Tab.o1[[#This Row],[b1]]&lt;=AY$4),#REF!,AY507),"")</f>
        <v/>
      </c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</row>
    <row r="509" spans="1:79" ht="15.75" hidden="1">
      <c r="A509" s="109">
        <v>-1.0000000000000002E-6</v>
      </c>
      <c r="B509" s="110">
        <f t="shared" si="28"/>
        <v>509</v>
      </c>
      <c r="C509" s="111" t="str">
        <f>IF(C$1=[1]!T.in.A[[#This Row],[oo2]],1,"")</f>
        <v/>
      </c>
      <c r="D509" s="112" t="str">
        <f>IF(Tab.o1[[#This Row],[a1]]=1,IF(SUM(C509:C510)=0,0,IF(SUM(C508:C509)=1,1,IF(SUM(C508:C510)&gt;1,D508+1,0))),"")</f>
        <v/>
      </c>
      <c r="E509" s="113" t="str">
        <f>IF(Tab.o1[[#This Row],[a1]]=1,[1]!T.in.A[[#This Row],[oo1]],"")</f>
        <v/>
      </c>
      <c r="F509" s="113" t="str">
        <f>IF(Tab.o1[[#This Row],[a1]]=1,[1]!T.in.A[[#This Row],[pp1]],"")</f>
        <v/>
      </c>
      <c r="G509" s="114" t="str">
        <f>IF(Tab.o1[[#This Row],[a1]]=1,G$2+IF(G$1=1,0,Tab.o1[[#This Row],[.x1]])+[1]!T.in.A[[#This Row],[oo3]],"")</f>
        <v/>
      </c>
      <c r="H509" s="115" t="str">
        <f>IF(Tab.o1[[#This Row],[a1]]=1,IF(H$2=0,0,IF(G$1=1,0,Tab.o1[[#This Row],[.x1]])+[1]!T.in.A[[#This Row],[oo4]]),"")</f>
        <v/>
      </c>
      <c r="I509" s="116" t="str">
        <f>IF(Tab.o1[[#This Row],[a1]]=1,IF(J$2=0,Tab.o1[[#This Row],[MED]],Tab.o1[[#This Row],[MOD]]),"")</f>
        <v/>
      </c>
      <c r="J509" s="116" t="str">
        <f>IF(Tab.o1[[#This Row],[a1]]=1,((Tab.o1[[#This Row],[DIF_Target.]]-AVERAGE(Tab.o1[DIF_Target.]))/_xlfn.STDEV.P(Tab.o1[DIF_Target.])),"")</f>
        <v/>
      </c>
      <c r="K509" s="117" t="str">
        <f>IF(Tab.o1[[#This Row],[a1]]=1,IF(J$2=0,Tab.o1[[#This Row],[MOD]]-Tab.o1[[#This Row],[B]],IF(J$2=1,0,-Tab.o1[[#This Row],[MED]])+Tab.o1[[#This Row],[B]]),"")</f>
        <v/>
      </c>
      <c r="L509" s="117" t="str">
        <f ca="1">IF(Tab.o1[[#This Row],[DIF_Target]]=0,IF(L$2=0,Tab.o1[[#This Row],[DIF_Target]],AVERAGE(OFFSET(Tab.o1[[#This Row],[DIF_Target]],1,0,L$3,1)))/3,Tab.o1[[#This Row],[DIF_Target]])</f>
        <v/>
      </c>
      <c r="M509" s="118" t="str">
        <f>IF(Tab.o1[[#This Row],[a1]]=1,NORMSDIST(Tab.o1[[#This Row],[Za]]),"")</f>
        <v/>
      </c>
      <c r="N509" s="119" t="str">
        <f>IF(Tab.o1[[#This Row],[a1]]=1,((Tab.o1[[#This Row],[MedMod]]-AVERAGE(Tab.o1[MedMod]))/_xlfn.STDEV.P(Tab.o1[MedMod])*H$1205)+G$1205,"")</f>
        <v/>
      </c>
      <c r="O509" s="141" t="str">
        <f>IF(Tab.o1[[#This Row],[a1]]=1,Tab.o1[[#This Row],[Zb]]*_xlfn.STDEV.P(Tab.o1[MedMod])+AVERAGE(Tab.o1[MedMod]),"")</f>
        <v/>
      </c>
      <c r="P509" s="117" t="str">
        <f ca="1">IF(Tab.o1[[#This Row],[B]]=0,AVERAGE(OFFSET(Tab.o1[[#This Row],[B]],1,0,L$3,1)),Tab.o1[[#This Row],[B]])</f>
        <v/>
      </c>
      <c r="Q509" s="121" t="str">
        <f>IF(Tab.o1[[#This Row],[a1]]=1,NORMSDIST(Tab.o1[[#This Row],[Zb]]),"")</f>
        <v/>
      </c>
      <c r="R509" s="122" t="str">
        <f>IF(Tab.o1[[#This Row],[a1]]=1,((Tab.o1[[#This Row],[MedMod]]-AVERAGE(Tab.o1[MedMod]))/_xlfn.STDEV.P(Tab.o1[MedMod])*H$1203)+G$1203,"")</f>
        <v/>
      </c>
      <c r="S509" s="122" t="str">
        <f>IF(Tab.o1[[#This Row],[a1]]=1,((Tab.o1[[#This Row],[MedMod]]-AVERAGE(Tab.o1[MedMod]))/_xlfn.STDEV.P(Tab.o1[MedMod])*H$1204)+G$1204,"")</f>
        <v/>
      </c>
      <c r="T509" s="123" t="str">
        <f>IF(Tab.o1[[#This Row],[a1]]=1,Tab.o1[[#This Row],[Z-]]*_xlfn.STDEV.P(Tab.o1[B])+AVERAGE(Tab.o1[B]),"")</f>
        <v/>
      </c>
      <c r="U509" s="123" t="str">
        <f>IF(Tab.o1[[#This Row],[a1]]=1,Tab.o1[[#This Row],[z+]]*_xlfn.STDEV.P(Tab.o1[B])+AVERAGE(Tab.o1[B]),"")</f>
        <v/>
      </c>
      <c r="V509" s="124" t="str">
        <f>IF(Tab.o1[[#This Row],[a1]]=1,ABS((ABS(Tab.o1[[#This Row],[Red]]-Tab.o1[[#This Row],[Blue]]))),"")</f>
        <v/>
      </c>
      <c r="W509" s="125" t="str">
        <f>IF(Tab.o1[[#This Row],[a1]]=1,IF(W$3=0,1,Tab.o1[[#This Row],[Amp.]]*1/_xlfn.MINIFS(Tab.o1[Amp.],Tab.o1[Amp.],"&lt;&gt;0")),"")</f>
        <v/>
      </c>
      <c r="X509" s="126" t="str">
        <f>IF(Tab.o1[[#This Row],[a1]]=1,IF(ISNUMBER(Tab.o1[[#This Row],[i.]]),NORMDIST(Tab.o1[[#This Row],[Za]],0,1,FALSE)*Tab.o1[[#This Row],[i.]],AP$3),"")</f>
        <v/>
      </c>
      <c r="Y509" s="126" t="str">
        <f>IF(Tab.o1[[#This Row],[a1]]=1,0.01+0.94*Tab.o1[[#This Row],[PDF]]/MAX(Tab.o1[PDF]),"")</f>
        <v/>
      </c>
      <c r="Z509" s="126" t="str">
        <f>IF(Tab.o1[[#This Row],[a1]]=1,0.01+0.94*Tab.o1[[#This Row],[W1_PDF]]/MAX(Tab.o1[W1_PDF]),"")</f>
        <v/>
      </c>
      <c r="AA509" s="118" t="str">
        <f>IF(Tab.o1[[#This Row],[a1]]=1,ABS([1]!T.in.A[[#This Row],[oo6]]),"")</f>
        <v/>
      </c>
      <c r="AB509" s="127" t="str">
        <f>IF(Tab.o1[[#This Row],[a1]]=1,IF(AE$3=0,"",IF(AB$3=0,ABS([1]!T.in.A[[#This Row],[oo9]]),ABS(Tab.o1[[#This Row],[DIF_Target.]]*Tab.o1[[#This Row],[W1_PDF]]))),"")</f>
        <v/>
      </c>
      <c r="AC509" s="127" t="str">
        <f>IF(G$1=1,"",IF(Tab.o1[[#This Row],[a1]]=1,Tab.o1[[#This Row],[Wr]]^2,""))</f>
        <v/>
      </c>
      <c r="AD509" s="118" t="str">
        <f>IF(Tab.o1[[#This Row],[a1]]=1,IF(AE$3=0,"",Tab.o1[[#This Row],[Wr2]]/SUM(Tab.o1[Wr2])),"")</f>
        <v/>
      </c>
      <c r="AE509" s="128" t="str">
        <f>IF(Tab.o1[[#This Row],[a1]]=1,[1]!T.in.A[[#This Row],[oo10]],"")</f>
        <v/>
      </c>
      <c r="AF509" s="118" t="str">
        <f>IF(Tab.o1[[#This Row],[a1]]=1,ABS(Tab.o1[[#This Row],[DIF_Target.]]*Tab.o1[[#This Row],[PDF2]]*Tab.o1[[#This Row],[IN]]),"")</f>
        <v/>
      </c>
      <c r="AG509" s="129" t="str">
        <f>IF(Tab.o1[[#This Row],[a1]]=1,Tab.o1[[#This Row],[rW]]^2,"")</f>
        <v/>
      </c>
      <c r="AH509" s="130" t="str">
        <f>IF(Tab.o1[[#This Row],[a1]]=1,IF(AH$3=0,Tab.o1[[#This Row],[rW2]],0.01+0.94*Tab.o1[[#This Row],[rW2]]/SUM(Tab.o1[rW2])),"")</f>
        <v/>
      </c>
      <c r="AI509" s="128" t="str">
        <f>IF(Tab.o1[[#This Row],[a1]]=1,1/Tab.o1[[#This Row],[PDF]],"")</f>
        <v/>
      </c>
      <c r="AJ509" s="131" t="str">
        <f>IF(Tab.o1[[#This Row],[a1]]=1,[1]!T_AA[[#This Row],[IN'']]*[1]!T_AA[[#This Row],[Qde'']],"")</f>
        <v/>
      </c>
      <c r="AK509" s="132" t="str">
        <f>IF(Tab.o1[[#This Row],[a1]]=1,IF(AK$1=1,Tab.o1[[#This Row],[MED]]+Tab.o1[[#This Row],[MOD]]-Tab.o1[[#This Row],[MED]],""),"")</f>
        <v/>
      </c>
      <c r="AL509" s="133" t="str">
        <f>IF(Tab.o1[[#This Row],[a1]]=1,[1]!T.in.A[[#This Row],[oo16]],"")</f>
        <v/>
      </c>
      <c r="AM509" s="133" t="str">
        <f>IF(Tab.o1[[#This Row],[a1]]=1,IF(AM$3=1,[1]!T.in.A[[#This Row],[Σo16]],""),"")</f>
        <v/>
      </c>
      <c r="AN509" s="126" t="str">
        <f>IF(Tab.o1[[#This Row],[a1]]=1,[1]!T.in.A[[#This Row],[Σp5]],"")</f>
        <v/>
      </c>
      <c r="AO509" s="126" t="str">
        <f>IF(Tab.o1[[#This Row],[a1]]=1,IF(AO$3=1,[1]!T.in.A[[#This Row],[Σp5]],""),"")</f>
        <v/>
      </c>
      <c r="AP509" s="110" t="str">
        <f>IF(Tab.o1[[#This Row],[a1]]=1,IF(ISNUMBER(Tab.o1[[#This Row],[i.]]),NORMDIST(Tab.o1[[#This Row],[Za]],0,1,FALSE)*Tab.o1[[#This Row],[i.]],0),"")</f>
        <v/>
      </c>
      <c r="AQ509" s="125" t="str">
        <f>IF(Tab.o1[[#This Row],[a1]]=1,ABS(Tab.o1[[#This Row],[MOD]]-AVERAGE(Tab.o1[MOD])),"")</f>
        <v/>
      </c>
      <c r="AR509" s="134" t="str">
        <f>IF(Tab.o1[[#This Row],[a1]]=1,Tab.o1[[#This Row],[OBS]]/SUM(Tab.o1[OBS]),"")</f>
        <v/>
      </c>
      <c r="AS509" s="135" t="str">
        <f>IF(ISNUMBER(Tab.o1[[#This Row],[a1]]),ROW()-4,"")</f>
        <v/>
      </c>
      <c r="AT509" s="136" t="str">
        <f>Tab.o1[[#This Row],[MOD]]</f>
        <v/>
      </c>
      <c r="AU509" s="137" t="str">
        <f t="shared" si="29"/>
        <v/>
      </c>
      <c r="AV509" s="138" t="str">
        <f t="shared" si="30"/>
        <v/>
      </c>
      <c r="AW509" s="138" t="str">
        <f t="shared" si="31"/>
        <v/>
      </c>
      <c r="AX509" s="139" t="str">
        <f>[1]!T.in.A[[#This Row],[ID_T_manu]]</f>
        <v/>
      </c>
      <c r="AY509" s="140" t="str">
        <f>IF(ISNUMBER(Tab.o1[[#This Row],[a1]]),IF(AND(Tab.o1[[#This Row],[a1]]=1,Tab.o1[[#This Row],[b1]]&lt;=AY$4),#REF!,AY508),"")</f>
        <v/>
      </c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</row>
    <row r="510" spans="1:79" ht="15.75" hidden="1">
      <c r="A510" s="109">
        <v>-1.0000000000000002E-6</v>
      </c>
      <c r="B510" s="110">
        <f t="shared" si="28"/>
        <v>510</v>
      </c>
      <c r="C510" s="111" t="str">
        <f>IF(C$1=[1]!T.in.A[[#This Row],[oo2]],1,"")</f>
        <v/>
      </c>
      <c r="D510" s="112" t="str">
        <f>IF(Tab.o1[[#This Row],[a1]]=1,IF(SUM(C510:C511)=0,0,IF(SUM(C509:C510)=1,1,IF(SUM(C509:C511)&gt;1,D509+1,0))),"")</f>
        <v/>
      </c>
      <c r="E510" s="113" t="str">
        <f>IF(Tab.o1[[#This Row],[a1]]=1,[1]!T.in.A[[#This Row],[oo1]],"")</f>
        <v/>
      </c>
      <c r="F510" s="113" t="str">
        <f>IF(Tab.o1[[#This Row],[a1]]=1,[1]!T.in.A[[#This Row],[pp1]],"")</f>
        <v/>
      </c>
      <c r="G510" s="114" t="str">
        <f>IF(Tab.o1[[#This Row],[a1]]=1,G$2+IF(G$1=1,0,Tab.o1[[#This Row],[.x1]])+[1]!T.in.A[[#This Row],[oo3]],"")</f>
        <v/>
      </c>
      <c r="H510" s="115" t="str">
        <f>IF(Tab.o1[[#This Row],[a1]]=1,IF(H$2=0,0,IF(G$1=1,0,Tab.o1[[#This Row],[.x1]])+[1]!T.in.A[[#This Row],[oo4]]),"")</f>
        <v/>
      </c>
      <c r="I510" s="116" t="str">
        <f>IF(Tab.o1[[#This Row],[a1]]=1,IF(J$2=0,Tab.o1[[#This Row],[MED]],Tab.o1[[#This Row],[MOD]]),"")</f>
        <v/>
      </c>
      <c r="J510" s="116" t="str">
        <f>IF(Tab.o1[[#This Row],[a1]]=1,((Tab.o1[[#This Row],[DIF_Target.]]-AVERAGE(Tab.o1[DIF_Target.]))/_xlfn.STDEV.P(Tab.o1[DIF_Target.])),"")</f>
        <v/>
      </c>
      <c r="K510" s="117" t="str">
        <f>IF(Tab.o1[[#This Row],[a1]]=1,IF(J$2=0,Tab.o1[[#This Row],[MOD]]-Tab.o1[[#This Row],[B]],IF(J$2=1,0,-Tab.o1[[#This Row],[MED]])+Tab.o1[[#This Row],[B]]),"")</f>
        <v/>
      </c>
      <c r="L510" s="117" t="str">
        <f ca="1">IF(Tab.o1[[#This Row],[DIF_Target]]=0,IF(L$2=0,Tab.o1[[#This Row],[DIF_Target]],AVERAGE(OFFSET(Tab.o1[[#This Row],[DIF_Target]],1,0,L$3,1)))/3,Tab.o1[[#This Row],[DIF_Target]])</f>
        <v/>
      </c>
      <c r="M510" s="118" t="str">
        <f>IF(Tab.o1[[#This Row],[a1]]=1,NORMSDIST(Tab.o1[[#This Row],[Za]]),"")</f>
        <v/>
      </c>
      <c r="N510" s="119" t="str">
        <f>IF(Tab.o1[[#This Row],[a1]]=1,((Tab.o1[[#This Row],[MedMod]]-AVERAGE(Tab.o1[MedMod]))/_xlfn.STDEV.P(Tab.o1[MedMod])*H$1205)+G$1205,"")</f>
        <v/>
      </c>
      <c r="O510" s="141" t="str">
        <f>IF(Tab.o1[[#This Row],[a1]]=1,Tab.o1[[#This Row],[Zb]]*_xlfn.STDEV.P(Tab.o1[MedMod])+AVERAGE(Tab.o1[MedMod]),"")</f>
        <v/>
      </c>
      <c r="P510" s="117" t="str">
        <f ca="1">IF(Tab.o1[[#This Row],[B]]=0,AVERAGE(OFFSET(Tab.o1[[#This Row],[B]],1,0,L$3,1)),Tab.o1[[#This Row],[B]])</f>
        <v/>
      </c>
      <c r="Q510" s="121" t="str">
        <f>IF(Tab.o1[[#This Row],[a1]]=1,NORMSDIST(Tab.o1[[#This Row],[Zb]]),"")</f>
        <v/>
      </c>
      <c r="R510" s="122" t="str">
        <f>IF(Tab.o1[[#This Row],[a1]]=1,((Tab.o1[[#This Row],[MedMod]]-AVERAGE(Tab.o1[MedMod]))/_xlfn.STDEV.P(Tab.o1[MedMod])*H$1203)+G$1203,"")</f>
        <v/>
      </c>
      <c r="S510" s="122" t="str">
        <f>IF(Tab.o1[[#This Row],[a1]]=1,((Tab.o1[[#This Row],[MedMod]]-AVERAGE(Tab.o1[MedMod]))/_xlfn.STDEV.P(Tab.o1[MedMod])*H$1204)+G$1204,"")</f>
        <v/>
      </c>
      <c r="T510" s="123" t="str">
        <f>IF(Tab.o1[[#This Row],[a1]]=1,Tab.o1[[#This Row],[Z-]]*_xlfn.STDEV.P(Tab.o1[B])+AVERAGE(Tab.o1[B]),"")</f>
        <v/>
      </c>
      <c r="U510" s="123" t="str">
        <f>IF(Tab.o1[[#This Row],[a1]]=1,Tab.o1[[#This Row],[z+]]*_xlfn.STDEV.P(Tab.o1[B])+AVERAGE(Tab.o1[B]),"")</f>
        <v/>
      </c>
      <c r="V510" s="124" t="str">
        <f>IF(Tab.o1[[#This Row],[a1]]=1,ABS((ABS(Tab.o1[[#This Row],[Red]]-Tab.o1[[#This Row],[Blue]]))),"")</f>
        <v/>
      </c>
      <c r="W510" s="125" t="str">
        <f>IF(Tab.o1[[#This Row],[a1]]=1,IF(W$3=0,1,Tab.o1[[#This Row],[Amp.]]*1/_xlfn.MINIFS(Tab.o1[Amp.],Tab.o1[Amp.],"&lt;&gt;0")),"")</f>
        <v/>
      </c>
      <c r="X510" s="126" t="str">
        <f>IF(Tab.o1[[#This Row],[a1]]=1,IF(ISNUMBER(Tab.o1[[#This Row],[i.]]),NORMDIST(Tab.o1[[#This Row],[Za]],0,1,FALSE)*Tab.o1[[#This Row],[i.]],AP$3),"")</f>
        <v/>
      </c>
      <c r="Y510" s="126" t="str">
        <f>IF(Tab.o1[[#This Row],[a1]]=1,0.01+0.94*Tab.o1[[#This Row],[PDF]]/MAX(Tab.o1[PDF]),"")</f>
        <v/>
      </c>
      <c r="Z510" s="126" t="str">
        <f>IF(Tab.o1[[#This Row],[a1]]=1,0.01+0.94*Tab.o1[[#This Row],[W1_PDF]]/MAX(Tab.o1[W1_PDF]),"")</f>
        <v/>
      </c>
      <c r="AA510" s="118" t="str">
        <f>IF(Tab.o1[[#This Row],[a1]]=1,ABS([1]!T.in.A[[#This Row],[oo6]]),"")</f>
        <v/>
      </c>
      <c r="AB510" s="127" t="str">
        <f>IF(Tab.o1[[#This Row],[a1]]=1,IF(AE$3=0,"",IF(AB$3=0,ABS([1]!T.in.A[[#This Row],[oo9]]),ABS(Tab.o1[[#This Row],[DIF_Target.]]*Tab.o1[[#This Row],[W1_PDF]]))),"")</f>
        <v/>
      </c>
      <c r="AC510" s="127" t="str">
        <f>IF(G$1=1,"",IF(Tab.o1[[#This Row],[a1]]=1,Tab.o1[[#This Row],[Wr]]^2,""))</f>
        <v/>
      </c>
      <c r="AD510" s="118" t="str">
        <f>IF(Tab.o1[[#This Row],[a1]]=1,IF(AE$3=0,"",Tab.o1[[#This Row],[Wr2]]/SUM(Tab.o1[Wr2])),"")</f>
        <v/>
      </c>
      <c r="AE510" s="128" t="str">
        <f>IF(Tab.o1[[#This Row],[a1]]=1,[1]!T.in.A[[#This Row],[oo10]],"")</f>
        <v/>
      </c>
      <c r="AF510" s="118" t="str">
        <f>IF(Tab.o1[[#This Row],[a1]]=1,ABS(Tab.o1[[#This Row],[DIF_Target.]]*Tab.o1[[#This Row],[PDF2]]*Tab.o1[[#This Row],[IN]]),"")</f>
        <v/>
      </c>
      <c r="AG510" s="129" t="str">
        <f>IF(Tab.o1[[#This Row],[a1]]=1,Tab.o1[[#This Row],[rW]]^2,"")</f>
        <v/>
      </c>
      <c r="AH510" s="130" t="str">
        <f>IF(Tab.o1[[#This Row],[a1]]=1,IF(AH$3=0,Tab.o1[[#This Row],[rW2]],0.01+0.94*Tab.o1[[#This Row],[rW2]]/SUM(Tab.o1[rW2])),"")</f>
        <v/>
      </c>
      <c r="AI510" s="128" t="str">
        <f>IF(Tab.o1[[#This Row],[a1]]=1,1/Tab.o1[[#This Row],[PDF]],"")</f>
        <v/>
      </c>
      <c r="AJ510" s="131" t="str">
        <f>IF(Tab.o1[[#This Row],[a1]]=1,[1]!T_AA[[#This Row],[IN'']]*[1]!T_AA[[#This Row],[Qde'']],"")</f>
        <v/>
      </c>
      <c r="AK510" s="132" t="str">
        <f>IF(Tab.o1[[#This Row],[a1]]=1,IF(AK$1=1,Tab.o1[[#This Row],[MED]]+Tab.o1[[#This Row],[MOD]]-Tab.o1[[#This Row],[MED]],""),"")</f>
        <v/>
      </c>
      <c r="AL510" s="133" t="str">
        <f>IF(Tab.o1[[#This Row],[a1]]=1,[1]!T.in.A[[#This Row],[oo16]],"")</f>
        <v/>
      </c>
      <c r="AM510" s="133" t="str">
        <f>IF(Tab.o1[[#This Row],[a1]]=1,IF(AM$3=1,[1]!T.in.A[[#This Row],[Σo16]],""),"")</f>
        <v/>
      </c>
      <c r="AN510" s="126" t="str">
        <f>IF(Tab.o1[[#This Row],[a1]]=1,[1]!T.in.A[[#This Row],[Σp5]],"")</f>
        <v/>
      </c>
      <c r="AO510" s="126" t="str">
        <f>IF(Tab.o1[[#This Row],[a1]]=1,IF(AO$3=1,[1]!T.in.A[[#This Row],[Σp5]],""),"")</f>
        <v/>
      </c>
      <c r="AP510" s="110" t="str">
        <f>IF(Tab.o1[[#This Row],[a1]]=1,IF(ISNUMBER(Tab.o1[[#This Row],[i.]]),NORMDIST(Tab.o1[[#This Row],[Za]],0,1,FALSE)*Tab.o1[[#This Row],[i.]],0),"")</f>
        <v/>
      </c>
      <c r="AQ510" s="125" t="str">
        <f>IF(Tab.o1[[#This Row],[a1]]=1,ABS(Tab.o1[[#This Row],[MOD]]-AVERAGE(Tab.o1[MOD])),"")</f>
        <v/>
      </c>
      <c r="AR510" s="134" t="str">
        <f>IF(Tab.o1[[#This Row],[a1]]=1,Tab.o1[[#This Row],[OBS]]/SUM(Tab.o1[OBS]),"")</f>
        <v/>
      </c>
      <c r="AS510" s="135" t="str">
        <f>IF(ISNUMBER(Tab.o1[[#This Row],[a1]]),ROW()-4,"")</f>
        <v/>
      </c>
      <c r="AT510" s="136" t="str">
        <f>Tab.o1[[#This Row],[MOD]]</f>
        <v/>
      </c>
      <c r="AU510" s="137" t="str">
        <f t="shared" si="29"/>
        <v/>
      </c>
      <c r="AV510" s="138" t="str">
        <f t="shared" si="30"/>
        <v/>
      </c>
      <c r="AW510" s="138" t="str">
        <f t="shared" si="31"/>
        <v/>
      </c>
      <c r="AX510" s="139" t="str">
        <f>[1]!T.in.A[[#This Row],[ID_T_manu]]</f>
        <v/>
      </c>
      <c r="AY510" s="140" t="str">
        <f>IF(ISNUMBER(Tab.o1[[#This Row],[a1]]),IF(AND(Tab.o1[[#This Row],[a1]]=1,Tab.o1[[#This Row],[b1]]&lt;=AY$4),#REF!,AY509),"")</f>
        <v/>
      </c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</row>
    <row r="511" spans="1:79" ht="15.75" hidden="1">
      <c r="A511" s="109">
        <v>5.0000000000000004E-6</v>
      </c>
      <c r="B511" s="110">
        <f t="shared" si="28"/>
        <v>511</v>
      </c>
      <c r="C511" s="111" t="str">
        <f>IF(C$1=[1]!T.in.A[[#This Row],[oo2]],1,"")</f>
        <v/>
      </c>
      <c r="D511" s="112" t="str">
        <f>IF(Tab.o1[[#This Row],[a1]]=1,IF(SUM(C511:C512)=0,0,IF(SUM(C510:C511)=1,1,IF(SUM(C510:C512)&gt;1,D510+1,0))),"")</f>
        <v/>
      </c>
      <c r="E511" s="113" t="str">
        <f>IF(Tab.o1[[#This Row],[a1]]=1,[1]!T.in.A[[#This Row],[oo1]],"")</f>
        <v/>
      </c>
      <c r="F511" s="113" t="str">
        <f>IF(Tab.o1[[#This Row],[a1]]=1,[1]!T.in.A[[#This Row],[pp1]],"")</f>
        <v/>
      </c>
      <c r="G511" s="114" t="str">
        <f>IF(Tab.o1[[#This Row],[a1]]=1,G$2+IF(G$1=1,0,Tab.o1[[#This Row],[.x1]])+[1]!T.in.A[[#This Row],[oo3]],"")</f>
        <v/>
      </c>
      <c r="H511" s="115" t="str">
        <f>IF(Tab.o1[[#This Row],[a1]]=1,IF(H$2=0,0,IF(G$1=1,0,Tab.o1[[#This Row],[.x1]])+[1]!T.in.A[[#This Row],[oo4]]),"")</f>
        <v/>
      </c>
      <c r="I511" s="116" t="str">
        <f>IF(Tab.o1[[#This Row],[a1]]=1,IF(J$2=0,Tab.o1[[#This Row],[MED]],Tab.o1[[#This Row],[MOD]]),"")</f>
        <v/>
      </c>
      <c r="J511" s="116" t="str">
        <f>IF(Tab.o1[[#This Row],[a1]]=1,((Tab.o1[[#This Row],[DIF_Target.]]-AVERAGE(Tab.o1[DIF_Target.]))/_xlfn.STDEV.P(Tab.o1[DIF_Target.])),"")</f>
        <v/>
      </c>
      <c r="K511" s="117" t="str">
        <f>IF(Tab.o1[[#This Row],[a1]]=1,IF(J$2=0,Tab.o1[[#This Row],[MOD]]-Tab.o1[[#This Row],[B]],IF(J$2=1,0,-Tab.o1[[#This Row],[MED]])+Tab.o1[[#This Row],[B]]),"")</f>
        <v/>
      </c>
      <c r="L511" s="117" t="str">
        <f ca="1">IF(Tab.o1[[#This Row],[DIF_Target]]=0,IF(L$2=0,Tab.o1[[#This Row],[DIF_Target]],AVERAGE(OFFSET(Tab.o1[[#This Row],[DIF_Target]],1,0,L$3,1)))/3,Tab.o1[[#This Row],[DIF_Target]])</f>
        <v/>
      </c>
      <c r="M511" s="118" t="str">
        <f>IF(Tab.o1[[#This Row],[a1]]=1,NORMSDIST(Tab.o1[[#This Row],[Za]]),"")</f>
        <v/>
      </c>
      <c r="N511" s="119" t="str">
        <f>IF(Tab.o1[[#This Row],[a1]]=1,((Tab.o1[[#This Row],[MedMod]]-AVERAGE(Tab.o1[MedMod]))/_xlfn.STDEV.P(Tab.o1[MedMod])*H$1205)+G$1205,"")</f>
        <v/>
      </c>
      <c r="O511" s="141" t="str">
        <f>IF(Tab.o1[[#This Row],[a1]]=1,Tab.o1[[#This Row],[Zb]]*_xlfn.STDEV.P(Tab.o1[MedMod])+AVERAGE(Tab.o1[MedMod]),"")</f>
        <v/>
      </c>
      <c r="P511" s="117" t="str">
        <f ca="1">IF(Tab.o1[[#This Row],[B]]=0,AVERAGE(OFFSET(Tab.o1[[#This Row],[B]],1,0,L$3,1)),Tab.o1[[#This Row],[B]])</f>
        <v/>
      </c>
      <c r="Q511" s="121" t="str">
        <f>IF(Tab.o1[[#This Row],[a1]]=1,NORMSDIST(Tab.o1[[#This Row],[Zb]]),"")</f>
        <v/>
      </c>
      <c r="R511" s="122" t="str">
        <f>IF(Tab.o1[[#This Row],[a1]]=1,((Tab.o1[[#This Row],[MedMod]]-AVERAGE(Tab.o1[MedMod]))/_xlfn.STDEV.P(Tab.o1[MedMod])*H$1203)+G$1203,"")</f>
        <v/>
      </c>
      <c r="S511" s="122" t="str">
        <f>IF(Tab.o1[[#This Row],[a1]]=1,((Tab.o1[[#This Row],[MedMod]]-AVERAGE(Tab.o1[MedMod]))/_xlfn.STDEV.P(Tab.o1[MedMod])*H$1204)+G$1204,"")</f>
        <v/>
      </c>
      <c r="T511" s="123" t="str">
        <f>IF(Tab.o1[[#This Row],[a1]]=1,Tab.o1[[#This Row],[Z-]]*_xlfn.STDEV.P(Tab.o1[B])+AVERAGE(Tab.o1[B]),"")</f>
        <v/>
      </c>
      <c r="U511" s="123" t="str">
        <f>IF(Tab.o1[[#This Row],[a1]]=1,Tab.o1[[#This Row],[z+]]*_xlfn.STDEV.P(Tab.o1[B])+AVERAGE(Tab.o1[B]),"")</f>
        <v/>
      </c>
      <c r="V511" s="124" t="str">
        <f>IF(Tab.o1[[#This Row],[a1]]=1,ABS((ABS(Tab.o1[[#This Row],[Red]]-Tab.o1[[#This Row],[Blue]]))),"")</f>
        <v/>
      </c>
      <c r="W511" s="125" t="str">
        <f>IF(Tab.o1[[#This Row],[a1]]=1,IF(W$3=0,1,Tab.o1[[#This Row],[Amp.]]*1/_xlfn.MINIFS(Tab.o1[Amp.],Tab.o1[Amp.],"&lt;&gt;0")),"")</f>
        <v/>
      </c>
      <c r="X511" s="126" t="str">
        <f>IF(Tab.o1[[#This Row],[a1]]=1,IF(ISNUMBER(Tab.o1[[#This Row],[i.]]),NORMDIST(Tab.o1[[#This Row],[Za]],0,1,FALSE)*Tab.o1[[#This Row],[i.]],AP$3),"")</f>
        <v/>
      </c>
      <c r="Y511" s="126" t="str">
        <f>IF(Tab.o1[[#This Row],[a1]]=1,0.01+0.94*Tab.o1[[#This Row],[PDF]]/MAX(Tab.o1[PDF]),"")</f>
        <v/>
      </c>
      <c r="Z511" s="126" t="str">
        <f>IF(Tab.o1[[#This Row],[a1]]=1,0.01+0.94*Tab.o1[[#This Row],[W1_PDF]]/MAX(Tab.o1[W1_PDF]),"")</f>
        <v/>
      </c>
      <c r="AA511" s="118" t="str">
        <f>IF(Tab.o1[[#This Row],[a1]]=1,ABS([1]!T.in.A[[#This Row],[oo6]]),"")</f>
        <v/>
      </c>
      <c r="AB511" s="127" t="str">
        <f>IF(Tab.o1[[#This Row],[a1]]=1,IF(AE$3=0,"",IF(AB$3=0,ABS([1]!T.in.A[[#This Row],[oo9]]),ABS(Tab.o1[[#This Row],[DIF_Target.]]*Tab.o1[[#This Row],[W1_PDF]]))),"")</f>
        <v/>
      </c>
      <c r="AC511" s="127" t="str">
        <f>IF(G$1=1,"",IF(Tab.o1[[#This Row],[a1]]=1,Tab.o1[[#This Row],[Wr]]^2,""))</f>
        <v/>
      </c>
      <c r="AD511" s="118" t="str">
        <f>IF(Tab.o1[[#This Row],[a1]]=1,IF(AE$3=0,"",Tab.o1[[#This Row],[Wr2]]/SUM(Tab.o1[Wr2])),"")</f>
        <v/>
      </c>
      <c r="AE511" s="128" t="str">
        <f>IF(Tab.o1[[#This Row],[a1]]=1,[1]!T.in.A[[#This Row],[oo10]],"")</f>
        <v/>
      </c>
      <c r="AF511" s="118" t="str">
        <f>IF(Tab.o1[[#This Row],[a1]]=1,ABS(Tab.o1[[#This Row],[DIF_Target.]]*Tab.o1[[#This Row],[PDF2]]*Tab.o1[[#This Row],[IN]]),"")</f>
        <v/>
      </c>
      <c r="AG511" s="129" t="str">
        <f>IF(Tab.o1[[#This Row],[a1]]=1,Tab.o1[[#This Row],[rW]]^2,"")</f>
        <v/>
      </c>
      <c r="AH511" s="130" t="str">
        <f>IF(Tab.o1[[#This Row],[a1]]=1,IF(AH$3=0,Tab.o1[[#This Row],[rW2]],0.01+0.94*Tab.o1[[#This Row],[rW2]]/SUM(Tab.o1[rW2])),"")</f>
        <v/>
      </c>
      <c r="AI511" s="128" t="str">
        <f>IF(Tab.o1[[#This Row],[a1]]=1,1/Tab.o1[[#This Row],[PDF]],"")</f>
        <v/>
      </c>
      <c r="AJ511" s="131" t="str">
        <f>IF(Tab.o1[[#This Row],[a1]]=1,[1]!T_AA[[#This Row],[IN'']]*[1]!T_AA[[#This Row],[Qde'']],"")</f>
        <v/>
      </c>
      <c r="AK511" s="132" t="str">
        <f>IF(Tab.o1[[#This Row],[a1]]=1,IF(AK$1=1,Tab.o1[[#This Row],[MED]]+Tab.o1[[#This Row],[MOD]]-Tab.o1[[#This Row],[MED]],""),"")</f>
        <v/>
      </c>
      <c r="AL511" s="133" t="str">
        <f>IF(Tab.o1[[#This Row],[a1]]=1,[1]!T.in.A[[#This Row],[oo16]],"")</f>
        <v/>
      </c>
      <c r="AM511" s="133" t="str">
        <f>IF(Tab.o1[[#This Row],[a1]]=1,IF(AM$3=1,[1]!T.in.A[[#This Row],[Σo16]],""),"")</f>
        <v/>
      </c>
      <c r="AN511" s="126" t="str">
        <f>IF(Tab.o1[[#This Row],[a1]]=1,[1]!T.in.A[[#This Row],[Σp5]],"")</f>
        <v/>
      </c>
      <c r="AO511" s="126" t="str">
        <f>IF(Tab.o1[[#This Row],[a1]]=1,IF(AO$3=1,[1]!T.in.A[[#This Row],[Σp5]],""),"")</f>
        <v/>
      </c>
      <c r="AP511" s="110" t="str">
        <f>IF(Tab.o1[[#This Row],[a1]]=1,IF(ISNUMBER(Tab.o1[[#This Row],[i.]]),NORMDIST(Tab.o1[[#This Row],[Za]],0,1,FALSE)*Tab.o1[[#This Row],[i.]],0),"")</f>
        <v/>
      </c>
      <c r="AQ511" s="125" t="str">
        <f>IF(Tab.o1[[#This Row],[a1]]=1,ABS(Tab.o1[[#This Row],[MOD]]-AVERAGE(Tab.o1[MOD])),"")</f>
        <v/>
      </c>
      <c r="AR511" s="134" t="str">
        <f>IF(Tab.o1[[#This Row],[a1]]=1,Tab.o1[[#This Row],[OBS]]/SUM(Tab.o1[OBS]),"")</f>
        <v/>
      </c>
      <c r="AS511" s="135" t="str">
        <f>IF(ISNUMBER(Tab.o1[[#This Row],[a1]]),ROW()-4,"")</f>
        <v/>
      </c>
      <c r="AT511" s="136" t="str">
        <f>Tab.o1[[#This Row],[MOD]]</f>
        <v/>
      </c>
      <c r="AU511" s="137" t="str">
        <f t="shared" si="29"/>
        <v/>
      </c>
      <c r="AV511" s="138" t="str">
        <f t="shared" si="30"/>
        <v/>
      </c>
      <c r="AW511" s="138" t="str">
        <f t="shared" si="31"/>
        <v/>
      </c>
      <c r="AX511" s="139" t="str">
        <f>[1]!T.in.A[[#This Row],[ID_T_manu]]</f>
        <v/>
      </c>
      <c r="AY511" s="140" t="str">
        <f>IF(ISNUMBER(Tab.o1[[#This Row],[a1]]),IF(AND(Tab.o1[[#This Row],[a1]]=1,Tab.o1[[#This Row],[b1]]&lt;=AY$4),#REF!,AY510),"")</f>
        <v/>
      </c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</row>
    <row r="512" spans="1:79" ht="15.75" hidden="1">
      <c r="A512" s="109">
        <v>-5.0000000000000004E-6</v>
      </c>
      <c r="B512" s="110">
        <f t="shared" si="28"/>
        <v>512</v>
      </c>
      <c r="C512" s="111" t="str">
        <f>IF(C$1=[1]!T.in.A[[#This Row],[oo2]],1,"")</f>
        <v/>
      </c>
      <c r="D512" s="112" t="str">
        <f>IF(Tab.o1[[#This Row],[a1]]=1,IF(SUM(C512:C513)=0,0,IF(SUM(C511:C512)=1,1,IF(SUM(C511:C513)&gt;1,D511+1,0))),"")</f>
        <v/>
      </c>
      <c r="E512" s="113" t="str">
        <f>IF(Tab.o1[[#This Row],[a1]]=1,[1]!T.in.A[[#This Row],[oo1]],"")</f>
        <v/>
      </c>
      <c r="F512" s="113" t="str">
        <f>IF(Tab.o1[[#This Row],[a1]]=1,[1]!T.in.A[[#This Row],[pp1]],"")</f>
        <v/>
      </c>
      <c r="G512" s="114" t="str">
        <f>IF(Tab.o1[[#This Row],[a1]]=1,G$2+IF(G$1=1,0,Tab.o1[[#This Row],[.x1]])+[1]!T.in.A[[#This Row],[oo3]],"")</f>
        <v/>
      </c>
      <c r="H512" s="115" t="str">
        <f>IF(Tab.o1[[#This Row],[a1]]=1,IF(H$2=0,0,IF(G$1=1,0,Tab.o1[[#This Row],[.x1]])+[1]!T.in.A[[#This Row],[oo4]]),"")</f>
        <v/>
      </c>
      <c r="I512" s="116" t="str">
        <f>IF(Tab.o1[[#This Row],[a1]]=1,IF(J$2=0,Tab.o1[[#This Row],[MED]],Tab.o1[[#This Row],[MOD]]),"")</f>
        <v/>
      </c>
      <c r="J512" s="116" t="str">
        <f>IF(Tab.o1[[#This Row],[a1]]=1,((Tab.o1[[#This Row],[DIF_Target.]]-AVERAGE(Tab.o1[DIF_Target.]))/_xlfn.STDEV.P(Tab.o1[DIF_Target.])),"")</f>
        <v/>
      </c>
      <c r="K512" s="117" t="str">
        <f>IF(Tab.o1[[#This Row],[a1]]=1,IF(J$2=0,Tab.o1[[#This Row],[MOD]]-Tab.o1[[#This Row],[B]],IF(J$2=1,0,-Tab.o1[[#This Row],[MED]])+Tab.o1[[#This Row],[B]]),"")</f>
        <v/>
      </c>
      <c r="L512" s="117" t="str">
        <f ca="1">IF(Tab.o1[[#This Row],[DIF_Target]]=0,IF(L$2=0,Tab.o1[[#This Row],[DIF_Target]],AVERAGE(OFFSET(Tab.o1[[#This Row],[DIF_Target]],1,0,L$3,1)))/3,Tab.o1[[#This Row],[DIF_Target]])</f>
        <v/>
      </c>
      <c r="M512" s="118" t="str">
        <f>IF(Tab.o1[[#This Row],[a1]]=1,NORMSDIST(Tab.o1[[#This Row],[Za]]),"")</f>
        <v/>
      </c>
      <c r="N512" s="119" t="str">
        <f>IF(Tab.o1[[#This Row],[a1]]=1,((Tab.o1[[#This Row],[MedMod]]-AVERAGE(Tab.o1[MedMod]))/_xlfn.STDEV.P(Tab.o1[MedMod])*H$1205)+G$1205,"")</f>
        <v/>
      </c>
      <c r="O512" s="141" t="str">
        <f>IF(Tab.o1[[#This Row],[a1]]=1,Tab.o1[[#This Row],[Zb]]*_xlfn.STDEV.P(Tab.o1[MedMod])+AVERAGE(Tab.o1[MedMod]),"")</f>
        <v/>
      </c>
      <c r="P512" s="117" t="str">
        <f ca="1">IF(Tab.o1[[#This Row],[B]]=0,AVERAGE(OFFSET(Tab.o1[[#This Row],[B]],1,0,L$3,1)),Tab.o1[[#This Row],[B]])</f>
        <v/>
      </c>
      <c r="Q512" s="121" t="str">
        <f>IF(Tab.o1[[#This Row],[a1]]=1,NORMSDIST(Tab.o1[[#This Row],[Zb]]),"")</f>
        <v/>
      </c>
      <c r="R512" s="122" t="str">
        <f>IF(Tab.o1[[#This Row],[a1]]=1,((Tab.o1[[#This Row],[MedMod]]-AVERAGE(Tab.o1[MedMod]))/_xlfn.STDEV.P(Tab.o1[MedMod])*H$1203)+G$1203,"")</f>
        <v/>
      </c>
      <c r="S512" s="122" t="str">
        <f>IF(Tab.o1[[#This Row],[a1]]=1,((Tab.o1[[#This Row],[MedMod]]-AVERAGE(Tab.o1[MedMod]))/_xlfn.STDEV.P(Tab.o1[MedMod])*H$1204)+G$1204,"")</f>
        <v/>
      </c>
      <c r="T512" s="123" t="str">
        <f>IF(Tab.o1[[#This Row],[a1]]=1,Tab.o1[[#This Row],[Z-]]*_xlfn.STDEV.P(Tab.o1[B])+AVERAGE(Tab.o1[B]),"")</f>
        <v/>
      </c>
      <c r="U512" s="123" t="str">
        <f>IF(Tab.o1[[#This Row],[a1]]=1,Tab.o1[[#This Row],[z+]]*_xlfn.STDEV.P(Tab.o1[B])+AVERAGE(Tab.o1[B]),"")</f>
        <v/>
      </c>
      <c r="V512" s="124" t="str">
        <f>IF(Tab.o1[[#This Row],[a1]]=1,ABS((ABS(Tab.o1[[#This Row],[Red]]-Tab.o1[[#This Row],[Blue]]))),"")</f>
        <v/>
      </c>
      <c r="W512" s="125" t="str">
        <f>IF(Tab.o1[[#This Row],[a1]]=1,IF(W$3=0,1,Tab.o1[[#This Row],[Amp.]]*1/_xlfn.MINIFS(Tab.o1[Amp.],Tab.o1[Amp.],"&lt;&gt;0")),"")</f>
        <v/>
      </c>
      <c r="X512" s="126" t="str">
        <f>IF(Tab.o1[[#This Row],[a1]]=1,IF(ISNUMBER(Tab.o1[[#This Row],[i.]]),NORMDIST(Tab.o1[[#This Row],[Za]],0,1,FALSE)*Tab.o1[[#This Row],[i.]],AP$3),"")</f>
        <v/>
      </c>
      <c r="Y512" s="126" t="str">
        <f>IF(Tab.o1[[#This Row],[a1]]=1,0.01+0.94*Tab.o1[[#This Row],[PDF]]/MAX(Tab.o1[PDF]),"")</f>
        <v/>
      </c>
      <c r="Z512" s="126" t="str">
        <f>IF(Tab.o1[[#This Row],[a1]]=1,0.01+0.94*Tab.o1[[#This Row],[W1_PDF]]/MAX(Tab.o1[W1_PDF]),"")</f>
        <v/>
      </c>
      <c r="AA512" s="118" t="str">
        <f>IF(Tab.o1[[#This Row],[a1]]=1,ABS([1]!T.in.A[[#This Row],[oo6]]),"")</f>
        <v/>
      </c>
      <c r="AB512" s="127" t="str">
        <f>IF(Tab.o1[[#This Row],[a1]]=1,IF(AE$3=0,"",IF(AB$3=0,ABS([1]!T.in.A[[#This Row],[oo9]]),ABS(Tab.o1[[#This Row],[DIF_Target.]]*Tab.o1[[#This Row],[W1_PDF]]))),"")</f>
        <v/>
      </c>
      <c r="AC512" s="127" t="str">
        <f>IF(G$1=1,"",IF(Tab.o1[[#This Row],[a1]]=1,Tab.o1[[#This Row],[Wr]]^2,""))</f>
        <v/>
      </c>
      <c r="AD512" s="118" t="str">
        <f>IF(Tab.o1[[#This Row],[a1]]=1,IF(AE$3=0,"",Tab.o1[[#This Row],[Wr2]]/SUM(Tab.o1[Wr2])),"")</f>
        <v/>
      </c>
      <c r="AE512" s="128" t="str">
        <f>IF(Tab.o1[[#This Row],[a1]]=1,[1]!T.in.A[[#This Row],[oo10]],"")</f>
        <v/>
      </c>
      <c r="AF512" s="118" t="str">
        <f>IF(Tab.o1[[#This Row],[a1]]=1,ABS(Tab.o1[[#This Row],[DIF_Target.]]*Tab.o1[[#This Row],[PDF2]]*Tab.o1[[#This Row],[IN]]),"")</f>
        <v/>
      </c>
      <c r="AG512" s="129" t="str">
        <f>IF(Tab.o1[[#This Row],[a1]]=1,Tab.o1[[#This Row],[rW]]^2,"")</f>
        <v/>
      </c>
      <c r="AH512" s="130" t="str">
        <f>IF(Tab.o1[[#This Row],[a1]]=1,IF(AH$3=0,Tab.o1[[#This Row],[rW2]],0.01+0.94*Tab.o1[[#This Row],[rW2]]/SUM(Tab.o1[rW2])),"")</f>
        <v/>
      </c>
      <c r="AI512" s="128" t="str">
        <f>IF(Tab.o1[[#This Row],[a1]]=1,1/Tab.o1[[#This Row],[PDF]],"")</f>
        <v/>
      </c>
      <c r="AJ512" s="131" t="str">
        <f>IF(Tab.o1[[#This Row],[a1]]=1,[1]!T_AA[[#This Row],[IN'']]*[1]!T_AA[[#This Row],[Qde'']],"")</f>
        <v/>
      </c>
      <c r="AK512" s="132" t="str">
        <f>IF(Tab.o1[[#This Row],[a1]]=1,IF(AK$1=1,Tab.o1[[#This Row],[MED]]+Tab.o1[[#This Row],[MOD]]-Tab.o1[[#This Row],[MED]],""),"")</f>
        <v/>
      </c>
      <c r="AL512" s="133" t="str">
        <f>IF(Tab.o1[[#This Row],[a1]]=1,[1]!T.in.A[[#This Row],[oo16]],"")</f>
        <v/>
      </c>
      <c r="AM512" s="133" t="str">
        <f>IF(Tab.o1[[#This Row],[a1]]=1,IF(AM$3=1,[1]!T.in.A[[#This Row],[Σo16]],""),"")</f>
        <v/>
      </c>
      <c r="AN512" s="126" t="str">
        <f>IF(Tab.o1[[#This Row],[a1]]=1,[1]!T.in.A[[#This Row],[Σp5]],"")</f>
        <v/>
      </c>
      <c r="AO512" s="126" t="str">
        <f>IF(Tab.o1[[#This Row],[a1]]=1,IF(AO$3=1,[1]!T.in.A[[#This Row],[Σp5]],""),"")</f>
        <v/>
      </c>
      <c r="AP512" s="110" t="str">
        <f>IF(Tab.o1[[#This Row],[a1]]=1,IF(ISNUMBER(Tab.o1[[#This Row],[i.]]),NORMDIST(Tab.o1[[#This Row],[Za]],0,1,FALSE)*Tab.o1[[#This Row],[i.]],0),"")</f>
        <v/>
      </c>
      <c r="AQ512" s="125" t="str">
        <f>IF(Tab.o1[[#This Row],[a1]]=1,ABS(Tab.o1[[#This Row],[MOD]]-AVERAGE(Tab.o1[MOD])),"")</f>
        <v/>
      </c>
      <c r="AR512" s="134" t="str">
        <f>IF(Tab.o1[[#This Row],[a1]]=1,Tab.o1[[#This Row],[OBS]]/SUM(Tab.o1[OBS]),"")</f>
        <v/>
      </c>
      <c r="AS512" s="135" t="str">
        <f>IF(ISNUMBER(Tab.o1[[#This Row],[a1]]),ROW()-4,"")</f>
        <v/>
      </c>
      <c r="AT512" s="136" t="str">
        <f>Tab.o1[[#This Row],[MOD]]</f>
        <v/>
      </c>
      <c r="AU512" s="137" t="str">
        <f t="shared" si="29"/>
        <v/>
      </c>
      <c r="AV512" s="138" t="str">
        <f t="shared" si="30"/>
        <v/>
      </c>
      <c r="AW512" s="138" t="str">
        <f t="shared" si="31"/>
        <v/>
      </c>
      <c r="AX512" s="139" t="str">
        <f>[1]!T.in.A[[#This Row],[ID_T_manu]]</f>
        <v/>
      </c>
      <c r="AY512" s="140" t="str">
        <f>IF(ISNUMBER(Tab.o1[[#This Row],[a1]]),IF(AND(Tab.o1[[#This Row],[a1]]=1,Tab.o1[[#This Row],[b1]]&lt;=AY$4),#REF!,AY511),"")</f>
        <v/>
      </c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</row>
    <row r="513" spans="1:79" ht="15.75" hidden="1">
      <c r="A513" s="109">
        <v>-1.0000000000000002E-6</v>
      </c>
      <c r="B513" s="110">
        <f t="shared" si="28"/>
        <v>513</v>
      </c>
      <c r="C513" s="111" t="str">
        <f>IF(C$1=[1]!T.in.A[[#This Row],[oo2]],1,"")</f>
        <v/>
      </c>
      <c r="D513" s="112" t="str">
        <f>IF(Tab.o1[[#This Row],[a1]]=1,IF(SUM(C513:C514)=0,0,IF(SUM(C512:C513)=1,1,IF(SUM(C512:C514)&gt;1,D512+1,0))),"")</f>
        <v/>
      </c>
      <c r="E513" s="113" t="str">
        <f>IF(Tab.o1[[#This Row],[a1]]=1,[1]!T.in.A[[#This Row],[oo1]],"")</f>
        <v/>
      </c>
      <c r="F513" s="113" t="str">
        <f>IF(Tab.o1[[#This Row],[a1]]=1,[1]!T.in.A[[#This Row],[pp1]],"")</f>
        <v/>
      </c>
      <c r="G513" s="114" t="str">
        <f>IF(Tab.o1[[#This Row],[a1]]=1,G$2+IF(G$1=1,0,Tab.o1[[#This Row],[.x1]])+[1]!T.in.A[[#This Row],[oo3]],"")</f>
        <v/>
      </c>
      <c r="H513" s="115" t="str">
        <f>IF(Tab.o1[[#This Row],[a1]]=1,IF(H$2=0,0,IF(G$1=1,0,Tab.o1[[#This Row],[.x1]])+[1]!T.in.A[[#This Row],[oo4]]),"")</f>
        <v/>
      </c>
      <c r="I513" s="116" t="str">
        <f>IF(Tab.o1[[#This Row],[a1]]=1,IF(J$2=0,Tab.o1[[#This Row],[MED]],Tab.o1[[#This Row],[MOD]]),"")</f>
        <v/>
      </c>
      <c r="J513" s="116" t="str">
        <f>IF(Tab.o1[[#This Row],[a1]]=1,((Tab.o1[[#This Row],[DIF_Target.]]-AVERAGE(Tab.o1[DIF_Target.]))/_xlfn.STDEV.P(Tab.o1[DIF_Target.])),"")</f>
        <v/>
      </c>
      <c r="K513" s="117" t="str">
        <f>IF(Tab.o1[[#This Row],[a1]]=1,IF(J$2=0,Tab.o1[[#This Row],[MOD]]-Tab.o1[[#This Row],[B]],IF(J$2=1,0,-Tab.o1[[#This Row],[MED]])+Tab.o1[[#This Row],[B]]),"")</f>
        <v/>
      </c>
      <c r="L513" s="117" t="str">
        <f ca="1">IF(Tab.o1[[#This Row],[DIF_Target]]=0,IF(L$2=0,Tab.o1[[#This Row],[DIF_Target]],AVERAGE(OFFSET(Tab.o1[[#This Row],[DIF_Target]],1,0,L$3,1)))/3,Tab.o1[[#This Row],[DIF_Target]])</f>
        <v/>
      </c>
      <c r="M513" s="118" t="str">
        <f>IF(Tab.o1[[#This Row],[a1]]=1,NORMSDIST(Tab.o1[[#This Row],[Za]]),"")</f>
        <v/>
      </c>
      <c r="N513" s="119" t="str">
        <f>IF(Tab.o1[[#This Row],[a1]]=1,((Tab.o1[[#This Row],[MedMod]]-AVERAGE(Tab.o1[MedMod]))/_xlfn.STDEV.P(Tab.o1[MedMod])*H$1205)+G$1205,"")</f>
        <v/>
      </c>
      <c r="O513" s="141" t="str">
        <f>IF(Tab.o1[[#This Row],[a1]]=1,Tab.o1[[#This Row],[Zb]]*_xlfn.STDEV.P(Tab.o1[MedMod])+AVERAGE(Tab.o1[MedMod]),"")</f>
        <v/>
      </c>
      <c r="P513" s="117" t="str">
        <f ca="1">IF(Tab.o1[[#This Row],[B]]=0,AVERAGE(OFFSET(Tab.o1[[#This Row],[B]],1,0,L$3,1)),Tab.o1[[#This Row],[B]])</f>
        <v/>
      </c>
      <c r="Q513" s="121" t="str">
        <f>IF(Tab.o1[[#This Row],[a1]]=1,NORMSDIST(Tab.o1[[#This Row],[Zb]]),"")</f>
        <v/>
      </c>
      <c r="R513" s="122" t="str">
        <f>IF(Tab.o1[[#This Row],[a1]]=1,((Tab.o1[[#This Row],[MedMod]]-AVERAGE(Tab.o1[MedMod]))/_xlfn.STDEV.P(Tab.o1[MedMod])*H$1203)+G$1203,"")</f>
        <v/>
      </c>
      <c r="S513" s="122" t="str">
        <f>IF(Tab.o1[[#This Row],[a1]]=1,((Tab.o1[[#This Row],[MedMod]]-AVERAGE(Tab.o1[MedMod]))/_xlfn.STDEV.P(Tab.o1[MedMod])*H$1204)+G$1204,"")</f>
        <v/>
      </c>
      <c r="T513" s="123" t="str">
        <f>IF(Tab.o1[[#This Row],[a1]]=1,Tab.o1[[#This Row],[Z-]]*_xlfn.STDEV.P(Tab.o1[B])+AVERAGE(Tab.o1[B]),"")</f>
        <v/>
      </c>
      <c r="U513" s="123" t="str">
        <f>IF(Tab.o1[[#This Row],[a1]]=1,Tab.o1[[#This Row],[z+]]*_xlfn.STDEV.P(Tab.o1[B])+AVERAGE(Tab.o1[B]),"")</f>
        <v/>
      </c>
      <c r="V513" s="124" t="str">
        <f>IF(Tab.o1[[#This Row],[a1]]=1,ABS((ABS(Tab.o1[[#This Row],[Red]]-Tab.o1[[#This Row],[Blue]]))),"")</f>
        <v/>
      </c>
      <c r="W513" s="125" t="str">
        <f>IF(Tab.o1[[#This Row],[a1]]=1,IF(W$3=0,1,Tab.o1[[#This Row],[Amp.]]*1/_xlfn.MINIFS(Tab.o1[Amp.],Tab.o1[Amp.],"&lt;&gt;0")),"")</f>
        <v/>
      </c>
      <c r="X513" s="126" t="str">
        <f>IF(Tab.o1[[#This Row],[a1]]=1,IF(ISNUMBER(Tab.o1[[#This Row],[i.]]),NORMDIST(Tab.o1[[#This Row],[Za]],0,1,FALSE)*Tab.o1[[#This Row],[i.]],AP$3),"")</f>
        <v/>
      </c>
      <c r="Y513" s="126" t="str">
        <f>IF(Tab.o1[[#This Row],[a1]]=1,0.01+0.94*Tab.o1[[#This Row],[PDF]]/MAX(Tab.o1[PDF]),"")</f>
        <v/>
      </c>
      <c r="Z513" s="126" t="str">
        <f>IF(Tab.o1[[#This Row],[a1]]=1,0.01+0.94*Tab.o1[[#This Row],[W1_PDF]]/MAX(Tab.o1[W1_PDF]),"")</f>
        <v/>
      </c>
      <c r="AA513" s="118" t="str">
        <f>IF(Tab.o1[[#This Row],[a1]]=1,ABS([1]!T.in.A[[#This Row],[oo6]]),"")</f>
        <v/>
      </c>
      <c r="AB513" s="127" t="str">
        <f>IF(Tab.o1[[#This Row],[a1]]=1,IF(AE$3=0,"",IF(AB$3=0,ABS([1]!T.in.A[[#This Row],[oo9]]),ABS(Tab.o1[[#This Row],[DIF_Target.]]*Tab.o1[[#This Row],[W1_PDF]]))),"")</f>
        <v/>
      </c>
      <c r="AC513" s="127" t="str">
        <f>IF(G$1=1,"",IF(Tab.o1[[#This Row],[a1]]=1,Tab.o1[[#This Row],[Wr]]^2,""))</f>
        <v/>
      </c>
      <c r="AD513" s="118" t="str">
        <f>IF(Tab.o1[[#This Row],[a1]]=1,IF(AE$3=0,"",Tab.o1[[#This Row],[Wr2]]/SUM(Tab.o1[Wr2])),"")</f>
        <v/>
      </c>
      <c r="AE513" s="128" t="str">
        <f>IF(Tab.o1[[#This Row],[a1]]=1,[1]!T.in.A[[#This Row],[oo10]],"")</f>
        <v/>
      </c>
      <c r="AF513" s="118" t="str">
        <f>IF(Tab.o1[[#This Row],[a1]]=1,ABS(Tab.o1[[#This Row],[DIF_Target.]]*Tab.o1[[#This Row],[PDF2]]*Tab.o1[[#This Row],[IN]]),"")</f>
        <v/>
      </c>
      <c r="AG513" s="129" t="str">
        <f>IF(Tab.o1[[#This Row],[a1]]=1,Tab.o1[[#This Row],[rW]]^2,"")</f>
        <v/>
      </c>
      <c r="AH513" s="130" t="str">
        <f>IF(Tab.o1[[#This Row],[a1]]=1,IF(AH$3=0,Tab.o1[[#This Row],[rW2]],0.01+0.94*Tab.o1[[#This Row],[rW2]]/SUM(Tab.o1[rW2])),"")</f>
        <v/>
      </c>
      <c r="AI513" s="128" t="str">
        <f>IF(Tab.o1[[#This Row],[a1]]=1,1/Tab.o1[[#This Row],[PDF]],"")</f>
        <v/>
      </c>
      <c r="AJ513" s="131" t="str">
        <f>IF(Tab.o1[[#This Row],[a1]]=1,[1]!T_AA[[#This Row],[IN'']]*[1]!T_AA[[#This Row],[Qde'']],"")</f>
        <v/>
      </c>
      <c r="AK513" s="132" t="str">
        <f>IF(Tab.o1[[#This Row],[a1]]=1,IF(AK$1=1,Tab.o1[[#This Row],[MED]]+Tab.o1[[#This Row],[MOD]]-Tab.o1[[#This Row],[MED]],""),"")</f>
        <v/>
      </c>
      <c r="AL513" s="133" t="str">
        <f>IF(Tab.o1[[#This Row],[a1]]=1,[1]!T.in.A[[#This Row],[oo16]],"")</f>
        <v/>
      </c>
      <c r="AM513" s="133" t="str">
        <f>IF(Tab.o1[[#This Row],[a1]]=1,IF(AM$3=1,[1]!T.in.A[[#This Row],[Σo16]],""),"")</f>
        <v/>
      </c>
      <c r="AN513" s="126" t="str">
        <f>IF(Tab.o1[[#This Row],[a1]]=1,[1]!T.in.A[[#This Row],[Σp5]],"")</f>
        <v/>
      </c>
      <c r="AO513" s="126" t="str">
        <f>IF(Tab.o1[[#This Row],[a1]]=1,IF(AO$3=1,[1]!T.in.A[[#This Row],[Σp5]],""),"")</f>
        <v/>
      </c>
      <c r="AP513" s="110" t="str">
        <f>IF(Tab.o1[[#This Row],[a1]]=1,IF(ISNUMBER(Tab.o1[[#This Row],[i.]]),NORMDIST(Tab.o1[[#This Row],[Za]],0,1,FALSE)*Tab.o1[[#This Row],[i.]],0),"")</f>
        <v/>
      </c>
      <c r="AQ513" s="125" t="str">
        <f>IF(Tab.o1[[#This Row],[a1]]=1,ABS(Tab.o1[[#This Row],[MOD]]-AVERAGE(Tab.o1[MOD])),"")</f>
        <v/>
      </c>
      <c r="AR513" s="134" t="str">
        <f>IF(Tab.o1[[#This Row],[a1]]=1,Tab.o1[[#This Row],[OBS]]/SUM(Tab.o1[OBS]),"")</f>
        <v/>
      </c>
      <c r="AS513" s="135" t="str">
        <f>IF(ISNUMBER(Tab.o1[[#This Row],[a1]]),ROW()-4,"")</f>
        <v/>
      </c>
      <c r="AT513" s="136" t="str">
        <f>Tab.o1[[#This Row],[MOD]]</f>
        <v/>
      </c>
      <c r="AU513" s="137" t="str">
        <f t="shared" si="29"/>
        <v/>
      </c>
      <c r="AV513" s="138" t="str">
        <f t="shared" si="30"/>
        <v/>
      </c>
      <c r="AW513" s="138" t="str">
        <f t="shared" si="31"/>
        <v/>
      </c>
      <c r="AX513" s="139" t="str">
        <f>[1]!T.in.A[[#This Row],[ID_T_manu]]</f>
        <v/>
      </c>
      <c r="AY513" s="140" t="str">
        <f>IF(ISNUMBER(Tab.o1[[#This Row],[a1]]),IF(AND(Tab.o1[[#This Row],[a1]]=1,Tab.o1[[#This Row],[b1]]&lt;=AY$4),#REF!,AY512),"")</f>
        <v/>
      </c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</row>
    <row r="514" spans="1:79" ht="15.75" hidden="1">
      <c r="A514" s="109">
        <v>2.9999999999999997E-6</v>
      </c>
      <c r="B514" s="110">
        <f t="shared" si="28"/>
        <v>514</v>
      </c>
      <c r="C514" s="111" t="str">
        <f>IF(C$1=[1]!T.in.A[[#This Row],[oo2]],1,"")</f>
        <v/>
      </c>
      <c r="D514" s="112" t="str">
        <f>IF(Tab.o1[[#This Row],[a1]]=1,IF(SUM(C514:C515)=0,0,IF(SUM(C513:C514)=1,1,IF(SUM(C513:C515)&gt;1,D513+1,0))),"")</f>
        <v/>
      </c>
      <c r="E514" s="113" t="str">
        <f>IF(Tab.o1[[#This Row],[a1]]=1,[1]!T.in.A[[#This Row],[oo1]],"")</f>
        <v/>
      </c>
      <c r="F514" s="113" t="str">
        <f>IF(Tab.o1[[#This Row],[a1]]=1,[1]!T.in.A[[#This Row],[pp1]],"")</f>
        <v/>
      </c>
      <c r="G514" s="114" t="str">
        <f>IF(Tab.o1[[#This Row],[a1]]=1,G$2+IF(G$1=1,0,Tab.o1[[#This Row],[.x1]])+[1]!T.in.A[[#This Row],[oo3]],"")</f>
        <v/>
      </c>
      <c r="H514" s="115" t="str">
        <f>IF(Tab.o1[[#This Row],[a1]]=1,IF(H$2=0,0,IF(G$1=1,0,Tab.o1[[#This Row],[.x1]])+[1]!T.in.A[[#This Row],[oo4]]),"")</f>
        <v/>
      </c>
      <c r="I514" s="116" t="str">
        <f>IF(Tab.o1[[#This Row],[a1]]=1,IF(J$2=0,Tab.o1[[#This Row],[MED]],Tab.o1[[#This Row],[MOD]]),"")</f>
        <v/>
      </c>
      <c r="J514" s="116" t="str">
        <f>IF(Tab.o1[[#This Row],[a1]]=1,((Tab.o1[[#This Row],[DIF_Target.]]-AVERAGE(Tab.o1[DIF_Target.]))/_xlfn.STDEV.P(Tab.o1[DIF_Target.])),"")</f>
        <v/>
      </c>
      <c r="K514" s="117" t="str">
        <f>IF(Tab.o1[[#This Row],[a1]]=1,IF(J$2=0,Tab.o1[[#This Row],[MOD]]-Tab.o1[[#This Row],[B]],IF(J$2=1,0,-Tab.o1[[#This Row],[MED]])+Tab.o1[[#This Row],[B]]),"")</f>
        <v/>
      </c>
      <c r="L514" s="117" t="str">
        <f ca="1">IF(Tab.o1[[#This Row],[DIF_Target]]=0,IF(L$2=0,Tab.o1[[#This Row],[DIF_Target]],AVERAGE(OFFSET(Tab.o1[[#This Row],[DIF_Target]],1,0,L$3,1)))/3,Tab.o1[[#This Row],[DIF_Target]])</f>
        <v/>
      </c>
      <c r="M514" s="118" t="str">
        <f>IF(Tab.o1[[#This Row],[a1]]=1,NORMSDIST(Tab.o1[[#This Row],[Za]]),"")</f>
        <v/>
      </c>
      <c r="N514" s="119" t="str">
        <f>IF(Tab.o1[[#This Row],[a1]]=1,((Tab.o1[[#This Row],[MedMod]]-AVERAGE(Tab.o1[MedMod]))/_xlfn.STDEV.P(Tab.o1[MedMod])*H$1205)+G$1205,"")</f>
        <v/>
      </c>
      <c r="O514" s="141" t="str">
        <f>IF(Tab.o1[[#This Row],[a1]]=1,Tab.o1[[#This Row],[Zb]]*_xlfn.STDEV.P(Tab.o1[MedMod])+AVERAGE(Tab.o1[MedMod]),"")</f>
        <v/>
      </c>
      <c r="P514" s="117" t="str">
        <f ca="1">IF(Tab.o1[[#This Row],[B]]=0,AVERAGE(OFFSET(Tab.o1[[#This Row],[B]],1,0,L$3,1)),Tab.o1[[#This Row],[B]])</f>
        <v/>
      </c>
      <c r="Q514" s="121" t="str">
        <f>IF(Tab.o1[[#This Row],[a1]]=1,NORMSDIST(Tab.o1[[#This Row],[Zb]]),"")</f>
        <v/>
      </c>
      <c r="R514" s="122" t="str">
        <f>IF(Tab.o1[[#This Row],[a1]]=1,((Tab.o1[[#This Row],[MedMod]]-AVERAGE(Tab.o1[MedMod]))/_xlfn.STDEV.P(Tab.o1[MedMod])*H$1203)+G$1203,"")</f>
        <v/>
      </c>
      <c r="S514" s="122" t="str">
        <f>IF(Tab.o1[[#This Row],[a1]]=1,((Tab.o1[[#This Row],[MedMod]]-AVERAGE(Tab.o1[MedMod]))/_xlfn.STDEV.P(Tab.o1[MedMod])*H$1204)+G$1204,"")</f>
        <v/>
      </c>
      <c r="T514" s="123" t="str">
        <f>IF(Tab.o1[[#This Row],[a1]]=1,Tab.o1[[#This Row],[Z-]]*_xlfn.STDEV.P(Tab.o1[B])+AVERAGE(Tab.o1[B]),"")</f>
        <v/>
      </c>
      <c r="U514" s="123" t="str">
        <f>IF(Tab.o1[[#This Row],[a1]]=1,Tab.o1[[#This Row],[z+]]*_xlfn.STDEV.P(Tab.o1[B])+AVERAGE(Tab.o1[B]),"")</f>
        <v/>
      </c>
      <c r="V514" s="124" t="str">
        <f>IF(Tab.o1[[#This Row],[a1]]=1,ABS((ABS(Tab.o1[[#This Row],[Red]]-Tab.o1[[#This Row],[Blue]]))),"")</f>
        <v/>
      </c>
      <c r="W514" s="125" t="str">
        <f>IF(Tab.o1[[#This Row],[a1]]=1,IF(W$3=0,1,Tab.o1[[#This Row],[Amp.]]*1/_xlfn.MINIFS(Tab.o1[Amp.],Tab.o1[Amp.],"&lt;&gt;0")),"")</f>
        <v/>
      </c>
      <c r="X514" s="126" t="str">
        <f>IF(Tab.o1[[#This Row],[a1]]=1,IF(ISNUMBER(Tab.o1[[#This Row],[i.]]),NORMDIST(Tab.o1[[#This Row],[Za]],0,1,FALSE)*Tab.o1[[#This Row],[i.]],AP$3),"")</f>
        <v/>
      </c>
      <c r="Y514" s="126" t="str">
        <f>IF(Tab.o1[[#This Row],[a1]]=1,0.01+0.94*Tab.o1[[#This Row],[PDF]]/MAX(Tab.o1[PDF]),"")</f>
        <v/>
      </c>
      <c r="Z514" s="126" t="str">
        <f>IF(Tab.o1[[#This Row],[a1]]=1,0.01+0.94*Tab.o1[[#This Row],[W1_PDF]]/MAX(Tab.o1[W1_PDF]),"")</f>
        <v/>
      </c>
      <c r="AA514" s="118" t="str">
        <f>IF(Tab.o1[[#This Row],[a1]]=1,ABS([1]!T.in.A[[#This Row],[oo6]]),"")</f>
        <v/>
      </c>
      <c r="AB514" s="127" t="str">
        <f>IF(Tab.o1[[#This Row],[a1]]=1,IF(AE$3=0,"",IF(AB$3=0,ABS([1]!T.in.A[[#This Row],[oo9]]),ABS(Tab.o1[[#This Row],[DIF_Target.]]*Tab.o1[[#This Row],[W1_PDF]]))),"")</f>
        <v/>
      </c>
      <c r="AC514" s="127" t="str">
        <f>IF(G$1=1,"",IF(Tab.o1[[#This Row],[a1]]=1,Tab.o1[[#This Row],[Wr]]^2,""))</f>
        <v/>
      </c>
      <c r="AD514" s="118" t="str">
        <f>IF(Tab.o1[[#This Row],[a1]]=1,IF(AE$3=0,"",Tab.o1[[#This Row],[Wr2]]/SUM(Tab.o1[Wr2])),"")</f>
        <v/>
      </c>
      <c r="AE514" s="128" t="str">
        <f>IF(Tab.o1[[#This Row],[a1]]=1,[1]!T.in.A[[#This Row],[oo10]],"")</f>
        <v/>
      </c>
      <c r="AF514" s="118" t="str">
        <f>IF(Tab.o1[[#This Row],[a1]]=1,ABS(Tab.o1[[#This Row],[DIF_Target.]]*Tab.o1[[#This Row],[PDF2]]*Tab.o1[[#This Row],[IN]]),"")</f>
        <v/>
      </c>
      <c r="AG514" s="129" t="str">
        <f>IF(Tab.o1[[#This Row],[a1]]=1,Tab.o1[[#This Row],[rW]]^2,"")</f>
        <v/>
      </c>
      <c r="AH514" s="130" t="str">
        <f>IF(Tab.o1[[#This Row],[a1]]=1,IF(AH$3=0,Tab.o1[[#This Row],[rW2]],0.01+0.94*Tab.o1[[#This Row],[rW2]]/SUM(Tab.o1[rW2])),"")</f>
        <v/>
      </c>
      <c r="AI514" s="128" t="str">
        <f>IF(Tab.o1[[#This Row],[a1]]=1,1/Tab.o1[[#This Row],[PDF]],"")</f>
        <v/>
      </c>
      <c r="AJ514" s="131" t="str">
        <f>IF(Tab.o1[[#This Row],[a1]]=1,[1]!T_AA[[#This Row],[IN'']]*[1]!T_AA[[#This Row],[Qde'']],"")</f>
        <v/>
      </c>
      <c r="AK514" s="132" t="str">
        <f>IF(Tab.o1[[#This Row],[a1]]=1,IF(AK$1=1,Tab.o1[[#This Row],[MED]]+Tab.o1[[#This Row],[MOD]]-Tab.o1[[#This Row],[MED]],""),"")</f>
        <v/>
      </c>
      <c r="AL514" s="133" t="str">
        <f>IF(Tab.o1[[#This Row],[a1]]=1,[1]!T.in.A[[#This Row],[oo16]],"")</f>
        <v/>
      </c>
      <c r="AM514" s="133" t="str">
        <f>IF(Tab.o1[[#This Row],[a1]]=1,IF(AM$3=1,[1]!T.in.A[[#This Row],[Σo16]],""),"")</f>
        <v/>
      </c>
      <c r="AN514" s="126" t="str">
        <f>IF(Tab.o1[[#This Row],[a1]]=1,[1]!T.in.A[[#This Row],[Σp5]],"")</f>
        <v/>
      </c>
      <c r="AO514" s="126" t="str">
        <f>IF(Tab.o1[[#This Row],[a1]]=1,IF(AO$3=1,[1]!T.in.A[[#This Row],[Σp5]],""),"")</f>
        <v/>
      </c>
      <c r="AP514" s="110" t="str">
        <f>IF(Tab.o1[[#This Row],[a1]]=1,IF(ISNUMBER(Tab.o1[[#This Row],[i.]]),NORMDIST(Tab.o1[[#This Row],[Za]],0,1,FALSE)*Tab.o1[[#This Row],[i.]],0),"")</f>
        <v/>
      </c>
      <c r="AQ514" s="125" t="str">
        <f>IF(Tab.o1[[#This Row],[a1]]=1,ABS(Tab.o1[[#This Row],[MOD]]-AVERAGE(Tab.o1[MOD])),"")</f>
        <v/>
      </c>
      <c r="AR514" s="134" t="str">
        <f>IF(Tab.o1[[#This Row],[a1]]=1,Tab.o1[[#This Row],[OBS]]/SUM(Tab.o1[OBS]),"")</f>
        <v/>
      </c>
      <c r="AS514" s="135" t="str">
        <f>IF(ISNUMBER(Tab.o1[[#This Row],[a1]]),ROW()-4,"")</f>
        <v/>
      </c>
      <c r="AT514" s="136" t="str">
        <f>Tab.o1[[#This Row],[MOD]]</f>
        <v/>
      </c>
      <c r="AU514" s="137" t="str">
        <f t="shared" si="29"/>
        <v/>
      </c>
      <c r="AV514" s="138" t="str">
        <f t="shared" si="30"/>
        <v/>
      </c>
      <c r="AW514" s="138" t="str">
        <f t="shared" si="31"/>
        <v/>
      </c>
      <c r="AX514" s="139" t="str">
        <f>[1]!T.in.A[[#This Row],[ID_T_manu]]</f>
        <v/>
      </c>
      <c r="AY514" s="140" t="str">
        <f>IF(ISNUMBER(Tab.o1[[#This Row],[a1]]),IF(AND(Tab.o1[[#This Row],[a1]]=1,Tab.o1[[#This Row],[b1]]&lt;=AY$4),#REF!,AY513),"")</f>
        <v/>
      </c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</row>
    <row r="515" spans="1:79" ht="15.75" hidden="1">
      <c r="A515" s="109">
        <v>-1.0000000000000001E-5</v>
      </c>
      <c r="B515" s="110">
        <f t="shared" si="28"/>
        <v>515</v>
      </c>
      <c r="C515" s="111" t="str">
        <f>IF(C$1=[1]!T.in.A[[#This Row],[oo2]],1,"")</f>
        <v/>
      </c>
      <c r="D515" s="112" t="str">
        <f>IF(Tab.o1[[#This Row],[a1]]=1,IF(SUM(C515:C516)=0,0,IF(SUM(C514:C515)=1,1,IF(SUM(C514:C516)&gt;1,D514+1,0))),"")</f>
        <v/>
      </c>
      <c r="E515" s="113" t="str">
        <f>IF(Tab.o1[[#This Row],[a1]]=1,[1]!T.in.A[[#This Row],[oo1]],"")</f>
        <v/>
      </c>
      <c r="F515" s="113" t="str">
        <f>IF(Tab.o1[[#This Row],[a1]]=1,[1]!T.in.A[[#This Row],[pp1]],"")</f>
        <v/>
      </c>
      <c r="G515" s="114" t="str">
        <f>IF(Tab.o1[[#This Row],[a1]]=1,G$2+IF(G$1=1,0,Tab.o1[[#This Row],[.x1]])+[1]!T.in.A[[#This Row],[oo3]],"")</f>
        <v/>
      </c>
      <c r="H515" s="115" t="str">
        <f>IF(Tab.o1[[#This Row],[a1]]=1,IF(H$2=0,0,IF(G$1=1,0,Tab.o1[[#This Row],[.x1]])+[1]!T.in.A[[#This Row],[oo4]]),"")</f>
        <v/>
      </c>
      <c r="I515" s="116" t="str">
        <f>IF(Tab.o1[[#This Row],[a1]]=1,IF(J$2=0,Tab.o1[[#This Row],[MED]],Tab.o1[[#This Row],[MOD]]),"")</f>
        <v/>
      </c>
      <c r="J515" s="116" t="str">
        <f>IF(Tab.o1[[#This Row],[a1]]=1,((Tab.o1[[#This Row],[DIF_Target.]]-AVERAGE(Tab.o1[DIF_Target.]))/_xlfn.STDEV.P(Tab.o1[DIF_Target.])),"")</f>
        <v/>
      </c>
      <c r="K515" s="117" t="str">
        <f>IF(Tab.o1[[#This Row],[a1]]=1,IF(J$2=0,Tab.o1[[#This Row],[MOD]]-Tab.o1[[#This Row],[B]],IF(J$2=1,0,-Tab.o1[[#This Row],[MED]])+Tab.o1[[#This Row],[B]]),"")</f>
        <v/>
      </c>
      <c r="L515" s="117" t="str">
        <f ca="1">IF(Tab.o1[[#This Row],[DIF_Target]]=0,IF(L$2=0,Tab.o1[[#This Row],[DIF_Target]],AVERAGE(OFFSET(Tab.o1[[#This Row],[DIF_Target]],1,0,L$3,1)))/3,Tab.o1[[#This Row],[DIF_Target]])</f>
        <v/>
      </c>
      <c r="M515" s="118" t="str">
        <f>IF(Tab.o1[[#This Row],[a1]]=1,NORMSDIST(Tab.o1[[#This Row],[Za]]),"")</f>
        <v/>
      </c>
      <c r="N515" s="119" t="str">
        <f>IF(Tab.o1[[#This Row],[a1]]=1,((Tab.o1[[#This Row],[MedMod]]-AVERAGE(Tab.o1[MedMod]))/_xlfn.STDEV.P(Tab.o1[MedMod])*H$1205)+G$1205,"")</f>
        <v/>
      </c>
      <c r="O515" s="141" t="str">
        <f>IF(Tab.o1[[#This Row],[a1]]=1,Tab.o1[[#This Row],[Zb]]*_xlfn.STDEV.P(Tab.o1[MedMod])+AVERAGE(Tab.o1[MedMod]),"")</f>
        <v/>
      </c>
      <c r="P515" s="117" t="str">
        <f ca="1">IF(Tab.o1[[#This Row],[B]]=0,AVERAGE(OFFSET(Tab.o1[[#This Row],[B]],1,0,L$3,1)),Tab.o1[[#This Row],[B]])</f>
        <v/>
      </c>
      <c r="Q515" s="121" t="str">
        <f>IF(Tab.o1[[#This Row],[a1]]=1,NORMSDIST(Tab.o1[[#This Row],[Zb]]),"")</f>
        <v/>
      </c>
      <c r="R515" s="122" t="str">
        <f>IF(Tab.o1[[#This Row],[a1]]=1,((Tab.o1[[#This Row],[MedMod]]-AVERAGE(Tab.o1[MedMod]))/_xlfn.STDEV.P(Tab.o1[MedMod])*H$1203)+G$1203,"")</f>
        <v/>
      </c>
      <c r="S515" s="122" t="str">
        <f>IF(Tab.o1[[#This Row],[a1]]=1,((Tab.o1[[#This Row],[MedMod]]-AVERAGE(Tab.o1[MedMod]))/_xlfn.STDEV.P(Tab.o1[MedMod])*H$1204)+G$1204,"")</f>
        <v/>
      </c>
      <c r="T515" s="123" t="str">
        <f>IF(Tab.o1[[#This Row],[a1]]=1,Tab.o1[[#This Row],[Z-]]*_xlfn.STDEV.P(Tab.o1[B])+AVERAGE(Tab.o1[B]),"")</f>
        <v/>
      </c>
      <c r="U515" s="123" t="str">
        <f>IF(Tab.o1[[#This Row],[a1]]=1,Tab.o1[[#This Row],[z+]]*_xlfn.STDEV.P(Tab.o1[B])+AVERAGE(Tab.o1[B]),"")</f>
        <v/>
      </c>
      <c r="V515" s="124" t="str">
        <f>IF(Tab.o1[[#This Row],[a1]]=1,ABS((ABS(Tab.o1[[#This Row],[Red]]-Tab.o1[[#This Row],[Blue]]))),"")</f>
        <v/>
      </c>
      <c r="W515" s="125" t="str">
        <f>IF(Tab.o1[[#This Row],[a1]]=1,IF(W$3=0,1,Tab.o1[[#This Row],[Amp.]]*1/_xlfn.MINIFS(Tab.o1[Amp.],Tab.o1[Amp.],"&lt;&gt;0")),"")</f>
        <v/>
      </c>
      <c r="X515" s="126" t="str">
        <f>IF(Tab.o1[[#This Row],[a1]]=1,IF(ISNUMBER(Tab.o1[[#This Row],[i.]]),NORMDIST(Tab.o1[[#This Row],[Za]],0,1,FALSE)*Tab.o1[[#This Row],[i.]],AP$3),"")</f>
        <v/>
      </c>
      <c r="Y515" s="126" t="str">
        <f>IF(Tab.o1[[#This Row],[a1]]=1,0.01+0.94*Tab.o1[[#This Row],[PDF]]/MAX(Tab.o1[PDF]),"")</f>
        <v/>
      </c>
      <c r="Z515" s="126" t="str">
        <f>IF(Tab.o1[[#This Row],[a1]]=1,0.01+0.94*Tab.o1[[#This Row],[W1_PDF]]/MAX(Tab.o1[W1_PDF]),"")</f>
        <v/>
      </c>
      <c r="AA515" s="118" t="str">
        <f>IF(Tab.o1[[#This Row],[a1]]=1,ABS([1]!T.in.A[[#This Row],[oo6]]),"")</f>
        <v/>
      </c>
      <c r="AB515" s="127" t="str">
        <f>IF(Tab.o1[[#This Row],[a1]]=1,IF(AE$3=0,"",IF(AB$3=0,ABS([1]!T.in.A[[#This Row],[oo9]]),ABS(Tab.o1[[#This Row],[DIF_Target.]]*Tab.o1[[#This Row],[W1_PDF]]))),"")</f>
        <v/>
      </c>
      <c r="AC515" s="127" t="str">
        <f>IF(G$1=1,"",IF(Tab.o1[[#This Row],[a1]]=1,Tab.o1[[#This Row],[Wr]]^2,""))</f>
        <v/>
      </c>
      <c r="AD515" s="118" t="str">
        <f>IF(Tab.o1[[#This Row],[a1]]=1,IF(AE$3=0,"",Tab.o1[[#This Row],[Wr2]]/SUM(Tab.o1[Wr2])),"")</f>
        <v/>
      </c>
      <c r="AE515" s="128" t="str">
        <f>IF(Tab.o1[[#This Row],[a1]]=1,[1]!T.in.A[[#This Row],[oo10]],"")</f>
        <v/>
      </c>
      <c r="AF515" s="118" t="str">
        <f>IF(Tab.o1[[#This Row],[a1]]=1,ABS(Tab.o1[[#This Row],[DIF_Target.]]*Tab.o1[[#This Row],[PDF2]]*Tab.o1[[#This Row],[IN]]),"")</f>
        <v/>
      </c>
      <c r="AG515" s="129" t="str">
        <f>IF(Tab.o1[[#This Row],[a1]]=1,Tab.o1[[#This Row],[rW]]^2,"")</f>
        <v/>
      </c>
      <c r="AH515" s="130" t="str">
        <f>IF(Tab.o1[[#This Row],[a1]]=1,IF(AH$3=0,Tab.o1[[#This Row],[rW2]],0.01+0.94*Tab.o1[[#This Row],[rW2]]/SUM(Tab.o1[rW2])),"")</f>
        <v/>
      </c>
      <c r="AI515" s="128" t="str">
        <f>IF(Tab.o1[[#This Row],[a1]]=1,1/Tab.o1[[#This Row],[PDF]],"")</f>
        <v/>
      </c>
      <c r="AJ515" s="131" t="str">
        <f>IF(Tab.o1[[#This Row],[a1]]=1,[1]!T_AA[[#This Row],[IN'']]*[1]!T_AA[[#This Row],[Qde'']],"")</f>
        <v/>
      </c>
      <c r="AK515" s="132" t="str">
        <f>IF(Tab.o1[[#This Row],[a1]]=1,IF(AK$1=1,Tab.o1[[#This Row],[MED]]+Tab.o1[[#This Row],[MOD]]-Tab.o1[[#This Row],[MED]],""),"")</f>
        <v/>
      </c>
      <c r="AL515" s="133" t="str">
        <f>IF(Tab.o1[[#This Row],[a1]]=1,[1]!T.in.A[[#This Row],[oo16]],"")</f>
        <v/>
      </c>
      <c r="AM515" s="133" t="str">
        <f>IF(Tab.o1[[#This Row],[a1]]=1,IF(AM$3=1,[1]!T.in.A[[#This Row],[Σo16]],""),"")</f>
        <v/>
      </c>
      <c r="AN515" s="126" t="str">
        <f>IF(Tab.o1[[#This Row],[a1]]=1,[1]!T.in.A[[#This Row],[Σp5]],"")</f>
        <v/>
      </c>
      <c r="AO515" s="126" t="str">
        <f>IF(Tab.o1[[#This Row],[a1]]=1,IF(AO$3=1,[1]!T.in.A[[#This Row],[Σp5]],""),"")</f>
        <v/>
      </c>
      <c r="AP515" s="110" t="str">
        <f>IF(Tab.o1[[#This Row],[a1]]=1,IF(ISNUMBER(Tab.o1[[#This Row],[i.]]),NORMDIST(Tab.o1[[#This Row],[Za]],0,1,FALSE)*Tab.o1[[#This Row],[i.]],0),"")</f>
        <v/>
      </c>
      <c r="AQ515" s="125" t="str">
        <f>IF(Tab.o1[[#This Row],[a1]]=1,ABS(Tab.o1[[#This Row],[MOD]]-AVERAGE(Tab.o1[MOD])),"")</f>
        <v/>
      </c>
      <c r="AR515" s="134" t="str">
        <f>IF(Tab.o1[[#This Row],[a1]]=1,Tab.o1[[#This Row],[OBS]]/SUM(Tab.o1[OBS]),"")</f>
        <v/>
      </c>
      <c r="AS515" s="135" t="str">
        <f>IF(ISNUMBER(Tab.o1[[#This Row],[a1]]),ROW()-4,"")</f>
        <v/>
      </c>
      <c r="AT515" s="136" t="str">
        <f>Tab.o1[[#This Row],[MOD]]</f>
        <v/>
      </c>
      <c r="AU515" s="137" t="str">
        <f t="shared" si="29"/>
        <v/>
      </c>
      <c r="AV515" s="138" t="str">
        <f t="shared" si="30"/>
        <v/>
      </c>
      <c r="AW515" s="138" t="str">
        <f t="shared" si="31"/>
        <v/>
      </c>
      <c r="AX515" s="139" t="str">
        <f>[1]!T.in.A[[#This Row],[ID_T_manu]]</f>
        <v/>
      </c>
      <c r="AY515" s="140" t="str">
        <f>IF(ISNUMBER(Tab.o1[[#This Row],[a1]]),IF(AND(Tab.o1[[#This Row],[a1]]=1,Tab.o1[[#This Row],[b1]]&lt;=AY$4),#REF!,AY514),"")</f>
        <v/>
      </c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</row>
    <row r="516" spans="1:79" ht="15.75" hidden="1">
      <c r="A516" s="109">
        <v>1.0000000000000002E-6</v>
      </c>
      <c r="B516" s="110">
        <f t="shared" si="28"/>
        <v>516</v>
      </c>
      <c r="C516" s="111" t="str">
        <f>IF(C$1=[1]!T.in.A[[#This Row],[oo2]],1,"")</f>
        <v/>
      </c>
      <c r="D516" s="112" t="str">
        <f>IF(Tab.o1[[#This Row],[a1]]=1,IF(SUM(C516:C517)=0,0,IF(SUM(C515:C516)=1,1,IF(SUM(C515:C517)&gt;1,D515+1,0))),"")</f>
        <v/>
      </c>
      <c r="E516" s="113" t="str">
        <f>IF(Tab.o1[[#This Row],[a1]]=1,[1]!T.in.A[[#This Row],[oo1]],"")</f>
        <v/>
      </c>
      <c r="F516" s="113" t="str">
        <f>IF(Tab.o1[[#This Row],[a1]]=1,[1]!T.in.A[[#This Row],[pp1]],"")</f>
        <v/>
      </c>
      <c r="G516" s="114" t="str">
        <f>IF(Tab.o1[[#This Row],[a1]]=1,G$2+IF(G$1=1,0,Tab.o1[[#This Row],[.x1]])+[1]!T.in.A[[#This Row],[oo3]],"")</f>
        <v/>
      </c>
      <c r="H516" s="115" t="str">
        <f>IF(Tab.o1[[#This Row],[a1]]=1,IF(H$2=0,0,IF(G$1=1,0,Tab.o1[[#This Row],[.x1]])+[1]!T.in.A[[#This Row],[oo4]]),"")</f>
        <v/>
      </c>
      <c r="I516" s="116" t="str">
        <f>IF(Tab.o1[[#This Row],[a1]]=1,IF(J$2=0,Tab.o1[[#This Row],[MED]],Tab.o1[[#This Row],[MOD]]),"")</f>
        <v/>
      </c>
      <c r="J516" s="116" t="str">
        <f>IF(Tab.o1[[#This Row],[a1]]=1,((Tab.o1[[#This Row],[DIF_Target.]]-AVERAGE(Tab.o1[DIF_Target.]))/_xlfn.STDEV.P(Tab.o1[DIF_Target.])),"")</f>
        <v/>
      </c>
      <c r="K516" s="117" t="str">
        <f>IF(Tab.o1[[#This Row],[a1]]=1,IF(J$2=0,Tab.o1[[#This Row],[MOD]]-Tab.o1[[#This Row],[B]],IF(J$2=1,0,-Tab.o1[[#This Row],[MED]])+Tab.o1[[#This Row],[B]]),"")</f>
        <v/>
      </c>
      <c r="L516" s="117" t="str">
        <f ca="1">IF(Tab.o1[[#This Row],[DIF_Target]]=0,IF(L$2=0,Tab.o1[[#This Row],[DIF_Target]],AVERAGE(OFFSET(Tab.o1[[#This Row],[DIF_Target]],1,0,L$3,1)))/3,Tab.o1[[#This Row],[DIF_Target]])</f>
        <v/>
      </c>
      <c r="M516" s="118" t="str">
        <f>IF(Tab.o1[[#This Row],[a1]]=1,NORMSDIST(Tab.o1[[#This Row],[Za]]),"")</f>
        <v/>
      </c>
      <c r="N516" s="119" t="str">
        <f>IF(Tab.o1[[#This Row],[a1]]=1,((Tab.o1[[#This Row],[MedMod]]-AVERAGE(Tab.o1[MedMod]))/_xlfn.STDEV.P(Tab.o1[MedMod])*H$1205)+G$1205,"")</f>
        <v/>
      </c>
      <c r="O516" s="141" t="str">
        <f>IF(Tab.o1[[#This Row],[a1]]=1,Tab.o1[[#This Row],[Zb]]*_xlfn.STDEV.P(Tab.o1[MedMod])+AVERAGE(Tab.o1[MedMod]),"")</f>
        <v/>
      </c>
      <c r="P516" s="117" t="str">
        <f ca="1">IF(Tab.o1[[#This Row],[B]]=0,AVERAGE(OFFSET(Tab.o1[[#This Row],[B]],1,0,L$3,1)),Tab.o1[[#This Row],[B]])</f>
        <v/>
      </c>
      <c r="Q516" s="121" t="str">
        <f>IF(Tab.o1[[#This Row],[a1]]=1,NORMSDIST(Tab.o1[[#This Row],[Zb]]),"")</f>
        <v/>
      </c>
      <c r="R516" s="122" t="str">
        <f>IF(Tab.o1[[#This Row],[a1]]=1,((Tab.o1[[#This Row],[MedMod]]-AVERAGE(Tab.o1[MedMod]))/_xlfn.STDEV.P(Tab.o1[MedMod])*H$1203)+G$1203,"")</f>
        <v/>
      </c>
      <c r="S516" s="122" t="str">
        <f>IF(Tab.o1[[#This Row],[a1]]=1,((Tab.o1[[#This Row],[MedMod]]-AVERAGE(Tab.o1[MedMod]))/_xlfn.STDEV.P(Tab.o1[MedMod])*H$1204)+G$1204,"")</f>
        <v/>
      </c>
      <c r="T516" s="123" t="str">
        <f>IF(Tab.o1[[#This Row],[a1]]=1,Tab.o1[[#This Row],[Z-]]*_xlfn.STDEV.P(Tab.o1[B])+AVERAGE(Tab.o1[B]),"")</f>
        <v/>
      </c>
      <c r="U516" s="123" t="str">
        <f>IF(Tab.o1[[#This Row],[a1]]=1,Tab.o1[[#This Row],[z+]]*_xlfn.STDEV.P(Tab.o1[B])+AVERAGE(Tab.o1[B]),"")</f>
        <v/>
      </c>
      <c r="V516" s="124" t="str">
        <f>IF(Tab.o1[[#This Row],[a1]]=1,ABS((ABS(Tab.o1[[#This Row],[Red]]-Tab.o1[[#This Row],[Blue]]))),"")</f>
        <v/>
      </c>
      <c r="W516" s="125" t="str">
        <f>IF(Tab.o1[[#This Row],[a1]]=1,IF(W$3=0,1,Tab.o1[[#This Row],[Amp.]]*1/_xlfn.MINIFS(Tab.o1[Amp.],Tab.o1[Amp.],"&lt;&gt;0")),"")</f>
        <v/>
      </c>
      <c r="X516" s="126" t="str">
        <f>IF(Tab.o1[[#This Row],[a1]]=1,IF(ISNUMBER(Tab.o1[[#This Row],[i.]]),NORMDIST(Tab.o1[[#This Row],[Za]],0,1,FALSE)*Tab.o1[[#This Row],[i.]],AP$3),"")</f>
        <v/>
      </c>
      <c r="Y516" s="126" t="str">
        <f>IF(Tab.o1[[#This Row],[a1]]=1,0.01+0.94*Tab.o1[[#This Row],[PDF]]/MAX(Tab.o1[PDF]),"")</f>
        <v/>
      </c>
      <c r="Z516" s="126" t="str">
        <f>IF(Tab.o1[[#This Row],[a1]]=1,0.01+0.94*Tab.o1[[#This Row],[W1_PDF]]/MAX(Tab.o1[W1_PDF]),"")</f>
        <v/>
      </c>
      <c r="AA516" s="118" t="str">
        <f>IF(Tab.o1[[#This Row],[a1]]=1,ABS([1]!T.in.A[[#This Row],[oo6]]),"")</f>
        <v/>
      </c>
      <c r="AB516" s="127" t="str">
        <f>IF(Tab.o1[[#This Row],[a1]]=1,IF(AE$3=0,"",IF(AB$3=0,ABS([1]!T.in.A[[#This Row],[oo9]]),ABS(Tab.o1[[#This Row],[DIF_Target.]]*Tab.o1[[#This Row],[W1_PDF]]))),"")</f>
        <v/>
      </c>
      <c r="AC516" s="127" t="str">
        <f>IF(G$1=1,"",IF(Tab.o1[[#This Row],[a1]]=1,Tab.o1[[#This Row],[Wr]]^2,""))</f>
        <v/>
      </c>
      <c r="AD516" s="118" t="str">
        <f>IF(Tab.o1[[#This Row],[a1]]=1,IF(AE$3=0,"",Tab.o1[[#This Row],[Wr2]]/SUM(Tab.o1[Wr2])),"")</f>
        <v/>
      </c>
      <c r="AE516" s="128" t="str">
        <f>IF(Tab.o1[[#This Row],[a1]]=1,[1]!T.in.A[[#This Row],[oo10]],"")</f>
        <v/>
      </c>
      <c r="AF516" s="118" t="str">
        <f>IF(Tab.o1[[#This Row],[a1]]=1,ABS(Tab.o1[[#This Row],[DIF_Target.]]*Tab.o1[[#This Row],[PDF2]]*Tab.o1[[#This Row],[IN]]),"")</f>
        <v/>
      </c>
      <c r="AG516" s="129" t="str">
        <f>IF(Tab.o1[[#This Row],[a1]]=1,Tab.o1[[#This Row],[rW]]^2,"")</f>
        <v/>
      </c>
      <c r="AH516" s="130" t="str">
        <f>IF(Tab.o1[[#This Row],[a1]]=1,IF(AH$3=0,Tab.o1[[#This Row],[rW2]],0.01+0.94*Tab.o1[[#This Row],[rW2]]/SUM(Tab.o1[rW2])),"")</f>
        <v/>
      </c>
      <c r="AI516" s="128" t="str">
        <f>IF(Tab.o1[[#This Row],[a1]]=1,1/Tab.o1[[#This Row],[PDF]],"")</f>
        <v/>
      </c>
      <c r="AJ516" s="131" t="str">
        <f>IF(Tab.o1[[#This Row],[a1]]=1,[1]!T_AA[[#This Row],[IN'']]*[1]!T_AA[[#This Row],[Qde'']],"")</f>
        <v/>
      </c>
      <c r="AK516" s="132" t="str">
        <f>IF(Tab.o1[[#This Row],[a1]]=1,IF(AK$1=1,Tab.o1[[#This Row],[MED]]+Tab.o1[[#This Row],[MOD]]-Tab.o1[[#This Row],[MED]],""),"")</f>
        <v/>
      </c>
      <c r="AL516" s="133" t="str">
        <f>IF(Tab.o1[[#This Row],[a1]]=1,[1]!T.in.A[[#This Row],[oo16]],"")</f>
        <v/>
      </c>
      <c r="AM516" s="133" t="str">
        <f>IF(Tab.o1[[#This Row],[a1]]=1,IF(AM$3=1,[1]!T.in.A[[#This Row],[Σo16]],""),"")</f>
        <v/>
      </c>
      <c r="AN516" s="126" t="str">
        <f>IF(Tab.o1[[#This Row],[a1]]=1,[1]!T.in.A[[#This Row],[Σp5]],"")</f>
        <v/>
      </c>
      <c r="AO516" s="126" t="str">
        <f>IF(Tab.o1[[#This Row],[a1]]=1,IF(AO$3=1,[1]!T.in.A[[#This Row],[Σp5]],""),"")</f>
        <v/>
      </c>
      <c r="AP516" s="110" t="str">
        <f>IF(Tab.o1[[#This Row],[a1]]=1,IF(ISNUMBER(Tab.o1[[#This Row],[i.]]),NORMDIST(Tab.o1[[#This Row],[Za]],0,1,FALSE)*Tab.o1[[#This Row],[i.]],0),"")</f>
        <v/>
      </c>
      <c r="AQ516" s="125" t="str">
        <f>IF(Tab.o1[[#This Row],[a1]]=1,ABS(Tab.o1[[#This Row],[MOD]]-AVERAGE(Tab.o1[MOD])),"")</f>
        <v/>
      </c>
      <c r="AR516" s="134" t="str">
        <f>IF(Tab.o1[[#This Row],[a1]]=1,Tab.o1[[#This Row],[OBS]]/SUM(Tab.o1[OBS]),"")</f>
        <v/>
      </c>
      <c r="AS516" s="135" t="str">
        <f>IF(ISNUMBER(Tab.o1[[#This Row],[a1]]),ROW()-4,"")</f>
        <v/>
      </c>
      <c r="AT516" s="136" t="str">
        <f>Tab.o1[[#This Row],[MOD]]</f>
        <v/>
      </c>
      <c r="AU516" s="137" t="str">
        <f t="shared" si="29"/>
        <v/>
      </c>
      <c r="AV516" s="138" t="str">
        <f t="shared" si="30"/>
        <v/>
      </c>
      <c r="AW516" s="138" t="str">
        <f t="shared" si="31"/>
        <v/>
      </c>
      <c r="AX516" s="139" t="str">
        <f>[1]!T.in.A[[#This Row],[ID_T_manu]]</f>
        <v/>
      </c>
      <c r="AY516" s="140" t="str">
        <f>IF(ISNUMBER(Tab.o1[[#This Row],[a1]]),IF(AND(Tab.o1[[#This Row],[a1]]=1,Tab.o1[[#This Row],[b1]]&lt;=AY$4),#REF!,AY515),"")</f>
        <v/>
      </c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</row>
    <row r="517" spans="1:79" ht="15.75" hidden="1">
      <c r="A517" s="109">
        <v>6.9999999999999999E-6</v>
      </c>
      <c r="B517" s="110">
        <f t="shared" si="28"/>
        <v>517</v>
      </c>
      <c r="C517" s="111" t="str">
        <f>IF(C$1=[1]!T.in.A[[#This Row],[oo2]],1,"")</f>
        <v/>
      </c>
      <c r="D517" s="112" t="str">
        <f>IF(Tab.o1[[#This Row],[a1]]=1,IF(SUM(C517:C518)=0,0,IF(SUM(C516:C517)=1,1,IF(SUM(C516:C518)&gt;1,D516+1,0))),"")</f>
        <v/>
      </c>
      <c r="E517" s="113" t="str">
        <f>IF(Tab.o1[[#This Row],[a1]]=1,[1]!T.in.A[[#This Row],[oo1]],"")</f>
        <v/>
      </c>
      <c r="F517" s="113" t="str">
        <f>IF(Tab.o1[[#This Row],[a1]]=1,[1]!T.in.A[[#This Row],[pp1]],"")</f>
        <v/>
      </c>
      <c r="G517" s="114" t="str">
        <f>IF(Tab.o1[[#This Row],[a1]]=1,G$2+IF(G$1=1,0,Tab.o1[[#This Row],[.x1]])+[1]!T.in.A[[#This Row],[oo3]],"")</f>
        <v/>
      </c>
      <c r="H517" s="115" t="str">
        <f>IF(Tab.o1[[#This Row],[a1]]=1,IF(H$2=0,0,IF(G$1=1,0,Tab.o1[[#This Row],[.x1]])+[1]!T.in.A[[#This Row],[oo4]]),"")</f>
        <v/>
      </c>
      <c r="I517" s="116" t="str">
        <f>IF(Tab.o1[[#This Row],[a1]]=1,IF(J$2=0,Tab.o1[[#This Row],[MED]],Tab.o1[[#This Row],[MOD]]),"")</f>
        <v/>
      </c>
      <c r="J517" s="116" t="str">
        <f>IF(Tab.o1[[#This Row],[a1]]=1,((Tab.o1[[#This Row],[DIF_Target.]]-AVERAGE(Tab.o1[DIF_Target.]))/_xlfn.STDEV.P(Tab.o1[DIF_Target.])),"")</f>
        <v/>
      </c>
      <c r="K517" s="117" t="str">
        <f>IF(Tab.o1[[#This Row],[a1]]=1,IF(J$2=0,Tab.o1[[#This Row],[MOD]]-Tab.o1[[#This Row],[B]],IF(J$2=1,0,-Tab.o1[[#This Row],[MED]])+Tab.o1[[#This Row],[B]]),"")</f>
        <v/>
      </c>
      <c r="L517" s="117" t="str">
        <f ca="1">IF(Tab.o1[[#This Row],[DIF_Target]]=0,IF(L$2=0,Tab.o1[[#This Row],[DIF_Target]],AVERAGE(OFFSET(Tab.o1[[#This Row],[DIF_Target]],1,0,L$3,1)))/3,Tab.o1[[#This Row],[DIF_Target]])</f>
        <v/>
      </c>
      <c r="M517" s="118" t="str">
        <f>IF(Tab.o1[[#This Row],[a1]]=1,NORMSDIST(Tab.o1[[#This Row],[Za]]),"")</f>
        <v/>
      </c>
      <c r="N517" s="119" t="str">
        <f>IF(Tab.o1[[#This Row],[a1]]=1,((Tab.o1[[#This Row],[MedMod]]-AVERAGE(Tab.o1[MedMod]))/_xlfn.STDEV.P(Tab.o1[MedMod])*H$1205)+G$1205,"")</f>
        <v/>
      </c>
      <c r="O517" s="141" t="str">
        <f>IF(Tab.o1[[#This Row],[a1]]=1,Tab.o1[[#This Row],[Zb]]*_xlfn.STDEV.P(Tab.o1[MedMod])+AVERAGE(Tab.o1[MedMod]),"")</f>
        <v/>
      </c>
      <c r="P517" s="117" t="str">
        <f ca="1">IF(Tab.o1[[#This Row],[B]]=0,AVERAGE(OFFSET(Tab.o1[[#This Row],[B]],1,0,L$3,1)),Tab.o1[[#This Row],[B]])</f>
        <v/>
      </c>
      <c r="Q517" s="121" t="str">
        <f>IF(Tab.o1[[#This Row],[a1]]=1,NORMSDIST(Tab.o1[[#This Row],[Zb]]),"")</f>
        <v/>
      </c>
      <c r="R517" s="122" t="str">
        <f>IF(Tab.o1[[#This Row],[a1]]=1,((Tab.o1[[#This Row],[MedMod]]-AVERAGE(Tab.o1[MedMod]))/_xlfn.STDEV.P(Tab.o1[MedMod])*H$1203)+G$1203,"")</f>
        <v/>
      </c>
      <c r="S517" s="122" t="str">
        <f>IF(Tab.o1[[#This Row],[a1]]=1,((Tab.o1[[#This Row],[MedMod]]-AVERAGE(Tab.o1[MedMod]))/_xlfn.STDEV.P(Tab.o1[MedMod])*H$1204)+G$1204,"")</f>
        <v/>
      </c>
      <c r="T517" s="123" t="str">
        <f>IF(Tab.o1[[#This Row],[a1]]=1,Tab.o1[[#This Row],[Z-]]*_xlfn.STDEV.P(Tab.o1[B])+AVERAGE(Tab.o1[B]),"")</f>
        <v/>
      </c>
      <c r="U517" s="123" t="str">
        <f>IF(Tab.o1[[#This Row],[a1]]=1,Tab.o1[[#This Row],[z+]]*_xlfn.STDEV.P(Tab.o1[B])+AVERAGE(Tab.o1[B]),"")</f>
        <v/>
      </c>
      <c r="V517" s="124" t="str">
        <f>IF(Tab.o1[[#This Row],[a1]]=1,ABS((ABS(Tab.o1[[#This Row],[Red]]-Tab.o1[[#This Row],[Blue]]))),"")</f>
        <v/>
      </c>
      <c r="W517" s="125" t="str">
        <f>IF(Tab.o1[[#This Row],[a1]]=1,IF(W$3=0,1,Tab.o1[[#This Row],[Amp.]]*1/_xlfn.MINIFS(Tab.o1[Amp.],Tab.o1[Amp.],"&lt;&gt;0")),"")</f>
        <v/>
      </c>
      <c r="X517" s="126" t="str">
        <f>IF(Tab.o1[[#This Row],[a1]]=1,IF(ISNUMBER(Tab.o1[[#This Row],[i.]]),NORMDIST(Tab.o1[[#This Row],[Za]],0,1,FALSE)*Tab.o1[[#This Row],[i.]],AP$3),"")</f>
        <v/>
      </c>
      <c r="Y517" s="126" t="str">
        <f>IF(Tab.o1[[#This Row],[a1]]=1,0.01+0.94*Tab.o1[[#This Row],[PDF]]/MAX(Tab.o1[PDF]),"")</f>
        <v/>
      </c>
      <c r="Z517" s="126" t="str">
        <f>IF(Tab.o1[[#This Row],[a1]]=1,0.01+0.94*Tab.o1[[#This Row],[W1_PDF]]/MAX(Tab.o1[W1_PDF]),"")</f>
        <v/>
      </c>
      <c r="AA517" s="118" t="str">
        <f>IF(Tab.o1[[#This Row],[a1]]=1,ABS([1]!T.in.A[[#This Row],[oo6]]),"")</f>
        <v/>
      </c>
      <c r="AB517" s="127" t="str">
        <f>IF(Tab.o1[[#This Row],[a1]]=1,IF(AE$3=0,"",IF(AB$3=0,ABS([1]!T.in.A[[#This Row],[oo9]]),ABS(Tab.o1[[#This Row],[DIF_Target.]]*Tab.o1[[#This Row],[W1_PDF]]))),"")</f>
        <v/>
      </c>
      <c r="AC517" s="127" t="str">
        <f>IF(G$1=1,"",IF(Tab.o1[[#This Row],[a1]]=1,Tab.o1[[#This Row],[Wr]]^2,""))</f>
        <v/>
      </c>
      <c r="AD517" s="118" t="str">
        <f>IF(Tab.o1[[#This Row],[a1]]=1,IF(AE$3=0,"",Tab.o1[[#This Row],[Wr2]]/SUM(Tab.o1[Wr2])),"")</f>
        <v/>
      </c>
      <c r="AE517" s="128" t="str">
        <f>IF(Tab.o1[[#This Row],[a1]]=1,[1]!T.in.A[[#This Row],[oo10]],"")</f>
        <v/>
      </c>
      <c r="AF517" s="118" t="str">
        <f>IF(Tab.o1[[#This Row],[a1]]=1,ABS(Tab.o1[[#This Row],[DIF_Target.]]*Tab.o1[[#This Row],[PDF2]]*Tab.o1[[#This Row],[IN]]),"")</f>
        <v/>
      </c>
      <c r="AG517" s="129" t="str">
        <f>IF(Tab.o1[[#This Row],[a1]]=1,Tab.o1[[#This Row],[rW]]^2,"")</f>
        <v/>
      </c>
      <c r="AH517" s="130" t="str">
        <f>IF(Tab.o1[[#This Row],[a1]]=1,IF(AH$3=0,Tab.o1[[#This Row],[rW2]],0.01+0.94*Tab.o1[[#This Row],[rW2]]/SUM(Tab.o1[rW2])),"")</f>
        <v/>
      </c>
      <c r="AI517" s="128" t="str">
        <f>IF(Tab.o1[[#This Row],[a1]]=1,1/Tab.o1[[#This Row],[PDF]],"")</f>
        <v/>
      </c>
      <c r="AJ517" s="131" t="str">
        <f>IF(Tab.o1[[#This Row],[a1]]=1,[1]!T_AA[[#This Row],[IN'']]*[1]!T_AA[[#This Row],[Qde'']],"")</f>
        <v/>
      </c>
      <c r="AK517" s="132" t="str">
        <f>IF(Tab.o1[[#This Row],[a1]]=1,IF(AK$1=1,Tab.o1[[#This Row],[MED]]+Tab.o1[[#This Row],[MOD]]-Tab.o1[[#This Row],[MED]],""),"")</f>
        <v/>
      </c>
      <c r="AL517" s="133" t="str">
        <f>IF(Tab.o1[[#This Row],[a1]]=1,[1]!T.in.A[[#This Row],[oo16]],"")</f>
        <v/>
      </c>
      <c r="AM517" s="133" t="str">
        <f>IF(Tab.o1[[#This Row],[a1]]=1,IF(AM$3=1,[1]!T.in.A[[#This Row],[Σo16]],""),"")</f>
        <v/>
      </c>
      <c r="AN517" s="126" t="str">
        <f>IF(Tab.o1[[#This Row],[a1]]=1,[1]!T.in.A[[#This Row],[Σp5]],"")</f>
        <v/>
      </c>
      <c r="AO517" s="126" t="str">
        <f>IF(Tab.o1[[#This Row],[a1]]=1,IF(AO$3=1,[1]!T.in.A[[#This Row],[Σp5]],""),"")</f>
        <v/>
      </c>
      <c r="AP517" s="110" t="str">
        <f>IF(Tab.o1[[#This Row],[a1]]=1,IF(ISNUMBER(Tab.o1[[#This Row],[i.]]),NORMDIST(Tab.o1[[#This Row],[Za]],0,1,FALSE)*Tab.o1[[#This Row],[i.]],0),"")</f>
        <v/>
      </c>
      <c r="AQ517" s="125" t="str">
        <f>IF(Tab.o1[[#This Row],[a1]]=1,ABS(Tab.o1[[#This Row],[MOD]]-AVERAGE(Tab.o1[MOD])),"")</f>
        <v/>
      </c>
      <c r="AR517" s="134" t="str">
        <f>IF(Tab.o1[[#This Row],[a1]]=1,Tab.o1[[#This Row],[OBS]]/SUM(Tab.o1[OBS]),"")</f>
        <v/>
      </c>
      <c r="AS517" s="135" t="str">
        <f>IF(ISNUMBER(Tab.o1[[#This Row],[a1]]),ROW()-4,"")</f>
        <v/>
      </c>
      <c r="AT517" s="136" t="str">
        <f>Tab.o1[[#This Row],[MOD]]</f>
        <v/>
      </c>
      <c r="AU517" s="137" t="str">
        <f t="shared" si="29"/>
        <v/>
      </c>
      <c r="AV517" s="138" t="str">
        <f t="shared" si="30"/>
        <v/>
      </c>
      <c r="AW517" s="138" t="str">
        <f t="shared" si="31"/>
        <v/>
      </c>
      <c r="AX517" s="139" t="str">
        <f>[1]!T.in.A[[#This Row],[ID_T_manu]]</f>
        <v/>
      </c>
      <c r="AY517" s="140" t="str">
        <f>IF(ISNUMBER(Tab.o1[[#This Row],[a1]]),IF(AND(Tab.o1[[#This Row],[a1]]=1,Tab.o1[[#This Row],[b1]]&lt;=AY$4),#REF!,AY516),"")</f>
        <v/>
      </c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</row>
    <row r="518" spans="1:79" ht="15.75" hidden="1">
      <c r="A518" s="109">
        <v>2.9999999999999997E-6</v>
      </c>
      <c r="B518" s="110">
        <f t="shared" ref="B518:B581" si="32">B517+1</f>
        <v>518</v>
      </c>
      <c r="C518" s="111" t="str">
        <f>IF(C$1=[1]!T.in.A[[#This Row],[oo2]],1,"")</f>
        <v/>
      </c>
      <c r="D518" s="112" t="str">
        <f>IF(Tab.o1[[#This Row],[a1]]=1,IF(SUM(C518:C519)=0,0,IF(SUM(C517:C518)=1,1,IF(SUM(C517:C519)&gt;1,D517+1,0))),"")</f>
        <v/>
      </c>
      <c r="E518" s="113" t="str">
        <f>IF(Tab.o1[[#This Row],[a1]]=1,[1]!T.in.A[[#This Row],[oo1]],"")</f>
        <v/>
      </c>
      <c r="F518" s="113" t="str">
        <f>IF(Tab.o1[[#This Row],[a1]]=1,[1]!T.in.A[[#This Row],[pp1]],"")</f>
        <v/>
      </c>
      <c r="G518" s="114" t="str">
        <f>IF(Tab.o1[[#This Row],[a1]]=1,G$2+IF(G$1=1,0,Tab.o1[[#This Row],[.x1]])+[1]!T.in.A[[#This Row],[oo3]],"")</f>
        <v/>
      </c>
      <c r="H518" s="115" t="str">
        <f>IF(Tab.o1[[#This Row],[a1]]=1,IF(H$2=0,0,IF(G$1=1,0,Tab.o1[[#This Row],[.x1]])+[1]!T.in.A[[#This Row],[oo4]]),"")</f>
        <v/>
      </c>
      <c r="I518" s="116" t="str">
        <f>IF(Tab.o1[[#This Row],[a1]]=1,IF(J$2=0,Tab.o1[[#This Row],[MED]],Tab.o1[[#This Row],[MOD]]),"")</f>
        <v/>
      </c>
      <c r="J518" s="116" t="str">
        <f>IF(Tab.o1[[#This Row],[a1]]=1,((Tab.o1[[#This Row],[DIF_Target.]]-AVERAGE(Tab.o1[DIF_Target.]))/_xlfn.STDEV.P(Tab.o1[DIF_Target.])),"")</f>
        <v/>
      </c>
      <c r="K518" s="117" t="str">
        <f>IF(Tab.o1[[#This Row],[a1]]=1,IF(J$2=0,Tab.o1[[#This Row],[MOD]]-Tab.o1[[#This Row],[B]],IF(J$2=1,0,-Tab.o1[[#This Row],[MED]])+Tab.o1[[#This Row],[B]]),"")</f>
        <v/>
      </c>
      <c r="L518" s="117" t="str">
        <f ca="1">IF(Tab.o1[[#This Row],[DIF_Target]]=0,IF(L$2=0,Tab.o1[[#This Row],[DIF_Target]],AVERAGE(OFFSET(Tab.o1[[#This Row],[DIF_Target]],1,0,L$3,1)))/3,Tab.o1[[#This Row],[DIF_Target]])</f>
        <v/>
      </c>
      <c r="M518" s="118" t="str">
        <f>IF(Tab.o1[[#This Row],[a1]]=1,NORMSDIST(Tab.o1[[#This Row],[Za]]),"")</f>
        <v/>
      </c>
      <c r="N518" s="119" t="str">
        <f>IF(Tab.o1[[#This Row],[a1]]=1,((Tab.o1[[#This Row],[MedMod]]-AVERAGE(Tab.o1[MedMod]))/_xlfn.STDEV.P(Tab.o1[MedMod])*H$1205)+G$1205,"")</f>
        <v/>
      </c>
      <c r="O518" s="141" t="str">
        <f>IF(Tab.o1[[#This Row],[a1]]=1,Tab.o1[[#This Row],[Zb]]*_xlfn.STDEV.P(Tab.o1[MedMod])+AVERAGE(Tab.o1[MedMod]),"")</f>
        <v/>
      </c>
      <c r="P518" s="117" t="str">
        <f ca="1">IF(Tab.o1[[#This Row],[B]]=0,AVERAGE(OFFSET(Tab.o1[[#This Row],[B]],1,0,L$3,1)),Tab.o1[[#This Row],[B]])</f>
        <v/>
      </c>
      <c r="Q518" s="121" t="str">
        <f>IF(Tab.o1[[#This Row],[a1]]=1,NORMSDIST(Tab.o1[[#This Row],[Zb]]),"")</f>
        <v/>
      </c>
      <c r="R518" s="122" t="str">
        <f>IF(Tab.o1[[#This Row],[a1]]=1,((Tab.o1[[#This Row],[MedMod]]-AVERAGE(Tab.o1[MedMod]))/_xlfn.STDEV.P(Tab.o1[MedMod])*H$1203)+G$1203,"")</f>
        <v/>
      </c>
      <c r="S518" s="122" t="str">
        <f>IF(Tab.o1[[#This Row],[a1]]=1,((Tab.o1[[#This Row],[MedMod]]-AVERAGE(Tab.o1[MedMod]))/_xlfn.STDEV.P(Tab.o1[MedMod])*H$1204)+G$1204,"")</f>
        <v/>
      </c>
      <c r="T518" s="123" t="str">
        <f>IF(Tab.o1[[#This Row],[a1]]=1,Tab.o1[[#This Row],[Z-]]*_xlfn.STDEV.P(Tab.o1[B])+AVERAGE(Tab.o1[B]),"")</f>
        <v/>
      </c>
      <c r="U518" s="123" t="str">
        <f>IF(Tab.o1[[#This Row],[a1]]=1,Tab.o1[[#This Row],[z+]]*_xlfn.STDEV.P(Tab.o1[B])+AVERAGE(Tab.o1[B]),"")</f>
        <v/>
      </c>
      <c r="V518" s="124" t="str">
        <f>IF(Tab.o1[[#This Row],[a1]]=1,ABS((ABS(Tab.o1[[#This Row],[Red]]-Tab.o1[[#This Row],[Blue]]))),"")</f>
        <v/>
      </c>
      <c r="W518" s="125" t="str">
        <f>IF(Tab.o1[[#This Row],[a1]]=1,IF(W$3=0,1,Tab.o1[[#This Row],[Amp.]]*1/_xlfn.MINIFS(Tab.o1[Amp.],Tab.o1[Amp.],"&lt;&gt;0")),"")</f>
        <v/>
      </c>
      <c r="X518" s="126" t="str">
        <f>IF(Tab.o1[[#This Row],[a1]]=1,IF(ISNUMBER(Tab.o1[[#This Row],[i.]]),NORMDIST(Tab.o1[[#This Row],[Za]],0,1,FALSE)*Tab.o1[[#This Row],[i.]],AP$3),"")</f>
        <v/>
      </c>
      <c r="Y518" s="126" t="str">
        <f>IF(Tab.o1[[#This Row],[a1]]=1,0.01+0.94*Tab.o1[[#This Row],[PDF]]/MAX(Tab.o1[PDF]),"")</f>
        <v/>
      </c>
      <c r="Z518" s="126" t="str">
        <f>IF(Tab.o1[[#This Row],[a1]]=1,0.01+0.94*Tab.o1[[#This Row],[W1_PDF]]/MAX(Tab.o1[W1_PDF]),"")</f>
        <v/>
      </c>
      <c r="AA518" s="118" t="str">
        <f>IF(Tab.o1[[#This Row],[a1]]=1,ABS([1]!T.in.A[[#This Row],[oo6]]),"")</f>
        <v/>
      </c>
      <c r="AB518" s="127" t="str">
        <f>IF(Tab.o1[[#This Row],[a1]]=1,IF(AE$3=0,"",IF(AB$3=0,ABS([1]!T.in.A[[#This Row],[oo9]]),ABS(Tab.o1[[#This Row],[DIF_Target.]]*Tab.o1[[#This Row],[W1_PDF]]))),"")</f>
        <v/>
      </c>
      <c r="AC518" s="127" t="str">
        <f>IF(G$1=1,"",IF(Tab.o1[[#This Row],[a1]]=1,Tab.o1[[#This Row],[Wr]]^2,""))</f>
        <v/>
      </c>
      <c r="AD518" s="118" t="str">
        <f>IF(Tab.o1[[#This Row],[a1]]=1,IF(AE$3=0,"",Tab.o1[[#This Row],[Wr2]]/SUM(Tab.o1[Wr2])),"")</f>
        <v/>
      </c>
      <c r="AE518" s="128" t="str">
        <f>IF(Tab.o1[[#This Row],[a1]]=1,[1]!T.in.A[[#This Row],[oo10]],"")</f>
        <v/>
      </c>
      <c r="AF518" s="118" t="str">
        <f>IF(Tab.o1[[#This Row],[a1]]=1,ABS(Tab.o1[[#This Row],[DIF_Target.]]*Tab.o1[[#This Row],[PDF2]]*Tab.o1[[#This Row],[IN]]),"")</f>
        <v/>
      </c>
      <c r="AG518" s="129" t="str">
        <f>IF(Tab.o1[[#This Row],[a1]]=1,Tab.o1[[#This Row],[rW]]^2,"")</f>
        <v/>
      </c>
      <c r="AH518" s="130" t="str">
        <f>IF(Tab.o1[[#This Row],[a1]]=1,IF(AH$3=0,Tab.o1[[#This Row],[rW2]],0.01+0.94*Tab.o1[[#This Row],[rW2]]/SUM(Tab.o1[rW2])),"")</f>
        <v/>
      </c>
      <c r="AI518" s="128" t="str">
        <f>IF(Tab.o1[[#This Row],[a1]]=1,1/Tab.o1[[#This Row],[PDF]],"")</f>
        <v/>
      </c>
      <c r="AJ518" s="131" t="str">
        <f>IF(Tab.o1[[#This Row],[a1]]=1,[1]!T_AA[[#This Row],[IN'']]*[1]!T_AA[[#This Row],[Qde'']],"")</f>
        <v/>
      </c>
      <c r="AK518" s="132" t="str">
        <f>IF(Tab.o1[[#This Row],[a1]]=1,IF(AK$1=1,Tab.o1[[#This Row],[MED]]+Tab.o1[[#This Row],[MOD]]-Tab.o1[[#This Row],[MED]],""),"")</f>
        <v/>
      </c>
      <c r="AL518" s="133" t="str">
        <f>IF(Tab.o1[[#This Row],[a1]]=1,[1]!T.in.A[[#This Row],[oo16]],"")</f>
        <v/>
      </c>
      <c r="AM518" s="133" t="str">
        <f>IF(Tab.o1[[#This Row],[a1]]=1,IF(AM$3=1,[1]!T.in.A[[#This Row],[Σo16]],""),"")</f>
        <v/>
      </c>
      <c r="AN518" s="126" t="str">
        <f>IF(Tab.o1[[#This Row],[a1]]=1,[1]!T.in.A[[#This Row],[Σp5]],"")</f>
        <v/>
      </c>
      <c r="AO518" s="126" t="str">
        <f>IF(Tab.o1[[#This Row],[a1]]=1,IF(AO$3=1,[1]!T.in.A[[#This Row],[Σp5]],""),"")</f>
        <v/>
      </c>
      <c r="AP518" s="110" t="str">
        <f>IF(Tab.o1[[#This Row],[a1]]=1,IF(ISNUMBER(Tab.o1[[#This Row],[i.]]),NORMDIST(Tab.o1[[#This Row],[Za]],0,1,FALSE)*Tab.o1[[#This Row],[i.]],0),"")</f>
        <v/>
      </c>
      <c r="AQ518" s="125" t="str">
        <f>IF(Tab.o1[[#This Row],[a1]]=1,ABS(Tab.o1[[#This Row],[MOD]]-AVERAGE(Tab.o1[MOD])),"")</f>
        <v/>
      </c>
      <c r="AR518" s="134" t="str">
        <f>IF(Tab.o1[[#This Row],[a1]]=1,Tab.o1[[#This Row],[OBS]]/SUM(Tab.o1[OBS]),"")</f>
        <v/>
      </c>
      <c r="AS518" s="135" t="str">
        <f>IF(ISNUMBER(Tab.o1[[#This Row],[a1]]),ROW()-4,"")</f>
        <v/>
      </c>
      <c r="AT518" s="136" t="str">
        <f>Tab.o1[[#This Row],[MOD]]</f>
        <v/>
      </c>
      <c r="AU518" s="137" t="str">
        <f t="shared" ref="AU518:AU581" si="33">AT518</f>
        <v/>
      </c>
      <c r="AV518" s="138" t="str">
        <f t="shared" ref="AV518:AV581" si="34">IF(AND(ISNUMBER(AT518),ISNUMBER(AU518)),H518-AU518,"")</f>
        <v/>
      </c>
      <c r="AW518" s="138" t="str">
        <f t="shared" ref="AW518:AW581" si="35">IF(AW$4=0,"",IF(AV518&lt;AV$2,AV518," "))</f>
        <v/>
      </c>
      <c r="AX518" s="139" t="str">
        <f>[1]!T.in.A[[#This Row],[ID_T_manu]]</f>
        <v/>
      </c>
      <c r="AY518" s="140" t="str">
        <f>IF(ISNUMBER(Tab.o1[[#This Row],[a1]]),IF(AND(Tab.o1[[#This Row],[a1]]=1,Tab.o1[[#This Row],[b1]]&lt;=AY$4),#REF!,AY517),"")</f>
        <v/>
      </c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</row>
    <row r="519" spans="1:79" ht="15.75" hidden="1">
      <c r="A519" s="109">
        <v>-6.9999999999999999E-6</v>
      </c>
      <c r="B519" s="110">
        <f t="shared" si="32"/>
        <v>519</v>
      </c>
      <c r="C519" s="111" t="str">
        <f>IF(C$1=[1]!T.in.A[[#This Row],[oo2]],1,"")</f>
        <v/>
      </c>
      <c r="D519" s="112" t="str">
        <f>IF(Tab.o1[[#This Row],[a1]]=1,IF(SUM(C519:C520)=0,0,IF(SUM(C518:C519)=1,1,IF(SUM(C518:C520)&gt;1,D518+1,0))),"")</f>
        <v/>
      </c>
      <c r="E519" s="113" t="str">
        <f>IF(Tab.o1[[#This Row],[a1]]=1,[1]!T.in.A[[#This Row],[oo1]],"")</f>
        <v/>
      </c>
      <c r="F519" s="113" t="str">
        <f>IF(Tab.o1[[#This Row],[a1]]=1,[1]!T.in.A[[#This Row],[pp1]],"")</f>
        <v/>
      </c>
      <c r="G519" s="114" t="str">
        <f>IF(Tab.o1[[#This Row],[a1]]=1,G$2+IF(G$1=1,0,Tab.o1[[#This Row],[.x1]])+[1]!T.in.A[[#This Row],[oo3]],"")</f>
        <v/>
      </c>
      <c r="H519" s="115" t="str">
        <f>IF(Tab.o1[[#This Row],[a1]]=1,IF(H$2=0,0,IF(G$1=1,0,Tab.o1[[#This Row],[.x1]])+[1]!T.in.A[[#This Row],[oo4]]),"")</f>
        <v/>
      </c>
      <c r="I519" s="116" t="str">
        <f>IF(Tab.o1[[#This Row],[a1]]=1,IF(J$2=0,Tab.o1[[#This Row],[MED]],Tab.o1[[#This Row],[MOD]]),"")</f>
        <v/>
      </c>
      <c r="J519" s="116" t="str">
        <f>IF(Tab.o1[[#This Row],[a1]]=1,((Tab.o1[[#This Row],[DIF_Target.]]-AVERAGE(Tab.o1[DIF_Target.]))/_xlfn.STDEV.P(Tab.o1[DIF_Target.])),"")</f>
        <v/>
      </c>
      <c r="K519" s="117" t="str">
        <f>IF(Tab.o1[[#This Row],[a1]]=1,IF(J$2=0,Tab.o1[[#This Row],[MOD]]-Tab.o1[[#This Row],[B]],IF(J$2=1,0,-Tab.o1[[#This Row],[MED]])+Tab.o1[[#This Row],[B]]),"")</f>
        <v/>
      </c>
      <c r="L519" s="117" t="str">
        <f ca="1">IF(Tab.o1[[#This Row],[DIF_Target]]=0,IF(L$2=0,Tab.o1[[#This Row],[DIF_Target]],AVERAGE(OFFSET(Tab.o1[[#This Row],[DIF_Target]],1,0,L$3,1)))/3,Tab.o1[[#This Row],[DIF_Target]])</f>
        <v/>
      </c>
      <c r="M519" s="118" t="str">
        <f>IF(Tab.o1[[#This Row],[a1]]=1,NORMSDIST(Tab.o1[[#This Row],[Za]]),"")</f>
        <v/>
      </c>
      <c r="N519" s="119" t="str">
        <f>IF(Tab.o1[[#This Row],[a1]]=1,((Tab.o1[[#This Row],[MedMod]]-AVERAGE(Tab.o1[MedMod]))/_xlfn.STDEV.P(Tab.o1[MedMod])*H$1205)+G$1205,"")</f>
        <v/>
      </c>
      <c r="O519" s="141" t="str">
        <f>IF(Tab.o1[[#This Row],[a1]]=1,Tab.o1[[#This Row],[Zb]]*_xlfn.STDEV.P(Tab.o1[MedMod])+AVERAGE(Tab.o1[MedMod]),"")</f>
        <v/>
      </c>
      <c r="P519" s="117" t="str">
        <f ca="1">IF(Tab.o1[[#This Row],[B]]=0,AVERAGE(OFFSET(Tab.o1[[#This Row],[B]],1,0,L$3,1)),Tab.o1[[#This Row],[B]])</f>
        <v/>
      </c>
      <c r="Q519" s="121" t="str">
        <f>IF(Tab.o1[[#This Row],[a1]]=1,NORMSDIST(Tab.o1[[#This Row],[Zb]]),"")</f>
        <v/>
      </c>
      <c r="R519" s="122" t="str">
        <f>IF(Tab.o1[[#This Row],[a1]]=1,((Tab.o1[[#This Row],[MedMod]]-AVERAGE(Tab.o1[MedMod]))/_xlfn.STDEV.P(Tab.o1[MedMod])*H$1203)+G$1203,"")</f>
        <v/>
      </c>
      <c r="S519" s="122" t="str">
        <f>IF(Tab.o1[[#This Row],[a1]]=1,((Tab.o1[[#This Row],[MedMod]]-AVERAGE(Tab.o1[MedMod]))/_xlfn.STDEV.P(Tab.o1[MedMod])*H$1204)+G$1204,"")</f>
        <v/>
      </c>
      <c r="T519" s="123" t="str">
        <f>IF(Tab.o1[[#This Row],[a1]]=1,Tab.o1[[#This Row],[Z-]]*_xlfn.STDEV.P(Tab.o1[B])+AVERAGE(Tab.o1[B]),"")</f>
        <v/>
      </c>
      <c r="U519" s="123" t="str">
        <f>IF(Tab.o1[[#This Row],[a1]]=1,Tab.o1[[#This Row],[z+]]*_xlfn.STDEV.P(Tab.o1[B])+AVERAGE(Tab.o1[B]),"")</f>
        <v/>
      </c>
      <c r="V519" s="124" t="str">
        <f>IF(Tab.o1[[#This Row],[a1]]=1,ABS((ABS(Tab.o1[[#This Row],[Red]]-Tab.o1[[#This Row],[Blue]]))),"")</f>
        <v/>
      </c>
      <c r="W519" s="125" t="str">
        <f>IF(Tab.o1[[#This Row],[a1]]=1,IF(W$3=0,1,Tab.o1[[#This Row],[Amp.]]*1/_xlfn.MINIFS(Tab.o1[Amp.],Tab.o1[Amp.],"&lt;&gt;0")),"")</f>
        <v/>
      </c>
      <c r="X519" s="126" t="str">
        <f>IF(Tab.o1[[#This Row],[a1]]=1,IF(ISNUMBER(Tab.o1[[#This Row],[i.]]),NORMDIST(Tab.o1[[#This Row],[Za]],0,1,FALSE)*Tab.o1[[#This Row],[i.]],AP$3),"")</f>
        <v/>
      </c>
      <c r="Y519" s="126" t="str">
        <f>IF(Tab.o1[[#This Row],[a1]]=1,0.01+0.94*Tab.o1[[#This Row],[PDF]]/MAX(Tab.o1[PDF]),"")</f>
        <v/>
      </c>
      <c r="Z519" s="126" t="str">
        <f>IF(Tab.o1[[#This Row],[a1]]=1,0.01+0.94*Tab.o1[[#This Row],[W1_PDF]]/MAX(Tab.o1[W1_PDF]),"")</f>
        <v/>
      </c>
      <c r="AA519" s="118" t="str">
        <f>IF(Tab.o1[[#This Row],[a1]]=1,ABS([1]!T.in.A[[#This Row],[oo6]]),"")</f>
        <v/>
      </c>
      <c r="AB519" s="127" t="str">
        <f>IF(Tab.o1[[#This Row],[a1]]=1,IF(AE$3=0,"",IF(AB$3=0,ABS([1]!T.in.A[[#This Row],[oo9]]),ABS(Tab.o1[[#This Row],[DIF_Target.]]*Tab.o1[[#This Row],[W1_PDF]]))),"")</f>
        <v/>
      </c>
      <c r="AC519" s="127" t="str">
        <f>IF(G$1=1,"",IF(Tab.o1[[#This Row],[a1]]=1,Tab.o1[[#This Row],[Wr]]^2,""))</f>
        <v/>
      </c>
      <c r="AD519" s="118" t="str">
        <f>IF(Tab.o1[[#This Row],[a1]]=1,IF(AE$3=0,"",Tab.o1[[#This Row],[Wr2]]/SUM(Tab.o1[Wr2])),"")</f>
        <v/>
      </c>
      <c r="AE519" s="128" t="str">
        <f>IF(Tab.o1[[#This Row],[a1]]=1,[1]!T.in.A[[#This Row],[oo10]],"")</f>
        <v/>
      </c>
      <c r="AF519" s="118" t="str">
        <f>IF(Tab.o1[[#This Row],[a1]]=1,ABS(Tab.o1[[#This Row],[DIF_Target.]]*Tab.o1[[#This Row],[PDF2]]*Tab.o1[[#This Row],[IN]]),"")</f>
        <v/>
      </c>
      <c r="AG519" s="129" t="str">
        <f>IF(Tab.o1[[#This Row],[a1]]=1,Tab.o1[[#This Row],[rW]]^2,"")</f>
        <v/>
      </c>
      <c r="AH519" s="130" t="str">
        <f>IF(Tab.o1[[#This Row],[a1]]=1,IF(AH$3=0,Tab.o1[[#This Row],[rW2]],0.01+0.94*Tab.o1[[#This Row],[rW2]]/SUM(Tab.o1[rW2])),"")</f>
        <v/>
      </c>
      <c r="AI519" s="128" t="str">
        <f>IF(Tab.o1[[#This Row],[a1]]=1,1/Tab.o1[[#This Row],[PDF]],"")</f>
        <v/>
      </c>
      <c r="AJ519" s="131" t="str">
        <f>IF(Tab.o1[[#This Row],[a1]]=1,[1]!T_AA[[#This Row],[IN'']]*[1]!T_AA[[#This Row],[Qde'']],"")</f>
        <v/>
      </c>
      <c r="AK519" s="132" t="str">
        <f>IF(Tab.o1[[#This Row],[a1]]=1,IF(AK$1=1,Tab.o1[[#This Row],[MED]]+Tab.o1[[#This Row],[MOD]]-Tab.o1[[#This Row],[MED]],""),"")</f>
        <v/>
      </c>
      <c r="AL519" s="133" t="str">
        <f>IF(Tab.o1[[#This Row],[a1]]=1,[1]!T.in.A[[#This Row],[oo16]],"")</f>
        <v/>
      </c>
      <c r="AM519" s="133" t="str">
        <f>IF(Tab.o1[[#This Row],[a1]]=1,IF(AM$3=1,[1]!T.in.A[[#This Row],[Σo16]],""),"")</f>
        <v/>
      </c>
      <c r="AN519" s="126" t="str">
        <f>IF(Tab.o1[[#This Row],[a1]]=1,[1]!T.in.A[[#This Row],[Σp5]],"")</f>
        <v/>
      </c>
      <c r="AO519" s="126" t="str">
        <f>IF(Tab.o1[[#This Row],[a1]]=1,IF(AO$3=1,[1]!T.in.A[[#This Row],[Σp5]],""),"")</f>
        <v/>
      </c>
      <c r="AP519" s="110" t="str">
        <f>IF(Tab.o1[[#This Row],[a1]]=1,IF(ISNUMBER(Tab.o1[[#This Row],[i.]]),NORMDIST(Tab.o1[[#This Row],[Za]],0,1,FALSE)*Tab.o1[[#This Row],[i.]],0),"")</f>
        <v/>
      </c>
      <c r="AQ519" s="125" t="str">
        <f>IF(Tab.o1[[#This Row],[a1]]=1,ABS(Tab.o1[[#This Row],[MOD]]-AVERAGE(Tab.o1[MOD])),"")</f>
        <v/>
      </c>
      <c r="AR519" s="134" t="str">
        <f>IF(Tab.o1[[#This Row],[a1]]=1,Tab.o1[[#This Row],[OBS]]/SUM(Tab.o1[OBS]),"")</f>
        <v/>
      </c>
      <c r="AS519" s="135" t="str">
        <f>IF(ISNUMBER(Tab.o1[[#This Row],[a1]]),ROW()-4,"")</f>
        <v/>
      </c>
      <c r="AT519" s="136" t="str">
        <f>Tab.o1[[#This Row],[MOD]]</f>
        <v/>
      </c>
      <c r="AU519" s="137" t="str">
        <f t="shared" si="33"/>
        <v/>
      </c>
      <c r="AV519" s="138" t="str">
        <f t="shared" si="34"/>
        <v/>
      </c>
      <c r="AW519" s="138" t="str">
        <f t="shared" si="35"/>
        <v/>
      </c>
      <c r="AX519" s="139" t="str">
        <f>[1]!T.in.A[[#This Row],[ID_T_manu]]</f>
        <v/>
      </c>
      <c r="AY519" s="140" t="str">
        <f>IF(ISNUMBER(Tab.o1[[#This Row],[a1]]),IF(AND(Tab.o1[[#This Row],[a1]]=1,Tab.o1[[#This Row],[b1]]&lt;=AY$4),#REF!,AY518),"")</f>
        <v/>
      </c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</row>
    <row r="520" spans="1:79" ht="15.75" hidden="1">
      <c r="A520" s="109">
        <v>5.9999999999999993E-6</v>
      </c>
      <c r="B520" s="110">
        <f t="shared" si="32"/>
        <v>520</v>
      </c>
      <c r="C520" s="111" t="str">
        <f>IF(C$1=[1]!T.in.A[[#This Row],[oo2]],1,"")</f>
        <v/>
      </c>
      <c r="D520" s="112" t="str">
        <f>IF(Tab.o1[[#This Row],[a1]]=1,IF(SUM(C520:C521)=0,0,IF(SUM(C519:C520)=1,1,IF(SUM(C519:C521)&gt;1,D519+1,0))),"")</f>
        <v/>
      </c>
      <c r="E520" s="113" t="str">
        <f>IF(Tab.o1[[#This Row],[a1]]=1,[1]!T.in.A[[#This Row],[oo1]],"")</f>
        <v/>
      </c>
      <c r="F520" s="113" t="str">
        <f>IF(Tab.o1[[#This Row],[a1]]=1,[1]!T.in.A[[#This Row],[pp1]],"")</f>
        <v/>
      </c>
      <c r="G520" s="114" t="str">
        <f>IF(Tab.o1[[#This Row],[a1]]=1,G$2+IF(G$1=1,0,Tab.o1[[#This Row],[.x1]])+[1]!T.in.A[[#This Row],[oo3]],"")</f>
        <v/>
      </c>
      <c r="H520" s="115" t="str">
        <f>IF(Tab.o1[[#This Row],[a1]]=1,IF(H$2=0,0,IF(G$1=1,0,Tab.o1[[#This Row],[.x1]])+[1]!T.in.A[[#This Row],[oo4]]),"")</f>
        <v/>
      </c>
      <c r="I520" s="116" t="str">
        <f>IF(Tab.o1[[#This Row],[a1]]=1,IF(J$2=0,Tab.o1[[#This Row],[MED]],Tab.o1[[#This Row],[MOD]]),"")</f>
        <v/>
      </c>
      <c r="J520" s="116" t="str">
        <f>IF(Tab.o1[[#This Row],[a1]]=1,((Tab.o1[[#This Row],[DIF_Target.]]-AVERAGE(Tab.o1[DIF_Target.]))/_xlfn.STDEV.P(Tab.o1[DIF_Target.])),"")</f>
        <v/>
      </c>
      <c r="K520" s="117" t="str">
        <f>IF(Tab.o1[[#This Row],[a1]]=1,IF(J$2=0,Tab.o1[[#This Row],[MOD]]-Tab.o1[[#This Row],[B]],IF(J$2=1,0,-Tab.o1[[#This Row],[MED]])+Tab.o1[[#This Row],[B]]),"")</f>
        <v/>
      </c>
      <c r="L520" s="117" t="str">
        <f ca="1">IF(Tab.o1[[#This Row],[DIF_Target]]=0,IF(L$2=0,Tab.o1[[#This Row],[DIF_Target]],AVERAGE(OFFSET(Tab.o1[[#This Row],[DIF_Target]],1,0,L$3,1)))/3,Tab.o1[[#This Row],[DIF_Target]])</f>
        <v/>
      </c>
      <c r="M520" s="118" t="str">
        <f>IF(Tab.o1[[#This Row],[a1]]=1,NORMSDIST(Tab.o1[[#This Row],[Za]]),"")</f>
        <v/>
      </c>
      <c r="N520" s="119" t="str">
        <f>IF(Tab.o1[[#This Row],[a1]]=1,((Tab.o1[[#This Row],[MedMod]]-AVERAGE(Tab.o1[MedMod]))/_xlfn.STDEV.P(Tab.o1[MedMod])*H$1205)+G$1205,"")</f>
        <v/>
      </c>
      <c r="O520" s="141" t="str">
        <f>IF(Tab.o1[[#This Row],[a1]]=1,Tab.o1[[#This Row],[Zb]]*_xlfn.STDEV.P(Tab.o1[MedMod])+AVERAGE(Tab.o1[MedMod]),"")</f>
        <v/>
      </c>
      <c r="P520" s="117" t="str">
        <f ca="1">IF(Tab.o1[[#This Row],[B]]=0,AVERAGE(OFFSET(Tab.o1[[#This Row],[B]],1,0,L$3,1)),Tab.o1[[#This Row],[B]])</f>
        <v/>
      </c>
      <c r="Q520" s="121" t="str">
        <f>IF(Tab.o1[[#This Row],[a1]]=1,NORMSDIST(Tab.o1[[#This Row],[Zb]]),"")</f>
        <v/>
      </c>
      <c r="R520" s="122" t="str">
        <f>IF(Tab.o1[[#This Row],[a1]]=1,((Tab.o1[[#This Row],[MedMod]]-AVERAGE(Tab.o1[MedMod]))/_xlfn.STDEV.P(Tab.o1[MedMod])*H$1203)+G$1203,"")</f>
        <v/>
      </c>
      <c r="S520" s="122" t="str">
        <f>IF(Tab.o1[[#This Row],[a1]]=1,((Tab.o1[[#This Row],[MedMod]]-AVERAGE(Tab.o1[MedMod]))/_xlfn.STDEV.P(Tab.o1[MedMod])*H$1204)+G$1204,"")</f>
        <v/>
      </c>
      <c r="T520" s="123" t="str">
        <f>IF(Tab.o1[[#This Row],[a1]]=1,Tab.o1[[#This Row],[Z-]]*_xlfn.STDEV.P(Tab.o1[B])+AVERAGE(Tab.o1[B]),"")</f>
        <v/>
      </c>
      <c r="U520" s="123" t="str">
        <f>IF(Tab.o1[[#This Row],[a1]]=1,Tab.o1[[#This Row],[z+]]*_xlfn.STDEV.P(Tab.o1[B])+AVERAGE(Tab.o1[B]),"")</f>
        <v/>
      </c>
      <c r="V520" s="124" t="str">
        <f>IF(Tab.o1[[#This Row],[a1]]=1,ABS((ABS(Tab.o1[[#This Row],[Red]]-Tab.o1[[#This Row],[Blue]]))),"")</f>
        <v/>
      </c>
      <c r="W520" s="125" t="str">
        <f>IF(Tab.o1[[#This Row],[a1]]=1,IF(W$3=0,1,Tab.o1[[#This Row],[Amp.]]*1/_xlfn.MINIFS(Tab.o1[Amp.],Tab.o1[Amp.],"&lt;&gt;0")),"")</f>
        <v/>
      </c>
      <c r="X520" s="126" t="str">
        <f>IF(Tab.o1[[#This Row],[a1]]=1,IF(ISNUMBER(Tab.o1[[#This Row],[i.]]),NORMDIST(Tab.o1[[#This Row],[Za]],0,1,FALSE)*Tab.o1[[#This Row],[i.]],AP$3),"")</f>
        <v/>
      </c>
      <c r="Y520" s="126" t="str">
        <f>IF(Tab.o1[[#This Row],[a1]]=1,0.01+0.94*Tab.o1[[#This Row],[PDF]]/MAX(Tab.o1[PDF]),"")</f>
        <v/>
      </c>
      <c r="Z520" s="126" t="str">
        <f>IF(Tab.o1[[#This Row],[a1]]=1,0.01+0.94*Tab.o1[[#This Row],[W1_PDF]]/MAX(Tab.o1[W1_PDF]),"")</f>
        <v/>
      </c>
      <c r="AA520" s="118" t="str">
        <f>IF(Tab.o1[[#This Row],[a1]]=1,ABS([1]!T.in.A[[#This Row],[oo6]]),"")</f>
        <v/>
      </c>
      <c r="AB520" s="127" t="str">
        <f>IF(Tab.o1[[#This Row],[a1]]=1,IF(AE$3=0,"",IF(AB$3=0,ABS([1]!T.in.A[[#This Row],[oo9]]),ABS(Tab.o1[[#This Row],[DIF_Target.]]*Tab.o1[[#This Row],[W1_PDF]]))),"")</f>
        <v/>
      </c>
      <c r="AC520" s="127" t="str">
        <f>IF(G$1=1,"",IF(Tab.o1[[#This Row],[a1]]=1,Tab.o1[[#This Row],[Wr]]^2,""))</f>
        <v/>
      </c>
      <c r="AD520" s="118" t="str">
        <f>IF(Tab.o1[[#This Row],[a1]]=1,IF(AE$3=0,"",Tab.o1[[#This Row],[Wr2]]/SUM(Tab.o1[Wr2])),"")</f>
        <v/>
      </c>
      <c r="AE520" s="128" t="str">
        <f>IF(Tab.o1[[#This Row],[a1]]=1,[1]!T.in.A[[#This Row],[oo10]],"")</f>
        <v/>
      </c>
      <c r="AF520" s="118" t="str">
        <f>IF(Tab.o1[[#This Row],[a1]]=1,ABS(Tab.o1[[#This Row],[DIF_Target.]]*Tab.o1[[#This Row],[PDF2]]*Tab.o1[[#This Row],[IN]]),"")</f>
        <v/>
      </c>
      <c r="AG520" s="129" t="str">
        <f>IF(Tab.o1[[#This Row],[a1]]=1,Tab.o1[[#This Row],[rW]]^2,"")</f>
        <v/>
      </c>
      <c r="AH520" s="130" t="str">
        <f>IF(Tab.o1[[#This Row],[a1]]=1,IF(AH$3=0,Tab.o1[[#This Row],[rW2]],0.01+0.94*Tab.o1[[#This Row],[rW2]]/SUM(Tab.o1[rW2])),"")</f>
        <v/>
      </c>
      <c r="AI520" s="128" t="str">
        <f>IF(Tab.o1[[#This Row],[a1]]=1,1/Tab.o1[[#This Row],[PDF]],"")</f>
        <v/>
      </c>
      <c r="AJ520" s="131" t="str">
        <f>IF(Tab.o1[[#This Row],[a1]]=1,[1]!T_AA[[#This Row],[IN'']]*[1]!T_AA[[#This Row],[Qde'']],"")</f>
        <v/>
      </c>
      <c r="AK520" s="132" t="str">
        <f>IF(Tab.o1[[#This Row],[a1]]=1,IF(AK$1=1,Tab.o1[[#This Row],[MED]]+Tab.o1[[#This Row],[MOD]]-Tab.o1[[#This Row],[MED]],""),"")</f>
        <v/>
      </c>
      <c r="AL520" s="133" t="str">
        <f>IF(Tab.o1[[#This Row],[a1]]=1,[1]!T.in.A[[#This Row],[oo16]],"")</f>
        <v/>
      </c>
      <c r="AM520" s="133" t="str">
        <f>IF(Tab.o1[[#This Row],[a1]]=1,IF(AM$3=1,[1]!T.in.A[[#This Row],[Σo16]],""),"")</f>
        <v/>
      </c>
      <c r="AN520" s="126" t="str">
        <f>IF(Tab.o1[[#This Row],[a1]]=1,[1]!T.in.A[[#This Row],[Σp5]],"")</f>
        <v/>
      </c>
      <c r="AO520" s="126" t="str">
        <f>IF(Tab.o1[[#This Row],[a1]]=1,IF(AO$3=1,[1]!T.in.A[[#This Row],[Σp5]],""),"")</f>
        <v/>
      </c>
      <c r="AP520" s="110" t="str">
        <f>IF(Tab.o1[[#This Row],[a1]]=1,IF(ISNUMBER(Tab.o1[[#This Row],[i.]]),NORMDIST(Tab.o1[[#This Row],[Za]],0,1,FALSE)*Tab.o1[[#This Row],[i.]],0),"")</f>
        <v/>
      </c>
      <c r="AQ520" s="125" t="str">
        <f>IF(Tab.o1[[#This Row],[a1]]=1,ABS(Tab.o1[[#This Row],[MOD]]-AVERAGE(Tab.o1[MOD])),"")</f>
        <v/>
      </c>
      <c r="AR520" s="134" t="str">
        <f>IF(Tab.o1[[#This Row],[a1]]=1,Tab.o1[[#This Row],[OBS]]/SUM(Tab.o1[OBS]),"")</f>
        <v/>
      </c>
      <c r="AS520" s="135" t="str">
        <f>IF(ISNUMBER(Tab.o1[[#This Row],[a1]]),ROW()-4,"")</f>
        <v/>
      </c>
      <c r="AT520" s="136" t="str">
        <f>Tab.o1[[#This Row],[MOD]]</f>
        <v/>
      </c>
      <c r="AU520" s="137" t="str">
        <f t="shared" si="33"/>
        <v/>
      </c>
      <c r="AV520" s="138" t="str">
        <f t="shared" si="34"/>
        <v/>
      </c>
      <c r="AW520" s="138" t="str">
        <f t="shared" si="35"/>
        <v/>
      </c>
      <c r="AX520" s="139" t="str">
        <f>[1]!T.in.A[[#This Row],[ID_T_manu]]</f>
        <v/>
      </c>
      <c r="AY520" s="140" t="str">
        <f>IF(ISNUMBER(Tab.o1[[#This Row],[a1]]),IF(AND(Tab.o1[[#This Row],[a1]]=1,Tab.o1[[#This Row],[b1]]&lt;=AY$4),#REF!,AY519),"")</f>
        <v/>
      </c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</row>
    <row r="521" spans="1:79" ht="15.75" hidden="1">
      <c r="A521" s="109">
        <v>6.9999999999999999E-6</v>
      </c>
      <c r="B521" s="110">
        <f t="shared" si="32"/>
        <v>521</v>
      </c>
      <c r="C521" s="111" t="str">
        <f>IF(C$1=[1]!T.in.A[[#This Row],[oo2]],1,"")</f>
        <v/>
      </c>
      <c r="D521" s="112" t="str">
        <f>IF(Tab.o1[[#This Row],[a1]]=1,IF(SUM(C521:C522)=0,0,IF(SUM(C520:C521)=1,1,IF(SUM(C520:C522)&gt;1,D520+1,0))),"")</f>
        <v/>
      </c>
      <c r="E521" s="113" t="str">
        <f>IF(Tab.o1[[#This Row],[a1]]=1,[1]!T.in.A[[#This Row],[oo1]],"")</f>
        <v/>
      </c>
      <c r="F521" s="113" t="str">
        <f>IF(Tab.o1[[#This Row],[a1]]=1,[1]!T.in.A[[#This Row],[pp1]],"")</f>
        <v/>
      </c>
      <c r="G521" s="114" t="str">
        <f>IF(Tab.o1[[#This Row],[a1]]=1,G$2+IF(G$1=1,0,Tab.o1[[#This Row],[.x1]])+[1]!T.in.A[[#This Row],[oo3]],"")</f>
        <v/>
      </c>
      <c r="H521" s="115" t="str">
        <f>IF(Tab.o1[[#This Row],[a1]]=1,IF(H$2=0,0,IF(G$1=1,0,Tab.o1[[#This Row],[.x1]])+[1]!T.in.A[[#This Row],[oo4]]),"")</f>
        <v/>
      </c>
      <c r="I521" s="116" t="str">
        <f>IF(Tab.o1[[#This Row],[a1]]=1,IF(J$2=0,Tab.o1[[#This Row],[MED]],Tab.o1[[#This Row],[MOD]]),"")</f>
        <v/>
      </c>
      <c r="J521" s="116" t="str">
        <f>IF(Tab.o1[[#This Row],[a1]]=1,((Tab.o1[[#This Row],[DIF_Target.]]-AVERAGE(Tab.o1[DIF_Target.]))/_xlfn.STDEV.P(Tab.o1[DIF_Target.])),"")</f>
        <v/>
      </c>
      <c r="K521" s="117" t="str">
        <f>IF(Tab.o1[[#This Row],[a1]]=1,IF(J$2=0,Tab.o1[[#This Row],[MOD]]-Tab.o1[[#This Row],[B]],IF(J$2=1,0,-Tab.o1[[#This Row],[MED]])+Tab.o1[[#This Row],[B]]),"")</f>
        <v/>
      </c>
      <c r="L521" s="117" t="str">
        <f ca="1">IF(Tab.o1[[#This Row],[DIF_Target]]=0,IF(L$2=0,Tab.o1[[#This Row],[DIF_Target]],AVERAGE(OFFSET(Tab.o1[[#This Row],[DIF_Target]],1,0,L$3,1)))/3,Tab.o1[[#This Row],[DIF_Target]])</f>
        <v/>
      </c>
      <c r="M521" s="118" t="str">
        <f>IF(Tab.o1[[#This Row],[a1]]=1,NORMSDIST(Tab.o1[[#This Row],[Za]]),"")</f>
        <v/>
      </c>
      <c r="N521" s="119" t="str">
        <f>IF(Tab.o1[[#This Row],[a1]]=1,((Tab.o1[[#This Row],[MedMod]]-AVERAGE(Tab.o1[MedMod]))/_xlfn.STDEV.P(Tab.o1[MedMod])*H$1205)+G$1205,"")</f>
        <v/>
      </c>
      <c r="O521" s="141" t="str">
        <f>IF(Tab.o1[[#This Row],[a1]]=1,Tab.o1[[#This Row],[Zb]]*_xlfn.STDEV.P(Tab.o1[MedMod])+AVERAGE(Tab.o1[MedMod]),"")</f>
        <v/>
      </c>
      <c r="P521" s="117" t="str">
        <f ca="1">IF(Tab.o1[[#This Row],[B]]=0,AVERAGE(OFFSET(Tab.o1[[#This Row],[B]],1,0,L$3,1)),Tab.o1[[#This Row],[B]])</f>
        <v/>
      </c>
      <c r="Q521" s="121" t="str">
        <f>IF(Tab.o1[[#This Row],[a1]]=1,NORMSDIST(Tab.o1[[#This Row],[Zb]]),"")</f>
        <v/>
      </c>
      <c r="R521" s="122" t="str">
        <f>IF(Tab.o1[[#This Row],[a1]]=1,((Tab.o1[[#This Row],[MedMod]]-AVERAGE(Tab.o1[MedMod]))/_xlfn.STDEV.P(Tab.o1[MedMod])*H$1203)+G$1203,"")</f>
        <v/>
      </c>
      <c r="S521" s="122" t="str">
        <f>IF(Tab.o1[[#This Row],[a1]]=1,((Tab.o1[[#This Row],[MedMod]]-AVERAGE(Tab.o1[MedMod]))/_xlfn.STDEV.P(Tab.o1[MedMod])*H$1204)+G$1204,"")</f>
        <v/>
      </c>
      <c r="T521" s="123" t="str">
        <f>IF(Tab.o1[[#This Row],[a1]]=1,Tab.o1[[#This Row],[Z-]]*_xlfn.STDEV.P(Tab.o1[B])+AVERAGE(Tab.o1[B]),"")</f>
        <v/>
      </c>
      <c r="U521" s="123" t="str">
        <f>IF(Tab.o1[[#This Row],[a1]]=1,Tab.o1[[#This Row],[z+]]*_xlfn.STDEV.P(Tab.o1[B])+AVERAGE(Tab.o1[B]),"")</f>
        <v/>
      </c>
      <c r="V521" s="124" t="str">
        <f>IF(Tab.o1[[#This Row],[a1]]=1,ABS((ABS(Tab.o1[[#This Row],[Red]]-Tab.o1[[#This Row],[Blue]]))),"")</f>
        <v/>
      </c>
      <c r="W521" s="125" t="str">
        <f>IF(Tab.o1[[#This Row],[a1]]=1,IF(W$3=0,1,Tab.o1[[#This Row],[Amp.]]*1/_xlfn.MINIFS(Tab.o1[Amp.],Tab.o1[Amp.],"&lt;&gt;0")),"")</f>
        <v/>
      </c>
      <c r="X521" s="126" t="str">
        <f>IF(Tab.o1[[#This Row],[a1]]=1,IF(ISNUMBER(Tab.o1[[#This Row],[i.]]),NORMDIST(Tab.o1[[#This Row],[Za]],0,1,FALSE)*Tab.o1[[#This Row],[i.]],AP$3),"")</f>
        <v/>
      </c>
      <c r="Y521" s="126" t="str">
        <f>IF(Tab.o1[[#This Row],[a1]]=1,0.01+0.94*Tab.o1[[#This Row],[PDF]]/MAX(Tab.o1[PDF]),"")</f>
        <v/>
      </c>
      <c r="Z521" s="126" t="str">
        <f>IF(Tab.o1[[#This Row],[a1]]=1,0.01+0.94*Tab.o1[[#This Row],[W1_PDF]]/MAX(Tab.o1[W1_PDF]),"")</f>
        <v/>
      </c>
      <c r="AA521" s="118" t="str">
        <f>IF(Tab.o1[[#This Row],[a1]]=1,ABS([1]!T.in.A[[#This Row],[oo6]]),"")</f>
        <v/>
      </c>
      <c r="AB521" s="127" t="str">
        <f>IF(Tab.o1[[#This Row],[a1]]=1,IF(AE$3=0,"",IF(AB$3=0,ABS([1]!T.in.A[[#This Row],[oo9]]),ABS(Tab.o1[[#This Row],[DIF_Target.]]*Tab.o1[[#This Row],[W1_PDF]]))),"")</f>
        <v/>
      </c>
      <c r="AC521" s="127" t="str">
        <f>IF(G$1=1,"",IF(Tab.o1[[#This Row],[a1]]=1,Tab.o1[[#This Row],[Wr]]^2,""))</f>
        <v/>
      </c>
      <c r="AD521" s="118" t="str">
        <f>IF(Tab.o1[[#This Row],[a1]]=1,IF(AE$3=0,"",Tab.o1[[#This Row],[Wr2]]/SUM(Tab.o1[Wr2])),"")</f>
        <v/>
      </c>
      <c r="AE521" s="128" t="str">
        <f>IF(Tab.o1[[#This Row],[a1]]=1,[1]!T.in.A[[#This Row],[oo10]],"")</f>
        <v/>
      </c>
      <c r="AF521" s="118" t="str">
        <f>IF(Tab.o1[[#This Row],[a1]]=1,ABS(Tab.o1[[#This Row],[DIF_Target.]]*Tab.o1[[#This Row],[PDF2]]*Tab.o1[[#This Row],[IN]]),"")</f>
        <v/>
      </c>
      <c r="AG521" s="129" t="str">
        <f>IF(Tab.o1[[#This Row],[a1]]=1,Tab.o1[[#This Row],[rW]]^2,"")</f>
        <v/>
      </c>
      <c r="AH521" s="130" t="str">
        <f>IF(Tab.o1[[#This Row],[a1]]=1,IF(AH$3=0,Tab.o1[[#This Row],[rW2]],0.01+0.94*Tab.o1[[#This Row],[rW2]]/SUM(Tab.o1[rW2])),"")</f>
        <v/>
      </c>
      <c r="AI521" s="128" t="str">
        <f>IF(Tab.o1[[#This Row],[a1]]=1,1/Tab.o1[[#This Row],[PDF]],"")</f>
        <v/>
      </c>
      <c r="AJ521" s="131" t="str">
        <f>IF(Tab.o1[[#This Row],[a1]]=1,[1]!T_AA[[#This Row],[IN'']]*[1]!T_AA[[#This Row],[Qde'']],"")</f>
        <v/>
      </c>
      <c r="AK521" s="132" t="str">
        <f>IF(Tab.o1[[#This Row],[a1]]=1,IF(AK$1=1,Tab.o1[[#This Row],[MED]]+Tab.o1[[#This Row],[MOD]]-Tab.o1[[#This Row],[MED]],""),"")</f>
        <v/>
      </c>
      <c r="AL521" s="133" t="str">
        <f>IF(Tab.o1[[#This Row],[a1]]=1,[1]!T.in.A[[#This Row],[oo16]],"")</f>
        <v/>
      </c>
      <c r="AM521" s="133" t="str">
        <f>IF(Tab.o1[[#This Row],[a1]]=1,IF(AM$3=1,[1]!T.in.A[[#This Row],[Σo16]],""),"")</f>
        <v/>
      </c>
      <c r="AN521" s="126" t="str">
        <f>IF(Tab.o1[[#This Row],[a1]]=1,[1]!T.in.A[[#This Row],[Σp5]],"")</f>
        <v/>
      </c>
      <c r="AO521" s="126" t="str">
        <f>IF(Tab.o1[[#This Row],[a1]]=1,IF(AO$3=1,[1]!T.in.A[[#This Row],[Σp5]],""),"")</f>
        <v/>
      </c>
      <c r="AP521" s="110" t="str">
        <f>IF(Tab.o1[[#This Row],[a1]]=1,IF(ISNUMBER(Tab.o1[[#This Row],[i.]]),NORMDIST(Tab.o1[[#This Row],[Za]],0,1,FALSE)*Tab.o1[[#This Row],[i.]],0),"")</f>
        <v/>
      </c>
      <c r="AQ521" s="125" t="str">
        <f>IF(Tab.o1[[#This Row],[a1]]=1,ABS(Tab.o1[[#This Row],[MOD]]-AVERAGE(Tab.o1[MOD])),"")</f>
        <v/>
      </c>
      <c r="AR521" s="134" t="str">
        <f>IF(Tab.o1[[#This Row],[a1]]=1,Tab.o1[[#This Row],[OBS]]/SUM(Tab.o1[OBS]),"")</f>
        <v/>
      </c>
      <c r="AS521" s="135" t="str">
        <f>IF(ISNUMBER(Tab.o1[[#This Row],[a1]]),ROW()-4,"")</f>
        <v/>
      </c>
      <c r="AT521" s="136" t="str">
        <f>Tab.o1[[#This Row],[MOD]]</f>
        <v/>
      </c>
      <c r="AU521" s="137" t="str">
        <f t="shared" si="33"/>
        <v/>
      </c>
      <c r="AV521" s="138" t="str">
        <f t="shared" si="34"/>
        <v/>
      </c>
      <c r="AW521" s="138" t="str">
        <f t="shared" si="35"/>
        <v/>
      </c>
      <c r="AX521" s="139" t="str">
        <f>[1]!T.in.A[[#This Row],[ID_T_manu]]</f>
        <v/>
      </c>
      <c r="AY521" s="140" t="str">
        <f>IF(ISNUMBER(Tab.o1[[#This Row],[a1]]),IF(AND(Tab.o1[[#This Row],[a1]]=1,Tab.o1[[#This Row],[b1]]&lt;=AY$4),#REF!,AY520),"")</f>
        <v/>
      </c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</row>
    <row r="522" spans="1:79" ht="15.75" hidden="1">
      <c r="A522" s="109">
        <v>-5.0000000000000004E-6</v>
      </c>
      <c r="B522" s="110">
        <f t="shared" si="32"/>
        <v>522</v>
      </c>
      <c r="C522" s="111" t="str">
        <f>IF(C$1=[1]!T.in.A[[#This Row],[oo2]],1,"")</f>
        <v/>
      </c>
      <c r="D522" s="112" t="str">
        <f>IF(Tab.o1[[#This Row],[a1]]=1,IF(SUM(C522:C523)=0,0,IF(SUM(C521:C522)=1,1,IF(SUM(C521:C523)&gt;1,D521+1,0))),"")</f>
        <v/>
      </c>
      <c r="E522" s="113" t="str">
        <f>IF(Tab.o1[[#This Row],[a1]]=1,[1]!T.in.A[[#This Row],[oo1]],"")</f>
        <v/>
      </c>
      <c r="F522" s="113" t="str">
        <f>IF(Tab.o1[[#This Row],[a1]]=1,[1]!T.in.A[[#This Row],[pp1]],"")</f>
        <v/>
      </c>
      <c r="G522" s="114" t="str">
        <f>IF(Tab.o1[[#This Row],[a1]]=1,G$2+IF(G$1=1,0,Tab.o1[[#This Row],[.x1]])+[1]!T.in.A[[#This Row],[oo3]],"")</f>
        <v/>
      </c>
      <c r="H522" s="115" t="str">
        <f>IF(Tab.o1[[#This Row],[a1]]=1,IF(H$2=0,0,IF(G$1=1,0,Tab.o1[[#This Row],[.x1]])+[1]!T.in.A[[#This Row],[oo4]]),"")</f>
        <v/>
      </c>
      <c r="I522" s="116" t="str">
        <f>IF(Tab.o1[[#This Row],[a1]]=1,IF(J$2=0,Tab.o1[[#This Row],[MED]],Tab.o1[[#This Row],[MOD]]),"")</f>
        <v/>
      </c>
      <c r="J522" s="116" t="str">
        <f>IF(Tab.o1[[#This Row],[a1]]=1,((Tab.o1[[#This Row],[DIF_Target.]]-AVERAGE(Tab.o1[DIF_Target.]))/_xlfn.STDEV.P(Tab.o1[DIF_Target.])),"")</f>
        <v/>
      </c>
      <c r="K522" s="117" t="str">
        <f>IF(Tab.o1[[#This Row],[a1]]=1,IF(J$2=0,Tab.o1[[#This Row],[MOD]]-Tab.o1[[#This Row],[B]],IF(J$2=1,0,-Tab.o1[[#This Row],[MED]])+Tab.o1[[#This Row],[B]]),"")</f>
        <v/>
      </c>
      <c r="L522" s="117" t="str">
        <f ca="1">IF(Tab.o1[[#This Row],[DIF_Target]]=0,IF(L$2=0,Tab.o1[[#This Row],[DIF_Target]],AVERAGE(OFFSET(Tab.o1[[#This Row],[DIF_Target]],1,0,L$3,1)))/3,Tab.o1[[#This Row],[DIF_Target]])</f>
        <v/>
      </c>
      <c r="M522" s="118" t="str">
        <f>IF(Tab.o1[[#This Row],[a1]]=1,NORMSDIST(Tab.o1[[#This Row],[Za]]),"")</f>
        <v/>
      </c>
      <c r="N522" s="119" t="str">
        <f>IF(Tab.o1[[#This Row],[a1]]=1,((Tab.o1[[#This Row],[MedMod]]-AVERAGE(Tab.o1[MedMod]))/_xlfn.STDEV.P(Tab.o1[MedMod])*H$1205)+G$1205,"")</f>
        <v/>
      </c>
      <c r="O522" s="141" t="str">
        <f>IF(Tab.o1[[#This Row],[a1]]=1,Tab.o1[[#This Row],[Zb]]*_xlfn.STDEV.P(Tab.o1[MedMod])+AVERAGE(Tab.o1[MedMod]),"")</f>
        <v/>
      </c>
      <c r="P522" s="117" t="str">
        <f ca="1">IF(Tab.o1[[#This Row],[B]]=0,AVERAGE(OFFSET(Tab.o1[[#This Row],[B]],1,0,L$3,1)),Tab.o1[[#This Row],[B]])</f>
        <v/>
      </c>
      <c r="Q522" s="121" t="str">
        <f>IF(Tab.o1[[#This Row],[a1]]=1,NORMSDIST(Tab.o1[[#This Row],[Zb]]),"")</f>
        <v/>
      </c>
      <c r="R522" s="122" t="str">
        <f>IF(Tab.o1[[#This Row],[a1]]=1,((Tab.o1[[#This Row],[MedMod]]-AVERAGE(Tab.o1[MedMod]))/_xlfn.STDEV.P(Tab.o1[MedMod])*H$1203)+G$1203,"")</f>
        <v/>
      </c>
      <c r="S522" s="122" t="str">
        <f>IF(Tab.o1[[#This Row],[a1]]=1,((Tab.o1[[#This Row],[MedMod]]-AVERAGE(Tab.o1[MedMod]))/_xlfn.STDEV.P(Tab.o1[MedMod])*H$1204)+G$1204,"")</f>
        <v/>
      </c>
      <c r="T522" s="123" t="str">
        <f>IF(Tab.o1[[#This Row],[a1]]=1,Tab.o1[[#This Row],[Z-]]*_xlfn.STDEV.P(Tab.o1[B])+AVERAGE(Tab.o1[B]),"")</f>
        <v/>
      </c>
      <c r="U522" s="123" t="str">
        <f>IF(Tab.o1[[#This Row],[a1]]=1,Tab.o1[[#This Row],[z+]]*_xlfn.STDEV.P(Tab.o1[B])+AVERAGE(Tab.o1[B]),"")</f>
        <v/>
      </c>
      <c r="V522" s="124" t="str">
        <f>IF(Tab.o1[[#This Row],[a1]]=1,ABS((ABS(Tab.o1[[#This Row],[Red]]-Tab.o1[[#This Row],[Blue]]))),"")</f>
        <v/>
      </c>
      <c r="W522" s="125" t="str">
        <f>IF(Tab.o1[[#This Row],[a1]]=1,IF(W$3=0,1,Tab.o1[[#This Row],[Amp.]]*1/_xlfn.MINIFS(Tab.o1[Amp.],Tab.o1[Amp.],"&lt;&gt;0")),"")</f>
        <v/>
      </c>
      <c r="X522" s="126" t="str">
        <f>IF(Tab.o1[[#This Row],[a1]]=1,IF(ISNUMBER(Tab.o1[[#This Row],[i.]]),NORMDIST(Tab.o1[[#This Row],[Za]],0,1,FALSE)*Tab.o1[[#This Row],[i.]],AP$3),"")</f>
        <v/>
      </c>
      <c r="Y522" s="126" t="str">
        <f>IF(Tab.o1[[#This Row],[a1]]=1,0.01+0.94*Tab.o1[[#This Row],[PDF]]/MAX(Tab.o1[PDF]),"")</f>
        <v/>
      </c>
      <c r="Z522" s="126" t="str">
        <f>IF(Tab.o1[[#This Row],[a1]]=1,0.01+0.94*Tab.o1[[#This Row],[W1_PDF]]/MAX(Tab.o1[W1_PDF]),"")</f>
        <v/>
      </c>
      <c r="AA522" s="118" t="str">
        <f>IF(Tab.o1[[#This Row],[a1]]=1,ABS([1]!T.in.A[[#This Row],[oo6]]),"")</f>
        <v/>
      </c>
      <c r="AB522" s="127" t="str">
        <f>IF(Tab.o1[[#This Row],[a1]]=1,IF(AE$3=0,"",IF(AB$3=0,ABS([1]!T.in.A[[#This Row],[oo9]]),ABS(Tab.o1[[#This Row],[DIF_Target.]]*Tab.o1[[#This Row],[W1_PDF]]))),"")</f>
        <v/>
      </c>
      <c r="AC522" s="127" t="str">
        <f>IF(G$1=1,"",IF(Tab.o1[[#This Row],[a1]]=1,Tab.o1[[#This Row],[Wr]]^2,""))</f>
        <v/>
      </c>
      <c r="AD522" s="118" t="str">
        <f>IF(Tab.o1[[#This Row],[a1]]=1,IF(AE$3=0,"",Tab.o1[[#This Row],[Wr2]]/SUM(Tab.o1[Wr2])),"")</f>
        <v/>
      </c>
      <c r="AE522" s="128" t="str">
        <f>IF(Tab.o1[[#This Row],[a1]]=1,[1]!T.in.A[[#This Row],[oo10]],"")</f>
        <v/>
      </c>
      <c r="AF522" s="118" t="str">
        <f>IF(Tab.o1[[#This Row],[a1]]=1,ABS(Tab.o1[[#This Row],[DIF_Target.]]*Tab.o1[[#This Row],[PDF2]]*Tab.o1[[#This Row],[IN]]),"")</f>
        <v/>
      </c>
      <c r="AG522" s="129" t="str">
        <f>IF(Tab.o1[[#This Row],[a1]]=1,Tab.o1[[#This Row],[rW]]^2,"")</f>
        <v/>
      </c>
      <c r="AH522" s="130" t="str">
        <f>IF(Tab.o1[[#This Row],[a1]]=1,IF(AH$3=0,Tab.o1[[#This Row],[rW2]],0.01+0.94*Tab.o1[[#This Row],[rW2]]/SUM(Tab.o1[rW2])),"")</f>
        <v/>
      </c>
      <c r="AI522" s="128" t="str">
        <f>IF(Tab.o1[[#This Row],[a1]]=1,1/Tab.o1[[#This Row],[PDF]],"")</f>
        <v/>
      </c>
      <c r="AJ522" s="131" t="str">
        <f>IF(Tab.o1[[#This Row],[a1]]=1,[1]!T_AA[[#This Row],[IN'']]*[1]!T_AA[[#This Row],[Qde'']],"")</f>
        <v/>
      </c>
      <c r="AK522" s="132" t="str">
        <f>IF(Tab.o1[[#This Row],[a1]]=1,IF(AK$1=1,Tab.o1[[#This Row],[MED]]+Tab.o1[[#This Row],[MOD]]-Tab.o1[[#This Row],[MED]],""),"")</f>
        <v/>
      </c>
      <c r="AL522" s="133" t="str">
        <f>IF(Tab.o1[[#This Row],[a1]]=1,[1]!T.in.A[[#This Row],[oo16]],"")</f>
        <v/>
      </c>
      <c r="AM522" s="133" t="str">
        <f>IF(Tab.o1[[#This Row],[a1]]=1,IF(AM$3=1,[1]!T.in.A[[#This Row],[Σo16]],""),"")</f>
        <v/>
      </c>
      <c r="AN522" s="126" t="str">
        <f>IF(Tab.o1[[#This Row],[a1]]=1,[1]!T.in.A[[#This Row],[Σp5]],"")</f>
        <v/>
      </c>
      <c r="AO522" s="126" t="str">
        <f>IF(Tab.o1[[#This Row],[a1]]=1,IF(AO$3=1,[1]!T.in.A[[#This Row],[Σp5]],""),"")</f>
        <v/>
      </c>
      <c r="AP522" s="110" t="str">
        <f>IF(Tab.o1[[#This Row],[a1]]=1,IF(ISNUMBER(Tab.o1[[#This Row],[i.]]),NORMDIST(Tab.o1[[#This Row],[Za]],0,1,FALSE)*Tab.o1[[#This Row],[i.]],0),"")</f>
        <v/>
      </c>
      <c r="AQ522" s="125" t="str">
        <f>IF(Tab.o1[[#This Row],[a1]]=1,ABS(Tab.o1[[#This Row],[MOD]]-AVERAGE(Tab.o1[MOD])),"")</f>
        <v/>
      </c>
      <c r="AR522" s="134" t="str">
        <f>IF(Tab.o1[[#This Row],[a1]]=1,Tab.o1[[#This Row],[OBS]]/SUM(Tab.o1[OBS]),"")</f>
        <v/>
      </c>
      <c r="AS522" s="135" t="str">
        <f>IF(ISNUMBER(Tab.o1[[#This Row],[a1]]),ROW()-4,"")</f>
        <v/>
      </c>
      <c r="AT522" s="136" t="str">
        <f>Tab.o1[[#This Row],[MOD]]</f>
        <v/>
      </c>
      <c r="AU522" s="137" t="str">
        <f t="shared" si="33"/>
        <v/>
      </c>
      <c r="AV522" s="138" t="str">
        <f t="shared" si="34"/>
        <v/>
      </c>
      <c r="AW522" s="138" t="str">
        <f t="shared" si="35"/>
        <v/>
      </c>
      <c r="AX522" s="139" t="str">
        <f>[1]!T.in.A[[#This Row],[ID_T_manu]]</f>
        <v/>
      </c>
      <c r="AY522" s="140" t="str">
        <f>IF(ISNUMBER(Tab.o1[[#This Row],[a1]]),IF(AND(Tab.o1[[#This Row],[a1]]=1,Tab.o1[[#This Row],[b1]]&lt;=AY$4),#REF!,AY521),"")</f>
        <v/>
      </c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</row>
    <row r="523" spans="1:79" ht="15.75" hidden="1">
      <c r="A523" s="109">
        <v>2.9999999999999997E-6</v>
      </c>
      <c r="B523" s="110">
        <f t="shared" si="32"/>
        <v>523</v>
      </c>
      <c r="C523" s="111" t="str">
        <f>IF(C$1=[1]!T.in.A[[#This Row],[oo2]],1,"")</f>
        <v/>
      </c>
      <c r="D523" s="112" t="str">
        <f>IF(Tab.o1[[#This Row],[a1]]=1,IF(SUM(C523:C524)=0,0,IF(SUM(C522:C523)=1,1,IF(SUM(C522:C524)&gt;1,D522+1,0))),"")</f>
        <v/>
      </c>
      <c r="E523" s="113" t="str">
        <f>IF(Tab.o1[[#This Row],[a1]]=1,[1]!T.in.A[[#This Row],[oo1]],"")</f>
        <v/>
      </c>
      <c r="F523" s="113" t="str">
        <f>IF(Tab.o1[[#This Row],[a1]]=1,[1]!T.in.A[[#This Row],[pp1]],"")</f>
        <v/>
      </c>
      <c r="G523" s="114" t="str">
        <f>IF(Tab.o1[[#This Row],[a1]]=1,G$2+IF(G$1=1,0,Tab.o1[[#This Row],[.x1]])+[1]!T.in.A[[#This Row],[oo3]],"")</f>
        <v/>
      </c>
      <c r="H523" s="115" t="str">
        <f>IF(Tab.o1[[#This Row],[a1]]=1,IF(H$2=0,0,IF(G$1=1,0,Tab.o1[[#This Row],[.x1]])+[1]!T.in.A[[#This Row],[oo4]]),"")</f>
        <v/>
      </c>
      <c r="I523" s="116" t="str">
        <f>IF(Tab.o1[[#This Row],[a1]]=1,IF(J$2=0,Tab.o1[[#This Row],[MED]],Tab.o1[[#This Row],[MOD]]),"")</f>
        <v/>
      </c>
      <c r="J523" s="116" t="str">
        <f>IF(Tab.o1[[#This Row],[a1]]=1,((Tab.o1[[#This Row],[DIF_Target.]]-AVERAGE(Tab.o1[DIF_Target.]))/_xlfn.STDEV.P(Tab.o1[DIF_Target.])),"")</f>
        <v/>
      </c>
      <c r="K523" s="117" t="str">
        <f>IF(Tab.o1[[#This Row],[a1]]=1,IF(J$2=0,Tab.o1[[#This Row],[MOD]]-Tab.o1[[#This Row],[B]],IF(J$2=1,0,-Tab.o1[[#This Row],[MED]])+Tab.o1[[#This Row],[B]]),"")</f>
        <v/>
      </c>
      <c r="L523" s="117" t="str">
        <f ca="1">IF(Tab.o1[[#This Row],[DIF_Target]]=0,IF(L$2=0,Tab.o1[[#This Row],[DIF_Target]],AVERAGE(OFFSET(Tab.o1[[#This Row],[DIF_Target]],1,0,L$3,1)))/3,Tab.o1[[#This Row],[DIF_Target]])</f>
        <v/>
      </c>
      <c r="M523" s="118" t="str">
        <f>IF(Tab.o1[[#This Row],[a1]]=1,NORMSDIST(Tab.o1[[#This Row],[Za]]),"")</f>
        <v/>
      </c>
      <c r="N523" s="119" t="str">
        <f>IF(Tab.o1[[#This Row],[a1]]=1,((Tab.o1[[#This Row],[MedMod]]-AVERAGE(Tab.o1[MedMod]))/_xlfn.STDEV.P(Tab.o1[MedMod])*H$1205)+G$1205,"")</f>
        <v/>
      </c>
      <c r="O523" s="141" t="str">
        <f>IF(Tab.o1[[#This Row],[a1]]=1,Tab.o1[[#This Row],[Zb]]*_xlfn.STDEV.P(Tab.o1[MedMod])+AVERAGE(Tab.o1[MedMod]),"")</f>
        <v/>
      </c>
      <c r="P523" s="117" t="str">
        <f ca="1">IF(Tab.o1[[#This Row],[B]]=0,AVERAGE(OFFSET(Tab.o1[[#This Row],[B]],1,0,L$3,1)),Tab.o1[[#This Row],[B]])</f>
        <v/>
      </c>
      <c r="Q523" s="121" t="str">
        <f>IF(Tab.o1[[#This Row],[a1]]=1,NORMSDIST(Tab.o1[[#This Row],[Zb]]),"")</f>
        <v/>
      </c>
      <c r="R523" s="122" t="str">
        <f>IF(Tab.o1[[#This Row],[a1]]=1,((Tab.o1[[#This Row],[MedMod]]-AVERAGE(Tab.o1[MedMod]))/_xlfn.STDEV.P(Tab.o1[MedMod])*H$1203)+G$1203,"")</f>
        <v/>
      </c>
      <c r="S523" s="122" t="str">
        <f>IF(Tab.o1[[#This Row],[a1]]=1,((Tab.o1[[#This Row],[MedMod]]-AVERAGE(Tab.o1[MedMod]))/_xlfn.STDEV.P(Tab.o1[MedMod])*H$1204)+G$1204,"")</f>
        <v/>
      </c>
      <c r="T523" s="123" t="str">
        <f>IF(Tab.o1[[#This Row],[a1]]=1,Tab.o1[[#This Row],[Z-]]*_xlfn.STDEV.P(Tab.o1[B])+AVERAGE(Tab.o1[B]),"")</f>
        <v/>
      </c>
      <c r="U523" s="123" t="str">
        <f>IF(Tab.o1[[#This Row],[a1]]=1,Tab.o1[[#This Row],[z+]]*_xlfn.STDEV.P(Tab.o1[B])+AVERAGE(Tab.o1[B]),"")</f>
        <v/>
      </c>
      <c r="V523" s="124" t="str">
        <f>IF(Tab.o1[[#This Row],[a1]]=1,ABS((ABS(Tab.o1[[#This Row],[Red]]-Tab.o1[[#This Row],[Blue]]))),"")</f>
        <v/>
      </c>
      <c r="W523" s="125" t="str">
        <f>IF(Tab.o1[[#This Row],[a1]]=1,IF(W$3=0,1,Tab.o1[[#This Row],[Amp.]]*1/_xlfn.MINIFS(Tab.o1[Amp.],Tab.o1[Amp.],"&lt;&gt;0")),"")</f>
        <v/>
      </c>
      <c r="X523" s="126" t="str">
        <f>IF(Tab.o1[[#This Row],[a1]]=1,IF(ISNUMBER(Tab.o1[[#This Row],[i.]]),NORMDIST(Tab.o1[[#This Row],[Za]],0,1,FALSE)*Tab.o1[[#This Row],[i.]],AP$3),"")</f>
        <v/>
      </c>
      <c r="Y523" s="126" t="str">
        <f>IF(Tab.o1[[#This Row],[a1]]=1,0.01+0.94*Tab.o1[[#This Row],[PDF]]/MAX(Tab.o1[PDF]),"")</f>
        <v/>
      </c>
      <c r="Z523" s="126" t="str">
        <f>IF(Tab.o1[[#This Row],[a1]]=1,0.01+0.94*Tab.o1[[#This Row],[W1_PDF]]/MAX(Tab.o1[W1_PDF]),"")</f>
        <v/>
      </c>
      <c r="AA523" s="118" t="str">
        <f>IF(Tab.o1[[#This Row],[a1]]=1,ABS([1]!T.in.A[[#This Row],[oo6]]),"")</f>
        <v/>
      </c>
      <c r="AB523" s="127" t="str">
        <f>IF(Tab.o1[[#This Row],[a1]]=1,IF(AE$3=0,"",IF(AB$3=0,ABS([1]!T.in.A[[#This Row],[oo9]]),ABS(Tab.o1[[#This Row],[DIF_Target.]]*Tab.o1[[#This Row],[W1_PDF]]))),"")</f>
        <v/>
      </c>
      <c r="AC523" s="127" t="str">
        <f>IF(G$1=1,"",IF(Tab.o1[[#This Row],[a1]]=1,Tab.o1[[#This Row],[Wr]]^2,""))</f>
        <v/>
      </c>
      <c r="AD523" s="118" t="str">
        <f>IF(Tab.o1[[#This Row],[a1]]=1,IF(AE$3=0,"",Tab.o1[[#This Row],[Wr2]]/SUM(Tab.o1[Wr2])),"")</f>
        <v/>
      </c>
      <c r="AE523" s="128" t="str">
        <f>IF(Tab.o1[[#This Row],[a1]]=1,[1]!T.in.A[[#This Row],[oo10]],"")</f>
        <v/>
      </c>
      <c r="AF523" s="118" t="str">
        <f>IF(Tab.o1[[#This Row],[a1]]=1,ABS(Tab.o1[[#This Row],[DIF_Target.]]*Tab.o1[[#This Row],[PDF2]]*Tab.o1[[#This Row],[IN]]),"")</f>
        <v/>
      </c>
      <c r="AG523" s="129" t="str">
        <f>IF(Tab.o1[[#This Row],[a1]]=1,Tab.o1[[#This Row],[rW]]^2,"")</f>
        <v/>
      </c>
      <c r="AH523" s="130" t="str">
        <f>IF(Tab.o1[[#This Row],[a1]]=1,IF(AH$3=0,Tab.o1[[#This Row],[rW2]],0.01+0.94*Tab.o1[[#This Row],[rW2]]/SUM(Tab.o1[rW2])),"")</f>
        <v/>
      </c>
      <c r="AI523" s="128" t="str">
        <f>IF(Tab.o1[[#This Row],[a1]]=1,1/Tab.o1[[#This Row],[PDF]],"")</f>
        <v/>
      </c>
      <c r="AJ523" s="131" t="str">
        <f>IF(Tab.o1[[#This Row],[a1]]=1,[1]!T_AA[[#This Row],[IN'']]*[1]!T_AA[[#This Row],[Qde'']],"")</f>
        <v/>
      </c>
      <c r="AK523" s="132" t="str">
        <f>IF(Tab.o1[[#This Row],[a1]]=1,IF(AK$1=1,Tab.o1[[#This Row],[MED]]+Tab.o1[[#This Row],[MOD]]-Tab.o1[[#This Row],[MED]],""),"")</f>
        <v/>
      </c>
      <c r="AL523" s="133" t="str">
        <f>IF(Tab.o1[[#This Row],[a1]]=1,[1]!T.in.A[[#This Row],[oo16]],"")</f>
        <v/>
      </c>
      <c r="AM523" s="133" t="str">
        <f>IF(Tab.o1[[#This Row],[a1]]=1,IF(AM$3=1,[1]!T.in.A[[#This Row],[Σo16]],""),"")</f>
        <v/>
      </c>
      <c r="AN523" s="126" t="str">
        <f>IF(Tab.o1[[#This Row],[a1]]=1,[1]!T.in.A[[#This Row],[Σp5]],"")</f>
        <v/>
      </c>
      <c r="AO523" s="126" t="str">
        <f>IF(Tab.o1[[#This Row],[a1]]=1,IF(AO$3=1,[1]!T.in.A[[#This Row],[Σp5]],""),"")</f>
        <v/>
      </c>
      <c r="AP523" s="110" t="str">
        <f>IF(Tab.o1[[#This Row],[a1]]=1,IF(ISNUMBER(Tab.o1[[#This Row],[i.]]),NORMDIST(Tab.o1[[#This Row],[Za]],0,1,FALSE)*Tab.o1[[#This Row],[i.]],0),"")</f>
        <v/>
      </c>
      <c r="AQ523" s="125" t="str">
        <f>IF(Tab.o1[[#This Row],[a1]]=1,ABS(Tab.o1[[#This Row],[MOD]]-AVERAGE(Tab.o1[MOD])),"")</f>
        <v/>
      </c>
      <c r="AR523" s="134" t="str">
        <f>IF(Tab.o1[[#This Row],[a1]]=1,Tab.o1[[#This Row],[OBS]]/SUM(Tab.o1[OBS]),"")</f>
        <v/>
      </c>
      <c r="AS523" s="135" t="str">
        <f>IF(ISNUMBER(Tab.o1[[#This Row],[a1]]),ROW()-4,"")</f>
        <v/>
      </c>
      <c r="AT523" s="136" t="str">
        <f>Tab.o1[[#This Row],[MOD]]</f>
        <v/>
      </c>
      <c r="AU523" s="137" t="str">
        <f t="shared" si="33"/>
        <v/>
      </c>
      <c r="AV523" s="138" t="str">
        <f t="shared" si="34"/>
        <v/>
      </c>
      <c r="AW523" s="138" t="str">
        <f t="shared" si="35"/>
        <v/>
      </c>
      <c r="AX523" s="139" t="str">
        <f>[1]!T.in.A[[#This Row],[ID_T_manu]]</f>
        <v/>
      </c>
      <c r="AY523" s="140" t="str">
        <f>IF(ISNUMBER(Tab.o1[[#This Row],[a1]]),IF(AND(Tab.o1[[#This Row],[a1]]=1,Tab.o1[[#This Row],[b1]]&lt;=AY$4),#REF!,AY522),"")</f>
        <v/>
      </c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</row>
    <row r="524" spans="1:79" ht="15.75" hidden="1">
      <c r="A524" s="109">
        <v>1.0000000000000001E-5</v>
      </c>
      <c r="B524" s="110">
        <f t="shared" si="32"/>
        <v>524</v>
      </c>
      <c r="C524" s="111" t="str">
        <f>IF(C$1=[1]!T.in.A[[#This Row],[oo2]],1,"")</f>
        <v/>
      </c>
      <c r="D524" s="112" t="str">
        <f>IF(Tab.o1[[#This Row],[a1]]=1,IF(SUM(C524:C525)=0,0,IF(SUM(C523:C524)=1,1,IF(SUM(C523:C525)&gt;1,D523+1,0))),"")</f>
        <v/>
      </c>
      <c r="E524" s="113" t="str">
        <f>IF(Tab.o1[[#This Row],[a1]]=1,[1]!T.in.A[[#This Row],[oo1]],"")</f>
        <v/>
      </c>
      <c r="F524" s="113" t="str">
        <f>IF(Tab.o1[[#This Row],[a1]]=1,[1]!T.in.A[[#This Row],[pp1]],"")</f>
        <v/>
      </c>
      <c r="G524" s="114" t="str">
        <f>IF(Tab.o1[[#This Row],[a1]]=1,G$2+IF(G$1=1,0,Tab.o1[[#This Row],[.x1]])+[1]!T.in.A[[#This Row],[oo3]],"")</f>
        <v/>
      </c>
      <c r="H524" s="115" t="str">
        <f>IF(Tab.o1[[#This Row],[a1]]=1,IF(H$2=0,0,IF(G$1=1,0,Tab.o1[[#This Row],[.x1]])+[1]!T.in.A[[#This Row],[oo4]]),"")</f>
        <v/>
      </c>
      <c r="I524" s="116" t="str">
        <f>IF(Tab.o1[[#This Row],[a1]]=1,IF(J$2=0,Tab.o1[[#This Row],[MED]],Tab.o1[[#This Row],[MOD]]),"")</f>
        <v/>
      </c>
      <c r="J524" s="116" t="str">
        <f>IF(Tab.o1[[#This Row],[a1]]=1,((Tab.o1[[#This Row],[DIF_Target.]]-AVERAGE(Tab.o1[DIF_Target.]))/_xlfn.STDEV.P(Tab.o1[DIF_Target.])),"")</f>
        <v/>
      </c>
      <c r="K524" s="117" t="str">
        <f>IF(Tab.o1[[#This Row],[a1]]=1,IF(J$2=0,Tab.o1[[#This Row],[MOD]]-Tab.o1[[#This Row],[B]],IF(J$2=1,0,-Tab.o1[[#This Row],[MED]])+Tab.o1[[#This Row],[B]]),"")</f>
        <v/>
      </c>
      <c r="L524" s="117" t="str">
        <f ca="1">IF(Tab.o1[[#This Row],[DIF_Target]]=0,IF(L$2=0,Tab.o1[[#This Row],[DIF_Target]],AVERAGE(OFFSET(Tab.o1[[#This Row],[DIF_Target]],1,0,L$3,1)))/3,Tab.o1[[#This Row],[DIF_Target]])</f>
        <v/>
      </c>
      <c r="M524" s="118" t="str">
        <f>IF(Tab.o1[[#This Row],[a1]]=1,NORMSDIST(Tab.o1[[#This Row],[Za]]),"")</f>
        <v/>
      </c>
      <c r="N524" s="119" t="str">
        <f>IF(Tab.o1[[#This Row],[a1]]=1,((Tab.o1[[#This Row],[MedMod]]-AVERAGE(Tab.o1[MedMod]))/_xlfn.STDEV.P(Tab.o1[MedMod])*H$1205)+G$1205,"")</f>
        <v/>
      </c>
      <c r="O524" s="141" t="str">
        <f>IF(Tab.o1[[#This Row],[a1]]=1,Tab.o1[[#This Row],[Zb]]*_xlfn.STDEV.P(Tab.o1[MedMod])+AVERAGE(Tab.o1[MedMod]),"")</f>
        <v/>
      </c>
      <c r="P524" s="117" t="str">
        <f ca="1">IF(Tab.o1[[#This Row],[B]]=0,AVERAGE(OFFSET(Tab.o1[[#This Row],[B]],1,0,L$3,1)),Tab.o1[[#This Row],[B]])</f>
        <v/>
      </c>
      <c r="Q524" s="121" t="str">
        <f>IF(Tab.o1[[#This Row],[a1]]=1,NORMSDIST(Tab.o1[[#This Row],[Zb]]),"")</f>
        <v/>
      </c>
      <c r="R524" s="122" t="str">
        <f>IF(Tab.o1[[#This Row],[a1]]=1,((Tab.o1[[#This Row],[MedMod]]-AVERAGE(Tab.o1[MedMod]))/_xlfn.STDEV.P(Tab.o1[MedMod])*H$1203)+G$1203,"")</f>
        <v/>
      </c>
      <c r="S524" s="122" t="str">
        <f>IF(Tab.o1[[#This Row],[a1]]=1,((Tab.o1[[#This Row],[MedMod]]-AVERAGE(Tab.o1[MedMod]))/_xlfn.STDEV.P(Tab.o1[MedMod])*H$1204)+G$1204,"")</f>
        <v/>
      </c>
      <c r="T524" s="123" t="str">
        <f>IF(Tab.o1[[#This Row],[a1]]=1,Tab.o1[[#This Row],[Z-]]*_xlfn.STDEV.P(Tab.o1[B])+AVERAGE(Tab.o1[B]),"")</f>
        <v/>
      </c>
      <c r="U524" s="123" t="str">
        <f>IF(Tab.o1[[#This Row],[a1]]=1,Tab.o1[[#This Row],[z+]]*_xlfn.STDEV.P(Tab.o1[B])+AVERAGE(Tab.o1[B]),"")</f>
        <v/>
      </c>
      <c r="V524" s="124" t="str">
        <f>IF(Tab.o1[[#This Row],[a1]]=1,ABS((ABS(Tab.o1[[#This Row],[Red]]-Tab.o1[[#This Row],[Blue]]))),"")</f>
        <v/>
      </c>
      <c r="W524" s="125" t="str">
        <f>IF(Tab.o1[[#This Row],[a1]]=1,IF(W$3=0,1,Tab.o1[[#This Row],[Amp.]]*1/_xlfn.MINIFS(Tab.o1[Amp.],Tab.o1[Amp.],"&lt;&gt;0")),"")</f>
        <v/>
      </c>
      <c r="X524" s="126" t="str">
        <f>IF(Tab.o1[[#This Row],[a1]]=1,IF(ISNUMBER(Tab.o1[[#This Row],[i.]]),NORMDIST(Tab.o1[[#This Row],[Za]],0,1,FALSE)*Tab.o1[[#This Row],[i.]],AP$3),"")</f>
        <v/>
      </c>
      <c r="Y524" s="126" t="str">
        <f>IF(Tab.o1[[#This Row],[a1]]=1,0.01+0.94*Tab.o1[[#This Row],[PDF]]/MAX(Tab.o1[PDF]),"")</f>
        <v/>
      </c>
      <c r="Z524" s="126" t="str">
        <f>IF(Tab.o1[[#This Row],[a1]]=1,0.01+0.94*Tab.o1[[#This Row],[W1_PDF]]/MAX(Tab.o1[W1_PDF]),"")</f>
        <v/>
      </c>
      <c r="AA524" s="118" t="str">
        <f>IF(Tab.o1[[#This Row],[a1]]=1,ABS([1]!T.in.A[[#This Row],[oo6]]),"")</f>
        <v/>
      </c>
      <c r="AB524" s="127" t="str">
        <f>IF(Tab.o1[[#This Row],[a1]]=1,IF(AE$3=0,"",IF(AB$3=0,ABS([1]!T.in.A[[#This Row],[oo9]]),ABS(Tab.o1[[#This Row],[DIF_Target.]]*Tab.o1[[#This Row],[W1_PDF]]))),"")</f>
        <v/>
      </c>
      <c r="AC524" s="127" t="str">
        <f>IF(G$1=1,"",IF(Tab.o1[[#This Row],[a1]]=1,Tab.o1[[#This Row],[Wr]]^2,""))</f>
        <v/>
      </c>
      <c r="AD524" s="118" t="str">
        <f>IF(Tab.o1[[#This Row],[a1]]=1,IF(AE$3=0,"",Tab.o1[[#This Row],[Wr2]]/SUM(Tab.o1[Wr2])),"")</f>
        <v/>
      </c>
      <c r="AE524" s="128" t="str">
        <f>IF(Tab.o1[[#This Row],[a1]]=1,[1]!T.in.A[[#This Row],[oo10]],"")</f>
        <v/>
      </c>
      <c r="AF524" s="118" t="str">
        <f>IF(Tab.o1[[#This Row],[a1]]=1,ABS(Tab.o1[[#This Row],[DIF_Target.]]*Tab.o1[[#This Row],[PDF2]]*Tab.o1[[#This Row],[IN]]),"")</f>
        <v/>
      </c>
      <c r="AG524" s="129" t="str">
        <f>IF(Tab.o1[[#This Row],[a1]]=1,Tab.o1[[#This Row],[rW]]^2,"")</f>
        <v/>
      </c>
      <c r="AH524" s="130" t="str">
        <f>IF(Tab.o1[[#This Row],[a1]]=1,IF(AH$3=0,Tab.o1[[#This Row],[rW2]],0.01+0.94*Tab.o1[[#This Row],[rW2]]/SUM(Tab.o1[rW2])),"")</f>
        <v/>
      </c>
      <c r="AI524" s="128" t="str">
        <f>IF(Tab.o1[[#This Row],[a1]]=1,1/Tab.o1[[#This Row],[PDF]],"")</f>
        <v/>
      </c>
      <c r="AJ524" s="131" t="str">
        <f>IF(Tab.o1[[#This Row],[a1]]=1,[1]!T_AA[[#This Row],[IN'']]*[1]!T_AA[[#This Row],[Qde'']],"")</f>
        <v/>
      </c>
      <c r="AK524" s="132" t="str">
        <f>IF(Tab.o1[[#This Row],[a1]]=1,IF(AK$1=1,Tab.o1[[#This Row],[MED]]+Tab.o1[[#This Row],[MOD]]-Tab.o1[[#This Row],[MED]],""),"")</f>
        <v/>
      </c>
      <c r="AL524" s="133" t="str">
        <f>IF(Tab.o1[[#This Row],[a1]]=1,[1]!T.in.A[[#This Row],[oo16]],"")</f>
        <v/>
      </c>
      <c r="AM524" s="133" t="str">
        <f>IF(Tab.o1[[#This Row],[a1]]=1,IF(AM$3=1,[1]!T.in.A[[#This Row],[Σo16]],""),"")</f>
        <v/>
      </c>
      <c r="AN524" s="126" t="str">
        <f>IF(Tab.o1[[#This Row],[a1]]=1,[1]!T.in.A[[#This Row],[Σp5]],"")</f>
        <v/>
      </c>
      <c r="AO524" s="126" t="str">
        <f>IF(Tab.o1[[#This Row],[a1]]=1,IF(AO$3=1,[1]!T.in.A[[#This Row],[Σp5]],""),"")</f>
        <v/>
      </c>
      <c r="AP524" s="110" t="str">
        <f>IF(Tab.o1[[#This Row],[a1]]=1,IF(ISNUMBER(Tab.o1[[#This Row],[i.]]),NORMDIST(Tab.o1[[#This Row],[Za]],0,1,FALSE)*Tab.o1[[#This Row],[i.]],0),"")</f>
        <v/>
      </c>
      <c r="AQ524" s="125" t="str">
        <f>IF(Tab.o1[[#This Row],[a1]]=1,ABS(Tab.o1[[#This Row],[MOD]]-AVERAGE(Tab.o1[MOD])),"")</f>
        <v/>
      </c>
      <c r="AR524" s="134" t="str">
        <f>IF(Tab.o1[[#This Row],[a1]]=1,Tab.o1[[#This Row],[OBS]]/SUM(Tab.o1[OBS]),"")</f>
        <v/>
      </c>
      <c r="AS524" s="135" t="str">
        <f>IF(ISNUMBER(Tab.o1[[#This Row],[a1]]),ROW()-4,"")</f>
        <v/>
      </c>
      <c r="AT524" s="136" t="str">
        <f>Tab.o1[[#This Row],[MOD]]</f>
        <v/>
      </c>
      <c r="AU524" s="137" t="str">
        <f t="shared" si="33"/>
        <v/>
      </c>
      <c r="AV524" s="138" t="str">
        <f t="shared" si="34"/>
        <v/>
      </c>
      <c r="AW524" s="138" t="str">
        <f t="shared" si="35"/>
        <v/>
      </c>
      <c r="AX524" s="139" t="str">
        <f>[1]!T.in.A[[#This Row],[ID_T_manu]]</f>
        <v/>
      </c>
      <c r="AY524" s="140" t="str">
        <f>IF(ISNUMBER(Tab.o1[[#This Row],[a1]]),IF(AND(Tab.o1[[#This Row],[a1]]=1,Tab.o1[[#This Row],[b1]]&lt;=AY$4),#REF!,AY523),"")</f>
        <v/>
      </c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</row>
    <row r="525" spans="1:79" ht="15.75" hidden="1">
      <c r="A525" s="109">
        <v>-1.0000000000000002E-6</v>
      </c>
      <c r="B525" s="110">
        <f t="shared" si="32"/>
        <v>525</v>
      </c>
      <c r="C525" s="111" t="str">
        <f>IF(C$1=[1]!T.in.A[[#This Row],[oo2]],1,"")</f>
        <v/>
      </c>
      <c r="D525" s="112" t="str">
        <f>IF(Tab.o1[[#This Row],[a1]]=1,IF(SUM(C525:C526)=0,0,IF(SUM(C524:C525)=1,1,IF(SUM(C524:C526)&gt;1,D524+1,0))),"")</f>
        <v/>
      </c>
      <c r="E525" s="113" t="str">
        <f>IF(Tab.o1[[#This Row],[a1]]=1,[1]!T.in.A[[#This Row],[oo1]],"")</f>
        <v/>
      </c>
      <c r="F525" s="113" t="str">
        <f>IF(Tab.o1[[#This Row],[a1]]=1,[1]!T.in.A[[#This Row],[pp1]],"")</f>
        <v/>
      </c>
      <c r="G525" s="114" t="str">
        <f>IF(Tab.o1[[#This Row],[a1]]=1,G$2+IF(G$1=1,0,Tab.o1[[#This Row],[.x1]])+[1]!T.in.A[[#This Row],[oo3]],"")</f>
        <v/>
      </c>
      <c r="H525" s="115" t="str">
        <f>IF(Tab.o1[[#This Row],[a1]]=1,IF(H$2=0,0,IF(G$1=1,0,Tab.o1[[#This Row],[.x1]])+[1]!T.in.A[[#This Row],[oo4]]),"")</f>
        <v/>
      </c>
      <c r="I525" s="116" t="str">
        <f>IF(Tab.o1[[#This Row],[a1]]=1,IF(J$2=0,Tab.o1[[#This Row],[MED]],Tab.o1[[#This Row],[MOD]]),"")</f>
        <v/>
      </c>
      <c r="J525" s="116" t="str">
        <f>IF(Tab.o1[[#This Row],[a1]]=1,((Tab.o1[[#This Row],[DIF_Target.]]-AVERAGE(Tab.o1[DIF_Target.]))/_xlfn.STDEV.P(Tab.o1[DIF_Target.])),"")</f>
        <v/>
      </c>
      <c r="K525" s="117" t="str">
        <f>IF(Tab.o1[[#This Row],[a1]]=1,IF(J$2=0,Tab.o1[[#This Row],[MOD]]-Tab.o1[[#This Row],[B]],IF(J$2=1,0,-Tab.o1[[#This Row],[MED]])+Tab.o1[[#This Row],[B]]),"")</f>
        <v/>
      </c>
      <c r="L525" s="117" t="str">
        <f ca="1">IF(Tab.o1[[#This Row],[DIF_Target]]=0,IF(L$2=0,Tab.o1[[#This Row],[DIF_Target]],AVERAGE(OFFSET(Tab.o1[[#This Row],[DIF_Target]],1,0,L$3,1)))/3,Tab.o1[[#This Row],[DIF_Target]])</f>
        <v/>
      </c>
      <c r="M525" s="118" t="str">
        <f>IF(Tab.o1[[#This Row],[a1]]=1,NORMSDIST(Tab.o1[[#This Row],[Za]]),"")</f>
        <v/>
      </c>
      <c r="N525" s="119" t="str">
        <f>IF(Tab.o1[[#This Row],[a1]]=1,((Tab.o1[[#This Row],[MedMod]]-AVERAGE(Tab.o1[MedMod]))/_xlfn.STDEV.P(Tab.o1[MedMod])*H$1205)+G$1205,"")</f>
        <v/>
      </c>
      <c r="O525" s="141" t="str">
        <f>IF(Tab.o1[[#This Row],[a1]]=1,Tab.o1[[#This Row],[Zb]]*_xlfn.STDEV.P(Tab.o1[MedMod])+AVERAGE(Tab.o1[MedMod]),"")</f>
        <v/>
      </c>
      <c r="P525" s="117" t="str">
        <f ca="1">IF(Tab.o1[[#This Row],[B]]=0,AVERAGE(OFFSET(Tab.o1[[#This Row],[B]],1,0,L$3,1)),Tab.o1[[#This Row],[B]])</f>
        <v/>
      </c>
      <c r="Q525" s="121" t="str">
        <f>IF(Tab.o1[[#This Row],[a1]]=1,NORMSDIST(Tab.o1[[#This Row],[Zb]]),"")</f>
        <v/>
      </c>
      <c r="R525" s="122" t="str">
        <f>IF(Tab.o1[[#This Row],[a1]]=1,((Tab.o1[[#This Row],[MedMod]]-AVERAGE(Tab.o1[MedMod]))/_xlfn.STDEV.P(Tab.o1[MedMod])*H$1203)+G$1203,"")</f>
        <v/>
      </c>
      <c r="S525" s="122" t="str">
        <f>IF(Tab.o1[[#This Row],[a1]]=1,((Tab.o1[[#This Row],[MedMod]]-AVERAGE(Tab.o1[MedMod]))/_xlfn.STDEV.P(Tab.o1[MedMod])*H$1204)+G$1204,"")</f>
        <v/>
      </c>
      <c r="T525" s="123" t="str">
        <f>IF(Tab.o1[[#This Row],[a1]]=1,Tab.o1[[#This Row],[Z-]]*_xlfn.STDEV.P(Tab.o1[B])+AVERAGE(Tab.o1[B]),"")</f>
        <v/>
      </c>
      <c r="U525" s="123" t="str">
        <f>IF(Tab.o1[[#This Row],[a1]]=1,Tab.o1[[#This Row],[z+]]*_xlfn.STDEV.P(Tab.o1[B])+AVERAGE(Tab.o1[B]),"")</f>
        <v/>
      </c>
      <c r="V525" s="124" t="str">
        <f>IF(Tab.o1[[#This Row],[a1]]=1,ABS((ABS(Tab.o1[[#This Row],[Red]]-Tab.o1[[#This Row],[Blue]]))),"")</f>
        <v/>
      </c>
      <c r="W525" s="125" t="str">
        <f>IF(Tab.o1[[#This Row],[a1]]=1,IF(W$3=0,1,Tab.o1[[#This Row],[Amp.]]*1/_xlfn.MINIFS(Tab.o1[Amp.],Tab.o1[Amp.],"&lt;&gt;0")),"")</f>
        <v/>
      </c>
      <c r="X525" s="126" t="str">
        <f>IF(Tab.o1[[#This Row],[a1]]=1,IF(ISNUMBER(Tab.o1[[#This Row],[i.]]),NORMDIST(Tab.o1[[#This Row],[Za]],0,1,FALSE)*Tab.o1[[#This Row],[i.]],AP$3),"")</f>
        <v/>
      </c>
      <c r="Y525" s="126" t="str">
        <f>IF(Tab.o1[[#This Row],[a1]]=1,0.01+0.94*Tab.o1[[#This Row],[PDF]]/MAX(Tab.o1[PDF]),"")</f>
        <v/>
      </c>
      <c r="Z525" s="126" t="str">
        <f>IF(Tab.o1[[#This Row],[a1]]=1,0.01+0.94*Tab.o1[[#This Row],[W1_PDF]]/MAX(Tab.o1[W1_PDF]),"")</f>
        <v/>
      </c>
      <c r="AA525" s="118" t="str">
        <f>IF(Tab.o1[[#This Row],[a1]]=1,ABS([1]!T.in.A[[#This Row],[oo6]]),"")</f>
        <v/>
      </c>
      <c r="AB525" s="127" t="str">
        <f>IF(Tab.o1[[#This Row],[a1]]=1,IF(AE$3=0,"",IF(AB$3=0,ABS([1]!T.in.A[[#This Row],[oo9]]),ABS(Tab.o1[[#This Row],[DIF_Target.]]*Tab.o1[[#This Row],[W1_PDF]]))),"")</f>
        <v/>
      </c>
      <c r="AC525" s="127" t="str">
        <f>IF(G$1=1,"",IF(Tab.o1[[#This Row],[a1]]=1,Tab.o1[[#This Row],[Wr]]^2,""))</f>
        <v/>
      </c>
      <c r="AD525" s="118" t="str">
        <f>IF(Tab.o1[[#This Row],[a1]]=1,IF(AE$3=0,"",Tab.o1[[#This Row],[Wr2]]/SUM(Tab.o1[Wr2])),"")</f>
        <v/>
      </c>
      <c r="AE525" s="128" t="str">
        <f>IF(Tab.o1[[#This Row],[a1]]=1,[1]!T.in.A[[#This Row],[oo10]],"")</f>
        <v/>
      </c>
      <c r="AF525" s="118" t="str">
        <f>IF(Tab.o1[[#This Row],[a1]]=1,ABS(Tab.o1[[#This Row],[DIF_Target.]]*Tab.o1[[#This Row],[PDF2]]*Tab.o1[[#This Row],[IN]]),"")</f>
        <v/>
      </c>
      <c r="AG525" s="129" t="str">
        <f>IF(Tab.o1[[#This Row],[a1]]=1,Tab.o1[[#This Row],[rW]]^2,"")</f>
        <v/>
      </c>
      <c r="AH525" s="130" t="str">
        <f>IF(Tab.o1[[#This Row],[a1]]=1,IF(AH$3=0,Tab.o1[[#This Row],[rW2]],0.01+0.94*Tab.o1[[#This Row],[rW2]]/SUM(Tab.o1[rW2])),"")</f>
        <v/>
      </c>
      <c r="AI525" s="128" t="str">
        <f>IF(Tab.o1[[#This Row],[a1]]=1,1/Tab.o1[[#This Row],[PDF]],"")</f>
        <v/>
      </c>
      <c r="AJ525" s="131" t="str">
        <f>IF(Tab.o1[[#This Row],[a1]]=1,[1]!T_AA[[#This Row],[IN'']]*[1]!T_AA[[#This Row],[Qde'']],"")</f>
        <v/>
      </c>
      <c r="AK525" s="132" t="str">
        <f>IF(Tab.o1[[#This Row],[a1]]=1,IF(AK$1=1,Tab.o1[[#This Row],[MED]]+Tab.o1[[#This Row],[MOD]]-Tab.o1[[#This Row],[MED]],""),"")</f>
        <v/>
      </c>
      <c r="AL525" s="133" t="str">
        <f>IF(Tab.o1[[#This Row],[a1]]=1,[1]!T.in.A[[#This Row],[oo16]],"")</f>
        <v/>
      </c>
      <c r="AM525" s="133" t="str">
        <f>IF(Tab.o1[[#This Row],[a1]]=1,IF(AM$3=1,[1]!T.in.A[[#This Row],[Σo16]],""),"")</f>
        <v/>
      </c>
      <c r="AN525" s="126" t="str">
        <f>IF(Tab.o1[[#This Row],[a1]]=1,[1]!T.in.A[[#This Row],[Σp5]],"")</f>
        <v/>
      </c>
      <c r="AO525" s="126" t="str">
        <f>IF(Tab.o1[[#This Row],[a1]]=1,IF(AO$3=1,[1]!T.in.A[[#This Row],[Σp5]],""),"")</f>
        <v/>
      </c>
      <c r="AP525" s="110" t="str">
        <f>IF(Tab.o1[[#This Row],[a1]]=1,IF(ISNUMBER(Tab.o1[[#This Row],[i.]]),NORMDIST(Tab.o1[[#This Row],[Za]],0,1,FALSE)*Tab.o1[[#This Row],[i.]],0),"")</f>
        <v/>
      </c>
      <c r="AQ525" s="125" t="str">
        <f>IF(Tab.o1[[#This Row],[a1]]=1,ABS(Tab.o1[[#This Row],[MOD]]-AVERAGE(Tab.o1[MOD])),"")</f>
        <v/>
      </c>
      <c r="AR525" s="134" t="str">
        <f>IF(Tab.o1[[#This Row],[a1]]=1,Tab.o1[[#This Row],[OBS]]/SUM(Tab.o1[OBS]),"")</f>
        <v/>
      </c>
      <c r="AS525" s="135" t="str">
        <f>IF(ISNUMBER(Tab.o1[[#This Row],[a1]]),ROW()-4,"")</f>
        <v/>
      </c>
      <c r="AT525" s="136" t="str">
        <f>Tab.o1[[#This Row],[MOD]]</f>
        <v/>
      </c>
      <c r="AU525" s="137" t="str">
        <f t="shared" si="33"/>
        <v/>
      </c>
      <c r="AV525" s="138" t="str">
        <f t="shared" si="34"/>
        <v/>
      </c>
      <c r="AW525" s="138" t="str">
        <f t="shared" si="35"/>
        <v/>
      </c>
      <c r="AX525" s="139" t="str">
        <f>[1]!T.in.A[[#This Row],[ID_T_manu]]</f>
        <v/>
      </c>
      <c r="AY525" s="140" t="str">
        <f>IF(ISNUMBER(Tab.o1[[#This Row],[a1]]),IF(AND(Tab.o1[[#This Row],[a1]]=1,Tab.o1[[#This Row],[b1]]&lt;=AY$4),#REF!,AY524),"")</f>
        <v/>
      </c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</row>
    <row r="526" spans="1:79" ht="15.75" hidden="1">
      <c r="A526" s="109">
        <v>-1.0000000000000002E-6</v>
      </c>
      <c r="B526" s="110">
        <f t="shared" si="32"/>
        <v>526</v>
      </c>
      <c r="C526" s="111" t="str">
        <f>IF(C$1=[1]!T.in.A[[#This Row],[oo2]],1,"")</f>
        <v/>
      </c>
      <c r="D526" s="112" t="str">
        <f>IF(Tab.o1[[#This Row],[a1]]=1,IF(SUM(C526:C527)=0,0,IF(SUM(C525:C526)=1,1,IF(SUM(C525:C527)&gt;1,D525+1,0))),"")</f>
        <v/>
      </c>
      <c r="E526" s="113" t="str">
        <f>IF(Tab.o1[[#This Row],[a1]]=1,[1]!T.in.A[[#This Row],[oo1]],"")</f>
        <v/>
      </c>
      <c r="F526" s="113" t="str">
        <f>IF(Tab.o1[[#This Row],[a1]]=1,[1]!T.in.A[[#This Row],[pp1]],"")</f>
        <v/>
      </c>
      <c r="G526" s="114" t="str">
        <f>IF(Tab.o1[[#This Row],[a1]]=1,G$2+IF(G$1=1,0,Tab.o1[[#This Row],[.x1]])+[1]!T.in.A[[#This Row],[oo3]],"")</f>
        <v/>
      </c>
      <c r="H526" s="115" t="str">
        <f>IF(Tab.o1[[#This Row],[a1]]=1,IF(H$2=0,0,IF(G$1=1,0,Tab.o1[[#This Row],[.x1]])+[1]!T.in.A[[#This Row],[oo4]]),"")</f>
        <v/>
      </c>
      <c r="I526" s="116" t="str">
        <f>IF(Tab.o1[[#This Row],[a1]]=1,IF(J$2=0,Tab.o1[[#This Row],[MED]],Tab.o1[[#This Row],[MOD]]),"")</f>
        <v/>
      </c>
      <c r="J526" s="116" t="str">
        <f>IF(Tab.o1[[#This Row],[a1]]=1,((Tab.o1[[#This Row],[DIF_Target.]]-AVERAGE(Tab.o1[DIF_Target.]))/_xlfn.STDEV.P(Tab.o1[DIF_Target.])),"")</f>
        <v/>
      </c>
      <c r="K526" s="117" t="str">
        <f>IF(Tab.o1[[#This Row],[a1]]=1,IF(J$2=0,Tab.o1[[#This Row],[MOD]]-Tab.o1[[#This Row],[B]],IF(J$2=1,0,-Tab.o1[[#This Row],[MED]])+Tab.o1[[#This Row],[B]]),"")</f>
        <v/>
      </c>
      <c r="L526" s="117" t="str">
        <f ca="1">IF(Tab.o1[[#This Row],[DIF_Target]]=0,IF(L$2=0,Tab.o1[[#This Row],[DIF_Target]],AVERAGE(OFFSET(Tab.o1[[#This Row],[DIF_Target]],1,0,L$3,1)))/3,Tab.o1[[#This Row],[DIF_Target]])</f>
        <v/>
      </c>
      <c r="M526" s="118" t="str">
        <f>IF(Tab.o1[[#This Row],[a1]]=1,NORMSDIST(Tab.o1[[#This Row],[Za]]),"")</f>
        <v/>
      </c>
      <c r="N526" s="119" t="str">
        <f>IF(Tab.o1[[#This Row],[a1]]=1,((Tab.o1[[#This Row],[MedMod]]-AVERAGE(Tab.o1[MedMod]))/_xlfn.STDEV.P(Tab.o1[MedMod])*H$1205)+G$1205,"")</f>
        <v/>
      </c>
      <c r="O526" s="141" t="str">
        <f>IF(Tab.o1[[#This Row],[a1]]=1,Tab.o1[[#This Row],[Zb]]*_xlfn.STDEV.P(Tab.o1[MedMod])+AVERAGE(Tab.o1[MedMod]),"")</f>
        <v/>
      </c>
      <c r="P526" s="117" t="str">
        <f ca="1">IF(Tab.o1[[#This Row],[B]]=0,AVERAGE(OFFSET(Tab.o1[[#This Row],[B]],1,0,L$3,1)),Tab.o1[[#This Row],[B]])</f>
        <v/>
      </c>
      <c r="Q526" s="121" t="str">
        <f>IF(Tab.o1[[#This Row],[a1]]=1,NORMSDIST(Tab.o1[[#This Row],[Zb]]),"")</f>
        <v/>
      </c>
      <c r="R526" s="122" t="str">
        <f>IF(Tab.o1[[#This Row],[a1]]=1,((Tab.o1[[#This Row],[MedMod]]-AVERAGE(Tab.o1[MedMod]))/_xlfn.STDEV.P(Tab.o1[MedMod])*H$1203)+G$1203,"")</f>
        <v/>
      </c>
      <c r="S526" s="122" t="str">
        <f>IF(Tab.o1[[#This Row],[a1]]=1,((Tab.o1[[#This Row],[MedMod]]-AVERAGE(Tab.o1[MedMod]))/_xlfn.STDEV.P(Tab.o1[MedMod])*H$1204)+G$1204,"")</f>
        <v/>
      </c>
      <c r="T526" s="123" t="str">
        <f>IF(Tab.o1[[#This Row],[a1]]=1,Tab.o1[[#This Row],[Z-]]*_xlfn.STDEV.P(Tab.o1[B])+AVERAGE(Tab.o1[B]),"")</f>
        <v/>
      </c>
      <c r="U526" s="123" t="str">
        <f>IF(Tab.o1[[#This Row],[a1]]=1,Tab.o1[[#This Row],[z+]]*_xlfn.STDEV.P(Tab.o1[B])+AVERAGE(Tab.o1[B]),"")</f>
        <v/>
      </c>
      <c r="V526" s="124" t="str">
        <f>IF(Tab.o1[[#This Row],[a1]]=1,ABS((ABS(Tab.o1[[#This Row],[Red]]-Tab.o1[[#This Row],[Blue]]))),"")</f>
        <v/>
      </c>
      <c r="W526" s="125" t="str">
        <f>IF(Tab.o1[[#This Row],[a1]]=1,IF(W$3=0,1,Tab.o1[[#This Row],[Amp.]]*1/_xlfn.MINIFS(Tab.o1[Amp.],Tab.o1[Amp.],"&lt;&gt;0")),"")</f>
        <v/>
      </c>
      <c r="X526" s="126" t="str">
        <f>IF(Tab.o1[[#This Row],[a1]]=1,IF(ISNUMBER(Tab.o1[[#This Row],[i.]]),NORMDIST(Tab.o1[[#This Row],[Za]],0,1,FALSE)*Tab.o1[[#This Row],[i.]],AP$3),"")</f>
        <v/>
      </c>
      <c r="Y526" s="126" t="str">
        <f>IF(Tab.o1[[#This Row],[a1]]=1,0.01+0.94*Tab.o1[[#This Row],[PDF]]/MAX(Tab.o1[PDF]),"")</f>
        <v/>
      </c>
      <c r="Z526" s="126" t="str">
        <f>IF(Tab.o1[[#This Row],[a1]]=1,0.01+0.94*Tab.o1[[#This Row],[W1_PDF]]/MAX(Tab.o1[W1_PDF]),"")</f>
        <v/>
      </c>
      <c r="AA526" s="118" t="str">
        <f>IF(Tab.o1[[#This Row],[a1]]=1,ABS([1]!T.in.A[[#This Row],[oo6]]),"")</f>
        <v/>
      </c>
      <c r="AB526" s="127" t="str">
        <f>IF(Tab.o1[[#This Row],[a1]]=1,IF(AE$3=0,"",IF(AB$3=0,ABS([1]!T.in.A[[#This Row],[oo9]]),ABS(Tab.o1[[#This Row],[DIF_Target.]]*Tab.o1[[#This Row],[W1_PDF]]))),"")</f>
        <v/>
      </c>
      <c r="AC526" s="127" t="str">
        <f>IF(G$1=1,"",IF(Tab.o1[[#This Row],[a1]]=1,Tab.o1[[#This Row],[Wr]]^2,""))</f>
        <v/>
      </c>
      <c r="AD526" s="118" t="str">
        <f>IF(Tab.o1[[#This Row],[a1]]=1,IF(AE$3=0,"",Tab.o1[[#This Row],[Wr2]]/SUM(Tab.o1[Wr2])),"")</f>
        <v/>
      </c>
      <c r="AE526" s="128" t="str">
        <f>IF(Tab.o1[[#This Row],[a1]]=1,[1]!T.in.A[[#This Row],[oo10]],"")</f>
        <v/>
      </c>
      <c r="AF526" s="118" t="str">
        <f>IF(Tab.o1[[#This Row],[a1]]=1,ABS(Tab.o1[[#This Row],[DIF_Target.]]*Tab.o1[[#This Row],[PDF2]]*Tab.o1[[#This Row],[IN]]),"")</f>
        <v/>
      </c>
      <c r="AG526" s="129" t="str">
        <f>IF(Tab.o1[[#This Row],[a1]]=1,Tab.o1[[#This Row],[rW]]^2,"")</f>
        <v/>
      </c>
      <c r="AH526" s="130" t="str">
        <f>IF(Tab.o1[[#This Row],[a1]]=1,IF(AH$3=0,Tab.o1[[#This Row],[rW2]],0.01+0.94*Tab.o1[[#This Row],[rW2]]/SUM(Tab.o1[rW2])),"")</f>
        <v/>
      </c>
      <c r="AI526" s="128" t="str">
        <f>IF(Tab.o1[[#This Row],[a1]]=1,1/Tab.o1[[#This Row],[PDF]],"")</f>
        <v/>
      </c>
      <c r="AJ526" s="131" t="str">
        <f>IF(Tab.o1[[#This Row],[a1]]=1,[1]!T_AA[[#This Row],[IN'']]*[1]!T_AA[[#This Row],[Qde'']],"")</f>
        <v/>
      </c>
      <c r="AK526" s="132" t="str">
        <f>IF(Tab.o1[[#This Row],[a1]]=1,IF(AK$1=1,Tab.o1[[#This Row],[MED]]+Tab.o1[[#This Row],[MOD]]-Tab.o1[[#This Row],[MED]],""),"")</f>
        <v/>
      </c>
      <c r="AL526" s="133" t="str">
        <f>IF(Tab.o1[[#This Row],[a1]]=1,[1]!T.in.A[[#This Row],[oo16]],"")</f>
        <v/>
      </c>
      <c r="AM526" s="133" t="str">
        <f>IF(Tab.o1[[#This Row],[a1]]=1,IF(AM$3=1,[1]!T.in.A[[#This Row],[Σo16]],""),"")</f>
        <v/>
      </c>
      <c r="AN526" s="126" t="str">
        <f>IF(Tab.o1[[#This Row],[a1]]=1,[1]!T.in.A[[#This Row],[Σp5]],"")</f>
        <v/>
      </c>
      <c r="AO526" s="126" t="str">
        <f>IF(Tab.o1[[#This Row],[a1]]=1,IF(AO$3=1,[1]!T.in.A[[#This Row],[Σp5]],""),"")</f>
        <v/>
      </c>
      <c r="AP526" s="110" t="str">
        <f>IF(Tab.o1[[#This Row],[a1]]=1,IF(ISNUMBER(Tab.o1[[#This Row],[i.]]),NORMDIST(Tab.o1[[#This Row],[Za]],0,1,FALSE)*Tab.o1[[#This Row],[i.]],0),"")</f>
        <v/>
      </c>
      <c r="AQ526" s="125" t="str">
        <f>IF(Tab.o1[[#This Row],[a1]]=1,ABS(Tab.o1[[#This Row],[MOD]]-AVERAGE(Tab.o1[MOD])),"")</f>
        <v/>
      </c>
      <c r="AR526" s="134" t="str">
        <f>IF(Tab.o1[[#This Row],[a1]]=1,Tab.o1[[#This Row],[OBS]]/SUM(Tab.o1[OBS]),"")</f>
        <v/>
      </c>
      <c r="AS526" s="135" t="str">
        <f>IF(ISNUMBER(Tab.o1[[#This Row],[a1]]),ROW()-4,"")</f>
        <v/>
      </c>
      <c r="AT526" s="136" t="str">
        <f>Tab.o1[[#This Row],[MOD]]</f>
        <v/>
      </c>
      <c r="AU526" s="137" t="str">
        <f t="shared" si="33"/>
        <v/>
      </c>
      <c r="AV526" s="138" t="str">
        <f t="shared" si="34"/>
        <v/>
      </c>
      <c r="AW526" s="138" t="str">
        <f t="shared" si="35"/>
        <v/>
      </c>
      <c r="AX526" s="139" t="str">
        <f>[1]!T.in.A[[#This Row],[ID_T_manu]]</f>
        <v/>
      </c>
      <c r="AY526" s="140" t="str">
        <f>IF(ISNUMBER(Tab.o1[[#This Row],[a1]]),IF(AND(Tab.o1[[#This Row],[a1]]=1,Tab.o1[[#This Row],[b1]]&lt;=AY$4),#REF!,AY525),"")</f>
        <v/>
      </c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</row>
    <row r="527" spans="1:79" ht="15.75" hidden="1">
      <c r="A527" s="109">
        <v>9.0000000000000002E-6</v>
      </c>
      <c r="B527" s="110">
        <f t="shared" si="32"/>
        <v>527</v>
      </c>
      <c r="C527" s="111" t="str">
        <f>IF(C$1=[1]!T.in.A[[#This Row],[oo2]],1,"")</f>
        <v/>
      </c>
      <c r="D527" s="112" t="str">
        <f>IF(Tab.o1[[#This Row],[a1]]=1,IF(SUM(C527:C528)=0,0,IF(SUM(C526:C527)=1,1,IF(SUM(C526:C528)&gt;1,D526+1,0))),"")</f>
        <v/>
      </c>
      <c r="E527" s="113" t="str">
        <f>IF(Tab.o1[[#This Row],[a1]]=1,[1]!T.in.A[[#This Row],[oo1]],"")</f>
        <v/>
      </c>
      <c r="F527" s="113" t="str">
        <f>IF(Tab.o1[[#This Row],[a1]]=1,[1]!T.in.A[[#This Row],[pp1]],"")</f>
        <v/>
      </c>
      <c r="G527" s="114" t="str">
        <f>IF(Tab.o1[[#This Row],[a1]]=1,G$2+IF(G$1=1,0,Tab.o1[[#This Row],[.x1]])+[1]!T.in.A[[#This Row],[oo3]],"")</f>
        <v/>
      </c>
      <c r="H527" s="115" t="str">
        <f>IF(Tab.o1[[#This Row],[a1]]=1,IF(H$2=0,0,IF(G$1=1,0,Tab.o1[[#This Row],[.x1]])+[1]!T.in.A[[#This Row],[oo4]]),"")</f>
        <v/>
      </c>
      <c r="I527" s="116" t="str">
        <f>IF(Tab.o1[[#This Row],[a1]]=1,IF(J$2=0,Tab.o1[[#This Row],[MED]],Tab.o1[[#This Row],[MOD]]),"")</f>
        <v/>
      </c>
      <c r="J527" s="116" t="str">
        <f>IF(Tab.o1[[#This Row],[a1]]=1,((Tab.o1[[#This Row],[DIF_Target.]]-AVERAGE(Tab.o1[DIF_Target.]))/_xlfn.STDEV.P(Tab.o1[DIF_Target.])),"")</f>
        <v/>
      </c>
      <c r="K527" s="117" t="str">
        <f>IF(Tab.o1[[#This Row],[a1]]=1,IF(J$2=0,Tab.o1[[#This Row],[MOD]]-Tab.o1[[#This Row],[B]],IF(J$2=1,0,-Tab.o1[[#This Row],[MED]])+Tab.o1[[#This Row],[B]]),"")</f>
        <v/>
      </c>
      <c r="L527" s="117" t="str">
        <f ca="1">IF(Tab.o1[[#This Row],[DIF_Target]]=0,IF(L$2=0,Tab.o1[[#This Row],[DIF_Target]],AVERAGE(OFFSET(Tab.o1[[#This Row],[DIF_Target]],1,0,L$3,1)))/3,Tab.o1[[#This Row],[DIF_Target]])</f>
        <v/>
      </c>
      <c r="M527" s="118" t="str">
        <f>IF(Tab.o1[[#This Row],[a1]]=1,NORMSDIST(Tab.o1[[#This Row],[Za]]),"")</f>
        <v/>
      </c>
      <c r="N527" s="119" t="str">
        <f>IF(Tab.o1[[#This Row],[a1]]=1,((Tab.o1[[#This Row],[MedMod]]-AVERAGE(Tab.o1[MedMod]))/_xlfn.STDEV.P(Tab.o1[MedMod])*H$1205)+G$1205,"")</f>
        <v/>
      </c>
      <c r="O527" s="141" t="str">
        <f>IF(Tab.o1[[#This Row],[a1]]=1,Tab.o1[[#This Row],[Zb]]*_xlfn.STDEV.P(Tab.o1[MedMod])+AVERAGE(Tab.o1[MedMod]),"")</f>
        <v/>
      </c>
      <c r="P527" s="117" t="str">
        <f ca="1">IF(Tab.o1[[#This Row],[B]]=0,AVERAGE(OFFSET(Tab.o1[[#This Row],[B]],1,0,L$3,1)),Tab.o1[[#This Row],[B]])</f>
        <v/>
      </c>
      <c r="Q527" s="121" t="str">
        <f>IF(Tab.o1[[#This Row],[a1]]=1,NORMSDIST(Tab.o1[[#This Row],[Zb]]),"")</f>
        <v/>
      </c>
      <c r="R527" s="122" t="str">
        <f>IF(Tab.o1[[#This Row],[a1]]=1,((Tab.o1[[#This Row],[MedMod]]-AVERAGE(Tab.o1[MedMod]))/_xlfn.STDEV.P(Tab.o1[MedMod])*H$1203)+G$1203,"")</f>
        <v/>
      </c>
      <c r="S527" s="122" t="str">
        <f>IF(Tab.o1[[#This Row],[a1]]=1,((Tab.o1[[#This Row],[MedMod]]-AVERAGE(Tab.o1[MedMod]))/_xlfn.STDEV.P(Tab.o1[MedMod])*H$1204)+G$1204,"")</f>
        <v/>
      </c>
      <c r="T527" s="123" t="str">
        <f>IF(Tab.o1[[#This Row],[a1]]=1,Tab.o1[[#This Row],[Z-]]*_xlfn.STDEV.P(Tab.o1[B])+AVERAGE(Tab.o1[B]),"")</f>
        <v/>
      </c>
      <c r="U527" s="123" t="str">
        <f>IF(Tab.o1[[#This Row],[a1]]=1,Tab.o1[[#This Row],[z+]]*_xlfn.STDEV.P(Tab.o1[B])+AVERAGE(Tab.o1[B]),"")</f>
        <v/>
      </c>
      <c r="V527" s="124" t="str">
        <f>IF(Tab.o1[[#This Row],[a1]]=1,ABS((ABS(Tab.o1[[#This Row],[Red]]-Tab.o1[[#This Row],[Blue]]))),"")</f>
        <v/>
      </c>
      <c r="W527" s="125" t="str">
        <f>IF(Tab.o1[[#This Row],[a1]]=1,IF(W$3=0,1,Tab.o1[[#This Row],[Amp.]]*1/_xlfn.MINIFS(Tab.o1[Amp.],Tab.o1[Amp.],"&lt;&gt;0")),"")</f>
        <v/>
      </c>
      <c r="X527" s="126" t="str">
        <f>IF(Tab.o1[[#This Row],[a1]]=1,IF(ISNUMBER(Tab.o1[[#This Row],[i.]]),NORMDIST(Tab.o1[[#This Row],[Za]],0,1,FALSE)*Tab.o1[[#This Row],[i.]],AP$3),"")</f>
        <v/>
      </c>
      <c r="Y527" s="126" t="str">
        <f>IF(Tab.o1[[#This Row],[a1]]=1,0.01+0.94*Tab.o1[[#This Row],[PDF]]/MAX(Tab.o1[PDF]),"")</f>
        <v/>
      </c>
      <c r="Z527" s="126" t="str">
        <f>IF(Tab.o1[[#This Row],[a1]]=1,0.01+0.94*Tab.o1[[#This Row],[W1_PDF]]/MAX(Tab.o1[W1_PDF]),"")</f>
        <v/>
      </c>
      <c r="AA527" s="118" t="str">
        <f>IF(Tab.o1[[#This Row],[a1]]=1,ABS([1]!T.in.A[[#This Row],[oo6]]),"")</f>
        <v/>
      </c>
      <c r="AB527" s="127" t="str">
        <f>IF(Tab.o1[[#This Row],[a1]]=1,IF(AE$3=0,"",IF(AB$3=0,ABS([1]!T.in.A[[#This Row],[oo9]]),ABS(Tab.o1[[#This Row],[DIF_Target.]]*Tab.o1[[#This Row],[W1_PDF]]))),"")</f>
        <v/>
      </c>
      <c r="AC527" s="127" t="str">
        <f>IF(G$1=1,"",IF(Tab.o1[[#This Row],[a1]]=1,Tab.o1[[#This Row],[Wr]]^2,""))</f>
        <v/>
      </c>
      <c r="AD527" s="118" t="str">
        <f>IF(Tab.o1[[#This Row],[a1]]=1,IF(AE$3=0,"",Tab.o1[[#This Row],[Wr2]]/SUM(Tab.o1[Wr2])),"")</f>
        <v/>
      </c>
      <c r="AE527" s="128" t="str">
        <f>IF(Tab.o1[[#This Row],[a1]]=1,[1]!T.in.A[[#This Row],[oo10]],"")</f>
        <v/>
      </c>
      <c r="AF527" s="118" t="str">
        <f>IF(Tab.o1[[#This Row],[a1]]=1,ABS(Tab.o1[[#This Row],[DIF_Target.]]*Tab.o1[[#This Row],[PDF2]]*Tab.o1[[#This Row],[IN]]),"")</f>
        <v/>
      </c>
      <c r="AG527" s="129" t="str">
        <f>IF(Tab.o1[[#This Row],[a1]]=1,Tab.o1[[#This Row],[rW]]^2,"")</f>
        <v/>
      </c>
      <c r="AH527" s="130" t="str">
        <f>IF(Tab.o1[[#This Row],[a1]]=1,IF(AH$3=0,Tab.o1[[#This Row],[rW2]],0.01+0.94*Tab.o1[[#This Row],[rW2]]/SUM(Tab.o1[rW2])),"")</f>
        <v/>
      </c>
      <c r="AI527" s="128" t="str">
        <f>IF(Tab.o1[[#This Row],[a1]]=1,1/Tab.o1[[#This Row],[PDF]],"")</f>
        <v/>
      </c>
      <c r="AJ527" s="131" t="str">
        <f>IF(Tab.o1[[#This Row],[a1]]=1,[1]!T_AA[[#This Row],[IN'']]*[1]!T_AA[[#This Row],[Qde'']],"")</f>
        <v/>
      </c>
      <c r="AK527" s="132" t="str">
        <f>IF(Tab.o1[[#This Row],[a1]]=1,IF(AK$1=1,Tab.o1[[#This Row],[MED]]+Tab.o1[[#This Row],[MOD]]-Tab.o1[[#This Row],[MED]],""),"")</f>
        <v/>
      </c>
      <c r="AL527" s="133" t="str">
        <f>IF(Tab.o1[[#This Row],[a1]]=1,[1]!T.in.A[[#This Row],[oo16]],"")</f>
        <v/>
      </c>
      <c r="AM527" s="133" t="str">
        <f>IF(Tab.o1[[#This Row],[a1]]=1,IF(AM$3=1,[1]!T.in.A[[#This Row],[Σo16]],""),"")</f>
        <v/>
      </c>
      <c r="AN527" s="126" t="str">
        <f>IF(Tab.o1[[#This Row],[a1]]=1,[1]!T.in.A[[#This Row],[Σp5]],"")</f>
        <v/>
      </c>
      <c r="AO527" s="126" t="str">
        <f>IF(Tab.o1[[#This Row],[a1]]=1,IF(AO$3=1,[1]!T.in.A[[#This Row],[Σp5]],""),"")</f>
        <v/>
      </c>
      <c r="AP527" s="110" t="str">
        <f>IF(Tab.o1[[#This Row],[a1]]=1,IF(ISNUMBER(Tab.o1[[#This Row],[i.]]),NORMDIST(Tab.o1[[#This Row],[Za]],0,1,FALSE)*Tab.o1[[#This Row],[i.]],0),"")</f>
        <v/>
      </c>
      <c r="AQ527" s="125" t="str">
        <f>IF(Tab.o1[[#This Row],[a1]]=1,ABS(Tab.o1[[#This Row],[MOD]]-AVERAGE(Tab.o1[MOD])),"")</f>
        <v/>
      </c>
      <c r="AR527" s="134" t="str">
        <f>IF(Tab.o1[[#This Row],[a1]]=1,Tab.o1[[#This Row],[OBS]]/SUM(Tab.o1[OBS]),"")</f>
        <v/>
      </c>
      <c r="AS527" s="135" t="str">
        <f>IF(ISNUMBER(Tab.o1[[#This Row],[a1]]),ROW()-4,"")</f>
        <v/>
      </c>
      <c r="AT527" s="136" t="str">
        <f>Tab.o1[[#This Row],[MOD]]</f>
        <v/>
      </c>
      <c r="AU527" s="137" t="str">
        <f t="shared" si="33"/>
        <v/>
      </c>
      <c r="AV527" s="138" t="str">
        <f t="shared" si="34"/>
        <v/>
      </c>
      <c r="AW527" s="138" t="str">
        <f t="shared" si="35"/>
        <v/>
      </c>
      <c r="AX527" s="139" t="str">
        <f>[1]!T.in.A[[#This Row],[ID_T_manu]]</f>
        <v/>
      </c>
      <c r="AY527" s="140" t="str">
        <f>IF(ISNUMBER(Tab.o1[[#This Row],[a1]]),IF(AND(Tab.o1[[#This Row],[a1]]=1,Tab.o1[[#This Row],[b1]]&lt;=AY$4),#REF!,AY526),"")</f>
        <v/>
      </c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</row>
    <row r="528" spans="1:79" ht="15.75" hidden="1">
      <c r="A528" s="109">
        <v>1.0000000000000001E-5</v>
      </c>
      <c r="B528" s="110">
        <f t="shared" si="32"/>
        <v>528</v>
      </c>
      <c r="C528" s="111" t="str">
        <f>IF(C$1=[1]!T.in.A[[#This Row],[oo2]],1,"")</f>
        <v/>
      </c>
      <c r="D528" s="112" t="str">
        <f>IF(Tab.o1[[#This Row],[a1]]=1,IF(SUM(C528:C529)=0,0,IF(SUM(C527:C528)=1,1,IF(SUM(C527:C529)&gt;1,D527+1,0))),"")</f>
        <v/>
      </c>
      <c r="E528" s="113" t="str">
        <f>IF(Tab.o1[[#This Row],[a1]]=1,[1]!T.in.A[[#This Row],[oo1]],"")</f>
        <v/>
      </c>
      <c r="F528" s="113" t="str">
        <f>IF(Tab.o1[[#This Row],[a1]]=1,[1]!T.in.A[[#This Row],[pp1]],"")</f>
        <v/>
      </c>
      <c r="G528" s="114" t="str">
        <f>IF(Tab.o1[[#This Row],[a1]]=1,G$2+IF(G$1=1,0,Tab.o1[[#This Row],[.x1]])+[1]!T.in.A[[#This Row],[oo3]],"")</f>
        <v/>
      </c>
      <c r="H528" s="115" t="str">
        <f>IF(Tab.o1[[#This Row],[a1]]=1,IF(H$2=0,0,IF(G$1=1,0,Tab.o1[[#This Row],[.x1]])+[1]!T.in.A[[#This Row],[oo4]]),"")</f>
        <v/>
      </c>
      <c r="I528" s="116" t="str">
        <f>IF(Tab.o1[[#This Row],[a1]]=1,IF(J$2=0,Tab.o1[[#This Row],[MED]],Tab.o1[[#This Row],[MOD]]),"")</f>
        <v/>
      </c>
      <c r="J528" s="116" t="str">
        <f>IF(Tab.o1[[#This Row],[a1]]=1,((Tab.o1[[#This Row],[DIF_Target.]]-AVERAGE(Tab.o1[DIF_Target.]))/_xlfn.STDEV.P(Tab.o1[DIF_Target.])),"")</f>
        <v/>
      </c>
      <c r="K528" s="117" t="str">
        <f>IF(Tab.o1[[#This Row],[a1]]=1,IF(J$2=0,Tab.o1[[#This Row],[MOD]]-Tab.o1[[#This Row],[B]],IF(J$2=1,0,-Tab.o1[[#This Row],[MED]])+Tab.o1[[#This Row],[B]]),"")</f>
        <v/>
      </c>
      <c r="L528" s="117" t="str">
        <f ca="1">IF(Tab.o1[[#This Row],[DIF_Target]]=0,IF(L$2=0,Tab.o1[[#This Row],[DIF_Target]],AVERAGE(OFFSET(Tab.o1[[#This Row],[DIF_Target]],1,0,L$3,1)))/3,Tab.o1[[#This Row],[DIF_Target]])</f>
        <v/>
      </c>
      <c r="M528" s="118" t="str">
        <f>IF(Tab.o1[[#This Row],[a1]]=1,NORMSDIST(Tab.o1[[#This Row],[Za]]),"")</f>
        <v/>
      </c>
      <c r="N528" s="119" t="str">
        <f>IF(Tab.o1[[#This Row],[a1]]=1,((Tab.o1[[#This Row],[MedMod]]-AVERAGE(Tab.o1[MedMod]))/_xlfn.STDEV.P(Tab.o1[MedMod])*H$1205)+G$1205,"")</f>
        <v/>
      </c>
      <c r="O528" s="141" t="str">
        <f>IF(Tab.o1[[#This Row],[a1]]=1,Tab.o1[[#This Row],[Zb]]*_xlfn.STDEV.P(Tab.o1[MedMod])+AVERAGE(Tab.o1[MedMod]),"")</f>
        <v/>
      </c>
      <c r="P528" s="117" t="str">
        <f ca="1">IF(Tab.o1[[#This Row],[B]]=0,AVERAGE(OFFSET(Tab.o1[[#This Row],[B]],1,0,L$3,1)),Tab.o1[[#This Row],[B]])</f>
        <v/>
      </c>
      <c r="Q528" s="121" t="str">
        <f>IF(Tab.o1[[#This Row],[a1]]=1,NORMSDIST(Tab.o1[[#This Row],[Zb]]),"")</f>
        <v/>
      </c>
      <c r="R528" s="122" t="str">
        <f>IF(Tab.o1[[#This Row],[a1]]=1,((Tab.o1[[#This Row],[MedMod]]-AVERAGE(Tab.o1[MedMod]))/_xlfn.STDEV.P(Tab.o1[MedMod])*H$1203)+G$1203,"")</f>
        <v/>
      </c>
      <c r="S528" s="122" t="str">
        <f>IF(Tab.o1[[#This Row],[a1]]=1,((Tab.o1[[#This Row],[MedMod]]-AVERAGE(Tab.o1[MedMod]))/_xlfn.STDEV.P(Tab.o1[MedMod])*H$1204)+G$1204,"")</f>
        <v/>
      </c>
      <c r="T528" s="123" t="str">
        <f>IF(Tab.o1[[#This Row],[a1]]=1,Tab.o1[[#This Row],[Z-]]*_xlfn.STDEV.P(Tab.o1[B])+AVERAGE(Tab.o1[B]),"")</f>
        <v/>
      </c>
      <c r="U528" s="123" t="str">
        <f>IF(Tab.o1[[#This Row],[a1]]=1,Tab.o1[[#This Row],[z+]]*_xlfn.STDEV.P(Tab.o1[B])+AVERAGE(Tab.o1[B]),"")</f>
        <v/>
      </c>
      <c r="V528" s="124" t="str">
        <f>IF(Tab.o1[[#This Row],[a1]]=1,ABS((ABS(Tab.o1[[#This Row],[Red]]-Tab.o1[[#This Row],[Blue]]))),"")</f>
        <v/>
      </c>
      <c r="W528" s="125" t="str">
        <f>IF(Tab.o1[[#This Row],[a1]]=1,IF(W$3=0,1,Tab.o1[[#This Row],[Amp.]]*1/_xlfn.MINIFS(Tab.o1[Amp.],Tab.o1[Amp.],"&lt;&gt;0")),"")</f>
        <v/>
      </c>
      <c r="X528" s="126" t="str">
        <f>IF(Tab.o1[[#This Row],[a1]]=1,IF(ISNUMBER(Tab.o1[[#This Row],[i.]]),NORMDIST(Tab.o1[[#This Row],[Za]],0,1,FALSE)*Tab.o1[[#This Row],[i.]],AP$3),"")</f>
        <v/>
      </c>
      <c r="Y528" s="126" t="str">
        <f>IF(Tab.o1[[#This Row],[a1]]=1,0.01+0.94*Tab.o1[[#This Row],[PDF]]/MAX(Tab.o1[PDF]),"")</f>
        <v/>
      </c>
      <c r="Z528" s="126" t="str">
        <f>IF(Tab.o1[[#This Row],[a1]]=1,0.01+0.94*Tab.o1[[#This Row],[W1_PDF]]/MAX(Tab.o1[W1_PDF]),"")</f>
        <v/>
      </c>
      <c r="AA528" s="118" t="str">
        <f>IF(Tab.o1[[#This Row],[a1]]=1,ABS([1]!T.in.A[[#This Row],[oo6]]),"")</f>
        <v/>
      </c>
      <c r="AB528" s="127" t="str">
        <f>IF(Tab.o1[[#This Row],[a1]]=1,IF(AE$3=0,"",IF(AB$3=0,ABS([1]!T.in.A[[#This Row],[oo9]]),ABS(Tab.o1[[#This Row],[DIF_Target.]]*Tab.o1[[#This Row],[W1_PDF]]))),"")</f>
        <v/>
      </c>
      <c r="AC528" s="127" t="str">
        <f>IF(G$1=1,"",IF(Tab.o1[[#This Row],[a1]]=1,Tab.o1[[#This Row],[Wr]]^2,""))</f>
        <v/>
      </c>
      <c r="AD528" s="118" t="str">
        <f>IF(Tab.o1[[#This Row],[a1]]=1,IF(AE$3=0,"",Tab.o1[[#This Row],[Wr2]]/SUM(Tab.o1[Wr2])),"")</f>
        <v/>
      </c>
      <c r="AE528" s="128" t="str">
        <f>IF(Tab.o1[[#This Row],[a1]]=1,[1]!T.in.A[[#This Row],[oo10]],"")</f>
        <v/>
      </c>
      <c r="AF528" s="118" t="str">
        <f>IF(Tab.o1[[#This Row],[a1]]=1,ABS(Tab.o1[[#This Row],[DIF_Target.]]*Tab.o1[[#This Row],[PDF2]]*Tab.o1[[#This Row],[IN]]),"")</f>
        <v/>
      </c>
      <c r="AG528" s="129" t="str">
        <f>IF(Tab.o1[[#This Row],[a1]]=1,Tab.o1[[#This Row],[rW]]^2,"")</f>
        <v/>
      </c>
      <c r="AH528" s="130" t="str">
        <f>IF(Tab.o1[[#This Row],[a1]]=1,IF(AH$3=0,Tab.o1[[#This Row],[rW2]],0.01+0.94*Tab.o1[[#This Row],[rW2]]/SUM(Tab.o1[rW2])),"")</f>
        <v/>
      </c>
      <c r="AI528" s="128" t="str">
        <f>IF(Tab.o1[[#This Row],[a1]]=1,1/Tab.o1[[#This Row],[PDF]],"")</f>
        <v/>
      </c>
      <c r="AJ528" s="131" t="str">
        <f>IF(Tab.o1[[#This Row],[a1]]=1,[1]!T_AA[[#This Row],[IN'']]*[1]!T_AA[[#This Row],[Qde'']],"")</f>
        <v/>
      </c>
      <c r="AK528" s="132" t="str">
        <f>IF(Tab.o1[[#This Row],[a1]]=1,IF(AK$1=1,Tab.o1[[#This Row],[MED]]+Tab.o1[[#This Row],[MOD]]-Tab.o1[[#This Row],[MED]],""),"")</f>
        <v/>
      </c>
      <c r="AL528" s="133" t="str">
        <f>IF(Tab.o1[[#This Row],[a1]]=1,[1]!T.in.A[[#This Row],[oo16]],"")</f>
        <v/>
      </c>
      <c r="AM528" s="133" t="str">
        <f>IF(Tab.o1[[#This Row],[a1]]=1,IF(AM$3=1,[1]!T.in.A[[#This Row],[Σo16]],""),"")</f>
        <v/>
      </c>
      <c r="AN528" s="126" t="str">
        <f>IF(Tab.o1[[#This Row],[a1]]=1,[1]!T.in.A[[#This Row],[Σp5]],"")</f>
        <v/>
      </c>
      <c r="AO528" s="126" t="str">
        <f>IF(Tab.o1[[#This Row],[a1]]=1,IF(AO$3=1,[1]!T.in.A[[#This Row],[Σp5]],""),"")</f>
        <v/>
      </c>
      <c r="AP528" s="110" t="str">
        <f>IF(Tab.o1[[#This Row],[a1]]=1,IF(ISNUMBER(Tab.o1[[#This Row],[i.]]),NORMDIST(Tab.o1[[#This Row],[Za]],0,1,FALSE)*Tab.o1[[#This Row],[i.]],0),"")</f>
        <v/>
      </c>
      <c r="AQ528" s="125" t="str">
        <f>IF(Tab.o1[[#This Row],[a1]]=1,ABS(Tab.o1[[#This Row],[MOD]]-AVERAGE(Tab.o1[MOD])),"")</f>
        <v/>
      </c>
      <c r="AR528" s="134" t="str">
        <f>IF(Tab.o1[[#This Row],[a1]]=1,Tab.o1[[#This Row],[OBS]]/SUM(Tab.o1[OBS]),"")</f>
        <v/>
      </c>
      <c r="AS528" s="135" t="str">
        <f>IF(ISNUMBER(Tab.o1[[#This Row],[a1]]),ROW()-4,"")</f>
        <v/>
      </c>
      <c r="AT528" s="136" t="str">
        <f>Tab.o1[[#This Row],[MOD]]</f>
        <v/>
      </c>
      <c r="AU528" s="137" t="str">
        <f t="shared" si="33"/>
        <v/>
      </c>
      <c r="AV528" s="138" t="str">
        <f t="shared" si="34"/>
        <v/>
      </c>
      <c r="AW528" s="138" t="str">
        <f t="shared" si="35"/>
        <v/>
      </c>
      <c r="AX528" s="139" t="str">
        <f>[1]!T.in.A[[#This Row],[ID_T_manu]]</f>
        <v/>
      </c>
      <c r="AY528" s="140" t="str">
        <f>IF(ISNUMBER(Tab.o1[[#This Row],[a1]]),IF(AND(Tab.o1[[#This Row],[a1]]=1,Tab.o1[[#This Row],[b1]]&lt;=AY$4),#REF!,AY527),"")</f>
        <v/>
      </c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</row>
    <row r="529" spans="1:79" ht="15.75" hidden="1">
      <c r="A529" s="109">
        <v>8.0000000000000013E-6</v>
      </c>
      <c r="B529" s="110">
        <f t="shared" si="32"/>
        <v>529</v>
      </c>
      <c r="C529" s="111" t="str">
        <f>IF(C$1=[1]!T.in.A[[#This Row],[oo2]],1,"")</f>
        <v/>
      </c>
      <c r="D529" s="112" t="str">
        <f>IF(Tab.o1[[#This Row],[a1]]=1,IF(SUM(C529:C530)=0,0,IF(SUM(C528:C529)=1,1,IF(SUM(C528:C530)&gt;1,D528+1,0))),"")</f>
        <v/>
      </c>
      <c r="E529" s="113" t="str">
        <f>IF(Tab.o1[[#This Row],[a1]]=1,[1]!T.in.A[[#This Row],[oo1]],"")</f>
        <v/>
      </c>
      <c r="F529" s="113" t="str">
        <f>IF(Tab.o1[[#This Row],[a1]]=1,[1]!T.in.A[[#This Row],[pp1]],"")</f>
        <v/>
      </c>
      <c r="G529" s="114" t="str">
        <f>IF(Tab.o1[[#This Row],[a1]]=1,G$2+IF(G$1=1,0,Tab.o1[[#This Row],[.x1]])+[1]!T.in.A[[#This Row],[oo3]],"")</f>
        <v/>
      </c>
      <c r="H529" s="115" t="str">
        <f>IF(Tab.o1[[#This Row],[a1]]=1,IF(H$2=0,0,IF(G$1=1,0,Tab.o1[[#This Row],[.x1]])+[1]!T.in.A[[#This Row],[oo4]]),"")</f>
        <v/>
      </c>
      <c r="I529" s="116" t="str">
        <f>IF(Tab.o1[[#This Row],[a1]]=1,IF(J$2=0,Tab.o1[[#This Row],[MED]],Tab.o1[[#This Row],[MOD]]),"")</f>
        <v/>
      </c>
      <c r="J529" s="116" t="str">
        <f>IF(Tab.o1[[#This Row],[a1]]=1,((Tab.o1[[#This Row],[DIF_Target.]]-AVERAGE(Tab.o1[DIF_Target.]))/_xlfn.STDEV.P(Tab.o1[DIF_Target.])),"")</f>
        <v/>
      </c>
      <c r="K529" s="117" t="str">
        <f>IF(Tab.o1[[#This Row],[a1]]=1,IF(J$2=0,Tab.o1[[#This Row],[MOD]]-Tab.o1[[#This Row],[B]],IF(J$2=1,0,-Tab.o1[[#This Row],[MED]])+Tab.o1[[#This Row],[B]]),"")</f>
        <v/>
      </c>
      <c r="L529" s="117" t="str">
        <f ca="1">IF(Tab.o1[[#This Row],[DIF_Target]]=0,IF(L$2=0,Tab.o1[[#This Row],[DIF_Target]],AVERAGE(OFFSET(Tab.o1[[#This Row],[DIF_Target]],1,0,L$3,1)))/3,Tab.o1[[#This Row],[DIF_Target]])</f>
        <v/>
      </c>
      <c r="M529" s="118" t="str">
        <f>IF(Tab.o1[[#This Row],[a1]]=1,NORMSDIST(Tab.o1[[#This Row],[Za]]),"")</f>
        <v/>
      </c>
      <c r="N529" s="119" t="str">
        <f>IF(Tab.o1[[#This Row],[a1]]=1,((Tab.o1[[#This Row],[MedMod]]-AVERAGE(Tab.o1[MedMod]))/_xlfn.STDEV.P(Tab.o1[MedMod])*H$1205)+G$1205,"")</f>
        <v/>
      </c>
      <c r="O529" s="141" t="str">
        <f>IF(Tab.o1[[#This Row],[a1]]=1,Tab.o1[[#This Row],[Zb]]*_xlfn.STDEV.P(Tab.o1[MedMod])+AVERAGE(Tab.o1[MedMod]),"")</f>
        <v/>
      </c>
      <c r="P529" s="117" t="str">
        <f ca="1">IF(Tab.o1[[#This Row],[B]]=0,AVERAGE(OFFSET(Tab.o1[[#This Row],[B]],1,0,L$3,1)),Tab.o1[[#This Row],[B]])</f>
        <v/>
      </c>
      <c r="Q529" s="121" t="str">
        <f>IF(Tab.o1[[#This Row],[a1]]=1,NORMSDIST(Tab.o1[[#This Row],[Zb]]),"")</f>
        <v/>
      </c>
      <c r="R529" s="122" t="str">
        <f>IF(Tab.o1[[#This Row],[a1]]=1,((Tab.o1[[#This Row],[MedMod]]-AVERAGE(Tab.o1[MedMod]))/_xlfn.STDEV.P(Tab.o1[MedMod])*H$1203)+G$1203,"")</f>
        <v/>
      </c>
      <c r="S529" s="122" t="str">
        <f>IF(Tab.o1[[#This Row],[a1]]=1,((Tab.o1[[#This Row],[MedMod]]-AVERAGE(Tab.o1[MedMod]))/_xlfn.STDEV.P(Tab.o1[MedMod])*H$1204)+G$1204,"")</f>
        <v/>
      </c>
      <c r="T529" s="123" t="str">
        <f>IF(Tab.o1[[#This Row],[a1]]=1,Tab.o1[[#This Row],[Z-]]*_xlfn.STDEV.P(Tab.o1[B])+AVERAGE(Tab.o1[B]),"")</f>
        <v/>
      </c>
      <c r="U529" s="123" t="str">
        <f>IF(Tab.o1[[#This Row],[a1]]=1,Tab.o1[[#This Row],[z+]]*_xlfn.STDEV.P(Tab.o1[B])+AVERAGE(Tab.o1[B]),"")</f>
        <v/>
      </c>
      <c r="V529" s="124" t="str">
        <f>IF(Tab.o1[[#This Row],[a1]]=1,ABS((ABS(Tab.o1[[#This Row],[Red]]-Tab.o1[[#This Row],[Blue]]))),"")</f>
        <v/>
      </c>
      <c r="W529" s="125" t="str">
        <f>IF(Tab.o1[[#This Row],[a1]]=1,IF(W$3=0,1,Tab.o1[[#This Row],[Amp.]]*1/_xlfn.MINIFS(Tab.o1[Amp.],Tab.o1[Amp.],"&lt;&gt;0")),"")</f>
        <v/>
      </c>
      <c r="X529" s="126" t="str">
        <f>IF(Tab.o1[[#This Row],[a1]]=1,IF(ISNUMBER(Tab.o1[[#This Row],[i.]]),NORMDIST(Tab.o1[[#This Row],[Za]],0,1,FALSE)*Tab.o1[[#This Row],[i.]],AP$3),"")</f>
        <v/>
      </c>
      <c r="Y529" s="126" t="str">
        <f>IF(Tab.o1[[#This Row],[a1]]=1,0.01+0.94*Tab.o1[[#This Row],[PDF]]/MAX(Tab.o1[PDF]),"")</f>
        <v/>
      </c>
      <c r="Z529" s="126" t="str">
        <f>IF(Tab.o1[[#This Row],[a1]]=1,0.01+0.94*Tab.o1[[#This Row],[W1_PDF]]/MAX(Tab.o1[W1_PDF]),"")</f>
        <v/>
      </c>
      <c r="AA529" s="118" t="str">
        <f>IF(Tab.o1[[#This Row],[a1]]=1,ABS([1]!T.in.A[[#This Row],[oo6]]),"")</f>
        <v/>
      </c>
      <c r="AB529" s="127" t="str">
        <f>IF(Tab.o1[[#This Row],[a1]]=1,IF(AE$3=0,"",IF(AB$3=0,ABS([1]!T.in.A[[#This Row],[oo9]]),ABS(Tab.o1[[#This Row],[DIF_Target.]]*Tab.o1[[#This Row],[W1_PDF]]))),"")</f>
        <v/>
      </c>
      <c r="AC529" s="127" t="str">
        <f>IF(G$1=1,"",IF(Tab.o1[[#This Row],[a1]]=1,Tab.o1[[#This Row],[Wr]]^2,""))</f>
        <v/>
      </c>
      <c r="AD529" s="118" t="str">
        <f>IF(Tab.o1[[#This Row],[a1]]=1,IF(AE$3=0,"",Tab.o1[[#This Row],[Wr2]]/SUM(Tab.o1[Wr2])),"")</f>
        <v/>
      </c>
      <c r="AE529" s="128" t="str">
        <f>IF(Tab.o1[[#This Row],[a1]]=1,[1]!T.in.A[[#This Row],[oo10]],"")</f>
        <v/>
      </c>
      <c r="AF529" s="118" t="str">
        <f>IF(Tab.o1[[#This Row],[a1]]=1,ABS(Tab.o1[[#This Row],[DIF_Target.]]*Tab.o1[[#This Row],[PDF2]]*Tab.o1[[#This Row],[IN]]),"")</f>
        <v/>
      </c>
      <c r="AG529" s="129" t="str">
        <f>IF(Tab.o1[[#This Row],[a1]]=1,Tab.o1[[#This Row],[rW]]^2,"")</f>
        <v/>
      </c>
      <c r="AH529" s="130" t="str">
        <f>IF(Tab.o1[[#This Row],[a1]]=1,IF(AH$3=0,Tab.o1[[#This Row],[rW2]],0.01+0.94*Tab.o1[[#This Row],[rW2]]/SUM(Tab.o1[rW2])),"")</f>
        <v/>
      </c>
      <c r="AI529" s="128" t="str">
        <f>IF(Tab.o1[[#This Row],[a1]]=1,1/Tab.o1[[#This Row],[PDF]],"")</f>
        <v/>
      </c>
      <c r="AJ529" s="131" t="str">
        <f>IF(Tab.o1[[#This Row],[a1]]=1,[1]!T_AA[[#This Row],[IN'']]*[1]!T_AA[[#This Row],[Qde'']],"")</f>
        <v/>
      </c>
      <c r="AK529" s="132" t="str">
        <f>IF(Tab.o1[[#This Row],[a1]]=1,IF(AK$1=1,Tab.o1[[#This Row],[MED]]+Tab.o1[[#This Row],[MOD]]-Tab.o1[[#This Row],[MED]],""),"")</f>
        <v/>
      </c>
      <c r="AL529" s="133" t="str">
        <f>IF(Tab.o1[[#This Row],[a1]]=1,[1]!T.in.A[[#This Row],[oo16]],"")</f>
        <v/>
      </c>
      <c r="AM529" s="133" t="str">
        <f>IF(Tab.o1[[#This Row],[a1]]=1,IF(AM$3=1,[1]!T.in.A[[#This Row],[Σo16]],""),"")</f>
        <v/>
      </c>
      <c r="AN529" s="126" t="str">
        <f>IF(Tab.o1[[#This Row],[a1]]=1,[1]!T.in.A[[#This Row],[Σp5]],"")</f>
        <v/>
      </c>
      <c r="AO529" s="126" t="str">
        <f>IF(Tab.o1[[#This Row],[a1]]=1,IF(AO$3=1,[1]!T.in.A[[#This Row],[Σp5]],""),"")</f>
        <v/>
      </c>
      <c r="AP529" s="110" t="str">
        <f>IF(Tab.o1[[#This Row],[a1]]=1,IF(ISNUMBER(Tab.o1[[#This Row],[i.]]),NORMDIST(Tab.o1[[#This Row],[Za]],0,1,FALSE)*Tab.o1[[#This Row],[i.]],0),"")</f>
        <v/>
      </c>
      <c r="AQ529" s="125" t="str">
        <f>IF(Tab.o1[[#This Row],[a1]]=1,ABS(Tab.o1[[#This Row],[MOD]]-AVERAGE(Tab.o1[MOD])),"")</f>
        <v/>
      </c>
      <c r="AR529" s="134" t="str">
        <f>IF(Tab.o1[[#This Row],[a1]]=1,Tab.o1[[#This Row],[OBS]]/SUM(Tab.o1[OBS]),"")</f>
        <v/>
      </c>
      <c r="AS529" s="135" t="str">
        <f>IF(ISNUMBER(Tab.o1[[#This Row],[a1]]),ROW()-4,"")</f>
        <v/>
      </c>
      <c r="AT529" s="136" t="str">
        <f>Tab.o1[[#This Row],[MOD]]</f>
        <v/>
      </c>
      <c r="AU529" s="137" t="str">
        <f t="shared" si="33"/>
        <v/>
      </c>
      <c r="AV529" s="138" t="str">
        <f t="shared" si="34"/>
        <v/>
      </c>
      <c r="AW529" s="138" t="str">
        <f t="shared" si="35"/>
        <v/>
      </c>
      <c r="AX529" s="139" t="str">
        <f>[1]!T.in.A[[#This Row],[ID_T_manu]]</f>
        <v/>
      </c>
      <c r="AY529" s="140" t="str">
        <f>IF(ISNUMBER(Tab.o1[[#This Row],[a1]]),IF(AND(Tab.o1[[#This Row],[a1]]=1,Tab.o1[[#This Row],[b1]]&lt;=AY$4),#REF!,AY528),"")</f>
        <v/>
      </c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</row>
    <row r="530" spans="1:79" ht="15.75" hidden="1">
      <c r="A530" s="109">
        <v>-9.0000000000000002E-6</v>
      </c>
      <c r="B530" s="110">
        <f t="shared" si="32"/>
        <v>530</v>
      </c>
      <c r="C530" s="111" t="str">
        <f>IF(C$1=[1]!T.in.A[[#This Row],[oo2]],1,"")</f>
        <v/>
      </c>
      <c r="D530" s="112" t="str">
        <f>IF(Tab.o1[[#This Row],[a1]]=1,IF(SUM(C530:C531)=0,0,IF(SUM(C529:C530)=1,1,IF(SUM(C529:C531)&gt;1,D529+1,0))),"")</f>
        <v/>
      </c>
      <c r="E530" s="113" t="str">
        <f>IF(Tab.o1[[#This Row],[a1]]=1,[1]!T.in.A[[#This Row],[oo1]],"")</f>
        <v/>
      </c>
      <c r="F530" s="113" t="str">
        <f>IF(Tab.o1[[#This Row],[a1]]=1,[1]!T.in.A[[#This Row],[pp1]],"")</f>
        <v/>
      </c>
      <c r="G530" s="114" t="str">
        <f>IF(Tab.o1[[#This Row],[a1]]=1,G$2+IF(G$1=1,0,Tab.o1[[#This Row],[.x1]])+[1]!T.in.A[[#This Row],[oo3]],"")</f>
        <v/>
      </c>
      <c r="H530" s="115" t="str">
        <f>IF(Tab.o1[[#This Row],[a1]]=1,IF(H$2=0,0,IF(G$1=1,0,Tab.o1[[#This Row],[.x1]])+[1]!T.in.A[[#This Row],[oo4]]),"")</f>
        <v/>
      </c>
      <c r="I530" s="116" t="str">
        <f>IF(Tab.o1[[#This Row],[a1]]=1,IF(J$2=0,Tab.o1[[#This Row],[MED]],Tab.o1[[#This Row],[MOD]]),"")</f>
        <v/>
      </c>
      <c r="J530" s="116" t="str">
        <f>IF(Tab.o1[[#This Row],[a1]]=1,((Tab.o1[[#This Row],[DIF_Target.]]-AVERAGE(Tab.o1[DIF_Target.]))/_xlfn.STDEV.P(Tab.o1[DIF_Target.])),"")</f>
        <v/>
      </c>
      <c r="K530" s="117" t="str">
        <f>IF(Tab.o1[[#This Row],[a1]]=1,IF(J$2=0,Tab.o1[[#This Row],[MOD]]-Tab.o1[[#This Row],[B]],IF(J$2=1,0,-Tab.o1[[#This Row],[MED]])+Tab.o1[[#This Row],[B]]),"")</f>
        <v/>
      </c>
      <c r="L530" s="117" t="str">
        <f ca="1">IF(Tab.o1[[#This Row],[DIF_Target]]=0,IF(L$2=0,Tab.o1[[#This Row],[DIF_Target]],AVERAGE(OFFSET(Tab.o1[[#This Row],[DIF_Target]],1,0,L$3,1)))/3,Tab.o1[[#This Row],[DIF_Target]])</f>
        <v/>
      </c>
      <c r="M530" s="118" t="str">
        <f>IF(Tab.o1[[#This Row],[a1]]=1,NORMSDIST(Tab.o1[[#This Row],[Za]]),"")</f>
        <v/>
      </c>
      <c r="N530" s="119" t="str">
        <f>IF(Tab.o1[[#This Row],[a1]]=1,((Tab.o1[[#This Row],[MedMod]]-AVERAGE(Tab.o1[MedMod]))/_xlfn.STDEV.P(Tab.o1[MedMod])*H$1205)+G$1205,"")</f>
        <v/>
      </c>
      <c r="O530" s="141" t="str">
        <f>IF(Tab.o1[[#This Row],[a1]]=1,Tab.o1[[#This Row],[Zb]]*_xlfn.STDEV.P(Tab.o1[MedMod])+AVERAGE(Tab.o1[MedMod]),"")</f>
        <v/>
      </c>
      <c r="P530" s="117" t="str">
        <f ca="1">IF(Tab.o1[[#This Row],[B]]=0,AVERAGE(OFFSET(Tab.o1[[#This Row],[B]],1,0,L$3,1)),Tab.o1[[#This Row],[B]])</f>
        <v/>
      </c>
      <c r="Q530" s="121" t="str">
        <f>IF(Tab.o1[[#This Row],[a1]]=1,NORMSDIST(Tab.o1[[#This Row],[Zb]]),"")</f>
        <v/>
      </c>
      <c r="R530" s="122" t="str">
        <f>IF(Tab.o1[[#This Row],[a1]]=1,((Tab.o1[[#This Row],[MedMod]]-AVERAGE(Tab.o1[MedMod]))/_xlfn.STDEV.P(Tab.o1[MedMod])*H$1203)+G$1203,"")</f>
        <v/>
      </c>
      <c r="S530" s="122" t="str">
        <f>IF(Tab.o1[[#This Row],[a1]]=1,((Tab.o1[[#This Row],[MedMod]]-AVERAGE(Tab.o1[MedMod]))/_xlfn.STDEV.P(Tab.o1[MedMod])*H$1204)+G$1204,"")</f>
        <v/>
      </c>
      <c r="T530" s="123" t="str">
        <f>IF(Tab.o1[[#This Row],[a1]]=1,Tab.o1[[#This Row],[Z-]]*_xlfn.STDEV.P(Tab.o1[B])+AVERAGE(Tab.o1[B]),"")</f>
        <v/>
      </c>
      <c r="U530" s="123" t="str">
        <f>IF(Tab.o1[[#This Row],[a1]]=1,Tab.o1[[#This Row],[z+]]*_xlfn.STDEV.P(Tab.o1[B])+AVERAGE(Tab.o1[B]),"")</f>
        <v/>
      </c>
      <c r="V530" s="124" t="str">
        <f>IF(Tab.o1[[#This Row],[a1]]=1,ABS((ABS(Tab.o1[[#This Row],[Red]]-Tab.o1[[#This Row],[Blue]]))),"")</f>
        <v/>
      </c>
      <c r="W530" s="125" t="str">
        <f>IF(Tab.o1[[#This Row],[a1]]=1,IF(W$3=0,1,Tab.o1[[#This Row],[Amp.]]*1/_xlfn.MINIFS(Tab.o1[Amp.],Tab.o1[Amp.],"&lt;&gt;0")),"")</f>
        <v/>
      </c>
      <c r="X530" s="126" t="str">
        <f>IF(Tab.o1[[#This Row],[a1]]=1,IF(ISNUMBER(Tab.o1[[#This Row],[i.]]),NORMDIST(Tab.o1[[#This Row],[Za]],0,1,FALSE)*Tab.o1[[#This Row],[i.]],AP$3),"")</f>
        <v/>
      </c>
      <c r="Y530" s="126" t="str">
        <f>IF(Tab.o1[[#This Row],[a1]]=1,0.01+0.94*Tab.o1[[#This Row],[PDF]]/MAX(Tab.o1[PDF]),"")</f>
        <v/>
      </c>
      <c r="Z530" s="126" t="str">
        <f>IF(Tab.o1[[#This Row],[a1]]=1,0.01+0.94*Tab.o1[[#This Row],[W1_PDF]]/MAX(Tab.o1[W1_PDF]),"")</f>
        <v/>
      </c>
      <c r="AA530" s="118" t="str">
        <f>IF(Tab.o1[[#This Row],[a1]]=1,ABS([1]!T.in.A[[#This Row],[oo6]]),"")</f>
        <v/>
      </c>
      <c r="AB530" s="127" t="str">
        <f>IF(Tab.o1[[#This Row],[a1]]=1,IF(AE$3=0,"",IF(AB$3=0,ABS([1]!T.in.A[[#This Row],[oo9]]),ABS(Tab.o1[[#This Row],[DIF_Target.]]*Tab.o1[[#This Row],[W1_PDF]]))),"")</f>
        <v/>
      </c>
      <c r="AC530" s="127" t="str">
        <f>IF(G$1=1,"",IF(Tab.o1[[#This Row],[a1]]=1,Tab.o1[[#This Row],[Wr]]^2,""))</f>
        <v/>
      </c>
      <c r="AD530" s="118" t="str">
        <f>IF(Tab.o1[[#This Row],[a1]]=1,IF(AE$3=0,"",Tab.o1[[#This Row],[Wr2]]/SUM(Tab.o1[Wr2])),"")</f>
        <v/>
      </c>
      <c r="AE530" s="128" t="str">
        <f>IF(Tab.o1[[#This Row],[a1]]=1,[1]!T.in.A[[#This Row],[oo10]],"")</f>
        <v/>
      </c>
      <c r="AF530" s="118" t="str">
        <f>IF(Tab.o1[[#This Row],[a1]]=1,ABS(Tab.o1[[#This Row],[DIF_Target.]]*Tab.o1[[#This Row],[PDF2]]*Tab.o1[[#This Row],[IN]]),"")</f>
        <v/>
      </c>
      <c r="AG530" s="129" t="str">
        <f>IF(Tab.o1[[#This Row],[a1]]=1,Tab.o1[[#This Row],[rW]]^2,"")</f>
        <v/>
      </c>
      <c r="AH530" s="130" t="str">
        <f>IF(Tab.o1[[#This Row],[a1]]=1,IF(AH$3=0,Tab.o1[[#This Row],[rW2]],0.01+0.94*Tab.o1[[#This Row],[rW2]]/SUM(Tab.o1[rW2])),"")</f>
        <v/>
      </c>
      <c r="AI530" s="128" t="str">
        <f>IF(Tab.o1[[#This Row],[a1]]=1,1/Tab.o1[[#This Row],[PDF]],"")</f>
        <v/>
      </c>
      <c r="AJ530" s="131" t="str">
        <f>IF(Tab.o1[[#This Row],[a1]]=1,[1]!T_AA[[#This Row],[IN'']]*[1]!T_AA[[#This Row],[Qde'']],"")</f>
        <v/>
      </c>
      <c r="AK530" s="132" t="str">
        <f>IF(Tab.o1[[#This Row],[a1]]=1,IF(AK$1=1,Tab.o1[[#This Row],[MED]]+Tab.o1[[#This Row],[MOD]]-Tab.o1[[#This Row],[MED]],""),"")</f>
        <v/>
      </c>
      <c r="AL530" s="133" t="str">
        <f>IF(Tab.o1[[#This Row],[a1]]=1,[1]!T.in.A[[#This Row],[oo16]],"")</f>
        <v/>
      </c>
      <c r="AM530" s="133" t="str">
        <f>IF(Tab.o1[[#This Row],[a1]]=1,IF(AM$3=1,[1]!T.in.A[[#This Row],[Σo16]],""),"")</f>
        <v/>
      </c>
      <c r="AN530" s="126" t="str">
        <f>IF(Tab.o1[[#This Row],[a1]]=1,[1]!T.in.A[[#This Row],[Σp5]],"")</f>
        <v/>
      </c>
      <c r="AO530" s="126" t="str">
        <f>IF(Tab.o1[[#This Row],[a1]]=1,IF(AO$3=1,[1]!T.in.A[[#This Row],[Σp5]],""),"")</f>
        <v/>
      </c>
      <c r="AP530" s="110" t="str">
        <f>IF(Tab.o1[[#This Row],[a1]]=1,IF(ISNUMBER(Tab.o1[[#This Row],[i.]]),NORMDIST(Tab.o1[[#This Row],[Za]],0,1,FALSE)*Tab.o1[[#This Row],[i.]],0),"")</f>
        <v/>
      </c>
      <c r="AQ530" s="125" t="str">
        <f>IF(Tab.o1[[#This Row],[a1]]=1,ABS(Tab.o1[[#This Row],[MOD]]-AVERAGE(Tab.o1[MOD])),"")</f>
        <v/>
      </c>
      <c r="AR530" s="134" t="str">
        <f>IF(Tab.o1[[#This Row],[a1]]=1,Tab.o1[[#This Row],[OBS]]/SUM(Tab.o1[OBS]),"")</f>
        <v/>
      </c>
      <c r="AS530" s="135" t="str">
        <f>IF(ISNUMBER(Tab.o1[[#This Row],[a1]]),ROW()-4,"")</f>
        <v/>
      </c>
      <c r="AT530" s="136" t="str">
        <f>Tab.o1[[#This Row],[MOD]]</f>
        <v/>
      </c>
      <c r="AU530" s="137" t="str">
        <f t="shared" si="33"/>
        <v/>
      </c>
      <c r="AV530" s="138" t="str">
        <f t="shared" si="34"/>
        <v/>
      </c>
      <c r="AW530" s="138" t="str">
        <f t="shared" si="35"/>
        <v/>
      </c>
      <c r="AX530" s="139" t="str">
        <f>[1]!T.in.A[[#This Row],[ID_T_manu]]</f>
        <v/>
      </c>
      <c r="AY530" s="140" t="str">
        <f>IF(ISNUMBER(Tab.o1[[#This Row],[a1]]),IF(AND(Tab.o1[[#This Row],[a1]]=1,Tab.o1[[#This Row],[b1]]&lt;=AY$4),#REF!,AY529),"")</f>
        <v/>
      </c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</row>
    <row r="531" spans="1:79" ht="15.75" hidden="1">
      <c r="A531" s="109">
        <v>-8.0000000000000013E-6</v>
      </c>
      <c r="B531" s="110">
        <f t="shared" si="32"/>
        <v>531</v>
      </c>
      <c r="C531" s="111" t="str">
        <f>IF(C$1=[1]!T.in.A[[#This Row],[oo2]],1,"")</f>
        <v/>
      </c>
      <c r="D531" s="112" t="str">
        <f>IF(Tab.o1[[#This Row],[a1]]=1,IF(SUM(C531:C532)=0,0,IF(SUM(C530:C531)=1,1,IF(SUM(C530:C532)&gt;1,D530+1,0))),"")</f>
        <v/>
      </c>
      <c r="E531" s="113" t="str">
        <f>IF(Tab.o1[[#This Row],[a1]]=1,[1]!T.in.A[[#This Row],[oo1]],"")</f>
        <v/>
      </c>
      <c r="F531" s="113" t="str">
        <f>IF(Tab.o1[[#This Row],[a1]]=1,[1]!T.in.A[[#This Row],[pp1]],"")</f>
        <v/>
      </c>
      <c r="G531" s="114" t="str">
        <f>IF(Tab.o1[[#This Row],[a1]]=1,G$2+IF(G$1=1,0,Tab.o1[[#This Row],[.x1]])+[1]!T.in.A[[#This Row],[oo3]],"")</f>
        <v/>
      </c>
      <c r="H531" s="115" t="str">
        <f>IF(Tab.o1[[#This Row],[a1]]=1,IF(H$2=0,0,IF(G$1=1,0,Tab.o1[[#This Row],[.x1]])+[1]!T.in.A[[#This Row],[oo4]]),"")</f>
        <v/>
      </c>
      <c r="I531" s="116" t="str">
        <f>IF(Tab.o1[[#This Row],[a1]]=1,IF(J$2=0,Tab.o1[[#This Row],[MED]],Tab.o1[[#This Row],[MOD]]),"")</f>
        <v/>
      </c>
      <c r="J531" s="116" t="str">
        <f>IF(Tab.o1[[#This Row],[a1]]=1,((Tab.o1[[#This Row],[DIF_Target.]]-AVERAGE(Tab.o1[DIF_Target.]))/_xlfn.STDEV.P(Tab.o1[DIF_Target.])),"")</f>
        <v/>
      </c>
      <c r="K531" s="117" t="str">
        <f>IF(Tab.o1[[#This Row],[a1]]=1,IF(J$2=0,Tab.o1[[#This Row],[MOD]]-Tab.o1[[#This Row],[B]],IF(J$2=1,0,-Tab.o1[[#This Row],[MED]])+Tab.o1[[#This Row],[B]]),"")</f>
        <v/>
      </c>
      <c r="L531" s="117" t="str">
        <f ca="1">IF(Tab.o1[[#This Row],[DIF_Target]]=0,IF(L$2=0,Tab.o1[[#This Row],[DIF_Target]],AVERAGE(OFFSET(Tab.o1[[#This Row],[DIF_Target]],1,0,L$3,1)))/3,Tab.o1[[#This Row],[DIF_Target]])</f>
        <v/>
      </c>
      <c r="M531" s="118" t="str">
        <f>IF(Tab.o1[[#This Row],[a1]]=1,NORMSDIST(Tab.o1[[#This Row],[Za]]),"")</f>
        <v/>
      </c>
      <c r="N531" s="119" t="str">
        <f>IF(Tab.o1[[#This Row],[a1]]=1,((Tab.o1[[#This Row],[MedMod]]-AVERAGE(Tab.o1[MedMod]))/_xlfn.STDEV.P(Tab.o1[MedMod])*H$1205)+G$1205,"")</f>
        <v/>
      </c>
      <c r="O531" s="141" t="str">
        <f>IF(Tab.o1[[#This Row],[a1]]=1,Tab.o1[[#This Row],[Zb]]*_xlfn.STDEV.P(Tab.o1[MedMod])+AVERAGE(Tab.o1[MedMod]),"")</f>
        <v/>
      </c>
      <c r="P531" s="117" t="str">
        <f ca="1">IF(Tab.o1[[#This Row],[B]]=0,AVERAGE(OFFSET(Tab.o1[[#This Row],[B]],1,0,L$3,1)),Tab.o1[[#This Row],[B]])</f>
        <v/>
      </c>
      <c r="Q531" s="121" t="str">
        <f>IF(Tab.o1[[#This Row],[a1]]=1,NORMSDIST(Tab.o1[[#This Row],[Zb]]),"")</f>
        <v/>
      </c>
      <c r="R531" s="122" t="str">
        <f>IF(Tab.o1[[#This Row],[a1]]=1,((Tab.o1[[#This Row],[MedMod]]-AVERAGE(Tab.o1[MedMod]))/_xlfn.STDEV.P(Tab.o1[MedMod])*H$1203)+G$1203,"")</f>
        <v/>
      </c>
      <c r="S531" s="122" t="str">
        <f>IF(Tab.o1[[#This Row],[a1]]=1,((Tab.o1[[#This Row],[MedMod]]-AVERAGE(Tab.o1[MedMod]))/_xlfn.STDEV.P(Tab.o1[MedMod])*H$1204)+G$1204,"")</f>
        <v/>
      </c>
      <c r="T531" s="123" t="str">
        <f>IF(Tab.o1[[#This Row],[a1]]=1,Tab.o1[[#This Row],[Z-]]*_xlfn.STDEV.P(Tab.o1[B])+AVERAGE(Tab.o1[B]),"")</f>
        <v/>
      </c>
      <c r="U531" s="123" t="str">
        <f>IF(Tab.o1[[#This Row],[a1]]=1,Tab.o1[[#This Row],[z+]]*_xlfn.STDEV.P(Tab.o1[B])+AVERAGE(Tab.o1[B]),"")</f>
        <v/>
      </c>
      <c r="V531" s="124" t="str">
        <f>IF(Tab.o1[[#This Row],[a1]]=1,ABS((ABS(Tab.o1[[#This Row],[Red]]-Tab.o1[[#This Row],[Blue]]))),"")</f>
        <v/>
      </c>
      <c r="W531" s="125" t="str">
        <f>IF(Tab.o1[[#This Row],[a1]]=1,IF(W$3=0,1,Tab.o1[[#This Row],[Amp.]]*1/_xlfn.MINIFS(Tab.o1[Amp.],Tab.o1[Amp.],"&lt;&gt;0")),"")</f>
        <v/>
      </c>
      <c r="X531" s="126" t="str">
        <f>IF(Tab.o1[[#This Row],[a1]]=1,IF(ISNUMBER(Tab.o1[[#This Row],[i.]]),NORMDIST(Tab.o1[[#This Row],[Za]],0,1,FALSE)*Tab.o1[[#This Row],[i.]],AP$3),"")</f>
        <v/>
      </c>
      <c r="Y531" s="126" t="str">
        <f>IF(Tab.o1[[#This Row],[a1]]=1,0.01+0.94*Tab.o1[[#This Row],[PDF]]/MAX(Tab.o1[PDF]),"")</f>
        <v/>
      </c>
      <c r="Z531" s="126" t="str">
        <f>IF(Tab.o1[[#This Row],[a1]]=1,0.01+0.94*Tab.o1[[#This Row],[W1_PDF]]/MAX(Tab.o1[W1_PDF]),"")</f>
        <v/>
      </c>
      <c r="AA531" s="118" t="str">
        <f>IF(Tab.o1[[#This Row],[a1]]=1,ABS([1]!T.in.A[[#This Row],[oo6]]),"")</f>
        <v/>
      </c>
      <c r="AB531" s="127" t="str">
        <f>IF(Tab.o1[[#This Row],[a1]]=1,IF(AE$3=0,"",IF(AB$3=0,ABS([1]!T.in.A[[#This Row],[oo9]]),ABS(Tab.o1[[#This Row],[DIF_Target.]]*Tab.o1[[#This Row],[W1_PDF]]))),"")</f>
        <v/>
      </c>
      <c r="AC531" s="127" t="str">
        <f>IF(G$1=1,"",IF(Tab.o1[[#This Row],[a1]]=1,Tab.o1[[#This Row],[Wr]]^2,""))</f>
        <v/>
      </c>
      <c r="AD531" s="118" t="str">
        <f>IF(Tab.o1[[#This Row],[a1]]=1,IF(AE$3=0,"",Tab.o1[[#This Row],[Wr2]]/SUM(Tab.o1[Wr2])),"")</f>
        <v/>
      </c>
      <c r="AE531" s="128" t="str">
        <f>IF(Tab.o1[[#This Row],[a1]]=1,[1]!T.in.A[[#This Row],[oo10]],"")</f>
        <v/>
      </c>
      <c r="AF531" s="118" t="str">
        <f>IF(Tab.o1[[#This Row],[a1]]=1,ABS(Tab.o1[[#This Row],[DIF_Target.]]*Tab.o1[[#This Row],[PDF2]]*Tab.o1[[#This Row],[IN]]),"")</f>
        <v/>
      </c>
      <c r="AG531" s="129" t="str">
        <f>IF(Tab.o1[[#This Row],[a1]]=1,Tab.o1[[#This Row],[rW]]^2,"")</f>
        <v/>
      </c>
      <c r="AH531" s="130" t="str">
        <f>IF(Tab.o1[[#This Row],[a1]]=1,IF(AH$3=0,Tab.o1[[#This Row],[rW2]],0.01+0.94*Tab.o1[[#This Row],[rW2]]/SUM(Tab.o1[rW2])),"")</f>
        <v/>
      </c>
      <c r="AI531" s="128" t="str">
        <f>IF(Tab.o1[[#This Row],[a1]]=1,1/Tab.o1[[#This Row],[PDF]],"")</f>
        <v/>
      </c>
      <c r="AJ531" s="131" t="str">
        <f>IF(Tab.o1[[#This Row],[a1]]=1,[1]!T_AA[[#This Row],[IN'']]*[1]!T_AA[[#This Row],[Qde'']],"")</f>
        <v/>
      </c>
      <c r="AK531" s="132" t="str">
        <f>IF(Tab.o1[[#This Row],[a1]]=1,IF(AK$1=1,Tab.o1[[#This Row],[MED]]+Tab.o1[[#This Row],[MOD]]-Tab.o1[[#This Row],[MED]],""),"")</f>
        <v/>
      </c>
      <c r="AL531" s="133" t="str">
        <f>IF(Tab.o1[[#This Row],[a1]]=1,[1]!T.in.A[[#This Row],[oo16]],"")</f>
        <v/>
      </c>
      <c r="AM531" s="133" t="str">
        <f>IF(Tab.o1[[#This Row],[a1]]=1,IF(AM$3=1,[1]!T.in.A[[#This Row],[Σo16]],""),"")</f>
        <v/>
      </c>
      <c r="AN531" s="126" t="str">
        <f>IF(Tab.o1[[#This Row],[a1]]=1,[1]!T.in.A[[#This Row],[Σp5]],"")</f>
        <v/>
      </c>
      <c r="AO531" s="126" t="str">
        <f>IF(Tab.o1[[#This Row],[a1]]=1,IF(AO$3=1,[1]!T.in.A[[#This Row],[Σp5]],""),"")</f>
        <v/>
      </c>
      <c r="AP531" s="110" t="str">
        <f>IF(Tab.o1[[#This Row],[a1]]=1,IF(ISNUMBER(Tab.o1[[#This Row],[i.]]),NORMDIST(Tab.o1[[#This Row],[Za]],0,1,FALSE)*Tab.o1[[#This Row],[i.]],0),"")</f>
        <v/>
      </c>
      <c r="AQ531" s="125" t="str">
        <f>IF(Tab.o1[[#This Row],[a1]]=1,ABS(Tab.o1[[#This Row],[MOD]]-AVERAGE(Tab.o1[MOD])),"")</f>
        <v/>
      </c>
      <c r="AR531" s="134" t="str">
        <f>IF(Tab.o1[[#This Row],[a1]]=1,Tab.o1[[#This Row],[OBS]]/SUM(Tab.o1[OBS]),"")</f>
        <v/>
      </c>
      <c r="AS531" s="135" t="str">
        <f>IF(ISNUMBER(Tab.o1[[#This Row],[a1]]),ROW()-4,"")</f>
        <v/>
      </c>
      <c r="AT531" s="136" t="str">
        <f>Tab.o1[[#This Row],[MOD]]</f>
        <v/>
      </c>
      <c r="AU531" s="137" t="str">
        <f t="shared" si="33"/>
        <v/>
      </c>
      <c r="AV531" s="138" t="str">
        <f t="shared" si="34"/>
        <v/>
      </c>
      <c r="AW531" s="138" t="str">
        <f t="shared" si="35"/>
        <v/>
      </c>
      <c r="AX531" s="139" t="str">
        <f>[1]!T.in.A[[#This Row],[ID_T_manu]]</f>
        <v/>
      </c>
      <c r="AY531" s="140" t="str">
        <f>IF(ISNUMBER(Tab.o1[[#This Row],[a1]]),IF(AND(Tab.o1[[#This Row],[a1]]=1,Tab.o1[[#This Row],[b1]]&lt;=AY$4),#REF!,AY530),"")</f>
        <v/>
      </c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</row>
    <row r="532" spans="1:79" ht="15.75" hidden="1">
      <c r="A532" s="109">
        <v>-8.0000000000000013E-6</v>
      </c>
      <c r="B532" s="110">
        <f t="shared" si="32"/>
        <v>532</v>
      </c>
      <c r="C532" s="111" t="str">
        <f>IF(C$1=[1]!T.in.A[[#This Row],[oo2]],1,"")</f>
        <v/>
      </c>
      <c r="D532" s="112" t="str">
        <f>IF(Tab.o1[[#This Row],[a1]]=1,IF(SUM(C532:C533)=0,0,IF(SUM(C531:C532)=1,1,IF(SUM(C531:C533)&gt;1,D531+1,0))),"")</f>
        <v/>
      </c>
      <c r="E532" s="113" t="str">
        <f>IF(Tab.o1[[#This Row],[a1]]=1,[1]!T.in.A[[#This Row],[oo1]],"")</f>
        <v/>
      </c>
      <c r="F532" s="113" t="str">
        <f>IF(Tab.o1[[#This Row],[a1]]=1,[1]!T.in.A[[#This Row],[pp1]],"")</f>
        <v/>
      </c>
      <c r="G532" s="114" t="str">
        <f>IF(Tab.o1[[#This Row],[a1]]=1,G$2+IF(G$1=1,0,Tab.o1[[#This Row],[.x1]])+[1]!T.in.A[[#This Row],[oo3]],"")</f>
        <v/>
      </c>
      <c r="H532" s="115" t="str">
        <f>IF(Tab.o1[[#This Row],[a1]]=1,IF(H$2=0,0,IF(G$1=1,0,Tab.o1[[#This Row],[.x1]])+[1]!T.in.A[[#This Row],[oo4]]),"")</f>
        <v/>
      </c>
      <c r="I532" s="116" t="str">
        <f>IF(Tab.o1[[#This Row],[a1]]=1,IF(J$2=0,Tab.o1[[#This Row],[MED]],Tab.o1[[#This Row],[MOD]]),"")</f>
        <v/>
      </c>
      <c r="J532" s="116" t="str">
        <f>IF(Tab.o1[[#This Row],[a1]]=1,((Tab.o1[[#This Row],[DIF_Target.]]-AVERAGE(Tab.o1[DIF_Target.]))/_xlfn.STDEV.P(Tab.o1[DIF_Target.])),"")</f>
        <v/>
      </c>
      <c r="K532" s="117" t="str">
        <f>IF(Tab.o1[[#This Row],[a1]]=1,IF(J$2=0,Tab.o1[[#This Row],[MOD]]-Tab.o1[[#This Row],[B]],IF(J$2=1,0,-Tab.o1[[#This Row],[MED]])+Tab.o1[[#This Row],[B]]),"")</f>
        <v/>
      </c>
      <c r="L532" s="117" t="str">
        <f ca="1">IF(Tab.o1[[#This Row],[DIF_Target]]=0,IF(L$2=0,Tab.o1[[#This Row],[DIF_Target]],AVERAGE(OFFSET(Tab.o1[[#This Row],[DIF_Target]],1,0,L$3,1)))/3,Tab.o1[[#This Row],[DIF_Target]])</f>
        <v/>
      </c>
      <c r="M532" s="118" t="str">
        <f>IF(Tab.o1[[#This Row],[a1]]=1,NORMSDIST(Tab.o1[[#This Row],[Za]]),"")</f>
        <v/>
      </c>
      <c r="N532" s="119" t="str">
        <f>IF(Tab.o1[[#This Row],[a1]]=1,((Tab.o1[[#This Row],[MedMod]]-AVERAGE(Tab.o1[MedMod]))/_xlfn.STDEV.P(Tab.o1[MedMod])*H$1205)+G$1205,"")</f>
        <v/>
      </c>
      <c r="O532" s="141" t="str">
        <f>IF(Tab.o1[[#This Row],[a1]]=1,Tab.o1[[#This Row],[Zb]]*_xlfn.STDEV.P(Tab.o1[MedMod])+AVERAGE(Tab.o1[MedMod]),"")</f>
        <v/>
      </c>
      <c r="P532" s="117" t="str">
        <f ca="1">IF(Tab.o1[[#This Row],[B]]=0,AVERAGE(OFFSET(Tab.o1[[#This Row],[B]],1,0,L$3,1)),Tab.o1[[#This Row],[B]])</f>
        <v/>
      </c>
      <c r="Q532" s="121" t="str">
        <f>IF(Tab.o1[[#This Row],[a1]]=1,NORMSDIST(Tab.o1[[#This Row],[Zb]]),"")</f>
        <v/>
      </c>
      <c r="R532" s="122" t="str">
        <f>IF(Tab.o1[[#This Row],[a1]]=1,((Tab.o1[[#This Row],[MedMod]]-AVERAGE(Tab.o1[MedMod]))/_xlfn.STDEV.P(Tab.o1[MedMod])*H$1203)+G$1203,"")</f>
        <v/>
      </c>
      <c r="S532" s="122" t="str">
        <f>IF(Tab.o1[[#This Row],[a1]]=1,((Tab.o1[[#This Row],[MedMod]]-AVERAGE(Tab.o1[MedMod]))/_xlfn.STDEV.P(Tab.o1[MedMod])*H$1204)+G$1204,"")</f>
        <v/>
      </c>
      <c r="T532" s="123" t="str">
        <f>IF(Tab.o1[[#This Row],[a1]]=1,Tab.o1[[#This Row],[Z-]]*_xlfn.STDEV.P(Tab.o1[B])+AVERAGE(Tab.o1[B]),"")</f>
        <v/>
      </c>
      <c r="U532" s="123" t="str">
        <f>IF(Tab.o1[[#This Row],[a1]]=1,Tab.o1[[#This Row],[z+]]*_xlfn.STDEV.P(Tab.o1[B])+AVERAGE(Tab.o1[B]),"")</f>
        <v/>
      </c>
      <c r="V532" s="124" t="str">
        <f>IF(Tab.o1[[#This Row],[a1]]=1,ABS((ABS(Tab.o1[[#This Row],[Red]]-Tab.o1[[#This Row],[Blue]]))),"")</f>
        <v/>
      </c>
      <c r="W532" s="125" t="str">
        <f>IF(Tab.o1[[#This Row],[a1]]=1,IF(W$3=0,1,Tab.o1[[#This Row],[Amp.]]*1/_xlfn.MINIFS(Tab.o1[Amp.],Tab.o1[Amp.],"&lt;&gt;0")),"")</f>
        <v/>
      </c>
      <c r="X532" s="126" t="str">
        <f>IF(Tab.o1[[#This Row],[a1]]=1,IF(ISNUMBER(Tab.o1[[#This Row],[i.]]),NORMDIST(Tab.o1[[#This Row],[Za]],0,1,FALSE)*Tab.o1[[#This Row],[i.]],AP$3),"")</f>
        <v/>
      </c>
      <c r="Y532" s="126" t="str">
        <f>IF(Tab.o1[[#This Row],[a1]]=1,0.01+0.94*Tab.o1[[#This Row],[PDF]]/MAX(Tab.o1[PDF]),"")</f>
        <v/>
      </c>
      <c r="Z532" s="126" t="str">
        <f>IF(Tab.o1[[#This Row],[a1]]=1,0.01+0.94*Tab.o1[[#This Row],[W1_PDF]]/MAX(Tab.o1[W1_PDF]),"")</f>
        <v/>
      </c>
      <c r="AA532" s="118" t="str">
        <f>IF(Tab.o1[[#This Row],[a1]]=1,ABS([1]!T.in.A[[#This Row],[oo6]]),"")</f>
        <v/>
      </c>
      <c r="AB532" s="127" t="str">
        <f>IF(Tab.o1[[#This Row],[a1]]=1,IF(AE$3=0,"",IF(AB$3=0,ABS([1]!T.in.A[[#This Row],[oo9]]),ABS(Tab.o1[[#This Row],[DIF_Target.]]*Tab.o1[[#This Row],[W1_PDF]]))),"")</f>
        <v/>
      </c>
      <c r="AC532" s="127" t="str">
        <f>IF(G$1=1,"",IF(Tab.o1[[#This Row],[a1]]=1,Tab.o1[[#This Row],[Wr]]^2,""))</f>
        <v/>
      </c>
      <c r="AD532" s="118" t="str">
        <f>IF(Tab.o1[[#This Row],[a1]]=1,IF(AE$3=0,"",Tab.o1[[#This Row],[Wr2]]/SUM(Tab.o1[Wr2])),"")</f>
        <v/>
      </c>
      <c r="AE532" s="128" t="str">
        <f>IF(Tab.o1[[#This Row],[a1]]=1,[1]!T.in.A[[#This Row],[oo10]],"")</f>
        <v/>
      </c>
      <c r="AF532" s="118" t="str">
        <f>IF(Tab.o1[[#This Row],[a1]]=1,ABS(Tab.o1[[#This Row],[DIF_Target.]]*Tab.o1[[#This Row],[PDF2]]*Tab.o1[[#This Row],[IN]]),"")</f>
        <v/>
      </c>
      <c r="AG532" s="129" t="str">
        <f>IF(Tab.o1[[#This Row],[a1]]=1,Tab.o1[[#This Row],[rW]]^2,"")</f>
        <v/>
      </c>
      <c r="AH532" s="130" t="str">
        <f>IF(Tab.o1[[#This Row],[a1]]=1,IF(AH$3=0,Tab.o1[[#This Row],[rW2]],0.01+0.94*Tab.o1[[#This Row],[rW2]]/SUM(Tab.o1[rW2])),"")</f>
        <v/>
      </c>
      <c r="AI532" s="128" t="str">
        <f>IF(Tab.o1[[#This Row],[a1]]=1,1/Tab.o1[[#This Row],[PDF]],"")</f>
        <v/>
      </c>
      <c r="AJ532" s="131" t="str">
        <f>IF(Tab.o1[[#This Row],[a1]]=1,[1]!T_AA[[#This Row],[IN'']]*[1]!T_AA[[#This Row],[Qde'']],"")</f>
        <v/>
      </c>
      <c r="AK532" s="132" t="str">
        <f>IF(Tab.o1[[#This Row],[a1]]=1,IF(AK$1=1,Tab.o1[[#This Row],[MED]]+Tab.o1[[#This Row],[MOD]]-Tab.o1[[#This Row],[MED]],""),"")</f>
        <v/>
      </c>
      <c r="AL532" s="133" t="str">
        <f>IF(Tab.o1[[#This Row],[a1]]=1,[1]!T.in.A[[#This Row],[oo16]],"")</f>
        <v/>
      </c>
      <c r="AM532" s="133" t="str">
        <f>IF(Tab.o1[[#This Row],[a1]]=1,IF(AM$3=1,[1]!T.in.A[[#This Row],[Σo16]],""),"")</f>
        <v/>
      </c>
      <c r="AN532" s="126" t="str">
        <f>IF(Tab.o1[[#This Row],[a1]]=1,[1]!T.in.A[[#This Row],[Σp5]],"")</f>
        <v/>
      </c>
      <c r="AO532" s="126" t="str">
        <f>IF(Tab.o1[[#This Row],[a1]]=1,IF(AO$3=1,[1]!T.in.A[[#This Row],[Σp5]],""),"")</f>
        <v/>
      </c>
      <c r="AP532" s="110" t="str">
        <f>IF(Tab.o1[[#This Row],[a1]]=1,IF(ISNUMBER(Tab.o1[[#This Row],[i.]]),NORMDIST(Tab.o1[[#This Row],[Za]],0,1,FALSE)*Tab.o1[[#This Row],[i.]],0),"")</f>
        <v/>
      </c>
      <c r="AQ532" s="125" t="str">
        <f>IF(Tab.o1[[#This Row],[a1]]=1,ABS(Tab.o1[[#This Row],[MOD]]-AVERAGE(Tab.o1[MOD])),"")</f>
        <v/>
      </c>
      <c r="AR532" s="134" t="str">
        <f>IF(Tab.o1[[#This Row],[a1]]=1,Tab.o1[[#This Row],[OBS]]/SUM(Tab.o1[OBS]),"")</f>
        <v/>
      </c>
      <c r="AS532" s="135" t="str">
        <f>IF(ISNUMBER(Tab.o1[[#This Row],[a1]]),ROW()-4,"")</f>
        <v/>
      </c>
      <c r="AT532" s="136" t="str">
        <f>Tab.o1[[#This Row],[MOD]]</f>
        <v/>
      </c>
      <c r="AU532" s="137" t="str">
        <f t="shared" si="33"/>
        <v/>
      </c>
      <c r="AV532" s="138" t="str">
        <f t="shared" si="34"/>
        <v/>
      </c>
      <c r="AW532" s="138" t="str">
        <f t="shared" si="35"/>
        <v/>
      </c>
      <c r="AX532" s="139" t="str">
        <f>[1]!T.in.A[[#This Row],[ID_T_manu]]</f>
        <v/>
      </c>
      <c r="AY532" s="140" t="str">
        <f>IF(ISNUMBER(Tab.o1[[#This Row],[a1]]),IF(AND(Tab.o1[[#This Row],[a1]]=1,Tab.o1[[#This Row],[b1]]&lt;=AY$4),#REF!,AY531),"")</f>
        <v/>
      </c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</row>
    <row r="533" spans="1:79" ht="15.75" hidden="1">
      <c r="A533" s="109">
        <v>-4.0000000000000007E-6</v>
      </c>
      <c r="B533" s="110">
        <f t="shared" si="32"/>
        <v>533</v>
      </c>
      <c r="C533" s="111" t="str">
        <f>IF(C$1=[1]!T.in.A[[#This Row],[oo2]],1,"")</f>
        <v/>
      </c>
      <c r="D533" s="112" t="str">
        <f>IF(Tab.o1[[#This Row],[a1]]=1,IF(SUM(C533:C534)=0,0,IF(SUM(C532:C533)=1,1,IF(SUM(C532:C534)&gt;1,D532+1,0))),"")</f>
        <v/>
      </c>
      <c r="E533" s="113" t="str">
        <f>IF(Tab.o1[[#This Row],[a1]]=1,[1]!T.in.A[[#This Row],[oo1]],"")</f>
        <v/>
      </c>
      <c r="F533" s="113" t="str">
        <f>IF(Tab.o1[[#This Row],[a1]]=1,[1]!T.in.A[[#This Row],[pp1]],"")</f>
        <v/>
      </c>
      <c r="G533" s="114" t="str">
        <f>IF(Tab.o1[[#This Row],[a1]]=1,G$2+IF(G$1=1,0,Tab.o1[[#This Row],[.x1]])+[1]!T.in.A[[#This Row],[oo3]],"")</f>
        <v/>
      </c>
      <c r="H533" s="115" t="str">
        <f>IF(Tab.o1[[#This Row],[a1]]=1,IF(H$2=0,0,IF(G$1=1,0,Tab.o1[[#This Row],[.x1]])+[1]!T.in.A[[#This Row],[oo4]]),"")</f>
        <v/>
      </c>
      <c r="I533" s="116" t="str">
        <f>IF(Tab.o1[[#This Row],[a1]]=1,IF(J$2=0,Tab.o1[[#This Row],[MED]],Tab.o1[[#This Row],[MOD]]),"")</f>
        <v/>
      </c>
      <c r="J533" s="116" t="str">
        <f>IF(Tab.o1[[#This Row],[a1]]=1,((Tab.o1[[#This Row],[DIF_Target.]]-AVERAGE(Tab.o1[DIF_Target.]))/_xlfn.STDEV.P(Tab.o1[DIF_Target.])),"")</f>
        <v/>
      </c>
      <c r="K533" s="117" t="str">
        <f>IF(Tab.o1[[#This Row],[a1]]=1,IF(J$2=0,Tab.o1[[#This Row],[MOD]]-Tab.o1[[#This Row],[B]],IF(J$2=1,0,-Tab.o1[[#This Row],[MED]])+Tab.o1[[#This Row],[B]]),"")</f>
        <v/>
      </c>
      <c r="L533" s="117" t="str">
        <f ca="1">IF(Tab.o1[[#This Row],[DIF_Target]]=0,IF(L$2=0,Tab.o1[[#This Row],[DIF_Target]],AVERAGE(OFFSET(Tab.o1[[#This Row],[DIF_Target]],1,0,L$3,1)))/3,Tab.o1[[#This Row],[DIF_Target]])</f>
        <v/>
      </c>
      <c r="M533" s="118" t="str">
        <f>IF(Tab.o1[[#This Row],[a1]]=1,NORMSDIST(Tab.o1[[#This Row],[Za]]),"")</f>
        <v/>
      </c>
      <c r="N533" s="119" t="str">
        <f>IF(Tab.o1[[#This Row],[a1]]=1,((Tab.o1[[#This Row],[MedMod]]-AVERAGE(Tab.o1[MedMod]))/_xlfn.STDEV.P(Tab.o1[MedMod])*H$1205)+G$1205,"")</f>
        <v/>
      </c>
      <c r="O533" s="141" t="str">
        <f>IF(Tab.o1[[#This Row],[a1]]=1,Tab.o1[[#This Row],[Zb]]*_xlfn.STDEV.P(Tab.o1[MedMod])+AVERAGE(Tab.o1[MedMod]),"")</f>
        <v/>
      </c>
      <c r="P533" s="117" t="str">
        <f ca="1">IF(Tab.o1[[#This Row],[B]]=0,AVERAGE(OFFSET(Tab.o1[[#This Row],[B]],1,0,L$3,1)),Tab.o1[[#This Row],[B]])</f>
        <v/>
      </c>
      <c r="Q533" s="121" t="str">
        <f>IF(Tab.o1[[#This Row],[a1]]=1,NORMSDIST(Tab.o1[[#This Row],[Zb]]),"")</f>
        <v/>
      </c>
      <c r="R533" s="122" t="str">
        <f>IF(Tab.o1[[#This Row],[a1]]=1,((Tab.o1[[#This Row],[MedMod]]-AVERAGE(Tab.o1[MedMod]))/_xlfn.STDEV.P(Tab.o1[MedMod])*H$1203)+G$1203,"")</f>
        <v/>
      </c>
      <c r="S533" s="122" t="str">
        <f>IF(Tab.o1[[#This Row],[a1]]=1,((Tab.o1[[#This Row],[MedMod]]-AVERAGE(Tab.o1[MedMod]))/_xlfn.STDEV.P(Tab.o1[MedMod])*H$1204)+G$1204,"")</f>
        <v/>
      </c>
      <c r="T533" s="123" t="str">
        <f>IF(Tab.o1[[#This Row],[a1]]=1,Tab.o1[[#This Row],[Z-]]*_xlfn.STDEV.P(Tab.o1[B])+AVERAGE(Tab.o1[B]),"")</f>
        <v/>
      </c>
      <c r="U533" s="123" t="str">
        <f>IF(Tab.o1[[#This Row],[a1]]=1,Tab.o1[[#This Row],[z+]]*_xlfn.STDEV.P(Tab.o1[B])+AVERAGE(Tab.o1[B]),"")</f>
        <v/>
      </c>
      <c r="V533" s="124" t="str">
        <f>IF(Tab.o1[[#This Row],[a1]]=1,ABS((ABS(Tab.o1[[#This Row],[Red]]-Tab.o1[[#This Row],[Blue]]))),"")</f>
        <v/>
      </c>
      <c r="W533" s="125" t="str">
        <f>IF(Tab.o1[[#This Row],[a1]]=1,IF(W$3=0,1,Tab.o1[[#This Row],[Amp.]]*1/_xlfn.MINIFS(Tab.o1[Amp.],Tab.o1[Amp.],"&lt;&gt;0")),"")</f>
        <v/>
      </c>
      <c r="X533" s="126" t="str">
        <f>IF(Tab.o1[[#This Row],[a1]]=1,IF(ISNUMBER(Tab.o1[[#This Row],[i.]]),NORMDIST(Tab.o1[[#This Row],[Za]],0,1,FALSE)*Tab.o1[[#This Row],[i.]],AP$3),"")</f>
        <v/>
      </c>
      <c r="Y533" s="126" t="str">
        <f>IF(Tab.o1[[#This Row],[a1]]=1,0.01+0.94*Tab.o1[[#This Row],[PDF]]/MAX(Tab.o1[PDF]),"")</f>
        <v/>
      </c>
      <c r="Z533" s="126" t="str">
        <f>IF(Tab.o1[[#This Row],[a1]]=1,0.01+0.94*Tab.o1[[#This Row],[W1_PDF]]/MAX(Tab.o1[W1_PDF]),"")</f>
        <v/>
      </c>
      <c r="AA533" s="118" t="str">
        <f>IF(Tab.o1[[#This Row],[a1]]=1,ABS([1]!T.in.A[[#This Row],[oo6]]),"")</f>
        <v/>
      </c>
      <c r="AB533" s="127" t="str">
        <f>IF(Tab.o1[[#This Row],[a1]]=1,IF(AE$3=0,"",IF(AB$3=0,ABS([1]!T.in.A[[#This Row],[oo9]]),ABS(Tab.o1[[#This Row],[DIF_Target.]]*Tab.o1[[#This Row],[W1_PDF]]))),"")</f>
        <v/>
      </c>
      <c r="AC533" s="127" t="str">
        <f>IF(G$1=1,"",IF(Tab.o1[[#This Row],[a1]]=1,Tab.o1[[#This Row],[Wr]]^2,""))</f>
        <v/>
      </c>
      <c r="AD533" s="118" t="str">
        <f>IF(Tab.o1[[#This Row],[a1]]=1,IF(AE$3=0,"",Tab.o1[[#This Row],[Wr2]]/SUM(Tab.o1[Wr2])),"")</f>
        <v/>
      </c>
      <c r="AE533" s="128" t="str">
        <f>IF(Tab.o1[[#This Row],[a1]]=1,[1]!T.in.A[[#This Row],[oo10]],"")</f>
        <v/>
      </c>
      <c r="AF533" s="118" t="str">
        <f>IF(Tab.o1[[#This Row],[a1]]=1,ABS(Tab.o1[[#This Row],[DIF_Target.]]*Tab.o1[[#This Row],[PDF2]]*Tab.o1[[#This Row],[IN]]),"")</f>
        <v/>
      </c>
      <c r="AG533" s="129" t="str">
        <f>IF(Tab.o1[[#This Row],[a1]]=1,Tab.o1[[#This Row],[rW]]^2,"")</f>
        <v/>
      </c>
      <c r="AH533" s="130" t="str">
        <f>IF(Tab.o1[[#This Row],[a1]]=1,IF(AH$3=0,Tab.o1[[#This Row],[rW2]],0.01+0.94*Tab.o1[[#This Row],[rW2]]/SUM(Tab.o1[rW2])),"")</f>
        <v/>
      </c>
      <c r="AI533" s="128" t="str">
        <f>IF(Tab.o1[[#This Row],[a1]]=1,1/Tab.o1[[#This Row],[PDF]],"")</f>
        <v/>
      </c>
      <c r="AJ533" s="131" t="str">
        <f>IF(Tab.o1[[#This Row],[a1]]=1,[1]!T_AA[[#This Row],[IN'']]*[1]!T_AA[[#This Row],[Qde'']],"")</f>
        <v/>
      </c>
      <c r="AK533" s="132" t="str">
        <f>IF(Tab.o1[[#This Row],[a1]]=1,IF(AK$1=1,Tab.o1[[#This Row],[MED]]+Tab.o1[[#This Row],[MOD]]-Tab.o1[[#This Row],[MED]],""),"")</f>
        <v/>
      </c>
      <c r="AL533" s="133" t="str">
        <f>IF(Tab.o1[[#This Row],[a1]]=1,[1]!T.in.A[[#This Row],[oo16]],"")</f>
        <v/>
      </c>
      <c r="AM533" s="133" t="str">
        <f>IF(Tab.o1[[#This Row],[a1]]=1,IF(AM$3=1,[1]!T.in.A[[#This Row],[Σo16]],""),"")</f>
        <v/>
      </c>
      <c r="AN533" s="126" t="str">
        <f>IF(Tab.o1[[#This Row],[a1]]=1,[1]!T.in.A[[#This Row],[Σp5]],"")</f>
        <v/>
      </c>
      <c r="AO533" s="126" t="str">
        <f>IF(Tab.o1[[#This Row],[a1]]=1,IF(AO$3=1,[1]!T.in.A[[#This Row],[Σp5]],""),"")</f>
        <v/>
      </c>
      <c r="AP533" s="110" t="str">
        <f>IF(Tab.o1[[#This Row],[a1]]=1,IF(ISNUMBER(Tab.o1[[#This Row],[i.]]),NORMDIST(Tab.o1[[#This Row],[Za]],0,1,FALSE)*Tab.o1[[#This Row],[i.]],0),"")</f>
        <v/>
      </c>
      <c r="AQ533" s="125" t="str">
        <f>IF(Tab.o1[[#This Row],[a1]]=1,ABS(Tab.o1[[#This Row],[MOD]]-AVERAGE(Tab.o1[MOD])),"")</f>
        <v/>
      </c>
      <c r="AR533" s="134" t="str">
        <f>IF(Tab.o1[[#This Row],[a1]]=1,Tab.o1[[#This Row],[OBS]]/SUM(Tab.o1[OBS]),"")</f>
        <v/>
      </c>
      <c r="AS533" s="135" t="str">
        <f>IF(ISNUMBER(Tab.o1[[#This Row],[a1]]),ROW()-4,"")</f>
        <v/>
      </c>
      <c r="AT533" s="136" t="str">
        <f>Tab.o1[[#This Row],[MOD]]</f>
        <v/>
      </c>
      <c r="AU533" s="137" t="str">
        <f t="shared" si="33"/>
        <v/>
      </c>
      <c r="AV533" s="138" t="str">
        <f t="shared" si="34"/>
        <v/>
      </c>
      <c r="AW533" s="138" t="str">
        <f t="shared" si="35"/>
        <v/>
      </c>
      <c r="AX533" s="139" t="str">
        <f>[1]!T.in.A[[#This Row],[ID_T_manu]]</f>
        <v/>
      </c>
      <c r="AY533" s="140" t="str">
        <f>IF(ISNUMBER(Tab.o1[[#This Row],[a1]]),IF(AND(Tab.o1[[#This Row],[a1]]=1,Tab.o1[[#This Row],[b1]]&lt;=AY$4),#REF!,AY532),"")</f>
        <v/>
      </c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</row>
    <row r="534" spans="1:79" ht="15.75" hidden="1">
      <c r="A534" s="109">
        <v>9.0000000000000002E-6</v>
      </c>
      <c r="B534" s="110">
        <f t="shared" si="32"/>
        <v>534</v>
      </c>
      <c r="C534" s="111" t="str">
        <f>IF(C$1=[1]!T.in.A[[#This Row],[oo2]],1,"")</f>
        <v/>
      </c>
      <c r="D534" s="112" t="str">
        <f>IF(Tab.o1[[#This Row],[a1]]=1,IF(SUM(C534:C535)=0,0,IF(SUM(C533:C534)=1,1,IF(SUM(C533:C535)&gt;1,D533+1,0))),"")</f>
        <v/>
      </c>
      <c r="E534" s="113" t="str">
        <f>IF(Tab.o1[[#This Row],[a1]]=1,[1]!T.in.A[[#This Row],[oo1]],"")</f>
        <v/>
      </c>
      <c r="F534" s="113" t="str">
        <f>IF(Tab.o1[[#This Row],[a1]]=1,[1]!T.in.A[[#This Row],[pp1]],"")</f>
        <v/>
      </c>
      <c r="G534" s="114" t="str">
        <f>IF(Tab.o1[[#This Row],[a1]]=1,G$2+IF(G$1=1,0,Tab.o1[[#This Row],[.x1]])+[1]!T.in.A[[#This Row],[oo3]],"")</f>
        <v/>
      </c>
      <c r="H534" s="115" t="str">
        <f>IF(Tab.o1[[#This Row],[a1]]=1,IF(H$2=0,0,IF(G$1=1,0,Tab.o1[[#This Row],[.x1]])+[1]!T.in.A[[#This Row],[oo4]]),"")</f>
        <v/>
      </c>
      <c r="I534" s="116" t="str">
        <f>IF(Tab.o1[[#This Row],[a1]]=1,IF(J$2=0,Tab.o1[[#This Row],[MED]],Tab.o1[[#This Row],[MOD]]),"")</f>
        <v/>
      </c>
      <c r="J534" s="116" t="str">
        <f>IF(Tab.o1[[#This Row],[a1]]=1,((Tab.o1[[#This Row],[DIF_Target.]]-AVERAGE(Tab.o1[DIF_Target.]))/_xlfn.STDEV.P(Tab.o1[DIF_Target.])),"")</f>
        <v/>
      </c>
      <c r="K534" s="117" t="str">
        <f>IF(Tab.o1[[#This Row],[a1]]=1,IF(J$2=0,Tab.o1[[#This Row],[MOD]]-Tab.o1[[#This Row],[B]],IF(J$2=1,0,-Tab.o1[[#This Row],[MED]])+Tab.o1[[#This Row],[B]]),"")</f>
        <v/>
      </c>
      <c r="L534" s="117" t="str">
        <f ca="1">IF(Tab.o1[[#This Row],[DIF_Target]]=0,IF(L$2=0,Tab.o1[[#This Row],[DIF_Target]],AVERAGE(OFFSET(Tab.o1[[#This Row],[DIF_Target]],1,0,L$3,1)))/3,Tab.o1[[#This Row],[DIF_Target]])</f>
        <v/>
      </c>
      <c r="M534" s="118" t="str">
        <f>IF(Tab.o1[[#This Row],[a1]]=1,NORMSDIST(Tab.o1[[#This Row],[Za]]),"")</f>
        <v/>
      </c>
      <c r="N534" s="119" t="str">
        <f>IF(Tab.o1[[#This Row],[a1]]=1,((Tab.o1[[#This Row],[MedMod]]-AVERAGE(Tab.o1[MedMod]))/_xlfn.STDEV.P(Tab.o1[MedMod])*H$1205)+G$1205,"")</f>
        <v/>
      </c>
      <c r="O534" s="141" t="str">
        <f>IF(Tab.o1[[#This Row],[a1]]=1,Tab.o1[[#This Row],[Zb]]*_xlfn.STDEV.P(Tab.o1[MedMod])+AVERAGE(Tab.o1[MedMod]),"")</f>
        <v/>
      </c>
      <c r="P534" s="117" t="str">
        <f ca="1">IF(Tab.o1[[#This Row],[B]]=0,AVERAGE(OFFSET(Tab.o1[[#This Row],[B]],1,0,L$3,1)),Tab.o1[[#This Row],[B]])</f>
        <v/>
      </c>
      <c r="Q534" s="121" t="str">
        <f>IF(Tab.o1[[#This Row],[a1]]=1,NORMSDIST(Tab.o1[[#This Row],[Zb]]),"")</f>
        <v/>
      </c>
      <c r="R534" s="122" t="str">
        <f>IF(Tab.o1[[#This Row],[a1]]=1,((Tab.o1[[#This Row],[MedMod]]-AVERAGE(Tab.o1[MedMod]))/_xlfn.STDEV.P(Tab.o1[MedMod])*H$1203)+G$1203,"")</f>
        <v/>
      </c>
      <c r="S534" s="122" t="str">
        <f>IF(Tab.o1[[#This Row],[a1]]=1,((Tab.o1[[#This Row],[MedMod]]-AVERAGE(Tab.o1[MedMod]))/_xlfn.STDEV.P(Tab.o1[MedMod])*H$1204)+G$1204,"")</f>
        <v/>
      </c>
      <c r="T534" s="123" t="str">
        <f>IF(Tab.o1[[#This Row],[a1]]=1,Tab.o1[[#This Row],[Z-]]*_xlfn.STDEV.P(Tab.o1[B])+AVERAGE(Tab.o1[B]),"")</f>
        <v/>
      </c>
      <c r="U534" s="123" t="str">
        <f>IF(Tab.o1[[#This Row],[a1]]=1,Tab.o1[[#This Row],[z+]]*_xlfn.STDEV.P(Tab.o1[B])+AVERAGE(Tab.o1[B]),"")</f>
        <v/>
      </c>
      <c r="V534" s="124" t="str">
        <f>IF(Tab.o1[[#This Row],[a1]]=1,ABS((ABS(Tab.o1[[#This Row],[Red]]-Tab.o1[[#This Row],[Blue]]))),"")</f>
        <v/>
      </c>
      <c r="W534" s="125" t="str">
        <f>IF(Tab.o1[[#This Row],[a1]]=1,IF(W$3=0,1,Tab.o1[[#This Row],[Amp.]]*1/_xlfn.MINIFS(Tab.o1[Amp.],Tab.o1[Amp.],"&lt;&gt;0")),"")</f>
        <v/>
      </c>
      <c r="X534" s="126" t="str">
        <f>IF(Tab.o1[[#This Row],[a1]]=1,IF(ISNUMBER(Tab.o1[[#This Row],[i.]]),NORMDIST(Tab.o1[[#This Row],[Za]],0,1,FALSE)*Tab.o1[[#This Row],[i.]],AP$3),"")</f>
        <v/>
      </c>
      <c r="Y534" s="126" t="str">
        <f>IF(Tab.o1[[#This Row],[a1]]=1,0.01+0.94*Tab.o1[[#This Row],[PDF]]/MAX(Tab.o1[PDF]),"")</f>
        <v/>
      </c>
      <c r="Z534" s="126" t="str">
        <f>IF(Tab.o1[[#This Row],[a1]]=1,0.01+0.94*Tab.o1[[#This Row],[W1_PDF]]/MAX(Tab.o1[W1_PDF]),"")</f>
        <v/>
      </c>
      <c r="AA534" s="118" t="str">
        <f>IF(Tab.o1[[#This Row],[a1]]=1,ABS([1]!T.in.A[[#This Row],[oo6]]),"")</f>
        <v/>
      </c>
      <c r="AB534" s="127" t="str">
        <f>IF(Tab.o1[[#This Row],[a1]]=1,IF(AE$3=0,"",IF(AB$3=0,ABS([1]!T.in.A[[#This Row],[oo9]]),ABS(Tab.o1[[#This Row],[DIF_Target.]]*Tab.o1[[#This Row],[W1_PDF]]))),"")</f>
        <v/>
      </c>
      <c r="AC534" s="127" t="str">
        <f>IF(G$1=1,"",IF(Tab.o1[[#This Row],[a1]]=1,Tab.o1[[#This Row],[Wr]]^2,""))</f>
        <v/>
      </c>
      <c r="AD534" s="118" t="str">
        <f>IF(Tab.o1[[#This Row],[a1]]=1,IF(AE$3=0,"",Tab.o1[[#This Row],[Wr2]]/SUM(Tab.o1[Wr2])),"")</f>
        <v/>
      </c>
      <c r="AE534" s="128" t="str">
        <f>IF(Tab.o1[[#This Row],[a1]]=1,[1]!T.in.A[[#This Row],[oo10]],"")</f>
        <v/>
      </c>
      <c r="AF534" s="118" t="str">
        <f>IF(Tab.o1[[#This Row],[a1]]=1,ABS(Tab.o1[[#This Row],[DIF_Target.]]*Tab.o1[[#This Row],[PDF2]]*Tab.o1[[#This Row],[IN]]),"")</f>
        <v/>
      </c>
      <c r="AG534" s="129" t="str">
        <f>IF(Tab.o1[[#This Row],[a1]]=1,Tab.o1[[#This Row],[rW]]^2,"")</f>
        <v/>
      </c>
      <c r="AH534" s="130" t="str">
        <f>IF(Tab.o1[[#This Row],[a1]]=1,IF(AH$3=0,Tab.o1[[#This Row],[rW2]],0.01+0.94*Tab.o1[[#This Row],[rW2]]/SUM(Tab.o1[rW2])),"")</f>
        <v/>
      </c>
      <c r="AI534" s="128" t="str">
        <f>IF(Tab.o1[[#This Row],[a1]]=1,1/Tab.o1[[#This Row],[PDF]],"")</f>
        <v/>
      </c>
      <c r="AJ534" s="131" t="str">
        <f>IF(Tab.o1[[#This Row],[a1]]=1,[1]!T_AA[[#This Row],[IN'']]*[1]!T_AA[[#This Row],[Qde'']],"")</f>
        <v/>
      </c>
      <c r="AK534" s="132" t="str">
        <f>IF(Tab.o1[[#This Row],[a1]]=1,IF(AK$1=1,Tab.o1[[#This Row],[MED]]+Tab.o1[[#This Row],[MOD]]-Tab.o1[[#This Row],[MED]],""),"")</f>
        <v/>
      </c>
      <c r="AL534" s="133" t="str">
        <f>IF(Tab.o1[[#This Row],[a1]]=1,[1]!T.in.A[[#This Row],[oo16]],"")</f>
        <v/>
      </c>
      <c r="AM534" s="133" t="str">
        <f>IF(Tab.o1[[#This Row],[a1]]=1,IF(AM$3=1,[1]!T.in.A[[#This Row],[Σo16]],""),"")</f>
        <v/>
      </c>
      <c r="AN534" s="126" t="str">
        <f>IF(Tab.o1[[#This Row],[a1]]=1,[1]!T.in.A[[#This Row],[Σp5]],"")</f>
        <v/>
      </c>
      <c r="AO534" s="126" t="str">
        <f>IF(Tab.o1[[#This Row],[a1]]=1,IF(AO$3=1,[1]!T.in.A[[#This Row],[Σp5]],""),"")</f>
        <v/>
      </c>
      <c r="AP534" s="110" t="str">
        <f>IF(Tab.o1[[#This Row],[a1]]=1,IF(ISNUMBER(Tab.o1[[#This Row],[i.]]),NORMDIST(Tab.o1[[#This Row],[Za]],0,1,FALSE)*Tab.o1[[#This Row],[i.]],0),"")</f>
        <v/>
      </c>
      <c r="AQ534" s="125" t="str">
        <f>IF(Tab.o1[[#This Row],[a1]]=1,ABS(Tab.o1[[#This Row],[MOD]]-AVERAGE(Tab.o1[MOD])),"")</f>
        <v/>
      </c>
      <c r="AR534" s="134" t="str">
        <f>IF(Tab.o1[[#This Row],[a1]]=1,Tab.o1[[#This Row],[OBS]]/SUM(Tab.o1[OBS]),"")</f>
        <v/>
      </c>
      <c r="AS534" s="135" t="str">
        <f>IF(ISNUMBER(Tab.o1[[#This Row],[a1]]),ROW()-4,"")</f>
        <v/>
      </c>
      <c r="AT534" s="136" t="str">
        <f>Tab.o1[[#This Row],[MOD]]</f>
        <v/>
      </c>
      <c r="AU534" s="137" t="str">
        <f t="shared" si="33"/>
        <v/>
      </c>
      <c r="AV534" s="138" t="str">
        <f t="shared" si="34"/>
        <v/>
      </c>
      <c r="AW534" s="138" t="str">
        <f t="shared" si="35"/>
        <v/>
      </c>
      <c r="AX534" s="139" t="str">
        <f>[1]!T.in.A[[#This Row],[ID_T_manu]]</f>
        <v/>
      </c>
      <c r="AY534" s="140" t="str">
        <f>IF(ISNUMBER(Tab.o1[[#This Row],[a1]]),IF(AND(Tab.o1[[#This Row],[a1]]=1,Tab.o1[[#This Row],[b1]]&lt;=AY$4),#REF!,AY533),"")</f>
        <v/>
      </c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</row>
    <row r="535" spans="1:79" ht="15.75" hidden="1">
      <c r="A535" s="109">
        <v>-9.0000000000000002E-6</v>
      </c>
      <c r="B535" s="110">
        <f t="shared" si="32"/>
        <v>535</v>
      </c>
      <c r="C535" s="111" t="str">
        <f>IF(C$1=[1]!T.in.A[[#This Row],[oo2]],1,"")</f>
        <v/>
      </c>
      <c r="D535" s="112" t="str">
        <f>IF(Tab.o1[[#This Row],[a1]]=1,IF(SUM(C535:C536)=0,0,IF(SUM(C534:C535)=1,1,IF(SUM(C534:C536)&gt;1,D534+1,0))),"")</f>
        <v/>
      </c>
      <c r="E535" s="113" t="str">
        <f>IF(Tab.o1[[#This Row],[a1]]=1,[1]!T.in.A[[#This Row],[oo1]],"")</f>
        <v/>
      </c>
      <c r="F535" s="113" t="str">
        <f>IF(Tab.o1[[#This Row],[a1]]=1,[1]!T.in.A[[#This Row],[pp1]],"")</f>
        <v/>
      </c>
      <c r="G535" s="114" t="str">
        <f>IF(Tab.o1[[#This Row],[a1]]=1,G$2+IF(G$1=1,0,Tab.o1[[#This Row],[.x1]])+[1]!T.in.A[[#This Row],[oo3]],"")</f>
        <v/>
      </c>
      <c r="H535" s="115" t="str">
        <f>IF(Tab.o1[[#This Row],[a1]]=1,IF(H$2=0,0,IF(G$1=1,0,Tab.o1[[#This Row],[.x1]])+[1]!T.in.A[[#This Row],[oo4]]),"")</f>
        <v/>
      </c>
      <c r="I535" s="116" t="str">
        <f>IF(Tab.o1[[#This Row],[a1]]=1,IF(J$2=0,Tab.o1[[#This Row],[MED]],Tab.o1[[#This Row],[MOD]]),"")</f>
        <v/>
      </c>
      <c r="J535" s="116" t="str">
        <f>IF(Tab.o1[[#This Row],[a1]]=1,((Tab.o1[[#This Row],[DIF_Target.]]-AVERAGE(Tab.o1[DIF_Target.]))/_xlfn.STDEV.P(Tab.o1[DIF_Target.])),"")</f>
        <v/>
      </c>
      <c r="K535" s="117" t="str">
        <f>IF(Tab.o1[[#This Row],[a1]]=1,IF(J$2=0,Tab.o1[[#This Row],[MOD]]-Tab.o1[[#This Row],[B]],IF(J$2=1,0,-Tab.o1[[#This Row],[MED]])+Tab.o1[[#This Row],[B]]),"")</f>
        <v/>
      </c>
      <c r="L535" s="117" t="str">
        <f ca="1">IF(Tab.o1[[#This Row],[DIF_Target]]=0,IF(L$2=0,Tab.o1[[#This Row],[DIF_Target]],AVERAGE(OFFSET(Tab.o1[[#This Row],[DIF_Target]],1,0,L$3,1)))/3,Tab.o1[[#This Row],[DIF_Target]])</f>
        <v/>
      </c>
      <c r="M535" s="118" t="str">
        <f>IF(Tab.o1[[#This Row],[a1]]=1,NORMSDIST(Tab.o1[[#This Row],[Za]]),"")</f>
        <v/>
      </c>
      <c r="N535" s="119" t="str">
        <f>IF(Tab.o1[[#This Row],[a1]]=1,((Tab.o1[[#This Row],[MedMod]]-AVERAGE(Tab.o1[MedMod]))/_xlfn.STDEV.P(Tab.o1[MedMod])*H$1205)+G$1205,"")</f>
        <v/>
      </c>
      <c r="O535" s="141" t="str">
        <f>IF(Tab.o1[[#This Row],[a1]]=1,Tab.o1[[#This Row],[Zb]]*_xlfn.STDEV.P(Tab.o1[MedMod])+AVERAGE(Tab.o1[MedMod]),"")</f>
        <v/>
      </c>
      <c r="P535" s="117" t="str">
        <f ca="1">IF(Tab.o1[[#This Row],[B]]=0,AVERAGE(OFFSET(Tab.o1[[#This Row],[B]],1,0,L$3,1)),Tab.o1[[#This Row],[B]])</f>
        <v/>
      </c>
      <c r="Q535" s="121" t="str">
        <f>IF(Tab.o1[[#This Row],[a1]]=1,NORMSDIST(Tab.o1[[#This Row],[Zb]]),"")</f>
        <v/>
      </c>
      <c r="R535" s="122" t="str">
        <f>IF(Tab.o1[[#This Row],[a1]]=1,((Tab.o1[[#This Row],[MedMod]]-AVERAGE(Tab.o1[MedMod]))/_xlfn.STDEV.P(Tab.o1[MedMod])*H$1203)+G$1203,"")</f>
        <v/>
      </c>
      <c r="S535" s="122" t="str">
        <f>IF(Tab.o1[[#This Row],[a1]]=1,((Tab.o1[[#This Row],[MedMod]]-AVERAGE(Tab.o1[MedMod]))/_xlfn.STDEV.P(Tab.o1[MedMod])*H$1204)+G$1204,"")</f>
        <v/>
      </c>
      <c r="T535" s="123" t="str">
        <f>IF(Tab.o1[[#This Row],[a1]]=1,Tab.o1[[#This Row],[Z-]]*_xlfn.STDEV.P(Tab.o1[B])+AVERAGE(Tab.o1[B]),"")</f>
        <v/>
      </c>
      <c r="U535" s="123" t="str">
        <f>IF(Tab.o1[[#This Row],[a1]]=1,Tab.o1[[#This Row],[z+]]*_xlfn.STDEV.P(Tab.o1[B])+AVERAGE(Tab.o1[B]),"")</f>
        <v/>
      </c>
      <c r="V535" s="124" t="str">
        <f>IF(Tab.o1[[#This Row],[a1]]=1,ABS((ABS(Tab.o1[[#This Row],[Red]]-Tab.o1[[#This Row],[Blue]]))),"")</f>
        <v/>
      </c>
      <c r="W535" s="125" t="str">
        <f>IF(Tab.o1[[#This Row],[a1]]=1,IF(W$3=0,1,Tab.o1[[#This Row],[Amp.]]*1/_xlfn.MINIFS(Tab.o1[Amp.],Tab.o1[Amp.],"&lt;&gt;0")),"")</f>
        <v/>
      </c>
      <c r="X535" s="126" t="str">
        <f>IF(Tab.o1[[#This Row],[a1]]=1,IF(ISNUMBER(Tab.o1[[#This Row],[i.]]),NORMDIST(Tab.o1[[#This Row],[Za]],0,1,FALSE)*Tab.o1[[#This Row],[i.]],AP$3),"")</f>
        <v/>
      </c>
      <c r="Y535" s="126" t="str">
        <f>IF(Tab.o1[[#This Row],[a1]]=1,0.01+0.94*Tab.o1[[#This Row],[PDF]]/MAX(Tab.o1[PDF]),"")</f>
        <v/>
      </c>
      <c r="Z535" s="126" t="str">
        <f>IF(Tab.o1[[#This Row],[a1]]=1,0.01+0.94*Tab.o1[[#This Row],[W1_PDF]]/MAX(Tab.o1[W1_PDF]),"")</f>
        <v/>
      </c>
      <c r="AA535" s="118" t="str">
        <f>IF(Tab.o1[[#This Row],[a1]]=1,ABS([1]!T.in.A[[#This Row],[oo6]]),"")</f>
        <v/>
      </c>
      <c r="AB535" s="127" t="str">
        <f>IF(Tab.o1[[#This Row],[a1]]=1,IF(AE$3=0,"",IF(AB$3=0,ABS([1]!T.in.A[[#This Row],[oo9]]),ABS(Tab.o1[[#This Row],[DIF_Target.]]*Tab.o1[[#This Row],[W1_PDF]]))),"")</f>
        <v/>
      </c>
      <c r="AC535" s="127" t="str">
        <f>IF(G$1=1,"",IF(Tab.o1[[#This Row],[a1]]=1,Tab.o1[[#This Row],[Wr]]^2,""))</f>
        <v/>
      </c>
      <c r="AD535" s="118" t="str">
        <f>IF(Tab.o1[[#This Row],[a1]]=1,IF(AE$3=0,"",Tab.o1[[#This Row],[Wr2]]/SUM(Tab.o1[Wr2])),"")</f>
        <v/>
      </c>
      <c r="AE535" s="128" t="str">
        <f>IF(Tab.o1[[#This Row],[a1]]=1,[1]!T.in.A[[#This Row],[oo10]],"")</f>
        <v/>
      </c>
      <c r="AF535" s="118" t="str">
        <f>IF(Tab.o1[[#This Row],[a1]]=1,ABS(Tab.o1[[#This Row],[DIF_Target.]]*Tab.o1[[#This Row],[PDF2]]*Tab.o1[[#This Row],[IN]]),"")</f>
        <v/>
      </c>
      <c r="AG535" s="129" t="str">
        <f>IF(Tab.o1[[#This Row],[a1]]=1,Tab.o1[[#This Row],[rW]]^2,"")</f>
        <v/>
      </c>
      <c r="AH535" s="130" t="str">
        <f>IF(Tab.o1[[#This Row],[a1]]=1,IF(AH$3=0,Tab.o1[[#This Row],[rW2]],0.01+0.94*Tab.o1[[#This Row],[rW2]]/SUM(Tab.o1[rW2])),"")</f>
        <v/>
      </c>
      <c r="AI535" s="128" t="str">
        <f>IF(Tab.o1[[#This Row],[a1]]=1,1/Tab.o1[[#This Row],[PDF]],"")</f>
        <v/>
      </c>
      <c r="AJ535" s="131" t="str">
        <f>IF(Tab.o1[[#This Row],[a1]]=1,[1]!T_AA[[#This Row],[IN'']]*[1]!T_AA[[#This Row],[Qde'']],"")</f>
        <v/>
      </c>
      <c r="AK535" s="132" t="str">
        <f>IF(Tab.o1[[#This Row],[a1]]=1,IF(AK$1=1,Tab.o1[[#This Row],[MED]]+Tab.o1[[#This Row],[MOD]]-Tab.o1[[#This Row],[MED]],""),"")</f>
        <v/>
      </c>
      <c r="AL535" s="133" t="str">
        <f>IF(Tab.o1[[#This Row],[a1]]=1,[1]!T.in.A[[#This Row],[oo16]],"")</f>
        <v/>
      </c>
      <c r="AM535" s="133" t="str">
        <f>IF(Tab.o1[[#This Row],[a1]]=1,IF(AM$3=1,[1]!T.in.A[[#This Row],[Σo16]],""),"")</f>
        <v/>
      </c>
      <c r="AN535" s="126" t="str">
        <f>IF(Tab.o1[[#This Row],[a1]]=1,[1]!T.in.A[[#This Row],[Σp5]],"")</f>
        <v/>
      </c>
      <c r="AO535" s="126" t="str">
        <f>IF(Tab.o1[[#This Row],[a1]]=1,IF(AO$3=1,[1]!T.in.A[[#This Row],[Σp5]],""),"")</f>
        <v/>
      </c>
      <c r="AP535" s="110" t="str">
        <f>IF(Tab.o1[[#This Row],[a1]]=1,IF(ISNUMBER(Tab.o1[[#This Row],[i.]]),NORMDIST(Tab.o1[[#This Row],[Za]],0,1,FALSE)*Tab.o1[[#This Row],[i.]],0),"")</f>
        <v/>
      </c>
      <c r="AQ535" s="125" t="str">
        <f>IF(Tab.o1[[#This Row],[a1]]=1,ABS(Tab.o1[[#This Row],[MOD]]-AVERAGE(Tab.o1[MOD])),"")</f>
        <v/>
      </c>
      <c r="AR535" s="134" t="str">
        <f>IF(Tab.o1[[#This Row],[a1]]=1,Tab.o1[[#This Row],[OBS]]/SUM(Tab.o1[OBS]),"")</f>
        <v/>
      </c>
      <c r="AS535" s="135" t="str">
        <f>IF(ISNUMBER(Tab.o1[[#This Row],[a1]]),ROW()-4,"")</f>
        <v/>
      </c>
      <c r="AT535" s="136" t="str">
        <f>Tab.o1[[#This Row],[MOD]]</f>
        <v/>
      </c>
      <c r="AU535" s="137" t="str">
        <f t="shared" si="33"/>
        <v/>
      </c>
      <c r="AV535" s="138" t="str">
        <f t="shared" si="34"/>
        <v/>
      </c>
      <c r="AW535" s="138" t="str">
        <f t="shared" si="35"/>
        <v/>
      </c>
      <c r="AX535" s="139" t="str">
        <f>[1]!T.in.A[[#This Row],[ID_T_manu]]</f>
        <v/>
      </c>
      <c r="AY535" s="140" t="str">
        <f>IF(ISNUMBER(Tab.o1[[#This Row],[a1]]),IF(AND(Tab.o1[[#This Row],[a1]]=1,Tab.o1[[#This Row],[b1]]&lt;=AY$4),#REF!,AY534),"")</f>
        <v/>
      </c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</row>
    <row r="536" spans="1:79" ht="15.75" hidden="1">
      <c r="A536" s="109">
        <v>-2.0000000000000003E-6</v>
      </c>
      <c r="B536" s="110">
        <f t="shared" si="32"/>
        <v>536</v>
      </c>
      <c r="C536" s="111" t="str">
        <f>IF(C$1=[1]!T.in.A[[#This Row],[oo2]],1,"")</f>
        <v/>
      </c>
      <c r="D536" s="112" t="str">
        <f>IF(Tab.o1[[#This Row],[a1]]=1,IF(SUM(C536:C537)=0,0,IF(SUM(C535:C536)=1,1,IF(SUM(C535:C537)&gt;1,D535+1,0))),"")</f>
        <v/>
      </c>
      <c r="E536" s="113" t="str">
        <f>IF(Tab.o1[[#This Row],[a1]]=1,[1]!T.in.A[[#This Row],[oo1]],"")</f>
        <v/>
      </c>
      <c r="F536" s="113" t="str">
        <f>IF(Tab.o1[[#This Row],[a1]]=1,[1]!T.in.A[[#This Row],[pp1]],"")</f>
        <v/>
      </c>
      <c r="G536" s="114" t="str">
        <f>IF(Tab.o1[[#This Row],[a1]]=1,G$2+IF(G$1=1,0,Tab.o1[[#This Row],[.x1]])+[1]!T.in.A[[#This Row],[oo3]],"")</f>
        <v/>
      </c>
      <c r="H536" s="115" t="str">
        <f>IF(Tab.o1[[#This Row],[a1]]=1,IF(H$2=0,0,IF(G$1=1,0,Tab.o1[[#This Row],[.x1]])+[1]!T.in.A[[#This Row],[oo4]]),"")</f>
        <v/>
      </c>
      <c r="I536" s="116" t="str">
        <f>IF(Tab.o1[[#This Row],[a1]]=1,IF(J$2=0,Tab.o1[[#This Row],[MED]],Tab.o1[[#This Row],[MOD]]),"")</f>
        <v/>
      </c>
      <c r="J536" s="116" t="str">
        <f>IF(Tab.o1[[#This Row],[a1]]=1,((Tab.o1[[#This Row],[DIF_Target.]]-AVERAGE(Tab.o1[DIF_Target.]))/_xlfn.STDEV.P(Tab.o1[DIF_Target.])),"")</f>
        <v/>
      </c>
      <c r="K536" s="117" t="str">
        <f>IF(Tab.o1[[#This Row],[a1]]=1,IF(J$2=0,Tab.o1[[#This Row],[MOD]]-Tab.o1[[#This Row],[B]],IF(J$2=1,0,-Tab.o1[[#This Row],[MED]])+Tab.o1[[#This Row],[B]]),"")</f>
        <v/>
      </c>
      <c r="L536" s="117" t="str">
        <f ca="1">IF(Tab.o1[[#This Row],[DIF_Target]]=0,IF(L$2=0,Tab.o1[[#This Row],[DIF_Target]],AVERAGE(OFFSET(Tab.o1[[#This Row],[DIF_Target]],1,0,L$3,1)))/3,Tab.o1[[#This Row],[DIF_Target]])</f>
        <v/>
      </c>
      <c r="M536" s="118" t="str">
        <f>IF(Tab.o1[[#This Row],[a1]]=1,NORMSDIST(Tab.o1[[#This Row],[Za]]),"")</f>
        <v/>
      </c>
      <c r="N536" s="119" t="str">
        <f>IF(Tab.o1[[#This Row],[a1]]=1,((Tab.o1[[#This Row],[MedMod]]-AVERAGE(Tab.o1[MedMod]))/_xlfn.STDEV.P(Tab.o1[MedMod])*H$1205)+G$1205,"")</f>
        <v/>
      </c>
      <c r="O536" s="141" t="str">
        <f>IF(Tab.o1[[#This Row],[a1]]=1,Tab.o1[[#This Row],[Zb]]*_xlfn.STDEV.P(Tab.o1[MedMod])+AVERAGE(Tab.o1[MedMod]),"")</f>
        <v/>
      </c>
      <c r="P536" s="117" t="str">
        <f ca="1">IF(Tab.o1[[#This Row],[B]]=0,AVERAGE(OFFSET(Tab.o1[[#This Row],[B]],1,0,L$3,1)),Tab.o1[[#This Row],[B]])</f>
        <v/>
      </c>
      <c r="Q536" s="121" t="str">
        <f>IF(Tab.o1[[#This Row],[a1]]=1,NORMSDIST(Tab.o1[[#This Row],[Zb]]),"")</f>
        <v/>
      </c>
      <c r="R536" s="122" t="str">
        <f>IF(Tab.o1[[#This Row],[a1]]=1,((Tab.o1[[#This Row],[MedMod]]-AVERAGE(Tab.o1[MedMod]))/_xlfn.STDEV.P(Tab.o1[MedMod])*H$1203)+G$1203,"")</f>
        <v/>
      </c>
      <c r="S536" s="122" t="str">
        <f>IF(Tab.o1[[#This Row],[a1]]=1,((Tab.o1[[#This Row],[MedMod]]-AVERAGE(Tab.o1[MedMod]))/_xlfn.STDEV.P(Tab.o1[MedMod])*H$1204)+G$1204,"")</f>
        <v/>
      </c>
      <c r="T536" s="123" t="str">
        <f>IF(Tab.o1[[#This Row],[a1]]=1,Tab.o1[[#This Row],[Z-]]*_xlfn.STDEV.P(Tab.o1[B])+AVERAGE(Tab.o1[B]),"")</f>
        <v/>
      </c>
      <c r="U536" s="123" t="str">
        <f>IF(Tab.o1[[#This Row],[a1]]=1,Tab.o1[[#This Row],[z+]]*_xlfn.STDEV.P(Tab.o1[B])+AVERAGE(Tab.o1[B]),"")</f>
        <v/>
      </c>
      <c r="V536" s="124" t="str">
        <f>IF(Tab.o1[[#This Row],[a1]]=1,ABS((ABS(Tab.o1[[#This Row],[Red]]-Tab.o1[[#This Row],[Blue]]))),"")</f>
        <v/>
      </c>
      <c r="W536" s="125" t="str">
        <f>IF(Tab.o1[[#This Row],[a1]]=1,IF(W$3=0,1,Tab.o1[[#This Row],[Amp.]]*1/_xlfn.MINIFS(Tab.o1[Amp.],Tab.o1[Amp.],"&lt;&gt;0")),"")</f>
        <v/>
      </c>
      <c r="X536" s="126" t="str">
        <f>IF(Tab.o1[[#This Row],[a1]]=1,IF(ISNUMBER(Tab.o1[[#This Row],[i.]]),NORMDIST(Tab.o1[[#This Row],[Za]],0,1,FALSE)*Tab.o1[[#This Row],[i.]],AP$3),"")</f>
        <v/>
      </c>
      <c r="Y536" s="126" t="str">
        <f>IF(Tab.o1[[#This Row],[a1]]=1,0.01+0.94*Tab.o1[[#This Row],[PDF]]/MAX(Tab.o1[PDF]),"")</f>
        <v/>
      </c>
      <c r="Z536" s="126" t="str">
        <f>IF(Tab.o1[[#This Row],[a1]]=1,0.01+0.94*Tab.o1[[#This Row],[W1_PDF]]/MAX(Tab.o1[W1_PDF]),"")</f>
        <v/>
      </c>
      <c r="AA536" s="118" t="str">
        <f>IF(Tab.o1[[#This Row],[a1]]=1,ABS([1]!T.in.A[[#This Row],[oo6]]),"")</f>
        <v/>
      </c>
      <c r="AB536" s="127" t="str">
        <f>IF(Tab.o1[[#This Row],[a1]]=1,IF(AE$3=0,"",IF(AB$3=0,ABS([1]!T.in.A[[#This Row],[oo9]]),ABS(Tab.o1[[#This Row],[DIF_Target.]]*Tab.o1[[#This Row],[W1_PDF]]))),"")</f>
        <v/>
      </c>
      <c r="AC536" s="127" t="str">
        <f>IF(G$1=1,"",IF(Tab.o1[[#This Row],[a1]]=1,Tab.o1[[#This Row],[Wr]]^2,""))</f>
        <v/>
      </c>
      <c r="AD536" s="118" t="str">
        <f>IF(Tab.o1[[#This Row],[a1]]=1,IF(AE$3=0,"",Tab.o1[[#This Row],[Wr2]]/SUM(Tab.o1[Wr2])),"")</f>
        <v/>
      </c>
      <c r="AE536" s="128" t="str">
        <f>IF(Tab.o1[[#This Row],[a1]]=1,[1]!T.in.A[[#This Row],[oo10]],"")</f>
        <v/>
      </c>
      <c r="AF536" s="118" t="str">
        <f>IF(Tab.o1[[#This Row],[a1]]=1,ABS(Tab.o1[[#This Row],[DIF_Target.]]*Tab.o1[[#This Row],[PDF2]]*Tab.o1[[#This Row],[IN]]),"")</f>
        <v/>
      </c>
      <c r="AG536" s="129" t="str">
        <f>IF(Tab.o1[[#This Row],[a1]]=1,Tab.o1[[#This Row],[rW]]^2,"")</f>
        <v/>
      </c>
      <c r="AH536" s="130" t="str">
        <f>IF(Tab.o1[[#This Row],[a1]]=1,IF(AH$3=0,Tab.o1[[#This Row],[rW2]],0.01+0.94*Tab.o1[[#This Row],[rW2]]/SUM(Tab.o1[rW2])),"")</f>
        <v/>
      </c>
      <c r="AI536" s="128" t="str">
        <f>IF(Tab.o1[[#This Row],[a1]]=1,1/Tab.o1[[#This Row],[PDF]],"")</f>
        <v/>
      </c>
      <c r="AJ536" s="131" t="str">
        <f>IF(Tab.o1[[#This Row],[a1]]=1,[1]!T_AA[[#This Row],[IN'']]*[1]!T_AA[[#This Row],[Qde'']],"")</f>
        <v/>
      </c>
      <c r="AK536" s="132" t="str">
        <f>IF(Tab.o1[[#This Row],[a1]]=1,IF(AK$1=1,Tab.o1[[#This Row],[MED]]+Tab.o1[[#This Row],[MOD]]-Tab.o1[[#This Row],[MED]],""),"")</f>
        <v/>
      </c>
      <c r="AL536" s="133" t="str">
        <f>IF(Tab.o1[[#This Row],[a1]]=1,[1]!T.in.A[[#This Row],[oo16]],"")</f>
        <v/>
      </c>
      <c r="AM536" s="133" t="str">
        <f>IF(Tab.o1[[#This Row],[a1]]=1,IF(AM$3=1,[1]!T.in.A[[#This Row],[Σo16]],""),"")</f>
        <v/>
      </c>
      <c r="AN536" s="126" t="str">
        <f>IF(Tab.o1[[#This Row],[a1]]=1,[1]!T.in.A[[#This Row],[Σp5]],"")</f>
        <v/>
      </c>
      <c r="AO536" s="126" t="str">
        <f>IF(Tab.o1[[#This Row],[a1]]=1,IF(AO$3=1,[1]!T.in.A[[#This Row],[Σp5]],""),"")</f>
        <v/>
      </c>
      <c r="AP536" s="110" t="str">
        <f>IF(Tab.o1[[#This Row],[a1]]=1,IF(ISNUMBER(Tab.o1[[#This Row],[i.]]),NORMDIST(Tab.o1[[#This Row],[Za]],0,1,FALSE)*Tab.o1[[#This Row],[i.]],0),"")</f>
        <v/>
      </c>
      <c r="AQ536" s="125" t="str">
        <f>IF(Tab.o1[[#This Row],[a1]]=1,ABS(Tab.o1[[#This Row],[MOD]]-AVERAGE(Tab.o1[MOD])),"")</f>
        <v/>
      </c>
      <c r="AR536" s="134" t="str">
        <f>IF(Tab.o1[[#This Row],[a1]]=1,Tab.o1[[#This Row],[OBS]]/SUM(Tab.o1[OBS]),"")</f>
        <v/>
      </c>
      <c r="AS536" s="135" t="str">
        <f>IF(ISNUMBER(Tab.o1[[#This Row],[a1]]),ROW()-4,"")</f>
        <v/>
      </c>
      <c r="AT536" s="136" t="str">
        <f>Tab.o1[[#This Row],[MOD]]</f>
        <v/>
      </c>
      <c r="AU536" s="137" t="str">
        <f t="shared" si="33"/>
        <v/>
      </c>
      <c r="AV536" s="138" t="str">
        <f t="shared" si="34"/>
        <v/>
      </c>
      <c r="AW536" s="138" t="str">
        <f t="shared" si="35"/>
        <v/>
      </c>
      <c r="AX536" s="139" t="str">
        <f>[1]!T.in.A[[#This Row],[ID_T_manu]]</f>
        <v/>
      </c>
      <c r="AY536" s="140" t="str">
        <f>IF(ISNUMBER(Tab.o1[[#This Row],[a1]]),IF(AND(Tab.o1[[#This Row],[a1]]=1,Tab.o1[[#This Row],[b1]]&lt;=AY$4),#REF!,AY535),"")</f>
        <v/>
      </c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</row>
    <row r="537" spans="1:79" ht="15.75" hidden="1">
      <c r="A537" s="109">
        <v>5.9999999999999993E-6</v>
      </c>
      <c r="B537" s="110">
        <f t="shared" si="32"/>
        <v>537</v>
      </c>
      <c r="C537" s="111" t="str">
        <f>IF(C$1=[1]!T.in.A[[#This Row],[oo2]],1,"")</f>
        <v/>
      </c>
      <c r="D537" s="112" t="str">
        <f>IF(Tab.o1[[#This Row],[a1]]=1,IF(SUM(C537:C538)=0,0,IF(SUM(C536:C537)=1,1,IF(SUM(C536:C538)&gt;1,D536+1,0))),"")</f>
        <v/>
      </c>
      <c r="E537" s="113" t="str">
        <f>IF(Tab.o1[[#This Row],[a1]]=1,[1]!T.in.A[[#This Row],[oo1]],"")</f>
        <v/>
      </c>
      <c r="F537" s="113" t="str">
        <f>IF(Tab.o1[[#This Row],[a1]]=1,[1]!T.in.A[[#This Row],[pp1]],"")</f>
        <v/>
      </c>
      <c r="G537" s="114" t="str">
        <f>IF(Tab.o1[[#This Row],[a1]]=1,G$2+IF(G$1=1,0,Tab.o1[[#This Row],[.x1]])+[1]!T.in.A[[#This Row],[oo3]],"")</f>
        <v/>
      </c>
      <c r="H537" s="115" t="str">
        <f>IF(Tab.o1[[#This Row],[a1]]=1,IF(H$2=0,0,IF(G$1=1,0,Tab.o1[[#This Row],[.x1]])+[1]!T.in.A[[#This Row],[oo4]]),"")</f>
        <v/>
      </c>
      <c r="I537" s="116" t="str">
        <f>IF(Tab.o1[[#This Row],[a1]]=1,IF(J$2=0,Tab.o1[[#This Row],[MED]],Tab.o1[[#This Row],[MOD]]),"")</f>
        <v/>
      </c>
      <c r="J537" s="116" t="str">
        <f>IF(Tab.o1[[#This Row],[a1]]=1,((Tab.o1[[#This Row],[DIF_Target.]]-AVERAGE(Tab.o1[DIF_Target.]))/_xlfn.STDEV.P(Tab.o1[DIF_Target.])),"")</f>
        <v/>
      </c>
      <c r="K537" s="117" t="str">
        <f>IF(Tab.o1[[#This Row],[a1]]=1,IF(J$2=0,Tab.o1[[#This Row],[MOD]]-Tab.o1[[#This Row],[B]],IF(J$2=1,0,-Tab.o1[[#This Row],[MED]])+Tab.o1[[#This Row],[B]]),"")</f>
        <v/>
      </c>
      <c r="L537" s="117" t="str">
        <f ca="1">IF(Tab.o1[[#This Row],[DIF_Target]]=0,IF(L$2=0,Tab.o1[[#This Row],[DIF_Target]],AVERAGE(OFFSET(Tab.o1[[#This Row],[DIF_Target]],1,0,L$3,1)))/3,Tab.o1[[#This Row],[DIF_Target]])</f>
        <v/>
      </c>
      <c r="M537" s="118" t="str">
        <f>IF(Tab.o1[[#This Row],[a1]]=1,NORMSDIST(Tab.o1[[#This Row],[Za]]),"")</f>
        <v/>
      </c>
      <c r="N537" s="119" t="str">
        <f>IF(Tab.o1[[#This Row],[a1]]=1,((Tab.o1[[#This Row],[MedMod]]-AVERAGE(Tab.o1[MedMod]))/_xlfn.STDEV.P(Tab.o1[MedMod])*H$1205)+G$1205,"")</f>
        <v/>
      </c>
      <c r="O537" s="141" t="str">
        <f>IF(Tab.o1[[#This Row],[a1]]=1,Tab.o1[[#This Row],[Zb]]*_xlfn.STDEV.P(Tab.o1[MedMod])+AVERAGE(Tab.o1[MedMod]),"")</f>
        <v/>
      </c>
      <c r="P537" s="117" t="str">
        <f ca="1">IF(Tab.o1[[#This Row],[B]]=0,AVERAGE(OFFSET(Tab.o1[[#This Row],[B]],1,0,L$3,1)),Tab.o1[[#This Row],[B]])</f>
        <v/>
      </c>
      <c r="Q537" s="121" t="str">
        <f>IF(Tab.o1[[#This Row],[a1]]=1,NORMSDIST(Tab.o1[[#This Row],[Zb]]),"")</f>
        <v/>
      </c>
      <c r="R537" s="122" t="str">
        <f>IF(Tab.o1[[#This Row],[a1]]=1,((Tab.o1[[#This Row],[MedMod]]-AVERAGE(Tab.o1[MedMod]))/_xlfn.STDEV.P(Tab.o1[MedMod])*H$1203)+G$1203,"")</f>
        <v/>
      </c>
      <c r="S537" s="122" t="str">
        <f>IF(Tab.o1[[#This Row],[a1]]=1,((Tab.o1[[#This Row],[MedMod]]-AVERAGE(Tab.o1[MedMod]))/_xlfn.STDEV.P(Tab.o1[MedMod])*H$1204)+G$1204,"")</f>
        <v/>
      </c>
      <c r="T537" s="123" t="str">
        <f>IF(Tab.o1[[#This Row],[a1]]=1,Tab.o1[[#This Row],[Z-]]*_xlfn.STDEV.P(Tab.o1[B])+AVERAGE(Tab.o1[B]),"")</f>
        <v/>
      </c>
      <c r="U537" s="123" t="str">
        <f>IF(Tab.o1[[#This Row],[a1]]=1,Tab.o1[[#This Row],[z+]]*_xlfn.STDEV.P(Tab.o1[B])+AVERAGE(Tab.o1[B]),"")</f>
        <v/>
      </c>
      <c r="V537" s="124" t="str">
        <f>IF(Tab.o1[[#This Row],[a1]]=1,ABS((ABS(Tab.o1[[#This Row],[Red]]-Tab.o1[[#This Row],[Blue]]))),"")</f>
        <v/>
      </c>
      <c r="W537" s="125" t="str">
        <f>IF(Tab.o1[[#This Row],[a1]]=1,IF(W$3=0,1,Tab.o1[[#This Row],[Amp.]]*1/_xlfn.MINIFS(Tab.o1[Amp.],Tab.o1[Amp.],"&lt;&gt;0")),"")</f>
        <v/>
      </c>
      <c r="X537" s="126" t="str">
        <f>IF(Tab.o1[[#This Row],[a1]]=1,IF(ISNUMBER(Tab.o1[[#This Row],[i.]]),NORMDIST(Tab.o1[[#This Row],[Za]],0,1,FALSE)*Tab.o1[[#This Row],[i.]],AP$3),"")</f>
        <v/>
      </c>
      <c r="Y537" s="126" t="str">
        <f>IF(Tab.o1[[#This Row],[a1]]=1,0.01+0.94*Tab.o1[[#This Row],[PDF]]/MAX(Tab.o1[PDF]),"")</f>
        <v/>
      </c>
      <c r="Z537" s="126" t="str">
        <f>IF(Tab.o1[[#This Row],[a1]]=1,0.01+0.94*Tab.o1[[#This Row],[W1_PDF]]/MAX(Tab.o1[W1_PDF]),"")</f>
        <v/>
      </c>
      <c r="AA537" s="118" t="str">
        <f>IF(Tab.o1[[#This Row],[a1]]=1,ABS([1]!T.in.A[[#This Row],[oo6]]),"")</f>
        <v/>
      </c>
      <c r="AB537" s="127" t="str">
        <f>IF(Tab.o1[[#This Row],[a1]]=1,IF(AE$3=0,"",IF(AB$3=0,ABS([1]!T.in.A[[#This Row],[oo9]]),ABS(Tab.o1[[#This Row],[DIF_Target.]]*Tab.o1[[#This Row],[W1_PDF]]))),"")</f>
        <v/>
      </c>
      <c r="AC537" s="127" t="str">
        <f>IF(G$1=1,"",IF(Tab.o1[[#This Row],[a1]]=1,Tab.o1[[#This Row],[Wr]]^2,""))</f>
        <v/>
      </c>
      <c r="AD537" s="118" t="str">
        <f>IF(Tab.o1[[#This Row],[a1]]=1,IF(AE$3=0,"",Tab.o1[[#This Row],[Wr2]]/SUM(Tab.o1[Wr2])),"")</f>
        <v/>
      </c>
      <c r="AE537" s="128" t="str">
        <f>IF(Tab.o1[[#This Row],[a1]]=1,[1]!T.in.A[[#This Row],[oo10]],"")</f>
        <v/>
      </c>
      <c r="AF537" s="118" t="str">
        <f>IF(Tab.o1[[#This Row],[a1]]=1,ABS(Tab.o1[[#This Row],[DIF_Target.]]*Tab.o1[[#This Row],[PDF2]]*Tab.o1[[#This Row],[IN]]),"")</f>
        <v/>
      </c>
      <c r="AG537" s="129" t="str">
        <f>IF(Tab.o1[[#This Row],[a1]]=1,Tab.o1[[#This Row],[rW]]^2,"")</f>
        <v/>
      </c>
      <c r="AH537" s="130" t="str">
        <f>IF(Tab.o1[[#This Row],[a1]]=1,IF(AH$3=0,Tab.o1[[#This Row],[rW2]],0.01+0.94*Tab.o1[[#This Row],[rW2]]/SUM(Tab.o1[rW2])),"")</f>
        <v/>
      </c>
      <c r="AI537" s="128" t="str">
        <f>IF(Tab.o1[[#This Row],[a1]]=1,1/Tab.o1[[#This Row],[PDF]],"")</f>
        <v/>
      </c>
      <c r="AJ537" s="131" t="str">
        <f>IF(Tab.o1[[#This Row],[a1]]=1,[1]!T_AA[[#This Row],[IN'']]*[1]!T_AA[[#This Row],[Qde'']],"")</f>
        <v/>
      </c>
      <c r="AK537" s="132" t="str">
        <f>IF(Tab.o1[[#This Row],[a1]]=1,IF(AK$1=1,Tab.o1[[#This Row],[MED]]+Tab.o1[[#This Row],[MOD]]-Tab.o1[[#This Row],[MED]],""),"")</f>
        <v/>
      </c>
      <c r="AL537" s="133" t="str">
        <f>IF(Tab.o1[[#This Row],[a1]]=1,[1]!T.in.A[[#This Row],[oo16]],"")</f>
        <v/>
      </c>
      <c r="AM537" s="133" t="str">
        <f>IF(Tab.o1[[#This Row],[a1]]=1,IF(AM$3=1,[1]!T.in.A[[#This Row],[Σo16]],""),"")</f>
        <v/>
      </c>
      <c r="AN537" s="126" t="str">
        <f>IF(Tab.o1[[#This Row],[a1]]=1,[1]!T.in.A[[#This Row],[Σp5]],"")</f>
        <v/>
      </c>
      <c r="AO537" s="126" t="str">
        <f>IF(Tab.o1[[#This Row],[a1]]=1,IF(AO$3=1,[1]!T.in.A[[#This Row],[Σp5]],""),"")</f>
        <v/>
      </c>
      <c r="AP537" s="110" t="str">
        <f>IF(Tab.o1[[#This Row],[a1]]=1,IF(ISNUMBER(Tab.o1[[#This Row],[i.]]),NORMDIST(Tab.o1[[#This Row],[Za]],0,1,FALSE)*Tab.o1[[#This Row],[i.]],0),"")</f>
        <v/>
      </c>
      <c r="AQ537" s="125" t="str">
        <f>IF(Tab.o1[[#This Row],[a1]]=1,ABS(Tab.o1[[#This Row],[MOD]]-AVERAGE(Tab.o1[MOD])),"")</f>
        <v/>
      </c>
      <c r="AR537" s="134" t="str">
        <f>IF(Tab.o1[[#This Row],[a1]]=1,Tab.o1[[#This Row],[OBS]]/SUM(Tab.o1[OBS]),"")</f>
        <v/>
      </c>
      <c r="AS537" s="135" t="str">
        <f>IF(ISNUMBER(Tab.o1[[#This Row],[a1]]),ROW()-4,"")</f>
        <v/>
      </c>
      <c r="AT537" s="136" t="str">
        <f>Tab.o1[[#This Row],[MOD]]</f>
        <v/>
      </c>
      <c r="AU537" s="137" t="str">
        <f t="shared" si="33"/>
        <v/>
      </c>
      <c r="AV537" s="138" t="str">
        <f t="shared" si="34"/>
        <v/>
      </c>
      <c r="AW537" s="138" t="str">
        <f t="shared" si="35"/>
        <v/>
      </c>
      <c r="AX537" s="139" t="str">
        <f>[1]!T.in.A[[#This Row],[ID_T_manu]]</f>
        <v/>
      </c>
      <c r="AY537" s="140" t="str">
        <f>IF(ISNUMBER(Tab.o1[[#This Row],[a1]]),IF(AND(Tab.o1[[#This Row],[a1]]=1,Tab.o1[[#This Row],[b1]]&lt;=AY$4),#REF!,AY536),"")</f>
        <v/>
      </c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</row>
    <row r="538" spans="1:79" ht="15.75" hidden="1">
      <c r="A538" s="109">
        <v>5.9999999999999993E-6</v>
      </c>
      <c r="B538" s="110">
        <f t="shared" si="32"/>
        <v>538</v>
      </c>
      <c r="C538" s="111" t="str">
        <f>IF(C$1=[1]!T.in.A[[#This Row],[oo2]],1,"")</f>
        <v/>
      </c>
      <c r="D538" s="112" t="str">
        <f>IF(Tab.o1[[#This Row],[a1]]=1,IF(SUM(C538:C539)=0,0,IF(SUM(C537:C538)=1,1,IF(SUM(C537:C539)&gt;1,D537+1,0))),"")</f>
        <v/>
      </c>
      <c r="E538" s="113" t="str">
        <f>IF(Tab.o1[[#This Row],[a1]]=1,[1]!T.in.A[[#This Row],[oo1]],"")</f>
        <v/>
      </c>
      <c r="F538" s="113" t="str">
        <f>IF(Tab.o1[[#This Row],[a1]]=1,[1]!T.in.A[[#This Row],[pp1]],"")</f>
        <v/>
      </c>
      <c r="G538" s="114" t="str">
        <f>IF(Tab.o1[[#This Row],[a1]]=1,G$2+IF(G$1=1,0,Tab.o1[[#This Row],[.x1]])+[1]!T.in.A[[#This Row],[oo3]],"")</f>
        <v/>
      </c>
      <c r="H538" s="115" t="str">
        <f>IF(Tab.o1[[#This Row],[a1]]=1,IF(H$2=0,0,IF(G$1=1,0,Tab.o1[[#This Row],[.x1]])+[1]!T.in.A[[#This Row],[oo4]]),"")</f>
        <v/>
      </c>
      <c r="I538" s="116" t="str">
        <f>IF(Tab.o1[[#This Row],[a1]]=1,IF(J$2=0,Tab.o1[[#This Row],[MED]],Tab.o1[[#This Row],[MOD]]),"")</f>
        <v/>
      </c>
      <c r="J538" s="116" t="str">
        <f>IF(Tab.o1[[#This Row],[a1]]=1,((Tab.o1[[#This Row],[DIF_Target.]]-AVERAGE(Tab.o1[DIF_Target.]))/_xlfn.STDEV.P(Tab.o1[DIF_Target.])),"")</f>
        <v/>
      </c>
      <c r="K538" s="117" t="str">
        <f>IF(Tab.o1[[#This Row],[a1]]=1,IF(J$2=0,Tab.o1[[#This Row],[MOD]]-Tab.o1[[#This Row],[B]],IF(J$2=1,0,-Tab.o1[[#This Row],[MED]])+Tab.o1[[#This Row],[B]]),"")</f>
        <v/>
      </c>
      <c r="L538" s="117" t="str">
        <f ca="1">IF(Tab.o1[[#This Row],[DIF_Target]]=0,IF(L$2=0,Tab.o1[[#This Row],[DIF_Target]],AVERAGE(OFFSET(Tab.o1[[#This Row],[DIF_Target]],1,0,L$3,1)))/3,Tab.o1[[#This Row],[DIF_Target]])</f>
        <v/>
      </c>
      <c r="M538" s="118" t="str">
        <f>IF(Tab.o1[[#This Row],[a1]]=1,NORMSDIST(Tab.o1[[#This Row],[Za]]),"")</f>
        <v/>
      </c>
      <c r="N538" s="119" t="str">
        <f>IF(Tab.o1[[#This Row],[a1]]=1,((Tab.o1[[#This Row],[MedMod]]-AVERAGE(Tab.o1[MedMod]))/_xlfn.STDEV.P(Tab.o1[MedMod])*H$1205)+G$1205,"")</f>
        <v/>
      </c>
      <c r="O538" s="141" t="str">
        <f>IF(Tab.o1[[#This Row],[a1]]=1,Tab.o1[[#This Row],[Zb]]*_xlfn.STDEV.P(Tab.o1[MedMod])+AVERAGE(Tab.o1[MedMod]),"")</f>
        <v/>
      </c>
      <c r="P538" s="117" t="str">
        <f ca="1">IF(Tab.o1[[#This Row],[B]]=0,AVERAGE(OFFSET(Tab.o1[[#This Row],[B]],1,0,L$3,1)),Tab.o1[[#This Row],[B]])</f>
        <v/>
      </c>
      <c r="Q538" s="121" t="str">
        <f>IF(Tab.o1[[#This Row],[a1]]=1,NORMSDIST(Tab.o1[[#This Row],[Zb]]),"")</f>
        <v/>
      </c>
      <c r="R538" s="122" t="str">
        <f>IF(Tab.o1[[#This Row],[a1]]=1,((Tab.o1[[#This Row],[MedMod]]-AVERAGE(Tab.o1[MedMod]))/_xlfn.STDEV.P(Tab.o1[MedMod])*H$1203)+G$1203,"")</f>
        <v/>
      </c>
      <c r="S538" s="122" t="str">
        <f>IF(Tab.o1[[#This Row],[a1]]=1,((Tab.o1[[#This Row],[MedMod]]-AVERAGE(Tab.o1[MedMod]))/_xlfn.STDEV.P(Tab.o1[MedMod])*H$1204)+G$1204,"")</f>
        <v/>
      </c>
      <c r="T538" s="123" t="str">
        <f>IF(Tab.o1[[#This Row],[a1]]=1,Tab.o1[[#This Row],[Z-]]*_xlfn.STDEV.P(Tab.o1[B])+AVERAGE(Tab.o1[B]),"")</f>
        <v/>
      </c>
      <c r="U538" s="123" t="str">
        <f>IF(Tab.o1[[#This Row],[a1]]=1,Tab.o1[[#This Row],[z+]]*_xlfn.STDEV.P(Tab.o1[B])+AVERAGE(Tab.o1[B]),"")</f>
        <v/>
      </c>
      <c r="V538" s="124" t="str">
        <f>IF(Tab.o1[[#This Row],[a1]]=1,ABS((ABS(Tab.o1[[#This Row],[Red]]-Tab.o1[[#This Row],[Blue]]))),"")</f>
        <v/>
      </c>
      <c r="W538" s="125" t="str">
        <f>IF(Tab.o1[[#This Row],[a1]]=1,IF(W$3=0,1,Tab.o1[[#This Row],[Amp.]]*1/_xlfn.MINIFS(Tab.o1[Amp.],Tab.o1[Amp.],"&lt;&gt;0")),"")</f>
        <v/>
      </c>
      <c r="X538" s="126" t="str">
        <f>IF(Tab.o1[[#This Row],[a1]]=1,IF(ISNUMBER(Tab.o1[[#This Row],[i.]]),NORMDIST(Tab.o1[[#This Row],[Za]],0,1,FALSE)*Tab.o1[[#This Row],[i.]],AP$3),"")</f>
        <v/>
      </c>
      <c r="Y538" s="126" t="str">
        <f>IF(Tab.o1[[#This Row],[a1]]=1,0.01+0.94*Tab.o1[[#This Row],[PDF]]/MAX(Tab.o1[PDF]),"")</f>
        <v/>
      </c>
      <c r="Z538" s="126" t="str">
        <f>IF(Tab.o1[[#This Row],[a1]]=1,0.01+0.94*Tab.o1[[#This Row],[W1_PDF]]/MAX(Tab.o1[W1_PDF]),"")</f>
        <v/>
      </c>
      <c r="AA538" s="118" t="str">
        <f>IF(Tab.o1[[#This Row],[a1]]=1,ABS([1]!T.in.A[[#This Row],[oo6]]),"")</f>
        <v/>
      </c>
      <c r="AB538" s="127" t="str">
        <f>IF(Tab.o1[[#This Row],[a1]]=1,IF(AE$3=0,"",IF(AB$3=0,ABS([1]!T.in.A[[#This Row],[oo9]]),ABS(Tab.o1[[#This Row],[DIF_Target.]]*Tab.o1[[#This Row],[W1_PDF]]))),"")</f>
        <v/>
      </c>
      <c r="AC538" s="127" t="str">
        <f>IF(G$1=1,"",IF(Tab.o1[[#This Row],[a1]]=1,Tab.o1[[#This Row],[Wr]]^2,""))</f>
        <v/>
      </c>
      <c r="AD538" s="118" t="str">
        <f>IF(Tab.o1[[#This Row],[a1]]=1,IF(AE$3=0,"",Tab.o1[[#This Row],[Wr2]]/SUM(Tab.o1[Wr2])),"")</f>
        <v/>
      </c>
      <c r="AE538" s="128" t="str">
        <f>IF(Tab.o1[[#This Row],[a1]]=1,[1]!T.in.A[[#This Row],[oo10]],"")</f>
        <v/>
      </c>
      <c r="AF538" s="118" t="str">
        <f>IF(Tab.o1[[#This Row],[a1]]=1,ABS(Tab.o1[[#This Row],[DIF_Target.]]*Tab.o1[[#This Row],[PDF2]]*Tab.o1[[#This Row],[IN]]),"")</f>
        <v/>
      </c>
      <c r="AG538" s="129" t="str">
        <f>IF(Tab.o1[[#This Row],[a1]]=1,Tab.o1[[#This Row],[rW]]^2,"")</f>
        <v/>
      </c>
      <c r="AH538" s="130" t="str">
        <f>IF(Tab.o1[[#This Row],[a1]]=1,IF(AH$3=0,Tab.o1[[#This Row],[rW2]],0.01+0.94*Tab.o1[[#This Row],[rW2]]/SUM(Tab.o1[rW2])),"")</f>
        <v/>
      </c>
      <c r="AI538" s="128" t="str">
        <f>IF(Tab.o1[[#This Row],[a1]]=1,1/Tab.o1[[#This Row],[PDF]],"")</f>
        <v/>
      </c>
      <c r="AJ538" s="131" t="str">
        <f>IF(Tab.o1[[#This Row],[a1]]=1,[1]!T_AA[[#This Row],[IN'']]*[1]!T_AA[[#This Row],[Qde'']],"")</f>
        <v/>
      </c>
      <c r="AK538" s="132" t="str">
        <f>IF(Tab.o1[[#This Row],[a1]]=1,IF(AK$1=1,Tab.o1[[#This Row],[MED]]+Tab.o1[[#This Row],[MOD]]-Tab.o1[[#This Row],[MED]],""),"")</f>
        <v/>
      </c>
      <c r="AL538" s="133" t="str">
        <f>IF(Tab.o1[[#This Row],[a1]]=1,[1]!T.in.A[[#This Row],[oo16]],"")</f>
        <v/>
      </c>
      <c r="AM538" s="133" t="str">
        <f>IF(Tab.o1[[#This Row],[a1]]=1,IF(AM$3=1,[1]!T.in.A[[#This Row],[Σo16]],""),"")</f>
        <v/>
      </c>
      <c r="AN538" s="126" t="str">
        <f>IF(Tab.o1[[#This Row],[a1]]=1,[1]!T.in.A[[#This Row],[Σp5]],"")</f>
        <v/>
      </c>
      <c r="AO538" s="126" t="str">
        <f>IF(Tab.o1[[#This Row],[a1]]=1,IF(AO$3=1,[1]!T.in.A[[#This Row],[Σp5]],""),"")</f>
        <v/>
      </c>
      <c r="AP538" s="110" t="str">
        <f>IF(Tab.o1[[#This Row],[a1]]=1,IF(ISNUMBER(Tab.o1[[#This Row],[i.]]),NORMDIST(Tab.o1[[#This Row],[Za]],0,1,FALSE)*Tab.o1[[#This Row],[i.]],0),"")</f>
        <v/>
      </c>
      <c r="AQ538" s="125" t="str">
        <f>IF(Tab.o1[[#This Row],[a1]]=1,ABS(Tab.o1[[#This Row],[MOD]]-AVERAGE(Tab.o1[MOD])),"")</f>
        <v/>
      </c>
      <c r="AR538" s="134" t="str">
        <f>IF(Tab.o1[[#This Row],[a1]]=1,Tab.o1[[#This Row],[OBS]]/SUM(Tab.o1[OBS]),"")</f>
        <v/>
      </c>
      <c r="AS538" s="135" t="str">
        <f>IF(ISNUMBER(Tab.o1[[#This Row],[a1]]),ROW()-4,"")</f>
        <v/>
      </c>
      <c r="AT538" s="136" t="str">
        <f>Tab.o1[[#This Row],[MOD]]</f>
        <v/>
      </c>
      <c r="AU538" s="137" t="str">
        <f t="shared" si="33"/>
        <v/>
      </c>
      <c r="AV538" s="138" t="str">
        <f t="shared" si="34"/>
        <v/>
      </c>
      <c r="AW538" s="138" t="str">
        <f t="shared" si="35"/>
        <v/>
      </c>
      <c r="AX538" s="139" t="str">
        <f>[1]!T.in.A[[#This Row],[ID_T_manu]]</f>
        <v/>
      </c>
      <c r="AY538" s="140" t="str">
        <f>IF(ISNUMBER(Tab.o1[[#This Row],[a1]]),IF(AND(Tab.o1[[#This Row],[a1]]=1,Tab.o1[[#This Row],[b1]]&lt;=AY$4),#REF!,AY537),"")</f>
        <v/>
      </c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</row>
    <row r="539" spans="1:79" ht="15.75" hidden="1">
      <c r="A539" s="109">
        <v>-2.9999999999999997E-6</v>
      </c>
      <c r="B539" s="110">
        <f t="shared" si="32"/>
        <v>539</v>
      </c>
      <c r="C539" s="111" t="str">
        <f>IF(C$1=[1]!T.in.A[[#This Row],[oo2]],1,"")</f>
        <v/>
      </c>
      <c r="D539" s="112" t="str">
        <f>IF(Tab.o1[[#This Row],[a1]]=1,IF(SUM(C539:C540)=0,0,IF(SUM(C538:C539)=1,1,IF(SUM(C538:C540)&gt;1,D538+1,0))),"")</f>
        <v/>
      </c>
      <c r="E539" s="113" t="str">
        <f>IF(Tab.o1[[#This Row],[a1]]=1,[1]!T.in.A[[#This Row],[oo1]],"")</f>
        <v/>
      </c>
      <c r="F539" s="113" t="str">
        <f>IF(Tab.o1[[#This Row],[a1]]=1,[1]!T.in.A[[#This Row],[pp1]],"")</f>
        <v/>
      </c>
      <c r="G539" s="114" t="str">
        <f>IF(Tab.o1[[#This Row],[a1]]=1,G$2+IF(G$1=1,0,Tab.o1[[#This Row],[.x1]])+[1]!T.in.A[[#This Row],[oo3]],"")</f>
        <v/>
      </c>
      <c r="H539" s="115" t="str">
        <f>IF(Tab.o1[[#This Row],[a1]]=1,IF(H$2=0,0,IF(G$1=1,0,Tab.o1[[#This Row],[.x1]])+[1]!T.in.A[[#This Row],[oo4]]),"")</f>
        <v/>
      </c>
      <c r="I539" s="116" t="str">
        <f>IF(Tab.o1[[#This Row],[a1]]=1,IF(J$2=0,Tab.o1[[#This Row],[MED]],Tab.o1[[#This Row],[MOD]]),"")</f>
        <v/>
      </c>
      <c r="J539" s="116" t="str">
        <f>IF(Tab.o1[[#This Row],[a1]]=1,((Tab.o1[[#This Row],[DIF_Target.]]-AVERAGE(Tab.o1[DIF_Target.]))/_xlfn.STDEV.P(Tab.o1[DIF_Target.])),"")</f>
        <v/>
      </c>
      <c r="K539" s="117" t="str">
        <f>IF(Tab.o1[[#This Row],[a1]]=1,IF(J$2=0,Tab.o1[[#This Row],[MOD]]-Tab.o1[[#This Row],[B]],IF(J$2=1,0,-Tab.o1[[#This Row],[MED]])+Tab.o1[[#This Row],[B]]),"")</f>
        <v/>
      </c>
      <c r="L539" s="117" t="str">
        <f ca="1">IF(Tab.o1[[#This Row],[DIF_Target]]=0,IF(L$2=0,Tab.o1[[#This Row],[DIF_Target]],AVERAGE(OFFSET(Tab.o1[[#This Row],[DIF_Target]],1,0,L$3,1)))/3,Tab.o1[[#This Row],[DIF_Target]])</f>
        <v/>
      </c>
      <c r="M539" s="118" t="str">
        <f>IF(Tab.o1[[#This Row],[a1]]=1,NORMSDIST(Tab.o1[[#This Row],[Za]]),"")</f>
        <v/>
      </c>
      <c r="N539" s="119" t="str">
        <f>IF(Tab.o1[[#This Row],[a1]]=1,((Tab.o1[[#This Row],[MedMod]]-AVERAGE(Tab.o1[MedMod]))/_xlfn.STDEV.P(Tab.o1[MedMod])*H$1205)+G$1205,"")</f>
        <v/>
      </c>
      <c r="O539" s="141" t="str">
        <f>IF(Tab.o1[[#This Row],[a1]]=1,Tab.o1[[#This Row],[Zb]]*_xlfn.STDEV.P(Tab.o1[MedMod])+AVERAGE(Tab.o1[MedMod]),"")</f>
        <v/>
      </c>
      <c r="P539" s="117" t="str">
        <f ca="1">IF(Tab.o1[[#This Row],[B]]=0,AVERAGE(OFFSET(Tab.o1[[#This Row],[B]],1,0,L$3,1)),Tab.o1[[#This Row],[B]])</f>
        <v/>
      </c>
      <c r="Q539" s="121" t="str">
        <f>IF(Tab.o1[[#This Row],[a1]]=1,NORMSDIST(Tab.o1[[#This Row],[Zb]]),"")</f>
        <v/>
      </c>
      <c r="R539" s="122" t="str">
        <f>IF(Tab.o1[[#This Row],[a1]]=1,((Tab.o1[[#This Row],[MedMod]]-AVERAGE(Tab.o1[MedMod]))/_xlfn.STDEV.P(Tab.o1[MedMod])*H$1203)+G$1203,"")</f>
        <v/>
      </c>
      <c r="S539" s="122" t="str">
        <f>IF(Tab.o1[[#This Row],[a1]]=1,((Tab.o1[[#This Row],[MedMod]]-AVERAGE(Tab.o1[MedMod]))/_xlfn.STDEV.P(Tab.o1[MedMod])*H$1204)+G$1204,"")</f>
        <v/>
      </c>
      <c r="T539" s="123" t="str">
        <f>IF(Tab.o1[[#This Row],[a1]]=1,Tab.o1[[#This Row],[Z-]]*_xlfn.STDEV.P(Tab.o1[B])+AVERAGE(Tab.o1[B]),"")</f>
        <v/>
      </c>
      <c r="U539" s="123" t="str">
        <f>IF(Tab.o1[[#This Row],[a1]]=1,Tab.o1[[#This Row],[z+]]*_xlfn.STDEV.P(Tab.o1[B])+AVERAGE(Tab.o1[B]),"")</f>
        <v/>
      </c>
      <c r="V539" s="124" t="str">
        <f>IF(Tab.o1[[#This Row],[a1]]=1,ABS((ABS(Tab.o1[[#This Row],[Red]]-Tab.o1[[#This Row],[Blue]]))),"")</f>
        <v/>
      </c>
      <c r="W539" s="125" t="str">
        <f>IF(Tab.o1[[#This Row],[a1]]=1,IF(W$3=0,1,Tab.o1[[#This Row],[Amp.]]*1/_xlfn.MINIFS(Tab.o1[Amp.],Tab.o1[Amp.],"&lt;&gt;0")),"")</f>
        <v/>
      </c>
      <c r="X539" s="126" t="str">
        <f>IF(Tab.o1[[#This Row],[a1]]=1,IF(ISNUMBER(Tab.o1[[#This Row],[i.]]),NORMDIST(Tab.o1[[#This Row],[Za]],0,1,FALSE)*Tab.o1[[#This Row],[i.]],AP$3),"")</f>
        <v/>
      </c>
      <c r="Y539" s="126" t="str">
        <f>IF(Tab.o1[[#This Row],[a1]]=1,0.01+0.94*Tab.o1[[#This Row],[PDF]]/MAX(Tab.o1[PDF]),"")</f>
        <v/>
      </c>
      <c r="Z539" s="126" t="str">
        <f>IF(Tab.o1[[#This Row],[a1]]=1,0.01+0.94*Tab.o1[[#This Row],[W1_PDF]]/MAX(Tab.o1[W1_PDF]),"")</f>
        <v/>
      </c>
      <c r="AA539" s="118" t="str">
        <f>IF(Tab.o1[[#This Row],[a1]]=1,ABS([1]!T.in.A[[#This Row],[oo6]]),"")</f>
        <v/>
      </c>
      <c r="AB539" s="127" t="str">
        <f>IF(Tab.o1[[#This Row],[a1]]=1,IF(AE$3=0,"",IF(AB$3=0,ABS([1]!T.in.A[[#This Row],[oo9]]),ABS(Tab.o1[[#This Row],[DIF_Target.]]*Tab.o1[[#This Row],[W1_PDF]]))),"")</f>
        <v/>
      </c>
      <c r="AC539" s="127" t="str">
        <f>IF(G$1=1,"",IF(Tab.o1[[#This Row],[a1]]=1,Tab.o1[[#This Row],[Wr]]^2,""))</f>
        <v/>
      </c>
      <c r="AD539" s="118" t="str">
        <f>IF(Tab.o1[[#This Row],[a1]]=1,IF(AE$3=0,"",Tab.o1[[#This Row],[Wr2]]/SUM(Tab.o1[Wr2])),"")</f>
        <v/>
      </c>
      <c r="AE539" s="128" t="str">
        <f>IF(Tab.o1[[#This Row],[a1]]=1,[1]!T.in.A[[#This Row],[oo10]],"")</f>
        <v/>
      </c>
      <c r="AF539" s="118" t="str">
        <f>IF(Tab.o1[[#This Row],[a1]]=1,ABS(Tab.o1[[#This Row],[DIF_Target.]]*Tab.o1[[#This Row],[PDF2]]*Tab.o1[[#This Row],[IN]]),"")</f>
        <v/>
      </c>
      <c r="AG539" s="129" t="str">
        <f>IF(Tab.o1[[#This Row],[a1]]=1,Tab.o1[[#This Row],[rW]]^2,"")</f>
        <v/>
      </c>
      <c r="AH539" s="130" t="str">
        <f>IF(Tab.o1[[#This Row],[a1]]=1,IF(AH$3=0,Tab.o1[[#This Row],[rW2]],0.01+0.94*Tab.o1[[#This Row],[rW2]]/SUM(Tab.o1[rW2])),"")</f>
        <v/>
      </c>
      <c r="AI539" s="128" t="str">
        <f>IF(Tab.o1[[#This Row],[a1]]=1,1/Tab.o1[[#This Row],[PDF]],"")</f>
        <v/>
      </c>
      <c r="AJ539" s="131" t="str">
        <f>IF(Tab.o1[[#This Row],[a1]]=1,[1]!T_AA[[#This Row],[IN'']]*[1]!T_AA[[#This Row],[Qde'']],"")</f>
        <v/>
      </c>
      <c r="AK539" s="132" t="str">
        <f>IF(Tab.o1[[#This Row],[a1]]=1,IF(AK$1=1,Tab.o1[[#This Row],[MED]]+Tab.o1[[#This Row],[MOD]]-Tab.o1[[#This Row],[MED]],""),"")</f>
        <v/>
      </c>
      <c r="AL539" s="133" t="str">
        <f>IF(Tab.o1[[#This Row],[a1]]=1,[1]!T.in.A[[#This Row],[oo16]],"")</f>
        <v/>
      </c>
      <c r="AM539" s="133" t="str">
        <f>IF(Tab.o1[[#This Row],[a1]]=1,IF(AM$3=1,[1]!T.in.A[[#This Row],[Σo16]],""),"")</f>
        <v/>
      </c>
      <c r="AN539" s="126" t="str">
        <f>IF(Tab.o1[[#This Row],[a1]]=1,[1]!T.in.A[[#This Row],[Σp5]],"")</f>
        <v/>
      </c>
      <c r="AO539" s="126" t="str">
        <f>IF(Tab.o1[[#This Row],[a1]]=1,IF(AO$3=1,[1]!T.in.A[[#This Row],[Σp5]],""),"")</f>
        <v/>
      </c>
      <c r="AP539" s="110" t="str">
        <f>IF(Tab.o1[[#This Row],[a1]]=1,IF(ISNUMBER(Tab.o1[[#This Row],[i.]]),NORMDIST(Tab.o1[[#This Row],[Za]],0,1,FALSE)*Tab.o1[[#This Row],[i.]],0),"")</f>
        <v/>
      </c>
      <c r="AQ539" s="125" t="str">
        <f>IF(Tab.o1[[#This Row],[a1]]=1,ABS(Tab.o1[[#This Row],[MOD]]-AVERAGE(Tab.o1[MOD])),"")</f>
        <v/>
      </c>
      <c r="AR539" s="134" t="str">
        <f>IF(Tab.o1[[#This Row],[a1]]=1,Tab.o1[[#This Row],[OBS]]/SUM(Tab.o1[OBS]),"")</f>
        <v/>
      </c>
      <c r="AS539" s="135" t="str">
        <f>IF(ISNUMBER(Tab.o1[[#This Row],[a1]]),ROW()-4,"")</f>
        <v/>
      </c>
      <c r="AT539" s="136" t="str">
        <f>Tab.o1[[#This Row],[MOD]]</f>
        <v/>
      </c>
      <c r="AU539" s="137" t="str">
        <f t="shared" si="33"/>
        <v/>
      </c>
      <c r="AV539" s="138" t="str">
        <f t="shared" si="34"/>
        <v/>
      </c>
      <c r="AW539" s="138" t="str">
        <f t="shared" si="35"/>
        <v/>
      </c>
      <c r="AX539" s="139" t="str">
        <f>[1]!T.in.A[[#This Row],[ID_T_manu]]</f>
        <v/>
      </c>
      <c r="AY539" s="140" t="str">
        <f>IF(ISNUMBER(Tab.o1[[#This Row],[a1]]),IF(AND(Tab.o1[[#This Row],[a1]]=1,Tab.o1[[#This Row],[b1]]&lt;=AY$4),#REF!,AY538),"")</f>
        <v/>
      </c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</row>
    <row r="540" spans="1:79" ht="15.75" hidden="1">
      <c r="A540" s="109">
        <v>-1.0000000000000002E-6</v>
      </c>
      <c r="B540" s="110">
        <f t="shared" si="32"/>
        <v>540</v>
      </c>
      <c r="C540" s="111" t="str">
        <f>IF(C$1=[1]!T.in.A[[#This Row],[oo2]],1,"")</f>
        <v/>
      </c>
      <c r="D540" s="112" t="str">
        <f>IF(Tab.o1[[#This Row],[a1]]=1,IF(SUM(C540:C541)=0,0,IF(SUM(C539:C540)=1,1,IF(SUM(C539:C541)&gt;1,D539+1,0))),"")</f>
        <v/>
      </c>
      <c r="E540" s="113" t="str">
        <f>IF(Tab.o1[[#This Row],[a1]]=1,[1]!T.in.A[[#This Row],[oo1]],"")</f>
        <v/>
      </c>
      <c r="F540" s="113" t="str">
        <f>IF(Tab.o1[[#This Row],[a1]]=1,[1]!T.in.A[[#This Row],[pp1]],"")</f>
        <v/>
      </c>
      <c r="G540" s="114" t="str">
        <f>IF(Tab.o1[[#This Row],[a1]]=1,G$2+IF(G$1=1,0,Tab.o1[[#This Row],[.x1]])+[1]!T.in.A[[#This Row],[oo3]],"")</f>
        <v/>
      </c>
      <c r="H540" s="115" t="str">
        <f>IF(Tab.o1[[#This Row],[a1]]=1,IF(H$2=0,0,IF(G$1=1,0,Tab.o1[[#This Row],[.x1]])+[1]!T.in.A[[#This Row],[oo4]]),"")</f>
        <v/>
      </c>
      <c r="I540" s="116" t="str">
        <f>IF(Tab.o1[[#This Row],[a1]]=1,IF(J$2=0,Tab.o1[[#This Row],[MED]],Tab.o1[[#This Row],[MOD]]),"")</f>
        <v/>
      </c>
      <c r="J540" s="116" t="str">
        <f>IF(Tab.o1[[#This Row],[a1]]=1,((Tab.o1[[#This Row],[DIF_Target.]]-AVERAGE(Tab.o1[DIF_Target.]))/_xlfn.STDEV.P(Tab.o1[DIF_Target.])),"")</f>
        <v/>
      </c>
      <c r="K540" s="117" t="str">
        <f>IF(Tab.o1[[#This Row],[a1]]=1,IF(J$2=0,Tab.o1[[#This Row],[MOD]]-Tab.o1[[#This Row],[B]],IF(J$2=1,0,-Tab.o1[[#This Row],[MED]])+Tab.o1[[#This Row],[B]]),"")</f>
        <v/>
      </c>
      <c r="L540" s="117" t="str">
        <f ca="1">IF(Tab.o1[[#This Row],[DIF_Target]]=0,IF(L$2=0,Tab.o1[[#This Row],[DIF_Target]],AVERAGE(OFFSET(Tab.o1[[#This Row],[DIF_Target]],1,0,L$3,1)))/3,Tab.o1[[#This Row],[DIF_Target]])</f>
        <v/>
      </c>
      <c r="M540" s="118" t="str">
        <f>IF(Tab.o1[[#This Row],[a1]]=1,NORMSDIST(Tab.o1[[#This Row],[Za]]),"")</f>
        <v/>
      </c>
      <c r="N540" s="119" t="str">
        <f>IF(Tab.o1[[#This Row],[a1]]=1,((Tab.o1[[#This Row],[MedMod]]-AVERAGE(Tab.o1[MedMod]))/_xlfn.STDEV.P(Tab.o1[MedMod])*H$1205)+G$1205,"")</f>
        <v/>
      </c>
      <c r="O540" s="141" t="str">
        <f>IF(Tab.o1[[#This Row],[a1]]=1,Tab.o1[[#This Row],[Zb]]*_xlfn.STDEV.P(Tab.o1[MedMod])+AVERAGE(Tab.o1[MedMod]),"")</f>
        <v/>
      </c>
      <c r="P540" s="117" t="str">
        <f ca="1">IF(Tab.o1[[#This Row],[B]]=0,AVERAGE(OFFSET(Tab.o1[[#This Row],[B]],1,0,L$3,1)),Tab.o1[[#This Row],[B]])</f>
        <v/>
      </c>
      <c r="Q540" s="121" t="str">
        <f>IF(Tab.o1[[#This Row],[a1]]=1,NORMSDIST(Tab.o1[[#This Row],[Zb]]),"")</f>
        <v/>
      </c>
      <c r="R540" s="122" t="str">
        <f>IF(Tab.o1[[#This Row],[a1]]=1,((Tab.o1[[#This Row],[MedMod]]-AVERAGE(Tab.o1[MedMod]))/_xlfn.STDEV.P(Tab.o1[MedMod])*H$1203)+G$1203,"")</f>
        <v/>
      </c>
      <c r="S540" s="122" t="str">
        <f>IF(Tab.o1[[#This Row],[a1]]=1,((Tab.o1[[#This Row],[MedMod]]-AVERAGE(Tab.o1[MedMod]))/_xlfn.STDEV.P(Tab.o1[MedMod])*H$1204)+G$1204,"")</f>
        <v/>
      </c>
      <c r="T540" s="123" t="str">
        <f>IF(Tab.o1[[#This Row],[a1]]=1,Tab.o1[[#This Row],[Z-]]*_xlfn.STDEV.P(Tab.o1[B])+AVERAGE(Tab.o1[B]),"")</f>
        <v/>
      </c>
      <c r="U540" s="123" t="str">
        <f>IF(Tab.o1[[#This Row],[a1]]=1,Tab.o1[[#This Row],[z+]]*_xlfn.STDEV.P(Tab.o1[B])+AVERAGE(Tab.o1[B]),"")</f>
        <v/>
      </c>
      <c r="V540" s="124" t="str">
        <f>IF(Tab.o1[[#This Row],[a1]]=1,ABS((ABS(Tab.o1[[#This Row],[Red]]-Tab.o1[[#This Row],[Blue]]))),"")</f>
        <v/>
      </c>
      <c r="W540" s="125" t="str">
        <f>IF(Tab.o1[[#This Row],[a1]]=1,IF(W$3=0,1,Tab.o1[[#This Row],[Amp.]]*1/_xlfn.MINIFS(Tab.o1[Amp.],Tab.o1[Amp.],"&lt;&gt;0")),"")</f>
        <v/>
      </c>
      <c r="X540" s="126" t="str">
        <f>IF(Tab.o1[[#This Row],[a1]]=1,IF(ISNUMBER(Tab.o1[[#This Row],[i.]]),NORMDIST(Tab.o1[[#This Row],[Za]],0,1,FALSE)*Tab.o1[[#This Row],[i.]],AP$3),"")</f>
        <v/>
      </c>
      <c r="Y540" s="126" t="str">
        <f>IF(Tab.o1[[#This Row],[a1]]=1,0.01+0.94*Tab.o1[[#This Row],[PDF]]/MAX(Tab.o1[PDF]),"")</f>
        <v/>
      </c>
      <c r="Z540" s="126" t="str">
        <f>IF(Tab.o1[[#This Row],[a1]]=1,0.01+0.94*Tab.o1[[#This Row],[W1_PDF]]/MAX(Tab.o1[W1_PDF]),"")</f>
        <v/>
      </c>
      <c r="AA540" s="118" t="str">
        <f>IF(Tab.o1[[#This Row],[a1]]=1,ABS([1]!T.in.A[[#This Row],[oo6]]),"")</f>
        <v/>
      </c>
      <c r="AB540" s="127" t="str">
        <f>IF(Tab.o1[[#This Row],[a1]]=1,IF(AE$3=0,"",IF(AB$3=0,ABS([1]!T.in.A[[#This Row],[oo9]]),ABS(Tab.o1[[#This Row],[DIF_Target.]]*Tab.o1[[#This Row],[W1_PDF]]))),"")</f>
        <v/>
      </c>
      <c r="AC540" s="127" t="str">
        <f>IF(G$1=1,"",IF(Tab.o1[[#This Row],[a1]]=1,Tab.o1[[#This Row],[Wr]]^2,""))</f>
        <v/>
      </c>
      <c r="AD540" s="118" t="str">
        <f>IF(Tab.o1[[#This Row],[a1]]=1,IF(AE$3=0,"",Tab.o1[[#This Row],[Wr2]]/SUM(Tab.o1[Wr2])),"")</f>
        <v/>
      </c>
      <c r="AE540" s="128" t="str">
        <f>IF(Tab.o1[[#This Row],[a1]]=1,[1]!T.in.A[[#This Row],[oo10]],"")</f>
        <v/>
      </c>
      <c r="AF540" s="118" t="str">
        <f>IF(Tab.o1[[#This Row],[a1]]=1,ABS(Tab.o1[[#This Row],[DIF_Target.]]*Tab.o1[[#This Row],[PDF2]]*Tab.o1[[#This Row],[IN]]),"")</f>
        <v/>
      </c>
      <c r="AG540" s="129" t="str">
        <f>IF(Tab.o1[[#This Row],[a1]]=1,Tab.o1[[#This Row],[rW]]^2,"")</f>
        <v/>
      </c>
      <c r="AH540" s="130" t="str">
        <f>IF(Tab.o1[[#This Row],[a1]]=1,IF(AH$3=0,Tab.o1[[#This Row],[rW2]],0.01+0.94*Tab.o1[[#This Row],[rW2]]/SUM(Tab.o1[rW2])),"")</f>
        <v/>
      </c>
      <c r="AI540" s="128" t="str">
        <f>IF(Tab.o1[[#This Row],[a1]]=1,1/Tab.o1[[#This Row],[PDF]],"")</f>
        <v/>
      </c>
      <c r="AJ540" s="131" t="str">
        <f>IF(Tab.o1[[#This Row],[a1]]=1,[1]!T_AA[[#This Row],[IN'']]*[1]!T_AA[[#This Row],[Qde'']],"")</f>
        <v/>
      </c>
      <c r="AK540" s="132" t="str">
        <f>IF(Tab.o1[[#This Row],[a1]]=1,IF(AK$1=1,Tab.o1[[#This Row],[MED]]+Tab.o1[[#This Row],[MOD]]-Tab.o1[[#This Row],[MED]],""),"")</f>
        <v/>
      </c>
      <c r="AL540" s="133" t="str">
        <f>IF(Tab.o1[[#This Row],[a1]]=1,[1]!T.in.A[[#This Row],[oo16]],"")</f>
        <v/>
      </c>
      <c r="AM540" s="133" t="str">
        <f>IF(Tab.o1[[#This Row],[a1]]=1,IF(AM$3=1,[1]!T.in.A[[#This Row],[Σo16]],""),"")</f>
        <v/>
      </c>
      <c r="AN540" s="126" t="str">
        <f>IF(Tab.o1[[#This Row],[a1]]=1,[1]!T.in.A[[#This Row],[Σp5]],"")</f>
        <v/>
      </c>
      <c r="AO540" s="126" t="str">
        <f>IF(Tab.o1[[#This Row],[a1]]=1,IF(AO$3=1,[1]!T.in.A[[#This Row],[Σp5]],""),"")</f>
        <v/>
      </c>
      <c r="AP540" s="110" t="str">
        <f>IF(Tab.o1[[#This Row],[a1]]=1,IF(ISNUMBER(Tab.o1[[#This Row],[i.]]),NORMDIST(Tab.o1[[#This Row],[Za]],0,1,FALSE)*Tab.o1[[#This Row],[i.]],0),"")</f>
        <v/>
      </c>
      <c r="AQ540" s="125" t="str">
        <f>IF(Tab.o1[[#This Row],[a1]]=1,ABS(Tab.o1[[#This Row],[MOD]]-AVERAGE(Tab.o1[MOD])),"")</f>
        <v/>
      </c>
      <c r="AR540" s="134" t="str">
        <f>IF(Tab.o1[[#This Row],[a1]]=1,Tab.o1[[#This Row],[OBS]]/SUM(Tab.o1[OBS]),"")</f>
        <v/>
      </c>
      <c r="AS540" s="135" t="str">
        <f>IF(ISNUMBER(Tab.o1[[#This Row],[a1]]),ROW()-4,"")</f>
        <v/>
      </c>
      <c r="AT540" s="136" t="str">
        <f>Tab.o1[[#This Row],[MOD]]</f>
        <v/>
      </c>
      <c r="AU540" s="137" t="str">
        <f t="shared" si="33"/>
        <v/>
      </c>
      <c r="AV540" s="138" t="str">
        <f t="shared" si="34"/>
        <v/>
      </c>
      <c r="AW540" s="138" t="str">
        <f t="shared" si="35"/>
        <v/>
      </c>
      <c r="AX540" s="139" t="str">
        <f>[1]!T.in.A[[#This Row],[ID_T_manu]]</f>
        <v/>
      </c>
      <c r="AY540" s="140" t="str">
        <f>IF(ISNUMBER(Tab.o1[[#This Row],[a1]]),IF(AND(Tab.o1[[#This Row],[a1]]=1,Tab.o1[[#This Row],[b1]]&lt;=AY$4),#REF!,AY539),"")</f>
        <v/>
      </c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</row>
    <row r="541" spans="1:79" ht="15.75" hidden="1">
      <c r="A541" s="109">
        <v>1.0000000000000001E-5</v>
      </c>
      <c r="B541" s="110">
        <f t="shared" si="32"/>
        <v>541</v>
      </c>
      <c r="C541" s="111" t="str">
        <f>IF(C$1=[1]!T.in.A[[#This Row],[oo2]],1,"")</f>
        <v/>
      </c>
      <c r="D541" s="112" t="str">
        <f>IF(Tab.o1[[#This Row],[a1]]=1,IF(SUM(C541:C542)=0,0,IF(SUM(C540:C541)=1,1,IF(SUM(C540:C542)&gt;1,D540+1,0))),"")</f>
        <v/>
      </c>
      <c r="E541" s="113" t="str">
        <f>IF(Tab.o1[[#This Row],[a1]]=1,[1]!T.in.A[[#This Row],[oo1]],"")</f>
        <v/>
      </c>
      <c r="F541" s="113" t="str">
        <f>IF(Tab.o1[[#This Row],[a1]]=1,[1]!T.in.A[[#This Row],[pp1]],"")</f>
        <v/>
      </c>
      <c r="G541" s="114" t="str">
        <f>IF(Tab.o1[[#This Row],[a1]]=1,G$2+IF(G$1=1,0,Tab.o1[[#This Row],[.x1]])+[1]!T.in.A[[#This Row],[oo3]],"")</f>
        <v/>
      </c>
      <c r="H541" s="115" t="str">
        <f>IF(Tab.o1[[#This Row],[a1]]=1,IF(H$2=0,0,IF(G$1=1,0,Tab.o1[[#This Row],[.x1]])+[1]!T.in.A[[#This Row],[oo4]]),"")</f>
        <v/>
      </c>
      <c r="I541" s="116" t="str">
        <f>IF(Tab.o1[[#This Row],[a1]]=1,IF(J$2=0,Tab.o1[[#This Row],[MED]],Tab.o1[[#This Row],[MOD]]),"")</f>
        <v/>
      </c>
      <c r="J541" s="116" t="str">
        <f>IF(Tab.o1[[#This Row],[a1]]=1,((Tab.o1[[#This Row],[DIF_Target.]]-AVERAGE(Tab.o1[DIF_Target.]))/_xlfn.STDEV.P(Tab.o1[DIF_Target.])),"")</f>
        <v/>
      </c>
      <c r="K541" s="117" t="str">
        <f>IF(Tab.o1[[#This Row],[a1]]=1,IF(J$2=0,Tab.o1[[#This Row],[MOD]]-Tab.o1[[#This Row],[B]],IF(J$2=1,0,-Tab.o1[[#This Row],[MED]])+Tab.o1[[#This Row],[B]]),"")</f>
        <v/>
      </c>
      <c r="L541" s="117" t="str">
        <f ca="1">IF(Tab.o1[[#This Row],[DIF_Target]]=0,IF(L$2=0,Tab.o1[[#This Row],[DIF_Target]],AVERAGE(OFFSET(Tab.o1[[#This Row],[DIF_Target]],1,0,L$3,1)))/3,Tab.o1[[#This Row],[DIF_Target]])</f>
        <v/>
      </c>
      <c r="M541" s="118" t="str">
        <f>IF(Tab.o1[[#This Row],[a1]]=1,NORMSDIST(Tab.o1[[#This Row],[Za]]),"")</f>
        <v/>
      </c>
      <c r="N541" s="119" t="str">
        <f>IF(Tab.o1[[#This Row],[a1]]=1,((Tab.o1[[#This Row],[MedMod]]-AVERAGE(Tab.o1[MedMod]))/_xlfn.STDEV.P(Tab.o1[MedMod])*H$1205)+G$1205,"")</f>
        <v/>
      </c>
      <c r="O541" s="141" t="str">
        <f>IF(Tab.o1[[#This Row],[a1]]=1,Tab.o1[[#This Row],[Zb]]*_xlfn.STDEV.P(Tab.o1[MedMod])+AVERAGE(Tab.o1[MedMod]),"")</f>
        <v/>
      </c>
      <c r="P541" s="117" t="str">
        <f ca="1">IF(Tab.o1[[#This Row],[B]]=0,AVERAGE(OFFSET(Tab.o1[[#This Row],[B]],1,0,L$3,1)),Tab.o1[[#This Row],[B]])</f>
        <v/>
      </c>
      <c r="Q541" s="121" t="str">
        <f>IF(Tab.o1[[#This Row],[a1]]=1,NORMSDIST(Tab.o1[[#This Row],[Zb]]),"")</f>
        <v/>
      </c>
      <c r="R541" s="122" t="str">
        <f>IF(Tab.o1[[#This Row],[a1]]=1,((Tab.o1[[#This Row],[MedMod]]-AVERAGE(Tab.o1[MedMod]))/_xlfn.STDEV.P(Tab.o1[MedMod])*H$1203)+G$1203,"")</f>
        <v/>
      </c>
      <c r="S541" s="122" t="str">
        <f>IF(Tab.o1[[#This Row],[a1]]=1,((Tab.o1[[#This Row],[MedMod]]-AVERAGE(Tab.o1[MedMod]))/_xlfn.STDEV.P(Tab.o1[MedMod])*H$1204)+G$1204,"")</f>
        <v/>
      </c>
      <c r="T541" s="123" t="str">
        <f>IF(Tab.o1[[#This Row],[a1]]=1,Tab.o1[[#This Row],[Z-]]*_xlfn.STDEV.P(Tab.o1[B])+AVERAGE(Tab.o1[B]),"")</f>
        <v/>
      </c>
      <c r="U541" s="123" t="str">
        <f>IF(Tab.o1[[#This Row],[a1]]=1,Tab.o1[[#This Row],[z+]]*_xlfn.STDEV.P(Tab.o1[B])+AVERAGE(Tab.o1[B]),"")</f>
        <v/>
      </c>
      <c r="V541" s="124" t="str">
        <f>IF(Tab.o1[[#This Row],[a1]]=1,ABS((ABS(Tab.o1[[#This Row],[Red]]-Tab.o1[[#This Row],[Blue]]))),"")</f>
        <v/>
      </c>
      <c r="W541" s="125" t="str">
        <f>IF(Tab.o1[[#This Row],[a1]]=1,IF(W$3=0,1,Tab.o1[[#This Row],[Amp.]]*1/_xlfn.MINIFS(Tab.o1[Amp.],Tab.o1[Amp.],"&lt;&gt;0")),"")</f>
        <v/>
      </c>
      <c r="X541" s="126" t="str">
        <f>IF(Tab.o1[[#This Row],[a1]]=1,IF(ISNUMBER(Tab.o1[[#This Row],[i.]]),NORMDIST(Tab.o1[[#This Row],[Za]],0,1,FALSE)*Tab.o1[[#This Row],[i.]],AP$3),"")</f>
        <v/>
      </c>
      <c r="Y541" s="126" t="str">
        <f>IF(Tab.o1[[#This Row],[a1]]=1,0.01+0.94*Tab.o1[[#This Row],[PDF]]/MAX(Tab.o1[PDF]),"")</f>
        <v/>
      </c>
      <c r="Z541" s="126" t="str">
        <f>IF(Tab.o1[[#This Row],[a1]]=1,0.01+0.94*Tab.o1[[#This Row],[W1_PDF]]/MAX(Tab.o1[W1_PDF]),"")</f>
        <v/>
      </c>
      <c r="AA541" s="118" t="str">
        <f>IF(Tab.o1[[#This Row],[a1]]=1,ABS([1]!T.in.A[[#This Row],[oo6]]),"")</f>
        <v/>
      </c>
      <c r="AB541" s="127" t="str">
        <f>IF(Tab.o1[[#This Row],[a1]]=1,IF(AE$3=0,"",IF(AB$3=0,ABS([1]!T.in.A[[#This Row],[oo9]]),ABS(Tab.o1[[#This Row],[DIF_Target.]]*Tab.o1[[#This Row],[W1_PDF]]))),"")</f>
        <v/>
      </c>
      <c r="AC541" s="127" t="str">
        <f>IF(G$1=1,"",IF(Tab.o1[[#This Row],[a1]]=1,Tab.o1[[#This Row],[Wr]]^2,""))</f>
        <v/>
      </c>
      <c r="AD541" s="118" t="str">
        <f>IF(Tab.o1[[#This Row],[a1]]=1,IF(AE$3=0,"",Tab.o1[[#This Row],[Wr2]]/SUM(Tab.o1[Wr2])),"")</f>
        <v/>
      </c>
      <c r="AE541" s="128" t="str">
        <f>IF(Tab.o1[[#This Row],[a1]]=1,[1]!T.in.A[[#This Row],[oo10]],"")</f>
        <v/>
      </c>
      <c r="AF541" s="118" t="str">
        <f>IF(Tab.o1[[#This Row],[a1]]=1,ABS(Tab.o1[[#This Row],[DIF_Target.]]*Tab.o1[[#This Row],[PDF2]]*Tab.o1[[#This Row],[IN]]),"")</f>
        <v/>
      </c>
      <c r="AG541" s="129" t="str">
        <f>IF(Tab.o1[[#This Row],[a1]]=1,Tab.o1[[#This Row],[rW]]^2,"")</f>
        <v/>
      </c>
      <c r="AH541" s="130" t="str">
        <f>IF(Tab.o1[[#This Row],[a1]]=1,IF(AH$3=0,Tab.o1[[#This Row],[rW2]],0.01+0.94*Tab.o1[[#This Row],[rW2]]/SUM(Tab.o1[rW2])),"")</f>
        <v/>
      </c>
      <c r="AI541" s="128" t="str">
        <f>IF(Tab.o1[[#This Row],[a1]]=1,1/Tab.o1[[#This Row],[PDF]],"")</f>
        <v/>
      </c>
      <c r="AJ541" s="131" t="str">
        <f>IF(Tab.o1[[#This Row],[a1]]=1,[1]!T_AA[[#This Row],[IN'']]*[1]!T_AA[[#This Row],[Qde'']],"")</f>
        <v/>
      </c>
      <c r="AK541" s="132" t="str">
        <f>IF(Tab.o1[[#This Row],[a1]]=1,IF(AK$1=1,Tab.o1[[#This Row],[MED]]+Tab.o1[[#This Row],[MOD]]-Tab.o1[[#This Row],[MED]],""),"")</f>
        <v/>
      </c>
      <c r="AL541" s="133" t="str">
        <f>IF(Tab.o1[[#This Row],[a1]]=1,[1]!T.in.A[[#This Row],[oo16]],"")</f>
        <v/>
      </c>
      <c r="AM541" s="133" t="str">
        <f>IF(Tab.o1[[#This Row],[a1]]=1,IF(AM$3=1,[1]!T.in.A[[#This Row],[Σo16]],""),"")</f>
        <v/>
      </c>
      <c r="AN541" s="126" t="str">
        <f>IF(Tab.o1[[#This Row],[a1]]=1,[1]!T.in.A[[#This Row],[Σp5]],"")</f>
        <v/>
      </c>
      <c r="AO541" s="126" t="str">
        <f>IF(Tab.o1[[#This Row],[a1]]=1,IF(AO$3=1,[1]!T.in.A[[#This Row],[Σp5]],""),"")</f>
        <v/>
      </c>
      <c r="AP541" s="110" t="str">
        <f>IF(Tab.o1[[#This Row],[a1]]=1,IF(ISNUMBER(Tab.o1[[#This Row],[i.]]),NORMDIST(Tab.o1[[#This Row],[Za]],0,1,FALSE)*Tab.o1[[#This Row],[i.]],0),"")</f>
        <v/>
      </c>
      <c r="AQ541" s="125" t="str">
        <f>IF(Tab.o1[[#This Row],[a1]]=1,ABS(Tab.o1[[#This Row],[MOD]]-AVERAGE(Tab.o1[MOD])),"")</f>
        <v/>
      </c>
      <c r="AR541" s="134" t="str">
        <f>IF(Tab.o1[[#This Row],[a1]]=1,Tab.o1[[#This Row],[OBS]]/SUM(Tab.o1[OBS]),"")</f>
        <v/>
      </c>
      <c r="AS541" s="135" t="str">
        <f>IF(ISNUMBER(Tab.o1[[#This Row],[a1]]),ROW()-4,"")</f>
        <v/>
      </c>
      <c r="AT541" s="136" t="str">
        <f>Tab.o1[[#This Row],[MOD]]</f>
        <v/>
      </c>
      <c r="AU541" s="137" t="str">
        <f t="shared" si="33"/>
        <v/>
      </c>
      <c r="AV541" s="138" t="str">
        <f t="shared" si="34"/>
        <v/>
      </c>
      <c r="AW541" s="138" t="str">
        <f t="shared" si="35"/>
        <v/>
      </c>
      <c r="AX541" s="139" t="str">
        <f>[1]!T.in.A[[#This Row],[ID_T_manu]]</f>
        <v/>
      </c>
      <c r="AY541" s="140" t="str">
        <f>IF(ISNUMBER(Tab.o1[[#This Row],[a1]]),IF(AND(Tab.o1[[#This Row],[a1]]=1,Tab.o1[[#This Row],[b1]]&lt;=AY$4),#REF!,AY540),"")</f>
        <v/>
      </c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</row>
    <row r="542" spans="1:79" ht="15.75" hidden="1">
      <c r="A542" s="109">
        <v>-4.0000000000000007E-6</v>
      </c>
      <c r="B542" s="110">
        <f t="shared" si="32"/>
        <v>542</v>
      </c>
      <c r="C542" s="111" t="str">
        <f>IF(C$1=[1]!T.in.A[[#This Row],[oo2]],1,"")</f>
        <v/>
      </c>
      <c r="D542" s="112" t="str">
        <f>IF(Tab.o1[[#This Row],[a1]]=1,IF(SUM(C542:C543)=0,0,IF(SUM(C541:C542)=1,1,IF(SUM(C541:C543)&gt;1,D541+1,0))),"")</f>
        <v/>
      </c>
      <c r="E542" s="113" t="str">
        <f>IF(Tab.o1[[#This Row],[a1]]=1,[1]!T.in.A[[#This Row],[oo1]],"")</f>
        <v/>
      </c>
      <c r="F542" s="113" t="str">
        <f>IF(Tab.o1[[#This Row],[a1]]=1,[1]!T.in.A[[#This Row],[pp1]],"")</f>
        <v/>
      </c>
      <c r="G542" s="114" t="str">
        <f>IF(Tab.o1[[#This Row],[a1]]=1,G$2+IF(G$1=1,0,Tab.o1[[#This Row],[.x1]])+[1]!T.in.A[[#This Row],[oo3]],"")</f>
        <v/>
      </c>
      <c r="H542" s="115" t="str">
        <f>IF(Tab.o1[[#This Row],[a1]]=1,IF(H$2=0,0,IF(G$1=1,0,Tab.o1[[#This Row],[.x1]])+[1]!T.in.A[[#This Row],[oo4]]),"")</f>
        <v/>
      </c>
      <c r="I542" s="116" t="str">
        <f>IF(Tab.o1[[#This Row],[a1]]=1,IF(J$2=0,Tab.o1[[#This Row],[MED]],Tab.o1[[#This Row],[MOD]]),"")</f>
        <v/>
      </c>
      <c r="J542" s="116" t="str">
        <f>IF(Tab.o1[[#This Row],[a1]]=1,((Tab.o1[[#This Row],[DIF_Target.]]-AVERAGE(Tab.o1[DIF_Target.]))/_xlfn.STDEV.P(Tab.o1[DIF_Target.])),"")</f>
        <v/>
      </c>
      <c r="K542" s="117" t="str">
        <f>IF(Tab.o1[[#This Row],[a1]]=1,IF(J$2=0,Tab.o1[[#This Row],[MOD]]-Tab.o1[[#This Row],[B]],IF(J$2=1,0,-Tab.o1[[#This Row],[MED]])+Tab.o1[[#This Row],[B]]),"")</f>
        <v/>
      </c>
      <c r="L542" s="117" t="str">
        <f ca="1">IF(Tab.o1[[#This Row],[DIF_Target]]=0,IF(L$2=0,Tab.o1[[#This Row],[DIF_Target]],AVERAGE(OFFSET(Tab.o1[[#This Row],[DIF_Target]],1,0,L$3,1)))/3,Tab.o1[[#This Row],[DIF_Target]])</f>
        <v/>
      </c>
      <c r="M542" s="118" t="str">
        <f>IF(Tab.o1[[#This Row],[a1]]=1,NORMSDIST(Tab.o1[[#This Row],[Za]]),"")</f>
        <v/>
      </c>
      <c r="N542" s="119" t="str">
        <f>IF(Tab.o1[[#This Row],[a1]]=1,((Tab.o1[[#This Row],[MedMod]]-AVERAGE(Tab.o1[MedMod]))/_xlfn.STDEV.P(Tab.o1[MedMod])*H$1205)+G$1205,"")</f>
        <v/>
      </c>
      <c r="O542" s="141" t="str">
        <f>IF(Tab.o1[[#This Row],[a1]]=1,Tab.o1[[#This Row],[Zb]]*_xlfn.STDEV.P(Tab.o1[MedMod])+AVERAGE(Tab.o1[MedMod]),"")</f>
        <v/>
      </c>
      <c r="P542" s="117" t="str">
        <f ca="1">IF(Tab.o1[[#This Row],[B]]=0,AVERAGE(OFFSET(Tab.o1[[#This Row],[B]],1,0,L$3,1)),Tab.o1[[#This Row],[B]])</f>
        <v/>
      </c>
      <c r="Q542" s="121" t="str">
        <f>IF(Tab.o1[[#This Row],[a1]]=1,NORMSDIST(Tab.o1[[#This Row],[Zb]]),"")</f>
        <v/>
      </c>
      <c r="R542" s="122" t="str">
        <f>IF(Tab.o1[[#This Row],[a1]]=1,((Tab.o1[[#This Row],[MedMod]]-AVERAGE(Tab.o1[MedMod]))/_xlfn.STDEV.P(Tab.o1[MedMod])*H$1203)+G$1203,"")</f>
        <v/>
      </c>
      <c r="S542" s="122" t="str">
        <f>IF(Tab.o1[[#This Row],[a1]]=1,((Tab.o1[[#This Row],[MedMod]]-AVERAGE(Tab.o1[MedMod]))/_xlfn.STDEV.P(Tab.o1[MedMod])*H$1204)+G$1204,"")</f>
        <v/>
      </c>
      <c r="T542" s="123" t="str">
        <f>IF(Tab.o1[[#This Row],[a1]]=1,Tab.o1[[#This Row],[Z-]]*_xlfn.STDEV.P(Tab.o1[B])+AVERAGE(Tab.o1[B]),"")</f>
        <v/>
      </c>
      <c r="U542" s="123" t="str">
        <f>IF(Tab.o1[[#This Row],[a1]]=1,Tab.o1[[#This Row],[z+]]*_xlfn.STDEV.P(Tab.o1[B])+AVERAGE(Tab.o1[B]),"")</f>
        <v/>
      </c>
      <c r="V542" s="124" t="str">
        <f>IF(Tab.o1[[#This Row],[a1]]=1,ABS((ABS(Tab.o1[[#This Row],[Red]]-Tab.o1[[#This Row],[Blue]]))),"")</f>
        <v/>
      </c>
      <c r="W542" s="125" t="str">
        <f>IF(Tab.o1[[#This Row],[a1]]=1,IF(W$3=0,1,Tab.o1[[#This Row],[Amp.]]*1/_xlfn.MINIFS(Tab.o1[Amp.],Tab.o1[Amp.],"&lt;&gt;0")),"")</f>
        <v/>
      </c>
      <c r="X542" s="126" t="str">
        <f>IF(Tab.o1[[#This Row],[a1]]=1,IF(ISNUMBER(Tab.o1[[#This Row],[i.]]),NORMDIST(Tab.o1[[#This Row],[Za]],0,1,FALSE)*Tab.o1[[#This Row],[i.]],AP$3),"")</f>
        <v/>
      </c>
      <c r="Y542" s="126" t="str">
        <f>IF(Tab.o1[[#This Row],[a1]]=1,0.01+0.94*Tab.o1[[#This Row],[PDF]]/MAX(Tab.o1[PDF]),"")</f>
        <v/>
      </c>
      <c r="Z542" s="126" t="str">
        <f>IF(Tab.o1[[#This Row],[a1]]=1,0.01+0.94*Tab.o1[[#This Row],[W1_PDF]]/MAX(Tab.o1[W1_PDF]),"")</f>
        <v/>
      </c>
      <c r="AA542" s="118" t="str">
        <f>IF(Tab.o1[[#This Row],[a1]]=1,ABS([1]!T.in.A[[#This Row],[oo6]]),"")</f>
        <v/>
      </c>
      <c r="AB542" s="127" t="str">
        <f>IF(Tab.o1[[#This Row],[a1]]=1,IF(AE$3=0,"",IF(AB$3=0,ABS([1]!T.in.A[[#This Row],[oo9]]),ABS(Tab.o1[[#This Row],[DIF_Target.]]*Tab.o1[[#This Row],[W1_PDF]]))),"")</f>
        <v/>
      </c>
      <c r="AC542" s="127" t="str">
        <f>IF(G$1=1,"",IF(Tab.o1[[#This Row],[a1]]=1,Tab.o1[[#This Row],[Wr]]^2,""))</f>
        <v/>
      </c>
      <c r="AD542" s="118" t="str">
        <f>IF(Tab.o1[[#This Row],[a1]]=1,IF(AE$3=0,"",Tab.o1[[#This Row],[Wr2]]/SUM(Tab.o1[Wr2])),"")</f>
        <v/>
      </c>
      <c r="AE542" s="128" t="str">
        <f>IF(Tab.o1[[#This Row],[a1]]=1,[1]!T.in.A[[#This Row],[oo10]],"")</f>
        <v/>
      </c>
      <c r="AF542" s="118" t="str">
        <f>IF(Tab.o1[[#This Row],[a1]]=1,ABS(Tab.o1[[#This Row],[DIF_Target.]]*Tab.o1[[#This Row],[PDF2]]*Tab.o1[[#This Row],[IN]]),"")</f>
        <v/>
      </c>
      <c r="AG542" s="129" t="str">
        <f>IF(Tab.o1[[#This Row],[a1]]=1,Tab.o1[[#This Row],[rW]]^2,"")</f>
        <v/>
      </c>
      <c r="AH542" s="130" t="str">
        <f>IF(Tab.o1[[#This Row],[a1]]=1,IF(AH$3=0,Tab.o1[[#This Row],[rW2]],0.01+0.94*Tab.o1[[#This Row],[rW2]]/SUM(Tab.o1[rW2])),"")</f>
        <v/>
      </c>
      <c r="AI542" s="128" t="str">
        <f>IF(Tab.o1[[#This Row],[a1]]=1,1/Tab.o1[[#This Row],[PDF]],"")</f>
        <v/>
      </c>
      <c r="AJ542" s="131" t="str">
        <f>IF(Tab.o1[[#This Row],[a1]]=1,[1]!T_AA[[#This Row],[IN'']]*[1]!T_AA[[#This Row],[Qde'']],"")</f>
        <v/>
      </c>
      <c r="AK542" s="132" t="str">
        <f>IF(Tab.o1[[#This Row],[a1]]=1,IF(AK$1=1,Tab.o1[[#This Row],[MED]]+Tab.o1[[#This Row],[MOD]]-Tab.o1[[#This Row],[MED]],""),"")</f>
        <v/>
      </c>
      <c r="AL542" s="133" t="str">
        <f>IF(Tab.o1[[#This Row],[a1]]=1,[1]!T.in.A[[#This Row],[oo16]],"")</f>
        <v/>
      </c>
      <c r="AM542" s="133" t="str">
        <f>IF(Tab.o1[[#This Row],[a1]]=1,IF(AM$3=1,[1]!T.in.A[[#This Row],[Σo16]],""),"")</f>
        <v/>
      </c>
      <c r="AN542" s="126" t="str">
        <f>IF(Tab.o1[[#This Row],[a1]]=1,[1]!T.in.A[[#This Row],[Σp5]],"")</f>
        <v/>
      </c>
      <c r="AO542" s="126" t="str">
        <f>IF(Tab.o1[[#This Row],[a1]]=1,IF(AO$3=1,[1]!T.in.A[[#This Row],[Σp5]],""),"")</f>
        <v/>
      </c>
      <c r="AP542" s="110" t="str">
        <f>IF(Tab.o1[[#This Row],[a1]]=1,IF(ISNUMBER(Tab.o1[[#This Row],[i.]]),NORMDIST(Tab.o1[[#This Row],[Za]],0,1,FALSE)*Tab.o1[[#This Row],[i.]],0),"")</f>
        <v/>
      </c>
      <c r="AQ542" s="125" t="str">
        <f>IF(Tab.o1[[#This Row],[a1]]=1,ABS(Tab.o1[[#This Row],[MOD]]-AVERAGE(Tab.o1[MOD])),"")</f>
        <v/>
      </c>
      <c r="AR542" s="134" t="str">
        <f>IF(Tab.o1[[#This Row],[a1]]=1,Tab.o1[[#This Row],[OBS]]/SUM(Tab.o1[OBS]),"")</f>
        <v/>
      </c>
      <c r="AS542" s="135" t="str">
        <f>IF(ISNUMBER(Tab.o1[[#This Row],[a1]]),ROW()-4,"")</f>
        <v/>
      </c>
      <c r="AT542" s="136" t="str">
        <f>Tab.o1[[#This Row],[MOD]]</f>
        <v/>
      </c>
      <c r="AU542" s="137" t="str">
        <f t="shared" si="33"/>
        <v/>
      </c>
      <c r="AV542" s="138" t="str">
        <f t="shared" si="34"/>
        <v/>
      </c>
      <c r="AW542" s="138" t="str">
        <f t="shared" si="35"/>
        <v/>
      </c>
      <c r="AX542" s="139" t="str">
        <f>[1]!T.in.A[[#This Row],[ID_T_manu]]</f>
        <v/>
      </c>
      <c r="AY542" s="140" t="str">
        <f>IF(ISNUMBER(Tab.o1[[#This Row],[a1]]),IF(AND(Tab.o1[[#This Row],[a1]]=1,Tab.o1[[#This Row],[b1]]&lt;=AY$4),#REF!,AY541),"")</f>
        <v/>
      </c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</row>
    <row r="543" spans="1:79" ht="15.75" hidden="1">
      <c r="A543" s="109">
        <v>6.9999999999999999E-6</v>
      </c>
      <c r="B543" s="110">
        <f t="shared" si="32"/>
        <v>543</v>
      </c>
      <c r="C543" s="111" t="str">
        <f>IF(C$1=[1]!T.in.A[[#This Row],[oo2]],1,"")</f>
        <v/>
      </c>
      <c r="D543" s="112" t="str">
        <f>IF(Tab.o1[[#This Row],[a1]]=1,IF(SUM(C543:C544)=0,0,IF(SUM(C542:C543)=1,1,IF(SUM(C542:C544)&gt;1,D542+1,0))),"")</f>
        <v/>
      </c>
      <c r="E543" s="113" t="str">
        <f>IF(Tab.o1[[#This Row],[a1]]=1,[1]!T.in.A[[#This Row],[oo1]],"")</f>
        <v/>
      </c>
      <c r="F543" s="113" t="str">
        <f>IF(Tab.o1[[#This Row],[a1]]=1,[1]!T.in.A[[#This Row],[pp1]],"")</f>
        <v/>
      </c>
      <c r="G543" s="114" t="str">
        <f>IF(Tab.o1[[#This Row],[a1]]=1,G$2+IF(G$1=1,0,Tab.o1[[#This Row],[.x1]])+[1]!T.in.A[[#This Row],[oo3]],"")</f>
        <v/>
      </c>
      <c r="H543" s="115" t="str">
        <f>IF(Tab.o1[[#This Row],[a1]]=1,IF(H$2=0,0,IF(G$1=1,0,Tab.o1[[#This Row],[.x1]])+[1]!T.in.A[[#This Row],[oo4]]),"")</f>
        <v/>
      </c>
      <c r="I543" s="116" t="str">
        <f>IF(Tab.o1[[#This Row],[a1]]=1,IF(J$2=0,Tab.o1[[#This Row],[MED]],Tab.o1[[#This Row],[MOD]]),"")</f>
        <v/>
      </c>
      <c r="J543" s="116" t="str">
        <f>IF(Tab.o1[[#This Row],[a1]]=1,((Tab.o1[[#This Row],[DIF_Target.]]-AVERAGE(Tab.o1[DIF_Target.]))/_xlfn.STDEV.P(Tab.o1[DIF_Target.])),"")</f>
        <v/>
      </c>
      <c r="K543" s="117" t="str">
        <f>IF(Tab.o1[[#This Row],[a1]]=1,IF(J$2=0,Tab.o1[[#This Row],[MOD]]-Tab.o1[[#This Row],[B]],IF(J$2=1,0,-Tab.o1[[#This Row],[MED]])+Tab.o1[[#This Row],[B]]),"")</f>
        <v/>
      </c>
      <c r="L543" s="117" t="str">
        <f ca="1">IF(Tab.o1[[#This Row],[DIF_Target]]=0,IF(L$2=0,Tab.o1[[#This Row],[DIF_Target]],AVERAGE(OFFSET(Tab.o1[[#This Row],[DIF_Target]],1,0,L$3,1)))/3,Tab.o1[[#This Row],[DIF_Target]])</f>
        <v/>
      </c>
      <c r="M543" s="118" t="str">
        <f>IF(Tab.o1[[#This Row],[a1]]=1,NORMSDIST(Tab.o1[[#This Row],[Za]]),"")</f>
        <v/>
      </c>
      <c r="N543" s="119" t="str">
        <f>IF(Tab.o1[[#This Row],[a1]]=1,((Tab.o1[[#This Row],[MedMod]]-AVERAGE(Tab.o1[MedMod]))/_xlfn.STDEV.P(Tab.o1[MedMod])*H$1205)+G$1205,"")</f>
        <v/>
      </c>
      <c r="O543" s="141" t="str">
        <f>IF(Tab.o1[[#This Row],[a1]]=1,Tab.o1[[#This Row],[Zb]]*_xlfn.STDEV.P(Tab.o1[MedMod])+AVERAGE(Tab.o1[MedMod]),"")</f>
        <v/>
      </c>
      <c r="P543" s="117" t="str">
        <f ca="1">IF(Tab.o1[[#This Row],[B]]=0,AVERAGE(OFFSET(Tab.o1[[#This Row],[B]],1,0,L$3,1)),Tab.o1[[#This Row],[B]])</f>
        <v/>
      </c>
      <c r="Q543" s="121" t="str">
        <f>IF(Tab.o1[[#This Row],[a1]]=1,NORMSDIST(Tab.o1[[#This Row],[Zb]]),"")</f>
        <v/>
      </c>
      <c r="R543" s="122" t="str">
        <f>IF(Tab.o1[[#This Row],[a1]]=1,((Tab.o1[[#This Row],[MedMod]]-AVERAGE(Tab.o1[MedMod]))/_xlfn.STDEV.P(Tab.o1[MedMod])*H$1203)+G$1203,"")</f>
        <v/>
      </c>
      <c r="S543" s="122" t="str">
        <f>IF(Tab.o1[[#This Row],[a1]]=1,((Tab.o1[[#This Row],[MedMod]]-AVERAGE(Tab.o1[MedMod]))/_xlfn.STDEV.P(Tab.o1[MedMod])*H$1204)+G$1204,"")</f>
        <v/>
      </c>
      <c r="T543" s="123" t="str">
        <f>IF(Tab.o1[[#This Row],[a1]]=1,Tab.o1[[#This Row],[Z-]]*_xlfn.STDEV.P(Tab.o1[B])+AVERAGE(Tab.o1[B]),"")</f>
        <v/>
      </c>
      <c r="U543" s="123" t="str">
        <f>IF(Tab.o1[[#This Row],[a1]]=1,Tab.o1[[#This Row],[z+]]*_xlfn.STDEV.P(Tab.o1[B])+AVERAGE(Tab.o1[B]),"")</f>
        <v/>
      </c>
      <c r="V543" s="124" t="str">
        <f>IF(Tab.o1[[#This Row],[a1]]=1,ABS((ABS(Tab.o1[[#This Row],[Red]]-Tab.o1[[#This Row],[Blue]]))),"")</f>
        <v/>
      </c>
      <c r="W543" s="125" t="str">
        <f>IF(Tab.o1[[#This Row],[a1]]=1,IF(W$3=0,1,Tab.o1[[#This Row],[Amp.]]*1/_xlfn.MINIFS(Tab.o1[Amp.],Tab.o1[Amp.],"&lt;&gt;0")),"")</f>
        <v/>
      </c>
      <c r="X543" s="126" t="str">
        <f>IF(Tab.o1[[#This Row],[a1]]=1,IF(ISNUMBER(Tab.o1[[#This Row],[i.]]),NORMDIST(Tab.o1[[#This Row],[Za]],0,1,FALSE)*Tab.o1[[#This Row],[i.]],AP$3),"")</f>
        <v/>
      </c>
      <c r="Y543" s="126" t="str">
        <f>IF(Tab.o1[[#This Row],[a1]]=1,0.01+0.94*Tab.o1[[#This Row],[PDF]]/MAX(Tab.o1[PDF]),"")</f>
        <v/>
      </c>
      <c r="Z543" s="126" t="str">
        <f>IF(Tab.o1[[#This Row],[a1]]=1,0.01+0.94*Tab.o1[[#This Row],[W1_PDF]]/MAX(Tab.o1[W1_PDF]),"")</f>
        <v/>
      </c>
      <c r="AA543" s="118" t="str">
        <f>IF(Tab.o1[[#This Row],[a1]]=1,ABS([1]!T.in.A[[#This Row],[oo6]]),"")</f>
        <v/>
      </c>
      <c r="AB543" s="127" t="str">
        <f>IF(Tab.o1[[#This Row],[a1]]=1,IF(AE$3=0,"",IF(AB$3=0,ABS([1]!T.in.A[[#This Row],[oo9]]),ABS(Tab.o1[[#This Row],[DIF_Target.]]*Tab.o1[[#This Row],[W1_PDF]]))),"")</f>
        <v/>
      </c>
      <c r="AC543" s="127" t="str">
        <f>IF(G$1=1,"",IF(Tab.o1[[#This Row],[a1]]=1,Tab.o1[[#This Row],[Wr]]^2,""))</f>
        <v/>
      </c>
      <c r="AD543" s="118" t="str">
        <f>IF(Tab.o1[[#This Row],[a1]]=1,IF(AE$3=0,"",Tab.o1[[#This Row],[Wr2]]/SUM(Tab.o1[Wr2])),"")</f>
        <v/>
      </c>
      <c r="AE543" s="128" t="str">
        <f>IF(Tab.o1[[#This Row],[a1]]=1,[1]!T.in.A[[#This Row],[oo10]],"")</f>
        <v/>
      </c>
      <c r="AF543" s="118" t="str">
        <f>IF(Tab.o1[[#This Row],[a1]]=1,ABS(Tab.o1[[#This Row],[DIF_Target.]]*Tab.o1[[#This Row],[PDF2]]*Tab.o1[[#This Row],[IN]]),"")</f>
        <v/>
      </c>
      <c r="AG543" s="129" t="str">
        <f>IF(Tab.o1[[#This Row],[a1]]=1,Tab.o1[[#This Row],[rW]]^2,"")</f>
        <v/>
      </c>
      <c r="AH543" s="130" t="str">
        <f>IF(Tab.o1[[#This Row],[a1]]=1,IF(AH$3=0,Tab.o1[[#This Row],[rW2]],0.01+0.94*Tab.o1[[#This Row],[rW2]]/SUM(Tab.o1[rW2])),"")</f>
        <v/>
      </c>
      <c r="AI543" s="128" t="str">
        <f>IF(Tab.o1[[#This Row],[a1]]=1,1/Tab.o1[[#This Row],[PDF]],"")</f>
        <v/>
      </c>
      <c r="AJ543" s="131" t="str">
        <f>IF(Tab.o1[[#This Row],[a1]]=1,[1]!T_AA[[#This Row],[IN'']]*[1]!T_AA[[#This Row],[Qde'']],"")</f>
        <v/>
      </c>
      <c r="AK543" s="132" t="str">
        <f>IF(Tab.o1[[#This Row],[a1]]=1,IF(AK$1=1,Tab.o1[[#This Row],[MED]]+Tab.o1[[#This Row],[MOD]]-Tab.o1[[#This Row],[MED]],""),"")</f>
        <v/>
      </c>
      <c r="AL543" s="133" t="str">
        <f>IF(Tab.o1[[#This Row],[a1]]=1,[1]!T.in.A[[#This Row],[oo16]],"")</f>
        <v/>
      </c>
      <c r="AM543" s="133" t="str">
        <f>IF(Tab.o1[[#This Row],[a1]]=1,IF(AM$3=1,[1]!T.in.A[[#This Row],[Σo16]],""),"")</f>
        <v/>
      </c>
      <c r="AN543" s="126" t="str">
        <f>IF(Tab.o1[[#This Row],[a1]]=1,[1]!T.in.A[[#This Row],[Σp5]],"")</f>
        <v/>
      </c>
      <c r="AO543" s="126" t="str">
        <f>IF(Tab.o1[[#This Row],[a1]]=1,IF(AO$3=1,[1]!T.in.A[[#This Row],[Σp5]],""),"")</f>
        <v/>
      </c>
      <c r="AP543" s="110" t="str">
        <f>IF(Tab.o1[[#This Row],[a1]]=1,IF(ISNUMBER(Tab.o1[[#This Row],[i.]]),NORMDIST(Tab.o1[[#This Row],[Za]],0,1,FALSE)*Tab.o1[[#This Row],[i.]],0),"")</f>
        <v/>
      </c>
      <c r="AQ543" s="125" t="str">
        <f>IF(Tab.o1[[#This Row],[a1]]=1,ABS(Tab.o1[[#This Row],[MOD]]-AVERAGE(Tab.o1[MOD])),"")</f>
        <v/>
      </c>
      <c r="AR543" s="134" t="str">
        <f>IF(Tab.o1[[#This Row],[a1]]=1,Tab.o1[[#This Row],[OBS]]/SUM(Tab.o1[OBS]),"")</f>
        <v/>
      </c>
      <c r="AS543" s="135" t="str">
        <f>IF(ISNUMBER(Tab.o1[[#This Row],[a1]]),ROW()-4,"")</f>
        <v/>
      </c>
      <c r="AT543" s="136" t="str">
        <f>Tab.o1[[#This Row],[MOD]]</f>
        <v/>
      </c>
      <c r="AU543" s="137" t="str">
        <f t="shared" si="33"/>
        <v/>
      </c>
      <c r="AV543" s="138" t="str">
        <f t="shared" si="34"/>
        <v/>
      </c>
      <c r="AW543" s="138" t="str">
        <f t="shared" si="35"/>
        <v/>
      </c>
      <c r="AX543" s="139" t="str">
        <f>[1]!T.in.A[[#This Row],[ID_T_manu]]</f>
        <v/>
      </c>
      <c r="AY543" s="140" t="str">
        <f>IF(ISNUMBER(Tab.o1[[#This Row],[a1]]),IF(AND(Tab.o1[[#This Row],[a1]]=1,Tab.o1[[#This Row],[b1]]&lt;=AY$4),#REF!,AY542),"")</f>
        <v/>
      </c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</row>
    <row r="544" spans="1:79" ht="15.75" hidden="1">
      <c r="A544" s="109">
        <v>-2.9999999999999997E-6</v>
      </c>
      <c r="B544" s="110">
        <f t="shared" si="32"/>
        <v>544</v>
      </c>
      <c r="C544" s="111" t="str">
        <f>IF(C$1=[1]!T.in.A[[#This Row],[oo2]],1,"")</f>
        <v/>
      </c>
      <c r="D544" s="112" t="str">
        <f>IF(Tab.o1[[#This Row],[a1]]=1,IF(SUM(C544:C545)=0,0,IF(SUM(C543:C544)=1,1,IF(SUM(C543:C545)&gt;1,D543+1,0))),"")</f>
        <v/>
      </c>
      <c r="E544" s="113" t="str">
        <f>IF(Tab.o1[[#This Row],[a1]]=1,[1]!T.in.A[[#This Row],[oo1]],"")</f>
        <v/>
      </c>
      <c r="F544" s="113" t="str">
        <f>IF(Tab.o1[[#This Row],[a1]]=1,[1]!T.in.A[[#This Row],[pp1]],"")</f>
        <v/>
      </c>
      <c r="G544" s="114" t="str">
        <f>IF(Tab.o1[[#This Row],[a1]]=1,G$2+IF(G$1=1,0,Tab.o1[[#This Row],[.x1]])+[1]!T.in.A[[#This Row],[oo3]],"")</f>
        <v/>
      </c>
      <c r="H544" s="115" t="str">
        <f>IF(Tab.o1[[#This Row],[a1]]=1,IF(H$2=0,0,IF(G$1=1,0,Tab.o1[[#This Row],[.x1]])+[1]!T.in.A[[#This Row],[oo4]]),"")</f>
        <v/>
      </c>
      <c r="I544" s="116" t="str">
        <f>IF(Tab.o1[[#This Row],[a1]]=1,IF(J$2=0,Tab.o1[[#This Row],[MED]],Tab.o1[[#This Row],[MOD]]),"")</f>
        <v/>
      </c>
      <c r="J544" s="116" t="str">
        <f>IF(Tab.o1[[#This Row],[a1]]=1,((Tab.o1[[#This Row],[DIF_Target.]]-AVERAGE(Tab.o1[DIF_Target.]))/_xlfn.STDEV.P(Tab.o1[DIF_Target.])),"")</f>
        <v/>
      </c>
      <c r="K544" s="117" t="str">
        <f>IF(Tab.o1[[#This Row],[a1]]=1,IF(J$2=0,Tab.o1[[#This Row],[MOD]]-Tab.o1[[#This Row],[B]],IF(J$2=1,0,-Tab.o1[[#This Row],[MED]])+Tab.o1[[#This Row],[B]]),"")</f>
        <v/>
      </c>
      <c r="L544" s="117" t="str">
        <f ca="1">IF(Tab.o1[[#This Row],[DIF_Target]]=0,IF(L$2=0,Tab.o1[[#This Row],[DIF_Target]],AVERAGE(OFFSET(Tab.o1[[#This Row],[DIF_Target]],1,0,L$3,1)))/3,Tab.o1[[#This Row],[DIF_Target]])</f>
        <v/>
      </c>
      <c r="M544" s="118" t="str">
        <f>IF(Tab.o1[[#This Row],[a1]]=1,NORMSDIST(Tab.o1[[#This Row],[Za]]),"")</f>
        <v/>
      </c>
      <c r="N544" s="119" t="str">
        <f>IF(Tab.o1[[#This Row],[a1]]=1,((Tab.o1[[#This Row],[MedMod]]-AVERAGE(Tab.o1[MedMod]))/_xlfn.STDEV.P(Tab.o1[MedMod])*H$1205)+G$1205,"")</f>
        <v/>
      </c>
      <c r="O544" s="141" t="str">
        <f>IF(Tab.o1[[#This Row],[a1]]=1,Tab.o1[[#This Row],[Zb]]*_xlfn.STDEV.P(Tab.o1[MedMod])+AVERAGE(Tab.o1[MedMod]),"")</f>
        <v/>
      </c>
      <c r="P544" s="117" t="str">
        <f ca="1">IF(Tab.o1[[#This Row],[B]]=0,AVERAGE(OFFSET(Tab.o1[[#This Row],[B]],1,0,L$3,1)),Tab.o1[[#This Row],[B]])</f>
        <v/>
      </c>
      <c r="Q544" s="121" t="str">
        <f>IF(Tab.o1[[#This Row],[a1]]=1,NORMSDIST(Tab.o1[[#This Row],[Zb]]),"")</f>
        <v/>
      </c>
      <c r="R544" s="122" t="str">
        <f>IF(Tab.o1[[#This Row],[a1]]=1,((Tab.o1[[#This Row],[MedMod]]-AVERAGE(Tab.o1[MedMod]))/_xlfn.STDEV.P(Tab.o1[MedMod])*H$1203)+G$1203,"")</f>
        <v/>
      </c>
      <c r="S544" s="122" t="str">
        <f>IF(Tab.o1[[#This Row],[a1]]=1,((Tab.o1[[#This Row],[MedMod]]-AVERAGE(Tab.o1[MedMod]))/_xlfn.STDEV.P(Tab.o1[MedMod])*H$1204)+G$1204,"")</f>
        <v/>
      </c>
      <c r="T544" s="123" t="str">
        <f>IF(Tab.o1[[#This Row],[a1]]=1,Tab.o1[[#This Row],[Z-]]*_xlfn.STDEV.P(Tab.o1[B])+AVERAGE(Tab.o1[B]),"")</f>
        <v/>
      </c>
      <c r="U544" s="123" t="str">
        <f>IF(Tab.o1[[#This Row],[a1]]=1,Tab.o1[[#This Row],[z+]]*_xlfn.STDEV.P(Tab.o1[B])+AVERAGE(Tab.o1[B]),"")</f>
        <v/>
      </c>
      <c r="V544" s="124" t="str">
        <f>IF(Tab.o1[[#This Row],[a1]]=1,ABS((ABS(Tab.o1[[#This Row],[Red]]-Tab.o1[[#This Row],[Blue]]))),"")</f>
        <v/>
      </c>
      <c r="W544" s="125" t="str">
        <f>IF(Tab.o1[[#This Row],[a1]]=1,IF(W$3=0,1,Tab.o1[[#This Row],[Amp.]]*1/_xlfn.MINIFS(Tab.o1[Amp.],Tab.o1[Amp.],"&lt;&gt;0")),"")</f>
        <v/>
      </c>
      <c r="X544" s="126" t="str">
        <f>IF(Tab.o1[[#This Row],[a1]]=1,IF(ISNUMBER(Tab.o1[[#This Row],[i.]]),NORMDIST(Tab.o1[[#This Row],[Za]],0,1,FALSE)*Tab.o1[[#This Row],[i.]],AP$3),"")</f>
        <v/>
      </c>
      <c r="Y544" s="126" t="str">
        <f>IF(Tab.o1[[#This Row],[a1]]=1,0.01+0.94*Tab.o1[[#This Row],[PDF]]/MAX(Tab.o1[PDF]),"")</f>
        <v/>
      </c>
      <c r="Z544" s="126" t="str">
        <f>IF(Tab.o1[[#This Row],[a1]]=1,0.01+0.94*Tab.o1[[#This Row],[W1_PDF]]/MAX(Tab.o1[W1_PDF]),"")</f>
        <v/>
      </c>
      <c r="AA544" s="118" t="str">
        <f>IF(Tab.o1[[#This Row],[a1]]=1,ABS([1]!T.in.A[[#This Row],[oo6]]),"")</f>
        <v/>
      </c>
      <c r="AB544" s="127" t="str">
        <f>IF(Tab.o1[[#This Row],[a1]]=1,IF(AE$3=0,"",IF(AB$3=0,ABS([1]!T.in.A[[#This Row],[oo9]]),ABS(Tab.o1[[#This Row],[DIF_Target.]]*Tab.o1[[#This Row],[W1_PDF]]))),"")</f>
        <v/>
      </c>
      <c r="AC544" s="127" t="str">
        <f>IF(G$1=1,"",IF(Tab.o1[[#This Row],[a1]]=1,Tab.o1[[#This Row],[Wr]]^2,""))</f>
        <v/>
      </c>
      <c r="AD544" s="118" t="str">
        <f>IF(Tab.o1[[#This Row],[a1]]=1,IF(AE$3=0,"",Tab.o1[[#This Row],[Wr2]]/SUM(Tab.o1[Wr2])),"")</f>
        <v/>
      </c>
      <c r="AE544" s="128" t="str">
        <f>IF(Tab.o1[[#This Row],[a1]]=1,[1]!T.in.A[[#This Row],[oo10]],"")</f>
        <v/>
      </c>
      <c r="AF544" s="118" t="str">
        <f>IF(Tab.o1[[#This Row],[a1]]=1,ABS(Tab.o1[[#This Row],[DIF_Target.]]*Tab.o1[[#This Row],[PDF2]]*Tab.o1[[#This Row],[IN]]),"")</f>
        <v/>
      </c>
      <c r="AG544" s="129" t="str">
        <f>IF(Tab.o1[[#This Row],[a1]]=1,Tab.o1[[#This Row],[rW]]^2,"")</f>
        <v/>
      </c>
      <c r="AH544" s="130" t="str">
        <f>IF(Tab.o1[[#This Row],[a1]]=1,IF(AH$3=0,Tab.o1[[#This Row],[rW2]],0.01+0.94*Tab.o1[[#This Row],[rW2]]/SUM(Tab.o1[rW2])),"")</f>
        <v/>
      </c>
      <c r="AI544" s="128" t="str">
        <f>IF(Tab.o1[[#This Row],[a1]]=1,1/Tab.o1[[#This Row],[PDF]],"")</f>
        <v/>
      </c>
      <c r="AJ544" s="131" t="str">
        <f>IF(Tab.o1[[#This Row],[a1]]=1,[1]!T_AA[[#This Row],[IN'']]*[1]!T_AA[[#This Row],[Qde'']],"")</f>
        <v/>
      </c>
      <c r="AK544" s="132" t="str">
        <f>IF(Tab.o1[[#This Row],[a1]]=1,IF(AK$1=1,Tab.o1[[#This Row],[MED]]+Tab.o1[[#This Row],[MOD]]-Tab.o1[[#This Row],[MED]],""),"")</f>
        <v/>
      </c>
      <c r="AL544" s="133" t="str">
        <f>IF(Tab.o1[[#This Row],[a1]]=1,[1]!T.in.A[[#This Row],[oo16]],"")</f>
        <v/>
      </c>
      <c r="AM544" s="133" t="str">
        <f>IF(Tab.o1[[#This Row],[a1]]=1,IF(AM$3=1,[1]!T.in.A[[#This Row],[Σo16]],""),"")</f>
        <v/>
      </c>
      <c r="AN544" s="126" t="str">
        <f>IF(Tab.o1[[#This Row],[a1]]=1,[1]!T.in.A[[#This Row],[Σp5]],"")</f>
        <v/>
      </c>
      <c r="AO544" s="126" t="str">
        <f>IF(Tab.o1[[#This Row],[a1]]=1,IF(AO$3=1,[1]!T.in.A[[#This Row],[Σp5]],""),"")</f>
        <v/>
      </c>
      <c r="AP544" s="110" t="str">
        <f>IF(Tab.o1[[#This Row],[a1]]=1,IF(ISNUMBER(Tab.o1[[#This Row],[i.]]),NORMDIST(Tab.o1[[#This Row],[Za]],0,1,FALSE)*Tab.o1[[#This Row],[i.]],0),"")</f>
        <v/>
      </c>
      <c r="AQ544" s="125" t="str">
        <f>IF(Tab.o1[[#This Row],[a1]]=1,ABS(Tab.o1[[#This Row],[MOD]]-AVERAGE(Tab.o1[MOD])),"")</f>
        <v/>
      </c>
      <c r="AR544" s="134" t="str">
        <f>IF(Tab.o1[[#This Row],[a1]]=1,Tab.o1[[#This Row],[OBS]]/SUM(Tab.o1[OBS]),"")</f>
        <v/>
      </c>
      <c r="AS544" s="135" t="str">
        <f>IF(ISNUMBER(Tab.o1[[#This Row],[a1]]),ROW()-4,"")</f>
        <v/>
      </c>
      <c r="AT544" s="136" t="str">
        <f>Tab.o1[[#This Row],[MOD]]</f>
        <v/>
      </c>
      <c r="AU544" s="137" t="str">
        <f t="shared" si="33"/>
        <v/>
      </c>
      <c r="AV544" s="138" t="str">
        <f t="shared" si="34"/>
        <v/>
      </c>
      <c r="AW544" s="138" t="str">
        <f t="shared" si="35"/>
        <v/>
      </c>
      <c r="AX544" s="139" t="str">
        <f>[1]!T.in.A[[#This Row],[ID_T_manu]]</f>
        <v/>
      </c>
      <c r="AY544" s="140" t="str">
        <f>IF(ISNUMBER(Tab.o1[[#This Row],[a1]]),IF(AND(Tab.o1[[#This Row],[a1]]=1,Tab.o1[[#This Row],[b1]]&lt;=AY$4),#REF!,AY543),"")</f>
        <v/>
      </c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</row>
    <row r="545" spans="1:79" ht="15.75" hidden="1">
      <c r="A545" s="109">
        <v>-9.0000000000000002E-6</v>
      </c>
      <c r="B545" s="110">
        <f t="shared" si="32"/>
        <v>545</v>
      </c>
      <c r="C545" s="111" t="str">
        <f>IF(C$1=[1]!T.in.A[[#This Row],[oo2]],1,"")</f>
        <v/>
      </c>
      <c r="D545" s="112" t="str">
        <f>IF(Tab.o1[[#This Row],[a1]]=1,IF(SUM(C545:C546)=0,0,IF(SUM(C544:C545)=1,1,IF(SUM(C544:C546)&gt;1,D544+1,0))),"")</f>
        <v/>
      </c>
      <c r="E545" s="113" t="str">
        <f>IF(Tab.o1[[#This Row],[a1]]=1,[1]!T.in.A[[#This Row],[oo1]],"")</f>
        <v/>
      </c>
      <c r="F545" s="113" t="str">
        <f>IF(Tab.o1[[#This Row],[a1]]=1,[1]!T.in.A[[#This Row],[pp1]],"")</f>
        <v/>
      </c>
      <c r="G545" s="114" t="str">
        <f>IF(Tab.o1[[#This Row],[a1]]=1,G$2+IF(G$1=1,0,Tab.o1[[#This Row],[.x1]])+[1]!T.in.A[[#This Row],[oo3]],"")</f>
        <v/>
      </c>
      <c r="H545" s="115" t="str">
        <f>IF(Tab.o1[[#This Row],[a1]]=1,IF(H$2=0,0,IF(G$1=1,0,Tab.o1[[#This Row],[.x1]])+[1]!T.in.A[[#This Row],[oo4]]),"")</f>
        <v/>
      </c>
      <c r="I545" s="116" t="str">
        <f>IF(Tab.o1[[#This Row],[a1]]=1,IF(J$2=0,Tab.o1[[#This Row],[MED]],Tab.o1[[#This Row],[MOD]]),"")</f>
        <v/>
      </c>
      <c r="J545" s="116" t="str">
        <f>IF(Tab.o1[[#This Row],[a1]]=1,((Tab.o1[[#This Row],[DIF_Target.]]-AVERAGE(Tab.o1[DIF_Target.]))/_xlfn.STDEV.P(Tab.o1[DIF_Target.])),"")</f>
        <v/>
      </c>
      <c r="K545" s="117" t="str">
        <f>IF(Tab.o1[[#This Row],[a1]]=1,IF(J$2=0,Tab.o1[[#This Row],[MOD]]-Tab.o1[[#This Row],[B]],IF(J$2=1,0,-Tab.o1[[#This Row],[MED]])+Tab.o1[[#This Row],[B]]),"")</f>
        <v/>
      </c>
      <c r="L545" s="117" t="str">
        <f ca="1">IF(Tab.o1[[#This Row],[DIF_Target]]=0,IF(L$2=0,Tab.o1[[#This Row],[DIF_Target]],AVERAGE(OFFSET(Tab.o1[[#This Row],[DIF_Target]],1,0,L$3,1)))/3,Tab.o1[[#This Row],[DIF_Target]])</f>
        <v/>
      </c>
      <c r="M545" s="118" t="str">
        <f>IF(Tab.o1[[#This Row],[a1]]=1,NORMSDIST(Tab.o1[[#This Row],[Za]]),"")</f>
        <v/>
      </c>
      <c r="N545" s="119" t="str">
        <f>IF(Tab.o1[[#This Row],[a1]]=1,((Tab.o1[[#This Row],[MedMod]]-AVERAGE(Tab.o1[MedMod]))/_xlfn.STDEV.P(Tab.o1[MedMod])*H$1205)+G$1205,"")</f>
        <v/>
      </c>
      <c r="O545" s="141" t="str">
        <f>IF(Tab.o1[[#This Row],[a1]]=1,Tab.o1[[#This Row],[Zb]]*_xlfn.STDEV.P(Tab.o1[MedMod])+AVERAGE(Tab.o1[MedMod]),"")</f>
        <v/>
      </c>
      <c r="P545" s="117" t="str">
        <f ca="1">IF(Tab.o1[[#This Row],[B]]=0,AVERAGE(OFFSET(Tab.o1[[#This Row],[B]],1,0,L$3,1)),Tab.o1[[#This Row],[B]])</f>
        <v/>
      </c>
      <c r="Q545" s="121" t="str">
        <f>IF(Tab.o1[[#This Row],[a1]]=1,NORMSDIST(Tab.o1[[#This Row],[Zb]]),"")</f>
        <v/>
      </c>
      <c r="R545" s="122" t="str">
        <f>IF(Tab.o1[[#This Row],[a1]]=1,((Tab.o1[[#This Row],[MedMod]]-AVERAGE(Tab.o1[MedMod]))/_xlfn.STDEV.P(Tab.o1[MedMod])*H$1203)+G$1203,"")</f>
        <v/>
      </c>
      <c r="S545" s="122" t="str">
        <f>IF(Tab.o1[[#This Row],[a1]]=1,((Tab.o1[[#This Row],[MedMod]]-AVERAGE(Tab.o1[MedMod]))/_xlfn.STDEV.P(Tab.o1[MedMod])*H$1204)+G$1204,"")</f>
        <v/>
      </c>
      <c r="T545" s="123" t="str">
        <f>IF(Tab.o1[[#This Row],[a1]]=1,Tab.o1[[#This Row],[Z-]]*_xlfn.STDEV.P(Tab.o1[B])+AVERAGE(Tab.o1[B]),"")</f>
        <v/>
      </c>
      <c r="U545" s="123" t="str">
        <f>IF(Tab.o1[[#This Row],[a1]]=1,Tab.o1[[#This Row],[z+]]*_xlfn.STDEV.P(Tab.o1[B])+AVERAGE(Tab.o1[B]),"")</f>
        <v/>
      </c>
      <c r="V545" s="124" t="str">
        <f>IF(Tab.o1[[#This Row],[a1]]=1,ABS((ABS(Tab.o1[[#This Row],[Red]]-Tab.o1[[#This Row],[Blue]]))),"")</f>
        <v/>
      </c>
      <c r="W545" s="125" t="str">
        <f>IF(Tab.o1[[#This Row],[a1]]=1,IF(W$3=0,1,Tab.o1[[#This Row],[Amp.]]*1/_xlfn.MINIFS(Tab.o1[Amp.],Tab.o1[Amp.],"&lt;&gt;0")),"")</f>
        <v/>
      </c>
      <c r="X545" s="126" t="str">
        <f>IF(Tab.o1[[#This Row],[a1]]=1,IF(ISNUMBER(Tab.o1[[#This Row],[i.]]),NORMDIST(Tab.o1[[#This Row],[Za]],0,1,FALSE)*Tab.o1[[#This Row],[i.]],AP$3),"")</f>
        <v/>
      </c>
      <c r="Y545" s="126" t="str">
        <f>IF(Tab.o1[[#This Row],[a1]]=1,0.01+0.94*Tab.o1[[#This Row],[PDF]]/MAX(Tab.o1[PDF]),"")</f>
        <v/>
      </c>
      <c r="Z545" s="126" t="str">
        <f>IF(Tab.o1[[#This Row],[a1]]=1,0.01+0.94*Tab.o1[[#This Row],[W1_PDF]]/MAX(Tab.o1[W1_PDF]),"")</f>
        <v/>
      </c>
      <c r="AA545" s="118" t="str">
        <f>IF(Tab.o1[[#This Row],[a1]]=1,ABS([1]!T.in.A[[#This Row],[oo6]]),"")</f>
        <v/>
      </c>
      <c r="AB545" s="127" t="str">
        <f>IF(Tab.o1[[#This Row],[a1]]=1,IF(AE$3=0,"",IF(AB$3=0,ABS([1]!T.in.A[[#This Row],[oo9]]),ABS(Tab.o1[[#This Row],[DIF_Target.]]*Tab.o1[[#This Row],[W1_PDF]]))),"")</f>
        <v/>
      </c>
      <c r="AC545" s="127" t="str">
        <f>IF(G$1=1,"",IF(Tab.o1[[#This Row],[a1]]=1,Tab.o1[[#This Row],[Wr]]^2,""))</f>
        <v/>
      </c>
      <c r="AD545" s="118" t="str">
        <f>IF(Tab.o1[[#This Row],[a1]]=1,IF(AE$3=0,"",Tab.o1[[#This Row],[Wr2]]/SUM(Tab.o1[Wr2])),"")</f>
        <v/>
      </c>
      <c r="AE545" s="128" t="str">
        <f>IF(Tab.o1[[#This Row],[a1]]=1,[1]!T.in.A[[#This Row],[oo10]],"")</f>
        <v/>
      </c>
      <c r="AF545" s="118" t="str">
        <f>IF(Tab.o1[[#This Row],[a1]]=1,ABS(Tab.o1[[#This Row],[DIF_Target.]]*Tab.o1[[#This Row],[PDF2]]*Tab.o1[[#This Row],[IN]]),"")</f>
        <v/>
      </c>
      <c r="AG545" s="129" t="str">
        <f>IF(Tab.o1[[#This Row],[a1]]=1,Tab.o1[[#This Row],[rW]]^2,"")</f>
        <v/>
      </c>
      <c r="AH545" s="130" t="str">
        <f>IF(Tab.o1[[#This Row],[a1]]=1,IF(AH$3=0,Tab.o1[[#This Row],[rW2]],0.01+0.94*Tab.o1[[#This Row],[rW2]]/SUM(Tab.o1[rW2])),"")</f>
        <v/>
      </c>
      <c r="AI545" s="128" t="str">
        <f>IF(Tab.o1[[#This Row],[a1]]=1,1/Tab.o1[[#This Row],[PDF]],"")</f>
        <v/>
      </c>
      <c r="AJ545" s="131" t="str">
        <f>IF(Tab.o1[[#This Row],[a1]]=1,[1]!T_AA[[#This Row],[IN'']]*[1]!T_AA[[#This Row],[Qde'']],"")</f>
        <v/>
      </c>
      <c r="AK545" s="132" t="str">
        <f>IF(Tab.o1[[#This Row],[a1]]=1,IF(AK$1=1,Tab.o1[[#This Row],[MED]]+Tab.o1[[#This Row],[MOD]]-Tab.o1[[#This Row],[MED]],""),"")</f>
        <v/>
      </c>
      <c r="AL545" s="133" t="str">
        <f>IF(Tab.o1[[#This Row],[a1]]=1,[1]!T.in.A[[#This Row],[oo16]],"")</f>
        <v/>
      </c>
      <c r="AM545" s="133" t="str">
        <f>IF(Tab.o1[[#This Row],[a1]]=1,IF(AM$3=1,[1]!T.in.A[[#This Row],[Σo16]],""),"")</f>
        <v/>
      </c>
      <c r="AN545" s="126" t="str">
        <f>IF(Tab.o1[[#This Row],[a1]]=1,[1]!T.in.A[[#This Row],[Σp5]],"")</f>
        <v/>
      </c>
      <c r="AO545" s="126" t="str">
        <f>IF(Tab.o1[[#This Row],[a1]]=1,IF(AO$3=1,[1]!T.in.A[[#This Row],[Σp5]],""),"")</f>
        <v/>
      </c>
      <c r="AP545" s="110" t="str">
        <f>IF(Tab.o1[[#This Row],[a1]]=1,IF(ISNUMBER(Tab.o1[[#This Row],[i.]]),NORMDIST(Tab.o1[[#This Row],[Za]],0,1,FALSE)*Tab.o1[[#This Row],[i.]],0),"")</f>
        <v/>
      </c>
      <c r="AQ545" s="125" t="str">
        <f>IF(Tab.o1[[#This Row],[a1]]=1,ABS(Tab.o1[[#This Row],[MOD]]-AVERAGE(Tab.o1[MOD])),"")</f>
        <v/>
      </c>
      <c r="AR545" s="134" t="str">
        <f>IF(Tab.o1[[#This Row],[a1]]=1,Tab.o1[[#This Row],[OBS]]/SUM(Tab.o1[OBS]),"")</f>
        <v/>
      </c>
      <c r="AS545" s="135" t="str">
        <f>IF(ISNUMBER(Tab.o1[[#This Row],[a1]]),ROW()-4,"")</f>
        <v/>
      </c>
      <c r="AT545" s="136" t="str">
        <f>Tab.o1[[#This Row],[MOD]]</f>
        <v/>
      </c>
      <c r="AU545" s="137" t="str">
        <f t="shared" si="33"/>
        <v/>
      </c>
      <c r="AV545" s="138" t="str">
        <f t="shared" si="34"/>
        <v/>
      </c>
      <c r="AW545" s="138" t="str">
        <f t="shared" si="35"/>
        <v/>
      </c>
      <c r="AX545" s="139" t="str">
        <f>[1]!T.in.A[[#This Row],[ID_T_manu]]</f>
        <v/>
      </c>
      <c r="AY545" s="140" t="str">
        <f>IF(ISNUMBER(Tab.o1[[#This Row],[a1]]),IF(AND(Tab.o1[[#This Row],[a1]]=1,Tab.o1[[#This Row],[b1]]&lt;=AY$4),#REF!,AY544),"")</f>
        <v/>
      </c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</row>
    <row r="546" spans="1:79" ht="15.75" hidden="1">
      <c r="A546" s="109">
        <v>-2.9999999999999997E-6</v>
      </c>
      <c r="B546" s="110">
        <f t="shared" si="32"/>
        <v>546</v>
      </c>
      <c r="C546" s="111" t="str">
        <f>IF(C$1=[1]!T.in.A[[#This Row],[oo2]],1,"")</f>
        <v/>
      </c>
      <c r="D546" s="112" t="str">
        <f>IF(Tab.o1[[#This Row],[a1]]=1,IF(SUM(C546:C547)=0,0,IF(SUM(C545:C546)=1,1,IF(SUM(C545:C547)&gt;1,D545+1,0))),"")</f>
        <v/>
      </c>
      <c r="E546" s="113" t="str">
        <f>IF(Tab.o1[[#This Row],[a1]]=1,[1]!T.in.A[[#This Row],[oo1]],"")</f>
        <v/>
      </c>
      <c r="F546" s="113" t="str">
        <f>IF(Tab.o1[[#This Row],[a1]]=1,[1]!T.in.A[[#This Row],[pp1]],"")</f>
        <v/>
      </c>
      <c r="G546" s="114" t="str">
        <f>IF(Tab.o1[[#This Row],[a1]]=1,G$2+IF(G$1=1,0,Tab.o1[[#This Row],[.x1]])+[1]!T.in.A[[#This Row],[oo3]],"")</f>
        <v/>
      </c>
      <c r="H546" s="115" t="str">
        <f>IF(Tab.o1[[#This Row],[a1]]=1,IF(H$2=0,0,IF(G$1=1,0,Tab.o1[[#This Row],[.x1]])+[1]!T.in.A[[#This Row],[oo4]]),"")</f>
        <v/>
      </c>
      <c r="I546" s="116" t="str">
        <f>IF(Tab.o1[[#This Row],[a1]]=1,IF(J$2=0,Tab.o1[[#This Row],[MED]],Tab.o1[[#This Row],[MOD]]),"")</f>
        <v/>
      </c>
      <c r="J546" s="116" t="str">
        <f>IF(Tab.o1[[#This Row],[a1]]=1,((Tab.o1[[#This Row],[DIF_Target.]]-AVERAGE(Tab.o1[DIF_Target.]))/_xlfn.STDEV.P(Tab.o1[DIF_Target.])),"")</f>
        <v/>
      </c>
      <c r="K546" s="117" t="str">
        <f>IF(Tab.o1[[#This Row],[a1]]=1,IF(J$2=0,Tab.o1[[#This Row],[MOD]]-Tab.o1[[#This Row],[B]],IF(J$2=1,0,-Tab.o1[[#This Row],[MED]])+Tab.o1[[#This Row],[B]]),"")</f>
        <v/>
      </c>
      <c r="L546" s="117" t="str">
        <f ca="1">IF(Tab.o1[[#This Row],[DIF_Target]]=0,IF(L$2=0,Tab.o1[[#This Row],[DIF_Target]],AVERAGE(OFFSET(Tab.o1[[#This Row],[DIF_Target]],1,0,L$3,1)))/3,Tab.o1[[#This Row],[DIF_Target]])</f>
        <v/>
      </c>
      <c r="M546" s="118" t="str">
        <f>IF(Tab.o1[[#This Row],[a1]]=1,NORMSDIST(Tab.o1[[#This Row],[Za]]),"")</f>
        <v/>
      </c>
      <c r="N546" s="119" t="str">
        <f>IF(Tab.o1[[#This Row],[a1]]=1,((Tab.o1[[#This Row],[MedMod]]-AVERAGE(Tab.o1[MedMod]))/_xlfn.STDEV.P(Tab.o1[MedMod])*H$1205)+G$1205,"")</f>
        <v/>
      </c>
      <c r="O546" s="141" t="str">
        <f>IF(Tab.o1[[#This Row],[a1]]=1,Tab.o1[[#This Row],[Zb]]*_xlfn.STDEV.P(Tab.o1[MedMod])+AVERAGE(Tab.o1[MedMod]),"")</f>
        <v/>
      </c>
      <c r="P546" s="117" t="str">
        <f ca="1">IF(Tab.o1[[#This Row],[B]]=0,AVERAGE(OFFSET(Tab.o1[[#This Row],[B]],1,0,L$3,1)),Tab.o1[[#This Row],[B]])</f>
        <v/>
      </c>
      <c r="Q546" s="121" t="str">
        <f>IF(Tab.o1[[#This Row],[a1]]=1,NORMSDIST(Tab.o1[[#This Row],[Zb]]),"")</f>
        <v/>
      </c>
      <c r="R546" s="122" t="str">
        <f>IF(Tab.o1[[#This Row],[a1]]=1,((Tab.o1[[#This Row],[MedMod]]-AVERAGE(Tab.o1[MedMod]))/_xlfn.STDEV.P(Tab.o1[MedMod])*H$1203)+G$1203,"")</f>
        <v/>
      </c>
      <c r="S546" s="122" t="str">
        <f>IF(Tab.o1[[#This Row],[a1]]=1,((Tab.o1[[#This Row],[MedMod]]-AVERAGE(Tab.o1[MedMod]))/_xlfn.STDEV.P(Tab.o1[MedMod])*H$1204)+G$1204,"")</f>
        <v/>
      </c>
      <c r="T546" s="123" t="str">
        <f>IF(Tab.o1[[#This Row],[a1]]=1,Tab.o1[[#This Row],[Z-]]*_xlfn.STDEV.P(Tab.o1[B])+AVERAGE(Tab.o1[B]),"")</f>
        <v/>
      </c>
      <c r="U546" s="123" t="str">
        <f>IF(Tab.o1[[#This Row],[a1]]=1,Tab.o1[[#This Row],[z+]]*_xlfn.STDEV.P(Tab.o1[B])+AVERAGE(Tab.o1[B]),"")</f>
        <v/>
      </c>
      <c r="V546" s="124" t="str">
        <f>IF(Tab.o1[[#This Row],[a1]]=1,ABS((ABS(Tab.o1[[#This Row],[Red]]-Tab.o1[[#This Row],[Blue]]))),"")</f>
        <v/>
      </c>
      <c r="W546" s="125" t="str">
        <f>IF(Tab.o1[[#This Row],[a1]]=1,IF(W$3=0,1,Tab.o1[[#This Row],[Amp.]]*1/_xlfn.MINIFS(Tab.o1[Amp.],Tab.o1[Amp.],"&lt;&gt;0")),"")</f>
        <v/>
      </c>
      <c r="X546" s="126" t="str">
        <f>IF(Tab.o1[[#This Row],[a1]]=1,IF(ISNUMBER(Tab.o1[[#This Row],[i.]]),NORMDIST(Tab.o1[[#This Row],[Za]],0,1,FALSE)*Tab.o1[[#This Row],[i.]],AP$3),"")</f>
        <v/>
      </c>
      <c r="Y546" s="126" t="str">
        <f>IF(Tab.o1[[#This Row],[a1]]=1,0.01+0.94*Tab.o1[[#This Row],[PDF]]/MAX(Tab.o1[PDF]),"")</f>
        <v/>
      </c>
      <c r="Z546" s="126" t="str">
        <f>IF(Tab.o1[[#This Row],[a1]]=1,0.01+0.94*Tab.o1[[#This Row],[W1_PDF]]/MAX(Tab.o1[W1_PDF]),"")</f>
        <v/>
      </c>
      <c r="AA546" s="118" t="str">
        <f>IF(Tab.o1[[#This Row],[a1]]=1,ABS([1]!T.in.A[[#This Row],[oo6]]),"")</f>
        <v/>
      </c>
      <c r="AB546" s="127" t="str">
        <f>IF(Tab.o1[[#This Row],[a1]]=1,IF(AE$3=0,"",IF(AB$3=0,ABS([1]!T.in.A[[#This Row],[oo9]]),ABS(Tab.o1[[#This Row],[DIF_Target.]]*Tab.o1[[#This Row],[W1_PDF]]))),"")</f>
        <v/>
      </c>
      <c r="AC546" s="127" t="str">
        <f>IF(G$1=1,"",IF(Tab.o1[[#This Row],[a1]]=1,Tab.o1[[#This Row],[Wr]]^2,""))</f>
        <v/>
      </c>
      <c r="AD546" s="118" t="str">
        <f>IF(Tab.o1[[#This Row],[a1]]=1,IF(AE$3=0,"",Tab.o1[[#This Row],[Wr2]]/SUM(Tab.o1[Wr2])),"")</f>
        <v/>
      </c>
      <c r="AE546" s="128" t="str">
        <f>IF(Tab.o1[[#This Row],[a1]]=1,[1]!T.in.A[[#This Row],[oo10]],"")</f>
        <v/>
      </c>
      <c r="AF546" s="118" t="str">
        <f>IF(Tab.o1[[#This Row],[a1]]=1,ABS(Tab.o1[[#This Row],[DIF_Target.]]*Tab.o1[[#This Row],[PDF2]]*Tab.o1[[#This Row],[IN]]),"")</f>
        <v/>
      </c>
      <c r="AG546" s="129" t="str">
        <f>IF(Tab.o1[[#This Row],[a1]]=1,Tab.o1[[#This Row],[rW]]^2,"")</f>
        <v/>
      </c>
      <c r="AH546" s="130" t="str">
        <f>IF(Tab.o1[[#This Row],[a1]]=1,IF(AH$3=0,Tab.o1[[#This Row],[rW2]],0.01+0.94*Tab.o1[[#This Row],[rW2]]/SUM(Tab.o1[rW2])),"")</f>
        <v/>
      </c>
      <c r="AI546" s="128" t="str">
        <f>IF(Tab.o1[[#This Row],[a1]]=1,1/Tab.o1[[#This Row],[PDF]],"")</f>
        <v/>
      </c>
      <c r="AJ546" s="131" t="str">
        <f>IF(Tab.o1[[#This Row],[a1]]=1,[1]!T_AA[[#This Row],[IN'']]*[1]!T_AA[[#This Row],[Qde'']],"")</f>
        <v/>
      </c>
      <c r="AK546" s="132" t="str">
        <f>IF(Tab.o1[[#This Row],[a1]]=1,IF(AK$1=1,Tab.o1[[#This Row],[MED]]+Tab.o1[[#This Row],[MOD]]-Tab.o1[[#This Row],[MED]],""),"")</f>
        <v/>
      </c>
      <c r="AL546" s="133" t="str">
        <f>IF(Tab.o1[[#This Row],[a1]]=1,[1]!T.in.A[[#This Row],[oo16]],"")</f>
        <v/>
      </c>
      <c r="AM546" s="133" t="str">
        <f>IF(Tab.o1[[#This Row],[a1]]=1,IF(AM$3=1,[1]!T.in.A[[#This Row],[Σo16]],""),"")</f>
        <v/>
      </c>
      <c r="AN546" s="126" t="str">
        <f>IF(Tab.o1[[#This Row],[a1]]=1,[1]!T.in.A[[#This Row],[Σp5]],"")</f>
        <v/>
      </c>
      <c r="AO546" s="126" t="str">
        <f>IF(Tab.o1[[#This Row],[a1]]=1,IF(AO$3=1,[1]!T.in.A[[#This Row],[Σp5]],""),"")</f>
        <v/>
      </c>
      <c r="AP546" s="110" t="str">
        <f>IF(Tab.o1[[#This Row],[a1]]=1,IF(ISNUMBER(Tab.o1[[#This Row],[i.]]),NORMDIST(Tab.o1[[#This Row],[Za]],0,1,FALSE)*Tab.o1[[#This Row],[i.]],0),"")</f>
        <v/>
      </c>
      <c r="AQ546" s="125" t="str">
        <f>IF(Tab.o1[[#This Row],[a1]]=1,ABS(Tab.o1[[#This Row],[MOD]]-AVERAGE(Tab.o1[MOD])),"")</f>
        <v/>
      </c>
      <c r="AR546" s="134" t="str">
        <f>IF(Tab.o1[[#This Row],[a1]]=1,Tab.o1[[#This Row],[OBS]]/SUM(Tab.o1[OBS]),"")</f>
        <v/>
      </c>
      <c r="AS546" s="135" t="str">
        <f>IF(ISNUMBER(Tab.o1[[#This Row],[a1]]),ROW()-4,"")</f>
        <v/>
      </c>
      <c r="AT546" s="136" t="str">
        <f>Tab.o1[[#This Row],[MOD]]</f>
        <v/>
      </c>
      <c r="AU546" s="137" t="str">
        <f t="shared" si="33"/>
        <v/>
      </c>
      <c r="AV546" s="138" t="str">
        <f t="shared" si="34"/>
        <v/>
      </c>
      <c r="AW546" s="138" t="str">
        <f t="shared" si="35"/>
        <v/>
      </c>
      <c r="AX546" s="139" t="str">
        <f>[1]!T.in.A[[#This Row],[ID_T_manu]]</f>
        <v/>
      </c>
      <c r="AY546" s="140" t="str">
        <f>IF(ISNUMBER(Tab.o1[[#This Row],[a1]]),IF(AND(Tab.o1[[#This Row],[a1]]=1,Tab.o1[[#This Row],[b1]]&lt;=AY$4),#REF!,AY545),"")</f>
        <v/>
      </c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</row>
    <row r="547" spans="1:79" ht="15.75" hidden="1">
      <c r="A547" s="109">
        <v>-2.9999999999999997E-6</v>
      </c>
      <c r="B547" s="110">
        <f t="shared" si="32"/>
        <v>547</v>
      </c>
      <c r="C547" s="111" t="str">
        <f>IF(C$1=[1]!T.in.A[[#This Row],[oo2]],1,"")</f>
        <v/>
      </c>
      <c r="D547" s="112" t="str">
        <f>IF(Tab.o1[[#This Row],[a1]]=1,IF(SUM(C547:C548)=0,0,IF(SUM(C546:C547)=1,1,IF(SUM(C546:C548)&gt;1,D546+1,0))),"")</f>
        <v/>
      </c>
      <c r="E547" s="113" t="str">
        <f>IF(Tab.o1[[#This Row],[a1]]=1,[1]!T.in.A[[#This Row],[oo1]],"")</f>
        <v/>
      </c>
      <c r="F547" s="113" t="str">
        <f>IF(Tab.o1[[#This Row],[a1]]=1,[1]!T.in.A[[#This Row],[pp1]],"")</f>
        <v/>
      </c>
      <c r="G547" s="114" t="str">
        <f>IF(Tab.o1[[#This Row],[a1]]=1,G$2+IF(G$1=1,0,Tab.o1[[#This Row],[.x1]])+[1]!T.in.A[[#This Row],[oo3]],"")</f>
        <v/>
      </c>
      <c r="H547" s="115" t="str">
        <f>IF(Tab.o1[[#This Row],[a1]]=1,IF(H$2=0,0,IF(G$1=1,0,Tab.o1[[#This Row],[.x1]])+[1]!T.in.A[[#This Row],[oo4]]),"")</f>
        <v/>
      </c>
      <c r="I547" s="116" t="str">
        <f>IF(Tab.o1[[#This Row],[a1]]=1,IF(J$2=0,Tab.o1[[#This Row],[MED]],Tab.o1[[#This Row],[MOD]]),"")</f>
        <v/>
      </c>
      <c r="J547" s="116" t="str">
        <f>IF(Tab.o1[[#This Row],[a1]]=1,((Tab.o1[[#This Row],[DIF_Target.]]-AVERAGE(Tab.o1[DIF_Target.]))/_xlfn.STDEV.P(Tab.o1[DIF_Target.])),"")</f>
        <v/>
      </c>
      <c r="K547" s="117" t="str">
        <f>IF(Tab.o1[[#This Row],[a1]]=1,IF(J$2=0,Tab.o1[[#This Row],[MOD]]-Tab.o1[[#This Row],[B]],IF(J$2=1,0,-Tab.o1[[#This Row],[MED]])+Tab.o1[[#This Row],[B]]),"")</f>
        <v/>
      </c>
      <c r="L547" s="117" t="str">
        <f ca="1">IF(Tab.o1[[#This Row],[DIF_Target]]=0,IF(L$2=0,Tab.o1[[#This Row],[DIF_Target]],AVERAGE(OFFSET(Tab.o1[[#This Row],[DIF_Target]],1,0,L$3,1)))/3,Tab.o1[[#This Row],[DIF_Target]])</f>
        <v/>
      </c>
      <c r="M547" s="118" t="str">
        <f>IF(Tab.o1[[#This Row],[a1]]=1,NORMSDIST(Tab.o1[[#This Row],[Za]]),"")</f>
        <v/>
      </c>
      <c r="N547" s="119" t="str">
        <f>IF(Tab.o1[[#This Row],[a1]]=1,((Tab.o1[[#This Row],[MedMod]]-AVERAGE(Tab.o1[MedMod]))/_xlfn.STDEV.P(Tab.o1[MedMod])*H$1205)+G$1205,"")</f>
        <v/>
      </c>
      <c r="O547" s="141" t="str">
        <f>IF(Tab.o1[[#This Row],[a1]]=1,Tab.o1[[#This Row],[Zb]]*_xlfn.STDEV.P(Tab.o1[MedMod])+AVERAGE(Tab.o1[MedMod]),"")</f>
        <v/>
      </c>
      <c r="P547" s="117" t="str">
        <f ca="1">IF(Tab.o1[[#This Row],[B]]=0,AVERAGE(OFFSET(Tab.o1[[#This Row],[B]],1,0,L$3,1)),Tab.o1[[#This Row],[B]])</f>
        <v/>
      </c>
      <c r="Q547" s="121" t="str">
        <f>IF(Tab.o1[[#This Row],[a1]]=1,NORMSDIST(Tab.o1[[#This Row],[Zb]]),"")</f>
        <v/>
      </c>
      <c r="R547" s="122" t="str">
        <f>IF(Tab.o1[[#This Row],[a1]]=1,((Tab.o1[[#This Row],[MedMod]]-AVERAGE(Tab.o1[MedMod]))/_xlfn.STDEV.P(Tab.o1[MedMod])*H$1203)+G$1203,"")</f>
        <v/>
      </c>
      <c r="S547" s="122" t="str">
        <f>IF(Tab.o1[[#This Row],[a1]]=1,((Tab.o1[[#This Row],[MedMod]]-AVERAGE(Tab.o1[MedMod]))/_xlfn.STDEV.P(Tab.o1[MedMod])*H$1204)+G$1204,"")</f>
        <v/>
      </c>
      <c r="T547" s="123" t="str">
        <f>IF(Tab.o1[[#This Row],[a1]]=1,Tab.o1[[#This Row],[Z-]]*_xlfn.STDEV.P(Tab.o1[B])+AVERAGE(Tab.o1[B]),"")</f>
        <v/>
      </c>
      <c r="U547" s="123" t="str">
        <f>IF(Tab.o1[[#This Row],[a1]]=1,Tab.o1[[#This Row],[z+]]*_xlfn.STDEV.P(Tab.o1[B])+AVERAGE(Tab.o1[B]),"")</f>
        <v/>
      </c>
      <c r="V547" s="124" t="str">
        <f>IF(Tab.o1[[#This Row],[a1]]=1,ABS((ABS(Tab.o1[[#This Row],[Red]]-Tab.o1[[#This Row],[Blue]]))),"")</f>
        <v/>
      </c>
      <c r="W547" s="125" t="str">
        <f>IF(Tab.o1[[#This Row],[a1]]=1,IF(W$3=0,1,Tab.o1[[#This Row],[Amp.]]*1/_xlfn.MINIFS(Tab.o1[Amp.],Tab.o1[Amp.],"&lt;&gt;0")),"")</f>
        <v/>
      </c>
      <c r="X547" s="126" t="str">
        <f>IF(Tab.o1[[#This Row],[a1]]=1,IF(ISNUMBER(Tab.o1[[#This Row],[i.]]),NORMDIST(Tab.o1[[#This Row],[Za]],0,1,FALSE)*Tab.o1[[#This Row],[i.]],AP$3),"")</f>
        <v/>
      </c>
      <c r="Y547" s="126" t="str">
        <f>IF(Tab.o1[[#This Row],[a1]]=1,0.01+0.94*Tab.o1[[#This Row],[PDF]]/MAX(Tab.o1[PDF]),"")</f>
        <v/>
      </c>
      <c r="Z547" s="126" t="str">
        <f>IF(Tab.o1[[#This Row],[a1]]=1,0.01+0.94*Tab.o1[[#This Row],[W1_PDF]]/MAX(Tab.o1[W1_PDF]),"")</f>
        <v/>
      </c>
      <c r="AA547" s="118" t="str">
        <f>IF(Tab.o1[[#This Row],[a1]]=1,ABS([1]!T.in.A[[#This Row],[oo6]]),"")</f>
        <v/>
      </c>
      <c r="AB547" s="127" t="str">
        <f>IF(Tab.o1[[#This Row],[a1]]=1,IF(AE$3=0,"",IF(AB$3=0,ABS([1]!T.in.A[[#This Row],[oo9]]),ABS(Tab.o1[[#This Row],[DIF_Target.]]*Tab.o1[[#This Row],[W1_PDF]]))),"")</f>
        <v/>
      </c>
      <c r="AC547" s="127" t="str">
        <f>IF(G$1=1,"",IF(Tab.o1[[#This Row],[a1]]=1,Tab.o1[[#This Row],[Wr]]^2,""))</f>
        <v/>
      </c>
      <c r="AD547" s="118" t="str">
        <f>IF(Tab.o1[[#This Row],[a1]]=1,IF(AE$3=0,"",Tab.o1[[#This Row],[Wr2]]/SUM(Tab.o1[Wr2])),"")</f>
        <v/>
      </c>
      <c r="AE547" s="128" t="str">
        <f>IF(Tab.o1[[#This Row],[a1]]=1,[1]!T.in.A[[#This Row],[oo10]],"")</f>
        <v/>
      </c>
      <c r="AF547" s="118" t="str">
        <f>IF(Tab.o1[[#This Row],[a1]]=1,ABS(Tab.o1[[#This Row],[DIF_Target.]]*Tab.o1[[#This Row],[PDF2]]*Tab.o1[[#This Row],[IN]]),"")</f>
        <v/>
      </c>
      <c r="AG547" s="129" t="str">
        <f>IF(Tab.o1[[#This Row],[a1]]=1,Tab.o1[[#This Row],[rW]]^2,"")</f>
        <v/>
      </c>
      <c r="AH547" s="130" t="str">
        <f>IF(Tab.o1[[#This Row],[a1]]=1,IF(AH$3=0,Tab.o1[[#This Row],[rW2]],0.01+0.94*Tab.o1[[#This Row],[rW2]]/SUM(Tab.o1[rW2])),"")</f>
        <v/>
      </c>
      <c r="AI547" s="128" t="str">
        <f>IF(Tab.o1[[#This Row],[a1]]=1,1/Tab.o1[[#This Row],[PDF]],"")</f>
        <v/>
      </c>
      <c r="AJ547" s="131" t="str">
        <f>IF(Tab.o1[[#This Row],[a1]]=1,[1]!T_AA[[#This Row],[IN'']]*[1]!T_AA[[#This Row],[Qde'']],"")</f>
        <v/>
      </c>
      <c r="AK547" s="132" t="str">
        <f>IF(Tab.o1[[#This Row],[a1]]=1,IF(AK$1=1,Tab.o1[[#This Row],[MED]]+Tab.o1[[#This Row],[MOD]]-Tab.o1[[#This Row],[MED]],""),"")</f>
        <v/>
      </c>
      <c r="AL547" s="133" t="str">
        <f>IF(Tab.o1[[#This Row],[a1]]=1,[1]!T.in.A[[#This Row],[oo16]],"")</f>
        <v/>
      </c>
      <c r="AM547" s="133" t="str">
        <f>IF(Tab.o1[[#This Row],[a1]]=1,IF(AM$3=1,[1]!T.in.A[[#This Row],[Σo16]],""),"")</f>
        <v/>
      </c>
      <c r="AN547" s="126" t="str">
        <f>IF(Tab.o1[[#This Row],[a1]]=1,[1]!T.in.A[[#This Row],[Σp5]],"")</f>
        <v/>
      </c>
      <c r="AO547" s="126" t="str">
        <f>IF(Tab.o1[[#This Row],[a1]]=1,IF(AO$3=1,[1]!T.in.A[[#This Row],[Σp5]],""),"")</f>
        <v/>
      </c>
      <c r="AP547" s="110" t="str">
        <f>IF(Tab.o1[[#This Row],[a1]]=1,IF(ISNUMBER(Tab.o1[[#This Row],[i.]]),NORMDIST(Tab.o1[[#This Row],[Za]],0,1,FALSE)*Tab.o1[[#This Row],[i.]],0),"")</f>
        <v/>
      </c>
      <c r="AQ547" s="125" t="str">
        <f>IF(Tab.o1[[#This Row],[a1]]=1,ABS(Tab.o1[[#This Row],[MOD]]-AVERAGE(Tab.o1[MOD])),"")</f>
        <v/>
      </c>
      <c r="AR547" s="134" t="str">
        <f>IF(Tab.o1[[#This Row],[a1]]=1,Tab.o1[[#This Row],[OBS]]/SUM(Tab.o1[OBS]),"")</f>
        <v/>
      </c>
      <c r="AS547" s="135" t="str">
        <f>IF(ISNUMBER(Tab.o1[[#This Row],[a1]]),ROW()-4,"")</f>
        <v/>
      </c>
      <c r="AT547" s="136" t="str">
        <f>Tab.o1[[#This Row],[MOD]]</f>
        <v/>
      </c>
      <c r="AU547" s="137" t="str">
        <f t="shared" si="33"/>
        <v/>
      </c>
      <c r="AV547" s="138" t="str">
        <f t="shared" si="34"/>
        <v/>
      </c>
      <c r="AW547" s="138" t="str">
        <f t="shared" si="35"/>
        <v/>
      </c>
      <c r="AX547" s="139" t="str">
        <f>[1]!T.in.A[[#This Row],[ID_T_manu]]</f>
        <v/>
      </c>
      <c r="AY547" s="140" t="str">
        <f>IF(ISNUMBER(Tab.o1[[#This Row],[a1]]),IF(AND(Tab.o1[[#This Row],[a1]]=1,Tab.o1[[#This Row],[b1]]&lt;=AY$4),#REF!,AY546),"")</f>
        <v/>
      </c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</row>
    <row r="548" spans="1:79" ht="15.75" hidden="1">
      <c r="A548" s="109">
        <v>2.9999999999999997E-6</v>
      </c>
      <c r="B548" s="110">
        <f t="shared" si="32"/>
        <v>548</v>
      </c>
      <c r="C548" s="111" t="str">
        <f>IF(C$1=[1]!T.in.A[[#This Row],[oo2]],1,"")</f>
        <v/>
      </c>
      <c r="D548" s="112" t="str">
        <f>IF(Tab.o1[[#This Row],[a1]]=1,IF(SUM(C548:C549)=0,0,IF(SUM(C547:C548)=1,1,IF(SUM(C547:C549)&gt;1,D547+1,0))),"")</f>
        <v/>
      </c>
      <c r="E548" s="113" t="str">
        <f>IF(Tab.o1[[#This Row],[a1]]=1,[1]!T.in.A[[#This Row],[oo1]],"")</f>
        <v/>
      </c>
      <c r="F548" s="113" t="str">
        <f>IF(Tab.o1[[#This Row],[a1]]=1,[1]!T.in.A[[#This Row],[pp1]],"")</f>
        <v/>
      </c>
      <c r="G548" s="114" t="str">
        <f>IF(Tab.o1[[#This Row],[a1]]=1,G$2+IF(G$1=1,0,Tab.o1[[#This Row],[.x1]])+[1]!T.in.A[[#This Row],[oo3]],"")</f>
        <v/>
      </c>
      <c r="H548" s="115" t="str">
        <f>IF(Tab.o1[[#This Row],[a1]]=1,IF(H$2=0,0,IF(G$1=1,0,Tab.o1[[#This Row],[.x1]])+[1]!T.in.A[[#This Row],[oo4]]),"")</f>
        <v/>
      </c>
      <c r="I548" s="116" t="str">
        <f>IF(Tab.o1[[#This Row],[a1]]=1,IF(J$2=0,Tab.o1[[#This Row],[MED]],Tab.o1[[#This Row],[MOD]]),"")</f>
        <v/>
      </c>
      <c r="J548" s="116" t="str">
        <f>IF(Tab.o1[[#This Row],[a1]]=1,((Tab.o1[[#This Row],[DIF_Target.]]-AVERAGE(Tab.o1[DIF_Target.]))/_xlfn.STDEV.P(Tab.o1[DIF_Target.])),"")</f>
        <v/>
      </c>
      <c r="K548" s="117" t="str">
        <f>IF(Tab.o1[[#This Row],[a1]]=1,IF(J$2=0,Tab.o1[[#This Row],[MOD]]-Tab.o1[[#This Row],[B]],IF(J$2=1,0,-Tab.o1[[#This Row],[MED]])+Tab.o1[[#This Row],[B]]),"")</f>
        <v/>
      </c>
      <c r="L548" s="117" t="str">
        <f ca="1">IF(Tab.o1[[#This Row],[DIF_Target]]=0,IF(L$2=0,Tab.o1[[#This Row],[DIF_Target]],AVERAGE(OFFSET(Tab.o1[[#This Row],[DIF_Target]],1,0,L$3,1)))/3,Tab.o1[[#This Row],[DIF_Target]])</f>
        <v/>
      </c>
      <c r="M548" s="118" t="str">
        <f>IF(Tab.o1[[#This Row],[a1]]=1,NORMSDIST(Tab.o1[[#This Row],[Za]]),"")</f>
        <v/>
      </c>
      <c r="N548" s="119" t="str">
        <f>IF(Tab.o1[[#This Row],[a1]]=1,((Tab.o1[[#This Row],[MedMod]]-AVERAGE(Tab.o1[MedMod]))/_xlfn.STDEV.P(Tab.o1[MedMod])*H$1205)+G$1205,"")</f>
        <v/>
      </c>
      <c r="O548" s="141" t="str">
        <f>IF(Tab.o1[[#This Row],[a1]]=1,Tab.o1[[#This Row],[Zb]]*_xlfn.STDEV.P(Tab.o1[MedMod])+AVERAGE(Tab.o1[MedMod]),"")</f>
        <v/>
      </c>
      <c r="P548" s="117" t="str">
        <f ca="1">IF(Tab.o1[[#This Row],[B]]=0,AVERAGE(OFFSET(Tab.o1[[#This Row],[B]],1,0,L$3,1)),Tab.o1[[#This Row],[B]])</f>
        <v/>
      </c>
      <c r="Q548" s="121" t="str">
        <f>IF(Tab.o1[[#This Row],[a1]]=1,NORMSDIST(Tab.o1[[#This Row],[Zb]]),"")</f>
        <v/>
      </c>
      <c r="R548" s="122" t="str">
        <f>IF(Tab.o1[[#This Row],[a1]]=1,((Tab.o1[[#This Row],[MedMod]]-AVERAGE(Tab.o1[MedMod]))/_xlfn.STDEV.P(Tab.o1[MedMod])*H$1203)+G$1203,"")</f>
        <v/>
      </c>
      <c r="S548" s="122" t="str">
        <f>IF(Tab.o1[[#This Row],[a1]]=1,((Tab.o1[[#This Row],[MedMod]]-AVERAGE(Tab.o1[MedMod]))/_xlfn.STDEV.P(Tab.o1[MedMod])*H$1204)+G$1204,"")</f>
        <v/>
      </c>
      <c r="T548" s="123" t="str">
        <f>IF(Tab.o1[[#This Row],[a1]]=1,Tab.o1[[#This Row],[Z-]]*_xlfn.STDEV.P(Tab.o1[B])+AVERAGE(Tab.o1[B]),"")</f>
        <v/>
      </c>
      <c r="U548" s="123" t="str">
        <f>IF(Tab.o1[[#This Row],[a1]]=1,Tab.o1[[#This Row],[z+]]*_xlfn.STDEV.P(Tab.o1[B])+AVERAGE(Tab.o1[B]),"")</f>
        <v/>
      </c>
      <c r="V548" s="124" t="str">
        <f>IF(Tab.o1[[#This Row],[a1]]=1,ABS((ABS(Tab.o1[[#This Row],[Red]]-Tab.o1[[#This Row],[Blue]]))),"")</f>
        <v/>
      </c>
      <c r="W548" s="125" t="str">
        <f>IF(Tab.o1[[#This Row],[a1]]=1,IF(W$3=0,1,Tab.o1[[#This Row],[Amp.]]*1/_xlfn.MINIFS(Tab.o1[Amp.],Tab.o1[Amp.],"&lt;&gt;0")),"")</f>
        <v/>
      </c>
      <c r="X548" s="126" t="str">
        <f>IF(Tab.o1[[#This Row],[a1]]=1,IF(ISNUMBER(Tab.o1[[#This Row],[i.]]),NORMDIST(Tab.o1[[#This Row],[Za]],0,1,FALSE)*Tab.o1[[#This Row],[i.]],AP$3),"")</f>
        <v/>
      </c>
      <c r="Y548" s="126" t="str">
        <f>IF(Tab.o1[[#This Row],[a1]]=1,0.01+0.94*Tab.o1[[#This Row],[PDF]]/MAX(Tab.o1[PDF]),"")</f>
        <v/>
      </c>
      <c r="Z548" s="126" t="str">
        <f>IF(Tab.o1[[#This Row],[a1]]=1,0.01+0.94*Tab.o1[[#This Row],[W1_PDF]]/MAX(Tab.o1[W1_PDF]),"")</f>
        <v/>
      </c>
      <c r="AA548" s="118" t="str">
        <f>IF(Tab.o1[[#This Row],[a1]]=1,ABS([1]!T.in.A[[#This Row],[oo6]]),"")</f>
        <v/>
      </c>
      <c r="AB548" s="127" t="str">
        <f>IF(Tab.o1[[#This Row],[a1]]=1,IF(AE$3=0,"",IF(AB$3=0,ABS([1]!T.in.A[[#This Row],[oo9]]),ABS(Tab.o1[[#This Row],[DIF_Target.]]*Tab.o1[[#This Row],[W1_PDF]]))),"")</f>
        <v/>
      </c>
      <c r="AC548" s="127" t="str">
        <f>IF(G$1=1,"",IF(Tab.o1[[#This Row],[a1]]=1,Tab.o1[[#This Row],[Wr]]^2,""))</f>
        <v/>
      </c>
      <c r="AD548" s="118" t="str">
        <f>IF(Tab.o1[[#This Row],[a1]]=1,IF(AE$3=0,"",Tab.o1[[#This Row],[Wr2]]/SUM(Tab.o1[Wr2])),"")</f>
        <v/>
      </c>
      <c r="AE548" s="128" t="str">
        <f>IF(Tab.o1[[#This Row],[a1]]=1,[1]!T.in.A[[#This Row],[oo10]],"")</f>
        <v/>
      </c>
      <c r="AF548" s="118" t="str">
        <f>IF(Tab.o1[[#This Row],[a1]]=1,ABS(Tab.o1[[#This Row],[DIF_Target.]]*Tab.o1[[#This Row],[PDF2]]*Tab.o1[[#This Row],[IN]]),"")</f>
        <v/>
      </c>
      <c r="AG548" s="129" t="str">
        <f>IF(Tab.o1[[#This Row],[a1]]=1,Tab.o1[[#This Row],[rW]]^2,"")</f>
        <v/>
      </c>
      <c r="AH548" s="130" t="str">
        <f>IF(Tab.o1[[#This Row],[a1]]=1,IF(AH$3=0,Tab.o1[[#This Row],[rW2]],0.01+0.94*Tab.o1[[#This Row],[rW2]]/SUM(Tab.o1[rW2])),"")</f>
        <v/>
      </c>
      <c r="AI548" s="128" t="str">
        <f>IF(Tab.o1[[#This Row],[a1]]=1,1/Tab.o1[[#This Row],[PDF]],"")</f>
        <v/>
      </c>
      <c r="AJ548" s="131" t="str">
        <f>IF(Tab.o1[[#This Row],[a1]]=1,[1]!T_AA[[#This Row],[IN'']]*[1]!T_AA[[#This Row],[Qde'']],"")</f>
        <v/>
      </c>
      <c r="AK548" s="132" t="str">
        <f>IF(Tab.o1[[#This Row],[a1]]=1,IF(AK$1=1,Tab.o1[[#This Row],[MED]]+Tab.o1[[#This Row],[MOD]]-Tab.o1[[#This Row],[MED]],""),"")</f>
        <v/>
      </c>
      <c r="AL548" s="133" t="str">
        <f>IF(Tab.o1[[#This Row],[a1]]=1,[1]!T.in.A[[#This Row],[oo16]],"")</f>
        <v/>
      </c>
      <c r="AM548" s="133" t="str">
        <f>IF(Tab.o1[[#This Row],[a1]]=1,IF(AM$3=1,[1]!T.in.A[[#This Row],[Σo16]],""),"")</f>
        <v/>
      </c>
      <c r="AN548" s="126" t="str">
        <f>IF(Tab.o1[[#This Row],[a1]]=1,[1]!T.in.A[[#This Row],[Σp5]],"")</f>
        <v/>
      </c>
      <c r="AO548" s="126" t="str">
        <f>IF(Tab.o1[[#This Row],[a1]]=1,IF(AO$3=1,[1]!T.in.A[[#This Row],[Σp5]],""),"")</f>
        <v/>
      </c>
      <c r="AP548" s="110" t="str">
        <f>IF(Tab.o1[[#This Row],[a1]]=1,IF(ISNUMBER(Tab.o1[[#This Row],[i.]]),NORMDIST(Tab.o1[[#This Row],[Za]],0,1,FALSE)*Tab.o1[[#This Row],[i.]],0),"")</f>
        <v/>
      </c>
      <c r="AQ548" s="125" t="str">
        <f>IF(Tab.o1[[#This Row],[a1]]=1,ABS(Tab.o1[[#This Row],[MOD]]-AVERAGE(Tab.o1[MOD])),"")</f>
        <v/>
      </c>
      <c r="AR548" s="134" t="str">
        <f>IF(Tab.o1[[#This Row],[a1]]=1,Tab.o1[[#This Row],[OBS]]/SUM(Tab.o1[OBS]),"")</f>
        <v/>
      </c>
      <c r="AS548" s="135" t="str">
        <f>IF(ISNUMBER(Tab.o1[[#This Row],[a1]]),ROW()-4,"")</f>
        <v/>
      </c>
      <c r="AT548" s="136" t="str">
        <f>Tab.o1[[#This Row],[MOD]]</f>
        <v/>
      </c>
      <c r="AU548" s="137" t="str">
        <f t="shared" si="33"/>
        <v/>
      </c>
      <c r="AV548" s="138" t="str">
        <f t="shared" si="34"/>
        <v/>
      </c>
      <c r="AW548" s="138" t="str">
        <f t="shared" si="35"/>
        <v/>
      </c>
      <c r="AX548" s="139" t="str">
        <f>[1]!T.in.A[[#This Row],[ID_T_manu]]</f>
        <v/>
      </c>
      <c r="AY548" s="140" t="str">
        <f>IF(ISNUMBER(Tab.o1[[#This Row],[a1]]),IF(AND(Tab.o1[[#This Row],[a1]]=1,Tab.o1[[#This Row],[b1]]&lt;=AY$4),#REF!,AY547),"")</f>
        <v/>
      </c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</row>
    <row r="549" spans="1:79" ht="15.75" hidden="1">
      <c r="A549" s="109">
        <v>-9.0000000000000002E-6</v>
      </c>
      <c r="B549" s="110">
        <f t="shared" si="32"/>
        <v>549</v>
      </c>
      <c r="C549" s="111" t="str">
        <f>IF(C$1=[1]!T.in.A[[#This Row],[oo2]],1,"")</f>
        <v/>
      </c>
      <c r="D549" s="112" t="str">
        <f>IF(Tab.o1[[#This Row],[a1]]=1,IF(SUM(C549:C550)=0,0,IF(SUM(C548:C549)=1,1,IF(SUM(C548:C550)&gt;1,D548+1,0))),"")</f>
        <v/>
      </c>
      <c r="E549" s="113" t="str">
        <f>IF(Tab.o1[[#This Row],[a1]]=1,[1]!T.in.A[[#This Row],[oo1]],"")</f>
        <v/>
      </c>
      <c r="F549" s="113" t="str">
        <f>IF(Tab.o1[[#This Row],[a1]]=1,[1]!T.in.A[[#This Row],[pp1]],"")</f>
        <v/>
      </c>
      <c r="G549" s="114" t="str">
        <f>IF(Tab.o1[[#This Row],[a1]]=1,G$2+IF(G$1=1,0,Tab.o1[[#This Row],[.x1]])+[1]!T.in.A[[#This Row],[oo3]],"")</f>
        <v/>
      </c>
      <c r="H549" s="115" t="str">
        <f>IF(Tab.o1[[#This Row],[a1]]=1,IF(H$2=0,0,IF(G$1=1,0,Tab.o1[[#This Row],[.x1]])+[1]!T.in.A[[#This Row],[oo4]]),"")</f>
        <v/>
      </c>
      <c r="I549" s="116" t="str">
        <f>IF(Tab.o1[[#This Row],[a1]]=1,IF(J$2=0,Tab.o1[[#This Row],[MED]],Tab.o1[[#This Row],[MOD]]),"")</f>
        <v/>
      </c>
      <c r="J549" s="116" t="str">
        <f>IF(Tab.o1[[#This Row],[a1]]=1,((Tab.o1[[#This Row],[DIF_Target.]]-AVERAGE(Tab.o1[DIF_Target.]))/_xlfn.STDEV.P(Tab.o1[DIF_Target.])),"")</f>
        <v/>
      </c>
      <c r="K549" s="117" t="str">
        <f>IF(Tab.o1[[#This Row],[a1]]=1,IF(J$2=0,Tab.o1[[#This Row],[MOD]]-Tab.o1[[#This Row],[B]],IF(J$2=1,0,-Tab.o1[[#This Row],[MED]])+Tab.o1[[#This Row],[B]]),"")</f>
        <v/>
      </c>
      <c r="L549" s="117" t="str">
        <f ca="1">IF(Tab.o1[[#This Row],[DIF_Target]]=0,IF(L$2=0,Tab.o1[[#This Row],[DIF_Target]],AVERAGE(OFFSET(Tab.o1[[#This Row],[DIF_Target]],1,0,L$3,1)))/3,Tab.o1[[#This Row],[DIF_Target]])</f>
        <v/>
      </c>
      <c r="M549" s="118" t="str">
        <f>IF(Tab.o1[[#This Row],[a1]]=1,NORMSDIST(Tab.o1[[#This Row],[Za]]),"")</f>
        <v/>
      </c>
      <c r="N549" s="119" t="str">
        <f>IF(Tab.o1[[#This Row],[a1]]=1,((Tab.o1[[#This Row],[MedMod]]-AVERAGE(Tab.o1[MedMod]))/_xlfn.STDEV.P(Tab.o1[MedMod])*H$1205)+G$1205,"")</f>
        <v/>
      </c>
      <c r="O549" s="141" t="str">
        <f>IF(Tab.o1[[#This Row],[a1]]=1,Tab.o1[[#This Row],[Zb]]*_xlfn.STDEV.P(Tab.o1[MedMod])+AVERAGE(Tab.o1[MedMod]),"")</f>
        <v/>
      </c>
      <c r="P549" s="117" t="str">
        <f ca="1">IF(Tab.o1[[#This Row],[B]]=0,AVERAGE(OFFSET(Tab.o1[[#This Row],[B]],1,0,L$3,1)),Tab.o1[[#This Row],[B]])</f>
        <v/>
      </c>
      <c r="Q549" s="121" t="str">
        <f>IF(Tab.o1[[#This Row],[a1]]=1,NORMSDIST(Tab.o1[[#This Row],[Zb]]),"")</f>
        <v/>
      </c>
      <c r="R549" s="122" t="str">
        <f>IF(Tab.o1[[#This Row],[a1]]=1,((Tab.o1[[#This Row],[MedMod]]-AVERAGE(Tab.o1[MedMod]))/_xlfn.STDEV.P(Tab.o1[MedMod])*H$1203)+G$1203,"")</f>
        <v/>
      </c>
      <c r="S549" s="122" t="str">
        <f>IF(Tab.o1[[#This Row],[a1]]=1,((Tab.o1[[#This Row],[MedMod]]-AVERAGE(Tab.o1[MedMod]))/_xlfn.STDEV.P(Tab.o1[MedMod])*H$1204)+G$1204,"")</f>
        <v/>
      </c>
      <c r="T549" s="123" t="str">
        <f>IF(Tab.o1[[#This Row],[a1]]=1,Tab.o1[[#This Row],[Z-]]*_xlfn.STDEV.P(Tab.o1[B])+AVERAGE(Tab.o1[B]),"")</f>
        <v/>
      </c>
      <c r="U549" s="123" t="str">
        <f>IF(Tab.o1[[#This Row],[a1]]=1,Tab.o1[[#This Row],[z+]]*_xlfn.STDEV.P(Tab.o1[B])+AVERAGE(Tab.o1[B]),"")</f>
        <v/>
      </c>
      <c r="V549" s="124" t="str">
        <f>IF(Tab.o1[[#This Row],[a1]]=1,ABS((ABS(Tab.o1[[#This Row],[Red]]-Tab.o1[[#This Row],[Blue]]))),"")</f>
        <v/>
      </c>
      <c r="W549" s="125" t="str">
        <f>IF(Tab.o1[[#This Row],[a1]]=1,IF(W$3=0,1,Tab.o1[[#This Row],[Amp.]]*1/_xlfn.MINIFS(Tab.o1[Amp.],Tab.o1[Amp.],"&lt;&gt;0")),"")</f>
        <v/>
      </c>
      <c r="X549" s="126" t="str">
        <f>IF(Tab.o1[[#This Row],[a1]]=1,IF(ISNUMBER(Tab.o1[[#This Row],[i.]]),NORMDIST(Tab.o1[[#This Row],[Za]],0,1,FALSE)*Tab.o1[[#This Row],[i.]],AP$3),"")</f>
        <v/>
      </c>
      <c r="Y549" s="126" t="str">
        <f>IF(Tab.o1[[#This Row],[a1]]=1,0.01+0.94*Tab.o1[[#This Row],[PDF]]/MAX(Tab.o1[PDF]),"")</f>
        <v/>
      </c>
      <c r="Z549" s="126" t="str">
        <f>IF(Tab.o1[[#This Row],[a1]]=1,0.01+0.94*Tab.o1[[#This Row],[W1_PDF]]/MAX(Tab.o1[W1_PDF]),"")</f>
        <v/>
      </c>
      <c r="AA549" s="118" t="str">
        <f>IF(Tab.o1[[#This Row],[a1]]=1,ABS([1]!T.in.A[[#This Row],[oo6]]),"")</f>
        <v/>
      </c>
      <c r="AB549" s="127" t="str">
        <f>IF(Tab.o1[[#This Row],[a1]]=1,IF(AE$3=0,"",IF(AB$3=0,ABS([1]!T.in.A[[#This Row],[oo9]]),ABS(Tab.o1[[#This Row],[DIF_Target.]]*Tab.o1[[#This Row],[W1_PDF]]))),"")</f>
        <v/>
      </c>
      <c r="AC549" s="127" t="str">
        <f>IF(G$1=1,"",IF(Tab.o1[[#This Row],[a1]]=1,Tab.o1[[#This Row],[Wr]]^2,""))</f>
        <v/>
      </c>
      <c r="AD549" s="118" t="str">
        <f>IF(Tab.o1[[#This Row],[a1]]=1,IF(AE$3=0,"",Tab.o1[[#This Row],[Wr2]]/SUM(Tab.o1[Wr2])),"")</f>
        <v/>
      </c>
      <c r="AE549" s="128" t="str">
        <f>IF(Tab.o1[[#This Row],[a1]]=1,[1]!T.in.A[[#This Row],[oo10]],"")</f>
        <v/>
      </c>
      <c r="AF549" s="118" t="str">
        <f>IF(Tab.o1[[#This Row],[a1]]=1,ABS(Tab.o1[[#This Row],[DIF_Target.]]*Tab.o1[[#This Row],[PDF2]]*Tab.o1[[#This Row],[IN]]),"")</f>
        <v/>
      </c>
      <c r="AG549" s="129" t="str">
        <f>IF(Tab.o1[[#This Row],[a1]]=1,Tab.o1[[#This Row],[rW]]^2,"")</f>
        <v/>
      </c>
      <c r="AH549" s="130" t="str">
        <f>IF(Tab.o1[[#This Row],[a1]]=1,IF(AH$3=0,Tab.o1[[#This Row],[rW2]],0.01+0.94*Tab.o1[[#This Row],[rW2]]/SUM(Tab.o1[rW2])),"")</f>
        <v/>
      </c>
      <c r="AI549" s="128" t="str">
        <f>IF(Tab.o1[[#This Row],[a1]]=1,1/Tab.o1[[#This Row],[PDF]],"")</f>
        <v/>
      </c>
      <c r="AJ549" s="131" t="str">
        <f>IF(Tab.o1[[#This Row],[a1]]=1,[1]!T_AA[[#This Row],[IN'']]*[1]!T_AA[[#This Row],[Qde'']],"")</f>
        <v/>
      </c>
      <c r="AK549" s="132" t="str">
        <f>IF(Tab.o1[[#This Row],[a1]]=1,IF(AK$1=1,Tab.o1[[#This Row],[MED]]+Tab.o1[[#This Row],[MOD]]-Tab.o1[[#This Row],[MED]],""),"")</f>
        <v/>
      </c>
      <c r="AL549" s="133" t="str">
        <f>IF(Tab.o1[[#This Row],[a1]]=1,[1]!T.in.A[[#This Row],[oo16]],"")</f>
        <v/>
      </c>
      <c r="AM549" s="133" t="str">
        <f>IF(Tab.o1[[#This Row],[a1]]=1,IF(AM$3=1,[1]!T.in.A[[#This Row],[Σo16]],""),"")</f>
        <v/>
      </c>
      <c r="AN549" s="126" t="str">
        <f>IF(Tab.o1[[#This Row],[a1]]=1,[1]!T.in.A[[#This Row],[Σp5]],"")</f>
        <v/>
      </c>
      <c r="AO549" s="126" t="str">
        <f>IF(Tab.o1[[#This Row],[a1]]=1,IF(AO$3=1,[1]!T.in.A[[#This Row],[Σp5]],""),"")</f>
        <v/>
      </c>
      <c r="AP549" s="110" t="str">
        <f>IF(Tab.o1[[#This Row],[a1]]=1,IF(ISNUMBER(Tab.o1[[#This Row],[i.]]),NORMDIST(Tab.o1[[#This Row],[Za]],0,1,FALSE)*Tab.o1[[#This Row],[i.]],0),"")</f>
        <v/>
      </c>
      <c r="AQ549" s="125" t="str">
        <f>IF(Tab.o1[[#This Row],[a1]]=1,ABS(Tab.o1[[#This Row],[MOD]]-AVERAGE(Tab.o1[MOD])),"")</f>
        <v/>
      </c>
      <c r="AR549" s="134" t="str">
        <f>IF(Tab.o1[[#This Row],[a1]]=1,Tab.o1[[#This Row],[OBS]]/SUM(Tab.o1[OBS]),"")</f>
        <v/>
      </c>
      <c r="AS549" s="135" t="str">
        <f>IF(ISNUMBER(Tab.o1[[#This Row],[a1]]),ROW()-4,"")</f>
        <v/>
      </c>
      <c r="AT549" s="136" t="str">
        <f>Tab.o1[[#This Row],[MOD]]</f>
        <v/>
      </c>
      <c r="AU549" s="137" t="str">
        <f t="shared" si="33"/>
        <v/>
      </c>
      <c r="AV549" s="138" t="str">
        <f t="shared" si="34"/>
        <v/>
      </c>
      <c r="AW549" s="138" t="str">
        <f t="shared" si="35"/>
        <v/>
      </c>
      <c r="AX549" s="139" t="str">
        <f>[1]!T.in.A[[#This Row],[ID_T_manu]]</f>
        <v/>
      </c>
      <c r="AY549" s="140" t="str">
        <f>IF(ISNUMBER(Tab.o1[[#This Row],[a1]]),IF(AND(Tab.o1[[#This Row],[a1]]=1,Tab.o1[[#This Row],[b1]]&lt;=AY$4),#REF!,AY548),"")</f>
        <v/>
      </c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</row>
    <row r="550" spans="1:79" ht="15.75" hidden="1">
      <c r="A550" s="109">
        <v>5.0000000000000004E-6</v>
      </c>
      <c r="B550" s="110">
        <f t="shared" si="32"/>
        <v>550</v>
      </c>
      <c r="C550" s="111" t="str">
        <f>IF(C$1=[1]!T.in.A[[#This Row],[oo2]],1,"")</f>
        <v/>
      </c>
      <c r="D550" s="112" t="str">
        <f>IF(Tab.o1[[#This Row],[a1]]=1,IF(SUM(C550:C551)=0,0,IF(SUM(C549:C550)=1,1,IF(SUM(C549:C551)&gt;1,D549+1,0))),"")</f>
        <v/>
      </c>
      <c r="E550" s="113" t="str">
        <f>IF(Tab.o1[[#This Row],[a1]]=1,[1]!T.in.A[[#This Row],[oo1]],"")</f>
        <v/>
      </c>
      <c r="F550" s="113" t="str">
        <f>IF(Tab.o1[[#This Row],[a1]]=1,[1]!T.in.A[[#This Row],[pp1]],"")</f>
        <v/>
      </c>
      <c r="G550" s="114" t="str">
        <f>IF(Tab.o1[[#This Row],[a1]]=1,G$2+IF(G$1=1,0,Tab.o1[[#This Row],[.x1]])+[1]!T.in.A[[#This Row],[oo3]],"")</f>
        <v/>
      </c>
      <c r="H550" s="115" t="str">
        <f>IF(Tab.o1[[#This Row],[a1]]=1,IF(H$2=0,0,IF(G$1=1,0,Tab.o1[[#This Row],[.x1]])+[1]!T.in.A[[#This Row],[oo4]]),"")</f>
        <v/>
      </c>
      <c r="I550" s="116" t="str">
        <f>IF(Tab.o1[[#This Row],[a1]]=1,IF(J$2=0,Tab.o1[[#This Row],[MED]],Tab.o1[[#This Row],[MOD]]),"")</f>
        <v/>
      </c>
      <c r="J550" s="116" t="str">
        <f>IF(Tab.o1[[#This Row],[a1]]=1,((Tab.o1[[#This Row],[DIF_Target.]]-AVERAGE(Tab.o1[DIF_Target.]))/_xlfn.STDEV.P(Tab.o1[DIF_Target.])),"")</f>
        <v/>
      </c>
      <c r="K550" s="117" t="str">
        <f>IF(Tab.o1[[#This Row],[a1]]=1,IF(J$2=0,Tab.o1[[#This Row],[MOD]]-Tab.o1[[#This Row],[B]],IF(J$2=1,0,-Tab.o1[[#This Row],[MED]])+Tab.o1[[#This Row],[B]]),"")</f>
        <v/>
      </c>
      <c r="L550" s="117" t="str">
        <f ca="1">IF(Tab.o1[[#This Row],[DIF_Target]]=0,IF(L$2=0,Tab.o1[[#This Row],[DIF_Target]],AVERAGE(OFFSET(Tab.o1[[#This Row],[DIF_Target]],1,0,L$3,1)))/3,Tab.o1[[#This Row],[DIF_Target]])</f>
        <v/>
      </c>
      <c r="M550" s="118" t="str">
        <f>IF(Tab.o1[[#This Row],[a1]]=1,NORMSDIST(Tab.o1[[#This Row],[Za]]),"")</f>
        <v/>
      </c>
      <c r="N550" s="119" t="str">
        <f>IF(Tab.o1[[#This Row],[a1]]=1,((Tab.o1[[#This Row],[MedMod]]-AVERAGE(Tab.o1[MedMod]))/_xlfn.STDEV.P(Tab.o1[MedMod])*H$1205)+G$1205,"")</f>
        <v/>
      </c>
      <c r="O550" s="141" t="str">
        <f>IF(Tab.o1[[#This Row],[a1]]=1,Tab.o1[[#This Row],[Zb]]*_xlfn.STDEV.P(Tab.o1[MedMod])+AVERAGE(Tab.o1[MedMod]),"")</f>
        <v/>
      </c>
      <c r="P550" s="117" t="str">
        <f ca="1">IF(Tab.o1[[#This Row],[B]]=0,AVERAGE(OFFSET(Tab.o1[[#This Row],[B]],1,0,L$3,1)),Tab.o1[[#This Row],[B]])</f>
        <v/>
      </c>
      <c r="Q550" s="121" t="str">
        <f>IF(Tab.o1[[#This Row],[a1]]=1,NORMSDIST(Tab.o1[[#This Row],[Zb]]),"")</f>
        <v/>
      </c>
      <c r="R550" s="122" t="str">
        <f>IF(Tab.o1[[#This Row],[a1]]=1,((Tab.o1[[#This Row],[MedMod]]-AVERAGE(Tab.o1[MedMod]))/_xlfn.STDEV.P(Tab.o1[MedMod])*H$1203)+G$1203,"")</f>
        <v/>
      </c>
      <c r="S550" s="122" t="str">
        <f>IF(Tab.o1[[#This Row],[a1]]=1,((Tab.o1[[#This Row],[MedMod]]-AVERAGE(Tab.o1[MedMod]))/_xlfn.STDEV.P(Tab.o1[MedMod])*H$1204)+G$1204,"")</f>
        <v/>
      </c>
      <c r="T550" s="123" t="str">
        <f>IF(Tab.o1[[#This Row],[a1]]=1,Tab.o1[[#This Row],[Z-]]*_xlfn.STDEV.P(Tab.o1[B])+AVERAGE(Tab.o1[B]),"")</f>
        <v/>
      </c>
      <c r="U550" s="123" t="str">
        <f>IF(Tab.o1[[#This Row],[a1]]=1,Tab.o1[[#This Row],[z+]]*_xlfn.STDEV.P(Tab.o1[B])+AVERAGE(Tab.o1[B]),"")</f>
        <v/>
      </c>
      <c r="V550" s="124" t="str">
        <f>IF(Tab.o1[[#This Row],[a1]]=1,ABS((ABS(Tab.o1[[#This Row],[Red]]-Tab.o1[[#This Row],[Blue]]))),"")</f>
        <v/>
      </c>
      <c r="W550" s="125" t="str">
        <f>IF(Tab.o1[[#This Row],[a1]]=1,IF(W$3=0,1,Tab.o1[[#This Row],[Amp.]]*1/_xlfn.MINIFS(Tab.o1[Amp.],Tab.o1[Amp.],"&lt;&gt;0")),"")</f>
        <v/>
      </c>
      <c r="X550" s="126" t="str">
        <f>IF(Tab.o1[[#This Row],[a1]]=1,IF(ISNUMBER(Tab.o1[[#This Row],[i.]]),NORMDIST(Tab.o1[[#This Row],[Za]],0,1,FALSE)*Tab.o1[[#This Row],[i.]],AP$3),"")</f>
        <v/>
      </c>
      <c r="Y550" s="126" t="str">
        <f>IF(Tab.o1[[#This Row],[a1]]=1,0.01+0.94*Tab.o1[[#This Row],[PDF]]/MAX(Tab.o1[PDF]),"")</f>
        <v/>
      </c>
      <c r="Z550" s="126" t="str">
        <f>IF(Tab.o1[[#This Row],[a1]]=1,0.01+0.94*Tab.o1[[#This Row],[W1_PDF]]/MAX(Tab.o1[W1_PDF]),"")</f>
        <v/>
      </c>
      <c r="AA550" s="118" t="str">
        <f>IF(Tab.o1[[#This Row],[a1]]=1,ABS([1]!T.in.A[[#This Row],[oo6]]),"")</f>
        <v/>
      </c>
      <c r="AB550" s="127" t="str">
        <f>IF(Tab.o1[[#This Row],[a1]]=1,IF(AE$3=0,"",IF(AB$3=0,ABS([1]!T.in.A[[#This Row],[oo9]]),ABS(Tab.o1[[#This Row],[DIF_Target.]]*Tab.o1[[#This Row],[W1_PDF]]))),"")</f>
        <v/>
      </c>
      <c r="AC550" s="127" t="str">
        <f>IF(G$1=1,"",IF(Tab.o1[[#This Row],[a1]]=1,Tab.o1[[#This Row],[Wr]]^2,""))</f>
        <v/>
      </c>
      <c r="AD550" s="118" t="str">
        <f>IF(Tab.o1[[#This Row],[a1]]=1,IF(AE$3=0,"",Tab.o1[[#This Row],[Wr2]]/SUM(Tab.o1[Wr2])),"")</f>
        <v/>
      </c>
      <c r="AE550" s="128" t="str">
        <f>IF(Tab.o1[[#This Row],[a1]]=1,[1]!T.in.A[[#This Row],[oo10]],"")</f>
        <v/>
      </c>
      <c r="AF550" s="118" t="str">
        <f>IF(Tab.o1[[#This Row],[a1]]=1,ABS(Tab.o1[[#This Row],[DIF_Target.]]*Tab.o1[[#This Row],[PDF2]]*Tab.o1[[#This Row],[IN]]),"")</f>
        <v/>
      </c>
      <c r="AG550" s="129" t="str">
        <f>IF(Tab.o1[[#This Row],[a1]]=1,Tab.o1[[#This Row],[rW]]^2,"")</f>
        <v/>
      </c>
      <c r="AH550" s="130" t="str">
        <f>IF(Tab.o1[[#This Row],[a1]]=1,IF(AH$3=0,Tab.o1[[#This Row],[rW2]],0.01+0.94*Tab.o1[[#This Row],[rW2]]/SUM(Tab.o1[rW2])),"")</f>
        <v/>
      </c>
      <c r="AI550" s="128" t="str">
        <f>IF(Tab.o1[[#This Row],[a1]]=1,1/Tab.o1[[#This Row],[PDF]],"")</f>
        <v/>
      </c>
      <c r="AJ550" s="131" t="str">
        <f>IF(Tab.o1[[#This Row],[a1]]=1,[1]!T_AA[[#This Row],[IN'']]*[1]!T_AA[[#This Row],[Qde'']],"")</f>
        <v/>
      </c>
      <c r="AK550" s="132" t="str">
        <f>IF(Tab.o1[[#This Row],[a1]]=1,IF(AK$1=1,Tab.o1[[#This Row],[MED]]+Tab.o1[[#This Row],[MOD]]-Tab.o1[[#This Row],[MED]],""),"")</f>
        <v/>
      </c>
      <c r="AL550" s="133" t="str">
        <f>IF(Tab.o1[[#This Row],[a1]]=1,[1]!T.in.A[[#This Row],[oo16]],"")</f>
        <v/>
      </c>
      <c r="AM550" s="133" t="str">
        <f>IF(Tab.o1[[#This Row],[a1]]=1,IF(AM$3=1,[1]!T.in.A[[#This Row],[Σo16]],""),"")</f>
        <v/>
      </c>
      <c r="AN550" s="126" t="str">
        <f>IF(Tab.o1[[#This Row],[a1]]=1,[1]!T.in.A[[#This Row],[Σp5]],"")</f>
        <v/>
      </c>
      <c r="AO550" s="126" t="str">
        <f>IF(Tab.o1[[#This Row],[a1]]=1,IF(AO$3=1,[1]!T.in.A[[#This Row],[Σp5]],""),"")</f>
        <v/>
      </c>
      <c r="AP550" s="110" t="str">
        <f>IF(Tab.o1[[#This Row],[a1]]=1,IF(ISNUMBER(Tab.o1[[#This Row],[i.]]),NORMDIST(Tab.o1[[#This Row],[Za]],0,1,FALSE)*Tab.o1[[#This Row],[i.]],0),"")</f>
        <v/>
      </c>
      <c r="AQ550" s="125" t="str">
        <f>IF(Tab.o1[[#This Row],[a1]]=1,ABS(Tab.o1[[#This Row],[MOD]]-AVERAGE(Tab.o1[MOD])),"")</f>
        <v/>
      </c>
      <c r="AR550" s="134" t="str">
        <f>IF(Tab.o1[[#This Row],[a1]]=1,Tab.o1[[#This Row],[OBS]]/SUM(Tab.o1[OBS]),"")</f>
        <v/>
      </c>
      <c r="AS550" s="135" t="str">
        <f>IF(ISNUMBER(Tab.o1[[#This Row],[a1]]),ROW()-4,"")</f>
        <v/>
      </c>
      <c r="AT550" s="136" t="str">
        <f>Tab.o1[[#This Row],[MOD]]</f>
        <v/>
      </c>
      <c r="AU550" s="137" t="str">
        <f t="shared" si="33"/>
        <v/>
      </c>
      <c r="AV550" s="138" t="str">
        <f t="shared" si="34"/>
        <v/>
      </c>
      <c r="AW550" s="138" t="str">
        <f t="shared" si="35"/>
        <v/>
      </c>
      <c r="AX550" s="139" t="str">
        <f>[1]!T.in.A[[#This Row],[ID_T_manu]]</f>
        <v/>
      </c>
      <c r="AY550" s="140" t="str">
        <f>IF(ISNUMBER(Tab.o1[[#This Row],[a1]]),IF(AND(Tab.o1[[#This Row],[a1]]=1,Tab.o1[[#This Row],[b1]]&lt;=AY$4),#REF!,AY549),"")</f>
        <v/>
      </c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</row>
    <row r="551" spans="1:79" ht="15.75" hidden="1">
      <c r="A551" s="109">
        <v>2.9999999999999997E-6</v>
      </c>
      <c r="B551" s="110">
        <f t="shared" si="32"/>
        <v>551</v>
      </c>
      <c r="C551" s="111" t="str">
        <f>IF(C$1=[1]!T.in.A[[#This Row],[oo2]],1,"")</f>
        <v/>
      </c>
      <c r="D551" s="112" t="str">
        <f>IF(Tab.o1[[#This Row],[a1]]=1,IF(SUM(C551:C552)=0,0,IF(SUM(C550:C551)=1,1,IF(SUM(C550:C552)&gt;1,D550+1,0))),"")</f>
        <v/>
      </c>
      <c r="E551" s="113" t="str">
        <f>IF(Tab.o1[[#This Row],[a1]]=1,[1]!T.in.A[[#This Row],[oo1]],"")</f>
        <v/>
      </c>
      <c r="F551" s="113" t="str">
        <f>IF(Tab.o1[[#This Row],[a1]]=1,[1]!T.in.A[[#This Row],[pp1]],"")</f>
        <v/>
      </c>
      <c r="G551" s="114" t="str">
        <f>IF(Tab.o1[[#This Row],[a1]]=1,G$2+IF(G$1=1,0,Tab.o1[[#This Row],[.x1]])+[1]!T.in.A[[#This Row],[oo3]],"")</f>
        <v/>
      </c>
      <c r="H551" s="115" t="str">
        <f>IF(Tab.o1[[#This Row],[a1]]=1,IF(H$2=0,0,IF(G$1=1,0,Tab.o1[[#This Row],[.x1]])+[1]!T.in.A[[#This Row],[oo4]]),"")</f>
        <v/>
      </c>
      <c r="I551" s="116" t="str">
        <f>IF(Tab.o1[[#This Row],[a1]]=1,IF(J$2=0,Tab.o1[[#This Row],[MED]],Tab.o1[[#This Row],[MOD]]),"")</f>
        <v/>
      </c>
      <c r="J551" s="116" t="str">
        <f>IF(Tab.o1[[#This Row],[a1]]=1,((Tab.o1[[#This Row],[DIF_Target.]]-AVERAGE(Tab.o1[DIF_Target.]))/_xlfn.STDEV.P(Tab.o1[DIF_Target.])),"")</f>
        <v/>
      </c>
      <c r="K551" s="117" t="str">
        <f>IF(Tab.o1[[#This Row],[a1]]=1,IF(J$2=0,Tab.o1[[#This Row],[MOD]]-Tab.o1[[#This Row],[B]],IF(J$2=1,0,-Tab.o1[[#This Row],[MED]])+Tab.o1[[#This Row],[B]]),"")</f>
        <v/>
      </c>
      <c r="L551" s="117" t="str">
        <f ca="1">IF(Tab.o1[[#This Row],[DIF_Target]]=0,IF(L$2=0,Tab.o1[[#This Row],[DIF_Target]],AVERAGE(OFFSET(Tab.o1[[#This Row],[DIF_Target]],1,0,L$3,1)))/3,Tab.o1[[#This Row],[DIF_Target]])</f>
        <v/>
      </c>
      <c r="M551" s="118" t="str">
        <f>IF(Tab.o1[[#This Row],[a1]]=1,NORMSDIST(Tab.o1[[#This Row],[Za]]),"")</f>
        <v/>
      </c>
      <c r="N551" s="119" t="str">
        <f>IF(Tab.o1[[#This Row],[a1]]=1,((Tab.o1[[#This Row],[MedMod]]-AVERAGE(Tab.o1[MedMod]))/_xlfn.STDEV.P(Tab.o1[MedMod])*H$1205)+G$1205,"")</f>
        <v/>
      </c>
      <c r="O551" s="141" t="str">
        <f>IF(Tab.o1[[#This Row],[a1]]=1,Tab.o1[[#This Row],[Zb]]*_xlfn.STDEV.P(Tab.o1[MedMod])+AVERAGE(Tab.o1[MedMod]),"")</f>
        <v/>
      </c>
      <c r="P551" s="117" t="str">
        <f ca="1">IF(Tab.o1[[#This Row],[B]]=0,AVERAGE(OFFSET(Tab.o1[[#This Row],[B]],1,0,L$3,1)),Tab.o1[[#This Row],[B]])</f>
        <v/>
      </c>
      <c r="Q551" s="121" t="str">
        <f>IF(Tab.o1[[#This Row],[a1]]=1,NORMSDIST(Tab.o1[[#This Row],[Zb]]),"")</f>
        <v/>
      </c>
      <c r="R551" s="122" t="str">
        <f>IF(Tab.o1[[#This Row],[a1]]=1,((Tab.o1[[#This Row],[MedMod]]-AVERAGE(Tab.o1[MedMod]))/_xlfn.STDEV.P(Tab.o1[MedMod])*H$1203)+G$1203,"")</f>
        <v/>
      </c>
      <c r="S551" s="122" t="str">
        <f>IF(Tab.o1[[#This Row],[a1]]=1,((Tab.o1[[#This Row],[MedMod]]-AVERAGE(Tab.o1[MedMod]))/_xlfn.STDEV.P(Tab.o1[MedMod])*H$1204)+G$1204,"")</f>
        <v/>
      </c>
      <c r="T551" s="123" t="str">
        <f>IF(Tab.o1[[#This Row],[a1]]=1,Tab.o1[[#This Row],[Z-]]*_xlfn.STDEV.P(Tab.o1[B])+AVERAGE(Tab.o1[B]),"")</f>
        <v/>
      </c>
      <c r="U551" s="123" t="str">
        <f>IF(Tab.o1[[#This Row],[a1]]=1,Tab.o1[[#This Row],[z+]]*_xlfn.STDEV.P(Tab.o1[B])+AVERAGE(Tab.o1[B]),"")</f>
        <v/>
      </c>
      <c r="V551" s="124" t="str">
        <f>IF(Tab.o1[[#This Row],[a1]]=1,ABS((ABS(Tab.o1[[#This Row],[Red]]-Tab.o1[[#This Row],[Blue]]))),"")</f>
        <v/>
      </c>
      <c r="W551" s="125" t="str">
        <f>IF(Tab.o1[[#This Row],[a1]]=1,IF(W$3=0,1,Tab.o1[[#This Row],[Amp.]]*1/_xlfn.MINIFS(Tab.o1[Amp.],Tab.o1[Amp.],"&lt;&gt;0")),"")</f>
        <v/>
      </c>
      <c r="X551" s="126" t="str">
        <f>IF(Tab.o1[[#This Row],[a1]]=1,IF(ISNUMBER(Tab.o1[[#This Row],[i.]]),NORMDIST(Tab.o1[[#This Row],[Za]],0,1,FALSE)*Tab.o1[[#This Row],[i.]],AP$3),"")</f>
        <v/>
      </c>
      <c r="Y551" s="126" t="str">
        <f>IF(Tab.o1[[#This Row],[a1]]=1,0.01+0.94*Tab.o1[[#This Row],[PDF]]/MAX(Tab.o1[PDF]),"")</f>
        <v/>
      </c>
      <c r="Z551" s="126" t="str">
        <f>IF(Tab.o1[[#This Row],[a1]]=1,0.01+0.94*Tab.o1[[#This Row],[W1_PDF]]/MAX(Tab.o1[W1_PDF]),"")</f>
        <v/>
      </c>
      <c r="AA551" s="118" t="str">
        <f>IF(Tab.o1[[#This Row],[a1]]=1,ABS([1]!T.in.A[[#This Row],[oo6]]),"")</f>
        <v/>
      </c>
      <c r="AB551" s="127" t="str">
        <f>IF(Tab.o1[[#This Row],[a1]]=1,IF(AE$3=0,"",IF(AB$3=0,ABS([1]!T.in.A[[#This Row],[oo9]]),ABS(Tab.o1[[#This Row],[DIF_Target.]]*Tab.o1[[#This Row],[W1_PDF]]))),"")</f>
        <v/>
      </c>
      <c r="AC551" s="127" t="str">
        <f>IF(G$1=1,"",IF(Tab.o1[[#This Row],[a1]]=1,Tab.o1[[#This Row],[Wr]]^2,""))</f>
        <v/>
      </c>
      <c r="AD551" s="118" t="str">
        <f>IF(Tab.o1[[#This Row],[a1]]=1,IF(AE$3=0,"",Tab.o1[[#This Row],[Wr2]]/SUM(Tab.o1[Wr2])),"")</f>
        <v/>
      </c>
      <c r="AE551" s="128" t="str">
        <f>IF(Tab.o1[[#This Row],[a1]]=1,[1]!T.in.A[[#This Row],[oo10]],"")</f>
        <v/>
      </c>
      <c r="AF551" s="118" t="str">
        <f>IF(Tab.o1[[#This Row],[a1]]=1,ABS(Tab.o1[[#This Row],[DIF_Target.]]*Tab.o1[[#This Row],[PDF2]]*Tab.o1[[#This Row],[IN]]),"")</f>
        <v/>
      </c>
      <c r="AG551" s="129" t="str">
        <f>IF(Tab.o1[[#This Row],[a1]]=1,Tab.o1[[#This Row],[rW]]^2,"")</f>
        <v/>
      </c>
      <c r="AH551" s="130" t="str">
        <f>IF(Tab.o1[[#This Row],[a1]]=1,IF(AH$3=0,Tab.o1[[#This Row],[rW2]],0.01+0.94*Tab.o1[[#This Row],[rW2]]/SUM(Tab.o1[rW2])),"")</f>
        <v/>
      </c>
      <c r="AI551" s="128" t="str">
        <f>IF(Tab.o1[[#This Row],[a1]]=1,1/Tab.o1[[#This Row],[PDF]],"")</f>
        <v/>
      </c>
      <c r="AJ551" s="131" t="str">
        <f>IF(Tab.o1[[#This Row],[a1]]=1,[1]!T_AA[[#This Row],[IN'']]*[1]!T_AA[[#This Row],[Qde'']],"")</f>
        <v/>
      </c>
      <c r="AK551" s="132" t="str">
        <f>IF(Tab.o1[[#This Row],[a1]]=1,IF(AK$1=1,Tab.o1[[#This Row],[MED]]+Tab.o1[[#This Row],[MOD]]-Tab.o1[[#This Row],[MED]],""),"")</f>
        <v/>
      </c>
      <c r="AL551" s="133" t="str">
        <f>IF(Tab.o1[[#This Row],[a1]]=1,[1]!T.in.A[[#This Row],[oo16]],"")</f>
        <v/>
      </c>
      <c r="AM551" s="133" t="str">
        <f>IF(Tab.o1[[#This Row],[a1]]=1,IF(AM$3=1,[1]!T.in.A[[#This Row],[Σo16]],""),"")</f>
        <v/>
      </c>
      <c r="AN551" s="126" t="str">
        <f>IF(Tab.o1[[#This Row],[a1]]=1,[1]!T.in.A[[#This Row],[Σp5]],"")</f>
        <v/>
      </c>
      <c r="AO551" s="126" t="str">
        <f>IF(Tab.o1[[#This Row],[a1]]=1,IF(AO$3=1,[1]!T.in.A[[#This Row],[Σp5]],""),"")</f>
        <v/>
      </c>
      <c r="AP551" s="110" t="str">
        <f>IF(Tab.o1[[#This Row],[a1]]=1,IF(ISNUMBER(Tab.o1[[#This Row],[i.]]),NORMDIST(Tab.o1[[#This Row],[Za]],0,1,FALSE)*Tab.o1[[#This Row],[i.]],0),"")</f>
        <v/>
      </c>
      <c r="AQ551" s="125" t="str">
        <f>IF(Tab.o1[[#This Row],[a1]]=1,ABS(Tab.o1[[#This Row],[MOD]]-AVERAGE(Tab.o1[MOD])),"")</f>
        <v/>
      </c>
      <c r="AR551" s="134" t="str">
        <f>IF(Tab.o1[[#This Row],[a1]]=1,Tab.o1[[#This Row],[OBS]]/SUM(Tab.o1[OBS]),"")</f>
        <v/>
      </c>
      <c r="AS551" s="135" t="str">
        <f>IF(ISNUMBER(Tab.o1[[#This Row],[a1]]),ROW()-4,"")</f>
        <v/>
      </c>
      <c r="AT551" s="136" t="str">
        <f>Tab.o1[[#This Row],[MOD]]</f>
        <v/>
      </c>
      <c r="AU551" s="137" t="str">
        <f t="shared" si="33"/>
        <v/>
      </c>
      <c r="AV551" s="138" t="str">
        <f t="shared" si="34"/>
        <v/>
      </c>
      <c r="AW551" s="138" t="str">
        <f t="shared" si="35"/>
        <v/>
      </c>
      <c r="AX551" s="139" t="str">
        <f>[1]!T.in.A[[#This Row],[ID_T_manu]]</f>
        <v/>
      </c>
      <c r="AY551" s="140" t="str">
        <f>IF(ISNUMBER(Tab.o1[[#This Row],[a1]]),IF(AND(Tab.o1[[#This Row],[a1]]=1,Tab.o1[[#This Row],[b1]]&lt;=AY$4),#REF!,AY550),"")</f>
        <v/>
      </c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</row>
    <row r="552" spans="1:79" ht="15.75" hidden="1">
      <c r="A552" s="109">
        <v>-5.9999999999999993E-6</v>
      </c>
      <c r="B552" s="110">
        <f t="shared" si="32"/>
        <v>552</v>
      </c>
      <c r="C552" s="111" t="str">
        <f>IF(C$1=[1]!T.in.A[[#This Row],[oo2]],1,"")</f>
        <v/>
      </c>
      <c r="D552" s="112" t="str">
        <f>IF(Tab.o1[[#This Row],[a1]]=1,IF(SUM(C552:C553)=0,0,IF(SUM(C551:C552)=1,1,IF(SUM(C551:C553)&gt;1,D551+1,0))),"")</f>
        <v/>
      </c>
      <c r="E552" s="113" t="str">
        <f>IF(Tab.o1[[#This Row],[a1]]=1,[1]!T.in.A[[#This Row],[oo1]],"")</f>
        <v/>
      </c>
      <c r="F552" s="113" t="str">
        <f>IF(Tab.o1[[#This Row],[a1]]=1,[1]!T.in.A[[#This Row],[pp1]],"")</f>
        <v/>
      </c>
      <c r="G552" s="114" t="str">
        <f>IF(Tab.o1[[#This Row],[a1]]=1,G$2+IF(G$1=1,0,Tab.o1[[#This Row],[.x1]])+[1]!T.in.A[[#This Row],[oo3]],"")</f>
        <v/>
      </c>
      <c r="H552" s="115" t="str">
        <f>IF(Tab.o1[[#This Row],[a1]]=1,IF(H$2=0,0,IF(G$1=1,0,Tab.o1[[#This Row],[.x1]])+[1]!T.in.A[[#This Row],[oo4]]),"")</f>
        <v/>
      </c>
      <c r="I552" s="116" t="str">
        <f>IF(Tab.o1[[#This Row],[a1]]=1,IF(J$2=0,Tab.o1[[#This Row],[MED]],Tab.o1[[#This Row],[MOD]]),"")</f>
        <v/>
      </c>
      <c r="J552" s="116" t="str">
        <f>IF(Tab.o1[[#This Row],[a1]]=1,((Tab.o1[[#This Row],[DIF_Target.]]-AVERAGE(Tab.o1[DIF_Target.]))/_xlfn.STDEV.P(Tab.o1[DIF_Target.])),"")</f>
        <v/>
      </c>
      <c r="K552" s="117" t="str">
        <f>IF(Tab.o1[[#This Row],[a1]]=1,IF(J$2=0,Tab.o1[[#This Row],[MOD]]-Tab.o1[[#This Row],[B]],IF(J$2=1,0,-Tab.o1[[#This Row],[MED]])+Tab.o1[[#This Row],[B]]),"")</f>
        <v/>
      </c>
      <c r="L552" s="117" t="str">
        <f ca="1">IF(Tab.o1[[#This Row],[DIF_Target]]=0,IF(L$2=0,Tab.o1[[#This Row],[DIF_Target]],AVERAGE(OFFSET(Tab.o1[[#This Row],[DIF_Target]],1,0,L$3,1)))/3,Tab.o1[[#This Row],[DIF_Target]])</f>
        <v/>
      </c>
      <c r="M552" s="118" t="str">
        <f>IF(Tab.o1[[#This Row],[a1]]=1,NORMSDIST(Tab.o1[[#This Row],[Za]]),"")</f>
        <v/>
      </c>
      <c r="N552" s="119" t="str">
        <f>IF(Tab.o1[[#This Row],[a1]]=1,((Tab.o1[[#This Row],[MedMod]]-AVERAGE(Tab.o1[MedMod]))/_xlfn.STDEV.P(Tab.o1[MedMod])*H$1205)+G$1205,"")</f>
        <v/>
      </c>
      <c r="O552" s="141" t="str">
        <f>IF(Tab.o1[[#This Row],[a1]]=1,Tab.o1[[#This Row],[Zb]]*_xlfn.STDEV.P(Tab.o1[MedMod])+AVERAGE(Tab.o1[MedMod]),"")</f>
        <v/>
      </c>
      <c r="P552" s="117" t="str">
        <f ca="1">IF(Tab.o1[[#This Row],[B]]=0,AVERAGE(OFFSET(Tab.o1[[#This Row],[B]],1,0,L$3,1)),Tab.o1[[#This Row],[B]])</f>
        <v/>
      </c>
      <c r="Q552" s="121" t="str">
        <f>IF(Tab.o1[[#This Row],[a1]]=1,NORMSDIST(Tab.o1[[#This Row],[Zb]]),"")</f>
        <v/>
      </c>
      <c r="R552" s="122" t="str">
        <f>IF(Tab.o1[[#This Row],[a1]]=1,((Tab.o1[[#This Row],[MedMod]]-AVERAGE(Tab.o1[MedMod]))/_xlfn.STDEV.P(Tab.o1[MedMod])*H$1203)+G$1203,"")</f>
        <v/>
      </c>
      <c r="S552" s="122" t="str">
        <f>IF(Tab.o1[[#This Row],[a1]]=1,((Tab.o1[[#This Row],[MedMod]]-AVERAGE(Tab.o1[MedMod]))/_xlfn.STDEV.P(Tab.o1[MedMod])*H$1204)+G$1204,"")</f>
        <v/>
      </c>
      <c r="T552" s="123" t="str">
        <f>IF(Tab.o1[[#This Row],[a1]]=1,Tab.o1[[#This Row],[Z-]]*_xlfn.STDEV.P(Tab.o1[B])+AVERAGE(Tab.o1[B]),"")</f>
        <v/>
      </c>
      <c r="U552" s="123" t="str">
        <f>IF(Tab.o1[[#This Row],[a1]]=1,Tab.o1[[#This Row],[z+]]*_xlfn.STDEV.P(Tab.o1[B])+AVERAGE(Tab.o1[B]),"")</f>
        <v/>
      </c>
      <c r="V552" s="124" t="str">
        <f>IF(Tab.o1[[#This Row],[a1]]=1,ABS((ABS(Tab.o1[[#This Row],[Red]]-Tab.o1[[#This Row],[Blue]]))),"")</f>
        <v/>
      </c>
      <c r="W552" s="125" t="str">
        <f>IF(Tab.o1[[#This Row],[a1]]=1,IF(W$3=0,1,Tab.o1[[#This Row],[Amp.]]*1/_xlfn.MINIFS(Tab.o1[Amp.],Tab.o1[Amp.],"&lt;&gt;0")),"")</f>
        <v/>
      </c>
      <c r="X552" s="126" t="str">
        <f>IF(Tab.o1[[#This Row],[a1]]=1,IF(ISNUMBER(Tab.o1[[#This Row],[i.]]),NORMDIST(Tab.o1[[#This Row],[Za]],0,1,FALSE)*Tab.o1[[#This Row],[i.]],AP$3),"")</f>
        <v/>
      </c>
      <c r="Y552" s="126" t="str">
        <f>IF(Tab.o1[[#This Row],[a1]]=1,0.01+0.94*Tab.o1[[#This Row],[PDF]]/MAX(Tab.o1[PDF]),"")</f>
        <v/>
      </c>
      <c r="Z552" s="126" t="str">
        <f>IF(Tab.o1[[#This Row],[a1]]=1,0.01+0.94*Tab.o1[[#This Row],[W1_PDF]]/MAX(Tab.o1[W1_PDF]),"")</f>
        <v/>
      </c>
      <c r="AA552" s="118" t="str">
        <f>IF(Tab.o1[[#This Row],[a1]]=1,ABS([1]!T.in.A[[#This Row],[oo6]]),"")</f>
        <v/>
      </c>
      <c r="AB552" s="127" t="str">
        <f>IF(Tab.o1[[#This Row],[a1]]=1,IF(AE$3=0,"",IF(AB$3=0,ABS([1]!T.in.A[[#This Row],[oo9]]),ABS(Tab.o1[[#This Row],[DIF_Target.]]*Tab.o1[[#This Row],[W1_PDF]]))),"")</f>
        <v/>
      </c>
      <c r="AC552" s="127" t="str">
        <f>IF(G$1=1,"",IF(Tab.o1[[#This Row],[a1]]=1,Tab.o1[[#This Row],[Wr]]^2,""))</f>
        <v/>
      </c>
      <c r="AD552" s="118" t="str">
        <f>IF(Tab.o1[[#This Row],[a1]]=1,IF(AE$3=0,"",Tab.o1[[#This Row],[Wr2]]/SUM(Tab.o1[Wr2])),"")</f>
        <v/>
      </c>
      <c r="AE552" s="128" t="str">
        <f>IF(Tab.o1[[#This Row],[a1]]=1,[1]!T.in.A[[#This Row],[oo10]],"")</f>
        <v/>
      </c>
      <c r="AF552" s="118" t="str">
        <f>IF(Tab.o1[[#This Row],[a1]]=1,ABS(Tab.o1[[#This Row],[DIF_Target.]]*Tab.o1[[#This Row],[PDF2]]*Tab.o1[[#This Row],[IN]]),"")</f>
        <v/>
      </c>
      <c r="AG552" s="129" t="str">
        <f>IF(Tab.o1[[#This Row],[a1]]=1,Tab.o1[[#This Row],[rW]]^2,"")</f>
        <v/>
      </c>
      <c r="AH552" s="130" t="str">
        <f>IF(Tab.o1[[#This Row],[a1]]=1,IF(AH$3=0,Tab.o1[[#This Row],[rW2]],0.01+0.94*Tab.o1[[#This Row],[rW2]]/SUM(Tab.o1[rW2])),"")</f>
        <v/>
      </c>
      <c r="AI552" s="128" t="str">
        <f>IF(Tab.o1[[#This Row],[a1]]=1,1/Tab.o1[[#This Row],[PDF]],"")</f>
        <v/>
      </c>
      <c r="AJ552" s="131" t="str">
        <f>IF(Tab.o1[[#This Row],[a1]]=1,[1]!T_AA[[#This Row],[IN'']]*[1]!T_AA[[#This Row],[Qde'']],"")</f>
        <v/>
      </c>
      <c r="AK552" s="132" t="str">
        <f>IF(Tab.o1[[#This Row],[a1]]=1,IF(AK$1=1,Tab.o1[[#This Row],[MED]]+Tab.o1[[#This Row],[MOD]]-Tab.o1[[#This Row],[MED]],""),"")</f>
        <v/>
      </c>
      <c r="AL552" s="133" t="str">
        <f>IF(Tab.o1[[#This Row],[a1]]=1,[1]!T.in.A[[#This Row],[oo16]],"")</f>
        <v/>
      </c>
      <c r="AM552" s="133" t="str">
        <f>IF(Tab.o1[[#This Row],[a1]]=1,IF(AM$3=1,[1]!T.in.A[[#This Row],[Σo16]],""),"")</f>
        <v/>
      </c>
      <c r="AN552" s="126" t="str">
        <f>IF(Tab.o1[[#This Row],[a1]]=1,[1]!T.in.A[[#This Row],[Σp5]],"")</f>
        <v/>
      </c>
      <c r="AO552" s="126" t="str">
        <f>IF(Tab.o1[[#This Row],[a1]]=1,IF(AO$3=1,[1]!T.in.A[[#This Row],[Σp5]],""),"")</f>
        <v/>
      </c>
      <c r="AP552" s="110" t="str">
        <f>IF(Tab.o1[[#This Row],[a1]]=1,IF(ISNUMBER(Tab.o1[[#This Row],[i.]]),NORMDIST(Tab.o1[[#This Row],[Za]],0,1,FALSE)*Tab.o1[[#This Row],[i.]],0),"")</f>
        <v/>
      </c>
      <c r="AQ552" s="125" t="str">
        <f>IF(Tab.o1[[#This Row],[a1]]=1,ABS(Tab.o1[[#This Row],[MOD]]-AVERAGE(Tab.o1[MOD])),"")</f>
        <v/>
      </c>
      <c r="AR552" s="134" t="str">
        <f>IF(Tab.o1[[#This Row],[a1]]=1,Tab.o1[[#This Row],[OBS]]/SUM(Tab.o1[OBS]),"")</f>
        <v/>
      </c>
      <c r="AS552" s="135" t="str">
        <f>IF(ISNUMBER(Tab.o1[[#This Row],[a1]]),ROW()-4,"")</f>
        <v/>
      </c>
      <c r="AT552" s="136" t="str">
        <f>Tab.o1[[#This Row],[MOD]]</f>
        <v/>
      </c>
      <c r="AU552" s="137" t="str">
        <f t="shared" si="33"/>
        <v/>
      </c>
      <c r="AV552" s="138" t="str">
        <f t="shared" si="34"/>
        <v/>
      </c>
      <c r="AW552" s="138" t="str">
        <f t="shared" si="35"/>
        <v/>
      </c>
      <c r="AX552" s="139" t="str">
        <f>[1]!T.in.A[[#This Row],[ID_T_manu]]</f>
        <v/>
      </c>
      <c r="AY552" s="140" t="str">
        <f>IF(ISNUMBER(Tab.o1[[#This Row],[a1]]),IF(AND(Tab.o1[[#This Row],[a1]]=1,Tab.o1[[#This Row],[b1]]&lt;=AY$4),#REF!,AY551),"")</f>
        <v/>
      </c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</row>
    <row r="553" spans="1:79" ht="15.75" hidden="1">
      <c r="A553" s="109">
        <v>1.0000000000000001E-5</v>
      </c>
      <c r="B553" s="110">
        <f t="shared" si="32"/>
        <v>553</v>
      </c>
      <c r="C553" s="111" t="str">
        <f>IF(C$1=[1]!T.in.A[[#This Row],[oo2]],1,"")</f>
        <v/>
      </c>
      <c r="D553" s="112" t="str">
        <f>IF(Tab.o1[[#This Row],[a1]]=1,IF(SUM(C553:C554)=0,0,IF(SUM(C552:C553)=1,1,IF(SUM(C552:C554)&gt;1,D552+1,0))),"")</f>
        <v/>
      </c>
      <c r="E553" s="113" t="str">
        <f>IF(Tab.o1[[#This Row],[a1]]=1,[1]!T.in.A[[#This Row],[oo1]],"")</f>
        <v/>
      </c>
      <c r="F553" s="113" t="str">
        <f>IF(Tab.o1[[#This Row],[a1]]=1,[1]!T.in.A[[#This Row],[pp1]],"")</f>
        <v/>
      </c>
      <c r="G553" s="114" t="str">
        <f>IF(Tab.o1[[#This Row],[a1]]=1,G$2+IF(G$1=1,0,Tab.o1[[#This Row],[.x1]])+[1]!T.in.A[[#This Row],[oo3]],"")</f>
        <v/>
      </c>
      <c r="H553" s="115" t="str">
        <f>IF(Tab.o1[[#This Row],[a1]]=1,IF(H$2=0,0,IF(G$1=1,0,Tab.o1[[#This Row],[.x1]])+[1]!T.in.A[[#This Row],[oo4]]),"")</f>
        <v/>
      </c>
      <c r="I553" s="116" t="str">
        <f>IF(Tab.o1[[#This Row],[a1]]=1,IF(J$2=0,Tab.o1[[#This Row],[MED]],Tab.o1[[#This Row],[MOD]]),"")</f>
        <v/>
      </c>
      <c r="J553" s="116" t="str">
        <f>IF(Tab.o1[[#This Row],[a1]]=1,((Tab.o1[[#This Row],[DIF_Target.]]-AVERAGE(Tab.o1[DIF_Target.]))/_xlfn.STDEV.P(Tab.o1[DIF_Target.])),"")</f>
        <v/>
      </c>
      <c r="K553" s="117" t="str">
        <f>IF(Tab.o1[[#This Row],[a1]]=1,IF(J$2=0,Tab.o1[[#This Row],[MOD]]-Tab.o1[[#This Row],[B]],IF(J$2=1,0,-Tab.o1[[#This Row],[MED]])+Tab.o1[[#This Row],[B]]),"")</f>
        <v/>
      </c>
      <c r="L553" s="117" t="str">
        <f ca="1">IF(Tab.o1[[#This Row],[DIF_Target]]=0,IF(L$2=0,Tab.o1[[#This Row],[DIF_Target]],AVERAGE(OFFSET(Tab.o1[[#This Row],[DIF_Target]],1,0,L$3,1)))/3,Tab.o1[[#This Row],[DIF_Target]])</f>
        <v/>
      </c>
      <c r="M553" s="118" t="str">
        <f>IF(Tab.o1[[#This Row],[a1]]=1,NORMSDIST(Tab.o1[[#This Row],[Za]]),"")</f>
        <v/>
      </c>
      <c r="N553" s="119" t="str">
        <f>IF(Tab.o1[[#This Row],[a1]]=1,((Tab.o1[[#This Row],[MedMod]]-AVERAGE(Tab.o1[MedMod]))/_xlfn.STDEV.P(Tab.o1[MedMod])*H$1205)+G$1205,"")</f>
        <v/>
      </c>
      <c r="O553" s="141" t="str">
        <f>IF(Tab.o1[[#This Row],[a1]]=1,Tab.o1[[#This Row],[Zb]]*_xlfn.STDEV.P(Tab.o1[MedMod])+AVERAGE(Tab.o1[MedMod]),"")</f>
        <v/>
      </c>
      <c r="P553" s="117" t="str">
        <f ca="1">IF(Tab.o1[[#This Row],[B]]=0,AVERAGE(OFFSET(Tab.o1[[#This Row],[B]],1,0,L$3,1)),Tab.o1[[#This Row],[B]])</f>
        <v/>
      </c>
      <c r="Q553" s="121" t="str">
        <f>IF(Tab.o1[[#This Row],[a1]]=1,NORMSDIST(Tab.o1[[#This Row],[Zb]]),"")</f>
        <v/>
      </c>
      <c r="R553" s="122" t="str">
        <f>IF(Tab.o1[[#This Row],[a1]]=1,((Tab.o1[[#This Row],[MedMod]]-AVERAGE(Tab.o1[MedMod]))/_xlfn.STDEV.P(Tab.o1[MedMod])*H$1203)+G$1203,"")</f>
        <v/>
      </c>
      <c r="S553" s="122" t="str">
        <f>IF(Tab.o1[[#This Row],[a1]]=1,((Tab.o1[[#This Row],[MedMod]]-AVERAGE(Tab.o1[MedMod]))/_xlfn.STDEV.P(Tab.o1[MedMod])*H$1204)+G$1204,"")</f>
        <v/>
      </c>
      <c r="T553" s="123" t="str">
        <f>IF(Tab.o1[[#This Row],[a1]]=1,Tab.o1[[#This Row],[Z-]]*_xlfn.STDEV.P(Tab.o1[B])+AVERAGE(Tab.o1[B]),"")</f>
        <v/>
      </c>
      <c r="U553" s="123" t="str">
        <f>IF(Tab.o1[[#This Row],[a1]]=1,Tab.o1[[#This Row],[z+]]*_xlfn.STDEV.P(Tab.o1[B])+AVERAGE(Tab.o1[B]),"")</f>
        <v/>
      </c>
      <c r="V553" s="124" t="str">
        <f>IF(Tab.o1[[#This Row],[a1]]=1,ABS((ABS(Tab.o1[[#This Row],[Red]]-Tab.o1[[#This Row],[Blue]]))),"")</f>
        <v/>
      </c>
      <c r="W553" s="125" t="str">
        <f>IF(Tab.o1[[#This Row],[a1]]=1,IF(W$3=0,1,Tab.o1[[#This Row],[Amp.]]*1/_xlfn.MINIFS(Tab.o1[Amp.],Tab.o1[Amp.],"&lt;&gt;0")),"")</f>
        <v/>
      </c>
      <c r="X553" s="126" t="str">
        <f>IF(Tab.o1[[#This Row],[a1]]=1,IF(ISNUMBER(Tab.o1[[#This Row],[i.]]),NORMDIST(Tab.o1[[#This Row],[Za]],0,1,FALSE)*Tab.o1[[#This Row],[i.]],AP$3),"")</f>
        <v/>
      </c>
      <c r="Y553" s="126" t="str">
        <f>IF(Tab.o1[[#This Row],[a1]]=1,0.01+0.94*Tab.o1[[#This Row],[PDF]]/MAX(Tab.o1[PDF]),"")</f>
        <v/>
      </c>
      <c r="Z553" s="126" t="str">
        <f>IF(Tab.o1[[#This Row],[a1]]=1,0.01+0.94*Tab.o1[[#This Row],[W1_PDF]]/MAX(Tab.o1[W1_PDF]),"")</f>
        <v/>
      </c>
      <c r="AA553" s="118" t="str">
        <f>IF(Tab.o1[[#This Row],[a1]]=1,ABS([1]!T.in.A[[#This Row],[oo6]]),"")</f>
        <v/>
      </c>
      <c r="AB553" s="127" t="str">
        <f>IF(Tab.o1[[#This Row],[a1]]=1,IF(AE$3=0,"",IF(AB$3=0,ABS([1]!T.in.A[[#This Row],[oo9]]),ABS(Tab.o1[[#This Row],[DIF_Target.]]*Tab.o1[[#This Row],[W1_PDF]]))),"")</f>
        <v/>
      </c>
      <c r="AC553" s="127" t="str">
        <f>IF(G$1=1,"",IF(Tab.o1[[#This Row],[a1]]=1,Tab.o1[[#This Row],[Wr]]^2,""))</f>
        <v/>
      </c>
      <c r="AD553" s="118" t="str">
        <f>IF(Tab.o1[[#This Row],[a1]]=1,IF(AE$3=0,"",Tab.o1[[#This Row],[Wr2]]/SUM(Tab.o1[Wr2])),"")</f>
        <v/>
      </c>
      <c r="AE553" s="128" t="str">
        <f>IF(Tab.o1[[#This Row],[a1]]=1,[1]!T.in.A[[#This Row],[oo10]],"")</f>
        <v/>
      </c>
      <c r="AF553" s="118" t="str">
        <f>IF(Tab.o1[[#This Row],[a1]]=1,ABS(Tab.o1[[#This Row],[DIF_Target.]]*Tab.o1[[#This Row],[PDF2]]*Tab.o1[[#This Row],[IN]]),"")</f>
        <v/>
      </c>
      <c r="AG553" s="129" t="str">
        <f>IF(Tab.o1[[#This Row],[a1]]=1,Tab.o1[[#This Row],[rW]]^2,"")</f>
        <v/>
      </c>
      <c r="AH553" s="130" t="str">
        <f>IF(Tab.o1[[#This Row],[a1]]=1,IF(AH$3=0,Tab.o1[[#This Row],[rW2]],0.01+0.94*Tab.o1[[#This Row],[rW2]]/SUM(Tab.o1[rW2])),"")</f>
        <v/>
      </c>
      <c r="AI553" s="128" t="str">
        <f>IF(Tab.o1[[#This Row],[a1]]=1,1/Tab.o1[[#This Row],[PDF]],"")</f>
        <v/>
      </c>
      <c r="AJ553" s="131" t="str">
        <f>IF(Tab.o1[[#This Row],[a1]]=1,[1]!T_AA[[#This Row],[IN'']]*[1]!T_AA[[#This Row],[Qde'']],"")</f>
        <v/>
      </c>
      <c r="AK553" s="132" t="str">
        <f>IF(Tab.o1[[#This Row],[a1]]=1,IF(AK$1=1,Tab.o1[[#This Row],[MED]]+Tab.o1[[#This Row],[MOD]]-Tab.o1[[#This Row],[MED]],""),"")</f>
        <v/>
      </c>
      <c r="AL553" s="133" t="str">
        <f>IF(Tab.o1[[#This Row],[a1]]=1,[1]!T.in.A[[#This Row],[oo16]],"")</f>
        <v/>
      </c>
      <c r="AM553" s="133" t="str">
        <f>IF(Tab.o1[[#This Row],[a1]]=1,IF(AM$3=1,[1]!T.in.A[[#This Row],[Σo16]],""),"")</f>
        <v/>
      </c>
      <c r="AN553" s="126" t="str">
        <f>IF(Tab.o1[[#This Row],[a1]]=1,[1]!T.in.A[[#This Row],[Σp5]],"")</f>
        <v/>
      </c>
      <c r="AO553" s="126" t="str">
        <f>IF(Tab.o1[[#This Row],[a1]]=1,IF(AO$3=1,[1]!T.in.A[[#This Row],[Σp5]],""),"")</f>
        <v/>
      </c>
      <c r="AP553" s="110" t="str">
        <f>IF(Tab.o1[[#This Row],[a1]]=1,IF(ISNUMBER(Tab.o1[[#This Row],[i.]]),NORMDIST(Tab.o1[[#This Row],[Za]],0,1,FALSE)*Tab.o1[[#This Row],[i.]],0),"")</f>
        <v/>
      </c>
      <c r="AQ553" s="125" t="str">
        <f>IF(Tab.o1[[#This Row],[a1]]=1,ABS(Tab.o1[[#This Row],[MOD]]-AVERAGE(Tab.o1[MOD])),"")</f>
        <v/>
      </c>
      <c r="AR553" s="134" t="str">
        <f>IF(Tab.o1[[#This Row],[a1]]=1,Tab.o1[[#This Row],[OBS]]/SUM(Tab.o1[OBS]),"")</f>
        <v/>
      </c>
      <c r="AS553" s="135" t="str">
        <f>IF(ISNUMBER(Tab.o1[[#This Row],[a1]]),ROW()-4,"")</f>
        <v/>
      </c>
      <c r="AT553" s="136" t="str">
        <f>Tab.o1[[#This Row],[MOD]]</f>
        <v/>
      </c>
      <c r="AU553" s="137" t="str">
        <f t="shared" si="33"/>
        <v/>
      </c>
      <c r="AV553" s="138" t="str">
        <f t="shared" si="34"/>
        <v/>
      </c>
      <c r="AW553" s="138" t="str">
        <f t="shared" si="35"/>
        <v/>
      </c>
      <c r="AX553" s="139" t="str">
        <f>[1]!T.in.A[[#This Row],[ID_T_manu]]</f>
        <v/>
      </c>
      <c r="AY553" s="140" t="str">
        <f>IF(ISNUMBER(Tab.o1[[#This Row],[a1]]),IF(AND(Tab.o1[[#This Row],[a1]]=1,Tab.o1[[#This Row],[b1]]&lt;=AY$4),#REF!,AY552),"")</f>
        <v/>
      </c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</row>
    <row r="554" spans="1:79" ht="15.75" hidden="1">
      <c r="A554" s="109">
        <v>-5.9999999999999993E-6</v>
      </c>
      <c r="B554" s="110">
        <f t="shared" si="32"/>
        <v>554</v>
      </c>
      <c r="C554" s="111" t="str">
        <f>IF(C$1=[1]!T.in.A[[#This Row],[oo2]],1,"")</f>
        <v/>
      </c>
      <c r="D554" s="112" t="str">
        <f>IF(Tab.o1[[#This Row],[a1]]=1,IF(SUM(C554:C555)=0,0,IF(SUM(C553:C554)=1,1,IF(SUM(C553:C555)&gt;1,D553+1,0))),"")</f>
        <v/>
      </c>
      <c r="E554" s="113" t="str">
        <f>IF(Tab.o1[[#This Row],[a1]]=1,[1]!T.in.A[[#This Row],[oo1]],"")</f>
        <v/>
      </c>
      <c r="F554" s="113" t="str">
        <f>IF(Tab.o1[[#This Row],[a1]]=1,[1]!T.in.A[[#This Row],[pp1]],"")</f>
        <v/>
      </c>
      <c r="G554" s="114" t="str">
        <f>IF(Tab.o1[[#This Row],[a1]]=1,G$2+IF(G$1=1,0,Tab.o1[[#This Row],[.x1]])+[1]!T.in.A[[#This Row],[oo3]],"")</f>
        <v/>
      </c>
      <c r="H554" s="115" t="str">
        <f>IF(Tab.o1[[#This Row],[a1]]=1,IF(H$2=0,0,IF(G$1=1,0,Tab.o1[[#This Row],[.x1]])+[1]!T.in.A[[#This Row],[oo4]]),"")</f>
        <v/>
      </c>
      <c r="I554" s="116" t="str">
        <f>IF(Tab.o1[[#This Row],[a1]]=1,IF(J$2=0,Tab.o1[[#This Row],[MED]],Tab.o1[[#This Row],[MOD]]),"")</f>
        <v/>
      </c>
      <c r="J554" s="116" t="str">
        <f>IF(Tab.o1[[#This Row],[a1]]=1,((Tab.o1[[#This Row],[DIF_Target.]]-AVERAGE(Tab.o1[DIF_Target.]))/_xlfn.STDEV.P(Tab.o1[DIF_Target.])),"")</f>
        <v/>
      </c>
      <c r="K554" s="117" t="str">
        <f>IF(Tab.o1[[#This Row],[a1]]=1,IF(J$2=0,Tab.o1[[#This Row],[MOD]]-Tab.o1[[#This Row],[B]],IF(J$2=1,0,-Tab.o1[[#This Row],[MED]])+Tab.o1[[#This Row],[B]]),"")</f>
        <v/>
      </c>
      <c r="L554" s="117" t="str">
        <f ca="1">IF(Tab.o1[[#This Row],[DIF_Target]]=0,IF(L$2=0,Tab.o1[[#This Row],[DIF_Target]],AVERAGE(OFFSET(Tab.o1[[#This Row],[DIF_Target]],1,0,L$3,1)))/3,Tab.o1[[#This Row],[DIF_Target]])</f>
        <v/>
      </c>
      <c r="M554" s="118" t="str">
        <f>IF(Tab.o1[[#This Row],[a1]]=1,NORMSDIST(Tab.o1[[#This Row],[Za]]),"")</f>
        <v/>
      </c>
      <c r="N554" s="119" t="str">
        <f>IF(Tab.o1[[#This Row],[a1]]=1,((Tab.o1[[#This Row],[MedMod]]-AVERAGE(Tab.o1[MedMod]))/_xlfn.STDEV.P(Tab.o1[MedMod])*H$1205)+G$1205,"")</f>
        <v/>
      </c>
      <c r="O554" s="141" t="str">
        <f>IF(Tab.o1[[#This Row],[a1]]=1,Tab.o1[[#This Row],[Zb]]*_xlfn.STDEV.P(Tab.o1[MedMod])+AVERAGE(Tab.o1[MedMod]),"")</f>
        <v/>
      </c>
      <c r="P554" s="117" t="str">
        <f ca="1">IF(Tab.o1[[#This Row],[B]]=0,AVERAGE(OFFSET(Tab.o1[[#This Row],[B]],1,0,L$3,1)),Tab.o1[[#This Row],[B]])</f>
        <v/>
      </c>
      <c r="Q554" s="121" t="str">
        <f>IF(Tab.o1[[#This Row],[a1]]=1,NORMSDIST(Tab.o1[[#This Row],[Zb]]),"")</f>
        <v/>
      </c>
      <c r="R554" s="122" t="str">
        <f>IF(Tab.o1[[#This Row],[a1]]=1,((Tab.o1[[#This Row],[MedMod]]-AVERAGE(Tab.o1[MedMod]))/_xlfn.STDEV.P(Tab.o1[MedMod])*H$1203)+G$1203,"")</f>
        <v/>
      </c>
      <c r="S554" s="122" t="str">
        <f>IF(Tab.o1[[#This Row],[a1]]=1,((Tab.o1[[#This Row],[MedMod]]-AVERAGE(Tab.o1[MedMod]))/_xlfn.STDEV.P(Tab.o1[MedMod])*H$1204)+G$1204,"")</f>
        <v/>
      </c>
      <c r="T554" s="123" t="str">
        <f>IF(Tab.o1[[#This Row],[a1]]=1,Tab.o1[[#This Row],[Z-]]*_xlfn.STDEV.P(Tab.o1[B])+AVERAGE(Tab.o1[B]),"")</f>
        <v/>
      </c>
      <c r="U554" s="123" t="str">
        <f>IF(Tab.o1[[#This Row],[a1]]=1,Tab.o1[[#This Row],[z+]]*_xlfn.STDEV.P(Tab.o1[B])+AVERAGE(Tab.o1[B]),"")</f>
        <v/>
      </c>
      <c r="V554" s="124" t="str">
        <f>IF(Tab.o1[[#This Row],[a1]]=1,ABS((ABS(Tab.o1[[#This Row],[Red]]-Tab.o1[[#This Row],[Blue]]))),"")</f>
        <v/>
      </c>
      <c r="W554" s="125" t="str">
        <f>IF(Tab.o1[[#This Row],[a1]]=1,IF(W$3=0,1,Tab.o1[[#This Row],[Amp.]]*1/_xlfn.MINIFS(Tab.o1[Amp.],Tab.o1[Amp.],"&lt;&gt;0")),"")</f>
        <v/>
      </c>
      <c r="X554" s="126" t="str">
        <f>IF(Tab.o1[[#This Row],[a1]]=1,IF(ISNUMBER(Tab.o1[[#This Row],[i.]]),NORMDIST(Tab.o1[[#This Row],[Za]],0,1,FALSE)*Tab.o1[[#This Row],[i.]],AP$3),"")</f>
        <v/>
      </c>
      <c r="Y554" s="126" t="str">
        <f>IF(Tab.o1[[#This Row],[a1]]=1,0.01+0.94*Tab.o1[[#This Row],[PDF]]/MAX(Tab.o1[PDF]),"")</f>
        <v/>
      </c>
      <c r="Z554" s="126" t="str">
        <f>IF(Tab.o1[[#This Row],[a1]]=1,0.01+0.94*Tab.o1[[#This Row],[W1_PDF]]/MAX(Tab.o1[W1_PDF]),"")</f>
        <v/>
      </c>
      <c r="AA554" s="118" t="str">
        <f>IF(Tab.o1[[#This Row],[a1]]=1,ABS([1]!T.in.A[[#This Row],[oo6]]),"")</f>
        <v/>
      </c>
      <c r="AB554" s="127" t="str">
        <f>IF(Tab.o1[[#This Row],[a1]]=1,IF(AE$3=0,"",IF(AB$3=0,ABS([1]!T.in.A[[#This Row],[oo9]]),ABS(Tab.o1[[#This Row],[DIF_Target.]]*Tab.o1[[#This Row],[W1_PDF]]))),"")</f>
        <v/>
      </c>
      <c r="AC554" s="127" t="str">
        <f>IF(G$1=1,"",IF(Tab.o1[[#This Row],[a1]]=1,Tab.o1[[#This Row],[Wr]]^2,""))</f>
        <v/>
      </c>
      <c r="AD554" s="118" t="str">
        <f>IF(Tab.o1[[#This Row],[a1]]=1,IF(AE$3=0,"",Tab.o1[[#This Row],[Wr2]]/SUM(Tab.o1[Wr2])),"")</f>
        <v/>
      </c>
      <c r="AE554" s="128" t="str">
        <f>IF(Tab.o1[[#This Row],[a1]]=1,[1]!T.in.A[[#This Row],[oo10]],"")</f>
        <v/>
      </c>
      <c r="AF554" s="118" t="str">
        <f>IF(Tab.o1[[#This Row],[a1]]=1,ABS(Tab.o1[[#This Row],[DIF_Target.]]*Tab.o1[[#This Row],[PDF2]]*Tab.o1[[#This Row],[IN]]),"")</f>
        <v/>
      </c>
      <c r="AG554" s="129" t="str">
        <f>IF(Tab.o1[[#This Row],[a1]]=1,Tab.o1[[#This Row],[rW]]^2,"")</f>
        <v/>
      </c>
      <c r="AH554" s="130" t="str">
        <f>IF(Tab.o1[[#This Row],[a1]]=1,IF(AH$3=0,Tab.o1[[#This Row],[rW2]],0.01+0.94*Tab.o1[[#This Row],[rW2]]/SUM(Tab.o1[rW2])),"")</f>
        <v/>
      </c>
      <c r="AI554" s="128" t="str">
        <f>IF(Tab.o1[[#This Row],[a1]]=1,1/Tab.o1[[#This Row],[PDF]],"")</f>
        <v/>
      </c>
      <c r="AJ554" s="131" t="str">
        <f>IF(Tab.o1[[#This Row],[a1]]=1,[1]!T_AA[[#This Row],[IN'']]*[1]!T_AA[[#This Row],[Qde'']],"")</f>
        <v/>
      </c>
      <c r="AK554" s="132" t="str">
        <f>IF(Tab.o1[[#This Row],[a1]]=1,IF(AK$1=1,Tab.o1[[#This Row],[MED]]+Tab.o1[[#This Row],[MOD]]-Tab.o1[[#This Row],[MED]],""),"")</f>
        <v/>
      </c>
      <c r="AL554" s="133" t="str">
        <f>IF(Tab.o1[[#This Row],[a1]]=1,[1]!T.in.A[[#This Row],[oo16]],"")</f>
        <v/>
      </c>
      <c r="AM554" s="133" t="str">
        <f>IF(Tab.o1[[#This Row],[a1]]=1,IF(AM$3=1,[1]!T.in.A[[#This Row],[Σo16]],""),"")</f>
        <v/>
      </c>
      <c r="AN554" s="126" t="str">
        <f>IF(Tab.o1[[#This Row],[a1]]=1,[1]!T.in.A[[#This Row],[Σp5]],"")</f>
        <v/>
      </c>
      <c r="AO554" s="126" t="str">
        <f>IF(Tab.o1[[#This Row],[a1]]=1,IF(AO$3=1,[1]!T.in.A[[#This Row],[Σp5]],""),"")</f>
        <v/>
      </c>
      <c r="AP554" s="110" t="str">
        <f>IF(Tab.o1[[#This Row],[a1]]=1,IF(ISNUMBER(Tab.o1[[#This Row],[i.]]),NORMDIST(Tab.o1[[#This Row],[Za]],0,1,FALSE)*Tab.o1[[#This Row],[i.]],0),"")</f>
        <v/>
      </c>
      <c r="AQ554" s="125" t="str">
        <f>IF(Tab.o1[[#This Row],[a1]]=1,ABS(Tab.o1[[#This Row],[MOD]]-AVERAGE(Tab.o1[MOD])),"")</f>
        <v/>
      </c>
      <c r="AR554" s="134" t="str">
        <f>IF(Tab.o1[[#This Row],[a1]]=1,Tab.o1[[#This Row],[OBS]]/SUM(Tab.o1[OBS]),"")</f>
        <v/>
      </c>
      <c r="AS554" s="135" t="str">
        <f>IF(ISNUMBER(Tab.o1[[#This Row],[a1]]),ROW()-4,"")</f>
        <v/>
      </c>
      <c r="AT554" s="136" t="str">
        <f>Tab.o1[[#This Row],[MOD]]</f>
        <v/>
      </c>
      <c r="AU554" s="137" t="str">
        <f t="shared" si="33"/>
        <v/>
      </c>
      <c r="AV554" s="138" t="str">
        <f t="shared" si="34"/>
        <v/>
      </c>
      <c r="AW554" s="138" t="str">
        <f t="shared" si="35"/>
        <v/>
      </c>
      <c r="AX554" s="139" t="str">
        <f>[1]!T.in.A[[#This Row],[ID_T_manu]]</f>
        <v/>
      </c>
      <c r="AY554" s="140" t="str">
        <f>IF(ISNUMBER(Tab.o1[[#This Row],[a1]]),IF(AND(Tab.o1[[#This Row],[a1]]=1,Tab.o1[[#This Row],[b1]]&lt;=AY$4),#REF!,AY553),"")</f>
        <v/>
      </c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</row>
    <row r="555" spans="1:79" ht="15.75" hidden="1">
      <c r="A555" s="109">
        <v>-1.0000000000000002E-6</v>
      </c>
      <c r="B555" s="110">
        <f t="shared" si="32"/>
        <v>555</v>
      </c>
      <c r="C555" s="111" t="str">
        <f>IF(C$1=[1]!T.in.A[[#This Row],[oo2]],1,"")</f>
        <v/>
      </c>
      <c r="D555" s="112" t="str">
        <f>IF(Tab.o1[[#This Row],[a1]]=1,IF(SUM(C555:C556)=0,0,IF(SUM(C554:C555)=1,1,IF(SUM(C554:C556)&gt;1,D554+1,0))),"")</f>
        <v/>
      </c>
      <c r="E555" s="113" t="str">
        <f>IF(Tab.o1[[#This Row],[a1]]=1,[1]!T.in.A[[#This Row],[oo1]],"")</f>
        <v/>
      </c>
      <c r="F555" s="113" t="str">
        <f>IF(Tab.o1[[#This Row],[a1]]=1,[1]!T.in.A[[#This Row],[pp1]],"")</f>
        <v/>
      </c>
      <c r="G555" s="114" t="str">
        <f>IF(Tab.o1[[#This Row],[a1]]=1,G$2+IF(G$1=1,0,Tab.o1[[#This Row],[.x1]])+[1]!T.in.A[[#This Row],[oo3]],"")</f>
        <v/>
      </c>
      <c r="H555" s="115" t="str">
        <f>IF(Tab.o1[[#This Row],[a1]]=1,IF(H$2=0,0,IF(G$1=1,0,Tab.o1[[#This Row],[.x1]])+[1]!T.in.A[[#This Row],[oo4]]),"")</f>
        <v/>
      </c>
      <c r="I555" s="116" t="str">
        <f>IF(Tab.o1[[#This Row],[a1]]=1,IF(J$2=0,Tab.o1[[#This Row],[MED]],Tab.o1[[#This Row],[MOD]]),"")</f>
        <v/>
      </c>
      <c r="J555" s="116" t="str">
        <f>IF(Tab.o1[[#This Row],[a1]]=1,((Tab.o1[[#This Row],[DIF_Target.]]-AVERAGE(Tab.o1[DIF_Target.]))/_xlfn.STDEV.P(Tab.o1[DIF_Target.])),"")</f>
        <v/>
      </c>
      <c r="K555" s="117" t="str">
        <f>IF(Tab.o1[[#This Row],[a1]]=1,IF(J$2=0,Tab.o1[[#This Row],[MOD]]-Tab.o1[[#This Row],[B]],IF(J$2=1,0,-Tab.o1[[#This Row],[MED]])+Tab.o1[[#This Row],[B]]),"")</f>
        <v/>
      </c>
      <c r="L555" s="117" t="str">
        <f ca="1">IF(Tab.o1[[#This Row],[DIF_Target]]=0,IF(L$2=0,Tab.o1[[#This Row],[DIF_Target]],AVERAGE(OFFSET(Tab.o1[[#This Row],[DIF_Target]],1,0,L$3,1)))/3,Tab.o1[[#This Row],[DIF_Target]])</f>
        <v/>
      </c>
      <c r="M555" s="118" t="str">
        <f>IF(Tab.o1[[#This Row],[a1]]=1,NORMSDIST(Tab.o1[[#This Row],[Za]]),"")</f>
        <v/>
      </c>
      <c r="N555" s="119" t="str">
        <f>IF(Tab.o1[[#This Row],[a1]]=1,((Tab.o1[[#This Row],[MedMod]]-AVERAGE(Tab.o1[MedMod]))/_xlfn.STDEV.P(Tab.o1[MedMod])*H$1205)+G$1205,"")</f>
        <v/>
      </c>
      <c r="O555" s="141" t="str">
        <f>IF(Tab.o1[[#This Row],[a1]]=1,Tab.o1[[#This Row],[Zb]]*_xlfn.STDEV.P(Tab.o1[MedMod])+AVERAGE(Tab.o1[MedMod]),"")</f>
        <v/>
      </c>
      <c r="P555" s="117" t="str">
        <f ca="1">IF(Tab.o1[[#This Row],[B]]=0,AVERAGE(OFFSET(Tab.o1[[#This Row],[B]],1,0,L$3,1)),Tab.o1[[#This Row],[B]])</f>
        <v/>
      </c>
      <c r="Q555" s="121" t="str">
        <f>IF(Tab.o1[[#This Row],[a1]]=1,NORMSDIST(Tab.o1[[#This Row],[Zb]]),"")</f>
        <v/>
      </c>
      <c r="R555" s="122" t="str">
        <f>IF(Tab.o1[[#This Row],[a1]]=1,((Tab.o1[[#This Row],[MedMod]]-AVERAGE(Tab.o1[MedMod]))/_xlfn.STDEV.P(Tab.o1[MedMod])*H$1203)+G$1203,"")</f>
        <v/>
      </c>
      <c r="S555" s="122" t="str">
        <f>IF(Tab.o1[[#This Row],[a1]]=1,((Tab.o1[[#This Row],[MedMod]]-AVERAGE(Tab.o1[MedMod]))/_xlfn.STDEV.P(Tab.o1[MedMod])*H$1204)+G$1204,"")</f>
        <v/>
      </c>
      <c r="T555" s="123" t="str">
        <f>IF(Tab.o1[[#This Row],[a1]]=1,Tab.o1[[#This Row],[Z-]]*_xlfn.STDEV.P(Tab.o1[B])+AVERAGE(Tab.o1[B]),"")</f>
        <v/>
      </c>
      <c r="U555" s="123" t="str">
        <f>IF(Tab.o1[[#This Row],[a1]]=1,Tab.o1[[#This Row],[z+]]*_xlfn.STDEV.P(Tab.o1[B])+AVERAGE(Tab.o1[B]),"")</f>
        <v/>
      </c>
      <c r="V555" s="124" t="str">
        <f>IF(Tab.o1[[#This Row],[a1]]=1,ABS((ABS(Tab.o1[[#This Row],[Red]]-Tab.o1[[#This Row],[Blue]]))),"")</f>
        <v/>
      </c>
      <c r="W555" s="125" t="str">
        <f>IF(Tab.o1[[#This Row],[a1]]=1,IF(W$3=0,1,Tab.o1[[#This Row],[Amp.]]*1/_xlfn.MINIFS(Tab.o1[Amp.],Tab.o1[Amp.],"&lt;&gt;0")),"")</f>
        <v/>
      </c>
      <c r="X555" s="126" t="str">
        <f>IF(Tab.o1[[#This Row],[a1]]=1,IF(ISNUMBER(Tab.o1[[#This Row],[i.]]),NORMDIST(Tab.o1[[#This Row],[Za]],0,1,FALSE)*Tab.o1[[#This Row],[i.]],AP$3),"")</f>
        <v/>
      </c>
      <c r="Y555" s="126" t="str">
        <f>IF(Tab.o1[[#This Row],[a1]]=1,0.01+0.94*Tab.o1[[#This Row],[PDF]]/MAX(Tab.o1[PDF]),"")</f>
        <v/>
      </c>
      <c r="Z555" s="126" t="str">
        <f>IF(Tab.o1[[#This Row],[a1]]=1,0.01+0.94*Tab.o1[[#This Row],[W1_PDF]]/MAX(Tab.o1[W1_PDF]),"")</f>
        <v/>
      </c>
      <c r="AA555" s="118" t="str">
        <f>IF(Tab.o1[[#This Row],[a1]]=1,ABS([1]!T.in.A[[#This Row],[oo6]]),"")</f>
        <v/>
      </c>
      <c r="AB555" s="127" t="str">
        <f>IF(Tab.o1[[#This Row],[a1]]=1,IF(AE$3=0,"",IF(AB$3=0,ABS([1]!T.in.A[[#This Row],[oo9]]),ABS(Tab.o1[[#This Row],[DIF_Target.]]*Tab.o1[[#This Row],[W1_PDF]]))),"")</f>
        <v/>
      </c>
      <c r="AC555" s="127" t="str">
        <f>IF(G$1=1,"",IF(Tab.o1[[#This Row],[a1]]=1,Tab.o1[[#This Row],[Wr]]^2,""))</f>
        <v/>
      </c>
      <c r="AD555" s="118" t="str">
        <f>IF(Tab.o1[[#This Row],[a1]]=1,IF(AE$3=0,"",Tab.o1[[#This Row],[Wr2]]/SUM(Tab.o1[Wr2])),"")</f>
        <v/>
      </c>
      <c r="AE555" s="128" t="str">
        <f>IF(Tab.o1[[#This Row],[a1]]=1,[1]!T.in.A[[#This Row],[oo10]],"")</f>
        <v/>
      </c>
      <c r="AF555" s="118" t="str">
        <f>IF(Tab.o1[[#This Row],[a1]]=1,ABS(Tab.o1[[#This Row],[DIF_Target.]]*Tab.o1[[#This Row],[PDF2]]*Tab.o1[[#This Row],[IN]]),"")</f>
        <v/>
      </c>
      <c r="AG555" s="129" t="str">
        <f>IF(Tab.o1[[#This Row],[a1]]=1,Tab.o1[[#This Row],[rW]]^2,"")</f>
        <v/>
      </c>
      <c r="AH555" s="130" t="str">
        <f>IF(Tab.o1[[#This Row],[a1]]=1,IF(AH$3=0,Tab.o1[[#This Row],[rW2]],0.01+0.94*Tab.o1[[#This Row],[rW2]]/SUM(Tab.o1[rW2])),"")</f>
        <v/>
      </c>
      <c r="AI555" s="128" t="str">
        <f>IF(Tab.o1[[#This Row],[a1]]=1,1/Tab.o1[[#This Row],[PDF]],"")</f>
        <v/>
      </c>
      <c r="AJ555" s="131" t="str">
        <f>IF(Tab.o1[[#This Row],[a1]]=1,[1]!T_AA[[#This Row],[IN'']]*[1]!T_AA[[#This Row],[Qde'']],"")</f>
        <v/>
      </c>
      <c r="AK555" s="132" t="str">
        <f>IF(Tab.o1[[#This Row],[a1]]=1,IF(AK$1=1,Tab.o1[[#This Row],[MED]]+Tab.o1[[#This Row],[MOD]]-Tab.o1[[#This Row],[MED]],""),"")</f>
        <v/>
      </c>
      <c r="AL555" s="133" t="str">
        <f>IF(Tab.o1[[#This Row],[a1]]=1,[1]!T.in.A[[#This Row],[oo16]],"")</f>
        <v/>
      </c>
      <c r="AM555" s="133" t="str">
        <f>IF(Tab.o1[[#This Row],[a1]]=1,IF(AM$3=1,[1]!T.in.A[[#This Row],[Σo16]],""),"")</f>
        <v/>
      </c>
      <c r="AN555" s="126" t="str">
        <f>IF(Tab.o1[[#This Row],[a1]]=1,[1]!T.in.A[[#This Row],[Σp5]],"")</f>
        <v/>
      </c>
      <c r="AO555" s="126" t="str">
        <f>IF(Tab.o1[[#This Row],[a1]]=1,IF(AO$3=1,[1]!T.in.A[[#This Row],[Σp5]],""),"")</f>
        <v/>
      </c>
      <c r="AP555" s="110" t="str">
        <f>IF(Tab.o1[[#This Row],[a1]]=1,IF(ISNUMBER(Tab.o1[[#This Row],[i.]]),NORMDIST(Tab.o1[[#This Row],[Za]],0,1,FALSE)*Tab.o1[[#This Row],[i.]],0),"")</f>
        <v/>
      </c>
      <c r="AQ555" s="125" t="str">
        <f>IF(Tab.o1[[#This Row],[a1]]=1,ABS(Tab.o1[[#This Row],[MOD]]-AVERAGE(Tab.o1[MOD])),"")</f>
        <v/>
      </c>
      <c r="AR555" s="134" t="str">
        <f>IF(Tab.o1[[#This Row],[a1]]=1,Tab.o1[[#This Row],[OBS]]/SUM(Tab.o1[OBS]),"")</f>
        <v/>
      </c>
      <c r="AS555" s="135" t="str">
        <f>IF(ISNUMBER(Tab.o1[[#This Row],[a1]]),ROW()-4,"")</f>
        <v/>
      </c>
      <c r="AT555" s="136" t="str">
        <f>Tab.o1[[#This Row],[MOD]]</f>
        <v/>
      </c>
      <c r="AU555" s="137" t="str">
        <f t="shared" si="33"/>
        <v/>
      </c>
      <c r="AV555" s="138" t="str">
        <f t="shared" si="34"/>
        <v/>
      </c>
      <c r="AW555" s="138" t="str">
        <f t="shared" si="35"/>
        <v/>
      </c>
      <c r="AX555" s="139" t="str">
        <f>[1]!T.in.A[[#This Row],[ID_T_manu]]</f>
        <v/>
      </c>
      <c r="AY555" s="140" t="str">
        <f>IF(ISNUMBER(Tab.o1[[#This Row],[a1]]),IF(AND(Tab.o1[[#This Row],[a1]]=1,Tab.o1[[#This Row],[b1]]&lt;=AY$4),#REF!,AY554),"")</f>
        <v/>
      </c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</row>
    <row r="556" spans="1:79" ht="15.75" hidden="1">
      <c r="A556" s="109">
        <v>-5.9999999999999993E-6</v>
      </c>
      <c r="B556" s="110">
        <f t="shared" si="32"/>
        <v>556</v>
      </c>
      <c r="C556" s="111" t="str">
        <f>IF(C$1=[1]!T.in.A[[#This Row],[oo2]],1,"")</f>
        <v/>
      </c>
      <c r="D556" s="112" t="str">
        <f>IF(Tab.o1[[#This Row],[a1]]=1,IF(SUM(C556:C557)=0,0,IF(SUM(C555:C556)=1,1,IF(SUM(C555:C557)&gt;1,D555+1,0))),"")</f>
        <v/>
      </c>
      <c r="E556" s="113" t="str">
        <f>IF(Tab.o1[[#This Row],[a1]]=1,[1]!T.in.A[[#This Row],[oo1]],"")</f>
        <v/>
      </c>
      <c r="F556" s="113" t="str">
        <f>IF(Tab.o1[[#This Row],[a1]]=1,[1]!T.in.A[[#This Row],[pp1]],"")</f>
        <v/>
      </c>
      <c r="G556" s="114" t="str">
        <f>IF(Tab.o1[[#This Row],[a1]]=1,G$2+IF(G$1=1,0,Tab.o1[[#This Row],[.x1]])+[1]!T.in.A[[#This Row],[oo3]],"")</f>
        <v/>
      </c>
      <c r="H556" s="115" t="str">
        <f>IF(Tab.o1[[#This Row],[a1]]=1,IF(H$2=0,0,IF(G$1=1,0,Tab.o1[[#This Row],[.x1]])+[1]!T.in.A[[#This Row],[oo4]]),"")</f>
        <v/>
      </c>
      <c r="I556" s="116" t="str">
        <f>IF(Tab.o1[[#This Row],[a1]]=1,IF(J$2=0,Tab.o1[[#This Row],[MED]],Tab.o1[[#This Row],[MOD]]),"")</f>
        <v/>
      </c>
      <c r="J556" s="116" t="str">
        <f>IF(Tab.o1[[#This Row],[a1]]=1,((Tab.o1[[#This Row],[DIF_Target.]]-AVERAGE(Tab.o1[DIF_Target.]))/_xlfn.STDEV.P(Tab.o1[DIF_Target.])),"")</f>
        <v/>
      </c>
      <c r="K556" s="117" t="str">
        <f>IF(Tab.o1[[#This Row],[a1]]=1,IF(J$2=0,Tab.o1[[#This Row],[MOD]]-Tab.o1[[#This Row],[B]],IF(J$2=1,0,-Tab.o1[[#This Row],[MED]])+Tab.o1[[#This Row],[B]]),"")</f>
        <v/>
      </c>
      <c r="L556" s="117" t="str">
        <f ca="1">IF(Tab.o1[[#This Row],[DIF_Target]]=0,IF(L$2=0,Tab.o1[[#This Row],[DIF_Target]],AVERAGE(OFFSET(Tab.o1[[#This Row],[DIF_Target]],1,0,L$3,1)))/3,Tab.o1[[#This Row],[DIF_Target]])</f>
        <v/>
      </c>
      <c r="M556" s="118" t="str">
        <f>IF(Tab.o1[[#This Row],[a1]]=1,NORMSDIST(Tab.o1[[#This Row],[Za]]),"")</f>
        <v/>
      </c>
      <c r="N556" s="119" t="str">
        <f>IF(Tab.o1[[#This Row],[a1]]=1,((Tab.o1[[#This Row],[MedMod]]-AVERAGE(Tab.o1[MedMod]))/_xlfn.STDEV.P(Tab.o1[MedMod])*H$1205)+G$1205,"")</f>
        <v/>
      </c>
      <c r="O556" s="141" t="str">
        <f>IF(Tab.o1[[#This Row],[a1]]=1,Tab.o1[[#This Row],[Zb]]*_xlfn.STDEV.P(Tab.o1[MedMod])+AVERAGE(Tab.o1[MedMod]),"")</f>
        <v/>
      </c>
      <c r="P556" s="117" t="str">
        <f ca="1">IF(Tab.o1[[#This Row],[B]]=0,AVERAGE(OFFSET(Tab.o1[[#This Row],[B]],1,0,L$3,1)),Tab.o1[[#This Row],[B]])</f>
        <v/>
      </c>
      <c r="Q556" s="121" t="str">
        <f>IF(Tab.o1[[#This Row],[a1]]=1,NORMSDIST(Tab.o1[[#This Row],[Zb]]),"")</f>
        <v/>
      </c>
      <c r="R556" s="122" t="str">
        <f>IF(Tab.o1[[#This Row],[a1]]=1,((Tab.o1[[#This Row],[MedMod]]-AVERAGE(Tab.o1[MedMod]))/_xlfn.STDEV.P(Tab.o1[MedMod])*H$1203)+G$1203,"")</f>
        <v/>
      </c>
      <c r="S556" s="122" t="str">
        <f>IF(Tab.o1[[#This Row],[a1]]=1,((Tab.o1[[#This Row],[MedMod]]-AVERAGE(Tab.o1[MedMod]))/_xlfn.STDEV.P(Tab.o1[MedMod])*H$1204)+G$1204,"")</f>
        <v/>
      </c>
      <c r="T556" s="123" t="str">
        <f>IF(Tab.o1[[#This Row],[a1]]=1,Tab.o1[[#This Row],[Z-]]*_xlfn.STDEV.P(Tab.o1[B])+AVERAGE(Tab.o1[B]),"")</f>
        <v/>
      </c>
      <c r="U556" s="123" t="str">
        <f>IF(Tab.o1[[#This Row],[a1]]=1,Tab.o1[[#This Row],[z+]]*_xlfn.STDEV.P(Tab.o1[B])+AVERAGE(Tab.o1[B]),"")</f>
        <v/>
      </c>
      <c r="V556" s="124" t="str">
        <f>IF(Tab.o1[[#This Row],[a1]]=1,ABS((ABS(Tab.o1[[#This Row],[Red]]-Tab.o1[[#This Row],[Blue]]))),"")</f>
        <v/>
      </c>
      <c r="W556" s="125" t="str">
        <f>IF(Tab.o1[[#This Row],[a1]]=1,IF(W$3=0,1,Tab.o1[[#This Row],[Amp.]]*1/_xlfn.MINIFS(Tab.o1[Amp.],Tab.o1[Amp.],"&lt;&gt;0")),"")</f>
        <v/>
      </c>
      <c r="X556" s="126" t="str">
        <f>IF(Tab.o1[[#This Row],[a1]]=1,IF(ISNUMBER(Tab.o1[[#This Row],[i.]]),NORMDIST(Tab.o1[[#This Row],[Za]],0,1,FALSE)*Tab.o1[[#This Row],[i.]],AP$3),"")</f>
        <v/>
      </c>
      <c r="Y556" s="126" t="str">
        <f>IF(Tab.o1[[#This Row],[a1]]=1,0.01+0.94*Tab.o1[[#This Row],[PDF]]/MAX(Tab.o1[PDF]),"")</f>
        <v/>
      </c>
      <c r="Z556" s="126" t="str">
        <f>IF(Tab.o1[[#This Row],[a1]]=1,0.01+0.94*Tab.o1[[#This Row],[W1_PDF]]/MAX(Tab.o1[W1_PDF]),"")</f>
        <v/>
      </c>
      <c r="AA556" s="118" t="str">
        <f>IF(Tab.o1[[#This Row],[a1]]=1,ABS([1]!T.in.A[[#This Row],[oo6]]),"")</f>
        <v/>
      </c>
      <c r="AB556" s="127" t="str">
        <f>IF(Tab.o1[[#This Row],[a1]]=1,IF(AE$3=0,"",IF(AB$3=0,ABS([1]!T.in.A[[#This Row],[oo9]]),ABS(Tab.o1[[#This Row],[DIF_Target.]]*Tab.o1[[#This Row],[W1_PDF]]))),"")</f>
        <v/>
      </c>
      <c r="AC556" s="127" t="str">
        <f>IF(G$1=1,"",IF(Tab.o1[[#This Row],[a1]]=1,Tab.o1[[#This Row],[Wr]]^2,""))</f>
        <v/>
      </c>
      <c r="AD556" s="118" t="str">
        <f>IF(Tab.o1[[#This Row],[a1]]=1,IF(AE$3=0,"",Tab.o1[[#This Row],[Wr2]]/SUM(Tab.o1[Wr2])),"")</f>
        <v/>
      </c>
      <c r="AE556" s="128" t="str">
        <f>IF(Tab.o1[[#This Row],[a1]]=1,[1]!T.in.A[[#This Row],[oo10]],"")</f>
        <v/>
      </c>
      <c r="AF556" s="118" t="str">
        <f>IF(Tab.o1[[#This Row],[a1]]=1,ABS(Tab.o1[[#This Row],[DIF_Target.]]*Tab.o1[[#This Row],[PDF2]]*Tab.o1[[#This Row],[IN]]),"")</f>
        <v/>
      </c>
      <c r="AG556" s="129" t="str">
        <f>IF(Tab.o1[[#This Row],[a1]]=1,Tab.o1[[#This Row],[rW]]^2,"")</f>
        <v/>
      </c>
      <c r="AH556" s="130" t="str">
        <f>IF(Tab.o1[[#This Row],[a1]]=1,IF(AH$3=0,Tab.o1[[#This Row],[rW2]],0.01+0.94*Tab.o1[[#This Row],[rW2]]/SUM(Tab.o1[rW2])),"")</f>
        <v/>
      </c>
      <c r="AI556" s="128" t="str">
        <f>IF(Tab.o1[[#This Row],[a1]]=1,1/Tab.o1[[#This Row],[PDF]],"")</f>
        <v/>
      </c>
      <c r="AJ556" s="131" t="str">
        <f>IF(Tab.o1[[#This Row],[a1]]=1,[1]!T_AA[[#This Row],[IN'']]*[1]!T_AA[[#This Row],[Qde'']],"")</f>
        <v/>
      </c>
      <c r="AK556" s="132" t="str">
        <f>IF(Tab.o1[[#This Row],[a1]]=1,IF(AK$1=1,Tab.o1[[#This Row],[MED]]+Tab.o1[[#This Row],[MOD]]-Tab.o1[[#This Row],[MED]],""),"")</f>
        <v/>
      </c>
      <c r="AL556" s="133" t="str">
        <f>IF(Tab.o1[[#This Row],[a1]]=1,[1]!T.in.A[[#This Row],[oo16]],"")</f>
        <v/>
      </c>
      <c r="AM556" s="133" t="str">
        <f>IF(Tab.o1[[#This Row],[a1]]=1,IF(AM$3=1,[1]!T.in.A[[#This Row],[Σo16]],""),"")</f>
        <v/>
      </c>
      <c r="AN556" s="126" t="str">
        <f>IF(Tab.o1[[#This Row],[a1]]=1,[1]!T.in.A[[#This Row],[Σp5]],"")</f>
        <v/>
      </c>
      <c r="AO556" s="126" t="str">
        <f>IF(Tab.o1[[#This Row],[a1]]=1,IF(AO$3=1,[1]!T.in.A[[#This Row],[Σp5]],""),"")</f>
        <v/>
      </c>
      <c r="AP556" s="110" t="str">
        <f>IF(Tab.o1[[#This Row],[a1]]=1,IF(ISNUMBER(Tab.o1[[#This Row],[i.]]),NORMDIST(Tab.o1[[#This Row],[Za]],0,1,FALSE)*Tab.o1[[#This Row],[i.]],0),"")</f>
        <v/>
      </c>
      <c r="AQ556" s="125" t="str">
        <f>IF(Tab.o1[[#This Row],[a1]]=1,ABS(Tab.o1[[#This Row],[MOD]]-AVERAGE(Tab.o1[MOD])),"")</f>
        <v/>
      </c>
      <c r="AR556" s="134" t="str">
        <f>IF(Tab.o1[[#This Row],[a1]]=1,Tab.o1[[#This Row],[OBS]]/SUM(Tab.o1[OBS]),"")</f>
        <v/>
      </c>
      <c r="AS556" s="135" t="str">
        <f>IF(ISNUMBER(Tab.o1[[#This Row],[a1]]),ROW()-4,"")</f>
        <v/>
      </c>
      <c r="AT556" s="136" t="str">
        <f>Tab.o1[[#This Row],[MOD]]</f>
        <v/>
      </c>
      <c r="AU556" s="137" t="str">
        <f t="shared" si="33"/>
        <v/>
      </c>
      <c r="AV556" s="138" t="str">
        <f t="shared" si="34"/>
        <v/>
      </c>
      <c r="AW556" s="138" t="str">
        <f t="shared" si="35"/>
        <v/>
      </c>
      <c r="AX556" s="139" t="str">
        <f>[1]!T.in.A[[#This Row],[ID_T_manu]]</f>
        <v/>
      </c>
      <c r="AY556" s="140" t="str">
        <f>IF(ISNUMBER(Tab.o1[[#This Row],[a1]]),IF(AND(Tab.o1[[#This Row],[a1]]=1,Tab.o1[[#This Row],[b1]]&lt;=AY$4),#REF!,AY555),"")</f>
        <v/>
      </c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</row>
    <row r="557" spans="1:79" ht="15.75" hidden="1">
      <c r="A557" s="109">
        <v>5.9999999999999993E-6</v>
      </c>
      <c r="B557" s="110">
        <f t="shared" si="32"/>
        <v>557</v>
      </c>
      <c r="C557" s="111" t="str">
        <f>IF(C$1=[1]!T.in.A[[#This Row],[oo2]],1,"")</f>
        <v/>
      </c>
      <c r="D557" s="112" t="str">
        <f>IF(Tab.o1[[#This Row],[a1]]=1,IF(SUM(C557:C558)=0,0,IF(SUM(C556:C557)=1,1,IF(SUM(C556:C558)&gt;1,D556+1,0))),"")</f>
        <v/>
      </c>
      <c r="E557" s="113" t="str">
        <f>IF(Tab.o1[[#This Row],[a1]]=1,[1]!T.in.A[[#This Row],[oo1]],"")</f>
        <v/>
      </c>
      <c r="F557" s="113" t="str">
        <f>IF(Tab.o1[[#This Row],[a1]]=1,[1]!T.in.A[[#This Row],[pp1]],"")</f>
        <v/>
      </c>
      <c r="G557" s="114" t="str">
        <f>IF(Tab.o1[[#This Row],[a1]]=1,G$2+IF(G$1=1,0,Tab.o1[[#This Row],[.x1]])+[1]!T.in.A[[#This Row],[oo3]],"")</f>
        <v/>
      </c>
      <c r="H557" s="115" t="str">
        <f>IF(Tab.o1[[#This Row],[a1]]=1,IF(H$2=0,0,IF(G$1=1,0,Tab.o1[[#This Row],[.x1]])+[1]!T.in.A[[#This Row],[oo4]]),"")</f>
        <v/>
      </c>
      <c r="I557" s="116" t="str">
        <f>IF(Tab.o1[[#This Row],[a1]]=1,IF(J$2=0,Tab.o1[[#This Row],[MED]],Tab.o1[[#This Row],[MOD]]),"")</f>
        <v/>
      </c>
      <c r="J557" s="116" t="str">
        <f>IF(Tab.o1[[#This Row],[a1]]=1,((Tab.o1[[#This Row],[DIF_Target.]]-AVERAGE(Tab.o1[DIF_Target.]))/_xlfn.STDEV.P(Tab.o1[DIF_Target.])),"")</f>
        <v/>
      </c>
      <c r="K557" s="117" t="str">
        <f>IF(Tab.o1[[#This Row],[a1]]=1,IF(J$2=0,Tab.o1[[#This Row],[MOD]]-Tab.o1[[#This Row],[B]],IF(J$2=1,0,-Tab.o1[[#This Row],[MED]])+Tab.o1[[#This Row],[B]]),"")</f>
        <v/>
      </c>
      <c r="L557" s="117" t="str">
        <f ca="1">IF(Tab.o1[[#This Row],[DIF_Target]]=0,IF(L$2=0,Tab.o1[[#This Row],[DIF_Target]],AVERAGE(OFFSET(Tab.o1[[#This Row],[DIF_Target]],1,0,L$3,1)))/3,Tab.o1[[#This Row],[DIF_Target]])</f>
        <v/>
      </c>
      <c r="M557" s="118" t="str">
        <f>IF(Tab.o1[[#This Row],[a1]]=1,NORMSDIST(Tab.o1[[#This Row],[Za]]),"")</f>
        <v/>
      </c>
      <c r="N557" s="119" t="str">
        <f>IF(Tab.o1[[#This Row],[a1]]=1,((Tab.o1[[#This Row],[MedMod]]-AVERAGE(Tab.o1[MedMod]))/_xlfn.STDEV.P(Tab.o1[MedMod])*H$1205)+G$1205,"")</f>
        <v/>
      </c>
      <c r="O557" s="141" t="str">
        <f>IF(Tab.o1[[#This Row],[a1]]=1,Tab.o1[[#This Row],[Zb]]*_xlfn.STDEV.P(Tab.o1[MedMod])+AVERAGE(Tab.o1[MedMod]),"")</f>
        <v/>
      </c>
      <c r="P557" s="117" t="str">
        <f ca="1">IF(Tab.o1[[#This Row],[B]]=0,AVERAGE(OFFSET(Tab.o1[[#This Row],[B]],1,0,L$3,1)),Tab.o1[[#This Row],[B]])</f>
        <v/>
      </c>
      <c r="Q557" s="121" t="str">
        <f>IF(Tab.o1[[#This Row],[a1]]=1,NORMSDIST(Tab.o1[[#This Row],[Zb]]),"")</f>
        <v/>
      </c>
      <c r="R557" s="122" t="str">
        <f>IF(Tab.o1[[#This Row],[a1]]=1,((Tab.o1[[#This Row],[MedMod]]-AVERAGE(Tab.o1[MedMod]))/_xlfn.STDEV.P(Tab.o1[MedMod])*H$1203)+G$1203,"")</f>
        <v/>
      </c>
      <c r="S557" s="122" t="str">
        <f>IF(Tab.o1[[#This Row],[a1]]=1,((Tab.o1[[#This Row],[MedMod]]-AVERAGE(Tab.o1[MedMod]))/_xlfn.STDEV.P(Tab.o1[MedMod])*H$1204)+G$1204,"")</f>
        <v/>
      </c>
      <c r="T557" s="123" t="str">
        <f>IF(Tab.o1[[#This Row],[a1]]=1,Tab.o1[[#This Row],[Z-]]*_xlfn.STDEV.P(Tab.o1[B])+AVERAGE(Tab.o1[B]),"")</f>
        <v/>
      </c>
      <c r="U557" s="123" t="str">
        <f>IF(Tab.o1[[#This Row],[a1]]=1,Tab.o1[[#This Row],[z+]]*_xlfn.STDEV.P(Tab.o1[B])+AVERAGE(Tab.o1[B]),"")</f>
        <v/>
      </c>
      <c r="V557" s="124" t="str">
        <f>IF(Tab.o1[[#This Row],[a1]]=1,ABS((ABS(Tab.o1[[#This Row],[Red]]-Tab.o1[[#This Row],[Blue]]))),"")</f>
        <v/>
      </c>
      <c r="W557" s="125" t="str">
        <f>IF(Tab.o1[[#This Row],[a1]]=1,IF(W$3=0,1,Tab.o1[[#This Row],[Amp.]]*1/_xlfn.MINIFS(Tab.o1[Amp.],Tab.o1[Amp.],"&lt;&gt;0")),"")</f>
        <v/>
      </c>
      <c r="X557" s="126" t="str">
        <f>IF(Tab.o1[[#This Row],[a1]]=1,IF(ISNUMBER(Tab.o1[[#This Row],[i.]]),NORMDIST(Tab.o1[[#This Row],[Za]],0,1,FALSE)*Tab.o1[[#This Row],[i.]],AP$3),"")</f>
        <v/>
      </c>
      <c r="Y557" s="126" t="str">
        <f>IF(Tab.o1[[#This Row],[a1]]=1,0.01+0.94*Tab.o1[[#This Row],[PDF]]/MAX(Tab.o1[PDF]),"")</f>
        <v/>
      </c>
      <c r="Z557" s="126" t="str">
        <f>IF(Tab.o1[[#This Row],[a1]]=1,0.01+0.94*Tab.o1[[#This Row],[W1_PDF]]/MAX(Tab.o1[W1_PDF]),"")</f>
        <v/>
      </c>
      <c r="AA557" s="118" t="str">
        <f>IF(Tab.o1[[#This Row],[a1]]=1,ABS([1]!T.in.A[[#This Row],[oo6]]),"")</f>
        <v/>
      </c>
      <c r="AB557" s="127" t="str">
        <f>IF(Tab.o1[[#This Row],[a1]]=1,IF(AE$3=0,"",IF(AB$3=0,ABS([1]!T.in.A[[#This Row],[oo9]]),ABS(Tab.o1[[#This Row],[DIF_Target.]]*Tab.o1[[#This Row],[W1_PDF]]))),"")</f>
        <v/>
      </c>
      <c r="AC557" s="127" t="str">
        <f>IF(G$1=1,"",IF(Tab.o1[[#This Row],[a1]]=1,Tab.o1[[#This Row],[Wr]]^2,""))</f>
        <v/>
      </c>
      <c r="AD557" s="118" t="str">
        <f>IF(Tab.o1[[#This Row],[a1]]=1,IF(AE$3=0,"",Tab.o1[[#This Row],[Wr2]]/SUM(Tab.o1[Wr2])),"")</f>
        <v/>
      </c>
      <c r="AE557" s="128" t="str">
        <f>IF(Tab.o1[[#This Row],[a1]]=1,[1]!T.in.A[[#This Row],[oo10]],"")</f>
        <v/>
      </c>
      <c r="AF557" s="118" t="str">
        <f>IF(Tab.o1[[#This Row],[a1]]=1,ABS(Tab.o1[[#This Row],[DIF_Target.]]*Tab.o1[[#This Row],[PDF2]]*Tab.o1[[#This Row],[IN]]),"")</f>
        <v/>
      </c>
      <c r="AG557" s="129" t="str">
        <f>IF(Tab.o1[[#This Row],[a1]]=1,Tab.o1[[#This Row],[rW]]^2,"")</f>
        <v/>
      </c>
      <c r="AH557" s="130" t="str">
        <f>IF(Tab.o1[[#This Row],[a1]]=1,IF(AH$3=0,Tab.o1[[#This Row],[rW2]],0.01+0.94*Tab.o1[[#This Row],[rW2]]/SUM(Tab.o1[rW2])),"")</f>
        <v/>
      </c>
      <c r="AI557" s="128" t="str">
        <f>IF(Tab.o1[[#This Row],[a1]]=1,1/Tab.o1[[#This Row],[PDF]],"")</f>
        <v/>
      </c>
      <c r="AJ557" s="131" t="str">
        <f>IF(Tab.o1[[#This Row],[a1]]=1,[1]!T_AA[[#This Row],[IN'']]*[1]!T_AA[[#This Row],[Qde'']],"")</f>
        <v/>
      </c>
      <c r="AK557" s="132" t="str">
        <f>IF(Tab.o1[[#This Row],[a1]]=1,IF(AK$1=1,Tab.o1[[#This Row],[MED]]+Tab.o1[[#This Row],[MOD]]-Tab.o1[[#This Row],[MED]],""),"")</f>
        <v/>
      </c>
      <c r="AL557" s="133" t="str">
        <f>IF(Tab.o1[[#This Row],[a1]]=1,[1]!T.in.A[[#This Row],[oo16]],"")</f>
        <v/>
      </c>
      <c r="AM557" s="133" t="str">
        <f>IF(Tab.o1[[#This Row],[a1]]=1,IF(AM$3=1,[1]!T.in.A[[#This Row],[Σo16]],""),"")</f>
        <v/>
      </c>
      <c r="AN557" s="126" t="str">
        <f>IF(Tab.o1[[#This Row],[a1]]=1,[1]!T.in.A[[#This Row],[Σp5]],"")</f>
        <v/>
      </c>
      <c r="AO557" s="126" t="str">
        <f>IF(Tab.o1[[#This Row],[a1]]=1,IF(AO$3=1,[1]!T.in.A[[#This Row],[Σp5]],""),"")</f>
        <v/>
      </c>
      <c r="AP557" s="110" t="str">
        <f>IF(Tab.o1[[#This Row],[a1]]=1,IF(ISNUMBER(Tab.o1[[#This Row],[i.]]),NORMDIST(Tab.o1[[#This Row],[Za]],0,1,FALSE)*Tab.o1[[#This Row],[i.]],0),"")</f>
        <v/>
      </c>
      <c r="AQ557" s="125" t="str">
        <f>IF(Tab.o1[[#This Row],[a1]]=1,ABS(Tab.o1[[#This Row],[MOD]]-AVERAGE(Tab.o1[MOD])),"")</f>
        <v/>
      </c>
      <c r="AR557" s="134" t="str">
        <f>IF(Tab.o1[[#This Row],[a1]]=1,Tab.o1[[#This Row],[OBS]]/SUM(Tab.o1[OBS]),"")</f>
        <v/>
      </c>
      <c r="AS557" s="135" t="str">
        <f>IF(ISNUMBER(Tab.o1[[#This Row],[a1]]),ROW()-4,"")</f>
        <v/>
      </c>
      <c r="AT557" s="136" t="str">
        <f>Tab.o1[[#This Row],[MOD]]</f>
        <v/>
      </c>
      <c r="AU557" s="137" t="str">
        <f t="shared" si="33"/>
        <v/>
      </c>
      <c r="AV557" s="138" t="str">
        <f t="shared" si="34"/>
        <v/>
      </c>
      <c r="AW557" s="138" t="str">
        <f t="shared" si="35"/>
        <v/>
      </c>
      <c r="AX557" s="139" t="str">
        <f>[1]!T.in.A[[#This Row],[ID_T_manu]]</f>
        <v/>
      </c>
      <c r="AY557" s="140" t="str">
        <f>IF(ISNUMBER(Tab.o1[[#This Row],[a1]]),IF(AND(Tab.o1[[#This Row],[a1]]=1,Tab.o1[[#This Row],[b1]]&lt;=AY$4),#REF!,AY556),"")</f>
        <v/>
      </c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</row>
    <row r="558" spans="1:79" ht="15.75" hidden="1">
      <c r="A558" s="109">
        <v>6.9999999999999999E-6</v>
      </c>
      <c r="B558" s="110">
        <f t="shared" si="32"/>
        <v>558</v>
      </c>
      <c r="C558" s="111" t="str">
        <f>IF(C$1=[1]!T.in.A[[#This Row],[oo2]],1,"")</f>
        <v/>
      </c>
      <c r="D558" s="112" t="str">
        <f>IF(Tab.o1[[#This Row],[a1]]=1,IF(SUM(C558:C559)=0,0,IF(SUM(C557:C558)=1,1,IF(SUM(C557:C559)&gt;1,D557+1,0))),"")</f>
        <v/>
      </c>
      <c r="E558" s="113" t="str">
        <f>IF(Tab.o1[[#This Row],[a1]]=1,[1]!T.in.A[[#This Row],[oo1]],"")</f>
        <v/>
      </c>
      <c r="F558" s="113" t="str">
        <f>IF(Tab.o1[[#This Row],[a1]]=1,[1]!T.in.A[[#This Row],[pp1]],"")</f>
        <v/>
      </c>
      <c r="G558" s="114" t="str">
        <f>IF(Tab.o1[[#This Row],[a1]]=1,G$2+IF(G$1=1,0,Tab.o1[[#This Row],[.x1]])+[1]!T.in.A[[#This Row],[oo3]],"")</f>
        <v/>
      </c>
      <c r="H558" s="115" t="str">
        <f>IF(Tab.o1[[#This Row],[a1]]=1,IF(H$2=0,0,IF(G$1=1,0,Tab.o1[[#This Row],[.x1]])+[1]!T.in.A[[#This Row],[oo4]]),"")</f>
        <v/>
      </c>
      <c r="I558" s="116" t="str">
        <f>IF(Tab.o1[[#This Row],[a1]]=1,IF(J$2=0,Tab.o1[[#This Row],[MED]],Tab.o1[[#This Row],[MOD]]),"")</f>
        <v/>
      </c>
      <c r="J558" s="116" t="str">
        <f>IF(Tab.o1[[#This Row],[a1]]=1,((Tab.o1[[#This Row],[DIF_Target.]]-AVERAGE(Tab.o1[DIF_Target.]))/_xlfn.STDEV.P(Tab.o1[DIF_Target.])),"")</f>
        <v/>
      </c>
      <c r="K558" s="117" t="str">
        <f>IF(Tab.o1[[#This Row],[a1]]=1,IF(J$2=0,Tab.o1[[#This Row],[MOD]]-Tab.o1[[#This Row],[B]],IF(J$2=1,0,-Tab.o1[[#This Row],[MED]])+Tab.o1[[#This Row],[B]]),"")</f>
        <v/>
      </c>
      <c r="L558" s="117" t="str">
        <f ca="1">IF(Tab.o1[[#This Row],[DIF_Target]]=0,IF(L$2=0,Tab.o1[[#This Row],[DIF_Target]],AVERAGE(OFFSET(Tab.o1[[#This Row],[DIF_Target]],1,0,L$3,1)))/3,Tab.o1[[#This Row],[DIF_Target]])</f>
        <v/>
      </c>
      <c r="M558" s="118" t="str">
        <f>IF(Tab.o1[[#This Row],[a1]]=1,NORMSDIST(Tab.o1[[#This Row],[Za]]),"")</f>
        <v/>
      </c>
      <c r="N558" s="119" t="str">
        <f>IF(Tab.o1[[#This Row],[a1]]=1,((Tab.o1[[#This Row],[MedMod]]-AVERAGE(Tab.o1[MedMod]))/_xlfn.STDEV.P(Tab.o1[MedMod])*H$1205)+G$1205,"")</f>
        <v/>
      </c>
      <c r="O558" s="141" t="str">
        <f>IF(Tab.o1[[#This Row],[a1]]=1,Tab.o1[[#This Row],[Zb]]*_xlfn.STDEV.P(Tab.o1[MedMod])+AVERAGE(Tab.o1[MedMod]),"")</f>
        <v/>
      </c>
      <c r="P558" s="117" t="str">
        <f ca="1">IF(Tab.o1[[#This Row],[B]]=0,AVERAGE(OFFSET(Tab.o1[[#This Row],[B]],1,0,L$3,1)),Tab.o1[[#This Row],[B]])</f>
        <v/>
      </c>
      <c r="Q558" s="121" t="str">
        <f>IF(Tab.o1[[#This Row],[a1]]=1,NORMSDIST(Tab.o1[[#This Row],[Zb]]),"")</f>
        <v/>
      </c>
      <c r="R558" s="122" t="str">
        <f>IF(Tab.o1[[#This Row],[a1]]=1,((Tab.o1[[#This Row],[MedMod]]-AVERAGE(Tab.o1[MedMod]))/_xlfn.STDEV.P(Tab.o1[MedMod])*H$1203)+G$1203,"")</f>
        <v/>
      </c>
      <c r="S558" s="122" t="str">
        <f>IF(Tab.o1[[#This Row],[a1]]=1,((Tab.o1[[#This Row],[MedMod]]-AVERAGE(Tab.o1[MedMod]))/_xlfn.STDEV.P(Tab.o1[MedMod])*H$1204)+G$1204,"")</f>
        <v/>
      </c>
      <c r="T558" s="123" t="str">
        <f>IF(Tab.o1[[#This Row],[a1]]=1,Tab.o1[[#This Row],[Z-]]*_xlfn.STDEV.P(Tab.o1[B])+AVERAGE(Tab.o1[B]),"")</f>
        <v/>
      </c>
      <c r="U558" s="123" t="str">
        <f>IF(Tab.o1[[#This Row],[a1]]=1,Tab.o1[[#This Row],[z+]]*_xlfn.STDEV.P(Tab.o1[B])+AVERAGE(Tab.o1[B]),"")</f>
        <v/>
      </c>
      <c r="V558" s="124" t="str">
        <f>IF(Tab.o1[[#This Row],[a1]]=1,ABS((ABS(Tab.o1[[#This Row],[Red]]-Tab.o1[[#This Row],[Blue]]))),"")</f>
        <v/>
      </c>
      <c r="W558" s="125" t="str">
        <f>IF(Tab.o1[[#This Row],[a1]]=1,IF(W$3=0,1,Tab.o1[[#This Row],[Amp.]]*1/_xlfn.MINIFS(Tab.o1[Amp.],Tab.o1[Amp.],"&lt;&gt;0")),"")</f>
        <v/>
      </c>
      <c r="X558" s="126" t="str">
        <f>IF(Tab.o1[[#This Row],[a1]]=1,IF(ISNUMBER(Tab.o1[[#This Row],[i.]]),NORMDIST(Tab.o1[[#This Row],[Za]],0,1,FALSE)*Tab.o1[[#This Row],[i.]],AP$3),"")</f>
        <v/>
      </c>
      <c r="Y558" s="126" t="str">
        <f>IF(Tab.o1[[#This Row],[a1]]=1,0.01+0.94*Tab.o1[[#This Row],[PDF]]/MAX(Tab.o1[PDF]),"")</f>
        <v/>
      </c>
      <c r="Z558" s="126" t="str">
        <f>IF(Tab.o1[[#This Row],[a1]]=1,0.01+0.94*Tab.o1[[#This Row],[W1_PDF]]/MAX(Tab.o1[W1_PDF]),"")</f>
        <v/>
      </c>
      <c r="AA558" s="118" t="str">
        <f>IF(Tab.o1[[#This Row],[a1]]=1,ABS([1]!T.in.A[[#This Row],[oo6]]),"")</f>
        <v/>
      </c>
      <c r="AB558" s="127" t="str">
        <f>IF(Tab.o1[[#This Row],[a1]]=1,IF(AE$3=0,"",IF(AB$3=0,ABS([1]!T.in.A[[#This Row],[oo9]]),ABS(Tab.o1[[#This Row],[DIF_Target.]]*Tab.o1[[#This Row],[W1_PDF]]))),"")</f>
        <v/>
      </c>
      <c r="AC558" s="127" t="str">
        <f>IF(G$1=1,"",IF(Tab.o1[[#This Row],[a1]]=1,Tab.o1[[#This Row],[Wr]]^2,""))</f>
        <v/>
      </c>
      <c r="AD558" s="118" t="str">
        <f>IF(Tab.o1[[#This Row],[a1]]=1,IF(AE$3=0,"",Tab.o1[[#This Row],[Wr2]]/SUM(Tab.o1[Wr2])),"")</f>
        <v/>
      </c>
      <c r="AE558" s="128" t="str">
        <f>IF(Tab.o1[[#This Row],[a1]]=1,[1]!T.in.A[[#This Row],[oo10]],"")</f>
        <v/>
      </c>
      <c r="AF558" s="118" t="str">
        <f>IF(Tab.o1[[#This Row],[a1]]=1,ABS(Tab.o1[[#This Row],[DIF_Target.]]*Tab.o1[[#This Row],[PDF2]]*Tab.o1[[#This Row],[IN]]),"")</f>
        <v/>
      </c>
      <c r="AG558" s="129" t="str">
        <f>IF(Tab.o1[[#This Row],[a1]]=1,Tab.o1[[#This Row],[rW]]^2,"")</f>
        <v/>
      </c>
      <c r="AH558" s="130" t="str">
        <f>IF(Tab.o1[[#This Row],[a1]]=1,IF(AH$3=0,Tab.o1[[#This Row],[rW2]],0.01+0.94*Tab.o1[[#This Row],[rW2]]/SUM(Tab.o1[rW2])),"")</f>
        <v/>
      </c>
      <c r="AI558" s="128" t="str">
        <f>IF(Tab.o1[[#This Row],[a1]]=1,1/Tab.o1[[#This Row],[PDF]],"")</f>
        <v/>
      </c>
      <c r="AJ558" s="131" t="str">
        <f>IF(Tab.o1[[#This Row],[a1]]=1,[1]!T_AA[[#This Row],[IN'']]*[1]!T_AA[[#This Row],[Qde'']],"")</f>
        <v/>
      </c>
      <c r="AK558" s="132" t="str">
        <f>IF(Tab.o1[[#This Row],[a1]]=1,IF(AK$1=1,Tab.o1[[#This Row],[MED]]+Tab.o1[[#This Row],[MOD]]-Tab.o1[[#This Row],[MED]],""),"")</f>
        <v/>
      </c>
      <c r="AL558" s="133" t="str">
        <f>IF(Tab.o1[[#This Row],[a1]]=1,[1]!T.in.A[[#This Row],[oo16]],"")</f>
        <v/>
      </c>
      <c r="AM558" s="133" t="str">
        <f>IF(Tab.o1[[#This Row],[a1]]=1,IF(AM$3=1,[1]!T.in.A[[#This Row],[Σo16]],""),"")</f>
        <v/>
      </c>
      <c r="AN558" s="126" t="str">
        <f>IF(Tab.o1[[#This Row],[a1]]=1,[1]!T.in.A[[#This Row],[Σp5]],"")</f>
        <v/>
      </c>
      <c r="AO558" s="126" t="str">
        <f>IF(Tab.o1[[#This Row],[a1]]=1,IF(AO$3=1,[1]!T.in.A[[#This Row],[Σp5]],""),"")</f>
        <v/>
      </c>
      <c r="AP558" s="110" t="str">
        <f>IF(Tab.o1[[#This Row],[a1]]=1,IF(ISNUMBER(Tab.o1[[#This Row],[i.]]),NORMDIST(Tab.o1[[#This Row],[Za]],0,1,FALSE)*Tab.o1[[#This Row],[i.]],0),"")</f>
        <v/>
      </c>
      <c r="AQ558" s="125" t="str">
        <f>IF(Tab.o1[[#This Row],[a1]]=1,ABS(Tab.o1[[#This Row],[MOD]]-AVERAGE(Tab.o1[MOD])),"")</f>
        <v/>
      </c>
      <c r="AR558" s="134" t="str">
        <f>IF(Tab.o1[[#This Row],[a1]]=1,Tab.o1[[#This Row],[OBS]]/SUM(Tab.o1[OBS]),"")</f>
        <v/>
      </c>
      <c r="AS558" s="135" t="str">
        <f>IF(ISNUMBER(Tab.o1[[#This Row],[a1]]),ROW()-4,"")</f>
        <v/>
      </c>
      <c r="AT558" s="136" t="str">
        <f>Tab.o1[[#This Row],[MOD]]</f>
        <v/>
      </c>
      <c r="AU558" s="137" t="str">
        <f t="shared" si="33"/>
        <v/>
      </c>
      <c r="AV558" s="138" t="str">
        <f t="shared" si="34"/>
        <v/>
      </c>
      <c r="AW558" s="138" t="str">
        <f t="shared" si="35"/>
        <v/>
      </c>
      <c r="AX558" s="139" t="str">
        <f>[1]!T.in.A[[#This Row],[ID_T_manu]]</f>
        <v/>
      </c>
      <c r="AY558" s="140" t="str">
        <f>IF(ISNUMBER(Tab.o1[[#This Row],[a1]]),IF(AND(Tab.o1[[#This Row],[a1]]=1,Tab.o1[[#This Row],[b1]]&lt;=AY$4),#REF!,AY557),"")</f>
        <v/>
      </c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</row>
    <row r="559" spans="1:79" ht="15.75" hidden="1">
      <c r="A559" s="109">
        <v>8.0000000000000013E-6</v>
      </c>
      <c r="B559" s="110">
        <f t="shared" si="32"/>
        <v>559</v>
      </c>
      <c r="C559" s="111" t="str">
        <f>IF(C$1=[1]!T.in.A[[#This Row],[oo2]],1,"")</f>
        <v/>
      </c>
      <c r="D559" s="112" t="str">
        <f>IF(Tab.o1[[#This Row],[a1]]=1,IF(SUM(C559:C560)=0,0,IF(SUM(C558:C559)=1,1,IF(SUM(C558:C560)&gt;1,D558+1,0))),"")</f>
        <v/>
      </c>
      <c r="E559" s="113" t="str">
        <f>IF(Tab.o1[[#This Row],[a1]]=1,[1]!T.in.A[[#This Row],[oo1]],"")</f>
        <v/>
      </c>
      <c r="F559" s="113" t="str">
        <f>IF(Tab.o1[[#This Row],[a1]]=1,[1]!T.in.A[[#This Row],[pp1]],"")</f>
        <v/>
      </c>
      <c r="G559" s="114" t="str">
        <f>IF(Tab.o1[[#This Row],[a1]]=1,G$2+IF(G$1=1,0,Tab.o1[[#This Row],[.x1]])+[1]!T.in.A[[#This Row],[oo3]],"")</f>
        <v/>
      </c>
      <c r="H559" s="115" t="str">
        <f>IF(Tab.o1[[#This Row],[a1]]=1,IF(H$2=0,0,IF(G$1=1,0,Tab.o1[[#This Row],[.x1]])+[1]!T.in.A[[#This Row],[oo4]]),"")</f>
        <v/>
      </c>
      <c r="I559" s="116" t="str">
        <f>IF(Tab.o1[[#This Row],[a1]]=1,IF(J$2=0,Tab.o1[[#This Row],[MED]],Tab.o1[[#This Row],[MOD]]),"")</f>
        <v/>
      </c>
      <c r="J559" s="116" t="str">
        <f>IF(Tab.o1[[#This Row],[a1]]=1,((Tab.o1[[#This Row],[DIF_Target.]]-AVERAGE(Tab.o1[DIF_Target.]))/_xlfn.STDEV.P(Tab.o1[DIF_Target.])),"")</f>
        <v/>
      </c>
      <c r="K559" s="117" t="str">
        <f>IF(Tab.o1[[#This Row],[a1]]=1,IF(J$2=0,Tab.o1[[#This Row],[MOD]]-Tab.o1[[#This Row],[B]],IF(J$2=1,0,-Tab.o1[[#This Row],[MED]])+Tab.o1[[#This Row],[B]]),"")</f>
        <v/>
      </c>
      <c r="L559" s="117" t="str">
        <f ca="1">IF(Tab.o1[[#This Row],[DIF_Target]]=0,IF(L$2=0,Tab.o1[[#This Row],[DIF_Target]],AVERAGE(OFFSET(Tab.o1[[#This Row],[DIF_Target]],1,0,L$3,1)))/3,Tab.o1[[#This Row],[DIF_Target]])</f>
        <v/>
      </c>
      <c r="M559" s="118" t="str">
        <f>IF(Tab.o1[[#This Row],[a1]]=1,NORMSDIST(Tab.o1[[#This Row],[Za]]),"")</f>
        <v/>
      </c>
      <c r="N559" s="119" t="str">
        <f>IF(Tab.o1[[#This Row],[a1]]=1,((Tab.o1[[#This Row],[MedMod]]-AVERAGE(Tab.o1[MedMod]))/_xlfn.STDEV.P(Tab.o1[MedMod])*H$1205)+G$1205,"")</f>
        <v/>
      </c>
      <c r="O559" s="141" t="str">
        <f>IF(Tab.o1[[#This Row],[a1]]=1,Tab.o1[[#This Row],[Zb]]*_xlfn.STDEV.P(Tab.o1[MedMod])+AVERAGE(Tab.o1[MedMod]),"")</f>
        <v/>
      </c>
      <c r="P559" s="117" t="str">
        <f ca="1">IF(Tab.o1[[#This Row],[B]]=0,AVERAGE(OFFSET(Tab.o1[[#This Row],[B]],1,0,L$3,1)),Tab.o1[[#This Row],[B]])</f>
        <v/>
      </c>
      <c r="Q559" s="121" t="str">
        <f>IF(Tab.o1[[#This Row],[a1]]=1,NORMSDIST(Tab.o1[[#This Row],[Zb]]),"")</f>
        <v/>
      </c>
      <c r="R559" s="122" t="str">
        <f>IF(Tab.o1[[#This Row],[a1]]=1,((Tab.o1[[#This Row],[MedMod]]-AVERAGE(Tab.o1[MedMod]))/_xlfn.STDEV.P(Tab.o1[MedMod])*H$1203)+G$1203,"")</f>
        <v/>
      </c>
      <c r="S559" s="122" t="str">
        <f>IF(Tab.o1[[#This Row],[a1]]=1,((Tab.o1[[#This Row],[MedMod]]-AVERAGE(Tab.o1[MedMod]))/_xlfn.STDEV.P(Tab.o1[MedMod])*H$1204)+G$1204,"")</f>
        <v/>
      </c>
      <c r="T559" s="123" t="str">
        <f>IF(Tab.o1[[#This Row],[a1]]=1,Tab.o1[[#This Row],[Z-]]*_xlfn.STDEV.P(Tab.o1[B])+AVERAGE(Tab.o1[B]),"")</f>
        <v/>
      </c>
      <c r="U559" s="123" t="str">
        <f>IF(Tab.o1[[#This Row],[a1]]=1,Tab.o1[[#This Row],[z+]]*_xlfn.STDEV.P(Tab.o1[B])+AVERAGE(Tab.o1[B]),"")</f>
        <v/>
      </c>
      <c r="V559" s="124" t="str">
        <f>IF(Tab.o1[[#This Row],[a1]]=1,ABS((ABS(Tab.o1[[#This Row],[Red]]-Tab.o1[[#This Row],[Blue]]))),"")</f>
        <v/>
      </c>
      <c r="W559" s="125" t="str">
        <f>IF(Tab.o1[[#This Row],[a1]]=1,IF(W$3=0,1,Tab.o1[[#This Row],[Amp.]]*1/_xlfn.MINIFS(Tab.o1[Amp.],Tab.o1[Amp.],"&lt;&gt;0")),"")</f>
        <v/>
      </c>
      <c r="X559" s="126" t="str">
        <f>IF(Tab.o1[[#This Row],[a1]]=1,IF(ISNUMBER(Tab.o1[[#This Row],[i.]]),NORMDIST(Tab.o1[[#This Row],[Za]],0,1,FALSE)*Tab.o1[[#This Row],[i.]],AP$3),"")</f>
        <v/>
      </c>
      <c r="Y559" s="126" t="str">
        <f>IF(Tab.o1[[#This Row],[a1]]=1,0.01+0.94*Tab.o1[[#This Row],[PDF]]/MAX(Tab.o1[PDF]),"")</f>
        <v/>
      </c>
      <c r="Z559" s="126" t="str">
        <f>IF(Tab.o1[[#This Row],[a1]]=1,0.01+0.94*Tab.o1[[#This Row],[W1_PDF]]/MAX(Tab.o1[W1_PDF]),"")</f>
        <v/>
      </c>
      <c r="AA559" s="118" t="str">
        <f>IF(Tab.o1[[#This Row],[a1]]=1,ABS([1]!T.in.A[[#This Row],[oo6]]),"")</f>
        <v/>
      </c>
      <c r="AB559" s="127" t="str">
        <f>IF(Tab.o1[[#This Row],[a1]]=1,IF(AE$3=0,"",IF(AB$3=0,ABS([1]!T.in.A[[#This Row],[oo9]]),ABS(Tab.o1[[#This Row],[DIF_Target.]]*Tab.o1[[#This Row],[W1_PDF]]))),"")</f>
        <v/>
      </c>
      <c r="AC559" s="127" t="str">
        <f>IF(G$1=1,"",IF(Tab.o1[[#This Row],[a1]]=1,Tab.o1[[#This Row],[Wr]]^2,""))</f>
        <v/>
      </c>
      <c r="AD559" s="118" t="str">
        <f>IF(Tab.o1[[#This Row],[a1]]=1,IF(AE$3=0,"",Tab.o1[[#This Row],[Wr2]]/SUM(Tab.o1[Wr2])),"")</f>
        <v/>
      </c>
      <c r="AE559" s="128" t="str">
        <f>IF(Tab.o1[[#This Row],[a1]]=1,[1]!T.in.A[[#This Row],[oo10]],"")</f>
        <v/>
      </c>
      <c r="AF559" s="118" t="str">
        <f>IF(Tab.o1[[#This Row],[a1]]=1,ABS(Tab.o1[[#This Row],[DIF_Target.]]*Tab.o1[[#This Row],[PDF2]]*Tab.o1[[#This Row],[IN]]),"")</f>
        <v/>
      </c>
      <c r="AG559" s="129" t="str">
        <f>IF(Tab.o1[[#This Row],[a1]]=1,Tab.o1[[#This Row],[rW]]^2,"")</f>
        <v/>
      </c>
      <c r="AH559" s="130" t="str">
        <f>IF(Tab.o1[[#This Row],[a1]]=1,IF(AH$3=0,Tab.o1[[#This Row],[rW2]],0.01+0.94*Tab.o1[[#This Row],[rW2]]/SUM(Tab.o1[rW2])),"")</f>
        <v/>
      </c>
      <c r="AI559" s="128" t="str">
        <f>IF(Tab.o1[[#This Row],[a1]]=1,1/Tab.o1[[#This Row],[PDF]],"")</f>
        <v/>
      </c>
      <c r="AJ559" s="131" t="str">
        <f>IF(Tab.o1[[#This Row],[a1]]=1,[1]!T_AA[[#This Row],[IN'']]*[1]!T_AA[[#This Row],[Qde'']],"")</f>
        <v/>
      </c>
      <c r="AK559" s="132" t="str">
        <f>IF(Tab.o1[[#This Row],[a1]]=1,IF(AK$1=1,Tab.o1[[#This Row],[MED]]+Tab.o1[[#This Row],[MOD]]-Tab.o1[[#This Row],[MED]],""),"")</f>
        <v/>
      </c>
      <c r="AL559" s="133" t="str">
        <f>IF(Tab.o1[[#This Row],[a1]]=1,[1]!T.in.A[[#This Row],[oo16]],"")</f>
        <v/>
      </c>
      <c r="AM559" s="133" t="str">
        <f>IF(Tab.o1[[#This Row],[a1]]=1,IF(AM$3=1,[1]!T.in.A[[#This Row],[Σo16]],""),"")</f>
        <v/>
      </c>
      <c r="AN559" s="126" t="str">
        <f>IF(Tab.o1[[#This Row],[a1]]=1,[1]!T.in.A[[#This Row],[Σp5]],"")</f>
        <v/>
      </c>
      <c r="AO559" s="126" t="str">
        <f>IF(Tab.o1[[#This Row],[a1]]=1,IF(AO$3=1,[1]!T.in.A[[#This Row],[Σp5]],""),"")</f>
        <v/>
      </c>
      <c r="AP559" s="110" t="str">
        <f>IF(Tab.o1[[#This Row],[a1]]=1,IF(ISNUMBER(Tab.o1[[#This Row],[i.]]),NORMDIST(Tab.o1[[#This Row],[Za]],0,1,FALSE)*Tab.o1[[#This Row],[i.]],0),"")</f>
        <v/>
      </c>
      <c r="AQ559" s="125" t="str">
        <f>IF(Tab.o1[[#This Row],[a1]]=1,ABS(Tab.o1[[#This Row],[MOD]]-AVERAGE(Tab.o1[MOD])),"")</f>
        <v/>
      </c>
      <c r="AR559" s="134" t="str">
        <f>IF(Tab.o1[[#This Row],[a1]]=1,Tab.o1[[#This Row],[OBS]]/SUM(Tab.o1[OBS]),"")</f>
        <v/>
      </c>
      <c r="AS559" s="135" t="str">
        <f>IF(ISNUMBER(Tab.o1[[#This Row],[a1]]),ROW()-4,"")</f>
        <v/>
      </c>
      <c r="AT559" s="136" t="str">
        <f>Tab.o1[[#This Row],[MOD]]</f>
        <v/>
      </c>
      <c r="AU559" s="137" t="str">
        <f t="shared" si="33"/>
        <v/>
      </c>
      <c r="AV559" s="138" t="str">
        <f t="shared" si="34"/>
        <v/>
      </c>
      <c r="AW559" s="138" t="str">
        <f t="shared" si="35"/>
        <v/>
      </c>
      <c r="AX559" s="139" t="str">
        <f>[1]!T.in.A[[#This Row],[ID_T_manu]]</f>
        <v/>
      </c>
      <c r="AY559" s="140" t="str">
        <f>IF(ISNUMBER(Tab.o1[[#This Row],[a1]]),IF(AND(Tab.o1[[#This Row],[a1]]=1,Tab.o1[[#This Row],[b1]]&lt;=AY$4),#REF!,AY558),"")</f>
        <v/>
      </c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</row>
    <row r="560" spans="1:79" ht="15.75" hidden="1">
      <c r="A560" s="109">
        <v>9.0000000000000002E-6</v>
      </c>
      <c r="B560" s="110">
        <f t="shared" si="32"/>
        <v>560</v>
      </c>
      <c r="C560" s="111" t="str">
        <f>IF(C$1=[1]!T.in.A[[#This Row],[oo2]],1,"")</f>
        <v/>
      </c>
      <c r="D560" s="112" t="str">
        <f>IF(Tab.o1[[#This Row],[a1]]=1,IF(SUM(C560:C561)=0,0,IF(SUM(C559:C560)=1,1,IF(SUM(C559:C561)&gt;1,D559+1,0))),"")</f>
        <v/>
      </c>
      <c r="E560" s="113" t="str">
        <f>IF(Tab.o1[[#This Row],[a1]]=1,[1]!T.in.A[[#This Row],[oo1]],"")</f>
        <v/>
      </c>
      <c r="F560" s="113" t="str">
        <f>IF(Tab.o1[[#This Row],[a1]]=1,[1]!T.in.A[[#This Row],[pp1]],"")</f>
        <v/>
      </c>
      <c r="G560" s="114" t="str">
        <f>IF(Tab.o1[[#This Row],[a1]]=1,G$2+IF(G$1=1,0,Tab.o1[[#This Row],[.x1]])+[1]!T.in.A[[#This Row],[oo3]],"")</f>
        <v/>
      </c>
      <c r="H560" s="115" t="str">
        <f>IF(Tab.o1[[#This Row],[a1]]=1,IF(H$2=0,0,IF(G$1=1,0,Tab.o1[[#This Row],[.x1]])+[1]!T.in.A[[#This Row],[oo4]]),"")</f>
        <v/>
      </c>
      <c r="I560" s="116" t="str">
        <f>IF(Tab.o1[[#This Row],[a1]]=1,IF(J$2=0,Tab.o1[[#This Row],[MED]],Tab.o1[[#This Row],[MOD]]),"")</f>
        <v/>
      </c>
      <c r="J560" s="116" t="str">
        <f>IF(Tab.o1[[#This Row],[a1]]=1,((Tab.o1[[#This Row],[DIF_Target.]]-AVERAGE(Tab.o1[DIF_Target.]))/_xlfn.STDEV.P(Tab.o1[DIF_Target.])),"")</f>
        <v/>
      </c>
      <c r="K560" s="117" t="str">
        <f>IF(Tab.o1[[#This Row],[a1]]=1,IF(J$2=0,Tab.o1[[#This Row],[MOD]]-Tab.o1[[#This Row],[B]],IF(J$2=1,0,-Tab.o1[[#This Row],[MED]])+Tab.o1[[#This Row],[B]]),"")</f>
        <v/>
      </c>
      <c r="L560" s="117" t="str">
        <f ca="1">IF(Tab.o1[[#This Row],[DIF_Target]]=0,IF(L$2=0,Tab.o1[[#This Row],[DIF_Target]],AVERAGE(OFFSET(Tab.o1[[#This Row],[DIF_Target]],1,0,L$3,1)))/3,Tab.o1[[#This Row],[DIF_Target]])</f>
        <v/>
      </c>
      <c r="M560" s="118" t="str">
        <f>IF(Tab.o1[[#This Row],[a1]]=1,NORMSDIST(Tab.o1[[#This Row],[Za]]),"")</f>
        <v/>
      </c>
      <c r="N560" s="119" t="str">
        <f>IF(Tab.o1[[#This Row],[a1]]=1,((Tab.o1[[#This Row],[MedMod]]-AVERAGE(Tab.o1[MedMod]))/_xlfn.STDEV.P(Tab.o1[MedMod])*H$1205)+G$1205,"")</f>
        <v/>
      </c>
      <c r="O560" s="141" t="str">
        <f>IF(Tab.o1[[#This Row],[a1]]=1,Tab.o1[[#This Row],[Zb]]*_xlfn.STDEV.P(Tab.o1[MedMod])+AVERAGE(Tab.o1[MedMod]),"")</f>
        <v/>
      </c>
      <c r="P560" s="117" t="str">
        <f ca="1">IF(Tab.o1[[#This Row],[B]]=0,AVERAGE(OFFSET(Tab.o1[[#This Row],[B]],1,0,L$3,1)),Tab.o1[[#This Row],[B]])</f>
        <v/>
      </c>
      <c r="Q560" s="121" t="str">
        <f>IF(Tab.o1[[#This Row],[a1]]=1,NORMSDIST(Tab.o1[[#This Row],[Zb]]),"")</f>
        <v/>
      </c>
      <c r="R560" s="122" t="str">
        <f>IF(Tab.o1[[#This Row],[a1]]=1,((Tab.o1[[#This Row],[MedMod]]-AVERAGE(Tab.o1[MedMod]))/_xlfn.STDEV.P(Tab.o1[MedMod])*H$1203)+G$1203,"")</f>
        <v/>
      </c>
      <c r="S560" s="122" t="str">
        <f>IF(Tab.o1[[#This Row],[a1]]=1,((Tab.o1[[#This Row],[MedMod]]-AVERAGE(Tab.o1[MedMod]))/_xlfn.STDEV.P(Tab.o1[MedMod])*H$1204)+G$1204,"")</f>
        <v/>
      </c>
      <c r="T560" s="123" t="str">
        <f>IF(Tab.o1[[#This Row],[a1]]=1,Tab.o1[[#This Row],[Z-]]*_xlfn.STDEV.P(Tab.o1[B])+AVERAGE(Tab.o1[B]),"")</f>
        <v/>
      </c>
      <c r="U560" s="123" t="str">
        <f>IF(Tab.o1[[#This Row],[a1]]=1,Tab.o1[[#This Row],[z+]]*_xlfn.STDEV.P(Tab.o1[B])+AVERAGE(Tab.o1[B]),"")</f>
        <v/>
      </c>
      <c r="V560" s="124" t="str">
        <f>IF(Tab.o1[[#This Row],[a1]]=1,ABS((ABS(Tab.o1[[#This Row],[Red]]-Tab.o1[[#This Row],[Blue]]))),"")</f>
        <v/>
      </c>
      <c r="W560" s="125" t="str">
        <f>IF(Tab.o1[[#This Row],[a1]]=1,IF(W$3=0,1,Tab.o1[[#This Row],[Amp.]]*1/_xlfn.MINIFS(Tab.o1[Amp.],Tab.o1[Amp.],"&lt;&gt;0")),"")</f>
        <v/>
      </c>
      <c r="X560" s="126" t="str">
        <f>IF(Tab.o1[[#This Row],[a1]]=1,IF(ISNUMBER(Tab.o1[[#This Row],[i.]]),NORMDIST(Tab.o1[[#This Row],[Za]],0,1,FALSE)*Tab.o1[[#This Row],[i.]],AP$3),"")</f>
        <v/>
      </c>
      <c r="Y560" s="126" t="str">
        <f>IF(Tab.o1[[#This Row],[a1]]=1,0.01+0.94*Tab.o1[[#This Row],[PDF]]/MAX(Tab.o1[PDF]),"")</f>
        <v/>
      </c>
      <c r="Z560" s="126" t="str">
        <f>IF(Tab.o1[[#This Row],[a1]]=1,0.01+0.94*Tab.o1[[#This Row],[W1_PDF]]/MAX(Tab.o1[W1_PDF]),"")</f>
        <v/>
      </c>
      <c r="AA560" s="118" t="str">
        <f>IF(Tab.o1[[#This Row],[a1]]=1,ABS([1]!T.in.A[[#This Row],[oo6]]),"")</f>
        <v/>
      </c>
      <c r="AB560" s="127" t="str">
        <f>IF(Tab.o1[[#This Row],[a1]]=1,IF(AE$3=0,"",IF(AB$3=0,ABS([1]!T.in.A[[#This Row],[oo9]]),ABS(Tab.o1[[#This Row],[DIF_Target.]]*Tab.o1[[#This Row],[W1_PDF]]))),"")</f>
        <v/>
      </c>
      <c r="AC560" s="127" t="str">
        <f>IF(G$1=1,"",IF(Tab.o1[[#This Row],[a1]]=1,Tab.o1[[#This Row],[Wr]]^2,""))</f>
        <v/>
      </c>
      <c r="AD560" s="118" t="str">
        <f>IF(Tab.o1[[#This Row],[a1]]=1,IF(AE$3=0,"",Tab.o1[[#This Row],[Wr2]]/SUM(Tab.o1[Wr2])),"")</f>
        <v/>
      </c>
      <c r="AE560" s="128" t="str">
        <f>IF(Tab.o1[[#This Row],[a1]]=1,[1]!T.in.A[[#This Row],[oo10]],"")</f>
        <v/>
      </c>
      <c r="AF560" s="118" t="str">
        <f>IF(Tab.o1[[#This Row],[a1]]=1,ABS(Tab.o1[[#This Row],[DIF_Target.]]*Tab.o1[[#This Row],[PDF2]]*Tab.o1[[#This Row],[IN]]),"")</f>
        <v/>
      </c>
      <c r="AG560" s="129" t="str">
        <f>IF(Tab.o1[[#This Row],[a1]]=1,Tab.o1[[#This Row],[rW]]^2,"")</f>
        <v/>
      </c>
      <c r="AH560" s="130" t="str">
        <f>IF(Tab.o1[[#This Row],[a1]]=1,IF(AH$3=0,Tab.o1[[#This Row],[rW2]],0.01+0.94*Tab.o1[[#This Row],[rW2]]/SUM(Tab.o1[rW2])),"")</f>
        <v/>
      </c>
      <c r="AI560" s="128" t="str">
        <f>IF(Tab.o1[[#This Row],[a1]]=1,1/Tab.o1[[#This Row],[PDF]],"")</f>
        <v/>
      </c>
      <c r="AJ560" s="131" t="str">
        <f>IF(Tab.o1[[#This Row],[a1]]=1,[1]!T_AA[[#This Row],[IN'']]*[1]!T_AA[[#This Row],[Qde'']],"")</f>
        <v/>
      </c>
      <c r="AK560" s="132" t="str">
        <f>IF(Tab.o1[[#This Row],[a1]]=1,IF(AK$1=1,Tab.o1[[#This Row],[MED]]+Tab.o1[[#This Row],[MOD]]-Tab.o1[[#This Row],[MED]],""),"")</f>
        <v/>
      </c>
      <c r="AL560" s="133" t="str">
        <f>IF(Tab.o1[[#This Row],[a1]]=1,[1]!T.in.A[[#This Row],[oo16]],"")</f>
        <v/>
      </c>
      <c r="AM560" s="133" t="str">
        <f>IF(Tab.o1[[#This Row],[a1]]=1,IF(AM$3=1,[1]!T.in.A[[#This Row],[Σo16]],""),"")</f>
        <v/>
      </c>
      <c r="AN560" s="126" t="str">
        <f>IF(Tab.o1[[#This Row],[a1]]=1,[1]!T.in.A[[#This Row],[Σp5]],"")</f>
        <v/>
      </c>
      <c r="AO560" s="126" t="str">
        <f>IF(Tab.o1[[#This Row],[a1]]=1,IF(AO$3=1,[1]!T.in.A[[#This Row],[Σp5]],""),"")</f>
        <v/>
      </c>
      <c r="AP560" s="110" t="str">
        <f>IF(Tab.o1[[#This Row],[a1]]=1,IF(ISNUMBER(Tab.o1[[#This Row],[i.]]),NORMDIST(Tab.o1[[#This Row],[Za]],0,1,FALSE)*Tab.o1[[#This Row],[i.]],0),"")</f>
        <v/>
      </c>
      <c r="AQ560" s="125" t="str">
        <f>IF(Tab.o1[[#This Row],[a1]]=1,ABS(Tab.o1[[#This Row],[MOD]]-AVERAGE(Tab.o1[MOD])),"")</f>
        <v/>
      </c>
      <c r="AR560" s="134" t="str">
        <f>IF(Tab.o1[[#This Row],[a1]]=1,Tab.o1[[#This Row],[OBS]]/SUM(Tab.o1[OBS]),"")</f>
        <v/>
      </c>
      <c r="AS560" s="135" t="str">
        <f>IF(ISNUMBER(Tab.o1[[#This Row],[a1]]),ROW()-4,"")</f>
        <v/>
      </c>
      <c r="AT560" s="136" t="str">
        <f>Tab.o1[[#This Row],[MOD]]</f>
        <v/>
      </c>
      <c r="AU560" s="137" t="str">
        <f t="shared" si="33"/>
        <v/>
      </c>
      <c r="AV560" s="138" t="str">
        <f t="shared" si="34"/>
        <v/>
      </c>
      <c r="AW560" s="138" t="str">
        <f t="shared" si="35"/>
        <v/>
      </c>
      <c r="AX560" s="139" t="str">
        <f>[1]!T.in.A[[#This Row],[ID_T_manu]]</f>
        <v/>
      </c>
      <c r="AY560" s="140" t="str">
        <f>IF(ISNUMBER(Tab.o1[[#This Row],[a1]]),IF(AND(Tab.o1[[#This Row],[a1]]=1,Tab.o1[[#This Row],[b1]]&lt;=AY$4),#REF!,AY559),"")</f>
        <v/>
      </c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</row>
    <row r="561" spans="1:79" ht="15.75" hidden="1">
      <c r="A561" s="109">
        <v>1.0000000000000002E-6</v>
      </c>
      <c r="B561" s="110">
        <f t="shared" si="32"/>
        <v>561</v>
      </c>
      <c r="C561" s="111" t="str">
        <f>IF(C$1=[1]!T.in.A[[#This Row],[oo2]],1,"")</f>
        <v/>
      </c>
      <c r="D561" s="112" t="str">
        <f>IF(Tab.o1[[#This Row],[a1]]=1,IF(SUM(C561:C562)=0,0,IF(SUM(C560:C561)=1,1,IF(SUM(C560:C562)&gt;1,D560+1,0))),"")</f>
        <v/>
      </c>
      <c r="E561" s="113" t="str">
        <f>IF(Tab.o1[[#This Row],[a1]]=1,[1]!T.in.A[[#This Row],[oo1]],"")</f>
        <v/>
      </c>
      <c r="F561" s="113" t="str">
        <f>IF(Tab.o1[[#This Row],[a1]]=1,[1]!T.in.A[[#This Row],[pp1]],"")</f>
        <v/>
      </c>
      <c r="G561" s="114" t="str">
        <f>IF(Tab.o1[[#This Row],[a1]]=1,G$2+IF(G$1=1,0,Tab.o1[[#This Row],[.x1]])+[1]!T.in.A[[#This Row],[oo3]],"")</f>
        <v/>
      </c>
      <c r="H561" s="115" t="str">
        <f>IF(Tab.o1[[#This Row],[a1]]=1,IF(H$2=0,0,IF(G$1=1,0,Tab.o1[[#This Row],[.x1]])+[1]!T.in.A[[#This Row],[oo4]]),"")</f>
        <v/>
      </c>
      <c r="I561" s="116" t="str">
        <f>IF(Tab.o1[[#This Row],[a1]]=1,IF(J$2=0,Tab.o1[[#This Row],[MED]],Tab.o1[[#This Row],[MOD]]),"")</f>
        <v/>
      </c>
      <c r="J561" s="116" t="str">
        <f>IF(Tab.o1[[#This Row],[a1]]=1,((Tab.o1[[#This Row],[DIF_Target.]]-AVERAGE(Tab.o1[DIF_Target.]))/_xlfn.STDEV.P(Tab.o1[DIF_Target.])),"")</f>
        <v/>
      </c>
      <c r="K561" s="117" t="str">
        <f>IF(Tab.o1[[#This Row],[a1]]=1,IF(J$2=0,Tab.o1[[#This Row],[MOD]]-Tab.o1[[#This Row],[B]],IF(J$2=1,0,-Tab.o1[[#This Row],[MED]])+Tab.o1[[#This Row],[B]]),"")</f>
        <v/>
      </c>
      <c r="L561" s="117" t="str">
        <f ca="1">IF(Tab.o1[[#This Row],[DIF_Target]]=0,IF(L$2=0,Tab.o1[[#This Row],[DIF_Target]],AVERAGE(OFFSET(Tab.o1[[#This Row],[DIF_Target]],1,0,L$3,1)))/3,Tab.o1[[#This Row],[DIF_Target]])</f>
        <v/>
      </c>
      <c r="M561" s="118" t="str">
        <f>IF(Tab.o1[[#This Row],[a1]]=1,NORMSDIST(Tab.o1[[#This Row],[Za]]),"")</f>
        <v/>
      </c>
      <c r="N561" s="119" t="str">
        <f>IF(Tab.o1[[#This Row],[a1]]=1,((Tab.o1[[#This Row],[MedMod]]-AVERAGE(Tab.o1[MedMod]))/_xlfn.STDEV.P(Tab.o1[MedMod])*H$1205)+G$1205,"")</f>
        <v/>
      </c>
      <c r="O561" s="141" t="str">
        <f>IF(Tab.o1[[#This Row],[a1]]=1,Tab.o1[[#This Row],[Zb]]*_xlfn.STDEV.P(Tab.o1[MedMod])+AVERAGE(Tab.o1[MedMod]),"")</f>
        <v/>
      </c>
      <c r="P561" s="117" t="str">
        <f ca="1">IF(Tab.o1[[#This Row],[B]]=0,AVERAGE(OFFSET(Tab.o1[[#This Row],[B]],1,0,L$3,1)),Tab.o1[[#This Row],[B]])</f>
        <v/>
      </c>
      <c r="Q561" s="121" t="str">
        <f>IF(Tab.o1[[#This Row],[a1]]=1,NORMSDIST(Tab.o1[[#This Row],[Zb]]),"")</f>
        <v/>
      </c>
      <c r="R561" s="122" t="str">
        <f>IF(Tab.o1[[#This Row],[a1]]=1,((Tab.o1[[#This Row],[MedMod]]-AVERAGE(Tab.o1[MedMod]))/_xlfn.STDEV.P(Tab.o1[MedMod])*H$1203)+G$1203,"")</f>
        <v/>
      </c>
      <c r="S561" s="122" t="str">
        <f>IF(Tab.o1[[#This Row],[a1]]=1,((Tab.o1[[#This Row],[MedMod]]-AVERAGE(Tab.o1[MedMod]))/_xlfn.STDEV.P(Tab.o1[MedMod])*H$1204)+G$1204,"")</f>
        <v/>
      </c>
      <c r="T561" s="123" t="str">
        <f>IF(Tab.o1[[#This Row],[a1]]=1,Tab.o1[[#This Row],[Z-]]*_xlfn.STDEV.P(Tab.o1[B])+AVERAGE(Tab.o1[B]),"")</f>
        <v/>
      </c>
      <c r="U561" s="123" t="str">
        <f>IF(Tab.o1[[#This Row],[a1]]=1,Tab.o1[[#This Row],[z+]]*_xlfn.STDEV.P(Tab.o1[B])+AVERAGE(Tab.o1[B]),"")</f>
        <v/>
      </c>
      <c r="V561" s="124" t="str">
        <f>IF(Tab.o1[[#This Row],[a1]]=1,ABS((ABS(Tab.o1[[#This Row],[Red]]-Tab.o1[[#This Row],[Blue]]))),"")</f>
        <v/>
      </c>
      <c r="W561" s="125" t="str">
        <f>IF(Tab.o1[[#This Row],[a1]]=1,IF(W$3=0,1,Tab.o1[[#This Row],[Amp.]]*1/_xlfn.MINIFS(Tab.o1[Amp.],Tab.o1[Amp.],"&lt;&gt;0")),"")</f>
        <v/>
      </c>
      <c r="X561" s="126" t="str">
        <f>IF(Tab.o1[[#This Row],[a1]]=1,IF(ISNUMBER(Tab.o1[[#This Row],[i.]]),NORMDIST(Tab.o1[[#This Row],[Za]],0,1,FALSE)*Tab.o1[[#This Row],[i.]],AP$3),"")</f>
        <v/>
      </c>
      <c r="Y561" s="126" t="str">
        <f>IF(Tab.o1[[#This Row],[a1]]=1,0.01+0.94*Tab.o1[[#This Row],[PDF]]/MAX(Tab.o1[PDF]),"")</f>
        <v/>
      </c>
      <c r="Z561" s="126" t="str">
        <f>IF(Tab.o1[[#This Row],[a1]]=1,0.01+0.94*Tab.o1[[#This Row],[W1_PDF]]/MAX(Tab.o1[W1_PDF]),"")</f>
        <v/>
      </c>
      <c r="AA561" s="118" t="str">
        <f>IF(Tab.o1[[#This Row],[a1]]=1,ABS([1]!T.in.A[[#This Row],[oo6]]),"")</f>
        <v/>
      </c>
      <c r="AB561" s="127" t="str">
        <f>IF(Tab.o1[[#This Row],[a1]]=1,IF(AE$3=0,"",IF(AB$3=0,ABS([1]!T.in.A[[#This Row],[oo9]]),ABS(Tab.o1[[#This Row],[DIF_Target.]]*Tab.o1[[#This Row],[W1_PDF]]))),"")</f>
        <v/>
      </c>
      <c r="AC561" s="127" t="str">
        <f>IF(G$1=1,"",IF(Tab.o1[[#This Row],[a1]]=1,Tab.o1[[#This Row],[Wr]]^2,""))</f>
        <v/>
      </c>
      <c r="AD561" s="118" t="str">
        <f>IF(Tab.o1[[#This Row],[a1]]=1,IF(AE$3=0,"",Tab.o1[[#This Row],[Wr2]]/SUM(Tab.o1[Wr2])),"")</f>
        <v/>
      </c>
      <c r="AE561" s="128" t="str">
        <f>IF(Tab.o1[[#This Row],[a1]]=1,[1]!T.in.A[[#This Row],[oo10]],"")</f>
        <v/>
      </c>
      <c r="AF561" s="118" t="str">
        <f>IF(Tab.o1[[#This Row],[a1]]=1,ABS(Tab.o1[[#This Row],[DIF_Target.]]*Tab.o1[[#This Row],[PDF2]]*Tab.o1[[#This Row],[IN]]),"")</f>
        <v/>
      </c>
      <c r="AG561" s="129" t="str">
        <f>IF(Tab.o1[[#This Row],[a1]]=1,Tab.o1[[#This Row],[rW]]^2,"")</f>
        <v/>
      </c>
      <c r="AH561" s="130" t="str">
        <f>IF(Tab.o1[[#This Row],[a1]]=1,IF(AH$3=0,Tab.o1[[#This Row],[rW2]],0.01+0.94*Tab.o1[[#This Row],[rW2]]/SUM(Tab.o1[rW2])),"")</f>
        <v/>
      </c>
      <c r="AI561" s="128" t="str">
        <f>IF(Tab.o1[[#This Row],[a1]]=1,1/Tab.o1[[#This Row],[PDF]],"")</f>
        <v/>
      </c>
      <c r="AJ561" s="131" t="str">
        <f>IF(Tab.o1[[#This Row],[a1]]=1,[1]!T_AA[[#This Row],[IN'']]*[1]!T_AA[[#This Row],[Qde'']],"")</f>
        <v/>
      </c>
      <c r="AK561" s="132" t="str">
        <f>IF(Tab.o1[[#This Row],[a1]]=1,IF(AK$1=1,Tab.o1[[#This Row],[MED]]+Tab.o1[[#This Row],[MOD]]-Tab.o1[[#This Row],[MED]],""),"")</f>
        <v/>
      </c>
      <c r="AL561" s="133" t="str">
        <f>IF(Tab.o1[[#This Row],[a1]]=1,[1]!T.in.A[[#This Row],[oo16]],"")</f>
        <v/>
      </c>
      <c r="AM561" s="133" t="str">
        <f>IF(Tab.o1[[#This Row],[a1]]=1,IF(AM$3=1,[1]!T.in.A[[#This Row],[Σo16]],""),"")</f>
        <v/>
      </c>
      <c r="AN561" s="126" t="str">
        <f>IF(Tab.o1[[#This Row],[a1]]=1,[1]!T.in.A[[#This Row],[Σp5]],"")</f>
        <v/>
      </c>
      <c r="AO561" s="126" t="str">
        <f>IF(Tab.o1[[#This Row],[a1]]=1,IF(AO$3=1,[1]!T.in.A[[#This Row],[Σp5]],""),"")</f>
        <v/>
      </c>
      <c r="AP561" s="110" t="str">
        <f>IF(Tab.o1[[#This Row],[a1]]=1,IF(ISNUMBER(Tab.o1[[#This Row],[i.]]),NORMDIST(Tab.o1[[#This Row],[Za]],0,1,FALSE)*Tab.o1[[#This Row],[i.]],0),"")</f>
        <v/>
      </c>
      <c r="AQ561" s="125" t="str">
        <f>IF(Tab.o1[[#This Row],[a1]]=1,ABS(Tab.o1[[#This Row],[MOD]]-AVERAGE(Tab.o1[MOD])),"")</f>
        <v/>
      </c>
      <c r="AR561" s="134" t="str">
        <f>IF(Tab.o1[[#This Row],[a1]]=1,Tab.o1[[#This Row],[OBS]]/SUM(Tab.o1[OBS]),"")</f>
        <v/>
      </c>
      <c r="AS561" s="135" t="str">
        <f>IF(ISNUMBER(Tab.o1[[#This Row],[a1]]),ROW()-4,"")</f>
        <v/>
      </c>
      <c r="AT561" s="136" t="str">
        <f>Tab.o1[[#This Row],[MOD]]</f>
        <v/>
      </c>
      <c r="AU561" s="137" t="str">
        <f t="shared" si="33"/>
        <v/>
      </c>
      <c r="AV561" s="138" t="str">
        <f t="shared" si="34"/>
        <v/>
      </c>
      <c r="AW561" s="138" t="str">
        <f t="shared" si="35"/>
        <v/>
      </c>
      <c r="AX561" s="139" t="str">
        <f>[1]!T.in.A[[#This Row],[ID_T_manu]]</f>
        <v/>
      </c>
      <c r="AY561" s="140" t="str">
        <f>IF(ISNUMBER(Tab.o1[[#This Row],[a1]]),IF(AND(Tab.o1[[#This Row],[a1]]=1,Tab.o1[[#This Row],[b1]]&lt;=AY$4),#REF!,AY560),"")</f>
        <v/>
      </c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</row>
    <row r="562" spans="1:79" ht="15.75" hidden="1">
      <c r="A562" s="109">
        <v>-1.0000000000000002E-6</v>
      </c>
      <c r="B562" s="110">
        <f t="shared" si="32"/>
        <v>562</v>
      </c>
      <c r="C562" s="111" t="str">
        <f>IF(C$1=[1]!T.in.A[[#This Row],[oo2]],1,"")</f>
        <v/>
      </c>
      <c r="D562" s="112" t="str">
        <f>IF(Tab.o1[[#This Row],[a1]]=1,IF(SUM(C562:C563)=0,0,IF(SUM(C561:C562)=1,1,IF(SUM(C561:C563)&gt;1,D561+1,0))),"")</f>
        <v/>
      </c>
      <c r="E562" s="113" t="str">
        <f>IF(Tab.o1[[#This Row],[a1]]=1,[1]!T.in.A[[#This Row],[oo1]],"")</f>
        <v/>
      </c>
      <c r="F562" s="113" t="str">
        <f>IF(Tab.o1[[#This Row],[a1]]=1,[1]!T.in.A[[#This Row],[pp1]],"")</f>
        <v/>
      </c>
      <c r="G562" s="114" t="str">
        <f>IF(Tab.o1[[#This Row],[a1]]=1,G$2+IF(G$1=1,0,Tab.o1[[#This Row],[.x1]])+[1]!T.in.A[[#This Row],[oo3]],"")</f>
        <v/>
      </c>
      <c r="H562" s="115" t="str">
        <f>IF(Tab.o1[[#This Row],[a1]]=1,IF(H$2=0,0,IF(G$1=1,0,Tab.o1[[#This Row],[.x1]])+[1]!T.in.A[[#This Row],[oo4]]),"")</f>
        <v/>
      </c>
      <c r="I562" s="116" t="str">
        <f>IF(Tab.o1[[#This Row],[a1]]=1,IF(J$2=0,Tab.o1[[#This Row],[MED]],Tab.o1[[#This Row],[MOD]]),"")</f>
        <v/>
      </c>
      <c r="J562" s="116" t="str">
        <f>IF(Tab.o1[[#This Row],[a1]]=1,((Tab.o1[[#This Row],[DIF_Target.]]-AVERAGE(Tab.o1[DIF_Target.]))/_xlfn.STDEV.P(Tab.o1[DIF_Target.])),"")</f>
        <v/>
      </c>
      <c r="K562" s="117" t="str">
        <f>IF(Tab.o1[[#This Row],[a1]]=1,IF(J$2=0,Tab.o1[[#This Row],[MOD]]-Tab.o1[[#This Row],[B]],IF(J$2=1,0,-Tab.o1[[#This Row],[MED]])+Tab.o1[[#This Row],[B]]),"")</f>
        <v/>
      </c>
      <c r="L562" s="117" t="str">
        <f ca="1">IF(Tab.o1[[#This Row],[DIF_Target]]=0,IF(L$2=0,Tab.o1[[#This Row],[DIF_Target]],AVERAGE(OFFSET(Tab.o1[[#This Row],[DIF_Target]],1,0,L$3,1)))/3,Tab.o1[[#This Row],[DIF_Target]])</f>
        <v/>
      </c>
      <c r="M562" s="118" t="str">
        <f>IF(Tab.o1[[#This Row],[a1]]=1,NORMSDIST(Tab.o1[[#This Row],[Za]]),"")</f>
        <v/>
      </c>
      <c r="N562" s="119" t="str">
        <f>IF(Tab.o1[[#This Row],[a1]]=1,((Tab.o1[[#This Row],[MedMod]]-AVERAGE(Tab.o1[MedMod]))/_xlfn.STDEV.P(Tab.o1[MedMod])*H$1205)+G$1205,"")</f>
        <v/>
      </c>
      <c r="O562" s="141" t="str">
        <f>IF(Tab.o1[[#This Row],[a1]]=1,Tab.o1[[#This Row],[Zb]]*_xlfn.STDEV.P(Tab.o1[MedMod])+AVERAGE(Tab.o1[MedMod]),"")</f>
        <v/>
      </c>
      <c r="P562" s="117" t="str">
        <f ca="1">IF(Tab.o1[[#This Row],[B]]=0,AVERAGE(OFFSET(Tab.o1[[#This Row],[B]],1,0,L$3,1)),Tab.o1[[#This Row],[B]])</f>
        <v/>
      </c>
      <c r="Q562" s="121" t="str">
        <f>IF(Tab.o1[[#This Row],[a1]]=1,NORMSDIST(Tab.o1[[#This Row],[Zb]]),"")</f>
        <v/>
      </c>
      <c r="R562" s="122" t="str">
        <f>IF(Tab.o1[[#This Row],[a1]]=1,((Tab.o1[[#This Row],[MedMod]]-AVERAGE(Tab.o1[MedMod]))/_xlfn.STDEV.P(Tab.o1[MedMod])*H$1203)+G$1203,"")</f>
        <v/>
      </c>
      <c r="S562" s="122" t="str">
        <f>IF(Tab.o1[[#This Row],[a1]]=1,((Tab.o1[[#This Row],[MedMod]]-AVERAGE(Tab.o1[MedMod]))/_xlfn.STDEV.P(Tab.o1[MedMod])*H$1204)+G$1204,"")</f>
        <v/>
      </c>
      <c r="T562" s="123" t="str">
        <f>IF(Tab.o1[[#This Row],[a1]]=1,Tab.o1[[#This Row],[Z-]]*_xlfn.STDEV.P(Tab.o1[B])+AVERAGE(Tab.o1[B]),"")</f>
        <v/>
      </c>
      <c r="U562" s="123" t="str">
        <f>IF(Tab.o1[[#This Row],[a1]]=1,Tab.o1[[#This Row],[z+]]*_xlfn.STDEV.P(Tab.o1[B])+AVERAGE(Tab.o1[B]),"")</f>
        <v/>
      </c>
      <c r="V562" s="124" t="str">
        <f>IF(Tab.o1[[#This Row],[a1]]=1,ABS((ABS(Tab.o1[[#This Row],[Red]]-Tab.o1[[#This Row],[Blue]]))),"")</f>
        <v/>
      </c>
      <c r="W562" s="125" t="str">
        <f>IF(Tab.o1[[#This Row],[a1]]=1,IF(W$3=0,1,Tab.o1[[#This Row],[Amp.]]*1/_xlfn.MINIFS(Tab.o1[Amp.],Tab.o1[Amp.],"&lt;&gt;0")),"")</f>
        <v/>
      </c>
      <c r="X562" s="126" t="str">
        <f>IF(Tab.o1[[#This Row],[a1]]=1,IF(ISNUMBER(Tab.o1[[#This Row],[i.]]),NORMDIST(Tab.o1[[#This Row],[Za]],0,1,FALSE)*Tab.o1[[#This Row],[i.]],AP$3),"")</f>
        <v/>
      </c>
      <c r="Y562" s="126" t="str">
        <f>IF(Tab.o1[[#This Row],[a1]]=1,0.01+0.94*Tab.o1[[#This Row],[PDF]]/MAX(Tab.o1[PDF]),"")</f>
        <v/>
      </c>
      <c r="Z562" s="126" t="str">
        <f>IF(Tab.o1[[#This Row],[a1]]=1,0.01+0.94*Tab.o1[[#This Row],[W1_PDF]]/MAX(Tab.o1[W1_PDF]),"")</f>
        <v/>
      </c>
      <c r="AA562" s="118" t="str">
        <f>IF(Tab.o1[[#This Row],[a1]]=1,ABS([1]!T.in.A[[#This Row],[oo6]]),"")</f>
        <v/>
      </c>
      <c r="AB562" s="127" t="str">
        <f>IF(Tab.o1[[#This Row],[a1]]=1,IF(AE$3=0,"",IF(AB$3=0,ABS([1]!T.in.A[[#This Row],[oo9]]),ABS(Tab.o1[[#This Row],[DIF_Target.]]*Tab.o1[[#This Row],[W1_PDF]]))),"")</f>
        <v/>
      </c>
      <c r="AC562" s="127" t="str">
        <f>IF(G$1=1,"",IF(Tab.o1[[#This Row],[a1]]=1,Tab.o1[[#This Row],[Wr]]^2,""))</f>
        <v/>
      </c>
      <c r="AD562" s="118" t="str">
        <f>IF(Tab.o1[[#This Row],[a1]]=1,IF(AE$3=0,"",Tab.o1[[#This Row],[Wr2]]/SUM(Tab.o1[Wr2])),"")</f>
        <v/>
      </c>
      <c r="AE562" s="128" t="str">
        <f>IF(Tab.o1[[#This Row],[a1]]=1,[1]!T.in.A[[#This Row],[oo10]],"")</f>
        <v/>
      </c>
      <c r="AF562" s="118" t="str">
        <f>IF(Tab.o1[[#This Row],[a1]]=1,ABS(Tab.o1[[#This Row],[DIF_Target.]]*Tab.o1[[#This Row],[PDF2]]*Tab.o1[[#This Row],[IN]]),"")</f>
        <v/>
      </c>
      <c r="AG562" s="129" t="str">
        <f>IF(Tab.o1[[#This Row],[a1]]=1,Tab.o1[[#This Row],[rW]]^2,"")</f>
        <v/>
      </c>
      <c r="AH562" s="130" t="str">
        <f>IF(Tab.o1[[#This Row],[a1]]=1,IF(AH$3=0,Tab.o1[[#This Row],[rW2]],0.01+0.94*Tab.o1[[#This Row],[rW2]]/SUM(Tab.o1[rW2])),"")</f>
        <v/>
      </c>
      <c r="AI562" s="128" t="str">
        <f>IF(Tab.o1[[#This Row],[a1]]=1,1/Tab.o1[[#This Row],[PDF]],"")</f>
        <v/>
      </c>
      <c r="AJ562" s="131" t="str">
        <f>IF(Tab.o1[[#This Row],[a1]]=1,[1]!T_AA[[#This Row],[IN'']]*[1]!T_AA[[#This Row],[Qde'']],"")</f>
        <v/>
      </c>
      <c r="AK562" s="132" t="str">
        <f>IF(Tab.o1[[#This Row],[a1]]=1,IF(AK$1=1,Tab.o1[[#This Row],[MED]]+Tab.o1[[#This Row],[MOD]]-Tab.o1[[#This Row],[MED]],""),"")</f>
        <v/>
      </c>
      <c r="AL562" s="133" t="str">
        <f>IF(Tab.o1[[#This Row],[a1]]=1,[1]!T.in.A[[#This Row],[oo16]],"")</f>
        <v/>
      </c>
      <c r="AM562" s="133" t="str">
        <f>IF(Tab.o1[[#This Row],[a1]]=1,IF(AM$3=1,[1]!T.in.A[[#This Row],[Σo16]],""),"")</f>
        <v/>
      </c>
      <c r="AN562" s="126" t="str">
        <f>IF(Tab.o1[[#This Row],[a1]]=1,[1]!T.in.A[[#This Row],[Σp5]],"")</f>
        <v/>
      </c>
      <c r="AO562" s="126" t="str">
        <f>IF(Tab.o1[[#This Row],[a1]]=1,IF(AO$3=1,[1]!T.in.A[[#This Row],[Σp5]],""),"")</f>
        <v/>
      </c>
      <c r="AP562" s="110" t="str">
        <f>IF(Tab.o1[[#This Row],[a1]]=1,IF(ISNUMBER(Tab.o1[[#This Row],[i.]]),NORMDIST(Tab.o1[[#This Row],[Za]],0,1,FALSE)*Tab.o1[[#This Row],[i.]],0),"")</f>
        <v/>
      </c>
      <c r="AQ562" s="125" t="str">
        <f>IF(Tab.o1[[#This Row],[a1]]=1,ABS(Tab.o1[[#This Row],[MOD]]-AVERAGE(Tab.o1[MOD])),"")</f>
        <v/>
      </c>
      <c r="AR562" s="134" t="str">
        <f>IF(Tab.o1[[#This Row],[a1]]=1,Tab.o1[[#This Row],[OBS]]/SUM(Tab.o1[OBS]),"")</f>
        <v/>
      </c>
      <c r="AS562" s="135" t="str">
        <f>IF(ISNUMBER(Tab.o1[[#This Row],[a1]]),ROW()-4,"")</f>
        <v/>
      </c>
      <c r="AT562" s="136" t="str">
        <f>Tab.o1[[#This Row],[MOD]]</f>
        <v/>
      </c>
      <c r="AU562" s="137" t="str">
        <f t="shared" si="33"/>
        <v/>
      </c>
      <c r="AV562" s="138" t="str">
        <f t="shared" si="34"/>
        <v/>
      </c>
      <c r="AW562" s="138" t="str">
        <f t="shared" si="35"/>
        <v/>
      </c>
      <c r="AX562" s="139" t="str">
        <f>[1]!T.in.A[[#This Row],[ID_T_manu]]</f>
        <v/>
      </c>
      <c r="AY562" s="140" t="str">
        <f>IF(ISNUMBER(Tab.o1[[#This Row],[a1]]),IF(AND(Tab.o1[[#This Row],[a1]]=1,Tab.o1[[#This Row],[b1]]&lt;=AY$4),#REF!,AY561),"")</f>
        <v/>
      </c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</row>
    <row r="563" spans="1:79" ht="15.75" hidden="1">
      <c r="A563" s="109">
        <v>-8.0000000000000013E-6</v>
      </c>
      <c r="B563" s="110">
        <f t="shared" si="32"/>
        <v>563</v>
      </c>
      <c r="C563" s="111" t="str">
        <f>IF(C$1=[1]!T.in.A[[#This Row],[oo2]],1,"")</f>
        <v/>
      </c>
      <c r="D563" s="112" t="str">
        <f>IF(Tab.o1[[#This Row],[a1]]=1,IF(SUM(C563:C564)=0,0,IF(SUM(C562:C563)=1,1,IF(SUM(C562:C564)&gt;1,D562+1,0))),"")</f>
        <v/>
      </c>
      <c r="E563" s="113" t="str">
        <f>IF(Tab.o1[[#This Row],[a1]]=1,[1]!T.in.A[[#This Row],[oo1]],"")</f>
        <v/>
      </c>
      <c r="F563" s="113" t="str">
        <f>IF(Tab.o1[[#This Row],[a1]]=1,[1]!T.in.A[[#This Row],[pp1]],"")</f>
        <v/>
      </c>
      <c r="G563" s="114" t="str">
        <f>IF(Tab.o1[[#This Row],[a1]]=1,G$2+IF(G$1=1,0,Tab.o1[[#This Row],[.x1]])+[1]!T.in.A[[#This Row],[oo3]],"")</f>
        <v/>
      </c>
      <c r="H563" s="115" t="str">
        <f>IF(Tab.o1[[#This Row],[a1]]=1,IF(H$2=0,0,IF(G$1=1,0,Tab.o1[[#This Row],[.x1]])+[1]!T.in.A[[#This Row],[oo4]]),"")</f>
        <v/>
      </c>
      <c r="I563" s="116" t="str">
        <f>IF(Tab.o1[[#This Row],[a1]]=1,IF(J$2=0,Tab.o1[[#This Row],[MED]],Tab.o1[[#This Row],[MOD]]),"")</f>
        <v/>
      </c>
      <c r="J563" s="116" t="str">
        <f>IF(Tab.o1[[#This Row],[a1]]=1,((Tab.o1[[#This Row],[DIF_Target.]]-AVERAGE(Tab.o1[DIF_Target.]))/_xlfn.STDEV.P(Tab.o1[DIF_Target.])),"")</f>
        <v/>
      </c>
      <c r="K563" s="117" t="str">
        <f>IF(Tab.o1[[#This Row],[a1]]=1,IF(J$2=0,Tab.o1[[#This Row],[MOD]]-Tab.o1[[#This Row],[B]],IF(J$2=1,0,-Tab.o1[[#This Row],[MED]])+Tab.o1[[#This Row],[B]]),"")</f>
        <v/>
      </c>
      <c r="L563" s="117" t="str">
        <f ca="1">IF(Tab.o1[[#This Row],[DIF_Target]]=0,IF(L$2=0,Tab.o1[[#This Row],[DIF_Target]],AVERAGE(OFFSET(Tab.o1[[#This Row],[DIF_Target]],1,0,L$3,1)))/3,Tab.o1[[#This Row],[DIF_Target]])</f>
        <v/>
      </c>
      <c r="M563" s="118" t="str">
        <f>IF(Tab.o1[[#This Row],[a1]]=1,NORMSDIST(Tab.o1[[#This Row],[Za]]),"")</f>
        <v/>
      </c>
      <c r="N563" s="119" t="str">
        <f>IF(Tab.o1[[#This Row],[a1]]=1,((Tab.o1[[#This Row],[MedMod]]-AVERAGE(Tab.o1[MedMod]))/_xlfn.STDEV.P(Tab.o1[MedMod])*H$1205)+G$1205,"")</f>
        <v/>
      </c>
      <c r="O563" s="141" t="str">
        <f>IF(Tab.o1[[#This Row],[a1]]=1,Tab.o1[[#This Row],[Zb]]*_xlfn.STDEV.P(Tab.o1[MedMod])+AVERAGE(Tab.o1[MedMod]),"")</f>
        <v/>
      </c>
      <c r="P563" s="117" t="str">
        <f ca="1">IF(Tab.o1[[#This Row],[B]]=0,AVERAGE(OFFSET(Tab.o1[[#This Row],[B]],1,0,L$3,1)),Tab.o1[[#This Row],[B]])</f>
        <v/>
      </c>
      <c r="Q563" s="121" t="str">
        <f>IF(Tab.o1[[#This Row],[a1]]=1,NORMSDIST(Tab.o1[[#This Row],[Zb]]),"")</f>
        <v/>
      </c>
      <c r="R563" s="122" t="str">
        <f>IF(Tab.o1[[#This Row],[a1]]=1,((Tab.o1[[#This Row],[MedMod]]-AVERAGE(Tab.o1[MedMod]))/_xlfn.STDEV.P(Tab.o1[MedMod])*H$1203)+G$1203,"")</f>
        <v/>
      </c>
      <c r="S563" s="122" t="str">
        <f>IF(Tab.o1[[#This Row],[a1]]=1,((Tab.o1[[#This Row],[MedMod]]-AVERAGE(Tab.o1[MedMod]))/_xlfn.STDEV.P(Tab.o1[MedMod])*H$1204)+G$1204,"")</f>
        <v/>
      </c>
      <c r="T563" s="123" t="str">
        <f>IF(Tab.o1[[#This Row],[a1]]=1,Tab.o1[[#This Row],[Z-]]*_xlfn.STDEV.P(Tab.o1[B])+AVERAGE(Tab.o1[B]),"")</f>
        <v/>
      </c>
      <c r="U563" s="123" t="str">
        <f>IF(Tab.o1[[#This Row],[a1]]=1,Tab.o1[[#This Row],[z+]]*_xlfn.STDEV.P(Tab.o1[B])+AVERAGE(Tab.o1[B]),"")</f>
        <v/>
      </c>
      <c r="V563" s="124" t="str">
        <f>IF(Tab.o1[[#This Row],[a1]]=1,ABS((ABS(Tab.o1[[#This Row],[Red]]-Tab.o1[[#This Row],[Blue]]))),"")</f>
        <v/>
      </c>
      <c r="W563" s="125" t="str">
        <f>IF(Tab.o1[[#This Row],[a1]]=1,IF(W$3=0,1,Tab.o1[[#This Row],[Amp.]]*1/_xlfn.MINIFS(Tab.o1[Amp.],Tab.o1[Amp.],"&lt;&gt;0")),"")</f>
        <v/>
      </c>
      <c r="X563" s="126" t="str">
        <f>IF(Tab.o1[[#This Row],[a1]]=1,IF(ISNUMBER(Tab.o1[[#This Row],[i.]]),NORMDIST(Tab.o1[[#This Row],[Za]],0,1,FALSE)*Tab.o1[[#This Row],[i.]],AP$3),"")</f>
        <v/>
      </c>
      <c r="Y563" s="126" t="str">
        <f>IF(Tab.o1[[#This Row],[a1]]=1,0.01+0.94*Tab.o1[[#This Row],[PDF]]/MAX(Tab.o1[PDF]),"")</f>
        <v/>
      </c>
      <c r="Z563" s="126" t="str">
        <f>IF(Tab.o1[[#This Row],[a1]]=1,0.01+0.94*Tab.o1[[#This Row],[W1_PDF]]/MAX(Tab.o1[W1_PDF]),"")</f>
        <v/>
      </c>
      <c r="AA563" s="118" t="str">
        <f>IF(Tab.o1[[#This Row],[a1]]=1,ABS([1]!T.in.A[[#This Row],[oo6]]),"")</f>
        <v/>
      </c>
      <c r="AB563" s="127" t="str">
        <f>IF(Tab.o1[[#This Row],[a1]]=1,IF(AE$3=0,"",IF(AB$3=0,ABS([1]!T.in.A[[#This Row],[oo9]]),ABS(Tab.o1[[#This Row],[DIF_Target.]]*Tab.o1[[#This Row],[W1_PDF]]))),"")</f>
        <v/>
      </c>
      <c r="AC563" s="127" t="str">
        <f>IF(G$1=1,"",IF(Tab.o1[[#This Row],[a1]]=1,Tab.o1[[#This Row],[Wr]]^2,""))</f>
        <v/>
      </c>
      <c r="AD563" s="118" t="str">
        <f>IF(Tab.o1[[#This Row],[a1]]=1,IF(AE$3=0,"",Tab.o1[[#This Row],[Wr2]]/SUM(Tab.o1[Wr2])),"")</f>
        <v/>
      </c>
      <c r="AE563" s="128" t="str">
        <f>IF(Tab.o1[[#This Row],[a1]]=1,[1]!T.in.A[[#This Row],[oo10]],"")</f>
        <v/>
      </c>
      <c r="AF563" s="118" t="str">
        <f>IF(Tab.o1[[#This Row],[a1]]=1,ABS(Tab.o1[[#This Row],[DIF_Target.]]*Tab.o1[[#This Row],[PDF2]]*Tab.o1[[#This Row],[IN]]),"")</f>
        <v/>
      </c>
      <c r="AG563" s="129" t="str">
        <f>IF(Tab.o1[[#This Row],[a1]]=1,Tab.o1[[#This Row],[rW]]^2,"")</f>
        <v/>
      </c>
      <c r="AH563" s="130" t="str">
        <f>IF(Tab.o1[[#This Row],[a1]]=1,IF(AH$3=0,Tab.o1[[#This Row],[rW2]],0.01+0.94*Tab.o1[[#This Row],[rW2]]/SUM(Tab.o1[rW2])),"")</f>
        <v/>
      </c>
      <c r="AI563" s="128" t="str">
        <f>IF(Tab.o1[[#This Row],[a1]]=1,1/Tab.o1[[#This Row],[PDF]],"")</f>
        <v/>
      </c>
      <c r="AJ563" s="131" t="str">
        <f>IF(Tab.o1[[#This Row],[a1]]=1,[1]!T_AA[[#This Row],[IN'']]*[1]!T_AA[[#This Row],[Qde'']],"")</f>
        <v/>
      </c>
      <c r="AK563" s="132" t="str">
        <f>IF(Tab.o1[[#This Row],[a1]]=1,IF(AK$1=1,Tab.o1[[#This Row],[MED]]+Tab.o1[[#This Row],[MOD]]-Tab.o1[[#This Row],[MED]],""),"")</f>
        <v/>
      </c>
      <c r="AL563" s="133" t="str">
        <f>IF(Tab.o1[[#This Row],[a1]]=1,[1]!T.in.A[[#This Row],[oo16]],"")</f>
        <v/>
      </c>
      <c r="AM563" s="133" t="str">
        <f>IF(Tab.o1[[#This Row],[a1]]=1,IF(AM$3=1,[1]!T.in.A[[#This Row],[Σo16]],""),"")</f>
        <v/>
      </c>
      <c r="AN563" s="126" t="str">
        <f>IF(Tab.o1[[#This Row],[a1]]=1,[1]!T.in.A[[#This Row],[Σp5]],"")</f>
        <v/>
      </c>
      <c r="AO563" s="126" t="str">
        <f>IF(Tab.o1[[#This Row],[a1]]=1,IF(AO$3=1,[1]!T.in.A[[#This Row],[Σp5]],""),"")</f>
        <v/>
      </c>
      <c r="AP563" s="110" t="str">
        <f>IF(Tab.o1[[#This Row],[a1]]=1,IF(ISNUMBER(Tab.o1[[#This Row],[i.]]),NORMDIST(Tab.o1[[#This Row],[Za]],0,1,FALSE)*Tab.o1[[#This Row],[i.]],0),"")</f>
        <v/>
      </c>
      <c r="AQ563" s="125" t="str">
        <f>IF(Tab.o1[[#This Row],[a1]]=1,ABS(Tab.o1[[#This Row],[MOD]]-AVERAGE(Tab.o1[MOD])),"")</f>
        <v/>
      </c>
      <c r="AR563" s="134" t="str">
        <f>IF(Tab.o1[[#This Row],[a1]]=1,Tab.o1[[#This Row],[OBS]]/SUM(Tab.o1[OBS]),"")</f>
        <v/>
      </c>
      <c r="AS563" s="135" t="str">
        <f>IF(ISNUMBER(Tab.o1[[#This Row],[a1]]),ROW()-4,"")</f>
        <v/>
      </c>
      <c r="AT563" s="136" t="str">
        <f>Tab.o1[[#This Row],[MOD]]</f>
        <v/>
      </c>
      <c r="AU563" s="137" t="str">
        <f t="shared" si="33"/>
        <v/>
      </c>
      <c r="AV563" s="138" t="str">
        <f t="shared" si="34"/>
        <v/>
      </c>
      <c r="AW563" s="138" t="str">
        <f t="shared" si="35"/>
        <v/>
      </c>
      <c r="AX563" s="139" t="str">
        <f>[1]!T.in.A[[#This Row],[ID_T_manu]]</f>
        <v/>
      </c>
      <c r="AY563" s="140" t="str">
        <f>IF(ISNUMBER(Tab.o1[[#This Row],[a1]]),IF(AND(Tab.o1[[#This Row],[a1]]=1,Tab.o1[[#This Row],[b1]]&lt;=AY$4),#REF!,AY562),"")</f>
        <v/>
      </c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</row>
    <row r="564" spans="1:79" ht="15.75" hidden="1">
      <c r="A564" s="109">
        <v>-1.0000000000000002E-6</v>
      </c>
      <c r="B564" s="110">
        <f t="shared" si="32"/>
        <v>564</v>
      </c>
      <c r="C564" s="111" t="str">
        <f>IF(C$1=[1]!T.in.A[[#This Row],[oo2]],1,"")</f>
        <v/>
      </c>
      <c r="D564" s="112" t="str">
        <f>IF(Tab.o1[[#This Row],[a1]]=1,IF(SUM(C564:C565)=0,0,IF(SUM(C563:C564)=1,1,IF(SUM(C563:C565)&gt;1,D563+1,0))),"")</f>
        <v/>
      </c>
      <c r="E564" s="113" t="str">
        <f>IF(Tab.o1[[#This Row],[a1]]=1,[1]!T.in.A[[#This Row],[oo1]],"")</f>
        <v/>
      </c>
      <c r="F564" s="113" t="str">
        <f>IF(Tab.o1[[#This Row],[a1]]=1,[1]!T.in.A[[#This Row],[pp1]],"")</f>
        <v/>
      </c>
      <c r="G564" s="114" t="str">
        <f>IF(Tab.o1[[#This Row],[a1]]=1,G$2+IF(G$1=1,0,Tab.o1[[#This Row],[.x1]])+[1]!T.in.A[[#This Row],[oo3]],"")</f>
        <v/>
      </c>
      <c r="H564" s="115" t="str">
        <f>IF(Tab.o1[[#This Row],[a1]]=1,IF(H$2=0,0,IF(G$1=1,0,Tab.o1[[#This Row],[.x1]])+[1]!T.in.A[[#This Row],[oo4]]),"")</f>
        <v/>
      </c>
      <c r="I564" s="116" t="str">
        <f>IF(Tab.o1[[#This Row],[a1]]=1,IF(J$2=0,Tab.o1[[#This Row],[MED]],Tab.o1[[#This Row],[MOD]]),"")</f>
        <v/>
      </c>
      <c r="J564" s="116" t="str">
        <f>IF(Tab.o1[[#This Row],[a1]]=1,((Tab.o1[[#This Row],[DIF_Target.]]-AVERAGE(Tab.o1[DIF_Target.]))/_xlfn.STDEV.P(Tab.o1[DIF_Target.])),"")</f>
        <v/>
      </c>
      <c r="K564" s="117" t="str">
        <f>IF(Tab.o1[[#This Row],[a1]]=1,IF(J$2=0,Tab.o1[[#This Row],[MOD]]-Tab.o1[[#This Row],[B]],IF(J$2=1,0,-Tab.o1[[#This Row],[MED]])+Tab.o1[[#This Row],[B]]),"")</f>
        <v/>
      </c>
      <c r="L564" s="117" t="str">
        <f ca="1">IF(Tab.o1[[#This Row],[DIF_Target]]=0,IF(L$2=0,Tab.o1[[#This Row],[DIF_Target]],AVERAGE(OFFSET(Tab.o1[[#This Row],[DIF_Target]],1,0,L$3,1)))/3,Tab.o1[[#This Row],[DIF_Target]])</f>
        <v/>
      </c>
      <c r="M564" s="118" t="str">
        <f>IF(Tab.o1[[#This Row],[a1]]=1,NORMSDIST(Tab.o1[[#This Row],[Za]]),"")</f>
        <v/>
      </c>
      <c r="N564" s="119" t="str">
        <f>IF(Tab.o1[[#This Row],[a1]]=1,((Tab.o1[[#This Row],[MedMod]]-AVERAGE(Tab.o1[MedMod]))/_xlfn.STDEV.P(Tab.o1[MedMod])*H$1205)+G$1205,"")</f>
        <v/>
      </c>
      <c r="O564" s="141" t="str">
        <f>IF(Tab.o1[[#This Row],[a1]]=1,Tab.o1[[#This Row],[Zb]]*_xlfn.STDEV.P(Tab.o1[MedMod])+AVERAGE(Tab.o1[MedMod]),"")</f>
        <v/>
      </c>
      <c r="P564" s="117" t="str">
        <f ca="1">IF(Tab.o1[[#This Row],[B]]=0,AVERAGE(OFFSET(Tab.o1[[#This Row],[B]],1,0,L$3,1)),Tab.o1[[#This Row],[B]])</f>
        <v/>
      </c>
      <c r="Q564" s="121" t="str">
        <f>IF(Tab.o1[[#This Row],[a1]]=1,NORMSDIST(Tab.o1[[#This Row],[Zb]]),"")</f>
        <v/>
      </c>
      <c r="R564" s="122" t="str">
        <f>IF(Tab.o1[[#This Row],[a1]]=1,((Tab.o1[[#This Row],[MedMod]]-AVERAGE(Tab.o1[MedMod]))/_xlfn.STDEV.P(Tab.o1[MedMod])*H$1203)+G$1203,"")</f>
        <v/>
      </c>
      <c r="S564" s="122" t="str">
        <f>IF(Tab.o1[[#This Row],[a1]]=1,((Tab.o1[[#This Row],[MedMod]]-AVERAGE(Tab.o1[MedMod]))/_xlfn.STDEV.P(Tab.o1[MedMod])*H$1204)+G$1204,"")</f>
        <v/>
      </c>
      <c r="T564" s="123" t="str">
        <f>IF(Tab.o1[[#This Row],[a1]]=1,Tab.o1[[#This Row],[Z-]]*_xlfn.STDEV.P(Tab.o1[B])+AVERAGE(Tab.o1[B]),"")</f>
        <v/>
      </c>
      <c r="U564" s="123" t="str">
        <f>IF(Tab.o1[[#This Row],[a1]]=1,Tab.o1[[#This Row],[z+]]*_xlfn.STDEV.P(Tab.o1[B])+AVERAGE(Tab.o1[B]),"")</f>
        <v/>
      </c>
      <c r="V564" s="124" t="str">
        <f>IF(Tab.o1[[#This Row],[a1]]=1,ABS((ABS(Tab.o1[[#This Row],[Red]]-Tab.o1[[#This Row],[Blue]]))),"")</f>
        <v/>
      </c>
      <c r="W564" s="125" t="str">
        <f>IF(Tab.o1[[#This Row],[a1]]=1,IF(W$3=0,1,Tab.o1[[#This Row],[Amp.]]*1/_xlfn.MINIFS(Tab.o1[Amp.],Tab.o1[Amp.],"&lt;&gt;0")),"")</f>
        <v/>
      </c>
      <c r="X564" s="126" t="str">
        <f>IF(Tab.o1[[#This Row],[a1]]=1,IF(ISNUMBER(Tab.o1[[#This Row],[i.]]),NORMDIST(Tab.o1[[#This Row],[Za]],0,1,FALSE)*Tab.o1[[#This Row],[i.]],AP$3),"")</f>
        <v/>
      </c>
      <c r="Y564" s="126" t="str">
        <f>IF(Tab.o1[[#This Row],[a1]]=1,0.01+0.94*Tab.o1[[#This Row],[PDF]]/MAX(Tab.o1[PDF]),"")</f>
        <v/>
      </c>
      <c r="Z564" s="126" t="str">
        <f>IF(Tab.o1[[#This Row],[a1]]=1,0.01+0.94*Tab.o1[[#This Row],[W1_PDF]]/MAX(Tab.o1[W1_PDF]),"")</f>
        <v/>
      </c>
      <c r="AA564" s="118" t="str">
        <f>IF(Tab.o1[[#This Row],[a1]]=1,ABS([1]!T.in.A[[#This Row],[oo6]]),"")</f>
        <v/>
      </c>
      <c r="AB564" s="127" t="str">
        <f>IF(Tab.o1[[#This Row],[a1]]=1,IF(AE$3=0,"",IF(AB$3=0,ABS([1]!T.in.A[[#This Row],[oo9]]),ABS(Tab.o1[[#This Row],[DIF_Target.]]*Tab.o1[[#This Row],[W1_PDF]]))),"")</f>
        <v/>
      </c>
      <c r="AC564" s="127" t="str">
        <f>IF(G$1=1,"",IF(Tab.o1[[#This Row],[a1]]=1,Tab.o1[[#This Row],[Wr]]^2,""))</f>
        <v/>
      </c>
      <c r="AD564" s="118" t="str">
        <f>IF(Tab.o1[[#This Row],[a1]]=1,IF(AE$3=0,"",Tab.o1[[#This Row],[Wr2]]/SUM(Tab.o1[Wr2])),"")</f>
        <v/>
      </c>
      <c r="AE564" s="128" t="str">
        <f>IF(Tab.o1[[#This Row],[a1]]=1,[1]!T.in.A[[#This Row],[oo10]],"")</f>
        <v/>
      </c>
      <c r="AF564" s="118" t="str">
        <f>IF(Tab.o1[[#This Row],[a1]]=1,ABS(Tab.o1[[#This Row],[DIF_Target.]]*Tab.o1[[#This Row],[PDF2]]*Tab.o1[[#This Row],[IN]]),"")</f>
        <v/>
      </c>
      <c r="AG564" s="129" t="str">
        <f>IF(Tab.o1[[#This Row],[a1]]=1,Tab.o1[[#This Row],[rW]]^2,"")</f>
        <v/>
      </c>
      <c r="AH564" s="130" t="str">
        <f>IF(Tab.o1[[#This Row],[a1]]=1,IF(AH$3=0,Tab.o1[[#This Row],[rW2]],0.01+0.94*Tab.o1[[#This Row],[rW2]]/SUM(Tab.o1[rW2])),"")</f>
        <v/>
      </c>
      <c r="AI564" s="128" t="str">
        <f>IF(Tab.o1[[#This Row],[a1]]=1,1/Tab.o1[[#This Row],[PDF]],"")</f>
        <v/>
      </c>
      <c r="AJ564" s="131" t="str">
        <f>IF(Tab.o1[[#This Row],[a1]]=1,[1]!T_AA[[#This Row],[IN'']]*[1]!T_AA[[#This Row],[Qde'']],"")</f>
        <v/>
      </c>
      <c r="AK564" s="132" t="str">
        <f>IF(Tab.o1[[#This Row],[a1]]=1,IF(AK$1=1,Tab.o1[[#This Row],[MED]]+Tab.o1[[#This Row],[MOD]]-Tab.o1[[#This Row],[MED]],""),"")</f>
        <v/>
      </c>
      <c r="AL564" s="133" t="str">
        <f>IF(Tab.o1[[#This Row],[a1]]=1,[1]!T.in.A[[#This Row],[oo16]],"")</f>
        <v/>
      </c>
      <c r="AM564" s="133" t="str">
        <f>IF(Tab.o1[[#This Row],[a1]]=1,IF(AM$3=1,[1]!T.in.A[[#This Row],[Σo16]],""),"")</f>
        <v/>
      </c>
      <c r="AN564" s="126" t="str">
        <f>IF(Tab.o1[[#This Row],[a1]]=1,[1]!T.in.A[[#This Row],[Σp5]],"")</f>
        <v/>
      </c>
      <c r="AO564" s="126" t="str">
        <f>IF(Tab.o1[[#This Row],[a1]]=1,IF(AO$3=1,[1]!T.in.A[[#This Row],[Σp5]],""),"")</f>
        <v/>
      </c>
      <c r="AP564" s="110" t="str">
        <f>IF(Tab.o1[[#This Row],[a1]]=1,IF(ISNUMBER(Tab.o1[[#This Row],[i.]]),NORMDIST(Tab.o1[[#This Row],[Za]],0,1,FALSE)*Tab.o1[[#This Row],[i.]],0),"")</f>
        <v/>
      </c>
      <c r="AQ564" s="125" t="str">
        <f>IF(Tab.o1[[#This Row],[a1]]=1,ABS(Tab.o1[[#This Row],[MOD]]-AVERAGE(Tab.o1[MOD])),"")</f>
        <v/>
      </c>
      <c r="AR564" s="134" t="str">
        <f>IF(Tab.o1[[#This Row],[a1]]=1,Tab.o1[[#This Row],[OBS]]/SUM(Tab.o1[OBS]),"")</f>
        <v/>
      </c>
      <c r="AS564" s="135" t="str">
        <f>IF(ISNUMBER(Tab.o1[[#This Row],[a1]]),ROW()-4,"")</f>
        <v/>
      </c>
      <c r="AT564" s="136" t="str">
        <f>Tab.o1[[#This Row],[MOD]]</f>
        <v/>
      </c>
      <c r="AU564" s="137" t="str">
        <f t="shared" si="33"/>
        <v/>
      </c>
      <c r="AV564" s="138" t="str">
        <f t="shared" si="34"/>
        <v/>
      </c>
      <c r="AW564" s="138" t="str">
        <f t="shared" si="35"/>
        <v/>
      </c>
      <c r="AX564" s="139" t="str">
        <f>[1]!T.in.A[[#This Row],[ID_T_manu]]</f>
        <v/>
      </c>
      <c r="AY564" s="140" t="str">
        <f>IF(ISNUMBER(Tab.o1[[#This Row],[a1]]),IF(AND(Tab.o1[[#This Row],[a1]]=1,Tab.o1[[#This Row],[b1]]&lt;=AY$4),#REF!,AY563),"")</f>
        <v/>
      </c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</row>
    <row r="565" spans="1:79" ht="15.75" hidden="1">
      <c r="A565" s="109">
        <v>-1.0000000000000001E-5</v>
      </c>
      <c r="B565" s="110">
        <f t="shared" si="32"/>
        <v>565</v>
      </c>
      <c r="C565" s="111" t="str">
        <f>IF(C$1=[1]!T.in.A[[#This Row],[oo2]],1,"")</f>
        <v/>
      </c>
      <c r="D565" s="112" t="str">
        <f>IF(Tab.o1[[#This Row],[a1]]=1,IF(SUM(C565:C566)=0,0,IF(SUM(C564:C565)=1,1,IF(SUM(C564:C566)&gt;1,D564+1,0))),"")</f>
        <v/>
      </c>
      <c r="E565" s="113" t="str">
        <f>IF(Tab.o1[[#This Row],[a1]]=1,[1]!T.in.A[[#This Row],[oo1]],"")</f>
        <v/>
      </c>
      <c r="F565" s="113" t="str">
        <f>IF(Tab.o1[[#This Row],[a1]]=1,[1]!T.in.A[[#This Row],[pp1]],"")</f>
        <v/>
      </c>
      <c r="G565" s="114" t="str">
        <f>IF(Tab.o1[[#This Row],[a1]]=1,G$2+IF(G$1=1,0,Tab.o1[[#This Row],[.x1]])+[1]!T.in.A[[#This Row],[oo3]],"")</f>
        <v/>
      </c>
      <c r="H565" s="115" t="str">
        <f>IF(Tab.o1[[#This Row],[a1]]=1,IF(H$2=0,0,IF(G$1=1,0,Tab.o1[[#This Row],[.x1]])+[1]!T.in.A[[#This Row],[oo4]]),"")</f>
        <v/>
      </c>
      <c r="I565" s="116" t="str">
        <f>IF(Tab.o1[[#This Row],[a1]]=1,IF(J$2=0,Tab.o1[[#This Row],[MED]],Tab.o1[[#This Row],[MOD]]),"")</f>
        <v/>
      </c>
      <c r="J565" s="116" t="str">
        <f>IF(Tab.o1[[#This Row],[a1]]=1,((Tab.o1[[#This Row],[DIF_Target.]]-AVERAGE(Tab.o1[DIF_Target.]))/_xlfn.STDEV.P(Tab.o1[DIF_Target.])),"")</f>
        <v/>
      </c>
      <c r="K565" s="117" t="str">
        <f>IF(Tab.o1[[#This Row],[a1]]=1,IF(J$2=0,Tab.o1[[#This Row],[MOD]]-Tab.o1[[#This Row],[B]],IF(J$2=1,0,-Tab.o1[[#This Row],[MED]])+Tab.o1[[#This Row],[B]]),"")</f>
        <v/>
      </c>
      <c r="L565" s="117" t="str">
        <f ca="1">IF(Tab.o1[[#This Row],[DIF_Target]]=0,IF(L$2=0,Tab.o1[[#This Row],[DIF_Target]],AVERAGE(OFFSET(Tab.o1[[#This Row],[DIF_Target]],1,0,L$3,1)))/3,Tab.o1[[#This Row],[DIF_Target]])</f>
        <v/>
      </c>
      <c r="M565" s="118" t="str">
        <f>IF(Tab.o1[[#This Row],[a1]]=1,NORMSDIST(Tab.o1[[#This Row],[Za]]),"")</f>
        <v/>
      </c>
      <c r="N565" s="119" t="str">
        <f>IF(Tab.o1[[#This Row],[a1]]=1,((Tab.o1[[#This Row],[MedMod]]-AVERAGE(Tab.o1[MedMod]))/_xlfn.STDEV.P(Tab.o1[MedMod])*H$1205)+G$1205,"")</f>
        <v/>
      </c>
      <c r="O565" s="141" t="str">
        <f>IF(Tab.o1[[#This Row],[a1]]=1,Tab.o1[[#This Row],[Zb]]*_xlfn.STDEV.P(Tab.o1[MedMod])+AVERAGE(Tab.o1[MedMod]),"")</f>
        <v/>
      </c>
      <c r="P565" s="117" t="str">
        <f ca="1">IF(Tab.o1[[#This Row],[B]]=0,AVERAGE(OFFSET(Tab.o1[[#This Row],[B]],1,0,L$3,1)),Tab.o1[[#This Row],[B]])</f>
        <v/>
      </c>
      <c r="Q565" s="121" t="str">
        <f>IF(Tab.o1[[#This Row],[a1]]=1,NORMSDIST(Tab.o1[[#This Row],[Zb]]),"")</f>
        <v/>
      </c>
      <c r="R565" s="122" t="str">
        <f>IF(Tab.o1[[#This Row],[a1]]=1,((Tab.o1[[#This Row],[MedMod]]-AVERAGE(Tab.o1[MedMod]))/_xlfn.STDEV.P(Tab.o1[MedMod])*H$1203)+G$1203,"")</f>
        <v/>
      </c>
      <c r="S565" s="122" t="str">
        <f>IF(Tab.o1[[#This Row],[a1]]=1,((Tab.o1[[#This Row],[MedMod]]-AVERAGE(Tab.o1[MedMod]))/_xlfn.STDEV.P(Tab.o1[MedMod])*H$1204)+G$1204,"")</f>
        <v/>
      </c>
      <c r="T565" s="123" t="str">
        <f>IF(Tab.o1[[#This Row],[a1]]=1,Tab.o1[[#This Row],[Z-]]*_xlfn.STDEV.P(Tab.o1[B])+AVERAGE(Tab.o1[B]),"")</f>
        <v/>
      </c>
      <c r="U565" s="123" t="str">
        <f>IF(Tab.o1[[#This Row],[a1]]=1,Tab.o1[[#This Row],[z+]]*_xlfn.STDEV.P(Tab.o1[B])+AVERAGE(Tab.o1[B]),"")</f>
        <v/>
      </c>
      <c r="V565" s="124" t="str">
        <f>IF(Tab.o1[[#This Row],[a1]]=1,ABS((ABS(Tab.o1[[#This Row],[Red]]-Tab.o1[[#This Row],[Blue]]))),"")</f>
        <v/>
      </c>
      <c r="W565" s="125" t="str">
        <f>IF(Tab.o1[[#This Row],[a1]]=1,IF(W$3=0,1,Tab.o1[[#This Row],[Amp.]]*1/_xlfn.MINIFS(Tab.o1[Amp.],Tab.o1[Amp.],"&lt;&gt;0")),"")</f>
        <v/>
      </c>
      <c r="X565" s="126" t="str">
        <f>IF(Tab.o1[[#This Row],[a1]]=1,IF(ISNUMBER(Tab.o1[[#This Row],[i.]]),NORMDIST(Tab.o1[[#This Row],[Za]],0,1,FALSE)*Tab.o1[[#This Row],[i.]],AP$3),"")</f>
        <v/>
      </c>
      <c r="Y565" s="126" t="str">
        <f>IF(Tab.o1[[#This Row],[a1]]=1,0.01+0.94*Tab.o1[[#This Row],[PDF]]/MAX(Tab.o1[PDF]),"")</f>
        <v/>
      </c>
      <c r="Z565" s="126" t="str">
        <f>IF(Tab.o1[[#This Row],[a1]]=1,0.01+0.94*Tab.o1[[#This Row],[W1_PDF]]/MAX(Tab.o1[W1_PDF]),"")</f>
        <v/>
      </c>
      <c r="AA565" s="118" t="str">
        <f>IF(Tab.o1[[#This Row],[a1]]=1,ABS([1]!T.in.A[[#This Row],[oo6]]),"")</f>
        <v/>
      </c>
      <c r="AB565" s="127" t="str">
        <f>IF(Tab.o1[[#This Row],[a1]]=1,IF(AE$3=0,"",IF(AB$3=0,ABS([1]!T.in.A[[#This Row],[oo9]]),ABS(Tab.o1[[#This Row],[DIF_Target.]]*Tab.o1[[#This Row],[W1_PDF]]))),"")</f>
        <v/>
      </c>
      <c r="AC565" s="127" t="str">
        <f>IF(G$1=1,"",IF(Tab.o1[[#This Row],[a1]]=1,Tab.o1[[#This Row],[Wr]]^2,""))</f>
        <v/>
      </c>
      <c r="AD565" s="118" t="str">
        <f>IF(Tab.o1[[#This Row],[a1]]=1,IF(AE$3=0,"",Tab.o1[[#This Row],[Wr2]]/SUM(Tab.o1[Wr2])),"")</f>
        <v/>
      </c>
      <c r="AE565" s="128" t="str">
        <f>IF(Tab.o1[[#This Row],[a1]]=1,[1]!T.in.A[[#This Row],[oo10]],"")</f>
        <v/>
      </c>
      <c r="AF565" s="118" t="str">
        <f>IF(Tab.o1[[#This Row],[a1]]=1,ABS(Tab.o1[[#This Row],[DIF_Target.]]*Tab.o1[[#This Row],[PDF2]]*Tab.o1[[#This Row],[IN]]),"")</f>
        <v/>
      </c>
      <c r="AG565" s="129" t="str">
        <f>IF(Tab.o1[[#This Row],[a1]]=1,Tab.o1[[#This Row],[rW]]^2,"")</f>
        <v/>
      </c>
      <c r="AH565" s="130" t="str">
        <f>IF(Tab.o1[[#This Row],[a1]]=1,IF(AH$3=0,Tab.o1[[#This Row],[rW2]],0.01+0.94*Tab.o1[[#This Row],[rW2]]/SUM(Tab.o1[rW2])),"")</f>
        <v/>
      </c>
      <c r="AI565" s="128" t="str">
        <f>IF(Tab.o1[[#This Row],[a1]]=1,1/Tab.o1[[#This Row],[PDF]],"")</f>
        <v/>
      </c>
      <c r="AJ565" s="131" t="str">
        <f>IF(Tab.o1[[#This Row],[a1]]=1,[1]!T_AA[[#This Row],[IN'']]*[1]!T_AA[[#This Row],[Qde'']],"")</f>
        <v/>
      </c>
      <c r="AK565" s="132" t="str">
        <f>IF(Tab.o1[[#This Row],[a1]]=1,IF(AK$1=1,Tab.o1[[#This Row],[MED]]+Tab.o1[[#This Row],[MOD]]-Tab.o1[[#This Row],[MED]],""),"")</f>
        <v/>
      </c>
      <c r="AL565" s="133" t="str">
        <f>IF(Tab.o1[[#This Row],[a1]]=1,[1]!T.in.A[[#This Row],[oo16]],"")</f>
        <v/>
      </c>
      <c r="AM565" s="133" t="str">
        <f>IF(Tab.o1[[#This Row],[a1]]=1,IF(AM$3=1,[1]!T.in.A[[#This Row],[Σo16]],""),"")</f>
        <v/>
      </c>
      <c r="AN565" s="126" t="str">
        <f>IF(Tab.o1[[#This Row],[a1]]=1,[1]!T.in.A[[#This Row],[Σp5]],"")</f>
        <v/>
      </c>
      <c r="AO565" s="126" t="str">
        <f>IF(Tab.o1[[#This Row],[a1]]=1,IF(AO$3=1,[1]!T.in.A[[#This Row],[Σp5]],""),"")</f>
        <v/>
      </c>
      <c r="AP565" s="110" t="str">
        <f>IF(Tab.o1[[#This Row],[a1]]=1,IF(ISNUMBER(Tab.o1[[#This Row],[i.]]),NORMDIST(Tab.o1[[#This Row],[Za]],0,1,FALSE)*Tab.o1[[#This Row],[i.]],0),"")</f>
        <v/>
      </c>
      <c r="AQ565" s="125" t="str">
        <f>IF(Tab.o1[[#This Row],[a1]]=1,ABS(Tab.o1[[#This Row],[MOD]]-AVERAGE(Tab.o1[MOD])),"")</f>
        <v/>
      </c>
      <c r="AR565" s="134" t="str">
        <f>IF(Tab.o1[[#This Row],[a1]]=1,Tab.o1[[#This Row],[OBS]]/SUM(Tab.o1[OBS]),"")</f>
        <v/>
      </c>
      <c r="AS565" s="135" t="str">
        <f>IF(ISNUMBER(Tab.o1[[#This Row],[a1]]),ROW()-4,"")</f>
        <v/>
      </c>
      <c r="AT565" s="136" t="str">
        <f>Tab.o1[[#This Row],[MOD]]</f>
        <v/>
      </c>
      <c r="AU565" s="137" t="str">
        <f t="shared" si="33"/>
        <v/>
      </c>
      <c r="AV565" s="138" t="str">
        <f t="shared" si="34"/>
        <v/>
      </c>
      <c r="AW565" s="138" t="str">
        <f t="shared" si="35"/>
        <v/>
      </c>
      <c r="AX565" s="139" t="str">
        <f>[1]!T.in.A[[#This Row],[ID_T_manu]]</f>
        <v/>
      </c>
      <c r="AY565" s="140" t="str">
        <f>IF(ISNUMBER(Tab.o1[[#This Row],[a1]]),IF(AND(Tab.o1[[#This Row],[a1]]=1,Tab.o1[[#This Row],[b1]]&lt;=AY$4),#REF!,AY564),"")</f>
        <v/>
      </c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</row>
    <row r="566" spans="1:79" ht="15.75" hidden="1">
      <c r="A566" s="109">
        <v>-5.9999999999999993E-6</v>
      </c>
      <c r="B566" s="110">
        <f t="shared" si="32"/>
        <v>566</v>
      </c>
      <c r="C566" s="111" t="str">
        <f>IF(C$1=[1]!T.in.A[[#This Row],[oo2]],1,"")</f>
        <v/>
      </c>
      <c r="D566" s="112" t="str">
        <f>IF(Tab.o1[[#This Row],[a1]]=1,IF(SUM(C566:C567)=0,0,IF(SUM(C565:C566)=1,1,IF(SUM(C565:C567)&gt;1,D565+1,0))),"")</f>
        <v/>
      </c>
      <c r="E566" s="113" t="str">
        <f>IF(Tab.o1[[#This Row],[a1]]=1,[1]!T.in.A[[#This Row],[oo1]],"")</f>
        <v/>
      </c>
      <c r="F566" s="113" t="str">
        <f>IF(Tab.o1[[#This Row],[a1]]=1,[1]!T.in.A[[#This Row],[pp1]],"")</f>
        <v/>
      </c>
      <c r="G566" s="114" t="str">
        <f>IF(Tab.o1[[#This Row],[a1]]=1,G$2+IF(G$1=1,0,Tab.o1[[#This Row],[.x1]])+[1]!T.in.A[[#This Row],[oo3]],"")</f>
        <v/>
      </c>
      <c r="H566" s="115" t="str">
        <f>IF(Tab.o1[[#This Row],[a1]]=1,IF(H$2=0,0,IF(G$1=1,0,Tab.o1[[#This Row],[.x1]])+[1]!T.in.A[[#This Row],[oo4]]),"")</f>
        <v/>
      </c>
      <c r="I566" s="116" t="str">
        <f>IF(Tab.o1[[#This Row],[a1]]=1,IF(J$2=0,Tab.o1[[#This Row],[MED]],Tab.o1[[#This Row],[MOD]]),"")</f>
        <v/>
      </c>
      <c r="J566" s="116" t="str">
        <f>IF(Tab.o1[[#This Row],[a1]]=1,((Tab.o1[[#This Row],[DIF_Target.]]-AVERAGE(Tab.o1[DIF_Target.]))/_xlfn.STDEV.P(Tab.o1[DIF_Target.])),"")</f>
        <v/>
      </c>
      <c r="K566" s="117" t="str">
        <f>IF(Tab.o1[[#This Row],[a1]]=1,IF(J$2=0,Tab.o1[[#This Row],[MOD]]-Tab.o1[[#This Row],[B]],IF(J$2=1,0,-Tab.o1[[#This Row],[MED]])+Tab.o1[[#This Row],[B]]),"")</f>
        <v/>
      </c>
      <c r="L566" s="117" t="str">
        <f ca="1">IF(Tab.o1[[#This Row],[DIF_Target]]=0,IF(L$2=0,Tab.o1[[#This Row],[DIF_Target]],AVERAGE(OFFSET(Tab.o1[[#This Row],[DIF_Target]],1,0,L$3,1)))/3,Tab.o1[[#This Row],[DIF_Target]])</f>
        <v/>
      </c>
      <c r="M566" s="118" t="str">
        <f>IF(Tab.o1[[#This Row],[a1]]=1,NORMSDIST(Tab.o1[[#This Row],[Za]]),"")</f>
        <v/>
      </c>
      <c r="N566" s="119" t="str">
        <f>IF(Tab.o1[[#This Row],[a1]]=1,((Tab.o1[[#This Row],[MedMod]]-AVERAGE(Tab.o1[MedMod]))/_xlfn.STDEV.P(Tab.o1[MedMod])*H$1205)+G$1205,"")</f>
        <v/>
      </c>
      <c r="O566" s="141" t="str">
        <f>IF(Tab.o1[[#This Row],[a1]]=1,Tab.o1[[#This Row],[Zb]]*_xlfn.STDEV.P(Tab.o1[MedMod])+AVERAGE(Tab.o1[MedMod]),"")</f>
        <v/>
      </c>
      <c r="P566" s="117" t="str">
        <f ca="1">IF(Tab.o1[[#This Row],[B]]=0,AVERAGE(OFFSET(Tab.o1[[#This Row],[B]],1,0,L$3,1)),Tab.o1[[#This Row],[B]])</f>
        <v/>
      </c>
      <c r="Q566" s="121" t="str">
        <f>IF(Tab.o1[[#This Row],[a1]]=1,NORMSDIST(Tab.o1[[#This Row],[Zb]]),"")</f>
        <v/>
      </c>
      <c r="R566" s="122" t="str">
        <f>IF(Tab.o1[[#This Row],[a1]]=1,((Tab.o1[[#This Row],[MedMod]]-AVERAGE(Tab.o1[MedMod]))/_xlfn.STDEV.P(Tab.o1[MedMod])*H$1203)+G$1203,"")</f>
        <v/>
      </c>
      <c r="S566" s="122" t="str">
        <f>IF(Tab.o1[[#This Row],[a1]]=1,((Tab.o1[[#This Row],[MedMod]]-AVERAGE(Tab.o1[MedMod]))/_xlfn.STDEV.P(Tab.o1[MedMod])*H$1204)+G$1204,"")</f>
        <v/>
      </c>
      <c r="T566" s="123" t="str">
        <f>IF(Tab.o1[[#This Row],[a1]]=1,Tab.o1[[#This Row],[Z-]]*_xlfn.STDEV.P(Tab.o1[B])+AVERAGE(Tab.o1[B]),"")</f>
        <v/>
      </c>
      <c r="U566" s="123" t="str">
        <f>IF(Tab.o1[[#This Row],[a1]]=1,Tab.o1[[#This Row],[z+]]*_xlfn.STDEV.P(Tab.o1[B])+AVERAGE(Tab.o1[B]),"")</f>
        <v/>
      </c>
      <c r="V566" s="124" t="str">
        <f>IF(Tab.o1[[#This Row],[a1]]=1,ABS((ABS(Tab.o1[[#This Row],[Red]]-Tab.o1[[#This Row],[Blue]]))),"")</f>
        <v/>
      </c>
      <c r="W566" s="125" t="str">
        <f>IF(Tab.o1[[#This Row],[a1]]=1,IF(W$3=0,1,Tab.o1[[#This Row],[Amp.]]*1/_xlfn.MINIFS(Tab.o1[Amp.],Tab.o1[Amp.],"&lt;&gt;0")),"")</f>
        <v/>
      </c>
      <c r="X566" s="126" t="str">
        <f>IF(Tab.o1[[#This Row],[a1]]=1,IF(ISNUMBER(Tab.o1[[#This Row],[i.]]),NORMDIST(Tab.o1[[#This Row],[Za]],0,1,FALSE)*Tab.o1[[#This Row],[i.]],AP$3),"")</f>
        <v/>
      </c>
      <c r="Y566" s="126" t="str">
        <f>IF(Tab.o1[[#This Row],[a1]]=1,0.01+0.94*Tab.o1[[#This Row],[PDF]]/MAX(Tab.o1[PDF]),"")</f>
        <v/>
      </c>
      <c r="Z566" s="126" t="str">
        <f>IF(Tab.o1[[#This Row],[a1]]=1,0.01+0.94*Tab.o1[[#This Row],[W1_PDF]]/MAX(Tab.o1[W1_PDF]),"")</f>
        <v/>
      </c>
      <c r="AA566" s="118" t="str">
        <f>IF(Tab.o1[[#This Row],[a1]]=1,ABS([1]!T.in.A[[#This Row],[oo6]]),"")</f>
        <v/>
      </c>
      <c r="AB566" s="127" t="str">
        <f>IF(Tab.o1[[#This Row],[a1]]=1,IF(AE$3=0,"",IF(AB$3=0,ABS([1]!T.in.A[[#This Row],[oo9]]),ABS(Tab.o1[[#This Row],[DIF_Target.]]*Tab.o1[[#This Row],[W1_PDF]]))),"")</f>
        <v/>
      </c>
      <c r="AC566" s="127" t="str">
        <f>IF(G$1=1,"",IF(Tab.o1[[#This Row],[a1]]=1,Tab.o1[[#This Row],[Wr]]^2,""))</f>
        <v/>
      </c>
      <c r="AD566" s="118" t="str">
        <f>IF(Tab.o1[[#This Row],[a1]]=1,IF(AE$3=0,"",Tab.o1[[#This Row],[Wr2]]/SUM(Tab.o1[Wr2])),"")</f>
        <v/>
      </c>
      <c r="AE566" s="128" t="str">
        <f>IF(Tab.o1[[#This Row],[a1]]=1,[1]!T.in.A[[#This Row],[oo10]],"")</f>
        <v/>
      </c>
      <c r="AF566" s="118" t="str">
        <f>IF(Tab.o1[[#This Row],[a1]]=1,ABS(Tab.o1[[#This Row],[DIF_Target.]]*Tab.o1[[#This Row],[PDF2]]*Tab.o1[[#This Row],[IN]]),"")</f>
        <v/>
      </c>
      <c r="AG566" s="129" t="str">
        <f>IF(Tab.o1[[#This Row],[a1]]=1,Tab.o1[[#This Row],[rW]]^2,"")</f>
        <v/>
      </c>
      <c r="AH566" s="130" t="str">
        <f>IF(Tab.o1[[#This Row],[a1]]=1,IF(AH$3=0,Tab.o1[[#This Row],[rW2]],0.01+0.94*Tab.o1[[#This Row],[rW2]]/SUM(Tab.o1[rW2])),"")</f>
        <v/>
      </c>
      <c r="AI566" s="128" t="str">
        <f>IF(Tab.o1[[#This Row],[a1]]=1,1/Tab.o1[[#This Row],[PDF]],"")</f>
        <v/>
      </c>
      <c r="AJ566" s="131" t="str">
        <f>IF(Tab.o1[[#This Row],[a1]]=1,[1]!T_AA[[#This Row],[IN'']]*[1]!T_AA[[#This Row],[Qde'']],"")</f>
        <v/>
      </c>
      <c r="AK566" s="132" t="str">
        <f>IF(Tab.o1[[#This Row],[a1]]=1,IF(AK$1=1,Tab.o1[[#This Row],[MED]]+Tab.o1[[#This Row],[MOD]]-Tab.o1[[#This Row],[MED]],""),"")</f>
        <v/>
      </c>
      <c r="AL566" s="133" t="str">
        <f>IF(Tab.o1[[#This Row],[a1]]=1,[1]!T.in.A[[#This Row],[oo16]],"")</f>
        <v/>
      </c>
      <c r="AM566" s="133" t="str">
        <f>IF(Tab.o1[[#This Row],[a1]]=1,IF(AM$3=1,[1]!T.in.A[[#This Row],[Σo16]],""),"")</f>
        <v/>
      </c>
      <c r="AN566" s="126" t="str">
        <f>IF(Tab.o1[[#This Row],[a1]]=1,[1]!T.in.A[[#This Row],[Σp5]],"")</f>
        <v/>
      </c>
      <c r="AO566" s="126" t="str">
        <f>IF(Tab.o1[[#This Row],[a1]]=1,IF(AO$3=1,[1]!T.in.A[[#This Row],[Σp5]],""),"")</f>
        <v/>
      </c>
      <c r="AP566" s="110" t="str">
        <f>IF(Tab.o1[[#This Row],[a1]]=1,IF(ISNUMBER(Tab.o1[[#This Row],[i.]]),NORMDIST(Tab.o1[[#This Row],[Za]],0,1,FALSE)*Tab.o1[[#This Row],[i.]],0),"")</f>
        <v/>
      </c>
      <c r="AQ566" s="125" t="str">
        <f>IF(Tab.o1[[#This Row],[a1]]=1,ABS(Tab.o1[[#This Row],[MOD]]-AVERAGE(Tab.o1[MOD])),"")</f>
        <v/>
      </c>
      <c r="AR566" s="134" t="str">
        <f>IF(Tab.o1[[#This Row],[a1]]=1,Tab.o1[[#This Row],[OBS]]/SUM(Tab.o1[OBS]),"")</f>
        <v/>
      </c>
      <c r="AS566" s="135" t="str">
        <f>IF(ISNUMBER(Tab.o1[[#This Row],[a1]]),ROW()-4,"")</f>
        <v/>
      </c>
      <c r="AT566" s="136" t="str">
        <f>Tab.o1[[#This Row],[MOD]]</f>
        <v/>
      </c>
      <c r="AU566" s="137" t="str">
        <f t="shared" si="33"/>
        <v/>
      </c>
      <c r="AV566" s="138" t="str">
        <f t="shared" si="34"/>
        <v/>
      </c>
      <c r="AW566" s="138" t="str">
        <f t="shared" si="35"/>
        <v/>
      </c>
      <c r="AX566" s="139" t="str">
        <f>[1]!T.in.A[[#This Row],[ID_T_manu]]</f>
        <v/>
      </c>
      <c r="AY566" s="140" t="str">
        <f>IF(ISNUMBER(Tab.o1[[#This Row],[a1]]),IF(AND(Tab.o1[[#This Row],[a1]]=1,Tab.o1[[#This Row],[b1]]&lt;=AY$4),#REF!,AY565),"")</f>
        <v/>
      </c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</row>
    <row r="567" spans="1:79" ht="15.75" hidden="1">
      <c r="A567" s="109">
        <v>-5.9999999999999993E-6</v>
      </c>
      <c r="B567" s="110">
        <f t="shared" si="32"/>
        <v>567</v>
      </c>
      <c r="C567" s="111" t="str">
        <f>IF(C$1=[1]!T.in.A[[#This Row],[oo2]],1,"")</f>
        <v/>
      </c>
      <c r="D567" s="112" t="str">
        <f>IF(Tab.o1[[#This Row],[a1]]=1,IF(SUM(C567:C568)=0,0,IF(SUM(C566:C567)=1,1,IF(SUM(C566:C568)&gt;1,D566+1,0))),"")</f>
        <v/>
      </c>
      <c r="E567" s="113" t="str">
        <f>IF(Tab.o1[[#This Row],[a1]]=1,[1]!T.in.A[[#This Row],[oo1]],"")</f>
        <v/>
      </c>
      <c r="F567" s="113" t="str">
        <f>IF(Tab.o1[[#This Row],[a1]]=1,[1]!T.in.A[[#This Row],[pp1]],"")</f>
        <v/>
      </c>
      <c r="G567" s="114" t="str">
        <f>IF(Tab.o1[[#This Row],[a1]]=1,G$2+IF(G$1=1,0,Tab.o1[[#This Row],[.x1]])+[1]!T.in.A[[#This Row],[oo3]],"")</f>
        <v/>
      </c>
      <c r="H567" s="115" t="str">
        <f>IF(Tab.o1[[#This Row],[a1]]=1,IF(H$2=0,0,IF(G$1=1,0,Tab.o1[[#This Row],[.x1]])+[1]!T.in.A[[#This Row],[oo4]]),"")</f>
        <v/>
      </c>
      <c r="I567" s="116" t="str">
        <f>IF(Tab.o1[[#This Row],[a1]]=1,IF(J$2=0,Tab.o1[[#This Row],[MED]],Tab.o1[[#This Row],[MOD]]),"")</f>
        <v/>
      </c>
      <c r="J567" s="116" t="str">
        <f>IF(Tab.o1[[#This Row],[a1]]=1,((Tab.o1[[#This Row],[DIF_Target.]]-AVERAGE(Tab.o1[DIF_Target.]))/_xlfn.STDEV.P(Tab.o1[DIF_Target.])),"")</f>
        <v/>
      </c>
      <c r="K567" s="117" t="str">
        <f>IF(Tab.o1[[#This Row],[a1]]=1,IF(J$2=0,Tab.o1[[#This Row],[MOD]]-Tab.o1[[#This Row],[B]],IF(J$2=1,0,-Tab.o1[[#This Row],[MED]])+Tab.o1[[#This Row],[B]]),"")</f>
        <v/>
      </c>
      <c r="L567" s="117" t="str">
        <f ca="1">IF(Tab.o1[[#This Row],[DIF_Target]]=0,IF(L$2=0,Tab.o1[[#This Row],[DIF_Target]],AVERAGE(OFFSET(Tab.o1[[#This Row],[DIF_Target]],1,0,L$3,1)))/3,Tab.o1[[#This Row],[DIF_Target]])</f>
        <v/>
      </c>
      <c r="M567" s="118" t="str">
        <f>IF(Tab.o1[[#This Row],[a1]]=1,NORMSDIST(Tab.o1[[#This Row],[Za]]),"")</f>
        <v/>
      </c>
      <c r="N567" s="119" t="str">
        <f>IF(Tab.o1[[#This Row],[a1]]=1,((Tab.o1[[#This Row],[MedMod]]-AVERAGE(Tab.o1[MedMod]))/_xlfn.STDEV.P(Tab.o1[MedMod])*H$1205)+G$1205,"")</f>
        <v/>
      </c>
      <c r="O567" s="141" t="str">
        <f>IF(Tab.o1[[#This Row],[a1]]=1,Tab.o1[[#This Row],[Zb]]*_xlfn.STDEV.P(Tab.o1[MedMod])+AVERAGE(Tab.o1[MedMod]),"")</f>
        <v/>
      </c>
      <c r="P567" s="117" t="str">
        <f ca="1">IF(Tab.o1[[#This Row],[B]]=0,AVERAGE(OFFSET(Tab.o1[[#This Row],[B]],1,0,L$3,1)),Tab.o1[[#This Row],[B]])</f>
        <v/>
      </c>
      <c r="Q567" s="121" t="str">
        <f>IF(Tab.o1[[#This Row],[a1]]=1,NORMSDIST(Tab.o1[[#This Row],[Zb]]),"")</f>
        <v/>
      </c>
      <c r="R567" s="122" t="str">
        <f>IF(Tab.o1[[#This Row],[a1]]=1,((Tab.o1[[#This Row],[MedMod]]-AVERAGE(Tab.o1[MedMod]))/_xlfn.STDEV.P(Tab.o1[MedMod])*H$1203)+G$1203,"")</f>
        <v/>
      </c>
      <c r="S567" s="122" t="str">
        <f>IF(Tab.o1[[#This Row],[a1]]=1,((Tab.o1[[#This Row],[MedMod]]-AVERAGE(Tab.o1[MedMod]))/_xlfn.STDEV.P(Tab.o1[MedMod])*H$1204)+G$1204,"")</f>
        <v/>
      </c>
      <c r="T567" s="123" t="str">
        <f>IF(Tab.o1[[#This Row],[a1]]=1,Tab.o1[[#This Row],[Z-]]*_xlfn.STDEV.P(Tab.o1[B])+AVERAGE(Tab.o1[B]),"")</f>
        <v/>
      </c>
      <c r="U567" s="123" t="str">
        <f>IF(Tab.o1[[#This Row],[a1]]=1,Tab.o1[[#This Row],[z+]]*_xlfn.STDEV.P(Tab.o1[B])+AVERAGE(Tab.o1[B]),"")</f>
        <v/>
      </c>
      <c r="V567" s="124" t="str">
        <f>IF(Tab.o1[[#This Row],[a1]]=1,ABS((ABS(Tab.o1[[#This Row],[Red]]-Tab.o1[[#This Row],[Blue]]))),"")</f>
        <v/>
      </c>
      <c r="W567" s="125" t="str">
        <f>IF(Tab.o1[[#This Row],[a1]]=1,IF(W$3=0,1,Tab.o1[[#This Row],[Amp.]]*1/_xlfn.MINIFS(Tab.o1[Amp.],Tab.o1[Amp.],"&lt;&gt;0")),"")</f>
        <v/>
      </c>
      <c r="X567" s="126" t="str">
        <f>IF(Tab.o1[[#This Row],[a1]]=1,IF(ISNUMBER(Tab.o1[[#This Row],[i.]]),NORMDIST(Tab.o1[[#This Row],[Za]],0,1,FALSE)*Tab.o1[[#This Row],[i.]],AP$3),"")</f>
        <v/>
      </c>
      <c r="Y567" s="126" t="str">
        <f>IF(Tab.o1[[#This Row],[a1]]=1,0.01+0.94*Tab.o1[[#This Row],[PDF]]/MAX(Tab.o1[PDF]),"")</f>
        <v/>
      </c>
      <c r="Z567" s="126" t="str">
        <f>IF(Tab.o1[[#This Row],[a1]]=1,0.01+0.94*Tab.o1[[#This Row],[W1_PDF]]/MAX(Tab.o1[W1_PDF]),"")</f>
        <v/>
      </c>
      <c r="AA567" s="118" t="str">
        <f>IF(Tab.o1[[#This Row],[a1]]=1,ABS([1]!T.in.A[[#This Row],[oo6]]),"")</f>
        <v/>
      </c>
      <c r="AB567" s="127" t="str">
        <f>IF(Tab.o1[[#This Row],[a1]]=1,IF(AE$3=0,"",IF(AB$3=0,ABS([1]!T.in.A[[#This Row],[oo9]]),ABS(Tab.o1[[#This Row],[DIF_Target.]]*Tab.o1[[#This Row],[W1_PDF]]))),"")</f>
        <v/>
      </c>
      <c r="AC567" s="127" t="str">
        <f>IF(G$1=1,"",IF(Tab.o1[[#This Row],[a1]]=1,Tab.o1[[#This Row],[Wr]]^2,""))</f>
        <v/>
      </c>
      <c r="AD567" s="118" t="str">
        <f>IF(Tab.o1[[#This Row],[a1]]=1,IF(AE$3=0,"",Tab.o1[[#This Row],[Wr2]]/SUM(Tab.o1[Wr2])),"")</f>
        <v/>
      </c>
      <c r="AE567" s="128" t="str">
        <f>IF(Tab.o1[[#This Row],[a1]]=1,[1]!T.in.A[[#This Row],[oo10]],"")</f>
        <v/>
      </c>
      <c r="AF567" s="118" t="str">
        <f>IF(Tab.o1[[#This Row],[a1]]=1,ABS(Tab.o1[[#This Row],[DIF_Target.]]*Tab.o1[[#This Row],[PDF2]]*Tab.o1[[#This Row],[IN]]),"")</f>
        <v/>
      </c>
      <c r="AG567" s="129" t="str">
        <f>IF(Tab.o1[[#This Row],[a1]]=1,Tab.o1[[#This Row],[rW]]^2,"")</f>
        <v/>
      </c>
      <c r="AH567" s="130" t="str">
        <f>IF(Tab.o1[[#This Row],[a1]]=1,IF(AH$3=0,Tab.o1[[#This Row],[rW2]],0.01+0.94*Tab.o1[[#This Row],[rW2]]/SUM(Tab.o1[rW2])),"")</f>
        <v/>
      </c>
      <c r="AI567" s="128" t="str">
        <f>IF(Tab.o1[[#This Row],[a1]]=1,1/Tab.o1[[#This Row],[PDF]],"")</f>
        <v/>
      </c>
      <c r="AJ567" s="131" t="str">
        <f>IF(Tab.o1[[#This Row],[a1]]=1,[1]!T_AA[[#This Row],[IN'']]*[1]!T_AA[[#This Row],[Qde'']],"")</f>
        <v/>
      </c>
      <c r="AK567" s="132" t="str">
        <f>IF(Tab.o1[[#This Row],[a1]]=1,IF(AK$1=1,Tab.o1[[#This Row],[MED]]+Tab.o1[[#This Row],[MOD]]-Tab.o1[[#This Row],[MED]],""),"")</f>
        <v/>
      </c>
      <c r="AL567" s="133" t="str">
        <f>IF(Tab.o1[[#This Row],[a1]]=1,[1]!T.in.A[[#This Row],[oo16]],"")</f>
        <v/>
      </c>
      <c r="AM567" s="133" t="str">
        <f>IF(Tab.o1[[#This Row],[a1]]=1,IF(AM$3=1,[1]!T.in.A[[#This Row],[Σo16]],""),"")</f>
        <v/>
      </c>
      <c r="AN567" s="126" t="str">
        <f>IF(Tab.o1[[#This Row],[a1]]=1,[1]!T.in.A[[#This Row],[Σp5]],"")</f>
        <v/>
      </c>
      <c r="AO567" s="126" t="str">
        <f>IF(Tab.o1[[#This Row],[a1]]=1,IF(AO$3=1,[1]!T.in.A[[#This Row],[Σp5]],""),"")</f>
        <v/>
      </c>
      <c r="AP567" s="110" t="str">
        <f>IF(Tab.o1[[#This Row],[a1]]=1,IF(ISNUMBER(Tab.o1[[#This Row],[i.]]),NORMDIST(Tab.o1[[#This Row],[Za]],0,1,FALSE)*Tab.o1[[#This Row],[i.]],0),"")</f>
        <v/>
      </c>
      <c r="AQ567" s="125" t="str">
        <f>IF(Tab.o1[[#This Row],[a1]]=1,ABS(Tab.o1[[#This Row],[MOD]]-AVERAGE(Tab.o1[MOD])),"")</f>
        <v/>
      </c>
      <c r="AR567" s="134" t="str">
        <f>IF(Tab.o1[[#This Row],[a1]]=1,Tab.o1[[#This Row],[OBS]]/SUM(Tab.o1[OBS]),"")</f>
        <v/>
      </c>
      <c r="AS567" s="135" t="str">
        <f>IF(ISNUMBER(Tab.o1[[#This Row],[a1]]),ROW()-4,"")</f>
        <v/>
      </c>
      <c r="AT567" s="136" t="str">
        <f>Tab.o1[[#This Row],[MOD]]</f>
        <v/>
      </c>
      <c r="AU567" s="137" t="str">
        <f t="shared" si="33"/>
        <v/>
      </c>
      <c r="AV567" s="138" t="str">
        <f t="shared" si="34"/>
        <v/>
      </c>
      <c r="AW567" s="138" t="str">
        <f t="shared" si="35"/>
        <v/>
      </c>
      <c r="AX567" s="139" t="str">
        <f>[1]!T.in.A[[#This Row],[ID_T_manu]]</f>
        <v/>
      </c>
      <c r="AY567" s="140" t="str">
        <f>IF(ISNUMBER(Tab.o1[[#This Row],[a1]]),IF(AND(Tab.o1[[#This Row],[a1]]=1,Tab.o1[[#This Row],[b1]]&lt;=AY$4),#REF!,AY566),"")</f>
        <v/>
      </c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</row>
    <row r="568" spans="1:79" ht="15.75" hidden="1">
      <c r="A568" s="109">
        <v>2.9999999999999997E-6</v>
      </c>
      <c r="B568" s="110">
        <f t="shared" si="32"/>
        <v>568</v>
      </c>
      <c r="C568" s="111" t="str">
        <f>IF(C$1=[1]!T.in.A[[#This Row],[oo2]],1,"")</f>
        <v/>
      </c>
      <c r="D568" s="112" t="str">
        <f>IF(Tab.o1[[#This Row],[a1]]=1,IF(SUM(C568:C569)=0,0,IF(SUM(C567:C568)=1,1,IF(SUM(C567:C569)&gt;1,D567+1,0))),"")</f>
        <v/>
      </c>
      <c r="E568" s="113" t="str">
        <f>IF(Tab.o1[[#This Row],[a1]]=1,[1]!T.in.A[[#This Row],[oo1]],"")</f>
        <v/>
      </c>
      <c r="F568" s="113" t="str">
        <f>IF(Tab.o1[[#This Row],[a1]]=1,[1]!T.in.A[[#This Row],[pp1]],"")</f>
        <v/>
      </c>
      <c r="G568" s="114" t="str">
        <f>IF(Tab.o1[[#This Row],[a1]]=1,G$2+IF(G$1=1,0,Tab.o1[[#This Row],[.x1]])+[1]!T.in.A[[#This Row],[oo3]],"")</f>
        <v/>
      </c>
      <c r="H568" s="115" t="str">
        <f>IF(Tab.o1[[#This Row],[a1]]=1,IF(H$2=0,0,IF(G$1=1,0,Tab.o1[[#This Row],[.x1]])+[1]!T.in.A[[#This Row],[oo4]]),"")</f>
        <v/>
      </c>
      <c r="I568" s="116" t="str">
        <f>IF(Tab.o1[[#This Row],[a1]]=1,IF(J$2=0,Tab.o1[[#This Row],[MED]],Tab.o1[[#This Row],[MOD]]),"")</f>
        <v/>
      </c>
      <c r="J568" s="116" t="str">
        <f>IF(Tab.o1[[#This Row],[a1]]=1,((Tab.o1[[#This Row],[DIF_Target.]]-AVERAGE(Tab.o1[DIF_Target.]))/_xlfn.STDEV.P(Tab.o1[DIF_Target.])),"")</f>
        <v/>
      </c>
      <c r="K568" s="117" t="str">
        <f>IF(Tab.o1[[#This Row],[a1]]=1,IF(J$2=0,Tab.o1[[#This Row],[MOD]]-Tab.o1[[#This Row],[B]],IF(J$2=1,0,-Tab.o1[[#This Row],[MED]])+Tab.o1[[#This Row],[B]]),"")</f>
        <v/>
      </c>
      <c r="L568" s="117" t="str">
        <f ca="1">IF(Tab.o1[[#This Row],[DIF_Target]]=0,IF(L$2=0,Tab.o1[[#This Row],[DIF_Target]],AVERAGE(OFFSET(Tab.o1[[#This Row],[DIF_Target]],1,0,L$3,1)))/3,Tab.o1[[#This Row],[DIF_Target]])</f>
        <v/>
      </c>
      <c r="M568" s="118" t="str">
        <f>IF(Tab.o1[[#This Row],[a1]]=1,NORMSDIST(Tab.o1[[#This Row],[Za]]),"")</f>
        <v/>
      </c>
      <c r="N568" s="119" t="str">
        <f>IF(Tab.o1[[#This Row],[a1]]=1,((Tab.o1[[#This Row],[MedMod]]-AVERAGE(Tab.o1[MedMod]))/_xlfn.STDEV.P(Tab.o1[MedMod])*H$1205)+G$1205,"")</f>
        <v/>
      </c>
      <c r="O568" s="141" t="str">
        <f>IF(Tab.o1[[#This Row],[a1]]=1,Tab.o1[[#This Row],[Zb]]*_xlfn.STDEV.P(Tab.o1[MedMod])+AVERAGE(Tab.o1[MedMod]),"")</f>
        <v/>
      </c>
      <c r="P568" s="117" t="str">
        <f ca="1">IF(Tab.o1[[#This Row],[B]]=0,AVERAGE(OFFSET(Tab.o1[[#This Row],[B]],1,0,L$3,1)),Tab.o1[[#This Row],[B]])</f>
        <v/>
      </c>
      <c r="Q568" s="121" t="str">
        <f>IF(Tab.o1[[#This Row],[a1]]=1,NORMSDIST(Tab.o1[[#This Row],[Zb]]),"")</f>
        <v/>
      </c>
      <c r="R568" s="122" t="str">
        <f>IF(Tab.o1[[#This Row],[a1]]=1,((Tab.o1[[#This Row],[MedMod]]-AVERAGE(Tab.o1[MedMod]))/_xlfn.STDEV.P(Tab.o1[MedMod])*H$1203)+G$1203,"")</f>
        <v/>
      </c>
      <c r="S568" s="122" t="str">
        <f>IF(Tab.o1[[#This Row],[a1]]=1,((Tab.o1[[#This Row],[MedMod]]-AVERAGE(Tab.o1[MedMod]))/_xlfn.STDEV.P(Tab.o1[MedMod])*H$1204)+G$1204,"")</f>
        <v/>
      </c>
      <c r="T568" s="123" t="str">
        <f>IF(Tab.o1[[#This Row],[a1]]=1,Tab.o1[[#This Row],[Z-]]*_xlfn.STDEV.P(Tab.o1[B])+AVERAGE(Tab.o1[B]),"")</f>
        <v/>
      </c>
      <c r="U568" s="123" t="str">
        <f>IF(Tab.o1[[#This Row],[a1]]=1,Tab.o1[[#This Row],[z+]]*_xlfn.STDEV.P(Tab.o1[B])+AVERAGE(Tab.o1[B]),"")</f>
        <v/>
      </c>
      <c r="V568" s="124" t="str">
        <f>IF(Tab.o1[[#This Row],[a1]]=1,ABS((ABS(Tab.o1[[#This Row],[Red]]-Tab.o1[[#This Row],[Blue]]))),"")</f>
        <v/>
      </c>
      <c r="W568" s="125" t="str">
        <f>IF(Tab.o1[[#This Row],[a1]]=1,IF(W$3=0,1,Tab.o1[[#This Row],[Amp.]]*1/_xlfn.MINIFS(Tab.o1[Amp.],Tab.o1[Amp.],"&lt;&gt;0")),"")</f>
        <v/>
      </c>
      <c r="X568" s="126" t="str">
        <f>IF(Tab.o1[[#This Row],[a1]]=1,IF(ISNUMBER(Tab.o1[[#This Row],[i.]]),NORMDIST(Tab.o1[[#This Row],[Za]],0,1,FALSE)*Tab.o1[[#This Row],[i.]],AP$3),"")</f>
        <v/>
      </c>
      <c r="Y568" s="126" t="str">
        <f>IF(Tab.o1[[#This Row],[a1]]=1,0.01+0.94*Tab.o1[[#This Row],[PDF]]/MAX(Tab.o1[PDF]),"")</f>
        <v/>
      </c>
      <c r="Z568" s="126" t="str">
        <f>IF(Tab.o1[[#This Row],[a1]]=1,0.01+0.94*Tab.o1[[#This Row],[W1_PDF]]/MAX(Tab.o1[W1_PDF]),"")</f>
        <v/>
      </c>
      <c r="AA568" s="118" t="str">
        <f>IF(Tab.o1[[#This Row],[a1]]=1,ABS([1]!T.in.A[[#This Row],[oo6]]),"")</f>
        <v/>
      </c>
      <c r="AB568" s="127" t="str">
        <f>IF(Tab.o1[[#This Row],[a1]]=1,IF(AE$3=0,"",IF(AB$3=0,ABS([1]!T.in.A[[#This Row],[oo9]]),ABS(Tab.o1[[#This Row],[DIF_Target.]]*Tab.o1[[#This Row],[W1_PDF]]))),"")</f>
        <v/>
      </c>
      <c r="AC568" s="127" t="str">
        <f>IF(G$1=1,"",IF(Tab.o1[[#This Row],[a1]]=1,Tab.o1[[#This Row],[Wr]]^2,""))</f>
        <v/>
      </c>
      <c r="AD568" s="118" t="str">
        <f>IF(Tab.o1[[#This Row],[a1]]=1,IF(AE$3=0,"",Tab.o1[[#This Row],[Wr2]]/SUM(Tab.o1[Wr2])),"")</f>
        <v/>
      </c>
      <c r="AE568" s="128" t="str">
        <f>IF(Tab.o1[[#This Row],[a1]]=1,[1]!T.in.A[[#This Row],[oo10]],"")</f>
        <v/>
      </c>
      <c r="AF568" s="118" t="str">
        <f>IF(Tab.o1[[#This Row],[a1]]=1,ABS(Tab.o1[[#This Row],[DIF_Target.]]*Tab.o1[[#This Row],[PDF2]]*Tab.o1[[#This Row],[IN]]),"")</f>
        <v/>
      </c>
      <c r="AG568" s="129" t="str">
        <f>IF(Tab.o1[[#This Row],[a1]]=1,Tab.o1[[#This Row],[rW]]^2,"")</f>
        <v/>
      </c>
      <c r="AH568" s="130" t="str">
        <f>IF(Tab.o1[[#This Row],[a1]]=1,IF(AH$3=0,Tab.o1[[#This Row],[rW2]],0.01+0.94*Tab.o1[[#This Row],[rW2]]/SUM(Tab.o1[rW2])),"")</f>
        <v/>
      </c>
      <c r="AI568" s="128" t="str">
        <f>IF(Tab.o1[[#This Row],[a1]]=1,1/Tab.o1[[#This Row],[PDF]],"")</f>
        <v/>
      </c>
      <c r="AJ568" s="131" t="str">
        <f>IF(Tab.o1[[#This Row],[a1]]=1,[1]!T_AA[[#This Row],[IN'']]*[1]!T_AA[[#This Row],[Qde'']],"")</f>
        <v/>
      </c>
      <c r="AK568" s="132" t="str">
        <f>IF(Tab.o1[[#This Row],[a1]]=1,IF(AK$1=1,Tab.o1[[#This Row],[MED]]+Tab.o1[[#This Row],[MOD]]-Tab.o1[[#This Row],[MED]],""),"")</f>
        <v/>
      </c>
      <c r="AL568" s="133" t="str">
        <f>IF(Tab.o1[[#This Row],[a1]]=1,[1]!T.in.A[[#This Row],[oo16]],"")</f>
        <v/>
      </c>
      <c r="AM568" s="133" t="str">
        <f>IF(Tab.o1[[#This Row],[a1]]=1,IF(AM$3=1,[1]!T.in.A[[#This Row],[Σo16]],""),"")</f>
        <v/>
      </c>
      <c r="AN568" s="126" t="str">
        <f>IF(Tab.o1[[#This Row],[a1]]=1,[1]!T.in.A[[#This Row],[Σp5]],"")</f>
        <v/>
      </c>
      <c r="AO568" s="126" t="str">
        <f>IF(Tab.o1[[#This Row],[a1]]=1,IF(AO$3=1,[1]!T.in.A[[#This Row],[Σp5]],""),"")</f>
        <v/>
      </c>
      <c r="AP568" s="110" t="str">
        <f>IF(Tab.o1[[#This Row],[a1]]=1,IF(ISNUMBER(Tab.o1[[#This Row],[i.]]),NORMDIST(Tab.o1[[#This Row],[Za]],0,1,FALSE)*Tab.o1[[#This Row],[i.]],0),"")</f>
        <v/>
      </c>
      <c r="AQ568" s="125" t="str">
        <f>IF(Tab.o1[[#This Row],[a1]]=1,ABS(Tab.o1[[#This Row],[MOD]]-AVERAGE(Tab.o1[MOD])),"")</f>
        <v/>
      </c>
      <c r="AR568" s="134" t="str">
        <f>IF(Tab.o1[[#This Row],[a1]]=1,Tab.o1[[#This Row],[OBS]]/SUM(Tab.o1[OBS]),"")</f>
        <v/>
      </c>
      <c r="AS568" s="135" t="str">
        <f>IF(ISNUMBER(Tab.o1[[#This Row],[a1]]),ROW()-4,"")</f>
        <v/>
      </c>
      <c r="AT568" s="136" t="str">
        <f>Tab.o1[[#This Row],[MOD]]</f>
        <v/>
      </c>
      <c r="AU568" s="137" t="str">
        <f t="shared" si="33"/>
        <v/>
      </c>
      <c r="AV568" s="138" t="str">
        <f t="shared" si="34"/>
        <v/>
      </c>
      <c r="AW568" s="138" t="str">
        <f t="shared" si="35"/>
        <v/>
      </c>
      <c r="AX568" s="139" t="str">
        <f>[1]!T.in.A[[#This Row],[ID_T_manu]]</f>
        <v/>
      </c>
      <c r="AY568" s="140" t="str">
        <f>IF(ISNUMBER(Tab.o1[[#This Row],[a1]]),IF(AND(Tab.o1[[#This Row],[a1]]=1,Tab.o1[[#This Row],[b1]]&lt;=AY$4),#REF!,AY567),"")</f>
        <v/>
      </c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</row>
    <row r="569" spans="1:79" ht="15.75" hidden="1">
      <c r="A569" s="109">
        <v>1.0000000000000001E-5</v>
      </c>
      <c r="B569" s="110">
        <f t="shared" si="32"/>
        <v>569</v>
      </c>
      <c r="C569" s="111" t="str">
        <f>IF(C$1=[1]!T.in.A[[#This Row],[oo2]],1,"")</f>
        <v/>
      </c>
      <c r="D569" s="112" t="str">
        <f>IF(Tab.o1[[#This Row],[a1]]=1,IF(SUM(C569:C570)=0,0,IF(SUM(C568:C569)=1,1,IF(SUM(C568:C570)&gt;1,D568+1,0))),"")</f>
        <v/>
      </c>
      <c r="E569" s="113" t="str">
        <f>IF(Tab.o1[[#This Row],[a1]]=1,[1]!T.in.A[[#This Row],[oo1]],"")</f>
        <v/>
      </c>
      <c r="F569" s="113" t="str">
        <f>IF(Tab.o1[[#This Row],[a1]]=1,[1]!T.in.A[[#This Row],[pp1]],"")</f>
        <v/>
      </c>
      <c r="G569" s="114" t="str">
        <f>IF(Tab.o1[[#This Row],[a1]]=1,G$2+IF(G$1=1,0,Tab.o1[[#This Row],[.x1]])+[1]!T.in.A[[#This Row],[oo3]],"")</f>
        <v/>
      </c>
      <c r="H569" s="115" t="str">
        <f>IF(Tab.o1[[#This Row],[a1]]=1,IF(H$2=0,0,IF(G$1=1,0,Tab.o1[[#This Row],[.x1]])+[1]!T.in.A[[#This Row],[oo4]]),"")</f>
        <v/>
      </c>
      <c r="I569" s="116" t="str">
        <f>IF(Tab.o1[[#This Row],[a1]]=1,IF(J$2=0,Tab.o1[[#This Row],[MED]],Tab.o1[[#This Row],[MOD]]),"")</f>
        <v/>
      </c>
      <c r="J569" s="116" t="str">
        <f>IF(Tab.o1[[#This Row],[a1]]=1,((Tab.o1[[#This Row],[DIF_Target.]]-AVERAGE(Tab.o1[DIF_Target.]))/_xlfn.STDEV.P(Tab.o1[DIF_Target.])),"")</f>
        <v/>
      </c>
      <c r="K569" s="117" t="str">
        <f>IF(Tab.o1[[#This Row],[a1]]=1,IF(J$2=0,Tab.o1[[#This Row],[MOD]]-Tab.o1[[#This Row],[B]],IF(J$2=1,0,-Tab.o1[[#This Row],[MED]])+Tab.o1[[#This Row],[B]]),"")</f>
        <v/>
      </c>
      <c r="L569" s="117" t="str">
        <f ca="1">IF(Tab.o1[[#This Row],[DIF_Target]]=0,IF(L$2=0,Tab.o1[[#This Row],[DIF_Target]],AVERAGE(OFFSET(Tab.o1[[#This Row],[DIF_Target]],1,0,L$3,1)))/3,Tab.o1[[#This Row],[DIF_Target]])</f>
        <v/>
      </c>
      <c r="M569" s="118" t="str">
        <f>IF(Tab.o1[[#This Row],[a1]]=1,NORMSDIST(Tab.o1[[#This Row],[Za]]),"")</f>
        <v/>
      </c>
      <c r="N569" s="119" t="str">
        <f>IF(Tab.o1[[#This Row],[a1]]=1,((Tab.o1[[#This Row],[MedMod]]-AVERAGE(Tab.o1[MedMod]))/_xlfn.STDEV.P(Tab.o1[MedMod])*H$1205)+G$1205,"")</f>
        <v/>
      </c>
      <c r="O569" s="141" t="str">
        <f>IF(Tab.o1[[#This Row],[a1]]=1,Tab.o1[[#This Row],[Zb]]*_xlfn.STDEV.P(Tab.o1[MedMod])+AVERAGE(Tab.o1[MedMod]),"")</f>
        <v/>
      </c>
      <c r="P569" s="117" t="str">
        <f ca="1">IF(Tab.o1[[#This Row],[B]]=0,AVERAGE(OFFSET(Tab.o1[[#This Row],[B]],1,0,L$3,1)),Tab.o1[[#This Row],[B]])</f>
        <v/>
      </c>
      <c r="Q569" s="121" t="str">
        <f>IF(Tab.o1[[#This Row],[a1]]=1,NORMSDIST(Tab.o1[[#This Row],[Zb]]),"")</f>
        <v/>
      </c>
      <c r="R569" s="122" t="str">
        <f>IF(Tab.o1[[#This Row],[a1]]=1,((Tab.o1[[#This Row],[MedMod]]-AVERAGE(Tab.o1[MedMod]))/_xlfn.STDEV.P(Tab.o1[MedMod])*H$1203)+G$1203,"")</f>
        <v/>
      </c>
      <c r="S569" s="122" t="str">
        <f>IF(Tab.o1[[#This Row],[a1]]=1,((Tab.o1[[#This Row],[MedMod]]-AVERAGE(Tab.o1[MedMod]))/_xlfn.STDEV.P(Tab.o1[MedMod])*H$1204)+G$1204,"")</f>
        <v/>
      </c>
      <c r="T569" s="123" t="str">
        <f>IF(Tab.o1[[#This Row],[a1]]=1,Tab.o1[[#This Row],[Z-]]*_xlfn.STDEV.P(Tab.o1[B])+AVERAGE(Tab.o1[B]),"")</f>
        <v/>
      </c>
      <c r="U569" s="123" t="str">
        <f>IF(Tab.o1[[#This Row],[a1]]=1,Tab.o1[[#This Row],[z+]]*_xlfn.STDEV.P(Tab.o1[B])+AVERAGE(Tab.o1[B]),"")</f>
        <v/>
      </c>
      <c r="V569" s="124" t="str">
        <f>IF(Tab.o1[[#This Row],[a1]]=1,ABS((ABS(Tab.o1[[#This Row],[Red]]-Tab.o1[[#This Row],[Blue]]))),"")</f>
        <v/>
      </c>
      <c r="W569" s="125" t="str">
        <f>IF(Tab.o1[[#This Row],[a1]]=1,IF(W$3=0,1,Tab.o1[[#This Row],[Amp.]]*1/_xlfn.MINIFS(Tab.o1[Amp.],Tab.o1[Amp.],"&lt;&gt;0")),"")</f>
        <v/>
      </c>
      <c r="X569" s="126" t="str">
        <f>IF(Tab.o1[[#This Row],[a1]]=1,IF(ISNUMBER(Tab.o1[[#This Row],[i.]]),NORMDIST(Tab.o1[[#This Row],[Za]],0,1,FALSE)*Tab.o1[[#This Row],[i.]],AP$3),"")</f>
        <v/>
      </c>
      <c r="Y569" s="126" t="str">
        <f>IF(Tab.o1[[#This Row],[a1]]=1,0.01+0.94*Tab.o1[[#This Row],[PDF]]/MAX(Tab.o1[PDF]),"")</f>
        <v/>
      </c>
      <c r="Z569" s="126" t="str">
        <f>IF(Tab.o1[[#This Row],[a1]]=1,0.01+0.94*Tab.o1[[#This Row],[W1_PDF]]/MAX(Tab.o1[W1_PDF]),"")</f>
        <v/>
      </c>
      <c r="AA569" s="118" t="str">
        <f>IF(Tab.o1[[#This Row],[a1]]=1,ABS([1]!T.in.A[[#This Row],[oo6]]),"")</f>
        <v/>
      </c>
      <c r="AB569" s="127" t="str">
        <f>IF(Tab.o1[[#This Row],[a1]]=1,IF(AE$3=0,"",IF(AB$3=0,ABS([1]!T.in.A[[#This Row],[oo9]]),ABS(Tab.o1[[#This Row],[DIF_Target.]]*Tab.o1[[#This Row],[W1_PDF]]))),"")</f>
        <v/>
      </c>
      <c r="AC569" s="127" t="str">
        <f>IF(G$1=1,"",IF(Tab.o1[[#This Row],[a1]]=1,Tab.o1[[#This Row],[Wr]]^2,""))</f>
        <v/>
      </c>
      <c r="AD569" s="118" t="str">
        <f>IF(Tab.o1[[#This Row],[a1]]=1,IF(AE$3=0,"",Tab.o1[[#This Row],[Wr2]]/SUM(Tab.o1[Wr2])),"")</f>
        <v/>
      </c>
      <c r="AE569" s="128" t="str">
        <f>IF(Tab.o1[[#This Row],[a1]]=1,[1]!T.in.A[[#This Row],[oo10]],"")</f>
        <v/>
      </c>
      <c r="AF569" s="118" t="str">
        <f>IF(Tab.o1[[#This Row],[a1]]=1,ABS(Tab.o1[[#This Row],[DIF_Target.]]*Tab.o1[[#This Row],[PDF2]]*Tab.o1[[#This Row],[IN]]),"")</f>
        <v/>
      </c>
      <c r="AG569" s="129" t="str">
        <f>IF(Tab.o1[[#This Row],[a1]]=1,Tab.o1[[#This Row],[rW]]^2,"")</f>
        <v/>
      </c>
      <c r="AH569" s="130" t="str">
        <f>IF(Tab.o1[[#This Row],[a1]]=1,IF(AH$3=0,Tab.o1[[#This Row],[rW2]],0.01+0.94*Tab.o1[[#This Row],[rW2]]/SUM(Tab.o1[rW2])),"")</f>
        <v/>
      </c>
      <c r="AI569" s="128" t="str">
        <f>IF(Tab.o1[[#This Row],[a1]]=1,1/Tab.o1[[#This Row],[PDF]],"")</f>
        <v/>
      </c>
      <c r="AJ569" s="131" t="str">
        <f>IF(Tab.o1[[#This Row],[a1]]=1,[1]!T_AA[[#This Row],[IN'']]*[1]!T_AA[[#This Row],[Qde'']],"")</f>
        <v/>
      </c>
      <c r="AK569" s="132" t="str">
        <f>IF(Tab.o1[[#This Row],[a1]]=1,IF(AK$1=1,Tab.o1[[#This Row],[MED]]+Tab.o1[[#This Row],[MOD]]-Tab.o1[[#This Row],[MED]],""),"")</f>
        <v/>
      </c>
      <c r="AL569" s="133" t="str">
        <f>IF(Tab.o1[[#This Row],[a1]]=1,[1]!T.in.A[[#This Row],[oo16]],"")</f>
        <v/>
      </c>
      <c r="AM569" s="133" t="str">
        <f>IF(Tab.o1[[#This Row],[a1]]=1,IF(AM$3=1,[1]!T.in.A[[#This Row],[Σo16]],""),"")</f>
        <v/>
      </c>
      <c r="AN569" s="126" t="str">
        <f>IF(Tab.o1[[#This Row],[a1]]=1,[1]!T.in.A[[#This Row],[Σp5]],"")</f>
        <v/>
      </c>
      <c r="AO569" s="126" t="str">
        <f>IF(Tab.o1[[#This Row],[a1]]=1,IF(AO$3=1,[1]!T.in.A[[#This Row],[Σp5]],""),"")</f>
        <v/>
      </c>
      <c r="AP569" s="110" t="str">
        <f>IF(Tab.o1[[#This Row],[a1]]=1,IF(ISNUMBER(Tab.o1[[#This Row],[i.]]),NORMDIST(Tab.o1[[#This Row],[Za]],0,1,FALSE)*Tab.o1[[#This Row],[i.]],0),"")</f>
        <v/>
      </c>
      <c r="AQ569" s="125" t="str">
        <f>IF(Tab.o1[[#This Row],[a1]]=1,ABS(Tab.o1[[#This Row],[MOD]]-AVERAGE(Tab.o1[MOD])),"")</f>
        <v/>
      </c>
      <c r="AR569" s="134" t="str">
        <f>IF(Tab.o1[[#This Row],[a1]]=1,Tab.o1[[#This Row],[OBS]]/SUM(Tab.o1[OBS]),"")</f>
        <v/>
      </c>
      <c r="AS569" s="135" t="str">
        <f>IF(ISNUMBER(Tab.o1[[#This Row],[a1]]),ROW()-4,"")</f>
        <v/>
      </c>
      <c r="AT569" s="136" t="str">
        <f>Tab.o1[[#This Row],[MOD]]</f>
        <v/>
      </c>
      <c r="AU569" s="137" t="str">
        <f t="shared" si="33"/>
        <v/>
      </c>
      <c r="AV569" s="138" t="str">
        <f t="shared" si="34"/>
        <v/>
      </c>
      <c r="AW569" s="138" t="str">
        <f t="shared" si="35"/>
        <v/>
      </c>
      <c r="AX569" s="139" t="str">
        <f>[1]!T.in.A[[#This Row],[ID_T_manu]]</f>
        <v/>
      </c>
      <c r="AY569" s="140" t="str">
        <f>IF(ISNUMBER(Tab.o1[[#This Row],[a1]]),IF(AND(Tab.o1[[#This Row],[a1]]=1,Tab.o1[[#This Row],[b1]]&lt;=AY$4),#REF!,AY568),"")</f>
        <v/>
      </c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</row>
    <row r="570" spans="1:79" ht="15.75" hidden="1">
      <c r="A570" s="109">
        <v>5.0000000000000004E-6</v>
      </c>
      <c r="B570" s="110">
        <f t="shared" si="32"/>
        <v>570</v>
      </c>
      <c r="C570" s="111" t="str">
        <f>IF(C$1=[1]!T.in.A[[#This Row],[oo2]],1,"")</f>
        <v/>
      </c>
      <c r="D570" s="112" t="str">
        <f>IF(Tab.o1[[#This Row],[a1]]=1,IF(SUM(C570:C571)=0,0,IF(SUM(C569:C570)=1,1,IF(SUM(C569:C571)&gt;1,D569+1,0))),"")</f>
        <v/>
      </c>
      <c r="E570" s="113" t="str">
        <f>IF(Tab.o1[[#This Row],[a1]]=1,[1]!T.in.A[[#This Row],[oo1]],"")</f>
        <v/>
      </c>
      <c r="F570" s="113" t="str">
        <f>IF(Tab.o1[[#This Row],[a1]]=1,[1]!T.in.A[[#This Row],[pp1]],"")</f>
        <v/>
      </c>
      <c r="G570" s="114" t="str">
        <f>IF(Tab.o1[[#This Row],[a1]]=1,G$2+IF(G$1=1,0,Tab.o1[[#This Row],[.x1]])+[1]!T.in.A[[#This Row],[oo3]],"")</f>
        <v/>
      </c>
      <c r="H570" s="115" t="str">
        <f>IF(Tab.o1[[#This Row],[a1]]=1,IF(H$2=0,0,IF(G$1=1,0,Tab.o1[[#This Row],[.x1]])+[1]!T.in.A[[#This Row],[oo4]]),"")</f>
        <v/>
      </c>
      <c r="I570" s="116" t="str">
        <f>IF(Tab.o1[[#This Row],[a1]]=1,IF(J$2=0,Tab.o1[[#This Row],[MED]],Tab.o1[[#This Row],[MOD]]),"")</f>
        <v/>
      </c>
      <c r="J570" s="116" t="str">
        <f>IF(Tab.o1[[#This Row],[a1]]=1,((Tab.o1[[#This Row],[DIF_Target.]]-AVERAGE(Tab.o1[DIF_Target.]))/_xlfn.STDEV.P(Tab.o1[DIF_Target.])),"")</f>
        <v/>
      </c>
      <c r="K570" s="117" t="str">
        <f>IF(Tab.o1[[#This Row],[a1]]=1,IF(J$2=0,Tab.o1[[#This Row],[MOD]]-Tab.o1[[#This Row],[B]],IF(J$2=1,0,-Tab.o1[[#This Row],[MED]])+Tab.o1[[#This Row],[B]]),"")</f>
        <v/>
      </c>
      <c r="L570" s="117" t="str">
        <f ca="1">IF(Tab.o1[[#This Row],[DIF_Target]]=0,IF(L$2=0,Tab.o1[[#This Row],[DIF_Target]],AVERAGE(OFFSET(Tab.o1[[#This Row],[DIF_Target]],1,0,L$3,1)))/3,Tab.o1[[#This Row],[DIF_Target]])</f>
        <v/>
      </c>
      <c r="M570" s="118" t="str">
        <f>IF(Tab.o1[[#This Row],[a1]]=1,NORMSDIST(Tab.o1[[#This Row],[Za]]),"")</f>
        <v/>
      </c>
      <c r="N570" s="119" t="str">
        <f>IF(Tab.o1[[#This Row],[a1]]=1,((Tab.o1[[#This Row],[MedMod]]-AVERAGE(Tab.o1[MedMod]))/_xlfn.STDEV.P(Tab.o1[MedMod])*H$1205)+G$1205,"")</f>
        <v/>
      </c>
      <c r="O570" s="141" t="str">
        <f>IF(Tab.o1[[#This Row],[a1]]=1,Tab.o1[[#This Row],[Zb]]*_xlfn.STDEV.P(Tab.o1[MedMod])+AVERAGE(Tab.o1[MedMod]),"")</f>
        <v/>
      </c>
      <c r="P570" s="117" t="str">
        <f ca="1">IF(Tab.o1[[#This Row],[B]]=0,AVERAGE(OFFSET(Tab.o1[[#This Row],[B]],1,0,L$3,1)),Tab.o1[[#This Row],[B]])</f>
        <v/>
      </c>
      <c r="Q570" s="121" t="str">
        <f>IF(Tab.o1[[#This Row],[a1]]=1,NORMSDIST(Tab.o1[[#This Row],[Zb]]),"")</f>
        <v/>
      </c>
      <c r="R570" s="122" t="str">
        <f>IF(Tab.o1[[#This Row],[a1]]=1,((Tab.o1[[#This Row],[MedMod]]-AVERAGE(Tab.o1[MedMod]))/_xlfn.STDEV.P(Tab.o1[MedMod])*H$1203)+G$1203,"")</f>
        <v/>
      </c>
      <c r="S570" s="122" t="str">
        <f>IF(Tab.o1[[#This Row],[a1]]=1,((Tab.o1[[#This Row],[MedMod]]-AVERAGE(Tab.o1[MedMod]))/_xlfn.STDEV.P(Tab.o1[MedMod])*H$1204)+G$1204,"")</f>
        <v/>
      </c>
      <c r="T570" s="123" t="str">
        <f>IF(Tab.o1[[#This Row],[a1]]=1,Tab.o1[[#This Row],[Z-]]*_xlfn.STDEV.P(Tab.o1[B])+AVERAGE(Tab.o1[B]),"")</f>
        <v/>
      </c>
      <c r="U570" s="123" t="str">
        <f>IF(Tab.o1[[#This Row],[a1]]=1,Tab.o1[[#This Row],[z+]]*_xlfn.STDEV.P(Tab.o1[B])+AVERAGE(Tab.o1[B]),"")</f>
        <v/>
      </c>
      <c r="V570" s="124" t="str">
        <f>IF(Tab.o1[[#This Row],[a1]]=1,ABS((ABS(Tab.o1[[#This Row],[Red]]-Tab.o1[[#This Row],[Blue]]))),"")</f>
        <v/>
      </c>
      <c r="W570" s="125" t="str">
        <f>IF(Tab.o1[[#This Row],[a1]]=1,IF(W$3=0,1,Tab.o1[[#This Row],[Amp.]]*1/_xlfn.MINIFS(Tab.o1[Amp.],Tab.o1[Amp.],"&lt;&gt;0")),"")</f>
        <v/>
      </c>
      <c r="X570" s="126" t="str">
        <f>IF(Tab.o1[[#This Row],[a1]]=1,IF(ISNUMBER(Tab.o1[[#This Row],[i.]]),NORMDIST(Tab.o1[[#This Row],[Za]],0,1,FALSE)*Tab.o1[[#This Row],[i.]],AP$3),"")</f>
        <v/>
      </c>
      <c r="Y570" s="126" t="str">
        <f>IF(Tab.o1[[#This Row],[a1]]=1,0.01+0.94*Tab.o1[[#This Row],[PDF]]/MAX(Tab.o1[PDF]),"")</f>
        <v/>
      </c>
      <c r="Z570" s="126" t="str">
        <f>IF(Tab.o1[[#This Row],[a1]]=1,0.01+0.94*Tab.o1[[#This Row],[W1_PDF]]/MAX(Tab.o1[W1_PDF]),"")</f>
        <v/>
      </c>
      <c r="AA570" s="118" t="str">
        <f>IF(Tab.o1[[#This Row],[a1]]=1,ABS([1]!T.in.A[[#This Row],[oo6]]),"")</f>
        <v/>
      </c>
      <c r="AB570" s="127" t="str">
        <f>IF(Tab.o1[[#This Row],[a1]]=1,IF(AE$3=0,"",IF(AB$3=0,ABS([1]!T.in.A[[#This Row],[oo9]]),ABS(Tab.o1[[#This Row],[DIF_Target.]]*Tab.o1[[#This Row],[W1_PDF]]))),"")</f>
        <v/>
      </c>
      <c r="AC570" s="127" t="str">
        <f>IF(G$1=1,"",IF(Tab.o1[[#This Row],[a1]]=1,Tab.o1[[#This Row],[Wr]]^2,""))</f>
        <v/>
      </c>
      <c r="AD570" s="118" t="str">
        <f>IF(Tab.o1[[#This Row],[a1]]=1,IF(AE$3=0,"",Tab.o1[[#This Row],[Wr2]]/SUM(Tab.o1[Wr2])),"")</f>
        <v/>
      </c>
      <c r="AE570" s="128" t="str">
        <f>IF(Tab.o1[[#This Row],[a1]]=1,[1]!T.in.A[[#This Row],[oo10]],"")</f>
        <v/>
      </c>
      <c r="AF570" s="118" t="str">
        <f>IF(Tab.o1[[#This Row],[a1]]=1,ABS(Tab.o1[[#This Row],[DIF_Target.]]*Tab.o1[[#This Row],[PDF2]]*Tab.o1[[#This Row],[IN]]),"")</f>
        <v/>
      </c>
      <c r="AG570" s="129" t="str">
        <f>IF(Tab.o1[[#This Row],[a1]]=1,Tab.o1[[#This Row],[rW]]^2,"")</f>
        <v/>
      </c>
      <c r="AH570" s="130" t="str">
        <f>IF(Tab.o1[[#This Row],[a1]]=1,IF(AH$3=0,Tab.o1[[#This Row],[rW2]],0.01+0.94*Tab.o1[[#This Row],[rW2]]/SUM(Tab.o1[rW2])),"")</f>
        <v/>
      </c>
      <c r="AI570" s="128" t="str">
        <f>IF(Tab.o1[[#This Row],[a1]]=1,1/Tab.o1[[#This Row],[PDF]],"")</f>
        <v/>
      </c>
      <c r="AJ570" s="131" t="str">
        <f>IF(Tab.o1[[#This Row],[a1]]=1,[1]!T_AA[[#This Row],[IN'']]*[1]!T_AA[[#This Row],[Qde'']],"")</f>
        <v/>
      </c>
      <c r="AK570" s="132" t="str">
        <f>IF(Tab.o1[[#This Row],[a1]]=1,IF(AK$1=1,Tab.o1[[#This Row],[MED]]+Tab.o1[[#This Row],[MOD]]-Tab.o1[[#This Row],[MED]],""),"")</f>
        <v/>
      </c>
      <c r="AL570" s="133" t="str">
        <f>IF(Tab.o1[[#This Row],[a1]]=1,[1]!T.in.A[[#This Row],[oo16]],"")</f>
        <v/>
      </c>
      <c r="AM570" s="133" t="str">
        <f>IF(Tab.o1[[#This Row],[a1]]=1,IF(AM$3=1,[1]!T.in.A[[#This Row],[Σo16]],""),"")</f>
        <v/>
      </c>
      <c r="AN570" s="126" t="str">
        <f>IF(Tab.o1[[#This Row],[a1]]=1,[1]!T.in.A[[#This Row],[Σp5]],"")</f>
        <v/>
      </c>
      <c r="AO570" s="126" t="str">
        <f>IF(Tab.o1[[#This Row],[a1]]=1,IF(AO$3=1,[1]!T.in.A[[#This Row],[Σp5]],""),"")</f>
        <v/>
      </c>
      <c r="AP570" s="110" t="str">
        <f>IF(Tab.o1[[#This Row],[a1]]=1,IF(ISNUMBER(Tab.o1[[#This Row],[i.]]),NORMDIST(Tab.o1[[#This Row],[Za]],0,1,FALSE)*Tab.o1[[#This Row],[i.]],0),"")</f>
        <v/>
      </c>
      <c r="AQ570" s="125" t="str">
        <f>IF(Tab.o1[[#This Row],[a1]]=1,ABS(Tab.o1[[#This Row],[MOD]]-AVERAGE(Tab.o1[MOD])),"")</f>
        <v/>
      </c>
      <c r="AR570" s="134" t="str">
        <f>IF(Tab.o1[[#This Row],[a1]]=1,Tab.o1[[#This Row],[OBS]]/SUM(Tab.o1[OBS]),"")</f>
        <v/>
      </c>
      <c r="AS570" s="135" t="str">
        <f>IF(ISNUMBER(Tab.o1[[#This Row],[a1]]),ROW()-4,"")</f>
        <v/>
      </c>
      <c r="AT570" s="136" t="str">
        <f>Tab.o1[[#This Row],[MOD]]</f>
        <v/>
      </c>
      <c r="AU570" s="137" t="str">
        <f t="shared" si="33"/>
        <v/>
      </c>
      <c r="AV570" s="138" t="str">
        <f t="shared" si="34"/>
        <v/>
      </c>
      <c r="AW570" s="138" t="str">
        <f t="shared" si="35"/>
        <v/>
      </c>
      <c r="AX570" s="139" t="str">
        <f>[1]!T.in.A[[#This Row],[ID_T_manu]]</f>
        <v/>
      </c>
      <c r="AY570" s="140" t="str">
        <f>IF(ISNUMBER(Tab.o1[[#This Row],[a1]]),IF(AND(Tab.o1[[#This Row],[a1]]=1,Tab.o1[[#This Row],[b1]]&lt;=AY$4),#REF!,AY569),"")</f>
        <v/>
      </c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</row>
    <row r="571" spans="1:79" ht="15.75" hidden="1">
      <c r="A571" s="109">
        <v>-1.0000000000000001E-5</v>
      </c>
      <c r="B571" s="110">
        <f t="shared" si="32"/>
        <v>571</v>
      </c>
      <c r="C571" s="111" t="str">
        <f>IF(C$1=[1]!T.in.A[[#This Row],[oo2]],1,"")</f>
        <v/>
      </c>
      <c r="D571" s="112" t="str">
        <f>IF(Tab.o1[[#This Row],[a1]]=1,IF(SUM(C571:C572)=0,0,IF(SUM(C570:C571)=1,1,IF(SUM(C570:C572)&gt;1,D570+1,0))),"")</f>
        <v/>
      </c>
      <c r="E571" s="113" t="str">
        <f>IF(Tab.o1[[#This Row],[a1]]=1,[1]!T.in.A[[#This Row],[oo1]],"")</f>
        <v/>
      </c>
      <c r="F571" s="113" t="str">
        <f>IF(Tab.o1[[#This Row],[a1]]=1,[1]!T.in.A[[#This Row],[pp1]],"")</f>
        <v/>
      </c>
      <c r="G571" s="114" t="str">
        <f>IF(Tab.o1[[#This Row],[a1]]=1,G$2+IF(G$1=1,0,Tab.o1[[#This Row],[.x1]])+[1]!T.in.A[[#This Row],[oo3]],"")</f>
        <v/>
      </c>
      <c r="H571" s="115" t="str">
        <f>IF(Tab.o1[[#This Row],[a1]]=1,IF(H$2=0,0,IF(G$1=1,0,Tab.o1[[#This Row],[.x1]])+[1]!T.in.A[[#This Row],[oo4]]),"")</f>
        <v/>
      </c>
      <c r="I571" s="116" t="str">
        <f>IF(Tab.o1[[#This Row],[a1]]=1,IF(J$2=0,Tab.o1[[#This Row],[MED]],Tab.o1[[#This Row],[MOD]]),"")</f>
        <v/>
      </c>
      <c r="J571" s="116" t="str">
        <f>IF(Tab.o1[[#This Row],[a1]]=1,((Tab.o1[[#This Row],[DIF_Target.]]-AVERAGE(Tab.o1[DIF_Target.]))/_xlfn.STDEV.P(Tab.o1[DIF_Target.])),"")</f>
        <v/>
      </c>
      <c r="K571" s="117" t="str">
        <f>IF(Tab.o1[[#This Row],[a1]]=1,IF(J$2=0,Tab.o1[[#This Row],[MOD]]-Tab.o1[[#This Row],[B]],IF(J$2=1,0,-Tab.o1[[#This Row],[MED]])+Tab.o1[[#This Row],[B]]),"")</f>
        <v/>
      </c>
      <c r="L571" s="117" t="str">
        <f ca="1">IF(Tab.o1[[#This Row],[DIF_Target]]=0,IF(L$2=0,Tab.o1[[#This Row],[DIF_Target]],AVERAGE(OFFSET(Tab.o1[[#This Row],[DIF_Target]],1,0,L$3,1)))/3,Tab.o1[[#This Row],[DIF_Target]])</f>
        <v/>
      </c>
      <c r="M571" s="118" t="str">
        <f>IF(Tab.o1[[#This Row],[a1]]=1,NORMSDIST(Tab.o1[[#This Row],[Za]]),"")</f>
        <v/>
      </c>
      <c r="N571" s="119" t="str">
        <f>IF(Tab.o1[[#This Row],[a1]]=1,((Tab.o1[[#This Row],[MedMod]]-AVERAGE(Tab.o1[MedMod]))/_xlfn.STDEV.P(Tab.o1[MedMod])*H$1205)+G$1205,"")</f>
        <v/>
      </c>
      <c r="O571" s="141" t="str">
        <f>IF(Tab.o1[[#This Row],[a1]]=1,Tab.o1[[#This Row],[Zb]]*_xlfn.STDEV.P(Tab.o1[MedMod])+AVERAGE(Tab.o1[MedMod]),"")</f>
        <v/>
      </c>
      <c r="P571" s="117" t="str">
        <f ca="1">IF(Tab.o1[[#This Row],[B]]=0,AVERAGE(OFFSET(Tab.o1[[#This Row],[B]],1,0,L$3,1)),Tab.o1[[#This Row],[B]])</f>
        <v/>
      </c>
      <c r="Q571" s="121" t="str">
        <f>IF(Tab.o1[[#This Row],[a1]]=1,NORMSDIST(Tab.o1[[#This Row],[Zb]]),"")</f>
        <v/>
      </c>
      <c r="R571" s="122" t="str">
        <f>IF(Tab.o1[[#This Row],[a1]]=1,((Tab.o1[[#This Row],[MedMod]]-AVERAGE(Tab.o1[MedMod]))/_xlfn.STDEV.P(Tab.o1[MedMod])*H$1203)+G$1203,"")</f>
        <v/>
      </c>
      <c r="S571" s="122" t="str">
        <f>IF(Tab.o1[[#This Row],[a1]]=1,((Tab.o1[[#This Row],[MedMod]]-AVERAGE(Tab.o1[MedMod]))/_xlfn.STDEV.P(Tab.o1[MedMod])*H$1204)+G$1204,"")</f>
        <v/>
      </c>
      <c r="T571" s="123" t="str">
        <f>IF(Tab.o1[[#This Row],[a1]]=1,Tab.o1[[#This Row],[Z-]]*_xlfn.STDEV.P(Tab.o1[B])+AVERAGE(Tab.o1[B]),"")</f>
        <v/>
      </c>
      <c r="U571" s="123" t="str">
        <f>IF(Tab.o1[[#This Row],[a1]]=1,Tab.o1[[#This Row],[z+]]*_xlfn.STDEV.P(Tab.o1[B])+AVERAGE(Tab.o1[B]),"")</f>
        <v/>
      </c>
      <c r="V571" s="124" t="str">
        <f>IF(Tab.o1[[#This Row],[a1]]=1,ABS((ABS(Tab.o1[[#This Row],[Red]]-Tab.o1[[#This Row],[Blue]]))),"")</f>
        <v/>
      </c>
      <c r="W571" s="125" t="str">
        <f>IF(Tab.o1[[#This Row],[a1]]=1,IF(W$3=0,1,Tab.o1[[#This Row],[Amp.]]*1/_xlfn.MINIFS(Tab.o1[Amp.],Tab.o1[Amp.],"&lt;&gt;0")),"")</f>
        <v/>
      </c>
      <c r="X571" s="126" t="str">
        <f>IF(Tab.o1[[#This Row],[a1]]=1,IF(ISNUMBER(Tab.o1[[#This Row],[i.]]),NORMDIST(Tab.o1[[#This Row],[Za]],0,1,FALSE)*Tab.o1[[#This Row],[i.]],AP$3),"")</f>
        <v/>
      </c>
      <c r="Y571" s="126" t="str">
        <f>IF(Tab.o1[[#This Row],[a1]]=1,0.01+0.94*Tab.o1[[#This Row],[PDF]]/MAX(Tab.o1[PDF]),"")</f>
        <v/>
      </c>
      <c r="Z571" s="126" t="str">
        <f>IF(Tab.o1[[#This Row],[a1]]=1,0.01+0.94*Tab.o1[[#This Row],[W1_PDF]]/MAX(Tab.o1[W1_PDF]),"")</f>
        <v/>
      </c>
      <c r="AA571" s="118" t="str">
        <f>IF(Tab.o1[[#This Row],[a1]]=1,ABS([1]!T.in.A[[#This Row],[oo6]]),"")</f>
        <v/>
      </c>
      <c r="AB571" s="127" t="str">
        <f>IF(Tab.o1[[#This Row],[a1]]=1,IF(AE$3=0,"",IF(AB$3=0,ABS([1]!T.in.A[[#This Row],[oo9]]),ABS(Tab.o1[[#This Row],[DIF_Target.]]*Tab.o1[[#This Row],[W1_PDF]]))),"")</f>
        <v/>
      </c>
      <c r="AC571" s="127" t="str">
        <f>IF(G$1=1,"",IF(Tab.o1[[#This Row],[a1]]=1,Tab.o1[[#This Row],[Wr]]^2,""))</f>
        <v/>
      </c>
      <c r="AD571" s="118" t="str">
        <f>IF(Tab.o1[[#This Row],[a1]]=1,IF(AE$3=0,"",Tab.o1[[#This Row],[Wr2]]/SUM(Tab.o1[Wr2])),"")</f>
        <v/>
      </c>
      <c r="AE571" s="128" t="str">
        <f>IF(Tab.o1[[#This Row],[a1]]=1,[1]!T.in.A[[#This Row],[oo10]],"")</f>
        <v/>
      </c>
      <c r="AF571" s="118" t="str">
        <f>IF(Tab.o1[[#This Row],[a1]]=1,ABS(Tab.o1[[#This Row],[DIF_Target.]]*Tab.o1[[#This Row],[PDF2]]*Tab.o1[[#This Row],[IN]]),"")</f>
        <v/>
      </c>
      <c r="AG571" s="129" t="str">
        <f>IF(Tab.o1[[#This Row],[a1]]=1,Tab.o1[[#This Row],[rW]]^2,"")</f>
        <v/>
      </c>
      <c r="AH571" s="130" t="str">
        <f>IF(Tab.o1[[#This Row],[a1]]=1,IF(AH$3=0,Tab.o1[[#This Row],[rW2]],0.01+0.94*Tab.o1[[#This Row],[rW2]]/SUM(Tab.o1[rW2])),"")</f>
        <v/>
      </c>
      <c r="AI571" s="128" t="str">
        <f>IF(Tab.o1[[#This Row],[a1]]=1,1/Tab.o1[[#This Row],[PDF]],"")</f>
        <v/>
      </c>
      <c r="AJ571" s="131" t="str">
        <f>IF(Tab.o1[[#This Row],[a1]]=1,[1]!T_AA[[#This Row],[IN'']]*[1]!T_AA[[#This Row],[Qde'']],"")</f>
        <v/>
      </c>
      <c r="AK571" s="132" t="str">
        <f>IF(Tab.o1[[#This Row],[a1]]=1,IF(AK$1=1,Tab.o1[[#This Row],[MED]]+Tab.o1[[#This Row],[MOD]]-Tab.o1[[#This Row],[MED]],""),"")</f>
        <v/>
      </c>
      <c r="AL571" s="133" t="str">
        <f>IF(Tab.o1[[#This Row],[a1]]=1,[1]!T.in.A[[#This Row],[oo16]],"")</f>
        <v/>
      </c>
      <c r="AM571" s="133" t="str">
        <f>IF(Tab.o1[[#This Row],[a1]]=1,IF(AM$3=1,[1]!T.in.A[[#This Row],[Σo16]],""),"")</f>
        <v/>
      </c>
      <c r="AN571" s="126" t="str">
        <f>IF(Tab.o1[[#This Row],[a1]]=1,[1]!T.in.A[[#This Row],[Σp5]],"")</f>
        <v/>
      </c>
      <c r="AO571" s="126" t="str">
        <f>IF(Tab.o1[[#This Row],[a1]]=1,IF(AO$3=1,[1]!T.in.A[[#This Row],[Σp5]],""),"")</f>
        <v/>
      </c>
      <c r="AP571" s="110" t="str">
        <f>IF(Tab.o1[[#This Row],[a1]]=1,IF(ISNUMBER(Tab.o1[[#This Row],[i.]]),NORMDIST(Tab.o1[[#This Row],[Za]],0,1,FALSE)*Tab.o1[[#This Row],[i.]],0),"")</f>
        <v/>
      </c>
      <c r="AQ571" s="125" t="str">
        <f>IF(Tab.o1[[#This Row],[a1]]=1,ABS(Tab.o1[[#This Row],[MOD]]-AVERAGE(Tab.o1[MOD])),"")</f>
        <v/>
      </c>
      <c r="AR571" s="134" t="str">
        <f>IF(Tab.o1[[#This Row],[a1]]=1,Tab.o1[[#This Row],[OBS]]/SUM(Tab.o1[OBS]),"")</f>
        <v/>
      </c>
      <c r="AS571" s="135" t="str">
        <f>IF(ISNUMBER(Tab.o1[[#This Row],[a1]]),ROW()-4,"")</f>
        <v/>
      </c>
      <c r="AT571" s="136" t="str">
        <f>Tab.o1[[#This Row],[MOD]]</f>
        <v/>
      </c>
      <c r="AU571" s="137" t="str">
        <f t="shared" si="33"/>
        <v/>
      </c>
      <c r="AV571" s="138" t="str">
        <f t="shared" si="34"/>
        <v/>
      </c>
      <c r="AW571" s="138" t="str">
        <f t="shared" si="35"/>
        <v/>
      </c>
      <c r="AX571" s="139" t="str">
        <f>[1]!T.in.A[[#This Row],[ID_T_manu]]</f>
        <v/>
      </c>
      <c r="AY571" s="140" t="str">
        <f>IF(ISNUMBER(Tab.o1[[#This Row],[a1]]),IF(AND(Tab.o1[[#This Row],[a1]]=1,Tab.o1[[#This Row],[b1]]&lt;=AY$4),#REF!,AY570),"")</f>
        <v/>
      </c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</row>
    <row r="572" spans="1:79" ht="15.75" hidden="1">
      <c r="A572" s="109">
        <v>9.0000000000000002E-6</v>
      </c>
      <c r="B572" s="110">
        <f t="shared" si="32"/>
        <v>572</v>
      </c>
      <c r="C572" s="111" t="str">
        <f>IF(C$1=[1]!T.in.A[[#This Row],[oo2]],1,"")</f>
        <v/>
      </c>
      <c r="D572" s="112" t="str">
        <f>IF(Tab.o1[[#This Row],[a1]]=1,IF(SUM(C572:C573)=0,0,IF(SUM(C571:C572)=1,1,IF(SUM(C571:C573)&gt;1,D571+1,0))),"")</f>
        <v/>
      </c>
      <c r="E572" s="113" t="str">
        <f>IF(Tab.o1[[#This Row],[a1]]=1,[1]!T.in.A[[#This Row],[oo1]],"")</f>
        <v/>
      </c>
      <c r="F572" s="113" t="str">
        <f>IF(Tab.o1[[#This Row],[a1]]=1,[1]!T.in.A[[#This Row],[pp1]],"")</f>
        <v/>
      </c>
      <c r="G572" s="114" t="str">
        <f>IF(Tab.o1[[#This Row],[a1]]=1,G$2+IF(G$1=1,0,Tab.o1[[#This Row],[.x1]])+[1]!T.in.A[[#This Row],[oo3]],"")</f>
        <v/>
      </c>
      <c r="H572" s="115" t="str">
        <f>IF(Tab.o1[[#This Row],[a1]]=1,IF(H$2=0,0,IF(G$1=1,0,Tab.o1[[#This Row],[.x1]])+[1]!T.in.A[[#This Row],[oo4]]),"")</f>
        <v/>
      </c>
      <c r="I572" s="116" t="str">
        <f>IF(Tab.o1[[#This Row],[a1]]=1,IF(J$2=0,Tab.o1[[#This Row],[MED]],Tab.o1[[#This Row],[MOD]]),"")</f>
        <v/>
      </c>
      <c r="J572" s="116" t="str">
        <f>IF(Tab.o1[[#This Row],[a1]]=1,((Tab.o1[[#This Row],[DIF_Target.]]-AVERAGE(Tab.o1[DIF_Target.]))/_xlfn.STDEV.P(Tab.o1[DIF_Target.])),"")</f>
        <v/>
      </c>
      <c r="K572" s="117" t="str">
        <f>IF(Tab.o1[[#This Row],[a1]]=1,IF(J$2=0,Tab.o1[[#This Row],[MOD]]-Tab.o1[[#This Row],[B]],IF(J$2=1,0,-Tab.o1[[#This Row],[MED]])+Tab.o1[[#This Row],[B]]),"")</f>
        <v/>
      </c>
      <c r="L572" s="117" t="str">
        <f ca="1">IF(Tab.o1[[#This Row],[DIF_Target]]=0,IF(L$2=0,Tab.o1[[#This Row],[DIF_Target]],AVERAGE(OFFSET(Tab.o1[[#This Row],[DIF_Target]],1,0,L$3,1)))/3,Tab.o1[[#This Row],[DIF_Target]])</f>
        <v/>
      </c>
      <c r="M572" s="118" t="str">
        <f>IF(Tab.o1[[#This Row],[a1]]=1,NORMSDIST(Tab.o1[[#This Row],[Za]]),"")</f>
        <v/>
      </c>
      <c r="N572" s="119" t="str">
        <f>IF(Tab.o1[[#This Row],[a1]]=1,((Tab.o1[[#This Row],[MedMod]]-AVERAGE(Tab.o1[MedMod]))/_xlfn.STDEV.P(Tab.o1[MedMod])*H$1205)+G$1205,"")</f>
        <v/>
      </c>
      <c r="O572" s="141" t="str">
        <f>IF(Tab.o1[[#This Row],[a1]]=1,Tab.o1[[#This Row],[Zb]]*_xlfn.STDEV.P(Tab.o1[MedMod])+AVERAGE(Tab.o1[MedMod]),"")</f>
        <v/>
      </c>
      <c r="P572" s="117" t="str">
        <f ca="1">IF(Tab.o1[[#This Row],[B]]=0,AVERAGE(OFFSET(Tab.o1[[#This Row],[B]],1,0,L$3,1)),Tab.o1[[#This Row],[B]])</f>
        <v/>
      </c>
      <c r="Q572" s="121" t="str">
        <f>IF(Tab.o1[[#This Row],[a1]]=1,NORMSDIST(Tab.o1[[#This Row],[Zb]]),"")</f>
        <v/>
      </c>
      <c r="R572" s="122" t="str">
        <f>IF(Tab.o1[[#This Row],[a1]]=1,((Tab.o1[[#This Row],[MedMod]]-AVERAGE(Tab.o1[MedMod]))/_xlfn.STDEV.P(Tab.o1[MedMod])*H$1203)+G$1203,"")</f>
        <v/>
      </c>
      <c r="S572" s="122" t="str">
        <f>IF(Tab.o1[[#This Row],[a1]]=1,((Tab.o1[[#This Row],[MedMod]]-AVERAGE(Tab.o1[MedMod]))/_xlfn.STDEV.P(Tab.o1[MedMod])*H$1204)+G$1204,"")</f>
        <v/>
      </c>
      <c r="T572" s="123" t="str">
        <f>IF(Tab.o1[[#This Row],[a1]]=1,Tab.o1[[#This Row],[Z-]]*_xlfn.STDEV.P(Tab.o1[B])+AVERAGE(Tab.o1[B]),"")</f>
        <v/>
      </c>
      <c r="U572" s="123" t="str">
        <f>IF(Tab.o1[[#This Row],[a1]]=1,Tab.o1[[#This Row],[z+]]*_xlfn.STDEV.P(Tab.o1[B])+AVERAGE(Tab.o1[B]),"")</f>
        <v/>
      </c>
      <c r="V572" s="124" t="str">
        <f>IF(Tab.o1[[#This Row],[a1]]=1,ABS((ABS(Tab.o1[[#This Row],[Red]]-Tab.o1[[#This Row],[Blue]]))),"")</f>
        <v/>
      </c>
      <c r="W572" s="125" t="str">
        <f>IF(Tab.o1[[#This Row],[a1]]=1,IF(W$3=0,1,Tab.o1[[#This Row],[Amp.]]*1/_xlfn.MINIFS(Tab.o1[Amp.],Tab.o1[Amp.],"&lt;&gt;0")),"")</f>
        <v/>
      </c>
      <c r="X572" s="126" t="str">
        <f>IF(Tab.o1[[#This Row],[a1]]=1,IF(ISNUMBER(Tab.o1[[#This Row],[i.]]),NORMDIST(Tab.o1[[#This Row],[Za]],0,1,FALSE)*Tab.o1[[#This Row],[i.]],AP$3),"")</f>
        <v/>
      </c>
      <c r="Y572" s="126" t="str">
        <f>IF(Tab.o1[[#This Row],[a1]]=1,0.01+0.94*Tab.o1[[#This Row],[PDF]]/MAX(Tab.o1[PDF]),"")</f>
        <v/>
      </c>
      <c r="Z572" s="126" t="str">
        <f>IF(Tab.o1[[#This Row],[a1]]=1,0.01+0.94*Tab.o1[[#This Row],[W1_PDF]]/MAX(Tab.o1[W1_PDF]),"")</f>
        <v/>
      </c>
      <c r="AA572" s="118" t="str">
        <f>IF(Tab.o1[[#This Row],[a1]]=1,ABS([1]!T.in.A[[#This Row],[oo6]]),"")</f>
        <v/>
      </c>
      <c r="AB572" s="127" t="str">
        <f>IF(Tab.o1[[#This Row],[a1]]=1,IF(AE$3=0,"",IF(AB$3=0,ABS([1]!T.in.A[[#This Row],[oo9]]),ABS(Tab.o1[[#This Row],[DIF_Target.]]*Tab.o1[[#This Row],[W1_PDF]]))),"")</f>
        <v/>
      </c>
      <c r="AC572" s="127" t="str">
        <f>IF(G$1=1,"",IF(Tab.o1[[#This Row],[a1]]=1,Tab.o1[[#This Row],[Wr]]^2,""))</f>
        <v/>
      </c>
      <c r="AD572" s="118" t="str">
        <f>IF(Tab.o1[[#This Row],[a1]]=1,IF(AE$3=0,"",Tab.o1[[#This Row],[Wr2]]/SUM(Tab.o1[Wr2])),"")</f>
        <v/>
      </c>
      <c r="AE572" s="128" t="str">
        <f>IF(Tab.o1[[#This Row],[a1]]=1,[1]!T.in.A[[#This Row],[oo10]],"")</f>
        <v/>
      </c>
      <c r="AF572" s="118" t="str">
        <f>IF(Tab.o1[[#This Row],[a1]]=1,ABS(Tab.o1[[#This Row],[DIF_Target.]]*Tab.o1[[#This Row],[PDF2]]*Tab.o1[[#This Row],[IN]]),"")</f>
        <v/>
      </c>
      <c r="AG572" s="129" t="str">
        <f>IF(Tab.o1[[#This Row],[a1]]=1,Tab.o1[[#This Row],[rW]]^2,"")</f>
        <v/>
      </c>
      <c r="AH572" s="130" t="str">
        <f>IF(Tab.o1[[#This Row],[a1]]=1,IF(AH$3=0,Tab.o1[[#This Row],[rW2]],0.01+0.94*Tab.o1[[#This Row],[rW2]]/SUM(Tab.o1[rW2])),"")</f>
        <v/>
      </c>
      <c r="AI572" s="128" t="str">
        <f>IF(Tab.o1[[#This Row],[a1]]=1,1/Tab.o1[[#This Row],[PDF]],"")</f>
        <v/>
      </c>
      <c r="AJ572" s="131" t="str">
        <f>IF(Tab.o1[[#This Row],[a1]]=1,[1]!T_AA[[#This Row],[IN'']]*[1]!T_AA[[#This Row],[Qde'']],"")</f>
        <v/>
      </c>
      <c r="AK572" s="132" t="str">
        <f>IF(Tab.o1[[#This Row],[a1]]=1,IF(AK$1=1,Tab.o1[[#This Row],[MED]]+Tab.o1[[#This Row],[MOD]]-Tab.o1[[#This Row],[MED]],""),"")</f>
        <v/>
      </c>
      <c r="AL572" s="133" t="str">
        <f>IF(Tab.o1[[#This Row],[a1]]=1,[1]!T.in.A[[#This Row],[oo16]],"")</f>
        <v/>
      </c>
      <c r="AM572" s="133" t="str">
        <f>IF(Tab.o1[[#This Row],[a1]]=1,IF(AM$3=1,[1]!T.in.A[[#This Row],[Σo16]],""),"")</f>
        <v/>
      </c>
      <c r="AN572" s="126" t="str">
        <f>IF(Tab.o1[[#This Row],[a1]]=1,[1]!T.in.A[[#This Row],[Σp5]],"")</f>
        <v/>
      </c>
      <c r="AO572" s="126" t="str">
        <f>IF(Tab.o1[[#This Row],[a1]]=1,IF(AO$3=1,[1]!T.in.A[[#This Row],[Σp5]],""),"")</f>
        <v/>
      </c>
      <c r="AP572" s="110" t="str">
        <f>IF(Tab.o1[[#This Row],[a1]]=1,IF(ISNUMBER(Tab.o1[[#This Row],[i.]]),NORMDIST(Tab.o1[[#This Row],[Za]],0,1,FALSE)*Tab.o1[[#This Row],[i.]],0),"")</f>
        <v/>
      </c>
      <c r="AQ572" s="125" t="str">
        <f>IF(Tab.o1[[#This Row],[a1]]=1,ABS(Tab.o1[[#This Row],[MOD]]-AVERAGE(Tab.o1[MOD])),"")</f>
        <v/>
      </c>
      <c r="AR572" s="134" t="str">
        <f>IF(Tab.o1[[#This Row],[a1]]=1,Tab.o1[[#This Row],[OBS]]/SUM(Tab.o1[OBS]),"")</f>
        <v/>
      </c>
      <c r="AS572" s="135" t="str">
        <f>IF(ISNUMBER(Tab.o1[[#This Row],[a1]]),ROW()-4,"")</f>
        <v/>
      </c>
      <c r="AT572" s="136" t="str">
        <f>Tab.o1[[#This Row],[MOD]]</f>
        <v/>
      </c>
      <c r="AU572" s="137" t="str">
        <f t="shared" si="33"/>
        <v/>
      </c>
      <c r="AV572" s="138" t="str">
        <f t="shared" si="34"/>
        <v/>
      </c>
      <c r="AW572" s="138" t="str">
        <f t="shared" si="35"/>
        <v/>
      </c>
      <c r="AX572" s="139" t="str">
        <f>[1]!T.in.A[[#This Row],[ID_T_manu]]</f>
        <v/>
      </c>
      <c r="AY572" s="140" t="str">
        <f>IF(ISNUMBER(Tab.o1[[#This Row],[a1]]),IF(AND(Tab.o1[[#This Row],[a1]]=1,Tab.o1[[#This Row],[b1]]&lt;=AY$4),#REF!,AY571),"")</f>
        <v/>
      </c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</row>
    <row r="573" spans="1:79" ht="15.75" hidden="1">
      <c r="A573" s="109">
        <v>-6.9999999999999999E-6</v>
      </c>
      <c r="B573" s="110">
        <f t="shared" si="32"/>
        <v>573</v>
      </c>
      <c r="C573" s="111" t="str">
        <f>IF(C$1=[1]!T.in.A[[#This Row],[oo2]],1,"")</f>
        <v/>
      </c>
      <c r="D573" s="112" t="str">
        <f>IF(Tab.o1[[#This Row],[a1]]=1,IF(SUM(C573:C574)=0,0,IF(SUM(C572:C573)=1,1,IF(SUM(C572:C574)&gt;1,D572+1,0))),"")</f>
        <v/>
      </c>
      <c r="E573" s="113" t="str">
        <f>IF(Tab.o1[[#This Row],[a1]]=1,[1]!T.in.A[[#This Row],[oo1]],"")</f>
        <v/>
      </c>
      <c r="F573" s="113" t="str">
        <f>IF(Tab.o1[[#This Row],[a1]]=1,[1]!T.in.A[[#This Row],[pp1]],"")</f>
        <v/>
      </c>
      <c r="G573" s="114" t="str">
        <f>IF(Tab.o1[[#This Row],[a1]]=1,G$2+IF(G$1=1,0,Tab.o1[[#This Row],[.x1]])+[1]!T.in.A[[#This Row],[oo3]],"")</f>
        <v/>
      </c>
      <c r="H573" s="115" t="str">
        <f>IF(Tab.o1[[#This Row],[a1]]=1,IF(H$2=0,0,IF(G$1=1,0,Tab.o1[[#This Row],[.x1]])+[1]!T.in.A[[#This Row],[oo4]]),"")</f>
        <v/>
      </c>
      <c r="I573" s="116" t="str">
        <f>IF(Tab.o1[[#This Row],[a1]]=1,IF(J$2=0,Tab.o1[[#This Row],[MED]],Tab.o1[[#This Row],[MOD]]),"")</f>
        <v/>
      </c>
      <c r="J573" s="116" t="str">
        <f>IF(Tab.o1[[#This Row],[a1]]=1,((Tab.o1[[#This Row],[DIF_Target.]]-AVERAGE(Tab.o1[DIF_Target.]))/_xlfn.STDEV.P(Tab.o1[DIF_Target.])),"")</f>
        <v/>
      </c>
      <c r="K573" s="117" t="str">
        <f>IF(Tab.o1[[#This Row],[a1]]=1,IF(J$2=0,Tab.o1[[#This Row],[MOD]]-Tab.o1[[#This Row],[B]],IF(J$2=1,0,-Tab.o1[[#This Row],[MED]])+Tab.o1[[#This Row],[B]]),"")</f>
        <v/>
      </c>
      <c r="L573" s="117" t="str">
        <f ca="1">IF(Tab.o1[[#This Row],[DIF_Target]]=0,IF(L$2=0,Tab.o1[[#This Row],[DIF_Target]],AVERAGE(OFFSET(Tab.o1[[#This Row],[DIF_Target]],1,0,L$3,1)))/3,Tab.o1[[#This Row],[DIF_Target]])</f>
        <v/>
      </c>
      <c r="M573" s="118" t="str">
        <f>IF(Tab.o1[[#This Row],[a1]]=1,NORMSDIST(Tab.o1[[#This Row],[Za]]),"")</f>
        <v/>
      </c>
      <c r="N573" s="119" t="str">
        <f>IF(Tab.o1[[#This Row],[a1]]=1,((Tab.o1[[#This Row],[MedMod]]-AVERAGE(Tab.o1[MedMod]))/_xlfn.STDEV.P(Tab.o1[MedMod])*H$1205)+G$1205,"")</f>
        <v/>
      </c>
      <c r="O573" s="141" t="str">
        <f>IF(Tab.o1[[#This Row],[a1]]=1,Tab.o1[[#This Row],[Zb]]*_xlfn.STDEV.P(Tab.o1[MedMod])+AVERAGE(Tab.o1[MedMod]),"")</f>
        <v/>
      </c>
      <c r="P573" s="117" t="str">
        <f ca="1">IF(Tab.o1[[#This Row],[B]]=0,AVERAGE(OFFSET(Tab.o1[[#This Row],[B]],1,0,L$3,1)),Tab.o1[[#This Row],[B]])</f>
        <v/>
      </c>
      <c r="Q573" s="121" t="str">
        <f>IF(Tab.o1[[#This Row],[a1]]=1,NORMSDIST(Tab.o1[[#This Row],[Zb]]),"")</f>
        <v/>
      </c>
      <c r="R573" s="122" t="str">
        <f>IF(Tab.o1[[#This Row],[a1]]=1,((Tab.o1[[#This Row],[MedMod]]-AVERAGE(Tab.o1[MedMod]))/_xlfn.STDEV.P(Tab.o1[MedMod])*H$1203)+G$1203,"")</f>
        <v/>
      </c>
      <c r="S573" s="122" t="str">
        <f>IF(Tab.o1[[#This Row],[a1]]=1,((Tab.o1[[#This Row],[MedMod]]-AVERAGE(Tab.o1[MedMod]))/_xlfn.STDEV.P(Tab.o1[MedMod])*H$1204)+G$1204,"")</f>
        <v/>
      </c>
      <c r="T573" s="123" t="str">
        <f>IF(Tab.o1[[#This Row],[a1]]=1,Tab.o1[[#This Row],[Z-]]*_xlfn.STDEV.P(Tab.o1[B])+AVERAGE(Tab.o1[B]),"")</f>
        <v/>
      </c>
      <c r="U573" s="123" t="str">
        <f>IF(Tab.o1[[#This Row],[a1]]=1,Tab.o1[[#This Row],[z+]]*_xlfn.STDEV.P(Tab.o1[B])+AVERAGE(Tab.o1[B]),"")</f>
        <v/>
      </c>
      <c r="V573" s="124" t="str">
        <f>IF(Tab.o1[[#This Row],[a1]]=1,ABS((ABS(Tab.o1[[#This Row],[Red]]-Tab.o1[[#This Row],[Blue]]))),"")</f>
        <v/>
      </c>
      <c r="W573" s="125" t="str">
        <f>IF(Tab.o1[[#This Row],[a1]]=1,IF(W$3=0,1,Tab.o1[[#This Row],[Amp.]]*1/_xlfn.MINIFS(Tab.o1[Amp.],Tab.o1[Amp.],"&lt;&gt;0")),"")</f>
        <v/>
      </c>
      <c r="X573" s="126" t="str">
        <f>IF(Tab.o1[[#This Row],[a1]]=1,IF(ISNUMBER(Tab.o1[[#This Row],[i.]]),NORMDIST(Tab.o1[[#This Row],[Za]],0,1,FALSE)*Tab.o1[[#This Row],[i.]],AP$3),"")</f>
        <v/>
      </c>
      <c r="Y573" s="126" t="str">
        <f>IF(Tab.o1[[#This Row],[a1]]=1,0.01+0.94*Tab.o1[[#This Row],[PDF]]/MAX(Tab.o1[PDF]),"")</f>
        <v/>
      </c>
      <c r="Z573" s="126" t="str">
        <f>IF(Tab.o1[[#This Row],[a1]]=1,0.01+0.94*Tab.o1[[#This Row],[W1_PDF]]/MAX(Tab.o1[W1_PDF]),"")</f>
        <v/>
      </c>
      <c r="AA573" s="118" t="str">
        <f>IF(Tab.o1[[#This Row],[a1]]=1,ABS([1]!T.in.A[[#This Row],[oo6]]),"")</f>
        <v/>
      </c>
      <c r="AB573" s="127" t="str">
        <f>IF(Tab.o1[[#This Row],[a1]]=1,IF(AE$3=0,"",IF(AB$3=0,ABS([1]!T.in.A[[#This Row],[oo9]]),ABS(Tab.o1[[#This Row],[DIF_Target.]]*Tab.o1[[#This Row],[W1_PDF]]))),"")</f>
        <v/>
      </c>
      <c r="AC573" s="127" t="str">
        <f>IF(G$1=1,"",IF(Tab.o1[[#This Row],[a1]]=1,Tab.o1[[#This Row],[Wr]]^2,""))</f>
        <v/>
      </c>
      <c r="AD573" s="118" t="str">
        <f>IF(Tab.o1[[#This Row],[a1]]=1,IF(AE$3=0,"",Tab.o1[[#This Row],[Wr2]]/SUM(Tab.o1[Wr2])),"")</f>
        <v/>
      </c>
      <c r="AE573" s="128" t="str">
        <f>IF(Tab.o1[[#This Row],[a1]]=1,[1]!T.in.A[[#This Row],[oo10]],"")</f>
        <v/>
      </c>
      <c r="AF573" s="118" t="str">
        <f>IF(Tab.o1[[#This Row],[a1]]=1,ABS(Tab.o1[[#This Row],[DIF_Target.]]*Tab.o1[[#This Row],[PDF2]]*Tab.o1[[#This Row],[IN]]),"")</f>
        <v/>
      </c>
      <c r="AG573" s="129" t="str">
        <f>IF(Tab.o1[[#This Row],[a1]]=1,Tab.o1[[#This Row],[rW]]^2,"")</f>
        <v/>
      </c>
      <c r="AH573" s="130" t="str">
        <f>IF(Tab.o1[[#This Row],[a1]]=1,IF(AH$3=0,Tab.o1[[#This Row],[rW2]],0.01+0.94*Tab.o1[[#This Row],[rW2]]/SUM(Tab.o1[rW2])),"")</f>
        <v/>
      </c>
      <c r="AI573" s="128" t="str">
        <f>IF(Tab.o1[[#This Row],[a1]]=1,1/Tab.o1[[#This Row],[PDF]],"")</f>
        <v/>
      </c>
      <c r="AJ573" s="131" t="str">
        <f>IF(Tab.o1[[#This Row],[a1]]=1,[1]!T_AA[[#This Row],[IN'']]*[1]!T_AA[[#This Row],[Qde'']],"")</f>
        <v/>
      </c>
      <c r="AK573" s="132" t="str">
        <f>IF(Tab.o1[[#This Row],[a1]]=1,IF(AK$1=1,Tab.o1[[#This Row],[MED]]+Tab.o1[[#This Row],[MOD]]-Tab.o1[[#This Row],[MED]],""),"")</f>
        <v/>
      </c>
      <c r="AL573" s="133" t="str">
        <f>IF(Tab.o1[[#This Row],[a1]]=1,[1]!T.in.A[[#This Row],[oo16]],"")</f>
        <v/>
      </c>
      <c r="AM573" s="133" t="str">
        <f>IF(Tab.o1[[#This Row],[a1]]=1,IF(AM$3=1,[1]!T.in.A[[#This Row],[Σo16]],""),"")</f>
        <v/>
      </c>
      <c r="AN573" s="126" t="str">
        <f>IF(Tab.o1[[#This Row],[a1]]=1,[1]!T.in.A[[#This Row],[Σp5]],"")</f>
        <v/>
      </c>
      <c r="AO573" s="126" t="str">
        <f>IF(Tab.o1[[#This Row],[a1]]=1,IF(AO$3=1,[1]!T.in.A[[#This Row],[Σp5]],""),"")</f>
        <v/>
      </c>
      <c r="AP573" s="110" t="str">
        <f>IF(Tab.o1[[#This Row],[a1]]=1,IF(ISNUMBER(Tab.o1[[#This Row],[i.]]),NORMDIST(Tab.o1[[#This Row],[Za]],0,1,FALSE)*Tab.o1[[#This Row],[i.]],0),"")</f>
        <v/>
      </c>
      <c r="AQ573" s="125" t="str">
        <f>IF(Tab.o1[[#This Row],[a1]]=1,ABS(Tab.o1[[#This Row],[MOD]]-AVERAGE(Tab.o1[MOD])),"")</f>
        <v/>
      </c>
      <c r="AR573" s="134" t="str">
        <f>IF(Tab.o1[[#This Row],[a1]]=1,Tab.o1[[#This Row],[OBS]]/SUM(Tab.o1[OBS]),"")</f>
        <v/>
      </c>
      <c r="AS573" s="135" t="str">
        <f>IF(ISNUMBER(Tab.o1[[#This Row],[a1]]),ROW()-4,"")</f>
        <v/>
      </c>
      <c r="AT573" s="136" t="str">
        <f>Tab.o1[[#This Row],[MOD]]</f>
        <v/>
      </c>
      <c r="AU573" s="137" t="str">
        <f t="shared" si="33"/>
        <v/>
      </c>
      <c r="AV573" s="138" t="str">
        <f t="shared" si="34"/>
        <v/>
      </c>
      <c r="AW573" s="138" t="str">
        <f t="shared" si="35"/>
        <v/>
      </c>
      <c r="AX573" s="139" t="str">
        <f>[1]!T.in.A[[#This Row],[ID_T_manu]]</f>
        <v/>
      </c>
      <c r="AY573" s="140" t="str">
        <f>IF(ISNUMBER(Tab.o1[[#This Row],[a1]]),IF(AND(Tab.o1[[#This Row],[a1]]=1,Tab.o1[[#This Row],[b1]]&lt;=AY$4),#REF!,AY572),"")</f>
        <v/>
      </c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</row>
    <row r="574" spans="1:79" ht="15.75" hidden="1">
      <c r="A574" s="109">
        <v>-9.0000000000000002E-6</v>
      </c>
      <c r="B574" s="110">
        <f t="shared" si="32"/>
        <v>574</v>
      </c>
      <c r="C574" s="111" t="str">
        <f>IF(C$1=[1]!T.in.A[[#This Row],[oo2]],1,"")</f>
        <v/>
      </c>
      <c r="D574" s="112" t="str">
        <f>IF(Tab.o1[[#This Row],[a1]]=1,IF(SUM(C574:C575)=0,0,IF(SUM(C573:C574)=1,1,IF(SUM(C573:C575)&gt;1,D573+1,0))),"")</f>
        <v/>
      </c>
      <c r="E574" s="113" t="str">
        <f>IF(Tab.o1[[#This Row],[a1]]=1,[1]!T.in.A[[#This Row],[oo1]],"")</f>
        <v/>
      </c>
      <c r="F574" s="113" t="str">
        <f>IF(Tab.o1[[#This Row],[a1]]=1,[1]!T.in.A[[#This Row],[pp1]],"")</f>
        <v/>
      </c>
      <c r="G574" s="114" t="str">
        <f>IF(Tab.o1[[#This Row],[a1]]=1,G$2+IF(G$1=1,0,Tab.o1[[#This Row],[.x1]])+[1]!T.in.A[[#This Row],[oo3]],"")</f>
        <v/>
      </c>
      <c r="H574" s="115" t="str">
        <f>IF(Tab.o1[[#This Row],[a1]]=1,IF(H$2=0,0,IF(G$1=1,0,Tab.o1[[#This Row],[.x1]])+[1]!T.in.A[[#This Row],[oo4]]),"")</f>
        <v/>
      </c>
      <c r="I574" s="116" t="str">
        <f>IF(Tab.o1[[#This Row],[a1]]=1,IF(J$2=0,Tab.o1[[#This Row],[MED]],Tab.o1[[#This Row],[MOD]]),"")</f>
        <v/>
      </c>
      <c r="J574" s="116" t="str">
        <f>IF(Tab.o1[[#This Row],[a1]]=1,((Tab.o1[[#This Row],[DIF_Target.]]-AVERAGE(Tab.o1[DIF_Target.]))/_xlfn.STDEV.P(Tab.o1[DIF_Target.])),"")</f>
        <v/>
      </c>
      <c r="K574" s="117" t="str">
        <f>IF(Tab.o1[[#This Row],[a1]]=1,IF(J$2=0,Tab.o1[[#This Row],[MOD]]-Tab.o1[[#This Row],[B]],IF(J$2=1,0,-Tab.o1[[#This Row],[MED]])+Tab.o1[[#This Row],[B]]),"")</f>
        <v/>
      </c>
      <c r="L574" s="117" t="str">
        <f ca="1">IF(Tab.o1[[#This Row],[DIF_Target]]=0,IF(L$2=0,Tab.o1[[#This Row],[DIF_Target]],AVERAGE(OFFSET(Tab.o1[[#This Row],[DIF_Target]],1,0,L$3,1)))/3,Tab.o1[[#This Row],[DIF_Target]])</f>
        <v/>
      </c>
      <c r="M574" s="118" t="str">
        <f>IF(Tab.o1[[#This Row],[a1]]=1,NORMSDIST(Tab.o1[[#This Row],[Za]]),"")</f>
        <v/>
      </c>
      <c r="N574" s="119" t="str">
        <f>IF(Tab.o1[[#This Row],[a1]]=1,((Tab.o1[[#This Row],[MedMod]]-AVERAGE(Tab.o1[MedMod]))/_xlfn.STDEV.P(Tab.o1[MedMod])*H$1205)+G$1205,"")</f>
        <v/>
      </c>
      <c r="O574" s="141" t="str">
        <f>IF(Tab.o1[[#This Row],[a1]]=1,Tab.o1[[#This Row],[Zb]]*_xlfn.STDEV.P(Tab.o1[MedMod])+AVERAGE(Tab.o1[MedMod]),"")</f>
        <v/>
      </c>
      <c r="P574" s="117" t="str">
        <f ca="1">IF(Tab.o1[[#This Row],[B]]=0,AVERAGE(OFFSET(Tab.o1[[#This Row],[B]],1,0,L$3,1)),Tab.o1[[#This Row],[B]])</f>
        <v/>
      </c>
      <c r="Q574" s="121" t="str">
        <f>IF(Tab.o1[[#This Row],[a1]]=1,NORMSDIST(Tab.o1[[#This Row],[Zb]]),"")</f>
        <v/>
      </c>
      <c r="R574" s="122" t="str">
        <f>IF(Tab.o1[[#This Row],[a1]]=1,((Tab.o1[[#This Row],[MedMod]]-AVERAGE(Tab.o1[MedMod]))/_xlfn.STDEV.P(Tab.o1[MedMod])*H$1203)+G$1203,"")</f>
        <v/>
      </c>
      <c r="S574" s="122" t="str">
        <f>IF(Tab.o1[[#This Row],[a1]]=1,((Tab.o1[[#This Row],[MedMod]]-AVERAGE(Tab.o1[MedMod]))/_xlfn.STDEV.P(Tab.o1[MedMod])*H$1204)+G$1204,"")</f>
        <v/>
      </c>
      <c r="T574" s="123" t="str">
        <f>IF(Tab.o1[[#This Row],[a1]]=1,Tab.o1[[#This Row],[Z-]]*_xlfn.STDEV.P(Tab.o1[B])+AVERAGE(Tab.o1[B]),"")</f>
        <v/>
      </c>
      <c r="U574" s="123" t="str">
        <f>IF(Tab.o1[[#This Row],[a1]]=1,Tab.o1[[#This Row],[z+]]*_xlfn.STDEV.P(Tab.o1[B])+AVERAGE(Tab.o1[B]),"")</f>
        <v/>
      </c>
      <c r="V574" s="124" t="str">
        <f>IF(Tab.o1[[#This Row],[a1]]=1,ABS((ABS(Tab.o1[[#This Row],[Red]]-Tab.o1[[#This Row],[Blue]]))),"")</f>
        <v/>
      </c>
      <c r="W574" s="125" t="str">
        <f>IF(Tab.o1[[#This Row],[a1]]=1,IF(W$3=0,1,Tab.o1[[#This Row],[Amp.]]*1/_xlfn.MINIFS(Tab.o1[Amp.],Tab.o1[Amp.],"&lt;&gt;0")),"")</f>
        <v/>
      </c>
      <c r="X574" s="126" t="str">
        <f>IF(Tab.o1[[#This Row],[a1]]=1,IF(ISNUMBER(Tab.o1[[#This Row],[i.]]),NORMDIST(Tab.o1[[#This Row],[Za]],0,1,FALSE)*Tab.o1[[#This Row],[i.]],AP$3),"")</f>
        <v/>
      </c>
      <c r="Y574" s="126" t="str">
        <f>IF(Tab.o1[[#This Row],[a1]]=1,0.01+0.94*Tab.o1[[#This Row],[PDF]]/MAX(Tab.o1[PDF]),"")</f>
        <v/>
      </c>
      <c r="Z574" s="126" t="str">
        <f>IF(Tab.o1[[#This Row],[a1]]=1,0.01+0.94*Tab.o1[[#This Row],[W1_PDF]]/MAX(Tab.o1[W1_PDF]),"")</f>
        <v/>
      </c>
      <c r="AA574" s="118" t="str">
        <f>IF(Tab.o1[[#This Row],[a1]]=1,ABS([1]!T.in.A[[#This Row],[oo6]]),"")</f>
        <v/>
      </c>
      <c r="AB574" s="127" t="str">
        <f>IF(Tab.o1[[#This Row],[a1]]=1,IF(AE$3=0,"",IF(AB$3=0,ABS([1]!T.in.A[[#This Row],[oo9]]),ABS(Tab.o1[[#This Row],[DIF_Target.]]*Tab.o1[[#This Row],[W1_PDF]]))),"")</f>
        <v/>
      </c>
      <c r="AC574" s="127" t="str">
        <f>IF(G$1=1,"",IF(Tab.o1[[#This Row],[a1]]=1,Tab.o1[[#This Row],[Wr]]^2,""))</f>
        <v/>
      </c>
      <c r="AD574" s="118" t="str">
        <f>IF(Tab.o1[[#This Row],[a1]]=1,IF(AE$3=0,"",Tab.o1[[#This Row],[Wr2]]/SUM(Tab.o1[Wr2])),"")</f>
        <v/>
      </c>
      <c r="AE574" s="128" t="str">
        <f>IF(Tab.o1[[#This Row],[a1]]=1,[1]!T.in.A[[#This Row],[oo10]],"")</f>
        <v/>
      </c>
      <c r="AF574" s="118" t="str">
        <f>IF(Tab.o1[[#This Row],[a1]]=1,ABS(Tab.o1[[#This Row],[DIF_Target.]]*Tab.o1[[#This Row],[PDF2]]*Tab.o1[[#This Row],[IN]]),"")</f>
        <v/>
      </c>
      <c r="AG574" s="129" t="str">
        <f>IF(Tab.o1[[#This Row],[a1]]=1,Tab.o1[[#This Row],[rW]]^2,"")</f>
        <v/>
      </c>
      <c r="AH574" s="130" t="str">
        <f>IF(Tab.o1[[#This Row],[a1]]=1,IF(AH$3=0,Tab.o1[[#This Row],[rW2]],0.01+0.94*Tab.o1[[#This Row],[rW2]]/SUM(Tab.o1[rW2])),"")</f>
        <v/>
      </c>
      <c r="AI574" s="128" t="str">
        <f>IF(Tab.o1[[#This Row],[a1]]=1,1/Tab.o1[[#This Row],[PDF]],"")</f>
        <v/>
      </c>
      <c r="AJ574" s="131" t="str">
        <f>IF(Tab.o1[[#This Row],[a1]]=1,[1]!T_AA[[#This Row],[IN'']]*[1]!T_AA[[#This Row],[Qde'']],"")</f>
        <v/>
      </c>
      <c r="AK574" s="132" t="str">
        <f>IF(Tab.o1[[#This Row],[a1]]=1,IF(AK$1=1,Tab.o1[[#This Row],[MED]]+Tab.o1[[#This Row],[MOD]]-Tab.o1[[#This Row],[MED]],""),"")</f>
        <v/>
      </c>
      <c r="AL574" s="133" t="str">
        <f>IF(Tab.o1[[#This Row],[a1]]=1,[1]!T.in.A[[#This Row],[oo16]],"")</f>
        <v/>
      </c>
      <c r="AM574" s="133" t="str">
        <f>IF(Tab.o1[[#This Row],[a1]]=1,IF(AM$3=1,[1]!T.in.A[[#This Row],[Σo16]],""),"")</f>
        <v/>
      </c>
      <c r="AN574" s="126" t="str">
        <f>IF(Tab.o1[[#This Row],[a1]]=1,[1]!T.in.A[[#This Row],[Σp5]],"")</f>
        <v/>
      </c>
      <c r="AO574" s="126" t="str">
        <f>IF(Tab.o1[[#This Row],[a1]]=1,IF(AO$3=1,[1]!T.in.A[[#This Row],[Σp5]],""),"")</f>
        <v/>
      </c>
      <c r="AP574" s="110" t="str">
        <f>IF(Tab.o1[[#This Row],[a1]]=1,IF(ISNUMBER(Tab.o1[[#This Row],[i.]]),NORMDIST(Tab.o1[[#This Row],[Za]],0,1,FALSE)*Tab.o1[[#This Row],[i.]],0),"")</f>
        <v/>
      </c>
      <c r="AQ574" s="125" t="str">
        <f>IF(Tab.o1[[#This Row],[a1]]=1,ABS(Tab.o1[[#This Row],[MOD]]-AVERAGE(Tab.o1[MOD])),"")</f>
        <v/>
      </c>
      <c r="AR574" s="134" t="str">
        <f>IF(Tab.o1[[#This Row],[a1]]=1,Tab.o1[[#This Row],[OBS]]/SUM(Tab.o1[OBS]),"")</f>
        <v/>
      </c>
      <c r="AS574" s="135" t="str">
        <f>IF(ISNUMBER(Tab.o1[[#This Row],[a1]]),ROW()-4,"")</f>
        <v/>
      </c>
      <c r="AT574" s="136" t="str">
        <f>Tab.o1[[#This Row],[MOD]]</f>
        <v/>
      </c>
      <c r="AU574" s="137" t="str">
        <f t="shared" si="33"/>
        <v/>
      </c>
      <c r="AV574" s="138" t="str">
        <f t="shared" si="34"/>
        <v/>
      </c>
      <c r="AW574" s="138" t="str">
        <f t="shared" si="35"/>
        <v/>
      </c>
      <c r="AX574" s="139" t="str">
        <f>[1]!T.in.A[[#This Row],[ID_T_manu]]</f>
        <v/>
      </c>
      <c r="AY574" s="140" t="str">
        <f>IF(ISNUMBER(Tab.o1[[#This Row],[a1]]),IF(AND(Tab.o1[[#This Row],[a1]]=1,Tab.o1[[#This Row],[b1]]&lt;=AY$4),#REF!,AY573),"")</f>
        <v/>
      </c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</row>
    <row r="575" spans="1:79" ht="15.75" hidden="1">
      <c r="A575" s="109">
        <v>-6.9999999999999999E-6</v>
      </c>
      <c r="B575" s="110">
        <f t="shared" si="32"/>
        <v>575</v>
      </c>
      <c r="C575" s="111" t="str">
        <f>IF(C$1=[1]!T.in.A[[#This Row],[oo2]],1,"")</f>
        <v/>
      </c>
      <c r="D575" s="112" t="str">
        <f>IF(Tab.o1[[#This Row],[a1]]=1,IF(SUM(C575:C576)=0,0,IF(SUM(C574:C575)=1,1,IF(SUM(C574:C576)&gt;1,D574+1,0))),"")</f>
        <v/>
      </c>
      <c r="E575" s="113" t="str">
        <f>IF(Tab.o1[[#This Row],[a1]]=1,[1]!T.in.A[[#This Row],[oo1]],"")</f>
        <v/>
      </c>
      <c r="F575" s="113" t="str">
        <f>IF(Tab.o1[[#This Row],[a1]]=1,[1]!T.in.A[[#This Row],[pp1]],"")</f>
        <v/>
      </c>
      <c r="G575" s="114" t="str">
        <f>IF(Tab.o1[[#This Row],[a1]]=1,G$2+IF(G$1=1,0,Tab.o1[[#This Row],[.x1]])+[1]!T.in.A[[#This Row],[oo3]],"")</f>
        <v/>
      </c>
      <c r="H575" s="115" t="str">
        <f>IF(Tab.o1[[#This Row],[a1]]=1,IF(H$2=0,0,IF(G$1=1,0,Tab.o1[[#This Row],[.x1]])+[1]!T.in.A[[#This Row],[oo4]]),"")</f>
        <v/>
      </c>
      <c r="I575" s="116" t="str">
        <f>IF(Tab.o1[[#This Row],[a1]]=1,IF(J$2=0,Tab.o1[[#This Row],[MED]],Tab.o1[[#This Row],[MOD]]),"")</f>
        <v/>
      </c>
      <c r="J575" s="116" t="str">
        <f>IF(Tab.o1[[#This Row],[a1]]=1,((Tab.o1[[#This Row],[DIF_Target.]]-AVERAGE(Tab.o1[DIF_Target.]))/_xlfn.STDEV.P(Tab.o1[DIF_Target.])),"")</f>
        <v/>
      </c>
      <c r="K575" s="117" t="str">
        <f>IF(Tab.o1[[#This Row],[a1]]=1,IF(J$2=0,Tab.o1[[#This Row],[MOD]]-Tab.o1[[#This Row],[B]],IF(J$2=1,0,-Tab.o1[[#This Row],[MED]])+Tab.o1[[#This Row],[B]]),"")</f>
        <v/>
      </c>
      <c r="L575" s="117" t="str">
        <f ca="1">IF(Tab.o1[[#This Row],[DIF_Target]]=0,IF(L$2=0,Tab.o1[[#This Row],[DIF_Target]],AVERAGE(OFFSET(Tab.o1[[#This Row],[DIF_Target]],1,0,L$3,1)))/3,Tab.o1[[#This Row],[DIF_Target]])</f>
        <v/>
      </c>
      <c r="M575" s="118" t="str">
        <f>IF(Tab.o1[[#This Row],[a1]]=1,NORMSDIST(Tab.o1[[#This Row],[Za]]),"")</f>
        <v/>
      </c>
      <c r="N575" s="119" t="str">
        <f>IF(Tab.o1[[#This Row],[a1]]=1,((Tab.o1[[#This Row],[MedMod]]-AVERAGE(Tab.o1[MedMod]))/_xlfn.STDEV.P(Tab.o1[MedMod])*H$1205)+G$1205,"")</f>
        <v/>
      </c>
      <c r="O575" s="141" t="str">
        <f>IF(Tab.o1[[#This Row],[a1]]=1,Tab.o1[[#This Row],[Zb]]*_xlfn.STDEV.P(Tab.o1[MedMod])+AVERAGE(Tab.o1[MedMod]),"")</f>
        <v/>
      </c>
      <c r="P575" s="117" t="str">
        <f ca="1">IF(Tab.o1[[#This Row],[B]]=0,AVERAGE(OFFSET(Tab.o1[[#This Row],[B]],1,0,L$3,1)),Tab.o1[[#This Row],[B]])</f>
        <v/>
      </c>
      <c r="Q575" s="121" t="str">
        <f>IF(Tab.o1[[#This Row],[a1]]=1,NORMSDIST(Tab.o1[[#This Row],[Zb]]),"")</f>
        <v/>
      </c>
      <c r="R575" s="122" t="str">
        <f>IF(Tab.o1[[#This Row],[a1]]=1,((Tab.o1[[#This Row],[MedMod]]-AVERAGE(Tab.o1[MedMod]))/_xlfn.STDEV.P(Tab.o1[MedMod])*H$1203)+G$1203,"")</f>
        <v/>
      </c>
      <c r="S575" s="122" t="str">
        <f>IF(Tab.o1[[#This Row],[a1]]=1,((Tab.o1[[#This Row],[MedMod]]-AVERAGE(Tab.o1[MedMod]))/_xlfn.STDEV.P(Tab.o1[MedMod])*H$1204)+G$1204,"")</f>
        <v/>
      </c>
      <c r="T575" s="123" t="str">
        <f>IF(Tab.o1[[#This Row],[a1]]=1,Tab.o1[[#This Row],[Z-]]*_xlfn.STDEV.P(Tab.o1[B])+AVERAGE(Tab.o1[B]),"")</f>
        <v/>
      </c>
      <c r="U575" s="123" t="str">
        <f>IF(Tab.o1[[#This Row],[a1]]=1,Tab.o1[[#This Row],[z+]]*_xlfn.STDEV.P(Tab.o1[B])+AVERAGE(Tab.o1[B]),"")</f>
        <v/>
      </c>
      <c r="V575" s="124" t="str">
        <f>IF(Tab.o1[[#This Row],[a1]]=1,ABS((ABS(Tab.o1[[#This Row],[Red]]-Tab.o1[[#This Row],[Blue]]))),"")</f>
        <v/>
      </c>
      <c r="W575" s="125" t="str">
        <f>IF(Tab.o1[[#This Row],[a1]]=1,IF(W$3=0,1,Tab.o1[[#This Row],[Amp.]]*1/_xlfn.MINIFS(Tab.o1[Amp.],Tab.o1[Amp.],"&lt;&gt;0")),"")</f>
        <v/>
      </c>
      <c r="X575" s="126" t="str">
        <f>IF(Tab.o1[[#This Row],[a1]]=1,IF(ISNUMBER(Tab.o1[[#This Row],[i.]]),NORMDIST(Tab.o1[[#This Row],[Za]],0,1,FALSE)*Tab.o1[[#This Row],[i.]],AP$3),"")</f>
        <v/>
      </c>
      <c r="Y575" s="126" t="str">
        <f>IF(Tab.o1[[#This Row],[a1]]=1,0.01+0.94*Tab.o1[[#This Row],[PDF]]/MAX(Tab.o1[PDF]),"")</f>
        <v/>
      </c>
      <c r="Z575" s="126" t="str">
        <f>IF(Tab.o1[[#This Row],[a1]]=1,0.01+0.94*Tab.o1[[#This Row],[W1_PDF]]/MAX(Tab.o1[W1_PDF]),"")</f>
        <v/>
      </c>
      <c r="AA575" s="118" t="str">
        <f>IF(Tab.o1[[#This Row],[a1]]=1,ABS([1]!T.in.A[[#This Row],[oo6]]),"")</f>
        <v/>
      </c>
      <c r="AB575" s="127" t="str">
        <f>IF(Tab.o1[[#This Row],[a1]]=1,IF(AE$3=0,"",IF(AB$3=0,ABS([1]!T.in.A[[#This Row],[oo9]]),ABS(Tab.o1[[#This Row],[DIF_Target.]]*Tab.o1[[#This Row],[W1_PDF]]))),"")</f>
        <v/>
      </c>
      <c r="AC575" s="127" t="str">
        <f>IF(G$1=1,"",IF(Tab.o1[[#This Row],[a1]]=1,Tab.o1[[#This Row],[Wr]]^2,""))</f>
        <v/>
      </c>
      <c r="AD575" s="118" t="str">
        <f>IF(Tab.o1[[#This Row],[a1]]=1,IF(AE$3=0,"",Tab.o1[[#This Row],[Wr2]]/SUM(Tab.o1[Wr2])),"")</f>
        <v/>
      </c>
      <c r="AE575" s="128" t="str">
        <f>IF(Tab.o1[[#This Row],[a1]]=1,[1]!T.in.A[[#This Row],[oo10]],"")</f>
        <v/>
      </c>
      <c r="AF575" s="118" t="str">
        <f>IF(Tab.o1[[#This Row],[a1]]=1,ABS(Tab.o1[[#This Row],[DIF_Target.]]*Tab.o1[[#This Row],[PDF2]]*Tab.o1[[#This Row],[IN]]),"")</f>
        <v/>
      </c>
      <c r="AG575" s="129" t="str">
        <f>IF(Tab.o1[[#This Row],[a1]]=1,Tab.o1[[#This Row],[rW]]^2,"")</f>
        <v/>
      </c>
      <c r="AH575" s="130" t="str">
        <f>IF(Tab.o1[[#This Row],[a1]]=1,IF(AH$3=0,Tab.o1[[#This Row],[rW2]],0.01+0.94*Tab.o1[[#This Row],[rW2]]/SUM(Tab.o1[rW2])),"")</f>
        <v/>
      </c>
      <c r="AI575" s="128" t="str">
        <f>IF(Tab.o1[[#This Row],[a1]]=1,1/Tab.o1[[#This Row],[PDF]],"")</f>
        <v/>
      </c>
      <c r="AJ575" s="131" t="str">
        <f>IF(Tab.o1[[#This Row],[a1]]=1,[1]!T_AA[[#This Row],[IN'']]*[1]!T_AA[[#This Row],[Qde'']],"")</f>
        <v/>
      </c>
      <c r="AK575" s="132" t="str">
        <f>IF(Tab.o1[[#This Row],[a1]]=1,IF(AK$1=1,Tab.o1[[#This Row],[MED]]+Tab.o1[[#This Row],[MOD]]-Tab.o1[[#This Row],[MED]],""),"")</f>
        <v/>
      </c>
      <c r="AL575" s="133" t="str">
        <f>IF(Tab.o1[[#This Row],[a1]]=1,[1]!T.in.A[[#This Row],[oo16]],"")</f>
        <v/>
      </c>
      <c r="AM575" s="133" t="str">
        <f>IF(Tab.o1[[#This Row],[a1]]=1,IF(AM$3=1,[1]!T.in.A[[#This Row],[Σo16]],""),"")</f>
        <v/>
      </c>
      <c r="AN575" s="126" t="str">
        <f>IF(Tab.o1[[#This Row],[a1]]=1,[1]!T.in.A[[#This Row],[Σp5]],"")</f>
        <v/>
      </c>
      <c r="AO575" s="126" t="str">
        <f>IF(Tab.o1[[#This Row],[a1]]=1,IF(AO$3=1,[1]!T.in.A[[#This Row],[Σp5]],""),"")</f>
        <v/>
      </c>
      <c r="AP575" s="110" t="str">
        <f>IF(Tab.o1[[#This Row],[a1]]=1,IF(ISNUMBER(Tab.o1[[#This Row],[i.]]),NORMDIST(Tab.o1[[#This Row],[Za]],0,1,FALSE)*Tab.o1[[#This Row],[i.]],0),"")</f>
        <v/>
      </c>
      <c r="AQ575" s="125" t="str">
        <f>IF(Tab.o1[[#This Row],[a1]]=1,ABS(Tab.o1[[#This Row],[MOD]]-AVERAGE(Tab.o1[MOD])),"")</f>
        <v/>
      </c>
      <c r="AR575" s="134" t="str">
        <f>IF(Tab.o1[[#This Row],[a1]]=1,Tab.o1[[#This Row],[OBS]]/SUM(Tab.o1[OBS]),"")</f>
        <v/>
      </c>
      <c r="AS575" s="135" t="str">
        <f>IF(ISNUMBER(Tab.o1[[#This Row],[a1]]),ROW()-4,"")</f>
        <v/>
      </c>
      <c r="AT575" s="136" t="str">
        <f>Tab.o1[[#This Row],[MOD]]</f>
        <v/>
      </c>
      <c r="AU575" s="137" t="str">
        <f t="shared" si="33"/>
        <v/>
      </c>
      <c r="AV575" s="138" t="str">
        <f t="shared" si="34"/>
        <v/>
      </c>
      <c r="AW575" s="138" t="str">
        <f t="shared" si="35"/>
        <v/>
      </c>
      <c r="AX575" s="139" t="str">
        <f>[1]!T.in.A[[#This Row],[ID_T_manu]]</f>
        <v/>
      </c>
      <c r="AY575" s="140" t="str">
        <f>IF(ISNUMBER(Tab.o1[[#This Row],[a1]]),IF(AND(Tab.o1[[#This Row],[a1]]=1,Tab.o1[[#This Row],[b1]]&lt;=AY$4),#REF!,AY574),"")</f>
        <v/>
      </c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</row>
    <row r="576" spans="1:79" ht="15.75" hidden="1">
      <c r="A576" s="109">
        <v>-1.0000000000000001E-5</v>
      </c>
      <c r="B576" s="110">
        <f t="shared" si="32"/>
        <v>576</v>
      </c>
      <c r="C576" s="111" t="str">
        <f>IF(C$1=[1]!T.in.A[[#This Row],[oo2]],1,"")</f>
        <v/>
      </c>
      <c r="D576" s="112" t="str">
        <f>IF(Tab.o1[[#This Row],[a1]]=1,IF(SUM(C576:C577)=0,0,IF(SUM(C575:C576)=1,1,IF(SUM(C575:C577)&gt;1,D575+1,0))),"")</f>
        <v/>
      </c>
      <c r="E576" s="113" t="str">
        <f>IF(Tab.o1[[#This Row],[a1]]=1,[1]!T.in.A[[#This Row],[oo1]],"")</f>
        <v/>
      </c>
      <c r="F576" s="113" t="str">
        <f>IF(Tab.o1[[#This Row],[a1]]=1,[1]!T.in.A[[#This Row],[pp1]],"")</f>
        <v/>
      </c>
      <c r="G576" s="114" t="str">
        <f>IF(Tab.o1[[#This Row],[a1]]=1,G$2+IF(G$1=1,0,Tab.o1[[#This Row],[.x1]])+[1]!T.in.A[[#This Row],[oo3]],"")</f>
        <v/>
      </c>
      <c r="H576" s="115" t="str">
        <f>IF(Tab.o1[[#This Row],[a1]]=1,IF(H$2=0,0,IF(G$1=1,0,Tab.o1[[#This Row],[.x1]])+[1]!T.in.A[[#This Row],[oo4]]),"")</f>
        <v/>
      </c>
      <c r="I576" s="116" t="str">
        <f>IF(Tab.o1[[#This Row],[a1]]=1,IF(J$2=0,Tab.o1[[#This Row],[MED]],Tab.o1[[#This Row],[MOD]]),"")</f>
        <v/>
      </c>
      <c r="J576" s="116" t="str">
        <f>IF(Tab.o1[[#This Row],[a1]]=1,((Tab.o1[[#This Row],[DIF_Target.]]-AVERAGE(Tab.o1[DIF_Target.]))/_xlfn.STDEV.P(Tab.o1[DIF_Target.])),"")</f>
        <v/>
      </c>
      <c r="K576" s="117" t="str">
        <f>IF(Tab.o1[[#This Row],[a1]]=1,IF(J$2=0,Tab.o1[[#This Row],[MOD]]-Tab.o1[[#This Row],[B]],IF(J$2=1,0,-Tab.o1[[#This Row],[MED]])+Tab.o1[[#This Row],[B]]),"")</f>
        <v/>
      </c>
      <c r="L576" s="117" t="str">
        <f ca="1">IF(Tab.o1[[#This Row],[DIF_Target]]=0,IF(L$2=0,Tab.o1[[#This Row],[DIF_Target]],AVERAGE(OFFSET(Tab.o1[[#This Row],[DIF_Target]],1,0,L$3,1)))/3,Tab.o1[[#This Row],[DIF_Target]])</f>
        <v/>
      </c>
      <c r="M576" s="118" t="str">
        <f>IF(Tab.o1[[#This Row],[a1]]=1,NORMSDIST(Tab.o1[[#This Row],[Za]]),"")</f>
        <v/>
      </c>
      <c r="N576" s="119" t="str">
        <f>IF(Tab.o1[[#This Row],[a1]]=1,((Tab.o1[[#This Row],[MedMod]]-AVERAGE(Tab.o1[MedMod]))/_xlfn.STDEV.P(Tab.o1[MedMod])*H$1205)+G$1205,"")</f>
        <v/>
      </c>
      <c r="O576" s="141" t="str">
        <f>IF(Tab.o1[[#This Row],[a1]]=1,Tab.o1[[#This Row],[Zb]]*_xlfn.STDEV.P(Tab.o1[MedMod])+AVERAGE(Tab.o1[MedMod]),"")</f>
        <v/>
      </c>
      <c r="P576" s="117" t="str">
        <f ca="1">IF(Tab.o1[[#This Row],[B]]=0,AVERAGE(OFFSET(Tab.o1[[#This Row],[B]],1,0,L$3,1)),Tab.o1[[#This Row],[B]])</f>
        <v/>
      </c>
      <c r="Q576" s="121" t="str">
        <f>IF(Tab.o1[[#This Row],[a1]]=1,NORMSDIST(Tab.o1[[#This Row],[Zb]]),"")</f>
        <v/>
      </c>
      <c r="R576" s="122" t="str">
        <f>IF(Tab.o1[[#This Row],[a1]]=1,((Tab.o1[[#This Row],[MedMod]]-AVERAGE(Tab.o1[MedMod]))/_xlfn.STDEV.P(Tab.o1[MedMod])*H$1203)+G$1203,"")</f>
        <v/>
      </c>
      <c r="S576" s="122" t="str">
        <f>IF(Tab.o1[[#This Row],[a1]]=1,((Tab.o1[[#This Row],[MedMod]]-AVERAGE(Tab.o1[MedMod]))/_xlfn.STDEV.P(Tab.o1[MedMod])*H$1204)+G$1204,"")</f>
        <v/>
      </c>
      <c r="T576" s="123" t="str">
        <f>IF(Tab.o1[[#This Row],[a1]]=1,Tab.o1[[#This Row],[Z-]]*_xlfn.STDEV.P(Tab.o1[B])+AVERAGE(Tab.o1[B]),"")</f>
        <v/>
      </c>
      <c r="U576" s="123" t="str">
        <f>IF(Tab.o1[[#This Row],[a1]]=1,Tab.o1[[#This Row],[z+]]*_xlfn.STDEV.P(Tab.o1[B])+AVERAGE(Tab.o1[B]),"")</f>
        <v/>
      </c>
      <c r="V576" s="124" t="str">
        <f>IF(Tab.o1[[#This Row],[a1]]=1,ABS((ABS(Tab.o1[[#This Row],[Red]]-Tab.o1[[#This Row],[Blue]]))),"")</f>
        <v/>
      </c>
      <c r="W576" s="125" t="str">
        <f>IF(Tab.o1[[#This Row],[a1]]=1,IF(W$3=0,1,Tab.o1[[#This Row],[Amp.]]*1/_xlfn.MINIFS(Tab.o1[Amp.],Tab.o1[Amp.],"&lt;&gt;0")),"")</f>
        <v/>
      </c>
      <c r="X576" s="126" t="str">
        <f>IF(Tab.o1[[#This Row],[a1]]=1,IF(ISNUMBER(Tab.o1[[#This Row],[i.]]),NORMDIST(Tab.o1[[#This Row],[Za]],0,1,FALSE)*Tab.o1[[#This Row],[i.]],AP$3),"")</f>
        <v/>
      </c>
      <c r="Y576" s="126" t="str">
        <f>IF(Tab.o1[[#This Row],[a1]]=1,0.01+0.94*Tab.o1[[#This Row],[PDF]]/MAX(Tab.o1[PDF]),"")</f>
        <v/>
      </c>
      <c r="Z576" s="126" t="str">
        <f>IF(Tab.o1[[#This Row],[a1]]=1,0.01+0.94*Tab.o1[[#This Row],[W1_PDF]]/MAX(Tab.o1[W1_PDF]),"")</f>
        <v/>
      </c>
      <c r="AA576" s="118" t="str">
        <f>IF(Tab.o1[[#This Row],[a1]]=1,ABS([1]!T.in.A[[#This Row],[oo6]]),"")</f>
        <v/>
      </c>
      <c r="AB576" s="127" t="str">
        <f>IF(Tab.o1[[#This Row],[a1]]=1,IF(AE$3=0,"",IF(AB$3=0,ABS([1]!T.in.A[[#This Row],[oo9]]),ABS(Tab.o1[[#This Row],[DIF_Target.]]*Tab.o1[[#This Row],[W1_PDF]]))),"")</f>
        <v/>
      </c>
      <c r="AC576" s="127" t="str">
        <f>IF(G$1=1,"",IF(Tab.o1[[#This Row],[a1]]=1,Tab.o1[[#This Row],[Wr]]^2,""))</f>
        <v/>
      </c>
      <c r="AD576" s="118" t="str">
        <f>IF(Tab.o1[[#This Row],[a1]]=1,IF(AE$3=0,"",Tab.o1[[#This Row],[Wr2]]/SUM(Tab.o1[Wr2])),"")</f>
        <v/>
      </c>
      <c r="AE576" s="128" t="str">
        <f>IF(Tab.o1[[#This Row],[a1]]=1,[1]!T.in.A[[#This Row],[oo10]],"")</f>
        <v/>
      </c>
      <c r="AF576" s="118" t="str">
        <f>IF(Tab.o1[[#This Row],[a1]]=1,ABS(Tab.o1[[#This Row],[DIF_Target.]]*Tab.o1[[#This Row],[PDF2]]*Tab.o1[[#This Row],[IN]]),"")</f>
        <v/>
      </c>
      <c r="AG576" s="129" t="str">
        <f>IF(Tab.o1[[#This Row],[a1]]=1,Tab.o1[[#This Row],[rW]]^2,"")</f>
        <v/>
      </c>
      <c r="AH576" s="130" t="str">
        <f>IF(Tab.o1[[#This Row],[a1]]=1,IF(AH$3=0,Tab.o1[[#This Row],[rW2]],0.01+0.94*Tab.o1[[#This Row],[rW2]]/SUM(Tab.o1[rW2])),"")</f>
        <v/>
      </c>
      <c r="AI576" s="128" t="str">
        <f>IF(Tab.o1[[#This Row],[a1]]=1,1/Tab.o1[[#This Row],[PDF]],"")</f>
        <v/>
      </c>
      <c r="AJ576" s="131" t="str">
        <f>IF(Tab.o1[[#This Row],[a1]]=1,[1]!T_AA[[#This Row],[IN'']]*[1]!T_AA[[#This Row],[Qde'']],"")</f>
        <v/>
      </c>
      <c r="AK576" s="132" t="str">
        <f>IF(Tab.o1[[#This Row],[a1]]=1,IF(AK$1=1,Tab.o1[[#This Row],[MED]]+Tab.o1[[#This Row],[MOD]]-Tab.o1[[#This Row],[MED]],""),"")</f>
        <v/>
      </c>
      <c r="AL576" s="133" t="str">
        <f>IF(Tab.o1[[#This Row],[a1]]=1,[1]!T.in.A[[#This Row],[oo16]],"")</f>
        <v/>
      </c>
      <c r="AM576" s="133" t="str">
        <f>IF(Tab.o1[[#This Row],[a1]]=1,IF(AM$3=1,[1]!T.in.A[[#This Row],[Σo16]],""),"")</f>
        <v/>
      </c>
      <c r="AN576" s="126" t="str">
        <f>IF(Tab.o1[[#This Row],[a1]]=1,[1]!T.in.A[[#This Row],[Σp5]],"")</f>
        <v/>
      </c>
      <c r="AO576" s="126" t="str">
        <f>IF(Tab.o1[[#This Row],[a1]]=1,IF(AO$3=1,[1]!T.in.A[[#This Row],[Σp5]],""),"")</f>
        <v/>
      </c>
      <c r="AP576" s="110" t="str">
        <f>IF(Tab.o1[[#This Row],[a1]]=1,IF(ISNUMBER(Tab.o1[[#This Row],[i.]]),NORMDIST(Tab.o1[[#This Row],[Za]],0,1,FALSE)*Tab.o1[[#This Row],[i.]],0),"")</f>
        <v/>
      </c>
      <c r="AQ576" s="125" t="str">
        <f>IF(Tab.o1[[#This Row],[a1]]=1,ABS(Tab.o1[[#This Row],[MOD]]-AVERAGE(Tab.o1[MOD])),"")</f>
        <v/>
      </c>
      <c r="AR576" s="134" t="str">
        <f>IF(Tab.o1[[#This Row],[a1]]=1,Tab.o1[[#This Row],[OBS]]/SUM(Tab.o1[OBS]),"")</f>
        <v/>
      </c>
      <c r="AS576" s="135" t="str">
        <f>IF(ISNUMBER(Tab.o1[[#This Row],[a1]]),ROW()-4,"")</f>
        <v/>
      </c>
      <c r="AT576" s="136" t="str">
        <f>Tab.o1[[#This Row],[MOD]]</f>
        <v/>
      </c>
      <c r="AU576" s="137" t="str">
        <f t="shared" si="33"/>
        <v/>
      </c>
      <c r="AV576" s="138" t="str">
        <f t="shared" si="34"/>
        <v/>
      </c>
      <c r="AW576" s="138" t="str">
        <f t="shared" si="35"/>
        <v/>
      </c>
      <c r="AX576" s="139" t="str">
        <f>[1]!T.in.A[[#This Row],[ID_T_manu]]</f>
        <v/>
      </c>
      <c r="AY576" s="140" t="str">
        <f>IF(ISNUMBER(Tab.o1[[#This Row],[a1]]),IF(AND(Tab.o1[[#This Row],[a1]]=1,Tab.o1[[#This Row],[b1]]&lt;=AY$4),#REF!,AY575),"")</f>
        <v/>
      </c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</row>
    <row r="577" spans="1:79" ht="15.75" hidden="1">
      <c r="A577" s="109">
        <v>5.9999999999999993E-6</v>
      </c>
      <c r="B577" s="110">
        <f t="shared" si="32"/>
        <v>577</v>
      </c>
      <c r="C577" s="111" t="str">
        <f>IF(C$1=[1]!T.in.A[[#This Row],[oo2]],1,"")</f>
        <v/>
      </c>
      <c r="D577" s="112" t="str">
        <f>IF(Tab.o1[[#This Row],[a1]]=1,IF(SUM(C577:C578)=0,0,IF(SUM(C576:C577)=1,1,IF(SUM(C576:C578)&gt;1,D576+1,0))),"")</f>
        <v/>
      </c>
      <c r="E577" s="113" t="str">
        <f>IF(Tab.o1[[#This Row],[a1]]=1,[1]!T.in.A[[#This Row],[oo1]],"")</f>
        <v/>
      </c>
      <c r="F577" s="113" t="str">
        <f>IF(Tab.o1[[#This Row],[a1]]=1,[1]!T.in.A[[#This Row],[pp1]],"")</f>
        <v/>
      </c>
      <c r="G577" s="114" t="str">
        <f>IF(Tab.o1[[#This Row],[a1]]=1,G$2+IF(G$1=1,0,Tab.o1[[#This Row],[.x1]])+[1]!T.in.A[[#This Row],[oo3]],"")</f>
        <v/>
      </c>
      <c r="H577" s="115" t="str">
        <f>IF(Tab.o1[[#This Row],[a1]]=1,IF(H$2=0,0,IF(G$1=1,0,Tab.o1[[#This Row],[.x1]])+[1]!T.in.A[[#This Row],[oo4]]),"")</f>
        <v/>
      </c>
      <c r="I577" s="116" t="str">
        <f>IF(Tab.o1[[#This Row],[a1]]=1,IF(J$2=0,Tab.o1[[#This Row],[MED]],Tab.o1[[#This Row],[MOD]]),"")</f>
        <v/>
      </c>
      <c r="J577" s="116" t="str">
        <f>IF(Tab.o1[[#This Row],[a1]]=1,((Tab.o1[[#This Row],[DIF_Target.]]-AVERAGE(Tab.o1[DIF_Target.]))/_xlfn.STDEV.P(Tab.o1[DIF_Target.])),"")</f>
        <v/>
      </c>
      <c r="K577" s="117" t="str">
        <f>IF(Tab.o1[[#This Row],[a1]]=1,IF(J$2=0,Tab.o1[[#This Row],[MOD]]-Tab.o1[[#This Row],[B]],IF(J$2=1,0,-Tab.o1[[#This Row],[MED]])+Tab.o1[[#This Row],[B]]),"")</f>
        <v/>
      </c>
      <c r="L577" s="117" t="str">
        <f ca="1">IF(Tab.o1[[#This Row],[DIF_Target]]=0,IF(L$2=0,Tab.o1[[#This Row],[DIF_Target]],AVERAGE(OFFSET(Tab.o1[[#This Row],[DIF_Target]],1,0,L$3,1)))/3,Tab.o1[[#This Row],[DIF_Target]])</f>
        <v/>
      </c>
      <c r="M577" s="118" t="str">
        <f>IF(Tab.o1[[#This Row],[a1]]=1,NORMSDIST(Tab.o1[[#This Row],[Za]]),"")</f>
        <v/>
      </c>
      <c r="N577" s="119" t="str">
        <f>IF(Tab.o1[[#This Row],[a1]]=1,((Tab.o1[[#This Row],[MedMod]]-AVERAGE(Tab.o1[MedMod]))/_xlfn.STDEV.P(Tab.o1[MedMod])*H$1205)+G$1205,"")</f>
        <v/>
      </c>
      <c r="O577" s="141" t="str">
        <f>IF(Tab.o1[[#This Row],[a1]]=1,Tab.o1[[#This Row],[Zb]]*_xlfn.STDEV.P(Tab.o1[MedMod])+AVERAGE(Tab.o1[MedMod]),"")</f>
        <v/>
      </c>
      <c r="P577" s="117" t="str">
        <f ca="1">IF(Tab.o1[[#This Row],[B]]=0,AVERAGE(OFFSET(Tab.o1[[#This Row],[B]],1,0,L$3,1)),Tab.o1[[#This Row],[B]])</f>
        <v/>
      </c>
      <c r="Q577" s="121" t="str">
        <f>IF(Tab.o1[[#This Row],[a1]]=1,NORMSDIST(Tab.o1[[#This Row],[Zb]]),"")</f>
        <v/>
      </c>
      <c r="R577" s="122" t="str">
        <f>IF(Tab.o1[[#This Row],[a1]]=1,((Tab.o1[[#This Row],[MedMod]]-AVERAGE(Tab.o1[MedMod]))/_xlfn.STDEV.P(Tab.o1[MedMod])*H$1203)+G$1203,"")</f>
        <v/>
      </c>
      <c r="S577" s="122" t="str">
        <f>IF(Tab.o1[[#This Row],[a1]]=1,((Tab.o1[[#This Row],[MedMod]]-AVERAGE(Tab.o1[MedMod]))/_xlfn.STDEV.P(Tab.o1[MedMod])*H$1204)+G$1204,"")</f>
        <v/>
      </c>
      <c r="T577" s="123" t="str">
        <f>IF(Tab.o1[[#This Row],[a1]]=1,Tab.o1[[#This Row],[Z-]]*_xlfn.STDEV.P(Tab.o1[B])+AVERAGE(Tab.o1[B]),"")</f>
        <v/>
      </c>
      <c r="U577" s="123" t="str">
        <f>IF(Tab.o1[[#This Row],[a1]]=1,Tab.o1[[#This Row],[z+]]*_xlfn.STDEV.P(Tab.o1[B])+AVERAGE(Tab.o1[B]),"")</f>
        <v/>
      </c>
      <c r="V577" s="124" t="str">
        <f>IF(Tab.o1[[#This Row],[a1]]=1,ABS((ABS(Tab.o1[[#This Row],[Red]]-Tab.o1[[#This Row],[Blue]]))),"")</f>
        <v/>
      </c>
      <c r="W577" s="125" t="str">
        <f>IF(Tab.o1[[#This Row],[a1]]=1,IF(W$3=0,1,Tab.o1[[#This Row],[Amp.]]*1/_xlfn.MINIFS(Tab.o1[Amp.],Tab.o1[Amp.],"&lt;&gt;0")),"")</f>
        <v/>
      </c>
      <c r="X577" s="126" t="str">
        <f>IF(Tab.o1[[#This Row],[a1]]=1,IF(ISNUMBER(Tab.o1[[#This Row],[i.]]),NORMDIST(Tab.o1[[#This Row],[Za]],0,1,FALSE)*Tab.o1[[#This Row],[i.]],AP$3),"")</f>
        <v/>
      </c>
      <c r="Y577" s="126" t="str">
        <f>IF(Tab.o1[[#This Row],[a1]]=1,0.01+0.94*Tab.o1[[#This Row],[PDF]]/MAX(Tab.o1[PDF]),"")</f>
        <v/>
      </c>
      <c r="Z577" s="126" t="str">
        <f>IF(Tab.o1[[#This Row],[a1]]=1,0.01+0.94*Tab.o1[[#This Row],[W1_PDF]]/MAX(Tab.o1[W1_PDF]),"")</f>
        <v/>
      </c>
      <c r="AA577" s="118" t="str">
        <f>IF(Tab.o1[[#This Row],[a1]]=1,ABS([1]!T.in.A[[#This Row],[oo6]]),"")</f>
        <v/>
      </c>
      <c r="AB577" s="127" t="str">
        <f>IF(Tab.o1[[#This Row],[a1]]=1,IF(AE$3=0,"",IF(AB$3=0,ABS([1]!T.in.A[[#This Row],[oo9]]),ABS(Tab.o1[[#This Row],[DIF_Target.]]*Tab.o1[[#This Row],[W1_PDF]]))),"")</f>
        <v/>
      </c>
      <c r="AC577" s="127" t="str">
        <f>IF(G$1=1,"",IF(Tab.o1[[#This Row],[a1]]=1,Tab.o1[[#This Row],[Wr]]^2,""))</f>
        <v/>
      </c>
      <c r="AD577" s="118" t="str">
        <f>IF(Tab.o1[[#This Row],[a1]]=1,IF(AE$3=0,"",Tab.o1[[#This Row],[Wr2]]/SUM(Tab.o1[Wr2])),"")</f>
        <v/>
      </c>
      <c r="AE577" s="128" t="str">
        <f>IF(Tab.o1[[#This Row],[a1]]=1,[1]!T.in.A[[#This Row],[oo10]],"")</f>
        <v/>
      </c>
      <c r="AF577" s="118" t="str">
        <f>IF(Tab.o1[[#This Row],[a1]]=1,ABS(Tab.o1[[#This Row],[DIF_Target.]]*Tab.o1[[#This Row],[PDF2]]*Tab.o1[[#This Row],[IN]]),"")</f>
        <v/>
      </c>
      <c r="AG577" s="129" t="str">
        <f>IF(Tab.o1[[#This Row],[a1]]=1,Tab.o1[[#This Row],[rW]]^2,"")</f>
        <v/>
      </c>
      <c r="AH577" s="130" t="str">
        <f>IF(Tab.o1[[#This Row],[a1]]=1,IF(AH$3=0,Tab.o1[[#This Row],[rW2]],0.01+0.94*Tab.o1[[#This Row],[rW2]]/SUM(Tab.o1[rW2])),"")</f>
        <v/>
      </c>
      <c r="AI577" s="128" t="str">
        <f>IF(Tab.o1[[#This Row],[a1]]=1,1/Tab.o1[[#This Row],[PDF]],"")</f>
        <v/>
      </c>
      <c r="AJ577" s="131" t="str">
        <f>IF(Tab.o1[[#This Row],[a1]]=1,[1]!T_AA[[#This Row],[IN'']]*[1]!T_AA[[#This Row],[Qde'']],"")</f>
        <v/>
      </c>
      <c r="AK577" s="132" t="str">
        <f>IF(Tab.o1[[#This Row],[a1]]=1,IF(AK$1=1,Tab.o1[[#This Row],[MED]]+Tab.o1[[#This Row],[MOD]]-Tab.o1[[#This Row],[MED]],""),"")</f>
        <v/>
      </c>
      <c r="AL577" s="133" t="str">
        <f>IF(Tab.o1[[#This Row],[a1]]=1,[1]!T.in.A[[#This Row],[oo16]],"")</f>
        <v/>
      </c>
      <c r="AM577" s="133" t="str">
        <f>IF(Tab.o1[[#This Row],[a1]]=1,IF(AM$3=1,[1]!T.in.A[[#This Row],[Σo16]],""),"")</f>
        <v/>
      </c>
      <c r="AN577" s="126" t="str">
        <f>IF(Tab.o1[[#This Row],[a1]]=1,[1]!T.in.A[[#This Row],[Σp5]],"")</f>
        <v/>
      </c>
      <c r="AO577" s="126" t="str">
        <f>IF(Tab.o1[[#This Row],[a1]]=1,IF(AO$3=1,[1]!T.in.A[[#This Row],[Σp5]],""),"")</f>
        <v/>
      </c>
      <c r="AP577" s="110" t="str">
        <f>IF(Tab.o1[[#This Row],[a1]]=1,IF(ISNUMBER(Tab.o1[[#This Row],[i.]]),NORMDIST(Tab.o1[[#This Row],[Za]],0,1,FALSE)*Tab.o1[[#This Row],[i.]],0),"")</f>
        <v/>
      </c>
      <c r="AQ577" s="125" t="str">
        <f>IF(Tab.o1[[#This Row],[a1]]=1,ABS(Tab.o1[[#This Row],[MOD]]-AVERAGE(Tab.o1[MOD])),"")</f>
        <v/>
      </c>
      <c r="AR577" s="134" t="str">
        <f>IF(Tab.o1[[#This Row],[a1]]=1,Tab.o1[[#This Row],[OBS]]/SUM(Tab.o1[OBS]),"")</f>
        <v/>
      </c>
      <c r="AS577" s="135" t="str">
        <f>IF(ISNUMBER(Tab.o1[[#This Row],[a1]]),ROW()-4,"")</f>
        <v/>
      </c>
      <c r="AT577" s="136" t="str">
        <f>Tab.o1[[#This Row],[MOD]]</f>
        <v/>
      </c>
      <c r="AU577" s="137" t="str">
        <f t="shared" si="33"/>
        <v/>
      </c>
      <c r="AV577" s="138" t="str">
        <f t="shared" si="34"/>
        <v/>
      </c>
      <c r="AW577" s="138" t="str">
        <f t="shared" si="35"/>
        <v/>
      </c>
      <c r="AX577" s="139" t="str">
        <f>[1]!T.in.A[[#This Row],[ID_T_manu]]</f>
        <v/>
      </c>
      <c r="AY577" s="140" t="str">
        <f>IF(ISNUMBER(Tab.o1[[#This Row],[a1]]),IF(AND(Tab.o1[[#This Row],[a1]]=1,Tab.o1[[#This Row],[b1]]&lt;=AY$4),#REF!,AY576),"")</f>
        <v/>
      </c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</row>
    <row r="578" spans="1:79" ht="15.75" hidden="1">
      <c r="A578" s="109">
        <v>-6.9999999999999999E-6</v>
      </c>
      <c r="B578" s="110">
        <f t="shared" si="32"/>
        <v>578</v>
      </c>
      <c r="C578" s="111" t="str">
        <f>IF(C$1=[1]!T.in.A[[#This Row],[oo2]],1,"")</f>
        <v/>
      </c>
      <c r="D578" s="112" t="str">
        <f>IF(Tab.o1[[#This Row],[a1]]=1,IF(SUM(C578:C579)=0,0,IF(SUM(C577:C578)=1,1,IF(SUM(C577:C579)&gt;1,D577+1,0))),"")</f>
        <v/>
      </c>
      <c r="E578" s="113" t="str">
        <f>IF(Tab.o1[[#This Row],[a1]]=1,[1]!T.in.A[[#This Row],[oo1]],"")</f>
        <v/>
      </c>
      <c r="F578" s="113" t="str">
        <f>IF(Tab.o1[[#This Row],[a1]]=1,[1]!T.in.A[[#This Row],[pp1]],"")</f>
        <v/>
      </c>
      <c r="G578" s="114" t="str">
        <f>IF(Tab.o1[[#This Row],[a1]]=1,G$2+IF(G$1=1,0,Tab.o1[[#This Row],[.x1]])+[1]!T.in.A[[#This Row],[oo3]],"")</f>
        <v/>
      </c>
      <c r="H578" s="115" t="str">
        <f>IF(Tab.o1[[#This Row],[a1]]=1,IF(H$2=0,0,IF(G$1=1,0,Tab.o1[[#This Row],[.x1]])+[1]!T.in.A[[#This Row],[oo4]]),"")</f>
        <v/>
      </c>
      <c r="I578" s="116" t="str">
        <f>IF(Tab.o1[[#This Row],[a1]]=1,IF(J$2=0,Tab.o1[[#This Row],[MED]],Tab.o1[[#This Row],[MOD]]),"")</f>
        <v/>
      </c>
      <c r="J578" s="116" t="str">
        <f>IF(Tab.o1[[#This Row],[a1]]=1,((Tab.o1[[#This Row],[DIF_Target.]]-AVERAGE(Tab.o1[DIF_Target.]))/_xlfn.STDEV.P(Tab.o1[DIF_Target.])),"")</f>
        <v/>
      </c>
      <c r="K578" s="117" t="str">
        <f>IF(Tab.o1[[#This Row],[a1]]=1,IF(J$2=0,Tab.o1[[#This Row],[MOD]]-Tab.o1[[#This Row],[B]],IF(J$2=1,0,-Tab.o1[[#This Row],[MED]])+Tab.o1[[#This Row],[B]]),"")</f>
        <v/>
      </c>
      <c r="L578" s="117" t="str">
        <f ca="1">IF(Tab.o1[[#This Row],[DIF_Target]]=0,IF(L$2=0,Tab.o1[[#This Row],[DIF_Target]],AVERAGE(OFFSET(Tab.o1[[#This Row],[DIF_Target]],1,0,L$3,1)))/3,Tab.o1[[#This Row],[DIF_Target]])</f>
        <v/>
      </c>
      <c r="M578" s="118" t="str">
        <f>IF(Tab.o1[[#This Row],[a1]]=1,NORMSDIST(Tab.o1[[#This Row],[Za]]),"")</f>
        <v/>
      </c>
      <c r="N578" s="119" t="str">
        <f>IF(Tab.o1[[#This Row],[a1]]=1,((Tab.o1[[#This Row],[MedMod]]-AVERAGE(Tab.o1[MedMod]))/_xlfn.STDEV.P(Tab.o1[MedMod])*H$1205)+G$1205,"")</f>
        <v/>
      </c>
      <c r="O578" s="141" t="str">
        <f>IF(Tab.o1[[#This Row],[a1]]=1,Tab.o1[[#This Row],[Zb]]*_xlfn.STDEV.P(Tab.o1[MedMod])+AVERAGE(Tab.o1[MedMod]),"")</f>
        <v/>
      </c>
      <c r="P578" s="117" t="str">
        <f ca="1">IF(Tab.o1[[#This Row],[B]]=0,AVERAGE(OFFSET(Tab.o1[[#This Row],[B]],1,0,L$3,1)),Tab.o1[[#This Row],[B]])</f>
        <v/>
      </c>
      <c r="Q578" s="121" t="str">
        <f>IF(Tab.o1[[#This Row],[a1]]=1,NORMSDIST(Tab.o1[[#This Row],[Zb]]),"")</f>
        <v/>
      </c>
      <c r="R578" s="122" t="str">
        <f>IF(Tab.o1[[#This Row],[a1]]=1,((Tab.o1[[#This Row],[MedMod]]-AVERAGE(Tab.o1[MedMod]))/_xlfn.STDEV.P(Tab.o1[MedMod])*H$1203)+G$1203,"")</f>
        <v/>
      </c>
      <c r="S578" s="122" t="str">
        <f>IF(Tab.o1[[#This Row],[a1]]=1,((Tab.o1[[#This Row],[MedMod]]-AVERAGE(Tab.o1[MedMod]))/_xlfn.STDEV.P(Tab.o1[MedMod])*H$1204)+G$1204,"")</f>
        <v/>
      </c>
      <c r="T578" s="123" t="str">
        <f>IF(Tab.o1[[#This Row],[a1]]=1,Tab.o1[[#This Row],[Z-]]*_xlfn.STDEV.P(Tab.o1[B])+AVERAGE(Tab.o1[B]),"")</f>
        <v/>
      </c>
      <c r="U578" s="123" t="str">
        <f>IF(Tab.o1[[#This Row],[a1]]=1,Tab.o1[[#This Row],[z+]]*_xlfn.STDEV.P(Tab.o1[B])+AVERAGE(Tab.o1[B]),"")</f>
        <v/>
      </c>
      <c r="V578" s="124" t="str">
        <f>IF(Tab.o1[[#This Row],[a1]]=1,ABS((ABS(Tab.o1[[#This Row],[Red]]-Tab.o1[[#This Row],[Blue]]))),"")</f>
        <v/>
      </c>
      <c r="W578" s="125" t="str">
        <f>IF(Tab.o1[[#This Row],[a1]]=1,IF(W$3=0,1,Tab.o1[[#This Row],[Amp.]]*1/_xlfn.MINIFS(Tab.o1[Amp.],Tab.o1[Amp.],"&lt;&gt;0")),"")</f>
        <v/>
      </c>
      <c r="X578" s="126" t="str">
        <f>IF(Tab.o1[[#This Row],[a1]]=1,IF(ISNUMBER(Tab.o1[[#This Row],[i.]]),NORMDIST(Tab.o1[[#This Row],[Za]],0,1,FALSE)*Tab.o1[[#This Row],[i.]],AP$3),"")</f>
        <v/>
      </c>
      <c r="Y578" s="126" t="str">
        <f>IF(Tab.o1[[#This Row],[a1]]=1,0.01+0.94*Tab.o1[[#This Row],[PDF]]/MAX(Tab.o1[PDF]),"")</f>
        <v/>
      </c>
      <c r="Z578" s="126" t="str">
        <f>IF(Tab.o1[[#This Row],[a1]]=1,0.01+0.94*Tab.o1[[#This Row],[W1_PDF]]/MAX(Tab.o1[W1_PDF]),"")</f>
        <v/>
      </c>
      <c r="AA578" s="118" t="str">
        <f>IF(Tab.o1[[#This Row],[a1]]=1,ABS([1]!T.in.A[[#This Row],[oo6]]),"")</f>
        <v/>
      </c>
      <c r="AB578" s="127" t="str">
        <f>IF(Tab.o1[[#This Row],[a1]]=1,IF(AE$3=0,"",IF(AB$3=0,ABS([1]!T.in.A[[#This Row],[oo9]]),ABS(Tab.o1[[#This Row],[DIF_Target.]]*Tab.o1[[#This Row],[W1_PDF]]))),"")</f>
        <v/>
      </c>
      <c r="AC578" s="127" t="str">
        <f>IF(G$1=1,"",IF(Tab.o1[[#This Row],[a1]]=1,Tab.o1[[#This Row],[Wr]]^2,""))</f>
        <v/>
      </c>
      <c r="AD578" s="118" t="str">
        <f>IF(Tab.o1[[#This Row],[a1]]=1,IF(AE$3=0,"",Tab.o1[[#This Row],[Wr2]]/SUM(Tab.o1[Wr2])),"")</f>
        <v/>
      </c>
      <c r="AE578" s="128" t="str">
        <f>IF(Tab.o1[[#This Row],[a1]]=1,[1]!T.in.A[[#This Row],[oo10]],"")</f>
        <v/>
      </c>
      <c r="AF578" s="118" t="str">
        <f>IF(Tab.o1[[#This Row],[a1]]=1,ABS(Tab.o1[[#This Row],[DIF_Target.]]*Tab.o1[[#This Row],[PDF2]]*Tab.o1[[#This Row],[IN]]),"")</f>
        <v/>
      </c>
      <c r="AG578" s="129" t="str">
        <f>IF(Tab.o1[[#This Row],[a1]]=1,Tab.o1[[#This Row],[rW]]^2,"")</f>
        <v/>
      </c>
      <c r="AH578" s="130" t="str">
        <f>IF(Tab.o1[[#This Row],[a1]]=1,IF(AH$3=0,Tab.o1[[#This Row],[rW2]],0.01+0.94*Tab.o1[[#This Row],[rW2]]/SUM(Tab.o1[rW2])),"")</f>
        <v/>
      </c>
      <c r="AI578" s="128" t="str">
        <f>IF(Tab.o1[[#This Row],[a1]]=1,1/Tab.o1[[#This Row],[PDF]],"")</f>
        <v/>
      </c>
      <c r="AJ578" s="131" t="str">
        <f>IF(Tab.o1[[#This Row],[a1]]=1,[1]!T_AA[[#This Row],[IN'']]*[1]!T_AA[[#This Row],[Qde'']],"")</f>
        <v/>
      </c>
      <c r="AK578" s="132" t="str">
        <f>IF(Tab.o1[[#This Row],[a1]]=1,IF(AK$1=1,Tab.o1[[#This Row],[MED]]+Tab.o1[[#This Row],[MOD]]-Tab.o1[[#This Row],[MED]],""),"")</f>
        <v/>
      </c>
      <c r="AL578" s="133" t="str">
        <f>IF(Tab.o1[[#This Row],[a1]]=1,[1]!T.in.A[[#This Row],[oo16]],"")</f>
        <v/>
      </c>
      <c r="AM578" s="133" t="str">
        <f>IF(Tab.o1[[#This Row],[a1]]=1,IF(AM$3=1,[1]!T.in.A[[#This Row],[Σo16]],""),"")</f>
        <v/>
      </c>
      <c r="AN578" s="126" t="str">
        <f>IF(Tab.o1[[#This Row],[a1]]=1,[1]!T.in.A[[#This Row],[Σp5]],"")</f>
        <v/>
      </c>
      <c r="AO578" s="126" t="str">
        <f>IF(Tab.o1[[#This Row],[a1]]=1,IF(AO$3=1,[1]!T.in.A[[#This Row],[Σp5]],""),"")</f>
        <v/>
      </c>
      <c r="AP578" s="110" t="str">
        <f>IF(Tab.o1[[#This Row],[a1]]=1,IF(ISNUMBER(Tab.o1[[#This Row],[i.]]),NORMDIST(Tab.o1[[#This Row],[Za]],0,1,FALSE)*Tab.o1[[#This Row],[i.]],0),"")</f>
        <v/>
      </c>
      <c r="AQ578" s="125" t="str">
        <f>IF(Tab.o1[[#This Row],[a1]]=1,ABS(Tab.o1[[#This Row],[MOD]]-AVERAGE(Tab.o1[MOD])),"")</f>
        <v/>
      </c>
      <c r="AR578" s="134" t="str">
        <f>IF(Tab.o1[[#This Row],[a1]]=1,Tab.o1[[#This Row],[OBS]]/SUM(Tab.o1[OBS]),"")</f>
        <v/>
      </c>
      <c r="AS578" s="135" t="str">
        <f>IF(ISNUMBER(Tab.o1[[#This Row],[a1]]),ROW()-4,"")</f>
        <v/>
      </c>
      <c r="AT578" s="136" t="str">
        <f>Tab.o1[[#This Row],[MOD]]</f>
        <v/>
      </c>
      <c r="AU578" s="137" t="str">
        <f t="shared" si="33"/>
        <v/>
      </c>
      <c r="AV578" s="138" t="str">
        <f t="shared" si="34"/>
        <v/>
      </c>
      <c r="AW578" s="138" t="str">
        <f t="shared" si="35"/>
        <v/>
      </c>
      <c r="AX578" s="139" t="str">
        <f>[1]!T.in.A[[#This Row],[ID_T_manu]]</f>
        <v/>
      </c>
      <c r="AY578" s="140" t="str">
        <f>IF(ISNUMBER(Tab.o1[[#This Row],[a1]]),IF(AND(Tab.o1[[#This Row],[a1]]=1,Tab.o1[[#This Row],[b1]]&lt;=AY$4),#REF!,AY577),"")</f>
        <v/>
      </c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</row>
    <row r="579" spans="1:79" ht="15.75" hidden="1">
      <c r="A579" s="109">
        <v>5.9999999999999993E-6</v>
      </c>
      <c r="B579" s="110">
        <f t="shared" si="32"/>
        <v>579</v>
      </c>
      <c r="C579" s="111" t="str">
        <f>IF(C$1=[1]!T.in.A[[#This Row],[oo2]],1,"")</f>
        <v/>
      </c>
      <c r="D579" s="112" t="str">
        <f>IF(Tab.o1[[#This Row],[a1]]=1,IF(SUM(C579:C580)=0,0,IF(SUM(C578:C579)=1,1,IF(SUM(C578:C580)&gt;1,D578+1,0))),"")</f>
        <v/>
      </c>
      <c r="E579" s="113" t="str">
        <f>IF(Tab.o1[[#This Row],[a1]]=1,[1]!T.in.A[[#This Row],[oo1]],"")</f>
        <v/>
      </c>
      <c r="F579" s="113" t="str">
        <f>IF(Tab.o1[[#This Row],[a1]]=1,[1]!T.in.A[[#This Row],[pp1]],"")</f>
        <v/>
      </c>
      <c r="G579" s="114" t="str">
        <f>IF(Tab.o1[[#This Row],[a1]]=1,G$2+IF(G$1=1,0,Tab.o1[[#This Row],[.x1]])+[1]!T.in.A[[#This Row],[oo3]],"")</f>
        <v/>
      </c>
      <c r="H579" s="115" t="str">
        <f>IF(Tab.o1[[#This Row],[a1]]=1,IF(H$2=0,0,IF(G$1=1,0,Tab.o1[[#This Row],[.x1]])+[1]!T.in.A[[#This Row],[oo4]]),"")</f>
        <v/>
      </c>
      <c r="I579" s="116" t="str">
        <f>IF(Tab.o1[[#This Row],[a1]]=1,IF(J$2=0,Tab.o1[[#This Row],[MED]],Tab.o1[[#This Row],[MOD]]),"")</f>
        <v/>
      </c>
      <c r="J579" s="116" t="str">
        <f>IF(Tab.o1[[#This Row],[a1]]=1,((Tab.o1[[#This Row],[DIF_Target.]]-AVERAGE(Tab.o1[DIF_Target.]))/_xlfn.STDEV.P(Tab.o1[DIF_Target.])),"")</f>
        <v/>
      </c>
      <c r="K579" s="117" t="str">
        <f>IF(Tab.o1[[#This Row],[a1]]=1,IF(J$2=0,Tab.o1[[#This Row],[MOD]]-Tab.o1[[#This Row],[B]],IF(J$2=1,0,-Tab.o1[[#This Row],[MED]])+Tab.o1[[#This Row],[B]]),"")</f>
        <v/>
      </c>
      <c r="L579" s="117" t="str">
        <f ca="1">IF(Tab.o1[[#This Row],[DIF_Target]]=0,IF(L$2=0,Tab.o1[[#This Row],[DIF_Target]],AVERAGE(OFFSET(Tab.o1[[#This Row],[DIF_Target]],1,0,L$3,1)))/3,Tab.o1[[#This Row],[DIF_Target]])</f>
        <v/>
      </c>
      <c r="M579" s="118" t="str">
        <f>IF(Tab.o1[[#This Row],[a1]]=1,NORMSDIST(Tab.o1[[#This Row],[Za]]),"")</f>
        <v/>
      </c>
      <c r="N579" s="119" t="str">
        <f>IF(Tab.o1[[#This Row],[a1]]=1,((Tab.o1[[#This Row],[MedMod]]-AVERAGE(Tab.o1[MedMod]))/_xlfn.STDEV.P(Tab.o1[MedMod])*H$1205)+G$1205,"")</f>
        <v/>
      </c>
      <c r="O579" s="141" t="str">
        <f>IF(Tab.o1[[#This Row],[a1]]=1,Tab.o1[[#This Row],[Zb]]*_xlfn.STDEV.P(Tab.o1[MedMod])+AVERAGE(Tab.o1[MedMod]),"")</f>
        <v/>
      </c>
      <c r="P579" s="117" t="str">
        <f ca="1">IF(Tab.o1[[#This Row],[B]]=0,AVERAGE(OFFSET(Tab.o1[[#This Row],[B]],1,0,L$3,1)),Tab.o1[[#This Row],[B]])</f>
        <v/>
      </c>
      <c r="Q579" s="121" t="str">
        <f>IF(Tab.o1[[#This Row],[a1]]=1,NORMSDIST(Tab.o1[[#This Row],[Zb]]),"")</f>
        <v/>
      </c>
      <c r="R579" s="122" t="str">
        <f>IF(Tab.o1[[#This Row],[a1]]=1,((Tab.o1[[#This Row],[MedMod]]-AVERAGE(Tab.o1[MedMod]))/_xlfn.STDEV.P(Tab.o1[MedMod])*H$1203)+G$1203,"")</f>
        <v/>
      </c>
      <c r="S579" s="122" t="str">
        <f>IF(Tab.o1[[#This Row],[a1]]=1,((Tab.o1[[#This Row],[MedMod]]-AVERAGE(Tab.o1[MedMod]))/_xlfn.STDEV.P(Tab.o1[MedMod])*H$1204)+G$1204,"")</f>
        <v/>
      </c>
      <c r="T579" s="123" t="str">
        <f>IF(Tab.o1[[#This Row],[a1]]=1,Tab.o1[[#This Row],[Z-]]*_xlfn.STDEV.P(Tab.o1[B])+AVERAGE(Tab.o1[B]),"")</f>
        <v/>
      </c>
      <c r="U579" s="123" t="str">
        <f>IF(Tab.o1[[#This Row],[a1]]=1,Tab.o1[[#This Row],[z+]]*_xlfn.STDEV.P(Tab.o1[B])+AVERAGE(Tab.o1[B]),"")</f>
        <v/>
      </c>
      <c r="V579" s="124" t="str">
        <f>IF(Tab.o1[[#This Row],[a1]]=1,ABS((ABS(Tab.o1[[#This Row],[Red]]-Tab.o1[[#This Row],[Blue]]))),"")</f>
        <v/>
      </c>
      <c r="W579" s="125" t="str">
        <f>IF(Tab.o1[[#This Row],[a1]]=1,IF(W$3=0,1,Tab.o1[[#This Row],[Amp.]]*1/_xlfn.MINIFS(Tab.o1[Amp.],Tab.o1[Amp.],"&lt;&gt;0")),"")</f>
        <v/>
      </c>
      <c r="X579" s="126" t="str">
        <f>IF(Tab.o1[[#This Row],[a1]]=1,IF(ISNUMBER(Tab.o1[[#This Row],[i.]]),NORMDIST(Tab.o1[[#This Row],[Za]],0,1,FALSE)*Tab.o1[[#This Row],[i.]],AP$3),"")</f>
        <v/>
      </c>
      <c r="Y579" s="126" t="str">
        <f>IF(Tab.o1[[#This Row],[a1]]=1,0.01+0.94*Tab.o1[[#This Row],[PDF]]/MAX(Tab.o1[PDF]),"")</f>
        <v/>
      </c>
      <c r="Z579" s="126" t="str">
        <f>IF(Tab.o1[[#This Row],[a1]]=1,0.01+0.94*Tab.o1[[#This Row],[W1_PDF]]/MAX(Tab.o1[W1_PDF]),"")</f>
        <v/>
      </c>
      <c r="AA579" s="118" t="str">
        <f>IF(Tab.o1[[#This Row],[a1]]=1,ABS([1]!T.in.A[[#This Row],[oo6]]),"")</f>
        <v/>
      </c>
      <c r="AB579" s="127" t="str">
        <f>IF(Tab.o1[[#This Row],[a1]]=1,IF(AE$3=0,"",IF(AB$3=0,ABS([1]!T.in.A[[#This Row],[oo9]]),ABS(Tab.o1[[#This Row],[DIF_Target.]]*Tab.o1[[#This Row],[W1_PDF]]))),"")</f>
        <v/>
      </c>
      <c r="AC579" s="127" t="str">
        <f>IF(G$1=1,"",IF(Tab.o1[[#This Row],[a1]]=1,Tab.o1[[#This Row],[Wr]]^2,""))</f>
        <v/>
      </c>
      <c r="AD579" s="118" t="str">
        <f>IF(Tab.o1[[#This Row],[a1]]=1,IF(AE$3=0,"",Tab.o1[[#This Row],[Wr2]]/SUM(Tab.o1[Wr2])),"")</f>
        <v/>
      </c>
      <c r="AE579" s="128" t="str">
        <f>IF(Tab.o1[[#This Row],[a1]]=1,[1]!T.in.A[[#This Row],[oo10]],"")</f>
        <v/>
      </c>
      <c r="AF579" s="118" t="str">
        <f>IF(Tab.o1[[#This Row],[a1]]=1,ABS(Tab.o1[[#This Row],[DIF_Target.]]*Tab.o1[[#This Row],[PDF2]]*Tab.o1[[#This Row],[IN]]),"")</f>
        <v/>
      </c>
      <c r="AG579" s="129" t="str">
        <f>IF(Tab.o1[[#This Row],[a1]]=1,Tab.o1[[#This Row],[rW]]^2,"")</f>
        <v/>
      </c>
      <c r="AH579" s="130" t="str">
        <f>IF(Tab.o1[[#This Row],[a1]]=1,IF(AH$3=0,Tab.o1[[#This Row],[rW2]],0.01+0.94*Tab.o1[[#This Row],[rW2]]/SUM(Tab.o1[rW2])),"")</f>
        <v/>
      </c>
      <c r="AI579" s="128" t="str">
        <f>IF(Tab.o1[[#This Row],[a1]]=1,1/Tab.o1[[#This Row],[PDF]],"")</f>
        <v/>
      </c>
      <c r="AJ579" s="131" t="str">
        <f>IF(Tab.o1[[#This Row],[a1]]=1,[1]!T_AA[[#This Row],[IN'']]*[1]!T_AA[[#This Row],[Qde'']],"")</f>
        <v/>
      </c>
      <c r="AK579" s="132" t="str">
        <f>IF(Tab.o1[[#This Row],[a1]]=1,IF(AK$1=1,Tab.o1[[#This Row],[MED]]+Tab.o1[[#This Row],[MOD]]-Tab.o1[[#This Row],[MED]],""),"")</f>
        <v/>
      </c>
      <c r="AL579" s="133" t="str">
        <f>IF(Tab.o1[[#This Row],[a1]]=1,[1]!T.in.A[[#This Row],[oo16]],"")</f>
        <v/>
      </c>
      <c r="AM579" s="133" t="str">
        <f>IF(Tab.o1[[#This Row],[a1]]=1,IF(AM$3=1,[1]!T.in.A[[#This Row],[Σo16]],""),"")</f>
        <v/>
      </c>
      <c r="AN579" s="126" t="str">
        <f>IF(Tab.o1[[#This Row],[a1]]=1,[1]!T.in.A[[#This Row],[Σp5]],"")</f>
        <v/>
      </c>
      <c r="AO579" s="126" t="str">
        <f>IF(Tab.o1[[#This Row],[a1]]=1,IF(AO$3=1,[1]!T.in.A[[#This Row],[Σp5]],""),"")</f>
        <v/>
      </c>
      <c r="AP579" s="110" t="str">
        <f>IF(Tab.o1[[#This Row],[a1]]=1,IF(ISNUMBER(Tab.o1[[#This Row],[i.]]),NORMDIST(Tab.o1[[#This Row],[Za]],0,1,FALSE)*Tab.o1[[#This Row],[i.]],0),"")</f>
        <v/>
      </c>
      <c r="AQ579" s="125" t="str">
        <f>IF(Tab.o1[[#This Row],[a1]]=1,ABS(Tab.o1[[#This Row],[MOD]]-AVERAGE(Tab.o1[MOD])),"")</f>
        <v/>
      </c>
      <c r="AR579" s="134" t="str">
        <f>IF(Tab.o1[[#This Row],[a1]]=1,Tab.o1[[#This Row],[OBS]]/SUM(Tab.o1[OBS]),"")</f>
        <v/>
      </c>
      <c r="AS579" s="135" t="str">
        <f>IF(ISNUMBER(Tab.o1[[#This Row],[a1]]),ROW()-4,"")</f>
        <v/>
      </c>
      <c r="AT579" s="136" t="str">
        <f>Tab.o1[[#This Row],[MOD]]</f>
        <v/>
      </c>
      <c r="AU579" s="137" t="str">
        <f t="shared" si="33"/>
        <v/>
      </c>
      <c r="AV579" s="138" t="str">
        <f t="shared" si="34"/>
        <v/>
      </c>
      <c r="AW579" s="138" t="str">
        <f t="shared" si="35"/>
        <v/>
      </c>
      <c r="AX579" s="139" t="str">
        <f>[1]!T.in.A[[#This Row],[ID_T_manu]]</f>
        <v/>
      </c>
      <c r="AY579" s="140" t="str">
        <f>IF(ISNUMBER(Tab.o1[[#This Row],[a1]]),IF(AND(Tab.o1[[#This Row],[a1]]=1,Tab.o1[[#This Row],[b1]]&lt;=AY$4),#REF!,AY578),"")</f>
        <v/>
      </c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</row>
    <row r="580" spans="1:79" ht="15.75" hidden="1">
      <c r="A580" s="109">
        <v>4.0000000000000007E-6</v>
      </c>
      <c r="B580" s="110">
        <f t="shared" si="32"/>
        <v>580</v>
      </c>
      <c r="C580" s="111" t="str">
        <f>IF(C$1=[1]!T.in.A[[#This Row],[oo2]],1,"")</f>
        <v/>
      </c>
      <c r="D580" s="112" t="str">
        <f>IF(Tab.o1[[#This Row],[a1]]=1,IF(SUM(C580:C581)=0,0,IF(SUM(C579:C580)=1,1,IF(SUM(C579:C581)&gt;1,D579+1,0))),"")</f>
        <v/>
      </c>
      <c r="E580" s="113" t="str">
        <f>IF(Tab.o1[[#This Row],[a1]]=1,[1]!T.in.A[[#This Row],[oo1]],"")</f>
        <v/>
      </c>
      <c r="F580" s="113" t="str">
        <f>IF(Tab.o1[[#This Row],[a1]]=1,[1]!T.in.A[[#This Row],[pp1]],"")</f>
        <v/>
      </c>
      <c r="G580" s="114" t="str">
        <f>IF(Tab.o1[[#This Row],[a1]]=1,G$2+IF(G$1=1,0,Tab.o1[[#This Row],[.x1]])+[1]!T.in.A[[#This Row],[oo3]],"")</f>
        <v/>
      </c>
      <c r="H580" s="115" t="str">
        <f>IF(Tab.o1[[#This Row],[a1]]=1,IF(H$2=0,0,IF(G$1=1,0,Tab.o1[[#This Row],[.x1]])+[1]!T.in.A[[#This Row],[oo4]]),"")</f>
        <v/>
      </c>
      <c r="I580" s="116" t="str">
        <f>IF(Tab.o1[[#This Row],[a1]]=1,IF(J$2=0,Tab.o1[[#This Row],[MED]],Tab.o1[[#This Row],[MOD]]),"")</f>
        <v/>
      </c>
      <c r="J580" s="116" t="str">
        <f>IF(Tab.o1[[#This Row],[a1]]=1,((Tab.o1[[#This Row],[DIF_Target.]]-AVERAGE(Tab.o1[DIF_Target.]))/_xlfn.STDEV.P(Tab.o1[DIF_Target.])),"")</f>
        <v/>
      </c>
      <c r="K580" s="117" t="str">
        <f>IF(Tab.o1[[#This Row],[a1]]=1,IF(J$2=0,Tab.o1[[#This Row],[MOD]]-Tab.o1[[#This Row],[B]],IF(J$2=1,0,-Tab.o1[[#This Row],[MED]])+Tab.o1[[#This Row],[B]]),"")</f>
        <v/>
      </c>
      <c r="L580" s="117" t="str">
        <f ca="1">IF(Tab.o1[[#This Row],[DIF_Target]]=0,IF(L$2=0,Tab.o1[[#This Row],[DIF_Target]],AVERAGE(OFFSET(Tab.o1[[#This Row],[DIF_Target]],1,0,L$3,1)))/3,Tab.o1[[#This Row],[DIF_Target]])</f>
        <v/>
      </c>
      <c r="M580" s="118" t="str">
        <f>IF(Tab.o1[[#This Row],[a1]]=1,NORMSDIST(Tab.o1[[#This Row],[Za]]),"")</f>
        <v/>
      </c>
      <c r="N580" s="119" t="str">
        <f>IF(Tab.o1[[#This Row],[a1]]=1,((Tab.o1[[#This Row],[MedMod]]-AVERAGE(Tab.o1[MedMod]))/_xlfn.STDEV.P(Tab.o1[MedMod])*H$1205)+G$1205,"")</f>
        <v/>
      </c>
      <c r="O580" s="141" t="str">
        <f>IF(Tab.o1[[#This Row],[a1]]=1,Tab.o1[[#This Row],[Zb]]*_xlfn.STDEV.P(Tab.o1[MedMod])+AVERAGE(Tab.o1[MedMod]),"")</f>
        <v/>
      </c>
      <c r="P580" s="117" t="str">
        <f ca="1">IF(Tab.o1[[#This Row],[B]]=0,AVERAGE(OFFSET(Tab.o1[[#This Row],[B]],1,0,L$3,1)),Tab.o1[[#This Row],[B]])</f>
        <v/>
      </c>
      <c r="Q580" s="121" t="str">
        <f>IF(Tab.o1[[#This Row],[a1]]=1,NORMSDIST(Tab.o1[[#This Row],[Zb]]),"")</f>
        <v/>
      </c>
      <c r="R580" s="122" t="str">
        <f>IF(Tab.o1[[#This Row],[a1]]=1,((Tab.o1[[#This Row],[MedMod]]-AVERAGE(Tab.o1[MedMod]))/_xlfn.STDEV.P(Tab.o1[MedMod])*H$1203)+G$1203,"")</f>
        <v/>
      </c>
      <c r="S580" s="122" t="str">
        <f>IF(Tab.o1[[#This Row],[a1]]=1,((Tab.o1[[#This Row],[MedMod]]-AVERAGE(Tab.o1[MedMod]))/_xlfn.STDEV.P(Tab.o1[MedMod])*H$1204)+G$1204,"")</f>
        <v/>
      </c>
      <c r="T580" s="123" t="str">
        <f>IF(Tab.o1[[#This Row],[a1]]=1,Tab.o1[[#This Row],[Z-]]*_xlfn.STDEV.P(Tab.o1[B])+AVERAGE(Tab.o1[B]),"")</f>
        <v/>
      </c>
      <c r="U580" s="123" t="str">
        <f>IF(Tab.o1[[#This Row],[a1]]=1,Tab.o1[[#This Row],[z+]]*_xlfn.STDEV.P(Tab.o1[B])+AVERAGE(Tab.o1[B]),"")</f>
        <v/>
      </c>
      <c r="V580" s="124" t="str">
        <f>IF(Tab.o1[[#This Row],[a1]]=1,ABS((ABS(Tab.o1[[#This Row],[Red]]-Tab.o1[[#This Row],[Blue]]))),"")</f>
        <v/>
      </c>
      <c r="W580" s="125" t="str">
        <f>IF(Tab.o1[[#This Row],[a1]]=1,IF(W$3=0,1,Tab.o1[[#This Row],[Amp.]]*1/_xlfn.MINIFS(Tab.o1[Amp.],Tab.o1[Amp.],"&lt;&gt;0")),"")</f>
        <v/>
      </c>
      <c r="X580" s="126" t="str">
        <f>IF(Tab.o1[[#This Row],[a1]]=1,IF(ISNUMBER(Tab.o1[[#This Row],[i.]]),NORMDIST(Tab.o1[[#This Row],[Za]],0,1,FALSE)*Tab.o1[[#This Row],[i.]],AP$3),"")</f>
        <v/>
      </c>
      <c r="Y580" s="126" t="str">
        <f>IF(Tab.o1[[#This Row],[a1]]=1,0.01+0.94*Tab.o1[[#This Row],[PDF]]/MAX(Tab.o1[PDF]),"")</f>
        <v/>
      </c>
      <c r="Z580" s="126" t="str">
        <f>IF(Tab.o1[[#This Row],[a1]]=1,0.01+0.94*Tab.o1[[#This Row],[W1_PDF]]/MAX(Tab.o1[W1_PDF]),"")</f>
        <v/>
      </c>
      <c r="AA580" s="118" t="str">
        <f>IF(Tab.o1[[#This Row],[a1]]=1,ABS([1]!T.in.A[[#This Row],[oo6]]),"")</f>
        <v/>
      </c>
      <c r="AB580" s="127" t="str">
        <f>IF(Tab.o1[[#This Row],[a1]]=1,IF(AE$3=0,"",IF(AB$3=0,ABS([1]!T.in.A[[#This Row],[oo9]]),ABS(Tab.o1[[#This Row],[DIF_Target.]]*Tab.o1[[#This Row],[W1_PDF]]))),"")</f>
        <v/>
      </c>
      <c r="AC580" s="127" t="str">
        <f>IF(G$1=1,"",IF(Tab.o1[[#This Row],[a1]]=1,Tab.o1[[#This Row],[Wr]]^2,""))</f>
        <v/>
      </c>
      <c r="AD580" s="118" t="str">
        <f>IF(Tab.o1[[#This Row],[a1]]=1,IF(AE$3=0,"",Tab.o1[[#This Row],[Wr2]]/SUM(Tab.o1[Wr2])),"")</f>
        <v/>
      </c>
      <c r="AE580" s="128" t="str">
        <f>IF(Tab.o1[[#This Row],[a1]]=1,[1]!T.in.A[[#This Row],[oo10]],"")</f>
        <v/>
      </c>
      <c r="AF580" s="118" t="str">
        <f>IF(Tab.o1[[#This Row],[a1]]=1,ABS(Tab.o1[[#This Row],[DIF_Target.]]*Tab.o1[[#This Row],[PDF2]]*Tab.o1[[#This Row],[IN]]),"")</f>
        <v/>
      </c>
      <c r="AG580" s="129" t="str">
        <f>IF(Tab.o1[[#This Row],[a1]]=1,Tab.o1[[#This Row],[rW]]^2,"")</f>
        <v/>
      </c>
      <c r="AH580" s="130" t="str">
        <f>IF(Tab.o1[[#This Row],[a1]]=1,IF(AH$3=0,Tab.o1[[#This Row],[rW2]],0.01+0.94*Tab.o1[[#This Row],[rW2]]/SUM(Tab.o1[rW2])),"")</f>
        <v/>
      </c>
      <c r="AI580" s="128" t="str">
        <f>IF(Tab.o1[[#This Row],[a1]]=1,1/Tab.o1[[#This Row],[PDF]],"")</f>
        <v/>
      </c>
      <c r="AJ580" s="131" t="str">
        <f>IF(Tab.o1[[#This Row],[a1]]=1,[1]!T_AA[[#This Row],[IN'']]*[1]!T_AA[[#This Row],[Qde'']],"")</f>
        <v/>
      </c>
      <c r="AK580" s="132" t="str">
        <f>IF(Tab.o1[[#This Row],[a1]]=1,IF(AK$1=1,Tab.o1[[#This Row],[MED]]+Tab.o1[[#This Row],[MOD]]-Tab.o1[[#This Row],[MED]],""),"")</f>
        <v/>
      </c>
      <c r="AL580" s="133" t="str">
        <f>IF(Tab.o1[[#This Row],[a1]]=1,[1]!T.in.A[[#This Row],[oo16]],"")</f>
        <v/>
      </c>
      <c r="AM580" s="133" t="str">
        <f>IF(Tab.o1[[#This Row],[a1]]=1,IF(AM$3=1,[1]!T.in.A[[#This Row],[Σo16]],""),"")</f>
        <v/>
      </c>
      <c r="AN580" s="126" t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580" s="110" t="str">
        <f>IF(Tab.o1[[#This Row],[a1]]=1,IF(ISNUMBER(Tab.o1[[#This Row],[i.]]),NORMDIST(Tab.o1[[#This Row],[Za]],0,1,FALSE)*Tab.o1[[#This Row],[i.]],0),"")</f>
        <v/>
      </c>
      <c r="AQ580" s="125" t="str">
        <f>IF(Tab.o1[[#This Row],[a1]]=1,ABS(Tab.o1[[#This Row],[MOD]]-AVERAGE(Tab.o1[MOD])),"")</f>
        <v/>
      </c>
      <c r="AR580" s="134" t="str">
        <f>IF(Tab.o1[[#This Row],[a1]]=1,Tab.o1[[#This Row],[OBS]]/SUM(Tab.o1[OBS]),"")</f>
        <v/>
      </c>
      <c r="AS580" s="135" t="str">
        <f>IF(ISNUMBER(Tab.o1[[#This Row],[a1]]),ROW()-4,"")</f>
        <v/>
      </c>
      <c r="AT580" s="136" t="str">
        <f>Tab.o1[[#This Row],[MOD]]</f>
        <v/>
      </c>
      <c r="AU580" s="137" t="str">
        <f t="shared" si="33"/>
        <v/>
      </c>
      <c r="AV580" s="138" t="str">
        <f t="shared" si="34"/>
        <v/>
      </c>
      <c r="AW580" s="138" t="str">
        <f t="shared" si="35"/>
        <v/>
      </c>
      <c r="AX580" s="139" t="str">
        <f>[1]!T.in.A[[#This Row],[ID_T_manu]]</f>
        <v/>
      </c>
      <c r="AY580" s="140" t="str">
        <f>IF(ISNUMBER(Tab.o1[[#This Row],[a1]]),IF(AND(Tab.o1[[#This Row],[a1]]=1,Tab.o1[[#This Row],[b1]]&lt;=AY$4),#REF!,AY579),"")</f>
        <v/>
      </c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</row>
    <row r="581" spans="1:79" ht="15.75" hidden="1">
      <c r="A581" s="109">
        <v>-1.0000000000000002E-6</v>
      </c>
      <c r="B581" s="110">
        <f t="shared" si="32"/>
        <v>581</v>
      </c>
      <c r="C581" s="111" t="str">
        <f>IF(C$1=[1]!T.in.A[[#This Row],[oo2]],1,"")</f>
        <v/>
      </c>
      <c r="D581" s="112" t="str">
        <f>IF(Tab.o1[[#This Row],[a1]]=1,IF(SUM(C581:C582)=0,0,IF(SUM(C580:C581)=1,1,IF(SUM(C580:C582)&gt;1,D580+1,0))),"")</f>
        <v/>
      </c>
      <c r="E581" s="113" t="str">
        <f>IF(Tab.o1[[#This Row],[a1]]=1,[1]!T.in.A[[#This Row],[oo1]],"")</f>
        <v/>
      </c>
      <c r="F581" s="113" t="str">
        <f>IF(Tab.o1[[#This Row],[a1]]=1,[1]!T.in.A[[#This Row],[pp1]],"")</f>
        <v/>
      </c>
      <c r="G581" s="114" t="str">
        <f>IF(Tab.o1[[#This Row],[a1]]=1,G$2+IF(G$1=1,0,Tab.o1[[#This Row],[.x1]])+[1]!T.in.A[[#This Row],[oo3]],"")</f>
        <v/>
      </c>
      <c r="H581" s="115" t="str">
        <f>IF(Tab.o1[[#This Row],[a1]]=1,IF(H$2=0,0,IF(G$1=1,0,Tab.o1[[#This Row],[.x1]])+[1]!T.in.A[[#This Row],[oo4]]),"")</f>
        <v/>
      </c>
      <c r="I581" s="116" t="str">
        <f>IF(Tab.o1[[#This Row],[a1]]=1,IF(J$2=0,Tab.o1[[#This Row],[MED]],Tab.o1[[#This Row],[MOD]]),"")</f>
        <v/>
      </c>
      <c r="J581" s="116" t="str">
        <f>IF(Tab.o1[[#This Row],[a1]]=1,((Tab.o1[[#This Row],[DIF_Target.]]-AVERAGE(Tab.o1[DIF_Target.]))/_xlfn.STDEV.P(Tab.o1[DIF_Target.])),"")</f>
        <v/>
      </c>
      <c r="K581" s="117" t="str">
        <f>IF(Tab.o1[[#This Row],[a1]]=1,IF(J$2=0,Tab.o1[[#This Row],[MOD]]-Tab.o1[[#This Row],[B]],IF(J$2=1,0,-Tab.o1[[#This Row],[MED]])+Tab.o1[[#This Row],[B]]),"")</f>
        <v/>
      </c>
      <c r="L581" s="117" t="str">
        <f ca="1">IF(Tab.o1[[#This Row],[DIF_Target]]=0,IF(L$2=0,Tab.o1[[#This Row],[DIF_Target]],AVERAGE(OFFSET(Tab.o1[[#This Row],[DIF_Target]],1,0,L$3,1)))/3,Tab.o1[[#This Row],[DIF_Target]])</f>
        <v/>
      </c>
      <c r="M581" s="118" t="str">
        <f>IF(Tab.o1[[#This Row],[a1]]=1,NORMSDIST(Tab.o1[[#This Row],[Za]]),"")</f>
        <v/>
      </c>
      <c r="N581" s="119" t="str">
        <f>IF(Tab.o1[[#This Row],[a1]]=1,((Tab.o1[[#This Row],[MedMod]]-AVERAGE(Tab.o1[MedMod]))/_xlfn.STDEV.P(Tab.o1[MedMod])*H$1205)+G$1205,"")</f>
        <v/>
      </c>
      <c r="O581" s="141" t="str">
        <f>IF(Tab.o1[[#This Row],[a1]]=1,Tab.o1[[#This Row],[Zb]]*_xlfn.STDEV.P(Tab.o1[MedMod])+AVERAGE(Tab.o1[MedMod]),"")</f>
        <v/>
      </c>
      <c r="P581" s="117" t="str">
        <f ca="1">IF(Tab.o1[[#This Row],[B]]=0,AVERAGE(OFFSET(Tab.o1[[#This Row],[B]],1,0,L$3,1)),Tab.o1[[#This Row],[B]])</f>
        <v/>
      </c>
      <c r="Q581" s="121" t="str">
        <f>IF(Tab.o1[[#This Row],[a1]]=1,NORMSDIST(Tab.o1[[#This Row],[Zb]]),"")</f>
        <v/>
      </c>
      <c r="R581" s="122" t="str">
        <f>IF(Tab.o1[[#This Row],[a1]]=1,((Tab.o1[[#This Row],[MedMod]]-AVERAGE(Tab.o1[MedMod]))/_xlfn.STDEV.P(Tab.o1[MedMod])*H$1203)+G$1203,"")</f>
        <v/>
      </c>
      <c r="S581" s="122" t="str">
        <f>IF(Tab.o1[[#This Row],[a1]]=1,((Tab.o1[[#This Row],[MedMod]]-AVERAGE(Tab.o1[MedMod]))/_xlfn.STDEV.P(Tab.o1[MedMod])*H$1204)+G$1204,"")</f>
        <v/>
      </c>
      <c r="T581" s="123" t="str">
        <f>IF(Tab.o1[[#This Row],[a1]]=1,Tab.o1[[#This Row],[Z-]]*_xlfn.STDEV.P(Tab.o1[B])+AVERAGE(Tab.o1[B]),"")</f>
        <v/>
      </c>
      <c r="U581" s="123" t="str">
        <f>IF(Tab.o1[[#This Row],[a1]]=1,Tab.o1[[#This Row],[z+]]*_xlfn.STDEV.P(Tab.o1[B])+AVERAGE(Tab.o1[B]),"")</f>
        <v/>
      </c>
      <c r="V581" s="124" t="str">
        <f>IF(Tab.o1[[#This Row],[a1]]=1,ABS((ABS(Tab.o1[[#This Row],[Red]]-Tab.o1[[#This Row],[Blue]]))),"")</f>
        <v/>
      </c>
      <c r="W581" s="125" t="str">
        <f>IF(Tab.o1[[#This Row],[a1]]=1,IF(W$3=0,1,Tab.o1[[#This Row],[Amp.]]*1/_xlfn.MINIFS(Tab.o1[Amp.],Tab.o1[Amp.],"&lt;&gt;0")),"")</f>
        <v/>
      </c>
      <c r="X581" s="126" t="str">
        <f>IF(Tab.o1[[#This Row],[a1]]=1,IF(ISNUMBER(Tab.o1[[#This Row],[i.]]),NORMDIST(Tab.o1[[#This Row],[Za]],0,1,FALSE)*Tab.o1[[#This Row],[i.]],AP$3),"")</f>
        <v/>
      </c>
      <c r="Y581" s="126" t="str">
        <f>IF(Tab.o1[[#This Row],[a1]]=1,0.01+0.94*Tab.o1[[#This Row],[PDF]]/MAX(Tab.o1[PDF]),"")</f>
        <v/>
      </c>
      <c r="Z581" s="126" t="str">
        <f>IF(Tab.o1[[#This Row],[a1]]=1,0.01+0.94*Tab.o1[[#This Row],[W1_PDF]]/MAX(Tab.o1[W1_PDF]),"")</f>
        <v/>
      </c>
      <c r="AA581" s="118" t="str">
        <f>IF(Tab.o1[[#This Row],[a1]]=1,ABS([1]!T.in.A[[#This Row],[oo6]]),"")</f>
        <v/>
      </c>
      <c r="AB581" s="127" t="str">
        <f>IF(Tab.o1[[#This Row],[a1]]=1,IF(AE$3=0,"",IF(AB$3=0,ABS([1]!T.in.A[[#This Row],[oo9]]),ABS(Tab.o1[[#This Row],[DIF_Target.]]*Tab.o1[[#This Row],[W1_PDF]]))),"")</f>
        <v/>
      </c>
      <c r="AC581" s="127" t="str">
        <f>IF(G$1=1,"",IF(Tab.o1[[#This Row],[a1]]=1,Tab.o1[[#This Row],[Wr]]^2,""))</f>
        <v/>
      </c>
      <c r="AD581" s="118" t="str">
        <f>IF(Tab.o1[[#This Row],[a1]]=1,IF(AE$3=0,"",Tab.o1[[#This Row],[Wr2]]/SUM(Tab.o1[Wr2])),"")</f>
        <v/>
      </c>
      <c r="AE581" s="128" t="str">
        <f>IF(Tab.o1[[#This Row],[a1]]=1,[1]!T.in.A[[#This Row],[oo10]],"")</f>
        <v/>
      </c>
      <c r="AF581" s="118" t="str">
        <f>IF(Tab.o1[[#This Row],[a1]]=1,ABS(Tab.o1[[#This Row],[DIF_Target.]]*Tab.o1[[#This Row],[PDF2]]*Tab.o1[[#This Row],[IN]]),"")</f>
        <v/>
      </c>
      <c r="AG581" s="129" t="str">
        <f>IF(Tab.o1[[#This Row],[a1]]=1,Tab.o1[[#This Row],[rW]]^2,"")</f>
        <v/>
      </c>
      <c r="AH581" s="130" t="str">
        <f>IF(Tab.o1[[#This Row],[a1]]=1,IF(AH$3=0,Tab.o1[[#This Row],[rW2]],0.01+0.94*Tab.o1[[#This Row],[rW2]]/SUM(Tab.o1[rW2])),"")</f>
        <v/>
      </c>
      <c r="AI581" s="128" t="str">
        <f>IF(Tab.o1[[#This Row],[a1]]=1,1/Tab.o1[[#This Row],[PDF]],"")</f>
        <v/>
      </c>
      <c r="AJ581" s="131" t="str">
        <f>IF(Tab.o1[[#This Row],[a1]]=1,[1]!T_AA[[#This Row],[IN'']]*[1]!T_AA[[#This Row],[Qde'']],"")</f>
        <v/>
      </c>
      <c r="AK581" s="132" t="str">
        <f>IF(Tab.o1[[#This Row],[a1]]=1,IF(AK$1=1,Tab.o1[[#This Row],[MED]]+Tab.o1[[#This Row],[MOD]]-Tab.o1[[#This Row],[MED]],""),"")</f>
        <v/>
      </c>
      <c r="AL581" s="133" t="str">
        <f>IF(Tab.o1[[#This Row],[a1]]=1,[1]!T.in.A[[#This Row],[oo16]],"")</f>
        <v/>
      </c>
      <c r="AM581" s="133" t="str">
        <f>IF(Tab.o1[[#This Row],[a1]]=1,IF(AM$3=1,[1]!T.in.A[[#This Row],[Σo16]],""),"")</f>
        <v/>
      </c>
      <c r="AN581" s="126" t="str">
        <f>IF(Tab.o1[[#This Row],[a1]]=1,[1]!T.in.A[[#This Row],[Σp5]],"")</f>
        <v/>
      </c>
      <c r="AO581" s="126" t="str">
        <f>IF(Tab.o1[[#This Row],[a1]]=1,IF(AO$3=1,[1]!T.in.A[[#This Row],[Σp5]],""),"")</f>
        <v/>
      </c>
      <c r="AP581" s="110" t="str">
        <f>IF(Tab.o1[[#This Row],[a1]]=1,IF(ISNUMBER(Tab.o1[[#This Row],[i.]]),NORMDIST(Tab.o1[[#This Row],[Za]],0,1,FALSE)*Tab.o1[[#This Row],[i.]],0),"")</f>
        <v/>
      </c>
      <c r="AQ581" s="125" t="str">
        <f>IF(Tab.o1[[#This Row],[a1]]=1,ABS(Tab.o1[[#This Row],[MOD]]-AVERAGE(Tab.o1[MOD])),"")</f>
        <v/>
      </c>
      <c r="AR581" s="134" t="str">
        <f>IF(Tab.o1[[#This Row],[a1]]=1,Tab.o1[[#This Row],[OBS]]/SUM(Tab.o1[OBS]),"")</f>
        <v/>
      </c>
      <c r="AS581" s="135" t="str">
        <f>IF(ISNUMBER(Tab.o1[[#This Row],[a1]]),ROW()-4,"")</f>
        <v/>
      </c>
      <c r="AT581" s="136" t="str">
        <f>Tab.o1[[#This Row],[MOD]]</f>
        <v/>
      </c>
      <c r="AU581" s="137" t="str">
        <f t="shared" si="33"/>
        <v/>
      </c>
      <c r="AV581" s="138" t="str">
        <f t="shared" si="34"/>
        <v/>
      </c>
      <c r="AW581" s="138" t="str">
        <f t="shared" si="35"/>
        <v/>
      </c>
      <c r="AX581" s="139" t="str">
        <f>[1]!T.in.A[[#This Row],[ID_T_manu]]</f>
        <v/>
      </c>
      <c r="AY581" s="140" t="str">
        <f>IF(ISNUMBER(Tab.o1[[#This Row],[a1]]),IF(AND(Tab.o1[[#This Row],[a1]]=1,Tab.o1[[#This Row],[b1]]&lt;=AY$4),#REF!,AY580),"")</f>
        <v/>
      </c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</row>
    <row r="582" spans="1:79" ht="15.75" hidden="1">
      <c r="A582" s="109">
        <v>-4.0000000000000007E-6</v>
      </c>
      <c r="B582" s="110">
        <f t="shared" ref="B582:B645" si="36">B581+1</f>
        <v>582</v>
      </c>
      <c r="C582" s="111" t="str">
        <f>IF(C$1=[1]!T.in.A[[#This Row],[oo2]],1,"")</f>
        <v/>
      </c>
      <c r="D582" s="112" t="str">
        <f>IF(Tab.o1[[#This Row],[a1]]=1,IF(SUM(C582:C583)=0,0,IF(SUM(C581:C582)=1,1,IF(SUM(C581:C583)&gt;1,D581+1,0))),"")</f>
        <v/>
      </c>
      <c r="E582" s="113" t="str">
        <f>IF(Tab.o1[[#This Row],[a1]]=1,[1]!T.in.A[[#This Row],[oo1]],"")</f>
        <v/>
      </c>
      <c r="F582" s="113" t="str">
        <f>IF(Tab.o1[[#This Row],[a1]]=1,[1]!T.in.A[[#This Row],[pp1]],"")</f>
        <v/>
      </c>
      <c r="G582" s="114" t="str">
        <f>IF(Tab.o1[[#This Row],[a1]]=1,G$2+IF(G$1=1,0,Tab.o1[[#This Row],[.x1]])+[1]!T.in.A[[#This Row],[oo3]],"")</f>
        <v/>
      </c>
      <c r="H582" s="115" t="str">
        <f>IF(Tab.o1[[#This Row],[a1]]=1,IF(H$2=0,0,IF(G$1=1,0,Tab.o1[[#This Row],[.x1]])+[1]!T.in.A[[#This Row],[oo4]]),"")</f>
        <v/>
      </c>
      <c r="I582" s="116" t="str">
        <f>IF(Tab.o1[[#This Row],[a1]]=1,IF(J$2=0,Tab.o1[[#This Row],[MED]],Tab.o1[[#This Row],[MOD]]),"")</f>
        <v/>
      </c>
      <c r="J582" s="116" t="str">
        <f>IF(Tab.o1[[#This Row],[a1]]=1,((Tab.o1[[#This Row],[DIF_Target.]]-AVERAGE(Tab.o1[DIF_Target.]))/_xlfn.STDEV.P(Tab.o1[DIF_Target.])),"")</f>
        <v/>
      </c>
      <c r="K582" s="117" t="str">
        <f>IF(Tab.o1[[#This Row],[a1]]=1,IF(J$2=0,Tab.o1[[#This Row],[MOD]]-Tab.o1[[#This Row],[B]],IF(J$2=1,0,-Tab.o1[[#This Row],[MED]])+Tab.o1[[#This Row],[B]]),"")</f>
        <v/>
      </c>
      <c r="L582" s="117" t="str">
        <f ca="1">IF(Tab.o1[[#This Row],[DIF_Target]]=0,IF(L$2=0,Tab.o1[[#This Row],[DIF_Target]],AVERAGE(OFFSET(Tab.o1[[#This Row],[DIF_Target]],1,0,L$3,1)))/3,Tab.o1[[#This Row],[DIF_Target]])</f>
        <v/>
      </c>
      <c r="M582" s="118" t="str">
        <f>IF(Tab.o1[[#This Row],[a1]]=1,NORMSDIST(Tab.o1[[#This Row],[Za]]),"")</f>
        <v/>
      </c>
      <c r="N582" s="119" t="str">
        <f>IF(Tab.o1[[#This Row],[a1]]=1,((Tab.o1[[#This Row],[MedMod]]-AVERAGE(Tab.o1[MedMod]))/_xlfn.STDEV.P(Tab.o1[MedMod])*H$1205)+G$1205,"")</f>
        <v/>
      </c>
      <c r="O582" s="141" t="str">
        <f>IF(Tab.o1[[#This Row],[a1]]=1,Tab.o1[[#This Row],[Zb]]*_xlfn.STDEV.P(Tab.o1[MedMod])+AVERAGE(Tab.o1[MedMod]),"")</f>
        <v/>
      </c>
      <c r="P582" s="117" t="str">
        <f ca="1">IF(Tab.o1[[#This Row],[B]]=0,AVERAGE(OFFSET(Tab.o1[[#This Row],[B]],1,0,L$3,1)),Tab.o1[[#This Row],[B]])</f>
        <v/>
      </c>
      <c r="Q582" s="121" t="str">
        <f>IF(Tab.o1[[#This Row],[a1]]=1,NORMSDIST(Tab.o1[[#This Row],[Zb]]),"")</f>
        <v/>
      </c>
      <c r="R582" s="122" t="str">
        <f>IF(Tab.o1[[#This Row],[a1]]=1,((Tab.o1[[#This Row],[MedMod]]-AVERAGE(Tab.o1[MedMod]))/_xlfn.STDEV.P(Tab.o1[MedMod])*H$1203)+G$1203,"")</f>
        <v/>
      </c>
      <c r="S582" s="122" t="str">
        <f>IF(Tab.o1[[#This Row],[a1]]=1,((Tab.o1[[#This Row],[MedMod]]-AVERAGE(Tab.o1[MedMod]))/_xlfn.STDEV.P(Tab.o1[MedMod])*H$1204)+G$1204,"")</f>
        <v/>
      </c>
      <c r="T582" s="123" t="str">
        <f>IF(Tab.o1[[#This Row],[a1]]=1,Tab.o1[[#This Row],[Z-]]*_xlfn.STDEV.P(Tab.o1[B])+AVERAGE(Tab.o1[B]),"")</f>
        <v/>
      </c>
      <c r="U582" s="123" t="str">
        <f>IF(Tab.o1[[#This Row],[a1]]=1,Tab.o1[[#This Row],[z+]]*_xlfn.STDEV.P(Tab.o1[B])+AVERAGE(Tab.o1[B]),"")</f>
        <v/>
      </c>
      <c r="V582" s="124" t="str">
        <f>IF(Tab.o1[[#This Row],[a1]]=1,ABS((ABS(Tab.o1[[#This Row],[Red]]-Tab.o1[[#This Row],[Blue]]))),"")</f>
        <v/>
      </c>
      <c r="W582" s="125" t="str">
        <f>IF(Tab.o1[[#This Row],[a1]]=1,IF(W$3=0,1,Tab.o1[[#This Row],[Amp.]]*1/_xlfn.MINIFS(Tab.o1[Amp.],Tab.o1[Amp.],"&lt;&gt;0")),"")</f>
        <v/>
      </c>
      <c r="X582" s="126" t="str">
        <f>IF(Tab.o1[[#This Row],[a1]]=1,IF(ISNUMBER(Tab.o1[[#This Row],[i.]]),NORMDIST(Tab.o1[[#This Row],[Za]],0,1,FALSE)*Tab.o1[[#This Row],[i.]],AP$3),"")</f>
        <v/>
      </c>
      <c r="Y582" s="126" t="str">
        <f>IF(Tab.o1[[#This Row],[a1]]=1,0.01+0.94*Tab.o1[[#This Row],[PDF]]/MAX(Tab.o1[PDF]),"")</f>
        <v/>
      </c>
      <c r="Z582" s="126" t="str">
        <f>IF(Tab.o1[[#This Row],[a1]]=1,0.01+0.94*Tab.o1[[#This Row],[W1_PDF]]/MAX(Tab.o1[W1_PDF]),"")</f>
        <v/>
      </c>
      <c r="AA582" s="118" t="str">
        <f>IF(Tab.o1[[#This Row],[a1]]=1,ABS([1]!T.in.A[[#This Row],[oo6]]),"")</f>
        <v/>
      </c>
      <c r="AB582" s="127" t="str">
        <f>IF(Tab.o1[[#This Row],[a1]]=1,IF(AE$3=0,"",IF(AB$3=0,ABS([1]!T.in.A[[#This Row],[oo9]]),ABS(Tab.o1[[#This Row],[DIF_Target.]]*Tab.o1[[#This Row],[W1_PDF]]))),"")</f>
        <v/>
      </c>
      <c r="AC582" s="127" t="str">
        <f>IF(G$1=1,"",IF(Tab.o1[[#This Row],[a1]]=1,Tab.o1[[#This Row],[Wr]]^2,""))</f>
        <v/>
      </c>
      <c r="AD582" s="118" t="str">
        <f>IF(Tab.o1[[#This Row],[a1]]=1,IF(AE$3=0,"",Tab.o1[[#This Row],[Wr2]]/SUM(Tab.o1[Wr2])),"")</f>
        <v/>
      </c>
      <c r="AE582" s="128" t="str">
        <f>IF(Tab.o1[[#This Row],[a1]]=1,[1]!T.in.A[[#This Row],[oo10]],"")</f>
        <v/>
      </c>
      <c r="AF582" s="118" t="str">
        <f>IF(Tab.o1[[#This Row],[a1]]=1,ABS(Tab.o1[[#This Row],[DIF_Target.]]*Tab.o1[[#This Row],[PDF2]]*Tab.o1[[#This Row],[IN]]),"")</f>
        <v/>
      </c>
      <c r="AG582" s="129" t="str">
        <f>IF(Tab.o1[[#This Row],[a1]]=1,Tab.o1[[#This Row],[rW]]^2,"")</f>
        <v/>
      </c>
      <c r="AH582" s="130" t="str">
        <f>IF(Tab.o1[[#This Row],[a1]]=1,IF(AH$3=0,Tab.o1[[#This Row],[rW2]],0.01+0.94*Tab.o1[[#This Row],[rW2]]/SUM(Tab.o1[rW2])),"")</f>
        <v/>
      </c>
      <c r="AI582" s="128" t="str">
        <f>IF(Tab.o1[[#This Row],[a1]]=1,1/Tab.o1[[#This Row],[PDF]],"")</f>
        <v/>
      </c>
      <c r="AJ582" s="131" t="str">
        <f>IF(Tab.o1[[#This Row],[a1]]=1,[1]!T_AA[[#This Row],[IN'']]*[1]!T_AA[[#This Row],[Qde'']],"")</f>
        <v/>
      </c>
      <c r="AK582" s="132" t="str">
        <f>IF(Tab.o1[[#This Row],[a1]]=1,IF(AK$1=1,Tab.o1[[#This Row],[MED]]+Tab.o1[[#This Row],[MOD]]-Tab.o1[[#This Row],[MED]],""),"")</f>
        <v/>
      </c>
      <c r="AL582" s="133" t="str">
        <f>IF(Tab.o1[[#This Row],[a1]]=1,[1]!T.in.A[[#This Row],[oo16]],"")</f>
        <v/>
      </c>
      <c r="AM582" s="133" t="str">
        <f>IF(Tab.o1[[#This Row],[a1]]=1,IF(AM$3=1,[1]!T.in.A[[#This Row],[Σo16]],""),"")</f>
        <v/>
      </c>
      <c r="AN582" s="126" t="str">
        <f>IF(Tab.o1[[#This Row],[a1]]=1,[1]!T.in.A[[#This Row],[Σp5]],"")</f>
        <v/>
      </c>
      <c r="AO582" s="126" t="str">
        <f>IF(Tab.o1[[#This Row],[a1]]=1,IF(AO$3=1,[1]!T.in.A[[#This Row],[Σp5]],""),"")</f>
        <v/>
      </c>
      <c r="AP582" s="110" t="str">
        <f>IF(Tab.o1[[#This Row],[a1]]=1,IF(ISNUMBER(Tab.o1[[#This Row],[i.]]),NORMDIST(Tab.o1[[#This Row],[Za]],0,1,FALSE)*Tab.o1[[#This Row],[i.]],0),"")</f>
        <v/>
      </c>
      <c r="AQ582" s="125" t="str">
        <f>IF(Tab.o1[[#This Row],[a1]]=1,ABS(Tab.o1[[#This Row],[MOD]]-AVERAGE(Tab.o1[MOD])),"")</f>
        <v/>
      </c>
      <c r="AR582" s="134" t="str">
        <f>IF(Tab.o1[[#This Row],[a1]]=1,Tab.o1[[#This Row],[OBS]]/SUM(Tab.o1[OBS]),"")</f>
        <v/>
      </c>
      <c r="AS582" s="135" t="str">
        <f>IF(ISNUMBER(Tab.o1[[#This Row],[a1]]),ROW()-4,"")</f>
        <v/>
      </c>
      <c r="AT582" s="136" t="str">
        <f>Tab.o1[[#This Row],[MOD]]</f>
        <v/>
      </c>
      <c r="AU582" s="137" t="str">
        <f t="shared" ref="AU582:AU645" si="37">AT582</f>
        <v/>
      </c>
      <c r="AV582" s="138" t="str">
        <f t="shared" ref="AV582:AV645" si="38">IF(AND(ISNUMBER(AT582),ISNUMBER(AU582)),H582-AU582,"")</f>
        <v/>
      </c>
      <c r="AW582" s="138" t="str">
        <f t="shared" ref="AW582:AW645" si="39">IF(AW$4=0,"",IF(AV582&lt;AV$2,AV582," "))</f>
        <v/>
      </c>
      <c r="AX582" s="139" t="str">
        <f>[1]!T.in.A[[#This Row],[ID_T_manu]]</f>
        <v/>
      </c>
      <c r="AY582" s="140" t="str">
        <f>IF(ISNUMBER(Tab.o1[[#This Row],[a1]]),IF(AND(Tab.o1[[#This Row],[a1]]=1,Tab.o1[[#This Row],[b1]]&lt;=AY$4),#REF!,AY581),"")</f>
        <v/>
      </c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</row>
    <row r="583" spans="1:79" ht="15.75" hidden="1">
      <c r="A583" s="109">
        <v>-5.0000000000000004E-6</v>
      </c>
      <c r="B583" s="110">
        <f t="shared" si="36"/>
        <v>583</v>
      </c>
      <c r="C583" s="111" t="str">
        <f>IF(C$1=[1]!T.in.A[[#This Row],[oo2]],1,"")</f>
        <v/>
      </c>
      <c r="D583" s="112" t="str">
        <f>IF(Tab.o1[[#This Row],[a1]]=1,IF(SUM(C583:C584)=0,0,IF(SUM(C582:C583)=1,1,IF(SUM(C582:C584)&gt;1,D582+1,0))),"")</f>
        <v/>
      </c>
      <c r="E583" s="113" t="str">
        <f>IF(Tab.o1[[#This Row],[a1]]=1,[1]!T.in.A[[#This Row],[oo1]],"")</f>
        <v/>
      </c>
      <c r="F583" s="113" t="str">
        <f>IF(Tab.o1[[#This Row],[a1]]=1,[1]!T.in.A[[#This Row],[pp1]],"")</f>
        <v/>
      </c>
      <c r="G583" s="114" t="str">
        <f>IF(Tab.o1[[#This Row],[a1]]=1,G$2+IF(G$1=1,0,Tab.o1[[#This Row],[.x1]])+[1]!T.in.A[[#This Row],[oo3]],"")</f>
        <v/>
      </c>
      <c r="H583" s="115" t="str">
        <f>IF(Tab.o1[[#This Row],[a1]]=1,IF(H$2=0,0,IF(G$1=1,0,Tab.o1[[#This Row],[.x1]])+[1]!T.in.A[[#This Row],[oo4]]),"")</f>
        <v/>
      </c>
      <c r="I583" s="116" t="str">
        <f>IF(Tab.o1[[#This Row],[a1]]=1,IF(J$2=0,Tab.o1[[#This Row],[MED]],Tab.o1[[#This Row],[MOD]]),"")</f>
        <v/>
      </c>
      <c r="J583" s="116" t="str">
        <f>IF(Tab.o1[[#This Row],[a1]]=1,((Tab.o1[[#This Row],[DIF_Target.]]-AVERAGE(Tab.o1[DIF_Target.]))/_xlfn.STDEV.P(Tab.o1[DIF_Target.])),"")</f>
        <v/>
      </c>
      <c r="K583" s="117" t="str">
        <f>IF(Tab.o1[[#This Row],[a1]]=1,IF(J$2=0,Tab.o1[[#This Row],[MOD]]-Tab.o1[[#This Row],[B]],IF(J$2=1,0,-Tab.o1[[#This Row],[MED]])+Tab.o1[[#This Row],[B]]),"")</f>
        <v/>
      </c>
      <c r="L583" s="117" t="str">
        <f ca="1">IF(Tab.o1[[#This Row],[DIF_Target]]=0,IF(L$2=0,Tab.o1[[#This Row],[DIF_Target]],AVERAGE(OFFSET(Tab.o1[[#This Row],[DIF_Target]],1,0,L$3,1)))/3,Tab.o1[[#This Row],[DIF_Target]])</f>
        <v/>
      </c>
      <c r="M583" s="118" t="str">
        <f>IF(Tab.o1[[#This Row],[a1]]=1,NORMSDIST(Tab.o1[[#This Row],[Za]]),"")</f>
        <v/>
      </c>
      <c r="N583" s="119" t="str">
        <f>IF(Tab.o1[[#This Row],[a1]]=1,((Tab.o1[[#This Row],[MedMod]]-AVERAGE(Tab.o1[MedMod]))/_xlfn.STDEV.P(Tab.o1[MedMod])*H$1205)+G$1205,"")</f>
        <v/>
      </c>
      <c r="O583" s="141" t="str">
        <f>IF(Tab.o1[[#This Row],[a1]]=1,Tab.o1[[#This Row],[Zb]]*_xlfn.STDEV.P(Tab.o1[MedMod])+AVERAGE(Tab.o1[MedMod]),"")</f>
        <v/>
      </c>
      <c r="P583" s="117" t="str">
        <f ca="1">IF(Tab.o1[[#This Row],[B]]=0,AVERAGE(OFFSET(Tab.o1[[#This Row],[B]],1,0,L$3,1)),Tab.o1[[#This Row],[B]])</f>
        <v/>
      </c>
      <c r="Q583" s="121" t="str">
        <f>IF(Tab.o1[[#This Row],[a1]]=1,NORMSDIST(Tab.o1[[#This Row],[Zb]]),"")</f>
        <v/>
      </c>
      <c r="R583" s="122" t="str">
        <f>IF(Tab.o1[[#This Row],[a1]]=1,((Tab.o1[[#This Row],[MedMod]]-AVERAGE(Tab.o1[MedMod]))/_xlfn.STDEV.P(Tab.o1[MedMod])*H$1203)+G$1203,"")</f>
        <v/>
      </c>
      <c r="S583" s="122" t="str">
        <f>IF(Tab.o1[[#This Row],[a1]]=1,((Tab.o1[[#This Row],[MedMod]]-AVERAGE(Tab.o1[MedMod]))/_xlfn.STDEV.P(Tab.o1[MedMod])*H$1204)+G$1204,"")</f>
        <v/>
      </c>
      <c r="T583" s="123" t="str">
        <f>IF(Tab.o1[[#This Row],[a1]]=1,Tab.o1[[#This Row],[Z-]]*_xlfn.STDEV.P(Tab.o1[B])+AVERAGE(Tab.o1[B]),"")</f>
        <v/>
      </c>
      <c r="U583" s="123" t="str">
        <f>IF(Tab.o1[[#This Row],[a1]]=1,Tab.o1[[#This Row],[z+]]*_xlfn.STDEV.P(Tab.o1[B])+AVERAGE(Tab.o1[B]),"")</f>
        <v/>
      </c>
      <c r="V583" s="124" t="str">
        <f>IF(Tab.o1[[#This Row],[a1]]=1,ABS((ABS(Tab.o1[[#This Row],[Red]]-Tab.o1[[#This Row],[Blue]]))),"")</f>
        <v/>
      </c>
      <c r="W583" s="125" t="str">
        <f>IF(Tab.o1[[#This Row],[a1]]=1,IF(W$3=0,1,Tab.o1[[#This Row],[Amp.]]*1/_xlfn.MINIFS(Tab.o1[Amp.],Tab.o1[Amp.],"&lt;&gt;0")),"")</f>
        <v/>
      </c>
      <c r="X583" s="126" t="str">
        <f>IF(Tab.o1[[#This Row],[a1]]=1,IF(ISNUMBER(Tab.o1[[#This Row],[i.]]),NORMDIST(Tab.o1[[#This Row],[Za]],0,1,FALSE)*Tab.o1[[#This Row],[i.]],AP$3),"")</f>
        <v/>
      </c>
      <c r="Y583" s="126" t="str">
        <f>IF(Tab.o1[[#This Row],[a1]]=1,0.01+0.94*Tab.o1[[#This Row],[PDF]]/MAX(Tab.o1[PDF]),"")</f>
        <v/>
      </c>
      <c r="Z583" s="126" t="str">
        <f>IF(Tab.o1[[#This Row],[a1]]=1,0.01+0.94*Tab.o1[[#This Row],[W1_PDF]]/MAX(Tab.o1[W1_PDF]),"")</f>
        <v/>
      </c>
      <c r="AA583" s="118" t="str">
        <f>IF(Tab.o1[[#This Row],[a1]]=1,ABS([1]!T.in.A[[#This Row],[oo6]]),"")</f>
        <v/>
      </c>
      <c r="AB583" s="127" t="str">
        <f>IF(Tab.o1[[#This Row],[a1]]=1,IF(AE$3=0,"",IF(AB$3=0,ABS([1]!T.in.A[[#This Row],[oo9]]),ABS(Tab.o1[[#This Row],[DIF_Target.]]*Tab.o1[[#This Row],[W1_PDF]]))),"")</f>
        <v/>
      </c>
      <c r="AC583" s="127" t="str">
        <f>IF(G$1=1,"",IF(Tab.o1[[#This Row],[a1]]=1,Tab.o1[[#This Row],[Wr]]^2,""))</f>
        <v/>
      </c>
      <c r="AD583" s="118" t="str">
        <f>IF(Tab.o1[[#This Row],[a1]]=1,IF(AE$3=0,"",Tab.o1[[#This Row],[Wr2]]/SUM(Tab.o1[Wr2])),"")</f>
        <v/>
      </c>
      <c r="AE583" s="128" t="str">
        <f>IF(Tab.o1[[#This Row],[a1]]=1,[1]!T.in.A[[#This Row],[oo10]],"")</f>
        <v/>
      </c>
      <c r="AF583" s="118" t="str">
        <f>IF(Tab.o1[[#This Row],[a1]]=1,ABS(Tab.o1[[#This Row],[DIF_Target.]]*Tab.o1[[#This Row],[PDF2]]*Tab.o1[[#This Row],[IN]]),"")</f>
        <v/>
      </c>
      <c r="AG583" s="129" t="str">
        <f>IF(Tab.o1[[#This Row],[a1]]=1,Tab.o1[[#This Row],[rW]]^2,"")</f>
        <v/>
      </c>
      <c r="AH583" s="130" t="str">
        <f>IF(Tab.o1[[#This Row],[a1]]=1,IF(AH$3=0,Tab.o1[[#This Row],[rW2]],0.01+0.94*Tab.o1[[#This Row],[rW2]]/SUM(Tab.o1[rW2])),"")</f>
        <v/>
      </c>
      <c r="AI583" s="128" t="str">
        <f>IF(Tab.o1[[#This Row],[a1]]=1,1/Tab.o1[[#This Row],[PDF]],"")</f>
        <v/>
      </c>
      <c r="AJ583" s="131" t="str">
        <f>IF(Tab.o1[[#This Row],[a1]]=1,[1]!T_AA[[#This Row],[IN'']]*[1]!T_AA[[#This Row],[Qde'']],"")</f>
        <v/>
      </c>
      <c r="AK583" s="132" t="str">
        <f>IF(Tab.o1[[#This Row],[a1]]=1,IF(AK$1=1,Tab.o1[[#This Row],[MED]]+Tab.o1[[#This Row],[MOD]]-Tab.o1[[#This Row],[MED]],""),"")</f>
        <v/>
      </c>
      <c r="AL583" s="133" t="str">
        <f>IF(Tab.o1[[#This Row],[a1]]=1,[1]!T.in.A[[#This Row],[oo16]],"")</f>
        <v/>
      </c>
      <c r="AM583" s="133" t="str">
        <f>IF(Tab.o1[[#This Row],[a1]]=1,IF(AM$3=1,[1]!T.in.A[[#This Row],[Σo16]],""),"")</f>
        <v/>
      </c>
      <c r="AN583" s="126" t="str">
        <f>IF(Tab.o1[[#This Row],[a1]]=1,[1]!T.in.A[[#This Row],[Σp5]],"")</f>
        <v/>
      </c>
      <c r="AO583" s="126" t="str">
        <f>IF(Tab.o1[[#This Row],[a1]]=1,IF(AO$3=1,[1]!T.in.A[[#This Row],[Σp5]],""),"")</f>
        <v/>
      </c>
      <c r="AP583" s="110" t="str">
        <f>IF(Tab.o1[[#This Row],[a1]]=1,IF(ISNUMBER(Tab.o1[[#This Row],[i.]]),NORMDIST(Tab.o1[[#This Row],[Za]],0,1,FALSE)*Tab.o1[[#This Row],[i.]],0),"")</f>
        <v/>
      </c>
      <c r="AQ583" s="125" t="str">
        <f>IF(Tab.o1[[#This Row],[a1]]=1,ABS(Tab.o1[[#This Row],[MOD]]-AVERAGE(Tab.o1[MOD])),"")</f>
        <v/>
      </c>
      <c r="AR583" s="134" t="str">
        <f>IF(Tab.o1[[#This Row],[a1]]=1,Tab.o1[[#This Row],[OBS]]/SUM(Tab.o1[OBS]),"")</f>
        <v/>
      </c>
      <c r="AS583" s="135" t="str">
        <f>IF(ISNUMBER(Tab.o1[[#This Row],[a1]]),ROW()-4,"")</f>
        <v/>
      </c>
      <c r="AT583" s="136" t="str">
        <f>Tab.o1[[#This Row],[MOD]]</f>
        <v/>
      </c>
      <c r="AU583" s="137" t="str">
        <f t="shared" si="37"/>
        <v/>
      </c>
      <c r="AV583" s="138" t="str">
        <f t="shared" si="38"/>
        <v/>
      </c>
      <c r="AW583" s="138" t="str">
        <f t="shared" si="39"/>
        <v/>
      </c>
      <c r="AX583" s="139" t="str">
        <f>[1]!T.in.A[[#This Row],[ID_T_manu]]</f>
        <v/>
      </c>
      <c r="AY583" s="140" t="str">
        <f>IF(ISNUMBER(Tab.o1[[#This Row],[a1]]),IF(AND(Tab.o1[[#This Row],[a1]]=1,Tab.o1[[#This Row],[b1]]&lt;=AY$4),#REF!,AY582),"")</f>
        <v/>
      </c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</row>
    <row r="584" spans="1:79" ht="15.75" hidden="1">
      <c r="A584" s="109">
        <v>5.9999999999999993E-6</v>
      </c>
      <c r="B584" s="110">
        <f t="shared" si="36"/>
        <v>584</v>
      </c>
      <c r="C584" s="111" t="str">
        <f>IF(C$1=[1]!T.in.A[[#This Row],[oo2]],1,"")</f>
        <v/>
      </c>
      <c r="D584" s="112" t="str">
        <f>IF(Tab.o1[[#This Row],[a1]]=1,IF(SUM(C584:C585)=0,0,IF(SUM(C583:C584)=1,1,IF(SUM(C583:C585)&gt;1,D583+1,0))),"")</f>
        <v/>
      </c>
      <c r="E584" s="113" t="str">
        <f>IF(Tab.o1[[#This Row],[a1]]=1,[1]!T.in.A[[#This Row],[oo1]],"")</f>
        <v/>
      </c>
      <c r="F584" s="113" t="str">
        <f>IF(Tab.o1[[#This Row],[a1]]=1,[1]!T.in.A[[#This Row],[pp1]],"")</f>
        <v/>
      </c>
      <c r="G584" s="114" t="str">
        <f>IF(Tab.o1[[#This Row],[a1]]=1,G$2+IF(G$1=1,0,Tab.o1[[#This Row],[.x1]])+[1]!T.in.A[[#This Row],[oo3]],"")</f>
        <v/>
      </c>
      <c r="H584" s="115" t="str">
        <f>IF(Tab.o1[[#This Row],[a1]]=1,IF(H$2=0,0,IF(G$1=1,0,Tab.o1[[#This Row],[.x1]])+[1]!T.in.A[[#This Row],[oo4]]),"")</f>
        <v/>
      </c>
      <c r="I584" s="116" t="str">
        <f>IF(Tab.o1[[#This Row],[a1]]=1,IF(J$2=0,Tab.o1[[#This Row],[MED]],Tab.o1[[#This Row],[MOD]]),"")</f>
        <v/>
      </c>
      <c r="J584" s="116" t="str">
        <f>IF(Tab.o1[[#This Row],[a1]]=1,((Tab.o1[[#This Row],[DIF_Target.]]-AVERAGE(Tab.o1[DIF_Target.]))/_xlfn.STDEV.P(Tab.o1[DIF_Target.])),"")</f>
        <v/>
      </c>
      <c r="K584" s="117" t="str">
        <f>IF(Tab.o1[[#This Row],[a1]]=1,IF(J$2=0,Tab.o1[[#This Row],[MOD]]-Tab.o1[[#This Row],[B]],IF(J$2=1,0,-Tab.o1[[#This Row],[MED]])+Tab.o1[[#This Row],[B]]),"")</f>
        <v/>
      </c>
      <c r="L584" s="117" t="str">
        <f ca="1">IF(Tab.o1[[#This Row],[DIF_Target]]=0,IF(L$2=0,Tab.o1[[#This Row],[DIF_Target]],AVERAGE(OFFSET(Tab.o1[[#This Row],[DIF_Target]],1,0,L$3,1)))/3,Tab.o1[[#This Row],[DIF_Target]])</f>
        <v/>
      </c>
      <c r="M584" s="118" t="str">
        <f>IF(Tab.o1[[#This Row],[a1]]=1,NORMSDIST(Tab.o1[[#This Row],[Za]]),"")</f>
        <v/>
      </c>
      <c r="N584" s="119" t="str">
        <f>IF(Tab.o1[[#This Row],[a1]]=1,((Tab.o1[[#This Row],[MedMod]]-AVERAGE(Tab.o1[MedMod]))/_xlfn.STDEV.P(Tab.o1[MedMod])*H$1205)+G$1205,"")</f>
        <v/>
      </c>
      <c r="O584" s="141" t="str">
        <f>IF(Tab.o1[[#This Row],[a1]]=1,Tab.o1[[#This Row],[Zb]]*_xlfn.STDEV.P(Tab.o1[MedMod])+AVERAGE(Tab.o1[MedMod]),"")</f>
        <v/>
      </c>
      <c r="P584" s="117" t="str">
        <f ca="1">IF(Tab.o1[[#This Row],[B]]=0,AVERAGE(OFFSET(Tab.o1[[#This Row],[B]],1,0,L$3,1)),Tab.o1[[#This Row],[B]])</f>
        <v/>
      </c>
      <c r="Q584" s="121" t="str">
        <f>IF(Tab.o1[[#This Row],[a1]]=1,NORMSDIST(Tab.o1[[#This Row],[Zb]]),"")</f>
        <v/>
      </c>
      <c r="R584" s="122" t="str">
        <f>IF(Tab.o1[[#This Row],[a1]]=1,((Tab.o1[[#This Row],[MedMod]]-AVERAGE(Tab.o1[MedMod]))/_xlfn.STDEV.P(Tab.o1[MedMod])*H$1203)+G$1203,"")</f>
        <v/>
      </c>
      <c r="S584" s="122" t="str">
        <f>IF(Tab.o1[[#This Row],[a1]]=1,((Tab.o1[[#This Row],[MedMod]]-AVERAGE(Tab.o1[MedMod]))/_xlfn.STDEV.P(Tab.o1[MedMod])*H$1204)+G$1204,"")</f>
        <v/>
      </c>
      <c r="T584" s="123" t="str">
        <f>IF(Tab.o1[[#This Row],[a1]]=1,Tab.o1[[#This Row],[Z-]]*_xlfn.STDEV.P(Tab.o1[B])+AVERAGE(Tab.o1[B]),"")</f>
        <v/>
      </c>
      <c r="U584" s="123" t="str">
        <f>IF(Tab.o1[[#This Row],[a1]]=1,Tab.o1[[#This Row],[z+]]*_xlfn.STDEV.P(Tab.o1[B])+AVERAGE(Tab.o1[B]),"")</f>
        <v/>
      </c>
      <c r="V584" s="124" t="str">
        <f>IF(Tab.o1[[#This Row],[a1]]=1,ABS((ABS(Tab.o1[[#This Row],[Red]]-Tab.o1[[#This Row],[Blue]]))),"")</f>
        <v/>
      </c>
      <c r="W584" s="125" t="str">
        <f>IF(Tab.o1[[#This Row],[a1]]=1,IF(W$3=0,1,Tab.o1[[#This Row],[Amp.]]*1/_xlfn.MINIFS(Tab.o1[Amp.],Tab.o1[Amp.],"&lt;&gt;0")),"")</f>
        <v/>
      </c>
      <c r="X584" s="126" t="str">
        <f>IF(Tab.o1[[#This Row],[a1]]=1,IF(ISNUMBER(Tab.o1[[#This Row],[i.]]),NORMDIST(Tab.o1[[#This Row],[Za]],0,1,FALSE)*Tab.o1[[#This Row],[i.]],AP$3),"")</f>
        <v/>
      </c>
      <c r="Y584" s="126" t="str">
        <f>IF(Tab.o1[[#This Row],[a1]]=1,0.01+0.94*Tab.o1[[#This Row],[PDF]]/MAX(Tab.o1[PDF]),"")</f>
        <v/>
      </c>
      <c r="Z584" s="126" t="str">
        <f>IF(Tab.o1[[#This Row],[a1]]=1,0.01+0.94*Tab.o1[[#This Row],[W1_PDF]]/MAX(Tab.o1[W1_PDF]),"")</f>
        <v/>
      </c>
      <c r="AA584" s="118" t="str">
        <f>IF(Tab.o1[[#This Row],[a1]]=1,ABS([1]!T.in.A[[#This Row],[oo6]]),"")</f>
        <v/>
      </c>
      <c r="AB584" s="127" t="str">
        <f>IF(Tab.o1[[#This Row],[a1]]=1,IF(AE$3=0,"",IF(AB$3=0,ABS([1]!T.in.A[[#This Row],[oo9]]),ABS(Tab.o1[[#This Row],[DIF_Target.]]*Tab.o1[[#This Row],[W1_PDF]]))),"")</f>
        <v/>
      </c>
      <c r="AC584" s="127" t="str">
        <f>IF(G$1=1,"",IF(Tab.o1[[#This Row],[a1]]=1,Tab.o1[[#This Row],[Wr]]^2,""))</f>
        <v/>
      </c>
      <c r="AD584" s="118" t="str">
        <f>IF(Tab.o1[[#This Row],[a1]]=1,IF(AE$3=0,"",Tab.o1[[#This Row],[Wr2]]/SUM(Tab.o1[Wr2])),"")</f>
        <v/>
      </c>
      <c r="AE584" s="128" t="str">
        <f>IF(Tab.o1[[#This Row],[a1]]=1,[1]!T.in.A[[#This Row],[oo10]],"")</f>
        <v/>
      </c>
      <c r="AF584" s="118" t="str">
        <f>IF(Tab.o1[[#This Row],[a1]]=1,ABS(Tab.o1[[#This Row],[DIF_Target.]]*Tab.o1[[#This Row],[PDF2]]*Tab.o1[[#This Row],[IN]]),"")</f>
        <v/>
      </c>
      <c r="AG584" s="129" t="str">
        <f>IF(Tab.o1[[#This Row],[a1]]=1,Tab.o1[[#This Row],[rW]]^2,"")</f>
        <v/>
      </c>
      <c r="AH584" s="130" t="str">
        <f>IF(Tab.o1[[#This Row],[a1]]=1,IF(AH$3=0,Tab.o1[[#This Row],[rW2]],0.01+0.94*Tab.o1[[#This Row],[rW2]]/SUM(Tab.o1[rW2])),"")</f>
        <v/>
      </c>
      <c r="AI584" s="128" t="str">
        <f>IF(Tab.o1[[#This Row],[a1]]=1,1/Tab.o1[[#This Row],[PDF]],"")</f>
        <v/>
      </c>
      <c r="AJ584" s="131" t="str">
        <f>IF(Tab.o1[[#This Row],[a1]]=1,[1]!T_AA[[#This Row],[IN'']]*[1]!T_AA[[#This Row],[Qde'']],"")</f>
        <v/>
      </c>
      <c r="AK584" s="132" t="str">
        <f>IF(Tab.o1[[#This Row],[a1]]=1,IF(AK$1=1,Tab.o1[[#This Row],[MED]]+Tab.o1[[#This Row],[MOD]]-Tab.o1[[#This Row],[MED]],""),"")</f>
        <v/>
      </c>
      <c r="AL584" s="133" t="str">
        <f>IF(Tab.o1[[#This Row],[a1]]=1,[1]!T.in.A[[#This Row],[oo16]],"")</f>
        <v/>
      </c>
      <c r="AM584" s="133" t="str">
        <f>IF(Tab.o1[[#This Row],[a1]]=1,IF(AM$3=1,[1]!T.in.A[[#This Row],[Σo16]],""),"")</f>
        <v/>
      </c>
      <c r="AN584" s="126" t="str">
        <f>IF(Tab.o1[[#This Row],[a1]]=1,[1]!T.in.A[[#This Row],[Σp5]],"")</f>
        <v/>
      </c>
      <c r="AO584" s="126" t="str">
        <f>IF(Tab.o1[[#This Row],[a1]]=1,IF(AO$3=1,[1]!T.in.A[[#This Row],[Σp5]],""),"")</f>
        <v/>
      </c>
      <c r="AP584" s="110" t="str">
        <f>IF(Tab.o1[[#This Row],[a1]]=1,IF(ISNUMBER(Tab.o1[[#This Row],[i.]]),NORMDIST(Tab.o1[[#This Row],[Za]],0,1,FALSE)*Tab.o1[[#This Row],[i.]],0),"")</f>
        <v/>
      </c>
      <c r="AQ584" s="125" t="str">
        <f>IF(Tab.o1[[#This Row],[a1]]=1,ABS(Tab.o1[[#This Row],[MOD]]-AVERAGE(Tab.o1[MOD])),"")</f>
        <v/>
      </c>
      <c r="AR584" s="134" t="str">
        <f>IF(Tab.o1[[#This Row],[a1]]=1,Tab.o1[[#This Row],[OBS]]/SUM(Tab.o1[OBS]),"")</f>
        <v/>
      </c>
      <c r="AS584" s="135" t="str">
        <f>IF(ISNUMBER(Tab.o1[[#This Row],[a1]]),ROW()-4,"")</f>
        <v/>
      </c>
      <c r="AT584" s="136" t="str">
        <f>Tab.o1[[#This Row],[MOD]]</f>
        <v/>
      </c>
      <c r="AU584" s="137" t="str">
        <f t="shared" si="37"/>
        <v/>
      </c>
      <c r="AV584" s="138" t="str">
        <f t="shared" si="38"/>
        <v/>
      </c>
      <c r="AW584" s="138" t="str">
        <f t="shared" si="39"/>
        <v/>
      </c>
      <c r="AX584" s="139" t="str">
        <f>[1]!T.in.A[[#This Row],[ID_T_manu]]</f>
        <v/>
      </c>
      <c r="AY584" s="140" t="str">
        <f>IF(ISNUMBER(Tab.o1[[#This Row],[a1]]),IF(AND(Tab.o1[[#This Row],[a1]]=1,Tab.o1[[#This Row],[b1]]&lt;=AY$4),#REF!,AY583),"")</f>
        <v/>
      </c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</row>
    <row r="585" spans="1:79" ht="15.75" hidden="1">
      <c r="A585" s="109">
        <v>-2.9999999999999997E-6</v>
      </c>
      <c r="B585" s="110">
        <f t="shared" si="36"/>
        <v>585</v>
      </c>
      <c r="C585" s="111" t="str">
        <f>IF(C$1=[1]!T.in.A[[#This Row],[oo2]],1,"")</f>
        <v/>
      </c>
      <c r="D585" s="112" t="str">
        <f>IF(Tab.o1[[#This Row],[a1]]=1,IF(SUM(C585:C586)=0,0,IF(SUM(C584:C585)=1,1,IF(SUM(C584:C586)&gt;1,D584+1,0))),"")</f>
        <v/>
      </c>
      <c r="E585" s="113" t="str">
        <f>IF(Tab.o1[[#This Row],[a1]]=1,[1]!T.in.A[[#This Row],[oo1]],"")</f>
        <v/>
      </c>
      <c r="F585" s="113" t="str">
        <f>IF(Tab.o1[[#This Row],[a1]]=1,[1]!T.in.A[[#This Row],[pp1]],"")</f>
        <v/>
      </c>
      <c r="G585" s="114" t="str">
        <f>IF(Tab.o1[[#This Row],[a1]]=1,G$2+IF(G$1=1,0,Tab.o1[[#This Row],[.x1]])+[1]!T.in.A[[#This Row],[oo3]],"")</f>
        <v/>
      </c>
      <c r="H585" s="115" t="str">
        <f>IF(Tab.o1[[#This Row],[a1]]=1,IF(H$2=0,0,IF(G$1=1,0,Tab.o1[[#This Row],[.x1]])+[1]!T.in.A[[#This Row],[oo4]]),"")</f>
        <v/>
      </c>
      <c r="I585" s="116" t="str">
        <f>IF(Tab.o1[[#This Row],[a1]]=1,IF(J$2=0,Tab.o1[[#This Row],[MED]],Tab.o1[[#This Row],[MOD]]),"")</f>
        <v/>
      </c>
      <c r="J585" s="116" t="str">
        <f>IF(Tab.o1[[#This Row],[a1]]=1,((Tab.o1[[#This Row],[DIF_Target.]]-AVERAGE(Tab.o1[DIF_Target.]))/_xlfn.STDEV.P(Tab.o1[DIF_Target.])),"")</f>
        <v/>
      </c>
      <c r="K585" s="117" t="str">
        <f>IF(Tab.o1[[#This Row],[a1]]=1,IF(J$2=0,Tab.o1[[#This Row],[MOD]]-Tab.o1[[#This Row],[B]],IF(J$2=1,0,-Tab.o1[[#This Row],[MED]])+Tab.o1[[#This Row],[B]]),"")</f>
        <v/>
      </c>
      <c r="L585" s="117" t="str">
        <f ca="1">IF(Tab.o1[[#This Row],[DIF_Target]]=0,IF(L$2=0,Tab.o1[[#This Row],[DIF_Target]],AVERAGE(OFFSET(Tab.o1[[#This Row],[DIF_Target]],1,0,L$3,1)))/3,Tab.o1[[#This Row],[DIF_Target]])</f>
        <v/>
      </c>
      <c r="M585" s="118" t="str">
        <f>IF(Tab.o1[[#This Row],[a1]]=1,NORMSDIST(Tab.o1[[#This Row],[Za]]),"")</f>
        <v/>
      </c>
      <c r="N585" s="119" t="str">
        <f>IF(Tab.o1[[#This Row],[a1]]=1,((Tab.o1[[#This Row],[MedMod]]-AVERAGE(Tab.o1[MedMod]))/_xlfn.STDEV.P(Tab.o1[MedMod])*H$1205)+G$1205,"")</f>
        <v/>
      </c>
      <c r="O585" s="141" t="str">
        <f>IF(Tab.o1[[#This Row],[a1]]=1,Tab.o1[[#This Row],[Zb]]*_xlfn.STDEV.P(Tab.o1[MedMod])+AVERAGE(Tab.o1[MedMod]),"")</f>
        <v/>
      </c>
      <c r="P585" s="117" t="str">
        <f ca="1">IF(Tab.o1[[#This Row],[B]]=0,AVERAGE(OFFSET(Tab.o1[[#This Row],[B]],1,0,L$3,1)),Tab.o1[[#This Row],[B]])</f>
        <v/>
      </c>
      <c r="Q585" s="121" t="str">
        <f>IF(Tab.o1[[#This Row],[a1]]=1,NORMSDIST(Tab.o1[[#This Row],[Zb]]),"")</f>
        <v/>
      </c>
      <c r="R585" s="122" t="str">
        <f>IF(Tab.o1[[#This Row],[a1]]=1,((Tab.o1[[#This Row],[MedMod]]-AVERAGE(Tab.o1[MedMod]))/_xlfn.STDEV.P(Tab.o1[MedMod])*H$1203)+G$1203,"")</f>
        <v/>
      </c>
      <c r="S585" s="122" t="str">
        <f>IF(Tab.o1[[#This Row],[a1]]=1,((Tab.o1[[#This Row],[MedMod]]-AVERAGE(Tab.o1[MedMod]))/_xlfn.STDEV.P(Tab.o1[MedMod])*H$1204)+G$1204,"")</f>
        <v/>
      </c>
      <c r="T585" s="123" t="str">
        <f>IF(Tab.o1[[#This Row],[a1]]=1,Tab.o1[[#This Row],[Z-]]*_xlfn.STDEV.P(Tab.o1[B])+AVERAGE(Tab.o1[B]),"")</f>
        <v/>
      </c>
      <c r="U585" s="123" t="str">
        <f>IF(Tab.o1[[#This Row],[a1]]=1,Tab.o1[[#This Row],[z+]]*_xlfn.STDEV.P(Tab.o1[B])+AVERAGE(Tab.o1[B]),"")</f>
        <v/>
      </c>
      <c r="V585" s="124" t="str">
        <f>IF(Tab.o1[[#This Row],[a1]]=1,ABS((ABS(Tab.o1[[#This Row],[Red]]-Tab.o1[[#This Row],[Blue]]))),"")</f>
        <v/>
      </c>
      <c r="W585" s="125" t="str">
        <f>IF(Tab.o1[[#This Row],[a1]]=1,IF(W$3=0,1,Tab.o1[[#This Row],[Amp.]]*1/_xlfn.MINIFS(Tab.o1[Amp.],Tab.o1[Amp.],"&lt;&gt;0")),"")</f>
        <v/>
      </c>
      <c r="X585" s="126" t="str">
        <f>IF(Tab.o1[[#This Row],[a1]]=1,IF(ISNUMBER(Tab.o1[[#This Row],[i.]]),NORMDIST(Tab.o1[[#This Row],[Za]],0,1,FALSE)*Tab.o1[[#This Row],[i.]],AP$3),"")</f>
        <v/>
      </c>
      <c r="Y585" s="126" t="str">
        <f>IF(Tab.o1[[#This Row],[a1]]=1,0.01+0.94*Tab.o1[[#This Row],[PDF]]/MAX(Tab.o1[PDF]),"")</f>
        <v/>
      </c>
      <c r="Z585" s="126" t="str">
        <f>IF(Tab.o1[[#This Row],[a1]]=1,0.01+0.94*Tab.o1[[#This Row],[W1_PDF]]/MAX(Tab.o1[W1_PDF]),"")</f>
        <v/>
      </c>
      <c r="AA585" s="118" t="str">
        <f>IF(Tab.o1[[#This Row],[a1]]=1,ABS([1]!T.in.A[[#This Row],[oo6]]),"")</f>
        <v/>
      </c>
      <c r="AB585" s="127" t="str">
        <f>IF(Tab.o1[[#This Row],[a1]]=1,IF(AE$3=0,"",IF(AB$3=0,ABS([1]!T.in.A[[#This Row],[oo9]]),ABS(Tab.o1[[#This Row],[DIF_Target.]]*Tab.o1[[#This Row],[W1_PDF]]))),"")</f>
        <v/>
      </c>
      <c r="AC585" s="127" t="str">
        <f>IF(G$1=1,"",IF(Tab.o1[[#This Row],[a1]]=1,Tab.o1[[#This Row],[Wr]]^2,""))</f>
        <v/>
      </c>
      <c r="AD585" s="118" t="str">
        <f>IF(Tab.o1[[#This Row],[a1]]=1,IF(AE$3=0,"",Tab.o1[[#This Row],[Wr2]]/SUM(Tab.o1[Wr2])),"")</f>
        <v/>
      </c>
      <c r="AE585" s="128" t="str">
        <f>IF(Tab.o1[[#This Row],[a1]]=1,[1]!T.in.A[[#This Row],[oo10]],"")</f>
        <v/>
      </c>
      <c r="AF585" s="118" t="str">
        <f>IF(Tab.o1[[#This Row],[a1]]=1,ABS(Tab.o1[[#This Row],[DIF_Target.]]*Tab.o1[[#This Row],[PDF2]]*Tab.o1[[#This Row],[IN]]),"")</f>
        <v/>
      </c>
      <c r="AG585" s="129" t="str">
        <f>IF(Tab.o1[[#This Row],[a1]]=1,Tab.o1[[#This Row],[rW]]^2,"")</f>
        <v/>
      </c>
      <c r="AH585" s="130" t="str">
        <f>IF(Tab.o1[[#This Row],[a1]]=1,IF(AH$3=0,Tab.o1[[#This Row],[rW2]],0.01+0.94*Tab.o1[[#This Row],[rW2]]/SUM(Tab.o1[rW2])),"")</f>
        <v/>
      </c>
      <c r="AI585" s="128" t="str">
        <f>IF(Tab.o1[[#This Row],[a1]]=1,1/Tab.o1[[#This Row],[PDF]],"")</f>
        <v/>
      </c>
      <c r="AJ585" s="131" t="str">
        <f>IF(Tab.o1[[#This Row],[a1]]=1,[1]!T_AA[[#This Row],[IN'']]*[1]!T_AA[[#This Row],[Qde'']],"")</f>
        <v/>
      </c>
      <c r="AK585" s="132" t="str">
        <f>IF(Tab.o1[[#This Row],[a1]]=1,IF(AK$1=1,Tab.o1[[#This Row],[MED]]+Tab.o1[[#This Row],[MOD]]-Tab.o1[[#This Row],[MED]],""),"")</f>
        <v/>
      </c>
      <c r="AL585" s="133" t="str">
        <f>IF(Tab.o1[[#This Row],[a1]]=1,[1]!T.in.A[[#This Row],[oo16]],"")</f>
        <v/>
      </c>
      <c r="AM585" s="133" t="str">
        <f>IF(Tab.o1[[#This Row],[a1]]=1,IF(AM$3=1,[1]!T.in.A[[#This Row],[Σo16]],""),"")</f>
        <v/>
      </c>
      <c r="AN585" s="126" t="str">
        <f>IF(Tab.o1[[#This Row],[a1]]=1,[1]!T.in.A[[#This Row],[Σp5]],"")</f>
        <v/>
      </c>
      <c r="AO585" s="126" t="str">
        <f>IF(Tab.o1[[#This Row],[a1]]=1,IF(AO$3=1,[1]!T.in.A[[#This Row],[Σp5]],""),"")</f>
        <v/>
      </c>
      <c r="AP585" s="110" t="str">
        <f>IF(Tab.o1[[#This Row],[a1]]=1,IF(ISNUMBER(Tab.o1[[#This Row],[i.]]),NORMDIST(Tab.o1[[#This Row],[Za]],0,1,FALSE)*Tab.o1[[#This Row],[i.]],0),"")</f>
        <v/>
      </c>
      <c r="AQ585" s="125" t="str">
        <f>IF(Tab.o1[[#This Row],[a1]]=1,ABS(Tab.o1[[#This Row],[MOD]]-AVERAGE(Tab.o1[MOD])),"")</f>
        <v/>
      </c>
      <c r="AR585" s="134" t="str">
        <f>IF(Tab.o1[[#This Row],[a1]]=1,Tab.o1[[#This Row],[OBS]]/SUM(Tab.o1[OBS]),"")</f>
        <v/>
      </c>
      <c r="AS585" s="135" t="str">
        <f>IF(ISNUMBER(Tab.o1[[#This Row],[a1]]),ROW()-4,"")</f>
        <v/>
      </c>
      <c r="AT585" s="136" t="str">
        <f>Tab.o1[[#This Row],[MOD]]</f>
        <v/>
      </c>
      <c r="AU585" s="137" t="str">
        <f t="shared" si="37"/>
        <v/>
      </c>
      <c r="AV585" s="138" t="str">
        <f t="shared" si="38"/>
        <v/>
      </c>
      <c r="AW585" s="138" t="str">
        <f t="shared" si="39"/>
        <v/>
      </c>
      <c r="AX585" s="139" t="str">
        <f>[1]!T.in.A[[#This Row],[ID_T_manu]]</f>
        <v/>
      </c>
      <c r="AY585" s="140" t="str">
        <f>IF(ISNUMBER(Tab.o1[[#This Row],[a1]]),IF(AND(Tab.o1[[#This Row],[a1]]=1,Tab.o1[[#This Row],[b1]]&lt;=AY$4),#REF!,AY584),"")</f>
        <v/>
      </c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</row>
    <row r="586" spans="1:79" ht="15.75" hidden="1">
      <c r="A586" s="109">
        <v>-5.0000000000000004E-6</v>
      </c>
      <c r="B586" s="110">
        <f t="shared" si="36"/>
        <v>586</v>
      </c>
      <c r="C586" s="111" t="str">
        <f>IF(C$1=[1]!T.in.A[[#This Row],[oo2]],1,"")</f>
        <v/>
      </c>
      <c r="D586" s="112" t="str">
        <f>IF(Tab.o1[[#This Row],[a1]]=1,IF(SUM(C586:C587)=0,0,IF(SUM(C585:C586)=1,1,IF(SUM(C585:C587)&gt;1,D585+1,0))),"")</f>
        <v/>
      </c>
      <c r="E586" s="113" t="str">
        <f>IF(Tab.o1[[#This Row],[a1]]=1,[1]!T.in.A[[#This Row],[oo1]],"")</f>
        <v/>
      </c>
      <c r="F586" s="113" t="str">
        <f>IF(Tab.o1[[#This Row],[a1]]=1,[1]!T.in.A[[#This Row],[pp1]],"")</f>
        <v/>
      </c>
      <c r="G586" s="114" t="str">
        <f>IF(Tab.o1[[#This Row],[a1]]=1,G$2+IF(G$1=1,0,Tab.o1[[#This Row],[.x1]])+[1]!T.in.A[[#This Row],[oo3]],"")</f>
        <v/>
      </c>
      <c r="H586" s="115" t="str">
        <f>IF(Tab.o1[[#This Row],[a1]]=1,IF(H$2=0,0,IF(G$1=1,0,Tab.o1[[#This Row],[.x1]])+[1]!T.in.A[[#This Row],[oo4]]),"")</f>
        <v/>
      </c>
      <c r="I586" s="116" t="str">
        <f>IF(Tab.o1[[#This Row],[a1]]=1,IF(J$2=0,Tab.o1[[#This Row],[MED]],Tab.o1[[#This Row],[MOD]]),"")</f>
        <v/>
      </c>
      <c r="J586" s="116" t="str">
        <f>IF(Tab.o1[[#This Row],[a1]]=1,((Tab.o1[[#This Row],[DIF_Target.]]-AVERAGE(Tab.o1[DIF_Target.]))/_xlfn.STDEV.P(Tab.o1[DIF_Target.])),"")</f>
        <v/>
      </c>
      <c r="K586" s="117" t="str">
        <f>IF(Tab.o1[[#This Row],[a1]]=1,IF(J$2=0,Tab.o1[[#This Row],[MOD]]-Tab.o1[[#This Row],[B]],IF(J$2=1,0,-Tab.o1[[#This Row],[MED]])+Tab.o1[[#This Row],[B]]),"")</f>
        <v/>
      </c>
      <c r="L586" s="117" t="str">
        <f ca="1">IF(Tab.o1[[#This Row],[DIF_Target]]=0,IF(L$2=0,Tab.o1[[#This Row],[DIF_Target]],AVERAGE(OFFSET(Tab.o1[[#This Row],[DIF_Target]],1,0,L$3,1)))/3,Tab.o1[[#This Row],[DIF_Target]])</f>
        <v/>
      </c>
      <c r="M586" s="118" t="str">
        <f>IF(Tab.o1[[#This Row],[a1]]=1,NORMSDIST(Tab.o1[[#This Row],[Za]]),"")</f>
        <v/>
      </c>
      <c r="N586" s="119" t="str">
        <f>IF(Tab.o1[[#This Row],[a1]]=1,((Tab.o1[[#This Row],[MedMod]]-AVERAGE(Tab.o1[MedMod]))/_xlfn.STDEV.P(Tab.o1[MedMod])*H$1205)+G$1205,"")</f>
        <v/>
      </c>
      <c r="O586" s="141" t="str">
        <f>IF(Tab.o1[[#This Row],[a1]]=1,Tab.o1[[#This Row],[Zb]]*_xlfn.STDEV.P(Tab.o1[MedMod])+AVERAGE(Tab.o1[MedMod]),"")</f>
        <v/>
      </c>
      <c r="P586" s="117" t="str">
        <f ca="1">IF(Tab.o1[[#This Row],[B]]=0,AVERAGE(OFFSET(Tab.o1[[#This Row],[B]],1,0,L$3,1)),Tab.o1[[#This Row],[B]])</f>
        <v/>
      </c>
      <c r="Q586" s="121" t="str">
        <f>IF(Tab.o1[[#This Row],[a1]]=1,NORMSDIST(Tab.o1[[#This Row],[Zb]]),"")</f>
        <v/>
      </c>
      <c r="R586" s="122" t="str">
        <f>IF(Tab.o1[[#This Row],[a1]]=1,((Tab.o1[[#This Row],[MedMod]]-AVERAGE(Tab.o1[MedMod]))/_xlfn.STDEV.P(Tab.o1[MedMod])*H$1203)+G$1203,"")</f>
        <v/>
      </c>
      <c r="S586" s="122" t="str">
        <f>IF(Tab.o1[[#This Row],[a1]]=1,((Tab.o1[[#This Row],[MedMod]]-AVERAGE(Tab.o1[MedMod]))/_xlfn.STDEV.P(Tab.o1[MedMod])*H$1204)+G$1204,"")</f>
        <v/>
      </c>
      <c r="T586" s="123" t="str">
        <f>IF(Tab.o1[[#This Row],[a1]]=1,Tab.o1[[#This Row],[Z-]]*_xlfn.STDEV.P(Tab.o1[B])+AVERAGE(Tab.o1[B]),"")</f>
        <v/>
      </c>
      <c r="U586" s="123" t="str">
        <f>IF(Tab.o1[[#This Row],[a1]]=1,Tab.o1[[#This Row],[z+]]*_xlfn.STDEV.P(Tab.o1[B])+AVERAGE(Tab.o1[B]),"")</f>
        <v/>
      </c>
      <c r="V586" s="124" t="str">
        <f>IF(Tab.o1[[#This Row],[a1]]=1,ABS((ABS(Tab.o1[[#This Row],[Red]]-Tab.o1[[#This Row],[Blue]]))),"")</f>
        <v/>
      </c>
      <c r="W586" s="125" t="str">
        <f>IF(Tab.o1[[#This Row],[a1]]=1,IF(W$3=0,1,Tab.o1[[#This Row],[Amp.]]*1/_xlfn.MINIFS(Tab.o1[Amp.],Tab.o1[Amp.],"&lt;&gt;0")),"")</f>
        <v/>
      </c>
      <c r="X586" s="126" t="str">
        <f>IF(Tab.o1[[#This Row],[a1]]=1,IF(ISNUMBER(Tab.o1[[#This Row],[i.]]),NORMDIST(Tab.o1[[#This Row],[Za]],0,1,FALSE)*Tab.o1[[#This Row],[i.]],AP$3),"")</f>
        <v/>
      </c>
      <c r="Y586" s="126" t="str">
        <f>IF(Tab.o1[[#This Row],[a1]]=1,0.01+0.94*Tab.o1[[#This Row],[PDF]]/MAX(Tab.o1[PDF]),"")</f>
        <v/>
      </c>
      <c r="Z586" s="126" t="str">
        <f>IF(Tab.o1[[#This Row],[a1]]=1,0.01+0.94*Tab.o1[[#This Row],[W1_PDF]]/MAX(Tab.o1[W1_PDF]),"")</f>
        <v/>
      </c>
      <c r="AA586" s="118" t="str">
        <f>IF(Tab.o1[[#This Row],[a1]]=1,ABS([1]!T.in.A[[#This Row],[oo6]]),"")</f>
        <v/>
      </c>
      <c r="AB586" s="127" t="str">
        <f>IF(Tab.o1[[#This Row],[a1]]=1,IF(AE$3=0,"",IF(AB$3=0,ABS([1]!T.in.A[[#This Row],[oo9]]),ABS(Tab.o1[[#This Row],[DIF_Target.]]*Tab.o1[[#This Row],[W1_PDF]]))),"")</f>
        <v/>
      </c>
      <c r="AC586" s="127" t="str">
        <f>IF(G$1=1,"",IF(Tab.o1[[#This Row],[a1]]=1,Tab.o1[[#This Row],[Wr]]^2,""))</f>
        <v/>
      </c>
      <c r="AD586" s="118" t="str">
        <f>IF(Tab.o1[[#This Row],[a1]]=1,IF(AE$3=0,"",Tab.o1[[#This Row],[Wr2]]/SUM(Tab.o1[Wr2])),"")</f>
        <v/>
      </c>
      <c r="AE586" s="128" t="str">
        <f>IF(Tab.o1[[#This Row],[a1]]=1,[1]!T.in.A[[#This Row],[oo10]],"")</f>
        <v/>
      </c>
      <c r="AF586" s="118" t="str">
        <f>IF(Tab.o1[[#This Row],[a1]]=1,ABS(Tab.o1[[#This Row],[DIF_Target.]]*Tab.o1[[#This Row],[PDF2]]*Tab.o1[[#This Row],[IN]]),"")</f>
        <v/>
      </c>
      <c r="AG586" s="129" t="str">
        <f>IF(Tab.o1[[#This Row],[a1]]=1,Tab.o1[[#This Row],[rW]]^2,"")</f>
        <v/>
      </c>
      <c r="AH586" s="130" t="str">
        <f>IF(Tab.o1[[#This Row],[a1]]=1,IF(AH$3=0,Tab.o1[[#This Row],[rW2]],0.01+0.94*Tab.o1[[#This Row],[rW2]]/SUM(Tab.o1[rW2])),"")</f>
        <v/>
      </c>
      <c r="AI586" s="128" t="str">
        <f>IF(Tab.o1[[#This Row],[a1]]=1,1/Tab.o1[[#This Row],[PDF]],"")</f>
        <v/>
      </c>
      <c r="AJ586" s="131" t="str">
        <f>IF(Tab.o1[[#This Row],[a1]]=1,[1]!T_AA[[#This Row],[IN'']]*[1]!T_AA[[#This Row],[Qde'']],"")</f>
        <v/>
      </c>
      <c r="AK586" s="132" t="str">
        <f>IF(Tab.o1[[#This Row],[a1]]=1,IF(AK$1=1,Tab.o1[[#This Row],[MED]]+Tab.o1[[#This Row],[MOD]]-Tab.o1[[#This Row],[MED]],""),"")</f>
        <v/>
      </c>
      <c r="AL586" s="133" t="str">
        <f>IF(Tab.o1[[#This Row],[a1]]=1,[1]!T.in.A[[#This Row],[oo16]],"")</f>
        <v/>
      </c>
      <c r="AM586" s="133" t="str">
        <f>IF(Tab.o1[[#This Row],[a1]]=1,IF(AM$3=1,[1]!T.in.A[[#This Row],[Σo16]],""),"")</f>
        <v/>
      </c>
      <c r="AN586" s="126" t="str">
        <f>IF(Tab.o1[[#This Row],[a1]]=1,[1]!T.in.A[[#This Row],[Σp5]],"")</f>
        <v/>
      </c>
      <c r="AO586" s="126" t="str">
        <f>IF(Tab.o1[[#This Row],[a1]]=1,IF(AO$3=1,[1]!T.in.A[[#This Row],[Σp5]],""),"")</f>
        <v/>
      </c>
      <c r="AP586" s="110" t="str">
        <f>IF(Tab.o1[[#This Row],[a1]]=1,IF(ISNUMBER(Tab.o1[[#This Row],[i.]]),NORMDIST(Tab.o1[[#This Row],[Za]],0,1,FALSE)*Tab.o1[[#This Row],[i.]],0),"")</f>
        <v/>
      </c>
      <c r="AQ586" s="125" t="str">
        <f>IF(Tab.o1[[#This Row],[a1]]=1,ABS(Tab.o1[[#This Row],[MOD]]-AVERAGE(Tab.o1[MOD])),"")</f>
        <v/>
      </c>
      <c r="AR586" s="134" t="str">
        <f>IF(Tab.o1[[#This Row],[a1]]=1,Tab.o1[[#This Row],[OBS]]/SUM(Tab.o1[OBS]),"")</f>
        <v/>
      </c>
      <c r="AS586" s="135" t="str">
        <f>IF(ISNUMBER(Tab.o1[[#This Row],[a1]]),ROW()-4,"")</f>
        <v/>
      </c>
      <c r="AT586" s="136" t="str">
        <f>Tab.o1[[#This Row],[MOD]]</f>
        <v/>
      </c>
      <c r="AU586" s="137" t="str">
        <f t="shared" si="37"/>
        <v/>
      </c>
      <c r="AV586" s="138" t="str">
        <f t="shared" si="38"/>
        <v/>
      </c>
      <c r="AW586" s="138" t="str">
        <f t="shared" si="39"/>
        <v/>
      </c>
      <c r="AX586" s="139" t="str">
        <f>[1]!T.in.A[[#This Row],[ID_T_manu]]</f>
        <v/>
      </c>
      <c r="AY586" s="140" t="str">
        <f>IF(ISNUMBER(Tab.o1[[#This Row],[a1]]),IF(AND(Tab.o1[[#This Row],[a1]]=1,Tab.o1[[#This Row],[b1]]&lt;=AY$4),#REF!,AY585),"")</f>
        <v/>
      </c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</row>
    <row r="587" spans="1:79" ht="15.75" hidden="1">
      <c r="A587" s="109">
        <v>-2.9999999999999997E-6</v>
      </c>
      <c r="B587" s="110">
        <f t="shared" si="36"/>
        <v>587</v>
      </c>
      <c r="C587" s="111" t="str">
        <f>IF(C$1=[1]!T.in.A[[#This Row],[oo2]],1,"")</f>
        <v/>
      </c>
      <c r="D587" s="112" t="str">
        <f>IF(Tab.o1[[#This Row],[a1]]=1,IF(SUM(C587:C588)=0,0,IF(SUM(C586:C587)=1,1,IF(SUM(C586:C588)&gt;1,D586+1,0))),"")</f>
        <v/>
      </c>
      <c r="E587" s="113" t="str">
        <f>IF(Tab.o1[[#This Row],[a1]]=1,[1]!T.in.A[[#This Row],[oo1]],"")</f>
        <v/>
      </c>
      <c r="F587" s="113" t="str">
        <f>IF(Tab.o1[[#This Row],[a1]]=1,[1]!T.in.A[[#This Row],[pp1]],"")</f>
        <v/>
      </c>
      <c r="G587" s="114" t="str">
        <f>IF(Tab.o1[[#This Row],[a1]]=1,G$2+IF(G$1=1,0,Tab.o1[[#This Row],[.x1]])+[1]!T.in.A[[#This Row],[oo3]],"")</f>
        <v/>
      </c>
      <c r="H587" s="115" t="str">
        <f>IF(Tab.o1[[#This Row],[a1]]=1,IF(H$2=0,0,IF(G$1=1,0,Tab.o1[[#This Row],[.x1]])+[1]!T.in.A[[#This Row],[oo4]]),"")</f>
        <v/>
      </c>
      <c r="I587" s="116" t="str">
        <f>IF(Tab.o1[[#This Row],[a1]]=1,IF(J$2=0,Tab.o1[[#This Row],[MED]],Tab.o1[[#This Row],[MOD]]),"")</f>
        <v/>
      </c>
      <c r="J587" s="116" t="str">
        <f>IF(Tab.o1[[#This Row],[a1]]=1,((Tab.o1[[#This Row],[DIF_Target.]]-AVERAGE(Tab.o1[DIF_Target.]))/_xlfn.STDEV.P(Tab.o1[DIF_Target.])),"")</f>
        <v/>
      </c>
      <c r="K587" s="117" t="str">
        <f>IF(Tab.o1[[#This Row],[a1]]=1,IF(J$2=0,Tab.o1[[#This Row],[MOD]]-Tab.o1[[#This Row],[B]],IF(J$2=1,0,-Tab.o1[[#This Row],[MED]])+Tab.o1[[#This Row],[B]]),"")</f>
        <v/>
      </c>
      <c r="L587" s="117" t="str">
        <f ca="1">IF(Tab.o1[[#This Row],[DIF_Target]]=0,IF(L$2=0,Tab.o1[[#This Row],[DIF_Target]],AVERAGE(OFFSET(Tab.o1[[#This Row],[DIF_Target]],1,0,L$3,1)))/3,Tab.o1[[#This Row],[DIF_Target]])</f>
        <v/>
      </c>
      <c r="M587" s="118" t="str">
        <f>IF(Tab.o1[[#This Row],[a1]]=1,NORMSDIST(Tab.o1[[#This Row],[Za]]),"")</f>
        <v/>
      </c>
      <c r="N587" s="119" t="str">
        <f>IF(Tab.o1[[#This Row],[a1]]=1,((Tab.o1[[#This Row],[MedMod]]-AVERAGE(Tab.o1[MedMod]))/_xlfn.STDEV.P(Tab.o1[MedMod])*H$1205)+G$1205,"")</f>
        <v/>
      </c>
      <c r="O587" s="141" t="str">
        <f>IF(Tab.o1[[#This Row],[a1]]=1,Tab.o1[[#This Row],[Zb]]*_xlfn.STDEV.P(Tab.o1[MedMod])+AVERAGE(Tab.o1[MedMod]),"")</f>
        <v/>
      </c>
      <c r="P587" s="117" t="str">
        <f ca="1">IF(Tab.o1[[#This Row],[B]]=0,AVERAGE(OFFSET(Tab.o1[[#This Row],[B]],1,0,L$3,1)),Tab.o1[[#This Row],[B]])</f>
        <v/>
      </c>
      <c r="Q587" s="121" t="str">
        <f>IF(Tab.o1[[#This Row],[a1]]=1,NORMSDIST(Tab.o1[[#This Row],[Zb]]),"")</f>
        <v/>
      </c>
      <c r="R587" s="122" t="str">
        <f>IF(Tab.o1[[#This Row],[a1]]=1,((Tab.o1[[#This Row],[MedMod]]-AVERAGE(Tab.o1[MedMod]))/_xlfn.STDEV.P(Tab.o1[MedMod])*H$1203)+G$1203,"")</f>
        <v/>
      </c>
      <c r="S587" s="122" t="str">
        <f>IF(Tab.o1[[#This Row],[a1]]=1,((Tab.o1[[#This Row],[MedMod]]-AVERAGE(Tab.o1[MedMod]))/_xlfn.STDEV.P(Tab.o1[MedMod])*H$1204)+G$1204,"")</f>
        <v/>
      </c>
      <c r="T587" s="123" t="str">
        <f>IF(Tab.o1[[#This Row],[a1]]=1,Tab.o1[[#This Row],[Z-]]*_xlfn.STDEV.P(Tab.o1[B])+AVERAGE(Tab.o1[B]),"")</f>
        <v/>
      </c>
      <c r="U587" s="123" t="str">
        <f>IF(Tab.o1[[#This Row],[a1]]=1,Tab.o1[[#This Row],[z+]]*_xlfn.STDEV.P(Tab.o1[B])+AVERAGE(Tab.o1[B]),"")</f>
        <v/>
      </c>
      <c r="V587" s="124" t="str">
        <f>IF(Tab.o1[[#This Row],[a1]]=1,ABS((ABS(Tab.o1[[#This Row],[Red]]-Tab.o1[[#This Row],[Blue]]))),"")</f>
        <v/>
      </c>
      <c r="W587" s="125" t="str">
        <f>IF(Tab.o1[[#This Row],[a1]]=1,IF(W$3=0,1,Tab.o1[[#This Row],[Amp.]]*1/_xlfn.MINIFS(Tab.o1[Amp.],Tab.o1[Amp.],"&lt;&gt;0")),"")</f>
        <v/>
      </c>
      <c r="X587" s="126" t="str">
        <f>IF(Tab.o1[[#This Row],[a1]]=1,IF(ISNUMBER(Tab.o1[[#This Row],[i.]]),NORMDIST(Tab.o1[[#This Row],[Za]],0,1,FALSE)*Tab.o1[[#This Row],[i.]],AP$3),"")</f>
        <v/>
      </c>
      <c r="Y587" s="126" t="str">
        <f>IF(Tab.o1[[#This Row],[a1]]=1,0.01+0.94*Tab.o1[[#This Row],[PDF]]/MAX(Tab.o1[PDF]),"")</f>
        <v/>
      </c>
      <c r="Z587" s="126" t="str">
        <f>IF(Tab.o1[[#This Row],[a1]]=1,0.01+0.94*Tab.o1[[#This Row],[W1_PDF]]/MAX(Tab.o1[W1_PDF]),"")</f>
        <v/>
      </c>
      <c r="AA587" s="118" t="str">
        <f>IF(Tab.o1[[#This Row],[a1]]=1,ABS([1]!T.in.A[[#This Row],[oo6]]),"")</f>
        <v/>
      </c>
      <c r="AB587" s="127" t="str">
        <f>IF(Tab.o1[[#This Row],[a1]]=1,IF(AE$3=0,"",IF(AB$3=0,ABS([1]!T.in.A[[#This Row],[oo9]]),ABS(Tab.o1[[#This Row],[DIF_Target.]]*Tab.o1[[#This Row],[W1_PDF]]))),"")</f>
        <v/>
      </c>
      <c r="AC587" s="127" t="str">
        <f>IF(G$1=1,"",IF(Tab.o1[[#This Row],[a1]]=1,Tab.o1[[#This Row],[Wr]]^2,""))</f>
        <v/>
      </c>
      <c r="AD587" s="118" t="str">
        <f>IF(Tab.o1[[#This Row],[a1]]=1,IF(AE$3=0,"",Tab.o1[[#This Row],[Wr2]]/SUM(Tab.o1[Wr2])),"")</f>
        <v/>
      </c>
      <c r="AE587" s="128" t="str">
        <f>IF(Tab.o1[[#This Row],[a1]]=1,[1]!T.in.A[[#This Row],[oo10]],"")</f>
        <v/>
      </c>
      <c r="AF587" s="118" t="str">
        <f>IF(Tab.o1[[#This Row],[a1]]=1,ABS(Tab.o1[[#This Row],[DIF_Target.]]*Tab.o1[[#This Row],[PDF2]]*Tab.o1[[#This Row],[IN]]),"")</f>
        <v/>
      </c>
      <c r="AG587" s="129" t="str">
        <f>IF(Tab.o1[[#This Row],[a1]]=1,Tab.o1[[#This Row],[rW]]^2,"")</f>
        <v/>
      </c>
      <c r="AH587" s="130" t="str">
        <f>IF(Tab.o1[[#This Row],[a1]]=1,IF(AH$3=0,Tab.o1[[#This Row],[rW2]],0.01+0.94*Tab.o1[[#This Row],[rW2]]/SUM(Tab.o1[rW2])),"")</f>
        <v/>
      </c>
      <c r="AI587" s="128" t="str">
        <f>IF(Tab.o1[[#This Row],[a1]]=1,1/Tab.o1[[#This Row],[PDF]],"")</f>
        <v/>
      </c>
      <c r="AJ587" s="131" t="str">
        <f>IF(Tab.o1[[#This Row],[a1]]=1,[1]!T_AA[[#This Row],[IN'']]*[1]!T_AA[[#This Row],[Qde'']],"")</f>
        <v/>
      </c>
      <c r="AK587" s="132" t="str">
        <f>IF(Tab.o1[[#This Row],[a1]]=1,IF(AK$1=1,Tab.o1[[#This Row],[MED]]+Tab.o1[[#This Row],[MOD]]-Tab.o1[[#This Row],[MED]],""),"")</f>
        <v/>
      </c>
      <c r="AL587" s="133" t="str">
        <f>IF(Tab.o1[[#This Row],[a1]]=1,[1]!T.in.A[[#This Row],[oo16]],"")</f>
        <v/>
      </c>
      <c r="AM587" s="133" t="str">
        <f>IF(Tab.o1[[#This Row],[a1]]=1,IF(AM$3=1,[1]!T.in.A[[#This Row],[Σo16]],""),"")</f>
        <v/>
      </c>
      <c r="AN587" s="126" t="str">
        <f>IF(Tab.o1[[#This Row],[a1]]=1,[1]!T.in.A[[#This Row],[Σp5]],"")</f>
        <v/>
      </c>
      <c r="AO587" s="126" t="str">
        <f>IF(Tab.o1[[#This Row],[a1]]=1,IF(AO$3=1,[1]!T.in.A[[#This Row],[Σp5]],""),"")</f>
        <v/>
      </c>
      <c r="AP587" s="110" t="str">
        <f>IF(Tab.o1[[#This Row],[a1]]=1,IF(ISNUMBER(Tab.o1[[#This Row],[i.]]),NORMDIST(Tab.o1[[#This Row],[Za]],0,1,FALSE)*Tab.o1[[#This Row],[i.]],0),"")</f>
        <v/>
      </c>
      <c r="AQ587" s="125" t="str">
        <f>IF(Tab.o1[[#This Row],[a1]]=1,ABS(Tab.o1[[#This Row],[MOD]]-AVERAGE(Tab.o1[MOD])),"")</f>
        <v/>
      </c>
      <c r="AR587" s="134" t="str">
        <f>IF(Tab.o1[[#This Row],[a1]]=1,Tab.o1[[#This Row],[OBS]]/SUM(Tab.o1[OBS]),"")</f>
        <v/>
      </c>
      <c r="AS587" s="135" t="str">
        <f>IF(ISNUMBER(Tab.o1[[#This Row],[a1]]),ROW()-4,"")</f>
        <v/>
      </c>
      <c r="AT587" s="136" t="str">
        <f>Tab.o1[[#This Row],[MOD]]</f>
        <v/>
      </c>
      <c r="AU587" s="137" t="str">
        <f t="shared" si="37"/>
        <v/>
      </c>
      <c r="AV587" s="138" t="str">
        <f t="shared" si="38"/>
        <v/>
      </c>
      <c r="AW587" s="138" t="str">
        <f t="shared" si="39"/>
        <v/>
      </c>
      <c r="AX587" s="139" t="str">
        <f>[1]!T.in.A[[#This Row],[ID_T_manu]]</f>
        <v/>
      </c>
      <c r="AY587" s="140" t="str">
        <f>IF(ISNUMBER(Tab.o1[[#This Row],[a1]]),IF(AND(Tab.o1[[#This Row],[a1]]=1,Tab.o1[[#This Row],[b1]]&lt;=AY$4),#REF!,AY586),"")</f>
        <v/>
      </c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</row>
    <row r="588" spans="1:79" ht="15.75" hidden="1">
      <c r="A588" s="109">
        <v>-8.0000000000000013E-6</v>
      </c>
      <c r="B588" s="110">
        <f t="shared" si="36"/>
        <v>588</v>
      </c>
      <c r="C588" s="111" t="str">
        <f>IF(C$1=[1]!T.in.A[[#This Row],[oo2]],1,"")</f>
        <v/>
      </c>
      <c r="D588" s="112" t="str">
        <f>IF(Tab.o1[[#This Row],[a1]]=1,IF(SUM(C588:C589)=0,0,IF(SUM(C587:C588)=1,1,IF(SUM(C587:C589)&gt;1,D587+1,0))),"")</f>
        <v/>
      </c>
      <c r="E588" s="113" t="str">
        <f>IF(Tab.o1[[#This Row],[a1]]=1,[1]!T.in.A[[#This Row],[oo1]],"")</f>
        <v/>
      </c>
      <c r="F588" s="113" t="str">
        <f>IF(Tab.o1[[#This Row],[a1]]=1,[1]!T.in.A[[#This Row],[pp1]],"")</f>
        <v/>
      </c>
      <c r="G588" s="114" t="str">
        <f>IF(Tab.o1[[#This Row],[a1]]=1,G$2+IF(G$1=1,0,Tab.o1[[#This Row],[.x1]])+[1]!T.in.A[[#This Row],[oo3]],"")</f>
        <v/>
      </c>
      <c r="H588" s="115" t="str">
        <f>IF(Tab.o1[[#This Row],[a1]]=1,IF(H$2=0,0,IF(G$1=1,0,Tab.o1[[#This Row],[.x1]])+[1]!T.in.A[[#This Row],[oo4]]),"")</f>
        <v/>
      </c>
      <c r="I588" s="116" t="str">
        <f>IF(Tab.o1[[#This Row],[a1]]=1,IF(J$2=0,Tab.o1[[#This Row],[MED]],Tab.o1[[#This Row],[MOD]]),"")</f>
        <v/>
      </c>
      <c r="J588" s="116" t="str">
        <f>IF(Tab.o1[[#This Row],[a1]]=1,((Tab.o1[[#This Row],[DIF_Target.]]-AVERAGE(Tab.o1[DIF_Target.]))/_xlfn.STDEV.P(Tab.o1[DIF_Target.])),"")</f>
        <v/>
      </c>
      <c r="K588" s="117" t="str">
        <f>IF(Tab.o1[[#This Row],[a1]]=1,IF(J$2=0,Tab.o1[[#This Row],[MOD]]-Tab.o1[[#This Row],[B]],IF(J$2=1,0,-Tab.o1[[#This Row],[MED]])+Tab.o1[[#This Row],[B]]),"")</f>
        <v/>
      </c>
      <c r="L588" s="117" t="str">
        <f ca="1">IF(Tab.o1[[#This Row],[DIF_Target]]=0,IF(L$2=0,Tab.o1[[#This Row],[DIF_Target]],AVERAGE(OFFSET(Tab.o1[[#This Row],[DIF_Target]],1,0,L$3,1)))/3,Tab.o1[[#This Row],[DIF_Target]])</f>
        <v/>
      </c>
      <c r="M588" s="118" t="str">
        <f>IF(Tab.o1[[#This Row],[a1]]=1,NORMSDIST(Tab.o1[[#This Row],[Za]]),"")</f>
        <v/>
      </c>
      <c r="N588" s="119" t="str">
        <f>IF(Tab.o1[[#This Row],[a1]]=1,((Tab.o1[[#This Row],[MedMod]]-AVERAGE(Tab.o1[MedMod]))/_xlfn.STDEV.P(Tab.o1[MedMod])*H$1205)+G$1205,"")</f>
        <v/>
      </c>
      <c r="O588" s="141" t="str">
        <f>IF(Tab.o1[[#This Row],[a1]]=1,Tab.o1[[#This Row],[Zb]]*_xlfn.STDEV.P(Tab.o1[MedMod])+AVERAGE(Tab.o1[MedMod]),"")</f>
        <v/>
      </c>
      <c r="P588" s="117" t="str">
        <f ca="1">IF(Tab.o1[[#This Row],[B]]=0,AVERAGE(OFFSET(Tab.o1[[#This Row],[B]],1,0,L$3,1)),Tab.o1[[#This Row],[B]])</f>
        <v/>
      </c>
      <c r="Q588" s="121" t="str">
        <f>IF(Tab.o1[[#This Row],[a1]]=1,NORMSDIST(Tab.o1[[#This Row],[Zb]]),"")</f>
        <v/>
      </c>
      <c r="R588" s="122" t="str">
        <f>IF(Tab.o1[[#This Row],[a1]]=1,((Tab.o1[[#This Row],[MedMod]]-AVERAGE(Tab.o1[MedMod]))/_xlfn.STDEV.P(Tab.o1[MedMod])*H$1203)+G$1203,"")</f>
        <v/>
      </c>
      <c r="S588" s="122" t="str">
        <f>IF(Tab.o1[[#This Row],[a1]]=1,((Tab.o1[[#This Row],[MedMod]]-AVERAGE(Tab.o1[MedMod]))/_xlfn.STDEV.P(Tab.o1[MedMod])*H$1204)+G$1204,"")</f>
        <v/>
      </c>
      <c r="T588" s="123" t="str">
        <f>IF(Tab.o1[[#This Row],[a1]]=1,Tab.o1[[#This Row],[Z-]]*_xlfn.STDEV.P(Tab.o1[B])+AVERAGE(Tab.o1[B]),"")</f>
        <v/>
      </c>
      <c r="U588" s="123" t="str">
        <f>IF(Tab.o1[[#This Row],[a1]]=1,Tab.o1[[#This Row],[z+]]*_xlfn.STDEV.P(Tab.o1[B])+AVERAGE(Tab.o1[B]),"")</f>
        <v/>
      </c>
      <c r="V588" s="124" t="str">
        <f>IF(Tab.o1[[#This Row],[a1]]=1,ABS((ABS(Tab.o1[[#This Row],[Red]]-Tab.o1[[#This Row],[Blue]]))),"")</f>
        <v/>
      </c>
      <c r="W588" s="125" t="str">
        <f>IF(Tab.o1[[#This Row],[a1]]=1,IF(W$3=0,1,Tab.o1[[#This Row],[Amp.]]*1/_xlfn.MINIFS(Tab.o1[Amp.],Tab.o1[Amp.],"&lt;&gt;0")),"")</f>
        <v/>
      </c>
      <c r="X588" s="126" t="str">
        <f>IF(Tab.o1[[#This Row],[a1]]=1,IF(ISNUMBER(Tab.o1[[#This Row],[i.]]),NORMDIST(Tab.o1[[#This Row],[Za]],0,1,FALSE)*Tab.o1[[#This Row],[i.]],AP$3),"")</f>
        <v/>
      </c>
      <c r="Y588" s="126" t="str">
        <f>IF(Tab.o1[[#This Row],[a1]]=1,0.01+0.94*Tab.o1[[#This Row],[PDF]]/MAX(Tab.o1[PDF]),"")</f>
        <v/>
      </c>
      <c r="Z588" s="126" t="str">
        <f>IF(Tab.o1[[#This Row],[a1]]=1,0.01+0.94*Tab.o1[[#This Row],[W1_PDF]]/MAX(Tab.o1[W1_PDF]),"")</f>
        <v/>
      </c>
      <c r="AA588" s="118" t="str">
        <f>IF(Tab.o1[[#This Row],[a1]]=1,ABS([1]!T.in.A[[#This Row],[oo6]]),"")</f>
        <v/>
      </c>
      <c r="AB588" s="127" t="str">
        <f>IF(Tab.o1[[#This Row],[a1]]=1,IF(AE$3=0,"",IF(AB$3=0,ABS([1]!T.in.A[[#This Row],[oo9]]),ABS(Tab.o1[[#This Row],[DIF_Target.]]*Tab.o1[[#This Row],[W1_PDF]]))),"")</f>
        <v/>
      </c>
      <c r="AC588" s="127" t="str">
        <f>IF(G$1=1,"",IF(Tab.o1[[#This Row],[a1]]=1,Tab.o1[[#This Row],[Wr]]^2,""))</f>
        <v/>
      </c>
      <c r="AD588" s="118" t="str">
        <f>IF(Tab.o1[[#This Row],[a1]]=1,IF(AE$3=0,"",Tab.o1[[#This Row],[Wr2]]/SUM(Tab.o1[Wr2])),"")</f>
        <v/>
      </c>
      <c r="AE588" s="128" t="str">
        <f>IF(Tab.o1[[#This Row],[a1]]=1,[1]!T.in.A[[#This Row],[oo10]],"")</f>
        <v/>
      </c>
      <c r="AF588" s="118" t="str">
        <f>IF(Tab.o1[[#This Row],[a1]]=1,ABS(Tab.o1[[#This Row],[DIF_Target.]]*Tab.o1[[#This Row],[PDF2]]*Tab.o1[[#This Row],[IN]]),"")</f>
        <v/>
      </c>
      <c r="AG588" s="129" t="str">
        <f>IF(Tab.o1[[#This Row],[a1]]=1,Tab.o1[[#This Row],[rW]]^2,"")</f>
        <v/>
      </c>
      <c r="AH588" s="130" t="str">
        <f>IF(Tab.o1[[#This Row],[a1]]=1,IF(AH$3=0,Tab.o1[[#This Row],[rW2]],0.01+0.94*Tab.o1[[#This Row],[rW2]]/SUM(Tab.o1[rW2])),"")</f>
        <v/>
      </c>
      <c r="AI588" s="128" t="str">
        <f>IF(Tab.o1[[#This Row],[a1]]=1,1/Tab.o1[[#This Row],[PDF]],"")</f>
        <v/>
      </c>
      <c r="AJ588" s="131" t="str">
        <f>IF(Tab.o1[[#This Row],[a1]]=1,[1]!T_AA[[#This Row],[IN'']]*[1]!T_AA[[#This Row],[Qde'']],"")</f>
        <v/>
      </c>
      <c r="AK588" s="132" t="str">
        <f>IF(Tab.o1[[#This Row],[a1]]=1,IF(AK$1=1,Tab.o1[[#This Row],[MED]]+Tab.o1[[#This Row],[MOD]]-Tab.o1[[#This Row],[MED]],""),"")</f>
        <v/>
      </c>
      <c r="AL588" s="133" t="str">
        <f>IF(Tab.o1[[#This Row],[a1]]=1,[1]!T.in.A[[#This Row],[oo16]],"")</f>
        <v/>
      </c>
      <c r="AM588" s="133" t="str">
        <f>IF(Tab.o1[[#This Row],[a1]]=1,IF(AM$3=1,[1]!T.in.A[[#This Row],[Σo16]],""),"")</f>
        <v/>
      </c>
      <c r="AN588" s="126" t="str">
        <f>IF(Tab.o1[[#This Row],[a1]]=1,[1]!T.in.A[[#This Row],[Σp5]],"")</f>
        <v/>
      </c>
      <c r="AO588" s="126" t="str">
        <f>IF(Tab.o1[[#This Row],[a1]]=1,IF(AO$3=1,[1]!T.in.A[[#This Row],[Σp5]],""),"")</f>
        <v/>
      </c>
      <c r="AP588" s="110" t="str">
        <f>IF(Tab.o1[[#This Row],[a1]]=1,IF(ISNUMBER(Tab.o1[[#This Row],[i.]]),NORMDIST(Tab.o1[[#This Row],[Za]],0,1,FALSE)*Tab.o1[[#This Row],[i.]],0),"")</f>
        <v/>
      </c>
      <c r="AQ588" s="125" t="str">
        <f>IF(Tab.o1[[#This Row],[a1]]=1,ABS(Tab.o1[[#This Row],[MOD]]-AVERAGE(Tab.o1[MOD])),"")</f>
        <v/>
      </c>
      <c r="AR588" s="134" t="str">
        <f>IF(Tab.o1[[#This Row],[a1]]=1,Tab.o1[[#This Row],[OBS]]/SUM(Tab.o1[OBS]),"")</f>
        <v/>
      </c>
      <c r="AS588" s="135" t="str">
        <f>IF(ISNUMBER(Tab.o1[[#This Row],[a1]]),ROW()-4,"")</f>
        <v/>
      </c>
      <c r="AT588" s="136" t="str">
        <f>Tab.o1[[#This Row],[MOD]]</f>
        <v/>
      </c>
      <c r="AU588" s="137" t="str">
        <f t="shared" si="37"/>
        <v/>
      </c>
      <c r="AV588" s="138" t="str">
        <f t="shared" si="38"/>
        <v/>
      </c>
      <c r="AW588" s="138" t="str">
        <f t="shared" si="39"/>
        <v/>
      </c>
      <c r="AX588" s="139" t="str">
        <f>[1]!T.in.A[[#This Row],[ID_T_manu]]</f>
        <v/>
      </c>
      <c r="AY588" s="140" t="str">
        <f>IF(ISNUMBER(Tab.o1[[#This Row],[a1]]),IF(AND(Tab.o1[[#This Row],[a1]]=1,Tab.o1[[#This Row],[b1]]&lt;=AY$4),#REF!,AY587),"")</f>
        <v/>
      </c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</row>
    <row r="589" spans="1:79" ht="15.75" hidden="1">
      <c r="A589" s="109">
        <v>9.0000000000000002E-6</v>
      </c>
      <c r="B589" s="110">
        <f t="shared" si="36"/>
        <v>589</v>
      </c>
      <c r="C589" s="111" t="str">
        <f>IF(C$1=[1]!T.in.A[[#This Row],[oo2]],1,"")</f>
        <v/>
      </c>
      <c r="D589" s="112" t="str">
        <f>IF(Tab.o1[[#This Row],[a1]]=1,IF(SUM(C589:C590)=0,0,IF(SUM(C588:C589)=1,1,IF(SUM(C588:C590)&gt;1,D588+1,0))),"")</f>
        <v/>
      </c>
      <c r="E589" s="113" t="str">
        <f>IF(Tab.o1[[#This Row],[a1]]=1,[1]!T.in.A[[#This Row],[oo1]],"")</f>
        <v/>
      </c>
      <c r="F589" s="113" t="str">
        <f>IF(Tab.o1[[#This Row],[a1]]=1,[1]!T.in.A[[#This Row],[pp1]],"")</f>
        <v/>
      </c>
      <c r="G589" s="114" t="str">
        <f>IF(Tab.o1[[#This Row],[a1]]=1,G$2+IF(G$1=1,0,Tab.o1[[#This Row],[.x1]])+[1]!T.in.A[[#This Row],[oo3]],"")</f>
        <v/>
      </c>
      <c r="H589" s="115" t="str">
        <f>IF(Tab.o1[[#This Row],[a1]]=1,IF(H$2=0,0,IF(G$1=1,0,Tab.o1[[#This Row],[.x1]])+[1]!T.in.A[[#This Row],[oo4]]),"")</f>
        <v/>
      </c>
      <c r="I589" s="116" t="str">
        <f>IF(Tab.o1[[#This Row],[a1]]=1,IF(J$2=0,Tab.o1[[#This Row],[MED]],Tab.o1[[#This Row],[MOD]]),"")</f>
        <v/>
      </c>
      <c r="J589" s="116" t="str">
        <f>IF(Tab.o1[[#This Row],[a1]]=1,((Tab.o1[[#This Row],[DIF_Target.]]-AVERAGE(Tab.o1[DIF_Target.]))/_xlfn.STDEV.P(Tab.o1[DIF_Target.])),"")</f>
        <v/>
      </c>
      <c r="K589" s="117" t="str">
        <f>IF(Tab.o1[[#This Row],[a1]]=1,IF(J$2=0,Tab.o1[[#This Row],[MOD]]-Tab.o1[[#This Row],[B]],IF(J$2=1,0,-Tab.o1[[#This Row],[MED]])+Tab.o1[[#This Row],[B]]),"")</f>
        <v/>
      </c>
      <c r="L589" s="117" t="str">
        <f ca="1">IF(Tab.o1[[#This Row],[DIF_Target]]=0,IF(L$2=0,Tab.o1[[#This Row],[DIF_Target]],AVERAGE(OFFSET(Tab.o1[[#This Row],[DIF_Target]],1,0,L$3,1)))/3,Tab.o1[[#This Row],[DIF_Target]])</f>
        <v/>
      </c>
      <c r="M589" s="118" t="str">
        <f>IF(Tab.o1[[#This Row],[a1]]=1,NORMSDIST(Tab.o1[[#This Row],[Za]]),"")</f>
        <v/>
      </c>
      <c r="N589" s="119" t="str">
        <f>IF(Tab.o1[[#This Row],[a1]]=1,((Tab.o1[[#This Row],[MedMod]]-AVERAGE(Tab.o1[MedMod]))/_xlfn.STDEV.P(Tab.o1[MedMod])*H$1205)+G$1205,"")</f>
        <v/>
      </c>
      <c r="O589" s="141" t="str">
        <f>IF(Tab.o1[[#This Row],[a1]]=1,Tab.o1[[#This Row],[Zb]]*_xlfn.STDEV.P(Tab.o1[MedMod])+AVERAGE(Tab.o1[MedMod]),"")</f>
        <v/>
      </c>
      <c r="P589" s="117" t="str">
        <f ca="1">IF(Tab.o1[[#This Row],[B]]=0,AVERAGE(OFFSET(Tab.o1[[#This Row],[B]],1,0,L$3,1)),Tab.o1[[#This Row],[B]])</f>
        <v/>
      </c>
      <c r="Q589" s="121" t="str">
        <f>IF(Tab.o1[[#This Row],[a1]]=1,NORMSDIST(Tab.o1[[#This Row],[Zb]]),"")</f>
        <v/>
      </c>
      <c r="R589" s="122" t="str">
        <f>IF(Tab.o1[[#This Row],[a1]]=1,((Tab.o1[[#This Row],[MedMod]]-AVERAGE(Tab.o1[MedMod]))/_xlfn.STDEV.P(Tab.o1[MedMod])*H$1203)+G$1203,"")</f>
        <v/>
      </c>
      <c r="S589" s="122" t="str">
        <f>IF(Tab.o1[[#This Row],[a1]]=1,((Tab.o1[[#This Row],[MedMod]]-AVERAGE(Tab.o1[MedMod]))/_xlfn.STDEV.P(Tab.o1[MedMod])*H$1204)+G$1204,"")</f>
        <v/>
      </c>
      <c r="T589" s="123" t="str">
        <f>IF(Tab.o1[[#This Row],[a1]]=1,Tab.o1[[#This Row],[Z-]]*_xlfn.STDEV.P(Tab.o1[B])+AVERAGE(Tab.o1[B]),"")</f>
        <v/>
      </c>
      <c r="U589" s="123" t="str">
        <f>IF(Tab.o1[[#This Row],[a1]]=1,Tab.o1[[#This Row],[z+]]*_xlfn.STDEV.P(Tab.o1[B])+AVERAGE(Tab.o1[B]),"")</f>
        <v/>
      </c>
      <c r="V589" s="124" t="str">
        <f>IF(Tab.o1[[#This Row],[a1]]=1,ABS((ABS(Tab.o1[[#This Row],[Red]]-Tab.o1[[#This Row],[Blue]]))),"")</f>
        <v/>
      </c>
      <c r="W589" s="125" t="str">
        <f>IF(Tab.o1[[#This Row],[a1]]=1,IF(W$3=0,1,Tab.o1[[#This Row],[Amp.]]*1/_xlfn.MINIFS(Tab.o1[Amp.],Tab.o1[Amp.],"&lt;&gt;0")),"")</f>
        <v/>
      </c>
      <c r="X589" s="126" t="str">
        <f>IF(Tab.o1[[#This Row],[a1]]=1,IF(ISNUMBER(Tab.o1[[#This Row],[i.]]),NORMDIST(Tab.o1[[#This Row],[Za]],0,1,FALSE)*Tab.o1[[#This Row],[i.]],AP$3),"")</f>
        <v/>
      </c>
      <c r="Y589" s="126" t="str">
        <f>IF(Tab.o1[[#This Row],[a1]]=1,0.01+0.94*Tab.o1[[#This Row],[PDF]]/MAX(Tab.o1[PDF]),"")</f>
        <v/>
      </c>
      <c r="Z589" s="126" t="str">
        <f>IF(Tab.o1[[#This Row],[a1]]=1,0.01+0.94*Tab.o1[[#This Row],[W1_PDF]]/MAX(Tab.o1[W1_PDF]),"")</f>
        <v/>
      </c>
      <c r="AA589" s="118" t="str">
        <f>IF(Tab.o1[[#This Row],[a1]]=1,ABS([1]!T.in.A[[#This Row],[oo6]]),"")</f>
        <v/>
      </c>
      <c r="AB589" s="127" t="str">
        <f>IF(Tab.o1[[#This Row],[a1]]=1,IF(AE$3=0,"",IF(AB$3=0,ABS([1]!T.in.A[[#This Row],[oo9]]),ABS(Tab.o1[[#This Row],[DIF_Target.]]*Tab.o1[[#This Row],[W1_PDF]]))),"")</f>
        <v/>
      </c>
      <c r="AC589" s="127" t="str">
        <f>IF(G$1=1,"",IF(Tab.o1[[#This Row],[a1]]=1,Tab.o1[[#This Row],[Wr]]^2,""))</f>
        <v/>
      </c>
      <c r="AD589" s="118" t="str">
        <f>IF(Tab.o1[[#This Row],[a1]]=1,IF(AE$3=0,"",Tab.o1[[#This Row],[Wr2]]/SUM(Tab.o1[Wr2])),"")</f>
        <v/>
      </c>
      <c r="AE589" s="128" t="str">
        <f>IF(Tab.o1[[#This Row],[a1]]=1,[1]!T.in.A[[#This Row],[oo10]],"")</f>
        <v/>
      </c>
      <c r="AF589" s="118" t="str">
        <f>IF(Tab.o1[[#This Row],[a1]]=1,ABS(Tab.o1[[#This Row],[DIF_Target.]]*Tab.o1[[#This Row],[PDF2]]*Tab.o1[[#This Row],[IN]]),"")</f>
        <v/>
      </c>
      <c r="AG589" s="129" t="str">
        <f>IF(Tab.o1[[#This Row],[a1]]=1,Tab.o1[[#This Row],[rW]]^2,"")</f>
        <v/>
      </c>
      <c r="AH589" s="130" t="str">
        <f>IF(Tab.o1[[#This Row],[a1]]=1,IF(AH$3=0,Tab.o1[[#This Row],[rW2]],0.01+0.94*Tab.o1[[#This Row],[rW2]]/SUM(Tab.o1[rW2])),"")</f>
        <v/>
      </c>
      <c r="AI589" s="128" t="str">
        <f>IF(Tab.o1[[#This Row],[a1]]=1,1/Tab.o1[[#This Row],[PDF]],"")</f>
        <v/>
      </c>
      <c r="AJ589" s="131" t="str">
        <f>IF(Tab.o1[[#This Row],[a1]]=1,[1]!T_AA[[#This Row],[IN'']]*[1]!T_AA[[#This Row],[Qde'']],"")</f>
        <v/>
      </c>
      <c r="AK589" s="132" t="str">
        <f>IF(Tab.o1[[#This Row],[a1]]=1,IF(AK$1=1,Tab.o1[[#This Row],[MED]]+Tab.o1[[#This Row],[MOD]]-Tab.o1[[#This Row],[MED]],""),"")</f>
        <v/>
      </c>
      <c r="AL589" s="133" t="str">
        <f>IF(Tab.o1[[#This Row],[a1]]=1,[1]!T.in.A[[#This Row],[oo16]],"")</f>
        <v/>
      </c>
      <c r="AM589" s="133" t="str">
        <f>IF(Tab.o1[[#This Row],[a1]]=1,IF(AM$3=1,[1]!T.in.A[[#This Row],[Σo16]],""),"")</f>
        <v/>
      </c>
      <c r="AN589" s="126" t="str">
        <f>IF(Tab.o1[[#This Row],[a1]]=1,[1]!T.in.A[[#This Row],[Σp5]],"")</f>
        <v/>
      </c>
      <c r="AO589" s="126" t="str">
        <f>IF(Tab.o1[[#This Row],[a1]]=1,IF(AO$3=1,[1]!T.in.A[[#This Row],[Σp5]],""),"")</f>
        <v/>
      </c>
      <c r="AP589" s="110" t="str">
        <f>IF(Tab.o1[[#This Row],[a1]]=1,IF(ISNUMBER(Tab.o1[[#This Row],[i.]]),NORMDIST(Tab.o1[[#This Row],[Za]],0,1,FALSE)*Tab.o1[[#This Row],[i.]],0),"")</f>
        <v/>
      </c>
      <c r="AQ589" s="125" t="str">
        <f>IF(Tab.o1[[#This Row],[a1]]=1,ABS(Tab.o1[[#This Row],[MOD]]-AVERAGE(Tab.o1[MOD])),"")</f>
        <v/>
      </c>
      <c r="AR589" s="134" t="str">
        <f>IF(Tab.o1[[#This Row],[a1]]=1,Tab.o1[[#This Row],[OBS]]/SUM(Tab.o1[OBS]),"")</f>
        <v/>
      </c>
      <c r="AS589" s="135" t="str">
        <f>IF(ISNUMBER(Tab.o1[[#This Row],[a1]]),ROW()-4,"")</f>
        <v/>
      </c>
      <c r="AT589" s="136" t="str">
        <f>Tab.o1[[#This Row],[MOD]]</f>
        <v/>
      </c>
      <c r="AU589" s="137" t="str">
        <f t="shared" si="37"/>
        <v/>
      </c>
      <c r="AV589" s="138" t="str">
        <f t="shared" si="38"/>
        <v/>
      </c>
      <c r="AW589" s="138" t="str">
        <f t="shared" si="39"/>
        <v/>
      </c>
      <c r="AX589" s="139" t="str">
        <f>[1]!T.in.A[[#This Row],[ID_T_manu]]</f>
        <v/>
      </c>
      <c r="AY589" s="140" t="str">
        <f>IF(ISNUMBER(Tab.o1[[#This Row],[a1]]),IF(AND(Tab.o1[[#This Row],[a1]]=1,Tab.o1[[#This Row],[b1]]&lt;=AY$4),#REF!,AY588),"")</f>
        <v/>
      </c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</row>
    <row r="590" spans="1:79" ht="15.75" hidden="1">
      <c r="A590" s="109">
        <v>1.0000000000000002E-6</v>
      </c>
      <c r="B590" s="110">
        <f t="shared" si="36"/>
        <v>590</v>
      </c>
      <c r="C590" s="111" t="str">
        <f>IF(C$1=[1]!T.in.A[[#This Row],[oo2]],1,"")</f>
        <v/>
      </c>
      <c r="D590" s="112" t="str">
        <f>IF(Tab.o1[[#This Row],[a1]]=1,IF(SUM(C590:C591)=0,0,IF(SUM(C589:C590)=1,1,IF(SUM(C589:C591)&gt;1,D589+1,0))),"")</f>
        <v/>
      </c>
      <c r="E590" s="113" t="str">
        <f>IF(Tab.o1[[#This Row],[a1]]=1,[1]!T.in.A[[#This Row],[oo1]],"")</f>
        <v/>
      </c>
      <c r="F590" s="113" t="str">
        <f>IF(Tab.o1[[#This Row],[a1]]=1,[1]!T.in.A[[#This Row],[pp1]],"")</f>
        <v/>
      </c>
      <c r="G590" s="114" t="str">
        <f>IF(Tab.o1[[#This Row],[a1]]=1,G$2+IF(G$1=1,0,Tab.o1[[#This Row],[.x1]])+[1]!T.in.A[[#This Row],[oo3]],"")</f>
        <v/>
      </c>
      <c r="H590" s="115" t="str">
        <f>IF(Tab.o1[[#This Row],[a1]]=1,IF(H$2=0,0,IF(G$1=1,0,Tab.o1[[#This Row],[.x1]])+[1]!T.in.A[[#This Row],[oo4]]),"")</f>
        <v/>
      </c>
      <c r="I590" s="116" t="str">
        <f>IF(Tab.o1[[#This Row],[a1]]=1,IF(J$2=0,Tab.o1[[#This Row],[MED]],Tab.o1[[#This Row],[MOD]]),"")</f>
        <v/>
      </c>
      <c r="J590" s="116" t="str">
        <f>IF(Tab.o1[[#This Row],[a1]]=1,((Tab.o1[[#This Row],[DIF_Target.]]-AVERAGE(Tab.o1[DIF_Target.]))/_xlfn.STDEV.P(Tab.o1[DIF_Target.])),"")</f>
        <v/>
      </c>
      <c r="K590" s="117" t="str">
        <f>IF(Tab.o1[[#This Row],[a1]]=1,IF(J$2=0,Tab.o1[[#This Row],[MOD]]-Tab.o1[[#This Row],[B]],IF(J$2=1,0,-Tab.o1[[#This Row],[MED]])+Tab.o1[[#This Row],[B]]),"")</f>
        <v/>
      </c>
      <c r="L590" s="117" t="str">
        <f ca="1">IF(Tab.o1[[#This Row],[DIF_Target]]=0,IF(L$2=0,Tab.o1[[#This Row],[DIF_Target]],AVERAGE(OFFSET(Tab.o1[[#This Row],[DIF_Target]],1,0,L$3,1)))/3,Tab.o1[[#This Row],[DIF_Target]])</f>
        <v/>
      </c>
      <c r="M590" s="118" t="str">
        <f>IF(Tab.o1[[#This Row],[a1]]=1,NORMSDIST(Tab.o1[[#This Row],[Za]]),"")</f>
        <v/>
      </c>
      <c r="N590" s="119" t="str">
        <f>IF(Tab.o1[[#This Row],[a1]]=1,((Tab.o1[[#This Row],[MedMod]]-AVERAGE(Tab.o1[MedMod]))/_xlfn.STDEV.P(Tab.o1[MedMod])*H$1205)+G$1205,"")</f>
        <v/>
      </c>
      <c r="O590" s="141" t="str">
        <f>IF(Tab.o1[[#This Row],[a1]]=1,Tab.o1[[#This Row],[Zb]]*_xlfn.STDEV.P(Tab.o1[MedMod])+AVERAGE(Tab.o1[MedMod]),"")</f>
        <v/>
      </c>
      <c r="P590" s="117" t="str">
        <f ca="1">IF(Tab.o1[[#This Row],[B]]=0,AVERAGE(OFFSET(Tab.o1[[#This Row],[B]],1,0,L$3,1)),Tab.o1[[#This Row],[B]])</f>
        <v/>
      </c>
      <c r="Q590" s="121" t="str">
        <f>IF(Tab.o1[[#This Row],[a1]]=1,NORMSDIST(Tab.o1[[#This Row],[Zb]]),"")</f>
        <v/>
      </c>
      <c r="R590" s="122" t="str">
        <f>IF(Tab.o1[[#This Row],[a1]]=1,((Tab.o1[[#This Row],[MedMod]]-AVERAGE(Tab.o1[MedMod]))/_xlfn.STDEV.P(Tab.o1[MedMod])*H$1203)+G$1203,"")</f>
        <v/>
      </c>
      <c r="S590" s="122" t="str">
        <f>IF(Tab.o1[[#This Row],[a1]]=1,((Tab.o1[[#This Row],[MedMod]]-AVERAGE(Tab.o1[MedMod]))/_xlfn.STDEV.P(Tab.o1[MedMod])*H$1204)+G$1204,"")</f>
        <v/>
      </c>
      <c r="T590" s="123" t="str">
        <f>IF(Tab.o1[[#This Row],[a1]]=1,Tab.o1[[#This Row],[Z-]]*_xlfn.STDEV.P(Tab.o1[B])+AVERAGE(Tab.o1[B]),"")</f>
        <v/>
      </c>
      <c r="U590" s="123" t="str">
        <f>IF(Tab.o1[[#This Row],[a1]]=1,Tab.o1[[#This Row],[z+]]*_xlfn.STDEV.P(Tab.o1[B])+AVERAGE(Tab.o1[B]),"")</f>
        <v/>
      </c>
      <c r="V590" s="124" t="str">
        <f>IF(Tab.o1[[#This Row],[a1]]=1,ABS((ABS(Tab.o1[[#This Row],[Red]]-Tab.o1[[#This Row],[Blue]]))),"")</f>
        <v/>
      </c>
      <c r="W590" s="125" t="str">
        <f>IF(Tab.o1[[#This Row],[a1]]=1,IF(W$3=0,1,Tab.o1[[#This Row],[Amp.]]*1/_xlfn.MINIFS(Tab.o1[Amp.],Tab.o1[Amp.],"&lt;&gt;0")),"")</f>
        <v/>
      </c>
      <c r="X590" s="126" t="str">
        <f>IF(Tab.o1[[#This Row],[a1]]=1,IF(ISNUMBER(Tab.o1[[#This Row],[i.]]),NORMDIST(Tab.o1[[#This Row],[Za]],0,1,FALSE)*Tab.o1[[#This Row],[i.]],AP$3),"")</f>
        <v/>
      </c>
      <c r="Y590" s="126" t="str">
        <f>IF(Tab.o1[[#This Row],[a1]]=1,0.01+0.94*Tab.o1[[#This Row],[PDF]]/MAX(Tab.o1[PDF]),"")</f>
        <v/>
      </c>
      <c r="Z590" s="126" t="str">
        <f>IF(Tab.o1[[#This Row],[a1]]=1,0.01+0.94*Tab.o1[[#This Row],[W1_PDF]]/MAX(Tab.o1[W1_PDF]),"")</f>
        <v/>
      </c>
      <c r="AA590" s="118" t="str">
        <f>IF(Tab.o1[[#This Row],[a1]]=1,ABS([1]!T.in.A[[#This Row],[oo6]]),"")</f>
        <v/>
      </c>
      <c r="AB590" s="127" t="str">
        <f>IF(Tab.o1[[#This Row],[a1]]=1,IF(AE$3=0,"",IF(AB$3=0,ABS([1]!T.in.A[[#This Row],[oo9]]),ABS(Tab.o1[[#This Row],[DIF_Target.]]*Tab.o1[[#This Row],[W1_PDF]]))),"")</f>
        <v/>
      </c>
      <c r="AC590" s="127" t="str">
        <f>IF(G$1=1,"",IF(Tab.o1[[#This Row],[a1]]=1,Tab.o1[[#This Row],[Wr]]^2,""))</f>
        <v/>
      </c>
      <c r="AD590" s="118" t="str">
        <f>IF(Tab.o1[[#This Row],[a1]]=1,IF(AE$3=0,"",Tab.o1[[#This Row],[Wr2]]/SUM(Tab.o1[Wr2])),"")</f>
        <v/>
      </c>
      <c r="AE590" s="128" t="str">
        <f>IF(Tab.o1[[#This Row],[a1]]=1,[1]!T.in.A[[#This Row],[oo10]],"")</f>
        <v/>
      </c>
      <c r="AF590" s="118" t="str">
        <f>IF(Tab.o1[[#This Row],[a1]]=1,ABS(Tab.o1[[#This Row],[DIF_Target.]]*Tab.o1[[#This Row],[PDF2]]*Tab.o1[[#This Row],[IN]]),"")</f>
        <v/>
      </c>
      <c r="AG590" s="129" t="str">
        <f>IF(Tab.o1[[#This Row],[a1]]=1,Tab.o1[[#This Row],[rW]]^2,"")</f>
        <v/>
      </c>
      <c r="AH590" s="130" t="str">
        <f>IF(Tab.o1[[#This Row],[a1]]=1,IF(AH$3=0,Tab.o1[[#This Row],[rW2]],0.01+0.94*Tab.o1[[#This Row],[rW2]]/SUM(Tab.o1[rW2])),"")</f>
        <v/>
      </c>
      <c r="AI590" s="128" t="str">
        <f>IF(Tab.o1[[#This Row],[a1]]=1,1/Tab.o1[[#This Row],[PDF]],"")</f>
        <v/>
      </c>
      <c r="AJ590" s="131" t="str">
        <f>IF(Tab.o1[[#This Row],[a1]]=1,[1]!T_AA[[#This Row],[IN'']]*[1]!T_AA[[#This Row],[Qde'']],"")</f>
        <v/>
      </c>
      <c r="AK590" s="132" t="str">
        <f>IF(Tab.o1[[#This Row],[a1]]=1,IF(AK$1=1,Tab.o1[[#This Row],[MED]]+Tab.o1[[#This Row],[MOD]]-Tab.o1[[#This Row],[MED]],""),"")</f>
        <v/>
      </c>
      <c r="AL590" s="133" t="str">
        <f>IF(Tab.o1[[#This Row],[a1]]=1,[1]!T.in.A[[#This Row],[oo16]],"")</f>
        <v/>
      </c>
      <c r="AM590" s="133" t="str">
        <f>IF(Tab.o1[[#This Row],[a1]]=1,IF(AM$3=1,[1]!T.in.A[[#This Row],[Σo16]],""),"")</f>
        <v/>
      </c>
      <c r="AN590" s="126" t="str">
        <f>IF(Tab.o1[[#This Row],[a1]]=1,[1]!T.in.A[[#This Row],[Σp5]],"")</f>
        <v/>
      </c>
      <c r="AO590" s="126" t="str">
        <f>IF(Tab.o1[[#This Row],[a1]]=1,IF(AO$3=1,[1]!T.in.A[[#This Row],[Σp5]],""),"")</f>
        <v/>
      </c>
      <c r="AP590" s="110" t="str">
        <f>IF(Tab.o1[[#This Row],[a1]]=1,IF(ISNUMBER(Tab.o1[[#This Row],[i.]]),NORMDIST(Tab.o1[[#This Row],[Za]],0,1,FALSE)*Tab.o1[[#This Row],[i.]],0),"")</f>
        <v/>
      </c>
      <c r="AQ590" s="125" t="str">
        <f>IF(Tab.o1[[#This Row],[a1]]=1,ABS(Tab.o1[[#This Row],[MOD]]-AVERAGE(Tab.o1[MOD])),"")</f>
        <v/>
      </c>
      <c r="AR590" s="134" t="str">
        <f>IF(Tab.o1[[#This Row],[a1]]=1,Tab.o1[[#This Row],[OBS]]/SUM(Tab.o1[OBS]),"")</f>
        <v/>
      </c>
      <c r="AS590" s="135" t="str">
        <f>IF(ISNUMBER(Tab.o1[[#This Row],[a1]]),ROW()-4,"")</f>
        <v/>
      </c>
      <c r="AT590" s="136" t="str">
        <f>Tab.o1[[#This Row],[MOD]]</f>
        <v/>
      </c>
      <c r="AU590" s="137" t="str">
        <f t="shared" si="37"/>
        <v/>
      </c>
      <c r="AV590" s="138" t="str">
        <f t="shared" si="38"/>
        <v/>
      </c>
      <c r="AW590" s="138" t="str">
        <f t="shared" si="39"/>
        <v/>
      </c>
      <c r="AX590" s="139" t="str">
        <f>[1]!T.in.A[[#This Row],[ID_T_manu]]</f>
        <v/>
      </c>
      <c r="AY590" s="140" t="str">
        <f>IF(ISNUMBER(Tab.o1[[#This Row],[a1]]),IF(AND(Tab.o1[[#This Row],[a1]]=1,Tab.o1[[#This Row],[b1]]&lt;=AY$4),#REF!,AY589),"")</f>
        <v/>
      </c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</row>
    <row r="591" spans="1:79" ht="15.75" hidden="1">
      <c r="A591" s="109">
        <v>-1.0000000000000002E-6</v>
      </c>
      <c r="B591" s="110">
        <f t="shared" si="36"/>
        <v>591</v>
      </c>
      <c r="C591" s="111" t="str">
        <f>IF(C$1=[1]!T.in.A[[#This Row],[oo2]],1,"")</f>
        <v/>
      </c>
      <c r="D591" s="112" t="str">
        <f>IF(Tab.o1[[#This Row],[a1]]=1,IF(SUM(C591:C592)=0,0,IF(SUM(C590:C591)=1,1,IF(SUM(C590:C592)&gt;1,D590+1,0))),"")</f>
        <v/>
      </c>
      <c r="E591" s="113" t="str">
        <f>IF(Tab.o1[[#This Row],[a1]]=1,[1]!T.in.A[[#This Row],[oo1]],"")</f>
        <v/>
      </c>
      <c r="F591" s="113" t="str">
        <f>IF(Tab.o1[[#This Row],[a1]]=1,[1]!T.in.A[[#This Row],[pp1]],"")</f>
        <v/>
      </c>
      <c r="G591" s="114" t="str">
        <f>IF(Tab.o1[[#This Row],[a1]]=1,G$2+IF(G$1=1,0,Tab.o1[[#This Row],[.x1]])+[1]!T.in.A[[#This Row],[oo3]],"")</f>
        <v/>
      </c>
      <c r="H591" s="115" t="str">
        <f>IF(Tab.o1[[#This Row],[a1]]=1,IF(H$2=0,0,IF(G$1=1,0,Tab.o1[[#This Row],[.x1]])+[1]!T.in.A[[#This Row],[oo4]]),"")</f>
        <v/>
      </c>
      <c r="I591" s="116" t="str">
        <f>IF(Tab.o1[[#This Row],[a1]]=1,IF(J$2=0,Tab.o1[[#This Row],[MED]],Tab.o1[[#This Row],[MOD]]),"")</f>
        <v/>
      </c>
      <c r="J591" s="116" t="str">
        <f>IF(Tab.o1[[#This Row],[a1]]=1,((Tab.o1[[#This Row],[DIF_Target.]]-AVERAGE(Tab.o1[DIF_Target.]))/_xlfn.STDEV.P(Tab.o1[DIF_Target.])),"")</f>
        <v/>
      </c>
      <c r="K591" s="117" t="str">
        <f>IF(Tab.o1[[#This Row],[a1]]=1,IF(J$2=0,Tab.o1[[#This Row],[MOD]]-Tab.o1[[#This Row],[B]],IF(J$2=1,0,-Tab.o1[[#This Row],[MED]])+Tab.o1[[#This Row],[B]]),"")</f>
        <v/>
      </c>
      <c r="L591" s="117" t="str">
        <f ca="1">IF(Tab.o1[[#This Row],[DIF_Target]]=0,IF(L$2=0,Tab.o1[[#This Row],[DIF_Target]],AVERAGE(OFFSET(Tab.o1[[#This Row],[DIF_Target]],1,0,L$3,1)))/3,Tab.o1[[#This Row],[DIF_Target]])</f>
        <v/>
      </c>
      <c r="M591" s="118" t="str">
        <f>IF(Tab.o1[[#This Row],[a1]]=1,NORMSDIST(Tab.o1[[#This Row],[Za]]),"")</f>
        <v/>
      </c>
      <c r="N591" s="119" t="str">
        <f>IF(Tab.o1[[#This Row],[a1]]=1,((Tab.o1[[#This Row],[MedMod]]-AVERAGE(Tab.o1[MedMod]))/_xlfn.STDEV.P(Tab.o1[MedMod])*H$1205)+G$1205,"")</f>
        <v/>
      </c>
      <c r="O591" s="141" t="str">
        <f>IF(Tab.o1[[#This Row],[a1]]=1,Tab.o1[[#This Row],[Zb]]*_xlfn.STDEV.P(Tab.o1[MedMod])+AVERAGE(Tab.o1[MedMod]),"")</f>
        <v/>
      </c>
      <c r="P591" s="117" t="str">
        <f ca="1">IF(Tab.o1[[#This Row],[B]]=0,AVERAGE(OFFSET(Tab.o1[[#This Row],[B]],1,0,L$3,1)),Tab.o1[[#This Row],[B]])</f>
        <v/>
      </c>
      <c r="Q591" s="121" t="str">
        <f>IF(Tab.o1[[#This Row],[a1]]=1,NORMSDIST(Tab.o1[[#This Row],[Zb]]),"")</f>
        <v/>
      </c>
      <c r="R591" s="122" t="str">
        <f>IF(Tab.o1[[#This Row],[a1]]=1,((Tab.o1[[#This Row],[MedMod]]-AVERAGE(Tab.o1[MedMod]))/_xlfn.STDEV.P(Tab.o1[MedMod])*H$1203)+G$1203,"")</f>
        <v/>
      </c>
      <c r="S591" s="122" t="str">
        <f>IF(Tab.o1[[#This Row],[a1]]=1,((Tab.o1[[#This Row],[MedMod]]-AVERAGE(Tab.o1[MedMod]))/_xlfn.STDEV.P(Tab.o1[MedMod])*H$1204)+G$1204,"")</f>
        <v/>
      </c>
      <c r="T591" s="123" t="str">
        <f>IF(Tab.o1[[#This Row],[a1]]=1,Tab.o1[[#This Row],[Z-]]*_xlfn.STDEV.P(Tab.o1[B])+AVERAGE(Tab.o1[B]),"")</f>
        <v/>
      </c>
      <c r="U591" s="123" t="str">
        <f>IF(Tab.o1[[#This Row],[a1]]=1,Tab.o1[[#This Row],[z+]]*_xlfn.STDEV.P(Tab.o1[B])+AVERAGE(Tab.o1[B]),"")</f>
        <v/>
      </c>
      <c r="V591" s="124" t="str">
        <f>IF(Tab.o1[[#This Row],[a1]]=1,ABS((ABS(Tab.o1[[#This Row],[Red]]-Tab.o1[[#This Row],[Blue]]))),"")</f>
        <v/>
      </c>
      <c r="W591" s="125" t="str">
        <f>IF(Tab.o1[[#This Row],[a1]]=1,IF(W$3=0,1,Tab.o1[[#This Row],[Amp.]]*1/_xlfn.MINIFS(Tab.o1[Amp.],Tab.o1[Amp.],"&lt;&gt;0")),"")</f>
        <v/>
      </c>
      <c r="X591" s="126" t="str">
        <f>IF(Tab.o1[[#This Row],[a1]]=1,IF(ISNUMBER(Tab.o1[[#This Row],[i.]]),NORMDIST(Tab.o1[[#This Row],[Za]],0,1,FALSE)*Tab.o1[[#This Row],[i.]],AP$3),"")</f>
        <v/>
      </c>
      <c r="Y591" s="126" t="str">
        <f>IF(Tab.o1[[#This Row],[a1]]=1,0.01+0.94*Tab.o1[[#This Row],[PDF]]/MAX(Tab.o1[PDF]),"")</f>
        <v/>
      </c>
      <c r="Z591" s="126" t="str">
        <f>IF(Tab.o1[[#This Row],[a1]]=1,0.01+0.94*Tab.o1[[#This Row],[W1_PDF]]/MAX(Tab.o1[W1_PDF]),"")</f>
        <v/>
      </c>
      <c r="AA591" s="118" t="str">
        <f>IF(Tab.o1[[#This Row],[a1]]=1,ABS([1]!T.in.A[[#This Row],[oo6]]),"")</f>
        <v/>
      </c>
      <c r="AB591" s="127" t="str">
        <f>IF(Tab.o1[[#This Row],[a1]]=1,IF(AE$3=0,"",IF(AB$3=0,ABS([1]!T.in.A[[#This Row],[oo9]]),ABS(Tab.o1[[#This Row],[DIF_Target.]]*Tab.o1[[#This Row],[W1_PDF]]))),"")</f>
        <v/>
      </c>
      <c r="AC591" s="127" t="str">
        <f>IF(G$1=1,"",IF(Tab.o1[[#This Row],[a1]]=1,Tab.o1[[#This Row],[Wr]]^2,""))</f>
        <v/>
      </c>
      <c r="AD591" s="118" t="str">
        <f>IF(Tab.o1[[#This Row],[a1]]=1,IF(AE$3=0,"",Tab.o1[[#This Row],[Wr2]]/SUM(Tab.o1[Wr2])),"")</f>
        <v/>
      </c>
      <c r="AE591" s="128" t="str">
        <f>IF(Tab.o1[[#This Row],[a1]]=1,[1]!T.in.A[[#This Row],[oo10]],"")</f>
        <v/>
      </c>
      <c r="AF591" s="118" t="str">
        <f>IF(Tab.o1[[#This Row],[a1]]=1,ABS(Tab.o1[[#This Row],[DIF_Target.]]*Tab.o1[[#This Row],[PDF2]]*Tab.o1[[#This Row],[IN]]),"")</f>
        <v/>
      </c>
      <c r="AG591" s="129" t="str">
        <f>IF(Tab.o1[[#This Row],[a1]]=1,Tab.o1[[#This Row],[rW]]^2,"")</f>
        <v/>
      </c>
      <c r="AH591" s="130" t="str">
        <f>IF(Tab.o1[[#This Row],[a1]]=1,IF(AH$3=0,Tab.o1[[#This Row],[rW2]],0.01+0.94*Tab.o1[[#This Row],[rW2]]/SUM(Tab.o1[rW2])),"")</f>
        <v/>
      </c>
      <c r="AI591" s="128" t="str">
        <f>IF(Tab.o1[[#This Row],[a1]]=1,1/Tab.o1[[#This Row],[PDF]],"")</f>
        <v/>
      </c>
      <c r="AJ591" s="131" t="str">
        <f>IF(Tab.o1[[#This Row],[a1]]=1,[1]!T_AA[[#This Row],[IN'']]*[1]!T_AA[[#This Row],[Qde'']],"")</f>
        <v/>
      </c>
      <c r="AK591" s="132" t="str">
        <f>IF(Tab.o1[[#This Row],[a1]]=1,IF(AK$1=1,Tab.o1[[#This Row],[MED]]+Tab.o1[[#This Row],[MOD]]-Tab.o1[[#This Row],[MED]],""),"")</f>
        <v/>
      </c>
      <c r="AL591" s="133" t="str">
        <f>IF(Tab.o1[[#This Row],[a1]]=1,[1]!T.in.A[[#This Row],[oo16]],"")</f>
        <v/>
      </c>
      <c r="AM591" s="133" t="str">
        <f>IF(Tab.o1[[#This Row],[a1]]=1,IF(AM$3=1,[1]!T.in.A[[#This Row],[Σo16]],""),"")</f>
        <v/>
      </c>
      <c r="AN591" s="126" t="str">
        <f>IF(Tab.o1[[#This Row],[a1]]=1,[1]!T.in.A[[#This Row],[Σp5]],"")</f>
        <v/>
      </c>
      <c r="AO591" s="126" t="str">
        <f>IF(Tab.o1[[#This Row],[a1]]=1,IF(AO$3=1,[1]!T.in.A[[#This Row],[Σp5]],""),"")</f>
        <v/>
      </c>
      <c r="AP591" s="110" t="str">
        <f>IF(Tab.o1[[#This Row],[a1]]=1,IF(ISNUMBER(Tab.o1[[#This Row],[i.]]),NORMDIST(Tab.o1[[#This Row],[Za]],0,1,FALSE)*Tab.o1[[#This Row],[i.]],0),"")</f>
        <v/>
      </c>
      <c r="AQ591" s="125" t="str">
        <f>IF(Tab.o1[[#This Row],[a1]]=1,ABS(Tab.o1[[#This Row],[MOD]]-AVERAGE(Tab.o1[MOD])),"")</f>
        <v/>
      </c>
      <c r="AR591" s="134" t="str">
        <f>IF(Tab.o1[[#This Row],[a1]]=1,Tab.o1[[#This Row],[OBS]]/SUM(Tab.o1[OBS]),"")</f>
        <v/>
      </c>
      <c r="AS591" s="135" t="str">
        <f>IF(ISNUMBER(Tab.o1[[#This Row],[a1]]),ROW()-4,"")</f>
        <v/>
      </c>
      <c r="AT591" s="136" t="str">
        <f>Tab.o1[[#This Row],[MOD]]</f>
        <v/>
      </c>
      <c r="AU591" s="137" t="str">
        <f t="shared" si="37"/>
        <v/>
      </c>
      <c r="AV591" s="138" t="str">
        <f t="shared" si="38"/>
        <v/>
      </c>
      <c r="AW591" s="138" t="str">
        <f t="shared" si="39"/>
        <v/>
      </c>
      <c r="AX591" s="139" t="str">
        <f>[1]!T.in.A[[#This Row],[ID_T_manu]]</f>
        <v/>
      </c>
      <c r="AY591" s="140" t="str">
        <f>IF(ISNUMBER(Tab.o1[[#This Row],[a1]]),IF(AND(Tab.o1[[#This Row],[a1]]=1,Tab.o1[[#This Row],[b1]]&lt;=AY$4),#REF!,AY590),"")</f>
        <v/>
      </c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</row>
    <row r="592" spans="1:79" ht="15.75" hidden="1">
      <c r="A592" s="109">
        <v>-2.9999999999999997E-6</v>
      </c>
      <c r="B592" s="110">
        <f t="shared" si="36"/>
        <v>592</v>
      </c>
      <c r="C592" s="111" t="str">
        <f>IF(C$1=[1]!T.in.A[[#This Row],[oo2]],1,"")</f>
        <v/>
      </c>
      <c r="D592" s="112" t="str">
        <f>IF(Tab.o1[[#This Row],[a1]]=1,IF(SUM(C592:C593)=0,0,IF(SUM(C591:C592)=1,1,IF(SUM(C591:C593)&gt;1,D591+1,0))),"")</f>
        <v/>
      </c>
      <c r="E592" s="113" t="str">
        <f>IF(Tab.o1[[#This Row],[a1]]=1,[1]!T.in.A[[#This Row],[oo1]],"")</f>
        <v/>
      </c>
      <c r="F592" s="113" t="str">
        <f>IF(Tab.o1[[#This Row],[a1]]=1,[1]!T.in.A[[#This Row],[pp1]],"")</f>
        <v/>
      </c>
      <c r="G592" s="114" t="str">
        <f>IF(Tab.o1[[#This Row],[a1]]=1,G$2+IF(G$1=1,0,Tab.o1[[#This Row],[.x1]])+[1]!T.in.A[[#This Row],[oo3]],"")</f>
        <v/>
      </c>
      <c r="H592" s="115" t="str">
        <f>IF(Tab.o1[[#This Row],[a1]]=1,IF(H$2=0,0,IF(G$1=1,0,Tab.o1[[#This Row],[.x1]])+[1]!T.in.A[[#This Row],[oo4]]),"")</f>
        <v/>
      </c>
      <c r="I592" s="116" t="str">
        <f>IF(Tab.o1[[#This Row],[a1]]=1,IF(J$2=0,Tab.o1[[#This Row],[MED]],Tab.o1[[#This Row],[MOD]]),"")</f>
        <v/>
      </c>
      <c r="J592" s="116" t="str">
        <f>IF(Tab.o1[[#This Row],[a1]]=1,((Tab.o1[[#This Row],[DIF_Target.]]-AVERAGE(Tab.o1[DIF_Target.]))/_xlfn.STDEV.P(Tab.o1[DIF_Target.])),"")</f>
        <v/>
      </c>
      <c r="K592" s="117" t="str">
        <f>IF(Tab.o1[[#This Row],[a1]]=1,IF(J$2=0,Tab.o1[[#This Row],[MOD]]-Tab.o1[[#This Row],[B]],IF(J$2=1,0,-Tab.o1[[#This Row],[MED]])+Tab.o1[[#This Row],[B]]),"")</f>
        <v/>
      </c>
      <c r="L592" s="117" t="str">
        <f ca="1">IF(Tab.o1[[#This Row],[DIF_Target]]=0,IF(L$2=0,Tab.o1[[#This Row],[DIF_Target]],AVERAGE(OFFSET(Tab.o1[[#This Row],[DIF_Target]],1,0,L$3,1)))/3,Tab.o1[[#This Row],[DIF_Target]])</f>
        <v/>
      </c>
      <c r="M592" s="118" t="str">
        <f>IF(Tab.o1[[#This Row],[a1]]=1,NORMSDIST(Tab.o1[[#This Row],[Za]]),"")</f>
        <v/>
      </c>
      <c r="N592" s="119" t="str">
        <f>IF(Tab.o1[[#This Row],[a1]]=1,((Tab.o1[[#This Row],[MedMod]]-AVERAGE(Tab.o1[MedMod]))/_xlfn.STDEV.P(Tab.o1[MedMod])*H$1205)+G$1205,"")</f>
        <v/>
      </c>
      <c r="O592" s="141" t="str">
        <f>IF(Tab.o1[[#This Row],[a1]]=1,Tab.o1[[#This Row],[Zb]]*_xlfn.STDEV.P(Tab.o1[MedMod])+AVERAGE(Tab.o1[MedMod]),"")</f>
        <v/>
      </c>
      <c r="P592" s="117" t="str">
        <f ca="1">IF(Tab.o1[[#This Row],[B]]=0,AVERAGE(OFFSET(Tab.o1[[#This Row],[B]],1,0,L$3,1)),Tab.o1[[#This Row],[B]])</f>
        <v/>
      </c>
      <c r="Q592" s="121" t="str">
        <f>IF(Tab.o1[[#This Row],[a1]]=1,NORMSDIST(Tab.o1[[#This Row],[Zb]]),"")</f>
        <v/>
      </c>
      <c r="R592" s="122" t="str">
        <f>IF(Tab.o1[[#This Row],[a1]]=1,((Tab.o1[[#This Row],[MedMod]]-AVERAGE(Tab.o1[MedMod]))/_xlfn.STDEV.P(Tab.o1[MedMod])*H$1203)+G$1203,"")</f>
        <v/>
      </c>
      <c r="S592" s="122" t="str">
        <f>IF(Tab.o1[[#This Row],[a1]]=1,((Tab.o1[[#This Row],[MedMod]]-AVERAGE(Tab.o1[MedMod]))/_xlfn.STDEV.P(Tab.o1[MedMod])*H$1204)+G$1204,"")</f>
        <v/>
      </c>
      <c r="T592" s="123" t="str">
        <f>IF(Tab.o1[[#This Row],[a1]]=1,Tab.o1[[#This Row],[Z-]]*_xlfn.STDEV.P(Tab.o1[B])+AVERAGE(Tab.o1[B]),"")</f>
        <v/>
      </c>
      <c r="U592" s="123" t="str">
        <f>IF(Tab.o1[[#This Row],[a1]]=1,Tab.o1[[#This Row],[z+]]*_xlfn.STDEV.P(Tab.o1[B])+AVERAGE(Tab.o1[B]),"")</f>
        <v/>
      </c>
      <c r="V592" s="124" t="str">
        <f>IF(Tab.o1[[#This Row],[a1]]=1,ABS((ABS(Tab.o1[[#This Row],[Red]]-Tab.o1[[#This Row],[Blue]]))),"")</f>
        <v/>
      </c>
      <c r="W592" s="125" t="str">
        <f>IF(Tab.o1[[#This Row],[a1]]=1,IF(W$3=0,1,Tab.o1[[#This Row],[Amp.]]*1/_xlfn.MINIFS(Tab.o1[Amp.],Tab.o1[Amp.],"&lt;&gt;0")),"")</f>
        <v/>
      </c>
      <c r="X592" s="126" t="str">
        <f>IF(Tab.o1[[#This Row],[a1]]=1,IF(ISNUMBER(Tab.o1[[#This Row],[i.]]),NORMDIST(Tab.o1[[#This Row],[Za]],0,1,FALSE)*Tab.o1[[#This Row],[i.]],AP$3),"")</f>
        <v/>
      </c>
      <c r="Y592" s="126" t="str">
        <f>IF(Tab.o1[[#This Row],[a1]]=1,0.01+0.94*Tab.o1[[#This Row],[PDF]]/MAX(Tab.o1[PDF]),"")</f>
        <v/>
      </c>
      <c r="Z592" s="126" t="str">
        <f>IF(Tab.o1[[#This Row],[a1]]=1,0.01+0.94*Tab.o1[[#This Row],[W1_PDF]]/MAX(Tab.o1[W1_PDF]),"")</f>
        <v/>
      </c>
      <c r="AA592" s="118" t="str">
        <f>IF(Tab.o1[[#This Row],[a1]]=1,ABS([1]!T.in.A[[#This Row],[oo6]]),"")</f>
        <v/>
      </c>
      <c r="AB592" s="127" t="str">
        <f>IF(Tab.o1[[#This Row],[a1]]=1,IF(AE$3=0,"",IF(AB$3=0,ABS([1]!T.in.A[[#This Row],[oo9]]),ABS(Tab.o1[[#This Row],[DIF_Target.]]*Tab.o1[[#This Row],[W1_PDF]]))),"")</f>
        <v/>
      </c>
      <c r="AC592" s="127" t="str">
        <f>IF(G$1=1,"",IF(Tab.o1[[#This Row],[a1]]=1,Tab.o1[[#This Row],[Wr]]^2,""))</f>
        <v/>
      </c>
      <c r="AD592" s="118" t="str">
        <f>IF(Tab.o1[[#This Row],[a1]]=1,IF(AE$3=0,"",Tab.o1[[#This Row],[Wr2]]/SUM(Tab.o1[Wr2])),"")</f>
        <v/>
      </c>
      <c r="AE592" s="128" t="str">
        <f>IF(Tab.o1[[#This Row],[a1]]=1,[1]!T.in.A[[#This Row],[oo10]],"")</f>
        <v/>
      </c>
      <c r="AF592" s="118" t="str">
        <f>IF(Tab.o1[[#This Row],[a1]]=1,ABS(Tab.o1[[#This Row],[DIF_Target.]]*Tab.o1[[#This Row],[PDF2]]*Tab.o1[[#This Row],[IN]]),"")</f>
        <v/>
      </c>
      <c r="AG592" s="129" t="str">
        <f>IF(Tab.o1[[#This Row],[a1]]=1,Tab.o1[[#This Row],[rW]]^2,"")</f>
        <v/>
      </c>
      <c r="AH592" s="130" t="str">
        <f>IF(Tab.o1[[#This Row],[a1]]=1,IF(AH$3=0,Tab.o1[[#This Row],[rW2]],0.01+0.94*Tab.o1[[#This Row],[rW2]]/SUM(Tab.o1[rW2])),"")</f>
        <v/>
      </c>
      <c r="AI592" s="128" t="str">
        <f>IF(Tab.o1[[#This Row],[a1]]=1,1/Tab.o1[[#This Row],[PDF]],"")</f>
        <v/>
      </c>
      <c r="AJ592" s="131" t="str">
        <f>IF(Tab.o1[[#This Row],[a1]]=1,[1]!T_AA[[#This Row],[IN'']]*[1]!T_AA[[#This Row],[Qde'']],"")</f>
        <v/>
      </c>
      <c r="AK592" s="132" t="str">
        <f>IF(Tab.o1[[#This Row],[a1]]=1,IF(AK$1=1,Tab.o1[[#This Row],[MED]]+Tab.o1[[#This Row],[MOD]]-Tab.o1[[#This Row],[MED]],""),"")</f>
        <v/>
      </c>
      <c r="AL592" s="133" t="str">
        <f>IF(Tab.o1[[#This Row],[a1]]=1,[1]!T.in.A[[#This Row],[oo16]],"")</f>
        <v/>
      </c>
      <c r="AM592" s="133" t="str">
        <f>IF(Tab.o1[[#This Row],[a1]]=1,IF(AM$3=1,[1]!T.in.A[[#This Row],[Σo16]],""),"")</f>
        <v/>
      </c>
      <c r="AN592" s="126" t="str">
        <f>IF(Tab.o1[[#This Row],[a1]]=1,[1]!T.in.A[[#This Row],[Σp5]],"")</f>
        <v/>
      </c>
      <c r="AO592" s="126" t="str">
        <f>IF(Tab.o1[[#This Row],[a1]]=1,IF(AO$3=1,[1]!T.in.A[[#This Row],[Σp5]],""),"")</f>
        <v/>
      </c>
      <c r="AP592" s="110" t="str">
        <f>IF(Tab.o1[[#This Row],[a1]]=1,IF(ISNUMBER(Tab.o1[[#This Row],[i.]]),NORMDIST(Tab.o1[[#This Row],[Za]],0,1,FALSE)*Tab.o1[[#This Row],[i.]],0),"")</f>
        <v/>
      </c>
      <c r="AQ592" s="125" t="str">
        <f>IF(Tab.o1[[#This Row],[a1]]=1,ABS(Tab.o1[[#This Row],[MOD]]-AVERAGE(Tab.o1[MOD])),"")</f>
        <v/>
      </c>
      <c r="AR592" s="134" t="str">
        <f>IF(Tab.o1[[#This Row],[a1]]=1,Tab.o1[[#This Row],[OBS]]/SUM(Tab.o1[OBS]),"")</f>
        <v/>
      </c>
      <c r="AS592" s="135" t="str">
        <f>IF(ISNUMBER(Tab.o1[[#This Row],[a1]]),ROW()-4,"")</f>
        <v/>
      </c>
      <c r="AT592" s="136" t="str">
        <f>Tab.o1[[#This Row],[MOD]]</f>
        <v/>
      </c>
      <c r="AU592" s="137" t="str">
        <f t="shared" si="37"/>
        <v/>
      </c>
      <c r="AV592" s="138" t="str">
        <f t="shared" si="38"/>
        <v/>
      </c>
      <c r="AW592" s="138" t="str">
        <f t="shared" si="39"/>
        <v/>
      </c>
      <c r="AX592" s="139" t="str">
        <f>[1]!T.in.A[[#This Row],[ID_T_manu]]</f>
        <v/>
      </c>
      <c r="AY592" s="140" t="str">
        <f>IF(ISNUMBER(Tab.o1[[#This Row],[a1]]),IF(AND(Tab.o1[[#This Row],[a1]]=1,Tab.o1[[#This Row],[b1]]&lt;=AY$4),#REF!,AY591),"")</f>
        <v/>
      </c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</row>
    <row r="593" spans="1:79" ht="15.75" hidden="1">
      <c r="A593" s="109">
        <v>-2.9999999999999997E-6</v>
      </c>
      <c r="B593" s="110">
        <f t="shared" si="36"/>
        <v>593</v>
      </c>
      <c r="C593" s="111" t="str">
        <f>IF(C$1=[1]!T.in.A[[#This Row],[oo2]],1,"")</f>
        <v/>
      </c>
      <c r="D593" s="112" t="str">
        <f>IF(Tab.o1[[#This Row],[a1]]=1,IF(SUM(C593:C594)=0,0,IF(SUM(C592:C593)=1,1,IF(SUM(C592:C594)&gt;1,D592+1,0))),"")</f>
        <v/>
      </c>
      <c r="E593" s="113" t="str">
        <f>IF(Tab.o1[[#This Row],[a1]]=1,[1]!T.in.A[[#This Row],[oo1]],"")</f>
        <v/>
      </c>
      <c r="F593" s="113" t="str">
        <f>IF(Tab.o1[[#This Row],[a1]]=1,[1]!T.in.A[[#This Row],[pp1]],"")</f>
        <v/>
      </c>
      <c r="G593" s="114" t="str">
        <f>IF(Tab.o1[[#This Row],[a1]]=1,G$2+IF(G$1=1,0,Tab.o1[[#This Row],[.x1]])+[1]!T.in.A[[#This Row],[oo3]],"")</f>
        <v/>
      </c>
      <c r="H593" s="115" t="str">
        <f>IF(Tab.o1[[#This Row],[a1]]=1,IF(H$2=0,0,IF(G$1=1,0,Tab.o1[[#This Row],[.x1]])+[1]!T.in.A[[#This Row],[oo4]]),"")</f>
        <v/>
      </c>
      <c r="I593" s="116" t="str">
        <f>IF(Tab.o1[[#This Row],[a1]]=1,IF(J$2=0,Tab.o1[[#This Row],[MED]],Tab.o1[[#This Row],[MOD]]),"")</f>
        <v/>
      </c>
      <c r="J593" s="116" t="str">
        <f>IF(Tab.o1[[#This Row],[a1]]=1,((Tab.o1[[#This Row],[DIF_Target.]]-AVERAGE(Tab.o1[DIF_Target.]))/_xlfn.STDEV.P(Tab.o1[DIF_Target.])),"")</f>
        <v/>
      </c>
      <c r="K593" s="117" t="str">
        <f>IF(Tab.o1[[#This Row],[a1]]=1,IF(J$2=0,Tab.o1[[#This Row],[MOD]]-Tab.o1[[#This Row],[B]],IF(J$2=1,0,-Tab.o1[[#This Row],[MED]])+Tab.o1[[#This Row],[B]]),"")</f>
        <v/>
      </c>
      <c r="L593" s="117" t="str">
        <f ca="1">IF(Tab.o1[[#This Row],[DIF_Target]]=0,IF(L$2=0,Tab.o1[[#This Row],[DIF_Target]],AVERAGE(OFFSET(Tab.o1[[#This Row],[DIF_Target]],1,0,L$3,1)))/3,Tab.o1[[#This Row],[DIF_Target]])</f>
        <v/>
      </c>
      <c r="M593" s="118" t="str">
        <f>IF(Tab.o1[[#This Row],[a1]]=1,NORMSDIST(Tab.o1[[#This Row],[Za]]),"")</f>
        <v/>
      </c>
      <c r="N593" s="119" t="str">
        <f>IF(Tab.o1[[#This Row],[a1]]=1,((Tab.o1[[#This Row],[MedMod]]-AVERAGE(Tab.o1[MedMod]))/_xlfn.STDEV.P(Tab.o1[MedMod])*H$1205)+G$1205,"")</f>
        <v/>
      </c>
      <c r="O593" s="141" t="str">
        <f>IF(Tab.o1[[#This Row],[a1]]=1,Tab.o1[[#This Row],[Zb]]*_xlfn.STDEV.P(Tab.o1[MedMod])+AVERAGE(Tab.o1[MedMod]),"")</f>
        <v/>
      </c>
      <c r="P593" s="117" t="str">
        <f ca="1">IF(Tab.o1[[#This Row],[B]]=0,AVERAGE(OFFSET(Tab.o1[[#This Row],[B]],1,0,L$3,1)),Tab.o1[[#This Row],[B]])</f>
        <v/>
      </c>
      <c r="Q593" s="121" t="str">
        <f>IF(Tab.o1[[#This Row],[a1]]=1,NORMSDIST(Tab.o1[[#This Row],[Zb]]),"")</f>
        <v/>
      </c>
      <c r="R593" s="122" t="str">
        <f>IF(Tab.o1[[#This Row],[a1]]=1,((Tab.o1[[#This Row],[MedMod]]-AVERAGE(Tab.o1[MedMod]))/_xlfn.STDEV.P(Tab.o1[MedMod])*H$1203)+G$1203,"")</f>
        <v/>
      </c>
      <c r="S593" s="122" t="str">
        <f>IF(Tab.o1[[#This Row],[a1]]=1,((Tab.o1[[#This Row],[MedMod]]-AVERAGE(Tab.o1[MedMod]))/_xlfn.STDEV.P(Tab.o1[MedMod])*H$1204)+G$1204,"")</f>
        <v/>
      </c>
      <c r="T593" s="123" t="str">
        <f>IF(Tab.o1[[#This Row],[a1]]=1,Tab.o1[[#This Row],[Z-]]*_xlfn.STDEV.P(Tab.o1[B])+AVERAGE(Tab.o1[B]),"")</f>
        <v/>
      </c>
      <c r="U593" s="123" t="str">
        <f>IF(Tab.o1[[#This Row],[a1]]=1,Tab.o1[[#This Row],[z+]]*_xlfn.STDEV.P(Tab.o1[B])+AVERAGE(Tab.o1[B]),"")</f>
        <v/>
      </c>
      <c r="V593" s="124" t="str">
        <f>IF(Tab.o1[[#This Row],[a1]]=1,ABS((ABS(Tab.o1[[#This Row],[Red]]-Tab.o1[[#This Row],[Blue]]))),"")</f>
        <v/>
      </c>
      <c r="W593" s="125" t="str">
        <f>IF(Tab.o1[[#This Row],[a1]]=1,IF(W$3=0,1,Tab.o1[[#This Row],[Amp.]]*1/_xlfn.MINIFS(Tab.o1[Amp.],Tab.o1[Amp.],"&lt;&gt;0")),"")</f>
        <v/>
      </c>
      <c r="X593" s="126" t="str">
        <f>IF(Tab.o1[[#This Row],[a1]]=1,IF(ISNUMBER(Tab.o1[[#This Row],[i.]]),NORMDIST(Tab.o1[[#This Row],[Za]],0,1,FALSE)*Tab.o1[[#This Row],[i.]],AP$3),"")</f>
        <v/>
      </c>
      <c r="Y593" s="126" t="str">
        <f>IF(Tab.o1[[#This Row],[a1]]=1,0.01+0.94*Tab.o1[[#This Row],[PDF]]/MAX(Tab.o1[PDF]),"")</f>
        <v/>
      </c>
      <c r="Z593" s="126" t="str">
        <f>IF(Tab.o1[[#This Row],[a1]]=1,0.01+0.94*Tab.o1[[#This Row],[W1_PDF]]/MAX(Tab.o1[W1_PDF]),"")</f>
        <v/>
      </c>
      <c r="AA593" s="118" t="str">
        <f>IF(Tab.o1[[#This Row],[a1]]=1,ABS([1]!T.in.A[[#This Row],[oo6]]),"")</f>
        <v/>
      </c>
      <c r="AB593" s="127" t="str">
        <f>IF(Tab.o1[[#This Row],[a1]]=1,IF(AE$3=0,"",IF(AB$3=0,ABS([1]!T.in.A[[#This Row],[oo9]]),ABS(Tab.o1[[#This Row],[DIF_Target.]]*Tab.o1[[#This Row],[W1_PDF]]))),"")</f>
        <v/>
      </c>
      <c r="AC593" s="127" t="str">
        <f>IF(G$1=1,"",IF(Tab.o1[[#This Row],[a1]]=1,Tab.o1[[#This Row],[Wr]]^2,""))</f>
        <v/>
      </c>
      <c r="AD593" s="118" t="str">
        <f>IF(Tab.o1[[#This Row],[a1]]=1,IF(AE$3=0,"",Tab.o1[[#This Row],[Wr2]]/SUM(Tab.o1[Wr2])),"")</f>
        <v/>
      </c>
      <c r="AE593" s="128" t="str">
        <f>IF(Tab.o1[[#This Row],[a1]]=1,[1]!T.in.A[[#This Row],[oo10]],"")</f>
        <v/>
      </c>
      <c r="AF593" s="118" t="str">
        <f>IF(Tab.o1[[#This Row],[a1]]=1,ABS(Tab.o1[[#This Row],[DIF_Target.]]*Tab.o1[[#This Row],[PDF2]]*Tab.o1[[#This Row],[IN]]),"")</f>
        <v/>
      </c>
      <c r="AG593" s="129" t="str">
        <f>IF(Tab.o1[[#This Row],[a1]]=1,Tab.o1[[#This Row],[rW]]^2,"")</f>
        <v/>
      </c>
      <c r="AH593" s="130" t="str">
        <f>IF(Tab.o1[[#This Row],[a1]]=1,IF(AH$3=0,Tab.o1[[#This Row],[rW2]],0.01+0.94*Tab.o1[[#This Row],[rW2]]/SUM(Tab.o1[rW2])),"")</f>
        <v/>
      </c>
      <c r="AI593" s="128" t="str">
        <f>IF(Tab.o1[[#This Row],[a1]]=1,1/Tab.o1[[#This Row],[PDF]],"")</f>
        <v/>
      </c>
      <c r="AJ593" s="131" t="str">
        <f>IF(Tab.o1[[#This Row],[a1]]=1,[1]!T_AA[[#This Row],[IN'']]*[1]!T_AA[[#This Row],[Qde'']],"")</f>
        <v/>
      </c>
      <c r="AK593" s="132" t="str">
        <f>IF(Tab.o1[[#This Row],[a1]]=1,IF(AK$1=1,Tab.o1[[#This Row],[MED]]+Tab.o1[[#This Row],[MOD]]-Tab.o1[[#This Row],[MED]],""),"")</f>
        <v/>
      </c>
      <c r="AL593" s="133" t="str">
        <f>IF(Tab.o1[[#This Row],[a1]]=1,[1]!T.in.A[[#This Row],[oo16]],"")</f>
        <v/>
      </c>
      <c r="AM593" s="133" t="str">
        <f>IF(Tab.o1[[#This Row],[a1]]=1,IF(AM$3=1,[1]!T.in.A[[#This Row],[Σo16]],""),"")</f>
        <v/>
      </c>
      <c r="AN593" s="126" t="str">
        <f>IF(Tab.o1[[#This Row],[a1]]=1,[1]!T.in.A[[#This Row],[Σp5]],"")</f>
        <v/>
      </c>
      <c r="AO593" s="126" t="str">
        <f>IF(Tab.o1[[#This Row],[a1]]=1,IF(AO$3=1,[1]!T.in.A[[#This Row],[Σp5]],""),"")</f>
        <v/>
      </c>
      <c r="AP593" s="110" t="str">
        <f>IF(Tab.o1[[#This Row],[a1]]=1,IF(ISNUMBER(Tab.o1[[#This Row],[i.]]),NORMDIST(Tab.o1[[#This Row],[Za]],0,1,FALSE)*Tab.o1[[#This Row],[i.]],0),"")</f>
        <v/>
      </c>
      <c r="AQ593" s="125" t="str">
        <f>IF(Tab.o1[[#This Row],[a1]]=1,ABS(Tab.o1[[#This Row],[MOD]]-AVERAGE(Tab.o1[MOD])),"")</f>
        <v/>
      </c>
      <c r="AR593" s="134" t="str">
        <f>IF(Tab.o1[[#This Row],[a1]]=1,Tab.o1[[#This Row],[OBS]]/SUM(Tab.o1[OBS]),"")</f>
        <v/>
      </c>
      <c r="AS593" s="135" t="str">
        <f>IF(ISNUMBER(Tab.o1[[#This Row],[a1]]),ROW()-4,"")</f>
        <v/>
      </c>
      <c r="AT593" s="136" t="str">
        <f>Tab.o1[[#This Row],[MOD]]</f>
        <v/>
      </c>
      <c r="AU593" s="137" t="str">
        <f t="shared" si="37"/>
        <v/>
      </c>
      <c r="AV593" s="138" t="str">
        <f t="shared" si="38"/>
        <v/>
      </c>
      <c r="AW593" s="138" t="str">
        <f t="shared" si="39"/>
        <v/>
      </c>
      <c r="AX593" s="139" t="str">
        <f>[1]!T.in.A[[#This Row],[ID_T_manu]]</f>
        <v/>
      </c>
      <c r="AY593" s="140" t="str">
        <f>IF(ISNUMBER(Tab.o1[[#This Row],[a1]]),IF(AND(Tab.o1[[#This Row],[a1]]=1,Tab.o1[[#This Row],[b1]]&lt;=AY$4),#REF!,AY592),"")</f>
        <v/>
      </c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</row>
    <row r="594" spans="1:79" ht="15.75" hidden="1">
      <c r="A594" s="109">
        <v>2.0000000000000003E-6</v>
      </c>
      <c r="B594" s="110">
        <f t="shared" si="36"/>
        <v>594</v>
      </c>
      <c r="C594" s="111" t="str">
        <f>IF(C$1=[1]!T.in.A[[#This Row],[oo2]],1,"")</f>
        <v/>
      </c>
      <c r="D594" s="112" t="str">
        <f>IF(Tab.o1[[#This Row],[a1]]=1,IF(SUM(C594:C595)=0,0,IF(SUM(C593:C594)=1,1,IF(SUM(C593:C595)&gt;1,D593+1,0))),"")</f>
        <v/>
      </c>
      <c r="E594" s="113" t="str">
        <f>IF(Tab.o1[[#This Row],[a1]]=1,[1]!T.in.A[[#This Row],[oo1]],"")</f>
        <v/>
      </c>
      <c r="F594" s="113" t="str">
        <f>IF(Tab.o1[[#This Row],[a1]]=1,[1]!T.in.A[[#This Row],[pp1]],"")</f>
        <v/>
      </c>
      <c r="G594" s="114" t="str">
        <f>IF(Tab.o1[[#This Row],[a1]]=1,G$2+IF(G$1=1,0,Tab.o1[[#This Row],[.x1]])+[1]!T.in.A[[#This Row],[oo3]],"")</f>
        <v/>
      </c>
      <c r="H594" s="115" t="str">
        <f>IF(Tab.o1[[#This Row],[a1]]=1,IF(H$2=0,0,IF(G$1=1,0,Tab.o1[[#This Row],[.x1]])+[1]!T.in.A[[#This Row],[oo4]]),"")</f>
        <v/>
      </c>
      <c r="I594" s="116" t="str">
        <f>IF(Tab.o1[[#This Row],[a1]]=1,IF(J$2=0,Tab.o1[[#This Row],[MED]],Tab.o1[[#This Row],[MOD]]),"")</f>
        <v/>
      </c>
      <c r="J594" s="116" t="str">
        <f>IF(Tab.o1[[#This Row],[a1]]=1,((Tab.o1[[#This Row],[DIF_Target.]]-AVERAGE(Tab.o1[DIF_Target.]))/_xlfn.STDEV.P(Tab.o1[DIF_Target.])),"")</f>
        <v/>
      </c>
      <c r="K594" s="117" t="str">
        <f>IF(Tab.o1[[#This Row],[a1]]=1,IF(J$2=0,Tab.o1[[#This Row],[MOD]]-Tab.o1[[#This Row],[B]],IF(J$2=1,0,-Tab.o1[[#This Row],[MED]])+Tab.o1[[#This Row],[B]]),"")</f>
        <v/>
      </c>
      <c r="L594" s="117" t="str">
        <f ca="1">IF(Tab.o1[[#This Row],[DIF_Target]]=0,IF(L$2=0,Tab.o1[[#This Row],[DIF_Target]],AVERAGE(OFFSET(Tab.o1[[#This Row],[DIF_Target]],1,0,L$3,1)))/3,Tab.o1[[#This Row],[DIF_Target]])</f>
        <v/>
      </c>
      <c r="M594" s="118" t="str">
        <f>IF(Tab.o1[[#This Row],[a1]]=1,NORMSDIST(Tab.o1[[#This Row],[Za]]),"")</f>
        <v/>
      </c>
      <c r="N594" s="119" t="str">
        <f>IF(Tab.o1[[#This Row],[a1]]=1,((Tab.o1[[#This Row],[MedMod]]-AVERAGE(Tab.o1[MedMod]))/_xlfn.STDEV.P(Tab.o1[MedMod])*H$1205)+G$1205,"")</f>
        <v/>
      </c>
      <c r="O594" s="141" t="str">
        <f>IF(Tab.o1[[#This Row],[a1]]=1,Tab.o1[[#This Row],[Zb]]*_xlfn.STDEV.P(Tab.o1[MedMod])+AVERAGE(Tab.o1[MedMod]),"")</f>
        <v/>
      </c>
      <c r="P594" s="117" t="str">
        <f ca="1">IF(Tab.o1[[#This Row],[B]]=0,AVERAGE(OFFSET(Tab.o1[[#This Row],[B]],1,0,L$3,1)),Tab.o1[[#This Row],[B]])</f>
        <v/>
      </c>
      <c r="Q594" s="121" t="str">
        <f>IF(Tab.o1[[#This Row],[a1]]=1,NORMSDIST(Tab.o1[[#This Row],[Zb]]),"")</f>
        <v/>
      </c>
      <c r="R594" s="122" t="str">
        <f>IF(Tab.o1[[#This Row],[a1]]=1,((Tab.o1[[#This Row],[MedMod]]-AVERAGE(Tab.o1[MedMod]))/_xlfn.STDEV.P(Tab.o1[MedMod])*H$1203)+G$1203,"")</f>
        <v/>
      </c>
      <c r="S594" s="122" t="str">
        <f>IF(Tab.o1[[#This Row],[a1]]=1,((Tab.o1[[#This Row],[MedMod]]-AVERAGE(Tab.o1[MedMod]))/_xlfn.STDEV.P(Tab.o1[MedMod])*H$1204)+G$1204,"")</f>
        <v/>
      </c>
      <c r="T594" s="123" t="str">
        <f>IF(Tab.o1[[#This Row],[a1]]=1,Tab.o1[[#This Row],[Z-]]*_xlfn.STDEV.P(Tab.o1[B])+AVERAGE(Tab.o1[B]),"")</f>
        <v/>
      </c>
      <c r="U594" s="123" t="str">
        <f>IF(Tab.o1[[#This Row],[a1]]=1,Tab.o1[[#This Row],[z+]]*_xlfn.STDEV.P(Tab.o1[B])+AVERAGE(Tab.o1[B]),"")</f>
        <v/>
      </c>
      <c r="V594" s="124" t="str">
        <f>IF(Tab.o1[[#This Row],[a1]]=1,ABS((ABS(Tab.o1[[#This Row],[Red]]-Tab.o1[[#This Row],[Blue]]))),"")</f>
        <v/>
      </c>
      <c r="W594" s="125" t="str">
        <f>IF(Tab.o1[[#This Row],[a1]]=1,IF(W$3=0,1,Tab.o1[[#This Row],[Amp.]]*1/_xlfn.MINIFS(Tab.o1[Amp.],Tab.o1[Amp.],"&lt;&gt;0")),"")</f>
        <v/>
      </c>
      <c r="X594" s="126" t="str">
        <f>IF(Tab.o1[[#This Row],[a1]]=1,IF(ISNUMBER(Tab.o1[[#This Row],[i.]]),NORMDIST(Tab.o1[[#This Row],[Za]],0,1,FALSE)*Tab.o1[[#This Row],[i.]],AP$3),"")</f>
        <v/>
      </c>
      <c r="Y594" s="126" t="str">
        <f>IF(Tab.o1[[#This Row],[a1]]=1,0.01+0.94*Tab.o1[[#This Row],[PDF]]/MAX(Tab.o1[PDF]),"")</f>
        <v/>
      </c>
      <c r="Z594" s="126" t="str">
        <f>IF(Tab.o1[[#This Row],[a1]]=1,0.01+0.94*Tab.o1[[#This Row],[W1_PDF]]/MAX(Tab.o1[W1_PDF]),"")</f>
        <v/>
      </c>
      <c r="AA594" s="118" t="str">
        <f>IF(Tab.o1[[#This Row],[a1]]=1,ABS([1]!T.in.A[[#This Row],[oo6]]),"")</f>
        <v/>
      </c>
      <c r="AB594" s="127" t="str">
        <f>IF(Tab.o1[[#This Row],[a1]]=1,IF(AE$3=0,"",IF(AB$3=0,ABS([1]!T.in.A[[#This Row],[oo9]]),ABS(Tab.o1[[#This Row],[DIF_Target.]]*Tab.o1[[#This Row],[W1_PDF]]))),"")</f>
        <v/>
      </c>
      <c r="AC594" s="127" t="str">
        <f>IF(G$1=1,"",IF(Tab.o1[[#This Row],[a1]]=1,Tab.o1[[#This Row],[Wr]]^2,""))</f>
        <v/>
      </c>
      <c r="AD594" s="118" t="str">
        <f>IF(Tab.o1[[#This Row],[a1]]=1,IF(AE$3=0,"",Tab.o1[[#This Row],[Wr2]]/SUM(Tab.o1[Wr2])),"")</f>
        <v/>
      </c>
      <c r="AE594" s="128" t="str">
        <f>IF(Tab.o1[[#This Row],[a1]]=1,[1]!T.in.A[[#This Row],[oo10]],"")</f>
        <v/>
      </c>
      <c r="AF594" s="118" t="str">
        <f>IF(Tab.o1[[#This Row],[a1]]=1,ABS(Tab.o1[[#This Row],[DIF_Target.]]*Tab.o1[[#This Row],[PDF2]]*Tab.o1[[#This Row],[IN]]),"")</f>
        <v/>
      </c>
      <c r="AG594" s="129" t="str">
        <f>IF(Tab.o1[[#This Row],[a1]]=1,Tab.o1[[#This Row],[rW]]^2,"")</f>
        <v/>
      </c>
      <c r="AH594" s="130" t="str">
        <f>IF(Tab.o1[[#This Row],[a1]]=1,IF(AH$3=0,Tab.o1[[#This Row],[rW2]],0.01+0.94*Tab.o1[[#This Row],[rW2]]/SUM(Tab.o1[rW2])),"")</f>
        <v/>
      </c>
      <c r="AI594" s="128" t="str">
        <f>IF(Tab.o1[[#This Row],[a1]]=1,1/Tab.o1[[#This Row],[PDF]],"")</f>
        <v/>
      </c>
      <c r="AJ594" s="131" t="str">
        <f>IF(Tab.o1[[#This Row],[a1]]=1,[1]!T_AA[[#This Row],[IN'']]*[1]!T_AA[[#This Row],[Qde'']],"")</f>
        <v/>
      </c>
      <c r="AK594" s="132" t="str">
        <f>IF(Tab.o1[[#This Row],[a1]]=1,IF(AK$1=1,Tab.o1[[#This Row],[MED]]+Tab.o1[[#This Row],[MOD]]-Tab.o1[[#This Row],[MED]],""),"")</f>
        <v/>
      </c>
      <c r="AL594" s="133" t="str">
        <f>IF(Tab.o1[[#This Row],[a1]]=1,[1]!T.in.A[[#This Row],[oo16]],"")</f>
        <v/>
      </c>
      <c r="AM594" s="133" t="str">
        <f>IF(Tab.o1[[#This Row],[a1]]=1,IF(AM$3=1,[1]!T.in.A[[#This Row],[Σo16]],""),"")</f>
        <v/>
      </c>
      <c r="AN594" s="126" t="str">
        <f>IF(Tab.o1[[#This Row],[a1]]=1,[1]!T.in.A[[#This Row],[Σp5]],"")</f>
        <v/>
      </c>
      <c r="AO594" s="126" t="str">
        <f>IF(Tab.o1[[#This Row],[a1]]=1,IF(AO$3=1,[1]!T.in.A[[#This Row],[Σp5]],""),"")</f>
        <v/>
      </c>
      <c r="AP594" s="110" t="str">
        <f>IF(Tab.o1[[#This Row],[a1]]=1,IF(ISNUMBER(Tab.o1[[#This Row],[i.]]),NORMDIST(Tab.o1[[#This Row],[Za]],0,1,FALSE)*Tab.o1[[#This Row],[i.]],0),"")</f>
        <v/>
      </c>
      <c r="AQ594" s="125" t="str">
        <f>IF(Tab.o1[[#This Row],[a1]]=1,ABS(Tab.o1[[#This Row],[MOD]]-AVERAGE(Tab.o1[MOD])),"")</f>
        <v/>
      </c>
      <c r="AR594" s="134" t="str">
        <f>IF(Tab.o1[[#This Row],[a1]]=1,Tab.o1[[#This Row],[OBS]]/SUM(Tab.o1[OBS]),"")</f>
        <v/>
      </c>
      <c r="AS594" s="135" t="str">
        <f>IF(ISNUMBER(Tab.o1[[#This Row],[a1]]),ROW()-4,"")</f>
        <v/>
      </c>
      <c r="AT594" s="136" t="str">
        <f>Tab.o1[[#This Row],[MOD]]</f>
        <v/>
      </c>
      <c r="AU594" s="137" t="str">
        <f t="shared" si="37"/>
        <v/>
      </c>
      <c r="AV594" s="138" t="str">
        <f t="shared" si="38"/>
        <v/>
      </c>
      <c r="AW594" s="138" t="str">
        <f t="shared" si="39"/>
        <v/>
      </c>
      <c r="AX594" s="139" t="str">
        <f>[1]!T.in.A[[#This Row],[ID_T_manu]]</f>
        <v/>
      </c>
      <c r="AY594" s="140" t="str">
        <f>IF(ISNUMBER(Tab.o1[[#This Row],[a1]]),IF(AND(Tab.o1[[#This Row],[a1]]=1,Tab.o1[[#This Row],[b1]]&lt;=AY$4),#REF!,AY593),"")</f>
        <v/>
      </c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</row>
    <row r="595" spans="1:79" ht="15.75" hidden="1">
      <c r="A595" s="109">
        <v>2.9999999999999997E-6</v>
      </c>
      <c r="B595" s="110">
        <f t="shared" si="36"/>
        <v>595</v>
      </c>
      <c r="C595" s="111" t="str">
        <f>IF(C$1=[1]!T.in.A[[#This Row],[oo2]],1,"")</f>
        <v/>
      </c>
      <c r="D595" s="112" t="str">
        <f>IF(Tab.o1[[#This Row],[a1]]=1,IF(SUM(C595:C596)=0,0,IF(SUM(C594:C595)=1,1,IF(SUM(C594:C596)&gt;1,D594+1,0))),"")</f>
        <v/>
      </c>
      <c r="E595" s="113" t="str">
        <f>IF(Tab.o1[[#This Row],[a1]]=1,[1]!T.in.A[[#This Row],[oo1]],"")</f>
        <v/>
      </c>
      <c r="F595" s="113" t="str">
        <f>IF(Tab.o1[[#This Row],[a1]]=1,[1]!T.in.A[[#This Row],[pp1]],"")</f>
        <v/>
      </c>
      <c r="G595" s="114" t="str">
        <f>IF(Tab.o1[[#This Row],[a1]]=1,G$2+IF(G$1=1,0,Tab.o1[[#This Row],[.x1]])+[1]!T.in.A[[#This Row],[oo3]],"")</f>
        <v/>
      </c>
      <c r="H595" s="115" t="str">
        <f>IF(Tab.o1[[#This Row],[a1]]=1,IF(H$2=0,0,IF(G$1=1,0,Tab.o1[[#This Row],[.x1]])+[1]!T.in.A[[#This Row],[oo4]]),"")</f>
        <v/>
      </c>
      <c r="I595" s="116" t="str">
        <f>IF(Tab.o1[[#This Row],[a1]]=1,IF(J$2=0,Tab.o1[[#This Row],[MED]],Tab.o1[[#This Row],[MOD]]),"")</f>
        <v/>
      </c>
      <c r="J595" s="116" t="str">
        <f>IF(Tab.o1[[#This Row],[a1]]=1,((Tab.o1[[#This Row],[DIF_Target.]]-AVERAGE(Tab.o1[DIF_Target.]))/_xlfn.STDEV.P(Tab.o1[DIF_Target.])),"")</f>
        <v/>
      </c>
      <c r="K595" s="117" t="str">
        <f>IF(Tab.o1[[#This Row],[a1]]=1,IF(J$2=0,Tab.o1[[#This Row],[MOD]]-Tab.o1[[#This Row],[B]],IF(J$2=1,0,-Tab.o1[[#This Row],[MED]])+Tab.o1[[#This Row],[B]]),"")</f>
        <v/>
      </c>
      <c r="L595" s="117" t="str">
        <f ca="1">IF(Tab.o1[[#This Row],[DIF_Target]]=0,IF(L$2=0,Tab.o1[[#This Row],[DIF_Target]],AVERAGE(OFFSET(Tab.o1[[#This Row],[DIF_Target]],1,0,L$3,1)))/3,Tab.o1[[#This Row],[DIF_Target]])</f>
        <v/>
      </c>
      <c r="M595" s="118" t="str">
        <f>IF(Tab.o1[[#This Row],[a1]]=1,NORMSDIST(Tab.o1[[#This Row],[Za]]),"")</f>
        <v/>
      </c>
      <c r="N595" s="119" t="str">
        <f>IF(Tab.o1[[#This Row],[a1]]=1,((Tab.o1[[#This Row],[MedMod]]-AVERAGE(Tab.o1[MedMod]))/_xlfn.STDEV.P(Tab.o1[MedMod])*H$1205)+G$1205,"")</f>
        <v/>
      </c>
      <c r="O595" s="141" t="str">
        <f>IF(Tab.o1[[#This Row],[a1]]=1,Tab.o1[[#This Row],[Zb]]*_xlfn.STDEV.P(Tab.o1[MedMod])+AVERAGE(Tab.o1[MedMod]),"")</f>
        <v/>
      </c>
      <c r="P595" s="117" t="str">
        <f ca="1">IF(Tab.o1[[#This Row],[B]]=0,AVERAGE(OFFSET(Tab.o1[[#This Row],[B]],1,0,L$3,1)),Tab.o1[[#This Row],[B]])</f>
        <v/>
      </c>
      <c r="Q595" s="121" t="str">
        <f>IF(Tab.o1[[#This Row],[a1]]=1,NORMSDIST(Tab.o1[[#This Row],[Zb]]),"")</f>
        <v/>
      </c>
      <c r="R595" s="122" t="str">
        <f>IF(Tab.o1[[#This Row],[a1]]=1,((Tab.o1[[#This Row],[MedMod]]-AVERAGE(Tab.o1[MedMod]))/_xlfn.STDEV.P(Tab.o1[MedMod])*H$1203)+G$1203,"")</f>
        <v/>
      </c>
      <c r="S595" s="122" t="str">
        <f>IF(Tab.o1[[#This Row],[a1]]=1,((Tab.o1[[#This Row],[MedMod]]-AVERAGE(Tab.o1[MedMod]))/_xlfn.STDEV.P(Tab.o1[MedMod])*H$1204)+G$1204,"")</f>
        <v/>
      </c>
      <c r="T595" s="123" t="str">
        <f>IF(Tab.o1[[#This Row],[a1]]=1,Tab.o1[[#This Row],[Z-]]*_xlfn.STDEV.P(Tab.o1[B])+AVERAGE(Tab.o1[B]),"")</f>
        <v/>
      </c>
      <c r="U595" s="123" t="str">
        <f>IF(Tab.o1[[#This Row],[a1]]=1,Tab.o1[[#This Row],[z+]]*_xlfn.STDEV.P(Tab.o1[B])+AVERAGE(Tab.o1[B]),"")</f>
        <v/>
      </c>
      <c r="V595" s="124" t="str">
        <f>IF(Tab.o1[[#This Row],[a1]]=1,ABS((ABS(Tab.o1[[#This Row],[Red]]-Tab.o1[[#This Row],[Blue]]))),"")</f>
        <v/>
      </c>
      <c r="W595" s="125" t="str">
        <f>IF(Tab.o1[[#This Row],[a1]]=1,IF(W$3=0,1,Tab.o1[[#This Row],[Amp.]]*1/_xlfn.MINIFS(Tab.o1[Amp.],Tab.o1[Amp.],"&lt;&gt;0")),"")</f>
        <v/>
      </c>
      <c r="X595" s="126" t="str">
        <f>IF(Tab.o1[[#This Row],[a1]]=1,IF(ISNUMBER(Tab.o1[[#This Row],[i.]]),NORMDIST(Tab.o1[[#This Row],[Za]],0,1,FALSE)*Tab.o1[[#This Row],[i.]],AP$3),"")</f>
        <v/>
      </c>
      <c r="Y595" s="126" t="str">
        <f>IF(Tab.o1[[#This Row],[a1]]=1,0.01+0.94*Tab.o1[[#This Row],[PDF]]/MAX(Tab.o1[PDF]),"")</f>
        <v/>
      </c>
      <c r="Z595" s="126" t="str">
        <f>IF(Tab.o1[[#This Row],[a1]]=1,0.01+0.94*Tab.o1[[#This Row],[W1_PDF]]/MAX(Tab.o1[W1_PDF]),"")</f>
        <v/>
      </c>
      <c r="AA595" s="118" t="str">
        <f>IF(Tab.o1[[#This Row],[a1]]=1,ABS([1]!T.in.A[[#This Row],[oo6]]),"")</f>
        <v/>
      </c>
      <c r="AB595" s="127" t="str">
        <f>IF(Tab.o1[[#This Row],[a1]]=1,IF(AE$3=0,"",IF(AB$3=0,ABS([1]!T.in.A[[#This Row],[oo9]]),ABS(Tab.o1[[#This Row],[DIF_Target.]]*Tab.o1[[#This Row],[W1_PDF]]))),"")</f>
        <v/>
      </c>
      <c r="AC595" s="127" t="str">
        <f>IF(G$1=1,"",IF(Tab.o1[[#This Row],[a1]]=1,Tab.o1[[#This Row],[Wr]]^2,""))</f>
        <v/>
      </c>
      <c r="AD595" s="118" t="str">
        <f>IF(Tab.o1[[#This Row],[a1]]=1,IF(AE$3=0,"",Tab.o1[[#This Row],[Wr2]]/SUM(Tab.o1[Wr2])),"")</f>
        <v/>
      </c>
      <c r="AE595" s="128" t="str">
        <f>IF(Tab.o1[[#This Row],[a1]]=1,[1]!T.in.A[[#This Row],[oo10]],"")</f>
        <v/>
      </c>
      <c r="AF595" s="118" t="str">
        <f>IF(Tab.o1[[#This Row],[a1]]=1,ABS(Tab.o1[[#This Row],[DIF_Target.]]*Tab.o1[[#This Row],[PDF2]]*Tab.o1[[#This Row],[IN]]),"")</f>
        <v/>
      </c>
      <c r="AG595" s="129" t="str">
        <f>IF(Tab.o1[[#This Row],[a1]]=1,Tab.o1[[#This Row],[rW]]^2,"")</f>
        <v/>
      </c>
      <c r="AH595" s="130" t="str">
        <f>IF(Tab.o1[[#This Row],[a1]]=1,IF(AH$3=0,Tab.o1[[#This Row],[rW2]],0.01+0.94*Tab.o1[[#This Row],[rW2]]/SUM(Tab.o1[rW2])),"")</f>
        <v/>
      </c>
      <c r="AI595" s="128" t="str">
        <f>IF(Tab.o1[[#This Row],[a1]]=1,1/Tab.o1[[#This Row],[PDF]],"")</f>
        <v/>
      </c>
      <c r="AJ595" s="131" t="str">
        <f>IF(Tab.o1[[#This Row],[a1]]=1,[1]!T_AA[[#This Row],[IN'']]*[1]!T_AA[[#This Row],[Qde'']],"")</f>
        <v/>
      </c>
      <c r="AK595" s="132" t="str">
        <f>IF(Tab.o1[[#This Row],[a1]]=1,IF(AK$1=1,Tab.o1[[#This Row],[MED]]+Tab.o1[[#This Row],[MOD]]-Tab.o1[[#This Row],[MED]],""),"")</f>
        <v/>
      </c>
      <c r="AL595" s="133" t="str">
        <f>IF(Tab.o1[[#This Row],[a1]]=1,[1]!T.in.A[[#This Row],[oo16]],"")</f>
        <v/>
      </c>
      <c r="AM595" s="133" t="str">
        <f>IF(Tab.o1[[#This Row],[a1]]=1,IF(AM$3=1,[1]!T.in.A[[#This Row],[Σo16]],""),"")</f>
        <v/>
      </c>
      <c r="AN595" s="126" t="str">
        <f>IF(Tab.o1[[#This Row],[a1]]=1,[1]!T.in.A[[#This Row],[Σp5]],"")</f>
        <v/>
      </c>
      <c r="AO595" s="126" t="str">
        <f>IF(Tab.o1[[#This Row],[a1]]=1,IF(AO$3=1,[1]!T.in.A[[#This Row],[Σp5]],""),"")</f>
        <v/>
      </c>
      <c r="AP595" s="110" t="str">
        <f>IF(Tab.o1[[#This Row],[a1]]=1,IF(ISNUMBER(Tab.o1[[#This Row],[i.]]),NORMDIST(Tab.o1[[#This Row],[Za]],0,1,FALSE)*Tab.o1[[#This Row],[i.]],0),"")</f>
        <v/>
      </c>
      <c r="AQ595" s="125" t="str">
        <f>IF(Tab.o1[[#This Row],[a1]]=1,ABS(Tab.o1[[#This Row],[MOD]]-AVERAGE(Tab.o1[MOD])),"")</f>
        <v/>
      </c>
      <c r="AR595" s="134" t="str">
        <f>IF(Tab.o1[[#This Row],[a1]]=1,Tab.o1[[#This Row],[OBS]]/SUM(Tab.o1[OBS]),"")</f>
        <v/>
      </c>
      <c r="AS595" s="135" t="str">
        <f>IF(ISNUMBER(Tab.o1[[#This Row],[a1]]),ROW()-4,"")</f>
        <v/>
      </c>
      <c r="AT595" s="136" t="str">
        <f>Tab.o1[[#This Row],[MOD]]</f>
        <v/>
      </c>
      <c r="AU595" s="137" t="str">
        <f t="shared" si="37"/>
        <v/>
      </c>
      <c r="AV595" s="138" t="str">
        <f t="shared" si="38"/>
        <v/>
      </c>
      <c r="AW595" s="138" t="str">
        <f t="shared" si="39"/>
        <v/>
      </c>
      <c r="AX595" s="139" t="str">
        <f>[1]!T.in.A[[#This Row],[ID_T_manu]]</f>
        <v/>
      </c>
      <c r="AY595" s="140" t="str">
        <f>IF(ISNUMBER(Tab.o1[[#This Row],[a1]]),IF(AND(Tab.o1[[#This Row],[a1]]=1,Tab.o1[[#This Row],[b1]]&lt;=AY$4),#REF!,AY594),"")</f>
        <v/>
      </c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</row>
    <row r="596" spans="1:79" ht="15.75" hidden="1">
      <c r="A596" s="109">
        <v>-6.9999999999999999E-6</v>
      </c>
      <c r="B596" s="110">
        <f t="shared" si="36"/>
        <v>596</v>
      </c>
      <c r="C596" s="111" t="str">
        <f>IF(C$1=[1]!T.in.A[[#This Row],[oo2]],1,"")</f>
        <v/>
      </c>
      <c r="D596" s="112" t="str">
        <f>IF(Tab.o1[[#This Row],[a1]]=1,IF(SUM(C596:C597)=0,0,IF(SUM(C595:C596)=1,1,IF(SUM(C595:C597)&gt;1,D595+1,0))),"")</f>
        <v/>
      </c>
      <c r="E596" s="113" t="str">
        <f>IF(Tab.o1[[#This Row],[a1]]=1,[1]!T.in.A[[#This Row],[oo1]],"")</f>
        <v/>
      </c>
      <c r="F596" s="113" t="str">
        <f>IF(Tab.o1[[#This Row],[a1]]=1,[1]!T.in.A[[#This Row],[pp1]],"")</f>
        <v/>
      </c>
      <c r="G596" s="114" t="str">
        <f>IF(Tab.o1[[#This Row],[a1]]=1,G$2+IF(G$1=1,0,Tab.o1[[#This Row],[.x1]])+[1]!T.in.A[[#This Row],[oo3]],"")</f>
        <v/>
      </c>
      <c r="H596" s="115" t="str">
        <f>IF(Tab.o1[[#This Row],[a1]]=1,IF(H$2=0,0,IF(G$1=1,0,Tab.o1[[#This Row],[.x1]])+[1]!T.in.A[[#This Row],[oo4]]),"")</f>
        <v/>
      </c>
      <c r="I596" s="116" t="str">
        <f>IF(Tab.o1[[#This Row],[a1]]=1,IF(J$2=0,Tab.o1[[#This Row],[MED]],Tab.o1[[#This Row],[MOD]]),"")</f>
        <v/>
      </c>
      <c r="J596" s="116" t="str">
        <f>IF(Tab.o1[[#This Row],[a1]]=1,((Tab.o1[[#This Row],[DIF_Target.]]-AVERAGE(Tab.o1[DIF_Target.]))/_xlfn.STDEV.P(Tab.o1[DIF_Target.])),"")</f>
        <v/>
      </c>
      <c r="K596" s="117" t="str">
        <f>IF(Tab.o1[[#This Row],[a1]]=1,IF(J$2=0,Tab.o1[[#This Row],[MOD]]-Tab.o1[[#This Row],[B]],IF(J$2=1,0,-Tab.o1[[#This Row],[MED]])+Tab.o1[[#This Row],[B]]),"")</f>
        <v/>
      </c>
      <c r="L596" s="117" t="str">
        <f ca="1">IF(Tab.o1[[#This Row],[DIF_Target]]=0,IF(L$2=0,Tab.o1[[#This Row],[DIF_Target]],AVERAGE(OFFSET(Tab.o1[[#This Row],[DIF_Target]],1,0,L$3,1)))/3,Tab.o1[[#This Row],[DIF_Target]])</f>
        <v/>
      </c>
      <c r="M596" s="118" t="str">
        <f>IF(Tab.o1[[#This Row],[a1]]=1,NORMSDIST(Tab.o1[[#This Row],[Za]]),"")</f>
        <v/>
      </c>
      <c r="N596" s="119" t="str">
        <f>IF(Tab.o1[[#This Row],[a1]]=1,((Tab.o1[[#This Row],[MedMod]]-AVERAGE(Tab.o1[MedMod]))/_xlfn.STDEV.P(Tab.o1[MedMod])*H$1205)+G$1205,"")</f>
        <v/>
      </c>
      <c r="O596" s="141" t="str">
        <f>IF(Tab.o1[[#This Row],[a1]]=1,Tab.o1[[#This Row],[Zb]]*_xlfn.STDEV.P(Tab.o1[MedMod])+AVERAGE(Tab.o1[MedMod]),"")</f>
        <v/>
      </c>
      <c r="P596" s="117" t="str">
        <f ca="1">IF(Tab.o1[[#This Row],[B]]=0,AVERAGE(OFFSET(Tab.o1[[#This Row],[B]],1,0,L$3,1)),Tab.o1[[#This Row],[B]])</f>
        <v/>
      </c>
      <c r="Q596" s="121" t="str">
        <f>IF(Tab.o1[[#This Row],[a1]]=1,NORMSDIST(Tab.o1[[#This Row],[Zb]]),"")</f>
        <v/>
      </c>
      <c r="R596" s="122" t="str">
        <f>IF(Tab.o1[[#This Row],[a1]]=1,((Tab.o1[[#This Row],[MedMod]]-AVERAGE(Tab.o1[MedMod]))/_xlfn.STDEV.P(Tab.o1[MedMod])*H$1203)+G$1203,"")</f>
        <v/>
      </c>
      <c r="S596" s="122" t="str">
        <f>IF(Tab.o1[[#This Row],[a1]]=1,((Tab.o1[[#This Row],[MedMod]]-AVERAGE(Tab.o1[MedMod]))/_xlfn.STDEV.P(Tab.o1[MedMod])*H$1204)+G$1204,"")</f>
        <v/>
      </c>
      <c r="T596" s="123" t="str">
        <f>IF(Tab.o1[[#This Row],[a1]]=1,Tab.o1[[#This Row],[Z-]]*_xlfn.STDEV.P(Tab.o1[B])+AVERAGE(Tab.o1[B]),"")</f>
        <v/>
      </c>
      <c r="U596" s="123" t="str">
        <f>IF(Tab.o1[[#This Row],[a1]]=1,Tab.o1[[#This Row],[z+]]*_xlfn.STDEV.P(Tab.o1[B])+AVERAGE(Tab.o1[B]),"")</f>
        <v/>
      </c>
      <c r="V596" s="124" t="str">
        <f>IF(Tab.o1[[#This Row],[a1]]=1,ABS((ABS(Tab.o1[[#This Row],[Red]]-Tab.o1[[#This Row],[Blue]]))),"")</f>
        <v/>
      </c>
      <c r="W596" s="125" t="str">
        <f>IF(Tab.o1[[#This Row],[a1]]=1,IF(W$3=0,1,Tab.o1[[#This Row],[Amp.]]*1/_xlfn.MINIFS(Tab.o1[Amp.],Tab.o1[Amp.],"&lt;&gt;0")),"")</f>
        <v/>
      </c>
      <c r="X596" s="126" t="str">
        <f>IF(Tab.o1[[#This Row],[a1]]=1,IF(ISNUMBER(Tab.o1[[#This Row],[i.]]),NORMDIST(Tab.o1[[#This Row],[Za]],0,1,FALSE)*Tab.o1[[#This Row],[i.]],AP$3),"")</f>
        <v/>
      </c>
      <c r="Y596" s="126" t="str">
        <f>IF(Tab.o1[[#This Row],[a1]]=1,0.01+0.94*Tab.o1[[#This Row],[PDF]]/MAX(Tab.o1[PDF]),"")</f>
        <v/>
      </c>
      <c r="Z596" s="126" t="str">
        <f>IF(Tab.o1[[#This Row],[a1]]=1,0.01+0.94*Tab.o1[[#This Row],[W1_PDF]]/MAX(Tab.o1[W1_PDF]),"")</f>
        <v/>
      </c>
      <c r="AA596" s="118" t="str">
        <f>IF(Tab.o1[[#This Row],[a1]]=1,ABS([1]!T.in.A[[#This Row],[oo6]]),"")</f>
        <v/>
      </c>
      <c r="AB596" s="127" t="str">
        <f>IF(Tab.o1[[#This Row],[a1]]=1,IF(AE$3=0,"",IF(AB$3=0,ABS([1]!T.in.A[[#This Row],[oo9]]),ABS(Tab.o1[[#This Row],[DIF_Target.]]*Tab.o1[[#This Row],[W1_PDF]]))),"")</f>
        <v/>
      </c>
      <c r="AC596" s="127" t="str">
        <f>IF(G$1=1,"",IF(Tab.o1[[#This Row],[a1]]=1,Tab.o1[[#This Row],[Wr]]^2,""))</f>
        <v/>
      </c>
      <c r="AD596" s="118" t="str">
        <f>IF(Tab.o1[[#This Row],[a1]]=1,IF(AE$3=0,"",Tab.o1[[#This Row],[Wr2]]/SUM(Tab.o1[Wr2])),"")</f>
        <v/>
      </c>
      <c r="AE596" s="128" t="str">
        <f>IF(Tab.o1[[#This Row],[a1]]=1,[1]!T.in.A[[#This Row],[oo10]],"")</f>
        <v/>
      </c>
      <c r="AF596" s="118" t="str">
        <f>IF(Tab.o1[[#This Row],[a1]]=1,ABS(Tab.o1[[#This Row],[DIF_Target.]]*Tab.o1[[#This Row],[PDF2]]*Tab.o1[[#This Row],[IN]]),"")</f>
        <v/>
      </c>
      <c r="AG596" s="129" t="str">
        <f>IF(Tab.o1[[#This Row],[a1]]=1,Tab.o1[[#This Row],[rW]]^2,"")</f>
        <v/>
      </c>
      <c r="AH596" s="130" t="str">
        <f>IF(Tab.o1[[#This Row],[a1]]=1,IF(AH$3=0,Tab.o1[[#This Row],[rW2]],0.01+0.94*Tab.o1[[#This Row],[rW2]]/SUM(Tab.o1[rW2])),"")</f>
        <v/>
      </c>
      <c r="AI596" s="128" t="str">
        <f>IF(Tab.o1[[#This Row],[a1]]=1,1/Tab.o1[[#This Row],[PDF]],"")</f>
        <v/>
      </c>
      <c r="AJ596" s="131" t="str">
        <f>IF(Tab.o1[[#This Row],[a1]]=1,[1]!T_AA[[#This Row],[IN'']]*[1]!T_AA[[#This Row],[Qde'']],"")</f>
        <v/>
      </c>
      <c r="AK596" s="132" t="str">
        <f>IF(Tab.o1[[#This Row],[a1]]=1,IF(AK$1=1,Tab.o1[[#This Row],[MED]]+Tab.o1[[#This Row],[MOD]]-Tab.o1[[#This Row],[MED]],""),"")</f>
        <v/>
      </c>
      <c r="AL596" s="133" t="str">
        <f>IF(Tab.o1[[#This Row],[a1]]=1,[1]!T.in.A[[#This Row],[oo16]],"")</f>
        <v/>
      </c>
      <c r="AM596" s="133" t="str">
        <f>IF(Tab.o1[[#This Row],[a1]]=1,IF(AM$3=1,[1]!T.in.A[[#This Row],[Σo16]],""),"")</f>
        <v/>
      </c>
      <c r="AN596" s="126" t="str">
        <f>IF(Tab.o1[[#This Row],[a1]]=1,[1]!T.in.A[[#This Row],[Σp5]],"")</f>
        <v/>
      </c>
      <c r="AO596" s="126" t="str">
        <f>IF(Tab.o1[[#This Row],[a1]]=1,IF(AO$3=1,[1]!T.in.A[[#This Row],[Σp5]],""),"")</f>
        <v/>
      </c>
      <c r="AP596" s="110" t="str">
        <f>IF(Tab.o1[[#This Row],[a1]]=1,IF(ISNUMBER(Tab.o1[[#This Row],[i.]]),NORMDIST(Tab.o1[[#This Row],[Za]],0,1,FALSE)*Tab.o1[[#This Row],[i.]],0),"")</f>
        <v/>
      </c>
      <c r="AQ596" s="125" t="str">
        <f>IF(Tab.o1[[#This Row],[a1]]=1,ABS(Tab.o1[[#This Row],[MOD]]-AVERAGE(Tab.o1[MOD])),"")</f>
        <v/>
      </c>
      <c r="AR596" s="134" t="str">
        <f>IF(Tab.o1[[#This Row],[a1]]=1,Tab.o1[[#This Row],[OBS]]/SUM(Tab.o1[OBS]),"")</f>
        <v/>
      </c>
      <c r="AS596" s="135" t="str">
        <f>IF(ISNUMBER(Tab.o1[[#This Row],[a1]]),ROW()-4,"")</f>
        <v/>
      </c>
      <c r="AT596" s="136" t="str">
        <f>Tab.o1[[#This Row],[MOD]]</f>
        <v/>
      </c>
      <c r="AU596" s="137" t="str">
        <f t="shared" si="37"/>
        <v/>
      </c>
      <c r="AV596" s="138" t="str">
        <f t="shared" si="38"/>
        <v/>
      </c>
      <c r="AW596" s="138" t="str">
        <f t="shared" si="39"/>
        <v/>
      </c>
      <c r="AX596" s="139" t="str">
        <f>[1]!T.in.A[[#This Row],[ID_T_manu]]</f>
        <v/>
      </c>
      <c r="AY596" s="140" t="str">
        <f>IF(ISNUMBER(Tab.o1[[#This Row],[a1]]),IF(AND(Tab.o1[[#This Row],[a1]]=1,Tab.o1[[#This Row],[b1]]&lt;=AY$4),#REF!,AY595),"")</f>
        <v/>
      </c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</row>
    <row r="597" spans="1:79" ht="15.75" hidden="1">
      <c r="A597" s="109">
        <v>2.0000000000000003E-6</v>
      </c>
      <c r="B597" s="110">
        <f t="shared" si="36"/>
        <v>597</v>
      </c>
      <c r="C597" s="111" t="str">
        <f>IF(C$1=[1]!T.in.A[[#This Row],[oo2]],1,"")</f>
        <v/>
      </c>
      <c r="D597" s="112" t="str">
        <f>IF(Tab.o1[[#This Row],[a1]]=1,IF(SUM(C597:C598)=0,0,IF(SUM(C596:C597)=1,1,IF(SUM(C596:C598)&gt;1,D596+1,0))),"")</f>
        <v/>
      </c>
      <c r="E597" s="113" t="str">
        <f>IF(Tab.o1[[#This Row],[a1]]=1,[1]!T.in.A[[#This Row],[oo1]],"")</f>
        <v/>
      </c>
      <c r="F597" s="113" t="str">
        <f>IF(Tab.o1[[#This Row],[a1]]=1,[1]!T.in.A[[#This Row],[pp1]],"")</f>
        <v/>
      </c>
      <c r="G597" s="114" t="str">
        <f>IF(Tab.o1[[#This Row],[a1]]=1,G$2+IF(G$1=1,0,Tab.o1[[#This Row],[.x1]])+[1]!T.in.A[[#This Row],[oo3]],"")</f>
        <v/>
      </c>
      <c r="H597" s="115" t="str">
        <f>IF(Tab.o1[[#This Row],[a1]]=1,IF(H$2=0,0,IF(G$1=1,0,Tab.o1[[#This Row],[.x1]])+[1]!T.in.A[[#This Row],[oo4]]),"")</f>
        <v/>
      </c>
      <c r="I597" s="116" t="str">
        <f>IF(Tab.o1[[#This Row],[a1]]=1,IF(J$2=0,Tab.o1[[#This Row],[MED]],Tab.o1[[#This Row],[MOD]]),"")</f>
        <v/>
      </c>
      <c r="J597" s="116" t="str">
        <f>IF(Tab.o1[[#This Row],[a1]]=1,((Tab.o1[[#This Row],[DIF_Target.]]-AVERAGE(Tab.o1[DIF_Target.]))/_xlfn.STDEV.P(Tab.o1[DIF_Target.])),"")</f>
        <v/>
      </c>
      <c r="K597" s="117" t="str">
        <f>IF(Tab.o1[[#This Row],[a1]]=1,IF(J$2=0,Tab.o1[[#This Row],[MOD]]-Tab.o1[[#This Row],[B]],IF(J$2=1,0,-Tab.o1[[#This Row],[MED]])+Tab.o1[[#This Row],[B]]),"")</f>
        <v/>
      </c>
      <c r="L597" s="117" t="str">
        <f ca="1">IF(Tab.o1[[#This Row],[DIF_Target]]=0,IF(L$2=0,Tab.o1[[#This Row],[DIF_Target]],AVERAGE(OFFSET(Tab.o1[[#This Row],[DIF_Target]],1,0,L$3,1)))/3,Tab.o1[[#This Row],[DIF_Target]])</f>
        <v/>
      </c>
      <c r="M597" s="118" t="str">
        <f>IF(Tab.o1[[#This Row],[a1]]=1,NORMSDIST(Tab.o1[[#This Row],[Za]]),"")</f>
        <v/>
      </c>
      <c r="N597" s="119" t="str">
        <f>IF(Tab.o1[[#This Row],[a1]]=1,((Tab.o1[[#This Row],[MedMod]]-AVERAGE(Tab.o1[MedMod]))/_xlfn.STDEV.P(Tab.o1[MedMod])*H$1205)+G$1205,"")</f>
        <v/>
      </c>
      <c r="O597" s="141" t="str">
        <f>IF(Tab.o1[[#This Row],[a1]]=1,Tab.o1[[#This Row],[Zb]]*_xlfn.STDEV.P(Tab.o1[MedMod])+AVERAGE(Tab.o1[MedMod]),"")</f>
        <v/>
      </c>
      <c r="P597" s="117" t="str">
        <f ca="1">IF(Tab.o1[[#This Row],[B]]=0,AVERAGE(OFFSET(Tab.o1[[#This Row],[B]],1,0,L$3,1)),Tab.o1[[#This Row],[B]])</f>
        <v/>
      </c>
      <c r="Q597" s="121" t="str">
        <f>IF(Tab.o1[[#This Row],[a1]]=1,NORMSDIST(Tab.o1[[#This Row],[Zb]]),"")</f>
        <v/>
      </c>
      <c r="R597" s="122" t="str">
        <f>IF(Tab.o1[[#This Row],[a1]]=1,((Tab.o1[[#This Row],[MedMod]]-AVERAGE(Tab.o1[MedMod]))/_xlfn.STDEV.P(Tab.o1[MedMod])*H$1203)+G$1203,"")</f>
        <v/>
      </c>
      <c r="S597" s="122" t="str">
        <f>IF(Tab.o1[[#This Row],[a1]]=1,((Tab.o1[[#This Row],[MedMod]]-AVERAGE(Tab.o1[MedMod]))/_xlfn.STDEV.P(Tab.o1[MedMod])*H$1204)+G$1204,"")</f>
        <v/>
      </c>
      <c r="T597" s="123" t="str">
        <f>IF(Tab.o1[[#This Row],[a1]]=1,Tab.o1[[#This Row],[Z-]]*_xlfn.STDEV.P(Tab.o1[B])+AVERAGE(Tab.o1[B]),"")</f>
        <v/>
      </c>
      <c r="U597" s="123" t="str">
        <f>IF(Tab.o1[[#This Row],[a1]]=1,Tab.o1[[#This Row],[z+]]*_xlfn.STDEV.P(Tab.o1[B])+AVERAGE(Tab.o1[B]),"")</f>
        <v/>
      </c>
      <c r="V597" s="124" t="str">
        <f>IF(Tab.o1[[#This Row],[a1]]=1,ABS((ABS(Tab.o1[[#This Row],[Red]]-Tab.o1[[#This Row],[Blue]]))),"")</f>
        <v/>
      </c>
      <c r="W597" s="125" t="str">
        <f>IF(Tab.o1[[#This Row],[a1]]=1,IF(W$3=0,1,Tab.o1[[#This Row],[Amp.]]*1/_xlfn.MINIFS(Tab.o1[Amp.],Tab.o1[Amp.],"&lt;&gt;0")),"")</f>
        <v/>
      </c>
      <c r="X597" s="126" t="str">
        <f>IF(Tab.o1[[#This Row],[a1]]=1,IF(ISNUMBER(Tab.o1[[#This Row],[i.]]),NORMDIST(Tab.o1[[#This Row],[Za]],0,1,FALSE)*Tab.o1[[#This Row],[i.]],AP$3),"")</f>
        <v/>
      </c>
      <c r="Y597" s="126" t="str">
        <f>IF(Tab.o1[[#This Row],[a1]]=1,0.01+0.94*Tab.o1[[#This Row],[PDF]]/MAX(Tab.o1[PDF]),"")</f>
        <v/>
      </c>
      <c r="Z597" s="126" t="str">
        <f>IF(Tab.o1[[#This Row],[a1]]=1,0.01+0.94*Tab.o1[[#This Row],[W1_PDF]]/MAX(Tab.o1[W1_PDF]),"")</f>
        <v/>
      </c>
      <c r="AA597" s="118" t="str">
        <f>IF(Tab.o1[[#This Row],[a1]]=1,ABS([1]!T.in.A[[#This Row],[oo6]]),"")</f>
        <v/>
      </c>
      <c r="AB597" s="127" t="str">
        <f>IF(Tab.o1[[#This Row],[a1]]=1,IF(AE$3=0,"",IF(AB$3=0,ABS([1]!T.in.A[[#This Row],[oo9]]),ABS(Tab.o1[[#This Row],[DIF_Target.]]*Tab.o1[[#This Row],[W1_PDF]]))),"")</f>
        <v/>
      </c>
      <c r="AC597" s="127" t="str">
        <f>IF(G$1=1,"",IF(Tab.o1[[#This Row],[a1]]=1,Tab.o1[[#This Row],[Wr]]^2,""))</f>
        <v/>
      </c>
      <c r="AD597" s="118" t="str">
        <f>IF(Tab.o1[[#This Row],[a1]]=1,IF(AE$3=0,"",Tab.o1[[#This Row],[Wr2]]/SUM(Tab.o1[Wr2])),"")</f>
        <v/>
      </c>
      <c r="AE597" s="128" t="str">
        <f>IF(Tab.o1[[#This Row],[a1]]=1,[1]!T.in.A[[#This Row],[oo10]],"")</f>
        <v/>
      </c>
      <c r="AF597" s="118" t="str">
        <f>IF(Tab.o1[[#This Row],[a1]]=1,ABS(Tab.o1[[#This Row],[DIF_Target.]]*Tab.o1[[#This Row],[PDF2]]*Tab.o1[[#This Row],[IN]]),"")</f>
        <v/>
      </c>
      <c r="AG597" s="129" t="str">
        <f>IF(Tab.o1[[#This Row],[a1]]=1,Tab.o1[[#This Row],[rW]]^2,"")</f>
        <v/>
      </c>
      <c r="AH597" s="130" t="str">
        <f>IF(Tab.o1[[#This Row],[a1]]=1,IF(AH$3=0,Tab.o1[[#This Row],[rW2]],0.01+0.94*Tab.o1[[#This Row],[rW2]]/SUM(Tab.o1[rW2])),"")</f>
        <v/>
      </c>
      <c r="AI597" s="128" t="str">
        <f>IF(Tab.o1[[#This Row],[a1]]=1,1/Tab.o1[[#This Row],[PDF]],"")</f>
        <v/>
      </c>
      <c r="AJ597" s="131" t="str">
        <f>IF(Tab.o1[[#This Row],[a1]]=1,[1]!T_AA[[#This Row],[IN'']]*[1]!T_AA[[#This Row],[Qde'']],"")</f>
        <v/>
      </c>
      <c r="AK597" s="132" t="str">
        <f>IF(Tab.o1[[#This Row],[a1]]=1,IF(AK$1=1,Tab.o1[[#This Row],[MED]]+Tab.o1[[#This Row],[MOD]]-Tab.o1[[#This Row],[MED]],""),"")</f>
        <v/>
      </c>
      <c r="AL597" s="133" t="str">
        <f>IF(Tab.o1[[#This Row],[a1]]=1,[1]!T.in.A[[#This Row],[oo16]],"")</f>
        <v/>
      </c>
      <c r="AM597" s="133" t="str">
        <f>IF(Tab.o1[[#This Row],[a1]]=1,IF(AM$3=1,[1]!T.in.A[[#This Row],[Σo16]],""),"")</f>
        <v/>
      </c>
      <c r="AN597" s="126" t="str">
        <f>IF(Tab.o1[[#This Row],[a1]]=1,[1]!T.in.A[[#This Row],[Σp5]],"")</f>
        <v/>
      </c>
      <c r="AO597" s="126" t="str">
        <f>IF(Tab.o1[[#This Row],[a1]]=1,IF(AO$3=1,[1]!T.in.A[[#This Row],[Σp5]],""),"")</f>
        <v/>
      </c>
      <c r="AP597" s="110" t="str">
        <f>IF(Tab.o1[[#This Row],[a1]]=1,IF(ISNUMBER(Tab.o1[[#This Row],[i.]]),NORMDIST(Tab.o1[[#This Row],[Za]],0,1,FALSE)*Tab.o1[[#This Row],[i.]],0),"")</f>
        <v/>
      </c>
      <c r="AQ597" s="125" t="str">
        <f>IF(Tab.o1[[#This Row],[a1]]=1,ABS(Tab.o1[[#This Row],[MOD]]-AVERAGE(Tab.o1[MOD])),"")</f>
        <v/>
      </c>
      <c r="AR597" s="134" t="str">
        <f>IF(Tab.o1[[#This Row],[a1]]=1,Tab.o1[[#This Row],[OBS]]/SUM(Tab.o1[OBS]),"")</f>
        <v/>
      </c>
      <c r="AS597" s="135" t="str">
        <f>IF(ISNUMBER(Tab.o1[[#This Row],[a1]]),ROW()-4,"")</f>
        <v/>
      </c>
      <c r="AT597" s="136" t="str">
        <f>Tab.o1[[#This Row],[MOD]]</f>
        <v/>
      </c>
      <c r="AU597" s="137" t="str">
        <f t="shared" si="37"/>
        <v/>
      </c>
      <c r="AV597" s="138" t="str">
        <f t="shared" si="38"/>
        <v/>
      </c>
      <c r="AW597" s="138" t="str">
        <f t="shared" si="39"/>
        <v/>
      </c>
      <c r="AX597" s="139" t="str">
        <f>[1]!T.in.A[[#This Row],[ID_T_manu]]</f>
        <v/>
      </c>
      <c r="AY597" s="140" t="str">
        <f>IF(ISNUMBER(Tab.o1[[#This Row],[a1]]),IF(AND(Tab.o1[[#This Row],[a1]]=1,Tab.o1[[#This Row],[b1]]&lt;=AY$4),#REF!,AY596),"")</f>
        <v/>
      </c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</row>
    <row r="598" spans="1:79" ht="15.75" hidden="1">
      <c r="A598" s="109">
        <v>9.0000000000000002E-6</v>
      </c>
      <c r="B598" s="110">
        <f t="shared" si="36"/>
        <v>598</v>
      </c>
      <c r="C598" s="111" t="str">
        <f>IF(C$1=[1]!T.in.A[[#This Row],[oo2]],1,"")</f>
        <v/>
      </c>
      <c r="D598" s="112" t="str">
        <f>IF(Tab.o1[[#This Row],[a1]]=1,IF(SUM(C598:C599)=0,0,IF(SUM(C597:C598)=1,1,IF(SUM(C597:C599)&gt;1,D597+1,0))),"")</f>
        <v/>
      </c>
      <c r="E598" s="113" t="str">
        <f>IF(Tab.o1[[#This Row],[a1]]=1,[1]!T.in.A[[#This Row],[oo1]],"")</f>
        <v/>
      </c>
      <c r="F598" s="113" t="str">
        <f>IF(Tab.o1[[#This Row],[a1]]=1,[1]!T.in.A[[#This Row],[pp1]],"")</f>
        <v/>
      </c>
      <c r="G598" s="114" t="str">
        <f>IF(Tab.o1[[#This Row],[a1]]=1,G$2+IF(G$1=1,0,Tab.o1[[#This Row],[.x1]])+[1]!T.in.A[[#This Row],[oo3]],"")</f>
        <v/>
      </c>
      <c r="H598" s="115" t="str">
        <f>IF(Tab.o1[[#This Row],[a1]]=1,IF(H$2=0,0,IF(G$1=1,0,Tab.o1[[#This Row],[.x1]])+[1]!T.in.A[[#This Row],[oo4]]),"")</f>
        <v/>
      </c>
      <c r="I598" s="116" t="str">
        <f>IF(Tab.o1[[#This Row],[a1]]=1,IF(J$2=0,Tab.o1[[#This Row],[MED]],Tab.o1[[#This Row],[MOD]]),"")</f>
        <v/>
      </c>
      <c r="J598" s="116" t="str">
        <f>IF(Tab.o1[[#This Row],[a1]]=1,((Tab.o1[[#This Row],[DIF_Target.]]-AVERAGE(Tab.o1[DIF_Target.]))/_xlfn.STDEV.P(Tab.o1[DIF_Target.])),"")</f>
        <v/>
      </c>
      <c r="K598" s="117" t="str">
        <f>IF(Tab.o1[[#This Row],[a1]]=1,IF(J$2=0,Tab.o1[[#This Row],[MOD]]-Tab.o1[[#This Row],[B]],IF(J$2=1,0,-Tab.o1[[#This Row],[MED]])+Tab.o1[[#This Row],[B]]),"")</f>
        <v/>
      </c>
      <c r="L598" s="117" t="str">
        <f ca="1">IF(Tab.o1[[#This Row],[DIF_Target]]=0,IF(L$2=0,Tab.o1[[#This Row],[DIF_Target]],AVERAGE(OFFSET(Tab.o1[[#This Row],[DIF_Target]],1,0,L$3,1)))/3,Tab.o1[[#This Row],[DIF_Target]])</f>
        <v/>
      </c>
      <c r="M598" s="118" t="str">
        <f>IF(Tab.o1[[#This Row],[a1]]=1,NORMSDIST(Tab.o1[[#This Row],[Za]]),"")</f>
        <v/>
      </c>
      <c r="N598" s="119" t="str">
        <f>IF(Tab.o1[[#This Row],[a1]]=1,((Tab.o1[[#This Row],[MedMod]]-AVERAGE(Tab.o1[MedMod]))/_xlfn.STDEV.P(Tab.o1[MedMod])*H$1205)+G$1205,"")</f>
        <v/>
      </c>
      <c r="O598" s="141" t="str">
        <f>IF(Tab.o1[[#This Row],[a1]]=1,Tab.o1[[#This Row],[Zb]]*_xlfn.STDEV.P(Tab.o1[MedMod])+AVERAGE(Tab.o1[MedMod]),"")</f>
        <v/>
      </c>
      <c r="P598" s="117" t="str">
        <f ca="1">IF(Tab.o1[[#This Row],[B]]=0,AVERAGE(OFFSET(Tab.o1[[#This Row],[B]],1,0,L$3,1)),Tab.o1[[#This Row],[B]])</f>
        <v/>
      </c>
      <c r="Q598" s="121" t="str">
        <f>IF(Tab.o1[[#This Row],[a1]]=1,NORMSDIST(Tab.o1[[#This Row],[Zb]]),"")</f>
        <v/>
      </c>
      <c r="R598" s="122" t="str">
        <f>IF(Tab.o1[[#This Row],[a1]]=1,((Tab.o1[[#This Row],[MedMod]]-AVERAGE(Tab.o1[MedMod]))/_xlfn.STDEV.P(Tab.o1[MedMod])*H$1203)+G$1203,"")</f>
        <v/>
      </c>
      <c r="S598" s="122" t="str">
        <f>IF(Tab.o1[[#This Row],[a1]]=1,((Tab.o1[[#This Row],[MedMod]]-AVERAGE(Tab.o1[MedMod]))/_xlfn.STDEV.P(Tab.o1[MedMod])*H$1204)+G$1204,"")</f>
        <v/>
      </c>
      <c r="T598" s="123" t="str">
        <f>IF(Tab.o1[[#This Row],[a1]]=1,Tab.o1[[#This Row],[Z-]]*_xlfn.STDEV.P(Tab.o1[B])+AVERAGE(Tab.o1[B]),"")</f>
        <v/>
      </c>
      <c r="U598" s="123" t="str">
        <f>IF(Tab.o1[[#This Row],[a1]]=1,Tab.o1[[#This Row],[z+]]*_xlfn.STDEV.P(Tab.o1[B])+AVERAGE(Tab.o1[B]),"")</f>
        <v/>
      </c>
      <c r="V598" s="124" t="str">
        <f>IF(Tab.o1[[#This Row],[a1]]=1,ABS((ABS(Tab.o1[[#This Row],[Red]]-Tab.o1[[#This Row],[Blue]]))),"")</f>
        <v/>
      </c>
      <c r="W598" s="125" t="str">
        <f>IF(Tab.o1[[#This Row],[a1]]=1,IF(W$3=0,1,Tab.o1[[#This Row],[Amp.]]*1/_xlfn.MINIFS(Tab.o1[Amp.],Tab.o1[Amp.],"&lt;&gt;0")),"")</f>
        <v/>
      </c>
      <c r="X598" s="126" t="str">
        <f>IF(Tab.o1[[#This Row],[a1]]=1,IF(ISNUMBER(Tab.o1[[#This Row],[i.]]),NORMDIST(Tab.o1[[#This Row],[Za]],0,1,FALSE)*Tab.o1[[#This Row],[i.]],AP$3),"")</f>
        <v/>
      </c>
      <c r="Y598" s="126" t="str">
        <f>IF(Tab.o1[[#This Row],[a1]]=1,0.01+0.94*Tab.o1[[#This Row],[PDF]]/MAX(Tab.o1[PDF]),"")</f>
        <v/>
      </c>
      <c r="Z598" s="126" t="str">
        <f>IF(Tab.o1[[#This Row],[a1]]=1,0.01+0.94*Tab.o1[[#This Row],[W1_PDF]]/MAX(Tab.o1[W1_PDF]),"")</f>
        <v/>
      </c>
      <c r="AA598" s="118" t="str">
        <f>IF(Tab.o1[[#This Row],[a1]]=1,ABS([1]!T.in.A[[#This Row],[oo6]]),"")</f>
        <v/>
      </c>
      <c r="AB598" s="127" t="str">
        <f>IF(Tab.o1[[#This Row],[a1]]=1,IF(AE$3=0,"",IF(AB$3=0,ABS([1]!T.in.A[[#This Row],[oo9]]),ABS(Tab.o1[[#This Row],[DIF_Target.]]*Tab.o1[[#This Row],[W1_PDF]]))),"")</f>
        <v/>
      </c>
      <c r="AC598" s="127" t="str">
        <f>IF(G$1=1,"",IF(Tab.o1[[#This Row],[a1]]=1,Tab.o1[[#This Row],[Wr]]^2,""))</f>
        <v/>
      </c>
      <c r="AD598" s="118" t="str">
        <f>IF(Tab.o1[[#This Row],[a1]]=1,IF(AE$3=0,"",Tab.o1[[#This Row],[Wr2]]/SUM(Tab.o1[Wr2])),"")</f>
        <v/>
      </c>
      <c r="AE598" s="128" t="str">
        <f>IF(Tab.o1[[#This Row],[a1]]=1,[1]!T.in.A[[#This Row],[oo10]],"")</f>
        <v/>
      </c>
      <c r="AF598" s="118" t="str">
        <f>IF(Tab.o1[[#This Row],[a1]]=1,ABS(Tab.o1[[#This Row],[DIF_Target.]]*Tab.o1[[#This Row],[PDF2]]*Tab.o1[[#This Row],[IN]]),"")</f>
        <v/>
      </c>
      <c r="AG598" s="129" t="str">
        <f>IF(Tab.o1[[#This Row],[a1]]=1,Tab.o1[[#This Row],[rW]]^2,"")</f>
        <v/>
      </c>
      <c r="AH598" s="130" t="str">
        <f>IF(Tab.o1[[#This Row],[a1]]=1,IF(AH$3=0,Tab.o1[[#This Row],[rW2]],0.01+0.94*Tab.o1[[#This Row],[rW2]]/SUM(Tab.o1[rW2])),"")</f>
        <v/>
      </c>
      <c r="AI598" s="128" t="str">
        <f>IF(Tab.o1[[#This Row],[a1]]=1,1/Tab.o1[[#This Row],[PDF]],"")</f>
        <v/>
      </c>
      <c r="AJ598" s="131" t="str">
        <f>IF(Tab.o1[[#This Row],[a1]]=1,[1]!T_AA[[#This Row],[IN'']]*[1]!T_AA[[#This Row],[Qde'']],"")</f>
        <v/>
      </c>
      <c r="AK598" s="132" t="str">
        <f>IF(Tab.o1[[#This Row],[a1]]=1,IF(AK$1=1,Tab.o1[[#This Row],[MED]]+Tab.o1[[#This Row],[MOD]]-Tab.o1[[#This Row],[MED]],""),"")</f>
        <v/>
      </c>
      <c r="AL598" s="133" t="str">
        <f>IF(Tab.o1[[#This Row],[a1]]=1,[1]!T.in.A[[#This Row],[oo16]],"")</f>
        <v/>
      </c>
      <c r="AM598" s="133" t="str">
        <f>IF(Tab.o1[[#This Row],[a1]]=1,IF(AM$3=1,[1]!T.in.A[[#This Row],[Σo16]],""),"")</f>
        <v/>
      </c>
      <c r="AN598" s="126" t="str">
        <f>IF(Tab.o1[[#This Row],[a1]]=1,[1]!T.in.A[[#This Row],[Σp5]],"")</f>
        <v/>
      </c>
      <c r="AO598" s="126" t="str">
        <f>IF(Tab.o1[[#This Row],[a1]]=1,IF(AO$3=1,[1]!T.in.A[[#This Row],[Σp5]],""),"")</f>
        <v/>
      </c>
      <c r="AP598" s="110" t="str">
        <f>IF(Tab.o1[[#This Row],[a1]]=1,IF(ISNUMBER(Tab.o1[[#This Row],[i.]]),NORMDIST(Tab.o1[[#This Row],[Za]],0,1,FALSE)*Tab.o1[[#This Row],[i.]],0),"")</f>
        <v/>
      </c>
      <c r="AQ598" s="125" t="str">
        <f>IF(Tab.o1[[#This Row],[a1]]=1,ABS(Tab.o1[[#This Row],[MOD]]-AVERAGE(Tab.o1[MOD])),"")</f>
        <v/>
      </c>
      <c r="AR598" s="134" t="str">
        <f>IF(Tab.o1[[#This Row],[a1]]=1,Tab.o1[[#This Row],[OBS]]/SUM(Tab.o1[OBS]),"")</f>
        <v/>
      </c>
      <c r="AS598" s="135" t="str">
        <f>IF(ISNUMBER(Tab.o1[[#This Row],[a1]]),ROW()-4,"")</f>
        <v/>
      </c>
      <c r="AT598" s="136" t="str">
        <f>Tab.o1[[#This Row],[MOD]]</f>
        <v/>
      </c>
      <c r="AU598" s="137" t="str">
        <f t="shared" si="37"/>
        <v/>
      </c>
      <c r="AV598" s="138" t="str">
        <f t="shared" si="38"/>
        <v/>
      </c>
      <c r="AW598" s="138" t="str">
        <f t="shared" si="39"/>
        <v/>
      </c>
      <c r="AX598" s="139" t="str">
        <f>[1]!T.in.A[[#This Row],[ID_T_manu]]</f>
        <v/>
      </c>
      <c r="AY598" s="140" t="str">
        <f>IF(ISNUMBER(Tab.o1[[#This Row],[a1]]),IF(AND(Tab.o1[[#This Row],[a1]]=1,Tab.o1[[#This Row],[b1]]&lt;=AY$4),#REF!,AY597),"")</f>
        <v/>
      </c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</row>
    <row r="599" spans="1:79" ht="15.75" hidden="1">
      <c r="A599" s="109">
        <v>-9.0000000000000002E-6</v>
      </c>
      <c r="B599" s="110">
        <f t="shared" si="36"/>
        <v>599</v>
      </c>
      <c r="C599" s="111" t="str">
        <f>IF(C$1=[1]!T.in.A[[#This Row],[oo2]],1,"")</f>
        <v/>
      </c>
      <c r="D599" s="112" t="str">
        <f>IF(Tab.o1[[#This Row],[a1]]=1,IF(SUM(C599:C600)=0,0,IF(SUM(C598:C599)=1,1,IF(SUM(C598:C600)&gt;1,D598+1,0))),"")</f>
        <v/>
      </c>
      <c r="E599" s="113" t="str">
        <f>IF(Tab.o1[[#This Row],[a1]]=1,[1]!T.in.A[[#This Row],[oo1]],"")</f>
        <v/>
      </c>
      <c r="F599" s="113" t="str">
        <f>IF(Tab.o1[[#This Row],[a1]]=1,[1]!T.in.A[[#This Row],[pp1]],"")</f>
        <v/>
      </c>
      <c r="G599" s="114" t="str">
        <f>IF(Tab.o1[[#This Row],[a1]]=1,G$2+IF(G$1=1,0,Tab.o1[[#This Row],[.x1]])+[1]!T.in.A[[#This Row],[oo3]],"")</f>
        <v/>
      </c>
      <c r="H599" s="115" t="str">
        <f>IF(Tab.o1[[#This Row],[a1]]=1,IF(H$2=0,0,IF(G$1=1,0,Tab.o1[[#This Row],[.x1]])+[1]!T.in.A[[#This Row],[oo4]]),"")</f>
        <v/>
      </c>
      <c r="I599" s="116" t="str">
        <f>IF(Tab.o1[[#This Row],[a1]]=1,IF(J$2=0,Tab.o1[[#This Row],[MED]],Tab.o1[[#This Row],[MOD]]),"")</f>
        <v/>
      </c>
      <c r="J599" s="116" t="str">
        <f>IF(Tab.o1[[#This Row],[a1]]=1,((Tab.o1[[#This Row],[DIF_Target.]]-AVERAGE(Tab.o1[DIF_Target.]))/_xlfn.STDEV.P(Tab.o1[DIF_Target.])),"")</f>
        <v/>
      </c>
      <c r="K599" s="117" t="str">
        <f>IF(Tab.o1[[#This Row],[a1]]=1,IF(J$2=0,Tab.o1[[#This Row],[MOD]]-Tab.o1[[#This Row],[B]],IF(J$2=1,0,-Tab.o1[[#This Row],[MED]])+Tab.o1[[#This Row],[B]]),"")</f>
        <v/>
      </c>
      <c r="L599" s="117" t="str">
        <f ca="1">IF(Tab.o1[[#This Row],[DIF_Target]]=0,IF(L$2=0,Tab.o1[[#This Row],[DIF_Target]],AVERAGE(OFFSET(Tab.o1[[#This Row],[DIF_Target]],1,0,L$3,1)))/3,Tab.o1[[#This Row],[DIF_Target]])</f>
        <v/>
      </c>
      <c r="M599" s="118" t="str">
        <f>IF(Tab.o1[[#This Row],[a1]]=1,NORMSDIST(Tab.o1[[#This Row],[Za]]),"")</f>
        <v/>
      </c>
      <c r="N599" s="119" t="str">
        <f>IF(Tab.o1[[#This Row],[a1]]=1,((Tab.o1[[#This Row],[MedMod]]-AVERAGE(Tab.o1[MedMod]))/_xlfn.STDEV.P(Tab.o1[MedMod])*H$1205)+G$1205,"")</f>
        <v/>
      </c>
      <c r="O599" s="141" t="str">
        <f>IF(Tab.o1[[#This Row],[a1]]=1,Tab.o1[[#This Row],[Zb]]*_xlfn.STDEV.P(Tab.o1[MedMod])+AVERAGE(Tab.o1[MedMod]),"")</f>
        <v/>
      </c>
      <c r="P599" s="117" t="str">
        <f ca="1">IF(Tab.o1[[#This Row],[B]]=0,AVERAGE(OFFSET(Tab.o1[[#This Row],[B]],1,0,L$3,1)),Tab.o1[[#This Row],[B]])</f>
        <v/>
      </c>
      <c r="Q599" s="121" t="str">
        <f>IF(Tab.o1[[#This Row],[a1]]=1,NORMSDIST(Tab.o1[[#This Row],[Zb]]),"")</f>
        <v/>
      </c>
      <c r="R599" s="122" t="str">
        <f>IF(Tab.o1[[#This Row],[a1]]=1,((Tab.o1[[#This Row],[MedMod]]-AVERAGE(Tab.o1[MedMod]))/_xlfn.STDEV.P(Tab.o1[MedMod])*H$1203)+G$1203,"")</f>
        <v/>
      </c>
      <c r="S599" s="122" t="str">
        <f>IF(Tab.o1[[#This Row],[a1]]=1,((Tab.o1[[#This Row],[MedMod]]-AVERAGE(Tab.o1[MedMod]))/_xlfn.STDEV.P(Tab.o1[MedMod])*H$1204)+G$1204,"")</f>
        <v/>
      </c>
      <c r="T599" s="123" t="str">
        <f>IF(Tab.o1[[#This Row],[a1]]=1,Tab.o1[[#This Row],[Z-]]*_xlfn.STDEV.P(Tab.o1[B])+AVERAGE(Tab.o1[B]),"")</f>
        <v/>
      </c>
      <c r="U599" s="123" t="str">
        <f>IF(Tab.o1[[#This Row],[a1]]=1,Tab.o1[[#This Row],[z+]]*_xlfn.STDEV.P(Tab.o1[B])+AVERAGE(Tab.o1[B]),"")</f>
        <v/>
      </c>
      <c r="V599" s="124" t="str">
        <f>IF(Tab.o1[[#This Row],[a1]]=1,ABS((ABS(Tab.o1[[#This Row],[Red]]-Tab.o1[[#This Row],[Blue]]))),"")</f>
        <v/>
      </c>
      <c r="W599" s="125" t="str">
        <f>IF(Tab.o1[[#This Row],[a1]]=1,IF(W$3=0,1,Tab.o1[[#This Row],[Amp.]]*1/_xlfn.MINIFS(Tab.o1[Amp.],Tab.o1[Amp.],"&lt;&gt;0")),"")</f>
        <v/>
      </c>
      <c r="X599" s="126" t="str">
        <f>IF(Tab.o1[[#This Row],[a1]]=1,IF(ISNUMBER(Tab.o1[[#This Row],[i.]]),NORMDIST(Tab.o1[[#This Row],[Za]],0,1,FALSE)*Tab.o1[[#This Row],[i.]],AP$3),"")</f>
        <v/>
      </c>
      <c r="Y599" s="126" t="str">
        <f>IF(Tab.o1[[#This Row],[a1]]=1,0.01+0.94*Tab.o1[[#This Row],[PDF]]/MAX(Tab.o1[PDF]),"")</f>
        <v/>
      </c>
      <c r="Z599" s="126" t="str">
        <f>IF(Tab.o1[[#This Row],[a1]]=1,0.01+0.94*Tab.o1[[#This Row],[W1_PDF]]/MAX(Tab.o1[W1_PDF]),"")</f>
        <v/>
      </c>
      <c r="AA599" s="118" t="str">
        <f>IF(Tab.o1[[#This Row],[a1]]=1,ABS([1]!T.in.A[[#This Row],[oo6]]),"")</f>
        <v/>
      </c>
      <c r="AB599" s="127" t="str">
        <f>IF(Tab.o1[[#This Row],[a1]]=1,IF(AE$3=0,"",IF(AB$3=0,ABS([1]!T.in.A[[#This Row],[oo9]]),ABS(Tab.o1[[#This Row],[DIF_Target.]]*Tab.o1[[#This Row],[W1_PDF]]))),"")</f>
        <v/>
      </c>
      <c r="AC599" s="127" t="str">
        <f>IF(G$1=1,"",IF(Tab.o1[[#This Row],[a1]]=1,Tab.o1[[#This Row],[Wr]]^2,""))</f>
        <v/>
      </c>
      <c r="AD599" s="118" t="str">
        <f>IF(Tab.o1[[#This Row],[a1]]=1,IF(AE$3=0,"",Tab.o1[[#This Row],[Wr2]]/SUM(Tab.o1[Wr2])),"")</f>
        <v/>
      </c>
      <c r="AE599" s="128" t="str">
        <f>IF(Tab.o1[[#This Row],[a1]]=1,[1]!T.in.A[[#This Row],[oo10]],"")</f>
        <v/>
      </c>
      <c r="AF599" s="118" t="str">
        <f>IF(Tab.o1[[#This Row],[a1]]=1,ABS(Tab.o1[[#This Row],[DIF_Target.]]*Tab.o1[[#This Row],[PDF2]]*Tab.o1[[#This Row],[IN]]),"")</f>
        <v/>
      </c>
      <c r="AG599" s="129" t="str">
        <f>IF(Tab.o1[[#This Row],[a1]]=1,Tab.o1[[#This Row],[rW]]^2,"")</f>
        <v/>
      </c>
      <c r="AH599" s="130" t="str">
        <f>IF(Tab.o1[[#This Row],[a1]]=1,IF(AH$3=0,Tab.o1[[#This Row],[rW2]],0.01+0.94*Tab.o1[[#This Row],[rW2]]/SUM(Tab.o1[rW2])),"")</f>
        <v/>
      </c>
      <c r="AI599" s="128" t="str">
        <f>IF(Tab.o1[[#This Row],[a1]]=1,1/Tab.o1[[#This Row],[PDF]],"")</f>
        <v/>
      </c>
      <c r="AJ599" s="131" t="str">
        <f>IF(Tab.o1[[#This Row],[a1]]=1,[1]!T_AA[[#This Row],[IN'']]*[1]!T_AA[[#This Row],[Qde'']],"")</f>
        <v/>
      </c>
      <c r="AK599" s="132" t="str">
        <f>IF(Tab.o1[[#This Row],[a1]]=1,IF(AK$1=1,Tab.o1[[#This Row],[MED]]+Tab.o1[[#This Row],[MOD]]-Tab.o1[[#This Row],[MED]],""),"")</f>
        <v/>
      </c>
      <c r="AL599" s="133" t="str">
        <f>IF(Tab.o1[[#This Row],[a1]]=1,[1]!T.in.A[[#This Row],[oo16]],"")</f>
        <v/>
      </c>
      <c r="AM599" s="133" t="str">
        <f>IF(Tab.o1[[#This Row],[a1]]=1,IF(AM$3=1,[1]!T.in.A[[#This Row],[Σo16]],""),"")</f>
        <v/>
      </c>
      <c r="AN599" s="126" t="str">
        <f>IF(Tab.o1[[#This Row],[a1]]=1,[1]!T.in.A[[#This Row],[Σp5]],"")</f>
        <v/>
      </c>
      <c r="AO599" s="126" t="str">
        <f>IF(Tab.o1[[#This Row],[a1]]=1,IF(AO$3=1,[1]!T.in.A[[#This Row],[Σp5]],""),"")</f>
        <v/>
      </c>
      <c r="AP599" s="110" t="str">
        <f>IF(Tab.o1[[#This Row],[a1]]=1,IF(ISNUMBER(Tab.o1[[#This Row],[i.]]),NORMDIST(Tab.o1[[#This Row],[Za]],0,1,FALSE)*Tab.o1[[#This Row],[i.]],0),"")</f>
        <v/>
      </c>
      <c r="AQ599" s="125" t="str">
        <f>IF(Tab.o1[[#This Row],[a1]]=1,ABS(Tab.o1[[#This Row],[MOD]]-AVERAGE(Tab.o1[MOD])),"")</f>
        <v/>
      </c>
      <c r="AR599" s="134" t="str">
        <f>IF(Tab.o1[[#This Row],[a1]]=1,Tab.o1[[#This Row],[OBS]]/SUM(Tab.o1[OBS]),"")</f>
        <v/>
      </c>
      <c r="AS599" s="135" t="str">
        <f>IF(ISNUMBER(Tab.o1[[#This Row],[a1]]),ROW()-4,"")</f>
        <v/>
      </c>
      <c r="AT599" s="136" t="str">
        <f>Tab.o1[[#This Row],[MOD]]</f>
        <v/>
      </c>
      <c r="AU599" s="137" t="str">
        <f t="shared" si="37"/>
        <v/>
      </c>
      <c r="AV599" s="138" t="str">
        <f t="shared" si="38"/>
        <v/>
      </c>
      <c r="AW599" s="138" t="str">
        <f t="shared" si="39"/>
        <v/>
      </c>
      <c r="AX599" s="139" t="str">
        <f>[1]!T.in.A[[#This Row],[ID_T_manu]]</f>
        <v/>
      </c>
      <c r="AY599" s="140" t="str">
        <f>IF(ISNUMBER(Tab.o1[[#This Row],[a1]]),IF(AND(Tab.o1[[#This Row],[a1]]=1,Tab.o1[[#This Row],[b1]]&lt;=AY$4),#REF!,AY598),"")</f>
        <v/>
      </c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</row>
    <row r="600" spans="1:79" ht="15.75" hidden="1">
      <c r="A600" s="109">
        <v>-8.0000000000000013E-6</v>
      </c>
      <c r="B600" s="110">
        <f t="shared" si="36"/>
        <v>600</v>
      </c>
      <c r="C600" s="111" t="str">
        <f>IF(C$1=[1]!T.in.A[[#This Row],[oo2]],1,"")</f>
        <v/>
      </c>
      <c r="D600" s="112" t="str">
        <f>IF(Tab.o1[[#This Row],[a1]]=1,IF(SUM(C600:C601)=0,0,IF(SUM(C599:C600)=1,1,IF(SUM(C599:C601)&gt;1,D599+1,0))),"")</f>
        <v/>
      </c>
      <c r="E600" s="113" t="str">
        <f>IF(Tab.o1[[#This Row],[a1]]=1,[1]!T.in.A[[#This Row],[oo1]],"")</f>
        <v/>
      </c>
      <c r="F600" s="113" t="str">
        <f>IF(Tab.o1[[#This Row],[a1]]=1,[1]!T.in.A[[#This Row],[pp1]],"")</f>
        <v/>
      </c>
      <c r="G600" s="114" t="str">
        <f>IF(Tab.o1[[#This Row],[a1]]=1,G$2+IF(G$1=1,0,Tab.o1[[#This Row],[.x1]])+[1]!T.in.A[[#This Row],[oo3]],"")</f>
        <v/>
      </c>
      <c r="H600" s="115" t="str">
        <f>IF(Tab.o1[[#This Row],[a1]]=1,IF(H$2=0,0,IF(G$1=1,0,Tab.o1[[#This Row],[.x1]])+[1]!T.in.A[[#This Row],[oo4]]),"")</f>
        <v/>
      </c>
      <c r="I600" s="116" t="str">
        <f>IF(Tab.o1[[#This Row],[a1]]=1,IF(J$2=0,Tab.o1[[#This Row],[MED]],Tab.o1[[#This Row],[MOD]]),"")</f>
        <v/>
      </c>
      <c r="J600" s="116" t="str">
        <f>IF(Tab.o1[[#This Row],[a1]]=1,((Tab.o1[[#This Row],[DIF_Target.]]-AVERAGE(Tab.o1[DIF_Target.]))/_xlfn.STDEV.P(Tab.o1[DIF_Target.])),"")</f>
        <v/>
      </c>
      <c r="K600" s="117" t="str">
        <f>IF(Tab.o1[[#This Row],[a1]]=1,IF(J$2=0,Tab.o1[[#This Row],[MOD]]-Tab.o1[[#This Row],[B]],IF(J$2=1,0,-Tab.o1[[#This Row],[MED]])+Tab.o1[[#This Row],[B]]),"")</f>
        <v/>
      </c>
      <c r="L600" s="117" t="str">
        <f ca="1">IF(Tab.o1[[#This Row],[DIF_Target]]=0,IF(L$2=0,Tab.o1[[#This Row],[DIF_Target]],AVERAGE(OFFSET(Tab.o1[[#This Row],[DIF_Target]],1,0,L$3,1)))/3,Tab.o1[[#This Row],[DIF_Target]])</f>
        <v/>
      </c>
      <c r="M600" s="118" t="str">
        <f>IF(Tab.o1[[#This Row],[a1]]=1,NORMSDIST(Tab.o1[[#This Row],[Za]]),"")</f>
        <v/>
      </c>
      <c r="N600" s="119" t="str">
        <f>IF(Tab.o1[[#This Row],[a1]]=1,((Tab.o1[[#This Row],[MedMod]]-AVERAGE(Tab.o1[MedMod]))/_xlfn.STDEV.P(Tab.o1[MedMod])*H$1205)+G$1205,"")</f>
        <v/>
      </c>
      <c r="O600" s="141" t="str">
        <f>IF(Tab.o1[[#This Row],[a1]]=1,Tab.o1[[#This Row],[Zb]]*_xlfn.STDEV.P(Tab.o1[MedMod])+AVERAGE(Tab.o1[MedMod]),"")</f>
        <v/>
      </c>
      <c r="P600" s="117" t="str">
        <f ca="1">IF(Tab.o1[[#This Row],[B]]=0,AVERAGE(OFFSET(Tab.o1[[#This Row],[B]],1,0,L$3,1)),Tab.o1[[#This Row],[B]])</f>
        <v/>
      </c>
      <c r="Q600" s="121" t="str">
        <f>IF(Tab.o1[[#This Row],[a1]]=1,NORMSDIST(Tab.o1[[#This Row],[Zb]]),"")</f>
        <v/>
      </c>
      <c r="R600" s="122" t="str">
        <f>IF(Tab.o1[[#This Row],[a1]]=1,((Tab.o1[[#This Row],[MedMod]]-AVERAGE(Tab.o1[MedMod]))/_xlfn.STDEV.P(Tab.o1[MedMod])*H$1203)+G$1203,"")</f>
        <v/>
      </c>
      <c r="S600" s="122" t="str">
        <f>IF(Tab.o1[[#This Row],[a1]]=1,((Tab.o1[[#This Row],[MedMod]]-AVERAGE(Tab.o1[MedMod]))/_xlfn.STDEV.P(Tab.o1[MedMod])*H$1204)+G$1204,"")</f>
        <v/>
      </c>
      <c r="T600" s="123" t="str">
        <f>IF(Tab.o1[[#This Row],[a1]]=1,Tab.o1[[#This Row],[Z-]]*_xlfn.STDEV.P(Tab.o1[B])+AVERAGE(Tab.o1[B]),"")</f>
        <v/>
      </c>
      <c r="U600" s="123" t="str">
        <f>IF(Tab.o1[[#This Row],[a1]]=1,Tab.o1[[#This Row],[z+]]*_xlfn.STDEV.P(Tab.o1[B])+AVERAGE(Tab.o1[B]),"")</f>
        <v/>
      </c>
      <c r="V600" s="124" t="str">
        <f>IF(Tab.o1[[#This Row],[a1]]=1,ABS((ABS(Tab.o1[[#This Row],[Red]]-Tab.o1[[#This Row],[Blue]]))),"")</f>
        <v/>
      </c>
      <c r="W600" s="125" t="str">
        <f>IF(Tab.o1[[#This Row],[a1]]=1,IF(W$3=0,1,Tab.o1[[#This Row],[Amp.]]*1/_xlfn.MINIFS(Tab.o1[Amp.],Tab.o1[Amp.],"&lt;&gt;0")),"")</f>
        <v/>
      </c>
      <c r="X600" s="126" t="str">
        <f>IF(Tab.o1[[#This Row],[a1]]=1,IF(ISNUMBER(Tab.o1[[#This Row],[i.]]),NORMDIST(Tab.o1[[#This Row],[Za]],0,1,FALSE)*Tab.o1[[#This Row],[i.]],AP$3),"")</f>
        <v/>
      </c>
      <c r="Y600" s="126" t="str">
        <f>IF(Tab.o1[[#This Row],[a1]]=1,0.01+0.94*Tab.o1[[#This Row],[PDF]]/MAX(Tab.o1[PDF]),"")</f>
        <v/>
      </c>
      <c r="Z600" s="126" t="str">
        <f>IF(Tab.o1[[#This Row],[a1]]=1,0.01+0.94*Tab.o1[[#This Row],[W1_PDF]]/MAX(Tab.o1[W1_PDF]),"")</f>
        <v/>
      </c>
      <c r="AA600" s="118" t="str">
        <f>IF(Tab.o1[[#This Row],[a1]]=1,ABS([1]!T.in.A[[#This Row],[oo6]]),"")</f>
        <v/>
      </c>
      <c r="AB600" s="127" t="str">
        <f>IF(Tab.o1[[#This Row],[a1]]=1,IF(AE$3=0,"",IF(AB$3=0,ABS([1]!T.in.A[[#This Row],[oo9]]),ABS(Tab.o1[[#This Row],[DIF_Target.]]*Tab.o1[[#This Row],[W1_PDF]]))),"")</f>
        <v/>
      </c>
      <c r="AC600" s="127" t="str">
        <f>IF(G$1=1,"",IF(Tab.o1[[#This Row],[a1]]=1,Tab.o1[[#This Row],[Wr]]^2,""))</f>
        <v/>
      </c>
      <c r="AD600" s="118" t="str">
        <f>IF(Tab.o1[[#This Row],[a1]]=1,IF(AE$3=0,"",Tab.o1[[#This Row],[Wr2]]/SUM(Tab.o1[Wr2])),"")</f>
        <v/>
      </c>
      <c r="AE600" s="128" t="str">
        <f>IF(Tab.o1[[#This Row],[a1]]=1,[1]!T.in.A[[#This Row],[oo10]],"")</f>
        <v/>
      </c>
      <c r="AF600" s="118" t="str">
        <f>IF(Tab.o1[[#This Row],[a1]]=1,ABS(Tab.o1[[#This Row],[DIF_Target.]]*Tab.o1[[#This Row],[PDF2]]*Tab.o1[[#This Row],[IN]]),"")</f>
        <v/>
      </c>
      <c r="AG600" s="129" t="str">
        <f>IF(Tab.o1[[#This Row],[a1]]=1,Tab.o1[[#This Row],[rW]]^2,"")</f>
        <v/>
      </c>
      <c r="AH600" s="130" t="str">
        <f>IF(Tab.o1[[#This Row],[a1]]=1,IF(AH$3=0,Tab.o1[[#This Row],[rW2]],0.01+0.94*Tab.o1[[#This Row],[rW2]]/SUM(Tab.o1[rW2])),"")</f>
        <v/>
      </c>
      <c r="AI600" s="128" t="str">
        <f>IF(Tab.o1[[#This Row],[a1]]=1,1/Tab.o1[[#This Row],[PDF]],"")</f>
        <v/>
      </c>
      <c r="AJ600" s="131" t="str">
        <f>IF(Tab.o1[[#This Row],[a1]]=1,[1]!T_AA[[#This Row],[IN'']]*[1]!T_AA[[#This Row],[Qde'']],"")</f>
        <v/>
      </c>
      <c r="AK600" s="132" t="str">
        <f>IF(Tab.o1[[#This Row],[a1]]=1,IF(AK$1=1,Tab.o1[[#This Row],[MED]]+Tab.o1[[#This Row],[MOD]]-Tab.o1[[#This Row],[MED]],""),"")</f>
        <v/>
      </c>
      <c r="AL600" s="133" t="str">
        <f>IF(Tab.o1[[#This Row],[a1]]=1,[1]!T.in.A[[#This Row],[oo16]],"")</f>
        <v/>
      </c>
      <c r="AM600" s="133" t="str">
        <f>IF(Tab.o1[[#This Row],[a1]]=1,IF(AM$3=1,[1]!T.in.A[[#This Row],[Σo16]],""),"")</f>
        <v/>
      </c>
      <c r="AN600" s="126" t="str">
        <f>IF(Tab.o1[[#This Row],[a1]]=1,[1]!T.in.A[[#This Row],[Σp5]],"")</f>
        <v/>
      </c>
      <c r="AO600" s="126" t="str">
        <f>IF(Tab.o1[[#This Row],[a1]]=1,IF(AO$3=1,[1]!T.in.A[[#This Row],[Σp5]],""),"")</f>
        <v/>
      </c>
      <c r="AP600" s="110" t="str">
        <f>IF(Tab.o1[[#This Row],[a1]]=1,IF(ISNUMBER(Tab.o1[[#This Row],[i.]]),NORMDIST(Tab.o1[[#This Row],[Za]],0,1,FALSE)*Tab.o1[[#This Row],[i.]],0),"")</f>
        <v/>
      </c>
      <c r="AQ600" s="125" t="str">
        <f>IF(Tab.o1[[#This Row],[a1]]=1,ABS(Tab.o1[[#This Row],[MOD]]-AVERAGE(Tab.o1[MOD])),"")</f>
        <v/>
      </c>
      <c r="AR600" s="134" t="str">
        <f>IF(Tab.o1[[#This Row],[a1]]=1,Tab.o1[[#This Row],[OBS]]/SUM(Tab.o1[OBS]),"")</f>
        <v/>
      </c>
      <c r="AS600" s="135" t="str">
        <f>IF(ISNUMBER(Tab.o1[[#This Row],[a1]]),ROW()-4,"")</f>
        <v/>
      </c>
      <c r="AT600" s="136" t="str">
        <f>Tab.o1[[#This Row],[MOD]]</f>
        <v/>
      </c>
      <c r="AU600" s="137" t="str">
        <f t="shared" si="37"/>
        <v/>
      </c>
      <c r="AV600" s="138" t="str">
        <f t="shared" si="38"/>
        <v/>
      </c>
      <c r="AW600" s="138" t="str">
        <f t="shared" si="39"/>
        <v/>
      </c>
      <c r="AX600" s="139" t="str">
        <f>[1]!T.in.A[[#This Row],[ID_T_manu]]</f>
        <v/>
      </c>
      <c r="AY600" s="140" t="str">
        <f>IF(ISNUMBER(Tab.o1[[#This Row],[a1]]),IF(AND(Tab.o1[[#This Row],[a1]]=1,Tab.o1[[#This Row],[b1]]&lt;=AY$4),#REF!,AY599),"")</f>
        <v/>
      </c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</row>
    <row r="601" spans="1:79" ht="15.75" hidden="1">
      <c r="A601" s="109">
        <v>8.0000000000000013E-6</v>
      </c>
      <c r="B601" s="110">
        <f t="shared" si="36"/>
        <v>601</v>
      </c>
      <c r="C601" s="111" t="str">
        <f>IF(C$1=[1]!T.in.A[[#This Row],[oo2]],1,"")</f>
        <v/>
      </c>
      <c r="D601" s="112" t="str">
        <f>IF(Tab.o1[[#This Row],[a1]]=1,IF(SUM(C601:C602)=0,0,IF(SUM(C600:C601)=1,1,IF(SUM(C600:C602)&gt;1,D600+1,0))),"")</f>
        <v/>
      </c>
      <c r="E601" s="113" t="str">
        <f>IF(Tab.o1[[#This Row],[a1]]=1,[1]!T.in.A[[#This Row],[oo1]],"")</f>
        <v/>
      </c>
      <c r="F601" s="113" t="str">
        <f>IF(Tab.o1[[#This Row],[a1]]=1,[1]!T.in.A[[#This Row],[pp1]],"")</f>
        <v/>
      </c>
      <c r="G601" s="114" t="str">
        <f>IF(Tab.o1[[#This Row],[a1]]=1,G$2+IF(G$1=1,0,Tab.o1[[#This Row],[.x1]])+[1]!T.in.A[[#This Row],[oo3]],"")</f>
        <v/>
      </c>
      <c r="H601" s="115" t="str">
        <f>IF(Tab.o1[[#This Row],[a1]]=1,IF(H$2=0,0,IF(G$1=1,0,Tab.o1[[#This Row],[.x1]])+[1]!T.in.A[[#This Row],[oo4]]),"")</f>
        <v/>
      </c>
      <c r="I601" s="116" t="str">
        <f>IF(Tab.o1[[#This Row],[a1]]=1,IF(J$2=0,Tab.o1[[#This Row],[MED]],Tab.o1[[#This Row],[MOD]]),"")</f>
        <v/>
      </c>
      <c r="J601" s="116" t="str">
        <f>IF(Tab.o1[[#This Row],[a1]]=1,((Tab.o1[[#This Row],[DIF_Target.]]-AVERAGE(Tab.o1[DIF_Target.]))/_xlfn.STDEV.P(Tab.o1[DIF_Target.])),"")</f>
        <v/>
      </c>
      <c r="K601" s="117" t="str">
        <f>IF(Tab.o1[[#This Row],[a1]]=1,IF(J$2=0,Tab.o1[[#This Row],[MOD]]-Tab.o1[[#This Row],[B]],IF(J$2=1,0,-Tab.o1[[#This Row],[MED]])+Tab.o1[[#This Row],[B]]),"")</f>
        <v/>
      </c>
      <c r="L601" s="117" t="str">
        <f ca="1">IF(Tab.o1[[#This Row],[DIF_Target]]=0,IF(L$2=0,Tab.o1[[#This Row],[DIF_Target]],AVERAGE(OFFSET(Tab.o1[[#This Row],[DIF_Target]],1,0,L$3,1)))/3,Tab.o1[[#This Row],[DIF_Target]])</f>
        <v/>
      </c>
      <c r="M601" s="118" t="str">
        <f>IF(Tab.o1[[#This Row],[a1]]=1,NORMSDIST(Tab.o1[[#This Row],[Za]]),"")</f>
        <v/>
      </c>
      <c r="N601" s="119" t="str">
        <f>IF(Tab.o1[[#This Row],[a1]]=1,((Tab.o1[[#This Row],[MedMod]]-AVERAGE(Tab.o1[MedMod]))/_xlfn.STDEV.P(Tab.o1[MedMod])*H$1205)+G$1205,"")</f>
        <v/>
      </c>
      <c r="O601" s="141" t="str">
        <f>IF(Tab.o1[[#This Row],[a1]]=1,Tab.o1[[#This Row],[Zb]]*_xlfn.STDEV.P(Tab.o1[MedMod])+AVERAGE(Tab.o1[MedMod]),"")</f>
        <v/>
      </c>
      <c r="P601" s="117" t="str">
        <f ca="1">IF(Tab.o1[[#This Row],[B]]=0,AVERAGE(OFFSET(Tab.o1[[#This Row],[B]],1,0,L$3,1)),Tab.o1[[#This Row],[B]])</f>
        <v/>
      </c>
      <c r="Q601" s="121" t="str">
        <f>IF(Tab.o1[[#This Row],[a1]]=1,NORMSDIST(Tab.o1[[#This Row],[Zb]]),"")</f>
        <v/>
      </c>
      <c r="R601" s="122" t="str">
        <f>IF(Tab.o1[[#This Row],[a1]]=1,((Tab.o1[[#This Row],[MedMod]]-AVERAGE(Tab.o1[MedMod]))/_xlfn.STDEV.P(Tab.o1[MedMod])*H$1203)+G$1203,"")</f>
        <v/>
      </c>
      <c r="S601" s="122" t="str">
        <f>IF(Tab.o1[[#This Row],[a1]]=1,((Tab.o1[[#This Row],[MedMod]]-AVERAGE(Tab.o1[MedMod]))/_xlfn.STDEV.P(Tab.o1[MedMod])*H$1204)+G$1204,"")</f>
        <v/>
      </c>
      <c r="T601" s="123" t="str">
        <f>IF(Tab.o1[[#This Row],[a1]]=1,Tab.o1[[#This Row],[Z-]]*_xlfn.STDEV.P(Tab.o1[B])+AVERAGE(Tab.o1[B]),"")</f>
        <v/>
      </c>
      <c r="U601" s="123" t="str">
        <f>IF(Tab.o1[[#This Row],[a1]]=1,Tab.o1[[#This Row],[z+]]*_xlfn.STDEV.P(Tab.o1[B])+AVERAGE(Tab.o1[B]),"")</f>
        <v/>
      </c>
      <c r="V601" s="124" t="str">
        <f>IF(Tab.o1[[#This Row],[a1]]=1,ABS((ABS(Tab.o1[[#This Row],[Red]]-Tab.o1[[#This Row],[Blue]]))),"")</f>
        <v/>
      </c>
      <c r="W601" s="125" t="str">
        <f>IF(Tab.o1[[#This Row],[a1]]=1,IF(W$3=0,1,Tab.o1[[#This Row],[Amp.]]*1/_xlfn.MINIFS(Tab.o1[Amp.],Tab.o1[Amp.],"&lt;&gt;0")),"")</f>
        <v/>
      </c>
      <c r="X601" s="126" t="str">
        <f>IF(Tab.o1[[#This Row],[a1]]=1,IF(ISNUMBER(Tab.o1[[#This Row],[i.]]),NORMDIST(Tab.o1[[#This Row],[Za]],0,1,FALSE)*Tab.o1[[#This Row],[i.]],AP$3),"")</f>
        <v/>
      </c>
      <c r="Y601" s="126" t="str">
        <f>IF(Tab.o1[[#This Row],[a1]]=1,0.01+0.94*Tab.o1[[#This Row],[PDF]]/MAX(Tab.o1[PDF]),"")</f>
        <v/>
      </c>
      <c r="Z601" s="126" t="str">
        <f>IF(Tab.o1[[#This Row],[a1]]=1,0.01+0.94*Tab.o1[[#This Row],[W1_PDF]]/MAX(Tab.o1[W1_PDF]),"")</f>
        <v/>
      </c>
      <c r="AA601" s="118" t="str">
        <f>IF(Tab.o1[[#This Row],[a1]]=1,ABS([1]!T.in.A[[#This Row],[oo6]]),"")</f>
        <v/>
      </c>
      <c r="AB601" s="127" t="str">
        <f>IF(Tab.o1[[#This Row],[a1]]=1,IF(AE$3=0,"",IF(AB$3=0,ABS([1]!T.in.A[[#This Row],[oo9]]),ABS(Tab.o1[[#This Row],[DIF_Target.]]*Tab.o1[[#This Row],[W1_PDF]]))),"")</f>
        <v/>
      </c>
      <c r="AC601" s="127" t="str">
        <f>IF(G$1=1,"",IF(Tab.o1[[#This Row],[a1]]=1,Tab.o1[[#This Row],[Wr]]^2,""))</f>
        <v/>
      </c>
      <c r="AD601" s="118" t="str">
        <f>IF(Tab.o1[[#This Row],[a1]]=1,IF(AE$3=0,"",Tab.o1[[#This Row],[Wr2]]/SUM(Tab.o1[Wr2])),"")</f>
        <v/>
      </c>
      <c r="AE601" s="128" t="str">
        <f>IF(Tab.o1[[#This Row],[a1]]=1,[1]!T.in.A[[#This Row],[oo10]],"")</f>
        <v/>
      </c>
      <c r="AF601" s="118" t="str">
        <f>IF(Tab.o1[[#This Row],[a1]]=1,ABS(Tab.o1[[#This Row],[DIF_Target.]]*Tab.o1[[#This Row],[PDF2]]*Tab.o1[[#This Row],[IN]]),"")</f>
        <v/>
      </c>
      <c r="AG601" s="129" t="str">
        <f>IF(Tab.o1[[#This Row],[a1]]=1,Tab.o1[[#This Row],[rW]]^2,"")</f>
        <v/>
      </c>
      <c r="AH601" s="130" t="str">
        <f>IF(Tab.o1[[#This Row],[a1]]=1,IF(AH$3=0,Tab.o1[[#This Row],[rW2]],0.01+0.94*Tab.o1[[#This Row],[rW2]]/SUM(Tab.o1[rW2])),"")</f>
        <v/>
      </c>
      <c r="AI601" s="128" t="str">
        <f>IF(Tab.o1[[#This Row],[a1]]=1,1/Tab.o1[[#This Row],[PDF]],"")</f>
        <v/>
      </c>
      <c r="AJ601" s="131" t="str">
        <f>IF(Tab.o1[[#This Row],[a1]]=1,[1]!T_AA[[#This Row],[IN'']]*[1]!T_AA[[#This Row],[Qde'']],"")</f>
        <v/>
      </c>
      <c r="AK601" s="132" t="str">
        <f>IF(Tab.o1[[#This Row],[a1]]=1,IF(AK$1=1,Tab.o1[[#This Row],[MED]]+Tab.o1[[#This Row],[MOD]]-Tab.o1[[#This Row],[MED]],""),"")</f>
        <v/>
      </c>
      <c r="AL601" s="133" t="str">
        <f>IF(Tab.o1[[#This Row],[a1]]=1,[1]!T.in.A[[#This Row],[oo16]],"")</f>
        <v/>
      </c>
      <c r="AM601" s="133" t="str">
        <f>IF(Tab.o1[[#This Row],[a1]]=1,IF(AM$3=1,[1]!T.in.A[[#This Row],[Σo16]],""),"")</f>
        <v/>
      </c>
      <c r="AN601" s="126" t="str">
        <f>IF(Tab.o1[[#This Row],[a1]]=1,[1]!T.in.A[[#This Row],[Σp5]],"")</f>
        <v/>
      </c>
      <c r="AO601" s="126" t="str">
        <f>IF(Tab.o1[[#This Row],[a1]]=1,IF(AO$3=1,[1]!T.in.A[[#This Row],[Σp5]],""),"")</f>
        <v/>
      </c>
      <c r="AP601" s="110" t="str">
        <f>IF(Tab.o1[[#This Row],[a1]]=1,IF(ISNUMBER(Tab.o1[[#This Row],[i.]]),NORMDIST(Tab.o1[[#This Row],[Za]],0,1,FALSE)*Tab.o1[[#This Row],[i.]],0),"")</f>
        <v/>
      </c>
      <c r="AQ601" s="125" t="str">
        <f>IF(Tab.o1[[#This Row],[a1]]=1,ABS(Tab.o1[[#This Row],[MOD]]-AVERAGE(Tab.o1[MOD])),"")</f>
        <v/>
      </c>
      <c r="AR601" s="134" t="str">
        <f>IF(Tab.o1[[#This Row],[a1]]=1,Tab.o1[[#This Row],[OBS]]/SUM(Tab.o1[OBS]),"")</f>
        <v/>
      </c>
      <c r="AS601" s="135" t="str">
        <f>IF(ISNUMBER(Tab.o1[[#This Row],[a1]]),ROW()-4,"")</f>
        <v/>
      </c>
      <c r="AT601" s="136" t="str">
        <f>Tab.o1[[#This Row],[MOD]]</f>
        <v/>
      </c>
      <c r="AU601" s="137" t="str">
        <f t="shared" si="37"/>
        <v/>
      </c>
      <c r="AV601" s="138" t="str">
        <f t="shared" si="38"/>
        <v/>
      </c>
      <c r="AW601" s="138" t="str">
        <f t="shared" si="39"/>
        <v/>
      </c>
      <c r="AX601" s="139" t="str">
        <f>[1]!T.in.A[[#This Row],[ID_T_manu]]</f>
        <v/>
      </c>
      <c r="AY601" s="140" t="str">
        <f>IF(ISNUMBER(Tab.o1[[#This Row],[a1]]),IF(AND(Tab.o1[[#This Row],[a1]]=1,Tab.o1[[#This Row],[b1]]&lt;=AY$4),#REF!,AY600),"")</f>
        <v/>
      </c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</row>
    <row r="602" spans="1:79" ht="15.75" hidden="1">
      <c r="A602" s="109">
        <v>-2.9999999999999997E-6</v>
      </c>
      <c r="B602" s="110">
        <f t="shared" si="36"/>
        <v>602</v>
      </c>
      <c r="C602" s="111" t="str">
        <f>IF(C$1=[1]!T.in.A[[#This Row],[oo2]],1,"")</f>
        <v/>
      </c>
      <c r="D602" s="112" t="str">
        <f>IF(Tab.o1[[#This Row],[a1]]=1,IF(SUM(C602:C603)=0,0,IF(SUM(C601:C602)=1,1,IF(SUM(C601:C603)&gt;1,D601+1,0))),"")</f>
        <v/>
      </c>
      <c r="E602" s="113" t="str">
        <f>IF(Tab.o1[[#This Row],[a1]]=1,[1]!T.in.A[[#This Row],[oo1]],"")</f>
        <v/>
      </c>
      <c r="F602" s="113" t="str">
        <f>IF(Tab.o1[[#This Row],[a1]]=1,[1]!T.in.A[[#This Row],[pp1]],"")</f>
        <v/>
      </c>
      <c r="G602" s="114" t="str">
        <f>IF(Tab.o1[[#This Row],[a1]]=1,G$2+IF(G$1=1,0,Tab.o1[[#This Row],[.x1]])+[1]!T.in.A[[#This Row],[oo3]],"")</f>
        <v/>
      </c>
      <c r="H602" s="115" t="str">
        <f>IF(Tab.o1[[#This Row],[a1]]=1,IF(H$2=0,0,IF(G$1=1,0,Tab.o1[[#This Row],[.x1]])+[1]!T.in.A[[#This Row],[oo4]]),"")</f>
        <v/>
      </c>
      <c r="I602" s="116" t="str">
        <f>IF(Tab.o1[[#This Row],[a1]]=1,IF(J$2=0,Tab.o1[[#This Row],[MED]],Tab.o1[[#This Row],[MOD]]),"")</f>
        <v/>
      </c>
      <c r="J602" s="116" t="str">
        <f>IF(Tab.o1[[#This Row],[a1]]=1,((Tab.o1[[#This Row],[DIF_Target.]]-AVERAGE(Tab.o1[DIF_Target.]))/_xlfn.STDEV.P(Tab.o1[DIF_Target.])),"")</f>
        <v/>
      </c>
      <c r="K602" s="117" t="str">
        <f>IF(Tab.o1[[#This Row],[a1]]=1,IF(J$2=0,Tab.o1[[#This Row],[MOD]]-Tab.o1[[#This Row],[B]],IF(J$2=1,0,-Tab.o1[[#This Row],[MED]])+Tab.o1[[#This Row],[B]]),"")</f>
        <v/>
      </c>
      <c r="L602" s="117" t="str">
        <f ca="1">IF(Tab.o1[[#This Row],[DIF_Target]]=0,IF(L$2=0,Tab.o1[[#This Row],[DIF_Target]],AVERAGE(OFFSET(Tab.o1[[#This Row],[DIF_Target]],1,0,L$3,1)))/3,Tab.o1[[#This Row],[DIF_Target]])</f>
        <v/>
      </c>
      <c r="M602" s="118" t="str">
        <f>IF(Tab.o1[[#This Row],[a1]]=1,NORMSDIST(Tab.o1[[#This Row],[Za]]),"")</f>
        <v/>
      </c>
      <c r="N602" s="119" t="str">
        <f>IF(Tab.o1[[#This Row],[a1]]=1,((Tab.o1[[#This Row],[MedMod]]-AVERAGE(Tab.o1[MedMod]))/_xlfn.STDEV.P(Tab.o1[MedMod])*H$1205)+G$1205,"")</f>
        <v/>
      </c>
      <c r="O602" s="141" t="str">
        <f>IF(Tab.o1[[#This Row],[a1]]=1,Tab.o1[[#This Row],[Zb]]*_xlfn.STDEV.P(Tab.o1[MedMod])+AVERAGE(Tab.o1[MedMod]),"")</f>
        <v/>
      </c>
      <c r="P602" s="117" t="str">
        <f ca="1">IF(Tab.o1[[#This Row],[B]]=0,AVERAGE(OFFSET(Tab.o1[[#This Row],[B]],1,0,L$3,1)),Tab.o1[[#This Row],[B]])</f>
        <v/>
      </c>
      <c r="Q602" s="121" t="str">
        <f>IF(Tab.o1[[#This Row],[a1]]=1,NORMSDIST(Tab.o1[[#This Row],[Zb]]),"")</f>
        <v/>
      </c>
      <c r="R602" s="122" t="str">
        <f>IF(Tab.o1[[#This Row],[a1]]=1,((Tab.o1[[#This Row],[MedMod]]-AVERAGE(Tab.o1[MedMod]))/_xlfn.STDEV.P(Tab.o1[MedMod])*H$1203)+G$1203,"")</f>
        <v/>
      </c>
      <c r="S602" s="122" t="str">
        <f>IF(Tab.o1[[#This Row],[a1]]=1,((Tab.o1[[#This Row],[MedMod]]-AVERAGE(Tab.o1[MedMod]))/_xlfn.STDEV.P(Tab.o1[MedMod])*H$1204)+G$1204,"")</f>
        <v/>
      </c>
      <c r="T602" s="123" t="str">
        <f>IF(Tab.o1[[#This Row],[a1]]=1,Tab.o1[[#This Row],[Z-]]*_xlfn.STDEV.P(Tab.o1[B])+AVERAGE(Tab.o1[B]),"")</f>
        <v/>
      </c>
      <c r="U602" s="123" t="str">
        <f>IF(Tab.o1[[#This Row],[a1]]=1,Tab.o1[[#This Row],[z+]]*_xlfn.STDEV.P(Tab.o1[B])+AVERAGE(Tab.o1[B]),"")</f>
        <v/>
      </c>
      <c r="V602" s="124" t="str">
        <f>IF(Tab.o1[[#This Row],[a1]]=1,ABS((ABS(Tab.o1[[#This Row],[Red]]-Tab.o1[[#This Row],[Blue]]))),"")</f>
        <v/>
      </c>
      <c r="W602" s="125" t="str">
        <f>IF(Tab.o1[[#This Row],[a1]]=1,IF(W$3=0,1,Tab.o1[[#This Row],[Amp.]]*1/_xlfn.MINIFS(Tab.o1[Amp.],Tab.o1[Amp.],"&lt;&gt;0")),"")</f>
        <v/>
      </c>
      <c r="X602" s="126" t="str">
        <f>IF(Tab.o1[[#This Row],[a1]]=1,IF(ISNUMBER(Tab.o1[[#This Row],[i.]]),NORMDIST(Tab.o1[[#This Row],[Za]],0,1,FALSE)*Tab.o1[[#This Row],[i.]],AP$3),"")</f>
        <v/>
      </c>
      <c r="Y602" s="126" t="str">
        <f>IF(Tab.o1[[#This Row],[a1]]=1,0.01+0.94*Tab.o1[[#This Row],[PDF]]/MAX(Tab.o1[PDF]),"")</f>
        <v/>
      </c>
      <c r="Z602" s="126" t="str">
        <f>IF(Tab.o1[[#This Row],[a1]]=1,0.01+0.94*Tab.o1[[#This Row],[W1_PDF]]/MAX(Tab.o1[W1_PDF]),"")</f>
        <v/>
      </c>
      <c r="AA602" s="118" t="str">
        <f>IF(Tab.o1[[#This Row],[a1]]=1,ABS([1]!T.in.A[[#This Row],[oo6]]),"")</f>
        <v/>
      </c>
      <c r="AB602" s="127" t="str">
        <f>IF(Tab.o1[[#This Row],[a1]]=1,IF(AE$3=0,"",IF(AB$3=0,ABS([1]!T.in.A[[#This Row],[oo9]]),ABS(Tab.o1[[#This Row],[DIF_Target.]]*Tab.o1[[#This Row],[W1_PDF]]))),"")</f>
        <v/>
      </c>
      <c r="AC602" s="127" t="str">
        <f>IF(G$1=1,"",IF(Tab.o1[[#This Row],[a1]]=1,Tab.o1[[#This Row],[Wr]]^2,""))</f>
        <v/>
      </c>
      <c r="AD602" s="118" t="str">
        <f>IF(Tab.o1[[#This Row],[a1]]=1,IF(AE$3=0,"",Tab.o1[[#This Row],[Wr2]]/SUM(Tab.o1[Wr2])),"")</f>
        <v/>
      </c>
      <c r="AE602" s="128" t="str">
        <f>IF(Tab.o1[[#This Row],[a1]]=1,[1]!T.in.A[[#This Row],[oo10]],"")</f>
        <v/>
      </c>
      <c r="AF602" s="118" t="str">
        <f>IF(Tab.o1[[#This Row],[a1]]=1,ABS(Tab.o1[[#This Row],[DIF_Target.]]*Tab.o1[[#This Row],[PDF2]]*Tab.o1[[#This Row],[IN]]),"")</f>
        <v/>
      </c>
      <c r="AG602" s="129" t="str">
        <f>IF(Tab.o1[[#This Row],[a1]]=1,Tab.o1[[#This Row],[rW]]^2,"")</f>
        <v/>
      </c>
      <c r="AH602" s="130" t="str">
        <f>IF(Tab.o1[[#This Row],[a1]]=1,IF(AH$3=0,Tab.o1[[#This Row],[rW2]],0.01+0.94*Tab.o1[[#This Row],[rW2]]/SUM(Tab.o1[rW2])),"")</f>
        <v/>
      </c>
      <c r="AI602" s="128" t="str">
        <f>IF(Tab.o1[[#This Row],[a1]]=1,1/Tab.o1[[#This Row],[PDF]],"")</f>
        <v/>
      </c>
      <c r="AJ602" s="131" t="str">
        <f>IF(Tab.o1[[#This Row],[a1]]=1,[1]!T_AA[[#This Row],[IN'']]*[1]!T_AA[[#This Row],[Qde'']],"")</f>
        <v/>
      </c>
      <c r="AK602" s="132" t="str">
        <f>IF(Tab.o1[[#This Row],[a1]]=1,IF(AK$1=1,Tab.o1[[#This Row],[MED]]+Tab.o1[[#This Row],[MOD]]-Tab.o1[[#This Row],[MED]],""),"")</f>
        <v/>
      </c>
      <c r="AL602" s="133" t="str">
        <f>IF(Tab.o1[[#This Row],[a1]]=1,[1]!T.in.A[[#This Row],[oo16]],"")</f>
        <v/>
      </c>
      <c r="AM602" s="133" t="str">
        <f>IF(Tab.o1[[#This Row],[a1]]=1,IF(AM$3=1,[1]!T.in.A[[#This Row],[Σo16]],""),"")</f>
        <v/>
      </c>
      <c r="AN602" s="126" t="str">
        <f>IF(Tab.o1[[#This Row],[a1]]=1,[1]!T.in.A[[#This Row],[Σp5]],"")</f>
        <v/>
      </c>
      <c r="AO602" s="126" t="str">
        <f>IF(Tab.o1[[#This Row],[a1]]=1,IF(AO$3=1,[1]!T.in.A[[#This Row],[Σp5]],""),"")</f>
        <v/>
      </c>
      <c r="AP602" s="110" t="str">
        <f>IF(Tab.o1[[#This Row],[a1]]=1,IF(ISNUMBER(Tab.o1[[#This Row],[i.]]),NORMDIST(Tab.o1[[#This Row],[Za]],0,1,FALSE)*Tab.o1[[#This Row],[i.]],0),"")</f>
        <v/>
      </c>
      <c r="AQ602" s="125" t="str">
        <f>IF(Tab.o1[[#This Row],[a1]]=1,ABS(Tab.o1[[#This Row],[MOD]]-AVERAGE(Tab.o1[MOD])),"")</f>
        <v/>
      </c>
      <c r="AR602" s="134" t="str">
        <f>IF(Tab.o1[[#This Row],[a1]]=1,Tab.o1[[#This Row],[OBS]]/SUM(Tab.o1[OBS]),"")</f>
        <v/>
      </c>
      <c r="AS602" s="135" t="str">
        <f>IF(ISNUMBER(Tab.o1[[#This Row],[a1]]),ROW()-4,"")</f>
        <v/>
      </c>
      <c r="AT602" s="136" t="str">
        <f>Tab.o1[[#This Row],[MOD]]</f>
        <v/>
      </c>
      <c r="AU602" s="137" t="str">
        <f t="shared" si="37"/>
        <v/>
      </c>
      <c r="AV602" s="138" t="str">
        <f t="shared" si="38"/>
        <v/>
      </c>
      <c r="AW602" s="138" t="str">
        <f t="shared" si="39"/>
        <v/>
      </c>
      <c r="AX602" s="139" t="str">
        <f>[1]!T.in.A[[#This Row],[ID_T_manu]]</f>
        <v/>
      </c>
      <c r="AY602" s="140" t="str">
        <f>IF(ISNUMBER(Tab.o1[[#This Row],[a1]]),IF(AND(Tab.o1[[#This Row],[a1]]=1,Tab.o1[[#This Row],[b1]]&lt;=AY$4),#REF!,AY601),"")</f>
        <v/>
      </c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</row>
    <row r="603" spans="1:79" ht="15.75" hidden="1">
      <c r="A603" s="109">
        <v>6.9999999999999999E-6</v>
      </c>
      <c r="B603" s="110">
        <f t="shared" si="36"/>
        <v>603</v>
      </c>
      <c r="C603" s="111" t="str">
        <f>IF(C$1=[1]!T.in.A[[#This Row],[oo2]],1,"")</f>
        <v/>
      </c>
      <c r="D603" s="112" t="str">
        <f>IF(Tab.o1[[#This Row],[a1]]=1,IF(SUM(C603:C604)=0,0,IF(SUM(C602:C603)=1,1,IF(SUM(C602:C604)&gt;1,D602+1,0))),"")</f>
        <v/>
      </c>
      <c r="E603" s="113" t="str">
        <f>IF(Tab.o1[[#This Row],[a1]]=1,[1]!T.in.A[[#This Row],[oo1]],"")</f>
        <v/>
      </c>
      <c r="F603" s="113" t="str">
        <f>IF(Tab.o1[[#This Row],[a1]]=1,[1]!T.in.A[[#This Row],[pp1]],"")</f>
        <v/>
      </c>
      <c r="G603" s="114" t="str">
        <f>IF(Tab.o1[[#This Row],[a1]]=1,G$2+IF(G$1=1,0,Tab.o1[[#This Row],[.x1]])+[1]!T.in.A[[#This Row],[oo3]],"")</f>
        <v/>
      </c>
      <c r="H603" s="115" t="str">
        <f>IF(Tab.o1[[#This Row],[a1]]=1,IF(H$2=0,0,IF(G$1=1,0,Tab.o1[[#This Row],[.x1]])+[1]!T.in.A[[#This Row],[oo4]]),"")</f>
        <v/>
      </c>
      <c r="I603" s="116" t="str">
        <f>IF(Tab.o1[[#This Row],[a1]]=1,IF(J$2=0,Tab.o1[[#This Row],[MED]],Tab.o1[[#This Row],[MOD]]),"")</f>
        <v/>
      </c>
      <c r="J603" s="116" t="str">
        <f>IF(Tab.o1[[#This Row],[a1]]=1,((Tab.o1[[#This Row],[DIF_Target.]]-AVERAGE(Tab.o1[DIF_Target.]))/_xlfn.STDEV.P(Tab.o1[DIF_Target.])),"")</f>
        <v/>
      </c>
      <c r="K603" s="117" t="str">
        <f>IF(Tab.o1[[#This Row],[a1]]=1,IF(J$2=0,Tab.o1[[#This Row],[MOD]]-Tab.o1[[#This Row],[B]],IF(J$2=1,0,-Tab.o1[[#This Row],[MED]])+Tab.o1[[#This Row],[B]]),"")</f>
        <v/>
      </c>
      <c r="L603" s="117" t="str">
        <f ca="1">IF(Tab.o1[[#This Row],[DIF_Target]]=0,IF(L$2=0,Tab.o1[[#This Row],[DIF_Target]],AVERAGE(OFFSET(Tab.o1[[#This Row],[DIF_Target]],1,0,L$3,1)))/3,Tab.o1[[#This Row],[DIF_Target]])</f>
        <v/>
      </c>
      <c r="M603" s="118" t="str">
        <f>IF(Tab.o1[[#This Row],[a1]]=1,NORMSDIST(Tab.o1[[#This Row],[Za]]),"")</f>
        <v/>
      </c>
      <c r="N603" s="119" t="str">
        <f>IF(Tab.o1[[#This Row],[a1]]=1,((Tab.o1[[#This Row],[MedMod]]-AVERAGE(Tab.o1[MedMod]))/_xlfn.STDEV.P(Tab.o1[MedMod])*H$1205)+G$1205,"")</f>
        <v/>
      </c>
      <c r="O603" s="141" t="str">
        <f>IF(Tab.o1[[#This Row],[a1]]=1,Tab.o1[[#This Row],[Zb]]*_xlfn.STDEV.P(Tab.o1[MedMod])+AVERAGE(Tab.o1[MedMod]),"")</f>
        <v/>
      </c>
      <c r="P603" s="117" t="str">
        <f ca="1">IF(Tab.o1[[#This Row],[B]]=0,AVERAGE(OFFSET(Tab.o1[[#This Row],[B]],1,0,L$3,1)),Tab.o1[[#This Row],[B]])</f>
        <v/>
      </c>
      <c r="Q603" s="121" t="str">
        <f>IF(Tab.o1[[#This Row],[a1]]=1,NORMSDIST(Tab.o1[[#This Row],[Zb]]),"")</f>
        <v/>
      </c>
      <c r="R603" s="122" t="str">
        <f>IF(Tab.o1[[#This Row],[a1]]=1,((Tab.o1[[#This Row],[MedMod]]-AVERAGE(Tab.o1[MedMod]))/_xlfn.STDEV.P(Tab.o1[MedMod])*H$1203)+G$1203,"")</f>
        <v/>
      </c>
      <c r="S603" s="122" t="str">
        <f>IF(Tab.o1[[#This Row],[a1]]=1,((Tab.o1[[#This Row],[MedMod]]-AVERAGE(Tab.o1[MedMod]))/_xlfn.STDEV.P(Tab.o1[MedMod])*H$1204)+G$1204,"")</f>
        <v/>
      </c>
      <c r="T603" s="123" t="str">
        <f>IF(Tab.o1[[#This Row],[a1]]=1,Tab.o1[[#This Row],[Z-]]*_xlfn.STDEV.P(Tab.o1[B])+AVERAGE(Tab.o1[B]),"")</f>
        <v/>
      </c>
      <c r="U603" s="123" t="str">
        <f>IF(Tab.o1[[#This Row],[a1]]=1,Tab.o1[[#This Row],[z+]]*_xlfn.STDEV.P(Tab.o1[B])+AVERAGE(Tab.o1[B]),"")</f>
        <v/>
      </c>
      <c r="V603" s="124" t="str">
        <f>IF(Tab.o1[[#This Row],[a1]]=1,ABS((ABS(Tab.o1[[#This Row],[Red]]-Tab.o1[[#This Row],[Blue]]))),"")</f>
        <v/>
      </c>
      <c r="W603" s="125" t="str">
        <f>IF(Tab.o1[[#This Row],[a1]]=1,IF(W$3=0,1,Tab.o1[[#This Row],[Amp.]]*1/_xlfn.MINIFS(Tab.o1[Amp.],Tab.o1[Amp.],"&lt;&gt;0")),"")</f>
        <v/>
      </c>
      <c r="X603" s="126" t="str">
        <f>IF(Tab.o1[[#This Row],[a1]]=1,IF(ISNUMBER(Tab.o1[[#This Row],[i.]]),NORMDIST(Tab.o1[[#This Row],[Za]],0,1,FALSE)*Tab.o1[[#This Row],[i.]],AP$3),"")</f>
        <v/>
      </c>
      <c r="Y603" s="126" t="str">
        <f>IF(Tab.o1[[#This Row],[a1]]=1,0.01+0.94*Tab.o1[[#This Row],[PDF]]/MAX(Tab.o1[PDF]),"")</f>
        <v/>
      </c>
      <c r="Z603" s="126" t="str">
        <f>IF(Tab.o1[[#This Row],[a1]]=1,0.01+0.94*Tab.o1[[#This Row],[W1_PDF]]/MAX(Tab.o1[W1_PDF]),"")</f>
        <v/>
      </c>
      <c r="AA603" s="118" t="str">
        <f>IF(Tab.o1[[#This Row],[a1]]=1,ABS([1]!T.in.A[[#This Row],[oo6]]),"")</f>
        <v/>
      </c>
      <c r="AB603" s="127" t="str">
        <f>IF(Tab.o1[[#This Row],[a1]]=1,IF(AE$3=0,"",IF(AB$3=0,ABS([1]!T.in.A[[#This Row],[oo9]]),ABS(Tab.o1[[#This Row],[DIF_Target.]]*Tab.o1[[#This Row],[W1_PDF]]))),"")</f>
        <v/>
      </c>
      <c r="AC603" s="127" t="str">
        <f>IF(G$1=1,"",IF(Tab.o1[[#This Row],[a1]]=1,Tab.o1[[#This Row],[Wr]]^2,""))</f>
        <v/>
      </c>
      <c r="AD603" s="118" t="str">
        <f>IF(Tab.o1[[#This Row],[a1]]=1,IF(AE$3=0,"",Tab.o1[[#This Row],[Wr2]]/SUM(Tab.o1[Wr2])),"")</f>
        <v/>
      </c>
      <c r="AE603" s="128" t="str">
        <f>IF(Tab.o1[[#This Row],[a1]]=1,[1]!T.in.A[[#This Row],[oo10]],"")</f>
        <v/>
      </c>
      <c r="AF603" s="118" t="str">
        <f>IF(Tab.o1[[#This Row],[a1]]=1,ABS(Tab.o1[[#This Row],[DIF_Target.]]*Tab.o1[[#This Row],[PDF2]]*Tab.o1[[#This Row],[IN]]),"")</f>
        <v/>
      </c>
      <c r="AG603" s="129" t="str">
        <f>IF(Tab.o1[[#This Row],[a1]]=1,Tab.o1[[#This Row],[rW]]^2,"")</f>
        <v/>
      </c>
      <c r="AH603" s="130" t="str">
        <f>IF(Tab.o1[[#This Row],[a1]]=1,IF(AH$3=0,Tab.o1[[#This Row],[rW2]],0.01+0.94*Tab.o1[[#This Row],[rW2]]/SUM(Tab.o1[rW2])),"")</f>
        <v/>
      </c>
      <c r="AI603" s="128" t="str">
        <f>IF(Tab.o1[[#This Row],[a1]]=1,1/Tab.o1[[#This Row],[PDF]],"")</f>
        <v/>
      </c>
      <c r="AJ603" s="131" t="str">
        <f>IF(Tab.o1[[#This Row],[a1]]=1,[1]!T_AA[[#This Row],[IN'']]*[1]!T_AA[[#This Row],[Qde'']],"")</f>
        <v/>
      </c>
      <c r="AK603" s="132" t="str">
        <f>IF(Tab.o1[[#This Row],[a1]]=1,IF(AK$1=1,Tab.o1[[#This Row],[MED]]+Tab.o1[[#This Row],[MOD]]-Tab.o1[[#This Row],[MED]],""),"")</f>
        <v/>
      </c>
      <c r="AL603" s="133" t="str">
        <f>IF(Tab.o1[[#This Row],[a1]]=1,[1]!T.in.A[[#This Row],[oo16]],"")</f>
        <v/>
      </c>
      <c r="AM603" s="133" t="str">
        <f>IF(Tab.o1[[#This Row],[a1]]=1,IF(AM$3=1,[1]!T.in.A[[#This Row],[Σo16]],""),"")</f>
        <v/>
      </c>
      <c r="AN603" s="126" t="str">
        <f>IF(Tab.o1[[#This Row],[a1]]=1,[1]!T.in.A[[#This Row],[Σp5]],"")</f>
        <v/>
      </c>
      <c r="AO603" s="126" t="str">
        <f>IF(Tab.o1[[#This Row],[a1]]=1,IF(AO$3=1,[1]!T.in.A[[#This Row],[Σp5]],""),"")</f>
        <v/>
      </c>
      <c r="AP603" s="110" t="str">
        <f>IF(Tab.o1[[#This Row],[a1]]=1,IF(ISNUMBER(Tab.o1[[#This Row],[i.]]),NORMDIST(Tab.o1[[#This Row],[Za]],0,1,FALSE)*Tab.o1[[#This Row],[i.]],0),"")</f>
        <v/>
      </c>
      <c r="AQ603" s="125" t="str">
        <f>IF(Tab.o1[[#This Row],[a1]]=1,ABS(Tab.o1[[#This Row],[MOD]]-AVERAGE(Tab.o1[MOD])),"")</f>
        <v/>
      </c>
      <c r="AR603" s="134" t="str">
        <f>IF(Tab.o1[[#This Row],[a1]]=1,Tab.o1[[#This Row],[OBS]]/SUM(Tab.o1[OBS]),"")</f>
        <v/>
      </c>
      <c r="AS603" s="135" t="str">
        <f>IF(ISNUMBER(Tab.o1[[#This Row],[a1]]),ROW()-4,"")</f>
        <v/>
      </c>
      <c r="AT603" s="136" t="str">
        <f>Tab.o1[[#This Row],[MOD]]</f>
        <v/>
      </c>
      <c r="AU603" s="137" t="str">
        <f t="shared" si="37"/>
        <v/>
      </c>
      <c r="AV603" s="138" t="str">
        <f t="shared" si="38"/>
        <v/>
      </c>
      <c r="AW603" s="138" t="str">
        <f t="shared" si="39"/>
        <v/>
      </c>
      <c r="AX603" s="139" t="str">
        <f>[1]!T.in.A[[#This Row],[ID_T_manu]]</f>
        <v/>
      </c>
      <c r="AY603" s="140" t="str">
        <f>IF(ISNUMBER(Tab.o1[[#This Row],[a1]]),IF(AND(Tab.o1[[#This Row],[a1]]=1,Tab.o1[[#This Row],[b1]]&lt;=AY$4),#REF!,AY602),"")</f>
        <v/>
      </c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</row>
    <row r="604" spans="1:79" ht="15.75" hidden="1">
      <c r="A604" s="109">
        <v>-4.0000000000000007E-6</v>
      </c>
      <c r="B604" s="110">
        <f t="shared" si="36"/>
        <v>604</v>
      </c>
      <c r="C604" s="111" t="str">
        <f>IF(C$1=[1]!T.in.A[[#This Row],[oo2]],1,"")</f>
        <v/>
      </c>
      <c r="D604" s="112" t="str">
        <f>IF(Tab.o1[[#This Row],[a1]]=1,IF(SUM(C604:C605)=0,0,IF(SUM(C603:C604)=1,1,IF(SUM(C603:C605)&gt;1,D603+1,0))),"")</f>
        <v/>
      </c>
      <c r="E604" s="113" t="str">
        <f>IF(Tab.o1[[#This Row],[a1]]=1,[1]!T.in.A[[#This Row],[oo1]],"")</f>
        <v/>
      </c>
      <c r="F604" s="113" t="str">
        <f>IF(Tab.o1[[#This Row],[a1]]=1,[1]!T.in.A[[#This Row],[pp1]],"")</f>
        <v/>
      </c>
      <c r="G604" s="114" t="str">
        <f>IF(Tab.o1[[#This Row],[a1]]=1,G$2+IF(G$1=1,0,Tab.o1[[#This Row],[.x1]])+[1]!T.in.A[[#This Row],[oo3]],"")</f>
        <v/>
      </c>
      <c r="H604" s="115" t="str">
        <f>IF(Tab.o1[[#This Row],[a1]]=1,IF(H$2=0,0,IF(G$1=1,0,Tab.o1[[#This Row],[.x1]])+[1]!T.in.A[[#This Row],[oo4]]),"")</f>
        <v/>
      </c>
      <c r="I604" s="116" t="str">
        <f>IF(Tab.o1[[#This Row],[a1]]=1,IF(J$2=0,Tab.o1[[#This Row],[MED]],Tab.o1[[#This Row],[MOD]]),"")</f>
        <v/>
      </c>
      <c r="J604" s="116" t="str">
        <f>IF(Tab.o1[[#This Row],[a1]]=1,((Tab.o1[[#This Row],[DIF_Target.]]-AVERAGE(Tab.o1[DIF_Target.]))/_xlfn.STDEV.P(Tab.o1[DIF_Target.])),"")</f>
        <v/>
      </c>
      <c r="K604" s="117" t="str">
        <f>IF(Tab.o1[[#This Row],[a1]]=1,IF(J$2=0,Tab.o1[[#This Row],[MOD]]-Tab.o1[[#This Row],[B]],IF(J$2=1,0,-Tab.o1[[#This Row],[MED]])+Tab.o1[[#This Row],[B]]),"")</f>
        <v/>
      </c>
      <c r="L604" s="117" t="str">
        <f ca="1">IF(Tab.o1[[#This Row],[DIF_Target]]=0,IF(L$2=0,Tab.o1[[#This Row],[DIF_Target]],AVERAGE(OFFSET(Tab.o1[[#This Row],[DIF_Target]],1,0,L$3,1)))/3,Tab.o1[[#This Row],[DIF_Target]])</f>
        <v/>
      </c>
      <c r="M604" s="118" t="str">
        <f>IF(Tab.o1[[#This Row],[a1]]=1,NORMSDIST(Tab.o1[[#This Row],[Za]]),"")</f>
        <v/>
      </c>
      <c r="N604" s="119" t="str">
        <f>IF(Tab.o1[[#This Row],[a1]]=1,((Tab.o1[[#This Row],[MedMod]]-AVERAGE(Tab.o1[MedMod]))/_xlfn.STDEV.P(Tab.o1[MedMod])*H$1205)+G$1205,"")</f>
        <v/>
      </c>
      <c r="O604" s="141" t="str">
        <f>IF(Tab.o1[[#This Row],[a1]]=1,Tab.o1[[#This Row],[Zb]]*_xlfn.STDEV.P(Tab.o1[MedMod])+AVERAGE(Tab.o1[MedMod]),"")</f>
        <v/>
      </c>
      <c r="P604" s="117" t="str">
        <f ca="1">IF(Tab.o1[[#This Row],[B]]=0,AVERAGE(OFFSET(Tab.o1[[#This Row],[B]],1,0,L$3,1)),Tab.o1[[#This Row],[B]])</f>
        <v/>
      </c>
      <c r="Q604" s="121" t="str">
        <f>IF(Tab.o1[[#This Row],[a1]]=1,NORMSDIST(Tab.o1[[#This Row],[Zb]]),"")</f>
        <v/>
      </c>
      <c r="R604" s="122" t="str">
        <f>IF(Tab.o1[[#This Row],[a1]]=1,((Tab.o1[[#This Row],[MedMod]]-AVERAGE(Tab.o1[MedMod]))/_xlfn.STDEV.P(Tab.o1[MedMod])*H$1203)+G$1203,"")</f>
        <v/>
      </c>
      <c r="S604" s="122" t="str">
        <f>IF(Tab.o1[[#This Row],[a1]]=1,((Tab.o1[[#This Row],[MedMod]]-AVERAGE(Tab.o1[MedMod]))/_xlfn.STDEV.P(Tab.o1[MedMod])*H$1204)+G$1204,"")</f>
        <v/>
      </c>
      <c r="T604" s="123" t="str">
        <f>IF(Tab.o1[[#This Row],[a1]]=1,Tab.o1[[#This Row],[Z-]]*_xlfn.STDEV.P(Tab.o1[B])+AVERAGE(Tab.o1[B]),"")</f>
        <v/>
      </c>
      <c r="U604" s="123" t="str">
        <f>IF(Tab.o1[[#This Row],[a1]]=1,Tab.o1[[#This Row],[z+]]*_xlfn.STDEV.P(Tab.o1[B])+AVERAGE(Tab.o1[B]),"")</f>
        <v/>
      </c>
      <c r="V604" s="124" t="str">
        <f>IF(Tab.o1[[#This Row],[a1]]=1,ABS((ABS(Tab.o1[[#This Row],[Red]]-Tab.o1[[#This Row],[Blue]]))),"")</f>
        <v/>
      </c>
      <c r="W604" s="125" t="str">
        <f>IF(Tab.o1[[#This Row],[a1]]=1,IF(W$3=0,1,Tab.o1[[#This Row],[Amp.]]*1/_xlfn.MINIFS(Tab.o1[Amp.],Tab.o1[Amp.],"&lt;&gt;0")),"")</f>
        <v/>
      </c>
      <c r="X604" s="126" t="str">
        <f>IF(Tab.o1[[#This Row],[a1]]=1,IF(ISNUMBER(Tab.o1[[#This Row],[i.]]),NORMDIST(Tab.o1[[#This Row],[Za]],0,1,FALSE)*Tab.o1[[#This Row],[i.]],AP$3),"")</f>
        <v/>
      </c>
      <c r="Y604" s="126" t="str">
        <f>IF(Tab.o1[[#This Row],[a1]]=1,0.01+0.94*Tab.o1[[#This Row],[PDF]]/MAX(Tab.o1[PDF]),"")</f>
        <v/>
      </c>
      <c r="Z604" s="126" t="str">
        <f>IF(Tab.o1[[#This Row],[a1]]=1,0.01+0.94*Tab.o1[[#This Row],[W1_PDF]]/MAX(Tab.o1[W1_PDF]),"")</f>
        <v/>
      </c>
      <c r="AA604" s="118" t="str">
        <f>IF(Tab.o1[[#This Row],[a1]]=1,ABS([1]!T.in.A[[#This Row],[oo6]]),"")</f>
        <v/>
      </c>
      <c r="AB604" s="127" t="str">
        <f>IF(Tab.o1[[#This Row],[a1]]=1,IF(AE$3=0,"",IF(AB$3=0,ABS([1]!T.in.A[[#This Row],[oo9]]),ABS(Tab.o1[[#This Row],[DIF_Target.]]*Tab.o1[[#This Row],[W1_PDF]]))),"")</f>
        <v/>
      </c>
      <c r="AC604" s="127" t="str">
        <f>IF(G$1=1,"",IF(Tab.o1[[#This Row],[a1]]=1,Tab.o1[[#This Row],[Wr]]^2,""))</f>
        <v/>
      </c>
      <c r="AD604" s="118" t="str">
        <f>IF(Tab.o1[[#This Row],[a1]]=1,IF(AE$3=0,"",Tab.o1[[#This Row],[Wr2]]/SUM(Tab.o1[Wr2])),"")</f>
        <v/>
      </c>
      <c r="AE604" s="128" t="str">
        <f>IF(Tab.o1[[#This Row],[a1]]=1,[1]!T.in.A[[#This Row],[oo10]],"")</f>
        <v/>
      </c>
      <c r="AF604" s="118" t="str">
        <f>IF(Tab.o1[[#This Row],[a1]]=1,ABS(Tab.o1[[#This Row],[DIF_Target.]]*Tab.o1[[#This Row],[PDF2]]*Tab.o1[[#This Row],[IN]]),"")</f>
        <v/>
      </c>
      <c r="AG604" s="129" t="str">
        <f>IF(Tab.o1[[#This Row],[a1]]=1,Tab.o1[[#This Row],[rW]]^2,"")</f>
        <v/>
      </c>
      <c r="AH604" s="130" t="str">
        <f>IF(Tab.o1[[#This Row],[a1]]=1,IF(AH$3=0,Tab.o1[[#This Row],[rW2]],0.01+0.94*Tab.o1[[#This Row],[rW2]]/SUM(Tab.o1[rW2])),"")</f>
        <v/>
      </c>
      <c r="AI604" s="128" t="str">
        <f>IF(Tab.o1[[#This Row],[a1]]=1,1/Tab.o1[[#This Row],[PDF]],"")</f>
        <v/>
      </c>
      <c r="AJ604" s="131" t="str">
        <f>IF(Tab.o1[[#This Row],[a1]]=1,[1]!T_AA[[#This Row],[IN'']]*[1]!T_AA[[#This Row],[Qde'']],"")</f>
        <v/>
      </c>
      <c r="AK604" s="132" t="str">
        <f>IF(Tab.o1[[#This Row],[a1]]=1,IF(AK$1=1,Tab.o1[[#This Row],[MED]]+Tab.o1[[#This Row],[MOD]]-Tab.o1[[#This Row],[MED]],""),"")</f>
        <v/>
      </c>
      <c r="AL604" s="133" t="str">
        <f>IF(Tab.o1[[#This Row],[a1]]=1,[1]!T.in.A[[#This Row],[oo16]],"")</f>
        <v/>
      </c>
      <c r="AM604" s="133" t="str">
        <f>IF(Tab.o1[[#This Row],[a1]]=1,IF(AM$3=1,[1]!T.in.A[[#This Row],[Σo16]],""),"")</f>
        <v/>
      </c>
      <c r="AN604" s="126" t="str">
        <f>IF(Tab.o1[[#This Row],[a1]]=1,[1]!T.in.A[[#This Row],[Σp5]],"")</f>
        <v/>
      </c>
      <c r="AO604" s="126" t="str">
        <f>IF(Tab.o1[[#This Row],[a1]]=1,IF(AO$3=1,[1]!T.in.A[[#This Row],[Σp5]],""),"")</f>
        <v/>
      </c>
      <c r="AP604" s="110" t="str">
        <f>IF(Tab.o1[[#This Row],[a1]]=1,IF(ISNUMBER(Tab.o1[[#This Row],[i.]]),NORMDIST(Tab.o1[[#This Row],[Za]],0,1,FALSE)*Tab.o1[[#This Row],[i.]],0),"")</f>
        <v/>
      </c>
      <c r="AQ604" s="125" t="str">
        <f>IF(Tab.o1[[#This Row],[a1]]=1,ABS(Tab.o1[[#This Row],[MOD]]-AVERAGE(Tab.o1[MOD])),"")</f>
        <v/>
      </c>
      <c r="AR604" s="134" t="str">
        <f>IF(Tab.o1[[#This Row],[a1]]=1,Tab.o1[[#This Row],[OBS]]/SUM(Tab.o1[OBS]),"")</f>
        <v/>
      </c>
      <c r="AS604" s="135" t="str">
        <f>IF(ISNUMBER(Tab.o1[[#This Row],[a1]]),ROW()-4,"")</f>
        <v/>
      </c>
      <c r="AT604" s="136" t="str">
        <f>Tab.o1[[#This Row],[MOD]]</f>
        <v/>
      </c>
      <c r="AU604" s="137" t="str">
        <f t="shared" si="37"/>
        <v/>
      </c>
      <c r="AV604" s="138" t="str">
        <f t="shared" si="38"/>
        <v/>
      </c>
      <c r="AW604" s="138" t="str">
        <f t="shared" si="39"/>
        <v/>
      </c>
      <c r="AX604" s="139" t="str">
        <f>[1]!T.in.A[[#This Row],[ID_T_manu]]</f>
        <v/>
      </c>
      <c r="AY604" s="140" t="str">
        <f>IF(ISNUMBER(Tab.o1[[#This Row],[a1]]),IF(AND(Tab.o1[[#This Row],[a1]]=1,Tab.o1[[#This Row],[b1]]&lt;=AY$4),#REF!,AY603),"")</f>
        <v/>
      </c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</row>
    <row r="605" spans="1:79" ht="15.75" hidden="1">
      <c r="A605" s="109">
        <v>1.0000000000000002E-6</v>
      </c>
      <c r="B605" s="110">
        <f t="shared" si="36"/>
        <v>605</v>
      </c>
      <c r="C605" s="111" t="str">
        <f>IF(C$1=[1]!T.in.A[[#This Row],[oo2]],1,"")</f>
        <v/>
      </c>
      <c r="D605" s="112" t="str">
        <f>IF(Tab.o1[[#This Row],[a1]]=1,IF(SUM(C605:C606)=0,0,IF(SUM(C604:C605)=1,1,IF(SUM(C604:C606)&gt;1,D604+1,0))),"")</f>
        <v/>
      </c>
      <c r="E605" s="113" t="str">
        <f>IF(Tab.o1[[#This Row],[a1]]=1,[1]!T.in.A[[#This Row],[oo1]],"")</f>
        <v/>
      </c>
      <c r="F605" s="113" t="str">
        <f>IF(Tab.o1[[#This Row],[a1]]=1,[1]!T.in.A[[#This Row],[pp1]],"")</f>
        <v/>
      </c>
      <c r="G605" s="114" t="str">
        <f>IF(Tab.o1[[#This Row],[a1]]=1,G$2+IF(G$1=1,0,Tab.o1[[#This Row],[.x1]])+[1]!T.in.A[[#This Row],[oo3]],"")</f>
        <v/>
      </c>
      <c r="H605" s="115" t="str">
        <f>IF(Tab.o1[[#This Row],[a1]]=1,IF(H$2=0,0,IF(G$1=1,0,Tab.o1[[#This Row],[.x1]])+[1]!T.in.A[[#This Row],[oo4]]),"")</f>
        <v/>
      </c>
      <c r="I605" s="116" t="str">
        <f>IF(Tab.o1[[#This Row],[a1]]=1,IF(J$2=0,Tab.o1[[#This Row],[MED]],Tab.o1[[#This Row],[MOD]]),"")</f>
        <v/>
      </c>
      <c r="J605" s="116" t="str">
        <f>IF(Tab.o1[[#This Row],[a1]]=1,((Tab.o1[[#This Row],[DIF_Target.]]-AVERAGE(Tab.o1[DIF_Target.]))/_xlfn.STDEV.P(Tab.o1[DIF_Target.])),"")</f>
        <v/>
      </c>
      <c r="K605" s="117" t="str">
        <f>IF(Tab.o1[[#This Row],[a1]]=1,IF(J$2=0,Tab.o1[[#This Row],[MOD]]-Tab.o1[[#This Row],[B]],IF(J$2=1,0,-Tab.o1[[#This Row],[MED]])+Tab.o1[[#This Row],[B]]),"")</f>
        <v/>
      </c>
      <c r="L605" s="117" t="str">
        <f ca="1">IF(Tab.o1[[#This Row],[DIF_Target]]=0,IF(L$2=0,Tab.o1[[#This Row],[DIF_Target]],AVERAGE(OFFSET(Tab.o1[[#This Row],[DIF_Target]],1,0,L$3,1)))/3,Tab.o1[[#This Row],[DIF_Target]])</f>
        <v/>
      </c>
      <c r="M605" s="118" t="str">
        <f>IF(Tab.o1[[#This Row],[a1]]=1,NORMSDIST(Tab.o1[[#This Row],[Za]]),"")</f>
        <v/>
      </c>
      <c r="N605" s="119" t="str">
        <f>IF(Tab.o1[[#This Row],[a1]]=1,((Tab.o1[[#This Row],[MedMod]]-AVERAGE(Tab.o1[MedMod]))/_xlfn.STDEV.P(Tab.o1[MedMod])*H$1205)+G$1205,"")</f>
        <v/>
      </c>
      <c r="O605" s="141" t="str">
        <f>IF(Tab.o1[[#This Row],[a1]]=1,Tab.o1[[#This Row],[Zb]]*_xlfn.STDEV.P(Tab.o1[MedMod])+AVERAGE(Tab.o1[MedMod]),"")</f>
        <v/>
      </c>
      <c r="P605" s="117" t="str">
        <f ca="1">IF(Tab.o1[[#This Row],[B]]=0,AVERAGE(OFFSET(Tab.o1[[#This Row],[B]],1,0,L$3,1)),Tab.o1[[#This Row],[B]])</f>
        <v/>
      </c>
      <c r="Q605" s="121" t="str">
        <f>IF(Tab.o1[[#This Row],[a1]]=1,NORMSDIST(Tab.o1[[#This Row],[Zb]]),"")</f>
        <v/>
      </c>
      <c r="R605" s="122" t="str">
        <f>IF(Tab.o1[[#This Row],[a1]]=1,((Tab.o1[[#This Row],[MedMod]]-AVERAGE(Tab.o1[MedMod]))/_xlfn.STDEV.P(Tab.o1[MedMod])*H$1203)+G$1203,"")</f>
        <v/>
      </c>
      <c r="S605" s="122" t="str">
        <f>IF(Tab.o1[[#This Row],[a1]]=1,((Tab.o1[[#This Row],[MedMod]]-AVERAGE(Tab.o1[MedMod]))/_xlfn.STDEV.P(Tab.o1[MedMod])*H$1204)+G$1204,"")</f>
        <v/>
      </c>
      <c r="T605" s="123" t="str">
        <f>IF(Tab.o1[[#This Row],[a1]]=1,Tab.o1[[#This Row],[Z-]]*_xlfn.STDEV.P(Tab.o1[B])+AVERAGE(Tab.o1[B]),"")</f>
        <v/>
      </c>
      <c r="U605" s="123" t="str">
        <f>IF(Tab.o1[[#This Row],[a1]]=1,Tab.o1[[#This Row],[z+]]*_xlfn.STDEV.P(Tab.o1[B])+AVERAGE(Tab.o1[B]),"")</f>
        <v/>
      </c>
      <c r="V605" s="124" t="str">
        <f>IF(Tab.o1[[#This Row],[a1]]=1,ABS((ABS(Tab.o1[[#This Row],[Red]]-Tab.o1[[#This Row],[Blue]]))),"")</f>
        <v/>
      </c>
      <c r="W605" s="125" t="str">
        <f>IF(Tab.o1[[#This Row],[a1]]=1,IF(W$3=0,1,Tab.o1[[#This Row],[Amp.]]*1/_xlfn.MINIFS(Tab.o1[Amp.],Tab.o1[Amp.],"&lt;&gt;0")),"")</f>
        <v/>
      </c>
      <c r="X605" s="126" t="str">
        <f>IF(Tab.o1[[#This Row],[a1]]=1,IF(ISNUMBER(Tab.o1[[#This Row],[i.]]),NORMDIST(Tab.o1[[#This Row],[Za]],0,1,FALSE)*Tab.o1[[#This Row],[i.]],AP$3),"")</f>
        <v/>
      </c>
      <c r="Y605" s="126" t="str">
        <f>IF(Tab.o1[[#This Row],[a1]]=1,0.01+0.94*Tab.o1[[#This Row],[PDF]]/MAX(Tab.o1[PDF]),"")</f>
        <v/>
      </c>
      <c r="Z605" s="126" t="str">
        <f>IF(Tab.o1[[#This Row],[a1]]=1,0.01+0.94*Tab.o1[[#This Row],[W1_PDF]]/MAX(Tab.o1[W1_PDF]),"")</f>
        <v/>
      </c>
      <c r="AA605" s="118" t="str">
        <f>IF(Tab.o1[[#This Row],[a1]]=1,ABS([1]!T.in.A[[#This Row],[oo6]]),"")</f>
        <v/>
      </c>
      <c r="AB605" s="127" t="str">
        <f>IF(Tab.o1[[#This Row],[a1]]=1,IF(AE$3=0,"",IF(AB$3=0,ABS([1]!T.in.A[[#This Row],[oo9]]),ABS(Tab.o1[[#This Row],[DIF_Target.]]*Tab.o1[[#This Row],[W1_PDF]]))),"")</f>
        <v/>
      </c>
      <c r="AC605" s="127" t="str">
        <f>IF(G$1=1,"",IF(Tab.o1[[#This Row],[a1]]=1,Tab.o1[[#This Row],[Wr]]^2,""))</f>
        <v/>
      </c>
      <c r="AD605" s="118" t="str">
        <f>IF(Tab.o1[[#This Row],[a1]]=1,IF(AE$3=0,"",Tab.o1[[#This Row],[Wr2]]/SUM(Tab.o1[Wr2])),"")</f>
        <v/>
      </c>
      <c r="AE605" s="128" t="str">
        <f>IF(Tab.o1[[#This Row],[a1]]=1,[1]!T.in.A[[#This Row],[oo10]],"")</f>
        <v/>
      </c>
      <c r="AF605" s="118" t="str">
        <f>IF(Tab.o1[[#This Row],[a1]]=1,ABS(Tab.o1[[#This Row],[DIF_Target.]]*Tab.o1[[#This Row],[PDF2]]*Tab.o1[[#This Row],[IN]]),"")</f>
        <v/>
      </c>
      <c r="AG605" s="129" t="str">
        <f>IF(Tab.o1[[#This Row],[a1]]=1,Tab.o1[[#This Row],[rW]]^2,"")</f>
        <v/>
      </c>
      <c r="AH605" s="130" t="str">
        <f>IF(Tab.o1[[#This Row],[a1]]=1,IF(AH$3=0,Tab.o1[[#This Row],[rW2]],0.01+0.94*Tab.o1[[#This Row],[rW2]]/SUM(Tab.o1[rW2])),"")</f>
        <v/>
      </c>
      <c r="AI605" s="128" t="str">
        <f>IF(Tab.o1[[#This Row],[a1]]=1,1/Tab.o1[[#This Row],[PDF]],"")</f>
        <v/>
      </c>
      <c r="AJ605" s="131" t="str">
        <f>IF(Tab.o1[[#This Row],[a1]]=1,[1]!T_AA[[#This Row],[IN'']]*[1]!T_AA[[#This Row],[Qde'']],"")</f>
        <v/>
      </c>
      <c r="AK605" s="132" t="str">
        <f>IF(Tab.o1[[#This Row],[a1]]=1,IF(AK$1=1,Tab.o1[[#This Row],[MED]]+Tab.o1[[#This Row],[MOD]]-Tab.o1[[#This Row],[MED]],""),"")</f>
        <v/>
      </c>
      <c r="AL605" s="133" t="str">
        <f>IF(Tab.o1[[#This Row],[a1]]=1,[1]!T.in.A[[#This Row],[oo16]],"")</f>
        <v/>
      </c>
      <c r="AM605" s="133" t="str">
        <f>IF(Tab.o1[[#This Row],[a1]]=1,IF(AM$3=1,[1]!T.in.A[[#This Row],[Σo16]],""),"")</f>
        <v/>
      </c>
      <c r="AN605" s="126" t="str">
        <f>IF(Tab.o1[[#This Row],[a1]]=1,[1]!T.in.A[[#This Row],[Σp5]],"")</f>
        <v/>
      </c>
      <c r="AO605" s="126" t="str">
        <f>IF(Tab.o1[[#This Row],[a1]]=1,IF(AO$3=1,[1]!T.in.A[[#This Row],[Σp5]],""),"")</f>
        <v/>
      </c>
      <c r="AP605" s="110" t="str">
        <f>IF(Tab.o1[[#This Row],[a1]]=1,IF(ISNUMBER(Tab.o1[[#This Row],[i.]]),NORMDIST(Tab.o1[[#This Row],[Za]],0,1,FALSE)*Tab.o1[[#This Row],[i.]],0),"")</f>
        <v/>
      </c>
      <c r="AQ605" s="125" t="str">
        <f>IF(Tab.o1[[#This Row],[a1]]=1,ABS(Tab.o1[[#This Row],[MOD]]-AVERAGE(Tab.o1[MOD])),"")</f>
        <v/>
      </c>
      <c r="AR605" s="134" t="str">
        <f>IF(Tab.o1[[#This Row],[a1]]=1,Tab.o1[[#This Row],[OBS]]/SUM(Tab.o1[OBS]),"")</f>
        <v/>
      </c>
      <c r="AS605" s="135" t="str">
        <f>IF(ISNUMBER(Tab.o1[[#This Row],[a1]]),ROW()-4,"")</f>
        <v/>
      </c>
      <c r="AT605" s="136" t="str">
        <f>Tab.o1[[#This Row],[MOD]]</f>
        <v/>
      </c>
      <c r="AU605" s="137" t="str">
        <f t="shared" si="37"/>
        <v/>
      </c>
      <c r="AV605" s="138" t="str">
        <f t="shared" si="38"/>
        <v/>
      </c>
      <c r="AW605" s="138" t="str">
        <f t="shared" si="39"/>
        <v/>
      </c>
      <c r="AX605" s="139" t="str">
        <f>[1]!T.in.A[[#This Row],[ID_T_manu]]</f>
        <v/>
      </c>
      <c r="AY605" s="140" t="str">
        <f>IF(ISNUMBER(Tab.o1[[#This Row],[a1]]),IF(AND(Tab.o1[[#This Row],[a1]]=1,Tab.o1[[#This Row],[b1]]&lt;=AY$4),#REF!,AY604),"")</f>
        <v/>
      </c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</row>
    <row r="606" spans="1:79" ht="15.75" hidden="1">
      <c r="A606" s="109">
        <v>2.0000000000000003E-6</v>
      </c>
      <c r="B606" s="110">
        <f t="shared" si="36"/>
        <v>606</v>
      </c>
      <c r="C606" s="111" t="str">
        <f>IF(C$1=[1]!T.in.A[[#This Row],[oo2]],1,"")</f>
        <v/>
      </c>
      <c r="D606" s="112" t="str">
        <f>IF(Tab.o1[[#This Row],[a1]]=1,IF(SUM(C606:C607)=0,0,IF(SUM(C605:C606)=1,1,IF(SUM(C605:C607)&gt;1,D605+1,0))),"")</f>
        <v/>
      </c>
      <c r="E606" s="113" t="str">
        <f>IF(Tab.o1[[#This Row],[a1]]=1,[1]!T.in.A[[#This Row],[oo1]],"")</f>
        <v/>
      </c>
      <c r="F606" s="113" t="str">
        <f>IF(Tab.o1[[#This Row],[a1]]=1,[1]!T.in.A[[#This Row],[pp1]],"")</f>
        <v/>
      </c>
      <c r="G606" s="114" t="str">
        <f>IF(Tab.o1[[#This Row],[a1]]=1,G$2+IF(G$1=1,0,Tab.o1[[#This Row],[.x1]])+[1]!T.in.A[[#This Row],[oo3]],"")</f>
        <v/>
      </c>
      <c r="H606" s="115" t="str">
        <f>IF(Tab.o1[[#This Row],[a1]]=1,IF(H$2=0,0,IF(G$1=1,0,Tab.o1[[#This Row],[.x1]])+[1]!T.in.A[[#This Row],[oo4]]),"")</f>
        <v/>
      </c>
      <c r="I606" s="116" t="str">
        <f>IF(Tab.o1[[#This Row],[a1]]=1,IF(J$2=0,Tab.o1[[#This Row],[MED]],Tab.o1[[#This Row],[MOD]]),"")</f>
        <v/>
      </c>
      <c r="J606" s="116" t="str">
        <f>IF(Tab.o1[[#This Row],[a1]]=1,((Tab.o1[[#This Row],[DIF_Target.]]-AVERAGE(Tab.o1[DIF_Target.]))/_xlfn.STDEV.P(Tab.o1[DIF_Target.])),"")</f>
        <v/>
      </c>
      <c r="K606" s="117" t="str">
        <f>IF(Tab.o1[[#This Row],[a1]]=1,IF(J$2=0,Tab.o1[[#This Row],[MOD]]-Tab.o1[[#This Row],[B]],IF(J$2=1,0,-Tab.o1[[#This Row],[MED]])+Tab.o1[[#This Row],[B]]),"")</f>
        <v/>
      </c>
      <c r="L606" s="117" t="str">
        <f ca="1">IF(Tab.o1[[#This Row],[DIF_Target]]=0,IF(L$2=0,Tab.o1[[#This Row],[DIF_Target]],AVERAGE(OFFSET(Tab.o1[[#This Row],[DIF_Target]],1,0,L$3,1)))/3,Tab.o1[[#This Row],[DIF_Target]])</f>
        <v/>
      </c>
      <c r="M606" s="118" t="str">
        <f>IF(Tab.o1[[#This Row],[a1]]=1,NORMSDIST(Tab.o1[[#This Row],[Za]]),"")</f>
        <v/>
      </c>
      <c r="N606" s="119" t="str">
        <f>IF(Tab.o1[[#This Row],[a1]]=1,((Tab.o1[[#This Row],[MedMod]]-AVERAGE(Tab.o1[MedMod]))/_xlfn.STDEV.P(Tab.o1[MedMod])*H$1205)+G$1205,"")</f>
        <v/>
      </c>
      <c r="O606" s="141" t="str">
        <f>IF(Tab.o1[[#This Row],[a1]]=1,Tab.o1[[#This Row],[Zb]]*_xlfn.STDEV.P(Tab.o1[MedMod])+AVERAGE(Tab.o1[MedMod]),"")</f>
        <v/>
      </c>
      <c r="P606" s="117" t="str">
        <f ca="1">IF(Tab.o1[[#This Row],[B]]=0,AVERAGE(OFFSET(Tab.o1[[#This Row],[B]],1,0,L$3,1)),Tab.o1[[#This Row],[B]])</f>
        <v/>
      </c>
      <c r="Q606" s="121" t="str">
        <f>IF(Tab.o1[[#This Row],[a1]]=1,NORMSDIST(Tab.o1[[#This Row],[Zb]]),"")</f>
        <v/>
      </c>
      <c r="R606" s="122" t="str">
        <f>IF(Tab.o1[[#This Row],[a1]]=1,((Tab.o1[[#This Row],[MedMod]]-AVERAGE(Tab.o1[MedMod]))/_xlfn.STDEV.P(Tab.o1[MedMod])*H$1203)+G$1203,"")</f>
        <v/>
      </c>
      <c r="S606" s="122" t="str">
        <f>IF(Tab.o1[[#This Row],[a1]]=1,((Tab.o1[[#This Row],[MedMod]]-AVERAGE(Tab.o1[MedMod]))/_xlfn.STDEV.P(Tab.o1[MedMod])*H$1204)+G$1204,"")</f>
        <v/>
      </c>
      <c r="T606" s="123" t="str">
        <f>IF(Tab.o1[[#This Row],[a1]]=1,Tab.o1[[#This Row],[Z-]]*_xlfn.STDEV.P(Tab.o1[B])+AVERAGE(Tab.o1[B]),"")</f>
        <v/>
      </c>
      <c r="U606" s="123" t="str">
        <f>IF(Tab.o1[[#This Row],[a1]]=1,Tab.o1[[#This Row],[z+]]*_xlfn.STDEV.P(Tab.o1[B])+AVERAGE(Tab.o1[B]),"")</f>
        <v/>
      </c>
      <c r="V606" s="124" t="str">
        <f>IF(Tab.o1[[#This Row],[a1]]=1,ABS((ABS(Tab.o1[[#This Row],[Red]]-Tab.o1[[#This Row],[Blue]]))),"")</f>
        <v/>
      </c>
      <c r="W606" s="125" t="str">
        <f>IF(Tab.o1[[#This Row],[a1]]=1,IF(W$3=0,1,Tab.o1[[#This Row],[Amp.]]*1/_xlfn.MINIFS(Tab.o1[Amp.],Tab.o1[Amp.],"&lt;&gt;0")),"")</f>
        <v/>
      </c>
      <c r="X606" s="126" t="str">
        <f>IF(Tab.o1[[#This Row],[a1]]=1,IF(ISNUMBER(Tab.o1[[#This Row],[i.]]),NORMDIST(Tab.o1[[#This Row],[Za]],0,1,FALSE)*Tab.o1[[#This Row],[i.]],AP$3),"")</f>
        <v/>
      </c>
      <c r="Y606" s="126" t="str">
        <f>IF(Tab.o1[[#This Row],[a1]]=1,0.01+0.94*Tab.o1[[#This Row],[PDF]]/MAX(Tab.o1[PDF]),"")</f>
        <v/>
      </c>
      <c r="Z606" s="126" t="str">
        <f>IF(Tab.o1[[#This Row],[a1]]=1,0.01+0.94*Tab.o1[[#This Row],[W1_PDF]]/MAX(Tab.o1[W1_PDF]),"")</f>
        <v/>
      </c>
      <c r="AA606" s="118" t="str">
        <f>IF(Tab.o1[[#This Row],[a1]]=1,ABS([1]!T.in.A[[#This Row],[oo6]]),"")</f>
        <v/>
      </c>
      <c r="AB606" s="127" t="str">
        <f>IF(Tab.o1[[#This Row],[a1]]=1,IF(AE$3=0,"",IF(AB$3=0,ABS([1]!T.in.A[[#This Row],[oo9]]),ABS(Tab.o1[[#This Row],[DIF_Target.]]*Tab.o1[[#This Row],[W1_PDF]]))),"")</f>
        <v/>
      </c>
      <c r="AC606" s="127" t="str">
        <f>IF(G$1=1,"",IF(Tab.o1[[#This Row],[a1]]=1,Tab.o1[[#This Row],[Wr]]^2,""))</f>
        <v/>
      </c>
      <c r="AD606" s="118" t="str">
        <f>IF(Tab.o1[[#This Row],[a1]]=1,IF(AE$3=0,"",Tab.o1[[#This Row],[Wr2]]/SUM(Tab.o1[Wr2])),"")</f>
        <v/>
      </c>
      <c r="AE606" s="128" t="str">
        <f>IF(Tab.o1[[#This Row],[a1]]=1,[1]!T.in.A[[#This Row],[oo10]],"")</f>
        <v/>
      </c>
      <c r="AF606" s="118" t="str">
        <f>IF(Tab.o1[[#This Row],[a1]]=1,ABS(Tab.o1[[#This Row],[DIF_Target.]]*Tab.o1[[#This Row],[PDF2]]*Tab.o1[[#This Row],[IN]]),"")</f>
        <v/>
      </c>
      <c r="AG606" s="129" t="str">
        <f>IF(Tab.o1[[#This Row],[a1]]=1,Tab.o1[[#This Row],[rW]]^2,"")</f>
        <v/>
      </c>
      <c r="AH606" s="130" t="str">
        <f>IF(Tab.o1[[#This Row],[a1]]=1,IF(AH$3=0,Tab.o1[[#This Row],[rW2]],0.01+0.94*Tab.o1[[#This Row],[rW2]]/SUM(Tab.o1[rW2])),"")</f>
        <v/>
      </c>
      <c r="AI606" s="128" t="str">
        <f>IF(Tab.o1[[#This Row],[a1]]=1,1/Tab.o1[[#This Row],[PDF]],"")</f>
        <v/>
      </c>
      <c r="AJ606" s="131" t="str">
        <f>IF(Tab.o1[[#This Row],[a1]]=1,[1]!T_AA[[#This Row],[IN'']]*[1]!T_AA[[#This Row],[Qde'']],"")</f>
        <v/>
      </c>
      <c r="AK606" s="132" t="str">
        <f>IF(Tab.o1[[#This Row],[a1]]=1,IF(AK$1=1,Tab.o1[[#This Row],[MED]]+Tab.o1[[#This Row],[MOD]]-Tab.o1[[#This Row],[MED]],""),"")</f>
        <v/>
      </c>
      <c r="AL606" s="133" t="str">
        <f>IF(Tab.o1[[#This Row],[a1]]=1,[1]!T.in.A[[#This Row],[oo16]],"")</f>
        <v/>
      </c>
      <c r="AM606" s="133" t="str">
        <f>IF(Tab.o1[[#This Row],[a1]]=1,IF(AM$3=1,[1]!T.in.A[[#This Row],[Σo16]],""),"")</f>
        <v/>
      </c>
      <c r="AN606" s="126" t="str">
        <f>IF(Tab.o1[[#This Row],[a1]]=1,[1]!T.in.A[[#This Row],[Σp5]],"")</f>
        <v/>
      </c>
      <c r="AO606" s="126" t="str">
        <f>IF(Tab.o1[[#This Row],[a1]]=1,IF(AO$3=1,[1]!T.in.A[[#This Row],[Σp5]],""),"")</f>
        <v/>
      </c>
      <c r="AP606" s="110" t="str">
        <f>IF(Tab.o1[[#This Row],[a1]]=1,IF(ISNUMBER(Tab.o1[[#This Row],[i.]]),NORMDIST(Tab.o1[[#This Row],[Za]],0,1,FALSE)*Tab.o1[[#This Row],[i.]],0),"")</f>
        <v/>
      </c>
      <c r="AQ606" s="125" t="str">
        <f>IF(Tab.o1[[#This Row],[a1]]=1,ABS(Tab.o1[[#This Row],[MOD]]-AVERAGE(Tab.o1[MOD])),"")</f>
        <v/>
      </c>
      <c r="AR606" s="134" t="str">
        <f>IF(Tab.o1[[#This Row],[a1]]=1,Tab.o1[[#This Row],[OBS]]/SUM(Tab.o1[OBS]),"")</f>
        <v/>
      </c>
      <c r="AS606" s="135" t="str">
        <f>IF(ISNUMBER(Tab.o1[[#This Row],[a1]]),ROW()-4,"")</f>
        <v/>
      </c>
      <c r="AT606" s="136" t="str">
        <f>Tab.o1[[#This Row],[MOD]]</f>
        <v/>
      </c>
      <c r="AU606" s="137" t="str">
        <f t="shared" si="37"/>
        <v/>
      </c>
      <c r="AV606" s="138" t="str">
        <f t="shared" si="38"/>
        <v/>
      </c>
      <c r="AW606" s="138" t="str">
        <f t="shared" si="39"/>
        <v/>
      </c>
      <c r="AX606" s="139" t="str">
        <f>[1]!T.in.A[[#This Row],[ID_T_manu]]</f>
        <v/>
      </c>
      <c r="AY606" s="140" t="str">
        <f>IF(ISNUMBER(Tab.o1[[#This Row],[a1]]),IF(AND(Tab.o1[[#This Row],[a1]]=1,Tab.o1[[#This Row],[b1]]&lt;=AY$4),#REF!,AY605),"")</f>
        <v/>
      </c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</row>
    <row r="607" spans="1:79" ht="15.75" hidden="1">
      <c r="A607" s="109">
        <v>-5.9999999999999993E-6</v>
      </c>
      <c r="B607" s="110">
        <f t="shared" si="36"/>
        <v>607</v>
      </c>
      <c r="C607" s="111" t="str">
        <f>IF(C$1=[1]!T.in.A[[#This Row],[oo2]],1,"")</f>
        <v/>
      </c>
      <c r="D607" s="112" t="str">
        <f>IF(Tab.o1[[#This Row],[a1]]=1,IF(SUM(C607:C608)=0,0,IF(SUM(C606:C607)=1,1,IF(SUM(C606:C608)&gt;1,D606+1,0))),"")</f>
        <v/>
      </c>
      <c r="E607" s="113" t="str">
        <f>IF(Tab.o1[[#This Row],[a1]]=1,[1]!T.in.A[[#This Row],[oo1]],"")</f>
        <v/>
      </c>
      <c r="F607" s="113" t="str">
        <f>IF(Tab.o1[[#This Row],[a1]]=1,[1]!T.in.A[[#This Row],[pp1]],"")</f>
        <v/>
      </c>
      <c r="G607" s="114" t="str">
        <f>IF(Tab.o1[[#This Row],[a1]]=1,G$2+IF(G$1=1,0,Tab.o1[[#This Row],[.x1]])+[1]!T.in.A[[#This Row],[oo3]],"")</f>
        <v/>
      </c>
      <c r="H607" s="115" t="str">
        <f>IF(Tab.o1[[#This Row],[a1]]=1,IF(H$2=0,0,IF(G$1=1,0,Tab.o1[[#This Row],[.x1]])+[1]!T.in.A[[#This Row],[oo4]]),"")</f>
        <v/>
      </c>
      <c r="I607" s="116" t="str">
        <f>IF(Tab.o1[[#This Row],[a1]]=1,IF(J$2=0,Tab.o1[[#This Row],[MED]],Tab.o1[[#This Row],[MOD]]),"")</f>
        <v/>
      </c>
      <c r="J607" s="116" t="str">
        <f>IF(Tab.o1[[#This Row],[a1]]=1,((Tab.o1[[#This Row],[DIF_Target.]]-AVERAGE(Tab.o1[DIF_Target.]))/_xlfn.STDEV.P(Tab.o1[DIF_Target.])),"")</f>
        <v/>
      </c>
      <c r="K607" s="117" t="str">
        <f>IF(Tab.o1[[#This Row],[a1]]=1,IF(J$2=0,Tab.o1[[#This Row],[MOD]]-Tab.o1[[#This Row],[B]],IF(J$2=1,0,-Tab.o1[[#This Row],[MED]])+Tab.o1[[#This Row],[B]]),"")</f>
        <v/>
      </c>
      <c r="L607" s="117" t="str">
        <f ca="1">IF(Tab.o1[[#This Row],[DIF_Target]]=0,IF(L$2=0,Tab.o1[[#This Row],[DIF_Target]],AVERAGE(OFFSET(Tab.o1[[#This Row],[DIF_Target]],1,0,L$3,1)))/3,Tab.o1[[#This Row],[DIF_Target]])</f>
        <v/>
      </c>
      <c r="M607" s="118" t="str">
        <f>IF(Tab.o1[[#This Row],[a1]]=1,NORMSDIST(Tab.o1[[#This Row],[Za]]),"")</f>
        <v/>
      </c>
      <c r="N607" s="119" t="str">
        <f>IF(Tab.o1[[#This Row],[a1]]=1,((Tab.o1[[#This Row],[MedMod]]-AVERAGE(Tab.o1[MedMod]))/_xlfn.STDEV.P(Tab.o1[MedMod])*H$1205)+G$1205,"")</f>
        <v/>
      </c>
      <c r="O607" s="141" t="str">
        <f>IF(Tab.o1[[#This Row],[a1]]=1,Tab.o1[[#This Row],[Zb]]*_xlfn.STDEV.P(Tab.o1[MedMod])+AVERAGE(Tab.o1[MedMod]),"")</f>
        <v/>
      </c>
      <c r="P607" s="117" t="str">
        <f ca="1">IF(Tab.o1[[#This Row],[B]]=0,AVERAGE(OFFSET(Tab.o1[[#This Row],[B]],1,0,L$3,1)),Tab.o1[[#This Row],[B]])</f>
        <v/>
      </c>
      <c r="Q607" s="121" t="str">
        <f>IF(Tab.o1[[#This Row],[a1]]=1,NORMSDIST(Tab.o1[[#This Row],[Zb]]),"")</f>
        <v/>
      </c>
      <c r="R607" s="122" t="str">
        <f>IF(Tab.o1[[#This Row],[a1]]=1,((Tab.o1[[#This Row],[MedMod]]-AVERAGE(Tab.o1[MedMod]))/_xlfn.STDEV.P(Tab.o1[MedMod])*H$1203)+G$1203,"")</f>
        <v/>
      </c>
      <c r="S607" s="122" t="str">
        <f>IF(Tab.o1[[#This Row],[a1]]=1,((Tab.o1[[#This Row],[MedMod]]-AVERAGE(Tab.o1[MedMod]))/_xlfn.STDEV.P(Tab.o1[MedMod])*H$1204)+G$1204,"")</f>
        <v/>
      </c>
      <c r="T607" s="123" t="str">
        <f>IF(Tab.o1[[#This Row],[a1]]=1,Tab.o1[[#This Row],[Z-]]*_xlfn.STDEV.P(Tab.o1[B])+AVERAGE(Tab.o1[B]),"")</f>
        <v/>
      </c>
      <c r="U607" s="123" t="str">
        <f>IF(Tab.o1[[#This Row],[a1]]=1,Tab.o1[[#This Row],[z+]]*_xlfn.STDEV.P(Tab.o1[B])+AVERAGE(Tab.o1[B]),"")</f>
        <v/>
      </c>
      <c r="V607" s="124" t="str">
        <f>IF(Tab.o1[[#This Row],[a1]]=1,ABS((ABS(Tab.o1[[#This Row],[Red]]-Tab.o1[[#This Row],[Blue]]))),"")</f>
        <v/>
      </c>
      <c r="W607" s="125" t="str">
        <f>IF(Tab.o1[[#This Row],[a1]]=1,IF(W$3=0,1,Tab.o1[[#This Row],[Amp.]]*1/_xlfn.MINIFS(Tab.o1[Amp.],Tab.o1[Amp.],"&lt;&gt;0")),"")</f>
        <v/>
      </c>
      <c r="X607" s="126" t="str">
        <f>IF(Tab.o1[[#This Row],[a1]]=1,IF(ISNUMBER(Tab.o1[[#This Row],[i.]]),NORMDIST(Tab.o1[[#This Row],[Za]],0,1,FALSE)*Tab.o1[[#This Row],[i.]],AP$3),"")</f>
        <v/>
      </c>
      <c r="Y607" s="126" t="str">
        <f>IF(Tab.o1[[#This Row],[a1]]=1,0.01+0.94*Tab.o1[[#This Row],[PDF]]/MAX(Tab.o1[PDF]),"")</f>
        <v/>
      </c>
      <c r="Z607" s="126" t="str">
        <f>IF(Tab.o1[[#This Row],[a1]]=1,0.01+0.94*Tab.o1[[#This Row],[W1_PDF]]/MAX(Tab.o1[W1_PDF]),"")</f>
        <v/>
      </c>
      <c r="AA607" s="118" t="str">
        <f>IF(Tab.o1[[#This Row],[a1]]=1,ABS([1]!T.in.A[[#This Row],[oo6]]),"")</f>
        <v/>
      </c>
      <c r="AB607" s="127" t="str">
        <f>IF(Tab.o1[[#This Row],[a1]]=1,IF(AE$3=0,"",IF(AB$3=0,ABS([1]!T.in.A[[#This Row],[oo9]]),ABS(Tab.o1[[#This Row],[DIF_Target.]]*Tab.o1[[#This Row],[W1_PDF]]))),"")</f>
        <v/>
      </c>
      <c r="AC607" s="127" t="str">
        <f>IF(G$1=1,"",IF(Tab.o1[[#This Row],[a1]]=1,Tab.o1[[#This Row],[Wr]]^2,""))</f>
        <v/>
      </c>
      <c r="AD607" s="118" t="str">
        <f>IF(Tab.o1[[#This Row],[a1]]=1,IF(AE$3=0,"",Tab.o1[[#This Row],[Wr2]]/SUM(Tab.o1[Wr2])),"")</f>
        <v/>
      </c>
      <c r="AE607" s="128" t="str">
        <f>IF(Tab.o1[[#This Row],[a1]]=1,[1]!T.in.A[[#This Row],[oo10]],"")</f>
        <v/>
      </c>
      <c r="AF607" s="118" t="str">
        <f>IF(Tab.o1[[#This Row],[a1]]=1,ABS(Tab.o1[[#This Row],[DIF_Target.]]*Tab.o1[[#This Row],[PDF2]]*Tab.o1[[#This Row],[IN]]),"")</f>
        <v/>
      </c>
      <c r="AG607" s="129" t="str">
        <f>IF(Tab.o1[[#This Row],[a1]]=1,Tab.o1[[#This Row],[rW]]^2,"")</f>
        <v/>
      </c>
      <c r="AH607" s="130" t="str">
        <f>IF(Tab.o1[[#This Row],[a1]]=1,IF(AH$3=0,Tab.o1[[#This Row],[rW2]],0.01+0.94*Tab.o1[[#This Row],[rW2]]/SUM(Tab.o1[rW2])),"")</f>
        <v/>
      </c>
      <c r="AI607" s="128" t="str">
        <f>IF(Tab.o1[[#This Row],[a1]]=1,1/Tab.o1[[#This Row],[PDF]],"")</f>
        <v/>
      </c>
      <c r="AJ607" s="131" t="str">
        <f>IF(Tab.o1[[#This Row],[a1]]=1,[1]!T_AA[[#This Row],[IN'']]*[1]!T_AA[[#This Row],[Qde'']],"")</f>
        <v/>
      </c>
      <c r="AK607" s="132" t="str">
        <f>IF(Tab.o1[[#This Row],[a1]]=1,IF(AK$1=1,Tab.o1[[#This Row],[MED]]+Tab.o1[[#This Row],[MOD]]-Tab.o1[[#This Row],[MED]],""),"")</f>
        <v/>
      </c>
      <c r="AL607" s="133" t="str">
        <f>IF(Tab.o1[[#This Row],[a1]]=1,[1]!T.in.A[[#This Row],[oo16]],"")</f>
        <v/>
      </c>
      <c r="AM607" s="133" t="str">
        <f>IF(Tab.o1[[#This Row],[a1]]=1,IF(AM$3=1,[1]!T.in.A[[#This Row],[Σo16]],""),"")</f>
        <v/>
      </c>
      <c r="AN607" s="126" t="str">
        <f>IF(Tab.o1[[#This Row],[a1]]=1,[1]!T.in.A[[#This Row],[Σp5]],"")</f>
        <v/>
      </c>
      <c r="AO607" s="126" t="str">
        <f>IF(Tab.o1[[#This Row],[a1]]=1,IF(AO$3=1,[1]!T.in.A[[#This Row],[Σp5]],""),"")</f>
        <v/>
      </c>
      <c r="AP607" s="110" t="str">
        <f>IF(Tab.o1[[#This Row],[a1]]=1,IF(ISNUMBER(Tab.o1[[#This Row],[i.]]),NORMDIST(Tab.o1[[#This Row],[Za]],0,1,FALSE)*Tab.o1[[#This Row],[i.]],0),"")</f>
        <v/>
      </c>
      <c r="AQ607" s="125" t="str">
        <f>IF(Tab.o1[[#This Row],[a1]]=1,ABS(Tab.o1[[#This Row],[MOD]]-AVERAGE(Tab.o1[MOD])),"")</f>
        <v/>
      </c>
      <c r="AR607" s="134" t="str">
        <f>IF(Tab.o1[[#This Row],[a1]]=1,Tab.o1[[#This Row],[OBS]]/SUM(Tab.o1[OBS]),"")</f>
        <v/>
      </c>
      <c r="AS607" s="135" t="str">
        <f>IF(ISNUMBER(Tab.o1[[#This Row],[a1]]),ROW()-4,"")</f>
        <v/>
      </c>
      <c r="AT607" s="136" t="str">
        <f>Tab.o1[[#This Row],[MOD]]</f>
        <v/>
      </c>
      <c r="AU607" s="137" t="str">
        <f t="shared" si="37"/>
        <v/>
      </c>
      <c r="AV607" s="138" t="str">
        <f t="shared" si="38"/>
        <v/>
      </c>
      <c r="AW607" s="138" t="str">
        <f t="shared" si="39"/>
        <v/>
      </c>
      <c r="AX607" s="139" t="str">
        <f>[1]!T.in.A[[#This Row],[ID_T_manu]]</f>
        <v/>
      </c>
      <c r="AY607" s="140" t="str">
        <f>IF(ISNUMBER(Tab.o1[[#This Row],[a1]]),IF(AND(Tab.o1[[#This Row],[a1]]=1,Tab.o1[[#This Row],[b1]]&lt;=AY$4),#REF!,AY606),"")</f>
        <v/>
      </c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</row>
    <row r="608" spans="1:79" ht="15.75" hidden="1">
      <c r="A608" s="109">
        <v>9.0000000000000002E-6</v>
      </c>
      <c r="B608" s="110">
        <f t="shared" si="36"/>
        <v>608</v>
      </c>
      <c r="C608" s="111" t="str">
        <f>IF(C$1=[1]!T.in.A[[#This Row],[oo2]],1,"")</f>
        <v/>
      </c>
      <c r="D608" s="112" t="str">
        <f>IF(Tab.o1[[#This Row],[a1]]=1,IF(SUM(C608:C609)=0,0,IF(SUM(C607:C608)=1,1,IF(SUM(C607:C609)&gt;1,D607+1,0))),"")</f>
        <v/>
      </c>
      <c r="E608" s="113" t="str">
        <f>IF(Tab.o1[[#This Row],[a1]]=1,[1]!T.in.A[[#This Row],[oo1]],"")</f>
        <v/>
      </c>
      <c r="F608" s="113" t="str">
        <f>IF(Tab.o1[[#This Row],[a1]]=1,[1]!T.in.A[[#This Row],[pp1]],"")</f>
        <v/>
      </c>
      <c r="G608" s="114" t="str">
        <f>IF(Tab.o1[[#This Row],[a1]]=1,G$2+IF(G$1=1,0,Tab.o1[[#This Row],[.x1]])+[1]!T.in.A[[#This Row],[oo3]],"")</f>
        <v/>
      </c>
      <c r="H608" s="115" t="str">
        <f>IF(Tab.o1[[#This Row],[a1]]=1,IF(H$2=0,0,IF(G$1=1,0,Tab.o1[[#This Row],[.x1]])+[1]!T.in.A[[#This Row],[oo4]]),"")</f>
        <v/>
      </c>
      <c r="I608" s="116" t="str">
        <f>IF(Tab.o1[[#This Row],[a1]]=1,IF(J$2=0,Tab.o1[[#This Row],[MED]],Tab.o1[[#This Row],[MOD]]),"")</f>
        <v/>
      </c>
      <c r="J608" s="116" t="str">
        <f>IF(Tab.o1[[#This Row],[a1]]=1,((Tab.o1[[#This Row],[DIF_Target.]]-AVERAGE(Tab.o1[DIF_Target.]))/_xlfn.STDEV.P(Tab.o1[DIF_Target.])),"")</f>
        <v/>
      </c>
      <c r="K608" s="117" t="str">
        <f>IF(Tab.o1[[#This Row],[a1]]=1,IF(J$2=0,Tab.o1[[#This Row],[MOD]]-Tab.o1[[#This Row],[B]],IF(J$2=1,0,-Tab.o1[[#This Row],[MED]])+Tab.o1[[#This Row],[B]]),"")</f>
        <v/>
      </c>
      <c r="L608" s="117" t="str">
        <f ca="1">IF(Tab.o1[[#This Row],[DIF_Target]]=0,IF(L$2=0,Tab.o1[[#This Row],[DIF_Target]],AVERAGE(OFFSET(Tab.o1[[#This Row],[DIF_Target]],1,0,L$3,1)))/3,Tab.o1[[#This Row],[DIF_Target]])</f>
        <v/>
      </c>
      <c r="M608" s="118" t="str">
        <f>IF(Tab.o1[[#This Row],[a1]]=1,NORMSDIST(Tab.o1[[#This Row],[Za]]),"")</f>
        <v/>
      </c>
      <c r="N608" s="119" t="str">
        <f>IF(Tab.o1[[#This Row],[a1]]=1,((Tab.o1[[#This Row],[MedMod]]-AVERAGE(Tab.o1[MedMod]))/_xlfn.STDEV.P(Tab.o1[MedMod])*H$1205)+G$1205,"")</f>
        <v/>
      </c>
      <c r="O608" s="141" t="str">
        <f>IF(Tab.o1[[#This Row],[a1]]=1,Tab.o1[[#This Row],[Zb]]*_xlfn.STDEV.P(Tab.o1[MedMod])+AVERAGE(Tab.o1[MedMod]),"")</f>
        <v/>
      </c>
      <c r="P608" s="117" t="str">
        <f ca="1">IF(Tab.o1[[#This Row],[B]]=0,AVERAGE(OFFSET(Tab.o1[[#This Row],[B]],1,0,L$3,1)),Tab.o1[[#This Row],[B]])</f>
        <v/>
      </c>
      <c r="Q608" s="121" t="str">
        <f>IF(Tab.o1[[#This Row],[a1]]=1,NORMSDIST(Tab.o1[[#This Row],[Zb]]),"")</f>
        <v/>
      </c>
      <c r="R608" s="122" t="str">
        <f>IF(Tab.o1[[#This Row],[a1]]=1,((Tab.o1[[#This Row],[MedMod]]-AVERAGE(Tab.o1[MedMod]))/_xlfn.STDEV.P(Tab.o1[MedMod])*H$1203)+G$1203,"")</f>
        <v/>
      </c>
      <c r="S608" s="122" t="str">
        <f>IF(Tab.o1[[#This Row],[a1]]=1,((Tab.o1[[#This Row],[MedMod]]-AVERAGE(Tab.o1[MedMod]))/_xlfn.STDEV.P(Tab.o1[MedMod])*H$1204)+G$1204,"")</f>
        <v/>
      </c>
      <c r="T608" s="123" t="str">
        <f>IF(Tab.o1[[#This Row],[a1]]=1,Tab.o1[[#This Row],[Z-]]*_xlfn.STDEV.P(Tab.o1[B])+AVERAGE(Tab.o1[B]),"")</f>
        <v/>
      </c>
      <c r="U608" s="123" t="str">
        <f>IF(Tab.o1[[#This Row],[a1]]=1,Tab.o1[[#This Row],[z+]]*_xlfn.STDEV.P(Tab.o1[B])+AVERAGE(Tab.o1[B]),"")</f>
        <v/>
      </c>
      <c r="V608" s="124" t="str">
        <f>IF(Tab.o1[[#This Row],[a1]]=1,ABS((ABS(Tab.o1[[#This Row],[Red]]-Tab.o1[[#This Row],[Blue]]))),"")</f>
        <v/>
      </c>
      <c r="W608" s="125" t="str">
        <f>IF(Tab.o1[[#This Row],[a1]]=1,IF(W$3=0,1,Tab.o1[[#This Row],[Amp.]]*1/_xlfn.MINIFS(Tab.o1[Amp.],Tab.o1[Amp.],"&lt;&gt;0")),"")</f>
        <v/>
      </c>
      <c r="X608" s="126" t="str">
        <f>IF(Tab.o1[[#This Row],[a1]]=1,IF(ISNUMBER(Tab.o1[[#This Row],[i.]]),NORMDIST(Tab.o1[[#This Row],[Za]],0,1,FALSE)*Tab.o1[[#This Row],[i.]],AP$3),"")</f>
        <v/>
      </c>
      <c r="Y608" s="126" t="str">
        <f>IF(Tab.o1[[#This Row],[a1]]=1,0.01+0.94*Tab.o1[[#This Row],[PDF]]/MAX(Tab.o1[PDF]),"")</f>
        <v/>
      </c>
      <c r="Z608" s="126" t="str">
        <f>IF(Tab.o1[[#This Row],[a1]]=1,0.01+0.94*Tab.o1[[#This Row],[W1_PDF]]/MAX(Tab.o1[W1_PDF]),"")</f>
        <v/>
      </c>
      <c r="AA608" s="118" t="str">
        <f>IF(Tab.o1[[#This Row],[a1]]=1,ABS([1]!T.in.A[[#This Row],[oo6]]),"")</f>
        <v/>
      </c>
      <c r="AB608" s="127" t="str">
        <f>IF(Tab.o1[[#This Row],[a1]]=1,IF(AE$3=0,"",IF(AB$3=0,ABS([1]!T.in.A[[#This Row],[oo9]]),ABS(Tab.o1[[#This Row],[DIF_Target.]]*Tab.o1[[#This Row],[W1_PDF]]))),"")</f>
        <v/>
      </c>
      <c r="AC608" s="127" t="str">
        <f>IF(G$1=1,"",IF(Tab.o1[[#This Row],[a1]]=1,Tab.o1[[#This Row],[Wr]]^2,""))</f>
        <v/>
      </c>
      <c r="AD608" s="118" t="str">
        <f>IF(Tab.o1[[#This Row],[a1]]=1,IF(AE$3=0,"",Tab.o1[[#This Row],[Wr2]]/SUM(Tab.o1[Wr2])),"")</f>
        <v/>
      </c>
      <c r="AE608" s="128" t="str">
        <f>IF(Tab.o1[[#This Row],[a1]]=1,[1]!T.in.A[[#This Row],[oo10]],"")</f>
        <v/>
      </c>
      <c r="AF608" s="118" t="str">
        <f>IF(Tab.o1[[#This Row],[a1]]=1,ABS(Tab.o1[[#This Row],[DIF_Target.]]*Tab.o1[[#This Row],[PDF2]]*Tab.o1[[#This Row],[IN]]),"")</f>
        <v/>
      </c>
      <c r="AG608" s="129" t="str">
        <f>IF(Tab.o1[[#This Row],[a1]]=1,Tab.o1[[#This Row],[rW]]^2,"")</f>
        <v/>
      </c>
      <c r="AH608" s="130" t="str">
        <f>IF(Tab.o1[[#This Row],[a1]]=1,IF(AH$3=0,Tab.o1[[#This Row],[rW2]],0.01+0.94*Tab.o1[[#This Row],[rW2]]/SUM(Tab.o1[rW2])),"")</f>
        <v/>
      </c>
      <c r="AI608" s="128" t="str">
        <f>IF(Tab.o1[[#This Row],[a1]]=1,1/Tab.o1[[#This Row],[PDF]],"")</f>
        <v/>
      </c>
      <c r="AJ608" s="131" t="str">
        <f>IF(Tab.o1[[#This Row],[a1]]=1,[1]!T_AA[[#This Row],[IN'']]*[1]!T_AA[[#This Row],[Qde'']],"")</f>
        <v/>
      </c>
      <c r="AK608" s="132" t="str">
        <f>IF(Tab.o1[[#This Row],[a1]]=1,IF(AK$1=1,Tab.o1[[#This Row],[MED]]+Tab.o1[[#This Row],[MOD]]-Tab.o1[[#This Row],[MED]],""),"")</f>
        <v/>
      </c>
      <c r="AL608" s="133" t="str">
        <f>IF(Tab.o1[[#This Row],[a1]]=1,[1]!T.in.A[[#This Row],[oo16]],"")</f>
        <v/>
      </c>
      <c r="AM608" s="133" t="str">
        <f>IF(Tab.o1[[#This Row],[a1]]=1,IF(AM$3=1,[1]!T.in.A[[#This Row],[Σo16]],""),"")</f>
        <v/>
      </c>
      <c r="AN608" s="126" t="str">
        <f>IF(Tab.o1[[#This Row],[a1]]=1,[1]!T.in.A[[#This Row],[Σp5]],"")</f>
        <v/>
      </c>
      <c r="AO608" s="126" t="str">
        <f>IF(Tab.o1[[#This Row],[a1]]=1,IF(AO$3=1,[1]!T.in.A[[#This Row],[Σp5]],""),"")</f>
        <v/>
      </c>
      <c r="AP608" s="110" t="str">
        <f>IF(Tab.o1[[#This Row],[a1]]=1,IF(ISNUMBER(Tab.o1[[#This Row],[i.]]),NORMDIST(Tab.o1[[#This Row],[Za]],0,1,FALSE)*Tab.o1[[#This Row],[i.]],0),"")</f>
        <v/>
      </c>
      <c r="AQ608" s="125" t="str">
        <f>IF(Tab.o1[[#This Row],[a1]]=1,ABS(Tab.o1[[#This Row],[MOD]]-AVERAGE(Tab.o1[MOD])),"")</f>
        <v/>
      </c>
      <c r="AR608" s="134" t="str">
        <f>IF(Tab.o1[[#This Row],[a1]]=1,Tab.o1[[#This Row],[OBS]]/SUM(Tab.o1[OBS]),"")</f>
        <v/>
      </c>
      <c r="AS608" s="135" t="str">
        <f>IF(ISNUMBER(Tab.o1[[#This Row],[a1]]),ROW()-4,"")</f>
        <v/>
      </c>
      <c r="AT608" s="136" t="str">
        <f>Tab.o1[[#This Row],[MOD]]</f>
        <v/>
      </c>
      <c r="AU608" s="137" t="str">
        <f t="shared" si="37"/>
        <v/>
      </c>
      <c r="AV608" s="138" t="str">
        <f t="shared" si="38"/>
        <v/>
      </c>
      <c r="AW608" s="138" t="str">
        <f t="shared" si="39"/>
        <v/>
      </c>
      <c r="AX608" s="139" t="str">
        <f>[1]!T.in.A[[#This Row],[ID_T_manu]]</f>
        <v/>
      </c>
      <c r="AY608" s="140" t="str">
        <f>IF(ISNUMBER(Tab.o1[[#This Row],[a1]]),IF(AND(Tab.o1[[#This Row],[a1]]=1,Tab.o1[[#This Row],[b1]]&lt;=AY$4),#REF!,AY607),"")</f>
        <v/>
      </c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</row>
    <row r="609" spans="1:79" ht="15.75" hidden="1">
      <c r="A609" s="109">
        <v>8.0000000000000013E-6</v>
      </c>
      <c r="B609" s="110">
        <f t="shared" si="36"/>
        <v>609</v>
      </c>
      <c r="C609" s="111" t="str">
        <f>IF(C$1=[1]!T.in.A[[#This Row],[oo2]],1,"")</f>
        <v/>
      </c>
      <c r="D609" s="112" t="str">
        <f>IF(Tab.o1[[#This Row],[a1]]=1,IF(SUM(C609:C610)=0,0,IF(SUM(C608:C609)=1,1,IF(SUM(C608:C610)&gt;1,D608+1,0))),"")</f>
        <v/>
      </c>
      <c r="E609" s="113" t="str">
        <f>IF(Tab.o1[[#This Row],[a1]]=1,[1]!T.in.A[[#This Row],[oo1]],"")</f>
        <v/>
      </c>
      <c r="F609" s="113" t="str">
        <f>IF(Tab.o1[[#This Row],[a1]]=1,[1]!T.in.A[[#This Row],[pp1]],"")</f>
        <v/>
      </c>
      <c r="G609" s="114" t="str">
        <f>IF(Tab.o1[[#This Row],[a1]]=1,G$2+IF(G$1=1,0,Tab.o1[[#This Row],[.x1]])+[1]!T.in.A[[#This Row],[oo3]],"")</f>
        <v/>
      </c>
      <c r="H609" s="115" t="str">
        <f>IF(Tab.o1[[#This Row],[a1]]=1,IF(H$2=0,0,IF(G$1=1,0,Tab.o1[[#This Row],[.x1]])+[1]!T.in.A[[#This Row],[oo4]]),"")</f>
        <v/>
      </c>
      <c r="I609" s="116" t="str">
        <f>IF(Tab.o1[[#This Row],[a1]]=1,IF(J$2=0,Tab.o1[[#This Row],[MED]],Tab.o1[[#This Row],[MOD]]),"")</f>
        <v/>
      </c>
      <c r="J609" s="116" t="str">
        <f>IF(Tab.o1[[#This Row],[a1]]=1,((Tab.o1[[#This Row],[DIF_Target.]]-AVERAGE(Tab.o1[DIF_Target.]))/_xlfn.STDEV.P(Tab.o1[DIF_Target.])),"")</f>
        <v/>
      </c>
      <c r="K609" s="117" t="str">
        <f>IF(Tab.o1[[#This Row],[a1]]=1,IF(J$2=0,Tab.o1[[#This Row],[MOD]]-Tab.o1[[#This Row],[B]],IF(J$2=1,0,-Tab.o1[[#This Row],[MED]])+Tab.o1[[#This Row],[B]]),"")</f>
        <v/>
      </c>
      <c r="L609" s="117" t="str">
        <f ca="1">IF(Tab.o1[[#This Row],[DIF_Target]]=0,IF(L$2=0,Tab.o1[[#This Row],[DIF_Target]],AVERAGE(OFFSET(Tab.o1[[#This Row],[DIF_Target]],1,0,L$3,1)))/3,Tab.o1[[#This Row],[DIF_Target]])</f>
        <v/>
      </c>
      <c r="M609" s="118" t="str">
        <f>IF(Tab.o1[[#This Row],[a1]]=1,NORMSDIST(Tab.o1[[#This Row],[Za]]),"")</f>
        <v/>
      </c>
      <c r="N609" s="119" t="str">
        <f>IF(Tab.o1[[#This Row],[a1]]=1,((Tab.o1[[#This Row],[MedMod]]-AVERAGE(Tab.o1[MedMod]))/_xlfn.STDEV.P(Tab.o1[MedMod])*H$1205)+G$1205,"")</f>
        <v/>
      </c>
      <c r="O609" s="141" t="str">
        <f>IF(Tab.o1[[#This Row],[a1]]=1,Tab.o1[[#This Row],[Zb]]*_xlfn.STDEV.P(Tab.o1[MedMod])+AVERAGE(Tab.o1[MedMod]),"")</f>
        <v/>
      </c>
      <c r="P609" s="117" t="str">
        <f ca="1">IF(Tab.o1[[#This Row],[B]]=0,AVERAGE(OFFSET(Tab.o1[[#This Row],[B]],1,0,L$3,1)),Tab.o1[[#This Row],[B]])</f>
        <v/>
      </c>
      <c r="Q609" s="121" t="str">
        <f>IF(Tab.o1[[#This Row],[a1]]=1,NORMSDIST(Tab.o1[[#This Row],[Zb]]),"")</f>
        <v/>
      </c>
      <c r="R609" s="122" t="str">
        <f>IF(Tab.o1[[#This Row],[a1]]=1,((Tab.o1[[#This Row],[MedMod]]-AVERAGE(Tab.o1[MedMod]))/_xlfn.STDEV.P(Tab.o1[MedMod])*H$1203)+G$1203,"")</f>
        <v/>
      </c>
      <c r="S609" s="122" t="str">
        <f>IF(Tab.o1[[#This Row],[a1]]=1,((Tab.o1[[#This Row],[MedMod]]-AVERAGE(Tab.o1[MedMod]))/_xlfn.STDEV.P(Tab.o1[MedMod])*H$1204)+G$1204,"")</f>
        <v/>
      </c>
      <c r="T609" s="123" t="str">
        <f>IF(Tab.o1[[#This Row],[a1]]=1,Tab.o1[[#This Row],[Z-]]*_xlfn.STDEV.P(Tab.o1[B])+AVERAGE(Tab.o1[B]),"")</f>
        <v/>
      </c>
      <c r="U609" s="123" t="str">
        <f>IF(Tab.o1[[#This Row],[a1]]=1,Tab.o1[[#This Row],[z+]]*_xlfn.STDEV.P(Tab.o1[B])+AVERAGE(Tab.o1[B]),"")</f>
        <v/>
      </c>
      <c r="V609" s="124" t="str">
        <f>IF(Tab.o1[[#This Row],[a1]]=1,ABS((ABS(Tab.o1[[#This Row],[Red]]-Tab.o1[[#This Row],[Blue]]))),"")</f>
        <v/>
      </c>
      <c r="W609" s="125" t="str">
        <f>IF(Tab.o1[[#This Row],[a1]]=1,IF(W$3=0,1,Tab.o1[[#This Row],[Amp.]]*1/_xlfn.MINIFS(Tab.o1[Amp.],Tab.o1[Amp.],"&lt;&gt;0")),"")</f>
        <v/>
      </c>
      <c r="X609" s="126" t="str">
        <f>IF(Tab.o1[[#This Row],[a1]]=1,IF(ISNUMBER(Tab.o1[[#This Row],[i.]]),NORMDIST(Tab.o1[[#This Row],[Za]],0,1,FALSE)*Tab.o1[[#This Row],[i.]],AP$3),"")</f>
        <v/>
      </c>
      <c r="Y609" s="126" t="str">
        <f>IF(Tab.o1[[#This Row],[a1]]=1,0.01+0.94*Tab.o1[[#This Row],[PDF]]/MAX(Tab.o1[PDF]),"")</f>
        <v/>
      </c>
      <c r="Z609" s="126" t="str">
        <f>IF(Tab.o1[[#This Row],[a1]]=1,0.01+0.94*Tab.o1[[#This Row],[W1_PDF]]/MAX(Tab.o1[W1_PDF]),"")</f>
        <v/>
      </c>
      <c r="AA609" s="118" t="str">
        <f>IF(Tab.o1[[#This Row],[a1]]=1,ABS([1]!T.in.A[[#This Row],[oo6]]),"")</f>
        <v/>
      </c>
      <c r="AB609" s="127" t="str">
        <f>IF(Tab.o1[[#This Row],[a1]]=1,IF(AE$3=0,"",IF(AB$3=0,ABS([1]!T.in.A[[#This Row],[oo9]]),ABS(Tab.o1[[#This Row],[DIF_Target.]]*Tab.o1[[#This Row],[W1_PDF]]))),"")</f>
        <v/>
      </c>
      <c r="AC609" s="127" t="str">
        <f>IF(G$1=1,"",IF(Tab.o1[[#This Row],[a1]]=1,Tab.o1[[#This Row],[Wr]]^2,""))</f>
        <v/>
      </c>
      <c r="AD609" s="118" t="str">
        <f>IF(Tab.o1[[#This Row],[a1]]=1,IF(AE$3=0,"",Tab.o1[[#This Row],[Wr2]]/SUM(Tab.o1[Wr2])),"")</f>
        <v/>
      </c>
      <c r="AE609" s="128" t="str">
        <f>IF(Tab.o1[[#This Row],[a1]]=1,[1]!T.in.A[[#This Row],[oo10]],"")</f>
        <v/>
      </c>
      <c r="AF609" s="118" t="str">
        <f>IF(Tab.o1[[#This Row],[a1]]=1,ABS(Tab.o1[[#This Row],[DIF_Target.]]*Tab.o1[[#This Row],[PDF2]]*Tab.o1[[#This Row],[IN]]),"")</f>
        <v/>
      </c>
      <c r="AG609" s="129" t="str">
        <f>IF(Tab.o1[[#This Row],[a1]]=1,Tab.o1[[#This Row],[rW]]^2,"")</f>
        <v/>
      </c>
      <c r="AH609" s="130" t="str">
        <f>IF(Tab.o1[[#This Row],[a1]]=1,IF(AH$3=0,Tab.o1[[#This Row],[rW2]],0.01+0.94*Tab.o1[[#This Row],[rW2]]/SUM(Tab.o1[rW2])),"")</f>
        <v/>
      </c>
      <c r="AI609" s="128" t="str">
        <f>IF(Tab.o1[[#This Row],[a1]]=1,1/Tab.o1[[#This Row],[PDF]],"")</f>
        <v/>
      </c>
      <c r="AJ609" s="131" t="str">
        <f>IF(Tab.o1[[#This Row],[a1]]=1,[1]!T_AA[[#This Row],[IN'']]*[1]!T_AA[[#This Row],[Qde'']],"")</f>
        <v/>
      </c>
      <c r="AK609" s="132" t="str">
        <f>IF(Tab.o1[[#This Row],[a1]]=1,IF(AK$1=1,Tab.o1[[#This Row],[MED]]+Tab.o1[[#This Row],[MOD]]-Tab.o1[[#This Row],[MED]],""),"")</f>
        <v/>
      </c>
      <c r="AL609" s="133" t="str">
        <f>IF(Tab.o1[[#This Row],[a1]]=1,[1]!T.in.A[[#This Row],[oo16]],"")</f>
        <v/>
      </c>
      <c r="AM609" s="133" t="str">
        <f>IF(Tab.o1[[#This Row],[a1]]=1,IF(AM$3=1,[1]!T.in.A[[#This Row],[Σo16]],""),"")</f>
        <v/>
      </c>
      <c r="AN609" s="126" t="str">
        <f>IF(Tab.o1[[#This Row],[a1]]=1,[1]!T.in.A[[#This Row],[Σp5]],"")</f>
        <v/>
      </c>
      <c r="AO609" s="126" t="str">
        <f>IF(Tab.o1[[#This Row],[a1]]=1,IF(AO$3=1,[1]!T.in.A[[#This Row],[Σp5]],""),"")</f>
        <v/>
      </c>
      <c r="AP609" s="110" t="str">
        <f>IF(Tab.o1[[#This Row],[a1]]=1,IF(ISNUMBER(Tab.o1[[#This Row],[i.]]),NORMDIST(Tab.o1[[#This Row],[Za]],0,1,FALSE)*Tab.o1[[#This Row],[i.]],0),"")</f>
        <v/>
      </c>
      <c r="AQ609" s="125" t="str">
        <f>IF(Tab.o1[[#This Row],[a1]]=1,ABS(Tab.o1[[#This Row],[MOD]]-AVERAGE(Tab.o1[MOD])),"")</f>
        <v/>
      </c>
      <c r="AR609" s="134" t="str">
        <f>IF(Tab.o1[[#This Row],[a1]]=1,Tab.o1[[#This Row],[OBS]]/SUM(Tab.o1[OBS]),"")</f>
        <v/>
      </c>
      <c r="AS609" s="135" t="str">
        <f>IF(ISNUMBER(Tab.o1[[#This Row],[a1]]),ROW()-4,"")</f>
        <v/>
      </c>
      <c r="AT609" s="136" t="str">
        <f>Tab.o1[[#This Row],[MOD]]</f>
        <v/>
      </c>
      <c r="AU609" s="137" t="str">
        <f t="shared" si="37"/>
        <v/>
      </c>
      <c r="AV609" s="138" t="str">
        <f t="shared" si="38"/>
        <v/>
      </c>
      <c r="AW609" s="138" t="str">
        <f t="shared" si="39"/>
        <v/>
      </c>
      <c r="AX609" s="139" t="str">
        <f>[1]!T.in.A[[#This Row],[ID_T_manu]]</f>
        <v/>
      </c>
      <c r="AY609" s="140" t="str">
        <f>IF(ISNUMBER(Tab.o1[[#This Row],[a1]]),IF(AND(Tab.o1[[#This Row],[a1]]=1,Tab.o1[[#This Row],[b1]]&lt;=AY$4),#REF!,AY608),"")</f>
        <v/>
      </c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</row>
    <row r="610" spans="1:79" ht="15.75" hidden="1">
      <c r="A610" s="109">
        <v>1.0000000000000002E-6</v>
      </c>
      <c r="B610" s="110">
        <f t="shared" si="36"/>
        <v>610</v>
      </c>
      <c r="C610" s="111" t="str">
        <f>IF(C$1=[1]!T.in.A[[#This Row],[oo2]],1,"")</f>
        <v/>
      </c>
      <c r="D610" s="112" t="str">
        <f>IF(Tab.o1[[#This Row],[a1]]=1,IF(SUM(C610:C611)=0,0,IF(SUM(C609:C610)=1,1,IF(SUM(C609:C611)&gt;1,D609+1,0))),"")</f>
        <v/>
      </c>
      <c r="E610" s="113" t="str">
        <f>IF(Tab.o1[[#This Row],[a1]]=1,[1]!T.in.A[[#This Row],[oo1]],"")</f>
        <v/>
      </c>
      <c r="F610" s="113" t="str">
        <f>IF(Tab.o1[[#This Row],[a1]]=1,[1]!T.in.A[[#This Row],[pp1]],"")</f>
        <v/>
      </c>
      <c r="G610" s="114" t="str">
        <f>IF(Tab.o1[[#This Row],[a1]]=1,G$2+IF(G$1=1,0,Tab.o1[[#This Row],[.x1]])+[1]!T.in.A[[#This Row],[oo3]],"")</f>
        <v/>
      </c>
      <c r="H610" s="115" t="str">
        <f>IF(Tab.o1[[#This Row],[a1]]=1,IF(H$2=0,0,IF(G$1=1,0,Tab.o1[[#This Row],[.x1]])+[1]!T.in.A[[#This Row],[oo4]]),"")</f>
        <v/>
      </c>
      <c r="I610" s="116" t="str">
        <f>IF(Tab.o1[[#This Row],[a1]]=1,IF(J$2=0,Tab.o1[[#This Row],[MED]],Tab.o1[[#This Row],[MOD]]),"")</f>
        <v/>
      </c>
      <c r="J610" s="116" t="str">
        <f>IF(Tab.o1[[#This Row],[a1]]=1,((Tab.o1[[#This Row],[DIF_Target.]]-AVERAGE(Tab.o1[DIF_Target.]))/_xlfn.STDEV.P(Tab.o1[DIF_Target.])),"")</f>
        <v/>
      </c>
      <c r="K610" s="117" t="str">
        <f>IF(Tab.o1[[#This Row],[a1]]=1,IF(J$2=0,Tab.o1[[#This Row],[MOD]]-Tab.o1[[#This Row],[B]],IF(J$2=1,0,-Tab.o1[[#This Row],[MED]])+Tab.o1[[#This Row],[B]]),"")</f>
        <v/>
      </c>
      <c r="L610" s="117" t="str">
        <f ca="1">IF(Tab.o1[[#This Row],[DIF_Target]]=0,IF(L$2=0,Tab.o1[[#This Row],[DIF_Target]],AVERAGE(OFFSET(Tab.o1[[#This Row],[DIF_Target]],1,0,L$3,1)))/3,Tab.o1[[#This Row],[DIF_Target]])</f>
        <v/>
      </c>
      <c r="M610" s="118" t="str">
        <f>IF(Tab.o1[[#This Row],[a1]]=1,NORMSDIST(Tab.o1[[#This Row],[Za]]),"")</f>
        <v/>
      </c>
      <c r="N610" s="119" t="str">
        <f>IF(Tab.o1[[#This Row],[a1]]=1,((Tab.o1[[#This Row],[MedMod]]-AVERAGE(Tab.o1[MedMod]))/_xlfn.STDEV.P(Tab.o1[MedMod])*H$1205)+G$1205,"")</f>
        <v/>
      </c>
      <c r="O610" s="141" t="str">
        <f>IF(Tab.o1[[#This Row],[a1]]=1,Tab.o1[[#This Row],[Zb]]*_xlfn.STDEV.P(Tab.o1[MedMod])+AVERAGE(Tab.o1[MedMod]),"")</f>
        <v/>
      </c>
      <c r="P610" s="117" t="str">
        <f ca="1">IF(Tab.o1[[#This Row],[B]]=0,AVERAGE(OFFSET(Tab.o1[[#This Row],[B]],1,0,L$3,1)),Tab.o1[[#This Row],[B]])</f>
        <v/>
      </c>
      <c r="Q610" s="121" t="str">
        <f>IF(Tab.o1[[#This Row],[a1]]=1,NORMSDIST(Tab.o1[[#This Row],[Zb]]),"")</f>
        <v/>
      </c>
      <c r="R610" s="122" t="str">
        <f>IF(Tab.o1[[#This Row],[a1]]=1,((Tab.o1[[#This Row],[MedMod]]-AVERAGE(Tab.o1[MedMod]))/_xlfn.STDEV.P(Tab.o1[MedMod])*H$1203)+G$1203,"")</f>
        <v/>
      </c>
      <c r="S610" s="122" t="str">
        <f>IF(Tab.o1[[#This Row],[a1]]=1,((Tab.o1[[#This Row],[MedMod]]-AVERAGE(Tab.o1[MedMod]))/_xlfn.STDEV.P(Tab.o1[MedMod])*H$1204)+G$1204,"")</f>
        <v/>
      </c>
      <c r="T610" s="123" t="str">
        <f>IF(Tab.o1[[#This Row],[a1]]=1,Tab.o1[[#This Row],[Z-]]*_xlfn.STDEV.P(Tab.o1[B])+AVERAGE(Tab.o1[B]),"")</f>
        <v/>
      </c>
      <c r="U610" s="123" t="str">
        <f>IF(Tab.o1[[#This Row],[a1]]=1,Tab.o1[[#This Row],[z+]]*_xlfn.STDEV.P(Tab.o1[B])+AVERAGE(Tab.o1[B]),"")</f>
        <v/>
      </c>
      <c r="V610" s="124" t="str">
        <f>IF(Tab.o1[[#This Row],[a1]]=1,ABS((ABS(Tab.o1[[#This Row],[Red]]-Tab.o1[[#This Row],[Blue]]))),"")</f>
        <v/>
      </c>
      <c r="W610" s="125" t="str">
        <f>IF(Tab.o1[[#This Row],[a1]]=1,IF(W$3=0,1,Tab.o1[[#This Row],[Amp.]]*1/_xlfn.MINIFS(Tab.o1[Amp.],Tab.o1[Amp.],"&lt;&gt;0")),"")</f>
        <v/>
      </c>
      <c r="X610" s="126" t="str">
        <f>IF(Tab.o1[[#This Row],[a1]]=1,IF(ISNUMBER(Tab.o1[[#This Row],[i.]]),NORMDIST(Tab.o1[[#This Row],[Za]],0,1,FALSE)*Tab.o1[[#This Row],[i.]],AP$3),"")</f>
        <v/>
      </c>
      <c r="Y610" s="126" t="str">
        <f>IF(Tab.o1[[#This Row],[a1]]=1,0.01+0.94*Tab.o1[[#This Row],[PDF]]/MAX(Tab.o1[PDF]),"")</f>
        <v/>
      </c>
      <c r="Z610" s="126" t="str">
        <f>IF(Tab.o1[[#This Row],[a1]]=1,0.01+0.94*Tab.o1[[#This Row],[W1_PDF]]/MAX(Tab.o1[W1_PDF]),"")</f>
        <v/>
      </c>
      <c r="AA610" s="118" t="str">
        <f>IF(Tab.o1[[#This Row],[a1]]=1,ABS([1]!T.in.A[[#This Row],[oo6]]),"")</f>
        <v/>
      </c>
      <c r="AB610" s="127" t="str">
        <f>IF(Tab.o1[[#This Row],[a1]]=1,IF(AE$3=0,"",IF(AB$3=0,ABS([1]!T.in.A[[#This Row],[oo9]]),ABS(Tab.o1[[#This Row],[DIF_Target.]]*Tab.o1[[#This Row],[W1_PDF]]))),"")</f>
        <v/>
      </c>
      <c r="AC610" s="127" t="str">
        <f>IF(G$1=1,"",IF(Tab.o1[[#This Row],[a1]]=1,Tab.o1[[#This Row],[Wr]]^2,""))</f>
        <v/>
      </c>
      <c r="AD610" s="118" t="str">
        <f>IF(Tab.o1[[#This Row],[a1]]=1,IF(AE$3=0,"",Tab.o1[[#This Row],[Wr2]]/SUM(Tab.o1[Wr2])),"")</f>
        <v/>
      </c>
      <c r="AE610" s="128" t="str">
        <f>IF(Tab.o1[[#This Row],[a1]]=1,[1]!T.in.A[[#This Row],[oo10]],"")</f>
        <v/>
      </c>
      <c r="AF610" s="118" t="str">
        <f>IF(Tab.o1[[#This Row],[a1]]=1,ABS(Tab.o1[[#This Row],[DIF_Target.]]*Tab.o1[[#This Row],[PDF2]]*Tab.o1[[#This Row],[IN]]),"")</f>
        <v/>
      </c>
      <c r="AG610" s="129" t="str">
        <f>IF(Tab.o1[[#This Row],[a1]]=1,Tab.o1[[#This Row],[rW]]^2,"")</f>
        <v/>
      </c>
      <c r="AH610" s="130" t="str">
        <f>IF(Tab.o1[[#This Row],[a1]]=1,IF(AH$3=0,Tab.o1[[#This Row],[rW2]],0.01+0.94*Tab.o1[[#This Row],[rW2]]/SUM(Tab.o1[rW2])),"")</f>
        <v/>
      </c>
      <c r="AI610" s="128" t="str">
        <f>IF(Tab.o1[[#This Row],[a1]]=1,1/Tab.o1[[#This Row],[PDF]],"")</f>
        <v/>
      </c>
      <c r="AJ610" s="131" t="str">
        <f>IF(Tab.o1[[#This Row],[a1]]=1,[1]!T_AA[[#This Row],[IN'']]*[1]!T_AA[[#This Row],[Qde'']],"")</f>
        <v/>
      </c>
      <c r="AK610" s="132" t="str">
        <f>IF(Tab.o1[[#This Row],[a1]]=1,IF(AK$1=1,Tab.o1[[#This Row],[MED]]+Tab.o1[[#This Row],[MOD]]-Tab.o1[[#This Row],[MED]],""),"")</f>
        <v/>
      </c>
      <c r="AL610" s="133" t="str">
        <f>IF(Tab.o1[[#This Row],[a1]]=1,[1]!T.in.A[[#This Row],[oo16]],"")</f>
        <v/>
      </c>
      <c r="AM610" s="133" t="str">
        <f>IF(Tab.o1[[#This Row],[a1]]=1,IF(AM$3=1,[1]!T.in.A[[#This Row],[Σo16]],""),"")</f>
        <v/>
      </c>
      <c r="AN610" s="126" t="str">
        <f>IF(Tab.o1[[#This Row],[a1]]=1,[1]!T.in.A[[#This Row],[Σp5]],"")</f>
        <v/>
      </c>
      <c r="AO610" s="126" t="str">
        <f>IF(Tab.o1[[#This Row],[a1]]=1,IF(AO$3=1,[1]!T.in.A[[#This Row],[Σp5]],""),"")</f>
        <v/>
      </c>
      <c r="AP610" s="110" t="str">
        <f>IF(Tab.o1[[#This Row],[a1]]=1,IF(ISNUMBER(Tab.o1[[#This Row],[i.]]),NORMDIST(Tab.o1[[#This Row],[Za]],0,1,FALSE)*Tab.o1[[#This Row],[i.]],0),"")</f>
        <v/>
      </c>
      <c r="AQ610" s="125" t="str">
        <f>IF(Tab.o1[[#This Row],[a1]]=1,ABS(Tab.o1[[#This Row],[MOD]]-AVERAGE(Tab.o1[MOD])),"")</f>
        <v/>
      </c>
      <c r="AR610" s="134" t="str">
        <f>IF(Tab.o1[[#This Row],[a1]]=1,Tab.o1[[#This Row],[OBS]]/SUM(Tab.o1[OBS]),"")</f>
        <v/>
      </c>
      <c r="AS610" s="135" t="str">
        <f>IF(ISNUMBER(Tab.o1[[#This Row],[a1]]),ROW()-4,"")</f>
        <v/>
      </c>
      <c r="AT610" s="136" t="str">
        <f>Tab.o1[[#This Row],[MOD]]</f>
        <v/>
      </c>
      <c r="AU610" s="137" t="str">
        <f t="shared" si="37"/>
        <v/>
      </c>
      <c r="AV610" s="138" t="str">
        <f t="shared" si="38"/>
        <v/>
      </c>
      <c r="AW610" s="138" t="str">
        <f t="shared" si="39"/>
        <v/>
      </c>
      <c r="AX610" s="139" t="str">
        <f>[1]!T.in.A[[#This Row],[ID_T_manu]]</f>
        <v/>
      </c>
      <c r="AY610" s="140" t="str">
        <f>IF(ISNUMBER(Tab.o1[[#This Row],[a1]]),IF(AND(Tab.o1[[#This Row],[a1]]=1,Tab.o1[[#This Row],[b1]]&lt;=AY$4),#REF!,AY609),"")</f>
        <v/>
      </c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</row>
    <row r="611" spans="1:79" ht="15.75" hidden="1">
      <c r="A611" s="109">
        <v>1.0000000000000002E-6</v>
      </c>
      <c r="B611" s="110">
        <f t="shared" si="36"/>
        <v>611</v>
      </c>
      <c r="C611" s="111" t="str">
        <f>IF(C$1=[1]!T.in.A[[#This Row],[oo2]],1,"")</f>
        <v/>
      </c>
      <c r="D611" s="112" t="str">
        <f>IF(Tab.o1[[#This Row],[a1]]=1,IF(SUM(C611:C612)=0,0,IF(SUM(C610:C611)=1,1,IF(SUM(C610:C612)&gt;1,D610+1,0))),"")</f>
        <v/>
      </c>
      <c r="E611" s="113" t="str">
        <f>IF(Tab.o1[[#This Row],[a1]]=1,[1]!T.in.A[[#This Row],[oo1]],"")</f>
        <v/>
      </c>
      <c r="F611" s="113" t="str">
        <f>IF(Tab.o1[[#This Row],[a1]]=1,[1]!T.in.A[[#This Row],[pp1]],"")</f>
        <v/>
      </c>
      <c r="G611" s="114" t="str">
        <f>IF(Tab.o1[[#This Row],[a1]]=1,G$2+IF(G$1=1,0,Tab.o1[[#This Row],[.x1]])+[1]!T.in.A[[#This Row],[oo3]],"")</f>
        <v/>
      </c>
      <c r="H611" s="115" t="str">
        <f>IF(Tab.o1[[#This Row],[a1]]=1,IF(H$2=0,0,IF(G$1=1,0,Tab.o1[[#This Row],[.x1]])+[1]!T.in.A[[#This Row],[oo4]]),"")</f>
        <v/>
      </c>
      <c r="I611" s="116" t="str">
        <f>IF(Tab.o1[[#This Row],[a1]]=1,IF(J$2=0,Tab.o1[[#This Row],[MED]],Tab.o1[[#This Row],[MOD]]),"")</f>
        <v/>
      </c>
      <c r="J611" s="116" t="str">
        <f>IF(Tab.o1[[#This Row],[a1]]=1,((Tab.o1[[#This Row],[DIF_Target.]]-AVERAGE(Tab.o1[DIF_Target.]))/_xlfn.STDEV.P(Tab.o1[DIF_Target.])),"")</f>
        <v/>
      </c>
      <c r="K611" s="117" t="str">
        <f>IF(Tab.o1[[#This Row],[a1]]=1,IF(J$2=0,Tab.o1[[#This Row],[MOD]]-Tab.o1[[#This Row],[B]],IF(J$2=1,0,-Tab.o1[[#This Row],[MED]])+Tab.o1[[#This Row],[B]]),"")</f>
        <v/>
      </c>
      <c r="L611" s="117" t="str">
        <f ca="1">IF(Tab.o1[[#This Row],[DIF_Target]]=0,IF(L$2=0,Tab.o1[[#This Row],[DIF_Target]],AVERAGE(OFFSET(Tab.o1[[#This Row],[DIF_Target]],1,0,L$3,1)))/3,Tab.o1[[#This Row],[DIF_Target]])</f>
        <v/>
      </c>
      <c r="M611" s="118" t="str">
        <f>IF(Tab.o1[[#This Row],[a1]]=1,NORMSDIST(Tab.o1[[#This Row],[Za]]),"")</f>
        <v/>
      </c>
      <c r="N611" s="119" t="str">
        <f>IF(Tab.o1[[#This Row],[a1]]=1,((Tab.o1[[#This Row],[MedMod]]-AVERAGE(Tab.o1[MedMod]))/_xlfn.STDEV.P(Tab.o1[MedMod])*H$1205)+G$1205,"")</f>
        <v/>
      </c>
      <c r="O611" s="141" t="str">
        <f>IF(Tab.o1[[#This Row],[a1]]=1,Tab.o1[[#This Row],[Zb]]*_xlfn.STDEV.P(Tab.o1[MedMod])+AVERAGE(Tab.o1[MedMod]),"")</f>
        <v/>
      </c>
      <c r="P611" s="117" t="str">
        <f ca="1">IF(Tab.o1[[#This Row],[B]]=0,AVERAGE(OFFSET(Tab.o1[[#This Row],[B]],1,0,L$3,1)),Tab.o1[[#This Row],[B]])</f>
        <v/>
      </c>
      <c r="Q611" s="121" t="str">
        <f>IF(Tab.o1[[#This Row],[a1]]=1,NORMSDIST(Tab.o1[[#This Row],[Zb]]),"")</f>
        <v/>
      </c>
      <c r="R611" s="122" t="str">
        <f>IF(Tab.o1[[#This Row],[a1]]=1,((Tab.o1[[#This Row],[MedMod]]-AVERAGE(Tab.o1[MedMod]))/_xlfn.STDEV.P(Tab.o1[MedMod])*H$1203)+G$1203,"")</f>
        <v/>
      </c>
      <c r="S611" s="122" t="str">
        <f>IF(Tab.o1[[#This Row],[a1]]=1,((Tab.o1[[#This Row],[MedMod]]-AVERAGE(Tab.o1[MedMod]))/_xlfn.STDEV.P(Tab.o1[MedMod])*H$1204)+G$1204,"")</f>
        <v/>
      </c>
      <c r="T611" s="123" t="str">
        <f>IF(Tab.o1[[#This Row],[a1]]=1,Tab.o1[[#This Row],[Z-]]*_xlfn.STDEV.P(Tab.o1[B])+AVERAGE(Tab.o1[B]),"")</f>
        <v/>
      </c>
      <c r="U611" s="123" t="str">
        <f>IF(Tab.o1[[#This Row],[a1]]=1,Tab.o1[[#This Row],[z+]]*_xlfn.STDEV.P(Tab.o1[B])+AVERAGE(Tab.o1[B]),"")</f>
        <v/>
      </c>
      <c r="V611" s="124" t="str">
        <f>IF(Tab.o1[[#This Row],[a1]]=1,ABS((ABS(Tab.o1[[#This Row],[Red]]-Tab.o1[[#This Row],[Blue]]))),"")</f>
        <v/>
      </c>
      <c r="W611" s="125" t="str">
        <f>IF(Tab.o1[[#This Row],[a1]]=1,IF(W$3=0,1,Tab.o1[[#This Row],[Amp.]]*1/_xlfn.MINIFS(Tab.o1[Amp.],Tab.o1[Amp.],"&lt;&gt;0")),"")</f>
        <v/>
      </c>
      <c r="X611" s="126" t="str">
        <f>IF(Tab.o1[[#This Row],[a1]]=1,IF(ISNUMBER(Tab.o1[[#This Row],[i.]]),NORMDIST(Tab.o1[[#This Row],[Za]],0,1,FALSE)*Tab.o1[[#This Row],[i.]],AP$3),"")</f>
        <v/>
      </c>
      <c r="Y611" s="126" t="str">
        <f>IF(Tab.o1[[#This Row],[a1]]=1,0.01+0.94*Tab.o1[[#This Row],[PDF]]/MAX(Tab.o1[PDF]),"")</f>
        <v/>
      </c>
      <c r="Z611" s="126" t="str">
        <f>IF(Tab.o1[[#This Row],[a1]]=1,0.01+0.94*Tab.o1[[#This Row],[W1_PDF]]/MAX(Tab.o1[W1_PDF]),"")</f>
        <v/>
      </c>
      <c r="AA611" s="118" t="str">
        <f>IF(Tab.o1[[#This Row],[a1]]=1,ABS([1]!T.in.A[[#This Row],[oo6]]),"")</f>
        <v/>
      </c>
      <c r="AB611" s="127" t="str">
        <f>IF(Tab.o1[[#This Row],[a1]]=1,IF(AE$3=0,"",IF(AB$3=0,ABS([1]!T.in.A[[#This Row],[oo9]]),ABS(Tab.o1[[#This Row],[DIF_Target.]]*Tab.o1[[#This Row],[W1_PDF]]))),"")</f>
        <v/>
      </c>
      <c r="AC611" s="127" t="str">
        <f>IF(G$1=1,"",IF(Tab.o1[[#This Row],[a1]]=1,Tab.o1[[#This Row],[Wr]]^2,""))</f>
        <v/>
      </c>
      <c r="AD611" s="118" t="str">
        <f>IF(Tab.o1[[#This Row],[a1]]=1,IF(AE$3=0,"",Tab.o1[[#This Row],[Wr2]]/SUM(Tab.o1[Wr2])),"")</f>
        <v/>
      </c>
      <c r="AE611" s="128" t="str">
        <f>IF(Tab.o1[[#This Row],[a1]]=1,[1]!T.in.A[[#This Row],[oo10]],"")</f>
        <v/>
      </c>
      <c r="AF611" s="118" t="str">
        <f>IF(Tab.o1[[#This Row],[a1]]=1,ABS(Tab.o1[[#This Row],[DIF_Target.]]*Tab.o1[[#This Row],[PDF2]]*Tab.o1[[#This Row],[IN]]),"")</f>
        <v/>
      </c>
      <c r="AG611" s="129" t="str">
        <f>IF(Tab.o1[[#This Row],[a1]]=1,Tab.o1[[#This Row],[rW]]^2,"")</f>
        <v/>
      </c>
      <c r="AH611" s="130" t="str">
        <f>IF(Tab.o1[[#This Row],[a1]]=1,IF(AH$3=0,Tab.o1[[#This Row],[rW2]],0.01+0.94*Tab.o1[[#This Row],[rW2]]/SUM(Tab.o1[rW2])),"")</f>
        <v/>
      </c>
      <c r="AI611" s="128" t="str">
        <f>IF(Tab.o1[[#This Row],[a1]]=1,1/Tab.o1[[#This Row],[PDF]],"")</f>
        <v/>
      </c>
      <c r="AJ611" s="131" t="str">
        <f>IF(Tab.o1[[#This Row],[a1]]=1,[1]!T_AA[[#This Row],[IN'']]*[1]!T_AA[[#This Row],[Qde'']],"")</f>
        <v/>
      </c>
      <c r="AK611" s="132" t="str">
        <f>IF(Tab.o1[[#This Row],[a1]]=1,IF(AK$1=1,Tab.o1[[#This Row],[MED]]+Tab.o1[[#This Row],[MOD]]-Tab.o1[[#This Row],[MED]],""),"")</f>
        <v/>
      </c>
      <c r="AL611" s="133" t="str">
        <f>IF(Tab.o1[[#This Row],[a1]]=1,[1]!T.in.A[[#This Row],[oo16]],"")</f>
        <v/>
      </c>
      <c r="AM611" s="133" t="str">
        <f>IF(Tab.o1[[#This Row],[a1]]=1,IF(AM$3=1,[1]!T.in.A[[#This Row],[Σo16]],""),"")</f>
        <v/>
      </c>
      <c r="AN611" s="126" t="str">
        <f>IF(Tab.o1[[#This Row],[a1]]=1,[1]!T.in.A[[#This Row],[Σp5]],"")</f>
        <v/>
      </c>
      <c r="AO611" s="126" t="str">
        <f>IF(Tab.o1[[#This Row],[a1]]=1,IF(AO$3=1,[1]!T.in.A[[#This Row],[Σp5]],""),"")</f>
        <v/>
      </c>
      <c r="AP611" s="110" t="str">
        <f>IF(Tab.o1[[#This Row],[a1]]=1,IF(ISNUMBER(Tab.o1[[#This Row],[i.]]),NORMDIST(Tab.o1[[#This Row],[Za]],0,1,FALSE)*Tab.o1[[#This Row],[i.]],0),"")</f>
        <v/>
      </c>
      <c r="AQ611" s="125" t="str">
        <f>IF(Tab.o1[[#This Row],[a1]]=1,ABS(Tab.o1[[#This Row],[MOD]]-AVERAGE(Tab.o1[MOD])),"")</f>
        <v/>
      </c>
      <c r="AR611" s="134" t="str">
        <f>IF(Tab.o1[[#This Row],[a1]]=1,Tab.o1[[#This Row],[OBS]]/SUM(Tab.o1[OBS]),"")</f>
        <v/>
      </c>
      <c r="AS611" s="135" t="str">
        <f>IF(ISNUMBER(Tab.o1[[#This Row],[a1]]),ROW()-4,"")</f>
        <v/>
      </c>
      <c r="AT611" s="136" t="str">
        <f>Tab.o1[[#This Row],[MOD]]</f>
        <v/>
      </c>
      <c r="AU611" s="137" t="str">
        <f t="shared" si="37"/>
        <v/>
      </c>
      <c r="AV611" s="138" t="str">
        <f t="shared" si="38"/>
        <v/>
      </c>
      <c r="AW611" s="138" t="str">
        <f t="shared" si="39"/>
        <v/>
      </c>
      <c r="AX611" s="139" t="str">
        <f>[1]!T.in.A[[#This Row],[ID_T_manu]]</f>
        <v/>
      </c>
      <c r="AY611" s="140" t="str">
        <f>IF(ISNUMBER(Tab.o1[[#This Row],[a1]]),IF(AND(Tab.o1[[#This Row],[a1]]=1,Tab.o1[[#This Row],[b1]]&lt;=AY$4),#REF!,AY610),"")</f>
        <v/>
      </c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</row>
    <row r="612" spans="1:79" ht="15.75" hidden="1">
      <c r="A612" s="109">
        <v>-9.0000000000000002E-6</v>
      </c>
      <c r="B612" s="110">
        <f t="shared" si="36"/>
        <v>612</v>
      </c>
      <c r="C612" s="111" t="str">
        <f>IF(C$1=[1]!T.in.A[[#This Row],[oo2]],1,"")</f>
        <v/>
      </c>
      <c r="D612" s="112" t="str">
        <f>IF(Tab.o1[[#This Row],[a1]]=1,IF(SUM(C612:C613)=0,0,IF(SUM(C611:C612)=1,1,IF(SUM(C611:C613)&gt;1,D611+1,0))),"")</f>
        <v/>
      </c>
      <c r="E612" s="113" t="str">
        <f>IF(Tab.o1[[#This Row],[a1]]=1,[1]!T.in.A[[#This Row],[oo1]],"")</f>
        <v/>
      </c>
      <c r="F612" s="113" t="str">
        <f>IF(Tab.o1[[#This Row],[a1]]=1,[1]!T.in.A[[#This Row],[pp1]],"")</f>
        <v/>
      </c>
      <c r="G612" s="114" t="str">
        <f>IF(Tab.o1[[#This Row],[a1]]=1,G$2+IF(G$1=1,0,Tab.o1[[#This Row],[.x1]])+[1]!T.in.A[[#This Row],[oo3]],"")</f>
        <v/>
      </c>
      <c r="H612" s="115" t="str">
        <f>IF(Tab.o1[[#This Row],[a1]]=1,IF(H$2=0,0,IF(G$1=1,0,Tab.o1[[#This Row],[.x1]])+[1]!T.in.A[[#This Row],[oo4]]),"")</f>
        <v/>
      </c>
      <c r="I612" s="116" t="str">
        <f>IF(Tab.o1[[#This Row],[a1]]=1,IF(J$2=0,Tab.o1[[#This Row],[MED]],Tab.o1[[#This Row],[MOD]]),"")</f>
        <v/>
      </c>
      <c r="J612" s="116" t="str">
        <f>IF(Tab.o1[[#This Row],[a1]]=1,((Tab.o1[[#This Row],[DIF_Target.]]-AVERAGE(Tab.o1[DIF_Target.]))/_xlfn.STDEV.P(Tab.o1[DIF_Target.])),"")</f>
        <v/>
      </c>
      <c r="K612" s="117" t="str">
        <f>IF(Tab.o1[[#This Row],[a1]]=1,IF(J$2=0,Tab.o1[[#This Row],[MOD]]-Tab.o1[[#This Row],[B]],IF(J$2=1,0,-Tab.o1[[#This Row],[MED]])+Tab.o1[[#This Row],[B]]),"")</f>
        <v/>
      </c>
      <c r="L612" s="117" t="str">
        <f ca="1">IF(Tab.o1[[#This Row],[DIF_Target]]=0,IF(L$2=0,Tab.o1[[#This Row],[DIF_Target]],AVERAGE(OFFSET(Tab.o1[[#This Row],[DIF_Target]],1,0,L$3,1)))/3,Tab.o1[[#This Row],[DIF_Target]])</f>
        <v/>
      </c>
      <c r="M612" s="118" t="str">
        <f>IF(Tab.o1[[#This Row],[a1]]=1,NORMSDIST(Tab.o1[[#This Row],[Za]]),"")</f>
        <v/>
      </c>
      <c r="N612" s="119" t="str">
        <f>IF(Tab.o1[[#This Row],[a1]]=1,((Tab.o1[[#This Row],[MedMod]]-AVERAGE(Tab.o1[MedMod]))/_xlfn.STDEV.P(Tab.o1[MedMod])*H$1205)+G$1205,"")</f>
        <v/>
      </c>
      <c r="O612" s="141" t="str">
        <f>IF(Tab.o1[[#This Row],[a1]]=1,Tab.o1[[#This Row],[Zb]]*_xlfn.STDEV.P(Tab.o1[MedMod])+AVERAGE(Tab.o1[MedMod]),"")</f>
        <v/>
      </c>
      <c r="P612" s="117" t="str">
        <f ca="1">IF(Tab.o1[[#This Row],[B]]=0,AVERAGE(OFFSET(Tab.o1[[#This Row],[B]],1,0,L$3,1)),Tab.o1[[#This Row],[B]])</f>
        <v/>
      </c>
      <c r="Q612" s="121" t="str">
        <f>IF(Tab.o1[[#This Row],[a1]]=1,NORMSDIST(Tab.o1[[#This Row],[Zb]]),"")</f>
        <v/>
      </c>
      <c r="R612" s="122" t="str">
        <f>IF(Tab.o1[[#This Row],[a1]]=1,((Tab.o1[[#This Row],[MedMod]]-AVERAGE(Tab.o1[MedMod]))/_xlfn.STDEV.P(Tab.o1[MedMod])*H$1203)+G$1203,"")</f>
        <v/>
      </c>
      <c r="S612" s="122" t="str">
        <f>IF(Tab.o1[[#This Row],[a1]]=1,((Tab.o1[[#This Row],[MedMod]]-AVERAGE(Tab.o1[MedMod]))/_xlfn.STDEV.P(Tab.o1[MedMod])*H$1204)+G$1204,"")</f>
        <v/>
      </c>
      <c r="T612" s="123" t="str">
        <f>IF(Tab.o1[[#This Row],[a1]]=1,Tab.o1[[#This Row],[Z-]]*_xlfn.STDEV.P(Tab.o1[B])+AVERAGE(Tab.o1[B]),"")</f>
        <v/>
      </c>
      <c r="U612" s="123" t="str">
        <f>IF(Tab.o1[[#This Row],[a1]]=1,Tab.o1[[#This Row],[z+]]*_xlfn.STDEV.P(Tab.o1[B])+AVERAGE(Tab.o1[B]),"")</f>
        <v/>
      </c>
      <c r="V612" s="124" t="str">
        <f>IF(Tab.o1[[#This Row],[a1]]=1,ABS((ABS(Tab.o1[[#This Row],[Red]]-Tab.o1[[#This Row],[Blue]]))),"")</f>
        <v/>
      </c>
      <c r="W612" s="125" t="str">
        <f>IF(Tab.o1[[#This Row],[a1]]=1,IF(W$3=0,1,Tab.o1[[#This Row],[Amp.]]*1/_xlfn.MINIFS(Tab.o1[Amp.],Tab.o1[Amp.],"&lt;&gt;0")),"")</f>
        <v/>
      </c>
      <c r="X612" s="126" t="str">
        <f>IF(Tab.o1[[#This Row],[a1]]=1,IF(ISNUMBER(Tab.o1[[#This Row],[i.]]),NORMDIST(Tab.o1[[#This Row],[Za]],0,1,FALSE)*Tab.o1[[#This Row],[i.]],AP$3),"")</f>
        <v/>
      </c>
      <c r="Y612" s="126" t="str">
        <f>IF(Tab.o1[[#This Row],[a1]]=1,0.01+0.94*Tab.o1[[#This Row],[PDF]]/MAX(Tab.o1[PDF]),"")</f>
        <v/>
      </c>
      <c r="Z612" s="126" t="str">
        <f>IF(Tab.o1[[#This Row],[a1]]=1,0.01+0.94*Tab.o1[[#This Row],[W1_PDF]]/MAX(Tab.o1[W1_PDF]),"")</f>
        <v/>
      </c>
      <c r="AA612" s="118" t="str">
        <f>IF(Tab.o1[[#This Row],[a1]]=1,ABS([1]!T.in.A[[#This Row],[oo6]]),"")</f>
        <v/>
      </c>
      <c r="AB612" s="127" t="str">
        <f>IF(Tab.o1[[#This Row],[a1]]=1,IF(AE$3=0,"",IF(AB$3=0,ABS([1]!T.in.A[[#This Row],[oo9]]),ABS(Tab.o1[[#This Row],[DIF_Target.]]*Tab.o1[[#This Row],[W1_PDF]]))),"")</f>
        <v/>
      </c>
      <c r="AC612" s="127" t="str">
        <f>IF(G$1=1,"",IF(Tab.o1[[#This Row],[a1]]=1,Tab.o1[[#This Row],[Wr]]^2,""))</f>
        <v/>
      </c>
      <c r="AD612" s="118" t="str">
        <f>IF(Tab.o1[[#This Row],[a1]]=1,IF(AE$3=0,"",Tab.o1[[#This Row],[Wr2]]/SUM(Tab.o1[Wr2])),"")</f>
        <v/>
      </c>
      <c r="AE612" s="128" t="str">
        <f>IF(Tab.o1[[#This Row],[a1]]=1,[1]!T.in.A[[#This Row],[oo10]],"")</f>
        <v/>
      </c>
      <c r="AF612" s="118" t="str">
        <f>IF(Tab.o1[[#This Row],[a1]]=1,ABS(Tab.o1[[#This Row],[DIF_Target.]]*Tab.o1[[#This Row],[PDF2]]*Tab.o1[[#This Row],[IN]]),"")</f>
        <v/>
      </c>
      <c r="AG612" s="129" t="str">
        <f>IF(Tab.o1[[#This Row],[a1]]=1,Tab.o1[[#This Row],[rW]]^2,"")</f>
        <v/>
      </c>
      <c r="AH612" s="130" t="str">
        <f>IF(Tab.o1[[#This Row],[a1]]=1,IF(AH$3=0,Tab.o1[[#This Row],[rW2]],0.01+0.94*Tab.o1[[#This Row],[rW2]]/SUM(Tab.o1[rW2])),"")</f>
        <v/>
      </c>
      <c r="AI612" s="128" t="str">
        <f>IF(Tab.o1[[#This Row],[a1]]=1,1/Tab.o1[[#This Row],[PDF]],"")</f>
        <v/>
      </c>
      <c r="AJ612" s="131" t="str">
        <f>IF(Tab.o1[[#This Row],[a1]]=1,[1]!T_AA[[#This Row],[IN'']]*[1]!T_AA[[#This Row],[Qde'']],"")</f>
        <v/>
      </c>
      <c r="AK612" s="132" t="str">
        <f>IF(Tab.o1[[#This Row],[a1]]=1,IF(AK$1=1,Tab.o1[[#This Row],[MED]]+Tab.o1[[#This Row],[MOD]]-Tab.o1[[#This Row],[MED]],""),"")</f>
        <v/>
      </c>
      <c r="AL612" s="133" t="str">
        <f>IF(Tab.o1[[#This Row],[a1]]=1,[1]!T.in.A[[#This Row],[oo16]],"")</f>
        <v/>
      </c>
      <c r="AM612" s="133" t="str">
        <f>IF(Tab.o1[[#This Row],[a1]]=1,IF(AM$3=1,[1]!T.in.A[[#This Row],[Σo16]],""),"")</f>
        <v/>
      </c>
      <c r="AN612" s="126" t="str">
        <f>IF(Tab.o1[[#This Row],[a1]]=1,[1]!T.in.A[[#This Row],[Σp5]],"")</f>
        <v/>
      </c>
      <c r="AO612" s="126" t="str">
        <f>IF(Tab.o1[[#This Row],[a1]]=1,IF(AO$3=1,[1]!T.in.A[[#This Row],[Σp5]],""),"")</f>
        <v/>
      </c>
      <c r="AP612" s="110" t="str">
        <f>IF(Tab.o1[[#This Row],[a1]]=1,IF(ISNUMBER(Tab.o1[[#This Row],[i.]]),NORMDIST(Tab.o1[[#This Row],[Za]],0,1,FALSE)*Tab.o1[[#This Row],[i.]],0),"")</f>
        <v/>
      </c>
      <c r="AQ612" s="125" t="str">
        <f>IF(Tab.o1[[#This Row],[a1]]=1,ABS(Tab.o1[[#This Row],[MOD]]-AVERAGE(Tab.o1[MOD])),"")</f>
        <v/>
      </c>
      <c r="AR612" s="134" t="str">
        <f>IF(Tab.o1[[#This Row],[a1]]=1,Tab.o1[[#This Row],[OBS]]/SUM(Tab.o1[OBS]),"")</f>
        <v/>
      </c>
      <c r="AS612" s="135" t="str">
        <f>IF(ISNUMBER(Tab.o1[[#This Row],[a1]]),ROW()-4,"")</f>
        <v/>
      </c>
      <c r="AT612" s="136" t="str">
        <f>Tab.o1[[#This Row],[MOD]]</f>
        <v/>
      </c>
      <c r="AU612" s="137" t="str">
        <f t="shared" si="37"/>
        <v/>
      </c>
      <c r="AV612" s="138" t="str">
        <f t="shared" si="38"/>
        <v/>
      </c>
      <c r="AW612" s="138" t="str">
        <f t="shared" si="39"/>
        <v/>
      </c>
      <c r="AX612" s="139" t="str">
        <f>[1]!T.in.A[[#This Row],[ID_T_manu]]</f>
        <v/>
      </c>
      <c r="AY612" s="140" t="str">
        <f>IF(ISNUMBER(Tab.o1[[#This Row],[a1]]),IF(AND(Tab.o1[[#This Row],[a1]]=1,Tab.o1[[#This Row],[b1]]&lt;=AY$4),#REF!,AY611),"")</f>
        <v/>
      </c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</row>
    <row r="613" spans="1:79" ht="15.75" hidden="1">
      <c r="A613" s="109">
        <v>-5.9999999999999993E-6</v>
      </c>
      <c r="B613" s="110">
        <f t="shared" si="36"/>
        <v>613</v>
      </c>
      <c r="C613" s="111" t="str">
        <f>IF(C$1=[1]!T.in.A[[#This Row],[oo2]],1,"")</f>
        <v/>
      </c>
      <c r="D613" s="112" t="str">
        <f>IF(Tab.o1[[#This Row],[a1]]=1,IF(SUM(C613:C614)=0,0,IF(SUM(C612:C613)=1,1,IF(SUM(C612:C614)&gt;1,D612+1,0))),"")</f>
        <v/>
      </c>
      <c r="E613" s="113" t="str">
        <f>IF(Tab.o1[[#This Row],[a1]]=1,[1]!T.in.A[[#This Row],[oo1]],"")</f>
        <v/>
      </c>
      <c r="F613" s="113" t="str">
        <f>IF(Tab.o1[[#This Row],[a1]]=1,[1]!T.in.A[[#This Row],[pp1]],"")</f>
        <v/>
      </c>
      <c r="G613" s="114" t="str">
        <f>IF(Tab.o1[[#This Row],[a1]]=1,G$2+IF(G$1=1,0,Tab.o1[[#This Row],[.x1]])+[1]!T.in.A[[#This Row],[oo3]],"")</f>
        <v/>
      </c>
      <c r="H613" s="115" t="str">
        <f>IF(Tab.o1[[#This Row],[a1]]=1,IF(H$2=0,0,IF(G$1=1,0,Tab.o1[[#This Row],[.x1]])+[1]!T.in.A[[#This Row],[oo4]]),"")</f>
        <v/>
      </c>
      <c r="I613" s="116" t="str">
        <f>IF(Tab.o1[[#This Row],[a1]]=1,IF(J$2=0,Tab.o1[[#This Row],[MED]],Tab.o1[[#This Row],[MOD]]),"")</f>
        <v/>
      </c>
      <c r="J613" s="116" t="str">
        <f>IF(Tab.o1[[#This Row],[a1]]=1,((Tab.o1[[#This Row],[DIF_Target.]]-AVERAGE(Tab.o1[DIF_Target.]))/_xlfn.STDEV.P(Tab.o1[DIF_Target.])),"")</f>
        <v/>
      </c>
      <c r="K613" s="117" t="str">
        <f>IF(Tab.o1[[#This Row],[a1]]=1,IF(J$2=0,Tab.o1[[#This Row],[MOD]]-Tab.o1[[#This Row],[B]],IF(J$2=1,0,-Tab.o1[[#This Row],[MED]])+Tab.o1[[#This Row],[B]]),"")</f>
        <v/>
      </c>
      <c r="L613" s="117" t="str">
        <f ca="1">IF(Tab.o1[[#This Row],[DIF_Target]]=0,IF(L$2=0,Tab.o1[[#This Row],[DIF_Target]],AVERAGE(OFFSET(Tab.o1[[#This Row],[DIF_Target]],1,0,L$3,1)))/3,Tab.o1[[#This Row],[DIF_Target]])</f>
        <v/>
      </c>
      <c r="M613" s="118" t="str">
        <f>IF(Tab.o1[[#This Row],[a1]]=1,NORMSDIST(Tab.o1[[#This Row],[Za]]),"")</f>
        <v/>
      </c>
      <c r="N613" s="119" t="str">
        <f>IF(Tab.o1[[#This Row],[a1]]=1,((Tab.o1[[#This Row],[MedMod]]-AVERAGE(Tab.o1[MedMod]))/_xlfn.STDEV.P(Tab.o1[MedMod])*H$1205)+G$1205,"")</f>
        <v/>
      </c>
      <c r="O613" s="141" t="str">
        <f>IF(Tab.o1[[#This Row],[a1]]=1,Tab.o1[[#This Row],[Zb]]*_xlfn.STDEV.P(Tab.o1[MedMod])+AVERAGE(Tab.o1[MedMod]),"")</f>
        <v/>
      </c>
      <c r="P613" s="117" t="str">
        <f ca="1">IF(Tab.o1[[#This Row],[B]]=0,AVERAGE(OFFSET(Tab.o1[[#This Row],[B]],1,0,L$3,1)),Tab.o1[[#This Row],[B]])</f>
        <v/>
      </c>
      <c r="Q613" s="121" t="str">
        <f>IF(Tab.o1[[#This Row],[a1]]=1,NORMSDIST(Tab.o1[[#This Row],[Zb]]),"")</f>
        <v/>
      </c>
      <c r="R613" s="122" t="str">
        <f>IF(Tab.o1[[#This Row],[a1]]=1,((Tab.o1[[#This Row],[MedMod]]-AVERAGE(Tab.o1[MedMod]))/_xlfn.STDEV.P(Tab.o1[MedMod])*H$1203)+G$1203,"")</f>
        <v/>
      </c>
      <c r="S613" s="122" t="str">
        <f>IF(Tab.o1[[#This Row],[a1]]=1,((Tab.o1[[#This Row],[MedMod]]-AVERAGE(Tab.o1[MedMod]))/_xlfn.STDEV.P(Tab.o1[MedMod])*H$1204)+G$1204,"")</f>
        <v/>
      </c>
      <c r="T613" s="123" t="str">
        <f>IF(Tab.o1[[#This Row],[a1]]=1,Tab.o1[[#This Row],[Z-]]*_xlfn.STDEV.P(Tab.o1[B])+AVERAGE(Tab.o1[B]),"")</f>
        <v/>
      </c>
      <c r="U613" s="123" t="str">
        <f>IF(Tab.o1[[#This Row],[a1]]=1,Tab.o1[[#This Row],[z+]]*_xlfn.STDEV.P(Tab.o1[B])+AVERAGE(Tab.o1[B]),"")</f>
        <v/>
      </c>
      <c r="V613" s="124" t="str">
        <f>IF(Tab.o1[[#This Row],[a1]]=1,ABS((ABS(Tab.o1[[#This Row],[Red]]-Tab.o1[[#This Row],[Blue]]))),"")</f>
        <v/>
      </c>
      <c r="W613" s="125" t="str">
        <f>IF(Tab.o1[[#This Row],[a1]]=1,IF(W$3=0,1,Tab.o1[[#This Row],[Amp.]]*1/_xlfn.MINIFS(Tab.o1[Amp.],Tab.o1[Amp.],"&lt;&gt;0")),"")</f>
        <v/>
      </c>
      <c r="X613" s="126" t="str">
        <f>IF(Tab.o1[[#This Row],[a1]]=1,IF(ISNUMBER(Tab.o1[[#This Row],[i.]]),NORMDIST(Tab.o1[[#This Row],[Za]],0,1,FALSE)*Tab.o1[[#This Row],[i.]],AP$3),"")</f>
        <v/>
      </c>
      <c r="Y613" s="126" t="str">
        <f>IF(Tab.o1[[#This Row],[a1]]=1,0.01+0.94*Tab.o1[[#This Row],[PDF]]/MAX(Tab.o1[PDF]),"")</f>
        <v/>
      </c>
      <c r="Z613" s="126" t="str">
        <f>IF(Tab.o1[[#This Row],[a1]]=1,0.01+0.94*Tab.o1[[#This Row],[W1_PDF]]/MAX(Tab.o1[W1_PDF]),"")</f>
        <v/>
      </c>
      <c r="AA613" s="118" t="str">
        <f>IF(Tab.o1[[#This Row],[a1]]=1,ABS([1]!T.in.A[[#This Row],[oo6]]),"")</f>
        <v/>
      </c>
      <c r="AB613" s="127" t="str">
        <f>IF(Tab.o1[[#This Row],[a1]]=1,IF(AE$3=0,"",IF(AB$3=0,ABS([1]!T.in.A[[#This Row],[oo9]]),ABS(Tab.o1[[#This Row],[DIF_Target.]]*Tab.o1[[#This Row],[W1_PDF]]))),"")</f>
        <v/>
      </c>
      <c r="AC613" s="127" t="str">
        <f>IF(G$1=1,"",IF(Tab.o1[[#This Row],[a1]]=1,Tab.o1[[#This Row],[Wr]]^2,""))</f>
        <v/>
      </c>
      <c r="AD613" s="118" t="str">
        <f>IF(Tab.o1[[#This Row],[a1]]=1,IF(AE$3=0,"",Tab.o1[[#This Row],[Wr2]]/SUM(Tab.o1[Wr2])),"")</f>
        <v/>
      </c>
      <c r="AE613" s="128" t="str">
        <f>IF(Tab.o1[[#This Row],[a1]]=1,[1]!T.in.A[[#This Row],[oo10]],"")</f>
        <v/>
      </c>
      <c r="AF613" s="118" t="str">
        <f>IF(Tab.o1[[#This Row],[a1]]=1,ABS(Tab.o1[[#This Row],[DIF_Target.]]*Tab.o1[[#This Row],[PDF2]]*Tab.o1[[#This Row],[IN]]),"")</f>
        <v/>
      </c>
      <c r="AG613" s="129" t="str">
        <f>IF(Tab.o1[[#This Row],[a1]]=1,Tab.o1[[#This Row],[rW]]^2,"")</f>
        <v/>
      </c>
      <c r="AH613" s="130" t="str">
        <f>IF(Tab.o1[[#This Row],[a1]]=1,IF(AH$3=0,Tab.o1[[#This Row],[rW2]],0.01+0.94*Tab.o1[[#This Row],[rW2]]/SUM(Tab.o1[rW2])),"")</f>
        <v/>
      </c>
      <c r="AI613" s="128" t="str">
        <f>IF(Tab.o1[[#This Row],[a1]]=1,1/Tab.o1[[#This Row],[PDF]],"")</f>
        <v/>
      </c>
      <c r="AJ613" s="131" t="str">
        <f>IF(Tab.o1[[#This Row],[a1]]=1,[1]!T_AA[[#This Row],[IN'']]*[1]!T_AA[[#This Row],[Qde'']],"")</f>
        <v/>
      </c>
      <c r="AK613" s="132" t="str">
        <f>IF(Tab.o1[[#This Row],[a1]]=1,IF(AK$1=1,Tab.o1[[#This Row],[MED]]+Tab.o1[[#This Row],[MOD]]-Tab.o1[[#This Row],[MED]],""),"")</f>
        <v/>
      </c>
      <c r="AL613" s="133" t="str">
        <f>IF(Tab.o1[[#This Row],[a1]]=1,[1]!T.in.A[[#This Row],[oo16]],"")</f>
        <v/>
      </c>
      <c r="AM613" s="133" t="str">
        <f>IF(Tab.o1[[#This Row],[a1]]=1,IF(AM$3=1,[1]!T.in.A[[#This Row],[Σo16]],""),"")</f>
        <v/>
      </c>
      <c r="AN613" s="126" t="str">
        <f>IF(Tab.o1[[#This Row],[a1]]=1,[1]!T.in.A[[#This Row],[Σp5]],"")</f>
        <v/>
      </c>
      <c r="AO613" s="126" t="str">
        <f>IF(Tab.o1[[#This Row],[a1]]=1,IF(AO$3=1,[1]!T.in.A[[#This Row],[Σp5]],""),"")</f>
        <v/>
      </c>
      <c r="AP613" s="110" t="str">
        <f>IF(Tab.o1[[#This Row],[a1]]=1,IF(ISNUMBER(Tab.o1[[#This Row],[i.]]),NORMDIST(Tab.o1[[#This Row],[Za]],0,1,FALSE)*Tab.o1[[#This Row],[i.]],0),"")</f>
        <v/>
      </c>
      <c r="AQ613" s="125" t="str">
        <f>IF(Tab.o1[[#This Row],[a1]]=1,ABS(Tab.o1[[#This Row],[MOD]]-AVERAGE(Tab.o1[MOD])),"")</f>
        <v/>
      </c>
      <c r="AR613" s="134" t="str">
        <f>IF(Tab.o1[[#This Row],[a1]]=1,Tab.o1[[#This Row],[OBS]]/SUM(Tab.o1[OBS]),"")</f>
        <v/>
      </c>
      <c r="AS613" s="135" t="str">
        <f>IF(ISNUMBER(Tab.o1[[#This Row],[a1]]),ROW()-4,"")</f>
        <v/>
      </c>
      <c r="AT613" s="136" t="str">
        <f>Tab.o1[[#This Row],[MOD]]</f>
        <v/>
      </c>
      <c r="AU613" s="137" t="str">
        <f t="shared" si="37"/>
        <v/>
      </c>
      <c r="AV613" s="138" t="str">
        <f t="shared" si="38"/>
        <v/>
      </c>
      <c r="AW613" s="138" t="str">
        <f t="shared" si="39"/>
        <v/>
      </c>
      <c r="AX613" s="139" t="str">
        <f>[1]!T.in.A[[#This Row],[ID_T_manu]]</f>
        <v/>
      </c>
      <c r="AY613" s="140" t="str">
        <f>IF(ISNUMBER(Tab.o1[[#This Row],[a1]]),IF(AND(Tab.o1[[#This Row],[a1]]=1,Tab.o1[[#This Row],[b1]]&lt;=AY$4),#REF!,AY612),"")</f>
        <v/>
      </c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</row>
    <row r="614" spans="1:79" ht="15.75" hidden="1">
      <c r="A614" s="109">
        <v>1.0000000000000002E-6</v>
      </c>
      <c r="B614" s="110">
        <f t="shared" si="36"/>
        <v>614</v>
      </c>
      <c r="C614" s="111" t="str">
        <f>IF(C$1=[1]!T.in.A[[#This Row],[oo2]],1,"")</f>
        <v/>
      </c>
      <c r="D614" s="112" t="str">
        <f>IF(Tab.o1[[#This Row],[a1]]=1,IF(SUM(C614:C615)=0,0,IF(SUM(C613:C614)=1,1,IF(SUM(C613:C615)&gt;1,D613+1,0))),"")</f>
        <v/>
      </c>
      <c r="E614" s="113" t="str">
        <f>IF(Tab.o1[[#This Row],[a1]]=1,[1]!T.in.A[[#This Row],[oo1]],"")</f>
        <v/>
      </c>
      <c r="F614" s="113" t="str">
        <f>IF(Tab.o1[[#This Row],[a1]]=1,[1]!T.in.A[[#This Row],[pp1]],"")</f>
        <v/>
      </c>
      <c r="G614" s="114" t="str">
        <f>IF(Tab.o1[[#This Row],[a1]]=1,G$2+IF(G$1=1,0,Tab.o1[[#This Row],[.x1]])+[1]!T.in.A[[#This Row],[oo3]],"")</f>
        <v/>
      </c>
      <c r="H614" s="115" t="str">
        <f>IF(Tab.o1[[#This Row],[a1]]=1,IF(H$2=0,0,IF(G$1=1,0,Tab.o1[[#This Row],[.x1]])+[1]!T.in.A[[#This Row],[oo4]]),"")</f>
        <v/>
      </c>
      <c r="I614" s="116" t="str">
        <f>IF(Tab.o1[[#This Row],[a1]]=1,IF(J$2=0,Tab.o1[[#This Row],[MED]],Tab.o1[[#This Row],[MOD]]),"")</f>
        <v/>
      </c>
      <c r="J614" s="116" t="str">
        <f>IF(Tab.o1[[#This Row],[a1]]=1,((Tab.o1[[#This Row],[DIF_Target.]]-AVERAGE(Tab.o1[DIF_Target.]))/_xlfn.STDEV.P(Tab.o1[DIF_Target.])),"")</f>
        <v/>
      </c>
      <c r="K614" s="117" t="str">
        <f>IF(Tab.o1[[#This Row],[a1]]=1,IF(J$2=0,Tab.o1[[#This Row],[MOD]]-Tab.o1[[#This Row],[B]],IF(J$2=1,0,-Tab.o1[[#This Row],[MED]])+Tab.o1[[#This Row],[B]]),"")</f>
        <v/>
      </c>
      <c r="L614" s="117" t="str">
        <f ca="1">IF(Tab.o1[[#This Row],[DIF_Target]]=0,IF(L$2=0,Tab.o1[[#This Row],[DIF_Target]],AVERAGE(OFFSET(Tab.o1[[#This Row],[DIF_Target]],1,0,L$3,1)))/3,Tab.o1[[#This Row],[DIF_Target]])</f>
        <v/>
      </c>
      <c r="M614" s="118" t="str">
        <f>IF(Tab.o1[[#This Row],[a1]]=1,NORMSDIST(Tab.o1[[#This Row],[Za]]),"")</f>
        <v/>
      </c>
      <c r="N614" s="119" t="str">
        <f>IF(Tab.o1[[#This Row],[a1]]=1,((Tab.o1[[#This Row],[MedMod]]-AVERAGE(Tab.o1[MedMod]))/_xlfn.STDEV.P(Tab.o1[MedMod])*H$1205)+G$1205,"")</f>
        <v/>
      </c>
      <c r="O614" s="141" t="str">
        <f>IF(Tab.o1[[#This Row],[a1]]=1,Tab.o1[[#This Row],[Zb]]*_xlfn.STDEV.P(Tab.o1[MedMod])+AVERAGE(Tab.o1[MedMod]),"")</f>
        <v/>
      </c>
      <c r="P614" s="117" t="str">
        <f ca="1">IF(Tab.o1[[#This Row],[B]]=0,AVERAGE(OFFSET(Tab.o1[[#This Row],[B]],1,0,L$3,1)),Tab.o1[[#This Row],[B]])</f>
        <v/>
      </c>
      <c r="Q614" s="121" t="str">
        <f>IF(Tab.o1[[#This Row],[a1]]=1,NORMSDIST(Tab.o1[[#This Row],[Zb]]),"")</f>
        <v/>
      </c>
      <c r="R614" s="122" t="str">
        <f>IF(Tab.o1[[#This Row],[a1]]=1,((Tab.o1[[#This Row],[MedMod]]-AVERAGE(Tab.o1[MedMod]))/_xlfn.STDEV.P(Tab.o1[MedMod])*H$1203)+G$1203,"")</f>
        <v/>
      </c>
      <c r="S614" s="122" t="str">
        <f>IF(Tab.o1[[#This Row],[a1]]=1,((Tab.o1[[#This Row],[MedMod]]-AVERAGE(Tab.o1[MedMod]))/_xlfn.STDEV.P(Tab.o1[MedMod])*H$1204)+G$1204,"")</f>
        <v/>
      </c>
      <c r="T614" s="123" t="str">
        <f>IF(Tab.o1[[#This Row],[a1]]=1,Tab.o1[[#This Row],[Z-]]*_xlfn.STDEV.P(Tab.o1[B])+AVERAGE(Tab.o1[B]),"")</f>
        <v/>
      </c>
      <c r="U614" s="123" t="str">
        <f>IF(Tab.o1[[#This Row],[a1]]=1,Tab.o1[[#This Row],[z+]]*_xlfn.STDEV.P(Tab.o1[B])+AVERAGE(Tab.o1[B]),"")</f>
        <v/>
      </c>
      <c r="V614" s="124" t="str">
        <f>IF(Tab.o1[[#This Row],[a1]]=1,ABS((ABS(Tab.o1[[#This Row],[Red]]-Tab.o1[[#This Row],[Blue]]))),"")</f>
        <v/>
      </c>
      <c r="W614" s="125" t="str">
        <f>IF(Tab.o1[[#This Row],[a1]]=1,IF(W$3=0,1,Tab.o1[[#This Row],[Amp.]]*1/_xlfn.MINIFS(Tab.o1[Amp.],Tab.o1[Amp.],"&lt;&gt;0")),"")</f>
        <v/>
      </c>
      <c r="X614" s="126" t="str">
        <f>IF(Tab.o1[[#This Row],[a1]]=1,IF(ISNUMBER(Tab.o1[[#This Row],[i.]]),NORMDIST(Tab.o1[[#This Row],[Za]],0,1,FALSE)*Tab.o1[[#This Row],[i.]],AP$3),"")</f>
        <v/>
      </c>
      <c r="Y614" s="126" t="str">
        <f>IF(Tab.o1[[#This Row],[a1]]=1,0.01+0.94*Tab.o1[[#This Row],[PDF]]/MAX(Tab.o1[PDF]),"")</f>
        <v/>
      </c>
      <c r="Z614" s="126" t="str">
        <f>IF(Tab.o1[[#This Row],[a1]]=1,0.01+0.94*Tab.o1[[#This Row],[W1_PDF]]/MAX(Tab.o1[W1_PDF]),"")</f>
        <v/>
      </c>
      <c r="AA614" s="118" t="str">
        <f>IF(Tab.o1[[#This Row],[a1]]=1,ABS([1]!T.in.A[[#This Row],[oo6]]),"")</f>
        <v/>
      </c>
      <c r="AB614" s="127" t="str">
        <f>IF(Tab.o1[[#This Row],[a1]]=1,IF(AE$3=0,"",IF(AB$3=0,ABS([1]!T.in.A[[#This Row],[oo9]]),ABS(Tab.o1[[#This Row],[DIF_Target.]]*Tab.o1[[#This Row],[W1_PDF]]))),"")</f>
        <v/>
      </c>
      <c r="AC614" s="127" t="str">
        <f>IF(G$1=1,"",IF(Tab.o1[[#This Row],[a1]]=1,Tab.o1[[#This Row],[Wr]]^2,""))</f>
        <v/>
      </c>
      <c r="AD614" s="118" t="str">
        <f>IF(Tab.o1[[#This Row],[a1]]=1,IF(AE$3=0,"",Tab.o1[[#This Row],[Wr2]]/SUM(Tab.o1[Wr2])),"")</f>
        <v/>
      </c>
      <c r="AE614" s="128" t="str">
        <f>IF(Tab.o1[[#This Row],[a1]]=1,[1]!T.in.A[[#This Row],[oo10]],"")</f>
        <v/>
      </c>
      <c r="AF614" s="118" t="str">
        <f>IF(Tab.o1[[#This Row],[a1]]=1,ABS(Tab.o1[[#This Row],[DIF_Target.]]*Tab.o1[[#This Row],[PDF2]]*Tab.o1[[#This Row],[IN]]),"")</f>
        <v/>
      </c>
      <c r="AG614" s="129" t="str">
        <f>IF(Tab.o1[[#This Row],[a1]]=1,Tab.o1[[#This Row],[rW]]^2,"")</f>
        <v/>
      </c>
      <c r="AH614" s="130" t="str">
        <f>IF(Tab.o1[[#This Row],[a1]]=1,IF(AH$3=0,Tab.o1[[#This Row],[rW2]],0.01+0.94*Tab.o1[[#This Row],[rW2]]/SUM(Tab.o1[rW2])),"")</f>
        <v/>
      </c>
      <c r="AI614" s="128" t="str">
        <f>IF(Tab.o1[[#This Row],[a1]]=1,1/Tab.o1[[#This Row],[PDF]],"")</f>
        <v/>
      </c>
      <c r="AJ614" s="131" t="str">
        <f>IF(Tab.o1[[#This Row],[a1]]=1,[1]!T_AA[[#This Row],[IN'']]*[1]!T_AA[[#This Row],[Qde'']],"")</f>
        <v/>
      </c>
      <c r="AK614" s="132" t="str">
        <f>IF(Tab.o1[[#This Row],[a1]]=1,IF(AK$1=1,Tab.o1[[#This Row],[MED]]+Tab.o1[[#This Row],[MOD]]-Tab.o1[[#This Row],[MED]],""),"")</f>
        <v/>
      </c>
      <c r="AL614" s="133" t="str">
        <f>IF(Tab.o1[[#This Row],[a1]]=1,[1]!T.in.A[[#This Row],[oo16]],"")</f>
        <v/>
      </c>
      <c r="AM614" s="133" t="str">
        <f>IF(Tab.o1[[#This Row],[a1]]=1,IF(AM$3=1,[1]!T.in.A[[#This Row],[Σo16]],""),"")</f>
        <v/>
      </c>
      <c r="AN614" s="126" t="str">
        <f>IF(Tab.o1[[#This Row],[a1]]=1,[1]!T.in.A[[#This Row],[Σp5]],"")</f>
        <v/>
      </c>
      <c r="AO614" s="126" t="str">
        <f>IF(Tab.o1[[#This Row],[a1]]=1,IF(AO$3=1,[1]!T.in.A[[#This Row],[Σp5]],""),"")</f>
        <v/>
      </c>
      <c r="AP614" s="110" t="str">
        <f>IF(Tab.o1[[#This Row],[a1]]=1,IF(ISNUMBER(Tab.o1[[#This Row],[i.]]),NORMDIST(Tab.o1[[#This Row],[Za]],0,1,FALSE)*Tab.o1[[#This Row],[i.]],0),"")</f>
        <v/>
      </c>
      <c r="AQ614" s="125" t="str">
        <f>IF(Tab.o1[[#This Row],[a1]]=1,ABS(Tab.o1[[#This Row],[MOD]]-AVERAGE(Tab.o1[MOD])),"")</f>
        <v/>
      </c>
      <c r="AR614" s="134" t="str">
        <f>IF(Tab.o1[[#This Row],[a1]]=1,Tab.o1[[#This Row],[OBS]]/SUM(Tab.o1[OBS]),"")</f>
        <v/>
      </c>
      <c r="AS614" s="135" t="str">
        <f>IF(ISNUMBER(Tab.o1[[#This Row],[a1]]),ROW()-4,"")</f>
        <v/>
      </c>
      <c r="AT614" s="136" t="str">
        <f>Tab.o1[[#This Row],[MOD]]</f>
        <v/>
      </c>
      <c r="AU614" s="137" t="str">
        <f t="shared" si="37"/>
        <v/>
      </c>
      <c r="AV614" s="138" t="str">
        <f t="shared" si="38"/>
        <v/>
      </c>
      <c r="AW614" s="138" t="str">
        <f t="shared" si="39"/>
        <v/>
      </c>
      <c r="AX614" s="139" t="str">
        <f>[1]!T.in.A[[#This Row],[ID_T_manu]]</f>
        <v/>
      </c>
      <c r="AY614" s="140" t="str">
        <f>IF(ISNUMBER(Tab.o1[[#This Row],[a1]]),IF(AND(Tab.o1[[#This Row],[a1]]=1,Tab.o1[[#This Row],[b1]]&lt;=AY$4),#REF!,AY613),"")</f>
        <v/>
      </c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</row>
    <row r="615" spans="1:79" ht="15.75" hidden="1">
      <c r="A615" s="109">
        <v>2.9999999999999997E-6</v>
      </c>
      <c r="B615" s="110">
        <f t="shared" si="36"/>
        <v>615</v>
      </c>
      <c r="C615" s="111" t="str">
        <f>IF(C$1=[1]!T.in.A[[#This Row],[oo2]],1,"")</f>
        <v/>
      </c>
      <c r="D615" s="112" t="str">
        <f>IF(Tab.o1[[#This Row],[a1]]=1,IF(SUM(C615:C616)=0,0,IF(SUM(C614:C615)=1,1,IF(SUM(C614:C616)&gt;1,D614+1,0))),"")</f>
        <v/>
      </c>
      <c r="E615" s="113" t="str">
        <f>IF(Tab.o1[[#This Row],[a1]]=1,[1]!T.in.A[[#This Row],[oo1]],"")</f>
        <v/>
      </c>
      <c r="F615" s="113" t="str">
        <f>IF(Tab.o1[[#This Row],[a1]]=1,[1]!T.in.A[[#This Row],[pp1]],"")</f>
        <v/>
      </c>
      <c r="G615" s="114" t="str">
        <f>IF(Tab.o1[[#This Row],[a1]]=1,G$2+IF(G$1=1,0,Tab.o1[[#This Row],[.x1]])+[1]!T.in.A[[#This Row],[oo3]],"")</f>
        <v/>
      </c>
      <c r="H615" s="115" t="str">
        <f>IF(Tab.o1[[#This Row],[a1]]=1,IF(H$2=0,0,IF(G$1=1,0,Tab.o1[[#This Row],[.x1]])+[1]!T.in.A[[#This Row],[oo4]]),"")</f>
        <v/>
      </c>
      <c r="I615" s="116" t="str">
        <f>IF(Tab.o1[[#This Row],[a1]]=1,IF(J$2=0,Tab.o1[[#This Row],[MED]],Tab.o1[[#This Row],[MOD]]),"")</f>
        <v/>
      </c>
      <c r="J615" s="116" t="str">
        <f>IF(Tab.o1[[#This Row],[a1]]=1,((Tab.o1[[#This Row],[DIF_Target.]]-AVERAGE(Tab.o1[DIF_Target.]))/_xlfn.STDEV.P(Tab.o1[DIF_Target.])),"")</f>
        <v/>
      </c>
      <c r="K615" s="117" t="str">
        <f>IF(Tab.o1[[#This Row],[a1]]=1,IF(J$2=0,Tab.o1[[#This Row],[MOD]]-Tab.o1[[#This Row],[B]],IF(J$2=1,0,-Tab.o1[[#This Row],[MED]])+Tab.o1[[#This Row],[B]]),"")</f>
        <v/>
      </c>
      <c r="L615" s="117" t="str">
        <f ca="1">IF(Tab.o1[[#This Row],[DIF_Target]]=0,IF(L$2=0,Tab.o1[[#This Row],[DIF_Target]],AVERAGE(OFFSET(Tab.o1[[#This Row],[DIF_Target]],1,0,L$3,1)))/3,Tab.o1[[#This Row],[DIF_Target]])</f>
        <v/>
      </c>
      <c r="M615" s="118" t="str">
        <f>IF(Tab.o1[[#This Row],[a1]]=1,NORMSDIST(Tab.o1[[#This Row],[Za]]),"")</f>
        <v/>
      </c>
      <c r="N615" s="119" t="str">
        <f>IF(Tab.o1[[#This Row],[a1]]=1,((Tab.o1[[#This Row],[MedMod]]-AVERAGE(Tab.o1[MedMod]))/_xlfn.STDEV.P(Tab.o1[MedMod])*H$1205)+G$1205,"")</f>
        <v/>
      </c>
      <c r="O615" s="141" t="str">
        <f>IF(Tab.o1[[#This Row],[a1]]=1,Tab.o1[[#This Row],[Zb]]*_xlfn.STDEV.P(Tab.o1[MedMod])+AVERAGE(Tab.o1[MedMod]),"")</f>
        <v/>
      </c>
      <c r="P615" s="117" t="str">
        <f ca="1">IF(Tab.o1[[#This Row],[B]]=0,AVERAGE(OFFSET(Tab.o1[[#This Row],[B]],1,0,L$3,1)),Tab.o1[[#This Row],[B]])</f>
        <v/>
      </c>
      <c r="Q615" s="121" t="str">
        <f>IF(Tab.o1[[#This Row],[a1]]=1,NORMSDIST(Tab.o1[[#This Row],[Zb]]),"")</f>
        <v/>
      </c>
      <c r="R615" s="122" t="str">
        <f>IF(Tab.o1[[#This Row],[a1]]=1,((Tab.o1[[#This Row],[MedMod]]-AVERAGE(Tab.o1[MedMod]))/_xlfn.STDEV.P(Tab.o1[MedMod])*H$1203)+G$1203,"")</f>
        <v/>
      </c>
      <c r="S615" s="122" t="str">
        <f>IF(Tab.o1[[#This Row],[a1]]=1,((Tab.o1[[#This Row],[MedMod]]-AVERAGE(Tab.o1[MedMod]))/_xlfn.STDEV.P(Tab.o1[MedMod])*H$1204)+G$1204,"")</f>
        <v/>
      </c>
      <c r="T615" s="123" t="str">
        <f>IF(Tab.o1[[#This Row],[a1]]=1,Tab.o1[[#This Row],[Z-]]*_xlfn.STDEV.P(Tab.o1[B])+AVERAGE(Tab.o1[B]),"")</f>
        <v/>
      </c>
      <c r="U615" s="123" t="str">
        <f>IF(Tab.o1[[#This Row],[a1]]=1,Tab.o1[[#This Row],[z+]]*_xlfn.STDEV.P(Tab.o1[B])+AVERAGE(Tab.o1[B]),"")</f>
        <v/>
      </c>
      <c r="V615" s="124" t="str">
        <f>IF(Tab.o1[[#This Row],[a1]]=1,ABS((ABS(Tab.o1[[#This Row],[Red]]-Tab.o1[[#This Row],[Blue]]))),"")</f>
        <v/>
      </c>
      <c r="W615" s="125" t="str">
        <f>IF(Tab.o1[[#This Row],[a1]]=1,IF(W$3=0,1,Tab.o1[[#This Row],[Amp.]]*1/_xlfn.MINIFS(Tab.o1[Amp.],Tab.o1[Amp.],"&lt;&gt;0")),"")</f>
        <v/>
      </c>
      <c r="X615" s="126" t="str">
        <f>IF(Tab.o1[[#This Row],[a1]]=1,IF(ISNUMBER(Tab.o1[[#This Row],[i.]]),NORMDIST(Tab.o1[[#This Row],[Za]],0,1,FALSE)*Tab.o1[[#This Row],[i.]],AP$3),"")</f>
        <v/>
      </c>
      <c r="Y615" s="126" t="str">
        <f>IF(Tab.o1[[#This Row],[a1]]=1,0.01+0.94*Tab.o1[[#This Row],[PDF]]/MAX(Tab.o1[PDF]),"")</f>
        <v/>
      </c>
      <c r="Z615" s="126" t="str">
        <f>IF(Tab.o1[[#This Row],[a1]]=1,0.01+0.94*Tab.o1[[#This Row],[W1_PDF]]/MAX(Tab.o1[W1_PDF]),"")</f>
        <v/>
      </c>
      <c r="AA615" s="118" t="str">
        <f>IF(Tab.o1[[#This Row],[a1]]=1,ABS([1]!T.in.A[[#This Row],[oo6]]),"")</f>
        <v/>
      </c>
      <c r="AB615" s="127" t="str">
        <f>IF(Tab.o1[[#This Row],[a1]]=1,IF(AE$3=0,"",IF(AB$3=0,ABS([1]!T.in.A[[#This Row],[oo9]]),ABS(Tab.o1[[#This Row],[DIF_Target.]]*Tab.o1[[#This Row],[W1_PDF]]))),"")</f>
        <v/>
      </c>
      <c r="AC615" s="127" t="str">
        <f>IF(G$1=1,"",IF(Tab.o1[[#This Row],[a1]]=1,Tab.o1[[#This Row],[Wr]]^2,""))</f>
        <v/>
      </c>
      <c r="AD615" s="118" t="str">
        <f>IF(Tab.o1[[#This Row],[a1]]=1,IF(AE$3=0,"",Tab.o1[[#This Row],[Wr2]]/SUM(Tab.o1[Wr2])),"")</f>
        <v/>
      </c>
      <c r="AE615" s="128" t="str">
        <f>IF(Tab.o1[[#This Row],[a1]]=1,[1]!T.in.A[[#This Row],[oo10]],"")</f>
        <v/>
      </c>
      <c r="AF615" s="118" t="str">
        <f>IF(Tab.o1[[#This Row],[a1]]=1,ABS(Tab.o1[[#This Row],[DIF_Target.]]*Tab.o1[[#This Row],[PDF2]]*Tab.o1[[#This Row],[IN]]),"")</f>
        <v/>
      </c>
      <c r="AG615" s="129" t="str">
        <f>IF(Tab.o1[[#This Row],[a1]]=1,Tab.o1[[#This Row],[rW]]^2,"")</f>
        <v/>
      </c>
      <c r="AH615" s="130" t="str">
        <f>IF(Tab.o1[[#This Row],[a1]]=1,IF(AH$3=0,Tab.o1[[#This Row],[rW2]],0.01+0.94*Tab.o1[[#This Row],[rW2]]/SUM(Tab.o1[rW2])),"")</f>
        <v/>
      </c>
      <c r="AI615" s="128" t="str">
        <f>IF(Tab.o1[[#This Row],[a1]]=1,1/Tab.o1[[#This Row],[PDF]],"")</f>
        <v/>
      </c>
      <c r="AJ615" s="131" t="str">
        <f>IF(Tab.o1[[#This Row],[a1]]=1,[1]!T_AA[[#This Row],[IN'']]*[1]!T_AA[[#This Row],[Qde'']],"")</f>
        <v/>
      </c>
      <c r="AK615" s="132" t="str">
        <f>IF(Tab.o1[[#This Row],[a1]]=1,IF(AK$1=1,Tab.o1[[#This Row],[MED]]+Tab.o1[[#This Row],[MOD]]-Tab.o1[[#This Row],[MED]],""),"")</f>
        <v/>
      </c>
      <c r="AL615" s="133" t="str">
        <f>IF(Tab.o1[[#This Row],[a1]]=1,[1]!T.in.A[[#This Row],[oo16]],"")</f>
        <v/>
      </c>
      <c r="AM615" s="133" t="str">
        <f>IF(Tab.o1[[#This Row],[a1]]=1,IF(AM$3=1,[1]!T.in.A[[#This Row],[Σo16]],""),"")</f>
        <v/>
      </c>
      <c r="AN615" s="126" t="str">
        <f>IF(Tab.o1[[#This Row],[a1]]=1,[1]!T.in.A[[#This Row],[Σp5]],"")</f>
        <v/>
      </c>
      <c r="AO615" s="126" t="str">
        <f>IF(Tab.o1[[#This Row],[a1]]=1,IF(AO$3=1,[1]!T.in.A[[#This Row],[Σp5]],""),"")</f>
        <v/>
      </c>
      <c r="AP615" s="110" t="str">
        <f>IF(Tab.o1[[#This Row],[a1]]=1,IF(ISNUMBER(Tab.o1[[#This Row],[i.]]),NORMDIST(Tab.o1[[#This Row],[Za]],0,1,FALSE)*Tab.o1[[#This Row],[i.]],0),"")</f>
        <v/>
      </c>
      <c r="AQ615" s="125" t="str">
        <f>IF(Tab.o1[[#This Row],[a1]]=1,ABS(Tab.o1[[#This Row],[MOD]]-AVERAGE(Tab.o1[MOD])),"")</f>
        <v/>
      </c>
      <c r="AR615" s="134" t="str">
        <f>IF(Tab.o1[[#This Row],[a1]]=1,Tab.o1[[#This Row],[OBS]]/SUM(Tab.o1[OBS]),"")</f>
        <v/>
      </c>
      <c r="AS615" s="135" t="str">
        <f>IF(ISNUMBER(Tab.o1[[#This Row],[a1]]),ROW()-4,"")</f>
        <v/>
      </c>
      <c r="AT615" s="136" t="str">
        <f>Tab.o1[[#This Row],[MOD]]</f>
        <v/>
      </c>
      <c r="AU615" s="137" t="str">
        <f t="shared" si="37"/>
        <v/>
      </c>
      <c r="AV615" s="138" t="str">
        <f t="shared" si="38"/>
        <v/>
      </c>
      <c r="AW615" s="138" t="str">
        <f t="shared" si="39"/>
        <v/>
      </c>
      <c r="AX615" s="139" t="str">
        <f>[1]!T.in.A[[#This Row],[ID_T_manu]]</f>
        <v/>
      </c>
      <c r="AY615" s="140" t="str">
        <f>IF(ISNUMBER(Tab.o1[[#This Row],[a1]]),IF(AND(Tab.o1[[#This Row],[a1]]=1,Tab.o1[[#This Row],[b1]]&lt;=AY$4),#REF!,AY614),"")</f>
        <v/>
      </c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</row>
    <row r="616" spans="1:79" ht="15.75" hidden="1">
      <c r="A616" s="109">
        <v>9.0000000000000002E-6</v>
      </c>
      <c r="B616" s="110">
        <f t="shared" si="36"/>
        <v>616</v>
      </c>
      <c r="C616" s="111" t="str">
        <f>IF(C$1=[1]!T.in.A[[#This Row],[oo2]],1,"")</f>
        <v/>
      </c>
      <c r="D616" s="112" t="str">
        <f>IF(Tab.o1[[#This Row],[a1]]=1,IF(SUM(C616:C617)=0,0,IF(SUM(C615:C616)=1,1,IF(SUM(C615:C617)&gt;1,D615+1,0))),"")</f>
        <v/>
      </c>
      <c r="E616" s="113" t="str">
        <f>IF(Tab.o1[[#This Row],[a1]]=1,[1]!T.in.A[[#This Row],[oo1]],"")</f>
        <v/>
      </c>
      <c r="F616" s="113" t="str">
        <f>IF(Tab.o1[[#This Row],[a1]]=1,[1]!T.in.A[[#This Row],[pp1]],"")</f>
        <v/>
      </c>
      <c r="G616" s="114" t="str">
        <f>IF(Tab.o1[[#This Row],[a1]]=1,G$2+IF(G$1=1,0,Tab.o1[[#This Row],[.x1]])+[1]!T.in.A[[#This Row],[oo3]],"")</f>
        <v/>
      </c>
      <c r="H616" s="115" t="str">
        <f>IF(Tab.o1[[#This Row],[a1]]=1,IF(H$2=0,0,IF(G$1=1,0,Tab.o1[[#This Row],[.x1]])+[1]!T.in.A[[#This Row],[oo4]]),"")</f>
        <v/>
      </c>
      <c r="I616" s="116" t="str">
        <f>IF(Tab.o1[[#This Row],[a1]]=1,IF(J$2=0,Tab.o1[[#This Row],[MED]],Tab.o1[[#This Row],[MOD]]),"")</f>
        <v/>
      </c>
      <c r="J616" s="116" t="str">
        <f>IF(Tab.o1[[#This Row],[a1]]=1,((Tab.o1[[#This Row],[DIF_Target.]]-AVERAGE(Tab.o1[DIF_Target.]))/_xlfn.STDEV.P(Tab.o1[DIF_Target.])),"")</f>
        <v/>
      </c>
      <c r="K616" s="117" t="str">
        <f>IF(Tab.o1[[#This Row],[a1]]=1,IF(J$2=0,Tab.o1[[#This Row],[MOD]]-Tab.o1[[#This Row],[B]],IF(J$2=1,0,-Tab.o1[[#This Row],[MED]])+Tab.o1[[#This Row],[B]]),"")</f>
        <v/>
      </c>
      <c r="L616" s="117" t="str">
        <f ca="1">IF(Tab.o1[[#This Row],[DIF_Target]]=0,IF(L$2=0,Tab.o1[[#This Row],[DIF_Target]],AVERAGE(OFFSET(Tab.o1[[#This Row],[DIF_Target]],1,0,L$3,1)))/3,Tab.o1[[#This Row],[DIF_Target]])</f>
        <v/>
      </c>
      <c r="M616" s="118" t="str">
        <f>IF(Tab.o1[[#This Row],[a1]]=1,NORMSDIST(Tab.o1[[#This Row],[Za]]),"")</f>
        <v/>
      </c>
      <c r="N616" s="119" t="str">
        <f>IF(Tab.o1[[#This Row],[a1]]=1,((Tab.o1[[#This Row],[MedMod]]-AVERAGE(Tab.o1[MedMod]))/_xlfn.STDEV.P(Tab.o1[MedMod])*H$1205)+G$1205,"")</f>
        <v/>
      </c>
      <c r="O616" s="141" t="str">
        <f>IF(Tab.o1[[#This Row],[a1]]=1,Tab.o1[[#This Row],[Zb]]*_xlfn.STDEV.P(Tab.o1[MedMod])+AVERAGE(Tab.o1[MedMod]),"")</f>
        <v/>
      </c>
      <c r="P616" s="117" t="str">
        <f ca="1">IF(Tab.o1[[#This Row],[B]]=0,AVERAGE(OFFSET(Tab.o1[[#This Row],[B]],1,0,L$3,1)),Tab.o1[[#This Row],[B]])</f>
        <v/>
      </c>
      <c r="Q616" s="121" t="str">
        <f>IF(Tab.o1[[#This Row],[a1]]=1,NORMSDIST(Tab.o1[[#This Row],[Zb]]),"")</f>
        <v/>
      </c>
      <c r="R616" s="122" t="str">
        <f>IF(Tab.o1[[#This Row],[a1]]=1,((Tab.o1[[#This Row],[MedMod]]-AVERAGE(Tab.o1[MedMod]))/_xlfn.STDEV.P(Tab.o1[MedMod])*H$1203)+G$1203,"")</f>
        <v/>
      </c>
      <c r="S616" s="122" t="str">
        <f>IF(Tab.o1[[#This Row],[a1]]=1,((Tab.o1[[#This Row],[MedMod]]-AVERAGE(Tab.o1[MedMod]))/_xlfn.STDEV.P(Tab.o1[MedMod])*H$1204)+G$1204,"")</f>
        <v/>
      </c>
      <c r="T616" s="123" t="str">
        <f>IF(Tab.o1[[#This Row],[a1]]=1,Tab.o1[[#This Row],[Z-]]*_xlfn.STDEV.P(Tab.o1[B])+AVERAGE(Tab.o1[B]),"")</f>
        <v/>
      </c>
      <c r="U616" s="123" t="str">
        <f>IF(Tab.o1[[#This Row],[a1]]=1,Tab.o1[[#This Row],[z+]]*_xlfn.STDEV.P(Tab.o1[B])+AVERAGE(Tab.o1[B]),"")</f>
        <v/>
      </c>
      <c r="V616" s="124" t="str">
        <f>IF(Tab.o1[[#This Row],[a1]]=1,ABS((ABS(Tab.o1[[#This Row],[Red]]-Tab.o1[[#This Row],[Blue]]))),"")</f>
        <v/>
      </c>
      <c r="W616" s="125" t="str">
        <f>IF(Tab.o1[[#This Row],[a1]]=1,IF(W$3=0,1,Tab.o1[[#This Row],[Amp.]]*1/_xlfn.MINIFS(Tab.o1[Amp.],Tab.o1[Amp.],"&lt;&gt;0")),"")</f>
        <v/>
      </c>
      <c r="X616" s="126" t="str">
        <f>IF(Tab.o1[[#This Row],[a1]]=1,IF(ISNUMBER(Tab.o1[[#This Row],[i.]]),NORMDIST(Tab.o1[[#This Row],[Za]],0,1,FALSE)*Tab.o1[[#This Row],[i.]],AP$3),"")</f>
        <v/>
      </c>
      <c r="Y616" s="126" t="str">
        <f>IF(Tab.o1[[#This Row],[a1]]=1,0.01+0.94*Tab.o1[[#This Row],[PDF]]/MAX(Tab.o1[PDF]),"")</f>
        <v/>
      </c>
      <c r="Z616" s="126" t="str">
        <f>IF(Tab.o1[[#This Row],[a1]]=1,0.01+0.94*Tab.o1[[#This Row],[W1_PDF]]/MAX(Tab.o1[W1_PDF]),"")</f>
        <v/>
      </c>
      <c r="AA616" s="118" t="str">
        <f>IF(Tab.o1[[#This Row],[a1]]=1,ABS([1]!T.in.A[[#This Row],[oo6]]),"")</f>
        <v/>
      </c>
      <c r="AB616" s="127" t="str">
        <f>IF(Tab.o1[[#This Row],[a1]]=1,IF(AE$3=0,"",IF(AB$3=0,ABS([1]!T.in.A[[#This Row],[oo9]]),ABS(Tab.o1[[#This Row],[DIF_Target.]]*Tab.o1[[#This Row],[W1_PDF]]))),"")</f>
        <v/>
      </c>
      <c r="AC616" s="127" t="str">
        <f>IF(G$1=1,"",IF(Tab.o1[[#This Row],[a1]]=1,Tab.o1[[#This Row],[Wr]]^2,""))</f>
        <v/>
      </c>
      <c r="AD616" s="118" t="str">
        <f>IF(Tab.o1[[#This Row],[a1]]=1,IF(AE$3=0,"",Tab.o1[[#This Row],[Wr2]]/SUM(Tab.o1[Wr2])),"")</f>
        <v/>
      </c>
      <c r="AE616" s="128" t="str">
        <f>IF(Tab.o1[[#This Row],[a1]]=1,[1]!T.in.A[[#This Row],[oo10]],"")</f>
        <v/>
      </c>
      <c r="AF616" s="118" t="str">
        <f>IF(Tab.o1[[#This Row],[a1]]=1,ABS(Tab.o1[[#This Row],[DIF_Target.]]*Tab.o1[[#This Row],[PDF2]]*Tab.o1[[#This Row],[IN]]),"")</f>
        <v/>
      </c>
      <c r="AG616" s="129" t="str">
        <f>IF(Tab.o1[[#This Row],[a1]]=1,Tab.o1[[#This Row],[rW]]^2,"")</f>
        <v/>
      </c>
      <c r="AH616" s="130" t="str">
        <f>IF(Tab.o1[[#This Row],[a1]]=1,IF(AH$3=0,Tab.o1[[#This Row],[rW2]],0.01+0.94*Tab.o1[[#This Row],[rW2]]/SUM(Tab.o1[rW2])),"")</f>
        <v/>
      </c>
      <c r="AI616" s="128" t="str">
        <f>IF(Tab.o1[[#This Row],[a1]]=1,1/Tab.o1[[#This Row],[PDF]],"")</f>
        <v/>
      </c>
      <c r="AJ616" s="131" t="str">
        <f>IF(Tab.o1[[#This Row],[a1]]=1,[1]!T_AA[[#This Row],[IN'']]*[1]!T_AA[[#This Row],[Qde'']],"")</f>
        <v/>
      </c>
      <c r="AK616" s="132" t="str">
        <f>IF(Tab.o1[[#This Row],[a1]]=1,IF(AK$1=1,Tab.o1[[#This Row],[MED]]+Tab.o1[[#This Row],[MOD]]-Tab.o1[[#This Row],[MED]],""),"")</f>
        <v/>
      </c>
      <c r="AL616" s="133" t="str">
        <f>IF(Tab.o1[[#This Row],[a1]]=1,[1]!T.in.A[[#This Row],[oo16]],"")</f>
        <v/>
      </c>
      <c r="AM616" s="133" t="str">
        <f>IF(Tab.o1[[#This Row],[a1]]=1,IF(AM$3=1,[1]!T.in.A[[#This Row],[Σo16]],""),"")</f>
        <v/>
      </c>
      <c r="AN616" s="126" t="str">
        <f>IF(Tab.o1[[#This Row],[a1]]=1,[1]!T.in.A[[#This Row],[Σp5]],"")</f>
        <v/>
      </c>
      <c r="AO616" s="126" t="str">
        <f>IF(Tab.o1[[#This Row],[a1]]=1,IF(AO$3=1,[1]!T.in.A[[#This Row],[Σp5]],""),"")</f>
        <v/>
      </c>
      <c r="AP616" s="110" t="str">
        <f>IF(Tab.o1[[#This Row],[a1]]=1,IF(ISNUMBER(Tab.o1[[#This Row],[i.]]),NORMDIST(Tab.o1[[#This Row],[Za]],0,1,FALSE)*Tab.o1[[#This Row],[i.]],0),"")</f>
        <v/>
      </c>
      <c r="AQ616" s="125" t="str">
        <f>IF(Tab.o1[[#This Row],[a1]]=1,ABS(Tab.o1[[#This Row],[MOD]]-AVERAGE(Tab.o1[MOD])),"")</f>
        <v/>
      </c>
      <c r="AR616" s="134" t="str">
        <f>IF(Tab.o1[[#This Row],[a1]]=1,Tab.o1[[#This Row],[OBS]]/SUM(Tab.o1[OBS]),"")</f>
        <v/>
      </c>
      <c r="AS616" s="135" t="str">
        <f>IF(ISNUMBER(Tab.o1[[#This Row],[a1]]),ROW()-4,"")</f>
        <v/>
      </c>
      <c r="AT616" s="136" t="str">
        <f>Tab.o1[[#This Row],[MOD]]</f>
        <v/>
      </c>
      <c r="AU616" s="137" t="str">
        <f t="shared" si="37"/>
        <v/>
      </c>
      <c r="AV616" s="138" t="str">
        <f t="shared" si="38"/>
        <v/>
      </c>
      <c r="AW616" s="138" t="str">
        <f t="shared" si="39"/>
        <v/>
      </c>
      <c r="AX616" s="139" t="str">
        <f>[1]!T.in.A[[#This Row],[ID_T_manu]]</f>
        <v/>
      </c>
      <c r="AY616" s="140" t="str">
        <f>IF(ISNUMBER(Tab.o1[[#This Row],[a1]]),IF(AND(Tab.o1[[#This Row],[a1]]=1,Tab.o1[[#This Row],[b1]]&lt;=AY$4),#REF!,AY615),"")</f>
        <v/>
      </c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</row>
    <row r="617" spans="1:79" ht="15.75" hidden="1">
      <c r="A617" s="109">
        <v>5.9999999999999993E-6</v>
      </c>
      <c r="B617" s="110">
        <f t="shared" si="36"/>
        <v>617</v>
      </c>
      <c r="C617" s="111" t="str">
        <f>IF(C$1=[1]!T.in.A[[#This Row],[oo2]],1,"")</f>
        <v/>
      </c>
      <c r="D617" s="112" t="str">
        <f>IF(Tab.o1[[#This Row],[a1]]=1,IF(SUM(C617:C618)=0,0,IF(SUM(C616:C617)=1,1,IF(SUM(C616:C618)&gt;1,D616+1,0))),"")</f>
        <v/>
      </c>
      <c r="E617" s="113" t="str">
        <f>IF(Tab.o1[[#This Row],[a1]]=1,[1]!T.in.A[[#This Row],[oo1]],"")</f>
        <v/>
      </c>
      <c r="F617" s="113" t="str">
        <f>IF(Tab.o1[[#This Row],[a1]]=1,[1]!T.in.A[[#This Row],[pp1]],"")</f>
        <v/>
      </c>
      <c r="G617" s="114" t="str">
        <f>IF(Tab.o1[[#This Row],[a1]]=1,G$2+IF(G$1=1,0,Tab.o1[[#This Row],[.x1]])+[1]!T.in.A[[#This Row],[oo3]],"")</f>
        <v/>
      </c>
      <c r="H617" s="115" t="str">
        <f>IF(Tab.o1[[#This Row],[a1]]=1,IF(H$2=0,0,IF(G$1=1,0,Tab.o1[[#This Row],[.x1]])+[1]!T.in.A[[#This Row],[oo4]]),"")</f>
        <v/>
      </c>
      <c r="I617" s="116" t="str">
        <f>IF(Tab.o1[[#This Row],[a1]]=1,IF(J$2=0,Tab.o1[[#This Row],[MED]],Tab.o1[[#This Row],[MOD]]),"")</f>
        <v/>
      </c>
      <c r="J617" s="116" t="str">
        <f>IF(Tab.o1[[#This Row],[a1]]=1,((Tab.o1[[#This Row],[DIF_Target.]]-AVERAGE(Tab.o1[DIF_Target.]))/_xlfn.STDEV.P(Tab.o1[DIF_Target.])),"")</f>
        <v/>
      </c>
      <c r="K617" s="117" t="str">
        <f>IF(Tab.o1[[#This Row],[a1]]=1,IF(J$2=0,Tab.o1[[#This Row],[MOD]]-Tab.o1[[#This Row],[B]],IF(J$2=1,0,-Tab.o1[[#This Row],[MED]])+Tab.o1[[#This Row],[B]]),"")</f>
        <v/>
      </c>
      <c r="L617" s="117" t="str">
        <f ca="1">IF(Tab.o1[[#This Row],[DIF_Target]]=0,IF(L$2=0,Tab.o1[[#This Row],[DIF_Target]],AVERAGE(OFFSET(Tab.o1[[#This Row],[DIF_Target]],1,0,L$3,1)))/3,Tab.o1[[#This Row],[DIF_Target]])</f>
        <v/>
      </c>
      <c r="M617" s="118" t="str">
        <f>IF(Tab.o1[[#This Row],[a1]]=1,NORMSDIST(Tab.o1[[#This Row],[Za]]),"")</f>
        <v/>
      </c>
      <c r="N617" s="119" t="str">
        <f>IF(Tab.o1[[#This Row],[a1]]=1,((Tab.o1[[#This Row],[MedMod]]-AVERAGE(Tab.o1[MedMod]))/_xlfn.STDEV.P(Tab.o1[MedMod])*H$1205)+G$1205,"")</f>
        <v/>
      </c>
      <c r="O617" s="141" t="str">
        <f>IF(Tab.o1[[#This Row],[a1]]=1,Tab.o1[[#This Row],[Zb]]*_xlfn.STDEV.P(Tab.o1[MedMod])+AVERAGE(Tab.o1[MedMod]),"")</f>
        <v/>
      </c>
      <c r="P617" s="117" t="str">
        <f ca="1">IF(Tab.o1[[#This Row],[B]]=0,AVERAGE(OFFSET(Tab.o1[[#This Row],[B]],1,0,L$3,1)),Tab.o1[[#This Row],[B]])</f>
        <v/>
      </c>
      <c r="Q617" s="121" t="str">
        <f>IF(Tab.o1[[#This Row],[a1]]=1,NORMSDIST(Tab.o1[[#This Row],[Zb]]),"")</f>
        <v/>
      </c>
      <c r="R617" s="122" t="str">
        <f>IF(Tab.o1[[#This Row],[a1]]=1,((Tab.o1[[#This Row],[MedMod]]-AVERAGE(Tab.o1[MedMod]))/_xlfn.STDEV.P(Tab.o1[MedMod])*H$1203)+G$1203,"")</f>
        <v/>
      </c>
      <c r="S617" s="122" t="str">
        <f>IF(Tab.o1[[#This Row],[a1]]=1,((Tab.o1[[#This Row],[MedMod]]-AVERAGE(Tab.o1[MedMod]))/_xlfn.STDEV.P(Tab.o1[MedMod])*H$1204)+G$1204,"")</f>
        <v/>
      </c>
      <c r="T617" s="123" t="str">
        <f>IF(Tab.o1[[#This Row],[a1]]=1,Tab.o1[[#This Row],[Z-]]*_xlfn.STDEV.P(Tab.o1[B])+AVERAGE(Tab.o1[B]),"")</f>
        <v/>
      </c>
      <c r="U617" s="123" t="str">
        <f>IF(Tab.o1[[#This Row],[a1]]=1,Tab.o1[[#This Row],[z+]]*_xlfn.STDEV.P(Tab.o1[B])+AVERAGE(Tab.o1[B]),"")</f>
        <v/>
      </c>
      <c r="V617" s="124" t="str">
        <f>IF(Tab.o1[[#This Row],[a1]]=1,ABS((ABS(Tab.o1[[#This Row],[Red]]-Tab.o1[[#This Row],[Blue]]))),"")</f>
        <v/>
      </c>
      <c r="W617" s="125" t="str">
        <f>IF(Tab.o1[[#This Row],[a1]]=1,IF(W$3=0,1,Tab.o1[[#This Row],[Amp.]]*1/_xlfn.MINIFS(Tab.o1[Amp.],Tab.o1[Amp.],"&lt;&gt;0")),"")</f>
        <v/>
      </c>
      <c r="X617" s="126" t="str">
        <f>IF(Tab.o1[[#This Row],[a1]]=1,IF(ISNUMBER(Tab.o1[[#This Row],[i.]]),NORMDIST(Tab.o1[[#This Row],[Za]],0,1,FALSE)*Tab.o1[[#This Row],[i.]],AP$3),"")</f>
        <v/>
      </c>
      <c r="Y617" s="126" t="str">
        <f>IF(Tab.o1[[#This Row],[a1]]=1,0.01+0.94*Tab.o1[[#This Row],[PDF]]/MAX(Tab.o1[PDF]),"")</f>
        <v/>
      </c>
      <c r="Z617" s="126" t="str">
        <f>IF(Tab.o1[[#This Row],[a1]]=1,0.01+0.94*Tab.o1[[#This Row],[W1_PDF]]/MAX(Tab.o1[W1_PDF]),"")</f>
        <v/>
      </c>
      <c r="AA617" s="118" t="str">
        <f>IF(Tab.o1[[#This Row],[a1]]=1,ABS([1]!T.in.A[[#This Row],[oo6]]),"")</f>
        <v/>
      </c>
      <c r="AB617" s="127" t="str">
        <f>IF(Tab.o1[[#This Row],[a1]]=1,IF(AE$3=0,"",IF(AB$3=0,ABS([1]!T.in.A[[#This Row],[oo9]]),ABS(Tab.o1[[#This Row],[DIF_Target.]]*Tab.o1[[#This Row],[W1_PDF]]))),"")</f>
        <v/>
      </c>
      <c r="AC617" s="127" t="str">
        <f>IF(G$1=1,"",IF(Tab.o1[[#This Row],[a1]]=1,Tab.o1[[#This Row],[Wr]]^2,""))</f>
        <v/>
      </c>
      <c r="AD617" s="118" t="str">
        <f>IF(Tab.o1[[#This Row],[a1]]=1,IF(AE$3=0,"",Tab.o1[[#This Row],[Wr2]]/SUM(Tab.o1[Wr2])),"")</f>
        <v/>
      </c>
      <c r="AE617" s="128" t="str">
        <f>IF(Tab.o1[[#This Row],[a1]]=1,[1]!T.in.A[[#This Row],[oo10]],"")</f>
        <v/>
      </c>
      <c r="AF617" s="118" t="str">
        <f>IF(Tab.o1[[#This Row],[a1]]=1,ABS(Tab.o1[[#This Row],[DIF_Target.]]*Tab.o1[[#This Row],[PDF2]]*Tab.o1[[#This Row],[IN]]),"")</f>
        <v/>
      </c>
      <c r="AG617" s="129" t="str">
        <f>IF(Tab.o1[[#This Row],[a1]]=1,Tab.o1[[#This Row],[rW]]^2,"")</f>
        <v/>
      </c>
      <c r="AH617" s="130" t="str">
        <f>IF(Tab.o1[[#This Row],[a1]]=1,IF(AH$3=0,Tab.o1[[#This Row],[rW2]],0.01+0.94*Tab.o1[[#This Row],[rW2]]/SUM(Tab.o1[rW2])),"")</f>
        <v/>
      </c>
      <c r="AI617" s="128" t="str">
        <f>IF(Tab.o1[[#This Row],[a1]]=1,1/Tab.o1[[#This Row],[PDF]],"")</f>
        <v/>
      </c>
      <c r="AJ617" s="131" t="str">
        <f>IF(Tab.o1[[#This Row],[a1]]=1,[1]!T_AA[[#This Row],[IN'']]*[1]!T_AA[[#This Row],[Qde'']],"")</f>
        <v/>
      </c>
      <c r="AK617" s="132" t="str">
        <f>IF(Tab.o1[[#This Row],[a1]]=1,IF(AK$1=1,Tab.o1[[#This Row],[MED]]+Tab.o1[[#This Row],[MOD]]-Tab.o1[[#This Row],[MED]],""),"")</f>
        <v/>
      </c>
      <c r="AL617" s="133" t="str">
        <f>IF(Tab.o1[[#This Row],[a1]]=1,[1]!T.in.A[[#This Row],[oo16]],"")</f>
        <v/>
      </c>
      <c r="AM617" s="133" t="str">
        <f>IF(Tab.o1[[#This Row],[a1]]=1,IF(AM$3=1,[1]!T.in.A[[#This Row],[Σo16]],""),"")</f>
        <v/>
      </c>
      <c r="AN617" s="126" t="str">
        <f>IF(Tab.o1[[#This Row],[a1]]=1,[1]!T.in.A[[#This Row],[Σp5]],"")</f>
        <v/>
      </c>
      <c r="AO617" s="126" t="str">
        <f>IF(Tab.o1[[#This Row],[a1]]=1,IF(AO$3=1,[1]!T.in.A[[#This Row],[Σp5]],""),"")</f>
        <v/>
      </c>
      <c r="AP617" s="110" t="str">
        <f>IF(Tab.o1[[#This Row],[a1]]=1,IF(ISNUMBER(Tab.o1[[#This Row],[i.]]),NORMDIST(Tab.o1[[#This Row],[Za]],0,1,FALSE)*Tab.o1[[#This Row],[i.]],0),"")</f>
        <v/>
      </c>
      <c r="AQ617" s="125" t="str">
        <f>IF(Tab.o1[[#This Row],[a1]]=1,ABS(Tab.o1[[#This Row],[MOD]]-AVERAGE(Tab.o1[MOD])),"")</f>
        <v/>
      </c>
      <c r="AR617" s="134" t="str">
        <f>IF(Tab.o1[[#This Row],[a1]]=1,Tab.o1[[#This Row],[OBS]]/SUM(Tab.o1[OBS]),"")</f>
        <v/>
      </c>
      <c r="AS617" s="135" t="str">
        <f>IF(ISNUMBER(Tab.o1[[#This Row],[a1]]),ROW()-4,"")</f>
        <v/>
      </c>
      <c r="AT617" s="136" t="str">
        <f>Tab.o1[[#This Row],[MOD]]</f>
        <v/>
      </c>
      <c r="AU617" s="137" t="str">
        <f t="shared" si="37"/>
        <v/>
      </c>
      <c r="AV617" s="138" t="str">
        <f t="shared" si="38"/>
        <v/>
      </c>
      <c r="AW617" s="138" t="str">
        <f t="shared" si="39"/>
        <v/>
      </c>
      <c r="AX617" s="139" t="str">
        <f>[1]!T.in.A[[#This Row],[ID_T_manu]]</f>
        <v/>
      </c>
      <c r="AY617" s="140" t="str">
        <f>IF(ISNUMBER(Tab.o1[[#This Row],[a1]]),IF(AND(Tab.o1[[#This Row],[a1]]=1,Tab.o1[[#This Row],[b1]]&lt;=AY$4),#REF!,AY616),"")</f>
        <v/>
      </c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</row>
    <row r="618" spans="1:79" ht="15.75" hidden="1">
      <c r="A618" s="109">
        <v>-9.0000000000000002E-6</v>
      </c>
      <c r="B618" s="110">
        <f t="shared" si="36"/>
        <v>618</v>
      </c>
      <c r="C618" s="111" t="str">
        <f>IF(C$1=[1]!T.in.A[[#This Row],[oo2]],1,"")</f>
        <v/>
      </c>
      <c r="D618" s="112" t="str">
        <f>IF(Tab.o1[[#This Row],[a1]]=1,IF(SUM(C618:C619)=0,0,IF(SUM(C617:C618)=1,1,IF(SUM(C617:C619)&gt;1,D617+1,0))),"")</f>
        <v/>
      </c>
      <c r="E618" s="113" t="str">
        <f>IF(Tab.o1[[#This Row],[a1]]=1,[1]!T.in.A[[#This Row],[oo1]],"")</f>
        <v/>
      </c>
      <c r="F618" s="113" t="str">
        <f>IF(Tab.o1[[#This Row],[a1]]=1,[1]!T.in.A[[#This Row],[pp1]],"")</f>
        <v/>
      </c>
      <c r="G618" s="114" t="str">
        <f>IF(Tab.o1[[#This Row],[a1]]=1,G$2+IF(G$1=1,0,Tab.o1[[#This Row],[.x1]])+[1]!T.in.A[[#This Row],[oo3]],"")</f>
        <v/>
      </c>
      <c r="H618" s="115" t="str">
        <f>IF(Tab.o1[[#This Row],[a1]]=1,IF(H$2=0,0,IF(G$1=1,0,Tab.o1[[#This Row],[.x1]])+[1]!T.in.A[[#This Row],[oo4]]),"")</f>
        <v/>
      </c>
      <c r="I618" s="116" t="str">
        <f>IF(Tab.o1[[#This Row],[a1]]=1,IF(J$2=0,Tab.o1[[#This Row],[MED]],Tab.o1[[#This Row],[MOD]]),"")</f>
        <v/>
      </c>
      <c r="J618" s="116" t="str">
        <f>IF(Tab.o1[[#This Row],[a1]]=1,((Tab.o1[[#This Row],[DIF_Target.]]-AVERAGE(Tab.o1[DIF_Target.]))/_xlfn.STDEV.P(Tab.o1[DIF_Target.])),"")</f>
        <v/>
      </c>
      <c r="K618" s="117" t="str">
        <f>IF(Tab.o1[[#This Row],[a1]]=1,IF(J$2=0,Tab.o1[[#This Row],[MOD]]-Tab.o1[[#This Row],[B]],IF(J$2=1,0,-Tab.o1[[#This Row],[MED]])+Tab.o1[[#This Row],[B]]),"")</f>
        <v/>
      </c>
      <c r="L618" s="117" t="str">
        <f ca="1">IF(Tab.o1[[#This Row],[DIF_Target]]=0,IF(L$2=0,Tab.o1[[#This Row],[DIF_Target]],AVERAGE(OFFSET(Tab.o1[[#This Row],[DIF_Target]],1,0,L$3,1)))/3,Tab.o1[[#This Row],[DIF_Target]])</f>
        <v/>
      </c>
      <c r="M618" s="118" t="str">
        <f>IF(Tab.o1[[#This Row],[a1]]=1,NORMSDIST(Tab.o1[[#This Row],[Za]]),"")</f>
        <v/>
      </c>
      <c r="N618" s="119" t="str">
        <f>IF(Tab.o1[[#This Row],[a1]]=1,((Tab.o1[[#This Row],[MedMod]]-AVERAGE(Tab.o1[MedMod]))/_xlfn.STDEV.P(Tab.o1[MedMod])*H$1205)+G$1205,"")</f>
        <v/>
      </c>
      <c r="O618" s="141" t="str">
        <f>IF(Tab.o1[[#This Row],[a1]]=1,Tab.o1[[#This Row],[Zb]]*_xlfn.STDEV.P(Tab.o1[MedMod])+AVERAGE(Tab.o1[MedMod]),"")</f>
        <v/>
      </c>
      <c r="P618" s="117" t="str">
        <f ca="1">IF(Tab.o1[[#This Row],[B]]=0,AVERAGE(OFFSET(Tab.o1[[#This Row],[B]],1,0,L$3,1)),Tab.o1[[#This Row],[B]])</f>
        <v/>
      </c>
      <c r="Q618" s="121" t="str">
        <f>IF(Tab.o1[[#This Row],[a1]]=1,NORMSDIST(Tab.o1[[#This Row],[Zb]]),"")</f>
        <v/>
      </c>
      <c r="R618" s="122" t="str">
        <f>IF(Tab.o1[[#This Row],[a1]]=1,((Tab.o1[[#This Row],[MedMod]]-AVERAGE(Tab.o1[MedMod]))/_xlfn.STDEV.P(Tab.o1[MedMod])*H$1203)+G$1203,"")</f>
        <v/>
      </c>
      <c r="S618" s="122" t="str">
        <f>IF(Tab.o1[[#This Row],[a1]]=1,((Tab.o1[[#This Row],[MedMod]]-AVERAGE(Tab.o1[MedMod]))/_xlfn.STDEV.P(Tab.o1[MedMod])*H$1204)+G$1204,"")</f>
        <v/>
      </c>
      <c r="T618" s="123" t="str">
        <f>IF(Tab.o1[[#This Row],[a1]]=1,Tab.o1[[#This Row],[Z-]]*_xlfn.STDEV.P(Tab.o1[B])+AVERAGE(Tab.o1[B]),"")</f>
        <v/>
      </c>
      <c r="U618" s="123" t="str">
        <f>IF(Tab.o1[[#This Row],[a1]]=1,Tab.o1[[#This Row],[z+]]*_xlfn.STDEV.P(Tab.o1[B])+AVERAGE(Tab.o1[B]),"")</f>
        <v/>
      </c>
      <c r="V618" s="124" t="str">
        <f>IF(Tab.o1[[#This Row],[a1]]=1,ABS((ABS(Tab.o1[[#This Row],[Red]]-Tab.o1[[#This Row],[Blue]]))),"")</f>
        <v/>
      </c>
      <c r="W618" s="125" t="str">
        <f>IF(Tab.o1[[#This Row],[a1]]=1,IF(W$3=0,1,Tab.o1[[#This Row],[Amp.]]*1/_xlfn.MINIFS(Tab.o1[Amp.],Tab.o1[Amp.],"&lt;&gt;0")),"")</f>
        <v/>
      </c>
      <c r="X618" s="126" t="str">
        <f>IF(Tab.o1[[#This Row],[a1]]=1,IF(ISNUMBER(Tab.o1[[#This Row],[i.]]),NORMDIST(Tab.o1[[#This Row],[Za]],0,1,FALSE)*Tab.o1[[#This Row],[i.]],AP$3),"")</f>
        <v/>
      </c>
      <c r="Y618" s="126" t="str">
        <f>IF(Tab.o1[[#This Row],[a1]]=1,0.01+0.94*Tab.o1[[#This Row],[PDF]]/MAX(Tab.o1[PDF]),"")</f>
        <v/>
      </c>
      <c r="Z618" s="126" t="str">
        <f>IF(Tab.o1[[#This Row],[a1]]=1,0.01+0.94*Tab.o1[[#This Row],[W1_PDF]]/MAX(Tab.o1[W1_PDF]),"")</f>
        <v/>
      </c>
      <c r="AA618" s="118" t="str">
        <f>IF(Tab.o1[[#This Row],[a1]]=1,ABS([1]!T.in.A[[#This Row],[oo6]]),"")</f>
        <v/>
      </c>
      <c r="AB618" s="127" t="str">
        <f>IF(Tab.o1[[#This Row],[a1]]=1,IF(AE$3=0,"",IF(AB$3=0,ABS([1]!T.in.A[[#This Row],[oo9]]),ABS(Tab.o1[[#This Row],[DIF_Target.]]*Tab.o1[[#This Row],[W1_PDF]]))),"")</f>
        <v/>
      </c>
      <c r="AC618" s="127" t="str">
        <f>IF(G$1=1,"",IF(Tab.o1[[#This Row],[a1]]=1,Tab.o1[[#This Row],[Wr]]^2,""))</f>
        <v/>
      </c>
      <c r="AD618" s="118" t="str">
        <f>IF(Tab.o1[[#This Row],[a1]]=1,IF(AE$3=0,"",Tab.o1[[#This Row],[Wr2]]/SUM(Tab.o1[Wr2])),"")</f>
        <v/>
      </c>
      <c r="AE618" s="128" t="str">
        <f>IF(Tab.o1[[#This Row],[a1]]=1,[1]!T.in.A[[#This Row],[oo10]],"")</f>
        <v/>
      </c>
      <c r="AF618" s="118" t="str">
        <f>IF(Tab.o1[[#This Row],[a1]]=1,ABS(Tab.o1[[#This Row],[DIF_Target.]]*Tab.o1[[#This Row],[PDF2]]*Tab.o1[[#This Row],[IN]]),"")</f>
        <v/>
      </c>
      <c r="AG618" s="129" t="str">
        <f>IF(Tab.o1[[#This Row],[a1]]=1,Tab.o1[[#This Row],[rW]]^2,"")</f>
        <v/>
      </c>
      <c r="AH618" s="130" t="str">
        <f>IF(Tab.o1[[#This Row],[a1]]=1,IF(AH$3=0,Tab.o1[[#This Row],[rW2]],0.01+0.94*Tab.o1[[#This Row],[rW2]]/SUM(Tab.o1[rW2])),"")</f>
        <v/>
      </c>
      <c r="AI618" s="128" t="str">
        <f>IF(Tab.o1[[#This Row],[a1]]=1,1/Tab.o1[[#This Row],[PDF]],"")</f>
        <v/>
      </c>
      <c r="AJ618" s="131" t="str">
        <f>IF(Tab.o1[[#This Row],[a1]]=1,[1]!T_AA[[#This Row],[IN'']]*[1]!T_AA[[#This Row],[Qde'']],"")</f>
        <v/>
      </c>
      <c r="AK618" s="132" t="str">
        <f>IF(Tab.o1[[#This Row],[a1]]=1,IF(AK$1=1,Tab.o1[[#This Row],[MED]]+Tab.o1[[#This Row],[MOD]]-Tab.o1[[#This Row],[MED]],""),"")</f>
        <v/>
      </c>
      <c r="AL618" s="133" t="str">
        <f>IF(Tab.o1[[#This Row],[a1]]=1,[1]!T.in.A[[#This Row],[oo16]],"")</f>
        <v/>
      </c>
      <c r="AM618" s="133" t="str">
        <f>IF(Tab.o1[[#This Row],[a1]]=1,IF(AM$3=1,[1]!T.in.A[[#This Row],[Σo16]],""),"")</f>
        <v/>
      </c>
      <c r="AN618" s="126" t="str">
        <f>IF(Tab.o1[[#This Row],[a1]]=1,[1]!T.in.A[[#This Row],[Σp5]],"")</f>
        <v/>
      </c>
      <c r="AO618" s="126" t="str">
        <f>IF(Tab.o1[[#This Row],[a1]]=1,IF(AO$3=1,[1]!T.in.A[[#This Row],[Σp5]],""),"")</f>
        <v/>
      </c>
      <c r="AP618" s="110" t="str">
        <f>IF(Tab.o1[[#This Row],[a1]]=1,IF(ISNUMBER(Tab.o1[[#This Row],[i.]]),NORMDIST(Tab.o1[[#This Row],[Za]],0,1,FALSE)*Tab.o1[[#This Row],[i.]],0),"")</f>
        <v/>
      </c>
      <c r="AQ618" s="125" t="str">
        <f>IF(Tab.o1[[#This Row],[a1]]=1,ABS(Tab.o1[[#This Row],[MOD]]-AVERAGE(Tab.o1[MOD])),"")</f>
        <v/>
      </c>
      <c r="AR618" s="134" t="str">
        <f>IF(Tab.o1[[#This Row],[a1]]=1,Tab.o1[[#This Row],[OBS]]/SUM(Tab.o1[OBS]),"")</f>
        <v/>
      </c>
      <c r="AS618" s="135" t="str">
        <f>IF(ISNUMBER(Tab.o1[[#This Row],[a1]]),ROW()-4,"")</f>
        <v/>
      </c>
      <c r="AT618" s="136" t="str">
        <f>Tab.o1[[#This Row],[MOD]]</f>
        <v/>
      </c>
      <c r="AU618" s="137" t="str">
        <f t="shared" si="37"/>
        <v/>
      </c>
      <c r="AV618" s="138" t="str">
        <f t="shared" si="38"/>
        <v/>
      </c>
      <c r="AW618" s="138" t="str">
        <f t="shared" si="39"/>
        <v/>
      </c>
      <c r="AX618" s="139" t="str">
        <f>[1]!T.in.A[[#This Row],[ID_T_manu]]</f>
        <v/>
      </c>
      <c r="AY618" s="140" t="str">
        <f>IF(ISNUMBER(Tab.o1[[#This Row],[a1]]),IF(AND(Tab.o1[[#This Row],[a1]]=1,Tab.o1[[#This Row],[b1]]&lt;=AY$4),#REF!,AY617),"")</f>
        <v/>
      </c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</row>
    <row r="619" spans="1:79" ht="15.75" hidden="1">
      <c r="A619" s="109">
        <v>-8.0000000000000013E-6</v>
      </c>
      <c r="B619" s="110">
        <f t="shared" si="36"/>
        <v>619</v>
      </c>
      <c r="C619" s="111" t="str">
        <f>IF(C$1=[1]!T.in.A[[#This Row],[oo2]],1,"")</f>
        <v/>
      </c>
      <c r="D619" s="112" t="str">
        <f>IF(Tab.o1[[#This Row],[a1]]=1,IF(SUM(C619:C620)=0,0,IF(SUM(C618:C619)=1,1,IF(SUM(C618:C620)&gt;1,D618+1,0))),"")</f>
        <v/>
      </c>
      <c r="E619" s="113" t="str">
        <f>IF(Tab.o1[[#This Row],[a1]]=1,[1]!T.in.A[[#This Row],[oo1]],"")</f>
        <v/>
      </c>
      <c r="F619" s="113" t="str">
        <f>IF(Tab.o1[[#This Row],[a1]]=1,[1]!T.in.A[[#This Row],[pp1]],"")</f>
        <v/>
      </c>
      <c r="G619" s="114" t="str">
        <f>IF(Tab.o1[[#This Row],[a1]]=1,G$2+IF(G$1=1,0,Tab.o1[[#This Row],[.x1]])+[1]!T.in.A[[#This Row],[oo3]],"")</f>
        <v/>
      </c>
      <c r="H619" s="115" t="str">
        <f>IF(Tab.o1[[#This Row],[a1]]=1,IF(H$2=0,0,IF(G$1=1,0,Tab.o1[[#This Row],[.x1]])+[1]!T.in.A[[#This Row],[oo4]]),"")</f>
        <v/>
      </c>
      <c r="I619" s="116" t="str">
        <f>IF(Tab.o1[[#This Row],[a1]]=1,IF(J$2=0,Tab.o1[[#This Row],[MED]],Tab.o1[[#This Row],[MOD]]),"")</f>
        <v/>
      </c>
      <c r="J619" s="116" t="str">
        <f>IF(Tab.o1[[#This Row],[a1]]=1,((Tab.o1[[#This Row],[DIF_Target.]]-AVERAGE(Tab.o1[DIF_Target.]))/_xlfn.STDEV.P(Tab.o1[DIF_Target.])),"")</f>
        <v/>
      </c>
      <c r="K619" s="117" t="str">
        <f>IF(Tab.o1[[#This Row],[a1]]=1,IF(J$2=0,Tab.o1[[#This Row],[MOD]]-Tab.o1[[#This Row],[B]],IF(J$2=1,0,-Tab.o1[[#This Row],[MED]])+Tab.o1[[#This Row],[B]]),"")</f>
        <v/>
      </c>
      <c r="L619" s="117" t="str">
        <f ca="1">IF(Tab.o1[[#This Row],[DIF_Target]]=0,IF(L$2=0,Tab.o1[[#This Row],[DIF_Target]],AVERAGE(OFFSET(Tab.o1[[#This Row],[DIF_Target]],1,0,L$3,1)))/3,Tab.o1[[#This Row],[DIF_Target]])</f>
        <v/>
      </c>
      <c r="M619" s="118" t="str">
        <f>IF(Tab.o1[[#This Row],[a1]]=1,NORMSDIST(Tab.o1[[#This Row],[Za]]),"")</f>
        <v/>
      </c>
      <c r="N619" s="119" t="str">
        <f>IF(Tab.o1[[#This Row],[a1]]=1,((Tab.o1[[#This Row],[MedMod]]-AVERAGE(Tab.o1[MedMod]))/_xlfn.STDEV.P(Tab.o1[MedMod])*H$1205)+G$1205,"")</f>
        <v/>
      </c>
      <c r="O619" s="141" t="str">
        <f>IF(Tab.o1[[#This Row],[a1]]=1,Tab.o1[[#This Row],[Zb]]*_xlfn.STDEV.P(Tab.o1[MedMod])+AVERAGE(Tab.o1[MedMod]),"")</f>
        <v/>
      </c>
      <c r="P619" s="117" t="str">
        <f ca="1">IF(Tab.o1[[#This Row],[B]]=0,AVERAGE(OFFSET(Tab.o1[[#This Row],[B]],1,0,L$3,1)),Tab.o1[[#This Row],[B]])</f>
        <v/>
      </c>
      <c r="Q619" s="121" t="str">
        <f>IF(Tab.o1[[#This Row],[a1]]=1,NORMSDIST(Tab.o1[[#This Row],[Zb]]),"")</f>
        <v/>
      </c>
      <c r="R619" s="122" t="str">
        <f>IF(Tab.o1[[#This Row],[a1]]=1,((Tab.o1[[#This Row],[MedMod]]-AVERAGE(Tab.o1[MedMod]))/_xlfn.STDEV.P(Tab.o1[MedMod])*H$1203)+G$1203,"")</f>
        <v/>
      </c>
      <c r="S619" s="122" t="str">
        <f>IF(Tab.o1[[#This Row],[a1]]=1,((Tab.o1[[#This Row],[MedMod]]-AVERAGE(Tab.o1[MedMod]))/_xlfn.STDEV.P(Tab.o1[MedMod])*H$1204)+G$1204,"")</f>
        <v/>
      </c>
      <c r="T619" s="123" t="str">
        <f>IF(Tab.o1[[#This Row],[a1]]=1,Tab.o1[[#This Row],[Z-]]*_xlfn.STDEV.P(Tab.o1[B])+AVERAGE(Tab.o1[B]),"")</f>
        <v/>
      </c>
      <c r="U619" s="123" t="str">
        <f>IF(Tab.o1[[#This Row],[a1]]=1,Tab.o1[[#This Row],[z+]]*_xlfn.STDEV.P(Tab.o1[B])+AVERAGE(Tab.o1[B]),"")</f>
        <v/>
      </c>
      <c r="V619" s="124" t="str">
        <f>IF(Tab.o1[[#This Row],[a1]]=1,ABS((ABS(Tab.o1[[#This Row],[Red]]-Tab.o1[[#This Row],[Blue]]))),"")</f>
        <v/>
      </c>
      <c r="W619" s="125" t="str">
        <f>IF(Tab.o1[[#This Row],[a1]]=1,IF(W$3=0,1,Tab.o1[[#This Row],[Amp.]]*1/_xlfn.MINIFS(Tab.o1[Amp.],Tab.o1[Amp.],"&lt;&gt;0")),"")</f>
        <v/>
      </c>
      <c r="X619" s="126" t="str">
        <f>IF(Tab.o1[[#This Row],[a1]]=1,IF(ISNUMBER(Tab.o1[[#This Row],[i.]]),NORMDIST(Tab.o1[[#This Row],[Za]],0,1,FALSE)*Tab.o1[[#This Row],[i.]],AP$3),"")</f>
        <v/>
      </c>
      <c r="Y619" s="126" t="str">
        <f>IF(Tab.o1[[#This Row],[a1]]=1,0.01+0.94*Tab.o1[[#This Row],[PDF]]/MAX(Tab.o1[PDF]),"")</f>
        <v/>
      </c>
      <c r="Z619" s="126" t="str">
        <f>IF(Tab.o1[[#This Row],[a1]]=1,0.01+0.94*Tab.o1[[#This Row],[W1_PDF]]/MAX(Tab.o1[W1_PDF]),"")</f>
        <v/>
      </c>
      <c r="AA619" s="118" t="str">
        <f>IF(Tab.o1[[#This Row],[a1]]=1,ABS([1]!T.in.A[[#This Row],[oo6]]),"")</f>
        <v/>
      </c>
      <c r="AB619" s="127" t="str">
        <f>IF(Tab.o1[[#This Row],[a1]]=1,IF(AE$3=0,"",IF(AB$3=0,ABS([1]!T.in.A[[#This Row],[oo9]]),ABS(Tab.o1[[#This Row],[DIF_Target.]]*Tab.o1[[#This Row],[W1_PDF]]))),"")</f>
        <v/>
      </c>
      <c r="AC619" s="127" t="str">
        <f>IF(G$1=1,"",IF(Tab.o1[[#This Row],[a1]]=1,Tab.o1[[#This Row],[Wr]]^2,""))</f>
        <v/>
      </c>
      <c r="AD619" s="118" t="str">
        <f>IF(Tab.o1[[#This Row],[a1]]=1,IF(AE$3=0,"",Tab.o1[[#This Row],[Wr2]]/SUM(Tab.o1[Wr2])),"")</f>
        <v/>
      </c>
      <c r="AE619" s="128" t="str">
        <f>IF(Tab.o1[[#This Row],[a1]]=1,[1]!T.in.A[[#This Row],[oo10]],"")</f>
        <v/>
      </c>
      <c r="AF619" s="118" t="str">
        <f>IF(Tab.o1[[#This Row],[a1]]=1,ABS(Tab.o1[[#This Row],[DIF_Target.]]*Tab.o1[[#This Row],[PDF2]]*Tab.o1[[#This Row],[IN]]),"")</f>
        <v/>
      </c>
      <c r="AG619" s="129" t="str">
        <f>IF(Tab.o1[[#This Row],[a1]]=1,Tab.o1[[#This Row],[rW]]^2,"")</f>
        <v/>
      </c>
      <c r="AH619" s="130" t="str">
        <f>IF(Tab.o1[[#This Row],[a1]]=1,IF(AH$3=0,Tab.o1[[#This Row],[rW2]],0.01+0.94*Tab.o1[[#This Row],[rW2]]/SUM(Tab.o1[rW2])),"")</f>
        <v/>
      </c>
      <c r="AI619" s="128" t="str">
        <f>IF(Tab.o1[[#This Row],[a1]]=1,1/Tab.o1[[#This Row],[PDF]],"")</f>
        <v/>
      </c>
      <c r="AJ619" s="131" t="str">
        <f>IF(Tab.o1[[#This Row],[a1]]=1,[1]!T_AA[[#This Row],[IN'']]*[1]!T_AA[[#This Row],[Qde'']],"")</f>
        <v/>
      </c>
      <c r="AK619" s="132" t="str">
        <f>IF(Tab.o1[[#This Row],[a1]]=1,IF(AK$1=1,Tab.o1[[#This Row],[MED]]+Tab.o1[[#This Row],[MOD]]-Tab.o1[[#This Row],[MED]],""),"")</f>
        <v/>
      </c>
      <c r="AL619" s="133" t="str">
        <f>IF(Tab.o1[[#This Row],[a1]]=1,[1]!T.in.A[[#This Row],[oo16]],"")</f>
        <v/>
      </c>
      <c r="AM619" s="133" t="str">
        <f>IF(Tab.o1[[#This Row],[a1]]=1,IF(AM$3=1,[1]!T.in.A[[#This Row],[Σo16]],""),"")</f>
        <v/>
      </c>
      <c r="AN619" s="126" t="str">
        <f>IF(Tab.o1[[#This Row],[a1]]=1,[1]!T.in.A[[#This Row],[Σp5]],"")</f>
        <v/>
      </c>
      <c r="AO619" s="126" t="str">
        <f>IF(Tab.o1[[#This Row],[a1]]=1,IF(AO$3=1,[1]!T.in.A[[#This Row],[Σp5]],""),"")</f>
        <v/>
      </c>
      <c r="AP619" s="110" t="str">
        <f>IF(Tab.o1[[#This Row],[a1]]=1,IF(ISNUMBER(Tab.o1[[#This Row],[i.]]),NORMDIST(Tab.o1[[#This Row],[Za]],0,1,FALSE)*Tab.o1[[#This Row],[i.]],0),"")</f>
        <v/>
      </c>
      <c r="AQ619" s="125" t="str">
        <f>IF(Tab.o1[[#This Row],[a1]]=1,ABS(Tab.o1[[#This Row],[MOD]]-AVERAGE(Tab.o1[MOD])),"")</f>
        <v/>
      </c>
      <c r="AR619" s="134" t="str">
        <f>IF(Tab.o1[[#This Row],[a1]]=1,Tab.o1[[#This Row],[OBS]]/SUM(Tab.o1[OBS]),"")</f>
        <v/>
      </c>
      <c r="AS619" s="135" t="str">
        <f>IF(ISNUMBER(Tab.o1[[#This Row],[a1]]),ROW()-4,"")</f>
        <v/>
      </c>
      <c r="AT619" s="136" t="str">
        <f>Tab.o1[[#This Row],[MOD]]</f>
        <v/>
      </c>
      <c r="AU619" s="137" t="str">
        <f t="shared" si="37"/>
        <v/>
      </c>
      <c r="AV619" s="138" t="str">
        <f t="shared" si="38"/>
        <v/>
      </c>
      <c r="AW619" s="138" t="str">
        <f t="shared" si="39"/>
        <v/>
      </c>
      <c r="AX619" s="139" t="str">
        <f>[1]!T.in.A[[#This Row],[ID_T_manu]]</f>
        <v/>
      </c>
      <c r="AY619" s="140" t="str">
        <f>IF(ISNUMBER(Tab.o1[[#This Row],[a1]]),IF(AND(Tab.o1[[#This Row],[a1]]=1,Tab.o1[[#This Row],[b1]]&lt;=AY$4),#REF!,AY618),"")</f>
        <v/>
      </c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</row>
    <row r="620" spans="1:79" ht="15.75" hidden="1">
      <c r="A620" s="109">
        <v>2.0000000000000003E-6</v>
      </c>
      <c r="B620" s="110">
        <f t="shared" si="36"/>
        <v>620</v>
      </c>
      <c r="C620" s="111" t="str">
        <f>IF(C$1=[1]!T.in.A[[#This Row],[oo2]],1,"")</f>
        <v/>
      </c>
      <c r="D620" s="112" t="str">
        <f>IF(Tab.o1[[#This Row],[a1]]=1,IF(SUM(C620:C621)=0,0,IF(SUM(C619:C620)=1,1,IF(SUM(C619:C621)&gt;1,D619+1,0))),"")</f>
        <v/>
      </c>
      <c r="E620" s="113" t="str">
        <f>IF(Tab.o1[[#This Row],[a1]]=1,[1]!T.in.A[[#This Row],[oo1]],"")</f>
        <v/>
      </c>
      <c r="F620" s="113" t="str">
        <f>IF(Tab.o1[[#This Row],[a1]]=1,[1]!T.in.A[[#This Row],[pp1]],"")</f>
        <v/>
      </c>
      <c r="G620" s="114" t="str">
        <f>IF(Tab.o1[[#This Row],[a1]]=1,G$2+IF(G$1=1,0,Tab.o1[[#This Row],[.x1]])+[1]!T.in.A[[#This Row],[oo3]],"")</f>
        <v/>
      </c>
      <c r="H620" s="115" t="str">
        <f>IF(Tab.o1[[#This Row],[a1]]=1,IF(H$2=0,0,IF(G$1=1,0,Tab.o1[[#This Row],[.x1]])+[1]!T.in.A[[#This Row],[oo4]]),"")</f>
        <v/>
      </c>
      <c r="I620" s="116" t="str">
        <f>IF(Tab.o1[[#This Row],[a1]]=1,IF(J$2=0,Tab.o1[[#This Row],[MED]],Tab.o1[[#This Row],[MOD]]),"")</f>
        <v/>
      </c>
      <c r="J620" s="116" t="str">
        <f>IF(Tab.o1[[#This Row],[a1]]=1,((Tab.o1[[#This Row],[DIF_Target.]]-AVERAGE(Tab.o1[DIF_Target.]))/_xlfn.STDEV.P(Tab.o1[DIF_Target.])),"")</f>
        <v/>
      </c>
      <c r="K620" s="117" t="str">
        <f>IF(Tab.o1[[#This Row],[a1]]=1,IF(J$2=0,Tab.o1[[#This Row],[MOD]]-Tab.o1[[#This Row],[B]],IF(J$2=1,0,-Tab.o1[[#This Row],[MED]])+Tab.o1[[#This Row],[B]]),"")</f>
        <v/>
      </c>
      <c r="L620" s="117" t="str">
        <f ca="1">IF(Tab.o1[[#This Row],[DIF_Target]]=0,IF(L$2=0,Tab.o1[[#This Row],[DIF_Target]],AVERAGE(OFFSET(Tab.o1[[#This Row],[DIF_Target]],1,0,L$3,1)))/3,Tab.o1[[#This Row],[DIF_Target]])</f>
        <v/>
      </c>
      <c r="M620" s="118" t="str">
        <f>IF(Tab.o1[[#This Row],[a1]]=1,NORMSDIST(Tab.o1[[#This Row],[Za]]),"")</f>
        <v/>
      </c>
      <c r="N620" s="119" t="str">
        <f>IF(Tab.o1[[#This Row],[a1]]=1,((Tab.o1[[#This Row],[MedMod]]-AVERAGE(Tab.o1[MedMod]))/_xlfn.STDEV.P(Tab.o1[MedMod])*H$1205)+G$1205,"")</f>
        <v/>
      </c>
      <c r="O620" s="141" t="str">
        <f>IF(Tab.o1[[#This Row],[a1]]=1,Tab.o1[[#This Row],[Zb]]*_xlfn.STDEV.P(Tab.o1[MedMod])+AVERAGE(Tab.o1[MedMod]),"")</f>
        <v/>
      </c>
      <c r="P620" s="117" t="str">
        <f ca="1">IF(Tab.o1[[#This Row],[B]]=0,AVERAGE(OFFSET(Tab.o1[[#This Row],[B]],1,0,L$3,1)),Tab.o1[[#This Row],[B]])</f>
        <v/>
      </c>
      <c r="Q620" s="121" t="str">
        <f>IF(Tab.o1[[#This Row],[a1]]=1,NORMSDIST(Tab.o1[[#This Row],[Zb]]),"")</f>
        <v/>
      </c>
      <c r="R620" s="122" t="str">
        <f>IF(Tab.o1[[#This Row],[a1]]=1,((Tab.o1[[#This Row],[MedMod]]-AVERAGE(Tab.o1[MedMod]))/_xlfn.STDEV.P(Tab.o1[MedMod])*H$1203)+G$1203,"")</f>
        <v/>
      </c>
      <c r="S620" s="122" t="str">
        <f>IF(Tab.o1[[#This Row],[a1]]=1,((Tab.o1[[#This Row],[MedMod]]-AVERAGE(Tab.o1[MedMod]))/_xlfn.STDEV.P(Tab.o1[MedMod])*H$1204)+G$1204,"")</f>
        <v/>
      </c>
      <c r="T620" s="123" t="str">
        <f>IF(Tab.o1[[#This Row],[a1]]=1,Tab.o1[[#This Row],[Z-]]*_xlfn.STDEV.P(Tab.o1[B])+AVERAGE(Tab.o1[B]),"")</f>
        <v/>
      </c>
      <c r="U620" s="123" t="str">
        <f>IF(Tab.o1[[#This Row],[a1]]=1,Tab.o1[[#This Row],[z+]]*_xlfn.STDEV.P(Tab.o1[B])+AVERAGE(Tab.o1[B]),"")</f>
        <v/>
      </c>
      <c r="V620" s="124" t="str">
        <f>IF(Tab.o1[[#This Row],[a1]]=1,ABS((ABS(Tab.o1[[#This Row],[Red]]-Tab.o1[[#This Row],[Blue]]))),"")</f>
        <v/>
      </c>
      <c r="W620" s="125" t="str">
        <f>IF(Tab.o1[[#This Row],[a1]]=1,IF(W$3=0,1,Tab.o1[[#This Row],[Amp.]]*1/_xlfn.MINIFS(Tab.o1[Amp.],Tab.o1[Amp.],"&lt;&gt;0")),"")</f>
        <v/>
      </c>
      <c r="X620" s="126" t="str">
        <f>IF(Tab.o1[[#This Row],[a1]]=1,IF(ISNUMBER(Tab.o1[[#This Row],[i.]]),NORMDIST(Tab.o1[[#This Row],[Za]],0,1,FALSE)*Tab.o1[[#This Row],[i.]],AP$3),"")</f>
        <v/>
      </c>
      <c r="Y620" s="126" t="str">
        <f>IF(Tab.o1[[#This Row],[a1]]=1,0.01+0.94*Tab.o1[[#This Row],[PDF]]/MAX(Tab.o1[PDF]),"")</f>
        <v/>
      </c>
      <c r="Z620" s="126" t="str">
        <f>IF(Tab.o1[[#This Row],[a1]]=1,0.01+0.94*Tab.o1[[#This Row],[W1_PDF]]/MAX(Tab.o1[W1_PDF]),"")</f>
        <v/>
      </c>
      <c r="AA620" s="118" t="str">
        <f>IF(Tab.o1[[#This Row],[a1]]=1,ABS([1]!T.in.A[[#This Row],[oo6]]),"")</f>
        <v/>
      </c>
      <c r="AB620" s="127" t="str">
        <f>IF(Tab.o1[[#This Row],[a1]]=1,IF(AE$3=0,"",IF(AB$3=0,ABS([1]!T.in.A[[#This Row],[oo9]]),ABS(Tab.o1[[#This Row],[DIF_Target.]]*Tab.o1[[#This Row],[W1_PDF]]))),"")</f>
        <v/>
      </c>
      <c r="AC620" s="127" t="str">
        <f>IF(G$1=1,"",IF(Tab.o1[[#This Row],[a1]]=1,Tab.o1[[#This Row],[Wr]]^2,""))</f>
        <v/>
      </c>
      <c r="AD620" s="118" t="str">
        <f>IF(Tab.o1[[#This Row],[a1]]=1,IF(AE$3=0,"",Tab.o1[[#This Row],[Wr2]]/SUM(Tab.o1[Wr2])),"")</f>
        <v/>
      </c>
      <c r="AE620" s="128" t="str">
        <f>IF(Tab.o1[[#This Row],[a1]]=1,[1]!T.in.A[[#This Row],[oo10]],"")</f>
        <v/>
      </c>
      <c r="AF620" s="118" t="str">
        <f>IF(Tab.o1[[#This Row],[a1]]=1,ABS(Tab.o1[[#This Row],[DIF_Target.]]*Tab.o1[[#This Row],[PDF2]]*Tab.o1[[#This Row],[IN]]),"")</f>
        <v/>
      </c>
      <c r="AG620" s="129" t="str">
        <f>IF(Tab.o1[[#This Row],[a1]]=1,Tab.o1[[#This Row],[rW]]^2,"")</f>
        <v/>
      </c>
      <c r="AH620" s="130" t="str">
        <f>IF(Tab.o1[[#This Row],[a1]]=1,IF(AH$3=0,Tab.o1[[#This Row],[rW2]],0.01+0.94*Tab.o1[[#This Row],[rW2]]/SUM(Tab.o1[rW2])),"")</f>
        <v/>
      </c>
      <c r="AI620" s="128" t="str">
        <f>IF(Tab.o1[[#This Row],[a1]]=1,1/Tab.o1[[#This Row],[PDF]],"")</f>
        <v/>
      </c>
      <c r="AJ620" s="131" t="str">
        <f>IF(Tab.o1[[#This Row],[a1]]=1,[1]!T_AA[[#This Row],[IN'']]*[1]!T_AA[[#This Row],[Qde'']],"")</f>
        <v/>
      </c>
      <c r="AK620" s="132" t="str">
        <f>IF(Tab.o1[[#This Row],[a1]]=1,IF(AK$1=1,Tab.o1[[#This Row],[MED]]+Tab.o1[[#This Row],[MOD]]-Tab.o1[[#This Row],[MED]],""),"")</f>
        <v/>
      </c>
      <c r="AL620" s="133" t="str">
        <f>IF(Tab.o1[[#This Row],[a1]]=1,[1]!T.in.A[[#This Row],[oo16]],"")</f>
        <v/>
      </c>
      <c r="AM620" s="133" t="str">
        <f>IF(Tab.o1[[#This Row],[a1]]=1,IF(AM$3=1,[1]!T.in.A[[#This Row],[Σo16]],""),"")</f>
        <v/>
      </c>
      <c r="AN620" s="126" t="str">
        <f>IF(Tab.o1[[#This Row],[a1]]=1,[1]!T.in.A[[#This Row],[Σp5]],"")</f>
        <v/>
      </c>
      <c r="AO620" s="126" t="str">
        <f>IF(Tab.o1[[#This Row],[a1]]=1,IF(AO$3=1,[1]!T.in.A[[#This Row],[Σp5]],""),"")</f>
        <v/>
      </c>
      <c r="AP620" s="110" t="str">
        <f>IF(Tab.o1[[#This Row],[a1]]=1,IF(ISNUMBER(Tab.o1[[#This Row],[i.]]),NORMDIST(Tab.o1[[#This Row],[Za]],0,1,FALSE)*Tab.o1[[#This Row],[i.]],0),"")</f>
        <v/>
      </c>
      <c r="AQ620" s="125" t="str">
        <f>IF(Tab.o1[[#This Row],[a1]]=1,ABS(Tab.o1[[#This Row],[MOD]]-AVERAGE(Tab.o1[MOD])),"")</f>
        <v/>
      </c>
      <c r="AR620" s="134" t="str">
        <f>IF(Tab.o1[[#This Row],[a1]]=1,Tab.o1[[#This Row],[OBS]]/SUM(Tab.o1[OBS]),"")</f>
        <v/>
      </c>
      <c r="AS620" s="135" t="str">
        <f>IF(ISNUMBER(Tab.o1[[#This Row],[a1]]),ROW()-4,"")</f>
        <v/>
      </c>
      <c r="AT620" s="136" t="str">
        <f>Tab.o1[[#This Row],[MOD]]</f>
        <v/>
      </c>
      <c r="AU620" s="137" t="str">
        <f t="shared" si="37"/>
        <v/>
      </c>
      <c r="AV620" s="138" t="str">
        <f t="shared" si="38"/>
        <v/>
      </c>
      <c r="AW620" s="138" t="str">
        <f t="shared" si="39"/>
        <v/>
      </c>
      <c r="AX620" s="139" t="str">
        <f>[1]!T.in.A[[#This Row],[ID_T_manu]]</f>
        <v/>
      </c>
      <c r="AY620" s="140" t="str">
        <f>IF(ISNUMBER(Tab.o1[[#This Row],[a1]]),IF(AND(Tab.o1[[#This Row],[a1]]=1,Tab.o1[[#This Row],[b1]]&lt;=AY$4),#REF!,AY619),"")</f>
        <v/>
      </c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</row>
    <row r="621" spans="1:79" ht="15.75" hidden="1">
      <c r="A621" s="109">
        <v>1.0000000000000002E-6</v>
      </c>
      <c r="B621" s="110">
        <f t="shared" si="36"/>
        <v>621</v>
      </c>
      <c r="C621" s="111" t="str">
        <f>IF(C$1=[1]!T.in.A[[#This Row],[oo2]],1,"")</f>
        <v/>
      </c>
      <c r="D621" s="112" t="str">
        <f>IF(Tab.o1[[#This Row],[a1]]=1,IF(SUM(C621:C622)=0,0,IF(SUM(C620:C621)=1,1,IF(SUM(C620:C622)&gt;1,D620+1,0))),"")</f>
        <v/>
      </c>
      <c r="E621" s="113" t="str">
        <f>IF(Tab.o1[[#This Row],[a1]]=1,[1]!T.in.A[[#This Row],[oo1]],"")</f>
        <v/>
      </c>
      <c r="F621" s="113" t="str">
        <f>IF(Tab.o1[[#This Row],[a1]]=1,[1]!T.in.A[[#This Row],[pp1]],"")</f>
        <v/>
      </c>
      <c r="G621" s="114" t="str">
        <f>IF(Tab.o1[[#This Row],[a1]]=1,G$2+IF(G$1=1,0,Tab.o1[[#This Row],[.x1]])+[1]!T.in.A[[#This Row],[oo3]],"")</f>
        <v/>
      </c>
      <c r="H621" s="115" t="str">
        <f>IF(Tab.o1[[#This Row],[a1]]=1,IF(H$2=0,0,IF(G$1=1,0,Tab.o1[[#This Row],[.x1]])+[1]!T.in.A[[#This Row],[oo4]]),"")</f>
        <v/>
      </c>
      <c r="I621" s="116" t="str">
        <f>IF(Tab.o1[[#This Row],[a1]]=1,IF(J$2=0,Tab.o1[[#This Row],[MED]],Tab.o1[[#This Row],[MOD]]),"")</f>
        <v/>
      </c>
      <c r="J621" s="116" t="str">
        <f>IF(Tab.o1[[#This Row],[a1]]=1,((Tab.o1[[#This Row],[DIF_Target.]]-AVERAGE(Tab.o1[DIF_Target.]))/_xlfn.STDEV.P(Tab.o1[DIF_Target.])),"")</f>
        <v/>
      </c>
      <c r="K621" s="117" t="str">
        <f>IF(Tab.o1[[#This Row],[a1]]=1,IF(J$2=0,Tab.o1[[#This Row],[MOD]]-Tab.o1[[#This Row],[B]],IF(J$2=1,0,-Tab.o1[[#This Row],[MED]])+Tab.o1[[#This Row],[B]]),"")</f>
        <v/>
      </c>
      <c r="L621" s="117" t="str">
        <f ca="1">IF(Tab.o1[[#This Row],[DIF_Target]]=0,IF(L$2=0,Tab.o1[[#This Row],[DIF_Target]],AVERAGE(OFFSET(Tab.o1[[#This Row],[DIF_Target]],1,0,L$3,1)))/3,Tab.o1[[#This Row],[DIF_Target]])</f>
        <v/>
      </c>
      <c r="M621" s="118" t="str">
        <f>IF(Tab.o1[[#This Row],[a1]]=1,NORMSDIST(Tab.o1[[#This Row],[Za]]),"")</f>
        <v/>
      </c>
      <c r="N621" s="119" t="str">
        <f>IF(Tab.o1[[#This Row],[a1]]=1,((Tab.o1[[#This Row],[MedMod]]-AVERAGE(Tab.o1[MedMod]))/_xlfn.STDEV.P(Tab.o1[MedMod])*H$1205)+G$1205,"")</f>
        <v/>
      </c>
      <c r="O621" s="141" t="str">
        <f>IF(Tab.o1[[#This Row],[a1]]=1,Tab.o1[[#This Row],[Zb]]*_xlfn.STDEV.P(Tab.o1[MedMod])+AVERAGE(Tab.o1[MedMod]),"")</f>
        <v/>
      </c>
      <c r="P621" s="117" t="str">
        <f ca="1">IF(Tab.o1[[#This Row],[B]]=0,AVERAGE(OFFSET(Tab.o1[[#This Row],[B]],1,0,L$3,1)),Tab.o1[[#This Row],[B]])</f>
        <v/>
      </c>
      <c r="Q621" s="121" t="str">
        <f>IF(Tab.o1[[#This Row],[a1]]=1,NORMSDIST(Tab.o1[[#This Row],[Zb]]),"")</f>
        <v/>
      </c>
      <c r="R621" s="122" t="str">
        <f>IF(Tab.o1[[#This Row],[a1]]=1,((Tab.o1[[#This Row],[MedMod]]-AVERAGE(Tab.o1[MedMod]))/_xlfn.STDEV.P(Tab.o1[MedMod])*H$1203)+G$1203,"")</f>
        <v/>
      </c>
      <c r="S621" s="122" t="str">
        <f>IF(Tab.o1[[#This Row],[a1]]=1,((Tab.o1[[#This Row],[MedMod]]-AVERAGE(Tab.o1[MedMod]))/_xlfn.STDEV.P(Tab.o1[MedMod])*H$1204)+G$1204,"")</f>
        <v/>
      </c>
      <c r="T621" s="123" t="str">
        <f>IF(Tab.o1[[#This Row],[a1]]=1,Tab.o1[[#This Row],[Z-]]*_xlfn.STDEV.P(Tab.o1[B])+AVERAGE(Tab.o1[B]),"")</f>
        <v/>
      </c>
      <c r="U621" s="123" t="str">
        <f>IF(Tab.o1[[#This Row],[a1]]=1,Tab.o1[[#This Row],[z+]]*_xlfn.STDEV.P(Tab.o1[B])+AVERAGE(Tab.o1[B]),"")</f>
        <v/>
      </c>
      <c r="V621" s="124" t="str">
        <f>IF(Tab.o1[[#This Row],[a1]]=1,ABS((ABS(Tab.o1[[#This Row],[Red]]-Tab.o1[[#This Row],[Blue]]))),"")</f>
        <v/>
      </c>
      <c r="W621" s="125" t="str">
        <f>IF(Tab.o1[[#This Row],[a1]]=1,IF(W$3=0,1,Tab.o1[[#This Row],[Amp.]]*1/_xlfn.MINIFS(Tab.o1[Amp.],Tab.o1[Amp.],"&lt;&gt;0")),"")</f>
        <v/>
      </c>
      <c r="X621" s="126" t="str">
        <f>IF(Tab.o1[[#This Row],[a1]]=1,IF(ISNUMBER(Tab.o1[[#This Row],[i.]]),NORMDIST(Tab.o1[[#This Row],[Za]],0,1,FALSE)*Tab.o1[[#This Row],[i.]],AP$3),"")</f>
        <v/>
      </c>
      <c r="Y621" s="126" t="str">
        <f>IF(Tab.o1[[#This Row],[a1]]=1,0.01+0.94*Tab.o1[[#This Row],[PDF]]/MAX(Tab.o1[PDF]),"")</f>
        <v/>
      </c>
      <c r="Z621" s="126" t="str">
        <f>IF(Tab.o1[[#This Row],[a1]]=1,0.01+0.94*Tab.o1[[#This Row],[W1_PDF]]/MAX(Tab.o1[W1_PDF]),"")</f>
        <v/>
      </c>
      <c r="AA621" s="118" t="str">
        <f>IF(Tab.o1[[#This Row],[a1]]=1,ABS([1]!T.in.A[[#This Row],[oo6]]),"")</f>
        <v/>
      </c>
      <c r="AB621" s="127" t="str">
        <f>IF(Tab.o1[[#This Row],[a1]]=1,IF(AE$3=0,"",IF(AB$3=0,ABS([1]!T.in.A[[#This Row],[oo9]]),ABS(Tab.o1[[#This Row],[DIF_Target.]]*Tab.o1[[#This Row],[W1_PDF]]))),"")</f>
        <v/>
      </c>
      <c r="AC621" s="127" t="str">
        <f>IF(G$1=1,"",IF(Tab.o1[[#This Row],[a1]]=1,Tab.o1[[#This Row],[Wr]]^2,""))</f>
        <v/>
      </c>
      <c r="AD621" s="118" t="str">
        <f>IF(Tab.o1[[#This Row],[a1]]=1,IF(AE$3=0,"",Tab.o1[[#This Row],[Wr2]]/SUM(Tab.o1[Wr2])),"")</f>
        <v/>
      </c>
      <c r="AE621" s="128" t="str">
        <f>IF(Tab.o1[[#This Row],[a1]]=1,[1]!T.in.A[[#This Row],[oo10]],"")</f>
        <v/>
      </c>
      <c r="AF621" s="118" t="str">
        <f>IF(Tab.o1[[#This Row],[a1]]=1,ABS(Tab.o1[[#This Row],[DIF_Target.]]*Tab.o1[[#This Row],[PDF2]]*Tab.o1[[#This Row],[IN]]),"")</f>
        <v/>
      </c>
      <c r="AG621" s="129" t="str">
        <f>IF(Tab.o1[[#This Row],[a1]]=1,Tab.o1[[#This Row],[rW]]^2,"")</f>
        <v/>
      </c>
      <c r="AH621" s="130" t="str">
        <f>IF(Tab.o1[[#This Row],[a1]]=1,IF(AH$3=0,Tab.o1[[#This Row],[rW2]],0.01+0.94*Tab.o1[[#This Row],[rW2]]/SUM(Tab.o1[rW2])),"")</f>
        <v/>
      </c>
      <c r="AI621" s="128" t="str">
        <f>IF(Tab.o1[[#This Row],[a1]]=1,1/Tab.o1[[#This Row],[PDF]],"")</f>
        <v/>
      </c>
      <c r="AJ621" s="131" t="str">
        <f>IF(Tab.o1[[#This Row],[a1]]=1,[1]!T_AA[[#This Row],[IN'']]*[1]!T_AA[[#This Row],[Qde'']],"")</f>
        <v/>
      </c>
      <c r="AK621" s="132" t="str">
        <f>IF(Tab.o1[[#This Row],[a1]]=1,IF(AK$1=1,Tab.o1[[#This Row],[MED]]+Tab.o1[[#This Row],[MOD]]-Tab.o1[[#This Row],[MED]],""),"")</f>
        <v/>
      </c>
      <c r="AL621" s="133" t="str">
        <f>IF(Tab.o1[[#This Row],[a1]]=1,[1]!T.in.A[[#This Row],[oo16]],"")</f>
        <v/>
      </c>
      <c r="AM621" s="133" t="str">
        <f>IF(Tab.o1[[#This Row],[a1]]=1,IF(AM$3=1,[1]!T.in.A[[#This Row],[Σo16]],""),"")</f>
        <v/>
      </c>
      <c r="AN621" s="126" t="str">
        <f>IF(Tab.o1[[#This Row],[a1]]=1,[1]!T.in.A[[#This Row],[Σp5]],"")</f>
        <v/>
      </c>
      <c r="AO621" s="126" t="str">
        <f>IF(Tab.o1[[#This Row],[a1]]=1,IF(AO$3=1,[1]!T.in.A[[#This Row],[Σp5]],""),"")</f>
        <v/>
      </c>
      <c r="AP621" s="110" t="str">
        <f>IF(Tab.o1[[#This Row],[a1]]=1,IF(ISNUMBER(Tab.o1[[#This Row],[i.]]),NORMDIST(Tab.o1[[#This Row],[Za]],0,1,FALSE)*Tab.o1[[#This Row],[i.]],0),"")</f>
        <v/>
      </c>
      <c r="AQ621" s="125" t="str">
        <f>IF(Tab.o1[[#This Row],[a1]]=1,ABS(Tab.o1[[#This Row],[MOD]]-AVERAGE(Tab.o1[MOD])),"")</f>
        <v/>
      </c>
      <c r="AR621" s="134" t="str">
        <f>IF(Tab.o1[[#This Row],[a1]]=1,Tab.o1[[#This Row],[OBS]]/SUM(Tab.o1[OBS]),"")</f>
        <v/>
      </c>
      <c r="AS621" s="135" t="str">
        <f>IF(ISNUMBER(Tab.o1[[#This Row],[a1]]),ROW()-4,"")</f>
        <v/>
      </c>
      <c r="AT621" s="136" t="str">
        <f>Tab.o1[[#This Row],[MOD]]</f>
        <v/>
      </c>
      <c r="AU621" s="137" t="str">
        <f t="shared" si="37"/>
        <v/>
      </c>
      <c r="AV621" s="138" t="str">
        <f t="shared" si="38"/>
        <v/>
      </c>
      <c r="AW621" s="138" t="str">
        <f t="shared" si="39"/>
        <v/>
      </c>
      <c r="AX621" s="139" t="str">
        <f>[1]!T.in.A[[#This Row],[ID_T_manu]]</f>
        <v/>
      </c>
      <c r="AY621" s="140" t="str">
        <f>IF(ISNUMBER(Tab.o1[[#This Row],[a1]]),IF(AND(Tab.o1[[#This Row],[a1]]=1,Tab.o1[[#This Row],[b1]]&lt;=AY$4),#REF!,AY620),"")</f>
        <v/>
      </c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</row>
    <row r="622" spans="1:79" ht="15.75" hidden="1">
      <c r="A622" s="109">
        <v>1.0000000000000002E-6</v>
      </c>
      <c r="B622" s="110">
        <f t="shared" si="36"/>
        <v>622</v>
      </c>
      <c r="C622" s="111" t="str">
        <f>IF(C$1=[1]!T.in.A[[#This Row],[oo2]],1,"")</f>
        <v/>
      </c>
      <c r="D622" s="112" t="str">
        <f>IF(Tab.o1[[#This Row],[a1]]=1,IF(SUM(C622:C623)=0,0,IF(SUM(C621:C622)=1,1,IF(SUM(C621:C623)&gt;1,D621+1,0))),"")</f>
        <v/>
      </c>
      <c r="E622" s="113" t="str">
        <f>IF(Tab.o1[[#This Row],[a1]]=1,[1]!T.in.A[[#This Row],[oo1]],"")</f>
        <v/>
      </c>
      <c r="F622" s="113" t="str">
        <f>IF(Tab.o1[[#This Row],[a1]]=1,[1]!T.in.A[[#This Row],[pp1]],"")</f>
        <v/>
      </c>
      <c r="G622" s="114" t="str">
        <f>IF(Tab.o1[[#This Row],[a1]]=1,G$2+IF(G$1=1,0,Tab.o1[[#This Row],[.x1]])+[1]!T.in.A[[#This Row],[oo3]],"")</f>
        <v/>
      </c>
      <c r="H622" s="115" t="str">
        <f>IF(Tab.o1[[#This Row],[a1]]=1,IF(H$2=0,0,IF(G$1=1,0,Tab.o1[[#This Row],[.x1]])+[1]!T.in.A[[#This Row],[oo4]]),"")</f>
        <v/>
      </c>
      <c r="I622" s="116" t="str">
        <f>IF(Tab.o1[[#This Row],[a1]]=1,IF(J$2=0,Tab.o1[[#This Row],[MED]],Tab.o1[[#This Row],[MOD]]),"")</f>
        <v/>
      </c>
      <c r="J622" s="116" t="str">
        <f>IF(Tab.o1[[#This Row],[a1]]=1,((Tab.o1[[#This Row],[DIF_Target.]]-AVERAGE(Tab.o1[DIF_Target.]))/_xlfn.STDEV.P(Tab.o1[DIF_Target.])),"")</f>
        <v/>
      </c>
      <c r="K622" s="117" t="str">
        <f>IF(Tab.o1[[#This Row],[a1]]=1,IF(J$2=0,Tab.o1[[#This Row],[MOD]]-Tab.o1[[#This Row],[B]],IF(J$2=1,0,-Tab.o1[[#This Row],[MED]])+Tab.o1[[#This Row],[B]]),"")</f>
        <v/>
      </c>
      <c r="L622" s="117" t="str">
        <f ca="1">IF(Tab.o1[[#This Row],[DIF_Target]]=0,IF(L$2=0,Tab.o1[[#This Row],[DIF_Target]],AVERAGE(OFFSET(Tab.o1[[#This Row],[DIF_Target]],1,0,L$3,1)))/3,Tab.o1[[#This Row],[DIF_Target]])</f>
        <v/>
      </c>
      <c r="M622" s="118" t="str">
        <f>IF(Tab.o1[[#This Row],[a1]]=1,NORMSDIST(Tab.o1[[#This Row],[Za]]),"")</f>
        <v/>
      </c>
      <c r="N622" s="119" t="str">
        <f>IF(Tab.o1[[#This Row],[a1]]=1,((Tab.o1[[#This Row],[MedMod]]-AVERAGE(Tab.o1[MedMod]))/_xlfn.STDEV.P(Tab.o1[MedMod])*H$1205)+G$1205,"")</f>
        <v/>
      </c>
      <c r="O622" s="141" t="str">
        <f>IF(Tab.o1[[#This Row],[a1]]=1,Tab.o1[[#This Row],[Zb]]*_xlfn.STDEV.P(Tab.o1[MedMod])+AVERAGE(Tab.o1[MedMod]),"")</f>
        <v/>
      </c>
      <c r="P622" s="117" t="str">
        <f ca="1">IF(Tab.o1[[#This Row],[B]]=0,AVERAGE(OFFSET(Tab.o1[[#This Row],[B]],1,0,L$3,1)),Tab.o1[[#This Row],[B]])</f>
        <v/>
      </c>
      <c r="Q622" s="121" t="str">
        <f>IF(Tab.o1[[#This Row],[a1]]=1,NORMSDIST(Tab.o1[[#This Row],[Zb]]),"")</f>
        <v/>
      </c>
      <c r="R622" s="122" t="str">
        <f>IF(Tab.o1[[#This Row],[a1]]=1,((Tab.o1[[#This Row],[MedMod]]-AVERAGE(Tab.o1[MedMod]))/_xlfn.STDEV.P(Tab.o1[MedMod])*H$1203)+G$1203,"")</f>
        <v/>
      </c>
      <c r="S622" s="122" t="str">
        <f>IF(Tab.o1[[#This Row],[a1]]=1,((Tab.o1[[#This Row],[MedMod]]-AVERAGE(Tab.o1[MedMod]))/_xlfn.STDEV.P(Tab.o1[MedMod])*H$1204)+G$1204,"")</f>
        <v/>
      </c>
      <c r="T622" s="123" t="str">
        <f>IF(Tab.o1[[#This Row],[a1]]=1,Tab.o1[[#This Row],[Z-]]*_xlfn.STDEV.P(Tab.o1[B])+AVERAGE(Tab.o1[B]),"")</f>
        <v/>
      </c>
      <c r="U622" s="123" t="str">
        <f>IF(Tab.o1[[#This Row],[a1]]=1,Tab.o1[[#This Row],[z+]]*_xlfn.STDEV.P(Tab.o1[B])+AVERAGE(Tab.o1[B]),"")</f>
        <v/>
      </c>
      <c r="V622" s="124" t="str">
        <f>IF(Tab.o1[[#This Row],[a1]]=1,ABS((ABS(Tab.o1[[#This Row],[Red]]-Tab.o1[[#This Row],[Blue]]))),"")</f>
        <v/>
      </c>
      <c r="W622" s="125" t="str">
        <f>IF(Tab.o1[[#This Row],[a1]]=1,IF(W$3=0,1,Tab.o1[[#This Row],[Amp.]]*1/_xlfn.MINIFS(Tab.o1[Amp.],Tab.o1[Amp.],"&lt;&gt;0")),"")</f>
        <v/>
      </c>
      <c r="X622" s="126" t="str">
        <f>IF(Tab.o1[[#This Row],[a1]]=1,IF(ISNUMBER(Tab.o1[[#This Row],[i.]]),NORMDIST(Tab.o1[[#This Row],[Za]],0,1,FALSE)*Tab.o1[[#This Row],[i.]],AP$3),"")</f>
        <v/>
      </c>
      <c r="Y622" s="126" t="str">
        <f>IF(Tab.o1[[#This Row],[a1]]=1,0.01+0.94*Tab.o1[[#This Row],[PDF]]/MAX(Tab.o1[PDF]),"")</f>
        <v/>
      </c>
      <c r="Z622" s="126" t="str">
        <f>IF(Tab.o1[[#This Row],[a1]]=1,0.01+0.94*Tab.o1[[#This Row],[W1_PDF]]/MAX(Tab.o1[W1_PDF]),"")</f>
        <v/>
      </c>
      <c r="AA622" s="118" t="str">
        <f>IF(Tab.o1[[#This Row],[a1]]=1,ABS([1]!T.in.A[[#This Row],[oo6]]),"")</f>
        <v/>
      </c>
      <c r="AB622" s="127" t="str">
        <f>IF(Tab.o1[[#This Row],[a1]]=1,IF(AE$3=0,"",IF(AB$3=0,ABS([1]!T.in.A[[#This Row],[oo9]]),ABS(Tab.o1[[#This Row],[DIF_Target.]]*Tab.o1[[#This Row],[W1_PDF]]))),"")</f>
        <v/>
      </c>
      <c r="AC622" s="127" t="str">
        <f>IF(G$1=1,"",IF(Tab.o1[[#This Row],[a1]]=1,Tab.o1[[#This Row],[Wr]]^2,""))</f>
        <v/>
      </c>
      <c r="AD622" s="118" t="str">
        <f>IF(Tab.o1[[#This Row],[a1]]=1,IF(AE$3=0,"",Tab.o1[[#This Row],[Wr2]]/SUM(Tab.o1[Wr2])),"")</f>
        <v/>
      </c>
      <c r="AE622" s="128" t="str">
        <f>IF(Tab.o1[[#This Row],[a1]]=1,[1]!T.in.A[[#This Row],[oo10]],"")</f>
        <v/>
      </c>
      <c r="AF622" s="118" t="str">
        <f>IF(Tab.o1[[#This Row],[a1]]=1,ABS(Tab.o1[[#This Row],[DIF_Target.]]*Tab.o1[[#This Row],[PDF2]]*Tab.o1[[#This Row],[IN]]),"")</f>
        <v/>
      </c>
      <c r="AG622" s="129" t="str">
        <f>IF(Tab.o1[[#This Row],[a1]]=1,Tab.o1[[#This Row],[rW]]^2,"")</f>
        <v/>
      </c>
      <c r="AH622" s="130" t="str">
        <f>IF(Tab.o1[[#This Row],[a1]]=1,IF(AH$3=0,Tab.o1[[#This Row],[rW2]],0.01+0.94*Tab.o1[[#This Row],[rW2]]/SUM(Tab.o1[rW2])),"")</f>
        <v/>
      </c>
      <c r="AI622" s="128" t="str">
        <f>IF(Tab.o1[[#This Row],[a1]]=1,1/Tab.o1[[#This Row],[PDF]],"")</f>
        <v/>
      </c>
      <c r="AJ622" s="131" t="str">
        <f>IF(Tab.o1[[#This Row],[a1]]=1,[1]!T_AA[[#This Row],[IN'']]*[1]!T_AA[[#This Row],[Qde'']],"")</f>
        <v/>
      </c>
      <c r="AK622" s="132" t="str">
        <f>IF(Tab.o1[[#This Row],[a1]]=1,IF(AK$1=1,Tab.o1[[#This Row],[MED]]+Tab.o1[[#This Row],[MOD]]-Tab.o1[[#This Row],[MED]],""),"")</f>
        <v/>
      </c>
      <c r="AL622" s="133" t="str">
        <f>IF(Tab.o1[[#This Row],[a1]]=1,[1]!T.in.A[[#This Row],[oo16]],"")</f>
        <v/>
      </c>
      <c r="AM622" s="133" t="str">
        <f>IF(Tab.o1[[#This Row],[a1]]=1,IF(AM$3=1,[1]!T.in.A[[#This Row],[Σo16]],""),"")</f>
        <v/>
      </c>
      <c r="AN622" s="126" t="str">
        <f>IF(Tab.o1[[#This Row],[a1]]=1,[1]!T.in.A[[#This Row],[Σp5]],"")</f>
        <v/>
      </c>
      <c r="AO622" s="126" t="str">
        <f>IF(Tab.o1[[#This Row],[a1]]=1,IF(AO$3=1,[1]!T.in.A[[#This Row],[Σp5]],""),"")</f>
        <v/>
      </c>
      <c r="AP622" s="110" t="str">
        <f>IF(Tab.o1[[#This Row],[a1]]=1,IF(ISNUMBER(Tab.o1[[#This Row],[i.]]),NORMDIST(Tab.o1[[#This Row],[Za]],0,1,FALSE)*Tab.o1[[#This Row],[i.]],0),"")</f>
        <v/>
      </c>
      <c r="AQ622" s="125" t="str">
        <f>IF(Tab.o1[[#This Row],[a1]]=1,ABS(Tab.o1[[#This Row],[MOD]]-AVERAGE(Tab.o1[MOD])),"")</f>
        <v/>
      </c>
      <c r="AR622" s="134" t="str">
        <f>IF(Tab.o1[[#This Row],[a1]]=1,Tab.o1[[#This Row],[OBS]]/SUM(Tab.o1[OBS]),"")</f>
        <v/>
      </c>
      <c r="AS622" s="135" t="str">
        <f>IF(ISNUMBER(Tab.o1[[#This Row],[a1]]),ROW()-4,"")</f>
        <v/>
      </c>
      <c r="AT622" s="136" t="str">
        <f>Tab.o1[[#This Row],[MOD]]</f>
        <v/>
      </c>
      <c r="AU622" s="137" t="str">
        <f t="shared" si="37"/>
        <v/>
      </c>
      <c r="AV622" s="138" t="str">
        <f t="shared" si="38"/>
        <v/>
      </c>
      <c r="AW622" s="138" t="str">
        <f t="shared" si="39"/>
        <v/>
      </c>
      <c r="AX622" s="139" t="str">
        <f>[1]!T.in.A[[#This Row],[ID_T_manu]]</f>
        <v/>
      </c>
      <c r="AY622" s="140" t="str">
        <f>IF(ISNUMBER(Tab.o1[[#This Row],[a1]]),IF(AND(Tab.o1[[#This Row],[a1]]=1,Tab.o1[[#This Row],[b1]]&lt;=AY$4),#REF!,AY621),"")</f>
        <v/>
      </c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</row>
    <row r="623" spans="1:79" ht="15.75" hidden="1">
      <c r="A623" s="109">
        <v>8.0000000000000013E-6</v>
      </c>
      <c r="B623" s="110">
        <f t="shared" si="36"/>
        <v>623</v>
      </c>
      <c r="C623" s="111" t="str">
        <f>IF(C$1=[1]!T.in.A[[#This Row],[oo2]],1,"")</f>
        <v/>
      </c>
      <c r="D623" s="112" t="str">
        <f>IF(Tab.o1[[#This Row],[a1]]=1,IF(SUM(C623:C624)=0,0,IF(SUM(C622:C623)=1,1,IF(SUM(C622:C624)&gt;1,D622+1,0))),"")</f>
        <v/>
      </c>
      <c r="E623" s="113" t="str">
        <f>IF(Tab.o1[[#This Row],[a1]]=1,[1]!T.in.A[[#This Row],[oo1]],"")</f>
        <v/>
      </c>
      <c r="F623" s="113" t="str">
        <f>IF(Tab.o1[[#This Row],[a1]]=1,[1]!T.in.A[[#This Row],[pp1]],"")</f>
        <v/>
      </c>
      <c r="G623" s="114" t="str">
        <f>IF(Tab.o1[[#This Row],[a1]]=1,G$2+IF(G$1=1,0,Tab.o1[[#This Row],[.x1]])+[1]!T.in.A[[#This Row],[oo3]],"")</f>
        <v/>
      </c>
      <c r="H623" s="115" t="str">
        <f>IF(Tab.o1[[#This Row],[a1]]=1,IF(H$2=0,0,IF(G$1=1,0,Tab.o1[[#This Row],[.x1]])+[1]!T.in.A[[#This Row],[oo4]]),"")</f>
        <v/>
      </c>
      <c r="I623" s="116" t="str">
        <f>IF(Tab.o1[[#This Row],[a1]]=1,IF(J$2=0,Tab.o1[[#This Row],[MED]],Tab.o1[[#This Row],[MOD]]),"")</f>
        <v/>
      </c>
      <c r="J623" s="116" t="str">
        <f>IF(Tab.o1[[#This Row],[a1]]=1,((Tab.o1[[#This Row],[DIF_Target.]]-AVERAGE(Tab.o1[DIF_Target.]))/_xlfn.STDEV.P(Tab.o1[DIF_Target.])),"")</f>
        <v/>
      </c>
      <c r="K623" s="117" t="str">
        <f>IF(Tab.o1[[#This Row],[a1]]=1,IF(J$2=0,Tab.o1[[#This Row],[MOD]]-Tab.o1[[#This Row],[B]],IF(J$2=1,0,-Tab.o1[[#This Row],[MED]])+Tab.o1[[#This Row],[B]]),"")</f>
        <v/>
      </c>
      <c r="L623" s="117" t="str">
        <f ca="1">IF(Tab.o1[[#This Row],[DIF_Target]]=0,IF(L$2=0,Tab.o1[[#This Row],[DIF_Target]],AVERAGE(OFFSET(Tab.o1[[#This Row],[DIF_Target]],1,0,L$3,1)))/3,Tab.o1[[#This Row],[DIF_Target]])</f>
        <v/>
      </c>
      <c r="M623" s="118" t="str">
        <f>IF(Tab.o1[[#This Row],[a1]]=1,NORMSDIST(Tab.o1[[#This Row],[Za]]),"")</f>
        <v/>
      </c>
      <c r="N623" s="119" t="str">
        <f>IF(Tab.o1[[#This Row],[a1]]=1,((Tab.o1[[#This Row],[MedMod]]-AVERAGE(Tab.o1[MedMod]))/_xlfn.STDEV.P(Tab.o1[MedMod])*H$1205)+G$1205,"")</f>
        <v/>
      </c>
      <c r="O623" s="141" t="str">
        <f>IF(Tab.o1[[#This Row],[a1]]=1,Tab.o1[[#This Row],[Zb]]*_xlfn.STDEV.P(Tab.o1[MedMod])+AVERAGE(Tab.o1[MedMod]),"")</f>
        <v/>
      </c>
      <c r="P623" s="117" t="str">
        <f ca="1">IF(Tab.o1[[#This Row],[B]]=0,AVERAGE(OFFSET(Tab.o1[[#This Row],[B]],1,0,L$3,1)),Tab.o1[[#This Row],[B]])</f>
        <v/>
      </c>
      <c r="Q623" s="121" t="str">
        <f>IF(Tab.o1[[#This Row],[a1]]=1,NORMSDIST(Tab.o1[[#This Row],[Zb]]),"")</f>
        <v/>
      </c>
      <c r="R623" s="122" t="str">
        <f>IF(Tab.o1[[#This Row],[a1]]=1,((Tab.o1[[#This Row],[MedMod]]-AVERAGE(Tab.o1[MedMod]))/_xlfn.STDEV.P(Tab.o1[MedMod])*H$1203)+G$1203,"")</f>
        <v/>
      </c>
      <c r="S623" s="122" t="str">
        <f>IF(Tab.o1[[#This Row],[a1]]=1,((Tab.o1[[#This Row],[MedMod]]-AVERAGE(Tab.o1[MedMod]))/_xlfn.STDEV.P(Tab.o1[MedMod])*H$1204)+G$1204,"")</f>
        <v/>
      </c>
      <c r="T623" s="123" t="str">
        <f>IF(Tab.o1[[#This Row],[a1]]=1,Tab.o1[[#This Row],[Z-]]*_xlfn.STDEV.P(Tab.o1[B])+AVERAGE(Tab.o1[B]),"")</f>
        <v/>
      </c>
      <c r="U623" s="123" t="str">
        <f>IF(Tab.o1[[#This Row],[a1]]=1,Tab.o1[[#This Row],[z+]]*_xlfn.STDEV.P(Tab.o1[B])+AVERAGE(Tab.o1[B]),"")</f>
        <v/>
      </c>
      <c r="V623" s="124" t="str">
        <f>IF(Tab.o1[[#This Row],[a1]]=1,ABS((ABS(Tab.o1[[#This Row],[Red]]-Tab.o1[[#This Row],[Blue]]))),"")</f>
        <v/>
      </c>
      <c r="W623" s="125" t="str">
        <f>IF(Tab.o1[[#This Row],[a1]]=1,IF(W$3=0,1,Tab.o1[[#This Row],[Amp.]]*1/_xlfn.MINIFS(Tab.o1[Amp.],Tab.o1[Amp.],"&lt;&gt;0")),"")</f>
        <v/>
      </c>
      <c r="X623" s="126" t="str">
        <f>IF(Tab.o1[[#This Row],[a1]]=1,IF(ISNUMBER(Tab.o1[[#This Row],[i.]]),NORMDIST(Tab.o1[[#This Row],[Za]],0,1,FALSE)*Tab.o1[[#This Row],[i.]],AP$3),"")</f>
        <v/>
      </c>
      <c r="Y623" s="126" t="str">
        <f>IF(Tab.o1[[#This Row],[a1]]=1,0.01+0.94*Tab.o1[[#This Row],[PDF]]/MAX(Tab.o1[PDF]),"")</f>
        <v/>
      </c>
      <c r="Z623" s="126" t="str">
        <f>IF(Tab.o1[[#This Row],[a1]]=1,0.01+0.94*Tab.o1[[#This Row],[W1_PDF]]/MAX(Tab.o1[W1_PDF]),"")</f>
        <v/>
      </c>
      <c r="AA623" s="118" t="str">
        <f>IF(Tab.o1[[#This Row],[a1]]=1,ABS([1]!T.in.A[[#This Row],[oo6]]),"")</f>
        <v/>
      </c>
      <c r="AB623" s="127" t="str">
        <f>IF(Tab.o1[[#This Row],[a1]]=1,IF(AE$3=0,"",IF(AB$3=0,ABS([1]!T.in.A[[#This Row],[oo9]]),ABS(Tab.o1[[#This Row],[DIF_Target.]]*Tab.o1[[#This Row],[W1_PDF]]))),"")</f>
        <v/>
      </c>
      <c r="AC623" s="127" t="str">
        <f>IF(G$1=1,"",IF(Tab.o1[[#This Row],[a1]]=1,Tab.o1[[#This Row],[Wr]]^2,""))</f>
        <v/>
      </c>
      <c r="AD623" s="118" t="str">
        <f>IF(Tab.o1[[#This Row],[a1]]=1,IF(AE$3=0,"",Tab.o1[[#This Row],[Wr2]]/SUM(Tab.o1[Wr2])),"")</f>
        <v/>
      </c>
      <c r="AE623" s="128" t="str">
        <f>IF(Tab.o1[[#This Row],[a1]]=1,[1]!T.in.A[[#This Row],[oo10]],"")</f>
        <v/>
      </c>
      <c r="AF623" s="118" t="str">
        <f>IF(Tab.o1[[#This Row],[a1]]=1,ABS(Tab.o1[[#This Row],[DIF_Target.]]*Tab.o1[[#This Row],[PDF2]]*Tab.o1[[#This Row],[IN]]),"")</f>
        <v/>
      </c>
      <c r="AG623" s="129" t="str">
        <f>IF(Tab.o1[[#This Row],[a1]]=1,Tab.o1[[#This Row],[rW]]^2,"")</f>
        <v/>
      </c>
      <c r="AH623" s="130" t="str">
        <f>IF(Tab.o1[[#This Row],[a1]]=1,IF(AH$3=0,Tab.o1[[#This Row],[rW2]],0.01+0.94*Tab.o1[[#This Row],[rW2]]/SUM(Tab.o1[rW2])),"")</f>
        <v/>
      </c>
      <c r="AI623" s="128" t="str">
        <f>IF(Tab.o1[[#This Row],[a1]]=1,1/Tab.o1[[#This Row],[PDF]],"")</f>
        <v/>
      </c>
      <c r="AJ623" s="131" t="str">
        <f>IF(Tab.o1[[#This Row],[a1]]=1,[1]!T_AA[[#This Row],[IN'']]*[1]!T_AA[[#This Row],[Qde'']],"")</f>
        <v/>
      </c>
      <c r="AK623" s="132" t="str">
        <f>IF(Tab.o1[[#This Row],[a1]]=1,IF(AK$1=1,Tab.o1[[#This Row],[MED]]+Tab.o1[[#This Row],[MOD]]-Tab.o1[[#This Row],[MED]],""),"")</f>
        <v/>
      </c>
      <c r="AL623" s="133" t="str">
        <f>IF(Tab.o1[[#This Row],[a1]]=1,[1]!T.in.A[[#This Row],[oo16]],"")</f>
        <v/>
      </c>
      <c r="AM623" s="133" t="str">
        <f>IF(Tab.o1[[#This Row],[a1]]=1,IF(AM$3=1,[1]!T.in.A[[#This Row],[Σo16]],""),"")</f>
        <v/>
      </c>
      <c r="AN623" s="126" t="str">
        <f>IF(Tab.o1[[#This Row],[a1]]=1,[1]!T.in.A[[#This Row],[Σp5]],"")</f>
        <v/>
      </c>
      <c r="AO623" s="126" t="str">
        <f>IF(Tab.o1[[#This Row],[a1]]=1,IF(AO$3=1,[1]!T.in.A[[#This Row],[Σp5]],""),"")</f>
        <v/>
      </c>
      <c r="AP623" s="110" t="str">
        <f>IF(Tab.o1[[#This Row],[a1]]=1,IF(ISNUMBER(Tab.o1[[#This Row],[i.]]),NORMDIST(Tab.o1[[#This Row],[Za]],0,1,FALSE)*Tab.o1[[#This Row],[i.]],0),"")</f>
        <v/>
      </c>
      <c r="AQ623" s="125" t="str">
        <f>IF(Tab.o1[[#This Row],[a1]]=1,ABS(Tab.o1[[#This Row],[MOD]]-AVERAGE(Tab.o1[MOD])),"")</f>
        <v/>
      </c>
      <c r="AR623" s="134" t="str">
        <f>IF(Tab.o1[[#This Row],[a1]]=1,Tab.o1[[#This Row],[OBS]]/SUM(Tab.o1[OBS]),"")</f>
        <v/>
      </c>
      <c r="AS623" s="135" t="str">
        <f>IF(ISNUMBER(Tab.o1[[#This Row],[a1]]),ROW()-4,"")</f>
        <v/>
      </c>
      <c r="AT623" s="136" t="str">
        <f>Tab.o1[[#This Row],[MOD]]</f>
        <v/>
      </c>
      <c r="AU623" s="137" t="str">
        <f t="shared" si="37"/>
        <v/>
      </c>
      <c r="AV623" s="138" t="str">
        <f t="shared" si="38"/>
        <v/>
      </c>
      <c r="AW623" s="138" t="str">
        <f t="shared" si="39"/>
        <v/>
      </c>
      <c r="AX623" s="139" t="str">
        <f>[1]!T.in.A[[#This Row],[ID_T_manu]]</f>
        <v/>
      </c>
      <c r="AY623" s="140" t="str">
        <f>IF(ISNUMBER(Tab.o1[[#This Row],[a1]]),IF(AND(Tab.o1[[#This Row],[a1]]=1,Tab.o1[[#This Row],[b1]]&lt;=AY$4),#REF!,AY622),"")</f>
        <v/>
      </c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</row>
    <row r="624" spans="1:79" ht="15.75" hidden="1">
      <c r="A624" s="109">
        <v>-2.0000000000000003E-6</v>
      </c>
      <c r="B624" s="110">
        <f t="shared" si="36"/>
        <v>624</v>
      </c>
      <c r="C624" s="111" t="str">
        <f>IF(C$1=[1]!T.in.A[[#This Row],[oo2]],1,"")</f>
        <v/>
      </c>
      <c r="D624" s="112" t="str">
        <f>IF(Tab.o1[[#This Row],[a1]]=1,IF(SUM(C624:C625)=0,0,IF(SUM(C623:C624)=1,1,IF(SUM(C623:C625)&gt;1,D623+1,0))),"")</f>
        <v/>
      </c>
      <c r="E624" s="113" t="str">
        <f>IF(Tab.o1[[#This Row],[a1]]=1,[1]!T.in.A[[#This Row],[oo1]],"")</f>
        <v/>
      </c>
      <c r="F624" s="113" t="str">
        <f>IF(Tab.o1[[#This Row],[a1]]=1,[1]!T.in.A[[#This Row],[pp1]],"")</f>
        <v/>
      </c>
      <c r="G624" s="114" t="str">
        <f>IF(Tab.o1[[#This Row],[a1]]=1,G$2+IF(G$1=1,0,Tab.o1[[#This Row],[.x1]])+[1]!T.in.A[[#This Row],[oo3]],"")</f>
        <v/>
      </c>
      <c r="H624" s="115" t="str">
        <f>IF(Tab.o1[[#This Row],[a1]]=1,IF(H$2=0,0,IF(G$1=1,0,Tab.o1[[#This Row],[.x1]])+[1]!T.in.A[[#This Row],[oo4]]),"")</f>
        <v/>
      </c>
      <c r="I624" s="116" t="str">
        <f>IF(Tab.o1[[#This Row],[a1]]=1,IF(J$2=0,Tab.o1[[#This Row],[MED]],Tab.o1[[#This Row],[MOD]]),"")</f>
        <v/>
      </c>
      <c r="J624" s="116" t="str">
        <f>IF(Tab.o1[[#This Row],[a1]]=1,((Tab.o1[[#This Row],[DIF_Target.]]-AVERAGE(Tab.o1[DIF_Target.]))/_xlfn.STDEV.P(Tab.o1[DIF_Target.])),"")</f>
        <v/>
      </c>
      <c r="K624" s="117" t="str">
        <f>IF(Tab.o1[[#This Row],[a1]]=1,IF(J$2=0,Tab.o1[[#This Row],[MOD]]-Tab.o1[[#This Row],[B]],IF(J$2=1,0,-Tab.o1[[#This Row],[MED]])+Tab.o1[[#This Row],[B]]),"")</f>
        <v/>
      </c>
      <c r="L624" s="117" t="str">
        <f ca="1">IF(Tab.o1[[#This Row],[DIF_Target]]=0,IF(L$2=0,Tab.o1[[#This Row],[DIF_Target]],AVERAGE(OFFSET(Tab.o1[[#This Row],[DIF_Target]],1,0,L$3,1)))/3,Tab.o1[[#This Row],[DIF_Target]])</f>
        <v/>
      </c>
      <c r="M624" s="118" t="str">
        <f>IF(Tab.o1[[#This Row],[a1]]=1,NORMSDIST(Tab.o1[[#This Row],[Za]]),"")</f>
        <v/>
      </c>
      <c r="N624" s="119" t="str">
        <f>IF(Tab.o1[[#This Row],[a1]]=1,((Tab.o1[[#This Row],[MedMod]]-AVERAGE(Tab.o1[MedMod]))/_xlfn.STDEV.P(Tab.o1[MedMod])*H$1205)+G$1205,"")</f>
        <v/>
      </c>
      <c r="O624" s="141" t="str">
        <f>IF(Tab.o1[[#This Row],[a1]]=1,Tab.o1[[#This Row],[Zb]]*_xlfn.STDEV.P(Tab.o1[MedMod])+AVERAGE(Tab.o1[MedMod]),"")</f>
        <v/>
      </c>
      <c r="P624" s="117" t="str">
        <f ca="1">IF(Tab.o1[[#This Row],[B]]=0,AVERAGE(OFFSET(Tab.o1[[#This Row],[B]],1,0,L$3,1)),Tab.o1[[#This Row],[B]])</f>
        <v/>
      </c>
      <c r="Q624" s="121" t="str">
        <f>IF(Tab.o1[[#This Row],[a1]]=1,NORMSDIST(Tab.o1[[#This Row],[Zb]]),"")</f>
        <v/>
      </c>
      <c r="R624" s="122" t="str">
        <f>IF(Tab.o1[[#This Row],[a1]]=1,((Tab.o1[[#This Row],[MedMod]]-AVERAGE(Tab.o1[MedMod]))/_xlfn.STDEV.P(Tab.o1[MedMod])*H$1203)+G$1203,"")</f>
        <v/>
      </c>
      <c r="S624" s="122" t="str">
        <f>IF(Tab.o1[[#This Row],[a1]]=1,((Tab.o1[[#This Row],[MedMod]]-AVERAGE(Tab.o1[MedMod]))/_xlfn.STDEV.P(Tab.o1[MedMod])*H$1204)+G$1204,"")</f>
        <v/>
      </c>
      <c r="T624" s="123" t="str">
        <f>IF(Tab.o1[[#This Row],[a1]]=1,Tab.o1[[#This Row],[Z-]]*_xlfn.STDEV.P(Tab.o1[B])+AVERAGE(Tab.o1[B]),"")</f>
        <v/>
      </c>
      <c r="U624" s="123" t="str">
        <f>IF(Tab.o1[[#This Row],[a1]]=1,Tab.o1[[#This Row],[z+]]*_xlfn.STDEV.P(Tab.o1[B])+AVERAGE(Tab.o1[B]),"")</f>
        <v/>
      </c>
      <c r="V624" s="124" t="str">
        <f>IF(Tab.o1[[#This Row],[a1]]=1,ABS((ABS(Tab.o1[[#This Row],[Red]]-Tab.o1[[#This Row],[Blue]]))),"")</f>
        <v/>
      </c>
      <c r="W624" s="125" t="str">
        <f>IF(Tab.o1[[#This Row],[a1]]=1,IF(W$3=0,1,Tab.o1[[#This Row],[Amp.]]*1/_xlfn.MINIFS(Tab.o1[Amp.],Tab.o1[Amp.],"&lt;&gt;0")),"")</f>
        <v/>
      </c>
      <c r="X624" s="126" t="str">
        <f>IF(Tab.o1[[#This Row],[a1]]=1,IF(ISNUMBER(Tab.o1[[#This Row],[i.]]),NORMDIST(Tab.o1[[#This Row],[Za]],0,1,FALSE)*Tab.o1[[#This Row],[i.]],AP$3),"")</f>
        <v/>
      </c>
      <c r="Y624" s="126" t="str">
        <f>IF(Tab.o1[[#This Row],[a1]]=1,0.01+0.94*Tab.o1[[#This Row],[PDF]]/MAX(Tab.o1[PDF]),"")</f>
        <v/>
      </c>
      <c r="Z624" s="126" t="str">
        <f>IF(Tab.o1[[#This Row],[a1]]=1,0.01+0.94*Tab.o1[[#This Row],[W1_PDF]]/MAX(Tab.o1[W1_PDF]),"")</f>
        <v/>
      </c>
      <c r="AA624" s="118" t="str">
        <f>IF(Tab.o1[[#This Row],[a1]]=1,ABS([1]!T.in.A[[#This Row],[oo6]]),"")</f>
        <v/>
      </c>
      <c r="AB624" s="127" t="str">
        <f>IF(Tab.o1[[#This Row],[a1]]=1,IF(AE$3=0,"",IF(AB$3=0,ABS([1]!T.in.A[[#This Row],[oo9]]),ABS(Tab.o1[[#This Row],[DIF_Target.]]*Tab.o1[[#This Row],[W1_PDF]]))),"")</f>
        <v/>
      </c>
      <c r="AC624" s="127" t="str">
        <f>IF(G$1=1,"",IF(Tab.o1[[#This Row],[a1]]=1,Tab.o1[[#This Row],[Wr]]^2,""))</f>
        <v/>
      </c>
      <c r="AD624" s="118" t="str">
        <f>IF(Tab.o1[[#This Row],[a1]]=1,IF(AE$3=0,"",Tab.o1[[#This Row],[Wr2]]/SUM(Tab.o1[Wr2])),"")</f>
        <v/>
      </c>
      <c r="AE624" s="128" t="str">
        <f>IF(Tab.o1[[#This Row],[a1]]=1,[1]!T.in.A[[#This Row],[oo10]],"")</f>
        <v/>
      </c>
      <c r="AF624" s="118" t="str">
        <f>IF(Tab.o1[[#This Row],[a1]]=1,ABS(Tab.o1[[#This Row],[DIF_Target.]]*Tab.o1[[#This Row],[PDF2]]*Tab.o1[[#This Row],[IN]]),"")</f>
        <v/>
      </c>
      <c r="AG624" s="129" t="str">
        <f>IF(Tab.o1[[#This Row],[a1]]=1,Tab.o1[[#This Row],[rW]]^2,"")</f>
        <v/>
      </c>
      <c r="AH624" s="130" t="str">
        <f>IF(Tab.o1[[#This Row],[a1]]=1,IF(AH$3=0,Tab.o1[[#This Row],[rW2]],0.01+0.94*Tab.o1[[#This Row],[rW2]]/SUM(Tab.o1[rW2])),"")</f>
        <v/>
      </c>
      <c r="AI624" s="128" t="str">
        <f>IF(Tab.o1[[#This Row],[a1]]=1,1/Tab.o1[[#This Row],[PDF]],"")</f>
        <v/>
      </c>
      <c r="AJ624" s="131" t="str">
        <f>IF(Tab.o1[[#This Row],[a1]]=1,[1]!T_AA[[#This Row],[IN'']]*[1]!T_AA[[#This Row],[Qde'']],"")</f>
        <v/>
      </c>
      <c r="AK624" s="132" t="str">
        <f>IF(Tab.o1[[#This Row],[a1]]=1,IF(AK$1=1,Tab.o1[[#This Row],[MED]]+Tab.o1[[#This Row],[MOD]]-Tab.o1[[#This Row],[MED]],""),"")</f>
        <v/>
      </c>
      <c r="AL624" s="133" t="str">
        <f>IF(Tab.o1[[#This Row],[a1]]=1,[1]!T.in.A[[#This Row],[oo16]],"")</f>
        <v/>
      </c>
      <c r="AM624" s="133" t="str">
        <f>IF(Tab.o1[[#This Row],[a1]]=1,IF(AM$3=1,[1]!T.in.A[[#This Row],[Σo16]],""),"")</f>
        <v/>
      </c>
      <c r="AN624" s="126" t="str">
        <f>IF(Tab.o1[[#This Row],[a1]]=1,[1]!T.in.A[[#This Row],[Σp5]],"")</f>
        <v/>
      </c>
      <c r="AO624" s="126" t="str">
        <f>IF(Tab.o1[[#This Row],[a1]]=1,IF(AO$3=1,[1]!T.in.A[[#This Row],[Σp5]],""),"")</f>
        <v/>
      </c>
      <c r="AP624" s="110" t="str">
        <f>IF(Tab.o1[[#This Row],[a1]]=1,IF(ISNUMBER(Tab.o1[[#This Row],[i.]]),NORMDIST(Tab.o1[[#This Row],[Za]],0,1,FALSE)*Tab.o1[[#This Row],[i.]],0),"")</f>
        <v/>
      </c>
      <c r="AQ624" s="125" t="str">
        <f>IF(Tab.o1[[#This Row],[a1]]=1,ABS(Tab.o1[[#This Row],[MOD]]-AVERAGE(Tab.o1[MOD])),"")</f>
        <v/>
      </c>
      <c r="AR624" s="134" t="str">
        <f>IF(Tab.o1[[#This Row],[a1]]=1,Tab.o1[[#This Row],[OBS]]/SUM(Tab.o1[OBS]),"")</f>
        <v/>
      </c>
      <c r="AS624" s="135" t="str">
        <f>IF(ISNUMBER(Tab.o1[[#This Row],[a1]]),ROW()-4,"")</f>
        <v/>
      </c>
      <c r="AT624" s="136" t="str">
        <f>Tab.o1[[#This Row],[MOD]]</f>
        <v/>
      </c>
      <c r="AU624" s="137" t="str">
        <f t="shared" si="37"/>
        <v/>
      </c>
      <c r="AV624" s="138" t="str">
        <f t="shared" si="38"/>
        <v/>
      </c>
      <c r="AW624" s="138" t="str">
        <f t="shared" si="39"/>
        <v/>
      </c>
      <c r="AX624" s="139" t="str">
        <f>[1]!T.in.A[[#This Row],[ID_T_manu]]</f>
        <v/>
      </c>
      <c r="AY624" s="140" t="str">
        <f>IF(ISNUMBER(Tab.o1[[#This Row],[a1]]),IF(AND(Tab.o1[[#This Row],[a1]]=1,Tab.o1[[#This Row],[b1]]&lt;=AY$4),#REF!,AY623),"")</f>
        <v/>
      </c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</row>
    <row r="625" spans="1:79" ht="15.75" hidden="1">
      <c r="A625" s="109">
        <v>-4.0000000000000007E-6</v>
      </c>
      <c r="B625" s="110">
        <f t="shared" si="36"/>
        <v>625</v>
      </c>
      <c r="C625" s="111" t="str">
        <f>IF(C$1=[1]!T.in.A[[#This Row],[oo2]],1,"")</f>
        <v/>
      </c>
      <c r="D625" s="112" t="str">
        <f>IF(Tab.o1[[#This Row],[a1]]=1,IF(SUM(C625:C626)=0,0,IF(SUM(C624:C625)=1,1,IF(SUM(C624:C626)&gt;1,D624+1,0))),"")</f>
        <v/>
      </c>
      <c r="E625" s="113" t="str">
        <f>IF(Tab.o1[[#This Row],[a1]]=1,[1]!T.in.A[[#This Row],[oo1]],"")</f>
        <v/>
      </c>
      <c r="F625" s="113" t="str">
        <f>IF(Tab.o1[[#This Row],[a1]]=1,[1]!T.in.A[[#This Row],[pp1]],"")</f>
        <v/>
      </c>
      <c r="G625" s="114" t="str">
        <f>IF(Tab.o1[[#This Row],[a1]]=1,G$2+IF(G$1=1,0,Tab.o1[[#This Row],[.x1]])+[1]!T.in.A[[#This Row],[oo3]],"")</f>
        <v/>
      </c>
      <c r="H625" s="115" t="str">
        <f>IF(Tab.o1[[#This Row],[a1]]=1,IF(H$2=0,0,IF(G$1=1,0,Tab.o1[[#This Row],[.x1]])+[1]!T.in.A[[#This Row],[oo4]]),"")</f>
        <v/>
      </c>
      <c r="I625" s="116" t="str">
        <f>IF(Tab.o1[[#This Row],[a1]]=1,IF(J$2=0,Tab.o1[[#This Row],[MED]],Tab.o1[[#This Row],[MOD]]),"")</f>
        <v/>
      </c>
      <c r="J625" s="116" t="str">
        <f>IF(Tab.o1[[#This Row],[a1]]=1,((Tab.o1[[#This Row],[DIF_Target.]]-AVERAGE(Tab.o1[DIF_Target.]))/_xlfn.STDEV.P(Tab.o1[DIF_Target.])),"")</f>
        <v/>
      </c>
      <c r="K625" s="117" t="str">
        <f>IF(Tab.o1[[#This Row],[a1]]=1,IF(J$2=0,Tab.o1[[#This Row],[MOD]]-Tab.o1[[#This Row],[B]],IF(J$2=1,0,-Tab.o1[[#This Row],[MED]])+Tab.o1[[#This Row],[B]]),"")</f>
        <v/>
      </c>
      <c r="L625" s="117" t="str">
        <f ca="1">IF(Tab.o1[[#This Row],[DIF_Target]]=0,IF(L$2=0,Tab.o1[[#This Row],[DIF_Target]],AVERAGE(OFFSET(Tab.o1[[#This Row],[DIF_Target]],1,0,L$3,1)))/3,Tab.o1[[#This Row],[DIF_Target]])</f>
        <v/>
      </c>
      <c r="M625" s="118" t="str">
        <f>IF(Tab.o1[[#This Row],[a1]]=1,NORMSDIST(Tab.o1[[#This Row],[Za]]),"")</f>
        <v/>
      </c>
      <c r="N625" s="119" t="str">
        <f>IF(Tab.o1[[#This Row],[a1]]=1,((Tab.o1[[#This Row],[MedMod]]-AVERAGE(Tab.o1[MedMod]))/_xlfn.STDEV.P(Tab.o1[MedMod])*H$1205)+G$1205,"")</f>
        <v/>
      </c>
      <c r="O625" s="141" t="str">
        <f>IF(Tab.o1[[#This Row],[a1]]=1,Tab.o1[[#This Row],[Zb]]*_xlfn.STDEV.P(Tab.o1[MedMod])+AVERAGE(Tab.o1[MedMod]),"")</f>
        <v/>
      </c>
      <c r="P625" s="117" t="str">
        <f ca="1">IF(Tab.o1[[#This Row],[B]]=0,AVERAGE(OFFSET(Tab.o1[[#This Row],[B]],1,0,L$3,1)),Tab.o1[[#This Row],[B]])</f>
        <v/>
      </c>
      <c r="Q625" s="121" t="str">
        <f>IF(Tab.o1[[#This Row],[a1]]=1,NORMSDIST(Tab.o1[[#This Row],[Zb]]),"")</f>
        <v/>
      </c>
      <c r="R625" s="122" t="str">
        <f>IF(Tab.o1[[#This Row],[a1]]=1,((Tab.o1[[#This Row],[MedMod]]-AVERAGE(Tab.o1[MedMod]))/_xlfn.STDEV.P(Tab.o1[MedMod])*H$1203)+G$1203,"")</f>
        <v/>
      </c>
      <c r="S625" s="122" t="str">
        <f>IF(Tab.o1[[#This Row],[a1]]=1,((Tab.o1[[#This Row],[MedMod]]-AVERAGE(Tab.o1[MedMod]))/_xlfn.STDEV.P(Tab.o1[MedMod])*H$1204)+G$1204,"")</f>
        <v/>
      </c>
      <c r="T625" s="123" t="str">
        <f>IF(Tab.o1[[#This Row],[a1]]=1,Tab.o1[[#This Row],[Z-]]*_xlfn.STDEV.P(Tab.o1[B])+AVERAGE(Tab.o1[B]),"")</f>
        <v/>
      </c>
      <c r="U625" s="123" t="str">
        <f>IF(Tab.o1[[#This Row],[a1]]=1,Tab.o1[[#This Row],[z+]]*_xlfn.STDEV.P(Tab.o1[B])+AVERAGE(Tab.o1[B]),"")</f>
        <v/>
      </c>
      <c r="V625" s="124" t="str">
        <f>IF(Tab.o1[[#This Row],[a1]]=1,ABS((ABS(Tab.o1[[#This Row],[Red]]-Tab.o1[[#This Row],[Blue]]))),"")</f>
        <v/>
      </c>
      <c r="W625" s="125" t="str">
        <f>IF(Tab.o1[[#This Row],[a1]]=1,IF(W$3=0,1,Tab.o1[[#This Row],[Amp.]]*1/_xlfn.MINIFS(Tab.o1[Amp.],Tab.o1[Amp.],"&lt;&gt;0")),"")</f>
        <v/>
      </c>
      <c r="X625" s="126" t="str">
        <f>IF(Tab.o1[[#This Row],[a1]]=1,IF(ISNUMBER(Tab.o1[[#This Row],[i.]]),NORMDIST(Tab.o1[[#This Row],[Za]],0,1,FALSE)*Tab.o1[[#This Row],[i.]],AP$3),"")</f>
        <v/>
      </c>
      <c r="Y625" s="126" t="str">
        <f>IF(Tab.o1[[#This Row],[a1]]=1,0.01+0.94*Tab.o1[[#This Row],[PDF]]/MAX(Tab.o1[PDF]),"")</f>
        <v/>
      </c>
      <c r="Z625" s="126" t="str">
        <f>IF(Tab.o1[[#This Row],[a1]]=1,0.01+0.94*Tab.o1[[#This Row],[W1_PDF]]/MAX(Tab.o1[W1_PDF]),"")</f>
        <v/>
      </c>
      <c r="AA625" s="118" t="str">
        <f>IF(Tab.o1[[#This Row],[a1]]=1,ABS([1]!T.in.A[[#This Row],[oo6]]),"")</f>
        <v/>
      </c>
      <c r="AB625" s="127" t="str">
        <f>IF(Tab.o1[[#This Row],[a1]]=1,IF(AE$3=0,"",IF(AB$3=0,ABS([1]!T.in.A[[#This Row],[oo9]]),ABS(Tab.o1[[#This Row],[DIF_Target.]]*Tab.o1[[#This Row],[W1_PDF]]))),"")</f>
        <v/>
      </c>
      <c r="AC625" s="127" t="str">
        <f>IF(G$1=1,"",IF(Tab.o1[[#This Row],[a1]]=1,Tab.o1[[#This Row],[Wr]]^2,""))</f>
        <v/>
      </c>
      <c r="AD625" s="118" t="str">
        <f>IF(Tab.o1[[#This Row],[a1]]=1,IF(AE$3=0,"",Tab.o1[[#This Row],[Wr2]]/SUM(Tab.o1[Wr2])),"")</f>
        <v/>
      </c>
      <c r="AE625" s="128" t="str">
        <f>IF(Tab.o1[[#This Row],[a1]]=1,[1]!T.in.A[[#This Row],[oo10]],"")</f>
        <v/>
      </c>
      <c r="AF625" s="118" t="str">
        <f>IF(Tab.o1[[#This Row],[a1]]=1,ABS(Tab.o1[[#This Row],[DIF_Target.]]*Tab.o1[[#This Row],[PDF2]]*Tab.o1[[#This Row],[IN]]),"")</f>
        <v/>
      </c>
      <c r="AG625" s="129" t="str">
        <f>IF(Tab.o1[[#This Row],[a1]]=1,Tab.o1[[#This Row],[rW]]^2,"")</f>
        <v/>
      </c>
      <c r="AH625" s="130" t="str">
        <f>IF(Tab.o1[[#This Row],[a1]]=1,IF(AH$3=0,Tab.o1[[#This Row],[rW2]],0.01+0.94*Tab.o1[[#This Row],[rW2]]/SUM(Tab.o1[rW2])),"")</f>
        <v/>
      </c>
      <c r="AI625" s="128" t="str">
        <f>IF(Tab.o1[[#This Row],[a1]]=1,1/Tab.o1[[#This Row],[PDF]],"")</f>
        <v/>
      </c>
      <c r="AJ625" s="131" t="str">
        <f>IF(Tab.o1[[#This Row],[a1]]=1,[1]!T_AA[[#This Row],[IN'']]*[1]!T_AA[[#This Row],[Qde'']],"")</f>
        <v/>
      </c>
      <c r="AK625" s="132" t="str">
        <f>IF(Tab.o1[[#This Row],[a1]]=1,IF(AK$1=1,Tab.o1[[#This Row],[MED]]+Tab.o1[[#This Row],[MOD]]-Tab.o1[[#This Row],[MED]],""),"")</f>
        <v/>
      </c>
      <c r="AL625" s="133" t="str">
        <f>IF(Tab.o1[[#This Row],[a1]]=1,[1]!T.in.A[[#This Row],[oo16]],"")</f>
        <v/>
      </c>
      <c r="AM625" s="133" t="str">
        <f>IF(Tab.o1[[#This Row],[a1]]=1,IF(AM$3=1,[1]!T.in.A[[#This Row],[Σo16]],""),"")</f>
        <v/>
      </c>
      <c r="AN625" s="126" t="str">
        <f>IF(Tab.o1[[#This Row],[a1]]=1,[1]!T.in.A[[#This Row],[Σp5]],"")</f>
        <v/>
      </c>
      <c r="AO625" s="126" t="str">
        <f>IF(Tab.o1[[#This Row],[a1]]=1,IF(AO$3=1,[1]!T.in.A[[#This Row],[Σp5]],""),"")</f>
        <v/>
      </c>
      <c r="AP625" s="110" t="str">
        <f>IF(Tab.o1[[#This Row],[a1]]=1,IF(ISNUMBER(Tab.o1[[#This Row],[i.]]),NORMDIST(Tab.o1[[#This Row],[Za]],0,1,FALSE)*Tab.o1[[#This Row],[i.]],0),"")</f>
        <v/>
      </c>
      <c r="AQ625" s="125" t="str">
        <f>IF(Tab.o1[[#This Row],[a1]]=1,ABS(Tab.o1[[#This Row],[MOD]]-AVERAGE(Tab.o1[MOD])),"")</f>
        <v/>
      </c>
      <c r="AR625" s="134" t="str">
        <f>IF(Tab.o1[[#This Row],[a1]]=1,Tab.o1[[#This Row],[OBS]]/SUM(Tab.o1[OBS]),"")</f>
        <v/>
      </c>
      <c r="AS625" s="135" t="str">
        <f>IF(ISNUMBER(Tab.o1[[#This Row],[a1]]),ROW()-4,"")</f>
        <v/>
      </c>
      <c r="AT625" s="136" t="str">
        <f>Tab.o1[[#This Row],[MOD]]</f>
        <v/>
      </c>
      <c r="AU625" s="137" t="str">
        <f t="shared" si="37"/>
        <v/>
      </c>
      <c r="AV625" s="138" t="str">
        <f t="shared" si="38"/>
        <v/>
      </c>
      <c r="AW625" s="138" t="str">
        <f t="shared" si="39"/>
        <v/>
      </c>
      <c r="AX625" s="139" t="str">
        <f>[1]!T.in.A[[#This Row],[ID_T_manu]]</f>
        <v/>
      </c>
      <c r="AY625" s="140" t="str">
        <f>IF(ISNUMBER(Tab.o1[[#This Row],[a1]]),IF(AND(Tab.o1[[#This Row],[a1]]=1,Tab.o1[[#This Row],[b1]]&lt;=AY$4),#REF!,AY624),"")</f>
        <v/>
      </c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</row>
    <row r="626" spans="1:79" ht="15.75" hidden="1">
      <c r="A626" s="109">
        <v>-2.9999999999999997E-6</v>
      </c>
      <c r="B626" s="110">
        <f t="shared" si="36"/>
        <v>626</v>
      </c>
      <c r="C626" s="111" t="str">
        <f>IF(C$1=[1]!T.in.A[[#This Row],[oo2]],1,"")</f>
        <v/>
      </c>
      <c r="D626" s="112" t="str">
        <f>IF(Tab.o1[[#This Row],[a1]]=1,IF(SUM(C626:C627)=0,0,IF(SUM(C625:C626)=1,1,IF(SUM(C625:C627)&gt;1,D625+1,0))),"")</f>
        <v/>
      </c>
      <c r="E626" s="113" t="str">
        <f>IF(Tab.o1[[#This Row],[a1]]=1,[1]!T.in.A[[#This Row],[oo1]],"")</f>
        <v/>
      </c>
      <c r="F626" s="113" t="str">
        <f>IF(Tab.o1[[#This Row],[a1]]=1,[1]!T.in.A[[#This Row],[pp1]],"")</f>
        <v/>
      </c>
      <c r="G626" s="114" t="str">
        <f>IF(Tab.o1[[#This Row],[a1]]=1,G$2+IF(G$1=1,0,Tab.o1[[#This Row],[.x1]])+[1]!T.in.A[[#This Row],[oo3]],"")</f>
        <v/>
      </c>
      <c r="H626" s="115" t="str">
        <f>IF(Tab.o1[[#This Row],[a1]]=1,IF(H$2=0,0,IF(G$1=1,0,Tab.o1[[#This Row],[.x1]])+[1]!T.in.A[[#This Row],[oo4]]),"")</f>
        <v/>
      </c>
      <c r="I626" s="116" t="str">
        <f>IF(Tab.o1[[#This Row],[a1]]=1,IF(J$2=0,Tab.o1[[#This Row],[MED]],Tab.o1[[#This Row],[MOD]]),"")</f>
        <v/>
      </c>
      <c r="J626" s="116" t="str">
        <f>IF(Tab.o1[[#This Row],[a1]]=1,((Tab.o1[[#This Row],[DIF_Target.]]-AVERAGE(Tab.o1[DIF_Target.]))/_xlfn.STDEV.P(Tab.o1[DIF_Target.])),"")</f>
        <v/>
      </c>
      <c r="K626" s="117" t="str">
        <f>IF(Tab.o1[[#This Row],[a1]]=1,IF(J$2=0,Tab.o1[[#This Row],[MOD]]-Tab.o1[[#This Row],[B]],IF(J$2=1,0,-Tab.o1[[#This Row],[MED]])+Tab.o1[[#This Row],[B]]),"")</f>
        <v/>
      </c>
      <c r="L626" s="117" t="str">
        <f ca="1">IF(Tab.o1[[#This Row],[DIF_Target]]=0,IF(L$2=0,Tab.o1[[#This Row],[DIF_Target]],AVERAGE(OFFSET(Tab.o1[[#This Row],[DIF_Target]],1,0,L$3,1)))/3,Tab.o1[[#This Row],[DIF_Target]])</f>
        <v/>
      </c>
      <c r="M626" s="118" t="str">
        <f>IF(Tab.o1[[#This Row],[a1]]=1,NORMSDIST(Tab.o1[[#This Row],[Za]]),"")</f>
        <v/>
      </c>
      <c r="N626" s="119" t="str">
        <f>IF(Tab.o1[[#This Row],[a1]]=1,((Tab.o1[[#This Row],[MedMod]]-AVERAGE(Tab.o1[MedMod]))/_xlfn.STDEV.P(Tab.o1[MedMod])*H$1205)+G$1205,"")</f>
        <v/>
      </c>
      <c r="O626" s="141" t="str">
        <f>IF(Tab.o1[[#This Row],[a1]]=1,Tab.o1[[#This Row],[Zb]]*_xlfn.STDEV.P(Tab.o1[MedMod])+AVERAGE(Tab.o1[MedMod]),"")</f>
        <v/>
      </c>
      <c r="P626" s="117" t="str">
        <f ca="1">IF(Tab.o1[[#This Row],[B]]=0,AVERAGE(OFFSET(Tab.o1[[#This Row],[B]],1,0,L$3,1)),Tab.o1[[#This Row],[B]])</f>
        <v/>
      </c>
      <c r="Q626" s="121" t="str">
        <f>IF(Tab.o1[[#This Row],[a1]]=1,NORMSDIST(Tab.o1[[#This Row],[Zb]]),"")</f>
        <v/>
      </c>
      <c r="R626" s="122" t="str">
        <f>IF(Tab.o1[[#This Row],[a1]]=1,((Tab.o1[[#This Row],[MedMod]]-AVERAGE(Tab.o1[MedMod]))/_xlfn.STDEV.P(Tab.o1[MedMod])*H$1203)+G$1203,"")</f>
        <v/>
      </c>
      <c r="S626" s="122" t="str">
        <f>IF(Tab.o1[[#This Row],[a1]]=1,((Tab.o1[[#This Row],[MedMod]]-AVERAGE(Tab.o1[MedMod]))/_xlfn.STDEV.P(Tab.o1[MedMod])*H$1204)+G$1204,"")</f>
        <v/>
      </c>
      <c r="T626" s="123" t="str">
        <f>IF(Tab.o1[[#This Row],[a1]]=1,Tab.o1[[#This Row],[Z-]]*_xlfn.STDEV.P(Tab.o1[B])+AVERAGE(Tab.o1[B]),"")</f>
        <v/>
      </c>
      <c r="U626" s="123" t="str">
        <f>IF(Tab.o1[[#This Row],[a1]]=1,Tab.o1[[#This Row],[z+]]*_xlfn.STDEV.P(Tab.o1[B])+AVERAGE(Tab.o1[B]),"")</f>
        <v/>
      </c>
      <c r="V626" s="124" t="str">
        <f>IF(Tab.o1[[#This Row],[a1]]=1,ABS((ABS(Tab.o1[[#This Row],[Red]]-Tab.o1[[#This Row],[Blue]]))),"")</f>
        <v/>
      </c>
      <c r="W626" s="125" t="str">
        <f>IF(Tab.o1[[#This Row],[a1]]=1,IF(W$3=0,1,Tab.o1[[#This Row],[Amp.]]*1/_xlfn.MINIFS(Tab.o1[Amp.],Tab.o1[Amp.],"&lt;&gt;0")),"")</f>
        <v/>
      </c>
      <c r="X626" s="126" t="str">
        <f>IF(Tab.o1[[#This Row],[a1]]=1,IF(ISNUMBER(Tab.o1[[#This Row],[i.]]),NORMDIST(Tab.o1[[#This Row],[Za]],0,1,FALSE)*Tab.o1[[#This Row],[i.]],AP$3),"")</f>
        <v/>
      </c>
      <c r="Y626" s="126" t="str">
        <f>IF(Tab.o1[[#This Row],[a1]]=1,0.01+0.94*Tab.o1[[#This Row],[PDF]]/MAX(Tab.o1[PDF]),"")</f>
        <v/>
      </c>
      <c r="Z626" s="126" t="str">
        <f>IF(Tab.o1[[#This Row],[a1]]=1,0.01+0.94*Tab.o1[[#This Row],[W1_PDF]]/MAX(Tab.o1[W1_PDF]),"")</f>
        <v/>
      </c>
      <c r="AA626" s="118" t="str">
        <f>IF(Tab.o1[[#This Row],[a1]]=1,ABS([1]!T.in.A[[#This Row],[oo6]]),"")</f>
        <v/>
      </c>
      <c r="AB626" s="127" t="str">
        <f>IF(Tab.o1[[#This Row],[a1]]=1,IF(AE$3=0,"",IF(AB$3=0,ABS([1]!T.in.A[[#This Row],[oo9]]),ABS(Tab.o1[[#This Row],[DIF_Target.]]*Tab.o1[[#This Row],[W1_PDF]]))),"")</f>
        <v/>
      </c>
      <c r="AC626" s="127" t="str">
        <f>IF(G$1=1,"",IF(Tab.o1[[#This Row],[a1]]=1,Tab.o1[[#This Row],[Wr]]^2,""))</f>
        <v/>
      </c>
      <c r="AD626" s="118" t="str">
        <f>IF(Tab.o1[[#This Row],[a1]]=1,IF(AE$3=0,"",Tab.o1[[#This Row],[Wr2]]/SUM(Tab.o1[Wr2])),"")</f>
        <v/>
      </c>
      <c r="AE626" s="128" t="str">
        <f>IF(Tab.o1[[#This Row],[a1]]=1,[1]!T.in.A[[#This Row],[oo10]],"")</f>
        <v/>
      </c>
      <c r="AF626" s="118" t="str">
        <f>IF(Tab.o1[[#This Row],[a1]]=1,ABS(Tab.o1[[#This Row],[DIF_Target.]]*Tab.o1[[#This Row],[PDF2]]*Tab.o1[[#This Row],[IN]]),"")</f>
        <v/>
      </c>
      <c r="AG626" s="129" t="str">
        <f>IF(Tab.o1[[#This Row],[a1]]=1,Tab.o1[[#This Row],[rW]]^2,"")</f>
        <v/>
      </c>
      <c r="AH626" s="130" t="str">
        <f>IF(Tab.o1[[#This Row],[a1]]=1,IF(AH$3=0,Tab.o1[[#This Row],[rW2]],0.01+0.94*Tab.o1[[#This Row],[rW2]]/SUM(Tab.o1[rW2])),"")</f>
        <v/>
      </c>
      <c r="AI626" s="128" t="str">
        <f>IF(Tab.o1[[#This Row],[a1]]=1,1/Tab.o1[[#This Row],[PDF]],"")</f>
        <v/>
      </c>
      <c r="AJ626" s="131" t="str">
        <f>IF(Tab.o1[[#This Row],[a1]]=1,[1]!T_AA[[#This Row],[IN'']]*[1]!T_AA[[#This Row],[Qde'']],"")</f>
        <v/>
      </c>
      <c r="AK626" s="132" t="str">
        <f>IF(Tab.o1[[#This Row],[a1]]=1,IF(AK$1=1,Tab.o1[[#This Row],[MED]]+Tab.o1[[#This Row],[MOD]]-Tab.o1[[#This Row],[MED]],""),"")</f>
        <v/>
      </c>
      <c r="AL626" s="133" t="str">
        <f>IF(Tab.o1[[#This Row],[a1]]=1,[1]!T.in.A[[#This Row],[oo16]],"")</f>
        <v/>
      </c>
      <c r="AM626" s="133" t="str">
        <f>IF(Tab.o1[[#This Row],[a1]]=1,IF(AM$3=1,[1]!T.in.A[[#This Row],[Σo16]],""),"")</f>
        <v/>
      </c>
      <c r="AN626" s="126" t="str">
        <f>IF(Tab.o1[[#This Row],[a1]]=1,[1]!T.in.A[[#This Row],[Σp5]],"")</f>
        <v/>
      </c>
      <c r="AO626" s="126" t="str">
        <f>IF(Tab.o1[[#This Row],[a1]]=1,IF(AO$3=1,[1]!T.in.A[[#This Row],[Σp5]],""),"")</f>
        <v/>
      </c>
      <c r="AP626" s="110" t="str">
        <f>IF(Tab.o1[[#This Row],[a1]]=1,IF(ISNUMBER(Tab.o1[[#This Row],[i.]]),NORMDIST(Tab.o1[[#This Row],[Za]],0,1,FALSE)*Tab.o1[[#This Row],[i.]],0),"")</f>
        <v/>
      </c>
      <c r="AQ626" s="125" t="str">
        <f>IF(Tab.o1[[#This Row],[a1]]=1,ABS(Tab.o1[[#This Row],[MOD]]-AVERAGE(Tab.o1[MOD])),"")</f>
        <v/>
      </c>
      <c r="AR626" s="134" t="str">
        <f>IF(Tab.o1[[#This Row],[a1]]=1,Tab.o1[[#This Row],[OBS]]/SUM(Tab.o1[OBS]),"")</f>
        <v/>
      </c>
      <c r="AS626" s="135" t="str">
        <f>IF(ISNUMBER(Tab.o1[[#This Row],[a1]]),ROW()-4,"")</f>
        <v/>
      </c>
      <c r="AT626" s="136" t="str">
        <f>Tab.o1[[#This Row],[MOD]]</f>
        <v/>
      </c>
      <c r="AU626" s="137" t="str">
        <f t="shared" si="37"/>
        <v/>
      </c>
      <c r="AV626" s="138" t="str">
        <f t="shared" si="38"/>
        <v/>
      </c>
      <c r="AW626" s="138" t="str">
        <f t="shared" si="39"/>
        <v/>
      </c>
      <c r="AX626" s="139" t="str">
        <f>[1]!T.in.A[[#This Row],[ID_T_manu]]</f>
        <v/>
      </c>
      <c r="AY626" s="140" t="str">
        <f>IF(ISNUMBER(Tab.o1[[#This Row],[a1]]),IF(AND(Tab.o1[[#This Row],[a1]]=1,Tab.o1[[#This Row],[b1]]&lt;=AY$4),#REF!,AY625),"")</f>
        <v/>
      </c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</row>
    <row r="627" spans="1:79" ht="15.75" hidden="1">
      <c r="A627" s="109">
        <v>5.0000000000000004E-6</v>
      </c>
      <c r="B627" s="110">
        <f t="shared" si="36"/>
        <v>627</v>
      </c>
      <c r="C627" s="111" t="str">
        <f>IF(C$1=[1]!T.in.A[[#This Row],[oo2]],1,"")</f>
        <v/>
      </c>
      <c r="D627" s="112" t="str">
        <f>IF(Tab.o1[[#This Row],[a1]]=1,IF(SUM(C627:C628)=0,0,IF(SUM(C626:C627)=1,1,IF(SUM(C626:C628)&gt;1,D626+1,0))),"")</f>
        <v/>
      </c>
      <c r="E627" s="113" t="str">
        <f>IF(Tab.o1[[#This Row],[a1]]=1,[1]!T.in.A[[#This Row],[oo1]],"")</f>
        <v/>
      </c>
      <c r="F627" s="113" t="str">
        <f>IF(Tab.o1[[#This Row],[a1]]=1,[1]!T.in.A[[#This Row],[pp1]],"")</f>
        <v/>
      </c>
      <c r="G627" s="114" t="str">
        <f>IF(Tab.o1[[#This Row],[a1]]=1,G$2+IF(G$1=1,0,Tab.o1[[#This Row],[.x1]])+[1]!T.in.A[[#This Row],[oo3]],"")</f>
        <v/>
      </c>
      <c r="H627" s="115" t="str">
        <f>IF(Tab.o1[[#This Row],[a1]]=1,IF(H$2=0,0,IF(G$1=1,0,Tab.o1[[#This Row],[.x1]])+[1]!T.in.A[[#This Row],[oo4]]),"")</f>
        <v/>
      </c>
      <c r="I627" s="116" t="str">
        <f>IF(Tab.o1[[#This Row],[a1]]=1,IF(J$2=0,Tab.o1[[#This Row],[MED]],Tab.o1[[#This Row],[MOD]]),"")</f>
        <v/>
      </c>
      <c r="J627" s="116" t="str">
        <f>IF(Tab.o1[[#This Row],[a1]]=1,((Tab.o1[[#This Row],[DIF_Target.]]-AVERAGE(Tab.o1[DIF_Target.]))/_xlfn.STDEV.P(Tab.o1[DIF_Target.])),"")</f>
        <v/>
      </c>
      <c r="K627" s="117" t="str">
        <f>IF(Tab.o1[[#This Row],[a1]]=1,IF(J$2=0,Tab.o1[[#This Row],[MOD]]-Tab.o1[[#This Row],[B]],IF(J$2=1,0,-Tab.o1[[#This Row],[MED]])+Tab.o1[[#This Row],[B]]),"")</f>
        <v/>
      </c>
      <c r="L627" s="117" t="str">
        <f ca="1">IF(Tab.o1[[#This Row],[DIF_Target]]=0,IF(L$2=0,Tab.o1[[#This Row],[DIF_Target]],AVERAGE(OFFSET(Tab.o1[[#This Row],[DIF_Target]],1,0,L$3,1)))/3,Tab.o1[[#This Row],[DIF_Target]])</f>
        <v/>
      </c>
      <c r="M627" s="118" t="str">
        <f>IF(Tab.o1[[#This Row],[a1]]=1,NORMSDIST(Tab.o1[[#This Row],[Za]]),"")</f>
        <v/>
      </c>
      <c r="N627" s="119" t="str">
        <f>IF(Tab.o1[[#This Row],[a1]]=1,((Tab.o1[[#This Row],[MedMod]]-AVERAGE(Tab.o1[MedMod]))/_xlfn.STDEV.P(Tab.o1[MedMod])*H$1205)+G$1205,"")</f>
        <v/>
      </c>
      <c r="O627" s="141" t="str">
        <f>IF(Tab.o1[[#This Row],[a1]]=1,Tab.o1[[#This Row],[Zb]]*_xlfn.STDEV.P(Tab.o1[MedMod])+AVERAGE(Tab.o1[MedMod]),"")</f>
        <v/>
      </c>
      <c r="P627" s="117" t="str">
        <f ca="1">IF(Tab.o1[[#This Row],[B]]=0,AVERAGE(OFFSET(Tab.o1[[#This Row],[B]],1,0,L$3,1)),Tab.o1[[#This Row],[B]])</f>
        <v/>
      </c>
      <c r="Q627" s="121" t="str">
        <f>IF(Tab.o1[[#This Row],[a1]]=1,NORMSDIST(Tab.o1[[#This Row],[Zb]]),"")</f>
        <v/>
      </c>
      <c r="R627" s="122" t="str">
        <f>IF(Tab.o1[[#This Row],[a1]]=1,((Tab.o1[[#This Row],[MedMod]]-AVERAGE(Tab.o1[MedMod]))/_xlfn.STDEV.P(Tab.o1[MedMod])*H$1203)+G$1203,"")</f>
        <v/>
      </c>
      <c r="S627" s="122" t="str">
        <f>IF(Tab.o1[[#This Row],[a1]]=1,((Tab.o1[[#This Row],[MedMod]]-AVERAGE(Tab.o1[MedMod]))/_xlfn.STDEV.P(Tab.o1[MedMod])*H$1204)+G$1204,"")</f>
        <v/>
      </c>
      <c r="T627" s="123" t="str">
        <f>IF(Tab.o1[[#This Row],[a1]]=1,Tab.o1[[#This Row],[Z-]]*_xlfn.STDEV.P(Tab.o1[B])+AVERAGE(Tab.o1[B]),"")</f>
        <v/>
      </c>
      <c r="U627" s="123" t="str">
        <f>IF(Tab.o1[[#This Row],[a1]]=1,Tab.o1[[#This Row],[z+]]*_xlfn.STDEV.P(Tab.o1[B])+AVERAGE(Tab.o1[B]),"")</f>
        <v/>
      </c>
      <c r="V627" s="124" t="str">
        <f>IF(Tab.o1[[#This Row],[a1]]=1,ABS((ABS(Tab.o1[[#This Row],[Red]]-Tab.o1[[#This Row],[Blue]]))),"")</f>
        <v/>
      </c>
      <c r="W627" s="125" t="str">
        <f>IF(Tab.o1[[#This Row],[a1]]=1,IF(W$3=0,1,Tab.o1[[#This Row],[Amp.]]*1/_xlfn.MINIFS(Tab.o1[Amp.],Tab.o1[Amp.],"&lt;&gt;0")),"")</f>
        <v/>
      </c>
      <c r="X627" s="126" t="str">
        <f>IF(Tab.o1[[#This Row],[a1]]=1,IF(ISNUMBER(Tab.o1[[#This Row],[i.]]),NORMDIST(Tab.o1[[#This Row],[Za]],0,1,FALSE)*Tab.o1[[#This Row],[i.]],AP$3),"")</f>
        <v/>
      </c>
      <c r="Y627" s="126" t="str">
        <f>IF(Tab.o1[[#This Row],[a1]]=1,0.01+0.94*Tab.o1[[#This Row],[PDF]]/MAX(Tab.o1[PDF]),"")</f>
        <v/>
      </c>
      <c r="Z627" s="126" t="str">
        <f>IF(Tab.o1[[#This Row],[a1]]=1,0.01+0.94*Tab.o1[[#This Row],[W1_PDF]]/MAX(Tab.o1[W1_PDF]),"")</f>
        <v/>
      </c>
      <c r="AA627" s="118" t="str">
        <f>IF(Tab.o1[[#This Row],[a1]]=1,ABS([1]!T.in.A[[#This Row],[oo6]]),"")</f>
        <v/>
      </c>
      <c r="AB627" s="127" t="str">
        <f>IF(Tab.o1[[#This Row],[a1]]=1,IF(AE$3=0,"",IF(AB$3=0,ABS([1]!T.in.A[[#This Row],[oo9]]),ABS(Tab.o1[[#This Row],[DIF_Target.]]*Tab.o1[[#This Row],[W1_PDF]]))),"")</f>
        <v/>
      </c>
      <c r="AC627" s="127" t="str">
        <f>IF(G$1=1,"",IF(Tab.o1[[#This Row],[a1]]=1,Tab.o1[[#This Row],[Wr]]^2,""))</f>
        <v/>
      </c>
      <c r="AD627" s="118" t="str">
        <f>IF(Tab.o1[[#This Row],[a1]]=1,IF(AE$3=0,"",Tab.o1[[#This Row],[Wr2]]/SUM(Tab.o1[Wr2])),"")</f>
        <v/>
      </c>
      <c r="AE627" s="128" t="str">
        <f>IF(Tab.o1[[#This Row],[a1]]=1,[1]!T.in.A[[#This Row],[oo10]],"")</f>
        <v/>
      </c>
      <c r="AF627" s="118" t="str">
        <f>IF(Tab.o1[[#This Row],[a1]]=1,ABS(Tab.o1[[#This Row],[DIF_Target.]]*Tab.o1[[#This Row],[PDF2]]*Tab.o1[[#This Row],[IN]]),"")</f>
        <v/>
      </c>
      <c r="AG627" s="129" t="str">
        <f>IF(Tab.o1[[#This Row],[a1]]=1,Tab.o1[[#This Row],[rW]]^2,"")</f>
        <v/>
      </c>
      <c r="AH627" s="130" t="str">
        <f>IF(Tab.o1[[#This Row],[a1]]=1,IF(AH$3=0,Tab.o1[[#This Row],[rW2]],0.01+0.94*Tab.o1[[#This Row],[rW2]]/SUM(Tab.o1[rW2])),"")</f>
        <v/>
      </c>
      <c r="AI627" s="128" t="str">
        <f>IF(Tab.o1[[#This Row],[a1]]=1,1/Tab.o1[[#This Row],[PDF]],"")</f>
        <v/>
      </c>
      <c r="AJ627" s="131" t="str">
        <f>IF(Tab.o1[[#This Row],[a1]]=1,[1]!T_AA[[#This Row],[IN'']]*[1]!T_AA[[#This Row],[Qde'']],"")</f>
        <v/>
      </c>
      <c r="AK627" s="132" t="str">
        <f>IF(Tab.o1[[#This Row],[a1]]=1,IF(AK$1=1,Tab.o1[[#This Row],[MED]]+Tab.o1[[#This Row],[MOD]]-Tab.o1[[#This Row],[MED]],""),"")</f>
        <v/>
      </c>
      <c r="AL627" s="133" t="str">
        <f>IF(Tab.o1[[#This Row],[a1]]=1,[1]!T.in.A[[#This Row],[oo16]],"")</f>
        <v/>
      </c>
      <c r="AM627" s="133" t="str">
        <f>IF(Tab.o1[[#This Row],[a1]]=1,IF(AM$3=1,[1]!T.in.A[[#This Row],[Σo16]],""),"")</f>
        <v/>
      </c>
      <c r="AN627" s="126" t="str">
        <f>IF(Tab.o1[[#This Row],[a1]]=1,[1]!T.in.A[[#This Row],[Σp5]],"")</f>
        <v/>
      </c>
      <c r="AO627" s="126" t="str">
        <f>IF(Tab.o1[[#This Row],[a1]]=1,IF(AO$3=1,[1]!T.in.A[[#This Row],[Σp5]],""),"")</f>
        <v/>
      </c>
      <c r="AP627" s="110" t="str">
        <f>IF(Tab.o1[[#This Row],[a1]]=1,IF(ISNUMBER(Tab.o1[[#This Row],[i.]]),NORMDIST(Tab.o1[[#This Row],[Za]],0,1,FALSE)*Tab.o1[[#This Row],[i.]],0),"")</f>
        <v/>
      </c>
      <c r="AQ627" s="125" t="str">
        <f>IF(Tab.o1[[#This Row],[a1]]=1,ABS(Tab.o1[[#This Row],[MOD]]-AVERAGE(Tab.o1[MOD])),"")</f>
        <v/>
      </c>
      <c r="AR627" s="134" t="str">
        <f>IF(Tab.o1[[#This Row],[a1]]=1,Tab.o1[[#This Row],[OBS]]/SUM(Tab.o1[OBS]),"")</f>
        <v/>
      </c>
      <c r="AS627" s="135" t="str">
        <f>IF(ISNUMBER(Tab.o1[[#This Row],[a1]]),ROW()-4,"")</f>
        <v/>
      </c>
      <c r="AT627" s="136" t="str">
        <f>Tab.o1[[#This Row],[MOD]]</f>
        <v/>
      </c>
      <c r="AU627" s="137" t="str">
        <f t="shared" si="37"/>
        <v/>
      </c>
      <c r="AV627" s="138" t="str">
        <f t="shared" si="38"/>
        <v/>
      </c>
      <c r="AW627" s="138" t="str">
        <f t="shared" si="39"/>
        <v/>
      </c>
      <c r="AX627" s="139" t="str">
        <f>[1]!T.in.A[[#This Row],[ID_T_manu]]</f>
        <v/>
      </c>
      <c r="AY627" s="140" t="str">
        <f>IF(ISNUMBER(Tab.o1[[#This Row],[a1]]),IF(AND(Tab.o1[[#This Row],[a1]]=1,Tab.o1[[#This Row],[b1]]&lt;=AY$4),#REF!,AY626),"")</f>
        <v/>
      </c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</row>
    <row r="628" spans="1:79" ht="15.75" hidden="1">
      <c r="A628" s="109">
        <v>-8.0000000000000013E-6</v>
      </c>
      <c r="B628" s="110">
        <f t="shared" si="36"/>
        <v>628</v>
      </c>
      <c r="C628" s="111" t="str">
        <f>IF(C$1=[1]!T.in.A[[#This Row],[oo2]],1,"")</f>
        <v/>
      </c>
      <c r="D628" s="112" t="str">
        <f>IF(Tab.o1[[#This Row],[a1]]=1,IF(SUM(C628:C629)=0,0,IF(SUM(C627:C628)=1,1,IF(SUM(C627:C629)&gt;1,D627+1,0))),"")</f>
        <v/>
      </c>
      <c r="E628" s="113" t="str">
        <f>IF(Tab.o1[[#This Row],[a1]]=1,[1]!T.in.A[[#This Row],[oo1]],"")</f>
        <v/>
      </c>
      <c r="F628" s="113" t="str">
        <f>IF(Tab.o1[[#This Row],[a1]]=1,[1]!T.in.A[[#This Row],[pp1]],"")</f>
        <v/>
      </c>
      <c r="G628" s="114" t="str">
        <f>IF(Tab.o1[[#This Row],[a1]]=1,G$2+IF(G$1=1,0,Tab.o1[[#This Row],[.x1]])+[1]!T.in.A[[#This Row],[oo3]],"")</f>
        <v/>
      </c>
      <c r="H628" s="115" t="str">
        <f>IF(Tab.o1[[#This Row],[a1]]=1,IF(H$2=0,0,IF(G$1=1,0,Tab.o1[[#This Row],[.x1]])+[1]!T.in.A[[#This Row],[oo4]]),"")</f>
        <v/>
      </c>
      <c r="I628" s="116" t="str">
        <f>IF(Tab.o1[[#This Row],[a1]]=1,IF(J$2=0,Tab.o1[[#This Row],[MED]],Tab.o1[[#This Row],[MOD]]),"")</f>
        <v/>
      </c>
      <c r="J628" s="116" t="str">
        <f>IF(Tab.o1[[#This Row],[a1]]=1,((Tab.o1[[#This Row],[DIF_Target.]]-AVERAGE(Tab.o1[DIF_Target.]))/_xlfn.STDEV.P(Tab.o1[DIF_Target.])),"")</f>
        <v/>
      </c>
      <c r="K628" s="117" t="str">
        <f>IF(Tab.o1[[#This Row],[a1]]=1,IF(J$2=0,Tab.o1[[#This Row],[MOD]]-Tab.o1[[#This Row],[B]],IF(J$2=1,0,-Tab.o1[[#This Row],[MED]])+Tab.o1[[#This Row],[B]]),"")</f>
        <v/>
      </c>
      <c r="L628" s="117" t="str">
        <f ca="1">IF(Tab.o1[[#This Row],[DIF_Target]]=0,IF(L$2=0,Tab.o1[[#This Row],[DIF_Target]],AVERAGE(OFFSET(Tab.o1[[#This Row],[DIF_Target]],1,0,L$3,1)))/3,Tab.o1[[#This Row],[DIF_Target]])</f>
        <v/>
      </c>
      <c r="M628" s="118" t="str">
        <f>IF(Tab.o1[[#This Row],[a1]]=1,NORMSDIST(Tab.o1[[#This Row],[Za]]),"")</f>
        <v/>
      </c>
      <c r="N628" s="119" t="str">
        <f>IF(Tab.o1[[#This Row],[a1]]=1,((Tab.o1[[#This Row],[MedMod]]-AVERAGE(Tab.o1[MedMod]))/_xlfn.STDEV.P(Tab.o1[MedMod])*H$1205)+G$1205,"")</f>
        <v/>
      </c>
      <c r="O628" s="141" t="str">
        <f>IF(Tab.o1[[#This Row],[a1]]=1,Tab.o1[[#This Row],[Zb]]*_xlfn.STDEV.P(Tab.o1[MedMod])+AVERAGE(Tab.o1[MedMod]),"")</f>
        <v/>
      </c>
      <c r="P628" s="117" t="str">
        <f ca="1">IF(Tab.o1[[#This Row],[B]]=0,AVERAGE(OFFSET(Tab.o1[[#This Row],[B]],1,0,L$3,1)),Tab.o1[[#This Row],[B]])</f>
        <v/>
      </c>
      <c r="Q628" s="121" t="str">
        <f>IF(Tab.o1[[#This Row],[a1]]=1,NORMSDIST(Tab.o1[[#This Row],[Zb]]),"")</f>
        <v/>
      </c>
      <c r="R628" s="122" t="str">
        <f>IF(Tab.o1[[#This Row],[a1]]=1,((Tab.o1[[#This Row],[MedMod]]-AVERAGE(Tab.o1[MedMod]))/_xlfn.STDEV.P(Tab.o1[MedMod])*H$1203)+G$1203,"")</f>
        <v/>
      </c>
      <c r="S628" s="122" t="str">
        <f>IF(Tab.o1[[#This Row],[a1]]=1,((Tab.o1[[#This Row],[MedMod]]-AVERAGE(Tab.o1[MedMod]))/_xlfn.STDEV.P(Tab.o1[MedMod])*H$1204)+G$1204,"")</f>
        <v/>
      </c>
      <c r="T628" s="123" t="str">
        <f>IF(Tab.o1[[#This Row],[a1]]=1,Tab.o1[[#This Row],[Z-]]*_xlfn.STDEV.P(Tab.o1[B])+AVERAGE(Tab.o1[B]),"")</f>
        <v/>
      </c>
      <c r="U628" s="123" t="str">
        <f>IF(Tab.o1[[#This Row],[a1]]=1,Tab.o1[[#This Row],[z+]]*_xlfn.STDEV.P(Tab.o1[B])+AVERAGE(Tab.o1[B]),"")</f>
        <v/>
      </c>
      <c r="V628" s="124" t="str">
        <f>IF(Tab.o1[[#This Row],[a1]]=1,ABS((ABS(Tab.o1[[#This Row],[Red]]-Tab.o1[[#This Row],[Blue]]))),"")</f>
        <v/>
      </c>
      <c r="W628" s="125" t="str">
        <f>IF(Tab.o1[[#This Row],[a1]]=1,IF(W$3=0,1,Tab.o1[[#This Row],[Amp.]]*1/_xlfn.MINIFS(Tab.o1[Amp.],Tab.o1[Amp.],"&lt;&gt;0")),"")</f>
        <v/>
      </c>
      <c r="X628" s="126" t="str">
        <f>IF(Tab.o1[[#This Row],[a1]]=1,IF(ISNUMBER(Tab.o1[[#This Row],[i.]]),NORMDIST(Tab.o1[[#This Row],[Za]],0,1,FALSE)*Tab.o1[[#This Row],[i.]],AP$3),"")</f>
        <v/>
      </c>
      <c r="Y628" s="126" t="str">
        <f>IF(Tab.o1[[#This Row],[a1]]=1,0.01+0.94*Tab.o1[[#This Row],[PDF]]/MAX(Tab.o1[PDF]),"")</f>
        <v/>
      </c>
      <c r="Z628" s="126" t="str">
        <f>IF(Tab.o1[[#This Row],[a1]]=1,0.01+0.94*Tab.o1[[#This Row],[W1_PDF]]/MAX(Tab.o1[W1_PDF]),"")</f>
        <v/>
      </c>
      <c r="AA628" s="118" t="str">
        <f>IF(Tab.o1[[#This Row],[a1]]=1,ABS([1]!T.in.A[[#This Row],[oo6]]),"")</f>
        <v/>
      </c>
      <c r="AB628" s="127" t="str">
        <f>IF(Tab.o1[[#This Row],[a1]]=1,IF(AE$3=0,"",IF(AB$3=0,ABS([1]!T.in.A[[#This Row],[oo9]]),ABS(Tab.o1[[#This Row],[DIF_Target.]]*Tab.o1[[#This Row],[W1_PDF]]))),"")</f>
        <v/>
      </c>
      <c r="AC628" s="127" t="str">
        <f>IF(G$1=1,"",IF(Tab.o1[[#This Row],[a1]]=1,Tab.o1[[#This Row],[Wr]]^2,""))</f>
        <v/>
      </c>
      <c r="AD628" s="118" t="str">
        <f>IF(Tab.o1[[#This Row],[a1]]=1,IF(AE$3=0,"",Tab.o1[[#This Row],[Wr2]]/SUM(Tab.o1[Wr2])),"")</f>
        <v/>
      </c>
      <c r="AE628" s="128" t="str">
        <f>IF(Tab.o1[[#This Row],[a1]]=1,[1]!T.in.A[[#This Row],[oo10]],"")</f>
        <v/>
      </c>
      <c r="AF628" s="118" t="str">
        <f>IF(Tab.o1[[#This Row],[a1]]=1,ABS(Tab.o1[[#This Row],[DIF_Target.]]*Tab.o1[[#This Row],[PDF2]]*Tab.o1[[#This Row],[IN]]),"")</f>
        <v/>
      </c>
      <c r="AG628" s="129" t="str">
        <f>IF(Tab.o1[[#This Row],[a1]]=1,Tab.o1[[#This Row],[rW]]^2,"")</f>
        <v/>
      </c>
      <c r="AH628" s="130" t="str">
        <f>IF(Tab.o1[[#This Row],[a1]]=1,IF(AH$3=0,Tab.o1[[#This Row],[rW2]],0.01+0.94*Tab.o1[[#This Row],[rW2]]/SUM(Tab.o1[rW2])),"")</f>
        <v/>
      </c>
      <c r="AI628" s="128" t="str">
        <f>IF(Tab.o1[[#This Row],[a1]]=1,1/Tab.o1[[#This Row],[PDF]],"")</f>
        <v/>
      </c>
      <c r="AJ628" s="131" t="str">
        <f>IF(Tab.o1[[#This Row],[a1]]=1,[1]!T_AA[[#This Row],[IN'']]*[1]!T_AA[[#This Row],[Qde'']],"")</f>
        <v/>
      </c>
      <c r="AK628" s="132" t="str">
        <f>IF(Tab.o1[[#This Row],[a1]]=1,IF(AK$1=1,Tab.o1[[#This Row],[MED]]+Tab.o1[[#This Row],[MOD]]-Tab.o1[[#This Row],[MED]],""),"")</f>
        <v/>
      </c>
      <c r="AL628" s="133" t="str">
        <f>IF(Tab.o1[[#This Row],[a1]]=1,[1]!T.in.A[[#This Row],[oo16]],"")</f>
        <v/>
      </c>
      <c r="AM628" s="133" t="str">
        <f>IF(Tab.o1[[#This Row],[a1]]=1,IF(AM$3=1,[1]!T.in.A[[#This Row],[Σo16]],""),"")</f>
        <v/>
      </c>
      <c r="AN628" s="126" t="str">
        <f>IF(Tab.o1[[#This Row],[a1]]=1,[1]!T.in.A[[#This Row],[Σp5]],"")</f>
        <v/>
      </c>
      <c r="AO628" s="126" t="str">
        <f>IF(Tab.o1[[#This Row],[a1]]=1,IF(AO$3=1,[1]!T.in.A[[#This Row],[Σp5]],""),"")</f>
        <v/>
      </c>
      <c r="AP628" s="110" t="str">
        <f>IF(Tab.o1[[#This Row],[a1]]=1,IF(ISNUMBER(Tab.o1[[#This Row],[i.]]),NORMDIST(Tab.o1[[#This Row],[Za]],0,1,FALSE)*Tab.o1[[#This Row],[i.]],0),"")</f>
        <v/>
      </c>
      <c r="AQ628" s="125" t="str">
        <f>IF(Tab.o1[[#This Row],[a1]]=1,ABS(Tab.o1[[#This Row],[MOD]]-AVERAGE(Tab.o1[MOD])),"")</f>
        <v/>
      </c>
      <c r="AR628" s="134" t="str">
        <f>IF(Tab.o1[[#This Row],[a1]]=1,Tab.o1[[#This Row],[OBS]]/SUM(Tab.o1[OBS]),"")</f>
        <v/>
      </c>
      <c r="AS628" s="135" t="str">
        <f>IF(ISNUMBER(Tab.o1[[#This Row],[a1]]),ROW()-4,"")</f>
        <v/>
      </c>
      <c r="AT628" s="136" t="str">
        <f>Tab.o1[[#This Row],[MOD]]</f>
        <v/>
      </c>
      <c r="AU628" s="137" t="str">
        <f t="shared" si="37"/>
        <v/>
      </c>
      <c r="AV628" s="138" t="str">
        <f t="shared" si="38"/>
        <v/>
      </c>
      <c r="AW628" s="138" t="str">
        <f t="shared" si="39"/>
        <v/>
      </c>
      <c r="AX628" s="139" t="str">
        <f>[1]!T.in.A[[#This Row],[ID_T_manu]]</f>
        <v/>
      </c>
      <c r="AY628" s="140" t="str">
        <f>IF(ISNUMBER(Tab.o1[[#This Row],[a1]]),IF(AND(Tab.o1[[#This Row],[a1]]=1,Tab.o1[[#This Row],[b1]]&lt;=AY$4),#REF!,AY627),"")</f>
        <v/>
      </c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</row>
    <row r="629" spans="1:79" ht="15.75" hidden="1">
      <c r="A629" s="109">
        <v>1.0000000000000002E-6</v>
      </c>
      <c r="B629" s="110">
        <f t="shared" si="36"/>
        <v>629</v>
      </c>
      <c r="C629" s="111" t="str">
        <f>IF(C$1=[1]!T.in.A[[#This Row],[oo2]],1,"")</f>
        <v/>
      </c>
      <c r="D629" s="112" t="str">
        <f>IF(Tab.o1[[#This Row],[a1]]=1,IF(SUM(C629:C630)=0,0,IF(SUM(C628:C629)=1,1,IF(SUM(C628:C630)&gt;1,D628+1,0))),"")</f>
        <v/>
      </c>
      <c r="E629" s="113" t="str">
        <f>IF(Tab.o1[[#This Row],[a1]]=1,[1]!T.in.A[[#This Row],[oo1]],"")</f>
        <v/>
      </c>
      <c r="F629" s="113" t="str">
        <f>IF(Tab.o1[[#This Row],[a1]]=1,[1]!T.in.A[[#This Row],[pp1]],"")</f>
        <v/>
      </c>
      <c r="G629" s="114" t="str">
        <f>IF(Tab.o1[[#This Row],[a1]]=1,G$2+IF(G$1=1,0,Tab.o1[[#This Row],[.x1]])+[1]!T.in.A[[#This Row],[oo3]],"")</f>
        <v/>
      </c>
      <c r="H629" s="115" t="str">
        <f>IF(Tab.o1[[#This Row],[a1]]=1,IF(H$2=0,0,IF(G$1=1,0,Tab.o1[[#This Row],[.x1]])+[1]!T.in.A[[#This Row],[oo4]]),"")</f>
        <v/>
      </c>
      <c r="I629" s="116" t="str">
        <f>IF(Tab.o1[[#This Row],[a1]]=1,IF(J$2=0,Tab.o1[[#This Row],[MED]],Tab.o1[[#This Row],[MOD]]),"")</f>
        <v/>
      </c>
      <c r="J629" s="116" t="str">
        <f>IF(Tab.o1[[#This Row],[a1]]=1,((Tab.o1[[#This Row],[DIF_Target.]]-AVERAGE(Tab.o1[DIF_Target.]))/_xlfn.STDEV.P(Tab.o1[DIF_Target.])),"")</f>
        <v/>
      </c>
      <c r="K629" s="117" t="str">
        <f>IF(Tab.o1[[#This Row],[a1]]=1,IF(J$2=0,Tab.o1[[#This Row],[MOD]]-Tab.o1[[#This Row],[B]],IF(J$2=1,0,-Tab.o1[[#This Row],[MED]])+Tab.o1[[#This Row],[B]]),"")</f>
        <v/>
      </c>
      <c r="L629" s="117" t="str">
        <f ca="1">IF(Tab.o1[[#This Row],[DIF_Target]]=0,IF(L$2=0,Tab.o1[[#This Row],[DIF_Target]],AVERAGE(OFFSET(Tab.o1[[#This Row],[DIF_Target]],1,0,L$3,1)))/3,Tab.o1[[#This Row],[DIF_Target]])</f>
        <v/>
      </c>
      <c r="M629" s="118" t="str">
        <f>IF(Tab.o1[[#This Row],[a1]]=1,NORMSDIST(Tab.o1[[#This Row],[Za]]),"")</f>
        <v/>
      </c>
      <c r="N629" s="119" t="str">
        <f>IF(Tab.o1[[#This Row],[a1]]=1,((Tab.o1[[#This Row],[MedMod]]-AVERAGE(Tab.o1[MedMod]))/_xlfn.STDEV.P(Tab.o1[MedMod])*H$1205)+G$1205,"")</f>
        <v/>
      </c>
      <c r="O629" s="141" t="str">
        <f>IF(Tab.o1[[#This Row],[a1]]=1,Tab.o1[[#This Row],[Zb]]*_xlfn.STDEV.P(Tab.o1[MedMod])+AVERAGE(Tab.o1[MedMod]),"")</f>
        <v/>
      </c>
      <c r="P629" s="117" t="str">
        <f ca="1">IF(Tab.o1[[#This Row],[B]]=0,AVERAGE(OFFSET(Tab.o1[[#This Row],[B]],1,0,L$3,1)),Tab.o1[[#This Row],[B]])</f>
        <v/>
      </c>
      <c r="Q629" s="121" t="str">
        <f>IF(Tab.o1[[#This Row],[a1]]=1,NORMSDIST(Tab.o1[[#This Row],[Zb]]),"")</f>
        <v/>
      </c>
      <c r="R629" s="122" t="str">
        <f>IF(Tab.o1[[#This Row],[a1]]=1,((Tab.o1[[#This Row],[MedMod]]-AVERAGE(Tab.o1[MedMod]))/_xlfn.STDEV.P(Tab.o1[MedMod])*H$1203)+G$1203,"")</f>
        <v/>
      </c>
      <c r="S629" s="122" t="str">
        <f>IF(Tab.o1[[#This Row],[a1]]=1,((Tab.o1[[#This Row],[MedMod]]-AVERAGE(Tab.o1[MedMod]))/_xlfn.STDEV.P(Tab.o1[MedMod])*H$1204)+G$1204,"")</f>
        <v/>
      </c>
      <c r="T629" s="123" t="str">
        <f>IF(Tab.o1[[#This Row],[a1]]=1,Tab.o1[[#This Row],[Z-]]*_xlfn.STDEV.P(Tab.o1[B])+AVERAGE(Tab.o1[B]),"")</f>
        <v/>
      </c>
      <c r="U629" s="123" t="str">
        <f>IF(Tab.o1[[#This Row],[a1]]=1,Tab.o1[[#This Row],[z+]]*_xlfn.STDEV.P(Tab.o1[B])+AVERAGE(Tab.o1[B]),"")</f>
        <v/>
      </c>
      <c r="V629" s="124" t="str">
        <f>IF(Tab.o1[[#This Row],[a1]]=1,ABS((ABS(Tab.o1[[#This Row],[Red]]-Tab.o1[[#This Row],[Blue]]))),"")</f>
        <v/>
      </c>
      <c r="W629" s="125" t="str">
        <f>IF(Tab.o1[[#This Row],[a1]]=1,IF(W$3=0,1,Tab.o1[[#This Row],[Amp.]]*1/_xlfn.MINIFS(Tab.o1[Amp.],Tab.o1[Amp.],"&lt;&gt;0")),"")</f>
        <v/>
      </c>
      <c r="X629" s="126" t="str">
        <f>IF(Tab.o1[[#This Row],[a1]]=1,IF(ISNUMBER(Tab.o1[[#This Row],[i.]]),NORMDIST(Tab.o1[[#This Row],[Za]],0,1,FALSE)*Tab.o1[[#This Row],[i.]],AP$3),"")</f>
        <v/>
      </c>
      <c r="Y629" s="126" t="str">
        <f>IF(Tab.o1[[#This Row],[a1]]=1,0.01+0.94*Tab.o1[[#This Row],[PDF]]/MAX(Tab.o1[PDF]),"")</f>
        <v/>
      </c>
      <c r="Z629" s="126" t="str">
        <f>IF(Tab.o1[[#This Row],[a1]]=1,0.01+0.94*Tab.o1[[#This Row],[W1_PDF]]/MAX(Tab.o1[W1_PDF]),"")</f>
        <v/>
      </c>
      <c r="AA629" s="118" t="str">
        <f>IF(Tab.o1[[#This Row],[a1]]=1,ABS([1]!T.in.A[[#This Row],[oo6]]),"")</f>
        <v/>
      </c>
      <c r="AB629" s="127" t="str">
        <f>IF(Tab.o1[[#This Row],[a1]]=1,IF(AE$3=0,"",IF(AB$3=0,ABS([1]!T.in.A[[#This Row],[oo9]]),ABS(Tab.o1[[#This Row],[DIF_Target.]]*Tab.o1[[#This Row],[W1_PDF]]))),"")</f>
        <v/>
      </c>
      <c r="AC629" s="127" t="str">
        <f>IF(G$1=1,"",IF(Tab.o1[[#This Row],[a1]]=1,Tab.o1[[#This Row],[Wr]]^2,""))</f>
        <v/>
      </c>
      <c r="AD629" s="118" t="str">
        <f>IF(Tab.o1[[#This Row],[a1]]=1,IF(AE$3=0,"",Tab.o1[[#This Row],[Wr2]]/SUM(Tab.o1[Wr2])),"")</f>
        <v/>
      </c>
      <c r="AE629" s="128" t="str">
        <f>IF(Tab.o1[[#This Row],[a1]]=1,[1]!T.in.A[[#This Row],[oo10]],"")</f>
        <v/>
      </c>
      <c r="AF629" s="118" t="str">
        <f>IF(Tab.o1[[#This Row],[a1]]=1,ABS(Tab.o1[[#This Row],[DIF_Target.]]*Tab.o1[[#This Row],[PDF2]]*Tab.o1[[#This Row],[IN]]),"")</f>
        <v/>
      </c>
      <c r="AG629" s="129" t="str">
        <f>IF(Tab.o1[[#This Row],[a1]]=1,Tab.o1[[#This Row],[rW]]^2,"")</f>
        <v/>
      </c>
      <c r="AH629" s="130" t="str">
        <f>IF(Tab.o1[[#This Row],[a1]]=1,IF(AH$3=0,Tab.o1[[#This Row],[rW2]],0.01+0.94*Tab.o1[[#This Row],[rW2]]/SUM(Tab.o1[rW2])),"")</f>
        <v/>
      </c>
      <c r="AI629" s="128" t="str">
        <f>IF(Tab.o1[[#This Row],[a1]]=1,1/Tab.o1[[#This Row],[PDF]],"")</f>
        <v/>
      </c>
      <c r="AJ629" s="131" t="str">
        <f>IF(Tab.o1[[#This Row],[a1]]=1,[1]!T_AA[[#This Row],[IN'']]*[1]!T_AA[[#This Row],[Qde'']],"")</f>
        <v/>
      </c>
      <c r="AK629" s="132" t="str">
        <f>IF(Tab.o1[[#This Row],[a1]]=1,IF(AK$1=1,Tab.o1[[#This Row],[MED]]+Tab.o1[[#This Row],[MOD]]-Tab.o1[[#This Row],[MED]],""),"")</f>
        <v/>
      </c>
      <c r="AL629" s="133" t="str">
        <f>IF(Tab.o1[[#This Row],[a1]]=1,[1]!T.in.A[[#This Row],[oo16]],"")</f>
        <v/>
      </c>
      <c r="AM629" s="133" t="str">
        <f>IF(Tab.o1[[#This Row],[a1]]=1,IF(AM$3=1,[1]!T.in.A[[#This Row],[Σo16]],""),"")</f>
        <v/>
      </c>
      <c r="AN629" s="126" t="str">
        <f>IF(Tab.o1[[#This Row],[a1]]=1,[1]!T.in.A[[#This Row],[Σp5]],"")</f>
        <v/>
      </c>
      <c r="AO629" s="126" t="str">
        <f>IF(Tab.o1[[#This Row],[a1]]=1,IF(AO$3=1,[1]!T.in.A[[#This Row],[Σp5]],""),"")</f>
        <v/>
      </c>
      <c r="AP629" s="110" t="str">
        <f>IF(Tab.o1[[#This Row],[a1]]=1,IF(ISNUMBER(Tab.o1[[#This Row],[i.]]),NORMDIST(Tab.o1[[#This Row],[Za]],0,1,FALSE)*Tab.o1[[#This Row],[i.]],0),"")</f>
        <v/>
      </c>
      <c r="AQ629" s="125" t="str">
        <f>IF(Tab.o1[[#This Row],[a1]]=1,ABS(Tab.o1[[#This Row],[MOD]]-AVERAGE(Tab.o1[MOD])),"")</f>
        <v/>
      </c>
      <c r="AR629" s="134" t="str">
        <f>IF(Tab.o1[[#This Row],[a1]]=1,Tab.o1[[#This Row],[OBS]]/SUM(Tab.o1[OBS]),"")</f>
        <v/>
      </c>
      <c r="AS629" s="135" t="str">
        <f>IF(ISNUMBER(Tab.o1[[#This Row],[a1]]),ROW()-4,"")</f>
        <v/>
      </c>
      <c r="AT629" s="136" t="str">
        <f>Tab.o1[[#This Row],[MOD]]</f>
        <v/>
      </c>
      <c r="AU629" s="137" t="str">
        <f t="shared" si="37"/>
        <v/>
      </c>
      <c r="AV629" s="138" t="str">
        <f t="shared" si="38"/>
        <v/>
      </c>
      <c r="AW629" s="138" t="str">
        <f t="shared" si="39"/>
        <v/>
      </c>
      <c r="AX629" s="139" t="str">
        <f>[1]!T.in.A[[#This Row],[ID_T_manu]]</f>
        <v/>
      </c>
      <c r="AY629" s="140" t="str">
        <f>IF(ISNUMBER(Tab.o1[[#This Row],[a1]]),IF(AND(Tab.o1[[#This Row],[a1]]=1,Tab.o1[[#This Row],[b1]]&lt;=AY$4),#REF!,AY628),"")</f>
        <v/>
      </c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</row>
    <row r="630" spans="1:79" ht="15.75" hidden="1">
      <c r="A630" s="109">
        <v>-5.0000000000000004E-6</v>
      </c>
      <c r="B630" s="110">
        <f t="shared" si="36"/>
        <v>630</v>
      </c>
      <c r="C630" s="111" t="str">
        <f>IF(C$1=[1]!T.in.A[[#This Row],[oo2]],1,"")</f>
        <v/>
      </c>
      <c r="D630" s="112" t="str">
        <f>IF(Tab.o1[[#This Row],[a1]]=1,IF(SUM(C630:C631)=0,0,IF(SUM(C629:C630)=1,1,IF(SUM(C629:C631)&gt;1,D629+1,0))),"")</f>
        <v/>
      </c>
      <c r="E630" s="113" t="str">
        <f>IF(Tab.o1[[#This Row],[a1]]=1,[1]!T.in.A[[#This Row],[oo1]],"")</f>
        <v/>
      </c>
      <c r="F630" s="113" t="str">
        <f>IF(Tab.o1[[#This Row],[a1]]=1,[1]!T.in.A[[#This Row],[pp1]],"")</f>
        <v/>
      </c>
      <c r="G630" s="114" t="str">
        <f>IF(Tab.o1[[#This Row],[a1]]=1,G$2+IF(G$1=1,0,Tab.o1[[#This Row],[.x1]])+[1]!T.in.A[[#This Row],[oo3]],"")</f>
        <v/>
      </c>
      <c r="H630" s="115" t="str">
        <f>IF(Tab.o1[[#This Row],[a1]]=1,IF(H$2=0,0,IF(G$1=1,0,Tab.o1[[#This Row],[.x1]])+[1]!T.in.A[[#This Row],[oo4]]),"")</f>
        <v/>
      </c>
      <c r="I630" s="116" t="str">
        <f>IF(Tab.o1[[#This Row],[a1]]=1,IF(J$2=0,Tab.o1[[#This Row],[MED]],Tab.o1[[#This Row],[MOD]]),"")</f>
        <v/>
      </c>
      <c r="J630" s="116" t="str">
        <f>IF(Tab.o1[[#This Row],[a1]]=1,((Tab.o1[[#This Row],[DIF_Target.]]-AVERAGE(Tab.o1[DIF_Target.]))/_xlfn.STDEV.P(Tab.o1[DIF_Target.])),"")</f>
        <v/>
      </c>
      <c r="K630" s="117" t="str">
        <f>IF(Tab.o1[[#This Row],[a1]]=1,IF(J$2=0,Tab.o1[[#This Row],[MOD]]-Tab.o1[[#This Row],[B]],IF(J$2=1,0,-Tab.o1[[#This Row],[MED]])+Tab.o1[[#This Row],[B]]),"")</f>
        <v/>
      </c>
      <c r="L630" s="117" t="str">
        <f ca="1">IF(Tab.o1[[#This Row],[DIF_Target]]=0,IF(L$2=0,Tab.o1[[#This Row],[DIF_Target]],AVERAGE(OFFSET(Tab.o1[[#This Row],[DIF_Target]],1,0,L$3,1)))/3,Tab.o1[[#This Row],[DIF_Target]])</f>
        <v/>
      </c>
      <c r="M630" s="118" t="str">
        <f>IF(Tab.o1[[#This Row],[a1]]=1,NORMSDIST(Tab.o1[[#This Row],[Za]]),"")</f>
        <v/>
      </c>
      <c r="N630" s="119" t="str">
        <f>IF(Tab.o1[[#This Row],[a1]]=1,((Tab.o1[[#This Row],[MedMod]]-AVERAGE(Tab.o1[MedMod]))/_xlfn.STDEV.P(Tab.o1[MedMod])*H$1205)+G$1205,"")</f>
        <v/>
      </c>
      <c r="O630" s="141" t="str">
        <f>IF(Tab.o1[[#This Row],[a1]]=1,Tab.o1[[#This Row],[Zb]]*_xlfn.STDEV.P(Tab.o1[MedMod])+AVERAGE(Tab.o1[MedMod]),"")</f>
        <v/>
      </c>
      <c r="P630" s="117" t="str">
        <f ca="1">IF(Tab.o1[[#This Row],[B]]=0,AVERAGE(OFFSET(Tab.o1[[#This Row],[B]],1,0,L$3,1)),Tab.o1[[#This Row],[B]])</f>
        <v/>
      </c>
      <c r="Q630" s="121" t="str">
        <f>IF(Tab.o1[[#This Row],[a1]]=1,NORMSDIST(Tab.o1[[#This Row],[Zb]]),"")</f>
        <v/>
      </c>
      <c r="R630" s="122" t="str">
        <f>IF(Tab.o1[[#This Row],[a1]]=1,((Tab.o1[[#This Row],[MedMod]]-AVERAGE(Tab.o1[MedMod]))/_xlfn.STDEV.P(Tab.o1[MedMod])*H$1203)+G$1203,"")</f>
        <v/>
      </c>
      <c r="S630" s="122" t="str">
        <f>IF(Tab.o1[[#This Row],[a1]]=1,((Tab.o1[[#This Row],[MedMod]]-AVERAGE(Tab.o1[MedMod]))/_xlfn.STDEV.P(Tab.o1[MedMod])*H$1204)+G$1204,"")</f>
        <v/>
      </c>
      <c r="T630" s="123" t="str">
        <f>IF(Tab.o1[[#This Row],[a1]]=1,Tab.o1[[#This Row],[Z-]]*_xlfn.STDEV.P(Tab.o1[B])+AVERAGE(Tab.o1[B]),"")</f>
        <v/>
      </c>
      <c r="U630" s="123" t="str">
        <f>IF(Tab.o1[[#This Row],[a1]]=1,Tab.o1[[#This Row],[z+]]*_xlfn.STDEV.P(Tab.o1[B])+AVERAGE(Tab.o1[B]),"")</f>
        <v/>
      </c>
      <c r="V630" s="124" t="str">
        <f>IF(Tab.o1[[#This Row],[a1]]=1,ABS((ABS(Tab.o1[[#This Row],[Red]]-Tab.o1[[#This Row],[Blue]]))),"")</f>
        <v/>
      </c>
      <c r="W630" s="125" t="str">
        <f>IF(Tab.o1[[#This Row],[a1]]=1,IF(W$3=0,1,Tab.o1[[#This Row],[Amp.]]*1/_xlfn.MINIFS(Tab.o1[Amp.],Tab.o1[Amp.],"&lt;&gt;0")),"")</f>
        <v/>
      </c>
      <c r="X630" s="126" t="str">
        <f>IF(Tab.o1[[#This Row],[a1]]=1,IF(ISNUMBER(Tab.o1[[#This Row],[i.]]),NORMDIST(Tab.o1[[#This Row],[Za]],0,1,FALSE)*Tab.o1[[#This Row],[i.]],AP$3),"")</f>
        <v/>
      </c>
      <c r="Y630" s="126" t="str">
        <f>IF(Tab.o1[[#This Row],[a1]]=1,0.01+0.94*Tab.o1[[#This Row],[PDF]]/MAX(Tab.o1[PDF]),"")</f>
        <v/>
      </c>
      <c r="Z630" s="126" t="str">
        <f>IF(Tab.o1[[#This Row],[a1]]=1,0.01+0.94*Tab.o1[[#This Row],[W1_PDF]]/MAX(Tab.o1[W1_PDF]),"")</f>
        <v/>
      </c>
      <c r="AA630" s="118" t="str">
        <f>IF(Tab.o1[[#This Row],[a1]]=1,ABS([1]!T.in.A[[#This Row],[oo6]]),"")</f>
        <v/>
      </c>
      <c r="AB630" s="127" t="str">
        <f>IF(Tab.o1[[#This Row],[a1]]=1,IF(AE$3=0,"",IF(AB$3=0,ABS([1]!T.in.A[[#This Row],[oo9]]),ABS(Tab.o1[[#This Row],[DIF_Target.]]*Tab.o1[[#This Row],[W1_PDF]]))),"")</f>
        <v/>
      </c>
      <c r="AC630" s="127" t="str">
        <f>IF(G$1=1,"",IF(Tab.o1[[#This Row],[a1]]=1,Tab.o1[[#This Row],[Wr]]^2,""))</f>
        <v/>
      </c>
      <c r="AD630" s="118" t="str">
        <f>IF(Tab.o1[[#This Row],[a1]]=1,IF(AE$3=0,"",Tab.o1[[#This Row],[Wr2]]/SUM(Tab.o1[Wr2])),"")</f>
        <v/>
      </c>
      <c r="AE630" s="128" t="str">
        <f>IF(Tab.o1[[#This Row],[a1]]=1,[1]!T.in.A[[#This Row],[oo10]],"")</f>
        <v/>
      </c>
      <c r="AF630" s="118" t="str">
        <f>IF(Tab.o1[[#This Row],[a1]]=1,ABS(Tab.o1[[#This Row],[DIF_Target.]]*Tab.o1[[#This Row],[PDF2]]*Tab.o1[[#This Row],[IN]]),"")</f>
        <v/>
      </c>
      <c r="AG630" s="129" t="str">
        <f>IF(Tab.o1[[#This Row],[a1]]=1,Tab.o1[[#This Row],[rW]]^2,"")</f>
        <v/>
      </c>
      <c r="AH630" s="130" t="str">
        <f>IF(Tab.o1[[#This Row],[a1]]=1,IF(AH$3=0,Tab.o1[[#This Row],[rW2]],0.01+0.94*Tab.o1[[#This Row],[rW2]]/SUM(Tab.o1[rW2])),"")</f>
        <v/>
      </c>
      <c r="AI630" s="128" t="str">
        <f>IF(Tab.o1[[#This Row],[a1]]=1,1/Tab.o1[[#This Row],[PDF]],"")</f>
        <v/>
      </c>
      <c r="AJ630" s="131" t="str">
        <f>IF(Tab.o1[[#This Row],[a1]]=1,[1]!T_AA[[#This Row],[IN'']]*[1]!T_AA[[#This Row],[Qde'']],"")</f>
        <v/>
      </c>
      <c r="AK630" s="132" t="str">
        <f>IF(Tab.o1[[#This Row],[a1]]=1,IF(AK$1=1,Tab.o1[[#This Row],[MED]]+Tab.o1[[#This Row],[MOD]]-Tab.o1[[#This Row],[MED]],""),"")</f>
        <v/>
      </c>
      <c r="AL630" s="133" t="str">
        <f>IF(Tab.o1[[#This Row],[a1]]=1,[1]!T.in.A[[#This Row],[oo16]],"")</f>
        <v/>
      </c>
      <c r="AM630" s="133" t="str">
        <f>IF(Tab.o1[[#This Row],[a1]]=1,IF(AM$3=1,[1]!T.in.A[[#This Row],[Σo16]],""),"")</f>
        <v/>
      </c>
      <c r="AN630" s="126" t="str">
        <f>IF(Tab.o1[[#This Row],[a1]]=1,[1]!T.in.A[[#This Row],[Σp5]],"")</f>
        <v/>
      </c>
      <c r="AO630" s="126" t="str">
        <f>IF(Tab.o1[[#This Row],[a1]]=1,IF(AO$3=1,[1]!T.in.A[[#This Row],[Σp5]],""),"")</f>
        <v/>
      </c>
      <c r="AP630" s="110" t="str">
        <f>IF(Tab.o1[[#This Row],[a1]]=1,IF(ISNUMBER(Tab.o1[[#This Row],[i.]]),NORMDIST(Tab.o1[[#This Row],[Za]],0,1,FALSE)*Tab.o1[[#This Row],[i.]],0),"")</f>
        <v/>
      </c>
      <c r="AQ630" s="125" t="str">
        <f>IF(Tab.o1[[#This Row],[a1]]=1,ABS(Tab.o1[[#This Row],[MOD]]-AVERAGE(Tab.o1[MOD])),"")</f>
        <v/>
      </c>
      <c r="AR630" s="134" t="str">
        <f>IF(Tab.o1[[#This Row],[a1]]=1,Tab.o1[[#This Row],[OBS]]/SUM(Tab.o1[OBS]),"")</f>
        <v/>
      </c>
      <c r="AS630" s="135" t="str">
        <f>IF(ISNUMBER(Tab.o1[[#This Row],[a1]]),ROW()-4,"")</f>
        <v/>
      </c>
      <c r="AT630" s="136" t="str">
        <f>Tab.o1[[#This Row],[MOD]]</f>
        <v/>
      </c>
      <c r="AU630" s="137" t="str">
        <f t="shared" si="37"/>
        <v/>
      </c>
      <c r="AV630" s="138" t="str">
        <f t="shared" si="38"/>
        <v/>
      </c>
      <c r="AW630" s="138" t="str">
        <f t="shared" si="39"/>
        <v/>
      </c>
      <c r="AX630" s="139" t="str">
        <f>[1]!T.in.A[[#This Row],[ID_T_manu]]</f>
        <v/>
      </c>
      <c r="AY630" s="140" t="str">
        <f>IF(ISNUMBER(Tab.o1[[#This Row],[a1]]),IF(AND(Tab.o1[[#This Row],[a1]]=1,Tab.o1[[#This Row],[b1]]&lt;=AY$4),#REF!,AY629),"")</f>
        <v/>
      </c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</row>
    <row r="631" spans="1:79" ht="15.75" hidden="1">
      <c r="A631" s="109">
        <v>-2.0000000000000003E-6</v>
      </c>
      <c r="B631" s="110">
        <f t="shared" si="36"/>
        <v>631</v>
      </c>
      <c r="C631" s="111" t="str">
        <f>IF(C$1=[1]!T.in.A[[#This Row],[oo2]],1,"")</f>
        <v/>
      </c>
      <c r="D631" s="112" t="str">
        <f>IF(Tab.o1[[#This Row],[a1]]=1,IF(SUM(C631:C632)=0,0,IF(SUM(C630:C631)=1,1,IF(SUM(C630:C632)&gt;1,D630+1,0))),"")</f>
        <v/>
      </c>
      <c r="E631" s="113" t="str">
        <f>IF(Tab.o1[[#This Row],[a1]]=1,[1]!T.in.A[[#This Row],[oo1]],"")</f>
        <v/>
      </c>
      <c r="F631" s="113" t="str">
        <f>IF(Tab.o1[[#This Row],[a1]]=1,[1]!T.in.A[[#This Row],[pp1]],"")</f>
        <v/>
      </c>
      <c r="G631" s="114" t="str">
        <f>IF(Tab.o1[[#This Row],[a1]]=1,G$2+IF(G$1=1,0,Tab.o1[[#This Row],[.x1]])+[1]!T.in.A[[#This Row],[oo3]],"")</f>
        <v/>
      </c>
      <c r="H631" s="115" t="str">
        <f>IF(Tab.o1[[#This Row],[a1]]=1,IF(H$2=0,0,IF(G$1=1,0,Tab.o1[[#This Row],[.x1]])+[1]!T.in.A[[#This Row],[oo4]]),"")</f>
        <v/>
      </c>
      <c r="I631" s="116" t="str">
        <f>IF(Tab.o1[[#This Row],[a1]]=1,IF(J$2=0,Tab.o1[[#This Row],[MED]],Tab.o1[[#This Row],[MOD]]),"")</f>
        <v/>
      </c>
      <c r="J631" s="116" t="str">
        <f>IF(Tab.o1[[#This Row],[a1]]=1,((Tab.o1[[#This Row],[DIF_Target.]]-AVERAGE(Tab.o1[DIF_Target.]))/_xlfn.STDEV.P(Tab.o1[DIF_Target.])),"")</f>
        <v/>
      </c>
      <c r="K631" s="117" t="str">
        <f>IF(Tab.o1[[#This Row],[a1]]=1,IF(J$2=0,Tab.o1[[#This Row],[MOD]]-Tab.o1[[#This Row],[B]],IF(J$2=1,0,-Tab.o1[[#This Row],[MED]])+Tab.o1[[#This Row],[B]]),"")</f>
        <v/>
      </c>
      <c r="L631" s="117" t="str">
        <f ca="1">IF(Tab.o1[[#This Row],[DIF_Target]]=0,IF(L$2=0,Tab.o1[[#This Row],[DIF_Target]],AVERAGE(OFFSET(Tab.o1[[#This Row],[DIF_Target]],1,0,L$3,1)))/3,Tab.o1[[#This Row],[DIF_Target]])</f>
        <v/>
      </c>
      <c r="M631" s="118" t="str">
        <f>IF(Tab.o1[[#This Row],[a1]]=1,NORMSDIST(Tab.o1[[#This Row],[Za]]),"")</f>
        <v/>
      </c>
      <c r="N631" s="119" t="str">
        <f>IF(Tab.o1[[#This Row],[a1]]=1,((Tab.o1[[#This Row],[MedMod]]-AVERAGE(Tab.o1[MedMod]))/_xlfn.STDEV.P(Tab.o1[MedMod])*H$1205)+G$1205,"")</f>
        <v/>
      </c>
      <c r="O631" s="141" t="str">
        <f>IF(Tab.o1[[#This Row],[a1]]=1,Tab.o1[[#This Row],[Zb]]*_xlfn.STDEV.P(Tab.o1[MedMod])+AVERAGE(Tab.o1[MedMod]),"")</f>
        <v/>
      </c>
      <c r="P631" s="117" t="str">
        <f ca="1">IF(Tab.o1[[#This Row],[B]]=0,AVERAGE(OFFSET(Tab.o1[[#This Row],[B]],1,0,L$3,1)),Tab.o1[[#This Row],[B]])</f>
        <v/>
      </c>
      <c r="Q631" s="121" t="str">
        <f>IF(Tab.o1[[#This Row],[a1]]=1,NORMSDIST(Tab.o1[[#This Row],[Zb]]),"")</f>
        <v/>
      </c>
      <c r="R631" s="122" t="str">
        <f>IF(Tab.o1[[#This Row],[a1]]=1,((Tab.o1[[#This Row],[MedMod]]-AVERAGE(Tab.o1[MedMod]))/_xlfn.STDEV.P(Tab.o1[MedMod])*H$1203)+G$1203,"")</f>
        <v/>
      </c>
      <c r="S631" s="122" t="str">
        <f>IF(Tab.o1[[#This Row],[a1]]=1,((Tab.o1[[#This Row],[MedMod]]-AVERAGE(Tab.o1[MedMod]))/_xlfn.STDEV.P(Tab.o1[MedMod])*H$1204)+G$1204,"")</f>
        <v/>
      </c>
      <c r="T631" s="123" t="str">
        <f>IF(Tab.o1[[#This Row],[a1]]=1,Tab.o1[[#This Row],[Z-]]*_xlfn.STDEV.P(Tab.o1[B])+AVERAGE(Tab.o1[B]),"")</f>
        <v/>
      </c>
      <c r="U631" s="123" t="str">
        <f>IF(Tab.o1[[#This Row],[a1]]=1,Tab.o1[[#This Row],[z+]]*_xlfn.STDEV.P(Tab.o1[B])+AVERAGE(Tab.o1[B]),"")</f>
        <v/>
      </c>
      <c r="V631" s="124" t="str">
        <f>IF(Tab.o1[[#This Row],[a1]]=1,ABS((ABS(Tab.o1[[#This Row],[Red]]-Tab.o1[[#This Row],[Blue]]))),"")</f>
        <v/>
      </c>
      <c r="W631" s="125" t="str">
        <f>IF(Tab.o1[[#This Row],[a1]]=1,IF(W$3=0,1,Tab.o1[[#This Row],[Amp.]]*1/_xlfn.MINIFS(Tab.o1[Amp.],Tab.o1[Amp.],"&lt;&gt;0")),"")</f>
        <v/>
      </c>
      <c r="X631" s="126" t="str">
        <f>IF(Tab.o1[[#This Row],[a1]]=1,IF(ISNUMBER(Tab.o1[[#This Row],[i.]]),NORMDIST(Tab.o1[[#This Row],[Za]],0,1,FALSE)*Tab.o1[[#This Row],[i.]],AP$3),"")</f>
        <v/>
      </c>
      <c r="Y631" s="126" t="str">
        <f>IF(Tab.o1[[#This Row],[a1]]=1,0.01+0.94*Tab.o1[[#This Row],[PDF]]/MAX(Tab.o1[PDF]),"")</f>
        <v/>
      </c>
      <c r="Z631" s="126" t="str">
        <f>IF(Tab.o1[[#This Row],[a1]]=1,0.01+0.94*Tab.o1[[#This Row],[W1_PDF]]/MAX(Tab.o1[W1_PDF]),"")</f>
        <v/>
      </c>
      <c r="AA631" s="118" t="str">
        <f>IF(Tab.o1[[#This Row],[a1]]=1,ABS([1]!T.in.A[[#This Row],[oo6]]),"")</f>
        <v/>
      </c>
      <c r="AB631" s="127" t="str">
        <f>IF(Tab.o1[[#This Row],[a1]]=1,IF(AE$3=0,"",IF(AB$3=0,ABS([1]!T.in.A[[#This Row],[oo9]]),ABS(Tab.o1[[#This Row],[DIF_Target.]]*Tab.o1[[#This Row],[W1_PDF]]))),"")</f>
        <v/>
      </c>
      <c r="AC631" s="127" t="str">
        <f>IF(G$1=1,"",IF(Tab.o1[[#This Row],[a1]]=1,Tab.o1[[#This Row],[Wr]]^2,""))</f>
        <v/>
      </c>
      <c r="AD631" s="118" t="str">
        <f>IF(Tab.o1[[#This Row],[a1]]=1,IF(AE$3=0,"",Tab.o1[[#This Row],[Wr2]]/SUM(Tab.o1[Wr2])),"")</f>
        <v/>
      </c>
      <c r="AE631" s="128" t="str">
        <f>IF(Tab.o1[[#This Row],[a1]]=1,[1]!T.in.A[[#This Row],[oo10]],"")</f>
        <v/>
      </c>
      <c r="AF631" s="118" t="str">
        <f>IF(Tab.o1[[#This Row],[a1]]=1,ABS(Tab.o1[[#This Row],[DIF_Target.]]*Tab.o1[[#This Row],[PDF2]]*Tab.o1[[#This Row],[IN]]),"")</f>
        <v/>
      </c>
      <c r="AG631" s="129" t="str">
        <f>IF(Tab.o1[[#This Row],[a1]]=1,Tab.o1[[#This Row],[rW]]^2,"")</f>
        <v/>
      </c>
      <c r="AH631" s="130" t="str">
        <f>IF(Tab.o1[[#This Row],[a1]]=1,IF(AH$3=0,Tab.o1[[#This Row],[rW2]],0.01+0.94*Tab.o1[[#This Row],[rW2]]/SUM(Tab.o1[rW2])),"")</f>
        <v/>
      </c>
      <c r="AI631" s="128" t="str">
        <f>IF(Tab.o1[[#This Row],[a1]]=1,1/Tab.o1[[#This Row],[PDF]],"")</f>
        <v/>
      </c>
      <c r="AJ631" s="131" t="str">
        <f>IF(Tab.o1[[#This Row],[a1]]=1,[1]!T_AA[[#This Row],[IN'']]*[1]!T_AA[[#This Row],[Qde'']],"")</f>
        <v/>
      </c>
      <c r="AK631" s="132" t="str">
        <f>IF(Tab.o1[[#This Row],[a1]]=1,IF(AK$1=1,Tab.o1[[#This Row],[MED]]+Tab.o1[[#This Row],[MOD]]-Tab.o1[[#This Row],[MED]],""),"")</f>
        <v/>
      </c>
      <c r="AL631" s="133" t="str">
        <f>IF(Tab.o1[[#This Row],[a1]]=1,[1]!T.in.A[[#This Row],[oo16]],"")</f>
        <v/>
      </c>
      <c r="AM631" s="133" t="str">
        <f>IF(Tab.o1[[#This Row],[a1]]=1,IF(AM$3=1,[1]!T.in.A[[#This Row],[Σo16]],""),"")</f>
        <v/>
      </c>
      <c r="AN631" s="126" t="str">
        <f>IF(Tab.o1[[#This Row],[a1]]=1,[1]!T.in.A[[#This Row],[Σp5]],"")</f>
        <v/>
      </c>
      <c r="AO631" s="126" t="str">
        <f>IF(Tab.o1[[#This Row],[a1]]=1,IF(AO$3=1,[1]!T.in.A[[#This Row],[Σp5]],""),"")</f>
        <v/>
      </c>
      <c r="AP631" s="110" t="str">
        <f>IF(Tab.o1[[#This Row],[a1]]=1,IF(ISNUMBER(Tab.o1[[#This Row],[i.]]),NORMDIST(Tab.o1[[#This Row],[Za]],0,1,FALSE)*Tab.o1[[#This Row],[i.]],0),"")</f>
        <v/>
      </c>
      <c r="AQ631" s="125" t="str">
        <f>IF(Tab.o1[[#This Row],[a1]]=1,ABS(Tab.o1[[#This Row],[MOD]]-AVERAGE(Tab.o1[MOD])),"")</f>
        <v/>
      </c>
      <c r="AR631" s="134" t="str">
        <f>IF(Tab.o1[[#This Row],[a1]]=1,Tab.o1[[#This Row],[OBS]]/SUM(Tab.o1[OBS]),"")</f>
        <v/>
      </c>
      <c r="AS631" s="135" t="str">
        <f>IF(ISNUMBER(Tab.o1[[#This Row],[a1]]),ROW()-4,"")</f>
        <v/>
      </c>
      <c r="AT631" s="136" t="str">
        <f>Tab.o1[[#This Row],[MOD]]</f>
        <v/>
      </c>
      <c r="AU631" s="137" t="str">
        <f t="shared" si="37"/>
        <v/>
      </c>
      <c r="AV631" s="138" t="str">
        <f t="shared" si="38"/>
        <v/>
      </c>
      <c r="AW631" s="138" t="str">
        <f t="shared" si="39"/>
        <v/>
      </c>
      <c r="AX631" s="139" t="str">
        <f>[1]!T.in.A[[#This Row],[ID_T_manu]]</f>
        <v/>
      </c>
      <c r="AY631" s="140" t="str">
        <f>IF(ISNUMBER(Tab.o1[[#This Row],[a1]]),IF(AND(Tab.o1[[#This Row],[a1]]=1,Tab.o1[[#This Row],[b1]]&lt;=AY$4),#REF!,AY630),"")</f>
        <v/>
      </c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</row>
    <row r="632" spans="1:79" ht="15.75" hidden="1">
      <c r="A632" s="109">
        <v>1.0000000000000002E-6</v>
      </c>
      <c r="B632" s="110">
        <f t="shared" si="36"/>
        <v>632</v>
      </c>
      <c r="C632" s="111" t="str">
        <f>IF(C$1=[1]!T.in.A[[#This Row],[oo2]],1,"")</f>
        <v/>
      </c>
      <c r="D632" s="112" t="str">
        <f>IF(Tab.o1[[#This Row],[a1]]=1,IF(SUM(C632:C633)=0,0,IF(SUM(C631:C632)=1,1,IF(SUM(C631:C633)&gt;1,D631+1,0))),"")</f>
        <v/>
      </c>
      <c r="E632" s="113" t="str">
        <f>IF(Tab.o1[[#This Row],[a1]]=1,[1]!T.in.A[[#This Row],[oo1]],"")</f>
        <v/>
      </c>
      <c r="F632" s="113" t="str">
        <f>IF(Tab.o1[[#This Row],[a1]]=1,[1]!T.in.A[[#This Row],[pp1]],"")</f>
        <v/>
      </c>
      <c r="G632" s="114" t="str">
        <f>IF(Tab.o1[[#This Row],[a1]]=1,G$2+IF(G$1=1,0,Tab.o1[[#This Row],[.x1]])+[1]!T.in.A[[#This Row],[oo3]],"")</f>
        <v/>
      </c>
      <c r="H632" s="115" t="str">
        <f>IF(Tab.o1[[#This Row],[a1]]=1,IF(H$2=0,0,IF(G$1=1,0,Tab.o1[[#This Row],[.x1]])+[1]!T.in.A[[#This Row],[oo4]]),"")</f>
        <v/>
      </c>
      <c r="I632" s="116" t="str">
        <f>IF(Tab.o1[[#This Row],[a1]]=1,IF(J$2=0,Tab.o1[[#This Row],[MED]],Tab.o1[[#This Row],[MOD]]),"")</f>
        <v/>
      </c>
      <c r="J632" s="116" t="str">
        <f>IF(Tab.o1[[#This Row],[a1]]=1,((Tab.o1[[#This Row],[DIF_Target.]]-AVERAGE(Tab.o1[DIF_Target.]))/_xlfn.STDEV.P(Tab.o1[DIF_Target.])),"")</f>
        <v/>
      </c>
      <c r="K632" s="117" t="str">
        <f>IF(Tab.o1[[#This Row],[a1]]=1,IF(J$2=0,Tab.o1[[#This Row],[MOD]]-Tab.o1[[#This Row],[B]],IF(J$2=1,0,-Tab.o1[[#This Row],[MED]])+Tab.o1[[#This Row],[B]]),"")</f>
        <v/>
      </c>
      <c r="L632" s="117" t="str">
        <f ca="1">IF(Tab.o1[[#This Row],[DIF_Target]]=0,IF(L$2=0,Tab.o1[[#This Row],[DIF_Target]],AVERAGE(OFFSET(Tab.o1[[#This Row],[DIF_Target]],1,0,L$3,1)))/3,Tab.o1[[#This Row],[DIF_Target]])</f>
        <v/>
      </c>
      <c r="M632" s="118" t="str">
        <f>IF(Tab.o1[[#This Row],[a1]]=1,NORMSDIST(Tab.o1[[#This Row],[Za]]),"")</f>
        <v/>
      </c>
      <c r="N632" s="119" t="str">
        <f>IF(Tab.o1[[#This Row],[a1]]=1,((Tab.o1[[#This Row],[MedMod]]-AVERAGE(Tab.o1[MedMod]))/_xlfn.STDEV.P(Tab.o1[MedMod])*H$1205)+G$1205,"")</f>
        <v/>
      </c>
      <c r="O632" s="141" t="str">
        <f>IF(Tab.o1[[#This Row],[a1]]=1,Tab.o1[[#This Row],[Zb]]*_xlfn.STDEV.P(Tab.o1[MedMod])+AVERAGE(Tab.o1[MedMod]),"")</f>
        <v/>
      </c>
      <c r="P632" s="117" t="str">
        <f ca="1">IF(Tab.o1[[#This Row],[B]]=0,AVERAGE(OFFSET(Tab.o1[[#This Row],[B]],1,0,L$3,1)),Tab.o1[[#This Row],[B]])</f>
        <v/>
      </c>
      <c r="Q632" s="121" t="str">
        <f>IF(Tab.o1[[#This Row],[a1]]=1,NORMSDIST(Tab.o1[[#This Row],[Zb]]),"")</f>
        <v/>
      </c>
      <c r="R632" s="122" t="str">
        <f>IF(Tab.o1[[#This Row],[a1]]=1,((Tab.o1[[#This Row],[MedMod]]-AVERAGE(Tab.o1[MedMod]))/_xlfn.STDEV.P(Tab.o1[MedMod])*H$1203)+G$1203,"")</f>
        <v/>
      </c>
      <c r="S632" s="122" t="str">
        <f>IF(Tab.o1[[#This Row],[a1]]=1,((Tab.o1[[#This Row],[MedMod]]-AVERAGE(Tab.o1[MedMod]))/_xlfn.STDEV.P(Tab.o1[MedMod])*H$1204)+G$1204,"")</f>
        <v/>
      </c>
      <c r="T632" s="123" t="str">
        <f>IF(Tab.o1[[#This Row],[a1]]=1,Tab.o1[[#This Row],[Z-]]*_xlfn.STDEV.P(Tab.o1[B])+AVERAGE(Tab.o1[B]),"")</f>
        <v/>
      </c>
      <c r="U632" s="123" t="str">
        <f>IF(Tab.o1[[#This Row],[a1]]=1,Tab.o1[[#This Row],[z+]]*_xlfn.STDEV.P(Tab.o1[B])+AVERAGE(Tab.o1[B]),"")</f>
        <v/>
      </c>
      <c r="V632" s="124" t="str">
        <f>IF(Tab.o1[[#This Row],[a1]]=1,ABS((ABS(Tab.o1[[#This Row],[Red]]-Tab.o1[[#This Row],[Blue]]))),"")</f>
        <v/>
      </c>
      <c r="W632" s="125" t="str">
        <f>IF(Tab.o1[[#This Row],[a1]]=1,IF(W$3=0,1,Tab.o1[[#This Row],[Amp.]]*1/_xlfn.MINIFS(Tab.o1[Amp.],Tab.o1[Amp.],"&lt;&gt;0")),"")</f>
        <v/>
      </c>
      <c r="X632" s="126" t="str">
        <f>IF(Tab.o1[[#This Row],[a1]]=1,IF(ISNUMBER(Tab.o1[[#This Row],[i.]]),NORMDIST(Tab.o1[[#This Row],[Za]],0,1,FALSE)*Tab.o1[[#This Row],[i.]],AP$3),"")</f>
        <v/>
      </c>
      <c r="Y632" s="126" t="str">
        <f>IF(Tab.o1[[#This Row],[a1]]=1,0.01+0.94*Tab.o1[[#This Row],[PDF]]/MAX(Tab.o1[PDF]),"")</f>
        <v/>
      </c>
      <c r="Z632" s="126" t="str">
        <f>IF(Tab.o1[[#This Row],[a1]]=1,0.01+0.94*Tab.o1[[#This Row],[W1_PDF]]/MAX(Tab.o1[W1_PDF]),"")</f>
        <v/>
      </c>
      <c r="AA632" s="118" t="str">
        <f>IF(Tab.o1[[#This Row],[a1]]=1,ABS([1]!T.in.A[[#This Row],[oo6]]),"")</f>
        <v/>
      </c>
      <c r="AB632" s="127" t="str">
        <f>IF(Tab.o1[[#This Row],[a1]]=1,IF(AE$3=0,"",IF(AB$3=0,ABS([1]!T.in.A[[#This Row],[oo9]]),ABS(Tab.o1[[#This Row],[DIF_Target.]]*Tab.o1[[#This Row],[W1_PDF]]))),"")</f>
        <v/>
      </c>
      <c r="AC632" s="127" t="str">
        <f>IF(G$1=1,"",IF(Tab.o1[[#This Row],[a1]]=1,Tab.o1[[#This Row],[Wr]]^2,""))</f>
        <v/>
      </c>
      <c r="AD632" s="118" t="str">
        <f>IF(Tab.o1[[#This Row],[a1]]=1,IF(AE$3=0,"",Tab.o1[[#This Row],[Wr2]]/SUM(Tab.o1[Wr2])),"")</f>
        <v/>
      </c>
      <c r="AE632" s="128" t="str">
        <f>IF(Tab.o1[[#This Row],[a1]]=1,[1]!T.in.A[[#This Row],[oo10]],"")</f>
        <v/>
      </c>
      <c r="AF632" s="118" t="str">
        <f>IF(Tab.o1[[#This Row],[a1]]=1,ABS(Tab.o1[[#This Row],[DIF_Target.]]*Tab.o1[[#This Row],[PDF2]]*Tab.o1[[#This Row],[IN]]),"")</f>
        <v/>
      </c>
      <c r="AG632" s="129" t="str">
        <f>IF(Tab.o1[[#This Row],[a1]]=1,Tab.o1[[#This Row],[rW]]^2,"")</f>
        <v/>
      </c>
      <c r="AH632" s="130" t="str">
        <f>IF(Tab.o1[[#This Row],[a1]]=1,IF(AH$3=0,Tab.o1[[#This Row],[rW2]],0.01+0.94*Tab.o1[[#This Row],[rW2]]/SUM(Tab.o1[rW2])),"")</f>
        <v/>
      </c>
      <c r="AI632" s="128" t="str">
        <f>IF(Tab.o1[[#This Row],[a1]]=1,1/Tab.o1[[#This Row],[PDF]],"")</f>
        <v/>
      </c>
      <c r="AJ632" s="131" t="str">
        <f>IF(Tab.o1[[#This Row],[a1]]=1,[1]!T_AA[[#This Row],[IN'']]*[1]!T_AA[[#This Row],[Qde'']],"")</f>
        <v/>
      </c>
      <c r="AK632" s="132" t="str">
        <f>IF(Tab.o1[[#This Row],[a1]]=1,IF(AK$1=1,Tab.o1[[#This Row],[MED]]+Tab.o1[[#This Row],[MOD]]-Tab.o1[[#This Row],[MED]],""),"")</f>
        <v/>
      </c>
      <c r="AL632" s="133" t="str">
        <f>IF(Tab.o1[[#This Row],[a1]]=1,[1]!T.in.A[[#This Row],[oo16]],"")</f>
        <v/>
      </c>
      <c r="AM632" s="133" t="str">
        <f>IF(Tab.o1[[#This Row],[a1]]=1,IF(AM$3=1,[1]!T.in.A[[#This Row],[Σo16]],""),"")</f>
        <v/>
      </c>
      <c r="AN632" s="126" t="str">
        <f>IF(Tab.o1[[#This Row],[a1]]=1,[1]!T.in.A[[#This Row],[Σp5]],"")</f>
        <v/>
      </c>
      <c r="AO632" s="126" t="str">
        <f>IF(Tab.o1[[#This Row],[a1]]=1,IF(AO$3=1,[1]!T.in.A[[#This Row],[Σp5]],""),"")</f>
        <v/>
      </c>
      <c r="AP632" s="110" t="str">
        <f>IF(Tab.o1[[#This Row],[a1]]=1,IF(ISNUMBER(Tab.o1[[#This Row],[i.]]),NORMDIST(Tab.o1[[#This Row],[Za]],0,1,FALSE)*Tab.o1[[#This Row],[i.]],0),"")</f>
        <v/>
      </c>
      <c r="AQ632" s="125" t="str">
        <f>IF(Tab.o1[[#This Row],[a1]]=1,ABS(Tab.o1[[#This Row],[MOD]]-AVERAGE(Tab.o1[MOD])),"")</f>
        <v/>
      </c>
      <c r="AR632" s="134" t="str">
        <f>IF(Tab.o1[[#This Row],[a1]]=1,Tab.o1[[#This Row],[OBS]]/SUM(Tab.o1[OBS]),"")</f>
        <v/>
      </c>
      <c r="AS632" s="135" t="str">
        <f>IF(ISNUMBER(Tab.o1[[#This Row],[a1]]),ROW()-4,"")</f>
        <v/>
      </c>
      <c r="AT632" s="136" t="str">
        <f>Tab.o1[[#This Row],[MOD]]</f>
        <v/>
      </c>
      <c r="AU632" s="137" t="str">
        <f t="shared" si="37"/>
        <v/>
      </c>
      <c r="AV632" s="138" t="str">
        <f t="shared" si="38"/>
        <v/>
      </c>
      <c r="AW632" s="138" t="str">
        <f t="shared" si="39"/>
        <v/>
      </c>
      <c r="AX632" s="139" t="str">
        <f>[1]!T.in.A[[#This Row],[ID_T_manu]]</f>
        <v/>
      </c>
      <c r="AY632" s="140" t="str">
        <f>IF(ISNUMBER(Tab.o1[[#This Row],[a1]]),IF(AND(Tab.o1[[#This Row],[a1]]=1,Tab.o1[[#This Row],[b1]]&lt;=AY$4),#REF!,AY631),"")</f>
        <v/>
      </c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</row>
    <row r="633" spans="1:79" ht="15.75" hidden="1">
      <c r="A633" s="109">
        <v>-6.9999999999999999E-6</v>
      </c>
      <c r="B633" s="110">
        <f t="shared" si="36"/>
        <v>633</v>
      </c>
      <c r="C633" s="111" t="str">
        <f>IF(C$1=[1]!T.in.A[[#This Row],[oo2]],1,"")</f>
        <v/>
      </c>
      <c r="D633" s="112" t="str">
        <f>IF(Tab.o1[[#This Row],[a1]]=1,IF(SUM(C633:C634)=0,0,IF(SUM(C632:C633)=1,1,IF(SUM(C632:C634)&gt;1,D632+1,0))),"")</f>
        <v/>
      </c>
      <c r="E633" s="113" t="str">
        <f>IF(Tab.o1[[#This Row],[a1]]=1,[1]!T.in.A[[#This Row],[oo1]],"")</f>
        <v/>
      </c>
      <c r="F633" s="113" t="str">
        <f>IF(Tab.o1[[#This Row],[a1]]=1,[1]!T.in.A[[#This Row],[pp1]],"")</f>
        <v/>
      </c>
      <c r="G633" s="114" t="str">
        <f>IF(Tab.o1[[#This Row],[a1]]=1,G$2+IF(G$1=1,0,Tab.o1[[#This Row],[.x1]])+[1]!T.in.A[[#This Row],[oo3]],"")</f>
        <v/>
      </c>
      <c r="H633" s="115" t="str">
        <f>IF(Tab.o1[[#This Row],[a1]]=1,IF(H$2=0,0,IF(G$1=1,0,Tab.o1[[#This Row],[.x1]])+[1]!T.in.A[[#This Row],[oo4]]),"")</f>
        <v/>
      </c>
      <c r="I633" s="116" t="str">
        <f>IF(Tab.o1[[#This Row],[a1]]=1,IF(J$2=0,Tab.o1[[#This Row],[MED]],Tab.o1[[#This Row],[MOD]]),"")</f>
        <v/>
      </c>
      <c r="J633" s="116" t="str">
        <f>IF(Tab.o1[[#This Row],[a1]]=1,((Tab.o1[[#This Row],[DIF_Target.]]-AVERAGE(Tab.o1[DIF_Target.]))/_xlfn.STDEV.P(Tab.o1[DIF_Target.])),"")</f>
        <v/>
      </c>
      <c r="K633" s="117" t="str">
        <f>IF(Tab.o1[[#This Row],[a1]]=1,IF(J$2=0,Tab.o1[[#This Row],[MOD]]-Tab.o1[[#This Row],[B]],IF(J$2=1,0,-Tab.o1[[#This Row],[MED]])+Tab.o1[[#This Row],[B]]),"")</f>
        <v/>
      </c>
      <c r="L633" s="117" t="str">
        <f ca="1">IF(Tab.o1[[#This Row],[DIF_Target]]=0,IF(L$2=0,Tab.o1[[#This Row],[DIF_Target]],AVERAGE(OFFSET(Tab.o1[[#This Row],[DIF_Target]],1,0,L$3,1)))/3,Tab.o1[[#This Row],[DIF_Target]])</f>
        <v/>
      </c>
      <c r="M633" s="118" t="str">
        <f>IF(Tab.o1[[#This Row],[a1]]=1,NORMSDIST(Tab.o1[[#This Row],[Za]]),"")</f>
        <v/>
      </c>
      <c r="N633" s="119" t="str">
        <f>IF(Tab.o1[[#This Row],[a1]]=1,((Tab.o1[[#This Row],[MedMod]]-AVERAGE(Tab.o1[MedMod]))/_xlfn.STDEV.P(Tab.o1[MedMod])*H$1205)+G$1205,"")</f>
        <v/>
      </c>
      <c r="O633" s="141" t="str">
        <f>IF(Tab.o1[[#This Row],[a1]]=1,Tab.o1[[#This Row],[Zb]]*_xlfn.STDEV.P(Tab.o1[MedMod])+AVERAGE(Tab.o1[MedMod]),"")</f>
        <v/>
      </c>
      <c r="P633" s="117" t="str">
        <f ca="1">IF(Tab.o1[[#This Row],[B]]=0,AVERAGE(OFFSET(Tab.o1[[#This Row],[B]],1,0,L$3,1)),Tab.o1[[#This Row],[B]])</f>
        <v/>
      </c>
      <c r="Q633" s="121" t="str">
        <f>IF(Tab.o1[[#This Row],[a1]]=1,NORMSDIST(Tab.o1[[#This Row],[Zb]]),"")</f>
        <v/>
      </c>
      <c r="R633" s="122" t="str">
        <f>IF(Tab.o1[[#This Row],[a1]]=1,((Tab.o1[[#This Row],[MedMod]]-AVERAGE(Tab.o1[MedMod]))/_xlfn.STDEV.P(Tab.o1[MedMod])*H$1203)+G$1203,"")</f>
        <v/>
      </c>
      <c r="S633" s="122" t="str">
        <f>IF(Tab.o1[[#This Row],[a1]]=1,((Tab.o1[[#This Row],[MedMod]]-AVERAGE(Tab.o1[MedMod]))/_xlfn.STDEV.P(Tab.o1[MedMod])*H$1204)+G$1204,"")</f>
        <v/>
      </c>
      <c r="T633" s="123" t="str">
        <f>IF(Tab.o1[[#This Row],[a1]]=1,Tab.o1[[#This Row],[Z-]]*_xlfn.STDEV.P(Tab.o1[B])+AVERAGE(Tab.o1[B]),"")</f>
        <v/>
      </c>
      <c r="U633" s="123" t="str">
        <f>IF(Tab.o1[[#This Row],[a1]]=1,Tab.o1[[#This Row],[z+]]*_xlfn.STDEV.P(Tab.o1[B])+AVERAGE(Tab.o1[B]),"")</f>
        <v/>
      </c>
      <c r="V633" s="124" t="str">
        <f>IF(Tab.o1[[#This Row],[a1]]=1,ABS((ABS(Tab.o1[[#This Row],[Red]]-Tab.o1[[#This Row],[Blue]]))),"")</f>
        <v/>
      </c>
      <c r="W633" s="125" t="str">
        <f>IF(Tab.o1[[#This Row],[a1]]=1,IF(W$3=0,1,Tab.o1[[#This Row],[Amp.]]*1/_xlfn.MINIFS(Tab.o1[Amp.],Tab.o1[Amp.],"&lt;&gt;0")),"")</f>
        <v/>
      </c>
      <c r="X633" s="126" t="str">
        <f>IF(Tab.o1[[#This Row],[a1]]=1,IF(ISNUMBER(Tab.o1[[#This Row],[i.]]),NORMDIST(Tab.o1[[#This Row],[Za]],0,1,FALSE)*Tab.o1[[#This Row],[i.]],AP$3),"")</f>
        <v/>
      </c>
      <c r="Y633" s="126" t="str">
        <f>IF(Tab.o1[[#This Row],[a1]]=1,0.01+0.94*Tab.o1[[#This Row],[PDF]]/MAX(Tab.o1[PDF]),"")</f>
        <v/>
      </c>
      <c r="Z633" s="126" t="str">
        <f>IF(Tab.o1[[#This Row],[a1]]=1,0.01+0.94*Tab.o1[[#This Row],[W1_PDF]]/MAX(Tab.o1[W1_PDF]),"")</f>
        <v/>
      </c>
      <c r="AA633" s="118" t="str">
        <f>IF(Tab.o1[[#This Row],[a1]]=1,ABS([1]!T.in.A[[#This Row],[oo6]]),"")</f>
        <v/>
      </c>
      <c r="AB633" s="127" t="str">
        <f>IF(Tab.o1[[#This Row],[a1]]=1,IF(AE$3=0,"",IF(AB$3=0,ABS([1]!T.in.A[[#This Row],[oo9]]),ABS(Tab.o1[[#This Row],[DIF_Target.]]*Tab.o1[[#This Row],[W1_PDF]]))),"")</f>
        <v/>
      </c>
      <c r="AC633" s="127" t="str">
        <f>IF(G$1=1,"",IF(Tab.o1[[#This Row],[a1]]=1,Tab.o1[[#This Row],[Wr]]^2,""))</f>
        <v/>
      </c>
      <c r="AD633" s="118" t="str">
        <f>IF(Tab.o1[[#This Row],[a1]]=1,IF(AE$3=0,"",Tab.o1[[#This Row],[Wr2]]/SUM(Tab.o1[Wr2])),"")</f>
        <v/>
      </c>
      <c r="AE633" s="128" t="str">
        <f>IF(Tab.o1[[#This Row],[a1]]=1,[1]!T.in.A[[#This Row],[oo10]],"")</f>
        <v/>
      </c>
      <c r="AF633" s="118" t="str">
        <f>IF(Tab.o1[[#This Row],[a1]]=1,ABS(Tab.o1[[#This Row],[DIF_Target.]]*Tab.o1[[#This Row],[PDF2]]*Tab.o1[[#This Row],[IN]]),"")</f>
        <v/>
      </c>
      <c r="AG633" s="129" t="str">
        <f>IF(Tab.o1[[#This Row],[a1]]=1,Tab.o1[[#This Row],[rW]]^2,"")</f>
        <v/>
      </c>
      <c r="AH633" s="130" t="str">
        <f>IF(Tab.o1[[#This Row],[a1]]=1,IF(AH$3=0,Tab.o1[[#This Row],[rW2]],0.01+0.94*Tab.o1[[#This Row],[rW2]]/SUM(Tab.o1[rW2])),"")</f>
        <v/>
      </c>
      <c r="AI633" s="128" t="str">
        <f>IF(Tab.o1[[#This Row],[a1]]=1,1/Tab.o1[[#This Row],[PDF]],"")</f>
        <v/>
      </c>
      <c r="AJ633" s="131" t="str">
        <f>IF(Tab.o1[[#This Row],[a1]]=1,[1]!T_AA[[#This Row],[IN'']]*[1]!T_AA[[#This Row],[Qde'']],"")</f>
        <v/>
      </c>
      <c r="AK633" s="132" t="str">
        <f>IF(Tab.o1[[#This Row],[a1]]=1,IF(AK$1=1,Tab.o1[[#This Row],[MED]]+Tab.o1[[#This Row],[MOD]]-Tab.o1[[#This Row],[MED]],""),"")</f>
        <v/>
      </c>
      <c r="AL633" s="133" t="str">
        <f>IF(Tab.o1[[#This Row],[a1]]=1,[1]!T.in.A[[#This Row],[oo16]],"")</f>
        <v/>
      </c>
      <c r="AM633" s="133" t="str">
        <f>IF(Tab.o1[[#This Row],[a1]]=1,IF(AM$3=1,[1]!T.in.A[[#This Row],[Σo16]],""),"")</f>
        <v/>
      </c>
      <c r="AN633" s="126" t="str">
        <f>IF(Tab.o1[[#This Row],[a1]]=1,[1]!T.in.A[[#This Row],[Σp5]],"")</f>
        <v/>
      </c>
      <c r="AO633" s="126" t="str">
        <f>IF(Tab.o1[[#This Row],[a1]]=1,IF(AO$3=1,[1]!T.in.A[[#This Row],[Σp5]],""),"")</f>
        <v/>
      </c>
      <c r="AP633" s="110" t="str">
        <f>IF(Tab.o1[[#This Row],[a1]]=1,IF(ISNUMBER(Tab.o1[[#This Row],[i.]]),NORMDIST(Tab.o1[[#This Row],[Za]],0,1,FALSE)*Tab.o1[[#This Row],[i.]],0),"")</f>
        <v/>
      </c>
      <c r="AQ633" s="125" t="str">
        <f>IF(Tab.o1[[#This Row],[a1]]=1,ABS(Tab.o1[[#This Row],[MOD]]-AVERAGE(Tab.o1[MOD])),"")</f>
        <v/>
      </c>
      <c r="AR633" s="134" t="str">
        <f>IF(Tab.o1[[#This Row],[a1]]=1,Tab.o1[[#This Row],[OBS]]/SUM(Tab.o1[OBS]),"")</f>
        <v/>
      </c>
      <c r="AS633" s="135" t="str">
        <f>IF(ISNUMBER(Tab.o1[[#This Row],[a1]]),ROW()-4,"")</f>
        <v/>
      </c>
      <c r="AT633" s="136" t="str">
        <f>Tab.o1[[#This Row],[MOD]]</f>
        <v/>
      </c>
      <c r="AU633" s="137" t="str">
        <f t="shared" si="37"/>
        <v/>
      </c>
      <c r="AV633" s="138" t="str">
        <f t="shared" si="38"/>
        <v/>
      </c>
      <c r="AW633" s="138" t="str">
        <f t="shared" si="39"/>
        <v/>
      </c>
      <c r="AX633" s="139" t="str">
        <f>[1]!T.in.A[[#This Row],[ID_T_manu]]</f>
        <v/>
      </c>
      <c r="AY633" s="140" t="str">
        <f>IF(ISNUMBER(Tab.o1[[#This Row],[a1]]),IF(AND(Tab.o1[[#This Row],[a1]]=1,Tab.o1[[#This Row],[b1]]&lt;=AY$4),#REF!,AY632),"")</f>
        <v/>
      </c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</row>
    <row r="634" spans="1:79" ht="15.75" hidden="1">
      <c r="A634" s="109">
        <v>5.0000000000000004E-6</v>
      </c>
      <c r="B634" s="110">
        <f t="shared" si="36"/>
        <v>634</v>
      </c>
      <c r="C634" s="111" t="str">
        <f>IF(C$1=[1]!T.in.A[[#This Row],[oo2]],1,"")</f>
        <v/>
      </c>
      <c r="D634" s="112" t="str">
        <f>IF(Tab.o1[[#This Row],[a1]]=1,IF(SUM(C634:C635)=0,0,IF(SUM(C633:C634)=1,1,IF(SUM(C633:C635)&gt;1,D633+1,0))),"")</f>
        <v/>
      </c>
      <c r="E634" s="113" t="str">
        <f>IF(Tab.o1[[#This Row],[a1]]=1,[1]!T.in.A[[#This Row],[oo1]],"")</f>
        <v/>
      </c>
      <c r="F634" s="113" t="str">
        <f>IF(Tab.o1[[#This Row],[a1]]=1,[1]!T.in.A[[#This Row],[pp1]],"")</f>
        <v/>
      </c>
      <c r="G634" s="114" t="str">
        <f>IF(Tab.o1[[#This Row],[a1]]=1,G$2+IF(G$1=1,0,Tab.o1[[#This Row],[.x1]])+[1]!T.in.A[[#This Row],[oo3]],"")</f>
        <v/>
      </c>
      <c r="H634" s="115" t="str">
        <f>IF(Tab.o1[[#This Row],[a1]]=1,IF(H$2=0,0,IF(G$1=1,0,Tab.o1[[#This Row],[.x1]])+[1]!T.in.A[[#This Row],[oo4]]),"")</f>
        <v/>
      </c>
      <c r="I634" s="116" t="str">
        <f>IF(Tab.o1[[#This Row],[a1]]=1,IF(J$2=0,Tab.o1[[#This Row],[MED]],Tab.o1[[#This Row],[MOD]]),"")</f>
        <v/>
      </c>
      <c r="J634" s="116" t="str">
        <f>IF(Tab.o1[[#This Row],[a1]]=1,((Tab.o1[[#This Row],[DIF_Target.]]-AVERAGE(Tab.o1[DIF_Target.]))/_xlfn.STDEV.P(Tab.o1[DIF_Target.])),"")</f>
        <v/>
      </c>
      <c r="K634" s="117" t="str">
        <f>IF(Tab.o1[[#This Row],[a1]]=1,IF(J$2=0,Tab.o1[[#This Row],[MOD]]-Tab.o1[[#This Row],[B]],IF(J$2=1,0,-Tab.o1[[#This Row],[MED]])+Tab.o1[[#This Row],[B]]),"")</f>
        <v/>
      </c>
      <c r="L634" s="117" t="str">
        <f ca="1">IF(Tab.o1[[#This Row],[DIF_Target]]=0,IF(L$2=0,Tab.o1[[#This Row],[DIF_Target]],AVERAGE(OFFSET(Tab.o1[[#This Row],[DIF_Target]],1,0,L$3,1)))/3,Tab.o1[[#This Row],[DIF_Target]])</f>
        <v/>
      </c>
      <c r="M634" s="118" t="str">
        <f>IF(Tab.o1[[#This Row],[a1]]=1,NORMSDIST(Tab.o1[[#This Row],[Za]]),"")</f>
        <v/>
      </c>
      <c r="N634" s="119" t="str">
        <f>IF(Tab.o1[[#This Row],[a1]]=1,((Tab.o1[[#This Row],[MedMod]]-AVERAGE(Tab.o1[MedMod]))/_xlfn.STDEV.P(Tab.o1[MedMod])*H$1205)+G$1205,"")</f>
        <v/>
      </c>
      <c r="O634" s="141" t="str">
        <f>IF(Tab.o1[[#This Row],[a1]]=1,Tab.o1[[#This Row],[Zb]]*_xlfn.STDEV.P(Tab.o1[MedMod])+AVERAGE(Tab.o1[MedMod]),"")</f>
        <v/>
      </c>
      <c r="P634" s="117" t="str">
        <f ca="1">IF(Tab.o1[[#This Row],[B]]=0,AVERAGE(OFFSET(Tab.o1[[#This Row],[B]],1,0,L$3,1)),Tab.o1[[#This Row],[B]])</f>
        <v/>
      </c>
      <c r="Q634" s="121" t="str">
        <f>IF(Tab.o1[[#This Row],[a1]]=1,NORMSDIST(Tab.o1[[#This Row],[Zb]]),"")</f>
        <v/>
      </c>
      <c r="R634" s="122" t="str">
        <f>IF(Tab.o1[[#This Row],[a1]]=1,((Tab.o1[[#This Row],[MedMod]]-AVERAGE(Tab.o1[MedMod]))/_xlfn.STDEV.P(Tab.o1[MedMod])*H$1203)+G$1203,"")</f>
        <v/>
      </c>
      <c r="S634" s="122" t="str">
        <f>IF(Tab.o1[[#This Row],[a1]]=1,((Tab.o1[[#This Row],[MedMod]]-AVERAGE(Tab.o1[MedMod]))/_xlfn.STDEV.P(Tab.o1[MedMod])*H$1204)+G$1204,"")</f>
        <v/>
      </c>
      <c r="T634" s="123" t="str">
        <f>IF(Tab.o1[[#This Row],[a1]]=1,Tab.o1[[#This Row],[Z-]]*_xlfn.STDEV.P(Tab.o1[B])+AVERAGE(Tab.o1[B]),"")</f>
        <v/>
      </c>
      <c r="U634" s="123" t="str">
        <f>IF(Tab.o1[[#This Row],[a1]]=1,Tab.o1[[#This Row],[z+]]*_xlfn.STDEV.P(Tab.o1[B])+AVERAGE(Tab.o1[B]),"")</f>
        <v/>
      </c>
      <c r="V634" s="124" t="str">
        <f>IF(Tab.o1[[#This Row],[a1]]=1,ABS((ABS(Tab.o1[[#This Row],[Red]]-Tab.o1[[#This Row],[Blue]]))),"")</f>
        <v/>
      </c>
      <c r="W634" s="125" t="str">
        <f>IF(Tab.o1[[#This Row],[a1]]=1,IF(W$3=0,1,Tab.o1[[#This Row],[Amp.]]*1/_xlfn.MINIFS(Tab.o1[Amp.],Tab.o1[Amp.],"&lt;&gt;0")),"")</f>
        <v/>
      </c>
      <c r="X634" s="126" t="str">
        <f>IF(Tab.o1[[#This Row],[a1]]=1,IF(ISNUMBER(Tab.o1[[#This Row],[i.]]),NORMDIST(Tab.o1[[#This Row],[Za]],0,1,FALSE)*Tab.o1[[#This Row],[i.]],AP$3),"")</f>
        <v/>
      </c>
      <c r="Y634" s="126" t="str">
        <f>IF(Tab.o1[[#This Row],[a1]]=1,0.01+0.94*Tab.o1[[#This Row],[PDF]]/MAX(Tab.o1[PDF]),"")</f>
        <v/>
      </c>
      <c r="Z634" s="126" t="str">
        <f>IF(Tab.o1[[#This Row],[a1]]=1,0.01+0.94*Tab.o1[[#This Row],[W1_PDF]]/MAX(Tab.o1[W1_PDF]),"")</f>
        <v/>
      </c>
      <c r="AA634" s="118" t="str">
        <f>IF(Tab.o1[[#This Row],[a1]]=1,ABS([1]!T.in.A[[#This Row],[oo6]]),"")</f>
        <v/>
      </c>
      <c r="AB634" s="127" t="str">
        <f>IF(Tab.o1[[#This Row],[a1]]=1,IF(AE$3=0,"",IF(AB$3=0,ABS([1]!T.in.A[[#This Row],[oo9]]),ABS(Tab.o1[[#This Row],[DIF_Target.]]*Tab.o1[[#This Row],[W1_PDF]]))),"")</f>
        <v/>
      </c>
      <c r="AC634" s="127" t="str">
        <f>IF(G$1=1,"",IF(Tab.o1[[#This Row],[a1]]=1,Tab.o1[[#This Row],[Wr]]^2,""))</f>
        <v/>
      </c>
      <c r="AD634" s="118" t="str">
        <f>IF(Tab.o1[[#This Row],[a1]]=1,IF(AE$3=0,"",Tab.o1[[#This Row],[Wr2]]/SUM(Tab.o1[Wr2])),"")</f>
        <v/>
      </c>
      <c r="AE634" s="128" t="str">
        <f>IF(Tab.o1[[#This Row],[a1]]=1,[1]!T.in.A[[#This Row],[oo10]],"")</f>
        <v/>
      </c>
      <c r="AF634" s="118" t="str">
        <f>IF(Tab.o1[[#This Row],[a1]]=1,ABS(Tab.o1[[#This Row],[DIF_Target.]]*Tab.o1[[#This Row],[PDF2]]*Tab.o1[[#This Row],[IN]]),"")</f>
        <v/>
      </c>
      <c r="AG634" s="129" t="str">
        <f>IF(Tab.o1[[#This Row],[a1]]=1,Tab.o1[[#This Row],[rW]]^2,"")</f>
        <v/>
      </c>
      <c r="AH634" s="130" t="str">
        <f>IF(Tab.o1[[#This Row],[a1]]=1,IF(AH$3=0,Tab.o1[[#This Row],[rW2]],0.01+0.94*Tab.o1[[#This Row],[rW2]]/SUM(Tab.o1[rW2])),"")</f>
        <v/>
      </c>
      <c r="AI634" s="128" t="str">
        <f>IF(Tab.o1[[#This Row],[a1]]=1,1/Tab.o1[[#This Row],[PDF]],"")</f>
        <v/>
      </c>
      <c r="AJ634" s="131" t="str">
        <f>IF(Tab.o1[[#This Row],[a1]]=1,[1]!T_AA[[#This Row],[IN'']]*[1]!T_AA[[#This Row],[Qde'']],"")</f>
        <v/>
      </c>
      <c r="AK634" s="132" t="str">
        <f>IF(Tab.o1[[#This Row],[a1]]=1,IF(AK$1=1,Tab.o1[[#This Row],[MED]]+Tab.o1[[#This Row],[MOD]]-Tab.o1[[#This Row],[MED]],""),"")</f>
        <v/>
      </c>
      <c r="AL634" s="133" t="str">
        <f>IF(Tab.o1[[#This Row],[a1]]=1,[1]!T.in.A[[#This Row],[oo16]],"")</f>
        <v/>
      </c>
      <c r="AM634" s="133" t="str">
        <f>IF(Tab.o1[[#This Row],[a1]]=1,IF(AM$3=1,[1]!T.in.A[[#This Row],[Σo16]],""),"")</f>
        <v/>
      </c>
      <c r="AN634" s="126" t="str">
        <f>IF(Tab.o1[[#This Row],[a1]]=1,[1]!T.in.A[[#This Row],[Σp5]],"")</f>
        <v/>
      </c>
      <c r="AO634" s="126" t="str">
        <f>IF(Tab.o1[[#This Row],[a1]]=1,IF(AO$3=1,[1]!T.in.A[[#This Row],[Σp5]],""),"")</f>
        <v/>
      </c>
      <c r="AP634" s="110" t="str">
        <f>IF(Tab.o1[[#This Row],[a1]]=1,IF(ISNUMBER(Tab.o1[[#This Row],[i.]]),NORMDIST(Tab.o1[[#This Row],[Za]],0,1,FALSE)*Tab.o1[[#This Row],[i.]],0),"")</f>
        <v/>
      </c>
      <c r="AQ634" s="125" t="str">
        <f>IF(Tab.o1[[#This Row],[a1]]=1,ABS(Tab.o1[[#This Row],[MOD]]-AVERAGE(Tab.o1[MOD])),"")</f>
        <v/>
      </c>
      <c r="AR634" s="134" t="str">
        <f>IF(Tab.o1[[#This Row],[a1]]=1,Tab.o1[[#This Row],[OBS]]/SUM(Tab.o1[OBS]),"")</f>
        <v/>
      </c>
      <c r="AS634" s="135" t="str">
        <f>IF(ISNUMBER(Tab.o1[[#This Row],[a1]]),ROW()-4,"")</f>
        <v/>
      </c>
      <c r="AT634" s="136" t="str">
        <f>Tab.o1[[#This Row],[MOD]]</f>
        <v/>
      </c>
      <c r="AU634" s="137" t="str">
        <f t="shared" si="37"/>
        <v/>
      </c>
      <c r="AV634" s="138" t="str">
        <f t="shared" si="38"/>
        <v/>
      </c>
      <c r="AW634" s="138" t="str">
        <f t="shared" si="39"/>
        <v/>
      </c>
      <c r="AX634" s="139" t="str">
        <f>[1]!T.in.A[[#This Row],[ID_T_manu]]</f>
        <v/>
      </c>
      <c r="AY634" s="140" t="str">
        <f>IF(ISNUMBER(Tab.o1[[#This Row],[a1]]),IF(AND(Tab.o1[[#This Row],[a1]]=1,Tab.o1[[#This Row],[b1]]&lt;=AY$4),#REF!,AY633),"")</f>
        <v/>
      </c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</row>
    <row r="635" spans="1:79" ht="15.75" hidden="1">
      <c r="A635" s="109">
        <v>-2.9999999999999997E-6</v>
      </c>
      <c r="B635" s="110">
        <f t="shared" si="36"/>
        <v>635</v>
      </c>
      <c r="C635" s="111" t="str">
        <f>IF(C$1=[1]!T.in.A[[#This Row],[oo2]],1,"")</f>
        <v/>
      </c>
      <c r="D635" s="112" t="str">
        <f>IF(Tab.o1[[#This Row],[a1]]=1,IF(SUM(C635:C636)=0,0,IF(SUM(C634:C635)=1,1,IF(SUM(C634:C636)&gt;1,D634+1,0))),"")</f>
        <v/>
      </c>
      <c r="E635" s="113" t="str">
        <f>IF(Tab.o1[[#This Row],[a1]]=1,[1]!T.in.A[[#This Row],[oo1]],"")</f>
        <v/>
      </c>
      <c r="F635" s="113" t="str">
        <f>IF(Tab.o1[[#This Row],[a1]]=1,[1]!T.in.A[[#This Row],[pp1]],"")</f>
        <v/>
      </c>
      <c r="G635" s="114" t="str">
        <f>IF(Tab.o1[[#This Row],[a1]]=1,G$2+IF(G$1=1,0,Tab.o1[[#This Row],[.x1]])+[1]!T.in.A[[#This Row],[oo3]],"")</f>
        <v/>
      </c>
      <c r="H635" s="115" t="str">
        <f>IF(Tab.o1[[#This Row],[a1]]=1,IF(H$2=0,0,IF(G$1=1,0,Tab.o1[[#This Row],[.x1]])+[1]!T.in.A[[#This Row],[oo4]]),"")</f>
        <v/>
      </c>
      <c r="I635" s="116" t="str">
        <f>IF(Tab.o1[[#This Row],[a1]]=1,IF(J$2=0,Tab.o1[[#This Row],[MED]],Tab.o1[[#This Row],[MOD]]),"")</f>
        <v/>
      </c>
      <c r="J635" s="116" t="str">
        <f>IF(Tab.o1[[#This Row],[a1]]=1,((Tab.o1[[#This Row],[DIF_Target.]]-AVERAGE(Tab.o1[DIF_Target.]))/_xlfn.STDEV.P(Tab.o1[DIF_Target.])),"")</f>
        <v/>
      </c>
      <c r="K635" s="117" t="str">
        <f>IF(Tab.o1[[#This Row],[a1]]=1,IF(J$2=0,Tab.o1[[#This Row],[MOD]]-Tab.o1[[#This Row],[B]],IF(J$2=1,0,-Tab.o1[[#This Row],[MED]])+Tab.o1[[#This Row],[B]]),"")</f>
        <v/>
      </c>
      <c r="L635" s="117" t="str">
        <f ca="1">IF(Tab.o1[[#This Row],[DIF_Target]]=0,IF(L$2=0,Tab.o1[[#This Row],[DIF_Target]],AVERAGE(OFFSET(Tab.o1[[#This Row],[DIF_Target]],1,0,L$3,1)))/3,Tab.o1[[#This Row],[DIF_Target]])</f>
        <v/>
      </c>
      <c r="M635" s="118" t="str">
        <f>IF(Tab.o1[[#This Row],[a1]]=1,NORMSDIST(Tab.o1[[#This Row],[Za]]),"")</f>
        <v/>
      </c>
      <c r="N635" s="119" t="str">
        <f>IF(Tab.o1[[#This Row],[a1]]=1,((Tab.o1[[#This Row],[MedMod]]-AVERAGE(Tab.o1[MedMod]))/_xlfn.STDEV.P(Tab.o1[MedMod])*H$1205)+G$1205,"")</f>
        <v/>
      </c>
      <c r="O635" s="141" t="str">
        <f>IF(Tab.o1[[#This Row],[a1]]=1,Tab.o1[[#This Row],[Zb]]*_xlfn.STDEV.P(Tab.o1[MedMod])+AVERAGE(Tab.o1[MedMod]),"")</f>
        <v/>
      </c>
      <c r="P635" s="117" t="str">
        <f ca="1">IF(Tab.o1[[#This Row],[B]]=0,AVERAGE(OFFSET(Tab.o1[[#This Row],[B]],1,0,L$3,1)),Tab.o1[[#This Row],[B]])</f>
        <v/>
      </c>
      <c r="Q635" s="121" t="str">
        <f>IF(Tab.o1[[#This Row],[a1]]=1,NORMSDIST(Tab.o1[[#This Row],[Zb]]),"")</f>
        <v/>
      </c>
      <c r="R635" s="122" t="str">
        <f>IF(Tab.o1[[#This Row],[a1]]=1,((Tab.o1[[#This Row],[MedMod]]-AVERAGE(Tab.o1[MedMod]))/_xlfn.STDEV.P(Tab.o1[MedMod])*H$1203)+G$1203,"")</f>
        <v/>
      </c>
      <c r="S635" s="122" t="str">
        <f>IF(Tab.o1[[#This Row],[a1]]=1,((Tab.o1[[#This Row],[MedMod]]-AVERAGE(Tab.o1[MedMod]))/_xlfn.STDEV.P(Tab.o1[MedMod])*H$1204)+G$1204,"")</f>
        <v/>
      </c>
      <c r="T635" s="123" t="str">
        <f>IF(Tab.o1[[#This Row],[a1]]=1,Tab.o1[[#This Row],[Z-]]*_xlfn.STDEV.P(Tab.o1[B])+AVERAGE(Tab.o1[B]),"")</f>
        <v/>
      </c>
      <c r="U635" s="123" t="str">
        <f>IF(Tab.o1[[#This Row],[a1]]=1,Tab.o1[[#This Row],[z+]]*_xlfn.STDEV.P(Tab.o1[B])+AVERAGE(Tab.o1[B]),"")</f>
        <v/>
      </c>
      <c r="V635" s="124" t="str">
        <f>IF(Tab.o1[[#This Row],[a1]]=1,ABS((ABS(Tab.o1[[#This Row],[Red]]-Tab.o1[[#This Row],[Blue]]))),"")</f>
        <v/>
      </c>
      <c r="W635" s="125" t="str">
        <f>IF(Tab.o1[[#This Row],[a1]]=1,IF(W$3=0,1,Tab.o1[[#This Row],[Amp.]]*1/_xlfn.MINIFS(Tab.o1[Amp.],Tab.o1[Amp.],"&lt;&gt;0")),"")</f>
        <v/>
      </c>
      <c r="X635" s="126" t="str">
        <f>IF(Tab.o1[[#This Row],[a1]]=1,IF(ISNUMBER(Tab.o1[[#This Row],[i.]]),NORMDIST(Tab.o1[[#This Row],[Za]],0,1,FALSE)*Tab.o1[[#This Row],[i.]],AP$3),"")</f>
        <v/>
      </c>
      <c r="Y635" s="126" t="str">
        <f>IF(Tab.o1[[#This Row],[a1]]=1,0.01+0.94*Tab.o1[[#This Row],[PDF]]/MAX(Tab.o1[PDF]),"")</f>
        <v/>
      </c>
      <c r="Z635" s="126" t="str">
        <f>IF(Tab.o1[[#This Row],[a1]]=1,0.01+0.94*Tab.o1[[#This Row],[W1_PDF]]/MAX(Tab.o1[W1_PDF]),"")</f>
        <v/>
      </c>
      <c r="AA635" s="118" t="str">
        <f>IF(Tab.o1[[#This Row],[a1]]=1,ABS([1]!T.in.A[[#This Row],[oo6]]),"")</f>
        <v/>
      </c>
      <c r="AB635" s="127" t="str">
        <f>IF(Tab.o1[[#This Row],[a1]]=1,IF(AE$3=0,"",IF(AB$3=0,ABS([1]!T.in.A[[#This Row],[oo9]]),ABS(Tab.o1[[#This Row],[DIF_Target.]]*Tab.o1[[#This Row],[W1_PDF]]))),"")</f>
        <v/>
      </c>
      <c r="AC635" s="127" t="str">
        <f>IF(G$1=1,"",IF(Tab.o1[[#This Row],[a1]]=1,Tab.o1[[#This Row],[Wr]]^2,""))</f>
        <v/>
      </c>
      <c r="AD635" s="118" t="str">
        <f>IF(Tab.o1[[#This Row],[a1]]=1,IF(AE$3=0,"",Tab.o1[[#This Row],[Wr2]]/SUM(Tab.o1[Wr2])),"")</f>
        <v/>
      </c>
      <c r="AE635" s="128" t="str">
        <f>IF(Tab.o1[[#This Row],[a1]]=1,[1]!T.in.A[[#This Row],[oo10]],"")</f>
        <v/>
      </c>
      <c r="AF635" s="118" t="str">
        <f>IF(Tab.o1[[#This Row],[a1]]=1,ABS(Tab.o1[[#This Row],[DIF_Target.]]*Tab.o1[[#This Row],[PDF2]]*Tab.o1[[#This Row],[IN]]),"")</f>
        <v/>
      </c>
      <c r="AG635" s="129" t="str">
        <f>IF(Tab.o1[[#This Row],[a1]]=1,Tab.o1[[#This Row],[rW]]^2,"")</f>
        <v/>
      </c>
      <c r="AH635" s="130" t="str">
        <f>IF(Tab.o1[[#This Row],[a1]]=1,IF(AH$3=0,Tab.o1[[#This Row],[rW2]],0.01+0.94*Tab.o1[[#This Row],[rW2]]/SUM(Tab.o1[rW2])),"")</f>
        <v/>
      </c>
      <c r="AI635" s="128" t="str">
        <f>IF(Tab.o1[[#This Row],[a1]]=1,1/Tab.o1[[#This Row],[PDF]],"")</f>
        <v/>
      </c>
      <c r="AJ635" s="131" t="str">
        <f>IF(Tab.o1[[#This Row],[a1]]=1,[1]!T_AA[[#This Row],[IN'']]*[1]!T_AA[[#This Row],[Qde'']],"")</f>
        <v/>
      </c>
      <c r="AK635" s="132" t="str">
        <f>IF(Tab.o1[[#This Row],[a1]]=1,IF(AK$1=1,Tab.o1[[#This Row],[MED]]+Tab.o1[[#This Row],[MOD]]-Tab.o1[[#This Row],[MED]],""),"")</f>
        <v/>
      </c>
      <c r="AL635" s="133" t="str">
        <f>IF(Tab.o1[[#This Row],[a1]]=1,[1]!T.in.A[[#This Row],[oo16]],"")</f>
        <v/>
      </c>
      <c r="AM635" s="133" t="str">
        <f>IF(Tab.o1[[#This Row],[a1]]=1,IF(AM$3=1,[1]!T.in.A[[#This Row],[Σo16]],""),"")</f>
        <v/>
      </c>
      <c r="AN635" s="126" t="str">
        <f>IF(Tab.o1[[#This Row],[a1]]=1,[1]!T.in.A[[#This Row],[Σp5]],"")</f>
        <v/>
      </c>
      <c r="AO635" s="126" t="str">
        <f>IF(Tab.o1[[#This Row],[a1]]=1,IF(AO$3=1,[1]!T.in.A[[#This Row],[Σp5]],""),"")</f>
        <v/>
      </c>
      <c r="AP635" s="110" t="str">
        <f>IF(Tab.o1[[#This Row],[a1]]=1,IF(ISNUMBER(Tab.o1[[#This Row],[i.]]),NORMDIST(Tab.o1[[#This Row],[Za]],0,1,FALSE)*Tab.o1[[#This Row],[i.]],0),"")</f>
        <v/>
      </c>
      <c r="AQ635" s="125" t="str">
        <f>IF(Tab.o1[[#This Row],[a1]]=1,ABS(Tab.o1[[#This Row],[MOD]]-AVERAGE(Tab.o1[MOD])),"")</f>
        <v/>
      </c>
      <c r="AR635" s="134" t="str">
        <f>IF(Tab.o1[[#This Row],[a1]]=1,Tab.o1[[#This Row],[OBS]]/SUM(Tab.o1[OBS]),"")</f>
        <v/>
      </c>
      <c r="AS635" s="135" t="str">
        <f>IF(ISNUMBER(Tab.o1[[#This Row],[a1]]),ROW()-4,"")</f>
        <v/>
      </c>
      <c r="AT635" s="136" t="str">
        <f>Tab.o1[[#This Row],[MOD]]</f>
        <v/>
      </c>
      <c r="AU635" s="137" t="str">
        <f t="shared" si="37"/>
        <v/>
      </c>
      <c r="AV635" s="138" t="str">
        <f t="shared" si="38"/>
        <v/>
      </c>
      <c r="AW635" s="138" t="str">
        <f t="shared" si="39"/>
        <v/>
      </c>
      <c r="AX635" s="139" t="str">
        <f>[1]!T.in.A[[#This Row],[ID_T_manu]]</f>
        <v/>
      </c>
      <c r="AY635" s="140" t="str">
        <f>IF(ISNUMBER(Tab.o1[[#This Row],[a1]]),IF(AND(Tab.o1[[#This Row],[a1]]=1,Tab.o1[[#This Row],[b1]]&lt;=AY$4),#REF!,AY634),"")</f>
        <v/>
      </c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</row>
    <row r="636" spans="1:79" ht="15.75" hidden="1">
      <c r="A636" s="109">
        <v>-1.0000000000000001E-5</v>
      </c>
      <c r="B636" s="110">
        <f t="shared" si="36"/>
        <v>636</v>
      </c>
      <c r="C636" s="111" t="str">
        <f>IF(C$1=[1]!T.in.A[[#This Row],[oo2]],1,"")</f>
        <v/>
      </c>
      <c r="D636" s="112" t="str">
        <f>IF(Tab.o1[[#This Row],[a1]]=1,IF(SUM(C636:C637)=0,0,IF(SUM(C635:C636)=1,1,IF(SUM(C635:C637)&gt;1,D635+1,0))),"")</f>
        <v/>
      </c>
      <c r="E636" s="113" t="str">
        <f>IF(Tab.o1[[#This Row],[a1]]=1,[1]!T.in.A[[#This Row],[oo1]],"")</f>
        <v/>
      </c>
      <c r="F636" s="113" t="str">
        <f>IF(Tab.o1[[#This Row],[a1]]=1,[1]!T.in.A[[#This Row],[pp1]],"")</f>
        <v/>
      </c>
      <c r="G636" s="114" t="str">
        <f>IF(Tab.o1[[#This Row],[a1]]=1,G$2+IF(G$1=1,0,Tab.o1[[#This Row],[.x1]])+[1]!T.in.A[[#This Row],[oo3]],"")</f>
        <v/>
      </c>
      <c r="H636" s="115" t="str">
        <f>IF(Tab.o1[[#This Row],[a1]]=1,IF(H$2=0,0,IF(G$1=1,0,Tab.o1[[#This Row],[.x1]])+[1]!T.in.A[[#This Row],[oo4]]),"")</f>
        <v/>
      </c>
      <c r="I636" s="116" t="str">
        <f>IF(Tab.o1[[#This Row],[a1]]=1,IF(J$2=0,Tab.o1[[#This Row],[MED]],Tab.o1[[#This Row],[MOD]]),"")</f>
        <v/>
      </c>
      <c r="J636" s="116" t="str">
        <f>IF(Tab.o1[[#This Row],[a1]]=1,((Tab.o1[[#This Row],[DIF_Target.]]-AVERAGE(Tab.o1[DIF_Target.]))/_xlfn.STDEV.P(Tab.o1[DIF_Target.])),"")</f>
        <v/>
      </c>
      <c r="K636" s="117" t="str">
        <f>IF(Tab.o1[[#This Row],[a1]]=1,IF(J$2=0,Tab.o1[[#This Row],[MOD]]-Tab.o1[[#This Row],[B]],IF(J$2=1,0,-Tab.o1[[#This Row],[MED]])+Tab.o1[[#This Row],[B]]),"")</f>
        <v/>
      </c>
      <c r="L636" s="117" t="str">
        <f ca="1">IF(Tab.o1[[#This Row],[DIF_Target]]=0,IF(L$2=0,Tab.o1[[#This Row],[DIF_Target]],AVERAGE(OFFSET(Tab.o1[[#This Row],[DIF_Target]],1,0,L$3,1)))/3,Tab.o1[[#This Row],[DIF_Target]])</f>
        <v/>
      </c>
      <c r="M636" s="118" t="str">
        <f>IF(Tab.o1[[#This Row],[a1]]=1,NORMSDIST(Tab.o1[[#This Row],[Za]]),"")</f>
        <v/>
      </c>
      <c r="N636" s="119" t="str">
        <f>IF(Tab.o1[[#This Row],[a1]]=1,((Tab.o1[[#This Row],[MedMod]]-AVERAGE(Tab.o1[MedMod]))/_xlfn.STDEV.P(Tab.o1[MedMod])*H$1205)+G$1205,"")</f>
        <v/>
      </c>
      <c r="O636" s="141" t="str">
        <f>IF(Tab.o1[[#This Row],[a1]]=1,Tab.o1[[#This Row],[Zb]]*_xlfn.STDEV.P(Tab.o1[MedMod])+AVERAGE(Tab.o1[MedMod]),"")</f>
        <v/>
      </c>
      <c r="P636" s="117" t="str">
        <f ca="1">IF(Tab.o1[[#This Row],[B]]=0,AVERAGE(OFFSET(Tab.o1[[#This Row],[B]],1,0,L$3,1)),Tab.o1[[#This Row],[B]])</f>
        <v/>
      </c>
      <c r="Q636" s="121" t="str">
        <f>IF(Tab.o1[[#This Row],[a1]]=1,NORMSDIST(Tab.o1[[#This Row],[Zb]]),"")</f>
        <v/>
      </c>
      <c r="R636" s="122" t="str">
        <f>IF(Tab.o1[[#This Row],[a1]]=1,((Tab.o1[[#This Row],[MedMod]]-AVERAGE(Tab.o1[MedMod]))/_xlfn.STDEV.P(Tab.o1[MedMod])*H$1203)+G$1203,"")</f>
        <v/>
      </c>
      <c r="S636" s="122" t="str">
        <f>IF(Tab.o1[[#This Row],[a1]]=1,((Tab.o1[[#This Row],[MedMod]]-AVERAGE(Tab.o1[MedMod]))/_xlfn.STDEV.P(Tab.o1[MedMod])*H$1204)+G$1204,"")</f>
        <v/>
      </c>
      <c r="T636" s="123" t="str">
        <f>IF(Tab.o1[[#This Row],[a1]]=1,Tab.o1[[#This Row],[Z-]]*_xlfn.STDEV.P(Tab.o1[B])+AVERAGE(Tab.o1[B]),"")</f>
        <v/>
      </c>
      <c r="U636" s="123" t="str">
        <f>IF(Tab.o1[[#This Row],[a1]]=1,Tab.o1[[#This Row],[z+]]*_xlfn.STDEV.P(Tab.o1[B])+AVERAGE(Tab.o1[B]),"")</f>
        <v/>
      </c>
      <c r="V636" s="124" t="str">
        <f>IF(Tab.o1[[#This Row],[a1]]=1,ABS((ABS(Tab.o1[[#This Row],[Red]]-Tab.o1[[#This Row],[Blue]]))),"")</f>
        <v/>
      </c>
      <c r="W636" s="125" t="str">
        <f>IF(Tab.o1[[#This Row],[a1]]=1,IF(W$3=0,1,Tab.o1[[#This Row],[Amp.]]*1/_xlfn.MINIFS(Tab.o1[Amp.],Tab.o1[Amp.],"&lt;&gt;0")),"")</f>
        <v/>
      </c>
      <c r="X636" s="126" t="str">
        <f>IF(Tab.o1[[#This Row],[a1]]=1,IF(ISNUMBER(Tab.o1[[#This Row],[i.]]),NORMDIST(Tab.o1[[#This Row],[Za]],0,1,FALSE)*Tab.o1[[#This Row],[i.]],AP$3),"")</f>
        <v/>
      </c>
      <c r="Y636" s="126" t="str">
        <f>IF(Tab.o1[[#This Row],[a1]]=1,0.01+0.94*Tab.o1[[#This Row],[PDF]]/MAX(Tab.o1[PDF]),"")</f>
        <v/>
      </c>
      <c r="Z636" s="126" t="str">
        <f>IF(Tab.o1[[#This Row],[a1]]=1,0.01+0.94*Tab.o1[[#This Row],[W1_PDF]]/MAX(Tab.o1[W1_PDF]),"")</f>
        <v/>
      </c>
      <c r="AA636" s="118" t="str">
        <f>IF(Tab.o1[[#This Row],[a1]]=1,ABS([1]!T.in.A[[#This Row],[oo6]]),"")</f>
        <v/>
      </c>
      <c r="AB636" s="127" t="str">
        <f>IF(Tab.o1[[#This Row],[a1]]=1,IF(AE$3=0,"",IF(AB$3=0,ABS([1]!T.in.A[[#This Row],[oo9]]),ABS(Tab.o1[[#This Row],[DIF_Target.]]*Tab.o1[[#This Row],[W1_PDF]]))),"")</f>
        <v/>
      </c>
      <c r="AC636" s="127" t="str">
        <f>IF(G$1=1,"",IF(Tab.o1[[#This Row],[a1]]=1,Tab.o1[[#This Row],[Wr]]^2,""))</f>
        <v/>
      </c>
      <c r="AD636" s="118" t="str">
        <f>IF(Tab.o1[[#This Row],[a1]]=1,IF(AE$3=0,"",Tab.o1[[#This Row],[Wr2]]/SUM(Tab.o1[Wr2])),"")</f>
        <v/>
      </c>
      <c r="AE636" s="128" t="str">
        <f>IF(Tab.o1[[#This Row],[a1]]=1,[1]!T.in.A[[#This Row],[oo10]],"")</f>
        <v/>
      </c>
      <c r="AF636" s="118" t="str">
        <f>IF(Tab.o1[[#This Row],[a1]]=1,ABS(Tab.o1[[#This Row],[DIF_Target.]]*Tab.o1[[#This Row],[PDF2]]*Tab.o1[[#This Row],[IN]]),"")</f>
        <v/>
      </c>
      <c r="AG636" s="129" t="str">
        <f>IF(Tab.o1[[#This Row],[a1]]=1,Tab.o1[[#This Row],[rW]]^2,"")</f>
        <v/>
      </c>
      <c r="AH636" s="130" t="str">
        <f>IF(Tab.o1[[#This Row],[a1]]=1,IF(AH$3=0,Tab.o1[[#This Row],[rW2]],0.01+0.94*Tab.o1[[#This Row],[rW2]]/SUM(Tab.o1[rW2])),"")</f>
        <v/>
      </c>
      <c r="AI636" s="128" t="str">
        <f>IF(Tab.o1[[#This Row],[a1]]=1,1/Tab.o1[[#This Row],[PDF]],"")</f>
        <v/>
      </c>
      <c r="AJ636" s="131" t="str">
        <f>IF(Tab.o1[[#This Row],[a1]]=1,[1]!T_AA[[#This Row],[IN'']]*[1]!T_AA[[#This Row],[Qde'']],"")</f>
        <v/>
      </c>
      <c r="AK636" s="132" t="str">
        <f>IF(Tab.o1[[#This Row],[a1]]=1,IF(AK$1=1,Tab.o1[[#This Row],[MED]]+Tab.o1[[#This Row],[MOD]]-Tab.o1[[#This Row],[MED]],""),"")</f>
        <v/>
      </c>
      <c r="AL636" s="133" t="str">
        <f>IF(Tab.o1[[#This Row],[a1]]=1,[1]!T.in.A[[#This Row],[oo16]],"")</f>
        <v/>
      </c>
      <c r="AM636" s="133" t="str">
        <f>IF(Tab.o1[[#This Row],[a1]]=1,IF(AM$3=1,[1]!T.in.A[[#This Row],[Σo16]],""),"")</f>
        <v/>
      </c>
      <c r="AN636" s="126" t="str">
        <f>IF(Tab.o1[[#This Row],[a1]]=1,[1]!T.in.A[[#This Row],[Σp5]],"")</f>
        <v/>
      </c>
      <c r="AO636" s="126" t="str">
        <f>IF(Tab.o1[[#This Row],[a1]]=1,IF(AO$3=1,[1]!T.in.A[[#This Row],[Σp5]],""),"")</f>
        <v/>
      </c>
      <c r="AP636" s="110" t="str">
        <f>IF(Tab.o1[[#This Row],[a1]]=1,IF(ISNUMBER(Tab.o1[[#This Row],[i.]]),NORMDIST(Tab.o1[[#This Row],[Za]],0,1,FALSE)*Tab.o1[[#This Row],[i.]],0),"")</f>
        <v/>
      </c>
      <c r="AQ636" s="125" t="str">
        <f>IF(Tab.o1[[#This Row],[a1]]=1,ABS(Tab.o1[[#This Row],[MOD]]-AVERAGE(Tab.o1[MOD])),"")</f>
        <v/>
      </c>
      <c r="AR636" s="134" t="str">
        <f>IF(Tab.o1[[#This Row],[a1]]=1,Tab.o1[[#This Row],[OBS]]/SUM(Tab.o1[OBS]),"")</f>
        <v/>
      </c>
      <c r="AS636" s="135" t="str">
        <f>IF(ISNUMBER(Tab.o1[[#This Row],[a1]]),ROW()-4,"")</f>
        <v/>
      </c>
      <c r="AT636" s="136" t="str">
        <f>Tab.o1[[#This Row],[MOD]]</f>
        <v/>
      </c>
      <c r="AU636" s="137" t="str">
        <f t="shared" si="37"/>
        <v/>
      </c>
      <c r="AV636" s="138" t="str">
        <f t="shared" si="38"/>
        <v/>
      </c>
      <c r="AW636" s="138" t="str">
        <f t="shared" si="39"/>
        <v/>
      </c>
      <c r="AX636" s="139" t="str">
        <f>[1]!T.in.A[[#This Row],[ID_T_manu]]</f>
        <v/>
      </c>
      <c r="AY636" s="140" t="str">
        <f>IF(ISNUMBER(Tab.o1[[#This Row],[a1]]),IF(AND(Tab.o1[[#This Row],[a1]]=1,Tab.o1[[#This Row],[b1]]&lt;=AY$4),#REF!,AY635),"")</f>
        <v/>
      </c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</row>
    <row r="637" spans="1:79" ht="15.75" hidden="1">
      <c r="A637" s="109">
        <v>6.9999999999999999E-6</v>
      </c>
      <c r="B637" s="110">
        <f t="shared" si="36"/>
        <v>637</v>
      </c>
      <c r="C637" s="111" t="str">
        <f>IF(C$1=[1]!T.in.A[[#This Row],[oo2]],1,"")</f>
        <v/>
      </c>
      <c r="D637" s="112" t="str">
        <f>IF(Tab.o1[[#This Row],[a1]]=1,IF(SUM(C637:C638)=0,0,IF(SUM(C636:C637)=1,1,IF(SUM(C636:C638)&gt;1,D636+1,0))),"")</f>
        <v/>
      </c>
      <c r="E637" s="113" t="str">
        <f>IF(Tab.o1[[#This Row],[a1]]=1,[1]!T.in.A[[#This Row],[oo1]],"")</f>
        <v/>
      </c>
      <c r="F637" s="113" t="str">
        <f>IF(Tab.o1[[#This Row],[a1]]=1,[1]!T.in.A[[#This Row],[pp1]],"")</f>
        <v/>
      </c>
      <c r="G637" s="114" t="str">
        <f>IF(Tab.o1[[#This Row],[a1]]=1,G$2+IF(G$1=1,0,Tab.o1[[#This Row],[.x1]])+[1]!T.in.A[[#This Row],[oo3]],"")</f>
        <v/>
      </c>
      <c r="H637" s="115" t="str">
        <f>IF(Tab.o1[[#This Row],[a1]]=1,IF(H$2=0,0,IF(G$1=1,0,Tab.o1[[#This Row],[.x1]])+[1]!T.in.A[[#This Row],[oo4]]),"")</f>
        <v/>
      </c>
      <c r="I637" s="116" t="str">
        <f>IF(Tab.o1[[#This Row],[a1]]=1,IF(J$2=0,Tab.o1[[#This Row],[MED]],Tab.o1[[#This Row],[MOD]]),"")</f>
        <v/>
      </c>
      <c r="J637" s="116" t="str">
        <f>IF(Tab.o1[[#This Row],[a1]]=1,((Tab.o1[[#This Row],[DIF_Target.]]-AVERAGE(Tab.o1[DIF_Target.]))/_xlfn.STDEV.P(Tab.o1[DIF_Target.])),"")</f>
        <v/>
      </c>
      <c r="K637" s="117" t="str">
        <f>IF(Tab.o1[[#This Row],[a1]]=1,IF(J$2=0,Tab.o1[[#This Row],[MOD]]-Tab.o1[[#This Row],[B]],IF(J$2=1,0,-Tab.o1[[#This Row],[MED]])+Tab.o1[[#This Row],[B]]),"")</f>
        <v/>
      </c>
      <c r="L637" s="117" t="str">
        <f ca="1">IF(Tab.o1[[#This Row],[DIF_Target]]=0,IF(L$2=0,Tab.o1[[#This Row],[DIF_Target]],AVERAGE(OFFSET(Tab.o1[[#This Row],[DIF_Target]],1,0,L$3,1)))/3,Tab.o1[[#This Row],[DIF_Target]])</f>
        <v/>
      </c>
      <c r="M637" s="118" t="str">
        <f>IF(Tab.o1[[#This Row],[a1]]=1,NORMSDIST(Tab.o1[[#This Row],[Za]]),"")</f>
        <v/>
      </c>
      <c r="N637" s="119" t="str">
        <f>IF(Tab.o1[[#This Row],[a1]]=1,((Tab.o1[[#This Row],[MedMod]]-AVERAGE(Tab.o1[MedMod]))/_xlfn.STDEV.P(Tab.o1[MedMod])*H$1205)+G$1205,"")</f>
        <v/>
      </c>
      <c r="O637" s="141" t="str">
        <f>IF(Tab.o1[[#This Row],[a1]]=1,Tab.o1[[#This Row],[Zb]]*_xlfn.STDEV.P(Tab.o1[MedMod])+AVERAGE(Tab.o1[MedMod]),"")</f>
        <v/>
      </c>
      <c r="P637" s="117" t="str">
        <f ca="1">IF(Tab.o1[[#This Row],[B]]=0,AVERAGE(OFFSET(Tab.o1[[#This Row],[B]],1,0,L$3,1)),Tab.o1[[#This Row],[B]])</f>
        <v/>
      </c>
      <c r="Q637" s="121" t="str">
        <f>IF(Tab.o1[[#This Row],[a1]]=1,NORMSDIST(Tab.o1[[#This Row],[Zb]]),"")</f>
        <v/>
      </c>
      <c r="R637" s="122" t="str">
        <f>IF(Tab.o1[[#This Row],[a1]]=1,((Tab.o1[[#This Row],[MedMod]]-AVERAGE(Tab.o1[MedMod]))/_xlfn.STDEV.P(Tab.o1[MedMod])*H$1203)+G$1203,"")</f>
        <v/>
      </c>
      <c r="S637" s="122" t="str">
        <f>IF(Tab.o1[[#This Row],[a1]]=1,((Tab.o1[[#This Row],[MedMod]]-AVERAGE(Tab.o1[MedMod]))/_xlfn.STDEV.P(Tab.o1[MedMod])*H$1204)+G$1204,"")</f>
        <v/>
      </c>
      <c r="T637" s="123" t="str">
        <f>IF(Tab.o1[[#This Row],[a1]]=1,Tab.o1[[#This Row],[Z-]]*_xlfn.STDEV.P(Tab.o1[B])+AVERAGE(Tab.o1[B]),"")</f>
        <v/>
      </c>
      <c r="U637" s="123" t="str">
        <f>IF(Tab.o1[[#This Row],[a1]]=1,Tab.o1[[#This Row],[z+]]*_xlfn.STDEV.P(Tab.o1[B])+AVERAGE(Tab.o1[B]),"")</f>
        <v/>
      </c>
      <c r="V637" s="124" t="str">
        <f>IF(Tab.o1[[#This Row],[a1]]=1,ABS((ABS(Tab.o1[[#This Row],[Red]]-Tab.o1[[#This Row],[Blue]]))),"")</f>
        <v/>
      </c>
      <c r="W637" s="125" t="str">
        <f>IF(Tab.o1[[#This Row],[a1]]=1,IF(W$3=0,1,Tab.o1[[#This Row],[Amp.]]*1/_xlfn.MINIFS(Tab.o1[Amp.],Tab.o1[Amp.],"&lt;&gt;0")),"")</f>
        <v/>
      </c>
      <c r="X637" s="126" t="str">
        <f>IF(Tab.o1[[#This Row],[a1]]=1,IF(ISNUMBER(Tab.o1[[#This Row],[i.]]),NORMDIST(Tab.o1[[#This Row],[Za]],0,1,FALSE)*Tab.o1[[#This Row],[i.]],AP$3),"")</f>
        <v/>
      </c>
      <c r="Y637" s="126" t="str">
        <f>IF(Tab.o1[[#This Row],[a1]]=1,0.01+0.94*Tab.o1[[#This Row],[PDF]]/MAX(Tab.o1[PDF]),"")</f>
        <v/>
      </c>
      <c r="Z637" s="126" t="str">
        <f>IF(Tab.o1[[#This Row],[a1]]=1,0.01+0.94*Tab.o1[[#This Row],[W1_PDF]]/MAX(Tab.o1[W1_PDF]),"")</f>
        <v/>
      </c>
      <c r="AA637" s="118" t="str">
        <f>IF(Tab.o1[[#This Row],[a1]]=1,ABS([1]!T.in.A[[#This Row],[oo6]]),"")</f>
        <v/>
      </c>
      <c r="AB637" s="127" t="str">
        <f>IF(Tab.o1[[#This Row],[a1]]=1,IF(AE$3=0,"",IF(AB$3=0,ABS([1]!T.in.A[[#This Row],[oo9]]),ABS(Tab.o1[[#This Row],[DIF_Target.]]*Tab.o1[[#This Row],[W1_PDF]]))),"")</f>
        <v/>
      </c>
      <c r="AC637" s="127" t="str">
        <f>IF(G$1=1,"",IF(Tab.o1[[#This Row],[a1]]=1,Tab.o1[[#This Row],[Wr]]^2,""))</f>
        <v/>
      </c>
      <c r="AD637" s="118" t="str">
        <f>IF(Tab.o1[[#This Row],[a1]]=1,IF(AE$3=0,"",Tab.o1[[#This Row],[Wr2]]/SUM(Tab.o1[Wr2])),"")</f>
        <v/>
      </c>
      <c r="AE637" s="128" t="str">
        <f>IF(Tab.o1[[#This Row],[a1]]=1,[1]!T.in.A[[#This Row],[oo10]],"")</f>
        <v/>
      </c>
      <c r="AF637" s="118" t="str">
        <f>IF(Tab.o1[[#This Row],[a1]]=1,ABS(Tab.o1[[#This Row],[DIF_Target.]]*Tab.o1[[#This Row],[PDF2]]*Tab.o1[[#This Row],[IN]]),"")</f>
        <v/>
      </c>
      <c r="AG637" s="129" t="str">
        <f>IF(Tab.o1[[#This Row],[a1]]=1,Tab.o1[[#This Row],[rW]]^2,"")</f>
        <v/>
      </c>
      <c r="AH637" s="130" t="str">
        <f>IF(Tab.o1[[#This Row],[a1]]=1,IF(AH$3=0,Tab.o1[[#This Row],[rW2]],0.01+0.94*Tab.o1[[#This Row],[rW2]]/SUM(Tab.o1[rW2])),"")</f>
        <v/>
      </c>
      <c r="AI637" s="128" t="str">
        <f>IF(Tab.o1[[#This Row],[a1]]=1,1/Tab.o1[[#This Row],[PDF]],"")</f>
        <v/>
      </c>
      <c r="AJ637" s="131" t="str">
        <f>IF(Tab.o1[[#This Row],[a1]]=1,[1]!T_AA[[#This Row],[IN'']]*[1]!T_AA[[#This Row],[Qde'']],"")</f>
        <v/>
      </c>
      <c r="AK637" s="132" t="str">
        <f>IF(Tab.o1[[#This Row],[a1]]=1,IF(AK$1=1,Tab.o1[[#This Row],[MED]]+Tab.o1[[#This Row],[MOD]]-Tab.o1[[#This Row],[MED]],""),"")</f>
        <v/>
      </c>
      <c r="AL637" s="133" t="str">
        <f>IF(Tab.o1[[#This Row],[a1]]=1,[1]!T.in.A[[#This Row],[oo16]],"")</f>
        <v/>
      </c>
      <c r="AM637" s="133" t="str">
        <f>IF(Tab.o1[[#This Row],[a1]]=1,IF(AM$3=1,[1]!T.in.A[[#This Row],[Σo16]],""),"")</f>
        <v/>
      </c>
      <c r="AN637" s="126" t="str">
        <f>IF(Tab.o1[[#This Row],[a1]]=1,[1]!T.in.A[[#This Row],[Σp5]],"")</f>
        <v/>
      </c>
      <c r="AO637" s="126" t="str">
        <f>IF(Tab.o1[[#This Row],[a1]]=1,IF(AO$3=1,[1]!T.in.A[[#This Row],[Σp5]],""),"")</f>
        <v/>
      </c>
      <c r="AP637" s="110" t="str">
        <f>IF(Tab.o1[[#This Row],[a1]]=1,IF(ISNUMBER(Tab.o1[[#This Row],[i.]]),NORMDIST(Tab.o1[[#This Row],[Za]],0,1,FALSE)*Tab.o1[[#This Row],[i.]],0),"")</f>
        <v/>
      </c>
      <c r="AQ637" s="125" t="str">
        <f>IF(Tab.o1[[#This Row],[a1]]=1,ABS(Tab.o1[[#This Row],[MOD]]-AVERAGE(Tab.o1[MOD])),"")</f>
        <v/>
      </c>
      <c r="AR637" s="134" t="str">
        <f>IF(Tab.o1[[#This Row],[a1]]=1,Tab.o1[[#This Row],[OBS]]/SUM(Tab.o1[OBS]),"")</f>
        <v/>
      </c>
      <c r="AS637" s="135" t="str">
        <f>IF(ISNUMBER(Tab.o1[[#This Row],[a1]]),ROW()-4,"")</f>
        <v/>
      </c>
      <c r="AT637" s="136" t="str">
        <f>Tab.o1[[#This Row],[MOD]]</f>
        <v/>
      </c>
      <c r="AU637" s="137" t="str">
        <f t="shared" si="37"/>
        <v/>
      </c>
      <c r="AV637" s="138" t="str">
        <f t="shared" si="38"/>
        <v/>
      </c>
      <c r="AW637" s="138" t="str">
        <f t="shared" si="39"/>
        <v/>
      </c>
      <c r="AX637" s="139" t="str">
        <f>[1]!T.in.A[[#This Row],[ID_T_manu]]</f>
        <v/>
      </c>
      <c r="AY637" s="140" t="str">
        <f>IF(ISNUMBER(Tab.o1[[#This Row],[a1]]),IF(AND(Tab.o1[[#This Row],[a1]]=1,Tab.o1[[#This Row],[b1]]&lt;=AY$4),#REF!,AY636),"")</f>
        <v/>
      </c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</row>
    <row r="638" spans="1:79" ht="15.75" hidden="1">
      <c r="A638" s="109">
        <v>6.9999999999999999E-6</v>
      </c>
      <c r="B638" s="110">
        <f t="shared" si="36"/>
        <v>638</v>
      </c>
      <c r="C638" s="111" t="str">
        <f>IF(C$1=[1]!T.in.A[[#This Row],[oo2]],1,"")</f>
        <v/>
      </c>
      <c r="D638" s="112" t="str">
        <f>IF(Tab.o1[[#This Row],[a1]]=1,IF(SUM(C638:C639)=0,0,IF(SUM(C637:C638)=1,1,IF(SUM(C637:C639)&gt;1,D637+1,0))),"")</f>
        <v/>
      </c>
      <c r="E638" s="113" t="str">
        <f>IF(Tab.o1[[#This Row],[a1]]=1,[1]!T.in.A[[#This Row],[oo1]],"")</f>
        <v/>
      </c>
      <c r="F638" s="113" t="str">
        <f>IF(Tab.o1[[#This Row],[a1]]=1,[1]!T.in.A[[#This Row],[pp1]],"")</f>
        <v/>
      </c>
      <c r="G638" s="114" t="str">
        <f>IF(Tab.o1[[#This Row],[a1]]=1,G$2+IF(G$1=1,0,Tab.o1[[#This Row],[.x1]])+[1]!T.in.A[[#This Row],[oo3]],"")</f>
        <v/>
      </c>
      <c r="H638" s="115" t="str">
        <f>IF(Tab.o1[[#This Row],[a1]]=1,IF(H$2=0,0,IF(G$1=1,0,Tab.o1[[#This Row],[.x1]])+[1]!T.in.A[[#This Row],[oo4]]),"")</f>
        <v/>
      </c>
      <c r="I638" s="116" t="str">
        <f>IF(Tab.o1[[#This Row],[a1]]=1,IF(J$2=0,Tab.o1[[#This Row],[MED]],Tab.o1[[#This Row],[MOD]]),"")</f>
        <v/>
      </c>
      <c r="J638" s="116" t="str">
        <f>IF(Tab.o1[[#This Row],[a1]]=1,((Tab.o1[[#This Row],[DIF_Target.]]-AVERAGE(Tab.o1[DIF_Target.]))/_xlfn.STDEV.P(Tab.o1[DIF_Target.])),"")</f>
        <v/>
      </c>
      <c r="K638" s="117" t="str">
        <f>IF(Tab.o1[[#This Row],[a1]]=1,IF(J$2=0,Tab.o1[[#This Row],[MOD]]-Tab.o1[[#This Row],[B]],IF(J$2=1,0,-Tab.o1[[#This Row],[MED]])+Tab.o1[[#This Row],[B]]),"")</f>
        <v/>
      </c>
      <c r="L638" s="117" t="str">
        <f ca="1">IF(Tab.o1[[#This Row],[DIF_Target]]=0,IF(L$2=0,Tab.o1[[#This Row],[DIF_Target]],AVERAGE(OFFSET(Tab.o1[[#This Row],[DIF_Target]],1,0,L$3,1)))/3,Tab.o1[[#This Row],[DIF_Target]])</f>
        <v/>
      </c>
      <c r="M638" s="118" t="str">
        <f>IF(Tab.o1[[#This Row],[a1]]=1,NORMSDIST(Tab.o1[[#This Row],[Za]]),"")</f>
        <v/>
      </c>
      <c r="N638" s="119" t="str">
        <f>IF(Tab.o1[[#This Row],[a1]]=1,((Tab.o1[[#This Row],[MedMod]]-AVERAGE(Tab.o1[MedMod]))/_xlfn.STDEV.P(Tab.o1[MedMod])*H$1205)+G$1205,"")</f>
        <v/>
      </c>
      <c r="O638" s="141" t="str">
        <f>IF(Tab.o1[[#This Row],[a1]]=1,Tab.o1[[#This Row],[Zb]]*_xlfn.STDEV.P(Tab.o1[MedMod])+AVERAGE(Tab.o1[MedMod]),"")</f>
        <v/>
      </c>
      <c r="P638" s="117" t="str">
        <f ca="1">IF(Tab.o1[[#This Row],[B]]=0,AVERAGE(OFFSET(Tab.o1[[#This Row],[B]],1,0,L$3,1)),Tab.o1[[#This Row],[B]])</f>
        <v/>
      </c>
      <c r="Q638" s="121" t="str">
        <f>IF(Tab.o1[[#This Row],[a1]]=1,NORMSDIST(Tab.o1[[#This Row],[Zb]]),"")</f>
        <v/>
      </c>
      <c r="R638" s="122" t="str">
        <f>IF(Tab.o1[[#This Row],[a1]]=1,((Tab.o1[[#This Row],[MedMod]]-AVERAGE(Tab.o1[MedMod]))/_xlfn.STDEV.P(Tab.o1[MedMod])*H$1203)+G$1203,"")</f>
        <v/>
      </c>
      <c r="S638" s="122" t="str">
        <f>IF(Tab.o1[[#This Row],[a1]]=1,((Tab.o1[[#This Row],[MedMod]]-AVERAGE(Tab.o1[MedMod]))/_xlfn.STDEV.P(Tab.o1[MedMod])*H$1204)+G$1204,"")</f>
        <v/>
      </c>
      <c r="T638" s="123" t="str">
        <f>IF(Tab.o1[[#This Row],[a1]]=1,Tab.o1[[#This Row],[Z-]]*_xlfn.STDEV.P(Tab.o1[B])+AVERAGE(Tab.o1[B]),"")</f>
        <v/>
      </c>
      <c r="U638" s="123" t="str">
        <f>IF(Tab.o1[[#This Row],[a1]]=1,Tab.o1[[#This Row],[z+]]*_xlfn.STDEV.P(Tab.o1[B])+AVERAGE(Tab.o1[B]),"")</f>
        <v/>
      </c>
      <c r="V638" s="124" t="str">
        <f>IF(Tab.o1[[#This Row],[a1]]=1,ABS((ABS(Tab.o1[[#This Row],[Red]]-Tab.o1[[#This Row],[Blue]]))),"")</f>
        <v/>
      </c>
      <c r="W638" s="125" t="str">
        <f>IF(Tab.o1[[#This Row],[a1]]=1,IF(W$3=0,1,Tab.o1[[#This Row],[Amp.]]*1/_xlfn.MINIFS(Tab.o1[Amp.],Tab.o1[Amp.],"&lt;&gt;0")),"")</f>
        <v/>
      </c>
      <c r="X638" s="126" t="str">
        <f>IF(Tab.o1[[#This Row],[a1]]=1,IF(ISNUMBER(Tab.o1[[#This Row],[i.]]),NORMDIST(Tab.o1[[#This Row],[Za]],0,1,FALSE)*Tab.o1[[#This Row],[i.]],AP$3),"")</f>
        <v/>
      </c>
      <c r="Y638" s="126" t="str">
        <f>IF(Tab.o1[[#This Row],[a1]]=1,0.01+0.94*Tab.o1[[#This Row],[PDF]]/MAX(Tab.o1[PDF]),"")</f>
        <v/>
      </c>
      <c r="Z638" s="126" t="str">
        <f>IF(Tab.o1[[#This Row],[a1]]=1,0.01+0.94*Tab.o1[[#This Row],[W1_PDF]]/MAX(Tab.o1[W1_PDF]),"")</f>
        <v/>
      </c>
      <c r="AA638" s="118" t="str">
        <f>IF(Tab.o1[[#This Row],[a1]]=1,ABS([1]!T.in.A[[#This Row],[oo6]]),"")</f>
        <v/>
      </c>
      <c r="AB638" s="127" t="str">
        <f>IF(Tab.o1[[#This Row],[a1]]=1,IF(AE$3=0,"",IF(AB$3=0,ABS([1]!T.in.A[[#This Row],[oo9]]),ABS(Tab.o1[[#This Row],[DIF_Target.]]*Tab.o1[[#This Row],[W1_PDF]]))),"")</f>
        <v/>
      </c>
      <c r="AC638" s="127" t="str">
        <f>IF(G$1=1,"",IF(Tab.o1[[#This Row],[a1]]=1,Tab.o1[[#This Row],[Wr]]^2,""))</f>
        <v/>
      </c>
      <c r="AD638" s="118" t="str">
        <f>IF(Tab.o1[[#This Row],[a1]]=1,IF(AE$3=0,"",Tab.o1[[#This Row],[Wr2]]/SUM(Tab.o1[Wr2])),"")</f>
        <v/>
      </c>
      <c r="AE638" s="128" t="str">
        <f>IF(Tab.o1[[#This Row],[a1]]=1,[1]!T.in.A[[#This Row],[oo10]],"")</f>
        <v/>
      </c>
      <c r="AF638" s="118" t="str">
        <f>IF(Tab.o1[[#This Row],[a1]]=1,ABS(Tab.o1[[#This Row],[DIF_Target.]]*Tab.o1[[#This Row],[PDF2]]*Tab.o1[[#This Row],[IN]]),"")</f>
        <v/>
      </c>
      <c r="AG638" s="129" t="str">
        <f>IF(Tab.o1[[#This Row],[a1]]=1,Tab.o1[[#This Row],[rW]]^2,"")</f>
        <v/>
      </c>
      <c r="AH638" s="130" t="str">
        <f>IF(Tab.o1[[#This Row],[a1]]=1,IF(AH$3=0,Tab.o1[[#This Row],[rW2]],0.01+0.94*Tab.o1[[#This Row],[rW2]]/SUM(Tab.o1[rW2])),"")</f>
        <v/>
      </c>
      <c r="AI638" s="128" t="str">
        <f>IF(Tab.o1[[#This Row],[a1]]=1,1/Tab.o1[[#This Row],[PDF]],"")</f>
        <v/>
      </c>
      <c r="AJ638" s="131" t="str">
        <f>IF(Tab.o1[[#This Row],[a1]]=1,[1]!T_AA[[#This Row],[IN'']]*[1]!T_AA[[#This Row],[Qde'']],"")</f>
        <v/>
      </c>
      <c r="AK638" s="132" t="str">
        <f>IF(Tab.o1[[#This Row],[a1]]=1,IF(AK$1=1,Tab.o1[[#This Row],[MED]]+Tab.o1[[#This Row],[MOD]]-Tab.o1[[#This Row],[MED]],""),"")</f>
        <v/>
      </c>
      <c r="AL638" s="133" t="str">
        <f>IF(Tab.o1[[#This Row],[a1]]=1,[1]!T.in.A[[#This Row],[oo16]],"")</f>
        <v/>
      </c>
      <c r="AM638" s="133" t="str">
        <f>IF(Tab.o1[[#This Row],[a1]]=1,IF(AM$3=1,[1]!T.in.A[[#This Row],[Σo16]],""),"")</f>
        <v/>
      </c>
      <c r="AN638" s="126" t="str">
        <f>IF(Tab.o1[[#This Row],[a1]]=1,[1]!T.in.A[[#This Row],[Σp5]],"")</f>
        <v/>
      </c>
      <c r="AO638" s="126" t="str">
        <f>IF(Tab.o1[[#This Row],[a1]]=1,IF(AO$3=1,[1]!T.in.A[[#This Row],[Σp5]],""),"")</f>
        <v/>
      </c>
      <c r="AP638" s="110" t="str">
        <f>IF(Tab.o1[[#This Row],[a1]]=1,IF(ISNUMBER(Tab.o1[[#This Row],[i.]]),NORMDIST(Tab.o1[[#This Row],[Za]],0,1,FALSE)*Tab.o1[[#This Row],[i.]],0),"")</f>
        <v/>
      </c>
      <c r="AQ638" s="125" t="str">
        <f>IF(Tab.o1[[#This Row],[a1]]=1,ABS(Tab.o1[[#This Row],[MOD]]-AVERAGE(Tab.o1[MOD])),"")</f>
        <v/>
      </c>
      <c r="AR638" s="134" t="str">
        <f>IF(Tab.o1[[#This Row],[a1]]=1,Tab.o1[[#This Row],[OBS]]/SUM(Tab.o1[OBS]),"")</f>
        <v/>
      </c>
      <c r="AS638" s="135" t="str">
        <f>IF(ISNUMBER(Tab.o1[[#This Row],[a1]]),ROW()-4,"")</f>
        <v/>
      </c>
      <c r="AT638" s="136" t="str">
        <f>Tab.o1[[#This Row],[MOD]]</f>
        <v/>
      </c>
      <c r="AU638" s="137" t="str">
        <f t="shared" si="37"/>
        <v/>
      </c>
      <c r="AV638" s="138" t="str">
        <f t="shared" si="38"/>
        <v/>
      </c>
      <c r="AW638" s="138" t="str">
        <f t="shared" si="39"/>
        <v/>
      </c>
      <c r="AX638" s="139" t="str">
        <f>[1]!T.in.A[[#This Row],[ID_T_manu]]</f>
        <v/>
      </c>
      <c r="AY638" s="140" t="str">
        <f>IF(ISNUMBER(Tab.o1[[#This Row],[a1]]),IF(AND(Tab.o1[[#This Row],[a1]]=1,Tab.o1[[#This Row],[b1]]&lt;=AY$4),#REF!,AY637),"")</f>
        <v/>
      </c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</row>
    <row r="639" spans="1:79" ht="15.75" hidden="1">
      <c r="A639" s="109">
        <v>-8.0000000000000013E-6</v>
      </c>
      <c r="B639" s="110">
        <f t="shared" si="36"/>
        <v>639</v>
      </c>
      <c r="C639" s="111" t="str">
        <f>IF(C$1=[1]!T.in.A[[#This Row],[oo2]],1,"")</f>
        <v/>
      </c>
      <c r="D639" s="112" t="str">
        <f>IF(Tab.o1[[#This Row],[a1]]=1,IF(SUM(C639:C640)=0,0,IF(SUM(C638:C639)=1,1,IF(SUM(C638:C640)&gt;1,D638+1,0))),"")</f>
        <v/>
      </c>
      <c r="E639" s="113" t="str">
        <f>IF(Tab.o1[[#This Row],[a1]]=1,[1]!T.in.A[[#This Row],[oo1]],"")</f>
        <v/>
      </c>
      <c r="F639" s="113" t="str">
        <f>IF(Tab.o1[[#This Row],[a1]]=1,[1]!T.in.A[[#This Row],[pp1]],"")</f>
        <v/>
      </c>
      <c r="G639" s="114" t="str">
        <f>IF(Tab.o1[[#This Row],[a1]]=1,G$2+IF(G$1=1,0,Tab.o1[[#This Row],[.x1]])+[1]!T.in.A[[#This Row],[oo3]],"")</f>
        <v/>
      </c>
      <c r="H639" s="115" t="str">
        <f>IF(Tab.o1[[#This Row],[a1]]=1,IF(H$2=0,0,IF(G$1=1,0,Tab.o1[[#This Row],[.x1]])+[1]!T.in.A[[#This Row],[oo4]]),"")</f>
        <v/>
      </c>
      <c r="I639" s="116" t="str">
        <f>IF(Tab.o1[[#This Row],[a1]]=1,IF(J$2=0,Tab.o1[[#This Row],[MED]],Tab.o1[[#This Row],[MOD]]),"")</f>
        <v/>
      </c>
      <c r="J639" s="116" t="str">
        <f>IF(Tab.o1[[#This Row],[a1]]=1,((Tab.o1[[#This Row],[DIF_Target.]]-AVERAGE(Tab.o1[DIF_Target.]))/_xlfn.STDEV.P(Tab.o1[DIF_Target.])),"")</f>
        <v/>
      </c>
      <c r="K639" s="117" t="str">
        <f>IF(Tab.o1[[#This Row],[a1]]=1,IF(J$2=0,Tab.o1[[#This Row],[MOD]]-Tab.o1[[#This Row],[B]],IF(J$2=1,0,-Tab.o1[[#This Row],[MED]])+Tab.o1[[#This Row],[B]]),"")</f>
        <v/>
      </c>
      <c r="L639" s="117" t="str">
        <f ca="1">IF(Tab.o1[[#This Row],[DIF_Target]]=0,IF(L$2=0,Tab.o1[[#This Row],[DIF_Target]],AVERAGE(OFFSET(Tab.o1[[#This Row],[DIF_Target]],1,0,L$3,1)))/3,Tab.o1[[#This Row],[DIF_Target]])</f>
        <v/>
      </c>
      <c r="M639" s="118" t="str">
        <f>IF(Tab.o1[[#This Row],[a1]]=1,NORMSDIST(Tab.o1[[#This Row],[Za]]),"")</f>
        <v/>
      </c>
      <c r="N639" s="119" t="str">
        <f>IF(Tab.o1[[#This Row],[a1]]=1,((Tab.o1[[#This Row],[MedMod]]-AVERAGE(Tab.o1[MedMod]))/_xlfn.STDEV.P(Tab.o1[MedMod])*H$1205)+G$1205,"")</f>
        <v/>
      </c>
      <c r="O639" s="141" t="str">
        <f>IF(Tab.o1[[#This Row],[a1]]=1,Tab.o1[[#This Row],[Zb]]*_xlfn.STDEV.P(Tab.o1[MedMod])+AVERAGE(Tab.o1[MedMod]),"")</f>
        <v/>
      </c>
      <c r="P639" s="117" t="str">
        <f ca="1">IF(Tab.o1[[#This Row],[B]]=0,AVERAGE(OFFSET(Tab.o1[[#This Row],[B]],1,0,L$3,1)),Tab.o1[[#This Row],[B]])</f>
        <v/>
      </c>
      <c r="Q639" s="121" t="str">
        <f>IF(Tab.o1[[#This Row],[a1]]=1,NORMSDIST(Tab.o1[[#This Row],[Zb]]),"")</f>
        <v/>
      </c>
      <c r="R639" s="122" t="str">
        <f>IF(Tab.o1[[#This Row],[a1]]=1,((Tab.o1[[#This Row],[MedMod]]-AVERAGE(Tab.o1[MedMod]))/_xlfn.STDEV.P(Tab.o1[MedMod])*H$1203)+G$1203,"")</f>
        <v/>
      </c>
      <c r="S639" s="122" t="str">
        <f>IF(Tab.o1[[#This Row],[a1]]=1,((Tab.o1[[#This Row],[MedMod]]-AVERAGE(Tab.o1[MedMod]))/_xlfn.STDEV.P(Tab.o1[MedMod])*H$1204)+G$1204,"")</f>
        <v/>
      </c>
      <c r="T639" s="123" t="str">
        <f>IF(Tab.o1[[#This Row],[a1]]=1,Tab.o1[[#This Row],[Z-]]*_xlfn.STDEV.P(Tab.o1[B])+AVERAGE(Tab.o1[B]),"")</f>
        <v/>
      </c>
      <c r="U639" s="123" t="str">
        <f>IF(Tab.o1[[#This Row],[a1]]=1,Tab.o1[[#This Row],[z+]]*_xlfn.STDEV.P(Tab.o1[B])+AVERAGE(Tab.o1[B]),"")</f>
        <v/>
      </c>
      <c r="V639" s="124" t="str">
        <f>IF(Tab.o1[[#This Row],[a1]]=1,ABS((ABS(Tab.o1[[#This Row],[Red]]-Tab.o1[[#This Row],[Blue]]))),"")</f>
        <v/>
      </c>
      <c r="W639" s="125" t="str">
        <f>IF(Tab.o1[[#This Row],[a1]]=1,IF(W$3=0,1,Tab.o1[[#This Row],[Amp.]]*1/_xlfn.MINIFS(Tab.o1[Amp.],Tab.o1[Amp.],"&lt;&gt;0")),"")</f>
        <v/>
      </c>
      <c r="X639" s="126" t="str">
        <f>IF(Tab.o1[[#This Row],[a1]]=1,IF(ISNUMBER(Tab.o1[[#This Row],[i.]]),NORMDIST(Tab.o1[[#This Row],[Za]],0,1,FALSE)*Tab.o1[[#This Row],[i.]],AP$3),"")</f>
        <v/>
      </c>
      <c r="Y639" s="126" t="str">
        <f>IF(Tab.o1[[#This Row],[a1]]=1,0.01+0.94*Tab.o1[[#This Row],[PDF]]/MAX(Tab.o1[PDF]),"")</f>
        <v/>
      </c>
      <c r="Z639" s="126" t="str">
        <f>IF(Tab.o1[[#This Row],[a1]]=1,0.01+0.94*Tab.o1[[#This Row],[W1_PDF]]/MAX(Tab.o1[W1_PDF]),"")</f>
        <v/>
      </c>
      <c r="AA639" s="118" t="str">
        <f>IF(Tab.o1[[#This Row],[a1]]=1,ABS([1]!T.in.A[[#This Row],[oo6]]),"")</f>
        <v/>
      </c>
      <c r="AB639" s="127" t="str">
        <f>IF(Tab.o1[[#This Row],[a1]]=1,IF(AE$3=0,"",IF(AB$3=0,ABS([1]!T.in.A[[#This Row],[oo9]]),ABS(Tab.o1[[#This Row],[DIF_Target.]]*Tab.o1[[#This Row],[W1_PDF]]))),"")</f>
        <v/>
      </c>
      <c r="AC639" s="127" t="str">
        <f>IF(G$1=1,"",IF(Tab.o1[[#This Row],[a1]]=1,Tab.o1[[#This Row],[Wr]]^2,""))</f>
        <v/>
      </c>
      <c r="AD639" s="118" t="str">
        <f>IF(Tab.o1[[#This Row],[a1]]=1,IF(AE$3=0,"",Tab.o1[[#This Row],[Wr2]]/SUM(Tab.o1[Wr2])),"")</f>
        <v/>
      </c>
      <c r="AE639" s="128" t="str">
        <f>IF(Tab.o1[[#This Row],[a1]]=1,[1]!T.in.A[[#This Row],[oo10]],"")</f>
        <v/>
      </c>
      <c r="AF639" s="118" t="str">
        <f>IF(Tab.o1[[#This Row],[a1]]=1,ABS(Tab.o1[[#This Row],[DIF_Target.]]*Tab.o1[[#This Row],[PDF2]]*Tab.o1[[#This Row],[IN]]),"")</f>
        <v/>
      </c>
      <c r="AG639" s="129" t="str">
        <f>IF(Tab.o1[[#This Row],[a1]]=1,Tab.o1[[#This Row],[rW]]^2,"")</f>
        <v/>
      </c>
      <c r="AH639" s="130" t="str">
        <f>IF(Tab.o1[[#This Row],[a1]]=1,IF(AH$3=0,Tab.o1[[#This Row],[rW2]],0.01+0.94*Tab.o1[[#This Row],[rW2]]/SUM(Tab.o1[rW2])),"")</f>
        <v/>
      </c>
      <c r="AI639" s="128" t="str">
        <f>IF(Tab.o1[[#This Row],[a1]]=1,1/Tab.o1[[#This Row],[PDF]],"")</f>
        <v/>
      </c>
      <c r="AJ639" s="131" t="str">
        <f>IF(Tab.o1[[#This Row],[a1]]=1,[1]!T_AA[[#This Row],[IN'']]*[1]!T_AA[[#This Row],[Qde'']],"")</f>
        <v/>
      </c>
      <c r="AK639" s="132" t="str">
        <f>IF(Tab.o1[[#This Row],[a1]]=1,IF(AK$1=1,Tab.o1[[#This Row],[MED]]+Tab.o1[[#This Row],[MOD]]-Tab.o1[[#This Row],[MED]],""),"")</f>
        <v/>
      </c>
      <c r="AL639" s="133" t="str">
        <f>IF(Tab.o1[[#This Row],[a1]]=1,[1]!T.in.A[[#This Row],[oo16]],"")</f>
        <v/>
      </c>
      <c r="AM639" s="133" t="str">
        <f>IF(Tab.o1[[#This Row],[a1]]=1,IF(AM$3=1,[1]!T.in.A[[#This Row],[Σo16]],""),"")</f>
        <v/>
      </c>
      <c r="AN639" s="126" t="str">
        <f>IF(Tab.o1[[#This Row],[a1]]=1,[1]!T.in.A[[#This Row],[Σp5]],"")</f>
        <v/>
      </c>
      <c r="AO639" s="126" t="str">
        <f>IF(Tab.o1[[#This Row],[a1]]=1,IF(AO$3=1,[1]!T.in.A[[#This Row],[Σp5]],""),"")</f>
        <v/>
      </c>
      <c r="AP639" s="110" t="str">
        <f>IF(Tab.o1[[#This Row],[a1]]=1,IF(ISNUMBER(Tab.o1[[#This Row],[i.]]),NORMDIST(Tab.o1[[#This Row],[Za]],0,1,FALSE)*Tab.o1[[#This Row],[i.]],0),"")</f>
        <v/>
      </c>
      <c r="AQ639" s="125" t="str">
        <f>IF(Tab.o1[[#This Row],[a1]]=1,ABS(Tab.o1[[#This Row],[MOD]]-AVERAGE(Tab.o1[MOD])),"")</f>
        <v/>
      </c>
      <c r="AR639" s="134" t="str">
        <f>IF(Tab.o1[[#This Row],[a1]]=1,Tab.o1[[#This Row],[OBS]]/SUM(Tab.o1[OBS]),"")</f>
        <v/>
      </c>
      <c r="AS639" s="135" t="str">
        <f>IF(ISNUMBER(Tab.o1[[#This Row],[a1]]),ROW()-4,"")</f>
        <v/>
      </c>
      <c r="AT639" s="136" t="str">
        <f>Tab.o1[[#This Row],[MOD]]</f>
        <v/>
      </c>
      <c r="AU639" s="137" t="str">
        <f t="shared" si="37"/>
        <v/>
      </c>
      <c r="AV639" s="138" t="str">
        <f t="shared" si="38"/>
        <v/>
      </c>
      <c r="AW639" s="138" t="str">
        <f t="shared" si="39"/>
        <v/>
      </c>
      <c r="AX639" s="139" t="str">
        <f>[1]!T.in.A[[#This Row],[ID_T_manu]]</f>
        <v/>
      </c>
      <c r="AY639" s="140" t="str">
        <f>IF(ISNUMBER(Tab.o1[[#This Row],[a1]]),IF(AND(Tab.o1[[#This Row],[a1]]=1,Tab.o1[[#This Row],[b1]]&lt;=AY$4),#REF!,AY638),"")</f>
        <v/>
      </c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</row>
    <row r="640" spans="1:79" s="143" customFormat="1" ht="15.75" hidden="1">
      <c r="A640" s="109">
        <v>4.0000000000000007E-6</v>
      </c>
      <c r="B640" s="110">
        <f t="shared" si="36"/>
        <v>640</v>
      </c>
      <c r="C640" s="111" t="str">
        <f>IF(C$1=[1]!T.in.A[[#This Row],[oo2]],1,"")</f>
        <v/>
      </c>
      <c r="D640" s="112" t="str">
        <f>IF(Tab.o1[[#This Row],[a1]]=1,IF(SUM(C640:C641)=0,0,IF(SUM(C639:C640)=1,1,IF(SUM(C639:C641)&gt;1,D639+1,0))),"")</f>
        <v/>
      </c>
      <c r="E640" s="113" t="str">
        <f>IF(Tab.o1[[#This Row],[a1]]=1,[1]!T.in.A[[#This Row],[oo1]],"")</f>
        <v/>
      </c>
      <c r="F640" s="113" t="str">
        <f>IF(Tab.o1[[#This Row],[a1]]=1,[1]!T.in.A[[#This Row],[pp1]],"")</f>
        <v/>
      </c>
      <c r="G640" s="114" t="str">
        <f>IF(Tab.o1[[#This Row],[a1]]=1,G$2+IF(G$1=1,0,Tab.o1[[#This Row],[.x1]])+[1]!T.in.A[[#This Row],[oo3]],"")</f>
        <v/>
      </c>
      <c r="H640" s="115" t="str">
        <f>IF(Tab.o1[[#This Row],[a1]]=1,IF(H$2=0,0,IF(G$1=1,0,Tab.o1[[#This Row],[.x1]])+[1]!T.in.A[[#This Row],[oo4]]),"")</f>
        <v/>
      </c>
      <c r="I640" s="116" t="str">
        <f>IF(Tab.o1[[#This Row],[a1]]=1,IF(J$2=0,Tab.o1[[#This Row],[MED]],Tab.o1[[#This Row],[MOD]]),"")</f>
        <v/>
      </c>
      <c r="J640" s="116" t="str">
        <f>IF(Tab.o1[[#This Row],[a1]]=1,((Tab.o1[[#This Row],[DIF_Target.]]-AVERAGE(Tab.o1[DIF_Target.]))/_xlfn.STDEV.P(Tab.o1[DIF_Target.])),"")</f>
        <v/>
      </c>
      <c r="K640" s="117" t="str">
        <f>IF(Tab.o1[[#This Row],[a1]]=1,IF(J$2=0,Tab.o1[[#This Row],[MOD]]-Tab.o1[[#This Row],[B]],IF(J$2=1,0,-Tab.o1[[#This Row],[MED]])+Tab.o1[[#This Row],[B]]),"")</f>
        <v/>
      </c>
      <c r="L640" s="117" t="str">
        <f ca="1">IF(Tab.o1[[#This Row],[DIF_Target]]=0,IF(L$2=0,Tab.o1[[#This Row],[DIF_Target]],AVERAGE(OFFSET(Tab.o1[[#This Row],[DIF_Target]],1,0,L$3,1)))/3,Tab.o1[[#This Row],[DIF_Target]])</f>
        <v/>
      </c>
      <c r="M640" s="118" t="str">
        <f>IF(Tab.o1[[#This Row],[a1]]=1,NORMSDIST(Tab.o1[[#This Row],[Za]]),"")</f>
        <v/>
      </c>
      <c r="N640" s="119" t="str">
        <f>IF(Tab.o1[[#This Row],[a1]]=1,((Tab.o1[[#This Row],[MedMod]]-AVERAGE(Tab.o1[MedMod]))/_xlfn.STDEV.P(Tab.o1[MedMod])*H$1205)+G$1205,"")</f>
        <v/>
      </c>
      <c r="O640" s="141" t="str">
        <f>IF(Tab.o1[[#This Row],[a1]]=1,Tab.o1[[#This Row],[Zb]]*_xlfn.STDEV.P(Tab.o1[MedMod])+AVERAGE(Tab.o1[MedMod]),"")</f>
        <v/>
      </c>
      <c r="P640" s="117" t="str">
        <f ca="1">IF(Tab.o1[[#This Row],[B]]=0,AVERAGE(OFFSET(Tab.o1[[#This Row],[B]],1,0,L$3,1)),Tab.o1[[#This Row],[B]])</f>
        <v/>
      </c>
      <c r="Q640" s="121" t="str">
        <f>IF(Tab.o1[[#This Row],[a1]]=1,NORMSDIST(Tab.o1[[#This Row],[Zb]]),"")</f>
        <v/>
      </c>
      <c r="R640" s="122" t="str">
        <f>IF(Tab.o1[[#This Row],[a1]]=1,((Tab.o1[[#This Row],[MedMod]]-AVERAGE(Tab.o1[MedMod]))/_xlfn.STDEV.P(Tab.o1[MedMod])*H$1203)+G$1203,"")</f>
        <v/>
      </c>
      <c r="S640" s="122" t="str">
        <f>IF(Tab.o1[[#This Row],[a1]]=1,((Tab.o1[[#This Row],[MedMod]]-AVERAGE(Tab.o1[MedMod]))/_xlfn.STDEV.P(Tab.o1[MedMod])*H$1204)+G$1204,"")</f>
        <v/>
      </c>
      <c r="T640" s="123" t="str">
        <f>IF(Tab.o1[[#This Row],[a1]]=1,Tab.o1[[#This Row],[Z-]]*_xlfn.STDEV.P(Tab.o1[B])+AVERAGE(Tab.o1[B]),"")</f>
        <v/>
      </c>
      <c r="U640" s="123" t="str">
        <f>IF(Tab.o1[[#This Row],[a1]]=1,Tab.o1[[#This Row],[z+]]*_xlfn.STDEV.P(Tab.o1[B])+AVERAGE(Tab.o1[B]),"")</f>
        <v/>
      </c>
      <c r="V640" s="124" t="str">
        <f>IF(Tab.o1[[#This Row],[a1]]=1,ABS((ABS(Tab.o1[[#This Row],[Red]]-Tab.o1[[#This Row],[Blue]]))),"")</f>
        <v/>
      </c>
      <c r="W640" s="125" t="str">
        <f>IF(Tab.o1[[#This Row],[a1]]=1,IF(W$3=0,1,Tab.o1[[#This Row],[Amp.]]*1/_xlfn.MINIFS(Tab.o1[Amp.],Tab.o1[Amp.],"&lt;&gt;0")),"")</f>
        <v/>
      </c>
      <c r="X640" s="126" t="str">
        <f>IF(Tab.o1[[#This Row],[a1]]=1,IF(ISNUMBER(Tab.o1[[#This Row],[i.]]),NORMDIST(Tab.o1[[#This Row],[Za]],0,1,FALSE)*Tab.o1[[#This Row],[i.]],AP$3),"")</f>
        <v/>
      </c>
      <c r="Y640" s="126" t="str">
        <f>IF(Tab.o1[[#This Row],[a1]]=1,0.01+0.94*Tab.o1[[#This Row],[PDF]]/MAX(Tab.o1[PDF]),"")</f>
        <v/>
      </c>
      <c r="Z640" s="126" t="str">
        <f>IF(Tab.o1[[#This Row],[a1]]=1,0.01+0.94*Tab.o1[[#This Row],[W1_PDF]]/MAX(Tab.o1[W1_PDF]),"")</f>
        <v/>
      </c>
      <c r="AA640" s="118" t="str">
        <f>IF(Tab.o1[[#This Row],[a1]]=1,ABS([1]!T.in.A[[#This Row],[oo6]]),"")</f>
        <v/>
      </c>
      <c r="AB640" s="127" t="str">
        <f>IF(Tab.o1[[#This Row],[a1]]=1,IF(AE$3=0,"",IF(AB$3=0,ABS([1]!T.in.A[[#This Row],[oo9]]),ABS(Tab.o1[[#This Row],[DIF_Target.]]*Tab.o1[[#This Row],[W1_PDF]]))),"")</f>
        <v/>
      </c>
      <c r="AC640" s="127" t="str">
        <f>IF(G$1=1,"",IF(Tab.o1[[#This Row],[a1]]=1,Tab.o1[[#This Row],[Wr]]^2,""))</f>
        <v/>
      </c>
      <c r="AD640" s="118" t="str">
        <f>IF(Tab.o1[[#This Row],[a1]]=1,IF(AE$3=0,"",Tab.o1[[#This Row],[Wr2]]/SUM(Tab.o1[Wr2])),"")</f>
        <v/>
      </c>
      <c r="AE640" s="128" t="str">
        <f>IF(Tab.o1[[#This Row],[a1]]=1,[1]!T.in.A[[#This Row],[oo10]],"")</f>
        <v/>
      </c>
      <c r="AF640" s="118" t="str">
        <f>IF(Tab.o1[[#This Row],[a1]]=1,ABS(Tab.o1[[#This Row],[DIF_Target.]]*Tab.o1[[#This Row],[PDF2]]*Tab.o1[[#This Row],[IN]]),"")</f>
        <v/>
      </c>
      <c r="AG640" s="129" t="str">
        <f>IF(Tab.o1[[#This Row],[a1]]=1,Tab.o1[[#This Row],[rW]]^2,"")</f>
        <v/>
      </c>
      <c r="AH640" s="130" t="str">
        <f>IF(Tab.o1[[#This Row],[a1]]=1,IF(AH$3=0,Tab.o1[[#This Row],[rW2]],0.01+0.94*Tab.o1[[#This Row],[rW2]]/SUM(Tab.o1[rW2])),"")</f>
        <v/>
      </c>
      <c r="AI640" s="128" t="str">
        <f>IF(Tab.o1[[#This Row],[a1]]=1,1/Tab.o1[[#This Row],[PDF]],"")</f>
        <v/>
      </c>
      <c r="AJ640" s="131" t="str">
        <f>IF(Tab.o1[[#This Row],[a1]]=1,[1]!T_AA[[#This Row],[IN'']]*[1]!T_AA[[#This Row],[Qde'']],"")</f>
        <v/>
      </c>
      <c r="AK640" s="132" t="str">
        <f>IF(Tab.o1[[#This Row],[a1]]=1,IF(AK$1=1,Tab.o1[[#This Row],[MED]]+Tab.o1[[#This Row],[MOD]]-Tab.o1[[#This Row],[MED]],""),"")</f>
        <v/>
      </c>
      <c r="AL640" s="133" t="str">
        <f>IF(Tab.o1[[#This Row],[a1]]=1,[1]!T.in.A[[#This Row],[oo16]],"")</f>
        <v/>
      </c>
      <c r="AM640" s="133" t="str">
        <f>IF(Tab.o1[[#This Row],[a1]]=1,IF(AM$3=1,[1]!T.in.A[[#This Row],[Σo16]],""),"")</f>
        <v/>
      </c>
      <c r="AN640" s="126" t="str">
        <f>IF(Tab.o1[[#This Row],[a1]]=1,[1]!T.in.A[[#This Row],[Σp5]],"")</f>
        <v/>
      </c>
      <c r="AO640" s="126" t="str">
        <f>IF(Tab.o1[[#This Row],[a1]]=1,IF(AO$3=1,[1]!T.in.A[[#This Row],[Σp5]],""),"")</f>
        <v/>
      </c>
      <c r="AP640" s="110" t="str">
        <f>IF(Tab.o1[[#This Row],[a1]]=1,IF(ISNUMBER(Tab.o1[[#This Row],[i.]]),NORMDIST(Tab.o1[[#This Row],[Za]],0,1,FALSE)*Tab.o1[[#This Row],[i.]],0),"")</f>
        <v/>
      </c>
      <c r="AQ640" s="125" t="str">
        <f>IF(Tab.o1[[#This Row],[a1]]=1,ABS(Tab.o1[[#This Row],[MOD]]-AVERAGE(Tab.o1[MOD])),"")</f>
        <v/>
      </c>
      <c r="AR640" s="134" t="str">
        <f>IF(Tab.o1[[#This Row],[a1]]=1,Tab.o1[[#This Row],[OBS]]/SUM(Tab.o1[OBS]),"")</f>
        <v/>
      </c>
      <c r="AS640" s="135" t="str">
        <f>IF(ISNUMBER(Tab.o1[[#This Row],[a1]]),ROW()-4,"")</f>
        <v/>
      </c>
      <c r="AT640" s="136" t="str">
        <f>Tab.o1[[#This Row],[MOD]]</f>
        <v/>
      </c>
      <c r="AU640" s="137" t="str">
        <f t="shared" si="37"/>
        <v/>
      </c>
      <c r="AV640" s="138" t="str">
        <f t="shared" si="38"/>
        <v/>
      </c>
      <c r="AW640" s="138" t="str">
        <f t="shared" si="39"/>
        <v/>
      </c>
      <c r="AX640" s="139" t="str">
        <f>[1]!T.in.A[[#This Row],[ID_T_manu]]</f>
        <v/>
      </c>
      <c r="AY640" s="140" t="str">
        <f>IF(ISNUMBER(Tab.o1[[#This Row],[a1]]),IF(AND(Tab.o1[[#This Row],[a1]]=1,Tab.o1[[#This Row],[b1]]&lt;=AY$4),#REF!,AY639),"")</f>
        <v/>
      </c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</row>
    <row r="641" spans="1:79" s="143" customFormat="1" ht="15.75" hidden="1">
      <c r="A641" s="109">
        <v>2.9999999999999997E-6</v>
      </c>
      <c r="B641" s="110">
        <f t="shared" si="36"/>
        <v>641</v>
      </c>
      <c r="C641" s="111" t="str">
        <f>IF(C$1=[1]!T.in.A[[#This Row],[oo2]],1,"")</f>
        <v/>
      </c>
      <c r="D641" s="112" t="str">
        <f>IF(Tab.o1[[#This Row],[a1]]=1,IF(SUM(C641:C642)=0,0,IF(SUM(C640:C641)=1,1,IF(SUM(C640:C642)&gt;1,D640+1,0))),"")</f>
        <v/>
      </c>
      <c r="E641" s="113" t="str">
        <f>IF(Tab.o1[[#This Row],[a1]]=1,[1]!T.in.A[[#This Row],[oo1]],"")</f>
        <v/>
      </c>
      <c r="F641" s="113" t="str">
        <f>IF(Tab.o1[[#This Row],[a1]]=1,[1]!T.in.A[[#This Row],[pp1]],"")</f>
        <v/>
      </c>
      <c r="G641" s="114" t="str">
        <f>IF(Tab.o1[[#This Row],[a1]]=1,G$2+IF(G$1=1,0,Tab.o1[[#This Row],[.x1]])+[1]!T.in.A[[#This Row],[oo3]],"")</f>
        <v/>
      </c>
      <c r="H641" s="115" t="str">
        <f>IF(Tab.o1[[#This Row],[a1]]=1,IF(H$2=0,0,IF(G$1=1,0,Tab.o1[[#This Row],[.x1]])+[1]!T.in.A[[#This Row],[oo4]]),"")</f>
        <v/>
      </c>
      <c r="I641" s="116" t="str">
        <f>IF(Tab.o1[[#This Row],[a1]]=1,IF(J$2=0,Tab.o1[[#This Row],[MED]],Tab.o1[[#This Row],[MOD]]),"")</f>
        <v/>
      </c>
      <c r="J641" s="116" t="str">
        <f>IF(Tab.o1[[#This Row],[a1]]=1,((Tab.o1[[#This Row],[DIF_Target.]]-AVERAGE(Tab.o1[DIF_Target.]))/_xlfn.STDEV.P(Tab.o1[DIF_Target.])),"")</f>
        <v/>
      </c>
      <c r="K641" s="117" t="str">
        <f>IF(Tab.o1[[#This Row],[a1]]=1,IF(J$2=0,Tab.o1[[#This Row],[MOD]]-Tab.o1[[#This Row],[B]],IF(J$2=1,0,-Tab.o1[[#This Row],[MED]])+Tab.o1[[#This Row],[B]]),"")</f>
        <v/>
      </c>
      <c r="L641" s="117" t="str">
        <f ca="1">IF(Tab.o1[[#This Row],[DIF_Target]]=0,IF(L$2=0,Tab.o1[[#This Row],[DIF_Target]],AVERAGE(OFFSET(Tab.o1[[#This Row],[DIF_Target]],1,0,L$3,1)))/3,Tab.o1[[#This Row],[DIF_Target]])</f>
        <v/>
      </c>
      <c r="M641" s="118" t="str">
        <f>IF(Tab.o1[[#This Row],[a1]]=1,NORMSDIST(Tab.o1[[#This Row],[Za]]),"")</f>
        <v/>
      </c>
      <c r="N641" s="119" t="str">
        <f>IF(Tab.o1[[#This Row],[a1]]=1,((Tab.o1[[#This Row],[MedMod]]-AVERAGE(Tab.o1[MedMod]))/_xlfn.STDEV.P(Tab.o1[MedMod])*H$1205)+G$1205,"")</f>
        <v/>
      </c>
      <c r="O641" s="141" t="str">
        <f>IF(Tab.o1[[#This Row],[a1]]=1,Tab.o1[[#This Row],[Zb]]*_xlfn.STDEV.P(Tab.o1[MedMod])+AVERAGE(Tab.o1[MedMod]),"")</f>
        <v/>
      </c>
      <c r="P641" s="117" t="str">
        <f ca="1">IF(Tab.o1[[#This Row],[B]]=0,AVERAGE(OFFSET(Tab.o1[[#This Row],[B]],1,0,L$3,1)),Tab.o1[[#This Row],[B]])</f>
        <v/>
      </c>
      <c r="Q641" s="121" t="str">
        <f>IF(Tab.o1[[#This Row],[a1]]=1,NORMSDIST(Tab.o1[[#This Row],[Zb]]),"")</f>
        <v/>
      </c>
      <c r="R641" s="122" t="str">
        <f>IF(Tab.o1[[#This Row],[a1]]=1,((Tab.o1[[#This Row],[MedMod]]-AVERAGE(Tab.o1[MedMod]))/_xlfn.STDEV.P(Tab.o1[MedMod])*H$1203)+G$1203,"")</f>
        <v/>
      </c>
      <c r="S641" s="122" t="str">
        <f>IF(Tab.o1[[#This Row],[a1]]=1,((Tab.o1[[#This Row],[MedMod]]-AVERAGE(Tab.o1[MedMod]))/_xlfn.STDEV.P(Tab.o1[MedMod])*H$1204)+G$1204,"")</f>
        <v/>
      </c>
      <c r="T641" s="123" t="str">
        <f>IF(Tab.o1[[#This Row],[a1]]=1,Tab.o1[[#This Row],[Z-]]*_xlfn.STDEV.P(Tab.o1[B])+AVERAGE(Tab.o1[B]),"")</f>
        <v/>
      </c>
      <c r="U641" s="123" t="str">
        <f>IF(Tab.o1[[#This Row],[a1]]=1,Tab.o1[[#This Row],[z+]]*_xlfn.STDEV.P(Tab.o1[B])+AVERAGE(Tab.o1[B]),"")</f>
        <v/>
      </c>
      <c r="V641" s="124" t="str">
        <f>IF(Tab.o1[[#This Row],[a1]]=1,ABS((ABS(Tab.o1[[#This Row],[Red]]-Tab.o1[[#This Row],[Blue]]))),"")</f>
        <v/>
      </c>
      <c r="W641" s="125" t="str">
        <f>IF(Tab.o1[[#This Row],[a1]]=1,IF(W$3=0,1,Tab.o1[[#This Row],[Amp.]]*1/_xlfn.MINIFS(Tab.o1[Amp.],Tab.o1[Amp.],"&lt;&gt;0")),"")</f>
        <v/>
      </c>
      <c r="X641" s="126" t="str">
        <f>IF(Tab.o1[[#This Row],[a1]]=1,IF(ISNUMBER(Tab.o1[[#This Row],[i.]]),NORMDIST(Tab.o1[[#This Row],[Za]],0,1,FALSE)*Tab.o1[[#This Row],[i.]],AP$3),"")</f>
        <v/>
      </c>
      <c r="Y641" s="126" t="str">
        <f>IF(Tab.o1[[#This Row],[a1]]=1,0.01+0.94*Tab.o1[[#This Row],[PDF]]/MAX(Tab.o1[PDF]),"")</f>
        <v/>
      </c>
      <c r="Z641" s="126" t="str">
        <f>IF(Tab.o1[[#This Row],[a1]]=1,0.01+0.94*Tab.o1[[#This Row],[W1_PDF]]/MAX(Tab.o1[W1_PDF]),"")</f>
        <v/>
      </c>
      <c r="AA641" s="118" t="str">
        <f>IF(Tab.o1[[#This Row],[a1]]=1,ABS([1]!T.in.A[[#This Row],[oo6]]),"")</f>
        <v/>
      </c>
      <c r="AB641" s="127" t="str">
        <f>IF(Tab.o1[[#This Row],[a1]]=1,IF(AE$3=0,"",IF(AB$3=0,ABS([1]!T.in.A[[#This Row],[oo9]]),ABS(Tab.o1[[#This Row],[DIF_Target.]]*Tab.o1[[#This Row],[W1_PDF]]))),"")</f>
        <v/>
      </c>
      <c r="AC641" s="127" t="str">
        <f>IF(G$1=1,"",IF(Tab.o1[[#This Row],[a1]]=1,Tab.o1[[#This Row],[Wr]]^2,""))</f>
        <v/>
      </c>
      <c r="AD641" s="118" t="str">
        <f>IF(Tab.o1[[#This Row],[a1]]=1,IF(AE$3=0,"",Tab.o1[[#This Row],[Wr2]]/SUM(Tab.o1[Wr2])),"")</f>
        <v/>
      </c>
      <c r="AE641" s="128" t="str">
        <f>IF(Tab.o1[[#This Row],[a1]]=1,[1]!T.in.A[[#This Row],[oo10]],"")</f>
        <v/>
      </c>
      <c r="AF641" s="118" t="str">
        <f>IF(Tab.o1[[#This Row],[a1]]=1,ABS(Tab.o1[[#This Row],[DIF_Target.]]*Tab.o1[[#This Row],[PDF2]]*Tab.o1[[#This Row],[IN]]),"")</f>
        <v/>
      </c>
      <c r="AG641" s="129" t="str">
        <f>IF(Tab.o1[[#This Row],[a1]]=1,Tab.o1[[#This Row],[rW]]^2,"")</f>
        <v/>
      </c>
      <c r="AH641" s="130" t="str">
        <f>IF(Tab.o1[[#This Row],[a1]]=1,IF(AH$3=0,Tab.o1[[#This Row],[rW2]],0.01+0.94*Tab.o1[[#This Row],[rW2]]/SUM(Tab.o1[rW2])),"")</f>
        <v/>
      </c>
      <c r="AI641" s="128" t="str">
        <f>IF(Tab.o1[[#This Row],[a1]]=1,1/Tab.o1[[#This Row],[PDF]],"")</f>
        <v/>
      </c>
      <c r="AJ641" s="131" t="str">
        <f>IF(Tab.o1[[#This Row],[a1]]=1,[1]!T_AA[[#This Row],[IN'']]*[1]!T_AA[[#This Row],[Qde'']],"")</f>
        <v/>
      </c>
      <c r="AK641" s="132" t="str">
        <f>IF(Tab.o1[[#This Row],[a1]]=1,IF(AK$1=1,Tab.o1[[#This Row],[MED]]+Tab.o1[[#This Row],[MOD]]-Tab.o1[[#This Row],[MED]],""),"")</f>
        <v/>
      </c>
      <c r="AL641" s="133" t="str">
        <f>IF(Tab.o1[[#This Row],[a1]]=1,[1]!T.in.A[[#This Row],[oo16]],"")</f>
        <v/>
      </c>
      <c r="AM641" s="133" t="str">
        <f>IF(Tab.o1[[#This Row],[a1]]=1,IF(AM$3=1,[1]!T.in.A[[#This Row],[Σo16]],""),"")</f>
        <v/>
      </c>
      <c r="AN641" s="126" t="str">
        <f>IF(Tab.o1[[#This Row],[a1]]=1,[1]!T.in.A[[#This Row],[Σp5]],"")</f>
        <v/>
      </c>
      <c r="AO641" s="126" t="str">
        <f>IF(Tab.o1[[#This Row],[a1]]=1,IF(AO$3=1,[1]!T.in.A[[#This Row],[Σp5]],""),"")</f>
        <v/>
      </c>
      <c r="AP641" s="110" t="str">
        <f>IF(Tab.o1[[#This Row],[a1]]=1,IF(ISNUMBER(Tab.o1[[#This Row],[i.]]),NORMDIST(Tab.o1[[#This Row],[Za]],0,1,FALSE)*Tab.o1[[#This Row],[i.]],0),"")</f>
        <v/>
      </c>
      <c r="AQ641" s="125" t="str">
        <f>IF(Tab.o1[[#This Row],[a1]]=1,ABS(Tab.o1[[#This Row],[MOD]]-AVERAGE(Tab.o1[MOD])),"")</f>
        <v/>
      </c>
      <c r="AR641" s="134" t="str">
        <f>IF(Tab.o1[[#This Row],[a1]]=1,Tab.o1[[#This Row],[OBS]]/SUM(Tab.o1[OBS]),"")</f>
        <v/>
      </c>
      <c r="AS641" s="135" t="str">
        <f>IF(ISNUMBER(Tab.o1[[#This Row],[a1]]),ROW()-4,"")</f>
        <v/>
      </c>
      <c r="AT641" s="136" t="str">
        <f>Tab.o1[[#This Row],[MOD]]</f>
        <v/>
      </c>
      <c r="AU641" s="137" t="str">
        <f t="shared" si="37"/>
        <v/>
      </c>
      <c r="AV641" s="138" t="str">
        <f t="shared" si="38"/>
        <v/>
      </c>
      <c r="AW641" s="138" t="str">
        <f t="shared" si="39"/>
        <v/>
      </c>
      <c r="AX641" s="139" t="str">
        <f>[1]!T.in.A[[#This Row],[ID_T_manu]]</f>
        <v/>
      </c>
      <c r="AY641" s="140" t="str">
        <f>IF(ISNUMBER(Tab.o1[[#This Row],[a1]]),IF(AND(Tab.o1[[#This Row],[a1]]=1,Tab.o1[[#This Row],[b1]]&lt;=AY$4),#REF!,AY640),"")</f>
        <v/>
      </c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</row>
    <row r="642" spans="1:79" s="143" customFormat="1" ht="15.75" hidden="1">
      <c r="A642" s="109">
        <v>8.0000000000000013E-6</v>
      </c>
      <c r="B642" s="110">
        <f t="shared" si="36"/>
        <v>642</v>
      </c>
      <c r="C642" s="111" t="str">
        <f>IF(C$1=[1]!T.in.A[[#This Row],[oo2]],1,"")</f>
        <v/>
      </c>
      <c r="D642" s="112" t="str">
        <f>IF(Tab.o1[[#This Row],[a1]]=1,IF(SUM(C642:C643)=0,0,IF(SUM(C641:C642)=1,1,IF(SUM(C641:C643)&gt;1,D641+1,0))),"")</f>
        <v/>
      </c>
      <c r="E642" s="113" t="str">
        <f>IF(Tab.o1[[#This Row],[a1]]=1,[1]!T.in.A[[#This Row],[oo1]],"")</f>
        <v/>
      </c>
      <c r="F642" s="113" t="str">
        <f>IF(Tab.o1[[#This Row],[a1]]=1,[1]!T.in.A[[#This Row],[pp1]],"")</f>
        <v/>
      </c>
      <c r="G642" s="114" t="str">
        <f>IF(Tab.o1[[#This Row],[a1]]=1,G$2+IF(G$1=1,0,Tab.o1[[#This Row],[.x1]])+[1]!T.in.A[[#This Row],[oo3]],"")</f>
        <v/>
      </c>
      <c r="H642" s="115" t="str">
        <f>IF(Tab.o1[[#This Row],[a1]]=1,IF(H$2=0,0,IF(G$1=1,0,Tab.o1[[#This Row],[.x1]])+[1]!T.in.A[[#This Row],[oo4]]),"")</f>
        <v/>
      </c>
      <c r="I642" s="116" t="str">
        <f>IF(Tab.o1[[#This Row],[a1]]=1,IF(J$2=0,Tab.o1[[#This Row],[MED]],Tab.o1[[#This Row],[MOD]]),"")</f>
        <v/>
      </c>
      <c r="J642" s="116" t="str">
        <f>IF(Tab.o1[[#This Row],[a1]]=1,((Tab.o1[[#This Row],[DIF_Target.]]-AVERAGE(Tab.o1[DIF_Target.]))/_xlfn.STDEV.P(Tab.o1[DIF_Target.])),"")</f>
        <v/>
      </c>
      <c r="K642" s="117" t="str">
        <f>IF(Tab.o1[[#This Row],[a1]]=1,IF(J$2=0,Tab.o1[[#This Row],[MOD]]-Tab.o1[[#This Row],[B]],IF(J$2=1,0,-Tab.o1[[#This Row],[MED]])+Tab.o1[[#This Row],[B]]),"")</f>
        <v/>
      </c>
      <c r="L642" s="117" t="str">
        <f ca="1">IF(Tab.o1[[#This Row],[DIF_Target]]=0,IF(L$2=0,Tab.o1[[#This Row],[DIF_Target]],AVERAGE(OFFSET(Tab.o1[[#This Row],[DIF_Target]],1,0,L$3,1)))/3,Tab.o1[[#This Row],[DIF_Target]])</f>
        <v/>
      </c>
      <c r="M642" s="118" t="str">
        <f>IF(Tab.o1[[#This Row],[a1]]=1,NORMSDIST(Tab.o1[[#This Row],[Za]]),"")</f>
        <v/>
      </c>
      <c r="N642" s="119" t="str">
        <f>IF(Tab.o1[[#This Row],[a1]]=1,((Tab.o1[[#This Row],[MedMod]]-AVERAGE(Tab.o1[MedMod]))/_xlfn.STDEV.P(Tab.o1[MedMod])*H$1205)+G$1205,"")</f>
        <v/>
      </c>
      <c r="O642" s="141" t="str">
        <f>IF(Tab.o1[[#This Row],[a1]]=1,Tab.o1[[#This Row],[Zb]]*_xlfn.STDEV.P(Tab.o1[MedMod])+AVERAGE(Tab.o1[MedMod]),"")</f>
        <v/>
      </c>
      <c r="P642" s="117" t="str">
        <f ca="1">IF(Tab.o1[[#This Row],[B]]=0,AVERAGE(OFFSET(Tab.o1[[#This Row],[B]],1,0,L$3,1)),Tab.o1[[#This Row],[B]])</f>
        <v/>
      </c>
      <c r="Q642" s="121" t="str">
        <f>IF(Tab.o1[[#This Row],[a1]]=1,NORMSDIST(Tab.o1[[#This Row],[Zb]]),"")</f>
        <v/>
      </c>
      <c r="R642" s="122" t="str">
        <f>IF(Tab.o1[[#This Row],[a1]]=1,((Tab.o1[[#This Row],[MedMod]]-AVERAGE(Tab.o1[MedMod]))/_xlfn.STDEV.P(Tab.o1[MedMod])*H$1203)+G$1203,"")</f>
        <v/>
      </c>
      <c r="S642" s="122" t="str">
        <f>IF(Tab.o1[[#This Row],[a1]]=1,((Tab.o1[[#This Row],[MedMod]]-AVERAGE(Tab.o1[MedMod]))/_xlfn.STDEV.P(Tab.o1[MedMod])*H$1204)+G$1204,"")</f>
        <v/>
      </c>
      <c r="T642" s="123" t="str">
        <f>IF(Tab.o1[[#This Row],[a1]]=1,Tab.o1[[#This Row],[Z-]]*_xlfn.STDEV.P(Tab.o1[B])+AVERAGE(Tab.o1[B]),"")</f>
        <v/>
      </c>
      <c r="U642" s="123" t="str">
        <f>IF(Tab.o1[[#This Row],[a1]]=1,Tab.o1[[#This Row],[z+]]*_xlfn.STDEV.P(Tab.o1[B])+AVERAGE(Tab.o1[B]),"")</f>
        <v/>
      </c>
      <c r="V642" s="124" t="str">
        <f>IF(Tab.o1[[#This Row],[a1]]=1,ABS((ABS(Tab.o1[[#This Row],[Red]]-Tab.o1[[#This Row],[Blue]]))),"")</f>
        <v/>
      </c>
      <c r="W642" s="125" t="str">
        <f>IF(Tab.o1[[#This Row],[a1]]=1,IF(W$3=0,1,Tab.o1[[#This Row],[Amp.]]*1/_xlfn.MINIFS(Tab.o1[Amp.],Tab.o1[Amp.],"&lt;&gt;0")),"")</f>
        <v/>
      </c>
      <c r="X642" s="126" t="str">
        <f>IF(Tab.o1[[#This Row],[a1]]=1,IF(ISNUMBER(Tab.o1[[#This Row],[i.]]),NORMDIST(Tab.o1[[#This Row],[Za]],0,1,FALSE)*Tab.o1[[#This Row],[i.]],AP$3),"")</f>
        <v/>
      </c>
      <c r="Y642" s="126" t="str">
        <f>IF(Tab.o1[[#This Row],[a1]]=1,0.01+0.94*Tab.o1[[#This Row],[PDF]]/MAX(Tab.o1[PDF]),"")</f>
        <v/>
      </c>
      <c r="Z642" s="126" t="str">
        <f>IF(Tab.o1[[#This Row],[a1]]=1,0.01+0.94*Tab.o1[[#This Row],[W1_PDF]]/MAX(Tab.o1[W1_PDF]),"")</f>
        <v/>
      </c>
      <c r="AA642" s="118" t="str">
        <f>IF(Tab.o1[[#This Row],[a1]]=1,ABS([1]!T.in.A[[#This Row],[oo6]]),"")</f>
        <v/>
      </c>
      <c r="AB642" s="127" t="str">
        <f>IF(Tab.o1[[#This Row],[a1]]=1,IF(AE$3=0,"",IF(AB$3=0,ABS([1]!T.in.A[[#This Row],[oo9]]),ABS(Tab.o1[[#This Row],[DIF_Target.]]*Tab.o1[[#This Row],[W1_PDF]]))),"")</f>
        <v/>
      </c>
      <c r="AC642" s="127" t="str">
        <f>IF(G$1=1,"",IF(Tab.o1[[#This Row],[a1]]=1,Tab.o1[[#This Row],[Wr]]^2,""))</f>
        <v/>
      </c>
      <c r="AD642" s="118" t="str">
        <f>IF(Tab.o1[[#This Row],[a1]]=1,IF(AE$3=0,"",Tab.o1[[#This Row],[Wr2]]/SUM(Tab.o1[Wr2])),"")</f>
        <v/>
      </c>
      <c r="AE642" s="128" t="str">
        <f>IF(Tab.o1[[#This Row],[a1]]=1,[1]!T.in.A[[#This Row],[oo10]],"")</f>
        <v/>
      </c>
      <c r="AF642" s="118" t="str">
        <f>IF(Tab.o1[[#This Row],[a1]]=1,ABS(Tab.o1[[#This Row],[DIF_Target.]]*Tab.o1[[#This Row],[PDF2]]*Tab.o1[[#This Row],[IN]]),"")</f>
        <v/>
      </c>
      <c r="AG642" s="129" t="str">
        <f>IF(Tab.o1[[#This Row],[a1]]=1,Tab.o1[[#This Row],[rW]]^2,"")</f>
        <v/>
      </c>
      <c r="AH642" s="130" t="str">
        <f>IF(Tab.o1[[#This Row],[a1]]=1,IF(AH$3=0,Tab.o1[[#This Row],[rW2]],0.01+0.94*Tab.o1[[#This Row],[rW2]]/SUM(Tab.o1[rW2])),"")</f>
        <v/>
      </c>
      <c r="AI642" s="128" t="str">
        <f>IF(Tab.o1[[#This Row],[a1]]=1,1/Tab.o1[[#This Row],[PDF]],"")</f>
        <v/>
      </c>
      <c r="AJ642" s="131" t="str">
        <f>IF(Tab.o1[[#This Row],[a1]]=1,[1]!T_AA[[#This Row],[IN'']]*[1]!T_AA[[#This Row],[Qde'']],"")</f>
        <v/>
      </c>
      <c r="AK642" s="132" t="str">
        <f>IF(Tab.o1[[#This Row],[a1]]=1,IF(AK$1=1,Tab.o1[[#This Row],[MED]]+Tab.o1[[#This Row],[MOD]]-Tab.o1[[#This Row],[MED]],""),"")</f>
        <v/>
      </c>
      <c r="AL642" s="133" t="str">
        <f>IF(Tab.o1[[#This Row],[a1]]=1,[1]!T.in.A[[#This Row],[oo16]],"")</f>
        <v/>
      </c>
      <c r="AM642" s="133" t="str">
        <f>IF(Tab.o1[[#This Row],[a1]]=1,IF(AM$3=1,[1]!T.in.A[[#This Row],[Σo16]],""),"")</f>
        <v/>
      </c>
      <c r="AN642" s="126" t="str">
        <f>IF(Tab.o1[[#This Row],[a1]]=1,[1]!T.in.A[[#This Row],[Σp5]],"")</f>
        <v/>
      </c>
      <c r="AO642" s="126" t="str">
        <f>IF(Tab.o1[[#This Row],[a1]]=1,IF(AO$3=1,[1]!T.in.A[[#This Row],[Σp5]],""),"")</f>
        <v/>
      </c>
      <c r="AP642" s="110" t="str">
        <f>IF(Tab.o1[[#This Row],[a1]]=1,IF(ISNUMBER(Tab.o1[[#This Row],[i.]]),NORMDIST(Tab.o1[[#This Row],[Za]],0,1,FALSE)*Tab.o1[[#This Row],[i.]],0),"")</f>
        <v/>
      </c>
      <c r="AQ642" s="125" t="str">
        <f>IF(Tab.o1[[#This Row],[a1]]=1,ABS(Tab.o1[[#This Row],[MOD]]-AVERAGE(Tab.o1[MOD])),"")</f>
        <v/>
      </c>
      <c r="AR642" s="134" t="str">
        <f>IF(Tab.o1[[#This Row],[a1]]=1,Tab.o1[[#This Row],[OBS]]/SUM(Tab.o1[OBS]),"")</f>
        <v/>
      </c>
      <c r="AS642" s="135" t="str">
        <f>IF(ISNUMBER(Tab.o1[[#This Row],[a1]]),ROW()-4,"")</f>
        <v/>
      </c>
      <c r="AT642" s="136" t="str">
        <f>Tab.o1[[#This Row],[MOD]]</f>
        <v/>
      </c>
      <c r="AU642" s="137" t="str">
        <f t="shared" si="37"/>
        <v/>
      </c>
      <c r="AV642" s="138" t="str">
        <f t="shared" si="38"/>
        <v/>
      </c>
      <c r="AW642" s="138" t="str">
        <f t="shared" si="39"/>
        <v/>
      </c>
      <c r="AX642" s="139" t="str">
        <f>[1]!T.in.A[[#This Row],[ID_T_manu]]</f>
        <v/>
      </c>
      <c r="AY642" s="140" t="str">
        <f>IF(ISNUMBER(Tab.o1[[#This Row],[a1]]),IF(AND(Tab.o1[[#This Row],[a1]]=1,Tab.o1[[#This Row],[b1]]&lt;=AY$4),#REF!,AY641),"")</f>
        <v/>
      </c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</row>
    <row r="643" spans="1:79" s="143" customFormat="1" ht="15.75" hidden="1">
      <c r="A643" s="109">
        <v>1.0000000000000002E-6</v>
      </c>
      <c r="B643" s="110">
        <f t="shared" si="36"/>
        <v>643</v>
      </c>
      <c r="C643" s="111" t="str">
        <f>IF(C$1=[1]!T.in.A[[#This Row],[oo2]],1,"")</f>
        <v/>
      </c>
      <c r="D643" s="112" t="str">
        <f>IF(Tab.o1[[#This Row],[a1]]=1,IF(SUM(C643:C644)=0,0,IF(SUM(C642:C643)=1,1,IF(SUM(C642:C644)&gt;1,D642+1,0))),"")</f>
        <v/>
      </c>
      <c r="E643" s="113" t="str">
        <f>IF(Tab.o1[[#This Row],[a1]]=1,[1]!T.in.A[[#This Row],[oo1]],"")</f>
        <v/>
      </c>
      <c r="F643" s="113" t="str">
        <f>IF(Tab.o1[[#This Row],[a1]]=1,[1]!T.in.A[[#This Row],[pp1]],"")</f>
        <v/>
      </c>
      <c r="G643" s="114" t="str">
        <f>IF(Tab.o1[[#This Row],[a1]]=1,G$2+IF(G$1=1,0,Tab.o1[[#This Row],[.x1]])+[1]!T.in.A[[#This Row],[oo3]],"")</f>
        <v/>
      </c>
      <c r="H643" s="115" t="str">
        <f>IF(Tab.o1[[#This Row],[a1]]=1,IF(H$2=0,0,IF(G$1=1,0,Tab.o1[[#This Row],[.x1]])+[1]!T.in.A[[#This Row],[oo4]]),"")</f>
        <v/>
      </c>
      <c r="I643" s="116" t="str">
        <f>IF(Tab.o1[[#This Row],[a1]]=1,IF(J$2=0,Tab.o1[[#This Row],[MED]],Tab.o1[[#This Row],[MOD]]),"")</f>
        <v/>
      </c>
      <c r="J643" s="116" t="str">
        <f>IF(Tab.o1[[#This Row],[a1]]=1,((Tab.o1[[#This Row],[DIF_Target.]]-AVERAGE(Tab.o1[DIF_Target.]))/_xlfn.STDEV.P(Tab.o1[DIF_Target.])),"")</f>
        <v/>
      </c>
      <c r="K643" s="117" t="str">
        <f>IF(Tab.o1[[#This Row],[a1]]=1,IF(J$2=0,Tab.o1[[#This Row],[MOD]]-Tab.o1[[#This Row],[B]],IF(J$2=1,0,-Tab.o1[[#This Row],[MED]])+Tab.o1[[#This Row],[B]]),"")</f>
        <v/>
      </c>
      <c r="L643" s="117" t="str">
        <f ca="1">IF(Tab.o1[[#This Row],[DIF_Target]]=0,IF(L$2=0,Tab.o1[[#This Row],[DIF_Target]],AVERAGE(OFFSET(Tab.o1[[#This Row],[DIF_Target]],1,0,L$3,1)))/3,Tab.o1[[#This Row],[DIF_Target]])</f>
        <v/>
      </c>
      <c r="M643" s="118" t="str">
        <f>IF(Tab.o1[[#This Row],[a1]]=1,NORMSDIST(Tab.o1[[#This Row],[Za]]),"")</f>
        <v/>
      </c>
      <c r="N643" s="119" t="str">
        <f>IF(Tab.o1[[#This Row],[a1]]=1,((Tab.o1[[#This Row],[MedMod]]-AVERAGE(Tab.o1[MedMod]))/_xlfn.STDEV.P(Tab.o1[MedMod])*H$1205)+G$1205,"")</f>
        <v/>
      </c>
      <c r="O643" s="141" t="str">
        <f>IF(Tab.o1[[#This Row],[a1]]=1,Tab.o1[[#This Row],[Zb]]*_xlfn.STDEV.P(Tab.o1[MedMod])+AVERAGE(Tab.o1[MedMod]),"")</f>
        <v/>
      </c>
      <c r="P643" s="117" t="str">
        <f ca="1">IF(Tab.o1[[#This Row],[B]]=0,AVERAGE(OFFSET(Tab.o1[[#This Row],[B]],1,0,L$3,1)),Tab.o1[[#This Row],[B]])</f>
        <v/>
      </c>
      <c r="Q643" s="121" t="str">
        <f>IF(Tab.o1[[#This Row],[a1]]=1,NORMSDIST(Tab.o1[[#This Row],[Zb]]),"")</f>
        <v/>
      </c>
      <c r="R643" s="122" t="str">
        <f>IF(Tab.o1[[#This Row],[a1]]=1,((Tab.o1[[#This Row],[MedMod]]-AVERAGE(Tab.o1[MedMod]))/_xlfn.STDEV.P(Tab.o1[MedMod])*H$1203)+G$1203,"")</f>
        <v/>
      </c>
      <c r="S643" s="122" t="str">
        <f>IF(Tab.o1[[#This Row],[a1]]=1,((Tab.o1[[#This Row],[MedMod]]-AVERAGE(Tab.o1[MedMod]))/_xlfn.STDEV.P(Tab.o1[MedMod])*H$1204)+G$1204,"")</f>
        <v/>
      </c>
      <c r="T643" s="123" t="str">
        <f>IF(Tab.o1[[#This Row],[a1]]=1,Tab.o1[[#This Row],[Z-]]*_xlfn.STDEV.P(Tab.o1[B])+AVERAGE(Tab.o1[B]),"")</f>
        <v/>
      </c>
      <c r="U643" s="123" t="str">
        <f>IF(Tab.o1[[#This Row],[a1]]=1,Tab.o1[[#This Row],[z+]]*_xlfn.STDEV.P(Tab.o1[B])+AVERAGE(Tab.o1[B]),"")</f>
        <v/>
      </c>
      <c r="V643" s="124" t="str">
        <f>IF(Tab.o1[[#This Row],[a1]]=1,ABS((ABS(Tab.o1[[#This Row],[Red]]-Tab.o1[[#This Row],[Blue]]))),"")</f>
        <v/>
      </c>
      <c r="W643" s="125" t="str">
        <f>IF(Tab.o1[[#This Row],[a1]]=1,IF(W$3=0,1,Tab.o1[[#This Row],[Amp.]]*1/_xlfn.MINIFS(Tab.o1[Amp.],Tab.o1[Amp.],"&lt;&gt;0")),"")</f>
        <v/>
      </c>
      <c r="X643" s="126" t="str">
        <f>IF(Tab.o1[[#This Row],[a1]]=1,IF(ISNUMBER(Tab.o1[[#This Row],[i.]]),NORMDIST(Tab.o1[[#This Row],[Za]],0,1,FALSE)*Tab.o1[[#This Row],[i.]],AP$3),"")</f>
        <v/>
      </c>
      <c r="Y643" s="126" t="str">
        <f>IF(Tab.o1[[#This Row],[a1]]=1,0.01+0.94*Tab.o1[[#This Row],[PDF]]/MAX(Tab.o1[PDF]),"")</f>
        <v/>
      </c>
      <c r="Z643" s="126" t="str">
        <f>IF(Tab.o1[[#This Row],[a1]]=1,0.01+0.94*Tab.o1[[#This Row],[W1_PDF]]/MAX(Tab.o1[W1_PDF]),"")</f>
        <v/>
      </c>
      <c r="AA643" s="118" t="str">
        <f>IF(Tab.o1[[#This Row],[a1]]=1,ABS([1]!T.in.A[[#This Row],[oo6]]),"")</f>
        <v/>
      </c>
      <c r="AB643" s="127" t="str">
        <f>IF(Tab.o1[[#This Row],[a1]]=1,IF(AE$3=0,"",IF(AB$3=0,ABS([1]!T.in.A[[#This Row],[oo9]]),ABS(Tab.o1[[#This Row],[DIF_Target.]]*Tab.o1[[#This Row],[W1_PDF]]))),"")</f>
        <v/>
      </c>
      <c r="AC643" s="127" t="str">
        <f>IF(G$1=1,"",IF(Tab.o1[[#This Row],[a1]]=1,Tab.o1[[#This Row],[Wr]]^2,""))</f>
        <v/>
      </c>
      <c r="AD643" s="118" t="str">
        <f>IF(Tab.o1[[#This Row],[a1]]=1,IF(AE$3=0,"",Tab.o1[[#This Row],[Wr2]]/SUM(Tab.o1[Wr2])),"")</f>
        <v/>
      </c>
      <c r="AE643" s="128" t="str">
        <f>IF(Tab.o1[[#This Row],[a1]]=1,[1]!T.in.A[[#This Row],[oo10]],"")</f>
        <v/>
      </c>
      <c r="AF643" s="118" t="str">
        <f>IF(Tab.o1[[#This Row],[a1]]=1,ABS(Tab.o1[[#This Row],[DIF_Target.]]*Tab.o1[[#This Row],[PDF2]]*Tab.o1[[#This Row],[IN]]),"")</f>
        <v/>
      </c>
      <c r="AG643" s="129" t="str">
        <f>IF(Tab.o1[[#This Row],[a1]]=1,Tab.o1[[#This Row],[rW]]^2,"")</f>
        <v/>
      </c>
      <c r="AH643" s="130" t="str">
        <f>IF(Tab.o1[[#This Row],[a1]]=1,IF(AH$3=0,Tab.o1[[#This Row],[rW2]],0.01+0.94*Tab.o1[[#This Row],[rW2]]/SUM(Tab.o1[rW2])),"")</f>
        <v/>
      </c>
      <c r="AI643" s="128" t="str">
        <f>IF(Tab.o1[[#This Row],[a1]]=1,1/Tab.o1[[#This Row],[PDF]],"")</f>
        <v/>
      </c>
      <c r="AJ643" s="131" t="str">
        <f>IF(Tab.o1[[#This Row],[a1]]=1,[1]!T_AA[[#This Row],[IN'']]*[1]!T_AA[[#This Row],[Qde'']],"")</f>
        <v/>
      </c>
      <c r="AK643" s="132" t="str">
        <f>IF(Tab.o1[[#This Row],[a1]]=1,IF(AK$1=1,Tab.o1[[#This Row],[MED]]+Tab.o1[[#This Row],[MOD]]-Tab.o1[[#This Row],[MED]],""),"")</f>
        <v/>
      </c>
      <c r="AL643" s="133" t="str">
        <f>IF(Tab.o1[[#This Row],[a1]]=1,[1]!T.in.A[[#This Row],[oo16]],"")</f>
        <v/>
      </c>
      <c r="AM643" s="133" t="str">
        <f>IF(Tab.o1[[#This Row],[a1]]=1,IF(AM$3=1,[1]!T.in.A[[#This Row],[Σo16]],""),"")</f>
        <v/>
      </c>
      <c r="AN643" s="126" t="str">
        <f>IF(Tab.o1[[#This Row],[a1]]=1,[1]!T.in.A[[#This Row],[Σp5]],"")</f>
        <v/>
      </c>
      <c r="AO643" s="126" t="str">
        <f>IF(Tab.o1[[#This Row],[a1]]=1,IF(AO$3=1,[1]!T.in.A[[#This Row],[Σp5]],""),"")</f>
        <v/>
      </c>
      <c r="AP643" s="110" t="str">
        <f>IF(Tab.o1[[#This Row],[a1]]=1,IF(ISNUMBER(Tab.o1[[#This Row],[i.]]),NORMDIST(Tab.o1[[#This Row],[Za]],0,1,FALSE)*Tab.o1[[#This Row],[i.]],0),"")</f>
        <v/>
      </c>
      <c r="AQ643" s="125" t="str">
        <f>IF(Tab.o1[[#This Row],[a1]]=1,ABS(Tab.o1[[#This Row],[MOD]]-AVERAGE(Tab.o1[MOD])),"")</f>
        <v/>
      </c>
      <c r="AR643" s="134" t="str">
        <f>IF(Tab.o1[[#This Row],[a1]]=1,Tab.o1[[#This Row],[OBS]]/SUM(Tab.o1[OBS]),"")</f>
        <v/>
      </c>
      <c r="AS643" s="135" t="str">
        <f>IF(ISNUMBER(Tab.o1[[#This Row],[a1]]),ROW()-4,"")</f>
        <v/>
      </c>
      <c r="AT643" s="136" t="str">
        <f>Tab.o1[[#This Row],[MOD]]</f>
        <v/>
      </c>
      <c r="AU643" s="137" t="str">
        <f t="shared" si="37"/>
        <v/>
      </c>
      <c r="AV643" s="138" t="str">
        <f t="shared" si="38"/>
        <v/>
      </c>
      <c r="AW643" s="138" t="str">
        <f t="shared" si="39"/>
        <v/>
      </c>
      <c r="AX643" s="139" t="str">
        <f>[1]!T.in.A[[#This Row],[ID_T_manu]]</f>
        <v/>
      </c>
      <c r="AY643" s="140" t="str">
        <f>IF(ISNUMBER(Tab.o1[[#This Row],[a1]]),IF(AND(Tab.o1[[#This Row],[a1]]=1,Tab.o1[[#This Row],[b1]]&lt;=AY$4),#REF!,AY642),"")</f>
        <v/>
      </c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</row>
    <row r="644" spans="1:79" s="143" customFormat="1" ht="15.75" hidden="1">
      <c r="A644" s="109">
        <v>-1.0000000000000002E-6</v>
      </c>
      <c r="B644" s="110">
        <f t="shared" si="36"/>
        <v>644</v>
      </c>
      <c r="C644" s="111" t="str">
        <f>IF(C$1=[1]!T.in.A[[#This Row],[oo2]],1,"")</f>
        <v/>
      </c>
      <c r="D644" s="112" t="str">
        <f>IF(Tab.o1[[#This Row],[a1]]=1,IF(SUM(C644:C645)=0,0,IF(SUM(C643:C644)=1,1,IF(SUM(C643:C645)&gt;1,D643+1,0))),"")</f>
        <v/>
      </c>
      <c r="E644" s="113" t="str">
        <f>IF(Tab.o1[[#This Row],[a1]]=1,[1]!T.in.A[[#This Row],[oo1]],"")</f>
        <v/>
      </c>
      <c r="F644" s="113" t="str">
        <f>IF(Tab.o1[[#This Row],[a1]]=1,[1]!T.in.A[[#This Row],[pp1]],"")</f>
        <v/>
      </c>
      <c r="G644" s="114" t="str">
        <f>IF(Tab.o1[[#This Row],[a1]]=1,G$2+IF(G$1=1,0,Tab.o1[[#This Row],[.x1]])+[1]!T.in.A[[#This Row],[oo3]],"")</f>
        <v/>
      </c>
      <c r="H644" s="115" t="str">
        <f>IF(Tab.o1[[#This Row],[a1]]=1,IF(H$2=0,0,IF(G$1=1,0,Tab.o1[[#This Row],[.x1]])+[1]!T.in.A[[#This Row],[oo4]]),"")</f>
        <v/>
      </c>
      <c r="I644" s="116" t="str">
        <f>IF(Tab.o1[[#This Row],[a1]]=1,IF(J$2=0,Tab.o1[[#This Row],[MED]],Tab.o1[[#This Row],[MOD]]),"")</f>
        <v/>
      </c>
      <c r="J644" s="116" t="str">
        <f>IF(Tab.o1[[#This Row],[a1]]=1,((Tab.o1[[#This Row],[DIF_Target.]]-AVERAGE(Tab.o1[DIF_Target.]))/_xlfn.STDEV.P(Tab.o1[DIF_Target.])),"")</f>
        <v/>
      </c>
      <c r="K644" s="117" t="str">
        <f>IF(Tab.o1[[#This Row],[a1]]=1,IF(J$2=0,Tab.o1[[#This Row],[MOD]]-Tab.o1[[#This Row],[B]],IF(J$2=1,0,-Tab.o1[[#This Row],[MED]])+Tab.o1[[#This Row],[B]]),"")</f>
        <v/>
      </c>
      <c r="L644" s="117" t="str">
        <f ca="1">IF(Tab.o1[[#This Row],[DIF_Target]]=0,IF(L$2=0,Tab.o1[[#This Row],[DIF_Target]],AVERAGE(OFFSET(Tab.o1[[#This Row],[DIF_Target]],1,0,L$3,1)))/3,Tab.o1[[#This Row],[DIF_Target]])</f>
        <v/>
      </c>
      <c r="M644" s="118" t="str">
        <f>IF(Tab.o1[[#This Row],[a1]]=1,NORMSDIST(Tab.o1[[#This Row],[Za]]),"")</f>
        <v/>
      </c>
      <c r="N644" s="119" t="str">
        <f>IF(Tab.o1[[#This Row],[a1]]=1,((Tab.o1[[#This Row],[MedMod]]-AVERAGE(Tab.o1[MedMod]))/_xlfn.STDEV.P(Tab.o1[MedMod])*H$1205)+G$1205,"")</f>
        <v/>
      </c>
      <c r="O644" s="141" t="str">
        <f>IF(Tab.o1[[#This Row],[a1]]=1,Tab.o1[[#This Row],[Zb]]*_xlfn.STDEV.P(Tab.o1[MedMod])+AVERAGE(Tab.o1[MedMod]),"")</f>
        <v/>
      </c>
      <c r="P644" s="117" t="str">
        <f ca="1">IF(Tab.o1[[#This Row],[B]]=0,AVERAGE(OFFSET(Tab.o1[[#This Row],[B]],1,0,L$3,1)),Tab.o1[[#This Row],[B]])</f>
        <v/>
      </c>
      <c r="Q644" s="121" t="str">
        <f>IF(Tab.o1[[#This Row],[a1]]=1,NORMSDIST(Tab.o1[[#This Row],[Zb]]),"")</f>
        <v/>
      </c>
      <c r="R644" s="122" t="str">
        <f>IF(Tab.o1[[#This Row],[a1]]=1,((Tab.o1[[#This Row],[MedMod]]-AVERAGE(Tab.o1[MedMod]))/_xlfn.STDEV.P(Tab.o1[MedMod])*H$1203)+G$1203,"")</f>
        <v/>
      </c>
      <c r="S644" s="122" t="str">
        <f>IF(Tab.o1[[#This Row],[a1]]=1,((Tab.o1[[#This Row],[MedMod]]-AVERAGE(Tab.o1[MedMod]))/_xlfn.STDEV.P(Tab.o1[MedMod])*H$1204)+G$1204,"")</f>
        <v/>
      </c>
      <c r="T644" s="123" t="str">
        <f>IF(Tab.o1[[#This Row],[a1]]=1,Tab.o1[[#This Row],[Z-]]*_xlfn.STDEV.P(Tab.o1[B])+AVERAGE(Tab.o1[B]),"")</f>
        <v/>
      </c>
      <c r="U644" s="123" t="str">
        <f>IF(Tab.o1[[#This Row],[a1]]=1,Tab.o1[[#This Row],[z+]]*_xlfn.STDEV.P(Tab.o1[B])+AVERAGE(Tab.o1[B]),"")</f>
        <v/>
      </c>
      <c r="V644" s="124" t="str">
        <f>IF(Tab.o1[[#This Row],[a1]]=1,ABS((ABS(Tab.o1[[#This Row],[Red]]-Tab.o1[[#This Row],[Blue]]))),"")</f>
        <v/>
      </c>
      <c r="W644" s="125" t="str">
        <f>IF(Tab.o1[[#This Row],[a1]]=1,IF(W$3=0,1,Tab.o1[[#This Row],[Amp.]]*1/_xlfn.MINIFS(Tab.o1[Amp.],Tab.o1[Amp.],"&lt;&gt;0")),"")</f>
        <v/>
      </c>
      <c r="X644" s="126" t="str">
        <f>IF(Tab.o1[[#This Row],[a1]]=1,IF(ISNUMBER(Tab.o1[[#This Row],[i.]]),NORMDIST(Tab.o1[[#This Row],[Za]],0,1,FALSE)*Tab.o1[[#This Row],[i.]],AP$3),"")</f>
        <v/>
      </c>
      <c r="Y644" s="126" t="str">
        <f>IF(Tab.o1[[#This Row],[a1]]=1,0.01+0.94*Tab.o1[[#This Row],[PDF]]/MAX(Tab.o1[PDF]),"")</f>
        <v/>
      </c>
      <c r="Z644" s="126" t="str">
        <f>IF(Tab.o1[[#This Row],[a1]]=1,0.01+0.94*Tab.o1[[#This Row],[W1_PDF]]/MAX(Tab.o1[W1_PDF]),"")</f>
        <v/>
      </c>
      <c r="AA644" s="118" t="str">
        <f>IF(Tab.o1[[#This Row],[a1]]=1,ABS([1]!T.in.A[[#This Row],[oo6]]),"")</f>
        <v/>
      </c>
      <c r="AB644" s="127" t="str">
        <f>IF(Tab.o1[[#This Row],[a1]]=1,IF(AE$3=0,"",IF(AB$3=0,ABS([1]!T.in.A[[#This Row],[oo9]]),ABS(Tab.o1[[#This Row],[DIF_Target.]]*Tab.o1[[#This Row],[W1_PDF]]))),"")</f>
        <v/>
      </c>
      <c r="AC644" s="127" t="str">
        <f>IF(G$1=1,"",IF(Tab.o1[[#This Row],[a1]]=1,Tab.o1[[#This Row],[Wr]]^2,""))</f>
        <v/>
      </c>
      <c r="AD644" s="118" t="str">
        <f>IF(Tab.o1[[#This Row],[a1]]=1,IF(AE$3=0,"",Tab.o1[[#This Row],[Wr2]]/SUM(Tab.o1[Wr2])),"")</f>
        <v/>
      </c>
      <c r="AE644" s="128" t="str">
        <f>IF(Tab.o1[[#This Row],[a1]]=1,[1]!T.in.A[[#This Row],[oo10]],"")</f>
        <v/>
      </c>
      <c r="AF644" s="118" t="str">
        <f>IF(Tab.o1[[#This Row],[a1]]=1,ABS(Tab.o1[[#This Row],[DIF_Target.]]*Tab.o1[[#This Row],[PDF2]]*Tab.o1[[#This Row],[IN]]),"")</f>
        <v/>
      </c>
      <c r="AG644" s="129" t="str">
        <f>IF(Tab.o1[[#This Row],[a1]]=1,Tab.o1[[#This Row],[rW]]^2,"")</f>
        <v/>
      </c>
      <c r="AH644" s="130" t="str">
        <f>IF(Tab.o1[[#This Row],[a1]]=1,IF(AH$3=0,Tab.o1[[#This Row],[rW2]],0.01+0.94*Tab.o1[[#This Row],[rW2]]/SUM(Tab.o1[rW2])),"")</f>
        <v/>
      </c>
      <c r="AI644" s="128" t="str">
        <f>IF(Tab.o1[[#This Row],[a1]]=1,1/Tab.o1[[#This Row],[PDF]],"")</f>
        <v/>
      </c>
      <c r="AJ644" s="131" t="str">
        <f>IF(Tab.o1[[#This Row],[a1]]=1,[1]!T_AA[[#This Row],[IN'']]*[1]!T_AA[[#This Row],[Qde'']],"")</f>
        <v/>
      </c>
      <c r="AK644" s="132" t="str">
        <f>IF(Tab.o1[[#This Row],[a1]]=1,IF(AK$1=1,Tab.o1[[#This Row],[MED]]+Tab.o1[[#This Row],[MOD]]-Tab.o1[[#This Row],[MED]],""),"")</f>
        <v/>
      </c>
      <c r="AL644" s="133" t="str">
        <f>IF(Tab.o1[[#This Row],[a1]]=1,[1]!T.in.A[[#This Row],[oo16]],"")</f>
        <v/>
      </c>
      <c r="AM644" s="133" t="str">
        <f>IF(Tab.o1[[#This Row],[a1]]=1,IF(AM$3=1,[1]!T.in.A[[#This Row],[Σo16]],""),"")</f>
        <v/>
      </c>
      <c r="AN644" s="126" t="str">
        <f>IF(Tab.o1[[#This Row],[a1]]=1,[1]!T.in.A[[#This Row],[Σp5]],"")</f>
        <v/>
      </c>
      <c r="AO644" s="126" t="str">
        <f>IF(Tab.o1[[#This Row],[a1]]=1,IF(AO$3=1,[1]!T.in.A[[#This Row],[Σp5]],""),"")</f>
        <v/>
      </c>
      <c r="AP644" s="110" t="str">
        <f>IF(Tab.o1[[#This Row],[a1]]=1,IF(ISNUMBER(Tab.o1[[#This Row],[i.]]),NORMDIST(Tab.o1[[#This Row],[Za]],0,1,FALSE)*Tab.o1[[#This Row],[i.]],0),"")</f>
        <v/>
      </c>
      <c r="AQ644" s="125" t="str">
        <f>IF(Tab.o1[[#This Row],[a1]]=1,ABS(Tab.o1[[#This Row],[MOD]]-AVERAGE(Tab.o1[MOD])),"")</f>
        <v/>
      </c>
      <c r="AR644" s="134" t="str">
        <f>IF(Tab.o1[[#This Row],[a1]]=1,Tab.o1[[#This Row],[OBS]]/SUM(Tab.o1[OBS]),"")</f>
        <v/>
      </c>
      <c r="AS644" s="135" t="str">
        <f>IF(ISNUMBER(Tab.o1[[#This Row],[a1]]),ROW()-4,"")</f>
        <v/>
      </c>
      <c r="AT644" s="136" t="str">
        <f>Tab.o1[[#This Row],[MOD]]</f>
        <v/>
      </c>
      <c r="AU644" s="137" t="str">
        <f t="shared" si="37"/>
        <v/>
      </c>
      <c r="AV644" s="138" t="str">
        <f t="shared" si="38"/>
        <v/>
      </c>
      <c r="AW644" s="138" t="str">
        <f t="shared" si="39"/>
        <v/>
      </c>
      <c r="AX644" s="139" t="str">
        <f>[1]!T.in.A[[#This Row],[ID_T_manu]]</f>
        <v/>
      </c>
      <c r="AY644" s="140" t="str">
        <f>IF(ISNUMBER(Tab.o1[[#This Row],[a1]]),IF(AND(Tab.o1[[#This Row],[a1]]=1,Tab.o1[[#This Row],[b1]]&lt;=AY$4),#REF!,AY643),"")</f>
        <v/>
      </c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</row>
    <row r="645" spans="1:79" s="143" customFormat="1" ht="15.75" hidden="1">
      <c r="A645" s="109">
        <v>5.0000000000000004E-6</v>
      </c>
      <c r="B645" s="110">
        <f t="shared" si="36"/>
        <v>645</v>
      </c>
      <c r="C645" s="111" t="str">
        <f>IF(C$1=[1]!T.in.A[[#This Row],[oo2]],1,"")</f>
        <v/>
      </c>
      <c r="D645" s="112" t="str">
        <f>IF(Tab.o1[[#This Row],[a1]]=1,IF(SUM(C645:C646)=0,0,IF(SUM(C644:C645)=1,1,IF(SUM(C644:C646)&gt;1,D644+1,0))),"")</f>
        <v/>
      </c>
      <c r="E645" s="113" t="str">
        <f>IF(Tab.o1[[#This Row],[a1]]=1,[1]!T.in.A[[#This Row],[oo1]],"")</f>
        <v/>
      </c>
      <c r="F645" s="113" t="str">
        <f>IF(Tab.o1[[#This Row],[a1]]=1,[1]!T.in.A[[#This Row],[pp1]],"")</f>
        <v/>
      </c>
      <c r="G645" s="114" t="str">
        <f>IF(Tab.o1[[#This Row],[a1]]=1,G$2+IF(G$1=1,0,Tab.o1[[#This Row],[.x1]])+[1]!T.in.A[[#This Row],[oo3]],"")</f>
        <v/>
      </c>
      <c r="H645" s="115" t="str">
        <f>IF(Tab.o1[[#This Row],[a1]]=1,IF(H$2=0,0,IF(G$1=1,0,Tab.o1[[#This Row],[.x1]])+[1]!T.in.A[[#This Row],[oo4]]),"")</f>
        <v/>
      </c>
      <c r="I645" s="116" t="str">
        <f>IF(Tab.o1[[#This Row],[a1]]=1,IF(J$2=0,Tab.o1[[#This Row],[MED]],Tab.o1[[#This Row],[MOD]]),"")</f>
        <v/>
      </c>
      <c r="J645" s="116" t="str">
        <f>IF(Tab.o1[[#This Row],[a1]]=1,((Tab.o1[[#This Row],[DIF_Target.]]-AVERAGE(Tab.o1[DIF_Target.]))/_xlfn.STDEV.P(Tab.o1[DIF_Target.])),"")</f>
        <v/>
      </c>
      <c r="K645" s="117" t="str">
        <f>IF(Tab.o1[[#This Row],[a1]]=1,IF(J$2=0,Tab.o1[[#This Row],[MOD]]-Tab.o1[[#This Row],[B]],IF(J$2=1,0,-Tab.o1[[#This Row],[MED]])+Tab.o1[[#This Row],[B]]),"")</f>
        <v/>
      </c>
      <c r="L645" s="117" t="str">
        <f ca="1">IF(Tab.o1[[#This Row],[DIF_Target]]=0,IF(L$2=0,Tab.o1[[#This Row],[DIF_Target]],AVERAGE(OFFSET(Tab.o1[[#This Row],[DIF_Target]],1,0,L$3,1)))/3,Tab.o1[[#This Row],[DIF_Target]])</f>
        <v/>
      </c>
      <c r="M645" s="118" t="str">
        <f>IF(Tab.o1[[#This Row],[a1]]=1,NORMSDIST(Tab.o1[[#This Row],[Za]]),"")</f>
        <v/>
      </c>
      <c r="N645" s="119" t="str">
        <f>IF(Tab.o1[[#This Row],[a1]]=1,((Tab.o1[[#This Row],[MedMod]]-AVERAGE(Tab.o1[MedMod]))/_xlfn.STDEV.P(Tab.o1[MedMod])*H$1205)+G$1205,"")</f>
        <v/>
      </c>
      <c r="O645" s="141" t="str">
        <f>IF(Tab.o1[[#This Row],[a1]]=1,Tab.o1[[#This Row],[Zb]]*_xlfn.STDEV.P(Tab.o1[MedMod])+AVERAGE(Tab.o1[MedMod]),"")</f>
        <v/>
      </c>
      <c r="P645" s="117" t="str">
        <f ca="1">IF(Tab.o1[[#This Row],[B]]=0,AVERAGE(OFFSET(Tab.o1[[#This Row],[B]],1,0,L$3,1)),Tab.o1[[#This Row],[B]])</f>
        <v/>
      </c>
      <c r="Q645" s="121" t="str">
        <f>IF(Tab.o1[[#This Row],[a1]]=1,NORMSDIST(Tab.o1[[#This Row],[Zb]]),"")</f>
        <v/>
      </c>
      <c r="R645" s="122" t="str">
        <f>IF(Tab.o1[[#This Row],[a1]]=1,((Tab.o1[[#This Row],[MedMod]]-AVERAGE(Tab.o1[MedMod]))/_xlfn.STDEV.P(Tab.o1[MedMod])*H$1203)+G$1203,"")</f>
        <v/>
      </c>
      <c r="S645" s="122" t="str">
        <f>IF(Tab.o1[[#This Row],[a1]]=1,((Tab.o1[[#This Row],[MedMod]]-AVERAGE(Tab.o1[MedMod]))/_xlfn.STDEV.P(Tab.o1[MedMod])*H$1204)+G$1204,"")</f>
        <v/>
      </c>
      <c r="T645" s="123" t="str">
        <f>IF(Tab.o1[[#This Row],[a1]]=1,Tab.o1[[#This Row],[Z-]]*_xlfn.STDEV.P(Tab.o1[B])+AVERAGE(Tab.o1[B]),"")</f>
        <v/>
      </c>
      <c r="U645" s="123" t="str">
        <f>IF(Tab.o1[[#This Row],[a1]]=1,Tab.o1[[#This Row],[z+]]*_xlfn.STDEV.P(Tab.o1[B])+AVERAGE(Tab.o1[B]),"")</f>
        <v/>
      </c>
      <c r="V645" s="124" t="str">
        <f>IF(Tab.o1[[#This Row],[a1]]=1,ABS((ABS(Tab.o1[[#This Row],[Red]]-Tab.o1[[#This Row],[Blue]]))),"")</f>
        <v/>
      </c>
      <c r="W645" s="125" t="str">
        <f>IF(Tab.o1[[#This Row],[a1]]=1,IF(W$3=0,1,Tab.o1[[#This Row],[Amp.]]*1/_xlfn.MINIFS(Tab.o1[Amp.],Tab.o1[Amp.],"&lt;&gt;0")),"")</f>
        <v/>
      </c>
      <c r="X645" s="126" t="str">
        <f>IF(Tab.o1[[#This Row],[a1]]=1,IF(ISNUMBER(Tab.o1[[#This Row],[i.]]),NORMDIST(Tab.o1[[#This Row],[Za]],0,1,FALSE)*Tab.o1[[#This Row],[i.]],AP$3),"")</f>
        <v/>
      </c>
      <c r="Y645" s="126" t="str">
        <f>IF(Tab.o1[[#This Row],[a1]]=1,0.01+0.94*Tab.o1[[#This Row],[PDF]]/MAX(Tab.o1[PDF]),"")</f>
        <v/>
      </c>
      <c r="Z645" s="126" t="str">
        <f>IF(Tab.o1[[#This Row],[a1]]=1,0.01+0.94*Tab.o1[[#This Row],[W1_PDF]]/MAX(Tab.o1[W1_PDF]),"")</f>
        <v/>
      </c>
      <c r="AA645" s="118" t="str">
        <f>IF(Tab.o1[[#This Row],[a1]]=1,ABS([1]!T.in.A[[#This Row],[oo6]]),"")</f>
        <v/>
      </c>
      <c r="AB645" s="127" t="str">
        <f>IF(Tab.o1[[#This Row],[a1]]=1,IF(AE$3=0,"",IF(AB$3=0,ABS([1]!T.in.A[[#This Row],[oo9]]),ABS(Tab.o1[[#This Row],[DIF_Target.]]*Tab.o1[[#This Row],[W1_PDF]]))),"")</f>
        <v/>
      </c>
      <c r="AC645" s="127" t="str">
        <f>IF(G$1=1,"",IF(Tab.o1[[#This Row],[a1]]=1,Tab.o1[[#This Row],[Wr]]^2,""))</f>
        <v/>
      </c>
      <c r="AD645" s="118" t="str">
        <f>IF(Tab.o1[[#This Row],[a1]]=1,IF(AE$3=0,"",Tab.o1[[#This Row],[Wr2]]/SUM(Tab.o1[Wr2])),"")</f>
        <v/>
      </c>
      <c r="AE645" s="128" t="str">
        <f>IF(Tab.o1[[#This Row],[a1]]=1,[1]!T.in.A[[#This Row],[oo10]],"")</f>
        <v/>
      </c>
      <c r="AF645" s="118" t="str">
        <f>IF(Tab.o1[[#This Row],[a1]]=1,ABS(Tab.o1[[#This Row],[DIF_Target.]]*Tab.o1[[#This Row],[PDF2]]*Tab.o1[[#This Row],[IN]]),"")</f>
        <v/>
      </c>
      <c r="AG645" s="129" t="str">
        <f>IF(Tab.o1[[#This Row],[a1]]=1,Tab.o1[[#This Row],[rW]]^2,"")</f>
        <v/>
      </c>
      <c r="AH645" s="130" t="str">
        <f>IF(Tab.o1[[#This Row],[a1]]=1,IF(AH$3=0,Tab.o1[[#This Row],[rW2]],0.01+0.94*Tab.o1[[#This Row],[rW2]]/SUM(Tab.o1[rW2])),"")</f>
        <v/>
      </c>
      <c r="AI645" s="128" t="str">
        <f>IF(Tab.o1[[#This Row],[a1]]=1,1/Tab.o1[[#This Row],[PDF]],"")</f>
        <v/>
      </c>
      <c r="AJ645" s="131" t="str">
        <f>IF(Tab.o1[[#This Row],[a1]]=1,[1]!T_AA[[#This Row],[IN'']]*[1]!T_AA[[#This Row],[Qde'']],"")</f>
        <v/>
      </c>
      <c r="AK645" s="132" t="str">
        <f>IF(Tab.o1[[#This Row],[a1]]=1,IF(AK$1=1,Tab.o1[[#This Row],[MED]]+Tab.o1[[#This Row],[MOD]]-Tab.o1[[#This Row],[MED]],""),"")</f>
        <v/>
      </c>
      <c r="AL645" s="133" t="str">
        <f>IF(Tab.o1[[#This Row],[a1]]=1,[1]!T.in.A[[#This Row],[oo16]],"")</f>
        <v/>
      </c>
      <c r="AM645" s="133" t="str">
        <f>IF(Tab.o1[[#This Row],[a1]]=1,IF(AM$3=1,[1]!T.in.A[[#This Row],[Σo16]],""),"")</f>
        <v/>
      </c>
      <c r="AN645" s="126" t="str">
        <f>IF(Tab.o1[[#This Row],[a1]]=1,[1]!T.in.A[[#This Row],[Σp5]],"")</f>
        <v/>
      </c>
      <c r="AO645" s="126" t="str">
        <f>IF(Tab.o1[[#This Row],[a1]]=1,IF(AO$3=1,[1]!T.in.A[[#This Row],[Σp5]],""),"")</f>
        <v/>
      </c>
      <c r="AP645" s="110" t="str">
        <f>IF(Tab.o1[[#This Row],[a1]]=1,IF(ISNUMBER(Tab.o1[[#This Row],[i.]]),NORMDIST(Tab.o1[[#This Row],[Za]],0,1,FALSE)*Tab.o1[[#This Row],[i.]],0),"")</f>
        <v/>
      </c>
      <c r="AQ645" s="125" t="str">
        <f>IF(Tab.o1[[#This Row],[a1]]=1,ABS(Tab.o1[[#This Row],[MOD]]-AVERAGE(Tab.o1[MOD])),"")</f>
        <v/>
      </c>
      <c r="AR645" s="134" t="str">
        <f>IF(Tab.o1[[#This Row],[a1]]=1,Tab.o1[[#This Row],[OBS]]/SUM(Tab.o1[OBS]),"")</f>
        <v/>
      </c>
      <c r="AS645" s="135" t="str">
        <f>IF(ISNUMBER(Tab.o1[[#This Row],[a1]]),ROW()-4,"")</f>
        <v/>
      </c>
      <c r="AT645" s="136" t="str">
        <f>Tab.o1[[#This Row],[MOD]]</f>
        <v/>
      </c>
      <c r="AU645" s="137" t="str">
        <f t="shared" si="37"/>
        <v/>
      </c>
      <c r="AV645" s="138" t="str">
        <f t="shared" si="38"/>
        <v/>
      </c>
      <c r="AW645" s="138" t="str">
        <f t="shared" si="39"/>
        <v/>
      </c>
      <c r="AX645" s="139" t="str">
        <f>[1]!T.in.A[[#This Row],[ID_T_manu]]</f>
        <v/>
      </c>
      <c r="AY645" s="140" t="str">
        <f>IF(ISNUMBER(Tab.o1[[#This Row],[a1]]),IF(AND(Tab.o1[[#This Row],[a1]]=1,Tab.o1[[#This Row],[b1]]&lt;=AY$4),#REF!,AY644),"")</f>
        <v/>
      </c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</row>
    <row r="646" spans="1:79" s="143" customFormat="1" ht="15.75" hidden="1">
      <c r="A646" s="109">
        <v>-2.0000000000000003E-6</v>
      </c>
      <c r="B646" s="110">
        <f t="shared" ref="B646:B709" si="40">B645+1</f>
        <v>646</v>
      </c>
      <c r="C646" s="111" t="str">
        <f>IF(C$1=[1]!T.in.A[[#This Row],[oo2]],1,"")</f>
        <v/>
      </c>
      <c r="D646" s="112" t="str">
        <f>IF(Tab.o1[[#This Row],[a1]]=1,IF(SUM(C646:C647)=0,0,IF(SUM(C645:C646)=1,1,IF(SUM(C645:C647)&gt;1,D645+1,0))),"")</f>
        <v/>
      </c>
      <c r="E646" s="113" t="str">
        <f>IF(Tab.o1[[#This Row],[a1]]=1,[1]!T.in.A[[#This Row],[oo1]],"")</f>
        <v/>
      </c>
      <c r="F646" s="113" t="str">
        <f>IF(Tab.o1[[#This Row],[a1]]=1,[1]!T.in.A[[#This Row],[pp1]],"")</f>
        <v/>
      </c>
      <c r="G646" s="114" t="str">
        <f>IF(Tab.o1[[#This Row],[a1]]=1,G$2+IF(G$1=1,0,Tab.o1[[#This Row],[.x1]])+[1]!T.in.A[[#This Row],[oo3]],"")</f>
        <v/>
      </c>
      <c r="H646" s="115" t="str">
        <f>IF(Tab.o1[[#This Row],[a1]]=1,IF(H$2=0,0,IF(G$1=1,0,Tab.o1[[#This Row],[.x1]])+[1]!T.in.A[[#This Row],[oo4]]),"")</f>
        <v/>
      </c>
      <c r="I646" s="116" t="str">
        <f>IF(Tab.o1[[#This Row],[a1]]=1,IF(J$2=0,Tab.o1[[#This Row],[MED]],Tab.o1[[#This Row],[MOD]]),"")</f>
        <v/>
      </c>
      <c r="J646" s="116" t="str">
        <f>IF(Tab.o1[[#This Row],[a1]]=1,((Tab.o1[[#This Row],[DIF_Target.]]-AVERAGE(Tab.o1[DIF_Target.]))/_xlfn.STDEV.P(Tab.o1[DIF_Target.])),"")</f>
        <v/>
      </c>
      <c r="K646" s="117" t="str">
        <f>IF(Tab.o1[[#This Row],[a1]]=1,IF(J$2=0,Tab.o1[[#This Row],[MOD]]-Tab.o1[[#This Row],[B]],IF(J$2=1,0,-Tab.o1[[#This Row],[MED]])+Tab.o1[[#This Row],[B]]),"")</f>
        <v/>
      </c>
      <c r="L646" s="117" t="str">
        <f ca="1">IF(Tab.o1[[#This Row],[DIF_Target]]=0,IF(L$2=0,Tab.o1[[#This Row],[DIF_Target]],AVERAGE(OFFSET(Tab.o1[[#This Row],[DIF_Target]],1,0,L$3,1)))/3,Tab.o1[[#This Row],[DIF_Target]])</f>
        <v/>
      </c>
      <c r="M646" s="118" t="str">
        <f>IF(Tab.o1[[#This Row],[a1]]=1,NORMSDIST(Tab.o1[[#This Row],[Za]]),"")</f>
        <v/>
      </c>
      <c r="N646" s="119" t="str">
        <f>IF(Tab.o1[[#This Row],[a1]]=1,((Tab.o1[[#This Row],[MedMod]]-AVERAGE(Tab.o1[MedMod]))/_xlfn.STDEV.P(Tab.o1[MedMod])*H$1205)+G$1205,"")</f>
        <v/>
      </c>
      <c r="O646" s="141" t="str">
        <f>IF(Tab.o1[[#This Row],[a1]]=1,Tab.o1[[#This Row],[Zb]]*_xlfn.STDEV.P(Tab.o1[MedMod])+AVERAGE(Tab.o1[MedMod]),"")</f>
        <v/>
      </c>
      <c r="P646" s="117" t="str">
        <f ca="1">IF(Tab.o1[[#This Row],[B]]=0,AVERAGE(OFFSET(Tab.o1[[#This Row],[B]],1,0,L$3,1)),Tab.o1[[#This Row],[B]])</f>
        <v/>
      </c>
      <c r="Q646" s="121" t="str">
        <f>IF(Tab.o1[[#This Row],[a1]]=1,NORMSDIST(Tab.o1[[#This Row],[Zb]]),"")</f>
        <v/>
      </c>
      <c r="R646" s="122" t="str">
        <f>IF(Tab.o1[[#This Row],[a1]]=1,((Tab.o1[[#This Row],[MedMod]]-AVERAGE(Tab.o1[MedMod]))/_xlfn.STDEV.P(Tab.o1[MedMod])*H$1203)+G$1203,"")</f>
        <v/>
      </c>
      <c r="S646" s="122" t="str">
        <f>IF(Tab.o1[[#This Row],[a1]]=1,((Tab.o1[[#This Row],[MedMod]]-AVERAGE(Tab.o1[MedMod]))/_xlfn.STDEV.P(Tab.o1[MedMod])*H$1204)+G$1204,"")</f>
        <v/>
      </c>
      <c r="T646" s="123" t="str">
        <f>IF(Tab.o1[[#This Row],[a1]]=1,Tab.o1[[#This Row],[Z-]]*_xlfn.STDEV.P(Tab.o1[B])+AVERAGE(Tab.o1[B]),"")</f>
        <v/>
      </c>
      <c r="U646" s="123" t="str">
        <f>IF(Tab.o1[[#This Row],[a1]]=1,Tab.o1[[#This Row],[z+]]*_xlfn.STDEV.P(Tab.o1[B])+AVERAGE(Tab.o1[B]),"")</f>
        <v/>
      </c>
      <c r="V646" s="124" t="str">
        <f>IF(Tab.o1[[#This Row],[a1]]=1,ABS((ABS(Tab.o1[[#This Row],[Red]]-Tab.o1[[#This Row],[Blue]]))),"")</f>
        <v/>
      </c>
      <c r="W646" s="125" t="str">
        <f>IF(Tab.o1[[#This Row],[a1]]=1,IF(W$3=0,1,Tab.o1[[#This Row],[Amp.]]*1/_xlfn.MINIFS(Tab.o1[Amp.],Tab.o1[Amp.],"&lt;&gt;0")),"")</f>
        <v/>
      </c>
      <c r="X646" s="126" t="str">
        <f>IF(Tab.o1[[#This Row],[a1]]=1,IF(ISNUMBER(Tab.o1[[#This Row],[i.]]),NORMDIST(Tab.o1[[#This Row],[Za]],0,1,FALSE)*Tab.o1[[#This Row],[i.]],AP$3),"")</f>
        <v/>
      </c>
      <c r="Y646" s="126" t="str">
        <f>IF(Tab.o1[[#This Row],[a1]]=1,0.01+0.94*Tab.o1[[#This Row],[PDF]]/MAX(Tab.o1[PDF]),"")</f>
        <v/>
      </c>
      <c r="Z646" s="126" t="str">
        <f>IF(Tab.o1[[#This Row],[a1]]=1,0.01+0.94*Tab.o1[[#This Row],[W1_PDF]]/MAX(Tab.o1[W1_PDF]),"")</f>
        <v/>
      </c>
      <c r="AA646" s="118" t="str">
        <f>IF(Tab.o1[[#This Row],[a1]]=1,ABS([1]!T.in.A[[#This Row],[oo6]]),"")</f>
        <v/>
      </c>
      <c r="AB646" s="127" t="str">
        <f>IF(Tab.o1[[#This Row],[a1]]=1,IF(AE$3=0,"",IF(AB$3=0,ABS([1]!T.in.A[[#This Row],[oo9]]),ABS(Tab.o1[[#This Row],[DIF_Target.]]*Tab.o1[[#This Row],[W1_PDF]]))),"")</f>
        <v/>
      </c>
      <c r="AC646" s="127" t="str">
        <f>IF(G$1=1,"",IF(Tab.o1[[#This Row],[a1]]=1,Tab.o1[[#This Row],[Wr]]^2,""))</f>
        <v/>
      </c>
      <c r="AD646" s="118" t="str">
        <f>IF(Tab.o1[[#This Row],[a1]]=1,IF(AE$3=0,"",Tab.o1[[#This Row],[Wr2]]/SUM(Tab.o1[Wr2])),"")</f>
        <v/>
      </c>
      <c r="AE646" s="128" t="str">
        <f>IF(Tab.o1[[#This Row],[a1]]=1,[1]!T.in.A[[#This Row],[oo10]],"")</f>
        <v/>
      </c>
      <c r="AF646" s="118" t="str">
        <f>IF(Tab.o1[[#This Row],[a1]]=1,ABS(Tab.o1[[#This Row],[DIF_Target.]]*Tab.o1[[#This Row],[PDF2]]*Tab.o1[[#This Row],[IN]]),"")</f>
        <v/>
      </c>
      <c r="AG646" s="129" t="str">
        <f>IF(Tab.o1[[#This Row],[a1]]=1,Tab.o1[[#This Row],[rW]]^2,"")</f>
        <v/>
      </c>
      <c r="AH646" s="130" t="str">
        <f>IF(Tab.o1[[#This Row],[a1]]=1,IF(AH$3=0,Tab.o1[[#This Row],[rW2]],0.01+0.94*Tab.o1[[#This Row],[rW2]]/SUM(Tab.o1[rW2])),"")</f>
        <v/>
      </c>
      <c r="AI646" s="128" t="str">
        <f>IF(Tab.o1[[#This Row],[a1]]=1,1/Tab.o1[[#This Row],[PDF]],"")</f>
        <v/>
      </c>
      <c r="AJ646" s="131" t="str">
        <f>IF(Tab.o1[[#This Row],[a1]]=1,[1]!T_AA[[#This Row],[IN'']]*[1]!T_AA[[#This Row],[Qde'']],"")</f>
        <v/>
      </c>
      <c r="AK646" s="132" t="str">
        <f>IF(Tab.o1[[#This Row],[a1]]=1,IF(AK$1=1,Tab.o1[[#This Row],[MED]]+Tab.o1[[#This Row],[MOD]]-Tab.o1[[#This Row],[MED]],""),"")</f>
        <v/>
      </c>
      <c r="AL646" s="133" t="str">
        <f>IF(Tab.o1[[#This Row],[a1]]=1,[1]!T.in.A[[#This Row],[oo16]],"")</f>
        <v/>
      </c>
      <c r="AM646" s="133" t="str">
        <f>IF(Tab.o1[[#This Row],[a1]]=1,IF(AM$3=1,[1]!T.in.A[[#This Row],[Σo16]],""),"")</f>
        <v/>
      </c>
      <c r="AN646" s="126" t="str">
        <f>IF(Tab.o1[[#This Row],[a1]]=1,[1]!T.in.A[[#This Row],[Σp5]],"")</f>
        <v/>
      </c>
      <c r="AO646" s="126" t="str">
        <f>IF(Tab.o1[[#This Row],[a1]]=1,IF(AO$3=1,[1]!T.in.A[[#This Row],[Σp5]],""),"")</f>
        <v/>
      </c>
      <c r="AP646" s="110" t="str">
        <f>IF(Tab.o1[[#This Row],[a1]]=1,IF(ISNUMBER(Tab.o1[[#This Row],[i.]]),NORMDIST(Tab.o1[[#This Row],[Za]],0,1,FALSE)*Tab.o1[[#This Row],[i.]],0),"")</f>
        <v/>
      </c>
      <c r="AQ646" s="125" t="str">
        <f>IF(Tab.o1[[#This Row],[a1]]=1,ABS(Tab.o1[[#This Row],[MOD]]-AVERAGE(Tab.o1[MOD])),"")</f>
        <v/>
      </c>
      <c r="AR646" s="134" t="str">
        <f>IF(Tab.o1[[#This Row],[a1]]=1,Tab.o1[[#This Row],[OBS]]/SUM(Tab.o1[OBS]),"")</f>
        <v/>
      </c>
      <c r="AS646" s="135" t="str">
        <f>IF(ISNUMBER(Tab.o1[[#This Row],[a1]]),ROW()-4,"")</f>
        <v/>
      </c>
      <c r="AT646" s="136" t="str">
        <f>Tab.o1[[#This Row],[MOD]]</f>
        <v/>
      </c>
      <c r="AU646" s="137" t="str">
        <f t="shared" ref="AU646:AU709" si="41">AT646</f>
        <v/>
      </c>
      <c r="AV646" s="138" t="str">
        <f t="shared" ref="AV646:AV709" si="42">IF(AND(ISNUMBER(AT646),ISNUMBER(AU646)),H646-AU646,"")</f>
        <v/>
      </c>
      <c r="AW646" s="138" t="str">
        <f t="shared" ref="AW646:AW709" si="43">IF(AW$4=0,"",IF(AV646&lt;AV$2,AV646," "))</f>
        <v/>
      </c>
      <c r="AX646" s="139" t="str">
        <f>[1]!T.in.A[[#This Row],[ID_T_manu]]</f>
        <v/>
      </c>
      <c r="AY646" s="140" t="str">
        <f>IF(ISNUMBER(Tab.o1[[#This Row],[a1]]),IF(AND(Tab.o1[[#This Row],[a1]]=1,Tab.o1[[#This Row],[b1]]&lt;=AY$4),#REF!,AY645),"")</f>
        <v/>
      </c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</row>
    <row r="647" spans="1:79" s="143" customFormat="1" ht="15.75" hidden="1">
      <c r="A647" s="109">
        <v>2.9999999999999997E-6</v>
      </c>
      <c r="B647" s="110">
        <f t="shared" si="40"/>
        <v>647</v>
      </c>
      <c r="C647" s="111" t="str">
        <f>IF(C$1=[1]!T.in.A[[#This Row],[oo2]],1,"")</f>
        <v/>
      </c>
      <c r="D647" s="112" t="str">
        <f>IF(Tab.o1[[#This Row],[a1]]=1,IF(SUM(C647:C648)=0,0,IF(SUM(C646:C647)=1,1,IF(SUM(C646:C648)&gt;1,D646+1,0))),"")</f>
        <v/>
      </c>
      <c r="E647" s="113" t="str">
        <f>IF(Tab.o1[[#This Row],[a1]]=1,[1]!T.in.A[[#This Row],[oo1]],"")</f>
        <v/>
      </c>
      <c r="F647" s="113" t="str">
        <f>IF(Tab.o1[[#This Row],[a1]]=1,[1]!T.in.A[[#This Row],[pp1]],"")</f>
        <v/>
      </c>
      <c r="G647" s="114" t="str">
        <f>IF(Tab.o1[[#This Row],[a1]]=1,G$2+IF(G$1=1,0,Tab.o1[[#This Row],[.x1]])+[1]!T.in.A[[#This Row],[oo3]],"")</f>
        <v/>
      </c>
      <c r="H647" s="115" t="str">
        <f>IF(Tab.o1[[#This Row],[a1]]=1,IF(H$2=0,0,IF(G$1=1,0,Tab.o1[[#This Row],[.x1]])+[1]!T.in.A[[#This Row],[oo4]]),"")</f>
        <v/>
      </c>
      <c r="I647" s="116" t="str">
        <f>IF(Tab.o1[[#This Row],[a1]]=1,IF(J$2=0,Tab.o1[[#This Row],[MED]],Tab.o1[[#This Row],[MOD]]),"")</f>
        <v/>
      </c>
      <c r="J647" s="116" t="str">
        <f>IF(Tab.o1[[#This Row],[a1]]=1,((Tab.o1[[#This Row],[DIF_Target.]]-AVERAGE(Tab.o1[DIF_Target.]))/_xlfn.STDEV.P(Tab.o1[DIF_Target.])),"")</f>
        <v/>
      </c>
      <c r="K647" s="117" t="str">
        <f>IF(Tab.o1[[#This Row],[a1]]=1,IF(J$2=0,Tab.o1[[#This Row],[MOD]]-Tab.o1[[#This Row],[B]],IF(J$2=1,0,-Tab.o1[[#This Row],[MED]])+Tab.o1[[#This Row],[B]]),"")</f>
        <v/>
      </c>
      <c r="L647" s="117" t="str">
        <f ca="1">IF(Tab.o1[[#This Row],[DIF_Target]]=0,IF(L$2=0,Tab.o1[[#This Row],[DIF_Target]],AVERAGE(OFFSET(Tab.o1[[#This Row],[DIF_Target]],1,0,L$3,1)))/3,Tab.o1[[#This Row],[DIF_Target]])</f>
        <v/>
      </c>
      <c r="M647" s="118" t="str">
        <f>IF(Tab.o1[[#This Row],[a1]]=1,NORMSDIST(Tab.o1[[#This Row],[Za]]),"")</f>
        <v/>
      </c>
      <c r="N647" s="119" t="str">
        <f>IF(Tab.o1[[#This Row],[a1]]=1,((Tab.o1[[#This Row],[MedMod]]-AVERAGE(Tab.o1[MedMod]))/_xlfn.STDEV.P(Tab.o1[MedMod])*H$1205)+G$1205,"")</f>
        <v/>
      </c>
      <c r="O647" s="141" t="str">
        <f>IF(Tab.o1[[#This Row],[a1]]=1,Tab.o1[[#This Row],[Zb]]*_xlfn.STDEV.P(Tab.o1[MedMod])+AVERAGE(Tab.o1[MedMod]),"")</f>
        <v/>
      </c>
      <c r="P647" s="117" t="str">
        <f ca="1">IF(Tab.o1[[#This Row],[B]]=0,AVERAGE(OFFSET(Tab.o1[[#This Row],[B]],1,0,L$3,1)),Tab.o1[[#This Row],[B]])</f>
        <v/>
      </c>
      <c r="Q647" s="121" t="str">
        <f>IF(Tab.o1[[#This Row],[a1]]=1,NORMSDIST(Tab.o1[[#This Row],[Zb]]),"")</f>
        <v/>
      </c>
      <c r="R647" s="122" t="str">
        <f>IF(Tab.o1[[#This Row],[a1]]=1,((Tab.o1[[#This Row],[MedMod]]-AVERAGE(Tab.o1[MedMod]))/_xlfn.STDEV.P(Tab.o1[MedMod])*H$1203)+G$1203,"")</f>
        <v/>
      </c>
      <c r="S647" s="122" t="str">
        <f>IF(Tab.o1[[#This Row],[a1]]=1,((Tab.o1[[#This Row],[MedMod]]-AVERAGE(Tab.o1[MedMod]))/_xlfn.STDEV.P(Tab.o1[MedMod])*H$1204)+G$1204,"")</f>
        <v/>
      </c>
      <c r="T647" s="123" t="str">
        <f>IF(Tab.o1[[#This Row],[a1]]=1,Tab.o1[[#This Row],[Z-]]*_xlfn.STDEV.P(Tab.o1[B])+AVERAGE(Tab.o1[B]),"")</f>
        <v/>
      </c>
      <c r="U647" s="123" t="str">
        <f>IF(Tab.o1[[#This Row],[a1]]=1,Tab.o1[[#This Row],[z+]]*_xlfn.STDEV.P(Tab.o1[B])+AVERAGE(Tab.o1[B]),"")</f>
        <v/>
      </c>
      <c r="V647" s="124" t="str">
        <f>IF(Tab.o1[[#This Row],[a1]]=1,ABS((ABS(Tab.o1[[#This Row],[Red]]-Tab.o1[[#This Row],[Blue]]))),"")</f>
        <v/>
      </c>
      <c r="W647" s="125" t="str">
        <f>IF(Tab.o1[[#This Row],[a1]]=1,IF(W$3=0,1,Tab.o1[[#This Row],[Amp.]]*1/_xlfn.MINIFS(Tab.o1[Amp.],Tab.o1[Amp.],"&lt;&gt;0")),"")</f>
        <v/>
      </c>
      <c r="X647" s="126" t="str">
        <f>IF(Tab.o1[[#This Row],[a1]]=1,IF(ISNUMBER(Tab.o1[[#This Row],[i.]]),NORMDIST(Tab.o1[[#This Row],[Za]],0,1,FALSE)*Tab.o1[[#This Row],[i.]],AP$3),"")</f>
        <v/>
      </c>
      <c r="Y647" s="126" t="str">
        <f>IF(Tab.o1[[#This Row],[a1]]=1,0.01+0.94*Tab.o1[[#This Row],[PDF]]/MAX(Tab.o1[PDF]),"")</f>
        <v/>
      </c>
      <c r="Z647" s="126" t="str">
        <f>IF(Tab.o1[[#This Row],[a1]]=1,0.01+0.94*Tab.o1[[#This Row],[W1_PDF]]/MAX(Tab.o1[W1_PDF]),"")</f>
        <v/>
      </c>
      <c r="AA647" s="118" t="str">
        <f>IF(Tab.o1[[#This Row],[a1]]=1,ABS([1]!T.in.A[[#This Row],[oo6]]),"")</f>
        <v/>
      </c>
      <c r="AB647" s="127" t="str">
        <f>IF(Tab.o1[[#This Row],[a1]]=1,IF(AE$3=0,"",IF(AB$3=0,ABS([1]!T.in.A[[#This Row],[oo9]]),ABS(Tab.o1[[#This Row],[DIF_Target.]]*Tab.o1[[#This Row],[W1_PDF]]))),"")</f>
        <v/>
      </c>
      <c r="AC647" s="127" t="str">
        <f>IF(G$1=1,"",IF(Tab.o1[[#This Row],[a1]]=1,Tab.o1[[#This Row],[Wr]]^2,""))</f>
        <v/>
      </c>
      <c r="AD647" s="118" t="str">
        <f>IF(Tab.o1[[#This Row],[a1]]=1,IF(AE$3=0,"",Tab.o1[[#This Row],[Wr2]]/SUM(Tab.o1[Wr2])),"")</f>
        <v/>
      </c>
      <c r="AE647" s="128" t="str">
        <f>IF(Tab.o1[[#This Row],[a1]]=1,[1]!T.in.A[[#This Row],[oo10]],"")</f>
        <v/>
      </c>
      <c r="AF647" s="118" t="str">
        <f>IF(Tab.o1[[#This Row],[a1]]=1,ABS(Tab.o1[[#This Row],[DIF_Target.]]*Tab.o1[[#This Row],[PDF2]]*Tab.o1[[#This Row],[IN]]),"")</f>
        <v/>
      </c>
      <c r="AG647" s="129" t="str">
        <f>IF(Tab.o1[[#This Row],[a1]]=1,Tab.o1[[#This Row],[rW]]^2,"")</f>
        <v/>
      </c>
      <c r="AH647" s="130" t="str">
        <f>IF(Tab.o1[[#This Row],[a1]]=1,IF(AH$3=0,Tab.o1[[#This Row],[rW2]],0.01+0.94*Tab.o1[[#This Row],[rW2]]/SUM(Tab.o1[rW2])),"")</f>
        <v/>
      </c>
      <c r="AI647" s="128" t="str">
        <f>IF(Tab.o1[[#This Row],[a1]]=1,1/Tab.o1[[#This Row],[PDF]],"")</f>
        <v/>
      </c>
      <c r="AJ647" s="131" t="str">
        <f>IF(Tab.o1[[#This Row],[a1]]=1,[1]!T_AA[[#This Row],[IN'']]*[1]!T_AA[[#This Row],[Qde'']],"")</f>
        <v/>
      </c>
      <c r="AK647" s="132" t="str">
        <f>IF(Tab.o1[[#This Row],[a1]]=1,IF(AK$1=1,Tab.o1[[#This Row],[MED]]+Tab.o1[[#This Row],[MOD]]-Tab.o1[[#This Row],[MED]],""),"")</f>
        <v/>
      </c>
      <c r="AL647" s="133" t="str">
        <f>IF(Tab.o1[[#This Row],[a1]]=1,[1]!T.in.A[[#This Row],[oo16]],"")</f>
        <v/>
      </c>
      <c r="AM647" s="133" t="str">
        <f>IF(Tab.o1[[#This Row],[a1]]=1,IF(AM$3=1,[1]!T.in.A[[#This Row],[Σo16]],""),"")</f>
        <v/>
      </c>
      <c r="AN647" s="126" t="str">
        <f>IF(Tab.o1[[#This Row],[a1]]=1,[1]!T.in.A[[#This Row],[Σp5]],"")</f>
        <v/>
      </c>
      <c r="AO647" s="126" t="str">
        <f>IF(Tab.o1[[#This Row],[a1]]=1,IF(AO$3=1,[1]!T.in.A[[#This Row],[Σp5]],""),"")</f>
        <v/>
      </c>
      <c r="AP647" s="110" t="str">
        <f>IF(Tab.o1[[#This Row],[a1]]=1,IF(ISNUMBER(Tab.o1[[#This Row],[i.]]),NORMDIST(Tab.o1[[#This Row],[Za]],0,1,FALSE)*Tab.o1[[#This Row],[i.]],0),"")</f>
        <v/>
      </c>
      <c r="AQ647" s="125" t="str">
        <f>IF(Tab.o1[[#This Row],[a1]]=1,ABS(Tab.o1[[#This Row],[MOD]]-AVERAGE(Tab.o1[MOD])),"")</f>
        <v/>
      </c>
      <c r="AR647" s="134" t="str">
        <f>IF(Tab.o1[[#This Row],[a1]]=1,Tab.o1[[#This Row],[OBS]]/SUM(Tab.o1[OBS]),"")</f>
        <v/>
      </c>
      <c r="AS647" s="135" t="str">
        <f>IF(ISNUMBER(Tab.o1[[#This Row],[a1]]),ROW()-4,"")</f>
        <v/>
      </c>
      <c r="AT647" s="136" t="str">
        <f>Tab.o1[[#This Row],[MOD]]</f>
        <v/>
      </c>
      <c r="AU647" s="137" t="str">
        <f t="shared" si="41"/>
        <v/>
      </c>
      <c r="AV647" s="138" t="str">
        <f t="shared" si="42"/>
        <v/>
      </c>
      <c r="AW647" s="138" t="str">
        <f t="shared" si="43"/>
        <v/>
      </c>
      <c r="AX647" s="139" t="str">
        <f>[1]!T.in.A[[#This Row],[ID_T_manu]]</f>
        <v/>
      </c>
      <c r="AY647" s="140" t="str">
        <f>IF(ISNUMBER(Tab.o1[[#This Row],[a1]]),IF(AND(Tab.o1[[#This Row],[a1]]=1,Tab.o1[[#This Row],[b1]]&lt;=AY$4),#REF!,AY646),"")</f>
        <v/>
      </c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</row>
    <row r="648" spans="1:79" s="143" customFormat="1" ht="15.75" hidden="1">
      <c r="A648" s="109">
        <v>2.0000000000000003E-6</v>
      </c>
      <c r="B648" s="110">
        <f t="shared" si="40"/>
        <v>648</v>
      </c>
      <c r="C648" s="111" t="str">
        <f>IF(C$1=[1]!T.in.A[[#This Row],[oo2]],1,"")</f>
        <v/>
      </c>
      <c r="D648" s="112" t="str">
        <f>IF(Tab.o1[[#This Row],[a1]]=1,IF(SUM(C648:C649)=0,0,IF(SUM(C647:C648)=1,1,IF(SUM(C647:C649)&gt;1,D647+1,0))),"")</f>
        <v/>
      </c>
      <c r="E648" s="113" t="str">
        <f>IF(Tab.o1[[#This Row],[a1]]=1,[1]!T.in.A[[#This Row],[oo1]],"")</f>
        <v/>
      </c>
      <c r="F648" s="113" t="str">
        <f>IF(Tab.o1[[#This Row],[a1]]=1,[1]!T.in.A[[#This Row],[pp1]],"")</f>
        <v/>
      </c>
      <c r="G648" s="114" t="str">
        <f>IF(Tab.o1[[#This Row],[a1]]=1,G$2+IF(G$1=1,0,Tab.o1[[#This Row],[.x1]])+[1]!T.in.A[[#This Row],[oo3]],"")</f>
        <v/>
      </c>
      <c r="H648" s="115" t="str">
        <f>IF(Tab.o1[[#This Row],[a1]]=1,IF(H$2=0,0,IF(G$1=1,0,Tab.o1[[#This Row],[.x1]])+[1]!T.in.A[[#This Row],[oo4]]),"")</f>
        <v/>
      </c>
      <c r="I648" s="116" t="str">
        <f>IF(Tab.o1[[#This Row],[a1]]=1,IF(J$2=0,Tab.o1[[#This Row],[MED]],Tab.o1[[#This Row],[MOD]]),"")</f>
        <v/>
      </c>
      <c r="J648" s="116" t="str">
        <f>IF(Tab.o1[[#This Row],[a1]]=1,((Tab.o1[[#This Row],[DIF_Target.]]-AVERAGE(Tab.o1[DIF_Target.]))/_xlfn.STDEV.P(Tab.o1[DIF_Target.])),"")</f>
        <v/>
      </c>
      <c r="K648" s="117" t="str">
        <f>IF(Tab.o1[[#This Row],[a1]]=1,IF(J$2=0,Tab.o1[[#This Row],[MOD]]-Tab.o1[[#This Row],[B]],IF(J$2=1,0,-Tab.o1[[#This Row],[MED]])+Tab.o1[[#This Row],[B]]),"")</f>
        <v/>
      </c>
      <c r="L648" s="117" t="str">
        <f ca="1">IF(Tab.o1[[#This Row],[DIF_Target]]=0,IF(L$2=0,Tab.o1[[#This Row],[DIF_Target]],AVERAGE(OFFSET(Tab.o1[[#This Row],[DIF_Target]],1,0,L$3,1)))/3,Tab.o1[[#This Row],[DIF_Target]])</f>
        <v/>
      </c>
      <c r="M648" s="118" t="str">
        <f>IF(Tab.o1[[#This Row],[a1]]=1,NORMSDIST(Tab.o1[[#This Row],[Za]]),"")</f>
        <v/>
      </c>
      <c r="N648" s="119" t="str">
        <f>IF(Tab.o1[[#This Row],[a1]]=1,((Tab.o1[[#This Row],[MedMod]]-AVERAGE(Tab.o1[MedMod]))/_xlfn.STDEV.P(Tab.o1[MedMod])*H$1205)+G$1205,"")</f>
        <v/>
      </c>
      <c r="O648" s="141" t="str">
        <f>IF(Tab.o1[[#This Row],[a1]]=1,Tab.o1[[#This Row],[Zb]]*_xlfn.STDEV.P(Tab.o1[MedMod])+AVERAGE(Tab.o1[MedMod]),"")</f>
        <v/>
      </c>
      <c r="P648" s="117" t="str">
        <f ca="1">IF(Tab.o1[[#This Row],[B]]=0,AVERAGE(OFFSET(Tab.o1[[#This Row],[B]],1,0,L$3,1)),Tab.o1[[#This Row],[B]])</f>
        <v/>
      </c>
      <c r="Q648" s="121" t="str">
        <f>IF(Tab.o1[[#This Row],[a1]]=1,NORMSDIST(Tab.o1[[#This Row],[Zb]]),"")</f>
        <v/>
      </c>
      <c r="R648" s="122" t="str">
        <f>IF(Tab.o1[[#This Row],[a1]]=1,((Tab.o1[[#This Row],[MedMod]]-AVERAGE(Tab.o1[MedMod]))/_xlfn.STDEV.P(Tab.o1[MedMod])*H$1203)+G$1203,"")</f>
        <v/>
      </c>
      <c r="S648" s="122" t="str">
        <f>IF(Tab.o1[[#This Row],[a1]]=1,((Tab.o1[[#This Row],[MedMod]]-AVERAGE(Tab.o1[MedMod]))/_xlfn.STDEV.P(Tab.o1[MedMod])*H$1204)+G$1204,"")</f>
        <v/>
      </c>
      <c r="T648" s="123" t="str">
        <f>IF(Tab.o1[[#This Row],[a1]]=1,Tab.o1[[#This Row],[Z-]]*_xlfn.STDEV.P(Tab.o1[B])+AVERAGE(Tab.o1[B]),"")</f>
        <v/>
      </c>
      <c r="U648" s="123" t="str">
        <f>IF(Tab.o1[[#This Row],[a1]]=1,Tab.o1[[#This Row],[z+]]*_xlfn.STDEV.P(Tab.o1[B])+AVERAGE(Tab.o1[B]),"")</f>
        <v/>
      </c>
      <c r="V648" s="124" t="str">
        <f>IF(Tab.o1[[#This Row],[a1]]=1,ABS((ABS(Tab.o1[[#This Row],[Red]]-Tab.o1[[#This Row],[Blue]]))),"")</f>
        <v/>
      </c>
      <c r="W648" s="125" t="str">
        <f>IF(Tab.o1[[#This Row],[a1]]=1,IF(W$3=0,1,Tab.o1[[#This Row],[Amp.]]*1/_xlfn.MINIFS(Tab.o1[Amp.],Tab.o1[Amp.],"&lt;&gt;0")),"")</f>
        <v/>
      </c>
      <c r="X648" s="126" t="str">
        <f>IF(Tab.o1[[#This Row],[a1]]=1,IF(ISNUMBER(Tab.o1[[#This Row],[i.]]),NORMDIST(Tab.o1[[#This Row],[Za]],0,1,FALSE)*Tab.o1[[#This Row],[i.]],AP$3),"")</f>
        <v/>
      </c>
      <c r="Y648" s="126" t="str">
        <f>IF(Tab.o1[[#This Row],[a1]]=1,0.01+0.94*Tab.o1[[#This Row],[PDF]]/MAX(Tab.o1[PDF]),"")</f>
        <v/>
      </c>
      <c r="Z648" s="126" t="str">
        <f>IF(Tab.o1[[#This Row],[a1]]=1,0.01+0.94*Tab.o1[[#This Row],[W1_PDF]]/MAX(Tab.o1[W1_PDF]),"")</f>
        <v/>
      </c>
      <c r="AA648" s="118" t="str">
        <f>IF(Tab.o1[[#This Row],[a1]]=1,ABS([1]!T.in.A[[#This Row],[oo6]]),"")</f>
        <v/>
      </c>
      <c r="AB648" s="127" t="str">
        <f>IF(Tab.o1[[#This Row],[a1]]=1,IF(AE$3=0,"",IF(AB$3=0,ABS([1]!T.in.A[[#This Row],[oo9]]),ABS(Tab.o1[[#This Row],[DIF_Target.]]*Tab.o1[[#This Row],[W1_PDF]]))),"")</f>
        <v/>
      </c>
      <c r="AC648" s="127" t="str">
        <f>IF(G$1=1,"",IF(Tab.o1[[#This Row],[a1]]=1,Tab.o1[[#This Row],[Wr]]^2,""))</f>
        <v/>
      </c>
      <c r="AD648" s="118" t="str">
        <f>IF(Tab.o1[[#This Row],[a1]]=1,IF(AE$3=0,"",Tab.o1[[#This Row],[Wr2]]/SUM(Tab.o1[Wr2])),"")</f>
        <v/>
      </c>
      <c r="AE648" s="128" t="str">
        <f>IF(Tab.o1[[#This Row],[a1]]=1,[1]!T.in.A[[#This Row],[oo10]],"")</f>
        <v/>
      </c>
      <c r="AF648" s="118" t="str">
        <f>IF(Tab.o1[[#This Row],[a1]]=1,ABS(Tab.o1[[#This Row],[DIF_Target.]]*Tab.o1[[#This Row],[PDF2]]*Tab.o1[[#This Row],[IN]]),"")</f>
        <v/>
      </c>
      <c r="AG648" s="129" t="str">
        <f>IF(Tab.o1[[#This Row],[a1]]=1,Tab.o1[[#This Row],[rW]]^2,"")</f>
        <v/>
      </c>
      <c r="AH648" s="130" t="str">
        <f>IF(Tab.o1[[#This Row],[a1]]=1,IF(AH$3=0,Tab.o1[[#This Row],[rW2]],0.01+0.94*Tab.o1[[#This Row],[rW2]]/SUM(Tab.o1[rW2])),"")</f>
        <v/>
      </c>
      <c r="AI648" s="128" t="str">
        <f>IF(Tab.o1[[#This Row],[a1]]=1,1/Tab.o1[[#This Row],[PDF]],"")</f>
        <v/>
      </c>
      <c r="AJ648" s="131" t="str">
        <f>IF(Tab.o1[[#This Row],[a1]]=1,[1]!T_AA[[#This Row],[IN'']]*[1]!T_AA[[#This Row],[Qde'']],"")</f>
        <v/>
      </c>
      <c r="AK648" s="132" t="str">
        <f>IF(Tab.o1[[#This Row],[a1]]=1,IF(AK$1=1,Tab.o1[[#This Row],[MED]]+Tab.o1[[#This Row],[MOD]]-Tab.o1[[#This Row],[MED]],""),"")</f>
        <v/>
      </c>
      <c r="AL648" s="133" t="str">
        <f>IF(Tab.o1[[#This Row],[a1]]=1,[1]!T.in.A[[#This Row],[oo16]],"")</f>
        <v/>
      </c>
      <c r="AM648" s="133" t="str">
        <f>IF(Tab.o1[[#This Row],[a1]]=1,IF(AM$3=1,[1]!T.in.A[[#This Row],[Σo16]],""),"")</f>
        <v/>
      </c>
      <c r="AN648" s="126" t="str">
        <f>IF(Tab.o1[[#This Row],[a1]]=1,[1]!T.in.A[[#This Row],[Σp5]],"")</f>
        <v/>
      </c>
      <c r="AO648" s="126" t="str">
        <f>IF(Tab.o1[[#This Row],[a1]]=1,IF(AO$3=1,[1]!T.in.A[[#This Row],[Σp5]],""),"")</f>
        <v/>
      </c>
      <c r="AP648" s="110" t="str">
        <f>IF(Tab.o1[[#This Row],[a1]]=1,IF(ISNUMBER(Tab.o1[[#This Row],[i.]]),NORMDIST(Tab.o1[[#This Row],[Za]],0,1,FALSE)*Tab.o1[[#This Row],[i.]],0),"")</f>
        <v/>
      </c>
      <c r="AQ648" s="125" t="str">
        <f>IF(Tab.o1[[#This Row],[a1]]=1,ABS(Tab.o1[[#This Row],[MOD]]-AVERAGE(Tab.o1[MOD])),"")</f>
        <v/>
      </c>
      <c r="AR648" s="134" t="str">
        <f>IF(Tab.o1[[#This Row],[a1]]=1,Tab.o1[[#This Row],[OBS]]/SUM(Tab.o1[OBS]),"")</f>
        <v/>
      </c>
      <c r="AS648" s="135" t="str">
        <f>IF(ISNUMBER(Tab.o1[[#This Row],[a1]]),ROW()-4,"")</f>
        <v/>
      </c>
      <c r="AT648" s="136" t="str">
        <f>Tab.o1[[#This Row],[MOD]]</f>
        <v/>
      </c>
      <c r="AU648" s="137" t="str">
        <f t="shared" si="41"/>
        <v/>
      </c>
      <c r="AV648" s="138" t="str">
        <f t="shared" si="42"/>
        <v/>
      </c>
      <c r="AW648" s="138" t="str">
        <f t="shared" si="43"/>
        <v/>
      </c>
      <c r="AX648" s="139" t="str">
        <f>[1]!T.in.A[[#This Row],[ID_T_manu]]</f>
        <v/>
      </c>
      <c r="AY648" s="140" t="str">
        <f>IF(ISNUMBER(Tab.o1[[#This Row],[a1]]),IF(AND(Tab.o1[[#This Row],[a1]]=1,Tab.o1[[#This Row],[b1]]&lt;=AY$4),#REF!,AY647),"")</f>
        <v/>
      </c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</row>
    <row r="649" spans="1:79" s="143" customFormat="1" ht="15.75" hidden="1">
      <c r="A649" s="109">
        <v>-6.9999999999999999E-6</v>
      </c>
      <c r="B649" s="110">
        <f t="shared" si="40"/>
        <v>649</v>
      </c>
      <c r="C649" s="111" t="str">
        <f>IF(C$1=[1]!T.in.A[[#This Row],[oo2]],1,"")</f>
        <v/>
      </c>
      <c r="D649" s="112" t="str">
        <f>IF(Tab.o1[[#This Row],[a1]]=1,IF(SUM(C649:C650)=0,0,IF(SUM(C648:C649)=1,1,IF(SUM(C648:C650)&gt;1,D648+1,0))),"")</f>
        <v/>
      </c>
      <c r="E649" s="113" t="str">
        <f>IF(Tab.o1[[#This Row],[a1]]=1,[1]!T.in.A[[#This Row],[oo1]],"")</f>
        <v/>
      </c>
      <c r="F649" s="113" t="str">
        <f>IF(Tab.o1[[#This Row],[a1]]=1,[1]!T.in.A[[#This Row],[pp1]],"")</f>
        <v/>
      </c>
      <c r="G649" s="114" t="str">
        <f>IF(Tab.o1[[#This Row],[a1]]=1,G$2+IF(G$1=1,0,Tab.o1[[#This Row],[.x1]])+[1]!T.in.A[[#This Row],[oo3]],"")</f>
        <v/>
      </c>
      <c r="H649" s="115" t="str">
        <f>IF(Tab.o1[[#This Row],[a1]]=1,IF(H$2=0,0,IF(G$1=1,0,Tab.o1[[#This Row],[.x1]])+[1]!T.in.A[[#This Row],[oo4]]),"")</f>
        <v/>
      </c>
      <c r="I649" s="116" t="str">
        <f>IF(Tab.o1[[#This Row],[a1]]=1,IF(J$2=0,Tab.o1[[#This Row],[MED]],Tab.o1[[#This Row],[MOD]]),"")</f>
        <v/>
      </c>
      <c r="J649" s="116" t="str">
        <f>IF(Tab.o1[[#This Row],[a1]]=1,((Tab.o1[[#This Row],[DIF_Target.]]-AVERAGE(Tab.o1[DIF_Target.]))/_xlfn.STDEV.P(Tab.o1[DIF_Target.])),"")</f>
        <v/>
      </c>
      <c r="K649" s="117" t="str">
        <f>IF(Tab.o1[[#This Row],[a1]]=1,IF(J$2=0,Tab.o1[[#This Row],[MOD]]-Tab.o1[[#This Row],[B]],IF(J$2=1,0,-Tab.o1[[#This Row],[MED]])+Tab.o1[[#This Row],[B]]),"")</f>
        <v/>
      </c>
      <c r="L649" s="117" t="str">
        <f ca="1">IF(Tab.o1[[#This Row],[DIF_Target]]=0,IF(L$2=0,Tab.o1[[#This Row],[DIF_Target]],AVERAGE(OFFSET(Tab.o1[[#This Row],[DIF_Target]],1,0,L$3,1)))/3,Tab.o1[[#This Row],[DIF_Target]])</f>
        <v/>
      </c>
      <c r="M649" s="118" t="str">
        <f>IF(Tab.o1[[#This Row],[a1]]=1,NORMSDIST(Tab.o1[[#This Row],[Za]]),"")</f>
        <v/>
      </c>
      <c r="N649" s="119" t="str">
        <f>IF(Tab.o1[[#This Row],[a1]]=1,((Tab.o1[[#This Row],[MedMod]]-AVERAGE(Tab.o1[MedMod]))/_xlfn.STDEV.P(Tab.o1[MedMod])*H$1205)+G$1205,"")</f>
        <v/>
      </c>
      <c r="O649" s="141" t="str">
        <f>IF(Tab.o1[[#This Row],[a1]]=1,Tab.o1[[#This Row],[Zb]]*_xlfn.STDEV.P(Tab.o1[MedMod])+AVERAGE(Tab.o1[MedMod]),"")</f>
        <v/>
      </c>
      <c r="P649" s="117" t="str">
        <f ca="1">IF(Tab.o1[[#This Row],[B]]=0,AVERAGE(OFFSET(Tab.o1[[#This Row],[B]],1,0,L$3,1)),Tab.o1[[#This Row],[B]])</f>
        <v/>
      </c>
      <c r="Q649" s="121" t="str">
        <f>IF(Tab.o1[[#This Row],[a1]]=1,NORMSDIST(Tab.o1[[#This Row],[Zb]]),"")</f>
        <v/>
      </c>
      <c r="R649" s="122" t="str">
        <f>IF(Tab.o1[[#This Row],[a1]]=1,((Tab.o1[[#This Row],[MedMod]]-AVERAGE(Tab.o1[MedMod]))/_xlfn.STDEV.P(Tab.o1[MedMod])*H$1203)+G$1203,"")</f>
        <v/>
      </c>
      <c r="S649" s="122" t="str">
        <f>IF(Tab.o1[[#This Row],[a1]]=1,((Tab.o1[[#This Row],[MedMod]]-AVERAGE(Tab.o1[MedMod]))/_xlfn.STDEV.P(Tab.o1[MedMod])*H$1204)+G$1204,"")</f>
        <v/>
      </c>
      <c r="T649" s="123" t="str">
        <f>IF(Tab.o1[[#This Row],[a1]]=1,Tab.o1[[#This Row],[Z-]]*_xlfn.STDEV.P(Tab.o1[B])+AVERAGE(Tab.o1[B]),"")</f>
        <v/>
      </c>
      <c r="U649" s="123" t="str">
        <f>IF(Tab.o1[[#This Row],[a1]]=1,Tab.o1[[#This Row],[z+]]*_xlfn.STDEV.P(Tab.o1[B])+AVERAGE(Tab.o1[B]),"")</f>
        <v/>
      </c>
      <c r="V649" s="124" t="str">
        <f>IF(Tab.o1[[#This Row],[a1]]=1,ABS((ABS(Tab.o1[[#This Row],[Red]]-Tab.o1[[#This Row],[Blue]]))),"")</f>
        <v/>
      </c>
      <c r="W649" s="125" t="str">
        <f>IF(Tab.o1[[#This Row],[a1]]=1,IF(W$3=0,1,Tab.o1[[#This Row],[Amp.]]*1/_xlfn.MINIFS(Tab.o1[Amp.],Tab.o1[Amp.],"&lt;&gt;0")),"")</f>
        <v/>
      </c>
      <c r="X649" s="126" t="str">
        <f>IF(Tab.o1[[#This Row],[a1]]=1,IF(ISNUMBER(Tab.o1[[#This Row],[i.]]),NORMDIST(Tab.o1[[#This Row],[Za]],0,1,FALSE)*Tab.o1[[#This Row],[i.]],AP$3),"")</f>
        <v/>
      </c>
      <c r="Y649" s="126" t="str">
        <f>IF(Tab.o1[[#This Row],[a1]]=1,0.01+0.94*Tab.o1[[#This Row],[PDF]]/MAX(Tab.o1[PDF]),"")</f>
        <v/>
      </c>
      <c r="Z649" s="126" t="str">
        <f>IF(Tab.o1[[#This Row],[a1]]=1,0.01+0.94*Tab.o1[[#This Row],[W1_PDF]]/MAX(Tab.o1[W1_PDF]),"")</f>
        <v/>
      </c>
      <c r="AA649" s="118" t="str">
        <f>IF(Tab.o1[[#This Row],[a1]]=1,ABS([1]!T.in.A[[#This Row],[oo6]]),"")</f>
        <v/>
      </c>
      <c r="AB649" s="127" t="str">
        <f>IF(Tab.o1[[#This Row],[a1]]=1,IF(AE$3=0,"",IF(AB$3=0,ABS([1]!T.in.A[[#This Row],[oo9]]),ABS(Tab.o1[[#This Row],[DIF_Target.]]*Tab.o1[[#This Row],[W1_PDF]]))),"")</f>
        <v/>
      </c>
      <c r="AC649" s="127" t="str">
        <f>IF(G$1=1,"",IF(Tab.o1[[#This Row],[a1]]=1,Tab.o1[[#This Row],[Wr]]^2,""))</f>
        <v/>
      </c>
      <c r="AD649" s="118" t="str">
        <f>IF(Tab.o1[[#This Row],[a1]]=1,IF(AE$3=0,"",Tab.o1[[#This Row],[Wr2]]/SUM(Tab.o1[Wr2])),"")</f>
        <v/>
      </c>
      <c r="AE649" s="128" t="str">
        <f>IF(Tab.o1[[#This Row],[a1]]=1,[1]!T.in.A[[#This Row],[oo10]],"")</f>
        <v/>
      </c>
      <c r="AF649" s="118" t="str">
        <f>IF(Tab.o1[[#This Row],[a1]]=1,ABS(Tab.o1[[#This Row],[DIF_Target.]]*Tab.o1[[#This Row],[PDF2]]*Tab.o1[[#This Row],[IN]]),"")</f>
        <v/>
      </c>
      <c r="AG649" s="129" t="str">
        <f>IF(Tab.o1[[#This Row],[a1]]=1,Tab.o1[[#This Row],[rW]]^2,"")</f>
        <v/>
      </c>
      <c r="AH649" s="130" t="str">
        <f>IF(Tab.o1[[#This Row],[a1]]=1,IF(AH$3=0,Tab.o1[[#This Row],[rW2]],0.01+0.94*Tab.o1[[#This Row],[rW2]]/SUM(Tab.o1[rW2])),"")</f>
        <v/>
      </c>
      <c r="AI649" s="128" t="str">
        <f>IF(Tab.o1[[#This Row],[a1]]=1,1/Tab.o1[[#This Row],[PDF]],"")</f>
        <v/>
      </c>
      <c r="AJ649" s="131" t="str">
        <f>IF(Tab.o1[[#This Row],[a1]]=1,[1]!T_AA[[#This Row],[IN'']]*[1]!T_AA[[#This Row],[Qde'']],"")</f>
        <v/>
      </c>
      <c r="AK649" s="132" t="str">
        <f>IF(Tab.o1[[#This Row],[a1]]=1,IF(AK$1=1,Tab.o1[[#This Row],[MED]]+Tab.o1[[#This Row],[MOD]]-Tab.o1[[#This Row],[MED]],""),"")</f>
        <v/>
      </c>
      <c r="AL649" s="133" t="str">
        <f>IF(Tab.o1[[#This Row],[a1]]=1,[1]!T.in.A[[#This Row],[oo16]],"")</f>
        <v/>
      </c>
      <c r="AM649" s="133" t="str">
        <f>IF(Tab.o1[[#This Row],[a1]]=1,IF(AM$3=1,[1]!T.in.A[[#This Row],[Σo16]],""),"")</f>
        <v/>
      </c>
      <c r="AN649" s="126" t="str">
        <f>IF(Tab.o1[[#This Row],[a1]]=1,[1]!T.in.A[[#This Row],[Σp5]],"")</f>
        <v/>
      </c>
      <c r="AO649" s="126" t="str">
        <f>IF(Tab.o1[[#This Row],[a1]]=1,IF(AO$3=1,[1]!T.in.A[[#This Row],[Σp5]],""),"")</f>
        <v/>
      </c>
      <c r="AP649" s="110" t="str">
        <f>IF(Tab.o1[[#This Row],[a1]]=1,IF(ISNUMBER(Tab.o1[[#This Row],[i.]]),NORMDIST(Tab.o1[[#This Row],[Za]],0,1,FALSE)*Tab.o1[[#This Row],[i.]],0),"")</f>
        <v/>
      </c>
      <c r="AQ649" s="125" t="str">
        <f>IF(Tab.o1[[#This Row],[a1]]=1,ABS(Tab.o1[[#This Row],[MOD]]-AVERAGE(Tab.o1[MOD])),"")</f>
        <v/>
      </c>
      <c r="AR649" s="134" t="str">
        <f>IF(Tab.o1[[#This Row],[a1]]=1,Tab.o1[[#This Row],[OBS]]/SUM(Tab.o1[OBS]),"")</f>
        <v/>
      </c>
      <c r="AS649" s="135" t="str">
        <f>IF(ISNUMBER(Tab.o1[[#This Row],[a1]]),ROW()-4,"")</f>
        <v/>
      </c>
      <c r="AT649" s="136" t="str">
        <f>Tab.o1[[#This Row],[MOD]]</f>
        <v/>
      </c>
      <c r="AU649" s="137" t="str">
        <f t="shared" si="41"/>
        <v/>
      </c>
      <c r="AV649" s="138" t="str">
        <f t="shared" si="42"/>
        <v/>
      </c>
      <c r="AW649" s="138" t="str">
        <f t="shared" si="43"/>
        <v/>
      </c>
      <c r="AX649" s="139" t="str">
        <f>[1]!T.in.A[[#This Row],[ID_T_manu]]</f>
        <v/>
      </c>
      <c r="AY649" s="140" t="str">
        <f>IF(ISNUMBER(Tab.o1[[#This Row],[a1]]),IF(AND(Tab.o1[[#This Row],[a1]]=1,Tab.o1[[#This Row],[b1]]&lt;=AY$4),#REF!,AY648),"")</f>
        <v/>
      </c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</row>
    <row r="650" spans="1:79" s="143" customFormat="1" ht="15.75" hidden="1">
      <c r="A650" s="109">
        <v>1.0000000000000002E-6</v>
      </c>
      <c r="B650" s="110">
        <f t="shared" si="40"/>
        <v>650</v>
      </c>
      <c r="C650" s="111" t="str">
        <f>IF(C$1=[1]!T.in.A[[#This Row],[oo2]],1,"")</f>
        <v/>
      </c>
      <c r="D650" s="112" t="str">
        <f>IF(Tab.o1[[#This Row],[a1]]=1,IF(SUM(C650:C651)=0,0,IF(SUM(C649:C650)=1,1,IF(SUM(C649:C651)&gt;1,D649+1,0))),"")</f>
        <v/>
      </c>
      <c r="E650" s="113" t="str">
        <f>IF(Tab.o1[[#This Row],[a1]]=1,[1]!T.in.A[[#This Row],[oo1]],"")</f>
        <v/>
      </c>
      <c r="F650" s="113" t="str">
        <f>IF(Tab.o1[[#This Row],[a1]]=1,[1]!T.in.A[[#This Row],[pp1]],"")</f>
        <v/>
      </c>
      <c r="G650" s="114" t="str">
        <f>IF(Tab.o1[[#This Row],[a1]]=1,G$2+IF(G$1=1,0,Tab.o1[[#This Row],[.x1]])+[1]!T.in.A[[#This Row],[oo3]],"")</f>
        <v/>
      </c>
      <c r="H650" s="115" t="str">
        <f>IF(Tab.o1[[#This Row],[a1]]=1,IF(H$2=0,0,IF(G$1=1,0,Tab.o1[[#This Row],[.x1]])+[1]!T.in.A[[#This Row],[oo4]]),"")</f>
        <v/>
      </c>
      <c r="I650" s="116" t="str">
        <f>IF(Tab.o1[[#This Row],[a1]]=1,IF(J$2=0,Tab.o1[[#This Row],[MED]],Tab.o1[[#This Row],[MOD]]),"")</f>
        <v/>
      </c>
      <c r="J650" s="116" t="str">
        <f>IF(Tab.o1[[#This Row],[a1]]=1,((Tab.o1[[#This Row],[DIF_Target.]]-AVERAGE(Tab.o1[DIF_Target.]))/_xlfn.STDEV.P(Tab.o1[DIF_Target.])),"")</f>
        <v/>
      </c>
      <c r="K650" s="117" t="str">
        <f>IF(Tab.o1[[#This Row],[a1]]=1,IF(J$2=0,Tab.o1[[#This Row],[MOD]]-Tab.o1[[#This Row],[B]],IF(J$2=1,0,-Tab.o1[[#This Row],[MED]])+Tab.o1[[#This Row],[B]]),"")</f>
        <v/>
      </c>
      <c r="L650" s="117" t="str">
        <f ca="1">IF(Tab.o1[[#This Row],[DIF_Target]]=0,IF(L$2=0,Tab.o1[[#This Row],[DIF_Target]],AVERAGE(OFFSET(Tab.o1[[#This Row],[DIF_Target]],1,0,L$3,1)))/3,Tab.o1[[#This Row],[DIF_Target]])</f>
        <v/>
      </c>
      <c r="M650" s="118" t="str">
        <f>IF(Tab.o1[[#This Row],[a1]]=1,NORMSDIST(Tab.o1[[#This Row],[Za]]),"")</f>
        <v/>
      </c>
      <c r="N650" s="119" t="str">
        <f>IF(Tab.o1[[#This Row],[a1]]=1,((Tab.o1[[#This Row],[MedMod]]-AVERAGE(Tab.o1[MedMod]))/_xlfn.STDEV.P(Tab.o1[MedMod])*H$1205)+G$1205,"")</f>
        <v/>
      </c>
      <c r="O650" s="141" t="str">
        <f>IF(Tab.o1[[#This Row],[a1]]=1,Tab.o1[[#This Row],[Zb]]*_xlfn.STDEV.P(Tab.o1[MedMod])+AVERAGE(Tab.o1[MedMod]),"")</f>
        <v/>
      </c>
      <c r="P650" s="117" t="str">
        <f ca="1">IF(Tab.o1[[#This Row],[B]]=0,AVERAGE(OFFSET(Tab.o1[[#This Row],[B]],1,0,L$3,1)),Tab.o1[[#This Row],[B]])</f>
        <v/>
      </c>
      <c r="Q650" s="121" t="str">
        <f>IF(Tab.o1[[#This Row],[a1]]=1,NORMSDIST(Tab.o1[[#This Row],[Zb]]),"")</f>
        <v/>
      </c>
      <c r="R650" s="122" t="str">
        <f>IF(Tab.o1[[#This Row],[a1]]=1,((Tab.o1[[#This Row],[MedMod]]-AVERAGE(Tab.o1[MedMod]))/_xlfn.STDEV.P(Tab.o1[MedMod])*H$1203)+G$1203,"")</f>
        <v/>
      </c>
      <c r="S650" s="122" t="str">
        <f>IF(Tab.o1[[#This Row],[a1]]=1,((Tab.o1[[#This Row],[MedMod]]-AVERAGE(Tab.o1[MedMod]))/_xlfn.STDEV.P(Tab.o1[MedMod])*H$1204)+G$1204,"")</f>
        <v/>
      </c>
      <c r="T650" s="123" t="str">
        <f>IF(Tab.o1[[#This Row],[a1]]=1,Tab.o1[[#This Row],[Z-]]*_xlfn.STDEV.P(Tab.o1[B])+AVERAGE(Tab.o1[B]),"")</f>
        <v/>
      </c>
      <c r="U650" s="123" t="str">
        <f>IF(Tab.o1[[#This Row],[a1]]=1,Tab.o1[[#This Row],[z+]]*_xlfn.STDEV.P(Tab.o1[B])+AVERAGE(Tab.o1[B]),"")</f>
        <v/>
      </c>
      <c r="V650" s="124" t="str">
        <f>IF(Tab.o1[[#This Row],[a1]]=1,ABS((ABS(Tab.o1[[#This Row],[Red]]-Tab.o1[[#This Row],[Blue]]))),"")</f>
        <v/>
      </c>
      <c r="W650" s="125" t="str">
        <f>IF(Tab.o1[[#This Row],[a1]]=1,IF(W$3=0,1,Tab.o1[[#This Row],[Amp.]]*1/_xlfn.MINIFS(Tab.o1[Amp.],Tab.o1[Amp.],"&lt;&gt;0")),"")</f>
        <v/>
      </c>
      <c r="X650" s="126" t="str">
        <f>IF(Tab.o1[[#This Row],[a1]]=1,IF(ISNUMBER(Tab.o1[[#This Row],[i.]]),NORMDIST(Tab.o1[[#This Row],[Za]],0,1,FALSE)*Tab.o1[[#This Row],[i.]],AP$3),"")</f>
        <v/>
      </c>
      <c r="Y650" s="126" t="str">
        <f>IF(Tab.o1[[#This Row],[a1]]=1,0.01+0.94*Tab.o1[[#This Row],[PDF]]/MAX(Tab.o1[PDF]),"")</f>
        <v/>
      </c>
      <c r="Z650" s="126" t="str">
        <f>IF(Tab.o1[[#This Row],[a1]]=1,0.01+0.94*Tab.o1[[#This Row],[W1_PDF]]/MAX(Tab.o1[W1_PDF]),"")</f>
        <v/>
      </c>
      <c r="AA650" s="118" t="str">
        <f>IF(Tab.o1[[#This Row],[a1]]=1,ABS([1]!T.in.A[[#This Row],[oo6]]),"")</f>
        <v/>
      </c>
      <c r="AB650" s="127" t="str">
        <f>IF(Tab.o1[[#This Row],[a1]]=1,IF(AE$3=0,"",IF(AB$3=0,ABS([1]!T.in.A[[#This Row],[oo9]]),ABS(Tab.o1[[#This Row],[DIF_Target.]]*Tab.o1[[#This Row],[W1_PDF]]))),"")</f>
        <v/>
      </c>
      <c r="AC650" s="127" t="str">
        <f>IF(G$1=1,"",IF(Tab.o1[[#This Row],[a1]]=1,Tab.o1[[#This Row],[Wr]]^2,""))</f>
        <v/>
      </c>
      <c r="AD650" s="118" t="str">
        <f>IF(Tab.o1[[#This Row],[a1]]=1,IF(AE$3=0,"",Tab.o1[[#This Row],[Wr2]]/SUM(Tab.o1[Wr2])),"")</f>
        <v/>
      </c>
      <c r="AE650" s="128" t="str">
        <f>IF(Tab.o1[[#This Row],[a1]]=1,[1]!T.in.A[[#This Row],[oo10]],"")</f>
        <v/>
      </c>
      <c r="AF650" s="118" t="str">
        <f>IF(Tab.o1[[#This Row],[a1]]=1,ABS(Tab.o1[[#This Row],[DIF_Target.]]*Tab.o1[[#This Row],[PDF2]]*Tab.o1[[#This Row],[IN]]),"")</f>
        <v/>
      </c>
      <c r="AG650" s="129" t="str">
        <f>IF(Tab.o1[[#This Row],[a1]]=1,Tab.o1[[#This Row],[rW]]^2,"")</f>
        <v/>
      </c>
      <c r="AH650" s="130" t="str">
        <f>IF(Tab.o1[[#This Row],[a1]]=1,IF(AH$3=0,Tab.o1[[#This Row],[rW2]],0.01+0.94*Tab.o1[[#This Row],[rW2]]/SUM(Tab.o1[rW2])),"")</f>
        <v/>
      </c>
      <c r="AI650" s="128" t="str">
        <f>IF(Tab.o1[[#This Row],[a1]]=1,1/Tab.o1[[#This Row],[PDF]],"")</f>
        <v/>
      </c>
      <c r="AJ650" s="131" t="str">
        <f>IF(Tab.o1[[#This Row],[a1]]=1,[1]!T_AA[[#This Row],[IN'']]*[1]!T_AA[[#This Row],[Qde'']],"")</f>
        <v/>
      </c>
      <c r="AK650" s="132" t="str">
        <f>IF(Tab.o1[[#This Row],[a1]]=1,IF(AK$1=1,Tab.o1[[#This Row],[MED]]+Tab.o1[[#This Row],[MOD]]-Tab.o1[[#This Row],[MED]],""),"")</f>
        <v/>
      </c>
      <c r="AL650" s="133" t="str">
        <f>IF(Tab.o1[[#This Row],[a1]]=1,[1]!T.in.A[[#This Row],[oo16]],"")</f>
        <v/>
      </c>
      <c r="AM650" s="133" t="str">
        <f>IF(Tab.o1[[#This Row],[a1]]=1,IF(AM$3=1,[1]!T.in.A[[#This Row],[Σo16]],""),"")</f>
        <v/>
      </c>
      <c r="AN650" s="126" t="str">
        <f>IF(Tab.o1[[#This Row],[a1]]=1,[1]!T.in.A[[#This Row],[Σp5]],"")</f>
        <v/>
      </c>
      <c r="AO650" s="126" t="str">
        <f>IF(Tab.o1[[#This Row],[a1]]=1,IF(AO$3=1,[1]!T.in.A[[#This Row],[Σp5]],""),"")</f>
        <v/>
      </c>
      <c r="AP650" s="110" t="str">
        <f>IF(Tab.o1[[#This Row],[a1]]=1,IF(ISNUMBER(Tab.o1[[#This Row],[i.]]),NORMDIST(Tab.o1[[#This Row],[Za]],0,1,FALSE)*Tab.o1[[#This Row],[i.]],0),"")</f>
        <v/>
      </c>
      <c r="AQ650" s="125" t="str">
        <f>IF(Tab.o1[[#This Row],[a1]]=1,ABS(Tab.o1[[#This Row],[MOD]]-AVERAGE(Tab.o1[MOD])),"")</f>
        <v/>
      </c>
      <c r="AR650" s="134" t="str">
        <f>IF(Tab.o1[[#This Row],[a1]]=1,Tab.o1[[#This Row],[OBS]]/SUM(Tab.o1[OBS]),"")</f>
        <v/>
      </c>
      <c r="AS650" s="135" t="str">
        <f>IF(ISNUMBER(Tab.o1[[#This Row],[a1]]),ROW()-4,"")</f>
        <v/>
      </c>
      <c r="AT650" s="136" t="str">
        <f>Tab.o1[[#This Row],[MOD]]</f>
        <v/>
      </c>
      <c r="AU650" s="137" t="str">
        <f t="shared" si="41"/>
        <v/>
      </c>
      <c r="AV650" s="138" t="str">
        <f t="shared" si="42"/>
        <v/>
      </c>
      <c r="AW650" s="138" t="str">
        <f t="shared" si="43"/>
        <v/>
      </c>
      <c r="AX650" s="139" t="str">
        <f>[1]!T.in.A[[#This Row],[ID_T_manu]]</f>
        <v/>
      </c>
      <c r="AY650" s="140" t="str">
        <f>IF(ISNUMBER(Tab.o1[[#This Row],[a1]]),IF(AND(Tab.o1[[#This Row],[a1]]=1,Tab.o1[[#This Row],[b1]]&lt;=AY$4),#REF!,AY649),"")</f>
        <v/>
      </c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</row>
    <row r="651" spans="1:79" s="143" customFormat="1" ht="15.75" hidden="1">
      <c r="A651" s="109">
        <v>-9.0000000000000002E-6</v>
      </c>
      <c r="B651" s="110">
        <f t="shared" si="40"/>
        <v>651</v>
      </c>
      <c r="C651" s="111" t="str">
        <f>IF(C$1=[1]!T.in.A[[#This Row],[oo2]],1,"")</f>
        <v/>
      </c>
      <c r="D651" s="112" t="str">
        <f>IF(Tab.o1[[#This Row],[a1]]=1,IF(SUM(C651:C652)=0,0,IF(SUM(C650:C651)=1,1,IF(SUM(C650:C652)&gt;1,D650+1,0))),"")</f>
        <v/>
      </c>
      <c r="E651" s="113" t="str">
        <f>IF(Tab.o1[[#This Row],[a1]]=1,[1]!T.in.A[[#This Row],[oo1]],"")</f>
        <v/>
      </c>
      <c r="F651" s="113" t="str">
        <f>IF(Tab.o1[[#This Row],[a1]]=1,[1]!T.in.A[[#This Row],[pp1]],"")</f>
        <v/>
      </c>
      <c r="G651" s="114" t="str">
        <f>IF(Tab.o1[[#This Row],[a1]]=1,G$2+IF(G$1=1,0,Tab.o1[[#This Row],[.x1]])+[1]!T.in.A[[#This Row],[oo3]],"")</f>
        <v/>
      </c>
      <c r="H651" s="115" t="str">
        <f>IF(Tab.o1[[#This Row],[a1]]=1,IF(H$2=0,0,IF(G$1=1,0,Tab.o1[[#This Row],[.x1]])+[1]!T.in.A[[#This Row],[oo4]]),"")</f>
        <v/>
      </c>
      <c r="I651" s="116" t="str">
        <f>IF(Tab.o1[[#This Row],[a1]]=1,IF(J$2=0,Tab.o1[[#This Row],[MED]],Tab.o1[[#This Row],[MOD]]),"")</f>
        <v/>
      </c>
      <c r="J651" s="116" t="str">
        <f>IF(Tab.o1[[#This Row],[a1]]=1,((Tab.o1[[#This Row],[DIF_Target.]]-AVERAGE(Tab.o1[DIF_Target.]))/_xlfn.STDEV.P(Tab.o1[DIF_Target.])),"")</f>
        <v/>
      </c>
      <c r="K651" s="117" t="str">
        <f>IF(Tab.o1[[#This Row],[a1]]=1,IF(J$2=0,Tab.o1[[#This Row],[MOD]]-Tab.o1[[#This Row],[B]],IF(J$2=1,0,-Tab.o1[[#This Row],[MED]])+Tab.o1[[#This Row],[B]]),"")</f>
        <v/>
      </c>
      <c r="L651" s="117" t="str">
        <f ca="1">IF(Tab.o1[[#This Row],[DIF_Target]]=0,IF(L$2=0,Tab.o1[[#This Row],[DIF_Target]],AVERAGE(OFFSET(Tab.o1[[#This Row],[DIF_Target]],1,0,L$3,1)))/3,Tab.o1[[#This Row],[DIF_Target]])</f>
        <v/>
      </c>
      <c r="M651" s="118" t="str">
        <f>IF(Tab.o1[[#This Row],[a1]]=1,NORMSDIST(Tab.o1[[#This Row],[Za]]),"")</f>
        <v/>
      </c>
      <c r="N651" s="119" t="str">
        <f>IF(Tab.o1[[#This Row],[a1]]=1,((Tab.o1[[#This Row],[MedMod]]-AVERAGE(Tab.o1[MedMod]))/_xlfn.STDEV.P(Tab.o1[MedMod])*H$1205)+G$1205,"")</f>
        <v/>
      </c>
      <c r="O651" s="141" t="str">
        <f>IF(Tab.o1[[#This Row],[a1]]=1,Tab.o1[[#This Row],[Zb]]*_xlfn.STDEV.P(Tab.o1[MedMod])+AVERAGE(Tab.o1[MedMod]),"")</f>
        <v/>
      </c>
      <c r="P651" s="117" t="str">
        <f ca="1">IF(Tab.o1[[#This Row],[B]]=0,AVERAGE(OFFSET(Tab.o1[[#This Row],[B]],1,0,L$3,1)),Tab.o1[[#This Row],[B]])</f>
        <v/>
      </c>
      <c r="Q651" s="121" t="str">
        <f>IF(Tab.o1[[#This Row],[a1]]=1,NORMSDIST(Tab.o1[[#This Row],[Zb]]),"")</f>
        <v/>
      </c>
      <c r="R651" s="122" t="str">
        <f>IF(Tab.o1[[#This Row],[a1]]=1,((Tab.o1[[#This Row],[MedMod]]-AVERAGE(Tab.o1[MedMod]))/_xlfn.STDEV.P(Tab.o1[MedMod])*H$1203)+G$1203,"")</f>
        <v/>
      </c>
      <c r="S651" s="122" t="str">
        <f>IF(Tab.o1[[#This Row],[a1]]=1,((Tab.o1[[#This Row],[MedMod]]-AVERAGE(Tab.o1[MedMod]))/_xlfn.STDEV.P(Tab.o1[MedMod])*H$1204)+G$1204,"")</f>
        <v/>
      </c>
      <c r="T651" s="123" t="str">
        <f>IF(Tab.o1[[#This Row],[a1]]=1,Tab.o1[[#This Row],[Z-]]*_xlfn.STDEV.P(Tab.o1[B])+AVERAGE(Tab.o1[B]),"")</f>
        <v/>
      </c>
      <c r="U651" s="123" t="str">
        <f>IF(Tab.o1[[#This Row],[a1]]=1,Tab.o1[[#This Row],[z+]]*_xlfn.STDEV.P(Tab.o1[B])+AVERAGE(Tab.o1[B]),"")</f>
        <v/>
      </c>
      <c r="V651" s="124" t="str">
        <f>IF(Tab.o1[[#This Row],[a1]]=1,ABS((ABS(Tab.o1[[#This Row],[Red]]-Tab.o1[[#This Row],[Blue]]))),"")</f>
        <v/>
      </c>
      <c r="W651" s="125" t="str">
        <f>IF(Tab.o1[[#This Row],[a1]]=1,IF(W$3=0,1,Tab.o1[[#This Row],[Amp.]]*1/_xlfn.MINIFS(Tab.o1[Amp.],Tab.o1[Amp.],"&lt;&gt;0")),"")</f>
        <v/>
      </c>
      <c r="X651" s="126" t="str">
        <f>IF(Tab.o1[[#This Row],[a1]]=1,IF(ISNUMBER(Tab.o1[[#This Row],[i.]]),NORMDIST(Tab.o1[[#This Row],[Za]],0,1,FALSE)*Tab.o1[[#This Row],[i.]],AP$3),"")</f>
        <v/>
      </c>
      <c r="Y651" s="126" t="str">
        <f>IF(Tab.o1[[#This Row],[a1]]=1,0.01+0.94*Tab.o1[[#This Row],[PDF]]/MAX(Tab.o1[PDF]),"")</f>
        <v/>
      </c>
      <c r="Z651" s="126" t="str">
        <f>IF(Tab.o1[[#This Row],[a1]]=1,0.01+0.94*Tab.o1[[#This Row],[W1_PDF]]/MAX(Tab.o1[W1_PDF]),"")</f>
        <v/>
      </c>
      <c r="AA651" s="118" t="str">
        <f>IF(Tab.o1[[#This Row],[a1]]=1,ABS([1]!T.in.A[[#This Row],[oo6]]),"")</f>
        <v/>
      </c>
      <c r="AB651" s="127" t="str">
        <f>IF(Tab.o1[[#This Row],[a1]]=1,IF(AE$3=0,"",IF(AB$3=0,ABS([1]!T.in.A[[#This Row],[oo9]]),ABS(Tab.o1[[#This Row],[DIF_Target.]]*Tab.o1[[#This Row],[W1_PDF]]))),"")</f>
        <v/>
      </c>
      <c r="AC651" s="127" t="str">
        <f>IF(G$1=1,"",IF(Tab.o1[[#This Row],[a1]]=1,Tab.o1[[#This Row],[Wr]]^2,""))</f>
        <v/>
      </c>
      <c r="AD651" s="118" t="str">
        <f>IF(Tab.o1[[#This Row],[a1]]=1,IF(AE$3=0,"",Tab.o1[[#This Row],[Wr2]]/SUM(Tab.o1[Wr2])),"")</f>
        <v/>
      </c>
      <c r="AE651" s="128" t="str">
        <f>IF(Tab.o1[[#This Row],[a1]]=1,[1]!T.in.A[[#This Row],[oo10]],"")</f>
        <v/>
      </c>
      <c r="AF651" s="118" t="str">
        <f>IF(Tab.o1[[#This Row],[a1]]=1,ABS(Tab.o1[[#This Row],[DIF_Target.]]*Tab.o1[[#This Row],[PDF2]]*Tab.o1[[#This Row],[IN]]),"")</f>
        <v/>
      </c>
      <c r="AG651" s="129" t="str">
        <f>IF(Tab.o1[[#This Row],[a1]]=1,Tab.o1[[#This Row],[rW]]^2,"")</f>
        <v/>
      </c>
      <c r="AH651" s="130" t="str">
        <f>IF(Tab.o1[[#This Row],[a1]]=1,IF(AH$3=0,Tab.o1[[#This Row],[rW2]],0.01+0.94*Tab.o1[[#This Row],[rW2]]/SUM(Tab.o1[rW2])),"")</f>
        <v/>
      </c>
      <c r="AI651" s="128" t="str">
        <f>IF(Tab.o1[[#This Row],[a1]]=1,1/Tab.o1[[#This Row],[PDF]],"")</f>
        <v/>
      </c>
      <c r="AJ651" s="131" t="str">
        <f>IF(Tab.o1[[#This Row],[a1]]=1,[1]!T_AA[[#This Row],[IN'']]*[1]!T_AA[[#This Row],[Qde'']],"")</f>
        <v/>
      </c>
      <c r="AK651" s="132" t="str">
        <f>IF(Tab.o1[[#This Row],[a1]]=1,IF(AK$1=1,Tab.o1[[#This Row],[MED]]+Tab.o1[[#This Row],[MOD]]-Tab.o1[[#This Row],[MED]],""),"")</f>
        <v/>
      </c>
      <c r="AL651" s="133" t="str">
        <f>IF(Tab.o1[[#This Row],[a1]]=1,[1]!T.in.A[[#This Row],[oo16]],"")</f>
        <v/>
      </c>
      <c r="AM651" s="133" t="str">
        <f>IF(Tab.o1[[#This Row],[a1]]=1,IF(AM$3=1,[1]!T.in.A[[#This Row],[Σo16]],""),"")</f>
        <v/>
      </c>
      <c r="AN651" s="126" t="str">
        <f>IF(Tab.o1[[#This Row],[a1]]=1,[1]!T.in.A[[#This Row],[Σp5]],"")</f>
        <v/>
      </c>
      <c r="AO651" s="126" t="str">
        <f>IF(Tab.o1[[#This Row],[a1]]=1,IF(AO$3=1,[1]!T.in.A[[#This Row],[Σp5]],""),"")</f>
        <v/>
      </c>
      <c r="AP651" s="110" t="str">
        <f>IF(Tab.o1[[#This Row],[a1]]=1,IF(ISNUMBER(Tab.o1[[#This Row],[i.]]),NORMDIST(Tab.o1[[#This Row],[Za]],0,1,FALSE)*Tab.o1[[#This Row],[i.]],0),"")</f>
        <v/>
      </c>
      <c r="AQ651" s="125" t="str">
        <f>IF(Tab.o1[[#This Row],[a1]]=1,ABS(Tab.o1[[#This Row],[MOD]]-AVERAGE(Tab.o1[MOD])),"")</f>
        <v/>
      </c>
      <c r="AR651" s="134" t="str">
        <f>IF(Tab.o1[[#This Row],[a1]]=1,Tab.o1[[#This Row],[OBS]]/SUM(Tab.o1[OBS]),"")</f>
        <v/>
      </c>
      <c r="AS651" s="135" t="str">
        <f>IF(ISNUMBER(Tab.o1[[#This Row],[a1]]),ROW()-4,"")</f>
        <v/>
      </c>
      <c r="AT651" s="136" t="str">
        <f>Tab.o1[[#This Row],[MOD]]</f>
        <v/>
      </c>
      <c r="AU651" s="137" t="str">
        <f t="shared" si="41"/>
        <v/>
      </c>
      <c r="AV651" s="138" t="str">
        <f t="shared" si="42"/>
        <v/>
      </c>
      <c r="AW651" s="138" t="str">
        <f t="shared" si="43"/>
        <v/>
      </c>
      <c r="AX651" s="139" t="str">
        <f>[1]!T.in.A[[#This Row],[ID_T_manu]]</f>
        <v/>
      </c>
      <c r="AY651" s="140" t="str">
        <f>IF(ISNUMBER(Tab.o1[[#This Row],[a1]]),IF(AND(Tab.o1[[#This Row],[a1]]=1,Tab.o1[[#This Row],[b1]]&lt;=AY$4),#REF!,AY650),"")</f>
        <v/>
      </c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</row>
    <row r="652" spans="1:79" s="143" customFormat="1" ht="15.75" hidden="1">
      <c r="A652" s="109">
        <v>9.0000000000000002E-6</v>
      </c>
      <c r="B652" s="110">
        <f t="shared" si="40"/>
        <v>652</v>
      </c>
      <c r="C652" s="111" t="str">
        <f>IF(C$1=[1]!T.in.A[[#This Row],[oo2]],1,"")</f>
        <v/>
      </c>
      <c r="D652" s="112" t="str">
        <f>IF(Tab.o1[[#This Row],[a1]]=1,IF(SUM(C652:C653)=0,0,IF(SUM(C651:C652)=1,1,IF(SUM(C651:C653)&gt;1,D651+1,0))),"")</f>
        <v/>
      </c>
      <c r="E652" s="113" t="str">
        <f>IF(Tab.o1[[#This Row],[a1]]=1,[1]!T.in.A[[#This Row],[oo1]],"")</f>
        <v/>
      </c>
      <c r="F652" s="113" t="str">
        <f>IF(Tab.o1[[#This Row],[a1]]=1,[1]!T.in.A[[#This Row],[pp1]],"")</f>
        <v/>
      </c>
      <c r="G652" s="114" t="str">
        <f>IF(Tab.o1[[#This Row],[a1]]=1,G$2+IF(G$1=1,0,Tab.o1[[#This Row],[.x1]])+[1]!T.in.A[[#This Row],[oo3]],"")</f>
        <v/>
      </c>
      <c r="H652" s="115" t="str">
        <f>IF(Tab.o1[[#This Row],[a1]]=1,IF(H$2=0,0,IF(G$1=1,0,Tab.o1[[#This Row],[.x1]])+[1]!T.in.A[[#This Row],[oo4]]),"")</f>
        <v/>
      </c>
      <c r="I652" s="116" t="str">
        <f>IF(Tab.o1[[#This Row],[a1]]=1,IF(J$2=0,Tab.o1[[#This Row],[MED]],Tab.o1[[#This Row],[MOD]]),"")</f>
        <v/>
      </c>
      <c r="J652" s="116" t="str">
        <f>IF(Tab.o1[[#This Row],[a1]]=1,((Tab.o1[[#This Row],[DIF_Target.]]-AVERAGE(Tab.o1[DIF_Target.]))/_xlfn.STDEV.P(Tab.o1[DIF_Target.])),"")</f>
        <v/>
      </c>
      <c r="K652" s="117" t="str">
        <f>IF(Tab.o1[[#This Row],[a1]]=1,IF(J$2=0,Tab.o1[[#This Row],[MOD]]-Tab.o1[[#This Row],[B]],IF(J$2=1,0,-Tab.o1[[#This Row],[MED]])+Tab.o1[[#This Row],[B]]),"")</f>
        <v/>
      </c>
      <c r="L652" s="117" t="str">
        <f ca="1">IF(Tab.o1[[#This Row],[DIF_Target]]=0,IF(L$2=0,Tab.o1[[#This Row],[DIF_Target]],AVERAGE(OFFSET(Tab.o1[[#This Row],[DIF_Target]],1,0,L$3,1)))/3,Tab.o1[[#This Row],[DIF_Target]])</f>
        <v/>
      </c>
      <c r="M652" s="118" t="str">
        <f>IF(Tab.o1[[#This Row],[a1]]=1,NORMSDIST(Tab.o1[[#This Row],[Za]]),"")</f>
        <v/>
      </c>
      <c r="N652" s="119" t="str">
        <f>IF(Tab.o1[[#This Row],[a1]]=1,((Tab.o1[[#This Row],[MedMod]]-AVERAGE(Tab.o1[MedMod]))/_xlfn.STDEV.P(Tab.o1[MedMod])*H$1205)+G$1205,"")</f>
        <v/>
      </c>
      <c r="O652" s="141" t="str">
        <f>IF(Tab.o1[[#This Row],[a1]]=1,Tab.o1[[#This Row],[Zb]]*_xlfn.STDEV.P(Tab.o1[MedMod])+AVERAGE(Tab.o1[MedMod]),"")</f>
        <v/>
      </c>
      <c r="P652" s="117" t="str">
        <f ca="1">IF(Tab.o1[[#This Row],[B]]=0,AVERAGE(OFFSET(Tab.o1[[#This Row],[B]],1,0,L$3,1)),Tab.o1[[#This Row],[B]])</f>
        <v/>
      </c>
      <c r="Q652" s="121" t="str">
        <f>IF(Tab.o1[[#This Row],[a1]]=1,NORMSDIST(Tab.o1[[#This Row],[Zb]]),"")</f>
        <v/>
      </c>
      <c r="R652" s="122" t="str">
        <f>IF(Tab.o1[[#This Row],[a1]]=1,((Tab.o1[[#This Row],[MedMod]]-AVERAGE(Tab.o1[MedMod]))/_xlfn.STDEV.P(Tab.o1[MedMod])*H$1203)+G$1203,"")</f>
        <v/>
      </c>
      <c r="S652" s="122" t="str">
        <f>IF(Tab.o1[[#This Row],[a1]]=1,((Tab.o1[[#This Row],[MedMod]]-AVERAGE(Tab.o1[MedMod]))/_xlfn.STDEV.P(Tab.o1[MedMod])*H$1204)+G$1204,"")</f>
        <v/>
      </c>
      <c r="T652" s="123" t="str">
        <f>IF(Tab.o1[[#This Row],[a1]]=1,Tab.o1[[#This Row],[Z-]]*_xlfn.STDEV.P(Tab.o1[B])+AVERAGE(Tab.o1[B]),"")</f>
        <v/>
      </c>
      <c r="U652" s="123" t="str">
        <f>IF(Tab.o1[[#This Row],[a1]]=1,Tab.o1[[#This Row],[z+]]*_xlfn.STDEV.P(Tab.o1[B])+AVERAGE(Tab.o1[B]),"")</f>
        <v/>
      </c>
      <c r="V652" s="124" t="str">
        <f>IF(Tab.o1[[#This Row],[a1]]=1,ABS((ABS(Tab.o1[[#This Row],[Red]]-Tab.o1[[#This Row],[Blue]]))),"")</f>
        <v/>
      </c>
      <c r="W652" s="125" t="str">
        <f>IF(Tab.o1[[#This Row],[a1]]=1,IF(W$3=0,1,Tab.o1[[#This Row],[Amp.]]*1/_xlfn.MINIFS(Tab.o1[Amp.],Tab.o1[Amp.],"&lt;&gt;0")),"")</f>
        <v/>
      </c>
      <c r="X652" s="126" t="str">
        <f>IF(Tab.o1[[#This Row],[a1]]=1,IF(ISNUMBER(Tab.o1[[#This Row],[i.]]),NORMDIST(Tab.o1[[#This Row],[Za]],0,1,FALSE)*Tab.o1[[#This Row],[i.]],AP$3),"")</f>
        <v/>
      </c>
      <c r="Y652" s="126" t="str">
        <f>IF(Tab.o1[[#This Row],[a1]]=1,0.01+0.94*Tab.o1[[#This Row],[PDF]]/MAX(Tab.o1[PDF]),"")</f>
        <v/>
      </c>
      <c r="Z652" s="126" t="str">
        <f>IF(Tab.o1[[#This Row],[a1]]=1,0.01+0.94*Tab.o1[[#This Row],[W1_PDF]]/MAX(Tab.o1[W1_PDF]),"")</f>
        <v/>
      </c>
      <c r="AA652" s="118" t="str">
        <f>IF(Tab.o1[[#This Row],[a1]]=1,ABS([1]!T.in.A[[#This Row],[oo6]]),"")</f>
        <v/>
      </c>
      <c r="AB652" s="127" t="str">
        <f>IF(Tab.o1[[#This Row],[a1]]=1,IF(AE$3=0,"",IF(AB$3=0,ABS([1]!T.in.A[[#This Row],[oo9]]),ABS(Tab.o1[[#This Row],[DIF_Target.]]*Tab.o1[[#This Row],[W1_PDF]]))),"")</f>
        <v/>
      </c>
      <c r="AC652" s="127" t="str">
        <f>IF(G$1=1,"",IF(Tab.o1[[#This Row],[a1]]=1,Tab.o1[[#This Row],[Wr]]^2,""))</f>
        <v/>
      </c>
      <c r="AD652" s="118" t="str">
        <f>IF(Tab.o1[[#This Row],[a1]]=1,IF(AE$3=0,"",Tab.o1[[#This Row],[Wr2]]/SUM(Tab.o1[Wr2])),"")</f>
        <v/>
      </c>
      <c r="AE652" s="128" t="str">
        <f>IF(Tab.o1[[#This Row],[a1]]=1,[1]!T.in.A[[#This Row],[oo10]],"")</f>
        <v/>
      </c>
      <c r="AF652" s="118" t="str">
        <f>IF(Tab.o1[[#This Row],[a1]]=1,ABS(Tab.o1[[#This Row],[DIF_Target.]]*Tab.o1[[#This Row],[PDF2]]*Tab.o1[[#This Row],[IN]]),"")</f>
        <v/>
      </c>
      <c r="AG652" s="129" t="str">
        <f>IF(Tab.o1[[#This Row],[a1]]=1,Tab.o1[[#This Row],[rW]]^2,"")</f>
        <v/>
      </c>
      <c r="AH652" s="130" t="str">
        <f>IF(Tab.o1[[#This Row],[a1]]=1,IF(AH$3=0,Tab.o1[[#This Row],[rW2]],0.01+0.94*Tab.o1[[#This Row],[rW2]]/SUM(Tab.o1[rW2])),"")</f>
        <v/>
      </c>
      <c r="AI652" s="128" t="str">
        <f>IF(Tab.o1[[#This Row],[a1]]=1,1/Tab.o1[[#This Row],[PDF]],"")</f>
        <v/>
      </c>
      <c r="AJ652" s="131" t="str">
        <f>IF(Tab.o1[[#This Row],[a1]]=1,[1]!T_AA[[#This Row],[IN'']]*[1]!T_AA[[#This Row],[Qde'']],"")</f>
        <v/>
      </c>
      <c r="AK652" s="132" t="str">
        <f>IF(Tab.o1[[#This Row],[a1]]=1,IF(AK$1=1,Tab.o1[[#This Row],[MED]]+Tab.o1[[#This Row],[MOD]]-Tab.o1[[#This Row],[MED]],""),"")</f>
        <v/>
      </c>
      <c r="AL652" s="133" t="str">
        <f>IF(Tab.o1[[#This Row],[a1]]=1,[1]!T.in.A[[#This Row],[oo16]],"")</f>
        <v/>
      </c>
      <c r="AM652" s="133" t="str">
        <f>IF(Tab.o1[[#This Row],[a1]]=1,IF(AM$3=1,[1]!T.in.A[[#This Row],[Σo16]],""),"")</f>
        <v/>
      </c>
      <c r="AN652" s="126" t="str">
        <f>IF(Tab.o1[[#This Row],[a1]]=1,[1]!T.in.A[[#This Row],[Σp5]],"")</f>
        <v/>
      </c>
      <c r="AO652" s="126" t="str">
        <f>IF(Tab.o1[[#This Row],[a1]]=1,IF(AO$3=1,[1]!T.in.A[[#This Row],[Σp5]],""),"")</f>
        <v/>
      </c>
      <c r="AP652" s="110" t="str">
        <f>IF(Tab.o1[[#This Row],[a1]]=1,IF(ISNUMBER(Tab.o1[[#This Row],[i.]]),NORMDIST(Tab.o1[[#This Row],[Za]],0,1,FALSE)*Tab.o1[[#This Row],[i.]],0),"")</f>
        <v/>
      </c>
      <c r="AQ652" s="125" t="str">
        <f>IF(Tab.o1[[#This Row],[a1]]=1,ABS(Tab.o1[[#This Row],[MOD]]-AVERAGE(Tab.o1[MOD])),"")</f>
        <v/>
      </c>
      <c r="AR652" s="134" t="str">
        <f>IF(Tab.o1[[#This Row],[a1]]=1,Tab.o1[[#This Row],[OBS]]/SUM(Tab.o1[OBS]),"")</f>
        <v/>
      </c>
      <c r="AS652" s="135" t="str">
        <f>IF(ISNUMBER(Tab.o1[[#This Row],[a1]]),ROW()-4,"")</f>
        <v/>
      </c>
      <c r="AT652" s="136" t="str">
        <f>Tab.o1[[#This Row],[MOD]]</f>
        <v/>
      </c>
      <c r="AU652" s="137" t="str">
        <f t="shared" si="41"/>
        <v/>
      </c>
      <c r="AV652" s="138" t="str">
        <f t="shared" si="42"/>
        <v/>
      </c>
      <c r="AW652" s="138" t="str">
        <f t="shared" si="43"/>
        <v/>
      </c>
      <c r="AX652" s="139" t="str">
        <f>[1]!T.in.A[[#This Row],[ID_T_manu]]</f>
        <v/>
      </c>
      <c r="AY652" s="140" t="str">
        <f>IF(ISNUMBER(Tab.o1[[#This Row],[a1]]),IF(AND(Tab.o1[[#This Row],[a1]]=1,Tab.o1[[#This Row],[b1]]&lt;=AY$4),#REF!,AY651),"")</f>
        <v/>
      </c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</row>
    <row r="653" spans="1:79" s="143" customFormat="1" ht="15.75" hidden="1">
      <c r="A653" s="109">
        <v>5.0000000000000004E-6</v>
      </c>
      <c r="B653" s="110">
        <f t="shared" si="40"/>
        <v>653</v>
      </c>
      <c r="C653" s="111" t="str">
        <f>IF(C$1=[1]!T.in.A[[#This Row],[oo2]],1,"")</f>
        <v/>
      </c>
      <c r="D653" s="112" t="str">
        <f>IF(Tab.o1[[#This Row],[a1]]=1,IF(SUM(C653:C654)=0,0,IF(SUM(C652:C653)=1,1,IF(SUM(C652:C654)&gt;1,D652+1,0))),"")</f>
        <v/>
      </c>
      <c r="E653" s="113" t="str">
        <f>IF(Tab.o1[[#This Row],[a1]]=1,[1]!T.in.A[[#This Row],[oo1]],"")</f>
        <v/>
      </c>
      <c r="F653" s="113" t="str">
        <f>IF(Tab.o1[[#This Row],[a1]]=1,[1]!T.in.A[[#This Row],[pp1]],"")</f>
        <v/>
      </c>
      <c r="G653" s="114" t="str">
        <f>IF(Tab.o1[[#This Row],[a1]]=1,G$2+IF(G$1=1,0,Tab.o1[[#This Row],[.x1]])+[1]!T.in.A[[#This Row],[oo3]],"")</f>
        <v/>
      </c>
      <c r="H653" s="115" t="str">
        <f>IF(Tab.o1[[#This Row],[a1]]=1,IF(H$2=0,0,IF(G$1=1,0,Tab.o1[[#This Row],[.x1]])+[1]!T.in.A[[#This Row],[oo4]]),"")</f>
        <v/>
      </c>
      <c r="I653" s="116" t="str">
        <f>IF(Tab.o1[[#This Row],[a1]]=1,IF(J$2=0,Tab.o1[[#This Row],[MED]],Tab.o1[[#This Row],[MOD]]),"")</f>
        <v/>
      </c>
      <c r="J653" s="116" t="str">
        <f>IF(Tab.o1[[#This Row],[a1]]=1,((Tab.o1[[#This Row],[DIF_Target.]]-AVERAGE(Tab.o1[DIF_Target.]))/_xlfn.STDEV.P(Tab.o1[DIF_Target.])),"")</f>
        <v/>
      </c>
      <c r="K653" s="117" t="str">
        <f>IF(Tab.o1[[#This Row],[a1]]=1,IF(J$2=0,Tab.o1[[#This Row],[MOD]]-Tab.o1[[#This Row],[B]],IF(J$2=1,0,-Tab.o1[[#This Row],[MED]])+Tab.o1[[#This Row],[B]]),"")</f>
        <v/>
      </c>
      <c r="L653" s="117" t="str">
        <f ca="1">IF(Tab.o1[[#This Row],[DIF_Target]]=0,IF(L$2=0,Tab.o1[[#This Row],[DIF_Target]],AVERAGE(OFFSET(Tab.o1[[#This Row],[DIF_Target]],1,0,L$3,1)))/3,Tab.o1[[#This Row],[DIF_Target]])</f>
        <v/>
      </c>
      <c r="M653" s="118" t="str">
        <f>IF(Tab.o1[[#This Row],[a1]]=1,NORMSDIST(Tab.o1[[#This Row],[Za]]),"")</f>
        <v/>
      </c>
      <c r="N653" s="119" t="str">
        <f>IF(Tab.o1[[#This Row],[a1]]=1,((Tab.o1[[#This Row],[MedMod]]-AVERAGE(Tab.o1[MedMod]))/_xlfn.STDEV.P(Tab.o1[MedMod])*H$1205)+G$1205,"")</f>
        <v/>
      </c>
      <c r="O653" s="141" t="str">
        <f>IF(Tab.o1[[#This Row],[a1]]=1,Tab.o1[[#This Row],[Zb]]*_xlfn.STDEV.P(Tab.o1[MedMod])+AVERAGE(Tab.o1[MedMod]),"")</f>
        <v/>
      </c>
      <c r="P653" s="117" t="str">
        <f ca="1">IF(Tab.o1[[#This Row],[B]]=0,AVERAGE(OFFSET(Tab.o1[[#This Row],[B]],1,0,L$3,1)),Tab.o1[[#This Row],[B]])</f>
        <v/>
      </c>
      <c r="Q653" s="121" t="str">
        <f>IF(Tab.o1[[#This Row],[a1]]=1,NORMSDIST(Tab.o1[[#This Row],[Zb]]),"")</f>
        <v/>
      </c>
      <c r="R653" s="122" t="str">
        <f>IF(Tab.o1[[#This Row],[a1]]=1,((Tab.o1[[#This Row],[MedMod]]-AVERAGE(Tab.o1[MedMod]))/_xlfn.STDEV.P(Tab.o1[MedMod])*H$1203)+G$1203,"")</f>
        <v/>
      </c>
      <c r="S653" s="122" t="str">
        <f>IF(Tab.o1[[#This Row],[a1]]=1,((Tab.o1[[#This Row],[MedMod]]-AVERAGE(Tab.o1[MedMod]))/_xlfn.STDEV.P(Tab.o1[MedMod])*H$1204)+G$1204,"")</f>
        <v/>
      </c>
      <c r="T653" s="123" t="str">
        <f>IF(Tab.o1[[#This Row],[a1]]=1,Tab.o1[[#This Row],[Z-]]*_xlfn.STDEV.P(Tab.o1[B])+AVERAGE(Tab.o1[B]),"")</f>
        <v/>
      </c>
      <c r="U653" s="123" t="str">
        <f>IF(Tab.o1[[#This Row],[a1]]=1,Tab.o1[[#This Row],[z+]]*_xlfn.STDEV.P(Tab.o1[B])+AVERAGE(Tab.o1[B]),"")</f>
        <v/>
      </c>
      <c r="V653" s="124" t="str">
        <f>IF(Tab.o1[[#This Row],[a1]]=1,ABS((ABS(Tab.o1[[#This Row],[Red]]-Tab.o1[[#This Row],[Blue]]))),"")</f>
        <v/>
      </c>
      <c r="W653" s="125" t="str">
        <f>IF(Tab.o1[[#This Row],[a1]]=1,IF(W$3=0,1,Tab.o1[[#This Row],[Amp.]]*1/_xlfn.MINIFS(Tab.o1[Amp.],Tab.o1[Amp.],"&lt;&gt;0")),"")</f>
        <v/>
      </c>
      <c r="X653" s="126" t="str">
        <f>IF(Tab.o1[[#This Row],[a1]]=1,IF(ISNUMBER(Tab.o1[[#This Row],[i.]]),NORMDIST(Tab.o1[[#This Row],[Za]],0,1,FALSE)*Tab.o1[[#This Row],[i.]],AP$3),"")</f>
        <v/>
      </c>
      <c r="Y653" s="126" t="str">
        <f>IF(Tab.o1[[#This Row],[a1]]=1,0.01+0.94*Tab.o1[[#This Row],[PDF]]/MAX(Tab.o1[PDF]),"")</f>
        <v/>
      </c>
      <c r="Z653" s="126" t="str">
        <f>IF(Tab.o1[[#This Row],[a1]]=1,0.01+0.94*Tab.o1[[#This Row],[W1_PDF]]/MAX(Tab.o1[W1_PDF]),"")</f>
        <v/>
      </c>
      <c r="AA653" s="118" t="str">
        <f>IF(Tab.o1[[#This Row],[a1]]=1,ABS([1]!T.in.A[[#This Row],[oo6]]),"")</f>
        <v/>
      </c>
      <c r="AB653" s="127" t="str">
        <f>IF(Tab.o1[[#This Row],[a1]]=1,IF(AE$3=0,"",IF(AB$3=0,ABS([1]!T.in.A[[#This Row],[oo9]]),ABS(Tab.o1[[#This Row],[DIF_Target.]]*Tab.o1[[#This Row],[W1_PDF]]))),"")</f>
        <v/>
      </c>
      <c r="AC653" s="127" t="str">
        <f>IF(G$1=1,"",IF(Tab.o1[[#This Row],[a1]]=1,Tab.o1[[#This Row],[Wr]]^2,""))</f>
        <v/>
      </c>
      <c r="AD653" s="118" t="str">
        <f>IF(Tab.o1[[#This Row],[a1]]=1,IF(AE$3=0,"",Tab.o1[[#This Row],[Wr2]]/SUM(Tab.o1[Wr2])),"")</f>
        <v/>
      </c>
      <c r="AE653" s="128" t="str">
        <f>IF(Tab.o1[[#This Row],[a1]]=1,[1]!T.in.A[[#This Row],[oo10]],"")</f>
        <v/>
      </c>
      <c r="AF653" s="118" t="str">
        <f>IF(Tab.o1[[#This Row],[a1]]=1,ABS(Tab.o1[[#This Row],[DIF_Target.]]*Tab.o1[[#This Row],[PDF2]]*Tab.o1[[#This Row],[IN]]),"")</f>
        <v/>
      </c>
      <c r="AG653" s="129" t="str">
        <f>IF(Tab.o1[[#This Row],[a1]]=1,Tab.o1[[#This Row],[rW]]^2,"")</f>
        <v/>
      </c>
      <c r="AH653" s="130" t="str">
        <f>IF(Tab.o1[[#This Row],[a1]]=1,IF(AH$3=0,Tab.o1[[#This Row],[rW2]],0.01+0.94*Tab.o1[[#This Row],[rW2]]/SUM(Tab.o1[rW2])),"")</f>
        <v/>
      </c>
      <c r="AI653" s="128" t="str">
        <f>IF(Tab.o1[[#This Row],[a1]]=1,1/Tab.o1[[#This Row],[PDF]],"")</f>
        <v/>
      </c>
      <c r="AJ653" s="131" t="str">
        <f>IF(Tab.o1[[#This Row],[a1]]=1,[1]!T_AA[[#This Row],[IN'']]*[1]!T_AA[[#This Row],[Qde'']],"")</f>
        <v/>
      </c>
      <c r="AK653" s="132" t="str">
        <f>IF(Tab.o1[[#This Row],[a1]]=1,IF(AK$1=1,Tab.o1[[#This Row],[MED]]+Tab.o1[[#This Row],[MOD]]-Tab.o1[[#This Row],[MED]],""),"")</f>
        <v/>
      </c>
      <c r="AL653" s="133" t="str">
        <f>IF(Tab.o1[[#This Row],[a1]]=1,[1]!T.in.A[[#This Row],[oo16]],"")</f>
        <v/>
      </c>
      <c r="AM653" s="133" t="str">
        <f>IF(Tab.o1[[#This Row],[a1]]=1,IF(AM$3=1,[1]!T.in.A[[#This Row],[Σo16]],""),"")</f>
        <v/>
      </c>
      <c r="AN653" s="126" t="str">
        <f>IF(Tab.o1[[#This Row],[a1]]=1,[1]!T.in.A[[#This Row],[Σp5]],"")</f>
        <v/>
      </c>
      <c r="AO653" s="126" t="str">
        <f>IF(Tab.o1[[#This Row],[a1]]=1,IF(AO$3=1,[1]!T.in.A[[#This Row],[Σp5]],""),"")</f>
        <v/>
      </c>
      <c r="AP653" s="110" t="str">
        <f>IF(Tab.o1[[#This Row],[a1]]=1,IF(ISNUMBER(Tab.o1[[#This Row],[i.]]),NORMDIST(Tab.o1[[#This Row],[Za]],0,1,FALSE)*Tab.o1[[#This Row],[i.]],0),"")</f>
        <v/>
      </c>
      <c r="AQ653" s="125" t="str">
        <f>IF(Tab.o1[[#This Row],[a1]]=1,ABS(Tab.o1[[#This Row],[MOD]]-AVERAGE(Tab.o1[MOD])),"")</f>
        <v/>
      </c>
      <c r="AR653" s="134" t="str">
        <f>IF(Tab.o1[[#This Row],[a1]]=1,Tab.o1[[#This Row],[OBS]]/SUM(Tab.o1[OBS]),"")</f>
        <v/>
      </c>
      <c r="AS653" s="135" t="str">
        <f>IF(ISNUMBER(Tab.o1[[#This Row],[a1]]),ROW()-4,"")</f>
        <v/>
      </c>
      <c r="AT653" s="136" t="str">
        <f>Tab.o1[[#This Row],[MOD]]</f>
        <v/>
      </c>
      <c r="AU653" s="137" t="str">
        <f t="shared" si="41"/>
        <v/>
      </c>
      <c r="AV653" s="138" t="str">
        <f t="shared" si="42"/>
        <v/>
      </c>
      <c r="AW653" s="138" t="str">
        <f t="shared" si="43"/>
        <v/>
      </c>
      <c r="AX653" s="139" t="str">
        <f>[1]!T.in.A[[#This Row],[ID_T_manu]]</f>
        <v/>
      </c>
      <c r="AY653" s="140" t="str">
        <f>IF(ISNUMBER(Tab.o1[[#This Row],[a1]]),IF(AND(Tab.o1[[#This Row],[a1]]=1,Tab.o1[[#This Row],[b1]]&lt;=AY$4),#REF!,AY652),"")</f>
        <v/>
      </c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</row>
    <row r="654" spans="1:79" s="143" customFormat="1" ht="15.75" hidden="1">
      <c r="A654" s="109">
        <v>1.0000000000000002E-6</v>
      </c>
      <c r="B654" s="110">
        <f t="shared" si="40"/>
        <v>654</v>
      </c>
      <c r="C654" s="111" t="str">
        <f>IF(C$1=[1]!T.in.A[[#This Row],[oo2]],1,"")</f>
        <v/>
      </c>
      <c r="D654" s="112" t="str">
        <f>IF(Tab.o1[[#This Row],[a1]]=1,IF(SUM(C654:C655)=0,0,IF(SUM(C653:C654)=1,1,IF(SUM(C653:C655)&gt;1,D653+1,0))),"")</f>
        <v/>
      </c>
      <c r="E654" s="113" t="str">
        <f>IF(Tab.o1[[#This Row],[a1]]=1,[1]!T.in.A[[#This Row],[oo1]],"")</f>
        <v/>
      </c>
      <c r="F654" s="113" t="str">
        <f>IF(Tab.o1[[#This Row],[a1]]=1,[1]!T.in.A[[#This Row],[pp1]],"")</f>
        <v/>
      </c>
      <c r="G654" s="114" t="str">
        <f>IF(Tab.o1[[#This Row],[a1]]=1,G$2+IF(G$1=1,0,Tab.o1[[#This Row],[.x1]])+[1]!T.in.A[[#This Row],[oo3]],"")</f>
        <v/>
      </c>
      <c r="H654" s="115" t="str">
        <f>IF(Tab.o1[[#This Row],[a1]]=1,IF(H$2=0,0,IF(G$1=1,0,Tab.o1[[#This Row],[.x1]])+[1]!T.in.A[[#This Row],[oo4]]),"")</f>
        <v/>
      </c>
      <c r="I654" s="116" t="str">
        <f>IF(Tab.o1[[#This Row],[a1]]=1,IF(J$2=0,Tab.o1[[#This Row],[MED]],Tab.o1[[#This Row],[MOD]]),"")</f>
        <v/>
      </c>
      <c r="J654" s="116" t="str">
        <f>IF(Tab.o1[[#This Row],[a1]]=1,((Tab.o1[[#This Row],[DIF_Target.]]-AVERAGE(Tab.o1[DIF_Target.]))/_xlfn.STDEV.P(Tab.o1[DIF_Target.])),"")</f>
        <v/>
      </c>
      <c r="K654" s="117" t="str">
        <f>IF(Tab.o1[[#This Row],[a1]]=1,IF(J$2=0,Tab.o1[[#This Row],[MOD]]-Tab.o1[[#This Row],[B]],IF(J$2=1,0,-Tab.o1[[#This Row],[MED]])+Tab.o1[[#This Row],[B]]),"")</f>
        <v/>
      </c>
      <c r="L654" s="117" t="str">
        <f ca="1">IF(Tab.o1[[#This Row],[DIF_Target]]=0,IF(L$2=0,Tab.o1[[#This Row],[DIF_Target]],AVERAGE(OFFSET(Tab.o1[[#This Row],[DIF_Target]],1,0,L$3,1)))/3,Tab.o1[[#This Row],[DIF_Target]])</f>
        <v/>
      </c>
      <c r="M654" s="118" t="str">
        <f>IF(Tab.o1[[#This Row],[a1]]=1,NORMSDIST(Tab.o1[[#This Row],[Za]]),"")</f>
        <v/>
      </c>
      <c r="N654" s="119" t="str">
        <f>IF(Tab.o1[[#This Row],[a1]]=1,((Tab.o1[[#This Row],[MedMod]]-AVERAGE(Tab.o1[MedMod]))/_xlfn.STDEV.P(Tab.o1[MedMod])*H$1205)+G$1205,"")</f>
        <v/>
      </c>
      <c r="O654" s="141" t="str">
        <f>IF(Tab.o1[[#This Row],[a1]]=1,Tab.o1[[#This Row],[Zb]]*_xlfn.STDEV.P(Tab.o1[MedMod])+AVERAGE(Tab.o1[MedMod]),"")</f>
        <v/>
      </c>
      <c r="P654" s="117" t="str">
        <f ca="1">IF(Tab.o1[[#This Row],[B]]=0,AVERAGE(OFFSET(Tab.o1[[#This Row],[B]],1,0,L$3,1)),Tab.o1[[#This Row],[B]])</f>
        <v/>
      </c>
      <c r="Q654" s="121" t="str">
        <f>IF(Tab.o1[[#This Row],[a1]]=1,NORMSDIST(Tab.o1[[#This Row],[Zb]]),"")</f>
        <v/>
      </c>
      <c r="R654" s="122" t="str">
        <f>IF(Tab.o1[[#This Row],[a1]]=1,((Tab.o1[[#This Row],[MedMod]]-AVERAGE(Tab.o1[MedMod]))/_xlfn.STDEV.P(Tab.o1[MedMod])*H$1203)+G$1203,"")</f>
        <v/>
      </c>
      <c r="S654" s="122" t="str">
        <f>IF(Tab.o1[[#This Row],[a1]]=1,((Tab.o1[[#This Row],[MedMod]]-AVERAGE(Tab.o1[MedMod]))/_xlfn.STDEV.P(Tab.o1[MedMod])*H$1204)+G$1204,"")</f>
        <v/>
      </c>
      <c r="T654" s="123" t="str">
        <f>IF(Tab.o1[[#This Row],[a1]]=1,Tab.o1[[#This Row],[Z-]]*_xlfn.STDEV.P(Tab.o1[B])+AVERAGE(Tab.o1[B]),"")</f>
        <v/>
      </c>
      <c r="U654" s="123" t="str">
        <f>IF(Tab.o1[[#This Row],[a1]]=1,Tab.o1[[#This Row],[z+]]*_xlfn.STDEV.P(Tab.o1[B])+AVERAGE(Tab.o1[B]),"")</f>
        <v/>
      </c>
      <c r="V654" s="124" t="str">
        <f>IF(Tab.o1[[#This Row],[a1]]=1,ABS((ABS(Tab.o1[[#This Row],[Red]]-Tab.o1[[#This Row],[Blue]]))),"")</f>
        <v/>
      </c>
      <c r="W654" s="125" t="str">
        <f>IF(Tab.o1[[#This Row],[a1]]=1,IF(W$3=0,1,Tab.o1[[#This Row],[Amp.]]*1/_xlfn.MINIFS(Tab.o1[Amp.],Tab.o1[Amp.],"&lt;&gt;0")),"")</f>
        <v/>
      </c>
      <c r="X654" s="126" t="str">
        <f>IF(Tab.o1[[#This Row],[a1]]=1,IF(ISNUMBER(Tab.o1[[#This Row],[i.]]),NORMDIST(Tab.o1[[#This Row],[Za]],0,1,FALSE)*Tab.o1[[#This Row],[i.]],AP$3),"")</f>
        <v/>
      </c>
      <c r="Y654" s="126" t="str">
        <f>IF(Tab.o1[[#This Row],[a1]]=1,0.01+0.94*Tab.o1[[#This Row],[PDF]]/MAX(Tab.o1[PDF]),"")</f>
        <v/>
      </c>
      <c r="Z654" s="126" t="str">
        <f>IF(Tab.o1[[#This Row],[a1]]=1,0.01+0.94*Tab.o1[[#This Row],[W1_PDF]]/MAX(Tab.o1[W1_PDF]),"")</f>
        <v/>
      </c>
      <c r="AA654" s="118" t="str">
        <f>IF(Tab.o1[[#This Row],[a1]]=1,ABS([1]!T.in.A[[#This Row],[oo6]]),"")</f>
        <v/>
      </c>
      <c r="AB654" s="127" t="str">
        <f>IF(Tab.o1[[#This Row],[a1]]=1,IF(AE$3=0,"",IF(AB$3=0,ABS([1]!T.in.A[[#This Row],[oo9]]),ABS(Tab.o1[[#This Row],[DIF_Target.]]*Tab.o1[[#This Row],[W1_PDF]]))),"")</f>
        <v/>
      </c>
      <c r="AC654" s="127" t="str">
        <f>IF(G$1=1,"",IF(Tab.o1[[#This Row],[a1]]=1,Tab.o1[[#This Row],[Wr]]^2,""))</f>
        <v/>
      </c>
      <c r="AD654" s="118" t="str">
        <f>IF(Tab.o1[[#This Row],[a1]]=1,IF(AE$3=0,"",Tab.o1[[#This Row],[Wr2]]/SUM(Tab.o1[Wr2])),"")</f>
        <v/>
      </c>
      <c r="AE654" s="128" t="str">
        <f>IF(Tab.o1[[#This Row],[a1]]=1,[1]!T.in.A[[#This Row],[oo10]],"")</f>
        <v/>
      </c>
      <c r="AF654" s="118" t="str">
        <f>IF(Tab.o1[[#This Row],[a1]]=1,ABS(Tab.o1[[#This Row],[DIF_Target.]]*Tab.o1[[#This Row],[PDF2]]*Tab.o1[[#This Row],[IN]]),"")</f>
        <v/>
      </c>
      <c r="AG654" s="129" t="str">
        <f>IF(Tab.o1[[#This Row],[a1]]=1,Tab.o1[[#This Row],[rW]]^2,"")</f>
        <v/>
      </c>
      <c r="AH654" s="130" t="str">
        <f>IF(Tab.o1[[#This Row],[a1]]=1,IF(AH$3=0,Tab.o1[[#This Row],[rW2]],0.01+0.94*Tab.o1[[#This Row],[rW2]]/SUM(Tab.o1[rW2])),"")</f>
        <v/>
      </c>
      <c r="AI654" s="128" t="str">
        <f>IF(Tab.o1[[#This Row],[a1]]=1,1/Tab.o1[[#This Row],[PDF]],"")</f>
        <v/>
      </c>
      <c r="AJ654" s="131" t="str">
        <f>IF(Tab.o1[[#This Row],[a1]]=1,[1]!T_AA[[#This Row],[IN'']]*[1]!T_AA[[#This Row],[Qde'']],"")</f>
        <v/>
      </c>
      <c r="AK654" s="132" t="str">
        <f>IF(Tab.o1[[#This Row],[a1]]=1,IF(AK$1=1,Tab.o1[[#This Row],[MED]]+Tab.o1[[#This Row],[MOD]]-Tab.o1[[#This Row],[MED]],""),"")</f>
        <v/>
      </c>
      <c r="AL654" s="133" t="str">
        <f>IF(Tab.o1[[#This Row],[a1]]=1,[1]!T.in.A[[#This Row],[oo16]],"")</f>
        <v/>
      </c>
      <c r="AM654" s="133" t="str">
        <f>IF(Tab.o1[[#This Row],[a1]]=1,IF(AM$3=1,[1]!T.in.A[[#This Row],[Σo16]],""),"")</f>
        <v/>
      </c>
      <c r="AN654" s="126" t="str">
        <f>IF(Tab.o1[[#This Row],[a1]]=1,[1]!T.in.A[[#This Row],[Σp5]],"")</f>
        <v/>
      </c>
      <c r="AO654" s="126" t="str">
        <f>IF(Tab.o1[[#This Row],[a1]]=1,IF(AO$3=1,[1]!T.in.A[[#This Row],[Σp5]],""),"")</f>
        <v/>
      </c>
      <c r="AP654" s="110" t="str">
        <f>IF(Tab.o1[[#This Row],[a1]]=1,IF(ISNUMBER(Tab.o1[[#This Row],[i.]]),NORMDIST(Tab.o1[[#This Row],[Za]],0,1,FALSE)*Tab.o1[[#This Row],[i.]],0),"")</f>
        <v/>
      </c>
      <c r="AQ654" s="125" t="str">
        <f>IF(Tab.o1[[#This Row],[a1]]=1,ABS(Tab.o1[[#This Row],[MOD]]-AVERAGE(Tab.o1[MOD])),"")</f>
        <v/>
      </c>
      <c r="AR654" s="134" t="str">
        <f>IF(Tab.o1[[#This Row],[a1]]=1,Tab.o1[[#This Row],[OBS]]/SUM(Tab.o1[OBS]),"")</f>
        <v/>
      </c>
      <c r="AS654" s="135" t="str">
        <f>IF(ISNUMBER(Tab.o1[[#This Row],[a1]]),ROW()-4,"")</f>
        <v/>
      </c>
      <c r="AT654" s="136" t="str">
        <f>Tab.o1[[#This Row],[MOD]]</f>
        <v/>
      </c>
      <c r="AU654" s="137" t="str">
        <f t="shared" si="41"/>
        <v/>
      </c>
      <c r="AV654" s="138" t="str">
        <f t="shared" si="42"/>
        <v/>
      </c>
      <c r="AW654" s="138" t="str">
        <f t="shared" si="43"/>
        <v/>
      </c>
      <c r="AX654" s="139" t="str">
        <f>[1]!T.in.A[[#This Row],[ID_T_manu]]</f>
        <v/>
      </c>
      <c r="AY654" s="140" t="str">
        <f>IF(ISNUMBER(Tab.o1[[#This Row],[a1]]),IF(AND(Tab.o1[[#This Row],[a1]]=1,Tab.o1[[#This Row],[b1]]&lt;=AY$4),#REF!,AY653),"")</f>
        <v/>
      </c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</row>
    <row r="655" spans="1:79" s="143" customFormat="1" ht="15.75" hidden="1">
      <c r="A655" s="109">
        <v>2.9999999999999997E-6</v>
      </c>
      <c r="B655" s="110">
        <f t="shared" si="40"/>
        <v>655</v>
      </c>
      <c r="C655" s="111" t="str">
        <f>IF(C$1=[1]!T.in.A[[#This Row],[oo2]],1,"")</f>
        <v/>
      </c>
      <c r="D655" s="112" t="str">
        <f>IF(Tab.o1[[#This Row],[a1]]=1,IF(SUM(C655:C656)=0,0,IF(SUM(C654:C655)=1,1,IF(SUM(C654:C656)&gt;1,D654+1,0))),"")</f>
        <v/>
      </c>
      <c r="E655" s="113" t="str">
        <f>IF(Tab.o1[[#This Row],[a1]]=1,[1]!T.in.A[[#This Row],[oo1]],"")</f>
        <v/>
      </c>
      <c r="F655" s="113" t="str">
        <f>IF(Tab.o1[[#This Row],[a1]]=1,[1]!T.in.A[[#This Row],[pp1]],"")</f>
        <v/>
      </c>
      <c r="G655" s="114" t="str">
        <f>IF(Tab.o1[[#This Row],[a1]]=1,G$2+IF(G$1=1,0,Tab.o1[[#This Row],[.x1]])+[1]!T.in.A[[#This Row],[oo3]],"")</f>
        <v/>
      </c>
      <c r="H655" s="115" t="str">
        <f>IF(Tab.o1[[#This Row],[a1]]=1,IF(H$2=0,0,IF(G$1=1,0,Tab.o1[[#This Row],[.x1]])+[1]!T.in.A[[#This Row],[oo4]]),"")</f>
        <v/>
      </c>
      <c r="I655" s="116" t="str">
        <f>IF(Tab.o1[[#This Row],[a1]]=1,IF(J$2=0,Tab.o1[[#This Row],[MED]],Tab.o1[[#This Row],[MOD]]),"")</f>
        <v/>
      </c>
      <c r="J655" s="116" t="str">
        <f>IF(Tab.o1[[#This Row],[a1]]=1,((Tab.o1[[#This Row],[DIF_Target.]]-AVERAGE(Tab.o1[DIF_Target.]))/_xlfn.STDEV.P(Tab.o1[DIF_Target.])),"")</f>
        <v/>
      </c>
      <c r="K655" s="117" t="str">
        <f>IF(Tab.o1[[#This Row],[a1]]=1,IF(J$2=0,Tab.o1[[#This Row],[MOD]]-Tab.o1[[#This Row],[B]],IF(J$2=1,0,-Tab.o1[[#This Row],[MED]])+Tab.o1[[#This Row],[B]]),"")</f>
        <v/>
      </c>
      <c r="L655" s="117" t="str">
        <f ca="1">IF(Tab.o1[[#This Row],[DIF_Target]]=0,IF(L$2=0,Tab.o1[[#This Row],[DIF_Target]],AVERAGE(OFFSET(Tab.o1[[#This Row],[DIF_Target]],1,0,L$3,1)))/3,Tab.o1[[#This Row],[DIF_Target]])</f>
        <v/>
      </c>
      <c r="M655" s="118" t="str">
        <f>IF(Tab.o1[[#This Row],[a1]]=1,NORMSDIST(Tab.o1[[#This Row],[Za]]),"")</f>
        <v/>
      </c>
      <c r="N655" s="119" t="str">
        <f>IF(Tab.o1[[#This Row],[a1]]=1,((Tab.o1[[#This Row],[MedMod]]-AVERAGE(Tab.o1[MedMod]))/_xlfn.STDEV.P(Tab.o1[MedMod])*H$1205)+G$1205,"")</f>
        <v/>
      </c>
      <c r="O655" s="141" t="str">
        <f>IF(Tab.o1[[#This Row],[a1]]=1,Tab.o1[[#This Row],[Zb]]*_xlfn.STDEV.P(Tab.o1[MedMod])+AVERAGE(Tab.o1[MedMod]),"")</f>
        <v/>
      </c>
      <c r="P655" s="117" t="str">
        <f ca="1">IF(Tab.o1[[#This Row],[B]]=0,AVERAGE(OFFSET(Tab.o1[[#This Row],[B]],1,0,L$3,1)),Tab.o1[[#This Row],[B]])</f>
        <v/>
      </c>
      <c r="Q655" s="121" t="str">
        <f>IF(Tab.o1[[#This Row],[a1]]=1,NORMSDIST(Tab.o1[[#This Row],[Zb]]),"")</f>
        <v/>
      </c>
      <c r="R655" s="122" t="str">
        <f>IF(Tab.o1[[#This Row],[a1]]=1,((Tab.o1[[#This Row],[MedMod]]-AVERAGE(Tab.o1[MedMod]))/_xlfn.STDEV.P(Tab.o1[MedMod])*H$1203)+G$1203,"")</f>
        <v/>
      </c>
      <c r="S655" s="122" t="str">
        <f>IF(Tab.o1[[#This Row],[a1]]=1,((Tab.o1[[#This Row],[MedMod]]-AVERAGE(Tab.o1[MedMod]))/_xlfn.STDEV.P(Tab.o1[MedMod])*H$1204)+G$1204,"")</f>
        <v/>
      </c>
      <c r="T655" s="123" t="str">
        <f>IF(Tab.o1[[#This Row],[a1]]=1,Tab.o1[[#This Row],[Z-]]*_xlfn.STDEV.P(Tab.o1[B])+AVERAGE(Tab.o1[B]),"")</f>
        <v/>
      </c>
      <c r="U655" s="123" t="str">
        <f>IF(Tab.o1[[#This Row],[a1]]=1,Tab.o1[[#This Row],[z+]]*_xlfn.STDEV.P(Tab.o1[B])+AVERAGE(Tab.o1[B]),"")</f>
        <v/>
      </c>
      <c r="V655" s="124" t="str">
        <f>IF(Tab.o1[[#This Row],[a1]]=1,ABS((ABS(Tab.o1[[#This Row],[Red]]-Tab.o1[[#This Row],[Blue]]))),"")</f>
        <v/>
      </c>
      <c r="W655" s="125" t="str">
        <f>IF(Tab.o1[[#This Row],[a1]]=1,IF(W$3=0,1,Tab.o1[[#This Row],[Amp.]]*1/_xlfn.MINIFS(Tab.o1[Amp.],Tab.o1[Amp.],"&lt;&gt;0")),"")</f>
        <v/>
      </c>
      <c r="X655" s="126" t="str">
        <f>IF(Tab.o1[[#This Row],[a1]]=1,IF(ISNUMBER(Tab.o1[[#This Row],[i.]]),NORMDIST(Tab.o1[[#This Row],[Za]],0,1,FALSE)*Tab.o1[[#This Row],[i.]],AP$3),"")</f>
        <v/>
      </c>
      <c r="Y655" s="126" t="str">
        <f>IF(Tab.o1[[#This Row],[a1]]=1,0.01+0.94*Tab.o1[[#This Row],[PDF]]/MAX(Tab.o1[PDF]),"")</f>
        <v/>
      </c>
      <c r="Z655" s="126" t="str">
        <f>IF(Tab.o1[[#This Row],[a1]]=1,0.01+0.94*Tab.o1[[#This Row],[W1_PDF]]/MAX(Tab.o1[W1_PDF]),"")</f>
        <v/>
      </c>
      <c r="AA655" s="118" t="str">
        <f>IF(Tab.o1[[#This Row],[a1]]=1,ABS([1]!T.in.A[[#This Row],[oo6]]),"")</f>
        <v/>
      </c>
      <c r="AB655" s="127" t="str">
        <f>IF(Tab.o1[[#This Row],[a1]]=1,IF(AE$3=0,"",IF(AB$3=0,ABS([1]!T.in.A[[#This Row],[oo9]]),ABS(Tab.o1[[#This Row],[DIF_Target.]]*Tab.o1[[#This Row],[W1_PDF]]))),"")</f>
        <v/>
      </c>
      <c r="AC655" s="127" t="str">
        <f>IF(G$1=1,"",IF(Tab.o1[[#This Row],[a1]]=1,Tab.o1[[#This Row],[Wr]]^2,""))</f>
        <v/>
      </c>
      <c r="AD655" s="118" t="str">
        <f>IF(Tab.o1[[#This Row],[a1]]=1,IF(AE$3=0,"",Tab.o1[[#This Row],[Wr2]]/SUM(Tab.o1[Wr2])),"")</f>
        <v/>
      </c>
      <c r="AE655" s="128" t="str">
        <f>IF(Tab.o1[[#This Row],[a1]]=1,[1]!T.in.A[[#This Row],[oo10]],"")</f>
        <v/>
      </c>
      <c r="AF655" s="118" t="str">
        <f>IF(Tab.o1[[#This Row],[a1]]=1,ABS(Tab.o1[[#This Row],[DIF_Target.]]*Tab.o1[[#This Row],[PDF2]]*Tab.o1[[#This Row],[IN]]),"")</f>
        <v/>
      </c>
      <c r="AG655" s="129" t="str">
        <f>IF(Tab.o1[[#This Row],[a1]]=1,Tab.o1[[#This Row],[rW]]^2,"")</f>
        <v/>
      </c>
      <c r="AH655" s="130" t="str">
        <f>IF(Tab.o1[[#This Row],[a1]]=1,IF(AH$3=0,Tab.o1[[#This Row],[rW2]],0.01+0.94*Tab.o1[[#This Row],[rW2]]/SUM(Tab.o1[rW2])),"")</f>
        <v/>
      </c>
      <c r="AI655" s="128" t="str">
        <f>IF(Tab.o1[[#This Row],[a1]]=1,1/Tab.o1[[#This Row],[PDF]],"")</f>
        <v/>
      </c>
      <c r="AJ655" s="131" t="str">
        <f>IF(Tab.o1[[#This Row],[a1]]=1,[1]!T_AA[[#This Row],[IN'']]*[1]!T_AA[[#This Row],[Qde'']],"")</f>
        <v/>
      </c>
      <c r="AK655" s="132" t="str">
        <f>IF(Tab.o1[[#This Row],[a1]]=1,IF(AK$1=1,Tab.o1[[#This Row],[MED]]+Tab.o1[[#This Row],[MOD]]-Tab.o1[[#This Row],[MED]],""),"")</f>
        <v/>
      </c>
      <c r="AL655" s="133" t="str">
        <f>IF(Tab.o1[[#This Row],[a1]]=1,[1]!T.in.A[[#This Row],[oo16]],"")</f>
        <v/>
      </c>
      <c r="AM655" s="133" t="str">
        <f>IF(Tab.o1[[#This Row],[a1]]=1,IF(AM$3=1,[1]!T.in.A[[#This Row],[Σo16]],""),"")</f>
        <v/>
      </c>
      <c r="AN655" s="126" t="str">
        <f>IF(Tab.o1[[#This Row],[a1]]=1,[1]!T.in.A[[#This Row],[Σp5]],"")</f>
        <v/>
      </c>
      <c r="AO655" s="126" t="str">
        <f>IF(Tab.o1[[#This Row],[a1]]=1,IF(AO$3=1,[1]!T.in.A[[#This Row],[Σp5]],""),"")</f>
        <v/>
      </c>
      <c r="AP655" s="110" t="str">
        <f>IF(Tab.o1[[#This Row],[a1]]=1,IF(ISNUMBER(Tab.o1[[#This Row],[i.]]),NORMDIST(Tab.o1[[#This Row],[Za]],0,1,FALSE)*Tab.o1[[#This Row],[i.]],0),"")</f>
        <v/>
      </c>
      <c r="AQ655" s="125" t="str">
        <f>IF(Tab.o1[[#This Row],[a1]]=1,ABS(Tab.o1[[#This Row],[MOD]]-AVERAGE(Tab.o1[MOD])),"")</f>
        <v/>
      </c>
      <c r="AR655" s="134" t="str">
        <f>IF(Tab.o1[[#This Row],[a1]]=1,Tab.o1[[#This Row],[OBS]]/SUM(Tab.o1[OBS]),"")</f>
        <v/>
      </c>
      <c r="AS655" s="135" t="str">
        <f>IF(ISNUMBER(Tab.o1[[#This Row],[a1]]),ROW()-4,"")</f>
        <v/>
      </c>
      <c r="AT655" s="136" t="str">
        <f>Tab.o1[[#This Row],[MOD]]</f>
        <v/>
      </c>
      <c r="AU655" s="137" t="str">
        <f t="shared" si="41"/>
        <v/>
      </c>
      <c r="AV655" s="138" t="str">
        <f t="shared" si="42"/>
        <v/>
      </c>
      <c r="AW655" s="138" t="str">
        <f t="shared" si="43"/>
        <v/>
      </c>
      <c r="AX655" s="139" t="str">
        <f>[1]!T.in.A[[#This Row],[ID_T_manu]]</f>
        <v/>
      </c>
      <c r="AY655" s="140" t="str">
        <f>IF(ISNUMBER(Tab.o1[[#This Row],[a1]]),IF(AND(Tab.o1[[#This Row],[a1]]=1,Tab.o1[[#This Row],[b1]]&lt;=AY$4),#REF!,AY654),"")</f>
        <v/>
      </c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</row>
    <row r="656" spans="1:79" s="143" customFormat="1" ht="15.75" hidden="1">
      <c r="A656" s="109">
        <v>8.0000000000000013E-6</v>
      </c>
      <c r="B656" s="110">
        <f t="shared" si="40"/>
        <v>656</v>
      </c>
      <c r="C656" s="111" t="str">
        <f>IF(C$1=[1]!T.in.A[[#This Row],[oo2]],1,"")</f>
        <v/>
      </c>
      <c r="D656" s="112" t="str">
        <f>IF(Tab.o1[[#This Row],[a1]]=1,IF(SUM(C656:C657)=0,0,IF(SUM(C655:C656)=1,1,IF(SUM(C655:C657)&gt;1,D655+1,0))),"")</f>
        <v/>
      </c>
      <c r="E656" s="113" t="str">
        <f>IF(Tab.o1[[#This Row],[a1]]=1,[1]!T.in.A[[#This Row],[oo1]],"")</f>
        <v/>
      </c>
      <c r="F656" s="113" t="str">
        <f>IF(Tab.o1[[#This Row],[a1]]=1,[1]!T.in.A[[#This Row],[pp1]],"")</f>
        <v/>
      </c>
      <c r="G656" s="114" t="str">
        <f>IF(Tab.o1[[#This Row],[a1]]=1,G$2+IF(G$1=1,0,Tab.o1[[#This Row],[.x1]])+[1]!T.in.A[[#This Row],[oo3]],"")</f>
        <v/>
      </c>
      <c r="H656" s="115" t="str">
        <f>IF(Tab.o1[[#This Row],[a1]]=1,IF(H$2=0,0,IF(G$1=1,0,Tab.o1[[#This Row],[.x1]])+[1]!T.in.A[[#This Row],[oo4]]),"")</f>
        <v/>
      </c>
      <c r="I656" s="116" t="str">
        <f>IF(Tab.o1[[#This Row],[a1]]=1,IF(J$2=0,Tab.o1[[#This Row],[MED]],Tab.o1[[#This Row],[MOD]]),"")</f>
        <v/>
      </c>
      <c r="J656" s="116" t="str">
        <f>IF(Tab.o1[[#This Row],[a1]]=1,((Tab.o1[[#This Row],[DIF_Target.]]-AVERAGE(Tab.o1[DIF_Target.]))/_xlfn.STDEV.P(Tab.o1[DIF_Target.])),"")</f>
        <v/>
      </c>
      <c r="K656" s="117" t="str">
        <f>IF(Tab.o1[[#This Row],[a1]]=1,IF(J$2=0,Tab.o1[[#This Row],[MOD]]-Tab.o1[[#This Row],[B]],IF(J$2=1,0,-Tab.o1[[#This Row],[MED]])+Tab.o1[[#This Row],[B]]),"")</f>
        <v/>
      </c>
      <c r="L656" s="117" t="str">
        <f ca="1">IF(Tab.o1[[#This Row],[DIF_Target]]=0,IF(L$2=0,Tab.o1[[#This Row],[DIF_Target]],AVERAGE(OFFSET(Tab.o1[[#This Row],[DIF_Target]],1,0,L$3,1)))/3,Tab.o1[[#This Row],[DIF_Target]])</f>
        <v/>
      </c>
      <c r="M656" s="118" t="str">
        <f>IF(Tab.o1[[#This Row],[a1]]=1,NORMSDIST(Tab.o1[[#This Row],[Za]]),"")</f>
        <v/>
      </c>
      <c r="N656" s="119" t="str">
        <f>IF(Tab.o1[[#This Row],[a1]]=1,((Tab.o1[[#This Row],[MedMod]]-AVERAGE(Tab.o1[MedMod]))/_xlfn.STDEV.P(Tab.o1[MedMod])*H$1205)+G$1205,"")</f>
        <v/>
      </c>
      <c r="O656" s="141" t="str">
        <f>IF(Tab.o1[[#This Row],[a1]]=1,Tab.o1[[#This Row],[Zb]]*_xlfn.STDEV.P(Tab.o1[MedMod])+AVERAGE(Tab.o1[MedMod]),"")</f>
        <v/>
      </c>
      <c r="P656" s="117" t="str">
        <f ca="1">IF(Tab.o1[[#This Row],[B]]=0,AVERAGE(OFFSET(Tab.o1[[#This Row],[B]],1,0,L$3,1)),Tab.o1[[#This Row],[B]])</f>
        <v/>
      </c>
      <c r="Q656" s="121" t="str">
        <f>IF(Tab.o1[[#This Row],[a1]]=1,NORMSDIST(Tab.o1[[#This Row],[Zb]]),"")</f>
        <v/>
      </c>
      <c r="R656" s="122" t="str">
        <f>IF(Tab.o1[[#This Row],[a1]]=1,((Tab.o1[[#This Row],[MedMod]]-AVERAGE(Tab.o1[MedMod]))/_xlfn.STDEV.P(Tab.o1[MedMod])*H$1203)+G$1203,"")</f>
        <v/>
      </c>
      <c r="S656" s="122" t="str">
        <f>IF(Tab.o1[[#This Row],[a1]]=1,((Tab.o1[[#This Row],[MedMod]]-AVERAGE(Tab.o1[MedMod]))/_xlfn.STDEV.P(Tab.o1[MedMod])*H$1204)+G$1204,"")</f>
        <v/>
      </c>
      <c r="T656" s="123" t="str">
        <f>IF(Tab.o1[[#This Row],[a1]]=1,Tab.o1[[#This Row],[Z-]]*_xlfn.STDEV.P(Tab.o1[B])+AVERAGE(Tab.o1[B]),"")</f>
        <v/>
      </c>
      <c r="U656" s="123" t="str">
        <f>IF(Tab.o1[[#This Row],[a1]]=1,Tab.o1[[#This Row],[z+]]*_xlfn.STDEV.P(Tab.o1[B])+AVERAGE(Tab.o1[B]),"")</f>
        <v/>
      </c>
      <c r="V656" s="124" t="str">
        <f>IF(Tab.o1[[#This Row],[a1]]=1,ABS((ABS(Tab.o1[[#This Row],[Red]]-Tab.o1[[#This Row],[Blue]]))),"")</f>
        <v/>
      </c>
      <c r="W656" s="125" t="str">
        <f>IF(Tab.o1[[#This Row],[a1]]=1,IF(W$3=0,1,Tab.o1[[#This Row],[Amp.]]*1/_xlfn.MINIFS(Tab.o1[Amp.],Tab.o1[Amp.],"&lt;&gt;0")),"")</f>
        <v/>
      </c>
      <c r="X656" s="126" t="str">
        <f>IF(Tab.o1[[#This Row],[a1]]=1,IF(ISNUMBER(Tab.o1[[#This Row],[i.]]),NORMDIST(Tab.o1[[#This Row],[Za]],0,1,FALSE)*Tab.o1[[#This Row],[i.]],AP$3),"")</f>
        <v/>
      </c>
      <c r="Y656" s="126" t="str">
        <f>IF(Tab.o1[[#This Row],[a1]]=1,0.01+0.94*Tab.o1[[#This Row],[PDF]]/MAX(Tab.o1[PDF]),"")</f>
        <v/>
      </c>
      <c r="Z656" s="126" t="str">
        <f>IF(Tab.o1[[#This Row],[a1]]=1,0.01+0.94*Tab.o1[[#This Row],[W1_PDF]]/MAX(Tab.o1[W1_PDF]),"")</f>
        <v/>
      </c>
      <c r="AA656" s="118" t="str">
        <f>IF(Tab.o1[[#This Row],[a1]]=1,ABS([1]!T.in.A[[#This Row],[oo6]]),"")</f>
        <v/>
      </c>
      <c r="AB656" s="127" t="str">
        <f>IF(Tab.o1[[#This Row],[a1]]=1,IF(AE$3=0,"",IF(AB$3=0,ABS([1]!T.in.A[[#This Row],[oo9]]),ABS(Tab.o1[[#This Row],[DIF_Target.]]*Tab.o1[[#This Row],[W1_PDF]]))),"")</f>
        <v/>
      </c>
      <c r="AC656" s="127" t="str">
        <f>IF(G$1=1,"",IF(Tab.o1[[#This Row],[a1]]=1,Tab.o1[[#This Row],[Wr]]^2,""))</f>
        <v/>
      </c>
      <c r="AD656" s="118" t="str">
        <f>IF(Tab.o1[[#This Row],[a1]]=1,IF(AE$3=0,"",Tab.o1[[#This Row],[Wr2]]/SUM(Tab.o1[Wr2])),"")</f>
        <v/>
      </c>
      <c r="AE656" s="128" t="str">
        <f>IF(Tab.o1[[#This Row],[a1]]=1,[1]!T.in.A[[#This Row],[oo10]],"")</f>
        <v/>
      </c>
      <c r="AF656" s="118" t="str">
        <f>IF(Tab.o1[[#This Row],[a1]]=1,ABS(Tab.o1[[#This Row],[DIF_Target.]]*Tab.o1[[#This Row],[PDF2]]*Tab.o1[[#This Row],[IN]]),"")</f>
        <v/>
      </c>
      <c r="AG656" s="129" t="str">
        <f>IF(Tab.o1[[#This Row],[a1]]=1,Tab.o1[[#This Row],[rW]]^2,"")</f>
        <v/>
      </c>
      <c r="AH656" s="130" t="str">
        <f>IF(Tab.o1[[#This Row],[a1]]=1,IF(AH$3=0,Tab.o1[[#This Row],[rW2]],0.01+0.94*Tab.o1[[#This Row],[rW2]]/SUM(Tab.o1[rW2])),"")</f>
        <v/>
      </c>
      <c r="AI656" s="128" t="str">
        <f>IF(Tab.o1[[#This Row],[a1]]=1,1/Tab.o1[[#This Row],[PDF]],"")</f>
        <v/>
      </c>
      <c r="AJ656" s="131" t="str">
        <f>IF(Tab.o1[[#This Row],[a1]]=1,[1]!T_AA[[#This Row],[IN'']]*[1]!T_AA[[#This Row],[Qde'']],"")</f>
        <v/>
      </c>
      <c r="AK656" s="132" t="str">
        <f>IF(Tab.o1[[#This Row],[a1]]=1,IF(AK$1=1,Tab.o1[[#This Row],[MED]]+Tab.o1[[#This Row],[MOD]]-Tab.o1[[#This Row],[MED]],""),"")</f>
        <v/>
      </c>
      <c r="AL656" s="133" t="str">
        <f>IF(Tab.o1[[#This Row],[a1]]=1,[1]!T.in.A[[#This Row],[oo16]],"")</f>
        <v/>
      </c>
      <c r="AM656" s="133" t="str">
        <f>IF(Tab.o1[[#This Row],[a1]]=1,IF(AM$3=1,[1]!T.in.A[[#This Row],[Σo16]],""),"")</f>
        <v/>
      </c>
      <c r="AN656" s="126" t="str">
        <f>IF(Tab.o1[[#This Row],[a1]]=1,[1]!T.in.A[[#This Row],[Σp5]],"")</f>
        <v/>
      </c>
      <c r="AO656" s="126" t="str">
        <f>IF(Tab.o1[[#This Row],[a1]]=1,IF(AO$3=1,[1]!T.in.A[[#This Row],[Σp5]],""),"")</f>
        <v/>
      </c>
      <c r="AP656" s="110" t="str">
        <f>IF(Tab.o1[[#This Row],[a1]]=1,IF(ISNUMBER(Tab.o1[[#This Row],[i.]]),NORMDIST(Tab.o1[[#This Row],[Za]],0,1,FALSE)*Tab.o1[[#This Row],[i.]],0),"")</f>
        <v/>
      </c>
      <c r="AQ656" s="125" t="str">
        <f>IF(Tab.o1[[#This Row],[a1]]=1,ABS(Tab.o1[[#This Row],[MOD]]-AVERAGE(Tab.o1[MOD])),"")</f>
        <v/>
      </c>
      <c r="AR656" s="134" t="str">
        <f>IF(Tab.o1[[#This Row],[a1]]=1,Tab.o1[[#This Row],[OBS]]/SUM(Tab.o1[OBS]),"")</f>
        <v/>
      </c>
      <c r="AS656" s="135" t="str">
        <f>IF(ISNUMBER(Tab.o1[[#This Row],[a1]]),ROW()-4,"")</f>
        <v/>
      </c>
      <c r="AT656" s="136" t="str">
        <f>Tab.o1[[#This Row],[MOD]]</f>
        <v/>
      </c>
      <c r="AU656" s="137" t="str">
        <f t="shared" si="41"/>
        <v/>
      </c>
      <c r="AV656" s="138" t="str">
        <f t="shared" si="42"/>
        <v/>
      </c>
      <c r="AW656" s="138" t="str">
        <f t="shared" si="43"/>
        <v/>
      </c>
      <c r="AX656" s="139" t="str">
        <f>[1]!T.in.A[[#This Row],[ID_T_manu]]</f>
        <v/>
      </c>
      <c r="AY656" s="140" t="str">
        <f>IF(ISNUMBER(Tab.o1[[#This Row],[a1]]),IF(AND(Tab.o1[[#This Row],[a1]]=1,Tab.o1[[#This Row],[b1]]&lt;=AY$4),#REF!,AY655),"")</f>
        <v/>
      </c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</row>
    <row r="657" spans="1:79" s="143" customFormat="1" ht="15.75" hidden="1">
      <c r="A657" s="109">
        <v>9.0000000000000002E-6</v>
      </c>
      <c r="B657" s="110">
        <f t="shared" si="40"/>
        <v>657</v>
      </c>
      <c r="C657" s="111" t="str">
        <f>IF(C$1=[1]!T.in.A[[#This Row],[oo2]],1,"")</f>
        <v/>
      </c>
      <c r="D657" s="112" t="str">
        <f>IF(Tab.o1[[#This Row],[a1]]=1,IF(SUM(C657:C658)=0,0,IF(SUM(C656:C657)=1,1,IF(SUM(C656:C658)&gt;1,D656+1,0))),"")</f>
        <v/>
      </c>
      <c r="E657" s="113" t="str">
        <f>IF(Tab.o1[[#This Row],[a1]]=1,[1]!T.in.A[[#This Row],[oo1]],"")</f>
        <v/>
      </c>
      <c r="F657" s="113" t="str">
        <f>IF(Tab.o1[[#This Row],[a1]]=1,[1]!T.in.A[[#This Row],[pp1]],"")</f>
        <v/>
      </c>
      <c r="G657" s="114" t="str">
        <f>IF(Tab.o1[[#This Row],[a1]]=1,G$2+IF(G$1=1,0,Tab.o1[[#This Row],[.x1]])+[1]!T.in.A[[#This Row],[oo3]],"")</f>
        <v/>
      </c>
      <c r="H657" s="115" t="str">
        <f>IF(Tab.o1[[#This Row],[a1]]=1,IF(H$2=0,0,IF(G$1=1,0,Tab.o1[[#This Row],[.x1]])+[1]!T.in.A[[#This Row],[oo4]]),"")</f>
        <v/>
      </c>
      <c r="I657" s="116" t="str">
        <f>IF(Tab.o1[[#This Row],[a1]]=1,IF(J$2=0,Tab.o1[[#This Row],[MED]],Tab.o1[[#This Row],[MOD]]),"")</f>
        <v/>
      </c>
      <c r="J657" s="116" t="str">
        <f>IF(Tab.o1[[#This Row],[a1]]=1,((Tab.o1[[#This Row],[DIF_Target.]]-AVERAGE(Tab.o1[DIF_Target.]))/_xlfn.STDEV.P(Tab.o1[DIF_Target.])),"")</f>
        <v/>
      </c>
      <c r="K657" s="117" t="str">
        <f>IF(Tab.o1[[#This Row],[a1]]=1,IF(J$2=0,Tab.o1[[#This Row],[MOD]]-Tab.o1[[#This Row],[B]],IF(J$2=1,0,-Tab.o1[[#This Row],[MED]])+Tab.o1[[#This Row],[B]]),"")</f>
        <v/>
      </c>
      <c r="L657" s="117" t="str">
        <f ca="1">IF(Tab.o1[[#This Row],[DIF_Target]]=0,IF(L$2=0,Tab.o1[[#This Row],[DIF_Target]],AVERAGE(OFFSET(Tab.o1[[#This Row],[DIF_Target]],1,0,L$3,1)))/3,Tab.o1[[#This Row],[DIF_Target]])</f>
        <v/>
      </c>
      <c r="M657" s="118" t="str">
        <f>IF(Tab.o1[[#This Row],[a1]]=1,NORMSDIST(Tab.o1[[#This Row],[Za]]),"")</f>
        <v/>
      </c>
      <c r="N657" s="119" t="str">
        <f>IF(Tab.o1[[#This Row],[a1]]=1,((Tab.o1[[#This Row],[MedMod]]-AVERAGE(Tab.o1[MedMod]))/_xlfn.STDEV.P(Tab.o1[MedMod])*H$1205)+G$1205,"")</f>
        <v/>
      </c>
      <c r="O657" s="141" t="str">
        <f>IF(Tab.o1[[#This Row],[a1]]=1,Tab.o1[[#This Row],[Zb]]*_xlfn.STDEV.P(Tab.o1[MedMod])+AVERAGE(Tab.o1[MedMod]),"")</f>
        <v/>
      </c>
      <c r="P657" s="117" t="str">
        <f ca="1">IF(Tab.o1[[#This Row],[B]]=0,AVERAGE(OFFSET(Tab.o1[[#This Row],[B]],1,0,L$3,1)),Tab.o1[[#This Row],[B]])</f>
        <v/>
      </c>
      <c r="Q657" s="121" t="str">
        <f>IF(Tab.o1[[#This Row],[a1]]=1,NORMSDIST(Tab.o1[[#This Row],[Zb]]),"")</f>
        <v/>
      </c>
      <c r="R657" s="122" t="str">
        <f>IF(Tab.o1[[#This Row],[a1]]=1,((Tab.o1[[#This Row],[MedMod]]-AVERAGE(Tab.o1[MedMod]))/_xlfn.STDEV.P(Tab.o1[MedMod])*H$1203)+G$1203,"")</f>
        <v/>
      </c>
      <c r="S657" s="122" t="str">
        <f>IF(Tab.o1[[#This Row],[a1]]=1,((Tab.o1[[#This Row],[MedMod]]-AVERAGE(Tab.o1[MedMod]))/_xlfn.STDEV.P(Tab.o1[MedMod])*H$1204)+G$1204,"")</f>
        <v/>
      </c>
      <c r="T657" s="123" t="str">
        <f>IF(Tab.o1[[#This Row],[a1]]=1,Tab.o1[[#This Row],[Z-]]*_xlfn.STDEV.P(Tab.o1[B])+AVERAGE(Tab.o1[B]),"")</f>
        <v/>
      </c>
      <c r="U657" s="123" t="str">
        <f>IF(Tab.o1[[#This Row],[a1]]=1,Tab.o1[[#This Row],[z+]]*_xlfn.STDEV.P(Tab.o1[B])+AVERAGE(Tab.o1[B]),"")</f>
        <v/>
      </c>
      <c r="V657" s="124" t="str">
        <f>IF(Tab.o1[[#This Row],[a1]]=1,ABS((ABS(Tab.o1[[#This Row],[Red]]-Tab.o1[[#This Row],[Blue]]))),"")</f>
        <v/>
      </c>
      <c r="W657" s="125" t="str">
        <f>IF(Tab.o1[[#This Row],[a1]]=1,IF(W$3=0,1,Tab.o1[[#This Row],[Amp.]]*1/_xlfn.MINIFS(Tab.o1[Amp.],Tab.o1[Amp.],"&lt;&gt;0")),"")</f>
        <v/>
      </c>
      <c r="X657" s="126" t="str">
        <f>IF(Tab.o1[[#This Row],[a1]]=1,IF(ISNUMBER(Tab.o1[[#This Row],[i.]]),NORMDIST(Tab.o1[[#This Row],[Za]],0,1,FALSE)*Tab.o1[[#This Row],[i.]],AP$3),"")</f>
        <v/>
      </c>
      <c r="Y657" s="126" t="str">
        <f>IF(Tab.o1[[#This Row],[a1]]=1,0.01+0.94*Tab.o1[[#This Row],[PDF]]/MAX(Tab.o1[PDF]),"")</f>
        <v/>
      </c>
      <c r="Z657" s="126" t="str">
        <f>IF(Tab.o1[[#This Row],[a1]]=1,0.01+0.94*Tab.o1[[#This Row],[W1_PDF]]/MAX(Tab.o1[W1_PDF]),"")</f>
        <v/>
      </c>
      <c r="AA657" s="118" t="str">
        <f>IF(Tab.o1[[#This Row],[a1]]=1,ABS([1]!T.in.A[[#This Row],[oo6]]),"")</f>
        <v/>
      </c>
      <c r="AB657" s="127" t="str">
        <f>IF(Tab.o1[[#This Row],[a1]]=1,IF(AE$3=0,"",IF(AB$3=0,ABS([1]!T.in.A[[#This Row],[oo9]]),ABS(Tab.o1[[#This Row],[DIF_Target.]]*Tab.o1[[#This Row],[W1_PDF]]))),"")</f>
        <v/>
      </c>
      <c r="AC657" s="127" t="str">
        <f>IF(G$1=1,"",IF(Tab.o1[[#This Row],[a1]]=1,Tab.o1[[#This Row],[Wr]]^2,""))</f>
        <v/>
      </c>
      <c r="AD657" s="118" t="str">
        <f>IF(Tab.o1[[#This Row],[a1]]=1,IF(AE$3=0,"",Tab.o1[[#This Row],[Wr2]]/SUM(Tab.o1[Wr2])),"")</f>
        <v/>
      </c>
      <c r="AE657" s="128" t="str">
        <f>IF(Tab.o1[[#This Row],[a1]]=1,[1]!T.in.A[[#This Row],[oo10]],"")</f>
        <v/>
      </c>
      <c r="AF657" s="118" t="str">
        <f>IF(Tab.o1[[#This Row],[a1]]=1,ABS(Tab.o1[[#This Row],[DIF_Target.]]*Tab.o1[[#This Row],[PDF2]]*Tab.o1[[#This Row],[IN]]),"")</f>
        <v/>
      </c>
      <c r="AG657" s="129" t="str">
        <f>IF(Tab.o1[[#This Row],[a1]]=1,Tab.o1[[#This Row],[rW]]^2,"")</f>
        <v/>
      </c>
      <c r="AH657" s="130" t="str">
        <f>IF(Tab.o1[[#This Row],[a1]]=1,IF(AH$3=0,Tab.o1[[#This Row],[rW2]],0.01+0.94*Tab.o1[[#This Row],[rW2]]/SUM(Tab.o1[rW2])),"")</f>
        <v/>
      </c>
      <c r="AI657" s="128" t="str">
        <f>IF(Tab.o1[[#This Row],[a1]]=1,1/Tab.o1[[#This Row],[PDF]],"")</f>
        <v/>
      </c>
      <c r="AJ657" s="131" t="str">
        <f>IF(Tab.o1[[#This Row],[a1]]=1,[1]!T_AA[[#This Row],[IN'']]*[1]!T_AA[[#This Row],[Qde'']],"")</f>
        <v/>
      </c>
      <c r="AK657" s="132" t="str">
        <f>IF(Tab.o1[[#This Row],[a1]]=1,IF(AK$1=1,Tab.o1[[#This Row],[MED]]+Tab.o1[[#This Row],[MOD]]-Tab.o1[[#This Row],[MED]],""),"")</f>
        <v/>
      </c>
      <c r="AL657" s="133" t="str">
        <f>IF(Tab.o1[[#This Row],[a1]]=1,[1]!T.in.A[[#This Row],[oo16]],"")</f>
        <v/>
      </c>
      <c r="AM657" s="133" t="str">
        <f>IF(Tab.o1[[#This Row],[a1]]=1,IF(AM$3=1,[1]!T.in.A[[#This Row],[Σo16]],""),"")</f>
        <v/>
      </c>
      <c r="AN657" s="126" t="str">
        <f>IF(Tab.o1[[#This Row],[a1]]=1,[1]!T.in.A[[#This Row],[Σp5]],"")</f>
        <v/>
      </c>
      <c r="AO657" s="126" t="str">
        <f>IF(Tab.o1[[#This Row],[a1]]=1,IF(AO$3=1,[1]!T.in.A[[#This Row],[Σp5]],""),"")</f>
        <v/>
      </c>
      <c r="AP657" s="110" t="str">
        <f>IF(Tab.o1[[#This Row],[a1]]=1,IF(ISNUMBER(Tab.o1[[#This Row],[i.]]),NORMDIST(Tab.o1[[#This Row],[Za]],0,1,FALSE)*Tab.o1[[#This Row],[i.]],0),"")</f>
        <v/>
      </c>
      <c r="AQ657" s="125" t="str">
        <f>IF(Tab.o1[[#This Row],[a1]]=1,ABS(Tab.o1[[#This Row],[MOD]]-AVERAGE(Tab.o1[MOD])),"")</f>
        <v/>
      </c>
      <c r="AR657" s="134" t="str">
        <f>IF(Tab.o1[[#This Row],[a1]]=1,Tab.o1[[#This Row],[OBS]]/SUM(Tab.o1[OBS]),"")</f>
        <v/>
      </c>
      <c r="AS657" s="135" t="str">
        <f>IF(ISNUMBER(Tab.o1[[#This Row],[a1]]),ROW()-4,"")</f>
        <v/>
      </c>
      <c r="AT657" s="136" t="str">
        <f>Tab.o1[[#This Row],[MOD]]</f>
        <v/>
      </c>
      <c r="AU657" s="137" t="str">
        <f t="shared" si="41"/>
        <v/>
      </c>
      <c r="AV657" s="138" t="str">
        <f t="shared" si="42"/>
        <v/>
      </c>
      <c r="AW657" s="138" t="str">
        <f t="shared" si="43"/>
        <v/>
      </c>
      <c r="AX657" s="139" t="str">
        <f>[1]!T.in.A[[#This Row],[ID_T_manu]]</f>
        <v/>
      </c>
      <c r="AY657" s="140" t="str">
        <f>IF(ISNUMBER(Tab.o1[[#This Row],[a1]]),IF(AND(Tab.o1[[#This Row],[a1]]=1,Tab.o1[[#This Row],[b1]]&lt;=AY$4),#REF!,AY656),"")</f>
        <v/>
      </c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</row>
    <row r="658" spans="1:79" s="143" customFormat="1" ht="15.75" hidden="1">
      <c r="A658" s="109">
        <v>8.0000000000000013E-6</v>
      </c>
      <c r="B658" s="110">
        <f t="shared" si="40"/>
        <v>658</v>
      </c>
      <c r="C658" s="111" t="str">
        <f>IF(C$1=[1]!T.in.A[[#This Row],[oo2]],1,"")</f>
        <v/>
      </c>
      <c r="D658" s="112" t="str">
        <f>IF(Tab.o1[[#This Row],[a1]]=1,IF(SUM(C658:C659)=0,0,IF(SUM(C657:C658)=1,1,IF(SUM(C657:C659)&gt;1,D657+1,0))),"")</f>
        <v/>
      </c>
      <c r="E658" s="113" t="str">
        <f>IF(Tab.o1[[#This Row],[a1]]=1,[1]!T.in.A[[#This Row],[oo1]],"")</f>
        <v/>
      </c>
      <c r="F658" s="113" t="str">
        <f>IF(Tab.o1[[#This Row],[a1]]=1,[1]!T.in.A[[#This Row],[pp1]],"")</f>
        <v/>
      </c>
      <c r="G658" s="114" t="str">
        <f>IF(Tab.o1[[#This Row],[a1]]=1,G$2+IF(G$1=1,0,Tab.o1[[#This Row],[.x1]])+[1]!T.in.A[[#This Row],[oo3]],"")</f>
        <v/>
      </c>
      <c r="H658" s="115" t="str">
        <f>IF(Tab.o1[[#This Row],[a1]]=1,IF(H$2=0,0,IF(G$1=1,0,Tab.o1[[#This Row],[.x1]])+[1]!T.in.A[[#This Row],[oo4]]),"")</f>
        <v/>
      </c>
      <c r="I658" s="116" t="str">
        <f>IF(Tab.o1[[#This Row],[a1]]=1,IF(J$2=0,Tab.o1[[#This Row],[MED]],Tab.o1[[#This Row],[MOD]]),"")</f>
        <v/>
      </c>
      <c r="J658" s="116" t="str">
        <f>IF(Tab.o1[[#This Row],[a1]]=1,((Tab.o1[[#This Row],[DIF_Target.]]-AVERAGE(Tab.o1[DIF_Target.]))/_xlfn.STDEV.P(Tab.o1[DIF_Target.])),"")</f>
        <v/>
      </c>
      <c r="K658" s="117" t="str">
        <f>IF(Tab.o1[[#This Row],[a1]]=1,IF(J$2=0,Tab.o1[[#This Row],[MOD]]-Tab.o1[[#This Row],[B]],IF(J$2=1,0,-Tab.o1[[#This Row],[MED]])+Tab.o1[[#This Row],[B]]),"")</f>
        <v/>
      </c>
      <c r="L658" s="117" t="str">
        <f ca="1">IF(Tab.o1[[#This Row],[DIF_Target]]=0,IF(L$2=0,Tab.o1[[#This Row],[DIF_Target]],AVERAGE(OFFSET(Tab.o1[[#This Row],[DIF_Target]],1,0,L$3,1)))/3,Tab.o1[[#This Row],[DIF_Target]])</f>
        <v/>
      </c>
      <c r="M658" s="118" t="str">
        <f>IF(Tab.o1[[#This Row],[a1]]=1,NORMSDIST(Tab.o1[[#This Row],[Za]]),"")</f>
        <v/>
      </c>
      <c r="N658" s="119" t="str">
        <f>IF(Tab.o1[[#This Row],[a1]]=1,((Tab.o1[[#This Row],[MedMod]]-AVERAGE(Tab.o1[MedMod]))/_xlfn.STDEV.P(Tab.o1[MedMod])*H$1205)+G$1205,"")</f>
        <v/>
      </c>
      <c r="O658" s="141" t="str">
        <f>IF(Tab.o1[[#This Row],[a1]]=1,Tab.o1[[#This Row],[Zb]]*_xlfn.STDEV.P(Tab.o1[MedMod])+AVERAGE(Tab.o1[MedMod]),"")</f>
        <v/>
      </c>
      <c r="P658" s="117" t="str">
        <f ca="1">IF(Tab.o1[[#This Row],[B]]=0,AVERAGE(OFFSET(Tab.o1[[#This Row],[B]],1,0,L$3,1)),Tab.o1[[#This Row],[B]])</f>
        <v/>
      </c>
      <c r="Q658" s="121" t="str">
        <f>IF(Tab.o1[[#This Row],[a1]]=1,NORMSDIST(Tab.o1[[#This Row],[Zb]]),"")</f>
        <v/>
      </c>
      <c r="R658" s="122" t="str">
        <f>IF(Tab.o1[[#This Row],[a1]]=1,((Tab.o1[[#This Row],[MedMod]]-AVERAGE(Tab.o1[MedMod]))/_xlfn.STDEV.P(Tab.o1[MedMod])*H$1203)+G$1203,"")</f>
        <v/>
      </c>
      <c r="S658" s="122" t="str">
        <f>IF(Tab.o1[[#This Row],[a1]]=1,((Tab.o1[[#This Row],[MedMod]]-AVERAGE(Tab.o1[MedMod]))/_xlfn.STDEV.P(Tab.o1[MedMod])*H$1204)+G$1204,"")</f>
        <v/>
      </c>
      <c r="T658" s="123" t="str">
        <f>IF(Tab.o1[[#This Row],[a1]]=1,Tab.o1[[#This Row],[Z-]]*_xlfn.STDEV.P(Tab.o1[B])+AVERAGE(Tab.o1[B]),"")</f>
        <v/>
      </c>
      <c r="U658" s="123" t="str">
        <f>IF(Tab.o1[[#This Row],[a1]]=1,Tab.o1[[#This Row],[z+]]*_xlfn.STDEV.P(Tab.o1[B])+AVERAGE(Tab.o1[B]),"")</f>
        <v/>
      </c>
      <c r="V658" s="124" t="str">
        <f>IF(Tab.o1[[#This Row],[a1]]=1,ABS((ABS(Tab.o1[[#This Row],[Red]]-Tab.o1[[#This Row],[Blue]]))),"")</f>
        <v/>
      </c>
      <c r="W658" s="125" t="str">
        <f>IF(Tab.o1[[#This Row],[a1]]=1,IF(W$3=0,1,Tab.o1[[#This Row],[Amp.]]*1/_xlfn.MINIFS(Tab.o1[Amp.],Tab.o1[Amp.],"&lt;&gt;0")),"")</f>
        <v/>
      </c>
      <c r="X658" s="126" t="str">
        <f>IF(Tab.o1[[#This Row],[a1]]=1,IF(ISNUMBER(Tab.o1[[#This Row],[i.]]),NORMDIST(Tab.o1[[#This Row],[Za]],0,1,FALSE)*Tab.o1[[#This Row],[i.]],AP$3),"")</f>
        <v/>
      </c>
      <c r="Y658" s="126" t="str">
        <f>IF(Tab.o1[[#This Row],[a1]]=1,0.01+0.94*Tab.o1[[#This Row],[PDF]]/MAX(Tab.o1[PDF]),"")</f>
        <v/>
      </c>
      <c r="Z658" s="126" t="str">
        <f>IF(Tab.o1[[#This Row],[a1]]=1,0.01+0.94*Tab.o1[[#This Row],[W1_PDF]]/MAX(Tab.o1[W1_PDF]),"")</f>
        <v/>
      </c>
      <c r="AA658" s="118" t="str">
        <f>IF(Tab.o1[[#This Row],[a1]]=1,ABS([1]!T.in.A[[#This Row],[oo6]]),"")</f>
        <v/>
      </c>
      <c r="AB658" s="127" t="str">
        <f>IF(Tab.o1[[#This Row],[a1]]=1,IF(AE$3=0,"",IF(AB$3=0,ABS([1]!T.in.A[[#This Row],[oo9]]),ABS(Tab.o1[[#This Row],[DIF_Target.]]*Tab.o1[[#This Row],[W1_PDF]]))),"")</f>
        <v/>
      </c>
      <c r="AC658" s="127" t="str">
        <f>IF(G$1=1,"",IF(Tab.o1[[#This Row],[a1]]=1,Tab.o1[[#This Row],[Wr]]^2,""))</f>
        <v/>
      </c>
      <c r="AD658" s="118" t="str">
        <f>IF(Tab.o1[[#This Row],[a1]]=1,IF(AE$3=0,"",Tab.o1[[#This Row],[Wr2]]/SUM(Tab.o1[Wr2])),"")</f>
        <v/>
      </c>
      <c r="AE658" s="128" t="str">
        <f>IF(Tab.o1[[#This Row],[a1]]=1,[1]!T.in.A[[#This Row],[oo10]],"")</f>
        <v/>
      </c>
      <c r="AF658" s="118" t="str">
        <f>IF(Tab.o1[[#This Row],[a1]]=1,ABS(Tab.o1[[#This Row],[DIF_Target.]]*Tab.o1[[#This Row],[PDF2]]*Tab.o1[[#This Row],[IN]]),"")</f>
        <v/>
      </c>
      <c r="AG658" s="129" t="str">
        <f>IF(Tab.o1[[#This Row],[a1]]=1,Tab.o1[[#This Row],[rW]]^2,"")</f>
        <v/>
      </c>
      <c r="AH658" s="130" t="str">
        <f>IF(Tab.o1[[#This Row],[a1]]=1,IF(AH$3=0,Tab.o1[[#This Row],[rW2]],0.01+0.94*Tab.o1[[#This Row],[rW2]]/SUM(Tab.o1[rW2])),"")</f>
        <v/>
      </c>
      <c r="AI658" s="128" t="str">
        <f>IF(Tab.o1[[#This Row],[a1]]=1,1/Tab.o1[[#This Row],[PDF]],"")</f>
        <v/>
      </c>
      <c r="AJ658" s="131" t="str">
        <f>IF(Tab.o1[[#This Row],[a1]]=1,[1]!T_AA[[#This Row],[IN'']]*[1]!T_AA[[#This Row],[Qde'']],"")</f>
        <v/>
      </c>
      <c r="AK658" s="132" t="str">
        <f>IF(Tab.o1[[#This Row],[a1]]=1,IF(AK$1=1,Tab.o1[[#This Row],[MED]]+Tab.o1[[#This Row],[MOD]]-Tab.o1[[#This Row],[MED]],""),"")</f>
        <v/>
      </c>
      <c r="AL658" s="133" t="str">
        <f>IF(Tab.o1[[#This Row],[a1]]=1,[1]!T.in.A[[#This Row],[oo16]],"")</f>
        <v/>
      </c>
      <c r="AM658" s="133" t="str">
        <f>IF(Tab.o1[[#This Row],[a1]]=1,IF(AM$3=1,[1]!T.in.A[[#This Row],[Σo16]],""),"")</f>
        <v/>
      </c>
      <c r="AN658" s="126" t="str">
        <f>IF(Tab.o1[[#This Row],[a1]]=1,[1]!T.in.A[[#This Row],[Σp5]],"")</f>
        <v/>
      </c>
      <c r="AO658" s="126" t="str">
        <f>IF(Tab.o1[[#This Row],[a1]]=1,IF(AO$3=1,[1]!T.in.A[[#This Row],[Σp5]],""),"")</f>
        <v/>
      </c>
      <c r="AP658" s="110" t="str">
        <f>IF(Tab.o1[[#This Row],[a1]]=1,IF(ISNUMBER(Tab.o1[[#This Row],[i.]]),NORMDIST(Tab.o1[[#This Row],[Za]],0,1,FALSE)*Tab.o1[[#This Row],[i.]],0),"")</f>
        <v/>
      </c>
      <c r="AQ658" s="125" t="str">
        <f>IF(Tab.o1[[#This Row],[a1]]=1,ABS(Tab.o1[[#This Row],[MOD]]-AVERAGE(Tab.o1[MOD])),"")</f>
        <v/>
      </c>
      <c r="AR658" s="134" t="str">
        <f>IF(Tab.o1[[#This Row],[a1]]=1,Tab.o1[[#This Row],[OBS]]/SUM(Tab.o1[OBS]),"")</f>
        <v/>
      </c>
      <c r="AS658" s="135" t="str">
        <f>IF(ISNUMBER(Tab.o1[[#This Row],[a1]]),ROW()-4,"")</f>
        <v/>
      </c>
      <c r="AT658" s="136" t="str">
        <f>Tab.o1[[#This Row],[MOD]]</f>
        <v/>
      </c>
      <c r="AU658" s="137" t="str">
        <f t="shared" si="41"/>
        <v/>
      </c>
      <c r="AV658" s="138" t="str">
        <f t="shared" si="42"/>
        <v/>
      </c>
      <c r="AW658" s="138" t="str">
        <f t="shared" si="43"/>
        <v/>
      </c>
      <c r="AX658" s="139" t="str">
        <f>[1]!T.in.A[[#This Row],[ID_T_manu]]</f>
        <v/>
      </c>
      <c r="AY658" s="140" t="str">
        <f>IF(ISNUMBER(Tab.o1[[#This Row],[a1]]),IF(AND(Tab.o1[[#This Row],[a1]]=1,Tab.o1[[#This Row],[b1]]&lt;=AY$4),#REF!,AY657),"")</f>
        <v/>
      </c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</row>
    <row r="659" spans="1:79" s="143" customFormat="1" ht="15.75" hidden="1">
      <c r="A659" s="109">
        <v>-5.0000000000000004E-6</v>
      </c>
      <c r="B659" s="110">
        <f t="shared" si="40"/>
        <v>659</v>
      </c>
      <c r="C659" s="111" t="str">
        <f>IF(C$1=[1]!T.in.A[[#This Row],[oo2]],1,"")</f>
        <v/>
      </c>
      <c r="D659" s="112" t="str">
        <f>IF(Tab.o1[[#This Row],[a1]]=1,IF(SUM(C659:C660)=0,0,IF(SUM(C658:C659)=1,1,IF(SUM(C658:C660)&gt;1,D658+1,0))),"")</f>
        <v/>
      </c>
      <c r="E659" s="113" t="str">
        <f>IF(Tab.o1[[#This Row],[a1]]=1,[1]!T.in.A[[#This Row],[oo1]],"")</f>
        <v/>
      </c>
      <c r="F659" s="113" t="str">
        <f>IF(Tab.o1[[#This Row],[a1]]=1,[1]!T.in.A[[#This Row],[pp1]],"")</f>
        <v/>
      </c>
      <c r="G659" s="114" t="str">
        <f>IF(Tab.o1[[#This Row],[a1]]=1,G$2+IF(G$1=1,0,Tab.o1[[#This Row],[.x1]])+[1]!T.in.A[[#This Row],[oo3]],"")</f>
        <v/>
      </c>
      <c r="H659" s="115" t="str">
        <f>IF(Tab.o1[[#This Row],[a1]]=1,IF(H$2=0,0,IF(G$1=1,0,Tab.o1[[#This Row],[.x1]])+[1]!T.in.A[[#This Row],[oo4]]),"")</f>
        <v/>
      </c>
      <c r="I659" s="116" t="str">
        <f>IF(Tab.o1[[#This Row],[a1]]=1,IF(J$2=0,Tab.o1[[#This Row],[MED]],Tab.o1[[#This Row],[MOD]]),"")</f>
        <v/>
      </c>
      <c r="J659" s="116" t="str">
        <f>IF(Tab.o1[[#This Row],[a1]]=1,((Tab.o1[[#This Row],[DIF_Target.]]-AVERAGE(Tab.o1[DIF_Target.]))/_xlfn.STDEV.P(Tab.o1[DIF_Target.])),"")</f>
        <v/>
      </c>
      <c r="K659" s="117" t="str">
        <f>IF(Tab.o1[[#This Row],[a1]]=1,IF(J$2=0,Tab.o1[[#This Row],[MOD]]-Tab.o1[[#This Row],[B]],IF(J$2=1,0,-Tab.o1[[#This Row],[MED]])+Tab.o1[[#This Row],[B]]),"")</f>
        <v/>
      </c>
      <c r="L659" s="117" t="str">
        <f ca="1">IF(Tab.o1[[#This Row],[DIF_Target]]=0,IF(L$2=0,Tab.o1[[#This Row],[DIF_Target]],AVERAGE(OFFSET(Tab.o1[[#This Row],[DIF_Target]],1,0,L$3,1)))/3,Tab.o1[[#This Row],[DIF_Target]])</f>
        <v/>
      </c>
      <c r="M659" s="118" t="str">
        <f>IF(Tab.o1[[#This Row],[a1]]=1,NORMSDIST(Tab.o1[[#This Row],[Za]]),"")</f>
        <v/>
      </c>
      <c r="N659" s="119" t="str">
        <f>IF(Tab.o1[[#This Row],[a1]]=1,((Tab.o1[[#This Row],[MedMod]]-AVERAGE(Tab.o1[MedMod]))/_xlfn.STDEV.P(Tab.o1[MedMod])*H$1205)+G$1205,"")</f>
        <v/>
      </c>
      <c r="O659" s="141" t="str">
        <f>IF(Tab.o1[[#This Row],[a1]]=1,Tab.o1[[#This Row],[Zb]]*_xlfn.STDEV.P(Tab.o1[MedMod])+AVERAGE(Tab.o1[MedMod]),"")</f>
        <v/>
      </c>
      <c r="P659" s="117" t="str">
        <f ca="1">IF(Tab.o1[[#This Row],[B]]=0,AVERAGE(OFFSET(Tab.o1[[#This Row],[B]],1,0,L$3,1)),Tab.o1[[#This Row],[B]])</f>
        <v/>
      </c>
      <c r="Q659" s="121" t="str">
        <f>IF(Tab.o1[[#This Row],[a1]]=1,NORMSDIST(Tab.o1[[#This Row],[Zb]]),"")</f>
        <v/>
      </c>
      <c r="R659" s="122" t="str">
        <f>IF(Tab.o1[[#This Row],[a1]]=1,((Tab.o1[[#This Row],[MedMod]]-AVERAGE(Tab.o1[MedMod]))/_xlfn.STDEV.P(Tab.o1[MedMod])*H$1203)+G$1203,"")</f>
        <v/>
      </c>
      <c r="S659" s="122" t="str">
        <f>IF(Tab.o1[[#This Row],[a1]]=1,((Tab.o1[[#This Row],[MedMod]]-AVERAGE(Tab.o1[MedMod]))/_xlfn.STDEV.P(Tab.o1[MedMod])*H$1204)+G$1204,"")</f>
        <v/>
      </c>
      <c r="T659" s="123" t="str">
        <f>IF(Tab.o1[[#This Row],[a1]]=1,Tab.o1[[#This Row],[Z-]]*_xlfn.STDEV.P(Tab.o1[B])+AVERAGE(Tab.o1[B]),"")</f>
        <v/>
      </c>
      <c r="U659" s="123" t="str">
        <f>IF(Tab.o1[[#This Row],[a1]]=1,Tab.o1[[#This Row],[z+]]*_xlfn.STDEV.P(Tab.o1[B])+AVERAGE(Tab.o1[B]),"")</f>
        <v/>
      </c>
      <c r="V659" s="124" t="str">
        <f>IF(Tab.o1[[#This Row],[a1]]=1,ABS((ABS(Tab.o1[[#This Row],[Red]]-Tab.o1[[#This Row],[Blue]]))),"")</f>
        <v/>
      </c>
      <c r="W659" s="125" t="str">
        <f>IF(Tab.o1[[#This Row],[a1]]=1,IF(W$3=0,1,Tab.o1[[#This Row],[Amp.]]*1/_xlfn.MINIFS(Tab.o1[Amp.],Tab.o1[Amp.],"&lt;&gt;0")),"")</f>
        <v/>
      </c>
      <c r="X659" s="126" t="str">
        <f>IF(Tab.o1[[#This Row],[a1]]=1,IF(ISNUMBER(Tab.o1[[#This Row],[i.]]),NORMDIST(Tab.o1[[#This Row],[Za]],0,1,FALSE)*Tab.o1[[#This Row],[i.]],AP$3),"")</f>
        <v/>
      </c>
      <c r="Y659" s="126" t="str">
        <f>IF(Tab.o1[[#This Row],[a1]]=1,0.01+0.94*Tab.o1[[#This Row],[PDF]]/MAX(Tab.o1[PDF]),"")</f>
        <v/>
      </c>
      <c r="Z659" s="126" t="str">
        <f>IF(Tab.o1[[#This Row],[a1]]=1,0.01+0.94*Tab.o1[[#This Row],[W1_PDF]]/MAX(Tab.o1[W1_PDF]),"")</f>
        <v/>
      </c>
      <c r="AA659" s="118" t="str">
        <f>IF(Tab.o1[[#This Row],[a1]]=1,ABS([1]!T.in.A[[#This Row],[oo6]]),"")</f>
        <v/>
      </c>
      <c r="AB659" s="127" t="str">
        <f>IF(Tab.o1[[#This Row],[a1]]=1,IF(AE$3=0,"",IF(AB$3=0,ABS([1]!T.in.A[[#This Row],[oo9]]),ABS(Tab.o1[[#This Row],[DIF_Target.]]*Tab.o1[[#This Row],[W1_PDF]]))),"")</f>
        <v/>
      </c>
      <c r="AC659" s="127" t="str">
        <f>IF(G$1=1,"",IF(Tab.o1[[#This Row],[a1]]=1,Tab.o1[[#This Row],[Wr]]^2,""))</f>
        <v/>
      </c>
      <c r="AD659" s="118" t="str">
        <f>IF(Tab.o1[[#This Row],[a1]]=1,IF(AE$3=0,"",Tab.o1[[#This Row],[Wr2]]/SUM(Tab.o1[Wr2])),"")</f>
        <v/>
      </c>
      <c r="AE659" s="128" t="str">
        <f>IF(Tab.o1[[#This Row],[a1]]=1,[1]!T.in.A[[#This Row],[oo10]],"")</f>
        <v/>
      </c>
      <c r="AF659" s="118" t="str">
        <f>IF(Tab.o1[[#This Row],[a1]]=1,ABS(Tab.o1[[#This Row],[DIF_Target.]]*Tab.o1[[#This Row],[PDF2]]*Tab.o1[[#This Row],[IN]]),"")</f>
        <v/>
      </c>
      <c r="AG659" s="129" t="str">
        <f>IF(Tab.o1[[#This Row],[a1]]=1,Tab.o1[[#This Row],[rW]]^2,"")</f>
        <v/>
      </c>
      <c r="AH659" s="130" t="str">
        <f>IF(Tab.o1[[#This Row],[a1]]=1,IF(AH$3=0,Tab.o1[[#This Row],[rW2]],0.01+0.94*Tab.o1[[#This Row],[rW2]]/SUM(Tab.o1[rW2])),"")</f>
        <v/>
      </c>
      <c r="AI659" s="128" t="str">
        <f>IF(Tab.o1[[#This Row],[a1]]=1,1/Tab.o1[[#This Row],[PDF]],"")</f>
        <v/>
      </c>
      <c r="AJ659" s="131" t="str">
        <f>IF(Tab.o1[[#This Row],[a1]]=1,[1]!T_AA[[#This Row],[IN'']]*[1]!T_AA[[#This Row],[Qde'']],"")</f>
        <v/>
      </c>
      <c r="AK659" s="132" t="str">
        <f>IF(Tab.o1[[#This Row],[a1]]=1,IF(AK$1=1,Tab.o1[[#This Row],[MED]]+Tab.o1[[#This Row],[MOD]]-Tab.o1[[#This Row],[MED]],""),"")</f>
        <v/>
      </c>
      <c r="AL659" s="133" t="str">
        <f>IF(Tab.o1[[#This Row],[a1]]=1,[1]!T.in.A[[#This Row],[oo16]],"")</f>
        <v/>
      </c>
      <c r="AM659" s="133" t="str">
        <f>IF(Tab.o1[[#This Row],[a1]]=1,IF(AM$3=1,[1]!T.in.A[[#This Row],[Σo16]],""),"")</f>
        <v/>
      </c>
      <c r="AN659" s="126" t="str">
        <f>IF(Tab.o1[[#This Row],[a1]]=1,[1]!T.in.A[[#This Row],[Σp5]],"")</f>
        <v/>
      </c>
      <c r="AO659" s="126" t="str">
        <f>IF(Tab.o1[[#This Row],[a1]]=1,IF(AO$3=1,[1]!T.in.A[[#This Row],[Σp5]],""),"")</f>
        <v/>
      </c>
      <c r="AP659" s="110" t="str">
        <f>IF(Tab.o1[[#This Row],[a1]]=1,IF(ISNUMBER(Tab.o1[[#This Row],[i.]]),NORMDIST(Tab.o1[[#This Row],[Za]],0,1,FALSE)*Tab.o1[[#This Row],[i.]],0),"")</f>
        <v/>
      </c>
      <c r="AQ659" s="125" t="str">
        <f>IF(Tab.o1[[#This Row],[a1]]=1,ABS(Tab.o1[[#This Row],[MOD]]-AVERAGE(Tab.o1[MOD])),"")</f>
        <v/>
      </c>
      <c r="AR659" s="134" t="str">
        <f>IF(Tab.o1[[#This Row],[a1]]=1,Tab.o1[[#This Row],[OBS]]/SUM(Tab.o1[OBS]),"")</f>
        <v/>
      </c>
      <c r="AS659" s="135" t="str">
        <f>IF(ISNUMBER(Tab.o1[[#This Row],[a1]]),ROW()-4,"")</f>
        <v/>
      </c>
      <c r="AT659" s="136" t="str">
        <f>Tab.o1[[#This Row],[MOD]]</f>
        <v/>
      </c>
      <c r="AU659" s="137" t="str">
        <f t="shared" si="41"/>
        <v/>
      </c>
      <c r="AV659" s="138" t="str">
        <f t="shared" si="42"/>
        <v/>
      </c>
      <c r="AW659" s="138" t="str">
        <f t="shared" si="43"/>
        <v/>
      </c>
      <c r="AX659" s="139" t="str">
        <f>[1]!T.in.A[[#This Row],[ID_T_manu]]</f>
        <v/>
      </c>
      <c r="AY659" s="140" t="str">
        <f>IF(ISNUMBER(Tab.o1[[#This Row],[a1]]),IF(AND(Tab.o1[[#This Row],[a1]]=1,Tab.o1[[#This Row],[b1]]&lt;=AY$4),#REF!,AY658),"")</f>
        <v/>
      </c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</row>
    <row r="660" spans="1:79" s="143" customFormat="1" ht="15.75" hidden="1">
      <c r="A660" s="109">
        <v>-6.9999999999999999E-6</v>
      </c>
      <c r="B660" s="110">
        <f t="shared" si="40"/>
        <v>660</v>
      </c>
      <c r="C660" s="111" t="str">
        <f>IF(C$1=[1]!T.in.A[[#This Row],[oo2]],1,"")</f>
        <v/>
      </c>
      <c r="D660" s="112" t="str">
        <f>IF(Tab.o1[[#This Row],[a1]]=1,IF(SUM(C660:C661)=0,0,IF(SUM(C659:C660)=1,1,IF(SUM(C659:C661)&gt;1,D659+1,0))),"")</f>
        <v/>
      </c>
      <c r="E660" s="113" t="str">
        <f>IF(Tab.o1[[#This Row],[a1]]=1,[1]!T.in.A[[#This Row],[oo1]],"")</f>
        <v/>
      </c>
      <c r="F660" s="113" t="str">
        <f>IF(Tab.o1[[#This Row],[a1]]=1,[1]!T.in.A[[#This Row],[pp1]],"")</f>
        <v/>
      </c>
      <c r="G660" s="114" t="str">
        <f>IF(Tab.o1[[#This Row],[a1]]=1,G$2+IF(G$1=1,0,Tab.o1[[#This Row],[.x1]])+[1]!T.in.A[[#This Row],[oo3]],"")</f>
        <v/>
      </c>
      <c r="H660" s="115" t="str">
        <f>IF(Tab.o1[[#This Row],[a1]]=1,IF(H$2=0,0,IF(G$1=1,0,Tab.o1[[#This Row],[.x1]])+[1]!T.in.A[[#This Row],[oo4]]),"")</f>
        <v/>
      </c>
      <c r="I660" s="116" t="str">
        <f>IF(Tab.o1[[#This Row],[a1]]=1,IF(J$2=0,Tab.o1[[#This Row],[MED]],Tab.o1[[#This Row],[MOD]]),"")</f>
        <v/>
      </c>
      <c r="J660" s="116" t="str">
        <f>IF(Tab.o1[[#This Row],[a1]]=1,((Tab.o1[[#This Row],[DIF_Target.]]-AVERAGE(Tab.o1[DIF_Target.]))/_xlfn.STDEV.P(Tab.o1[DIF_Target.])),"")</f>
        <v/>
      </c>
      <c r="K660" s="117" t="str">
        <f>IF(Tab.o1[[#This Row],[a1]]=1,IF(J$2=0,Tab.o1[[#This Row],[MOD]]-Tab.o1[[#This Row],[B]],IF(J$2=1,0,-Tab.o1[[#This Row],[MED]])+Tab.o1[[#This Row],[B]]),"")</f>
        <v/>
      </c>
      <c r="L660" s="117" t="str">
        <f ca="1">IF(Tab.o1[[#This Row],[DIF_Target]]=0,IF(L$2=0,Tab.o1[[#This Row],[DIF_Target]],AVERAGE(OFFSET(Tab.o1[[#This Row],[DIF_Target]],1,0,L$3,1)))/3,Tab.o1[[#This Row],[DIF_Target]])</f>
        <v/>
      </c>
      <c r="M660" s="118" t="str">
        <f>IF(Tab.o1[[#This Row],[a1]]=1,NORMSDIST(Tab.o1[[#This Row],[Za]]),"")</f>
        <v/>
      </c>
      <c r="N660" s="119" t="str">
        <f>IF(Tab.o1[[#This Row],[a1]]=1,((Tab.o1[[#This Row],[MedMod]]-AVERAGE(Tab.o1[MedMod]))/_xlfn.STDEV.P(Tab.o1[MedMod])*H$1205)+G$1205,"")</f>
        <v/>
      </c>
      <c r="O660" s="141" t="str">
        <f>IF(Tab.o1[[#This Row],[a1]]=1,Tab.o1[[#This Row],[Zb]]*_xlfn.STDEV.P(Tab.o1[MedMod])+AVERAGE(Tab.o1[MedMod]),"")</f>
        <v/>
      </c>
      <c r="P660" s="117" t="str">
        <f ca="1">IF(Tab.o1[[#This Row],[B]]=0,AVERAGE(OFFSET(Tab.o1[[#This Row],[B]],1,0,L$3,1)),Tab.o1[[#This Row],[B]])</f>
        <v/>
      </c>
      <c r="Q660" s="121" t="str">
        <f>IF(Tab.o1[[#This Row],[a1]]=1,NORMSDIST(Tab.o1[[#This Row],[Zb]]),"")</f>
        <v/>
      </c>
      <c r="R660" s="122" t="str">
        <f>IF(Tab.o1[[#This Row],[a1]]=1,((Tab.o1[[#This Row],[MedMod]]-AVERAGE(Tab.o1[MedMod]))/_xlfn.STDEV.P(Tab.o1[MedMod])*H$1203)+G$1203,"")</f>
        <v/>
      </c>
      <c r="S660" s="122" t="str">
        <f>IF(Tab.o1[[#This Row],[a1]]=1,((Tab.o1[[#This Row],[MedMod]]-AVERAGE(Tab.o1[MedMod]))/_xlfn.STDEV.P(Tab.o1[MedMod])*H$1204)+G$1204,"")</f>
        <v/>
      </c>
      <c r="T660" s="123" t="str">
        <f>IF(Tab.o1[[#This Row],[a1]]=1,Tab.o1[[#This Row],[Z-]]*_xlfn.STDEV.P(Tab.o1[B])+AVERAGE(Tab.o1[B]),"")</f>
        <v/>
      </c>
      <c r="U660" s="123" t="str">
        <f>IF(Tab.o1[[#This Row],[a1]]=1,Tab.o1[[#This Row],[z+]]*_xlfn.STDEV.P(Tab.o1[B])+AVERAGE(Tab.o1[B]),"")</f>
        <v/>
      </c>
      <c r="V660" s="124" t="str">
        <f>IF(Tab.o1[[#This Row],[a1]]=1,ABS((ABS(Tab.o1[[#This Row],[Red]]-Tab.o1[[#This Row],[Blue]]))),"")</f>
        <v/>
      </c>
      <c r="W660" s="125" t="str">
        <f>IF(Tab.o1[[#This Row],[a1]]=1,IF(W$3=0,1,Tab.o1[[#This Row],[Amp.]]*1/_xlfn.MINIFS(Tab.o1[Amp.],Tab.o1[Amp.],"&lt;&gt;0")),"")</f>
        <v/>
      </c>
      <c r="X660" s="126" t="str">
        <f>IF(Tab.o1[[#This Row],[a1]]=1,IF(ISNUMBER(Tab.o1[[#This Row],[i.]]),NORMDIST(Tab.o1[[#This Row],[Za]],0,1,FALSE)*Tab.o1[[#This Row],[i.]],AP$3),"")</f>
        <v/>
      </c>
      <c r="Y660" s="126" t="str">
        <f>IF(Tab.o1[[#This Row],[a1]]=1,0.01+0.94*Tab.o1[[#This Row],[PDF]]/MAX(Tab.o1[PDF]),"")</f>
        <v/>
      </c>
      <c r="Z660" s="126" t="str">
        <f>IF(Tab.o1[[#This Row],[a1]]=1,0.01+0.94*Tab.o1[[#This Row],[W1_PDF]]/MAX(Tab.o1[W1_PDF]),"")</f>
        <v/>
      </c>
      <c r="AA660" s="118" t="str">
        <f>IF(Tab.o1[[#This Row],[a1]]=1,ABS([1]!T.in.A[[#This Row],[oo6]]),"")</f>
        <v/>
      </c>
      <c r="AB660" s="127" t="str">
        <f>IF(Tab.o1[[#This Row],[a1]]=1,IF(AE$3=0,"",IF(AB$3=0,ABS([1]!T.in.A[[#This Row],[oo9]]),ABS(Tab.o1[[#This Row],[DIF_Target.]]*Tab.o1[[#This Row],[W1_PDF]]))),"")</f>
        <v/>
      </c>
      <c r="AC660" s="127" t="str">
        <f>IF(G$1=1,"",IF(Tab.o1[[#This Row],[a1]]=1,Tab.o1[[#This Row],[Wr]]^2,""))</f>
        <v/>
      </c>
      <c r="AD660" s="118" t="str">
        <f>IF(Tab.o1[[#This Row],[a1]]=1,IF(AE$3=0,"",Tab.o1[[#This Row],[Wr2]]/SUM(Tab.o1[Wr2])),"")</f>
        <v/>
      </c>
      <c r="AE660" s="128" t="str">
        <f>IF(Tab.o1[[#This Row],[a1]]=1,[1]!T.in.A[[#This Row],[oo10]],"")</f>
        <v/>
      </c>
      <c r="AF660" s="118" t="str">
        <f>IF(Tab.o1[[#This Row],[a1]]=1,ABS(Tab.o1[[#This Row],[DIF_Target.]]*Tab.o1[[#This Row],[PDF2]]*Tab.o1[[#This Row],[IN]]),"")</f>
        <v/>
      </c>
      <c r="AG660" s="129" t="str">
        <f>IF(Tab.o1[[#This Row],[a1]]=1,Tab.o1[[#This Row],[rW]]^2,"")</f>
        <v/>
      </c>
      <c r="AH660" s="130" t="str">
        <f>IF(Tab.o1[[#This Row],[a1]]=1,IF(AH$3=0,Tab.o1[[#This Row],[rW2]],0.01+0.94*Tab.o1[[#This Row],[rW2]]/SUM(Tab.o1[rW2])),"")</f>
        <v/>
      </c>
      <c r="AI660" s="128" t="str">
        <f>IF(Tab.o1[[#This Row],[a1]]=1,1/Tab.o1[[#This Row],[PDF]],"")</f>
        <v/>
      </c>
      <c r="AJ660" s="131" t="str">
        <f>IF(Tab.o1[[#This Row],[a1]]=1,[1]!T_AA[[#This Row],[IN'']]*[1]!T_AA[[#This Row],[Qde'']],"")</f>
        <v/>
      </c>
      <c r="AK660" s="132" t="str">
        <f>IF(Tab.o1[[#This Row],[a1]]=1,IF(AK$1=1,Tab.o1[[#This Row],[MED]]+Tab.o1[[#This Row],[MOD]]-Tab.o1[[#This Row],[MED]],""),"")</f>
        <v/>
      </c>
      <c r="AL660" s="133" t="str">
        <f>IF(Tab.o1[[#This Row],[a1]]=1,[1]!T.in.A[[#This Row],[oo16]],"")</f>
        <v/>
      </c>
      <c r="AM660" s="133" t="str">
        <f>IF(Tab.o1[[#This Row],[a1]]=1,IF(AM$3=1,[1]!T.in.A[[#This Row],[Σo16]],""),"")</f>
        <v/>
      </c>
      <c r="AN660" s="126" t="str">
        <f>IF(Tab.o1[[#This Row],[a1]]=1,[1]!T.in.A[[#This Row],[Σp5]],"")</f>
        <v/>
      </c>
      <c r="AO660" s="126" t="str">
        <f>IF(Tab.o1[[#This Row],[a1]]=1,IF(AO$3=1,[1]!T.in.A[[#This Row],[Σp5]],""),"")</f>
        <v/>
      </c>
      <c r="AP660" s="110" t="str">
        <f>IF(Tab.o1[[#This Row],[a1]]=1,IF(ISNUMBER(Tab.o1[[#This Row],[i.]]),NORMDIST(Tab.o1[[#This Row],[Za]],0,1,FALSE)*Tab.o1[[#This Row],[i.]],0),"")</f>
        <v/>
      </c>
      <c r="AQ660" s="125" t="str">
        <f>IF(Tab.o1[[#This Row],[a1]]=1,ABS(Tab.o1[[#This Row],[MOD]]-AVERAGE(Tab.o1[MOD])),"")</f>
        <v/>
      </c>
      <c r="AR660" s="134" t="str">
        <f>IF(Tab.o1[[#This Row],[a1]]=1,Tab.o1[[#This Row],[OBS]]/SUM(Tab.o1[OBS]),"")</f>
        <v/>
      </c>
      <c r="AS660" s="135" t="str">
        <f>IF(ISNUMBER(Tab.o1[[#This Row],[a1]]),ROW()-4,"")</f>
        <v/>
      </c>
      <c r="AT660" s="136" t="str">
        <f>Tab.o1[[#This Row],[MOD]]</f>
        <v/>
      </c>
      <c r="AU660" s="137" t="str">
        <f t="shared" si="41"/>
        <v/>
      </c>
      <c r="AV660" s="138" t="str">
        <f t="shared" si="42"/>
        <v/>
      </c>
      <c r="AW660" s="138" t="str">
        <f t="shared" si="43"/>
        <v/>
      </c>
      <c r="AX660" s="139" t="str">
        <f>[1]!T.in.A[[#This Row],[ID_T_manu]]</f>
        <v/>
      </c>
      <c r="AY660" s="140" t="str">
        <f>IF(ISNUMBER(Tab.o1[[#This Row],[a1]]),IF(AND(Tab.o1[[#This Row],[a1]]=1,Tab.o1[[#This Row],[b1]]&lt;=AY$4),#REF!,AY659),"")</f>
        <v/>
      </c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</row>
    <row r="661" spans="1:79" s="143" customFormat="1" ht="15.75" hidden="1">
      <c r="A661" s="109">
        <v>-5.0000000000000004E-6</v>
      </c>
      <c r="B661" s="110">
        <f t="shared" si="40"/>
        <v>661</v>
      </c>
      <c r="C661" s="111" t="str">
        <f>IF(C$1=[1]!T.in.A[[#This Row],[oo2]],1,"")</f>
        <v/>
      </c>
      <c r="D661" s="112" t="str">
        <f>IF(Tab.o1[[#This Row],[a1]]=1,IF(SUM(C661:C662)=0,0,IF(SUM(C660:C661)=1,1,IF(SUM(C660:C662)&gt;1,D660+1,0))),"")</f>
        <v/>
      </c>
      <c r="E661" s="113" t="str">
        <f>IF(Tab.o1[[#This Row],[a1]]=1,[1]!T.in.A[[#This Row],[oo1]],"")</f>
        <v/>
      </c>
      <c r="F661" s="113" t="str">
        <f>IF(Tab.o1[[#This Row],[a1]]=1,[1]!T.in.A[[#This Row],[pp1]],"")</f>
        <v/>
      </c>
      <c r="G661" s="114" t="str">
        <f>IF(Tab.o1[[#This Row],[a1]]=1,G$2+IF(G$1=1,0,Tab.o1[[#This Row],[.x1]])+[1]!T.in.A[[#This Row],[oo3]],"")</f>
        <v/>
      </c>
      <c r="H661" s="115" t="str">
        <f>IF(Tab.o1[[#This Row],[a1]]=1,IF(H$2=0,0,IF(G$1=1,0,Tab.o1[[#This Row],[.x1]])+[1]!T.in.A[[#This Row],[oo4]]),"")</f>
        <v/>
      </c>
      <c r="I661" s="116" t="str">
        <f>IF(Tab.o1[[#This Row],[a1]]=1,IF(J$2=0,Tab.o1[[#This Row],[MED]],Tab.o1[[#This Row],[MOD]]),"")</f>
        <v/>
      </c>
      <c r="J661" s="116" t="str">
        <f>IF(Tab.o1[[#This Row],[a1]]=1,((Tab.o1[[#This Row],[DIF_Target.]]-AVERAGE(Tab.o1[DIF_Target.]))/_xlfn.STDEV.P(Tab.o1[DIF_Target.])),"")</f>
        <v/>
      </c>
      <c r="K661" s="117" t="str">
        <f>IF(Tab.o1[[#This Row],[a1]]=1,IF(J$2=0,Tab.o1[[#This Row],[MOD]]-Tab.o1[[#This Row],[B]],IF(J$2=1,0,-Tab.o1[[#This Row],[MED]])+Tab.o1[[#This Row],[B]]),"")</f>
        <v/>
      </c>
      <c r="L661" s="117" t="str">
        <f ca="1">IF(Tab.o1[[#This Row],[DIF_Target]]=0,IF(L$2=0,Tab.o1[[#This Row],[DIF_Target]],AVERAGE(OFFSET(Tab.o1[[#This Row],[DIF_Target]],1,0,L$3,1)))/3,Tab.o1[[#This Row],[DIF_Target]])</f>
        <v/>
      </c>
      <c r="M661" s="118" t="str">
        <f>IF(Tab.o1[[#This Row],[a1]]=1,NORMSDIST(Tab.o1[[#This Row],[Za]]),"")</f>
        <v/>
      </c>
      <c r="N661" s="119" t="str">
        <f>IF(Tab.o1[[#This Row],[a1]]=1,((Tab.o1[[#This Row],[MedMod]]-AVERAGE(Tab.o1[MedMod]))/_xlfn.STDEV.P(Tab.o1[MedMod])*H$1205)+G$1205,"")</f>
        <v/>
      </c>
      <c r="O661" s="141" t="str">
        <f>IF(Tab.o1[[#This Row],[a1]]=1,Tab.o1[[#This Row],[Zb]]*_xlfn.STDEV.P(Tab.o1[MedMod])+AVERAGE(Tab.o1[MedMod]),"")</f>
        <v/>
      </c>
      <c r="P661" s="117" t="str">
        <f ca="1">IF(Tab.o1[[#This Row],[B]]=0,AVERAGE(OFFSET(Tab.o1[[#This Row],[B]],1,0,L$3,1)),Tab.o1[[#This Row],[B]])</f>
        <v/>
      </c>
      <c r="Q661" s="121" t="str">
        <f>IF(Tab.o1[[#This Row],[a1]]=1,NORMSDIST(Tab.o1[[#This Row],[Zb]]),"")</f>
        <v/>
      </c>
      <c r="R661" s="122" t="str">
        <f>IF(Tab.o1[[#This Row],[a1]]=1,((Tab.o1[[#This Row],[MedMod]]-AVERAGE(Tab.o1[MedMod]))/_xlfn.STDEV.P(Tab.o1[MedMod])*H$1203)+G$1203,"")</f>
        <v/>
      </c>
      <c r="S661" s="122" t="str">
        <f>IF(Tab.o1[[#This Row],[a1]]=1,((Tab.o1[[#This Row],[MedMod]]-AVERAGE(Tab.o1[MedMod]))/_xlfn.STDEV.P(Tab.o1[MedMod])*H$1204)+G$1204,"")</f>
        <v/>
      </c>
      <c r="T661" s="123" t="str">
        <f>IF(Tab.o1[[#This Row],[a1]]=1,Tab.o1[[#This Row],[Z-]]*_xlfn.STDEV.P(Tab.o1[B])+AVERAGE(Tab.o1[B]),"")</f>
        <v/>
      </c>
      <c r="U661" s="123" t="str">
        <f>IF(Tab.o1[[#This Row],[a1]]=1,Tab.o1[[#This Row],[z+]]*_xlfn.STDEV.P(Tab.o1[B])+AVERAGE(Tab.o1[B]),"")</f>
        <v/>
      </c>
      <c r="V661" s="124" t="str">
        <f>IF(Tab.o1[[#This Row],[a1]]=1,ABS((ABS(Tab.o1[[#This Row],[Red]]-Tab.o1[[#This Row],[Blue]]))),"")</f>
        <v/>
      </c>
      <c r="W661" s="125" t="str">
        <f>IF(Tab.o1[[#This Row],[a1]]=1,IF(W$3=0,1,Tab.o1[[#This Row],[Amp.]]*1/_xlfn.MINIFS(Tab.o1[Amp.],Tab.o1[Amp.],"&lt;&gt;0")),"")</f>
        <v/>
      </c>
      <c r="X661" s="126" t="str">
        <f>IF(Tab.o1[[#This Row],[a1]]=1,IF(ISNUMBER(Tab.o1[[#This Row],[i.]]),NORMDIST(Tab.o1[[#This Row],[Za]],0,1,FALSE)*Tab.o1[[#This Row],[i.]],AP$3),"")</f>
        <v/>
      </c>
      <c r="Y661" s="126" t="str">
        <f>IF(Tab.o1[[#This Row],[a1]]=1,0.01+0.94*Tab.o1[[#This Row],[PDF]]/MAX(Tab.o1[PDF]),"")</f>
        <v/>
      </c>
      <c r="Z661" s="126" t="str">
        <f>IF(Tab.o1[[#This Row],[a1]]=1,0.01+0.94*Tab.o1[[#This Row],[W1_PDF]]/MAX(Tab.o1[W1_PDF]),"")</f>
        <v/>
      </c>
      <c r="AA661" s="118" t="str">
        <f>IF(Tab.o1[[#This Row],[a1]]=1,ABS([1]!T.in.A[[#This Row],[oo6]]),"")</f>
        <v/>
      </c>
      <c r="AB661" s="127" t="str">
        <f>IF(Tab.o1[[#This Row],[a1]]=1,IF(AE$3=0,"",IF(AB$3=0,ABS([1]!T.in.A[[#This Row],[oo9]]),ABS(Tab.o1[[#This Row],[DIF_Target.]]*Tab.o1[[#This Row],[W1_PDF]]))),"")</f>
        <v/>
      </c>
      <c r="AC661" s="127" t="str">
        <f>IF(G$1=1,"",IF(Tab.o1[[#This Row],[a1]]=1,Tab.o1[[#This Row],[Wr]]^2,""))</f>
        <v/>
      </c>
      <c r="AD661" s="118" t="str">
        <f>IF(Tab.o1[[#This Row],[a1]]=1,IF(AE$3=0,"",Tab.o1[[#This Row],[Wr2]]/SUM(Tab.o1[Wr2])),"")</f>
        <v/>
      </c>
      <c r="AE661" s="128" t="str">
        <f>IF(Tab.o1[[#This Row],[a1]]=1,[1]!T.in.A[[#This Row],[oo10]],"")</f>
        <v/>
      </c>
      <c r="AF661" s="118" t="str">
        <f>IF(Tab.o1[[#This Row],[a1]]=1,ABS(Tab.o1[[#This Row],[DIF_Target.]]*Tab.o1[[#This Row],[PDF2]]*Tab.o1[[#This Row],[IN]]),"")</f>
        <v/>
      </c>
      <c r="AG661" s="129" t="str">
        <f>IF(Tab.o1[[#This Row],[a1]]=1,Tab.o1[[#This Row],[rW]]^2,"")</f>
        <v/>
      </c>
      <c r="AH661" s="130" t="str">
        <f>IF(Tab.o1[[#This Row],[a1]]=1,IF(AH$3=0,Tab.o1[[#This Row],[rW2]],0.01+0.94*Tab.o1[[#This Row],[rW2]]/SUM(Tab.o1[rW2])),"")</f>
        <v/>
      </c>
      <c r="AI661" s="128" t="str">
        <f>IF(Tab.o1[[#This Row],[a1]]=1,1/Tab.o1[[#This Row],[PDF]],"")</f>
        <v/>
      </c>
      <c r="AJ661" s="131" t="str">
        <f>IF(Tab.o1[[#This Row],[a1]]=1,[1]!T_AA[[#This Row],[IN'']]*[1]!T_AA[[#This Row],[Qde'']],"")</f>
        <v/>
      </c>
      <c r="AK661" s="132" t="str">
        <f>IF(Tab.o1[[#This Row],[a1]]=1,IF(AK$1=1,Tab.o1[[#This Row],[MED]]+Tab.o1[[#This Row],[MOD]]-Tab.o1[[#This Row],[MED]],""),"")</f>
        <v/>
      </c>
      <c r="AL661" s="133" t="str">
        <f>IF(Tab.o1[[#This Row],[a1]]=1,[1]!T.in.A[[#This Row],[oo16]],"")</f>
        <v/>
      </c>
      <c r="AM661" s="133" t="str">
        <f>IF(Tab.o1[[#This Row],[a1]]=1,IF(AM$3=1,[1]!T.in.A[[#This Row],[Σo16]],""),"")</f>
        <v/>
      </c>
      <c r="AN661" s="126" t="str">
        <f>IF(Tab.o1[[#This Row],[a1]]=1,[1]!T.in.A[[#This Row],[Σp5]],"")</f>
        <v/>
      </c>
      <c r="AO661" s="126" t="str">
        <f>IF(Tab.o1[[#This Row],[a1]]=1,IF(AO$3=1,[1]!T.in.A[[#This Row],[Σp5]],""),"")</f>
        <v/>
      </c>
      <c r="AP661" s="110" t="str">
        <f>IF(Tab.o1[[#This Row],[a1]]=1,IF(ISNUMBER(Tab.o1[[#This Row],[i.]]),NORMDIST(Tab.o1[[#This Row],[Za]],0,1,FALSE)*Tab.o1[[#This Row],[i.]],0),"")</f>
        <v/>
      </c>
      <c r="AQ661" s="125" t="str">
        <f>IF(Tab.o1[[#This Row],[a1]]=1,ABS(Tab.o1[[#This Row],[MOD]]-AVERAGE(Tab.o1[MOD])),"")</f>
        <v/>
      </c>
      <c r="AR661" s="134" t="str">
        <f>IF(Tab.o1[[#This Row],[a1]]=1,Tab.o1[[#This Row],[OBS]]/SUM(Tab.o1[OBS]),"")</f>
        <v/>
      </c>
      <c r="AS661" s="135" t="str">
        <f>IF(ISNUMBER(Tab.o1[[#This Row],[a1]]),ROW()-4,"")</f>
        <v/>
      </c>
      <c r="AT661" s="136" t="str">
        <f>Tab.o1[[#This Row],[MOD]]</f>
        <v/>
      </c>
      <c r="AU661" s="137" t="str">
        <f t="shared" si="41"/>
        <v/>
      </c>
      <c r="AV661" s="138" t="str">
        <f t="shared" si="42"/>
        <v/>
      </c>
      <c r="AW661" s="138" t="str">
        <f t="shared" si="43"/>
        <v/>
      </c>
      <c r="AX661" s="139" t="str">
        <f>[1]!T.in.A[[#This Row],[ID_T_manu]]</f>
        <v/>
      </c>
      <c r="AY661" s="140" t="str">
        <f>IF(ISNUMBER(Tab.o1[[#This Row],[a1]]),IF(AND(Tab.o1[[#This Row],[a1]]=1,Tab.o1[[#This Row],[b1]]&lt;=AY$4),#REF!,AY660),"")</f>
        <v/>
      </c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</row>
    <row r="662" spans="1:79" s="143" customFormat="1" ht="15.75" hidden="1">
      <c r="A662" s="109">
        <v>1.0000000000000002E-6</v>
      </c>
      <c r="B662" s="110">
        <f t="shared" si="40"/>
        <v>662</v>
      </c>
      <c r="C662" s="111" t="str">
        <f>IF(C$1=[1]!T.in.A[[#This Row],[oo2]],1,"")</f>
        <v/>
      </c>
      <c r="D662" s="112" t="str">
        <f>IF(Tab.o1[[#This Row],[a1]]=1,IF(SUM(C662:C663)=0,0,IF(SUM(C661:C662)=1,1,IF(SUM(C661:C663)&gt;1,D661+1,0))),"")</f>
        <v/>
      </c>
      <c r="E662" s="113" t="str">
        <f>IF(Tab.o1[[#This Row],[a1]]=1,[1]!T.in.A[[#This Row],[oo1]],"")</f>
        <v/>
      </c>
      <c r="F662" s="113" t="str">
        <f>IF(Tab.o1[[#This Row],[a1]]=1,[1]!T.in.A[[#This Row],[pp1]],"")</f>
        <v/>
      </c>
      <c r="G662" s="114" t="str">
        <f>IF(Tab.o1[[#This Row],[a1]]=1,G$2+IF(G$1=1,0,Tab.o1[[#This Row],[.x1]])+[1]!T.in.A[[#This Row],[oo3]],"")</f>
        <v/>
      </c>
      <c r="H662" s="115" t="str">
        <f>IF(Tab.o1[[#This Row],[a1]]=1,IF(H$2=0,0,IF(G$1=1,0,Tab.o1[[#This Row],[.x1]])+[1]!T.in.A[[#This Row],[oo4]]),"")</f>
        <v/>
      </c>
      <c r="I662" s="116" t="str">
        <f>IF(Tab.o1[[#This Row],[a1]]=1,IF(J$2=0,Tab.o1[[#This Row],[MED]],Tab.o1[[#This Row],[MOD]]),"")</f>
        <v/>
      </c>
      <c r="J662" s="116" t="str">
        <f>IF(Tab.o1[[#This Row],[a1]]=1,((Tab.o1[[#This Row],[DIF_Target.]]-AVERAGE(Tab.o1[DIF_Target.]))/_xlfn.STDEV.P(Tab.o1[DIF_Target.])),"")</f>
        <v/>
      </c>
      <c r="K662" s="117" t="str">
        <f>IF(Tab.o1[[#This Row],[a1]]=1,IF(J$2=0,Tab.o1[[#This Row],[MOD]]-Tab.o1[[#This Row],[B]],IF(J$2=1,0,-Tab.o1[[#This Row],[MED]])+Tab.o1[[#This Row],[B]]),"")</f>
        <v/>
      </c>
      <c r="L662" s="117" t="str">
        <f ca="1">IF(Tab.o1[[#This Row],[DIF_Target]]=0,IF(L$2=0,Tab.o1[[#This Row],[DIF_Target]],AVERAGE(OFFSET(Tab.o1[[#This Row],[DIF_Target]],1,0,L$3,1)))/3,Tab.o1[[#This Row],[DIF_Target]])</f>
        <v/>
      </c>
      <c r="M662" s="118" t="str">
        <f>IF(Tab.o1[[#This Row],[a1]]=1,NORMSDIST(Tab.o1[[#This Row],[Za]]),"")</f>
        <v/>
      </c>
      <c r="N662" s="119" t="str">
        <f>IF(Tab.o1[[#This Row],[a1]]=1,((Tab.o1[[#This Row],[MedMod]]-AVERAGE(Tab.o1[MedMod]))/_xlfn.STDEV.P(Tab.o1[MedMod])*H$1205)+G$1205,"")</f>
        <v/>
      </c>
      <c r="O662" s="141" t="str">
        <f>IF(Tab.o1[[#This Row],[a1]]=1,Tab.o1[[#This Row],[Zb]]*_xlfn.STDEV.P(Tab.o1[MedMod])+AVERAGE(Tab.o1[MedMod]),"")</f>
        <v/>
      </c>
      <c r="P662" s="117" t="str">
        <f ca="1">IF(Tab.o1[[#This Row],[B]]=0,AVERAGE(OFFSET(Tab.o1[[#This Row],[B]],1,0,L$3,1)),Tab.o1[[#This Row],[B]])</f>
        <v/>
      </c>
      <c r="Q662" s="121" t="str">
        <f>IF(Tab.o1[[#This Row],[a1]]=1,NORMSDIST(Tab.o1[[#This Row],[Zb]]),"")</f>
        <v/>
      </c>
      <c r="R662" s="122" t="str">
        <f>IF(Tab.o1[[#This Row],[a1]]=1,((Tab.o1[[#This Row],[MedMod]]-AVERAGE(Tab.o1[MedMod]))/_xlfn.STDEV.P(Tab.o1[MedMod])*H$1203)+G$1203,"")</f>
        <v/>
      </c>
      <c r="S662" s="122" t="str">
        <f>IF(Tab.o1[[#This Row],[a1]]=1,((Tab.o1[[#This Row],[MedMod]]-AVERAGE(Tab.o1[MedMod]))/_xlfn.STDEV.P(Tab.o1[MedMod])*H$1204)+G$1204,"")</f>
        <v/>
      </c>
      <c r="T662" s="123" t="str">
        <f>IF(Tab.o1[[#This Row],[a1]]=1,Tab.o1[[#This Row],[Z-]]*_xlfn.STDEV.P(Tab.o1[B])+AVERAGE(Tab.o1[B]),"")</f>
        <v/>
      </c>
      <c r="U662" s="123" t="str">
        <f>IF(Tab.o1[[#This Row],[a1]]=1,Tab.o1[[#This Row],[z+]]*_xlfn.STDEV.P(Tab.o1[B])+AVERAGE(Tab.o1[B]),"")</f>
        <v/>
      </c>
      <c r="V662" s="124" t="str">
        <f>IF(Tab.o1[[#This Row],[a1]]=1,ABS((ABS(Tab.o1[[#This Row],[Red]]-Tab.o1[[#This Row],[Blue]]))),"")</f>
        <v/>
      </c>
      <c r="W662" s="125" t="str">
        <f>IF(Tab.o1[[#This Row],[a1]]=1,IF(W$3=0,1,Tab.o1[[#This Row],[Amp.]]*1/_xlfn.MINIFS(Tab.o1[Amp.],Tab.o1[Amp.],"&lt;&gt;0")),"")</f>
        <v/>
      </c>
      <c r="X662" s="126" t="str">
        <f>IF(Tab.o1[[#This Row],[a1]]=1,IF(ISNUMBER(Tab.o1[[#This Row],[i.]]),NORMDIST(Tab.o1[[#This Row],[Za]],0,1,FALSE)*Tab.o1[[#This Row],[i.]],AP$3),"")</f>
        <v/>
      </c>
      <c r="Y662" s="126" t="str">
        <f>IF(Tab.o1[[#This Row],[a1]]=1,0.01+0.94*Tab.o1[[#This Row],[PDF]]/MAX(Tab.o1[PDF]),"")</f>
        <v/>
      </c>
      <c r="Z662" s="126" t="str">
        <f>IF(Tab.o1[[#This Row],[a1]]=1,0.01+0.94*Tab.o1[[#This Row],[W1_PDF]]/MAX(Tab.o1[W1_PDF]),"")</f>
        <v/>
      </c>
      <c r="AA662" s="118" t="str">
        <f>IF(Tab.o1[[#This Row],[a1]]=1,ABS([1]!T.in.A[[#This Row],[oo6]]),"")</f>
        <v/>
      </c>
      <c r="AB662" s="127" t="str">
        <f>IF(Tab.o1[[#This Row],[a1]]=1,IF(AE$3=0,"",IF(AB$3=0,ABS([1]!T.in.A[[#This Row],[oo9]]),ABS(Tab.o1[[#This Row],[DIF_Target.]]*Tab.o1[[#This Row],[W1_PDF]]))),"")</f>
        <v/>
      </c>
      <c r="AC662" s="127" t="str">
        <f>IF(G$1=1,"",IF(Tab.o1[[#This Row],[a1]]=1,Tab.o1[[#This Row],[Wr]]^2,""))</f>
        <v/>
      </c>
      <c r="AD662" s="118" t="str">
        <f>IF(Tab.o1[[#This Row],[a1]]=1,IF(AE$3=0,"",Tab.o1[[#This Row],[Wr2]]/SUM(Tab.o1[Wr2])),"")</f>
        <v/>
      </c>
      <c r="AE662" s="128" t="str">
        <f>IF(Tab.o1[[#This Row],[a1]]=1,[1]!T.in.A[[#This Row],[oo10]],"")</f>
        <v/>
      </c>
      <c r="AF662" s="118" t="str">
        <f>IF(Tab.o1[[#This Row],[a1]]=1,ABS(Tab.o1[[#This Row],[DIF_Target.]]*Tab.o1[[#This Row],[PDF2]]*Tab.o1[[#This Row],[IN]]),"")</f>
        <v/>
      </c>
      <c r="AG662" s="129" t="str">
        <f>IF(Tab.o1[[#This Row],[a1]]=1,Tab.o1[[#This Row],[rW]]^2,"")</f>
        <v/>
      </c>
      <c r="AH662" s="130" t="str">
        <f>IF(Tab.o1[[#This Row],[a1]]=1,IF(AH$3=0,Tab.o1[[#This Row],[rW2]],0.01+0.94*Tab.o1[[#This Row],[rW2]]/SUM(Tab.o1[rW2])),"")</f>
        <v/>
      </c>
      <c r="AI662" s="128" t="str">
        <f>IF(Tab.o1[[#This Row],[a1]]=1,1/Tab.o1[[#This Row],[PDF]],"")</f>
        <v/>
      </c>
      <c r="AJ662" s="131" t="str">
        <f>IF(Tab.o1[[#This Row],[a1]]=1,[1]!T_AA[[#This Row],[IN'']]*[1]!T_AA[[#This Row],[Qde'']],"")</f>
        <v/>
      </c>
      <c r="AK662" s="132" t="str">
        <f>IF(Tab.o1[[#This Row],[a1]]=1,IF(AK$1=1,Tab.o1[[#This Row],[MED]]+Tab.o1[[#This Row],[MOD]]-Tab.o1[[#This Row],[MED]],""),"")</f>
        <v/>
      </c>
      <c r="AL662" s="133" t="str">
        <f>IF(Tab.o1[[#This Row],[a1]]=1,[1]!T.in.A[[#This Row],[oo16]],"")</f>
        <v/>
      </c>
      <c r="AM662" s="133" t="str">
        <f>IF(Tab.o1[[#This Row],[a1]]=1,IF(AM$3=1,[1]!T.in.A[[#This Row],[Σo16]],""),"")</f>
        <v/>
      </c>
      <c r="AN662" s="126" t="str">
        <f>IF(Tab.o1[[#This Row],[a1]]=1,[1]!T.in.A[[#This Row],[Σp5]],"")</f>
        <v/>
      </c>
      <c r="AO662" s="126" t="str">
        <f>IF(Tab.o1[[#This Row],[a1]]=1,IF(AO$3=1,[1]!T.in.A[[#This Row],[Σp5]],""),"")</f>
        <v/>
      </c>
      <c r="AP662" s="110" t="str">
        <f>IF(Tab.o1[[#This Row],[a1]]=1,IF(ISNUMBER(Tab.o1[[#This Row],[i.]]),NORMDIST(Tab.o1[[#This Row],[Za]],0,1,FALSE)*Tab.o1[[#This Row],[i.]],0),"")</f>
        <v/>
      </c>
      <c r="AQ662" s="125" t="str">
        <f>IF(Tab.o1[[#This Row],[a1]]=1,ABS(Tab.o1[[#This Row],[MOD]]-AVERAGE(Tab.o1[MOD])),"")</f>
        <v/>
      </c>
      <c r="AR662" s="134" t="str">
        <f>IF(Tab.o1[[#This Row],[a1]]=1,Tab.o1[[#This Row],[OBS]]/SUM(Tab.o1[OBS]),"")</f>
        <v/>
      </c>
      <c r="AS662" s="135" t="str">
        <f>IF(ISNUMBER(Tab.o1[[#This Row],[a1]]),ROW()-4,"")</f>
        <v/>
      </c>
      <c r="AT662" s="136" t="str">
        <f>Tab.o1[[#This Row],[MOD]]</f>
        <v/>
      </c>
      <c r="AU662" s="137" t="str">
        <f t="shared" si="41"/>
        <v/>
      </c>
      <c r="AV662" s="138" t="str">
        <f t="shared" si="42"/>
        <v/>
      </c>
      <c r="AW662" s="138" t="str">
        <f t="shared" si="43"/>
        <v/>
      </c>
      <c r="AX662" s="139" t="str">
        <f>[1]!T.in.A[[#This Row],[ID_T_manu]]</f>
        <v/>
      </c>
      <c r="AY662" s="140" t="str">
        <f>IF(ISNUMBER(Tab.o1[[#This Row],[a1]]),IF(AND(Tab.o1[[#This Row],[a1]]=1,Tab.o1[[#This Row],[b1]]&lt;=AY$4),#REF!,AY661),"")</f>
        <v/>
      </c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</row>
    <row r="663" spans="1:79" s="143" customFormat="1" ht="15.75" hidden="1">
      <c r="A663" s="109">
        <v>2.9999999999999997E-6</v>
      </c>
      <c r="B663" s="110">
        <f t="shared" si="40"/>
        <v>663</v>
      </c>
      <c r="C663" s="111" t="str">
        <f>IF(C$1=[1]!T.in.A[[#This Row],[oo2]],1,"")</f>
        <v/>
      </c>
      <c r="D663" s="112" t="str">
        <f>IF(Tab.o1[[#This Row],[a1]]=1,IF(SUM(C663:C664)=0,0,IF(SUM(C662:C663)=1,1,IF(SUM(C662:C664)&gt;1,D662+1,0))),"")</f>
        <v/>
      </c>
      <c r="E663" s="113" t="str">
        <f>IF(Tab.o1[[#This Row],[a1]]=1,[1]!T.in.A[[#This Row],[oo1]],"")</f>
        <v/>
      </c>
      <c r="F663" s="113" t="str">
        <f>IF(Tab.o1[[#This Row],[a1]]=1,[1]!T.in.A[[#This Row],[pp1]],"")</f>
        <v/>
      </c>
      <c r="G663" s="114" t="str">
        <f>IF(Tab.o1[[#This Row],[a1]]=1,G$2+IF(G$1=1,0,Tab.o1[[#This Row],[.x1]])+[1]!T.in.A[[#This Row],[oo3]],"")</f>
        <v/>
      </c>
      <c r="H663" s="115" t="str">
        <f>IF(Tab.o1[[#This Row],[a1]]=1,IF(H$2=0,0,IF(G$1=1,0,Tab.o1[[#This Row],[.x1]])+[1]!T.in.A[[#This Row],[oo4]]),"")</f>
        <v/>
      </c>
      <c r="I663" s="116" t="str">
        <f>IF(Tab.o1[[#This Row],[a1]]=1,IF(J$2=0,Tab.o1[[#This Row],[MED]],Tab.o1[[#This Row],[MOD]]),"")</f>
        <v/>
      </c>
      <c r="J663" s="116" t="str">
        <f>IF(Tab.o1[[#This Row],[a1]]=1,((Tab.o1[[#This Row],[DIF_Target.]]-AVERAGE(Tab.o1[DIF_Target.]))/_xlfn.STDEV.P(Tab.o1[DIF_Target.])),"")</f>
        <v/>
      </c>
      <c r="K663" s="117" t="str">
        <f>IF(Tab.o1[[#This Row],[a1]]=1,IF(J$2=0,Tab.o1[[#This Row],[MOD]]-Tab.o1[[#This Row],[B]],IF(J$2=1,0,-Tab.o1[[#This Row],[MED]])+Tab.o1[[#This Row],[B]]),"")</f>
        <v/>
      </c>
      <c r="L663" s="117" t="str">
        <f ca="1">IF(Tab.o1[[#This Row],[DIF_Target]]=0,IF(L$2=0,Tab.o1[[#This Row],[DIF_Target]],AVERAGE(OFFSET(Tab.o1[[#This Row],[DIF_Target]],1,0,L$3,1)))/3,Tab.o1[[#This Row],[DIF_Target]])</f>
        <v/>
      </c>
      <c r="M663" s="118" t="str">
        <f>IF(Tab.o1[[#This Row],[a1]]=1,NORMSDIST(Tab.o1[[#This Row],[Za]]),"")</f>
        <v/>
      </c>
      <c r="N663" s="119" t="str">
        <f>IF(Tab.o1[[#This Row],[a1]]=1,((Tab.o1[[#This Row],[MedMod]]-AVERAGE(Tab.o1[MedMod]))/_xlfn.STDEV.P(Tab.o1[MedMod])*H$1205)+G$1205,"")</f>
        <v/>
      </c>
      <c r="O663" s="141" t="str">
        <f>IF(Tab.o1[[#This Row],[a1]]=1,Tab.o1[[#This Row],[Zb]]*_xlfn.STDEV.P(Tab.o1[MedMod])+AVERAGE(Tab.o1[MedMod]),"")</f>
        <v/>
      </c>
      <c r="P663" s="117" t="str">
        <f ca="1">IF(Tab.o1[[#This Row],[B]]=0,AVERAGE(OFFSET(Tab.o1[[#This Row],[B]],1,0,L$3,1)),Tab.o1[[#This Row],[B]])</f>
        <v/>
      </c>
      <c r="Q663" s="121" t="str">
        <f>IF(Tab.o1[[#This Row],[a1]]=1,NORMSDIST(Tab.o1[[#This Row],[Zb]]),"")</f>
        <v/>
      </c>
      <c r="R663" s="122" t="str">
        <f>IF(Tab.o1[[#This Row],[a1]]=1,((Tab.o1[[#This Row],[MedMod]]-AVERAGE(Tab.o1[MedMod]))/_xlfn.STDEV.P(Tab.o1[MedMod])*H$1203)+G$1203,"")</f>
        <v/>
      </c>
      <c r="S663" s="122" t="str">
        <f>IF(Tab.o1[[#This Row],[a1]]=1,((Tab.o1[[#This Row],[MedMod]]-AVERAGE(Tab.o1[MedMod]))/_xlfn.STDEV.P(Tab.o1[MedMod])*H$1204)+G$1204,"")</f>
        <v/>
      </c>
      <c r="T663" s="123" t="str">
        <f>IF(Tab.o1[[#This Row],[a1]]=1,Tab.o1[[#This Row],[Z-]]*_xlfn.STDEV.P(Tab.o1[B])+AVERAGE(Tab.o1[B]),"")</f>
        <v/>
      </c>
      <c r="U663" s="123" t="str">
        <f>IF(Tab.o1[[#This Row],[a1]]=1,Tab.o1[[#This Row],[z+]]*_xlfn.STDEV.P(Tab.o1[B])+AVERAGE(Tab.o1[B]),"")</f>
        <v/>
      </c>
      <c r="V663" s="124" t="str">
        <f>IF(Tab.o1[[#This Row],[a1]]=1,ABS((ABS(Tab.o1[[#This Row],[Red]]-Tab.o1[[#This Row],[Blue]]))),"")</f>
        <v/>
      </c>
      <c r="W663" s="125" t="str">
        <f>IF(Tab.o1[[#This Row],[a1]]=1,IF(W$3=0,1,Tab.o1[[#This Row],[Amp.]]*1/_xlfn.MINIFS(Tab.o1[Amp.],Tab.o1[Amp.],"&lt;&gt;0")),"")</f>
        <v/>
      </c>
      <c r="X663" s="126" t="str">
        <f>IF(Tab.o1[[#This Row],[a1]]=1,IF(ISNUMBER(Tab.o1[[#This Row],[i.]]),NORMDIST(Tab.o1[[#This Row],[Za]],0,1,FALSE)*Tab.o1[[#This Row],[i.]],AP$3),"")</f>
        <v/>
      </c>
      <c r="Y663" s="126" t="str">
        <f>IF(Tab.o1[[#This Row],[a1]]=1,0.01+0.94*Tab.o1[[#This Row],[PDF]]/MAX(Tab.o1[PDF]),"")</f>
        <v/>
      </c>
      <c r="Z663" s="126" t="str">
        <f>IF(Tab.o1[[#This Row],[a1]]=1,0.01+0.94*Tab.o1[[#This Row],[W1_PDF]]/MAX(Tab.o1[W1_PDF]),"")</f>
        <v/>
      </c>
      <c r="AA663" s="118" t="str">
        <f>IF(Tab.o1[[#This Row],[a1]]=1,ABS([1]!T.in.A[[#This Row],[oo6]]),"")</f>
        <v/>
      </c>
      <c r="AB663" s="127" t="str">
        <f>IF(Tab.o1[[#This Row],[a1]]=1,IF(AE$3=0,"",IF(AB$3=0,ABS([1]!T.in.A[[#This Row],[oo9]]),ABS(Tab.o1[[#This Row],[DIF_Target.]]*Tab.o1[[#This Row],[W1_PDF]]))),"")</f>
        <v/>
      </c>
      <c r="AC663" s="127" t="str">
        <f>IF(G$1=1,"",IF(Tab.o1[[#This Row],[a1]]=1,Tab.o1[[#This Row],[Wr]]^2,""))</f>
        <v/>
      </c>
      <c r="AD663" s="118" t="str">
        <f>IF(Tab.o1[[#This Row],[a1]]=1,IF(AE$3=0,"",Tab.o1[[#This Row],[Wr2]]/SUM(Tab.o1[Wr2])),"")</f>
        <v/>
      </c>
      <c r="AE663" s="128" t="str">
        <f>IF(Tab.o1[[#This Row],[a1]]=1,[1]!T.in.A[[#This Row],[oo10]],"")</f>
        <v/>
      </c>
      <c r="AF663" s="118" t="str">
        <f>IF(Tab.o1[[#This Row],[a1]]=1,ABS(Tab.o1[[#This Row],[DIF_Target.]]*Tab.o1[[#This Row],[PDF2]]*Tab.o1[[#This Row],[IN]]),"")</f>
        <v/>
      </c>
      <c r="AG663" s="129" t="str">
        <f>IF(Tab.o1[[#This Row],[a1]]=1,Tab.o1[[#This Row],[rW]]^2,"")</f>
        <v/>
      </c>
      <c r="AH663" s="130" t="str">
        <f>IF(Tab.o1[[#This Row],[a1]]=1,IF(AH$3=0,Tab.o1[[#This Row],[rW2]],0.01+0.94*Tab.o1[[#This Row],[rW2]]/SUM(Tab.o1[rW2])),"")</f>
        <v/>
      </c>
      <c r="AI663" s="128" t="str">
        <f>IF(Tab.o1[[#This Row],[a1]]=1,1/Tab.o1[[#This Row],[PDF]],"")</f>
        <v/>
      </c>
      <c r="AJ663" s="131" t="str">
        <f>IF(Tab.o1[[#This Row],[a1]]=1,[1]!T_AA[[#This Row],[IN'']]*[1]!T_AA[[#This Row],[Qde'']],"")</f>
        <v/>
      </c>
      <c r="AK663" s="132" t="str">
        <f>IF(Tab.o1[[#This Row],[a1]]=1,IF(AK$1=1,Tab.o1[[#This Row],[MED]]+Tab.o1[[#This Row],[MOD]]-Tab.o1[[#This Row],[MED]],""),"")</f>
        <v/>
      </c>
      <c r="AL663" s="133" t="str">
        <f>IF(Tab.o1[[#This Row],[a1]]=1,[1]!T.in.A[[#This Row],[oo16]],"")</f>
        <v/>
      </c>
      <c r="AM663" s="133" t="str">
        <f>IF(Tab.o1[[#This Row],[a1]]=1,IF(AM$3=1,[1]!T.in.A[[#This Row],[Σo16]],""),"")</f>
        <v/>
      </c>
      <c r="AN663" s="126" t="str">
        <f>IF(Tab.o1[[#This Row],[a1]]=1,[1]!T.in.A[[#This Row],[Σp5]],"")</f>
        <v/>
      </c>
      <c r="AO663" s="126" t="str">
        <f>IF(Tab.o1[[#This Row],[a1]]=1,IF(AO$3=1,[1]!T.in.A[[#This Row],[Σp5]],""),"")</f>
        <v/>
      </c>
      <c r="AP663" s="110" t="str">
        <f>IF(Tab.o1[[#This Row],[a1]]=1,IF(ISNUMBER(Tab.o1[[#This Row],[i.]]),NORMDIST(Tab.o1[[#This Row],[Za]],0,1,FALSE)*Tab.o1[[#This Row],[i.]],0),"")</f>
        <v/>
      </c>
      <c r="AQ663" s="125" t="str">
        <f>IF(Tab.o1[[#This Row],[a1]]=1,ABS(Tab.o1[[#This Row],[MOD]]-AVERAGE(Tab.o1[MOD])),"")</f>
        <v/>
      </c>
      <c r="AR663" s="134" t="str">
        <f>IF(Tab.o1[[#This Row],[a1]]=1,Tab.o1[[#This Row],[OBS]]/SUM(Tab.o1[OBS]),"")</f>
        <v/>
      </c>
      <c r="AS663" s="135" t="str">
        <f>IF(ISNUMBER(Tab.o1[[#This Row],[a1]]),ROW()-4,"")</f>
        <v/>
      </c>
      <c r="AT663" s="136" t="str">
        <f>Tab.o1[[#This Row],[MOD]]</f>
        <v/>
      </c>
      <c r="AU663" s="137" t="str">
        <f t="shared" si="41"/>
        <v/>
      </c>
      <c r="AV663" s="138" t="str">
        <f t="shared" si="42"/>
        <v/>
      </c>
      <c r="AW663" s="138" t="str">
        <f t="shared" si="43"/>
        <v/>
      </c>
      <c r="AX663" s="139" t="str">
        <f>[1]!T.in.A[[#This Row],[ID_T_manu]]</f>
        <v/>
      </c>
      <c r="AY663" s="140" t="str">
        <f>IF(ISNUMBER(Tab.o1[[#This Row],[a1]]),IF(AND(Tab.o1[[#This Row],[a1]]=1,Tab.o1[[#This Row],[b1]]&lt;=AY$4),#REF!,AY662),"")</f>
        <v/>
      </c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</row>
    <row r="664" spans="1:79" s="143" customFormat="1" ht="15.75" hidden="1">
      <c r="A664" s="109">
        <v>1.0000000000000002E-6</v>
      </c>
      <c r="B664" s="110">
        <f t="shared" si="40"/>
        <v>664</v>
      </c>
      <c r="C664" s="111" t="str">
        <f>IF(C$1=[1]!T.in.A[[#This Row],[oo2]],1,"")</f>
        <v/>
      </c>
      <c r="D664" s="112" t="str">
        <f>IF(Tab.o1[[#This Row],[a1]]=1,IF(SUM(C664:C665)=0,0,IF(SUM(C663:C664)=1,1,IF(SUM(C663:C665)&gt;1,D663+1,0))),"")</f>
        <v/>
      </c>
      <c r="E664" s="113" t="str">
        <f>IF(Tab.o1[[#This Row],[a1]]=1,[1]!T.in.A[[#This Row],[oo1]],"")</f>
        <v/>
      </c>
      <c r="F664" s="113" t="str">
        <f>IF(Tab.o1[[#This Row],[a1]]=1,[1]!T.in.A[[#This Row],[pp1]],"")</f>
        <v/>
      </c>
      <c r="G664" s="114" t="str">
        <f>IF(Tab.o1[[#This Row],[a1]]=1,G$2+IF(G$1=1,0,Tab.o1[[#This Row],[.x1]])+[1]!T.in.A[[#This Row],[oo3]],"")</f>
        <v/>
      </c>
      <c r="H664" s="115" t="str">
        <f>IF(Tab.o1[[#This Row],[a1]]=1,IF(H$2=0,0,IF(G$1=1,0,Tab.o1[[#This Row],[.x1]])+[1]!T.in.A[[#This Row],[oo4]]),"")</f>
        <v/>
      </c>
      <c r="I664" s="116" t="str">
        <f>IF(Tab.o1[[#This Row],[a1]]=1,IF(J$2=0,Tab.o1[[#This Row],[MED]],Tab.o1[[#This Row],[MOD]]),"")</f>
        <v/>
      </c>
      <c r="J664" s="116" t="str">
        <f>IF(Tab.o1[[#This Row],[a1]]=1,((Tab.o1[[#This Row],[DIF_Target.]]-AVERAGE(Tab.o1[DIF_Target.]))/_xlfn.STDEV.P(Tab.o1[DIF_Target.])),"")</f>
        <v/>
      </c>
      <c r="K664" s="117" t="str">
        <f>IF(Tab.o1[[#This Row],[a1]]=1,IF(J$2=0,Tab.o1[[#This Row],[MOD]]-Tab.o1[[#This Row],[B]],IF(J$2=1,0,-Tab.o1[[#This Row],[MED]])+Tab.o1[[#This Row],[B]]),"")</f>
        <v/>
      </c>
      <c r="L664" s="117" t="str">
        <f ca="1">IF(Tab.o1[[#This Row],[DIF_Target]]=0,IF(L$2=0,Tab.o1[[#This Row],[DIF_Target]],AVERAGE(OFFSET(Tab.o1[[#This Row],[DIF_Target]],1,0,L$3,1)))/3,Tab.o1[[#This Row],[DIF_Target]])</f>
        <v/>
      </c>
      <c r="M664" s="118" t="str">
        <f>IF(Tab.o1[[#This Row],[a1]]=1,NORMSDIST(Tab.o1[[#This Row],[Za]]),"")</f>
        <v/>
      </c>
      <c r="N664" s="119" t="str">
        <f>IF(Tab.o1[[#This Row],[a1]]=1,((Tab.o1[[#This Row],[MedMod]]-AVERAGE(Tab.o1[MedMod]))/_xlfn.STDEV.P(Tab.o1[MedMod])*H$1205)+G$1205,"")</f>
        <v/>
      </c>
      <c r="O664" s="141" t="str">
        <f>IF(Tab.o1[[#This Row],[a1]]=1,Tab.o1[[#This Row],[Zb]]*_xlfn.STDEV.P(Tab.o1[MedMod])+AVERAGE(Tab.o1[MedMod]),"")</f>
        <v/>
      </c>
      <c r="P664" s="117" t="str">
        <f ca="1">IF(Tab.o1[[#This Row],[B]]=0,AVERAGE(OFFSET(Tab.o1[[#This Row],[B]],1,0,L$3,1)),Tab.o1[[#This Row],[B]])</f>
        <v/>
      </c>
      <c r="Q664" s="121" t="str">
        <f>IF(Tab.o1[[#This Row],[a1]]=1,NORMSDIST(Tab.o1[[#This Row],[Zb]]),"")</f>
        <v/>
      </c>
      <c r="R664" s="122" t="str">
        <f>IF(Tab.o1[[#This Row],[a1]]=1,((Tab.o1[[#This Row],[MedMod]]-AVERAGE(Tab.o1[MedMod]))/_xlfn.STDEV.P(Tab.o1[MedMod])*H$1203)+G$1203,"")</f>
        <v/>
      </c>
      <c r="S664" s="122" t="str">
        <f>IF(Tab.o1[[#This Row],[a1]]=1,((Tab.o1[[#This Row],[MedMod]]-AVERAGE(Tab.o1[MedMod]))/_xlfn.STDEV.P(Tab.o1[MedMod])*H$1204)+G$1204,"")</f>
        <v/>
      </c>
      <c r="T664" s="123" t="str">
        <f>IF(Tab.o1[[#This Row],[a1]]=1,Tab.o1[[#This Row],[Z-]]*_xlfn.STDEV.P(Tab.o1[B])+AVERAGE(Tab.o1[B]),"")</f>
        <v/>
      </c>
      <c r="U664" s="123" t="str">
        <f>IF(Tab.o1[[#This Row],[a1]]=1,Tab.o1[[#This Row],[z+]]*_xlfn.STDEV.P(Tab.o1[B])+AVERAGE(Tab.o1[B]),"")</f>
        <v/>
      </c>
      <c r="V664" s="124" t="str">
        <f>IF(Tab.o1[[#This Row],[a1]]=1,ABS((ABS(Tab.o1[[#This Row],[Red]]-Tab.o1[[#This Row],[Blue]]))),"")</f>
        <v/>
      </c>
      <c r="W664" s="125" t="str">
        <f>IF(Tab.o1[[#This Row],[a1]]=1,IF(W$3=0,1,Tab.o1[[#This Row],[Amp.]]*1/_xlfn.MINIFS(Tab.o1[Amp.],Tab.o1[Amp.],"&lt;&gt;0")),"")</f>
        <v/>
      </c>
      <c r="X664" s="126" t="str">
        <f>IF(Tab.o1[[#This Row],[a1]]=1,IF(ISNUMBER(Tab.o1[[#This Row],[i.]]),NORMDIST(Tab.o1[[#This Row],[Za]],0,1,FALSE)*Tab.o1[[#This Row],[i.]],AP$3),"")</f>
        <v/>
      </c>
      <c r="Y664" s="126" t="str">
        <f>IF(Tab.o1[[#This Row],[a1]]=1,0.01+0.94*Tab.o1[[#This Row],[PDF]]/MAX(Tab.o1[PDF]),"")</f>
        <v/>
      </c>
      <c r="Z664" s="126" t="str">
        <f>IF(Tab.o1[[#This Row],[a1]]=1,0.01+0.94*Tab.o1[[#This Row],[W1_PDF]]/MAX(Tab.o1[W1_PDF]),"")</f>
        <v/>
      </c>
      <c r="AA664" s="118" t="str">
        <f>IF(Tab.o1[[#This Row],[a1]]=1,ABS([1]!T.in.A[[#This Row],[oo6]]),"")</f>
        <v/>
      </c>
      <c r="AB664" s="127" t="str">
        <f>IF(Tab.o1[[#This Row],[a1]]=1,IF(AE$3=0,"",IF(AB$3=0,ABS([1]!T.in.A[[#This Row],[oo9]]),ABS(Tab.o1[[#This Row],[DIF_Target.]]*Tab.o1[[#This Row],[W1_PDF]]))),"")</f>
        <v/>
      </c>
      <c r="AC664" s="127" t="str">
        <f>IF(G$1=1,"",IF(Tab.o1[[#This Row],[a1]]=1,Tab.o1[[#This Row],[Wr]]^2,""))</f>
        <v/>
      </c>
      <c r="AD664" s="118" t="str">
        <f>IF(Tab.o1[[#This Row],[a1]]=1,IF(AE$3=0,"",Tab.o1[[#This Row],[Wr2]]/SUM(Tab.o1[Wr2])),"")</f>
        <v/>
      </c>
      <c r="AE664" s="128" t="str">
        <f>IF(Tab.o1[[#This Row],[a1]]=1,[1]!T.in.A[[#This Row],[oo10]],"")</f>
        <v/>
      </c>
      <c r="AF664" s="118" t="str">
        <f>IF(Tab.o1[[#This Row],[a1]]=1,ABS(Tab.o1[[#This Row],[DIF_Target.]]*Tab.o1[[#This Row],[PDF2]]*Tab.o1[[#This Row],[IN]]),"")</f>
        <v/>
      </c>
      <c r="AG664" s="129" t="str">
        <f>IF(Tab.o1[[#This Row],[a1]]=1,Tab.o1[[#This Row],[rW]]^2,"")</f>
        <v/>
      </c>
      <c r="AH664" s="130" t="str">
        <f>IF(Tab.o1[[#This Row],[a1]]=1,IF(AH$3=0,Tab.o1[[#This Row],[rW2]],0.01+0.94*Tab.o1[[#This Row],[rW2]]/SUM(Tab.o1[rW2])),"")</f>
        <v/>
      </c>
      <c r="AI664" s="128" t="str">
        <f>IF(Tab.o1[[#This Row],[a1]]=1,1/Tab.o1[[#This Row],[PDF]],"")</f>
        <v/>
      </c>
      <c r="AJ664" s="131" t="str">
        <f>IF(Tab.o1[[#This Row],[a1]]=1,[1]!T_AA[[#This Row],[IN'']]*[1]!T_AA[[#This Row],[Qde'']],"")</f>
        <v/>
      </c>
      <c r="AK664" s="132" t="str">
        <f>IF(Tab.o1[[#This Row],[a1]]=1,IF(AK$1=1,Tab.o1[[#This Row],[MED]]+Tab.o1[[#This Row],[MOD]]-Tab.o1[[#This Row],[MED]],""),"")</f>
        <v/>
      </c>
      <c r="AL664" s="133" t="str">
        <f>IF(Tab.o1[[#This Row],[a1]]=1,[1]!T.in.A[[#This Row],[oo16]],"")</f>
        <v/>
      </c>
      <c r="AM664" s="133" t="str">
        <f>IF(Tab.o1[[#This Row],[a1]]=1,IF(AM$3=1,[1]!T.in.A[[#This Row],[Σo16]],""),"")</f>
        <v/>
      </c>
      <c r="AN664" s="126" t="str">
        <f>IF(Tab.o1[[#This Row],[a1]]=1,[1]!T.in.A[[#This Row],[Σp5]],"")</f>
        <v/>
      </c>
      <c r="AO664" s="126" t="str">
        <f>IF(Tab.o1[[#This Row],[a1]]=1,IF(AO$3=1,[1]!T.in.A[[#This Row],[Σp5]],""),"")</f>
        <v/>
      </c>
      <c r="AP664" s="110" t="str">
        <f>IF(Tab.o1[[#This Row],[a1]]=1,IF(ISNUMBER(Tab.o1[[#This Row],[i.]]),NORMDIST(Tab.o1[[#This Row],[Za]],0,1,FALSE)*Tab.o1[[#This Row],[i.]],0),"")</f>
        <v/>
      </c>
      <c r="AQ664" s="125" t="str">
        <f>IF(Tab.o1[[#This Row],[a1]]=1,ABS(Tab.o1[[#This Row],[MOD]]-AVERAGE(Tab.o1[MOD])),"")</f>
        <v/>
      </c>
      <c r="AR664" s="134" t="str">
        <f>IF(Tab.o1[[#This Row],[a1]]=1,Tab.o1[[#This Row],[OBS]]/SUM(Tab.o1[OBS]),"")</f>
        <v/>
      </c>
      <c r="AS664" s="135" t="str">
        <f>IF(ISNUMBER(Tab.o1[[#This Row],[a1]]),ROW()-4,"")</f>
        <v/>
      </c>
      <c r="AT664" s="136" t="str">
        <f>Tab.o1[[#This Row],[MOD]]</f>
        <v/>
      </c>
      <c r="AU664" s="137" t="str">
        <f t="shared" si="41"/>
        <v/>
      </c>
      <c r="AV664" s="138" t="str">
        <f t="shared" si="42"/>
        <v/>
      </c>
      <c r="AW664" s="138" t="str">
        <f t="shared" si="43"/>
        <v/>
      </c>
      <c r="AX664" s="139" t="str">
        <f>[1]!T.in.A[[#This Row],[ID_T_manu]]</f>
        <v/>
      </c>
      <c r="AY664" s="140" t="str">
        <f>IF(ISNUMBER(Tab.o1[[#This Row],[a1]]),IF(AND(Tab.o1[[#This Row],[a1]]=1,Tab.o1[[#This Row],[b1]]&lt;=AY$4),#REF!,AY663),"")</f>
        <v/>
      </c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</row>
    <row r="665" spans="1:79" s="143" customFormat="1" ht="15.75" hidden="1">
      <c r="A665" s="109">
        <v>-2.9999999999999997E-6</v>
      </c>
      <c r="B665" s="110">
        <f t="shared" si="40"/>
        <v>665</v>
      </c>
      <c r="C665" s="111" t="str">
        <f>IF(C$1=[1]!T.in.A[[#This Row],[oo2]],1,"")</f>
        <v/>
      </c>
      <c r="D665" s="112" t="str">
        <f>IF(Tab.o1[[#This Row],[a1]]=1,IF(SUM(C665:C666)=0,0,IF(SUM(C664:C665)=1,1,IF(SUM(C664:C666)&gt;1,D664+1,0))),"")</f>
        <v/>
      </c>
      <c r="E665" s="113" t="str">
        <f>IF(Tab.o1[[#This Row],[a1]]=1,[1]!T.in.A[[#This Row],[oo1]],"")</f>
        <v/>
      </c>
      <c r="F665" s="113" t="str">
        <f>IF(Tab.o1[[#This Row],[a1]]=1,[1]!T.in.A[[#This Row],[pp1]],"")</f>
        <v/>
      </c>
      <c r="G665" s="114" t="str">
        <f>IF(Tab.o1[[#This Row],[a1]]=1,G$2+IF(G$1=1,0,Tab.o1[[#This Row],[.x1]])+[1]!T.in.A[[#This Row],[oo3]],"")</f>
        <v/>
      </c>
      <c r="H665" s="115" t="str">
        <f>IF(Tab.o1[[#This Row],[a1]]=1,IF(H$2=0,0,IF(G$1=1,0,Tab.o1[[#This Row],[.x1]])+[1]!T.in.A[[#This Row],[oo4]]),"")</f>
        <v/>
      </c>
      <c r="I665" s="116" t="str">
        <f>IF(Tab.o1[[#This Row],[a1]]=1,IF(J$2=0,Tab.o1[[#This Row],[MED]],Tab.o1[[#This Row],[MOD]]),"")</f>
        <v/>
      </c>
      <c r="J665" s="116" t="str">
        <f>IF(Tab.o1[[#This Row],[a1]]=1,((Tab.o1[[#This Row],[DIF_Target.]]-AVERAGE(Tab.o1[DIF_Target.]))/_xlfn.STDEV.P(Tab.o1[DIF_Target.])),"")</f>
        <v/>
      </c>
      <c r="K665" s="117" t="str">
        <f>IF(Tab.o1[[#This Row],[a1]]=1,IF(J$2=0,Tab.o1[[#This Row],[MOD]]-Tab.o1[[#This Row],[B]],IF(J$2=1,0,-Tab.o1[[#This Row],[MED]])+Tab.o1[[#This Row],[B]]),"")</f>
        <v/>
      </c>
      <c r="L665" s="117" t="str">
        <f ca="1">IF(Tab.o1[[#This Row],[DIF_Target]]=0,IF(L$2=0,Tab.o1[[#This Row],[DIF_Target]],AVERAGE(OFFSET(Tab.o1[[#This Row],[DIF_Target]],1,0,L$3,1)))/3,Tab.o1[[#This Row],[DIF_Target]])</f>
        <v/>
      </c>
      <c r="M665" s="118" t="str">
        <f>IF(Tab.o1[[#This Row],[a1]]=1,NORMSDIST(Tab.o1[[#This Row],[Za]]),"")</f>
        <v/>
      </c>
      <c r="N665" s="119" t="str">
        <f>IF(Tab.o1[[#This Row],[a1]]=1,((Tab.o1[[#This Row],[MedMod]]-AVERAGE(Tab.o1[MedMod]))/_xlfn.STDEV.P(Tab.o1[MedMod])*H$1205)+G$1205,"")</f>
        <v/>
      </c>
      <c r="O665" s="141" t="str">
        <f>IF(Tab.o1[[#This Row],[a1]]=1,Tab.o1[[#This Row],[Zb]]*_xlfn.STDEV.P(Tab.o1[MedMod])+AVERAGE(Tab.o1[MedMod]),"")</f>
        <v/>
      </c>
      <c r="P665" s="117" t="str">
        <f ca="1">IF(Tab.o1[[#This Row],[B]]=0,AVERAGE(OFFSET(Tab.o1[[#This Row],[B]],1,0,L$3,1)),Tab.o1[[#This Row],[B]])</f>
        <v/>
      </c>
      <c r="Q665" s="121" t="str">
        <f>IF(Tab.o1[[#This Row],[a1]]=1,NORMSDIST(Tab.o1[[#This Row],[Zb]]),"")</f>
        <v/>
      </c>
      <c r="R665" s="122" t="str">
        <f>IF(Tab.o1[[#This Row],[a1]]=1,((Tab.o1[[#This Row],[MedMod]]-AVERAGE(Tab.o1[MedMod]))/_xlfn.STDEV.P(Tab.o1[MedMod])*H$1203)+G$1203,"")</f>
        <v/>
      </c>
      <c r="S665" s="122" t="str">
        <f>IF(Tab.o1[[#This Row],[a1]]=1,((Tab.o1[[#This Row],[MedMod]]-AVERAGE(Tab.o1[MedMod]))/_xlfn.STDEV.P(Tab.o1[MedMod])*H$1204)+G$1204,"")</f>
        <v/>
      </c>
      <c r="T665" s="123" t="str">
        <f>IF(Tab.o1[[#This Row],[a1]]=1,Tab.o1[[#This Row],[Z-]]*_xlfn.STDEV.P(Tab.o1[B])+AVERAGE(Tab.o1[B]),"")</f>
        <v/>
      </c>
      <c r="U665" s="123" t="str">
        <f>IF(Tab.o1[[#This Row],[a1]]=1,Tab.o1[[#This Row],[z+]]*_xlfn.STDEV.P(Tab.o1[B])+AVERAGE(Tab.o1[B]),"")</f>
        <v/>
      </c>
      <c r="V665" s="124" t="str">
        <f>IF(Tab.o1[[#This Row],[a1]]=1,ABS((ABS(Tab.o1[[#This Row],[Red]]-Tab.o1[[#This Row],[Blue]]))),"")</f>
        <v/>
      </c>
      <c r="W665" s="125" t="str">
        <f>IF(Tab.o1[[#This Row],[a1]]=1,IF(W$3=0,1,Tab.o1[[#This Row],[Amp.]]*1/_xlfn.MINIFS(Tab.o1[Amp.],Tab.o1[Amp.],"&lt;&gt;0")),"")</f>
        <v/>
      </c>
      <c r="X665" s="126" t="str">
        <f>IF(Tab.o1[[#This Row],[a1]]=1,IF(ISNUMBER(Tab.o1[[#This Row],[i.]]),NORMDIST(Tab.o1[[#This Row],[Za]],0,1,FALSE)*Tab.o1[[#This Row],[i.]],AP$3),"")</f>
        <v/>
      </c>
      <c r="Y665" s="126" t="str">
        <f>IF(Tab.o1[[#This Row],[a1]]=1,0.01+0.94*Tab.o1[[#This Row],[PDF]]/MAX(Tab.o1[PDF]),"")</f>
        <v/>
      </c>
      <c r="Z665" s="126" t="str">
        <f>IF(Tab.o1[[#This Row],[a1]]=1,0.01+0.94*Tab.o1[[#This Row],[W1_PDF]]/MAX(Tab.o1[W1_PDF]),"")</f>
        <v/>
      </c>
      <c r="AA665" s="118" t="str">
        <f>IF(Tab.o1[[#This Row],[a1]]=1,ABS([1]!T.in.A[[#This Row],[oo6]]),"")</f>
        <v/>
      </c>
      <c r="AB665" s="127" t="str">
        <f>IF(Tab.o1[[#This Row],[a1]]=1,IF(AE$3=0,"",IF(AB$3=0,ABS([1]!T.in.A[[#This Row],[oo9]]),ABS(Tab.o1[[#This Row],[DIF_Target.]]*Tab.o1[[#This Row],[W1_PDF]]))),"")</f>
        <v/>
      </c>
      <c r="AC665" s="127" t="str">
        <f>IF(G$1=1,"",IF(Tab.o1[[#This Row],[a1]]=1,Tab.o1[[#This Row],[Wr]]^2,""))</f>
        <v/>
      </c>
      <c r="AD665" s="118" t="str">
        <f>IF(Tab.o1[[#This Row],[a1]]=1,IF(AE$3=0,"",Tab.o1[[#This Row],[Wr2]]/SUM(Tab.o1[Wr2])),"")</f>
        <v/>
      </c>
      <c r="AE665" s="128" t="str">
        <f>IF(Tab.o1[[#This Row],[a1]]=1,[1]!T.in.A[[#This Row],[oo10]],"")</f>
        <v/>
      </c>
      <c r="AF665" s="118" t="str">
        <f>IF(Tab.o1[[#This Row],[a1]]=1,ABS(Tab.o1[[#This Row],[DIF_Target.]]*Tab.o1[[#This Row],[PDF2]]*Tab.o1[[#This Row],[IN]]),"")</f>
        <v/>
      </c>
      <c r="AG665" s="129" t="str">
        <f>IF(Tab.o1[[#This Row],[a1]]=1,Tab.o1[[#This Row],[rW]]^2,"")</f>
        <v/>
      </c>
      <c r="AH665" s="130" t="str">
        <f>IF(Tab.o1[[#This Row],[a1]]=1,IF(AH$3=0,Tab.o1[[#This Row],[rW2]],0.01+0.94*Tab.o1[[#This Row],[rW2]]/SUM(Tab.o1[rW2])),"")</f>
        <v/>
      </c>
      <c r="AI665" s="128" t="str">
        <f>IF(Tab.o1[[#This Row],[a1]]=1,1/Tab.o1[[#This Row],[PDF]],"")</f>
        <v/>
      </c>
      <c r="AJ665" s="131" t="str">
        <f>IF(Tab.o1[[#This Row],[a1]]=1,[1]!T_AA[[#This Row],[IN'']]*[1]!T_AA[[#This Row],[Qde'']],"")</f>
        <v/>
      </c>
      <c r="AK665" s="132" t="str">
        <f>IF(Tab.o1[[#This Row],[a1]]=1,IF(AK$1=1,Tab.o1[[#This Row],[MED]]+Tab.o1[[#This Row],[MOD]]-Tab.o1[[#This Row],[MED]],""),"")</f>
        <v/>
      </c>
      <c r="AL665" s="133" t="str">
        <f>IF(Tab.o1[[#This Row],[a1]]=1,[1]!T.in.A[[#This Row],[oo16]],"")</f>
        <v/>
      </c>
      <c r="AM665" s="133" t="str">
        <f>IF(Tab.o1[[#This Row],[a1]]=1,IF(AM$3=1,[1]!T.in.A[[#This Row],[Σo16]],""),"")</f>
        <v/>
      </c>
      <c r="AN665" s="126" t="str">
        <f>IF(Tab.o1[[#This Row],[a1]]=1,[1]!T.in.A[[#This Row],[Σp5]],"")</f>
        <v/>
      </c>
      <c r="AO665" s="126" t="str">
        <f>IF(Tab.o1[[#This Row],[a1]]=1,IF(AO$3=1,[1]!T.in.A[[#This Row],[Σp5]],""),"")</f>
        <v/>
      </c>
      <c r="AP665" s="110" t="str">
        <f>IF(Tab.o1[[#This Row],[a1]]=1,IF(ISNUMBER(Tab.o1[[#This Row],[i.]]),NORMDIST(Tab.o1[[#This Row],[Za]],0,1,FALSE)*Tab.o1[[#This Row],[i.]],0),"")</f>
        <v/>
      </c>
      <c r="AQ665" s="125" t="str">
        <f>IF(Tab.o1[[#This Row],[a1]]=1,ABS(Tab.o1[[#This Row],[MOD]]-AVERAGE(Tab.o1[MOD])),"")</f>
        <v/>
      </c>
      <c r="AR665" s="134" t="str">
        <f>IF(Tab.o1[[#This Row],[a1]]=1,Tab.o1[[#This Row],[OBS]]/SUM(Tab.o1[OBS]),"")</f>
        <v/>
      </c>
      <c r="AS665" s="135" t="str">
        <f>IF(ISNUMBER(Tab.o1[[#This Row],[a1]]),ROW()-4,"")</f>
        <v/>
      </c>
      <c r="AT665" s="136" t="str">
        <f>Tab.o1[[#This Row],[MOD]]</f>
        <v/>
      </c>
      <c r="AU665" s="137" t="str">
        <f t="shared" si="41"/>
        <v/>
      </c>
      <c r="AV665" s="138" t="str">
        <f t="shared" si="42"/>
        <v/>
      </c>
      <c r="AW665" s="138" t="str">
        <f t="shared" si="43"/>
        <v/>
      </c>
      <c r="AX665" s="139" t="str">
        <f>[1]!T.in.A[[#This Row],[ID_T_manu]]</f>
        <v/>
      </c>
      <c r="AY665" s="140" t="str">
        <f>IF(ISNUMBER(Tab.o1[[#This Row],[a1]]),IF(AND(Tab.o1[[#This Row],[a1]]=1,Tab.o1[[#This Row],[b1]]&lt;=AY$4),#REF!,AY664),"")</f>
        <v/>
      </c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</row>
    <row r="666" spans="1:79" s="143" customFormat="1" ht="15.75" hidden="1">
      <c r="A666" s="109">
        <v>-5.9999999999999993E-6</v>
      </c>
      <c r="B666" s="110">
        <f t="shared" si="40"/>
        <v>666</v>
      </c>
      <c r="C666" s="111" t="str">
        <f>IF(C$1=[1]!T.in.A[[#This Row],[oo2]],1,"")</f>
        <v/>
      </c>
      <c r="D666" s="112" t="str">
        <f>IF(Tab.o1[[#This Row],[a1]]=1,IF(SUM(C666:C667)=0,0,IF(SUM(C665:C666)=1,1,IF(SUM(C665:C667)&gt;1,D665+1,0))),"")</f>
        <v/>
      </c>
      <c r="E666" s="113" t="str">
        <f>IF(Tab.o1[[#This Row],[a1]]=1,[1]!T.in.A[[#This Row],[oo1]],"")</f>
        <v/>
      </c>
      <c r="F666" s="113" t="str">
        <f>IF(Tab.o1[[#This Row],[a1]]=1,[1]!T.in.A[[#This Row],[pp1]],"")</f>
        <v/>
      </c>
      <c r="G666" s="114" t="str">
        <f>IF(Tab.o1[[#This Row],[a1]]=1,G$2+IF(G$1=1,0,Tab.o1[[#This Row],[.x1]])+[1]!T.in.A[[#This Row],[oo3]],"")</f>
        <v/>
      </c>
      <c r="H666" s="115" t="str">
        <f>IF(Tab.o1[[#This Row],[a1]]=1,IF(H$2=0,0,IF(G$1=1,0,Tab.o1[[#This Row],[.x1]])+[1]!T.in.A[[#This Row],[oo4]]),"")</f>
        <v/>
      </c>
      <c r="I666" s="116" t="str">
        <f>IF(Tab.o1[[#This Row],[a1]]=1,IF(J$2=0,Tab.o1[[#This Row],[MED]],Tab.o1[[#This Row],[MOD]]),"")</f>
        <v/>
      </c>
      <c r="J666" s="116" t="str">
        <f>IF(Tab.o1[[#This Row],[a1]]=1,((Tab.o1[[#This Row],[DIF_Target.]]-AVERAGE(Tab.o1[DIF_Target.]))/_xlfn.STDEV.P(Tab.o1[DIF_Target.])),"")</f>
        <v/>
      </c>
      <c r="K666" s="117" t="str">
        <f>IF(Tab.o1[[#This Row],[a1]]=1,IF(J$2=0,Tab.o1[[#This Row],[MOD]]-Tab.o1[[#This Row],[B]],IF(J$2=1,0,-Tab.o1[[#This Row],[MED]])+Tab.o1[[#This Row],[B]]),"")</f>
        <v/>
      </c>
      <c r="L666" s="117" t="str">
        <f ca="1">IF(Tab.o1[[#This Row],[DIF_Target]]=0,IF(L$2=0,Tab.o1[[#This Row],[DIF_Target]],AVERAGE(OFFSET(Tab.o1[[#This Row],[DIF_Target]],1,0,L$3,1)))/3,Tab.o1[[#This Row],[DIF_Target]])</f>
        <v/>
      </c>
      <c r="M666" s="118" t="str">
        <f>IF(Tab.o1[[#This Row],[a1]]=1,NORMSDIST(Tab.o1[[#This Row],[Za]]),"")</f>
        <v/>
      </c>
      <c r="N666" s="119" t="str">
        <f>IF(Tab.o1[[#This Row],[a1]]=1,((Tab.o1[[#This Row],[MedMod]]-AVERAGE(Tab.o1[MedMod]))/_xlfn.STDEV.P(Tab.o1[MedMod])*H$1205)+G$1205,"")</f>
        <v/>
      </c>
      <c r="O666" s="141" t="str">
        <f>IF(Tab.o1[[#This Row],[a1]]=1,Tab.o1[[#This Row],[Zb]]*_xlfn.STDEV.P(Tab.o1[MedMod])+AVERAGE(Tab.o1[MedMod]),"")</f>
        <v/>
      </c>
      <c r="P666" s="117" t="str">
        <f ca="1">IF(Tab.o1[[#This Row],[B]]=0,AVERAGE(OFFSET(Tab.o1[[#This Row],[B]],1,0,L$3,1)),Tab.o1[[#This Row],[B]])</f>
        <v/>
      </c>
      <c r="Q666" s="121" t="str">
        <f>IF(Tab.o1[[#This Row],[a1]]=1,NORMSDIST(Tab.o1[[#This Row],[Zb]]),"")</f>
        <v/>
      </c>
      <c r="R666" s="122" t="str">
        <f>IF(Tab.o1[[#This Row],[a1]]=1,((Tab.o1[[#This Row],[MedMod]]-AVERAGE(Tab.o1[MedMod]))/_xlfn.STDEV.P(Tab.o1[MedMod])*H$1203)+G$1203,"")</f>
        <v/>
      </c>
      <c r="S666" s="122" t="str">
        <f>IF(Tab.o1[[#This Row],[a1]]=1,((Tab.o1[[#This Row],[MedMod]]-AVERAGE(Tab.o1[MedMod]))/_xlfn.STDEV.P(Tab.o1[MedMod])*H$1204)+G$1204,"")</f>
        <v/>
      </c>
      <c r="T666" s="123" t="str">
        <f>IF(Tab.o1[[#This Row],[a1]]=1,Tab.o1[[#This Row],[Z-]]*_xlfn.STDEV.P(Tab.o1[B])+AVERAGE(Tab.o1[B]),"")</f>
        <v/>
      </c>
      <c r="U666" s="123" t="str">
        <f>IF(Tab.o1[[#This Row],[a1]]=1,Tab.o1[[#This Row],[z+]]*_xlfn.STDEV.P(Tab.o1[B])+AVERAGE(Tab.o1[B]),"")</f>
        <v/>
      </c>
      <c r="V666" s="124" t="str">
        <f>IF(Tab.o1[[#This Row],[a1]]=1,ABS((ABS(Tab.o1[[#This Row],[Red]]-Tab.o1[[#This Row],[Blue]]))),"")</f>
        <v/>
      </c>
      <c r="W666" s="125" t="str">
        <f>IF(Tab.o1[[#This Row],[a1]]=1,IF(W$3=0,1,Tab.o1[[#This Row],[Amp.]]*1/_xlfn.MINIFS(Tab.o1[Amp.],Tab.o1[Amp.],"&lt;&gt;0")),"")</f>
        <v/>
      </c>
      <c r="X666" s="126" t="str">
        <f>IF(Tab.o1[[#This Row],[a1]]=1,IF(ISNUMBER(Tab.o1[[#This Row],[i.]]),NORMDIST(Tab.o1[[#This Row],[Za]],0,1,FALSE)*Tab.o1[[#This Row],[i.]],AP$3),"")</f>
        <v/>
      </c>
      <c r="Y666" s="126" t="str">
        <f>IF(Tab.o1[[#This Row],[a1]]=1,0.01+0.94*Tab.o1[[#This Row],[PDF]]/MAX(Tab.o1[PDF]),"")</f>
        <v/>
      </c>
      <c r="Z666" s="126" t="str">
        <f>IF(Tab.o1[[#This Row],[a1]]=1,0.01+0.94*Tab.o1[[#This Row],[W1_PDF]]/MAX(Tab.o1[W1_PDF]),"")</f>
        <v/>
      </c>
      <c r="AA666" s="118" t="str">
        <f>IF(Tab.o1[[#This Row],[a1]]=1,ABS([1]!T.in.A[[#This Row],[oo6]]),"")</f>
        <v/>
      </c>
      <c r="AB666" s="127" t="str">
        <f>IF(Tab.o1[[#This Row],[a1]]=1,IF(AE$3=0,"",IF(AB$3=0,ABS([1]!T.in.A[[#This Row],[oo9]]),ABS(Tab.o1[[#This Row],[DIF_Target.]]*Tab.o1[[#This Row],[W1_PDF]]))),"")</f>
        <v/>
      </c>
      <c r="AC666" s="127" t="str">
        <f>IF(G$1=1,"",IF(Tab.o1[[#This Row],[a1]]=1,Tab.o1[[#This Row],[Wr]]^2,""))</f>
        <v/>
      </c>
      <c r="AD666" s="118" t="str">
        <f>IF(Tab.o1[[#This Row],[a1]]=1,IF(AE$3=0,"",Tab.o1[[#This Row],[Wr2]]/SUM(Tab.o1[Wr2])),"")</f>
        <v/>
      </c>
      <c r="AE666" s="128" t="str">
        <f>IF(Tab.o1[[#This Row],[a1]]=1,[1]!T.in.A[[#This Row],[oo10]],"")</f>
        <v/>
      </c>
      <c r="AF666" s="118" t="str">
        <f>IF(Tab.o1[[#This Row],[a1]]=1,ABS(Tab.o1[[#This Row],[DIF_Target.]]*Tab.o1[[#This Row],[PDF2]]*Tab.o1[[#This Row],[IN]]),"")</f>
        <v/>
      </c>
      <c r="AG666" s="129" t="str">
        <f>IF(Tab.o1[[#This Row],[a1]]=1,Tab.o1[[#This Row],[rW]]^2,"")</f>
        <v/>
      </c>
      <c r="AH666" s="130" t="str">
        <f>IF(Tab.o1[[#This Row],[a1]]=1,IF(AH$3=0,Tab.o1[[#This Row],[rW2]],0.01+0.94*Tab.o1[[#This Row],[rW2]]/SUM(Tab.o1[rW2])),"")</f>
        <v/>
      </c>
      <c r="AI666" s="128" t="str">
        <f>IF(Tab.o1[[#This Row],[a1]]=1,1/Tab.o1[[#This Row],[PDF]],"")</f>
        <v/>
      </c>
      <c r="AJ666" s="131" t="str">
        <f>IF(Tab.o1[[#This Row],[a1]]=1,[1]!T_AA[[#This Row],[IN'']]*[1]!T_AA[[#This Row],[Qde'']],"")</f>
        <v/>
      </c>
      <c r="AK666" s="132" t="str">
        <f>IF(Tab.o1[[#This Row],[a1]]=1,IF(AK$1=1,Tab.o1[[#This Row],[MED]]+Tab.o1[[#This Row],[MOD]]-Tab.o1[[#This Row],[MED]],""),"")</f>
        <v/>
      </c>
      <c r="AL666" s="133" t="str">
        <f>IF(Tab.o1[[#This Row],[a1]]=1,[1]!T.in.A[[#This Row],[oo16]],"")</f>
        <v/>
      </c>
      <c r="AM666" s="133" t="str">
        <f>IF(Tab.o1[[#This Row],[a1]]=1,IF(AM$3=1,[1]!T.in.A[[#This Row],[Σo16]],""),"")</f>
        <v/>
      </c>
      <c r="AN666" s="126" t="str">
        <f>IF(Tab.o1[[#This Row],[a1]]=1,[1]!T.in.A[[#This Row],[Σp5]],"")</f>
        <v/>
      </c>
      <c r="AO666" s="126" t="str">
        <f>IF(Tab.o1[[#This Row],[a1]]=1,IF(AO$3=1,[1]!T.in.A[[#This Row],[Σp5]],""),"")</f>
        <v/>
      </c>
      <c r="AP666" s="110" t="str">
        <f>IF(Tab.o1[[#This Row],[a1]]=1,IF(ISNUMBER(Tab.o1[[#This Row],[i.]]),NORMDIST(Tab.o1[[#This Row],[Za]],0,1,FALSE)*Tab.o1[[#This Row],[i.]],0),"")</f>
        <v/>
      </c>
      <c r="AQ666" s="125" t="str">
        <f>IF(Tab.o1[[#This Row],[a1]]=1,ABS(Tab.o1[[#This Row],[MOD]]-AVERAGE(Tab.o1[MOD])),"")</f>
        <v/>
      </c>
      <c r="AR666" s="134" t="str">
        <f>IF(Tab.o1[[#This Row],[a1]]=1,Tab.o1[[#This Row],[OBS]]/SUM(Tab.o1[OBS]),"")</f>
        <v/>
      </c>
      <c r="AS666" s="135" t="str">
        <f>IF(ISNUMBER(Tab.o1[[#This Row],[a1]]),ROW()-4,"")</f>
        <v/>
      </c>
      <c r="AT666" s="136" t="str">
        <f>Tab.o1[[#This Row],[MOD]]</f>
        <v/>
      </c>
      <c r="AU666" s="137" t="str">
        <f t="shared" si="41"/>
        <v/>
      </c>
      <c r="AV666" s="138" t="str">
        <f t="shared" si="42"/>
        <v/>
      </c>
      <c r="AW666" s="138" t="str">
        <f t="shared" si="43"/>
        <v/>
      </c>
      <c r="AX666" s="139" t="str">
        <f>[1]!T.in.A[[#This Row],[ID_T_manu]]</f>
        <v/>
      </c>
      <c r="AY666" s="140" t="str">
        <f>IF(ISNUMBER(Tab.o1[[#This Row],[a1]]),IF(AND(Tab.o1[[#This Row],[a1]]=1,Tab.o1[[#This Row],[b1]]&lt;=AY$4),#REF!,AY665),"")</f>
        <v/>
      </c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</row>
    <row r="667" spans="1:79" s="143" customFormat="1" ht="15.75" hidden="1">
      <c r="A667" s="109">
        <v>9.0000000000000002E-6</v>
      </c>
      <c r="B667" s="110">
        <f t="shared" si="40"/>
        <v>667</v>
      </c>
      <c r="C667" s="111" t="str">
        <f>IF(C$1=[1]!T.in.A[[#This Row],[oo2]],1,"")</f>
        <v/>
      </c>
      <c r="D667" s="112" t="str">
        <f>IF(Tab.o1[[#This Row],[a1]]=1,IF(SUM(C667:C668)=0,0,IF(SUM(C666:C667)=1,1,IF(SUM(C666:C668)&gt;1,D666+1,0))),"")</f>
        <v/>
      </c>
      <c r="E667" s="113" t="str">
        <f>IF(Tab.o1[[#This Row],[a1]]=1,[1]!T.in.A[[#This Row],[oo1]],"")</f>
        <v/>
      </c>
      <c r="F667" s="113" t="str">
        <f>IF(Tab.o1[[#This Row],[a1]]=1,[1]!T.in.A[[#This Row],[pp1]],"")</f>
        <v/>
      </c>
      <c r="G667" s="114" t="str">
        <f>IF(Tab.o1[[#This Row],[a1]]=1,G$2+IF(G$1=1,0,Tab.o1[[#This Row],[.x1]])+[1]!T.in.A[[#This Row],[oo3]],"")</f>
        <v/>
      </c>
      <c r="H667" s="115" t="str">
        <f>IF(Tab.o1[[#This Row],[a1]]=1,IF(H$2=0,0,IF(G$1=1,0,Tab.o1[[#This Row],[.x1]])+[1]!T.in.A[[#This Row],[oo4]]),"")</f>
        <v/>
      </c>
      <c r="I667" s="116" t="str">
        <f>IF(Tab.o1[[#This Row],[a1]]=1,IF(J$2=0,Tab.o1[[#This Row],[MED]],Tab.o1[[#This Row],[MOD]]),"")</f>
        <v/>
      </c>
      <c r="J667" s="116" t="str">
        <f>IF(Tab.o1[[#This Row],[a1]]=1,((Tab.o1[[#This Row],[DIF_Target.]]-AVERAGE(Tab.o1[DIF_Target.]))/_xlfn.STDEV.P(Tab.o1[DIF_Target.])),"")</f>
        <v/>
      </c>
      <c r="K667" s="117" t="str">
        <f>IF(Tab.o1[[#This Row],[a1]]=1,IF(J$2=0,Tab.o1[[#This Row],[MOD]]-Tab.o1[[#This Row],[B]],IF(J$2=1,0,-Tab.o1[[#This Row],[MED]])+Tab.o1[[#This Row],[B]]),"")</f>
        <v/>
      </c>
      <c r="L667" s="117" t="str">
        <f ca="1">IF(Tab.o1[[#This Row],[DIF_Target]]=0,IF(L$2=0,Tab.o1[[#This Row],[DIF_Target]],AVERAGE(OFFSET(Tab.o1[[#This Row],[DIF_Target]],1,0,L$3,1)))/3,Tab.o1[[#This Row],[DIF_Target]])</f>
        <v/>
      </c>
      <c r="M667" s="118" t="str">
        <f>IF(Tab.o1[[#This Row],[a1]]=1,NORMSDIST(Tab.o1[[#This Row],[Za]]),"")</f>
        <v/>
      </c>
      <c r="N667" s="119" t="str">
        <f>IF(Tab.o1[[#This Row],[a1]]=1,((Tab.o1[[#This Row],[MedMod]]-AVERAGE(Tab.o1[MedMod]))/_xlfn.STDEV.P(Tab.o1[MedMod])*H$1205)+G$1205,"")</f>
        <v/>
      </c>
      <c r="O667" s="141" t="str">
        <f>IF(Tab.o1[[#This Row],[a1]]=1,Tab.o1[[#This Row],[Zb]]*_xlfn.STDEV.P(Tab.o1[MedMod])+AVERAGE(Tab.o1[MedMod]),"")</f>
        <v/>
      </c>
      <c r="P667" s="117" t="str">
        <f ca="1">IF(Tab.o1[[#This Row],[B]]=0,AVERAGE(OFFSET(Tab.o1[[#This Row],[B]],1,0,L$3,1)),Tab.o1[[#This Row],[B]])</f>
        <v/>
      </c>
      <c r="Q667" s="121" t="str">
        <f>IF(Tab.o1[[#This Row],[a1]]=1,NORMSDIST(Tab.o1[[#This Row],[Zb]]),"")</f>
        <v/>
      </c>
      <c r="R667" s="122" t="str">
        <f>IF(Tab.o1[[#This Row],[a1]]=1,((Tab.o1[[#This Row],[MedMod]]-AVERAGE(Tab.o1[MedMod]))/_xlfn.STDEV.P(Tab.o1[MedMod])*H$1203)+G$1203,"")</f>
        <v/>
      </c>
      <c r="S667" s="122" t="str">
        <f>IF(Tab.o1[[#This Row],[a1]]=1,((Tab.o1[[#This Row],[MedMod]]-AVERAGE(Tab.o1[MedMod]))/_xlfn.STDEV.P(Tab.o1[MedMod])*H$1204)+G$1204,"")</f>
        <v/>
      </c>
      <c r="T667" s="123" t="str">
        <f>IF(Tab.o1[[#This Row],[a1]]=1,Tab.o1[[#This Row],[Z-]]*_xlfn.STDEV.P(Tab.o1[B])+AVERAGE(Tab.o1[B]),"")</f>
        <v/>
      </c>
      <c r="U667" s="123" t="str">
        <f>IF(Tab.o1[[#This Row],[a1]]=1,Tab.o1[[#This Row],[z+]]*_xlfn.STDEV.P(Tab.o1[B])+AVERAGE(Tab.o1[B]),"")</f>
        <v/>
      </c>
      <c r="V667" s="124" t="str">
        <f>IF(Tab.o1[[#This Row],[a1]]=1,ABS((ABS(Tab.o1[[#This Row],[Red]]-Tab.o1[[#This Row],[Blue]]))),"")</f>
        <v/>
      </c>
      <c r="W667" s="125" t="str">
        <f>IF(Tab.o1[[#This Row],[a1]]=1,IF(W$3=0,1,Tab.o1[[#This Row],[Amp.]]*1/_xlfn.MINIFS(Tab.o1[Amp.],Tab.o1[Amp.],"&lt;&gt;0")),"")</f>
        <v/>
      </c>
      <c r="X667" s="126" t="str">
        <f>IF(Tab.o1[[#This Row],[a1]]=1,IF(ISNUMBER(Tab.o1[[#This Row],[i.]]),NORMDIST(Tab.o1[[#This Row],[Za]],0,1,FALSE)*Tab.o1[[#This Row],[i.]],AP$3),"")</f>
        <v/>
      </c>
      <c r="Y667" s="126" t="str">
        <f>IF(Tab.o1[[#This Row],[a1]]=1,0.01+0.94*Tab.o1[[#This Row],[PDF]]/MAX(Tab.o1[PDF]),"")</f>
        <v/>
      </c>
      <c r="Z667" s="126" t="str">
        <f>IF(Tab.o1[[#This Row],[a1]]=1,0.01+0.94*Tab.o1[[#This Row],[W1_PDF]]/MAX(Tab.o1[W1_PDF]),"")</f>
        <v/>
      </c>
      <c r="AA667" s="118" t="str">
        <f>IF(Tab.o1[[#This Row],[a1]]=1,ABS([1]!T.in.A[[#This Row],[oo6]]),"")</f>
        <v/>
      </c>
      <c r="AB667" s="127" t="str">
        <f>IF(Tab.o1[[#This Row],[a1]]=1,IF(AE$3=0,"",IF(AB$3=0,ABS([1]!T.in.A[[#This Row],[oo9]]),ABS(Tab.o1[[#This Row],[DIF_Target.]]*Tab.o1[[#This Row],[W1_PDF]]))),"")</f>
        <v/>
      </c>
      <c r="AC667" s="127" t="str">
        <f>IF(G$1=1,"",IF(Tab.o1[[#This Row],[a1]]=1,Tab.o1[[#This Row],[Wr]]^2,""))</f>
        <v/>
      </c>
      <c r="AD667" s="118" t="str">
        <f>IF(Tab.o1[[#This Row],[a1]]=1,IF(AE$3=0,"",Tab.o1[[#This Row],[Wr2]]/SUM(Tab.o1[Wr2])),"")</f>
        <v/>
      </c>
      <c r="AE667" s="128" t="str">
        <f>IF(Tab.o1[[#This Row],[a1]]=1,[1]!T.in.A[[#This Row],[oo10]],"")</f>
        <v/>
      </c>
      <c r="AF667" s="118" t="str">
        <f>IF(Tab.o1[[#This Row],[a1]]=1,ABS(Tab.o1[[#This Row],[DIF_Target.]]*Tab.o1[[#This Row],[PDF2]]*Tab.o1[[#This Row],[IN]]),"")</f>
        <v/>
      </c>
      <c r="AG667" s="129" t="str">
        <f>IF(Tab.o1[[#This Row],[a1]]=1,Tab.o1[[#This Row],[rW]]^2,"")</f>
        <v/>
      </c>
      <c r="AH667" s="130" t="str">
        <f>IF(Tab.o1[[#This Row],[a1]]=1,IF(AH$3=0,Tab.o1[[#This Row],[rW2]],0.01+0.94*Tab.o1[[#This Row],[rW2]]/SUM(Tab.o1[rW2])),"")</f>
        <v/>
      </c>
      <c r="AI667" s="128" t="str">
        <f>IF(Tab.o1[[#This Row],[a1]]=1,1/Tab.o1[[#This Row],[PDF]],"")</f>
        <v/>
      </c>
      <c r="AJ667" s="131" t="str">
        <f>IF(Tab.o1[[#This Row],[a1]]=1,[1]!T_AA[[#This Row],[IN'']]*[1]!T_AA[[#This Row],[Qde'']],"")</f>
        <v/>
      </c>
      <c r="AK667" s="132" t="str">
        <f>IF(Tab.o1[[#This Row],[a1]]=1,IF(AK$1=1,Tab.o1[[#This Row],[MED]]+Tab.o1[[#This Row],[MOD]]-Tab.o1[[#This Row],[MED]],""),"")</f>
        <v/>
      </c>
      <c r="AL667" s="133" t="str">
        <f>IF(Tab.o1[[#This Row],[a1]]=1,[1]!T.in.A[[#This Row],[oo16]],"")</f>
        <v/>
      </c>
      <c r="AM667" s="133" t="str">
        <f>IF(Tab.o1[[#This Row],[a1]]=1,IF(AM$3=1,[1]!T.in.A[[#This Row],[Σo16]],""),"")</f>
        <v/>
      </c>
      <c r="AN667" s="126" t="str">
        <f>IF(Tab.o1[[#This Row],[a1]]=1,[1]!T.in.A[[#This Row],[Σp5]],"")</f>
        <v/>
      </c>
      <c r="AO667" s="126" t="str">
        <f>IF(Tab.o1[[#This Row],[a1]]=1,IF(AO$3=1,[1]!T.in.A[[#This Row],[Σp5]],""),"")</f>
        <v/>
      </c>
      <c r="AP667" s="110" t="str">
        <f>IF(Tab.o1[[#This Row],[a1]]=1,IF(ISNUMBER(Tab.o1[[#This Row],[i.]]),NORMDIST(Tab.o1[[#This Row],[Za]],0,1,FALSE)*Tab.o1[[#This Row],[i.]],0),"")</f>
        <v/>
      </c>
      <c r="AQ667" s="125" t="str">
        <f>IF(Tab.o1[[#This Row],[a1]]=1,ABS(Tab.o1[[#This Row],[MOD]]-AVERAGE(Tab.o1[MOD])),"")</f>
        <v/>
      </c>
      <c r="AR667" s="134" t="str">
        <f>IF(Tab.o1[[#This Row],[a1]]=1,Tab.o1[[#This Row],[OBS]]/SUM(Tab.o1[OBS]),"")</f>
        <v/>
      </c>
      <c r="AS667" s="135" t="str">
        <f>IF(ISNUMBER(Tab.o1[[#This Row],[a1]]),ROW()-4,"")</f>
        <v/>
      </c>
      <c r="AT667" s="136" t="str">
        <f>Tab.o1[[#This Row],[MOD]]</f>
        <v/>
      </c>
      <c r="AU667" s="137" t="str">
        <f t="shared" si="41"/>
        <v/>
      </c>
      <c r="AV667" s="138" t="str">
        <f t="shared" si="42"/>
        <v/>
      </c>
      <c r="AW667" s="138" t="str">
        <f t="shared" si="43"/>
        <v/>
      </c>
      <c r="AX667" s="139" t="str">
        <f>[1]!T.in.A[[#This Row],[ID_T_manu]]</f>
        <v/>
      </c>
      <c r="AY667" s="140" t="str">
        <f>IF(ISNUMBER(Tab.o1[[#This Row],[a1]]),IF(AND(Tab.o1[[#This Row],[a1]]=1,Tab.o1[[#This Row],[b1]]&lt;=AY$4),#REF!,AY666),"")</f>
        <v/>
      </c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</row>
    <row r="668" spans="1:79" s="143" customFormat="1" ht="15.75" hidden="1">
      <c r="A668" s="109">
        <v>5.0000000000000004E-6</v>
      </c>
      <c r="B668" s="110">
        <f t="shared" si="40"/>
        <v>668</v>
      </c>
      <c r="C668" s="111" t="str">
        <f>IF(C$1=[1]!T.in.A[[#This Row],[oo2]],1,"")</f>
        <v/>
      </c>
      <c r="D668" s="112" t="str">
        <f>IF(Tab.o1[[#This Row],[a1]]=1,IF(SUM(C668:C669)=0,0,IF(SUM(C667:C668)=1,1,IF(SUM(C667:C669)&gt;1,D667+1,0))),"")</f>
        <v/>
      </c>
      <c r="E668" s="113" t="str">
        <f>IF(Tab.o1[[#This Row],[a1]]=1,[1]!T.in.A[[#This Row],[oo1]],"")</f>
        <v/>
      </c>
      <c r="F668" s="113" t="str">
        <f>IF(Tab.o1[[#This Row],[a1]]=1,[1]!T.in.A[[#This Row],[pp1]],"")</f>
        <v/>
      </c>
      <c r="G668" s="114" t="str">
        <f>IF(Tab.o1[[#This Row],[a1]]=1,G$2+IF(G$1=1,0,Tab.o1[[#This Row],[.x1]])+[1]!T.in.A[[#This Row],[oo3]],"")</f>
        <v/>
      </c>
      <c r="H668" s="115" t="str">
        <f>IF(Tab.o1[[#This Row],[a1]]=1,IF(H$2=0,0,IF(G$1=1,0,Tab.o1[[#This Row],[.x1]])+[1]!T.in.A[[#This Row],[oo4]]),"")</f>
        <v/>
      </c>
      <c r="I668" s="116" t="str">
        <f>IF(Tab.o1[[#This Row],[a1]]=1,IF(J$2=0,Tab.o1[[#This Row],[MED]],Tab.o1[[#This Row],[MOD]]),"")</f>
        <v/>
      </c>
      <c r="J668" s="116" t="str">
        <f>IF(Tab.o1[[#This Row],[a1]]=1,((Tab.o1[[#This Row],[DIF_Target.]]-AVERAGE(Tab.o1[DIF_Target.]))/_xlfn.STDEV.P(Tab.o1[DIF_Target.])),"")</f>
        <v/>
      </c>
      <c r="K668" s="117" t="str">
        <f>IF(Tab.o1[[#This Row],[a1]]=1,IF(J$2=0,Tab.o1[[#This Row],[MOD]]-Tab.o1[[#This Row],[B]],IF(J$2=1,0,-Tab.o1[[#This Row],[MED]])+Tab.o1[[#This Row],[B]]),"")</f>
        <v/>
      </c>
      <c r="L668" s="117" t="str">
        <f ca="1">IF(Tab.o1[[#This Row],[DIF_Target]]=0,IF(L$2=0,Tab.o1[[#This Row],[DIF_Target]],AVERAGE(OFFSET(Tab.o1[[#This Row],[DIF_Target]],1,0,L$3,1)))/3,Tab.o1[[#This Row],[DIF_Target]])</f>
        <v/>
      </c>
      <c r="M668" s="118" t="str">
        <f>IF(Tab.o1[[#This Row],[a1]]=1,NORMSDIST(Tab.o1[[#This Row],[Za]]),"")</f>
        <v/>
      </c>
      <c r="N668" s="119" t="str">
        <f>IF(Tab.o1[[#This Row],[a1]]=1,((Tab.o1[[#This Row],[MedMod]]-AVERAGE(Tab.o1[MedMod]))/_xlfn.STDEV.P(Tab.o1[MedMod])*H$1205)+G$1205,"")</f>
        <v/>
      </c>
      <c r="O668" s="141" t="str">
        <f>IF(Tab.o1[[#This Row],[a1]]=1,Tab.o1[[#This Row],[Zb]]*_xlfn.STDEV.P(Tab.o1[MedMod])+AVERAGE(Tab.o1[MedMod]),"")</f>
        <v/>
      </c>
      <c r="P668" s="117" t="str">
        <f ca="1">IF(Tab.o1[[#This Row],[B]]=0,AVERAGE(OFFSET(Tab.o1[[#This Row],[B]],1,0,L$3,1)),Tab.o1[[#This Row],[B]])</f>
        <v/>
      </c>
      <c r="Q668" s="121" t="str">
        <f>IF(Tab.o1[[#This Row],[a1]]=1,NORMSDIST(Tab.o1[[#This Row],[Zb]]),"")</f>
        <v/>
      </c>
      <c r="R668" s="122" t="str">
        <f>IF(Tab.o1[[#This Row],[a1]]=1,((Tab.o1[[#This Row],[MedMod]]-AVERAGE(Tab.o1[MedMod]))/_xlfn.STDEV.P(Tab.o1[MedMod])*H$1203)+G$1203,"")</f>
        <v/>
      </c>
      <c r="S668" s="122" t="str">
        <f>IF(Tab.o1[[#This Row],[a1]]=1,((Tab.o1[[#This Row],[MedMod]]-AVERAGE(Tab.o1[MedMod]))/_xlfn.STDEV.P(Tab.o1[MedMod])*H$1204)+G$1204,"")</f>
        <v/>
      </c>
      <c r="T668" s="123" t="str">
        <f>IF(Tab.o1[[#This Row],[a1]]=1,Tab.o1[[#This Row],[Z-]]*_xlfn.STDEV.P(Tab.o1[B])+AVERAGE(Tab.o1[B]),"")</f>
        <v/>
      </c>
      <c r="U668" s="123" t="str">
        <f>IF(Tab.o1[[#This Row],[a1]]=1,Tab.o1[[#This Row],[z+]]*_xlfn.STDEV.P(Tab.o1[B])+AVERAGE(Tab.o1[B]),"")</f>
        <v/>
      </c>
      <c r="V668" s="124" t="str">
        <f>IF(Tab.o1[[#This Row],[a1]]=1,ABS((ABS(Tab.o1[[#This Row],[Red]]-Tab.o1[[#This Row],[Blue]]))),"")</f>
        <v/>
      </c>
      <c r="W668" s="125" t="str">
        <f>IF(Tab.o1[[#This Row],[a1]]=1,IF(W$3=0,1,Tab.o1[[#This Row],[Amp.]]*1/_xlfn.MINIFS(Tab.o1[Amp.],Tab.o1[Amp.],"&lt;&gt;0")),"")</f>
        <v/>
      </c>
      <c r="X668" s="126" t="str">
        <f>IF(Tab.o1[[#This Row],[a1]]=1,IF(ISNUMBER(Tab.o1[[#This Row],[i.]]),NORMDIST(Tab.o1[[#This Row],[Za]],0,1,FALSE)*Tab.o1[[#This Row],[i.]],AP$3),"")</f>
        <v/>
      </c>
      <c r="Y668" s="126" t="str">
        <f>IF(Tab.o1[[#This Row],[a1]]=1,0.01+0.94*Tab.o1[[#This Row],[PDF]]/MAX(Tab.o1[PDF]),"")</f>
        <v/>
      </c>
      <c r="Z668" s="126" t="str">
        <f>IF(Tab.o1[[#This Row],[a1]]=1,0.01+0.94*Tab.o1[[#This Row],[W1_PDF]]/MAX(Tab.o1[W1_PDF]),"")</f>
        <v/>
      </c>
      <c r="AA668" s="118" t="str">
        <f>IF(Tab.o1[[#This Row],[a1]]=1,ABS([1]!T.in.A[[#This Row],[oo6]]),"")</f>
        <v/>
      </c>
      <c r="AB668" s="127" t="str">
        <f>IF(Tab.o1[[#This Row],[a1]]=1,IF(AE$3=0,"",IF(AB$3=0,ABS([1]!T.in.A[[#This Row],[oo9]]),ABS(Tab.o1[[#This Row],[DIF_Target.]]*Tab.o1[[#This Row],[W1_PDF]]))),"")</f>
        <v/>
      </c>
      <c r="AC668" s="127" t="str">
        <f>IF(G$1=1,"",IF(Tab.o1[[#This Row],[a1]]=1,Tab.o1[[#This Row],[Wr]]^2,""))</f>
        <v/>
      </c>
      <c r="AD668" s="118" t="str">
        <f>IF(Tab.o1[[#This Row],[a1]]=1,IF(AE$3=0,"",Tab.o1[[#This Row],[Wr2]]/SUM(Tab.o1[Wr2])),"")</f>
        <v/>
      </c>
      <c r="AE668" s="128" t="str">
        <f>IF(Tab.o1[[#This Row],[a1]]=1,[1]!T.in.A[[#This Row],[oo10]],"")</f>
        <v/>
      </c>
      <c r="AF668" s="118" t="str">
        <f>IF(Tab.o1[[#This Row],[a1]]=1,ABS(Tab.o1[[#This Row],[DIF_Target.]]*Tab.o1[[#This Row],[PDF2]]*Tab.o1[[#This Row],[IN]]),"")</f>
        <v/>
      </c>
      <c r="AG668" s="129" t="str">
        <f>IF(Tab.o1[[#This Row],[a1]]=1,Tab.o1[[#This Row],[rW]]^2,"")</f>
        <v/>
      </c>
      <c r="AH668" s="130" t="str">
        <f>IF(Tab.o1[[#This Row],[a1]]=1,IF(AH$3=0,Tab.o1[[#This Row],[rW2]],0.01+0.94*Tab.o1[[#This Row],[rW2]]/SUM(Tab.o1[rW2])),"")</f>
        <v/>
      </c>
      <c r="AI668" s="128" t="str">
        <f>IF(Tab.o1[[#This Row],[a1]]=1,1/Tab.o1[[#This Row],[PDF]],"")</f>
        <v/>
      </c>
      <c r="AJ668" s="131" t="str">
        <f>IF(Tab.o1[[#This Row],[a1]]=1,[1]!T_AA[[#This Row],[IN'']]*[1]!T_AA[[#This Row],[Qde'']],"")</f>
        <v/>
      </c>
      <c r="AK668" s="132" t="str">
        <f>IF(Tab.o1[[#This Row],[a1]]=1,IF(AK$1=1,Tab.o1[[#This Row],[MED]]+Tab.o1[[#This Row],[MOD]]-Tab.o1[[#This Row],[MED]],""),"")</f>
        <v/>
      </c>
      <c r="AL668" s="133" t="str">
        <f>IF(Tab.o1[[#This Row],[a1]]=1,[1]!T.in.A[[#This Row],[oo16]],"")</f>
        <v/>
      </c>
      <c r="AM668" s="133" t="str">
        <f>IF(Tab.o1[[#This Row],[a1]]=1,IF(AM$3=1,[1]!T.in.A[[#This Row],[Σo16]],""),"")</f>
        <v/>
      </c>
      <c r="AN668" s="126" t="str">
        <f>IF(Tab.o1[[#This Row],[a1]]=1,[1]!T.in.A[[#This Row],[Σp5]],"")</f>
        <v/>
      </c>
      <c r="AO668" s="126" t="str">
        <f>IF(Tab.o1[[#This Row],[a1]]=1,IF(AO$3=1,[1]!T.in.A[[#This Row],[Σp5]],""),"")</f>
        <v/>
      </c>
      <c r="AP668" s="110" t="str">
        <f>IF(Tab.o1[[#This Row],[a1]]=1,IF(ISNUMBER(Tab.o1[[#This Row],[i.]]),NORMDIST(Tab.o1[[#This Row],[Za]],0,1,FALSE)*Tab.o1[[#This Row],[i.]],0),"")</f>
        <v/>
      </c>
      <c r="AQ668" s="125" t="str">
        <f>IF(Tab.o1[[#This Row],[a1]]=1,ABS(Tab.o1[[#This Row],[MOD]]-AVERAGE(Tab.o1[MOD])),"")</f>
        <v/>
      </c>
      <c r="AR668" s="134" t="str">
        <f>IF(Tab.o1[[#This Row],[a1]]=1,Tab.o1[[#This Row],[OBS]]/SUM(Tab.o1[OBS]),"")</f>
        <v/>
      </c>
      <c r="AS668" s="135" t="str">
        <f>IF(ISNUMBER(Tab.o1[[#This Row],[a1]]),ROW()-4,"")</f>
        <v/>
      </c>
      <c r="AT668" s="136" t="str">
        <f>Tab.o1[[#This Row],[MOD]]</f>
        <v/>
      </c>
      <c r="AU668" s="137" t="str">
        <f t="shared" si="41"/>
        <v/>
      </c>
      <c r="AV668" s="138" t="str">
        <f t="shared" si="42"/>
        <v/>
      </c>
      <c r="AW668" s="138" t="str">
        <f t="shared" si="43"/>
        <v/>
      </c>
      <c r="AX668" s="139" t="str">
        <f>[1]!T.in.A[[#This Row],[ID_T_manu]]</f>
        <v/>
      </c>
      <c r="AY668" s="140" t="str">
        <f>IF(ISNUMBER(Tab.o1[[#This Row],[a1]]),IF(AND(Tab.o1[[#This Row],[a1]]=1,Tab.o1[[#This Row],[b1]]&lt;=AY$4),#REF!,AY667),"")</f>
        <v/>
      </c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</row>
    <row r="669" spans="1:79" s="143" customFormat="1" ht="15.75" hidden="1">
      <c r="A669" s="109">
        <v>-6.9999999999999999E-6</v>
      </c>
      <c r="B669" s="110">
        <f t="shared" si="40"/>
        <v>669</v>
      </c>
      <c r="C669" s="111" t="str">
        <f>IF(C$1=[1]!T.in.A[[#This Row],[oo2]],1,"")</f>
        <v/>
      </c>
      <c r="D669" s="112" t="str">
        <f>IF(Tab.o1[[#This Row],[a1]]=1,IF(SUM(C669:C670)=0,0,IF(SUM(C668:C669)=1,1,IF(SUM(C668:C670)&gt;1,D668+1,0))),"")</f>
        <v/>
      </c>
      <c r="E669" s="113" t="str">
        <f>IF(Tab.o1[[#This Row],[a1]]=1,[1]!T.in.A[[#This Row],[oo1]],"")</f>
        <v/>
      </c>
      <c r="F669" s="113" t="str">
        <f>IF(Tab.o1[[#This Row],[a1]]=1,[1]!T.in.A[[#This Row],[pp1]],"")</f>
        <v/>
      </c>
      <c r="G669" s="114" t="str">
        <f>IF(Tab.o1[[#This Row],[a1]]=1,G$2+IF(G$1=1,0,Tab.o1[[#This Row],[.x1]])+[1]!T.in.A[[#This Row],[oo3]],"")</f>
        <v/>
      </c>
      <c r="H669" s="115" t="str">
        <f>IF(Tab.o1[[#This Row],[a1]]=1,IF(H$2=0,0,IF(G$1=1,0,Tab.o1[[#This Row],[.x1]])+[1]!T.in.A[[#This Row],[oo4]]),"")</f>
        <v/>
      </c>
      <c r="I669" s="116" t="str">
        <f>IF(Tab.o1[[#This Row],[a1]]=1,IF(J$2=0,Tab.o1[[#This Row],[MED]],Tab.o1[[#This Row],[MOD]]),"")</f>
        <v/>
      </c>
      <c r="J669" s="116" t="str">
        <f>IF(Tab.o1[[#This Row],[a1]]=1,((Tab.o1[[#This Row],[DIF_Target.]]-AVERAGE(Tab.o1[DIF_Target.]))/_xlfn.STDEV.P(Tab.o1[DIF_Target.])),"")</f>
        <v/>
      </c>
      <c r="K669" s="117" t="str">
        <f>IF(Tab.o1[[#This Row],[a1]]=1,IF(J$2=0,Tab.o1[[#This Row],[MOD]]-Tab.o1[[#This Row],[B]],IF(J$2=1,0,-Tab.o1[[#This Row],[MED]])+Tab.o1[[#This Row],[B]]),"")</f>
        <v/>
      </c>
      <c r="L669" s="117" t="str">
        <f ca="1">IF(Tab.o1[[#This Row],[DIF_Target]]=0,IF(L$2=0,Tab.o1[[#This Row],[DIF_Target]],AVERAGE(OFFSET(Tab.o1[[#This Row],[DIF_Target]],1,0,L$3,1)))/3,Tab.o1[[#This Row],[DIF_Target]])</f>
        <v/>
      </c>
      <c r="M669" s="118" t="str">
        <f>IF(Tab.o1[[#This Row],[a1]]=1,NORMSDIST(Tab.o1[[#This Row],[Za]]),"")</f>
        <v/>
      </c>
      <c r="N669" s="119" t="str">
        <f>IF(Tab.o1[[#This Row],[a1]]=1,((Tab.o1[[#This Row],[MedMod]]-AVERAGE(Tab.o1[MedMod]))/_xlfn.STDEV.P(Tab.o1[MedMod])*H$1205)+G$1205,"")</f>
        <v/>
      </c>
      <c r="O669" s="141" t="str">
        <f>IF(Tab.o1[[#This Row],[a1]]=1,Tab.o1[[#This Row],[Zb]]*_xlfn.STDEV.P(Tab.o1[MedMod])+AVERAGE(Tab.o1[MedMod]),"")</f>
        <v/>
      </c>
      <c r="P669" s="117" t="str">
        <f ca="1">IF(Tab.o1[[#This Row],[B]]=0,AVERAGE(OFFSET(Tab.o1[[#This Row],[B]],1,0,L$3,1)),Tab.o1[[#This Row],[B]])</f>
        <v/>
      </c>
      <c r="Q669" s="121" t="str">
        <f>IF(Tab.o1[[#This Row],[a1]]=1,NORMSDIST(Tab.o1[[#This Row],[Zb]]),"")</f>
        <v/>
      </c>
      <c r="R669" s="122" t="str">
        <f>IF(Tab.o1[[#This Row],[a1]]=1,((Tab.o1[[#This Row],[MedMod]]-AVERAGE(Tab.o1[MedMod]))/_xlfn.STDEV.P(Tab.o1[MedMod])*H$1203)+G$1203,"")</f>
        <v/>
      </c>
      <c r="S669" s="122" t="str">
        <f>IF(Tab.o1[[#This Row],[a1]]=1,((Tab.o1[[#This Row],[MedMod]]-AVERAGE(Tab.o1[MedMod]))/_xlfn.STDEV.P(Tab.o1[MedMod])*H$1204)+G$1204,"")</f>
        <v/>
      </c>
      <c r="T669" s="123" t="str">
        <f>IF(Tab.o1[[#This Row],[a1]]=1,Tab.o1[[#This Row],[Z-]]*_xlfn.STDEV.P(Tab.o1[B])+AVERAGE(Tab.o1[B]),"")</f>
        <v/>
      </c>
      <c r="U669" s="123" t="str">
        <f>IF(Tab.o1[[#This Row],[a1]]=1,Tab.o1[[#This Row],[z+]]*_xlfn.STDEV.P(Tab.o1[B])+AVERAGE(Tab.o1[B]),"")</f>
        <v/>
      </c>
      <c r="V669" s="124" t="str">
        <f>IF(Tab.o1[[#This Row],[a1]]=1,ABS((ABS(Tab.o1[[#This Row],[Red]]-Tab.o1[[#This Row],[Blue]]))),"")</f>
        <v/>
      </c>
      <c r="W669" s="125" t="str">
        <f>IF(Tab.o1[[#This Row],[a1]]=1,IF(W$3=0,1,Tab.o1[[#This Row],[Amp.]]*1/_xlfn.MINIFS(Tab.o1[Amp.],Tab.o1[Amp.],"&lt;&gt;0")),"")</f>
        <v/>
      </c>
      <c r="X669" s="126" t="str">
        <f>IF(Tab.o1[[#This Row],[a1]]=1,IF(ISNUMBER(Tab.o1[[#This Row],[i.]]),NORMDIST(Tab.o1[[#This Row],[Za]],0,1,FALSE)*Tab.o1[[#This Row],[i.]],AP$3),"")</f>
        <v/>
      </c>
      <c r="Y669" s="126" t="str">
        <f>IF(Tab.o1[[#This Row],[a1]]=1,0.01+0.94*Tab.o1[[#This Row],[PDF]]/MAX(Tab.o1[PDF]),"")</f>
        <v/>
      </c>
      <c r="Z669" s="126" t="str">
        <f>IF(Tab.o1[[#This Row],[a1]]=1,0.01+0.94*Tab.o1[[#This Row],[W1_PDF]]/MAX(Tab.o1[W1_PDF]),"")</f>
        <v/>
      </c>
      <c r="AA669" s="118" t="str">
        <f>IF(Tab.o1[[#This Row],[a1]]=1,ABS([1]!T.in.A[[#This Row],[oo6]]),"")</f>
        <v/>
      </c>
      <c r="AB669" s="127" t="str">
        <f>IF(Tab.o1[[#This Row],[a1]]=1,IF(AE$3=0,"",IF(AB$3=0,ABS([1]!T.in.A[[#This Row],[oo9]]),ABS(Tab.o1[[#This Row],[DIF_Target.]]*Tab.o1[[#This Row],[W1_PDF]]))),"")</f>
        <v/>
      </c>
      <c r="AC669" s="127" t="str">
        <f>IF(G$1=1,"",IF(Tab.o1[[#This Row],[a1]]=1,Tab.o1[[#This Row],[Wr]]^2,""))</f>
        <v/>
      </c>
      <c r="AD669" s="118" t="str">
        <f>IF(Tab.o1[[#This Row],[a1]]=1,IF(AE$3=0,"",Tab.o1[[#This Row],[Wr2]]/SUM(Tab.o1[Wr2])),"")</f>
        <v/>
      </c>
      <c r="AE669" s="128" t="str">
        <f>IF(Tab.o1[[#This Row],[a1]]=1,[1]!T.in.A[[#This Row],[oo10]],"")</f>
        <v/>
      </c>
      <c r="AF669" s="118" t="str">
        <f>IF(Tab.o1[[#This Row],[a1]]=1,ABS(Tab.o1[[#This Row],[DIF_Target.]]*Tab.o1[[#This Row],[PDF2]]*Tab.o1[[#This Row],[IN]]),"")</f>
        <v/>
      </c>
      <c r="AG669" s="129" t="str">
        <f>IF(Tab.o1[[#This Row],[a1]]=1,Tab.o1[[#This Row],[rW]]^2,"")</f>
        <v/>
      </c>
      <c r="AH669" s="130" t="str">
        <f>IF(Tab.o1[[#This Row],[a1]]=1,IF(AH$3=0,Tab.o1[[#This Row],[rW2]],0.01+0.94*Tab.o1[[#This Row],[rW2]]/SUM(Tab.o1[rW2])),"")</f>
        <v/>
      </c>
      <c r="AI669" s="128" t="str">
        <f>IF(Tab.o1[[#This Row],[a1]]=1,1/Tab.o1[[#This Row],[PDF]],"")</f>
        <v/>
      </c>
      <c r="AJ669" s="131" t="str">
        <f>IF(Tab.o1[[#This Row],[a1]]=1,[1]!T_AA[[#This Row],[IN'']]*[1]!T_AA[[#This Row],[Qde'']],"")</f>
        <v/>
      </c>
      <c r="AK669" s="132" t="str">
        <f>IF(Tab.o1[[#This Row],[a1]]=1,IF(AK$1=1,Tab.o1[[#This Row],[MED]]+Tab.o1[[#This Row],[MOD]]-Tab.o1[[#This Row],[MED]],""),"")</f>
        <v/>
      </c>
      <c r="AL669" s="133" t="str">
        <f>IF(Tab.o1[[#This Row],[a1]]=1,[1]!T.in.A[[#This Row],[oo16]],"")</f>
        <v/>
      </c>
      <c r="AM669" s="133" t="str">
        <f>IF(Tab.o1[[#This Row],[a1]]=1,IF(AM$3=1,[1]!T.in.A[[#This Row],[Σo16]],""),"")</f>
        <v/>
      </c>
      <c r="AN669" s="126" t="str">
        <f>IF(Tab.o1[[#This Row],[a1]]=1,[1]!T.in.A[[#This Row],[Σp5]],"")</f>
        <v/>
      </c>
      <c r="AO669" s="126" t="str">
        <f>IF(Tab.o1[[#This Row],[a1]]=1,IF(AO$3=1,[1]!T.in.A[[#This Row],[Σp5]],""),"")</f>
        <v/>
      </c>
      <c r="AP669" s="110" t="str">
        <f>IF(Tab.o1[[#This Row],[a1]]=1,IF(ISNUMBER(Tab.o1[[#This Row],[i.]]),NORMDIST(Tab.o1[[#This Row],[Za]],0,1,FALSE)*Tab.o1[[#This Row],[i.]],0),"")</f>
        <v/>
      </c>
      <c r="AQ669" s="125" t="str">
        <f>IF(Tab.o1[[#This Row],[a1]]=1,ABS(Tab.o1[[#This Row],[MOD]]-AVERAGE(Tab.o1[MOD])),"")</f>
        <v/>
      </c>
      <c r="AR669" s="134" t="str">
        <f>IF(Tab.o1[[#This Row],[a1]]=1,Tab.o1[[#This Row],[OBS]]/SUM(Tab.o1[OBS]),"")</f>
        <v/>
      </c>
      <c r="AS669" s="135" t="str">
        <f>IF(ISNUMBER(Tab.o1[[#This Row],[a1]]),ROW()-4,"")</f>
        <v/>
      </c>
      <c r="AT669" s="136" t="str">
        <f>Tab.o1[[#This Row],[MOD]]</f>
        <v/>
      </c>
      <c r="AU669" s="137" t="str">
        <f t="shared" si="41"/>
        <v/>
      </c>
      <c r="AV669" s="138" t="str">
        <f t="shared" si="42"/>
        <v/>
      </c>
      <c r="AW669" s="138" t="str">
        <f t="shared" si="43"/>
        <v/>
      </c>
      <c r="AX669" s="139" t="str">
        <f>[1]!T.in.A[[#This Row],[ID_T_manu]]</f>
        <v/>
      </c>
      <c r="AY669" s="140" t="str">
        <f>IF(ISNUMBER(Tab.o1[[#This Row],[a1]]),IF(AND(Tab.o1[[#This Row],[a1]]=1,Tab.o1[[#This Row],[b1]]&lt;=AY$4),#REF!,AY668),"")</f>
        <v/>
      </c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</row>
    <row r="670" spans="1:79" s="143" customFormat="1" ht="15.75" hidden="1">
      <c r="A670" s="109">
        <v>-1.0000000000000002E-6</v>
      </c>
      <c r="B670" s="110">
        <f t="shared" si="40"/>
        <v>670</v>
      </c>
      <c r="C670" s="111" t="str">
        <f>IF(C$1=[1]!T.in.A[[#This Row],[oo2]],1,"")</f>
        <v/>
      </c>
      <c r="D670" s="112" t="str">
        <f>IF(Tab.o1[[#This Row],[a1]]=1,IF(SUM(C670:C671)=0,0,IF(SUM(C669:C670)=1,1,IF(SUM(C669:C671)&gt;1,D669+1,0))),"")</f>
        <v/>
      </c>
      <c r="E670" s="113" t="str">
        <f>IF(Tab.o1[[#This Row],[a1]]=1,[1]!T.in.A[[#This Row],[oo1]],"")</f>
        <v/>
      </c>
      <c r="F670" s="113" t="str">
        <f>IF(Tab.o1[[#This Row],[a1]]=1,[1]!T.in.A[[#This Row],[pp1]],"")</f>
        <v/>
      </c>
      <c r="G670" s="114" t="str">
        <f>IF(Tab.o1[[#This Row],[a1]]=1,G$2+IF(G$1=1,0,Tab.o1[[#This Row],[.x1]])+[1]!T.in.A[[#This Row],[oo3]],"")</f>
        <v/>
      </c>
      <c r="H670" s="115" t="str">
        <f>IF(Tab.o1[[#This Row],[a1]]=1,IF(H$2=0,0,IF(G$1=1,0,Tab.o1[[#This Row],[.x1]])+[1]!T.in.A[[#This Row],[oo4]]),"")</f>
        <v/>
      </c>
      <c r="I670" s="116" t="str">
        <f>IF(Tab.o1[[#This Row],[a1]]=1,IF(J$2=0,Tab.o1[[#This Row],[MED]],Tab.o1[[#This Row],[MOD]]),"")</f>
        <v/>
      </c>
      <c r="J670" s="116" t="str">
        <f>IF(Tab.o1[[#This Row],[a1]]=1,((Tab.o1[[#This Row],[DIF_Target.]]-AVERAGE(Tab.o1[DIF_Target.]))/_xlfn.STDEV.P(Tab.o1[DIF_Target.])),"")</f>
        <v/>
      </c>
      <c r="K670" s="117" t="str">
        <f>IF(Tab.o1[[#This Row],[a1]]=1,IF(J$2=0,Tab.o1[[#This Row],[MOD]]-Tab.o1[[#This Row],[B]],IF(J$2=1,0,-Tab.o1[[#This Row],[MED]])+Tab.o1[[#This Row],[B]]),"")</f>
        <v/>
      </c>
      <c r="L670" s="117" t="str">
        <f ca="1">IF(Tab.o1[[#This Row],[DIF_Target]]=0,IF(L$2=0,Tab.o1[[#This Row],[DIF_Target]],AVERAGE(OFFSET(Tab.o1[[#This Row],[DIF_Target]],1,0,L$3,1)))/3,Tab.o1[[#This Row],[DIF_Target]])</f>
        <v/>
      </c>
      <c r="M670" s="118" t="str">
        <f>IF(Tab.o1[[#This Row],[a1]]=1,NORMSDIST(Tab.o1[[#This Row],[Za]]),"")</f>
        <v/>
      </c>
      <c r="N670" s="119" t="str">
        <f>IF(Tab.o1[[#This Row],[a1]]=1,((Tab.o1[[#This Row],[MedMod]]-AVERAGE(Tab.o1[MedMod]))/_xlfn.STDEV.P(Tab.o1[MedMod])*H$1205)+G$1205,"")</f>
        <v/>
      </c>
      <c r="O670" s="141" t="str">
        <f>IF(Tab.o1[[#This Row],[a1]]=1,Tab.o1[[#This Row],[Zb]]*_xlfn.STDEV.P(Tab.o1[MedMod])+AVERAGE(Tab.o1[MedMod]),"")</f>
        <v/>
      </c>
      <c r="P670" s="117" t="str">
        <f ca="1">IF(Tab.o1[[#This Row],[B]]=0,AVERAGE(OFFSET(Tab.o1[[#This Row],[B]],1,0,L$3,1)),Tab.o1[[#This Row],[B]])</f>
        <v/>
      </c>
      <c r="Q670" s="121" t="str">
        <f>IF(Tab.o1[[#This Row],[a1]]=1,NORMSDIST(Tab.o1[[#This Row],[Zb]]),"")</f>
        <v/>
      </c>
      <c r="R670" s="122" t="str">
        <f>IF(Tab.o1[[#This Row],[a1]]=1,((Tab.o1[[#This Row],[MedMod]]-AVERAGE(Tab.o1[MedMod]))/_xlfn.STDEV.P(Tab.o1[MedMod])*H$1203)+G$1203,"")</f>
        <v/>
      </c>
      <c r="S670" s="122" t="str">
        <f>IF(Tab.o1[[#This Row],[a1]]=1,((Tab.o1[[#This Row],[MedMod]]-AVERAGE(Tab.o1[MedMod]))/_xlfn.STDEV.P(Tab.o1[MedMod])*H$1204)+G$1204,"")</f>
        <v/>
      </c>
      <c r="T670" s="123" t="str">
        <f>IF(Tab.o1[[#This Row],[a1]]=1,Tab.o1[[#This Row],[Z-]]*_xlfn.STDEV.P(Tab.o1[B])+AVERAGE(Tab.o1[B]),"")</f>
        <v/>
      </c>
      <c r="U670" s="123" t="str">
        <f>IF(Tab.o1[[#This Row],[a1]]=1,Tab.o1[[#This Row],[z+]]*_xlfn.STDEV.P(Tab.o1[B])+AVERAGE(Tab.o1[B]),"")</f>
        <v/>
      </c>
      <c r="V670" s="124" t="str">
        <f>IF(Tab.o1[[#This Row],[a1]]=1,ABS((ABS(Tab.o1[[#This Row],[Red]]-Tab.o1[[#This Row],[Blue]]))),"")</f>
        <v/>
      </c>
      <c r="W670" s="125" t="str">
        <f>IF(Tab.o1[[#This Row],[a1]]=1,IF(W$3=0,1,Tab.o1[[#This Row],[Amp.]]*1/_xlfn.MINIFS(Tab.o1[Amp.],Tab.o1[Amp.],"&lt;&gt;0")),"")</f>
        <v/>
      </c>
      <c r="X670" s="126" t="str">
        <f>IF(Tab.o1[[#This Row],[a1]]=1,IF(ISNUMBER(Tab.o1[[#This Row],[i.]]),NORMDIST(Tab.o1[[#This Row],[Za]],0,1,FALSE)*Tab.o1[[#This Row],[i.]],AP$3),"")</f>
        <v/>
      </c>
      <c r="Y670" s="126" t="str">
        <f>IF(Tab.o1[[#This Row],[a1]]=1,0.01+0.94*Tab.o1[[#This Row],[PDF]]/MAX(Tab.o1[PDF]),"")</f>
        <v/>
      </c>
      <c r="Z670" s="126" t="str">
        <f>IF(Tab.o1[[#This Row],[a1]]=1,0.01+0.94*Tab.o1[[#This Row],[W1_PDF]]/MAX(Tab.o1[W1_PDF]),"")</f>
        <v/>
      </c>
      <c r="AA670" s="118" t="str">
        <f>IF(Tab.o1[[#This Row],[a1]]=1,ABS([1]!T.in.A[[#This Row],[oo6]]),"")</f>
        <v/>
      </c>
      <c r="AB670" s="127" t="str">
        <f>IF(Tab.o1[[#This Row],[a1]]=1,IF(AE$3=0,"",IF(AB$3=0,ABS([1]!T.in.A[[#This Row],[oo9]]),ABS(Tab.o1[[#This Row],[DIF_Target.]]*Tab.o1[[#This Row],[W1_PDF]]))),"")</f>
        <v/>
      </c>
      <c r="AC670" s="127" t="str">
        <f>IF(G$1=1,"",IF(Tab.o1[[#This Row],[a1]]=1,Tab.o1[[#This Row],[Wr]]^2,""))</f>
        <v/>
      </c>
      <c r="AD670" s="118" t="str">
        <f>IF(Tab.o1[[#This Row],[a1]]=1,IF(AE$3=0,"",Tab.o1[[#This Row],[Wr2]]/SUM(Tab.o1[Wr2])),"")</f>
        <v/>
      </c>
      <c r="AE670" s="128" t="str">
        <f>IF(Tab.o1[[#This Row],[a1]]=1,[1]!T.in.A[[#This Row],[oo10]],"")</f>
        <v/>
      </c>
      <c r="AF670" s="118" t="str">
        <f>IF(Tab.o1[[#This Row],[a1]]=1,ABS(Tab.o1[[#This Row],[DIF_Target.]]*Tab.o1[[#This Row],[PDF2]]*Tab.o1[[#This Row],[IN]]),"")</f>
        <v/>
      </c>
      <c r="AG670" s="129" t="str">
        <f>IF(Tab.o1[[#This Row],[a1]]=1,Tab.o1[[#This Row],[rW]]^2,"")</f>
        <v/>
      </c>
      <c r="AH670" s="130" t="str">
        <f>IF(Tab.o1[[#This Row],[a1]]=1,IF(AH$3=0,Tab.o1[[#This Row],[rW2]],0.01+0.94*Tab.o1[[#This Row],[rW2]]/SUM(Tab.o1[rW2])),"")</f>
        <v/>
      </c>
      <c r="AI670" s="128" t="str">
        <f>IF(Tab.o1[[#This Row],[a1]]=1,1/Tab.o1[[#This Row],[PDF]],"")</f>
        <v/>
      </c>
      <c r="AJ670" s="131" t="str">
        <f>IF(Tab.o1[[#This Row],[a1]]=1,[1]!T_AA[[#This Row],[IN'']]*[1]!T_AA[[#This Row],[Qde'']],"")</f>
        <v/>
      </c>
      <c r="AK670" s="132" t="str">
        <f>IF(Tab.o1[[#This Row],[a1]]=1,IF(AK$1=1,Tab.o1[[#This Row],[MED]]+Tab.o1[[#This Row],[MOD]]-Tab.o1[[#This Row],[MED]],""),"")</f>
        <v/>
      </c>
      <c r="AL670" s="133" t="str">
        <f>IF(Tab.o1[[#This Row],[a1]]=1,[1]!T.in.A[[#This Row],[oo16]],"")</f>
        <v/>
      </c>
      <c r="AM670" s="133" t="str">
        <f>IF(Tab.o1[[#This Row],[a1]]=1,IF(AM$3=1,[1]!T.in.A[[#This Row],[Σo16]],""),"")</f>
        <v/>
      </c>
      <c r="AN670" s="126" t="str">
        <f>IF(Tab.o1[[#This Row],[a1]]=1,[1]!T.in.A[[#This Row],[Σp5]],"")</f>
        <v/>
      </c>
      <c r="AO670" s="126" t="str">
        <f>IF(Tab.o1[[#This Row],[a1]]=1,IF(AO$3=1,[1]!T.in.A[[#This Row],[Σp5]],""),"")</f>
        <v/>
      </c>
      <c r="AP670" s="110" t="str">
        <f>IF(Tab.o1[[#This Row],[a1]]=1,IF(ISNUMBER(Tab.o1[[#This Row],[i.]]),NORMDIST(Tab.o1[[#This Row],[Za]],0,1,FALSE)*Tab.o1[[#This Row],[i.]],0),"")</f>
        <v/>
      </c>
      <c r="AQ670" s="125" t="str">
        <f>IF(Tab.o1[[#This Row],[a1]]=1,ABS(Tab.o1[[#This Row],[MOD]]-AVERAGE(Tab.o1[MOD])),"")</f>
        <v/>
      </c>
      <c r="AR670" s="134" t="str">
        <f>IF(Tab.o1[[#This Row],[a1]]=1,Tab.o1[[#This Row],[OBS]]/SUM(Tab.o1[OBS]),"")</f>
        <v/>
      </c>
      <c r="AS670" s="135" t="str">
        <f>IF(ISNUMBER(Tab.o1[[#This Row],[a1]]),ROW()-4,"")</f>
        <v/>
      </c>
      <c r="AT670" s="136" t="str">
        <f>Tab.o1[[#This Row],[MOD]]</f>
        <v/>
      </c>
      <c r="AU670" s="137" t="str">
        <f t="shared" si="41"/>
        <v/>
      </c>
      <c r="AV670" s="138" t="str">
        <f t="shared" si="42"/>
        <v/>
      </c>
      <c r="AW670" s="138" t="str">
        <f t="shared" si="43"/>
        <v/>
      </c>
      <c r="AX670" s="139" t="str">
        <f>[1]!T.in.A[[#This Row],[ID_T_manu]]</f>
        <v/>
      </c>
      <c r="AY670" s="140" t="str">
        <f>IF(ISNUMBER(Tab.o1[[#This Row],[a1]]),IF(AND(Tab.o1[[#This Row],[a1]]=1,Tab.o1[[#This Row],[b1]]&lt;=AY$4),#REF!,AY669),"")</f>
        <v/>
      </c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</row>
    <row r="671" spans="1:79" s="143" customFormat="1" ht="15.75" hidden="1">
      <c r="A671" s="109">
        <v>1.0000000000000001E-5</v>
      </c>
      <c r="B671" s="110">
        <f t="shared" si="40"/>
        <v>671</v>
      </c>
      <c r="C671" s="111" t="str">
        <f>IF(C$1=[1]!T.in.A[[#This Row],[oo2]],1,"")</f>
        <v/>
      </c>
      <c r="D671" s="112" t="str">
        <f>IF(Tab.o1[[#This Row],[a1]]=1,IF(SUM(C671:C672)=0,0,IF(SUM(C670:C671)=1,1,IF(SUM(C670:C672)&gt;1,D670+1,0))),"")</f>
        <v/>
      </c>
      <c r="E671" s="113" t="str">
        <f>IF(Tab.o1[[#This Row],[a1]]=1,[1]!T.in.A[[#This Row],[oo1]],"")</f>
        <v/>
      </c>
      <c r="F671" s="113" t="str">
        <f>IF(Tab.o1[[#This Row],[a1]]=1,[1]!T.in.A[[#This Row],[pp1]],"")</f>
        <v/>
      </c>
      <c r="G671" s="114" t="str">
        <f>IF(Tab.o1[[#This Row],[a1]]=1,G$2+IF(G$1=1,0,Tab.o1[[#This Row],[.x1]])+[1]!T.in.A[[#This Row],[oo3]],"")</f>
        <v/>
      </c>
      <c r="H671" s="115" t="str">
        <f>IF(Tab.o1[[#This Row],[a1]]=1,IF(H$2=0,0,IF(G$1=1,0,Tab.o1[[#This Row],[.x1]])+[1]!T.in.A[[#This Row],[oo4]]),"")</f>
        <v/>
      </c>
      <c r="I671" s="116" t="str">
        <f>IF(Tab.o1[[#This Row],[a1]]=1,IF(J$2=0,Tab.o1[[#This Row],[MED]],Tab.o1[[#This Row],[MOD]]),"")</f>
        <v/>
      </c>
      <c r="J671" s="116" t="str">
        <f>IF(Tab.o1[[#This Row],[a1]]=1,((Tab.o1[[#This Row],[DIF_Target.]]-AVERAGE(Tab.o1[DIF_Target.]))/_xlfn.STDEV.P(Tab.o1[DIF_Target.])),"")</f>
        <v/>
      </c>
      <c r="K671" s="117" t="str">
        <f>IF(Tab.o1[[#This Row],[a1]]=1,IF(J$2=0,Tab.o1[[#This Row],[MOD]]-Tab.o1[[#This Row],[B]],IF(J$2=1,0,-Tab.o1[[#This Row],[MED]])+Tab.o1[[#This Row],[B]]),"")</f>
        <v/>
      </c>
      <c r="L671" s="117" t="str">
        <f ca="1">IF(Tab.o1[[#This Row],[DIF_Target]]=0,IF(L$2=0,Tab.o1[[#This Row],[DIF_Target]],AVERAGE(OFFSET(Tab.o1[[#This Row],[DIF_Target]],1,0,L$3,1)))/3,Tab.o1[[#This Row],[DIF_Target]])</f>
        <v/>
      </c>
      <c r="M671" s="118" t="str">
        <f>IF(Tab.o1[[#This Row],[a1]]=1,NORMSDIST(Tab.o1[[#This Row],[Za]]),"")</f>
        <v/>
      </c>
      <c r="N671" s="119" t="str">
        <f>IF(Tab.o1[[#This Row],[a1]]=1,((Tab.o1[[#This Row],[MedMod]]-AVERAGE(Tab.o1[MedMod]))/_xlfn.STDEV.P(Tab.o1[MedMod])*H$1205)+G$1205,"")</f>
        <v/>
      </c>
      <c r="O671" s="141" t="str">
        <f>IF(Tab.o1[[#This Row],[a1]]=1,Tab.o1[[#This Row],[Zb]]*_xlfn.STDEV.P(Tab.o1[MedMod])+AVERAGE(Tab.o1[MedMod]),"")</f>
        <v/>
      </c>
      <c r="P671" s="117" t="str">
        <f ca="1">IF(Tab.o1[[#This Row],[B]]=0,AVERAGE(OFFSET(Tab.o1[[#This Row],[B]],1,0,L$3,1)),Tab.o1[[#This Row],[B]])</f>
        <v/>
      </c>
      <c r="Q671" s="121" t="str">
        <f>IF(Tab.o1[[#This Row],[a1]]=1,NORMSDIST(Tab.o1[[#This Row],[Zb]]),"")</f>
        <v/>
      </c>
      <c r="R671" s="122" t="str">
        <f>IF(Tab.o1[[#This Row],[a1]]=1,((Tab.o1[[#This Row],[MedMod]]-AVERAGE(Tab.o1[MedMod]))/_xlfn.STDEV.P(Tab.o1[MedMod])*H$1203)+G$1203,"")</f>
        <v/>
      </c>
      <c r="S671" s="122" t="str">
        <f>IF(Tab.o1[[#This Row],[a1]]=1,((Tab.o1[[#This Row],[MedMod]]-AVERAGE(Tab.o1[MedMod]))/_xlfn.STDEV.P(Tab.o1[MedMod])*H$1204)+G$1204,"")</f>
        <v/>
      </c>
      <c r="T671" s="123" t="str">
        <f>IF(Tab.o1[[#This Row],[a1]]=1,Tab.o1[[#This Row],[Z-]]*_xlfn.STDEV.P(Tab.o1[B])+AVERAGE(Tab.o1[B]),"")</f>
        <v/>
      </c>
      <c r="U671" s="123" t="str">
        <f>IF(Tab.o1[[#This Row],[a1]]=1,Tab.o1[[#This Row],[z+]]*_xlfn.STDEV.P(Tab.o1[B])+AVERAGE(Tab.o1[B]),"")</f>
        <v/>
      </c>
      <c r="V671" s="124" t="str">
        <f>IF(Tab.o1[[#This Row],[a1]]=1,ABS((ABS(Tab.o1[[#This Row],[Red]]-Tab.o1[[#This Row],[Blue]]))),"")</f>
        <v/>
      </c>
      <c r="W671" s="125" t="str">
        <f>IF(Tab.o1[[#This Row],[a1]]=1,IF(W$3=0,1,Tab.o1[[#This Row],[Amp.]]*1/_xlfn.MINIFS(Tab.o1[Amp.],Tab.o1[Amp.],"&lt;&gt;0")),"")</f>
        <v/>
      </c>
      <c r="X671" s="126" t="str">
        <f>IF(Tab.o1[[#This Row],[a1]]=1,IF(ISNUMBER(Tab.o1[[#This Row],[i.]]),NORMDIST(Tab.o1[[#This Row],[Za]],0,1,FALSE)*Tab.o1[[#This Row],[i.]],AP$3),"")</f>
        <v/>
      </c>
      <c r="Y671" s="126" t="str">
        <f>IF(Tab.o1[[#This Row],[a1]]=1,0.01+0.94*Tab.o1[[#This Row],[PDF]]/MAX(Tab.o1[PDF]),"")</f>
        <v/>
      </c>
      <c r="Z671" s="126" t="str">
        <f>IF(Tab.o1[[#This Row],[a1]]=1,0.01+0.94*Tab.o1[[#This Row],[W1_PDF]]/MAX(Tab.o1[W1_PDF]),"")</f>
        <v/>
      </c>
      <c r="AA671" s="118" t="str">
        <f>IF(Tab.o1[[#This Row],[a1]]=1,ABS([1]!T.in.A[[#This Row],[oo6]]),"")</f>
        <v/>
      </c>
      <c r="AB671" s="127" t="str">
        <f>IF(Tab.o1[[#This Row],[a1]]=1,IF(AE$3=0,"",IF(AB$3=0,ABS([1]!T.in.A[[#This Row],[oo9]]),ABS(Tab.o1[[#This Row],[DIF_Target.]]*Tab.o1[[#This Row],[W1_PDF]]))),"")</f>
        <v/>
      </c>
      <c r="AC671" s="127" t="str">
        <f>IF(G$1=1,"",IF(Tab.o1[[#This Row],[a1]]=1,Tab.o1[[#This Row],[Wr]]^2,""))</f>
        <v/>
      </c>
      <c r="AD671" s="118" t="str">
        <f>IF(Tab.o1[[#This Row],[a1]]=1,IF(AE$3=0,"",Tab.o1[[#This Row],[Wr2]]/SUM(Tab.o1[Wr2])),"")</f>
        <v/>
      </c>
      <c r="AE671" s="128" t="str">
        <f>IF(Tab.o1[[#This Row],[a1]]=1,[1]!T.in.A[[#This Row],[oo10]],"")</f>
        <v/>
      </c>
      <c r="AF671" s="118" t="str">
        <f>IF(Tab.o1[[#This Row],[a1]]=1,ABS(Tab.o1[[#This Row],[DIF_Target.]]*Tab.o1[[#This Row],[PDF2]]*Tab.o1[[#This Row],[IN]]),"")</f>
        <v/>
      </c>
      <c r="AG671" s="129" t="str">
        <f>IF(Tab.o1[[#This Row],[a1]]=1,Tab.o1[[#This Row],[rW]]^2,"")</f>
        <v/>
      </c>
      <c r="AH671" s="130" t="str">
        <f>IF(Tab.o1[[#This Row],[a1]]=1,IF(AH$3=0,Tab.o1[[#This Row],[rW2]],0.01+0.94*Tab.o1[[#This Row],[rW2]]/SUM(Tab.o1[rW2])),"")</f>
        <v/>
      </c>
      <c r="AI671" s="128" t="str">
        <f>IF(Tab.o1[[#This Row],[a1]]=1,1/Tab.o1[[#This Row],[PDF]],"")</f>
        <v/>
      </c>
      <c r="AJ671" s="131" t="str">
        <f>IF(Tab.o1[[#This Row],[a1]]=1,[1]!T_AA[[#This Row],[IN'']]*[1]!T_AA[[#This Row],[Qde'']],"")</f>
        <v/>
      </c>
      <c r="AK671" s="132" t="str">
        <f>IF(Tab.o1[[#This Row],[a1]]=1,IF(AK$1=1,Tab.o1[[#This Row],[MED]]+Tab.o1[[#This Row],[MOD]]-Tab.o1[[#This Row],[MED]],""),"")</f>
        <v/>
      </c>
      <c r="AL671" s="133" t="str">
        <f>IF(Tab.o1[[#This Row],[a1]]=1,[1]!T.in.A[[#This Row],[oo16]],"")</f>
        <v/>
      </c>
      <c r="AM671" s="133" t="str">
        <f>IF(Tab.o1[[#This Row],[a1]]=1,IF(AM$3=1,[1]!T.in.A[[#This Row],[Σo16]],""),"")</f>
        <v/>
      </c>
      <c r="AN671" s="126" t="str">
        <f>IF(Tab.o1[[#This Row],[a1]]=1,[1]!T.in.A[[#This Row],[Σp5]],"")</f>
        <v/>
      </c>
      <c r="AO671" s="126" t="str">
        <f>IF(Tab.o1[[#This Row],[a1]]=1,IF(AO$3=1,[1]!T.in.A[[#This Row],[Σp5]],""),"")</f>
        <v/>
      </c>
      <c r="AP671" s="110" t="str">
        <f>IF(Tab.o1[[#This Row],[a1]]=1,IF(ISNUMBER(Tab.o1[[#This Row],[i.]]),NORMDIST(Tab.o1[[#This Row],[Za]],0,1,FALSE)*Tab.o1[[#This Row],[i.]],0),"")</f>
        <v/>
      </c>
      <c r="AQ671" s="125" t="str">
        <f>IF(Tab.o1[[#This Row],[a1]]=1,ABS(Tab.o1[[#This Row],[MOD]]-AVERAGE(Tab.o1[MOD])),"")</f>
        <v/>
      </c>
      <c r="AR671" s="134" t="str">
        <f>IF(Tab.o1[[#This Row],[a1]]=1,Tab.o1[[#This Row],[OBS]]/SUM(Tab.o1[OBS]),"")</f>
        <v/>
      </c>
      <c r="AS671" s="135" t="str">
        <f>IF(ISNUMBER(Tab.o1[[#This Row],[a1]]),ROW()-4,"")</f>
        <v/>
      </c>
      <c r="AT671" s="136" t="str">
        <f>Tab.o1[[#This Row],[MOD]]</f>
        <v/>
      </c>
      <c r="AU671" s="137" t="str">
        <f t="shared" si="41"/>
        <v/>
      </c>
      <c r="AV671" s="138" t="str">
        <f t="shared" si="42"/>
        <v/>
      </c>
      <c r="AW671" s="138" t="str">
        <f t="shared" si="43"/>
        <v/>
      </c>
      <c r="AX671" s="139" t="str">
        <f>[1]!T.in.A[[#This Row],[ID_T_manu]]</f>
        <v/>
      </c>
      <c r="AY671" s="140" t="str">
        <f>IF(ISNUMBER(Tab.o1[[#This Row],[a1]]),IF(AND(Tab.o1[[#This Row],[a1]]=1,Tab.o1[[#This Row],[b1]]&lt;=AY$4),#REF!,AY670),"")</f>
        <v/>
      </c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</row>
    <row r="672" spans="1:79" s="143" customFormat="1" ht="15.75" hidden="1">
      <c r="A672" s="109">
        <v>-1.0000000000000002E-6</v>
      </c>
      <c r="B672" s="110">
        <f t="shared" si="40"/>
        <v>672</v>
      </c>
      <c r="C672" s="111" t="str">
        <f>IF(C$1=[1]!T.in.A[[#This Row],[oo2]],1,"")</f>
        <v/>
      </c>
      <c r="D672" s="112" t="str">
        <f>IF(Tab.o1[[#This Row],[a1]]=1,IF(SUM(C672:C673)=0,0,IF(SUM(C671:C672)=1,1,IF(SUM(C671:C673)&gt;1,D671+1,0))),"")</f>
        <v/>
      </c>
      <c r="E672" s="113" t="str">
        <f>IF(Tab.o1[[#This Row],[a1]]=1,[1]!T.in.A[[#This Row],[oo1]],"")</f>
        <v/>
      </c>
      <c r="F672" s="113" t="str">
        <f>IF(Tab.o1[[#This Row],[a1]]=1,[1]!T.in.A[[#This Row],[pp1]],"")</f>
        <v/>
      </c>
      <c r="G672" s="114" t="str">
        <f>IF(Tab.o1[[#This Row],[a1]]=1,G$2+IF(G$1=1,0,Tab.o1[[#This Row],[.x1]])+[1]!T.in.A[[#This Row],[oo3]],"")</f>
        <v/>
      </c>
      <c r="H672" s="115" t="str">
        <f>IF(Tab.o1[[#This Row],[a1]]=1,IF(H$2=0,0,IF(G$1=1,0,Tab.o1[[#This Row],[.x1]])+[1]!T.in.A[[#This Row],[oo4]]),"")</f>
        <v/>
      </c>
      <c r="I672" s="116" t="str">
        <f>IF(Tab.o1[[#This Row],[a1]]=1,IF(J$2=0,Tab.o1[[#This Row],[MED]],Tab.o1[[#This Row],[MOD]]),"")</f>
        <v/>
      </c>
      <c r="J672" s="116" t="str">
        <f>IF(Tab.o1[[#This Row],[a1]]=1,((Tab.o1[[#This Row],[DIF_Target.]]-AVERAGE(Tab.o1[DIF_Target.]))/_xlfn.STDEV.P(Tab.o1[DIF_Target.])),"")</f>
        <v/>
      </c>
      <c r="K672" s="117" t="str">
        <f>IF(Tab.o1[[#This Row],[a1]]=1,IF(J$2=0,Tab.o1[[#This Row],[MOD]]-Tab.o1[[#This Row],[B]],IF(J$2=1,0,-Tab.o1[[#This Row],[MED]])+Tab.o1[[#This Row],[B]]),"")</f>
        <v/>
      </c>
      <c r="L672" s="117" t="str">
        <f ca="1">IF(Tab.o1[[#This Row],[DIF_Target]]=0,IF(L$2=0,Tab.o1[[#This Row],[DIF_Target]],AVERAGE(OFFSET(Tab.o1[[#This Row],[DIF_Target]],1,0,L$3,1)))/3,Tab.o1[[#This Row],[DIF_Target]])</f>
        <v/>
      </c>
      <c r="M672" s="118" t="str">
        <f>IF(Tab.o1[[#This Row],[a1]]=1,NORMSDIST(Tab.o1[[#This Row],[Za]]),"")</f>
        <v/>
      </c>
      <c r="N672" s="119" t="str">
        <f>IF(Tab.o1[[#This Row],[a1]]=1,((Tab.o1[[#This Row],[MedMod]]-AVERAGE(Tab.o1[MedMod]))/_xlfn.STDEV.P(Tab.o1[MedMod])*H$1205)+G$1205,"")</f>
        <v/>
      </c>
      <c r="O672" s="141" t="str">
        <f>IF(Tab.o1[[#This Row],[a1]]=1,Tab.o1[[#This Row],[Zb]]*_xlfn.STDEV.P(Tab.o1[MedMod])+AVERAGE(Tab.o1[MedMod]),"")</f>
        <v/>
      </c>
      <c r="P672" s="117" t="str">
        <f ca="1">IF(Tab.o1[[#This Row],[B]]=0,AVERAGE(OFFSET(Tab.o1[[#This Row],[B]],1,0,L$3,1)),Tab.o1[[#This Row],[B]])</f>
        <v/>
      </c>
      <c r="Q672" s="121" t="str">
        <f>IF(Tab.o1[[#This Row],[a1]]=1,NORMSDIST(Tab.o1[[#This Row],[Zb]]),"")</f>
        <v/>
      </c>
      <c r="R672" s="122" t="str">
        <f>IF(Tab.o1[[#This Row],[a1]]=1,((Tab.o1[[#This Row],[MedMod]]-AVERAGE(Tab.o1[MedMod]))/_xlfn.STDEV.P(Tab.o1[MedMod])*H$1203)+G$1203,"")</f>
        <v/>
      </c>
      <c r="S672" s="122" t="str">
        <f>IF(Tab.o1[[#This Row],[a1]]=1,((Tab.o1[[#This Row],[MedMod]]-AVERAGE(Tab.o1[MedMod]))/_xlfn.STDEV.P(Tab.o1[MedMod])*H$1204)+G$1204,"")</f>
        <v/>
      </c>
      <c r="T672" s="123" t="str">
        <f>IF(Tab.o1[[#This Row],[a1]]=1,Tab.o1[[#This Row],[Z-]]*_xlfn.STDEV.P(Tab.o1[B])+AVERAGE(Tab.o1[B]),"")</f>
        <v/>
      </c>
      <c r="U672" s="123" t="str">
        <f>IF(Tab.o1[[#This Row],[a1]]=1,Tab.o1[[#This Row],[z+]]*_xlfn.STDEV.P(Tab.o1[B])+AVERAGE(Tab.o1[B]),"")</f>
        <v/>
      </c>
      <c r="V672" s="124" t="str">
        <f>IF(Tab.o1[[#This Row],[a1]]=1,ABS((ABS(Tab.o1[[#This Row],[Red]]-Tab.o1[[#This Row],[Blue]]))),"")</f>
        <v/>
      </c>
      <c r="W672" s="125" t="str">
        <f>IF(Tab.o1[[#This Row],[a1]]=1,IF(W$3=0,1,Tab.o1[[#This Row],[Amp.]]*1/_xlfn.MINIFS(Tab.o1[Amp.],Tab.o1[Amp.],"&lt;&gt;0")),"")</f>
        <v/>
      </c>
      <c r="X672" s="126" t="str">
        <f>IF(Tab.o1[[#This Row],[a1]]=1,IF(ISNUMBER(Tab.o1[[#This Row],[i.]]),NORMDIST(Tab.o1[[#This Row],[Za]],0,1,FALSE)*Tab.o1[[#This Row],[i.]],AP$3),"")</f>
        <v/>
      </c>
      <c r="Y672" s="126" t="str">
        <f>IF(Tab.o1[[#This Row],[a1]]=1,0.01+0.94*Tab.o1[[#This Row],[PDF]]/MAX(Tab.o1[PDF]),"")</f>
        <v/>
      </c>
      <c r="Z672" s="126" t="str">
        <f>IF(Tab.o1[[#This Row],[a1]]=1,0.01+0.94*Tab.o1[[#This Row],[W1_PDF]]/MAX(Tab.o1[W1_PDF]),"")</f>
        <v/>
      </c>
      <c r="AA672" s="118" t="str">
        <f>IF(Tab.o1[[#This Row],[a1]]=1,ABS([1]!T.in.A[[#This Row],[oo6]]),"")</f>
        <v/>
      </c>
      <c r="AB672" s="127" t="str">
        <f>IF(Tab.o1[[#This Row],[a1]]=1,IF(AE$3=0,"",IF(AB$3=0,ABS([1]!T.in.A[[#This Row],[oo9]]),ABS(Tab.o1[[#This Row],[DIF_Target.]]*Tab.o1[[#This Row],[W1_PDF]]))),"")</f>
        <v/>
      </c>
      <c r="AC672" s="127" t="str">
        <f>IF(G$1=1,"",IF(Tab.o1[[#This Row],[a1]]=1,Tab.o1[[#This Row],[Wr]]^2,""))</f>
        <v/>
      </c>
      <c r="AD672" s="118" t="str">
        <f>IF(Tab.o1[[#This Row],[a1]]=1,IF(AE$3=0,"",Tab.o1[[#This Row],[Wr2]]/SUM(Tab.o1[Wr2])),"")</f>
        <v/>
      </c>
      <c r="AE672" s="128" t="str">
        <f>IF(Tab.o1[[#This Row],[a1]]=1,[1]!T.in.A[[#This Row],[oo10]],"")</f>
        <v/>
      </c>
      <c r="AF672" s="118" t="str">
        <f>IF(Tab.o1[[#This Row],[a1]]=1,ABS(Tab.o1[[#This Row],[DIF_Target.]]*Tab.o1[[#This Row],[PDF2]]*Tab.o1[[#This Row],[IN]]),"")</f>
        <v/>
      </c>
      <c r="AG672" s="129" t="str">
        <f>IF(Tab.o1[[#This Row],[a1]]=1,Tab.o1[[#This Row],[rW]]^2,"")</f>
        <v/>
      </c>
      <c r="AH672" s="130" t="str">
        <f>IF(Tab.o1[[#This Row],[a1]]=1,IF(AH$3=0,Tab.o1[[#This Row],[rW2]],0.01+0.94*Tab.o1[[#This Row],[rW2]]/SUM(Tab.o1[rW2])),"")</f>
        <v/>
      </c>
      <c r="AI672" s="128" t="str">
        <f>IF(Tab.o1[[#This Row],[a1]]=1,1/Tab.o1[[#This Row],[PDF]],"")</f>
        <v/>
      </c>
      <c r="AJ672" s="131" t="str">
        <f>IF(Tab.o1[[#This Row],[a1]]=1,[1]!T_AA[[#This Row],[IN'']]*[1]!T_AA[[#This Row],[Qde'']],"")</f>
        <v/>
      </c>
      <c r="AK672" s="132" t="str">
        <f>IF(Tab.o1[[#This Row],[a1]]=1,IF(AK$1=1,Tab.o1[[#This Row],[MED]]+Tab.o1[[#This Row],[MOD]]-Tab.o1[[#This Row],[MED]],""),"")</f>
        <v/>
      </c>
      <c r="AL672" s="133" t="str">
        <f>IF(Tab.o1[[#This Row],[a1]]=1,[1]!T.in.A[[#This Row],[oo16]],"")</f>
        <v/>
      </c>
      <c r="AM672" s="133" t="str">
        <f>IF(Tab.o1[[#This Row],[a1]]=1,IF(AM$3=1,[1]!T.in.A[[#This Row],[Σo16]],""),"")</f>
        <v/>
      </c>
      <c r="AN672" s="126" t="str">
        <f>IF(Tab.o1[[#This Row],[a1]]=1,[1]!T.in.A[[#This Row],[Σp5]],"")</f>
        <v/>
      </c>
      <c r="AO672" s="126" t="str">
        <f>IF(Tab.o1[[#This Row],[a1]]=1,IF(AO$3=1,[1]!T.in.A[[#This Row],[Σp5]],""),"")</f>
        <v/>
      </c>
      <c r="AP672" s="110" t="str">
        <f>IF(Tab.o1[[#This Row],[a1]]=1,IF(ISNUMBER(Tab.o1[[#This Row],[i.]]),NORMDIST(Tab.o1[[#This Row],[Za]],0,1,FALSE)*Tab.o1[[#This Row],[i.]],0),"")</f>
        <v/>
      </c>
      <c r="AQ672" s="125" t="str">
        <f>IF(Tab.o1[[#This Row],[a1]]=1,ABS(Tab.o1[[#This Row],[MOD]]-AVERAGE(Tab.o1[MOD])),"")</f>
        <v/>
      </c>
      <c r="AR672" s="134" t="str">
        <f>IF(Tab.o1[[#This Row],[a1]]=1,Tab.o1[[#This Row],[OBS]]/SUM(Tab.o1[OBS]),"")</f>
        <v/>
      </c>
      <c r="AS672" s="135" t="str">
        <f>IF(ISNUMBER(Tab.o1[[#This Row],[a1]]),ROW()-4,"")</f>
        <v/>
      </c>
      <c r="AT672" s="136" t="str">
        <f>Tab.o1[[#This Row],[MOD]]</f>
        <v/>
      </c>
      <c r="AU672" s="137" t="str">
        <f t="shared" si="41"/>
        <v/>
      </c>
      <c r="AV672" s="138" t="str">
        <f t="shared" si="42"/>
        <v/>
      </c>
      <c r="AW672" s="138" t="str">
        <f t="shared" si="43"/>
        <v/>
      </c>
      <c r="AX672" s="139" t="str">
        <f>[1]!T.in.A[[#This Row],[ID_T_manu]]</f>
        <v/>
      </c>
      <c r="AY672" s="140" t="str">
        <f>IF(ISNUMBER(Tab.o1[[#This Row],[a1]]),IF(AND(Tab.o1[[#This Row],[a1]]=1,Tab.o1[[#This Row],[b1]]&lt;=AY$4),#REF!,AY671),"")</f>
        <v/>
      </c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</row>
    <row r="673" spans="1:79" s="143" customFormat="1" ht="15.75" hidden="1">
      <c r="A673" s="109">
        <v>5.0000000000000004E-6</v>
      </c>
      <c r="B673" s="110">
        <f t="shared" si="40"/>
        <v>673</v>
      </c>
      <c r="C673" s="111" t="str">
        <f>IF(C$1=[1]!T.in.A[[#This Row],[oo2]],1,"")</f>
        <v/>
      </c>
      <c r="D673" s="112" t="str">
        <f>IF(Tab.o1[[#This Row],[a1]]=1,IF(SUM(C673:C674)=0,0,IF(SUM(C672:C673)=1,1,IF(SUM(C672:C674)&gt;1,D672+1,0))),"")</f>
        <v/>
      </c>
      <c r="E673" s="113" t="str">
        <f>IF(Tab.o1[[#This Row],[a1]]=1,[1]!T.in.A[[#This Row],[oo1]],"")</f>
        <v/>
      </c>
      <c r="F673" s="113" t="str">
        <f>IF(Tab.o1[[#This Row],[a1]]=1,[1]!T.in.A[[#This Row],[pp1]],"")</f>
        <v/>
      </c>
      <c r="G673" s="114" t="str">
        <f>IF(Tab.o1[[#This Row],[a1]]=1,G$2+IF(G$1=1,0,Tab.o1[[#This Row],[.x1]])+[1]!T.in.A[[#This Row],[oo3]],"")</f>
        <v/>
      </c>
      <c r="H673" s="115" t="str">
        <f>IF(Tab.o1[[#This Row],[a1]]=1,IF(H$2=0,0,IF(G$1=1,0,Tab.o1[[#This Row],[.x1]])+[1]!T.in.A[[#This Row],[oo4]]),"")</f>
        <v/>
      </c>
      <c r="I673" s="116" t="str">
        <f>IF(Tab.o1[[#This Row],[a1]]=1,IF(J$2=0,Tab.o1[[#This Row],[MED]],Tab.o1[[#This Row],[MOD]]),"")</f>
        <v/>
      </c>
      <c r="J673" s="116" t="str">
        <f>IF(Tab.o1[[#This Row],[a1]]=1,((Tab.o1[[#This Row],[DIF_Target.]]-AVERAGE(Tab.o1[DIF_Target.]))/_xlfn.STDEV.P(Tab.o1[DIF_Target.])),"")</f>
        <v/>
      </c>
      <c r="K673" s="117" t="str">
        <f>IF(Tab.o1[[#This Row],[a1]]=1,IF(J$2=0,Tab.o1[[#This Row],[MOD]]-Tab.o1[[#This Row],[B]],IF(J$2=1,0,-Tab.o1[[#This Row],[MED]])+Tab.o1[[#This Row],[B]]),"")</f>
        <v/>
      </c>
      <c r="L673" s="117" t="str">
        <f ca="1">IF(Tab.o1[[#This Row],[DIF_Target]]=0,IF(L$2=0,Tab.o1[[#This Row],[DIF_Target]],AVERAGE(OFFSET(Tab.o1[[#This Row],[DIF_Target]],1,0,L$3,1)))/3,Tab.o1[[#This Row],[DIF_Target]])</f>
        <v/>
      </c>
      <c r="M673" s="118" t="str">
        <f>IF(Tab.o1[[#This Row],[a1]]=1,NORMSDIST(Tab.o1[[#This Row],[Za]]),"")</f>
        <v/>
      </c>
      <c r="N673" s="119" t="str">
        <f>IF(Tab.o1[[#This Row],[a1]]=1,((Tab.o1[[#This Row],[MedMod]]-AVERAGE(Tab.o1[MedMod]))/_xlfn.STDEV.P(Tab.o1[MedMod])*H$1205)+G$1205,"")</f>
        <v/>
      </c>
      <c r="O673" s="141" t="str">
        <f>IF(Tab.o1[[#This Row],[a1]]=1,Tab.o1[[#This Row],[Zb]]*_xlfn.STDEV.P(Tab.o1[MedMod])+AVERAGE(Tab.o1[MedMod]),"")</f>
        <v/>
      </c>
      <c r="P673" s="117" t="str">
        <f ca="1">IF(Tab.o1[[#This Row],[B]]=0,AVERAGE(OFFSET(Tab.o1[[#This Row],[B]],1,0,L$3,1)),Tab.o1[[#This Row],[B]])</f>
        <v/>
      </c>
      <c r="Q673" s="121" t="str">
        <f>IF(Tab.o1[[#This Row],[a1]]=1,NORMSDIST(Tab.o1[[#This Row],[Zb]]),"")</f>
        <v/>
      </c>
      <c r="R673" s="122" t="str">
        <f>IF(Tab.o1[[#This Row],[a1]]=1,((Tab.o1[[#This Row],[MedMod]]-AVERAGE(Tab.o1[MedMod]))/_xlfn.STDEV.P(Tab.o1[MedMod])*H$1203)+G$1203,"")</f>
        <v/>
      </c>
      <c r="S673" s="122" t="str">
        <f>IF(Tab.o1[[#This Row],[a1]]=1,((Tab.o1[[#This Row],[MedMod]]-AVERAGE(Tab.o1[MedMod]))/_xlfn.STDEV.P(Tab.o1[MedMod])*H$1204)+G$1204,"")</f>
        <v/>
      </c>
      <c r="T673" s="123" t="str">
        <f>IF(Tab.o1[[#This Row],[a1]]=1,Tab.o1[[#This Row],[Z-]]*_xlfn.STDEV.P(Tab.o1[B])+AVERAGE(Tab.o1[B]),"")</f>
        <v/>
      </c>
      <c r="U673" s="123" t="str">
        <f>IF(Tab.o1[[#This Row],[a1]]=1,Tab.o1[[#This Row],[z+]]*_xlfn.STDEV.P(Tab.o1[B])+AVERAGE(Tab.o1[B]),"")</f>
        <v/>
      </c>
      <c r="V673" s="124" t="str">
        <f>IF(Tab.o1[[#This Row],[a1]]=1,ABS((ABS(Tab.o1[[#This Row],[Red]]-Tab.o1[[#This Row],[Blue]]))),"")</f>
        <v/>
      </c>
      <c r="W673" s="125" t="str">
        <f>IF(Tab.o1[[#This Row],[a1]]=1,IF(W$3=0,1,Tab.o1[[#This Row],[Amp.]]*1/_xlfn.MINIFS(Tab.o1[Amp.],Tab.o1[Amp.],"&lt;&gt;0")),"")</f>
        <v/>
      </c>
      <c r="X673" s="126" t="str">
        <f>IF(Tab.o1[[#This Row],[a1]]=1,IF(ISNUMBER(Tab.o1[[#This Row],[i.]]),NORMDIST(Tab.o1[[#This Row],[Za]],0,1,FALSE)*Tab.o1[[#This Row],[i.]],AP$3),"")</f>
        <v/>
      </c>
      <c r="Y673" s="126" t="str">
        <f>IF(Tab.o1[[#This Row],[a1]]=1,0.01+0.94*Tab.o1[[#This Row],[PDF]]/MAX(Tab.o1[PDF]),"")</f>
        <v/>
      </c>
      <c r="Z673" s="126" t="str">
        <f>IF(Tab.o1[[#This Row],[a1]]=1,0.01+0.94*Tab.o1[[#This Row],[W1_PDF]]/MAX(Tab.o1[W1_PDF]),"")</f>
        <v/>
      </c>
      <c r="AA673" s="118" t="str">
        <f>IF(Tab.o1[[#This Row],[a1]]=1,ABS([1]!T.in.A[[#This Row],[oo6]]),"")</f>
        <v/>
      </c>
      <c r="AB673" s="127" t="str">
        <f>IF(Tab.o1[[#This Row],[a1]]=1,IF(AE$3=0,"",IF(AB$3=0,ABS([1]!T.in.A[[#This Row],[oo9]]),ABS(Tab.o1[[#This Row],[DIF_Target.]]*Tab.o1[[#This Row],[W1_PDF]]))),"")</f>
        <v/>
      </c>
      <c r="AC673" s="127" t="str">
        <f>IF(G$1=1,"",IF(Tab.o1[[#This Row],[a1]]=1,Tab.o1[[#This Row],[Wr]]^2,""))</f>
        <v/>
      </c>
      <c r="AD673" s="118" t="str">
        <f>IF(Tab.o1[[#This Row],[a1]]=1,IF(AE$3=0,"",Tab.o1[[#This Row],[Wr2]]/SUM(Tab.o1[Wr2])),"")</f>
        <v/>
      </c>
      <c r="AE673" s="128" t="str">
        <f>IF(Tab.o1[[#This Row],[a1]]=1,[1]!T.in.A[[#This Row],[oo10]],"")</f>
        <v/>
      </c>
      <c r="AF673" s="118" t="str">
        <f>IF(Tab.o1[[#This Row],[a1]]=1,ABS(Tab.o1[[#This Row],[DIF_Target.]]*Tab.o1[[#This Row],[PDF2]]*Tab.o1[[#This Row],[IN]]),"")</f>
        <v/>
      </c>
      <c r="AG673" s="129" t="str">
        <f>IF(Tab.o1[[#This Row],[a1]]=1,Tab.o1[[#This Row],[rW]]^2,"")</f>
        <v/>
      </c>
      <c r="AH673" s="130" t="str">
        <f>IF(Tab.o1[[#This Row],[a1]]=1,IF(AH$3=0,Tab.o1[[#This Row],[rW2]],0.01+0.94*Tab.o1[[#This Row],[rW2]]/SUM(Tab.o1[rW2])),"")</f>
        <v/>
      </c>
      <c r="AI673" s="128" t="str">
        <f>IF(Tab.o1[[#This Row],[a1]]=1,1/Tab.o1[[#This Row],[PDF]],"")</f>
        <v/>
      </c>
      <c r="AJ673" s="131" t="str">
        <f>IF(Tab.o1[[#This Row],[a1]]=1,[1]!T_AA[[#This Row],[IN'']]*[1]!T_AA[[#This Row],[Qde'']],"")</f>
        <v/>
      </c>
      <c r="AK673" s="132" t="str">
        <f>IF(Tab.o1[[#This Row],[a1]]=1,IF(AK$1=1,Tab.o1[[#This Row],[MED]]+Tab.o1[[#This Row],[MOD]]-Tab.o1[[#This Row],[MED]],""),"")</f>
        <v/>
      </c>
      <c r="AL673" s="133" t="str">
        <f>IF(Tab.o1[[#This Row],[a1]]=1,[1]!T.in.A[[#This Row],[oo16]],"")</f>
        <v/>
      </c>
      <c r="AM673" s="133" t="str">
        <f>IF(Tab.o1[[#This Row],[a1]]=1,IF(AM$3=1,[1]!T.in.A[[#This Row],[Σo16]],""),"")</f>
        <v/>
      </c>
      <c r="AN673" s="126" t="str">
        <f>IF(Tab.o1[[#This Row],[a1]]=1,[1]!T.in.A[[#This Row],[Σp5]],"")</f>
        <v/>
      </c>
      <c r="AO673" s="126" t="str">
        <f>IF(Tab.o1[[#This Row],[a1]]=1,IF(AO$3=1,[1]!T.in.A[[#This Row],[Σp5]],""),"")</f>
        <v/>
      </c>
      <c r="AP673" s="110" t="str">
        <f>IF(Tab.o1[[#This Row],[a1]]=1,IF(ISNUMBER(Tab.o1[[#This Row],[i.]]),NORMDIST(Tab.o1[[#This Row],[Za]],0,1,FALSE)*Tab.o1[[#This Row],[i.]],0),"")</f>
        <v/>
      </c>
      <c r="AQ673" s="125" t="str">
        <f>IF(Tab.o1[[#This Row],[a1]]=1,ABS(Tab.o1[[#This Row],[MOD]]-AVERAGE(Tab.o1[MOD])),"")</f>
        <v/>
      </c>
      <c r="AR673" s="134" t="str">
        <f>IF(Tab.o1[[#This Row],[a1]]=1,Tab.o1[[#This Row],[OBS]]/SUM(Tab.o1[OBS]),"")</f>
        <v/>
      </c>
      <c r="AS673" s="135" t="str">
        <f>IF(ISNUMBER(Tab.o1[[#This Row],[a1]]),ROW()-4,"")</f>
        <v/>
      </c>
      <c r="AT673" s="136" t="str">
        <f>Tab.o1[[#This Row],[MOD]]</f>
        <v/>
      </c>
      <c r="AU673" s="137" t="str">
        <f t="shared" si="41"/>
        <v/>
      </c>
      <c r="AV673" s="138" t="str">
        <f t="shared" si="42"/>
        <v/>
      </c>
      <c r="AW673" s="138" t="str">
        <f t="shared" si="43"/>
        <v/>
      </c>
      <c r="AX673" s="139" t="str">
        <f>[1]!T.in.A[[#This Row],[ID_T_manu]]</f>
        <v/>
      </c>
      <c r="AY673" s="140" t="str">
        <f>IF(ISNUMBER(Tab.o1[[#This Row],[a1]]),IF(AND(Tab.o1[[#This Row],[a1]]=1,Tab.o1[[#This Row],[b1]]&lt;=AY$4),#REF!,AY672),"")</f>
        <v/>
      </c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</row>
    <row r="674" spans="1:79" s="143" customFormat="1" ht="15.75" hidden="1">
      <c r="A674" s="109">
        <v>5.9999999999999993E-6</v>
      </c>
      <c r="B674" s="110">
        <f t="shared" si="40"/>
        <v>674</v>
      </c>
      <c r="C674" s="111" t="str">
        <f>IF(C$1=[1]!T.in.A[[#This Row],[oo2]],1,"")</f>
        <v/>
      </c>
      <c r="D674" s="112" t="str">
        <f>IF(Tab.o1[[#This Row],[a1]]=1,IF(SUM(C674:C675)=0,0,IF(SUM(C673:C674)=1,1,IF(SUM(C673:C675)&gt;1,D673+1,0))),"")</f>
        <v/>
      </c>
      <c r="E674" s="113" t="str">
        <f>IF(Tab.o1[[#This Row],[a1]]=1,[1]!T.in.A[[#This Row],[oo1]],"")</f>
        <v/>
      </c>
      <c r="F674" s="113" t="str">
        <f>IF(Tab.o1[[#This Row],[a1]]=1,[1]!T.in.A[[#This Row],[pp1]],"")</f>
        <v/>
      </c>
      <c r="G674" s="114" t="str">
        <f>IF(Tab.o1[[#This Row],[a1]]=1,G$2+IF(G$1=1,0,Tab.o1[[#This Row],[.x1]])+[1]!T.in.A[[#This Row],[oo3]],"")</f>
        <v/>
      </c>
      <c r="H674" s="115" t="str">
        <f>IF(Tab.o1[[#This Row],[a1]]=1,IF(H$2=0,0,IF(G$1=1,0,Tab.o1[[#This Row],[.x1]])+[1]!T.in.A[[#This Row],[oo4]]),"")</f>
        <v/>
      </c>
      <c r="I674" s="116" t="str">
        <f>IF(Tab.o1[[#This Row],[a1]]=1,IF(J$2=0,Tab.o1[[#This Row],[MED]],Tab.o1[[#This Row],[MOD]]),"")</f>
        <v/>
      </c>
      <c r="J674" s="116" t="str">
        <f>IF(Tab.o1[[#This Row],[a1]]=1,((Tab.o1[[#This Row],[DIF_Target.]]-AVERAGE(Tab.o1[DIF_Target.]))/_xlfn.STDEV.P(Tab.o1[DIF_Target.])),"")</f>
        <v/>
      </c>
      <c r="K674" s="117" t="str">
        <f>IF(Tab.o1[[#This Row],[a1]]=1,IF(J$2=0,Tab.o1[[#This Row],[MOD]]-Tab.o1[[#This Row],[B]],IF(J$2=1,0,-Tab.o1[[#This Row],[MED]])+Tab.o1[[#This Row],[B]]),"")</f>
        <v/>
      </c>
      <c r="L674" s="117" t="str">
        <f ca="1">IF(Tab.o1[[#This Row],[DIF_Target]]=0,IF(L$2=0,Tab.o1[[#This Row],[DIF_Target]],AVERAGE(OFFSET(Tab.o1[[#This Row],[DIF_Target]],1,0,L$3,1)))/3,Tab.o1[[#This Row],[DIF_Target]])</f>
        <v/>
      </c>
      <c r="M674" s="118" t="str">
        <f>IF(Tab.o1[[#This Row],[a1]]=1,NORMSDIST(Tab.o1[[#This Row],[Za]]),"")</f>
        <v/>
      </c>
      <c r="N674" s="119" t="str">
        <f>IF(Tab.o1[[#This Row],[a1]]=1,((Tab.o1[[#This Row],[MedMod]]-AVERAGE(Tab.o1[MedMod]))/_xlfn.STDEV.P(Tab.o1[MedMod])*H$1205)+G$1205,"")</f>
        <v/>
      </c>
      <c r="O674" s="141" t="str">
        <f>IF(Tab.o1[[#This Row],[a1]]=1,Tab.o1[[#This Row],[Zb]]*_xlfn.STDEV.P(Tab.o1[MedMod])+AVERAGE(Tab.o1[MedMod]),"")</f>
        <v/>
      </c>
      <c r="P674" s="117" t="str">
        <f ca="1">IF(Tab.o1[[#This Row],[B]]=0,AVERAGE(OFFSET(Tab.o1[[#This Row],[B]],1,0,L$3,1)),Tab.o1[[#This Row],[B]])</f>
        <v/>
      </c>
      <c r="Q674" s="121" t="str">
        <f>IF(Tab.o1[[#This Row],[a1]]=1,NORMSDIST(Tab.o1[[#This Row],[Zb]]),"")</f>
        <v/>
      </c>
      <c r="R674" s="122" t="str">
        <f>IF(Tab.o1[[#This Row],[a1]]=1,((Tab.o1[[#This Row],[MedMod]]-AVERAGE(Tab.o1[MedMod]))/_xlfn.STDEV.P(Tab.o1[MedMod])*H$1203)+G$1203,"")</f>
        <v/>
      </c>
      <c r="S674" s="122" t="str">
        <f>IF(Tab.o1[[#This Row],[a1]]=1,((Tab.o1[[#This Row],[MedMod]]-AVERAGE(Tab.o1[MedMod]))/_xlfn.STDEV.P(Tab.o1[MedMod])*H$1204)+G$1204,"")</f>
        <v/>
      </c>
      <c r="T674" s="123" t="str">
        <f>IF(Tab.o1[[#This Row],[a1]]=1,Tab.o1[[#This Row],[Z-]]*_xlfn.STDEV.P(Tab.o1[B])+AVERAGE(Tab.o1[B]),"")</f>
        <v/>
      </c>
      <c r="U674" s="123" t="str">
        <f>IF(Tab.o1[[#This Row],[a1]]=1,Tab.o1[[#This Row],[z+]]*_xlfn.STDEV.P(Tab.o1[B])+AVERAGE(Tab.o1[B]),"")</f>
        <v/>
      </c>
      <c r="V674" s="124" t="str">
        <f>IF(Tab.o1[[#This Row],[a1]]=1,ABS((ABS(Tab.o1[[#This Row],[Red]]-Tab.o1[[#This Row],[Blue]]))),"")</f>
        <v/>
      </c>
      <c r="W674" s="125" t="str">
        <f>IF(Tab.o1[[#This Row],[a1]]=1,IF(W$3=0,1,Tab.o1[[#This Row],[Amp.]]*1/_xlfn.MINIFS(Tab.o1[Amp.],Tab.o1[Amp.],"&lt;&gt;0")),"")</f>
        <v/>
      </c>
      <c r="X674" s="126" t="str">
        <f>IF(Tab.o1[[#This Row],[a1]]=1,IF(ISNUMBER(Tab.o1[[#This Row],[i.]]),NORMDIST(Tab.o1[[#This Row],[Za]],0,1,FALSE)*Tab.o1[[#This Row],[i.]],AP$3),"")</f>
        <v/>
      </c>
      <c r="Y674" s="126" t="str">
        <f>IF(Tab.o1[[#This Row],[a1]]=1,0.01+0.94*Tab.o1[[#This Row],[PDF]]/MAX(Tab.o1[PDF]),"")</f>
        <v/>
      </c>
      <c r="Z674" s="126" t="str">
        <f>IF(Tab.o1[[#This Row],[a1]]=1,0.01+0.94*Tab.o1[[#This Row],[W1_PDF]]/MAX(Tab.o1[W1_PDF]),"")</f>
        <v/>
      </c>
      <c r="AA674" s="118" t="str">
        <f>IF(Tab.o1[[#This Row],[a1]]=1,ABS([1]!T.in.A[[#This Row],[oo6]]),"")</f>
        <v/>
      </c>
      <c r="AB674" s="127" t="str">
        <f>IF(Tab.o1[[#This Row],[a1]]=1,IF(AE$3=0,"",IF(AB$3=0,ABS([1]!T.in.A[[#This Row],[oo9]]),ABS(Tab.o1[[#This Row],[DIF_Target.]]*Tab.o1[[#This Row],[W1_PDF]]))),"")</f>
        <v/>
      </c>
      <c r="AC674" s="127" t="str">
        <f>IF(G$1=1,"",IF(Tab.o1[[#This Row],[a1]]=1,Tab.o1[[#This Row],[Wr]]^2,""))</f>
        <v/>
      </c>
      <c r="AD674" s="118" t="str">
        <f>IF(Tab.o1[[#This Row],[a1]]=1,IF(AE$3=0,"",Tab.o1[[#This Row],[Wr2]]/SUM(Tab.o1[Wr2])),"")</f>
        <v/>
      </c>
      <c r="AE674" s="128" t="str">
        <f>IF(Tab.o1[[#This Row],[a1]]=1,[1]!T.in.A[[#This Row],[oo10]],"")</f>
        <v/>
      </c>
      <c r="AF674" s="118" t="str">
        <f>IF(Tab.o1[[#This Row],[a1]]=1,ABS(Tab.o1[[#This Row],[DIF_Target.]]*Tab.o1[[#This Row],[PDF2]]*Tab.o1[[#This Row],[IN]]),"")</f>
        <v/>
      </c>
      <c r="AG674" s="129" t="str">
        <f>IF(Tab.o1[[#This Row],[a1]]=1,Tab.o1[[#This Row],[rW]]^2,"")</f>
        <v/>
      </c>
      <c r="AH674" s="130" t="str">
        <f>IF(Tab.o1[[#This Row],[a1]]=1,IF(AH$3=0,Tab.o1[[#This Row],[rW2]],0.01+0.94*Tab.o1[[#This Row],[rW2]]/SUM(Tab.o1[rW2])),"")</f>
        <v/>
      </c>
      <c r="AI674" s="128" t="str">
        <f>IF(Tab.o1[[#This Row],[a1]]=1,1/Tab.o1[[#This Row],[PDF]],"")</f>
        <v/>
      </c>
      <c r="AJ674" s="131" t="str">
        <f>IF(Tab.o1[[#This Row],[a1]]=1,[1]!T_AA[[#This Row],[IN'']]*[1]!T_AA[[#This Row],[Qde'']],"")</f>
        <v/>
      </c>
      <c r="AK674" s="132" t="str">
        <f>IF(Tab.o1[[#This Row],[a1]]=1,IF(AK$1=1,Tab.o1[[#This Row],[MED]]+Tab.o1[[#This Row],[MOD]]-Tab.o1[[#This Row],[MED]],""),"")</f>
        <v/>
      </c>
      <c r="AL674" s="133" t="str">
        <f>IF(Tab.o1[[#This Row],[a1]]=1,[1]!T.in.A[[#This Row],[oo16]],"")</f>
        <v/>
      </c>
      <c r="AM674" s="133" t="str">
        <f>IF(Tab.o1[[#This Row],[a1]]=1,IF(AM$3=1,[1]!T.in.A[[#This Row],[Σo16]],""),"")</f>
        <v/>
      </c>
      <c r="AN674" s="126" t="str">
        <f>IF(Tab.o1[[#This Row],[a1]]=1,[1]!T.in.A[[#This Row],[Σp5]],"")</f>
        <v/>
      </c>
      <c r="AO674" s="126" t="str">
        <f>IF(Tab.o1[[#This Row],[a1]]=1,IF(AO$3=1,[1]!T.in.A[[#This Row],[Σp5]],""),"")</f>
        <v/>
      </c>
      <c r="AP674" s="110" t="str">
        <f>IF(Tab.o1[[#This Row],[a1]]=1,IF(ISNUMBER(Tab.o1[[#This Row],[i.]]),NORMDIST(Tab.o1[[#This Row],[Za]],0,1,FALSE)*Tab.o1[[#This Row],[i.]],0),"")</f>
        <v/>
      </c>
      <c r="AQ674" s="125" t="str">
        <f>IF(Tab.o1[[#This Row],[a1]]=1,ABS(Tab.o1[[#This Row],[MOD]]-AVERAGE(Tab.o1[MOD])),"")</f>
        <v/>
      </c>
      <c r="AR674" s="134" t="str">
        <f>IF(Tab.o1[[#This Row],[a1]]=1,Tab.o1[[#This Row],[OBS]]/SUM(Tab.o1[OBS]),"")</f>
        <v/>
      </c>
      <c r="AS674" s="135" t="str">
        <f>IF(ISNUMBER(Tab.o1[[#This Row],[a1]]),ROW()-4,"")</f>
        <v/>
      </c>
      <c r="AT674" s="136" t="str">
        <f>Tab.o1[[#This Row],[MOD]]</f>
        <v/>
      </c>
      <c r="AU674" s="137" t="str">
        <f t="shared" si="41"/>
        <v/>
      </c>
      <c r="AV674" s="138" t="str">
        <f t="shared" si="42"/>
        <v/>
      </c>
      <c r="AW674" s="138" t="str">
        <f t="shared" si="43"/>
        <v/>
      </c>
      <c r="AX674" s="139" t="str">
        <f>[1]!T.in.A[[#This Row],[ID_T_manu]]</f>
        <v/>
      </c>
      <c r="AY674" s="140" t="str">
        <f>IF(ISNUMBER(Tab.o1[[#This Row],[a1]]),IF(AND(Tab.o1[[#This Row],[a1]]=1,Tab.o1[[#This Row],[b1]]&lt;=AY$4),#REF!,AY673),"")</f>
        <v/>
      </c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</row>
    <row r="675" spans="1:79" s="143" customFormat="1" ht="15.75" hidden="1">
      <c r="A675" s="109">
        <v>-1.0000000000000001E-5</v>
      </c>
      <c r="B675" s="110">
        <f t="shared" si="40"/>
        <v>675</v>
      </c>
      <c r="C675" s="111" t="str">
        <f>IF(C$1=[1]!T.in.A[[#This Row],[oo2]],1,"")</f>
        <v/>
      </c>
      <c r="D675" s="112" t="str">
        <f>IF(Tab.o1[[#This Row],[a1]]=1,IF(SUM(C675:C676)=0,0,IF(SUM(C674:C675)=1,1,IF(SUM(C674:C676)&gt;1,D674+1,0))),"")</f>
        <v/>
      </c>
      <c r="E675" s="113" t="str">
        <f>IF(Tab.o1[[#This Row],[a1]]=1,[1]!T.in.A[[#This Row],[oo1]],"")</f>
        <v/>
      </c>
      <c r="F675" s="113" t="str">
        <f>IF(Tab.o1[[#This Row],[a1]]=1,[1]!T.in.A[[#This Row],[pp1]],"")</f>
        <v/>
      </c>
      <c r="G675" s="114" t="str">
        <f>IF(Tab.o1[[#This Row],[a1]]=1,G$2+IF(G$1=1,0,Tab.o1[[#This Row],[.x1]])+[1]!T.in.A[[#This Row],[oo3]],"")</f>
        <v/>
      </c>
      <c r="H675" s="115" t="str">
        <f>IF(Tab.o1[[#This Row],[a1]]=1,IF(H$2=0,0,IF(G$1=1,0,Tab.o1[[#This Row],[.x1]])+[1]!T.in.A[[#This Row],[oo4]]),"")</f>
        <v/>
      </c>
      <c r="I675" s="116" t="str">
        <f>IF(Tab.o1[[#This Row],[a1]]=1,IF(J$2=0,Tab.o1[[#This Row],[MED]],Tab.o1[[#This Row],[MOD]]),"")</f>
        <v/>
      </c>
      <c r="J675" s="116" t="str">
        <f>IF(Tab.o1[[#This Row],[a1]]=1,((Tab.o1[[#This Row],[DIF_Target.]]-AVERAGE(Tab.o1[DIF_Target.]))/_xlfn.STDEV.P(Tab.o1[DIF_Target.])),"")</f>
        <v/>
      </c>
      <c r="K675" s="117" t="str">
        <f>IF(Tab.o1[[#This Row],[a1]]=1,IF(J$2=0,Tab.o1[[#This Row],[MOD]]-Tab.o1[[#This Row],[B]],IF(J$2=1,0,-Tab.o1[[#This Row],[MED]])+Tab.o1[[#This Row],[B]]),"")</f>
        <v/>
      </c>
      <c r="L675" s="117" t="str">
        <f ca="1">IF(Tab.o1[[#This Row],[DIF_Target]]=0,IF(L$2=0,Tab.o1[[#This Row],[DIF_Target]],AVERAGE(OFFSET(Tab.o1[[#This Row],[DIF_Target]],1,0,L$3,1)))/3,Tab.o1[[#This Row],[DIF_Target]])</f>
        <v/>
      </c>
      <c r="M675" s="118" t="str">
        <f>IF(Tab.o1[[#This Row],[a1]]=1,NORMSDIST(Tab.o1[[#This Row],[Za]]),"")</f>
        <v/>
      </c>
      <c r="N675" s="119" t="str">
        <f>IF(Tab.o1[[#This Row],[a1]]=1,((Tab.o1[[#This Row],[MedMod]]-AVERAGE(Tab.o1[MedMod]))/_xlfn.STDEV.P(Tab.o1[MedMod])*H$1205)+G$1205,"")</f>
        <v/>
      </c>
      <c r="O675" s="141" t="str">
        <f>IF(Tab.o1[[#This Row],[a1]]=1,Tab.o1[[#This Row],[Zb]]*_xlfn.STDEV.P(Tab.o1[MedMod])+AVERAGE(Tab.o1[MedMod]),"")</f>
        <v/>
      </c>
      <c r="P675" s="117" t="str">
        <f ca="1">IF(Tab.o1[[#This Row],[B]]=0,AVERAGE(OFFSET(Tab.o1[[#This Row],[B]],1,0,L$3,1)),Tab.o1[[#This Row],[B]])</f>
        <v/>
      </c>
      <c r="Q675" s="121" t="str">
        <f>IF(Tab.o1[[#This Row],[a1]]=1,NORMSDIST(Tab.o1[[#This Row],[Zb]]),"")</f>
        <v/>
      </c>
      <c r="R675" s="122" t="str">
        <f>IF(Tab.o1[[#This Row],[a1]]=1,((Tab.o1[[#This Row],[MedMod]]-AVERAGE(Tab.o1[MedMod]))/_xlfn.STDEV.P(Tab.o1[MedMod])*H$1203)+G$1203,"")</f>
        <v/>
      </c>
      <c r="S675" s="122" t="str">
        <f>IF(Tab.o1[[#This Row],[a1]]=1,((Tab.o1[[#This Row],[MedMod]]-AVERAGE(Tab.o1[MedMod]))/_xlfn.STDEV.P(Tab.o1[MedMod])*H$1204)+G$1204,"")</f>
        <v/>
      </c>
      <c r="T675" s="123" t="str">
        <f>IF(Tab.o1[[#This Row],[a1]]=1,Tab.o1[[#This Row],[Z-]]*_xlfn.STDEV.P(Tab.o1[B])+AVERAGE(Tab.o1[B]),"")</f>
        <v/>
      </c>
      <c r="U675" s="123" t="str">
        <f>IF(Tab.o1[[#This Row],[a1]]=1,Tab.o1[[#This Row],[z+]]*_xlfn.STDEV.P(Tab.o1[B])+AVERAGE(Tab.o1[B]),"")</f>
        <v/>
      </c>
      <c r="V675" s="124" t="str">
        <f>IF(Tab.o1[[#This Row],[a1]]=1,ABS((ABS(Tab.o1[[#This Row],[Red]]-Tab.o1[[#This Row],[Blue]]))),"")</f>
        <v/>
      </c>
      <c r="W675" s="125" t="str">
        <f>IF(Tab.o1[[#This Row],[a1]]=1,IF(W$3=0,1,Tab.o1[[#This Row],[Amp.]]*1/_xlfn.MINIFS(Tab.o1[Amp.],Tab.o1[Amp.],"&lt;&gt;0")),"")</f>
        <v/>
      </c>
      <c r="X675" s="126" t="str">
        <f>IF(Tab.o1[[#This Row],[a1]]=1,IF(ISNUMBER(Tab.o1[[#This Row],[i.]]),NORMDIST(Tab.o1[[#This Row],[Za]],0,1,FALSE)*Tab.o1[[#This Row],[i.]],AP$3),"")</f>
        <v/>
      </c>
      <c r="Y675" s="126" t="str">
        <f>IF(Tab.o1[[#This Row],[a1]]=1,0.01+0.94*Tab.o1[[#This Row],[PDF]]/MAX(Tab.o1[PDF]),"")</f>
        <v/>
      </c>
      <c r="Z675" s="126" t="str">
        <f>IF(Tab.o1[[#This Row],[a1]]=1,0.01+0.94*Tab.o1[[#This Row],[W1_PDF]]/MAX(Tab.o1[W1_PDF]),"")</f>
        <v/>
      </c>
      <c r="AA675" s="118" t="str">
        <f>IF(Tab.o1[[#This Row],[a1]]=1,ABS([1]!T.in.A[[#This Row],[oo6]]),"")</f>
        <v/>
      </c>
      <c r="AB675" s="127" t="str">
        <f>IF(Tab.o1[[#This Row],[a1]]=1,IF(AE$3=0,"",IF(AB$3=0,ABS([1]!T.in.A[[#This Row],[oo9]]),ABS(Tab.o1[[#This Row],[DIF_Target.]]*Tab.o1[[#This Row],[W1_PDF]]))),"")</f>
        <v/>
      </c>
      <c r="AC675" s="127" t="str">
        <f>IF(G$1=1,"",IF(Tab.o1[[#This Row],[a1]]=1,Tab.o1[[#This Row],[Wr]]^2,""))</f>
        <v/>
      </c>
      <c r="AD675" s="118" t="str">
        <f>IF(Tab.o1[[#This Row],[a1]]=1,IF(AE$3=0,"",Tab.o1[[#This Row],[Wr2]]/SUM(Tab.o1[Wr2])),"")</f>
        <v/>
      </c>
      <c r="AE675" s="128" t="str">
        <f>IF(Tab.o1[[#This Row],[a1]]=1,[1]!T.in.A[[#This Row],[oo10]],"")</f>
        <v/>
      </c>
      <c r="AF675" s="118" t="str">
        <f>IF(Tab.o1[[#This Row],[a1]]=1,ABS(Tab.o1[[#This Row],[DIF_Target.]]*Tab.o1[[#This Row],[PDF2]]*Tab.o1[[#This Row],[IN]]),"")</f>
        <v/>
      </c>
      <c r="AG675" s="129" t="str">
        <f>IF(Tab.o1[[#This Row],[a1]]=1,Tab.o1[[#This Row],[rW]]^2,"")</f>
        <v/>
      </c>
      <c r="AH675" s="130" t="str">
        <f>IF(Tab.o1[[#This Row],[a1]]=1,IF(AH$3=0,Tab.o1[[#This Row],[rW2]],0.01+0.94*Tab.o1[[#This Row],[rW2]]/SUM(Tab.o1[rW2])),"")</f>
        <v/>
      </c>
      <c r="AI675" s="128" t="str">
        <f>IF(Tab.o1[[#This Row],[a1]]=1,1/Tab.o1[[#This Row],[PDF]],"")</f>
        <v/>
      </c>
      <c r="AJ675" s="131" t="str">
        <f>IF(Tab.o1[[#This Row],[a1]]=1,[1]!T_AA[[#This Row],[IN'']]*[1]!T_AA[[#This Row],[Qde'']],"")</f>
        <v/>
      </c>
      <c r="AK675" s="132" t="str">
        <f>IF(Tab.o1[[#This Row],[a1]]=1,IF(AK$1=1,Tab.o1[[#This Row],[MED]]+Tab.o1[[#This Row],[MOD]]-Tab.o1[[#This Row],[MED]],""),"")</f>
        <v/>
      </c>
      <c r="AL675" s="133" t="str">
        <f>IF(Tab.o1[[#This Row],[a1]]=1,[1]!T.in.A[[#This Row],[oo16]],"")</f>
        <v/>
      </c>
      <c r="AM675" s="133" t="str">
        <f>IF(Tab.o1[[#This Row],[a1]]=1,IF(AM$3=1,[1]!T.in.A[[#This Row],[Σo16]],""),"")</f>
        <v/>
      </c>
      <c r="AN675" s="126" t="str">
        <f>IF(Tab.o1[[#This Row],[a1]]=1,[1]!T.in.A[[#This Row],[Σp5]],"")</f>
        <v/>
      </c>
      <c r="AO675" s="126" t="str">
        <f>IF(Tab.o1[[#This Row],[a1]]=1,IF(AO$3=1,[1]!T.in.A[[#This Row],[Σp5]],""),"")</f>
        <v/>
      </c>
      <c r="AP675" s="110" t="str">
        <f>IF(Tab.o1[[#This Row],[a1]]=1,IF(ISNUMBER(Tab.o1[[#This Row],[i.]]),NORMDIST(Tab.o1[[#This Row],[Za]],0,1,FALSE)*Tab.o1[[#This Row],[i.]],0),"")</f>
        <v/>
      </c>
      <c r="AQ675" s="125" t="str">
        <f>IF(Tab.o1[[#This Row],[a1]]=1,ABS(Tab.o1[[#This Row],[MOD]]-AVERAGE(Tab.o1[MOD])),"")</f>
        <v/>
      </c>
      <c r="AR675" s="134" t="str">
        <f>IF(Tab.o1[[#This Row],[a1]]=1,Tab.o1[[#This Row],[OBS]]/SUM(Tab.o1[OBS]),"")</f>
        <v/>
      </c>
      <c r="AS675" s="135" t="str">
        <f>IF(ISNUMBER(Tab.o1[[#This Row],[a1]]),ROW()-4,"")</f>
        <v/>
      </c>
      <c r="AT675" s="136" t="str">
        <f>Tab.o1[[#This Row],[MOD]]</f>
        <v/>
      </c>
      <c r="AU675" s="137" t="str">
        <f t="shared" si="41"/>
        <v/>
      </c>
      <c r="AV675" s="138" t="str">
        <f t="shared" si="42"/>
        <v/>
      </c>
      <c r="AW675" s="138" t="str">
        <f t="shared" si="43"/>
        <v/>
      </c>
      <c r="AX675" s="139" t="str">
        <f>[1]!T.in.A[[#This Row],[ID_T_manu]]</f>
        <v/>
      </c>
      <c r="AY675" s="140" t="str">
        <f>IF(ISNUMBER(Tab.o1[[#This Row],[a1]]),IF(AND(Tab.o1[[#This Row],[a1]]=1,Tab.o1[[#This Row],[b1]]&lt;=AY$4),#REF!,AY674),"")</f>
        <v/>
      </c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</row>
    <row r="676" spans="1:79" s="143" customFormat="1" ht="15.75" hidden="1">
      <c r="A676" s="109">
        <v>-4.0000000000000007E-6</v>
      </c>
      <c r="B676" s="110">
        <f t="shared" si="40"/>
        <v>676</v>
      </c>
      <c r="C676" s="111" t="str">
        <f>IF(C$1=[1]!T.in.A[[#This Row],[oo2]],1,"")</f>
        <v/>
      </c>
      <c r="D676" s="112" t="str">
        <f>IF(Tab.o1[[#This Row],[a1]]=1,IF(SUM(C676:C677)=0,0,IF(SUM(C675:C676)=1,1,IF(SUM(C675:C677)&gt;1,D675+1,0))),"")</f>
        <v/>
      </c>
      <c r="E676" s="113" t="str">
        <f>IF(Tab.o1[[#This Row],[a1]]=1,[1]!T.in.A[[#This Row],[oo1]],"")</f>
        <v/>
      </c>
      <c r="F676" s="113" t="str">
        <f>IF(Tab.o1[[#This Row],[a1]]=1,[1]!T.in.A[[#This Row],[pp1]],"")</f>
        <v/>
      </c>
      <c r="G676" s="114" t="str">
        <f>IF(Tab.o1[[#This Row],[a1]]=1,G$2+IF(G$1=1,0,Tab.o1[[#This Row],[.x1]])+[1]!T.in.A[[#This Row],[oo3]],"")</f>
        <v/>
      </c>
      <c r="H676" s="115" t="str">
        <f>IF(Tab.o1[[#This Row],[a1]]=1,IF(H$2=0,0,IF(G$1=1,0,Tab.o1[[#This Row],[.x1]])+[1]!T.in.A[[#This Row],[oo4]]),"")</f>
        <v/>
      </c>
      <c r="I676" s="116" t="str">
        <f>IF(Tab.o1[[#This Row],[a1]]=1,IF(J$2=0,Tab.o1[[#This Row],[MED]],Tab.o1[[#This Row],[MOD]]),"")</f>
        <v/>
      </c>
      <c r="J676" s="116" t="str">
        <f>IF(Tab.o1[[#This Row],[a1]]=1,((Tab.o1[[#This Row],[DIF_Target.]]-AVERAGE(Tab.o1[DIF_Target.]))/_xlfn.STDEV.P(Tab.o1[DIF_Target.])),"")</f>
        <v/>
      </c>
      <c r="K676" s="117" t="str">
        <f>IF(Tab.o1[[#This Row],[a1]]=1,IF(J$2=0,Tab.o1[[#This Row],[MOD]]-Tab.o1[[#This Row],[B]],IF(J$2=1,0,-Tab.o1[[#This Row],[MED]])+Tab.o1[[#This Row],[B]]),"")</f>
        <v/>
      </c>
      <c r="L676" s="117" t="str">
        <f ca="1">IF(Tab.o1[[#This Row],[DIF_Target]]=0,IF(L$2=0,Tab.o1[[#This Row],[DIF_Target]],AVERAGE(OFFSET(Tab.o1[[#This Row],[DIF_Target]],1,0,L$3,1)))/3,Tab.o1[[#This Row],[DIF_Target]])</f>
        <v/>
      </c>
      <c r="M676" s="118" t="str">
        <f>IF(Tab.o1[[#This Row],[a1]]=1,NORMSDIST(Tab.o1[[#This Row],[Za]]),"")</f>
        <v/>
      </c>
      <c r="N676" s="119" t="str">
        <f>IF(Tab.o1[[#This Row],[a1]]=1,((Tab.o1[[#This Row],[MedMod]]-AVERAGE(Tab.o1[MedMod]))/_xlfn.STDEV.P(Tab.o1[MedMod])*H$1205)+G$1205,"")</f>
        <v/>
      </c>
      <c r="O676" s="141" t="str">
        <f>IF(Tab.o1[[#This Row],[a1]]=1,Tab.o1[[#This Row],[Zb]]*_xlfn.STDEV.P(Tab.o1[MedMod])+AVERAGE(Tab.o1[MedMod]),"")</f>
        <v/>
      </c>
      <c r="P676" s="117" t="str">
        <f ca="1">IF(Tab.o1[[#This Row],[B]]=0,AVERAGE(OFFSET(Tab.o1[[#This Row],[B]],1,0,L$3,1)),Tab.o1[[#This Row],[B]])</f>
        <v/>
      </c>
      <c r="Q676" s="121" t="str">
        <f>IF(Tab.o1[[#This Row],[a1]]=1,NORMSDIST(Tab.o1[[#This Row],[Zb]]),"")</f>
        <v/>
      </c>
      <c r="R676" s="122" t="str">
        <f>IF(Tab.o1[[#This Row],[a1]]=1,((Tab.o1[[#This Row],[MedMod]]-AVERAGE(Tab.o1[MedMod]))/_xlfn.STDEV.P(Tab.o1[MedMod])*H$1203)+G$1203,"")</f>
        <v/>
      </c>
      <c r="S676" s="122" t="str">
        <f>IF(Tab.o1[[#This Row],[a1]]=1,((Tab.o1[[#This Row],[MedMod]]-AVERAGE(Tab.o1[MedMod]))/_xlfn.STDEV.P(Tab.o1[MedMod])*H$1204)+G$1204,"")</f>
        <v/>
      </c>
      <c r="T676" s="123" t="str">
        <f>IF(Tab.o1[[#This Row],[a1]]=1,Tab.o1[[#This Row],[Z-]]*_xlfn.STDEV.P(Tab.o1[B])+AVERAGE(Tab.o1[B]),"")</f>
        <v/>
      </c>
      <c r="U676" s="123" t="str">
        <f>IF(Tab.o1[[#This Row],[a1]]=1,Tab.o1[[#This Row],[z+]]*_xlfn.STDEV.P(Tab.o1[B])+AVERAGE(Tab.o1[B]),"")</f>
        <v/>
      </c>
      <c r="V676" s="124" t="str">
        <f>IF(Tab.o1[[#This Row],[a1]]=1,ABS((ABS(Tab.o1[[#This Row],[Red]]-Tab.o1[[#This Row],[Blue]]))),"")</f>
        <v/>
      </c>
      <c r="W676" s="125" t="str">
        <f>IF(Tab.o1[[#This Row],[a1]]=1,IF(W$3=0,1,Tab.o1[[#This Row],[Amp.]]*1/_xlfn.MINIFS(Tab.o1[Amp.],Tab.o1[Amp.],"&lt;&gt;0")),"")</f>
        <v/>
      </c>
      <c r="X676" s="126" t="str">
        <f>IF(Tab.o1[[#This Row],[a1]]=1,IF(ISNUMBER(Tab.o1[[#This Row],[i.]]),NORMDIST(Tab.o1[[#This Row],[Za]],0,1,FALSE)*Tab.o1[[#This Row],[i.]],AP$3),"")</f>
        <v/>
      </c>
      <c r="Y676" s="126" t="str">
        <f>IF(Tab.o1[[#This Row],[a1]]=1,0.01+0.94*Tab.o1[[#This Row],[PDF]]/MAX(Tab.o1[PDF]),"")</f>
        <v/>
      </c>
      <c r="Z676" s="126" t="str">
        <f>IF(Tab.o1[[#This Row],[a1]]=1,0.01+0.94*Tab.o1[[#This Row],[W1_PDF]]/MAX(Tab.o1[W1_PDF]),"")</f>
        <v/>
      </c>
      <c r="AA676" s="118" t="str">
        <f>IF(Tab.o1[[#This Row],[a1]]=1,ABS([1]!T.in.A[[#This Row],[oo6]]),"")</f>
        <v/>
      </c>
      <c r="AB676" s="127" t="str">
        <f>IF(Tab.o1[[#This Row],[a1]]=1,IF(AE$3=0,"",IF(AB$3=0,ABS([1]!T.in.A[[#This Row],[oo9]]),ABS(Tab.o1[[#This Row],[DIF_Target.]]*Tab.o1[[#This Row],[W1_PDF]]))),"")</f>
        <v/>
      </c>
      <c r="AC676" s="127" t="str">
        <f>IF(G$1=1,"",IF(Tab.o1[[#This Row],[a1]]=1,Tab.o1[[#This Row],[Wr]]^2,""))</f>
        <v/>
      </c>
      <c r="AD676" s="118" t="str">
        <f>IF(Tab.o1[[#This Row],[a1]]=1,IF(AE$3=0,"",Tab.o1[[#This Row],[Wr2]]/SUM(Tab.o1[Wr2])),"")</f>
        <v/>
      </c>
      <c r="AE676" s="128" t="str">
        <f>IF(Tab.o1[[#This Row],[a1]]=1,[1]!T.in.A[[#This Row],[oo10]],"")</f>
        <v/>
      </c>
      <c r="AF676" s="118" t="str">
        <f>IF(Tab.o1[[#This Row],[a1]]=1,ABS(Tab.o1[[#This Row],[DIF_Target.]]*Tab.o1[[#This Row],[PDF2]]*Tab.o1[[#This Row],[IN]]),"")</f>
        <v/>
      </c>
      <c r="AG676" s="129" t="str">
        <f>IF(Tab.o1[[#This Row],[a1]]=1,Tab.o1[[#This Row],[rW]]^2,"")</f>
        <v/>
      </c>
      <c r="AH676" s="130" t="str">
        <f>IF(Tab.o1[[#This Row],[a1]]=1,IF(AH$3=0,Tab.o1[[#This Row],[rW2]],0.01+0.94*Tab.o1[[#This Row],[rW2]]/SUM(Tab.o1[rW2])),"")</f>
        <v/>
      </c>
      <c r="AI676" s="128" t="str">
        <f>IF(Tab.o1[[#This Row],[a1]]=1,1/Tab.o1[[#This Row],[PDF]],"")</f>
        <v/>
      </c>
      <c r="AJ676" s="131" t="str">
        <f>IF(Tab.o1[[#This Row],[a1]]=1,[1]!T_AA[[#This Row],[IN'']]*[1]!T_AA[[#This Row],[Qde'']],"")</f>
        <v/>
      </c>
      <c r="AK676" s="132" t="str">
        <f>IF(Tab.o1[[#This Row],[a1]]=1,IF(AK$1=1,Tab.o1[[#This Row],[MED]]+Tab.o1[[#This Row],[MOD]]-Tab.o1[[#This Row],[MED]],""),"")</f>
        <v/>
      </c>
      <c r="AL676" s="133" t="str">
        <f>IF(Tab.o1[[#This Row],[a1]]=1,[1]!T.in.A[[#This Row],[oo16]],"")</f>
        <v/>
      </c>
      <c r="AM676" s="133" t="str">
        <f>IF(Tab.o1[[#This Row],[a1]]=1,IF(AM$3=1,[1]!T.in.A[[#This Row],[Σo16]],""),"")</f>
        <v/>
      </c>
      <c r="AN676" s="126" t="str">
        <f>IF(Tab.o1[[#This Row],[a1]]=1,[1]!T.in.A[[#This Row],[Σp5]],"")</f>
        <v/>
      </c>
      <c r="AO676" s="126" t="str">
        <f>IF(Tab.o1[[#This Row],[a1]]=1,IF(AO$3=1,[1]!T.in.A[[#This Row],[Σp5]],""),"")</f>
        <v/>
      </c>
      <c r="AP676" s="110" t="str">
        <f>IF(Tab.o1[[#This Row],[a1]]=1,IF(ISNUMBER(Tab.o1[[#This Row],[i.]]),NORMDIST(Tab.o1[[#This Row],[Za]],0,1,FALSE)*Tab.o1[[#This Row],[i.]],0),"")</f>
        <v/>
      </c>
      <c r="AQ676" s="125" t="str">
        <f>IF(Tab.o1[[#This Row],[a1]]=1,ABS(Tab.o1[[#This Row],[MOD]]-AVERAGE(Tab.o1[MOD])),"")</f>
        <v/>
      </c>
      <c r="AR676" s="134" t="str">
        <f>IF(Tab.o1[[#This Row],[a1]]=1,Tab.o1[[#This Row],[OBS]]/SUM(Tab.o1[OBS]),"")</f>
        <v/>
      </c>
      <c r="AS676" s="135" t="str">
        <f>IF(ISNUMBER(Tab.o1[[#This Row],[a1]]),ROW()-4,"")</f>
        <v/>
      </c>
      <c r="AT676" s="136" t="str">
        <f>Tab.o1[[#This Row],[MOD]]</f>
        <v/>
      </c>
      <c r="AU676" s="137" t="str">
        <f t="shared" si="41"/>
        <v/>
      </c>
      <c r="AV676" s="138" t="str">
        <f t="shared" si="42"/>
        <v/>
      </c>
      <c r="AW676" s="138" t="str">
        <f t="shared" si="43"/>
        <v/>
      </c>
      <c r="AX676" s="139" t="str">
        <f>[1]!T.in.A[[#This Row],[ID_T_manu]]</f>
        <v/>
      </c>
      <c r="AY676" s="140" t="str">
        <f>IF(ISNUMBER(Tab.o1[[#This Row],[a1]]),IF(AND(Tab.o1[[#This Row],[a1]]=1,Tab.o1[[#This Row],[b1]]&lt;=AY$4),#REF!,AY675),"")</f>
        <v/>
      </c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</row>
    <row r="677" spans="1:79" s="143" customFormat="1" ht="15.75" hidden="1">
      <c r="A677" s="109">
        <v>-1.0000000000000001E-5</v>
      </c>
      <c r="B677" s="110">
        <f t="shared" si="40"/>
        <v>677</v>
      </c>
      <c r="C677" s="111" t="str">
        <f>IF(C$1=[1]!T.in.A[[#This Row],[oo2]],1,"")</f>
        <v/>
      </c>
      <c r="D677" s="112" t="str">
        <f>IF(Tab.o1[[#This Row],[a1]]=1,IF(SUM(C677:C678)=0,0,IF(SUM(C676:C677)=1,1,IF(SUM(C676:C678)&gt;1,D676+1,0))),"")</f>
        <v/>
      </c>
      <c r="E677" s="113" t="str">
        <f>IF(Tab.o1[[#This Row],[a1]]=1,[1]!T.in.A[[#This Row],[oo1]],"")</f>
        <v/>
      </c>
      <c r="F677" s="113" t="str">
        <f>IF(Tab.o1[[#This Row],[a1]]=1,[1]!T.in.A[[#This Row],[pp1]],"")</f>
        <v/>
      </c>
      <c r="G677" s="114" t="str">
        <f>IF(Tab.o1[[#This Row],[a1]]=1,G$2+IF(G$1=1,0,Tab.o1[[#This Row],[.x1]])+[1]!T.in.A[[#This Row],[oo3]],"")</f>
        <v/>
      </c>
      <c r="H677" s="115" t="str">
        <f>IF(Tab.o1[[#This Row],[a1]]=1,IF(H$2=0,0,IF(G$1=1,0,Tab.o1[[#This Row],[.x1]])+[1]!T.in.A[[#This Row],[oo4]]),"")</f>
        <v/>
      </c>
      <c r="I677" s="116" t="str">
        <f>IF(Tab.o1[[#This Row],[a1]]=1,IF(J$2=0,Tab.o1[[#This Row],[MED]],Tab.o1[[#This Row],[MOD]]),"")</f>
        <v/>
      </c>
      <c r="J677" s="116" t="str">
        <f>IF(Tab.o1[[#This Row],[a1]]=1,((Tab.o1[[#This Row],[DIF_Target.]]-AVERAGE(Tab.o1[DIF_Target.]))/_xlfn.STDEV.P(Tab.o1[DIF_Target.])),"")</f>
        <v/>
      </c>
      <c r="K677" s="117" t="str">
        <f>IF(Tab.o1[[#This Row],[a1]]=1,IF(J$2=0,Tab.o1[[#This Row],[MOD]]-Tab.o1[[#This Row],[B]],IF(J$2=1,0,-Tab.o1[[#This Row],[MED]])+Tab.o1[[#This Row],[B]]),"")</f>
        <v/>
      </c>
      <c r="L677" s="117" t="str">
        <f ca="1">IF(Tab.o1[[#This Row],[DIF_Target]]=0,IF(L$2=0,Tab.o1[[#This Row],[DIF_Target]],AVERAGE(OFFSET(Tab.o1[[#This Row],[DIF_Target]],1,0,L$3,1)))/3,Tab.o1[[#This Row],[DIF_Target]])</f>
        <v/>
      </c>
      <c r="M677" s="118" t="str">
        <f>IF(Tab.o1[[#This Row],[a1]]=1,NORMSDIST(Tab.o1[[#This Row],[Za]]),"")</f>
        <v/>
      </c>
      <c r="N677" s="119" t="str">
        <f>IF(Tab.o1[[#This Row],[a1]]=1,((Tab.o1[[#This Row],[MedMod]]-AVERAGE(Tab.o1[MedMod]))/_xlfn.STDEV.P(Tab.o1[MedMod])*H$1205)+G$1205,"")</f>
        <v/>
      </c>
      <c r="O677" s="141" t="str">
        <f>IF(Tab.o1[[#This Row],[a1]]=1,Tab.o1[[#This Row],[Zb]]*_xlfn.STDEV.P(Tab.o1[MedMod])+AVERAGE(Tab.o1[MedMod]),"")</f>
        <v/>
      </c>
      <c r="P677" s="117" t="str">
        <f ca="1">IF(Tab.o1[[#This Row],[B]]=0,AVERAGE(OFFSET(Tab.o1[[#This Row],[B]],1,0,L$3,1)),Tab.o1[[#This Row],[B]])</f>
        <v/>
      </c>
      <c r="Q677" s="121" t="str">
        <f>IF(Tab.o1[[#This Row],[a1]]=1,NORMSDIST(Tab.o1[[#This Row],[Zb]]),"")</f>
        <v/>
      </c>
      <c r="R677" s="122" t="str">
        <f>IF(Tab.o1[[#This Row],[a1]]=1,((Tab.o1[[#This Row],[MedMod]]-AVERAGE(Tab.o1[MedMod]))/_xlfn.STDEV.P(Tab.o1[MedMod])*H$1203)+G$1203,"")</f>
        <v/>
      </c>
      <c r="S677" s="122" t="str">
        <f>IF(Tab.o1[[#This Row],[a1]]=1,((Tab.o1[[#This Row],[MedMod]]-AVERAGE(Tab.o1[MedMod]))/_xlfn.STDEV.P(Tab.o1[MedMod])*H$1204)+G$1204,"")</f>
        <v/>
      </c>
      <c r="T677" s="123" t="str">
        <f>IF(Tab.o1[[#This Row],[a1]]=1,Tab.o1[[#This Row],[Z-]]*_xlfn.STDEV.P(Tab.o1[B])+AVERAGE(Tab.o1[B]),"")</f>
        <v/>
      </c>
      <c r="U677" s="123" t="str">
        <f>IF(Tab.o1[[#This Row],[a1]]=1,Tab.o1[[#This Row],[z+]]*_xlfn.STDEV.P(Tab.o1[B])+AVERAGE(Tab.o1[B]),"")</f>
        <v/>
      </c>
      <c r="V677" s="124" t="str">
        <f>IF(Tab.o1[[#This Row],[a1]]=1,ABS((ABS(Tab.o1[[#This Row],[Red]]-Tab.o1[[#This Row],[Blue]]))),"")</f>
        <v/>
      </c>
      <c r="W677" s="125" t="str">
        <f>IF(Tab.o1[[#This Row],[a1]]=1,IF(W$3=0,1,Tab.o1[[#This Row],[Amp.]]*1/_xlfn.MINIFS(Tab.o1[Amp.],Tab.o1[Amp.],"&lt;&gt;0")),"")</f>
        <v/>
      </c>
      <c r="X677" s="126" t="str">
        <f>IF(Tab.o1[[#This Row],[a1]]=1,IF(ISNUMBER(Tab.o1[[#This Row],[i.]]),NORMDIST(Tab.o1[[#This Row],[Za]],0,1,FALSE)*Tab.o1[[#This Row],[i.]],AP$3),"")</f>
        <v/>
      </c>
      <c r="Y677" s="126" t="str">
        <f>IF(Tab.o1[[#This Row],[a1]]=1,0.01+0.94*Tab.o1[[#This Row],[PDF]]/MAX(Tab.o1[PDF]),"")</f>
        <v/>
      </c>
      <c r="Z677" s="126" t="str">
        <f>IF(Tab.o1[[#This Row],[a1]]=1,0.01+0.94*Tab.o1[[#This Row],[W1_PDF]]/MAX(Tab.o1[W1_PDF]),"")</f>
        <v/>
      </c>
      <c r="AA677" s="118" t="str">
        <f>IF(Tab.o1[[#This Row],[a1]]=1,ABS([1]!T.in.A[[#This Row],[oo6]]),"")</f>
        <v/>
      </c>
      <c r="AB677" s="127" t="str">
        <f>IF(Tab.o1[[#This Row],[a1]]=1,IF(AE$3=0,"",IF(AB$3=0,ABS([1]!T.in.A[[#This Row],[oo9]]),ABS(Tab.o1[[#This Row],[DIF_Target.]]*Tab.o1[[#This Row],[W1_PDF]]))),"")</f>
        <v/>
      </c>
      <c r="AC677" s="127" t="str">
        <f>IF(G$1=1,"",IF(Tab.o1[[#This Row],[a1]]=1,Tab.o1[[#This Row],[Wr]]^2,""))</f>
        <v/>
      </c>
      <c r="AD677" s="118" t="str">
        <f>IF(Tab.o1[[#This Row],[a1]]=1,IF(AE$3=0,"",Tab.o1[[#This Row],[Wr2]]/SUM(Tab.o1[Wr2])),"")</f>
        <v/>
      </c>
      <c r="AE677" s="128" t="str">
        <f>IF(Tab.o1[[#This Row],[a1]]=1,[1]!T.in.A[[#This Row],[oo10]],"")</f>
        <v/>
      </c>
      <c r="AF677" s="118" t="str">
        <f>IF(Tab.o1[[#This Row],[a1]]=1,ABS(Tab.o1[[#This Row],[DIF_Target.]]*Tab.o1[[#This Row],[PDF2]]*Tab.o1[[#This Row],[IN]]),"")</f>
        <v/>
      </c>
      <c r="AG677" s="129" t="str">
        <f>IF(Tab.o1[[#This Row],[a1]]=1,Tab.o1[[#This Row],[rW]]^2,"")</f>
        <v/>
      </c>
      <c r="AH677" s="130" t="str">
        <f>IF(Tab.o1[[#This Row],[a1]]=1,IF(AH$3=0,Tab.o1[[#This Row],[rW2]],0.01+0.94*Tab.o1[[#This Row],[rW2]]/SUM(Tab.o1[rW2])),"")</f>
        <v/>
      </c>
      <c r="AI677" s="128" t="str">
        <f>IF(Tab.o1[[#This Row],[a1]]=1,1/Tab.o1[[#This Row],[PDF]],"")</f>
        <v/>
      </c>
      <c r="AJ677" s="131" t="str">
        <f>IF(Tab.o1[[#This Row],[a1]]=1,[1]!T_AA[[#This Row],[IN'']]*[1]!T_AA[[#This Row],[Qde'']],"")</f>
        <v/>
      </c>
      <c r="AK677" s="132" t="str">
        <f>IF(Tab.o1[[#This Row],[a1]]=1,IF(AK$1=1,Tab.o1[[#This Row],[MED]]+Tab.o1[[#This Row],[MOD]]-Tab.o1[[#This Row],[MED]],""),"")</f>
        <v/>
      </c>
      <c r="AL677" s="133" t="str">
        <f>IF(Tab.o1[[#This Row],[a1]]=1,[1]!T.in.A[[#This Row],[oo16]],"")</f>
        <v/>
      </c>
      <c r="AM677" s="133" t="str">
        <f>IF(Tab.o1[[#This Row],[a1]]=1,IF(AM$3=1,[1]!T.in.A[[#This Row],[Σo16]],""),"")</f>
        <v/>
      </c>
      <c r="AN677" s="126" t="str">
        <f>IF(Tab.o1[[#This Row],[a1]]=1,[1]!T.in.A[[#This Row],[Σp5]],"")</f>
        <v/>
      </c>
      <c r="AO677" s="126" t="str">
        <f>IF(Tab.o1[[#This Row],[a1]]=1,IF(AO$3=1,[1]!T.in.A[[#This Row],[Σp5]],""),"")</f>
        <v/>
      </c>
      <c r="AP677" s="110" t="str">
        <f>IF(Tab.o1[[#This Row],[a1]]=1,IF(ISNUMBER(Tab.o1[[#This Row],[i.]]),NORMDIST(Tab.o1[[#This Row],[Za]],0,1,FALSE)*Tab.o1[[#This Row],[i.]],0),"")</f>
        <v/>
      </c>
      <c r="AQ677" s="125" t="str">
        <f>IF(Tab.o1[[#This Row],[a1]]=1,ABS(Tab.o1[[#This Row],[MOD]]-AVERAGE(Tab.o1[MOD])),"")</f>
        <v/>
      </c>
      <c r="AR677" s="134" t="str">
        <f>IF(Tab.o1[[#This Row],[a1]]=1,Tab.o1[[#This Row],[OBS]]/SUM(Tab.o1[OBS]),"")</f>
        <v/>
      </c>
      <c r="AS677" s="135" t="str">
        <f>IF(ISNUMBER(Tab.o1[[#This Row],[a1]]),ROW()-4,"")</f>
        <v/>
      </c>
      <c r="AT677" s="136" t="str">
        <f>Tab.o1[[#This Row],[MOD]]</f>
        <v/>
      </c>
      <c r="AU677" s="137" t="str">
        <f t="shared" si="41"/>
        <v/>
      </c>
      <c r="AV677" s="138" t="str">
        <f t="shared" si="42"/>
        <v/>
      </c>
      <c r="AW677" s="138" t="str">
        <f t="shared" si="43"/>
        <v/>
      </c>
      <c r="AX677" s="139" t="str">
        <f>[1]!T.in.A[[#This Row],[ID_T_manu]]</f>
        <v/>
      </c>
      <c r="AY677" s="140" t="str">
        <f>IF(ISNUMBER(Tab.o1[[#This Row],[a1]]),IF(AND(Tab.o1[[#This Row],[a1]]=1,Tab.o1[[#This Row],[b1]]&lt;=AY$4),#REF!,AY676),"")</f>
        <v/>
      </c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</row>
    <row r="678" spans="1:79" s="143" customFormat="1" ht="15.75" hidden="1">
      <c r="A678" s="109">
        <v>1.0000000000000001E-5</v>
      </c>
      <c r="B678" s="110">
        <f t="shared" si="40"/>
        <v>678</v>
      </c>
      <c r="C678" s="111" t="str">
        <f>IF(C$1=[1]!T.in.A[[#This Row],[oo2]],1,"")</f>
        <v/>
      </c>
      <c r="D678" s="112" t="str">
        <f>IF(Tab.o1[[#This Row],[a1]]=1,IF(SUM(C678:C679)=0,0,IF(SUM(C677:C678)=1,1,IF(SUM(C677:C679)&gt;1,D677+1,0))),"")</f>
        <v/>
      </c>
      <c r="E678" s="113" t="str">
        <f>IF(Tab.o1[[#This Row],[a1]]=1,[1]!T.in.A[[#This Row],[oo1]],"")</f>
        <v/>
      </c>
      <c r="F678" s="113" t="str">
        <f>IF(Tab.o1[[#This Row],[a1]]=1,[1]!T.in.A[[#This Row],[pp1]],"")</f>
        <v/>
      </c>
      <c r="G678" s="114" t="str">
        <f>IF(Tab.o1[[#This Row],[a1]]=1,G$2+IF(G$1=1,0,Tab.o1[[#This Row],[.x1]])+[1]!T.in.A[[#This Row],[oo3]],"")</f>
        <v/>
      </c>
      <c r="H678" s="115" t="str">
        <f>IF(Tab.o1[[#This Row],[a1]]=1,IF(H$2=0,0,IF(G$1=1,0,Tab.o1[[#This Row],[.x1]])+[1]!T.in.A[[#This Row],[oo4]]),"")</f>
        <v/>
      </c>
      <c r="I678" s="116" t="str">
        <f>IF(Tab.o1[[#This Row],[a1]]=1,IF(J$2=0,Tab.o1[[#This Row],[MED]],Tab.o1[[#This Row],[MOD]]),"")</f>
        <v/>
      </c>
      <c r="J678" s="116" t="str">
        <f>IF(Tab.o1[[#This Row],[a1]]=1,((Tab.o1[[#This Row],[DIF_Target.]]-AVERAGE(Tab.o1[DIF_Target.]))/_xlfn.STDEV.P(Tab.o1[DIF_Target.])),"")</f>
        <v/>
      </c>
      <c r="K678" s="117" t="str">
        <f>IF(Tab.o1[[#This Row],[a1]]=1,IF(J$2=0,Tab.o1[[#This Row],[MOD]]-Tab.o1[[#This Row],[B]],IF(J$2=1,0,-Tab.o1[[#This Row],[MED]])+Tab.o1[[#This Row],[B]]),"")</f>
        <v/>
      </c>
      <c r="L678" s="117" t="str">
        <f ca="1">IF(Tab.o1[[#This Row],[DIF_Target]]=0,IF(L$2=0,Tab.o1[[#This Row],[DIF_Target]],AVERAGE(OFFSET(Tab.o1[[#This Row],[DIF_Target]],1,0,L$3,1)))/3,Tab.o1[[#This Row],[DIF_Target]])</f>
        <v/>
      </c>
      <c r="M678" s="118" t="str">
        <f>IF(Tab.o1[[#This Row],[a1]]=1,NORMSDIST(Tab.o1[[#This Row],[Za]]),"")</f>
        <v/>
      </c>
      <c r="N678" s="119" t="str">
        <f>IF(Tab.o1[[#This Row],[a1]]=1,((Tab.o1[[#This Row],[MedMod]]-AVERAGE(Tab.o1[MedMod]))/_xlfn.STDEV.P(Tab.o1[MedMod])*H$1205)+G$1205,"")</f>
        <v/>
      </c>
      <c r="O678" s="141" t="str">
        <f>IF(Tab.o1[[#This Row],[a1]]=1,Tab.o1[[#This Row],[Zb]]*_xlfn.STDEV.P(Tab.o1[MedMod])+AVERAGE(Tab.o1[MedMod]),"")</f>
        <v/>
      </c>
      <c r="P678" s="117" t="str">
        <f ca="1">IF(Tab.o1[[#This Row],[B]]=0,AVERAGE(OFFSET(Tab.o1[[#This Row],[B]],1,0,L$3,1)),Tab.o1[[#This Row],[B]])</f>
        <v/>
      </c>
      <c r="Q678" s="121" t="str">
        <f>IF(Tab.o1[[#This Row],[a1]]=1,NORMSDIST(Tab.o1[[#This Row],[Zb]]),"")</f>
        <v/>
      </c>
      <c r="R678" s="122" t="str">
        <f>IF(Tab.o1[[#This Row],[a1]]=1,((Tab.o1[[#This Row],[MedMod]]-AVERAGE(Tab.o1[MedMod]))/_xlfn.STDEV.P(Tab.o1[MedMod])*H$1203)+G$1203,"")</f>
        <v/>
      </c>
      <c r="S678" s="122" t="str">
        <f>IF(Tab.o1[[#This Row],[a1]]=1,((Tab.o1[[#This Row],[MedMod]]-AVERAGE(Tab.o1[MedMod]))/_xlfn.STDEV.P(Tab.o1[MedMod])*H$1204)+G$1204,"")</f>
        <v/>
      </c>
      <c r="T678" s="123" t="str">
        <f>IF(Tab.o1[[#This Row],[a1]]=1,Tab.o1[[#This Row],[Z-]]*_xlfn.STDEV.P(Tab.o1[B])+AVERAGE(Tab.o1[B]),"")</f>
        <v/>
      </c>
      <c r="U678" s="123" t="str">
        <f>IF(Tab.o1[[#This Row],[a1]]=1,Tab.o1[[#This Row],[z+]]*_xlfn.STDEV.P(Tab.o1[B])+AVERAGE(Tab.o1[B]),"")</f>
        <v/>
      </c>
      <c r="V678" s="124" t="str">
        <f>IF(Tab.o1[[#This Row],[a1]]=1,ABS((ABS(Tab.o1[[#This Row],[Red]]-Tab.o1[[#This Row],[Blue]]))),"")</f>
        <v/>
      </c>
      <c r="W678" s="125" t="str">
        <f>IF(Tab.o1[[#This Row],[a1]]=1,IF(W$3=0,1,Tab.o1[[#This Row],[Amp.]]*1/_xlfn.MINIFS(Tab.o1[Amp.],Tab.o1[Amp.],"&lt;&gt;0")),"")</f>
        <v/>
      </c>
      <c r="X678" s="126" t="str">
        <f>IF(Tab.o1[[#This Row],[a1]]=1,IF(ISNUMBER(Tab.o1[[#This Row],[i.]]),NORMDIST(Tab.o1[[#This Row],[Za]],0,1,FALSE)*Tab.o1[[#This Row],[i.]],AP$3),"")</f>
        <v/>
      </c>
      <c r="Y678" s="126" t="str">
        <f>IF(Tab.o1[[#This Row],[a1]]=1,0.01+0.94*Tab.o1[[#This Row],[PDF]]/MAX(Tab.o1[PDF]),"")</f>
        <v/>
      </c>
      <c r="Z678" s="126" t="str">
        <f>IF(Tab.o1[[#This Row],[a1]]=1,0.01+0.94*Tab.o1[[#This Row],[W1_PDF]]/MAX(Tab.o1[W1_PDF]),"")</f>
        <v/>
      </c>
      <c r="AA678" s="118" t="str">
        <f>IF(Tab.o1[[#This Row],[a1]]=1,ABS([1]!T.in.A[[#This Row],[oo6]]),"")</f>
        <v/>
      </c>
      <c r="AB678" s="127" t="str">
        <f>IF(Tab.o1[[#This Row],[a1]]=1,IF(AE$3=0,"",IF(AB$3=0,ABS([1]!T.in.A[[#This Row],[oo9]]),ABS(Tab.o1[[#This Row],[DIF_Target.]]*Tab.o1[[#This Row],[W1_PDF]]))),"")</f>
        <v/>
      </c>
      <c r="AC678" s="127" t="str">
        <f>IF(G$1=1,"",IF(Tab.o1[[#This Row],[a1]]=1,Tab.o1[[#This Row],[Wr]]^2,""))</f>
        <v/>
      </c>
      <c r="AD678" s="118" t="str">
        <f>IF(Tab.o1[[#This Row],[a1]]=1,IF(AE$3=0,"",Tab.o1[[#This Row],[Wr2]]/SUM(Tab.o1[Wr2])),"")</f>
        <v/>
      </c>
      <c r="AE678" s="128" t="str">
        <f>IF(Tab.o1[[#This Row],[a1]]=1,[1]!T.in.A[[#This Row],[oo10]],"")</f>
        <v/>
      </c>
      <c r="AF678" s="118" t="str">
        <f>IF(Tab.o1[[#This Row],[a1]]=1,ABS(Tab.o1[[#This Row],[DIF_Target.]]*Tab.o1[[#This Row],[PDF2]]*Tab.o1[[#This Row],[IN]]),"")</f>
        <v/>
      </c>
      <c r="AG678" s="129" t="str">
        <f>IF(Tab.o1[[#This Row],[a1]]=1,Tab.o1[[#This Row],[rW]]^2,"")</f>
        <v/>
      </c>
      <c r="AH678" s="130" t="str">
        <f>IF(Tab.o1[[#This Row],[a1]]=1,IF(AH$3=0,Tab.o1[[#This Row],[rW2]],0.01+0.94*Tab.o1[[#This Row],[rW2]]/SUM(Tab.o1[rW2])),"")</f>
        <v/>
      </c>
      <c r="AI678" s="128" t="str">
        <f>IF(Tab.o1[[#This Row],[a1]]=1,1/Tab.o1[[#This Row],[PDF]],"")</f>
        <v/>
      </c>
      <c r="AJ678" s="131" t="str">
        <f>IF(Tab.o1[[#This Row],[a1]]=1,[1]!T_AA[[#This Row],[IN'']]*[1]!T_AA[[#This Row],[Qde'']],"")</f>
        <v/>
      </c>
      <c r="AK678" s="132" t="str">
        <f>IF(Tab.o1[[#This Row],[a1]]=1,IF(AK$1=1,Tab.o1[[#This Row],[MED]]+Tab.o1[[#This Row],[MOD]]-Tab.o1[[#This Row],[MED]],""),"")</f>
        <v/>
      </c>
      <c r="AL678" s="133" t="str">
        <f>IF(Tab.o1[[#This Row],[a1]]=1,[1]!T.in.A[[#This Row],[oo16]],"")</f>
        <v/>
      </c>
      <c r="AM678" s="133" t="str">
        <f>IF(Tab.o1[[#This Row],[a1]]=1,IF(AM$3=1,[1]!T.in.A[[#This Row],[Σo16]],""),"")</f>
        <v/>
      </c>
      <c r="AN678" s="126" t="str">
        <f>IF(Tab.o1[[#This Row],[a1]]=1,[1]!T.in.A[[#This Row],[Σp5]],"")</f>
        <v/>
      </c>
      <c r="AO678" s="126" t="str">
        <f>IF(Tab.o1[[#This Row],[a1]]=1,IF(AO$3=1,[1]!T.in.A[[#This Row],[Σp5]],""),"")</f>
        <v/>
      </c>
      <c r="AP678" s="110" t="str">
        <f>IF(Tab.o1[[#This Row],[a1]]=1,IF(ISNUMBER(Tab.o1[[#This Row],[i.]]),NORMDIST(Tab.o1[[#This Row],[Za]],0,1,FALSE)*Tab.o1[[#This Row],[i.]],0),"")</f>
        <v/>
      </c>
      <c r="AQ678" s="125" t="str">
        <f>IF(Tab.o1[[#This Row],[a1]]=1,ABS(Tab.o1[[#This Row],[MOD]]-AVERAGE(Tab.o1[MOD])),"")</f>
        <v/>
      </c>
      <c r="AR678" s="134" t="str">
        <f>IF(Tab.o1[[#This Row],[a1]]=1,Tab.o1[[#This Row],[OBS]]/SUM(Tab.o1[OBS]),"")</f>
        <v/>
      </c>
      <c r="AS678" s="135" t="str">
        <f>IF(ISNUMBER(Tab.o1[[#This Row],[a1]]),ROW()-4,"")</f>
        <v/>
      </c>
      <c r="AT678" s="136" t="str">
        <f>Tab.o1[[#This Row],[MOD]]</f>
        <v/>
      </c>
      <c r="AU678" s="137" t="str">
        <f t="shared" si="41"/>
        <v/>
      </c>
      <c r="AV678" s="138" t="str">
        <f t="shared" si="42"/>
        <v/>
      </c>
      <c r="AW678" s="138" t="str">
        <f t="shared" si="43"/>
        <v/>
      </c>
      <c r="AX678" s="139" t="str">
        <f>[1]!T.in.A[[#This Row],[ID_T_manu]]</f>
        <v/>
      </c>
      <c r="AY678" s="140" t="str">
        <f>IF(ISNUMBER(Tab.o1[[#This Row],[a1]]),IF(AND(Tab.o1[[#This Row],[a1]]=1,Tab.o1[[#This Row],[b1]]&lt;=AY$4),#REF!,AY677),"")</f>
        <v/>
      </c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</row>
    <row r="679" spans="1:79" s="143" customFormat="1" ht="15.75" hidden="1">
      <c r="A679" s="109">
        <v>-2.9999999999999997E-6</v>
      </c>
      <c r="B679" s="110">
        <f t="shared" si="40"/>
        <v>679</v>
      </c>
      <c r="C679" s="111" t="str">
        <f>IF(C$1=[1]!T.in.A[[#This Row],[oo2]],1,"")</f>
        <v/>
      </c>
      <c r="D679" s="112" t="str">
        <f>IF(Tab.o1[[#This Row],[a1]]=1,IF(SUM(C679:C680)=0,0,IF(SUM(C678:C679)=1,1,IF(SUM(C678:C680)&gt;1,D678+1,0))),"")</f>
        <v/>
      </c>
      <c r="E679" s="113" t="str">
        <f>IF(Tab.o1[[#This Row],[a1]]=1,[1]!T.in.A[[#This Row],[oo1]],"")</f>
        <v/>
      </c>
      <c r="F679" s="113" t="str">
        <f>IF(Tab.o1[[#This Row],[a1]]=1,[1]!T.in.A[[#This Row],[pp1]],"")</f>
        <v/>
      </c>
      <c r="G679" s="114" t="str">
        <f>IF(Tab.o1[[#This Row],[a1]]=1,G$2+IF(G$1=1,0,Tab.o1[[#This Row],[.x1]])+[1]!T.in.A[[#This Row],[oo3]],"")</f>
        <v/>
      </c>
      <c r="H679" s="115" t="str">
        <f>IF(Tab.o1[[#This Row],[a1]]=1,IF(H$2=0,0,IF(G$1=1,0,Tab.o1[[#This Row],[.x1]])+[1]!T.in.A[[#This Row],[oo4]]),"")</f>
        <v/>
      </c>
      <c r="I679" s="116" t="str">
        <f>IF(Tab.o1[[#This Row],[a1]]=1,IF(J$2=0,Tab.o1[[#This Row],[MED]],Tab.o1[[#This Row],[MOD]]),"")</f>
        <v/>
      </c>
      <c r="J679" s="116" t="str">
        <f>IF(Tab.o1[[#This Row],[a1]]=1,((Tab.o1[[#This Row],[DIF_Target.]]-AVERAGE(Tab.o1[DIF_Target.]))/_xlfn.STDEV.P(Tab.o1[DIF_Target.])),"")</f>
        <v/>
      </c>
      <c r="K679" s="117" t="str">
        <f>IF(Tab.o1[[#This Row],[a1]]=1,IF(J$2=0,Tab.o1[[#This Row],[MOD]]-Tab.o1[[#This Row],[B]],IF(J$2=1,0,-Tab.o1[[#This Row],[MED]])+Tab.o1[[#This Row],[B]]),"")</f>
        <v/>
      </c>
      <c r="L679" s="117" t="str">
        <f ca="1">IF(Tab.o1[[#This Row],[DIF_Target]]=0,IF(L$2=0,Tab.o1[[#This Row],[DIF_Target]],AVERAGE(OFFSET(Tab.o1[[#This Row],[DIF_Target]],1,0,L$3,1)))/3,Tab.o1[[#This Row],[DIF_Target]])</f>
        <v/>
      </c>
      <c r="M679" s="118" t="str">
        <f>IF(Tab.o1[[#This Row],[a1]]=1,NORMSDIST(Tab.o1[[#This Row],[Za]]),"")</f>
        <v/>
      </c>
      <c r="N679" s="119" t="str">
        <f>IF(Tab.o1[[#This Row],[a1]]=1,((Tab.o1[[#This Row],[MedMod]]-AVERAGE(Tab.o1[MedMod]))/_xlfn.STDEV.P(Tab.o1[MedMod])*H$1205)+G$1205,"")</f>
        <v/>
      </c>
      <c r="O679" s="141" t="str">
        <f>IF(Tab.o1[[#This Row],[a1]]=1,Tab.o1[[#This Row],[Zb]]*_xlfn.STDEV.P(Tab.o1[MedMod])+AVERAGE(Tab.o1[MedMod]),"")</f>
        <v/>
      </c>
      <c r="P679" s="117" t="str">
        <f ca="1">IF(Tab.o1[[#This Row],[B]]=0,AVERAGE(OFFSET(Tab.o1[[#This Row],[B]],1,0,L$3,1)),Tab.o1[[#This Row],[B]])</f>
        <v/>
      </c>
      <c r="Q679" s="121" t="str">
        <f>IF(Tab.o1[[#This Row],[a1]]=1,NORMSDIST(Tab.o1[[#This Row],[Zb]]),"")</f>
        <v/>
      </c>
      <c r="R679" s="122" t="str">
        <f>IF(Tab.o1[[#This Row],[a1]]=1,((Tab.o1[[#This Row],[MedMod]]-AVERAGE(Tab.o1[MedMod]))/_xlfn.STDEV.P(Tab.o1[MedMod])*H$1203)+G$1203,"")</f>
        <v/>
      </c>
      <c r="S679" s="122" t="str">
        <f>IF(Tab.o1[[#This Row],[a1]]=1,((Tab.o1[[#This Row],[MedMod]]-AVERAGE(Tab.o1[MedMod]))/_xlfn.STDEV.P(Tab.o1[MedMod])*H$1204)+G$1204,"")</f>
        <v/>
      </c>
      <c r="T679" s="123" t="str">
        <f>IF(Tab.o1[[#This Row],[a1]]=1,Tab.o1[[#This Row],[Z-]]*_xlfn.STDEV.P(Tab.o1[B])+AVERAGE(Tab.o1[B]),"")</f>
        <v/>
      </c>
      <c r="U679" s="123" t="str">
        <f>IF(Tab.o1[[#This Row],[a1]]=1,Tab.o1[[#This Row],[z+]]*_xlfn.STDEV.P(Tab.o1[B])+AVERAGE(Tab.o1[B]),"")</f>
        <v/>
      </c>
      <c r="V679" s="124" t="str">
        <f>IF(Tab.o1[[#This Row],[a1]]=1,ABS((ABS(Tab.o1[[#This Row],[Red]]-Tab.o1[[#This Row],[Blue]]))),"")</f>
        <v/>
      </c>
      <c r="W679" s="125" t="str">
        <f>IF(Tab.o1[[#This Row],[a1]]=1,IF(W$3=0,1,Tab.o1[[#This Row],[Amp.]]*1/_xlfn.MINIFS(Tab.o1[Amp.],Tab.o1[Amp.],"&lt;&gt;0")),"")</f>
        <v/>
      </c>
      <c r="X679" s="126" t="str">
        <f>IF(Tab.o1[[#This Row],[a1]]=1,IF(ISNUMBER(Tab.o1[[#This Row],[i.]]),NORMDIST(Tab.o1[[#This Row],[Za]],0,1,FALSE)*Tab.o1[[#This Row],[i.]],AP$3),"")</f>
        <v/>
      </c>
      <c r="Y679" s="126" t="str">
        <f>IF(Tab.o1[[#This Row],[a1]]=1,0.01+0.94*Tab.o1[[#This Row],[PDF]]/MAX(Tab.o1[PDF]),"")</f>
        <v/>
      </c>
      <c r="Z679" s="126" t="str">
        <f>IF(Tab.o1[[#This Row],[a1]]=1,0.01+0.94*Tab.o1[[#This Row],[W1_PDF]]/MAX(Tab.o1[W1_PDF]),"")</f>
        <v/>
      </c>
      <c r="AA679" s="118" t="str">
        <f>IF(Tab.o1[[#This Row],[a1]]=1,ABS([1]!T.in.A[[#This Row],[oo6]]),"")</f>
        <v/>
      </c>
      <c r="AB679" s="127" t="str">
        <f>IF(Tab.o1[[#This Row],[a1]]=1,IF(AE$3=0,"",IF(AB$3=0,ABS([1]!T.in.A[[#This Row],[oo9]]),ABS(Tab.o1[[#This Row],[DIF_Target.]]*Tab.o1[[#This Row],[W1_PDF]]))),"")</f>
        <v/>
      </c>
      <c r="AC679" s="127" t="str">
        <f>IF(G$1=1,"",IF(Tab.o1[[#This Row],[a1]]=1,Tab.o1[[#This Row],[Wr]]^2,""))</f>
        <v/>
      </c>
      <c r="AD679" s="118" t="str">
        <f>IF(Tab.o1[[#This Row],[a1]]=1,IF(AE$3=0,"",Tab.o1[[#This Row],[Wr2]]/SUM(Tab.o1[Wr2])),"")</f>
        <v/>
      </c>
      <c r="AE679" s="128" t="str">
        <f>IF(Tab.o1[[#This Row],[a1]]=1,[1]!T.in.A[[#This Row],[oo10]],"")</f>
        <v/>
      </c>
      <c r="AF679" s="118" t="str">
        <f>IF(Tab.o1[[#This Row],[a1]]=1,ABS(Tab.o1[[#This Row],[DIF_Target.]]*Tab.o1[[#This Row],[PDF2]]*Tab.o1[[#This Row],[IN]]),"")</f>
        <v/>
      </c>
      <c r="AG679" s="129" t="str">
        <f>IF(Tab.o1[[#This Row],[a1]]=1,Tab.o1[[#This Row],[rW]]^2,"")</f>
        <v/>
      </c>
      <c r="AH679" s="130" t="str">
        <f>IF(Tab.o1[[#This Row],[a1]]=1,IF(AH$3=0,Tab.o1[[#This Row],[rW2]],0.01+0.94*Tab.o1[[#This Row],[rW2]]/SUM(Tab.o1[rW2])),"")</f>
        <v/>
      </c>
      <c r="AI679" s="128" t="str">
        <f>IF(Tab.o1[[#This Row],[a1]]=1,1/Tab.o1[[#This Row],[PDF]],"")</f>
        <v/>
      </c>
      <c r="AJ679" s="131" t="str">
        <f>IF(Tab.o1[[#This Row],[a1]]=1,[1]!T_AA[[#This Row],[IN'']]*[1]!T_AA[[#This Row],[Qde'']],"")</f>
        <v/>
      </c>
      <c r="AK679" s="132" t="str">
        <f>IF(Tab.o1[[#This Row],[a1]]=1,IF(AK$1=1,Tab.o1[[#This Row],[MED]]+Tab.o1[[#This Row],[MOD]]-Tab.o1[[#This Row],[MED]],""),"")</f>
        <v/>
      </c>
      <c r="AL679" s="133" t="str">
        <f>IF(Tab.o1[[#This Row],[a1]]=1,[1]!T.in.A[[#This Row],[oo16]],"")</f>
        <v/>
      </c>
      <c r="AM679" s="133" t="str">
        <f>IF(Tab.o1[[#This Row],[a1]]=1,IF(AM$3=1,[1]!T.in.A[[#This Row],[Σo16]],""),"")</f>
        <v/>
      </c>
      <c r="AN679" s="126" t="str">
        <f>IF(Tab.o1[[#This Row],[a1]]=1,[1]!T.in.A[[#This Row],[Σp5]],"")</f>
        <v/>
      </c>
      <c r="AO679" s="126" t="str">
        <f>IF(Tab.o1[[#This Row],[a1]]=1,IF(AO$3=1,[1]!T.in.A[[#This Row],[Σp5]],""),"")</f>
        <v/>
      </c>
      <c r="AP679" s="110" t="str">
        <f>IF(Tab.o1[[#This Row],[a1]]=1,IF(ISNUMBER(Tab.o1[[#This Row],[i.]]),NORMDIST(Tab.o1[[#This Row],[Za]],0,1,FALSE)*Tab.o1[[#This Row],[i.]],0),"")</f>
        <v/>
      </c>
      <c r="AQ679" s="125" t="str">
        <f>IF(Tab.o1[[#This Row],[a1]]=1,ABS(Tab.o1[[#This Row],[MOD]]-AVERAGE(Tab.o1[MOD])),"")</f>
        <v/>
      </c>
      <c r="AR679" s="134" t="str">
        <f>IF(Tab.o1[[#This Row],[a1]]=1,Tab.o1[[#This Row],[OBS]]/SUM(Tab.o1[OBS]),"")</f>
        <v/>
      </c>
      <c r="AS679" s="135" t="str">
        <f>IF(ISNUMBER(Tab.o1[[#This Row],[a1]]),ROW()-4,"")</f>
        <v/>
      </c>
      <c r="AT679" s="136" t="str">
        <f>Tab.o1[[#This Row],[MOD]]</f>
        <v/>
      </c>
      <c r="AU679" s="137" t="str">
        <f t="shared" si="41"/>
        <v/>
      </c>
      <c r="AV679" s="138" t="str">
        <f t="shared" si="42"/>
        <v/>
      </c>
      <c r="AW679" s="138" t="str">
        <f t="shared" si="43"/>
        <v/>
      </c>
      <c r="AX679" s="139" t="str">
        <f>[1]!T.in.A[[#This Row],[ID_T_manu]]</f>
        <v/>
      </c>
      <c r="AY679" s="140" t="str">
        <f>IF(ISNUMBER(Tab.o1[[#This Row],[a1]]),IF(AND(Tab.o1[[#This Row],[a1]]=1,Tab.o1[[#This Row],[b1]]&lt;=AY$4),#REF!,AY678),"")</f>
        <v/>
      </c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</row>
    <row r="680" spans="1:79" s="143" customFormat="1" ht="15.75" hidden="1">
      <c r="A680" s="109">
        <v>8.0000000000000013E-6</v>
      </c>
      <c r="B680" s="110">
        <f t="shared" si="40"/>
        <v>680</v>
      </c>
      <c r="C680" s="111" t="str">
        <f>IF(C$1=[1]!T.in.A[[#This Row],[oo2]],1,"")</f>
        <v/>
      </c>
      <c r="D680" s="112" t="str">
        <f>IF(Tab.o1[[#This Row],[a1]]=1,IF(SUM(C680:C681)=0,0,IF(SUM(C679:C680)=1,1,IF(SUM(C679:C681)&gt;1,D679+1,0))),"")</f>
        <v/>
      </c>
      <c r="E680" s="113" t="str">
        <f>IF(Tab.o1[[#This Row],[a1]]=1,[1]!T.in.A[[#This Row],[oo1]],"")</f>
        <v/>
      </c>
      <c r="F680" s="113" t="str">
        <f>IF(Tab.o1[[#This Row],[a1]]=1,[1]!T.in.A[[#This Row],[pp1]],"")</f>
        <v/>
      </c>
      <c r="G680" s="114" t="str">
        <f>IF(Tab.o1[[#This Row],[a1]]=1,G$2+IF(G$1=1,0,Tab.o1[[#This Row],[.x1]])+[1]!T.in.A[[#This Row],[oo3]],"")</f>
        <v/>
      </c>
      <c r="H680" s="115" t="str">
        <f>IF(Tab.o1[[#This Row],[a1]]=1,IF(H$2=0,0,IF(G$1=1,0,Tab.o1[[#This Row],[.x1]])+[1]!T.in.A[[#This Row],[oo4]]),"")</f>
        <v/>
      </c>
      <c r="I680" s="116" t="str">
        <f>IF(Tab.o1[[#This Row],[a1]]=1,IF(J$2=0,Tab.o1[[#This Row],[MED]],Tab.o1[[#This Row],[MOD]]),"")</f>
        <v/>
      </c>
      <c r="J680" s="116" t="str">
        <f>IF(Tab.o1[[#This Row],[a1]]=1,((Tab.o1[[#This Row],[DIF_Target.]]-AVERAGE(Tab.o1[DIF_Target.]))/_xlfn.STDEV.P(Tab.o1[DIF_Target.])),"")</f>
        <v/>
      </c>
      <c r="K680" s="117" t="str">
        <f>IF(Tab.o1[[#This Row],[a1]]=1,IF(J$2=0,Tab.o1[[#This Row],[MOD]]-Tab.o1[[#This Row],[B]],IF(J$2=1,0,-Tab.o1[[#This Row],[MED]])+Tab.o1[[#This Row],[B]]),"")</f>
        <v/>
      </c>
      <c r="L680" s="117" t="str">
        <f ca="1">IF(Tab.o1[[#This Row],[DIF_Target]]=0,IF(L$2=0,Tab.o1[[#This Row],[DIF_Target]],AVERAGE(OFFSET(Tab.o1[[#This Row],[DIF_Target]],1,0,L$3,1)))/3,Tab.o1[[#This Row],[DIF_Target]])</f>
        <v/>
      </c>
      <c r="M680" s="118" t="str">
        <f>IF(Tab.o1[[#This Row],[a1]]=1,NORMSDIST(Tab.o1[[#This Row],[Za]]),"")</f>
        <v/>
      </c>
      <c r="N680" s="119" t="str">
        <f>IF(Tab.o1[[#This Row],[a1]]=1,((Tab.o1[[#This Row],[MedMod]]-AVERAGE(Tab.o1[MedMod]))/_xlfn.STDEV.P(Tab.o1[MedMod])*H$1205)+G$1205,"")</f>
        <v/>
      </c>
      <c r="O680" s="141" t="str">
        <f>IF(Tab.o1[[#This Row],[a1]]=1,Tab.o1[[#This Row],[Zb]]*_xlfn.STDEV.P(Tab.o1[MedMod])+AVERAGE(Tab.o1[MedMod]),"")</f>
        <v/>
      </c>
      <c r="P680" s="117" t="str">
        <f ca="1">IF(Tab.o1[[#This Row],[B]]=0,AVERAGE(OFFSET(Tab.o1[[#This Row],[B]],1,0,L$3,1)),Tab.o1[[#This Row],[B]])</f>
        <v/>
      </c>
      <c r="Q680" s="121" t="str">
        <f>IF(Tab.o1[[#This Row],[a1]]=1,NORMSDIST(Tab.o1[[#This Row],[Zb]]),"")</f>
        <v/>
      </c>
      <c r="R680" s="122" t="str">
        <f>IF(Tab.o1[[#This Row],[a1]]=1,((Tab.o1[[#This Row],[MedMod]]-AVERAGE(Tab.o1[MedMod]))/_xlfn.STDEV.P(Tab.o1[MedMod])*H$1203)+G$1203,"")</f>
        <v/>
      </c>
      <c r="S680" s="122" t="str">
        <f>IF(Tab.o1[[#This Row],[a1]]=1,((Tab.o1[[#This Row],[MedMod]]-AVERAGE(Tab.o1[MedMod]))/_xlfn.STDEV.P(Tab.o1[MedMod])*H$1204)+G$1204,"")</f>
        <v/>
      </c>
      <c r="T680" s="123" t="str">
        <f>IF(Tab.o1[[#This Row],[a1]]=1,Tab.o1[[#This Row],[Z-]]*_xlfn.STDEV.P(Tab.o1[B])+AVERAGE(Tab.o1[B]),"")</f>
        <v/>
      </c>
      <c r="U680" s="123" t="str">
        <f>IF(Tab.o1[[#This Row],[a1]]=1,Tab.o1[[#This Row],[z+]]*_xlfn.STDEV.P(Tab.o1[B])+AVERAGE(Tab.o1[B]),"")</f>
        <v/>
      </c>
      <c r="V680" s="124" t="str">
        <f>IF(Tab.o1[[#This Row],[a1]]=1,ABS((ABS(Tab.o1[[#This Row],[Red]]-Tab.o1[[#This Row],[Blue]]))),"")</f>
        <v/>
      </c>
      <c r="W680" s="125" t="str">
        <f>IF(Tab.o1[[#This Row],[a1]]=1,IF(W$3=0,1,Tab.o1[[#This Row],[Amp.]]*1/_xlfn.MINIFS(Tab.o1[Amp.],Tab.o1[Amp.],"&lt;&gt;0")),"")</f>
        <v/>
      </c>
      <c r="X680" s="126" t="str">
        <f>IF(Tab.o1[[#This Row],[a1]]=1,IF(ISNUMBER(Tab.o1[[#This Row],[i.]]),NORMDIST(Tab.o1[[#This Row],[Za]],0,1,FALSE)*Tab.o1[[#This Row],[i.]],AP$3),"")</f>
        <v/>
      </c>
      <c r="Y680" s="126" t="str">
        <f>IF(Tab.o1[[#This Row],[a1]]=1,0.01+0.94*Tab.o1[[#This Row],[PDF]]/MAX(Tab.o1[PDF]),"")</f>
        <v/>
      </c>
      <c r="Z680" s="126" t="str">
        <f>IF(Tab.o1[[#This Row],[a1]]=1,0.01+0.94*Tab.o1[[#This Row],[W1_PDF]]/MAX(Tab.o1[W1_PDF]),"")</f>
        <v/>
      </c>
      <c r="AA680" s="118" t="str">
        <f>IF(Tab.o1[[#This Row],[a1]]=1,ABS([1]!T.in.A[[#This Row],[oo6]]),"")</f>
        <v/>
      </c>
      <c r="AB680" s="127" t="str">
        <f>IF(Tab.o1[[#This Row],[a1]]=1,IF(AE$3=0,"",IF(AB$3=0,ABS([1]!T.in.A[[#This Row],[oo9]]),ABS(Tab.o1[[#This Row],[DIF_Target.]]*Tab.o1[[#This Row],[W1_PDF]]))),"")</f>
        <v/>
      </c>
      <c r="AC680" s="127" t="str">
        <f>IF(G$1=1,"",IF(Tab.o1[[#This Row],[a1]]=1,Tab.o1[[#This Row],[Wr]]^2,""))</f>
        <v/>
      </c>
      <c r="AD680" s="118" t="str">
        <f>IF(Tab.o1[[#This Row],[a1]]=1,IF(AE$3=0,"",Tab.o1[[#This Row],[Wr2]]/SUM(Tab.o1[Wr2])),"")</f>
        <v/>
      </c>
      <c r="AE680" s="128" t="str">
        <f>IF(Tab.o1[[#This Row],[a1]]=1,[1]!T.in.A[[#This Row],[oo10]],"")</f>
        <v/>
      </c>
      <c r="AF680" s="118" t="str">
        <f>IF(Tab.o1[[#This Row],[a1]]=1,ABS(Tab.o1[[#This Row],[DIF_Target.]]*Tab.o1[[#This Row],[PDF2]]*Tab.o1[[#This Row],[IN]]),"")</f>
        <v/>
      </c>
      <c r="AG680" s="129" t="str">
        <f>IF(Tab.o1[[#This Row],[a1]]=1,Tab.o1[[#This Row],[rW]]^2,"")</f>
        <v/>
      </c>
      <c r="AH680" s="130" t="str">
        <f>IF(Tab.o1[[#This Row],[a1]]=1,IF(AH$3=0,Tab.o1[[#This Row],[rW2]],0.01+0.94*Tab.o1[[#This Row],[rW2]]/SUM(Tab.o1[rW2])),"")</f>
        <v/>
      </c>
      <c r="AI680" s="128" t="str">
        <f>IF(Tab.o1[[#This Row],[a1]]=1,1/Tab.o1[[#This Row],[PDF]],"")</f>
        <v/>
      </c>
      <c r="AJ680" s="131" t="str">
        <f>IF(Tab.o1[[#This Row],[a1]]=1,[1]!T_AA[[#This Row],[IN'']]*[1]!T_AA[[#This Row],[Qde'']],"")</f>
        <v/>
      </c>
      <c r="AK680" s="132" t="str">
        <f>IF(Tab.o1[[#This Row],[a1]]=1,IF(AK$1=1,Tab.o1[[#This Row],[MED]]+Tab.o1[[#This Row],[MOD]]-Tab.o1[[#This Row],[MED]],""),"")</f>
        <v/>
      </c>
      <c r="AL680" s="133" t="str">
        <f>IF(Tab.o1[[#This Row],[a1]]=1,[1]!T.in.A[[#This Row],[oo16]],"")</f>
        <v/>
      </c>
      <c r="AM680" s="133" t="str">
        <f>IF(Tab.o1[[#This Row],[a1]]=1,IF(AM$3=1,[1]!T.in.A[[#This Row],[Σo16]],""),"")</f>
        <v/>
      </c>
      <c r="AN680" s="126" t="str">
        <f>IF(Tab.o1[[#This Row],[a1]]=1,[1]!T.in.A[[#This Row],[Σp5]],"")</f>
        <v/>
      </c>
      <c r="AO680" s="126" t="str">
        <f>IF(Tab.o1[[#This Row],[a1]]=1,IF(AO$3=1,[1]!T.in.A[[#This Row],[Σp5]],""),"")</f>
        <v/>
      </c>
      <c r="AP680" s="110" t="str">
        <f>IF(Tab.o1[[#This Row],[a1]]=1,IF(ISNUMBER(Tab.o1[[#This Row],[i.]]),NORMDIST(Tab.o1[[#This Row],[Za]],0,1,FALSE)*Tab.o1[[#This Row],[i.]],0),"")</f>
        <v/>
      </c>
      <c r="AQ680" s="125" t="str">
        <f>IF(Tab.o1[[#This Row],[a1]]=1,ABS(Tab.o1[[#This Row],[MOD]]-AVERAGE(Tab.o1[MOD])),"")</f>
        <v/>
      </c>
      <c r="AR680" s="134" t="str">
        <f>IF(Tab.o1[[#This Row],[a1]]=1,Tab.o1[[#This Row],[OBS]]/SUM(Tab.o1[OBS]),"")</f>
        <v/>
      </c>
      <c r="AS680" s="135" t="str">
        <f>IF(ISNUMBER(Tab.o1[[#This Row],[a1]]),ROW()-4,"")</f>
        <v/>
      </c>
      <c r="AT680" s="136" t="str">
        <f>Tab.o1[[#This Row],[MOD]]</f>
        <v/>
      </c>
      <c r="AU680" s="137" t="str">
        <f t="shared" si="41"/>
        <v/>
      </c>
      <c r="AV680" s="138" t="str">
        <f t="shared" si="42"/>
        <v/>
      </c>
      <c r="AW680" s="138" t="str">
        <f t="shared" si="43"/>
        <v/>
      </c>
      <c r="AX680" s="139" t="str">
        <f>[1]!T.in.A[[#This Row],[ID_T_manu]]</f>
        <v/>
      </c>
      <c r="AY680" s="140" t="str">
        <f>IF(ISNUMBER(Tab.o1[[#This Row],[a1]]),IF(AND(Tab.o1[[#This Row],[a1]]=1,Tab.o1[[#This Row],[b1]]&lt;=AY$4),#REF!,AY679),"")</f>
        <v/>
      </c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</row>
    <row r="681" spans="1:79" s="143" customFormat="1" ht="15.75" hidden="1">
      <c r="A681" s="109">
        <v>-5.9999999999999993E-6</v>
      </c>
      <c r="B681" s="110">
        <f t="shared" si="40"/>
        <v>681</v>
      </c>
      <c r="C681" s="111" t="str">
        <f>IF(C$1=[1]!T.in.A[[#This Row],[oo2]],1,"")</f>
        <v/>
      </c>
      <c r="D681" s="112" t="str">
        <f>IF(Tab.o1[[#This Row],[a1]]=1,IF(SUM(C681:C682)=0,0,IF(SUM(C680:C681)=1,1,IF(SUM(C680:C682)&gt;1,D680+1,0))),"")</f>
        <v/>
      </c>
      <c r="E681" s="113" t="str">
        <f>IF(Tab.o1[[#This Row],[a1]]=1,[1]!T.in.A[[#This Row],[oo1]],"")</f>
        <v/>
      </c>
      <c r="F681" s="113" t="str">
        <f>IF(Tab.o1[[#This Row],[a1]]=1,[1]!T.in.A[[#This Row],[pp1]],"")</f>
        <v/>
      </c>
      <c r="G681" s="114" t="str">
        <f>IF(Tab.o1[[#This Row],[a1]]=1,G$2+IF(G$1=1,0,Tab.o1[[#This Row],[.x1]])+[1]!T.in.A[[#This Row],[oo3]],"")</f>
        <v/>
      </c>
      <c r="H681" s="115" t="str">
        <f>IF(Tab.o1[[#This Row],[a1]]=1,IF(H$2=0,0,IF(G$1=1,0,Tab.o1[[#This Row],[.x1]])+[1]!T.in.A[[#This Row],[oo4]]),"")</f>
        <v/>
      </c>
      <c r="I681" s="116" t="str">
        <f>IF(Tab.o1[[#This Row],[a1]]=1,IF(J$2=0,Tab.o1[[#This Row],[MED]],Tab.o1[[#This Row],[MOD]]),"")</f>
        <v/>
      </c>
      <c r="J681" s="116" t="str">
        <f>IF(Tab.o1[[#This Row],[a1]]=1,((Tab.o1[[#This Row],[DIF_Target.]]-AVERAGE(Tab.o1[DIF_Target.]))/_xlfn.STDEV.P(Tab.o1[DIF_Target.])),"")</f>
        <v/>
      </c>
      <c r="K681" s="117" t="str">
        <f>IF(Tab.o1[[#This Row],[a1]]=1,IF(J$2=0,Tab.o1[[#This Row],[MOD]]-Tab.o1[[#This Row],[B]],IF(J$2=1,0,-Tab.o1[[#This Row],[MED]])+Tab.o1[[#This Row],[B]]),"")</f>
        <v/>
      </c>
      <c r="L681" s="117" t="str">
        <f ca="1">IF(Tab.o1[[#This Row],[DIF_Target]]=0,IF(L$2=0,Tab.o1[[#This Row],[DIF_Target]],AVERAGE(OFFSET(Tab.o1[[#This Row],[DIF_Target]],1,0,L$3,1)))/3,Tab.o1[[#This Row],[DIF_Target]])</f>
        <v/>
      </c>
      <c r="M681" s="118" t="str">
        <f>IF(Tab.o1[[#This Row],[a1]]=1,NORMSDIST(Tab.o1[[#This Row],[Za]]),"")</f>
        <v/>
      </c>
      <c r="N681" s="119" t="str">
        <f>IF(Tab.o1[[#This Row],[a1]]=1,((Tab.o1[[#This Row],[MedMod]]-AVERAGE(Tab.o1[MedMod]))/_xlfn.STDEV.P(Tab.o1[MedMod])*H$1205)+G$1205,"")</f>
        <v/>
      </c>
      <c r="O681" s="141" t="str">
        <f>IF(Tab.o1[[#This Row],[a1]]=1,Tab.o1[[#This Row],[Zb]]*_xlfn.STDEV.P(Tab.o1[MedMod])+AVERAGE(Tab.o1[MedMod]),"")</f>
        <v/>
      </c>
      <c r="P681" s="117" t="str">
        <f ca="1">IF(Tab.o1[[#This Row],[B]]=0,AVERAGE(OFFSET(Tab.o1[[#This Row],[B]],1,0,L$3,1)),Tab.o1[[#This Row],[B]])</f>
        <v/>
      </c>
      <c r="Q681" s="121" t="str">
        <f>IF(Tab.o1[[#This Row],[a1]]=1,NORMSDIST(Tab.o1[[#This Row],[Zb]]),"")</f>
        <v/>
      </c>
      <c r="R681" s="122" t="str">
        <f>IF(Tab.o1[[#This Row],[a1]]=1,((Tab.o1[[#This Row],[MedMod]]-AVERAGE(Tab.o1[MedMod]))/_xlfn.STDEV.P(Tab.o1[MedMod])*H$1203)+G$1203,"")</f>
        <v/>
      </c>
      <c r="S681" s="122" t="str">
        <f>IF(Tab.o1[[#This Row],[a1]]=1,((Tab.o1[[#This Row],[MedMod]]-AVERAGE(Tab.o1[MedMod]))/_xlfn.STDEV.P(Tab.o1[MedMod])*H$1204)+G$1204,"")</f>
        <v/>
      </c>
      <c r="T681" s="123" t="str">
        <f>IF(Tab.o1[[#This Row],[a1]]=1,Tab.o1[[#This Row],[Z-]]*_xlfn.STDEV.P(Tab.o1[B])+AVERAGE(Tab.o1[B]),"")</f>
        <v/>
      </c>
      <c r="U681" s="123" t="str">
        <f>IF(Tab.o1[[#This Row],[a1]]=1,Tab.o1[[#This Row],[z+]]*_xlfn.STDEV.P(Tab.o1[B])+AVERAGE(Tab.o1[B]),"")</f>
        <v/>
      </c>
      <c r="V681" s="124" t="str">
        <f>IF(Tab.o1[[#This Row],[a1]]=1,ABS((ABS(Tab.o1[[#This Row],[Red]]-Tab.o1[[#This Row],[Blue]]))),"")</f>
        <v/>
      </c>
      <c r="W681" s="125" t="str">
        <f>IF(Tab.o1[[#This Row],[a1]]=1,IF(W$3=0,1,Tab.o1[[#This Row],[Amp.]]*1/_xlfn.MINIFS(Tab.o1[Amp.],Tab.o1[Amp.],"&lt;&gt;0")),"")</f>
        <v/>
      </c>
      <c r="X681" s="126" t="str">
        <f>IF(Tab.o1[[#This Row],[a1]]=1,IF(ISNUMBER(Tab.o1[[#This Row],[i.]]),NORMDIST(Tab.o1[[#This Row],[Za]],0,1,FALSE)*Tab.o1[[#This Row],[i.]],AP$3),"")</f>
        <v/>
      </c>
      <c r="Y681" s="126" t="str">
        <f>IF(Tab.o1[[#This Row],[a1]]=1,0.01+0.94*Tab.o1[[#This Row],[PDF]]/MAX(Tab.o1[PDF]),"")</f>
        <v/>
      </c>
      <c r="Z681" s="126" t="str">
        <f>IF(Tab.o1[[#This Row],[a1]]=1,0.01+0.94*Tab.o1[[#This Row],[W1_PDF]]/MAX(Tab.o1[W1_PDF]),"")</f>
        <v/>
      </c>
      <c r="AA681" s="118" t="str">
        <f>IF(Tab.o1[[#This Row],[a1]]=1,ABS([1]!T.in.A[[#This Row],[oo6]]),"")</f>
        <v/>
      </c>
      <c r="AB681" s="127" t="str">
        <f>IF(Tab.o1[[#This Row],[a1]]=1,IF(AE$3=0,"",IF(AB$3=0,ABS([1]!T.in.A[[#This Row],[oo9]]),ABS(Tab.o1[[#This Row],[DIF_Target.]]*Tab.o1[[#This Row],[W1_PDF]]))),"")</f>
        <v/>
      </c>
      <c r="AC681" s="127" t="str">
        <f>IF(G$1=1,"",IF(Tab.o1[[#This Row],[a1]]=1,Tab.o1[[#This Row],[Wr]]^2,""))</f>
        <v/>
      </c>
      <c r="AD681" s="118" t="str">
        <f>IF(Tab.o1[[#This Row],[a1]]=1,IF(AE$3=0,"",Tab.o1[[#This Row],[Wr2]]/SUM(Tab.o1[Wr2])),"")</f>
        <v/>
      </c>
      <c r="AE681" s="128" t="str">
        <f>IF(Tab.o1[[#This Row],[a1]]=1,[1]!T.in.A[[#This Row],[oo10]],"")</f>
        <v/>
      </c>
      <c r="AF681" s="118" t="str">
        <f>IF(Tab.o1[[#This Row],[a1]]=1,ABS(Tab.o1[[#This Row],[DIF_Target.]]*Tab.o1[[#This Row],[PDF2]]*Tab.o1[[#This Row],[IN]]),"")</f>
        <v/>
      </c>
      <c r="AG681" s="129" t="str">
        <f>IF(Tab.o1[[#This Row],[a1]]=1,Tab.o1[[#This Row],[rW]]^2,"")</f>
        <v/>
      </c>
      <c r="AH681" s="130" t="str">
        <f>IF(Tab.o1[[#This Row],[a1]]=1,IF(AH$3=0,Tab.o1[[#This Row],[rW2]],0.01+0.94*Tab.o1[[#This Row],[rW2]]/SUM(Tab.o1[rW2])),"")</f>
        <v/>
      </c>
      <c r="AI681" s="128" t="str">
        <f>IF(Tab.o1[[#This Row],[a1]]=1,1/Tab.o1[[#This Row],[PDF]],"")</f>
        <v/>
      </c>
      <c r="AJ681" s="131" t="str">
        <f>IF(Tab.o1[[#This Row],[a1]]=1,[1]!T_AA[[#This Row],[IN'']]*[1]!T_AA[[#This Row],[Qde'']],"")</f>
        <v/>
      </c>
      <c r="AK681" s="132" t="str">
        <f>IF(Tab.o1[[#This Row],[a1]]=1,IF(AK$1=1,Tab.o1[[#This Row],[MED]]+Tab.o1[[#This Row],[MOD]]-Tab.o1[[#This Row],[MED]],""),"")</f>
        <v/>
      </c>
      <c r="AL681" s="133" t="str">
        <f>IF(Tab.o1[[#This Row],[a1]]=1,[1]!T.in.A[[#This Row],[oo16]],"")</f>
        <v/>
      </c>
      <c r="AM681" s="133" t="str">
        <f>IF(Tab.o1[[#This Row],[a1]]=1,IF(AM$3=1,[1]!T.in.A[[#This Row],[Σo16]],""),"")</f>
        <v/>
      </c>
      <c r="AN681" s="126" t="str">
        <f>IF(Tab.o1[[#This Row],[a1]]=1,[1]!T.in.A[[#This Row],[Σp5]],"")</f>
        <v/>
      </c>
      <c r="AO681" s="126" t="str">
        <f>IF(Tab.o1[[#This Row],[a1]]=1,IF(AO$3=1,[1]!T.in.A[[#This Row],[Σp5]],""),"")</f>
        <v/>
      </c>
      <c r="AP681" s="110" t="str">
        <f>IF(Tab.o1[[#This Row],[a1]]=1,IF(ISNUMBER(Tab.o1[[#This Row],[i.]]),NORMDIST(Tab.o1[[#This Row],[Za]],0,1,FALSE)*Tab.o1[[#This Row],[i.]],0),"")</f>
        <v/>
      </c>
      <c r="AQ681" s="125" t="str">
        <f>IF(Tab.o1[[#This Row],[a1]]=1,ABS(Tab.o1[[#This Row],[MOD]]-AVERAGE(Tab.o1[MOD])),"")</f>
        <v/>
      </c>
      <c r="AR681" s="134" t="str">
        <f>IF(Tab.o1[[#This Row],[a1]]=1,Tab.o1[[#This Row],[OBS]]/SUM(Tab.o1[OBS]),"")</f>
        <v/>
      </c>
      <c r="AS681" s="135" t="str">
        <f>IF(ISNUMBER(Tab.o1[[#This Row],[a1]]),ROW()-4,"")</f>
        <v/>
      </c>
      <c r="AT681" s="136" t="str">
        <f>Tab.o1[[#This Row],[MOD]]</f>
        <v/>
      </c>
      <c r="AU681" s="137" t="str">
        <f t="shared" si="41"/>
        <v/>
      </c>
      <c r="AV681" s="138" t="str">
        <f t="shared" si="42"/>
        <v/>
      </c>
      <c r="AW681" s="138" t="str">
        <f t="shared" si="43"/>
        <v/>
      </c>
      <c r="AX681" s="139" t="str">
        <f>[1]!T.in.A[[#This Row],[ID_T_manu]]</f>
        <v/>
      </c>
      <c r="AY681" s="140" t="str">
        <f>IF(ISNUMBER(Tab.o1[[#This Row],[a1]]),IF(AND(Tab.o1[[#This Row],[a1]]=1,Tab.o1[[#This Row],[b1]]&lt;=AY$4),#REF!,AY680),"")</f>
        <v/>
      </c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  <c r="BZ681" s="26"/>
      <c r="CA681" s="26"/>
    </row>
    <row r="682" spans="1:79" s="143" customFormat="1" ht="15.75" hidden="1">
      <c r="A682" s="109">
        <v>5.0000000000000004E-6</v>
      </c>
      <c r="B682" s="110">
        <f t="shared" si="40"/>
        <v>682</v>
      </c>
      <c r="C682" s="111" t="str">
        <f>IF(C$1=[1]!T.in.A[[#This Row],[oo2]],1,"")</f>
        <v/>
      </c>
      <c r="D682" s="112" t="str">
        <f>IF(Tab.o1[[#This Row],[a1]]=1,IF(SUM(C682:C683)=0,0,IF(SUM(C681:C682)=1,1,IF(SUM(C681:C683)&gt;1,D681+1,0))),"")</f>
        <v/>
      </c>
      <c r="E682" s="113" t="str">
        <f>IF(Tab.o1[[#This Row],[a1]]=1,[1]!T.in.A[[#This Row],[oo1]],"")</f>
        <v/>
      </c>
      <c r="F682" s="113" t="str">
        <f>IF(Tab.o1[[#This Row],[a1]]=1,[1]!T.in.A[[#This Row],[pp1]],"")</f>
        <v/>
      </c>
      <c r="G682" s="114" t="str">
        <f>IF(Tab.o1[[#This Row],[a1]]=1,G$2+IF(G$1=1,0,Tab.o1[[#This Row],[.x1]])+[1]!T.in.A[[#This Row],[oo3]],"")</f>
        <v/>
      </c>
      <c r="H682" s="115" t="str">
        <f>IF(Tab.o1[[#This Row],[a1]]=1,IF(H$2=0,0,IF(G$1=1,0,Tab.o1[[#This Row],[.x1]])+[1]!T.in.A[[#This Row],[oo4]]),"")</f>
        <v/>
      </c>
      <c r="I682" s="116" t="str">
        <f>IF(Tab.o1[[#This Row],[a1]]=1,IF(J$2=0,Tab.o1[[#This Row],[MED]],Tab.o1[[#This Row],[MOD]]),"")</f>
        <v/>
      </c>
      <c r="J682" s="116" t="str">
        <f>IF(Tab.o1[[#This Row],[a1]]=1,((Tab.o1[[#This Row],[DIF_Target.]]-AVERAGE(Tab.o1[DIF_Target.]))/_xlfn.STDEV.P(Tab.o1[DIF_Target.])),"")</f>
        <v/>
      </c>
      <c r="K682" s="117" t="str">
        <f>IF(Tab.o1[[#This Row],[a1]]=1,IF(J$2=0,Tab.o1[[#This Row],[MOD]]-Tab.o1[[#This Row],[B]],IF(J$2=1,0,-Tab.o1[[#This Row],[MED]])+Tab.o1[[#This Row],[B]]),"")</f>
        <v/>
      </c>
      <c r="L682" s="117" t="str">
        <f ca="1">IF(Tab.o1[[#This Row],[DIF_Target]]=0,IF(L$2=0,Tab.o1[[#This Row],[DIF_Target]],AVERAGE(OFFSET(Tab.o1[[#This Row],[DIF_Target]],1,0,L$3,1)))/3,Tab.o1[[#This Row],[DIF_Target]])</f>
        <v/>
      </c>
      <c r="M682" s="118" t="str">
        <f>IF(Tab.o1[[#This Row],[a1]]=1,NORMSDIST(Tab.o1[[#This Row],[Za]]),"")</f>
        <v/>
      </c>
      <c r="N682" s="119" t="str">
        <f>IF(Tab.o1[[#This Row],[a1]]=1,((Tab.o1[[#This Row],[MedMod]]-AVERAGE(Tab.o1[MedMod]))/_xlfn.STDEV.P(Tab.o1[MedMod])*H$1205)+G$1205,"")</f>
        <v/>
      </c>
      <c r="O682" s="141" t="str">
        <f>IF(Tab.o1[[#This Row],[a1]]=1,Tab.o1[[#This Row],[Zb]]*_xlfn.STDEV.P(Tab.o1[MedMod])+AVERAGE(Tab.o1[MedMod]),"")</f>
        <v/>
      </c>
      <c r="P682" s="117" t="str">
        <f ca="1">IF(Tab.o1[[#This Row],[B]]=0,AVERAGE(OFFSET(Tab.o1[[#This Row],[B]],1,0,L$3,1)),Tab.o1[[#This Row],[B]])</f>
        <v/>
      </c>
      <c r="Q682" s="121" t="str">
        <f>IF(Tab.o1[[#This Row],[a1]]=1,NORMSDIST(Tab.o1[[#This Row],[Zb]]),"")</f>
        <v/>
      </c>
      <c r="R682" s="122" t="str">
        <f>IF(Tab.o1[[#This Row],[a1]]=1,((Tab.o1[[#This Row],[MedMod]]-AVERAGE(Tab.o1[MedMod]))/_xlfn.STDEV.P(Tab.o1[MedMod])*H$1203)+G$1203,"")</f>
        <v/>
      </c>
      <c r="S682" s="122" t="str">
        <f>IF(Tab.o1[[#This Row],[a1]]=1,((Tab.o1[[#This Row],[MedMod]]-AVERAGE(Tab.o1[MedMod]))/_xlfn.STDEV.P(Tab.o1[MedMod])*H$1204)+G$1204,"")</f>
        <v/>
      </c>
      <c r="T682" s="123" t="str">
        <f>IF(Tab.o1[[#This Row],[a1]]=1,Tab.o1[[#This Row],[Z-]]*_xlfn.STDEV.P(Tab.o1[B])+AVERAGE(Tab.o1[B]),"")</f>
        <v/>
      </c>
      <c r="U682" s="123" t="str">
        <f>IF(Tab.o1[[#This Row],[a1]]=1,Tab.o1[[#This Row],[z+]]*_xlfn.STDEV.P(Tab.o1[B])+AVERAGE(Tab.o1[B]),"")</f>
        <v/>
      </c>
      <c r="V682" s="124" t="str">
        <f>IF(Tab.o1[[#This Row],[a1]]=1,ABS((ABS(Tab.o1[[#This Row],[Red]]-Tab.o1[[#This Row],[Blue]]))),"")</f>
        <v/>
      </c>
      <c r="W682" s="125" t="str">
        <f>IF(Tab.o1[[#This Row],[a1]]=1,IF(W$3=0,1,Tab.o1[[#This Row],[Amp.]]*1/_xlfn.MINIFS(Tab.o1[Amp.],Tab.o1[Amp.],"&lt;&gt;0")),"")</f>
        <v/>
      </c>
      <c r="X682" s="126" t="str">
        <f>IF(Tab.o1[[#This Row],[a1]]=1,IF(ISNUMBER(Tab.o1[[#This Row],[i.]]),NORMDIST(Tab.o1[[#This Row],[Za]],0,1,FALSE)*Tab.o1[[#This Row],[i.]],AP$3),"")</f>
        <v/>
      </c>
      <c r="Y682" s="126" t="str">
        <f>IF(Tab.o1[[#This Row],[a1]]=1,0.01+0.94*Tab.o1[[#This Row],[PDF]]/MAX(Tab.o1[PDF]),"")</f>
        <v/>
      </c>
      <c r="Z682" s="126" t="str">
        <f>IF(Tab.o1[[#This Row],[a1]]=1,0.01+0.94*Tab.o1[[#This Row],[W1_PDF]]/MAX(Tab.o1[W1_PDF]),"")</f>
        <v/>
      </c>
      <c r="AA682" s="118" t="str">
        <f>IF(Tab.o1[[#This Row],[a1]]=1,ABS([1]!T.in.A[[#This Row],[oo6]]),"")</f>
        <v/>
      </c>
      <c r="AB682" s="127" t="str">
        <f>IF(Tab.o1[[#This Row],[a1]]=1,IF(AE$3=0,"",IF(AB$3=0,ABS([1]!T.in.A[[#This Row],[oo9]]),ABS(Tab.o1[[#This Row],[DIF_Target.]]*Tab.o1[[#This Row],[W1_PDF]]))),"")</f>
        <v/>
      </c>
      <c r="AC682" s="127" t="str">
        <f>IF(G$1=1,"",IF(Tab.o1[[#This Row],[a1]]=1,Tab.o1[[#This Row],[Wr]]^2,""))</f>
        <v/>
      </c>
      <c r="AD682" s="118" t="str">
        <f>IF(Tab.o1[[#This Row],[a1]]=1,IF(AE$3=0,"",Tab.o1[[#This Row],[Wr2]]/SUM(Tab.o1[Wr2])),"")</f>
        <v/>
      </c>
      <c r="AE682" s="128" t="str">
        <f>IF(Tab.o1[[#This Row],[a1]]=1,[1]!T.in.A[[#This Row],[oo10]],"")</f>
        <v/>
      </c>
      <c r="AF682" s="118" t="str">
        <f>IF(Tab.o1[[#This Row],[a1]]=1,ABS(Tab.o1[[#This Row],[DIF_Target.]]*Tab.o1[[#This Row],[PDF2]]*Tab.o1[[#This Row],[IN]]),"")</f>
        <v/>
      </c>
      <c r="AG682" s="129" t="str">
        <f>IF(Tab.o1[[#This Row],[a1]]=1,Tab.o1[[#This Row],[rW]]^2,"")</f>
        <v/>
      </c>
      <c r="AH682" s="130" t="str">
        <f>IF(Tab.o1[[#This Row],[a1]]=1,IF(AH$3=0,Tab.o1[[#This Row],[rW2]],0.01+0.94*Tab.o1[[#This Row],[rW2]]/SUM(Tab.o1[rW2])),"")</f>
        <v/>
      </c>
      <c r="AI682" s="128" t="str">
        <f>IF(Tab.o1[[#This Row],[a1]]=1,1/Tab.o1[[#This Row],[PDF]],"")</f>
        <v/>
      </c>
      <c r="AJ682" s="131" t="str">
        <f>IF(Tab.o1[[#This Row],[a1]]=1,[1]!T_AA[[#This Row],[IN'']]*[1]!T_AA[[#This Row],[Qde'']],"")</f>
        <v/>
      </c>
      <c r="AK682" s="132" t="str">
        <f>IF(Tab.o1[[#This Row],[a1]]=1,IF(AK$1=1,Tab.o1[[#This Row],[MED]]+Tab.o1[[#This Row],[MOD]]-Tab.o1[[#This Row],[MED]],""),"")</f>
        <v/>
      </c>
      <c r="AL682" s="133" t="str">
        <f>IF(Tab.o1[[#This Row],[a1]]=1,[1]!T.in.A[[#This Row],[oo16]],"")</f>
        <v/>
      </c>
      <c r="AM682" s="133" t="str">
        <f>IF(Tab.o1[[#This Row],[a1]]=1,IF(AM$3=1,[1]!T.in.A[[#This Row],[Σo16]],""),"")</f>
        <v/>
      </c>
      <c r="AN682" s="126" t="str">
        <f>IF(Tab.o1[[#This Row],[a1]]=1,[1]!T.in.A[[#This Row],[Σp5]],"")</f>
        <v/>
      </c>
      <c r="AO682" s="126" t="str">
        <f>IF(Tab.o1[[#This Row],[a1]]=1,IF(AO$3=1,[1]!T.in.A[[#This Row],[Σp5]],""),"")</f>
        <v/>
      </c>
      <c r="AP682" s="110" t="str">
        <f>IF(Tab.o1[[#This Row],[a1]]=1,IF(ISNUMBER(Tab.o1[[#This Row],[i.]]),NORMDIST(Tab.o1[[#This Row],[Za]],0,1,FALSE)*Tab.o1[[#This Row],[i.]],0),"")</f>
        <v/>
      </c>
      <c r="AQ682" s="125" t="str">
        <f>IF(Tab.o1[[#This Row],[a1]]=1,ABS(Tab.o1[[#This Row],[MOD]]-AVERAGE(Tab.o1[MOD])),"")</f>
        <v/>
      </c>
      <c r="AR682" s="134" t="str">
        <f>IF(Tab.o1[[#This Row],[a1]]=1,Tab.o1[[#This Row],[OBS]]/SUM(Tab.o1[OBS]),"")</f>
        <v/>
      </c>
      <c r="AS682" s="135" t="str">
        <f>IF(ISNUMBER(Tab.o1[[#This Row],[a1]]),ROW()-4,"")</f>
        <v/>
      </c>
      <c r="AT682" s="136" t="str">
        <f>Tab.o1[[#This Row],[MOD]]</f>
        <v/>
      </c>
      <c r="AU682" s="137" t="str">
        <f t="shared" si="41"/>
        <v/>
      </c>
      <c r="AV682" s="138" t="str">
        <f t="shared" si="42"/>
        <v/>
      </c>
      <c r="AW682" s="138" t="str">
        <f t="shared" si="43"/>
        <v/>
      </c>
      <c r="AX682" s="139" t="str">
        <f>[1]!T.in.A[[#This Row],[ID_T_manu]]</f>
        <v/>
      </c>
      <c r="AY682" s="140" t="str">
        <f>IF(ISNUMBER(Tab.o1[[#This Row],[a1]]),IF(AND(Tab.o1[[#This Row],[a1]]=1,Tab.o1[[#This Row],[b1]]&lt;=AY$4),#REF!,AY681),"")</f>
        <v/>
      </c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  <c r="BZ682" s="26"/>
      <c r="CA682" s="26"/>
    </row>
    <row r="683" spans="1:79" s="143" customFormat="1" ht="15.75" hidden="1">
      <c r="A683" s="109">
        <v>-1.0000000000000002E-6</v>
      </c>
      <c r="B683" s="110">
        <f t="shared" si="40"/>
        <v>683</v>
      </c>
      <c r="C683" s="111" t="str">
        <f>IF(C$1=[1]!T.in.A[[#This Row],[oo2]],1,"")</f>
        <v/>
      </c>
      <c r="D683" s="112" t="str">
        <f>IF(Tab.o1[[#This Row],[a1]]=1,IF(SUM(C683:C684)=0,0,IF(SUM(C682:C683)=1,1,IF(SUM(C682:C684)&gt;1,D682+1,0))),"")</f>
        <v/>
      </c>
      <c r="E683" s="113" t="str">
        <f>IF(Tab.o1[[#This Row],[a1]]=1,[1]!T.in.A[[#This Row],[oo1]],"")</f>
        <v/>
      </c>
      <c r="F683" s="113" t="str">
        <f>IF(Tab.o1[[#This Row],[a1]]=1,[1]!T.in.A[[#This Row],[pp1]],"")</f>
        <v/>
      </c>
      <c r="G683" s="114" t="str">
        <f>IF(Tab.o1[[#This Row],[a1]]=1,G$2+IF(G$1=1,0,Tab.o1[[#This Row],[.x1]])+[1]!T.in.A[[#This Row],[oo3]],"")</f>
        <v/>
      </c>
      <c r="H683" s="115" t="str">
        <f>IF(Tab.o1[[#This Row],[a1]]=1,IF(H$2=0,0,IF(G$1=1,0,Tab.o1[[#This Row],[.x1]])+[1]!T.in.A[[#This Row],[oo4]]),"")</f>
        <v/>
      </c>
      <c r="I683" s="116" t="str">
        <f>IF(Tab.o1[[#This Row],[a1]]=1,IF(J$2=0,Tab.o1[[#This Row],[MED]],Tab.o1[[#This Row],[MOD]]),"")</f>
        <v/>
      </c>
      <c r="J683" s="116" t="str">
        <f>IF(Tab.o1[[#This Row],[a1]]=1,((Tab.o1[[#This Row],[DIF_Target.]]-AVERAGE(Tab.o1[DIF_Target.]))/_xlfn.STDEV.P(Tab.o1[DIF_Target.])),"")</f>
        <v/>
      </c>
      <c r="K683" s="117" t="str">
        <f>IF(Tab.o1[[#This Row],[a1]]=1,IF(J$2=0,Tab.o1[[#This Row],[MOD]]-Tab.o1[[#This Row],[B]],IF(J$2=1,0,-Tab.o1[[#This Row],[MED]])+Tab.o1[[#This Row],[B]]),"")</f>
        <v/>
      </c>
      <c r="L683" s="117" t="str">
        <f ca="1">IF(Tab.o1[[#This Row],[DIF_Target]]=0,IF(L$2=0,Tab.o1[[#This Row],[DIF_Target]],AVERAGE(OFFSET(Tab.o1[[#This Row],[DIF_Target]],1,0,L$3,1)))/3,Tab.o1[[#This Row],[DIF_Target]])</f>
        <v/>
      </c>
      <c r="M683" s="118" t="str">
        <f>IF(Tab.o1[[#This Row],[a1]]=1,NORMSDIST(Tab.o1[[#This Row],[Za]]),"")</f>
        <v/>
      </c>
      <c r="N683" s="119" t="str">
        <f>IF(Tab.o1[[#This Row],[a1]]=1,((Tab.o1[[#This Row],[MedMod]]-AVERAGE(Tab.o1[MedMod]))/_xlfn.STDEV.P(Tab.o1[MedMod])*H$1205)+G$1205,"")</f>
        <v/>
      </c>
      <c r="O683" s="141" t="str">
        <f>IF(Tab.o1[[#This Row],[a1]]=1,Tab.o1[[#This Row],[Zb]]*_xlfn.STDEV.P(Tab.o1[MedMod])+AVERAGE(Tab.o1[MedMod]),"")</f>
        <v/>
      </c>
      <c r="P683" s="117" t="str">
        <f ca="1">IF(Tab.o1[[#This Row],[B]]=0,AVERAGE(OFFSET(Tab.o1[[#This Row],[B]],1,0,L$3,1)),Tab.o1[[#This Row],[B]])</f>
        <v/>
      </c>
      <c r="Q683" s="121" t="str">
        <f>IF(Tab.o1[[#This Row],[a1]]=1,NORMSDIST(Tab.o1[[#This Row],[Zb]]),"")</f>
        <v/>
      </c>
      <c r="R683" s="122" t="str">
        <f>IF(Tab.o1[[#This Row],[a1]]=1,((Tab.o1[[#This Row],[MedMod]]-AVERAGE(Tab.o1[MedMod]))/_xlfn.STDEV.P(Tab.o1[MedMod])*H$1203)+G$1203,"")</f>
        <v/>
      </c>
      <c r="S683" s="122" t="str">
        <f>IF(Tab.o1[[#This Row],[a1]]=1,((Tab.o1[[#This Row],[MedMod]]-AVERAGE(Tab.o1[MedMod]))/_xlfn.STDEV.P(Tab.o1[MedMod])*H$1204)+G$1204,"")</f>
        <v/>
      </c>
      <c r="T683" s="123" t="str">
        <f>IF(Tab.o1[[#This Row],[a1]]=1,Tab.o1[[#This Row],[Z-]]*_xlfn.STDEV.P(Tab.o1[B])+AVERAGE(Tab.o1[B]),"")</f>
        <v/>
      </c>
      <c r="U683" s="123" t="str">
        <f>IF(Tab.o1[[#This Row],[a1]]=1,Tab.o1[[#This Row],[z+]]*_xlfn.STDEV.P(Tab.o1[B])+AVERAGE(Tab.o1[B]),"")</f>
        <v/>
      </c>
      <c r="V683" s="124" t="str">
        <f>IF(Tab.o1[[#This Row],[a1]]=1,ABS((ABS(Tab.o1[[#This Row],[Red]]-Tab.o1[[#This Row],[Blue]]))),"")</f>
        <v/>
      </c>
      <c r="W683" s="125" t="str">
        <f>IF(Tab.o1[[#This Row],[a1]]=1,IF(W$3=0,1,Tab.o1[[#This Row],[Amp.]]*1/_xlfn.MINIFS(Tab.o1[Amp.],Tab.o1[Amp.],"&lt;&gt;0")),"")</f>
        <v/>
      </c>
      <c r="X683" s="126" t="str">
        <f>IF(Tab.o1[[#This Row],[a1]]=1,IF(ISNUMBER(Tab.o1[[#This Row],[i.]]),NORMDIST(Tab.o1[[#This Row],[Za]],0,1,FALSE)*Tab.o1[[#This Row],[i.]],AP$3),"")</f>
        <v/>
      </c>
      <c r="Y683" s="126" t="str">
        <f>IF(Tab.o1[[#This Row],[a1]]=1,0.01+0.94*Tab.o1[[#This Row],[PDF]]/MAX(Tab.o1[PDF]),"")</f>
        <v/>
      </c>
      <c r="Z683" s="126" t="str">
        <f>IF(Tab.o1[[#This Row],[a1]]=1,0.01+0.94*Tab.o1[[#This Row],[W1_PDF]]/MAX(Tab.o1[W1_PDF]),"")</f>
        <v/>
      </c>
      <c r="AA683" s="118" t="str">
        <f>IF(Tab.o1[[#This Row],[a1]]=1,ABS([1]!T.in.A[[#This Row],[oo6]]),"")</f>
        <v/>
      </c>
      <c r="AB683" s="127" t="str">
        <f>IF(Tab.o1[[#This Row],[a1]]=1,IF(AE$3=0,"",IF(AB$3=0,ABS([1]!T.in.A[[#This Row],[oo9]]),ABS(Tab.o1[[#This Row],[DIF_Target.]]*Tab.o1[[#This Row],[W1_PDF]]))),"")</f>
        <v/>
      </c>
      <c r="AC683" s="127" t="str">
        <f>IF(G$1=1,"",IF(Tab.o1[[#This Row],[a1]]=1,Tab.o1[[#This Row],[Wr]]^2,""))</f>
        <v/>
      </c>
      <c r="AD683" s="118" t="str">
        <f>IF(Tab.o1[[#This Row],[a1]]=1,IF(AE$3=0,"",Tab.o1[[#This Row],[Wr2]]/SUM(Tab.o1[Wr2])),"")</f>
        <v/>
      </c>
      <c r="AE683" s="128" t="str">
        <f>IF(Tab.o1[[#This Row],[a1]]=1,[1]!T.in.A[[#This Row],[oo10]],"")</f>
        <v/>
      </c>
      <c r="AF683" s="118" t="str">
        <f>IF(Tab.o1[[#This Row],[a1]]=1,ABS(Tab.o1[[#This Row],[DIF_Target.]]*Tab.o1[[#This Row],[PDF2]]*Tab.o1[[#This Row],[IN]]),"")</f>
        <v/>
      </c>
      <c r="AG683" s="129" t="str">
        <f>IF(Tab.o1[[#This Row],[a1]]=1,Tab.o1[[#This Row],[rW]]^2,"")</f>
        <v/>
      </c>
      <c r="AH683" s="130" t="str">
        <f>IF(Tab.o1[[#This Row],[a1]]=1,IF(AH$3=0,Tab.o1[[#This Row],[rW2]],0.01+0.94*Tab.o1[[#This Row],[rW2]]/SUM(Tab.o1[rW2])),"")</f>
        <v/>
      </c>
      <c r="AI683" s="128" t="str">
        <f>IF(Tab.o1[[#This Row],[a1]]=1,1/Tab.o1[[#This Row],[PDF]],"")</f>
        <v/>
      </c>
      <c r="AJ683" s="131" t="str">
        <f>IF(Tab.o1[[#This Row],[a1]]=1,[1]!T_AA[[#This Row],[IN'']]*[1]!T_AA[[#This Row],[Qde'']],"")</f>
        <v/>
      </c>
      <c r="AK683" s="132" t="str">
        <f>IF(Tab.o1[[#This Row],[a1]]=1,IF(AK$1=1,Tab.o1[[#This Row],[MED]]+Tab.o1[[#This Row],[MOD]]-Tab.o1[[#This Row],[MED]],""),"")</f>
        <v/>
      </c>
      <c r="AL683" s="133" t="str">
        <f>IF(Tab.o1[[#This Row],[a1]]=1,[1]!T.in.A[[#This Row],[oo16]],"")</f>
        <v/>
      </c>
      <c r="AM683" s="133" t="str">
        <f>IF(Tab.o1[[#This Row],[a1]]=1,IF(AM$3=1,[1]!T.in.A[[#This Row],[Σo16]],""),"")</f>
        <v/>
      </c>
      <c r="AN683" s="126" t="str">
        <f>IF(Tab.o1[[#This Row],[a1]]=1,[1]!T.in.A[[#This Row],[Σp5]],"")</f>
        <v/>
      </c>
      <c r="AO683" s="126" t="str">
        <f>IF(Tab.o1[[#This Row],[a1]]=1,IF(AO$3=1,[1]!T.in.A[[#This Row],[Σp5]],""),"")</f>
        <v/>
      </c>
      <c r="AP683" s="110" t="str">
        <f>IF(Tab.o1[[#This Row],[a1]]=1,IF(ISNUMBER(Tab.o1[[#This Row],[i.]]),NORMDIST(Tab.o1[[#This Row],[Za]],0,1,FALSE)*Tab.o1[[#This Row],[i.]],0),"")</f>
        <v/>
      </c>
      <c r="AQ683" s="125" t="str">
        <f>IF(Tab.o1[[#This Row],[a1]]=1,ABS(Tab.o1[[#This Row],[MOD]]-AVERAGE(Tab.o1[MOD])),"")</f>
        <v/>
      </c>
      <c r="AR683" s="134" t="str">
        <f>IF(Tab.o1[[#This Row],[a1]]=1,Tab.o1[[#This Row],[OBS]]/SUM(Tab.o1[OBS]),"")</f>
        <v/>
      </c>
      <c r="AS683" s="135" t="str">
        <f>IF(ISNUMBER(Tab.o1[[#This Row],[a1]]),ROW()-4,"")</f>
        <v/>
      </c>
      <c r="AT683" s="136" t="str">
        <f>Tab.o1[[#This Row],[MOD]]</f>
        <v/>
      </c>
      <c r="AU683" s="137" t="str">
        <f t="shared" si="41"/>
        <v/>
      </c>
      <c r="AV683" s="138" t="str">
        <f t="shared" si="42"/>
        <v/>
      </c>
      <c r="AW683" s="138" t="str">
        <f t="shared" si="43"/>
        <v/>
      </c>
      <c r="AX683" s="139" t="str">
        <f>[1]!T.in.A[[#This Row],[ID_T_manu]]</f>
        <v/>
      </c>
      <c r="AY683" s="140" t="str">
        <f>IF(ISNUMBER(Tab.o1[[#This Row],[a1]]),IF(AND(Tab.o1[[#This Row],[a1]]=1,Tab.o1[[#This Row],[b1]]&lt;=AY$4),#REF!,AY682),"")</f>
        <v/>
      </c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</row>
    <row r="684" spans="1:79" s="143" customFormat="1" ht="15.75" hidden="1">
      <c r="A684" s="109">
        <v>-5.9999999999999993E-6</v>
      </c>
      <c r="B684" s="110">
        <f t="shared" si="40"/>
        <v>684</v>
      </c>
      <c r="C684" s="111" t="str">
        <f>IF(C$1=[1]!T.in.A[[#This Row],[oo2]],1,"")</f>
        <v/>
      </c>
      <c r="D684" s="112" t="str">
        <f>IF(Tab.o1[[#This Row],[a1]]=1,IF(SUM(C684:C685)=0,0,IF(SUM(C683:C684)=1,1,IF(SUM(C683:C685)&gt;1,D683+1,0))),"")</f>
        <v/>
      </c>
      <c r="E684" s="113" t="str">
        <f>IF(Tab.o1[[#This Row],[a1]]=1,[1]!T.in.A[[#This Row],[oo1]],"")</f>
        <v/>
      </c>
      <c r="F684" s="113" t="str">
        <f>IF(Tab.o1[[#This Row],[a1]]=1,[1]!T.in.A[[#This Row],[pp1]],"")</f>
        <v/>
      </c>
      <c r="G684" s="114" t="str">
        <f>IF(Tab.o1[[#This Row],[a1]]=1,G$2+IF(G$1=1,0,Tab.o1[[#This Row],[.x1]])+[1]!T.in.A[[#This Row],[oo3]],"")</f>
        <v/>
      </c>
      <c r="H684" s="115" t="str">
        <f>IF(Tab.o1[[#This Row],[a1]]=1,IF(H$2=0,0,IF(G$1=1,0,Tab.o1[[#This Row],[.x1]])+[1]!T.in.A[[#This Row],[oo4]]),"")</f>
        <v/>
      </c>
      <c r="I684" s="116" t="str">
        <f>IF(Tab.o1[[#This Row],[a1]]=1,IF(J$2=0,Tab.o1[[#This Row],[MED]],Tab.o1[[#This Row],[MOD]]),"")</f>
        <v/>
      </c>
      <c r="J684" s="116" t="str">
        <f>IF(Tab.o1[[#This Row],[a1]]=1,((Tab.o1[[#This Row],[DIF_Target.]]-AVERAGE(Tab.o1[DIF_Target.]))/_xlfn.STDEV.P(Tab.o1[DIF_Target.])),"")</f>
        <v/>
      </c>
      <c r="K684" s="117" t="str">
        <f>IF(Tab.o1[[#This Row],[a1]]=1,IF(J$2=0,Tab.o1[[#This Row],[MOD]]-Tab.o1[[#This Row],[B]],IF(J$2=1,0,-Tab.o1[[#This Row],[MED]])+Tab.o1[[#This Row],[B]]),"")</f>
        <v/>
      </c>
      <c r="L684" s="117" t="str">
        <f ca="1">IF(Tab.o1[[#This Row],[DIF_Target]]=0,IF(L$2=0,Tab.o1[[#This Row],[DIF_Target]],AVERAGE(OFFSET(Tab.o1[[#This Row],[DIF_Target]],1,0,L$3,1)))/3,Tab.o1[[#This Row],[DIF_Target]])</f>
        <v/>
      </c>
      <c r="M684" s="118" t="str">
        <f>IF(Tab.o1[[#This Row],[a1]]=1,NORMSDIST(Tab.o1[[#This Row],[Za]]),"")</f>
        <v/>
      </c>
      <c r="N684" s="119" t="str">
        <f>IF(Tab.o1[[#This Row],[a1]]=1,((Tab.o1[[#This Row],[MedMod]]-AVERAGE(Tab.o1[MedMod]))/_xlfn.STDEV.P(Tab.o1[MedMod])*H$1205)+G$1205,"")</f>
        <v/>
      </c>
      <c r="O684" s="141" t="str">
        <f>IF(Tab.o1[[#This Row],[a1]]=1,Tab.o1[[#This Row],[Zb]]*_xlfn.STDEV.P(Tab.o1[MedMod])+AVERAGE(Tab.o1[MedMod]),"")</f>
        <v/>
      </c>
      <c r="P684" s="117" t="str">
        <f ca="1">IF(Tab.o1[[#This Row],[B]]=0,AVERAGE(OFFSET(Tab.o1[[#This Row],[B]],1,0,L$3,1)),Tab.o1[[#This Row],[B]])</f>
        <v/>
      </c>
      <c r="Q684" s="121" t="str">
        <f>IF(Tab.o1[[#This Row],[a1]]=1,NORMSDIST(Tab.o1[[#This Row],[Zb]]),"")</f>
        <v/>
      </c>
      <c r="R684" s="122" t="str">
        <f>IF(Tab.o1[[#This Row],[a1]]=1,((Tab.o1[[#This Row],[MedMod]]-AVERAGE(Tab.o1[MedMod]))/_xlfn.STDEV.P(Tab.o1[MedMod])*H$1203)+G$1203,"")</f>
        <v/>
      </c>
      <c r="S684" s="122" t="str">
        <f>IF(Tab.o1[[#This Row],[a1]]=1,((Tab.o1[[#This Row],[MedMod]]-AVERAGE(Tab.o1[MedMod]))/_xlfn.STDEV.P(Tab.o1[MedMod])*H$1204)+G$1204,"")</f>
        <v/>
      </c>
      <c r="T684" s="123" t="str">
        <f>IF(Tab.o1[[#This Row],[a1]]=1,Tab.o1[[#This Row],[Z-]]*_xlfn.STDEV.P(Tab.o1[B])+AVERAGE(Tab.o1[B]),"")</f>
        <v/>
      </c>
      <c r="U684" s="123" t="str">
        <f>IF(Tab.o1[[#This Row],[a1]]=1,Tab.o1[[#This Row],[z+]]*_xlfn.STDEV.P(Tab.o1[B])+AVERAGE(Tab.o1[B]),"")</f>
        <v/>
      </c>
      <c r="V684" s="124" t="str">
        <f>IF(Tab.o1[[#This Row],[a1]]=1,ABS((ABS(Tab.o1[[#This Row],[Red]]-Tab.o1[[#This Row],[Blue]]))),"")</f>
        <v/>
      </c>
      <c r="W684" s="125" t="str">
        <f>IF(Tab.o1[[#This Row],[a1]]=1,IF(W$3=0,1,Tab.o1[[#This Row],[Amp.]]*1/_xlfn.MINIFS(Tab.o1[Amp.],Tab.o1[Amp.],"&lt;&gt;0")),"")</f>
        <v/>
      </c>
      <c r="X684" s="126" t="str">
        <f>IF(Tab.o1[[#This Row],[a1]]=1,IF(ISNUMBER(Tab.o1[[#This Row],[i.]]),NORMDIST(Tab.o1[[#This Row],[Za]],0,1,FALSE)*Tab.o1[[#This Row],[i.]],AP$3),"")</f>
        <v/>
      </c>
      <c r="Y684" s="126" t="str">
        <f>IF(Tab.o1[[#This Row],[a1]]=1,0.01+0.94*Tab.o1[[#This Row],[PDF]]/MAX(Tab.o1[PDF]),"")</f>
        <v/>
      </c>
      <c r="Z684" s="126" t="str">
        <f>IF(Tab.o1[[#This Row],[a1]]=1,0.01+0.94*Tab.o1[[#This Row],[W1_PDF]]/MAX(Tab.o1[W1_PDF]),"")</f>
        <v/>
      </c>
      <c r="AA684" s="118" t="str">
        <f>IF(Tab.o1[[#This Row],[a1]]=1,ABS([1]!T.in.A[[#This Row],[oo6]]),"")</f>
        <v/>
      </c>
      <c r="AB684" s="127" t="str">
        <f>IF(Tab.o1[[#This Row],[a1]]=1,IF(AE$3=0,"",IF(AB$3=0,ABS([1]!T.in.A[[#This Row],[oo9]]),ABS(Tab.o1[[#This Row],[DIF_Target.]]*Tab.o1[[#This Row],[W1_PDF]]))),"")</f>
        <v/>
      </c>
      <c r="AC684" s="127" t="str">
        <f>IF(G$1=1,"",IF(Tab.o1[[#This Row],[a1]]=1,Tab.o1[[#This Row],[Wr]]^2,""))</f>
        <v/>
      </c>
      <c r="AD684" s="118" t="str">
        <f>IF(Tab.o1[[#This Row],[a1]]=1,IF(AE$3=0,"",Tab.o1[[#This Row],[Wr2]]/SUM(Tab.o1[Wr2])),"")</f>
        <v/>
      </c>
      <c r="AE684" s="128" t="str">
        <f>IF(Tab.o1[[#This Row],[a1]]=1,[1]!T.in.A[[#This Row],[oo10]],"")</f>
        <v/>
      </c>
      <c r="AF684" s="118" t="str">
        <f>IF(Tab.o1[[#This Row],[a1]]=1,ABS(Tab.o1[[#This Row],[DIF_Target.]]*Tab.o1[[#This Row],[PDF2]]*Tab.o1[[#This Row],[IN]]),"")</f>
        <v/>
      </c>
      <c r="AG684" s="129" t="str">
        <f>IF(Tab.o1[[#This Row],[a1]]=1,Tab.o1[[#This Row],[rW]]^2,"")</f>
        <v/>
      </c>
      <c r="AH684" s="130" t="str">
        <f>IF(Tab.o1[[#This Row],[a1]]=1,IF(AH$3=0,Tab.o1[[#This Row],[rW2]],0.01+0.94*Tab.o1[[#This Row],[rW2]]/SUM(Tab.o1[rW2])),"")</f>
        <v/>
      </c>
      <c r="AI684" s="128" t="str">
        <f>IF(Tab.o1[[#This Row],[a1]]=1,1/Tab.o1[[#This Row],[PDF]],"")</f>
        <v/>
      </c>
      <c r="AJ684" s="131" t="str">
        <f>IF(Tab.o1[[#This Row],[a1]]=1,[1]!T_AA[[#This Row],[IN'']]*[1]!T_AA[[#This Row],[Qde'']],"")</f>
        <v/>
      </c>
      <c r="AK684" s="132" t="str">
        <f>IF(Tab.o1[[#This Row],[a1]]=1,IF(AK$1=1,Tab.o1[[#This Row],[MED]]+Tab.o1[[#This Row],[MOD]]-Tab.o1[[#This Row],[MED]],""),"")</f>
        <v/>
      </c>
      <c r="AL684" s="133" t="str">
        <f>IF(Tab.o1[[#This Row],[a1]]=1,[1]!T.in.A[[#This Row],[oo16]],"")</f>
        <v/>
      </c>
      <c r="AM684" s="133" t="str">
        <f>IF(Tab.o1[[#This Row],[a1]]=1,IF(AM$3=1,[1]!T.in.A[[#This Row],[Σo16]],""),"")</f>
        <v/>
      </c>
      <c r="AN684" s="126" t="str">
        <f>IF(Tab.o1[[#This Row],[a1]]=1,[1]!T.in.A[[#This Row],[Σp5]],"")</f>
        <v/>
      </c>
      <c r="AO684" s="126" t="str">
        <f>IF(Tab.o1[[#This Row],[a1]]=1,IF(AO$3=1,[1]!T.in.A[[#This Row],[Σp5]],""),"")</f>
        <v/>
      </c>
      <c r="AP684" s="110" t="str">
        <f>IF(Tab.o1[[#This Row],[a1]]=1,IF(ISNUMBER(Tab.o1[[#This Row],[i.]]),NORMDIST(Tab.o1[[#This Row],[Za]],0,1,FALSE)*Tab.o1[[#This Row],[i.]],0),"")</f>
        <v/>
      </c>
      <c r="AQ684" s="125" t="str">
        <f>IF(Tab.o1[[#This Row],[a1]]=1,ABS(Tab.o1[[#This Row],[MOD]]-AVERAGE(Tab.o1[MOD])),"")</f>
        <v/>
      </c>
      <c r="AR684" s="134" t="str">
        <f>IF(Tab.o1[[#This Row],[a1]]=1,Tab.o1[[#This Row],[OBS]]/SUM(Tab.o1[OBS]),"")</f>
        <v/>
      </c>
      <c r="AS684" s="135" t="str">
        <f>IF(ISNUMBER(Tab.o1[[#This Row],[a1]]),ROW()-4,"")</f>
        <v/>
      </c>
      <c r="AT684" s="136" t="str">
        <f>Tab.o1[[#This Row],[MOD]]</f>
        <v/>
      </c>
      <c r="AU684" s="137" t="str">
        <f t="shared" si="41"/>
        <v/>
      </c>
      <c r="AV684" s="138" t="str">
        <f t="shared" si="42"/>
        <v/>
      </c>
      <c r="AW684" s="138" t="str">
        <f t="shared" si="43"/>
        <v/>
      </c>
      <c r="AX684" s="139" t="str">
        <f>[1]!T.in.A[[#This Row],[ID_T_manu]]</f>
        <v/>
      </c>
      <c r="AY684" s="140" t="str">
        <f>IF(ISNUMBER(Tab.o1[[#This Row],[a1]]),IF(AND(Tab.o1[[#This Row],[a1]]=1,Tab.o1[[#This Row],[b1]]&lt;=AY$4),#REF!,AY683),"")</f>
        <v/>
      </c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  <c r="BZ684" s="26"/>
      <c r="CA684" s="26"/>
    </row>
    <row r="685" spans="1:79" s="143" customFormat="1" ht="15.75" hidden="1">
      <c r="A685" s="109">
        <v>-6.9999999999999999E-6</v>
      </c>
      <c r="B685" s="110">
        <f t="shared" si="40"/>
        <v>685</v>
      </c>
      <c r="C685" s="111" t="str">
        <f>IF(C$1=[1]!T.in.A[[#This Row],[oo2]],1,"")</f>
        <v/>
      </c>
      <c r="D685" s="112" t="str">
        <f>IF(Tab.o1[[#This Row],[a1]]=1,IF(SUM(C685:C686)=0,0,IF(SUM(C684:C685)=1,1,IF(SUM(C684:C686)&gt;1,D684+1,0))),"")</f>
        <v/>
      </c>
      <c r="E685" s="113" t="str">
        <f>IF(Tab.o1[[#This Row],[a1]]=1,[1]!T.in.A[[#This Row],[oo1]],"")</f>
        <v/>
      </c>
      <c r="F685" s="113" t="str">
        <f>IF(Tab.o1[[#This Row],[a1]]=1,[1]!T.in.A[[#This Row],[pp1]],"")</f>
        <v/>
      </c>
      <c r="G685" s="114" t="str">
        <f>IF(Tab.o1[[#This Row],[a1]]=1,G$2+IF(G$1=1,0,Tab.o1[[#This Row],[.x1]])+[1]!T.in.A[[#This Row],[oo3]],"")</f>
        <v/>
      </c>
      <c r="H685" s="115" t="str">
        <f>IF(Tab.o1[[#This Row],[a1]]=1,IF(H$2=0,0,IF(G$1=1,0,Tab.o1[[#This Row],[.x1]])+[1]!T.in.A[[#This Row],[oo4]]),"")</f>
        <v/>
      </c>
      <c r="I685" s="116" t="str">
        <f>IF(Tab.o1[[#This Row],[a1]]=1,IF(J$2=0,Tab.o1[[#This Row],[MED]],Tab.o1[[#This Row],[MOD]]),"")</f>
        <v/>
      </c>
      <c r="J685" s="116" t="str">
        <f>IF(Tab.o1[[#This Row],[a1]]=1,((Tab.o1[[#This Row],[DIF_Target.]]-AVERAGE(Tab.o1[DIF_Target.]))/_xlfn.STDEV.P(Tab.o1[DIF_Target.])),"")</f>
        <v/>
      </c>
      <c r="K685" s="117" t="str">
        <f>IF(Tab.o1[[#This Row],[a1]]=1,IF(J$2=0,Tab.o1[[#This Row],[MOD]]-Tab.o1[[#This Row],[B]],IF(J$2=1,0,-Tab.o1[[#This Row],[MED]])+Tab.o1[[#This Row],[B]]),"")</f>
        <v/>
      </c>
      <c r="L685" s="117" t="str">
        <f ca="1">IF(Tab.o1[[#This Row],[DIF_Target]]=0,IF(L$2=0,Tab.o1[[#This Row],[DIF_Target]],AVERAGE(OFFSET(Tab.o1[[#This Row],[DIF_Target]],1,0,L$3,1)))/3,Tab.o1[[#This Row],[DIF_Target]])</f>
        <v/>
      </c>
      <c r="M685" s="118" t="str">
        <f>IF(Tab.o1[[#This Row],[a1]]=1,NORMSDIST(Tab.o1[[#This Row],[Za]]),"")</f>
        <v/>
      </c>
      <c r="N685" s="119" t="str">
        <f>IF(Tab.o1[[#This Row],[a1]]=1,((Tab.o1[[#This Row],[MedMod]]-AVERAGE(Tab.o1[MedMod]))/_xlfn.STDEV.P(Tab.o1[MedMod])*H$1205)+G$1205,"")</f>
        <v/>
      </c>
      <c r="O685" s="141" t="str">
        <f>IF(Tab.o1[[#This Row],[a1]]=1,Tab.o1[[#This Row],[Zb]]*_xlfn.STDEV.P(Tab.o1[MedMod])+AVERAGE(Tab.o1[MedMod]),"")</f>
        <v/>
      </c>
      <c r="P685" s="117" t="str">
        <f ca="1">IF(Tab.o1[[#This Row],[B]]=0,AVERAGE(OFFSET(Tab.o1[[#This Row],[B]],1,0,L$3,1)),Tab.o1[[#This Row],[B]])</f>
        <v/>
      </c>
      <c r="Q685" s="121" t="str">
        <f>IF(Tab.o1[[#This Row],[a1]]=1,NORMSDIST(Tab.o1[[#This Row],[Zb]]),"")</f>
        <v/>
      </c>
      <c r="R685" s="122" t="str">
        <f>IF(Tab.o1[[#This Row],[a1]]=1,((Tab.o1[[#This Row],[MedMod]]-AVERAGE(Tab.o1[MedMod]))/_xlfn.STDEV.P(Tab.o1[MedMod])*H$1203)+G$1203,"")</f>
        <v/>
      </c>
      <c r="S685" s="122" t="str">
        <f>IF(Tab.o1[[#This Row],[a1]]=1,((Tab.o1[[#This Row],[MedMod]]-AVERAGE(Tab.o1[MedMod]))/_xlfn.STDEV.P(Tab.o1[MedMod])*H$1204)+G$1204,"")</f>
        <v/>
      </c>
      <c r="T685" s="123" t="str">
        <f>IF(Tab.o1[[#This Row],[a1]]=1,Tab.o1[[#This Row],[Z-]]*_xlfn.STDEV.P(Tab.o1[B])+AVERAGE(Tab.o1[B]),"")</f>
        <v/>
      </c>
      <c r="U685" s="123" t="str">
        <f>IF(Tab.o1[[#This Row],[a1]]=1,Tab.o1[[#This Row],[z+]]*_xlfn.STDEV.P(Tab.o1[B])+AVERAGE(Tab.o1[B]),"")</f>
        <v/>
      </c>
      <c r="V685" s="124" t="str">
        <f>IF(Tab.o1[[#This Row],[a1]]=1,ABS((ABS(Tab.o1[[#This Row],[Red]]-Tab.o1[[#This Row],[Blue]]))),"")</f>
        <v/>
      </c>
      <c r="W685" s="125" t="str">
        <f>IF(Tab.o1[[#This Row],[a1]]=1,IF(W$3=0,1,Tab.o1[[#This Row],[Amp.]]*1/_xlfn.MINIFS(Tab.o1[Amp.],Tab.o1[Amp.],"&lt;&gt;0")),"")</f>
        <v/>
      </c>
      <c r="X685" s="126" t="str">
        <f>IF(Tab.o1[[#This Row],[a1]]=1,IF(ISNUMBER(Tab.o1[[#This Row],[i.]]),NORMDIST(Tab.o1[[#This Row],[Za]],0,1,FALSE)*Tab.o1[[#This Row],[i.]],AP$3),"")</f>
        <v/>
      </c>
      <c r="Y685" s="126" t="str">
        <f>IF(Tab.o1[[#This Row],[a1]]=1,0.01+0.94*Tab.o1[[#This Row],[PDF]]/MAX(Tab.o1[PDF]),"")</f>
        <v/>
      </c>
      <c r="Z685" s="126" t="str">
        <f>IF(Tab.o1[[#This Row],[a1]]=1,0.01+0.94*Tab.o1[[#This Row],[W1_PDF]]/MAX(Tab.o1[W1_PDF]),"")</f>
        <v/>
      </c>
      <c r="AA685" s="118" t="str">
        <f>IF(Tab.o1[[#This Row],[a1]]=1,ABS([1]!T.in.A[[#This Row],[oo6]]),"")</f>
        <v/>
      </c>
      <c r="AB685" s="127" t="str">
        <f>IF(Tab.o1[[#This Row],[a1]]=1,IF(AE$3=0,"",IF(AB$3=0,ABS([1]!T.in.A[[#This Row],[oo9]]),ABS(Tab.o1[[#This Row],[DIF_Target.]]*Tab.o1[[#This Row],[W1_PDF]]))),"")</f>
        <v/>
      </c>
      <c r="AC685" s="127" t="str">
        <f>IF(G$1=1,"",IF(Tab.o1[[#This Row],[a1]]=1,Tab.o1[[#This Row],[Wr]]^2,""))</f>
        <v/>
      </c>
      <c r="AD685" s="118" t="str">
        <f>IF(Tab.o1[[#This Row],[a1]]=1,IF(AE$3=0,"",Tab.o1[[#This Row],[Wr2]]/SUM(Tab.o1[Wr2])),"")</f>
        <v/>
      </c>
      <c r="AE685" s="128" t="str">
        <f>IF(Tab.o1[[#This Row],[a1]]=1,[1]!T.in.A[[#This Row],[oo10]],"")</f>
        <v/>
      </c>
      <c r="AF685" s="118" t="str">
        <f>IF(Tab.o1[[#This Row],[a1]]=1,ABS(Tab.o1[[#This Row],[DIF_Target.]]*Tab.o1[[#This Row],[PDF2]]*Tab.o1[[#This Row],[IN]]),"")</f>
        <v/>
      </c>
      <c r="AG685" s="129" t="str">
        <f>IF(Tab.o1[[#This Row],[a1]]=1,Tab.o1[[#This Row],[rW]]^2,"")</f>
        <v/>
      </c>
      <c r="AH685" s="130" t="str">
        <f>IF(Tab.o1[[#This Row],[a1]]=1,IF(AH$3=0,Tab.o1[[#This Row],[rW2]],0.01+0.94*Tab.o1[[#This Row],[rW2]]/SUM(Tab.o1[rW2])),"")</f>
        <v/>
      </c>
      <c r="AI685" s="128" t="str">
        <f>IF(Tab.o1[[#This Row],[a1]]=1,1/Tab.o1[[#This Row],[PDF]],"")</f>
        <v/>
      </c>
      <c r="AJ685" s="131" t="str">
        <f>IF(Tab.o1[[#This Row],[a1]]=1,[1]!T_AA[[#This Row],[IN'']]*[1]!T_AA[[#This Row],[Qde'']],"")</f>
        <v/>
      </c>
      <c r="AK685" s="132" t="str">
        <f>IF(Tab.o1[[#This Row],[a1]]=1,IF(AK$1=1,Tab.o1[[#This Row],[MED]]+Tab.o1[[#This Row],[MOD]]-Tab.o1[[#This Row],[MED]],""),"")</f>
        <v/>
      </c>
      <c r="AL685" s="133" t="str">
        <f>IF(Tab.o1[[#This Row],[a1]]=1,[1]!T.in.A[[#This Row],[oo16]],"")</f>
        <v/>
      </c>
      <c r="AM685" s="133" t="str">
        <f>IF(Tab.o1[[#This Row],[a1]]=1,IF(AM$3=1,[1]!T.in.A[[#This Row],[Σo16]],""),"")</f>
        <v/>
      </c>
      <c r="AN685" s="126" t="str">
        <f>IF(Tab.o1[[#This Row],[a1]]=1,[1]!T.in.A[[#This Row],[Σp5]],"")</f>
        <v/>
      </c>
      <c r="AO685" s="126" t="str">
        <f>IF(Tab.o1[[#This Row],[a1]]=1,IF(AO$3=1,[1]!T.in.A[[#This Row],[Σp5]],""),"")</f>
        <v/>
      </c>
      <c r="AP685" s="110" t="str">
        <f>IF(Tab.o1[[#This Row],[a1]]=1,IF(ISNUMBER(Tab.o1[[#This Row],[i.]]),NORMDIST(Tab.o1[[#This Row],[Za]],0,1,FALSE)*Tab.o1[[#This Row],[i.]],0),"")</f>
        <v/>
      </c>
      <c r="AQ685" s="125" t="str">
        <f>IF(Tab.o1[[#This Row],[a1]]=1,ABS(Tab.o1[[#This Row],[MOD]]-AVERAGE(Tab.o1[MOD])),"")</f>
        <v/>
      </c>
      <c r="AR685" s="134" t="str">
        <f>IF(Tab.o1[[#This Row],[a1]]=1,Tab.o1[[#This Row],[OBS]]/SUM(Tab.o1[OBS]),"")</f>
        <v/>
      </c>
      <c r="AS685" s="135" t="str">
        <f>IF(ISNUMBER(Tab.o1[[#This Row],[a1]]),ROW()-4,"")</f>
        <v/>
      </c>
      <c r="AT685" s="136" t="str">
        <f>Tab.o1[[#This Row],[MOD]]</f>
        <v/>
      </c>
      <c r="AU685" s="137" t="str">
        <f t="shared" si="41"/>
        <v/>
      </c>
      <c r="AV685" s="138" t="str">
        <f t="shared" si="42"/>
        <v/>
      </c>
      <c r="AW685" s="138" t="str">
        <f t="shared" si="43"/>
        <v/>
      </c>
      <c r="AX685" s="139" t="str">
        <f>[1]!T.in.A[[#This Row],[ID_T_manu]]</f>
        <v/>
      </c>
      <c r="AY685" s="140" t="str">
        <f>IF(ISNUMBER(Tab.o1[[#This Row],[a1]]),IF(AND(Tab.o1[[#This Row],[a1]]=1,Tab.o1[[#This Row],[b1]]&lt;=AY$4),#REF!,AY684),"")</f>
        <v/>
      </c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  <c r="BZ685" s="26"/>
      <c r="CA685" s="26"/>
    </row>
    <row r="686" spans="1:79" s="143" customFormat="1" ht="15.75" hidden="1">
      <c r="A686" s="109">
        <v>4.0000000000000007E-6</v>
      </c>
      <c r="B686" s="110">
        <f t="shared" si="40"/>
        <v>686</v>
      </c>
      <c r="C686" s="111" t="str">
        <f>IF(C$1=[1]!T.in.A[[#This Row],[oo2]],1,"")</f>
        <v/>
      </c>
      <c r="D686" s="112" t="str">
        <f>IF(Tab.o1[[#This Row],[a1]]=1,IF(SUM(C686:C687)=0,0,IF(SUM(C685:C686)=1,1,IF(SUM(C685:C687)&gt;1,D685+1,0))),"")</f>
        <v/>
      </c>
      <c r="E686" s="113" t="str">
        <f>IF(Tab.o1[[#This Row],[a1]]=1,[1]!T.in.A[[#This Row],[oo1]],"")</f>
        <v/>
      </c>
      <c r="F686" s="113" t="str">
        <f>IF(Tab.o1[[#This Row],[a1]]=1,[1]!T.in.A[[#This Row],[pp1]],"")</f>
        <v/>
      </c>
      <c r="G686" s="114" t="str">
        <f>IF(Tab.o1[[#This Row],[a1]]=1,G$2+IF(G$1=1,0,Tab.o1[[#This Row],[.x1]])+[1]!T.in.A[[#This Row],[oo3]],"")</f>
        <v/>
      </c>
      <c r="H686" s="115" t="str">
        <f>IF(Tab.o1[[#This Row],[a1]]=1,IF(H$2=0,0,IF(G$1=1,0,Tab.o1[[#This Row],[.x1]])+[1]!T.in.A[[#This Row],[oo4]]),"")</f>
        <v/>
      </c>
      <c r="I686" s="116" t="str">
        <f>IF(Tab.o1[[#This Row],[a1]]=1,IF(J$2=0,Tab.o1[[#This Row],[MED]],Tab.o1[[#This Row],[MOD]]),"")</f>
        <v/>
      </c>
      <c r="J686" s="116" t="str">
        <f>IF(Tab.o1[[#This Row],[a1]]=1,((Tab.o1[[#This Row],[DIF_Target.]]-AVERAGE(Tab.o1[DIF_Target.]))/_xlfn.STDEV.P(Tab.o1[DIF_Target.])),"")</f>
        <v/>
      </c>
      <c r="K686" s="117" t="str">
        <f>IF(Tab.o1[[#This Row],[a1]]=1,IF(J$2=0,Tab.o1[[#This Row],[MOD]]-Tab.o1[[#This Row],[B]],IF(J$2=1,0,-Tab.o1[[#This Row],[MED]])+Tab.o1[[#This Row],[B]]),"")</f>
        <v/>
      </c>
      <c r="L686" s="117" t="str">
        <f ca="1">IF(Tab.o1[[#This Row],[DIF_Target]]=0,IF(L$2=0,Tab.o1[[#This Row],[DIF_Target]],AVERAGE(OFFSET(Tab.o1[[#This Row],[DIF_Target]],1,0,L$3,1)))/3,Tab.o1[[#This Row],[DIF_Target]])</f>
        <v/>
      </c>
      <c r="M686" s="118" t="str">
        <f>IF(Tab.o1[[#This Row],[a1]]=1,NORMSDIST(Tab.o1[[#This Row],[Za]]),"")</f>
        <v/>
      </c>
      <c r="N686" s="119" t="str">
        <f>IF(Tab.o1[[#This Row],[a1]]=1,((Tab.o1[[#This Row],[MedMod]]-AVERAGE(Tab.o1[MedMod]))/_xlfn.STDEV.P(Tab.o1[MedMod])*H$1205)+G$1205,"")</f>
        <v/>
      </c>
      <c r="O686" s="141" t="str">
        <f>IF(Tab.o1[[#This Row],[a1]]=1,Tab.o1[[#This Row],[Zb]]*_xlfn.STDEV.P(Tab.o1[MedMod])+AVERAGE(Tab.o1[MedMod]),"")</f>
        <v/>
      </c>
      <c r="P686" s="117" t="str">
        <f ca="1">IF(Tab.o1[[#This Row],[B]]=0,AVERAGE(OFFSET(Tab.o1[[#This Row],[B]],1,0,L$3,1)),Tab.o1[[#This Row],[B]])</f>
        <v/>
      </c>
      <c r="Q686" s="121" t="str">
        <f>IF(Tab.o1[[#This Row],[a1]]=1,NORMSDIST(Tab.o1[[#This Row],[Zb]]),"")</f>
        <v/>
      </c>
      <c r="R686" s="122" t="str">
        <f>IF(Tab.o1[[#This Row],[a1]]=1,((Tab.o1[[#This Row],[MedMod]]-AVERAGE(Tab.o1[MedMod]))/_xlfn.STDEV.P(Tab.o1[MedMod])*H$1203)+G$1203,"")</f>
        <v/>
      </c>
      <c r="S686" s="122" t="str">
        <f>IF(Tab.o1[[#This Row],[a1]]=1,((Tab.o1[[#This Row],[MedMod]]-AVERAGE(Tab.o1[MedMod]))/_xlfn.STDEV.P(Tab.o1[MedMod])*H$1204)+G$1204,"")</f>
        <v/>
      </c>
      <c r="T686" s="123" t="str">
        <f>IF(Tab.o1[[#This Row],[a1]]=1,Tab.o1[[#This Row],[Z-]]*_xlfn.STDEV.P(Tab.o1[B])+AVERAGE(Tab.o1[B]),"")</f>
        <v/>
      </c>
      <c r="U686" s="123" t="str">
        <f>IF(Tab.o1[[#This Row],[a1]]=1,Tab.o1[[#This Row],[z+]]*_xlfn.STDEV.P(Tab.o1[B])+AVERAGE(Tab.o1[B]),"")</f>
        <v/>
      </c>
      <c r="V686" s="124" t="str">
        <f>IF(Tab.o1[[#This Row],[a1]]=1,ABS((ABS(Tab.o1[[#This Row],[Red]]-Tab.o1[[#This Row],[Blue]]))),"")</f>
        <v/>
      </c>
      <c r="W686" s="125" t="str">
        <f>IF(Tab.o1[[#This Row],[a1]]=1,IF(W$3=0,1,Tab.o1[[#This Row],[Amp.]]*1/_xlfn.MINIFS(Tab.o1[Amp.],Tab.o1[Amp.],"&lt;&gt;0")),"")</f>
        <v/>
      </c>
      <c r="X686" s="126" t="str">
        <f>IF(Tab.o1[[#This Row],[a1]]=1,IF(ISNUMBER(Tab.o1[[#This Row],[i.]]),NORMDIST(Tab.o1[[#This Row],[Za]],0,1,FALSE)*Tab.o1[[#This Row],[i.]],AP$3),"")</f>
        <v/>
      </c>
      <c r="Y686" s="126" t="str">
        <f>IF(Tab.o1[[#This Row],[a1]]=1,0.01+0.94*Tab.o1[[#This Row],[PDF]]/MAX(Tab.o1[PDF]),"")</f>
        <v/>
      </c>
      <c r="Z686" s="126" t="str">
        <f>IF(Tab.o1[[#This Row],[a1]]=1,0.01+0.94*Tab.o1[[#This Row],[W1_PDF]]/MAX(Tab.o1[W1_PDF]),"")</f>
        <v/>
      </c>
      <c r="AA686" s="118" t="str">
        <f>IF(Tab.o1[[#This Row],[a1]]=1,ABS([1]!T.in.A[[#This Row],[oo6]]),"")</f>
        <v/>
      </c>
      <c r="AB686" s="127" t="str">
        <f>IF(Tab.o1[[#This Row],[a1]]=1,IF(AE$3=0,"",IF(AB$3=0,ABS([1]!T.in.A[[#This Row],[oo9]]),ABS(Tab.o1[[#This Row],[DIF_Target.]]*Tab.o1[[#This Row],[W1_PDF]]))),"")</f>
        <v/>
      </c>
      <c r="AC686" s="127" t="str">
        <f>IF(G$1=1,"",IF(Tab.o1[[#This Row],[a1]]=1,Tab.o1[[#This Row],[Wr]]^2,""))</f>
        <v/>
      </c>
      <c r="AD686" s="118" t="str">
        <f>IF(Tab.o1[[#This Row],[a1]]=1,IF(AE$3=0,"",Tab.o1[[#This Row],[Wr2]]/SUM(Tab.o1[Wr2])),"")</f>
        <v/>
      </c>
      <c r="AE686" s="128" t="str">
        <f>IF(Tab.o1[[#This Row],[a1]]=1,[1]!T.in.A[[#This Row],[oo10]],"")</f>
        <v/>
      </c>
      <c r="AF686" s="118" t="str">
        <f>IF(Tab.o1[[#This Row],[a1]]=1,ABS(Tab.o1[[#This Row],[DIF_Target.]]*Tab.o1[[#This Row],[PDF2]]*Tab.o1[[#This Row],[IN]]),"")</f>
        <v/>
      </c>
      <c r="AG686" s="129" t="str">
        <f>IF(Tab.o1[[#This Row],[a1]]=1,Tab.o1[[#This Row],[rW]]^2,"")</f>
        <v/>
      </c>
      <c r="AH686" s="130" t="str">
        <f>IF(Tab.o1[[#This Row],[a1]]=1,IF(AH$3=0,Tab.o1[[#This Row],[rW2]],0.01+0.94*Tab.o1[[#This Row],[rW2]]/SUM(Tab.o1[rW2])),"")</f>
        <v/>
      </c>
      <c r="AI686" s="128" t="str">
        <f>IF(Tab.o1[[#This Row],[a1]]=1,1/Tab.o1[[#This Row],[PDF]],"")</f>
        <v/>
      </c>
      <c r="AJ686" s="131" t="str">
        <f>IF(Tab.o1[[#This Row],[a1]]=1,[1]!T_AA[[#This Row],[IN'']]*[1]!T_AA[[#This Row],[Qde'']],"")</f>
        <v/>
      </c>
      <c r="AK686" s="132" t="str">
        <f>IF(Tab.o1[[#This Row],[a1]]=1,IF(AK$1=1,Tab.o1[[#This Row],[MED]]+Tab.o1[[#This Row],[MOD]]-Tab.o1[[#This Row],[MED]],""),"")</f>
        <v/>
      </c>
      <c r="AL686" s="133" t="str">
        <f>IF(Tab.o1[[#This Row],[a1]]=1,[1]!T.in.A[[#This Row],[oo16]],"")</f>
        <v/>
      </c>
      <c r="AM686" s="133" t="str">
        <f>IF(Tab.o1[[#This Row],[a1]]=1,IF(AM$3=1,[1]!T.in.A[[#This Row],[Σo16]],""),"")</f>
        <v/>
      </c>
      <c r="AN686" s="126" t="str">
        <f>IF(Tab.o1[[#This Row],[a1]]=1,[1]!T.in.A[[#This Row],[Σp5]],"")</f>
        <v/>
      </c>
      <c r="AO686" s="126" t="str">
        <f>IF(Tab.o1[[#This Row],[a1]]=1,IF(AO$3=1,[1]!T.in.A[[#This Row],[Σp5]],""),"")</f>
        <v/>
      </c>
      <c r="AP686" s="110" t="str">
        <f>IF(Tab.o1[[#This Row],[a1]]=1,IF(ISNUMBER(Tab.o1[[#This Row],[i.]]),NORMDIST(Tab.o1[[#This Row],[Za]],0,1,FALSE)*Tab.o1[[#This Row],[i.]],0),"")</f>
        <v/>
      </c>
      <c r="AQ686" s="125" t="str">
        <f>IF(Tab.o1[[#This Row],[a1]]=1,ABS(Tab.o1[[#This Row],[MOD]]-AVERAGE(Tab.o1[MOD])),"")</f>
        <v/>
      </c>
      <c r="AR686" s="134" t="str">
        <f>IF(Tab.o1[[#This Row],[a1]]=1,Tab.o1[[#This Row],[OBS]]/SUM(Tab.o1[OBS]),"")</f>
        <v/>
      </c>
      <c r="AS686" s="135" t="str">
        <f>IF(ISNUMBER(Tab.o1[[#This Row],[a1]]),ROW()-4,"")</f>
        <v/>
      </c>
      <c r="AT686" s="136" t="str">
        <f>Tab.o1[[#This Row],[MOD]]</f>
        <v/>
      </c>
      <c r="AU686" s="137" t="str">
        <f t="shared" si="41"/>
        <v/>
      </c>
      <c r="AV686" s="138" t="str">
        <f t="shared" si="42"/>
        <v/>
      </c>
      <c r="AW686" s="138" t="str">
        <f t="shared" si="43"/>
        <v/>
      </c>
      <c r="AX686" s="139" t="str">
        <f>[1]!T.in.A[[#This Row],[ID_T_manu]]</f>
        <v/>
      </c>
      <c r="AY686" s="140" t="str">
        <f>IF(ISNUMBER(Tab.o1[[#This Row],[a1]]),IF(AND(Tab.o1[[#This Row],[a1]]=1,Tab.o1[[#This Row],[b1]]&lt;=AY$4),#REF!,AY685),"")</f>
        <v/>
      </c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26"/>
    </row>
    <row r="687" spans="1:79" s="143" customFormat="1" ht="15.75" hidden="1">
      <c r="A687" s="109">
        <v>8.0000000000000013E-6</v>
      </c>
      <c r="B687" s="110">
        <f t="shared" si="40"/>
        <v>687</v>
      </c>
      <c r="C687" s="111" t="str">
        <f>IF(C$1=[1]!T.in.A[[#This Row],[oo2]],1,"")</f>
        <v/>
      </c>
      <c r="D687" s="112" t="str">
        <f>IF(Tab.o1[[#This Row],[a1]]=1,IF(SUM(C687:C688)=0,0,IF(SUM(C686:C687)=1,1,IF(SUM(C686:C688)&gt;1,D686+1,0))),"")</f>
        <v/>
      </c>
      <c r="E687" s="113" t="str">
        <f>IF(Tab.o1[[#This Row],[a1]]=1,[1]!T.in.A[[#This Row],[oo1]],"")</f>
        <v/>
      </c>
      <c r="F687" s="113" t="str">
        <f>IF(Tab.o1[[#This Row],[a1]]=1,[1]!T.in.A[[#This Row],[pp1]],"")</f>
        <v/>
      </c>
      <c r="G687" s="114" t="str">
        <f>IF(Tab.o1[[#This Row],[a1]]=1,G$2+IF(G$1=1,0,Tab.o1[[#This Row],[.x1]])+[1]!T.in.A[[#This Row],[oo3]],"")</f>
        <v/>
      </c>
      <c r="H687" s="115" t="str">
        <f>IF(Tab.o1[[#This Row],[a1]]=1,IF(H$2=0,0,IF(G$1=1,0,Tab.o1[[#This Row],[.x1]])+[1]!T.in.A[[#This Row],[oo4]]),"")</f>
        <v/>
      </c>
      <c r="I687" s="116" t="str">
        <f>IF(Tab.o1[[#This Row],[a1]]=1,IF(J$2=0,Tab.o1[[#This Row],[MED]],Tab.o1[[#This Row],[MOD]]),"")</f>
        <v/>
      </c>
      <c r="J687" s="116" t="str">
        <f>IF(Tab.o1[[#This Row],[a1]]=1,((Tab.o1[[#This Row],[DIF_Target.]]-AVERAGE(Tab.o1[DIF_Target.]))/_xlfn.STDEV.P(Tab.o1[DIF_Target.])),"")</f>
        <v/>
      </c>
      <c r="K687" s="117" t="str">
        <f>IF(Tab.o1[[#This Row],[a1]]=1,IF(J$2=0,Tab.o1[[#This Row],[MOD]]-Tab.o1[[#This Row],[B]],IF(J$2=1,0,-Tab.o1[[#This Row],[MED]])+Tab.o1[[#This Row],[B]]),"")</f>
        <v/>
      </c>
      <c r="L687" s="117" t="str">
        <f ca="1">IF(Tab.o1[[#This Row],[DIF_Target]]=0,IF(L$2=0,Tab.o1[[#This Row],[DIF_Target]],AVERAGE(OFFSET(Tab.o1[[#This Row],[DIF_Target]],1,0,L$3,1)))/3,Tab.o1[[#This Row],[DIF_Target]])</f>
        <v/>
      </c>
      <c r="M687" s="118" t="str">
        <f>IF(Tab.o1[[#This Row],[a1]]=1,NORMSDIST(Tab.o1[[#This Row],[Za]]),"")</f>
        <v/>
      </c>
      <c r="N687" s="119" t="str">
        <f>IF(Tab.o1[[#This Row],[a1]]=1,((Tab.o1[[#This Row],[MedMod]]-AVERAGE(Tab.o1[MedMod]))/_xlfn.STDEV.P(Tab.o1[MedMod])*H$1205)+G$1205,"")</f>
        <v/>
      </c>
      <c r="O687" s="141" t="str">
        <f>IF(Tab.o1[[#This Row],[a1]]=1,Tab.o1[[#This Row],[Zb]]*_xlfn.STDEV.P(Tab.o1[MedMod])+AVERAGE(Tab.o1[MedMod]),"")</f>
        <v/>
      </c>
      <c r="P687" s="117" t="str">
        <f ca="1">IF(Tab.o1[[#This Row],[B]]=0,AVERAGE(OFFSET(Tab.o1[[#This Row],[B]],1,0,L$3,1)),Tab.o1[[#This Row],[B]])</f>
        <v/>
      </c>
      <c r="Q687" s="121" t="str">
        <f>IF(Tab.o1[[#This Row],[a1]]=1,NORMSDIST(Tab.o1[[#This Row],[Zb]]),"")</f>
        <v/>
      </c>
      <c r="R687" s="122" t="str">
        <f>IF(Tab.o1[[#This Row],[a1]]=1,((Tab.o1[[#This Row],[MedMod]]-AVERAGE(Tab.o1[MedMod]))/_xlfn.STDEV.P(Tab.o1[MedMod])*H$1203)+G$1203,"")</f>
        <v/>
      </c>
      <c r="S687" s="122" t="str">
        <f>IF(Tab.o1[[#This Row],[a1]]=1,((Tab.o1[[#This Row],[MedMod]]-AVERAGE(Tab.o1[MedMod]))/_xlfn.STDEV.P(Tab.o1[MedMod])*H$1204)+G$1204,"")</f>
        <v/>
      </c>
      <c r="T687" s="123" t="str">
        <f>IF(Tab.o1[[#This Row],[a1]]=1,Tab.o1[[#This Row],[Z-]]*_xlfn.STDEV.P(Tab.o1[B])+AVERAGE(Tab.o1[B]),"")</f>
        <v/>
      </c>
      <c r="U687" s="123" t="str">
        <f>IF(Tab.o1[[#This Row],[a1]]=1,Tab.o1[[#This Row],[z+]]*_xlfn.STDEV.P(Tab.o1[B])+AVERAGE(Tab.o1[B]),"")</f>
        <v/>
      </c>
      <c r="V687" s="124" t="str">
        <f>IF(Tab.o1[[#This Row],[a1]]=1,ABS((ABS(Tab.o1[[#This Row],[Red]]-Tab.o1[[#This Row],[Blue]]))),"")</f>
        <v/>
      </c>
      <c r="W687" s="125" t="str">
        <f>IF(Tab.o1[[#This Row],[a1]]=1,IF(W$3=0,1,Tab.o1[[#This Row],[Amp.]]*1/_xlfn.MINIFS(Tab.o1[Amp.],Tab.o1[Amp.],"&lt;&gt;0")),"")</f>
        <v/>
      </c>
      <c r="X687" s="126" t="str">
        <f>IF(Tab.o1[[#This Row],[a1]]=1,IF(ISNUMBER(Tab.o1[[#This Row],[i.]]),NORMDIST(Tab.o1[[#This Row],[Za]],0,1,FALSE)*Tab.o1[[#This Row],[i.]],AP$3),"")</f>
        <v/>
      </c>
      <c r="Y687" s="126" t="str">
        <f>IF(Tab.o1[[#This Row],[a1]]=1,0.01+0.94*Tab.o1[[#This Row],[PDF]]/MAX(Tab.o1[PDF]),"")</f>
        <v/>
      </c>
      <c r="Z687" s="126" t="str">
        <f>IF(Tab.o1[[#This Row],[a1]]=1,0.01+0.94*Tab.o1[[#This Row],[W1_PDF]]/MAX(Tab.o1[W1_PDF]),"")</f>
        <v/>
      </c>
      <c r="AA687" s="118" t="str">
        <f>IF(Tab.o1[[#This Row],[a1]]=1,ABS([1]!T.in.A[[#This Row],[oo6]]),"")</f>
        <v/>
      </c>
      <c r="AB687" s="127" t="str">
        <f>IF(Tab.o1[[#This Row],[a1]]=1,IF(AE$3=0,"",IF(AB$3=0,ABS([1]!T.in.A[[#This Row],[oo9]]),ABS(Tab.o1[[#This Row],[DIF_Target.]]*Tab.o1[[#This Row],[W1_PDF]]))),"")</f>
        <v/>
      </c>
      <c r="AC687" s="127" t="str">
        <f>IF(G$1=1,"",IF(Tab.o1[[#This Row],[a1]]=1,Tab.o1[[#This Row],[Wr]]^2,""))</f>
        <v/>
      </c>
      <c r="AD687" s="118" t="str">
        <f>IF(Tab.o1[[#This Row],[a1]]=1,IF(AE$3=0,"",Tab.o1[[#This Row],[Wr2]]/SUM(Tab.o1[Wr2])),"")</f>
        <v/>
      </c>
      <c r="AE687" s="128" t="str">
        <f>IF(Tab.o1[[#This Row],[a1]]=1,[1]!T.in.A[[#This Row],[oo10]],"")</f>
        <v/>
      </c>
      <c r="AF687" s="118" t="str">
        <f>IF(Tab.o1[[#This Row],[a1]]=1,ABS(Tab.o1[[#This Row],[DIF_Target.]]*Tab.o1[[#This Row],[PDF2]]*Tab.o1[[#This Row],[IN]]),"")</f>
        <v/>
      </c>
      <c r="AG687" s="129" t="str">
        <f>IF(Tab.o1[[#This Row],[a1]]=1,Tab.o1[[#This Row],[rW]]^2,"")</f>
        <v/>
      </c>
      <c r="AH687" s="130" t="str">
        <f>IF(Tab.o1[[#This Row],[a1]]=1,IF(AH$3=0,Tab.o1[[#This Row],[rW2]],0.01+0.94*Tab.o1[[#This Row],[rW2]]/SUM(Tab.o1[rW2])),"")</f>
        <v/>
      </c>
      <c r="AI687" s="128" t="str">
        <f>IF(Tab.o1[[#This Row],[a1]]=1,1/Tab.o1[[#This Row],[PDF]],"")</f>
        <v/>
      </c>
      <c r="AJ687" s="131" t="str">
        <f>IF(Tab.o1[[#This Row],[a1]]=1,[1]!T_AA[[#This Row],[IN'']]*[1]!T_AA[[#This Row],[Qde'']],"")</f>
        <v/>
      </c>
      <c r="AK687" s="132" t="str">
        <f>IF(Tab.o1[[#This Row],[a1]]=1,IF(AK$1=1,Tab.o1[[#This Row],[MED]]+Tab.o1[[#This Row],[MOD]]-Tab.o1[[#This Row],[MED]],""),"")</f>
        <v/>
      </c>
      <c r="AL687" s="133" t="str">
        <f>IF(Tab.o1[[#This Row],[a1]]=1,[1]!T.in.A[[#This Row],[oo16]],"")</f>
        <v/>
      </c>
      <c r="AM687" s="133" t="str">
        <f>IF(Tab.o1[[#This Row],[a1]]=1,IF(AM$3=1,[1]!T.in.A[[#This Row],[Σo16]],""),"")</f>
        <v/>
      </c>
      <c r="AN687" s="126" t="str">
        <f>IF(Tab.o1[[#This Row],[a1]]=1,[1]!T.in.A[[#This Row],[Σp5]],"")</f>
        <v/>
      </c>
      <c r="AO687" s="126" t="str">
        <f>IF(Tab.o1[[#This Row],[a1]]=1,IF(AO$3=1,[1]!T.in.A[[#This Row],[Σp5]],""),"")</f>
        <v/>
      </c>
      <c r="AP687" s="110" t="str">
        <f>IF(Tab.o1[[#This Row],[a1]]=1,IF(ISNUMBER(Tab.o1[[#This Row],[i.]]),NORMDIST(Tab.o1[[#This Row],[Za]],0,1,FALSE)*Tab.o1[[#This Row],[i.]],0),"")</f>
        <v/>
      </c>
      <c r="AQ687" s="125" t="str">
        <f>IF(Tab.o1[[#This Row],[a1]]=1,ABS(Tab.o1[[#This Row],[MOD]]-AVERAGE(Tab.o1[MOD])),"")</f>
        <v/>
      </c>
      <c r="AR687" s="134" t="str">
        <f>IF(Tab.o1[[#This Row],[a1]]=1,Tab.o1[[#This Row],[OBS]]/SUM(Tab.o1[OBS]),"")</f>
        <v/>
      </c>
      <c r="AS687" s="135" t="str">
        <f>IF(ISNUMBER(Tab.o1[[#This Row],[a1]]),ROW()-4,"")</f>
        <v/>
      </c>
      <c r="AT687" s="136" t="str">
        <f>Tab.o1[[#This Row],[MOD]]</f>
        <v/>
      </c>
      <c r="AU687" s="137" t="str">
        <f t="shared" si="41"/>
        <v/>
      </c>
      <c r="AV687" s="138" t="str">
        <f t="shared" si="42"/>
        <v/>
      </c>
      <c r="AW687" s="138" t="str">
        <f t="shared" si="43"/>
        <v/>
      </c>
      <c r="AX687" s="139" t="str">
        <f>[1]!T.in.A[[#This Row],[ID_T_manu]]</f>
        <v/>
      </c>
      <c r="AY687" s="140" t="str">
        <f>IF(ISNUMBER(Tab.o1[[#This Row],[a1]]),IF(AND(Tab.o1[[#This Row],[a1]]=1,Tab.o1[[#This Row],[b1]]&lt;=AY$4),#REF!,AY686),"")</f>
        <v/>
      </c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26"/>
    </row>
    <row r="688" spans="1:79" s="143" customFormat="1" ht="15.75" hidden="1">
      <c r="A688" s="109">
        <v>-9.0000000000000002E-6</v>
      </c>
      <c r="B688" s="110">
        <f t="shared" si="40"/>
        <v>688</v>
      </c>
      <c r="C688" s="111" t="str">
        <f>IF(C$1=[1]!T.in.A[[#This Row],[oo2]],1,"")</f>
        <v/>
      </c>
      <c r="D688" s="112" t="str">
        <f>IF(Tab.o1[[#This Row],[a1]]=1,IF(SUM(C688:C689)=0,0,IF(SUM(C687:C688)=1,1,IF(SUM(C687:C689)&gt;1,D687+1,0))),"")</f>
        <v/>
      </c>
      <c r="E688" s="113" t="str">
        <f>IF(Tab.o1[[#This Row],[a1]]=1,[1]!T.in.A[[#This Row],[oo1]],"")</f>
        <v/>
      </c>
      <c r="F688" s="113" t="str">
        <f>IF(Tab.o1[[#This Row],[a1]]=1,[1]!T.in.A[[#This Row],[pp1]],"")</f>
        <v/>
      </c>
      <c r="G688" s="114" t="str">
        <f>IF(Tab.o1[[#This Row],[a1]]=1,G$2+IF(G$1=1,0,Tab.o1[[#This Row],[.x1]])+[1]!T.in.A[[#This Row],[oo3]],"")</f>
        <v/>
      </c>
      <c r="H688" s="115" t="str">
        <f>IF(Tab.o1[[#This Row],[a1]]=1,IF(H$2=0,0,IF(G$1=1,0,Tab.o1[[#This Row],[.x1]])+[1]!T.in.A[[#This Row],[oo4]]),"")</f>
        <v/>
      </c>
      <c r="I688" s="116" t="str">
        <f>IF(Tab.o1[[#This Row],[a1]]=1,IF(J$2=0,Tab.o1[[#This Row],[MED]],Tab.o1[[#This Row],[MOD]]),"")</f>
        <v/>
      </c>
      <c r="J688" s="116" t="str">
        <f>IF(Tab.o1[[#This Row],[a1]]=1,((Tab.o1[[#This Row],[DIF_Target.]]-AVERAGE(Tab.o1[DIF_Target.]))/_xlfn.STDEV.P(Tab.o1[DIF_Target.])),"")</f>
        <v/>
      </c>
      <c r="K688" s="117" t="str">
        <f>IF(Tab.o1[[#This Row],[a1]]=1,IF(J$2=0,Tab.o1[[#This Row],[MOD]]-Tab.o1[[#This Row],[B]],IF(J$2=1,0,-Tab.o1[[#This Row],[MED]])+Tab.o1[[#This Row],[B]]),"")</f>
        <v/>
      </c>
      <c r="L688" s="117" t="str">
        <f ca="1">IF(Tab.o1[[#This Row],[DIF_Target]]=0,IF(L$2=0,Tab.o1[[#This Row],[DIF_Target]],AVERAGE(OFFSET(Tab.o1[[#This Row],[DIF_Target]],1,0,L$3,1)))/3,Tab.o1[[#This Row],[DIF_Target]])</f>
        <v/>
      </c>
      <c r="M688" s="118" t="str">
        <f>IF(Tab.o1[[#This Row],[a1]]=1,NORMSDIST(Tab.o1[[#This Row],[Za]]),"")</f>
        <v/>
      </c>
      <c r="N688" s="119" t="str">
        <f>IF(Tab.o1[[#This Row],[a1]]=1,((Tab.o1[[#This Row],[MedMod]]-AVERAGE(Tab.o1[MedMod]))/_xlfn.STDEV.P(Tab.o1[MedMod])*H$1205)+G$1205,"")</f>
        <v/>
      </c>
      <c r="O688" s="141" t="str">
        <f>IF(Tab.o1[[#This Row],[a1]]=1,Tab.o1[[#This Row],[Zb]]*_xlfn.STDEV.P(Tab.o1[MedMod])+AVERAGE(Tab.o1[MedMod]),"")</f>
        <v/>
      </c>
      <c r="P688" s="117" t="str">
        <f ca="1">IF(Tab.o1[[#This Row],[B]]=0,AVERAGE(OFFSET(Tab.o1[[#This Row],[B]],1,0,L$3,1)),Tab.o1[[#This Row],[B]])</f>
        <v/>
      </c>
      <c r="Q688" s="121" t="str">
        <f>IF(Tab.o1[[#This Row],[a1]]=1,NORMSDIST(Tab.o1[[#This Row],[Zb]]),"")</f>
        <v/>
      </c>
      <c r="R688" s="122" t="str">
        <f>IF(Tab.o1[[#This Row],[a1]]=1,((Tab.o1[[#This Row],[MedMod]]-AVERAGE(Tab.o1[MedMod]))/_xlfn.STDEV.P(Tab.o1[MedMod])*H$1203)+G$1203,"")</f>
        <v/>
      </c>
      <c r="S688" s="122" t="str">
        <f>IF(Tab.o1[[#This Row],[a1]]=1,((Tab.o1[[#This Row],[MedMod]]-AVERAGE(Tab.o1[MedMod]))/_xlfn.STDEV.P(Tab.o1[MedMod])*H$1204)+G$1204,"")</f>
        <v/>
      </c>
      <c r="T688" s="123" t="str">
        <f>IF(Tab.o1[[#This Row],[a1]]=1,Tab.o1[[#This Row],[Z-]]*_xlfn.STDEV.P(Tab.o1[B])+AVERAGE(Tab.o1[B]),"")</f>
        <v/>
      </c>
      <c r="U688" s="123" t="str">
        <f>IF(Tab.o1[[#This Row],[a1]]=1,Tab.o1[[#This Row],[z+]]*_xlfn.STDEV.P(Tab.o1[B])+AVERAGE(Tab.o1[B]),"")</f>
        <v/>
      </c>
      <c r="V688" s="124" t="str">
        <f>IF(Tab.o1[[#This Row],[a1]]=1,ABS((ABS(Tab.o1[[#This Row],[Red]]-Tab.o1[[#This Row],[Blue]]))),"")</f>
        <v/>
      </c>
      <c r="W688" s="125" t="str">
        <f>IF(Tab.o1[[#This Row],[a1]]=1,IF(W$3=0,1,Tab.o1[[#This Row],[Amp.]]*1/_xlfn.MINIFS(Tab.o1[Amp.],Tab.o1[Amp.],"&lt;&gt;0")),"")</f>
        <v/>
      </c>
      <c r="X688" s="126" t="str">
        <f>IF(Tab.o1[[#This Row],[a1]]=1,IF(ISNUMBER(Tab.o1[[#This Row],[i.]]),NORMDIST(Tab.o1[[#This Row],[Za]],0,1,FALSE)*Tab.o1[[#This Row],[i.]],AP$3),"")</f>
        <v/>
      </c>
      <c r="Y688" s="126" t="str">
        <f>IF(Tab.o1[[#This Row],[a1]]=1,0.01+0.94*Tab.o1[[#This Row],[PDF]]/MAX(Tab.o1[PDF]),"")</f>
        <v/>
      </c>
      <c r="Z688" s="126" t="str">
        <f>IF(Tab.o1[[#This Row],[a1]]=1,0.01+0.94*Tab.o1[[#This Row],[W1_PDF]]/MAX(Tab.o1[W1_PDF]),"")</f>
        <v/>
      </c>
      <c r="AA688" s="118" t="str">
        <f>IF(Tab.o1[[#This Row],[a1]]=1,ABS([1]!T.in.A[[#This Row],[oo6]]),"")</f>
        <v/>
      </c>
      <c r="AB688" s="127" t="str">
        <f>IF(Tab.o1[[#This Row],[a1]]=1,IF(AE$3=0,"",IF(AB$3=0,ABS([1]!T.in.A[[#This Row],[oo9]]),ABS(Tab.o1[[#This Row],[DIF_Target.]]*Tab.o1[[#This Row],[W1_PDF]]))),"")</f>
        <v/>
      </c>
      <c r="AC688" s="127" t="str">
        <f>IF(G$1=1,"",IF(Tab.o1[[#This Row],[a1]]=1,Tab.o1[[#This Row],[Wr]]^2,""))</f>
        <v/>
      </c>
      <c r="AD688" s="118" t="str">
        <f>IF(Tab.o1[[#This Row],[a1]]=1,IF(AE$3=0,"",Tab.o1[[#This Row],[Wr2]]/SUM(Tab.o1[Wr2])),"")</f>
        <v/>
      </c>
      <c r="AE688" s="128" t="str">
        <f>IF(Tab.o1[[#This Row],[a1]]=1,[1]!T.in.A[[#This Row],[oo10]],"")</f>
        <v/>
      </c>
      <c r="AF688" s="118" t="str">
        <f>IF(Tab.o1[[#This Row],[a1]]=1,ABS(Tab.o1[[#This Row],[DIF_Target.]]*Tab.o1[[#This Row],[PDF2]]*Tab.o1[[#This Row],[IN]]),"")</f>
        <v/>
      </c>
      <c r="AG688" s="129" t="str">
        <f>IF(Tab.o1[[#This Row],[a1]]=1,Tab.o1[[#This Row],[rW]]^2,"")</f>
        <v/>
      </c>
      <c r="AH688" s="130" t="str">
        <f>IF(Tab.o1[[#This Row],[a1]]=1,IF(AH$3=0,Tab.o1[[#This Row],[rW2]],0.01+0.94*Tab.o1[[#This Row],[rW2]]/SUM(Tab.o1[rW2])),"")</f>
        <v/>
      </c>
      <c r="AI688" s="128" t="str">
        <f>IF(Tab.o1[[#This Row],[a1]]=1,1/Tab.o1[[#This Row],[PDF]],"")</f>
        <v/>
      </c>
      <c r="AJ688" s="131" t="str">
        <f>IF(Tab.o1[[#This Row],[a1]]=1,[1]!T_AA[[#This Row],[IN'']]*[1]!T_AA[[#This Row],[Qde'']],"")</f>
        <v/>
      </c>
      <c r="AK688" s="132" t="str">
        <f>IF(Tab.o1[[#This Row],[a1]]=1,IF(AK$1=1,Tab.o1[[#This Row],[MED]]+Tab.o1[[#This Row],[MOD]]-Tab.o1[[#This Row],[MED]],""),"")</f>
        <v/>
      </c>
      <c r="AL688" s="133" t="str">
        <f>IF(Tab.o1[[#This Row],[a1]]=1,[1]!T.in.A[[#This Row],[oo16]],"")</f>
        <v/>
      </c>
      <c r="AM688" s="133" t="str">
        <f>IF(Tab.o1[[#This Row],[a1]]=1,IF(AM$3=1,[1]!T.in.A[[#This Row],[Σo16]],""),"")</f>
        <v/>
      </c>
      <c r="AN688" s="126" t="str">
        <f>IF(Tab.o1[[#This Row],[a1]]=1,[1]!T.in.A[[#This Row],[Σp5]],"")</f>
        <v/>
      </c>
      <c r="AO688" s="126" t="str">
        <f>IF(Tab.o1[[#This Row],[a1]]=1,IF(AO$3=1,[1]!T.in.A[[#This Row],[Σp5]],""),"")</f>
        <v/>
      </c>
      <c r="AP688" s="110" t="str">
        <f>IF(Tab.o1[[#This Row],[a1]]=1,IF(ISNUMBER(Tab.o1[[#This Row],[i.]]),NORMDIST(Tab.o1[[#This Row],[Za]],0,1,FALSE)*Tab.o1[[#This Row],[i.]],0),"")</f>
        <v/>
      </c>
      <c r="AQ688" s="125" t="str">
        <f>IF(Tab.o1[[#This Row],[a1]]=1,ABS(Tab.o1[[#This Row],[MOD]]-AVERAGE(Tab.o1[MOD])),"")</f>
        <v/>
      </c>
      <c r="AR688" s="134" t="str">
        <f>IF(Tab.o1[[#This Row],[a1]]=1,Tab.o1[[#This Row],[OBS]]/SUM(Tab.o1[OBS]),"")</f>
        <v/>
      </c>
      <c r="AS688" s="135" t="str">
        <f>IF(ISNUMBER(Tab.o1[[#This Row],[a1]]),ROW()-4,"")</f>
        <v/>
      </c>
      <c r="AT688" s="136" t="str">
        <f>Tab.o1[[#This Row],[MOD]]</f>
        <v/>
      </c>
      <c r="AU688" s="137" t="str">
        <f t="shared" si="41"/>
        <v/>
      </c>
      <c r="AV688" s="138" t="str">
        <f t="shared" si="42"/>
        <v/>
      </c>
      <c r="AW688" s="138" t="str">
        <f t="shared" si="43"/>
        <v/>
      </c>
      <c r="AX688" s="139" t="str">
        <f>[1]!T.in.A[[#This Row],[ID_T_manu]]</f>
        <v/>
      </c>
      <c r="AY688" s="140" t="str">
        <f>IF(ISNUMBER(Tab.o1[[#This Row],[a1]]),IF(AND(Tab.o1[[#This Row],[a1]]=1,Tab.o1[[#This Row],[b1]]&lt;=AY$4),#REF!,AY687),"")</f>
        <v/>
      </c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26"/>
    </row>
    <row r="689" spans="1:79" s="143" customFormat="1" ht="15.75" hidden="1">
      <c r="A689" s="109">
        <v>5.0000000000000004E-6</v>
      </c>
      <c r="B689" s="110">
        <f t="shared" si="40"/>
        <v>689</v>
      </c>
      <c r="C689" s="111" t="str">
        <f>IF(C$1=[1]!T.in.A[[#This Row],[oo2]],1,"")</f>
        <v/>
      </c>
      <c r="D689" s="112" t="str">
        <f>IF(Tab.o1[[#This Row],[a1]]=1,IF(SUM(C689:C690)=0,0,IF(SUM(C688:C689)=1,1,IF(SUM(C688:C690)&gt;1,D688+1,0))),"")</f>
        <v/>
      </c>
      <c r="E689" s="113" t="str">
        <f>IF(Tab.o1[[#This Row],[a1]]=1,[1]!T.in.A[[#This Row],[oo1]],"")</f>
        <v/>
      </c>
      <c r="F689" s="113" t="str">
        <f>IF(Tab.o1[[#This Row],[a1]]=1,[1]!T.in.A[[#This Row],[pp1]],"")</f>
        <v/>
      </c>
      <c r="G689" s="114" t="str">
        <f>IF(Tab.o1[[#This Row],[a1]]=1,G$2+IF(G$1=1,0,Tab.o1[[#This Row],[.x1]])+[1]!T.in.A[[#This Row],[oo3]],"")</f>
        <v/>
      </c>
      <c r="H689" s="115" t="str">
        <f>IF(Tab.o1[[#This Row],[a1]]=1,IF(H$2=0,0,IF(G$1=1,0,Tab.o1[[#This Row],[.x1]])+[1]!T.in.A[[#This Row],[oo4]]),"")</f>
        <v/>
      </c>
      <c r="I689" s="116" t="str">
        <f>IF(Tab.o1[[#This Row],[a1]]=1,IF(J$2=0,Tab.o1[[#This Row],[MED]],Tab.o1[[#This Row],[MOD]]),"")</f>
        <v/>
      </c>
      <c r="J689" s="116" t="str">
        <f>IF(Tab.o1[[#This Row],[a1]]=1,((Tab.o1[[#This Row],[DIF_Target.]]-AVERAGE(Tab.o1[DIF_Target.]))/_xlfn.STDEV.P(Tab.o1[DIF_Target.])),"")</f>
        <v/>
      </c>
      <c r="K689" s="117" t="str">
        <f>IF(Tab.o1[[#This Row],[a1]]=1,IF(J$2=0,Tab.o1[[#This Row],[MOD]]-Tab.o1[[#This Row],[B]],IF(J$2=1,0,-Tab.o1[[#This Row],[MED]])+Tab.o1[[#This Row],[B]]),"")</f>
        <v/>
      </c>
      <c r="L689" s="117" t="str">
        <f ca="1">IF(Tab.o1[[#This Row],[DIF_Target]]=0,IF(L$2=0,Tab.o1[[#This Row],[DIF_Target]],AVERAGE(OFFSET(Tab.o1[[#This Row],[DIF_Target]],1,0,L$3,1)))/3,Tab.o1[[#This Row],[DIF_Target]])</f>
        <v/>
      </c>
      <c r="M689" s="118" t="str">
        <f>IF(Tab.o1[[#This Row],[a1]]=1,NORMSDIST(Tab.o1[[#This Row],[Za]]),"")</f>
        <v/>
      </c>
      <c r="N689" s="119" t="str">
        <f>IF(Tab.o1[[#This Row],[a1]]=1,((Tab.o1[[#This Row],[MedMod]]-AVERAGE(Tab.o1[MedMod]))/_xlfn.STDEV.P(Tab.o1[MedMod])*H$1205)+G$1205,"")</f>
        <v/>
      </c>
      <c r="O689" s="141" t="str">
        <f>IF(Tab.o1[[#This Row],[a1]]=1,Tab.o1[[#This Row],[Zb]]*_xlfn.STDEV.P(Tab.o1[MedMod])+AVERAGE(Tab.o1[MedMod]),"")</f>
        <v/>
      </c>
      <c r="P689" s="117" t="str">
        <f ca="1">IF(Tab.o1[[#This Row],[B]]=0,AVERAGE(OFFSET(Tab.o1[[#This Row],[B]],1,0,L$3,1)),Tab.o1[[#This Row],[B]])</f>
        <v/>
      </c>
      <c r="Q689" s="121" t="str">
        <f>IF(Tab.o1[[#This Row],[a1]]=1,NORMSDIST(Tab.o1[[#This Row],[Zb]]),"")</f>
        <v/>
      </c>
      <c r="R689" s="122" t="str">
        <f>IF(Tab.o1[[#This Row],[a1]]=1,((Tab.o1[[#This Row],[MedMod]]-AVERAGE(Tab.o1[MedMod]))/_xlfn.STDEV.P(Tab.o1[MedMod])*H$1203)+G$1203,"")</f>
        <v/>
      </c>
      <c r="S689" s="122" t="str">
        <f>IF(Tab.o1[[#This Row],[a1]]=1,((Tab.o1[[#This Row],[MedMod]]-AVERAGE(Tab.o1[MedMod]))/_xlfn.STDEV.P(Tab.o1[MedMod])*H$1204)+G$1204,"")</f>
        <v/>
      </c>
      <c r="T689" s="123" t="str">
        <f>IF(Tab.o1[[#This Row],[a1]]=1,Tab.o1[[#This Row],[Z-]]*_xlfn.STDEV.P(Tab.o1[B])+AVERAGE(Tab.o1[B]),"")</f>
        <v/>
      </c>
      <c r="U689" s="123" t="str">
        <f>IF(Tab.o1[[#This Row],[a1]]=1,Tab.o1[[#This Row],[z+]]*_xlfn.STDEV.P(Tab.o1[B])+AVERAGE(Tab.o1[B]),"")</f>
        <v/>
      </c>
      <c r="V689" s="124" t="str">
        <f>IF(Tab.o1[[#This Row],[a1]]=1,ABS((ABS(Tab.o1[[#This Row],[Red]]-Tab.o1[[#This Row],[Blue]]))),"")</f>
        <v/>
      </c>
      <c r="W689" s="125" t="str">
        <f>IF(Tab.o1[[#This Row],[a1]]=1,IF(W$3=0,1,Tab.o1[[#This Row],[Amp.]]*1/_xlfn.MINIFS(Tab.o1[Amp.],Tab.o1[Amp.],"&lt;&gt;0")),"")</f>
        <v/>
      </c>
      <c r="X689" s="126" t="str">
        <f>IF(Tab.o1[[#This Row],[a1]]=1,IF(ISNUMBER(Tab.o1[[#This Row],[i.]]),NORMDIST(Tab.o1[[#This Row],[Za]],0,1,FALSE)*Tab.o1[[#This Row],[i.]],AP$3),"")</f>
        <v/>
      </c>
      <c r="Y689" s="126" t="str">
        <f>IF(Tab.o1[[#This Row],[a1]]=1,0.01+0.94*Tab.o1[[#This Row],[PDF]]/MAX(Tab.o1[PDF]),"")</f>
        <v/>
      </c>
      <c r="Z689" s="126" t="str">
        <f>IF(Tab.o1[[#This Row],[a1]]=1,0.01+0.94*Tab.o1[[#This Row],[W1_PDF]]/MAX(Tab.o1[W1_PDF]),"")</f>
        <v/>
      </c>
      <c r="AA689" s="118" t="str">
        <f>IF(Tab.o1[[#This Row],[a1]]=1,ABS([1]!T.in.A[[#This Row],[oo6]]),"")</f>
        <v/>
      </c>
      <c r="AB689" s="127" t="str">
        <f>IF(Tab.o1[[#This Row],[a1]]=1,IF(AE$3=0,"",IF(AB$3=0,ABS([1]!T.in.A[[#This Row],[oo9]]),ABS(Tab.o1[[#This Row],[DIF_Target.]]*Tab.o1[[#This Row],[W1_PDF]]))),"")</f>
        <v/>
      </c>
      <c r="AC689" s="127" t="str">
        <f>IF(G$1=1,"",IF(Tab.o1[[#This Row],[a1]]=1,Tab.o1[[#This Row],[Wr]]^2,""))</f>
        <v/>
      </c>
      <c r="AD689" s="118" t="str">
        <f>IF(Tab.o1[[#This Row],[a1]]=1,IF(AE$3=0,"",Tab.o1[[#This Row],[Wr2]]/SUM(Tab.o1[Wr2])),"")</f>
        <v/>
      </c>
      <c r="AE689" s="128" t="str">
        <f>IF(Tab.o1[[#This Row],[a1]]=1,[1]!T.in.A[[#This Row],[oo10]],"")</f>
        <v/>
      </c>
      <c r="AF689" s="118" t="str">
        <f>IF(Tab.o1[[#This Row],[a1]]=1,ABS(Tab.o1[[#This Row],[DIF_Target.]]*Tab.o1[[#This Row],[PDF2]]*Tab.o1[[#This Row],[IN]]),"")</f>
        <v/>
      </c>
      <c r="AG689" s="129" t="str">
        <f>IF(Tab.o1[[#This Row],[a1]]=1,Tab.o1[[#This Row],[rW]]^2,"")</f>
        <v/>
      </c>
      <c r="AH689" s="130" t="str">
        <f>IF(Tab.o1[[#This Row],[a1]]=1,IF(AH$3=0,Tab.o1[[#This Row],[rW2]],0.01+0.94*Tab.o1[[#This Row],[rW2]]/SUM(Tab.o1[rW2])),"")</f>
        <v/>
      </c>
      <c r="AI689" s="128" t="str">
        <f>IF(Tab.o1[[#This Row],[a1]]=1,1/Tab.o1[[#This Row],[PDF]],"")</f>
        <v/>
      </c>
      <c r="AJ689" s="131" t="str">
        <f>IF(Tab.o1[[#This Row],[a1]]=1,[1]!T_AA[[#This Row],[IN'']]*[1]!T_AA[[#This Row],[Qde'']],"")</f>
        <v/>
      </c>
      <c r="AK689" s="132" t="str">
        <f>IF(Tab.o1[[#This Row],[a1]]=1,IF(AK$1=1,Tab.o1[[#This Row],[MED]]+Tab.o1[[#This Row],[MOD]]-Tab.o1[[#This Row],[MED]],""),"")</f>
        <v/>
      </c>
      <c r="AL689" s="133" t="str">
        <f>IF(Tab.o1[[#This Row],[a1]]=1,[1]!T.in.A[[#This Row],[oo16]],"")</f>
        <v/>
      </c>
      <c r="AM689" s="133" t="str">
        <f>IF(Tab.o1[[#This Row],[a1]]=1,IF(AM$3=1,[1]!T.in.A[[#This Row],[Σo16]],""),"")</f>
        <v/>
      </c>
      <c r="AN689" s="126" t="str">
        <f>IF(Tab.o1[[#This Row],[a1]]=1,[1]!T.in.A[[#This Row],[Σp5]],"")</f>
        <v/>
      </c>
      <c r="AO689" s="126" t="str">
        <f>IF(Tab.o1[[#This Row],[a1]]=1,IF(AO$3=1,[1]!T.in.A[[#This Row],[Σp5]],""),"")</f>
        <v/>
      </c>
      <c r="AP689" s="110" t="str">
        <f>IF(Tab.o1[[#This Row],[a1]]=1,IF(ISNUMBER(Tab.o1[[#This Row],[i.]]),NORMDIST(Tab.o1[[#This Row],[Za]],0,1,FALSE)*Tab.o1[[#This Row],[i.]],0),"")</f>
        <v/>
      </c>
      <c r="AQ689" s="125" t="str">
        <f>IF(Tab.o1[[#This Row],[a1]]=1,ABS(Tab.o1[[#This Row],[MOD]]-AVERAGE(Tab.o1[MOD])),"")</f>
        <v/>
      </c>
      <c r="AR689" s="134" t="str">
        <f>IF(Tab.o1[[#This Row],[a1]]=1,Tab.o1[[#This Row],[OBS]]/SUM(Tab.o1[OBS]),"")</f>
        <v/>
      </c>
      <c r="AS689" s="135" t="str">
        <f>IF(ISNUMBER(Tab.o1[[#This Row],[a1]]),ROW()-4,"")</f>
        <v/>
      </c>
      <c r="AT689" s="136" t="str">
        <f>Tab.o1[[#This Row],[MOD]]</f>
        <v/>
      </c>
      <c r="AU689" s="137" t="str">
        <f t="shared" si="41"/>
        <v/>
      </c>
      <c r="AV689" s="138" t="str">
        <f t="shared" si="42"/>
        <v/>
      </c>
      <c r="AW689" s="138" t="str">
        <f t="shared" si="43"/>
        <v/>
      </c>
      <c r="AX689" s="139" t="str">
        <f>[1]!T.in.A[[#This Row],[ID_T_manu]]</f>
        <v/>
      </c>
      <c r="AY689" s="140" t="str">
        <f>IF(ISNUMBER(Tab.o1[[#This Row],[a1]]),IF(AND(Tab.o1[[#This Row],[a1]]=1,Tab.o1[[#This Row],[b1]]&lt;=AY$4),#REF!,AY688),"")</f>
        <v/>
      </c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/>
      <c r="CA689" s="26"/>
    </row>
    <row r="690" spans="1:79" s="143" customFormat="1" ht="15.75" hidden="1">
      <c r="A690" s="109">
        <v>5.9999999999999993E-6</v>
      </c>
      <c r="B690" s="110">
        <f t="shared" si="40"/>
        <v>690</v>
      </c>
      <c r="C690" s="111" t="str">
        <f>IF(C$1=[1]!T.in.A[[#This Row],[oo2]],1,"")</f>
        <v/>
      </c>
      <c r="D690" s="112" t="str">
        <f>IF(Tab.o1[[#This Row],[a1]]=1,IF(SUM(C690:C691)=0,0,IF(SUM(C689:C690)=1,1,IF(SUM(C689:C691)&gt;1,D689+1,0))),"")</f>
        <v/>
      </c>
      <c r="E690" s="113" t="str">
        <f>IF(Tab.o1[[#This Row],[a1]]=1,[1]!T.in.A[[#This Row],[oo1]],"")</f>
        <v/>
      </c>
      <c r="F690" s="113" t="str">
        <f>IF(Tab.o1[[#This Row],[a1]]=1,[1]!T.in.A[[#This Row],[pp1]],"")</f>
        <v/>
      </c>
      <c r="G690" s="114" t="str">
        <f>IF(Tab.o1[[#This Row],[a1]]=1,G$2+IF(G$1=1,0,Tab.o1[[#This Row],[.x1]])+[1]!T.in.A[[#This Row],[oo3]],"")</f>
        <v/>
      </c>
      <c r="H690" s="115" t="str">
        <f>IF(Tab.o1[[#This Row],[a1]]=1,IF(H$2=0,0,IF(G$1=1,0,Tab.o1[[#This Row],[.x1]])+[1]!T.in.A[[#This Row],[oo4]]),"")</f>
        <v/>
      </c>
      <c r="I690" s="116" t="str">
        <f>IF(Tab.o1[[#This Row],[a1]]=1,IF(J$2=0,Tab.o1[[#This Row],[MED]],Tab.o1[[#This Row],[MOD]]),"")</f>
        <v/>
      </c>
      <c r="J690" s="116" t="str">
        <f>IF(Tab.o1[[#This Row],[a1]]=1,((Tab.o1[[#This Row],[DIF_Target.]]-AVERAGE(Tab.o1[DIF_Target.]))/_xlfn.STDEV.P(Tab.o1[DIF_Target.])),"")</f>
        <v/>
      </c>
      <c r="K690" s="117" t="str">
        <f>IF(Tab.o1[[#This Row],[a1]]=1,IF(J$2=0,Tab.o1[[#This Row],[MOD]]-Tab.o1[[#This Row],[B]],IF(J$2=1,0,-Tab.o1[[#This Row],[MED]])+Tab.o1[[#This Row],[B]]),"")</f>
        <v/>
      </c>
      <c r="L690" s="117" t="str">
        <f ca="1">IF(Tab.o1[[#This Row],[DIF_Target]]=0,IF(L$2=0,Tab.o1[[#This Row],[DIF_Target]],AVERAGE(OFFSET(Tab.o1[[#This Row],[DIF_Target]],1,0,L$3,1)))/3,Tab.o1[[#This Row],[DIF_Target]])</f>
        <v/>
      </c>
      <c r="M690" s="118" t="str">
        <f>IF(Tab.o1[[#This Row],[a1]]=1,NORMSDIST(Tab.o1[[#This Row],[Za]]),"")</f>
        <v/>
      </c>
      <c r="N690" s="119" t="str">
        <f>IF(Tab.o1[[#This Row],[a1]]=1,((Tab.o1[[#This Row],[MedMod]]-AVERAGE(Tab.o1[MedMod]))/_xlfn.STDEV.P(Tab.o1[MedMod])*H$1205)+G$1205,"")</f>
        <v/>
      </c>
      <c r="O690" s="141" t="str">
        <f>IF(Tab.o1[[#This Row],[a1]]=1,Tab.o1[[#This Row],[Zb]]*_xlfn.STDEV.P(Tab.o1[MedMod])+AVERAGE(Tab.o1[MedMod]),"")</f>
        <v/>
      </c>
      <c r="P690" s="117" t="str">
        <f ca="1">IF(Tab.o1[[#This Row],[B]]=0,AVERAGE(OFFSET(Tab.o1[[#This Row],[B]],1,0,L$3,1)),Tab.o1[[#This Row],[B]])</f>
        <v/>
      </c>
      <c r="Q690" s="121" t="str">
        <f>IF(Tab.o1[[#This Row],[a1]]=1,NORMSDIST(Tab.o1[[#This Row],[Zb]]),"")</f>
        <v/>
      </c>
      <c r="R690" s="122" t="str">
        <f>IF(Tab.o1[[#This Row],[a1]]=1,((Tab.o1[[#This Row],[MedMod]]-AVERAGE(Tab.o1[MedMod]))/_xlfn.STDEV.P(Tab.o1[MedMod])*H$1203)+G$1203,"")</f>
        <v/>
      </c>
      <c r="S690" s="122" t="str">
        <f>IF(Tab.o1[[#This Row],[a1]]=1,((Tab.o1[[#This Row],[MedMod]]-AVERAGE(Tab.o1[MedMod]))/_xlfn.STDEV.P(Tab.o1[MedMod])*H$1204)+G$1204,"")</f>
        <v/>
      </c>
      <c r="T690" s="123" t="str">
        <f>IF(Tab.o1[[#This Row],[a1]]=1,Tab.o1[[#This Row],[Z-]]*_xlfn.STDEV.P(Tab.o1[B])+AVERAGE(Tab.o1[B]),"")</f>
        <v/>
      </c>
      <c r="U690" s="123" t="str">
        <f>IF(Tab.o1[[#This Row],[a1]]=1,Tab.o1[[#This Row],[z+]]*_xlfn.STDEV.P(Tab.o1[B])+AVERAGE(Tab.o1[B]),"")</f>
        <v/>
      </c>
      <c r="V690" s="124" t="str">
        <f>IF(Tab.o1[[#This Row],[a1]]=1,ABS((ABS(Tab.o1[[#This Row],[Red]]-Tab.o1[[#This Row],[Blue]]))),"")</f>
        <v/>
      </c>
      <c r="W690" s="125" t="str">
        <f>IF(Tab.o1[[#This Row],[a1]]=1,IF(W$3=0,1,Tab.o1[[#This Row],[Amp.]]*1/_xlfn.MINIFS(Tab.o1[Amp.],Tab.o1[Amp.],"&lt;&gt;0")),"")</f>
        <v/>
      </c>
      <c r="X690" s="126" t="str">
        <f>IF(Tab.o1[[#This Row],[a1]]=1,IF(ISNUMBER(Tab.o1[[#This Row],[i.]]),NORMDIST(Tab.o1[[#This Row],[Za]],0,1,FALSE)*Tab.o1[[#This Row],[i.]],AP$3),"")</f>
        <v/>
      </c>
      <c r="Y690" s="126" t="str">
        <f>IF(Tab.o1[[#This Row],[a1]]=1,0.01+0.94*Tab.o1[[#This Row],[PDF]]/MAX(Tab.o1[PDF]),"")</f>
        <v/>
      </c>
      <c r="Z690" s="126" t="str">
        <f>IF(Tab.o1[[#This Row],[a1]]=1,0.01+0.94*Tab.o1[[#This Row],[W1_PDF]]/MAX(Tab.o1[W1_PDF]),"")</f>
        <v/>
      </c>
      <c r="AA690" s="118" t="str">
        <f>IF(Tab.o1[[#This Row],[a1]]=1,ABS([1]!T.in.A[[#This Row],[oo6]]),"")</f>
        <v/>
      </c>
      <c r="AB690" s="127" t="str">
        <f>IF(Tab.o1[[#This Row],[a1]]=1,IF(AE$3=0,"",IF(AB$3=0,ABS([1]!T.in.A[[#This Row],[oo9]]),ABS(Tab.o1[[#This Row],[DIF_Target.]]*Tab.o1[[#This Row],[W1_PDF]]))),"")</f>
        <v/>
      </c>
      <c r="AC690" s="127" t="str">
        <f>IF(G$1=1,"",IF(Tab.o1[[#This Row],[a1]]=1,Tab.o1[[#This Row],[Wr]]^2,""))</f>
        <v/>
      </c>
      <c r="AD690" s="118" t="str">
        <f>IF(Tab.o1[[#This Row],[a1]]=1,IF(AE$3=0,"",Tab.o1[[#This Row],[Wr2]]/SUM(Tab.o1[Wr2])),"")</f>
        <v/>
      </c>
      <c r="AE690" s="128" t="str">
        <f>IF(Tab.o1[[#This Row],[a1]]=1,[1]!T.in.A[[#This Row],[oo10]],"")</f>
        <v/>
      </c>
      <c r="AF690" s="118" t="str">
        <f>IF(Tab.o1[[#This Row],[a1]]=1,ABS(Tab.o1[[#This Row],[DIF_Target.]]*Tab.o1[[#This Row],[PDF2]]*Tab.o1[[#This Row],[IN]]),"")</f>
        <v/>
      </c>
      <c r="AG690" s="129" t="str">
        <f>IF(Tab.o1[[#This Row],[a1]]=1,Tab.o1[[#This Row],[rW]]^2,"")</f>
        <v/>
      </c>
      <c r="AH690" s="130" t="str">
        <f>IF(Tab.o1[[#This Row],[a1]]=1,IF(AH$3=0,Tab.o1[[#This Row],[rW2]],0.01+0.94*Tab.o1[[#This Row],[rW2]]/SUM(Tab.o1[rW2])),"")</f>
        <v/>
      </c>
      <c r="AI690" s="128" t="str">
        <f>IF(Tab.o1[[#This Row],[a1]]=1,1/Tab.o1[[#This Row],[PDF]],"")</f>
        <v/>
      </c>
      <c r="AJ690" s="131" t="str">
        <f>IF(Tab.o1[[#This Row],[a1]]=1,[1]!T_AA[[#This Row],[IN'']]*[1]!T_AA[[#This Row],[Qde'']],"")</f>
        <v/>
      </c>
      <c r="AK690" s="132" t="str">
        <f>IF(Tab.o1[[#This Row],[a1]]=1,IF(AK$1=1,Tab.o1[[#This Row],[MED]]+Tab.o1[[#This Row],[MOD]]-Tab.o1[[#This Row],[MED]],""),"")</f>
        <v/>
      </c>
      <c r="AL690" s="133" t="str">
        <f>IF(Tab.o1[[#This Row],[a1]]=1,[1]!T.in.A[[#This Row],[oo16]],"")</f>
        <v/>
      </c>
      <c r="AM690" s="133" t="str">
        <f>IF(Tab.o1[[#This Row],[a1]]=1,IF(AM$3=1,[1]!T.in.A[[#This Row],[Σo16]],""),"")</f>
        <v/>
      </c>
      <c r="AN690" s="126" t="str">
        <f>IF(Tab.o1[[#This Row],[a1]]=1,[1]!T.in.A[[#This Row],[Σp5]],"")</f>
        <v/>
      </c>
      <c r="AO690" s="126" t="str">
        <f>IF(Tab.o1[[#This Row],[a1]]=1,IF(AO$3=1,[1]!T.in.A[[#This Row],[Σp5]],""),"")</f>
        <v/>
      </c>
      <c r="AP690" s="110" t="str">
        <f>IF(Tab.o1[[#This Row],[a1]]=1,IF(ISNUMBER(Tab.o1[[#This Row],[i.]]),NORMDIST(Tab.o1[[#This Row],[Za]],0,1,FALSE)*Tab.o1[[#This Row],[i.]],0),"")</f>
        <v/>
      </c>
      <c r="AQ690" s="125" t="str">
        <f>IF(Tab.o1[[#This Row],[a1]]=1,ABS(Tab.o1[[#This Row],[MOD]]-AVERAGE(Tab.o1[MOD])),"")</f>
        <v/>
      </c>
      <c r="AR690" s="134" t="str">
        <f>IF(Tab.o1[[#This Row],[a1]]=1,Tab.o1[[#This Row],[OBS]]/SUM(Tab.o1[OBS]),"")</f>
        <v/>
      </c>
      <c r="AS690" s="135" t="str">
        <f>IF(ISNUMBER(Tab.o1[[#This Row],[a1]]),ROW()-4,"")</f>
        <v/>
      </c>
      <c r="AT690" s="136" t="str">
        <f>Tab.o1[[#This Row],[MOD]]</f>
        <v/>
      </c>
      <c r="AU690" s="137" t="str">
        <f t="shared" si="41"/>
        <v/>
      </c>
      <c r="AV690" s="138" t="str">
        <f t="shared" si="42"/>
        <v/>
      </c>
      <c r="AW690" s="138" t="str">
        <f t="shared" si="43"/>
        <v/>
      </c>
      <c r="AX690" s="139" t="str">
        <f>[1]!T.in.A[[#This Row],[ID_T_manu]]</f>
        <v/>
      </c>
      <c r="AY690" s="140" t="str">
        <f>IF(ISNUMBER(Tab.o1[[#This Row],[a1]]),IF(AND(Tab.o1[[#This Row],[a1]]=1,Tab.o1[[#This Row],[b1]]&lt;=AY$4),#REF!,AY689),"")</f>
        <v/>
      </c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26"/>
    </row>
    <row r="691" spans="1:79" s="143" customFormat="1" ht="15.75" hidden="1">
      <c r="A691" s="109">
        <v>-2.0000000000000003E-6</v>
      </c>
      <c r="B691" s="110">
        <f t="shared" si="40"/>
        <v>691</v>
      </c>
      <c r="C691" s="111" t="str">
        <f>IF(C$1=[1]!T.in.A[[#This Row],[oo2]],1,"")</f>
        <v/>
      </c>
      <c r="D691" s="112" t="str">
        <f>IF(Tab.o1[[#This Row],[a1]]=1,IF(SUM(C691:C692)=0,0,IF(SUM(C690:C691)=1,1,IF(SUM(C690:C692)&gt;1,D690+1,0))),"")</f>
        <v/>
      </c>
      <c r="E691" s="113" t="str">
        <f>IF(Tab.o1[[#This Row],[a1]]=1,[1]!T.in.A[[#This Row],[oo1]],"")</f>
        <v/>
      </c>
      <c r="F691" s="113" t="str">
        <f>IF(Tab.o1[[#This Row],[a1]]=1,[1]!T.in.A[[#This Row],[pp1]],"")</f>
        <v/>
      </c>
      <c r="G691" s="114" t="str">
        <f>IF(Tab.o1[[#This Row],[a1]]=1,G$2+IF(G$1=1,0,Tab.o1[[#This Row],[.x1]])+[1]!T.in.A[[#This Row],[oo3]],"")</f>
        <v/>
      </c>
      <c r="H691" s="115" t="str">
        <f>IF(Tab.o1[[#This Row],[a1]]=1,IF(H$2=0,0,IF(G$1=1,0,Tab.o1[[#This Row],[.x1]])+[1]!T.in.A[[#This Row],[oo4]]),"")</f>
        <v/>
      </c>
      <c r="I691" s="116" t="str">
        <f>IF(Tab.o1[[#This Row],[a1]]=1,IF(J$2=0,Tab.o1[[#This Row],[MED]],Tab.o1[[#This Row],[MOD]]),"")</f>
        <v/>
      </c>
      <c r="J691" s="116" t="str">
        <f>IF(Tab.o1[[#This Row],[a1]]=1,((Tab.o1[[#This Row],[DIF_Target.]]-AVERAGE(Tab.o1[DIF_Target.]))/_xlfn.STDEV.P(Tab.o1[DIF_Target.])),"")</f>
        <v/>
      </c>
      <c r="K691" s="117" t="str">
        <f>IF(Tab.o1[[#This Row],[a1]]=1,IF(J$2=0,Tab.o1[[#This Row],[MOD]]-Tab.o1[[#This Row],[B]],IF(J$2=1,0,-Tab.o1[[#This Row],[MED]])+Tab.o1[[#This Row],[B]]),"")</f>
        <v/>
      </c>
      <c r="L691" s="117" t="str">
        <f ca="1">IF(Tab.o1[[#This Row],[DIF_Target]]=0,IF(L$2=0,Tab.o1[[#This Row],[DIF_Target]],AVERAGE(OFFSET(Tab.o1[[#This Row],[DIF_Target]],1,0,L$3,1)))/3,Tab.o1[[#This Row],[DIF_Target]])</f>
        <v/>
      </c>
      <c r="M691" s="118" t="str">
        <f>IF(Tab.o1[[#This Row],[a1]]=1,NORMSDIST(Tab.o1[[#This Row],[Za]]),"")</f>
        <v/>
      </c>
      <c r="N691" s="119" t="str">
        <f>IF(Tab.o1[[#This Row],[a1]]=1,((Tab.o1[[#This Row],[MedMod]]-AVERAGE(Tab.o1[MedMod]))/_xlfn.STDEV.P(Tab.o1[MedMod])*H$1205)+G$1205,"")</f>
        <v/>
      </c>
      <c r="O691" s="141" t="str">
        <f>IF(Tab.o1[[#This Row],[a1]]=1,Tab.o1[[#This Row],[Zb]]*_xlfn.STDEV.P(Tab.o1[MedMod])+AVERAGE(Tab.o1[MedMod]),"")</f>
        <v/>
      </c>
      <c r="P691" s="117" t="str">
        <f ca="1">IF(Tab.o1[[#This Row],[B]]=0,AVERAGE(OFFSET(Tab.o1[[#This Row],[B]],1,0,L$3,1)),Tab.o1[[#This Row],[B]])</f>
        <v/>
      </c>
      <c r="Q691" s="121" t="str">
        <f>IF(Tab.o1[[#This Row],[a1]]=1,NORMSDIST(Tab.o1[[#This Row],[Zb]]),"")</f>
        <v/>
      </c>
      <c r="R691" s="122" t="str">
        <f>IF(Tab.o1[[#This Row],[a1]]=1,((Tab.o1[[#This Row],[MedMod]]-AVERAGE(Tab.o1[MedMod]))/_xlfn.STDEV.P(Tab.o1[MedMod])*H$1203)+G$1203,"")</f>
        <v/>
      </c>
      <c r="S691" s="122" t="str">
        <f>IF(Tab.o1[[#This Row],[a1]]=1,((Tab.o1[[#This Row],[MedMod]]-AVERAGE(Tab.o1[MedMod]))/_xlfn.STDEV.P(Tab.o1[MedMod])*H$1204)+G$1204,"")</f>
        <v/>
      </c>
      <c r="T691" s="123" t="str">
        <f>IF(Tab.o1[[#This Row],[a1]]=1,Tab.o1[[#This Row],[Z-]]*_xlfn.STDEV.P(Tab.o1[B])+AVERAGE(Tab.o1[B]),"")</f>
        <v/>
      </c>
      <c r="U691" s="123" t="str">
        <f>IF(Tab.o1[[#This Row],[a1]]=1,Tab.o1[[#This Row],[z+]]*_xlfn.STDEV.P(Tab.o1[B])+AVERAGE(Tab.o1[B]),"")</f>
        <v/>
      </c>
      <c r="V691" s="124" t="str">
        <f>IF(Tab.o1[[#This Row],[a1]]=1,ABS((ABS(Tab.o1[[#This Row],[Red]]-Tab.o1[[#This Row],[Blue]]))),"")</f>
        <v/>
      </c>
      <c r="W691" s="125" t="str">
        <f>IF(Tab.o1[[#This Row],[a1]]=1,IF(W$3=0,1,Tab.o1[[#This Row],[Amp.]]*1/_xlfn.MINIFS(Tab.o1[Amp.],Tab.o1[Amp.],"&lt;&gt;0")),"")</f>
        <v/>
      </c>
      <c r="X691" s="126" t="str">
        <f>IF(Tab.o1[[#This Row],[a1]]=1,IF(ISNUMBER(Tab.o1[[#This Row],[i.]]),NORMDIST(Tab.o1[[#This Row],[Za]],0,1,FALSE)*Tab.o1[[#This Row],[i.]],AP$3),"")</f>
        <v/>
      </c>
      <c r="Y691" s="126" t="str">
        <f>IF(Tab.o1[[#This Row],[a1]]=1,0.01+0.94*Tab.o1[[#This Row],[PDF]]/MAX(Tab.o1[PDF]),"")</f>
        <v/>
      </c>
      <c r="Z691" s="126" t="str">
        <f>IF(Tab.o1[[#This Row],[a1]]=1,0.01+0.94*Tab.o1[[#This Row],[W1_PDF]]/MAX(Tab.o1[W1_PDF]),"")</f>
        <v/>
      </c>
      <c r="AA691" s="118" t="str">
        <f>IF(Tab.o1[[#This Row],[a1]]=1,ABS([1]!T.in.A[[#This Row],[oo6]]),"")</f>
        <v/>
      </c>
      <c r="AB691" s="127" t="str">
        <f>IF(Tab.o1[[#This Row],[a1]]=1,IF(AE$3=0,"",IF(AB$3=0,ABS([1]!T.in.A[[#This Row],[oo9]]),ABS(Tab.o1[[#This Row],[DIF_Target.]]*Tab.o1[[#This Row],[W1_PDF]]))),"")</f>
        <v/>
      </c>
      <c r="AC691" s="127" t="str">
        <f>IF(G$1=1,"",IF(Tab.o1[[#This Row],[a1]]=1,Tab.o1[[#This Row],[Wr]]^2,""))</f>
        <v/>
      </c>
      <c r="AD691" s="118" t="str">
        <f>IF(Tab.o1[[#This Row],[a1]]=1,IF(AE$3=0,"",Tab.o1[[#This Row],[Wr2]]/SUM(Tab.o1[Wr2])),"")</f>
        <v/>
      </c>
      <c r="AE691" s="128" t="str">
        <f>IF(Tab.o1[[#This Row],[a1]]=1,[1]!T.in.A[[#This Row],[oo10]],"")</f>
        <v/>
      </c>
      <c r="AF691" s="118" t="str">
        <f>IF(Tab.o1[[#This Row],[a1]]=1,ABS(Tab.o1[[#This Row],[DIF_Target.]]*Tab.o1[[#This Row],[PDF2]]*Tab.o1[[#This Row],[IN]]),"")</f>
        <v/>
      </c>
      <c r="AG691" s="129" t="str">
        <f>IF(Tab.o1[[#This Row],[a1]]=1,Tab.o1[[#This Row],[rW]]^2,"")</f>
        <v/>
      </c>
      <c r="AH691" s="130" t="str">
        <f>IF(Tab.o1[[#This Row],[a1]]=1,IF(AH$3=0,Tab.o1[[#This Row],[rW2]],0.01+0.94*Tab.o1[[#This Row],[rW2]]/SUM(Tab.o1[rW2])),"")</f>
        <v/>
      </c>
      <c r="AI691" s="128" t="str">
        <f>IF(Tab.o1[[#This Row],[a1]]=1,1/Tab.o1[[#This Row],[PDF]],"")</f>
        <v/>
      </c>
      <c r="AJ691" s="131" t="str">
        <f>IF(Tab.o1[[#This Row],[a1]]=1,[1]!T_AA[[#This Row],[IN'']]*[1]!T_AA[[#This Row],[Qde'']],"")</f>
        <v/>
      </c>
      <c r="AK691" s="132" t="str">
        <f>IF(Tab.o1[[#This Row],[a1]]=1,IF(AK$1=1,Tab.o1[[#This Row],[MED]]+Tab.o1[[#This Row],[MOD]]-Tab.o1[[#This Row],[MED]],""),"")</f>
        <v/>
      </c>
      <c r="AL691" s="133" t="str">
        <f>IF(Tab.o1[[#This Row],[a1]]=1,[1]!T.in.A[[#This Row],[oo16]],"")</f>
        <v/>
      </c>
      <c r="AM691" s="133" t="str">
        <f>IF(Tab.o1[[#This Row],[a1]]=1,IF(AM$3=1,[1]!T.in.A[[#This Row],[Σo16]],""),"")</f>
        <v/>
      </c>
      <c r="AN691" s="126" t="str">
        <f>IF(Tab.o1[[#This Row],[a1]]=1,[1]!T.in.A[[#This Row],[Σp5]],"")</f>
        <v/>
      </c>
      <c r="AO691" s="126" t="str">
        <f>IF(Tab.o1[[#This Row],[a1]]=1,IF(AO$3=1,[1]!T.in.A[[#This Row],[Σp5]],""),"")</f>
        <v/>
      </c>
      <c r="AP691" s="110" t="str">
        <f>IF(Tab.o1[[#This Row],[a1]]=1,IF(ISNUMBER(Tab.o1[[#This Row],[i.]]),NORMDIST(Tab.o1[[#This Row],[Za]],0,1,FALSE)*Tab.o1[[#This Row],[i.]],0),"")</f>
        <v/>
      </c>
      <c r="AQ691" s="125" t="str">
        <f>IF(Tab.o1[[#This Row],[a1]]=1,ABS(Tab.o1[[#This Row],[MOD]]-AVERAGE(Tab.o1[MOD])),"")</f>
        <v/>
      </c>
      <c r="AR691" s="134" t="str">
        <f>IF(Tab.o1[[#This Row],[a1]]=1,Tab.o1[[#This Row],[OBS]]/SUM(Tab.o1[OBS]),"")</f>
        <v/>
      </c>
      <c r="AS691" s="135" t="str">
        <f>IF(ISNUMBER(Tab.o1[[#This Row],[a1]]),ROW()-4,"")</f>
        <v/>
      </c>
      <c r="AT691" s="136" t="str">
        <f>Tab.o1[[#This Row],[MOD]]</f>
        <v/>
      </c>
      <c r="AU691" s="137" t="str">
        <f t="shared" si="41"/>
        <v/>
      </c>
      <c r="AV691" s="138" t="str">
        <f t="shared" si="42"/>
        <v/>
      </c>
      <c r="AW691" s="138" t="str">
        <f t="shared" si="43"/>
        <v/>
      </c>
      <c r="AX691" s="139" t="str">
        <f>[1]!T.in.A[[#This Row],[ID_T_manu]]</f>
        <v/>
      </c>
      <c r="AY691" s="140" t="str">
        <f>IF(ISNUMBER(Tab.o1[[#This Row],[a1]]),IF(AND(Tab.o1[[#This Row],[a1]]=1,Tab.o1[[#This Row],[b1]]&lt;=AY$4),#REF!,AY690),"")</f>
        <v/>
      </c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</row>
    <row r="692" spans="1:79" s="143" customFormat="1" ht="15.75" hidden="1">
      <c r="A692" s="109">
        <v>4.0000000000000007E-6</v>
      </c>
      <c r="B692" s="110">
        <f t="shared" si="40"/>
        <v>692</v>
      </c>
      <c r="C692" s="111" t="str">
        <f>IF(C$1=[1]!T.in.A[[#This Row],[oo2]],1,"")</f>
        <v/>
      </c>
      <c r="D692" s="112" t="str">
        <f>IF(Tab.o1[[#This Row],[a1]]=1,IF(SUM(C692:C693)=0,0,IF(SUM(C691:C692)=1,1,IF(SUM(C691:C693)&gt;1,D691+1,0))),"")</f>
        <v/>
      </c>
      <c r="E692" s="113" t="str">
        <f>IF(Tab.o1[[#This Row],[a1]]=1,[1]!T.in.A[[#This Row],[oo1]],"")</f>
        <v/>
      </c>
      <c r="F692" s="113" t="str">
        <f>IF(Tab.o1[[#This Row],[a1]]=1,[1]!T.in.A[[#This Row],[pp1]],"")</f>
        <v/>
      </c>
      <c r="G692" s="114" t="str">
        <f>IF(Tab.o1[[#This Row],[a1]]=1,G$2+IF(G$1=1,0,Tab.o1[[#This Row],[.x1]])+[1]!T.in.A[[#This Row],[oo3]],"")</f>
        <v/>
      </c>
      <c r="H692" s="115" t="str">
        <f>IF(Tab.o1[[#This Row],[a1]]=1,IF(H$2=0,0,IF(G$1=1,0,Tab.o1[[#This Row],[.x1]])+[1]!T.in.A[[#This Row],[oo4]]),"")</f>
        <v/>
      </c>
      <c r="I692" s="116" t="str">
        <f>IF(Tab.o1[[#This Row],[a1]]=1,IF(J$2=0,Tab.o1[[#This Row],[MED]],Tab.o1[[#This Row],[MOD]]),"")</f>
        <v/>
      </c>
      <c r="J692" s="116" t="str">
        <f>IF(Tab.o1[[#This Row],[a1]]=1,((Tab.o1[[#This Row],[DIF_Target.]]-AVERAGE(Tab.o1[DIF_Target.]))/_xlfn.STDEV.P(Tab.o1[DIF_Target.])),"")</f>
        <v/>
      </c>
      <c r="K692" s="117" t="str">
        <f>IF(Tab.o1[[#This Row],[a1]]=1,IF(J$2=0,Tab.o1[[#This Row],[MOD]]-Tab.o1[[#This Row],[B]],IF(J$2=1,0,-Tab.o1[[#This Row],[MED]])+Tab.o1[[#This Row],[B]]),"")</f>
        <v/>
      </c>
      <c r="L692" s="117" t="str">
        <f ca="1">IF(Tab.o1[[#This Row],[DIF_Target]]=0,IF(L$2=0,Tab.o1[[#This Row],[DIF_Target]],AVERAGE(OFFSET(Tab.o1[[#This Row],[DIF_Target]],1,0,L$3,1)))/3,Tab.o1[[#This Row],[DIF_Target]])</f>
        <v/>
      </c>
      <c r="M692" s="118" t="str">
        <f>IF(Tab.o1[[#This Row],[a1]]=1,NORMSDIST(Tab.o1[[#This Row],[Za]]),"")</f>
        <v/>
      </c>
      <c r="N692" s="119" t="str">
        <f>IF(Tab.o1[[#This Row],[a1]]=1,((Tab.o1[[#This Row],[MedMod]]-AVERAGE(Tab.o1[MedMod]))/_xlfn.STDEV.P(Tab.o1[MedMod])*H$1205)+G$1205,"")</f>
        <v/>
      </c>
      <c r="O692" s="141" t="str">
        <f>IF(Tab.o1[[#This Row],[a1]]=1,Tab.o1[[#This Row],[Zb]]*_xlfn.STDEV.P(Tab.o1[MedMod])+AVERAGE(Tab.o1[MedMod]),"")</f>
        <v/>
      </c>
      <c r="P692" s="117" t="str">
        <f ca="1">IF(Tab.o1[[#This Row],[B]]=0,AVERAGE(OFFSET(Tab.o1[[#This Row],[B]],1,0,L$3,1)),Tab.o1[[#This Row],[B]])</f>
        <v/>
      </c>
      <c r="Q692" s="121" t="str">
        <f>IF(Tab.o1[[#This Row],[a1]]=1,NORMSDIST(Tab.o1[[#This Row],[Zb]]),"")</f>
        <v/>
      </c>
      <c r="R692" s="122" t="str">
        <f>IF(Tab.o1[[#This Row],[a1]]=1,((Tab.o1[[#This Row],[MedMod]]-AVERAGE(Tab.o1[MedMod]))/_xlfn.STDEV.P(Tab.o1[MedMod])*H$1203)+G$1203,"")</f>
        <v/>
      </c>
      <c r="S692" s="122" t="str">
        <f>IF(Tab.o1[[#This Row],[a1]]=1,((Tab.o1[[#This Row],[MedMod]]-AVERAGE(Tab.o1[MedMod]))/_xlfn.STDEV.P(Tab.o1[MedMod])*H$1204)+G$1204,"")</f>
        <v/>
      </c>
      <c r="T692" s="123" t="str">
        <f>IF(Tab.o1[[#This Row],[a1]]=1,Tab.o1[[#This Row],[Z-]]*_xlfn.STDEV.P(Tab.o1[B])+AVERAGE(Tab.o1[B]),"")</f>
        <v/>
      </c>
      <c r="U692" s="123" t="str">
        <f>IF(Tab.o1[[#This Row],[a1]]=1,Tab.o1[[#This Row],[z+]]*_xlfn.STDEV.P(Tab.o1[B])+AVERAGE(Tab.o1[B]),"")</f>
        <v/>
      </c>
      <c r="V692" s="124" t="str">
        <f>IF(Tab.o1[[#This Row],[a1]]=1,ABS((ABS(Tab.o1[[#This Row],[Red]]-Tab.o1[[#This Row],[Blue]]))),"")</f>
        <v/>
      </c>
      <c r="W692" s="125" t="str">
        <f>IF(Tab.o1[[#This Row],[a1]]=1,IF(W$3=0,1,Tab.o1[[#This Row],[Amp.]]*1/_xlfn.MINIFS(Tab.o1[Amp.],Tab.o1[Amp.],"&lt;&gt;0")),"")</f>
        <v/>
      </c>
      <c r="X692" s="126" t="str">
        <f>IF(Tab.o1[[#This Row],[a1]]=1,IF(ISNUMBER(Tab.o1[[#This Row],[i.]]),NORMDIST(Tab.o1[[#This Row],[Za]],0,1,FALSE)*Tab.o1[[#This Row],[i.]],AP$3),"")</f>
        <v/>
      </c>
      <c r="Y692" s="126" t="str">
        <f>IF(Tab.o1[[#This Row],[a1]]=1,0.01+0.94*Tab.o1[[#This Row],[PDF]]/MAX(Tab.o1[PDF]),"")</f>
        <v/>
      </c>
      <c r="Z692" s="126" t="str">
        <f>IF(Tab.o1[[#This Row],[a1]]=1,0.01+0.94*Tab.o1[[#This Row],[W1_PDF]]/MAX(Tab.o1[W1_PDF]),"")</f>
        <v/>
      </c>
      <c r="AA692" s="118" t="str">
        <f>IF(Tab.o1[[#This Row],[a1]]=1,ABS([1]!T.in.A[[#This Row],[oo6]]),"")</f>
        <v/>
      </c>
      <c r="AB692" s="127" t="str">
        <f>IF(Tab.o1[[#This Row],[a1]]=1,IF(AE$3=0,"",IF(AB$3=0,ABS([1]!T.in.A[[#This Row],[oo9]]),ABS(Tab.o1[[#This Row],[DIF_Target.]]*Tab.o1[[#This Row],[W1_PDF]]))),"")</f>
        <v/>
      </c>
      <c r="AC692" s="127" t="str">
        <f>IF(G$1=1,"",IF(Tab.o1[[#This Row],[a1]]=1,Tab.o1[[#This Row],[Wr]]^2,""))</f>
        <v/>
      </c>
      <c r="AD692" s="118" t="str">
        <f>IF(Tab.o1[[#This Row],[a1]]=1,IF(AE$3=0,"",Tab.o1[[#This Row],[Wr2]]/SUM(Tab.o1[Wr2])),"")</f>
        <v/>
      </c>
      <c r="AE692" s="128" t="str">
        <f>IF(Tab.o1[[#This Row],[a1]]=1,[1]!T.in.A[[#This Row],[oo10]],"")</f>
        <v/>
      </c>
      <c r="AF692" s="118" t="str">
        <f>IF(Tab.o1[[#This Row],[a1]]=1,ABS(Tab.o1[[#This Row],[DIF_Target.]]*Tab.o1[[#This Row],[PDF2]]*Tab.o1[[#This Row],[IN]]),"")</f>
        <v/>
      </c>
      <c r="AG692" s="129" t="str">
        <f>IF(Tab.o1[[#This Row],[a1]]=1,Tab.o1[[#This Row],[rW]]^2,"")</f>
        <v/>
      </c>
      <c r="AH692" s="130" t="str">
        <f>IF(Tab.o1[[#This Row],[a1]]=1,IF(AH$3=0,Tab.o1[[#This Row],[rW2]],0.01+0.94*Tab.o1[[#This Row],[rW2]]/SUM(Tab.o1[rW2])),"")</f>
        <v/>
      </c>
      <c r="AI692" s="128" t="str">
        <f>IF(Tab.o1[[#This Row],[a1]]=1,1/Tab.o1[[#This Row],[PDF]],"")</f>
        <v/>
      </c>
      <c r="AJ692" s="131" t="str">
        <f>IF(Tab.o1[[#This Row],[a1]]=1,[1]!T_AA[[#This Row],[IN'']]*[1]!T_AA[[#This Row],[Qde'']],"")</f>
        <v/>
      </c>
      <c r="AK692" s="132" t="str">
        <f>IF(Tab.o1[[#This Row],[a1]]=1,IF(AK$1=1,Tab.o1[[#This Row],[MED]]+Tab.o1[[#This Row],[MOD]]-Tab.o1[[#This Row],[MED]],""),"")</f>
        <v/>
      </c>
      <c r="AL692" s="133" t="str">
        <f>IF(Tab.o1[[#This Row],[a1]]=1,[1]!T.in.A[[#This Row],[oo16]],"")</f>
        <v/>
      </c>
      <c r="AM692" s="133" t="str">
        <f>IF(Tab.o1[[#This Row],[a1]]=1,IF(AM$3=1,[1]!T.in.A[[#This Row],[Σo16]],""),"")</f>
        <v/>
      </c>
      <c r="AN692" s="126" t="str">
        <f>IF(Tab.o1[[#This Row],[a1]]=1,[1]!T.in.A[[#This Row],[Σp5]],"")</f>
        <v/>
      </c>
      <c r="AO692" s="126" t="str">
        <f>IF(Tab.o1[[#This Row],[a1]]=1,IF(AO$3=1,[1]!T.in.A[[#This Row],[Σp5]],""),"")</f>
        <v/>
      </c>
      <c r="AP692" s="110" t="str">
        <f>IF(Tab.o1[[#This Row],[a1]]=1,IF(ISNUMBER(Tab.o1[[#This Row],[i.]]),NORMDIST(Tab.o1[[#This Row],[Za]],0,1,FALSE)*Tab.o1[[#This Row],[i.]],0),"")</f>
        <v/>
      </c>
      <c r="AQ692" s="125" t="str">
        <f>IF(Tab.o1[[#This Row],[a1]]=1,ABS(Tab.o1[[#This Row],[MOD]]-AVERAGE(Tab.o1[MOD])),"")</f>
        <v/>
      </c>
      <c r="AR692" s="134" t="str">
        <f>IF(Tab.o1[[#This Row],[a1]]=1,Tab.o1[[#This Row],[OBS]]/SUM(Tab.o1[OBS]),"")</f>
        <v/>
      </c>
      <c r="AS692" s="135" t="str">
        <f>IF(ISNUMBER(Tab.o1[[#This Row],[a1]]),ROW()-4,"")</f>
        <v/>
      </c>
      <c r="AT692" s="136" t="str">
        <f>Tab.o1[[#This Row],[MOD]]</f>
        <v/>
      </c>
      <c r="AU692" s="137" t="str">
        <f t="shared" si="41"/>
        <v/>
      </c>
      <c r="AV692" s="138" t="str">
        <f t="shared" si="42"/>
        <v/>
      </c>
      <c r="AW692" s="138" t="str">
        <f t="shared" si="43"/>
        <v/>
      </c>
      <c r="AX692" s="139" t="str">
        <f>[1]!T.in.A[[#This Row],[ID_T_manu]]</f>
        <v/>
      </c>
      <c r="AY692" s="140" t="str">
        <f>IF(ISNUMBER(Tab.o1[[#This Row],[a1]]),IF(AND(Tab.o1[[#This Row],[a1]]=1,Tab.o1[[#This Row],[b1]]&lt;=AY$4),#REF!,AY691),"")</f>
        <v/>
      </c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</row>
    <row r="693" spans="1:79" s="143" customFormat="1" ht="15.75" hidden="1">
      <c r="A693" s="109">
        <v>-5.9999999999999993E-6</v>
      </c>
      <c r="B693" s="110">
        <f t="shared" si="40"/>
        <v>693</v>
      </c>
      <c r="C693" s="111" t="str">
        <f>IF(C$1=[1]!T.in.A[[#This Row],[oo2]],1,"")</f>
        <v/>
      </c>
      <c r="D693" s="112" t="str">
        <f>IF(Tab.o1[[#This Row],[a1]]=1,IF(SUM(C693:C694)=0,0,IF(SUM(C692:C693)=1,1,IF(SUM(C692:C694)&gt;1,D692+1,0))),"")</f>
        <v/>
      </c>
      <c r="E693" s="113" t="str">
        <f>IF(Tab.o1[[#This Row],[a1]]=1,[1]!T.in.A[[#This Row],[oo1]],"")</f>
        <v/>
      </c>
      <c r="F693" s="113" t="str">
        <f>IF(Tab.o1[[#This Row],[a1]]=1,[1]!T.in.A[[#This Row],[pp1]],"")</f>
        <v/>
      </c>
      <c r="G693" s="114" t="str">
        <f>IF(Tab.o1[[#This Row],[a1]]=1,G$2+IF(G$1=1,0,Tab.o1[[#This Row],[.x1]])+[1]!T.in.A[[#This Row],[oo3]],"")</f>
        <v/>
      </c>
      <c r="H693" s="115" t="str">
        <f>IF(Tab.o1[[#This Row],[a1]]=1,IF(H$2=0,0,IF(G$1=1,0,Tab.o1[[#This Row],[.x1]])+[1]!T.in.A[[#This Row],[oo4]]),"")</f>
        <v/>
      </c>
      <c r="I693" s="116" t="str">
        <f>IF(Tab.o1[[#This Row],[a1]]=1,IF(J$2=0,Tab.o1[[#This Row],[MED]],Tab.o1[[#This Row],[MOD]]),"")</f>
        <v/>
      </c>
      <c r="J693" s="116" t="str">
        <f>IF(Tab.o1[[#This Row],[a1]]=1,((Tab.o1[[#This Row],[DIF_Target.]]-AVERAGE(Tab.o1[DIF_Target.]))/_xlfn.STDEV.P(Tab.o1[DIF_Target.])),"")</f>
        <v/>
      </c>
      <c r="K693" s="117" t="str">
        <f>IF(Tab.o1[[#This Row],[a1]]=1,IF(J$2=0,Tab.o1[[#This Row],[MOD]]-Tab.o1[[#This Row],[B]],IF(J$2=1,0,-Tab.o1[[#This Row],[MED]])+Tab.o1[[#This Row],[B]]),"")</f>
        <v/>
      </c>
      <c r="L693" s="117" t="str">
        <f ca="1">IF(Tab.o1[[#This Row],[DIF_Target]]=0,IF(L$2=0,Tab.o1[[#This Row],[DIF_Target]],AVERAGE(OFFSET(Tab.o1[[#This Row],[DIF_Target]],1,0,L$3,1)))/3,Tab.o1[[#This Row],[DIF_Target]])</f>
        <v/>
      </c>
      <c r="M693" s="118" t="str">
        <f>IF(Tab.o1[[#This Row],[a1]]=1,NORMSDIST(Tab.o1[[#This Row],[Za]]),"")</f>
        <v/>
      </c>
      <c r="N693" s="119" t="str">
        <f>IF(Tab.o1[[#This Row],[a1]]=1,((Tab.o1[[#This Row],[MedMod]]-AVERAGE(Tab.o1[MedMod]))/_xlfn.STDEV.P(Tab.o1[MedMod])*H$1205)+G$1205,"")</f>
        <v/>
      </c>
      <c r="O693" s="141" t="str">
        <f>IF(Tab.o1[[#This Row],[a1]]=1,Tab.o1[[#This Row],[Zb]]*_xlfn.STDEV.P(Tab.o1[MedMod])+AVERAGE(Tab.o1[MedMod]),"")</f>
        <v/>
      </c>
      <c r="P693" s="117" t="str">
        <f ca="1">IF(Tab.o1[[#This Row],[B]]=0,AVERAGE(OFFSET(Tab.o1[[#This Row],[B]],1,0,L$3,1)),Tab.o1[[#This Row],[B]])</f>
        <v/>
      </c>
      <c r="Q693" s="121" t="str">
        <f>IF(Tab.o1[[#This Row],[a1]]=1,NORMSDIST(Tab.o1[[#This Row],[Zb]]),"")</f>
        <v/>
      </c>
      <c r="R693" s="122" t="str">
        <f>IF(Tab.o1[[#This Row],[a1]]=1,((Tab.o1[[#This Row],[MedMod]]-AVERAGE(Tab.o1[MedMod]))/_xlfn.STDEV.P(Tab.o1[MedMod])*H$1203)+G$1203,"")</f>
        <v/>
      </c>
      <c r="S693" s="122" t="str">
        <f>IF(Tab.o1[[#This Row],[a1]]=1,((Tab.o1[[#This Row],[MedMod]]-AVERAGE(Tab.o1[MedMod]))/_xlfn.STDEV.P(Tab.o1[MedMod])*H$1204)+G$1204,"")</f>
        <v/>
      </c>
      <c r="T693" s="123" t="str">
        <f>IF(Tab.o1[[#This Row],[a1]]=1,Tab.o1[[#This Row],[Z-]]*_xlfn.STDEV.P(Tab.o1[B])+AVERAGE(Tab.o1[B]),"")</f>
        <v/>
      </c>
      <c r="U693" s="123" t="str">
        <f>IF(Tab.o1[[#This Row],[a1]]=1,Tab.o1[[#This Row],[z+]]*_xlfn.STDEV.P(Tab.o1[B])+AVERAGE(Tab.o1[B]),"")</f>
        <v/>
      </c>
      <c r="V693" s="124" t="str">
        <f>IF(Tab.o1[[#This Row],[a1]]=1,ABS((ABS(Tab.o1[[#This Row],[Red]]-Tab.o1[[#This Row],[Blue]]))),"")</f>
        <v/>
      </c>
      <c r="W693" s="125" t="str">
        <f>IF(Tab.o1[[#This Row],[a1]]=1,IF(W$3=0,1,Tab.o1[[#This Row],[Amp.]]*1/_xlfn.MINIFS(Tab.o1[Amp.],Tab.o1[Amp.],"&lt;&gt;0")),"")</f>
        <v/>
      </c>
      <c r="X693" s="126" t="str">
        <f>IF(Tab.o1[[#This Row],[a1]]=1,IF(ISNUMBER(Tab.o1[[#This Row],[i.]]),NORMDIST(Tab.o1[[#This Row],[Za]],0,1,FALSE)*Tab.o1[[#This Row],[i.]],AP$3),"")</f>
        <v/>
      </c>
      <c r="Y693" s="126" t="str">
        <f>IF(Tab.o1[[#This Row],[a1]]=1,0.01+0.94*Tab.o1[[#This Row],[PDF]]/MAX(Tab.o1[PDF]),"")</f>
        <v/>
      </c>
      <c r="Z693" s="126" t="str">
        <f>IF(Tab.o1[[#This Row],[a1]]=1,0.01+0.94*Tab.o1[[#This Row],[W1_PDF]]/MAX(Tab.o1[W1_PDF]),"")</f>
        <v/>
      </c>
      <c r="AA693" s="118" t="str">
        <f>IF(Tab.o1[[#This Row],[a1]]=1,ABS([1]!T.in.A[[#This Row],[oo6]]),"")</f>
        <v/>
      </c>
      <c r="AB693" s="127" t="str">
        <f>IF(Tab.o1[[#This Row],[a1]]=1,IF(AE$3=0,"",IF(AB$3=0,ABS([1]!T.in.A[[#This Row],[oo9]]),ABS(Tab.o1[[#This Row],[DIF_Target.]]*Tab.o1[[#This Row],[W1_PDF]]))),"")</f>
        <v/>
      </c>
      <c r="AC693" s="127" t="str">
        <f>IF(G$1=1,"",IF(Tab.o1[[#This Row],[a1]]=1,Tab.o1[[#This Row],[Wr]]^2,""))</f>
        <v/>
      </c>
      <c r="AD693" s="118" t="str">
        <f>IF(Tab.o1[[#This Row],[a1]]=1,IF(AE$3=0,"",Tab.o1[[#This Row],[Wr2]]/SUM(Tab.o1[Wr2])),"")</f>
        <v/>
      </c>
      <c r="AE693" s="128" t="str">
        <f>IF(Tab.o1[[#This Row],[a1]]=1,[1]!T.in.A[[#This Row],[oo10]],"")</f>
        <v/>
      </c>
      <c r="AF693" s="118" t="str">
        <f>IF(Tab.o1[[#This Row],[a1]]=1,ABS(Tab.o1[[#This Row],[DIF_Target.]]*Tab.o1[[#This Row],[PDF2]]*Tab.o1[[#This Row],[IN]]),"")</f>
        <v/>
      </c>
      <c r="AG693" s="129" t="str">
        <f>IF(Tab.o1[[#This Row],[a1]]=1,Tab.o1[[#This Row],[rW]]^2,"")</f>
        <v/>
      </c>
      <c r="AH693" s="130" t="str">
        <f>IF(Tab.o1[[#This Row],[a1]]=1,IF(AH$3=0,Tab.o1[[#This Row],[rW2]],0.01+0.94*Tab.o1[[#This Row],[rW2]]/SUM(Tab.o1[rW2])),"")</f>
        <v/>
      </c>
      <c r="AI693" s="128" t="str">
        <f>IF(Tab.o1[[#This Row],[a1]]=1,1/Tab.o1[[#This Row],[PDF]],"")</f>
        <v/>
      </c>
      <c r="AJ693" s="131" t="str">
        <f>IF(Tab.o1[[#This Row],[a1]]=1,[1]!T_AA[[#This Row],[IN'']]*[1]!T_AA[[#This Row],[Qde'']],"")</f>
        <v/>
      </c>
      <c r="AK693" s="132" t="str">
        <f>IF(Tab.o1[[#This Row],[a1]]=1,IF(AK$1=1,Tab.o1[[#This Row],[MED]]+Tab.o1[[#This Row],[MOD]]-Tab.o1[[#This Row],[MED]],""),"")</f>
        <v/>
      </c>
      <c r="AL693" s="133" t="str">
        <f>IF(Tab.o1[[#This Row],[a1]]=1,[1]!T.in.A[[#This Row],[oo16]],"")</f>
        <v/>
      </c>
      <c r="AM693" s="133" t="str">
        <f>IF(Tab.o1[[#This Row],[a1]]=1,IF(AM$3=1,[1]!T.in.A[[#This Row],[Σo16]],""),"")</f>
        <v/>
      </c>
      <c r="AN693" s="126" t="str">
        <f>IF(Tab.o1[[#This Row],[a1]]=1,[1]!T.in.A[[#This Row],[Σp5]],"")</f>
        <v/>
      </c>
      <c r="AO693" s="126" t="str">
        <f>IF(Tab.o1[[#This Row],[a1]]=1,IF(AO$3=1,[1]!T.in.A[[#This Row],[Σp5]],""),"")</f>
        <v/>
      </c>
      <c r="AP693" s="110" t="str">
        <f>IF(Tab.o1[[#This Row],[a1]]=1,IF(ISNUMBER(Tab.o1[[#This Row],[i.]]),NORMDIST(Tab.o1[[#This Row],[Za]],0,1,FALSE)*Tab.o1[[#This Row],[i.]],0),"")</f>
        <v/>
      </c>
      <c r="AQ693" s="125" t="str">
        <f>IF(Tab.o1[[#This Row],[a1]]=1,ABS(Tab.o1[[#This Row],[MOD]]-AVERAGE(Tab.o1[MOD])),"")</f>
        <v/>
      </c>
      <c r="AR693" s="134" t="str">
        <f>IF(Tab.o1[[#This Row],[a1]]=1,Tab.o1[[#This Row],[OBS]]/SUM(Tab.o1[OBS]),"")</f>
        <v/>
      </c>
      <c r="AS693" s="135" t="str">
        <f>IF(ISNUMBER(Tab.o1[[#This Row],[a1]]),ROW()-4,"")</f>
        <v/>
      </c>
      <c r="AT693" s="136" t="str">
        <f>Tab.o1[[#This Row],[MOD]]</f>
        <v/>
      </c>
      <c r="AU693" s="137" t="str">
        <f t="shared" si="41"/>
        <v/>
      </c>
      <c r="AV693" s="138" t="str">
        <f t="shared" si="42"/>
        <v/>
      </c>
      <c r="AW693" s="138" t="str">
        <f t="shared" si="43"/>
        <v/>
      </c>
      <c r="AX693" s="139" t="str">
        <f>[1]!T.in.A[[#This Row],[ID_T_manu]]</f>
        <v/>
      </c>
      <c r="AY693" s="140" t="str">
        <f>IF(ISNUMBER(Tab.o1[[#This Row],[a1]]),IF(AND(Tab.o1[[#This Row],[a1]]=1,Tab.o1[[#This Row],[b1]]&lt;=AY$4),#REF!,AY692),"")</f>
        <v/>
      </c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26"/>
    </row>
    <row r="694" spans="1:79" s="143" customFormat="1" ht="15.75" hidden="1">
      <c r="A694" s="109">
        <v>-6.9999999999999999E-6</v>
      </c>
      <c r="B694" s="110">
        <f t="shared" si="40"/>
        <v>694</v>
      </c>
      <c r="C694" s="111" t="str">
        <f>IF(C$1=[1]!T.in.A[[#This Row],[oo2]],1,"")</f>
        <v/>
      </c>
      <c r="D694" s="112" t="str">
        <f>IF(Tab.o1[[#This Row],[a1]]=1,IF(SUM(C694:C695)=0,0,IF(SUM(C693:C694)=1,1,IF(SUM(C693:C695)&gt;1,D693+1,0))),"")</f>
        <v/>
      </c>
      <c r="E694" s="113" t="str">
        <f>IF(Tab.o1[[#This Row],[a1]]=1,[1]!T.in.A[[#This Row],[oo1]],"")</f>
        <v/>
      </c>
      <c r="F694" s="113" t="str">
        <f>IF(Tab.o1[[#This Row],[a1]]=1,[1]!T.in.A[[#This Row],[pp1]],"")</f>
        <v/>
      </c>
      <c r="G694" s="114" t="str">
        <f>IF(Tab.o1[[#This Row],[a1]]=1,G$2+IF(G$1=1,0,Tab.o1[[#This Row],[.x1]])+[1]!T.in.A[[#This Row],[oo3]],"")</f>
        <v/>
      </c>
      <c r="H694" s="115" t="str">
        <f>IF(Tab.o1[[#This Row],[a1]]=1,IF(H$2=0,0,IF(G$1=1,0,Tab.o1[[#This Row],[.x1]])+[1]!T.in.A[[#This Row],[oo4]]),"")</f>
        <v/>
      </c>
      <c r="I694" s="116" t="str">
        <f>IF(Tab.o1[[#This Row],[a1]]=1,IF(J$2=0,Tab.o1[[#This Row],[MED]],Tab.o1[[#This Row],[MOD]]),"")</f>
        <v/>
      </c>
      <c r="J694" s="116" t="str">
        <f>IF(Tab.o1[[#This Row],[a1]]=1,((Tab.o1[[#This Row],[DIF_Target.]]-AVERAGE(Tab.o1[DIF_Target.]))/_xlfn.STDEV.P(Tab.o1[DIF_Target.])),"")</f>
        <v/>
      </c>
      <c r="K694" s="117" t="str">
        <f>IF(Tab.o1[[#This Row],[a1]]=1,IF(J$2=0,Tab.o1[[#This Row],[MOD]]-Tab.o1[[#This Row],[B]],IF(J$2=1,0,-Tab.o1[[#This Row],[MED]])+Tab.o1[[#This Row],[B]]),"")</f>
        <v/>
      </c>
      <c r="L694" s="117" t="str">
        <f ca="1">IF(Tab.o1[[#This Row],[DIF_Target]]=0,IF(L$2=0,Tab.o1[[#This Row],[DIF_Target]],AVERAGE(OFFSET(Tab.o1[[#This Row],[DIF_Target]],1,0,L$3,1)))/3,Tab.o1[[#This Row],[DIF_Target]])</f>
        <v/>
      </c>
      <c r="M694" s="118" t="str">
        <f>IF(Tab.o1[[#This Row],[a1]]=1,NORMSDIST(Tab.o1[[#This Row],[Za]]),"")</f>
        <v/>
      </c>
      <c r="N694" s="119" t="str">
        <f>IF(Tab.o1[[#This Row],[a1]]=1,((Tab.o1[[#This Row],[MedMod]]-AVERAGE(Tab.o1[MedMod]))/_xlfn.STDEV.P(Tab.o1[MedMod])*H$1205)+G$1205,"")</f>
        <v/>
      </c>
      <c r="O694" s="141" t="str">
        <f>IF(Tab.o1[[#This Row],[a1]]=1,Tab.o1[[#This Row],[Zb]]*_xlfn.STDEV.P(Tab.o1[MedMod])+AVERAGE(Tab.o1[MedMod]),"")</f>
        <v/>
      </c>
      <c r="P694" s="117" t="str">
        <f ca="1">IF(Tab.o1[[#This Row],[B]]=0,AVERAGE(OFFSET(Tab.o1[[#This Row],[B]],1,0,L$3,1)),Tab.o1[[#This Row],[B]])</f>
        <v/>
      </c>
      <c r="Q694" s="121" t="str">
        <f>IF(Tab.o1[[#This Row],[a1]]=1,NORMSDIST(Tab.o1[[#This Row],[Zb]]),"")</f>
        <v/>
      </c>
      <c r="R694" s="122" t="str">
        <f>IF(Tab.o1[[#This Row],[a1]]=1,((Tab.o1[[#This Row],[MedMod]]-AVERAGE(Tab.o1[MedMod]))/_xlfn.STDEV.P(Tab.o1[MedMod])*H$1203)+G$1203,"")</f>
        <v/>
      </c>
      <c r="S694" s="122" t="str">
        <f>IF(Tab.o1[[#This Row],[a1]]=1,((Tab.o1[[#This Row],[MedMod]]-AVERAGE(Tab.o1[MedMod]))/_xlfn.STDEV.P(Tab.o1[MedMod])*H$1204)+G$1204,"")</f>
        <v/>
      </c>
      <c r="T694" s="123" t="str">
        <f>IF(Tab.o1[[#This Row],[a1]]=1,Tab.o1[[#This Row],[Z-]]*_xlfn.STDEV.P(Tab.o1[B])+AVERAGE(Tab.o1[B]),"")</f>
        <v/>
      </c>
      <c r="U694" s="123" t="str">
        <f>IF(Tab.o1[[#This Row],[a1]]=1,Tab.o1[[#This Row],[z+]]*_xlfn.STDEV.P(Tab.o1[B])+AVERAGE(Tab.o1[B]),"")</f>
        <v/>
      </c>
      <c r="V694" s="124" t="str">
        <f>IF(Tab.o1[[#This Row],[a1]]=1,ABS((ABS(Tab.o1[[#This Row],[Red]]-Tab.o1[[#This Row],[Blue]]))),"")</f>
        <v/>
      </c>
      <c r="W694" s="125" t="str">
        <f>IF(Tab.o1[[#This Row],[a1]]=1,IF(W$3=0,1,Tab.o1[[#This Row],[Amp.]]*1/_xlfn.MINIFS(Tab.o1[Amp.],Tab.o1[Amp.],"&lt;&gt;0")),"")</f>
        <v/>
      </c>
      <c r="X694" s="126" t="str">
        <f>IF(Tab.o1[[#This Row],[a1]]=1,IF(ISNUMBER(Tab.o1[[#This Row],[i.]]),NORMDIST(Tab.o1[[#This Row],[Za]],0,1,FALSE)*Tab.o1[[#This Row],[i.]],AP$3),"")</f>
        <v/>
      </c>
      <c r="Y694" s="126" t="str">
        <f>IF(Tab.o1[[#This Row],[a1]]=1,0.01+0.94*Tab.o1[[#This Row],[PDF]]/MAX(Tab.o1[PDF]),"")</f>
        <v/>
      </c>
      <c r="Z694" s="126" t="str">
        <f>IF(Tab.o1[[#This Row],[a1]]=1,0.01+0.94*Tab.o1[[#This Row],[W1_PDF]]/MAX(Tab.o1[W1_PDF]),"")</f>
        <v/>
      </c>
      <c r="AA694" s="118" t="str">
        <f>IF(Tab.o1[[#This Row],[a1]]=1,ABS([1]!T.in.A[[#This Row],[oo6]]),"")</f>
        <v/>
      </c>
      <c r="AB694" s="127" t="str">
        <f>IF(Tab.o1[[#This Row],[a1]]=1,IF(AE$3=0,"",IF(AB$3=0,ABS([1]!T.in.A[[#This Row],[oo9]]),ABS(Tab.o1[[#This Row],[DIF_Target.]]*Tab.o1[[#This Row],[W1_PDF]]))),"")</f>
        <v/>
      </c>
      <c r="AC694" s="127" t="str">
        <f>IF(G$1=1,"",IF(Tab.o1[[#This Row],[a1]]=1,Tab.o1[[#This Row],[Wr]]^2,""))</f>
        <v/>
      </c>
      <c r="AD694" s="118" t="str">
        <f>IF(Tab.o1[[#This Row],[a1]]=1,IF(AE$3=0,"",Tab.o1[[#This Row],[Wr2]]/SUM(Tab.o1[Wr2])),"")</f>
        <v/>
      </c>
      <c r="AE694" s="128" t="str">
        <f>IF(Tab.o1[[#This Row],[a1]]=1,[1]!T.in.A[[#This Row],[oo10]],"")</f>
        <v/>
      </c>
      <c r="AF694" s="118" t="str">
        <f>IF(Tab.o1[[#This Row],[a1]]=1,ABS(Tab.o1[[#This Row],[DIF_Target.]]*Tab.o1[[#This Row],[PDF2]]*Tab.o1[[#This Row],[IN]]),"")</f>
        <v/>
      </c>
      <c r="AG694" s="129" t="str">
        <f>IF(Tab.o1[[#This Row],[a1]]=1,Tab.o1[[#This Row],[rW]]^2,"")</f>
        <v/>
      </c>
      <c r="AH694" s="130" t="str">
        <f>IF(Tab.o1[[#This Row],[a1]]=1,IF(AH$3=0,Tab.o1[[#This Row],[rW2]],0.01+0.94*Tab.o1[[#This Row],[rW2]]/SUM(Tab.o1[rW2])),"")</f>
        <v/>
      </c>
      <c r="AI694" s="128" t="str">
        <f>IF(Tab.o1[[#This Row],[a1]]=1,1/Tab.o1[[#This Row],[PDF]],"")</f>
        <v/>
      </c>
      <c r="AJ694" s="131" t="str">
        <f>IF(Tab.o1[[#This Row],[a1]]=1,[1]!T_AA[[#This Row],[IN'']]*[1]!T_AA[[#This Row],[Qde'']],"")</f>
        <v/>
      </c>
      <c r="AK694" s="132" t="str">
        <f>IF(Tab.o1[[#This Row],[a1]]=1,IF(AK$1=1,Tab.o1[[#This Row],[MED]]+Tab.o1[[#This Row],[MOD]]-Tab.o1[[#This Row],[MED]],""),"")</f>
        <v/>
      </c>
      <c r="AL694" s="133" t="str">
        <f>IF(Tab.o1[[#This Row],[a1]]=1,[1]!T.in.A[[#This Row],[oo16]],"")</f>
        <v/>
      </c>
      <c r="AM694" s="133" t="str">
        <f>IF(Tab.o1[[#This Row],[a1]]=1,IF(AM$3=1,[1]!T.in.A[[#This Row],[Σo16]],""),"")</f>
        <v/>
      </c>
      <c r="AN694" s="126" t="str">
        <f>IF(Tab.o1[[#This Row],[a1]]=1,[1]!T.in.A[[#This Row],[Σp5]],"")</f>
        <v/>
      </c>
      <c r="AO694" s="126" t="str">
        <f>IF(Tab.o1[[#This Row],[a1]]=1,IF(AO$3=1,[1]!T.in.A[[#This Row],[Σp5]],""),"")</f>
        <v/>
      </c>
      <c r="AP694" s="110" t="str">
        <f>IF(Tab.o1[[#This Row],[a1]]=1,IF(ISNUMBER(Tab.o1[[#This Row],[i.]]),NORMDIST(Tab.o1[[#This Row],[Za]],0,1,FALSE)*Tab.o1[[#This Row],[i.]],0),"")</f>
        <v/>
      </c>
      <c r="AQ694" s="125" t="str">
        <f>IF(Tab.o1[[#This Row],[a1]]=1,ABS(Tab.o1[[#This Row],[MOD]]-AVERAGE(Tab.o1[MOD])),"")</f>
        <v/>
      </c>
      <c r="AR694" s="134" t="str">
        <f>IF(Tab.o1[[#This Row],[a1]]=1,Tab.o1[[#This Row],[OBS]]/SUM(Tab.o1[OBS]),"")</f>
        <v/>
      </c>
      <c r="AS694" s="135" t="str">
        <f>IF(ISNUMBER(Tab.o1[[#This Row],[a1]]),ROW()-4,"")</f>
        <v/>
      </c>
      <c r="AT694" s="136" t="str">
        <f>Tab.o1[[#This Row],[MOD]]</f>
        <v/>
      </c>
      <c r="AU694" s="137" t="str">
        <f t="shared" si="41"/>
        <v/>
      </c>
      <c r="AV694" s="138" t="str">
        <f t="shared" si="42"/>
        <v/>
      </c>
      <c r="AW694" s="138" t="str">
        <f t="shared" si="43"/>
        <v/>
      </c>
      <c r="AX694" s="139" t="str">
        <f>[1]!T.in.A[[#This Row],[ID_T_manu]]</f>
        <v/>
      </c>
      <c r="AY694" s="140" t="str">
        <f>IF(ISNUMBER(Tab.o1[[#This Row],[a1]]),IF(AND(Tab.o1[[#This Row],[a1]]=1,Tab.o1[[#This Row],[b1]]&lt;=AY$4),#REF!,AY693),"")</f>
        <v/>
      </c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</row>
    <row r="695" spans="1:79" s="143" customFormat="1" ht="15.75" hidden="1">
      <c r="A695" s="109">
        <v>5.0000000000000004E-6</v>
      </c>
      <c r="B695" s="110">
        <f t="shared" si="40"/>
        <v>695</v>
      </c>
      <c r="C695" s="111" t="str">
        <f>IF(C$1=[1]!T.in.A[[#This Row],[oo2]],1,"")</f>
        <v/>
      </c>
      <c r="D695" s="112" t="str">
        <f>IF(Tab.o1[[#This Row],[a1]]=1,IF(SUM(C695:C696)=0,0,IF(SUM(C694:C695)=1,1,IF(SUM(C694:C696)&gt;1,D694+1,0))),"")</f>
        <v/>
      </c>
      <c r="E695" s="113" t="str">
        <f>IF(Tab.o1[[#This Row],[a1]]=1,[1]!T.in.A[[#This Row],[oo1]],"")</f>
        <v/>
      </c>
      <c r="F695" s="113" t="str">
        <f>IF(Tab.o1[[#This Row],[a1]]=1,[1]!T.in.A[[#This Row],[pp1]],"")</f>
        <v/>
      </c>
      <c r="G695" s="114" t="str">
        <f>IF(Tab.o1[[#This Row],[a1]]=1,G$2+IF(G$1=1,0,Tab.o1[[#This Row],[.x1]])+[1]!T.in.A[[#This Row],[oo3]],"")</f>
        <v/>
      </c>
      <c r="H695" s="115" t="str">
        <f>IF(Tab.o1[[#This Row],[a1]]=1,IF(H$2=0,0,IF(G$1=1,0,Tab.o1[[#This Row],[.x1]])+[1]!T.in.A[[#This Row],[oo4]]),"")</f>
        <v/>
      </c>
      <c r="I695" s="116" t="str">
        <f>IF(Tab.o1[[#This Row],[a1]]=1,IF(J$2=0,Tab.o1[[#This Row],[MED]],Tab.o1[[#This Row],[MOD]]),"")</f>
        <v/>
      </c>
      <c r="J695" s="116" t="str">
        <f>IF(Tab.o1[[#This Row],[a1]]=1,((Tab.o1[[#This Row],[DIF_Target.]]-AVERAGE(Tab.o1[DIF_Target.]))/_xlfn.STDEV.P(Tab.o1[DIF_Target.])),"")</f>
        <v/>
      </c>
      <c r="K695" s="117" t="str">
        <f>IF(Tab.o1[[#This Row],[a1]]=1,IF(J$2=0,Tab.o1[[#This Row],[MOD]]-Tab.o1[[#This Row],[B]],IF(J$2=1,0,-Tab.o1[[#This Row],[MED]])+Tab.o1[[#This Row],[B]]),"")</f>
        <v/>
      </c>
      <c r="L695" s="117" t="str">
        <f ca="1">IF(Tab.o1[[#This Row],[DIF_Target]]=0,IF(L$2=0,Tab.o1[[#This Row],[DIF_Target]],AVERAGE(OFFSET(Tab.o1[[#This Row],[DIF_Target]],1,0,L$3,1)))/3,Tab.o1[[#This Row],[DIF_Target]])</f>
        <v/>
      </c>
      <c r="M695" s="118" t="str">
        <f>IF(Tab.o1[[#This Row],[a1]]=1,NORMSDIST(Tab.o1[[#This Row],[Za]]),"")</f>
        <v/>
      </c>
      <c r="N695" s="119" t="str">
        <f>IF(Tab.o1[[#This Row],[a1]]=1,((Tab.o1[[#This Row],[MedMod]]-AVERAGE(Tab.o1[MedMod]))/_xlfn.STDEV.P(Tab.o1[MedMod])*H$1205)+G$1205,"")</f>
        <v/>
      </c>
      <c r="O695" s="141" t="str">
        <f>IF(Tab.o1[[#This Row],[a1]]=1,Tab.o1[[#This Row],[Zb]]*_xlfn.STDEV.P(Tab.o1[MedMod])+AVERAGE(Tab.o1[MedMod]),"")</f>
        <v/>
      </c>
      <c r="P695" s="117" t="str">
        <f ca="1">IF(Tab.o1[[#This Row],[B]]=0,AVERAGE(OFFSET(Tab.o1[[#This Row],[B]],1,0,L$3,1)),Tab.o1[[#This Row],[B]])</f>
        <v/>
      </c>
      <c r="Q695" s="121" t="str">
        <f>IF(Tab.o1[[#This Row],[a1]]=1,NORMSDIST(Tab.o1[[#This Row],[Zb]]),"")</f>
        <v/>
      </c>
      <c r="R695" s="122" t="str">
        <f>IF(Tab.o1[[#This Row],[a1]]=1,((Tab.o1[[#This Row],[MedMod]]-AVERAGE(Tab.o1[MedMod]))/_xlfn.STDEV.P(Tab.o1[MedMod])*H$1203)+G$1203,"")</f>
        <v/>
      </c>
      <c r="S695" s="122" t="str">
        <f>IF(Tab.o1[[#This Row],[a1]]=1,((Tab.o1[[#This Row],[MedMod]]-AVERAGE(Tab.o1[MedMod]))/_xlfn.STDEV.P(Tab.o1[MedMod])*H$1204)+G$1204,"")</f>
        <v/>
      </c>
      <c r="T695" s="123" t="str">
        <f>IF(Tab.o1[[#This Row],[a1]]=1,Tab.o1[[#This Row],[Z-]]*_xlfn.STDEV.P(Tab.o1[B])+AVERAGE(Tab.o1[B]),"")</f>
        <v/>
      </c>
      <c r="U695" s="123" t="str">
        <f>IF(Tab.o1[[#This Row],[a1]]=1,Tab.o1[[#This Row],[z+]]*_xlfn.STDEV.P(Tab.o1[B])+AVERAGE(Tab.o1[B]),"")</f>
        <v/>
      </c>
      <c r="V695" s="124" t="str">
        <f>IF(Tab.o1[[#This Row],[a1]]=1,ABS((ABS(Tab.o1[[#This Row],[Red]]-Tab.o1[[#This Row],[Blue]]))),"")</f>
        <v/>
      </c>
      <c r="W695" s="125" t="str">
        <f>IF(Tab.o1[[#This Row],[a1]]=1,IF(W$3=0,1,Tab.o1[[#This Row],[Amp.]]*1/_xlfn.MINIFS(Tab.o1[Amp.],Tab.o1[Amp.],"&lt;&gt;0")),"")</f>
        <v/>
      </c>
      <c r="X695" s="126" t="str">
        <f>IF(Tab.o1[[#This Row],[a1]]=1,IF(ISNUMBER(Tab.o1[[#This Row],[i.]]),NORMDIST(Tab.o1[[#This Row],[Za]],0,1,FALSE)*Tab.o1[[#This Row],[i.]],AP$3),"")</f>
        <v/>
      </c>
      <c r="Y695" s="126" t="str">
        <f>IF(Tab.o1[[#This Row],[a1]]=1,0.01+0.94*Tab.o1[[#This Row],[PDF]]/MAX(Tab.o1[PDF]),"")</f>
        <v/>
      </c>
      <c r="Z695" s="126" t="str">
        <f>IF(Tab.o1[[#This Row],[a1]]=1,0.01+0.94*Tab.o1[[#This Row],[W1_PDF]]/MAX(Tab.o1[W1_PDF]),"")</f>
        <v/>
      </c>
      <c r="AA695" s="118" t="str">
        <f>IF(Tab.o1[[#This Row],[a1]]=1,ABS([1]!T.in.A[[#This Row],[oo6]]),"")</f>
        <v/>
      </c>
      <c r="AB695" s="127" t="str">
        <f>IF(Tab.o1[[#This Row],[a1]]=1,IF(AE$3=0,"",IF(AB$3=0,ABS([1]!T.in.A[[#This Row],[oo9]]),ABS(Tab.o1[[#This Row],[DIF_Target.]]*Tab.o1[[#This Row],[W1_PDF]]))),"")</f>
        <v/>
      </c>
      <c r="AC695" s="127" t="str">
        <f>IF(G$1=1,"",IF(Tab.o1[[#This Row],[a1]]=1,Tab.o1[[#This Row],[Wr]]^2,""))</f>
        <v/>
      </c>
      <c r="AD695" s="118" t="str">
        <f>IF(Tab.o1[[#This Row],[a1]]=1,IF(AE$3=0,"",Tab.o1[[#This Row],[Wr2]]/SUM(Tab.o1[Wr2])),"")</f>
        <v/>
      </c>
      <c r="AE695" s="128" t="str">
        <f>IF(Tab.o1[[#This Row],[a1]]=1,[1]!T.in.A[[#This Row],[oo10]],"")</f>
        <v/>
      </c>
      <c r="AF695" s="118" t="str">
        <f>IF(Tab.o1[[#This Row],[a1]]=1,ABS(Tab.o1[[#This Row],[DIF_Target.]]*Tab.o1[[#This Row],[PDF2]]*Tab.o1[[#This Row],[IN]]),"")</f>
        <v/>
      </c>
      <c r="AG695" s="129" t="str">
        <f>IF(Tab.o1[[#This Row],[a1]]=1,Tab.o1[[#This Row],[rW]]^2,"")</f>
        <v/>
      </c>
      <c r="AH695" s="130" t="str">
        <f>IF(Tab.o1[[#This Row],[a1]]=1,IF(AH$3=0,Tab.o1[[#This Row],[rW2]],0.01+0.94*Tab.o1[[#This Row],[rW2]]/SUM(Tab.o1[rW2])),"")</f>
        <v/>
      </c>
      <c r="AI695" s="128" t="str">
        <f>IF(Tab.o1[[#This Row],[a1]]=1,1/Tab.o1[[#This Row],[PDF]],"")</f>
        <v/>
      </c>
      <c r="AJ695" s="131" t="str">
        <f>IF(Tab.o1[[#This Row],[a1]]=1,[1]!T_AA[[#This Row],[IN'']]*[1]!T_AA[[#This Row],[Qde'']],"")</f>
        <v/>
      </c>
      <c r="AK695" s="132" t="str">
        <f>IF(Tab.o1[[#This Row],[a1]]=1,IF(AK$1=1,Tab.o1[[#This Row],[MED]]+Tab.o1[[#This Row],[MOD]]-Tab.o1[[#This Row],[MED]],""),"")</f>
        <v/>
      </c>
      <c r="AL695" s="133" t="str">
        <f>IF(Tab.o1[[#This Row],[a1]]=1,[1]!T.in.A[[#This Row],[oo16]],"")</f>
        <v/>
      </c>
      <c r="AM695" s="133" t="str">
        <f>IF(Tab.o1[[#This Row],[a1]]=1,IF(AM$3=1,[1]!T.in.A[[#This Row],[Σo16]],""),"")</f>
        <v/>
      </c>
      <c r="AN695" s="126" t="str">
        <f>IF(Tab.o1[[#This Row],[a1]]=1,[1]!T.in.A[[#This Row],[Σp5]],"")</f>
        <v/>
      </c>
      <c r="AO695" s="126" t="str">
        <f>IF(Tab.o1[[#This Row],[a1]]=1,IF(AO$3=1,[1]!T.in.A[[#This Row],[Σp5]],""),"")</f>
        <v/>
      </c>
      <c r="AP695" s="110" t="str">
        <f>IF(Tab.o1[[#This Row],[a1]]=1,IF(ISNUMBER(Tab.o1[[#This Row],[i.]]),NORMDIST(Tab.o1[[#This Row],[Za]],0,1,FALSE)*Tab.o1[[#This Row],[i.]],0),"")</f>
        <v/>
      </c>
      <c r="AQ695" s="125" t="str">
        <f>IF(Tab.o1[[#This Row],[a1]]=1,ABS(Tab.o1[[#This Row],[MOD]]-AVERAGE(Tab.o1[MOD])),"")</f>
        <v/>
      </c>
      <c r="AR695" s="134" t="str">
        <f>IF(Tab.o1[[#This Row],[a1]]=1,Tab.o1[[#This Row],[OBS]]/SUM(Tab.o1[OBS]),"")</f>
        <v/>
      </c>
      <c r="AS695" s="135" t="str">
        <f>IF(ISNUMBER(Tab.o1[[#This Row],[a1]]),ROW()-4,"")</f>
        <v/>
      </c>
      <c r="AT695" s="136" t="str">
        <f>Tab.o1[[#This Row],[MOD]]</f>
        <v/>
      </c>
      <c r="AU695" s="137" t="str">
        <f t="shared" si="41"/>
        <v/>
      </c>
      <c r="AV695" s="138" t="str">
        <f t="shared" si="42"/>
        <v/>
      </c>
      <c r="AW695" s="138" t="str">
        <f t="shared" si="43"/>
        <v/>
      </c>
      <c r="AX695" s="139" t="str">
        <f>[1]!T.in.A[[#This Row],[ID_T_manu]]</f>
        <v/>
      </c>
      <c r="AY695" s="140" t="str">
        <f>IF(ISNUMBER(Tab.o1[[#This Row],[a1]]),IF(AND(Tab.o1[[#This Row],[a1]]=1,Tab.o1[[#This Row],[b1]]&lt;=AY$4),#REF!,AY694),"")</f>
        <v/>
      </c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26"/>
    </row>
    <row r="696" spans="1:79" s="143" customFormat="1" ht="15.75" hidden="1">
      <c r="A696" s="109">
        <v>-5.0000000000000004E-6</v>
      </c>
      <c r="B696" s="110">
        <f t="shared" si="40"/>
        <v>696</v>
      </c>
      <c r="C696" s="111" t="str">
        <f>IF(C$1=[1]!T.in.A[[#This Row],[oo2]],1,"")</f>
        <v/>
      </c>
      <c r="D696" s="112" t="str">
        <f>IF(Tab.o1[[#This Row],[a1]]=1,IF(SUM(C696:C697)=0,0,IF(SUM(C695:C696)=1,1,IF(SUM(C695:C697)&gt;1,D695+1,0))),"")</f>
        <v/>
      </c>
      <c r="E696" s="113" t="str">
        <f>IF(Tab.o1[[#This Row],[a1]]=1,[1]!T.in.A[[#This Row],[oo1]],"")</f>
        <v/>
      </c>
      <c r="F696" s="113" t="str">
        <f>IF(Tab.o1[[#This Row],[a1]]=1,[1]!T.in.A[[#This Row],[pp1]],"")</f>
        <v/>
      </c>
      <c r="G696" s="114" t="str">
        <f>IF(Tab.o1[[#This Row],[a1]]=1,G$2+IF(G$1=1,0,Tab.o1[[#This Row],[.x1]])+[1]!T.in.A[[#This Row],[oo3]],"")</f>
        <v/>
      </c>
      <c r="H696" s="115" t="str">
        <f>IF(Tab.o1[[#This Row],[a1]]=1,IF(H$2=0,0,IF(G$1=1,0,Tab.o1[[#This Row],[.x1]])+[1]!T.in.A[[#This Row],[oo4]]),"")</f>
        <v/>
      </c>
      <c r="I696" s="116" t="str">
        <f>IF(Tab.o1[[#This Row],[a1]]=1,IF(J$2=0,Tab.o1[[#This Row],[MED]],Tab.o1[[#This Row],[MOD]]),"")</f>
        <v/>
      </c>
      <c r="J696" s="116" t="str">
        <f>IF(Tab.o1[[#This Row],[a1]]=1,((Tab.o1[[#This Row],[DIF_Target.]]-AVERAGE(Tab.o1[DIF_Target.]))/_xlfn.STDEV.P(Tab.o1[DIF_Target.])),"")</f>
        <v/>
      </c>
      <c r="K696" s="117" t="str">
        <f>IF(Tab.o1[[#This Row],[a1]]=1,IF(J$2=0,Tab.o1[[#This Row],[MOD]]-Tab.o1[[#This Row],[B]],IF(J$2=1,0,-Tab.o1[[#This Row],[MED]])+Tab.o1[[#This Row],[B]]),"")</f>
        <v/>
      </c>
      <c r="L696" s="117" t="str">
        <f ca="1">IF(Tab.o1[[#This Row],[DIF_Target]]=0,IF(L$2=0,Tab.o1[[#This Row],[DIF_Target]],AVERAGE(OFFSET(Tab.o1[[#This Row],[DIF_Target]],1,0,L$3,1)))/3,Tab.o1[[#This Row],[DIF_Target]])</f>
        <v/>
      </c>
      <c r="M696" s="118" t="str">
        <f>IF(Tab.o1[[#This Row],[a1]]=1,NORMSDIST(Tab.o1[[#This Row],[Za]]),"")</f>
        <v/>
      </c>
      <c r="N696" s="119" t="str">
        <f>IF(Tab.o1[[#This Row],[a1]]=1,((Tab.o1[[#This Row],[MedMod]]-AVERAGE(Tab.o1[MedMod]))/_xlfn.STDEV.P(Tab.o1[MedMod])*H$1205)+G$1205,"")</f>
        <v/>
      </c>
      <c r="O696" s="141" t="str">
        <f>IF(Tab.o1[[#This Row],[a1]]=1,Tab.o1[[#This Row],[Zb]]*_xlfn.STDEV.P(Tab.o1[MedMod])+AVERAGE(Tab.o1[MedMod]),"")</f>
        <v/>
      </c>
      <c r="P696" s="117" t="str">
        <f ca="1">IF(Tab.o1[[#This Row],[B]]=0,AVERAGE(OFFSET(Tab.o1[[#This Row],[B]],1,0,L$3,1)),Tab.o1[[#This Row],[B]])</f>
        <v/>
      </c>
      <c r="Q696" s="121" t="str">
        <f>IF(Tab.o1[[#This Row],[a1]]=1,NORMSDIST(Tab.o1[[#This Row],[Zb]]),"")</f>
        <v/>
      </c>
      <c r="R696" s="122" t="str">
        <f>IF(Tab.o1[[#This Row],[a1]]=1,((Tab.o1[[#This Row],[MedMod]]-AVERAGE(Tab.o1[MedMod]))/_xlfn.STDEV.P(Tab.o1[MedMod])*H$1203)+G$1203,"")</f>
        <v/>
      </c>
      <c r="S696" s="122" t="str">
        <f>IF(Tab.o1[[#This Row],[a1]]=1,((Tab.o1[[#This Row],[MedMod]]-AVERAGE(Tab.o1[MedMod]))/_xlfn.STDEV.P(Tab.o1[MedMod])*H$1204)+G$1204,"")</f>
        <v/>
      </c>
      <c r="T696" s="123" t="str">
        <f>IF(Tab.o1[[#This Row],[a1]]=1,Tab.o1[[#This Row],[Z-]]*_xlfn.STDEV.P(Tab.o1[B])+AVERAGE(Tab.o1[B]),"")</f>
        <v/>
      </c>
      <c r="U696" s="123" t="str">
        <f>IF(Tab.o1[[#This Row],[a1]]=1,Tab.o1[[#This Row],[z+]]*_xlfn.STDEV.P(Tab.o1[B])+AVERAGE(Tab.o1[B]),"")</f>
        <v/>
      </c>
      <c r="V696" s="124" t="str">
        <f>IF(Tab.o1[[#This Row],[a1]]=1,ABS((ABS(Tab.o1[[#This Row],[Red]]-Tab.o1[[#This Row],[Blue]]))),"")</f>
        <v/>
      </c>
      <c r="W696" s="125" t="str">
        <f>IF(Tab.o1[[#This Row],[a1]]=1,IF(W$3=0,1,Tab.o1[[#This Row],[Amp.]]*1/_xlfn.MINIFS(Tab.o1[Amp.],Tab.o1[Amp.],"&lt;&gt;0")),"")</f>
        <v/>
      </c>
      <c r="X696" s="126" t="str">
        <f>IF(Tab.o1[[#This Row],[a1]]=1,IF(ISNUMBER(Tab.o1[[#This Row],[i.]]),NORMDIST(Tab.o1[[#This Row],[Za]],0,1,FALSE)*Tab.o1[[#This Row],[i.]],AP$3),"")</f>
        <v/>
      </c>
      <c r="Y696" s="126" t="str">
        <f>IF(Tab.o1[[#This Row],[a1]]=1,0.01+0.94*Tab.o1[[#This Row],[PDF]]/MAX(Tab.o1[PDF]),"")</f>
        <v/>
      </c>
      <c r="Z696" s="126" t="str">
        <f>IF(Tab.o1[[#This Row],[a1]]=1,0.01+0.94*Tab.o1[[#This Row],[W1_PDF]]/MAX(Tab.o1[W1_PDF]),"")</f>
        <v/>
      </c>
      <c r="AA696" s="118" t="str">
        <f>IF(Tab.o1[[#This Row],[a1]]=1,ABS([1]!T.in.A[[#This Row],[oo6]]),"")</f>
        <v/>
      </c>
      <c r="AB696" s="127" t="str">
        <f>IF(Tab.o1[[#This Row],[a1]]=1,IF(AE$3=0,"",IF(AB$3=0,ABS([1]!T.in.A[[#This Row],[oo9]]),ABS(Tab.o1[[#This Row],[DIF_Target.]]*Tab.o1[[#This Row],[W1_PDF]]))),"")</f>
        <v/>
      </c>
      <c r="AC696" s="127" t="str">
        <f>IF(G$1=1,"",IF(Tab.o1[[#This Row],[a1]]=1,Tab.o1[[#This Row],[Wr]]^2,""))</f>
        <v/>
      </c>
      <c r="AD696" s="118" t="str">
        <f>IF(Tab.o1[[#This Row],[a1]]=1,IF(AE$3=0,"",Tab.o1[[#This Row],[Wr2]]/SUM(Tab.o1[Wr2])),"")</f>
        <v/>
      </c>
      <c r="AE696" s="128" t="str">
        <f>IF(Tab.o1[[#This Row],[a1]]=1,[1]!T.in.A[[#This Row],[oo10]],"")</f>
        <v/>
      </c>
      <c r="AF696" s="118" t="str">
        <f>IF(Tab.o1[[#This Row],[a1]]=1,ABS(Tab.o1[[#This Row],[DIF_Target.]]*Tab.o1[[#This Row],[PDF2]]*Tab.o1[[#This Row],[IN]]),"")</f>
        <v/>
      </c>
      <c r="AG696" s="129" t="str">
        <f>IF(Tab.o1[[#This Row],[a1]]=1,Tab.o1[[#This Row],[rW]]^2,"")</f>
        <v/>
      </c>
      <c r="AH696" s="130" t="str">
        <f>IF(Tab.o1[[#This Row],[a1]]=1,IF(AH$3=0,Tab.o1[[#This Row],[rW2]],0.01+0.94*Tab.o1[[#This Row],[rW2]]/SUM(Tab.o1[rW2])),"")</f>
        <v/>
      </c>
      <c r="AI696" s="128" t="str">
        <f>IF(Tab.o1[[#This Row],[a1]]=1,1/Tab.o1[[#This Row],[PDF]],"")</f>
        <v/>
      </c>
      <c r="AJ696" s="131" t="str">
        <f>IF(Tab.o1[[#This Row],[a1]]=1,[1]!T_AA[[#This Row],[IN'']]*[1]!T_AA[[#This Row],[Qde'']],"")</f>
        <v/>
      </c>
      <c r="AK696" s="132" t="str">
        <f>IF(Tab.o1[[#This Row],[a1]]=1,IF(AK$1=1,Tab.o1[[#This Row],[MED]]+Tab.o1[[#This Row],[MOD]]-Tab.o1[[#This Row],[MED]],""),"")</f>
        <v/>
      </c>
      <c r="AL696" s="133" t="str">
        <f>IF(Tab.o1[[#This Row],[a1]]=1,[1]!T.in.A[[#This Row],[oo16]],"")</f>
        <v/>
      </c>
      <c r="AM696" s="133" t="str">
        <f>IF(Tab.o1[[#This Row],[a1]]=1,IF(AM$3=1,[1]!T.in.A[[#This Row],[Σo16]],""),"")</f>
        <v/>
      </c>
      <c r="AN696" s="126" t="str">
        <f>IF(Tab.o1[[#This Row],[a1]]=1,[1]!T.in.A[[#This Row],[Σp5]],"")</f>
        <v/>
      </c>
      <c r="AO696" s="126" t="str">
        <f>IF(Tab.o1[[#This Row],[a1]]=1,IF(AO$3=1,[1]!T.in.A[[#This Row],[Σp5]],""),"")</f>
        <v/>
      </c>
      <c r="AP696" s="110" t="str">
        <f>IF(Tab.o1[[#This Row],[a1]]=1,IF(ISNUMBER(Tab.o1[[#This Row],[i.]]),NORMDIST(Tab.o1[[#This Row],[Za]],0,1,FALSE)*Tab.o1[[#This Row],[i.]],0),"")</f>
        <v/>
      </c>
      <c r="AQ696" s="125" t="str">
        <f>IF(Tab.o1[[#This Row],[a1]]=1,ABS(Tab.o1[[#This Row],[MOD]]-AVERAGE(Tab.o1[MOD])),"")</f>
        <v/>
      </c>
      <c r="AR696" s="134" t="str">
        <f>IF(Tab.o1[[#This Row],[a1]]=1,Tab.o1[[#This Row],[OBS]]/SUM(Tab.o1[OBS]),"")</f>
        <v/>
      </c>
      <c r="AS696" s="135" t="str">
        <f>IF(ISNUMBER(Tab.o1[[#This Row],[a1]]),ROW()-4,"")</f>
        <v/>
      </c>
      <c r="AT696" s="136" t="str">
        <f>Tab.o1[[#This Row],[MOD]]</f>
        <v/>
      </c>
      <c r="AU696" s="137" t="str">
        <f t="shared" si="41"/>
        <v/>
      </c>
      <c r="AV696" s="138" t="str">
        <f t="shared" si="42"/>
        <v/>
      </c>
      <c r="AW696" s="138" t="str">
        <f t="shared" si="43"/>
        <v/>
      </c>
      <c r="AX696" s="139" t="str">
        <f>[1]!T.in.A[[#This Row],[ID_T_manu]]</f>
        <v/>
      </c>
      <c r="AY696" s="140" t="str">
        <f>IF(ISNUMBER(Tab.o1[[#This Row],[a1]]),IF(AND(Tab.o1[[#This Row],[a1]]=1,Tab.o1[[#This Row],[b1]]&lt;=AY$4),#REF!,AY695),"")</f>
        <v/>
      </c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/>
      <c r="CA696" s="26"/>
    </row>
    <row r="697" spans="1:79" s="143" customFormat="1" ht="15.75" hidden="1">
      <c r="A697" s="109">
        <v>2.0000000000000003E-6</v>
      </c>
      <c r="B697" s="110">
        <f t="shared" si="40"/>
        <v>697</v>
      </c>
      <c r="C697" s="111" t="str">
        <f>IF(C$1=[1]!T.in.A[[#This Row],[oo2]],1,"")</f>
        <v/>
      </c>
      <c r="D697" s="112" t="str">
        <f>IF(Tab.o1[[#This Row],[a1]]=1,IF(SUM(C697:C698)=0,0,IF(SUM(C696:C697)=1,1,IF(SUM(C696:C698)&gt;1,D696+1,0))),"")</f>
        <v/>
      </c>
      <c r="E697" s="113" t="str">
        <f>IF(Tab.o1[[#This Row],[a1]]=1,[1]!T.in.A[[#This Row],[oo1]],"")</f>
        <v/>
      </c>
      <c r="F697" s="113" t="str">
        <f>IF(Tab.o1[[#This Row],[a1]]=1,[1]!T.in.A[[#This Row],[pp1]],"")</f>
        <v/>
      </c>
      <c r="G697" s="114" t="str">
        <f>IF(Tab.o1[[#This Row],[a1]]=1,G$2+IF(G$1=1,0,Tab.o1[[#This Row],[.x1]])+[1]!T.in.A[[#This Row],[oo3]],"")</f>
        <v/>
      </c>
      <c r="H697" s="115" t="str">
        <f>IF(Tab.o1[[#This Row],[a1]]=1,IF(H$2=0,0,IF(G$1=1,0,Tab.o1[[#This Row],[.x1]])+[1]!T.in.A[[#This Row],[oo4]]),"")</f>
        <v/>
      </c>
      <c r="I697" s="116" t="str">
        <f>IF(Tab.o1[[#This Row],[a1]]=1,IF(J$2=0,Tab.o1[[#This Row],[MED]],Tab.o1[[#This Row],[MOD]]),"")</f>
        <v/>
      </c>
      <c r="J697" s="116" t="str">
        <f>IF(Tab.o1[[#This Row],[a1]]=1,((Tab.o1[[#This Row],[DIF_Target.]]-AVERAGE(Tab.o1[DIF_Target.]))/_xlfn.STDEV.P(Tab.o1[DIF_Target.])),"")</f>
        <v/>
      </c>
      <c r="K697" s="117" t="str">
        <f>IF(Tab.o1[[#This Row],[a1]]=1,IF(J$2=0,Tab.o1[[#This Row],[MOD]]-Tab.o1[[#This Row],[B]],IF(J$2=1,0,-Tab.o1[[#This Row],[MED]])+Tab.o1[[#This Row],[B]]),"")</f>
        <v/>
      </c>
      <c r="L697" s="117" t="str">
        <f ca="1">IF(Tab.o1[[#This Row],[DIF_Target]]=0,IF(L$2=0,Tab.o1[[#This Row],[DIF_Target]],AVERAGE(OFFSET(Tab.o1[[#This Row],[DIF_Target]],1,0,L$3,1)))/3,Tab.o1[[#This Row],[DIF_Target]])</f>
        <v/>
      </c>
      <c r="M697" s="118" t="str">
        <f>IF(Tab.o1[[#This Row],[a1]]=1,NORMSDIST(Tab.o1[[#This Row],[Za]]),"")</f>
        <v/>
      </c>
      <c r="N697" s="119" t="str">
        <f>IF(Tab.o1[[#This Row],[a1]]=1,((Tab.o1[[#This Row],[MedMod]]-AVERAGE(Tab.o1[MedMod]))/_xlfn.STDEV.P(Tab.o1[MedMod])*H$1205)+G$1205,"")</f>
        <v/>
      </c>
      <c r="O697" s="141" t="str">
        <f>IF(Tab.o1[[#This Row],[a1]]=1,Tab.o1[[#This Row],[Zb]]*_xlfn.STDEV.P(Tab.o1[MedMod])+AVERAGE(Tab.o1[MedMod]),"")</f>
        <v/>
      </c>
      <c r="P697" s="117" t="str">
        <f ca="1">IF(Tab.o1[[#This Row],[B]]=0,AVERAGE(OFFSET(Tab.o1[[#This Row],[B]],1,0,L$3,1)),Tab.o1[[#This Row],[B]])</f>
        <v/>
      </c>
      <c r="Q697" s="121" t="str">
        <f>IF(Tab.o1[[#This Row],[a1]]=1,NORMSDIST(Tab.o1[[#This Row],[Zb]]),"")</f>
        <v/>
      </c>
      <c r="R697" s="122" t="str">
        <f>IF(Tab.o1[[#This Row],[a1]]=1,((Tab.o1[[#This Row],[MedMod]]-AVERAGE(Tab.o1[MedMod]))/_xlfn.STDEV.P(Tab.o1[MedMod])*H$1203)+G$1203,"")</f>
        <v/>
      </c>
      <c r="S697" s="122" t="str">
        <f>IF(Tab.o1[[#This Row],[a1]]=1,((Tab.o1[[#This Row],[MedMod]]-AVERAGE(Tab.o1[MedMod]))/_xlfn.STDEV.P(Tab.o1[MedMod])*H$1204)+G$1204,"")</f>
        <v/>
      </c>
      <c r="T697" s="123" t="str">
        <f>IF(Tab.o1[[#This Row],[a1]]=1,Tab.o1[[#This Row],[Z-]]*_xlfn.STDEV.P(Tab.o1[B])+AVERAGE(Tab.o1[B]),"")</f>
        <v/>
      </c>
      <c r="U697" s="123" t="str">
        <f>IF(Tab.o1[[#This Row],[a1]]=1,Tab.o1[[#This Row],[z+]]*_xlfn.STDEV.P(Tab.o1[B])+AVERAGE(Tab.o1[B]),"")</f>
        <v/>
      </c>
      <c r="V697" s="124" t="str">
        <f>IF(Tab.o1[[#This Row],[a1]]=1,ABS((ABS(Tab.o1[[#This Row],[Red]]-Tab.o1[[#This Row],[Blue]]))),"")</f>
        <v/>
      </c>
      <c r="W697" s="125" t="str">
        <f>IF(Tab.o1[[#This Row],[a1]]=1,IF(W$3=0,1,Tab.o1[[#This Row],[Amp.]]*1/_xlfn.MINIFS(Tab.o1[Amp.],Tab.o1[Amp.],"&lt;&gt;0")),"")</f>
        <v/>
      </c>
      <c r="X697" s="126" t="str">
        <f>IF(Tab.o1[[#This Row],[a1]]=1,IF(ISNUMBER(Tab.o1[[#This Row],[i.]]),NORMDIST(Tab.o1[[#This Row],[Za]],0,1,FALSE)*Tab.o1[[#This Row],[i.]],AP$3),"")</f>
        <v/>
      </c>
      <c r="Y697" s="126" t="str">
        <f>IF(Tab.o1[[#This Row],[a1]]=1,0.01+0.94*Tab.o1[[#This Row],[PDF]]/MAX(Tab.o1[PDF]),"")</f>
        <v/>
      </c>
      <c r="Z697" s="126" t="str">
        <f>IF(Tab.o1[[#This Row],[a1]]=1,0.01+0.94*Tab.o1[[#This Row],[W1_PDF]]/MAX(Tab.o1[W1_PDF]),"")</f>
        <v/>
      </c>
      <c r="AA697" s="118" t="str">
        <f>IF(Tab.o1[[#This Row],[a1]]=1,ABS([1]!T.in.A[[#This Row],[oo6]]),"")</f>
        <v/>
      </c>
      <c r="AB697" s="127" t="str">
        <f>IF(Tab.o1[[#This Row],[a1]]=1,IF(AE$3=0,"",IF(AB$3=0,ABS([1]!T.in.A[[#This Row],[oo9]]),ABS(Tab.o1[[#This Row],[DIF_Target.]]*Tab.o1[[#This Row],[W1_PDF]]))),"")</f>
        <v/>
      </c>
      <c r="AC697" s="127" t="str">
        <f>IF(G$1=1,"",IF(Tab.o1[[#This Row],[a1]]=1,Tab.o1[[#This Row],[Wr]]^2,""))</f>
        <v/>
      </c>
      <c r="AD697" s="118" t="str">
        <f>IF(Tab.o1[[#This Row],[a1]]=1,IF(AE$3=0,"",Tab.o1[[#This Row],[Wr2]]/SUM(Tab.o1[Wr2])),"")</f>
        <v/>
      </c>
      <c r="AE697" s="128" t="str">
        <f>IF(Tab.o1[[#This Row],[a1]]=1,[1]!T.in.A[[#This Row],[oo10]],"")</f>
        <v/>
      </c>
      <c r="AF697" s="118" t="str">
        <f>IF(Tab.o1[[#This Row],[a1]]=1,ABS(Tab.o1[[#This Row],[DIF_Target.]]*Tab.o1[[#This Row],[PDF2]]*Tab.o1[[#This Row],[IN]]),"")</f>
        <v/>
      </c>
      <c r="AG697" s="129" t="str">
        <f>IF(Tab.o1[[#This Row],[a1]]=1,Tab.o1[[#This Row],[rW]]^2,"")</f>
        <v/>
      </c>
      <c r="AH697" s="130" t="str">
        <f>IF(Tab.o1[[#This Row],[a1]]=1,IF(AH$3=0,Tab.o1[[#This Row],[rW2]],0.01+0.94*Tab.o1[[#This Row],[rW2]]/SUM(Tab.o1[rW2])),"")</f>
        <v/>
      </c>
      <c r="AI697" s="128" t="str">
        <f>IF(Tab.o1[[#This Row],[a1]]=1,1/Tab.o1[[#This Row],[PDF]],"")</f>
        <v/>
      </c>
      <c r="AJ697" s="131" t="str">
        <f>IF(Tab.o1[[#This Row],[a1]]=1,[1]!T_AA[[#This Row],[IN'']]*[1]!T_AA[[#This Row],[Qde'']],"")</f>
        <v/>
      </c>
      <c r="AK697" s="132" t="str">
        <f>IF(Tab.o1[[#This Row],[a1]]=1,IF(AK$1=1,Tab.o1[[#This Row],[MED]]+Tab.o1[[#This Row],[MOD]]-Tab.o1[[#This Row],[MED]],""),"")</f>
        <v/>
      </c>
      <c r="AL697" s="133" t="str">
        <f>IF(Tab.o1[[#This Row],[a1]]=1,[1]!T.in.A[[#This Row],[oo16]],"")</f>
        <v/>
      </c>
      <c r="AM697" s="133" t="str">
        <f>IF(Tab.o1[[#This Row],[a1]]=1,IF(AM$3=1,[1]!T.in.A[[#This Row],[Σo16]],""),"")</f>
        <v/>
      </c>
      <c r="AN697" s="126" t="str">
        <f>IF(Tab.o1[[#This Row],[a1]]=1,[1]!T.in.A[[#This Row],[Σp5]],"")</f>
        <v/>
      </c>
      <c r="AO697" s="126" t="str">
        <f>IF(Tab.o1[[#This Row],[a1]]=1,IF(AO$3=1,[1]!T.in.A[[#This Row],[Σp5]],""),"")</f>
        <v/>
      </c>
      <c r="AP697" s="110" t="str">
        <f>IF(Tab.o1[[#This Row],[a1]]=1,IF(ISNUMBER(Tab.o1[[#This Row],[i.]]),NORMDIST(Tab.o1[[#This Row],[Za]],0,1,FALSE)*Tab.o1[[#This Row],[i.]],0),"")</f>
        <v/>
      </c>
      <c r="AQ697" s="125" t="str">
        <f>IF(Tab.o1[[#This Row],[a1]]=1,ABS(Tab.o1[[#This Row],[MOD]]-AVERAGE(Tab.o1[MOD])),"")</f>
        <v/>
      </c>
      <c r="AR697" s="134" t="str">
        <f>IF(Tab.o1[[#This Row],[a1]]=1,Tab.o1[[#This Row],[OBS]]/SUM(Tab.o1[OBS]),"")</f>
        <v/>
      </c>
      <c r="AS697" s="135" t="str">
        <f>IF(ISNUMBER(Tab.o1[[#This Row],[a1]]),ROW()-4,"")</f>
        <v/>
      </c>
      <c r="AT697" s="136" t="str">
        <f>Tab.o1[[#This Row],[MOD]]</f>
        <v/>
      </c>
      <c r="AU697" s="137" t="str">
        <f t="shared" si="41"/>
        <v/>
      </c>
      <c r="AV697" s="138" t="str">
        <f t="shared" si="42"/>
        <v/>
      </c>
      <c r="AW697" s="138" t="str">
        <f t="shared" si="43"/>
        <v/>
      </c>
      <c r="AX697" s="139" t="str">
        <f>[1]!T.in.A[[#This Row],[ID_T_manu]]</f>
        <v/>
      </c>
      <c r="AY697" s="140" t="str">
        <f>IF(ISNUMBER(Tab.o1[[#This Row],[a1]]),IF(AND(Tab.o1[[#This Row],[a1]]=1,Tab.o1[[#This Row],[b1]]&lt;=AY$4),#REF!,AY696),"")</f>
        <v/>
      </c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26"/>
    </row>
    <row r="698" spans="1:79" s="143" customFormat="1" ht="15.75" hidden="1">
      <c r="A698" s="109">
        <v>1.0000000000000002E-6</v>
      </c>
      <c r="B698" s="110">
        <f t="shared" si="40"/>
        <v>698</v>
      </c>
      <c r="C698" s="111" t="str">
        <f>IF(C$1=[1]!T.in.A[[#This Row],[oo2]],1,"")</f>
        <v/>
      </c>
      <c r="D698" s="112" t="str">
        <f>IF(Tab.o1[[#This Row],[a1]]=1,IF(SUM(C698:C699)=0,0,IF(SUM(C697:C698)=1,1,IF(SUM(C697:C699)&gt;1,D697+1,0))),"")</f>
        <v/>
      </c>
      <c r="E698" s="113" t="str">
        <f>IF(Tab.o1[[#This Row],[a1]]=1,[1]!T.in.A[[#This Row],[oo1]],"")</f>
        <v/>
      </c>
      <c r="F698" s="113" t="str">
        <f>IF(Tab.o1[[#This Row],[a1]]=1,[1]!T.in.A[[#This Row],[pp1]],"")</f>
        <v/>
      </c>
      <c r="G698" s="114" t="str">
        <f>IF(Tab.o1[[#This Row],[a1]]=1,G$2+IF(G$1=1,0,Tab.o1[[#This Row],[.x1]])+[1]!T.in.A[[#This Row],[oo3]],"")</f>
        <v/>
      </c>
      <c r="H698" s="115" t="str">
        <f>IF(Tab.o1[[#This Row],[a1]]=1,IF(H$2=0,0,IF(G$1=1,0,Tab.o1[[#This Row],[.x1]])+[1]!T.in.A[[#This Row],[oo4]]),"")</f>
        <v/>
      </c>
      <c r="I698" s="116" t="str">
        <f>IF(Tab.o1[[#This Row],[a1]]=1,IF(J$2=0,Tab.o1[[#This Row],[MED]],Tab.o1[[#This Row],[MOD]]),"")</f>
        <v/>
      </c>
      <c r="J698" s="116" t="str">
        <f>IF(Tab.o1[[#This Row],[a1]]=1,((Tab.o1[[#This Row],[DIF_Target.]]-AVERAGE(Tab.o1[DIF_Target.]))/_xlfn.STDEV.P(Tab.o1[DIF_Target.])),"")</f>
        <v/>
      </c>
      <c r="K698" s="117" t="str">
        <f>IF(Tab.o1[[#This Row],[a1]]=1,IF(J$2=0,Tab.o1[[#This Row],[MOD]]-Tab.o1[[#This Row],[B]],IF(J$2=1,0,-Tab.o1[[#This Row],[MED]])+Tab.o1[[#This Row],[B]]),"")</f>
        <v/>
      </c>
      <c r="L698" s="117" t="str">
        <f ca="1">IF(Tab.o1[[#This Row],[DIF_Target]]=0,IF(L$2=0,Tab.o1[[#This Row],[DIF_Target]],AVERAGE(OFFSET(Tab.o1[[#This Row],[DIF_Target]],1,0,L$3,1)))/3,Tab.o1[[#This Row],[DIF_Target]])</f>
        <v/>
      </c>
      <c r="M698" s="118" t="str">
        <f>IF(Tab.o1[[#This Row],[a1]]=1,NORMSDIST(Tab.o1[[#This Row],[Za]]),"")</f>
        <v/>
      </c>
      <c r="N698" s="119" t="str">
        <f>IF(Tab.o1[[#This Row],[a1]]=1,((Tab.o1[[#This Row],[MedMod]]-AVERAGE(Tab.o1[MedMod]))/_xlfn.STDEV.P(Tab.o1[MedMod])*H$1205)+G$1205,"")</f>
        <v/>
      </c>
      <c r="O698" s="141" t="str">
        <f>IF(Tab.o1[[#This Row],[a1]]=1,Tab.o1[[#This Row],[Zb]]*_xlfn.STDEV.P(Tab.o1[MedMod])+AVERAGE(Tab.o1[MedMod]),"")</f>
        <v/>
      </c>
      <c r="P698" s="117" t="str">
        <f ca="1">IF(Tab.o1[[#This Row],[B]]=0,AVERAGE(OFFSET(Tab.o1[[#This Row],[B]],1,0,L$3,1)),Tab.o1[[#This Row],[B]])</f>
        <v/>
      </c>
      <c r="Q698" s="121" t="str">
        <f>IF(Tab.o1[[#This Row],[a1]]=1,NORMSDIST(Tab.o1[[#This Row],[Zb]]),"")</f>
        <v/>
      </c>
      <c r="R698" s="122" t="str">
        <f>IF(Tab.o1[[#This Row],[a1]]=1,((Tab.o1[[#This Row],[MedMod]]-AVERAGE(Tab.o1[MedMod]))/_xlfn.STDEV.P(Tab.o1[MedMod])*H$1203)+G$1203,"")</f>
        <v/>
      </c>
      <c r="S698" s="122" t="str">
        <f>IF(Tab.o1[[#This Row],[a1]]=1,((Tab.o1[[#This Row],[MedMod]]-AVERAGE(Tab.o1[MedMod]))/_xlfn.STDEV.P(Tab.o1[MedMod])*H$1204)+G$1204,"")</f>
        <v/>
      </c>
      <c r="T698" s="123" t="str">
        <f>IF(Tab.o1[[#This Row],[a1]]=1,Tab.o1[[#This Row],[Z-]]*_xlfn.STDEV.P(Tab.o1[B])+AVERAGE(Tab.o1[B]),"")</f>
        <v/>
      </c>
      <c r="U698" s="123" t="str">
        <f>IF(Tab.o1[[#This Row],[a1]]=1,Tab.o1[[#This Row],[z+]]*_xlfn.STDEV.P(Tab.o1[B])+AVERAGE(Tab.o1[B]),"")</f>
        <v/>
      </c>
      <c r="V698" s="124" t="str">
        <f>IF(Tab.o1[[#This Row],[a1]]=1,ABS((ABS(Tab.o1[[#This Row],[Red]]-Tab.o1[[#This Row],[Blue]]))),"")</f>
        <v/>
      </c>
      <c r="W698" s="125" t="str">
        <f>IF(Tab.o1[[#This Row],[a1]]=1,IF(W$3=0,1,Tab.o1[[#This Row],[Amp.]]*1/_xlfn.MINIFS(Tab.o1[Amp.],Tab.o1[Amp.],"&lt;&gt;0")),"")</f>
        <v/>
      </c>
      <c r="X698" s="126" t="str">
        <f>IF(Tab.o1[[#This Row],[a1]]=1,IF(ISNUMBER(Tab.o1[[#This Row],[i.]]),NORMDIST(Tab.o1[[#This Row],[Za]],0,1,FALSE)*Tab.o1[[#This Row],[i.]],AP$3),"")</f>
        <v/>
      </c>
      <c r="Y698" s="126" t="str">
        <f>IF(Tab.o1[[#This Row],[a1]]=1,0.01+0.94*Tab.o1[[#This Row],[PDF]]/MAX(Tab.o1[PDF]),"")</f>
        <v/>
      </c>
      <c r="Z698" s="126" t="str">
        <f>IF(Tab.o1[[#This Row],[a1]]=1,0.01+0.94*Tab.o1[[#This Row],[W1_PDF]]/MAX(Tab.o1[W1_PDF]),"")</f>
        <v/>
      </c>
      <c r="AA698" s="118" t="str">
        <f>IF(Tab.o1[[#This Row],[a1]]=1,ABS([1]!T.in.A[[#This Row],[oo6]]),"")</f>
        <v/>
      </c>
      <c r="AB698" s="127" t="str">
        <f>IF(Tab.o1[[#This Row],[a1]]=1,IF(AE$3=0,"",IF(AB$3=0,ABS([1]!T.in.A[[#This Row],[oo9]]),ABS(Tab.o1[[#This Row],[DIF_Target.]]*Tab.o1[[#This Row],[W1_PDF]]))),"")</f>
        <v/>
      </c>
      <c r="AC698" s="127" t="str">
        <f>IF(G$1=1,"",IF(Tab.o1[[#This Row],[a1]]=1,Tab.o1[[#This Row],[Wr]]^2,""))</f>
        <v/>
      </c>
      <c r="AD698" s="118" t="str">
        <f>IF(Tab.o1[[#This Row],[a1]]=1,IF(AE$3=0,"",Tab.o1[[#This Row],[Wr2]]/SUM(Tab.o1[Wr2])),"")</f>
        <v/>
      </c>
      <c r="AE698" s="128" t="str">
        <f>IF(Tab.o1[[#This Row],[a1]]=1,[1]!T.in.A[[#This Row],[oo10]],"")</f>
        <v/>
      </c>
      <c r="AF698" s="118" t="str">
        <f>IF(Tab.o1[[#This Row],[a1]]=1,ABS(Tab.o1[[#This Row],[DIF_Target.]]*Tab.o1[[#This Row],[PDF2]]*Tab.o1[[#This Row],[IN]]),"")</f>
        <v/>
      </c>
      <c r="AG698" s="129" t="str">
        <f>IF(Tab.o1[[#This Row],[a1]]=1,Tab.o1[[#This Row],[rW]]^2,"")</f>
        <v/>
      </c>
      <c r="AH698" s="130" t="str">
        <f>IF(Tab.o1[[#This Row],[a1]]=1,IF(AH$3=0,Tab.o1[[#This Row],[rW2]],0.01+0.94*Tab.o1[[#This Row],[rW2]]/SUM(Tab.o1[rW2])),"")</f>
        <v/>
      </c>
      <c r="AI698" s="128" t="str">
        <f>IF(Tab.o1[[#This Row],[a1]]=1,1/Tab.o1[[#This Row],[PDF]],"")</f>
        <v/>
      </c>
      <c r="AJ698" s="131" t="str">
        <f>IF(Tab.o1[[#This Row],[a1]]=1,[1]!T_AA[[#This Row],[IN'']]*[1]!T_AA[[#This Row],[Qde'']],"")</f>
        <v/>
      </c>
      <c r="AK698" s="132" t="str">
        <f>IF(Tab.o1[[#This Row],[a1]]=1,IF(AK$1=1,Tab.o1[[#This Row],[MED]]+Tab.o1[[#This Row],[MOD]]-Tab.o1[[#This Row],[MED]],""),"")</f>
        <v/>
      </c>
      <c r="AL698" s="133" t="str">
        <f>IF(Tab.o1[[#This Row],[a1]]=1,[1]!T.in.A[[#This Row],[oo16]],"")</f>
        <v/>
      </c>
      <c r="AM698" s="133" t="str">
        <f>IF(Tab.o1[[#This Row],[a1]]=1,IF(AM$3=1,[1]!T.in.A[[#This Row],[Σo16]],""),"")</f>
        <v/>
      </c>
      <c r="AN698" s="126" t="str">
        <f>IF(Tab.o1[[#This Row],[a1]]=1,[1]!T.in.A[[#This Row],[Σp5]],"")</f>
        <v/>
      </c>
      <c r="AO698" s="126" t="str">
        <f>IF(Tab.o1[[#This Row],[a1]]=1,IF(AO$3=1,[1]!T.in.A[[#This Row],[Σp5]],""),"")</f>
        <v/>
      </c>
      <c r="AP698" s="110" t="str">
        <f>IF(Tab.o1[[#This Row],[a1]]=1,IF(ISNUMBER(Tab.o1[[#This Row],[i.]]),NORMDIST(Tab.o1[[#This Row],[Za]],0,1,FALSE)*Tab.o1[[#This Row],[i.]],0),"")</f>
        <v/>
      </c>
      <c r="AQ698" s="125" t="str">
        <f>IF(Tab.o1[[#This Row],[a1]]=1,ABS(Tab.o1[[#This Row],[MOD]]-AVERAGE(Tab.o1[MOD])),"")</f>
        <v/>
      </c>
      <c r="AR698" s="134" t="str">
        <f>IF(Tab.o1[[#This Row],[a1]]=1,Tab.o1[[#This Row],[OBS]]/SUM(Tab.o1[OBS]),"")</f>
        <v/>
      </c>
      <c r="AS698" s="135" t="str">
        <f>IF(ISNUMBER(Tab.o1[[#This Row],[a1]]),ROW()-4,"")</f>
        <v/>
      </c>
      <c r="AT698" s="136" t="str">
        <f>Tab.o1[[#This Row],[MOD]]</f>
        <v/>
      </c>
      <c r="AU698" s="137" t="str">
        <f t="shared" si="41"/>
        <v/>
      </c>
      <c r="AV698" s="138" t="str">
        <f t="shared" si="42"/>
        <v/>
      </c>
      <c r="AW698" s="138" t="str">
        <f t="shared" si="43"/>
        <v/>
      </c>
      <c r="AX698" s="139" t="str">
        <f>[1]!T.in.A[[#This Row],[ID_T_manu]]</f>
        <v/>
      </c>
      <c r="AY698" s="140" t="str">
        <f>IF(ISNUMBER(Tab.o1[[#This Row],[a1]]),IF(AND(Tab.o1[[#This Row],[a1]]=1,Tab.o1[[#This Row],[b1]]&lt;=AY$4),#REF!,AY697),"")</f>
        <v/>
      </c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26"/>
    </row>
    <row r="699" spans="1:79" s="143" customFormat="1" ht="15.75" hidden="1">
      <c r="A699" s="109">
        <v>8.0000000000000013E-6</v>
      </c>
      <c r="B699" s="110">
        <f t="shared" si="40"/>
        <v>699</v>
      </c>
      <c r="C699" s="111" t="str">
        <f>IF(C$1=[1]!T.in.A[[#This Row],[oo2]],1,"")</f>
        <v/>
      </c>
      <c r="D699" s="112" t="str">
        <f>IF(Tab.o1[[#This Row],[a1]]=1,IF(SUM(C699:C700)=0,0,IF(SUM(C698:C699)=1,1,IF(SUM(C698:C700)&gt;1,D698+1,0))),"")</f>
        <v/>
      </c>
      <c r="E699" s="113" t="str">
        <f>IF(Tab.o1[[#This Row],[a1]]=1,[1]!T.in.A[[#This Row],[oo1]],"")</f>
        <v/>
      </c>
      <c r="F699" s="113" t="str">
        <f>IF(Tab.o1[[#This Row],[a1]]=1,[1]!T.in.A[[#This Row],[pp1]],"")</f>
        <v/>
      </c>
      <c r="G699" s="114" t="str">
        <f>IF(Tab.o1[[#This Row],[a1]]=1,G$2+IF(G$1=1,0,Tab.o1[[#This Row],[.x1]])+[1]!T.in.A[[#This Row],[oo3]],"")</f>
        <v/>
      </c>
      <c r="H699" s="115" t="str">
        <f>IF(Tab.o1[[#This Row],[a1]]=1,IF(H$2=0,0,IF(G$1=1,0,Tab.o1[[#This Row],[.x1]])+[1]!T.in.A[[#This Row],[oo4]]),"")</f>
        <v/>
      </c>
      <c r="I699" s="116" t="str">
        <f>IF(Tab.o1[[#This Row],[a1]]=1,IF(J$2=0,Tab.o1[[#This Row],[MED]],Tab.o1[[#This Row],[MOD]]),"")</f>
        <v/>
      </c>
      <c r="J699" s="116" t="str">
        <f>IF(Tab.o1[[#This Row],[a1]]=1,((Tab.o1[[#This Row],[DIF_Target.]]-AVERAGE(Tab.o1[DIF_Target.]))/_xlfn.STDEV.P(Tab.o1[DIF_Target.])),"")</f>
        <v/>
      </c>
      <c r="K699" s="117" t="str">
        <f>IF(Tab.o1[[#This Row],[a1]]=1,IF(J$2=0,Tab.o1[[#This Row],[MOD]]-Tab.o1[[#This Row],[B]],IF(J$2=1,0,-Tab.o1[[#This Row],[MED]])+Tab.o1[[#This Row],[B]]),"")</f>
        <v/>
      </c>
      <c r="L699" s="117" t="str">
        <f ca="1">IF(Tab.o1[[#This Row],[DIF_Target]]=0,IF(L$2=0,Tab.o1[[#This Row],[DIF_Target]],AVERAGE(OFFSET(Tab.o1[[#This Row],[DIF_Target]],1,0,L$3,1)))/3,Tab.o1[[#This Row],[DIF_Target]])</f>
        <v/>
      </c>
      <c r="M699" s="118" t="str">
        <f>IF(Tab.o1[[#This Row],[a1]]=1,NORMSDIST(Tab.o1[[#This Row],[Za]]),"")</f>
        <v/>
      </c>
      <c r="N699" s="119" t="str">
        <f>IF(Tab.o1[[#This Row],[a1]]=1,((Tab.o1[[#This Row],[MedMod]]-AVERAGE(Tab.o1[MedMod]))/_xlfn.STDEV.P(Tab.o1[MedMod])*H$1205)+G$1205,"")</f>
        <v/>
      </c>
      <c r="O699" s="141" t="str">
        <f>IF(Tab.o1[[#This Row],[a1]]=1,Tab.o1[[#This Row],[Zb]]*_xlfn.STDEV.P(Tab.o1[MedMod])+AVERAGE(Tab.o1[MedMod]),"")</f>
        <v/>
      </c>
      <c r="P699" s="117" t="str">
        <f ca="1">IF(Tab.o1[[#This Row],[B]]=0,AVERAGE(OFFSET(Tab.o1[[#This Row],[B]],1,0,L$3,1)),Tab.o1[[#This Row],[B]])</f>
        <v/>
      </c>
      <c r="Q699" s="121" t="str">
        <f>IF(Tab.o1[[#This Row],[a1]]=1,NORMSDIST(Tab.o1[[#This Row],[Zb]]),"")</f>
        <v/>
      </c>
      <c r="R699" s="122" t="str">
        <f>IF(Tab.o1[[#This Row],[a1]]=1,((Tab.o1[[#This Row],[MedMod]]-AVERAGE(Tab.o1[MedMod]))/_xlfn.STDEV.P(Tab.o1[MedMod])*H$1203)+G$1203,"")</f>
        <v/>
      </c>
      <c r="S699" s="122" t="str">
        <f>IF(Tab.o1[[#This Row],[a1]]=1,((Tab.o1[[#This Row],[MedMod]]-AVERAGE(Tab.o1[MedMod]))/_xlfn.STDEV.P(Tab.o1[MedMod])*H$1204)+G$1204,"")</f>
        <v/>
      </c>
      <c r="T699" s="123" t="str">
        <f>IF(Tab.o1[[#This Row],[a1]]=1,Tab.o1[[#This Row],[Z-]]*_xlfn.STDEV.P(Tab.o1[B])+AVERAGE(Tab.o1[B]),"")</f>
        <v/>
      </c>
      <c r="U699" s="123" t="str">
        <f>IF(Tab.o1[[#This Row],[a1]]=1,Tab.o1[[#This Row],[z+]]*_xlfn.STDEV.P(Tab.o1[B])+AVERAGE(Tab.o1[B]),"")</f>
        <v/>
      </c>
      <c r="V699" s="124" t="str">
        <f>IF(Tab.o1[[#This Row],[a1]]=1,ABS((ABS(Tab.o1[[#This Row],[Red]]-Tab.o1[[#This Row],[Blue]]))),"")</f>
        <v/>
      </c>
      <c r="W699" s="125" t="str">
        <f>IF(Tab.o1[[#This Row],[a1]]=1,IF(W$3=0,1,Tab.o1[[#This Row],[Amp.]]*1/_xlfn.MINIFS(Tab.o1[Amp.],Tab.o1[Amp.],"&lt;&gt;0")),"")</f>
        <v/>
      </c>
      <c r="X699" s="126" t="str">
        <f>IF(Tab.o1[[#This Row],[a1]]=1,IF(ISNUMBER(Tab.o1[[#This Row],[i.]]),NORMDIST(Tab.o1[[#This Row],[Za]],0,1,FALSE)*Tab.o1[[#This Row],[i.]],AP$3),"")</f>
        <v/>
      </c>
      <c r="Y699" s="126" t="str">
        <f>IF(Tab.o1[[#This Row],[a1]]=1,0.01+0.94*Tab.o1[[#This Row],[PDF]]/MAX(Tab.o1[PDF]),"")</f>
        <v/>
      </c>
      <c r="Z699" s="126" t="str">
        <f>IF(Tab.o1[[#This Row],[a1]]=1,0.01+0.94*Tab.o1[[#This Row],[W1_PDF]]/MAX(Tab.o1[W1_PDF]),"")</f>
        <v/>
      </c>
      <c r="AA699" s="118" t="str">
        <f>IF(Tab.o1[[#This Row],[a1]]=1,ABS([1]!T.in.A[[#This Row],[oo6]]),"")</f>
        <v/>
      </c>
      <c r="AB699" s="127" t="str">
        <f>IF(Tab.o1[[#This Row],[a1]]=1,IF(AE$3=0,"",IF(AB$3=0,ABS([1]!T.in.A[[#This Row],[oo9]]),ABS(Tab.o1[[#This Row],[DIF_Target.]]*Tab.o1[[#This Row],[W1_PDF]]))),"")</f>
        <v/>
      </c>
      <c r="AC699" s="127" t="str">
        <f>IF(G$1=1,"",IF(Tab.o1[[#This Row],[a1]]=1,Tab.o1[[#This Row],[Wr]]^2,""))</f>
        <v/>
      </c>
      <c r="AD699" s="118" t="str">
        <f>IF(Tab.o1[[#This Row],[a1]]=1,IF(AE$3=0,"",Tab.o1[[#This Row],[Wr2]]/SUM(Tab.o1[Wr2])),"")</f>
        <v/>
      </c>
      <c r="AE699" s="128" t="str">
        <f>IF(Tab.o1[[#This Row],[a1]]=1,[1]!T.in.A[[#This Row],[oo10]],"")</f>
        <v/>
      </c>
      <c r="AF699" s="118" t="str">
        <f>IF(Tab.o1[[#This Row],[a1]]=1,ABS(Tab.o1[[#This Row],[DIF_Target.]]*Tab.o1[[#This Row],[PDF2]]*Tab.o1[[#This Row],[IN]]),"")</f>
        <v/>
      </c>
      <c r="AG699" s="129" t="str">
        <f>IF(Tab.o1[[#This Row],[a1]]=1,Tab.o1[[#This Row],[rW]]^2,"")</f>
        <v/>
      </c>
      <c r="AH699" s="130" t="str">
        <f>IF(Tab.o1[[#This Row],[a1]]=1,IF(AH$3=0,Tab.o1[[#This Row],[rW2]],0.01+0.94*Tab.o1[[#This Row],[rW2]]/SUM(Tab.o1[rW2])),"")</f>
        <v/>
      </c>
      <c r="AI699" s="128" t="str">
        <f>IF(Tab.o1[[#This Row],[a1]]=1,1/Tab.o1[[#This Row],[PDF]],"")</f>
        <v/>
      </c>
      <c r="AJ699" s="131" t="str">
        <f>IF(Tab.o1[[#This Row],[a1]]=1,[1]!T_AA[[#This Row],[IN'']]*[1]!T_AA[[#This Row],[Qde'']],"")</f>
        <v/>
      </c>
      <c r="AK699" s="132" t="str">
        <f>IF(Tab.o1[[#This Row],[a1]]=1,IF(AK$1=1,Tab.o1[[#This Row],[MED]]+Tab.o1[[#This Row],[MOD]]-Tab.o1[[#This Row],[MED]],""),"")</f>
        <v/>
      </c>
      <c r="AL699" s="133" t="str">
        <f>IF(Tab.o1[[#This Row],[a1]]=1,[1]!T.in.A[[#This Row],[oo16]],"")</f>
        <v/>
      </c>
      <c r="AM699" s="133" t="str">
        <f>IF(Tab.o1[[#This Row],[a1]]=1,IF(AM$3=1,[1]!T.in.A[[#This Row],[Σo16]],""),"")</f>
        <v/>
      </c>
      <c r="AN699" s="126" t="str">
        <f>IF(Tab.o1[[#This Row],[a1]]=1,[1]!T.in.A[[#This Row],[Σp5]],"")</f>
        <v/>
      </c>
      <c r="AO699" s="126" t="str">
        <f>IF(Tab.o1[[#This Row],[a1]]=1,IF(AO$3=1,[1]!T.in.A[[#This Row],[Σp5]],""),"")</f>
        <v/>
      </c>
      <c r="AP699" s="110" t="str">
        <f>IF(Tab.o1[[#This Row],[a1]]=1,IF(ISNUMBER(Tab.o1[[#This Row],[i.]]),NORMDIST(Tab.o1[[#This Row],[Za]],0,1,FALSE)*Tab.o1[[#This Row],[i.]],0),"")</f>
        <v/>
      </c>
      <c r="AQ699" s="125" t="str">
        <f>IF(Tab.o1[[#This Row],[a1]]=1,ABS(Tab.o1[[#This Row],[MOD]]-AVERAGE(Tab.o1[MOD])),"")</f>
        <v/>
      </c>
      <c r="AR699" s="134" t="str">
        <f>IF(Tab.o1[[#This Row],[a1]]=1,Tab.o1[[#This Row],[OBS]]/SUM(Tab.o1[OBS]),"")</f>
        <v/>
      </c>
      <c r="AS699" s="135" t="str">
        <f>IF(ISNUMBER(Tab.o1[[#This Row],[a1]]),ROW()-4,"")</f>
        <v/>
      </c>
      <c r="AT699" s="136" t="str">
        <f>Tab.o1[[#This Row],[MOD]]</f>
        <v/>
      </c>
      <c r="AU699" s="137" t="str">
        <f t="shared" si="41"/>
        <v/>
      </c>
      <c r="AV699" s="138" t="str">
        <f t="shared" si="42"/>
        <v/>
      </c>
      <c r="AW699" s="138" t="str">
        <f t="shared" si="43"/>
        <v/>
      </c>
      <c r="AX699" s="139" t="str">
        <f>[1]!T.in.A[[#This Row],[ID_T_manu]]</f>
        <v/>
      </c>
      <c r="AY699" s="140" t="str">
        <f>IF(ISNUMBER(Tab.o1[[#This Row],[a1]]),IF(AND(Tab.o1[[#This Row],[a1]]=1,Tab.o1[[#This Row],[b1]]&lt;=AY$4),#REF!,AY698),"")</f>
        <v/>
      </c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</row>
    <row r="700" spans="1:79" s="143" customFormat="1" ht="15.75" hidden="1">
      <c r="A700" s="109">
        <v>8.0000000000000013E-6</v>
      </c>
      <c r="B700" s="110">
        <f t="shared" si="40"/>
        <v>700</v>
      </c>
      <c r="C700" s="111" t="str">
        <f>IF(C$1=[1]!T.in.A[[#This Row],[oo2]],1,"")</f>
        <v/>
      </c>
      <c r="D700" s="112" t="str">
        <f>IF(Tab.o1[[#This Row],[a1]]=1,IF(SUM(C700:C701)=0,0,IF(SUM(C699:C700)=1,1,IF(SUM(C699:C701)&gt;1,D699+1,0))),"")</f>
        <v/>
      </c>
      <c r="E700" s="113" t="str">
        <f>IF(Tab.o1[[#This Row],[a1]]=1,[1]!T.in.A[[#This Row],[oo1]],"")</f>
        <v/>
      </c>
      <c r="F700" s="113" t="str">
        <f>IF(Tab.o1[[#This Row],[a1]]=1,[1]!T.in.A[[#This Row],[pp1]],"")</f>
        <v/>
      </c>
      <c r="G700" s="114" t="str">
        <f>IF(Tab.o1[[#This Row],[a1]]=1,G$2+IF(G$1=1,0,Tab.o1[[#This Row],[.x1]])+[1]!T.in.A[[#This Row],[oo3]],"")</f>
        <v/>
      </c>
      <c r="H700" s="115" t="str">
        <f>IF(Tab.o1[[#This Row],[a1]]=1,IF(H$2=0,0,IF(G$1=1,0,Tab.o1[[#This Row],[.x1]])+[1]!T.in.A[[#This Row],[oo4]]),"")</f>
        <v/>
      </c>
      <c r="I700" s="116" t="str">
        <f>IF(Tab.o1[[#This Row],[a1]]=1,IF(J$2=0,Tab.o1[[#This Row],[MED]],Tab.o1[[#This Row],[MOD]]),"")</f>
        <v/>
      </c>
      <c r="J700" s="116" t="str">
        <f>IF(Tab.o1[[#This Row],[a1]]=1,((Tab.o1[[#This Row],[DIF_Target.]]-AVERAGE(Tab.o1[DIF_Target.]))/_xlfn.STDEV.P(Tab.o1[DIF_Target.])),"")</f>
        <v/>
      </c>
      <c r="K700" s="117" t="str">
        <f>IF(Tab.o1[[#This Row],[a1]]=1,IF(J$2=0,Tab.o1[[#This Row],[MOD]]-Tab.o1[[#This Row],[B]],IF(J$2=1,0,-Tab.o1[[#This Row],[MED]])+Tab.o1[[#This Row],[B]]),"")</f>
        <v/>
      </c>
      <c r="L700" s="117" t="str">
        <f ca="1">IF(Tab.o1[[#This Row],[DIF_Target]]=0,IF(L$2=0,Tab.o1[[#This Row],[DIF_Target]],AVERAGE(OFFSET(Tab.o1[[#This Row],[DIF_Target]],1,0,L$3,1)))/3,Tab.o1[[#This Row],[DIF_Target]])</f>
        <v/>
      </c>
      <c r="M700" s="118" t="str">
        <f>IF(Tab.o1[[#This Row],[a1]]=1,NORMSDIST(Tab.o1[[#This Row],[Za]]),"")</f>
        <v/>
      </c>
      <c r="N700" s="119" t="str">
        <f>IF(Tab.o1[[#This Row],[a1]]=1,((Tab.o1[[#This Row],[MedMod]]-AVERAGE(Tab.o1[MedMod]))/_xlfn.STDEV.P(Tab.o1[MedMod])*H$1205)+G$1205,"")</f>
        <v/>
      </c>
      <c r="O700" s="141" t="str">
        <f>IF(Tab.o1[[#This Row],[a1]]=1,Tab.o1[[#This Row],[Zb]]*_xlfn.STDEV.P(Tab.o1[MedMod])+AVERAGE(Tab.o1[MedMod]),"")</f>
        <v/>
      </c>
      <c r="P700" s="117" t="str">
        <f ca="1">IF(Tab.o1[[#This Row],[B]]=0,AVERAGE(OFFSET(Tab.o1[[#This Row],[B]],1,0,L$3,1)),Tab.o1[[#This Row],[B]])</f>
        <v/>
      </c>
      <c r="Q700" s="121" t="str">
        <f>IF(Tab.o1[[#This Row],[a1]]=1,NORMSDIST(Tab.o1[[#This Row],[Zb]]),"")</f>
        <v/>
      </c>
      <c r="R700" s="122" t="str">
        <f>IF(Tab.o1[[#This Row],[a1]]=1,((Tab.o1[[#This Row],[MedMod]]-AVERAGE(Tab.o1[MedMod]))/_xlfn.STDEV.P(Tab.o1[MedMod])*H$1203)+G$1203,"")</f>
        <v/>
      </c>
      <c r="S700" s="122" t="str">
        <f>IF(Tab.o1[[#This Row],[a1]]=1,((Tab.o1[[#This Row],[MedMod]]-AVERAGE(Tab.o1[MedMod]))/_xlfn.STDEV.P(Tab.o1[MedMod])*H$1204)+G$1204,"")</f>
        <v/>
      </c>
      <c r="T700" s="123" t="str">
        <f>IF(Tab.o1[[#This Row],[a1]]=1,Tab.o1[[#This Row],[Z-]]*_xlfn.STDEV.P(Tab.o1[B])+AVERAGE(Tab.o1[B]),"")</f>
        <v/>
      </c>
      <c r="U700" s="123" t="str">
        <f>IF(Tab.o1[[#This Row],[a1]]=1,Tab.o1[[#This Row],[z+]]*_xlfn.STDEV.P(Tab.o1[B])+AVERAGE(Tab.o1[B]),"")</f>
        <v/>
      </c>
      <c r="V700" s="124" t="str">
        <f>IF(Tab.o1[[#This Row],[a1]]=1,ABS((ABS(Tab.o1[[#This Row],[Red]]-Tab.o1[[#This Row],[Blue]]))),"")</f>
        <v/>
      </c>
      <c r="W700" s="125" t="str">
        <f>IF(Tab.o1[[#This Row],[a1]]=1,IF(W$3=0,1,Tab.o1[[#This Row],[Amp.]]*1/_xlfn.MINIFS(Tab.o1[Amp.],Tab.o1[Amp.],"&lt;&gt;0")),"")</f>
        <v/>
      </c>
      <c r="X700" s="126" t="str">
        <f>IF(Tab.o1[[#This Row],[a1]]=1,IF(ISNUMBER(Tab.o1[[#This Row],[i.]]),NORMDIST(Tab.o1[[#This Row],[Za]],0,1,FALSE)*Tab.o1[[#This Row],[i.]],AP$3),"")</f>
        <v/>
      </c>
      <c r="Y700" s="126" t="str">
        <f>IF(Tab.o1[[#This Row],[a1]]=1,0.01+0.94*Tab.o1[[#This Row],[PDF]]/MAX(Tab.o1[PDF]),"")</f>
        <v/>
      </c>
      <c r="Z700" s="126" t="str">
        <f>IF(Tab.o1[[#This Row],[a1]]=1,0.01+0.94*Tab.o1[[#This Row],[W1_PDF]]/MAX(Tab.o1[W1_PDF]),"")</f>
        <v/>
      </c>
      <c r="AA700" s="118" t="str">
        <f>IF(Tab.o1[[#This Row],[a1]]=1,ABS([1]!T.in.A[[#This Row],[oo6]]),"")</f>
        <v/>
      </c>
      <c r="AB700" s="127" t="str">
        <f>IF(Tab.o1[[#This Row],[a1]]=1,IF(AE$3=0,"",IF(AB$3=0,ABS([1]!T.in.A[[#This Row],[oo9]]),ABS(Tab.o1[[#This Row],[DIF_Target.]]*Tab.o1[[#This Row],[W1_PDF]]))),"")</f>
        <v/>
      </c>
      <c r="AC700" s="127" t="str">
        <f>IF(G$1=1,"",IF(Tab.o1[[#This Row],[a1]]=1,Tab.o1[[#This Row],[Wr]]^2,""))</f>
        <v/>
      </c>
      <c r="AD700" s="118" t="str">
        <f>IF(Tab.o1[[#This Row],[a1]]=1,IF(AE$3=0,"",Tab.o1[[#This Row],[Wr2]]/SUM(Tab.o1[Wr2])),"")</f>
        <v/>
      </c>
      <c r="AE700" s="128" t="str">
        <f>IF(Tab.o1[[#This Row],[a1]]=1,[1]!T.in.A[[#This Row],[oo10]],"")</f>
        <v/>
      </c>
      <c r="AF700" s="118" t="str">
        <f>IF(Tab.o1[[#This Row],[a1]]=1,ABS(Tab.o1[[#This Row],[DIF_Target.]]*Tab.o1[[#This Row],[PDF2]]*Tab.o1[[#This Row],[IN]]),"")</f>
        <v/>
      </c>
      <c r="AG700" s="129" t="str">
        <f>IF(Tab.o1[[#This Row],[a1]]=1,Tab.o1[[#This Row],[rW]]^2,"")</f>
        <v/>
      </c>
      <c r="AH700" s="130" t="str">
        <f>IF(Tab.o1[[#This Row],[a1]]=1,IF(AH$3=0,Tab.o1[[#This Row],[rW2]],0.01+0.94*Tab.o1[[#This Row],[rW2]]/SUM(Tab.o1[rW2])),"")</f>
        <v/>
      </c>
      <c r="AI700" s="128" t="str">
        <f>IF(Tab.o1[[#This Row],[a1]]=1,1/Tab.o1[[#This Row],[PDF]],"")</f>
        <v/>
      </c>
      <c r="AJ700" s="131" t="str">
        <f>IF(Tab.o1[[#This Row],[a1]]=1,[1]!T_AA[[#This Row],[IN'']]*[1]!T_AA[[#This Row],[Qde'']],"")</f>
        <v/>
      </c>
      <c r="AK700" s="132" t="str">
        <f>IF(Tab.o1[[#This Row],[a1]]=1,IF(AK$1=1,Tab.o1[[#This Row],[MED]]+Tab.o1[[#This Row],[MOD]]-Tab.o1[[#This Row],[MED]],""),"")</f>
        <v/>
      </c>
      <c r="AL700" s="133" t="str">
        <f>IF(Tab.o1[[#This Row],[a1]]=1,[1]!T.in.A[[#This Row],[oo16]],"")</f>
        <v/>
      </c>
      <c r="AM700" s="133" t="str">
        <f>IF(Tab.o1[[#This Row],[a1]]=1,IF(AM$3=1,[1]!T.in.A[[#This Row],[Σo16]],""),"")</f>
        <v/>
      </c>
      <c r="AN700" s="126" t="str">
        <f>IF(Tab.o1[[#This Row],[a1]]=1,[1]!T.in.A[[#This Row],[Σp5]],"")</f>
        <v/>
      </c>
      <c r="AO700" s="126" t="str">
        <f>IF(Tab.o1[[#This Row],[a1]]=1,IF(AO$3=1,[1]!T.in.A[[#This Row],[Σp5]],""),"")</f>
        <v/>
      </c>
      <c r="AP700" s="110" t="str">
        <f>IF(Tab.o1[[#This Row],[a1]]=1,IF(ISNUMBER(Tab.o1[[#This Row],[i.]]),NORMDIST(Tab.o1[[#This Row],[Za]],0,1,FALSE)*Tab.o1[[#This Row],[i.]],0),"")</f>
        <v/>
      </c>
      <c r="AQ700" s="125" t="str">
        <f>IF(Tab.o1[[#This Row],[a1]]=1,ABS(Tab.o1[[#This Row],[MOD]]-AVERAGE(Tab.o1[MOD])),"")</f>
        <v/>
      </c>
      <c r="AR700" s="134" t="str">
        <f>IF(Tab.o1[[#This Row],[a1]]=1,Tab.o1[[#This Row],[OBS]]/SUM(Tab.o1[OBS]),"")</f>
        <v/>
      </c>
      <c r="AS700" s="135" t="str">
        <f>IF(ISNUMBER(Tab.o1[[#This Row],[a1]]),ROW()-4,"")</f>
        <v/>
      </c>
      <c r="AT700" s="136" t="str">
        <f>Tab.o1[[#This Row],[MOD]]</f>
        <v/>
      </c>
      <c r="AU700" s="137" t="str">
        <f t="shared" si="41"/>
        <v/>
      </c>
      <c r="AV700" s="138" t="str">
        <f t="shared" si="42"/>
        <v/>
      </c>
      <c r="AW700" s="138" t="str">
        <f t="shared" si="43"/>
        <v/>
      </c>
      <c r="AX700" s="139" t="str">
        <f>[1]!T.in.A[[#This Row],[ID_T_manu]]</f>
        <v/>
      </c>
      <c r="AY700" s="140" t="str">
        <f>IF(ISNUMBER(Tab.o1[[#This Row],[a1]]),IF(AND(Tab.o1[[#This Row],[a1]]=1,Tab.o1[[#This Row],[b1]]&lt;=AY$4),#REF!,AY699),"")</f>
        <v/>
      </c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</row>
    <row r="701" spans="1:79" s="143" customFormat="1" ht="15.75" hidden="1">
      <c r="A701" s="109">
        <v>2.0000000000000003E-6</v>
      </c>
      <c r="B701" s="110">
        <f t="shared" si="40"/>
        <v>701</v>
      </c>
      <c r="C701" s="111" t="str">
        <f>IF(C$1=[1]!T.in.A[[#This Row],[oo2]],1,"")</f>
        <v/>
      </c>
      <c r="D701" s="112" t="str">
        <f>IF(Tab.o1[[#This Row],[a1]]=1,IF(SUM(C701:C702)=0,0,IF(SUM(C700:C701)=1,1,IF(SUM(C700:C702)&gt;1,D700+1,0))),"")</f>
        <v/>
      </c>
      <c r="E701" s="113" t="str">
        <f>IF(Tab.o1[[#This Row],[a1]]=1,[1]!T.in.A[[#This Row],[oo1]],"")</f>
        <v/>
      </c>
      <c r="F701" s="113" t="str">
        <f>IF(Tab.o1[[#This Row],[a1]]=1,[1]!T.in.A[[#This Row],[pp1]],"")</f>
        <v/>
      </c>
      <c r="G701" s="114" t="str">
        <f>IF(Tab.o1[[#This Row],[a1]]=1,G$2+IF(G$1=1,0,Tab.o1[[#This Row],[.x1]])+[1]!T.in.A[[#This Row],[oo3]],"")</f>
        <v/>
      </c>
      <c r="H701" s="115" t="str">
        <f>IF(Tab.o1[[#This Row],[a1]]=1,IF(H$2=0,0,IF(G$1=1,0,Tab.o1[[#This Row],[.x1]])+[1]!T.in.A[[#This Row],[oo4]]),"")</f>
        <v/>
      </c>
      <c r="I701" s="116" t="str">
        <f>IF(Tab.o1[[#This Row],[a1]]=1,IF(J$2=0,Tab.o1[[#This Row],[MED]],Tab.o1[[#This Row],[MOD]]),"")</f>
        <v/>
      </c>
      <c r="J701" s="116" t="str">
        <f>IF(Tab.o1[[#This Row],[a1]]=1,((Tab.o1[[#This Row],[DIF_Target.]]-AVERAGE(Tab.o1[DIF_Target.]))/_xlfn.STDEV.P(Tab.o1[DIF_Target.])),"")</f>
        <v/>
      </c>
      <c r="K701" s="117" t="str">
        <f>IF(Tab.o1[[#This Row],[a1]]=1,IF(J$2=0,Tab.o1[[#This Row],[MOD]]-Tab.o1[[#This Row],[B]],IF(J$2=1,0,-Tab.o1[[#This Row],[MED]])+Tab.o1[[#This Row],[B]]),"")</f>
        <v/>
      </c>
      <c r="L701" s="117" t="str">
        <f ca="1">IF(Tab.o1[[#This Row],[DIF_Target]]=0,IF(L$2=0,Tab.o1[[#This Row],[DIF_Target]],AVERAGE(OFFSET(Tab.o1[[#This Row],[DIF_Target]],1,0,L$3,1)))/3,Tab.o1[[#This Row],[DIF_Target]])</f>
        <v/>
      </c>
      <c r="M701" s="118" t="str">
        <f>IF(Tab.o1[[#This Row],[a1]]=1,NORMSDIST(Tab.o1[[#This Row],[Za]]),"")</f>
        <v/>
      </c>
      <c r="N701" s="119" t="str">
        <f>IF(Tab.o1[[#This Row],[a1]]=1,((Tab.o1[[#This Row],[MedMod]]-AVERAGE(Tab.o1[MedMod]))/_xlfn.STDEV.P(Tab.o1[MedMod])*H$1205)+G$1205,"")</f>
        <v/>
      </c>
      <c r="O701" s="141" t="str">
        <f>IF(Tab.o1[[#This Row],[a1]]=1,Tab.o1[[#This Row],[Zb]]*_xlfn.STDEV.P(Tab.o1[MedMod])+AVERAGE(Tab.o1[MedMod]),"")</f>
        <v/>
      </c>
      <c r="P701" s="117" t="str">
        <f ca="1">IF(Tab.o1[[#This Row],[B]]=0,AVERAGE(OFFSET(Tab.o1[[#This Row],[B]],1,0,L$3,1)),Tab.o1[[#This Row],[B]])</f>
        <v/>
      </c>
      <c r="Q701" s="121" t="str">
        <f>IF(Tab.o1[[#This Row],[a1]]=1,NORMSDIST(Tab.o1[[#This Row],[Zb]]),"")</f>
        <v/>
      </c>
      <c r="R701" s="122" t="str">
        <f>IF(Tab.o1[[#This Row],[a1]]=1,((Tab.o1[[#This Row],[MedMod]]-AVERAGE(Tab.o1[MedMod]))/_xlfn.STDEV.P(Tab.o1[MedMod])*H$1203)+G$1203,"")</f>
        <v/>
      </c>
      <c r="S701" s="122" t="str">
        <f>IF(Tab.o1[[#This Row],[a1]]=1,((Tab.o1[[#This Row],[MedMod]]-AVERAGE(Tab.o1[MedMod]))/_xlfn.STDEV.P(Tab.o1[MedMod])*H$1204)+G$1204,"")</f>
        <v/>
      </c>
      <c r="T701" s="123" t="str">
        <f>IF(Tab.o1[[#This Row],[a1]]=1,Tab.o1[[#This Row],[Z-]]*_xlfn.STDEV.P(Tab.o1[B])+AVERAGE(Tab.o1[B]),"")</f>
        <v/>
      </c>
      <c r="U701" s="123" t="str">
        <f>IF(Tab.o1[[#This Row],[a1]]=1,Tab.o1[[#This Row],[z+]]*_xlfn.STDEV.P(Tab.o1[B])+AVERAGE(Tab.o1[B]),"")</f>
        <v/>
      </c>
      <c r="V701" s="124" t="str">
        <f>IF(Tab.o1[[#This Row],[a1]]=1,ABS((ABS(Tab.o1[[#This Row],[Red]]-Tab.o1[[#This Row],[Blue]]))),"")</f>
        <v/>
      </c>
      <c r="W701" s="125" t="str">
        <f>IF(Tab.o1[[#This Row],[a1]]=1,IF(W$3=0,1,Tab.o1[[#This Row],[Amp.]]*1/_xlfn.MINIFS(Tab.o1[Amp.],Tab.o1[Amp.],"&lt;&gt;0")),"")</f>
        <v/>
      </c>
      <c r="X701" s="126" t="str">
        <f>IF(Tab.o1[[#This Row],[a1]]=1,IF(ISNUMBER(Tab.o1[[#This Row],[i.]]),NORMDIST(Tab.o1[[#This Row],[Za]],0,1,FALSE)*Tab.o1[[#This Row],[i.]],AP$3),"")</f>
        <v/>
      </c>
      <c r="Y701" s="126" t="str">
        <f>IF(Tab.o1[[#This Row],[a1]]=1,0.01+0.94*Tab.o1[[#This Row],[PDF]]/MAX(Tab.o1[PDF]),"")</f>
        <v/>
      </c>
      <c r="Z701" s="126" t="str">
        <f>IF(Tab.o1[[#This Row],[a1]]=1,0.01+0.94*Tab.o1[[#This Row],[W1_PDF]]/MAX(Tab.o1[W1_PDF]),"")</f>
        <v/>
      </c>
      <c r="AA701" s="118" t="str">
        <f>IF(Tab.o1[[#This Row],[a1]]=1,ABS([1]!T.in.A[[#This Row],[oo6]]),"")</f>
        <v/>
      </c>
      <c r="AB701" s="127" t="str">
        <f>IF(Tab.o1[[#This Row],[a1]]=1,IF(AE$3=0,"",IF(AB$3=0,ABS([1]!T.in.A[[#This Row],[oo9]]),ABS(Tab.o1[[#This Row],[DIF_Target.]]*Tab.o1[[#This Row],[W1_PDF]]))),"")</f>
        <v/>
      </c>
      <c r="AC701" s="127" t="str">
        <f>IF(G$1=1,"",IF(Tab.o1[[#This Row],[a1]]=1,Tab.o1[[#This Row],[Wr]]^2,""))</f>
        <v/>
      </c>
      <c r="AD701" s="118" t="str">
        <f>IF(Tab.o1[[#This Row],[a1]]=1,IF(AE$3=0,"",Tab.o1[[#This Row],[Wr2]]/SUM(Tab.o1[Wr2])),"")</f>
        <v/>
      </c>
      <c r="AE701" s="128" t="str">
        <f>IF(Tab.o1[[#This Row],[a1]]=1,[1]!T.in.A[[#This Row],[oo10]],"")</f>
        <v/>
      </c>
      <c r="AF701" s="118" t="str">
        <f>IF(Tab.o1[[#This Row],[a1]]=1,ABS(Tab.o1[[#This Row],[DIF_Target.]]*Tab.o1[[#This Row],[PDF2]]*Tab.o1[[#This Row],[IN]]),"")</f>
        <v/>
      </c>
      <c r="AG701" s="129" t="str">
        <f>IF(Tab.o1[[#This Row],[a1]]=1,Tab.o1[[#This Row],[rW]]^2,"")</f>
        <v/>
      </c>
      <c r="AH701" s="130" t="str">
        <f>IF(Tab.o1[[#This Row],[a1]]=1,IF(AH$3=0,Tab.o1[[#This Row],[rW2]],0.01+0.94*Tab.o1[[#This Row],[rW2]]/SUM(Tab.o1[rW2])),"")</f>
        <v/>
      </c>
      <c r="AI701" s="128" t="str">
        <f>IF(Tab.o1[[#This Row],[a1]]=1,1/Tab.o1[[#This Row],[PDF]],"")</f>
        <v/>
      </c>
      <c r="AJ701" s="131" t="str">
        <f>IF(Tab.o1[[#This Row],[a1]]=1,[1]!T_AA[[#This Row],[IN'']]*[1]!T_AA[[#This Row],[Qde'']],"")</f>
        <v/>
      </c>
      <c r="AK701" s="132" t="str">
        <f>IF(Tab.o1[[#This Row],[a1]]=1,IF(AK$1=1,Tab.o1[[#This Row],[MED]]+Tab.o1[[#This Row],[MOD]]-Tab.o1[[#This Row],[MED]],""),"")</f>
        <v/>
      </c>
      <c r="AL701" s="133" t="str">
        <f>IF(Tab.o1[[#This Row],[a1]]=1,[1]!T.in.A[[#This Row],[oo16]],"")</f>
        <v/>
      </c>
      <c r="AM701" s="133" t="str">
        <f>IF(Tab.o1[[#This Row],[a1]]=1,IF(AM$3=1,[1]!T.in.A[[#This Row],[Σo16]],""),"")</f>
        <v/>
      </c>
      <c r="AN701" s="126" t="str">
        <f>IF(Tab.o1[[#This Row],[a1]]=1,[1]!T.in.A[[#This Row],[Σp5]],"")</f>
        <v/>
      </c>
      <c r="AO701" s="126" t="str">
        <f>IF(Tab.o1[[#This Row],[a1]]=1,IF(AO$3=1,[1]!T.in.A[[#This Row],[Σp5]],""),"")</f>
        <v/>
      </c>
      <c r="AP701" s="110" t="str">
        <f>IF(Tab.o1[[#This Row],[a1]]=1,IF(ISNUMBER(Tab.o1[[#This Row],[i.]]),NORMDIST(Tab.o1[[#This Row],[Za]],0,1,FALSE)*Tab.o1[[#This Row],[i.]],0),"")</f>
        <v/>
      </c>
      <c r="AQ701" s="125" t="str">
        <f>IF(Tab.o1[[#This Row],[a1]]=1,ABS(Tab.o1[[#This Row],[MOD]]-AVERAGE(Tab.o1[MOD])),"")</f>
        <v/>
      </c>
      <c r="AR701" s="134" t="str">
        <f>IF(Tab.o1[[#This Row],[a1]]=1,Tab.o1[[#This Row],[OBS]]/SUM(Tab.o1[OBS]),"")</f>
        <v/>
      </c>
      <c r="AS701" s="135" t="str">
        <f>IF(ISNUMBER(Tab.o1[[#This Row],[a1]]),ROW()-4,"")</f>
        <v/>
      </c>
      <c r="AT701" s="136" t="str">
        <f>Tab.o1[[#This Row],[MOD]]</f>
        <v/>
      </c>
      <c r="AU701" s="137" t="str">
        <f t="shared" si="41"/>
        <v/>
      </c>
      <c r="AV701" s="138" t="str">
        <f t="shared" si="42"/>
        <v/>
      </c>
      <c r="AW701" s="138" t="str">
        <f t="shared" si="43"/>
        <v/>
      </c>
      <c r="AX701" s="139" t="str">
        <f>[1]!T.in.A[[#This Row],[ID_T_manu]]</f>
        <v/>
      </c>
      <c r="AY701" s="140" t="str">
        <f>IF(ISNUMBER(Tab.o1[[#This Row],[a1]]),IF(AND(Tab.o1[[#This Row],[a1]]=1,Tab.o1[[#This Row],[b1]]&lt;=AY$4),#REF!,AY700),"")</f>
        <v/>
      </c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6"/>
      <c r="BO701" s="26"/>
      <c r="BP701" s="26"/>
      <c r="BQ701" s="26"/>
      <c r="BR701" s="26"/>
      <c r="BS701" s="26"/>
      <c r="BT701" s="26"/>
      <c r="BU701" s="26"/>
      <c r="BV701" s="26"/>
      <c r="BW701" s="26"/>
      <c r="BX701" s="26"/>
      <c r="BY701" s="26"/>
      <c r="BZ701" s="26"/>
      <c r="CA701" s="26"/>
    </row>
    <row r="702" spans="1:79" s="143" customFormat="1" ht="15.75" hidden="1">
      <c r="A702" s="109">
        <v>1.0000000000000001E-5</v>
      </c>
      <c r="B702" s="110">
        <f t="shared" si="40"/>
        <v>702</v>
      </c>
      <c r="C702" s="111" t="str">
        <f>IF(C$1=[1]!T.in.A[[#This Row],[oo2]],1,"")</f>
        <v/>
      </c>
      <c r="D702" s="112" t="str">
        <f>IF(Tab.o1[[#This Row],[a1]]=1,IF(SUM(C702:C703)=0,0,IF(SUM(C701:C702)=1,1,IF(SUM(C701:C703)&gt;1,D701+1,0))),"")</f>
        <v/>
      </c>
      <c r="E702" s="113" t="str">
        <f>IF(Tab.o1[[#This Row],[a1]]=1,[1]!T.in.A[[#This Row],[oo1]],"")</f>
        <v/>
      </c>
      <c r="F702" s="113" t="str">
        <f>IF(Tab.o1[[#This Row],[a1]]=1,[1]!T.in.A[[#This Row],[pp1]],"")</f>
        <v/>
      </c>
      <c r="G702" s="114" t="str">
        <f>IF(Tab.o1[[#This Row],[a1]]=1,G$2+IF(G$1=1,0,Tab.o1[[#This Row],[.x1]])+[1]!T.in.A[[#This Row],[oo3]],"")</f>
        <v/>
      </c>
      <c r="H702" s="115" t="str">
        <f>IF(Tab.o1[[#This Row],[a1]]=1,IF(H$2=0,0,IF(G$1=1,0,Tab.o1[[#This Row],[.x1]])+[1]!T.in.A[[#This Row],[oo4]]),"")</f>
        <v/>
      </c>
      <c r="I702" s="116" t="str">
        <f>IF(Tab.o1[[#This Row],[a1]]=1,IF(J$2=0,Tab.o1[[#This Row],[MED]],Tab.o1[[#This Row],[MOD]]),"")</f>
        <v/>
      </c>
      <c r="J702" s="116" t="str">
        <f>IF(Tab.o1[[#This Row],[a1]]=1,((Tab.o1[[#This Row],[DIF_Target.]]-AVERAGE(Tab.o1[DIF_Target.]))/_xlfn.STDEV.P(Tab.o1[DIF_Target.])),"")</f>
        <v/>
      </c>
      <c r="K702" s="117" t="str">
        <f>IF(Tab.o1[[#This Row],[a1]]=1,IF(J$2=0,Tab.o1[[#This Row],[MOD]]-Tab.o1[[#This Row],[B]],IF(J$2=1,0,-Tab.o1[[#This Row],[MED]])+Tab.o1[[#This Row],[B]]),"")</f>
        <v/>
      </c>
      <c r="L702" s="117" t="str">
        <f ca="1">IF(Tab.o1[[#This Row],[DIF_Target]]=0,IF(L$2=0,Tab.o1[[#This Row],[DIF_Target]],AVERAGE(OFFSET(Tab.o1[[#This Row],[DIF_Target]],1,0,L$3,1)))/3,Tab.o1[[#This Row],[DIF_Target]])</f>
        <v/>
      </c>
      <c r="M702" s="118" t="str">
        <f>IF(Tab.o1[[#This Row],[a1]]=1,NORMSDIST(Tab.o1[[#This Row],[Za]]),"")</f>
        <v/>
      </c>
      <c r="N702" s="119" t="str">
        <f>IF(Tab.o1[[#This Row],[a1]]=1,((Tab.o1[[#This Row],[MedMod]]-AVERAGE(Tab.o1[MedMod]))/_xlfn.STDEV.P(Tab.o1[MedMod])*H$1205)+G$1205,"")</f>
        <v/>
      </c>
      <c r="O702" s="141" t="str">
        <f>IF(Tab.o1[[#This Row],[a1]]=1,Tab.o1[[#This Row],[Zb]]*_xlfn.STDEV.P(Tab.o1[MedMod])+AVERAGE(Tab.o1[MedMod]),"")</f>
        <v/>
      </c>
      <c r="P702" s="117" t="str">
        <f ca="1">IF(Tab.o1[[#This Row],[B]]=0,AVERAGE(OFFSET(Tab.o1[[#This Row],[B]],1,0,L$3,1)),Tab.o1[[#This Row],[B]])</f>
        <v/>
      </c>
      <c r="Q702" s="121" t="str">
        <f>IF(Tab.o1[[#This Row],[a1]]=1,NORMSDIST(Tab.o1[[#This Row],[Zb]]),"")</f>
        <v/>
      </c>
      <c r="R702" s="122" t="str">
        <f>IF(Tab.o1[[#This Row],[a1]]=1,((Tab.o1[[#This Row],[MedMod]]-AVERAGE(Tab.o1[MedMod]))/_xlfn.STDEV.P(Tab.o1[MedMod])*H$1203)+G$1203,"")</f>
        <v/>
      </c>
      <c r="S702" s="122" t="str">
        <f>IF(Tab.o1[[#This Row],[a1]]=1,((Tab.o1[[#This Row],[MedMod]]-AVERAGE(Tab.o1[MedMod]))/_xlfn.STDEV.P(Tab.o1[MedMod])*H$1204)+G$1204,"")</f>
        <v/>
      </c>
      <c r="T702" s="123" t="str">
        <f>IF(Tab.o1[[#This Row],[a1]]=1,Tab.o1[[#This Row],[Z-]]*_xlfn.STDEV.P(Tab.o1[B])+AVERAGE(Tab.o1[B]),"")</f>
        <v/>
      </c>
      <c r="U702" s="123" t="str">
        <f>IF(Tab.o1[[#This Row],[a1]]=1,Tab.o1[[#This Row],[z+]]*_xlfn.STDEV.P(Tab.o1[B])+AVERAGE(Tab.o1[B]),"")</f>
        <v/>
      </c>
      <c r="V702" s="124" t="str">
        <f>IF(Tab.o1[[#This Row],[a1]]=1,ABS((ABS(Tab.o1[[#This Row],[Red]]-Tab.o1[[#This Row],[Blue]]))),"")</f>
        <v/>
      </c>
      <c r="W702" s="125" t="str">
        <f>IF(Tab.o1[[#This Row],[a1]]=1,IF(W$3=0,1,Tab.o1[[#This Row],[Amp.]]*1/_xlfn.MINIFS(Tab.o1[Amp.],Tab.o1[Amp.],"&lt;&gt;0")),"")</f>
        <v/>
      </c>
      <c r="X702" s="126" t="str">
        <f>IF(Tab.o1[[#This Row],[a1]]=1,IF(ISNUMBER(Tab.o1[[#This Row],[i.]]),NORMDIST(Tab.o1[[#This Row],[Za]],0,1,FALSE)*Tab.o1[[#This Row],[i.]],AP$3),"")</f>
        <v/>
      </c>
      <c r="Y702" s="126" t="str">
        <f>IF(Tab.o1[[#This Row],[a1]]=1,0.01+0.94*Tab.o1[[#This Row],[PDF]]/MAX(Tab.o1[PDF]),"")</f>
        <v/>
      </c>
      <c r="Z702" s="126" t="str">
        <f>IF(Tab.o1[[#This Row],[a1]]=1,0.01+0.94*Tab.o1[[#This Row],[W1_PDF]]/MAX(Tab.o1[W1_PDF]),"")</f>
        <v/>
      </c>
      <c r="AA702" s="118" t="str">
        <f>IF(Tab.o1[[#This Row],[a1]]=1,ABS([1]!T.in.A[[#This Row],[oo6]]),"")</f>
        <v/>
      </c>
      <c r="AB702" s="127" t="str">
        <f>IF(Tab.o1[[#This Row],[a1]]=1,IF(AE$3=0,"",IF(AB$3=0,ABS([1]!T.in.A[[#This Row],[oo9]]),ABS(Tab.o1[[#This Row],[DIF_Target.]]*Tab.o1[[#This Row],[W1_PDF]]))),"")</f>
        <v/>
      </c>
      <c r="AC702" s="127" t="str">
        <f>IF(G$1=1,"",IF(Tab.o1[[#This Row],[a1]]=1,Tab.o1[[#This Row],[Wr]]^2,""))</f>
        <v/>
      </c>
      <c r="AD702" s="118" t="str">
        <f>IF(Tab.o1[[#This Row],[a1]]=1,IF(AE$3=0,"",Tab.o1[[#This Row],[Wr2]]/SUM(Tab.o1[Wr2])),"")</f>
        <v/>
      </c>
      <c r="AE702" s="128" t="str">
        <f>IF(Tab.o1[[#This Row],[a1]]=1,[1]!T.in.A[[#This Row],[oo10]],"")</f>
        <v/>
      </c>
      <c r="AF702" s="118" t="str">
        <f>IF(Tab.o1[[#This Row],[a1]]=1,ABS(Tab.o1[[#This Row],[DIF_Target.]]*Tab.o1[[#This Row],[PDF2]]*Tab.o1[[#This Row],[IN]]),"")</f>
        <v/>
      </c>
      <c r="AG702" s="129" t="str">
        <f>IF(Tab.o1[[#This Row],[a1]]=1,Tab.o1[[#This Row],[rW]]^2,"")</f>
        <v/>
      </c>
      <c r="AH702" s="130" t="str">
        <f>IF(Tab.o1[[#This Row],[a1]]=1,IF(AH$3=0,Tab.o1[[#This Row],[rW2]],0.01+0.94*Tab.o1[[#This Row],[rW2]]/SUM(Tab.o1[rW2])),"")</f>
        <v/>
      </c>
      <c r="AI702" s="128" t="str">
        <f>IF(Tab.o1[[#This Row],[a1]]=1,1/Tab.o1[[#This Row],[PDF]],"")</f>
        <v/>
      </c>
      <c r="AJ702" s="131" t="str">
        <f>IF(Tab.o1[[#This Row],[a1]]=1,[1]!T_AA[[#This Row],[IN'']]*[1]!T_AA[[#This Row],[Qde'']],"")</f>
        <v/>
      </c>
      <c r="AK702" s="132" t="str">
        <f>IF(Tab.o1[[#This Row],[a1]]=1,IF(AK$1=1,Tab.o1[[#This Row],[MED]]+Tab.o1[[#This Row],[MOD]]-Tab.o1[[#This Row],[MED]],""),"")</f>
        <v/>
      </c>
      <c r="AL702" s="133" t="str">
        <f>IF(Tab.o1[[#This Row],[a1]]=1,[1]!T.in.A[[#This Row],[oo16]],"")</f>
        <v/>
      </c>
      <c r="AM702" s="133" t="str">
        <f>IF(Tab.o1[[#This Row],[a1]]=1,IF(AM$3=1,[1]!T.in.A[[#This Row],[Σo16]],""),"")</f>
        <v/>
      </c>
      <c r="AN702" s="126" t="str">
        <f>IF(Tab.o1[[#This Row],[a1]]=1,[1]!T.in.A[[#This Row],[Σp5]],"")</f>
        <v/>
      </c>
      <c r="AO702" s="126" t="str">
        <f>IF(Tab.o1[[#This Row],[a1]]=1,IF(AO$3=1,[1]!T.in.A[[#This Row],[Σp5]],""),"")</f>
        <v/>
      </c>
      <c r="AP702" s="110" t="str">
        <f>IF(Tab.o1[[#This Row],[a1]]=1,IF(ISNUMBER(Tab.o1[[#This Row],[i.]]),NORMDIST(Tab.o1[[#This Row],[Za]],0,1,FALSE)*Tab.o1[[#This Row],[i.]],0),"")</f>
        <v/>
      </c>
      <c r="AQ702" s="125" t="str">
        <f>IF(Tab.o1[[#This Row],[a1]]=1,ABS(Tab.o1[[#This Row],[MOD]]-AVERAGE(Tab.o1[MOD])),"")</f>
        <v/>
      </c>
      <c r="AR702" s="134" t="str">
        <f>IF(Tab.o1[[#This Row],[a1]]=1,Tab.o1[[#This Row],[OBS]]/SUM(Tab.o1[OBS]),"")</f>
        <v/>
      </c>
      <c r="AS702" s="135" t="str">
        <f>IF(ISNUMBER(Tab.o1[[#This Row],[a1]]),ROW()-4,"")</f>
        <v/>
      </c>
      <c r="AT702" s="136" t="str">
        <f>Tab.o1[[#This Row],[MOD]]</f>
        <v/>
      </c>
      <c r="AU702" s="137" t="str">
        <f t="shared" si="41"/>
        <v/>
      </c>
      <c r="AV702" s="138" t="str">
        <f t="shared" si="42"/>
        <v/>
      </c>
      <c r="AW702" s="138" t="str">
        <f t="shared" si="43"/>
        <v/>
      </c>
      <c r="AX702" s="139" t="str">
        <f>[1]!T.in.A[[#This Row],[ID_T_manu]]</f>
        <v/>
      </c>
      <c r="AY702" s="140" t="str">
        <f>IF(ISNUMBER(Tab.o1[[#This Row],[a1]]),IF(AND(Tab.o1[[#This Row],[a1]]=1,Tab.o1[[#This Row],[b1]]&lt;=AY$4),#REF!,AY701),"")</f>
        <v/>
      </c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</row>
    <row r="703" spans="1:79" s="143" customFormat="1" ht="15.75" hidden="1">
      <c r="A703" s="109">
        <v>8.0000000000000013E-6</v>
      </c>
      <c r="B703" s="110">
        <f t="shared" si="40"/>
        <v>703</v>
      </c>
      <c r="C703" s="111" t="str">
        <f>IF(C$1=[1]!T.in.A[[#This Row],[oo2]],1,"")</f>
        <v/>
      </c>
      <c r="D703" s="112" t="str">
        <f>IF(Tab.o1[[#This Row],[a1]]=1,IF(SUM(C703:C704)=0,0,IF(SUM(C702:C703)=1,1,IF(SUM(C702:C704)&gt;1,D702+1,0))),"")</f>
        <v/>
      </c>
      <c r="E703" s="113" t="str">
        <f>IF(Tab.o1[[#This Row],[a1]]=1,[1]!T.in.A[[#This Row],[oo1]],"")</f>
        <v/>
      </c>
      <c r="F703" s="113" t="str">
        <f>IF(Tab.o1[[#This Row],[a1]]=1,[1]!T.in.A[[#This Row],[pp1]],"")</f>
        <v/>
      </c>
      <c r="G703" s="114" t="str">
        <f>IF(Tab.o1[[#This Row],[a1]]=1,G$2+IF(G$1=1,0,Tab.o1[[#This Row],[.x1]])+[1]!T.in.A[[#This Row],[oo3]],"")</f>
        <v/>
      </c>
      <c r="H703" s="115" t="str">
        <f>IF(Tab.o1[[#This Row],[a1]]=1,IF(H$2=0,0,IF(G$1=1,0,Tab.o1[[#This Row],[.x1]])+[1]!T.in.A[[#This Row],[oo4]]),"")</f>
        <v/>
      </c>
      <c r="I703" s="116" t="str">
        <f>IF(Tab.o1[[#This Row],[a1]]=1,IF(J$2=0,Tab.o1[[#This Row],[MED]],Tab.o1[[#This Row],[MOD]]),"")</f>
        <v/>
      </c>
      <c r="J703" s="116" t="str">
        <f>IF(Tab.o1[[#This Row],[a1]]=1,((Tab.o1[[#This Row],[DIF_Target.]]-AVERAGE(Tab.o1[DIF_Target.]))/_xlfn.STDEV.P(Tab.o1[DIF_Target.])),"")</f>
        <v/>
      </c>
      <c r="K703" s="117" t="str">
        <f>IF(Tab.o1[[#This Row],[a1]]=1,IF(J$2=0,Tab.o1[[#This Row],[MOD]]-Tab.o1[[#This Row],[B]],IF(J$2=1,0,-Tab.o1[[#This Row],[MED]])+Tab.o1[[#This Row],[B]]),"")</f>
        <v/>
      </c>
      <c r="L703" s="117" t="str">
        <f ca="1">IF(Tab.o1[[#This Row],[DIF_Target]]=0,IF(L$2=0,Tab.o1[[#This Row],[DIF_Target]],AVERAGE(OFFSET(Tab.o1[[#This Row],[DIF_Target]],1,0,L$3,1)))/3,Tab.o1[[#This Row],[DIF_Target]])</f>
        <v/>
      </c>
      <c r="M703" s="118" t="str">
        <f>IF(Tab.o1[[#This Row],[a1]]=1,NORMSDIST(Tab.o1[[#This Row],[Za]]),"")</f>
        <v/>
      </c>
      <c r="N703" s="119" t="str">
        <f>IF(Tab.o1[[#This Row],[a1]]=1,((Tab.o1[[#This Row],[MedMod]]-AVERAGE(Tab.o1[MedMod]))/_xlfn.STDEV.P(Tab.o1[MedMod])*H$1205)+G$1205,"")</f>
        <v/>
      </c>
      <c r="O703" s="141" t="str">
        <f>IF(Tab.o1[[#This Row],[a1]]=1,Tab.o1[[#This Row],[Zb]]*_xlfn.STDEV.P(Tab.o1[MedMod])+AVERAGE(Tab.o1[MedMod]),"")</f>
        <v/>
      </c>
      <c r="P703" s="117" t="str">
        <f ca="1">IF(Tab.o1[[#This Row],[B]]=0,AVERAGE(OFFSET(Tab.o1[[#This Row],[B]],1,0,L$3,1)),Tab.o1[[#This Row],[B]])</f>
        <v/>
      </c>
      <c r="Q703" s="121" t="str">
        <f>IF(Tab.o1[[#This Row],[a1]]=1,NORMSDIST(Tab.o1[[#This Row],[Zb]]),"")</f>
        <v/>
      </c>
      <c r="R703" s="122" t="str">
        <f>IF(Tab.o1[[#This Row],[a1]]=1,((Tab.o1[[#This Row],[MedMod]]-AVERAGE(Tab.o1[MedMod]))/_xlfn.STDEV.P(Tab.o1[MedMod])*H$1203)+G$1203,"")</f>
        <v/>
      </c>
      <c r="S703" s="122" t="str">
        <f>IF(Tab.o1[[#This Row],[a1]]=1,((Tab.o1[[#This Row],[MedMod]]-AVERAGE(Tab.o1[MedMod]))/_xlfn.STDEV.P(Tab.o1[MedMod])*H$1204)+G$1204,"")</f>
        <v/>
      </c>
      <c r="T703" s="123" t="str">
        <f>IF(Tab.o1[[#This Row],[a1]]=1,Tab.o1[[#This Row],[Z-]]*_xlfn.STDEV.P(Tab.o1[B])+AVERAGE(Tab.o1[B]),"")</f>
        <v/>
      </c>
      <c r="U703" s="123" t="str">
        <f>IF(Tab.o1[[#This Row],[a1]]=1,Tab.o1[[#This Row],[z+]]*_xlfn.STDEV.P(Tab.o1[B])+AVERAGE(Tab.o1[B]),"")</f>
        <v/>
      </c>
      <c r="V703" s="124" t="str">
        <f>IF(Tab.o1[[#This Row],[a1]]=1,ABS((ABS(Tab.o1[[#This Row],[Red]]-Tab.o1[[#This Row],[Blue]]))),"")</f>
        <v/>
      </c>
      <c r="W703" s="125" t="str">
        <f>IF(Tab.o1[[#This Row],[a1]]=1,IF(W$3=0,1,Tab.o1[[#This Row],[Amp.]]*1/_xlfn.MINIFS(Tab.o1[Amp.],Tab.o1[Amp.],"&lt;&gt;0")),"")</f>
        <v/>
      </c>
      <c r="X703" s="126" t="str">
        <f>IF(Tab.o1[[#This Row],[a1]]=1,IF(ISNUMBER(Tab.o1[[#This Row],[i.]]),NORMDIST(Tab.o1[[#This Row],[Za]],0,1,FALSE)*Tab.o1[[#This Row],[i.]],AP$3),"")</f>
        <v/>
      </c>
      <c r="Y703" s="126" t="str">
        <f>IF(Tab.o1[[#This Row],[a1]]=1,0.01+0.94*Tab.o1[[#This Row],[PDF]]/MAX(Tab.o1[PDF]),"")</f>
        <v/>
      </c>
      <c r="Z703" s="126" t="str">
        <f>IF(Tab.o1[[#This Row],[a1]]=1,0.01+0.94*Tab.o1[[#This Row],[W1_PDF]]/MAX(Tab.o1[W1_PDF]),"")</f>
        <v/>
      </c>
      <c r="AA703" s="118" t="str">
        <f>IF(Tab.o1[[#This Row],[a1]]=1,ABS([1]!T.in.A[[#This Row],[oo6]]),"")</f>
        <v/>
      </c>
      <c r="AB703" s="127" t="str">
        <f>IF(Tab.o1[[#This Row],[a1]]=1,IF(AE$3=0,"",IF(AB$3=0,ABS([1]!T.in.A[[#This Row],[oo9]]),ABS(Tab.o1[[#This Row],[DIF_Target.]]*Tab.o1[[#This Row],[W1_PDF]]))),"")</f>
        <v/>
      </c>
      <c r="AC703" s="127" t="str">
        <f>IF(G$1=1,"",IF(Tab.o1[[#This Row],[a1]]=1,Tab.o1[[#This Row],[Wr]]^2,""))</f>
        <v/>
      </c>
      <c r="AD703" s="118" t="str">
        <f>IF(Tab.o1[[#This Row],[a1]]=1,IF(AE$3=0,"",Tab.o1[[#This Row],[Wr2]]/SUM(Tab.o1[Wr2])),"")</f>
        <v/>
      </c>
      <c r="AE703" s="128" t="str">
        <f>IF(Tab.o1[[#This Row],[a1]]=1,[1]!T.in.A[[#This Row],[oo10]],"")</f>
        <v/>
      </c>
      <c r="AF703" s="118" t="str">
        <f>IF(Tab.o1[[#This Row],[a1]]=1,ABS(Tab.o1[[#This Row],[DIF_Target.]]*Tab.o1[[#This Row],[PDF2]]*Tab.o1[[#This Row],[IN]]),"")</f>
        <v/>
      </c>
      <c r="AG703" s="129" t="str">
        <f>IF(Tab.o1[[#This Row],[a1]]=1,Tab.o1[[#This Row],[rW]]^2,"")</f>
        <v/>
      </c>
      <c r="AH703" s="130" t="str">
        <f>IF(Tab.o1[[#This Row],[a1]]=1,IF(AH$3=0,Tab.o1[[#This Row],[rW2]],0.01+0.94*Tab.o1[[#This Row],[rW2]]/SUM(Tab.o1[rW2])),"")</f>
        <v/>
      </c>
      <c r="AI703" s="128" t="str">
        <f>IF(Tab.o1[[#This Row],[a1]]=1,1/Tab.o1[[#This Row],[PDF]],"")</f>
        <v/>
      </c>
      <c r="AJ703" s="131" t="str">
        <f>IF(Tab.o1[[#This Row],[a1]]=1,[1]!T_AA[[#This Row],[IN'']]*[1]!T_AA[[#This Row],[Qde'']],"")</f>
        <v/>
      </c>
      <c r="AK703" s="132" t="str">
        <f>IF(Tab.o1[[#This Row],[a1]]=1,IF(AK$1=1,Tab.o1[[#This Row],[MED]]+Tab.o1[[#This Row],[MOD]]-Tab.o1[[#This Row],[MED]],""),"")</f>
        <v/>
      </c>
      <c r="AL703" s="133" t="str">
        <f>IF(Tab.o1[[#This Row],[a1]]=1,[1]!T.in.A[[#This Row],[oo16]],"")</f>
        <v/>
      </c>
      <c r="AM703" s="133" t="str">
        <f>IF(Tab.o1[[#This Row],[a1]]=1,IF(AM$3=1,[1]!T.in.A[[#This Row],[Σo16]],""),"")</f>
        <v/>
      </c>
      <c r="AN703" s="126" t="str">
        <f>IF(Tab.o1[[#This Row],[a1]]=1,[1]!T.in.A[[#This Row],[Σp5]],"")</f>
        <v/>
      </c>
      <c r="AO703" s="126" t="str">
        <f>IF(Tab.o1[[#This Row],[a1]]=1,IF(AO$3=1,[1]!T.in.A[[#This Row],[Σp5]],""),"")</f>
        <v/>
      </c>
      <c r="AP703" s="110" t="str">
        <f>IF(Tab.o1[[#This Row],[a1]]=1,IF(ISNUMBER(Tab.o1[[#This Row],[i.]]),NORMDIST(Tab.o1[[#This Row],[Za]],0,1,FALSE)*Tab.o1[[#This Row],[i.]],0),"")</f>
        <v/>
      </c>
      <c r="AQ703" s="125" t="str">
        <f>IF(Tab.o1[[#This Row],[a1]]=1,ABS(Tab.o1[[#This Row],[MOD]]-AVERAGE(Tab.o1[MOD])),"")</f>
        <v/>
      </c>
      <c r="AR703" s="134" t="str">
        <f>IF(Tab.o1[[#This Row],[a1]]=1,Tab.o1[[#This Row],[OBS]]/SUM(Tab.o1[OBS]),"")</f>
        <v/>
      </c>
      <c r="AS703" s="135" t="str">
        <f>IF(ISNUMBER(Tab.o1[[#This Row],[a1]]),ROW()-4,"")</f>
        <v/>
      </c>
      <c r="AT703" s="136" t="str">
        <f>Tab.o1[[#This Row],[MOD]]</f>
        <v/>
      </c>
      <c r="AU703" s="137" t="str">
        <f t="shared" si="41"/>
        <v/>
      </c>
      <c r="AV703" s="138" t="str">
        <f t="shared" si="42"/>
        <v/>
      </c>
      <c r="AW703" s="138" t="str">
        <f t="shared" si="43"/>
        <v/>
      </c>
      <c r="AX703" s="139" t="str">
        <f>[1]!T.in.A[[#This Row],[ID_T_manu]]</f>
        <v/>
      </c>
      <c r="AY703" s="140" t="str">
        <f>IF(ISNUMBER(Tab.o1[[#This Row],[a1]]),IF(AND(Tab.o1[[#This Row],[a1]]=1,Tab.o1[[#This Row],[b1]]&lt;=AY$4),#REF!,AY702),"")</f>
        <v/>
      </c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</row>
    <row r="704" spans="1:79" s="143" customFormat="1" ht="15.75" hidden="1">
      <c r="A704" s="109">
        <v>9.0000000000000002E-6</v>
      </c>
      <c r="B704" s="110">
        <f t="shared" si="40"/>
        <v>704</v>
      </c>
      <c r="C704" s="111" t="str">
        <f>IF(C$1=[1]!T.in.A[[#This Row],[oo2]],1,"")</f>
        <v/>
      </c>
      <c r="D704" s="112" t="str">
        <f>IF(Tab.o1[[#This Row],[a1]]=1,IF(SUM(C704:C705)=0,0,IF(SUM(C703:C704)=1,1,IF(SUM(C703:C705)&gt;1,D703+1,0))),"")</f>
        <v/>
      </c>
      <c r="E704" s="113" t="str">
        <f>IF(Tab.o1[[#This Row],[a1]]=1,[1]!T.in.A[[#This Row],[oo1]],"")</f>
        <v/>
      </c>
      <c r="F704" s="113" t="str">
        <f>IF(Tab.o1[[#This Row],[a1]]=1,[1]!T.in.A[[#This Row],[pp1]],"")</f>
        <v/>
      </c>
      <c r="G704" s="114" t="str">
        <f>IF(Tab.o1[[#This Row],[a1]]=1,G$2+IF(G$1=1,0,Tab.o1[[#This Row],[.x1]])+[1]!T.in.A[[#This Row],[oo3]],"")</f>
        <v/>
      </c>
      <c r="H704" s="115" t="str">
        <f>IF(Tab.o1[[#This Row],[a1]]=1,IF(H$2=0,0,IF(G$1=1,0,Tab.o1[[#This Row],[.x1]])+[1]!T.in.A[[#This Row],[oo4]]),"")</f>
        <v/>
      </c>
      <c r="I704" s="116" t="str">
        <f>IF(Tab.o1[[#This Row],[a1]]=1,IF(J$2=0,Tab.o1[[#This Row],[MED]],Tab.o1[[#This Row],[MOD]]),"")</f>
        <v/>
      </c>
      <c r="J704" s="116" t="str">
        <f>IF(Tab.o1[[#This Row],[a1]]=1,((Tab.o1[[#This Row],[DIF_Target.]]-AVERAGE(Tab.o1[DIF_Target.]))/_xlfn.STDEV.P(Tab.o1[DIF_Target.])),"")</f>
        <v/>
      </c>
      <c r="K704" s="117" t="str">
        <f>IF(Tab.o1[[#This Row],[a1]]=1,IF(J$2=0,Tab.o1[[#This Row],[MOD]]-Tab.o1[[#This Row],[B]],IF(J$2=1,0,-Tab.o1[[#This Row],[MED]])+Tab.o1[[#This Row],[B]]),"")</f>
        <v/>
      </c>
      <c r="L704" s="117" t="str">
        <f ca="1">IF(Tab.o1[[#This Row],[DIF_Target]]=0,IF(L$2=0,Tab.o1[[#This Row],[DIF_Target]],AVERAGE(OFFSET(Tab.o1[[#This Row],[DIF_Target]],1,0,L$3,1)))/3,Tab.o1[[#This Row],[DIF_Target]])</f>
        <v/>
      </c>
      <c r="M704" s="118" t="str">
        <f>IF(Tab.o1[[#This Row],[a1]]=1,NORMSDIST(Tab.o1[[#This Row],[Za]]),"")</f>
        <v/>
      </c>
      <c r="N704" s="119" t="str">
        <f>IF(Tab.o1[[#This Row],[a1]]=1,((Tab.o1[[#This Row],[MedMod]]-AVERAGE(Tab.o1[MedMod]))/_xlfn.STDEV.P(Tab.o1[MedMod])*H$1205)+G$1205,"")</f>
        <v/>
      </c>
      <c r="O704" s="141" t="str">
        <f>IF(Tab.o1[[#This Row],[a1]]=1,Tab.o1[[#This Row],[Zb]]*_xlfn.STDEV.P(Tab.o1[MedMod])+AVERAGE(Tab.o1[MedMod]),"")</f>
        <v/>
      </c>
      <c r="P704" s="117" t="str">
        <f ca="1">IF(Tab.o1[[#This Row],[B]]=0,AVERAGE(OFFSET(Tab.o1[[#This Row],[B]],1,0,L$3,1)),Tab.o1[[#This Row],[B]])</f>
        <v/>
      </c>
      <c r="Q704" s="121" t="str">
        <f>IF(Tab.o1[[#This Row],[a1]]=1,NORMSDIST(Tab.o1[[#This Row],[Zb]]),"")</f>
        <v/>
      </c>
      <c r="R704" s="122" t="str">
        <f>IF(Tab.o1[[#This Row],[a1]]=1,((Tab.o1[[#This Row],[MedMod]]-AVERAGE(Tab.o1[MedMod]))/_xlfn.STDEV.P(Tab.o1[MedMod])*H$1203)+G$1203,"")</f>
        <v/>
      </c>
      <c r="S704" s="122" t="str">
        <f>IF(Tab.o1[[#This Row],[a1]]=1,((Tab.o1[[#This Row],[MedMod]]-AVERAGE(Tab.o1[MedMod]))/_xlfn.STDEV.P(Tab.o1[MedMod])*H$1204)+G$1204,"")</f>
        <v/>
      </c>
      <c r="T704" s="123" t="str">
        <f>IF(Tab.o1[[#This Row],[a1]]=1,Tab.o1[[#This Row],[Z-]]*_xlfn.STDEV.P(Tab.o1[B])+AVERAGE(Tab.o1[B]),"")</f>
        <v/>
      </c>
      <c r="U704" s="123" t="str">
        <f>IF(Tab.o1[[#This Row],[a1]]=1,Tab.o1[[#This Row],[z+]]*_xlfn.STDEV.P(Tab.o1[B])+AVERAGE(Tab.o1[B]),"")</f>
        <v/>
      </c>
      <c r="V704" s="124" t="str">
        <f>IF(Tab.o1[[#This Row],[a1]]=1,ABS((ABS(Tab.o1[[#This Row],[Red]]-Tab.o1[[#This Row],[Blue]]))),"")</f>
        <v/>
      </c>
      <c r="W704" s="125" t="str">
        <f>IF(Tab.o1[[#This Row],[a1]]=1,IF(W$3=0,1,Tab.o1[[#This Row],[Amp.]]*1/_xlfn.MINIFS(Tab.o1[Amp.],Tab.o1[Amp.],"&lt;&gt;0")),"")</f>
        <v/>
      </c>
      <c r="X704" s="126" t="str">
        <f>IF(Tab.o1[[#This Row],[a1]]=1,IF(ISNUMBER(Tab.o1[[#This Row],[i.]]),NORMDIST(Tab.o1[[#This Row],[Za]],0,1,FALSE)*Tab.o1[[#This Row],[i.]],AP$3),"")</f>
        <v/>
      </c>
      <c r="Y704" s="126" t="str">
        <f>IF(Tab.o1[[#This Row],[a1]]=1,0.01+0.94*Tab.o1[[#This Row],[PDF]]/MAX(Tab.o1[PDF]),"")</f>
        <v/>
      </c>
      <c r="Z704" s="126" t="str">
        <f>IF(Tab.o1[[#This Row],[a1]]=1,0.01+0.94*Tab.o1[[#This Row],[W1_PDF]]/MAX(Tab.o1[W1_PDF]),"")</f>
        <v/>
      </c>
      <c r="AA704" s="118" t="str">
        <f>IF(Tab.o1[[#This Row],[a1]]=1,ABS([1]!T.in.A[[#This Row],[oo6]]),"")</f>
        <v/>
      </c>
      <c r="AB704" s="127" t="str">
        <f>IF(Tab.o1[[#This Row],[a1]]=1,IF(AE$3=0,"",IF(AB$3=0,ABS([1]!T.in.A[[#This Row],[oo9]]),ABS(Tab.o1[[#This Row],[DIF_Target.]]*Tab.o1[[#This Row],[W1_PDF]]))),"")</f>
        <v/>
      </c>
      <c r="AC704" s="127" t="str">
        <f>IF(G$1=1,"",IF(Tab.o1[[#This Row],[a1]]=1,Tab.o1[[#This Row],[Wr]]^2,""))</f>
        <v/>
      </c>
      <c r="AD704" s="118" t="str">
        <f>IF(Tab.o1[[#This Row],[a1]]=1,IF(AE$3=0,"",Tab.o1[[#This Row],[Wr2]]/SUM(Tab.o1[Wr2])),"")</f>
        <v/>
      </c>
      <c r="AE704" s="128" t="str">
        <f>IF(Tab.o1[[#This Row],[a1]]=1,[1]!T.in.A[[#This Row],[oo10]],"")</f>
        <v/>
      </c>
      <c r="AF704" s="118" t="str">
        <f>IF(Tab.o1[[#This Row],[a1]]=1,ABS(Tab.o1[[#This Row],[DIF_Target.]]*Tab.o1[[#This Row],[PDF2]]*Tab.o1[[#This Row],[IN]]),"")</f>
        <v/>
      </c>
      <c r="AG704" s="129" t="str">
        <f>IF(Tab.o1[[#This Row],[a1]]=1,Tab.o1[[#This Row],[rW]]^2,"")</f>
        <v/>
      </c>
      <c r="AH704" s="130" t="str">
        <f>IF(Tab.o1[[#This Row],[a1]]=1,IF(AH$3=0,Tab.o1[[#This Row],[rW2]],0.01+0.94*Tab.o1[[#This Row],[rW2]]/SUM(Tab.o1[rW2])),"")</f>
        <v/>
      </c>
      <c r="AI704" s="128" t="str">
        <f>IF(Tab.o1[[#This Row],[a1]]=1,1/Tab.o1[[#This Row],[PDF]],"")</f>
        <v/>
      </c>
      <c r="AJ704" s="131" t="str">
        <f>IF(Tab.o1[[#This Row],[a1]]=1,[1]!T_AA[[#This Row],[IN'']]*[1]!T_AA[[#This Row],[Qde'']],"")</f>
        <v/>
      </c>
      <c r="AK704" s="132" t="str">
        <f>IF(Tab.o1[[#This Row],[a1]]=1,IF(AK$1=1,Tab.o1[[#This Row],[MED]]+Tab.o1[[#This Row],[MOD]]-Tab.o1[[#This Row],[MED]],""),"")</f>
        <v/>
      </c>
      <c r="AL704" s="133" t="str">
        <f>IF(Tab.o1[[#This Row],[a1]]=1,[1]!T.in.A[[#This Row],[oo16]],"")</f>
        <v/>
      </c>
      <c r="AM704" s="133" t="str">
        <f>IF(Tab.o1[[#This Row],[a1]]=1,IF(AM$3=1,[1]!T.in.A[[#This Row],[Σo16]],""),"")</f>
        <v/>
      </c>
      <c r="AN704" s="126" t="str">
        <f>IF(Tab.o1[[#This Row],[a1]]=1,[1]!T.in.A[[#This Row],[Σp5]],"")</f>
        <v/>
      </c>
      <c r="AO704" s="126" t="str">
        <f>IF(Tab.o1[[#This Row],[a1]]=1,IF(AO$3=1,[1]!T.in.A[[#This Row],[Σp5]],""),"")</f>
        <v/>
      </c>
      <c r="AP704" s="110" t="str">
        <f>IF(Tab.o1[[#This Row],[a1]]=1,IF(ISNUMBER(Tab.o1[[#This Row],[i.]]),NORMDIST(Tab.o1[[#This Row],[Za]],0,1,FALSE)*Tab.o1[[#This Row],[i.]],0),"")</f>
        <v/>
      </c>
      <c r="AQ704" s="125" t="str">
        <f>IF(Tab.o1[[#This Row],[a1]]=1,ABS(Tab.o1[[#This Row],[MOD]]-AVERAGE(Tab.o1[MOD])),"")</f>
        <v/>
      </c>
      <c r="AR704" s="134" t="str">
        <f>IF(Tab.o1[[#This Row],[a1]]=1,Tab.o1[[#This Row],[OBS]]/SUM(Tab.o1[OBS]),"")</f>
        <v/>
      </c>
      <c r="AS704" s="135" t="str">
        <f>IF(ISNUMBER(Tab.o1[[#This Row],[a1]]),ROW()-4,"")</f>
        <v/>
      </c>
      <c r="AT704" s="136" t="str">
        <f>Tab.o1[[#This Row],[MOD]]</f>
        <v/>
      </c>
      <c r="AU704" s="137" t="str">
        <f t="shared" si="41"/>
        <v/>
      </c>
      <c r="AV704" s="138" t="str">
        <f t="shared" si="42"/>
        <v/>
      </c>
      <c r="AW704" s="138" t="str">
        <f t="shared" si="43"/>
        <v/>
      </c>
      <c r="AX704" s="139" t="str">
        <f>[1]!T.in.A[[#This Row],[ID_T_manu]]</f>
        <v/>
      </c>
      <c r="AY704" s="140" t="str">
        <f>IF(ISNUMBER(Tab.o1[[#This Row],[a1]]),IF(AND(Tab.o1[[#This Row],[a1]]=1,Tab.o1[[#This Row],[b1]]&lt;=AY$4),#REF!,AY703),"")</f>
        <v/>
      </c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</row>
    <row r="705" spans="1:79" s="143" customFormat="1" ht="15.75" hidden="1">
      <c r="A705" s="109">
        <v>-1.0000000000000001E-5</v>
      </c>
      <c r="B705" s="110">
        <f t="shared" si="40"/>
        <v>705</v>
      </c>
      <c r="C705" s="111" t="str">
        <f>IF(C$1=[1]!T.in.A[[#This Row],[oo2]],1,"")</f>
        <v/>
      </c>
      <c r="D705" s="112" t="str">
        <f>IF(Tab.o1[[#This Row],[a1]]=1,IF(SUM(C705:C706)=0,0,IF(SUM(C704:C705)=1,1,IF(SUM(C704:C706)&gt;1,D704+1,0))),"")</f>
        <v/>
      </c>
      <c r="E705" s="113" t="str">
        <f>IF(Tab.o1[[#This Row],[a1]]=1,[1]!T.in.A[[#This Row],[oo1]],"")</f>
        <v/>
      </c>
      <c r="F705" s="113" t="str">
        <f>IF(Tab.o1[[#This Row],[a1]]=1,[1]!T.in.A[[#This Row],[pp1]],"")</f>
        <v/>
      </c>
      <c r="G705" s="114" t="str">
        <f>IF(Tab.o1[[#This Row],[a1]]=1,G$2+IF(G$1=1,0,Tab.o1[[#This Row],[.x1]])+[1]!T.in.A[[#This Row],[oo3]],"")</f>
        <v/>
      </c>
      <c r="H705" s="115" t="str">
        <f>IF(Tab.o1[[#This Row],[a1]]=1,IF(H$2=0,0,IF(G$1=1,0,Tab.o1[[#This Row],[.x1]])+[1]!T.in.A[[#This Row],[oo4]]),"")</f>
        <v/>
      </c>
      <c r="I705" s="116" t="str">
        <f>IF(Tab.o1[[#This Row],[a1]]=1,IF(J$2=0,Tab.o1[[#This Row],[MED]],Tab.o1[[#This Row],[MOD]]),"")</f>
        <v/>
      </c>
      <c r="J705" s="116" t="str">
        <f>IF(Tab.o1[[#This Row],[a1]]=1,((Tab.o1[[#This Row],[DIF_Target.]]-AVERAGE(Tab.o1[DIF_Target.]))/_xlfn.STDEV.P(Tab.o1[DIF_Target.])),"")</f>
        <v/>
      </c>
      <c r="K705" s="117" t="str">
        <f>IF(Tab.o1[[#This Row],[a1]]=1,IF(J$2=0,Tab.o1[[#This Row],[MOD]]-Tab.o1[[#This Row],[B]],IF(J$2=1,0,-Tab.o1[[#This Row],[MED]])+Tab.o1[[#This Row],[B]]),"")</f>
        <v/>
      </c>
      <c r="L705" s="117" t="str">
        <f ca="1">IF(Tab.o1[[#This Row],[DIF_Target]]=0,IF(L$2=0,Tab.o1[[#This Row],[DIF_Target]],AVERAGE(OFFSET(Tab.o1[[#This Row],[DIF_Target]],1,0,L$3,1)))/3,Tab.o1[[#This Row],[DIF_Target]])</f>
        <v/>
      </c>
      <c r="M705" s="118" t="str">
        <f>IF(Tab.o1[[#This Row],[a1]]=1,NORMSDIST(Tab.o1[[#This Row],[Za]]),"")</f>
        <v/>
      </c>
      <c r="N705" s="119" t="str">
        <f>IF(Tab.o1[[#This Row],[a1]]=1,((Tab.o1[[#This Row],[MedMod]]-AVERAGE(Tab.o1[MedMod]))/_xlfn.STDEV.P(Tab.o1[MedMod])*H$1205)+G$1205,"")</f>
        <v/>
      </c>
      <c r="O705" s="141" t="str">
        <f>IF(Tab.o1[[#This Row],[a1]]=1,Tab.o1[[#This Row],[Zb]]*_xlfn.STDEV.P(Tab.o1[MedMod])+AVERAGE(Tab.o1[MedMod]),"")</f>
        <v/>
      </c>
      <c r="P705" s="117" t="str">
        <f ca="1">IF(Tab.o1[[#This Row],[B]]=0,AVERAGE(OFFSET(Tab.o1[[#This Row],[B]],1,0,L$3,1)),Tab.o1[[#This Row],[B]])</f>
        <v/>
      </c>
      <c r="Q705" s="121" t="str">
        <f>IF(Tab.o1[[#This Row],[a1]]=1,NORMSDIST(Tab.o1[[#This Row],[Zb]]),"")</f>
        <v/>
      </c>
      <c r="R705" s="122" t="str">
        <f>IF(Tab.o1[[#This Row],[a1]]=1,((Tab.o1[[#This Row],[MedMod]]-AVERAGE(Tab.o1[MedMod]))/_xlfn.STDEV.P(Tab.o1[MedMod])*H$1203)+G$1203,"")</f>
        <v/>
      </c>
      <c r="S705" s="122" t="str">
        <f>IF(Tab.o1[[#This Row],[a1]]=1,((Tab.o1[[#This Row],[MedMod]]-AVERAGE(Tab.o1[MedMod]))/_xlfn.STDEV.P(Tab.o1[MedMod])*H$1204)+G$1204,"")</f>
        <v/>
      </c>
      <c r="T705" s="123" t="str">
        <f>IF(Tab.o1[[#This Row],[a1]]=1,Tab.o1[[#This Row],[Z-]]*_xlfn.STDEV.P(Tab.o1[B])+AVERAGE(Tab.o1[B]),"")</f>
        <v/>
      </c>
      <c r="U705" s="123" t="str">
        <f>IF(Tab.o1[[#This Row],[a1]]=1,Tab.o1[[#This Row],[z+]]*_xlfn.STDEV.P(Tab.o1[B])+AVERAGE(Tab.o1[B]),"")</f>
        <v/>
      </c>
      <c r="V705" s="124" t="str">
        <f>IF(Tab.o1[[#This Row],[a1]]=1,ABS((ABS(Tab.o1[[#This Row],[Red]]-Tab.o1[[#This Row],[Blue]]))),"")</f>
        <v/>
      </c>
      <c r="W705" s="125" t="str">
        <f>IF(Tab.o1[[#This Row],[a1]]=1,IF(W$3=0,1,Tab.o1[[#This Row],[Amp.]]*1/_xlfn.MINIFS(Tab.o1[Amp.],Tab.o1[Amp.],"&lt;&gt;0")),"")</f>
        <v/>
      </c>
      <c r="X705" s="126" t="str">
        <f>IF(Tab.o1[[#This Row],[a1]]=1,IF(ISNUMBER(Tab.o1[[#This Row],[i.]]),NORMDIST(Tab.o1[[#This Row],[Za]],0,1,FALSE)*Tab.o1[[#This Row],[i.]],AP$3),"")</f>
        <v/>
      </c>
      <c r="Y705" s="126" t="str">
        <f>IF(Tab.o1[[#This Row],[a1]]=1,0.01+0.94*Tab.o1[[#This Row],[PDF]]/MAX(Tab.o1[PDF]),"")</f>
        <v/>
      </c>
      <c r="Z705" s="126" t="str">
        <f>IF(Tab.o1[[#This Row],[a1]]=1,0.01+0.94*Tab.o1[[#This Row],[W1_PDF]]/MAX(Tab.o1[W1_PDF]),"")</f>
        <v/>
      </c>
      <c r="AA705" s="118" t="str">
        <f>IF(Tab.o1[[#This Row],[a1]]=1,ABS([1]!T.in.A[[#This Row],[oo6]]),"")</f>
        <v/>
      </c>
      <c r="AB705" s="127" t="str">
        <f>IF(Tab.o1[[#This Row],[a1]]=1,IF(AE$3=0,"",IF(AB$3=0,ABS([1]!T.in.A[[#This Row],[oo9]]),ABS(Tab.o1[[#This Row],[DIF_Target.]]*Tab.o1[[#This Row],[W1_PDF]]))),"")</f>
        <v/>
      </c>
      <c r="AC705" s="127" t="str">
        <f>IF(G$1=1,"",IF(Tab.o1[[#This Row],[a1]]=1,Tab.o1[[#This Row],[Wr]]^2,""))</f>
        <v/>
      </c>
      <c r="AD705" s="118" t="str">
        <f>IF(Tab.o1[[#This Row],[a1]]=1,IF(AE$3=0,"",Tab.o1[[#This Row],[Wr2]]/SUM(Tab.o1[Wr2])),"")</f>
        <v/>
      </c>
      <c r="AE705" s="128" t="str">
        <f>IF(Tab.o1[[#This Row],[a1]]=1,[1]!T.in.A[[#This Row],[oo10]],"")</f>
        <v/>
      </c>
      <c r="AF705" s="118" t="str">
        <f>IF(Tab.o1[[#This Row],[a1]]=1,ABS(Tab.o1[[#This Row],[DIF_Target.]]*Tab.o1[[#This Row],[PDF2]]*Tab.o1[[#This Row],[IN]]),"")</f>
        <v/>
      </c>
      <c r="AG705" s="129" t="str">
        <f>IF(Tab.o1[[#This Row],[a1]]=1,Tab.o1[[#This Row],[rW]]^2,"")</f>
        <v/>
      </c>
      <c r="AH705" s="130" t="str">
        <f>IF(Tab.o1[[#This Row],[a1]]=1,IF(AH$3=0,Tab.o1[[#This Row],[rW2]],0.01+0.94*Tab.o1[[#This Row],[rW2]]/SUM(Tab.o1[rW2])),"")</f>
        <v/>
      </c>
      <c r="AI705" s="128" t="str">
        <f>IF(Tab.o1[[#This Row],[a1]]=1,1/Tab.o1[[#This Row],[PDF]],"")</f>
        <v/>
      </c>
      <c r="AJ705" s="131" t="str">
        <f>IF(Tab.o1[[#This Row],[a1]]=1,[1]!T_AA[[#This Row],[IN'']]*[1]!T_AA[[#This Row],[Qde'']],"")</f>
        <v/>
      </c>
      <c r="AK705" s="132" t="str">
        <f>IF(Tab.o1[[#This Row],[a1]]=1,IF(AK$1=1,Tab.o1[[#This Row],[MED]]+Tab.o1[[#This Row],[MOD]]-Tab.o1[[#This Row],[MED]],""),"")</f>
        <v/>
      </c>
      <c r="AL705" s="133" t="str">
        <f>IF(Tab.o1[[#This Row],[a1]]=1,[1]!T.in.A[[#This Row],[oo16]],"")</f>
        <v/>
      </c>
      <c r="AM705" s="133" t="str">
        <f>IF(Tab.o1[[#This Row],[a1]]=1,IF(AM$3=1,[1]!T.in.A[[#This Row],[Σo16]],""),"")</f>
        <v/>
      </c>
      <c r="AN705" s="126" t="str">
        <f>IF(Tab.o1[[#This Row],[a1]]=1,[1]!T.in.A[[#This Row],[Σp5]],"")</f>
        <v/>
      </c>
      <c r="AO705" s="126" t="str">
        <f>IF(Tab.o1[[#This Row],[a1]]=1,IF(AO$3=1,[1]!T.in.A[[#This Row],[Σp5]],""),"")</f>
        <v/>
      </c>
      <c r="AP705" s="110" t="str">
        <f>IF(Tab.o1[[#This Row],[a1]]=1,IF(ISNUMBER(Tab.o1[[#This Row],[i.]]),NORMDIST(Tab.o1[[#This Row],[Za]],0,1,FALSE)*Tab.o1[[#This Row],[i.]],0),"")</f>
        <v/>
      </c>
      <c r="AQ705" s="125" t="str">
        <f>IF(Tab.o1[[#This Row],[a1]]=1,ABS(Tab.o1[[#This Row],[MOD]]-AVERAGE(Tab.o1[MOD])),"")</f>
        <v/>
      </c>
      <c r="AR705" s="134" t="str">
        <f>IF(Tab.o1[[#This Row],[a1]]=1,Tab.o1[[#This Row],[OBS]]/SUM(Tab.o1[OBS]),"")</f>
        <v/>
      </c>
      <c r="AS705" s="135" t="str">
        <f>IF(ISNUMBER(Tab.o1[[#This Row],[a1]]),ROW()-4,"")</f>
        <v/>
      </c>
      <c r="AT705" s="136" t="str">
        <f>Tab.o1[[#This Row],[MOD]]</f>
        <v/>
      </c>
      <c r="AU705" s="137" t="str">
        <f t="shared" si="41"/>
        <v/>
      </c>
      <c r="AV705" s="138" t="str">
        <f t="shared" si="42"/>
        <v/>
      </c>
      <c r="AW705" s="138" t="str">
        <f t="shared" si="43"/>
        <v/>
      </c>
      <c r="AX705" s="139" t="str">
        <f>[1]!T.in.A[[#This Row],[ID_T_manu]]</f>
        <v/>
      </c>
      <c r="AY705" s="140" t="str">
        <f>IF(ISNUMBER(Tab.o1[[#This Row],[a1]]),IF(AND(Tab.o1[[#This Row],[a1]]=1,Tab.o1[[#This Row],[b1]]&lt;=AY$4),#REF!,AY704),"")</f>
        <v/>
      </c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</row>
    <row r="706" spans="1:79" s="143" customFormat="1" ht="15.75" hidden="1">
      <c r="A706" s="109">
        <v>5.9999999999999993E-6</v>
      </c>
      <c r="B706" s="110">
        <f t="shared" si="40"/>
        <v>706</v>
      </c>
      <c r="C706" s="111" t="str">
        <f>IF(C$1=[1]!T.in.A[[#This Row],[oo2]],1,"")</f>
        <v/>
      </c>
      <c r="D706" s="112" t="str">
        <f>IF(Tab.o1[[#This Row],[a1]]=1,IF(SUM(C706:C707)=0,0,IF(SUM(C705:C706)=1,1,IF(SUM(C705:C707)&gt;1,D705+1,0))),"")</f>
        <v/>
      </c>
      <c r="E706" s="113" t="str">
        <f>IF(Tab.o1[[#This Row],[a1]]=1,[1]!T.in.A[[#This Row],[oo1]],"")</f>
        <v/>
      </c>
      <c r="F706" s="113" t="str">
        <f>IF(Tab.o1[[#This Row],[a1]]=1,[1]!T.in.A[[#This Row],[pp1]],"")</f>
        <v/>
      </c>
      <c r="G706" s="114" t="str">
        <f>IF(Tab.o1[[#This Row],[a1]]=1,G$2+IF(G$1=1,0,Tab.o1[[#This Row],[.x1]])+[1]!T.in.A[[#This Row],[oo3]],"")</f>
        <v/>
      </c>
      <c r="H706" s="115" t="str">
        <f>IF(Tab.o1[[#This Row],[a1]]=1,IF(H$2=0,0,IF(G$1=1,0,Tab.o1[[#This Row],[.x1]])+[1]!T.in.A[[#This Row],[oo4]]),"")</f>
        <v/>
      </c>
      <c r="I706" s="116" t="str">
        <f>IF(Tab.o1[[#This Row],[a1]]=1,IF(J$2=0,Tab.o1[[#This Row],[MED]],Tab.o1[[#This Row],[MOD]]),"")</f>
        <v/>
      </c>
      <c r="J706" s="116" t="str">
        <f>IF(Tab.o1[[#This Row],[a1]]=1,((Tab.o1[[#This Row],[DIF_Target.]]-AVERAGE(Tab.o1[DIF_Target.]))/_xlfn.STDEV.P(Tab.o1[DIF_Target.])),"")</f>
        <v/>
      </c>
      <c r="K706" s="117" t="str">
        <f>IF(Tab.o1[[#This Row],[a1]]=1,IF(J$2=0,Tab.o1[[#This Row],[MOD]]-Tab.o1[[#This Row],[B]],IF(J$2=1,0,-Tab.o1[[#This Row],[MED]])+Tab.o1[[#This Row],[B]]),"")</f>
        <v/>
      </c>
      <c r="L706" s="117" t="str">
        <f ca="1">IF(Tab.o1[[#This Row],[DIF_Target]]=0,IF(L$2=0,Tab.o1[[#This Row],[DIF_Target]],AVERAGE(OFFSET(Tab.o1[[#This Row],[DIF_Target]],1,0,L$3,1)))/3,Tab.o1[[#This Row],[DIF_Target]])</f>
        <v/>
      </c>
      <c r="M706" s="118" t="str">
        <f>IF(Tab.o1[[#This Row],[a1]]=1,NORMSDIST(Tab.o1[[#This Row],[Za]]),"")</f>
        <v/>
      </c>
      <c r="N706" s="119" t="str">
        <f>IF(Tab.o1[[#This Row],[a1]]=1,((Tab.o1[[#This Row],[MedMod]]-AVERAGE(Tab.o1[MedMod]))/_xlfn.STDEV.P(Tab.o1[MedMod])*H$1205)+G$1205,"")</f>
        <v/>
      </c>
      <c r="O706" s="141" t="str">
        <f>IF(Tab.o1[[#This Row],[a1]]=1,Tab.o1[[#This Row],[Zb]]*_xlfn.STDEV.P(Tab.o1[MedMod])+AVERAGE(Tab.o1[MedMod]),"")</f>
        <v/>
      </c>
      <c r="P706" s="117" t="str">
        <f ca="1">IF(Tab.o1[[#This Row],[B]]=0,AVERAGE(OFFSET(Tab.o1[[#This Row],[B]],1,0,L$3,1)),Tab.o1[[#This Row],[B]])</f>
        <v/>
      </c>
      <c r="Q706" s="121" t="str">
        <f>IF(Tab.o1[[#This Row],[a1]]=1,NORMSDIST(Tab.o1[[#This Row],[Zb]]),"")</f>
        <v/>
      </c>
      <c r="R706" s="122" t="str">
        <f>IF(Tab.o1[[#This Row],[a1]]=1,((Tab.o1[[#This Row],[MedMod]]-AVERAGE(Tab.o1[MedMod]))/_xlfn.STDEV.P(Tab.o1[MedMod])*H$1203)+G$1203,"")</f>
        <v/>
      </c>
      <c r="S706" s="122" t="str">
        <f>IF(Tab.o1[[#This Row],[a1]]=1,((Tab.o1[[#This Row],[MedMod]]-AVERAGE(Tab.o1[MedMod]))/_xlfn.STDEV.P(Tab.o1[MedMod])*H$1204)+G$1204,"")</f>
        <v/>
      </c>
      <c r="T706" s="123" t="str">
        <f>IF(Tab.o1[[#This Row],[a1]]=1,Tab.o1[[#This Row],[Z-]]*_xlfn.STDEV.P(Tab.o1[B])+AVERAGE(Tab.o1[B]),"")</f>
        <v/>
      </c>
      <c r="U706" s="123" t="str">
        <f>IF(Tab.o1[[#This Row],[a1]]=1,Tab.o1[[#This Row],[z+]]*_xlfn.STDEV.P(Tab.o1[B])+AVERAGE(Tab.o1[B]),"")</f>
        <v/>
      </c>
      <c r="V706" s="124" t="str">
        <f>IF(Tab.o1[[#This Row],[a1]]=1,ABS((ABS(Tab.o1[[#This Row],[Red]]-Tab.o1[[#This Row],[Blue]]))),"")</f>
        <v/>
      </c>
      <c r="W706" s="125" t="str">
        <f>IF(Tab.o1[[#This Row],[a1]]=1,IF(W$3=0,1,Tab.o1[[#This Row],[Amp.]]*1/_xlfn.MINIFS(Tab.o1[Amp.],Tab.o1[Amp.],"&lt;&gt;0")),"")</f>
        <v/>
      </c>
      <c r="X706" s="126" t="str">
        <f>IF(Tab.o1[[#This Row],[a1]]=1,IF(ISNUMBER(Tab.o1[[#This Row],[i.]]),NORMDIST(Tab.o1[[#This Row],[Za]],0,1,FALSE)*Tab.o1[[#This Row],[i.]],AP$3),"")</f>
        <v/>
      </c>
      <c r="Y706" s="126" t="str">
        <f>IF(Tab.o1[[#This Row],[a1]]=1,0.01+0.94*Tab.o1[[#This Row],[PDF]]/MAX(Tab.o1[PDF]),"")</f>
        <v/>
      </c>
      <c r="Z706" s="126" t="str">
        <f>IF(Tab.o1[[#This Row],[a1]]=1,0.01+0.94*Tab.o1[[#This Row],[W1_PDF]]/MAX(Tab.o1[W1_PDF]),"")</f>
        <v/>
      </c>
      <c r="AA706" s="118" t="str">
        <f>IF(Tab.o1[[#This Row],[a1]]=1,ABS([1]!T.in.A[[#This Row],[oo6]]),"")</f>
        <v/>
      </c>
      <c r="AB706" s="127" t="str">
        <f>IF(Tab.o1[[#This Row],[a1]]=1,IF(AE$3=0,"",IF(AB$3=0,ABS([1]!T.in.A[[#This Row],[oo9]]),ABS(Tab.o1[[#This Row],[DIF_Target.]]*Tab.o1[[#This Row],[W1_PDF]]))),"")</f>
        <v/>
      </c>
      <c r="AC706" s="127" t="str">
        <f>IF(G$1=1,"",IF(Tab.o1[[#This Row],[a1]]=1,Tab.o1[[#This Row],[Wr]]^2,""))</f>
        <v/>
      </c>
      <c r="AD706" s="118" t="str">
        <f>IF(Tab.o1[[#This Row],[a1]]=1,IF(AE$3=0,"",Tab.o1[[#This Row],[Wr2]]/SUM(Tab.o1[Wr2])),"")</f>
        <v/>
      </c>
      <c r="AE706" s="128" t="str">
        <f>IF(Tab.o1[[#This Row],[a1]]=1,[1]!T.in.A[[#This Row],[oo10]],"")</f>
        <v/>
      </c>
      <c r="AF706" s="118" t="str">
        <f>IF(Tab.o1[[#This Row],[a1]]=1,ABS(Tab.o1[[#This Row],[DIF_Target.]]*Tab.o1[[#This Row],[PDF2]]*Tab.o1[[#This Row],[IN]]),"")</f>
        <v/>
      </c>
      <c r="AG706" s="129" t="str">
        <f>IF(Tab.o1[[#This Row],[a1]]=1,Tab.o1[[#This Row],[rW]]^2,"")</f>
        <v/>
      </c>
      <c r="AH706" s="130" t="str">
        <f>IF(Tab.o1[[#This Row],[a1]]=1,IF(AH$3=0,Tab.o1[[#This Row],[rW2]],0.01+0.94*Tab.o1[[#This Row],[rW2]]/SUM(Tab.o1[rW2])),"")</f>
        <v/>
      </c>
      <c r="AI706" s="128" t="str">
        <f>IF(Tab.o1[[#This Row],[a1]]=1,1/Tab.o1[[#This Row],[PDF]],"")</f>
        <v/>
      </c>
      <c r="AJ706" s="131" t="str">
        <f>IF(Tab.o1[[#This Row],[a1]]=1,[1]!T_AA[[#This Row],[IN'']]*[1]!T_AA[[#This Row],[Qde'']],"")</f>
        <v/>
      </c>
      <c r="AK706" s="132" t="str">
        <f>IF(Tab.o1[[#This Row],[a1]]=1,IF(AK$1=1,Tab.o1[[#This Row],[MED]]+Tab.o1[[#This Row],[MOD]]-Tab.o1[[#This Row],[MED]],""),"")</f>
        <v/>
      </c>
      <c r="AL706" s="133" t="str">
        <f>IF(Tab.o1[[#This Row],[a1]]=1,[1]!T.in.A[[#This Row],[oo16]],"")</f>
        <v/>
      </c>
      <c r="AM706" s="133" t="str">
        <f>IF(Tab.o1[[#This Row],[a1]]=1,IF(AM$3=1,[1]!T.in.A[[#This Row],[Σo16]],""),"")</f>
        <v/>
      </c>
      <c r="AN706" s="126" t="str">
        <f>IF(Tab.o1[[#This Row],[a1]]=1,[1]!T.in.A[[#This Row],[Σp5]],"")</f>
        <v/>
      </c>
      <c r="AO706" s="126" t="str">
        <f>IF(Tab.o1[[#This Row],[a1]]=1,IF(AO$3=1,[1]!T.in.A[[#This Row],[Σp5]],""),"")</f>
        <v/>
      </c>
      <c r="AP706" s="110" t="str">
        <f>IF(Tab.o1[[#This Row],[a1]]=1,IF(ISNUMBER(Tab.o1[[#This Row],[i.]]),NORMDIST(Tab.o1[[#This Row],[Za]],0,1,FALSE)*Tab.o1[[#This Row],[i.]],0),"")</f>
        <v/>
      </c>
      <c r="AQ706" s="125" t="str">
        <f>IF(Tab.o1[[#This Row],[a1]]=1,ABS(Tab.o1[[#This Row],[MOD]]-AVERAGE(Tab.o1[MOD])),"")</f>
        <v/>
      </c>
      <c r="AR706" s="134" t="str">
        <f>IF(Tab.o1[[#This Row],[a1]]=1,Tab.o1[[#This Row],[OBS]]/SUM(Tab.o1[OBS]),"")</f>
        <v/>
      </c>
      <c r="AS706" s="135" t="str">
        <f>IF(ISNUMBER(Tab.o1[[#This Row],[a1]]),ROW()-4,"")</f>
        <v/>
      </c>
      <c r="AT706" s="136" t="str">
        <f>Tab.o1[[#This Row],[MOD]]</f>
        <v/>
      </c>
      <c r="AU706" s="137" t="str">
        <f t="shared" si="41"/>
        <v/>
      </c>
      <c r="AV706" s="138" t="str">
        <f t="shared" si="42"/>
        <v/>
      </c>
      <c r="AW706" s="138" t="str">
        <f t="shared" si="43"/>
        <v/>
      </c>
      <c r="AX706" s="139" t="str">
        <f>[1]!T.in.A[[#This Row],[ID_T_manu]]</f>
        <v/>
      </c>
      <c r="AY706" s="140" t="str">
        <f>IF(ISNUMBER(Tab.o1[[#This Row],[a1]]),IF(AND(Tab.o1[[#This Row],[a1]]=1,Tab.o1[[#This Row],[b1]]&lt;=AY$4),#REF!,AY705),"")</f>
        <v/>
      </c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</row>
    <row r="707" spans="1:79" s="143" customFormat="1" ht="15.75" hidden="1">
      <c r="A707" s="109">
        <v>9.0000000000000002E-6</v>
      </c>
      <c r="B707" s="110">
        <f t="shared" si="40"/>
        <v>707</v>
      </c>
      <c r="C707" s="111" t="str">
        <f>IF(C$1=[1]!T.in.A[[#This Row],[oo2]],1,"")</f>
        <v/>
      </c>
      <c r="D707" s="112" t="str">
        <f>IF(Tab.o1[[#This Row],[a1]]=1,IF(SUM(C707:C708)=0,0,IF(SUM(C706:C707)=1,1,IF(SUM(C706:C708)&gt;1,D706+1,0))),"")</f>
        <v/>
      </c>
      <c r="E707" s="113" t="str">
        <f>IF(Tab.o1[[#This Row],[a1]]=1,[1]!T.in.A[[#This Row],[oo1]],"")</f>
        <v/>
      </c>
      <c r="F707" s="113" t="str">
        <f>IF(Tab.o1[[#This Row],[a1]]=1,[1]!T.in.A[[#This Row],[pp1]],"")</f>
        <v/>
      </c>
      <c r="G707" s="114" t="str">
        <f>IF(Tab.o1[[#This Row],[a1]]=1,G$2+IF(G$1=1,0,Tab.o1[[#This Row],[.x1]])+[1]!T.in.A[[#This Row],[oo3]],"")</f>
        <v/>
      </c>
      <c r="H707" s="115" t="str">
        <f>IF(Tab.o1[[#This Row],[a1]]=1,IF(H$2=0,0,IF(G$1=1,0,Tab.o1[[#This Row],[.x1]])+[1]!T.in.A[[#This Row],[oo4]]),"")</f>
        <v/>
      </c>
      <c r="I707" s="116" t="str">
        <f>IF(Tab.o1[[#This Row],[a1]]=1,IF(J$2=0,Tab.o1[[#This Row],[MED]],Tab.o1[[#This Row],[MOD]]),"")</f>
        <v/>
      </c>
      <c r="J707" s="116" t="str">
        <f>IF(Tab.o1[[#This Row],[a1]]=1,((Tab.o1[[#This Row],[DIF_Target.]]-AVERAGE(Tab.o1[DIF_Target.]))/_xlfn.STDEV.P(Tab.o1[DIF_Target.])),"")</f>
        <v/>
      </c>
      <c r="K707" s="117" t="str">
        <f>IF(Tab.o1[[#This Row],[a1]]=1,IF(J$2=0,Tab.o1[[#This Row],[MOD]]-Tab.o1[[#This Row],[B]],IF(J$2=1,0,-Tab.o1[[#This Row],[MED]])+Tab.o1[[#This Row],[B]]),"")</f>
        <v/>
      </c>
      <c r="L707" s="117" t="str">
        <f ca="1">IF(Tab.o1[[#This Row],[DIF_Target]]=0,IF(L$2=0,Tab.o1[[#This Row],[DIF_Target]],AVERAGE(OFFSET(Tab.o1[[#This Row],[DIF_Target]],1,0,L$3,1)))/3,Tab.o1[[#This Row],[DIF_Target]])</f>
        <v/>
      </c>
      <c r="M707" s="118" t="str">
        <f>IF(Tab.o1[[#This Row],[a1]]=1,NORMSDIST(Tab.o1[[#This Row],[Za]]),"")</f>
        <v/>
      </c>
      <c r="N707" s="119" t="str">
        <f>IF(Tab.o1[[#This Row],[a1]]=1,((Tab.o1[[#This Row],[MedMod]]-AVERAGE(Tab.o1[MedMod]))/_xlfn.STDEV.P(Tab.o1[MedMod])*H$1205)+G$1205,"")</f>
        <v/>
      </c>
      <c r="O707" s="141" t="str">
        <f>IF(Tab.o1[[#This Row],[a1]]=1,Tab.o1[[#This Row],[Zb]]*_xlfn.STDEV.P(Tab.o1[MedMod])+AVERAGE(Tab.o1[MedMod]),"")</f>
        <v/>
      </c>
      <c r="P707" s="117" t="str">
        <f ca="1">IF(Tab.o1[[#This Row],[B]]=0,AVERAGE(OFFSET(Tab.o1[[#This Row],[B]],1,0,L$3,1)),Tab.o1[[#This Row],[B]])</f>
        <v/>
      </c>
      <c r="Q707" s="121" t="str">
        <f>IF(Tab.o1[[#This Row],[a1]]=1,NORMSDIST(Tab.o1[[#This Row],[Zb]]),"")</f>
        <v/>
      </c>
      <c r="R707" s="122" t="str">
        <f>IF(Tab.o1[[#This Row],[a1]]=1,((Tab.o1[[#This Row],[MedMod]]-AVERAGE(Tab.o1[MedMod]))/_xlfn.STDEV.P(Tab.o1[MedMod])*H$1203)+G$1203,"")</f>
        <v/>
      </c>
      <c r="S707" s="122" t="str">
        <f>IF(Tab.o1[[#This Row],[a1]]=1,((Tab.o1[[#This Row],[MedMod]]-AVERAGE(Tab.o1[MedMod]))/_xlfn.STDEV.P(Tab.o1[MedMod])*H$1204)+G$1204,"")</f>
        <v/>
      </c>
      <c r="T707" s="123" t="str">
        <f>IF(Tab.o1[[#This Row],[a1]]=1,Tab.o1[[#This Row],[Z-]]*_xlfn.STDEV.P(Tab.o1[B])+AVERAGE(Tab.o1[B]),"")</f>
        <v/>
      </c>
      <c r="U707" s="123" t="str">
        <f>IF(Tab.o1[[#This Row],[a1]]=1,Tab.o1[[#This Row],[z+]]*_xlfn.STDEV.P(Tab.o1[B])+AVERAGE(Tab.o1[B]),"")</f>
        <v/>
      </c>
      <c r="V707" s="124" t="str">
        <f>IF(Tab.o1[[#This Row],[a1]]=1,ABS((ABS(Tab.o1[[#This Row],[Red]]-Tab.o1[[#This Row],[Blue]]))),"")</f>
        <v/>
      </c>
      <c r="W707" s="125" t="str">
        <f>IF(Tab.o1[[#This Row],[a1]]=1,IF(W$3=0,1,Tab.o1[[#This Row],[Amp.]]*1/_xlfn.MINIFS(Tab.o1[Amp.],Tab.o1[Amp.],"&lt;&gt;0")),"")</f>
        <v/>
      </c>
      <c r="X707" s="126" t="str">
        <f>IF(Tab.o1[[#This Row],[a1]]=1,IF(ISNUMBER(Tab.o1[[#This Row],[i.]]),NORMDIST(Tab.o1[[#This Row],[Za]],0,1,FALSE)*Tab.o1[[#This Row],[i.]],AP$3),"")</f>
        <v/>
      </c>
      <c r="Y707" s="126" t="str">
        <f>IF(Tab.o1[[#This Row],[a1]]=1,0.01+0.94*Tab.o1[[#This Row],[PDF]]/MAX(Tab.o1[PDF]),"")</f>
        <v/>
      </c>
      <c r="Z707" s="126" t="str">
        <f>IF(Tab.o1[[#This Row],[a1]]=1,0.01+0.94*Tab.o1[[#This Row],[W1_PDF]]/MAX(Tab.o1[W1_PDF]),"")</f>
        <v/>
      </c>
      <c r="AA707" s="118" t="str">
        <f>IF(Tab.o1[[#This Row],[a1]]=1,ABS([1]!T.in.A[[#This Row],[oo6]]),"")</f>
        <v/>
      </c>
      <c r="AB707" s="127" t="str">
        <f>IF(Tab.o1[[#This Row],[a1]]=1,IF(AE$3=0,"",IF(AB$3=0,ABS([1]!T.in.A[[#This Row],[oo9]]),ABS(Tab.o1[[#This Row],[DIF_Target.]]*Tab.o1[[#This Row],[W1_PDF]]))),"")</f>
        <v/>
      </c>
      <c r="AC707" s="127" t="str">
        <f>IF(G$1=1,"",IF(Tab.o1[[#This Row],[a1]]=1,Tab.o1[[#This Row],[Wr]]^2,""))</f>
        <v/>
      </c>
      <c r="AD707" s="118" t="str">
        <f>IF(Tab.o1[[#This Row],[a1]]=1,IF(AE$3=0,"",Tab.o1[[#This Row],[Wr2]]/SUM(Tab.o1[Wr2])),"")</f>
        <v/>
      </c>
      <c r="AE707" s="128" t="str">
        <f>IF(Tab.o1[[#This Row],[a1]]=1,[1]!T.in.A[[#This Row],[oo10]],"")</f>
        <v/>
      </c>
      <c r="AF707" s="118" t="str">
        <f>IF(Tab.o1[[#This Row],[a1]]=1,ABS(Tab.o1[[#This Row],[DIF_Target.]]*Tab.o1[[#This Row],[PDF2]]*Tab.o1[[#This Row],[IN]]),"")</f>
        <v/>
      </c>
      <c r="AG707" s="129" t="str">
        <f>IF(Tab.o1[[#This Row],[a1]]=1,Tab.o1[[#This Row],[rW]]^2,"")</f>
        <v/>
      </c>
      <c r="AH707" s="130" t="str">
        <f>IF(Tab.o1[[#This Row],[a1]]=1,IF(AH$3=0,Tab.o1[[#This Row],[rW2]],0.01+0.94*Tab.o1[[#This Row],[rW2]]/SUM(Tab.o1[rW2])),"")</f>
        <v/>
      </c>
      <c r="AI707" s="128" t="str">
        <f>IF(Tab.o1[[#This Row],[a1]]=1,1/Tab.o1[[#This Row],[PDF]],"")</f>
        <v/>
      </c>
      <c r="AJ707" s="131" t="str">
        <f>IF(Tab.o1[[#This Row],[a1]]=1,[1]!T_AA[[#This Row],[IN'']]*[1]!T_AA[[#This Row],[Qde'']],"")</f>
        <v/>
      </c>
      <c r="AK707" s="132" t="str">
        <f>IF(Tab.o1[[#This Row],[a1]]=1,IF(AK$1=1,Tab.o1[[#This Row],[MED]]+Tab.o1[[#This Row],[MOD]]-Tab.o1[[#This Row],[MED]],""),"")</f>
        <v/>
      </c>
      <c r="AL707" s="133" t="str">
        <f>IF(Tab.o1[[#This Row],[a1]]=1,[1]!T.in.A[[#This Row],[oo16]],"")</f>
        <v/>
      </c>
      <c r="AM707" s="133" t="str">
        <f>IF(Tab.o1[[#This Row],[a1]]=1,IF(AM$3=1,[1]!T.in.A[[#This Row],[Σo16]],""),"")</f>
        <v/>
      </c>
      <c r="AN707" s="126" t="str">
        <f>IF(Tab.o1[[#This Row],[a1]]=1,[1]!T.in.A[[#This Row],[Σp5]],"")</f>
        <v/>
      </c>
      <c r="AO707" s="126" t="str">
        <f>IF(Tab.o1[[#This Row],[a1]]=1,IF(AO$3=1,[1]!T.in.A[[#This Row],[Σp5]],""),"")</f>
        <v/>
      </c>
      <c r="AP707" s="110" t="str">
        <f>IF(Tab.o1[[#This Row],[a1]]=1,IF(ISNUMBER(Tab.o1[[#This Row],[i.]]),NORMDIST(Tab.o1[[#This Row],[Za]],0,1,FALSE)*Tab.o1[[#This Row],[i.]],0),"")</f>
        <v/>
      </c>
      <c r="AQ707" s="125" t="str">
        <f>IF(Tab.o1[[#This Row],[a1]]=1,ABS(Tab.o1[[#This Row],[MOD]]-AVERAGE(Tab.o1[MOD])),"")</f>
        <v/>
      </c>
      <c r="AR707" s="134" t="str">
        <f>IF(Tab.o1[[#This Row],[a1]]=1,Tab.o1[[#This Row],[OBS]]/SUM(Tab.o1[OBS]),"")</f>
        <v/>
      </c>
      <c r="AS707" s="135" t="str">
        <f>IF(ISNUMBER(Tab.o1[[#This Row],[a1]]),ROW()-4,"")</f>
        <v/>
      </c>
      <c r="AT707" s="136" t="str">
        <f>Tab.o1[[#This Row],[MOD]]</f>
        <v/>
      </c>
      <c r="AU707" s="137" t="str">
        <f t="shared" si="41"/>
        <v/>
      </c>
      <c r="AV707" s="138" t="str">
        <f t="shared" si="42"/>
        <v/>
      </c>
      <c r="AW707" s="138" t="str">
        <f t="shared" si="43"/>
        <v/>
      </c>
      <c r="AX707" s="139" t="str">
        <f>[1]!T.in.A[[#This Row],[ID_T_manu]]</f>
        <v/>
      </c>
      <c r="AY707" s="140" t="str">
        <f>IF(ISNUMBER(Tab.o1[[#This Row],[a1]]),IF(AND(Tab.o1[[#This Row],[a1]]=1,Tab.o1[[#This Row],[b1]]&lt;=AY$4),#REF!,AY706),"")</f>
        <v/>
      </c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</row>
    <row r="708" spans="1:79" s="143" customFormat="1" ht="15.75" hidden="1">
      <c r="A708" s="109">
        <v>2.9999999999999997E-6</v>
      </c>
      <c r="B708" s="110">
        <f t="shared" si="40"/>
        <v>708</v>
      </c>
      <c r="C708" s="111" t="str">
        <f>IF(C$1=[1]!T.in.A[[#This Row],[oo2]],1,"")</f>
        <v/>
      </c>
      <c r="D708" s="112" t="str">
        <f>IF(Tab.o1[[#This Row],[a1]]=1,IF(SUM(C708:C709)=0,0,IF(SUM(C707:C708)=1,1,IF(SUM(C707:C709)&gt;1,D707+1,0))),"")</f>
        <v/>
      </c>
      <c r="E708" s="113" t="str">
        <f>IF(Tab.o1[[#This Row],[a1]]=1,[1]!T.in.A[[#This Row],[oo1]],"")</f>
        <v/>
      </c>
      <c r="F708" s="113" t="str">
        <f>IF(Tab.o1[[#This Row],[a1]]=1,[1]!T.in.A[[#This Row],[pp1]],"")</f>
        <v/>
      </c>
      <c r="G708" s="114" t="str">
        <f>IF(Tab.o1[[#This Row],[a1]]=1,G$2+IF(G$1=1,0,Tab.o1[[#This Row],[.x1]])+[1]!T.in.A[[#This Row],[oo3]],"")</f>
        <v/>
      </c>
      <c r="H708" s="115" t="str">
        <f>IF(Tab.o1[[#This Row],[a1]]=1,IF(H$2=0,0,IF(G$1=1,0,Tab.o1[[#This Row],[.x1]])+[1]!T.in.A[[#This Row],[oo4]]),"")</f>
        <v/>
      </c>
      <c r="I708" s="116" t="str">
        <f>IF(Tab.o1[[#This Row],[a1]]=1,IF(J$2=0,Tab.o1[[#This Row],[MED]],Tab.o1[[#This Row],[MOD]]),"")</f>
        <v/>
      </c>
      <c r="J708" s="116" t="str">
        <f>IF(Tab.o1[[#This Row],[a1]]=1,((Tab.o1[[#This Row],[DIF_Target.]]-AVERAGE(Tab.o1[DIF_Target.]))/_xlfn.STDEV.P(Tab.o1[DIF_Target.])),"")</f>
        <v/>
      </c>
      <c r="K708" s="117" t="str">
        <f>IF(Tab.o1[[#This Row],[a1]]=1,IF(J$2=0,Tab.o1[[#This Row],[MOD]]-Tab.o1[[#This Row],[B]],IF(J$2=1,0,-Tab.o1[[#This Row],[MED]])+Tab.o1[[#This Row],[B]]),"")</f>
        <v/>
      </c>
      <c r="L708" s="117" t="str">
        <f ca="1">IF(Tab.o1[[#This Row],[DIF_Target]]=0,IF(L$2=0,Tab.o1[[#This Row],[DIF_Target]],AVERAGE(OFFSET(Tab.o1[[#This Row],[DIF_Target]],1,0,L$3,1)))/3,Tab.o1[[#This Row],[DIF_Target]])</f>
        <v/>
      </c>
      <c r="M708" s="118" t="str">
        <f>IF(Tab.o1[[#This Row],[a1]]=1,NORMSDIST(Tab.o1[[#This Row],[Za]]),"")</f>
        <v/>
      </c>
      <c r="N708" s="119" t="str">
        <f>IF(Tab.o1[[#This Row],[a1]]=1,((Tab.o1[[#This Row],[MedMod]]-AVERAGE(Tab.o1[MedMod]))/_xlfn.STDEV.P(Tab.o1[MedMod])*H$1205)+G$1205,"")</f>
        <v/>
      </c>
      <c r="O708" s="141" t="str">
        <f>IF(Tab.o1[[#This Row],[a1]]=1,Tab.o1[[#This Row],[Zb]]*_xlfn.STDEV.P(Tab.o1[MedMod])+AVERAGE(Tab.o1[MedMod]),"")</f>
        <v/>
      </c>
      <c r="P708" s="117" t="str">
        <f ca="1">IF(Tab.o1[[#This Row],[B]]=0,AVERAGE(OFFSET(Tab.o1[[#This Row],[B]],1,0,L$3,1)),Tab.o1[[#This Row],[B]])</f>
        <v/>
      </c>
      <c r="Q708" s="121" t="str">
        <f>IF(Tab.o1[[#This Row],[a1]]=1,NORMSDIST(Tab.o1[[#This Row],[Zb]]),"")</f>
        <v/>
      </c>
      <c r="R708" s="122" t="str">
        <f>IF(Tab.o1[[#This Row],[a1]]=1,((Tab.o1[[#This Row],[MedMod]]-AVERAGE(Tab.o1[MedMod]))/_xlfn.STDEV.P(Tab.o1[MedMod])*H$1203)+G$1203,"")</f>
        <v/>
      </c>
      <c r="S708" s="122" t="str">
        <f>IF(Tab.o1[[#This Row],[a1]]=1,((Tab.o1[[#This Row],[MedMod]]-AVERAGE(Tab.o1[MedMod]))/_xlfn.STDEV.P(Tab.o1[MedMod])*H$1204)+G$1204,"")</f>
        <v/>
      </c>
      <c r="T708" s="123" t="str">
        <f>IF(Tab.o1[[#This Row],[a1]]=1,Tab.o1[[#This Row],[Z-]]*_xlfn.STDEV.P(Tab.o1[B])+AVERAGE(Tab.o1[B]),"")</f>
        <v/>
      </c>
      <c r="U708" s="123" t="str">
        <f>IF(Tab.o1[[#This Row],[a1]]=1,Tab.o1[[#This Row],[z+]]*_xlfn.STDEV.P(Tab.o1[B])+AVERAGE(Tab.o1[B]),"")</f>
        <v/>
      </c>
      <c r="V708" s="124" t="str">
        <f>IF(Tab.o1[[#This Row],[a1]]=1,ABS((ABS(Tab.o1[[#This Row],[Red]]-Tab.o1[[#This Row],[Blue]]))),"")</f>
        <v/>
      </c>
      <c r="W708" s="125" t="str">
        <f>IF(Tab.o1[[#This Row],[a1]]=1,IF(W$3=0,1,Tab.o1[[#This Row],[Amp.]]*1/_xlfn.MINIFS(Tab.o1[Amp.],Tab.o1[Amp.],"&lt;&gt;0")),"")</f>
        <v/>
      </c>
      <c r="X708" s="126" t="str">
        <f>IF(Tab.o1[[#This Row],[a1]]=1,IF(ISNUMBER(Tab.o1[[#This Row],[i.]]),NORMDIST(Tab.o1[[#This Row],[Za]],0,1,FALSE)*Tab.o1[[#This Row],[i.]],AP$3),"")</f>
        <v/>
      </c>
      <c r="Y708" s="126" t="str">
        <f>IF(Tab.o1[[#This Row],[a1]]=1,0.01+0.94*Tab.o1[[#This Row],[PDF]]/MAX(Tab.o1[PDF]),"")</f>
        <v/>
      </c>
      <c r="Z708" s="126" t="str">
        <f>IF(Tab.o1[[#This Row],[a1]]=1,0.01+0.94*Tab.o1[[#This Row],[W1_PDF]]/MAX(Tab.o1[W1_PDF]),"")</f>
        <v/>
      </c>
      <c r="AA708" s="118" t="str">
        <f>IF(Tab.o1[[#This Row],[a1]]=1,ABS([1]!T.in.A[[#This Row],[oo6]]),"")</f>
        <v/>
      </c>
      <c r="AB708" s="127" t="str">
        <f>IF(Tab.o1[[#This Row],[a1]]=1,IF(AE$3=0,"",IF(AB$3=0,ABS([1]!T.in.A[[#This Row],[oo9]]),ABS(Tab.o1[[#This Row],[DIF_Target.]]*Tab.o1[[#This Row],[W1_PDF]]))),"")</f>
        <v/>
      </c>
      <c r="AC708" s="127" t="str">
        <f>IF(G$1=1,"",IF(Tab.o1[[#This Row],[a1]]=1,Tab.o1[[#This Row],[Wr]]^2,""))</f>
        <v/>
      </c>
      <c r="AD708" s="118" t="str">
        <f>IF(Tab.o1[[#This Row],[a1]]=1,IF(AE$3=0,"",Tab.o1[[#This Row],[Wr2]]/SUM(Tab.o1[Wr2])),"")</f>
        <v/>
      </c>
      <c r="AE708" s="128" t="str">
        <f>IF(Tab.o1[[#This Row],[a1]]=1,[1]!T.in.A[[#This Row],[oo10]],"")</f>
        <v/>
      </c>
      <c r="AF708" s="118" t="str">
        <f>IF(Tab.o1[[#This Row],[a1]]=1,ABS(Tab.o1[[#This Row],[DIF_Target.]]*Tab.o1[[#This Row],[PDF2]]*Tab.o1[[#This Row],[IN]]),"")</f>
        <v/>
      </c>
      <c r="AG708" s="129" t="str">
        <f>IF(Tab.o1[[#This Row],[a1]]=1,Tab.o1[[#This Row],[rW]]^2,"")</f>
        <v/>
      </c>
      <c r="AH708" s="130" t="str">
        <f>IF(Tab.o1[[#This Row],[a1]]=1,IF(AH$3=0,Tab.o1[[#This Row],[rW2]],0.01+0.94*Tab.o1[[#This Row],[rW2]]/SUM(Tab.o1[rW2])),"")</f>
        <v/>
      </c>
      <c r="AI708" s="128" t="str">
        <f>IF(Tab.o1[[#This Row],[a1]]=1,1/Tab.o1[[#This Row],[PDF]],"")</f>
        <v/>
      </c>
      <c r="AJ708" s="131" t="str">
        <f>IF(Tab.o1[[#This Row],[a1]]=1,[1]!T_AA[[#This Row],[IN'']]*[1]!T_AA[[#This Row],[Qde'']],"")</f>
        <v/>
      </c>
      <c r="AK708" s="132" t="str">
        <f>IF(Tab.o1[[#This Row],[a1]]=1,IF(AK$1=1,Tab.o1[[#This Row],[MED]]+Tab.o1[[#This Row],[MOD]]-Tab.o1[[#This Row],[MED]],""),"")</f>
        <v/>
      </c>
      <c r="AL708" s="133" t="str">
        <f>IF(Tab.o1[[#This Row],[a1]]=1,[1]!T.in.A[[#This Row],[oo16]],"")</f>
        <v/>
      </c>
      <c r="AM708" s="133" t="str">
        <f>IF(Tab.o1[[#This Row],[a1]]=1,IF(AM$3=1,[1]!T.in.A[[#This Row],[Σo16]],""),"")</f>
        <v/>
      </c>
      <c r="AN708" s="126" t="str">
        <f>IF(Tab.o1[[#This Row],[a1]]=1,[1]!T.in.A[[#This Row],[Σp5]],"")</f>
        <v/>
      </c>
      <c r="AO708" s="126" t="str">
        <f>IF(Tab.o1[[#This Row],[a1]]=1,IF(AO$3=1,[1]!T.in.A[[#This Row],[Σp5]],""),"")</f>
        <v/>
      </c>
      <c r="AP708" s="110" t="str">
        <f>IF(Tab.o1[[#This Row],[a1]]=1,IF(ISNUMBER(Tab.o1[[#This Row],[i.]]),NORMDIST(Tab.o1[[#This Row],[Za]],0,1,FALSE)*Tab.o1[[#This Row],[i.]],0),"")</f>
        <v/>
      </c>
      <c r="AQ708" s="125" t="str">
        <f>IF(Tab.o1[[#This Row],[a1]]=1,ABS(Tab.o1[[#This Row],[MOD]]-AVERAGE(Tab.o1[MOD])),"")</f>
        <v/>
      </c>
      <c r="AR708" s="134" t="str">
        <f>IF(Tab.o1[[#This Row],[a1]]=1,Tab.o1[[#This Row],[OBS]]/SUM(Tab.o1[OBS]),"")</f>
        <v/>
      </c>
      <c r="AS708" s="135" t="str">
        <f>IF(ISNUMBER(Tab.o1[[#This Row],[a1]]),ROW()-4,"")</f>
        <v/>
      </c>
      <c r="AT708" s="136" t="str">
        <f>Tab.o1[[#This Row],[MOD]]</f>
        <v/>
      </c>
      <c r="AU708" s="137" t="str">
        <f t="shared" si="41"/>
        <v/>
      </c>
      <c r="AV708" s="138" t="str">
        <f t="shared" si="42"/>
        <v/>
      </c>
      <c r="AW708" s="138" t="str">
        <f t="shared" si="43"/>
        <v/>
      </c>
      <c r="AX708" s="139" t="str">
        <f>[1]!T.in.A[[#This Row],[ID_T_manu]]</f>
        <v/>
      </c>
      <c r="AY708" s="140" t="str">
        <f>IF(ISNUMBER(Tab.o1[[#This Row],[a1]]),IF(AND(Tab.o1[[#This Row],[a1]]=1,Tab.o1[[#This Row],[b1]]&lt;=AY$4),#REF!,AY707),"")</f>
        <v/>
      </c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6"/>
      <c r="BO708" s="26"/>
      <c r="BP708" s="26"/>
      <c r="BQ708" s="26"/>
      <c r="BR708" s="26"/>
      <c r="BS708" s="26"/>
      <c r="BT708" s="26"/>
      <c r="BU708" s="26"/>
      <c r="BV708" s="26"/>
      <c r="BW708" s="26"/>
      <c r="BX708" s="26"/>
      <c r="BY708" s="26"/>
      <c r="BZ708" s="26"/>
      <c r="CA708" s="26"/>
    </row>
    <row r="709" spans="1:79" s="143" customFormat="1" ht="15.75" hidden="1">
      <c r="A709" s="109">
        <v>8.0000000000000013E-6</v>
      </c>
      <c r="B709" s="110">
        <f t="shared" si="40"/>
        <v>709</v>
      </c>
      <c r="C709" s="111" t="str">
        <f>IF(C$1=[1]!T.in.A[[#This Row],[oo2]],1,"")</f>
        <v/>
      </c>
      <c r="D709" s="112" t="str">
        <f>IF(Tab.o1[[#This Row],[a1]]=1,IF(SUM(C709:C710)=0,0,IF(SUM(C708:C709)=1,1,IF(SUM(C708:C710)&gt;1,D708+1,0))),"")</f>
        <v/>
      </c>
      <c r="E709" s="113" t="str">
        <f>IF(Tab.o1[[#This Row],[a1]]=1,[1]!T.in.A[[#This Row],[oo1]],"")</f>
        <v/>
      </c>
      <c r="F709" s="113" t="str">
        <f>IF(Tab.o1[[#This Row],[a1]]=1,[1]!T.in.A[[#This Row],[pp1]],"")</f>
        <v/>
      </c>
      <c r="G709" s="114" t="str">
        <f>IF(Tab.o1[[#This Row],[a1]]=1,G$2+IF(G$1=1,0,Tab.o1[[#This Row],[.x1]])+[1]!T.in.A[[#This Row],[oo3]],"")</f>
        <v/>
      </c>
      <c r="H709" s="115" t="str">
        <f>IF(Tab.o1[[#This Row],[a1]]=1,IF(H$2=0,0,IF(G$1=1,0,Tab.o1[[#This Row],[.x1]])+[1]!T.in.A[[#This Row],[oo4]]),"")</f>
        <v/>
      </c>
      <c r="I709" s="116" t="str">
        <f>IF(Tab.o1[[#This Row],[a1]]=1,IF(J$2=0,Tab.o1[[#This Row],[MED]],Tab.o1[[#This Row],[MOD]]),"")</f>
        <v/>
      </c>
      <c r="J709" s="116" t="str">
        <f>IF(Tab.o1[[#This Row],[a1]]=1,((Tab.o1[[#This Row],[DIF_Target.]]-AVERAGE(Tab.o1[DIF_Target.]))/_xlfn.STDEV.P(Tab.o1[DIF_Target.])),"")</f>
        <v/>
      </c>
      <c r="K709" s="117" t="str">
        <f>IF(Tab.o1[[#This Row],[a1]]=1,IF(J$2=0,Tab.o1[[#This Row],[MOD]]-Tab.o1[[#This Row],[B]],IF(J$2=1,0,-Tab.o1[[#This Row],[MED]])+Tab.o1[[#This Row],[B]]),"")</f>
        <v/>
      </c>
      <c r="L709" s="117" t="str">
        <f ca="1">IF(Tab.o1[[#This Row],[DIF_Target]]=0,IF(L$2=0,Tab.o1[[#This Row],[DIF_Target]],AVERAGE(OFFSET(Tab.o1[[#This Row],[DIF_Target]],1,0,L$3,1)))/3,Tab.o1[[#This Row],[DIF_Target]])</f>
        <v/>
      </c>
      <c r="M709" s="118" t="str">
        <f>IF(Tab.o1[[#This Row],[a1]]=1,NORMSDIST(Tab.o1[[#This Row],[Za]]),"")</f>
        <v/>
      </c>
      <c r="N709" s="119" t="str">
        <f>IF(Tab.o1[[#This Row],[a1]]=1,((Tab.o1[[#This Row],[MedMod]]-AVERAGE(Tab.o1[MedMod]))/_xlfn.STDEV.P(Tab.o1[MedMod])*H$1205)+G$1205,"")</f>
        <v/>
      </c>
      <c r="O709" s="141" t="str">
        <f>IF(Tab.o1[[#This Row],[a1]]=1,Tab.o1[[#This Row],[Zb]]*_xlfn.STDEV.P(Tab.o1[MedMod])+AVERAGE(Tab.o1[MedMod]),"")</f>
        <v/>
      </c>
      <c r="P709" s="117" t="str">
        <f ca="1">IF(Tab.o1[[#This Row],[B]]=0,AVERAGE(OFFSET(Tab.o1[[#This Row],[B]],1,0,L$3,1)),Tab.o1[[#This Row],[B]])</f>
        <v/>
      </c>
      <c r="Q709" s="121" t="str">
        <f>IF(Tab.o1[[#This Row],[a1]]=1,NORMSDIST(Tab.o1[[#This Row],[Zb]]),"")</f>
        <v/>
      </c>
      <c r="R709" s="122" t="str">
        <f>IF(Tab.o1[[#This Row],[a1]]=1,((Tab.o1[[#This Row],[MedMod]]-AVERAGE(Tab.o1[MedMod]))/_xlfn.STDEV.P(Tab.o1[MedMod])*H$1203)+G$1203,"")</f>
        <v/>
      </c>
      <c r="S709" s="122" t="str">
        <f>IF(Tab.o1[[#This Row],[a1]]=1,((Tab.o1[[#This Row],[MedMod]]-AVERAGE(Tab.o1[MedMod]))/_xlfn.STDEV.P(Tab.o1[MedMod])*H$1204)+G$1204,"")</f>
        <v/>
      </c>
      <c r="T709" s="123" t="str">
        <f>IF(Tab.o1[[#This Row],[a1]]=1,Tab.o1[[#This Row],[Z-]]*_xlfn.STDEV.P(Tab.o1[B])+AVERAGE(Tab.o1[B]),"")</f>
        <v/>
      </c>
      <c r="U709" s="123" t="str">
        <f>IF(Tab.o1[[#This Row],[a1]]=1,Tab.o1[[#This Row],[z+]]*_xlfn.STDEV.P(Tab.o1[B])+AVERAGE(Tab.o1[B]),"")</f>
        <v/>
      </c>
      <c r="V709" s="124" t="str">
        <f>IF(Tab.o1[[#This Row],[a1]]=1,ABS((ABS(Tab.o1[[#This Row],[Red]]-Tab.o1[[#This Row],[Blue]]))),"")</f>
        <v/>
      </c>
      <c r="W709" s="125" t="str">
        <f>IF(Tab.o1[[#This Row],[a1]]=1,IF(W$3=0,1,Tab.o1[[#This Row],[Amp.]]*1/_xlfn.MINIFS(Tab.o1[Amp.],Tab.o1[Amp.],"&lt;&gt;0")),"")</f>
        <v/>
      </c>
      <c r="X709" s="126" t="str">
        <f>IF(Tab.o1[[#This Row],[a1]]=1,IF(ISNUMBER(Tab.o1[[#This Row],[i.]]),NORMDIST(Tab.o1[[#This Row],[Za]],0,1,FALSE)*Tab.o1[[#This Row],[i.]],AP$3),"")</f>
        <v/>
      </c>
      <c r="Y709" s="126" t="str">
        <f>IF(Tab.o1[[#This Row],[a1]]=1,0.01+0.94*Tab.o1[[#This Row],[PDF]]/MAX(Tab.o1[PDF]),"")</f>
        <v/>
      </c>
      <c r="Z709" s="126" t="str">
        <f>IF(Tab.o1[[#This Row],[a1]]=1,0.01+0.94*Tab.o1[[#This Row],[W1_PDF]]/MAX(Tab.o1[W1_PDF]),"")</f>
        <v/>
      </c>
      <c r="AA709" s="118" t="str">
        <f>IF(Tab.o1[[#This Row],[a1]]=1,ABS([1]!T.in.A[[#This Row],[oo6]]),"")</f>
        <v/>
      </c>
      <c r="AB709" s="127" t="str">
        <f>IF(Tab.o1[[#This Row],[a1]]=1,IF(AE$3=0,"",IF(AB$3=0,ABS([1]!T.in.A[[#This Row],[oo9]]),ABS(Tab.o1[[#This Row],[DIF_Target.]]*Tab.o1[[#This Row],[W1_PDF]]))),"")</f>
        <v/>
      </c>
      <c r="AC709" s="127" t="str">
        <f>IF(G$1=1,"",IF(Tab.o1[[#This Row],[a1]]=1,Tab.o1[[#This Row],[Wr]]^2,""))</f>
        <v/>
      </c>
      <c r="AD709" s="118" t="str">
        <f>IF(Tab.o1[[#This Row],[a1]]=1,IF(AE$3=0,"",Tab.o1[[#This Row],[Wr2]]/SUM(Tab.o1[Wr2])),"")</f>
        <v/>
      </c>
      <c r="AE709" s="128" t="str">
        <f>IF(Tab.o1[[#This Row],[a1]]=1,[1]!T.in.A[[#This Row],[oo10]],"")</f>
        <v/>
      </c>
      <c r="AF709" s="118" t="str">
        <f>IF(Tab.o1[[#This Row],[a1]]=1,ABS(Tab.o1[[#This Row],[DIF_Target.]]*Tab.o1[[#This Row],[PDF2]]*Tab.o1[[#This Row],[IN]]),"")</f>
        <v/>
      </c>
      <c r="AG709" s="129" t="str">
        <f>IF(Tab.o1[[#This Row],[a1]]=1,Tab.o1[[#This Row],[rW]]^2,"")</f>
        <v/>
      </c>
      <c r="AH709" s="130" t="str">
        <f>IF(Tab.o1[[#This Row],[a1]]=1,IF(AH$3=0,Tab.o1[[#This Row],[rW2]],0.01+0.94*Tab.o1[[#This Row],[rW2]]/SUM(Tab.o1[rW2])),"")</f>
        <v/>
      </c>
      <c r="AI709" s="128" t="str">
        <f>IF(Tab.o1[[#This Row],[a1]]=1,1/Tab.o1[[#This Row],[PDF]],"")</f>
        <v/>
      </c>
      <c r="AJ709" s="131" t="str">
        <f>IF(Tab.o1[[#This Row],[a1]]=1,[1]!T_AA[[#This Row],[IN'']]*[1]!T_AA[[#This Row],[Qde'']],"")</f>
        <v/>
      </c>
      <c r="AK709" s="132" t="str">
        <f>IF(Tab.o1[[#This Row],[a1]]=1,IF(AK$1=1,Tab.o1[[#This Row],[MED]]+Tab.o1[[#This Row],[MOD]]-Tab.o1[[#This Row],[MED]],""),"")</f>
        <v/>
      </c>
      <c r="AL709" s="133" t="str">
        <f>IF(Tab.o1[[#This Row],[a1]]=1,[1]!T.in.A[[#This Row],[oo16]],"")</f>
        <v/>
      </c>
      <c r="AM709" s="133" t="str">
        <f>IF(Tab.o1[[#This Row],[a1]]=1,IF(AM$3=1,[1]!T.in.A[[#This Row],[Σo16]],""),"")</f>
        <v/>
      </c>
      <c r="AN709" s="126" t="str">
        <f>IF(Tab.o1[[#This Row],[a1]]=1,[1]!T.in.A[[#This Row],[Σp5]],"")</f>
        <v/>
      </c>
      <c r="AO709" s="126" t="str">
        <f>IF(Tab.o1[[#This Row],[a1]]=1,IF(AO$3=1,[1]!T.in.A[[#This Row],[Σp5]],""),"")</f>
        <v/>
      </c>
      <c r="AP709" s="110" t="str">
        <f>IF(Tab.o1[[#This Row],[a1]]=1,IF(ISNUMBER(Tab.o1[[#This Row],[i.]]),NORMDIST(Tab.o1[[#This Row],[Za]],0,1,FALSE)*Tab.o1[[#This Row],[i.]],0),"")</f>
        <v/>
      </c>
      <c r="AQ709" s="125" t="str">
        <f>IF(Tab.o1[[#This Row],[a1]]=1,ABS(Tab.o1[[#This Row],[MOD]]-AVERAGE(Tab.o1[MOD])),"")</f>
        <v/>
      </c>
      <c r="AR709" s="134" t="str">
        <f>IF(Tab.o1[[#This Row],[a1]]=1,Tab.o1[[#This Row],[OBS]]/SUM(Tab.o1[OBS]),"")</f>
        <v/>
      </c>
      <c r="AS709" s="135" t="str">
        <f>IF(ISNUMBER(Tab.o1[[#This Row],[a1]]),ROW()-4,"")</f>
        <v/>
      </c>
      <c r="AT709" s="136" t="str">
        <f>Tab.o1[[#This Row],[MOD]]</f>
        <v/>
      </c>
      <c r="AU709" s="137" t="str">
        <f t="shared" si="41"/>
        <v/>
      </c>
      <c r="AV709" s="138" t="str">
        <f t="shared" si="42"/>
        <v/>
      </c>
      <c r="AW709" s="138" t="str">
        <f t="shared" si="43"/>
        <v/>
      </c>
      <c r="AX709" s="139" t="str">
        <f>[1]!T.in.A[[#This Row],[ID_T_manu]]</f>
        <v/>
      </c>
      <c r="AY709" s="140" t="str">
        <f>IF(ISNUMBER(Tab.o1[[#This Row],[a1]]),IF(AND(Tab.o1[[#This Row],[a1]]=1,Tab.o1[[#This Row],[b1]]&lt;=AY$4),#REF!,AY708),"")</f>
        <v/>
      </c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</row>
    <row r="710" spans="1:79" s="143" customFormat="1" ht="15.75" hidden="1">
      <c r="A710" s="109">
        <v>-1.0000000000000002E-6</v>
      </c>
      <c r="B710" s="110">
        <f t="shared" ref="B710:B773" si="44">B709+1</f>
        <v>710</v>
      </c>
      <c r="C710" s="111" t="str">
        <f>IF(C$1=[1]!T.in.A[[#This Row],[oo2]],1,"")</f>
        <v/>
      </c>
      <c r="D710" s="112" t="str">
        <f>IF(Tab.o1[[#This Row],[a1]]=1,IF(SUM(C710:C711)=0,0,IF(SUM(C709:C710)=1,1,IF(SUM(C709:C711)&gt;1,D709+1,0))),"")</f>
        <v/>
      </c>
      <c r="E710" s="113" t="str">
        <f>IF(Tab.o1[[#This Row],[a1]]=1,[1]!T.in.A[[#This Row],[oo1]],"")</f>
        <v/>
      </c>
      <c r="F710" s="113" t="str">
        <f>IF(Tab.o1[[#This Row],[a1]]=1,[1]!T.in.A[[#This Row],[pp1]],"")</f>
        <v/>
      </c>
      <c r="G710" s="114" t="str">
        <f>IF(Tab.o1[[#This Row],[a1]]=1,G$2+IF(G$1=1,0,Tab.o1[[#This Row],[.x1]])+[1]!T.in.A[[#This Row],[oo3]],"")</f>
        <v/>
      </c>
      <c r="H710" s="115" t="str">
        <f>IF(Tab.o1[[#This Row],[a1]]=1,IF(H$2=0,0,IF(G$1=1,0,Tab.o1[[#This Row],[.x1]])+[1]!T.in.A[[#This Row],[oo4]]),"")</f>
        <v/>
      </c>
      <c r="I710" s="116" t="str">
        <f>IF(Tab.o1[[#This Row],[a1]]=1,IF(J$2=0,Tab.o1[[#This Row],[MED]],Tab.o1[[#This Row],[MOD]]),"")</f>
        <v/>
      </c>
      <c r="J710" s="116" t="str">
        <f>IF(Tab.o1[[#This Row],[a1]]=1,((Tab.o1[[#This Row],[DIF_Target.]]-AVERAGE(Tab.o1[DIF_Target.]))/_xlfn.STDEV.P(Tab.o1[DIF_Target.])),"")</f>
        <v/>
      </c>
      <c r="K710" s="117" t="str">
        <f>IF(Tab.o1[[#This Row],[a1]]=1,IF(J$2=0,Tab.o1[[#This Row],[MOD]]-Tab.o1[[#This Row],[B]],IF(J$2=1,0,-Tab.o1[[#This Row],[MED]])+Tab.o1[[#This Row],[B]]),"")</f>
        <v/>
      </c>
      <c r="L710" s="117" t="str">
        <f ca="1">IF(Tab.o1[[#This Row],[DIF_Target]]=0,IF(L$2=0,Tab.o1[[#This Row],[DIF_Target]],AVERAGE(OFFSET(Tab.o1[[#This Row],[DIF_Target]],1,0,L$3,1)))/3,Tab.o1[[#This Row],[DIF_Target]])</f>
        <v/>
      </c>
      <c r="M710" s="118" t="str">
        <f>IF(Tab.o1[[#This Row],[a1]]=1,NORMSDIST(Tab.o1[[#This Row],[Za]]),"")</f>
        <v/>
      </c>
      <c r="N710" s="119" t="str">
        <f>IF(Tab.o1[[#This Row],[a1]]=1,((Tab.o1[[#This Row],[MedMod]]-AVERAGE(Tab.o1[MedMod]))/_xlfn.STDEV.P(Tab.o1[MedMod])*H$1205)+G$1205,"")</f>
        <v/>
      </c>
      <c r="O710" s="141" t="str">
        <f>IF(Tab.o1[[#This Row],[a1]]=1,Tab.o1[[#This Row],[Zb]]*_xlfn.STDEV.P(Tab.o1[MedMod])+AVERAGE(Tab.o1[MedMod]),"")</f>
        <v/>
      </c>
      <c r="P710" s="117" t="str">
        <f ca="1">IF(Tab.o1[[#This Row],[B]]=0,AVERAGE(OFFSET(Tab.o1[[#This Row],[B]],1,0,L$3,1)),Tab.o1[[#This Row],[B]])</f>
        <v/>
      </c>
      <c r="Q710" s="121" t="str">
        <f>IF(Tab.o1[[#This Row],[a1]]=1,NORMSDIST(Tab.o1[[#This Row],[Zb]]),"")</f>
        <v/>
      </c>
      <c r="R710" s="122" t="str">
        <f>IF(Tab.o1[[#This Row],[a1]]=1,((Tab.o1[[#This Row],[MedMod]]-AVERAGE(Tab.o1[MedMod]))/_xlfn.STDEV.P(Tab.o1[MedMod])*H$1203)+G$1203,"")</f>
        <v/>
      </c>
      <c r="S710" s="122" t="str">
        <f>IF(Tab.o1[[#This Row],[a1]]=1,((Tab.o1[[#This Row],[MedMod]]-AVERAGE(Tab.o1[MedMod]))/_xlfn.STDEV.P(Tab.o1[MedMod])*H$1204)+G$1204,"")</f>
        <v/>
      </c>
      <c r="T710" s="123" t="str">
        <f>IF(Tab.o1[[#This Row],[a1]]=1,Tab.o1[[#This Row],[Z-]]*_xlfn.STDEV.P(Tab.o1[B])+AVERAGE(Tab.o1[B]),"")</f>
        <v/>
      </c>
      <c r="U710" s="123" t="str">
        <f>IF(Tab.o1[[#This Row],[a1]]=1,Tab.o1[[#This Row],[z+]]*_xlfn.STDEV.P(Tab.o1[B])+AVERAGE(Tab.o1[B]),"")</f>
        <v/>
      </c>
      <c r="V710" s="124" t="str">
        <f>IF(Tab.o1[[#This Row],[a1]]=1,ABS((ABS(Tab.o1[[#This Row],[Red]]-Tab.o1[[#This Row],[Blue]]))),"")</f>
        <v/>
      </c>
      <c r="W710" s="125" t="str">
        <f>IF(Tab.o1[[#This Row],[a1]]=1,IF(W$3=0,1,Tab.o1[[#This Row],[Amp.]]*1/_xlfn.MINIFS(Tab.o1[Amp.],Tab.o1[Amp.],"&lt;&gt;0")),"")</f>
        <v/>
      </c>
      <c r="X710" s="126" t="str">
        <f>IF(Tab.o1[[#This Row],[a1]]=1,IF(ISNUMBER(Tab.o1[[#This Row],[i.]]),NORMDIST(Tab.o1[[#This Row],[Za]],0,1,FALSE)*Tab.o1[[#This Row],[i.]],AP$3),"")</f>
        <v/>
      </c>
      <c r="Y710" s="126" t="str">
        <f>IF(Tab.o1[[#This Row],[a1]]=1,0.01+0.94*Tab.o1[[#This Row],[PDF]]/MAX(Tab.o1[PDF]),"")</f>
        <v/>
      </c>
      <c r="Z710" s="126" t="str">
        <f>IF(Tab.o1[[#This Row],[a1]]=1,0.01+0.94*Tab.o1[[#This Row],[W1_PDF]]/MAX(Tab.o1[W1_PDF]),"")</f>
        <v/>
      </c>
      <c r="AA710" s="118" t="str">
        <f>IF(Tab.o1[[#This Row],[a1]]=1,ABS([1]!T.in.A[[#This Row],[oo6]]),"")</f>
        <v/>
      </c>
      <c r="AB710" s="127" t="str">
        <f>IF(Tab.o1[[#This Row],[a1]]=1,IF(AE$3=0,"",IF(AB$3=0,ABS([1]!T.in.A[[#This Row],[oo9]]),ABS(Tab.o1[[#This Row],[DIF_Target.]]*Tab.o1[[#This Row],[W1_PDF]]))),"")</f>
        <v/>
      </c>
      <c r="AC710" s="127" t="str">
        <f>IF(G$1=1,"",IF(Tab.o1[[#This Row],[a1]]=1,Tab.o1[[#This Row],[Wr]]^2,""))</f>
        <v/>
      </c>
      <c r="AD710" s="118" t="str">
        <f>IF(Tab.o1[[#This Row],[a1]]=1,IF(AE$3=0,"",Tab.o1[[#This Row],[Wr2]]/SUM(Tab.o1[Wr2])),"")</f>
        <v/>
      </c>
      <c r="AE710" s="128" t="str">
        <f>IF(Tab.o1[[#This Row],[a1]]=1,[1]!T.in.A[[#This Row],[oo10]],"")</f>
        <v/>
      </c>
      <c r="AF710" s="118" t="str">
        <f>IF(Tab.o1[[#This Row],[a1]]=1,ABS(Tab.o1[[#This Row],[DIF_Target.]]*Tab.o1[[#This Row],[PDF2]]*Tab.o1[[#This Row],[IN]]),"")</f>
        <v/>
      </c>
      <c r="AG710" s="129" t="str">
        <f>IF(Tab.o1[[#This Row],[a1]]=1,Tab.o1[[#This Row],[rW]]^2,"")</f>
        <v/>
      </c>
      <c r="AH710" s="130" t="str">
        <f>IF(Tab.o1[[#This Row],[a1]]=1,IF(AH$3=0,Tab.o1[[#This Row],[rW2]],0.01+0.94*Tab.o1[[#This Row],[rW2]]/SUM(Tab.o1[rW2])),"")</f>
        <v/>
      </c>
      <c r="AI710" s="128" t="str">
        <f>IF(Tab.o1[[#This Row],[a1]]=1,1/Tab.o1[[#This Row],[PDF]],"")</f>
        <v/>
      </c>
      <c r="AJ710" s="131" t="str">
        <f>IF(Tab.o1[[#This Row],[a1]]=1,[1]!T_AA[[#This Row],[IN'']]*[1]!T_AA[[#This Row],[Qde'']],"")</f>
        <v/>
      </c>
      <c r="AK710" s="132" t="str">
        <f>IF(Tab.o1[[#This Row],[a1]]=1,IF(AK$1=1,Tab.o1[[#This Row],[MED]]+Tab.o1[[#This Row],[MOD]]-Tab.o1[[#This Row],[MED]],""),"")</f>
        <v/>
      </c>
      <c r="AL710" s="133" t="str">
        <f>IF(Tab.o1[[#This Row],[a1]]=1,[1]!T.in.A[[#This Row],[oo16]],"")</f>
        <v/>
      </c>
      <c r="AM710" s="133" t="str">
        <f>IF(Tab.o1[[#This Row],[a1]]=1,IF(AM$3=1,[1]!T.in.A[[#This Row],[Σo16]],""),"")</f>
        <v/>
      </c>
      <c r="AN710" s="126" t="str">
        <f>IF(Tab.o1[[#This Row],[a1]]=1,[1]!T.in.A[[#This Row],[Σp5]],"")</f>
        <v/>
      </c>
      <c r="AO710" s="126" t="str">
        <f>IF(Tab.o1[[#This Row],[a1]]=1,IF(AO$3=1,[1]!T.in.A[[#This Row],[Σp5]],""),"")</f>
        <v/>
      </c>
      <c r="AP710" s="110" t="str">
        <f>IF(Tab.o1[[#This Row],[a1]]=1,IF(ISNUMBER(Tab.o1[[#This Row],[i.]]),NORMDIST(Tab.o1[[#This Row],[Za]],0,1,FALSE)*Tab.o1[[#This Row],[i.]],0),"")</f>
        <v/>
      </c>
      <c r="AQ710" s="125" t="str">
        <f>IF(Tab.o1[[#This Row],[a1]]=1,ABS(Tab.o1[[#This Row],[MOD]]-AVERAGE(Tab.o1[MOD])),"")</f>
        <v/>
      </c>
      <c r="AR710" s="134" t="str">
        <f>IF(Tab.o1[[#This Row],[a1]]=1,Tab.o1[[#This Row],[OBS]]/SUM(Tab.o1[OBS]),"")</f>
        <v/>
      </c>
      <c r="AS710" s="135" t="str">
        <f>IF(ISNUMBER(Tab.o1[[#This Row],[a1]]),ROW()-4,"")</f>
        <v/>
      </c>
      <c r="AT710" s="136" t="str">
        <f>Tab.o1[[#This Row],[MOD]]</f>
        <v/>
      </c>
      <c r="AU710" s="137" t="str">
        <f t="shared" ref="AU710:AU773" si="45">AT710</f>
        <v/>
      </c>
      <c r="AV710" s="138" t="str">
        <f t="shared" ref="AV710:AV773" si="46">IF(AND(ISNUMBER(AT710),ISNUMBER(AU710)),H710-AU710,"")</f>
        <v/>
      </c>
      <c r="AW710" s="138" t="str">
        <f t="shared" ref="AW710:AW773" si="47">IF(AW$4=0,"",IF(AV710&lt;AV$2,AV710," "))</f>
        <v/>
      </c>
      <c r="AX710" s="139" t="str">
        <f>[1]!T.in.A[[#This Row],[ID_T_manu]]</f>
        <v/>
      </c>
      <c r="AY710" s="140" t="str">
        <f>IF(ISNUMBER(Tab.o1[[#This Row],[a1]]),IF(AND(Tab.o1[[#This Row],[a1]]=1,Tab.o1[[#This Row],[b1]]&lt;=AY$4),#REF!,AY709),"")</f>
        <v/>
      </c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/>
      <c r="CA710" s="26"/>
    </row>
    <row r="711" spans="1:79" s="143" customFormat="1" ht="15.75" hidden="1">
      <c r="A711" s="109">
        <v>-1.0000000000000001E-5</v>
      </c>
      <c r="B711" s="110">
        <f t="shared" si="44"/>
        <v>711</v>
      </c>
      <c r="C711" s="111" t="str">
        <f>IF(C$1=[1]!T.in.A[[#This Row],[oo2]],1,"")</f>
        <v/>
      </c>
      <c r="D711" s="112" t="str">
        <f>IF(Tab.o1[[#This Row],[a1]]=1,IF(SUM(C711:C712)=0,0,IF(SUM(C710:C711)=1,1,IF(SUM(C710:C712)&gt;1,D710+1,0))),"")</f>
        <v/>
      </c>
      <c r="E711" s="113" t="str">
        <f>IF(Tab.o1[[#This Row],[a1]]=1,[1]!T.in.A[[#This Row],[oo1]],"")</f>
        <v/>
      </c>
      <c r="F711" s="113" t="str">
        <f>IF(Tab.o1[[#This Row],[a1]]=1,[1]!T.in.A[[#This Row],[pp1]],"")</f>
        <v/>
      </c>
      <c r="G711" s="114" t="str">
        <f>IF(Tab.o1[[#This Row],[a1]]=1,G$2+IF(G$1=1,0,Tab.o1[[#This Row],[.x1]])+[1]!T.in.A[[#This Row],[oo3]],"")</f>
        <v/>
      </c>
      <c r="H711" s="115" t="str">
        <f>IF(Tab.o1[[#This Row],[a1]]=1,IF(H$2=0,0,IF(G$1=1,0,Tab.o1[[#This Row],[.x1]])+[1]!T.in.A[[#This Row],[oo4]]),"")</f>
        <v/>
      </c>
      <c r="I711" s="116" t="str">
        <f>IF(Tab.o1[[#This Row],[a1]]=1,IF(J$2=0,Tab.o1[[#This Row],[MED]],Tab.o1[[#This Row],[MOD]]),"")</f>
        <v/>
      </c>
      <c r="J711" s="116" t="str">
        <f>IF(Tab.o1[[#This Row],[a1]]=1,((Tab.o1[[#This Row],[DIF_Target.]]-AVERAGE(Tab.o1[DIF_Target.]))/_xlfn.STDEV.P(Tab.o1[DIF_Target.])),"")</f>
        <v/>
      </c>
      <c r="K711" s="117" t="str">
        <f>IF(Tab.o1[[#This Row],[a1]]=1,IF(J$2=0,Tab.o1[[#This Row],[MOD]]-Tab.o1[[#This Row],[B]],IF(J$2=1,0,-Tab.o1[[#This Row],[MED]])+Tab.o1[[#This Row],[B]]),"")</f>
        <v/>
      </c>
      <c r="L711" s="117" t="str">
        <f ca="1">IF(Tab.o1[[#This Row],[DIF_Target]]=0,IF(L$2=0,Tab.o1[[#This Row],[DIF_Target]],AVERAGE(OFFSET(Tab.o1[[#This Row],[DIF_Target]],1,0,L$3,1)))/3,Tab.o1[[#This Row],[DIF_Target]])</f>
        <v/>
      </c>
      <c r="M711" s="118" t="str">
        <f>IF(Tab.o1[[#This Row],[a1]]=1,NORMSDIST(Tab.o1[[#This Row],[Za]]),"")</f>
        <v/>
      </c>
      <c r="N711" s="119" t="str">
        <f>IF(Tab.o1[[#This Row],[a1]]=1,((Tab.o1[[#This Row],[MedMod]]-AVERAGE(Tab.o1[MedMod]))/_xlfn.STDEV.P(Tab.o1[MedMod])*H$1205)+G$1205,"")</f>
        <v/>
      </c>
      <c r="O711" s="141" t="str">
        <f>IF(Tab.o1[[#This Row],[a1]]=1,Tab.o1[[#This Row],[Zb]]*_xlfn.STDEV.P(Tab.o1[MedMod])+AVERAGE(Tab.o1[MedMod]),"")</f>
        <v/>
      </c>
      <c r="P711" s="117" t="str">
        <f ca="1">IF(Tab.o1[[#This Row],[B]]=0,AVERAGE(OFFSET(Tab.o1[[#This Row],[B]],1,0,L$3,1)),Tab.o1[[#This Row],[B]])</f>
        <v/>
      </c>
      <c r="Q711" s="121" t="str">
        <f>IF(Tab.o1[[#This Row],[a1]]=1,NORMSDIST(Tab.o1[[#This Row],[Zb]]),"")</f>
        <v/>
      </c>
      <c r="R711" s="122" t="str">
        <f>IF(Tab.o1[[#This Row],[a1]]=1,((Tab.o1[[#This Row],[MedMod]]-AVERAGE(Tab.o1[MedMod]))/_xlfn.STDEV.P(Tab.o1[MedMod])*H$1203)+G$1203,"")</f>
        <v/>
      </c>
      <c r="S711" s="122" t="str">
        <f>IF(Tab.o1[[#This Row],[a1]]=1,((Tab.o1[[#This Row],[MedMod]]-AVERAGE(Tab.o1[MedMod]))/_xlfn.STDEV.P(Tab.o1[MedMod])*H$1204)+G$1204,"")</f>
        <v/>
      </c>
      <c r="T711" s="123" t="str">
        <f>IF(Tab.o1[[#This Row],[a1]]=1,Tab.o1[[#This Row],[Z-]]*_xlfn.STDEV.P(Tab.o1[B])+AVERAGE(Tab.o1[B]),"")</f>
        <v/>
      </c>
      <c r="U711" s="123" t="str">
        <f>IF(Tab.o1[[#This Row],[a1]]=1,Tab.o1[[#This Row],[z+]]*_xlfn.STDEV.P(Tab.o1[B])+AVERAGE(Tab.o1[B]),"")</f>
        <v/>
      </c>
      <c r="V711" s="124" t="str">
        <f>IF(Tab.o1[[#This Row],[a1]]=1,ABS((ABS(Tab.o1[[#This Row],[Red]]-Tab.o1[[#This Row],[Blue]]))),"")</f>
        <v/>
      </c>
      <c r="W711" s="125" t="str">
        <f>IF(Tab.o1[[#This Row],[a1]]=1,IF(W$3=0,1,Tab.o1[[#This Row],[Amp.]]*1/_xlfn.MINIFS(Tab.o1[Amp.],Tab.o1[Amp.],"&lt;&gt;0")),"")</f>
        <v/>
      </c>
      <c r="X711" s="126" t="str">
        <f>IF(Tab.o1[[#This Row],[a1]]=1,IF(ISNUMBER(Tab.o1[[#This Row],[i.]]),NORMDIST(Tab.o1[[#This Row],[Za]],0,1,FALSE)*Tab.o1[[#This Row],[i.]],AP$3),"")</f>
        <v/>
      </c>
      <c r="Y711" s="126" t="str">
        <f>IF(Tab.o1[[#This Row],[a1]]=1,0.01+0.94*Tab.o1[[#This Row],[PDF]]/MAX(Tab.o1[PDF]),"")</f>
        <v/>
      </c>
      <c r="Z711" s="126" t="str">
        <f>IF(Tab.o1[[#This Row],[a1]]=1,0.01+0.94*Tab.o1[[#This Row],[W1_PDF]]/MAX(Tab.o1[W1_PDF]),"")</f>
        <v/>
      </c>
      <c r="AA711" s="118" t="str">
        <f>IF(Tab.o1[[#This Row],[a1]]=1,ABS([1]!T.in.A[[#This Row],[oo6]]),"")</f>
        <v/>
      </c>
      <c r="AB711" s="127" t="str">
        <f>IF(Tab.o1[[#This Row],[a1]]=1,IF(AE$3=0,"",IF(AB$3=0,ABS([1]!T.in.A[[#This Row],[oo9]]),ABS(Tab.o1[[#This Row],[DIF_Target.]]*Tab.o1[[#This Row],[W1_PDF]]))),"")</f>
        <v/>
      </c>
      <c r="AC711" s="127" t="str">
        <f>IF(G$1=1,"",IF(Tab.o1[[#This Row],[a1]]=1,Tab.o1[[#This Row],[Wr]]^2,""))</f>
        <v/>
      </c>
      <c r="AD711" s="118" t="str">
        <f>IF(Tab.o1[[#This Row],[a1]]=1,IF(AE$3=0,"",Tab.o1[[#This Row],[Wr2]]/SUM(Tab.o1[Wr2])),"")</f>
        <v/>
      </c>
      <c r="AE711" s="128" t="str">
        <f>IF(Tab.o1[[#This Row],[a1]]=1,[1]!T.in.A[[#This Row],[oo10]],"")</f>
        <v/>
      </c>
      <c r="AF711" s="118" t="str">
        <f>IF(Tab.o1[[#This Row],[a1]]=1,ABS(Tab.o1[[#This Row],[DIF_Target.]]*Tab.o1[[#This Row],[PDF2]]*Tab.o1[[#This Row],[IN]]),"")</f>
        <v/>
      </c>
      <c r="AG711" s="129" t="str">
        <f>IF(Tab.o1[[#This Row],[a1]]=1,Tab.o1[[#This Row],[rW]]^2,"")</f>
        <v/>
      </c>
      <c r="AH711" s="130" t="str">
        <f>IF(Tab.o1[[#This Row],[a1]]=1,IF(AH$3=0,Tab.o1[[#This Row],[rW2]],0.01+0.94*Tab.o1[[#This Row],[rW2]]/SUM(Tab.o1[rW2])),"")</f>
        <v/>
      </c>
      <c r="AI711" s="128" t="str">
        <f>IF(Tab.o1[[#This Row],[a1]]=1,1/Tab.o1[[#This Row],[PDF]],"")</f>
        <v/>
      </c>
      <c r="AJ711" s="131" t="str">
        <f>IF(Tab.o1[[#This Row],[a1]]=1,[1]!T_AA[[#This Row],[IN'']]*[1]!T_AA[[#This Row],[Qde'']],"")</f>
        <v/>
      </c>
      <c r="AK711" s="132" t="str">
        <f>IF(Tab.o1[[#This Row],[a1]]=1,IF(AK$1=1,Tab.o1[[#This Row],[MED]]+Tab.o1[[#This Row],[MOD]]-Tab.o1[[#This Row],[MED]],""),"")</f>
        <v/>
      </c>
      <c r="AL711" s="133" t="str">
        <f>IF(Tab.o1[[#This Row],[a1]]=1,[1]!T.in.A[[#This Row],[oo16]],"")</f>
        <v/>
      </c>
      <c r="AM711" s="133" t="str">
        <f>IF(Tab.o1[[#This Row],[a1]]=1,IF(AM$3=1,[1]!T.in.A[[#This Row],[Σo16]],""),"")</f>
        <v/>
      </c>
      <c r="AN711" s="126" t="str">
        <f>IF(Tab.o1[[#This Row],[a1]]=1,[1]!T.in.A[[#This Row],[Σp5]],"")</f>
        <v/>
      </c>
      <c r="AO711" s="126" t="str">
        <f>IF(Tab.o1[[#This Row],[a1]]=1,IF(AO$3=1,[1]!T.in.A[[#This Row],[Σp5]],""),"")</f>
        <v/>
      </c>
      <c r="AP711" s="110" t="str">
        <f>IF(Tab.o1[[#This Row],[a1]]=1,IF(ISNUMBER(Tab.o1[[#This Row],[i.]]),NORMDIST(Tab.o1[[#This Row],[Za]],0,1,FALSE)*Tab.o1[[#This Row],[i.]],0),"")</f>
        <v/>
      </c>
      <c r="AQ711" s="125" t="str">
        <f>IF(Tab.o1[[#This Row],[a1]]=1,ABS(Tab.o1[[#This Row],[MOD]]-AVERAGE(Tab.o1[MOD])),"")</f>
        <v/>
      </c>
      <c r="AR711" s="134" t="str">
        <f>IF(Tab.o1[[#This Row],[a1]]=1,Tab.o1[[#This Row],[OBS]]/SUM(Tab.o1[OBS]),"")</f>
        <v/>
      </c>
      <c r="AS711" s="135" t="str">
        <f>IF(ISNUMBER(Tab.o1[[#This Row],[a1]]),ROW()-4,"")</f>
        <v/>
      </c>
      <c r="AT711" s="136" t="str">
        <f>Tab.o1[[#This Row],[MOD]]</f>
        <v/>
      </c>
      <c r="AU711" s="137" t="str">
        <f t="shared" si="45"/>
        <v/>
      </c>
      <c r="AV711" s="138" t="str">
        <f t="shared" si="46"/>
        <v/>
      </c>
      <c r="AW711" s="138" t="str">
        <f t="shared" si="47"/>
        <v/>
      </c>
      <c r="AX711" s="139" t="str">
        <f>[1]!T.in.A[[#This Row],[ID_T_manu]]</f>
        <v/>
      </c>
      <c r="AY711" s="140" t="str">
        <f>IF(ISNUMBER(Tab.o1[[#This Row],[a1]]),IF(AND(Tab.o1[[#This Row],[a1]]=1,Tab.o1[[#This Row],[b1]]&lt;=AY$4),#REF!,AY710),"")</f>
        <v/>
      </c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6"/>
      <c r="BO711" s="26"/>
      <c r="BP711" s="26"/>
      <c r="BQ711" s="26"/>
      <c r="BR711" s="26"/>
      <c r="BS711" s="26"/>
      <c r="BT711" s="26"/>
      <c r="BU711" s="26"/>
      <c r="BV711" s="26"/>
      <c r="BW711" s="26"/>
      <c r="BX711" s="26"/>
      <c r="BY711" s="26"/>
      <c r="BZ711" s="26"/>
      <c r="CA711" s="26"/>
    </row>
    <row r="712" spans="1:79" s="143" customFormat="1" ht="15.75" hidden="1">
      <c r="A712" s="109">
        <v>5.0000000000000004E-6</v>
      </c>
      <c r="B712" s="110">
        <f t="shared" si="44"/>
        <v>712</v>
      </c>
      <c r="C712" s="111" t="str">
        <f>IF(C$1=[1]!T.in.A[[#This Row],[oo2]],1,"")</f>
        <v/>
      </c>
      <c r="D712" s="112" t="str">
        <f>IF(Tab.o1[[#This Row],[a1]]=1,IF(SUM(C712:C713)=0,0,IF(SUM(C711:C712)=1,1,IF(SUM(C711:C713)&gt;1,D711+1,0))),"")</f>
        <v/>
      </c>
      <c r="E712" s="113" t="str">
        <f>IF(Tab.o1[[#This Row],[a1]]=1,[1]!T.in.A[[#This Row],[oo1]],"")</f>
        <v/>
      </c>
      <c r="F712" s="113" t="str">
        <f>IF(Tab.o1[[#This Row],[a1]]=1,[1]!T.in.A[[#This Row],[pp1]],"")</f>
        <v/>
      </c>
      <c r="G712" s="114" t="str">
        <f>IF(Tab.o1[[#This Row],[a1]]=1,G$2+IF(G$1=1,0,Tab.o1[[#This Row],[.x1]])+[1]!T.in.A[[#This Row],[oo3]],"")</f>
        <v/>
      </c>
      <c r="H712" s="115" t="str">
        <f>IF(Tab.o1[[#This Row],[a1]]=1,IF(H$2=0,0,IF(G$1=1,0,Tab.o1[[#This Row],[.x1]])+[1]!T.in.A[[#This Row],[oo4]]),"")</f>
        <v/>
      </c>
      <c r="I712" s="116" t="str">
        <f>IF(Tab.o1[[#This Row],[a1]]=1,IF(J$2=0,Tab.o1[[#This Row],[MED]],Tab.o1[[#This Row],[MOD]]),"")</f>
        <v/>
      </c>
      <c r="J712" s="116" t="str">
        <f>IF(Tab.o1[[#This Row],[a1]]=1,((Tab.o1[[#This Row],[DIF_Target.]]-AVERAGE(Tab.o1[DIF_Target.]))/_xlfn.STDEV.P(Tab.o1[DIF_Target.])),"")</f>
        <v/>
      </c>
      <c r="K712" s="117" t="str">
        <f>IF(Tab.o1[[#This Row],[a1]]=1,IF(J$2=0,Tab.o1[[#This Row],[MOD]]-Tab.o1[[#This Row],[B]],IF(J$2=1,0,-Tab.o1[[#This Row],[MED]])+Tab.o1[[#This Row],[B]]),"")</f>
        <v/>
      </c>
      <c r="L712" s="117" t="str">
        <f ca="1">IF(Tab.o1[[#This Row],[DIF_Target]]=0,IF(L$2=0,Tab.o1[[#This Row],[DIF_Target]],AVERAGE(OFFSET(Tab.o1[[#This Row],[DIF_Target]],1,0,L$3,1)))/3,Tab.o1[[#This Row],[DIF_Target]])</f>
        <v/>
      </c>
      <c r="M712" s="118" t="str">
        <f>IF(Tab.o1[[#This Row],[a1]]=1,NORMSDIST(Tab.o1[[#This Row],[Za]]),"")</f>
        <v/>
      </c>
      <c r="N712" s="119" t="str">
        <f>IF(Tab.o1[[#This Row],[a1]]=1,((Tab.o1[[#This Row],[MedMod]]-AVERAGE(Tab.o1[MedMod]))/_xlfn.STDEV.P(Tab.o1[MedMod])*H$1205)+G$1205,"")</f>
        <v/>
      </c>
      <c r="O712" s="141" t="str">
        <f>IF(Tab.o1[[#This Row],[a1]]=1,Tab.o1[[#This Row],[Zb]]*_xlfn.STDEV.P(Tab.o1[MedMod])+AVERAGE(Tab.o1[MedMod]),"")</f>
        <v/>
      </c>
      <c r="P712" s="117" t="str">
        <f ca="1">IF(Tab.o1[[#This Row],[B]]=0,AVERAGE(OFFSET(Tab.o1[[#This Row],[B]],1,0,L$3,1)),Tab.o1[[#This Row],[B]])</f>
        <v/>
      </c>
      <c r="Q712" s="121" t="str">
        <f>IF(Tab.o1[[#This Row],[a1]]=1,NORMSDIST(Tab.o1[[#This Row],[Zb]]),"")</f>
        <v/>
      </c>
      <c r="R712" s="122" t="str">
        <f>IF(Tab.o1[[#This Row],[a1]]=1,((Tab.o1[[#This Row],[MedMod]]-AVERAGE(Tab.o1[MedMod]))/_xlfn.STDEV.P(Tab.o1[MedMod])*H$1203)+G$1203,"")</f>
        <v/>
      </c>
      <c r="S712" s="122" t="str">
        <f>IF(Tab.o1[[#This Row],[a1]]=1,((Tab.o1[[#This Row],[MedMod]]-AVERAGE(Tab.o1[MedMod]))/_xlfn.STDEV.P(Tab.o1[MedMod])*H$1204)+G$1204,"")</f>
        <v/>
      </c>
      <c r="T712" s="123" t="str">
        <f>IF(Tab.o1[[#This Row],[a1]]=1,Tab.o1[[#This Row],[Z-]]*_xlfn.STDEV.P(Tab.o1[B])+AVERAGE(Tab.o1[B]),"")</f>
        <v/>
      </c>
      <c r="U712" s="123" t="str">
        <f>IF(Tab.o1[[#This Row],[a1]]=1,Tab.o1[[#This Row],[z+]]*_xlfn.STDEV.P(Tab.o1[B])+AVERAGE(Tab.o1[B]),"")</f>
        <v/>
      </c>
      <c r="V712" s="124" t="str">
        <f>IF(Tab.o1[[#This Row],[a1]]=1,ABS((ABS(Tab.o1[[#This Row],[Red]]-Tab.o1[[#This Row],[Blue]]))),"")</f>
        <v/>
      </c>
      <c r="W712" s="125" t="str">
        <f>IF(Tab.o1[[#This Row],[a1]]=1,IF(W$3=0,1,Tab.o1[[#This Row],[Amp.]]*1/_xlfn.MINIFS(Tab.o1[Amp.],Tab.o1[Amp.],"&lt;&gt;0")),"")</f>
        <v/>
      </c>
      <c r="X712" s="126" t="str">
        <f>IF(Tab.o1[[#This Row],[a1]]=1,IF(ISNUMBER(Tab.o1[[#This Row],[i.]]),NORMDIST(Tab.o1[[#This Row],[Za]],0,1,FALSE)*Tab.o1[[#This Row],[i.]],AP$3),"")</f>
        <v/>
      </c>
      <c r="Y712" s="126" t="str">
        <f>IF(Tab.o1[[#This Row],[a1]]=1,0.01+0.94*Tab.o1[[#This Row],[PDF]]/MAX(Tab.o1[PDF]),"")</f>
        <v/>
      </c>
      <c r="Z712" s="126" t="str">
        <f>IF(Tab.o1[[#This Row],[a1]]=1,0.01+0.94*Tab.o1[[#This Row],[W1_PDF]]/MAX(Tab.o1[W1_PDF]),"")</f>
        <v/>
      </c>
      <c r="AA712" s="118" t="str">
        <f>IF(Tab.o1[[#This Row],[a1]]=1,ABS([1]!T.in.A[[#This Row],[oo6]]),"")</f>
        <v/>
      </c>
      <c r="AB712" s="127" t="str">
        <f>IF(Tab.o1[[#This Row],[a1]]=1,IF(AE$3=0,"",IF(AB$3=0,ABS([1]!T.in.A[[#This Row],[oo9]]),ABS(Tab.o1[[#This Row],[DIF_Target.]]*Tab.o1[[#This Row],[W1_PDF]]))),"")</f>
        <v/>
      </c>
      <c r="AC712" s="127" t="str">
        <f>IF(G$1=1,"",IF(Tab.o1[[#This Row],[a1]]=1,Tab.o1[[#This Row],[Wr]]^2,""))</f>
        <v/>
      </c>
      <c r="AD712" s="118" t="str">
        <f>IF(Tab.o1[[#This Row],[a1]]=1,IF(AE$3=0,"",Tab.o1[[#This Row],[Wr2]]/SUM(Tab.o1[Wr2])),"")</f>
        <v/>
      </c>
      <c r="AE712" s="128" t="str">
        <f>IF(Tab.o1[[#This Row],[a1]]=1,[1]!T.in.A[[#This Row],[oo10]],"")</f>
        <v/>
      </c>
      <c r="AF712" s="118" t="str">
        <f>IF(Tab.o1[[#This Row],[a1]]=1,ABS(Tab.o1[[#This Row],[DIF_Target.]]*Tab.o1[[#This Row],[PDF2]]*Tab.o1[[#This Row],[IN]]),"")</f>
        <v/>
      </c>
      <c r="AG712" s="129" t="str">
        <f>IF(Tab.o1[[#This Row],[a1]]=1,Tab.o1[[#This Row],[rW]]^2,"")</f>
        <v/>
      </c>
      <c r="AH712" s="130" t="str">
        <f>IF(Tab.o1[[#This Row],[a1]]=1,IF(AH$3=0,Tab.o1[[#This Row],[rW2]],0.01+0.94*Tab.o1[[#This Row],[rW2]]/SUM(Tab.o1[rW2])),"")</f>
        <v/>
      </c>
      <c r="AI712" s="128" t="str">
        <f>IF(Tab.o1[[#This Row],[a1]]=1,1/Tab.o1[[#This Row],[PDF]],"")</f>
        <v/>
      </c>
      <c r="AJ712" s="131" t="str">
        <f>IF(Tab.o1[[#This Row],[a1]]=1,[1]!T_AA[[#This Row],[IN'']]*[1]!T_AA[[#This Row],[Qde'']],"")</f>
        <v/>
      </c>
      <c r="AK712" s="132" t="str">
        <f>IF(Tab.o1[[#This Row],[a1]]=1,IF(AK$1=1,Tab.o1[[#This Row],[MED]]+Tab.o1[[#This Row],[MOD]]-Tab.o1[[#This Row],[MED]],""),"")</f>
        <v/>
      </c>
      <c r="AL712" s="133" t="str">
        <f>IF(Tab.o1[[#This Row],[a1]]=1,[1]!T.in.A[[#This Row],[oo16]],"")</f>
        <v/>
      </c>
      <c r="AM712" s="133" t="str">
        <f>IF(Tab.o1[[#This Row],[a1]]=1,IF(AM$3=1,[1]!T.in.A[[#This Row],[Σo16]],""),"")</f>
        <v/>
      </c>
      <c r="AN712" s="126" t="str">
        <f>IF(Tab.o1[[#This Row],[a1]]=1,[1]!T.in.A[[#This Row],[Σp5]],"")</f>
        <v/>
      </c>
      <c r="AO712" s="126" t="str">
        <f>IF(Tab.o1[[#This Row],[a1]]=1,IF(AO$3=1,[1]!T.in.A[[#This Row],[Σp5]],""),"")</f>
        <v/>
      </c>
      <c r="AP712" s="110" t="str">
        <f>IF(Tab.o1[[#This Row],[a1]]=1,IF(ISNUMBER(Tab.o1[[#This Row],[i.]]),NORMDIST(Tab.o1[[#This Row],[Za]],0,1,FALSE)*Tab.o1[[#This Row],[i.]],0),"")</f>
        <v/>
      </c>
      <c r="AQ712" s="125" t="str">
        <f>IF(Tab.o1[[#This Row],[a1]]=1,ABS(Tab.o1[[#This Row],[MOD]]-AVERAGE(Tab.o1[MOD])),"")</f>
        <v/>
      </c>
      <c r="AR712" s="134" t="str">
        <f>IF(Tab.o1[[#This Row],[a1]]=1,Tab.o1[[#This Row],[OBS]]/SUM(Tab.o1[OBS]),"")</f>
        <v/>
      </c>
      <c r="AS712" s="135" t="str">
        <f>IF(ISNUMBER(Tab.o1[[#This Row],[a1]]),ROW()-4,"")</f>
        <v/>
      </c>
      <c r="AT712" s="136" t="str">
        <f>Tab.o1[[#This Row],[MOD]]</f>
        <v/>
      </c>
      <c r="AU712" s="137" t="str">
        <f t="shared" si="45"/>
        <v/>
      </c>
      <c r="AV712" s="138" t="str">
        <f t="shared" si="46"/>
        <v/>
      </c>
      <c r="AW712" s="138" t="str">
        <f t="shared" si="47"/>
        <v/>
      </c>
      <c r="AX712" s="139" t="str">
        <f>[1]!T.in.A[[#This Row],[ID_T_manu]]</f>
        <v/>
      </c>
      <c r="AY712" s="140" t="str">
        <f>IF(ISNUMBER(Tab.o1[[#This Row],[a1]]),IF(AND(Tab.o1[[#This Row],[a1]]=1,Tab.o1[[#This Row],[b1]]&lt;=AY$4),#REF!,AY711),"")</f>
        <v/>
      </c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6"/>
      <c r="BO712" s="26"/>
      <c r="BP712" s="26"/>
      <c r="BQ712" s="26"/>
      <c r="BR712" s="26"/>
      <c r="BS712" s="26"/>
      <c r="BT712" s="26"/>
      <c r="BU712" s="26"/>
      <c r="BV712" s="26"/>
      <c r="BW712" s="26"/>
      <c r="BX712" s="26"/>
      <c r="BY712" s="26"/>
      <c r="BZ712" s="26"/>
      <c r="CA712" s="26"/>
    </row>
    <row r="713" spans="1:79" s="143" customFormat="1" ht="15.75" hidden="1">
      <c r="A713" s="109">
        <v>5.9999999999999993E-6</v>
      </c>
      <c r="B713" s="110">
        <f t="shared" si="44"/>
        <v>713</v>
      </c>
      <c r="C713" s="111" t="str">
        <f>IF(C$1=[1]!T.in.A[[#This Row],[oo2]],1,"")</f>
        <v/>
      </c>
      <c r="D713" s="112" t="str">
        <f>IF(Tab.o1[[#This Row],[a1]]=1,IF(SUM(C713:C714)=0,0,IF(SUM(C712:C713)=1,1,IF(SUM(C712:C714)&gt;1,D712+1,0))),"")</f>
        <v/>
      </c>
      <c r="E713" s="113" t="str">
        <f>IF(Tab.o1[[#This Row],[a1]]=1,[1]!T.in.A[[#This Row],[oo1]],"")</f>
        <v/>
      </c>
      <c r="F713" s="113" t="str">
        <f>IF(Tab.o1[[#This Row],[a1]]=1,[1]!T.in.A[[#This Row],[pp1]],"")</f>
        <v/>
      </c>
      <c r="G713" s="114" t="str">
        <f>IF(Tab.o1[[#This Row],[a1]]=1,G$2+IF(G$1=1,0,Tab.o1[[#This Row],[.x1]])+[1]!T.in.A[[#This Row],[oo3]],"")</f>
        <v/>
      </c>
      <c r="H713" s="115" t="str">
        <f>IF(Tab.o1[[#This Row],[a1]]=1,IF(H$2=0,0,IF(G$1=1,0,Tab.o1[[#This Row],[.x1]])+[1]!T.in.A[[#This Row],[oo4]]),"")</f>
        <v/>
      </c>
      <c r="I713" s="116" t="str">
        <f>IF(Tab.o1[[#This Row],[a1]]=1,IF(J$2=0,Tab.o1[[#This Row],[MED]],Tab.o1[[#This Row],[MOD]]),"")</f>
        <v/>
      </c>
      <c r="J713" s="116" t="str">
        <f>IF(Tab.o1[[#This Row],[a1]]=1,((Tab.o1[[#This Row],[DIF_Target.]]-AVERAGE(Tab.o1[DIF_Target.]))/_xlfn.STDEV.P(Tab.o1[DIF_Target.])),"")</f>
        <v/>
      </c>
      <c r="K713" s="117" t="str">
        <f>IF(Tab.o1[[#This Row],[a1]]=1,IF(J$2=0,Tab.o1[[#This Row],[MOD]]-Tab.o1[[#This Row],[B]],IF(J$2=1,0,-Tab.o1[[#This Row],[MED]])+Tab.o1[[#This Row],[B]]),"")</f>
        <v/>
      </c>
      <c r="L713" s="117" t="str">
        <f ca="1">IF(Tab.o1[[#This Row],[DIF_Target]]=0,IF(L$2=0,Tab.o1[[#This Row],[DIF_Target]],AVERAGE(OFFSET(Tab.o1[[#This Row],[DIF_Target]],1,0,L$3,1)))/3,Tab.o1[[#This Row],[DIF_Target]])</f>
        <v/>
      </c>
      <c r="M713" s="118" t="str">
        <f>IF(Tab.o1[[#This Row],[a1]]=1,NORMSDIST(Tab.o1[[#This Row],[Za]]),"")</f>
        <v/>
      </c>
      <c r="N713" s="119" t="str">
        <f>IF(Tab.o1[[#This Row],[a1]]=1,((Tab.o1[[#This Row],[MedMod]]-AVERAGE(Tab.o1[MedMod]))/_xlfn.STDEV.P(Tab.o1[MedMod])*H$1205)+G$1205,"")</f>
        <v/>
      </c>
      <c r="O713" s="141" t="str">
        <f>IF(Tab.o1[[#This Row],[a1]]=1,Tab.o1[[#This Row],[Zb]]*_xlfn.STDEV.P(Tab.o1[MedMod])+AVERAGE(Tab.o1[MedMod]),"")</f>
        <v/>
      </c>
      <c r="P713" s="117" t="str">
        <f ca="1">IF(Tab.o1[[#This Row],[B]]=0,AVERAGE(OFFSET(Tab.o1[[#This Row],[B]],1,0,L$3,1)),Tab.o1[[#This Row],[B]])</f>
        <v/>
      </c>
      <c r="Q713" s="121" t="str">
        <f>IF(Tab.o1[[#This Row],[a1]]=1,NORMSDIST(Tab.o1[[#This Row],[Zb]]),"")</f>
        <v/>
      </c>
      <c r="R713" s="122" t="str">
        <f>IF(Tab.o1[[#This Row],[a1]]=1,((Tab.o1[[#This Row],[MedMod]]-AVERAGE(Tab.o1[MedMod]))/_xlfn.STDEV.P(Tab.o1[MedMod])*H$1203)+G$1203,"")</f>
        <v/>
      </c>
      <c r="S713" s="122" t="str">
        <f>IF(Tab.o1[[#This Row],[a1]]=1,((Tab.o1[[#This Row],[MedMod]]-AVERAGE(Tab.o1[MedMod]))/_xlfn.STDEV.P(Tab.o1[MedMod])*H$1204)+G$1204,"")</f>
        <v/>
      </c>
      <c r="T713" s="123" t="str">
        <f>IF(Tab.o1[[#This Row],[a1]]=1,Tab.o1[[#This Row],[Z-]]*_xlfn.STDEV.P(Tab.o1[B])+AVERAGE(Tab.o1[B]),"")</f>
        <v/>
      </c>
      <c r="U713" s="123" t="str">
        <f>IF(Tab.o1[[#This Row],[a1]]=1,Tab.o1[[#This Row],[z+]]*_xlfn.STDEV.P(Tab.o1[B])+AVERAGE(Tab.o1[B]),"")</f>
        <v/>
      </c>
      <c r="V713" s="124" t="str">
        <f>IF(Tab.o1[[#This Row],[a1]]=1,ABS((ABS(Tab.o1[[#This Row],[Red]]-Tab.o1[[#This Row],[Blue]]))),"")</f>
        <v/>
      </c>
      <c r="W713" s="125" t="str">
        <f>IF(Tab.o1[[#This Row],[a1]]=1,IF(W$3=0,1,Tab.o1[[#This Row],[Amp.]]*1/_xlfn.MINIFS(Tab.o1[Amp.],Tab.o1[Amp.],"&lt;&gt;0")),"")</f>
        <v/>
      </c>
      <c r="X713" s="126" t="str">
        <f>IF(Tab.o1[[#This Row],[a1]]=1,IF(ISNUMBER(Tab.o1[[#This Row],[i.]]),NORMDIST(Tab.o1[[#This Row],[Za]],0,1,FALSE)*Tab.o1[[#This Row],[i.]],AP$3),"")</f>
        <v/>
      </c>
      <c r="Y713" s="126" t="str">
        <f>IF(Tab.o1[[#This Row],[a1]]=1,0.01+0.94*Tab.o1[[#This Row],[PDF]]/MAX(Tab.o1[PDF]),"")</f>
        <v/>
      </c>
      <c r="Z713" s="126" t="str">
        <f>IF(Tab.o1[[#This Row],[a1]]=1,0.01+0.94*Tab.o1[[#This Row],[W1_PDF]]/MAX(Tab.o1[W1_PDF]),"")</f>
        <v/>
      </c>
      <c r="AA713" s="118" t="str">
        <f>IF(Tab.o1[[#This Row],[a1]]=1,ABS([1]!T.in.A[[#This Row],[oo6]]),"")</f>
        <v/>
      </c>
      <c r="AB713" s="127" t="str">
        <f>IF(Tab.o1[[#This Row],[a1]]=1,IF(AE$3=0,"",IF(AB$3=0,ABS([1]!T.in.A[[#This Row],[oo9]]),ABS(Tab.o1[[#This Row],[DIF_Target.]]*Tab.o1[[#This Row],[W1_PDF]]))),"")</f>
        <v/>
      </c>
      <c r="AC713" s="127" t="str">
        <f>IF(G$1=1,"",IF(Tab.o1[[#This Row],[a1]]=1,Tab.o1[[#This Row],[Wr]]^2,""))</f>
        <v/>
      </c>
      <c r="AD713" s="118" t="str">
        <f>IF(Tab.o1[[#This Row],[a1]]=1,IF(AE$3=0,"",Tab.o1[[#This Row],[Wr2]]/SUM(Tab.o1[Wr2])),"")</f>
        <v/>
      </c>
      <c r="AE713" s="128" t="str">
        <f>IF(Tab.o1[[#This Row],[a1]]=1,[1]!T.in.A[[#This Row],[oo10]],"")</f>
        <v/>
      </c>
      <c r="AF713" s="118" t="str">
        <f>IF(Tab.o1[[#This Row],[a1]]=1,ABS(Tab.o1[[#This Row],[DIF_Target.]]*Tab.o1[[#This Row],[PDF2]]*Tab.o1[[#This Row],[IN]]),"")</f>
        <v/>
      </c>
      <c r="AG713" s="129" t="str">
        <f>IF(Tab.o1[[#This Row],[a1]]=1,Tab.o1[[#This Row],[rW]]^2,"")</f>
        <v/>
      </c>
      <c r="AH713" s="130" t="str">
        <f>IF(Tab.o1[[#This Row],[a1]]=1,IF(AH$3=0,Tab.o1[[#This Row],[rW2]],0.01+0.94*Tab.o1[[#This Row],[rW2]]/SUM(Tab.o1[rW2])),"")</f>
        <v/>
      </c>
      <c r="AI713" s="128" t="str">
        <f>IF(Tab.o1[[#This Row],[a1]]=1,1/Tab.o1[[#This Row],[PDF]],"")</f>
        <v/>
      </c>
      <c r="AJ713" s="131" t="str">
        <f>IF(Tab.o1[[#This Row],[a1]]=1,[1]!T_AA[[#This Row],[IN'']]*[1]!T_AA[[#This Row],[Qde'']],"")</f>
        <v/>
      </c>
      <c r="AK713" s="132" t="str">
        <f>IF(Tab.o1[[#This Row],[a1]]=1,IF(AK$1=1,Tab.o1[[#This Row],[MED]]+Tab.o1[[#This Row],[MOD]]-Tab.o1[[#This Row],[MED]],""),"")</f>
        <v/>
      </c>
      <c r="AL713" s="133" t="str">
        <f>IF(Tab.o1[[#This Row],[a1]]=1,[1]!T.in.A[[#This Row],[oo16]],"")</f>
        <v/>
      </c>
      <c r="AM713" s="133" t="str">
        <f>IF(Tab.o1[[#This Row],[a1]]=1,IF(AM$3=1,[1]!T.in.A[[#This Row],[Σo16]],""),"")</f>
        <v/>
      </c>
      <c r="AN713" s="126" t="str">
        <f>IF(Tab.o1[[#This Row],[a1]]=1,[1]!T.in.A[[#This Row],[Σp5]],"")</f>
        <v/>
      </c>
      <c r="AO713" s="126" t="str">
        <f>IF(Tab.o1[[#This Row],[a1]]=1,IF(AO$3=1,[1]!T.in.A[[#This Row],[Σp5]],""),"")</f>
        <v/>
      </c>
      <c r="AP713" s="110" t="str">
        <f>IF(Tab.o1[[#This Row],[a1]]=1,IF(ISNUMBER(Tab.o1[[#This Row],[i.]]),NORMDIST(Tab.o1[[#This Row],[Za]],0,1,FALSE)*Tab.o1[[#This Row],[i.]],0),"")</f>
        <v/>
      </c>
      <c r="AQ713" s="125" t="str">
        <f>IF(Tab.o1[[#This Row],[a1]]=1,ABS(Tab.o1[[#This Row],[MOD]]-AVERAGE(Tab.o1[MOD])),"")</f>
        <v/>
      </c>
      <c r="AR713" s="134" t="str">
        <f>IF(Tab.o1[[#This Row],[a1]]=1,Tab.o1[[#This Row],[OBS]]/SUM(Tab.o1[OBS]),"")</f>
        <v/>
      </c>
      <c r="AS713" s="135" t="str">
        <f>IF(ISNUMBER(Tab.o1[[#This Row],[a1]]),ROW()-4,"")</f>
        <v/>
      </c>
      <c r="AT713" s="136" t="str">
        <f>Tab.o1[[#This Row],[MOD]]</f>
        <v/>
      </c>
      <c r="AU713" s="137" t="str">
        <f t="shared" si="45"/>
        <v/>
      </c>
      <c r="AV713" s="138" t="str">
        <f t="shared" si="46"/>
        <v/>
      </c>
      <c r="AW713" s="138" t="str">
        <f t="shared" si="47"/>
        <v/>
      </c>
      <c r="AX713" s="139" t="str">
        <f>[1]!T.in.A[[#This Row],[ID_T_manu]]</f>
        <v/>
      </c>
      <c r="AY713" s="140" t="str">
        <f>IF(ISNUMBER(Tab.o1[[#This Row],[a1]]),IF(AND(Tab.o1[[#This Row],[a1]]=1,Tab.o1[[#This Row],[b1]]&lt;=AY$4),#REF!,AY712),"")</f>
        <v/>
      </c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6"/>
      <c r="BO713" s="26"/>
      <c r="BP713" s="26"/>
      <c r="BQ713" s="26"/>
      <c r="BR713" s="26"/>
      <c r="BS713" s="26"/>
      <c r="BT713" s="26"/>
      <c r="BU713" s="26"/>
      <c r="BV713" s="26"/>
      <c r="BW713" s="26"/>
      <c r="BX713" s="26"/>
      <c r="BY713" s="26"/>
      <c r="BZ713" s="26"/>
      <c r="CA713" s="26"/>
    </row>
    <row r="714" spans="1:79" s="143" customFormat="1" ht="15.75" hidden="1">
      <c r="A714" s="109">
        <v>-6.9999999999999999E-6</v>
      </c>
      <c r="B714" s="110">
        <f t="shared" si="44"/>
        <v>714</v>
      </c>
      <c r="C714" s="111" t="str">
        <f>IF(C$1=[1]!T.in.A[[#This Row],[oo2]],1,"")</f>
        <v/>
      </c>
      <c r="D714" s="112" t="str">
        <f>IF(Tab.o1[[#This Row],[a1]]=1,IF(SUM(C714:C715)=0,0,IF(SUM(C713:C714)=1,1,IF(SUM(C713:C715)&gt;1,D713+1,0))),"")</f>
        <v/>
      </c>
      <c r="E714" s="113" t="str">
        <f>IF(Tab.o1[[#This Row],[a1]]=1,[1]!T.in.A[[#This Row],[oo1]],"")</f>
        <v/>
      </c>
      <c r="F714" s="113" t="str">
        <f>IF(Tab.o1[[#This Row],[a1]]=1,[1]!T.in.A[[#This Row],[pp1]],"")</f>
        <v/>
      </c>
      <c r="G714" s="114" t="str">
        <f>IF(Tab.o1[[#This Row],[a1]]=1,G$2+IF(G$1=1,0,Tab.o1[[#This Row],[.x1]])+[1]!T.in.A[[#This Row],[oo3]],"")</f>
        <v/>
      </c>
      <c r="H714" s="115" t="str">
        <f>IF(Tab.o1[[#This Row],[a1]]=1,IF(H$2=0,0,IF(G$1=1,0,Tab.o1[[#This Row],[.x1]])+[1]!T.in.A[[#This Row],[oo4]]),"")</f>
        <v/>
      </c>
      <c r="I714" s="116" t="str">
        <f>IF(Tab.o1[[#This Row],[a1]]=1,IF(J$2=0,Tab.o1[[#This Row],[MED]],Tab.o1[[#This Row],[MOD]]),"")</f>
        <v/>
      </c>
      <c r="J714" s="116" t="str">
        <f>IF(Tab.o1[[#This Row],[a1]]=1,((Tab.o1[[#This Row],[DIF_Target.]]-AVERAGE(Tab.o1[DIF_Target.]))/_xlfn.STDEV.P(Tab.o1[DIF_Target.])),"")</f>
        <v/>
      </c>
      <c r="K714" s="117" t="str">
        <f>IF(Tab.o1[[#This Row],[a1]]=1,IF(J$2=0,Tab.o1[[#This Row],[MOD]]-Tab.o1[[#This Row],[B]],IF(J$2=1,0,-Tab.o1[[#This Row],[MED]])+Tab.o1[[#This Row],[B]]),"")</f>
        <v/>
      </c>
      <c r="L714" s="117" t="str">
        <f ca="1">IF(Tab.o1[[#This Row],[DIF_Target]]=0,IF(L$2=0,Tab.o1[[#This Row],[DIF_Target]],AVERAGE(OFFSET(Tab.o1[[#This Row],[DIF_Target]],1,0,L$3,1)))/3,Tab.o1[[#This Row],[DIF_Target]])</f>
        <v/>
      </c>
      <c r="M714" s="118" t="str">
        <f>IF(Tab.o1[[#This Row],[a1]]=1,NORMSDIST(Tab.o1[[#This Row],[Za]]),"")</f>
        <v/>
      </c>
      <c r="N714" s="119" t="str">
        <f>IF(Tab.o1[[#This Row],[a1]]=1,((Tab.o1[[#This Row],[MedMod]]-AVERAGE(Tab.o1[MedMod]))/_xlfn.STDEV.P(Tab.o1[MedMod])*H$1205)+G$1205,"")</f>
        <v/>
      </c>
      <c r="O714" s="141" t="str">
        <f>IF(Tab.o1[[#This Row],[a1]]=1,Tab.o1[[#This Row],[Zb]]*_xlfn.STDEV.P(Tab.o1[MedMod])+AVERAGE(Tab.o1[MedMod]),"")</f>
        <v/>
      </c>
      <c r="P714" s="117" t="str">
        <f ca="1">IF(Tab.o1[[#This Row],[B]]=0,AVERAGE(OFFSET(Tab.o1[[#This Row],[B]],1,0,L$3,1)),Tab.o1[[#This Row],[B]])</f>
        <v/>
      </c>
      <c r="Q714" s="121" t="str">
        <f>IF(Tab.o1[[#This Row],[a1]]=1,NORMSDIST(Tab.o1[[#This Row],[Zb]]),"")</f>
        <v/>
      </c>
      <c r="R714" s="122" t="str">
        <f>IF(Tab.o1[[#This Row],[a1]]=1,((Tab.o1[[#This Row],[MedMod]]-AVERAGE(Tab.o1[MedMod]))/_xlfn.STDEV.P(Tab.o1[MedMod])*H$1203)+G$1203,"")</f>
        <v/>
      </c>
      <c r="S714" s="122" t="str">
        <f>IF(Tab.o1[[#This Row],[a1]]=1,((Tab.o1[[#This Row],[MedMod]]-AVERAGE(Tab.o1[MedMod]))/_xlfn.STDEV.P(Tab.o1[MedMod])*H$1204)+G$1204,"")</f>
        <v/>
      </c>
      <c r="T714" s="123" t="str">
        <f>IF(Tab.o1[[#This Row],[a1]]=1,Tab.o1[[#This Row],[Z-]]*_xlfn.STDEV.P(Tab.o1[B])+AVERAGE(Tab.o1[B]),"")</f>
        <v/>
      </c>
      <c r="U714" s="123" t="str">
        <f>IF(Tab.o1[[#This Row],[a1]]=1,Tab.o1[[#This Row],[z+]]*_xlfn.STDEV.P(Tab.o1[B])+AVERAGE(Tab.o1[B]),"")</f>
        <v/>
      </c>
      <c r="V714" s="124" t="str">
        <f>IF(Tab.o1[[#This Row],[a1]]=1,ABS((ABS(Tab.o1[[#This Row],[Red]]-Tab.o1[[#This Row],[Blue]]))),"")</f>
        <v/>
      </c>
      <c r="W714" s="125" t="str">
        <f>IF(Tab.o1[[#This Row],[a1]]=1,IF(W$3=0,1,Tab.o1[[#This Row],[Amp.]]*1/_xlfn.MINIFS(Tab.o1[Amp.],Tab.o1[Amp.],"&lt;&gt;0")),"")</f>
        <v/>
      </c>
      <c r="X714" s="126" t="str">
        <f>IF(Tab.o1[[#This Row],[a1]]=1,IF(ISNUMBER(Tab.o1[[#This Row],[i.]]),NORMDIST(Tab.o1[[#This Row],[Za]],0,1,FALSE)*Tab.o1[[#This Row],[i.]],AP$3),"")</f>
        <v/>
      </c>
      <c r="Y714" s="126" t="str">
        <f>IF(Tab.o1[[#This Row],[a1]]=1,0.01+0.94*Tab.o1[[#This Row],[PDF]]/MAX(Tab.o1[PDF]),"")</f>
        <v/>
      </c>
      <c r="Z714" s="126" t="str">
        <f>IF(Tab.o1[[#This Row],[a1]]=1,0.01+0.94*Tab.o1[[#This Row],[W1_PDF]]/MAX(Tab.o1[W1_PDF]),"")</f>
        <v/>
      </c>
      <c r="AA714" s="118" t="str">
        <f>IF(Tab.o1[[#This Row],[a1]]=1,ABS([1]!T.in.A[[#This Row],[oo6]]),"")</f>
        <v/>
      </c>
      <c r="AB714" s="127" t="str">
        <f>IF(Tab.o1[[#This Row],[a1]]=1,IF(AE$3=0,"",IF(AB$3=0,ABS([1]!T.in.A[[#This Row],[oo9]]),ABS(Tab.o1[[#This Row],[DIF_Target.]]*Tab.o1[[#This Row],[W1_PDF]]))),"")</f>
        <v/>
      </c>
      <c r="AC714" s="127" t="str">
        <f>IF(G$1=1,"",IF(Tab.o1[[#This Row],[a1]]=1,Tab.o1[[#This Row],[Wr]]^2,""))</f>
        <v/>
      </c>
      <c r="AD714" s="118" t="str">
        <f>IF(Tab.o1[[#This Row],[a1]]=1,IF(AE$3=0,"",Tab.o1[[#This Row],[Wr2]]/SUM(Tab.o1[Wr2])),"")</f>
        <v/>
      </c>
      <c r="AE714" s="128" t="str">
        <f>IF(Tab.o1[[#This Row],[a1]]=1,[1]!T.in.A[[#This Row],[oo10]],"")</f>
        <v/>
      </c>
      <c r="AF714" s="118" t="str">
        <f>IF(Tab.o1[[#This Row],[a1]]=1,ABS(Tab.o1[[#This Row],[DIF_Target.]]*Tab.o1[[#This Row],[PDF2]]*Tab.o1[[#This Row],[IN]]),"")</f>
        <v/>
      </c>
      <c r="AG714" s="129" t="str">
        <f>IF(Tab.o1[[#This Row],[a1]]=1,Tab.o1[[#This Row],[rW]]^2,"")</f>
        <v/>
      </c>
      <c r="AH714" s="130" t="str">
        <f>IF(Tab.o1[[#This Row],[a1]]=1,IF(AH$3=0,Tab.o1[[#This Row],[rW2]],0.01+0.94*Tab.o1[[#This Row],[rW2]]/SUM(Tab.o1[rW2])),"")</f>
        <v/>
      </c>
      <c r="AI714" s="128" t="str">
        <f>IF(Tab.o1[[#This Row],[a1]]=1,1/Tab.o1[[#This Row],[PDF]],"")</f>
        <v/>
      </c>
      <c r="AJ714" s="131" t="str">
        <f>IF(Tab.o1[[#This Row],[a1]]=1,[1]!T_AA[[#This Row],[IN'']]*[1]!T_AA[[#This Row],[Qde'']],"")</f>
        <v/>
      </c>
      <c r="AK714" s="132" t="str">
        <f>IF(Tab.o1[[#This Row],[a1]]=1,IF(AK$1=1,Tab.o1[[#This Row],[MED]]+Tab.o1[[#This Row],[MOD]]-Tab.o1[[#This Row],[MED]],""),"")</f>
        <v/>
      </c>
      <c r="AL714" s="133" t="str">
        <f>IF(Tab.o1[[#This Row],[a1]]=1,[1]!T.in.A[[#This Row],[oo16]],"")</f>
        <v/>
      </c>
      <c r="AM714" s="133" t="str">
        <f>IF(Tab.o1[[#This Row],[a1]]=1,IF(AM$3=1,[1]!T.in.A[[#This Row],[Σo16]],""),"")</f>
        <v/>
      </c>
      <c r="AN714" s="126" t="str">
        <f>IF(Tab.o1[[#This Row],[a1]]=1,[1]!T.in.A[[#This Row],[Σp5]],"")</f>
        <v/>
      </c>
      <c r="AO714" s="126" t="str">
        <f>IF(Tab.o1[[#This Row],[a1]]=1,IF(AO$3=1,[1]!T.in.A[[#This Row],[Σp5]],""),"")</f>
        <v/>
      </c>
      <c r="AP714" s="110" t="str">
        <f>IF(Tab.o1[[#This Row],[a1]]=1,IF(ISNUMBER(Tab.o1[[#This Row],[i.]]),NORMDIST(Tab.o1[[#This Row],[Za]],0,1,FALSE)*Tab.o1[[#This Row],[i.]],0),"")</f>
        <v/>
      </c>
      <c r="AQ714" s="125" t="str">
        <f>IF(Tab.o1[[#This Row],[a1]]=1,ABS(Tab.o1[[#This Row],[MOD]]-AVERAGE(Tab.o1[MOD])),"")</f>
        <v/>
      </c>
      <c r="AR714" s="134" t="str">
        <f>IF(Tab.o1[[#This Row],[a1]]=1,Tab.o1[[#This Row],[OBS]]/SUM(Tab.o1[OBS]),"")</f>
        <v/>
      </c>
      <c r="AS714" s="135" t="str">
        <f>IF(ISNUMBER(Tab.o1[[#This Row],[a1]]),ROW()-4,"")</f>
        <v/>
      </c>
      <c r="AT714" s="136" t="str">
        <f>Tab.o1[[#This Row],[MOD]]</f>
        <v/>
      </c>
      <c r="AU714" s="137" t="str">
        <f t="shared" si="45"/>
        <v/>
      </c>
      <c r="AV714" s="138" t="str">
        <f t="shared" si="46"/>
        <v/>
      </c>
      <c r="AW714" s="138" t="str">
        <f t="shared" si="47"/>
        <v/>
      </c>
      <c r="AX714" s="139" t="str">
        <f>[1]!T.in.A[[#This Row],[ID_T_manu]]</f>
        <v/>
      </c>
      <c r="AY714" s="140" t="str">
        <f>IF(ISNUMBER(Tab.o1[[#This Row],[a1]]),IF(AND(Tab.o1[[#This Row],[a1]]=1,Tab.o1[[#This Row],[b1]]&lt;=AY$4),#REF!,AY713),"")</f>
        <v/>
      </c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26"/>
    </row>
    <row r="715" spans="1:79" s="143" customFormat="1" ht="15.75" hidden="1">
      <c r="A715" s="109">
        <v>8.0000000000000013E-6</v>
      </c>
      <c r="B715" s="110">
        <f t="shared" si="44"/>
        <v>715</v>
      </c>
      <c r="C715" s="111" t="str">
        <f>IF(C$1=[1]!T.in.A[[#This Row],[oo2]],1,"")</f>
        <v/>
      </c>
      <c r="D715" s="112" t="str">
        <f>IF(Tab.o1[[#This Row],[a1]]=1,IF(SUM(C715:C716)=0,0,IF(SUM(C714:C715)=1,1,IF(SUM(C714:C716)&gt;1,D714+1,0))),"")</f>
        <v/>
      </c>
      <c r="E715" s="113" t="str">
        <f>IF(Tab.o1[[#This Row],[a1]]=1,[1]!T.in.A[[#This Row],[oo1]],"")</f>
        <v/>
      </c>
      <c r="F715" s="113" t="str">
        <f>IF(Tab.o1[[#This Row],[a1]]=1,[1]!T.in.A[[#This Row],[pp1]],"")</f>
        <v/>
      </c>
      <c r="G715" s="114" t="str">
        <f>IF(Tab.o1[[#This Row],[a1]]=1,G$2+IF(G$1=1,0,Tab.o1[[#This Row],[.x1]])+[1]!T.in.A[[#This Row],[oo3]],"")</f>
        <v/>
      </c>
      <c r="H715" s="115" t="str">
        <f>IF(Tab.o1[[#This Row],[a1]]=1,IF(H$2=0,0,IF(G$1=1,0,Tab.o1[[#This Row],[.x1]])+[1]!T.in.A[[#This Row],[oo4]]),"")</f>
        <v/>
      </c>
      <c r="I715" s="116" t="str">
        <f>IF(Tab.o1[[#This Row],[a1]]=1,IF(J$2=0,Tab.o1[[#This Row],[MED]],Tab.o1[[#This Row],[MOD]]),"")</f>
        <v/>
      </c>
      <c r="J715" s="116" t="str">
        <f>IF(Tab.o1[[#This Row],[a1]]=1,((Tab.o1[[#This Row],[DIF_Target.]]-AVERAGE(Tab.o1[DIF_Target.]))/_xlfn.STDEV.P(Tab.o1[DIF_Target.])),"")</f>
        <v/>
      </c>
      <c r="K715" s="117" t="str">
        <f>IF(Tab.o1[[#This Row],[a1]]=1,IF(J$2=0,Tab.o1[[#This Row],[MOD]]-Tab.o1[[#This Row],[B]],IF(J$2=1,0,-Tab.o1[[#This Row],[MED]])+Tab.o1[[#This Row],[B]]),"")</f>
        <v/>
      </c>
      <c r="L715" s="117" t="str">
        <f ca="1">IF(Tab.o1[[#This Row],[DIF_Target]]=0,IF(L$2=0,Tab.o1[[#This Row],[DIF_Target]],AVERAGE(OFFSET(Tab.o1[[#This Row],[DIF_Target]],1,0,L$3,1)))/3,Tab.o1[[#This Row],[DIF_Target]])</f>
        <v/>
      </c>
      <c r="M715" s="118" t="str">
        <f>IF(Tab.o1[[#This Row],[a1]]=1,NORMSDIST(Tab.o1[[#This Row],[Za]]),"")</f>
        <v/>
      </c>
      <c r="N715" s="119" t="str">
        <f>IF(Tab.o1[[#This Row],[a1]]=1,((Tab.o1[[#This Row],[MedMod]]-AVERAGE(Tab.o1[MedMod]))/_xlfn.STDEV.P(Tab.o1[MedMod])*H$1205)+G$1205,"")</f>
        <v/>
      </c>
      <c r="O715" s="141" t="str">
        <f>IF(Tab.o1[[#This Row],[a1]]=1,Tab.o1[[#This Row],[Zb]]*_xlfn.STDEV.P(Tab.o1[MedMod])+AVERAGE(Tab.o1[MedMod]),"")</f>
        <v/>
      </c>
      <c r="P715" s="117" t="str">
        <f ca="1">IF(Tab.o1[[#This Row],[B]]=0,AVERAGE(OFFSET(Tab.o1[[#This Row],[B]],1,0,L$3,1)),Tab.o1[[#This Row],[B]])</f>
        <v/>
      </c>
      <c r="Q715" s="121" t="str">
        <f>IF(Tab.o1[[#This Row],[a1]]=1,NORMSDIST(Tab.o1[[#This Row],[Zb]]),"")</f>
        <v/>
      </c>
      <c r="R715" s="122" t="str">
        <f>IF(Tab.o1[[#This Row],[a1]]=1,((Tab.o1[[#This Row],[MedMod]]-AVERAGE(Tab.o1[MedMod]))/_xlfn.STDEV.P(Tab.o1[MedMod])*H$1203)+G$1203,"")</f>
        <v/>
      </c>
      <c r="S715" s="122" t="str">
        <f>IF(Tab.o1[[#This Row],[a1]]=1,((Tab.o1[[#This Row],[MedMod]]-AVERAGE(Tab.o1[MedMod]))/_xlfn.STDEV.P(Tab.o1[MedMod])*H$1204)+G$1204,"")</f>
        <v/>
      </c>
      <c r="T715" s="123" t="str">
        <f>IF(Tab.o1[[#This Row],[a1]]=1,Tab.o1[[#This Row],[Z-]]*_xlfn.STDEV.P(Tab.o1[B])+AVERAGE(Tab.o1[B]),"")</f>
        <v/>
      </c>
      <c r="U715" s="123" t="str">
        <f>IF(Tab.o1[[#This Row],[a1]]=1,Tab.o1[[#This Row],[z+]]*_xlfn.STDEV.P(Tab.o1[B])+AVERAGE(Tab.o1[B]),"")</f>
        <v/>
      </c>
      <c r="V715" s="124" t="str">
        <f>IF(Tab.o1[[#This Row],[a1]]=1,ABS((ABS(Tab.o1[[#This Row],[Red]]-Tab.o1[[#This Row],[Blue]]))),"")</f>
        <v/>
      </c>
      <c r="W715" s="125" t="str">
        <f>IF(Tab.o1[[#This Row],[a1]]=1,IF(W$3=0,1,Tab.o1[[#This Row],[Amp.]]*1/_xlfn.MINIFS(Tab.o1[Amp.],Tab.o1[Amp.],"&lt;&gt;0")),"")</f>
        <v/>
      </c>
      <c r="X715" s="126" t="str">
        <f>IF(Tab.o1[[#This Row],[a1]]=1,IF(ISNUMBER(Tab.o1[[#This Row],[i.]]),NORMDIST(Tab.o1[[#This Row],[Za]],0,1,FALSE)*Tab.o1[[#This Row],[i.]],AP$3),"")</f>
        <v/>
      </c>
      <c r="Y715" s="126" t="str">
        <f>IF(Tab.o1[[#This Row],[a1]]=1,0.01+0.94*Tab.o1[[#This Row],[PDF]]/MAX(Tab.o1[PDF]),"")</f>
        <v/>
      </c>
      <c r="Z715" s="126" t="str">
        <f>IF(Tab.o1[[#This Row],[a1]]=1,0.01+0.94*Tab.o1[[#This Row],[W1_PDF]]/MAX(Tab.o1[W1_PDF]),"")</f>
        <v/>
      </c>
      <c r="AA715" s="118" t="str">
        <f>IF(Tab.o1[[#This Row],[a1]]=1,ABS([1]!T.in.A[[#This Row],[oo6]]),"")</f>
        <v/>
      </c>
      <c r="AB715" s="127" t="str">
        <f>IF(Tab.o1[[#This Row],[a1]]=1,IF(AE$3=0,"",IF(AB$3=0,ABS([1]!T.in.A[[#This Row],[oo9]]),ABS(Tab.o1[[#This Row],[DIF_Target.]]*Tab.o1[[#This Row],[W1_PDF]]))),"")</f>
        <v/>
      </c>
      <c r="AC715" s="127" t="str">
        <f>IF(G$1=1,"",IF(Tab.o1[[#This Row],[a1]]=1,Tab.o1[[#This Row],[Wr]]^2,""))</f>
        <v/>
      </c>
      <c r="AD715" s="118" t="str">
        <f>IF(Tab.o1[[#This Row],[a1]]=1,IF(AE$3=0,"",Tab.o1[[#This Row],[Wr2]]/SUM(Tab.o1[Wr2])),"")</f>
        <v/>
      </c>
      <c r="AE715" s="128" t="str">
        <f>IF(Tab.o1[[#This Row],[a1]]=1,[1]!T.in.A[[#This Row],[oo10]],"")</f>
        <v/>
      </c>
      <c r="AF715" s="118" t="str">
        <f>IF(Tab.o1[[#This Row],[a1]]=1,ABS(Tab.o1[[#This Row],[DIF_Target.]]*Tab.o1[[#This Row],[PDF2]]*Tab.o1[[#This Row],[IN]]),"")</f>
        <v/>
      </c>
      <c r="AG715" s="129" t="str">
        <f>IF(Tab.o1[[#This Row],[a1]]=1,Tab.o1[[#This Row],[rW]]^2,"")</f>
        <v/>
      </c>
      <c r="AH715" s="130" t="str">
        <f>IF(Tab.o1[[#This Row],[a1]]=1,IF(AH$3=0,Tab.o1[[#This Row],[rW2]],0.01+0.94*Tab.o1[[#This Row],[rW2]]/SUM(Tab.o1[rW2])),"")</f>
        <v/>
      </c>
      <c r="AI715" s="128" t="str">
        <f>IF(Tab.o1[[#This Row],[a1]]=1,1/Tab.o1[[#This Row],[PDF]],"")</f>
        <v/>
      </c>
      <c r="AJ715" s="131" t="str">
        <f>IF(Tab.o1[[#This Row],[a1]]=1,[1]!T_AA[[#This Row],[IN'']]*[1]!T_AA[[#This Row],[Qde'']],"")</f>
        <v/>
      </c>
      <c r="AK715" s="132" t="str">
        <f>IF(Tab.o1[[#This Row],[a1]]=1,IF(AK$1=1,Tab.o1[[#This Row],[MED]]+Tab.o1[[#This Row],[MOD]]-Tab.o1[[#This Row],[MED]],""),"")</f>
        <v/>
      </c>
      <c r="AL715" s="133" t="str">
        <f>IF(Tab.o1[[#This Row],[a1]]=1,[1]!T.in.A[[#This Row],[oo16]],"")</f>
        <v/>
      </c>
      <c r="AM715" s="133" t="str">
        <f>IF(Tab.o1[[#This Row],[a1]]=1,IF(AM$3=1,[1]!T.in.A[[#This Row],[Σo16]],""),"")</f>
        <v/>
      </c>
      <c r="AN715" s="126" t="str">
        <f>IF(Tab.o1[[#This Row],[a1]]=1,[1]!T.in.A[[#This Row],[Σp5]],"")</f>
        <v/>
      </c>
      <c r="AO715" s="126" t="str">
        <f>IF(Tab.o1[[#This Row],[a1]]=1,IF(AO$3=1,[1]!T.in.A[[#This Row],[Σp5]],""),"")</f>
        <v/>
      </c>
      <c r="AP715" s="110" t="str">
        <f>IF(Tab.o1[[#This Row],[a1]]=1,IF(ISNUMBER(Tab.o1[[#This Row],[i.]]),NORMDIST(Tab.o1[[#This Row],[Za]],0,1,FALSE)*Tab.o1[[#This Row],[i.]],0),"")</f>
        <v/>
      </c>
      <c r="AQ715" s="125" t="str">
        <f>IF(Tab.o1[[#This Row],[a1]]=1,ABS(Tab.o1[[#This Row],[MOD]]-AVERAGE(Tab.o1[MOD])),"")</f>
        <v/>
      </c>
      <c r="AR715" s="134" t="str">
        <f>IF(Tab.o1[[#This Row],[a1]]=1,Tab.o1[[#This Row],[OBS]]/SUM(Tab.o1[OBS]),"")</f>
        <v/>
      </c>
      <c r="AS715" s="135" t="str">
        <f>IF(ISNUMBER(Tab.o1[[#This Row],[a1]]),ROW()-4,"")</f>
        <v/>
      </c>
      <c r="AT715" s="136" t="str">
        <f>Tab.o1[[#This Row],[MOD]]</f>
        <v/>
      </c>
      <c r="AU715" s="137" t="str">
        <f t="shared" si="45"/>
        <v/>
      </c>
      <c r="AV715" s="138" t="str">
        <f t="shared" si="46"/>
        <v/>
      </c>
      <c r="AW715" s="138" t="str">
        <f t="shared" si="47"/>
        <v/>
      </c>
      <c r="AX715" s="139" t="str">
        <f>[1]!T.in.A[[#This Row],[ID_T_manu]]</f>
        <v/>
      </c>
      <c r="AY715" s="140" t="str">
        <f>IF(ISNUMBER(Tab.o1[[#This Row],[a1]]),IF(AND(Tab.o1[[#This Row],[a1]]=1,Tab.o1[[#This Row],[b1]]&lt;=AY$4),#REF!,AY714),"")</f>
        <v/>
      </c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/>
      <c r="CA715" s="26"/>
    </row>
    <row r="716" spans="1:79" s="143" customFormat="1" ht="15.75" hidden="1">
      <c r="A716" s="109">
        <v>-4.0000000000000007E-6</v>
      </c>
      <c r="B716" s="110">
        <f t="shared" si="44"/>
        <v>716</v>
      </c>
      <c r="C716" s="111" t="str">
        <f>IF(C$1=[1]!T.in.A[[#This Row],[oo2]],1,"")</f>
        <v/>
      </c>
      <c r="D716" s="112" t="str">
        <f>IF(Tab.o1[[#This Row],[a1]]=1,IF(SUM(C716:C717)=0,0,IF(SUM(C715:C716)=1,1,IF(SUM(C715:C717)&gt;1,D715+1,0))),"")</f>
        <v/>
      </c>
      <c r="E716" s="113" t="str">
        <f>IF(Tab.o1[[#This Row],[a1]]=1,[1]!T.in.A[[#This Row],[oo1]],"")</f>
        <v/>
      </c>
      <c r="F716" s="113" t="str">
        <f>IF(Tab.o1[[#This Row],[a1]]=1,[1]!T.in.A[[#This Row],[pp1]],"")</f>
        <v/>
      </c>
      <c r="G716" s="114" t="str">
        <f>IF(Tab.o1[[#This Row],[a1]]=1,G$2+IF(G$1=1,0,Tab.o1[[#This Row],[.x1]])+[1]!T.in.A[[#This Row],[oo3]],"")</f>
        <v/>
      </c>
      <c r="H716" s="115" t="str">
        <f>IF(Tab.o1[[#This Row],[a1]]=1,IF(H$2=0,0,IF(G$1=1,0,Tab.o1[[#This Row],[.x1]])+[1]!T.in.A[[#This Row],[oo4]]),"")</f>
        <v/>
      </c>
      <c r="I716" s="116" t="str">
        <f>IF(Tab.o1[[#This Row],[a1]]=1,IF(J$2=0,Tab.o1[[#This Row],[MED]],Tab.o1[[#This Row],[MOD]]),"")</f>
        <v/>
      </c>
      <c r="J716" s="116" t="str">
        <f>IF(Tab.o1[[#This Row],[a1]]=1,((Tab.o1[[#This Row],[DIF_Target.]]-AVERAGE(Tab.o1[DIF_Target.]))/_xlfn.STDEV.P(Tab.o1[DIF_Target.])),"")</f>
        <v/>
      </c>
      <c r="K716" s="117" t="str">
        <f>IF(Tab.o1[[#This Row],[a1]]=1,IF(J$2=0,Tab.o1[[#This Row],[MOD]]-Tab.o1[[#This Row],[B]],IF(J$2=1,0,-Tab.o1[[#This Row],[MED]])+Tab.o1[[#This Row],[B]]),"")</f>
        <v/>
      </c>
      <c r="L716" s="117" t="str">
        <f ca="1">IF(Tab.o1[[#This Row],[DIF_Target]]=0,IF(L$2=0,Tab.o1[[#This Row],[DIF_Target]],AVERAGE(OFFSET(Tab.o1[[#This Row],[DIF_Target]],1,0,L$3,1)))/3,Tab.o1[[#This Row],[DIF_Target]])</f>
        <v/>
      </c>
      <c r="M716" s="118" t="str">
        <f>IF(Tab.o1[[#This Row],[a1]]=1,NORMSDIST(Tab.o1[[#This Row],[Za]]),"")</f>
        <v/>
      </c>
      <c r="N716" s="119" t="str">
        <f>IF(Tab.o1[[#This Row],[a1]]=1,((Tab.o1[[#This Row],[MedMod]]-AVERAGE(Tab.o1[MedMod]))/_xlfn.STDEV.P(Tab.o1[MedMod])*H$1205)+G$1205,"")</f>
        <v/>
      </c>
      <c r="O716" s="141" t="str">
        <f>IF(Tab.o1[[#This Row],[a1]]=1,Tab.o1[[#This Row],[Zb]]*_xlfn.STDEV.P(Tab.o1[MedMod])+AVERAGE(Tab.o1[MedMod]),"")</f>
        <v/>
      </c>
      <c r="P716" s="117" t="str">
        <f ca="1">IF(Tab.o1[[#This Row],[B]]=0,AVERAGE(OFFSET(Tab.o1[[#This Row],[B]],1,0,L$3,1)),Tab.o1[[#This Row],[B]])</f>
        <v/>
      </c>
      <c r="Q716" s="121" t="str">
        <f>IF(Tab.o1[[#This Row],[a1]]=1,NORMSDIST(Tab.o1[[#This Row],[Zb]]),"")</f>
        <v/>
      </c>
      <c r="R716" s="122" t="str">
        <f>IF(Tab.o1[[#This Row],[a1]]=1,((Tab.o1[[#This Row],[MedMod]]-AVERAGE(Tab.o1[MedMod]))/_xlfn.STDEV.P(Tab.o1[MedMod])*H$1203)+G$1203,"")</f>
        <v/>
      </c>
      <c r="S716" s="122" t="str">
        <f>IF(Tab.o1[[#This Row],[a1]]=1,((Tab.o1[[#This Row],[MedMod]]-AVERAGE(Tab.o1[MedMod]))/_xlfn.STDEV.P(Tab.o1[MedMod])*H$1204)+G$1204,"")</f>
        <v/>
      </c>
      <c r="T716" s="123" t="str">
        <f>IF(Tab.o1[[#This Row],[a1]]=1,Tab.o1[[#This Row],[Z-]]*_xlfn.STDEV.P(Tab.o1[B])+AVERAGE(Tab.o1[B]),"")</f>
        <v/>
      </c>
      <c r="U716" s="123" t="str">
        <f>IF(Tab.o1[[#This Row],[a1]]=1,Tab.o1[[#This Row],[z+]]*_xlfn.STDEV.P(Tab.o1[B])+AVERAGE(Tab.o1[B]),"")</f>
        <v/>
      </c>
      <c r="V716" s="124" t="str">
        <f>IF(Tab.o1[[#This Row],[a1]]=1,ABS((ABS(Tab.o1[[#This Row],[Red]]-Tab.o1[[#This Row],[Blue]]))),"")</f>
        <v/>
      </c>
      <c r="W716" s="125" t="str">
        <f>IF(Tab.o1[[#This Row],[a1]]=1,IF(W$3=0,1,Tab.o1[[#This Row],[Amp.]]*1/_xlfn.MINIFS(Tab.o1[Amp.],Tab.o1[Amp.],"&lt;&gt;0")),"")</f>
        <v/>
      </c>
      <c r="X716" s="126" t="str">
        <f>IF(Tab.o1[[#This Row],[a1]]=1,IF(ISNUMBER(Tab.o1[[#This Row],[i.]]),NORMDIST(Tab.o1[[#This Row],[Za]],0,1,FALSE)*Tab.o1[[#This Row],[i.]],AP$3),"")</f>
        <v/>
      </c>
      <c r="Y716" s="126" t="str">
        <f>IF(Tab.o1[[#This Row],[a1]]=1,0.01+0.94*Tab.o1[[#This Row],[PDF]]/MAX(Tab.o1[PDF]),"")</f>
        <v/>
      </c>
      <c r="Z716" s="126" t="str">
        <f>IF(Tab.o1[[#This Row],[a1]]=1,0.01+0.94*Tab.o1[[#This Row],[W1_PDF]]/MAX(Tab.o1[W1_PDF]),"")</f>
        <v/>
      </c>
      <c r="AA716" s="118" t="str">
        <f>IF(Tab.o1[[#This Row],[a1]]=1,ABS([1]!T.in.A[[#This Row],[oo6]]),"")</f>
        <v/>
      </c>
      <c r="AB716" s="127" t="str">
        <f>IF(Tab.o1[[#This Row],[a1]]=1,IF(AE$3=0,"",IF(AB$3=0,ABS([1]!T.in.A[[#This Row],[oo9]]),ABS(Tab.o1[[#This Row],[DIF_Target.]]*Tab.o1[[#This Row],[W1_PDF]]))),"")</f>
        <v/>
      </c>
      <c r="AC716" s="127" t="str">
        <f>IF(G$1=1,"",IF(Tab.o1[[#This Row],[a1]]=1,Tab.o1[[#This Row],[Wr]]^2,""))</f>
        <v/>
      </c>
      <c r="AD716" s="118" t="str">
        <f>IF(Tab.o1[[#This Row],[a1]]=1,IF(AE$3=0,"",Tab.o1[[#This Row],[Wr2]]/SUM(Tab.o1[Wr2])),"")</f>
        <v/>
      </c>
      <c r="AE716" s="128" t="str">
        <f>IF(Tab.o1[[#This Row],[a1]]=1,[1]!T.in.A[[#This Row],[oo10]],"")</f>
        <v/>
      </c>
      <c r="AF716" s="118" t="str">
        <f>IF(Tab.o1[[#This Row],[a1]]=1,ABS(Tab.o1[[#This Row],[DIF_Target.]]*Tab.o1[[#This Row],[PDF2]]*Tab.o1[[#This Row],[IN]]),"")</f>
        <v/>
      </c>
      <c r="AG716" s="129" t="str">
        <f>IF(Tab.o1[[#This Row],[a1]]=1,Tab.o1[[#This Row],[rW]]^2,"")</f>
        <v/>
      </c>
      <c r="AH716" s="130" t="str">
        <f>IF(Tab.o1[[#This Row],[a1]]=1,IF(AH$3=0,Tab.o1[[#This Row],[rW2]],0.01+0.94*Tab.o1[[#This Row],[rW2]]/SUM(Tab.o1[rW2])),"")</f>
        <v/>
      </c>
      <c r="AI716" s="128" t="str">
        <f>IF(Tab.o1[[#This Row],[a1]]=1,1/Tab.o1[[#This Row],[PDF]],"")</f>
        <v/>
      </c>
      <c r="AJ716" s="131" t="str">
        <f>IF(Tab.o1[[#This Row],[a1]]=1,[1]!T_AA[[#This Row],[IN'']]*[1]!T_AA[[#This Row],[Qde'']],"")</f>
        <v/>
      </c>
      <c r="AK716" s="132" t="str">
        <f>IF(Tab.o1[[#This Row],[a1]]=1,IF(AK$1=1,Tab.o1[[#This Row],[MED]]+Tab.o1[[#This Row],[MOD]]-Tab.o1[[#This Row],[MED]],""),"")</f>
        <v/>
      </c>
      <c r="AL716" s="133" t="str">
        <f>IF(Tab.o1[[#This Row],[a1]]=1,[1]!T.in.A[[#This Row],[oo16]],"")</f>
        <v/>
      </c>
      <c r="AM716" s="133" t="str">
        <f>IF(Tab.o1[[#This Row],[a1]]=1,IF(AM$3=1,[1]!T.in.A[[#This Row],[Σo16]],""),"")</f>
        <v/>
      </c>
      <c r="AN716" s="126" t="str">
        <f>IF(Tab.o1[[#This Row],[a1]]=1,[1]!T.in.A[[#This Row],[Σp5]],"")</f>
        <v/>
      </c>
      <c r="AO716" s="126" t="str">
        <f>IF(Tab.o1[[#This Row],[a1]]=1,IF(AO$3=1,[1]!T.in.A[[#This Row],[Σp5]],""),"")</f>
        <v/>
      </c>
      <c r="AP716" s="110" t="str">
        <f>IF(Tab.o1[[#This Row],[a1]]=1,IF(ISNUMBER(Tab.o1[[#This Row],[i.]]),NORMDIST(Tab.o1[[#This Row],[Za]],0,1,FALSE)*Tab.o1[[#This Row],[i.]],0),"")</f>
        <v/>
      </c>
      <c r="AQ716" s="125" t="str">
        <f>IF(Tab.o1[[#This Row],[a1]]=1,ABS(Tab.o1[[#This Row],[MOD]]-AVERAGE(Tab.o1[MOD])),"")</f>
        <v/>
      </c>
      <c r="AR716" s="134" t="str">
        <f>IF(Tab.o1[[#This Row],[a1]]=1,Tab.o1[[#This Row],[OBS]]/SUM(Tab.o1[OBS]),"")</f>
        <v/>
      </c>
      <c r="AS716" s="135" t="str">
        <f>IF(ISNUMBER(Tab.o1[[#This Row],[a1]]),ROW()-4,"")</f>
        <v/>
      </c>
      <c r="AT716" s="136" t="str">
        <f>Tab.o1[[#This Row],[MOD]]</f>
        <v/>
      </c>
      <c r="AU716" s="137" t="str">
        <f t="shared" si="45"/>
        <v/>
      </c>
      <c r="AV716" s="138" t="str">
        <f t="shared" si="46"/>
        <v/>
      </c>
      <c r="AW716" s="138" t="str">
        <f t="shared" si="47"/>
        <v/>
      </c>
      <c r="AX716" s="139" t="str">
        <f>[1]!T.in.A[[#This Row],[ID_T_manu]]</f>
        <v/>
      </c>
      <c r="AY716" s="140" t="str">
        <f>IF(ISNUMBER(Tab.o1[[#This Row],[a1]]),IF(AND(Tab.o1[[#This Row],[a1]]=1,Tab.o1[[#This Row],[b1]]&lt;=AY$4),#REF!,AY715),"")</f>
        <v/>
      </c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</row>
    <row r="717" spans="1:79" s="143" customFormat="1" ht="15.75" hidden="1">
      <c r="A717" s="109">
        <v>9.0000000000000002E-6</v>
      </c>
      <c r="B717" s="110">
        <f t="shared" si="44"/>
        <v>717</v>
      </c>
      <c r="C717" s="111" t="str">
        <f>IF(C$1=[1]!T.in.A[[#This Row],[oo2]],1,"")</f>
        <v/>
      </c>
      <c r="D717" s="112" t="str">
        <f>IF(Tab.o1[[#This Row],[a1]]=1,IF(SUM(C717:C718)=0,0,IF(SUM(C716:C717)=1,1,IF(SUM(C716:C718)&gt;1,D716+1,0))),"")</f>
        <v/>
      </c>
      <c r="E717" s="113" t="str">
        <f>IF(Tab.o1[[#This Row],[a1]]=1,[1]!T.in.A[[#This Row],[oo1]],"")</f>
        <v/>
      </c>
      <c r="F717" s="113" t="str">
        <f>IF(Tab.o1[[#This Row],[a1]]=1,[1]!T.in.A[[#This Row],[pp1]],"")</f>
        <v/>
      </c>
      <c r="G717" s="114" t="str">
        <f>IF(Tab.o1[[#This Row],[a1]]=1,G$2+IF(G$1=1,0,Tab.o1[[#This Row],[.x1]])+[1]!T.in.A[[#This Row],[oo3]],"")</f>
        <v/>
      </c>
      <c r="H717" s="115" t="str">
        <f>IF(Tab.o1[[#This Row],[a1]]=1,IF(H$2=0,0,IF(G$1=1,0,Tab.o1[[#This Row],[.x1]])+[1]!T.in.A[[#This Row],[oo4]]),"")</f>
        <v/>
      </c>
      <c r="I717" s="116" t="str">
        <f>IF(Tab.o1[[#This Row],[a1]]=1,IF(J$2=0,Tab.o1[[#This Row],[MED]],Tab.o1[[#This Row],[MOD]]),"")</f>
        <v/>
      </c>
      <c r="J717" s="116" t="str">
        <f>IF(Tab.o1[[#This Row],[a1]]=1,((Tab.o1[[#This Row],[DIF_Target.]]-AVERAGE(Tab.o1[DIF_Target.]))/_xlfn.STDEV.P(Tab.o1[DIF_Target.])),"")</f>
        <v/>
      </c>
      <c r="K717" s="117" t="str">
        <f>IF(Tab.o1[[#This Row],[a1]]=1,IF(J$2=0,Tab.o1[[#This Row],[MOD]]-Tab.o1[[#This Row],[B]],IF(J$2=1,0,-Tab.o1[[#This Row],[MED]])+Tab.o1[[#This Row],[B]]),"")</f>
        <v/>
      </c>
      <c r="L717" s="117" t="str">
        <f ca="1">IF(Tab.o1[[#This Row],[DIF_Target]]=0,IF(L$2=0,Tab.o1[[#This Row],[DIF_Target]],AVERAGE(OFFSET(Tab.o1[[#This Row],[DIF_Target]],1,0,L$3,1)))/3,Tab.o1[[#This Row],[DIF_Target]])</f>
        <v/>
      </c>
      <c r="M717" s="118" t="str">
        <f>IF(Tab.o1[[#This Row],[a1]]=1,NORMSDIST(Tab.o1[[#This Row],[Za]]),"")</f>
        <v/>
      </c>
      <c r="N717" s="119" t="str">
        <f>IF(Tab.o1[[#This Row],[a1]]=1,((Tab.o1[[#This Row],[MedMod]]-AVERAGE(Tab.o1[MedMod]))/_xlfn.STDEV.P(Tab.o1[MedMod])*H$1205)+G$1205,"")</f>
        <v/>
      </c>
      <c r="O717" s="141" t="str">
        <f>IF(Tab.o1[[#This Row],[a1]]=1,Tab.o1[[#This Row],[Zb]]*_xlfn.STDEV.P(Tab.o1[MedMod])+AVERAGE(Tab.o1[MedMod]),"")</f>
        <v/>
      </c>
      <c r="P717" s="117" t="str">
        <f ca="1">IF(Tab.o1[[#This Row],[B]]=0,AVERAGE(OFFSET(Tab.o1[[#This Row],[B]],1,0,L$3,1)),Tab.o1[[#This Row],[B]])</f>
        <v/>
      </c>
      <c r="Q717" s="121" t="str">
        <f>IF(Tab.o1[[#This Row],[a1]]=1,NORMSDIST(Tab.o1[[#This Row],[Zb]]),"")</f>
        <v/>
      </c>
      <c r="R717" s="122" t="str">
        <f>IF(Tab.o1[[#This Row],[a1]]=1,((Tab.o1[[#This Row],[MedMod]]-AVERAGE(Tab.o1[MedMod]))/_xlfn.STDEV.P(Tab.o1[MedMod])*H$1203)+G$1203,"")</f>
        <v/>
      </c>
      <c r="S717" s="122" t="str">
        <f>IF(Tab.o1[[#This Row],[a1]]=1,((Tab.o1[[#This Row],[MedMod]]-AVERAGE(Tab.o1[MedMod]))/_xlfn.STDEV.P(Tab.o1[MedMod])*H$1204)+G$1204,"")</f>
        <v/>
      </c>
      <c r="T717" s="123" t="str">
        <f>IF(Tab.o1[[#This Row],[a1]]=1,Tab.o1[[#This Row],[Z-]]*_xlfn.STDEV.P(Tab.o1[B])+AVERAGE(Tab.o1[B]),"")</f>
        <v/>
      </c>
      <c r="U717" s="123" t="str">
        <f>IF(Tab.o1[[#This Row],[a1]]=1,Tab.o1[[#This Row],[z+]]*_xlfn.STDEV.P(Tab.o1[B])+AVERAGE(Tab.o1[B]),"")</f>
        <v/>
      </c>
      <c r="V717" s="124" t="str">
        <f>IF(Tab.o1[[#This Row],[a1]]=1,ABS((ABS(Tab.o1[[#This Row],[Red]]-Tab.o1[[#This Row],[Blue]]))),"")</f>
        <v/>
      </c>
      <c r="W717" s="125" t="str">
        <f>IF(Tab.o1[[#This Row],[a1]]=1,IF(W$3=0,1,Tab.o1[[#This Row],[Amp.]]*1/_xlfn.MINIFS(Tab.o1[Amp.],Tab.o1[Amp.],"&lt;&gt;0")),"")</f>
        <v/>
      </c>
      <c r="X717" s="126" t="str">
        <f>IF(Tab.o1[[#This Row],[a1]]=1,IF(ISNUMBER(Tab.o1[[#This Row],[i.]]),NORMDIST(Tab.o1[[#This Row],[Za]],0,1,FALSE)*Tab.o1[[#This Row],[i.]],AP$3),"")</f>
        <v/>
      </c>
      <c r="Y717" s="126" t="str">
        <f>IF(Tab.o1[[#This Row],[a1]]=1,0.01+0.94*Tab.o1[[#This Row],[PDF]]/MAX(Tab.o1[PDF]),"")</f>
        <v/>
      </c>
      <c r="Z717" s="126" t="str">
        <f>IF(Tab.o1[[#This Row],[a1]]=1,0.01+0.94*Tab.o1[[#This Row],[W1_PDF]]/MAX(Tab.o1[W1_PDF]),"")</f>
        <v/>
      </c>
      <c r="AA717" s="118" t="str">
        <f>IF(Tab.o1[[#This Row],[a1]]=1,ABS([1]!T.in.A[[#This Row],[oo6]]),"")</f>
        <v/>
      </c>
      <c r="AB717" s="127" t="str">
        <f>IF(Tab.o1[[#This Row],[a1]]=1,IF(AE$3=0,"",IF(AB$3=0,ABS([1]!T.in.A[[#This Row],[oo9]]),ABS(Tab.o1[[#This Row],[DIF_Target.]]*Tab.o1[[#This Row],[W1_PDF]]))),"")</f>
        <v/>
      </c>
      <c r="AC717" s="127" t="str">
        <f>IF(G$1=1,"",IF(Tab.o1[[#This Row],[a1]]=1,Tab.o1[[#This Row],[Wr]]^2,""))</f>
        <v/>
      </c>
      <c r="AD717" s="118" t="str">
        <f>IF(Tab.o1[[#This Row],[a1]]=1,IF(AE$3=0,"",Tab.o1[[#This Row],[Wr2]]/SUM(Tab.o1[Wr2])),"")</f>
        <v/>
      </c>
      <c r="AE717" s="128" t="str">
        <f>IF(Tab.o1[[#This Row],[a1]]=1,[1]!T.in.A[[#This Row],[oo10]],"")</f>
        <v/>
      </c>
      <c r="AF717" s="118" t="str">
        <f>IF(Tab.o1[[#This Row],[a1]]=1,ABS(Tab.o1[[#This Row],[DIF_Target.]]*Tab.o1[[#This Row],[PDF2]]*Tab.o1[[#This Row],[IN]]),"")</f>
        <v/>
      </c>
      <c r="AG717" s="129" t="str">
        <f>IF(Tab.o1[[#This Row],[a1]]=1,Tab.o1[[#This Row],[rW]]^2,"")</f>
        <v/>
      </c>
      <c r="AH717" s="130" t="str">
        <f>IF(Tab.o1[[#This Row],[a1]]=1,IF(AH$3=0,Tab.o1[[#This Row],[rW2]],0.01+0.94*Tab.o1[[#This Row],[rW2]]/SUM(Tab.o1[rW2])),"")</f>
        <v/>
      </c>
      <c r="AI717" s="128" t="str">
        <f>IF(Tab.o1[[#This Row],[a1]]=1,1/Tab.o1[[#This Row],[PDF]],"")</f>
        <v/>
      </c>
      <c r="AJ717" s="131" t="str">
        <f>IF(Tab.o1[[#This Row],[a1]]=1,[1]!T_AA[[#This Row],[IN'']]*[1]!T_AA[[#This Row],[Qde'']],"")</f>
        <v/>
      </c>
      <c r="AK717" s="132" t="str">
        <f>IF(Tab.o1[[#This Row],[a1]]=1,IF(AK$1=1,Tab.o1[[#This Row],[MED]]+Tab.o1[[#This Row],[MOD]]-Tab.o1[[#This Row],[MED]],""),"")</f>
        <v/>
      </c>
      <c r="AL717" s="133" t="str">
        <f>IF(Tab.o1[[#This Row],[a1]]=1,[1]!T.in.A[[#This Row],[oo16]],"")</f>
        <v/>
      </c>
      <c r="AM717" s="133" t="str">
        <f>IF(Tab.o1[[#This Row],[a1]]=1,IF(AM$3=1,[1]!T.in.A[[#This Row],[Σo16]],""),"")</f>
        <v/>
      </c>
      <c r="AN717" s="126" t="str">
        <f>IF(Tab.o1[[#This Row],[a1]]=1,[1]!T.in.A[[#This Row],[Σp5]],"")</f>
        <v/>
      </c>
      <c r="AO717" s="126" t="str">
        <f>IF(Tab.o1[[#This Row],[a1]]=1,IF(AO$3=1,[1]!T.in.A[[#This Row],[Σp5]],""),"")</f>
        <v/>
      </c>
      <c r="AP717" s="110" t="str">
        <f>IF(Tab.o1[[#This Row],[a1]]=1,IF(ISNUMBER(Tab.o1[[#This Row],[i.]]),NORMDIST(Tab.o1[[#This Row],[Za]],0,1,FALSE)*Tab.o1[[#This Row],[i.]],0),"")</f>
        <v/>
      </c>
      <c r="AQ717" s="125" t="str">
        <f>IF(Tab.o1[[#This Row],[a1]]=1,ABS(Tab.o1[[#This Row],[MOD]]-AVERAGE(Tab.o1[MOD])),"")</f>
        <v/>
      </c>
      <c r="AR717" s="134" t="str">
        <f>IF(Tab.o1[[#This Row],[a1]]=1,Tab.o1[[#This Row],[OBS]]/SUM(Tab.o1[OBS]),"")</f>
        <v/>
      </c>
      <c r="AS717" s="135" t="str">
        <f>IF(ISNUMBER(Tab.o1[[#This Row],[a1]]),ROW()-4,"")</f>
        <v/>
      </c>
      <c r="AT717" s="136" t="str">
        <f>Tab.o1[[#This Row],[MOD]]</f>
        <v/>
      </c>
      <c r="AU717" s="137" t="str">
        <f t="shared" si="45"/>
        <v/>
      </c>
      <c r="AV717" s="138" t="str">
        <f t="shared" si="46"/>
        <v/>
      </c>
      <c r="AW717" s="138" t="str">
        <f t="shared" si="47"/>
        <v/>
      </c>
      <c r="AX717" s="139" t="str">
        <f>[1]!T.in.A[[#This Row],[ID_T_manu]]</f>
        <v/>
      </c>
      <c r="AY717" s="140" t="str">
        <f>IF(ISNUMBER(Tab.o1[[#This Row],[a1]]),IF(AND(Tab.o1[[#This Row],[a1]]=1,Tab.o1[[#This Row],[b1]]&lt;=AY$4),#REF!,AY716),"")</f>
        <v/>
      </c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6"/>
      <c r="BO717" s="26"/>
      <c r="BP717" s="26"/>
      <c r="BQ717" s="26"/>
      <c r="BR717" s="26"/>
      <c r="BS717" s="26"/>
      <c r="BT717" s="26"/>
      <c r="BU717" s="26"/>
      <c r="BV717" s="26"/>
      <c r="BW717" s="26"/>
      <c r="BX717" s="26"/>
      <c r="BY717" s="26"/>
      <c r="BZ717" s="26"/>
      <c r="CA717" s="26"/>
    </row>
    <row r="718" spans="1:79" s="143" customFormat="1" ht="15.75" hidden="1">
      <c r="A718" s="109">
        <v>2.9999999999999997E-6</v>
      </c>
      <c r="B718" s="110">
        <f t="shared" si="44"/>
        <v>718</v>
      </c>
      <c r="C718" s="111" t="str">
        <f>IF(C$1=[1]!T.in.A[[#This Row],[oo2]],1,"")</f>
        <v/>
      </c>
      <c r="D718" s="112" t="str">
        <f>IF(Tab.o1[[#This Row],[a1]]=1,IF(SUM(C718:C719)=0,0,IF(SUM(C717:C718)=1,1,IF(SUM(C717:C719)&gt;1,D717+1,0))),"")</f>
        <v/>
      </c>
      <c r="E718" s="113" t="str">
        <f>IF(Tab.o1[[#This Row],[a1]]=1,[1]!T.in.A[[#This Row],[oo1]],"")</f>
        <v/>
      </c>
      <c r="F718" s="113" t="str">
        <f>IF(Tab.o1[[#This Row],[a1]]=1,[1]!T.in.A[[#This Row],[pp1]],"")</f>
        <v/>
      </c>
      <c r="G718" s="114" t="str">
        <f>IF(Tab.o1[[#This Row],[a1]]=1,G$2+IF(G$1=1,0,Tab.o1[[#This Row],[.x1]])+[1]!T.in.A[[#This Row],[oo3]],"")</f>
        <v/>
      </c>
      <c r="H718" s="115" t="str">
        <f>IF(Tab.o1[[#This Row],[a1]]=1,IF(H$2=0,0,IF(G$1=1,0,Tab.o1[[#This Row],[.x1]])+[1]!T.in.A[[#This Row],[oo4]]),"")</f>
        <v/>
      </c>
      <c r="I718" s="116" t="str">
        <f>IF(Tab.o1[[#This Row],[a1]]=1,IF(J$2=0,Tab.o1[[#This Row],[MED]],Tab.o1[[#This Row],[MOD]]),"")</f>
        <v/>
      </c>
      <c r="J718" s="116" t="str">
        <f>IF(Tab.o1[[#This Row],[a1]]=1,((Tab.o1[[#This Row],[DIF_Target.]]-AVERAGE(Tab.o1[DIF_Target.]))/_xlfn.STDEV.P(Tab.o1[DIF_Target.])),"")</f>
        <v/>
      </c>
      <c r="K718" s="117" t="str">
        <f>IF(Tab.o1[[#This Row],[a1]]=1,IF(J$2=0,Tab.o1[[#This Row],[MOD]]-Tab.o1[[#This Row],[B]],IF(J$2=1,0,-Tab.o1[[#This Row],[MED]])+Tab.o1[[#This Row],[B]]),"")</f>
        <v/>
      </c>
      <c r="L718" s="117" t="str">
        <f ca="1">IF(Tab.o1[[#This Row],[DIF_Target]]=0,IF(L$2=0,Tab.o1[[#This Row],[DIF_Target]],AVERAGE(OFFSET(Tab.o1[[#This Row],[DIF_Target]],1,0,L$3,1)))/3,Tab.o1[[#This Row],[DIF_Target]])</f>
        <v/>
      </c>
      <c r="M718" s="118" t="str">
        <f>IF(Tab.o1[[#This Row],[a1]]=1,NORMSDIST(Tab.o1[[#This Row],[Za]]),"")</f>
        <v/>
      </c>
      <c r="N718" s="119" t="str">
        <f>IF(Tab.o1[[#This Row],[a1]]=1,((Tab.o1[[#This Row],[MedMod]]-AVERAGE(Tab.o1[MedMod]))/_xlfn.STDEV.P(Tab.o1[MedMod])*H$1205)+G$1205,"")</f>
        <v/>
      </c>
      <c r="O718" s="141" t="str">
        <f>IF(Tab.o1[[#This Row],[a1]]=1,Tab.o1[[#This Row],[Zb]]*_xlfn.STDEV.P(Tab.o1[MedMod])+AVERAGE(Tab.o1[MedMod]),"")</f>
        <v/>
      </c>
      <c r="P718" s="117" t="str">
        <f ca="1">IF(Tab.o1[[#This Row],[B]]=0,AVERAGE(OFFSET(Tab.o1[[#This Row],[B]],1,0,L$3,1)),Tab.o1[[#This Row],[B]])</f>
        <v/>
      </c>
      <c r="Q718" s="121" t="str">
        <f>IF(Tab.o1[[#This Row],[a1]]=1,NORMSDIST(Tab.o1[[#This Row],[Zb]]),"")</f>
        <v/>
      </c>
      <c r="R718" s="122" t="str">
        <f>IF(Tab.o1[[#This Row],[a1]]=1,((Tab.o1[[#This Row],[MedMod]]-AVERAGE(Tab.o1[MedMod]))/_xlfn.STDEV.P(Tab.o1[MedMod])*H$1203)+G$1203,"")</f>
        <v/>
      </c>
      <c r="S718" s="122" t="str">
        <f>IF(Tab.o1[[#This Row],[a1]]=1,((Tab.o1[[#This Row],[MedMod]]-AVERAGE(Tab.o1[MedMod]))/_xlfn.STDEV.P(Tab.o1[MedMod])*H$1204)+G$1204,"")</f>
        <v/>
      </c>
      <c r="T718" s="123" t="str">
        <f>IF(Tab.o1[[#This Row],[a1]]=1,Tab.o1[[#This Row],[Z-]]*_xlfn.STDEV.P(Tab.o1[B])+AVERAGE(Tab.o1[B]),"")</f>
        <v/>
      </c>
      <c r="U718" s="123" t="str">
        <f>IF(Tab.o1[[#This Row],[a1]]=1,Tab.o1[[#This Row],[z+]]*_xlfn.STDEV.P(Tab.o1[B])+AVERAGE(Tab.o1[B]),"")</f>
        <v/>
      </c>
      <c r="V718" s="124" t="str">
        <f>IF(Tab.o1[[#This Row],[a1]]=1,ABS((ABS(Tab.o1[[#This Row],[Red]]-Tab.o1[[#This Row],[Blue]]))),"")</f>
        <v/>
      </c>
      <c r="W718" s="125" t="str">
        <f>IF(Tab.o1[[#This Row],[a1]]=1,IF(W$3=0,1,Tab.o1[[#This Row],[Amp.]]*1/_xlfn.MINIFS(Tab.o1[Amp.],Tab.o1[Amp.],"&lt;&gt;0")),"")</f>
        <v/>
      </c>
      <c r="X718" s="126" t="str">
        <f>IF(Tab.o1[[#This Row],[a1]]=1,IF(ISNUMBER(Tab.o1[[#This Row],[i.]]),NORMDIST(Tab.o1[[#This Row],[Za]],0,1,FALSE)*Tab.o1[[#This Row],[i.]],AP$3),"")</f>
        <v/>
      </c>
      <c r="Y718" s="126" t="str">
        <f>IF(Tab.o1[[#This Row],[a1]]=1,0.01+0.94*Tab.o1[[#This Row],[PDF]]/MAX(Tab.o1[PDF]),"")</f>
        <v/>
      </c>
      <c r="Z718" s="126" t="str">
        <f>IF(Tab.o1[[#This Row],[a1]]=1,0.01+0.94*Tab.o1[[#This Row],[W1_PDF]]/MAX(Tab.o1[W1_PDF]),"")</f>
        <v/>
      </c>
      <c r="AA718" s="118" t="str">
        <f>IF(Tab.o1[[#This Row],[a1]]=1,ABS([1]!T.in.A[[#This Row],[oo6]]),"")</f>
        <v/>
      </c>
      <c r="AB718" s="127" t="str">
        <f>IF(Tab.o1[[#This Row],[a1]]=1,IF(AE$3=0,"",IF(AB$3=0,ABS([1]!T.in.A[[#This Row],[oo9]]),ABS(Tab.o1[[#This Row],[DIF_Target.]]*Tab.o1[[#This Row],[W1_PDF]]))),"")</f>
        <v/>
      </c>
      <c r="AC718" s="127" t="str">
        <f>IF(G$1=1,"",IF(Tab.o1[[#This Row],[a1]]=1,Tab.o1[[#This Row],[Wr]]^2,""))</f>
        <v/>
      </c>
      <c r="AD718" s="118" t="str">
        <f>IF(Tab.o1[[#This Row],[a1]]=1,IF(AE$3=0,"",Tab.o1[[#This Row],[Wr2]]/SUM(Tab.o1[Wr2])),"")</f>
        <v/>
      </c>
      <c r="AE718" s="128" t="str">
        <f>IF(Tab.o1[[#This Row],[a1]]=1,[1]!T.in.A[[#This Row],[oo10]],"")</f>
        <v/>
      </c>
      <c r="AF718" s="118" t="str">
        <f>IF(Tab.o1[[#This Row],[a1]]=1,ABS(Tab.o1[[#This Row],[DIF_Target.]]*Tab.o1[[#This Row],[PDF2]]*Tab.o1[[#This Row],[IN]]),"")</f>
        <v/>
      </c>
      <c r="AG718" s="129" t="str">
        <f>IF(Tab.o1[[#This Row],[a1]]=1,Tab.o1[[#This Row],[rW]]^2,"")</f>
        <v/>
      </c>
      <c r="AH718" s="130" t="str">
        <f>IF(Tab.o1[[#This Row],[a1]]=1,IF(AH$3=0,Tab.o1[[#This Row],[rW2]],0.01+0.94*Tab.o1[[#This Row],[rW2]]/SUM(Tab.o1[rW2])),"")</f>
        <v/>
      </c>
      <c r="AI718" s="128" t="str">
        <f>IF(Tab.o1[[#This Row],[a1]]=1,1/Tab.o1[[#This Row],[PDF]],"")</f>
        <v/>
      </c>
      <c r="AJ718" s="131" t="str">
        <f>IF(Tab.o1[[#This Row],[a1]]=1,[1]!T_AA[[#This Row],[IN'']]*[1]!T_AA[[#This Row],[Qde'']],"")</f>
        <v/>
      </c>
      <c r="AK718" s="132" t="str">
        <f>IF(Tab.o1[[#This Row],[a1]]=1,IF(AK$1=1,Tab.o1[[#This Row],[MED]]+Tab.o1[[#This Row],[MOD]]-Tab.o1[[#This Row],[MED]],""),"")</f>
        <v/>
      </c>
      <c r="AL718" s="133" t="str">
        <f>IF(Tab.o1[[#This Row],[a1]]=1,[1]!T.in.A[[#This Row],[oo16]],"")</f>
        <v/>
      </c>
      <c r="AM718" s="133" t="str">
        <f>IF(Tab.o1[[#This Row],[a1]]=1,IF(AM$3=1,[1]!T.in.A[[#This Row],[Σo16]],""),"")</f>
        <v/>
      </c>
      <c r="AN718" s="126" t="str">
        <f>IF(Tab.o1[[#This Row],[a1]]=1,[1]!T.in.A[[#This Row],[Σp5]],"")</f>
        <v/>
      </c>
      <c r="AO718" s="126" t="str">
        <f>IF(Tab.o1[[#This Row],[a1]]=1,IF(AO$3=1,[1]!T.in.A[[#This Row],[Σp5]],""),"")</f>
        <v/>
      </c>
      <c r="AP718" s="110" t="str">
        <f>IF(Tab.o1[[#This Row],[a1]]=1,IF(ISNUMBER(Tab.o1[[#This Row],[i.]]),NORMDIST(Tab.o1[[#This Row],[Za]],0,1,FALSE)*Tab.o1[[#This Row],[i.]],0),"")</f>
        <v/>
      </c>
      <c r="AQ718" s="125" t="str">
        <f>IF(Tab.o1[[#This Row],[a1]]=1,ABS(Tab.o1[[#This Row],[MOD]]-AVERAGE(Tab.o1[MOD])),"")</f>
        <v/>
      </c>
      <c r="AR718" s="134" t="str">
        <f>IF(Tab.o1[[#This Row],[a1]]=1,Tab.o1[[#This Row],[OBS]]/SUM(Tab.o1[OBS]),"")</f>
        <v/>
      </c>
      <c r="AS718" s="135" t="str">
        <f>IF(ISNUMBER(Tab.o1[[#This Row],[a1]]),ROW()-4,"")</f>
        <v/>
      </c>
      <c r="AT718" s="136" t="str">
        <f>Tab.o1[[#This Row],[MOD]]</f>
        <v/>
      </c>
      <c r="AU718" s="137" t="str">
        <f t="shared" si="45"/>
        <v/>
      </c>
      <c r="AV718" s="138" t="str">
        <f t="shared" si="46"/>
        <v/>
      </c>
      <c r="AW718" s="138" t="str">
        <f t="shared" si="47"/>
        <v/>
      </c>
      <c r="AX718" s="139" t="str">
        <f>[1]!T.in.A[[#This Row],[ID_T_manu]]</f>
        <v/>
      </c>
      <c r="AY718" s="140" t="str">
        <f>IF(ISNUMBER(Tab.o1[[#This Row],[a1]]),IF(AND(Tab.o1[[#This Row],[a1]]=1,Tab.o1[[#This Row],[b1]]&lt;=AY$4),#REF!,AY717),"")</f>
        <v/>
      </c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26"/>
    </row>
    <row r="719" spans="1:79" s="143" customFormat="1" ht="15.75" hidden="1">
      <c r="A719" s="109">
        <v>2.0000000000000003E-6</v>
      </c>
      <c r="B719" s="110">
        <f t="shared" si="44"/>
        <v>719</v>
      </c>
      <c r="C719" s="111" t="str">
        <f>IF(C$1=[1]!T.in.A[[#This Row],[oo2]],1,"")</f>
        <v/>
      </c>
      <c r="D719" s="112" t="str">
        <f>IF(Tab.o1[[#This Row],[a1]]=1,IF(SUM(C719:C720)=0,0,IF(SUM(C718:C719)=1,1,IF(SUM(C718:C720)&gt;1,D718+1,0))),"")</f>
        <v/>
      </c>
      <c r="E719" s="113" t="str">
        <f>IF(Tab.o1[[#This Row],[a1]]=1,[1]!T.in.A[[#This Row],[oo1]],"")</f>
        <v/>
      </c>
      <c r="F719" s="113" t="str">
        <f>IF(Tab.o1[[#This Row],[a1]]=1,[1]!T.in.A[[#This Row],[pp1]],"")</f>
        <v/>
      </c>
      <c r="G719" s="114" t="str">
        <f>IF(Tab.o1[[#This Row],[a1]]=1,G$2+IF(G$1=1,0,Tab.o1[[#This Row],[.x1]])+[1]!T.in.A[[#This Row],[oo3]],"")</f>
        <v/>
      </c>
      <c r="H719" s="115" t="str">
        <f>IF(Tab.o1[[#This Row],[a1]]=1,IF(H$2=0,0,IF(G$1=1,0,Tab.o1[[#This Row],[.x1]])+[1]!T.in.A[[#This Row],[oo4]]),"")</f>
        <v/>
      </c>
      <c r="I719" s="116" t="str">
        <f>IF(Tab.o1[[#This Row],[a1]]=1,IF(J$2=0,Tab.o1[[#This Row],[MED]],Tab.o1[[#This Row],[MOD]]),"")</f>
        <v/>
      </c>
      <c r="J719" s="116" t="str">
        <f>IF(Tab.o1[[#This Row],[a1]]=1,((Tab.o1[[#This Row],[DIF_Target.]]-AVERAGE(Tab.o1[DIF_Target.]))/_xlfn.STDEV.P(Tab.o1[DIF_Target.])),"")</f>
        <v/>
      </c>
      <c r="K719" s="117" t="str">
        <f>IF(Tab.o1[[#This Row],[a1]]=1,IF(J$2=0,Tab.o1[[#This Row],[MOD]]-Tab.o1[[#This Row],[B]],IF(J$2=1,0,-Tab.o1[[#This Row],[MED]])+Tab.o1[[#This Row],[B]]),"")</f>
        <v/>
      </c>
      <c r="L719" s="117" t="str">
        <f ca="1">IF(Tab.o1[[#This Row],[DIF_Target]]=0,IF(L$2=0,Tab.o1[[#This Row],[DIF_Target]],AVERAGE(OFFSET(Tab.o1[[#This Row],[DIF_Target]],1,0,L$3,1)))/3,Tab.o1[[#This Row],[DIF_Target]])</f>
        <v/>
      </c>
      <c r="M719" s="118" t="str">
        <f>IF(Tab.o1[[#This Row],[a1]]=1,NORMSDIST(Tab.o1[[#This Row],[Za]]),"")</f>
        <v/>
      </c>
      <c r="N719" s="119" t="str">
        <f>IF(Tab.o1[[#This Row],[a1]]=1,((Tab.o1[[#This Row],[MedMod]]-AVERAGE(Tab.o1[MedMod]))/_xlfn.STDEV.P(Tab.o1[MedMod])*H$1205)+G$1205,"")</f>
        <v/>
      </c>
      <c r="O719" s="141" t="str">
        <f>IF(Tab.o1[[#This Row],[a1]]=1,Tab.o1[[#This Row],[Zb]]*_xlfn.STDEV.P(Tab.o1[MedMod])+AVERAGE(Tab.o1[MedMod]),"")</f>
        <v/>
      </c>
      <c r="P719" s="117" t="str">
        <f ca="1">IF(Tab.o1[[#This Row],[B]]=0,AVERAGE(OFFSET(Tab.o1[[#This Row],[B]],1,0,L$3,1)),Tab.o1[[#This Row],[B]])</f>
        <v/>
      </c>
      <c r="Q719" s="121" t="str">
        <f>IF(Tab.o1[[#This Row],[a1]]=1,NORMSDIST(Tab.o1[[#This Row],[Zb]]),"")</f>
        <v/>
      </c>
      <c r="R719" s="122" t="str">
        <f>IF(Tab.o1[[#This Row],[a1]]=1,((Tab.o1[[#This Row],[MedMod]]-AVERAGE(Tab.o1[MedMod]))/_xlfn.STDEV.P(Tab.o1[MedMod])*H$1203)+G$1203,"")</f>
        <v/>
      </c>
      <c r="S719" s="122" t="str">
        <f>IF(Tab.o1[[#This Row],[a1]]=1,((Tab.o1[[#This Row],[MedMod]]-AVERAGE(Tab.o1[MedMod]))/_xlfn.STDEV.P(Tab.o1[MedMod])*H$1204)+G$1204,"")</f>
        <v/>
      </c>
      <c r="T719" s="123" t="str">
        <f>IF(Tab.o1[[#This Row],[a1]]=1,Tab.o1[[#This Row],[Z-]]*_xlfn.STDEV.P(Tab.o1[B])+AVERAGE(Tab.o1[B]),"")</f>
        <v/>
      </c>
      <c r="U719" s="123" t="str">
        <f>IF(Tab.o1[[#This Row],[a1]]=1,Tab.o1[[#This Row],[z+]]*_xlfn.STDEV.P(Tab.o1[B])+AVERAGE(Tab.o1[B]),"")</f>
        <v/>
      </c>
      <c r="V719" s="124" t="str">
        <f>IF(Tab.o1[[#This Row],[a1]]=1,ABS((ABS(Tab.o1[[#This Row],[Red]]-Tab.o1[[#This Row],[Blue]]))),"")</f>
        <v/>
      </c>
      <c r="W719" s="125" t="str">
        <f>IF(Tab.o1[[#This Row],[a1]]=1,IF(W$3=0,1,Tab.o1[[#This Row],[Amp.]]*1/_xlfn.MINIFS(Tab.o1[Amp.],Tab.o1[Amp.],"&lt;&gt;0")),"")</f>
        <v/>
      </c>
      <c r="X719" s="126" t="str">
        <f>IF(Tab.o1[[#This Row],[a1]]=1,IF(ISNUMBER(Tab.o1[[#This Row],[i.]]),NORMDIST(Tab.o1[[#This Row],[Za]],0,1,FALSE)*Tab.o1[[#This Row],[i.]],AP$3),"")</f>
        <v/>
      </c>
      <c r="Y719" s="126" t="str">
        <f>IF(Tab.o1[[#This Row],[a1]]=1,0.01+0.94*Tab.o1[[#This Row],[PDF]]/MAX(Tab.o1[PDF]),"")</f>
        <v/>
      </c>
      <c r="Z719" s="126" t="str">
        <f>IF(Tab.o1[[#This Row],[a1]]=1,0.01+0.94*Tab.o1[[#This Row],[W1_PDF]]/MAX(Tab.o1[W1_PDF]),"")</f>
        <v/>
      </c>
      <c r="AA719" s="118" t="str">
        <f>IF(Tab.o1[[#This Row],[a1]]=1,ABS([1]!T.in.A[[#This Row],[oo6]]),"")</f>
        <v/>
      </c>
      <c r="AB719" s="127" t="str">
        <f>IF(Tab.o1[[#This Row],[a1]]=1,IF(AE$3=0,"",IF(AB$3=0,ABS([1]!T.in.A[[#This Row],[oo9]]),ABS(Tab.o1[[#This Row],[DIF_Target.]]*Tab.o1[[#This Row],[W1_PDF]]))),"")</f>
        <v/>
      </c>
      <c r="AC719" s="127" t="str">
        <f>IF(G$1=1,"",IF(Tab.o1[[#This Row],[a1]]=1,Tab.o1[[#This Row],[Wr]]^2,""))</f>
        <v/>
      </c>
      <c r="AD719" s="118" t="str">
        <f>IF(Tab.o1[[#This Row],[a1]]=1,IF(AE$3=0,"",Tab.o1[[#This Row],[Wr2]]/SUM(Tab.o1[Wr2])),"")</f>
        <v/>
      </c>
      <c r="AE719" s="128" t="str">
        <f>IF(Tab.o1[[#This Row],[a1]]=1,[1]!T.in.A[[#This Row],[oo10]],"")</f>
        <v/>
      </c>
      <c r="AF719" s="118" t="str">
        <f>IF(Tab.o1[[#This Row],[a1]]=1,ABS(Tab.o1[[#This Row],[DIF_Target.]]*Tab.o1[[#This Row],[PDF2]]*Tab.o1[[#This Row],[IN]]),"")</f>
        <v/>
      </c>
      <c r="AG719" s="129" t="str">
        <f>IF(Tab.o1[[#This Row],[a1]]=1,Tab.o1[[#This Row],[rW]]^2,"")</f>
        <v/>
      </c>
      <c r="AH719" s="130" t="str">
        <f>IF(Tab.o1[[#This Row],[a1]]=1,IF(AH$3=0,Tab.o1[[#This Row],[rW2]],0.01+0.94*Tab.o1[[#This Row],[rW2]]/SUM(Tab.o1[rW2])),"")</f>
        <v/>
      </c>
      <c r="AI719" s="128" t="str">
        <f>IF(Tab.o1[[#This Row],[a1]]=1,1/Tab.o1[[#This Row],[PDF]],"")</f>
        <v/>
      </c>
      <c r="AJ719" s="131" t="str">
        <f>IF(Tab.o1[[#This Row],[a1]]=1,[1]!T_AA[[#This Row],[IN'']]*[1]!T_AA[[#This Row],[Qde'']],"")</f>
        <v/>
      </c>
      <c r="AK719" s="132" t="str">
        <f>IF(Tab.o1[[#This Row],[a1]]=1,IF(AK$1=1,Tab.o1[[#This Row],[MED]]+Tab.o1[[#This Row],[MOD]]-Tab.o1[[#This Row],[MED]],""),"")</f>
        <v/>
      </c>
      <c r="AL719" s="133" t="str">
        <f>IF(Tab.o1[[#This Row],[a1]]=1,[1]!T.in.A[[#This Row],[oo16]],"")</f>
        <v/>
      </c>
      <c r="AM719" s="133" t="str">
        <f>IF(Tab.o1[[#This Row],[a1]]=1,IF(AM$3=1,[1]!T.in.A[[#This Row],[Σo16]],""),"")</f>
        <v/>
      </c>
      <c r="AN719" s="126" t="str">
        <f>IF(Tab.o1[[#This Row],[a1]]=1,[1]!T.in.A[[#This Row],[Σp5]],"")</f>
        <v/>
      </c>
      <c r="AO719" s="126" t="str">
        <f>IF(Tab.o1[[#This Row],[a1]]=1,IF(AO$3=1,[1]!T.in.A[[#This Row],[Σp5]],""),"")</f>
        <v/>
      </c>
      <c r="AP719" s="110" t="str">
        <f>IF(Tab.o1[[#This Row],[a1]]=1,IF(ISNUMBER(Tab.o1[[#This Row],[i.]]),NORMDIST(Tab.o1[[#This Row],[Za]],0,1,FALSE)*Tab.o1[[#This Row],[i.]],0),"")</f>
        <v/>
      </c>
      <c r="AQ719" s="125" t="str">
        <f>IF(Tab.o1[[#This Row],[a1]]=1,ABS(Tab.o1[[#This Row],[MOD]]-AVERAGE(Tab.o1[MOD])),"")</f>
        <v/>
      </c>
      <c r="AR719" s="134" t="str">
        <f>IF(Tab.o1[[#This Row],[a1]]=1,Tab.o1[[#This Row],[OBS]]/SUM(Tab.o1[OBS]),"")</f>
        <v/>
      </c>
      <c r="AS719" s="135" t="str">
        <f>IF(ISNUMBER(Tab.o1[[#This Row],[a1]]),ROW()-4,"")</f>
        <v/>
      </c>
      <c r="AT719" s="136" t="str">
        <f>Tab.o1[[#This Row],[MOD]]</f>
        <v/>
      </c>
      <c r="AU719" s="137" t="str">
        <f t="shared" si="45"/>
        <v/>
      </c>
      <c r="AV719" s="138" t="str">
        <f t="shared" si="46"/>
        <v/>
      </c>
      <c r="AW719" s="138" t="str">
        <f t="shared" si="47"/>
        <v/>
      </c>
      <c r="AX719" s="139" t="str">
        <f>[1]!T.in.A[[#This Row],[ID_T_manu]]</f>
        <v/>
      </c>
      <c r="AY719" s="140" t="str">
        <f>IF(ISNUMBER(Tab.o1[[#This Row],[a1]]),IF(AND(Tab.o1[[#This Row],[a1]]=1,Tab.o1[[#This Row],[b1]]&lt;=AY$4),#REF!,AY718),"")</f>
        <v/>
      </c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6"/>
      <c r="BO719" s="26"/>
      <c r="BP719" s="26"/>
      <c r="BQ719" s="26"/>
      <c r="BR719" s="26"/>
      <c r="BS719" s="26"/>
      <c r="BT719" s="26"/>
      <c r="BU719" s="26"/>
      <c r="BV719" s="26"/>
      <c r="BW719" s="26"/>
      <c r="BX719" s="26"/>
      <c r="BY719" s="26"/>
      <c r="BZ719" s="26"/>
      <c r="CA719" s="26"/>
    </row>
    <row r="720" spans="1:79" s="143" customFormat="1" ht="15.75" hidden="1">
      <c r="A720" s="109">
        <v>1.0000000000000002E-6</v>
      </c>
      <c r="B720" s="110">
        <f t="shared" si="44"/>
        <v>720</v>
      </c>
      <c r="C720" s="111" t="str">
        <f>IF(C$1=[1]!T.in.A[[#This Row],[oo2]],1,"")</f>
        <v/>
      </c>
      <c r="D720" s="112" t="str">
        <f>IF(Tab.o1[[#This Row],[a1]]=1,IF(SUM(C720:C721)=0,0,IF(SUM(C719:C720)=1,1,IF(SUM(C719:C721)&gt;1,D719+1,0))),"")</f>
        <v/>
      </c>
      <c r="E720" s="113" t="str">
        <f>IF(Tab.o1[[#This Row],[a1]]=1,[1]!T.in.A[[#This Row],[oo1]],"")</f>
        <v/>
      </c>
      <c r="F720" s="113" t="str">
        <f>IF(Tab.o1[[#This Row],[a1]]=1,[1]!T.in.A[[#This Row],[pp1]],"")</f>
        <v/>
      </c>
      <c r="G720" s="114" t="str">
        <f>IF(Tab.o1[[#This Row],[a1]]=1,G$2+IF(G$1=1,0,Tab.o1[[#This Row],[.x1]])+[1]!T.in.A[[#This Row],[oo3]],"")</f>
        <v/>
      </c>
      <c r="H720" s="115" t="str">
        <f>IF(Tab.o1[[#This Row],[a1]]=1,IF(H$2=0,0,IF(G$1=1,0,Tab.o1[[#This Row],[.x1]])+[1]!T.in.A[[#This Row],[oo4]]),"")</f>
        <v/>
      </c>
      <c r="I720" s="116" t="str">
        <f>IF(Tab.o1[[#This Row],[a1]]=1,IF(J$2=0,Tab.o1[[#This Row],[MED]],Tab.o1[[#This Row],[MOD]]),"")</f>
        <v/>
      </c>
      <c r="J720" s="116" t="str">
        <f>IF(Tab.o1[[#This Row],[a1]]=1,((Tab.o1[[#This Row],[DIF_Target.]]-AVERAGE(Tab.o1[DIF_Target.]))/_xlfn.STDEV.P(Tab.o1[DIF_Target.])),"")</f>
        <v/>
      </c>
      <c r="K720" s="117" t="str">
        <f>IF(Tab.o1[[#This Row],[a1]]=1,IF(J$2=0,Tab.o1[[#This Row],[MOD]]-Tab.o1[[#This Row],[B]],IF(J$2=1,0,-Tab.o1[[#This Row],[MED]])+Tab.o1[[#This Row],[B]]),"")</f>
        <v/>
      </c>
      <c r="L720" s="117" t="str">
        <f ca="1">IF(Tab.o1[[#This Row],[DIF_Target]]=0,IF(L$2=0,Tab.o1[[#This Row],[DIF_Target]],AVERAGE(OFFSET(Tab.o1[[#This Row],[DIF_Target]],1,0,L$3,1)))/3,Tab.o1[[#This Row],[DIF_Target]])</f>
        <v/>
      </c>
      <c r="M720" s="118" t="str">
        <f>IF(Tab.o1[[#This Row],[a1]]=1,NORMSDIST(Tab.o1[[#This Row],[Za]]),"")</f>
        <v/>
      </c>
      <c r="N720" s="119" t="str">
        <f>IF(Tab.o1[[#This Row],[a1]]=1,((Tab.o1[[#This Row],[MedMod]]-AVERAGE(Tab.o1[MedMod]))/_xlfn.STDEV.P(Tab.o1[MedMod])*H$1205)+G$1205,"")</f>
        <v/>
      </c>
      <c r="O720" s="141" t="str">
        <f>IF(Tab.o1[[#This Row],[a1]]=1,Tab.o1[[#This Row],[Zb]]*_xlfn.STDEV.P(Tab.o1[MedMod])+AVERAGE(Tab.o1[MedMod]),"")</f>
        <v/>
      </c>
      <c r="P720" s="117" t="str">
        <f ca="1">IF(Tab.o1[[#This Row],[B]]=0,AVERAGE(OFFSET(Tab.o1[[#This Row],[B]],1,0,L$3,1)),Tab.o1[[#This Row],[B]])</f>
        <v/>
      </c>
      <c r="Q720" s="121" t="str">
        <f>IF(Tab.o1[[#This Row],[a1]]=1,NORMSDIST(Tab.o1[[#This Row],[Zb]]),"")</f>
        <v/>
      </c>
      <c r="R720" s="122" t="str">
        <f>IF(Tab.o1[[#This Row],[a1]]=1,((Tab.o1[[#This Row],[MedMod]]-AVERAGE(Tab.o1[MedMod]))/_xlfn.STDEV.P(Tab.o1[MedMod])*H$1203)+G$1203,"")</f>
        <v/>
      </c>
      <c r="S720" s="122" t="str">
        <f>IF(Tab.o1[[#This Row],[a1]]=1,((Tab.o1[[#This Row],[MedMod]]-AVERAGE(Tab.o1[MedMod]))/_xlfn.STDEV.P(Tab.o1[MedMod])*H$1204)+G$1204,"")</f>
        <v/>
      </c>
      <c r="T720" s="123" t="str">
        <f>IF(Tab.o1[[#This Row],[a1]]=1,Tab.o1[[#This Row],[Z-]]*_xlfn.STDEV.P(Tab.o1[B])+AVERAGE(Tab.o1[B]),"")</f>
        <v/>
      </c>
      <c r="U720" s="123" t="str">
        <f>IF(Tab.o1[[#This Row],[a1]]=1,Tab.o1[[#This Row],[z+]]*_xlfn.STDEV.P(Tab.o1[B])+AVERAGE(Tab.o1[B]),"")</f>
        <v/>
      </c>
      <c r="V720" s="124" t="str">
        <f>IF(Tab.o1[[#This Row],[a1]]=1,ABS((ABS(Tab.o1[[#This Row],[Red]]-Tab.o1[[#This Row],[Blue]]))),"")</f>
        <v/>
      </c>
      <c r="W720" s="125" t="str">
        <f>IF(Tab.o1[[#This Row],[a1]]=1,IF(W$3=0,1,Tab.o1[[#This Row],[Amp.]]*1/_xlfn.MINIFS(Tab.o1[Amp.],Tab.o1[Amp.],"&lt;&gt;0")),"")</f>
        <v/>
      </c>
      <c r="X720" s="126" t="str">
        <f>IF(Tab.o1[[#This Row],[a1]]=1,IF(ISNUMBER(Tab.o1[[#This Row],[i.]]),NORMDIST(Tab.o1[[#This Row],[Za]],0,1,FALSE)*Tab.o1[[#This Row],[i.]],AP$3),"")</f>
        <v/>
      </c>
      <c r="Y720" s="126" t="str">
        <f>IF(Tab.o1[[#This Row],[a1]]=1,0.01+0.94*Tab.o1[[#This Row],[PDF]]/MAX(Tab.o1[PDF]),"")</f>
        <v/>
      </c>
      <c r="Z720" s="126" t="str">
        <f>IF(Tab.o1[[#This Row],[a1]]=1,0.01+0.94*Tab.o1[[#This Row],[W1_PDF]]/MAX(Tab.o1[W1_PDF]),"")</f>
        <v/>
      </c>
      <c r="AA720" s="118" t="str">
        <f>IF(Tab.o1[[#This Row],[a1]]=1,ABS([1]!T.in.A[[#This Row],[oo6]]),"")</f>
        <v/>
      </c>
      <c r="AB720" s="127" t="str">
        <f>IF(Tab.o1[[#This Row],[a1]]=1,IF(AE$3=0,"",IF(AB$3=0,ABS([1]!T.in.A[[#This Row],[oo9]]),ABS(Tab.o1[[#This Row],[DIF_Target.]]*Tab.o1[[#This Row],[W1_PDF]]))),"")</f>
        <v/>
      </c>
      <c r="AC720" s="127" t="str">
        <f>IF(G$1=1,"",IF(Tab.o1[[#This Row],[a1]]=1,Tab.o1[[#This Row],[Wr]]^2,""))</f>
        <v/>
      </c>
      <c r="AD720" s="118" t="str">
        <f>IF(Tab.o1[[#This Row],[a1]]=1,IF(AE$3=0,"",Tab.o1[[#This Row],[Wr2]]/SUM(Tab.o1[Wr2])),"")</f>
        <v/>
      </c>
      <c r="AE720" s="128" t="str">
        <f>IF(Tab.o1[[#This Row],[a1]]=1,[1]!T.in.A[[#This Row],[oo10]],"")</f>
        <v/>
      </c>
      <c r="AF720" s="118" t="str">
        <f>IF(Tab.o1[[#This Row],[a1]]=1,ABS(Tab.o1[[#This Row],[DIF_Target.]]*Tab.o1[[#This Row],[PDF2]]*Tab.o1[[#This Row],[IN]]),"")</f>
        <v/>
      </c>
      <c r="AG720" s="129" t="str">
        <f>IF(Tab.o1[[#This Row],[a1]]=1,Tab.o1[[#This Row],[rW]]^2,"")</f>
        <v/>
      </c>
      <c r="AH720" s="130" t="str">
        <f>IF(Tab.o1[[#This Row],[a1]]=1,IF(AH$3=0,Tab.o1[[#This Row],[rW2]],0.01+0.94*Tab.o1[[#This Row],[rW2]]/SUM(Tab.o1[rW2])),"")</f>
        <v/>
      </c>
      <c r="AI720" s="128" t="str">
        <f>IF(Tab.o1[[#This Row],[a1]]=1,1/Tab.o1[[#This Row],[PDF]],"")</f>
        <v/>
      </c>
      <c r="AJ720" s="131" t="str">
        <f>IF(Tab.o1[[#This Row],[a1]]=1,[1]!T_AA[[#This Row],[IN'']]*[1]!T_AA[[#This Row],[Qde'']],"")</f>
        <v/>
      </c>
      <c r="AK720" s="132" t="str">
        <f>IF(Tab.o1[[#This Row],[a1]]=1,IF(AK$1=1,Tab.o1[[#This Row],[MED]]+Tab.o1[[#This Row],[MOD]]-Tab.o1[[#This Row],[MED]],""),"")</f>
        <v/>
      </c>
      <c r="AL720" s="133" t="str">
        <f>IF(Tab.o1[[#This Row],[a1]]=1,[1]!T.in.A[[#This Row],[oo16]],"")</f>
        <v/>
      </c>
      <c r="AM720" s="133" t="str">
        <f>IF(Tab.o1[[#This Row],[a1]]=1,IF(AM$3=1,[1]!T.in.A[[#This Row],[Σo16]],""),"")</f>
        <v/>
      </c>
      <c r="AN720" s="126" t="str">
        <f>IF(Tab.o1[[#This Row],[a1]]=1,[1]!T.in.A[[#This Row],[Σp5]],"")</f>
        <v/>
      </c>
      <c r="AO720" s="126" t="str">
        <f>IF(Tab.o1[[#This Row],[a1]]=1,IF(AO$3=1,[1]!T.in.A[[#This Row],[Σp5]],""),"")</f>
        <v/>
      </c>
      <c r="AP720" s="110" t="str">
        <f>IF(Tab.o1[[#This Row],[a1]]=1,IF(ISNUMBER(Tab.o1[[#This Row],[i.]]),NORMDIST(Tab.o1[[#This Row],[Za]],0,1,FALSE)*Tab.o1[[#This Row],[i.]],0),"")</f>
        <v/>
      </c>
      <c r="AQ720" s="125" t="str">
        <f>IF(Tab.o1[[#This Row],[a1]]=1,ABS(Tab.o1[[#This Row],[MOD]]-AVERAGE(Tab.o1[MOD])),"")</f>
        <v/>
      </c>
      <c r="AR720" s="134" t="str">
        <f>IF(Tab.o1[[#This Row],[a1]]=1,Tab.o1[[#This Row],[OBS]]/SUM(Tab.o1[OBS]),"")</f>
        <v/>
      </c>
      <c r="AS720" s="135" t="str">
        <f>IF(ISNUMBER(Tab.o1[[#This Row],[a1]]),ROW()-4,"")</f>
        <v/>
      </c>
      <c r="AT720" s="136" t="str">
        <f>Tab.o1[[#This Row],[MOD]]</f>
        <v/>
      </c>
      <c r="AU720" s="137" t="str">
        <f t="shared" si="45"/>
        <v/>
      </c>
      <c r="AV720" s="138" t="str">
        <f t="shared" si="46"/>
        <v/>
      </c>
      <c r="AW720" s="138" t="str">
        <f t="shared" si="47"/>
        <v/>
      </c>
      <c r="AX720" s="139" t="str">
        <f>[1]!T.in.A[[#This Row],[ID_T_manu]]</f>
        <v/>
      </c>
      <c r="AY720" s="140" t="str">
        <f>IF(ISNUMBER(Tab.o1[[#This Row],[a1]]),IF(AND(Tab.o1[[#This Row],[a1]]=1,Tab.o1[[#This Row],[b1]]&lt;=AY$4),#REF!,AY719),"")</f>
        <v/>
      </c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6"/>
      <c r="BO720" s="26"/>
      <c r="BP720" s="26"/>
      <c r="BQ720" s="26"/>
      <c r="BR720" s="26"/>
      <c r="BS720" s="26"/>
      <c r="BT720" s="26"/>
      <c r="BU720" s="26"/>
      <c r="BV720" s="26"/>
      <c r="BW720" s="26"/>
      <c r="BX720" s="26"/>
      <c r="BY720" s="26"/>
      <c r="BZ720" s="26"/>
      <c r="CA720" s="26"/>
    </row>
    <row r="721" spans="1:79" s="143" customFormat="1" ht="15.75" hidden="1">
      <c r="A721" s="109">
        <v>1.0000000000000002E-6</v>
      </c>
      <c r="B721" s="110">
        <f t="shared" si="44"/>
        <v>721</v>
      </c>
      <c r="C721" s="111" t="str">
        <f>IF(C$1=[1]!T.in.A[[#This Row],[oo2]],1,"")</f>
        <v/>
      </c>
      <c r="D721" s="112" t="str">
        <f>IF(Tab.o1[[#This Row],[a1]]=1,IF(SUM(C721:C722)=0,0,IF(SUM(C720:C721)=1,1,IF(SUM(C720:C722)&gt;1,D720+1,0))),"")</f>
        <v/>
      </c>
      <c r="E721" s="113" t="str">
        <f>IF(Tab.o1[[#This Row],[a1]]=1,[1]!T.in.A[[#This Row],[oo1]],"")</f>
        <v/>
      </c>
      <c r="F721" s="113" t="str">
        <f>IF(Tab.o1[[#This Row],[a1]]=1,[1]!T.in.A[[#This Row],[pp1]],"")</f>
        <v/>
      </c>
      <c r="G721" s="114" t="str">
        <f>IF(Tab.o1[[#This Row],[a1]]=1,G$2+IF(G$1=1,0,Tab.o1[[#This Row],[.x1]])+[1]!T.in.A[[#This Row],[oo3]],"")</f>
        <v/>
      </c>
      <c r="H721" s="115" t="str">
        <f>IF(Tab.o1[[#This Row],[a1]]=1,IF(H$2=0,0,IF(G$1=1,0,Tab.o1[[#This Row],[.x1]])+[1]!T.in.A[[#This Row],[oo4]]),"")</f>
        <v/>
      </c>
      <c r="I721" s="116" t="str">
        <f>IF(Tab.o1[[#This Row],[a1]]=1,IF(J$2=0,Tab.o1[[#This Row],[MED]],Tab.o1[[#This Row],[MOD]]),"")</f>
        <v/>
      </c>
      <c r="J721" s="116" t="str">
        <f>IF(Tab.o1[[#This Row],[a1]]=1,((Tab.o1[[#This Row],[DIF_Target.]]-AVERAGE(Tab.o1[DIF_Target.]))/_xlfn.STDEV.P(Tab.o1[DIF_Target.])),"")</f>
        <v/>
      </c>
      <c r="K721" s="117" t="str">
        <f>IF(Tab.o1[[#This Row],[a1]]=1,IF(J$2=0,Tab.o1[[#This Row],[MOD]]-Tab.o1[[#This Row],[B]],IF(J$2=1,0,-Tab.o1[[#This Row],[MED]])+Tab.o1[[#This Row],[B]]),"")</f>
        <v/>
      </c>
      <c r="L721" s="117" t="str">
        <f ca="1">IF(Tab.o1[[#This Row],[DIF_Target]]=0,IF(L$2=0,Tab.o1[[#This Row],[DIF_Target]],AVERAGE(OFFSET(Tab.o1[[#This Row],[DIF_Target]],1,0,L$3,1)))/3,Tab.o1[[#This Row],[DIF_Target]])</f>
        <v/>
      </c>
      <c r="M721" s="118" t="str">
        <f>IF(Tab.o1[[#This Row],[a1]]=1,NORMSDIST(Tab.o1[[#This Row],[Za]]),"")</f>
        <v/>
      </c>
      <c r="N721" s="119" t="str">
        <f>IF(Tab.o1[[#This Row],[a1]]=1,((Tab.o1[[#This Row],[MedMod]]-AVERAGE(Tab.o1[MedMod]))/_xlfn.STDEV.P(Tab.o1[MedMod])*H$1205)+G$1205,"")</f>
        <v/>
      </c>
      <c r="O721" s="141" t="str">
        <f>IF(Tab.o1[[#This Row],[a1]]=1,Tab.o1[[#This Row],[Zb]]*_xlfn.STDEV.P(Tab.o1[MedMod])+AVERAGE(Tab.o1[MedMod]),"")</f>
        <v/>
      </c>
      <c r="P721" s="117" t="str">
        <f ca="1">IF(Tab.o1[[#This Row],[B]]=0,AVERAGE(OFFSET(Tab.o1[[#This Row],[B]],1,0,L$3,1)),Tab.o1[[#This Row],[B]])</f>
        <v/>
      </c>
      <c r="Q721" s="121" t="str">
        <f>IF(Tab.o1[[#This Row],[a1]]=1,NORMSDIST(Tab.o1[[#This Row],[Zb]]),"")</f>
        <v/>
      </c>
      <c r="R721" s="122" t="str">
        <f>IF(Tab.o1[[#This Row],[a1]]=1,((Tab.o1[[#This Row],[MedMod]]-AVERAGE(Tab.o1[MedMod]))/_xlfn.STDEV.P(Tab.o1[MedMod])*H$1203)+G$1203,"")</f>
        <v/>
      </c>
      <c r="S721" s="122" t="str">
        <f>IF(Tab.o1[[#This Row],[a1]]=1,((Tab.o1[[#This Row],[MedMod]]-AVERAGE(Tab.o1[MedMod]))/_xlfn.STDEV.P(Tab.o1[MedMod])*H$1204)+G$1204,"")</f>
        <v/>
      </c>
      <c r="T721" s="123" t="str">
        <f>IF(Tab.o1[[#This Row],[a1]]=1,Tab.o1[[#This Row],[Z-]]*_xlfn.STDEV.P(Tab.o1[B])+AVERAGE(Tab.o1[B]),"")</f>
        <v/>
      </c>
      <c r="U721" s="123" t="str">
        <f>IF(Tab.o1[[#This Row],[a1]]=1,Tab.o1[[#This Row],[z+]]*_xlfn.STDEV.P(Tab.o1[B])+AVERAGE(Tab.o1[B]),"")</f>
        <v/>
      </c>
      <c r="V721" s="124" t="str">
        <f>IF(Tab.o1[[#This Row],[a1]]=1,ABS((ABS(Tab.o1[[#This Row],[Red]]-Tab.o1[[#This Row],[Blue]]))),"")</f>
        <v/>
      </c>
      <c r="W721" s="125" t="str">
        <f>IF(Tab.o1[[#This Row],[a1]]=1,IF(W$3=0,1,Tab.o1[[#This Row],[Amp.]]*1/_xlfn.MINIFS(Tab.o1[Amp.],Tab.o1[Amp.],"&lt;&gt;0")),"")</f>
        <v/>
      </c>
      <c r="X721" s="126" t="str">
        <f>IF(Tab.o1[[#This Row],[a1]]=1,IF(ISNUMBER(Tab.o1[[#This Row],[i.]]),NORMDIST(Tab.o1[[#This Row],[Za]],0,1,FALSE)*Tab.o1[[#This Row],[i.]],AP$3),"")</f>
        <v/>
      </c>
      <c r="Y721" s="126" t="str">
        <f>IF(Tab.o1[[#This Row],[a1]]=1,0.01+0.94*Tab.o1[[#This Row],[PDF]]/MAX(Tab.o1[PDF]),"")</f>
        <v/>
      </c>
      <c r="Z721" s="126" t="str">
        <f>IF(Tab.o1[[#This Row],[a1]]=1,0.01+0.94*Tab.o1[[#This Row],[W1_PDF]]/MAX(Tab.o1[W1_PDF]),"")</f>
        <v/>
      </c>
      <c r="AA721" s="118" t="str">
        <f>IF(Tab.o1[[#This Row],[a1]]=1,ABS([1]!T.in.A[[#This Row],[oo6]]),"")</f>
        <v/>
      </c>
      <c r="AB721" s="127" t="str">
        <f>IF(Tab.o1[[#This Row],[a1]]=1,IF(AE$3=0,"",IF(AB$3=0,ABS([1]!T.in.A[[#This Row],[oo9]]),ABS(Tab.o1[[#This Row],[DIF_Target.]]*Tab.o1[[#This Row],[W1_PDF]]))),"")</f>
        <v/>
      </c>
      <c r="AC721" s="127" t="str">
        <f>IF(G$1=1,"",IF(Tab.o1[[#This Row],[a1]]=1,Tab.o1[[#This Row],[Wr]]^2,""))</f>
        <v/>
      </c>
      <c r="AD721" s="118" t="str">
        <f>IF(Tab.o1[[#This Row],[a1]]=1,IF(AE$3=0,"",Tab.o1[[#This Row],[Wr2]]/SUM(Tab.o1[Wr2])),"")</f>
        <v/>
      </c>
      <c r="AE721" s="128" t="str">
        <f>IF(Tab.o1[[#This Row],[a1]]=1,[1]!T.in.A[[#This Row],[oo10]],"")</f>
        <v/>
      </c>
      <c r="AF721" s="118" t="str">
        <f>IF(Tab.o1[[#This Row],[a1]]=1,ABS(Tab.o1[[#This Row],[DIF_Target.]]*Tab.o1[[#This Row],[PDF2]]*Tab.o1[[#This Row],[IN]]),"")</f>
        <v/>
      </c>
      <c r="AG721" s="129" t="str">
        <f>IF(Tab.o1[[#This Row],[a1]]=1,Tab.o1[[#This Row],[rW]]^2,"")</f>
        <v/>
      </c>
      <c r="AH721" s="130" t="str">
        <f>IF(Tab.o1[[#This Row],[a1]]=1,IF(AH$3=0,Tab.o1[[#This Row],[rW2]],0.01+0.94*Tab.o1[[#This Row],[rW2]]/SUM(Tab.o1[rW2])),"")</f>
        <v/>
      </c>
      <c r="AI721" s="128" t="str">
        <f>IF(Tab.o1[[#This Row],[a1]]=1,1/Tab.o1[[#This Row],[PDF]],"")</f>
        <v/>
      </c>
      <c r="AJ721" s="131" t="str">
        <f>IF(Tab.o1[[#This Row],[a1]]=1,[1]!T_AA[[#This Row],[IN'']]*[1]!T_AA[[#This Row],[Qde'']],"")</f>
        <v/>
      </c>
      <c r="AK721" s="132" t="str">
        <f>IF(Tab.o1[[#This Row],[a1]]=1,IF(AK$1=1,Tab.o1[[#This Row],[MED]]+Tab.o1[[#This Row],[MOD]]-Tab.o1[[#This Row],[MED]],""),"")</f>
        <v/>
      </c>
      <c r="AL721" s="133" t="str">
        <f>IF(Tab.o1[[#This Row],[a1]]=1,[1]!T.in.A[[#This Row],[oo16]],"")</f>
        <v/>
      </c>
      <c r="AM721" s="133" t="str">
        <f>IF(Tab.o1[[#This Row],[a1]]=1,IF(AM$3=1,[1]!T.in.A[[#This Row],[Σo16]],""),"")</f>
        <v/>
      </c>
      <c r="AN721" s="126" t="str">
        <f>IF(Tab.o1[[#This Row],[a1]]=1,[1]!T.in.A[[#This Row],[Σp5]],"")</f>
        <v/>
      </c>
      <c r="AO721" s="126" t="str">
        <f>IF(Tab.o1[[#This Row],[a1]]=1,IF(AO$3=1,[1]!T.in.A[[#This Row],[Σp5]],""),"")</f>
        <v/>
      </c>
      <c r="AP721" s="110" t="str">
        <f>IF(Tab.o1[[#This Row],[a1]]=1,IF(ISNUMBER(Tab.o1[[#This Row],[i.]]),NORMDIST(Tab.o1[[#This Row],[Za]],0,1,FALSE)*Tab.o1[[#This Row],[i.]],0),"")</f>
        <v/>
      </c>
      <c r="AQ721" s="125" t="str">
        <f>IF(Tab.o1[[#This Row],[a1]]=1,ABS(Tab.o1[[#This Row],[MOD]]-AVERAGE(Tab.o1[MOD])),"")</f>
        <v/>
      </c>
      <c r="AR721" s="134" t="str">
        <f>IF(Tab.o1[[#This Row],[a1]]=1,Tab.o1[[#This Row],[OBS]]/SUM(Tab.o1[OBS]),"")</f>
        <v/>
      </c>
      <c r="AS721" s="135" t="str">
        <f>IF(ISNUMBER(Tab.o1[[#This Row],[a1]]),ROW()-4,"")</f>
        <v/>
      </c>
      <c r="AT721" s="136" t="str">
        <f>Tab.o1[[#This Row],[MOD]]</f>
        <v/>
      </c>
      <c r="AU721" s="137" t="str">
        <f t="shared" si="45"/>
        <v/>
      </c>
      <c r="AV721" s="138" t="str">
        <f t="shared" si="46"/>
        <v/>
      </c>
      <c r="AW721" s="138" t="str">
        <f t="shared" si="47"/>
        <v/>
      </c>
      <c r="AX721" s="139" t="str">
        <f>[1]!T.in.A[[#This Row],[ID_T_manu]]</f>
        <v/>
      </c>
      <c r="AY721" s="140" t="str">
        <f>IF(ISNUMBER(Tab.o1[[#This Row],[a1]]),IF(AND(Tab.o1[[#This Row],[a1]]=1,Tab.o1[[#This Row],[b1]]&lt;=AY$4),#REF!,AY720),"")</f>
        <v/>
      </c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6"/>
      <c r="BO721" s="26"/>
      <c r="BP721" s="26"/>
      <c r="BQ721" s="26"/>
      <c r="BR721" s="26"/>
      <c r="BS721" s="26"/>
      <c r="BT721" s="26"/>
      <c r="BU721" s="26"/>
      <c r="BV721" s="26"/>
      <c r="BW721" s="26"/>
      <c r="BX721" s="26"/>
      <c r="BY721" s="26"/>
      <c r="BZ721" s="26"/>
      <c r="CA721" s="26"/>
    </row>
    <row r="722" spans="1:79" s="143" customFormat="1" ht="15.75" hidden="1">
      <c r="A722" s="109">
        <v>8.0000000000000013E-6</v>
      </c>
      <c r="B722" s="110">
        <f t="shared" si="44"/>
        <v>722</v>
      </c>
      <c r="C722" s="111" t="str">
        <f>IF(C$1=[1]!T.in.A[[#This Row],[oo2]],1,"")</f>
        <v/>
      </c>
      <c r="D722" s="112" t="str">
        <f>IF(Tab.o1[[#This Row],[a1]]=1,IF(SUM(C722:C723)=0,0,IF(SUM(C721:C722)=1,1,IF(SUM(C721:C723)&gt;1,D721+1,0))),"")</f>
        <v/>
      </c>
      <c r="E722" s="113" t="str">
        <f>IF(Tab.o1[[#This Row],[a1]]=1,[1]!T.in.A[[#This Row],[oo1]],"")</f>
        <v/>
      </c>
      <c r="F722" s="113" t="str">
        <f>IF(Tab.o1[[#This Row],[a1]]=1,[1]!T.in.A[[#This Row],[pp1]],"")</f>
        <v/>
      </c>
      <c r="G722" s="114" t="str">
        <f>IF(Tab.o1[[#This Row],[a1]]=1,G$2+IF(G$1=1,0,Tab.o1[[#This Row],[.x1]])+[1]!T.in.A[[#This Row],[oo3]],"")</f>
        <v/>
      </c>
      <c r="H722" s="115" t="str">
        <f>IF(Tab.o1[[#This Row],[a1]]=1,IF(H$2=0,0,IF(G$1=1,0,Tab.o1[[#This Row],[.x1]])+[1]!T.in.A[[#This Row],[oo4]]),"")</f>
        <v/>
      </c>
      <c r="I722" s="116" t="str">
        <f>IF(Tab.o1[[#This Row],[a1]]=1,IF(J$2=0,Tab.o1[[#This Row],[MED]],Tab.o1[[#This Row],[MOD]]),"")</f>
        <v/>
      </c>
      <c r="J722" s="116" t="str">
        <f>IF(Tab.o1[[#This Row],[a1]]=1,((Tab.o1[[#This Row],[DIF_Target.]]-AVERAGE(Tab.o1[DIF_Target.]))/_xlfn.STDEV.P(Tab.o1[DIF_Target.])),"")</f>
        <v/>
      </c>
      <c r="K722" s="117" t="str">
        <f>IF(Tab.o1[[#This Row],[a1]]=1,IF(J$2=0,Tab.o1[[#This Row],[MOD]]-Tab.o1[[#This Row],[B]],IF(J$2=1,0,-Tab.o1[[#This Row],[MED]])+Tab.o1[[#This Row],[B]]),"")</f>
        <v/>
      </c>
      <c r="L722" s="117" t="str">
        <f ca="1">IF(Tab.o1[[#This Row],[DIF_Target]]=0,IF(L$2=0,Tab.o1[[#This Row],[DIF_Target]],AVERAGE(OFFSET(Tab.o1[[#This Row],[DIF_Target]],1,0,L$3,1)))/3,Tab.o1[[#This Row],[DIF_Target]])</f>
        <v/>
      </c>
      <c r="M722" s="118" t="str">
        <f>IF(Tab.o1[[#This Row],[a1]]=1,NORMSDIST(Tab.o1[[#This Row],[Za]]),"")</f>
        <v/>
      </c>
      <c r="N722" s="119" t="str">
        <f>IF(Tab.o1[[#This Row],[a1]]=1,((Tab.o1[[#This Row],[MedMod]]-AVERAGE(Tab.o1[MedMod]))/_xlfn.STDEV.P(Tab.o1[MedMod])*H$1205)+G$1205,"")</f>
        <v/>
      </c>
      <c r="O722" s="141" t="str">
        <f>IF(Tab.o1[[#This Row],[a1]]=1,Tab.o1[[#This Row],[Zb]]*_xlfn.STDEV.P(Tab.o1[MedMod])+AVERAGE(Tab.o1[MedMod]),"")</f>
        <v/>
      </c>
      <c r="P722" s="117" t="str">
        <f ca="1">IF(Tab.o1[[#This Row],[B]]=0,AVERAGE(OFFSET(Tab.o1[[#This Row],[B]],1,0,L$3,1)),Tab.o1[[#This Row],[B]])</f>
        <v/>
      </c>
      <c r="Q722" s="121" t="str">
        <f>IF(Tab.o1[[#This Row],[a1]]=1,NORMSDIST(Tab.o1[[#This Row],[Zb]]),"")</f>
        <v/>
      </c>
      <c r="R722" s="122" t="str">
        <f>IF(Tab.o1[[#This Row],[a1]]=1,((Tab.o1[[#This Row],[MedMod]]-AVERAGE(Tab.o1[MedMod]))/_xlfn.STDEV.P(Tab.o1[MedMod])*H$1203)+G$1203,"")</f>
        <v/>
      </c>
      <c r="S722" s="122" t="str">
        <f>IF(Tab.o1[[#This Row],[a1]]=1,((Tab.o1[[#This Row],[MedMod]]-AVERAGE(Tab.o1[MedMod]))/_xlfn.STDEV.P(Tab.o1[MedMod])*H$1204)+G$1204,"")</f>
        <v/>
      </c>
      <c r="T722" s="123" t="str">
        <f>IF(Tab.o1[[#This Row],[a1]]=1,Tab.o1[[#This Row],[Z-]]*_xlfn.STDEV.P(Tab.o1[B])+AVERAGE(Tab.o1[B]),"")</f>
        <v/>
      </c>
      <c r="U722" s="123" t="str">
        <f>IF(Tab.o1[[#This Row],[a1]]=1,Tab.o1[[#This Row],[z+]]*_xlfn.STDEV.P(Tab.o1[B])+AVERAGE(Tab.o1[B]),"")</f>
        <v/>
      </c>
      <c r="V722" s="124" t="str">
        <f>IF(Tab.o1[[#This Row],[a1]]=1,ABS((ABS(Tab.o1[[#This Row],[Red]]-Tab.o1[[#This Row],[Blue]]))),"")</f>
        <v/>
      </c>
      <c r="W722" s="125" t="str">
        <f>IF(Tab.o1[[#This Row],[a1]]=1,IF(W$3=0,1,Tab.o1[[#This Row],[Amp.]]*1/_xlfn.MINIFS(Tab.o1[Amp.],Tab.o1[Amp.],"&lt;&gt;0")),"")</f>
        <v/>
      </c>
      <c r="X722" s="126" t="str">
        <f>IF(Tab.o1[[#This Row],[a1]]=1,IF(ISNUMBER(Tab.o1[[#This Row],[i.]]),NORMDIST(Tab.o1[[#This Row],[Za]],0,1,FALSE)*Tab.o1[[#This Row],[i.]],AP$3),"")</f>
        <v/>
      </c>
      <c r="Y722" s="126" t="str">
        <f>IF(Tab.o1[[#This Row],[a1]]=1,0.01+0.94*Tab.o1[[#This Row],[PDF]]/MAX(Tab.o1[PDF]),"")</f>
        <v/>
      </c>
      <c r="Z722" s="126" t="str">
        <f>IF(Tab.o1[[#This Row],[a1]]=1,0.01+0.94*Tab.o1[[#This Row],[W1_PDF]]/MAX(Tab.o1[W1_PDF]),"")</f>
        <v/>
      </c>
      <c r="AA722" s="118" t="str">
        <f>IF(Tab.o1[[#This Row],[a1]]=1,ABS([1]!T.in.A[[#This Row],[oo6]]),"")</f>
        <v/>
      </c>
      <c r="AB722" s="127" t="str">
        <f>IF(Tab.o1[[#This Row],[a1]]=1,IF(AE$3=0,"",IF(AB$3=0,ABS([1]!T.in.A[[#This Row],[oo9]]),ABS(Tab.o1[[#This Row],[DIF_Target.]]*Tab.o1[[#This Row],[W1_PDF]]))),"")</f>
        <v/>
      </c>
      <c r="AC722" s="127" t="str">
        <f>IF(G$1=1,"",IF(Tab.o1[[#This Row],[a1]]=1,Tab.o1[[#This Row],[Wr]]^2,""))</f>
        <v/>
      </c>
      <c r="AD722" s="118" t="str">
        <f>IF(Tab.o1[[#This Row],[a1]]=1,IF(AE$3=0,"",Tab.o1[[#This Row],[Wr2]]/SUM(Tab.o1[Wr2])),"")</f>
        <v/>
      </c>
      <c r="AE722" s="128" t="str">
        <f>IF(Tab.o1[[#This Row],[a1]]=1,[1]!T.in.A[[#This Row],[oo10]],"")</f>
        <v/>
      </c>
      <c r="AF722" s="118" t="str">
        <f>IF(Tab.o1[[#This Row],[a1]]=1,ABS(Tab.o1[[#This Row],[DIF_Target.]]*Tab.o1[[#This Row],[PDF2]]*Tab.o1[[#This Row],[IN]]),"")</f>
        <v/>
      </c>
      <c r="AG722" s="129" t="str">
        <f>IF(Tab.o1[[#This Row],[a1]]=1,Tab.o1[[#This Row],[rW]]^2,"")</f>
        <v/>
      </c>
      <c r="AH722" s="130" t="str">
        <f>IF(Tab.o1[[#This Row],[a1]]=1,IF(AH$3=0,Tab.o1[[#This Row],[rW2]],0.01+0.94*Tab.o1[[#This Row],[rW2]]/SUM(Tab.o1[rW2])),"")</f>
        <v/>
      </c>
      <c r="AI722" s="128" t="str">
        <f>IF(Tab.o1[[#This Row],[a1]]=1,1/Tab.o1[[#This Row],[PDF]],"")</f>
        <v/>
      </c>
      <c r="AJ722" s="131" t="str">
        <f>IF(Tab.o1[[#This Row],[a1]]=1,[1]!T_AA[[#This Row],[IN'']]*[1]!T_AA[[#This Row],[Qde'']],"")</f>
        <v/>
      </c>
      <c r="AK722" s="132" t="str">
        <f>IF(Tab.o1[[#This Row],[a1]]=1,IF(AK$1=1,Tab.o1[[#This Row],[MED]]+Tab.o1[[#This Row],[MOD]]-Tab.o1[[#This Row],[MED]],""),"")</f>
        <v/>
      </c>
      <c r="AL722" s="133" t="str">
        <f>IF(Tab.o1[[#This Row],[a1]]=1,[1]!T.in.A[[#This Row],[oo16]],"")</f>
        <v/>
      </c>
      <c r="AM722" s="133" t="str">
        <f>IF(Tab.o1[[#This Row],[a1]]=1,IF(AM$3=1,[1]!T.in.A[[#This Row],[Σo16]],""),"")</f>
        <v/>
      </c>
      <c r="AN722" s="126" t="str">
        <f>IF(Tab.o1[[#This Row],[a1]]=1,[1]!T.in.A[[#This Row],[Σp5]],"")</f>
        <v/>
      </c>
      <c r="AO722" s="126" t="str">
        <f>IF(Tab.o1[[#This Row],[a1]]=1,IF(AO$3=1,[1]!T.in.A[[#This Row],[Σp5]],""),"")</f>
        <v/>
      </c>
      <c r="AP722" s="110" t="str">
        <f>IF(Tab.o1[[#This Row],[a1]]=1,IF(ISNUMBER(Tab.o1[[#This Row],[i.]]),NORMDIST(Tab.o1[[#This Row],[Za]],0,1,FALSE)*Tab.o1[[#This Row],[i.]],0),"")</f>
        <v/>
      </c>
      <c r="AQ722" s="125" t="str">
        <f>IF(Tab.o1[[#This Row],[a1]]=1,ABS(Tab.o1[[#This Row],[MOD]]-AVERAGE(Tab.o1[MOD])),"")</f>
        <v/>
      </c>
      <c r="AR722" s="134" t="str">
        <f>IF(Tab.o1[[#This Row],[a1]]=1,Tab.o1[[#This Row],[OBS]]/SUM(Tab.o1[OBS]),"")</f>
        <v/>
      </c>
      <c r="AS722" s="135" t="str">
        <f>IF(ISNUMBER(Tab.o1[[#This Row],[a1]]),ROW()-4,"")</f>
        <v/>
      </c>
      <c r="AT722" s="136" t="str">
        <f>Tab.o1[[#This Row],[MOD]]</f>
        <v/>
      </c>
      <c r="AU722" s="137" t="str">
        <f t="shared" si="45"/>
        <v/>
      </c>
      <c r="AV722" s="138" t="str">
        <f t="shared" si="46"/>
        <v/>
      </c>
      <c r="AW722" s="138" t="str">
        <f t="shared" si="47"/>
        <v/>
      </c>
      <c r="AX722" s="139" t="str">
        <f>[1]!T.in.A[[#This Row],[ID_T_manu]]</f>
        <v/>
      </c>
      <c r="AY722" s="140" t="str">
        <f>IF(ISNUMBER(Tab.o1[[#This Row],[a1]]),IF(AND(Tab.o1[[#This Row],[a1]]=1,Tab.o1[[#This Row],[b1]]&lt;=AY$4),#REF!,AY721),"")</f>
        <v/>
      </c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6"/>
      <c r="BO722" s="26"/>
      <c r="BP722" s="26"/>
      <c r="BQ722" s="26"/>
      <c r="BR722" s="26"/>
      <c r="BS722" s="26"/>
      <c r="BT722" s="26"/>
      <c r="BU722" s="26"/>
      <c r="BV722" s="26"/>
      <c r="BW722" s="26"/>
      <c r="BX722" s="26"/>
      <c r="BY722" s="26"/>
      <c r="BZ722" s="26"/>
      <c r="CA722" s="26"/>
    </row>
    <row r="723" spans="1:79" s="143" customFormat="1" ht="15.75" hidden="1">
      <c r="A723" s="109">
        <v>2.9999999999999997E-6</v>
      </c>
      <c r="B723" s="110">
        <f t="shared" si="44"/>
        <v>723</v>
      </c>
      <c r="C723" s="111" t="str">
        <f>IF(C$1=[1]!T.in.A[[#This Row],[oo2]],1,"")</f>
        <v/>
      </c>
      <c r="D723" s="112" t="str">
        <f>IF(Tab.o1[[#This Row],[a1]]=1,IF(SUM(C723:C724)=0,0,IF(SUM(C722:C723)=1,1,IF(SUM(C722:C724)&gt;1,D722+1,0))),"")</f>
        <v/>
      </c>
      <c r="E723" s="113" t="str">
        <f>IF(Tab.o1[[#This Row],[a1]]=1,[1]!T.in.A[[#This Row],[oo1]],"")</f>
        <v/>
      </c>
      <c r="F723" s="113" t="str">
        <f>IF(Tab.o1[[#This Row],[a1]]=1,[1]!T.in.A[[#This Row],[pp1]],"")</f>
        <v/>
      </c>
      <c r="G723" s="114" t="str">
        <f>IF(Tab.o1[[#This Row],[a1]]=1,G$2+IF(G$1=1,0,Tab.o1[[#This Row],[.x1]])+[1]!T.in.A[[#This Row],[oo3]],"")</f>
        <v/>
      </c>
      <c r="H723" s="115" t="str">
        <f>IF(Tab.o1[[#This Row],[a1]]=1,IF(H$2=0,0,IF(G$1=1,0,Tab.o1[[#This Row],[.x1]])+[1]!T.in.A[[#This Row],[oo4]]),"")</f>
        <v/>
      </c>
      <c r="I723" s="116" t="str">
        <f>IF(Tab.o1[[#This Row],[a1]]=1,IF(J$2=0,Tab.o1[[#This Row],[MED]],Tab.o1[[#This Row],[MOD]]),"")</f>
        <v/>
      </c>
      <c r="J723" s="116" t="str">
        <f>IF(Tab.o1[[#This Row],[a1]]=1,((Tab.o1[[#This Row],[DIF_Target.]]-AVERAGE(Tab.o1[DIF_Target.]))/_xlfn.STDEV.P(Tab.o1[DIF_Target.])),"")</f>
        <v/>
      </c>
      <c r="K723" s="117" t="str">
        <f>IF(Tab.o1[[#This Row],[a1]]=1,IF(J$2=0,Tab.o1[[#This Row],[MOD]]-Tab.o1[[#This Row],[B]],IF(J$2=1,0,-Tab.o1[[#This Row],[MED]])+Tab.o1[[#This Row],[B]]),"")</f>
        <v/>
      </c>
      <c r="L723" s="117" t="str">
        <f ca="1">IF(Tab.o1[[#This Row],[DIF_Target]]=0,IF(L$2=0,Tab.o1[[#This Row],[DIF_Target]],AVERAGE(OFFSET(Tab.o1[[#This Row],[DIF_Target]],1,0,L$3,1)))/3,Tab.o1[[#This Row],[DIF_Target]])</f>
        <v/>
      </c>
      <c r="M723" s="118" t="str">
        <f>IF(Tab.o1[[#This Row],[a1]]=1,NORMSDIST(Tab.o1[[#This Row],[Za]]),"")</f>
        <v/>
      </c>
      <c r="N723" s="119" t="str">
        <f>IF(Tab.o1[[#This Row],[a1]]=1,((Tab.o1[[#This Row],[MedMod]]-AVERAGE(Tab.o1[MedMod]))/_xlfn.STDEV.P(Tab.o1[MedMod])*H$1205)+G$1205,"")</f>
        <v/>
      </c>
      <c r="O723" s="141" t="str">
        <f>IF(Tab.o1[[#This Row],[a1]]=1,Tab.o1[[#This Row],[Zb]]*_xlfn.STDEV.P(Tab.o1[MedMod])+AVERAGE(Tab.o1[MedMod]),"")</f>
        <v/>
      </c>
      <c r="P723" s="117" t="str">
        <f ca="1">IF(Tab.o1[[#This Row],[B]]=0,AVERAGE(OFFSET(Tab.o1[[#This Row],[B]],1,0,L$3,1)),Tab.o1[[#This Row],[B]])</f>
        <v/>
      </c>
      <c r="Q723" s="121" t="str">
        <f>IF(Tab.o1[[#This Row],[a1]]=1,NORMSDIST(Tab.o1[[#This Row],[Zb]]),"")</f>
        <v/>
      </c>
      <c r="R723" s="122" t="str">
        <f>IF(Tab.o1[[#This Row],[a1]]=1,((Tab.o1[[#This Row],[MedMod]]-AVERAGE(Tab.o1[MedMod]))/_xlfn.STDEV.P(Tab.o1[MedMod])*H$1203)+G$1203,"")</f>
        <v/>
      </c>
      <c r="S723" s="122" t="str">
        <f>IF(Tab.o1[[#This Row],[a1]]=1,((Tab.o1[[#This Row],[MedMod]]-AVERAGE(Tab.o1[MedMod]))/_xlfn.STDEV.P(Tab.o1[MedMod])*H$1204)+G$1204,"")</f>
        <v/>
      </c>
      <c r="T723" s="123" t="str">
        <f>IF(Tab.o1[[#This Row],[a1]]=1,Tab.o1[[#This Row],[Z-]]*_xlfn.STDEV.P(Tab.o1[B])+AVERAGE(Tab.o1[B]),"")</f>
        <v/>
      </c>
      <c r="U723" s="123" t="str">
        <f>IF(Tab.o1[[#This Row],[a1]]=1,Tab.o1[[#This Row],[z+]]*_xlfn.STDEV.P(Tab.o1[B])+AVERAGE(Tab.o1[B]),"")</f>
        <v/>
      </c>
      <c r="V723" s="124" t="str">
        <f>IF(Tab.o1[[#This Row],[a1]]=1,ABS((ABS(Tab.o1[[#This Row],[Red]]-Tab.o1[[#This Row],[Blue]]))),"")</f>
        <v/>
      </c>
      <c r="W723" s="125" t="str">
        <f>IF(Tab.o1[[#This Row],[a1]]=1,IF(W$3=0,1,Tab.o1[[#This Row],[Amp.]]*1/_xlfn.MINIFS(Tab.o1[Amp.],Tab.o1[Amp.],"&lt;&gt;0")),"")</f>
        <v/>
      </c>
      <c r="X723" s="126" t="str">
        <f>IF(Tab.o1[[#This Row],[a1]]=1,IF(ISNUMBER(Tab.o1[[#This Row],[i.]]),NORMDIST(Tab.o1[[#This Row],[Za]],0,1,FALSE)*Tab.o1[[#This Row],[i.]],AP$3),"")</f>
        <v/>
      </c>
      <c r="Y723" s="126" t="str">
        <f>IF(Tab.o1[[#This Row],[a1]]=1,0.01+0.94*Tab.o1[[#This Row],[PDF]]/MAX(Tab.o1[PDF]),"")</f>
        <v/>
      </c>
      <c r="Z723" s="126" t="str">
        <f>IF(Tab.o1[[#This Row],[a1]]=1,0.01+0.94*Tab.o1[[#This Row],[W1_PDF]]/MAX(Tab.o1[W1_PDF]),"")</f>
        <v/>
      </c>
      <c r="AA723" s="118" t="str">
        <f>IF(Tab.o1[[#This Row],[a1]]=1,ABS([1]!T.in.A[[#This Row],[oo6]]),"")</f>
        <v/>
      </c>
      <c r="AB723" s="127" t="str">
        <f>IF(Tab.o1[[#This Row],[a1]]=1,IF(AE$3=0,"",IF(AB$3=0,ABS([1]!T.in.A[[#This Row],[oo9]]),ABS(Tab.o1[[#This Row],[DIF_Target.]]*Tab.o1[[#This Row],[W1_PDF]]))),"")</f>
        <v/>
      </c>
      <c r="AC723" s="127" t="str">
        <f>IF(G$1=1,"",IF(Tab.o1[[#This Row],[a1]]=1,Tab.o1[[#This Row],[Wr]]^2,""))</f>
        <v/>
      </c>
      <c r="AD723" s="118" t="str">
        <f>IF(Tab.o1[[#This Row],[a1]]=1,IF(AE$3=0,"",Tab.o1[[#This Row],[Wr2]]/SUM(Tab.o1[Wr2])),"")</f>
        <v/>
      </c>
      <c r="AE723" s="128" t="str">
        <f>IF(Tab.o1[[#This Row],[a1]]=1,[1]!T.in.A[[#This Row],[oo10]],"")</f>
        <v/>
      </c>
      <c r="AF723" s="118" t="str">
        <f>IF(Tab.o1[[#This Row],[a1]]=1,ABS(Tab.o1[[#This Row],[DIF_Target.]]*Tab.o1[[#This Row],[PDF2]]*Tab.o1[[#This Row],[IN]]),"")</f>
        <v/>
      </c>
      <c r="AG723" s="129" t="str">
        <f>IF(Tab.o1[[#This Row],[a1]]=1,Tab.o1[[#This Row],[rW]]^2,"")</f>
        <v/>
      </c>
      <c r="AH723" s="130" t="str">
        <f>IF(Tab.o1[[#This Row],[a1]]=1,IF(AH$3=0,Tab.o1[[#This Row],[rW2]],0.01+0.94*Tab.o1[[#This Row],[rW2]]/SUM(Tab.o1[rW2])),"")</f>
        <v/>
      </c>
      <c r="AI723" s="128" t="str">
        <f>IF(Tab.o1[[#This Row],[a1]]=1,1/Tab.o1[[#This Row],[PDF]],"")</f>
        <v/>
      </c>
      <c r="AJ723" s="131" t="str">
        <f>IF(Tab.o1[[#This Row],[a1]]=1,[1]!T_AA[[#This Row],[IN'']]*[1]!T_AA[[#This Row],[Qde'']],"")</f>
        <v/>
      </c>
      <c r="AK723" s="132" t="str">
        <f>IF(Tab.o1[[#This Row],[a1]]=1,IF(AK$1=1,Tab.o1[[#This Row],[MED]]+Tab.o1[[#This Row],[MOD]]-Tab.o1[[#This Row],[MED]],""),"")</f>
        <v/>
      </c>
      <c r="AL723" s="133" t="str">
        <f>IF(Tab.o1[[#This Row],[a1]]=1,[1]!T.in.A[[#This Row],[oo16]],"")</f>
        <v/>
      </c>
      <c r="AM723" s="133" t="str">
        <f>IF(Tab.o1[[#This Row],[a1]]=1,IF(AM$3=1,[1]!T.in.A[[#This Row],[Σo16]],""),"")</f>
        <v/>
      </c>
      <c r="AN723" s="126" t="str">
        <f>IF(Tab.o1[[#This Row],[a1]]=1,[1]!T.in.A[[#This Row],[Σp5]],"")</f>
        <v/>
      </c>
      <c r="AO723" s="126" t="str">
        <f>IF(Tab.o1[[#This Row],[a1]]=1,IF(AO$3=1,[1]!T.in.A[[#This Row],[Σp5]],""),"")</f>
        <v/>
      </c>
      <c r="AP723" s="110" t="str">
        <f>IF(Tab.o1[[#This Row],[a1]]=1,IF(ISNUMBER(Tab.o1[[#This Row],[i.]]),NORMDIST(Tab.o1[[#This Row],[Za]],0,1,FALSE)*Tab.o1[[#This Row],[i.]],0),"")</f>
        <v/>
      </c>
      <c r="AQ723" s="125" t="str">
        <f>IF(Tab.o1[[#This Row],[a1]]=1,ABS(Tab.o1[[#This Row],[MOD]]-AVERAGE(Tab.o1[MOD])),"")</f>
        <v/>
      </c>
      <c r="AR723" s="134" t="str">
        <f>IF(Tab.o1[[#This Row],[a1]]=1,Tab.o1[[#This Row],[OBS]]/SUM(Tab.o1[OBS]),"")</f>
        <v/>
      </c>
      <c r="AS723" s="135" t="str">
        <f>IF(ISNUMBER(Tab.o1[[#This Row],[a1]]),ROW()-4,"")</f>
        <v/>
      </c>
      <c r="AT723" s="136" t="str">
        <f>Tab.o1[[#This Row],[MOD]]</f>
        <v/>
      </c>
      <c r="AU723" s="137" t="str">
        <f t="shared" si="45"/>
        <v/>
      </c>
      <c r="AV723" s="138" t="str">
        <f t="shared" si="46"/>
        <v/>
      </c>
      <c r="AW723" s="138" t="str">
        <f t="shared" si="47"/>
        <v/>
      </c>
      <c r="AX723" s="139" t="str">
        <f>[1]!T.in.A[[#This Row],[ID_T_manu]]</f>
        <v/>
      </c>
      <c r="AY723" s="140" t="str">
        <f>IF(ISNUMBER(Tab.o1[[#This Row],[a1]]),IF(AND(Tab.o1[[#This Row],[a1]]=1,Tab.o1[[#This Row],[b1]]&lt;=AY$4),#REF!,AY722),"")</f>
        <v/>
      </c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6"/>
      <c r="BO723" s="26"/>
      <c r="BP723" s="26"/>
      <c r="BQ723" s="26"/>
      <c r="BR723" s="26"/>
      <c r="BS723" s="26"/>
      <c r="BT723" s="26"/>
      <c r="BU723" s="26"/>
      <c r="BV723" s="26"/>
      <c r="BW723" s="26"/>
      <c r="BX723" s="26"/>
      <c r="BY723" s="26"/>
      <c r="BZ723" s="26"/>
      <c r="CA723" s="26"/>
    </row>
    <row r="724" spans="1:79" s="143" customFormat="1" ht="15.75" hidden="1">
      <c r="A724" s="109">
        <v>-6.9999999999999999E-6</v>
      </c>
      <c r="B724" s="110">
        <f t="shared" si="44"/>
        <v>724</v>
      </c>
      <c r="C724" s="111" t="str">
        <f>IF(C$1=[1]!T.in.A[[#This Row],[oo2]],1,"")</f>
        <v/>
      </c>
      <c r="D724" s="112" t="str">
        <f>IF(Tab.o1[[#This Row],[a1]]=1,IF(SUM(C724:C725)=0,0,IF(SUM(C723:C724)=1,1,IF(SUM(C723:C725)&gt;1,D723+1,0))),"")</f>
        <v/>
      </c>
      <c r="E724" s="113" t="str">
        <f>IF(Tab.o1[[#This Row],[a1]]=1,[1]!T.in.A[[#This Row],[oo1]],"")</f>
        <v/>
      </c>
      <c r="F724" s="113" t="str">
        <f>IF(Tab.o1[[#This Row],[a1]]=1,[1]!T.in.A[[#This Row],[pp1]],"")</f>
        <v/>
      </c>
      <c r="G724" s="114" t="str">
        <f>IF(Tab.o1[[#This Row],[a1]]=1,G$2+IF(G$1=1,0,Tab.o1[[#This Row],[.x1]])+[1]!T.in.A[[#This Row],[oo3]],"")</f>
        <v/>
      </c>
      <c r="H724" s="115" t="str">
        <f>IF(Tab.o1[[#This Row],[a1]]=1,IF(H$2=0,0,IF(G$1=1,0,Tab.o1[[#This Row],[.x1]])+[1]!T.in.A[[#This Row],[oo4]]),"")</f>
        <v/>
      </c>
      <c r="I724" s="116" t="str">
        <f>IF(Tab.o1[[#This Row],[a1]]=1,IF(J$2=0,Tab.o1[[#This Row],[MED]],Tab.o1[[#This Row],[MOD]]),"")</f>
        <v/>
      </c>
      <c r="J724" s="116" t="str">
        <f>IF(Tab.o1[[#This Row],[a1]]=1,((Tab.o1[[#This Row],[DIF_Target.]]-AVERAGE(Tab.o1[DIF_Target.]))/_xlfn.STDEV.P(Tab.o1[DIF_Target.])),"")</f>
        <v/>
      </c>
      <c r="K724" s="117" t="str">
        <f>IF(Tab.o1[[#This Row],[a1]]=1,IF(J$2=0,Tab.o1[[#This Row],[MOD]]-Tab.o1[[#This Row],[B]],IF(J$2=1,0,-Tab.o1[[#This Row],[MED]])+Tab.o1[[#This Row],[B]]),"")</f>
        <v/>
      </c>
      <c r="L724" s="117" t="str">
        <f ca="1">IF(Tab.o1[[#This Row],[DIF_Target]]=0,IF(L$2=0,Tab.o1[[#This Row],[DIF_Target]],AVERAGE(OFFSET(Tab.o1[[#This Row],[DIF_Target]],1,0,L$3,1)))/3,Tab.o1[[#This Row],[DIF_Target]])</f>
        <v/>
      </c>
      <c r="M724" s="118" t="str">
        <f>IF(Tab.o1[[#This Row],[a1]]=1,NORMSDIST(Tab.o1[[#This Row],[Za]]),"")</f>
        <v/>
      </c>
      <c r="N724" s="119" t="str">
        <f>IF(Tab.o1[[#This Row],[a1]]=1,((Tab.o1[[#This Row],[MedMod]]-AVERAGE(Tab.o1[MedMod]))/_xlfn.STDEV.P(Tab.o1[MedMod])*H$1205)+G$1205,"")</f>
        <v/>
      </c>
      <c r="O724" s="141" t="str">
        <f>IF(Tab.o1[[#This Row],[a1]]=1,Tab.o1[[#This Row],[Zb]]*_xlfn.STDEV.P(Tab.o1[MedMod])+AVERAGE(Tab.o1[MedMod]),"")</f>
        <v/>
      </c>
      <c r="P724" s="117" t="str">
        <f ca="1">IF(Tab.o1[[#This Row],[B]]=0,AVERAGE(OFFSET(Tab.o1[[#This Row],[B]],1,0,L$3,1)),Tab.o1[[#This Row],[B]])</f>
        <v/>
      </c>
      <c r="Q724" s="121" t="str">
        <f>IF(Tab.o1[[#This Row],[a1]]=1,NORMSDIST(Tab.o1[[#This Row],[Zb]]),"")</f>
        <v/>
      </c>
      <c r="R724" s="122" t="str">
        <f>IF(Tab.o1[[#This Row],[a1]]=1,((Tab.o1[[#This Row],[MedMod]]-AVERAGE(Tab.o1[MedMod]))/_xlfn.STDEV.P(Tab.o1[MedMod])*H$1203)+G$1203,"")</f>
        <v/>
      </c>
      <c r="S724" s="122" t="str">
        <f>IF(Tab.o1[[#This Row],[a1]]=1,((Tab.o1[[#This Row],[MedMod]]-AVERAGE(Tab.o1[MedMod]))/_xlfn.STDEV.P(Tab.o1[MedMod])*H$1204)+G$1204,"")</f>
        <v/>
      </c>
      <c r="T724" s="123" t="str">
        <f>IF(Tab.o1[[#This Row],[a1]]=1,Tab.o1[[#This Row],[Z-]]*_xlfn.STDEV.P(Tab.o1[B])+AVERAGE(Tab.o1[B]),"")</f>
        <v/>
      </c>
      <c r="U724" s="123" t="str">
        <f>IF(Tab.o1[[#This Row],[a1]]=1,Tab.o1[[#This Row],[z+]]*_xlfn.STDEV.P(Tab.o1[B])+AVERAGE(Tab.o1[B]),"")</f>
        <v/>
      </c>
      <c r="V724" s="124" t="str">
        <f>IF(Tab.o1[[#This Row],[a1]]=1,ABS((ABS(Tab.o1[[#This Row],[Red]]-Tab.o1[[#This Row],[Blue]]))),"")</f>
        <v/>
      </c>
      <c r="W724" s="125" t="str">
        <f>IF(Tab.o1[[#This Row],[a1]]=1,IF(W$3=0,1,Tab.o1[[#This Row],[Amp.]]*1/_xlfn.MINIFS(Tab.o1[Amp.],Tab.o1[Amp.],"&lt;&gt;0")),"")</f>
        <v/>
      </c>
      <c r="X724" s="126" t="str">
        <f>IF(Tab.o1[[#This Row],[a1]]=1,IF(ISNUMBER(Tab.o1[[#This Row],[i.]]),NORMDIST(Tab.o1[[#This Row],[Za]],0,1,FALSE)*Tab.o1[[#This Row],[i.]],AP$3),"")</f>
        <v/>
      </c>
      <c r="Y724" s="126" t="str">
        <f>IF(Tab.o1[[#This Row],[a1]]=1,0.01+0.94*Tab.o1[[#This Row],[PDF]]/MAX(Tab.o1[PDF]),"")</f>
        <v/>
      </c>
      <c r="Z724" s="126" t="str">
        <f>IF(Tab.o1[[#This Row],[a1]]=1,0.01+0.94*Tab.o1[[#This Row],[W1_PDF]]/MAX(Tab.o1[W1_PDF]),"")</f>
        <v/>
      </c>
      <c r="AA724" s="118" t="str">
        <f>IF(Tab.o1[[#This Row],[a1]]=1,ABS([1]!T.in.A[[#This Row],[oo6]]),"")</f>
        <v/>
      </c>
      <c r="AB724" s="127" t="str">
        <f>IF(Tab.o1[[#This Row],[a1]]=1,IF(AE$3=0,"",IF(AB$3=0,ABS([1]!T.in.A[[#This Row],[oo9]]),ABS(Tab.o1[[#This Row],[DIF_Target.]]*Tab.o1[[#This Row],[W1_PDF]]))),"")</f>
        <v/>
      </c>
      <c r="AC724" s="127" t="str">
        <f>IF(G$1=1,"",IF(Tab.o1[[#This Row],[a1]]=1,Tab.o1[[#This Row],[Wr]]^2,""))</f>
        <v/>
      </c>
      <c r="AD724" s="118" t="str">
        <f>IF(Tab.o1[[#This Row],[a1]]=1,IF(AE$3=0,"",Tab.o1[[#This Row],[Wr2]]/SUM(Tab.o1[Wr2])),"")</f>
        <v/>
      </c>
      <c r="AE724" s="128" t="str">
        <f>IF(Tab.o1[[#This Row],[a1]]=1,[1]!T.in.A[[#This Row],[oo10]],"")</f>
        <v/>
      </c>
      <c r="AF724" s="118" t="str">
        <f>IF(Tab.o1[[#This Row],[a1]]=1,ABS(Tab.o1[[#This Row],[DIF_Target.]]*Tab.o1[[#This Row],[PDF2]]*Tab.o1[[#This Row],[IN]]),"")</f>
        <v/>
      </c>
      <c r="AG724" s="129" t="str">
        <f>IF(Tab.o1[[#This Row],[a1]]=1,Tab.o1[[#This Row],[rW]]^2,"")</f>
        <v/>
      </c>
      <c r="AH724" s="130" t="str">
        <f>IF(Tab.o1[[#This Row],[a1]]=1,IF(AH$3=0,Tab.o1[[#This Row],[rW2]],0.01+0.94*Tab.o1[[#This Row],[rW2]]/SUM(Tab.o1[rW2])),"")</f>
        <v/>
      </c>
      <c r="AI724" s="128" t="str">
        <f>IF(Tab.o1[[#This Row],[a1]]=1,1/Tab.o1[[#This Row],[PDF]],"")</f>
        <v/>
      </c>
      <c r="AJ724" s="131" t="str">
        <f>IF(Tab.o1[[#This Row],[a1]]=1,[1]!T_AA[[#This Row],[IN'']]*[1]!T_AA[[#This Row],[Qde'']],"")</f>
        <v/>
      </c>
      <c r="AK724" s="132" t="str">
        <f>IF(Tab.o1[[#This Row],[a1]]=1,IF(AK$1=1,Tab.o1[[#This Row],[MED]]+Tab.o1[[#This Row],[MOD]]-Tab.o1[[#This Row],[MED]],""),"")</f>
        <v/>
      </c>
      <c r="AL724" s="133" t="str">
        <f>IF(Tab.o1[[#This Row],[a1]]=1,[1]!T.in.A[[#This Row],[oo16]],"")</f>
        <v/>
      </c>
      <c r="AM724" s="133" t="str">
        <f>IF(Tab.o1[[#This Row],[a1]]=1,IF(AM$3=1,[1]!T.in.A[[#This Row],[Σo16]],""),"")</f>
        <v/>
      </c>
      <c r="AN724" s="126" t="str">
        <f>IF(Tab.o1[[#This Row],[a1]]=1,[1]!T.in.A[[#This Row],[Σp5]],"")</f>
        <v/>
      </c>
      <c r="AO724" s="126" t="str">
        <f>IF(Tab.o1[[#This Row],[a1]]=1,IF(AO$3=1,[1]!T.in.A[[#This Row],[Σp5]],""),"")</f>
        <v/>
      </c>
      <c r="AP724" s="110" t="str">
        <f>IF(Tab.o1[[#This Row],[a1]]=1,IF(ISNUMBER(Tab.o1[[#This Row],[i.]]),NORMDIST(Tab.o1[[#This Row],[Za]],0,1,FALSE)*Tab.o1[[#This Row],[i.]],0),"")</f>
        <v/>
      </c>
      <c r="AQ724" s="125" t="str">
        <f>IF(Tab.o1[[#This Row],[a1]]=1,ABS(Tab.o1[[#This Row],[MOD]]-AVERAGE(Tab.o1[MOD])),"")</f>
        <v/>
      </c>
      <c r="AR724" s="134" t="str">
        <f>IF(Tab.o1[[#This Row],[a1]]=1,Tab.o1[[#This Row],[OBS]]/SUM(Tab.o1[OBS]),"")</f>
        <v/>
      </c>
      <c r="AS724" s="135" t="str">
        <f>IF(ISNUMBER(Tab.o1[[#This Row],[a1]]),ROW()-4,"")</f>
        <v/>
      </c>
      <c r="AT724" s="136" t="str">
        <f>Tab.o1[[#This Row],[MOD]]</f>
        <v/>
      </c>
      <c r="AU724" s="137" t="str">
        <f t="shared" si="45"/>
        <v/>
      </c>
      <c r="AV724" s="138" t="str">
        <f t="shared" si="46"/>
        <v/>
      </c>
      <c r="AW724" s="138" t="str">
        <f t="shared" si="47"/>
        <v/>
      </c>
      <c r="AX724" s="139" t="str">
        <f>[1]!T.in.A[[#This Row],[ID_T_manu]]</f>
        <v/>
      </c>
      <c r="AY724" s="140" t="str">
        <f>IF(ISNUMBER(Tab.o1[[#This Row],[a1]]),IF(AND(Tab.o1[[#This Row],[a1]]=1,Tab.o1[[#This Row],[b1]]&lt;=AY$4),#REF!,AY723),"")</f>
        <v/>
      </c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26"/>
    </row>
    <row r="725" spans="1:79" s="143" customFormat="1" ht="15.75" hidden="1">
      <c r="A725" s="109">
        <v>1.0000000000000001E-5</v>
      </c>
      <c r="B725" s="110">
        <f t="shared" si="44"/>
        <v>725</v>
      </c>
      <c r="C725" s="111" t="str">
        <f>IF(C$1=[1]!T.in.A[[#This Row],[oo2]],1,"")</f>
        <v/>
      </c>
      <c r="D725" s="112" t="str">
        <f>IF(Tab.o1[[#This Row],[a1]]=1,IF(SUM(C725:C726)=0,0,IF(SUM(C724:C725)=1,1,IF(SUM(C724:C726)&gt;1,D724+1,0))),"")</f>
        <v/>
      </c>
      <c r="E725" s="113" t="str">
        <f>IF(Tab.o1[[#This Row],[a1]]=1,[1]!T.in.A[[#This Row],[oo1]],"")</f>
        <v/>
      </c>
      <c r="F725" s="113" t="str">
        <f>IF(Tab.o1[[#This Row],[a1]]=1,[1]!T.in.A[[#This Row],[pp1]],"")</f>
        <v/>
      </c>
      <c r="G725" s="114" t="str">
        <f>IF(Tab.o1[[#This Row],[a1]]=1,G$2+IF(G$1=1,0,Tab.o1[[#This Row],[.x1]])+[1]!T.in.A[[#This Row],[oo3]],"")</f>
        <v/>
      </c>
      <c r="H725" s="115" t="str">
        <f>IF(Tab.o1[[#This Row],[a1]]=1,IF(H$2=0,0,IF(G$1=1,0,Tab.o1[[#This Row],[.x1]])+[1]!T.in.A[[#This Row],[oo4]]),"")</f>
        <v/>
      </c>
      <c r="I725" s="116" t="str">
        <f>IF(Tab.o1[[#This Row],[a1]]=1,IF(J$2=0,Tab.o1[[#This Row],[MED]],Tab.o1[[#This Row],[MOD]]),"")</f>
        <v/>
      </c>
      <c r="J725" s="116" t="str">
        <f>IF(Tab.o1[[#This Row],[a1]]=1,((Tab.o1[[#This Row],[DIF_Target.]]-AVERAGE(Tab.o1[DIF_Target.]))/_xlfn.STDEV.P(Tab.o1[DIF_Target.])),"")</f>
        <v/>
      </c>
      <c r="K725" s="117" t="str">
        <f>IF(Tab.o1[[#This Row],[a1]]=1,IF(J$2=0,Tab.o1[[#This Row],[MOD]]-Tab.o1[[#This Row],[B]],IF(J$2=1,0,-Tab.o1[[#This Row],[MED]])+Tab.o1[[#This Row],[B]]),"")</f>
        <v/>
      </c>
      <c r="L725" s="117" t="str">
        <f ca="1">IF(Tab.o1[[#This Row],[DIF_Target]]=0,IF(L$2=0,Tab.o1[[#This Row],[DIF_Target]],AVERAGE(OFFSET(Tab.o1[[#This Row],[DIF_Target]],1,0,L$3,1)))/3,Tab.o1[[#This Row],[DIF_Target]])</f>
        <v/>
      </c>
      <c r="M725" s="118" t="str">
        <f>IF(Tab.o1[[#This Row],[a1]]=1,NORMSDIST(Tab.o1[[#This Row],[Za]]),"")</f>
        <v/>
      </c>
      <c r="N725" s="119" t="str">
        <f>IF(Tab.o1[[#This Row],[a1]]=1,((Tab.o1[[#This Row],[MedMod]]-AVERAGE(Tab.o1[MedMod]))/_xlfn.STDEV.P(Tab.o1[MedMod])*H$1205)+G$1205,"")</f>
        <v/>
      </c>
      <c r="O725" s="141" t="str">
        <f>IF(Tab.o1[[#This Row],[a1]]=1,Tab.o1[[#This Row],[Zb]]*_xlfn.STDEV.P(Tab.o1[MedMod])+AVERAGE(Tab.o1[MedMod]),"")</f>
        <v/>
      </c>
      <c r="P725" s="117" t="str">
        <f ca="1">IF(Tab.o1[[#This Row],[B]]=0,AVERAGE(OFFSET(Tab.o1[[#This Row],[B]],1,0,L$3,1)),Tab.o1[[#This Row],[B]])</f>
        <v/>
      </c>
      <c r="Q725" s="121" t="str">
        <f>IF(Tab.o1[[#This Row],[a1]]=1,NORMSDIST(Tab.o1[[#This Row],[Zb]]),"")</f>
        <v/>
      </c>
      <c r="R725" s="122" t="str">
        <f>IF(Tab.o1[[#This Row],[a1]]=1,((Tab.o1[[#This Row],[MedMod]]-AVERAGE(Tab.o1[MedMod]))/_xlfn.STDEV.P(Tab.o1[MedMod])*H$1203)+G$1203,"")</f>
        <v/>
      </c>
      <c r="S725" s="122" t="str">
        <f>IF(Tab.o1[[#This Row],[a1]]=1,((Tab.o1[[#This Row],[MedMod]]-AVERAGE(Tab.o1[MedMod]))/_xlfn.STDEV.P(Tab.o1[MedMod])*H$1204)+G$1204,"")</f>
        <v/>
      </c>
      <c r="T725" s="123" t="str">
        <f>IF(Tab.o1[[#This Row],[a1]]=1,Tab.o1[[#This Row],[Z-]]*_xlfn.STDEV.P(Tab.o1[B])+AVERAGE(Tab.o1[B]),"")</f>
        <v/>
      </c>
      <c r="U725" s="123" t="str">
        <f>IF(Tab.o1[[#This Row],[a1]]=1,Tab.o1[[#This Row],[z+]]*_xlfn.STDEV.P(Tab.o1[B])+AVERAGE(Tab.o1[B]),"")</f>
        <v/>
      </c>
      <c r="V725" s="124" t="str">
        <f>IF(Tab.o1[[#This Row],[a1]]=1,ABS((ABS(Tab.o1[[#This Row],[Red]]-Tab.o1[[#This Row],[Blue]]))),"")</f>
        <v/>
      </c>
      <c r="W725" s="125" t="str">
        <f>IF(Tab.o1[[#This Row],[a1]]=1,IF(W$3=0,1,Tab.o1[[#This Row],[Amp.]]*1/_xlfn.MINIFS(Tab.o1[Amp.],Tab.o1[Amp.],"&lt;&gt;0")),"")</f>
        <v/>
      </c>
      <c r="X725" s="126" t="str">
        <f>IF(Tab.o1[[#This Row],[a1]]=1,IF(ISNUMBER(Tab.o1[[#This Row],[i.]]),NORMDIST(Tab.o1[[#This Row],[Za]],0,1,FALSE)*Tab.o1[[#This Row],[i.]],AP$3),"")</f>
        <v/>
      </c>
      <c r="Y725" s="126" t="str">
        <f>IF(Tab.o1[[#This Row],[a1]]=1,0.01+0.94*Tab.o1[[#This Row],[PDF]]/MAX(Tab.o1[PDF]),"")</f>
        <v/>
      </c>
      <c r="Z725" s="126" t="str">
        <f>IF(Tab.o1[[#This Row],[a1]]=1,0.01+0.94*Tab.o1[[#This Row],[W1_PDF]]/MAX(Tab.o1[W1_PDF]),"")</f>
        <v/>
      </c>
      <c r="AA725" s="118" t="str">
        <f>IF(Tab.o1[[#This Row],[a1]]=1,ABS([1]!T.in.A[[#This Row],[oo6]]),"")</f>
        <v/>
      </c>
      <c r="AB725" s="127" t="str">
        <f>IF(Tab.o1[[#This Row],[a1]]=1,IF(AE$3=0,"",IF(AB$3=0,ABS([1]!T.in.A[[#This Row],[oo9]]),ABS(Tab.o1[[#This Row],[DIF_Target.]]*Tab.o1[[#This Row],[W1_PDF]]))),"")</f>
        <v/>
      </c>
      <c r="AC725" s="127" t="str">
        <f>IF(G$1=1,"",IF(Tab.o1[[#This Row],[a1]]=1,Tab.o1[[#This Row],[Wr]]^2,""))</f>
        <v/>
      </c>
      <c r="AD725" s="118" t="str">
        <f>IF(Tab.o1[[#This Row],[a1]]=1,IF(AE$3=0,"",Tab.o1[[#This Row],[Wr2]]/SUM(Tab.o1[Wr2])),"")</f>
        <v/>
      </c>
      <c r="AE725" s="128" t="str">
        <f>IF(Tab.o1[[#This Row],[a1]]=1,[1]!T.in.A[[#This Row],[oo10]],"")</f>
        <v/>
      </c>
      <c r="AF725" s="118" t="str">
        <f>IF(Tab.o1[[#This Row],[a1]]=1,ABS(Tab.o1[[#This Row],[DIF_Target.]]*Tab.o1[[#This Row],[PDF2]]*Tab.o1[[#This Row],[IN]]),"")</f>
        <v/>
      </c>
      <c r="AG725" s="129" t="str">
        <f>IF(Tab.o1[[#This Row],[a1]]=1,Tab.o1[[#This Row],[rW]]^2,"")</f>
        <v/>
      </c>
      <c r="AH725" s="130" t="str">
        <f>IF(Tab.o1[[#This Row],[a1]]=1,IF(AH$3=0,Tab.o1[[#This Row],[rW2]],0.01+0.94*Tab.o1[[#This Row],[rW2]]/SUM(Tab.o1[rW2])),"")</f>
        <v/>
      </c>
      <c r="AI725" s="128" t="str">
        <f>IF(Tab.o1[[#This Row],[a1]]=1,1/Tab.o1[[#This Row],[PDF]],"")</f>
        <v/>
      </c>
      <c r="AJ725" s="131" t="str">
        <f>IF(Tab.o1[[#This Row],[a1]]=1,[1]!T_AA[[#This Row],[IN'']]*[1]!T_AA[[#This Row],[Qde'']],"")</f>
        <v/>
      </c>
      <c r="AK725" s="132" t="str">
        <f>IF(Tab.o1[[#This Row],[a1]]=1,IF(AK$1=1,Tab.o1[[#This Row],[MED]]+Tab.o1[[#This Row],[MOD]]-Tab.o1[[#This Row],[MED]],""),"")</f>
        <v/>
      </c>
      <c r="AL725" s="133" t="str">
        <f>IF(Tab.o1[[#This Row],[a1]]=1,[1]!T.in.A[[#This Row],[oo16]],"")</f>
        <v/>
      </c>
      <c r="AM725" s="133" t="str">
        <f>IF(Tab.o1[[#This Row],[a1]]=1,IF(AM$3=1,[1]!T.in.A[[#This Row],[Σo16]],""),"")</f>
        <v/>
      </c>
      <c r="AN725" s="126" t="str">
        <f>IF(Tab.o1[[#This Row],[a1]]=1,[1]!T.in.A[[#This Row],[Σp5]],"")</f>
        <v/>
      </c>
      <c r="AO725" s="126" t="str">
        <f>IF(Tab.o1[[#This Row],[a1]]=1,IF(AO$3=1,[1]!T.in.A[[#This Row],[Σp5]],""),"")</f>
        <v/>
      </c>
      <c r="AP725" s="110" t="str">
        <f>IF(Tab.o1[[#This Row],[a1]]=1,IF(ISNUMBER(Tab.o1[[#This Row],[i.]]),NORMDIST(Tab.o1[[#This Row],[Za]],0,1,FALSE)*Tab.o1[[#This Row],[i.]],0),"")</f>
        <v/>
      </c>
      <c r="AQ725" s="125" t="str">
        <f>IF(Tab.o1[[#This Row],[a1]]=1,ABS(Tab.o1[[#This Row],[MOD]]-AVERAGE(Tab.o1[MOD])),"")</f>
        <v/>
      </c>
      <c r="AR725" s="134" t="str">
        <f>IF(Tab.o1[[#This Row],[a1]]=1,Tab.o1[[#This Row],[OBS]]/SUM(Tab.o1[OBS]),"")</f>
        <v/>
      </c>
      <c r="AS725" s="135" t="str">
        <f>IF(ISNUMBER(Tab.o1[[#This Row],[a1]]),ROW()-4,"")</f>
        <v/>
      </c>
      <c r="AT725" s="136" t="str">
        <f>Tab.o1[[#This Row],[MOD]]</f>
        <v/>
      </c>
      <c r="AU725" s="137" t="str">
        <f t="shared" si="45"/>
        <v/>
      </c>
      <c r="AV725" s="138" t="str">
        <f t="shared" si="46"/>
        <v/>
      </c>
      <c r="AW725" s="138" t="str">
        <f t="shared" si="47"/>
        <v/>
      </c>
      <c r="AX725" s="139" t="str">
        <f>[1]!T.in.A[[#This Row],[ID_T_manu]]</f>
        <v/>
      </c>
      <c r="AY725" s="140" t="str">
        <f>IF(ISNUMBER(Tab.o1[[#This Row],[a1]]),IF(AND(Tab.o1[[#This Row],[a1]]=1,Tab.o1[[#This Row],[b1]]&lt;=AY$4),#REF!,AY724),"")</f>
        <v/>
      </c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6"/>
      <c r="BO725" s="26"/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26"/>
    </row>
    <row r="726" spans="1:79" s="143" customFormat="1" ht="15.75" hidden="1">
      <c r="A726" s="109">
        <v>-8.0000000000000013E-6</v>
      </c>
      <c r="B726" s="110">
        <f t="shared" si="44"/>
        <v>726</v>
      </c>
      <c r="C726" s="111" t="str">
        <f>IF(C$1=[1]!T.in.A[[#This Row],[oo2]],1,"")</f>
        <v/>
      </c>
      <c r="D726" s="112" t="str">
        <f>IF(Tab.o1[[#This Row],[a1]]=1,IF(SUM(C726:C727)=0,0,IF(SUM(C725:C726)=1,1,IF(SUM(C725:C727)&gt;1,D725+1,0))),"")</f>
        <v/>
      </c>
      <c r="E726" s="113" t="str">
        <f>IF(Tab.o1[[#This Row],[a1]]=1,[1]!T.in.A[[#This Row],[oo1]],"")</f>
        <v/>
      </c>
      <c r="F726" s="113" t="str">
        <f>IF(Tab.o1[[#This Row],[a1]]=1,[1]!T.in.A[[#This Row],[pp1]],"")</f>
        <v/>
      </c>
      <c r="G726" s="114" t="str">
        <f>IF(Tab.o1[[#This Row],[a1]]=1,G$2+IF(G$1=1,0,Tab.o1[[#This Row],[.x1]])+[1]!T.in.A[[#This Row],[oo3]],"")</f>
        <v/>
      </c>
      <c r="H726" s="115" t="str">
        <f>IF(Tab.o1[[#This Row],[a1]]=1,IF(H$2=0,0,IF(G$1=1,0,Tab.o1[[#This Row],[.x1]])+[1]!T.in.A[[#This Row],[oo4]]),"")</f>
        <v/>
      </c>
      <c r="I726" s="116" t="str">
        <f>IF(Tab.o1[[#This Row],[a1]]=1,IF(J$2=0,Tab.o1[[#This Row],[MED]],Tab.o1[[#This Row],[MOD]]),"")</f>
        <v/>
      </c>
      <c r="J726" s="116" t="str">
        <f>IF(Tab.o1[[#This Row],[a1]]=1,((Tab.o1[[#This Row],[DIF_Target.]]-AVERAGE(Tab.o1[DIF_Target.]))/_xlfn.STDEV.P(Tab.o1[DIF_Target.])),"")</f>
        <v/>
      </c>
      <c r="K726" s="117" t="str">
        <f>IF(Tab.o1[[#This Row],[a1]]=1,IF(J$2=0,Tab.o1[[#This Row],[MOD]]-Tab.o1[[#This Row],[B]],IF(J$2=1,0,-Tab.o1[[#This Row],[MED]])+Tab.o1[[#This Row],[B]]),"")</f>
        <v/>
      </c>
      <c r="L726" s="117" t="str">
        <f ca="1">IF(Tab.o1[[#This Row],[DIF_Target]]=0,IF(L$2=0,Tab.o1[[#This Row],[DIF_Target]],AVERAGE(OFFSET(Tab.o1[[#This Row],[DIF_Target]],1,0,L$3,1)))/3,Tab.o1[[#This Row],[DIF_Target]])</f>
        <v/>
      </c>
      <c r="M726" s="118" t="str">
        <f>IF(Tab.o1[[#This Row],[a1]]=1,NORMSDIST(Tab.o1[[#This Row],[Za]]),"")</f>
        <v/>
      </c>
      <c r="N726" s="119" t="str">
        <f>IF(Tab.o1[[#This Row],[a1]]=1,((Tab.o1[[#This Row],[MedMod]]-AVERAGE(Tab.o1[MedMod]))/_xlfn.STDEV.P(Tab.o1[MedMod])*H$1205)+G$1205,"")</f>
        <v/>
      </c>
      <c r="O726" s="141" t="str">
        <f>IF(Tab.o1[[#This Row],[a1]]=1,Tab.o1[[#This Row],[Zb]]*_xlfn.STDEV.P(Tab.o1[MedMod])+AVERAGE(Tab.o1[MedMod]),"")</f>
        <v/>
      </c>
      <c r="P726" s="117" t="str">
        <f ca="1">IF(Tab.o1[[#This Row],[B]]=0,AVERAGE(OFFSET(Tab.o1[[#This Row],[B]],1,0,L$3,1)),Tab.o1[[#This Row],[B]])</f>
        <v/>
      </c>
      <c r="Q726" s="121" t="str">
        <f>IF(Tab.o1[[#This Row],[a1]]=1,NORMSDIST(Tab.o1[[#This Row],[Zb]]),"")</f>
        <v/>
      </c>
      <c r="R726" s="122" t="str">
        <f>IF(Tab.o1[[#This Row],[a1]]=1,((Tab.o1[[#This Row],[MedMod]]-AVERAGE(Tab.o1[MedMod]))/_xlfn.STDEV.P(Tab.o1[MedMod])*H$1203)+G$1203,"")</f>
        <v/>
      </c>
      <c r="S726" s="122" t="str">
        <f>IF(Tab.o1[[#This Row],[a1]]=1,((Tab.o1[[#This Row],[MedMod]]-AVERAGE(Tab.o1[MedMod]))/_xlfn.STDEV.P(Tab.o1[MedMod])*H$1204)+G$1204,"")</f>
        <v/>
      </c>
      <c r="T726" s="123" t="str">
        <f>IF(Tab.o1[[#This Row],[a1]]=1,Tab.o1[[#This Row],[Z-]]*_xlfn.STDEV.P(Tab.o1[B])+AVERAGE(Tab.o1[B]),"")</f>
        <v/>
      </c>
      <c r="U726" s="123" t="str">
        <f>IF(Tab.o1[[#This Row],[a1]]=1,Tab.o1[[#This Row],[z+]]*_xlfn.STDEV.P(Tab.o1[B])+AVERAGE(Tab.o1[B]),"")</f>
        <v/>
      </c>
      <c r="V726" s="124" t="str">
        <f>IF(Tab.o1[[#This Row],[a1]]=1,ABS((ABS(Tab.o1[[#This Row],[Red]]-Tab.o1[[#This Row],[Blue]]))),"")</f>
        <v/>
      </c>
      <c r="W726" s="125" t="str">
        <f>IF(Tab.o1[[#This Row],[a1]]=1,IF(W$3=0,1,Tab.o1[[#This Row],[Amp.]]*1/_xlfn.MINIFS(Tab.o1[Amp.],Tab.o1[Amp.],"&lt;&gt;0")),"")</f>
        <v/>
      </c>
      <c r="X726" s="126" t="str">
        <f>IF(Tab.o1[[#This Row],[a1]]=1,IF(ISNUMBER(Tab.o1[[#This Row],[i.]]),NORMDIST(Tab.o1[[#This Row],[Za]],0,1,FALSE)*Tab.o1[[#This Row],[i.]],AP$3),"")</f>
        <v/>
      </c>
      <c r="Y726" s="126" t="str">
        <f>IF(Tab.o1[[#This Row],[a1]]=1,0.01+0.94*Tab.o1[[#This Row],[PDF]]/MAX(Tab.o1[PDF]),"")</f>
        <v/>
      </c>
      <c r="Z726" s="126" t="str">
        <f>IF(Tab.o1[[#This Row],[a1]]=1,0.01+0.94*Tab.o1[[#This Row],[W1_PDF]]/MAX(Tab.o1[W1_PDF]),"")</f>
        <v/>
      </c>
      <c r="AA726" s="118" t="str">
        <f>IF(Tab.o1[[#This Row],[a1]]=1,ABS([1]!T.in.A[[#This Row],[oo6]]),"")</f>
        <v/>
      </c>
      <c r="AB726" s="127" t="str">
        <f>IF(Tab.o1[[#This Row],[a1]]=1,IF(AE$3=0,"",IF(AB$3=0,ABS([1]!T.in.A[[#This Row],[oo9]]),ABS(Tab.o1[[#This Row],[DIF_Target.]]*Tab.o1[[#This Row],[W1_PDF]]))),"")</f>
        <v/>
      </c>
      <c r="AC726" s="127" t="str">
        <f>IF(G$1=1,"",IF(Tab.o1[[#This Row],[a1]]=1,Tab.o1[[#This Row],[Wr]]^2,""))</f>
        <v/>
      </c>
      <c r="AD726" s="118" t="str">
        <f>IF(Tab.o1[[#This Row],[a1]]=1,IF(AE$3=0,"",Tab.o1[[#This Row],[Wr2]]/SUM(Tab.o1[Wr2])),"")</f>
        <v/>
      </c>
      <c r="AE726" s="128" t="str">
        <f>IF(Tab.o1[[#This Row],[a1]]=1,[1]!T.in.A[[#This Row],[oo10]],"")</f>
        <v/>
      </c>
      <c r="AF726" s="118" t="str">
        <f>IF(Tab.o1[[#This Row],[a1]]=1,ABS(Tab.o1[[#This Row],[DIF_Target.]]*Tab.o1[[#This Row],[PDF2]]*Tab.o1[[#This Row],[IN]]),"")</f>
        <v/>
      </c>
      <c r="AG726" s="129" t="str">
        <f>IF(Tab.o1[[#This Row],[a1]]=1,Tab.o1[[#This Row],[rW]]^2,"")</f>
        <v/>
      </c>
      <c r="AH726" s="130" t="str">
        <f>IF(Tab.o1[[#This Row],[a1]]=1,IF(AH$3=0,Tab.o1[[#This Row],[rW2]],0.01+0.94*Tab.o1[[#This Row],[rW2]]/SUM(Tab.o1[rW2])),"")</f>
        <v/>
      </c>
      <c r="AI726" s="128" t="str">
        <f>IF(Tab.o1[[#This Row],[a1]]=1,1/Tab.o1[[#This Row],[PDF]],"")</f>
        <v/>
      </c>
      <c r="AJ726" s="131" t="str">
        <f>IF(Tab.o1[[#This Row],[a1]]=1,[1]!T_AA[[#This Row],[IN'']]*[1]!T_AA[[#This Row],[Qde'']],"")</f>
        <v/>
      </c>
      <c r="AK726" s="132" t="str">
        <f>IF(Tab.o1[[#This Row],[a1]]=1,IF(AK$1=1,Tab.o1[[#This Row],[MED]]+Tab.o1[[#This Row],[MOD]]-Tab.o1[[#This Row],[MED]],""),"")</f>
        <v/>
      </c>
      <c r="AL726" s="133" t="str">
        <f>IF(Tab.o1[[#This Row],[a1]]=1,[1]!T.in.A[[#This Row],[oo16]],"")</f>
        <v/>
      </c>
      <c r="AM726" s="133" t="str">
        <f>IF(Tab.o1[[#This Row],[a1]]=1,IF(AM$3=1,[1]!T.in.A[[#This Row],[Σo16]],""),"")</f>
        <v/>
      </c>
      <c r="AN726" s="126" t="str">
        <f>IF(Tab.o1[[#This Row],[a1]]=1,[1]!T.in.A[[#This Row],[Σp5]],"")</f>
        <v/>
      </c>
      <c r="AO726" s="126" t="str">
        <f>IF(Tab.o1[[#This Row],[a1]]=1,IF(AO$3=1,[1]!T.in.A[[#This Row],[Σp5]],""),"")</f>
        <v/>
      </c>
      <c r="AP726" s="110" t="str">
        <f>IF(Tab.o1[[#This Row],[a1]]=1,IF(ISNUMBER(Tab.o1[[#This Row],[i.]]),NORMDIST(Tab.o1[[#This Row],[Za]],0,1,FALSE)*Tab.o1[[#This Row],[i.]],0),"")</f>
        <v/>
      </c>
      <c r="AQ726" s="125" t="str">
        <f>IF(Tab.o1[[#This Row],[a1]]=1,ABS(Tab.o1[[#This Row],[MOD]]-AVERAGE(Tab.o1[MOD])),"")</f>
        <v/>
      </c>
      <c r="AR726" s="134" t="str">
        <f>IF(Tab.o1[[#This Row],[a1]]=1,Tab.o1[[#This Row],[OBS]]/SUM(Tab.o1[OBS]),"")</f>
        <v/>
      </c>
      <c r="AS726" s="135" t="str">
        <f>IF(ISNUMBER(Tab.o1[[#This Row],[a1]]),ROW()-4,"")</f>
        <v/>
      </c>
      <c r="AT726" s="136" t="str">
        <f>Tab.o1[[#This Row],[MOD]]</f>
        <v/>
      </c>
      <c r="AU726" s="137" t="str">
        <f t="shared" si="45"/>
        <v/>
      </c>
      <c r="AV726" s="138" t="str">
        <f t="shared" si="46"/>
        <v/>
      </c>
      <c r="AW726" s="138" t="str">
        <f t="shared" si="47"/>
        <v/>
      </c>
      <c r="AX726" s="139" t="str">
        <f>[1]!T.in.A[[#This Row],[ID_T_manu]]</f>
        <v/>
      </c>
      <c r="AY726" s="140" t="str">
        <f>IF(ISNUMBER(Tab.o1[[#This Row],[a1]]),IF(AND(Tab.o1[[#This Row],[a1]]=1,Tab.o1[[#This Row],[b1]]&lt;=AY$4),#REF!,AY725),"")</f>
        <v/>
      </c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6"/>
      <c r="BO726" s="26"/>
      <c r="BP726" s="26"/>
      <c r="BQ726" s="26"/>
      <c r="BR726" s="26"/>
      <c r="BS726" s="26"/>
      <c r="BT726" s="26"/>
      <c r="BU726" s="26"/>
      <c r="BV726" s="26"/>
      <c r="BW726" s="26"/>
      <c r="BX726" s="26"/>
      <c r="BY726" s="26"/>
      <c r="BZ726" s="26"/>
      <c r="CA726" s="26"/>
    </row>
    <row r="727" spans="1:79" s="143" customFormat="1" ht="15.75" hidden="1">
      <c r="A727" s="109">
        <v>5.9999999999999993E-6</v>
      </c>
      <c r="B727" s="110">
        <f t="shared" si="44"/>
        <v>727</v>
      </c>
      <c r="C727" s="111" t="str">
        <f>IF(C$1=[1]!T.in.A[[#This Row],[oo2]],1,"")</f>
        <v/>
      </c>
      <c r="D727" s="112" t="str">
        <f>IF(Tab.o1[[#This Row],[a1]]=1,IF(SUM(C727:C728)=0,0,IF(SUM(C726:C727)=1,1,IF(SUM(C726:C728)&gt;1,D726+1,0))),"")</f>
        <v/>
      </c>
      <c r="E727" s="113" t="str">
        <f>IF(Tab.o1[[#This Row],[a1]]=1,[1]!T.in.A[[#This Row],[oo1]],"")</f>
        <v/>
      </c>
      <c r="F727" s="113" t="str">
        <f>IF(Tab.o1[[#This Row],[a1]]=1,[1]!T.in.A[[#This Row],[pp1]],"")</f>
        <v/>
      </c>
      <c r="G727" s="114" t="str">
        <f>IF(Tab.o1[[#This Row],[a1]]=1,G$2+IF(G$1=1,0,Tab.o1[[#This Row],[.x1]])+[1]!T.in.A[[#This Row],[oo3]],"")</f>
        <v/>
      </c>
      <c r="H727" s="115" t="str">
        <f>IF(Tab.o1[[#This Row],[a1]]=1,IF(H$2=0,0,IF(G$1=1,0,Tab.o1[[#This Row],[.x1]])+[1]!T.in.A[[#This Row],[oo4]]),"")</f>
        <v/>
      </c>
      <c r="I727" s="116" t="str">
        <f>IF(Tab.o1[[#This Row],[a1]]=1,IF(J$2=0,Tab.o1[[#This Row],[MED]],Tab.o1[[#This Row],[MOD]]),"")</f>
        <v/>
      </c>
      <c r="J727" s="116" t="str">
        <f>IF(Tab.o1[[#This Row],[a1]]=1,((Tab.o1[[#This Row],[DIF_Target.]]-AVERAGE(Tab.o1[DIF_Target.]))/_xlfn.STDEV.P(Tab.o1[DIF_Target.])),"")</f>
        <v/>
      </c>
      <c r="K727" s="117" t="str">
        <f>IF(Tab.o1[[#This Row],[a1]]=1,IF(J$2=0,Tab.o1[[#This Row],[MOD]]-Tab.o1[[#This Row],[B]],IF(J$2=1,0,-Tab.o1[[#This Row],[MED]])+Tab.o1[[#This Row],[B]]),"")</f>
        <v/>
      </c>
      <c r="L727" s="117" t="str">
        <f ca="1">IF(Tab.o1[[#This Row],[DIF_Target]]=0,IF(L$2=0,Tab.o1[[#This Row],[DIF_Target]],AVERAGE(OFFSET(Tab.o1[[#This Row],[DIF_Target]],1,0,L$3,1)))/3,Tab.o1[[#This Row],[DIF_Target]])</f>
        <v/>
      </c>
      <c r="M727" s="118" t="str">
        <f>IF(Tab.o1[[#This Row],[a1]]=1,NORMSDIST(Tab.o1[[#This Row],[Za]]),"")</f>
        <v/>
      </c>
      <c r="N727" s="119" t="str">
        <f>IF(Tab.o1[[#This Row],[a1]]=1,((Tab.o1[[#This Row],[MedMod]]-AVERAGE(Tab.o1[MedMod]))/_xlfn.STDEV.P(Tab.o1[MedMod])*H$1205)+G$1205,"")</f>
        <v/>
      </c>
      <c r="O727" s="141" t="str">
        <f>IF(Tab.o1[[#This Row],[a1]]=1,Tab.o1[[#This Row],[Zb]]*_xlfn.STDEV.P(Tab.o1[MedMod])+AVERAGE(Tab.o1[MedMod]),"")</f>
        <v/>
      </c>
      <c r="P727" s="117" t="str">
        <f ca="1">IF(Tab.o1[[#This Row],[B]]=0,AVERAGE(OFFSET(Tab.o1[[#This Row],[B]],1,0,L$3,1)),Tab.o1[[#This Row],[B]])</f>
        <v/>
      </c>
      <c r="Q727" s="121" t="str">
        <f>IF(Tab.o1[[#This Row],[a1]]=1,NORMSDIST(Tab.o1[[#This Row],[Zb]]),"")</f>
        <v/>
      </c>
      <c r="R727" s="122" t="str">
        <f>IF(Tab.o1[[#This Row],[a1]]=1,((Tab.o1[[#This Row],[MedMod]]-AVERAGE(Tab.o1[MedMod]))/_xlfn.STDEV.P(Tab.o1[MedMod])*H$1203)+G$1203,"")</f>
        <v/>
      </c>
      <c r="S727" s="122" t="str">
        <f>IF(Tab.o1[[#This Row],[a1]]=1,((Tab.o1[[#This Row],[MedMod]]-AVERAGE(Tab.o1[MedMod]))/_xlfn.STDEV.P(Tab.o1[MedMod])*H$1204)+G$1204,"")</f>
        <v/>
      </c>
      <c r="T727" s="123" t="str">
        <f>IF(Tab.o1[[#This Row],[a1]]=1,Tab.o1[[#This Row],[Z-]]*_xlfn.STDEV.P(Tab.o1[B])+AVERAGE(Tab.o1[B]),"")</f>
        <v/>
      </c>
      <c r="U727" s="123" t="str">
        <f>IF(Tab.o1[[#This Row],[a1]]=1,Tab.o1[[#This Row],[z+]]*_xlfn.STDEV.P(Tab.o1[B])+AVERAGE(Tab.o1[B]),"")</f>
        <v/>
      </c>
      <c r="V727" s="124" t="str">
        <f>IF(Tab.o1[[#This Row],[a1]]=1,ABS((ABS(Tab.o1[[#This Row],[Red]]-Tab.o1[[#This Row],[Blue]]))),"")</f>
        <v/>
      </c>
      <c r="W727" s="125" t="str">
        <f>IF(Tab.o1[[#This Row],[a1]]=1,IF(W$3=0,1,Tab.o1[[#This Row],[Amp.]]*1/_xlfn.MINIFS(Tab.o1[Amp.],Tab.o1[Amp.],"&lt;&gt;0")),"")</f>
        <v/>
      </c>
      <c r="X727" s="126" t="str">
        <f>IF(Tab.o1[[#This Row],[a1]]=1,IF(ISNUMBER(Tab.o1[[#This Row],[i.]]),NORMDIST(Tab.o1[[#This Row],[Za]],0,1,FALSE)*Tab.o1[[#This Row],[i.]],AP$3),"")</f>
        <v/>
      </c>
      <c r="Y727" s="126" t="str">
        <f>IF(Tab.o1[[#This Row],[a1]]=1,0.01+0.94*Tab.o1[[#This Row],[PDF]]/MAX(Tab.o1[PDF]),"")</f>
        <v/>
      </c>
      <c r="Z727" s="126" t="str">
        <f>IF(Tab.o1[[#This Row],[a1]]=1,0.01+0.94*Tab.o1[[#This Row],[W1_PDF]]/MAX(Tab.o1[W1_PDF]),"")</f>
        <v/>
      </c>
      <c r="AA727" s="118" t="str">
        <f>IF(Tab.o1[[#This Row],[a1]]=1,ABS([1]!T.in.A[[#This Row],[oo6]]),"")</f>
        <v/>
      </c>
      <c r="AB727" s="127" t="str">
        <f>IF(Tab.o1[[#This Row],[a1]]=1,IF(AE$3=0,"",IF(AB$3=0,ABS([1]!T.in.A[[#This Row],[oo9]]),ABS(Tab.o1[[#This Row],[DIF_Target.]]*Tab.o1[[#This Row],[W1_PDF]]))),"")</f>
        <v/>
      </c>
      <c r="AC727" s="127" t="str">
        <f>IF(G$1=1,"",IF(Tab.o1[[#This Row],[a1]]=1,Tab.o1[[#This Row],[Wr]]^2,""))</f>
        <v/>
      </c>
      <c r="AD727" s="118" t="str">
        <f>IF(Tab.o1[[#This Row],[a1]]=1,IF(AE$3=0,"",Tab.o1[[#This Row],[Wr2]]/SUM(Tab.o1[Wr2])),"")</f>
        <v/>
      </c>
      <c r="AE727" s="128" t="str">
        <f>IF(Tab.o1[[#This Row],[a1]]=1,[1]!T.in.A[[#This Row],[oo10]],"")</f>
        <v/>
      </c>
      <c r="AF727" s="118" t="str">
        <f>IF(Tab.o1[[#This Row],[a1]]=1,ABS(Tab.o1[[#This Row],[DIF_Target.]]*Tab.o1[[#This Row],[PDF2]]*Tab.o1[[#This Row],[IN]]),"")</f>
        <v/>
      </c>
      <c r="AG727" s="129" t="str">
        <f>IF(Tab.o1[[#This Row],[a1]]=1,Tab.o1[[#This Row],[rW]]^2,"")</f>
        <v/>
      </c>
      <c r="AH727" s="130" t="str">
        <f>IF(Tab.o1[[#This Row],[a1]]=1,IF(AH$3=0,Tab.o1[[#This Row],[rW2]],0.01+0.94*Tab.o1[[#This Row],[rW2]]/SUM(Tab.o1[rW2])),"")</f>
        <v/>
      </c>
      <c r="AI727" s="128" t="str">
        <f>IF(Tab.o1[[#This Row],[a1]]=1,1/Tab.o1[[#This Row],[PDF]],"")</f>
        <v/>
      </c>
      <c r="AJ727" s="131" t="str">
        <f>IF(Tab.o1[[#This Row],[a1]]=1,[1]!T_AA[[#This Row],[IN'']]*[1]!T_AA[[#This Row],[Qde'']],"")</f>
        <v/>
      </c>
      <c r="AK727" s="132" t="str">
        <f>IF(Tab.o1[[#This Row],[a1]]=1,IF(AK$1=1,Tab.o1[[#This Row],[MED]]+Tab.o1[[#This Row],[MOD]]-Tab.o1[[#This Row],[MED]],""),"")</f>
        <v/>
      </c>
      <c r="AL727" s="133" t="str">
        <f>IF(Tab.o1[[#This Row],[a1]]=1,[1]!T.in.A[[#This Row],[oo16]],"")</f>
        <v/>
      </c>
      <c r="AM727" s="133" t="str">
        <f>IF(Tab.o1[[#This Row],[a1]]=1,IF(AM$3=1,[1]!T.in.A[[#This Row],[Σo16]],""),"")</f>
        <v/>
      </c>
      <c r="AN727" s="126" t="str">
        <f>IF(Tab.o1[[#This Row],[a1]]=1,[1]!T.in.A[[#This Row],[Σp5]],"")</f>
        <v/>
      </c>
      <c r="AO727" s="126" t="str">
        <f>IF(Tab.o1[[#This Row],[a1]]=1,IF(AO$3=1,[1]!T.in.A[[#This Row],[Σp5]],""),"")</f>
        <v/>
      </c>
      <c r="AP727" s="110" t="str">
        <f>IF(Tab.o1[[#This Row],[a1]]=1,IF(ISNUMBER(Tab.o1[[#This Row],[i.]]),NORMDIST(Tab.o1[[#This Row],[Za]],0,1,FALSE)*Tab.o1[[#This Row],[i.]],0),"")</f>
        <v/>
      </c>
      <c r="AQ727" s="125" t="str">
        <f>IF(Tab.o1[[#This Row],[a1]]=1,ABS(Tab.o1[[#This Row],[MOD]]-AVERAGE(Tab.o1[MOD])),"")</f>
        <v/>
      </c>
      <c r="AR727" s="134" t="str">
        <f>IF(Tab.o1[[#This Row],[a1]]=1,Tab.o1[[#This Row],[OBS]]/SUM(Tab.o1[OBS]),"")</f>
        <v/>
      </c>
      <c r="AS727" s="135" t="str">
        <f>IF(ISNUMBER(Tab.o1[[#This Row],[a1]]),ROW()-4,"")</f>
        <v/>
      </c>
      <c r="AT727" s="136" t="str">
        <f>Tab.o1[[#This Row],[MOD]]</f>
        <v/>
      </c>
      <c r="AU727" s="137" t="str">
        <f t="shared" si="45"/>
        <v/>
      </c>
      <c r="AV727" s="138" t="str">
        <f t="shared" si="46"/>
        <v/>
      </c>
      <c r="AW727" s="138" t="str">
        <f t="shared" si="47"/>
        <v/>
      </c>
      <c r="AX727" s="139" t="str">
        <f>[1]!T.in.A[[#This Row],[ID_T_manu]]</f>
        <v/>
      </c>
      <c r="AY727" s="140" t="str">
        <f>IF(ISNUMBER(Tab.o1[[#This Row],[a1]]),IF(AND(Tab.o1[[#This Row],[a1]]=1,Tab.o1[[#This Row],[b1]]&lt;=AY$4),#REF!,AY726),"")</f>
        <v/>
      </c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6"/>
      <c r="BO727" s="26"/>
      <c r="BP727" s="26"/>
      <c r="BQ727" s="26"/>
      <c r="BR727" s="26"/>
      <c r="BS727" s="26"/>
      <c r="BT727" s="26"/>
      <c r="BU727" s="26"/>
      <c r="BV727" s="26"/>
      <c r="BW727" s="26"/>
      <c r="BX727" s="26"/>
      <c r="BY727" s="26"/>
      <c r="BZ727" s="26"/>
      <c r="CA727" s="26"/>
    </row>
    <row r="728" spans="1:79" s="143" customFormat="1" ht="15.75" hidden="1">
      <c r="A728" s="109">
        <v>-1.0000000000000002E-6</v>
      </c>
      <c r="B728" s="110">
        <f t="shared" si="44"/>
        <v>728</v>
      </c>
      <c r="C728" s="111" t="str">
        <f>IF(C$1=[1]!T.in.A[[#This Row],[oo2]],1,"")</f>
        <v/>
      </c>
      <c r="D728" s="112" t="str">
        <f>IF(Tab.o1[[#This Row],[a1]]=1,IF(SUM(C728:C729)=0,0,IF(SUM(C727:C728)=1,1,IF(SUM(C727:C729)&gt;1,D727+1,0))),"")</f>
        <v/>
      </c>
      <c r="E728" s="113" t="str">
        <f>IF(Tab.o1[[#This Row],[a1]]=1,[1]!T.in.A[[#This Row],[oo1]],"")</f>
        <v/>
      </c>
      <c r="F728" s="113" t="str">
        <f>IF(Tab.o1[[#This Row],[a1]]=1,[1]!T.in.A[[#This Row],[pp1]],"")</f>
        <v/>
      </c>
      <c r="G728" s="114" t="str">
        <f>IF(Tab.o1[[#This Row],[a1]]=1,G$2+IF(G$1=1,0,Tab.o1[[#This Row],[.x1]])+[1]!T.in.A[[#This Row],[oo3]],"")</f>
        <v/>
      </c>
      <c r="H728" s="115" t="str">
        <f>IF(Tab.o1[[#This Row],[a1]]=1,IF(H$2=0,0,IF(G$1=1,0,Tab.o1[[#This Row],[.x1]])+[1]!T.in.A[[#This Row],[oo4]]),"")</f>
        <v/>
      </c>
      <c r="I728" s="116" t="str">
        <f>IF(Tab.o1[[#This Row],[a1]]=1,IF(J$2=0,Tab.o1[[#This Row],[MED]],Tab.o1[[#This Row],[MOD]]),"")</f>
        <v/>
      </c>
      <c r="J728" s="116" t="str">
        <f>IF(Tab.o1[[#This Row],[a1]]=1,((Tab.o1[[#This Row],[DIF_Target.]]-AVERAGE(Tab.o1[DIF_Target.]))/_xlfn.STDEV.P(Tab.o1[DIF_Target.])),"")</f>
        <v/>
      </c>
      <c r="K728" s="117" t="str">
        <f>IF(Tab.o1[[#This Row],[a1]]=1,IF(J$2=0,Tab.o1[[#This Row],[MOD]]-Tab.o1[[#This Row],[B]],IF(J$2=1,0,-Tab.o1[[#This Row],[MED]])+Tab.o1[[#This Row],[B]]),"")</f>
        <v/>
      </c>
      <c r="L728" s="117" t="str">
        <f ca="1">IF(Tab.o1[[#This Row],[DIF_Target]]=0,IF(L$2=0,Tab.o1[[#This Row],[DIF_Target]],AVERAGE(OFFSET(Tab.o1[[#This Row],[DIF_Target]],1,0,L$3,1)))/3,Tab.o1[[#This Row],[DIF_Target]])</f>
        <v/>
      </c>
      <c r="M728" s="118" t="str">
        <f>IF(Tab.o1[[#This Row],[a1]]=1,NORMSDIST(Tab.o1[[#This Row],[Za]]),"")</f>
        <v/>
      </c>
      <c r="N728" s="119" t="str">
        <f>IF(Tab.o1[[#This Row],[a1]]=1,((Tab.o1[[#This Row],[MedMod]]-AVERAGE(Tab.o1[MedMod]))/_xlfn.STDEV.P(Tab.o1[MedMod])*H$1205)+G$1205,"")</f>
        <v/>
      </c>
      <c r="O728" s="141" t="str">
        <f>IF(Tab.o1[[#This Row],[a1]]=1,Tab.o1[[#This Row],[Zb]]*_xlfn.STDEV.P(Tab.o1[MedMod])+AVERAGE(Tab.o1[MedMod]),"")</f>
        <v/>
      </c>
      <c r="P728" s="117" t="str">
        <f ca="1">IF(Tab.o1[[#This Row],[B]]=0,AVERAGE(OFFSET(Tab.o1[[#This Row],[B]],1,0,L$3,1)),Tab.o1[[#This Row],[B]])</f>
        <v/>
      </c>
      <c r="Q728" s="121" t="str">
        <f>IF(Tab.o1[[#This Row],[a1]]=1,NORMSDIST(Tab.o1[[#This Row],[Zb]]),"")</f>
        <v/>
      </c>
      <c r="R728" s="122" t="str">
        <f>IF(Tab.o1[[#This Row],[a1]]=1,((Tab.o1[[#This Row],[MedMod]]-AVERAGE(Tab.o1[MedMod]))/_xlfn.STDEV.P(Tab.o1[MedMod])*H$1203)+G$1203,"")</f>
        <v/>
      </c>
      <c r="S728" s="122" t="str">
        <f>IF(Tab.o1[[#This Row],[a1]]=1,((Tab.o1[[#This Row],[MedMod]]-AVERAGE(Tab.o1[MedMod]))/_xlfn.STDEV.P(Tab.o1[MedMod])*H$1204)+G$1204,"")</f>
        <v/>
      </c>
      <c r="T728" s="123" t="str">
        <f>IF(Tab.o1[[#This Row],[a1]]=1,Tab.o1[[#This Row],[Z-]]*_xlfn.STDEV.P(Tab.o1[B])+AVERAGE(Tab.o1[B]),"")</f>
        <v/>
      </c>
      <c r="U728" s="123" t="str">
        <f>IF(Tab.o1[[#This Row],[a1]]=1,Tab.o1[[#This Row],[z+]]*_xlfn.STDEV.P(Tab.o1[B])+AVERAGE(Tab.o1[B]),"")</f>
        <v/>
      </c>
      <c r="V728" s="124" t="str">
        <f>IF(Tab.o1[[#This Row],[a1]]=1,ABS((ABS(Tab.o1[[#This Row],[Red]]-Tab.o1[[#This Row],[Blue]]))),"")</f>
        <v/>
      </c>
      <c r="W728" s="125" t="str">
        <f>IF(Tab.o1[[#This Row],[a1]]=1,IF(W$3=0,1,Tab.o1[[#This Row],[Amp.]]*1/_xlfn.MINIFS(Tab.o1[Amp.],Tab.o1[Amp.],"&lt;&gt;0")),"")</f>
        <v/>
      </c>
      <c r="X728" s="126" t="str">
        <f>IF(Tab.o1[[#This Row],[a1]]=1,IF(ISNUMBER(Tab.o1[[#This Row],[i.]]),NORMDIST(Tab.o1[[#This Row],[Za]],0,1,FALSE)*Tab.o1[[#This Row],[i.]],AP$3),"")</f>
        <v/>
      </c>
      <c r="Y728" s="126" t="str">
        <f>IF(Tab.o1[[#This Row],[a1]]=1,0.01+0.94*Tab.o1[[#This Row],[PDF]]/MAX(Tab.o1[PDF]),"")</f>
        <v/>
      </c>
      <c r="Z728" s="126" t="str">
        <f>IF(Tab.o1[[#This Row],[a1]]=1,0.01+0.94*Tab.o1[[#This Row],[W1_PDF]]/MAX(Tab.o1[W1_PDF]),"")</f>
        <v/>
      </c>
      <c r="AA728" s="118" t="str">
        <f>IF(Tab.o1[[#This Row],[a1]]=1,ABS([1]!T.in.A[[#This Row],[oo6]]),"")</f>
        <v/>
      </c>
      <c r="AB728" s="127" t="str">
        <f>IF(Tab.o1[[#This Row],[a1]]=1,IF(AE$3=0,"",IF(AB$3=0,ABS([1]!T.in.A[[#This Row],[oo9]]),ABS(Tab.o1[[#This Row],[DIF_Target.]]*Tab.o1[[#This Row],[W1_PDF]]))),"")</f>
        <v/>
      </c>
      <c r="AC728" s="127" t="str">
        <f>IF(G$1=1,"",IF(Tab.o1[[#This Row],[a1]]=1,Tab.o1[[#This Row],[Wr]]^2,""))</f>
        <v/>
      </c>
      <c r="AD728" s="118" t="str">
        <f>IF(Tab.o1[[#This Row],[a1]]=1,IF(AE$3=0,"",Tab.o1[[#This Row],[Wr2]]/SUM(Tab.o1[Wr2])),"")</f>
        <v/>
      </c>
      <c r="AE728" s="128" t="str">
        <f>IF(Tab.o1[[#This Row],[a1]]=1,[1]!T.in.A[[#This Row],[oo10]],"")</f>
        <v/>
      </c>
      <c r="AF728" s="118" t="str">
        <f>IF(Tab.o1[[#This Row],[a1]]=1,ABS(Tab.o1[[#This Row],[DIF_Target.]]*Tab.o1[[#This Row],[PDF2]]*Tab.o1[[#This Row],[IN]]),"")</f>
        <v/>
      </c>
      <c r="AG728" s="129" t="str">
        <f>IF(Tab.o1[[#This Row],[a1]]=1,Tab.o1[[#This Row],[rW]]^2,"")</f>
        <v/>
      </c>
      <c r="AH728" s="130" t="str">
        <f>IF(Tab.o1[[#This Row],[a1]]=1,IF(AH$3=0,Tab.o1[[#This Row],[rW2]],0.01+0.94*Tab.o1[[#This Row],[rW2]]/SUM(Tab.o1[rW2])),"")</f>
        <v/>
      </c>
      <c r="AI728" s="128" t="str">
        <f>IF(Tab.o1[[#This Row],[a1]]=1,1/Tab.o1[[#This Row],[PDF]],"")</f>
        <v/>
      </c>
      <c r="AJ728" s="131" t="str">
        <f>IF(Tab.o1[[#This Row],[a1]]=1,[1]!T_AA[[#This Row],[IN'']]*[1]!T_AA[[#This Row],[Qde'']],"")</f>
        <v/>
      </c>
      <c r="AK728" s="132" t="str">
        <f>IF(Tab.o1[[#This Row],[a1]]=1,IF(AK$1=1,Tab.o1[[#This Row],[MED]]+Tab.o1[[#This Row],[MOD]]-Tab.o1[[#This Row],[MED]],""),"")</f>
        <v/>
      </c>
      <c r="AL728" s="133" t="str">
        <f>IF(Tab.o1[[#This Row],[a1]]=1,[1]!T.in.A[[#This Row],[oo16]],"")</f>
        <v/>
      </c>
      <c r="AM728" s="133" t="str">
        <f>IF(Tab.o1[[#This Row],[a1]]=1,IF(AM$3=1,[1]!T.in.A[[#This Row],[Σo16]],""),"")</f>
        <v/>
      </c>
      <c r="AN728" s="126" t="str">
        <f>IF(Tab.o1[[#This Row],[a1]]=1,[1]!T.in.A[[#This Row],[Σp5]],"")</f>
        <v/>
      </c>
      <c r="AO728" s="126" t="str">
        <f>IF(Tab.o1[[#This Row],[a1]]=1,IF(AO$3=1,[1]!T.in.A[[#This Row],[Σp5]],""),"")</f>
        <v/>
      </c>
      <c r="AP728" s="110" t="str">
        <f>IF(Tab.o1[[#This Row],[a1]]=1,IF(ISNUMBER(Tab.o1[[#This Row],[i.]]),NORMDIST(Tab.o1[[#This Row],[Za]],0,1,FALSE)*Tab.o1[[#This Row],[i.]],0),"")</f>
        <v/>
      </c>
      <c r="AQ728" s="125" t="str">
        <f>IF(Tab.o1[[#This Row],[a1]]=1,ABS(Tab.o1[[#This Row],[MOD]]-AVERAGE(Tab.o1[MOD])),"")</f>
        <v/>
      </c>
      <c r="AR728" s="134" t="str">
        <f>IF(Tab.o1[[#This Row],[a1]]=1,Tab.o1[[#This Row],[OBS]]/SUM(Tab.o1[OBS]),"")</f>
        <v/>
      </c>
      <c r="AS728" s="135" t="str">
        <f>IF(ISNUMBER(Tab.o1[[#This Row],[a1]]),ROW()-4,"")</f>
        <v/>
      </c>
      <c r="AT728" s="136" t="str">
        <f>Tab.o1[[#This Row],[MOD]]</f>
        <v/>
      </c>
      <c r="AU728" s="137" t="str">
        <f t="shared" si="45"/>
        <v/>
      </c>
      <c r="AV728" s="138" t="str">
        <f t="shared" si="46"/>
        <v/>
      </c>
      <c r="AW728" s="138" t="str">
        <f t="shared" si="47"/>
        <v/>
      </c>
      <c r="AX728" s="139" t="str">
        <f>[1]!T.in.A[[#This Row],[ID_T_manu]]</f>
        <v/>
      </c>
      <c r="AY728" s="140" t="str">
        <f>IF(ISNUMBER(Tab.o1[[#This Row],[a1]]),IF(AND(Tab.o1[[#This Row],[a1]]=1,Tab.o1[[#This Row],[b1]]&lt;=AY$4),#REF!,AY727),"")</f>
        <v/>
      </c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</row>
    <row r="729" spans="1:79" s="143" customFormat="1" ht="15.75" hidden="1">
      <c r="A729" s="109">
        <v>-2.9999999999999997E-6</v>
      </c>
      <c r="B729" s="110">
        <f t="shared" si="44"/>
        <v>729</v>
      </c>
      <c r="C729" s="111" t="str">
        <f>IF(C$1=[1]!T.in.A[[#This Row],[oo2]],1,"")</f>
        <v/>
      </c>
      <c r="D729" s="112" t="str">
        <f>IF(Tab.o1[[#This Row],[a1]]=1,IF(SUM(C729:C730)=0,0,IF(SUM(C728:C729)=1,1,IF(SUM(C728:C730)&gt;1,D728+1,0))),"")</f>
        <v/>
      </c>
      <c r="E729" s="113" t="str">
        <f>IF(Tab.o1[[#This Row],[a1]]=1,[1]!T.in.A[[#This Row],[oo1]],"")</f>
        <v/>
      </c>
      <c r="F729" s="113" t="str">
        <f>IF(Tab.o1[[#This Row],[a1]]=1,[1]!T.in.A[[#This Row],[pp1]],"")</f>
        <v/>
      </c>
      <c r="G729" s="114" t="str">
        <f>IF(Tab.o1[[#This Row],[a1]]=1,G$2+IF(G$1=1,0,Tab.o1[[#This Row],[.x1]])+[1]!T.in.A[[#This Row],[oo3]],"")</f>
        <v/>
      </c>
      <c r="H729" s="115" t="str">
        <f>IF(Tab.o1[[#This Row],[a1]]=1,IF(H$2=0,0,IF(G$1=1,0,Tab.o1[[#This Row],[.x1]])+[1]!T.in.A[[#This Row],[oo4]]),"")</f>
        <v/>
      </c>
      <c r="I729" s="116" t="str">
        <f>IF(Tab.o1[[#This Row],[a1]]=1,IF(J$2=0,Tab.o1[[#This Row],[MED]],Tab.o1[[#This Row],[MOD]]),"")</f>
        <v/>
      </c>
      <c r="J729" s="116" t="str">
        <f>IF(Tab.o1[[#This Row],[a1]]=1,((Tab.o1[[#This Row],[DIF_Target.]]-AVERAGE(Tab.o1[DIF_Target.]))/_xlfn.STDEV.P(Tab.o1[DIF_Target.])),"")</f>
        <v/>
      </c>
      <c r="K729" s="117" t="str">
        <f>IF(Tab.o1[[#This Row],[a1]]=1,IF(J$2=0,Tab.o1[[#This Row],[MOD]]-Tab.o1[[#This Row],[B]],IF(J$2=1,0,-Tab.o1[[#This Row],[MED]])+Tab.o1[[#This Row],[B]]),"")</f>
        <v/>
      </c>
      <c r="L729" s="117" t="str">
        <f ca="1">IF(Tab.o1[[#This Row],[DIF_Target]]=0,IF(L$2=0,Tab.o1[[#This Row],[DIF_Target]],AVERAGE(OFFSET(Tab.o1[[#This Row],[DIF_Target]],1,0,L$3,1)))/3,Tab.o1[[#This Row],[DIF_Target]])</f>
        <v/>
      </c>
      <c r="M729" s="118" t="str">
        <f>IF(Tab.o1[[#This Row],[a1]]=1,NORMSDIST(Tab.o1[[#This Row],[Za]]),"")</f>
        <v/>
      </c>
      <c r="N729" s="119" t="str">
        <f>IF(Tab.o1[[#This Row],[a1]]=1,((Tab.o1[[#This Row],[MedMod]]-AVERAGE(Tab.o1[MedMod]))/_xlfn.STDEV.P(Tab.o1[MedMod])*H$1205)+G$1205,"")</f>
        <v/>
      </c>
      <c r="O729" s="141" t="str">
        <f>IF(Tab.o1[[#This Row],[a1]]=1,Tab.o1[[#This Row],[Zb]]*_xlfn.STDEV.P(Tab.o1[MedMod])+AVERAGE(Tab.o1[MedMod]),"")</f>
        <v/>
      </c>
      <c r="P729" s="117" t="str">
        <f ca="1">IF(Tab.o1[[#This Row],[B]]=0,AVERAGE(OFFSET(Tab.o1[[#This Row],[B]],1,0,L$3,1)),Tab.o1[[#This Row],[B]])</f>
        <v/>
      </c>
      <c r="Q729" s="121" t="str">
        <f>IF(Tab.o1[[#This Row],[a1]]=1,NORMSDIST(Tab.o1[[#This Row],[Zb]]),"")</f>
        <v/>
      </c>
      <c r="R729" s="122" t="str">
        <f>IF(Tab.o1[[#This Row],[a1]]=1,((Tab.o1[[#This Row],[MedMod]]-AVERAGE(Tab.o1[MedMod]))/_xlfn.STDEV.P(Tab.o1[MedMod])*H$1203)+G$1203,"")</f>
        <v/>
      </c>
      <c r="S729" s="122" t="str">
        <f>IF(Tab.o1[[#This Row],[a1]]=1,((Tab.o1[[#This Row],[MedMod]]-AVERAGE(Tab.o1[MedMod]))/_xlfn.STDEV.P(Tab.o1[MedMod])*H$1204)+G$1204,"")</f>
        <v/>
      </c>
      <c r="T729" s="123" t="str">
        <f>IF(Tab.o1[[#This Row],[a1]]=1,Tab.o1[[#This Row],[Z-]]*_xlfn.STDEV.P(Tab.o1[B])+AVERAGE(Tab.o1[B]),"")</f>
        <v/>
      </c>
      <c r="U729" s="123" t="str">
        <f>IF(Tab.o1[[#This Row],[a1]]=1,Tab.o1[[#This Row],[z+]]*_xlfn.STDEV.P(Tab.o1[B])+AVERAGE(Tab.o1[B]),"")</f>
        <v/>
      </c>
      <c r="V729" s="124" t="str">
        <f>IF(Tab.o1[[#This Row],[a1]]=1,ABS((ABS(Tab.o1[[#This Row],[Red]]-Tab.o1[[#This Row],[Blue]]))),"")</f>
        <v/>
      </c>
      <c r="W729" s="125" t="str">
        <f>IF(Tab.o1[[#This Row],[a1]]=1,IF(W$3=0,1,Tab.o1[[#This Row],[Amp.]]*1/_xlfn.MINIFS(Tab.o1[Amp.],Tab.o1[Amp.],"&lt;&gt;0")),"")</f>
        <v/>
      </c>
      <c r="X729" s="126" t="str">
        <f>IF(Tab.o1[[#This Row],[a1]]=1,IF(ISNUMBER(Tab.o1[[#This Row],[i.]]),NORMDIST(Tab.o1[[#This Row],[Za]],0,1,FALSE)*Tab.o1[[#This Row],[i.]],AP$3),"")</f>
        <v/>
      </c>
      <c r="Y729" s="126" t="str">
        <f>IF(Tab.o1[[#This Row],[a1]]=1,0.01+0.94*Tab.o1[[#This Row],[PDF]]/MAX(Tab.o1[PDF]),"")</f>
        <v/>
      </c>
      <c r="Z729" s="126" t="str">
        <f>IF(Tab.o1[[#This Row],[a1]]=1,0.01+0.94*Tab.o1[[#This Row],[W1_PDF]]/MAX(Tab.o1[W1_PDF]),"")</f>
        <v/>
      </c>
      <c r="AA729" s="118" t="str">
        <f>IF(Tab.o1[[#This Row],[a1]]=1,ABS([1]!T.in.A[[#This Row],[oo6]]),"")</f>
        <v/>
      </c>
      <c r="AB729" s="127" t="str">
        <f>IF(Tab.o1[[#This Row],[a1]]=1,IF(AE$3=0,"",IF(AB$3=0,ABS([1]!T.in.A[[#This Row],[oo9]]),ABS(Tab.o1[[#This Row],[DIF_Target.]]*Tab.o1[[#This Row],[W1_PDF]]))),"")</f>
        <v/>
      </c>
      <c r="AC729" s="127" t="str">
        <f>IF(G$1=1,"",IF(Tab.o1[[#This Row],[a1]]=1,Tab.o1[[#This Row],[Wr]]^2,""))</f>
        <v/>
      </c>
      <c r="AD729" s="118" t="str">
        <f>IF(Tab.o1[[#This Row],[a1]]=1,IF(AE$3=0,"",Tab.o1[[#This Row],[Wr2]]/SUM(Tab.o1[Wr2])),"")</f>
        <v/>
      </c>
      <c r="AE729" s="128" t="str">
        <f>IF(Tab.o1[[#This Row],[a1]]=1,[1]!T.in.A[[#This Row],[oo10]],"")</f>
        <v/>
      </c>
      <c r="AF729" s="118" t="str">
        <f>IF(Tab.o1[[#This Row],[a1]]=1,ABS(Tab.o1[[#This Row],[DIF_Target.]]*Tab.o1[[#This Row],[PDF2]]*Tab.o1[[#This Row],[IN]]),"")</f>
        <v/>
      </c>
      <c r="AG729" s="129" t="str">
        <f>IF(Tab.o1[[#This Row],[a1]]=1,Tab.o1[[#This Row],[rW]]^2,"")</f>
        <v/>
      </c>
      <c r="AH729" s="130" t="str">
        <f>IF(Tab.o1[[#This Row],[a1]]=1,IF(AH$3=0,Tab.o1[[#This Row],[rW2]],0.01+0.94*Tab.o1[[#This Row],[rW2]]/SUM(Tab.o1[rW2])),"")</f>
        <v/>
      </c>
      <c r="AI729" s="128" t="str">
        <f>IF(Tab.o1[[#This Row],[a1]]=1,1/Tab.o1[[#This Row],[PDF]],"")</f>
        <v/>
      </c>
      <c r="AJ729" s="131" t="str">
        <f>IF(Tab.o1[[#This Row],[a1]]=1,[1]!T_AA[[#This Row],[IN'']]*[1]!T_AA[[#This Row],[Qde'']],"")</f>
        <v/>
      </c>
      <c r="AK729" s="132" t="str">
        <f>IF(Tab.o1[[#This Row],[a1]]=1,IF(AK$1=1,Tab.o1[[#This Row],[MED]]+Tab.o1[[#This Row],[MOD]]-Tab.o1[[#This Row],[MED]],""),"")</f>
        <v/>
      </c>
      <c r="AL729" s="133" t="str">
        <f>IF(Tab.o1[[#This Row],[a1]]=1,[1]!T.in.A[[#This Row],[oo16]],"")</f>
        <v/>
      </c>
      <c r="AM729" s="133" t="str">
        <f>IF(Tab.o1[[#This Row],[a1]]=1,IF(AM$3=1,[1]!T.in.A[[#This Row],[Σo16]],""),"")</f>
        <v/>
      </c>
      <c r="AN729" s="126" t="str">
        <f>IF(Tab.o1[[#This Row],[a1]]=1,[1]!T.in.A[[#This Row],[Σp5]],"")</f>
        <v/>
      </c>
      <c r="AO729" s="126" t="str">
        <f>IF(Tab.o1[[#This Row],[a1]]=1,IF(AO$3=1,[1]!T.in.A[[#This Row],[Σp5]],""),"")</f>
        <v/>
      </c>
      <c r="AP729" s="110" t="str">
        <f>IF(Tab.o1[[#This Row],[a1]]=1,IF(ISNUMBER(Tab.o1[[#This Row],[i.]]),NORMDIST(Tab.o1[[#This Row],[Za]],0,1,FALSE)*Tab.o1[[#This Row],[i.]],0),"")</f>
        <v/>
      </c>
      <c r="AQ729" s="125" t="str">
        <f>IF(Tab.o1[[#This Row],[a1]]=1,ABS(Tab.o1[[#This Row],[MOD]]-AVERAGE(Tab.o1[MOD])),"")</f>
        <v/>
      </c>
      <c r="AR729" s="134" t="str">
        <f>IF(Tab.o1[[#This Row],[a1]]=1,Tab.o1[[#This Row],[OBS]]/SUM(Tab.o1[OBS]),"")</f>
        <v/>
      </c>
      <c r="AS729" s="135" t="str">
        <f>IF(ISNUMBER(Tab.o1[[#This Row],[a1]]),ROW()-4,"")</f>
        <v/>
      </c>
      <c r="AT729" s="136" t="str">
        <f>Tab.o1[[#This Row],[MOD]]</f>
        <v/>
      </c>
      <c r="AU729" s="137" t="str">
        <f t="shared" si="45"/>
        <v/>
      </c>
      <c r="AV729" s="138" t="str">
        <f t="shared" si="46"/>
        <v/>
      </c>
      <c r="AW729" s="138" t="str">
        <f t="shared" si="47"/>
        <v/>
      </c>
      <c r="AX729" s="139" t="str">
        <f>[1]!T.in.A[[#This Row],[ID_T_manu]]</f>
        <v/>
      </c>
      <c r="AY729" s="140" t="str">
        <f>IF(ISNUMBER(Tab.o1[[#This Row],[a1]]),IF(AND(Tab.o1[[#This Row],[a1]]=1,Tab.o1[[#This Row],[b1]]&lt;=AY$4),#REF!,AY728),"")</f>
        <v/>
      </c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6"/>
      <c r="BO729" s="26"/>
      <c r="BP729" s="26"/>
      <c r="BQ729" s="26"/>
      <c r="BR729" s="26"/>
      <c r="BS729" s="26"/>
      <c r="BT729" s="26"/>
      <c r="BU729" s="26"/>
      <c r="BV729" s="26"/>
      <c r="BW729" s="26"/>
      <c r="BX729" s="26"/>
      <c r="BY729" s="26"/>
      <c r="BZ729" s="26"/>
      <c r="CA729" s="26"/>
    </row>
    <row r="730" spans="1:79" s="143" customFormat="1" ht="15.75" hidden="1">
      <c r="A730" s="109">
        <v>2.9999999999999997E-6</v>
      </c>
      <c r="B730" s="110">
        <f t="shared" si="44"/>
        <v>730</v>
      </c>
      <c r="C730" s="111" t="str">
        <f>IF(C$1=[1]!T.in.A[[#This Row],[oo2]],1,"")</f>
        <v/>
      </c>
      <c r="D730" s="112" t="str">
        <f>IF(Tab.o1[[#This Row],[a1]]=1,IF(SUM(C730:C731)=0,0,IF(SUM(C729:C730)=1,1,IF(SUM(C729:C731)&gt;1,D729+1,0))),"")</f>
        <v/>
      </c>
      <c r="E730" s="113" t="str">
        <f>IF(Tab.o1[[#This Row],[a1]]=1,[1]!T.in.A[[#This Row],[oo1]],"")</f>
        <v/>
      </c>
      <c r="F730" s="113" t="str">
        <f>IF(Tab.o1[[#This Row],[a1]]=1,[1]!T.in.A[[#This Row],[pp1]],"")</f>
        <v/>
      </c>
      <c r="G730" s="114" t="str">
        <f>IF(Tab.o1[[#This Row],[a1]]=1,G$2+IF(G$1=1,0,Tab.o1[[#This Row],[.x1]])+[1]!T.in.A[[#This Row],[oo3]],"")</f>
        <v/>
      </c>
      <c r="H730" s="115" t="str">
        <f>IF(Tab.o1[[#This Row],[a1]]=1,IF(H$2=0,0,IF(G$1=1,0,Tab.o1[[#This Row],[.x1]])+[1]!T.in.A[[#This Row],[oo4]]),"")</f>
        <v/>
      </c>
      <c r="I730" s="116" t="str">
        <f>IF(Tab.o1[[#This Row],[a1]]=1,IF(J$2=0,Tab.o1[[#This Row],[MED]],Tab.o1[[#This Row],[MOD]]),"")</f>
        <v/>
      </c>
      <c r="J730" s="116" t="str">
        <f>IF(Tab.o1[[#This Row],[a1]]=1,((Tab.o1[[#This Row],[DIF_Target.]]-AVERAGE(Tab.o1[DIF_Target.]))/_xlfn.STDEV.P(Tab.o1[DIF_Target.])),"")</f>
        <v/>
      </c>
      <c r="K730" s="117" t="str">
        <f>IF(Tab.o1[[#This Row],[a1]]=1,IF(J$2=0,Tab.o1[[#This Row],[MOD]]-Tab.o1[[#This Row],[B]],IF(J$2=1,0,-Tab.o1[[#This Row],[MED]])+Tab.o1[[#This Row],[B]]),"")</f>
        <v/>
      </c>
      <c r="L730" s="117" t="str">
        <f ca="1">IF(Tab.o1[[#This Row],[DIF_Target]]=0,IF(L$2=0,Tab.o1[[#This Row],[DIF_Target]],AVERAGE(OFFSET(Tab.o1[[#This Row],[DIF_Target]],1,0,L$3,1)))/3,Tab.o1[[#This Row],[DIF_Target]])</f>
        <v/>
      </c>
      <c r="M730" s="118" t="str">
        <f>IF(Tab.o1[[#This Row],[a1]]=1,NORMSDIST(Tab.o1[[#This Row],[Za]]),"")</f>
        <v/>
      </c>
      <c r="N730" s="119" t="str">
        <f>IF(Tab.o1[[#This Row],[a1]]=1,((Tab.o1[[#This Row],[MedMod]]-AVERAGE(Tab.o1[MedMod]))/_xlfn.STDEV.P(Tab.o1[MedMod])*H$1205)+G$1205,"")</f>
        <v/>
      </c>
      <c r="O730" s="141" t="str">
        <f>IF(Tab.o1[[#This Row],[a1]]=1,Tab.o1[[#This Row],[Zb]]*_xlfn.STDEV.P(Tab.o1[MedMod])+AVERAGE(Tab.o1[MedMod]),"")</f>
        <v/>
      </c>
      <c r="P730" s="117" t="str">
        <f ca="1">IF(Tab.o1[[#This Row],[B]]=0,AVERAGE(OFFSET(Tab.o1[[#This Row],[B]],1,0,L$3,1)),Tab.o1[[#This Row],[B]])</f>
        <v/>
      </c>
      <c r="Q730" s="121" t="str">
        <f>IF(Tab.o1[[#This Row],[a1]]=1,NORMSDIST(Tab.o1[[#This Row],[Zb]]),"")</f>
        <v/>
      </c>
      <c r="R730" s="122" t="str">
        <f>IF(Tab.o1[[#This Row],[a1]]=1,((Tab.o1[[#This Row],[MedMod]]-AVERAGE(Tab.o1[MedMod]))/_xlfn.STDEV.P(Tab.o1[MedMod])*H$1203)+G$1203,"")</f>
        <v/>
      </c>
      <c r="S730" s="122" t="str">
        <f>IF(Tab.o1[[#This Row],[a1]]=1,((Tab.o1[[#This Row],[MedMod]]-AVERAGE(Tab.o1[MedMod]))/_xlfn.STDEV.P(Tab.o1[MedMod])*H$1204)+G$1204,"")</f>
        <v/>
      </c>
      <c r="T730" s="123" t="str">
        <f>IF(Tab.o1[[#This Row],[a1]]=1,Tab.o1[[#This Row],[Z-]]*_xlfn.STDEV.P(Tab.o1[B])+AVERAGE(Tab.o1[B]),"")</f>
        <v/>
      </c>
      <c r="U730" s="123" t="str">
        <f>IF(Tab.o1[[#This Row],[a1]]=1,Tab.o1[[#This Row],[z+]]*_xlfn.STDEV.P(Tab.o1[B])+AVERAGE(Tab.o1[B]),"")</f>
        <v/>
      </c>
      <c r="V730" s="124" t="str">
        <f>IF(Tab.o1[[#This Row],[a1]]=1,ABS((ABS(Tab.o1[[#This Row],[Red]]-Tab.o1[[#This Row],[Blue]]))),"")</f>
        <v/>
      </c>
      <c r="W730" s="125" t="str">
        <f>IF(Tab.o1[[#This Row],[a1]]=1,IF(W$3=0,1,Tab.o1[[#This Row],[Amp.]]*1/_xlfn.MINIFS(Tab.o1[Amp.],Tab.o1[Amp.],"&lt;&gt;0")),"")</f>
        <v/>
      </c>
      <c r="X730" s="126" t="str">
        <f>IF(Tab.o1[[#This Row],[a1]]=1,IF(ISNUMBER(Tab.o1[[#This Row],[i.]]),NORMDIST(Tab.o1[[#This Row],[Za]],0,1,FALSE)*Tab.o1[[#This Row],[i.]],AP$3),"")</f>
        <v/>
      </c>
      <c r="Y730" s="126" t="str">
        <f>IF(Tab.o1[[#This Row],[a1]]=1,0.01+0.94*Tab.o1[[#This Row],[PDF]]/MAX(Tab.o1[PDF]),"")</f>
        <v/>
      </c>
      <c r="Z730" s="126" t="str">
        <f>IF(Tab.o1[[#This Row],[a1]]=1,0.01+0.94*Tab.o1[[#This Row],[W1_PDF]]/MAX(Tab.o1[W1_PDF]),"")</f>
        <v/>
      </c>
      <c r="AA730" s="118" t="str">
        <f>IF(Tab.o1[[#This Row],[a1]]=1,ABS([1]!T.in.A[[#This Row],[oo6]]),"")</f>
        <v/>
      </c>
      <c r="AB730" s="127" t="str">
        <f>IF(Tab.o1[[#This Row],[a1]]=1,IF(AE$3=0,"",IF(AB$3=0,ABS([1]!T.in.A[[#This Row],[oo9]]),ABS(Tab.o1[[#This Row],[DIF_Target.]]*Tab.o1[[#This Row],[W1_PDF]]))),"")</f>
        <v/>
      </c>
      <c r="AC730" s="127" t="str">
        <f>IF(G$1=1,"",IF(Tab.o1[[#This Row],[a1]]=1,Tab.o1[[#This Row],[Wr]]^2,""))</f>
        <v/>
      </c>
      <c r="AD730" s="118" t="str">
        <f>IF(Tab.o1[[#This Row],[a1]]=1,IF(AE$3=0,"",Tab.o1[[#This Row],[Wr2]]/SUM(Tab.o1[Wr2])),"")</f>
        <v/>
      </c>
      <c r="AE730" s="128" t="str">
        <f>IF(Tab.o1[[#This Row],[a1]]=1,[1]!T.in.A[[#This Row],[oo10]],"")</f>
        <v/>
      </c>
      <c r="AF730" s="118" t="str">
        <f>IF(Tab.o1[[#This Row],[a1]]=1,ABS(Tab.o1[[#This Row],[DIF_Target.]]*Tab.o1[[#This Row],[PDF2]]*Tab.o1[[#This Row],[IN]]),"")</f>
        <v/>
      </c>
      <c r="AG730" s="129" t="str">
        <f>IF(Tab.o1[[#This Row],[a1]]=1,Tab.o1[[#This Row],[rW]]^2,"")</f>
        <v/>
      </c>
      <c r="AH730" s="130" t="str">
        <f>IF(Tab.o1[[#This Row],[a1]]=1,IF(AH$3=0,Tab.o1[[#This Row],[rW2]],0.01+0.94*Tab.o1[[#This Row],[rW2]]/SUM(Tab.o1[rW2])),"")</f>
        <v/>
      </c>
      <c r="AI730" s="128" t="str">
        <f>IF(Tab.o1[[#This Row],[a1]]=1,1/Tab.o1[[#This Row],[PDF]],"")</f>
        <v/>
      </c>
      <c r="AJ730" s="131" t="str">
        <f>IF(Tab.o1[[#This Row],[a1]]=1,[1]!T_AA[[#This Row],[IN'']]*[1]!T_AA[[#This Row],[Qde'']],"")</f>
        <v/>
      </c>
      <c r="AK730" s="132" t="str">
        <f>IF(Tab.o1[[#This Row],[a1]]=1,IF(AK$1=1,Tab.o1[[#This Row],[MED]]+Tab.o1[[#This Row],[MOD]]-Tab.o1[[#This Row],[MED]],""),"")</f>
        <v/>
      </c>
      <c r="AL730" s="133" t="str">
        <f>IF(Tab.o1[[#This Row],[a1]]=1,[1]!T.in.A[[#This Row],[oo16]],"")</f>
        <v/>
      </c>
      <c r="AM730" s="133" t="str">
        <f>IF(Tab.o1[[#This Row],[a1]]=1,IF(AM$3=1,[1]!T.in.A[[#This Row],[Σo16]],""),"")</f>
        <v/>
      </c>
      <c r="AN730" s="126" t="str">
        <f>IF(Tab.o1[[#This Row],[a1]]=1,[1]!T.in.A[[#This Row],[Σp5]],"")</f>
        <v/>
      </c>
      <c r="AO730" s="126" t="str">
        <f>IF(Tab.o1[[#This Row],[a1]]=1,IF(AO$3=1,[1]!T.in.A[[#This Row],[Σp5]],""),"")</f>
        <v/>
      </c>
      <c r="AP730" s="110" t="str">
        <f>IF(Tab.o1[[#This Row],[a1]]=1,IF(ISNUMBER(Tab.o1[[#This Row],[i.]]),NORMDIST(Tab.o1[[#This Row],[Za]],0,1,FALSE)*Tab.o1[[#This Row],[i.]],0),"")</f>
        <v/>
      </c>
      <c r="AQ730" s="125" t="str">
        <f>IF(Tab.o1[[#This Row],[a1]]=1,ABS(Tab.o1[[#This Row],[MOD]]-AVERAGE(Tab.o1[MOD])),"")</f>
        <v/>
      </c>
      <c r="AR730" s="134" t="str">
        <f>IF(Tab.o1[[#This Row],[a1]]=1,Tab.o1[[#This Row],[OBS]]/SUM(Tab.o1[OBS]),"")</f>
        <v/>
      </c>
      <c r="AS730" s="135" t="str">
        <f>IF(ISNUMBER(Tab.o1[[#This Row],[a1]]),ROW()-4,"")</f>
        <v/>
      </c>
      <c r="AT730" s="136" t="str">
        <f>Tab.o1[[#This Row],[MOD]]</f>
        <v/>
      </c>
      <c r="AU730" s="137" t="str">
        <f t="shared" si="45"/>
        <v/>
      </c>
      <c r="AV730" s="138" t="str">
        <f t="shared" si="46"/>
        <v/>
      </c>
      <c r="AW730" s="138" t="str">
        <f t="shared" si="47"/>
        <v/>
      </c>
      <c r="AX730" s="139" t="str">
        <f>[1]!T.in.A[[#This Row],[ID_T_manu]]</f>
        <v/>
      </c>
      <c r="AY730" s="140" t="str">
        <f>IF(ISNUMBER(Tab.o1[[#This Row],[a1]]),IF(AND(Tab.o1[[#This Row],[a1]]=1,Tab.o1[[#This Row],[b1]]&lt;=AY$4),#REF!,AY729),"")</f>
        <v/>
      </c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/>
      <c r="CA730" s="26"/>
    </row>
    <row r="731" spans="1:79" s="143" customFormat="1" ht="15.75" hidden="1">
      <c r="A731" s="109">
        <v>9.0000000000000002E-6</v>
      </c>
      <c r="B731" s="110">
        <f t="shared" si="44"/>
        <v>731</v>
      </c>
      <c r="C731" s="111" t="str">
        <f>IF(C$1=[1]!T.in.A[[#This Row],[oo2]],1,"")</f>
        <v/>
      </c>
      <c r="D731" s="112" t="str">
        <f>IF(Tab.o1[[#This Row],[a1]]=1,IF(SUM(C731:C732)=0,0,IF(SUM(C730:C731)=1,1,IF(SUM(C730:C732)&gt;1,D730+1,0))),"")</f>
        <v/>
      </c>
      <c r="E731" s="113" t="str">
        <f>IF(Tab.o1[[#This Row],[a1]]=1,[1]!T.in.A[[#This Row],[oo1]],"")</f>
        <v/>
      </c>
      <c r="F731" s="113" t="str">
        <f>IF(Tab.o1[[#This Row],[a1]]=1,[1]!T.in.A[[#This Row],[pp1]],"")</f>
        <v/>
      </c>
      <c r="G731" s="114" t="str">
        <f>IF(Tab.o1[[#This Row],[a1]]=1,G$2+IF(G$1=1,0,Tab.o1[[#This Row],[.x1]])+[1]!T.in.A[[#This Row],[oo3]],"")</f>
        <v/>
      </c>
      <c r="H731" s="115" t="str">
        <f>IF(Tab.o1[[#This Row],[a1]]=1,IF(H$2=0,0,IF(G$1=1,0,Tab.o1[[#This Row],[.x1]])+[1]!T.in.A[[#This Row],[oo4]]),"")</f>
        <v/>
      </c>
      <c r="I731" s="116" t="str">
        <f>IF(Tab.o1[[#This Row],[a1]]=1,IF(J$2=0,Tab.o1[[#This Row],[MED]],Tab.o1[[#This Row],[MOD]]),"")</f>
        <v/>
      </c>
      <c r="J731" s="116" t="str">
        <f>IF(Tab.o1[[#This Row],[a1]]=1,((Tab.o1[[#This Row],[DIF_Target.]]-AVERAGE(Tab.o1[DIF_Target.]))/_xlfn.STDEV.P(Tab.o1[DIF_Target.])),"")</f>
        <v/>
      </c>
      <c r="K731" s="117" t="str">
        <f>IF(Tab.o1[[#This Row],[a1]]=1,IF(J$2=0,Tab.o1[[#This Row],[MOD]]-Tab.o1[[#This Row],[B]],IF(J$2=1,0,-Tab.o1[[#This Row],[MED]])+Tab.o1[[#This Row],[B]]),"")</f>
        <v/>
      </c>
      <c r="L731" s="117" t="str">
        <f ca="1">IF(Tab.o1[[#This Row],[DIF_Target]]=0,IF(L$2=0,Tab.o1[[#This Row],[DIF_Target]],AVERAGE(OFFSET(Tab.o1[[#This Row],[DIF_Target]],1,0,L$3,1)))/3,Tab.o1[[#This Row],[DIF_Target]])</f>
        <v/>
      </c>
      <c r="M731" s="118" t="str">
        <f>IF(Tab.o1[[#This Row],[a1]]=1,NORMSDIST(Tab.o1[[#This Row],[Za]]),"")</f>
        <v/>
      </c>
      <c r="N731" s="119" t="str">
        <f>IF(Tab.o1[[#This Row],[a1]]=1,((Tab.o1[[#This Row],[MedMod]]-AVERAGE(Tab.o1[MedMod]))/_xlfn.STDEV.P(Tab.o1[MedMod])*H$1205)+G$1205,"")</f>
        <v/>
      </c>
      <c r="O731" s="141" t="str">
        <f>IF(Tab.o1[[#This Row],[a1]]=1,Tab.o1[[#This Row],[Zb]]*_xlfn.STDEV.P(Tab.o1[MedMod])+AVERAGE(Tab.o1[MedMod]),"")</f>
        <v/>
      </c>
      <c r="P731" s="117" t="str">
        <f ca="1">IF(Tab.o1[[#This Row],[B]]=0,AVERAGE(OFFSET(Tab.o1[[#This Row],[B]],1,0,L$3,1)),Tab.o1[[#This Row],[B]])</f>
        <v/>
      </c>
      <c r="Q731" s="121" t="str">
        <f>IF(Tab.o1[[#This Row],[a1]]=1,NORMSDIST(Tab.o1[[#This Row],[Zb]]),"")</f>
        <v/>
      </c>
      <c r="R731" s="122" t="str">
        <f>IF(Tab.o1[[#This Row],[a1]]=1,((Tab.o1[[#This Row],[MedMod]]-AVERAGE(Tab.o1[MedMod]))/_xlfn.STDEV.P(Tab.o1[MedMod])*H$1203)+G$1203,"")</f>
        <v/>
      </c>
      <c r="S731" s="122" t="str">
        <f>IF(Tab.o1[[#This Row],[a1]]=1,((Tab.o1[[#This Row],[MedMod]]-AVERAGE(Tab.o1[MedMod]))/_xlfn.STDEV.P(Tab.o1[MedMod])*H$1204)+G$1204,"")</f>
        <v/>
      </c>
      <c r="T731" s="123" t="str">
        <f>IF(Tab.o1[[#This Row],[a1]]=1,Tab.o1[[#This Row],[Z-]]*_xlfn.STDEV.P(Tab.o1[B])+AVERAGE(Tab.o1[B]),"")</f>
        <v/>
      </c>
      <c r="U731" s="123" t="str">
        <f>IF(Tab.o1[[#This Row],[a1]]=1,Tab.o1[[#This Row],[z+]]*_xlfn.STDEV.P(Tab.o1[B])+AVERAGE(Tab.o1[B]),"")</f>
        <v/>
      </c>
      <c r="V731" s="124" t="str">
        <f>IF(Tab.o1[[#This Row],[a1]]=1,ABS((ABS(Tab.o1[[#This Row],[Red]]-Tab.o1[[#This Row],[Blue]]))),"")</f>
        <v/>
      </c>
      <c r="W731" s="125" t="str">
        <f>IF(Tab.o1[[#This Row],[a1]]=1,IF(W$3=0,1,Tab.o1[[#This Row],[Amp.]]*1/_xlfn.MINIFS(Tab.o1[Amp.],Tab.o1[Amp.],"&lt;&gt;0")),"")</f>
        <v/>
      </c>
      <c r="X731" s="126" t="str">
        <f>IF(Tab.o1[[#This Row],[a1]]=1,IF(ISNUMBER(Tab.o1[[#This Row],[i.]]),NORMDIST(Tab.o1[[#This Row],[Za]],0,1,FALSE)*Tab.o1[[#This Row],[i.]],AP$3),"")</f>
        <v/>
      </c>
      <c r="Y731" s="126" t="str">
        <f>IF(Tab.o1[[#This Row],[a1]]=1,0.01+0.94*Tab.o1[[#This Row],[PDF]]/MAX(Tab.o1[PDF]),"")</f>
        <v/>
      </c>
      <c r="Z731" s="126" t="str">
        <f>IF(Tab.o1[[#This Row],[a1]]=1,0.01+0.94*Tab.o1[[#This Row],[W1_PDF]]/MAX(Tab.o1[W1_PDF]),"")</f>
        <v/>
      </c>
      <c r="AA731" s="118" t="str">
        <f>IF(Tab.o1[[#This Row],[a1]]=1,ABS([1]!T.in.A[[#This Row],[oo6]]),"")</f>
        <v/>
      </c>
      <c r="AB731" s="127" t="str">
        <f>IF(Tab.o1[[#This Row],[a1]]=1,IF(AE$3=0,"",IF(AB$3=0,ABS([1]!T.in.A[[#This Row],[oo9]]),ABS(Tab.o1[[#This Row],[DIF_Target.]]*Tab.o1[[#This Row],[W1_PDF]]))),"")</f>
        <v/>
      </c>
      <c r="AC731" s="127" t="str">
        <f>IF(G$1=1,"",IF(Tab.o1[[#This Row],[a1]]=1,Tab.o1[[#This Row],[Wr]]^2,""))</f>
        <v/>
      </c>
      <c r="AD731" s="118" t="str">
        <f>IF(Tab.o1[[#This Row],[a1]]=1,IF(AE$3=0,"",Tab.o1[[#This Row],[Wr2]]/SUM(Tab.o1[Wr2])),"")</f>
        <v/>
      </c>
      <c r="AE731" s="128" t="str">
        <f>IF(Tab.o1[[#This Row],[a1]]=1,[1]!T.in.A[[#This Row],[oo10]],"")</f>
        <v/>
      </c>
      <c r="AF731" s="118" t="str">
        <f>IF(Tab.o1[[#This Row],[a1]]=1,ABS(Tab.o1[[#This Row],[DIF_Target.]]*Tab.o1[[#This Row],[PDF2]]*Tab.o1[[#This Row],[IN]]),"")</f>
        <v/>
      </c>
      <c r="AG731" s="129" t="str">
        <f>IF(Tab.o1[[#This Row],[a1]]=1,Tab.o1[[#This Row],[rW]]^2,"")</f>
        <v/>
      </c>
      <c r="AH731" s="130" t="str">
        <f>IF(Tab.o1[[#This Row],[a1]]=1,IF(AH$3=0,Tab.o1[[#This Row],[rW2]],0.01+0.94*Tab.o1[[#This Row],[rW2]]/SUM(Tab.o1[rW2])),"")</f>
        <v/>
      </c>
      <c r="AI731" s="128" t="str">
        <f>IF(Tab.o1[[#This Row],[a1]]=1,1/Tab.o1[[#This Row],[PDF]],"")</f>
        <v/>
      </c>
      <c r="AJ731" s="131" t="str">
        <f>IF(Tab.o1[[#This Row],[a1]]=1,[1]!T_AA[[#This Row],[IN'']]*[1]!T_AA[[#This Row],[Qde'']],"")</f>
        <v/>
      </c>
      <c r="AK731" s="132" t="str">
        <f>IF(Tab.o1[[#This Row],[a1]]=1,IF(AK$1=1,Tab.o1[[#This Row],[MED]]+Tab.o1[[#This Row],[MOD]]-Tab.o1[[#This Row],[MED]],""),"")</f>
        <v/>
      </c>
      <c r="AL731" s="133" t="str">
        <f>IF(Tab.o1[[#This Row],[a1]]=1,[1]!T.in.A[[#This Row],[oo16]],"")</f>
        <v/>
      </c>
      <c r="AM731" s="133" t="str">
        <f>IF(Tab.o1[[#This Row],[a1]]=1,IF(AM$3=1,[1]!T.in.A[[#This Row],[Σo16]],""),"")</f>
        <v/>
      </c>
      <c r="AN731" s="126" t="str">
        <f>IF(Tab.o1[[#This Row],[a1]]=1,[1]!T.in.A[[#This Row],[Σp5]],"")</f>
        <v/>
      </c>
      <c r="AO731" s="126" t="str">
        <f>IF(Tab.o1[[#This Row],[a1]]=1,IF(AO$3=1,[1]!T.in.A[[#This Row],[Σp5]],""),"")</f>
        <v/>
      </c>
      <c r="AP731" s="110" t="str">
        <f>IF(Tab.o1[[#This Row],[a1]]=1,IF(ISNUMBER(Tab.o1[[#This Row],[i.]]),NORMDIST(Tab.o1[[#This Row],[Za]],0,1,FALSE)*Tab.o1[[#This Row],[i.]],0),"")</f>
        <v/>
      </c>
      <c r="AQ731" s="125" t="str">
        <f>IF(Tab.o1[[#This Row],[a1]]=1,ABS(Tab.o1[[#This Row],[MOD]]-AVERAGE(Tab.o1[MOD])),"")</f>
        <v/>
      </c>
      <c r="AR731" s="134" t="str">
        <f>IF(Tab.o1[[#This Row],[a1]]=1,Tab.o1[[#This Row],[OBS]]/SUM(Tab.o1[OBS]),"")</f>
        <v/>
      </c>
      <c r="AS731" s="135" t="str">
        <f>IF(ISNUMBER(Tab.o1[[#This Row],[a1]]),ROW()-4,"")</f>
        <v/>
      </c>
      <c r="AT731" s="136" t="str">
        <f>Tab.o1[[#This Row],[MOD]]</f>
        <v/>
      </c>
      <c r="AU731" s="137" t="str">
        <f t="shared" si="45"/>
        <v/>
      </c>
      <c r="AV731" s="138" t="str">
        <f t="shared" si="46"/>
        <v/>
      </c>
      <c r="AW731" s="138" t="str">
        <f t="shared" si="47"/>
        <v/>
      </c>
      <c r="AX731" s="139" t="str">
        <f>[1]!T.in.A[[#This Row],[ID_T_manu]]</f>
        <v/>
      </c>
      <c r="AY731" s="140" t="str">
        <f>IF(ISNUMBER(Tab.o1[[#This Row],[a1]]),IF(AND(Tab.o1[[#This Row],[a1]]=1,Tab.o1[[#This Row],[b1]]&lt;=AY$4),#REF!,AY730),"")</f>
        <v/>
      </c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6"/>
      <c r="BO731" s="26"/>
      <c r="BP731" s="26"/>
      <c r="BQ731" s="26"/>
      <c r="BR731" s="26"/>
      <c r="BS731" s="26"/>
      <c r="BT731" s="26"/>
      <c r="BU731" s="26"/>
      <c r="BV731" s="26"/>
      <c r="BW731" s="26"/>
      <c r="BX731" s="26"/>
      <c r="BY731" s="26"/>
      <c r="BZ731" s="26"/>
      <c r="CA731" s="26"/>
    </row>
    <row r="732" spans="1:79" s="143" customFormat="1" ht="15.75" hidden="1">
      <c r="A732" s="109">
        <v>-6.9999999999999999E-6</v>
      </c>
      <c r="B732" s="110">
        <f t="shared" si="44"/>
        <v>732</v>
      </c>
      <c r="C732" s="111" t="str">
        <f>IF(C$1=[1]!T.in.A[[#This Row],[oo2]],1,"")</f>
        <v/>
      </c>
      <c r="D732" s="112" t="str">
        <f>IF(Tab.o1[[#This Row],[a1]]=1,IF(SUM(C732:C733)=0,0,IF(SUM(C731:C732)=1,1,IF(SUM(C731:C733)&gt;1,D731+1,0))),"")</f>
        <v/>
      </c>
      <c r="E732" s="113" t="str">
        <f>IF(Tab.o1[[#This Row],[a1]]=1,[1]!T.in.A[[#This Row],[oo1]],"")</f>
        <v/>
      </c>
      <c r="F732" s="113" t="str">
        <f>IF(Tab.o1[[#This Row],[a1]]=1,[1]!T.in.A[[#This Row],[pp1]],"")</f>
        <v/>
      </c>
      <c r="G732" s="114" t="str">
        <f>IF(Tab.o1[[#This Row],[a1]]=1,G$2+IF(G$1=1,0,Tab.o1[[#This Row],[.x1]])+[1]!T.in.A[[#This Row],[oo3]],"")</f>
        <v/>
      </c>
      <c r="H732" s="115" t="str">
        <f>IF(Tab.o1[[#This Row],[a1]]=1,IF(H$2=0,0,IF(G$1=1,0,Tab.o1[[#This Row],[.x1]])+[1]!T.in.A[[#This Row],[oo4]]),"")</f>
        <v/>
      </c>
      <c r="I732" s="116" t="str">
        <f>IF(Tab.o1[[#This Row],[a1]]=1,IF(J$2=0,Tab.o1[[#This Row],[MED]],Tab.o1[[#This Row],[MOD]]),"")</f>
        <v/>
      </c>
      <c r="J732" s="116" t="str">
        <f>IF(Tab.o1[[#This Row],[a1]]=1,((Tab.o1[[#This Row],[DIF_Target.]]-AVERAGE(Tab.o1[DIF_Target.]))/_xlfn.STDEV.P(Tab.o1[DIF_Target.])),"")</f>
        <v/>
      </c>
      <c r="K732" s="117" t="str">
        <f>IF(Tab.o1[[#This Row],[a1]]=1,IF(J$2=0,Tab.o1[[#This Row],[MOD]]-Tab.o1[[#This Row],[B]],IF(J$2=1,0,-Tab.o1[[#This Row],[MED]])+Tab.o1[[#This Row],[B]]),"")</f>
        <v/>
      </c>
      <c r="L732" s="117" t="str">
        <f ca="1">IF(Tab.o1[[#This Row],[DIF_Target]]=0,IF(L$2=0,Tab.o1[[#This Row],[DIF_Target]],AVERAGE(OFFSET(Tab.o1[[#This Row],[DIF_Target]],1,0,L$3,1)))/3,Tab.o1[[#This Row],[DIF_Target]])</f>
        <v/>
      </c>
      <c r="M732" s="118" t="str">
        <f>IF(Tab.o1[[#This Row],[a1]]=1,NORMSDIST(Tab.o1[[#This Row],[Za]]),"")</f>
        <v/>
      </c>
      <c r="N732" s="119" t="str">
        <f>IF(Tab.o1[[#This Row],[a1]]=1,((Tab.o1[[#This Row],[MedMod]]-AVERAGE(Tab.o1[MedMod]))/_xlfn.STDEV.P(Tab.o1[MedMod])*H$1205)+G$1205,"")</f>
        <v/>
      </c>
      <c r="O732" s="141" t="str">
        <f>IF(Tab.o1[[#This Row],[a1]]=1,Tab.o1[[#This Row],[Zb]]*_xlfn.STDEV.P(Tab.o1[MedMod])+AVERAGE(Tab.o1[MedMod]),"")</f>
        <v/>
      </c>
      <c r="P732" s="117" t="str">
        <f ca="1">IF(Tab.o1[[#This Row],[B]]=0,AVERAGE(OFFSET(Tab.o1[[#This Row],[B]],1,0,L$3,1)),Tab.o1[[#This Row],[B]])</f>
        <v/>
      </c>
      <c r="Q732" s="121" t="str">
        <f>IF(Tab.o1[[#This Row],[a1]]=1,NORMSDIST(Tab.o1[[#This Row],[Zb]]),"")</f>
        <v/>
      </c>
      <c r="R732" s="122" t="str">
        <f>IF(Tab.o1[[#This Row],[a1]]=1,((Tab.o1[[#This Row],[MedMod]]-AVERAGE(Tab.o1[MedMod]))/_xlfn.STDEV.P(Tab.o1[MedMod])*H$1203)+G$1203,"")</f>
        <v/>
      </c>
      <c r="S732" s="122" t="str">
        <f>IF(Tab.o1[[#This Row],[a1]]=1,((Tab.o1[[#This Row],[MedMod]]-AVERAGE(Tab.o1[MedMod]))/_xlfn.STDEV.P(Tab.o1[MedMod])*H$1204)+G$1204,"")</f>
        <v/>
      </c>
      <c r="T732" s="123" t="str">
        <f>IF(Tab.o1[[#This Row],[a1]]=1,Tab.o1[[#This Row],[Z-]]*_xlfn.STDEV.P(Tab.o1[B])+AVERAGE(Tab.o1[B]),"")</f>
        <v/>
      </c>
      <c r="U732" s="123" t="str">
        <f>IF(Tab.o1[[#This Row],[a1]]=1,Tab.o1[[#This Row],[z+]]*_xlfn.STDEV.P(Tab.o1[B])+AVERAGE(Tab.o1[B]),"")</f>
        <v/>
      </c>
      <c r="V732" s="124" t="str">
        <f>IF(Tab.o1[[#This Row],[a1]]=1,ABS((ABS(Tab.o1[[#This Row],[Red]]-Tab.o1[[#This Row],[Blue]]))),"")</f>
        <v/>
      </c>
      <c r="W732" s="125" t="str">
        <f>IF(Tab.o1[[#This Row],[a1]]=1,IF(W$3=0,1,Tab.o1[[#This Row],[Amp.]]*1/_xlfn.MINIFS(Tab.o1[Amp.],Tab.o1[Amp.],"&lt;&gt;0")),"")</f>
        <v/>
      </c>
      <c r="X732" s="126" t="str">
        <f>IF(Tab.o1[[#This Row],[a1]]=1,IF(ISNUMBER(Tab.o1[[#This Row],[i.]]),NORMDIST(Tab.o1[[#This Row],[Za]],0,1,FALSE)*Tab.o1[[#This Row],[i.]],AP$3),"")</f>
        <v/>
      </c>
      <c r="Y732" s="126" t="str">
        <f>IF(Tab.o1[[#This Row],[a1]]=1,0.01+0.94*Tab.o1[[#This Row],[PDF]]/MAX(Tab.o1[PDF]),"")</f>
        <v/>
      </c>
      <c r="Z732" s="126" t="str">
        <f>IF(Tab.o1[[#This Row],[a1]]=1,0.01+0.94*Tab.o1[[#This Row],[W1_PDF]]/MAX(Tab.o1[W1_PDF]),"")</f>
        <v/>
      </c>
      <c r="AA732" s="118" t="str">
        <f>IF(Tab.o1[[#This Row],[a1]]=1,ABS([1]!T.in.A[[#This Row],[oo6]]),"")</f>
        <v/>
      </c>
      <c r="AB732" s="127" t="str">
        <f>IF(Tab.o1[[#This Row],[a1]]=1,IF(AE$3=0,"",IF(AB$3=0,ABS([1]!T.in.A[[#This Row],[oo9]]),ABS(Tab.o1[[#This Row],[DIF_Target.]]*Tab.o1[[#This Row],[W1_PDF]]))),"")</f>
        <v/>
      </c>
      <c r="AC732" s="127" t="str">
        <f>IF(G$1=1,"",IF(Tab.o1[[#This Row],[a1]]=1,Tab.o1[[#This Row],[Wr]]^2,""))</f>
        <v/>
      </c>
      <c r="AD732" s="118" t="str">
        <f>IF(Tab.o1[[#This Row],[a1]]=1,IF(AE$3=0,"",Tab.o1[[#This Row],[Wr2]]/SUM(Tab.o1[Wr2])),"")</f>
        <v/>
      </c>
      <c r="AE732" s="128" t="str">
        <f>IF(Tab.o1[[#This Row],[a1]]=1,[1]!T.in.A[[#This Row],[oo10]],"")</f>
        <v/>
      </c>
      <c r="AF732" s="118" t="str">
        <f>IF(Tab.o1[[#This Row],[a1]]=1,ABS(Tab.o1[[#This Row],[DIF_Target.]]*Tab.o1[[#This Row],[PDF2]]*Tab.o1[[#This Row],[IN]]),"")</f>
        <v/>
      </c>
      <c r="AG732" s="129" t="str">
        <f>IF(Tab.o1[[#This Row],[a1]]=1,Tab.o1[[#This Row],[rW]]^2,"")</f>
        <v/>
      </c>
      <c r="AH732" s="130" t="str">
        <f>IF(Tab.o1[[#This Row],[a1]]=1,IF(AH$3=0,Tab.o1[[#This Row],[rW2]],0.01+0.94*Tab.o1[[#This Row],[rW2]]/SUM(Tab.o1[rW2])),"")</f>
        <v/>
      </c>
      <c r="AI732" s="128" t="str">
        <f>IF(Tab.o1[[#This Row],[a1]]=1,1/Tab.o1[[#This Row],[PDF]],"")</f>
        <v/>
      </c>
      <c r="AJ732" s="131" t="str">
        <f>IF(Tab.o1[[#This Row],[a1]]=1,[1]!T_AA[[#This Row],[IN'']]*[1]!T_AA[[#This Row],[Qde'']],"")</f>
        <v/>
      </c>
      <c r="AK732" s="132" t="str">
        <f>IF(Tab.o1[[#This Row],[a1]]=1,IF(AK$1=1,Tab.o1[[#This Row],[MED]]+Tab.o1[[#This Row],[MOD]]-Tab.o1[[#This Row],[MED]],""),"")</f>
        <v/>
      </c>
      <c r="AL732" s="133" t="str">
        <f>IF(Tab.o1[[#This Row],[a1]]=1,[1]!T.in.A[[#This Row],[oo16]],"")</f>
        <v/>
      </c>
      <c r="AM732" s="133" t="str">
        <f>IF(Tab.o1[[#This Row],[a1]]=1,IF(AM$3=1,[1]!T.in.A[[#This Row],[Σo16]],""),"")</f>
        <v/>
      </c>
      <c r="AN732" s="126" t="str">
        <f>IF(Tab.o1[[#This Row],[a1]]=1,[1]!T.in.A[[#This Row],[Σp5]],"")</f>
        <v/>
      </c>
      <c r="AO732" s="126" t="str">
        <f>IF(Tab.o1[[#This Row],[a1]]=1,IF(AO$3=1,[1]!T.in.A[[#This Row],[Σp5]],""),"")</f>
        <v/>
      </c>
      <c r="AP732" s="110" t="str">
        <f>IF(Tab.o1[[#This Row],[a1]]=1,IF(ISNUMBER(Tab.o1[[#This Row],[i.]]),NORMDIST(Tab.o1[[#This Row],[Za]],0,1,FALSE)*Tab.o1[[#This Row],[i.]],0),"")</f>
        <v/>
      </c>
      <c r="AQ732" s="125" t="str">
        <f>IF(Tab.o1[[#This Row],[a1]]=1,ABS(Tab.o1[[#This Row],[MOD]]-AVERAGE(Tab.o1[MOD])),"")</f>
        <v/>
      </c>
      <c r="AR732" s="134" t="str">
        <f>IF(Tab.o1[[#This Row],[a1]]=1,Tab.o1[[#This Row],[OBS]]/SUM(Tab.o1[OBS]),"")</f>
        <v/>
      </c>
      <c r="AS732" s="135" t="str">
        <f>IF(ISNUMBER(Tab.o1[[#This Row],[a1]]),ROW()-4,"")</f>
        <v/>
      </c>
      <c r="AT732" s="136" t="str">
        <f>Tab.o1[[#This Row],[MOD]]</f>
        <v/>
      </c>
      <c r="AU732" s="137" t="str">
        <f t="shared" si="45"/>
        <v/>
      </c>
      <c r="AV732" s="138" t="str">
        <f t="shared" si="46"/>
        <v/>
      </c>
      <c r="AW732" s="138" t="str">
        <f t="shared" si="47"/>
        <v/>
      </c>
      <c r="AX732" s="139" t="str">
        <f>[1]!T.in.A[[#This Row],[ID_T_manu]]</f>
        <v/>
      </c>
      <c r="AY732" s="140" t="str">
        <f>IF(ISNUMBER(Tab.o1[[#This Row],[a1]]),IF(AND(Tab.o1[[#This Row],[a1]]=1,Tab.o1[[#This Row],[b1]]&lt;=AY$4),#REF!,AY731),"")</f>
        <v/>
      </c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6"/>
      <c r="BO732" s="26"/>
      <c r="BP732" s="26"/>
      <c r="BQ732" s="26"/>
      <c r="BR732" s="26"/>
      <c r="BS732" s="26"/>
      <c r="BT732" s="26"/>
      <c r="BU732" s="26"/>
      <c r="BV732" s="26"/>
      <c r="BW732" s="26"/>
      <c r="BX732" s="26"/>
      <c r="BY732" s="26"/>
      <c r="BZ732" s="26"/>
      <c r="CA732" s="26"/>
    </row>
    <row r="733" spans="1:79" s="143" customFormat="1" ht="15.75" hidden="1">
      <c r="A733" s="109">
        <v>-9.0000000000000002E-6</v>
      </c>
      <c r="B733" s="110">
        <f t="shared" si="44"/>
        <v>733</v>
      </c>
      <c r="C733" s="111" t="str">
        <f>IF(C$1=[1]!T.in.A[[#This Row],[oo2]],1,"")</f>
        <v/>
      </c>
      <c r="D733" s="112" t="str">
        <f>IF(Tab.o1[[#This Row],[a1]]=1,IF(SUM(C733:C734)=0,0,IF(SUM(C732:C733)=1,1,IF(SUM(C732:C734)&gt;1,D732+1,0))),"")</f>
        <v/>
      </c>
      <c r="E733" s="113" t="str">
        <f>IF(Tab.o1[[#This Row],[a1]]=1,[1]!T.in.A[[#This Row],[oo1]],"")</f>
        <v/>
      </c>
      <c r="F733" s="113" t="str">
        <f>IF(Tab.o1[[#This Row],[a1]]=1,[1]!T.in.A[[#This Row],[pp1]],"")</f>
        <v/>
      </c>
      <c r="G733" s="114" t="str">
        <f>IF(Tab.o1[[#This Row],[a1]]=1,G$2+IF(G$1=1,0,Tab.o1[[#This Row],[.x1]])+[1]!T.in.A[[#This Row],[oo3]],"")</f>
        <v/>
      </c>
      <c r="H733" s="115" t="str">
        <f>IF(Tab.o1[[#This Row],[a1]]=1,IF(H$2=0,0,IF(G$1=1,0,Tab.o1[[#This Row],[.x1]])+[1]!T.in.A[[#This Row],[oo4]]),"")</f>
        <v/>
      </c>
      <c r="I733" s="116" t="str">
        <f>IF(Tab.o1[[#This Row],[a1]]=1,IF(J$2=0,Tab.o1[[#This Row],[MED]],Tab.o1[[#This Row],[MOD]]),"")</f>
        <v/>
      </c>
      <c r="J733" s="116" t="str">
        <f>IF(Tab.o1[[#This Row],[a1]]=1,((Tab.o1[[#This Row],[DIF_Target.]]-AVERAGE(Tab.o1[DIF_Target.]))/_xlfn.STDEV.P(Tab.o1[DIF_Target.])),"")</f>
        <v/>
      </c>
      <c r="K733" s="117" t="str">
        <f>IF(Tab.o1[[#This Row],[a1]]=1,IF(J$2=0,Tab.o1[[#This Row],[MOD]]-Tab.o1[[#This Row],[B]],IF(J$2=1,0,-Tab.o1[[#This Row],[MED]])+Tab.o1[[#This Row],[B]]),"")</f>
        <v/>
      </c>
      <c r="L733" s="117" t="str">
        <f ca="1">IF(Tab.o1[[#This Row],[DIF_Target]]=0,IF(L$2=0,Tab.o1[[#This Row],[DIF_Target]],AVERAGE(OFFSET(Tab.o1[[#This Row],[DIF_Target]],1,0,L$3,1)))/3,Tab.o1[[#This Row],[DIF_Target]])</f>
        <v/>
      </c>
      <c r="M733" s="118" t="str">
        <f>IF(Tab.o1[[#This Row],[a1]]=1,NORMSDIST(Tab.o1[[#This Row],[Za]]),"")</f>
        <v/>
      </c>
      <c r="N733" s="119" t="str">
        <f>IF(Tab.o1[[#This Row],[a1]]=1,((Tab.o1[[#This Row],[MedMod]]-AVERAGE(Tab.o1[MedMod]))/_xlfn.STDEV.P(Tab.o1[MedMod])*H$1205)+G$1205,"")</f>
        <v/>
      </c>
      <c r="O733" s="141" t="str">
        <f>IF(Tab.o1[[#This Row],[a1]]=1,Tab.o1[[#This Row],[Zb]]*_xlfn.STDEV.P(Tab.o1[MedMod])+AVERAGE(Tab.o1[MedMod]),"")</f>
        <v/>
      </c>
      <c r="P733" s="117" t="str">
        <f ca="1">IF(Tab.o1[[#This Row],[B]]=0,AVERAGE(OFFSET(Tab.o1[[#This Row],[B]],1,0,L$3,1)),Tab.o1[[#This Row],[B]])</f>
        <v/>
      </c>
      <c r="Q733" s="121" t="str">
        <f>IF(Tab.o1[[#This Row],[a1]]=1,NORMSDIST(Tab.o1[[#This Row],[Zb]]),"")</f>
        <v/>
      </c>
      <c r="R733" s="122" t="str">
        <f>IF(Tab.o1[[#This Row],[a1]]=1,((Tab.o1[[#This Row],[MedMod]]-AVERAGE(Tab.o1[MedMod]))/_xlfn.STDEV.P(Tab.o1[MedMod])*H$1203)+G$1203,"")</f>
        <v/>
      </c>
      <c r="S733" s="122" t="str">
        <f>IF(Tab.o1[[#This Row],[a1]]=1,((Tab.o1[[#This Row],[MedMod]]-AVERAGE(Tab.o1[MedMod]))/_xlfn.STDEV.P(Tab.o1[MedMod])*H$1204)+G$1204,"")</f>
        <v/>
      </c>
      <c r="T733" s="123" t="str">
        <f>IF(Tab.o1[[#This Row],[a1]]=1,Tab.o1[[#This Row],[Z-]]*_xlfn.STDEV.P(Tab.o1[B])+AVERAGE(Tab.o1[B]),"")</f>
        <v/>
      </c>
      <c r="U733" s="123" t="str">
        <f>IF(Tab.o1[[#This Row],[a1]]=1,Tab.o1[[#This Row],[z+]]*_xlfn.STDEV.P(Tab.o1[B])+AVERAGE(Tab.o1[B]),"")</f>
        <v/>
      </c>
      <c r="V733" s="124" t="str">
        <f>IF(Tab.o1[[#This Row],[a1]]=1,ABS((ABS(Tab.o1[[#This Row],[Red]]-Tab.o1[[#This Row],[Blue]]))),"")</f>
        <v/>
      </c>
      <c r="W733" s="125" t="str">
        <f>IF(Tab.o1[[#This Row],[a1]]=1,IF(W$3=0,1,Tab.o1[[#This Row],[Amp.]]*1/_xlfn.MINIFS(Tab.o1[Amp.],Tab.o1[Amp.],"&lt;&gt;0")),"")</f>
        <v/>
      </c>
      <c r="X733" s="126" t="str">
        <f>IF(Tab.o1[[#This Row],[a1]]=1,IF(ISNUMBER(Tab.o1[[#This Row],[i.]]),NORMDIST(Tab.o1[[#This Row],[Za]],0,1,FALSE)*Tab.o1[[#This Row],[i.]],AP$3),"")</f>
        <v/>
      </c>
      <c r="Y733" s="126" t="str">
        <f>IF(Tab.o1[[#This Row],[a1]]=1,0.01+0.94*Tab.o1[[#This Row],[PDF]]/MAX(Tab.o1[PDF]),"")</f>
        <v/>
      </c>
      <c r="Z733" s="126" t="str">
        <f>IF(Tab.o1[[#This Row],[a1]]=1,0.01+0.94*Tab.o1[[#This Row],[W1_PDF]]/MAX(Tab.o1[W1_PDF]),"")</f>
        <v/>
      </c>
      <c r="AA733" s="118" t="str">
        <f>IF(Tab.o1[[#This Row],[a1]]=1,ABS([1]!T.in.A[[#This Row],[oo6]]),"")</f>
        <v/>
      </c>
      <c r="AB733" s="127" t="str">
        <f>IF(Tab.o1[[#This Row],[a1]]=1,IF(AE$3=0,"",IF(AB$3=0,ABS([1]!T.in.A[[#This Row],[oo9]]),ABS(Tab.o1[[#This Row],[DIF_Target.]]*Tab.o1[[#This Row],[W1_PDF]]))),"")</f>
        <v/>
      </c>
      <c r="AC733" s="127" t="str">
        <f>IF(G$1=1,"",IF(Tab.o1[[#This Row],[a1]]=1,Tab.o1[[#This Row],[Wr]]^2,""))</f>
        <v/>
      </c>
      <c r="AD733" s="118" t="str">
        <f>IF(Tab.o1[[#This Row],[a1]]=1,IF(AE$3=0,"",Tab.o1[[#This Row],[Wr2]]/SUM(Tab.o1[Wr2])),"")</f>
        <v/>
      </c>
      <c r="AE733" s="128" t="str">
        <f>IF(Tab.o1[[#This Row],[a1]]=1,[1]!T.in.A[[#This Row],[oo10]],"")</f>
        <v/>
      </c>
      <c r="AF733" s="118" t="str">
        <f>IF(Tab.o1[[#This Row],[a1]]=1,ABS(Tab.o1[[#This Row],[DIF_Target.]]*Tab.o1[[#This Row],[PDF2]]*Tab.o1[[#This Row],[IN]]),"")</f>
        <v/>
      </c>
      <c r="AG733" s="129" t="str">
        <f>IF(Tab.o1[[#This Row],[a1]]=1,Tab.o1[[#This Row],[rW]]^2,"")</f>
        <v/>
      </c>
      <c r="AH733" s="130" t="str">
        <f>IF(Tab.o1[[#This Row],[a1]]=1,IF(AH$3=0,Tab.o1[[#This Row],[rW2]],0.01+0.94*Tab.o1[[#This Row],[rW2]]/SUM(Tab.o1[rW2])),"")</f>
        <v/>
      </c>
      <c r="AI733" s="128" t="str">
        <f>IF(Tab.o1[[#This Row],[a1]]=1,1/Tab.o1[[#This Row],[PDF]],"")</f>
        <v/>
      </c>
      <c r="AJ733" s="131" t="str">
        <f>IF(Tab.o1[[#This Row],[a1]]=1,[1]!T_AA[[#This Row],[IN'']]*[1]!T_AA[[#This Row],[Qde'']],"")</f>
        <v/>
      </c>
      <c r="AK733" s="132" t="str">
        <f>IF(Tab.o1[[#This Row],[a1]]=1,IF(AK$1=1,Tab.o1[[#This Row],[MED]]+Tab.o1[[#This Row],[MOD]]-Tab.o1[[#This Row],[MED]],""),"")</f>
        <v/>
      </c>
      <c r="AL733" s="133" t="str">
        <f>IF(Tab.o1[[#This Row],[a1]]=1,[1]!T.in.A[[#This Row],[oo16]],"")</f>
        <v/>
      </c>
      <c r="AM733" s="133" t="str">
        <f>IF(Tab.o1[[#This Row],[a1]]=1,IF(AM$3=1,[1]!T.in.A[[#This Row],[Σo16]],""),"")</f>
        <v/>
      </c>
      <c r="AN733" s="126" t="str">
        <f>IF(Tab.o1[[#This Row],[a1]]=1,[1]!T.in.A[[#This Row],[Σp5]],"")</f>
        <v/>
      </c>
      <c r="AO733" s="126" t="str">
        <f>IF(Tab.o1[[#This Row],[a1]]=1,IF(AO$3=1,[1]!T.in.A[[#This Row],[Σp5]],""),"")</f>
        <v/>
      </c>
      <c r="AP733" s="110" t="str">
        <f>IF(Tab.o1[[#This Row],[a1]]=1,IF(ISNUMBER(Tab.o1[[#This Row],[i.]]),NORMDIST(Tab.o1[[#This Row],[Za]],0,1,FALSE)*Tab.o1[[#This Row],[i.]],0),"")</f>
        <v/>
      </c>
      <c r="AQ733" s="125" t="str">
        <f>IF(Tab.o1[[#This Row],[a1]]=1,ABS(Tab.o1[[#This Row],[MOD]]-AVERAGE(Tab.o1[MOD])),"")</f>
        <v/>
      </c>
      <c r="AR733" s="134" t="str">
        <f>IF(Tab.o1[[#This Row],[a1]]=1,Tab.o1[[#This Row],[OBS]]/SUM(Tab.o1[OBS]),"")</f>
        <v/>
      </c>
      <c r="AS733" s="135" t="str">
        <f>IF(ISNUMBER(Tab.o1[[#This Row],[a1]]),ROW()-4,"")</f>
        <v/>
      </c>
      <c r="AT733" s="136" t="str">
        <f>Tab.o1[[#This Row],[MOD]]</f>
        <v/>
      </c>
      <c r="AU733" s="137" t="str">
        <f t="shared" si="45"/>
        <v/>
      </c>
      <c r="AV733" s="138" t="str">
        <f t="shared" si="46"/>
        <v/>
      </c>
      <c r="AW733" s="138" t="str">
        <f t="shared" si="47"/>
        <v/>
      </c>
      <c r="AX733" s="139" t="str">
        <f>[1]!T.in.A[[#This Row],[ID_T_manu]]</f>
        <v/>
      </c>
      <c r="AY733" s="140" t="str">
        <f>IF(ISNUMBER(Tab.o1[[#This Row],[a1]]),IF(AND(Tab.o1[[#This Row],[a1]]=1,Tab.o1[[#This Row],[b1]]&lt;=AY$4),#REF!,AY732),"")</f>
        <v/>
      </c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6"/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/>
    </row>
    <row r="734" spans="1:79" s="143" customFormat="1" ht="15.75" hidden="1">
      <c r="A734" s="109">
        <v>-4.0000000000000007E-6</v>
      </c>
      <c r="B734" s="110">
        <f t="shared" si="44"/>
        <v>734</v>
      </c>
      <c r="C734" s="111" t="str">
        <f>IF(C$1=[1]!T.in.A[[#This Row],[oo2]],1,"")</f>
        <v/>
      </c>
      <c r="D734" s="112" t="str">
        <f>IF(Tab.o1[[#This Row],[a1]]=1,IF(SUM(C734:C735)=0,0,IF(SUM(C733:C734)=1,1,IF(SUM(C733:C735)&gt;1,D733+1,0))),"")</f>
        <v/>
      </c>
      <c r="E734" s="113" t="str">
        <f>IF(Tab.o1[[#This Row],[a1]]=1,[1]!T.in.A[[#This Row],[oo1]],"")</f>
        <v/>
      </c>
      <c r="F734" s="113" t="str">
        <f>IF(Tab.o1[[#This Row],[a1]]=1,[1]!T.in.A[[#This Row],[pp1]],"")</f>
        <v/>
      </c>
      <c r="G734" s="114" t="str">
        <f>IF(Tab.o1[[#This Row],[a1]]=1,G$2+IF(G$1=1,0,Tab.o1[[#This Row],[.x1]])+[1]!T.in.A[[#This Row],[oo3]],"")</f>
        <v/>
      </c>
      <c r="H734" s="115" t="str">
        <f>IF(Tab.o1[[#This Row],[a1]]=1,IF(H$2=0,0,IF(G$1=1,0,Tab.o1[[#This Row],[.x1]])+[1]!T.in.A[[#This Row],[oo4]]),"")</f>
        <v/>
      </c>
      <c r="I734" s="116" t="str">
        <f>IF(Tab.o1[[#This Row],[a1]]=1,IF(J$2=0,Tab.o1[[#This Row],[MED]],Tab.o1[[#This Row],[MOD]]),"")</f>
        <v/>
      </c>
      <c r="J734" s="116" t="str">
        <f>IF(Tab.o1[[#This Row],[a1]]=1,((Tab.o1[[#This Row],[DIF_Target.]]-AVERAGE(Tab.o1[DIF_Target.]))/_xlfn.STDEV.P(Tab.o1[DIF_Target.])),"")</f>
        <v/>
      </c>
      <c r="K734" s="117" t="str">
        <f>IF(Tab.o1[[#This Row],[a1]]=1,IF(J$2=0,Tab.o1[[#This Row],[MOD]]-Tab.o1[[#This Row],[B]],IF(J$2=1,0,-Tab.o1[[#This Row],[MED]])+Tab.o1[[#This Row],[B]]),"")</f>
        <v/>
      </c>
      <c r="L734" s="117" t="str">
        <f ca="1">IF(Tab.o1[[#This Row],[DIF_Target]]=0,IF(L$2=0,Tab.o1[[#This Row],[DIF_Target]],AVERAGE(OFFSET(Tab.o1[[#This Row],[DIF_Target]],1,0,L$3,1)))/3,Tab.o1[[#This Row],[DIF_Target]])</f>
        <v/>
      </c>
      <c r="M734" s="118" t="str">
        <f>IF(Tab.o1[[#This Row],[a1]]=1,NORMSDIST(Tab.o1[[#This Row],[Za]]),"")</f>
        <v/>
      </c>
      <c r="N734" s="119" t="str">
        <f>IF(Tab.o1[[#This Row],[a1]]=1,((Tab.o1[[#This Row],[MedMod]]-AVERAGE(Tab.o1[MedMod]))/_xlfn.STDEV.P(Tab.o1[MedMod])*H$1205)+G$1205,"")</f>
        <v/>
      </c>
      <c r="O734" s="141" t="str">
        <f>IF(Tab.o1[[#This Row],[a1]]=1,Tab.o1[[#This Row],[Zb]]*_xlfn.STDEV.P(Tab.o1[MedMod])+AVERAGE(Tab.o1[MedMod]),"")</f>
        <v/>
      </c>
      <c r="P734" s="117" t="str">
        <f ca="1">IF(Tab.o1[[#This Row],[B]]=0,AVERAGE(OFFSET(Tab.o1[[#This Row],[B]],1,0,L$3,1)),Tab.o1[[#This Row],[B]])</f>
        <v/>
      </c>
      <c r="Q734" s="121" t="str">
        <f>IF(Tab.o1[[#This Row],[a1]]=1,NORMSDIST(Tab.o1[[#This Row],[Zb]]),"")</f>
        <v/>
      </c>
      <c r="R734" s="122" t="str">
        <f>IF(Tab.o1[[#This Row],[a1]]=1,((Tab.o1[[#This Row],[MedMod]]-AVERAGE(Tab.o1[MedMod]))/_xlfn.STDEV.P(Tab.o1[MedMod])*H$1203)+G$1203,"")</f>
        <v/>
      </c>
      <c r="S734" s="122" t="str">
        <f>IF(Tab.o1[[#This Row],[a1]]=1,((Tab.o1[[#This Row],[MedMod]]-AVERAGE(Tab.o1[MedMod]))/_xlfn.STDEV.P(Tab.o1[MedMod])*H$1204)+G$1204,"")</f>
        <v/>
      </c>
      <c r="T734" s="123" t="str">
        <f>IF(Tab.o1[[#This Row],[a1]]=1,Tab.o1[[#This Row],[Z-]]*_xlfn.STDEV.P(Tab.o1[B])+AVERAGE(Tab.o1[B]),"")</f>
        <v/>
      </c>
      <c r="U734" s="123" t="str">
        <f>IF(Tab.o1[[#This Row],[a1]]=1,Tab.o1[[#This Row],[z+]]*_xlfn.STDEV.P(Tab.o1[B])+AVERAGE(Tab.o1[B]),"")</f>
        <v/>
      </c>
      <c r="V734" s="124" t="str">
        <f>IF(Tab.o1[[#This Row],[a1]]=1,ABS((ABS(Tab.o1[[#This Row],[Red]]-Tab.o1[[#This Row],[Blue]]))),"")</f>
        <v/>
      </c>
      <c r="W734" s="125" t="str">
        <f>IF(Tab.o1[[#This Row],[a1]]=1,IF(W$3=0,1,Tab.o1[[#This Row],[Amp.]]*1/_xlfn.MINIFS(Tab.o1[Amp.],Tab.o1[Amp.],"&lt;&gt;0")),"")</f>
        <v/>
      </c>
      <c r="X734" s="126" t="str">
        <f>IF(Tab.o1[[#This Row],[a1]]=1,IF(ISNUMBER(Tab.o1[[#This Row],[i.]]),NORMDIST(Tab.o1[[#This Row],[Za]],0,1,FALSE)*Tab.o1[[#This Row],[i.]],AP$3),"")</f>
        <v/>
      </c>
      <c r="Y734" s="126" t="str">
        <f>IF(Tab.o1[[#This Row],[a1]]=1,0.01+0.94*Tab.o1[[#This Row],[PDF]]/MAX(Tab.o1[PDF]),"")</f>
        <v/>
      </c>
      <c r="Z734" s="126" t="str">
        <f>IF(Tab.o1[[#This Row],[a1]]=1,0.01+0.94*Tab.o1[[#This Row],[W1_PDF]]/MAX(Tab.o1[W1_PDF]),"")</f>
        <v/>
      </c>
      <c r="AA734" s="118" t="str">
        <f>IF(Tab.o1[[#This Row],[a1]]=1,ABS([1]!T.in.A[[#This Row],[oo6]]),"")</f>
        <v/>
      </c>
      <c r="AB734" s="127" t="str">
        <f>IF(Tab.o1[[#This Row],[a1]]=1,IF(AE$3=0,"",IF(AB$3=0,ABS([1]!T.in.A[[#This Row],[oo9]]),ABS(Tab.o1[[#This Row],[DIF_Target.]]*Tab.o1[[#This Row],[W1_PDF]]))),"")</f>
        <v/>
      </c>
      <c r="AC734" s="127" t="str">
        <f>IF(G$1=1,"",IF(Tab.o1[[#This Row],[a1]]=1,Tab.o1[[#This Row],[Wr]]^2,""))</f>
        <v/>
      </c>
      <c r="AD734" s="118" t="str">
        <f>IF(Tab.o1[[#This Row],[a1]]=1,IF(AE$3=0,"",Tab.o1[[#This Row],[Wr2]]/SUM(Tab.o1[Wr2])),"")</f>
        <v/>
      </c>
      <c r="AE734" s="128" t="str">
        <f>IF(Tab.o1[[#This Row],[a1]]=1,[1]!T.in.A[[#This Row],[oo10]],"")</f>
        <v/>
      </c>
      <c r="AF734" s="118" t="str">
        <f>IF(Tab.o1[[#This Row],[a1]]=1,ABS(Tab.o1[[#This Row],[DIF_Target.]]*Tab.o1[[#This Row],[PDF2]]*Tab.o1[[#This Row],[IN]]),"")</f>
        <v/>
      </c>
      <c r="AG734" s="129" t="str">
        <f>IF(Tab.o1[[#This Row],[a1]]=1,Tab.o1[[#This Row],[rW]]^2,"")</f>
        <v/>
      </c>
      <c r="AH734" s="130" t="str">
        <f>IF(Tab.o1[[#This Row],[a1]]=1,IF(AH$3=0,Tab.o1[[#This Row],[rW2]],0.01+0.94*Tab.o1[[#This Row],[rW2]]/SUM(Tab.o1[rW2])),"")</f>
        <v/>
      </c>
      <c r="AI734" s="128" t="str">
        <f>IF(Tab.o1[[#This Row],[a1]]=1,1/Tab.o1[[#This Row],[PDF]],"")</f>
        <v/>
      </c>
      <c r="AJ734" s="131" t="str">
        <f>IF(Tab.o1[[#This Row],[a1]]=1,[1]!T_AA[[#This Row],[IN'']]*[1]!T_AA[[#This Row],[Qde'']],"")</f>
        <v/>
      </c>
      <c r="AK734" s="132" t="str">
        <f>IF(Tab.o1[[#This Row],[a1]]=1,IF(AK$1=1,Tab.o1[[#This Row],[MED]]+Tab.o1[[#This Row],[MOD]]-Tab.o1[[#This Row],[MED]],""),"")</f>
        <v/>
      </c>
      <c r="AL734" s="133" t="str">
        <f>IF(Tab.o1[[#This Row],[a1]]=1,[1]!T.in.A[[#This Row],[oo16]],"")</f>
        <v/>
      </c>
      <c r="AM734" s="133" t="str">
        <f>IF(Tab.o1[[#This Row],[a1]]=1,IF(AM$3=1,[1]!T.in.A[[#This Row],[Σo16]],""),"")</f>
        <v/>
      </c>
      <c r="AN734" s="126" t="str">
        <f>IF(Tab.o1[[#This Row],[a1]]=1,[1]!T.in.A[[#This Row],[Σp5]],"")</f>
        <v/>
      </c>
      <c r="AO734" s="126" t="str">
        <f>IF(Tab.o1[[#This Row],[a1]]=1,IF(AO$3=1,[1]!T.in.A[[#This Row],[Σp5]],""),"")</f>
        <v/>
      </c>
      <c r="AP734" s="110" t="str">
        <f>IF(Tab.o1[[#This Row],[a1]]=1,IF(ISNUMBER(Tab.o1[[#This Row],[i.]]),NORMDIST(Tab.o1[[#This Row],[Za]],0,1,FALSE)*Tab.o1[[#This Row],[i.]],0),"")</f>
        <v/>
      </c>
      <c r="AQ734" s="125" t="str">
        <f>IF(Tab.o1[[#This Row],[a1]]=1,ABS(Tab.o1[[#This Row],[MOD]]-AVERAGE(Tab.o1[MOD])),"")</f>
        <v/>
      </c>
      <c r="AR734" s="134" t="str">
        <f>IF(Tab.o1[[#This Row],[a1]]=1,Tab.o1[[#This Row],[OBS]]/SUM(Tab.o1[OBS]),"")</f>
        <v/>
      </c>
      <c r="AS734" s="135" t="str">
        <f>IF(ISNUMBER(Tab.o1[[#This Row],[a1]]),ROW()-4,"")</f>
        <v/>
      </c>
      <c r="AT734" s="136" t="str">
        <f>Tab.o1[[#This Row],[MOD]]</f>
        <v/>
      </c>
      <c r="AU734" s="137" t="str">
        <f t="shared" si="45"/>
        <v/>
      </c>
      <c r="AV734" s="138" t="str">
        <f t="shared" si="46"/>
        <v/>
      </c>
      <c r="AW734" s="138" t="str">
        <f t="shared" si="47"/>
        <v/>
      </c>
      <c r="AX734" s="139" t="str">
        <f>[1]!T.in.A[[#This Row],[ID_T_manu]]</f>
        <v/>
      </c>
      <c r="AY734" s="140" t="str">
        <f>IF(ISNUMBER(Tab.o1[[#This Row],[a1]]),IF(AND(Tab.o1[[#This Row],[a1]]=1,Tab.o1[[#This Row],[b1]]&lt;=AY$4),#REF!,AY733),"")</f>
        <v/>
      </c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6"/>
      <c r="BO734" s="26"/>
      <c r="BP734" s="26"/>
      <c r="BQ734" s="26"/>
      <c r="BR734" s="26"/>
      <c r="BS734" s="26"/>
      <c r="BT734" s="26"/>
      <c r="BU734" s="26"/>
      <c r="BV734" s="26"/>
      <c r="BW734" s="26"/>
      <c r="BX734" s="26"/>
      <c r="BY734" s="26"/>
      <c r="BZ734" s="26"/>
      <c r="CA734" s="26"/>
    </row>
    <row r="735" spans="1:79" s="143" customFormat="1" ht="15.75" hidden="1">
      <c r="A735" s="109">
        <v>6.9999999999999999E-6</v>
      </c>
      <c r="B735" s="110">
        <f t="shared" si="44"/>
        <v>735</v>
      </c>
      <c r="C735" s="111" t="str">
        <f>IF(C$1=[1]!T.in.A[[#This Row],[oo2]],1,"")</f>
        <v/>
      </c>
      <c r="D735" s="112" t="str">
        <f>IF(Tab.o1[[#This Row],[a1]]=1,IF(SUM(C735:C736)=0,0,IF(SUM(C734:C735)=1,1,IF(SUM(C734:C736)&gt;1,D734+1,0))),"")</f>
        <v/>
      </c>
      <c r="E735" s="113" t="str">
        <f>IF(Tab.o1[[#This Row],[a1]]=1,[1]!T.in.A[[#This Row],[oo1]],"")</f>
        <v/>
      </c>
      <c r="F735" s="113" t="str">
        <f>IF(Tab.o1[[#This Row],[a1]]=1,[1]!T.in.A[[#This Row],[pp1]],"")</f>
        <v/>
      </c>
      <c r="G735" s="114" t="str">
        <f>IF(Tab.o1[[#This Row],[a1]]=1,G$2+IF(G$1=1,0,Tab.o1[[#This Row],[.x1]])+[1]!T.in.A[[#This Row],[oo3]],"")</f>
        <v/>
      </c>
      <c r="H735" s="115" t="str">
        <f>IF(Tab.o1[[#This Row],[a1]]=1,IF(H$2=0,0,IF(G$1=1,0,Tab.o1[[#This Row],[.x1]])+[1]!T.in.A[[#This Row],[oo4]]),"")</f>
        <v/>
      </c>
      <c r="I735" s="116" t="str">
        <f>IF(Tab.o1[[#This Row],[a1]]=1,IF(J$2=0,Tab.o1[[#This Row],[MED]],Tab.o1[[#This Row],[MOD]]),"")</f>
        <v/>
      </c>
      <c r="J735" s="116" t="str">
        <f>IF(Tab.o1[[#This Row],[a1]]=1,((Tab.o1[[#This Row],[DIF_Target.]]-AVERAGE(Tab.o1[DIF_Target.]))/_xlfn.STDEV.P(Tab.o1[DIF_Target.])),"")</f>
        <v/>
      </c>
      <c r="K735" s="117" t="str">
        <f>IF(Tab.o1[[#This Row],[a1]]=1,IF(J$2=0,Tab.o1[[#This Row],[MOD]]-Tab.o1[[#This Row],[B]],IF(J$2=1,0,-Tab.o1[[#This Row],[MED]])+Tab.o1[[#This Row],[B]]),"")</f>
        <v/>
      </c>
      <c r="L735" s="117" t="str">
        <f ca="1">IF(Tab.o1[[#This Row],[DIF_Target]]=0,IF(L$2=0,Tab.o1[[#This Row],[DIF_Target]],AVERAGE(OFFSET(Tab.o1[[#This Row],[DIF_Target]],1,0,L$3,1)))/3,Tab.o1[[#This Row],[DIF_Target]])</f>
        <v/>
      </c>
      <c r="M735" s="118" t="str">
        <f>IF(Tab.o1[[#This Row],[a1]]=1,NORMSDIST(Tab.o1[[#This Row],[Za]]),"")</f>
        <v/>
      </c>
      <c r="N735" s="119" t="str">
        <f>IF(Tab.o1[[#This Row],[a1]]=1,((Tab.o1[[#This Row],[MedMod]]-AVERAGE(Tab.o1[MedMod]))/_xlfn.STDEV.P(Tab.o1[MedMod])*H$1205)+G$1205,"")</f>
        <v/>
      </c>
      <c r="O735" s="141" t="str">
        <f>IF(Tab.o1[[#This Row],[a1]]=1,Tab.o1[[#This Row],[Zb]]*_xlfn.STDEV.P(Tab.o1[MedMod])+AVERAGE(Tab.o1[MedMod]),"")</f>
        <v/>
      </c>
      <c r="P735" s="117" t="str">
        <f ca="1">IF(Tab.o1[[#This Row],[B]]=0,AVERAGE(OFFSET(Tab.o1[[#This Row],[B]],1,0,L$3,1)),Tab.o1[[#This Row],[B]])</f>
        <v/>
      </c>
      <c r="Q735" s="121" t="str">
        <f>IF(Tab.o1[[#This Row],[a1]]=1,NORMSDIST(Tab.o1[[#This Row],[Zb]]),"")</f>
        <v/>
      </c>
      <c r="R735" s="122" t="str">
        <f>IF(Tab.o1[[#This Row],[a1]]=1,((Tab.o1[[#This Row],[MedMod]]-AVERAGE(Tab.o1[MedMod]))/_xlfn.STDEV.P(Tab.o1[MedMod])*H$1203)+G$1203,"")</f>
        <v/>
      </c>
      <c r="S735" s="122" t="str">
        <f>IF(Tab.o1[[#This Row],[a1]]=1,((Tab.o1[[#This Row],[MedMod]]-AVERAGE(Tab.o1[MedMod]))/_xlfn.STDEV.P(Tab.o1[MedMod])*H$1204)+G$1204,"")</f>
        <v/>
      </c>
      <c r="T735" s="123" t="str">
        <f>IF(Tab.o1[[#This Row],[a1]]=1,Tab.o1[[#This Row],[Z-]]*_xlfn.STDEV.P(Tab.o1[B])+AVERAGE(Tab.o1[B]),"")</f>
        <v/>
      </c>
      <c r="U735" s="123" t="str">
        <f>IF(Tab.o1[[#This Row],[a1]]=1,Tab.o1[[#This Row],[z+]]*_xlfn.STDEV.P(Tab.o1[B])+AVERAGE(Tab.o1[B]),"")</f>
        <v/>
      </c>
      <c r="V735" s="124" t="str">
        <f>IF(Tab.o1[[#This Row],[a1]]=1,ABS((ABS(Tab.o1[[#This Row],[Red]]-Tab.o1[[#This Row],[Blue]]))),"")</f>
        <v/>
      </c>
      <c r="W735" s="125" t="str">
        <f>IF(Tab.o1[[#This Row],[a1]]=1,IF(W$3=0,1,Tab.o1[[#This Row],[Amp.]]*1/_xlfn.MINIFS(Tab.o1[Amp.],Tab.o1[Amp.],"&lt;&gt;0")),"")</f>
        <v/>
      </c>
      <c r="X735" s="126" t="str">
        <f>IF(Tab.o1[[#This Row],[a1]]=1,IF(ISNUMBER(Tab.o1[[#This Row],[i.]]),NORMDIST(Tab.o1[[#This Row],[Za]],0,1,FALSE)*Tab.o1[[#This Row],[i.]],AP$3),"")</f>
        <v/>
      </c>
      <c r="Y735" s="126" t="str">
        <f>IF(Tab.o1[[#This Row],[a1]]=1,0.01+0.94*Tab.o1[[#This Row],[PDF]]/MAX(Tab.o1[PDF]),"")</f>
        <v/>
      </c>
      <c r="Z735" s="126" t="str">
        <f>IF(Tab.o1[[#This Row],[a1]]=1,0.01+0.94*Tab.o1[[#This Row],[W1_PDF]]/MAX(Tab.o1[W1_PDF]),"")</f>
        <v/>
      </c>
      <c r="AA735" s="118" t="str">
        <f>IF(Tab.o1[[#This Row],[a1]]=1,ABS([1]!T.in.A[[#This Row],[oo6]]),"")</f>
        <v/>
      </c>
      <c r="AB735" s="127" t="str">
        <f>IF(Tab.o1[[#This Row],[a1]]=1,IF(AE$3=0,"",IF(AB$3=0,ABS([1]!T.in.A[[#This Row],[oo9]]),ABS(Tab.o1[[#This Row],[DIF_Target.]]*Tab.o1[[#This Row],[W1_PDF]]))),"")</f>
        <v/>
      </c>
      <c r="AC735" s="127" t="str">
        <f>IF(G$1=1,"",IF(Tab.o1[[#This Row],[a1]]=1,Tab.o1[[#This Row],[Wr]]^2,""))</f>
        <v/>
      </c>
      <c r="AD735" s="118" t="str">
        <f>IF(Tab.o1[[#This Row],[a1]]=1,IF(AE$3=0,"",Tab.o1[[#This Row],[Wr2]]/SUM(Tab.o1[Wr2])),"")</f>
        <v/>
      </c>
      <c r="AE735" s="128" t="str">
        <f>IF(Tab.o1[[#This Row],[a1]]=1,[1]!T.in.A[[#This Row],[oo10]],"")</f>
        <v/>
      </c>
      <c r="AF735" s="118" t="str">
        <f>IF(Tab.o1[[#This Row],[a1]]=1,ABS(Tab.o1[[#This Row],[DIF_Target.]]*Tab.o1[[#This Row],[PDF2]]*Tab.o1[[#This Row],[IN]]),"")</f>
        <v/>
      </c>
      <c r="AG735" s="129" t="str">
        <f>IF(Tab.o1[[#This Row],[a1]]=1,Tab.o1[[#This Row],[rW]]^2,"")</f>
        <v/>
      </c>
      <c r="AH735" s="130" t="str">
        <f>IF(Tab.o1[[#This Row],[a1]]=1,IF(AH$3=0,Tab.o1[[#This Row],[rW2]],0.01+0.94*Tab.o1[[#This Row],[rW2]]/SUM(Tab.o1[rW2])),"")</f>
        <v/>
      </c>
      <c r="AI735" s="128" t="str">
        <f>IF(Tab.o1[[#This Row],[a1]]=1,1/Tab.o1[[#This Row],[PDF]],"")</f>
        <v/>
      </c>
      <c r="AJ735" s="131" t="str">
        <f>IF(Tab.o1[[#This Row],[a1]]=1,[1]!T_AA[[#This Row],[IN'']]*[1]!T_AA[[#This Row],[Qde'']],"")</f>
        <v/>
      </c>
      <c r="AK735" s="132" t="str">
        <f>IF(Tab.o1[[#This Row],[a1]]=1,IF(AK$1=1,Tab.o1[[#This Row],[MED]]+Tab.o1[[#This Row],[MOD]]-Tab.o1[[#This Row],[MED]],""),"")</f>
        <v/>
      </c>
      <c r="AL735" s="133" t="str">
        <f>IF(Tab.o1[[#This Row],[a1]]=1,[1]!T.in.A[[#This Row],[oo16]],"")</f>
        <v/>
      </c>
      <c r="AM735" s="133" t="str">
        <f>IF(Tab.o1[[#This Row],[a1]]=1,IF(AM$3=1,[1]!T.in.A[[#This Row],[Σo16]],""),"")</f>
        <v/>
      </c>
      <c r="AN735" s="126" t="str">
        <f>IF(Tab.o1[[#This Row],[a1]]=1,[1]!T.in.A[[#This Row],[Σp5]],"")</f>
        <v/>
      </c>
      <c r="AO735" s="126" t="str">
        <f>IF(Tab.o1[[#This Row],[a1]]=1,IF(AO$3=1,[1]!T.in.A[[#This Row],[Σp5]],""),"")</f>
        <v/>
      </c>
      <c r="AP735" s="110" t="str">
        <f>IF(Tab.o1[[#This Row],[a1]]=1,IF(ISNUMBER(Tab.o1[[#This Row],[i.]]),NORMDIST(Tab.o1[[#This Row],[Za]],0,1,FALSE)*Tab.o1[[#This Row],[i.]],0),"")</f>
        <v/>
      </c>
      <c r="AQ735" s="125" t="str">
        <f>IF(Tab.o1[[#This Row],[a1]]=1,ABS(Tab.o1[[#This Row],[MOD]]-AVERAGE(Tab.o1[MOD])),"")</f>
        <v/>
      </c>
      <c r="AR735" s="134" t="str">
        <f>IF(Tab.o1[[#This Row],[a1]]=1,Tab.o1[[#This Row],[OBS]]/SUM(Tab.o1[OBS]),"")</f>
        <v/>
      </c>
      <c r="AS735" s="135" t="str">
        <f>IF(ISNUMBER(Tab.o1[[#This Row],[a1]]),ROW()-4,"")</f>
        <v/>
      </c>
      <c r="AT735" s="136" t="str">
        <f>Tab.o1[[#This Row],[MOD]]</f>
        <v/>
      </c>
      <c r="AU735" s="137" t="str">
        <f t="shared" si="45"/>
        <v/>
      </c>
      <c r="AV735" s="138" t="str">
        <f t="shared" si="46"/>
        <v/>
      </c>
      <c r="AW735" s="138" t="str">
        <f t="shared" si="47"/>
        <v/>
      </c>
      <c r="AX735" s="139" t="str">
        <f>[1]!T.in.A[[#This Row],[ID_T_manu]]</f>
        <v/>
      </c>
      <c r="AY735" s="140" t="str">
        <f>IF(ISNUMBER(Tab.o1[[#This Row],[a1]]),IF(AND(Tab.o1[[#This Row],[a1]]=1,Tab.o1[[#This Row],[b1]]&lt;=AY$4),#REF!,AY734),"")</f>
        <v/>
      </c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</row>
    <row r="736" spans="1:79" s="143" customFormat="1" ht="15.75" hidden="1">
      <c r="A736" s="109">
        <v>4.0000000000000007E-6</v>
      </c>
      <c r="B736" s="110">
        <f t="shared" si="44"/>
        <v>736</v>
      </c>
      <c r="C736" s="111" t="str">
        <f>IF(C$1=[1]!T.in.A[[#This Row],[oo2]],1,"")</f>
        <v/>
      </c>
      <c r="D736" s="112" t="str">
        <f>IF(Tab.o1[[#This Row],[a1]]=1,IF(SUM(C736:C737)=0,0,IF(SUM(C735:C736)=1,1,IF(SUM(C735:C737)&gt;1,D735+1,0))),"")</f>
        <v/>
      </c>
      <c r="E736" s="113" t="str">
        <f>IF(Tab.o1[[#This Row],[a1]]=1,[1]!T.in.A[[#This Row],[oo1]],"")</f>
        <v/>
      </c>
      <c r="F736" s="113" t="str">
        <f>IF(Tab.o1[[#This Row],[a1]]=1,[1]!T.in.A[[#This Row],[pp1]],"")</f>
        <v/>
      </c>
      <c r="G736" s="114" t="str">
        <f>IF(Tab.o1[[#This Row],[a1]]=1,G$2+IF(G$1=1,0,Tab.o1[[#This Row],[.x1]])+[1]!T.in.A[[#This Row],[oo3]],"")</f>
        <v/>
      </c>
      <c r="H736" s="115" t="str">
        <f>IF(Tab.o1[[#This Row],[a1]]=1,IF(H$2=0,0,IF(G$1=1,0,Tab.o1[[#This Row],[.x1]])+[1]!T.in.A[[#This Row],[oo4]]),"")</f>
        <v/>
      </c>
      <c r="I736" s="116" t="str">
        <f>IF(Tab.o1[[#This Row],[a1]]=1,IF(J$2=0,Tab.o1[[#This Row],[MED]],Tab.o1[[#This Row],[MOD]]),"")</f>
        <v/>
      </c>
      <c r="J736" s="116" t="str">
        <f>IF(Tab.o1[[#This Row],[a1]]=1,((Tab.o1[[#This Row],[DIF_Target.]]-AVERAGE(Tab.o1[DIF_Target.]))/_xlfn.STDEV.P(Tab.o1[DIF_Target.])),"")</f>
        <v/>
      </c>
      <c r="K736" s="117" t="str">
        <f>IF(Tab.o1[[#This Row],[a1]]=1,IF(J$2=0,Tab.o1[[#This Row],[MOD]]-Tab.o1[[#This Row],[B]],IF(J$2=1,0,-Tab.o1[[#This Row],[MED]])+Tab.o1[[#This Row],[B]]),"")</f>
        <v/>
      </c>
      <c r="L736" s="117" t="str">
        <f ca="1">IF(Tab.o1[[#This Row],[DIF_Target]]=0,IF(L$2=0,Tab.o1[[#This Row],[DIF_Target]],AVERAGE(OFFSET(Tab.o1[[#This Row],[DIF_Target]],1,0,L$3,1)))/3,Tab.o1[[#This Row],[DIF_Target]])</f>
        <v/>
      </c>
      <c r="M736" s="118" t="str">
        <f>IF(Tab.o1[[#This Row],[a1]]=1,NORMSDIST(Tab.o1[[#This Row],[Za]]),"")</f>
        <v/>
      </c>
      <c r="N736" s="119" t="str">
        <f>IF(Tab.o1[[#This Row],[a1]]=1,((Tab.o1[[#This Row],[MedMod]]-AVERAGE(Tab.o1[MedMod]))/_xlfn.STDEV.P(Tab.o1[MedMod])*H$1205)+G$1205,"")</f>
        <v/>
      </c>
      <c r="O736" s="141" t="str">
        <f>IF(Tab.o1[[#This Row],[a1]]=1,Tab.o1[[#This Row],[Zb]]*_xlfn.STDEV.P(Tab.o1[MedMod])+AVERAGE(Tab.o1[MedMod]),"")</f>
        <v/>
      </c>
      <c r="P736" s="117" t="str">
        <f ca="1">IF(Tab.o1[[#This Row],[B]]=0,AVERAGE(OFFSET(Tab.o1[[#This Row],[B]],1,0,L$3,1)),Tab.o1[[#This Row],[B]])</f>
        <v/>
      </c>
      <c r="Q736" s="121" t="str">
        <f>IF(Tab.o1[[#This Row],[a1]]=1,NORMSDIST(Tab.o1[[#This Row],[Zb]]),"")</f>
        <v/>
      </c>
      <c r="R736" s="122" t="str">
        <f>IF(Tab.o1[[#This Row],[a1]]=1,((Tab.o1[[#This Row],[MedMod]]-AVERAGE(Tab.o1[MedMod]))/_xlfn.STDEV.P(Tab.o1[MedMod])*H$1203)+G$1203,"")</f>
        <v/>
      </c>
      <c r="S736" s="122" t="str">
        <f>IF(Tab.o1[[#This Row],[a1]]=1,((Tab.o1[[#This Row],[MedMod]]-AVERAGE(Tab.o1[MedMod]))/_xlfn.STDEV.P(Tab.o1[MedMod])*H$1204)+G$1204,"")</f>
        <v/>
      </c>
      <c r="T736" s="123" t="str">
        <f>IF(Tab.o1[[#This Row],[a1]]=1,Tab.o1[[#This Row],[Z-]]*_xlfn.STDEV.P(Tab.o1[B])+AVERAGE(Tab.o1[B]),"")</f>
        <v/>
      </c>
      <c r="U736" s="123" t="str">
        <f>IF(Tab.o1[[#This Row],[a1]]=1,Tab.o1[[#This Row],[z+]]*_xlfn.STDEV.P(Tab.o1[B])+AVERAGE(Tab.o1[B]),"")</f>
        <v/>
      </c>
      <c r="V736" s="124" t="str">
        <f>IF(Tab.o1[[#This Row],[a1]]=1,ABS((ABS(Tab.o1[[#This Row],[Red]]-Tab.o1[[#This Row],[Blue]]))),"")</f>
        <v/>
      </c>
      <c r="W736" s="125" t="str">
        <f>IF(Tab.o1[[#This Row],[a1]]=1,IF(W$3=0,1,Tab.o1[[#This Row],[Amp.]]*1/_xlfn.MINIFS(Tab.o1[Amp.],Tab.o1[Amp.],"&lt;&gt;0")),"")</f>
        <v/>
      </c>
      <c r="X736" s="126" t="str">
        <f>IF(Tab.o1[[#This Row],[a1]]=1,IF(ISNUMBER(Tab.o1[[#This Row],[i.]]),NORMDIST(Tab.o1[[#This Row],[Za]],0,1,FALSE)*Tab.o1[[#This Row],[i.]],AP$3),"")</f>
        <v/>
      </c>
      <c r="Y736" s="126" t="str">
        <f>IF(Tab.o1[[#This Row],[a1]]=1,0.01+0.94*Tab.o1[[#This Row],[PDF]]/MAX(Tab.o1[PDF]),"")</f>
        <v/>
      </c>
      <c r="Z736" s="126" t="str">
        <f>IF(Tab.o1[[#This Row],[a1]]=1,0.01+0.94*Tab.o1[[#This Row],[W1_PDF]]/MAX(Tab.o1[W1_PDF]),"")</f>
        <v/>
      </c>
      <c r="AA736" s="118" t="str">
        <f>IF(Tab.o1[[#This Row],[a1]]=1,ABS([1]!T.in.A[[#This Row],[oo6]]),"")</f>
        <v/>
      </c>
      <c r="AB736" s="127" t="str">
        <f>IF(Tab.o1[[#This Row],[a1]]=1,IF(AE$3=0,"",IF(AB$3=0,ABS([1]!T.in.A[[#This Row],[oo9]]),ABS(Tab.o1[[#This Row],[DIF_Target.]]*Tab.o1[[#This Row],[W1_PDF]]))),"")</f>
        <v/>
      </c>
      <c r="AC736" s="127" t="str">
        <f>IF(G$1=1,"",IF(Tab.o1[[#This Row],[a1]]=1,Tab.o1[[#This Row],[Wr]]^2,""))</f>
        <v/>
      </c>
      <c r="AD736" s="118" t="str">
        <f>IF(Tab.o1[[#This Row],[a1]]=1,IF(AE$3=0,"",Tab.o1[[#This Row],[Wr2]]/SUM(Tab.o1[Wr2])),"")</f>
        <v/>
      </c>
      <c r="AE736" s="128" t="str">
        <f>IF(Tab.o1[[#This Row],[a1]]=1,[1]!T.in.A[[#This Row],[oo10]],"")</f>
        <v/>
      </c>
      <c r="AF736" s="118" t="str">
        <f>IF(Tab.o1[[#This Row],[a1]]=1,ABS(Tab.o1[[#This Row],[DIF_Target.]]*Tab.o1[[#This Row],[PDF2]]*Tab.o1[[#This Row],[IN]]),"")</f>
        <v/>
      </c>
      <c r="AG736" s="129" t="str">
        <f>IF(Tab.o1[[#This Row],[a1]]=1,Tab.o1[[#This Row],[rW]]^2,"")</f>
        <v/>
      </c>
      <c r="AH736" s="130" t="str">
        <f>IF(Tab.o1[[#This Row],[a1]]=1,IF(AH$3=0,Tab.o1[[#This Row],[rW2]],0.01+0.94*Tab.o1[[#This Row],[rW2]]/SUM(Tab.o1[rW2])),"")</f>
        <v/>
      </c>
      <c r="AI736" s="128" t="str">
        <f>IF(Tab.o1[[#This Row],[a1]]=1,1/Tab.o1[[#This Row],[PDF]],"")</f>
        <v/>
      </c>
      <c r="AJ736" s="131" t="str">
        <f>IF(Tab.o1[[#This Row],[a1]]=1,[1]!T_AA[[#This Row],[IN'']]*[1]!T_AA[[#This Row],[Qde'']],"")</f>
        <v/>
      </c>
      <c r="AK736" s="132" t="str">
        <f>IF(Tab.o1[[#This Row],[a1]]=1,IF(AK$1=1,Tab.o1[[#This Row],[MED]]+Tab.o1[[#This Row],[MOD]]-Tab.o1[[#This Row],[MED]],""),"")</f>
        <v/>
      </c>
      <c r="AL736" s="133" t="str">
        <f>IF(Tab.o1[[#This Row],[a1]]=1,[1]!T.in.A[[#This Row],[oo16]],"")</f>
        <v/>
      </c>
      <c r="AM736" s="133" t="str">
        <f>IF(Tab.o1[[#This Row],[a1]]=1,IF(AM$3=1,[1]!T.in.A[[#This Row],[Σo16]],""),"")</f>
        <v/>
      </c>
      <c r="AN736" s="126" t="str">
        <f>IF(Tab.o1[[#This Row],[a1]]=1,[1]!T.in.A[[#This Row],[Σp5]],"")</f>
        <v/>
      </c>
      <c r="AO736" s="126" t="str">
        <f>IF(Tab.o1[[#This Row],[a1]]=1,IF(AO$3=1,[1]!T.in.A[[#This Row],[Σp5]],""),"")</f>
        <v/>
      </c>
      <c r="AP736" s="110" t="str">
        <f>IF(Tab.o1[[#This Row],[a1]]=1,IF(ISNUMBER(Tab.o1[[#This Row],[i.]]),NORMDIST(Tab.o1[[#This Row],[Za]],0,1,FALSE)*Tab.o1[[#This Row],[i.]],0),"")</f>
        <v/>
      </c>
      <c r="AQ736" s="125" t="str">
        <f>IF(Tab.o1[[#This Row],[a1]]=1,ABS(Tab.o1[[#This Row],[MOD]]-AVERAGE(Tab.o1[MOD])),"")</f>
        <v/>
      </c>
      <c r="AR736" s="134" t="str">
        <f>IF(Tab.o1[[#This Row],[a1]]=1,Tab.o1[[#This Row],[OBS]]/SUM(Tab.o1[OBS]),"")</f>
        <v/>
      </c>
      <c r="AS736" s="135" t="str">
        <f>IF(ISNUMBER(Tab.o1[[#This Row],[a1]]),ROW()-4,"")</f>
        <v/>
      </c>
      <c r="AT736" s="136" t="str">
        <f>Tab.o1[[#This Row],[MOD]]</f>
        <v/>
      </c>
      <c r="AU736" s="137" t="str">
        <f t="shared" si="45"/>
        <v/>
      </c>
      <c r="AV736" s="138" t="str">
        <f t="shared" si="46"/>
        <v/>
      </c>
      <c r="AW736" s="138" t="str">
        <f t="shared" si="47"/>
        <v/>
      </c>
      <c r="AX736" s="139" t="str">
        <f>[1]!T.in.A[[#This Row],[ID_T_manu]]</f>
        <v/>
      </c>
      <c r="AY736" s="140" t="str">
        <f>IF(ISNUMBER(Tab.o1[[#This Row],[a1]]),IF(AND(Tab.o1[[#This Row],[a1]]=1,Tab.o1[[#This Row],[b1]]&lt;=AY$4),#REF!,AY735),"")</f>
        <v/>
      </c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6"/>
      <c r="BO736" s="26"/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</row>
    <row r="737" spans="1:79" s="143" customFormat="1" ht="15.75" hidden="1">
      <c r="A737" s="109">
        <v>-1.0000000000000001E-5</v>
      </c>
      <c r="B737" s="110">
        <f t="shared" si="44"/>
        <v>737</v>
      </c>
      <c r="C737" s="111" t="str">
        <f>IF(C$1=[1]!T.in.A[[#This Row],[oo2]],1,"")</f>
        <v/>
      </c>
      <c r="D737" s="112" t="str">
        <f>IF(Tab.o1[[#This Row],[a1]]=1,IF(SUM(C737:C738)=0,0,IF(SUM(C736:C737)=1,1,IF(SUM(C736:C738)&gt;1,D736+1,0))),"")</f>
        <v/>
      </c>
      <c r="E737" s="113" t="str">
        <f>IF(Tab.o1[[#This Row],[a1]]=1,[1]!T.in.A[[#This Row],[oo1]],"")</f>
        <v/>
      </c>
      <c r="F737" s="113" t="str">
        <f>IF(Tab.o1[[#This Row],[a1]]=1,[1]!T.in.A[[#This Row],[pp1]],"")</f>
        <v/>
      </c>
      <c r="G737" s="114" t="str">
        <f>IF(Tab.o1[[#This Row],[a1]]=1,G$2+IF(G$1=1,0,Tab.o1[[#This Row],[.x1]])+[1]!T.in.A[[#This Row],[oo3]],"")</f>
        <v/>
      </c>
      <c r="H737" s="115" t="str">
        <f>IF(Tab.o1[[#This Row],[a1]]=1,IF(H$2=0,0,IF(G$1=1,0,Tab.o1[[#This Row],[.x1]])+[1]!T.in.A[[#This Row],[oo4]]),"")</f>
        <v/>
      </c>
      <c r="I737" s="116" t="str">
        <f>IF(Tab.o1[[#This Row],[a1]]=1,IF(J$2=0,Tab.o1[[#This Row],[MED]],Tab.o1[[#This Row],[MOD]]),"")</f>
        <v/>
      </c>
      <c r="J737" s="116" t="str">
        <f>IF(Tab.o1[[#This Row],[a1]]=1,((Tab.o1[[#This Row],[DIF_Target.]]-AVERAGE(Tab.o1[DIF_Target.]))/_xlfn.STDEV.P(Tab.o1[DIF_Target.])),"")</f>
        <v/>
      </c>
      <c r="K737" s="117" t="str">
        <f>IF(Tab.o1[[#This Row],[a1]]=1,IF(J$2=0,Tab.o1[[#This Row],[MOD]]-Tab.o1[[#This Row],[B]],IF(J$2=1,0,-Tab.o1[[#This Row],[MED]])+Tab.o1[[#This Row],[B]]),"")</f>
        <v/>
      </c>
      <c r="L737" s="117" t="str">
        <f ca="1">IF(Tab.o1[[#This Row],[DIF_Target]]=0,IF(L$2=0,Tab.o1[[#This Row],[DIF_Target]],AVERAGE(OFFSET(Tab.o1[[#This Row],[DIF_Target]],1,0,L$3,1)))/3,Tab.o1[[#This Row],[DIF_Target]])</f>
        <v/>
      </c>
      <c r="M737" s="118" t="str">
        <f>IF(Tab.o1[[#This Row],[a1]]=1,NORMSDIST(Tab.o1[[#This Row],[Za]]),"")</f>
        <v/>
      </c>
      <c r="N737" s="119" t="str">
        <f>IF(Tab.o1[[#This Row],[a1]]=1,((Tab.o1[[#This Row],[MedMod]]-AVERAGE(Tab.o1[MedMod]))/_xlfn.STDEV.P(Tab.o1[MedMod])*H$1205)+G$1205,"")</f>
        <v/>
      </c>
      <c r="O737" s="141" t="str">
        <f>IF(Tab.o1[[#This Row],[a1]]=1,Tab.o1[[#This Row],[Zb]]*_xlfn.STDEV.P(Tab.o1[MedMod])+AVERAGE(Tab.o1[MedMod]),"")</f>
        <v/>
      </c>
      <c r="P737" s="117" t="str">
        <f ca="1">IF(Tab.o1[[#This Row],[B]]=0,AVERAGE(OFFSET(Tab.o1[[#This Row],[B]],1,0,L$3,1)),Tab.o1[[#This Row],[B]])</f>
        <v/>
      </c>
      <c r="Q737" s="121" t="str">
        <f>IF(Tab.o1[[#This Row],[a1]]=1,NORMSDIST(Tab.o1[[#This Row],[Zb]]),"")</f>
        <v/>
      </c>
      <c r="R737" s="122" t="str">
        <f>IF(Tab.o1[[#This Row],[a1]]=1,((Tab.o1[[#This Row],[MedMod]]-AVERAGE(Tab.o1[MedMod]))/_xlfn.STDEV.P(Tab.o1[MedMod])*H$1203)+G$1203,"")</f>
        <v/>
      </c>
      <c r="S737" s="122" t="str">
        <f>IF(Tab.o1[[#This Row],[a1]]=1,((Tab.o1[[#This Row],[MedMod]]-AVERAGE(Tab.o1[MedMod]))/_xlfn.STDEV.P(Tab.o1[MedMod])*H$1204)+G$1204,"")</f>
        <v/>
      </c>
      <c r="T737" s="123" t="str">
        <f>IF(Tab.o1[[#This Row],[a1]]=1,Tab.o1[[#This Row],[Z-]]*_xlfn.STDEV.P(Tab.o1[B])+AVERAGE(Tab.o1[B]),"")</f>
        <v/>
      </c>
      <c r="U737" s="123" t="str">
        <f>IF(Tab.o1[[#This Row],[a1]]=1,Tab.o1[[#This Row],[z+]]*_xlfn.STDEV.P(Tab.o1[B])+AVERAGE(Tab.o1[B]),"")</f>
        <v/>
      </c>
      <c r="V737" s="124" t="str">
        <f>IF(Tab.o1[[#This Row],[a1]]=1,ABS((ABS(Tab.o1[[#This Row],[Red]]-Tab.o1[[#This Row],[Blue]]))),"")</f>
        <v/>
      </c>
      <c r="W737" s="125" t="str">
        <f>IF(Tab.o1[[#This Row],[a1]]=1,IF(W$3=0,1,Tab.o1[[#This Row],[Amp.]]*1/_xlfn.MINIFS(Tab.o1[Amp.],Tab.o1[Amp.],"&lt;&gt;0")),"")</f>
        <v/>
      </c>
      <c r="X737" s="126" t="str">
        <f>IF(Tab.o1[[#This Row],[a1]]=1,IF(ISNUMBER(Tab.o1[[#This Row],[i.]]),NORMDIST(Tab.o1[[#This Row],[Za]],0,1,FALSE)*Tab.o1[[#This Row],[i.]],AP$3),"")</f>
        <v/>
      </c>
      <c r="Y737" s="126" t="str">
        <f>IF(Tab.o1[[#This Row],[a1]]=1,0.01+0.94*Tab.o1[[#This Row],[PDF]]/MAX(Tab.o1[PDF]),"")</f>
        <v/>
      </c>
      <c r="Z737" s="126" t="str">
        <f>IF(Tab.o1[[#This Row],[a1]]=1,0.01+0.94*Tab.o1[[#This Row],[W1_PDF]]/MAX(Tab.o1[W1_PDF]),"")</f>
        <v/>
      </c>
      <c r="AA737" s="118" t="str">
        <f>IF(Tab.o1[[#This Row],[a1]]=1,ABS([1]!T.in.A[[#This Row],[oo6]]),"")</f>
        <v/>
      </c>
      <c r="AB737" s="127" t="str">
        <f>IF(Tab.o1[[#This Row],[a1]]=1,IF(AE$3=0,"",IF(AB$3=0,ABS([1]!T.in.A[[#This Row],[oo9]]),ABS(Tab.o1[[#This Row],[DIF_Target.]]*Tab.o1[[#This Row],[W1_PDF]]))),"")</f>
        <v/>
      </c>
      <c r="AC737" s="127" t="str">
        <f>IF(G$1=1,"",IF(Tab.o1[[#This Row],[a1]]=1,Tab.o1[[#This Row],[Wr]]^2,""))</f>
        <v/>
      </c>
      <c r="AD737" s="118" t="str">
        <f>IF(Tab.o1[[#This Row],[a1]]=1,IF(AE$3=0,"",Tab.o1[[#This Row],[Wr2]]/SUM(Tab.o1[Wr2])),"")</f>
        <v/>
      </c>
      <c r="AE737" s="128" t="str">
        <f>IF(Tab.o1[[#This Row],[a1]]=1,[1]!T.in.A[[#This Row],[oo10]],"")</f>
        <v/>
      </c>
      <c r="AF737" s="118" t="str">
        <f>IF(Tab.o1[[#This Row],[a1]]=1,ABS(Tab.o1[[#This Row],[DIF_Target.]]*Tab.o1[[#This Row],[PDF2]]*Tab.o1[[#This Row],[IN]]),"")</f>
        <v/>
      </c>
      <c r="AG737" s="129" t="str">
        <f>IF(Tab.o1[[#This Row],[a1]]=1,Tab.o1[[#This Row],[rW]]^2,"")</f>
        <v/>
      </c>
      <c r="AH737" s="130" t="str">
        <f>IF(Tab.o1[[#This Row],[a1]]=1,IF(AH$3=0,Tab.o1[[#This Row],[rW2]],0.01+0.94*Tab.o1[[#This Row],[rW2]]/SUM(Tab.o1[rW2])),"")</f>
        <v/>
      </c>
      <c r="AI737" s="128" t="str">
        <f>IF(Tab.o1[[#This Row],[a1]]=1,1/Tab.o1[[#This Row],[PDF]],"")</f>
        <v/>
      </c>
      <c r="AJ737" s="131" t="str">
        <f>IF(Tab.o1[[#This Row],[a1]]=1,[1]!T_AA[[#This Row],[IN'']]*[1]!T_AA[[#This Row],[Qde'']],"")</f>
        <v/>
      </c>
      <c r="AK737" s="132" t="str">
        <f>IF(Tab.o1[[#This Row],[a1]]=1,IF(AK$1=1,Tab.o1[[#This Row],[MED]]+Tab.o1[[#This Row],[MOD]]-Tab.o1[[#This Row],[MED]],""),"")</f>
        <v/>
      </c>
      <c r="AL737" s="133" t="str">
        <f>IF(Tab.o1[[#This Row],[a1]]=1,[1]!T.in.A[[#This Row],[oo16]],"")</f>
        <v/>
      </c>
      <c r="AM737" s="133" t="str">
        <f>IF(Tab.o1[[#This Row],[a1]]=1,IF(AM$3=1,[1]!T.in.A[[#This Row],[Σo16]],""),"")</f>
        <v/>
      </c>
      <c r="AN737" s="126" t="str">
        <f>IF(Tab.o1[[#This Row],[a1]]=1,[1]!T.in.A[[#This Row],[Σp5]],"")</f>
        <v/>
      </c>
      <c r="AO737" s="126" t="str">
        <f>IF(Tab.o1[[#This Row],[a1]]=1,IF(AO$3=1,[1]!T.in.A[[#This Row],[Σp5]],""),"")</f>
        <v/>
      </c>
      <c r="AP737" s="110" t="str">
        <f>IF(Tab.o1[[#This Row],[a1]]=1,IF(ISNUMBER(Tab.o1[[#This Row],[i.]]),NORMDIST(Tab.o1[[#This Row],[Za]],0,1,FALSE)*Tab.o1[[#This Row],[i.]],0),"")</f>
        <v/>
      </c>
      <c r="AQ737" s="125" t="str">
        <f>IF(Tab.o1[[#This Row],[a1]]=1,ABS(Tab.o1[[#This Row],[MOD]]-AVERAGE(Tab.o1[MOD])),"")</f>
        <v/>
      </c>
      <c r="AR737" s="134" t="str">
        <f>IF(Tab.o1[[#This Row],[a1]]=1,Tab.o1[[#This Row],[OBS]]/SUM(Tab.o1[OBS]),"")</f>
        <v/>
      </c>
      <c r="AS737" s="135" t="str">
        <f>IF(ISNUMBER(Tab.o1[[#This Row],[a1]]),ROW()-4,"")</f>
        <v/>
      </c>
      <c r="AT737" s="136" t="str">
        <f>Tab.o1[[#This Row],[MOD]]</f>
        <v/>
      </c>
      <c r="AU737" s="137" t="str">
        <f t="shared" si="45"/>
        <v/>
      </c>
      <c r="AV737" s="138" t="str">
        <f t="shared" si="46"/>
        <v/>
      </c>
      <c r="AW737" s="138" t="str">
        <f t="shared" si="47"/>
        <v/>
      </c>
      <c r="AX737" s="139" t="str">
        <f>[1]!T.in.A[[#This Row],[ID_T_manu]]</f>
        <v/>
      </c>
      <c r="AY737" s="140" t="str">
        <f>IF(ISNUMBER(Tab.o1[[#This Row],[a1]]),IF(AND(Tab.o1[[#This Row],[a1]]=1,Tab.o1[[#This Row],[b1]]&lt;=AY$4),#REF!,AY736),"")</f>
        <v/>
      </c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6"/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</row>
    <row r="738" spans="1:79" s="143" customFormat="1" ht="15.75" hidden="1">
      <c r="A738" s="109">
        <v>5.0000000000000004E-6</v>
      </c>
      <c r="B738" s="110">
        <f t="shared" si="44"/>
        <v>738</v>
      </c>
      <c r="C738" s="111" t="str">
        <f>IF(C$1=[1]!T.in.A[[#This Row],[oo2]],1,"")</f>
        <v/>
      </c>
      <c r="D738" s="112" t="str">
        <f>IF(Tab.o1[[#This Row],[a1]]=1,IF(SUM(C738:C739)=0,0,IF(SUM(C737:C738)=1,1,IF(SUM(C737:C739)&gt;1,D737+1,0))),"")</f>
        <v/>
      </c>
      <c r="E738" s="113" t="str">
        <f>IF(Tab.o1[[#This Row],[a1]]=1,[1]!T.in.A[[#This Row],[oo1]],"")</f>
        <v/>
      </c>
      <c r="F738" s="113" t="str">
        <f>IF(Tab.o1[[#This Row],[a1]]=1,[1]!T.in.A[[#This Row],[pp1]],"")</f>
        <v/>
      </c>
      <c r="G738" s="114" t="str">
        <f>IF(Tab.o1[[#This Row],[a1]]=1,G$2+IF(G$1=1,0,Tab.o1[[#This Row],[.x1]])+[1]!T.in.A[[#This Row],[oo3]],"")</f>
        <v/>
      </c>
      <c r="H738" s="115" t="str">
        <f>IF(Tab.o1[[#This Row],[a1]]=1,IF(H$2=0,0,IF(G$1=1,0,Tab.o1[[#This Row],[.x1]])+[1]!T.in.A[[#This Row],[oo4]]),"")</f>
        <v/>
      </c>
      <c r="I738" s="116" t="str">
        <f>IF(Tab.o1[[#This Row],[a1]]=1,IF(J$2=0,Tab.o1[[#This Row],[MED]],Tab.o1[[#This Row],[MOD]]),"")</f>
        <v/>
      </c>
      <c r="J738" s="116" t="str">
        <f>IF(Tab.o1[[#This Row],[a1]]=1,((Tab.o1[[#This Row],[DIF_Target.]]-AVERAGE(Tab.o1[DIF_Target.]))/_xlfn.STDEV.P(Tab.o1[DIF_Target.])),"")</f>
        <v/>
      </c>
      <c r="K738" s="117" t="str">
        <f>IF(Tab.o1[[#This Row],[a1]]=1,IF(J$2=0,Tab.o1[[#This Row],[MOD]]-Tab.o1[[#This Row],[B]],IF(J$2=1,0,-Tab.o1[[#This Row],[MED]])+Tab.o1[[#This Row],[B]]),"")</f>
        <v/>
      </c>
      <c r="L738" s="117" t="str">
        <f ca="1">IF(Tab.o1[[#This Row],[DIF_Target]]=0,IF(L$2=0,Tab.o1[[#This Row],[DIF_Target]],AVERAGE(OFFSET(Tab.o1[[#This Row],[DIF_Target]],1,0,L$3,1)))/3,Tab.o1[[#This Row],[DIF_Target]])</f>
        <v/>
      </c>
      <c r="M738" s="118" t="str">
        <f>IF(Tab.o1[[#This Row],[a1]]=1,NORMSDIST(Tab.o1[[#This Row],[Za]]),"")</f>
        <v/>
      </c>
      <c r="N738" s="119" t="str">
        <f>IF(Tab.o1[[#This Row],[a1]]=1,((Tab.o1[[#This Row],[MedMod]]-AVERAGE(Tab.o1[MedMod]))/_xlfn.STDEV.P(Tab.o1[MedMod])*H$1205)+G$1205,"")</f>
        <v/>
      </c>
      <c r="O738" s="141" t="str">
        <f>IF(Tab.o1[[#This Row],[a1]]=1,Tab.o1[[#This Row],[Zb]]*_xlfn.STDEV.P(Tab.o1[MedMod])+AVERAGE(Tab.o1[MedMod]),"")</f>
        <v/>
      </c>
      <c r="P738" s="117" t="str">
        <f ca="1">IF(Tab.o1[[#This Row],[B]]=0,AVERAGE(OFFSET(Tab.o1[[#This Row],[B]],1,0,L$3,1)),Tab.o1[[#This Row],[B]])</f>
        <v/>
      </c>
      <c r="Q738" s="121" t="str">
        <f>IF(Tab.o1[[#This Row],[a1]]=1,NORMSDIST(Tab.o1[[#This Row],[Zb]]),"")</f>
        <v/>
      </c>
      <c r="R738" s="122" t="str">
        <f>IF(Tab.o1[[#This Row],[a1]]=1,((Tab.o1[[#This Row],[MedMod]]-AVERAGE(Tab.o1[MedMod]))/_xlfn.STDEV.P(Tab.o1[MedMod])*H$1203)+G$1203,"")</f>
        <v/>
      </c>
      <c r="S738" s="122" t="str">
        <f>IF(Tab.o1[[#This Row],[a1]]=1,((Tab.o1[[#This Row],[MedMod]]-AVERAGE(Tab.o1[MedMod]))/_xlfn.STDEV.P(Tab.o1[MedMod])*H$1204)+G$1204,"")</f>
        <v/>
      </c>
      <c r="T738" s="123" t="str">
        <f>IF(Tab.o1[[#This Row],[a1]]=1,Tab.o1[[#This Row],[Z-]]*_xlfn.STDEV.P(Tab.o1[B])+AVERAGE(Tab.o1[B]),"")</f>
        <v/>
      </c>
      <c r="U738" s="123" t="str">
        <f>IF(Tab.o1[[#This Row],[a1]]=1,Tab.o1[[#This Row],[z+]]*_xlfn.STDEV.P(Tab.o1[B])+AVERAGE(Tab.o1[B]),"")</f>
        <v/>
      </c>
      <c r="V738" s="124" t="str">
        <f>IF(Tab.o1[[#This Row],[a1]]=1,ABS((ABS(Tab.o1[[#This Row],[Red]]-Tab.o1[[#This Row],[Blue]]))),"")</f>
        <v/>
      </c>
      <c r="W738" s="125" t="str">
        <f>IF(Tab.o1[[#This Row],[a1]]=1,IF(W$3=0,1,Tab.o1[[#This Row],[Amp.]]*1/_xlfn.MINIFS(Tab.o1[Amp.],Tab.o1[Amp.],"&lt;&gt;0")),"")</f>
        <v/>
      </c>
      <c r="X738" s="126" t="str">
        <f>IF(Tab.o1[[#This Row],[a1]]=1,IF(ISNUMBER(Tab.o1[[#This Row],[i.]]),NORMDIST(Tab.o1[[#This Row],[Za]],0,1,FALSE)*Tab.o1[[#This Row],[i.]],AP$3),"")</f>
        <v/>
      </c>
      <c r="Y738" s="126" t="str">
        <f>IF(Tab.o1[[#This Row],[a1]]=1,0.01+0.94*Tab.o1[[#This Row],[PDF]]/MAX(Tab.o1[PDF]),"")</f>
        <v/>
      </c>
      <c r="Z738" s="126" t="str">
        <f>IF(Tab.o1[[#This Row],[a1]]=1,0.01+0.94*Tab.o1[[#This Row],[W1_PDF]]/MAX(Tab.o1[W1_PDF]),"")</f>
        <v/>
      </c>
      <c r="AA738" s="118" t="str">
        <f>IF(Tab.o1[[#This Row],[a1]]=1,ABS([1]!T.in.A[[#This Row],[oo6]]),"")</f>
        <v/>
      </c>
      <c r="AB738" s="127" t="str">
        <f>IF(Tab.o1[[#This Row],[a1]]=1,IF(AE$3=0,"",IF(AB$3=0,ABS([1]!T.in.A[[#This Row],[oo9]]),ABS(Tab.o1[[#This Row],[DIF_Target.]]*Tab.o1[[#This Row],[W1_PDF]]))),"")</f>
        <v/>
      </c>
      <c r="AC738" s="127" t="str">
        <f>IF(G$1=1,"",IF(Tab.o1[[#This Row],[a1]]=1,Tab.o1[[#This Row],[Wr]]^2,""))</f>
        <v/>
      </c>
      <c r="AD738" s="118" t="str">
        <f>IF(Tab.o1[[#This Row],[a1]]=1,IF(AE$3=0,"",Tab.o1[[#This Row],[Wr2]]/SUM(Tab.o1[Wr2])),"")</f>
        <v/>
      </c>
      <c r="AE738" s="128" t="str">
        <f>IF(Tab.o1[[#This Row],[a1]]=1,[1]!T.in.A[[#This Row],[oo10]],"")</f>
        <v/>
      </c>
      <c r="AF738" s="118" t="str">
        <f>IF(Tab.o1[[#This Row],[a1]]=1,ABS(Tab.o1[[#This Row],[DIF_Target.]]*Tab.o1[[#This Row],[PDF2]]*Tab.o1[[#This Row],[IN]]),"")</f>
        <v/>
      </c>
      <c r="AG738" s="129" t="str">
        <f>IF(Tab.o1[[#This Row],[a1]]=1,Tab.o1[[#This Row],[rW]]^2,"")</f>
        <v/>
      </c>
      <c r="AH738" s="130" t="str">
        <f>IF(Tab.o1[[#This Row],[a1]]=1,IF(AH$3=0,Tab.o1[[#This Row],[rW2]],0.01+0.94*Tab.o1[[#This Row],[rW2]]/SUM(Tab.o1[rW2])),"")</f>
        <v/>
      </c>
      <c r="AI738" s="128" t="str">
        <f>IF(Tab.o1[[#This Row],[a1]]=1,1/Tab.o1[[#This Row],[PDF]],"")</f>
        <v/>
      </c>
      <c r="AJ738" s="131" t="str">
        <f>IF(Tab.o1[[#This Row],[a1]]=1,[1]!T_AA[[#This Row],[IN'']]*[1]!T_AA[[#This Row],[Qde'']],"")</f>
        <v/>
      </c>
      <c r="AK738" s="132" t="str">
        <f>IF(Tab.o1[[#This Row],[a1]]=1,IF(AK$1=1,Tab.o1[[#This Row],[MED]]+Tab.o1[[#This Row],[MOD]]-Tab.o1[[#This Row],[MED]],""),"")</f>
        <v/>
      </c>
      <c r="AL738" s="133" t="str">
        <f>IF(Tab.o1[[#This Row],[a1]]=1,[1]!T.in.A[[#This Row],[oo16]],"")</f>
        <v/>
      </c>
      <c r="AM738" s="133" t="str">
        <f>IF(Tab.o1[[#This Row],[a1]]=1,IF(AM$3=1,[1]!T.in.A[[#This Row],[Σo16]],""),"")</f>
        <v/>
      </c>
      <c r="AN738" s="126" t="str">
        <f>IF(Tab.o1[[#This Row],[a1]]=1,[1]!T.in.A[[#This Row],[Σp5]],"")</f>
        <v/>
      </c>
      <c r="AO738" s="126" t="str">
        <f>IF(Tab.o1[[#This Row],[a1]]=1,IF(AO$3=1,[1]!T.in.A[[#This Row],[Σp5]],""),"")</f>
        <v/>
      </c>
      <c r="AP738" s="110" t="str">
        <f>IF(Tab.o1[[#This Row],[a1]]=1,IF(ISNUMBER(Tab.o1[[#This Row],[i.]]),NORMDIST(Tab.o1[[#This Row],[Za]],0,1,FALSE)*Tab.o1[[#This Row],[i.]],0),"")</f>
        <v/>
      </c>
      <c r="AQ738" s="125" t="str">
        <f>IF(Tab.o1[[#This Row],[a1]]=1,ABS(Tab.o1[[#This Row],[MOD]]-AVERAGE(Tab.o1[MOD])),"")</f>
        <v/>
      </c>
      <c r="AR738" s="134" t="str">
        <f>IF(Tab.o1[[#This Row],[a1]]=1,Tab.o1[[#This Row],[OBS]]/SUM(Tab.o1[OBS]),"")</f>
        <v/>
      </c>
      <c r="AS738" s="135" t="str">
        <f>IF(ISNUMBER(Tab.o1[[#This Row],[a1]]),ROW()-4,"")</f>
        <v/>
      </c>
      <c r="AT738" s="136" t="str">
        <f>Tab.o1[[#This Row],[MOD]]</f>
        <v/>
      </c>
      <c r="AU738" s="137" t="str">
        <f t="shared" si="45"/>
        <v/>
      </c>
      <c r="AV738" s="138" t="str">
        <f t="shared" si="46"/>
        <v/>
      </c>
      <c r="AW738" s="138" t="str">
        <f t="shared" si="47"/>
        <v/>
      </c>
      <c r="AX738" s="139" t="str">
        <f>[1]!T.in.A[[#This Row],[ID_T_manu]]</f>
        <v/>
      </c>
      <c r="AY738" s="140" t="str">
        <f>IF(ISNUMBER(Tab.o1[[#This Row],[a1]]),IF(AND(Tab.o1[[#This Row],[a1]]=1,Tab.o1[[#This Row],[b1]]&lt;=AY$4),#REF!,AY737),"")</f>
        <v/>
      </c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6"/>
      <c r="BO738" s="26"/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26"/>
    </row>
    <row r="739" spans="1:79" s="143" customFormat="1" ht="15.75" hidden="1">
      <c r="A739" s="109">
        <v>1.0000000000000002E-6</v>
      </c>
      <c r="B739" s="110">
        <f t="shared" si="44"/>
        <v>739</v>
      </c>
      <c r="C739" s="111" t="str">
        <f>IF(C$1=[1]!T.in.A[[#This Row],[oo2]],1,"")</f>
        <v/>
      </c>
      <c r="D739" s="112" t="str">
        <f>IF(Tab.o1[[#This Row],[a1]]=1,IF(SUM(C739:C740)=0,0,IF(SUM(C738:C739)=1,1,IF(SUM(C738:C740)&gt;1,D738+1,0))),"")</f>
        <v/>
      </c>
      <c r="E739" s="113" t="str">
        <f>IF(Tab.o1[[#This Row],[a1]]=1,[1]!T.in.A[[#This Row],[oo1]],"")</f>
        <v/>
      </c>
      <c r="F739" s="113" t="str">
        <f>IF(Tab.o1[[#This Row],[a1]]=1,[1]!T.in.A[[#This Row],[pp1]],"")</f>
        <v/>
      </c>
      <c r="G739" s="114" t="str">
        <f>IF(Tab.o1[[#This Row],[a1]]=1,G$2+IF(G$1=1,0,Tab.o1[[#This Row],[.x1]])+[1]!T.in.A[[#This Row],[oo3]],"")</f>
        <v/>
      </c>
      <c r="H739" s="115" t="str">
        <f>IF(Tab.o1[[#This Row],[a1]]=1,IF(H$2=0,0,IF(G$1=1,0,Tab.o1[[#This Row],[.x1]])+[1]!T.in.A[[#This Row],[oo4]]),"")</f>
        <v/>
      </c>
      <c r="I739" s="116" t="str">
        <f>IF(Tab.o1[[#This Row],[a1]]=1,IF(J$2=0,Tab.o1[[#This Row],[MED]],Tab.o1[[#This Row],[MOD]]),"")</f>
        <v/>
      </c>
      <c r="J739" s="116" t="str">
        <f>IF(Tab.o1[[#This Row],[a1]]=1,((Tab.o1[[#This Row],[DIF_Target.]]-AVERAGE(Tab.o1[DIF_Target.]))/_xlfn.STDEV.P(Tab.o1[DIF_Target.])),"")</f>
        <v/>
      </c>
      <c r="K739" s="117" t="str">
        <f>IF(Tab.o1[[#This Row],[a1]]=1,IF(J$2=0,Tab.o1[[#This Row],[MOD]]-Tab.o1[[#This Row],[B]],IF(J$2=1,0,-Tab.o1[[#This Row],[MED]])+Tab.o1[[#This Row],[B]]),"")</f>
        <v/>
      </c>
      <c r="L739" s="117" t="str">
        <f ca="1">IF(Tab.o1[[#This Row],[DIF_Target]]=0,IF(L$2=0,Tab.o1[[#This Row],[DIF_Target]],AVERAGE(OFFSET(Tab.o1[[#This Row],[DIF_Target]],1,0,L$3,1)))/3,Tab.o1[[#This Row],[DIF_Target]])</f>
        <v/>
      </c>
      <c r="M739" s="118" t="str">
        <f>IF(Tab.o1[[#This Row],[a1]]=1,NORMSDIST(Tab.o1[[#This Row],[Za]]),"")</f>
        <v/>
      </c>
      <c r="N739" s="119" t="str">
        <f>IF(Tab.o1[[#This Row],[a1]]=1,((Tab.o1[[#This Row],[MedMod]]-AVERAGE(Tab.o1[MedMod]))/_xlfn.STDEV.P(Tab.o1[MedMod])*H$1205)+G$1205,"")</f>
        <v/>
      </c>
      <c r="O739" s="141" t="str">
        <f>IF(Tab.o1[[#This Row],[a1]]=1,Tab.o1[[#This Row],[Zb]]*_xlfn.STDEV.P(Tab.o1[MedMod])+AVERAGE(Tab.o1[MedMod]),"")</f>
        <v/>
      </c>
      <c r="P739" s="117" t="str">
        <f ca="1">IF(Tab.o1[[#This Row],[B]]=0,AVERAGE(OFFSET(Tab.o1[[#This Row],[B]],1,0,L$3,1)),Tab.o1[[#This Row],[B]])</f>
        <v/>
      </c>
      <c r="Q739" s="121" t="str">
        <f>IF(Tab.o1[[#This Row],[a1]]=1,NORMSDIST(Tab.o1[[#This Row],[Zb]]),"")</f>
        <v/>
      </c>
      <c r="R739" s="122" t="str">
        <f>IF(Tab.o1[[#This Row],[a1]]=1,((Tab.o1[[#This Row],[MedMod]]-AVERAGE(Tab.o1[MedMod]))/_xlfn.STDEV.P(Tab.o1[MedMod])*H$1203)+G$1203,"")</f>
        <v/>
      </c>
      <c r="S739" s="122" t="str">
        <f>IF(Tab.o1[[#This Row],[a1]]=1,((Tab.o1[[#This Row],[MedMod]]-AVERAGE(Tab.o1[MedMod]))/_xlfn.STDEV.P(Tab.o1[MedMod])*H$1204)+G$1204,"")</f>
        <v/>
      </c>
      <c r="T739" s="123" t="str">
        <f>IF(Tab.o1[[#This Row],[a1]]=1,Tab.o1[[#This Row],[Z-]]*_xlfn.STDEV.P(Tab.o1[B])+AVERAGE(Tab.o1[B]),"")</f>
        <v/>
      </c>
      <c r="U739" s="123" t="str">
        <f>IF(Tab.o1[[#This Row],[a1]]=1,Tab.o1[[#This Row],[z+]]*_xlfn.STDEV.P(Tab.o1[B])+AVERAGE(Tab.o1[B]),"")</f>
        <v/>
      </c>
      <c r="V739" s="124" t="str">
        <f>IF(Tab.o1[[#This Row],[a1]]=1,ABS((ABS(Tab.o1[[#This Row],[Red]]-Tab.o1[[#This Row],[Blue]]))),"")</f>
        <v/>
      </c>
      <c r="W739" s="125" t="str">
        <f>IF(Tab.o1[[#This Row],[a1]]=1,IF(W$3=0,1,Tab.o1[[#This Row],[Amp.]]*1/_xlfn.MINIFS(Tab.o1[Amp.],Tab.o1[Amp.],"&lt;&gt;0")),"")</f>
        <v/>
      </c>
      <c r="X739" s="126" t="str">
        <f>IF(Tab.o1[[#This Row],[a1]]=1,IF(ISNUMBER(Tab.o1[[#This Row],[i.]]),NORMDIST(Tab.o1[[#This Row],[Za]],0,1,FALSE)*Tab.o1[[#This Row],[i.]],AP$3),"")</f>
        <v/>
      </c>
      <c r="Y739" s="126" t="str">
        <f>IF(Tab.o1[[#This Row],[a1]]=1,0.01+0.94*Tab.o1[[#This Row],[PDF]]/MAX(Tab.o1[PDF]),"")</f>
        <v/>
      </c>
      <c r="Z739" s="126" t="str">
        <f>IF(Tab.o1[[#This Row],[a1]]=1,0.01+0.94*Tab.o1[[#This Row],[W1_PDF]]/MAX(Tab.o1[W1_PDF]),"")</f>
        <v/>
      </c>
      <c r="AA739" s="118" t="str">
        <f>IF(Tab.o1[[#This Row],[a1]]=1,ABS([1]!T.in.A[[#This Row],[oo6]]),"")</f>
        <v/>
      </c>
      <c r="AB739" s="127" t="str">
        <f>IF(Tab.o1[[#This Row],[a1]]=1,IF(AE$3=0,"",IF(AB$3=0,ABS([1]!T.in.A[[#This Row],[oo9]]),ABS(Tab.o1[[#This Row],[DIF_Target.]]*Tab.o1[[#This Row],[W1_PDF]]))),"")</f>
        <v/>
      </c>
      <c r="AC739" s="127" t="str">
        <f>IF(G$1=1,"",IF(Tab.o1[[#This Row],[a1]]=1,Tab.o1[[#This Row],[Wr]]^2,""))</f>
        <v/>
      </c>
      <c r="AD739" s="118" t="str">
        <f>IF(Tab.o1[[#This Row],[a1]]=1,IF(AE$3=0,"",Tab.o1[[#This Row],[Wr2]]/SUM(Tab.o1[Wr2])),"")</f>
        <v/>
      </c>
      <c r="AE739" s="128" t="str">
        <f>IF(Tab.o1[[#This Row],[a1]]=1,[1]!T.in.A[[#This Row],[oo10]],"")</f>
        <v/>
      </c>
      <c r="AF739" s="118" t="str">
        <f>IF(Tab.o1[[#This Row],[a1]]=1,ABS(Tab.o1[[#This Row],[DIF_Target.]]*Tab.o1[[#This Row],[PDF2]]*Tab.o1[[#This Row],[IN]]),"")</f>
        <v/>
      </c>
      <c r="AG739" s="129" t="str">
        <f>IF(Tab.o1[[#This Row],[a1]]=1,Tab.o1[[#This Row],[rW]]^2,"")</f>
        <v/>
      </c>
      <c r="AH739" s="130" t="str">
        <f>IF(Tab.o1[[#This Row],[a1]]=1,IF(AH$3=0,Tab.o1[[#This Row],[rW2]],0.01+0.94*Tab.o1[[#This Row],[rW2]]/SUM(Tab.o1[rW2])),"")</f>
        <v/>
      </c>
      <c r="AI739" s="128" t="str">
        <f>IF(Tab.o1[[#This Row],[a1]]=1,1/Tab.o1[[#This Row],[PDF]],"")</f>
        <v/>
      </c>
      <c r="AJ739" s="131" t="str">
        <f>IF(Tab.o1[[#This Row],[a1]]=1,[1]!T_AA[[#This Row],[IN'']]*[1]!T_AA[[#This Row],[Qde'']],"")</f>
        <v/>
      </c>
      <c r="AK739" s="132" t="str">
        <f>IF(Tab.o1[[#This Row],[a1]]=1,IF(AK$1=1,Tab.o1[[#This Row],[MED]]+Tab.o1[[#This Row],[MOD]]-Tab.o1[[#This Row],[MED]],""),"")</f>
        <v/>
      </c>
      <c r="AL739" s="133" t="str">
        <f>IF(Tab.o1[[#This Row],[a1]]=1,[1]!T.in.A[[#This Row],[oo16]],"")</f>
        <v/>
      </c>
      <c r="AM739" s="133" t="str">
        <f>IF(Tab.o1[[#This Row],[a1]]=1,IF(AM$3=1,[1]!T.in.A[[#This Row],[Σo16]],""),"")</f>
        <v/>
      </c>
      <c r="AN739" s="126" t="str">
        <f>IF(Tab.o1[[#This Row],[a1]]=1,[1]!T.in.A[[#This Row],[Σp5]],"")</f>
        <v/>
      </c>
      <c r="AO739" s="126" t="str">
        <f>IF(Tab.o1[[#This Row],[a1]]=1,IF(AO$3=1,[1]!T.in.A[[#This Row],[Σp5]],""),"")</f>
        <v/>
      </c>
      <c r="AP739" s="110" t="str">
        <f>IF(Tab.o1[[#This Row],[a1]]=1,IF(ISNUMBER(Tab.o1[[#This Row],[i.]]),NORMDIST(Tab.o1[[#This Row],[Za]],0,1,FALSE)*Tab.o1[[#This Row],[i.]],0),"")</f>
        <v/>
      </c>
      <c r="AQ739" s="125" t="str">
        <f>IF(Tab.o1[[#This Row],[a1]]=1,ABS(Tab.o1[[#This Row],[MOD]]-AVERAGE(Tab.o1[MOD])),"")</f>
        <v/>
      </c>
      <c r="AR739" s="134" t="str">
        <f>IF(Tab.o1[[#This Row],[a1]]=1,Tab.o1[[#This Row],[OBS]]/SUM(Tab.o1[OBS]),"")</f>
        <v/>
      </c>
      <c r="AS739" s="135" t="str">
        <f>IF(ISNUMBER(Tab.o1[[#This Row],[a1]]),ROW()-4,"")</f>
        <v/>
      </c>
      <c r="AT739" s="136" t="str">
        <f>Tab.o1[[#This Row],[MOD]]</f>
        <v/>
      </c>
      <c r="AU739" s="137" t="str">
        <f t="shared" si="45"/>
        <v/>
      </c>
      <c r="AV739" s="138" t="str">
        <f t="shared" si="46"/>
        <v/>
      </c>
      <c r="AW739" s="138" t="str">
        <f t="shared" si="47"/>
        <v/>
      </c>
      <c r="AX739" s="139" t="str">
        <f>[1]!T.in.A[[#This Row],[ID_T_manu]]</f>
        <v/>
      </c>
      <c r="AY739" s="140" t="str">
        <f>IF(ISNUMBER(Tab.o1[[#This Row],[a1]]),IF(AND(Tab.o1[[#This Row],[a1]]=1,Tab.o1[[#This Row],[b1]]&lt;=AY$4),#REF!,AY738),"")</f>
        <v/>
      </c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6"/>
      <c r="BO739" s="26"/>
      <c r="BP739" s="26"/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26"/>
    </row>
    <row r="740" spans="1:79" s="143" customFormat="1" ht="15.75" hidden="1">
      <c r="A740" s="109">
        <v>1.0000000000000002E-6</v>
      </c>
      <c r="B740" s="110">
        <f t="shared" si="44"/>
        <v>740</v>
      </c>
      <c r="C740" s="111" t="str">
        <f>IF(C$1=[1]!T.in.A[[#This Row],[oo2]],1,"")</f>
        <v/>
      </c>
      <c r="D740" s="112" t="str">
        <f>IF(Tab.o1[[#This Row],[a1]]=1,IF(SUM(C740:C741)=0,0,IF(SUM(C739:C740)=1,1,IF(SUM(C739:C741)&gt;1,D739+1,0))),"")</f>
        <v/>
      </c>
      <c r="E740" s="113" t="str">
        <f>IF(Tab.o1[[#This Row],[a1]]=1,[1]!T.in.A[[#This Row],[oo1]],"")</f>
        <v/>
      </c>
      <c r="F740" s="113" t="str">
        <f>IF(Tab.o1[[#This Row],[a1]]=1,[1]!T.in.A[[#This Row],[pp1]],"")</f>
        <v/>
      </c>
      <c r="G740" s="114" t="str">
        <f>IF(Tab.o1[[#This Row],[a1]]=1,G$2+IF(G$1=1,0,Tab.o1[[#This Row],[.x1]])+[1]!T.in.A[[#This Row],[oo3]],"")</f>
        <v/>
      </c>
      <c r="H740" s="115" t="str">
        <f>IF(Tab.o1[[#This Row],[a1]]=1,IF(H$2=0,0,IF(G$1=1,0,Tab.o1[[#This Row],[.x1]])+[1]!T.in.A[[#This Row],[oo4]]),"")</f>
        <v/>
      </c>
      <c r="I740" s="116" t="str">
        <f>IF(Tab.o1[[#This Row],[a1]]=1,IF(J$2=0,Tab.o1[[#This Row],[MED]],Tab.o1[[#This Row],[MOD]]),"")</f>
        <v/>
      </c>
      <c r="J740" s="116" t="str">
        <f>IF(Tab.o1[[#This Row],[a1]]=1,((Tab.o1[[#This Row],[DIF_Target.]]-AVERAGE(Tab.o1[DIF_Target.]))/_xlfn.STDEV.P(Tab.o1[DIF_Target.])),"")</f>
        <v/>
      </c>
      <c r="K740" s="117" t="str">
        <f>IF(Tab.o1[[#This Row],[a1]]=1,IF(J$2=0,Tab.o1[[#This Row],[MOD]]-Tab.o1[[#This Row],[B]],IF(J$2=1,0,-Tab.o1[[#This Row],[MED]])+Tab.o1[[#This Row],[B]]),"")</f>
        <v/>
      </c>
      <c r="L740" s="117" t="str">
        <f ca="1">IF(Tab.o1[[#This Row],[DIF_Target]]=0,IF(L$2=0,Tab.o1[[#This Row],[DIF_Target]],AVERAGE(OFFSET(Tab.o1[[#This Row],[DIF_Target]],1,0,L$3,1)))/3,Tab.o1[[#This Row],[DIF_Target]])</f>
        <v/>
      </c>
      <c r="M740" s="118" t="str">
        <f>IF(Tab.o1[[#This Row],[a1]]=1,NORMSDIST(Tab.o1[[#This Row],[Za]]),"")</f>
        <v/>
      </c>
      <c r="N740" s="119" t="str">
        <f>IF(Tab.o1[[#This Row],[a1]]=1,((Tab.o1[[#This Row],[MedMod]]-AVERAGE(Tab.o1[MedMod]))/_xlfn.STDEV.P(Tab.o1[MedMod])*H$1205)+G$1205,"")</f>
        <v/>
      </c>
      <c r="O740" s="141" t="str">
        <f>IF(Tab.o1[[#This Row],[a1]]=1,Tab.o1[[#This Row],[Zb]]*_xlfn.STDEV.P(Tab.o1[MedMod])+AVERAGE(Tab.o1[MedMod]),"")</f>
        <v/>
      </c>
      <c r="P740" s="117" t="str">
        <f ca="1">IF(Tab.o1[[#This Row],[B]]=0,AVERAGE(OFFSET(Tab.o1[[#This Row],[B]],1,0,L$3,1)),Tab.o1[[#This Row],[B]])</f>
        <v/>
      </c>
      <c r="Q740" s="121" t="str">
        <f>IF(Tab.o1[[#This Row],[a1]]=1,NORMSDIST(Tab.o1[[#This Row],[Zb]]),"")</f>
        <v/>
      </c>
      <c r="R740" s="122" t="str">
        <f>IF(Tab.o1[[#This Row],[a1]]=1,((Tab.o1[[#This Row],[MedMod]]-AVERAGE(Tab.o1[MedMod]))/_xlfn.STDEV.P(Tab.o1[MedMod])*H$1203)+G$1203,"")</f>
        <v/>
      </c>
      <c r="S740" s="122" t="str">
        <f>IF(Tab.o1[[#This Row],[a1]]=1,((Tab.o1[[#This Row],[MedMod]]-AVERAGE(Tab.o1[MedMod]))/_xlfn.STDEV.P(Tab.o1[MedMod])*H$1204)+G$1204,"")</f>
        <v/>
      </c>
      <c r="T740" s="123" t="str">
        <f>IF(Tab.o1[[#This Row],[a1]]=1,Tab.o1[[#This Row],[Z-]]*_xlfn.STDEV.P(Tab.o1[B])+AVERAGE(Tab.o1[B]),"")</f>
        <v/>
      </c>
      <c r="U740" s="123" t="str">
        <f>IF(Tab.o1[[#This Row],[a1]]=1,Tab.o1[[#This Row],[z+]]*_xlfn.STDEV.P(Tab.o1[B])+AVERAGE(Tab.o1[B]),"")</f>
        <v/>
      </c>
      <c r="V740" s="124" t="str">
        <f>IF(Tab.o1[[#This Row],[a1]]=1,ABS((ABS(Tab.o1[[#This Row],[Red]]-Tab.o1[[#This Row],[Blue]]))),"")</f>
        <v/>
      </c>
      <c r="W740" s="125" t="str">
        <f>IF(Tab.o1[[#This Row],[a1]]=1,IF(W$3=0,1,Tab.o1[[#This Row],[Amp.]]*1/_xlfn.MINIFS(Tab.o1[Amp.],Tab.o1[Amp.],"&lt;&gt;0")),"")</f>
        <v/>
      </c>
      <c r="X740" s="126" t="str">
        <f>IF(Tab.o1[[#This Row],[a1]]=1,IF(ISNUMBER(Tab.o1[[#This Row],[i.]]),NORMDIST(Tab.o1[[#This Row],[Za]],0,1,FALSE)*Tab.o1[[#This Row],[i.]],AP$3),"")</f>
        <v/>
      </c>
      <c r="Y740" s="126" t="str">
        <f>IF(Tab.o1[[#This Row],[a1]]=1,0.01+0.94*Tab.o1[[#This Row],[PDF]]/MAX(Tab.o1[PDF]),"")</f>
        <v/>
      </c>
      <c r="Z740" s="126" t="str">
        <f>IF(Tab.o1[[#This Row],[a1]]=1,0.01+0.94*Tab.o1[[#This Row],[W1_PDF]]/MAX(Tab.o1[W1_PDF]),"")</f>
        <v/>
      </c>
      <c r="AA740" s="118" t="str">
        <f>IF(Tab.o1[[#This Row],[a1]]=1,ABS([1]!T.in.A[[#This Row],[oo6]]),"")</f>
        <v/>
      </c>
      <c r="AB740" s="127" t="str">
        <f>IF(Tab.o1[[#This Row],[a1]]=1,IF(AE$3=0,"",IF(AB$3=0,ABS([1]!T.in.A[[#This Row],[oo9]]),ABS(Tab.o1[[#This Row],[DIF_Target.]]*Tab.o1[[#This Row],[W1_PDF]]))),"")</f>
        <v/>
      </c>
      <c r="AC740" s="127" t="str">
        <f>IF(G$1=1,"",IF(Tab.o1[[#This Row],[a1]]=1,Tab.o1[[#This Row],[Wr]]^2,""))</f>
        <v/>
      </c>
      <c r="AD740" s="118" t="str">
        <f>IF(Tab.o1[[#This Row],[a1]]=1,IF(AE$3=0,"",Tab.o1[[#This Row],[Wr2]]/SUM(Tab.o1[Wr2])),"")</f>
        <v/>
      </c>
      <c r="AE740" s="128" t="str">
        <f>IF(Tab.o1[[#This Row],[a1]]=1,[1]!T.in.A[[#This Row],[oo10]],"")</f>
        <v/>
      </c>
      <c r="AF740" s="118" t="str">
        <f>IF(Tab.o1[[#This Row],[a1]]=1,ABS(Tab.o1[[#This Row],[DIF_Target.]]*Tab.o1[[#This Row],[PDF2]]*Tab.o1[[#This Row],[IN]]),"")</f>
        <v/>
      </c>
      <c r="AG740" s="129" t="str">
        <f>IF(Tab.o1[[#This Row],[a1]]=1,Tab.o1[[#This Row],[rW]]^2,"")</f>
        <v/>
      </c>
      <c r="AH740" s="130" t="str">
        <f>IF(Tab.o1[[#This Row],[a1]]=1,IF(AH$3=0,Tab.o1[[#This Row],[rW2]],0.01+0.94*Tab.o1[[#This Row],[rW2]]/SUM(Tab.o1[rW2])),"")</f>
        <v/>
      </c>
      <c r="AI740" s="128" t="str">
        <f>IF(Tab.o1[[#This Row],[a1]]=1,1/Tab.o1[[#This Row],[PDF]],"")</f>
        <v/>
      </c>
      <c r="AJ740" s="131" t="str">
        <f>IF(Tab.o1[[#This Row],[a1]]=1,[1]!T_AA[[#This Row],[IN'']]*[1]!T_AA[[#This Row],[Qde'']],"")</f>
        <v/>
      </c>
      <c r="AK740" s="132" t="str">
        <f>IF(Tab.o1[[#This Row],[a1]]=1,IF(AK$1=1,Tab.o1[[#This Row],[MED]]+Tab.o1[[#This Row],[MOD]]-Tab.o1[[#This Row],[MED]],""),"")</f>
        <v/>
      </c>
      <c r="AL740" s="133" t="str">
        <f>IF(Tab.o1[[#This Row],[a1]]=1,[1]!T.in.A[[#This Row],[oo16]],"")</f>
        <v/>
      </c>
      <c r="AM740" s="133" t="str">
        <f>IF(Tab.o1[[#This Row],[a1]]=1,IF(AM$3=1,[1]!T.in.A[[#This Row],[Σo16]],""),"")</f>
        <v/>
      </c>
      <c r="AN740" s="126" t="str">
        <f>IF(Tab.o1[[#This Row],[a1]]=1,[1]!T.in.A[[#This Row],[Σp5]],"")</f>
        <v/>
      </c>
      <c r="AO740" s="126" t="str">
        <f>IF(Tab.o1[[#This Row],[a1]]=1,IF(AO$3=1,[1]!T.in.A[[#This Row],[Σp5]],""),"")</f>
        <v/>
      </c>
      <c r="AP740" s="110" t="str">
        <f>IF(Tab.o1[[#This Row],[a1]]=1,IF(ISNUMBER(Tab.o1[[#This Row],[i.]]),NORMDIST(Tab.o1[[#This Row],[Za]],0,1,FALSE)*Tab.o1[[#This Row],[i.]],0),"")</f>
        <v/>
      </c>
      <c r="AQ740" s="125" t="str">
        <f>IF(Tab.o1[[#This Row],[a1]]=1,ABS(Tab.o1[[#This Row],[MOD]]-AVERAGE(Tab.o1[MOD])),"")</f>
        <v/>
      </c>
      <c r="AR740" s="134" t="str">
        <f>IF(Tab.o1[[#This Row],[a1]]=1,Tab.o1[[#This Row],[OBS]]/SUM(Tab.o1[OBS]),"")</f>
        <v/>
      </c>
      <c r="AS740" s="135" t="str">
        <f>IF(ISNUMBER(Tab.o1[[#This Row],[a1]]),ROW()-4,"")</f>
        <v/>
      </c>
      <c r="AT740" s="136" t="str">
        <f>Tab.o1[[#This Row],[MOD]]</f>
        <v/>
      </c>
      <c r="AU740" s="137" t="str">
        <f t="shared" si="45"/>
        <v/>
      </c>
      <c r="AV740" s="138" t="str">
        <f t="shared" si="46"/>
        <v/>
      </c>
      <c r="AW740" s="138" t="str">
        <f t="shared" si="47"/>
        <v/>
      </c>
      <c r="AX740" s="139" t="str">
        <f>[1]!T.in.A[[#This Row],[ID_T_manu]]</f>
        <v/>
      </c>
      <c r="AY740" s="140" t="str">
        <f>IF(ISNUMBER(Tab.o1[[#This Row],[a1]]),IF(AND(Tab.o1[[#This Row],[a1]]=1,Tab.o1[[#This Row],[b1]]&lt;=AY$4),#REF!,AY739),"")</f>
        <v/>
      </c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6"/>
      <c r="BO740" s="26"/>
      <c r="BP740" s="26"/>
      <c r="BQ740" s="26"/>
      <c r="BR740" s="26"/>
      <c r="BS740" s="26"/>
      <c r="BT740" s="26"/>
      <c r="BU740" s="26"/>
      <c r="BV740" s="26"/>
      <c r="BW740" s="26"/>
      <c r="BX740" s="26"/>
      <c r="BY740" s="26"/>
      <c r="BZ740" s="26"/>
      <c r="CA740" s="26"/>
    </row>
    <row r="741" spans="1:79" s="143" customFormat="1" ht="15.75" hidden="1">
      <c r="A741" s="109">
        <v>8.0000000000000013E-6</v>
      </c>
      <c r="B741" s="110">
        <f t="shared" si="44"/>
        <v>741</v>
      </c>
      <c r="C741" s="111" t="str">
        <f>IF(C$1=[1]!T.in.A[[#This Row],[oo2]],1,"")</f>
        <v/>
      </c>
      <c r="D741" s="112" t="str">
        <f>IF(Tab.o1[[#This Row],[a1]]=1,IF(SUM(C741:C742)=0,0,IF(SUM(C740:C741)=1,1,IF(SUM(C740:C742)&gt;1,D740+1,0))),"")</f>
        <v/>
      </c>
      <c r="E741" s="113" t="str">
        <f>IF(Tab.o1[[#This Row],[a1]]=1,[1]!T.in.A[[#This Row],[oo1]],"")</f>
        <v/>
      </c>
      <c r="F741" s="113" t="str">
        <f>IF(Tab.o1[[#This Row],[a1]]=1,[1]!T.in.A[[#This Row],[pp1]],"")</f>
        <v/>
      </c>
      <c r="G741" s="114" t="str">
        <f>IF(Tab.o1[[#This Row],[a1]]=1,G$2+IF(G$1=1,0,Tab.o1[[#This Row],[.x1]])+[1]!T.in.A[[#This Row],[oo3]],"")</f>
        <v/>
      </c>
      <c r="H741" s="115" t="str">
        <f>IF(Tab.o1[[#This Row],[a1]]=1,IF(H$2=0,0,IF(G$1=1,0,Tab.o1[[#This Row],[.x1]])+[1]!T.in.A[[#This Row],[oo4]]),"")</f>
        <v/>
      </c>
      <c r="I741" s="116" t="str">
        <f>IF(Tab.o1[[#This Row],[a1]]=1,IF(J$2=0,Tab.o1[[#This Row],[MED]],Tab.o1[[#This Row],[MOD]]),"")</f>
        <v/>
      </c>
      <c r="J741" s="116" t="str">
        <f>IF(Tab.o1[[#This Row],[a1]]=1,((Tab.o1[[#This Row],[DIF_Target.]]-AVERAGE(Tab.o1[DIF_Target.]))/_xlfn.STDEV.P(Tab.o1[DIF_Target.])),"")</f>
        <v/>
      </c>
      <c r="K741" s="117" t="str">
        <f>IF(Tab.o1[[#This Row],[a1]]=1,IF(J$2=0,Tab.o1[[#This Row],[MOD]]-Tab.o1[[#This Row],[B]],IF(J$2=1,0,-Tab.o1[[#This Row],[MED]])+Tab.o1[[#This Row],[B]]),"")</f>
        <v/>
      </c>
      <c r="L741" s="117" t="str">
        <f ca="1">IF(Tab.o1[[#This Row],[DIF_Target]]=0,IF(L$2=0,Tab.o1[[#This Row],[DIF_Target]],AVERAGE(OFFSET(Tab.o1[[#This Row],[DIF_Target]],1,0,L$3,1)))/3,Tab.o1[[#This Row],[DIF_Target]])</f>
        <v/>
      </c>
      <c r="M741" s="118" t="str">
        <f>IF(Tab.o1[[#This Row],[a1]]=1,NORMSDIST(Tab.o1[[#This Row],[Za]]),"")</f>
        <v/>
      </c>
      <c r="N741" s="119" t="str">
        <f>IF(Tab.o1[[#This Row],[a1]]=1,((Tab.o1[[#This Row],[MedMod]]-AVERAGE(Tab.o1[MedMod]))/_xlfn.STDEV.P(Tab.o1[MedMod])*H$1205)+G$1205,"")</f>
        <v/>
      </c>
      <c r="O741" s="141" t="str">
        <f>IF(Tab.o1[[#This Row],[a1]]=1,Tab.o1[[#This Row],[Zb]]*_xlfn.STDEV.P(Tab.o1[MedMod])+AVERAGE(Tab.o1[MedMod]),"")</f>
        <v/>
      </c>
      <c r="P741" s="117" t="str">
        <f ca="1">IF(Tab.o1[[#This Row],[B]]=0,AVERAGE(OFFSET(Tab.o1[[#This Row],[B]],1,0,L$3,1)),Tab.o1[[#This Row],[B]])</f>
        <v/>
      </c>
      <c r="Q741" s="121" t="str">
        <f>IF(Tab.o1[[#This Row],[a1]]=1,NORMSDIST(Tab.o1[[#This Row],[Zb]]),"")</f>
        <v/>
      </c>
      <c r="R741" s="122" t="str">
        <f>IF(Tab.o1[[#This Row],[a1]]=1,((Tab.o1[[#This Row],[MedMod]]-AVERAGE(Tab.o1[MedMod]))/_xlfn.STDEV.P(Tab.o1[MedMod])*H$1203)+G$1203,"")</f>
        <v/>
      </c>
      <c r="S741" s="122" t="str">
        <f>IF(Tab.o1[[#This Row],[a1]]=1,((Tab.o1[[#This Row],[MedMod]]-AVERAGE(Tab.o1[MedMod]))/_xlfn.STDEV.P(Tab.o1[MedMod])*H$1204)+G$1204,"")</f>
        <v/>
      </c>
      <c r="T741" s="123" t="str">
        <f>IF(Tab.o1[[#This Row],[a1]]=1,Tab.o1[[#This Row],[Z-]]*_xlfn.STDEV.P(Tab.o1[B])+AVERAGE(Tab.o1[B]),"")</f>
        <v/>
      </c>
      <c r="U741" s="123" t="str">
        <f>IF(Tab.o1[[#This Row],[a1]]=1,Tab.o1[[#This Row],[z+]]*_xlfn.STDEV.P(Tab.o1[B])+AVERAGE(Tab.o1[B]),"")</f>
        <v/>
      </c>
      <c r="V741" s="124" t="str">
        <f>IF(Tab.o1[[#This Row],[a1]]=1,ABS((ABS(Tab.o1[[#This Row],[Red]]-Tab.o1[[#This Row],[Blue]]))),"")</f>
        <v/>
      </c>
      <c r="W741" s="125" t="str">
        <f>IF(Tab.o1[[#This Row],[a1]]=1,IF(W$3=0,1,Tab.o1[[#This Row],[Amp.]]*1/_xlfn.MINIFS(Tab.o1[Amp.],Tab.o1[Amp.],"&lt;&gt;0")),"")</f>
        <v/>
      </c>
      <c r="X741" s="126" t="str">
        <f>IF(Tab.o1[[#This Row],[a1]]=1,IF(ISNUMBER(Tab.o1[[#This Row],[i.]]),NORMDIST(Tab.o1[[#This Row],[Za]],0,1,FALSE)*Tab.o1[[#This Row],[i.]],AP$3),"")</f>
        <v/>
      </c>
      <c r="Y741" s="126" t="str">
        <f>IF(Tab.o1[[#This Row],[a1]]=1,0.01+0.94*Tab.o1[[#This Row],[PDF]]/MAX(Tab.o1[PDF]),"")</f>
        <v/>
      </c>
      <c r="Z741" s="126" t="str">
        <f>IF(Tab.o1[[#This Row],[a1]]=1,0.01+0.94*Tab.o1[[#This Row],[W1_PDF]]/MAX(Tab.o1[W1_PDF]),"")</f>
        <v/>
      </c>
      <c r="AA741" s="118" t="str">
        <f>IF(Tab.o1[[#This Row],[a1]]=1,ABS([1]!T.in.A[[#This Row],[oo6]]),"")</f>
        <v/>
      </c>
      <c r="AB741" s="127" t="str">
        <f>IF(Tab.o1[[#This Row],[a1]]=1,IF(AE$3=0,"",IF(AB$3=0,ABS([1]!T.in.A[[#This Row],[oo9]]),ABS(Tab.o1[[#This Row],[DIF_Target.]]*Tab.o1[[#This Row],[W1_PDF]]))),"")</f>
        <v/>
      </c>
      <c r="AC741" s="127" t="str">
        <f>IF(G$1=1,"",IF(Tab.o1[[#This Row],[a1]]=1,Tab.o1[[#This Row],[Wr]]^2,""))</f>
        <v/>
      </c>
      <c r="AD741" s="118" t="str">
        <f>IF(Tab.o1[[#This Row],[a1]]=1,IF(AE$3=0,"",Tab.o1[[#This Row],[Wr2]]/SUM(Tab.o1[Wr2])),"")</f>
        <v/>
      </c>
      <c r="AE741" s="128" t="str">
        <f>IF(Tab.o1[[#This Row],[a1]]=1,[1]!T.in.A[[#This Row],[oo10]],"")</f>
        <v/>
      </c>
      <c r="AF741" s="118" t="str">
        <f>IF(Tab.o1[[#This Row],[a1]]=1,ABS(Tab.o1[[#This Row],[DIF_Target.]]*Tab.o1[[#This Row],[PDF2]]*Tab.o1[[#This Row],[IN]]),"")</f>
        <v/>
      </c>
      <c r="AG741" s="129" t="str">
        <f>IF(Tab.o1[[#This Row],[a1]]=1,Tab.o1[[#This Row],[rW]]^2,"")</f>
        <v/>
      </c>
      <c r="AH741" s="130" t="str">
        <f>IF(Tab.o1[[#This Row],[a1]]=1,IF(AH$3=0,Tab.o1[[#This Row],[rW2]],0.01+0.94*Tab.o1[[#This Row],[rW2]]/SUM(Tab.o1[rW2])),"")</f>
        <v/>
      </c>
      <c r="AI741" s="128" t="str">
        <f>IF(Tab.o1[[#This Row],[a1]]=1,1/Tab.o1[[#This Row],[PDF]],"")</f>
        <v/>
      </c>
      <c r="AJ741" s="131" t="str">
        <f>IF(Tab.o1[[#This Row],[a1]]=1,[1]!T_AA[[#This Row],[IN'']]*[1]!T_AA[[#This Row],[Qde'']],"")</f>
        <v/>
      </c>
      <c r="AK741" s="132" t="str">
        <f>IF(Tab.o1[[#This Row],[a1]]=1,IF(AK$1=1,Tab.o1[[#This Row],[MED]]+Tab.o1[[#This Row],[MOD]]-Tab.o1[[#This Row],[MED]],""),"")</f>
        <v/>
      </c>
      <c r="AL741" s="133" t="str">
        <f>IF(Tab.o1[[#This Row],[a1]]=1,[1]!T.in.A[[#This Row],[oo16]],"")</f>
        <v/>
      </c>
      <c r="AM741" s="133" t="str">
        <f>IF(Tab.o1[[#This Row],[a1]]=1,IF(AM$3=1,[1]!T.in.A[[#This Row],[Σo16]],""),"")</f>
        <v/>
      </c>
      <c r="AN741" s="126" t="str">
        <f>IF(Tab.o1[[#This Row],[a1]]=1,[1]!T.in.A[[#This Row],[Σp5]],"")</f>
        <v/>
      </c>
      <c r="AO741" s="126" t="str">
        <f>IF(Tab.o1[[#This Row],[a1]]=1,IF(AO$3=1,[1]!T.in.A[[#This Row],[Σp5]],""),"")</f>
        <v/>
      </c>
      <c r="AP741" s="110" t="str">
        <f>IF(Tab.o1[[#This Row],[a1]]=1,IF(ISNUMBER(Tab.o1[[#This Row],[i.]]),NORMDIST(Tab.o1[[#This Row],[Za]],0,1,FALSE)*Tab.o1[[#This Row],[i.]],0),"")</f>
        <v/>
      </c>
      <c r="AQ741" s="125" t="str">
        <f>IF(Tab.o1[[#This Row],[a1]]=1,ABS(Tab.o1[[#This Row],[MOD]]-AVERAGE(Tab.o1[MOD])),"")</f>
        <v/>
      </c>
      <c r="AR741" s="134" t="str">
        <f>IF(Tab.o1[[#This Row],[a1]]=1,Tab.o1[[#This Row],[OBS]]/SUM(Tab.o1[OBS]),"")</f>
        <v/>
      </c>
      <c r="AS741" s="135" t="str">
        <f>IF(ISNUMBER(Tab.o1[[#This Row],[a1]]),ROW()-4,"")</f>
        <v/>
      </c>
      <c r="AT741" s="136" t="str">
        <f>Tab.o1[[#This Row],[MOD]]</f>
        <v/>
      </c>
      <c r="AU741" s="137" t="str">
        <f t="shared" si="45"/>
        <v/>
      </c>
      <c r="AV741" s="138" t="str">
        <f t="shared" si="46"/>
        <v/>
      </c>
      <c r="AW741" s="138" t="str">
        <f t="shared" si="47"/>
        <v/>
      </c>
      <c r="AX741" s="139" t="str">
        <f>[1]!T.in.A[[#This Row],[ID_T_manu]]</f>
        <v/>
      </c>
      <c r="AY741" s="140" t="str">
        <f>IF(ISNUMBER(Tab.o1[[#This Row],[a1]]),IF(AND(Tab.o1[[#This Row],[a1]]=1,Tab.o1[[#This Row],[b1]]&lt;=AY$4),#REF!,AY740),"")</f>
        <v/>
      </c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26"/>
    </row>
    <row r="742" spans="1:79" s="143" customFormat="1" ht="15.75" hidden="1">
      <c r="A742" s="109">
        <v>-4.0000000000000007E-6</v>
      </c>
      <c r="B742" s="110">
        <f t="shared" si="44"/>
        <v>742</v>
      </c>
      <c r="C742" s="111" t="str">
        <f>IF(C$1=[1]!T.in.A[[#This Row],[oo2]],1,"")</f>
        <v/>
      </c>
      <c r="D742" s="112" t="str">
        <f>IF(Tab.o1[[#This Row],[a1]]=1,IF(SUM(C742:C743)=0,0,IF(SUM(C741:C742)=1,1,IF(SUM(C741:C743)&gt;1,D741+1,0))),"")</f>
        <v/>
      </c>
      <c r="E742" s="113" t="str">
        <f>IF(Tab.o1[[#This Row],[a1]]=1,[1]!T.in.A[[#This Row],[oo1]],"")</f>
        <v/>
      </c>
      <c r="F742" s="113" t="str">
        <f>IF(Tab.o1[[#This Row],[a1]]=1,[1]!T.in.A[[#This Row],[pp1]],"")</f>
        <v/>
      </c>
      <c r="G742" s="114" t="str">
        <f>IF(Tab.o1[[#This Row],[a1]]=1,G$2+IF(G$1=1,0,Tab.o1[[#This Row],[.x1]])+[1]!T.in.A[[#This Row],[oo3]],"")</f>
        <v/>
      </c>
      <c r="H742" s="115" t="str">
        <f>IF(Tab.o1[[#This Row],[a1]]=1,IF(H$2=0,0,IF(G$1=1,0,Tab.o1[[#This Row],[.x1]])+[1]!T.in.A[[#This Row],[oo4]]),"")</f>
        <v/>
      </c>
      <c r="I742" s="116" t="str">
        <f>IF(Tab.o1[[#This Row],[a1]]=1,IF(J$2=0,Tab.o1[[#This Row],[MED]],Tab.o1[[#This Row],[MOD]]),"")</f>
        <v/>
      </c>
      <c r="J742" s="116" t="str">
        <f>IF(Tab.o1[[#This Row],[a1]]=1,((Tab.o1[[#This Row],[DIF_Target.]]-AVERAGE(Tab.o1[DIF_Target.]))/_xlfn.STDEV.P(Tab.o1[DIF_Target.])),"")</f>
        <v/>
      </c>
      <c r="K742" s="117" t="str">
        <f>IF(Tab.o1[[#This Row],[a1]]=1,IF(J$2=0,Tab.o1[[#This Row],[MOD]]-Tab.o1[[#This Row],[B]],IF(J$2=1,0,-Tab.o1[[#This Row],[MED]])+Tab.o1[[#This Row],[B]]),"")</f>
        <v/>
      </c>
      <c r="L742" s="117" t="str">
        <f ca="1">IF(Tab.o1[[#This Row],[DIF_Target]]=0,IF(L$2=0,Tab.o1[[#This Row],[DIF_Target]],AVERAGE(OFFSET(Tab.o1[[#This Row],[DIF_Target]],1,0,L$3,1)))/3,Tab.o1[[#This Row],[DIF_Target]])</f>
        <v/>
      </c>
      <c r="M742" s="118" t="str">
        <f>IF(Tab.o1[[#This Row],[a1]]=1,NORMSDIST(Tab.o1[[#This Row],[Za]]),"")</f>
        <v/>
      </c>
      <c r="N742" s="119" t="str">
        <f>IF(Tab.o1[[#This Row],[a1]]=1,((Tab.o1[[#This Row],[MedMod]]-AVERAGE(Tab.o1[MedMod]))/_xlfn.STDEV.P(Tab.o1[MedMod])*H$1205)+G$1205,"")</f>
        <v/>
      </c>
      <c r="O742" s="141" t="str">
        <f>IF(Tab.o1[[#This Row],[a1]]=1,Tab.o1[[#This Row],[Zb]]*_xlfn.STDEV.P(Tab.o1[MedMod])+AVERAGE(Tab.o1[MedMod]),"")</f>
        <v/>
      </c>
      <c r="P742" s="117" t="str">
        <f ca="1">IF(Tab.o1[[#This Row],[B]]=0,AVERAGE(OFFSET(Tab.o1[[#This Row],[B]],1,0,L$3,1)),Tab.o1[[#This Row],[B]])</f>
        <v/>
      </c>
      <c r="Q742" s="121" t="str">
        <f>IF(Tab.o1[[#This Row],[a1]]=1,NORMSDIST(Tab.o1[[#This Row],[Zb]]),"")</f>
        <v/>
      </c>
      <c r="R742" s="122" t="str">
        <f>IF(Tab.o1[[#This Row],[a1]]=1,((Tab.o1[[#This Row],[MedMod]]-AVERAGE(Tab.o1[MedMod]))/_xlfn.STDEV.P(Tab.o1[MedMod])*H$1203)+G$1203,"")</f>
        <v/>
      </c>
      <c r="S742" s="122" t="str">
        <f>IF(Tab.o1[[#This Row],[a1]]=1,((Tab.o1[[#This Row],[MedMod]]-AVERAGE(Tab.o1[MedMod]))/_xlfn.STDEV.P(Tab.o1[MedMod])*H$1204)+G$1204,"")</f>
        <v/>
      </c>
      <c r="T742" s="123" t="str">
        <f>IF(Tab.o1[[#This Row],[a1]]=1,Tab.o1[[#This Row],[Z-]]*_xlfn.STDEV.P(Tab.o1[B])+AVERAGE(Tab.o1[B]),"")</f>
        <v/>
      </c>
      <c r="U742" s="123" t="str">
        <f>IF(Tab.o1[[#This Row],[a1]]=1,Tab.o1[[#This Row],[z+]]*_xlfn.STDEV.P(Tab.o1[B])+AVERAGE(Tab.o1[B]),"")</f>
        <v/>
      </c>
      <c r="V742" s="124" t="str">
        <f>IF(Tab.o1[[#This Row],[a1]]=1,ABS((ABS(Tab.o1[[#This Row],[Red]]-Tab.o1[[#This Row],[Blue]]))),"")</f>
        <v/>
      </c>
      <c r="W742" s="125" t="str">
        <f>IF(Tab.o1[[#This Row],[a1]]=1,IF(W$3=0,1,Tab.o1[[#This Row],[Amp.]]*1/_xlfn.MINIFS(Tab.o1[Amp.],Tab.o1[Amp.],"&lt;&gt;0")),"")</f>
        <v/>
      </c>
      <c r="X742" s="126" t="str">
        <f>IF(Tab.o1[[#This Row],[a1]]=1,IF(ISNUMBER(Tab.o1[[#This Row],[i.]]),NORMDIST(Tab.o1[[#This Row],[Za]],0,1,FALSE)*Tab.o1[[#This Row],[i.]],AP$3),"")</f>
        <v/>
      </c>
      <c r="Y742" s="126" t="str">
        <f>IF(Tab.o1[[#This Row],[a1]]=1,0.01+0.94*Tab.o1[[#This Row],[PDF]]/MAX(Tab.o1[PDF]),"")</f>
        <v/>
      </c>
      <c r="Z742" s="126" t="str">
        <f>IF(Tab.o1[[#This Row],[a1]]=1,0.01+0.94*Tab.o1[[#This Row],[W1_PDF]]/MAX(Tab.o1[W1_PDF]),"")</f>
        <v/>
      </c>
      <c r="AA742" s="118" t="str">
        <f>IF(Tab.o1[[#This Row],[a1]]=1,ABS([1]!T.in.A[[#This Row],[oo6]]),"")</f>
        <v/>
      </c>
      <c r="AB742" s="127" t="str">
        <f>IF(Tab.o1[[#This Row],[a1]]=1,IF(AE$3=0,"",IF(AB$3=0,ABS([1]!T.in.A[[#This Row],[oo9]]),ABS(Tab.o1[[#This Row],[DIF_Target.]]*Tab.o1[[#This Row],[W1_PDF]]))),"")</f>
        <v/>
      </c>
      <c r="AC742" s="127" t="str">
        <f>IF(G$1=1,"",IF(Tab.o1[[#This Row],[a1]]=1,Tab.o1[[#This Row],[Wr]]^2,""))</f>
        <v/>
      </c>
      <c r="AD742" s="118" t="str">
        <f>IF(Tab.o1[[#This Row],[a1]]=1,IF(AE$3=0,"",Tab.o1[[#This Row],[Wr2]]/SUM(Tab.o1[Wr2])),"")</f>
        <v/>
      </c>
      <c r="AE742" s="128" t="str">
        <f>IF(Tab.o1[[#This Row],[a1]]=1,[1]!T.in.A[[#This Row],[oo10]],"")</f>
        <v/>
      </c>
      <c r="AF742" s="118" t="str">
        <f>IF(Tab.o1[[#This Row],[a1]]=1,ABS(Tab.o1[[#This Row],[DIF_Target.]]*Tab.o1[[#This Row],[PDF2]]*Tab.o1[[#This Row],[IN]]),"")</f>
        <v/>
      </c>
      <c r="AG742" s="129" t="str">
        <f>IF(Tab.o1[[#This Row],[a1]]=1,Tab.o1[[#This Row],[rW]]^2,"")</f>
        <v/>
      </c>
      <c r="AH742" s="130" t="str">
        <f>IF(Tab.o1[[#This Row],[a1]]=1,IF(AH$3=0,Tab.o1[[#This Row],[rW2]],0.01+0.94*Tab.o1[[#This Row],[rW2]]/SUM(Tab.o1[rW2])),"")</f>
        <v/>
      </c>
      <c r="AI742" s="128" t="str">
        <f>IF(Tab.o1[[#This Row],[a1]]=1,1/Tab.o1[[#This Row],[PDF]],"")</f>
        <v/>
      </c>
      <c r="AJ742" s="131" t="str">
        <f>IF(Tab.o1[[#This Row],[a1]]=1,[1]!T_AA[[#This Row],[IN'']]*[1]!T_AA[[#This Row],[Qde'']],"")</f>
        <v/>
      </c>
      <c r="AK742" s="132" t="str">
        <f>IF(Tab.o1[[#This Row],[a1]]=1,IF(AK$1=1,Tab.o1[[#This Row],[MED]]+Tab.o1[[#This Row],[MOD]]-Tab.o1[[#This Row],[MED]],""),"")</f>
        <v/>
      </c>
      <c r="AL742" s="133" t="str">
        <f>IF(Tab.o1[[#This Row],[a1]]=1,[1]!T.in.A[[#This Row],[oo16]],"")</f>
        <v/>
      </c>
      <c r="AM742" s="133" t="str">
        <f>IF(Tab.o1[[#This Row],[a1]]=1,IF(AM$3=1,[1]!T.in.A[[#This Row],[Σo16]],""),"")</f>
        <v/>
      </c>
      <c r="AN742" s="126" t="str">
        <f>IF(Tab.o1[[#This Row],[a1]]=1,[1]!T.in.A[[#This Row],[Σp5]],"")</f>
        <v/>
      </c>
      <c r="AO742" s="126" t="str">
        <f>IF(Tab.o1[[#This Row],[a1]]=1,IF(AO$3=1,[1]!T.in.A[[#This Row],[Σp5]],""),"")</f>
        <v/>
      </c>
      <c r="AP742" s="110" t="str">
        <f>IF(Tab.o1[[#This Row],[a1]]=1,IF(ISNUMBER(Tab.o1[[#This Row],[i.]]),NORMDIST(Tab.o1[[#This Row],[Za]],0,1,FALSE)*Tab.o1[[#This Row],[i.]],0),"")</f>
        <v/>
      </c>
      <c r="AQ742" s="125" t="str">
        <f>IF(Tab.o1[[#This Row],[a1]]=1,ABS(Tab.o1[[#This Row],[MOD]]-AVERAGE(Tab.o1[MOD])),"")</f>
        <v/>
      </c>
      <c r="AR742" s="134" t="str">
        <f>IF(Tab.o1[[#This Row],[a1]]=1,Tab.o1[[#This Row],[OBS]]/SUM(Tab.o1[OBS]),"")</f>
        <v/>
      </c>
      <c r="AS742" s="135" t="str">
        <f>IF(ISNUMBER(Tab.o1[[#This Row],[a1]]),ROW()-4,"")</f>
        <v/>
      </c>
      <c r="AT742" s="136" t="str">
        <f>Tab.o1[[#This Row],[MOD]]</f>
        <v/>
      </c>
      <c r="AU742" s="137" t="str">
        <f t="shared" si="45"/>
        <v/>
      </c>
      <c r="AV742" s="138" t="str">
        <f t="shared" si="46"/>
        <v/>
      </c>
      <c r="AW742" s="138" t="str">
        <f t="shared" si="47"/>
        <v/>
      </c>
      <c r="AX742" s="139" t="str">
        <f>[1]!T.in.A[[#This Row],[ID_T_manu]]</f>
        <v/>
      </c>
      <c r="AY742" s="140" t="str">
        <f>IF(ISNUMBER(Tab.o1[[#This Row],[a1]]),IF(AND(Tab.o1[[#This Row],[a1]]=1,Tab.o1[[#This Row],[b1]]&lt;=AY$4),#REF!,AY741),"")</f>
        <v/>
      </c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6"/>
      <c r="BO742" s="26"/>
      <c r="BP742" s="26"/>
      <c r="BQ742" s="26"/>
      <c r="BR742" s="26"/>
      <c r="BS742" s="26"/>
      <c r="BT742" s="26"/>
      <c r="BU742" s="26"/>
      <c r="BV742" s="26"/>
      <c r="BW742" s="26"/>
      <c r="BX742" s="26"/>
      <c r="BY742" s="26"/>
      <c r="BZ742" s="26"/>
      <c r="CA742" s="26"/>
    </row>
    <row r="743" spans="1:79" s="143" customFormat="1" ht="15.75" hidden="1">
      <c r="A743" s="109">
        <v>9.0000000000000002E-6</v>
      </c>
      <c r="B743" s="110">
        <f t="shared" si="44"/>
        <v>743</v>
      </c>
      <c r="C743" s="111" t="str">
        <f>IF(C$1=[1]!T.in.A[[#This Row],[oo2]],1,"")</f>
        <v/>
      </c>
      <c r="D743" s="112" t="str">
        <f>IF(Tab.o1[[#This Row],[a1]]=1,IF(SUM(C743:C744)=0,0,IF(SUM(C742:C743)=1,1,IF(SUM(C742:C744)&gt;1,D742+1,0))),"")</f>
        <v/>
      </c>
      <c r="E743" s="113" t="str">
        <f>IF(Tab.o1[[#This Row],[a1]]=1,[1]!T.in.A[[#This Row],[oo1]],"")</f>
        <v/>
      </c>
      <c r="F743" s="113" t="str">
        <f>IF(Tab.o1[[#This Row],[a1]]=1,[1]!T.in.A[[#This Row],[pp1]],"")</f>
        <v/>
      </c>
      <c r="G743" s="114" t="str">
        <f>IF(Tab.o1[[#This Row],[a1]]=1,G$2+IF(G$1=1,0,Tab.o1[[#This Row],[.x1]])+[1]!T.in.A[[#This Row],[oo3]],"")</f>
        <v/>
      </c>
      <c r="H743" s="115" t="str">
        <f>IF(Tab.o1[[#This Row],[a1]]=1,IF(H$2=0,0,IF(G$1=1,0,Tab.o1[[#This Row],[.x1]])+[1]!T.in.A[[#This Row],[oo4]]),"")</f>
        <v/>
      </c>
      <c r="I743" s="116" t="str">
        <f>IF(Tab.o1[[#This Row],[a1]]=1,IF(J$2=0,Tab.o1[[#This Row],[MED]],Tab.o1[[#This Row],[MOD]]),"")</f>
        <v/>
      </c>
      <c r="J743" s="116" t="str">
        <f>IF(Tab.o1[[#This Row],[a1]]=1,((Tab.o1[[#This Row],[DIF_Target.]]-AVERAGE(Tab.o1[DIF_Target.]))/_xlfn.STDEV.P(Tab.o1[DIF_Target.])),"")</f>
        <v/>
      </c>
      <c r="K743" s="117" t="str">
        <f>IF(Tab.o1[[#This Row],[a1]]=1,IF(J$2=0,Tab.o1[[#This Row],[MOD]]-Tab.o1[[#This Row],[B]],IF(J$2=1,0,-Tab.o1[[#This Row],[MED]])+Tab.o1[[#This Row],[B]]),"")</f>
        <v/>
      </c>
      <c r="L743" s="117" t="str">
        <f ca="1">IF(Tab.o1[[#This Row],[DIF_Target]]=0,IF(L$2=0,Tab.o1[[#This Row],[DIF_Target]],AVERAGE(OFFSET(Tab.o1[[#This Row],[DIF_Target]],1,0,L$3,1)))/3,Tab.o1[[#This Row],[DIF_Target]])</f>
        <v/>
      </c>
      <c r="M743" s="118" t="str">
        <f>IF(Tab.o1[[#This Row],[a1]]=1,NORMSDIST(Tab.o1[[#This Row],[Za]]),"")</f>
        <v/>
      </c>
      <c r="N743" s="119" t="str">
        <f>IF(Tab.o1[[#This Row],[a1]]=1,((Tab.o1[[#This Row],[MedMod]]-AVERAGE(Tab.o1[MedMod]))/_xlfn.STDEV.P(Tab.o1[MedMod])*H$1205)+G$1205,"")</f>
        <v/>
      </c>
      <c r="O743" s="141" t="str">
        <f>IF(Tab.o1[[#This Row],[a1]]=1,Tab.o1[[#This Row],[Zb]]*_xlfn.STDEV.P(Tab.o1[MedMod])+AVERAGE(Tab.o1[MedMod]),"")</f>
        <v/>
      </c>
      <c r="P743" s="117" t="str">
        <f ca="1">IF(Tab.o1[[#This Row],[B]]=0,AVERAGE(OFFSET(Tab.o1[[#This Row],[B]],1,0,L$3,1)),Tab.o1[[#This Row],[B]])</f>
        <v/>
      </c>
      <c r="Q743" s="121" t="str">
        <f>IF(Tab.o1[[#This Row],[a1]]=1,NORMSDIST(Tab.o1[[#This Row],[Zb]]),"")</f>
        <v/>
      </c>
      <c r="R743" s="122" t="str">
        <f>IF(Tab.o1[[#This Row],[a1]]=1,((Tab.o1[[#This Row],[MedMod]]-AVERAGE(Tab.o1[MedMod]))/_xlfn.STDEV.P(Tab.o1[MedMod])*H$1203)+G$1203,"")</f>
        <v/>
      </c>
      <c r="S743" s="122" t="str">
        <f>IF(Tab.o1[[#This Row],[a1]]=1,((Tab.o1[[#This Row],[MedMod]]-AVERAGE(Tab.o1[MedMod]))/_xlfn.STDEV.P(Tab.o1[MedMod])*H$1204)+G$1204,"")</f>
        <v/>
      </c>
      <c r="T743" s="123" t="str">
        <f>IF(Tab.o1[[#This Row],[a1]]=1,Tab.o1[[#This Row],[Z-]]*_xlfn.STDEV.P(Tab.o1[B])+AVERAGE(Tab.o1[B]),"")</f>
        <v/>
      </c>
      <c r="U743" s="123" t="str">
        <f>IF(Tab.o1[[#This Row],[a1]]=1,Tab.o1[[#This Row],[z+]]*_xlfn.STDEV.P(Tab.o1[B])+AVERAGE(Tab.o1[B]),"")</f>
        <v/>
      </c>
      <c r="V743" s="124" t="str">
        <f>IF(Tab.o1[[#This Row],[a1]]=1,ABS((ABS(Tab.o1[[#This Row],[Red]]-Tab.o1[[#This Row],[Blue]]))),"")</f>
        <v/>
      </c>
      <c r="W743" s="125" t="str">
        <f>IF(Tab.o1[[#This Row],[a1]]=1,IF(W$3=0,1,Tab.o1[[#This Row],[Amp.]]*1/_xlfn.MINIFS(Tab.o1[Amp.],Tab.o1[Amp.],"&lt;&gt;0")),"")</f>
        <v/>
      </c>
      <c r="X743" s="126" t="str">
        <f>IF(Tab.o1[[#This Row],[a1]]=1,IF(ISNUMBER(Tab.o1[[#This Row],[i.]]),NORMDIST(Tab.o1[[#This Row],[Za]],0,1,FALSE)*Tab.o1[[#This Row],[i.]],AP$3),"")</f>
        <v/>
      </c>
      <c r="Y743" s="126" t="str">
        <f>IF(Tab.o1[[#This Row],[a1]]=1,0.01+0.94*Tab.o1[[#This Row],[PDF]]/MAX(Tab.o1[PDF]),"")</f>
        <v/>
      </c>
      <c r="Z743" s="126" t="str">
        <f>IF(Tab.o1[[#This Row],[a1]]=1,0.01+0.94*Tab.o1[[#This Row],[W1_PDF]]/MAX(Tab.o1[W1_PDF]),"")</f>
        <v/>
      </c>
      <c r="AA743" s="118" t="str">
        <f>IF(Tab.o1[[#This Row],[a1]]=1,ABS([1]!T.in.A[[#This Row],[oo6]]),"")</f>
        <v/>
      </c>
      <c r="AB743" s="127" t="str">
        <f>IF(Tab.o1[[#This Row],[a1]]=1,IF(AE$3=0,"",IF(AB$3=0,ABS([1]!T.in.A[[#This Row],[oo9]]),ABS(Tab.o1[[#This Row],[DIF_Target.]]*Tab.o1[[#This Row],[W1_PDF]]))),"")</f>
        <v/>
      </c>
      <c r="AC743" s="127" t="str">
        <f>IF(G$1=1,"",IF(Tab.o1[[#This Row],[a1]]=1,Tab.o1[[#This Row],[Wr]]^2,""))</f>
        <v/>
      </c>
      <c r="AD743" s="118" t="str">
        <f>IF(Tab.o1[[#This Row],[a1]]=1,IF(AE$3=0,"",Tab.o1[[#This Row],[Wr2]]/SUM(Tab.o1[Wr2])),"")</f>
        <v/>
      </c>
      <c r="AE743" s="128" t="str">
        <f>IF(Tab.o1[[#This Row],[a1]]=1,[1]!T.in.A[[#This Row],[oo10]],"")</f>
        <v/>
      </c>
      <c r="AF743" s="118" t="str">
        <f>IF(Tab.o1[[#This Row],[a1]]=1,ABS(Tab.o1[[#This Row],[DIF_Target.]]*Tab.o1[[#This Row],[PDF2]]*Tab.o1[[#This Row],[IN]]),"")</f>
        <v/>
      </c>
      <c r="AG743" s="129" t="str">
        <f>IF(Tab.o1[[#This Row],[a1]]=1,Tab.o1[[#This Row],[rW]]^2,"")</f>
        <v/>
      </c>
      <c r="AH743" s="130" t="str">
        <f>IF(Tab.o1[[#This Row],[a1]]=1,IF(AH$3=0,Tab.o1[[#This Row],[rW2]],0.01+0.94*Tab.o1[[#This Row],[rW2]]/SUM(Tab.o1[rW2])),"")</f>
        <v/>
      </c>
      <c r="AI743" s="128" t="str">
        <f>IF(Tab.o1[[#This Row],[a1]]=1,1/Tab.o1[[#This Row],[PDF]],"")</f>
        <v/>
      </c>
      <c r="AJ743" s="131" t="str">
        <f>IF(Tab.o1[[#This Row],[a1]]=1,[1]!T_AA[[#This Row],[IN'']]*[1]!T_AA[[#This Row],[Qde'']],"")</f>
        <v/>
      </c>
      <c r="AK743" s="132" t="str">
        <f>IF(Tab.o1[[#This Row],[a1]]=1,IF(AK$1=1,Tab.o1[[#This Row],[MED]]+Tab.o1[[#This Row],[MOD]]-Tab.o1[[#This Row],[MED]],""),"")</f>
        <v/>
      </c>
      <c r="AL743" s="133" t="str">
        <f>IF(Tab.o1[[#This Row],[a1]]=1,[1]!T.in.A[[#This Row],[oo16]],"")</f>
        <v/>
      </c>
      <c r="AM743" s="133" t="str">
        <f>IF(Tab.o1[[#This Row],[a1]]=1,IF(AM$3=1,[1]!T.in.A[[#This Row],[Σo16]],""),"")</f>
        <v/>
      </c>
      <c r="AN743" s="126" t="str">
        <f>IF(Tab.o1[[#This Row],[a1]]=1,[1]!T.in.A[[#This Row],[Σp5]],"")</f>
        <v/>
      </c>
      <c r="AO743" s="126" t="str">
        <f>IF(Tab.o1[[#This Row],[a1]]=1,IF(AO$3=1,[1]!T.in.A[[#This Row],[Σp5]],""),"")</f>
        <v/>
      </c>
      <c r="AP743" s="110" t="str">
        <f>IF(Tab.o1[[#This Row],[a1]]=1,IF(ISNUMBER(Tab.o1[[#This Row],[i.]]),NORMDIST(Tab.o1[[#This Row],[Za]],0,1,FALSE)*Tab.o1[[#This Row],[i.]],0),"")</f>
        <v/>
      </c>
      <c r="AQ743" s="125" t="str">
        <f>IF(Tab.o1[[#This Row],[a1]]=1,ABS(Tab.o1[[#This Row],[MOD]]-AVERAGE(Tab.o1[MOD])),"")</f>
        <v/>
      </c>
      <c r="AR743" s="134" t="str">
        <f>IF(Tab.o1[[#This Row],[a1]]=1,Tab.o1[[#This Row],[OBS]]/SUM(Tab.o1[OBS]),"")</f>
        <v/>
      </c>
      <c r="AS743" s="135" t="str">
        <f>IF(ISNUMBER(Tab.o1[[#This Row],[a1]]),ROW()-4,"")</f>
        <v/>
      </c>
      <c r="AT743" s="136" t="str">
        <f>Tab.o1[[#This Row],[MOD]]</f>
        <v/>
      </c>
      <c r="AU743" s="137" t="str">
        <f t="shared" si="45"/>
        <v/>
      </c>
      <c r="AV743" s="138" t="str">
        <f t="shared" si="46"/>
        <v/>
      </c>
      <c r="AW743" s="138" t="str">
        <f t="shared" si="47"/>
        <v/>
      </c>
      <c r="AX743" s="139" t="str">
        <f>[1]!T.in.A[[#This Row],[ID_T_manu]]</f>
        <v/>
      </c>
      <c r="AY743" s="140" t="str">
        <f>IF(ISNUMBER(Tab.o1[[#This Row],[a1]]),IF(AND(Tab.o1[[#This Row],[a1]]=1,Tab.o1[[#This Row],[b1]]&lt;=AY$4),#REF!,AY742),"")</f>
        <v/>
      </c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6"/>
      <c r="BO743" s="26"/>
      <c r="BP743" s="26"/>
      <c r="BQ743" s="26"/>
      <c r="BR743" s="26"/>
      <c r="BS743" s="26"/>
      <c r="BT743" s="26"/>
      <c r="BU743" s="26"/>
      <c r="BV743" s="26"/>
      <c r="BW743" s="26"/>
      <c r="BX743" s="26"/>
      <c r="BY743" s="26"/>
      <c r="BZ743" s="26"/>
      <c r="CA743" s="26"/>
    </row>
    <row r="744" spans="1:79" s="143" customFormat="1" ht="15.75" hidden="1">
      <c r="A744" s="109">
        <v>1.0000000000000002E-6</v>
      </c>
      <c r="B744" s="110">
        <f t="shared" si="44"/>
        <v>744</v>
      </c>
      <c r="C744" s="111" t="str">
        <f>IF(C$1=[1]!T.in.A[[#This Row],[oo2]],1,"")</f>
        <v/>
      </c>
      <c r="D744" s="112" t="str">
        <f>IF(Tab.o1[[#This Row],[a1]]=1,IF(SUM(C744:C745)=0,0,IF(SUM(C743:C744)=1,1,IF(SUM(C743:C745)&gt;1,D743+1,0))),"")</f>
        <v/>
      </c>
      <c r="E744" s="113" t="str">
        <f>IF(Tab.o1[[#This Row],[a1]]=1,[1]!T.in.A[[#This Row],[oo1]],"")</f>
        <v/>
      </c>
      <c r="F744" s="113" t="str">
        <f>IF(Tab.o1[[#This Row],[a1]]=1,[1]!T.in.A[[#This Row],[pp1]],"")</f>
        <v/>
      </c>
      <c r="G744" s="114" t="str">
        <f>IF(Tab.o1[[#This Row],[a1]]=1,G$2+IF(G$1=1,0,Tab.o1[[#This Row],[.x1]])+[1]!T.in.A[[#This Row],[oo3]],"")</f>
        <v/>
      </c>
      <c r="H744" s="115" t="str">
        <f>IF(Tab.o1[[#This Row],[a1]]=1,IF(H$2=0,0,IF(G$1=1,0,Tab.o1[[#This Row],[.x1]])+[1]!T.in.A[[#This Row],[oo4]]),"")</f>
        <v/>
      </c>
      <c r="I744" s="116" t="str">
        <f>IF(Tab.o1[[#This Row],[a1]]=1,IF(J$2=0,Tab.o1[[#This Row],[MED]],Tab.o1[[#This Row],[MOD]]),"")</f>
        <v/>
      </c>
      <c r="J744" s="116" t="str">
        <f>IF(Tab.o1[[#This Row],[a1]]=1,((Tab.o1[[#This Row],[DIF_Target.]]-AVERAGE(Tab.o1[DIF_Target.]))/_xlfn.STDEV.P(Tab.o1[DIF_Target.])),"")</f>
        <v/>
      </c>
      <c r="K744" s="117" t="str">
        <f>IF(Tab.o1[[#This Row],[a1]]=1,IF(J$2=0,Tab.o1[[#This Row],[MOD]]-Tab.o1[[#This Row],[B]],IF(J$2=1,0,-Tab.o1[[#This Row],[MED]])+Tab.o1[[#This Row],[B]]),"")</f>
        <v/>
      </c>
      <c r="L744" s="117" t="str">
        <f ca="1">IF(Tab.o1[[#This Row],[DIF_Target]]=0,IF(L$2=0,Tab.o1[[#This Row],[DIF_Target]],AVERAGE(OFFSET(Tab.o1[[#This Row],[DIF_Target]],1,0,L$3,1)))/3,Tab.o1[[#This Row],[DIF_Target]])</f>
        <v/>
      </c>
      <c r="M744" s="118" t="str">
        <f>IF(Tab.o1[[#This Row],[a1]]=1,NORMSDIST(Tab.o1[[#This Row],[Za]]),"")</f>
        <v/>
      </c>
      <c r="N744" s="119" t="str">
        <f>IF(Tab.o1[[#This Row],[a1]]=1,((Tab.o1[[#This Row],[MedMod]]-AVERAGE(Tab.o1[MedMod]))/_xlfn.STDEV.P(Tab.o1[MedMod])*H$1205)+G$1205,"")</f>
        <v/>
      </c>
      <c r="O744" s="141" t="str">
        <f>IF(Tab.o1[[#This Row],[a1]]=1,Tab.o1[[#This Row],[Zb]]*_xlfn.STDEV.P(Tab.o1[MedMod])+AVERAGE(Tab.o1[MedMod]),"")</f>
        <v/>
      </c>
      <c r="P744" s="117" t="str">
        <f ca="1">IF(Tab.o1[[#This Row],[B]]=0,AVERAGE(OFFSET(Tab.o1[[#This Row],[B]],1,0,L$3,1)),Tab.o1[[#This Row],[B]])</f>
        <v/>
      </c>
      <c r="Q744" s="121" t="str">
        <f>IF(Tab.o1[[#This Row],[a1]]=1,NORMSDIST(Tab.o1[[#This Row],[Zb]]),"")</f>
        <v/>
      </c>
      <c r="R744" s="122" t="str">
        <f>IF(Tab.o1[[#This Row],[a1]]=1,((Tab.o1[[#This Row],[MedMod]]-AVERAGE(Tab.o1[MedMod]))/_xlfn.STDEV.P(Tab.o1[MedMod])*H$1203)+G$1203,"")</f>
        <v/>
      </c>
      <c r="S744" s="122" t="str">
        <f>IF(Tab.o1[[#This Row],[a1]]=1,((Tab.o1[[#This Row],[MedMod]]-AVERAGE(Tab.o1[MedMod]))/_xlfn.STDEV.P(Tab.o1[MedMod])*H$1204)+G$1204,"")</f>
        <v/>
      </c>
      <c r="T744" s="123" t="str">
        <f>IF(Tab.o1[[#This Row],[a1]]=1,Tab.o1[[#This Row],[Z-]]*_xlfn.STDEV.P(Tab.o1[B])+AVERAGE(Tab.o1[B]),"")</f>
        <v/>
      </c>
      <c r="U744" s="123" t="str">
        <f>IF(Tab.o1[[#This Row],[a1]]=1,Tab.o1[[#This Row],[z+]]*_xlfn.STDEV.P(Tab.o1[B])+AVERAGE(Tab.o1[B]),"")</f>
        <v/>
      </c>
      <c r="V744" s="124" t="str">
        <f>IF(Tab.o1[[#This Row],[a1]]=1,ABS((ABS(Tab.o1[[#This Row],[Red]]-Tab.o1[[#This Row],[Blue]]))),"")</f>
        <v/>
      </c>
      <c r="W744" s="125" t="str">
        <f>IF(Tab.o1[[#This Row],[a1]]=1,IF(W$3=0,1,Tab.o1[[#This Row],[Amp.]]*1/_xlfn.MINIFS(Tab.o1[Amp.],Tab.o1[Amp.],"&lt;&gt;0")),"")</f>
        <v/>
      </c>
      <c r="X744" s="126" t="str">
        <f>IF(Tab.o1[[#This Row],[a1]]=1,IF(ISNUMBER(Tab.o1[[#This Row],[i.]]),NORMDIST(Tab.o1[[#This Row],[Za]],0,1,FALSE)*Tab.o1[[#This Row],[i.]],AP$3),"")</f>
        <v/>
      </c>
      <c r="Y744" s="126" t="str">
        <f>IF(Tab.o1[[#This Row],[a1]]=1,0.01+0.94*Tab.o1[[#This Row],[PDF]]/MAX(Tab.o1[PDF]),"")</f>
        <v/>
      </c>
      <c r="Z744" s="126" t="str">
        <f>IF(Tab.o1[[#This Row],[a1]]=1,0.01+0.94*Tab.o1[[#This Row],[W1_PDF]]/MAX(Tab.o1[W1_PDF]),"")</f>
        <v/>
      </c>
      <c r="AA744" s="118" t="str">
        <f>IF(Tab.o1[[#This Row],[a1]]=1,ABS([1]!T.in.A[[#This Row],[oo6]]),"")</f>
        <v/>
      </c>
      <c r="AB744" s="127" t="str">
        <f>IF(Tab.o1[[#This Row],[a1]]=1,IF(AE$3=0,"",IF(AB$3=0,ABS([1]!T.in.A[[#This Row],[oo9]]),ABS(Tab.o1[[#This Row],[DIF_Target.]]*Tab.o1[[#This Row],[W1_PDF]]))),"")</f>
        <v/>
      </c>
      <c r="AC744" s="127" t="str">
        <f>IF(G$1=1,"",IF(Tab.o1[[#This Row],[a1]]=1,Tab.o1[[#This Row],[Wr]]^2,""))</f>
        <v/>
      </c>
      <c r="AD744" s="118" t="str">
        <f>IF(Tab.o1[[#This Row],[a1]]=1,IF(AE$3=0,"",Tab.o1[[#This Row],[Wr2]]/SUM(Tab.o1[Wr2])),"")</f>
        <v/>
      </c>
      <c r="AE744" s="128" t="str">
        <f>IF(Tab.o1[[#This Row],[a1]]=1,[1]!T.in.A[[#This Row],[oo10]],"")</f>
        <v/>
      </c>
      <c r="AF744" s="118" t="str">
        <f>IF(Tab.o1[[#This Row],[a1]]=1,ABS(Tab.o1[[#This Row],[DIF_Target.]]*Tab.o1[[#This Row],[PDF2]]*Tab.o1[[#This Row],[IN]]),"")</f>
        <v/>
      </c>
      <c r="AG744" s="129" t="str">
        <f>IF(Tab.o1[[#This Row],[a1]]=1,Tab.o1[[#This Row],[rW]]^2,"")</f>
        <v/>
      </c>
      <c r="AH744" s="130" t="str">
        <f>IF(Tab.o1[[#This Row],[a1]]=1,IF(AH$3=0,Tab.o1[[#This Row],[rW2]],0.01+0.94*Tab.o1[[#This Row],[rW2]]/SUM(Tab.o1[rW2])),"")</f>
        <v/>
      </c>
      <c r="AI744" s="128" t="str">
        <f>IF(Tab.o1[[#This Row],[a1]]=1,1/Tab.o1[[#This Row],[PDF]],"")</f>
        <v/>
      </c>
      <c r="AJ744" s="131" t="str">
        <f>IF(Tab.o1[[#This Row],[a1]]=1,[1]!T_AA[[#This Row],[IN'']]*[1]!T_AA[[#This Row],[Qde'']],"")</f>
        <v/>
      </c>
      <c r="AK744" s="132" t="str">
        <f>IF(Tab.o1[[#This Row],[a1]]=1,IF(AK$1=1,Tab.o1[[#This Row],[MED]]+Tab.o1[[#This Row],[MOD]]-Tab.o1[[#This Row],[MED]],""),"")</f>
        <v/>
      </c>
      <c r="AL744" s="133" t="str">
        <f>IF(Tab.o1[[#This Row],[a1]]=1,[1]!T.in.A[[#This Row],[oo16]],"")</f>
        <v/>
      </c>
      <c r="AM744" s="133" t="str">
        <f>IF(Tab.o1[[#This Row],[a1]]=1,IF(AM$3=1,[1]!T.in.A[[#This Row],[Σo16]],""),"")</f>
        <v/>
      </c>
      <c r="AN744" s="126" t="str">
        <f>IF(Tab.o1[[#This Row],[a1]]=1,[1]!T.in.A[[#This Row],[Σp5]],"")</f>
        <v/>
      </c>
      <c r="AO744" s="126" t="str">
        <f>IF(Tab.o1[[#This Row],[a1]]=1,IF(AO$3=1,[1]!T.in.A[[#This Row],[Σp5]],""),"")</f>
        <v/>
      </c>
      <c r="AP744" s="110" t="str">
        <f>IF(Tab.o1[[#This Row],[a1]]=1,IF(ISNUMBER(Tab.o1[[#This Row],[i.]]),NORMDIST(Tab.o1[[#This Row],[Za]],0,1,FALSE)*Tab.o1[[#This Row],[i.]],0),"")</f>
        <v/>
      </c>
      <c r="AQ744" s="125" t="str">
        <f>IF(Tab.o1[[#This Row],[a1]]=1,ABS(Tab.o1[[#This Row],[MOD]]-AVERAGE(Tab.o1[MOD])),"")</f>
        <v/>
      </c>
      <c r="AR744" s="134" t="str">
        <f>IF(Tab.o1[[#This Row],[a1]]=1,Tab.o1[[#This Row],[OBS]]/SUM(Tab.o1[OBS]),"")</f>
        <v/>
      </c>
      <c r="AS744" s="135" t="str">
        <f>IF(ISNUMBER(Tab.o1[[#This Row],[a1]]),ROW()-4,"")</f>
        <v/>
      </c>
      <c r="AT744" s="136" t="str">
        <f>Tab.o1[[#This Row],[MOD]]</f>
        <v/>
      </c>
      <c r="AU744" s="137" t="str">
        <f t="shared" si="45"/>
        <v/>
      </c>
      <c r="AV744" s="138" t="str">
        <f t="shared" si="46"/>
        <v/>
      </c>
      <c r="AW744" s="138" t="str">
        <f t="shared" si="47"/>
        <v/>
      </c>
      <c r="AX744" s="139" t="str">
        <f>[1]!T.in.A[[#This Row],[ID_T_manu]]</f>
        <v/>
      </c>
      <c r="AY744" s="140" t="str">
        <f>IF(ISNUMBER(Tab.o1[[#This Row],[a1]]),IF(AND(Tab.o1[[#This Row],[a1]]=1,Tab.o1[[#This Row],[b1]]&lt;=AY$4),#REF!,AY743),"")</f>
        <v/>
      </c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6"/>
      <c r="BO744" s="26"/>
      <c r="BP744" s="26"/>
      <c r="BQ744" s="26"/>
      <c r="BR744" s="26"/>
      <c r="BS744" s="26"/>
      <c r="BT744" s="26"/>
      <c r="BU744" s="26"/>
      <c r="BV744" s="26"/>
      <c r="BW744" s="26"/>
      <c r="BX744" s="26"/>
      <c r="BY744" s="26"/>
      <c r="BZ744" s="26"/>
      <c r="CA744" s="26"/>
    </row>
    <row r="745" spans="1:79" s="143" customFormat="1" ht="15.75" hidden="1">
      <c r="A745" s="109">
        <v>-4.0000000000000007E-6</v>
      </c>
      <c r="B745" s="110">
        <f t="shared" si="44"/>
        <v>745</v>
      </c>
      <c r="C745" s="111" t="str">
        <f>IF(C$1=[1]!T.in.A[[#This Row],[oo2]],1,"")</f>
        <v/>
      </c>
      <c r="D745" s="112" t="str">
        <f>IF(Tab.o1[[#This Row],[a1]]=1,IF(SUM(C745:C746)=0,0,IF(SUM(C744:C745)=1,1,IF(SUM(C744:C746)&gt;1,D744+1,0))),"")</f>
        <v/>
      </c>
      <c r="E745" s="113" t="str">
        <f>IF(Tab.o1[[#This Row],[a1]]=1,[1]!T.in.A[[#This Row],[oo1]],"")</f>
        <v/>
      </c>
      <c r="F745" s="113" t="str">
        <f>IF(Tab.o1[[#This Row],[a1]]=1,[1]!T.in.A[[#This Row],[pp1]],"")</f>
        <v/>
      </c>
      <c r="G745" s="114" t="str">
        <f>IF(Tab.o1[[#This Row],[a1]]=1,G$2+IF(G$1=1,0,Tab.o1[[#This Row],[.x1]])+[1]!T.in.A[[#This Row],[oo3]],"")</f>
        <v/>
      </c>
      <c r="H745" s="115" t="str">
        <f>IF(Tab.o1[[#This Row],[a1]]=1,IF(H$2=0,0,IF(G$1=1,0,Tab.o1[[#This Row],[.x1]])+[1]!T.in.A[[#This Row],[oo4]]),"")</f>
        <v/>
      </c>
      <c r="I745" s="116" t="str">
        <f>IF(Tab.o1[[#This Row],[a1]]=1,IF(J$2=0,Tab.o1[[#This Row],[MED]],Tab.o1[[#This Row],[MOD]]),"")</f>
        <v/>
      </c>
      <c r="J745" s="116" t="str">
        <f>IF(Tab.o1[[#This Row],[a1]]=1,((Tab.o1[[#This Row],[DIF_Target.]]-AVERAGE(Tab.o1[DIF_Target.]))/_xlfn.STDEV.P(Tab.o1[DIF_Target.])),"")</f>
        <v/>
      </c>
      <c r="K745" s="117" t="str">
        <f>IF(Tab.o1[[#This Row],[a1]]=1,IF(J$2=0,Tab.o1[[#This Row],[MOD]]-Tab.o1[[#This Row],[B]],IF(J$2=1,0,-Tab.o1[[#This Row],[MED]])+Tab.o1[[#This Row],[B]]),"")</f>
        <v/>
      </c>
      <c r="L745" s="117" t="str">
        <f ca="1">IF(Tab.o1[[#This Row],[DIF_Target]]=0,IF(L$2=0,Tab.o1[[#This Row],[DIF_Target]],AVERAGE(OFFSET(Tab.o1[[#This Row],[DIF_Target]],1,0,L$3,1)))/3,Tab.o1[[#This Row],[DIF_Target]])</f>
        <v/>
      </c>
      <c r="M745" s="118" t="str">
        <f>IF(Tab.o1[[#This Row],[a1]]=1,NORMSDIST(Tab.o1[[#This Row],[Za]]),"")</f>
        <v/>
      </c>
      <c r="N745" s="119" t="str">
        <f>IF(Tab.o1[[#This Row],[a1]]=1,((Tab.o1[[#This Row],[MedMod]]-AVERAGE(Tab.o1[MedMod]))/_xlfn.STDEV.P(Tab.o1[MedMod])*H$1205)+G$1205,"")</f>
        <v/>
      </c>
      <c r="O745" s="141" t="str">
        <f>IF(Tab.o1[[#This Row],[a1]]=1,Tab.o1[[#This Row],[Zb]]*_xlfn.STDEV.P(Tab.o1[MedMod])+AVERAGE(Tab.o1[MedMod]),"")</f>
        <v/>
      </c>
      <c r="P745" s="117" t="str">
        <f ca="1">IF(Tab.o1[[#This Row],[B]]=0,AVERAGE(OFFSET(Tab.o1[[#This Row],[B]],1,0,L$3,1)),Tab.o1[[#This Row],[B]])</f>
        <v/>
      </c>
      <c r="Q745" s="121" t="str">
        <f>IF(Tab.o1[[#This Row],[a1]]=1,NORMSDIST(Tab.o1[[#This Row],[Zb]]),"")</f>
        <v/>
      </c>
      <c r="R745" s="122" t="str">
        <f>IF(Tab.o1[[#This Row],[a1]]=1,((Tab.o1[[#This Row],[MedMod]]-AVERAGE(Tab.o1[MedMod]))/_xlfn.STDEV.P(Tab.o1[MedMod])*H$1203)+G$1203,"")</f>
        <v/>
      </c>
      <c r="S745" s="122" t="str">
        <f>IF(Tab.o1[[#This Row],[a1]]=1,((Tab.o1[[#This Row],[MedMod]]-AVERAGE(Tab.o1[MedMod]))/_xlfn.STDEV.P(Tab.o1[MedMod])*H$1204)+G$1204,"")</f>
        <v/>
      </c>
      <c r="T745" s="123" t="str">
        <f>IF(Tab.o1[[#This Row],[a1]]=1,Tab.o1[[#This Row],[Z-]]*_xlfn.STDEV.P(Tab.o1[B])+AVERAGE(Tab.o1[B]),"")</f>
        <v/>
      </c>
      <c r="U745" s="123" t="str">
        <f>IF(Tab.o1[[#This Row],[a1]]=1,Tab.o1[[#This Row],[z+]]*_xlfn.STDEV.P(Tab.o1[B])+AVERAGE(Tab.o1[B]),"")</f>
        <v/>
      </c>
      <c r="V745" s="124" t="str">
        <f>IF(Tab.o1[[#This Row],[a1]]=1,ABS((ABS(Tab.o1[[#This Row],[Red]]-Tab.o1[[#This Row],[Blue]]))),"")</f>
        <v/>
      </c>
      <c r="W745" s="125" t="str">
        <f>IF(Tab.o1[[#This Row],[a1]]=1,IF(W$3=0,1,Tab.o1[[#This Row],[Amp.]]*1/_xlfn.MINIFS(Tab.o1[Amp.],Tab.o1[Amp.],"&lt;&gt;0")),"")</f>
        <v/>
      </c>
      <c r="X745" s="126" t="str">
        <f>IF(Tab.o1[[#This Row],[a1]]=1,IF(ISNUMBER(Tab.o1[[#This Row],[i.]]),NORMDIST(Tab.o1[[#This Row],[Za]],0,1,FALSE)*Tab.o1[[#This Row],[i.]],AP$3),"")</f>
        <v/>
      </c>
      <c r="Y745" s="126" t="str">
        <f>IF(Tab.o1[[#This Row],[a1]]=1,0.01+0.94*Tab.o1[[#This Row],[PDF]]/MAX(Tab.o1[PDF]),"")</f>
        <v/>
      </c>
      <c r="Z745" s="126" t="str">
        <f>IF(Tab.o1[[#This Row],[a1]]=1,0.01+0.94*Tab.o1[[#This Row],[W1_PDF]]/MAX(Tab.o1[W1_PDF]),"")</f>
        <v/>
      </c>
      <c r="AA745" s="118" t="str">
        <f>IF(Tab.o1[[#This Row],[a1]]=1,ABS([1]!T.in.A[[#This Row],[oo6]]),"")</f>
        <v/>
      </c>
      <c r="AB745" s="127" t="str">
        <f>IF(Tab.o1[[#This Row],[a1]]=1,IF(AE$3=0,"",IF(AB$3=0,ABS([1]!T.in.A[[#This Row],[oo9]]),ABS(Tab.o1[[#This Row],[DIF_Target.]]*Tab.o1[[#This Row],[W1_PDF]]))),"")</f>
        <v/>
      </c>
      <c r="AC745" s="127" t="str">
        <f>IF(G$1=1,"",IF(Tab.o1[[#This Row],[a1]]=1,Tab.o1[[#This Row],[Wr]]^2,""))</f>
        <v/>
      </c>
      <c r="AD745" s="118" t="str">
        <f>IF(Tab.o1[[#This Row],[a1]]=1,IF(AE$3=0,"",Tab.o1[[#This Row],[Wr2]]/SUM(Tab.o1[Wr2])),"")</f>
        <v/>
      </c>
      <c r="AE745" s="128" t="str">
        <f>IF(Tab.o1[[#This Row],[a1]]=1,[1]!T.in.A[[#This Row],[oo10]],"")</f>
        <v/>
      </c>
      <c r="AF745" s="118" t="str">
        <f>IF(Tab.o1[[#This Row],[a1]]=1,ABS(Tab.o1[[#This Row],[DIF_Target.]]*Tab.o1[[#This Row],[PDF2]]*Tab.o1[[#This Row],[IN]]),"")</f>
        <v/>
      </c>
      <c r="AG745" s="129" t="str">
        <f>IF(Tab.o1[[#This Row],[a1]]=1,Tab.o1[[#This Row],[rW]]^2,"")</f>
        <v/>
      </c>
      <c r="AH745" s="130" t="str">
        <f>IF(Tab.o1[[#This Row],[a1]]=1,IF(AH$3=0,Tab.o1[[#This Row],[rW2]],0.01+0.94*Tab.o1[[#This Row],[rW2]]/SUM(Tab.o1[rW2])),"")</f>
        <v/>
      </c>
      <c r="AI745" s="128" t="str">
        <f>IF(Tab.o1[[#This Row],[a1]]=1,1/Tab.o1[[#This Row],[PDF]],"")</f>
        <v/>
      </c>
      <c r="AJ745" s="131" t="str">
        <f>IF(Tab.o1[[#This Row],[a1]]=1,[1]!T_AA[[#This Row],[IN'']]*[1]!T_AA[[#This Row],[Qde'']],"")</f>
        <v/>
      </c>
      <c r="AK745" s="132" t="str">
        <f>IF(Tab.o1[[#This Row],[a1]]=1,IF(AK$1=1,Tab.o1[[#This Row],[MED]]+Tab.o1[[#This Row],[MOD]]-Tab.o1[[#This Row],[MED]],""),"")</f>
        <v/>
      </c>
      <c r="AL745" s="133" t="str">
        <f>IF(Tab.o1[[#This Row],[a1]]=1,[1]!T.in.A[[#This Row],[oo16]],"")</f>
        <v/>
      </c>
      <c r="AM745" s="133" t="str">
        <f>IF(Tab.o1[[#This Row],[a1]]=1,IF(AM$3=1,[1]!T.in.A[[#This Row],[Σo16]],""),"")</f>
        <v/>
      </c>
      <c r="AN745" s="126" t="str">
        <f>IF(Tab.o1[[#This Row],[a1]]=1,[1]!T.in.A[[#This Row],[Σp5]],"")</f>
        <v/>
      </c>
      <c r="AO745" s="126" t="str">
        <f>IF(Tab.o1[[#This Row],[a1]]=1,IF(AO$3=1,[1]!T.in.A[[#This Row],[Σp5]],""),"")</f>
        <v/>
      </c>
      <c r="AP745" s="110" t="str">
        <f>IF(Tab.o1[[#This Row],[a1]]=1,IF(ISNUMBER(Tab.o1[[#This Row],[i.]]),NORMDIST(Tab.o1[[#This Row],[Za]],0,1,FALSE)*Tab.o1[[#This Row],[i.]],0),"")</f>
        <v/>
      </c>
      <c r="AQ745" s="125" t="str">
        <f>IF(Tab.o1[[#This Row],[a1]]=1,ABS(Tab.o1[[#This Row],[MOD]]-AVERAGE(Tab.o1[MOD])),"")</f>
        <v/>
      </c>
      <c r="AR745" s="134" t="str">
        <f>IF(Tab.o1[[#This Row],[a1]]=1,Tab.o1[[#This Row],[OBS]]/SUM(Tab.o1[OBS]),"")</f>
        <v/>
      </c>
      <c r="AS745" s="135" t="str">
        <f>IF(ISNUMBER(Tab.o1[[#This Row],[a1]]),ROW()-4,"")</f>
        <v/>
      </c>
      <c r="AT745" s="136" t="str">
        <f>Tab.o1[[#This Row],[MOD]]</f>
        <v/>
      </c>
      <c r="AU745" s="137" t="str">
        <f t="shared" si="45"/>
        <v/>
      </c>
      <c r="AV745" s="138" t="str">
        <f t="shared" si="46"/>
        <v/>
      </c>
      <c r="AW745" s="138" t="str">
        <f t="shared" si="47"/>
        <v/>
      </c>
      <c r="AX745" s="139" t="str">
        <f>[1]!T.in.A[[#This Row],[ID_T_manu]]</f>
        <v/>
      </c>
      <c r="AY745" s="140" t="str">
        <f>IF(ISNUMBER(Tab.o1[[#This Row],[a1]]),IF(AND(Tab.o1[[#This Row],[a1]]=1,Tab.o1[[#This Row],[b1]]&lt;=AY$4),#REF!,AY744),"")</f>
        <v/>
      </c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6"/>
      <c r="BO745" s="26"/>
      <c r="BP745" s="26"/>
      <c r="BQ745" s="26"/>
      <c r="BR745" s="26"/>
      <c r="BS745" s="26"/>
      <c r="BT745" s="26"/>
      <c r="BU745" s="26"/>
      <c r="BV745" s="26"/>
      <c r="BW745" s="26"/>
      <c r="BX745" s="26"/>
      <c r="BY745" s="26"/>
      <c r="BZ745" s="26"/>
      <c r="CA745" s="26"/>
    </row>
    <row r="746" spans="1:79" s="143" customFormat="1" ht="15.75" hidden="1">
      <c r="A746" s="109">
        <v>6.9999999999999999E-6</v>
      </c>
      <c r="B746" s="110">
        <f t="shared" si="44"/>
        <v>746</v>
      </c>
      <c r="C746" s="111" t="str">
        <f>IF(C$1=[1]!T.in.A[[#This Row],[oo2]],1,"")</f>
        <v/>
      </c>
      <c r="D746" s="112" t="str">
        <f>IF(Tab.o1[[#This Row],[a1]]=1,IF(SUM(C746:C747)=0,0,IF(SUM(C745:C746)=1,1,IF(SUM(C745:C747)&gt;1,D745+1,0))),"")</f>
        <v/>
      </c>
      <c r="E746" s="113" t="str">
        <f>IF(Tab.o1[[#This Row],[a1]]=1,[1]!T.in.A[[#This Row],[oo1]],"")</f>
        <v/>
      </c>
      <c r="F746" s="113" t="str">
        <f>IF(Tab.o1[[#This Row],[a1]]=1,[1]!T.in.A[[#This Row],[pp1]],"")</f>
        <v/>
      </c>
      <c r="G746" s="114" t="str">
        <f>IF(Tab.o1[[#This Row],[a1]]=1,G$2+IF(G$1=1,0,Tab.o1[[#This Row],[.x1]])+[1]!T.in.A[[#This Row],[oo3]],"")</f>
        <v/>
      </c>
      <c r="H746" s="115" t="str">
        <f>IF(Tab.o1[[#This Row],[a1]]=1,IF(H$2=0,0,IF(G$1=1,0,Tab.o1[[#This Row],[.x1]])+[1]!T.in.A[[#This Row],[oo4]]),"")</f>
        <v/>
      </c>
      <c r="I746" s="116" t="str">
        <f>IF(Tab.o1[[#This Row],[a1]]=1,IF(J$2=0,Tab.o1[[#This Row],[MED]],Tab.o1[[#This Row],[MOD]]),"")</f>
        <v/>
      </c>
      <c r="J746" s="116" t="str">
        <f>IF(Tab.o1[[#This Row],[a1]]=1,((Tab.o1[[#This Row],[DIF_Target.]]-AVERAGE(Tab.o1[DIF_Target.]))/_xlfn.STDEV.P(Tab.o1[DIF_Target.])),"")</f>
        <v/>
      </c>
      <c r="K746" s="117" t="str">
        <f>IF(Tab.o1[[#This Row],[a1]]=1,IF(J$2=0,Tab.o1[[#This Row],[MOD]]-Tab.o1[[#This Row],[B]],IF(J$2=1,0,-Tab.o1[[#This Row],[MED]])+Tab.o1[[#This Row],[B]]),"")</f>
        <v/>
      </c>
      <c r="L746" s="117" t="str">
        <f ca="1">IF(Tab.o1[[#This Row],[DIF_Target]]=0,IF(L$2=0,Tab.o1[[#This Row],[DIF_Target]],AVERAGE(OFFSET(Tab.o1[[#This Row],[DIF_Target]],1,0,L$3,1)))/3,Tab.o1[[#This Row],[DIF_Target]])</f>
        <v/>
      </c>
      <c r="M746" s="118" t="str">
        <f>IF(Tab.o1[[#This Row],[a1]]=1,NORMSDIST(Tab.o1[[#This Row],[Za]]),"")</f>
        <v/>
      </c>
      <c r="N746" s="119" t="str">
        <f>IF(Tab.o1[[#This Row],[a1]]=1,((Tab.o1[[#This Row],[MedMod]]-AVERAGE(Tab.o1[MedMod]))/_xlfn.STDEV.P(Tab.o1[MedMod])*H$1205)+G$1205,"")</f>
        <v/>
      </c>
      <c r="O746" s="141" t="str">
        <f>IF(Tab.o1[[#This Row],[a1]]=1,Tab.o1[[#This Row],[Zb]]*_xlfn.STDEV.P(Tab.o1[MedMod])+AVERAGE(Tab.o1[MedMod]),"")</f>
        <v/>
      </c>
      <c r="P746" s="117" t="str">
        <f ca="1">IF(Tab.o1[[#This Row],[B]]=0,AVERAGE(OFFSET(Tab.o1[[#This Row],[B]],1,0,L$3,1)),Tab.o1[[#This Row],[B]])</f>
        <v/>
      </c>
      <c r="Q746" s="121" t="str">
        <f>IF(Tab.o1[[#This Row],[a1]]=1,NORMSDIST(Tab.o1[[#This Row],[Zb]]),"")</f>
        <v/>
      </c>
      <c r="R746" s="122" t="str">
        <f>IF(Tab.o1[[#This Row],[a1]]=1,((Tab.o1[[#This Row],[MedMod]]-AVERAGE(Tab.o1[MedMod]))/_xlfn.STDEV.P(Tab.o1[MedMod])*H$1203)+G$1203,"")</f>
        <v/>
      </c>
      <c r="S746" s="122" t="str">
        <f>IF(Tab.o1[[#This Row],[a1]]=1,((Tab.o1[[#This Row],[MedMod]]-AVERAGE(Tab.o1[MedMod]))/_xlfn.STDEV.P(Tab.o1[MedMod])*H$1204)+G$1204,"")</f>
        <v/>
      </c>
      <c r="T746" s="123" t="str">
        <f>IF(Tab.o1[[#This Row],[a1]]=1,Tab.o1[[#This Row],[Z-]]*_xlfn.STDEV.P(Tab.o1[B])+AVERAGE(Tab.o1[B]),"")</f>
        <v/>
      </c>
      <c r="U746" s="123" t="str">
        <f>IF(Tab.o1[[#This Row],[a1]]=1,Tab.o1[[#This Row],[z+]]*_xlfn.STDEV.P(Tab.o1[B])+AVERAGE(Tab.o1[B]),"")</f>
        <v/>
      </c>
      <c r="V746" s="124" t="str">
        <f>IF(Tab.o1[[#This Row],[a1]]=1,ABS((ABS(Tab.o1[[#This Row],[Red]]-Tab.o1[[#This Row],[Blue]]))),"")</f>
        <v/>
      </c>
      <c r="W746" s="125" t="str">
        <f>IF(Tab.o1[[#This Row],[a1]]=1,IF(W$3=0,1,Tab.o1[[#This Row],[Amp.]]*1/_xlfn.MINIFS(Tab.o1[Amp.],Tab.o1[Amp.],"&lt;&gt;0")),"")</f>
        <v/>
      </c>
      <c r="X746" s="126" t="str">
        <f>IF(Tab.o1[[#This Row],[a1]]=1,IF(ISNUMBER(Tab.o1[[#This Row],[i.]]),NORMDIST(Tab.o1[[#This Row],[Za]],0,1,FALSE)*Tab.o1[[#This Row],[i.]],AP$3),"")</f>
        <v/>
      </c>
      <c r="Y746" s="126" t="str">
        <f>IF(Tab.o1[[#This Row],[a1]]=1,0.01+0.94*Tab.o1[[#This Row],[PDF]]/MAX(Tab.o1[PDF]),"")</f>
        <v/>
      </c>
      <c r="Z746" s="126" t="str">
        <f>IF(Tab.o1[[#This Row],[a1]]=1,0.01+0.94*Tab.o1[[#This Row],[W1_PDF]]/MAX(Tab.o1[W1_PDF]),"")</f>
        <v/>
      </c>
      <c r="AA746" s="118" t="str">
        <f>IF(Tab.o1[[#This Row],[a1]]=1,ABS([1]!T.in.A[[#This Row],[oo6]]),"")</f>
        <v/>
      </c>
      <c r="AB746" s="127" t="str">
        <f>IF(Tab.o1[[#This Row],[a1]]=1,IF(AE$3=0,"",IF(AB$3=0,ABS([1]!T.in.A[[#This Row],[oo9]]),ABS(Tab.o1[[#This Row],[DIF_Target.]]*Tab.o1[[#This Row],[W1_PDF]]))),"")</f>
        <v/>
      </c>
      <c r="AC746" s="127" t="str">
        <f>IF(G$1=1,"",IF(Tab.o1[[#This Row],[a1]]=1,Tab.o1[[#This Row],[Wr]]^2,""))</f>
        <v/>
      </c>
      <c r="AD746" s="118" t="str">
        <f>IF(Tab.o1[[#This Row],[a1]]=1,IF(AE$3=0,"",Tab.o1[[#This Row],[Wr2]]/SUM(Tab.o1[Wr2])),"")</f>
        <v/>
      </c>
      <c r="AE746" s="128" t="str">
        <f>IF(Tab.o1[[#This Row],[a1]]=1,[1]!T.in.A[[#This Row],[oo10]],"")</f>
        <v/>
      </c>
      <c r="AF746" s="118" t="str">
        <f>IF(Tab.o1[[#This Row],[a1]]=1,ABS(Tab.o1[[#This Row],[DIF_Target.]]*Tab.o1[[#This Row],[PDF2]]*Tab.o1[[#This Row],[IN]]),"")</f>
        <v/>
      </c>
      <c r="AG746" s="129" t="str">
        <f>IF(Tab.o1[[#This Row],[a1]]=1,Tab.o1[[#This Row],[rW]]^2,"")</f>
        <v/>
      </c>
      <c r="AH746" s="130" t="str">
        <f>IF(Tab.o1[[#This Row],[a1]]=1,IF(AH$3=0,Tab.o1[[#This Row],[rW2]],0.01+0.94*Tab.o1[[#This Row],[rW2]]/SUM(Tab.o1[rW2])),"")</f>
        <v/>
      </c>
      <c r="AI746" s="128" t="str">
        <f>IF(Tab.o1[[#This Row],[a1]]=1,1/Tab.o1[[#This Row],[PDF]],"")</f>
        <v/>
      </c>
      <c r="AJ746" s="131" t="str">
        <f>IF(Tab.o1[[#This Row],[a1]]=1,[1]!T_AA[[#This Row],[IN'']]*[1]!T_AA[[#This Row],[Qde'']],"")</f>
        <v/>
      </c>
      <c r="AK746" s="132" t="str">
        <f>IF(Tab.o1[[#This Row],[a1]]=1,IF(AK$1=1,Tab.o1[[#This Row],[MED]]+Tab.o1[[#This Row],[MOD]]-Tab.o1[[#This Row],[MED]],""),"")</f>
        <v/>
      </c>
      <c r="AL746" s="133" t="str">
        <f>IF(Tab.o1[[#This Row],[a1]]=1,[1]!T.in.A[[#This Row],[oo16]],"")</f>
        <v/>
      </c>
      <c r="AM746" s="133" t="str">
        <f>IF(Tab.o1[[#This Row],[a1]]=1,IF(AM$3=1,[1]!T.in.A[[#This Row],[Σo16]],""),"")</f>
        <v/>
      </c>
      <c r="AN746" s="126" t="str">
        <f>IF(Tab.o1[[#This Row],[a1]]=1,[1]!T.in.A[[#This Row],[Σp5]],"")</f>
        <v/>
      </c>
      <c r="AO746" s="126" t="str">
        <f>IF(Tab.o1[[#This Row],[a1]]=1,IF(AO$3=1,[1]!T.in.A[[#This Row],[Σp5]],""),"")</f>
        <v/>
      </c>
      <c r="AP746" s="110" t="str">
        <f>IF(Tab.o1[[#This Row],[a1]]=1,IF(ISNUMBER(Tab.o1[[#This Row],[i.]]),NORMDIST(Tab.o1[[#This Row],[Za]],0,1,FALSE)*Tab.o1[[#This Row],[i.]],0),"")</f>
        <v/>
      </c>
      <c r="AQ746" s="125" t="str">
        <f>IF(Tab.o1[[#This Row],[a1]]=1,ABS(Tab.o1[[#This Row],[MOD]]-AVERAGE(Tab.o1[MOD])),"")</f>
        <v/>
      </c>
      <c r="AR746" s="134" t="str">
        <f>IF(Tab.o1[[#This Row],[a1]]=1,Tab.o1[[#This Row],[OBS]]/SUM(Tab.o1[OBS]),"")</f>
        <v/>
      </c>
      <c r="AS746" s="135" t="str">
        <f>IF(ISNUMBER(Tab.o1[[#This Row],[a1]]),ROW()-4,"")</f>
        <v/>
      </c>
      <c r="AT746" s="136" t="str">
        <f>Tab.o1[[#This Row],[MOD]]</f>
        <v/>
      </c>
      <c r="AU746" s="137" t="str">
        <f t="shared" si="45"/>
        <v/>
      </c>
      <c r="AV746" s="138" t="str">
        <f t="shared" si="46"/>
        <v/>
      </c>
      <c r="AW746" s="138" t="str">
        <f t="shared" si="47"/>
        <v/>
      </c>
      <c r="AX746" s="139" t="str">
        <f>[1]!T.in.A[[#This Row],[ID_T_manu]]</f>
        <v/>
      </c>
      <c r="AY746" s="140" t="str">
        <f>IF(ISNUMBER(Tab.o1[[#This Row],[a1]]),IF(AND(Tab.o1[[#This Row],[a1]]=1,Tab.o1[[#This Row],[b1]]&lt;=AY$4),#REF!,AY745),"")</f>
        <v/>
      </c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6"/>
      <c r="BO746" s="26"/>
      <c r="BP746" s="26"/>
      <c r="BQ746" s="26"/>
      <c r="BR746" s="26"/>
      <c r="BS746" s="26"/>
      <c r="BT746" s="26"/>
      <c r="BU746" s="26"/>
      <c r="BV746" s="26"/>
      <c r="BW746" s="26"/>
      <c r="BX746" s="26"/>
      <c r="BY746" s="26"/>
      <c r="BZ746" s="26"/>
      <c r="CA746" s="26"/>
    </row>
    <row r="747" spans="1:79" s="143" customFormat="1" ht="15.75" hidden="1">
      <c r="A747" s="109">
        <v>5.9999999999999993E-6</v>
      </c>
      <c r="B747" s="110">
        <f t="shared" si="44"/>
        <v>747</v>
      </c>
      <c r="C747" s="111" t="str">
        <f>IF(C$1=[1]!T.in.A[[#This Row],[oo2]],1,"")</f>
        <v/>
      </c>
      <c r="D747" s="112" t="str">
        <f>IF(Tab.o1[[#This Row],[a1]]=1,IF(SUM(C747:C748)=0,0,IF(SUM(C746:C747)=1,1,IF(SUM(C746:C748)&gt;1,D746+1,0))),"")</f>
        <v/>
      </c>
      <c r="E747" s="113" t="str">
        <f>IF(Tab.o1[[#This Row],[a1]]=1,[1]!T.in.A[[#This Row],[oo1]],"")</f>
        <v/>
      </c>
      <c r="F747" s="113" t="str">
        <f>IF(Tab.o1[[#This Row],[a1]]=1,[1]!T.in.A[[#This Row],[pp1]],"")</f>
        <v/>
      </c>
      <c r="G747" s="114" t="str">
        <f>IF(Tab.o1[[#This Row],[a1]]=1,G$2+IF(G$1=1,0,Tab.o1[[#This Row],[.x1]])+[1]!T.in.A[[#This Row],[oo3]],"")</f>
        <v/>
      </c>
      <c r="H747" s="115" t="str">
        <f>IF(Tab.o1[[#This Row],[a1]]=1,IF(H$2=0,0,IF(G$1=1,0,Tab.o1[[#This Row],[.x1]])+[1]!T.in.A[[#This Row],[oo4]]),"")</f>
        <v/>
      </c>
      <c r="I747" s="116" t="str">
        <f>IF(Tab.o1[[#This Row],[a1]]=1,IF(J$2=0,Tab.o1[[#This Row],[MED]],Tab.o1[[#This Row],[MOD]]),"")</f>
        <v/>
      </c>
      <c r="J747" s="116" t="str">
        <f>IF(Tab.o1[[#This Row],[a1]]=1,((Tab.o1[[#This Row],[DIF_Target.]]-AVERAGE(Tab.o1[DIF_Target.]))/_xlfn.STDEV.P(Tab.o1[DIF_Target.])),"")</f>
        <v/>
      </c>
      <c r="K747" s="117" t="str">
        <f>IF(Tab.o1[[#This Row],[a1]]=1,IF(J$2=0,Tab.o1[[#This Row],[MOD]]-Tab.o1[[#This Row],[B]],IF(J$2=1,0,-Tab.o1[[#This Row],[MED]])+Tab.o1[[#This Row],[B]]),"")</f>
        <v/>
      </c>
      <c r="L747" s="117" t="str">
        <f ca="1">IF(Tab.o1[[#This Row],[DIF_Target]]=0,IF(L$2=0,Tab.o1[[#This Row],[DIF_Target]],AVERAGE(OFFSET(Tab.o1[[#This Row],[DIF_Target]],1,0,L$3,1)))/3,Tab.o1[[#This Row],[DIF_Target]])</f>
        <v/>
      </c>
      <c r="M747" s="118" t="str">
        <f>IF(Tab.o1[[#This Row],[a1]]=1,NORMSDIST(Tab.o1[[#This Row],[Za]]),"")</f>
        <v/>
      </c>
      <c r="N747" s="119" t="str">
        <f>IF(Tab.o1[[#This Row],[a1]]=1,((Tab.o1[[#This Row],[MedMod]]-AVERAGE(Tab.o1[MedMod]))/_xlfn.STDEV.P(Tab.o1[MedMod])*H$1205)+G$1205,"")</f>
        <v/>
      </c>
      <c r="O747" s="141" t="str">
        <f>IF(Tab.o1[[#This Row],[a1]]=1,Tab.o1[[#This Row],[Zb]]*_xlfn.STDEV.P(Tab.o1[MedMod])+AVERAGE(Tab.o1[MedMod]),"")</f>
        <v/>
      </c>
      <c r="P747" s="117" t="str">
        <f ca="1">IF(Tab.o1[[#This Row],[B]]=0,AVERAGE(OFFSET(Tab.o1[[#This Row],[B]],1,0,L$3,1)),Tab.o1[[#This Row],[B]])</f>
        <v/>
      </c>
      <c r="Q747" s="121" t="str">
        <f>IF(Tab.o1[[#This Row],[a1]]=1,NORMSDIST(Tab.o1[[#This Row],[Zb]]),"")</f>
        <v/>
      </c>
      <c r="R747" s="122" t="str">
        <f>IF(Tab.o1[[#This Row],[a1]]=1,((Tab.o1[[#This Row],[MedMod]]-AVERAGE(Tab.o1[MedMod]))/_xlfn.STDEV.P(Tab.o1[MedMod])*H$1203)+G$1203,"")</f>
        <v/>
      </c>
      <c r="S747" s="122" t="str">
        <f>IF(Tab.o1[[#This Row],[a1]]=1,((Tab.o1[[#This Row],[MedMod]]-AVERAGE(Tab.o1[MedMod]))/_xlfn.STDEV.P(Tab.o1[MedMod])*H$1204)+G$1204,"")</f>
        <v/>
      </c>
      <c r="T747" s="123" t="str">
        <f>IF(Tab.o1[[#This Row],[a1]]=1,Tab.o1[[#This Row],[Z-]]*_xlfn.STDEV.P(Tab.o1[B])+AVERAGE(Tab.o1[B]),"")</f>
        <v/>
      </c>
      <c r="U747" s="123" t="str">
        <f>IF(Tab.o1[[#This Row],[a1]]=1,Tab.o1[[#This Row],[z+]]*_xlfn.STDEV.P(Tab.o1[B])+AVERAGE(Tab.o1[B]),"")</f>
        <v/>
      </c>
      <c r="V747" s="124" t="str">
        <f>IF(Tab.o1[[#This Row],[a1]]=1,ABS((ABS(Tab.o1[[#This Row],[Red]]-Tab.o1[[#This Row],[Blue]]))),"")</f>
        <v/>
      </c>
      <c r="W747" s="125" t="str">
        <f>IF(Tab.o1[[#This Row],[a1]]=1,IF(W$3=0,1,Tab.o1[[#This Row],[Amp.]]*1/_xlfn.MINIFS(Tab.o1[Amp.],Tab.o1[Amp.],"&lt;&gt;0")),"")</f>
        <v/>
      </c>
      <c r="X747" s="126" t="str">
        <f>IF(Tab.o1[[#This Row],[a1]]=1,IF(ISNUMBER(Tab.o1[[#This Row],[i.]]),NORMDIST(Tab.o1[[#This Row],[Za]],0,1,FALSE)*Tab.o1[[#This Row],[i.]],AP$3),"")</f>
        <v/>
      </c>
      <c r="Y747" s="126" t="str">
        <f>IF(Tab.o1[[#This Row],[a1]]=1,0.01+0.94*Tab.o1[[#This Row],[PDF]]/MAX(Tab.o1[PDF]),"")</f>
        <v/>
      </c>
      <c r="Z747" s="126" t="str">
        <f>IF(Tab.o1[[#This Row],[a1]]=1,0.01+0.94*Tab.o1[[#This Row],[W1_PDF]]/MAX(Tab.o1[W1_PDF]),"")</f>
        <v/>
      </c>
      <c r="AA747" s="118" t="str">
        <f>IF(Tab.o1[[#This Row],[a1]]=1,ABS([1]!T.in.A[[#This Row],[oo6]]),"")</f>
        <v/>
      </c>
      <c r="AB747" s="127" t="str">
        <f>IF(Tab.o1[[#This Row],[a1]]=1,IF(AE$3=0,"",IF(AB$3=0,ABS([1]!T.in.A[[#This Row],[oo9]]),ABS(Tab.o1[[#This Row],[DIF_Target.]]*Tab.o1[[#This Row],[W1_PDF]]))),"")</f>
        <v/>
      </c>
      <c r="AC747" s="127" t="str">
        <f>IF(G$1=1,"",IF(Tab.o1[[#This Row],[a1]]=1,Tab.o1[[#This Row],[Wr]]^2,""))</f>
        <v/>
      </c>
      <c r="AD747" s="118" t="str">
        <f>IF(Tab.o1[[#This Row],[a1]]=1,IF(AE$3=0,"",Tab.o1[[#This Row],[Wr2]]/SUM(Tab.o1[Wr2])),"")</f>
        <v/>
      </c>
      <c r="AE747" s="128" t="str">
        <f>IF(Tab.o1[[#This Row],[a1]]=1,[1]!T.in.A[[#This Row],[oo10]],"")</f>
        <v/>
      </c>
      <c r="AF747" s="118" t="str">
        <f>IF(Tab.o1[[#This Row],[a1]]=1,ABS(Tab.o1[[#This Row],[DIF_Target.]]*Tab.o1[[#This Row],[PDF2]]*Tab.o1[[#This Row],[IN]]),"")</f>
        <v/>
      </c>
      <c r="AG747" s="129" t="str">
        <f>IF(Tab.o1[[#This Row],[a1]]=1,Tab.o1[[#This Row],[rW]]^2,"")</f>
        <v/>
      </c>
      <c r="AH747" s="130" t="str">
        <f>IF(Tab.o1[[#This Row],[a1]]=1,IF(AH$3=0,Tab.o1[[#This Row],[rW2]],0.01+0.94*Tab.o1[[#This Row],[rW2]]/SUM(Tab.o1[rW2])),"")</f>
        <v/>
      </c>
      <c r="AI747" s="128" t="str">
        <f>IF(Tab.o1[[#This Row],[a1]]=1,1/Tab.o1[[#This Row],[PDF]],"")</f>
        <v/>
      </c>
      <c r="AJ747" s="131" t="str">
        <f>IF(Tab.o1[[#This Row],[a1]]=1,[1]!T_AA[[#This Row],[IN'']]*[1]!T_AA[[#This Row],[Qde'']],"")</f>
        <v/>
      </c>
      <c r="AK747" s="132" t="str">
        <f>IF(Tab.o1[[#This Row],[a1]]=1,IF(AK$1=1,Tab.o1[[#This Row],[MED]]+Tab.o1[[#This Row],[MOD]]-Tab.o1[[#This Row],[MED]],""),"")</f>
        <v/>
      </c>
      <c r="AL747" s="133" t="str">
        <f>IF(Tab.o1[[#This Row],[a1]]=1,[1]!T.in.A[[#This Row],[oo16]],"")</f>
        <v/>
      </c>
      <c r="AM747" s="133" t="str">
        <f>IF(Tab.o1[[#This Row],[a1]]=1,IF(AM$3=1,[1]!T.in.A[[#This Row],[Σo16]],""),"")</f>
        <v/>
      </c>
      <c r="AN747" s="126" t="str">
        <f>IF(Tab.o1[[#This Row],[a1]]=1,[1]!T.in.A[[#This Row],[Σp5]],"")</f>
        <v/>
      </c>
      <c r="AO747" s="126" t="str">
        <f>IF(Tab.o1[[#This Row],[a1]]=1,IF(AO$3=1,[1]!T.in.A[[#This Row],[Σp5]],""),"")</f>
        <v/>
      </c>
      <c r="AP747" s="110" t="str">
        <f>IF(Tab.o1[[#This Row],[a1]]=1,IF(ISNUMBER(Tab.o1[[#This Row],[i.]]),NORMDIST(Tab.o1[[#This Row],[Za]],0,1,FALSE)*Tab.o1[[#This Row],[i.]],0),"")</f>
        <v/>
      </c>
      <c r="AQ747" s="125" t="str">
        <f>IF(Tab.o1[[#This Row],[a1]]=1,ABS(Tab.o1[[#This Row],[MOD]]-AVERAGE(Tab.o1[MOD])),"")</f>
        <v/>
      </c>
      <c r="AR747" s="134" t="str">
        <f>IF(Tab.o1[[#This Row],[a1]]=1,Tab.o1[[#This Row],[OBS]]/SUM(Tab.o1[OBS]),"")</f>
        <v/>
      </c>
      <c r="AS747" s="135" t="str">
        <f>IF(ISNUMBER(Tab.o1[[#This Row],[a1]]),ROW()-4,"")</f>
        <v/>
      </c>
      <c r="AT747" s="136" t="str">
        <f>Tab.o1[[#This Row],[MOD]]</f>
        <v/>
      </c>
      <c r="AU747" s="137" t="str">
        <f t="shared" si="45"/>
        <v/>
      </c>
      <c r="AV747" s="138" t="str">
        <f t="shared" si="46"/>
        <v/>
      </c>
      <c r="AW747" s="138" t="str">
        <f t="shared" si="47"/>
        <v/>
      </c>
      <c r="AX747" s="139" t="str">
        <f>[1]!T.in.A[[#This Row],[ID_T_manu]]</f>
        <v/>
      </c>
      <c r="AY747" s="140" t="str">
        <f>IF(ISNUMBER(Tab.o1[[#This Row],[a1]]),IF(AND(Tab.o1[[#This Row],[a1]]=1,Tab.o1[[#This Row],[b1]]&lt;=AY$4),#REF!,AY746),"")</f>
        <v/>
      </c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6"/>
      <c r="BO747" s="26"/>
      <c r="BP747" s="26"/>
      <c r="BQ747" s="26"/>
      <c r="BR747" s="26"/>
      <c r="BS747" s="26"/>
      <c r="BT747" s="26"/>
      <c r="BU747" s="26"/>
      <c r="BV747" s="26"/>
      <c r="BW747" s="26"/>
      <c r="BX747" s="26"/>
      <c r="BY747" s="26"/>
      <c r="BZ747" s="26"/>
      <c r="CA747" s="26"/>
    </row>
    <row r="748" spans="1:79" s="143" customFormat="1" ht="15.75" hidden="1">
      <c r="A748" s="109">
        <v>5.9999999999999993E-6</v>
      </c>
      <c r="B748" s="110">
        <f t="shared" si="44"/>
        <v>748</v>
      </c>
      <c r="C748" s="111" t="str">
        <f>IF(C$1=[1]!T.in.A[[#This Row],[oo2]],1,"")</f>
        <v/>
      </c>
      <c r="D748" s="112" t="str">
        <f>IF(Tab.o1[[#This Row],[a1]]=1,IF(SUM(C748:C749)=0,0,IF(SUM(C747:C748)=1,1,IF(SUM(C747:C749)&gt;1,D747+1,0))),"")</f>
        <v/>
      </c>
      <c r="E748" s="113" t="str">
        <f>IF(Tab.o1[[#This Row],[a1]]=1,[1]!T.in.A[[#This Row],[oo1]],"")</f>
        <v/>
      </c>
      <c r="F748" s="113" t="str">
        <f>IF(Tab.o1[[#This Row],[a1]]=1,[1]!T.in.A[[#This Row],[pp1]],"")</f>
        <v/>
      </c>
      <c r="G748" s="114" t="str">
        <f>IF(Tab.o1[[#This Row],[a1]]=1,G$2+IF(G$1=1,0,Tab.o1[[#This Row],[.x1]])+[1]!T.in.A[[#This Row],[oo3]],"")</f>
        <v/>
      </c>
      <c r="H748" s="115" t="str">
        <f>IF(Tab.o1[[#This Row],[a1]]=1,IF(H$2=0,0,IF(G$1=1,0,Tab.o1[[#This Row],[.x1]])+[1]!T.in.A[[#This Row],[oo4]]),"")</f>
        <v/>
      </c>
      <c r="I748" s="116" t="str">
        <f>IF(Tab.o1[[#This Row],[a1]]=1,IF(J$2=0,Tab.o1[[#This Row],[MED]],Tab.o1[[#This Row],[MOD]]),"")</f>
        <v/>
      </c>
      <c r="J748" s="116" t="str">
        <f>IF(Tab.o1[[#This Row],[a1]]=1,((Tab.o1[[#This Row],[DIF_Target.]]-AVERAGE(Tab.o1[DIF_Target.]))/_xlfn.STDEV.P(Tab.o1[DIF_Target.])),"")</f>
        <v/>
      </c>
      <c r="K748" s="117" t="str">
        <f>IF(Tab.o1[[#This Row],[a1]]=1,IF(J$2=0,Tab.o1[[#This Row],[MOD]]-Tab.o1[[#This Row],[B]],IF(J$2=1,0,-Tab.o1[[#This Row],[MED]])+Tab.o1[[#This Row],[B]]),"")</f>
        <v/>
      </c>
      <c r="L748" s="117" t="str">
        <f ca="1">IF(Tab.o1[[#This Row],[DIF_Target]]=0,IF(L$2=0,Tab.o1[[#This Row],[DIF_Target]],AVERAGE(OFFSET(Tab.o1[[#This Row],[DIF_Target]],1,0,L$3,1)))/3,Tab.o1[[#This Row],[DIF_Target]])</f>
        <v/>
      </c>
      <c r="M748" s="118" t="str">
        <f>IF(Tab.o1[[#This Row],[a1]]=1,NORMSDIST(Tab.o1[[#This Row],[Za]]),"")</f>
        <v/>
      </c>
      <c r="N748" s="119" t="str">
        <f>IF(Tab.o1[[#This Row],[a1]]=1,((Tab.o1[[#This Row],[MedMod]]-AVERAGE(Tab.o1[MedMod]))/_xlfn.STDEV.P(Tab.o1[MedMod])*H$1205)+G$1205,"")</f>
        <v/>
      </c>
      <c r="O748" s="141" t="str">
        <f>IF(Tab.o1[[#This Row],[a1]]=1,Tab.o1[[#This Row],[Zb]]*_xlfn.STDEV.P(Tab.o1[MedMod])+AVERAGE(Tab.o1[MedMod]),"")</f>
        <v/>
      </c>
      <c r="P748" s="117" t="str">
        <f ca="1">IF(Tab.o1[[#This Row],[B]]=0,AVERAGE(OFFSET(Tab.o1[[#This Row],[B]],1,0,L$3,1)),Tab.o1[[#This Row],[B]])</f>
        <v/>
      </c>
      <c r="Q748" s="121" t="str">
        <f>IF(Tab.o1[[#This Row],[a1]]=1,NORMSDIST(Tab.o1[[#This Row],[Zb]]),"")</f>
        <v/>
      </c>
      <c r="R748" s="122" t="str">
        <f>IF(Tab.o1[[#This Row],[a1]]=1,((Tab.o1[[#This Row],[MedMod]]-AVERAGE(Tab.o1[MedMod]))/_xlfn.STDEV.P(Tab.o1[MedMod])*H$1203)+G$1203,"")</f>
        <v/>
      </c>
      <c r="S748" s="122" t="str">
        <f>IF(Tab.o1[[#This Row],[a1]]=1,((Tab.o1[[#This Row],[MedMod]]-AVERAGE(Tab.o1[MedMod]))/_xlfn.STDEV.P(Tab.o1[MedMod])*H$1204)+G$1204,"")</f>
        <v/>
      </c>
      <c r="T748" s="123" t="str">
        <f>IF(Tab.o1[[#This Row],[a1]]=1,Tab.o1[[#This Row],[Z-]]*_xlfn.STDEV.P(Tab.o1[B])+AVERAGE(Tab.o1[B]),"")</f>
        <v/>
      </c>
      <c r="U748" s="123" t="str">
        <f>IF(Tab.o1[[#This Row],[a1]]=1,Tab.o1[[#This Row],[z+]]*_xlfn.STDEV.P(Tab.o1[B])+AVERAGE(Tab.o1[B]),"")</f>
        <v/>
      </c>
      <c r="V748" s="124" t="str">
        <f>IF(Tab.o1[[#This Row],[a1]]=1,ABS((ABS(Tab.o1[[#This Row],[Red]]-Tab.o1[[#This Row],[Blue]]))),"")</f>
        <v/>
      </c>
      <c r="W748" s="125" t="str">
        <f>IF(Tab.o1[[#This Row],[a1]]=1,IF(W$3=0,1,Tab.o1[[#This Row],[Amp.]]*1/_xlfn.MINIFS(Tab.o1[Amp.],Tab.o1[Amp.],"&lt;&gt;0")),"")</f>
        <v/>
      </c>
      <c r="X748" s="126" t="str">
        <f>IF(Tab.o1[[#This Row],[a1]]=1,IF(ISNUMBER(Tab.o1[[#This Row],[i.]]),NORMDIST(Tab.o1[[#This Row],[Za]],0,1,FALSE)*Tab.o1[[#This Row],[i.]],AP$3),"")</f>
        <v/>
      </c>
      <c r="Y748" s="126" t="str">
        <f>IF(Tab.o1[[#This Row],[a1]]=1,0.01+0.94*Tab.o1[[#This Row],[PDF]]/MAX(Tab.o1[PDF]),"")</f>
        <v/>
      </c>
      <c r="Z748" s="126" t="str">
        <f>IF(Tab.o1[[#This Row],[a1]]=1,0.01+0.94*Tab.o1[[#This Row],[W1_PDF]]/MAX(Tab.o1[W1_PDF]),"")</f>
        <v/>
      </c>
      <c r="AA748" s="118" t="str">
        <f>IF(Tab.o1[[#This Row],[a1]]=1,ABS([1]!T.in.A[[#This Row],[oo6]]),"")</f>
        <v/>
      </c>
      <c r="AB748" s="127" t="str">
        <f>IF(Tab.o1[[#This Row],[a1]]=1,IF(AE$3=0,"",IF(AB$3=0,ABS([1]!T.in.A[[#This Row],[oo9]]),ABS(Tab.o1[[#This Row],[DIF_Target.]]*Tab.o1[[#This Row],[W1_PDF]]))),"")</f>
        <v/>
      </c>
      <c r="AC748" s="127" t="str">
        <f>IF(G$1=1,"",IF(Tab.o1[[#This Row],[a1]]=1,Tab.o1[[#This Row],[Wr]]^2,""))</f>
        <v/>
      </c>
      <c r="AD748" s="118" t="str">
        <f>IF(Tab.o1[[#This Row],[a1]]=1,IF(AE$3=0,"",Tab.o1[[#This Row],[Wr2]]/SUM(Tab.o1[Wr2])),"")</f>
        <v/>
      </c>
      <c r="AE748" s="128" t="str">
        <f>IF(Tab.o1[[#This Row],[a1]]=1,[1]!T.in.A[[#This Row],[oo10]],"")</f>
        <v/>
      </c>
      <c r="AF748" s="118" t="str">
        <f>IF(Tab.o1[[#This Row],[a1]]=1,ABS(Tab.o1[[#This Row],[DIF_Target.]]*Tab.o1[[#This Row],[PDF2]]*Tab.o1[[#This Row],[IN]]),"")</f>
        <v/>
      </c>
      <c r="AG748" s="129" t="str">
        <f>IF(Tab.o1[[#This Row],[a1]]=1,Tab.o1[[#This Row],[rW]]^2,"")</f>
        <v/>
      </c>
      <c r="AH748" s="130" t="str">
        <f>IF(Tab.o1[[#This Row],[a1]]=1,IF(AH$3=0,Tab.o1[[#This Row],[rW2]],0.01+0.94*Tab.o1[[#This Row],[rW2]]/SUM(Tab.o1[rW2])),"")</f>
        <v/>
      </c>
      <c r="AI748" s="128" t="str">
        <f>IF(Tab.o1[[#This Row],[a1]]=1,1/Tab.o1[[#This Row],[PDF]],"")</f>
        <v/>
      </c>
      <c r="AJ748" s="131" t="str">
        <f>IF(Tab.o1[[#This Row],[a1]]=1,[1]!T_AA[[#This Row],[IN'']]*[1]!T_AA[[#This Row],[Qde'']],"")</f>
        <v/>
      </c>
      <c r="AK748" s="132" t="str">
        <f>IF(Tab.o1[[#This Row],[a1]]=1,IF(AK$1=1,Tab.o1[[#This Row],[MED]]+Tab.o1[[#This Row],[MOD]]-Tab.o1[[#This Row],[MED]],""),"")</f>
        <v/>
      </c>
      <c r="AL748" s="133" t="str">
        <f>IF(Tab.o1[[#This Row],[a1]]=1,[1]!T.in.A[[#This Row],[oo16]],"")</f>
        <v/>
      </c>
      <c r="AM748" s="133" t="str">
        <f>IF(Tab.o1[[#This Row],[a1]]=1,IF(AM$3=1,[1]!T.in.A[[#This Row],[Σo16]],""),"")</f>
        <v/>
      </c>
      <c r="AN748" s="126" t="str">
        <f>IF(Tab.o1[[#This Row],[a1]]=1,[1]!T.in.A[[#This Row],[Σp5]],"")</f>
        <v/>
      </c>
      <c r="AO748" s="126" t="str">
        <f>IF(Tab.o1[[#This Row],[a1]]=1,IF(AO$3=1,[1]!T.in.A[[#This Row],[Σp5]],""),"")</f>
        <v/>
      </c>
      <c r="AP748" s="110" t="str">
        <f>IF(Tab.o1[[#This Row],[a1]]=1,IF(ISNUMBER(Tab.o1[[#This Row],[i.]]),NORMDIST(Tab.o1[[#This Row],[Za]],0,1,FALSE)*Tab.o1[[#This Row],[i.]],0),"")</f>
        <v/>
      </c>
      <c r="AQ748" s="125" t="str">
        <f>IF(Tab.o1[[#This Row],[a1]]=1,ABS(Tab.o1[[#This Row],[MOD]]-AVERAGE(Tab.o1[MOD])),"")</f>
        <v/>
      </c>
      <c r="AR748" s="134" t="str">
        <f>IF(Tab.o1[[#This Row],[a1]]=1,Tab.o1[[#This Row],[OBS]]/SUM(Tab.o1[OBS]),"")</f>
        <v/>
      </c>
      <c r="AS748" s="135" t="str">
        <f>IF(ISNUMBER(Tab.o1[[#This Row],[a1]]),ROW()-4,"")</f>
        <v/>
      </c>
      <c r="AT748" s="136" t="str">
        <f>Tab.o1[[#This Row],[MOD]]</f>
        <v/>
      </c>
      <c r="AU748" s="137" t="str">
        <f t="shared" si="45"/>
        <v/>
      </c>
      <c r="AV748" s="138" t="str">
        <f t="shared" si="46"/>
        <v/>
      </c>
      <c r="AW748" s="138" t="str">
        <f t="shared" si="47"/>
        <v/>
      </c>
      <c r="AX748" s="139" t="str">
        <f>[1]!T.in.A[[#This Row],[ID_T_manu]]</f>
        <v/>
      </c>
      <c r="AY748" s="140" t="str">
        <f>IF(ISNUMBER(Tab.o1[[#This Row],[a1]]),IF(AND(Tab.o1[[#This Row],[a1]]=1,Tab.o1[[#This Row],[b1]]&lt;=AY$4),#REF!,AY747),"")</f>
        <v/>
      </c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6"/>
      <c r="BO748" s="26"/>
      <c r="BP748" s="26"/>
      <c r="BQ748" s="26"/>
      <c r="BR748" s="26"/>
      <c r="BS748" s="26"/>
      <c r="BT748" s="26"/>
      <c r="BU748" s="26"/>
      <c r="BV748" s="26"/>
      <c r="BW748" s="26"/>
      <c r="BX748" s="26"/>
      <c r="BY748" s="26"/>
      <c r="BZ748" s="26"/>
      <c r="CA748" s="26"/>
    </row>
    <row r="749" spans="1:79" s="143" customFormat="1" ht="15.75" hidden="1">
      <c r="A749" s="109">
        <v>2.9999999999999997E-6</v>
      </c>
      <c r="B749" s="110">
        <f t="shared" si="44"/>
        <v>749</v>
      </c>
      <c r="C749" s="111" t="str">
        <f>IF(C$1=[1]!T.in.A[[#This Row],[oo2]],1,"")</f>
        <v/>
      </c>
      <c r="D749" s="112" t="str">
        <f>IF(Tab.o1[[#This Row],[a1]]=1,IF(SUM(C749:C750)=0,0,IF(SUM(C748:C749)=1,1,IF(SUM(C748:C750)&gt;1,D748+1,0))),"")</f>
        <v/>
      </c>
      <c r="E749" s="113" t="str">
        <f>IF(Tab.o1[[#This Row],[a1]]=1,[1]!T.in.A[[#This Row],[oo1]],"")</f>
        <v/>
      </c>
      <c r="F749" s="113" t="str">
        <f>IF(Tab.o1[[#This Row],[a1]]=1,[1]!T.in.A[[#This Row],[pp1]],"")</f>
        <v/>
      </c>
      <c r="G749" s="114" t="str">
        <f>IF(Tab.o1[[#This Row],[a1]]=1,G$2+IF(G$1=1,0,Tab.o1[[#This Row],[.x1]])+[1]!T.in.A[[#This Row],[oo3]],"")</f>
        <v/>
      </c>
      <c r="H749" s="115" t="str">
        <f>IF(Tab.o1[[#This Row],[a1]]=1,IF(H$2=0,0,IF(G$1=1,0,Tab.o1[[#This Row],[.x1]])+[1]!T.in.A[[#This Row],[oo4]]),"")</f>
        <v/>
      </c>
      <c r="I749" s="116" t="str">
        <f>IF(Tab.o1[[#This Row],[a1]]=1,IF(J$2=0,Tab.o1[[#This Row],[MED]],Tab.o1[[#This Row],[MOD]]),"")</f>
        <v/>
      </c>
      <c r="J749" s="116" t="str">
        <f>IF(Tab.o1[[#This Row],[a1]]=1,((Tab.o1[[#This Row],[DIF_Target.]]-AVERAGE(Tab.o1[DIF_Target.]))/_xlfn.STDEV.P(Tab.o1[DIF_Target.])),"")</f>
        <v/>
      </c>
      <c r="K749" s="117" t="str">
        <f>IF(Tab.o1[[#This Row],[a1]]=1,IF(J$2=0,Tab.o1[[#This Row],[MOD]]-Tab.o1[[#This Row],[B]],IF(J$2=1,0,-Tab.o1[[#This Row],[MED]])+Tab.o1[[#This Row],[B]]),"")</f>
        <v/>
      </c>
      <c r="L749" s="117" t="str">
        <f ca="1">IF(Tab.o1[[#This Row],[DIF_Target]]=0,IF(L$2=0,Tab.o1[[#This Row],[DIF_Target]],AVERAGE(OFFSET(Tab.o1[[#This Row],[DIF_Target]],1,0,L$3,1)))/3,Tab.o1[[#This Row],[DIF_Target]])</f>
        <v/>
      </c>
      <c r="M749" s="118" t="str">
        <f>IF(Tab.o1[[#This Row],[a1]]=1,NORMSDIST(Tab.o1[[#This Row],[Za]]),"")</f>
        <v/>
      </c>
      <c r="N749" s="119" t="str">
        <f>IF(Tab.o1[[#This Row],[a1]]=1,((Tab.o1[[#This Row],[MedMod]]-AVERAGE(Tab.o1[MedMod]))/_xlfn.STDEV.P(Tab.o1[MedMod])*H$1205)+G$1205,"")</f>
        <v/>
      </c>
      <c r="O749" s="141" t="str">
        <f>IF(Tab.o1[[#This Row],[a1]]=1,Tab.o1[[#This Row],[Zb]]*_xlfn.STDEV.P(Tab.o1[MedMod])+AVERAGE(Tab.o1[MedMod]),"")</f>
        <v/>
      </c>
      <c r="P749" s="117" t="str">
        <f ca="1">IF(Tab.o1[[#This Row],[B]]=0,AVERAGE(OFFSET(Tab.o1[[#This Row],[B]],1,0,L$3,1)),Tab.o1[[#This Row],[B]])</f>
        <v/>
      </c>
      <c r="Q749" s="121" t="str">
        <f>IF(Tab.o1[[#This Row],[a1]]=1,NORMSDIST(Tab.o1[[#This Row],[Zb]]),"")</f>
        <v/>
      </c>
      <c r="R749" s="122" t="str">
        <f>IF(Tab.o1[[#This Row],[a1]]=1,((Tab.o1[[#This Row],[MedMod]]-AVERAGE(Tab.o1[MedMod]))/_xlfn.STDEV.P(Tab.o1[MedMod])*H$1203)+G$1203,"")</f>
        <v/>
      </c>
      <c r="S749" s="122" t="str">
        <f>IF(Tab.o1[[#This Row],[a1]]=1,((Tab.o1[[#This Row],[MedMod]]-AVERAGE(Tab.o1[MedMod]))/_xlfn.STDEV.P(Tab.o1[MedMod])*H$1204)+G$1204,"")</f>
        <v/>
      </c>
      <c r="T749" s="123" t="str">
        <f>IF(Tab.o1[[#This Row],[a1]]=1,Tab.o1[[#This Row],[Z-]]*_xlfn.STDEV.P(Tab.o1[B])+AVERAGE(Tab.o1[B]),"")</f>
        <v/>
      </c>
      <c r="U749" s="123" t="str">
        <f>IF(Tab.o1[[#This Row],[a1]]=1,Tab.o1[[#This Row],[z+]]*_xlfn.STDEV.P(Tab.o1[B])+AVERAGE(Tab.o1[B]),"")</f>
        <v/>
      </c>
      <c r="V749" s="124" t="str">
        <f>IF(Tab.o1[[#This Row],[a1]]=1,ABS((ABS(Tab.o1[[#This Row],[Red]]-Tab.o1[[#This Row],[Blue]]))),"")</f>
        <v/>
      </c>
      <c r="W749" s="125" t="str">
        <f>IF(Tab.o1[[#This Row],[a1]]=1,IF(W$3=0,1,Tab.o1[[#This Row],[Amp.]]*1/_xlfn.MINIFS(Tab.o1[Amp.],Tab.o1[Amp.],"&lt;&gt;0")),"")</f>
        <v/>
      </c>
      <c r="X749" s="126" t="str">
        <f>IF(Tab.o1[[#This Row],[a1]]=1,IF(ISNUMBER(Tab.o1[[#This Row],[i.]]),NORMDIST(Tab.o1[[#This Row],[Za]],0,1,FALSE)*Tab.o1[[#This Row],[i.]],AP$3),"")</f>
        <v/>
      </c>
      <c r="Y749" s="126" t="str">
        <f>IF(Tab.o1[[#This Row],[a1]]=1,0.01+0.94*Tab.o1[[#This Row],[PDF]]/MAX(Tab.o1[PDF]),"")</f>
        <v/>
      </c>
      <c r="Z749" s="126" t="str">
        <f>IF(Tab.o1[[#This Row],[a1]]=1,0.01+0.94*Tab.o1[[#This Row],[W1_PDF]]/MAX(Tab.o1[W1_PDF]),"")</f>
        <v/>
      </c>
      <c r="AA749" s="118" t="str">
        <f>IF(Tab.o1[[#This Row],[a1]]=1,ABS([1]!T.in.A[[#This Row],[oo6]]),"")</f>
        <v/>
      </c>
      <c r="AB749" s="127" t="str">
        <f>IF(Tab.o1[[#This Row],[a1]]=1,IF(AE$3=0,"",IF(AB$3=0,ABS([1]!T.in.A[[#This Row],[oo9]]),ABS(Tab.o1[[#This Row],[DIF_Target.]]*Tab.o1[[#This Row],[W1_PDF]]))),"")</f>
        <v/>
      </c>
      <c r="AC749" s="127" t="str">
        <f>IF(G$1=1,"",IF(Tab.o1[[#This Row],[a1]]=1,Tab.o1[[#This Row],[Wr]]^2,""))</f>
        <v/>
      </c>
      <c r="AD749" s="118" t="str">
        <f>IF(Tab.o1[[#This Row],[a1]]=1,IF(AE$3=0,"",Tab.o1[[#This Row],[Wr2]]/SUM(Tab.o1[Wr2])),"")</f>
        <v/>
      </c>
      <c r="AE749" s="128" t="str">
        <f>IF(Tab.o1[[#This Row],[a1]]=1,[1]!T.in.A[[#This Row],[oo10]],"")</f>
        <v/>
      </c>
      <c r="AF749" s="118" t="str">
        <f>IF(Tab.o1[[#This Row],[a1]]=1,ABS(Tab.o1[[#This Row],[DIF_Target.]]*Tab.o1[[#This Row],[PDF2]]*Tab.o1[[#This Row],[IN]]),"")</f>
        <v/>
      </c>
      <c r="AG749" s="129" t="str">
        <f>IF(Tab.o1[[#This Row],[a1]]=1,Tab.o1[[#This Row],[rW]]^2,"")</f>
        <v/>
      </c>
      <c r="AH749" s="130" t="str">
        <f>IF(Tab.o1[[#This Row],[a1]]=1,IF(AH$3=0,Tab.o1[[#This Row],[rW2]],0.01+0.94*Tab.o1[[#This Row],[rW2]]/SUM(Tab.o1[rW2])),"")</f>
        <v/>
      </c>
      <c r="AI749" s="128" t="str">
        <f>IF(Tab.o1[[#This Row],[a1]]=1,1/Tab.o1[[#This Row],[PDF]],"")</f>
        <v/>
      </c>
      <c r="AJ749" s="131" t="str">
        <f>IF(Tab.o1[[#This Row],[a1]]=1,[1]!T_AA[[#This Row],[IN'']]*[1]!T_AA[[#This Row],[Qde'']],"")</f>
        <v/>
      </c>
      <c r="AK749" s="132" t="str">
        <f>IF(Tab.o1[[#This Row],[a1]]=1,IF(AK$1=1,Tab.o1[[#This Row],[MED]]+Tab.o1[[#This Row],[MOD]]-Tab.o1[[#This Row],[MED]],""),"")</f>
        <v/>
      </c>
      <c r="AL749" s="133" t="str">
        <f>IF(Tab.o1[[#This Row],[a1]]=1,[1]!T.in.A[[#This Row],[oo16]],"")</f>
        <v/>
      </c>
      <c r="AM749" s="133" t="str">
        <f>IF(Tab.o1[[#This Row],[a1]]=1,IF(AM$3=1,[1]!T.in.A[[#This Row],[Σo16]],""),"")</f>
        <v/>
      </c>
      <c r="AN749" s="126" t="str">
        <f>IF(Tab.o1[[#This Row],[a1]]=1,[1]!T.in.A[[#This Row],[Σp5]],"")</f>
        <v/>
      </c>
      <c r="AO749" s="126" t="str">
        <f>IF(Tab.o1[[#This Row],[a1]]=1,IF(AO$3=1,[1]!T.in.A[[#This Row],[Σp5]],""),"")</f>
        <v/>
      </c>
      <c r="AP749" s="110" t="str">
        <f>IF(Tab.o1[[#This Row],[a1]]=1,IF(ISNUMBER(Tab.o1[[#This Row],[i.]]),NORMDIST(Tab.o1[[#This Row],[Za]],0,1,FALSE)*Tab.o1[[#This Row],[i.]],0),"")</f>
        <v/>
      </c>
      <c r="AQ749" s="125" t="str">
        <f>IF(Tab.o1[[#This Row],[a1]]=1,ABS(Tab.o1[[#This Row],[MOD]]-AVERAGE(Tab.o1[MOD])),"")</f>
        <v/>
      </c>
      <c r="AR749" s="134" t="str">
        <f>IF(Tab.o1[[#This Row],[a1]]=1,Tab.o1[[#This Row],[OBS]]/SUM(Tab.o1[OBS]),"")</f>
        <v/>
      </c>
      <c r="AS749" s="135" t="str">
        <f>IF(ISNUMBER(Tab.o1[[#This Row],[a1]]),ROW()-4,"")</f>
        <v/>
      </c>
      <c r="AT749" s="136" t="str">
        <f>Tab.o1[[#This Row],[MOD]]</f>
        <v/>
      </c>
      <c r="AU749" s="137" t="str">
        <f t="shared" si="45"/>
        <v/>
      </c>
      <c r="AV749" s="138" t="str">
        <f t="shared" si="46"/>
        <v/>
      </c>
      <c r="AW749" s="138" t="str">
        <f t="shared" si="47"/>
        <v/>
      </c>
      <c r="AX749" s="139" t="str">
        <f>[1]!T.in.A[[#This Row],[ID_T_manu]]</f>
        <v/>
      </c>
      <c r="AY749" s="140" t="str">
        <f>IF(ISNUMBER(Tab.o1[[#This Row],[a1]]),IF(AND(Tab.o1[[#This Row],[a1]]=1,Tab.o1[[#This Row],[b1]]&lt;=AY$4),#REF!,AY748),"")</f>
        <v/>
      </c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6"/>
      <c r="BO749" s="26"/>
      <c r="BP749" s="26"/>
      <c r="BQ749" s="26"/>
      <c r="BR749" s="26"/>
      <c r="BS749" s="26"/>
      <c r="BT749" s="26"/>
      <c r="BU749" s="26"/>
      <c r="BV749" s="26"/>
      <c r="BW749" s="26"/>
      <c r="BX749" s="26"/>
      <c r="BY749" s="26"/>
      <c r="BZ749" s="26"/>
      <c r="CA749" s="26"/>
    </row>
    <row r="750" spans="1:79" s="143" customFormat="1" ht="15.75" hidden="1">
      <c r="A750" s="109">
        <v>4.0000000000000007E-6</v>
      </c>
      <c r="B750" s="110">
        <f t="shared" si="44"/>
        <v>750</v>
      </c>
      <c r="C750" s="111" t="str">
        <f>IF(C$1=[1]!T.in.A[[#This Row],[oo2]],1,"")</f>
        <v/>
      </c>
      <c r="D750" s="112" t="str">
        <f>IF(Tab.o1[[#This Row],[a1]]=1,IF(SUM(C750:C751)=0,0,IF(SUM(C749:C750)=1,1,IF(SUM(C749:C751)&gt;1,D749+1,0))),"")</f>
        <v/>
      </c>
      <c r="E750" s="113" t="str">
        <f>IF(Tab.o1[[#This Row],[a1]]=1,[1]!T.in.A[[#This Row],[oo1]],"")</f>
        <v/>
      </c>
      <c r="F750" s="113" t="str">
        <f>IF(Tab.o1[[#This Row],[a1]]=1,[1]!T.in.A[[#This Row],[pp1]],"")</f>
        <v/>
      </c>
      <c r="G750" s="114" t="str">
        <f>IF(Tab.o1[[#This Row],[a1]]=1,G$2+IF(G$1=1,0,Tab.o1[[#This Row],[.x1]])+[1]!T.in.A[[#This Row],[oo3]],"")</f>
        <v/>
      </c>
      <c r="H750" s="115" t="str">
        <f>IF(Tab.o1[[#This Row],[a1]]=1,IF(H$2=0,0,IF(G$1=1,0,Tab.o1[[#This Row],[.x1]])+[1]!T.in.A[[#This Row],[oo4]]),"")</f>
        <v/>
      </c>
      <c r="I750" s="116" t="str">
        <f>IF(Tab.o1[[#This Row],[a1]]=1,IF(J$2=0,Tab.o1[[#This Row],[MED]],Tab.o1[[#This Row],[MOD]]),"")</f>
        <v/>
      </c>
      <c r="J750" s="116" t="str">
        <f>IF(Tab.o1[[#This Row],[a1]]=1,((Tab.o1[[#This Row],[DIF_Target.]]-AVERAGE(Tab.o1[DIF_Target.]))/_xlfn.STDEV.P(Tab.o1[DIF_Target.])),"")</f>
        <v/>
      </c>
      <c r="K750" s="117" t="str">
        <f>IF(Tab.o1[[#This Row],[a1]]=1,IF(J$2=0,Tab.o1[[#This Row],[MOD]]-Tab.o1[[#This Row],[B]],IF(J$2=1,0,-Tab.o1[[#This Row],[MED]])+Tab.o1[[#This Row],[B]]),"")</f>
        <v/>
      </c>
      <c r="L750" s="117" t="str">
        <f ca="1">IF(Tab.o1[[#This Row],[DIF_Target]]=0,IF(L$2=0,Tab.o1[[#This Row],[DIF_Target]],AVERAGE(OFFSET(Tab.o1[[#This Row],[DIF_Target]],1,0,L$3,1)))/3,Tab.o1[[#This Row],[DIF_Target]])</f>
        <v/>
      </c>
      <c r="M750" s="118" t="str">
        <f>IF(Tab.o1[[#This Row],[a1]]=1,NORMSDIST(Tab.o1[[#This Row],[Za]]),"")</f>
        <v/>
      </c>
      <c r="N750" s="119" t="str">
        <f>IF(Tab.o1[[#This Row],[a1]]=1,((Tab.o1[[#This Row],[MedMod]]-AVERAGE(Tab.o1[MedMod]))/_xlfn.STDEV.P(Tab.o1[MedMod])*H$1205)+G$1205,"")</f>
        <v/>
      </c>
      <c r="O750" s="141" t="str">
        <f>IF(Tab.o1[[#This Row],[a1]]=1,Tab.o1[[#This Row],[Zb]]*_xlfn.STDEV.P(Tab.o1[MedMod])+AVERAGE(Tab.o1[MedMod]),"")</f>
        <v/>
      </c>
      <c r="P750" s="117" t="str">
        <f ca="1">IF(Tab.o1[[#This Row],[B]]=0,AVERAGE(OFFSET(Tab.o1[[#This Row],[B]],1,0,L$3,1)),Tab.o1[[#This Row],[B]])</f>
        <v/>
      </c>
      <c r="Q750" s="121" t="str">
        <f>IF(Tab.o1[[#This Row],[a1]]=1,NORMSDIST(Tab.o1[[#This Row],[Zb]]),"")</f>
        <v/>
      </c>
      <c r="R750" s="122" t="str">
        <f>IF(Tab.o1[[#This Row],[a1]]=1,((Tab.o1[[#This Row],[MedMod]]-AVERAGE(Tab.o1[MedMod]))/_xlfn.STDEV.P(Tab.o1[MedMod])*H$1203)+G$1203,"")</f>
        <v/>
      </c>
      <c r="S750" s="122" t="str">
        <f>IF(Tab.o1[[#This Row],[a1]]=1,((Tab.o1[[#This Row],[MedMod]]-AVERAGE(Tab.o1[MedMod]))/_xlfn.STDEV.P(Tab.o1[MedMod])*H$1204)+G$1204,"")</f>
        <v/>
      </c>
      <c r="T750" s="123" t="str">
        <f>IF(Tab.o1[[#This Row],[a1]]=1,Tab.o1[[#This Row],[Z-]]*_xlfn.STDEV.P(Tab.o1[B])+AVERAGE(Tab.o1[B]),"")</f>
        <v/>
      </c>
      <c r="U750" s="123" t="str">
        <f>IF(Tab.o1[[#This Row],[a1]]=1,Tab.o1[[#This Row],[z+]]*_xlfn.STDEV.P(Tab.o1[B])+AVERAGE(Tab.o1[B]),"")</f>
        <v/>
      </c>
      <c r="V750" s="124" t="str">
        <f>IF(Tab.o1[[#This Row],[a1]]=1,ABS((ABS(Tab.o1[[#This Row],[Red]]-Tab.o1[[#This Row],[Blue]]))),"")</f>
        <v/>
      </c>
      <c r="W750" s="125" t="str">
        <f>IF(Tab.o1[[#This Row],[a1]]=1,IF(W$3=0,1,Tab.o1[[#This Row],[Amp.]]*1/_xlfn.MINIFS(Tab.o1[Amp.],Tab.o1[Amp.],"&lt;&gt;0")),"")</f>
        <v/>
      </c>
      <c r="X750" s="126" t="str">
        <f>IF(Tab.o1[[#This Row],[a1]]=1,IF(ISNUMBER(Tab.o1[[#This Row],[i.]]),NORMDIST(Tab.o1[[#This Row],[Za]],0,1,FALSE)*Tab.o1[[#This Row],[i.]],AP$3),"")</f>
        <v/>
      </c>
      <c r="Y750" s="126" t="str">
        <f>IF(Tab.o1[[#This Row],[a1]]=1,0.01+0.94*Tab.o1[[#This Row],[PDF]]/MAX(Tab.o1[PDF]),"")</f>
        <v/>
      </c>
      <c r="Z750" s="126" t="str">
        <f>IF(Tab.o1[[#This Row],[a1]]=1,0.01+0.94*Tab.o1[[#This Row],[W1_PDF]]/MAX(Tab.o1[W1_PDF]),"")</f>
        <v/>
      </c>
      <c r="AA750" s="118" t="str">
        <f>IF(Tab.o1[[#This Row],[a1]]=1,ABS([1]!T.in.A[[#This Row],[oo6]]),"")</f>
        <v/>
      </c>
      <c r="AB750" s="127" t="str">
        <f>IF(Tab.o1[[#This Row],[a1]]=1,IF(AE$3=0,"",IF(AB$3=0,ABS([1]!T.in.A[[#This Row],[oo9]]),ABS(Tab.o1[[#This Row],[DIF_Target.]]*Tab.o1[[#This Row],[W1_PDF]]))),"")</f>
        <v/>
      </c>
      <c r="AC750" s="127" t="str">
        <f>IF(G$1=1,"",IF(Tab.o1[[#This Row],[a1]]=1,Tab.o1[[#This Row],[Wr]]^2,""))</f>
        <v/>
      </c>
      <c r="AD750" s="118" t="str">
        <f>IF(Tab.o1[[#This Row],[a1]]=1,IF(AE$3=0,"",Tab.o1[[#This Row],[Wr2]]/SUM(Tab.o1[Wr2])),"")</f>
        <v/>
      </c>
      <c r="AE750" s="128" t="str">
        <f>IF(Tab.o1[[#This Row],[a1]]=1,[1]!T.in.A[[#This Row],[oo10]],"")</f>
        <v/>
      </c>
      <c r="AF750" s="118" t="str">
        <f>IF(Tab.o1[[#This Row],[a1]]=1,ABS(Tab.o1[[#This Row],[DIF_Target.]]*Tab.o1[[#This Row],[PDF2]]*Tab.o1[[#This Row],[IN]]),"")</f>
        <v/>
      </c>
      <c r="AG750" s="129" t="str">
        <f>IF(Tab.o1[[#This Row],[a1]]=1,Tab.o1[[#This Row],[rW]]^2,"")</f>
        <v/>
      </c>
      <c r="AH750" s="130" t="str">
        <f>IF(Tab.o1[[#This Row],[a1]]=1,IF(AH$3=0,Tab.o1[[#This Row],[rW2]],0.01+0.94*Tab.o1[[#This Row],[rW2]]/SUM(Tab.o1[rW2])),"")</f>
        <v/>
      </c>
      <c r="AI750" s="128" t="str">
        <f>IF(Tab.o1[[#This Row],[a1]]=1,1/Tab.o1[[#This Row],[PDF]],"")</f>
        <v/>
      </c>
      <c r="AJ750" s="131" t="str">
        <f>IF(Tab.o1[[#This Row],[a1]]=1,[1]!T_AA[[#This Row],[IN'']]*[1]!T_AA[[#This Row],[Qde'']],"")</f>
        <v/>
      </c>
      <c r="AK750" s="132" t="str">
        <f>IF(Tab.o1[[#This Row],[a1]]=1,IF(AK$1=1,Tab.o1[[#This Row],[MED]]+Tab.o1[[#This Row],[MOD]]-Tab.o1[[#This Row],[MED]],""),"")</f>
        <v/>
      </c>
      <c r="AL750" s="133" t="str">
        <f>IF(Tab.o1[[#This Row],[a1]]=1,[1]!T.in.A[[#This Row],[oo16]],"")</f>
        <v/>
      </c>
      <c r="AM750" s="133" t="str">
        <f>IF(Tab.o1[[#This Row],[a1]]=1,IF(AM$3=1,[1]!T.in.A[[#This Row],[Σo16]],""),"")</f>
        <v/>
      </c>
      <c r="AN750" s="126" t="str">
        <f>IF(Tab.o1[[#This Row],[a1]]=1,[1]!T.in.A[[#This Row],[Σp5]],"")</f>
        <v/>
      </c>
      <c r="AO750" s="126" t="str">
        <f>IF(Tab.o1[[#This Row],[a1]]=1,IF(AO$3=1,[1]!T.in.A[[#This Row],[Σp5]],""),"")</f>
        <v/>
      </c>
      <c r="AP750" s="110" t="str">
        <f>IF(Tab.o1[[#This Row],[a1]]=1,IF(ISNUMBER(Tab.o1[[#This Row],[i.]]),NORMDIST(Tab.o1[[#This Row],[Za]],0,1,FALSE)*Tab.o1[[#This Row],[i.]],0),"")</f>
        <v/>
      </c>
      <c r="AQ750" s="125" t="str">
        <f>IF(Tab.o1[[#This Row],[a1]]=1,ABS(Tab.o1[[#This Row],[MOD]]-AVERAGE(Tab.o1[MOD])),"")</f>
        <v/>
      </c>
      <c r="AR750" s="134" t="str">
        <f>IF(Tab.o1[[#This Row],[a1]]=1,Tab.o1[[#This Row],[OBS]]/SUM(Tab.o1[OBS]),"")</f>
        <v/>
      </c>
      <c r="AS750" s="135" t="str">
        <f>IF(ISNUMBER(Tab.o1[[#This Row],[a1]]),ROW()-4,"")</f>
        <v/>
      </c>
      <c r="AT750" s="136" t="str">
        <f>Tab.o1[[#This Row],[MOD]]</f>
        <v/>
      </c>
      <c r="AU750" s="137" t="str">
        <f t="shared" si="45"/>
        <v/>
      </c>
      <c r="AV750" s="138" t="str">
        <f t="shared" si="46"/>
        <v/>
      </c>
      <c r="AW750" s="138" t="str">
        <f t="shared" si="47"/>
        <v/>
      </c>
      <c r="AX750" s="139" t="str">
        <f>[1]!T.in.A[[#This Row],[ID_T_manu]]</f>
        <v/>
      </c>
      <c r="AY750" s="140" t="str">
        <f>IF(ISNUMBER(Tab.o1[[#This Row],[a1]]),IF(AND(Tab.o1[[#This Row],[a1]]=1,Tab.o1[[#This Row],[b1]]&lt;=AY$4),#REF!,AY749),"")</f>
        <v/>
      </c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6"/>
      <c r="BO750" s="26"/>
      <c r="BP750" s="26"/>
      <c r="BQ750" s="26"/>
      <c r="BR750" s="26"/>
      <c r="BS750" s="26"/>
      <c r="BT750" s="26"/>
      <c r="BU750" s="26"/>
      <c r="BV750" s="26"/>
      <c r="BW750" s="26"/>
      <c r="BX750" s="26"/>
      <c r="BY750" s="26"/>
      <c r="BZ750" s="26"/>
      <c r="CA750" s="26"/>
    </row>
    <row r="751" spans="1:79" s="143" customFormat="1" ht="15.75" hidden="1">
      <c r="A751" s="109">
        <v>-9.0000000000000002E-6</v>
      </c>
      <c r="B751" s="110">
        <f t="shared" si="44"/>
        <v>751</v>
      </c>
      <c r="C751" s="111" t="str">
        <f>IF(C$1=[1]!T.in.A[[#This Row],[oo2]],1,"")</f>
        <v/>
      </c>
      <c r="D751" s="112" t="str">
        <f>IF(Tab.o1[[#This Row],[a1]]=1,IF(SUM(C751:C752)=0,0,IF(SUM(C750:C751)=1,1,IF(SUM(C750:C752)&gt;1,D750+1,0))),"")</f>
        <v/>
      </c>
      <c r="E751" s="113" t="str">
        <f>IF(Tab.o1[[#This Row],[a1]]=1,[1]!T.in.A[[#This Row],[oo1]],"")</f>
        <v/>
      </c>
      <c r="F751" s="113" t="str">
        <f>IF(Tab.o1[[#This Row],[a1]]=1,[1]!T.in.A[[#This Row],[pp1]],"")</f>
        <v/>
      </c>
      <c r="G751" s="114" t="str">
        <f>IF(Tab.o1[[#This Row],[a1]]=1,G$2+IF(G$1=1,0,Tab.o1[[#This Row],[.x1]])+[1]!T.in.A[[#This Row],[oo3]],"")</f>
        <v/>
      </c>
      <c r="H751" s="115" t="str">
        <f>IF(Tab.o1[[#This Row],[a1]]=1,IF(H$2=0,0,IF(G$1=1,0,Tab.o1[[#This Row],[.x1]])+[1]!T.in.A[[#This Row],[oo4]]),"")</f>
        <v/>
      </c>
      <c r="I751" s="116" t="str">
        <f>IF(Tab.o1[[#This Row],[a1]]=1,IF(J$2=0,Tab.o1[[#This Row],[MED]],Tab.o1[[#This Row],[MOD]]),"")</f>
        <v/>
      </c>
      <c r="J751" s="116" t="str">
        <f>IF(Tab.o1[[#This Row],[a1]]=1,((Tab.o1[[#This Row],[DIF_Target.]]-AVERAGE(Tab.o1[DIF_Target.]))/_xlfn.STDEV.P(Tab.o1[DIF_Target.])),"")</f>
        <v/>
      </c>
      <c r="K751" s="117" t="str">
        <f>IF(Tab.o1[[#This Row],[a1]]=1,IF(J$2=0,Tab.o1[[#This Row],[MOD]]-Tab.o1[[#This Row],[B]],IF(J$2=1,0,-Tab.o1[[#This Row],[MED]])+Tab.o1[[#This Row],[B]]),"")</f>
        <v/>
      </c>
      <c r="L751" s="117" t="str">
        <f ca="1">IF(Tab.o1[[#This Row],[DIF_Target]]=0,IF(L$2=0,Tab.o1[[#This Row],[DIF_Target]],AVERAGE(OFFSET(Tab.o1[[#This Row],[DIF_Target]],1,0,L$3,1)))/3,Tab.o1[[#This Row],[DIF_Target]])</f>
        <v/>
      </c>
      <c r="M751" s="118" t="str">
        <f>IF(Tab.o1[[#This Row],[a1]]=1,NORMSDIST(Tab.o1[[#This Row],[Za]]),"")</f>
        <v/>
      </c>
      <c r="N751" s="119" t="str">
        <f>IF(Tab.o1[[#This Row],[a1]]=1,((Tab.o1[[#This Row],[MedMod]]-AVERAGE(Tab.o1[MedMod]))/_xlfn.STDEV.P(Tab.o1[MedMod])*H$1205)+G$1205,"")</f>
        <v/>
      </c>
      <c r="O751" s="141" t="str">
        <f>IF(Tab.o1[[#This Row],[a1]]=1,Tab.o1[[#This Row],[Zb]]*_xlfn.STDEV.P(Tab.o1[MedMod])+AVERAGE(Tab.o1[MedMod]),"")</f>
        <v/>
      </c>
      <c r="P751" s="117" t="str">
        <f ca="1">IF(Tab.o1[[#This Row],[B]]=0,AVERAGE(OFFSET(Tab.o1[[#This Row],[B]],1,0,L$3,1)),Tab.o1[[#This Row],[B]])</f>
        <v/>
      </c>
      <c r="Q751" s="121" t="str">
        <f>IF(Tab.o1[[#This Row],[a1]]=1,NORMSDIST(Tab.o1[[#This Row],[Zb]]),"")</f>
        <v/>
      </c>
      <c r="R751" s="122" t="str">
        <f>IF(Tab.o1[[#This Row],[a1]]=1,((Tab.o1[[#This Row],[MedMod]]-AVERAGE(Tab.o1[MedMod]))/_xlfn.STDEV.P(Tab.o1[MedMod])*H$1203)+G$1203,"")</f>
        <v/>
      </c>
      <c r="S751" s="122" t="str">
        <f>IF(Tab.o1[[#This Row],[a1]]=1,((Tab.o1[[#This Row],[MedMod]]-AVERAGE(Tab.o1[MedMod]))/_xlfn.STDEV.P(Tab.o1[MedMod])*H$1204)+G$1204,"")</f>
        <v/>
      </c>
      <c r="T751" s="123" t="str">
        <f>IF(Tab.o1[[#This Row],[a1]]=1,Tab.o1[[#This Row],[Z-]]*_xlfn.STDEV.P(Tab.o1[B])+AVERAGE(Tab.o1[B]),"")</f>
        <v/>
      </c>
      <c r="U751" s="123" t="str">
        <f>IF(Tab.o1[[#This Row],[a1]]=1,Tab.o1[[#This Row],[z+]]*_xlfn.STDEV.P(Tab.o1[B])+AVERAGE(Tab.o1[B]),"")</f>
        <v/>
      </c>
      <c r="V751" s="124" t="str">
        <f>IF(Tab.o1[[#This Row],[a1]]=1,ABS((ABS(Tab.o1[[#This Row],[Red]]-Tab.o1[[#This Row],[Blue]]))),"")</f>
        <v/>
      </c>
      <c r="W751" s="125" t="str">
        <f>IF(Tab.o1[[#This Row],[a1]]=1,IF(W$3=0,1,Tab.o1[[#This Row],[Amp.]]*1/_xlfn.MINIFS(Tab.o1[Amp.],Tab.o1[Amp.],"&lt;&gt;0")),"")</f>
        <v/>
      </c>
      <c r="X751" s="126" t="str">
        <f>IF(Tab.o1[[#This Row],[a1]]=1,IF(ISNUMBER(Tab.o1[[#This Row],[i.]]),NORMDIST(Tab.o1[[#This Row],[Za]],0,1,FALSE)*Tab.o1[[#This Row],[i.]],AP$3),"")</f>
        <v/>
      </c>
      <c r="Y751" s="126" t="str">
        <f>IF(Tab.o1[[#This Row],[a1]]=1,0.01+0.94*Tab.o1[[#This Row],[PDF]]/MAX(Tab.o1[PDF]),"")</f>
        <v/>
      </c>
      <c r="Z751" s="126" t="str">
        <f>IF(Tab.o1[[#This Row],[a1]]=1,0.01+0.94*Tab.o1[[#This Row],[W1_PDF]]/MAX(Tab.o1[W1_PDF]),"")</f>
        <v/>
      </c>
      <c r="AA751" s="118" t="str">
        <f>IF(Tab.o1[[#This Row],[a1]]=1,ABS([1]!T.in.A[[#This Row],[oo6]]),"")</f>
        <v/>
      </c>
      <c r="AB751" s="127" t="str">
        <f>IF(Tab.o1[[#This Row],[a1]]=1,IF(AE$3=0,"",IF(AB$3=0,ABS([1]!T.in.A[[#This Row],[oo9]]),ABS(Tab.o1[[#This Row],[DIF_Target.]]*Tab.o1[[#This Row],[W1_PDF]]))),"")</f>
        <v/>
      </c>
      <c r="AC751" s="127" t="str">
        <f>IF(G$1=1,"",IF(Tab.o1[[#This Row],[a1]]=1,Tab.o1[[#This Row],[Wr]]^2,""))</f>
        <v/>
      </c>
      <c r="AD751" s="118" t="str">
        <f>IF(Tab.o1[[#This Row],[a1]]=1,IF(AE$3=0,"",Tab.o1[[#This Row],[Wr2]]/SUM(Tab.o1[Wr2])),"")</f>
        <v/>
      </c>
      <c r="AE751" s="128" t="str">
        <f>IF(Tab.o1[[#This Row],[a1]]=1,[1]!T.in.A[[#This Row],[oo10]],"")</f>
        <v/>
      </c>
      <c r="AF751" s="118" t="str">
        <f>IF(Tab.o1[[#This Row],[a1]]=1,ABS(Tab.o1[[#This Row],[DIF_Target.]]*Tab.o1[[#This Row],[PDF2]]*Tab.o1[[#This Row],[IN]]),"")</f>
        <v/>
      </c>
      <c r="AG751" s="129" t="str">
        <f>IF(Tab.o1[[#This Row],[a1]]=1,Tab.o1[[#This Row],[rW]]^2,"")</f>
        <v/>
      </c>
      <c r="AH751" s="130" t="str">
        <f>IF(Tab.o1[[#This Row],[a1]]=1,IF(AH$3=0,Tab.o1[[#This Row],[rW2]],0.01+0.94*Tab.o1[[#This Row],[rW2]]/SUM(Tab.o1[rW2])),"")</f>
        <v/>
      </c>
      <c r="AI751" s="128" t="str">
        <f>IF(Tab.o1[[#This Row],[a1]]=1,1/Tab.o1[[#This Row],[PDF]],"")</f>
        <v/>
      </c>
      <c r="AJ751" s="131" t="str">
        <f>IF(Tab.o1[[#This Row],[a1]]=1,[1]!T_AA[[#This Row],[IN'']]*[1]!T_AA[[#This Row],[Qde'']],"")</f>
        <v/>
      </c>
      <c r="AK751" s="132" t="str">
        <f>IF(Tab.o1[[#This Row],[a1]]=1,IF(AK$1=1,Tab.o1[[#This Row],[MED]]+Tab.o1[[#This Row],[MOD]]-Tab.o1[[#This Row],[MED]],""),"")</f>
        <v/>
      </c>
      <c r="AL751" s="133" t="str">
        <f>IF(Tab.o1[[#This Row],[a1]]=1,[1]!T.in.A[[#This Row],[oo16]],"")</f>
        <v/>
      </c>
      <c r="AM751" s="133" t="str">
        <f>IF(Tab.o1[[#This Row],[a1]]=1,IF(AM$3=1,[1]!T.in.A[[#This Row],[Σo16]],""),"")</f>
        <v/>
      </c>
      <c r="AN751" s="126" t="str">
        <f>IF(Tab.o1[[#This Row],[a1]]=1,[1]!T.in.A[[#This Row],[Σp5]],"")</f>
        <v/>
      </c>
      <c r="AO751" s="126" t="str">
        <f>IF(Tab.o1[[#This Row],[a1]]=1,IF(AO$3=1,[1]!T.in.A[[#This Row],[Σp5]],""),"")</f>
        <v/>
      </c>
      <c r="AP751" s="110" t="str">
        <f>IF(Tab.o1[[#This Row],[a1]]=1,IF(ISNUMBER(Tab.o1[[#This Row],[i.]]),NORMDIST(Tab.o1[[#This Row],[Za]],0,1,FALSE)*Tab.o1[[#This Row],[i.]],0),"")</f>
        <v/>
      </c>
      <c r="AQ751" s="125" t="str">
        <f>IF(Tab.o1[[#This Row],[a1]]=1,ABS(Tab.o1[[#This Row],[MOD]]-AVERAGE(Tab.o1[MOD])),"")</f>
        <v/>
      </c>
      <c r="AR751" s="134" t="str">
        <f>IF(Tab.o1[[#This Row],[a1]]=1,Tab.o1[[#This Row],[OBS]]/SUM(Tab.o1[OBS]),"")</f>
        <v/>
      </c>
      <c r="AS751" s="135" t="str">
        <f>IF(ISNUMBER(Tab.o1[[#This Row],[a1]]),ROW()-4,"")</f>
        <v/>
      </c>
      <c r="AT751" s="136" t="str">
        <f>Tab.o1[[#This Row],[MOD]]</f>
        <v/>
      </c>
      <c r="AU751" s="137" t="str">
        <f t="shared" si="45"/>
        <v/>
      </c>
      <c r="AV751" s="138" t="str">
        <f t="shared" si="46"/>
        <v/>
      </c>
      <c r="AW751" s="138" t="str">
        <f t="shared" si="47"/>
        <v/>
      </c>
      <c r="AX751" s="139" t="str">
        <f>[1]!T.in.A[[#This Row],[ID_T_manu]]</f>
        <v/>
      </c>
      <c r="AY751" s="140" t="str">
        <f>IF(ISNUMBER(Tab.o1[[#This Row],[a1]]),IF(AND(Tab.o1[[#This Row],[a1]]=1,Tab.o1[[#This Row],[b1]]&lt;=AY$4),#REF!,AY750),"")</f>
        <v/>
      </c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6"/>
      <c r="BO751" s="26"/>
      <c r="BP751" s="26"/>
      <c r="BQ751" s="26"/>
      <c r="BR751" s="26"/>
      <c r="BS751" s="26"/>
      <c r="BT751" s="26"/>
      <c r="BU751" s="26"/>
      <c r="BV751" s="26"/>
      <c r="BW751" s="26"/>
      <c r="BX751" s="26"/>
      <c r="BY751" s="26"/>
      <c r="BZ751" s="26"/>
      <c r="CA751" s="26"/>
    </row>
    <row r="752" spans="1:79" s="143" customFormat="1" ht="15.75" hidden="1">
      <c r="A752" s="109">
        <v>-8.0000000000000013E-6</v>
      </c>
      <c r="B752" s="110">
        <f t="shared" si="44"/>
        <v>752</v>
      </c>
      <c r="C752" s="111" t="str">
        <f>IF(C$1=[1]!T.in.A[[#This Row],[oo2]],1,"")</f>
        <v/>
      </c>
      <c r="D752" s="112" t="str">
        <f>IF(Tab.o1[[#This Row],[a1]]=1,IF(SUM(C752:C753)=0,0,IF(SUM(C751:C752)=1,1,IF(SUM(C751:C753)&gt;1,D751+1,0))),"")</f>
        <v/>
      </c>
      <c r="E752" s="113" t="str">
        <f>IF(Tab.o1[[#This Row],[a1]]=1,[1]!T.in.A[[#This Row],[oo1]],"")</f>
        <v/>
      </c>
      <c r="F752" s="113" t="str">
        <f>IF(Tab.o1[[#This Row],[a1]]=1,[1]!T.in.A[[#This Row],[pp1]],"")</f>
        <v/>
      </c>
      <c r="G752" s="114" t="str">
        <f>IF(Tab.o1[[#This Row],[a1]]=1,G$2+IF(G$1=1,0,Tab.o1[[#This Row],[.x1]])+[1]!T.in.A[[#This Row],[oo3]],"")</f>
        <v/>
      </c>
      <c r="H752" s="115" t="str">
        <f>IF(Tab.o1[[#This Row],[a1]]=1,IF(H$2=0,0,IF(G$1=1,0,Tab.o1[[#This Row],[.x1]])+[1]!T.in.A[[#This Row],[oo4]]),"")</f>
        <v/>
      </c>
      <c r="I752" s="116" t="str">
        <f>IF(Tab.o1[[#This Row],[a1]]=1,IF(J$2=0,Tab.o1[[#This Row],[MED]],Tab.o1[[#This Row],[MOD]]),"")</f>
        <v/>
      </c>
      <c r="J752" s="116" t="str">
        <f>IF(Tab.o1[[#This Row],[a1]]=1,((Tab.o1[[#This Row],[DIF_Target.]]-AVERAGE(Tab.o1[DIF_Target.]))/_xlfn.STDEV.P(Tab.o1[DIF_Target.])),"")</f>
        <v/>
      </c>
      <c r="K752" s="117" t="str">
        <f>IF(Tab.o1[[#This Row],[a1]]=1,IF(J$2=0,Tab.o1[[#This Row],[MOD]]-Tab.o1[[#This Row],[B]],IF(J$2=1,0,-Tab.o1[[#This Row],[MED]])+Tab.o1[[#This Row],[B]]),"")</f>
        <v/>
      </c>
      <c r="L752" s="117" t="str">
        <f ca="1">IF(Tab.o1[[#This Row],[DIF_Target]]=0,IF(L$2=0,Tab.o1[[#This Row],[DIF_Target]],AVERAGE(OFFSET(Tab.o1[[#This Row],[DIF_Target]],1,0,L$3,1)))/3,Tab.o1[[#This Row],[DIF_Target]])</f>
        <v/>
      </c>
      <c r="M752" s="118" t="str">
        <f>IF(Tab.o1[[#This Row],[a1]]=1,NORMSDIST(Tab.o1[[#This Row],[Za]]),"")</f>
        <v/>
      </c>
      <c r="N752" s="119" t="str">
        <f>IF(Tab.o1[[#This Row],[a1]]=1,((Tab.o1[[#This Row],[MedMod]]-AVERAGE(Tab.o1[MedMod]))/_xlfn.STDEV.P(Tab.o1[MedMod])*H$1205)+G$1205,"")</f>
        <v/>
      </c>
      <c r="O752" s="141" t="str">
        <f>IF(Tab.o1[[#This Row],[a1]]=1,Tab.o1[[#This Row],[Zb]]*_xlfn.STDEV.P(Tab.o1[MedMod])+AVERAGE(Tab.o1[MedMod]),"")</f>
        <v/>
      </c>
      <c r="P752" s="117" t="str">
        <f ca="1">IF(Tab.o1[[#This Row],[B]]=0,AVERAGE(OFFSET(Tab.o1[[#This Row],[B]],1,0,L$3,1)),Tab.o1[[#This Row],[B]])</f>
        <v/>
      </c>
      <c r="Q752" s="121" t="str">
        <f>IF(Tab.o1[[#This Row],[a1]]=1,NORMSDIST(Tab.o1[[#This Row],[Zb]]),"")</f>
        <v/>
      </c>
      <c r="R752" s="122" t="str">
        <f>IF(Tab.o1[[#This Row],[a1]]=1,((Tab.o1[[#This Row],[MedMod]]-AVERAGE(Tab.o1[MedMod]))/_xlfn.STDEV.P(Tab.o1[MedMod])*H$1203)+G$1203,"")</f>
        <v/>
      </c>
      <c r="S752" s="122" t="str">
        <f>IF(Tab.o1[[#This Row],[a1]]=1,((Tab.o1[[#This Row],[MedMod]]-AVERAGE(Tab.o1[MedMod]))/_xlfn.STDEV.P(Tab.o1[MedMod])*H$1204)+G$1204,"")</f>
        <v/>
      </c>
      <c r="T752" s="123" t="str">
        <f>IF(Tab.o1[[#This Row],[a1]]=1,Tab.o1[[#This Row],[Z-]]*_xlfn.STDEV.P(Tab.o1[B])+AVERAGE(Tab.o1[B]),"")</f>
        <v/>
      </c>
      <c r="U752" s="123" t="str">
        <f>IF(Tab.o1[[#This Row],[a1]]=1,Tab.o1[[#This Row],[z+]]*_xlfn.STDEV.P(Tab.o1[B])+AVERAGE(Tab.o1[B]),"")</f>
        <v/>
      </c>
      <c r="V752" s="124" t="str">
        <f>IF(Tab.o1[[#This Row],[a1]]=1,ABS((ABS(Tab.o1[[#This Row],[Red]]-Tab.o1[[#This Row],[Blue]]))),"")</f>
        <v/>
      </c>
      <c r="W752" s="125" t="str">
        <f>IF(Tab.o1[[#This Row],[a1]]=1,IF(W$3=0,1,Tab.o1[[#This Row],[Amp.]]*1/_xlfn.MINIFS(Tab.o1[Amp.],Tab.o1[Amp.],"&lt;&gt;0")),"")</f>
        <v/>
      </c>
      <c r="X752" s="126" t="str">
        <f>IF(Tab.o1[[#This Row],[a1]]=1,IF(ISNUMBER(Tab.o1[[#This Row],[i.]]),NORMDIST(Tab.o1[[#This Row],[Za]],0,1,FALSE)*Tab.o1[[#This Row],[i.]],AP$3),"")</f>
        <v/>
      </c>
      <c r="Y752" s="126" t="str">
        <f>IF(Tab.o1[[#This Row],[a1]]=1,0.01+0.94*Tab.o1[[#This Row],[PDF]]/MAX(Tab.o1[PDF]),"")</f>
        <v/>
      </c>
      <c r="Z752" s="126" t="str">
        <f>IF(Tab.o1[[#This Row],[a1]]=1,0.01+0.94*Tab.o1[[#This Row],[W1_PDF]]/MAX(Tab.o1[W1_PDF]),"")</f>
        <v/>
      </c>
      <c r="AA752" s="118" t="str">
        <f>IF(Tab.o1[[#This Row],[a1]]=1,ABS([1]!T.in.A[[#This Row],[oo6]]),"")</f>
        <v/>
      </c>
      <c r="AB752" s="127" t="str">
        <f>IF(Tab.o1[[#This Row],[a1]]=1,IF(AE$3=0,"",IF(AB$3=0,ABS([1]!T.in.A[[#This Row],[oo9]]),ABS(Tab.o1[[#This Row],[DIF_Target.]]*Tab.o1[[#This Row],[W1_PDF]]))),"")</f>
        <v/>
      </c>
      <c r="AC752" s="127" t="str">
        <f>IF(G$1=1,"",IF(Tab.o1[[#This Row],[a1]]=1,Tab.o1[[#This Row],[Wr]]^2,""))</f>
        <v/>
      </c>
      <c r="AD752" s="118" t="str">
        <f>IF(Tab.o1[[#This Row],[a1]]=1,IF(AE$3=0,"",Tab.o1[[#This Row],[Wr2]]/SUM(Tab.o1[Wr2])),"")</f>
        <v/>
      </c>
      <c r="AE752" s="128" t="str">
        <f>IF(Tab.o1[[#This Row],[a1]]=1,[1]!T.in.A[[#This Row],[oo10]],"")</f>
        <v/>
      </c>
      <c r="AF752" s="118" t="str">
        <f>IF(Tab.o1[[#This Row],[a1]]=1,ABS(Tab.o1[[#This Row],[DIF_Target.]]*Tab.o1[[#This Row],[PDF2]]*Tab.o1[[#This Row],[IN]]),"")</f>
        <v/>
      </c>
      <c r="AG752" s="129" t="str">
        <f>IF(Tab.o1[[#This Row],[a1]]=1,Tab.o1[[#This Row],[rW]]^2,"")</f>
        <v/>
      </c>
      <c r="AH752" s="130" t="str">
        <f>IF(Tab.o1[[#This Row],[a1]]=1,IF(AH$3=0,Tab.o1[[#This Row],[rW2]],0.01+0.94*Tab.o1[[#This Row],[rW2]]/SUM(Tab.o1[rW2])),"")</f>
        <v/>
      </c>
      <c r="AI752" s="128" t="str">
        <f>IF(Tab.o1[[#This Row],[a1]]=1,1/Tab.o1[[#This Row],[PDF]],"")</f>
        <v/>
      </c>
      <c r="AJ752" s="131" t="str">
        <f>IF(Tab.o1[[#This Row],[a1]]=1,[1]!T_AA[[#This Row],[IN'']]*[1]!T_AA[[#This Row],[Qde'']],"")</f>
        <v/>
      </c>
      <c r="AK752" s="132" t="str">
        <f>IF(Tab.o1[[#This Row],[a1]]=1,IF(AK$1=1,Tab.o1[[#This Row],[MED]]+Tab.o1[[#This Row],[MOD]]-Tab.o1[[#This Row],[MED]],""),"")</f>
        <v/>
      </c>
      <c r="AL752" s="133" t="str">
        <f>IF(Tab.o1[[#This Row],[a1]]=1,[1]!T.in.A[[#This Row],[oo16]],"")</f>
        <v/>
      </c>
      <c r="AM752" s="133" t="str">
        <f>IF(Tab.o1[[#This Row],[a1]]=1,IF(AM$3=1,[1]!T.in.A[[#This Row],[Σo16]],""),"")</f>
        <v/>
      </c>
      <c r="AN752" s="126" t="str">
        <f>IF(Tab.o1[[#This Row],[a1]]=1,[1]!T.in.A[[#This Row],[Σp5]],"")</f>
        <v/>
      </c>
      <c r="AO752" s="126" t="str">
        <f>IF(Tab.o1[[#This Row],[a1]]=1,IF(AO$3=1,[1]!T.in.A[[#This Row],[Σp5]],""),"")</f>
        <v/>
      </c>
      <c r="AP752" s="110" t="str">
        <f>IF(Tab.o1[[#This Row],[a1]]=1,IF(ISNUMBER(Tab.o1[[#This Row],[i.]]),NORMDIST(Tab.o1[[#This Row],[Za]],0,1,FALSE)*Tab.o1[[#This Row],[i.]],0),"")</f>
        <v/>
      </c>
      <c r="AQ752" s="125" t="str">
        <f>IF(Tab.o1[[#This Row],[a1]]=1,ABS(Tab.o1[[#This Row],[MOD]]-AVERAGE(Tab.o1[MOD])),"")</f>
        <v/>
      </c>
      <c r="AR752" s="134" t="str">
        <f>IF(Tab.o1[[#This Row],[a1]]=1,Tab.o1[[#This Row],[OBS]]/SUM(Tab.o1[OBS]),"")</f>
        <v/>
      </c>
      <c r="AS752" s="135" t="str">
        <f>IF(ISNUMBER(Tab.o1[[#This Row],[a1]]),ROW()-4,"")</f>
        <v/>
      </c>
      <c r="AT752" s="136" t="str">
        <f>Tab.o1[[#This Row],[MOD]]</f>
        <v/>
      </c>
      <c r="AU752" s="137" t="str">
        <f t="shared" si="45"/>
        <v/>
      </c>
      <c r="AV752" s="138" t="str">
        <f t="shared" si="46"/>
        <v/>
      </c>
      <c r="AW752" s="138" t="str">
        <f t="shared" si="47"/>
        <v/>
      </c>
      <c r="AX752" s="139" t="str">
        <f>[1]!T.in.A[[#This Row],[ID_T_manu]]</f>
        <v/>
      </c>
      <c r="AY752" s="140" t="str">
        <f>IF(ISNUMBER(Tab.o1[[#This Row],[a1]]),IF(AND(Tab.o1[[#This Row],[a1]]=1,Tab.o1[[#This Row],[b1]]&lt;=AY$4),#REF!,AY751),"")</f>
        <v/>
      </c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6"/>
      <c r="BO752" s="26"/>
      <c r="BP752" s="26"/>
      <c r="BQ752" s="26"/>
      <c r="BR752" s="26"/>
      <c r="BS752" s="26"/>
      <c r="BT752" s="26"/>
      <c r="BU752" s="26"/>
      <c r="BV752" s="26"/>
      <c r="BW752" s="26"/>
      <c r="BX752" s="26"/>
      <c r="BY752" s="26"/>
      <c r="BZ752" s="26"/>
      <c r="CA752" s="26"/>
    </row>
    <row r="753" spans="1:79" s="143" customFormat="1" ht="15.75" hidden="1">
      <c r="A753" s="109">
        <v>9.0000000000000002E-6</v>
      </c>
      <c r="B753" s="110">
        <f t="shared" si="44"/>
        <v>753</v>
      </c>
      <c r="C753" s="111" t="str">
        <f>IF(C$1=[1]!T.in.A[[#This Row],[oo2]],1,"")</f>
        <v/>
      </c>
      <c r="D753" s="112" t="str">
        <f>IF(Tab.o1[[#This Row],[a1]]=1,IF(SUM(C753:C754)=0,0,IF(SUM(C752:C753)=1,1,IF(SUM(C752:C754)&gt;1,D752+1,0))),"")</f>
        <v/>
      </c>
      <c r="E753" s="113" t="str">
        <f>IF(Tab.o1[[#This Row],[a1]]=1,[1]!T.in.A[[#This Row],[oo1]],"")</f>
        <v/>
      </c>
      <c r="F753" s="113" t="str">
        <f>IF(Tab.o1[[#This Row],[a1]]=1,[1]!T.in.A[[#This Row],[pp1]],"")</f>
        <v/>
      </c>
      <c r="G753" s="114" t="str">
        <f>IF(Tab.o1[[#This Row],[a1]]=1,G$2+IF(G$1=1,0,Tab.o1[[#This Row],[.x1]])+[1]!T.in.A[[#This Row],[oo3]],"")</f>
        <v/>
      </c>
      <c r="H753" s="115" t="str">
        <f>IF(Tab.o1[[#This Row],[a1]]=1,IF(H$2=0,0,IF(G$1=1,0,Tab.o1[[#This Row],[.x1]])+[1]!T.in.A[[#This Row],[oo4]]),"")</f>
        <v/>
      </c>
      <c r="I753" s="116" t="str">
        <f>IF(Tab.o1[[#This Row],[a1]]=1,IF(J$2=0,Tab.o1[[#This Row],[MED]],Tab.o1[[#This Row],[MOD]]),"")</f>
        <v/>
      </c>
      <c r="J753" s="116" t="str">
        <f>IF(Tab.o1[[#This Row],[a1]]=1,((Tab.o1[[#This Row],[DIF_Target.]]-AVERAGE(Tab.o1[DIF_Target.]))/_xlfn.STDEV.P(Tab.o1[DIF_Target.])),"")</f>
        <v/>
      </c>
      <c r="K753" s="117" t="str">
        <f>IF(Tab.o1[[#This Row],[a1]]=1,IF(J$2=0,Tab.o1[[#This Row],[MOD]]-Tab.o1[[#This Row],[B]],IF(J$2=1,0,-Tab.o1[[#This Row],[MED]])+Tab.o1[[#This Row],[B]]),"")</f>
        <v/>
      </c>
      <c r="L753" s="117" t="str">
        <f ca="1">IF(Tab.o1[[#This Row],[DIF_Target]]=0,IF(L$2=0,Tab.o1[[#This Row],[DIF_Target]],AVERAGE(OFFSET(Tab.o1[[#This Row],[DIF_Target]],1,0,L$3,1)))/3,Tab.o1[[#This Row],[DIF_Target]])</f>
        <v/>
      </c>
      <c r="M753" s="118" t="str">
        <f>IF(Tab.o1[[#This Row],[a1]]=1,NORMSDIST(Tab.o1[[#This Row],[Za]]),"")</f>
        <v/>
      </c>
      <c r="N753" s="119" t="str">
        <f>IF(Tab.o1[[#This Row],[a1]]=1,((Tab.o1[[#This Row],[MedMod]]-AVERAGE(Tab.o1[MedMod]))/_xlfn.STDEV.P(Tab.o1[MedMod])*H$1205)+G$1205,"")</f>
        <v/>
      </c>
      <c r="O753" s="141" t="str">
        <f>IF(Tab.o1[[#This Row],[a1]]=1,Tab.o1[[#This Row],[Zb]]*_xlfn.STDEV.P(Tab.o1[MedMod])+AVERAGE(Tab.o1[MedMod]),"")</f>
        <v/>
      </c>
      <c r="P753" s="117" t="str">
        <f ca="1">IF(Tab.o1[[#This Row],[B]]=0,AVERAGE(OFFSET(Tab.o1[[#This Row],[B]],1,0,L$3,1)),Tab.o1[[#This Row],[B]])</f>
        <v/>
      </c>
      <c r="Q753" s="121" t="str">
        <f>IF(Tab.o1[[#This Row],[a1]]=1,NORMSDIST(Tab.o1[[#This Row],[Zb]]),"")</f>
        <v/>
      </c>
      <c r="R753" s="122" t="str">
        <f>IF(Tab.o1[[#This Row],[a1]]=1,((Tab.o1[[#This Row],[MedMod]]-AVERAGE(Tab.o1[MedMod]))/_xlfn.STDEV.P(Tab.o1[MedMod])*H$1203)+G$1203,"")</f>
        <v/>
      </c>
      <c r="S753" s="122" t="str">
        <f>IF(Tab.o1[[#This Row],[a1]]=1,((Tab.o1[[#This Row],[MedMod]]-AVERAGE(Tab.o1[MedMod]))/_xlfn.STDEV.P(Tab.o1[MedMod])*H$1204)+G$1204,"")</f>
        <v/>
      </c>
      <c r="T753" s="123" t="str">
        <f>IF(Tab.o1[[#This Row],[a1]]=1,Tab.o1[[#This Row],[Z-]]*_xlfn.STDEV.P(Tab.o1[B])+AVERAGE(Tab.o1[B]),"")</f>
        <v/>
      </c>
      <c r="U753" s="123" t="str">
        <f>IF(Tab.o1[[#This Row],[a1]]=1,Tab.o1[[#This Row],[z+]]*_xlfn.STDEV.P(Tab.o1[B])+AVERAGE(Tab.o1[B]),"")</f>
        <v/>
      </c>
      <c r="V753" s="124" t="str">
        <f>IF(Tab.o1[[#This Row],[a1]]=1,ABS((ABS(Tab.o1[[#This Row],[Red]]-Tab.o1[[#This Row],[Blue]]))),"")</f>
        <v/>
      </c>
      <c r="W753" s="125" t="str">
        <f>IF(Tab.o1[[#This Row],[a1]]=1,IF(W$3=0,1,Tab.o1[[#This Row],[Amp.]]*1/_xlfn.MINIFS(Tab.o1[Amp.],Tab.o1[Amp.],"&lt;&gt;0")),"")</f>
        <v/>
      </c>
      <c r="X753" s="126" t="str">
        <f>IF(Tab.o1[[#This Row],[a1]]=1,IF(ISNUMBER(Tab.o1[[#This Row],[i.]]),NORMDIST(Tab.o1[[#This Row],[Za]],0,1,FALSE)*Tab.o1[[#This Row],[i.]],AP$3),"")</f>
        <v/>
      </c>
      <c r="Y753" s="126" t="str">
        <f>IF(Tab.o1[[#This Row],[a1]]=1,0.01+0.94*Tab.o1[[#This Row],[PDF]]/MAX(Tab.o1[PDF]),"")</f>
        <v/>
      </c>
      <c r="Z753" s="126" t="str">
        <f>IF(Tab.o1[[#This Row],[a1]]=1,0.01+0.94*Tab.o1[[#This Row],[W1_PDF]]/MAX(Tab.o1[W1_PDF]),"")</f>
        <v/>
      </c>
      <c r="AA753" s="118" t="str">
        <f>IF(Tab.o1[[#This Row],[a1]]=1,ABS([1]!T.in.A[[#This Row],[oo6]]),"")</f>
        <v/>
      </c>
      <c r="AB753" s="127" t="str">
        <f>IF(Tab.o1[[#This Row],[a1]]=1,IF(AE$3=0,"",IF(AB$3=0,ABS([1]!T.in.A[[#This Row],[oo9]]),ABS(Tab.o1[[#This Row],[DIF_Target.]]*Tab.o1[[#This Row],[W1_PDF]]))),"")</f>
        <v/>
      </c>
      <c r="AC753" s="127" t="str">
        <f>IF(G$1=1,"",IF(Tab.o1[[#This Row],[a1]]=1,Tab.o1[[#This Row],[Wr]]^2,""))</f>
        <v/>
      </c>
      <c r="AD753" s="118" t="str">
        <f>IF(Tab.o1[[#This Row],[a1]]=1,IF(AE$3=0,"",Tab.o1[[#This Row],[Wr2]]/SUM(Tab.o1[Wr2])),"")</f>
        <v/>
      </c>
      <c r="AE753" s="128" t="str">
        <f>IF(Tab.o1[[#This Row],[a1]]=1,[1]!T.in.A[[#This Row],[oo10]],"")</f>
        <v/>
      </c>
      <c r="AF753" s="118" t="str">
        <f>IF(Tab.o1[[#This Row],[a1]]=1,ABS(Tab.o1[[#This Row],[DIF_Target.]]*Tab.o1[[#This Row],[PDF2]]*Tab.o1[[#This Row],[IN]]),"")</f>
        <v/>
      </c>
      <c r="AG753" s="129" t="str">
        <f>IF(Tab.o1[[#This Row],[a1]]=1,Tab.o1[[#This Row],[rW]]^2,"")</f>
        <v/>
      </c>
      <c r="AH753" s="130" t="str">
        <f>IF(Tab.o1[[#This Row],[a1]]=1,IF(AH$3=0,Tab.o1[[#This Row],[rW2]],0.01+0.94*Tab.o1[[#This Row],[rW2]]/SUM(Tab.o1[rW2])),"")</f>
        <v/>
      </c>
      <c r="AI753" s="128" t="str">
        <f>IF(Tab.o1[[#This Row],[a1]]=1,1/Tab.o1[[#This Row],[PDF]],"")</f>
        <v/>
      </c>
      <c r="AJ753" s="131" t="str">
        <f>IF(Tab.o1[[#This Row],[a1]]=1,[1]!T_AA[[#This Row],[IN'']]*[1]!T_AA[[#This Row],[Qde'']],"")</f>
        <v/>
      </c>
      <c r="AK753" s="132" t="str">
        <f>IF(Tab.o1[[#This Row],[a1]]=1,IF(AK$1=1,Tab.o1[[#This Row],[MED]]+Tab.o1[[#This Row],[MOD]]-Tab.o1[[#This Row],[MED]],""),"")</f>
        <v/>
      </c>
      <c r="AL753" s="133" t="str">
        <f>IF(Tab.o1[[#This Row],[a1]]=1,[1]!T.in.A[[#This Row],[oo16]],"")</f>
        <v/>
      </c>
      <c r="AM753" s="133" t="str">
        <f>IF(Tab.o1[[#This Row],[a1]]=1,IF(AM$3=1,[1]!T.in.A[[#This Row],[Σo16]],""),"")</f>
        <v/>
      </c>
      <c r="AN753" s="126" t="str">
        <f>IF(Tab.o1[[#This Row],[a1]]=1,[1]!T.in.A[[#This Row],[Σp5]],"")</f>
        <v/>
      </c>
      <c r="AO753" s="126" t="str">
        <f>IF(Tab.o1[[#This Row],[a1]]=1,IF(AO$3=1,[1]!T.in.A[[#This Row],[Σp5]],""),"")</f>
        <v/>
      </c>
      <c r="AP753" s="110" t="str">
        <f>IF(Tab.o1[[#This Row],[a1]]=1,IF(ISNUMBER(Tab.o1[[#This Row],[i.]]),NORMDIST(Tab.o1[[#This Row],[Za]],0,1,FALSE)*Tab.o1[[#This Row],[i.]],0),"")</f>
        <v/>
      </c>
      <c r="AQ753" s="125" t="str">
        <f>IF(Tab.o1[[#This Row],[a1]]=1,ABS(Tab.o1[[#This Row],[MOD]]-AVERAGE(Tab.o1[MOD])),"")</f>
        <v/>
      </c>
      <c r="AR753" s="134" t="str">
        <f>IF(Tab.o1[[#This Row],[a1]]=1,Tab.o1[[#This Row],[OBS]]/SUM(Tab.o1[OBS]),"")</f>
        <v/>
      </c>
      <c r="AS753" s="135" t="str">
        <f>IF(ISNUMBER(Tab.o1[[#This Row],[a1]]),ROW()-4,"")</f>
        <v/>
      </c>
      <c r="AT753" s="136" t="str">
        <f>Tab.o1[[#This Row],[MOD]]</f>
        <v/>
      </c>
      <c r="AU753" s="137" t="str">
        <f t="shared" si="45"/>
        <v/>
      </c>
      <c r="AV753" s="138" t="str">
        <f t="shared" si="46"/>
        <v/>
      </c>
      <c r="AW753" s="138" t="str">
        <f t="shared" si="47"/>
        <v/>
      </c>
      <c r="AX753" s="139" t="str">
        <f>[1]!T.in.A[[#This Row],[ID_T_manu]]</f>
        <v/>
      </c>
      <c r="AY753" s="140" t="str">
        <f>IF(ISNUMBER(Tab.o1[[#This Row],[a1]]),IF(AND(Tab.o1[[#This Row],[a1]]=1,Tab.o1[[#This Row],[b1]]&lt;=AY$4),#REF!,AY752),"")</f>
        <v/>
      </c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6"/>
      <c r="BO753" s="26"/>
      <c r="BP753" s="26"/>
      <c r="BQ753" s="26"/>
      <c r="BR753" s="26"/>
      <c r="BS753" s="26"/>
      <c r="BT753" s="26"/>
      <c r="BU753" s="26"/>
      <c r="BV753" s="26"/>
      <c r="BW753" s="26"/>
      <c r="BX753" s="26"/>
      <c r="BY753" s="26"/>
      <c r="BZ753" s="26"/>
      <c r="CA753" s="26"/>
    </row>
    <row r="754" spans="1:79" s="143" customFormat="1" ht="15.75" hidden="1">
      <c r="A754" s="109">
        <v>1.0000000000000001E-5</v>
      </c>
      <c r="B754" s="110">
        <f t="shared" si="44"/>
        <v>754</v>
      </c>
      <c r="C754" s="111" t="str">
        <f>IF(C$1=[1]!T.in.A[[#This Row],[oo2]],1,"")</f>
        <v/>
      </c>
      <c r="D754" s="112" t="str">
        <f>IF(Tab.o1[[#This Row],[a1]]=1,IF(SUM(C754:C755)=0,0,IF(SUM(C753:C754)=1,1,IF(SUM(C753:C755)&gt;1,D753+1,0))),"")</f>
        <v/>
      </c>
      <c r="E754" s="113" t="str">
        <f>IF(Tab.o1[[#This Row],[a1]]=1,[1]!T.in.A[[#This Row],[oo1]],"")</f>
        <v/>
      </c>
      <c r="F754" s="113" t="str">
        <f>IF(Tab.o1[[#This Row],[a1]]=1,[1]!T.in.A[[#This Row],[pp1]],"")</f>
        <v/>
      </c>
      <c r="G754" s="114" t="str">
        <f>IF(Tab.o1[[#This Row],[a1]]=1,G$2+IF(G$1=1,0,Tab.o1[[#This Row],[.x1]])+[1]!T.in.A[[#This Row],[oo3]],"")</f>
        <v/>
      </c>
      <c r="H754" s="115" t="str">
        <f>IF(Tab.o1[[#This Row],[a1]]=1,IF(H$2=0,0,IF(G$1=1,0,Tab.o1[[#This Row],[.x1]])+[1]!T.in.A[[#This Row],[oo4]]),"")</f>
        <v/>
      </c>
      <c r="I754" s="116" t="str">
        <f>IF(Tab.o1[[#This Row],[a1]]=1,IF(J$2=0,Tab.o1[[#This Row],[MED]],Tab.o1[[#This Row],[MOD]]),"")</f>
        <v/>
      </c>
      <c r="J754" s="116" t="str">
        <f>IF(Tab.o1[[#This Row],[a1]]=1,((Tab.o1[[#This Row],[DIF_Target.]]-AVERAGE(Tab.o1[DIF_Target.]))/_xlfn.STDEV.P(Tab.o1[DIF_Target.])),"")</f>
        <v/>
      </c>
      <c r="K754" s="117" t="str">
        <f>IF(Tab.o1[[#This Row],[a1]]=1,IF(J$2=0,Tab.o1[[#This Row],[MOD]]-Tab.o1[[#This Row],[B]],IF(J$2=1,0,-Tab.o1[[#This Row],[MED]])+Tab.o1[[#This Row],[B]]),"")</f>
        <v/>
      </c>
      <c r="L754" s="117" t="str">
        <f ca="1">IF(Tab.o1[[#This Row],[DIF_Target]]=0,IF(L$2=0,Tab.o1[[#This Row],[DIF_Target]],AVERAGE(OFFSET(Tab.o1[[#This Row],[DIF_Target]],1,0,L$3,1)))/3,Tab.o1[[#This Row],[DIF_Target]])</f>
        <v/>
      </c>
      <c r="M754" s="118" t="str">
        <f>IF(Tab.o1[[#This Row],[a1]]=1,NORMSDIST(Tab.o1[[#This Row],[Za]]),"")</f>
        <v/>
      </c>
      <c r="N754" s="119" t="str">
        <f>IF(Tab.o1[[#This Row],[a1]]=1,((Tab.o1[[#This Row],[MedMod]]-AVERAGE(Tab.o1[MedMod]))/_xlfn.STDEV.P(Tab.o1[MedMod])*H$1205)+G$1205,"")</f>
        <v/>
      </c>
      <c r="O754" s="141" t="str">
        <f>IF(Tab.o1[[#This Row],[a1]]=1,Tab.o1[[#This Row],[Zb]]*_xlfn.STDEV.P(Tab.o1[MedMod])+AVERAGE(Tab.o1[MedMod]),"")</f>
        <v/>
      </c>
      <c r="P754" s="117" t="str">
        <f ca="1">IF(Tab.o1[[#This Row],[B]]=0,AVERAGE(OFFSET(Tab.o1[[#This Row],[B]],1,0,L$3,1)),Tab.o1[[#This Row],[B]])</f>
        <v/>
      </c>
      <c r="Q754" s="121" t="str">
        <f>IF(Tab.o1[[#This Row],[a1]]=1,NORMSDIST(Tab.o1[[#This Row],[Zb]]),"")</f>
        <v/>
      </c>
      <c r="R754" s="122" t="str">
        <f>IF(Tab.o1[[#This Row],[a1]]=1,((Tab.o1[[#This Row],[MedMod]]-AVERAGE(Tab.o1[MedMod]))/_xlfn.STDEV.P(Tab.o1[MedMod])*H$1203)+G$1203,"")</f>
        <v/>
      </c>
      <c r="S754" s="122" t="str">
        <f>IF(Tab.o1[[#This Row],[a1]]=1,((Tab.o1[[#This Row],[MedMod]]-AVERAGE(Tab.o1[MedMod]))/_xlfn.STDEV.P(Tab.o1[MedMod])*H$1204)+G$1204,"")</f>
        <v/>
      </c>
      <c r="T754" s="123" t="str">
        <f>IF(Tab.o1[[#This Row],[a1]]=1,Tab.o1[[#This Row],[Z-]]*_xlfn.STDEV.P(Tab.o1[B])+AVERAGE(Tab.o1[B]),"")</f>
        <v/>
      </c>
      <c r="U754" s="123" t="str">
        <f>IF(Tab.o1[[#This Row],[a1]]=1,Tab.o1[[#This Row],[z+]]*_xlfn.STDEV.P(Tab.o1[B])+AVERAGE(Tab.o1[B]),"")</f>
        <v/>
      </c>
      <c r="V754" s="124" t="str">
        <f>IF(Tab.o1[[#This Row],[a1]]=1,ABS((ABS(Tab.o1[[#This Row],[Red]]-Tab.o1[[#This Row],[Blue]]))),"")</f>
        <v/>
      </c>
      <c r="W754" s="125" t="str">
        <f>IF(Tab.o1[[#This Row],[a1]]=1,IF(W$3=0,1,Tab.o1[[#This Row],[Amp.]]*1/_xlfn.MINIFS(Tab.o1[Amp.],Tab.o1[Amp.],"&lt;&gt;0")),"")</f>
        <v/>
      </c>
      <c r="X754" s="126" t="str">
        <f>IF(Tab.o1[[#This Row],[a1]]=1,IF(ISNUMBER(Tab.o1[[#This Row],[i.]]),NORMDIST(Tab.o1[[#This Row],[Za]],0,1,FALSE)*Tab.o1[[#This Row],[i.]],AP$3),"")</f>
        <v/>
      </c>
      <c r="Y754" s="126" t="str">
        <f>IF(Tab.o1[[#This Row],[a1]]=1,0.01+0.94*Tab.o1[[#This Row],[PDF]]/MAX(Tab.o1[PDF]),"")</f>
        <v/>
      </c>
      <c r="Z754" s="126" t="str">
        <f>IF(Tab.o1[[#This Row],[a1]]=1,0.01+0.94*Tab.o1[[#This Row],[W1_PDF]]/MAX(Tab.o1[W1_PDF]),"")</f>
        <v/>
      </c>
      <c r="AA754" s="118" t="str">
        <f>IF(Tab.o1[[#This Row],[a1]]=1,ABS([1]!T.in.A[[#This Row],[oo6]]),"")</f>
        <v/>
      </c>
      <c r="AB754" s="127" t="str">
        <f>IF(Tab.o1[[#This Row],[a1]]=1,IF(AE$3=0,"",IF(AB$3=0,ABS([1]!T.in.A[[#This Row],[oo9]]),ABS(Tab.o1[[#This Row],[DIF_Target.]]*Tab.o1[[#This Row],[W1_PDF]]))),"")</f>
        <v/>
      </c>
      <c r="AC754" s="127" t="str">
        <f>IF(G$1=1,"",IF(Tab.o1[[#This Row],[a1]]=1,Tab.o1[[#This Row],[Wr]]^2,""))</f>
        <v/>
      </c>
      <c r="AD754" s="118" t="str">
        <f>IF(Tab.o1[[#This Row],[a1]]=1,IF(AE$3=0,"",Tab.o1[[#This Row],[Wr2]]/SUM(Tab.o1[Wr2])),"")</f>
        <v/>
      </c>
      <c r="AE754" s="128" t="str">
        <f>IF(Tab.o1[[#This Row],[a1]]=1,[1]!T.in.A[[#This Row],[oo10]],"")</f>
        <v/>
      </c>
      <c r="AF754" s="118" t="str">
        <f>IF(Tab.o1[[#This Row],[a1]]=1,ABS(Tab.o1[[#This Row],[DIF_Target.]]*Tab.o1[[#This Row],[PDF2]]*Tab.o1[[#This Row],[IN]]),"")</f>
        <v/>
      </c>
      <c r="AG754" s="129" t="str">
        <f>IF(Tab.o1[[#This Row],[a1]]=1,Tab.o1[[#This Row],[rW]]^2,"")</f>
        <v/>
      </c>
      <c r="AH754" s="130" t="str">
        <f>IF(Tab.o1[[#This Row],[a1]]=1,IF(AH$3=0,Tab.o1[[#This Row],[rW2]],0.01+0.94*Tab.o1[[#This Row],[rW2]]/SUM(Tab.o1[rW2])),"")</f>
        <v/>
      </c>
      <c r="AI754" s="128" t="str">
        <f>IF(Tab.o1[[#This Row],[a1]]=1,1/Tab.o1[[#This Row],[PDF]],"")</f>
        <v/>
      </c>
      <c r="AJ754" s="131" t="str">
        <f>IF(Tab.o1[[#This Row],[a1]]=1,[1]!T_AA[[#This Row],[IN'']]*[1]!T_AA[[#This Row],[Qde'']],"")</f>
        <v/>
      </c>
      <c r="AK754" s="132" t="str">
        <f>IF(Tab.o1[[#This Row],[a1]]=1,IF(AK$1=1,Tab.o1[[#This Row],[MED]]+Tab.o1[[#This Row],[MOD]]-Tab.o1[[#This Row],[MED]],""),"")</f>
        <v/>
      </c>
      <c r="AL754" s="133" t="str">
        <f>IF(Tab.o1[[#This Row],[a1]]=1,[1]!T.in.A[[#This Row],[oo16]],"")</f>
        <v/>
      </c>
      <c r="AM754" s="133" t="str">
        <f>IF(Tab.o1[[#This Row],[a1]]=1,IF(AM$3=1,[1]!T.in.A[[#This Row],[Σo16]],""),"")</f>
        <v/>
      </c>
      <c r="AN754" s="126" t="str">
        <f>IF(Tab.o1[[#This Row],[a1]]=1,[1]!T.in.A[[#This Row],[Σp5]],"")</f>
        <v/>
      </c>
      <c r="AO754" s="126" t="str">
        <f>IF(Tab.o1[[#This Row],[a1]]=1,IF(AO$3=1,[1]!T.in.A[[#This Row],[Σp5]],""),"")</f>
        <v/>
      </c>
      <c r="AP754" s="110" t="str">
        <f>IF(Tab.o1[[#This Row],[a1]]=1,IF(ISNUMBER(Tab.o1[[#This Row],[i.]]),NORMDIST(Tab.o1[[#This Row],[Za]],0,1,FALSE)*Tab.o1[[#This Row],[i.]],0),"")</f>
        <v/>
      </c>
      <c r="AQ754" s="125" t="str">
        <f>IF(Tab.o1[[#This Row],[a1]]=1,ABS(Tab.o1[[#This Row],[MOD]]-AVERAGE(Tab.o1[MOD])),"")</f>
        <v/>
      </c>
      <c r="AR754" s="134" t="str">
        <f>IF(Tab.o1[[#This Row],[a1]]=1,Tab.o1[[#This Row],[OBS]]/SUM(Tab.o1[OBS]),"")</f>
        <v/>
      </c>
      <c r="AS754" s="135" t="str">
        <f>IF(ISNUMBER(Tab.o1[[#This Row],[a1]]),ROW()-4,"")</f>
        <v/>
      </c>
      <c r="AT754" s="136" t="str">
        <f>Tab.o1[[#This Row],[MOD]]</f>
        <v/>
      </c>
      <c r="AU754" s="137" t="str">
        <f t="shared" si="45"/>
        <v/>
      </c>
      <c r="AV754" s="138" t="str">
        <f t="shared" si="46"/>
        <v/>
      </c>
      <c r="AW754" s="138" t="str">
        <f t="shared" si="47"/>
        <v/>
      </c>
      <c r="AX754" s="139" t="str">
        <f>[1]!T.in.A[[#This Row],[ID_T_manu]]</f>
        <v/>
      </c>
      <c r="AY754" s="140" t="str">
        <f>IF(ISNUMBER(Tab.o1[[#This Row],[a1]]),IF(AND(Tab.o1[[#This Row],[a1]]=1,Tab.o1[[#This Row],[b1]]&lt;=AY$4),#REF!,AY753),"")</f>
        <v/>
      </c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6"/>
      <c r="BO754" s="26"/>
      <c r="BP754" s="26"/>
      <c r="BQ754" s="26"/>
      <c r="BR754" s="26"/>
      <c r="BS754" s="26"/>
      <c r="BT754" s="26"/>
      <c r="BU754" s="26"/>
      <c r="BV754" s="26"/>
      <c r="BW754" s="26"/>
      <c r="BX754" s="26"/>
      <c r="BY754" s="26"/>
      <c r="BZ754" s="26"/>
      <c r="CA754" s="26"/>
    </row>
    <row r="755" spans="1:79" s="143" customFormat="1" ht="15.75" hidden="1">
      <c r="A755" s="109">
        <v>2.9999999999999997E-6</v>
      </c>
      <c r="B755" s="110">
        <f t="shared" si="44"/>
        <v>755</v>
      </c>
      <c r="C755" s="111" t="str">
        <f>IF(C$1=[1]!T.in.A[[#This Row],[oo2]],1,"")</f>
        <v/>
      </c>
      <c r="D755" s="112" t="str">
        <f>IF(Tab.o1[[#This Row],[a1]]=1,IF(SUM(C755:C756)=0,0,IF(SUM(C754:C755)=1,1,IF(SUM(C754:C756)&gt;1,D754+1,0))),"")</f>
        <v/>
      </c>
      <c r="E755" s="113" t="str">
        <f>IF(Tab.o1[[#This Row],[a1]]=1,[1]!T.in.A[[#This Row],[oo1]],"")</f>
        <v/>
      </c>
      <c r="F755" s="113" t="str">
        <f>IF(Tab.o1[[#This Row],[a1]]=1,[1]!T.in.A[[#This Row],[pp1]],"")</f>
        <v/>
      </c>
      <c r="G755" s="114" t="str">
        <f>IF(Tab.o1[[#This Row],[a1]]=1,G$2+IF(G$1=1,0,Tab.o1[[#This Row],[.x1]])+[1]!T.in.A[[#This Row],[oo3]],"")</f>
        <v/>
      </c>
      <c r="H755" s="115" t="str">
        <f>IF(Tab.o1[[#This Row],[a1]]=1,IF(H$2=0,0,IF(G$1=1,0,Tab.o1[[#This Row],[.x1]])+[1]!T.in.A[[#This Row],[oo4]]),"")</f>
        <v/>
      </c>
      <c r="I755" s="116" t="str">
        <f>IF(Tab.o1[[#This Row],[a1]]=1,IF(J$2=0,Tab.o1[[#This Row],[MED]],Tab.o1[[#This Row],[MOD]]),"")</f>
        <v/>
      </c>
      <c r="J755" s="116" t="str">
        <f>IF(Tab.o1[[#This Row],[a1]]=1,((Tab.o1[[#This Row],[DIF_Target.]]-AVERAGE(Tab.o1[DIF_Target.]))/_xlfn.STDEV.P(Tab.o1[DIF_Target.])),"")</f>
        <v/>
      </c>
      <c r="K755" s="117" t="str">
        <f>IF(Tab.o1[[#This Row],[a1]]=1,IF(J$2=0,Tab.o1[[#This Row],[MOD]]-Tab.o1[[#This Row],[B]],IF(J$2=1,0,-Tab.o1[[#This Row],[MED]])+Tab.o1[[#This Row],[B]]),"")</f>
        <v/>
      </c>
      <c r="L755" s="117" t="str">
        <f ca="1">IF(Tab.o1[[#This Row],[DIF_Target]]=0,IF(L$2=0,Tab.o1[[#This Row],[DIF_Target]],AVERAGE(OFFSET(Tab.o1[[#This Row],[DIF_Target]],1,0,L$3,1)))/3,Tab.o1[[#This Row],[DIF_Target]])</f>
        <v/>
      </c>
      <c r="M755" s="118" t="str">
        <f>IF(Tab.o1[[#This Row],[a1]]=1,NORMSDIST(Tab.o1[[#This Row],[Za]]),"")</f>
        <v/>
      </c>
      <c r="N755" s="119" t="str">
        <f>IF(Tab.o1[[#This Row],[a1]]=1,((Tab.o1[[#This Row],[MedMod]]-AVERAGE(Tab.o1[MedMod]))/_xlfn.STDEV.P(Tab.o1[MedMod])*H$1205)+G$1205,"")</f>
        <v/>
      </c>
      <c r="O755" s="141" t="str">
        <f>IF(Tab.o1[[#This Row],[a1]]=1,Tab.o1[[#This Row],[Zb]]*_xlfn.STDEV.P(Tab.o1[MedMod])+AVERAGE(Tab.o1[MedMod]),"")</f>
        <v/>
      </c>
      <c r="P755" s="117" t="str">
        <f ca="1">IF(Tab.o1[[#This Row],[B]]=0,AVERAGE(OFFSET(Tab.o1[[#This Row],[B]],1,0,L$3,1)),Tab.o1[[#This Row],[B]])</f>
        <v/>
      </c>
      <c r="Q755" s="121" t="str">
        <f>IF(Tab.o1[[#This Row],[a1]]=1,NORMSDIST(Tab.o1[[#This Row],[Zb]]),"")</f>
        <v/>
      </c>
      <c r="R755" s="122" t="str">
        <f>IF(Tab.o1[[#This Row],[a1]]=1,((Tab.o1[[#This Row],[MedMod]]-AVERAGE(Tab.o1[MedMod]))/_xlfn.STDEV.P(Tab.o1[MedMod])*H$1203)+G$1203,"")</f>
        <v/>
      </c>
      <c r="S755" s="122" t="str">
        <f>IF(Tab.o1[[#This Row],[a1]]=1,((Tab.o1[[#This Row],[MedMod]]-AVERAGE(Tab.o1[MedMod]))/_xlfn.STDEV.P(Tab.o1[MedMod])*H$1204)+G$1204,"")</f>
        <v/>
      </c>
      <c r="T755" s="123" t="str">
        <f>IF(Tab.o1[[#This Row],[a1]]=1,Tab.o1[[#This Row],[Z-]]*_xlfn.STDEV.P(Tab.o1[B])+AVERAGE(Tab.o1[B]),"")</f>
        <v/>
      </c>
      <c r="U755" s="123" t="str">
        <f>IF(Tab.o1[[#This Row],[a1]]=1,Tab.o1[[#This Row],[z+]]*_xlfn.STDEV.P(Tab.o1[B])+AVERAGE(Tab.o1[B]),"")</f>
        <v/>
      </c>
      <c r="V755" s="124" t="str">
        <f>IF(Tab.o1[[#This Row],[a1]]=1,ABS((ABS(Tab.o1[[#This Row],[Red]]-Tab.o1[[#This Row],[Blue]]))),"")</f>
        <v/>
      </c>
      <c r="W755" s="125" t="str">
        <f>IF(Tab.o1[[#This Row],[a1]]=1,IF(W$3=0,1,Tab.o1[[#This Row],[Amp.]]*1/_xlfn.MINIFS(Tab.o1[Amp.],Tab.o1[Amp.],"&lt;&gt;0")),"")</f>
        <v/>
      </c>
      <c r="X755" s="126" t="str">
        <f>IF(Tab.o1[[#This Row],[a1]]=1,IF(ISNUMBER(Tab.o1[[#This Row],[i.]]),NORMDIST(Tab.o1[[#This Row],[Za]],0,1,FALSE)*Tab.o1[[#This Row],[i.]],AP$3),"")</f>
        <v/>
      </c>
      <c r="Y755" s="126" t="str">
        <f>IF(Tab.o1[[#This Row],[a1]]=1,0.01+0.94*Tab.o1[[#This Row],[PDF]]/MAX(Tab.o1[PDF]),"")</f>
        <v/>
      </c>
      <c r="Z755" s="126" t="str">
        <f>IF(Tab.o1[[#This Row],[a1]]=1,0.01+0.94*Tab.o1[[#This Row],[W1_PDF]]/MAX(Tab.o1[W1_PDF]),"")</f>
        <v/>
      </c>
      <c r="AA755" s="118" t="str">
        <f>IF(Tab.o1[[#This Row],[a1]]=1,ABS([1]!T.in.A[[#This Row],[oo6]]),"")</f>
        <v/>
      </c>
      <c r="AB755" s="127" t="str">
        <f>IF(Tab.o1[[#This Row],[a1]]=1,IF(AE$3=0,"",IF(AB$3=0,ABS([1]!T.in.A[[#This Row],[oo9]]),ABS(Tab.o1[[#This Row],[DIF_Target.]]*Tab.o1[[#This Row],[W1_PDF]]))),"")</f>
        <v/>
      </c>
      <c r="AC755" s="127" t="str">
        <f>IF(G$1=1,"",IF(Tab.o1[[#This Row],[a1]]=1,Tab.o1[[#This Row],[Wr]]^2,""))</f>
        <v/>
      </c>
      <c r="AD755" s="118" t="str">
        <f>IF(Tab.o1[[#This Row],[a1]]=1,IF(AE$3=0,"",Tab.o1[[#This Row],[Wr2]]/SUM(Tab.o1[Wr2])),"")</f>
        <v/>
      </c>
      <c r="AE755" s="128" t="str">
        <f>IF(Tab.o1[[#This Row],[a1]]=1,[1]!T.in.A[[#This Row],[oo10]],"")</f>
        <v/>
      </c>
      <c r="AF755" s="118" t="str">
        <f>IF(Tab.o1[[#This Row],[a1]]=1,ABS(Tab.o1[[#This Row],[DIF_Target.]]*Tab.o1[[#This Row],[PDF2]]*Tab.o1[[#This Row],[IN]]),"")</f>
        <v/>
      </c>
      <c r="AG755" s="129" t="str">
        <f>IF(Tab.o1[[#This Row],[a1]]=1,Tab.o1[[#This Row],[rW]]^2,"")</f>
        <v/>
      </c>
      <c r="AH755" s="130" t="str">
        <f>IF(Tab.o1[[#This Row],[a1]]=1,IF(AH$3=0,Tab.o1[[#This Row],[rW2]],0.01+0.94*Tab.o1[[#This Row],[rW2]]/SUM(Tab.o1[rW2])),"")</f>
        <v/>
      </c>
      <c r="AI755" s="128" t="str">
        <f>IF(Tab.o1[[#This Row],[a1]]=1,1/Tab.o1[[#This Row],[PDF]],"")</f>
        <v/>
      </c>
      <c r="AJ755" s="131" t="str">
        <f>IF(Tab.o1[[#This Row],[a1]]=1,[1]!T_AA[[#This Row],[IN'']]*[1]!T_AA[[#This Row],[Qde'']],"")</f>
        <v/>
      </c>
      <c r="AK755" s="132" t="str">
        <f>IF(Tab.o1[[#This Row],[a1]]=1,IF(AK$1=1,Tab.o1[[#This Row],[MED]]+Tab.o1[[#This Row],[MOD]]-Tab.o1[[#This Row],[MED]],""),"")</f>
        <v/>
      </c>
      <c r="AL755" s="133" t="str">
        <f>IF(Tab.o1[[#This Row],[a1]]=1,[1]!T.in.A[[#This Row],[oo16]],"")</f>
        <v/>
      </c>
      <c r="AM755" s="133" t="str">
        <f>IF(Tab.o1[[#This Row],[a1]]=1,IF(AM$3=1,[1]!T.in.A[[#This Row],[Σo16]],""),"")</f>
        <v/>
      </c>
      <c r="AN755" s="126" t="str">
        <f>IF(Tab.o1[[#This Row],[a1]]=1,[1]!T.in.A[[#This Row],[Σp5]],"")</f>
        <v/>
      </c>
      <c r="AO755" s="126" t="str">
        <f>IF(Tab.o1[[#This Row],[a1]]=1,IF(AO$3=1,[1]!T.in.A[[#This Row],[Σp5]],""),"")</f>
        <v/>
      </c>
      <c r="AP755" s="110" t="str">
        <f>IF(Tab.o1[[#This Row],[a1]]=1,IF(ISNUMBER(Tab.o1[[#This Row],[i.]]),NORMDIST(Tab.o1[[#This Row],[Za]],0,1,FALSE)*Tab.o1[[#This Row],[i.]],0),"")</f>
        <v/>
      </c>
      <c r="AQ755" s="125" t="str">
        <f>IF(Tab.o1[[#This Row],[a1]]=1,ABS(Tab.o1[[#This Row],[MOD]]-AVERAGE(Tab.o1[MOD])),"")</f>
        <v/>
      </c>
      <c r="AR755" s="134" t="str">
        <f>IF(Tab.o1[[#This Row],[a1]]=1,Tab.o1[[#This Row],[OBS]]/SUM(Tab.o1[OBS]),"")</f>
        <v/>
      </c>
      <c r="AS755" s="135" t="str">
        <f>IF(ISNUMBER(Tab.o1[[#This Row],[a1]]),ROW()-4,"")</f>
        <v/>
      </c>
      <c r="AT755" s="136" t="str">
        <f>Tab.o1[[#This Row],[MOD]]</f>
        <v/>
      </c>
      <c r="AU755" s="137" t="str">
        <f t="shared" si="45"/>
        <v/>
      </c>
      <c r="AV755" s="138" t="str">
        <f t="shared" si="46"/>
        <v/>
      </c>
      <c r="AW755" s="138" t="str">
        <f t="shared" si="47"/>
        <v/>
      </c>
      <c r="AX755" s="139" t="str">
        <f>[1]!T.in.A[[#This Row],[ID_T_manu]]</f>
        <v/>
      </c>
      <c r="AY755" s="140" t="str">
        <f>IF(ISNUMBER(Tab.o1[[#This Row],[a1]]),IF(AND(Tab.o1[[#This Row],[a1]]=1,Tab.o1[[#This Row],[b1]]&lt;=AY$4),#REF!,AY754),"")</f>
        <v/>
      </c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6"/>
      <c r="BO755" s="26"/>
      <c r="BP755" s="26"/>
      <c r="BQ755" s="26"/>
      <c r="BR755" s="26"/>
      <c r="BS755" s="26"/>
      <c r="BT755" s="26"/>
      <c r="BU755" s="26"/>
      <c r="BV755" s="26"/>
      <c r="BW755" s="26"/>
      <c r="BX755" s="26"/>
      <c r="BY755" s="26"/>
      <c r="BZ755" s="26"/>
      <c r="CA755" s="26"/>
    </row>
    <row r="756" spans="1:79" s="143" customFormat="1" ht="15.75" hidden="1">
      <c r="A756" s="109">
        <v>1.0000000000000001E-5</v>
      </c>
      <c r="B756" s="110">
        <f t="shared" si="44"/>
        <v>756</v>
      </c>
      <c r="C756" s="111" t="str">
        <f>IF(C$1=[1]!T.in.A[[#This Row],[oo2]],1,"")</f>
        <v/>
      </c>
      <c r="D756" s="112" t="str">
        <f>IF(Tab.o1[[#This Row],[a1]]=1,IF(SUM(C756:C757)=0,0,IF(SUM(C755:C756)=1,1,IF(SUM(C755:C757)&gt;1,D755+1,0))),"")</f>
        <v/>
      </c>
      <c r="E756" s="113" t="str">
        <f>IF(Tab.o1[[#This Row],[a1]]=1,[1]!T.in.A[[#This Row],[oo1]],"")</f>
        <v/>
      </c>
      <c r="F756" s="113" t="str">
        <f>IF(Tab.o1[[#This Row],[a1]]=1,[1]!T.in.A[[#This Row],[pp1]],"")</f>
        <v/>
      </c>
      <c r="G756" s="114" t="str">
        <f>IF(Tab.o1[[#This Row],[a1]]=1,G$2+IF(G$1=1,0,Tab.o1[[#This Row],[.x1]])+[1]!T.in.A[[#This Row],[oo3]],"")</f>
        <v/>
      </c>
      <c r="H756" s="115" t="str">
        <f>IF(Tab.o1[[#This Row],[a1]]=1,IF(H$2=0,0,IF(G$1=1,0,Tab.o1[[#This Row],[.x1]])+[1]!T.in.A[[#This Row],[oo4]]),"")</f>
        <v/>
      </c>
      <c r="I756" s="116" t="str">
        <f>IF(Tab.o1[[#This Row],[a1]]=1,IF(J$2=0,Tab.o1[[#This Row],[MED]],Tab.o1[[#This Row],[MOD]]),"")</f>
        <v/>
      </c>
      <c r="J756" s="116" t="str">
        <f>IF(Tab.o1[[#This Row],[a1]]=1,((Tab.o1[[#This Row],[DIF_Target.]]-AVERAGE(Tab.o1[DIF_Target.]))/_xlfn.STDEV.P(Tab.o1[DIF_Target.])),"")</f>
        <v/>
      </c>
      <c r="K756" s="117" t="str">
        <f>IF(Tab.o1[[#This Row],[a1]]=1,IF(J$2=0,Tab.o1[[#This Row],[MOD]]-Tab.o1[[#This Row],[B]],IF(J$2=1,0,-Tab.o1[[#This Row],[MED]])+Tab.o1[[#This Row],[B]]),"")</f>
        <v/>
      </c>
      <c r="L756" s="117" t="str">
        <f ca="1">IF(Tab.o1[[#This Row],[DIF_Target]]=0,IF(L$2=0,Tab.o1[[#This Row],[DIF_Target]],AVERAGE(OFFSET(Tab.o1[[#This Row],[DIF_Target]],1,0,L$3,1)))/3,Tab.o1[[#This Row],[DIF_Target]])</f>
        <v/>
      </c>
      <c r="M756" s="118" t="str">
        <f>IF(Tab.o1[[#This Row],[a1]]=1,NORMSDIST(Tab.o1[[#This Row],[Za]]),"")</f>
        <v/>
      </c>
      <c r="N756" s="119" t="str">
        <f>IF(Tab.o1[[#This Row],[a1]]=1,((Tab.o1[[#This Row],[MedMod]]-AVERAGE(Tab.o1[MedMod]))/_xlfn.STDEV.P(Tab.o1[MedMod])*H$1205)+G$1205,"")</f>
        <v/>
      </c>
      <c r="O756" s="141" t="str">
        <f>IF(Tab.o1[[#This Row],[a1]]=1,Tab.o1[[#This Row],[Zb]]*_xlfn.STDEV.P(Tab.o1[MedMod])+AVERAGE(Tab.o1[MedMod]),"")</f>
        <v/>
      </c>
      <c r="P756" s="117" t="str">
        <f ca="1">IF(Tab.o1[[#This Row],[B]]=0,AVERAGE(OFFSET(Tab.o1[[#This Row],[B]],1,0,L$3,1)),Tab.o1[[#This Row],[B]])</f>
        <v/>
      </c>
      <c r="Q756" s="121" t="str">
        <f>IF(Tab.o1[[#This Row],[a1]]=1,NORMSDIST(Tab.o1[[#This Row],[Zb]]),"")</f>
        <v/>
      </c>
      <c r="R756" s="122" t="str">
        <f>IF(Tab.o1[[#This Row],[a1]]=1,((Tab.o1[[#This Row],[MedMod]]-AVERAGE(Tab.o1[MedMod]))/_xlfn.STDEV.P(Tab.o1[MedMod])*H$1203)+G$1203,"")</f>
        <v/>
      </c>
      <c r="S756" s="122" t="str">
        <f>IF(Tab.o1[[#This Row],[a1]]=1,((Tab.o1[[#This Row],[MedMod]]-AVERAGE(Tab.o1[MedMod]))/_xlfn.STDEV.P(Tab.o1[MedMod])*H$1204)+G$1204,"")</f>
        <v/>
      </c>
      <c r="T756" s="123" t="str">
        <f>IF(Tab.o1[[#This Row],[a1]]=1,Tab.o1[[#This Row],[Z-]]*_xlfn.STDEV.P(Tab.o1[B])+AVERAGE(Tab.o1[B]),"")</f>
        <v/>
      </c>
      <c r="U756" s="123" t="str">
        <f>IF(Tab.o1[[#This Row],[a1]]=1,Tab.o1[[#This Row],[z+]]*_xlfn.STDEV.P(Tab.o1[B])+AVERAGE(Tab.o1[B]),"")</f>
        <v/>
      </c>
      <c r="V756" s="124" t="str">
        <f>IF(Tab.o1[[#This Row],[a1]]=1,ABS((ABS(Tab.o1[[#This Row],[Red]]-Tab.o1[[#This Row],[Blue]]))),"")</f>
        <v/>
      </c>
      <c r="W756" s="125" t="str">
        <f>IF(Tab.o1[[#This Row],[a1]]=1,IF(W$3=0,1,Tab.o1[[#This Row],[Amp.]]*1/_xlfn.MINIFS(Tab.o1[Amp.],Tab.o1[Amp.],"&lt;&gt;0")),"")</f>
        <v/>
      </c>
      <c r="X756" s="126" t="str">
        <f>IF(Tab.o1[[#This Row],[a1]]=1,IF(ISNUMBER(Tab.o1[[#This Row],[i.]]),NORMDIST(Tab.o1[[#This Row],[Za]],0,1,FALSE)*Tab.o1[[#This Row],[i.]],AP$3),"")</f>
        <v/>
      </c>
      <c r="Y756" s="126" t="str">
        <f>IF(Tab.o1[[#This Row],[a1]]=1,0.01+0.94*Tab.o1[[#This Row],[PDF]]/MAX(Tab.o1[PDF]),"")</f>
        <v/>
      </c>
      <c r="Z756" s="126" t="str">
        <f>IF(Tab.o1[[#This Row],[a1]]=1,0.01+0.94*Tab.o1[[#This Row],[W1_PDF]]/MAX(Tab.o1[W1_PDF]),"")</f>
        <v/>
      </c>
      <c r="AA756" s="118" t="str">
        <f>IF(Tab.o1[[#This Row],[a1]]=1,ABS([1]!T.in.A[[#This Row],[oo6]]),"")</f>
        <v/>
      </c>
      <c r="AB756" s="127" t="str">
        <f>IF(Tab.o1[[#This Row],[a1]]=1,IF(AE$3=0,"",IF(AB$3=0,ABS([1]!T.in.A[[#This Row],[oo9]]),ABS(Tab.o1[[#This Row],[DIF_Target.]]*Tab.o1[[#This Row],[W1_PDF]]))),"")</f>
        <v/>
      </c>
      <c r="AC756" s="127" t="str">
        <f>IF(G$1=1,"",IF(Tab.o1[[#This Row],[a1]]=1,Tab.o1[[#This Row],[Wr]]^2,""))</f>
        <v/>
      </c>
      <c r="AD756" s="118" t="str">
        <f>IF(Tab.o1[[#This Row],[a1]]=1,IF(AE$3=0,"",Tab.o1[[#This Row],[Wr2]]/SUM(Tab.o1[Wr2])),"")</f>
        <v/>
      </c>
      <c r="AE756" s="128" t="str">
        <f>IF(Tab.o1[[#This Row],[a1]]=1,[1]!T.in.A[[#This Row],[oo10]],"")</f>
        <v/>
      </c>
      <c r="AF756" s="118" t="str">
        <f>IF(Tab.o1[[#This Row],[a1]]=1,ABS(Tab.o1[[#This Row],[DIF_Target.]]*Tab.o1[[#This Row],[PDF2]]*Tab.o1[[#This Row],[IN]]),"")</f>
        <v/>
      </c>
      <c r="AG756" s="129" t="str">
        <f>IF(Tab.o1[[#This Row],[a1]]=1,Tab.o1[[#This Row],[rW]]^2,"")</f>
        <v/>
      </c>
      <c r="AH756" s="130" t="str">
        <f>IF(Tab.o1[[#This Row],[a1]]=1,IF(AH$3=0,Tab.o1[[#This Row],[rW2]],0.01+0.94*Tab.o1[[#This Row],[rW2]]/SUM(Tab.o1[rW2])),"")</f>
        <v/>
      </c>
      <c r="AI756" s="128" t="str">
        <f>IF(Tab.o1[[#This Row],[a1]]=1,1/Tab.o1[[#This Row],[PDF]],"")</f>
        <v/>
      </c>
      <c r="AJ756" s="131" t="str">
        <f>IF(Tab.o1[[#This Row],[a1]]=1,[1]!T_AA[[#This Row],[IN'']]*[1]!T_AA[[#This Row],[Qde'']],"")</f>
        <v/>
      </c>
      <c r="AK756" s="132" t="str">
        <f>IF(Tab.o1[[#This Row],[a1]]=1,IF(AK$1=1,Tab.o1[[#This Row],[MED]]+Tab.o1[[#This Row],[MOD]]-Tab.o1[[#This Row],[MED]],""),"")</f>
        <v/>
      </c>
      <c r="AL756" s="133" t="str">
        <f>IF(Tab.o1[[#This Row],[a1]]=1,[1]!T.in.A[[#This Row],[oo16]],"")</f>
        <v/>
      </c>
      <c r="AM756" s="133" t="str">
        <f>IF(Tab.o1[[#This Row],[a1]]=1,IF(AM$3=1,[1]!T.in.A[[#This Row],[Σo16]],""),"")</f>
        <v/>
      </c>
      <c r="AN756" s="126" t="str">
        <f>IF(Tab.o1[[#This Row],[a1]]=1,[1]!T.in.A[[#This Row],[Σp5]],"")</f>
        <v/>
      </c>
      <c r="AO756" s="126" t="str">
        <f>IF(Tab.o1[[#This Row],[a1]]=1,IF(AO$3=1,[1]!T.in.A[[#This Row],[Σp5]],""),"")</f>
        <v/>
      </c>
      <c r="AP756" s="110" t="str">
        <f>IF(Tab.o1[[#This Row],[a1]]=1,IF(ISNUMBER(Tab.o1[[#This Row],[i.]]),NORMDIST(Tab.o1[[#This Row],[Za]],0,1,FALSE)*Tab.o1[[#This Row],[i.]],0),"")</f>
        <v/>
      </c>
      <c r="AQ756" s="125" t="str">
        <f>IF(Tab.o1[[#This Row],[a1]]=1,ABS(Tab.o1[[#This Row],[MOD]]-AVERAGE(Tab.o1[MOD])),"")</f>
        <v/>
      </c>
      <c r="AR756" s="134" t="str">
        <f>IF(Tab.o1[[#This Row],[a1]]=1,Tab.o1[[#This Row],[OBS]]/SUM(Tab.o1[OBS]),"")</f>
        <v/>
      </c>
      <c r="AS756" s="135" t="str">
        <f>IF(ISNUMBER(Tab.o1[[#This Row],[a1]]),ROW()-4,"")</f>
        <v/>
      </c>
      <c r="AT756" s="136" t="str">
        <f>Tab.o1[[#This Row],[MOD]]</f>
        <v/>
      </c>
      <c r="AU756" s="137" t="str">
        <f t="shared" si="45"/>
        <v/>
      </c>
      <c r="AV756" s="138" t="str">
        <f t="shared" si="46"/>
        <v/>
      </c>
      <c r="AW756" s="138" t="str">
        <f t="shared" si="47"/>
        <v/>
      </c>
      <c r="AX756" s="139" t="str">
        <f>[1]!T.in.A[[#This Row],[ID_T_manu]]</f>
        <v/>
      </c>
      <c r="AY756" s="140" t="str">
        <f>IF(ISNUMBER(Tab.o1[[#This Row],[a1]]),IF(AND(Tab.o1[[#This Row],[a1]]=1,Tab.o1[[#This Row],[b1]]&lt;=AY$4),#REF!,AY755),"")</f>
        <v/>
      </c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6"/>
      <c r="BO756" s="26"/>
      <c r="BP756" s="26"/>
      <c r="BQ756" s="26"/>
      <c r="BR756" s="26"/>
      <c r="BS756" s="26"/>
      <c r="BT756" s="26"/>
      <c r="BU756" s="26"/>
      <c r="BV756" s="26"/>
      <c r="BW756" s="26"/>
      <c r="BX756" s="26"/>
      <c r="BY756" s="26"/>
      <c r="BZ756" s="26"/>
      <c r="CA756" s="26"/>
    </row>
    <row r="757" spans="1:79" s="143" customFormat="1" ht="15.75" hidden="1">
      <c r="A757" s="109">
        <v>-2.0000000000000003E-6</v>
      </c>
      <c r="B757" s="110">
        <f t="shared" si="44"/>
        <v>757</v>
      </c>
      <c r="C757" s="111" t="str">
        <f>IF(C$1=[1]!T.in.A[[#This Row],[oo2]],1,"")</f>
        <v/>
      </c>
      <c r="D757" s="112" t="str">
        <f>IF(Tab.o1[[#This Row],[a1]]=1,IF(SUM(C757:C758)=0,0,IF(SUM(C756:C757)=1,1,IF(SUM(C756:C758)&gt;1,D756+1,0))),"")</f>
        <v/>
      </c>
      <c r="E757" s="113" t="str">
        <f>IF(Tab.o1[[#This Row],[a1]]=1,[1]!T.in.A[[#This Row],[oo1]],"")</f>
        <v/>
      </c>
      <c r="F757" s="113" t="str">
        <f>IF(Tab.o1[[#This Row],[a1]]=1,[1]!T.in.A[[#This Row],[pp1]],"")</f>
        <v/>
      </c>
      <c r="G757" s="114" t="str">
        <f>IF(Tab.o1[[#This Row],[a1]]=1,G$2+IF(G$1=1,0,Tab.o1[[#This Row],[.x1]])+[1]!T.in.A[[#This Row],[oo3]],"")</f>
        <v/>
      </c>
      <c r="H757" s="115" t="str">
        <f>IF(Tab.o1[[#This Row],[a1]]=1,IF(H$2=0,0,IF(G$1=1,0,Tab.o1[[#This Row],[.x1]])+[1]!T.in.A[[#This Row],[oo4]]),"")</f>
        <v/>
      </c>
      <c r="I757" s="116" t="str">
        <f>IF(Tab.o1[[#This Row],[a1]]=1,IF(J$2=0,Tab.o1[[#This Row],[MED]],Tab.o1[[#This Row],[MOD]]),"")</f>
        <v/>
      </c>
      <c r="J757" s="116" t="str">
        <f>IF(Tab.o1[[#This Row],[a1]]=1,((Tab.o1[[#This Row],[DIF_Target.]]-AVERAGE(Tab.o1[DIF_Target.]))/_xlfn.STDEV.P(Tab.o1[DIF_Target.])),"")</f>
        <v/>
      </c>
      <c r="K757" s="117" t="str">
        <f>IF(Tab.o1[[#This Row],[a1]]=1,IF(J$2=0,Tab.o1[[#This Row],[MOD]]-Tab.o1[[#This Row],[B]],IF(J$2=1,0,-Tab.o1[[#This Row],[MED]])+Tab.o1[[#This Row],[B]]),"")</f>
        <v/>
      </c>
      <c r="L757" s="117" t="str">
        <f ca="1">IF(Tab.o1[[#This Row],[DIF_Target]]=0,IF(L$2=0,Tab.o1[[#This Row],[DIF_Target]],AVERAGE(OFFSET(Tab.o1[[#This Row],[DIF_Target]],1,0,L$3,1)))/3,Tab.o1[[#This Row],[DIF_Target]])</f>
        <v/>
      </c>
      <c r="M757" s="118" t="str">
        <f>IF(Tab.o1[[#This Row],[a1]]=1,NORMSDIST(Tab.o1[[#This Row],[Za]]),"")</f>
        <v/>
      </c>
      <c r="N757" s="119" t="str">
        <f>IF(Tab.o1[[#This Row],[a1]]=1,((Tab.o1[[#This Row],[MedMod]]-AVERAGE(Tab.o1[MedMod]))/_xlfn.STDEV.P(Tab.o1[MedMod])*H$1205)+G$1205,"")</f>
        <v/>
      </c>
      <c r="O757" s="141" t="str">
        <f>IF(Tab.o1[[#This Row],[a1]]=1,Tab.o1[[#This Row],[Zb]]*_xlfn.STDEV.P(Tab.o1[MedMod])+AVERAGE(Tab.o1[MedMod]),"")</f>
        <v/>
      </c>
      <c r="P757" s="117" t="str">
        <f ca="1">IF(Tab.o1[[#This Row],[B]]=0,AVERAGE(OFFSET(Tab.o1[[#This Row],[B]],1,0,L$3,1)),Tab.o1[[#This Row],[B]])</f>
        <v/>
      </c>
      <c r="Q757" s="121" t="str">
        <f>IF(Tab.o1[[#This Row],[a1]]=1,NORMSDIST(Tab.o1[[#This Row],[Zb]]),"")</f>
        <v/>
      </c>
      <c r="R757" s="122" t="str">
        <f>IF(Tab.o1[[#This Row],[a1]]=1,((Tab.o1[[#This Row],[MedMod]]-AVERAGE(Tab.o1[MedMod]))/_xlfn.STDEV.P(Tab.o1[MedMod])*H$1203)+G$1203,"")</f>
        <v/>
      </c>
      <c r="S757" s="122" t="str">
        <f>IF(Tab.o1[[#This Row],[a1]]=1,((Tab.o1[[#This Row],[MedMod]]-AVERAGE(Tab.o1[MedMod]))/_xlfn.STDEV.P(Tab.o1[MedMod])*H$1204)+G$1204,"")</f>
        <v/>
      </c>
      <c r="T757" s="123" t="str">
        <f>IF(Tab.o1[[#This Row],[a1]]=1,Tab.o1[[#This Row],[Z-]]*_xlfn.STDEV.P(Tab.o1[B])+AVERAGE(Tab.o1[B]),"")</f>
        <v/>
      </c>
      <c r="U757" s="123" t="str">
        <f>IF(Tab.o1[[#This Row],[a1]]=1,Tab.o1[[#This Row],[z+]]*_xlfn.STDEV.P(Tab.o1[B])+AVERAGE(Tab.o1[B]),"")</f>
        <v/>
      </c>
      <c r="V757" s="124" t="str">
        <f>IF(Tab.o1[[#This Row],[a1]]=1,ABS((ABS(Tab.o1[[#This Row],[Red]]-Tab.o1[[#This Row],[Blue]]))),"")</f>
        <v/>
      </c>
      <c r="W757" s="125" t="str">
        <f>IF(Tab.o1[[#This Row],[a1]]=1,IF(W$3=0,1,Tab.o1[[#This Row],[Amp.]]*1/_xlfn.MINIFS(Tab.o1[Amp.],Tab.o1[Amp.],"&lt;&gt;0")),"")</f>
        <v/>
      </c>
      <c r="X757" s="126" t="str">
        <f>IF(Tab.o1[[#This Row],[a1]]=1,IF(ISNUMBER(Tab.o1[[#This Row],[i.]]),NORMDIST(Tab.o1[[#This Row],[Za]],0,1,FALSE)*Tab.o1[[#This Row],[i.]],AP$3),"")</f>
        <v/>
      </c>
      <c r="Y757" s="126" t="str">
        <f>IF(Tab.o1[[#This Row],[a1]]=1,0.01+0.94*Tab.o1[[#This Row],[PDF]]/MAX(Tab.o1[PDF]),"")</f>
        <v/>
      </c>
      <c r="Z757" s="126" t="str">
        <f>IF(Tab.o1[[#This Row],[a1]]=1,0.01+0.94*Tab.o1[[#This Row],[W1_PDF]]/MAX(Tab.o1[W1_PDF]),"")</f>
        <v/>
      </c>
      <c r="AA757" s="118" t="str">
        <f>IF(Tab.o1[[#This Row],[a1]]=1,ABS([1]!T.in.A[[#This Row],[oo6]]),"")</f>
        <v/>
      </c>
      <c r="AB757" s="127" t="str">
        <f>IF(Tab.o1[[#This Row],[a1]]=1,IF(AE$3=0,"",IF(AB$3=0,ABS([1]!T.in.A[[#This Row],[oo9]]),ABS(Tab.o1[[#This Row],[DIF_Target.]]*Tab.o1[[#This Row],[W1_PDF]]))),"")</f>
        <v/>
      </c>
      <c r="AC757" s="127" t="str">
        <f>IF(G$1=1,"",IF(Tab.o1[[#This Row],[a1]]=1,Tab.o1[[#This Row],[Wr]]^2,""))</f>
        <v/>
      </c>
      <c r="AD757" s="118" t="str">
        <f>IF(Tab.o1[[#This Row],[a1]]=1,IF(AE$3=0,"",Tab.o1[[#This Row],[Wr2]]/SUM(Tab.o1[Wr2])),"")</f>
        <v/>
      </c>
      <c r="AE757" s="128" t="str">
        <f>IF(Tab.o1[[#This Row],[a1]]=1,[1]!T.in.A[[#This Row],[oo10]],"")</f>
        <v/>
      </c>
      <c r="AF757" s="118" t="str">
        <f>IF(Tab.o1[[#This Row],[a1]]=1,ABS(Tab.o1[[#This Row],[DIF_Target.]]*Tab.o1[[#This Row],[PDF2]]*Tab.o1[[#This Row],[IN]]),"")</f>
        <v/>
      </c>
      <c r="AG757" s="129" t="str">
        <f>IF(Tab.o1[[#This Row],[a1]]=1,Tab.o1[[#This Row],[rW]]^2,"")</f>
        <v/>
      </c>
      <c r="AH757" s="130" t="str">
        <f>IF(Tab.o1[[#This Row],[a1]]=1,IF(AH$3=0,Tab.o1[[#This Row],[rW2]],0.01+0.94*Tab.o1[[#This Row],[rW2]]/SUM(Tab.o1[rW2])),"")</f>
        <v/>
      </c>
      <c r="AI757" s="128" t="str">
        <f>IF(Tab.o1[[#This Row],[a1]]=1,1/Tab.o1[[#This Row],[PDF]],"")</f>
        <v/>
      </c>
      <c r="AJ757" s="131" t="str">
        <f>IF(Tab.o1[[#This Row],[a1]]=1,[1]!T_AA[[#This Row],[IN'']]*[1]!T_AA[[#This Row],[Qde'']],"")</f>
        <v/>
      </c>
      <c r="AK757" s="132" t="str">
        <f>IF(Tab.o1[[#This Row],[a1]]=1,IF(AK$1=1,Tab.o1[[#This Row],[MED]]+Tab.o1[[#This Row],[MOD]]-Tab.o1[[#This Row],[MED]],""),"")</f>
        <v/>
      </c>
      <c r="AL757" s="133" t="str">
        <f>IF(Tab.o1[[#This Row],[a1]]=1,[1]!T.in.A[[#This Row],[oo16]],"")</f>
        <v/>
      </c>
      <c r="AM757" s="133" t="str">
        <f>IF(Tab.o1[[#This Row],[a1]]=1,IF(AM$3=1,[1]!T.in.A[[#This Row],[Σo16]],""),"")</f>
        <v/>
      </c>
      <c r="AN757" s="126" t="str">
        <f>IF(Tab.o1[[#This Row],[a1]]=1,[1]!T.in.A[[#This Row],[Σp5]],"")</f>
        <v/>
      </c>
      <c r="AO757" s="126" t="str">
        <f>IF(Tab.o1[[#This Row],[a1]]=1,IF(AO$3=1,[1]!T.in.A[[#This Row],[Σp5]],""),"")</f>
        <v/>
      </c>
      <c r="AP757" s="110" t="str">
        <f>IF(Tab.o1[[#This Row],[a1]]=1,IF(ISNUMBER(Tab.o1[[#This Row],[i.]]),NORMDIST(Tab.o1[[#This Row],[Za]],0,1,FALSE)*Tab.o1[[#This Row],[i.]],0),"")</f>
        <v/>
      </c>
      <c r="AQ757" s="125" t="str">
        <f>IF(Tab.o1[[#This Row],[a1]]=1,ABS(Tab.o1[[#This Row],[MOD]]-AVERAGE(Tab.o1[MOD])),"")</f>
        <v/>
      </c>
      <c r="AR757" s="134" t="str">
        <f>IF(Tab.o1[[#This Row],[a1]]=1,Tab.o1[[#This Row],[OBS]]/SUM(Tab.o1[OBS]),"")</f>
        <v/>
      </c>
      <c r="AS757" s="135" t="str">
        <f>IF(ISNUMBER(Tab.o1[[#This Row],[a1]]),ROW()-4,"")</f>
        <v/>
      </c>
      <c r="AT757" s="136" t="str">
        <f>Tab.o1[[#This Row],[MOD]]</f>
        <v/>
      </c>
      <c r="AU757" s="137" t="str">
        <f t="shared" si="45"/>
        <v/>
      </c>
      <c r="AV757" s="138" t="str">
        <f t="shared" si="46"/>
        <v/>
      </c>
      <c r="AW757" s="138" t="str">
        <f t="shared" si="47"/>
        <v/>
      </c>
      <c r="AX757" s="139" t="str">
        <f>[1]!T.in.A[[#This Row],[ID_T_manu]]</f>
        <v/>
      </c>
      <c r="AY757" s="140" t="str">
        <f>IF(ISNUMBER(Tab.o1[[#This Row],[a1]]),IF(AND(Tab.o1[[#This Row],[a1]]=1,Tab.o1[[#This Row],[b1]]&lt;=AY$4),#REF!,AY756),"")</f>
        <v/>
      </c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6"/>
      <c r="BO757" s="26"/>
      <c r="BP757" s="26"/>
      <c r="BQ757" s="26"/>
      <c r="BR757" s="26"/>
      <c r="BS757" s="26"/>
      <c r="BT757" s="26"/>
      <c r="BU757" s="26"/>
      <c r="BV757" s="26"/>
      <c r="BW757" s="26"/>
      <c r="BX757" s="26"/>
      <c r="BY757" s="26"/>
      <c r="BZ757" s="26"/>
      <c r="CA757" s="26"/>
    </row>
    <row r="758" spans="1:79" s="143" customFormat="1" ht="15.75" hidden="1">
      <c r="A758" s="109">
        <v>4.0000000000000007E-6</v>
      </c>
      <c r="B758" s="110">
        <f t="shared" si="44"/>
        <v>758</v>
      </c>
      <c r="C758" s="111" t="str">
        <f>IF(C$1=[1]!T.in.A[[#This Row],[oo2]],1,"")</f>
        <v/>
      </c>
      <c r="D758" s="112" t="str">
        <f>IF(Tab.o1[[#This Row],[a1]]=1,IF(SUM(C758:C759)=0,0,IF(SUM(C757:C758)=1,1,IF(SUM(C757:C759)&gt;1,D757+1,0))),"")</f>
        <v/>
      </c>
      <c r="E758" s="113" t="str">
        <f>IF(Tab.o1[[#This Row],[a1]]=1,[1]!T.in.A[[#This Row],[oo1]],"")</f>
        <v/>
      </c>
      <c r="F758" s="113" t="str">
        <f>IF(Tab.o1[[#This Row],[a1]]=1,[1]!T.in.A[[#This Row],[pp1]],"")</f>
        <v/>
      </c>
      <c r="G758" s="114" t="str">
        <f>IF(Tab.o1[[#This Row],[a1]]=1,G$2+IF(G$1=1,0,Tab.o1[[#This Row],[.x1]])+[1]!T.in.A[[#This Row],[oo3]],"")</f>
        <v/>
      </c>
      <c r="H758" s="115" t="str">
        <f>IF(Tab.o1[[#This Row],[a1]]=1,IF(H$2=0,0,IF(G$1=1,0,Tab.o1[[#This Row],[.x1]])+[1]!T.in.A[[#This Row],[oo4]]),"")</f>
        <v/>
      </c>
      <c r="I758" s="116" t="str">
        <f>IF(Tab.o1[[#This Row],[a1]]=1,IF(J$2=0,Tab.o1[[#This Row],[MED]],Tab.o1[[#This Row],[MOD]]),"")</f>
        <v/>
      </c>
      <c r="J758" s="116" t="str">
        <f>IF(Tab.o1[[#This Row],[a1]]=1,((Tab.o1[[#This Row],[DIF_Target.]]-AVERAGE(Tab.o1[DIF_Target.]))/_xlfn.STDEV.P(Tab.o1[DIF_Target.])),"")</f>
        <v/>
      </c>
      <c r="K758" s="117" t="str">
        <f>IF(Tab.o1[[#This Row],[a1]]=1,IF(J$2=0,Tab.o1[[#This Row],[MOD]]-Tab.o1[[#This Row],[B]],IF(J$2=1,0,-Tab.o1[[#This Row],[MED]])+Tab.o1[[#This Row],[B]]),"")</f>
        <v/>
      </c>
      <c r="L758" s="117" t="str">
        <f ca="1">IF(Tab.o1[[#This Row],[DIF_Target]]=0,IF(L$2=0,Tab.o1[[#This Row],[DIF_Target]],AVERAGE(OFFSET(Tab.o1[[#This Row],[DIF_Target]],1,0,L$3,1)))/3,Tab.o1[[#This Row],[DIF_Target]])</f>
        <v/>
      </c>
      <c r="M758" s="118" t="str">
        <f>IF(Tab.o1[[#This Row],[a1]]=1,NORMSDIST(Tab.o1[[#This Row],[Za]]),"")</f>
        <v/>
      </c>
      <c r="N758" s="119" t="str">
        <f>IF(Tab.o1[[#This Row],[a1]]=1,((Tab.o1[[#This Row],[MedMod]]-AVERAGE(Tab.o1[MedMod]))/_xlfn.STDEV.P(Tab.o1[MedMod])*H$1205)+G$1205,"")</f>
        <v/>
      </c>
      <c r="O758" s="141" t="str">
        <f>IF(Tab.o1[[#This Row],[a1]]=1,Tab.o1[[#This Row],[Zb]]*_xlfn.STDEV.P(Tab.o1[MedMod])+AVERAGE(Tab.o1[MedMod]),"")</f>
        <v/>
      </c>
      <c r="P758" s="117" t="str">
        <f ca="1">IF(Tab.o1[[#This Row],[B]]=0,AVERAGE(OFFSET(Tab.o1[[#This Row],[B]],1,0,L$3,1)),Tab.o1[[#This Row],[B]])</f>
        <v/>
      </c>
      <c r="Q758" s="121" t="str">
        <f>IF(Tab.o1[[#This Row],[a1]]=1,NORMSDIST(Tab.o1[[#This Row],[Zb]]),"")</f>
        <v/>
      </c>
      <c r="R758" s="122" t="str">
        <f>IF(Tab.o1[[#This Row],[a1]]=1,((Tab.o1[[#This Row],[MedMod]]-AVERAGE(Tab.o1[MedMod]))/_xlfn.STDEV.P(Tab.o1[MedMod])*H$1203)+G$1203,"")</f>
        <v/>
      </c>
      <c r="S758" s="122" t="str">
        <f>IF(Tab.o1[[#This Row],[a1]]=1,((Tab.o1[[#This Row],[MedMod]]-AVERAGE(Tab.o1[MedMod]))/_xlfn.STDEV.P(Tab.o1[MedMod])*H$1204)+G$1204,"")</f>
        <v/>
      </c>
      <c r="T758" s="123" t="str">
        <f>IF(Tab.o1[[#This Row],[a1]]=1,Tab.o1[[#This Row],[Z-]]*_xlfn.STDEV.P(Tab.o1[B])+AVERAGE(Tab.o1[B]),"")</f>
        <v/>
      </c>
      <c r="U758" s="123" t="str">
        <f>IF(Tab.o1[[#This Row],[a1]]=1,Tab.o1[[#This Row],[z+]]*_xlfn.STDEV.P(Tab.o1[B])+AVERAGE(Tab.o1[B]),"")</f>
        <v/>
      </c>
      <c r="V758" s="124" t="str">
        <f>IF(Tab.o1[[#This Row],[a1]]=1,ABS((ABS(Tab.o1[[#This Row],[Red]]-Tab.o1[[#This Row],[Blue]]))),"")</f>
        <v/>
      </c>
      <c r="W758" s="125" t="str">
        <f>IF(Tab.o1[[#This Row],[a1]]=1,IF(W$3=0,1,Tab.o1[[#This Row],[Amp.]]*1/_xlfn.MINIFS(Tab.o1[Amp.],Tab.o1[Amp.],"&lt;&gt;0")),"")</f>
        <v/>
      </c>
      <c r="X758" s="126" t="str">
        <f>IF(Tab.o1[[#This Row],[a1]]=1,IF(ISNUMBER(Tab.o1[[#This Row],[i.]]),NORMDIST(Tab.o1[[#This Row],[Za]],0,1,FALSE)*Tab.o1[[#This Row],[i.]],AP$3),"")</f>
        <v/>
      </c>
      <c r="Y758" s="126" t="str">
        <f>IF(Tab.o1[[#This Row],[a1]]=1,0.01+0.94*Tab.o1[[#This Row],[PDF]]/MAX(Tab.o1[PDF]),"")</f>
        <v/>
      </c>
      <c r="Z758" s="126" t="str">
        <f>IF(Tab.o1[[#This Row],[a1]]=1,0.01+0.94*Tab.o1[[#This Row],[W1_PDF]]/MAX(Tab.o1[W1_PDF]),"")</f>
        <v/>
      </c>
      <c r="AA758" s="118" t="str">
        <f>IF(Tab.o1[[#This Row],[a1]]=1,ABS([1]!T.in.A[[#This Row],[oo6]]),"")</f>
        <v/>
      </c>
      <c r="AB758" s="127" t="str">
        <f>IF(Tab.o1[[#This Row],[a1]]=1,IF(AE$3=0,"",IF(AB$3=0,ABS([1]!T.in.A[[#This Row],[oo9]]),ABS(Tab.o1[[#This Row],[DIF_Target.]]*Tab.o1[[#This Row],[W1_PDF]]))),"")</f>
        <v/>
      </c>
      <c r="AC758" s="127" t="str">
        <f>IF(G$1=1,"",IF(Tab.o1[[#This Row],[a1]]=1,Tab.o1[[#This Row],[Wr]]^2,""))</f>
        <v/>
      </c>
      <c r="AD758" s="118" t="str">
        <f>IF(Tab.o1[[#This Row],[a1]]=1,IF(AE$3=0,"",Tab.o1[[#This Row],[Wr2]]/SUM(Tab.o1[Wr2])),"")</f>
        <v/>
      </c>
      <c r="AE758" s="128" t="str">
        <f>IF(Tab.o1[[#This Row],[a1]]=1,[1]!T.in.A[[#This Row],[oo10]],"")</f>
        <v/>
      </c>
      <c r="AF758" s="118" t="str">
        <f>IF(Tab.o1[[#This Row],[a1]]=1,ABS(Tab.o1[[#This Row],[DIF_Target.]]*Tab.o1[[#This Row],[PDF2]]*Tab.o1[[#This Row],[IN]]),"")</f>
        <v/>
      </c>
      <c r="AG758" s="129" t="str">
        <f>IF(Tab.o1[[#This Row],[a1]]=1,Tab.o1[[#This Row],[rW]]^2,"")</f>
        <v/>
      </c>
      <c r="AH758" s="130" t="str">
        <f>IF(Tab.o1[[#This Row],[a1]]=1,IF(AH$3=0,Tab.o1[[#This Row],[rW2]],0.01+0.94*Tab.o1[[#This Row],[rW2]]/SUM(Tab.o1[rW2])),"")</f>
        <v/>
      </c>
      <c r="AI758" s="128" t="str">
        <f>IF(Tab.o1[[#This Row],[a1]]=1,1/Tab.o1[[#This Row],[PDF]],"")</f>
        <v/>
      </c>
      <c r="AJ758" s="131" t="str">
        <f>IF(Tab.o1[[#This Row],[a1]]=1,[1]!T_AA[[#This Row],[IN'']]*[1]!T_AA[[#This Row],[Qde'']],"")</f>
        <v/>
      </c>
      <c r="AK758" s="132" t="str">
        <f>IF(Tab.o1[[#This Row],[a1]]=1,IF(AK$1=1,Tab.o1[[#This Row],[MED]]+Tab.o1[[#This Row],[MOD]]-Tab.o1[[#This Row],[MED]],""),"")</f>
        <v/>
      </c>
      <c r="AL758" s="133" t="str">
        <f>IF(Tab.o1[[#This Row],[a1]]=1,[1]!T.in.A[[#This Row],[oo16]],"")</f>
        <v/>
      </c>
      <c r="AM758" s="133" t="str">
        <f>IF(Tab.o1[[#This Row],[a1]]=1,IF(AM$3=1,[1]!T.in.A[[#This Row],[Σo16]],""),"")</f>
        <v/>
      </c>
      <c r="AN758" s="126" t="str">
        <f>IF(Tab.o1[[#This Row],[a1]]=1,[1]!T.in.A[[#This Row],[Σp5]],"")</f>
        <v/>
      </c>
      <c r="AO758" s="126" t="str">
        <f>IF(Tab.o1[[#This Row],[a1]]=1,IF(AO$3=1,[1]!T.in.A[[#This Row],[Σp5]],""),"")</f>
        <v/>
      </c>
      <c r="AP758" s="110" t="str">
        <f>IF(Tab.o1[[#This Row],[a1]]=1,IF(ISNUMBER(Tab.o1[[#This Row],[i.]]),NORMDIST(Tab.o1[[#This Row],[Za]],0,1,FALSE)*Tab.o1[[#This Row],[i.]],0),"")</f>
        <v/>
      </c>
      <c r="AQ758" s="125" t="str">
        <f>IF(Tab.o1[[#This Row],[a1]]=1,ABS(Tab.o1[[#This Row],[MOD]]-AVERAGE(Tab.o1[MOD])),"")</f>
        <v/>
      </c>
      <c r="AR758" s="134" t="str">
        <f>IF(Tab.o1[[#This Row],[a1]]=1,Tab.o1[[#This Row],[OBS]]/SUM(Tab.o1[OBS]),"")</f>
        <v/>
      </c>
      <c r="AS758" s="135" t="str">
        <f>IF(ISNUMBER(Tab.o1[[#This Row],[a1]]),ROW()-4,"")</f>
        <v/>
      </c>
      <c r="AT758" s="136" t="str">
        <f>Tab.o1[[#This Row],[MOD]]</f>
        <v/>
      </c>
      <c r="AU758" s="137" t="str">
        <f t="shared" si="45"/>
        <v/>
      </c>
      <c r="AV758" s="138" t="str">
        <f t="shared" si="46"/>
        <v/>
      </c>
      <c r="AW758" s="138" t="str">
        <f t="shared" si="47"/>
        <v/>
      </c>
      <c r="AX758" s="139" t="str">
        <f>[1]!T.in.A[[#This Row],[ID_T_manu]]</f>
        <v/>
      </c>
      <c r="AY758" s="140" t="str">
        <f>IF(ISNUMBER(Tab.o1[[#This Row],[a1]]),IF(AND(Tab.o1[[#This Row],[a1]]=1,Tab.o1[[#This Row],[b1]]&lt;=AY$4),#REF!,AY757),"")</f>
        <v/>
      </c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6"/>
      <c r="BO758" s="26"/>
      <c r="BP758" s="26"/>
      <c r="BQ758" s="26"/>
      <c r="BR758" s="26"/>
      <c r="BS758" s="26"/>
      <c r="BT758" s="26"/>
      <c r="BU758" s="26"/>
      <c r="BV758" s="26"/>
      <c r="BW758" s="26"/>
      <c r="BX758" s="26"/>
      <c r="BY758" s="26"/>
      <c r="BZ758" s="26"/>
      <c r="CA758" s="26"/>
    </row>
    <row r="759" spans="1:79" s="143" customFormat="1" ht="15.75" hidden="1">
      <c r="A759" s="109">
        <v>-1.0000000000000001E-5</v>
      </c>
      <c r="B759" s="110">
        <f t="shared" si="44"/>
        <v>759</v>
      </c>
      <c r="C759" s="111" t="str">
        <f>IF(C$1=[1]!T.in.A[[#This Row],[oo2]],1,"")</f>
        <v/>
      </c>
      <c r="D759" s="112" t="str">
        <f>IF(Tab.o1[[#This Row],[a1]]=1,IF(SUM(C759:C760)=0,0,IF(SUM(C758:C759)=1,1,IF(SUM(C758:C760)&gt;1,D758+1,0))),"")</f>
        <v/>
      </c>
      <c r="E759" s="113" t="str">
        <f>IF(Tab.o1[[#This Row],[a1]]=1,[1]!T.in.A[[#This Row],[oo1]],"")</f>
        <v/>
      </c>
      <c r="F759" s="113" t="str">
        <f>IF(Tab.o1[[#This Row],[a1]]=1,[1]!T.in.A[[#This Row],[pp1]],"")</f>
        <v/>
      </c>
      <c r="G759" s="114" t="str">
        <f>IF(Tab.o1[[#This Row],[a1]]=1,G$2+IF(G$1=1,0,Tab.o1[[#This Row],[.x1]])+[1]!T.in.A[[#This Row],[oo3]],"")</f>
        <v/>
      </c>
      <c r="H759" s="115" t="str">
        <f>IF(Tab.o1[[#This Row],[a1]]=1,IF(H$2=0,0,IF(G$1=1,0,Tab.o1[[#This Row],[.x1]])+[1]!T.in.A[[#This Row],[oo4]]),"")</f>
        <v/>
      </c>
      <c r="I759" s="116" t="str">
        <f>IF(Tab.o1[[#This Row],[a1]]=1,IF(J$2=0,Tab.o1[[#This Row],[MED]],Tab.o1[[#This Row],[MOD]]),"")</f>
        <v/>
      </c>
      <c r="J759" s="116" t="str">
        <f>IF(Tab.o1[[#This Row],[a1]]=1,((Tab.o1[[#This Row],[DIF_Target.]]-AVERAGE(Tab.o1[DIF_Target.]))/_xlfn.STDEV.P(Tab.o1[DIF_Target.])),"")</f>
        <v/>
      </c>
      <c r="K759" s="117" t="str">
        <f>IF(Tab.o1[[#This Row],[a1]]=1,IF(J$2=0,Tab.o1[[#This Row],[MOD]]-Tab.o1[[#This Row],[B]],IF(J$2=1,0,-Tab.o1[[#This Row],[MED]])+Tab.o1[[#This Row],[B]]),"")</f>
        <v/>
      </c>
      <c r="L759" s="117" t="str">
        <f ca="1">IF(Tab.o1[[#This Row],[DIF_Target]]=0,IF(L$2=0,Tab.o1[[#This Row],[DIF_Target]],AVERAGE(OFFSET(Tab.o1[[#This Row],[DIF_Target]],1,0,L$3,1)))/3,Tab.o1[[#This Row],[DIF_Target]])</f>
        <v/>
      </c>
      <c r="M759" s="118" t="str">
        <f>IF(Tab.o1[[#This Row],[a1]]=1,NORMSDIST(Tab.o1[[#This Row],[Za]]),"")</f>
        <v/>
      </c>
      <c r="N759" s="119" t="str">
        <f>IF(Tab.o1[[#This Row],[a1]]=1,((Tab.o1[[#This Row],[MedMod]]-AVERAGE(Tab.o1[MedMod]))/_xlfn.STDEV.P(Tab.o1[MedMod])*H$1205)+G$1205,"")</f>
        <v/>
      </c>
      <c r="O759" s="141" t="str">
        <f>IF(Tab.o1[[#This Row],[a1]]=1,Tab.o1[[#This Row],[Zb]]*_xlfn.STDEV.P(Tab.o1[MedMod])+AVERAGE(Tab.o1[MedMod]),"")</f>
        <v/>
      </c>
      <c r="P759" s="117" t="str">
        <f ca="1">IF(Tab.o1[[#This Row],[B]]=0,AVERAGE(OFFSET(Tab.o1[[#This Row],[B]],1,0,L$3,1)),Tab.o1[[#This Row],[B]])</f>
        <v/>
      </c>
      <c r="Q759" s="121" t="str">
        <f>IF(Tab.o1[[#This Row],[a1]]=1,NORMSDIST(Tab.o1[[#This Row],[Zb]]),"")</f>
        <v/>
      </c>
      <c r="R759" s="122" t="str">
        <f>IF(Tab.o1[[#This Row],[a1]]=1,((Tab.o1[[#This Row],[MedMod]]-AVERAGE(Tab.o1[MedMod]))/_xlfn.STDEV.P(Tab.o1[MedMod])*H$1203)+G$1203,"")</f>
        <v/>
      </c>
      <c r="S759" s="122" t="str">
        <f>IF(Tab.o1[[#This Row],[a1]]=1,((Tab.o1[[#This Row],[MedMod]]-AVERAGE(Tab.o1[MedMod]))/_xlfn.STDEV.P(Tab.o1[MedMod])*H$1204)+G$1204,"")</f>
        <v/>
      </c>
      <c r="T759" s="123" t="str">
        <f>IF(Tab.o1[[#This Row],[a1]]=1,Tab.o1[[#This Row],[Z-]]*_xlfn.STDEV.P(Tab.o1[B])+AVERAGE(Tab.o1[B]),"")</f>
        <v/>
      </c>
      <c r="U759" s="123" t="str">
        <f>IF(Tab.o1[[#This Row],[a1]]=1,Tab.o1[[#This Row],[z+]]*_xlfn.STDEV.P(Tab.o1[B])+AVERAGE(Tab.o1[B]),"")</f>
        <v/>
      </c>
      <c r="V759" s="124" t="str">
        <f>IF(Tab.o1[[#This Row],[a1]]=1,ABS((ABS(Tab.o1[[#This Row],[Red]]-Tab.o1[[#This Row],[Blue]]))),"")</f>
        <v/>
      </c>
      <c r="W759" s="125" t="str">
        <f>IF(Tab.o1[[#This Row],[a1]]=1,IF(W$3=0,1,Tab.o1[[#This Row],[Amp.]]*1/_xlfn.MINIFS(Tab.o1[Amp.],Tab.o1[Amp.],"&lt;&gt;0")),"")</f>
        <v/>
      </c>
      <c r="X759" s="126" t="str">
        <f>IF(Tab.o1[[#This Row],[a1]]=1,IF(ISNUMBER(Tab.o1[[#This Row],[i.]]),NORMDIST(Tab.o1[[#This Row],[Za]],0,1,FALSE)*Tab.o1[[#This Row],[i.]],AP$3),"")</f>
        <v/>
      </c>
      <c r="Y759" s="126" t="str">
        <f>IF(Tab.o1[[#This Row],[a1]]=1,0.01+0.94*Tab.o1[[#This Row],[PDF]]/MAX(Tab.o1[PDF]),"")</f>
        <v/>
      </c>
      <c r="Z759" s="126" t="str">
        <f>IF(Tab.o1[[#This Row],[a1]]=1,0.01+0.94*Tab.o1[[#This Row],[W1_PDF]]/MAX(Tab.o1[W1_PDF]),"")</f>
        <v/>
      </c>
      <c r="AA759" s="118" t="str">
        <f>IF(Tab.o1[[#This Row],[a1]]=1,ABS([1]!T.in.A[[#This Row],[oo6]]),"")</f>
        <v/>
      </c>
      <c r="AB759" s="127" t="str">
        <f>IF(Tab.o1[[#This Row],[a1]]=1,IF(AE$3=0,"",IF(AB$3=0,ABS([1]!T.in.A[[#This Row],[oo9]]),ABS(Tab.o1[[#This Row],[DIF_Target.]]*Tab.o1[[#This Row],[W1_PDF]]))),"")</f>
        <v/>
      </c>
      <c r="AC759" s="127" t="str">
        <f>IF(G$1=1,"",IF(Tab.o1[[#This Row],[a1]]=1,Tab.o1[[#This Row],[Wr]]^2,""))</f>
        <v/>
      </c>
      <c r="AD759" s="118" t="str">
        <f>IF(Tab.o1[[#This Row],[a1]]=1,IF(AE$3=0,"",Tab.o1[[#This Row],[Wr2]]/SUM(Tab.o1[Wr2])),"")</f>
        <v/>
      </c>
      <c r="AE759" s="128" t="str">
        <f>IF(Tab.o1[[#This Row],[a1]]=1,[1]!T.in.A[[#This Row],[oo10]],"")</f>
        <v/>
      </c>
      <c r="AF759" s="118" t="str">
        <f>IF(Tab.o1[[#This Row],[a1]]=1,ABS(Tab.o1[[#This Row],[DIF_Target.]]*Tab.o1[[#This Row],[PDF2]]*Tab.o1[[#This Row],[IN]]),"")</f>
        <v/>
      </c>
      <c r="AG759" s="129" t="str">
        <f>IF(Tab.o1[[#This Row],[a1]]=1,Tab.o1[[#This Row],[rW]]^2,"")</f>
        <v/>
      </c>
      <c r="AH759" s="130" t="str">
        <f>IF(Tab.o1[[#This Row],[a1]]=1,IF(AH$3=0,Tab.o1[[#This Row],[rW2]],0.01+0.94*Tab.o1[[#This Row],[rW2]]/SUM(Tab.o1[rW2])),"")</f>
        <v/>
      </c>
      <c r="AI759" s="128" t="str">
        <f>IF(Tab.o1[[#This Row],[a1]]=1,1/Tab.o1[[#This Row],[PDF]],"")</f>
        <v/>
      </c>
      <c r="AJ759" s="131" t="str">
        <f>IF(Tab.o1[[#This Row],[a1]]=1,[1]!T_AA[[#This Row],[IN'']]*[1]!T_AA[[#This Row],[Qde'']],"")</f>
        <v/>
      </c>
      <c r="AK759" s="132" t="str">
        <f>IF(Tab.o1[[#This Row],[a1]]=1,IF(AK$1=1,Tab.o1[[#This Row],[MED]]+Tab.o1[[#This Row],[MOD]]-Tab.o1[[#This Row],[MED]],""),"")</f>
        <v/>
      </c>
      <c r="AL759" s="133" t="str">
        <f>IF(Tab.o1[[#This Row],[a1]]=1,[1]!T.in.A[[#This Row],[oo16]],"")</f>
        <v/>
      </c>
      <c r="AM759" s="133" t="str">
        <f>IF(Tab.o1[[#This Row],[a1]]=1,IF(AM$3=1,[1]!T.in.A[[#This Row],[Σo16]],""),"")</f>
        <v/>
      </c>
      <c r="AN759" s="126" t="str">
        <f>IF(Tab.o1[[#This Row],[a1]]=1,[1]!T.in.A[[#This Row],[Σp5]],"")</f>
        <v/>
      </c>
      <c r="AO759" s="126" t="str">
        <f>IF(Tab.o1[[#This Row],[a1]]=1,IF(AO$3=1,[1]!T.in.A[[#This Row],[Σp5]],""),"")</f>
        <v/>
      </c>
      <c r="AP759" s="110" t="str">
        <f>IF(Tab.o1[[#This Row],[a1]]=1,IF(ISNUMBER(Tab.o1[[#This Row],[i.]]),NORMDIST(Tab.o1[[#This Row],[Za]],0,1,FALSE)*Tab.o1[[#This Row],[i.]],0),"")</f>
        <v/>
      </c>
      <c r="AQ759" s="125" t="str">
        <f>IF(Tab.o1[[#This Row],[a1]]=1,ABS(Tab.o1[[#This Row],[MOD]]-AVERAGE(Tab.o1[MOD])),"")</f>
        <v/>
      </c>
      <c r="AR759" s="134" t="str">
        <f>IF(Tab.o1[[#This Row],[a1]]=1,Tab.o1[[#This Row],[OBS]]/SUM(Tab.o1[OBS]),"")</f>
        <v/>
      </c>
      <c r="AS759" s="135" t="str">
        <f>IF(ISNUMBER(Tab.o1[[#This Row],[a1]]),ROW()-4,"")</f>
        <v/>
      </c>
      <c r="AT759" s="136" t="str">
        <f>Tab.o1[[#This Row],[MOD]]</f>
        <v/>
      </c>
      <c r="AU759" s="137" t="str">
        <f t="shared" si="45"/>
        <v/>
      </c>
      <c r="AV759" s="138" t="str">
        <f t="shared" si="46"/>
        <v/>
      </c>
      <c r="AW759" s="138" t="str">
        <f t="shared" si="47"/>
        <v/>
      </c>
      <c r="AX759" s="139" t="str">
        <f>[1]!T.in.A[[#This Row],[ID_T_manu]]</f>
        <v/>
      </c>
      <c r="AY759" s="140" t="str">
        <f>IF(ISNUMBER(Tab.o1[[#This Row],[a1]]),IF(AND(Tab.o1[[#This Row],[a1]]=1,Tab.o1[[#This Row],[b1]]&lt;=AY$4),#REF!,AY758),"")</f>
        <v/>
      </c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6"/>
      <c r="BO759" s="26"/>
      <c r="BP759" s="26"/>
      <c r="BQ759" s="26"/>
      <c r="BR759" s="26"/>
      <c r="BS759" s="26"/>
      <c r="BT759" s="26"/>
      <c r="BU759" s="26"/>
      <c r="BV759" s="26"/>
      <c r="BW759" s="26"/>
      <c r="BX759" s="26"/>
      <c r="BY759" s="26"/>
      <c r="BZ759" s="26"/>
      <c r="CA759" s="26"/>
    </row>
    <row r="760" spans="1:79" s="143" customFormat="1" ht="15.75" hidden="1">
      <c r="A760" s="109">
        <v>-5.0000000000000004E-6</v>
      </c>
      <c r="B760" s="110">
        <f t="shared" si="44"/>
        <v>760</v>
      </c>
      <c r="C760" s="111" t="str">
        <f>IF(C$1=[1]!T.in.A[[#This Row],[oo2]],1,"")</f>
        <v/>
      </c>
      <c r="D760" s="112" t="str">
        <f>IF(Tab.o1[[#This Row],[a1]]=1,IF(SUM(C760:C761)=0,0,IF(SUM(C759:C760)=1,1,IF(SUM(C759:C761)&gt;1,D759+1,0))),"")</f>
        <v/>
      </c>
      <c r="E760" s="113" t="str">
        <f>IF(Tab.o1[[#This Row],[a1]]=1,[1]!T.in.A[[#This Row],[oo1]],"")</f>
        <v/>
      </c>
      <c r="F760" s="113" t="str">
        <f>IF(Tab.o1[[#This Row],[a1]]=1,[1]!T.in.A[[#This Row],[pp1]],"")</f>
        <v/>
      </c>
      <c r="G760" s="114" t="str">
        <f>IF(Tab.o1[[#This Row],[a1]]=1,G$2+IF(G$1=1,0,Tab.o1[[#This Row],[.x1]])+[1]!T.in.A[[#This Row],[oo3]],"")</f>
        <v/>
      </c>
      <c r="H760" s="115" t="str">
        <f>IF(Tab.o1[[#This Row],[a1]]=1,IF(H$2=0,0,IF(G$1=1,0,Tab.o1[[#This Row],[.x1]])+[1]!T.in.A[[#This Row],[oo4]]),"")</f>
        <v/>
      </c>
      <c r="I760" s="116" t="str">
        <f>IF(Tab.o1[[#This Row],[a1]]=1,IF(J$2=0,Tab.o1[[#This Row],[MED]],Tab.o1[[#This Row],[MOD]]),"")</f>
        <v/>
      </c>
      <c r="J760" s="116" t="str">
        <f>IF(Tab.o1[[#This Row],[a1]]=1,((Tab.o1[[#This Row],[DIF_Target.]]-AVERAGE(Tab.o1[DIF_Target.]))/_xlfn.STDEV.P(Tab.o1[DIF_Target.])),"")</f>
        <v/>
      </c>
      <c r="K760" s="117" t="str">
        <f>IF(Tab.o1[[#This Row],[a1]]=1,IF(J$2=0,Tab.o1[[#This Row],[MOD]]-Tab.o1[[#This Row],[B]],IF(J$2=1,0,-Tab.o1[[#This Row],[MED]])+Tab.o1[[#This Row],[B]]),"")</f>
        <v/>
      </c>
      <c r="L760" s="117" t="str">
        <f ca="1">IF(Tab.o1[[#This Row],[DIF_Target]]=0,IF(L$2=0,Tab.o1[[#This Row],[DIF_Target]],AVERAGE(OFFSET(Tab.o1[[#This Row],[DIF_Target]],1,0,L$3,1)))/3,Tab.o1[[#This Row],[DIF_Target]])</f>
        <v/>
      </c>
      <c r="M760" s="118" t="str">
        <f>IF(Tab.o1[[#This Row],[a1]]=1,NORMSDIST(Tab.o1[[#This Row],[Za]]),"")</f>
        <v/>
      </c>
      <c r="N760" s="119" t="str">
        <f>IF(Tab.o1[[#This Row],[a1]]=1,((Tab.o1[[#This Row],[MedMod]]-AVERAGE(Tab.o1[MedMod]))/_xlfn.STDEV.P(Tab.o1[MedMod])*H$1205)+G$1205,"")</f>
        <v/>
      </c>
      <c r="O760" s="141" t="str">
        <f>IF(Tab.o1[[#This Row],[a1]]=1,Tab.o1[[#This Row],[Zb]]*_xlfn.STDEV.P(Tab.o1[MedMod])+AVERAGE(Tab.o1[MedMod]),"")</f>
        <v/>
      </c>
      <c r="P760" s="117" t="str">
        <f ca="1">IF(Tab.o1[[#This Row],[B]]=0,AVERAGE(OFFSET(Tab.o1[[#This Row],[B]],1,0,L$3,1)),Tab.o1[[#This Row],[B]])</f>
        <v/>
      </c>
      <c r="Q760" s="121" t="str">
        <f>IF(Tab.o1[[#This Row],[a1]]=1,NORMSDIST(Tab.o1[[#This Row],[Zb]]),"")</f>
        <v/>
      </c>
      <c r="R760" s="122" t="str">
        <f>IF(Tab.o1[[#This Row],[a1]]=1,((Tab.o1[[#This Row],[MedMod]]-AVERAGE(Tab.o1[MedMod]))/_xlfn.STDEV.P(Tab.o1[MedMod])*H$1203)+G$1203,"")</f>
        <v/>
      </c>
      <c r="S760" s="122" t="str">
        <f>IF(Tab.o1[[#This Row],[a1]]=1,((Tab.o1[[#This Row],[MedMod]]-AVERAGE(Tab.o1[MedMod]))/_xlfn.STDEV.P(Tab.o1[MedMod])*H$1204)+G$1204,"")</f>
        <v/>
      </c>
      <c r="T760" s="123" t="str">
        <f>IF(Tab.o1[[#This Row],[a1]]=1,Tab.o1[[#This Row],[Z-]]*_xlfn.STDEV.P(Tab.o1[B])+AVERAGE(Tab.o1[B]),"")</f>
        <v/>
      </c>
      <c r="U760" s="123" t="str">
        <f>IF(Tab.o1[[#This Row],[a1]]=1,Tab.o1[[#This Row],[z+]]*_xlfn.STDEV.P(Tab.o1[B])+AVERAGE(Tab.o1[B]),"")</f>
        <v/>
      </c>
      <c r="V760" s="124" t="str">
        <f>IF(Tab.o1[[#This Row],[a1]]=1,ABS((ABS(Tab.o1[[#This Row],[Red]]-Tab.o1[[#This Row],[Blue]]))),"")</f>
        <v/>
      </c>
      <c r="W760" s="125" t="str">
        <f>IF(Tab.o1[[#This Row],[a1]]=1,IF(W$3=0,1,Tab.o1[[#This Row],[Amp.]]*1/_xlfn.MINIFS(Tab.o1[Amp.],Tab.o1[Amp.],"&lt;&gt;0")),"")</f>
        <v/>
      </c>
      <c r="X760" s="126" t="str">
        <f>IF(Tab.o1[[#This Row],[a1]]=1,IF(ISNUMBER(Tab.o1[[#This Row],[i.]]),NORMDIST(Tab.o1[[#This Row],[Za]],0,1,FALSE)*Tab.o1[[#This Row],[i.]],AP$3),"")</f>
        <v/>
      </c>
      <c r="Y760" s="126" t="str">
        <f>IF(Tab.o1[[#This Row],[a1]]=1,0.01+0.94*Tab.o1[[#This Row],[PDF]]/MAX(Tab.o1[PDF]),"")</f>
        <v/>
      </c>
      <c r="Z760" s="126" t="str">
        <f>IF(Tab.o1[[#This Row],[a1]]=1,0.01+0.94*Tab.o1[[#This Row],[W1_PDF]]/MAX(Tab.o1[W1_PDF]),"")</f>
        <v/>
      </c>
      <c r="AA760" s="118" t="str">
        <f>IF(Tab.o1[[#This Row],[a1]]=1,ABS([1]!T.in.A[[#This Row],[oo6]]),"")</f>
        <v/>
      </c>
      <c r="AB760" s="127" t="str">
        <f>IF(Tab.o1[[#This Row],[a1]]=1,IF(AE$3=0,"",IF(AB$3=0,ABS([1]!T.in.A[[#This Row],[oo9]]),ABS(Tab.o1[[#This Row],[DIF_Target.]]*Tab.o1[[#This Row],[W1_PDF]]))),"")</f>
        <v/>
      </c>
      <c r="AC760" s="127" t="str">
        <f>IF(G$1=1,"",IF(Tab.o1[[#This Row],[a1]]=1,Tab.o1[[#This Row],[Wr]]^2,""))</f>
        <v/>
      </c>
      <c r="AD760" s="118" t="str">
        <f>IF(Tab.o1[[#This Row],[a1]]=1,IF(AE$3=0,"",Tab.o1[[#This Row],[Wr2]]/SUM(Tab.o1[Wr2])),"")</f>
        <v/>
      </c>
      <c r="AE760" s="128" t="str">
        <f>IF(Tab.o1[[#This Row],[a1]]=1,[1]!T.in.A[[#This Row],[oo10]],"")</f>
        <v/>
      </c>
      <c r="AF760" s="118" t="str">
        <f>IF(Tab.o1[[#This Row],[a1]]=1,ABS(Tab.o1[[#This Row],[DIF_Target.]]*Tab.o1[[#This Row],[PDF2]]*Tab.o1[[#This Row],[IN]]),"")</f>
        <v/>
      </c>
      <c r="AG760" s="129" t="str">
        <f>IF(Tab.o1[[#This Row],[a1]]=1,Tab.o1[[#This Row],[rW]]^2,"")</f>
        <v/>
      </c>
      <c r="AH760" s="130" t="str">
        <f>IF(Tab.o1[[#This Row],[a1]]=1,IF(AH$3=0,Tab.o1[[#This Row],[rW2]],0.01+0.94*Tab.o1[[#This Row],[rW2]]/SUM(Tab.o1[rW2])),"")</f>
        <v/>
      </c>
      <c r="AI760" s="128" t="str">
        <f>IF(Tab.o1[[#This Row],[a1]]=1,1/Tab.o1[[#This Row],[PDF]],"")</f>
        <v/>
      </c>
      <c r="AJ760" s="131" t="str">
        <f>IF(Tab.o1[[#This Row],[a1]]=1,[1]!T_AA[[#This Row],[IN'']]*[1]!T_AA[[#This Row],[Qde'']],"")</f>
        <v/>
      </c>
      <c r="AK760" s="132" t="str">
        <f>IF(Tab.o1[[#This Row],[a1]]=1,IF(AK$1=1,Tab.o1[[#This Row],[MED]]+Tab.o1[[#This Row],[MOD]]-Tab.o1[[#This Row],[MED]],""),"")</f>
        <v/>
      </c>
      <c r="AL760" s="133" t="str">
        <f>IF(Tab.o1[[#This Row],[a1]]=1,[1]!T.in.A[[#This Row],[oo16]],"")</f>
        <v/>
      </c>
      <c r="AM760" s="133" t="str">
        <f>IF(Tab.o1[[#This Row],[a1]]=1,IF(AM$3=1,[1]!T.in.A[[#This Row],[Σo16]],""),"")</f>
        <v/>
      </c>
      <c r="AN760" s="126" t="str">
        <f>IF(Tab.o1[[#This Row],[a1]]=1,[1]!T.in.A[[#This Row],[Σp5]],"")</f>
        <v/>
      </c>
      <c r="AO760" s="126" t="str">
        <f>IF(Tab.o1[[#This Row],[a1]]=1,IF(AO$3=1,[1]!T.in.A[[#This Row],[Σp5]],""),"")</f>
        <v/>
      </c>
      <c r="AP760" s="110" t="str">
        <f>IF(Tab.o1[[#This Row],[a1]]=1,IF(ISNUMBER(Tab.o1[[#This Row],[i.]]),NORMDIST(Tab.o1[[#This Row],[Za]],0,1,FALSE)*Tab.o1[[#This Row],[i.]],0),"")</f>
        <v/>
      </c>
      <c r="AQ760" s="125" t="str">
        <f>IF(Tab.o1[[#This Row],[a1]]=1,ABS(Tab.o1[[#This Row],[MOD]]-AVERAGE(Tab.o1[MOD])),"")</f>
        <v/>
      </c>
      <c r="AR760" s="134" t="str">
        <f>IF(Tab.o1[[#This Row],[a1]]=1,Tab.o1[[#This Row],[OBS]]/SUM(Tab.o1[OBS]),"")</f>
        <v/>
      </c>
      <c r="AS760" s="135" t="str">
        <f>IF(ISNUMBER(Tab.o1[[#This Row],[a1]]),ROW()-4,"")</f>
        <v/>
      </c>
      <c r="AT760" s="136" t="str">
        <f>Tab.o1[[#This Row],[MOD]]</f>
        <v/>
      </c>
      <c r="AU760" s="137" t="str">
        <f t="shared" si="45"/>
        <v/>
      </c>
      <c r="AV760" s="138" t="str">
        <f t="shared" si="46"/>
        <v/>
      </c>
      <c r="AW760" s="138" t="str">
        <f t="shared" si="47"/>
        <v/>
      </c>
      <c r="AX760" s="139" t="str">
        <f>[1]!T.in.A[[#This Row],[ID_T_manu]]</f>
        <v/>
      </c>
      <c r="AY760" s="140" t="str">
        <f>IF(ISNUMBER(Tab.o1[[#This Row],[a1]]),IF(AND(Tab.o1[[#This Row],[a1]]=1,Tab.o1[[#This Row],[b1]]&lt;=AY$4),#REF!,AY759),"")</f>
        <v/>
      </c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6"/>
      <c r="BO760" s="26"/>
      <c r="BP760" s="26"/>
      <c r="BQ760" s="26"/>
      <c r="BR760" s="26"/>
      <c r="BS760" s="26"/>
      <c r="BT760" s="26"/>
      <c r="BU760" s="26"/>
      <c r="BV760" s="26"/>
      <c r="BW760" s="26"/>
      <c r="BX760" s="26"/>
      <c r="BY760" s="26"/>
      <c r="BZ760" s="26"/>
      <c r="CA760" s="26"/>
    </row>
    <row r="761" spans="1:79" s="143" customFormat="1" ht="15.75" hidden="1">
      <c r="A761" s="109">
        <v>1.0000000000000001E-5</v>
      </c>
      <c r="B761" s="110">
        <f t="shared" si="44"/>
        <v>761</v>
      </c>
      <c r="C761" s="111" t="str">
        <f>IF(C$1=[1]!T.in.A[[#This Row],[oo2]],1,"")</f>
        <v/>
      </c>
      <c r="D761" s="112" t="str">
        <f>IF(Tab.o1[[#This Row],[a1]]=1,IF(SUM(C761:C762)=0,0,IF(SUM(C760:C761)=1,1,IF(SUM(C760:C762)&gt;1,D760+1,0))),"")</f>
        <v/>
      </c>
      <c r="E761" s="113" t="str">
        <f>IF(Tab.o1[[#This Row],[a1]]=1,[1]!T.in.A[[#This Row],[oo1]],"")</f>
        <v/>
      </c>
      <c r="F761" s="113" t="str">
        <f>IF(Tab.o1[[#This Row],[a1]]=1,[1]!T.in.A[[#This Row],[pp1]],"")</f>
        <v/>
      </c>
      <c r="G761" s="114" t="str">
        <f>IF(Tab.o1[[#This Row],[a1]]=1,G$2+IF(G$1=1,0,Tab.o1[[#This Row],[.x1]])+[1]!T.in.A[[#This Row],[oo3]],"")</f>
        <v/>
      </c>
      <c r="H761" s="115" t="str">
        <f>IF(Tab.o1[[#This Row],[a1]]=1,IF(H$2=0,0,IF(G$1=1,0,Tab.o1[[#This Row],[.x1]])+[1]!T.in.A[[#This Row],[oo4]]),"")</f>
        <v/>
      </c>
      <c r="I761" s="116" t="str">
        <f>IF(Tab.o1[[#This Row],[a1]]=1,IF(J$2=0,Tab.o1[[#This Row],[MED]],Tab.o1[[#This Row],[MOD]]),"")</f>
        <v/>
      </c>
      <c r="J761" s="116" t="str">
        <f>IF(Tab.o1[[#This Row],[a1]]=1,((Tab.o1[[#This Row],[DIF_Target.]]-AVERAGE(Tab.o1[DIF_Target.]))/_xlfn.STDEV.P(Tab.o1[DIF_Target.])),"")</f>
        <v/>
      </c>
      <c r="K761" s="117" t="str">
        <f>IF(Tab.o1[[#This Row],[a1]]=1,IF(J$2=0,Tab.o1[[#This Row],[MOD]]-Tab.o1[[#This Row],[B]],IF(J$2=1,0,-Tab.o1[[#This Row],[MED]])+Tab.o1[[#This Row],[B]]),"")</f>
        <v/>
      </c>
      <c r="L761" s="117" t="str">
        <f ca="1">IF(Tab.o1[[#This Row],[DIF_Target]]=0,IF(L$2=0,Tab.o1[[#This Row],[DIF_Target]],AVERAGE(OFFSET(Tab.o1[[#This Row],[DIF_Target]],1,0,L$3,1)))/3,Tab.o1[[#This Row],[DIF_Target]])</f>
        <v/>
      </c>
      <c r="M761" s="118" t="str">
        <f>IF(Tab.o1[[#This Row],[a1]]=1,NORMSDIST(Tab.o1[[#This Row],[Za]]),"")</f>
        <v/>
      </c>
      <c r="N761" s="119" t="str">
        <f>IF(Tab.o1[[#This Row],[a1]]=1,((Tab.o1[[#This Row],[MedMod]]-AVERAGE(Tab.o1[MedMod]))/_xlfn.STDEV.P(Tab.o1[MedMod])*H$1205)+G$1205,"")</f>
        <v/>
      </c>
      <c r="O761" s="141" t="str">
        <f>IF(Tab.o1[[#This Row],[a1]]=1,Tab.o1[[#This Row],[Zb]]*_xlfn.STDEV.P(Tab.o1[MedMod])+AVERAGE(Tab.o1[MedMod]),"")</f>
        <v/>
      </c>
      <c r="P761" s="117" t="str">
        <f ca="1">IF(Tab.o1[[#This Row],[B]]=0,AVERAGE(OFFSET(Tab.o1[[#This Row],[B]],1,0,L$3,1)),Tab.o1[[#This Row],[B]])</f>
        <v/>
      </c>
      <c r="Q761" s="121" t="str">
        <f>IF(Tab.o1[[#This Row],[a1]]=1,NORMSDIST(Tab.o1[[#This Row],[Zb]]),"")</f>
        <v/>
      </c>
      <c r="R761" s="122" t="str">
        <f>IF(Tab.o1[[#This Row],[a1]]=1,((Tab.o1[[#This Row],[MedMod]]-AVERAGE(Tab.o1[MedMod]))/_xlfn.STDEV.P(Tab.o1[MedMod])*H$1203)+G$1203,"")</f>
        <v/>
      </c>
      <c r="S761" s="122" t="str">
        <f>IF(Tab.o1[[#This Row],[a1]]=1,((Tab.o1[[#This Row],[MedMod]]-AVERAGE(Tab.o1[MedMod]))/_xlfn.STDEV.P(Tab.o1[MedMod])*H$1204)+G$1204,"")</f>
        <v/>
      </c>
      <c r="T761" s="123" t="str">
        <f>IF(Tab.o1[[#This Row],[a1]]=1,Tab.o1[[#This Row],[Z-]]*_xlfn.STDEV.P(Tab.o1[B])+AVERAGE(Tab.o1[B]),"")</f>
        <v/>
      </c>
      <c r="U761" s="123" t="str">
        <f>IF(Tab.o1[[#This Row],[a1]]=1,Tab.o1[[#This Row],[z+]]*_xlfn.STDEV.P(Tab.o1[B])+AVERAGE(Tab.o1[B]),"")</f>
        <v/>
      </c>
      <c r="V761" s="124" t="str">
        <f>IF(Tab.o1[[#This Row],[a1]]=1,ABS((ABS(Tab.o1[[#This Row],[Red]]-Tab.o1[[#This Row],[Blue]]))),"")</f>
        <v/>
      </c>
      <c r="W761" s="125" t="str">
        <f>IF(Tab.o1[[#This Row],[a1]]=1,IF(W$3=0,1,Tab.o1[[#This Row],[Amp.]]*1/_xlfn.MINIFS(Tab.o1[Amp.],Tab.o1[Amp.],"&lt;&gt;0")),"")</f>
        <v/>
      </c>
      <c r="X761" s="126" t="str">
        <f>IF(Tab.o1[[#This Row],[a1]]=1,IF(ISNUMBER(Tab.o1[[#This Row],[i.]]),NORMDIST(Tab.o1[[#This Row],[Za]],0,1,FALSE)*Tab.o1[[#This Row],[i.]],AP$3),"")</f>
        <v/>
      </c>
      <c r="Y761" s="126" t="str">
        <f>IF(Tab.o1[[#This Row],[a1]]=1,0.01+0.94*Tab.o1[[#This Row],[PDF]]/MAX(Tab.o1[PDF]),"")</f>
        <v/>
      </c>
      <c r="Z761" s="126" t="str">
        <f>IF(Tab.o1[[#This Row],[a1]]=1,0.01+0.94*Tab.o1[[#This Row],[W1_PDF]]/MAX(Tab.o1[W1_PDF]),"")</f>
        <v/>
      </c>
      <c r="AA761" s="118" t="str">
        <f>IF(Tab.o1[[#This Row],[a1]]=1,ABS([1]!T.in.A[[#This Row],[oo6]]),"")</f>
        <v/>
      </c>
      <c r="AB761" s="127" t="str">
        <f>IF(Tab.o1[[#This Row],[a1]]=1,IF(AE$3=0,"",IF(AB$3=0,ABS([1]!T.in.A[[#This Row],[oo9]]),ABS(Tab.o1[[#This Row],[DIF_Target.]]*Tab.o1[[#This Row],[W1_PDF]]))),"")</f>
        <v/>
      </c>
      <c r="AC761" s="127" t="str">
        <f>IF(G$1=1,"",IF(Tab.o1[[#This Row],[a1]]=1,Tab.o1[[#This Row],[Wr]]^2,""))</f>
        <v/>
      </c>
      <c r="AD761" s="118" t="str">
        <f>IF(Tab.o1[[#This Row],[a1]]=1,IF(AE$3=0,"",Tab.o1[[#This Row],[Wr2]]/SUM(Tab.o1[Wr2])),"")</f>
        <v/>
      </c>
      <c r="AE761" s="128" t="str">
        <f>IF(Tab.o1[[#This Row],[a1]]=1,[1]!T.in.A[[#This Row],[oo10]],"")</f>
        <v/>
      </c>
      <c r="AF761" s="118" t="str">
        <f>IF(Tab.o1[[#This Row],[a1]]=1,ABS(Tab.o1[[#This Row],[DIF_Target.]]*Tab.o1[[#This Row],[PDF2]]*Tab.o1[[#This Row],[IN]]),"")</f>
        <v/>
      </c>
      <c r="AG761" s="129" t="str">
        <f>IF(Tab.o1[[#This Row],[a1]]=1,Tab.o1[[#This Row],[rW]]^2,"")</f>
        <v/>
      </c>
      <c r="AH761" s="130" t="str">
        <f>IF(Tab.o1[[#This Row],[a1]]=1,IF(AH$3=0,Tab.o1[[#This Row],[rW2]],0.01+0.94*Tab.o1[[#This Row],[rW2]]/SUM(Tab.o1[rW2])),"")</f>
        <v/>
      </c>
      <c r="AI761" s="128" t="str">
        <f>IF(Tab.o1[[#This Row],[a1]]=1,1/Tab.o1[[#This Row],[PDF]],"")</f>
        <v/>
      </c>
      <c r="AJ761" s="131" t="str">
        <f>IF(Tab.o1[[#This Row],[a1]]=1,[1]!T_AA[[#This Row],[IN'']]*[1]!T_AA[[#This Row],[Qde'']],"")</f>
        <v/>
      </c>
      <c r="AK761" s="132" t="str">
        <f>IF(Tab.o1[[#This Row],[a1]]=1,IF(AK$1=1,Tab.o1[[#This Row],[MED]]+Tab.o1[[#This Row],[MOD]]-Tab.o1[[#This Row],[MED]],""),"")</f>
        <v/>
      </c>
      <c r="AL761" s="133" t="str">
        <f>IF(Tab.o1[[#This Row],[a1]]=1,[1]!T.in.A[[#This Row],[oo16]],"")</f>
        <v/>
      </c>
      <c r="AM761" s="133" t="str">
        <f>IF(Tab.o1[[#This Row],[a1]]=1,IF(AM$3=1,[1]!T.in.A[[#This Row],[Σo16]],""),"")</f>
        <v/>
      </c>
      <c r="AN761" s="126" t="str">
        <f>IF(Tab.o1[[#This Row],[a1]]=1,[1]!T.in.A[[#This Row],[Σp5]],"")</f>
        <v/>
      </c>
      <c r="AO761" s="126" t="str">
        <f>IF(Tab.o1[[#This Row],[a1]]=1,IF(AO$3=1,[1]!T.in.A[[#This Row],[Σp5]],""),"")</f>
        <v/>
      </c>
      <c r="AP761" s="110" t="str">
        <f>IF(Tab.o1[[#This Row],[a1]]=1,IF(ISNUMBER(Tab.o1[[#This Row],[i.]]),NORMDIST(Tab.o1[[#This Row],[Za]],0,1,FALSE)*Tab.o1[[#This Row],[i.]],0),"")</f>
        <v/>
      </c>
      <c r="AQ761" s="125" t="str">
        <f>IF(Tab.o1[[#This Row],[a1]]=1,ABS(Tab.o1[[#This Row],[MOD]]-AVERAGE(Tab.o1[MOD])),"")</f>
        <v/>
      </c>
      <c r="AR761" s="134" t="str">
        <f>IF(Tab.o1[[#This Row],[a1]]=1,Tab.o1[[#This Row],[OBS]]/SUM(Tab.o1[OBS]),"")</f>
        <v/>
      </c>
      <c r="AS761" s="135" t="str">
        <f>IF(ISNUMBER(Tab.o1[[#This Row],[a1]]),ROW()-4,"")</f>
        <v/>
      </c>
      <c r="AT761" s="136" t="str">
        <f>Tab.o1[[#This Row],[MOD]]</f>
        <v/>
      </c>
      <c r="AU761" s="137" t="str">
        <f t="shared" si="45"/>
        <v/>
      </c>
      <c r="AV761" s="138" t="str">
        <f t="shared" si="46"/>
        <v/>
      </c>
      <c r="AW761" s="138" t="str">
        <f t="shared" si="47"/>
        <v/>
      </c>
      <c r="AX761" s="139" t="str">
        <f>[1]!T.in.A[[#This Row],[ID_T_manu]]</f>
        <v/>
      </c>
      <c r="AY761" s="140" t="str">
        <f>IF(ISNUMBER(Tab.o1[[#This Row],[a1]]),IF(AND(Tab.o1[[#This Row],[a1]]=1,Tab.o1[[#This Row],[b1]]&lt;=AY$4),#REF!,AY760),"")</f>
        <v/>
      </c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6"/>
      <c r="BO761" s="26"/>
      <c r="BP761" s="26"/>
      <c r="BQ761" s="26"/>
      <c r="BR761" s="26"/>
      <c r="BS761" s="26"/>
      <c r="BT761" s="26"/>
      <c r="BU761" s="26"/>
      <c r="BV761" s="26"/>
      <c r="BW761" s="26"/>
      <c r="BX761" s="26"/>
      <c r="BY761" s="26"/>
      <c r="BZ761" s="26"/>
      <c r="CA761" s="26"/>
    </row>
    <row r="762" spans="1:79" s="143" customFormat="1" ht="15.75" hidden="1">
      <c r="A762" s="109">
        <v>2.9999999999999997E-6</v>
      </c>
      <c r="B762" s="110">
        <f t="shared" si="44"/>
        <v>762</v>
      </c>
      <c r="C762" s="111" t="str">
        <f>IF(C$1=[1]!T.in.A[[#This Row],[oo2]],1,"")</f>
        <v/>
      </c>
      <c r="D762" s="112" t="str">
        <f>IF(Tab.o1[[#This Row],[a1]]=1,IF(SUM(C762:C763)=0,0,IF(SUM(C761:C762)=1,1,IF(SUM(C761:C763)&gt;1,D761+1,0))),"")</f>
        <v/>
      </c>
      <c r="E762" s="113" t="str">
        <f>IF(Tab.o1[[#This Row],[a1]]=1,[1]!T.in.A[[#This Row],[oo1]],"")</f>
        <v/>
      </c>
      <c r="F762" s="113" t="str">
        <f>IF(Tab.o1[[#This Row],[a1]]=1,[1]!T.in.A[[#This Row],[pp1]],"")</f>
        <v/>
      </c>
      <c r="G762" s="114" t="str">
        <f>IF(Tab.o1[[#This Row],[a1]]=1,G$2+IF(G$1=1,0,Tab.o1[[#This Row],[.x1]])+[1]!T.in.A[[#This Row],[oo3]],"")</f>
        <v/>
      </c>
      <c r="H762" s="115" t="str">
        <f>IF(Tab.o1[[#This Row],[a1]]=1,IF(H$2=0,0,IF(G$1=1,0,Tab.o1[[#This Row],[.x1]])+[1]!T.in.A[[#This Row],[oo4]]),"")</f>
        <v/>
      </c>
      <c r="I762" s="116" t="str">
        <f>IF(Tab.o1[[#This Row],[a1]]=1,IF(J$2=0,Tab.o1[[#This Row],[MED]],Tab.o1[[#This Row],[MOD]]),"")</f>
        <v/>
      </c>
      <c r="J762" s="116" t="str">
        <f>IF(Tab.o1[[#This Row],[a1]]=1,((Tab.o1[[#This Row],[DIF_Target.]]-AVERAGE(Tab.o1[DIF_Target.]))/_xlfn.STDEV.P(Tab.o1[DIF_Target.])),"")</f>
        <v/>
      </c>
      <c r="K762" s="117" t="str">
        <f>IF(Tab.o1[[#This Row],[a1]]=1,IF(J$2=0,Tab.o1[[#This Row],[MOD]]-Tab.o1[[#This Row],[B]],IF(J$2=1,0,-Tab.o1[[#This Row],[MED]])+Tab.o1[[#This Row],[B]]),"")</f>
        <v/>
      </c>
      <c r="L762" s="117" t="str">
        <f ca="1">IF(Tab.o1[[#This Row],[DIF_Target]]=0,IF(L$2=0,Tab.o1[[#This Row],[DIF_Target]],AVERAGE(OFFSET(Tab.o1[[#This Row],[DIF_Target]],1,0,L$3,1)))/3,Tab.o1[[#This Row],[DIF_Target]])</f>
        <v/>
      </c>
      <c r="M762" s="118" t="str">
        <f>IF(Tab.o1[[#This Row],[a1]]=1,NORMSDIST(Tab.o1[[#This Row],[Za]]),"")</f>
        <v/>
      </c>
      <c r="N762" s="119" t="str">
        <f>IF(Tab.o1[[#This Row],[a1]]=1,((Tab.o1[[#This Row],[MedMod]]-AVERAGE(Tab.o1[MedMod]))/_xlfn.STDEV.P(Tab.o1[MedMod])*H$1205)+G$1205,"")</f>
        <v/>
      </c>
      <c r="O762" s="141" t="str">
        <f>IF(Tab.o1[[#This Row],[a1]]=1,Tab.o1[[#This Row],[Zb]]*_xlfn.STDEV.P(Tab.o1[MedMod])+AVERAGE(Tab.o1[MedMod]),"")</f>
        <v/>
      </c>
      <c r="P762" s="117" t="str">
        <f ca="1">IF(Tab.o1[[#This Row],[B]]=0,AVERAGE(OFFSET(Tab.o1[[#This Row],[B]],1,0,L$3,1)),Tab.o1[[#This Row],[B]])</f>
        <v/>
      </c>
      <c r="Q762" s="121" t="str">
        <f>IF(Tab.o1[[#This Row],[a1]]=1,NORMSDIST(Tab.o1[[#This Row],[Zb]]),"")</f>
        <v/>
      </c>
      <c r="R762" s="122" t="str">
        <f>IF(Tab.o1[[#This Row],[a1]]=1,((Tab.o1[[#This Row],[MedMod]]-AVERAGE(Tab.o1[MedMod]))/_xlfn.STDEV.P(Tab.o1[MedMod])*H$1203)+G$1203,"")</f>
        <v/>
      </c>
      <c r="S762" s="122" t="str">
        <f>IF(Tab.o1[[#This Row],[a1]]=1,((Tab.o1[[#This Row],[MedMod]]-AVERAGE(Tab.o1[MedMod]))/_xlfn.STDEV.P(Tab.o1[MedMod])*H$1204)+G$1204,"")</f>
        <v/>
      </c>
      <c r="T762" s="123" t="str">
        <f>IF(Tab.o1[[#This Row],[a1]]=1,Tab.o1[[#This Row],[Z-]]*_xlfn.STDEV.P(Tab.o1[B])+AVERAGE(Tab.o1[B]),"")</f>
        <v/>
      </c>
      <c r="U762" s="123" t="str">
        <f>IF(Tab.o1[[#This Row],[a1]]=1,Tab.o1[[#This Row],[z+]]*_xlfn.STDEV.P(Tab.o1[B])+AVERAGE(Tab.o1[B]),"")</f>
        <v/>
      </c>
      <c r="V762" s="124" t="str">
        <f>IF(Tab.o1[[#This Row],[a1]]=1,ABS((ABS(Tab.o1[[#This Row],[Red]]-Tab.o1[[#This Row],[Blue]]))),"")</f>
        <v/>
      </c>
      <c r="W762" s="125" t="str">
        <f>IF(Tab.o1[[#This Row],[a1]]=1,IF(W$3=0,1,Tab.o1[[#This Row],[Amp.]]*1/_xlfn.MINIFS(Tab.o1[Amp.],Tab.o1[Amp.],"&lt;&gt;0")),"")</f>
        <v/>
      </c>
      <c r="X762" s="126" t="str">
        <f>IF(Tab.o1[[#This Row],[a1]]=1,IF(ISNUMBER(Tab.o1[[#This Row],[i.]]),NORMDIST(Tab.o1[[#This Row],[Za]],0,1,FALSE)*Tab.o1[[#This Row],[i.]],AP$3),"")</f>
        <v/>
      </c>
      <c r="Y762" s="126" t="str">
        <f>IF(Tab.o1[[#This Row],[a1]]=1,0.01+0.94*Tab.o1[[#This Row],[PDF]]/MAX(Tab.o1[PDF]),"")</f>
        <v/>
      </c>
      <c r="Z762" s="126" t="str">
        <f>IF(Tab.o1[[#This Row],[a1]]=1,0.01+0.94*Tab.o1[[#This Row],[W1_PDF]]/MAX(Tab.o1[W1_PDF]),"")</f>
        <v/>
      </c>
      <c r="AA762" s="118" t="str">
        <f>IF(Tab.o1[[#This Row],[a1]]=1,ABS([1]!T.in.A[[#This Row],[oo6]]),"")</f>
        <v/>
      </c>
      <c r="AB762" s="127" t="str">
        <f>IF(Tab.o1[[#This Row],[a1]]=1,IF(AE$3=0,"",IF(AB$3=0,ABS([1]!T.in.A[[#This Row],[oo9]]),ABS(Tab.o1[[#This Row],[DIF_Target.]]*Tab.o1[[#This Row],[W1_PDF]]))),"")</f>
        <v/>
      </c>
      <c r="AC762" s="127" t="str">
        <f>IF(G$1=1,"",IF(Tab.o1[[#This Row],[a1]]=1,Tab.o1[[#This Row],[Wr]]^2,""))</f>
        <v/>
      </c>
      <c r="AD762" s="118" t="str">
        <f>IF(Tab.o1[[#This Row],[a1]]=1,IF(AE$3=0,"",Tab.o1[[#This Row],[Wr2]]/SUM(Tab.o1[Wr2])),"")</f>
        <v/>
      </c>
      <c r="AE762" s="128" t="str">
        <f>IF(Tab.o1[[#This Row],[a1]]=1,[1]!T.in.A[[#This Row],[oo10]],"")</f>
        <v/>
      </c>
      <c r="AF762" s="118" t="str">
        <f>IF(Tab.o1[[#This Row],[a1]]=1,ABS(Tab.o1[[#This Row],[DIF_Target.]]*Tab.o1[[#This Row],[PDF2]]*Tab.o1[[#This Row],[IN]]),"")</f>
        <v/>
      </c>
      <c r="AG762" s="129" t="str">
        <f>IF(Tab.o1[[#This Row],[a1]]=1,Tab.o1[[#This Row],[rW]]^2,"")</f>
        <v/>
      </c>
      <c r="AH762" s="130" t="str">
        <f>IF(Tab.o1[[#This Row],[a1]]=1,IF(AH$3=0,Tab.o1[[#This Row],[rW2]],0.01+0.94*Tab.o1[[#This Row],[rW2]]/SUM(Tab.o1[rW2])),"")</f>
        <v/>
      </c>
      <c r="AI762" s="128" t="str">
        <f>IF(Tab.o1[[#This Row],[a1]]=1,1/Tab.o1[[#This Row],[PDF]],"")</f>
        <v/>
      </c>
      <c r="AJ762" s="131" t="str">
        <f>IF(Tab.o1[[#This Row],[a1]]=1,[1]!T_AA[[#This Row],[IN'']]*[1]!T_AA[[#This Row],[Qde'']],"")</f>
        <v/>
      </c>
      <c r="AK762" s="132" t="str">
        <f>IF(Tab.o1[[#This Row],[a1]]=1,IF(AK$1=1,Tab.o1[[#This Row],[MED]]+Tab.o1[[#This Row],[MOD]]-Tab.o1[[#This Row],[MED]],""),"")</f>
        <v/>
      </c>
      <c r="AL762" s="133" t="str">
        <f>IF(Tab.o1[[#This Row],[a1]]=1,[1]!T.in.A[[#This Row],[oo16]],"")</f>
        <v/>
      </c>
      <c r="AM762" s="133" t="str">
        <f>IF(Tab.o1[[#This Row],[a1]]=1,IF(AM$3=1,[1]!T.in.A[[#This Row],[Σo16]],""),"")</f>
        <v/>
      </c>
      <c r="AN762" s="126" t="str">
        <f>IF(Tab.o1[[#This Row],[a1]]=1,[1]!T.in.A[[#This Row],[Σp5]],"")</f>
        <v/>
      </c>
      <c r="AO762" s="126" t="str">
        <f>IF(Tab.o1[[#This Row],[a1]]=1,IF(AO$3=1,[1]!T.in.A[[#This Row],[Σp5]],""),"")</f>
        <v/>
      </c>
      <c r="AP762" s="110" t="str">
        <f>IF(Tab.o1[[#This Row],[a1]]=1,IF(ISNUMBER(Tab.o1[[#This Row],[i.]]),NORMDIST(Tab.o1[[#This Row],[Za]],0,1,FALSE)*Tab.o1[[#This Row],[i.]],0),"")</f>
        <v/>
      </c>
      <c r="AQ762" s="125" t="str">
        <f>IF(Tab.o1[[#This Row],[a1]]=1,ABS(Tab.o1[[#This Row],[MOD]]-AVERAGE(Tab.o1[MOD])),"")</f>
        <v/>
      </c>
      <c r="AR762" s="134" t="str">
        <f>IF(Tab.o1[[#This Row],[a1]]=1,Tab.o1[[#This Row],[OBS]]/SUM(Tab.o1[OBS]),"")</f>
        <v/>
      </c>
      <c r="AS762" s="135" t="str">
        <f>IF(ISNUMBER(Tab.o1[[#This Row],[a1]]),ROW()-4,"")</f>
        <v/>
      </c>
      <c r="AT762" s="136" t="str">
        <f>Tab.o1[[#This Row],[MOD]]</f>
        <v/>
      </c>
      <c r="AU762" s="137" t="str">
        <f t="shared" si="45"/>
        <v/>
      </c>
      <c r="AV762" s="138" t="str">
        <f t="shared" si="46"/>
        <v/>
      </c>
      <c r="AW762" s="138" t="str">
        <f t="shared" si="47"/>
        <v/>
      </c>
      <c r="AX762" s="139" t="str">
        <f>[1]!T.in.A[[#This Row],[ID_T_manu]]</f>
        <v/>
      </c>
      <c r="AY762" s="140" t="str">
        <f>IF(ISNUMBER(Tab.o1[[#This Row],[a1]]),IF(AND(Tab.o1[[#This Row],[a1]]=1,Tab.o1[[#This Row],[b1]]&lt;=AY$4),#REF!,AY761),"")</f>
        <v/>
      </c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6"/>
      <c r="BO762" s="26"/>
      <c r="BP762" s="26"/>
      <c r="BQ762" s="26"/>
      <c r="BR762" s="26"/>
      <c r="BS762" s="26"/>
      <c r="BT762" s="26"/>
      <c r="BU762" s="26"/>
      <c r="BV762" s="26"/>
      <c r="BW762" s="26"/>
      <c r="BX762" s="26"/>
      <c r="BY762" s="26"/>
      <c r="BZ762" s="26"/>
      <c r="CA762" s="26"/>
    </row>
    <row r="763" spans="1:79" s="143" customFormat="1" ht="15.75" hidden="1">
      <c r="A763" s="109">
        <v>8.0000000000000013E-6</v>
      </c>
      <c r="B763" s="110">
        <f t="shared" si="44"/>
        <v>763</v>
      </c>
      <c r="C763" s="111" t="str">
        <f>IF(C$1=[1]!T.in.A[[#This Row],[oo2]],1,"")</f>
        <v/>
      </c>
      <c r="D763" s="112" t="str">
        <f>IF(Tab.o1[[#This Row],[a1]]=1,IF(SUM(C763:C764)=0,0,IF(SUM(C762:C763)=1,1,IF(SUM(C762:C764)&gt;1,D762+1,0))),"")</f>
        <v/>
      </c>
      <c r="E763" s="113" t="str">
        <f>IF(Tab.o1[[#This Row],[a1]]=1,[1]!T.in.A[[#This Row],[oo1]],"")</f>
        <v/>
      </c>
      <c r="F763" s="113" t="str">
        <f>IF(Tab.o1[[#This Row],[a1]]=1,[1]!T.in.A[[#This Row],[pp1]],"")</f>
        <v/>
      </c>
      <c r="G763" s="114" t="str">
        <f>IF(Tab.o1[[#This Row],[a1]]=1,G$2+IF(G$1=1,0,Tab.o1[[#This Row],[.x1]])+[1]!T.in.A[[#This Row],[oo3]],"")</f>
        <v/>
      </c>
      <c r="H763" s="115" t="str">
        <f>IF(Tab.o1[[#This Row],[a1]]=1,IF(H$2=0,0,IF(G$1=1,0,Tab.o1[[#This Row],[.x1]])+[1]!T.in.A[[#This Row],[oo4]]),"")</f>
        <v/>
      </c>
      <c r="I763" s="116" t="str">
        <f>IF(Tab.o1[[#This Row],[a1]]=1,IF(J$2=0,Tab.o1[[#This Row],[MED]],Tab.o1[[#This Row],[MOD]]),"")</f>
        <v/>
      </c>
      <c r="J763" s="116" t="str">
        <f>IF(Tab.o1[[#This Row],[a1]]=1,((Tab.o1[[#This Row],[DIF_Target.]]-AVERAGE(Tab.o1[DIF_Target.]))/_xlfn.STDEV.P(Tab.o1[DIF_Target.])),"")</f>
        <v/>
      </c>
      <c r="K763" s="117" t="str">
        <f>IF(Tab.o1[[#This Row],[a1]]=1,IF(J$2=0,Tab.o1[[#This Row],[MOD]]-Tab.o1[[#This Row],[B]],IF(J$2=1,0,-Tab.o1[[#This Row],[MED]])+Tab.o1[[#This Row],[B]]),"")</f>
        <v/>
      </c>
      <c r="L763" s="117" t="str">
        <f ca="1">IF(Tab.o1[[#This Row],[DIF_Target]]=0,IF(L$2=0,Tab.o1[[#This Row],[DIF_Target]],AVERAGE(OFFSET(Tab.o1[[#This Row],[DIF_Target]],1,0,L$3,1)))/3,Tab.o1[[#This Row],[DIF_Target]])</f>
        <v/>
      </c>
      <c r="M763" s="118" t="str">
        <f>IF(Tab.o1[[#This Row],[a1]]=1,NORMSDIST(Tab.o1[[#This Row],[Za]]),"")</f>
        <v/>
      </c>
      <c r="N763" s="119" t="str">
        <f>IF(Tab.o1[[#This Row],[a1]]=1,((Tab.o1[[#This Row],[MedMod]]-AVERAGE(Tab.o1[MedMod]))/_xlfn.STDEV.P(Tab.o1[MedMod])*H$1205)+G$1205,"")</f>
        <v/>
      </c>
      <c r="O763" s="141" t="str">
        <f>IF(Tab.o1[[#This Row],[a1]]=1,Tab.o1[[#This Row],[Zb]]*_xlfn.STDEV.P(Tab.o1[MedMod])+AVERAGE(Tab.o1[MedMod]),"")</f>
        <v/>
      </c>
      <c r="P763" s="117" t="str">
        <f ca="1">IF(Tab.o1[[#This Row],[B]]=0,AVERAGE(OFFSET(Tab.o1[[#This Row],[B]],1,0,L$3,1)),Tab.o1[[#This Row],[B]])</f>
        <v/>
      </c>
      <c r="Q763" s="121" t="str">
        <f>IF(Tab.o1[[#This Row],[a1]]=1,NORMSDIST(Tab.o1[[#This Row],[Zb]]),"")</f>
        <v/>
      </c>
      <c r="R763" s="122" t="str">
        <f>IF(Tab.o1[[#This Row],[a1]]=1,((Tab.o1[[#This Row],[MedMod]]-AVERAGE(Tab.o1[MedMod]))/_xlfn.STDEV.P(Tab.o1[MedMod])*H$1203)+G$1203,"")</f>
        <v/>
      </c>
      <c r="S763" s="122" t="str">
        <f>IF(Tab.o1[[#This Row],[a1]]=1,((Tab.o1[[#This Row],[MedMod]]-AVERAGE(Tab.o1[MedMod]))/_xlfn.STDEV.P(Tab.o1[MedMod])*H$1204)+G$1204,"")</f>
        <v/>
      </c>
      <c r="T763" s="123" t="str">
        <f>IF(Tab.o1[[#This Row],[a1]]=1,Tab.o1[[#This Row],[Z-]]*_xlfn.STDEV.P(Tab.o1[B])+AVERAGE(Tab.o1[B]),"")</f>
        <v/>
      </c>
      <c r="U763" s="123" t="str">
        <f>IF(Tab.o1[[#This Row],[a1]]=1,Tab.o1[[#This Row],[z+]]*_xlfn.STDEV.P(Tab.o1[B])+AVERAGE(Tab.o1[B]),"")</f>
        <v/>
      </c>
      <c r="V763" s="124" t="str">
        <f>IF(Tab.o1[[#This Row],[a1]]=1,ABS((ABS(Tab.o1[[#This Row],[Red]]-Tab.o1[[#This Row],[Blue]]))),"")</f>
        <v/>
      </c>
      <c r="W763" s="125" t="str">
        <f>IF(Tab.o1[[#This Row],[a1]]=1,IF(W$3=0,1,Tab.o1[[#This Row],[Amp.]]*1/_xlfn.MINIFS(Tab.o1[Amp.],Tab.o1[Amp.],"&lt;&gt;0")),"")</f>
        <v/>
      </c>
      <c r="X763" s="126" t="str">
        <f>IF(Tab.o1[[#This Row],[a1]]=1,IF(ISNUMBER(Tab.o1[[#This Row],[i.]]),NORMDIST(Tab.o1[[#This Row],[Za]],0,1,FALSE)*Tab.o1[[#This Row],[i.]],AP$3),"")</f>
        <v/>
      </c>
      <c r="Y763" s="126" t="str">
        <f>IF(Tab.o1[[#This Row],[a1]]=1,0.01+0.94*Tab.o1[[#This Row],[PDF]]/MAX(Tab.o1[PDF]),"")</f>
        <v/>
      </c>
      <c r="Z763" s="126" t="str">
        <f>IF(Tab.o1[[#This Row],[a1]]=1,0.01+0.94*Tab.o1[[#This Row],[W1_PDF]]/MAX(Tab.o1[W1_PDF]),"")</f>
        <v/>
      </c>
      <c r="AA763" s="118" t="str">
        <f>IF(Tab.o1[[#This Row],[a1]]=1,ABS([1]!T.in.A[[#This Row],[oo6]]),"")</f>
        <v/>
      </c>
      <c r="AB763" s="127" t="str">
        <f>IF(Tab.o1[[#This Row],[a1]]=1,IF(AE$3=0,"",IF(AB$3=0,ABS([1]!T.in.A[[#This Row],[oo9]]),ABS(Tab.o1[[#This Row],[DIF_Target.]]*Tab.o1[[#This Row],[W1_PDF]]))),"")</f>
        <v/>
      </c>
      <c r="AC763" s="127" t="str">
        <f>IF(G$1=1,"",IF(Tab.o1[[#This Row],[a1]]=1,Tab.o1[[#This Row],[Wr]]^2,""))</f>
        <v/>
      </c>
      <c r="AD763" s="118" t="str">
        <f>IF(Tab.o1[[#This Row],[a1]]=1,IF(AE$3=0,"",Tab.o1[[#This Row],[Wr2]]/SUM(Tab.o1[Wr2])),"")</f>
        <v/>
      </c>
      <c r="AE763" s="128" t="str">
        <f>IF(Tab.o1[[#This Row],[a1]]=1,[1]!T.in.A[[#This Row],[oo10]],"")</f>
        <v/>
      </c>
      <c r="AF763" s="118" t="str">
        <f>IF(Tab.o1[[#This Row],[a1]]=1,ABS(Tab.o1[[#This Row],[DIF_Target.]]*Tab.o1[[#This Row],[PDF2]]*Tab.o1[[#This Row],[IN]]),"")</f>
        <v/>
      </c>
      <c r="AG763" s="129" t="str">
        <f>IF(Tab.o1[[#This Row],[a1]]=1,Tab.o1[[#This Row],[rW]]^2,"")</f>
        <v/>
      </c>
      <c r="AH763" s="130" t="str">
        <f>IF(Tab.o1[[#This Row],[a1]]=1,IF(AH$3=0,Tab.o1[[#This Row],[rW2]],0.01+0.94*Tab.o1[[#This Row],[rW2]]/SUM(Tab.o1[rW2])),"")</f>
        <v/>
      </c>
      <c r="AI763" s="128" t="str">
        <f>IF(Tab.o1[[#This Row],[a1]]=1,1/Tab.o1[[#This Row],[PDF]],"")</f>
        <v/>
      </c>
      <c r="AJ763" s="131" t="str">
        <f>IF(Tab.o1[[#This Row],[a1]]=1,[1]!T_AA[[#This Row],[IN'']]*[1]!T_AA[[#This Row],[Qde'']],"")</f>
        <v/>
      </c>
      <c r="AK763" s="132" t="str">
        <f>IF(Tab.o1[[#This Row],[a1]]=1,IF(AK$1=1,Tab.o1[[#This Row],[MED]]+Tab.o1[[#This Row],[MOD]]-Tab.o1[[#This Row],[MED]],""),"")</f>
        <v/>
      </c>
      <c r="AL763" s="133" t="str">
        <f>IF(Tab.o1[[#This Row],[a1]]=1,[1]!T.in.A[[#This Row],[oo16]],"")</f>
        <v/>
      </c>
      <c r="AM763" s="133" t="str">
        <f>IF(Tab.o1[[#This Row],[a1]]=1,IF(AM$3=1,[1]!T.in.A[[#This Row],[Σo16]],""),"")</f>
        <v/>
      </c>
      <c r="AN763" s="126" t="str">
        <f>IF(Tab.o1[[#This Row],[a1]]=1,[1]!T.in.A[[#This Row],[Σp5]],"")</f>
        <v/>
      </c>
      <c r="AO763" s="126" t="str">
        <f>IF(Tab.o1[[#This Row],[a1]]=1,IF(AO$3=1,[1]!T.in.A[[#This Row],[Σp5]],""),"")</f>
        <v/>
      </c>
      <c r="AP763" s="110" t="str">
        <f>IF(Tab.o1[[#This Row],[a1]]=1,IF(ISNUMBER(Tab.o1[[#This Row],[i.]]),NORMDIST(Tab.o1[[#This Row],[Za]],0,1,FALSE)*Tab.o1[[#This Row],[i.]],0),"")</f>
        <v/>
      </c>
      <c r="AQ763" s="125" t="str">
        <f>IF(Tab.o1[[#This Row],[a1]]=1,ABS(Tab.o1[[#This Row],[MOD]]-AVERAGE(Tab.o1[MOD])),"")</f>
        <v/>
      </c>
      <c r="AR763" s="134" t="str">
        <f>IF(Tab.o1[[#This Row],[a1]]=1,Tab.o1[[#This Row],[OBS]]/SUM(Tab.o1[OBS]),"")</f>
        <v/>
      </c>
      <c r="AS763" s="135" t="str">
        <f>IF(ISNUMBER(Tab.o1[[#This Row],[a1]]),ROW()-4,"")</f>
        <v/>
      </c>
      <c r="AT763" s="136" t="str">
        <f>Tab.o1[[#This Row],[MOD]]</f>
        <v/>
      </c>
      <c r="AU763" s="137" t="str">
        <f t="shared" si="45"/>
        <v/>
      </c>
      <c r="AV763" s="138" t="str">
        <f t="shared" si="46"/>
        <v/>
      </c>
      <c r="AW763" s="138" t="str">
        <f t="shared" si="47"/>
        <v/>
      </c>
      <c r="AX763" s="139" t="str">
        <f>[1]!T.in.A[[#This Row],[ID_T_manu]]</f>
        <v/>
      </c>
      <c r="AY763" s="140" t="str">
        <f>IF(ISNUMBER(Tab.o1[[#This Row],[a1]]),IF(AND(Tab.o1[[#This Row],[a1]]=1,Tab.o1[[#This Row],[b1]]&lt;=AY$4),#REF!,AY762),"")</f>
        <v/>
      </c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6"/>
      <c r="BO763" s="26"/>
      <c r="BP763" s="26"/>
      <c r="BQ763" s="26"/>
      <c r="BR763" s="26"/>
      <c r="BS763" s="26"/>
      <c r="BT763" s="26"/>
      <c r="BU763" s="26"/>
      <c r="BV763" s="26"/>
      <c r="BW763" s="26"/>
      <c r="BX763" s="26"/>
      <c r="BY763" s="26"/>
      <c r="BZ763" s="26"/>
      <c r="CA763" s="26"/>
    </row>
    <row r="764" spans="1:79" s="143" customFormat="1" ht="15.75" hidden="1">
      <c r="A764" s="109">
        <v>-2.0000000000000003E-6</v>
      </c>
      <c r="B764" s="110">
        <f t="shared" si="44"/>
        <v>764</v>
      </c>
      <c r="C764" s="111" t="str">
        <f>IF(C$1=[1]!T.in.A[[#This Row],[oo2]],1,"")</f>
        <v/>
      </c>
      <c r="D764" s="112" t="str">
        <f>IF(Tab.o1[[#This Row],[a1]]=1,IF(SUM(C764:C765)=0,0,IF(SUM(C763:C764)=1,1,IF(SUM(C763:C765)&gt;1,D763+1,0))),"")</f>
        <v/>
      </c>
      <c r="E764" s="113" t="str">
        <f>IF(Tab.o1[[#This Row],[a1]]=1,[1]!T.in.A[[#This Row],[oo1]],"")</f>
        <v/>
      </c>
      <c r="F764" s="113" t="str">
        <f>IF(Tab.o1[[#This Row],[a1]]=1,[1]!T.in.A[[#This Row],[pp1]],"")</f>
        <v/>
      </c>
      <c r="G764" s="114" t="str">
        <f>IF(Tab.o1[[#This Row],[a1]]=1,G$2+IF(G$1=1,0,Tab.o1[[#This Row],[.x1]])+[1]!T.in.A[[#This Row],[oo3]],"")</f>
        <v/>
      </c>
      <c r="H764" s="115" t="str">
        <f>IF(Tab.o1[[#This Row],[a1]]=1,IF(H$2=0,0,IF(G$1=1,0,Tab.o1[[#This Row],[.x1]])+[1]!T.in.A[[#This Row],[oo4]]),"")</f>
        <v/>
      </c>
      <c r="I764" s="116" t="str">
        <f>IF(Tab.o1[[#This Row],[a1]]=1,IF(J$2=0,Tab.o1[[#This Row],[MED]],Tab.o1[[#This Row],[MOD]]),"")</f>
        <v/>
      </c>
      <c r="J764" s="116" t="str">
        <f>IF(Tab.o1[[#This Row],[a1]]=1,((Tab.o1[[#This Row],[DIF_Target.]]-AVERAGE(Tab.o1[DIF_Target.]))/_xlfn.STDEV.P(Tab.o1[DIF_Target.])),"")</f>
        <v/>
      </c>
      <c r="K764" s="117" t="str">
        <f>IF(Tab.o1[[#This Row],[a1]]=1,IF(J$2=0,Tab.o1[[#This Row],[MOD]]-Tab.o1[[#This Row],[B]],IF(J$2=1,0,-Tab.o1[[#This Row],[MED]])+Tab.o1[[#This Row],[B]]),"")</f>
        <v/>
      </c>
      <c r="L764" s="117" t="str">
        <f ca="1">IF(Tab.o1[[#This Row],[DIF_Target]]=0,IF(L$2=0,Tab.o1[[#This Row],[DIF_Target]],AVERAGE(OFFSET(Tab.o1[[#This Row],[DIF_Target]],1,0,L$3,1)))/3,Tab.o1[[#This Row],[DIF_Target]])</f>
        <v/>
      </c>
      <c r="M764" s="118" t="str">
        <f>IF(Tab.o1[[#This Row],[a1]]=1,NORMSDIST(Tab.o1[[#This Row],[Za]]),"")</f>
        <v/>
      </c>
      <c r="N764" s="119" t="str">
        <f>IF(Tab.o1[[#This Row],[a1]]=1,((Tab.o1[[#This Row],[MedMod]]-AVERAGE(Tab.o1[MedMod]))/_xlfn.STDEV.P(Tab.o1[MedMod])*H$1205)+G$1205,"")</f>
        <v/>
      </c>
      <c r="O764" s="141" t="str">
        <f>IF(Tab.o1[[#This Row],[a1]]=1,Tab.o1[[#This Row],[Zb]]*_xlfn.STDEV.P(Tab.o1[MedMod])+AVERAGE(Tab.o1[MedMod]),"")</f>
        <v/>
      </c>
      <c r="P764" s="117" t="str">
        <f ca="1">IF(Tab.o1[[#This Row],[B]]=0,AVERAGE(OFFSET(Tab.o1[[#This Row],[B]],1,0,L$3,1)),Tab.o1[[#This Row],[B]])</f>
        <v/>
      </c>
      <c r="Q764" s="121" t="str">
        <f>IF(Tab.o1[[#This Row],[a1]]=1,NORMSDIST(Tab.o1[[#This Row],[Zb]]),"")</f>
        <v/>
      </c>
      <c r="R764" s="122" t="str">
        <f>IF(Tab.o1[[#This Row],[a1]]=1,((Tab.o1[[#This Row],[MedMod]]-AVERAGE(Tab.o1[MedMod]))/_xlfn.STDEV.P(Tab.o1[MedMod])*H$1203)+G$1203,"")</f>
        <v/>
      </c>
      <c r="S764" s="122" t="str">
        <f>IF(Tab.o1[[#This Row],[a1]]=1,((Tab.o1[[#This Row],[MedMod]]-AVERAGE(Tab.o1[MedMod]))/_xlfn.STDEV.P(Tab.o1[MedMod])*H$1204)+G$1204,"")</f>
        <v/>
      </c>
      <c r="T764" s="123" t="str">
        <f>IF(Tab.o1[[#This Row],[a1]]=1,Tab.o1[[#This Row],[Z-]]*_xlfn.STDEV.P(Tab.o1[B])+AVERAGE(Tab.o1[B]),"")</f>
        <v/>
      </c>
      <c r="U764" s="123" t="str">
        <f>IF(Tab.o1[[#This Row],[a1]]=1,Tab.o1[[#This Row],[z+]]*_xlfn.STDEV.P(Tab.o1[B])+AVERAGE(Tab.o1[B]),"")</f>
        <v/>
      </c>
      <c r="V764" s="124" t="str">
        <f>IF(Tab.o1[[#This Row],[a1]]=1,ABS((ABS(Tab.o1[[#This Row],[Red]]-Tab.o1[[#This Row],[Blue]]))),"")</f>
        <v/>
      </c>
      <c r="W764" s="125" t="str">
        <f>IF(Tab.o1[[#This Row],[a1]]=1,IF(W$3=0,1,Tab.o1[[#This Row],[Amp.]]*1/_xlfn.MINIFS(Tab.o1[Amp.],Tab.o1[Amp.],"&lt;&gt;0")),"")</f>
        <v/>
      </c>
      <c r="X764" s="126" t="str">
        <f>IF(Tab.o1[[#This Row],[a1]]=1,IF(ISNUMBER(Tab.o1[[#This Row],[i.]]),NORMDIST(Tab.o1[[#This Row],[Za]],0,1,FALSE)*Tab.o1[[#This Row],[i.]],AP$3),"")</f>
        <v/>
      </c>
      <c r="Y764" s="126" t="str">
        <f>IF(Tab.o1[[#This Row],[a1]]=1,0.01+0.94*Tab.o1[[#This Row],[PDF]]/MAX(Tab.o1[PDF]),"")</f>
        <v/>
      </c>
      <c r="Z764" s="126" t="str">
        <f>IF(Tab.o1[[#This Row],[a1]]=1,0.01+0.94*Tab.o1[[#This Row],[W1_PDF]]/MAX(Tab.o1[W1_PDF]),"")</f>
        <v/>
      </c>
      <c r="AA764" s="118" t="str">
        <f>IF(Tab.o1[[#This Row],[a1]]=1,ABS([1]!T.in.A[[#This Row],[oo6]]),"")</f>
        <v/>
      </c>
      <c r="AB764" s="127" t="str">
        <f>IF(Tab.o1[[#This Row],[a1]]=1,IF(AE$3=0,"",IF(AB$3=0,ABS([1]!T.in.A[[#This Row],[oo9]]),ABS(Tab.o1[[#This Row],[DIF_Target.]]*Tab.o1[[#This Row],[W1_PDF]]))),"")</f>
        <v/>
      </c>
      <c r="AC764" s="127" t="str">
        <f>IF(G$1=1,"",IF(Tab.o1[[#This Row],[a1]]=1,Tab.o1[[#This Row],[Wr]]^2,""))</f>
        <v/>
      </c>
      <c r="AD764" s="118" t="str">
        <f>IF(Tab.o1[[#This Row],[a1]]=1,IF(AE$3=0,"",Tab.o1[[#This Row],[Wr2]]/SUM(Tab.o1[Wr2])),"")</f>
        <v/>
      </c>
      <c r="AE764" s="128" t="str">
        <f>IF(Tab.o1[[#This Row],[a1]]=1,[1]!T.in.A[[#This Row],[oo10]],"")</f>
        <v/>
      </c>
      <c r="AF764" s="118" t="str">
        <f>IF(Tab.o1[[#This Row],[a1]]=1,ABS(Tab.o1[[#This Row],[DIF_Target.]]*Tab.o1[[#This Row],[PDF2]]*Tab.o1[[#This Row],[IN]]),"")</f>
        <v/>
      </c>
      <c r="AG764" s="129" t="str">
        <f>IF(Tab.o1[[#This Row],[a1]]=1,Tab.o1[[#This Row],[rW]]^2,"")</f>
        <v/>
      </c>
      <c r="AH764" s="130" t="str">
        <f>IF(Tab.o1[[#This Row],[a1]]=1,IF(AH$3=0,Tab.o1[[#This Row],[rW2]],0.01+0.94*Tab.o1[[#This Row],[rW2]]/SUM(Tab.o1[rW2])),"")</f>
        <v/>
      </c>
      <c r="AI764" s="128" t="str">
        <f>IF(Tab.o1[[#This Row],[a1]]=1,1/Tab.o1[[#This Row],[PDF]],"")</f>
        <v/>
      </c>
      <c r="AJ764" s="131" t="str">
        <f>IF(Tab.o1[[#This Row],[a1]]=1,[1]!T_AA[[#This Row],[IN'']]*[1]!T_AA[[#This Row],[Qde'']],"")</f>
        <v/>
      </c>
      <c r="AK764" s="132" t="str">
        <f>IF(Tab.o1[[#This Row],[a1]]=1,IF(AK$1=1,Tab.o1[[#This Row],[MED]]+Tab.o1[[#This Row],[MOD]]-Tab.o1[[#This Row],[MED]],""),"")</f>
        <v/>
      </c>
      <c r="AL764" s="133" t="str">
        <f>IF(Tab.o1[[#This Row],[a1]]=1,[1]!T.in.A[[#This Row],[oo16]],"")</f>
        <v/>
      </c>
      <c r="AM764" s="133" t="str">
        <f>IF(Tab.o1[[#This Row],[a1]]=1,IF(AM$3=1,[1]!T.in.A[[#This Row],[Σo16]],""),"")</f>
        <v/>
      </c>
      <c r="AN764" s="126" t="str">
        <f>IF(Tab.o1[[#This Row],[a1]]=1,[1]!T.in.A[[#This Row],[Σp5]],"")</f>
        <v/>
      </c>
      <c r="AO764" s="126" t="str">
        <f>IF(Tab.o1[[#This Row],[a1]]=1,IF(AO$3=1,[1]!T.in.A[[#This Row],[Σp5]],""),"")</f>
        <v/>
      </c>
      <c r="AP764" s="110" t="str">
        <f>IF(Tab.o1[[#This Row],[a1]]=1,IF(ISNUMBER(Tab.o1[[#This Row],[i.]]),NORMDIST(Tab.o1[[#This Row],[Za]],0,1,FALSE)*Tab.o1[[#This Row],[i.]],0),"")</f>
        <v/>
      </c>
      <c r="AQ764" s="125" t="str">
        <f>IF(Tab.o1[[#This Row],[a1]]=1,ABS(Tab.o1[[#This Row],[MOD]]-AVERAGE(Tab.o1[MOD])),"")</f>
        <v/>
      </c>
      <c r="AR764" s="134" t="str">
        <f>IF(Tab.o1[[#This Row],[a1]]=1,Tab.o1[[#This Row],[OBS]]/SUM(Tab.o1[OBS]),"")</f>
        <v/>
      </c>
      <c r="AS764" s="135" t="str">
        <f>IF(ISNUMBER(Tab.o1[[#This Row],[a1]]),ROW()-4,"")</f>
        <v/>
      </c>
      <c r="AT764" s="136" t="str">
        <f>Tab.o1[[#This Row],[MOD]]</f>
        <v/>
      </c>
      <c r="AU764" s="137" t="str">
        <f t="shared" si="45"/>
        <v/>
      </c>
      <c r="AV764" s="138" t="str">
        <f t="shared" si="46"/>
        <v/>
      </c>
      <c r="AW764" s="138" t="str">
        <f t="shared" si="47"/>
        <v/>
      </c>
      <c r="AX764" s="139" t="str">
        <f>[1]!T.in.A[[#This Row],[ID_T_manu]]</f>
        <v/>
      </c>
      <c r="AY764" s="140" t="str">
        <f>IF(ISNUMBER(Tab.o1[[#This Row],[a1]]),IF(AND(Tab.o1[[#This Row],[a1]]=1,Tab.o1[[#This Row],[b1]]&lt;=AY$4),#REF!,AY763),"")</f>
        <v/>
      </c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6"/>
      <c r="BO764" s="26"/>
      <c r="BP764" s="26"/>
      <c r="BQ764" s="26"/>
      <c r="BR764" s="26"/>
      <c r="BS764" s="26"/>
      <c r="BT764" s="26"/>
      <c r="BU764" s="26"/>
      <c r="BV764" s="26"/>
      <c r="BW764" s="26"/>
      <c r="BX764" s="26"/>
      <c r="BY764" s="26"/>
      <c r="BZ764" s="26"/>
      <c r="CA764" s="26"/>
    </row>
    <row r="765" spans="1:79" s="143" customFormat="1" ht="15.75" hidden="1">
      <c r="A765" s="109">
        <v>2.9999999999999997E-6</v>
      </c>
      <c r="B765" s="110">
        <f t="shared" si="44"/>
        <v>765</v>
      </c>
      <c r="C765" s="111" t="str">
        <f>IF(C$1=[1]!T.in.A[[#This Row],[oo2]],1,"")</f>
        <v/>
      </c>
      <c r="D765" s="112" t="str">
        <f>IF(Tab.o1[[#This Row],[a1]]=1,IF(SUM(C765:C766)=0,0,IF(SUM(C764:C765)=1,1,IF(SUM(C764:C766)&gt;1,D764+1,0))),"")</f>
        <v/>
      </c>
      <c r="E765" s="113" t="str">
        <f>IF(Tab.o1[[#This Row],[a1]]=1,[1]!T.in.A[[#This Row],[oo1]],"")</f>
        <v/>
      </c>
      <c r="F765" s="113" t="str">
        <f>IF(Tab.o1[[#This Row],[a1]]=1,[1]!T.in.A[[#This Row],[pp1]],"")</f>
        <v/>
      </c>
      <c r="G765" s="114" t="str">
        <f>IF(Tab.o1[[#This Row],[a1]]=1,G$2+IF(G$1=1,0,Tab.o1[[#This Row],[.x1]])+[1]!T.in.A[[#This Row],[oo3]],"")</f>
        <v/>
      </c>
      <c r="H765" s="115" t="str">
        <f>IF(Tab.o1[[#This Row],[a1]]=1,IF(H$2=0,0,IF(G$1=1,0,Tab.o1[[#This Row],[.x1]])+[1]!T.in.A[[#This Row],[oo4]]),"")</f>
        <v/>
      </c>
      <c r="I765" s="116" t="str">
        <f>IF(Tab.o1[[#This Row],[a1]]=1,IF(J$2=0,Tab.o1[[#This Row],[MED]],Tab.o1[[#This Row],[MOD]]),"")</f>
        <v/>
      </c>
      <c r="J765" s="116" t="str">
        <f>IF(Tab.o1[[#This Row],[a1]]=1,((Tab.o1[[#This Row],[DIF_Target.]]-AVERAGE(Tab.o1[DIF_Target.]))/_xlfn.STDEV.P(Tab.o1[DIF_Target.])),"")</f>
        <v/>
      </c>
      <c r="K765" s="117" t="str">
        <f>IF(Tab.o1[[#This Row],[a1]]=1,IF(J$2=0,Tab.o1[[#This Row],[MOD]]-Tab.o1[[#This Row],[B]],IF(J$2=1,0,-Tab.o1[[#This Row],[MED]])+Tab.o1[[#This Row],[B]]),"")</f>
        <v/>
      </c>
      <c r="L765" s="117" t="str">
        <f ca="1">IF(Tab.o1[[#This Row],[DIF_Target]]=0,IF(L$2=0,Tab.o1[[#This Row],[DIF_Target]],AVERAGE(OFFSET(Tab.o1[[#This Row],[DIF_Target]],1,0,L$3,1)))/3,Tab.o1[[#This Row],[DIF_Target]])</f>
        <v/>
      </c>
      <c r="M765" s="118" t="str">
        <f>IF(Tab.o1[[#This Row],[a1]]=1,NORMSDIST(Tab.o1[[#This Row],[Za]]),"")</f>
        <v/>
      </c>
      <c r="N765" s="119" t="str">
        <f>IF(Tab.o1[[#This Row],[a1]]=1,((Tab.o1[[#This Row],[MedMod]]-AVERAGE(Tab.o1[MedMod]))/_xlfn.STDEV.P(Tab.o1[MedMod])*H$1205)+G$1205,"")</f>
        <v/>
      </c>
      <c r="O765" s="141" t="str">
        <f>IF(Tab.o1[[#This Row],[a1]]=1,Tab.o1[[#This Row],[Zb]]*_xlfn.STDEV.P(Tab.o1[MedMod])+AVERAGE(Tab.o1[MedMod]),"")</f>
        <v/>
      </c>
      <c r="P765" s="117" t="str">
        <f ca="1">IF(Tab.o1[[#This Row],[B]]=0,AVERAGE(OFFSET(Tab.o1[[#This Row],[B]],1,0,L$3,1)),Tab.o1[[#This Row],[B]])</f>
        <v/>
      </c>
      <c r="Q765" s="121" t="str">
        <f>IF(Tab.o1[[#This Row],[a1]]=1,NORMSDIST(Tab.o1[[#This Row],[Zb]]),"")</f>
        <v/>
      </c>
      <c r="R765" s="122" t="str">
        <f>IF(Tab.o1[[#This Row],[a1]]=1,((Tab.o1[[#This Row],[MedMod]]-AVERAGE(Tab.o1[MedMod]))/_xlfn.STDEV.P(Tab.o1[MedMod])*H$1203)+G$1203,"")</f>
        <v/>
      </c>
      <c r="S765" s="122" t="str">
        <f>IF(Tab.o1[[#This Row],[a1]]=1,((Tab.o1[[#This Row],[MedMod]]-AVERAGE(Tab.o1[MedMod]))/_xlfn.STDEV.P(Tab.o1[MedMod])*H$1204)+G$1204,"")</f>
        <v/>
      </c>
      <c r="T765" s="123" t="str">
        <f>IF(Tab.o1[[#This Row],[a1]]=1,Tab.o1[[#This Row],[Z-]]*_xlfn.STDEV.P(Tab.o1[B])+AVERAGE(Tab.o1[B]),"")</f>
        <v/>
      </c>
      <c r="U765" s="123" t="str">
        <f>IF(Tab.o1[[#This Row],[a1]]=1,Tab.o1[[#This Row],[z+]]*_xlfn.STDEV.P(Tab.o1[B])+AVERAGE(Tab.o1[B]),"")</f>
        <v/>
      </c>
      <c r="V765" s="124" t="str">
        <f>IF(Tab.o1[[#This Row],[a1]]=1,ABS((ABS(Tab.o1[[#This Row],[Red]]-Tab.o1[[#This Row],[Blue]]))),"")</f>
        <v/>
      </c>
      <c r="W765" s="125" t="str">
        <f>IF(Tab.o1[[#This Row],[a1]]=1,IF(W$3=0,1,Tab.o1[[#This Row],[Amp.]]*1/_xlfn.MINIFS(Tab.o1[Amp.],Tab.o1[Amp.],"&lt;&gt;0")),"")</f>
        <v/>
      </c>
      <c r="X765" s="126" t="str">
        <f>IF(Tab.o1[[#This Row],[a1]]=1,IF(ISNUMBER(Tab.o1[[#This Row],[i.]]),NORMDIST(Tab.o1[[#This Row],[Za]],0,1,FALSE)*Tab.o1[[#This Row],[i.]],AP$3),"")</f>
        <v/>
      </c>
      <c r="Y765" s="126" t="str">
        <f>IF(Tab.o1[[#This Row],[a1]]=1,0.01+0.94*Tab.o1[[#This Row],[PDF]]/MAX(Tab.o1[PDF]),"")</f>
        <v/>
      </c>
      <c r="Z765" s="126" t="str">
        <f>IF(Tab.o1[[#This Row],[a1]]=1,0.01+0.94*Tab.o1[[#This Row],[W1_PDF]]/MAX(Tab.o1[W1_PDF]),"")</f>
        <v/>
      </c>
      <c r="AA765" s="118" t="str">
        <f>IF(Tab.o1[[#This Row],[a1]]=1,ABS([1]!T.in.A[[#This Row],[oo6]]),"")</f>
        <v/>
      </c>
      <c r="AB765" s="127" t="str">
        <f>IF(Tab.o1[[#This Row],[a1]]=1,IF(AE$3=0,"",IF(AB$3=0,ABS([1]!T.in.A[[#This Row],[oo9]]),ABS(Tab.o1[[#This Row],[DIF_Target.]]*Tab.o1[[#This Row],[W1_PDF]]))),"")</f>
        <v/>
      </c>
      <c r="AC765" s="127" t="str">
        <f>IF(G$1=1,"",IF(Tab.o1[[#This Row],[a1]]=1,Tab.o1[[#This Row],[Wr]]^2,""))</f>
        <v/>
      </c>
      <c r="AD765" s="118" t="str">
        <f>IF(Tab.o1[[#This Row],[a1]]=1,IF(AE$3=0,"",Tab.o1[[#This Row],[Wr2]]/SUM(Tab.o1[Wr2])),"")</f>
        <v/>
      </c>
      <c r="AE765" s="128" t="str">
        <f>IF(Tab.o1[[#This Row],[a1]]=1,[1]!T.in.A[[#This Row],[oo10]],"")</f>
        <v/>
      </c>
      <c r="AF765" s="118" t="str">
        <f>IF(Tab.o1[[#This Row],[a1]]=1,ABS(Tab.o1[[#This Row],[DIF_Target.]]*Tab.o1[[#This Row],[PDF2]]*Tab.o1[[#This Row],[IN]]),"")</f>
        <v/>
      </c>
      <c r="AG765" s="129" t="str">
        <f>IF(Tab.o1[[#This Row],[a1]]=1,Tab.o1[[#This Row],[rW]]^2,"")</f>
        <v/>
      </c>
      <c r="AH765" s="130" t="str">
        <f>IF(Tab.o1[[#This Row],[a1]]=1,IF(AH$3=0,Tab.o1[[#This Row],[rW2]],0.01+0.94*Tab.o1[[#This Row],[rW2]]/SUM(Tab.o1[rW2])),"")</f>
        <v/>
      </c>
      <c r="AI765" s="128" t="str">
        <f>IF(Tab.o1[[#This Row],[a1]]=1,1/Tab.o1[[#This Row],[PDF]],"")</f>
        <v/>
      </c>
      <c r="AJ765" s="131" t="str">
        <f>IF(Tab.o1[[#This Row],[a1]]=1,[1]!T_AA[[#This Row],[IN'']]*[1]!T_AA[[#This Row],[Qde'']],"")</f>
        <v/>
      </c>
      <c r="AK765" s="132" t="str">
        <f>IF(Tab.o1[[#This Row],[a1]]=1,IF(AK$1=1,Tab.o1[[#This Row],[MED]]+Tab.o1[[#This Row],[MOD]]-Tab.o1[[#This Row],[MED]],""),"")</f>
        <v/>
      </c>
      <c r="AL765" s="133" t="str">
        <f>IF(Tab.o1[[#This Row],[a1]]=1,[1]!T.in.A[[#This Row],[oo16]],"")</f>
        <v/>
      </c>
      <c r="AM765" s="133" t="str">
        <f>IF(Tab.o1[[#This Row],[a1]]=1,IF(AM$3=1,[1]!T.in.A[[#This Row],[Σo16]],""),"")</f>
        <v/>
      </c>
      <c r="AN765" s="126" t="str">
        <f>IF(Tab.o1[[#This Row],[a1]]=1,[1]!T.in.A[[#This Row],[Σp5]],"")</f>
        <v/>
      </c>
      <c r="AO765" s="126" t="str">
        <f>IF(Tab.o1[[#This Row],[a1]]=1,IF(AO$3=1,[1]!T.in.A[[#This Row],[Σp5]],""),"")</f>
        <v/>
      </c>
      <c r="AP765" s="110" t="str">
        <f>IF(Tab.o1[[#This Row],[a1]]=1,IF(ISNUMBER(Tab.o1[[#This Row],[i.]]),NORMDIST(Tab.o1[[#This Row],[Za]],0,1,FALSE)*Tab.o1[[#This Row],[i.]],0),"")</f>
        <v/>
      </c>
      <c r="AQ765" s="125" t="str">
        <f>IF(Tab.o1[[#This Row],[a1]]=1,ABS(Tab.o1[[#This Row],[MOD]]-AVERAGE(Tab.o1[MOD])),"")</f>
        <v/>
      </c>
      <c r="AR765" s="134" t="str">
        <f>IF(Tab.o1[[#This Row],[a1]]=1,Tab.o1[[#This Row],[OBS]]/SUM(Tab.o1[OBS]),"")</f>
        <v/>
      </c>
      <c r="AS765" s="135" t="str">
        <f>IF(ISNUMBER(Tab.o1[[#This Row],[a1]]),ROW()-4,"")</f>
        <v/>
      </c>
      <c r="AT765" s="136" t="str">
        <f>Tab.o1[[#This Row],[MOD]]</f>
        <v/>
      </c>
      <c r="AU765" s="137" t="str">
        <f t="shared" si="45"/>
        <v/>
      </c>
      <c r="AV765" s="138" t="str">
        <f t="shared" si="46"/>
        <v/>
      </c>
      <c r="AW765" s="138" t="str">
        <f t="shared" si="47"/>
        <v/>
      </c>
      <c r="AX765" s="139" t="str">
        <f>[1]!T.in.A[[#This Row],[ID_T_manu]]</f>
        <v/>
      </c>
      <c r="AY765" s="140" t="str">
        <f>IF(ISNUMBER(Tab.o1[[#This Row],[a1]]),IF(AND(Tab.o1[[#This Row],[a1]]=1,Tab.o1[[#This Row],[b1]]&lt;=AY$4),#REF!,AY764),"")</f>
        <v/>
      </c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6"/>
      <c r="BO765" s="26"/>
      <c r="BP765" s="26"/>
      <c r="BQ765" s="26"/>
      <c r="BR765" s="26"/>
      <c r="BS765" s="26"/>
      <c r="BT765" s="26"/>
      <c r="BU765" s="26"/>
      <c r="BV765" s="26"/>
      <c r="BW765" s="26"/>
      <c r="BX765" s="26"/>
      <c r="BY765" s="26"/>
      <c r="BZ765" s="26"/>
      <c r="CA765" s="26"/>
    </row>
    <row r="766" spans="1:79" s="143" customFormat="1" ht="15.75" hidden="1">
      <c r="A766" s="109">
        <v>-9.0000000000000002E-6</v>
      </c>
      <c r="B766" s="110">
        <f t="shared" si="44"/>
        <v>766</v>
      </c>
      <c r="C766" s="111" t="str">
        <f>IF(C$1=[1]!T.in.A[[#This Row],[oo2]],1,"")</f>
        <v/>
      </c>
      <c r="D766" s="112" t="str">
        <f>IF(Tab.o1[[#This Row],[a1]]=1,IF(SUM(C766:C767)=0,0,IF(SUM(C765:C766)=1,1,IF(SUM(C765:C767)&gt;1,D765+1,0))),"")</f>
        <v/>
      </c>
      <c r="E766" s="113" t="str">
        <f>IF(Tab.o1[[#This Row],[a1]]=1,[1]!T.in.A[[#This Row],[oo1]],"")</f>
        <v/>
      </c>
      <c r="F766" s="113" t="str">
        <f>IF(Tab.o1[[#This Row],[a1]]=1,[1]!T.in.A[[#This Row],[pp1]],"")</f>
        <v/>
      </c>
      <c r="G766" s="114" t="str">
        <f>IF(Tab.o1[[#This Row],[a1]]=1,G$2+IF(G$1=1,0,Tab.o1[[#This Row],[.x1]])+[1]!T.in.A[[#This Row],[oo3]],"")</f>
        <v/>
      </c>
      <c r="H766" s="115" t="str">
        <f>IF(Tab.o1[[#This Row],[a1]]=1,IF(H$2=0,0,IF(G$1=1,0,Tab.o1[[#This Row],[.x1]])+[1]!T.in.A[[#This Row],[oo4]]),"")</f>
        <v/>
      </c>
      <c r="I766" s="116" t="str">
        <f>IF(Tab.o1[[#This Row],[a1]]=1,IF(J$2=0,Tab.o1[[#This Row],[MED]],Tab.o1[[#This Row],[MOD]]),"")</f>
        <v/>
      </c>
      <c r="J766" s="116" t="str">
        <f>IF(Tab.o1[[#This Row],[a1]]=1,((Tab.o1[[#This Row],[DIF_Target.]]-AVERAGE(Tab.o1[DIF_Target.]))/_xlfn.STDEV.P(Tab.o1[DIF_Target.])),"")</f>
        <v/>
      </c>
      <c r="K766" s="117" t="str">
        <f>IF(Tab.o1[[#This Row],[a1]]=1,IF(J$2=0,Tab.o1[[#This Row],[MOD]]-Tab.o1[[#This Row],[B]],IF(J$2=1,0,-Tab.o1[[#This Row],[MED]])+Tab.o1[[#This Row],[B]]),"")</f>
        <v/>
      </c>
      <c r="L766" s="117" t="str">
        <f ca="1">IF(Tab.o1[[#This Row],[DIF_Target]]=0,IF(L$2=0,Tab.o1[[#This Row],[DIF_Target]],AVERAGE(OFFSET(Tab.o1[[#This Row],[DIF_Target]],1,0,L$3,1)))/3,Tab.o1[[#This Row],[DIF_Target]])</f>
        <v/>
      </c>
      <c r="M766" s="118" t="str">
        <f>IF(Tab.o1[[#This Row],[a1]]=1,NORMSDIST(Tab.o1[[#This Row],[Za]]),"")</f>
        <v/>
      </c>
      <c r="N766" s="119" t="str">
        <f>IF(Tab.o1[[#This Row],[a1]]=1,((Tab.o1[[#This Row],[MedMod]]-AVERAGE(Tab.o1[MedMod]))/_xlfn.STDEV.P(Tab.o1[MedMod])*H$1205)+G$1205,"")</f>
        <v/>
      </c>
      <c r="O766" s="141" t="str">
        <f>IF(Tab.o1[[#This Row],[a1]]=1,Tab.o1[[#This Row],[Zb]]*_xlfn.STDEV.P(Tab.o1[MedMod])+AVERAGE(Tab.o1[MedMod]),"")</f>
        <v/>
      </c>
      <c r="P766" s="117" t="str">
        <f ca="1">IF(Tab.o1[[#This Row],[B]]=0,AVERAGE(OFFSET(Tab.o1[[#This Row],[B]],1,0,L$3,1)),Tab.o1[[#This Row],[B]])</f>
        <v/>
      </c>
      <c r="Q766" s="121" t="str">
        <f>IF(Tab.o1[[#This Row],[a1]]=1,NORMSDIST(Tab.o1[[#This Row],[Zb]]),"")</f>
        <v/>
      </c>
      <c r="R766" s="122" t="str">
        <f>IF(Tab.o1[[#This Row],[a1]]=1,((Tab.o1[[#This Row],[MedMod]]-AVERAGE(Tab.o1[MedMod]))/_xlfn.STDEV.P(Tab.o1[MedMod])*H$1203)+G$1203,"")</f>
        <v/>
      </c>
      <c r="S766" s="122" t="str">
        <f>IF(Tab.o1[[#This Row],[a1]]=1,((Tab.o1[[#This Row],[MedMod]]-AVERAGE(Tab.o1[MedMod]))/_xlfn.STDEV.P(Tab.o1[MedMod])*H$1204)+G$1204,"")</f>
        <v/>
      </c>
      <c r="T766" s="123" t="str">
        <f>IF(Tab.o1[[#This Row],[a1]]=1,Tab.o1[[#This Row],[Z-]]*_xlfn.STDEV.P(Tab.o1[B])+AVERAGE(Tab.o1[B]),"")</f>
        <v/>
      </c>
      <c r="U766" s="123" t="str">
        <f>IF(Tab.o1[[#This Row],[a1]]=1,Tab.o1[[#This Row],[z+]]*_xlfn.STDEV.P(Tab.o1[B])+AVERAGE(Tab.o1[B]),"")</f>
        <v/>
      </c>
      <c r="V766" s="124" t="str">
        <f>IF(Tab.o1[[#This Row],[a1]]=1,ABS((ABS(Tab.o1[[#This Row],[Red]]-Tab.o1[[#This Row],[Blue]]))),"")</f>
        <v/>
      </c>
      <c r="W766" s="125" t="str">
        <f>IF(Tab.o1[[#This Row],[a1]]=1,IF(W$3=0,1,Tab.o1[[#This Row],[Amp.]]*1/_xlfn.MINIFS(Tab.o1[Amp.],Tab.o1[Amp.],"&lt;&gt;0")),"")</f>
        <v/>
      </c>
      <c r="X766" s="126" t="str">
        <f>IF(Tab.o1[[#This Row],[a1]]=1,IF(ISNUMBER(Tab.o1[[#This Row],[i.]]),NORMDIST(Tab.o1[[#This Row],[Za]],0,1,FALSE)*Tab.o1[[#This Row],[i.]],AP$3),"")</f>
        <v/>
      </c>
      <c r="Y766" s="126" t="str">
        <f>IF(Tab.o1[[#This Row],[a1]]=1,0.01+0.94*Tab.o1[[#This Row],[PDF]]/MAX(Tab.o1[PDF]),"")</f>
        <v/>
      </c>
      <c r="Z766" s="126" t="str">
        <f>IF(Tab.o1[[#This Row],[a1]]=1,0.01+0.94*Tab.o1[[#This Row],[W1_PDF]]/MAX(Tab.o1[W1_PDF]),"")</f>
        <v/>
      </c>
      <c r="AA766" s="118" t="str">
        <f>IF(Tab.o1[[#This Row],[a1]]=1,ABS([1]!T.in.A[[#This Row],[oo6]]),"")</f>
        <v/>
      </c>
      <c r="AB766" s="127" t="str">
        <f>IF(Tab.o1[[#This Row],[a1]]=1,IF(AE$3=0,"",IF(AB$3=0,ABS([1]!T.in.A[[#This Row],[oo9]]),ABS(Tab.o1[[#This Row],[DIF_Target.]]*Tab.o1[[#This Row],[W1_PDF]]))),"")</f>
        <v/>
      </c>
      <c r="AC766" s="127" t="str">
        <f>IF(G$1=1,"",IF(Tab.o1[[#This Row],[a1]]=1,Tab.o1[[#This Row],[Wr]]^2,""))</f>
        <v/>
      </c>
      <c r="AD766" s="118" t="str">
        <f>IF(Tab.o1[[#This Row],[a1]]=1,IF(AE$3=0,"",Tab.o1[[#This Row],[Wr2]]/SUM(Tab.o1[Wr2])),"")</f>
        <v/>
      </c>
      <c r="AE766" s="128" t="str">
        <f>IF(Tab.o1[[#This Row],[a1]]=1,[1]!T.in.A[[#This Row],[oo10]],"")</f>
        <v/>
      </c>
      <c r="AF766" s="118" t="str">
        <f>IF(Tab.o1[[#This Row],[a1]]=1,ABS(Tab.o1[[#This Row],[DIF_Target.]]*Tab.o1[[#This Row],[PDF2]]*Tab.o1[[#This Row],[IN]]),"")</f>
        <v/>
      </c>
      <c r="AG766" s="129" t="str">
        <f>IF(Tab.o1[[#This Row],[a1]]=1,Tab.o1[[#This Row],[rW]]^2,"")</f>
        <v/>
      </c>
      <c r="AH766" s="130" t="str">
        <f>IF(Tab.o1[[#This Row],[a1]]=1,IF(AH$3=0,Tab.o1[[#This Row],[rW2]],0.01+0.94*Tab.o1[[#This Row],[rW2]]/SUM(Tab.o1[rW2])),"")</f>
        <v/>
      </c>
      <c r="AI766" s="128" t="str">
        <f>IF(Tab.o1[[#This Row],[a1]]=1,1/Tab.o1[[#This Row],[PDF]],"")</f>
        <v/>
      </c>
      <c r="AJ766" s="131" t="str">
        <f>IF(Tab.o1[[#This Row],[a1]]=1,[1]!T_AA[[#This Row],[IN'']]*[1]!T_AA[[#This Row],[Qde'']],"")</f>
        <v/>
      </c>
      <c r="AK766" s="132" t="str">
        <f>IF(Tab.o1[[#This Row],[a1]]=1,IF(AK$1=1,Tab.o1[[#This Row],[MED]]+Tab.o1[[#This Row],[MOD]]-Tab.o1[[#This Row],[MED]],""),"")</f>
        <v/>
      </c>
      <c r="AL766" s="133" t="str">
        <f>IF(Tab.o1[[#This Row],[a1]]=1,[1]!T.in.A[[#This Row],[oo16]],"")</f>
        <v/>
      </c>
      <c r="AM766" s="133" t="str">
        <f>IF(Tab.o1[[#This Row],[a1]]=1,IF(AM$3=1,[1]!T.in.A[[#This Row],[Σo16]],""),"")</f>
        <v/>
      </c>
      <c r="AN766" s="126" t="str">
        <f>IF(Tab.o1[[#This Row],[a1]]=1,[1]!T.in.A[[#This Row],[Σp5]],"")</f>
        <v/>
      </c>
      <c r="AO766" s="126" t="str">
        <f>IF(Tab.o1[[#This Row],[a1]]=1,IF(AO$3=1,[1]!T.in.A[[#This Row],[Σp5]],""),"")</f>
        <v/>
      </c>
      <c r="AP766" s="110" t="str">
        <f>IF(Tab.o1[[#This Row],[a1]]=1,IF(ISNUMBER(Tab.o1[[#This Row],[i.]]),NORMDIST(Tab.o1[[#This Row],[Za]],0,1,FALSE)*Tab.o1[[#This Row],[i.]],0),"")</f>
        <v/>
      </c>
      <c r="AQ766" s="125" t="str">
        <f>IF(Tab.o1[[#This Row],[a1]]=1,ABS(Tab.o1[[#This Row],[MOD]]-AVERAGE(Tab.o1[MOD])),"")</f>
        <v/>
      </c>
      <c r="AR766" s="134" t="str">
        <f>IF(Tab.o1[[#This Row],[a1]]=1,Tab.o1[[#This Row],[OBS]]/SUM(Tab.o1[OBS]),"")</f>
        <v/>
      </c>
      <c r="AS766" s="135" t="str">
        <f>IF(ISNUMBER(Tab.o1[[#This Row],[a1]]),ROW()-4,"")</f>
        <v/>
      </c>
      <c r="AT766" s="136" t="str">
        <f>Tab.o1[[#This Row],[MOD]]</f>
        <v/>
      </c>
      <c r="AU766" s="137" t="str">
        <f t="shared" si="45"/>
        <v/>
      </c>
      <c r="AV766" s="138" t="str">
        <f t="shared" si="46"/>
        <v/>
      </c>
      <c r="AW766" s="138" t="str">
        <f t="shared" si="47"/>
        <v/>
      </c>
      <c r="AX766" s="139" t="str">
        <f>[1]!T.in.A[[#This Row],[ID_T_manu]]</f>
        <v/>
      </c>
      <c r="AY766" s="140" t="str">
        <f>IF(ISNUMBER(Tab.o1[[#This Row],[a1]]),IF(AND(Tab.o1[[#This Row],[a1]]=1,Tab.o1[[#This Row],[b1]]&lt;=AY$4),#REF!,AY765),"")</f>
        <v/>
      </c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6"/>
      <c r="BO766" s="26"/>
      <c r="BP766" s="26"/>
      <c r="BQ766" s="26"/>
      <c r="BR766" s="26"/>
      <c r="BS766" s="26"/>
      <c r="BT766" s="26"/>
      <c r="BU766" s="26"/>
      <c r="BV766" s="26"/>
      <c r="BW766" s="26"/>
      <c r="BX766" s="26"/>
      <c r="BY766" s="26"/>
      <c r="BZ766" s="26"/>
      <c r="CA766" s="26"/>
    </row>
    <row r="767" spans="1:79" s="143" customFormat="1" ht="15.75" hidden="1">
      <c r="A767" s="109">
        <v>-2.0000000000000003E-6</v>
      </c>
      <c r="B767" s="110">
        <f t="shared" si="44"/>
        <v>767</v>
      </c>
      <c r="C767" s="111" t="str">
        <f>IF(C$1=[1]!T.in.A[[#This Row],[oo2]],1,"")</f>
        <v/>
      </c>
      <c r="D767" s="112" t="str">
        <f>IF(Tab.o1[[#This Row],[a1]]=1,IF(SUM(C767:C768)=0,0,IF(SUM(C766:C767)=1,1,IF(SUM(C766:C768)&gt;1,D766+1,0))),"")</f>
        <v/>
      </c>
      <c r="E767" s="113" t="str">
        <f>IF(Tab.o1[[#This Row],[a1]]=1,[1]!T.in.A[[#This Row],[oo1]],"")</f>
        <v/>
      </c>
      <c r="F767" s="113" t="str">
        <f>IF(Tab.o1[[#This Row],[a1]]=1,[1]!T.in.A[[#This Row],[pp1]],"")</f>
        <v/>
      </c>
      <c r="G767" s="114" t="str">
        <f>IF(Tab.o1[[#This Row],[a1]]=1,G$2+IF(G$1=1,0,Tab.o1[[#This Row],[.x1]])+[1]!T.in.A[[#This Row],[oo3]],"")</f>
        <v/>
      </c>
      <c r="H767" s="115" t="str">
        <f>IF(Tab.o1[[#This Row],[a1]]=1,IF(H$2=0,0,IF(G$1=1,0,Tab.o1[[#This Row],[.x1]])+[1]!T.in.A[[#This Row],[oo4]]),"")</f>
        <v/>
      </c>
      <c r="I767" s="116" t="str">
        <f>IF(Tab.o1[[#This Row],[a1]]=1,IF(J$2=0,Tab.o1[[#This Row],[MED]],Tab.o1[[#This Row],[MOD]]),"")</f>
        <v/>
      </c>
      <c r="J767" s="116" t="str">
        <f>IF(Tab.o1[[#This Row],[a1]]=1,((Tab.o1[[#This Row],[DIF_Target.]]-AVERAGE(Tab.o1[DIF_Target.]))/_xlfn.STDEV.P(Tab.o1[DIF_Target.])),"")</f>
        <v/>
      </c>
      <c r="K767" s="117" t="str">
        <f>IF(Tab.o1[[#This Row],[a1]]=1,IF(J$2=0,Tab.o1[[#This Row],[MOD]]-Tab.o1[[#This Row],[B]],IF(J$2=1,0,-Tab.o1[[#This Row],[MED]])+Tab.o1[[#This Row],[B]]),"")</f>
        <v/>
      </c>
      <c r="L767" s="117" t="str">
        <f ca="1">IF(Tab.o1[[#This Row],[DIF_Target]]=0,IF(L$2=0,Tab.o1[[#This Row],[DIF_Target]],AVERAGE(OFFSET(Tab.o1[[#This Row],[DIF_Target]],1,0,L$3,1)))/3,Tab.o1[[#This Row],[DIF_Target]])</f>
        <v/>
      </c>
      <c r="M767" s="118" t="str">
        <f>IF(Tab.o1[[#This Row],[a1]]=1,NORMSDIST(Tab.o1[[#This Row],[Za]]),"")</f>
        <v/>
      </c>
      <c r="N767" s="119" t="str">
        <f>IF(Tab.o1[[#This Row],[a1]]=1,((Tab.o1[[#This Row],[MedMod]]-AVERAGE(Tab.o1[MedMod]))/_xlfn.STDEV.P(Tab.o1[MedMod])*H$1205)+G$1205,"")</f>
        <v/>
      </c>
      <c r="O767" s="141" t="str">
        <f>IF(Tab.o1[[#This Row],[a1]]=1,Tab.o1[[#This Row],[Zb]]*_xlfn.STDEV.P(Tab.o1[MedMod])+AVERAGE(Tab.o1[MedMod]),"")</f>
        <v/>
      </c>
      <c r="P767" s="117" t="str">
        <f ca="1">IF(Tab.o1[[#This Row],[B]]=0,AVERAGE(OFFSET(Tab.o1[[#This Row],[B]],1,0,L$3,1)),Tab.o1[[#This Row],[B]])</f>
        <v/>
      </c>
      <c r="Q767" s="121" t="str">
        <f>IF(Tab.o1[[#This Row],[a1]]=1,NORMSDIST(Tab.o1[[#This Row],[Zb]]),"")</f>
        <v/>
      </c>
      <c r="R767" s="122" t="str">
        <f>IF(Tab.o1[[#This Row],[a1]]=1,((Tab.o1[[#This Row],[MedMod]]-AVERAGE(Tab.o1[MedMod]))/_xlfn.STDEV.P(Tab.o1[MedMod])*H$1203)+G$1203,"")</f>
        <v/>
      </c>
      <c r="S767" s="122" t="str">
        <f>IF(Tab.o1[[#This Row],[a1]]=1,((Tab.o1[[#This Row],[MedMod]]-AVERAGE(Tab.o1[MedMod]))/_xlfn.STDEV.P(Tab.o1[MedMod])*H$1204)+G$1204,"")</f>
        <v/>
      </c>
      <c r="T767" s="123" t="str">
        <f>IF(Tab.o1[[#This Row],[a1]]=1,Tab.o1[[#This Row],[Z-]]*_xlfn.STDEV.P(Tab.o1[B])+AVERAGE(Tab.o1[B]),"")</f>
        <v/>
      </c>
      <c r="U767" s="123" t="str">
        <f>IF(Tab.o1[[#This Row],[a1]]=1,Tab.o1[[#This Row],[z+]]*_xlfn.STDEV.P(Tab.o1[B])+AVERAGE(Tab.o1[B]),"")</f>
        <v/>
      </c>
      <c r="V767" s="124" t="str">
        <f>IF(Tab.o1[[#This Row],[a1]]=1,ABS((ABS(Tab.o1[[#This Row],[Red]]-Tab.o1[[#This Row],[Blue]]))),"")</f>
        <v/>
      </c>
      <c r="W767" s="125" t="str">
        <f>IF(Tab.o1[[#This Row],[a1]]=1,IF(W$3=0,1,Tab.o1[[#This Row],[Amp.]]*1/_xlfn.MINIFS(Tab.o1[Amp.],Tab.o1[Amp.],"&lt;&gt;0")),"")</f>
        <v/>
      </c>
      <c r="X767" s="126" t="str">
        <f>IF(Tab.o1[[#This Row],[a1]]=1,IF(ISNUMBER(Tab.o1[[#This Row],[i.]]),NORMDIST(Tab.o1[[#This Row],[Za]],0,1,FALSE)*Tab.o1[[#This Row],[i.]],AP$3),"")</f>
        <v/>
      </c>
      <c r="Y767" s="126" t="str">
        <f>IF(Tab.o1[[#This Row],[a1]]=1,0.01+0.94*Tab.o1[[#This Row],[PDF]]/MAX(Tab.o1[PDF]),"")</f>
        <v/>
      </c>
      <c r="Z767" s="126" t="str">
        <f>IF(Tab.o1[[#This Row],[a1]]=1,0.01+0.94*Tab.o1[[#This Row],[W1_PDF]]/MAX(Tab.o1[W1_PDF]),"")</f>
        <v/>
      </c>
      <c r="AA767" s="118" t="str">
        <f>IF(Tab.o1[[#This Row],[a1]]=1,ABS([1]!T.in.A[[#This Row],[oo6]]),"")</f>
        <v/>
      </c>
      <c r="AB767" s="127" t="str">
        <f>IF(Tab.o1[[#This Row],[a1]]=1,IF(AE$3=0,"",IF(AB$3=0,ABS([1]!T.in.A[[#This Row],[oo9]]),ABS(Tab.o1[[#This Row],[DIF_Target.]]*Tab.o1[[#This Row],[W1_PDF]]))),"")</f>
        <v/>
      </c>
      <c r="AC767" s="127" t="str">
        <f>IF(G$1=1,"",IF(Tab.o1[[#This Row],[a1]]=1,Tab.o1[[#This Row],[Wr]]^2,""))</f>
        <v/>
      </c>
      <c r="AD767" s="118" t="str">
        <f>IF(Tab.o1[[#This Row],[a1]]=1,IF(AE$3=0,"",Tab.o1[[#This Row],[Wr2]]/SUM(Tab.o1[Wr2])),"")</f>
        <v/>
      </c>
      <c r="AE767" s="128" t="str">
        <f>IF(Tab.o1[[#This Row],[a1]]=1,[1]!T.in.A[[#This Row],[oo10]],"")</f>
        <v/>
      </c>
      <c r="AF767" s="118" t="str">
        <f>IF(Tab.o1[[#This Row],[a1]]=1,ABS(Tab.o1[[#This Row],[DIF_Target.]]*Tab.o1[[#This Row],[PDF2]]*Tab.o1[[#This Row],[IN]]),"")</f>
        <v/>
      </c>
      <c r="AG767" s="129" t="str">
        <f>IF(Tab.o1[[#This Row],[a1]]=1,Tab.o1[[#This Row],[rW]]^2,"")</f>
        <v/>
      </c>
      <c r="AH767" s="130" t="str">
        <f>IF(Tab.o1[[#This Row],[a1]]=1,IF(AH$3=0,Tab.o1[[#This Row],[rW2]],0.01+0.94*Tab.o1[[#This Row],[rW2]]/SUM(Tab.o1[rW2])),"")</f>
        <v/>
      </c>
      <c r="AI767" s="128" t="str">
        <f>IF(Tab.o1[[#This Row],[a1]]=1,1/Tab.o1[[#This Row],[PDF]],"")</f>
        <v/>
      </c>
      <c r="AJ767" s="131" t="str">
        <f>IF(Tab.o1[[#This Row],[a1]]=1,[1]!T_AA[[#This Row],[IN'']]*[1]!T_AA[[#This Row],[Qde'']],"")</f>
        <v/>
      </c>
      <c r="AK767" s="132" t="str">
        <f>IF(Tab.o1[[#This Row],[a1]]=1,IF(AK$1=1,Tab.o1[[#This Row],[MED]]+Tab.o1[[#This Row],[MOD]]-Tab.o1[[#This Row],[MED]],""),"")</f>
        <v/>
      </c>
      <c r="AL767" s="133" t="str">
        <f>IF(Tab.o1[[#This Row],[a1]]=1,[1]!T.in.A[[#This Row],[oo16]],"")</f>
        <v/>
      </c>
      <c r="AM767" s="133" t="str">
        <f>IF(Tab.o1[[#This Row],[a1]]=1,IF(AM$3=1,[1]!T.in.A[[#This Row],[Σo16]],""),"")</f>
        <v/>
      </c>
      <c r="AN767" s="126" t="str">
        <f>IF(Tab.o1[[#This Row],[a1]]=1,[1]!T.in.A[[#This Row],[Σp5]],"")</f>
        <v/>
      </c>
      <c r="AO767" s="126" t="str">
        <f>IF(Tab.o1[[#This Row],[a1]]=1,IF(AO$3=1,[1]!T.in.A[[#This Row],[Σp5]],""),"")</f>
        <v/>
      </c>
      <c r="AP767" s="110" t="str">
        <f>IF(Tab.o1[[#This Row],[a1]]=1,IF(ISNUMBER(Tab.o1[[#This Row],[i.]]),NORMDIST(Tab.o1[[#This Row],[Za]],0,1,FALSE)*Tab.o1[[#This Row],[i.]],0),"")</f>
        <v/>
      </c>
      <c r="AQ767" s="125" t="str">
        <f>IF(Tab.o1[[#This Row],[a1]]=1,ABS(Tab.o1[[#This Row],[MOD]]-AVERAGE(Tab.o1[MOD])),"")</f>
        <v/>
      </c>
      <c r="AR767" s="134" t="str">
        <f>IF(Tab.o1[[#This Row],[a1]]=1,Tab.o1[[#This Row],[OBS]]/SUM(Tab.o1[OBS]),"")</f>
        <v/>
      </c>
      <c r="AS767" s="135" t="str">
        <f>IF(ISNUMBER(Tab.o1[[#This Row],[a1]]),ROW()-4,"")</f>
        <v/>
      </c>
      <c r="AT767" s="136" t="str">
        <f>Tab.o1[[#This Row],[MOD]]</f>
        <v/>
      </c>
      <c r="AU767" s="137" t="str">
        <f t="shared" si="45"/>
        <v/>
      </c>
      <c r="AV767" s="138" t="str">
        <f t="shared" si="46"/>
        <v/>
      </c>
      <c r="AW767" s="138" t="str">
        <f t="shared" si="47"/>
        <v/>
      </c>
      <c r="AX767" s="139" t="str">
        <f>[1]!T.in.A[[#This Row],[ID_T_manu]]</f>
        <v/>
      </c>
      <c r="AY767" s="140" t="str">
        <f>IF(ISNUMBER(Tab.o1[[#This Row],[a1]]),IF(AND(Tab.o1[[#This Row],[a1]]=1,Tab.o1[[#This Row],[b1]]&lt;=AY$4),#REF!,AY766),"")</f>
        <v/>
      </c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6"/>
      <c r="BO767" s="26"/>
      <c r="BP767" s="26"/>
      <c r="BQ767" s="26"/>
      <c r="BR767" s="26"/>
      <c r="BS767" s="26"/>
      <c r="BT767" s="26"/>
      <c r="BU767" s="26"/>
      <c r="BV767" s="26"/>
      <c r="BW767" s="26"/>
      <c r="BX767" s="26"/>
      <c r="BY767" s="26"/>
      <c r="BZ767" s="26"/>
      <c r="CA767" s="26"/>
    </row>
    <row r="768" spans="1:79" s="143" customFormat="1" ht="15.75" hidden="1">
      <c r="A768" s="109">
        <v>-6.9999999999999999E-6</v>
      </c>
      <c r="B768" s="110">
        <f t="shared" si="44"/>
        <v>768</v>
      </c>
      <c r="C768" s="111" t="str">
        <f>IF(C$1=[1]!T.in.A[[#This Row],[oo2]],1,"")</f>
        <v/>
      </c>
      <c r="D768" s="112" t="str">
        <f>IF(Tab.o1[[#This Row],[a1]]=1,IF(SUM(C768:C769)=0,0,IF(SUM(C767:C768)=1,1,IF(SUM(C767:C769)&gt;1,D767+1,0))),"")</f>
        <v/>
      </c>
      <c r="E768" s="113" t="str">
        <f>IF(Tab.o1[[#This Row],[a1]]=1,[1]!T.in.A[[#This Row],[oo1]],"")</f>
        <v/>
      </c>
      <c r="F768" s="113" t="str">
        <f>IF(Tab.o1[[#This Row],[a1]]=1,[1]!T.in.A[[#This Row],[pp1]],"")</f>
        <v/>
      </c>
      <c r="G768" s="114" t="str">
        <f>IF(Tab.o1[[#This Row],[a1]]=1,G$2+IF(G$1=1,0,Tab.o1[[#This Row],[.x1]])+[1]!T.in.A[[#This Row],[oo3]],"")</f>
        <v/>
      </c>
      <c r="H768" s="115" t="str">
        <f>IF(Tab.o1[[#This Row],[a1]]=1,IF(H$2=0,0,IF(G$1=1,0,Tab.o1[[#This Row],[.x1]])+[1]!T.in.A[[#This Row],[oo4]]),"")</f>
        <v/>
      </c>
      <c r="I768" s="116" t="str">
        <f>IF(Tab.o1[[#This Row],[a1]]=1,IF(J$2=0,Tab.o1[[#This Row],[MED]],Tab.o1[[#This Row],[MOD]]),"")</f>
        <v/>
      </c>
      <c r="J768" s="116" t="str">
        <f>IF(Tab.o1[[#This Row],[a1]]=1,((Tab.o1[[#This Row],[DIF_Target.]]-AVERAGE(Tab.o1[DIF_Target.]))/_xlfn.STDEV.P(Tab.o1[DIF_Target.])),"")</f>
        <v/>
      </c>
      <c r="K768" s="117" t="str">
        <f>IF(Tab.o1[[#This Row],[a1]]=1,IF(J$2=0,Tab.o1[[#This Row],[MOD]]-Tab.o1[[#This Row],[B]],IF(J$2=1,0,-Tab.o1[[#This Row],[MED]])+Tab.o1[[#This Row],[B]]),"")</f>
        <v/>
      </c>
      <c r="L768" s="117" t="str">
        <f ca="1">IF(Tab.o1[[#This Row],[DIF_Target]]=0,IF(L$2=0,Tab.o1[[#This Row],[DIF_Target]],AVERAGE(OFFSET(Tab.o1[[#This Row],[DIF_Target]],1,0,L$3,1)))/3,Tab.o1[[#This Row],[DIF_Target]])</f>
        <v/>
      </c>
      <c r="M768" s="118" t="str">
        <f>IF(Tab.o1[[#This Row],[a1]]=1,NORMSDIST(Tab.o1[[#This Row],[Za]]),"")</f>
        <v/>
      </c>
      <c r="N768" s="119" t="str">
        <f>IF(Tab.o1[[#This Row],[a1]]=1,((Tab.o1[[#This Row],[MedMod]]-AVERAGE(Tab.o1[MedMod]))/_xlfn.STDEV.P(Tab.o1[MedMod])*H$1205)+G$1205,"")</f>
        <v/>
      </c>
      <c r="O768" s="141" t="str">
        <f>IF(Tab.o1[[#This Row],[a1]]=1,Tab.o1[[#This Row],[Zb]]*_xlfn.STDEV.P(Tab.o1[MedMod])+AVERAGE(Tab.o1[MedMod]),"")</f>
        <v/>
      </c>
      <c r="P768" s="117" t="str">
        <f ca="1">IF(Tab.o1[[#This Row],[B]]=0,AVERAGE(OFFSET(Tab.o1[[#This Row],[B]],1,0,L$3,1)),Tab.o1[[#This Row],[B]])</f>
        <v/>
      </c>
      <c r="Q768" s="121" t="str">
        <f>IF(Tab.o1[[#This Row],[a1]]=1,NORMSDIST(Tab.o1[[#This Row],[Zb]]),"")</f>
        <v/>
      </c>
      <c r="R768" s="122" t="str">
        <f>IF(Tab.o1[[#This Row],[a1]]=1,((Tab.o1[[#This Row],[MedMod]]-AVERAGE(Tab.o1[MedMod]))/_xlfn.STDEV.P(Tab.o1[MedMod])*H$1203)+G$1203,"")</f>
        <v/>
      </c>
      <c r="S768" s="122" t="str">
        <f>IF(Tab.o1[[#This Row],[a1]]=1,((Tab.o1[[#This Row],[MedMod]]-AVERAGE(Tab.o1[MedMod]))/_xlfn.STDEV.P(Tab.o1[MedMod])*H$1204)+G$1204,"")</f>
        <v/>
      </c>
      <c r="T768" s="123" t="str">
        <f>IF(Tab.o1[[#This Row],[a1]]=1,Tab.o1[[#This Row],[Z-]]*_xlfn.STDEV.P(Tab.o1[B])+AVERAGE(Tab.o1[B]),"")</f>
        <v/>
      </c>
      <c r="U768" s="123" t="str">
        <f>IF(Tab.o1[[#This Row],[a1]]=1,Tab.o1[[#This Row],[z+]]*_xlfn.STDEV.P(Tab.o1[B])+AVERAGE(Tab.o1[B]),"")</f>
        <v/>
      </c>
      <c r="V768" s="124" t="str">
        <f>IF(Tab.o1[[#This Row],[a1]]=1,ABS((ABS(Tab.o1[[#This Row],[Red]]-Tab.o1[[#This Row],[Blue]]))),"")</f>
        <v/>
      </c>
      <c r="W768" s="125" t="str">
        <f>IF(Tab.o1[[#This Row],[a1]]=1,IF(W$3=0,1,Tab.o1[[#This Row],[Amp.]]*1/_xlfn.MINIFS(Tab.o1[Amp.],Tab.o1[Amp.],"&lt;&gt;0")),"")</f>
        <v/>
      </c>
      <c r="X768" s="126" t="str">
        <f>IF(Tab.o1[[#This Row],[a1]]=1,IF(ISNUMBER(Tab.o1[[#This Row],[i.]]),NORMDIST(Tab.o1[[#This Row],[Za]],0,1,FALSE)*Tab.o1[[#This Row],[i.]],AP$3),"")</f>
        <v/>
      </c>
      <c r="Y768" s="126" t="str">
        <f>IF(Tab.o1[[#This Row],[a1]]=1,0.01+0.94*Tab.o1[[#This Row],[PDF]]/MAX(Tab.o1[PDF]),"")</f>
        <v/>
      </c>
      <c r="Z768" s="126" t="str">
        <f>IF(Tab.o1[[#This Row],[a1]]=1,0.01+0.94*Tab.o1[[#This Row],[W1_PDF]]/MAX(Tab.o1[W1_PDF]),"")</f>
        <v/>
      </c>
      <c r="AA768" s="118" t="str">
        <f>IF(Tab.o1[[#This Row],[a1]]=1,ABS([1]!T.in.A[[#This Row],[oo6]]),"")</f>
        <v/>
      </c>
      <c r="AB768" s="127" t="str">
        <f>IF(Tab.o1[[#This Row],[a1]]=1,IF(AE$3=0,"",IF(AB$3=0,ABS([1]!T.in.A[[#This Row],[oo9]]),ABS(Tab.o1[[#This Row],[DIF_Target.]]*Tab.o1[[#This Row],[W1_PDF]]))),"")</f>
        <v/>
      </c>
      <c r="AC768" s="127" t="str">
        <f>IF(G$1=1,"",IF(Tab.o1[[#This Row],[a1]]=1,Tab.o1[[#This Row],[Wr]]^2,""))</f>
        <v/>
      </c>
      <c r="AD768" s="118" t="str">
        <f>IF(Tab.o1[[#This Row],[a1]]=1,IF(AE$3=0,"",Tab.o1[[#This Row],[Wr2]]/SUM(Tab.o1[Wr2])),"")</f>
        <v/>
      </c>
      <c r="AE768" s="128" t="str">
        <f>IF(Tab.o1[[#This Row],[a1]]=1,[1]!T.in.A[[#This Row],[oo10]],"")</f>
        <v/>
      </c>
      <c r="AF768" s="118" t="str">
        <f>IF(Tab.o1[[#This Row],[a1]]=1,ABS(Tab.o1[[#This Row],[DIF_Target.]]*Tab.o1[[#This Row],[PDF2]]*Tab.o1[[#This Row],[IN]]),"")</f>
        <v/>
      </c>
      <c r="AG768" s="129" t="str">
        <f>IF(Tab.o1[[#This Row],[a1]]=1,Tab.o1[[#This Row],[rW]]^2,"")</f>
        <v/>
      </c>
      <c r="AH768" s="130" t="str">
        <f>IF(Tab.o1[[#This Row],[a1]]=1,IF(AH$3=0,Tab.o1[[#This Row],[rW2]],0.01+0.94*Tab.o1[[#This Row],[rW2]]/SUM(Tab.o1[rW2])),"")</f>
        <v/>
      </c>
      <c r="AI768" s="128" t="str">
        <f>IF(Tab.o1[[#This Row],[a1]]=1,1/Tab.o1[[#This Row],[PDF]],"")</f>
        <v/>
      </c>
      <c r="AJ768" s="131" t="str">
        <f>IF(Tab.o1[[#This Row],[a1]]=1,[1]!T_AA[[#This Row],[IN'']]*[1]!T_AA[[#This Row],[Qde'']],"")</f>
        <v/>
      </c>
      <c r="AK768" s="132" t="str">
        <f>IF(Tab.o1[[#This Row],[a1]]=1,IF(AK$1=1,Tab.o1[[#This Row],[MED]]+Tab.o1[[#This Row],[MOD]]-Tab.o1[[#This Row],[MED]],""),"")</f>
        <v/>
      </c>
      <c r="AL768" s="133" t="str">
        <f>IF(Tab.o1[[#This Row],[a1]]=1,[1]!T.in.A[[#This Row],[oo16]],"")</f>
        <v/>
      </c>
      <c r="AM768" s="133" t="str">
        <f>IF(Tab.o1[[#This Row],[a1]]=1,IF(AM$3=1,[1]!T.in.A[[#This Row],[Σo16]],""),"")</f>
        <v/>
      </c>
      <c r="AN768" s="126" t="str">
        <f>IF(Tab.o1[[#This Row],[a1]]=1,[1]!T.in.A[[#This Row],[Σp5]],"")</f>
        <v/>
      </c>
      <c r="AO768" s="126" t="str">
        <f>IF(Tab.o1[[#This Row],[a1]]=1,IF(AO$3=1,[1]!T.in.A[[#This Row],[Σp5]],""),"")</f>
        <v/>
      </c>
      <c r="AP768" s="110" t="str">
        <f>IF(Tab.o1[[#This Row],[a1]]=1,IF(ISNUMBER(Tab.o1[[#This Row],[i.]]),NORMDIST(Tab.o1[[#This Row],[Za]],0,1,FALSE)*Tab.o1[[#This Row],[i.]],0),"")</f>
        <v/>
      </c>
      <c r="AQ768" s="125" t="str">
        <f>IF(Tab.o1[[#This Row],[a1]]=1,ABS(Tab.o1[[#This Row],[MOD]]-AVERAGE(Tab.o1[MOD])),"")</f>
        <v/>
      </c>
      <c r="AR768" s="134" t="str">
        <f>IF(Tab.o1[[#This Row],[a1]]=1,Tab.o1[[#This Row],[OBS]]/SUM(Tab.o1[OBS]),"")</f>
        <v/>
      </c>
      <c r="AS768" s="135" t="str">
        <f>IF(ISNUMBER(Tab.o1[[#This Row],[a1]]),ROW()-4,"")</f>
        <v/>
      </c>
      <c r="AT768" s="136" t="str">
        <f>Tab.o1[[#This Row],[MOD]]</f>
        <v/>
      </c>
      <c r="AU768" s="137" t="str">
        <f t="shared" si="45"/>
        <v/>
      </c>
      <c r="AV768" s="138" t="str">
        <f t="shared" si="46"/>
        <v/>
      </c>
      <c r="AW768" s="138" t="str">
        <f t="shared" si="47"/>
        <v/>
      </c>
      <c r="AX768" s="139" t="str">
        <f>[1]!T.in.A[[#This Row],[ID_T_manu]]</f>
        <v/>
      </c>
      <c r="AY768" s="140" t="str">
        <f>IF(ISNUMBER(Tab.o1[[#This Row],[a1]]),IF(AND(Tab.o1[[#This Row],[a1]]=1,Tab.o1[[#This Row],[b1]]&lt;=AY$4),#REF!,AY767),"")</f>
        <v/>
      </c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6"/>
      <c r="BO768" s="26"/>
      <c r="BP768" s="26"/>
      <c r="BQ768" s="26"/>
      <c r="BR768" s="26"/>
      <c r="BS768" s="26"/>
      <c r="BT768" s="26"/>
      <c r="BU768" s="26"/>
      <c r="BV768" s="26"/>
      <c r="BW768" s="26"/>
      <c r="BX768" s="26"/>
      <c r="BY768" s="26"/>
      <c r="BZ768" s="26"/>
      <c r="CA768" s="26"/>
    </row>
    <row r="769" spans="1:79" s="143" customFormat="1" ht="15.75" hidden="1">
      <c r="A769" s="109">
        <v>-1.0000000000000001E-5</v>
      </c>
      <c r="B769" s="110">
        <f t="shared" si="44"/>
        <v>769</v>
      </c>
      <c r="C769" s="111" t="str">
        <f>IF(C$1=[1]!T.in.A[[#This Row],[oo2]],1,"")</f>
        <v/>
      </c>
      <c r="D769" s="112" t="str">
        <f>IF(Tab.o1[[#This Row],[a1]]=1,IF(SUM(C769:C770)=0,0,IF(SUM(C768:C769)=1,1,IF(SUM(C768:C770)&gt;1,D768+1,0))),"")</f>
        <v/>
      </c>
      <c r="E769" s="113" t="str">
        <f>IF(Tab.o1[[#This Row],[a1]]=1,[1]!T.in.A[[#This Row],[oo1]],"")</f>
        <v/>
      </c>
      <c r="F769" s="113" t="str">
        <f>IF(Tab.o1[[#This Row],[a1]]=1,[1]!T.in.A[[#This Row],[pp1]],"")</f>
        <v/>
      </c>
      <c r="G769" s="114" t="str">
        <f>IF(Tab.o1[[#This Row],[a1]]=1,G$2+IF(G$1=1,0,Tab.o1[[#This Row],[.x1]])+[1]!T.in.A[[#This Row],[oo3]],"")</f>
        <v/>
      </c>
      <c r="H769" s="115" t="str">
        <f>IF(Tab.o1[[#This Row],[a1]]=1,IF(H$2=0,0,IF(G$1=1,0,Tab.o1[[#This Row],[.x1]])+[1]!T.in.A[[#This Row],[oo4]]),"")</f>
        <v/>
      </c>
      <c r="I769" s="116" t="str">
        <f>IF(Tab.o1[[#This Row],[a1]]=1,IF(J$2=0,Tab.o1[[#This Row],[MED]],Tab.o1[[#This Row],[MOD]]),"")</f>
        <v/>
      </c>
      <c r="J769" s="116" t="str">
        <f>IF(Tab.o1[[#This Row],[a1]]=1,((Tab.o1[[#This Row],[DIF_Target.]]-AVERAGE(Tab.o1[DIF_Target.]))/_xlfn.STDEV.P(Tab.o1[DIF_Target.])),"")</f>
        <v/>
      </c>
      <c r="K769" s="117" t="str">
        <f>IF(Tab.o1[[#This Row],[a1]]=1,IF(J$2=0,Tab.o1[[#This Row],[MOD]]-Tab.o1[[#This Row],[B]],IF(J$2=1,0,-Tab.o1[[#This Row],[MED]])+Tab.o1[[#This Row],[B]]),"")</f>
        <v/>
      </c>
      <c r="L769" s="117" t="str">
        <f ca="1">IF(Tab.o1[[#This Row],[DIF_Target]]=0,IF(L$2=0,Tab.o1[[#This Row],[DIF_Target]],AVERAGE(OFFSET(Tab.o1[[#This Row],[DIF_Target]],1,0,L$3,1)))/3,Tab.o1[[#This Row],[DIF_Target]])</f>
        <v/>
      </c>
      <c r="M769" s="118" t="str">
        <f>IF(Tab.o1[[#This Row],[a1]]=1,NORMSDIST(Tab.o1[[#This Row],[Za]]),"")</f>
        <v/>
      </c>
      <c r="N769" s="119" t="str">
        <f>IF(Tab.o1[[#This Row],[a1]]=1,((Tab.o1[[#This Row],[MedMod]]-AVERAGE(Tab.o1[MedMod]))/_xlfn.STDEV.P(Tab.o1[MedMod])*H$1205)+G$1205,"")</f>
        <v/>
      </c>
      <c r="O769" s="141" t="str">
        <f>IF(Tab.o1[[#This Row],[a1]]=1,Tab.o1[[#This Row],[Zb]]*_xlfn.STDEV.P(Tab.o1[MedMod])+AVERAGE(Tab.o1[MedMod]),"")</f>
        <v/>
      </c>
      <c r="P769" s="117" t="str">
        <f ca="1">IF(Tab.o1[[#This Row],[B]]=0,AVERAGE(OFFSET(Tab.o1[[#This Row],[B]],1,0,L$3,1)),Tab.o1[[#This Row],[B]])</f>
        <v/>
      </c>
      <c r="Q769" s="121" t="str">
        <f>IF(Tab.o1[[#This Row],[a1]]=1,NORMSDIST(Tab.o1[[#This Row],[Zb]]),"")</f>
        <v/>
      </c>
      <c r="R769" s="122" t="str">
        <f>IF(Tab.o1[[#This Row],[a1]]=1,((Tab.o1[[#This Row],[MedMod]]-AVERAGE(Tab.o1[MedMod]))/_xlfn.STDEV.P(Tab.o1[MedMod])*H$1203)+G$1203,"")</f>
        <v/>
      </c>
      <c r="S769" s="122" t="str">
        <f>IF(Tab.o1[[#This Row],[a1]]=1,((Tab.o1[[#This Row],[MedMod]]-AVERAGE(Tab.o1[MedMod]))/_xlfn.STDEV.P(Tab.o1[MedMod])*H$1204)+G$1204,"")</f>
        <v/>
      </c>
      <c r="T769" s="123" t="str">
        <f>IF(Tab.o1[[#This Row],[a1]]=1,Tab.o1[[#This Row],[Z-]]*_xlfn.STDEV.P(Tab.o1[B])+AVERAGE(Tab.o1[B]),"")</f>
        <v/>
      </c>
      <c r="U769" s="123" t="str">
        <f>IF(Tab.o1[[#This Row],[a1]]=1,Tab.o1[[#This Row],[z+]]*_xlfn.STDEV.P(Tab.o1[B])+AVERAGE(Tab.o1[B]),"")</f>
        <v/>
      </c>
      <c r="V769" s="124" t="str">
        <f>IF(Tab.o1[[#This Row],[a1]]=1,ABS((ABS(Tab.o1[[#This Row],[Red]]-Tab.o1[[#This Row],[Blue]]))),"")</f>
        <v/>
      </c>
      <c r="W769" s="125" t="str">
        <f>IF(Tab.o1[[#This Row],[a1]]=1,IF(W$3=0,1,Tab.o1[[#This Row],[Amp.]]*1/_xlfn.MINIFS(Tab.o1[Amp.],Tab.o1[Amp.],"&lt;&gt;0")),"")</f>
        <v/>
      </c>
      <c r="X769" s="126" t="str">
        <f>IF(Tab.o1[[#This Row],[a1]]=1,IF(ISNUMBER(Tab.o1[[#This Row],[i.]]),NORMDIST(Tab.o1[[#This Row],[Za]],0,1,FALSE)*Tab.o1[[#This Row],[i.]],AP$3),"")</f>
        <v/>
      </c>
      <c r="Y769" s="126" t="str">
        <f>IF(Tab.o1[[#This Row],[a1]]=1,0.01+0.94*Tab.o1[[#This Row],[PDF]]/MAX(Tab.o1[PDF]),"")</f>
        <v/>
      </c>
      <c r="Z769" s="126" t="str">
        <f>IF(Tab.o1[[#This Row],[a1]]=1,0.01+0.94*Tab.o1[[#This Row],[W1_PDF]]/MAX(Tab.o1[W1_PDF]),"")</f>
        <v/>
      </c>
      <c r="AA769" s="118" t="str">
        <f>IF(Tab.o1[[#This Row],[a1]]=1,ABS([1]!T.in.A[[#This Row],[oo6]]),"")</f>
        <v/>
      </c>
      <c r="AB769" s="127" t="str">
        <f>IF(Tab.o1[[#This Row],[a1]]=1,IF(AE$3=0,"",IF(AB$3=0,ABS([1]!T.in.A[[#This Row],[oo9]]),ABS(Tab.o1[[#This Row],[DIF_Target.]]*Tab.o1[[#This Row],[W1_PDF]]))),"")</f>
        <v/>
      </c>
      <c r="AC769" s="127" t="str">
        <f>IF(G$1=1,"",IF(Tab.o1[[#This Row],[a1]]=1,Tab.o1[[#This Row],[Wr]]^2,""))</f>
        <v/>
      </c>
      <c r="AD769" s="118" t="str">
        <f>IF(Tab.o1[[#This Row],[a1]]=1,IF(AE$3=0,"",Tab.o1[[#This Row],[Wr2]]/SUM(Tab.o1[Wr2])),"")</f>
        <v/>
      </c>
      <c r="AE769" s="128" t="str">
        <f>IF(Tab.o1[[#This Row],[a1]]=1,[1]!T.in.A[[#This Row],[oo10]],"")</f>
        <v/>
      </c>
      <c r="AF769" s="118" t="str">
        <f>IF(Tab.o1[[#This Row],[a1]]=1,ABS(Tab.o1[[#This Row],[DIF_Target.]]*Tab.o1[[#This Row],[PDF2]]*Tab.o1[[#This Row],[IN]]),"")</f>
        <v/>
      </c>
      <c r="AG769" s="129" t="str">
        <f>IF(Tab.o1[[#This Row],[a1]]=1,Tab.o1[[#This Row],[rW]]^2,"")</f>
        <v/>
      </c>
      <c r="AH769" s="130" t="str">
        <f>IF(Tab.o1[[#This Row],[a1]]=1,IF(AH$3=0,Tab.o1[[#This Row],[rW2]],0.01+0.94*Tab.o1[[#This Row],[rW2]]/SUM(Tab.o1[rW2])),"")</f>
        <v/>
      </c>
      <c r="AI769" s="128" t="str">
        <f>IF(Tab.o1[[#This Row],[a1]]=1,1/Tab.o1[[#This Row],[PDF]],"")</f>
        <v/>
      </c>
      <c r="AJ769" s="131" t="str">
        <f>IF(Tab.o1[[#This Row],[a1]]=1,[1]!T_AA[[#This Row],[IN'']]*[1]!T_AA[[#This Row],[Qde'']],"")</f>
        <v/>
      </c>
      <c r="AK769" s="132" t="str">
        <f>IF(Tab.o1[[#This Row],[a1]]=1,IF(AK$1=1,Tab.o1[[#This Row],[MED]]+Tab.o1[[#This Row],[MOD]]-Tab.o1[[#This Row],[MED]],""),"")</f>
        <v/>
      </c>
      <c r="AL769" s="133" t="str">
        <f>IF(Tab.o1[[#This Row],[a1]]=1,[1]!T.in.A[[#This Row],[oo16]],"")</f>
        <v/>
      </c>
      <c r="AM769" s="133" t="str">
        <f>IF(Tab.o1[[#This Row],[a1]]=1,IF(AM$3=1,[1]!T.in.A[[#This Row],[Σo16]],""),"")</f>
        <v/>
      </c>
      <c r="AN769" s="126" t="str">
        <f>IF(Tab.o1[[#This Row],[a1]]=1,[1]!T.in.A[[#This Row],[Σp5]],"")</f>
        <v/>
      </c>
      <c r="AO769" s="126" t="str">
        <f>IF(Tab.o1[[#This Row],[a1]]=1,IF(AO$3=1,[1]!T.in.A[[#This Row],[Σp5]],""),"")</f>
        <v/>
      </c>
      <c r="AP769" s="110" t="str">
        <f>IF(Tab.o1[[#This Row],[a1]]=1,IF(ISNUMBER(Tab.o1[[#This Row],[i.]]),NORMDIST(Tab.o1[[#This Row],[Za]],0,1,FALSE)*Tab.o1[[#This Row],[i.]],0),"")</f>
        <v/>
      </c>
      <c r="AQ769" s="125" t="str">
        <f>IF(Tab.o1[[#This Row],[a1]]=1,ABS(Tab.o1[[#This Row],[MOD]]-AVERAGE(Tab.o1[MOD])),"")</f>
        <v/>
      </c>
      <c r="AR769" s="134" t="str">
        <f>IF(Tab.o1[[#This Row],[a1]]=1,Tab.o1[[#This Row],[OBS]]/SUM(Tab.o1[OBS]),"")</f>
        <v/>
      </c>
      <c r="AS769" s="135" t="str">
        <f>IF(ISNUMBER(Tab.o1[[#This Row],[a1]]),ROW()-4,"")</f>
        <v/>
      </c>
      <c r="AT769" s="136" t="str">
        <f>Tab.o1[[#This Row],[MOD]]</f>
        <v/>
      </c>
      <c r="AU769" s="137" t="str">
        <f t="shared" si="45"/>
        <v/>
      </c>
      <c r="AV769" s="138" t="str">
        <f t="shared" si="46"/>
        <v/>
      </c>
      <c r="AW769" s="138" t="str">
        <f t="shared" si="47"/>
        <v/>
      </c>
      <c r="AX769" s="139" t="str">
        <f>[1]!T.in.A[[#This Row],[ID_T_manu]]</f>
        <v/>
      </c>
      <c r="AY769" s="140" t="str">
        <f>IF(ISNUMBER(Tab.o1[[#This Row],[a1]]),IF(AND(Tab.o1[[#This Row],[a1]]=1,Tab.o1[[#This Row],[b1]]&lt;=AY$4),#REF!,AY768),"")</f>
        <v/>
      </c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6"/>
      <c r="BO769" s="26"/>
      <c r="BP769" s="26"/>
      <c r="BQ769" s="26"/>
      <c r="BR769" s="26"/>
      <c r="BS769" s="26"/>
      <c r="BT769" s="26"/>
      <c r="BU769" s="26"/>
      <c r="BV769" s="26"/>
      <c r="BW769" s="26"/>
      <c r="BX769" s="26"/>
      <c r="BY769" s="26"/>
      <c r="BZ769" s="26"/>
      <c r="CA769" s="26"/>
    </row>
    <row r="770" spans="1:79" s="143" customFormat="1" ht="15.75" hidden="1">
      <c r="A770" s="109">
        <v>1.0000000000000002E-6</v>
      </c>
      <c r="B770" s="110">
        <f t="shared" si="44"/>
        <v>770</v>
      </c>
      <c r="C770" s="111" t="str">
        <f>IF(C$1=[1]!T.in.A[[#This Row],[oo2]],1,"")</f>
        <v/>
      </c>
      <c r="D770" s="112" t="str">
        <f>IF(Tab.o1[[#This Row],[a1]]=1,IF(SUM(C770:C771)=0,0,IF(SUM(C769:C770)=1,1,IF(SUM(C769:C771)&gt;1,D769+1,0))),"")</f>
        <v/>
      </c>
      <c r="E770" s="113" t="str">
        <f>IF(Tab.o1[[#This Row],[a1]]=1,[1]!T.in.A[[#This Row],[oo1]],"")</f>
        <v/>
      </c>
      <c r="F770" s="113" t="str">
        <f>IF(Tab.o1[[#This Row],[a1]]=1,[1]!T.in.A[[#This Row],[pp1]],"")</f>
        <v/>
      </c>
      <c r="G770" s="114" t="str">
        <f>IF(Tab.o1[[#This Row],[a1]]=1,G$2+IF(G$1=1,0,Tab.o1[[#This Row],[.x1]])+[1]!T.in.A[[#This Row],[oo3]],"")</f>
        <v/>
      </c>
      <c r="H770" s="115" t="str">
        <f>IF(Tab.o1[[#This Row],[a1]]=1,IF(H$2=0,0,IF(G$1=1,0,Tab.o1[[#This Row],[.x1]])+[1]!T.in.A[[#This Row],[oo4]]),"")</f>
        <v/>
      </c>
      <c r="I770" s="116" t="str">
        <f>IF(Tab.o1[[#This Row],[a1]]=1,IF(J$2=0,Tab.o1[[#This Row],[MED]],Tab.o1[[#This Row],[MOD]]),"")</f>
        <v/>
      </c>
      <c r="J770" s="116" t="str">
        <f>IF(Tab.o1[[#This Row],[a1]]=1,((Tab.o1[[#This Row],[DIF_Target.]]-AVERAGE(Tab.o1[DIF_Target.]))/_xlfn.STDEV.P(Tab.o1[DIF_Target.])),"")</f>
        <v/>
      </c>
      <c r="K770" s="117" t="str">
        <f>IF(Tab.o1[[#This Row],[a1]]=1,IF(J$2=0,Tab.o1[[#This Row],[MOD]]-Tab.o1[[#This Row],[B]],IF(J$2=1,0,-Tab.o1[[#This Row],[MED]])+Tab.o1[[#This Row],[B]]),"")</f>
        <v/>
      </c>
      <c r="L770" s="117" t="str">
        <f ca="1">IF(Tab.o1[[#This Row],[DIF_Target]]=0,IF(L$2=0,Tab.o1[[#This Row],[DIF_Target]],AVERAGE(OFFSET(Tab.o1[[#This Row],[DIF_Target]],1,0,L$3,1)))/3,Tab.o1[[#This Row],[DIF_Target]])</f>
        <v/>
      </c>
      <c r="M770" s="118" t="str">
        <f>IF(Tab.o1[[#This Row],[a1]]=1,NORMSDIST(Tab.o1[[#This Row],[Za]]),"")</f>
        <v/>
      </c>
      <c r="N770" s="119" t="str">
        <f>IF(Tab.o1[[#This Row],[a1]]=1,((Tab.o1[[#This Row],[MedMod]]-AVERAGE(Tab.o1[MedMod]))/_xlfn.STDEV.P(Tab.o1[MedMod])*H$1205)+G$1205,"")</f>
        <v/>
      </c>
      <c r="O770" s="141" t="str">
        <f>IF(Tab.o1[[#This Row],[a1]]=1,Tab.o1[[#This Row],[Zb]]*_xlfn.STDEV.P(Tab.o1[MedMod])+AVERAGE(Tab.o1[MedMod]),"")</f>
        <v/>
      </c>
      <c r="P770" s="117" t="str">
        <f ca="1">IF(Tab.o1[[#This Row],[B]]=0,AVERAGE(OFFSET(Tab.o1[[#This Row],[B]],1,0,L$3,1)),Tab.o1[[#This Row],[B]])</f>
        <v/>
      </c>
      <c r="Q770" s="121" t="str">
        <f>IF(Tab.o1[[#This Row],[a1]]=1,NORMSDIST(Tab.o1[[#This Row],[Zb]]),"")</f>
        <v/>
      </c>
      <c r="R770" s="122" t="str">
        <f>IF(Tab.o1[[#This Row],[a1]]=1,((Tab.o1[[#This Row],[MedMod]]-AVERAGE(Tab.o1[MedMod]))/_xlfn.STDEV.P(Tab.o1[MedMod])*H$1203)+G$1203,"")</f>
        <v/>
      </c>
      <c r="S770" s="122" t="str">
        <f>IF(Tab.o1[[#This Row],[a1]]=1,((Tab.o1[[#This Row],[MedMod]]-AVERAGE(Tab.o1[MedMod]))/_xlfn.STDEV.P(Tab.o1[MedMod])*H$1204)+G$1204,"")</f>
        <v/>
      </c>
      <c r="T770" s="123" t="str">
        <f>IF(Tab.o1[[#This Row],[a1]]=1,Tab.o1[[#This Row],[Z-]]*_xlfn.STDEV.P(Tab.o1[B])+AVERAGE(Tab.o1[B]),"")</f>
        <v/>
      </c>
      <c r="U770" s="123" t="str">
        <f>IF(Tab.o1[[#This Row],[a1]]=1,Tab.o1[[#This Row],[z+]]*_xlfn.STDEV.P(Tab.o1[B])+AVERAGE(Tab.o1[B]),"")</f>
        <v/>
      </c>
      <c r="V770" s="124" t="str">
        <f>IF(Tab.o1[[#This Row],[a1]]=1,ABS((ABS(Tab.o1[[#This Row],[Red]]-Tab.o1[[#This Row],[Blue]]))),"")</f>
        <v/>
      </c>
      <c r="W770" s="125" t="str">
        <f>IF(Tab.o1[[#This Row],[a1]]=1,IF(W$3=0,1,Tab.o1[[#This Row],[Amp.]]*1/_xlfn.MINIFS(Tab.o1[Amp.],Tab.o1[Amp.],"&lt;&gt;0")),"")</f>
        <v/>
      </c>
      <c r="X770" s="126" t="str">
        <f>IF(Tab.o1[[#This Row],[a1]]=1,IF(ISNUMBER(Tab.o1[[#This Row],[i.]]),NORMDIST(Tab.o1[[#This Row],[Za]],0,1,FALSE)*Tab.o1[[#This Row],[i.]],AP$3),"")</f>
        <v/>
      </c>
      <c r="Y770" s="126" t="str">
        <f>IF(Tab.o1[[#This Row],[a1]]=1,0.01+0.94*Tab.o1[[#This Row],[PDF]]/MAX(Tab.o1[PDF]),"")</f>
        <v/>
      </c>
      <c r="Z770" s="126" t="str">
        <f>IF(Tab.o1[[#This Row],[a1]]=1,0.01+0.94*Tab.o1[[#This Row],[W1_PDF]]/MAX(Tab.o1[W1_PDF]),"")</f>
        <v/>
      </c>
      <c r="AA770" s="118" t="str">
        <f>IF(Tab.o1[[#This Row],[a1]]=1,ABS([1]!T.in.A[[#This Row],[oo6]]),"")</f>
        <v/>
      </c>
      <c r="AB770" s="127" t="str">
        <f>IF(Tab.o1[[#This Row],[a1]]=1,IF(AE$3=0,"",IF(AB$3=0,ABS([1]!T.in.A[[#This Row],[oo9]]),ABS(Tab.o1[[#This Row],[DIF_Target.]]*Tab.o1[[#This Row],[W1_PDF]]))),"")</f>
        <v/>
      </c>
      <c r="AC770" s="127" t="str">
        <f>IF(G$1=1,"",IF(Tab.o1[[#This Row],[a1]]=1,Tab.o1[[#This Row],[Wr]]^2,""))</f>
        <v/>
      </c>
      <c r="AD770" s="118" t="str">
        <f>IF(Tab.o1[[#This Row],[a1]]=1,IF(AE$3=0,"",Tab.o1[[#This Row],[Wr2]]/SUM(Tab.o1[Wr2])),"")</f>
        <v/>
      </c>
      <c r="AE770" s="128" t="str">
        <f>IF(Tab.o1[[#This Row],[a1]]=1,[1]!T.in.A[[#This Row],[oo10]],"")</f>
        <v/>
      </c>
      <c r="AF770" s="118" t="str">
        <f>IF(Tab.o1[[#This Row],[a1]]=1,ABS(Tab.o1[[#This Row],[DIF_Target.]]*Tab.o1[[#This Row],[PDF2]]*Tab.o1[[#This Row],[IN]]),"")</f>
        <v/>
      </c>
      <c r="AG770" s="129" t="str">
        <f>IF(Tab.o1[[#This Row],[a1]]=1,Tab.o1[[#This Row],[rW]]^2,"")</f>
        <v/>
      </c>
      <c r="AH770" s="130" t="str">
        <f>IF(Tab.o1[[#This Row],[a1]]=1,IF(AH$3=0,Tab.o1[[#This Row],[rW2]],0.01+0.94*Tab.o1[[#This Row],[rW2]]/SUM(Tab.o1[rW2])),"")</f>
        <v/>
      </c>
      <c r="AI770" s="128" t="str">
        <f>IF(Tab.o1[[#This Row],[a1]]=1,1/Tab.o1[[#This Row],[PDF]],"")</f>
        <v/>
      </c>
      <c r="AJ770" s="131" t="str">
        <f>IF(Tab.o1[[#This Row],[a1]]=1,[1]!T_AA[[#This Row],[IN'']]*[1]!T_AA[[#This Row],[Qde'']],"")</f>
        <v/>
      </c>
      <c r="AK770" s="132" t="str">
        <f>IF(Tab.o1[[#This Row],[a1]]=1,IF(AK$1=1,Tab.o1[[#This Row],[MED]]+Tab.o1[[#This Row],[MOD]]-Tab.o1[[#This Row],[MED]],""),"")</f>
        <v/>
      </c>
      <c r="AL770" s="133" t="str">
        <f>IF(Tab.o1[[#This Row],[a1]]=1,[1]!T.in.A[[#This Row],[oo16]],"")</f>
        <v/>
      </c>
      <c r="AM770" s="133" t="str">
        <f>IF(Tab.o1[[#This Row],[a1]]=1,IF(AM$3=1,[1]!T.in.A[[#This Row],[Σo16]],""),"")</f>
        <v/>
      </c>
      <c r="AN770" s="126" t="str">
        <f>IF(Tab.o1[[#This Row],[a1]]=1,[1]!T.in.A[[#This Row],[Σp5]],"")</f>
        <v/>
      </c>
      <c r="AO770" s="126" t="str">
        <f>IF(Tab.o1[[#This Row],[a1]]=1,IF(AO$3=1,[1]!T.in.A[[#This Row],[Σp5]],""),"")</f>
        <v/>
      </c>
      <c r="AP770" s="110" t="str">
        <f>IF(Tab.o1[[#This Row],[a1]]=1,IF(ISNUMBER(Tab.o1[[#This Row],[i.]]),NORMDIST(Tab.o1[[#This Row],[Za]],0,1,FALSE)*Tab.o1[[#This Row],[i.]],0),"")</f>
        <v/>
      </c>
      <c r="AQ770" s="125" t="str">
        <f>IF(Tab.o1[[#This Row],[a1]]=1,ABS(Tab.o1[[#This Row],[MOD]]-AVERAGE(Tab.o1[MOD])),"")</f>
        <v/>
      </c>
      <c r="AR770" s="134" t="str">
        <f>IF(Tab.o1[[#This Row],[a1]]=1,Tab.o1[[#This Row],[OBS]]/SUM(Tab.o1[OBS]),"")</f>
        <v/>
      </c>
      <c r="AS770" s="135" t="str">
        <f>IF(ISNUMBER(Tab.o1[[#This Row],[a1]]),ROW()-4,"")</f>
        <v/>
      </c>
      <c r="AT770" s="136" t="str">
        <f>Tab.o1[[#This Row],[MOD]]</f>
        <v/>
      </c>
      <c r="AU770" s="137" t="str">
        <f t="shared" si="45"/>
        <v/>
      </c>
      <c r="AV770" s="138" t="str">
        <f t="shared" si="46"/>
        <v/>
      </c>
      <c r="AW770" s="138" t="str">
        <f t="shared" si="47"/>
        <v/>
      </c>
      <c r="AX770" s="139" t="str">
        <f>[1]!T.in.A[[#This Row],[ID_T_manu]]</f>
        <v/>
      </c>
      <c r="AY770" s="140" t="str">
        <f>IF(ISNUMBER(Tab.o1[[#This Row],[a1]]),IF(AND(Tab.o1[[#This Row],[a1]]=1,Tab.o1[[#This Row],[b1]]&lt;=AY$4),#REF!,AY769),"")</f>
        <v/>
      </c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6"/>
      <c r="BO770" s="26"/>
      <c r="BP770" s="26"/>
      <c r="BQ770" s="26"/>
      <c r="BR770" s="26"/>
      <c r="BS770" s="26"/>
      <c r="BT770" s="26"/>
      <c r="BU770" s="26"/>
      <c r="BV770" s="26"/>
      <c r="BW770" s="26"/>
      <c r="BX770" s="26"/>
      <c r="BY770" s="26"/>
      <c r="BZ770" s="26"/>
      <c r="CA770" s="26"/>
    </row>
    <row r="771" spans="1:79" s="143" customFormat="1" ht="15.75" hidden="1">
      <c r="A771" s="109">
        <v>-2.9999999999999997E-6</v>
      </c>
      <c r="B771" s="110">
        <f t="shared" si="44"/>
        <v>771</v>
      </c>
      <c r="C771" s="111" t="str">
        <f>IF(C$1=[1]!T.in.A[[#This Row],[oo2]],1,"")</f>
        <v/>
      </c>
      <c r="D771" s="112" t="str">
        <f>IF(Tab.o1[[#This Row],[a1]]=1,IF(SUM(C771:C772)=0,0,IF(SUM(C770:C771)=1,1,IF(SUM(C770:C772)&gt;1,D770+1,0))),"")</f>
        <v/>
      </c>
      <c r="E771" s="113" t="str">
        <f>IF(Tab.o1[[#This Row],[a1]]=1,[1]!T.in.A[[#This Row],[oo1]],"")</f>
        <v/>
      </c>
      <c r="F771" s="113" t="str">
        <f>IF(Tab.o1[[#This Row],[a1]]=1,[1]!T.in.A[[#This Row],[pp1]],"")</f>
        <v/>
      </c>
      <c r="G771" s="114" t="str">
        <f>IF(Tab.o1[[#This Row],[a1]]=1,G$2+IF(G$1=1,0,Tab.o1[[#This Row],[.x1]])+[1]!T.in.A[[#This Row],[oo3]],"")</f>
        <v/>
      </c>
      <c r="H771" s="115" t="str">
        <f>IF(Tab.o1[[#This Row],[a1]]=1,IF(H$2=0,0,IF(G$1=1,0,Tab.o1[[#This Row],[.x1]])+[1]!T.in.A[[#This Row],[oo4]]),"")</f>
        <v/>
      </c>
      <c r="I771" s="116" t="str">
        <f>IF(Tab.o1[[#This Row],[a1]]=1,IF(J$2=0,Tab.o1[[#This Row],[MED]],Tab.o1[[#This Row],[MOD]]),"")</f>
        <v/>
      </c>
      <c r="J771" s="116" t="str">
        <f>IF(Tab.o1[[#This Row],[a1]]=1,((Tab.o1[[#This Row],[DIF_Target.]]-AVERAGE(Tab.o1[DIF_Target.]))/_xlfn.STDEV.P(Tab.o1[DIF_Target.])),"")</f>
        <v/>
      </c>
      <c r="K771" s="117" t="str">
        <f>IF(Tab.o1[[#This Row],[a1]]=1,IF(J$2=0,Tab.o1[[#This Row],[MOD]]-Tab.o1[[#This Row],[B]],IF(J$2=1,0,-Tab.o1[[#This Row],[MED]])+Tab.o1[[#This Row],[B]]),"")</f>
        <v/>
      </c>
      <c r="L771" s="117" t="str">
        <f ca="1">IF(Tab.o1[[#This Row],[DIF_Target]]=0,IF(L$2=0,Tab.o1[[#This Row],[DIF_Target]],AVERAGE(OFFSET(Tab.o1[[#This Row],[DIF_Target]],1,0,L$3,1)))/3,Tab.o1[[#This Row],[DIF_Target]])</f>
        <v/>
      </c>
      <c r="M771" s="118" t="str">
        <f>IF(Tab.o1[[#This Row],[a1]]=1,NORMSDIST(Tab.o1[[#This Row],[Za]]),"")</f>
        <v/>
      </c>
      <c r="N771" s="119" t="str">
        <f>IF(Tab.o1[[#This Row],[a1]]=1,((Tab.o1[[#This Row],[MedMod]]-AVERAGE(Tab.o1[MedMod]))/_xlfn.STDEV.P(Tab.o1[MedMod])*H$1205)+G$1205,"")</f>
        <v/>
      </c>
      <c r="O771" s="141" t="str">
        <f>IF(Tab.o1[[#This Row],[a1]]=1,Tab.o1[[#This Row],[Zb]]*_xlfn.STDEV.P(Tab.o1[MedMod])+AVERAGE(Tab.o1[MedMod]),"")</f>
        <v/>
      </c>
      <c r="P771" s="117" t="str">
        <f ca="1">IF(Tab.o1[[#This Row],[B]]=0,AVERAGE(OFFSET(Tab.o1[[#This Row],[B]],1,0,L$3,1)),Tab.o1[[#This Row],[B]])</f>
        <v/>
      </c>
      <c r="Q771" s="121" t="str">
        <f>IF(Tab.o1[[#This Row],[a1]]=1,NORMSDIST(Tab.o1[[#This Row],[Zb]]),"")</f>
        <v/>
      </c>
      <c r="R771" s="122" t="str">
        <f>IF(Tab.o1[[#This Row],[a1]]=1,((Tab.o1[[#This Row],[MedMod]]-AVERAGE(Tab.o1[MedMod]))/_xlfn.STDEV.P(Tab.o1[MedMod])*H$1203)+G$1203,"")</f>
        <v/>
      </c>
      <c r="S771" s="122" t="str">
        <f>IF(Tab.o1[[#This Row],[a1]]=1,((Tab.o1[[#This Row],[MedMod]]-AVERAGE(Tab.o1[MedMod]))/_xlfn.STDEV.P(Tab.o1[MedMod])*H$1204)+G$1204,"")</f>
        <v/>
      </c>
      <c r="T771" s="123" t="str">
        <f>IF(Tab.o1[[#This Row],[a1]]=1,Tab.o1[[#This Row],[Z-]]*_xlfn.STDEV.P(Tab.o1[B])+AVERAGE(Tab.o1[B]),"")</f>
        <v/>
      </c>
      <c r="U771" s="123" t="str">
        <f>IF(Tab.o1[[#This Row],[a1]]=1,Tab.o1[[#This Row],[z+]]*_xlfn.STDEV.P(Tab.o1[B])+AVERAGE(Tab.o1[B]),"")</f>
        <v/>
      </c>
      <c r="V771" s="124" t="str">
        <f>IF(Tab.o1[[#This Row],[a1]]=1,ABS((ABS(Tab.o1[[#This Row],[Red]]-Tab.o1[[#This Row],[Blue]]))),"")</f>
        <v/>
      </c>
      <c r="W771" s="125" t="str">
        <f>IF(Tab.o1[[#This Row],[a1]]=1,IF(W$3=0,1,Tab.o1[[#This Row],[Amp.]]*1/_xlfn.MINIFS(Tab.o1[Amp.],Tab.o1[Amp.],"&lt;&gt;0")),"")</f>
        <v/>
      </c>
      <c r="X771" s="126" t="str">
        <f>IF(Tab.o1[[#This Row],[a1]]=1,IF(ISNUMBER(Tab.o1[[#This Row],[i.]]),NORMDIST(Tab.o1[[#This Row],[Za]],0,1,FALSE)*Tab.o1[[#This Row],[i.]],AP$3),"")</f>
        <v/>
      </c>
      <c r="Y771" s="126" t="str">
        <f>IF(Tab.o1[[#This Row],[a1]]=1,0.01+0.94*Tab.o1[[#This Row],[PDF]]/MAX(Tab.o1[PDF]),"")</f>
        <v/>
      </c>
      <c r="Z771" s="126" t="str">
        <f>IF(Tab.o1[[#This Row],[a1]]=1,0.01+0.94*Tab.o1[[#This Row],[W1_PDF]]/MAX(Tab.o1[W1_PDF]),"")</f>
        <v/>
      </c>
      <c r="AA771" s="118" t="str">
        <f>IF(Tab.o1[[#This Row],[a1]]=1,ABS([1]!T.in.A[[#This Row],[oo6]]),"")</f>
        <v/>
      </c>
      <c r="AB771" s="127" t="str">
        <f>IF(Tab.o1[[#This Row],[a1]]=1,IF(AE$3=0,"",IF(AB$3=0,ABS([1]!T.in.A[[#This Row],[oo9]]),ABS(Tab.o1[[#This Row],[DIF_Target.]]*Tab.o1[[#This Row],[W1_PDF]]))),"")</f>
        <v/>
      </c>
      <c r="AC771" s="127" t="str">
        <f>IF(G$1=1,"",IF(Tab.o1[[#This Row],[a1]]=1,Tab.o1[[#This Row],[Wr]]^2,""))</f>
        <v/>
      </c>
      <c r="AD771" s="118" t="str">
        <f>IF(Tab.o1[[#This Row],[a1]]=1,IF(AE$3=0,"",Tab.o1[[#This Row],[Wr2]]/SUM(Tab.o1[Wr2])),"")</f>
        <v/>
      </c>
      <c r="AE771" s="128" t="str">
        <f>IF(Tab.o1[[#This Row],[a1]]=1,[1]!T.in.A[[#This Row],[oo10]],"")</f>
        <v/>
      </c>
      <c r="AF771" s="118" t="str">
        <f>IF(Tab.o1[[#This Row],[a1]]=1,ABS(Tab.o1[[#This Row],[DIF_Target.]]*Tab.o1[[#This Row],[PDF2]]*Tab.o1[[#This Row],[IN]]),"")</f>
        <v/>
      </c>
      <c r="AG771" s="129" t="str">
        <f>IF(Tab.o1[[#This Row],[a1]]=1,Tab.o1[[#This Row],[rW]]^2,"")</f>
        <v/>
      </c>
      <c r="AH771" s="130" t="str">
        <f>IF(Tab.o1[[#This Row],[a1]]=1,IF(AH$3=0,Tab.o1[[#This Row],[rW2]],0.01+0.94*Tab.o1[[#This Row],[rW2]]/SUM(Tab.o1[rW2])),"")</f>
        <v/>
      </c>
      <c r="AI771" s="128" t="str">
        <f>IF(Tab.o1[[#This Row],[a1]]=1,1/Tab.o1[[#This Row],[PDF]],"")</f>
        <v/>
      </c>
      <c r="AJ771" s="131" t="str">
        <f>IF(Tab.o1[[#This Row],[a1]]=1,[1]!T_AA[[#This Row],[IN'']]*[1]!T_AA[[#This Row],[Qde'']],"")</f>
        <v/>
      </c>
      <c r="AK771" s="132" t="str">
        <f>IF(Tab.o1[[#This Row],[a1]]=1,IF(AK$1=1,Tab.o1[[#This Row],[MED]]+Tab.o1[[#This Row],[MOD]]-Tab.o1[[#This Row],[MED]],""),"")</f>
        <v/>
      </c>
      <c r="AL771" s="133" t="str">
        <f>IF(Tab.o1[[#This Row],[a1]]=1,[1]!T.in.A[[#This Row],[oo16]],"")</f>
        <v/>
      </c>
      <c r="AM771" s="133" t="str">
        <f>IF(Tab.o1[[#This Row],[a1]]=1,IF(AM$3=1,[1]!T.in.A[[#This Row],[Σo16]],""),"")</f>
        <v/>
      </c>
      <c r="AN771" s="126" t="str">
        <f>IF(Tab.o1[[#This Row],[a1]]=1,[1]!T.in.A[[#This Row],[Σp5]],"")</f>
        <v/>
      </c>
      <c r="AO771" s="126" t="str">
        <f>IF(Tab.o1[[#This Row],[a1]]=1,IF(AO$3=1,[1]!T.in.A[[#This Row],[Σp5]],""),"")</f>
        <v/>
      </c>
      <c r="AP771" s="110" t="str">
        <f>IF(Tab.o1[[#This Row],[a1]]=1,IF(ISNUMBER(Tab.o1[[#This Row],[i.]]),NORMDIST(Tab.o1[[#This Row],[Za]],0,1,FALSE)*Tab.o1[[#This Row],[i.]],0),"")</f>
        <v/>
      </c>
      <c r="AQ771" s="125" t="str">
        <f>IF(Tab.o1[[#This Row],[a1]]=1,ABS(Tab.o1[[#This Row],[MOD]]-AVERAGE(Tab.o1[MOD])),"")</f>
        <v/>
      </c>
      <c r="AR771" s="134" t="str">
        <f>IF(Tab.o1[[#This Row],[a1]]=1,Tab.o1[[#This Row],[OBS]]/SUM(Tab.o1[OBS]),"")</f>
        <v/>
      </c>
      <c r="AS771" s="135" t="str">
        <f>IF(ISNUMBER(Tab.o1[[#This Row],[a1]]),ROW()-4,"")</f>
        <v/>
      </c>
      <c r="AT771" s="136" t="str">
        <f>Tab.o1[[#This Row],[MOD]]</f>
        <v/>
      </c>
      <c r="AU771" s="137" t="str">
        <f t="shared" si="45"/>
        <v/>
      </c>
      <c r="AV771" s="138" t="str">
        <f t="shared" si="46"/>
        <v/>
      </c>
      <c r="AW771" s="138" t="str">
        <f t="shared" si="47"/>
        <v/>
      </c>
      <c r="AX771" s="139" t="str">
        <f>[1]!T.in.A[[#This Row],[ID_T_manu]]</f>
        <v/>
      </c>
      <c r="AY771" s="140" t="str">
        <f>IF(ISNUMBER(Tab.o1[[#This Row],[a1]]),IF(AND(Tab.o1[[#This Row],[a1]]=1,Tab.o1[[#This Row],[b1]]&lt;=AY$4),#REF!,AY770),"")</f>
        <v/>
      </c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6"/>
      <c r="BO771" s="26"/>
      <c r="BP771" s="26"/>
      <c r="BQ771" s="26"/>
      <c r="BR771" s="26"/>
      <c r="BS771" s="26"/>
      <c r="BT771" s="26"/>
      <c r="BU771" s="26"/>
      <c r="BV771" s="26"/>
      <c r="BW771" s="26"/>
      <c r="BX771" s="26"/>
      <c r="BY771" s="26"/>
      <c r="BZ771" s="26"/>
      <c r="CA771" s="26"/>
    </row>
    <row r="772" spans="1:79" s="143" customFormat="1" ht="15.75" hidden="1">
      <c r="A772" s="109">
        <v>-1.0000000000000002E-6</v>
      </c>
      <c r="B772" s="110">
        <f t="shared" si="44"/>
        <v>772</v>
      </c>
      <c r="C772" s="111" t="str">
        <f>IF(C$1=[1]!T.in.A[[#This Row],[oo2]],1,"")</f>
        <v/>
      </c>
      <c r="D772" s="112" t="str">
        <f>IF(Tab.o1[[#This Row],[a1]]=1,IF(SUM(C772:C773)=0,0,IF(SUM(C771:C772)=1,1,IF(SUM(C771:C773)&gt;1,D771+1,0))),"")</f>
        <v/>
      </c>
      <c r="E772" s="113" t="str">
        <f>IF(Tab.o1[[#This Row],[a1]]=1,[1]!T.in.A[[#This Row],[oo1]],"")</f>
        <v/>
      </c>
      <c r="F772" s="113" t="str">
        <f>IF(Tab.o1[[#This Row],[a1]]=1,[1]!T.in.A[[#This Row],[pp1]],"")</f>
        <v/>
      </c>
      <c r="G772" s="114" t="str">
        <f>IF(Tab.o1[[#This Row],[a1]]=1,G$2+IF(G$1=1,0,Tab.o1[[#This Row],[.x1]])+[1]!T.in.A[[#This Row],[oo3]],"")</f>
        <v/>
      </c>
      <c r="H772" s="115" t="str">
        <f>IF(Tab.o1[[#This Row],[a1]]=1,IF(H$2=0,0,IF(G$1=1,0,Tab.o1[[#This Row],[.x1]])+[1]!T.in.A[[#This Row],[oo4]]),"")</f>
        <v/>
      </c>
      <c r="I772" s="116" t="str">
        <f>IF(Tab.o1[[#This Row],[a1]]=1,IF(J$2=0,Tab.o1[[#This Row],[MED]],Tab.o1[[#This Row],[MOD]]),"")</f>
        <v/>
      </c>
      <c r="J772" s="116" t="str">
        <f>IF(Tab.o1[[#This Row],[a1]]=1,((Tab.o1[[#This Row],[DIF_Target.]]-AVERAGE(Tab.o1[DIF_Target.]))/_xlfn.STDEV.P(Tab.o1[DIF_Target.])),"")</f>
        <v/>
      </c>
      <c r="K772" s="117" t="str">
        <f>IF(Tab.o1[[#This Row],[a1]]=1,IF(J$2=0,Tab.o1[[#This Row],[MOD]]-Tab.o1[[#This Row],[B]],IF(J$2=1,0,-Tab.o1[[#This Row],[MED]])+Tab.o1[[#This Row],[B]]),"")</f>
        <v/>
      </c>
      <c r="L772" s="117" t="str">
        <f ca="1">IF(Tab.o1[[#This Row],[DIF_Target]]=0,IF(L$2=0,Tab.o1[[#This Row],[DIF_Target]],AVERAGE(OFFSET(Tab.o1[[#This Row],[DIF_Target]],1,0,L$3,1)))/3,Tab.o1[[#This Row],[DIF_Target]])</f>
        <v/>
      </c>
      <c r="M772" s="118" t="str">
        <f>IF(Tab.o1[[#This Row],[a1]]=1,NORMSDIST(Tab.o1[[#This Row],[Za]]),"")</f>
        <v/>
      </c>
      <c r="N772" s="119" t="str">
        <f>IF(Tab.o1[[#This Row],[a1]]=1,((Tab.o1[[#This Row],[MedMod]]-AVERAGE(Tab.o1[MedMod]))/_xlfn.STDEV.P(Tab.o1[MedMod])*H$1205)+G$1205,"")</f>
        <v/>
      </c>
      <c r="O772" s="141" t="str">
        <f>IF(Tab.o1[[#This Row],[a1]]=1,Tab.o1[[#This Row],[Zb]]*_xlfn.STDEV.P(Tab.o1[MedMod])+AVERAGE(Tab.o1[MedMod]),"")</f>
        <v/>
      </c>
      <c r="P772" s="117" t="str">
        <f ca="1">IF(Tab.o1[[#This Row],[B]]=0,AVERAGE(OFFSET(Tab.o1[[#This Row],[B]],1,0,L$3,1)),Tab.o1[[#This Row],[B]])</f>
        <v/>
      </c>
      <c r="Q772" s="121" t="str">
        <f>IF(Tab.o1[[#This Row],[a1]]=1,NORMSDIST(Tab.o1[[#This Row],[Zb]]),"")</f>
        <v/>
      </c>
      <c r="R772" s="122" t="str">
        <f>IF(Tab.o1[[#This Row],[a1]]=1,((Tab.o1[[#This Row],[MedMod]]-AVERAGE(Tab.o1[MedMod]))/_xlfn.STDEV.P(Tab.o1[MedMod])*H$1203)+G$1203,"")</f>
        <v/>
      </c>
      <c r="S772" s="122" t="str">
        <f>IF(Tab.o1[[#This Row],[a1]]=1,((Tab.o1[[#This Row],[MedMod]]-AVERAGE(Tab.o1[MedMod]))/_xlfn.STDEV.P(Tab.o1[MedMod])*H$1204)+G$1204,"")</f>
        <v/>
      </c>
      <c r="T772" s="123" t="str">
        <f>IF(Tab.o1[[#This Row],[a1]]=1,Tab.o1[[#This Row],[Z-]]*_xlfn.STDEV.P(Tab.o1[B])+AVERAGE(Tab.o1[B]),"")</f>
        <v/>
      </c>
      <c r="U772" s="123" t="str">
        <f>IF(Tab.o1[[#This Row],[a1]]=1,Tab.o1[[#This Row],[z+]]*_xlfn.STDEV.P(Tab.o1[B])+AVERAGE(Tab.o1[B]),"")</f>
        <v/>
      </c>
      <c r="V772" s="124" t="str">
        <f>IF(Tab.o1[[#This Row],[a1]]=1,ABS((ABS(Tab.o1[[#This Row],[Red]]-Tab.o1[[#This Row],[Blue]]))),"")</f>
        <v/>
      </c>
      <c r="W772" s="125" t="str">
        <f>IF(Tab.o1[[#This Row],[a1]]=1,IF(W$3=0,1,Tab.o1[[#This Row],[Amp.]]*1/_xlfn.MINIFS(Tab.o1[Amp.],Tab.o1[Amp.],"&lt;&gt;0")),"")</f>
        <v/>
      </c>
      <c r="X772" s="126" t="str">
        <f>IF(Tab.o1[[#This Row],[a1]]=1,IF(ISNUMBER(Tab.o1[[#This Row],[i.]]),NORMDIST(Tab.o1[[#This Row],[Za]],0,1,FALSE)*Tab.o1[[#This Row],[i.]],AP$3),"")</f>
        <v/>
      </c>
      <c r="Y772" s="126" t="str">
        <f>IF(Tab.o1[[#This Row],[a1]]=1,0.01+0.94*Tab.o1[[#This Row],[PDF]]/MAX(Tab.o1[PDF]),"")</f>
        <v/>
      </c>
      <c r="Z772" s="126" t="str">
        <f>IF(Tab.o1[[#This Row],[a1]]=1,0.01+0.94*Tab.o1[[#This Row],[W1_PDF]]/MAX(Tab.o1[W1_PDF]),"")</f>
        <v/>
      </c>
      <c r="AA772" s="118" t="str">
        <f>IF(Tab.o1[[#This Row],[a1]]=1,ABS([1]!T.in.A[[#This Row],[oo6]]),"")</f>
        <v/>
      </c>
      <c r="AB772" s="127" t="str">
        <f>IF(Tab.o1[[#This Row],[a1]]=1,IF(AE$3=0,"",IF(AB$3=0,ABS([1]!T.in.A[[#This Row],[oo9]]),ABS(Tab.o1[[#This Row],[DIF_Target.]]*Tab.o1[[#This Row],[W1_PDF]]))),"")</f>
        <v/>
      </c>
      <c r="AC772" s="127" t="str">
        <f>IF(G$1=1,"",IF(Tab.o1[[#This Row],[a1]]=1,Tab.o1[[#This Row],[Wr]]^2,""))</f>
        <v/>
      </c>
      <c r="AD772" s="118" t="str">
        <f>IF(Tab.o1[[#This Row],[a1]]=1,IF(AE$3=0,"",Tab.o1[[#This Row],[Wr2]]/SUM(Tab.o1[Wr2])),"")</f>
        <v/>
      </c>
      <c r="AE772" s="128" t="str">
        <f>IF(Tab.o1[[#This Row],[a1]]=1,[1]!T.in.A[[#This Row],[oo10]],"")</f>
        <v/>
      </c>
      <c r="AF772" s="118" t="str">
        <f>IF(Tab.o1[[#This Row],[a1]]=1,ABS(Tab.o1[[#This Row],[DIF_Target.]]*Tab.o1[[#This Row],[PDF2]]*Tab.o1[[#This Row],[IN]]),"")</f>
        <v/>
      </c>
      <c r="AG772" s="129" t="str">
        <f>IF(Tab.o1[[#This Row],[a1]]=1,Tab.o1[[#This Row],[rW]]^2,"")</f>
        <v/>
      </c>
      <c r="AH772" s="130" t="str">
        <f>IF(Tab.o1[[#This Row],[a1]]=1,IF(AH$3=0,Tab.o1[[#This Row],[rW2]],0.01+0.94*Tab.o1[[#This Row],[rW2]]/SUM(Tab.o1[rW2])),"")</f>
        <v/>
      </c>
      <c r="AI772" s="128" t="str">
        <f>IF(Tab.o1[[#This Row],[a1]]=1,1/Tab.o1[[#This Row],[PDF]],"")</f>
        <v/>
      </c>
      <c r="AJ772" s="131" t="str">
        <f>IF(Tab.o1[[#This Row],[a1]]=1,[1]!T_AA[[#This Row],[IN'']]*[1]!T_AA[[#This Row],[Qde'']],"")</f>
        <v/>
      </c>
      <c r="AK772" s="132" t="str">
        <f>IF(Tab.o1[[#This Row],[a1]]=1,IF(AK$1=1,Tab.o1[[#This Row],[MED]]+Tab.o1[[#This Row],[MOD]]-Tab.o1[[#This Row],[MED]],""),"")</f>
        <v/>
      </c>
      <c r="AL772" s="133" t="str">
        <f>IF(Tab.o1[[#This Row],[a1]]=1,[1]!T.in.A[[#This Row],[oo16]],"")</f>
        <v/>
      </c>
      <c r="AM772" s="133" t="str">
        <f>IF(Tab.o1[[#This Row],[a1]]=1,IF(AM$3=1,[1]!T.in.A[[#This Row],[Σo16]],""),"")</f>
        <v/>
      </c>
      <c r="AN772" s="126" t="str">
        <f>IF(Tab.o1[[#This Row],[a1]]=1,[1]!T.in.A[[#This Row],[Σp5]],"")</f>
        <v/>
      </c>
      <c r="AO772" s="126" t="str">
        <f>IF(Tab.o1[[#This Row],[a1]]=1,IF(AO$3=1,[1]!T.in.A[[#This Row],[Σp5]],""),"")</f>
        <v/>
      </c>
      <c r="AP772" s="110" t="str">
        <f>IF(Tab.o1[[#This Row],[a1]]=1,IF(ISNUMBER(Tab.o1[[#This Row],[i.]]),NORMDIST(Tab.o1[[#This Row],[Za]],0,1,FALSE)*Tab.o1[[#This Row],[i.]],0),"")</f>
        <v/>
      </c>
      <c r="AQ772" s="125" t="str">
        <f>IF(Tab.o1[[#This Row],[a1]]=1,ABS(Tab.o1[[#This Row],[MOD]]-AVERAGE(Tab.o1[MOD])),"")</f>
        <v/>
      </c>
      <c r="AR772" s="134" t="str">
        <f>IF(Tab.o1[[#This Row],[a1]]=1,Tab.o1[[#This Row],[OBS]]/SUM(Tab.o1[OBS]),"")</f>
        <v/>
      </c>
      <c r="AS772" s="135" t="str">
        <f>IF(ISNUMBER(Tab.o1[[#This Row],[a1]]),ROW()-4,"")</f>
        <v/>
      </c>
      <c r="AT772" s="136" t="str">
        <f>Tab.o1[[#This Row],[MOD]]</f>
        <v/>
      </c>
      <c r="AU772" s="137" t="str">
        <f t="shared" si="45"/>
        <v/>
      </c>
      <c r="AV772" s="138" t="str">
        <f t="shared" si="46"/>
        <v/>
      </c>
      <c r="AW772" s="138" t="str">
        <f t="shared" si="47"/>
        <v/>
      </c>
      <c r="AX772" s="139" t="str">
        <f>[1]!T.in.A[[#This Row],[ID_T_manu]]</f>
        <v/>
      </c>
      <c r="AY772" s="140" t="str">
        <f>IF(ISNUMBER(Tab.o1[[#This Row],[a1]]),IF(AND(Tab.o1[[#This Row],[a1]]=1,Tab.o1[[#This Row],[b1]]&lt;=AY$4),#REF!,AY771),"")</f>
        <v/>
      </c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6"/>
      <c r="BO772" s="26"/>
      <c r="BP772" s="26"/>
      <c r="BQ772" s="26"/>
      <c r="BR772" s="26"/>
      <c r="BS772" s="26"/>
      <c r="BT772" s="26"/>
      <c r="BU772" s="26"/>
      <c r="BV772" s="26"/>
      <c r="BW772" s="26"/>
      <c r="BX772" s="26"/>
      <c r="BY772" s="26"/>
      <c r="BZ772" s="26"/>
      <c r="CA772" s="26"/>
    </row>
    <row r="773" spans="1:79" s="143" customFormat="1" ht="15.75" hidden="1">
      <c r="A773" s="109">
        <v>-9.0000000000000002E-6</v>
      </c>
      <c r="B773" s="110">
        <f t="shared" si="44"/>
        <v>773</v>
      </c>
      <c r="C773" s="111" t="str">
        <f>IF(C$1=[1]!T.in.A[[#This Row],[oo2]],1,"")</f>
        <v/>
      </c>
      <c r="D773" s="112" t="str">
        <f>IF(Tab.o1[[#This Row],[a1]]=1,IF(SUM(C773:C774)=0,0,IF(SUM(C772:C773)=1,1,IF(SUM(C772:C774)&gt;1,D772+1,0))),"")</f>
        <v/>
      </c>
      <c r="E773" s="113" t="str">
        <f>IF(Tab.o1[[#This Row],[a1]]=1,[1]!T.in.A[[#This Row],[oo1]],"")</f>
        <v/>
      </c>
      <c r="F773" s="113" t="str">
        <f>IF(Tab.o1[[#This Row],[a1]]=1,[1]!T.in.A[[#This Row],[pp1]],"")</f>
        <v/>
      </c>
      <c r="G773" s="114" t="str">
        <f>IF(Tab.o1[[#This Row],[a1]]=1,G$2+IF(G$1=1,0,Tab.o1[[#This Row],[.x1]])+[1]!T.in.A[[#This Row],[oo3]],"")</f>
        <v/>
      </c>
      <c r="H773" s="115" t="str">
        <f>IF(Tab.o1[[#This Row],[a1]]=1,IF(H$2=0,0,IF(G$1=1,0,Tab.o1[[#This Row],[.x1]])+[1]!T.in.A[[#This Row],[oo4]]),"")</f>
        <v/>
      </c>
      <c r="I773" s="116" t="str">
        <f>IF(Tab.o1[[#This Row],[a1]]=1,IF(J$2=0,Tab.o1[[#This Row],[MED]],Tab.o1[[#This Row],[MOD]]),"")</f>
        <v/>
      </c>
      <c r="J773" s="116" t="str">
        <f>IF(Tab.o1[[#This Row],[a1]]=1,((Tab.o1[[#This Row],[DIF_Target.]]-AVERAGE(Tab.o1[DIF_Target.]))/_xlfn.STDEV.P(Tab.o1[DIF_Target.])),"")</f>
        <v/>
      </c>
      <c r="K773" s="117" t="str">
        <f>IF(Tab.o1[[#This Row],[a1]]=1,IF(J$2=0,Tab.o1[[#This Row],[MOD]]-Tab.o1[[#This Row],[B]],IF(J$2=1,0,-Tab.o1[[#This Row],[MED]])+Tab.o1[[#This Row],[B]]),"")</f>
        <v/>
      </c>
      <c r="L773" s="117" t="str">
        <f ca="1">IF(Tab.o1[[#This Row],[DIF_Target]]=0,IF(L$2=0,Tab.o1[[#This Row],[DIF_Target]],AVERAGE(OFFSET(Tab.o1[[#This Row],[DIF_Target]],1,0,L$3,1)))/3,Tab.o1[[#This Row],[DIF_Target]])</f>
        <v/>
      </c>
      <c r="M773" s="118" t="str">
        <f>IF(Tab.o1[[#This Row],[a1]]=1,NORMSDIST(Tab.o1[[#This Row],[Za]]),"")</f>
        <v/>
      </c>
      <c r="N773" s="119" t="str">
        <f>IF(Tab.o1[[#This Row],[a1]]=1,((Tab.o1[[#This Row],[MedMod]]-AVERAGE(Tab.o1[MedMod]))/_xlfn.STDEV.P(Tab.o1[MedMod])*H$1205)+G$1205,"")</f>
        <v/>
      </c>
      <c r="O773" s="141" t="str">
        <f>IF(Tab.o1[[#This Row],[a1]]=1,Tab.o1[[#This Row],[Zb]]*_xlfn.STDEV.P(Tab.o1[MedMod])+AVERAGE(Tab.o1[MedMod]),"")</f>
        <v/>
      </c>
      <c r="P773" s="117" t="str">
        <f ca="1">IF(Tab.o1[[#This Row],[B]]=0,AVERAGE(OFFSET(Tab.o1[[#This Row],[B]],1,0,L$3,1)),Tab.o1[[#This Row],[B]])</f>
        <v/>
      </c>
      <c r="Q773" s="121" t="str">
        <f>IF(Tab.o1[[#This Row],[a1]]=1,NORMSDIST(Tab.o1[[#This Row],[Zb]]),"")</f>
        <v/>
      </c>
      <c r="R773" s="122" t="str">
        <f>IF(Tab.o1[[#This Row],[a1]]=1,((Tab.o1[[#This Row],[MedMod]]-AVERAGE(Tab.o1[MedMod]))/_xlfn.STDEV.P(Tab.o1[MedMod])*H$1203)+G$1203,"")</f>
        <v/>
      </c>
      <c r="S773" s="122" t="str">
        <f>IF(Tab.o1[[#This Row],[a1]]=1,((Tab.o1[[#This Row],[MedMod]]-AVERAGE(Tab.o1[MedMod]))/_xlfn.STDEV.P(Tab.o1[MedMod])*H$1204)+G$1204,"")</f>
        <v/>
      </c>
      <c r="T773" s="123" t="str">
        <f>IF(Tab.o1[[#This Row],[a1]]=1,Tab.o1[[#This Row],[Z-]]*_xlfn.STDEV.P(Tab.o1[B])+AVERAGE(Tab.o1[B]),"")</f>
        <v/>
      </c>
      <c r="U773" s="123" t="str">
        <f>IF(Tab.o1[[#This Row],[a1]]=1,Tab.o1[[#This Row],[z+]]*_xlfn.STDEV.P(Tab.o1[B])+AVERAGE(Tab.o1[B]),"")</f>
        <v/>
      </c>
      <c r="V773" s="124" t="str">
        <f>IF(Tab.o1[[#This Row],[a1]]=1,ABS((ABS(Tab.o1[[#This Row],[Red]]-Tab.o1[[#This Row],[Blue]]))),"")</f>
        <v/>
      </c>
      <c r="W773" s="125" t="str">
        <f>IF(Tab.o1[[#This Row],[a1]]=1,IF(W$3=0,1,Tab.o1[[#This Row],[Amp.]]*1/_xlfn.MINIFS(Tab.o1[Amp.],Tab.o1[Amp.],"&lt;&gt;0")),"")</f>
        <v/>
      </c>
      <c r="X773" s="126" t="str">
        <f>IF(Tab.o1[[#This Row],[a1]]=1,IF(ISNUMBER(Tab.o1[[#This Row],[i.]]),NORMDIST(Tab.o1[[#This Row],[Za]],0,1,FALSE)*Tab.o1[[#This Row],[i.]],AP$3),"")</f>
        <v/>
      </c>
      <c r="Y773" s="126" t="str">
        <f>IF(Tab.o1[[#This Row],[a1]]=1,0.01+0.94*Tab.o1[[#This Row],[PDF]]/MAX(Tab.o1[PDF]),"")</f>
        <v/>
      </c>
      <c r="Z773" s="126" t="str">
        <f>IF(Tab.o1[[#This Row],[a1]]=1,0.01+0.94*Tab.o1[[#This Row],[W1_PDF]]/MAX(Tab.o1[W1_PDF]),"")</f>
        <v/>
      </c>
      <c r="AA773" s="118" t="str">
        <f>IF(Tab.o1[[#This Row],[a1]]=1,ABS([1]!T.in.A[[#This Row],[oo6]]),"")</f>
        <v/>
      </c>
      <c r="AB773" s="127" t="str">
        <f>IF(Tab.o1[[#This Row],[a1]]=1,IF(AE$3=0,"",IF(AB$3=0,ABS([1]!T.in.A[[#This Row],[oo9]]),ABS(Tab.o1[[#This Row],[DIF_Target.]]*Tab.o1[[#This Row],[W1_PDF]]))),"")</f>
        <v/>
      </c>
      <c r="AC773" s="127" t="str">
        <f>IF(G$1=1,"",IF(Tab.o1[[#This Row],[a1]]=1,Tab.o1[[#This Row],[Wr]]^2,""))</f>
        <v/>
      </c>
      <c r="AD773" s="118" t="str">
        <f>IF(Tab.o1[[#This Row],[a1]]=1,IF(AE$3=0,"",Tab.o1[[#This Row],[Wr2]]/SUM(Tab.o1[Wr2])),"")</f>
        <v/>
      </c>
      <c r="AE773" s="128" t="str">
        <f>IF(Tab.o1[[#This Row],[a1]]=1,[1]!T.in.A[[#This Row],[oo10]],"")</f>
        <v/>
      </c>
      <c r="AF773" s="118" t="str">
        <f>IF(Tab.o1[[#This Row],[a1]]=1,ABS(Tab.o1[[#This Row],[DIF_Target.]]*Tab.o1[[#This Row],[PDF2]]*Tab.o1[[#This Row],[IN]]),"")</f>
        <v/>
      </c>
      <c r="AG773" s="129" t="str">
        <f>IF(Tab.o1[[#This Row],[a1]]=1,Tab.o1[[#This Row],[rW]]^2,"")</f>
        <v/>
      </c>
      <c r="AH773" s="130" t="str">
        <f>IF(Tab.o1[[#This Row],[a1]]=1,IF(AH$3=0,Tab.o1[[#This Row],[rW2]],0.01+0.94*Tab.o1[[#This Row],[rW2]]/SUM(Tab.o1[rW2])),"")</f>
        <v/>
      </c>
      <c r="AI773" s="128" t="str">
        <f>IF(Tab.o1[[#This Row],[a1]]=1,1/Tab.o1[[#This Row],[PDF]],"")</f>
        <v/>
      </c>
      <c r="AJ773" s="131" t="str">
        <f>IF(Tab.o1[[#This Row],[a1]]=1,[1]!T_AA[[#This Row],[IN'']]*[1]!T_AA[[#This Row],[Qde'']],"")</f>
        <v/>
      </c>
      <c r="AK773" s="132" t="str">
        <f>IF(Tab.o1[[#This Row],[a1]]=1,IF(AK$1=1,Tab.o1[[#This Row],[MED]]+Tab.o1[[#This Row],[MOD]]-Tab.o1[[#This Row],[MED]],""),"")</f>
        <v/>
      </c>
      <c r="AL773" s="133" t="str">
        <f>IF(Tab.o1[[#This Row],[a1]]=1,[1]!T.in.A[[#This Row],[oo16]],"")</f>
        <v/>
      </c>
      <c r="AM773" s="133" t="str">
        <f>IF(Tab.o1[[#This Row],[a1]]=1,IF(AM$3=1,[1]!T.in.A[[#This Row],[Σo16]],""),"")</f>
        <v/>
      </c>
      <c r="AN773" s="126" t="str">
        <f>IF(Tab.o1[[#This Row],[a1]]=1,[1]!T.in.A[[#This Row],[Σp5]],"")</f>
        <v/>
      </c>
      <c r="AO773" s="126" t="str">
        <f>IF(Tab.o1[[#This Row],[a1]]=1,IF(AO$3=1,[1]!T.in.A[[#This Row],[Σp5]],""),"")</f>
        <v/>
      </c>
      <c r="AP773" s="110" t="str">
        <f>IF(Tab.o1[[#This Row],[a1]]=1,IF(ISNUMBER(Tab.o1[[#This Row],[i.]]),NORMDIST(Tab.o1[[#This Row],[Za]],0,1,FALSE)*Tab.o1[[#This Row],[i.]],0),"")</f>
        <v/>
      </c>
      <c r="AQ773" s="125" t="str">
        <f>IF(Tab.o1[[#This Row],[a1]]=1,ABS(Tab.o1[[#This Row],[MOD]]-AVERAGE(Tab.o1[MOD])),"")</f>
        <v/>
      </c>
      <c r="AR773" s="134" t="str">
        <f>IF(Tab.o1[[#This Row],[a1]]=1,Tab.o1[[#This Row],[OBS]]/SUM(Tab.o1[OBS]),"")</f>
        <v/>
      </c>
      <c r="AS773" s="135" t="str">
        <f>IF(ISNUMBER(Tab.o1[[#This Row],[a1]]),ROW()-4,"")</f>
        <v/>
      </c>
      <c r="AT773" s="136" t="str">
        <f>Tab.o1[[#This Row],[MOD]]</f>
        <v/>
      </c>
      <c r="AU773" s="137" t="str">
        <f t="shared" si="45"/>
        <v/>
      </c>
      <c r="AV773" s="138" t="str">
        <f t="shared" si="46"/>
        <v/>
      </c>
      <c r="AW773" s="138" t="str">
        <f t="shared" si="47"/>
        <v/>
      </c>
      <c r="AX773" s="139" t="str">
        <f>[1]!T.in.A[[#This Row],[ID_T_manu]]</f>
        <v/>
      </c>
      <c r="AY773" s="140" t="str">
        <f>IF(ISNUMBER(Tab.o1[[#This Row],[a1]]),IF(AND(Tab.o1[[#This Row],[a1]]=1,Tab.o1[[#This Row],[b1]]&lt;=AY$4),#REF!,AY772),"")</f>
        <v/>
      </c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6"/>
      <c r="BO773" s="26"/>
      <c r="BP773" s="26"/>
      <c r="BQ773" s="26"/>
      <c r="BR773" s="26"/>
      <c r="BS773" s="26"/>
      <c r="BT773" s="26"/>
      <c r="BU773" s="26"/>
      <c r="BV773" s="26"/>
      <c r="BW773" s="26"/>
      <c r="BX773" s="26"/>
      <c r="BY773" s="26"/>
      <c r="BZ773" s="26"/>
      <c r="CA773" s="26"/>
    </row>
    <row r="774" spans="1:79" s="143" customFormat="1" ht="15.75" hidden="1">
      <c r="A774" s="109">
        <v>-1.0000000000000001E-5</v>
      </c>
      <c r="B774" s="110">
        <f t="shared" ref="B774:B837" si="48">B773+1</f>
        <v>774</v>
      </c>
      <c r="C774" s="111" t="str">
        <f>IF(C$1=[1]!T.in.A[[#This Row],[oo2]],1,"")</f>
        <v/>
      </c>
      <c r="D774" s="112" t="str">
        <f>IF(Tab.o1[[#This Row],[a1]]=1,IF(SUM(C774:C775)=0,0,IF(SUM(C773:C774)=1,1,IF(SUM(C773:C775)&gt;1,D773+1,0))),"")</f>
        <v/>
      </c>
      <c r="E774" s="113" t="str">
        <f>IF(Tab.o1[[#This Row],[a1]]=1,[1]!T.in.A[[#This Row],[oo1]],"")</f>
        <v/>
      </c>
      <c r="F774" s="113" t="str">
        <f>IF(Tab.o1[[#This Row],[a1]]=1,[1]!T.in.A[[#This Row],[pp1]],"")</f>
        <v/>
      </c>
      <c r="G774" s="114" t="str">
        <f>IF(Tab.o1[[#This Row],[a1]]=1,G$2+IF(G$1=1,0,Tab.o1[[#This Row],[.x1]])+[1]!T.in.A[[#This Row],[oo3]],"")</f>
        <v/>
      </c>
      <c r="H774" s="115" t="str">
        <f>IF(Tab.o1[[#This Row],[a1]]=1,IF(H$2=0,0,IF(G$1=1,0,Tab.o1[[#This Row],[.x1]])+[1]!T.in.A[[#This Row],[oo4]]),"")</f>
        <v/>
      </c>
      <c r="I774" s="116" t="str">
        <f>IF(Tab.o1[[#This Row],[a1]]=1,IF(J$2=0,Tab.o1[[#This Row],[MED]],Tab.o1[[#This Row],[MOD]]),"")</f>
        <v/>
      </c>
      <c r="J774" s="116" t="str">
        <f>IF(Tab.o1[[#This Row],[a1]]=1,((Tab.o1[[#This Row],[DIF_Target.]]-AVERAGE(Tab.o1[DIF_Target.]))/_xlfn.STDEV.P(Tab.o1[DIF_Target.])),"")</f>
        <v/>
      </c>
      <c r="K774" s="117" t="str">
        <f>IF(Tab.o1[[#This Row],[a1]]=1,IF(J$2=0,Tab.o1[[#This Row],[MOD]]-Tab.o1[[#This Row],[B]],IF(J$2=1,0,-Tab.o1[[#This Row],[MED]])+Tab.o1[[#This Row],[B]]),"")</f>
        <v/>
      </c>
      <c r="L774" s="117" t="str">
        <f ca="1">IF(Tab.o1[[#This Row],[DIF_Target]]=0,IF(L$2=0,Tab.o1[[#This Row],[DIF_Target]],AVERAGE(OFFSET(Tab.o1[[#This Row],[DIF_Target]],1,0,L$3,1)))/3,Tab.o1[[#This Row],[DIF_Target]])</f>
        <v/>
      </c>
      <c r="M774" s="118" t="str">
        <f>IF(Tab.o1[[#This Row],[a1]]=1,NORMSDIST(Tab.o1[[#This Row],[Za]]),"")</f>
        <v/>
      </c>
      <c r="N774" s="119" t="str">
        <f>IF(Tab.o1[[#This Row],[a1]]=1,((Tab.o1[[#This Row],[MedMod]]-AVERAGE(Tab.o1[MedMod]))/_xlfn.STDEV.P(Tab.o1[MedMod])*H$1205)+G$1205,"")</f>
        <v/>
      </c>
      <c r="O774" s="141" t="str">
        <f>IF(Tab.o1[[#This Row],[a1]]=1,Tab.o1[[#This Row],[Zb]]*_xlfn.STDEV.P(Tab.o1[MedMod])+AVERAGE(Tab.o1[MedMod]),"")</f>
        <v/>
      </c>
      <c r="P774" s="117" t="str">
        <f ca="1">IF(Tab.o1[[#This Row],[B]]=0,AVERAGE(OFFSET(Tab.o1[[#This Row],[B]],1,0,L$3,1)),Tab.o1[[#This Row],[B]])</f>
        <v/>
      </c>
      <c r="Q774" s="121" t="str">
        <f>IF(Tab.o1[[#This Row],[a1]]=1,NORMSDIST(Tab.o1[[#This Row],[Zb]]),"")</f>
        <v/>
      </c>
      <c r="R774" s="122" t="str">
        <f>IF(Tab.o1[[#This Row],[a1]]=1,((Tab.o1[[#This Row],[MedMod]]-AVERAGE(Tab.o1[MedMod]))/_xlfn.STDEV.P(Tab.o1[MedMod])*H$1203)+G$1203,"")</f>
        <v/>
      </c>
      <c r="S774" s="122" t="str">
        <f>IF(Tab.o1[[#This Row],[a1]]=1,((Tab.o1[[#This Row],[MedMod]]-AVERAGE(Tab.o1[MedMod]))/_xlfn.STDEV.P(Tab.o1[MedMod])*H$1204)+G$1204,"")</f>
        <v/>
      </c>
      <c r="T774" s="123" t="str">
        <f>IF(Tab.o1[[#This Row],[a1]]=1,Tab.o1[[#This Row],[Z-]]*_xlfn.STDEV.P(Tab.o1[B])+AVERAGE(Tab.o1[B]),"")</f>
        <v/>
      </c>
      <c r="U774" s="123" t="str">
        <f>IF(Tab.o1[[#This Row],[a1]]=1,Tab.o1[[#This Row],[z+]]*_xlfn.STDEV.P(Tab.o1[B])+AVERAGE(Tab.o1[B]),"")</f>
        <v/>
      </c>
      <c r="V774" s="124" t="str">
        <f>IF(Tab.o1[[#This Row],[a1]]=1,ABS((ABS(Tab.o1[[#This Row],[Red]]-Tab.o1[[#This Row],[Blue]]))),"")</f>
        <v/>
      </c>
      <c r="W774" s="125" t="str">
        <f>IF(Tab.o1[[#This Row],[a1]]=1,IF(W$3=0,1,Tab.o1[[#This Row],[Amp.]]*1/_xlfn.MINIFS(Tab.o1[Amp.],Tab.o1[Amp.],"&lt;&gt;0")),"")</f>
        <v/>
      </c>
      <c r="X774" s="126" t="str">
        <f>IF(Tab.o1[[#This Row],[a1]]=1,IF(ISNUMBER(Tab.o1[[#This Row],[i.]]),NORMDIST(Tab.o1[[#This Row],[Za]],0,1,FALSE)*Tab.o1[[#This Row],[i.]],AP$3),"")</f>
        <v/>
      </c>
      <c r="Y774" s="126" t="str">
        <f>IF(Tab.o1[[#This Row],[a1]]=1,0.01+0.94*Tab.o1[[#This Row],[PDF]]/MAX(Tab.o1[PDF]),"")</f>
        <v/>
      </c>
      <c r="Z774" s="126" t="str">
        <f>IF(Tab.o1[[#This Row],[a1]]=1,0.01+0.94*Tab.o1[[#This Row],[W1_PDF]]/MAX(Tab.o1[W1_PDF]),"")</f>
        <v/>
      </c>
      <c r="AA774" s="118" t="str">
        <f>IF(Tab.o1[[#This Row],[a1]]=1,ABS([1]!T.in.A[[#This Row],[oo6]]),"")</f>
        <v/>
      </c>
      <c r="AB774" s="127" t="str">
        <f>IF(Tab.o1[[#This Row],[a1]]=1,IF(AE$3=0,"",IF(AB$3=0,ABS([1]!T.in.A[[#This Row],[oo9]]),ABS(Tab.o1[[#This Row],[DIF_Target.]]*Tab.o1[[#This Row],[W1_PDF]]))),"")</f>
        <v/>
      </c>
      <c r="AC774" s="127" t="str">
        <f>IF(G$1=1,"",IF(Tab.o1[[#This Row],[a1]]=1,Tab.o1[[#This Row],[Wr]]^2,""))</f>
        <v/>
      </c>
      <c r="AD774" s="118" t="str">
        <f>IF(Tab.o1[[#This Row],[a1]]=1,IF(AE$3=0,"",Tab.o1[[#This Row],[Wr2]]/SUM(Tab.o1[Wr2])),"")</f>
        <v/>
      </c>
      <c r="AE774" s="128" t="str">
        <f>IF(Tab.o1[[#This Row],[a1]]=1,[1]!T.in.A[[#This Row],[oo10]],"")</f>
        <v/>
      </c>
      <c r="AF774" s="118" t="str">
        <f>IF(Tab.o1[[#This Row],[a1]]=1,ABS(Tab.o1[[#This Row],[DIF_Target.]]*Tab.o1[[#This Row],[PDF2]]*Tab.o1[[#This Row],[IN]]),"")</f>
        <v/>
      </c>
      <c r="AG774" s="129" t="str">
        <f>IF(Tab.o1[[#This Row],[a1]]=1,Tab.o1[[#This Row],[rW]]^2,"")</f>
        <v/>
      </c>
      <c r="AH774" s="130" t="str">
        <f>IF(Tab.o1[[#This Row],[a1]]=1,IF(AH$3=0,Tab.o1[[#This Row],[rW2]],0.01+0.94*Tab.o1[[#This Row],[rW2]]/SUM(Tab.o1[rW2])),"")</f>
        <v/>
      </c>
      <c r="AI774" s="128" t="str">
        <f>IF(Tab.o1[[#This Row],[a1]]=1,1/Tab.o1[[#This Row],[PDF]],"")</f>
        <v/>
      </c>
      <c r="AJ774" s="131" t="str">
        <f>IF(Tab.o1[[#This Row],[a1]]=1,[1]!T_AA[[#This Row],[IN'']]*[1]!T_AA[[#This Row],[Qde'']],"")</f>
        <v/>
      </c>
      <c r="AK774" s="132" t="str">
        <f>IF(Tab.o1[[#This Row],[a1]]=1,IF(AK$1=1,Tab.o1[[#This Row],[MED]]+Tab.o1[[#This Row],[MOD]]-Tab.o1[[#This Row],[MED]],""),"")</f>
        <v/>
      </c>
      <c r="AL774" s="133" t="str">
        <f>IF(Tab.o1[[#This Row],[a1]]=1,[1]!T.in.A[[#This Row],[oo16]],"")</f>
        <v/>
      </c>
      <c r="AM774" s="133" t="str">
        <f>IF(Tab.o1[[#This Row],[a1]]=1,IF(AM$3=1,[1]!T.in.A[[#This Row],[Σo16]],""),"")</f>
        <v/>
      </c>
      <c r="AN774" s="126" t="str">
        <f>IF(Tab.o1[[#This Row],[a1]]=1,[1]!T.in.A[[#This Row],[Σp5]],"")</f>
        <v/>
      </c>
      <c r="AO774" s="126" t="str">
        <f>IF(Tab.o1[[#This Row],[a1]]=1,IF(AO$3=1,[1]!T.in.A[[#This Row],[Σp5]],""),"")</f>
        <v/>
      </c>
      <c r="AP774" s="110" t="str">
        <f>IF(Tab.o1[[#This Row],[a1]]=1,IF(ISNUMBER(Tab.o1[[#This Row],[i.]]),NORMDIST(Tab.o1[[#This Row],[Za]],0,1,FALSE)*Tab.o1[[#This Row],[i.]],0),"")</f>
        <v/>
      </c>
      <c r="AQ774" s="125" t="str">
        <f>IF(Tab.o1[[#This Row],[a1]]=1,ABS(Tab.o1[[#This Row],[MOD]]-AVERAGE(Tab.o1[MOD])),"")</f>
        <v/>
      </c>
      <c r="AR774" s="134" t="str">
        <f>IF(Tab.o1[[#This Row],[a1]]=1,Tab.o1[[#This Row],[OBS]]/SUM(Tab.o1[OBS]),"")</f>
        <v/>
      </c>
      <c r="AS774" s="135" t="str">
        <f>IF(ISNUMBER(Tab.o1[[#This Row],[a1]]),ROW()-4,"")</f>
        <v/>
      </c>
      <c r="AT774" s="136" t="str">
        <f>Tab.o1[[#This Row],[MOD]]</f>
        <v/>
      </c>
      <c r="AU774" s="137" t="str">
        <f t="shared" ref="AU774:AU837" si="49">AT774</f>
        <v/>
      </c>
      <c r="AV774" s="138" t="str">
        <f t="shared" ref="AV774:AV837" si="50">IF(AND(ISNUMBER(AT774),ISNUMBER(AU774)),H774-AU774,"")</f>
        <v/>
      </c>
      <c r="AW774" s="138" t="str">
        <f t="shared" ref="AW774:AW837" si="51">IF(AW$4=0,"",IF(AV774&lt;AV$2,AV774," "))</f>
        <v/>
      </c>
      <c r="AX774" s="139" t="str">
        <f>[1]!T.in.A[[#This Row],[ID_T_manu]]</f>
        <v/>
      </c>
      <c r="AY774" s="140" t="str">
        <f>IF(ISNUMBER(Tab.o1[[#This Row],[a1]]),IF(AND(Tab.o1[[#This Row],[a1]]=1,Tab.o1[[#This Row],[b1]]&lt;=AY$4),#REF!,AY773),"")</f>
        <v/>
      </c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6"/>
      <c r="BO774" s="26"/>
      <c r="BP774" s="26"/>
      <c r="BQ774" s="26"/>
      <c r="BR774" s="26"/>
      <c r="BS774" s="26"/>
      <c r="BT774" s="26"/>
      <c r="BU774" s="26"/>
      <c r="BV774" s="26"/>
      <c r="BW774" s="26"/>
      <c r="BX774" s="26"/>
      <c r="BY774" s="26"/>
      <c r="BZ774" s="26"/>
      <c r="CA774" s="26"/>
    </row>
    <row r="775" spans="1:79" s="143" customFormat="1" ht="15.75" hidden="1">
      <c r="A775" s="109">
        <v>2.9999999999999997E-6</v>
      </c>
      <c r="B775" s="110">
        <f t="shared" si="48"/>
        <v>775</v>
      </c>
      <c r="C775" s="111" t="str">
        <f>IF(C$1=[1]!T.in.A[[#This Row],[oo2]],1,"")</f>
        <v/>
      </c>
      <c r="D775" s="112" t="str">
        <f>IF(Tab.o1[[#This Row],[a1]]=1,IF(SUM(C775:C776)=0,0,IF(SUM(C774:C775)=1,1,IF(SUM(C774:C776)&gt;1,D774+1,0))),"")</f>
        <v/>
      </c>
      <c r="E775" s="113" t="str">
        <f>IF(Tab.o1[[#This Row],[a1]]=1,[1]!T.in.A[[#This Row],[oo1]],"")</f>
        <v/>
      </c>
      <c r="F775" s="113" t="str">
        <f>IF(Tab.o1[[#This Row],[a1]]=1,[1]!T.in.A[[#This Row],[pp1]],"")</f>
        <v/>
      </c>
      <c r="G775" s="114" t="str">
        <f>IF(Tab.o1[[#This Row],[a1]]=1,G$2+IF(G$1=1,0,Tab.o1[[#This Row],[.x1]])+[1]!T.in.A[[#This Row],[oo3]],"")</f>
        <v/>
      </c>
      <c r="H775" s="115" t="str">
        <f>IF(Tab.o1[[#This Row],[a1]]=1,IF(H$2=0,0,IF(G$1=1,0,Tab.o1[[#This Row],[.x1]])+[1]!T.in.A[[#This Row],[oo4]]),"")</f>
        <v/>
      </c>
      <c r="I775" s="116" t="str">
        <f>IF(Tab.o1[[#This Row],[a1]]=1,IF(J$2=0,Tab.o1[[#This Row],[MED]],Tab.o1[[#This Row],[MOD]]),"")</f>
        <v/>
      </c>
      <c r="J775" s="116" t="str">
        <f>IF(Tab.o1[[#This Row],[a1]]=1,((Tab.o1[[#This Row],[DIF_Target.]]-AVERAGE(Tab.o1[DIF_Target.]))/_xlfn.STDEV.P(Tab.o1[DIF_Target.])),"")</f>
        <v/>
      </c>
      <c r="K775" s="117" t="str">
        <f>IF(Tab.o1[[#This Row],[a1]]=1,IF(J$2=0,Tab.o1[[#This Row],[MOD]]-Tab.o1[[#This Row],[B]],IF(J$2=1,0,-Tab.o1[[#This Row],[MED]])+Tab.o1[[#This Row],[B]]),"")</f>
        <v/>
      </c>
      <c r="L775" s="117" t="str">
        <f ca="1">IF(Tab.o1[[#This Row],[DIF_Target]]=0,IF(L$2=0,Tab.o1[[#This Row],[DIF_Target]],AVERAGE(OFFSET(Tab.o1[[#This Row],[DIF_Target]],1,0,L$3,1)))/3,Tab.o1[[#This Row],[DIF_Target]])</f>
        <v/>
      </c>
      <c r="M775" s="118" t="str">
        <f>IF(Tab.o1[[#This Row],[a1]]=1,NORMSDIST(Tab.o1[[#This Row],[Za]]),"")</f>
        <v/>
      </c>
      <c r="N775" s="119" t="str">
        <f>IF(Tab.o1[[#This Row],[a1]]=1,((Tab.o1[[#This Row],[MedMod]]-AVERAGE(Tab.o1[MedMod]))/_xlfn.STDEV.P(Tab.o1[MedMod])*H$1205)+G$1205,"")</f>
        <v/>
      </c>
      <c r="O775" s="141" t="str">
        <f>IF(Tab.o1[[#This Row],[a1]]=1,Tab.o1[[#This Row],[Zb]]*_xlfn.STDEV.P(Tab.o1[MedMod])+AVERAGE(Tab.o1[MedMod]),"")</f>
        <v/>
      </c>
      <c r="P775" s="117" t="str">
        <f ca="1">IF(Tab.o1[[#This Row],[B]]=0,AVERAGE(OFFSET(Tab.o1[[#This Row],[B]],1,0,L$3,1)),Tab.o1[[#This Row],[B]])</f>
        <v/>
      </c>
      <c r="Q775" s="121" t="str">
        <f>IF(Tab.o1[[#This Row],[a1]]=1,NORMSDIST(Tab.o1[[#This Row],[Zb]]),"")</f>
        <v/>
      </c>
      <c r="R775" s="122" t="str">
        <f>IF(Tab.o1[[#This Row],[a1]]=1,((Tab.o1[[#This Row],[MedMod]]-AVERAGE(Tab.o1[MedMod]))/_xlfn.STDEV.P(Tab.o1[MedMod])*H$1203)+G$1203,"")</f>
        <v/>
      </c>
      <c r="S775" s="122" t="str">
        <f>IF(Tab.o1[[#This Row],[a1]]=1,((Tab.o1[[#This Row],[MedMod]]-AVERAGE(Tab.o1[MedMod]))/_xlfn.STDEV.P(Tab.o1[MedMod])*H$1204)+G$1204,"")</f>
        <v/>
      </c>
      <c r="T775" s="123" t="str">
        <f>IF(Tab.o1[[#This Row],[a1]]=1,Tab.o1[[#This Row],[Z-]]*_xlfn.STDEV.P(Tab.o1[B])+AVERAGE(Tab.o1[B]),"")</f>
        <v/>
      </c>
      <c r="U775" s="123" t="str">
        <f>IF(Tab.o1[[#This Row],[a1]]=1,Tab.o1[[#This Row],[z+]]*_xlfn.STDEV.P(Tab.o1[B])+AVERAGE(Tab.o1[B]),"")</f>
        <v/>
      </c>
      <c r="V775" s="124" t="str">
        <f>IF(Tab.o1[[#This Row],[a1]]=1,ABS((ABS(Tab.o1[[#This Row],[Red]]-Tab.o1[[#This Row],[Blue]]))),"")</f>
        <v/>
      </c>
      <c r="W775" s="125" t="str">
        <f>IF(Tab.o1[[#This Row],[a1]]=1,IF(W$3=0,1,Tab.o1[[#This Row],[Amp.]]*1/_xlfn.MINIFS(Tab.o1[Amp.],Tab.o1[Amp.],"&lt;&gt;0")),"")</f>
        <v/>
      </c>
      <c r="X775" s="126" t="str">
        <f>IF(Tab.o1[[#This Row],[a1]]=1,IF(ISNUMBER(Tab.o1[[#This Row],[i.]]),NORMDIST(Tab.o1[[#This Row],[Za]],0,1,FALSE)*Tab.o1[[#This Row],[i.]],AP$3),"")</f>
        <v/>
      </c>
      <c r="Y775" s="126" t="str">
        <f>IF(Tab.o1[[#This Row],[a1]]=1,0.01+0.94*Tab.o1[[#This Row],[PDF]]/MAX(Tab.o1[PDF]),"")</f>
        <v/>
      </c>
      <c r="Z775" s="126" t="str">
        <f>IF(Tab.o1[[#This Row],[a1]]=1,0.01+0.94*Tab.o1[[#This Row],[W1_PDF]]/MAX(Tab.o1[W1_PDF]),"")</f>
        <v/>
      </c>
      <c r="AA775" s="118" t="str">
        <f>IF(Tab.o1[[#This Row],[a1]]=1,ABS([1]!T.in.A[[#This Row],[oo6]]),"")</f>
        <v/>
      </c>
      <c r="AB775" s="127" t="str">
        <f>IF(Tab.o1[[#This Row],[a1]]=1,IF(AE$3=0,"",IF(AB$3=0,ABS([1]!T.in.A[[#This Row],[oo9]]),ABS(Tab.o1[[#This Row],[DIF_Target.]]*Tab.o1[[#This Row],[W1_PDF]]))),"")</f>
        <v/>
      </c>
      <c r="AC775" s="127" t="str">
        <f>IF(G$1=1,"",IF(Tab.o1[[#This Row],[a1]]=1,Tab.o1[[#This Row],[Wr]]^2,""))</f>
        <v/>
      </c>
      <c r="AD775" s="118" t="str">
        <f>IF(Tab.o1[[#This Row],[a1]]=1,IF(AE$3=0,"",Tab.o1[[#This Row],[Wr2]]/SUM(Tab.o1[Wr2])),"")</f>
        <v/>
      </c>
      <c r="AE775" s="128" t="str">
        <f>IF(Tab.o1[[#This Row],[a1]]=1,[1]!T.in.A[[#This Row],[oo10]],"")</f>
        <v/>
      </c>
      <c r="AF775" s="118" t="str">
        <f>IF(Tab.o1[[#This Row],[a1]]=1,ABS(Tab.o1[[#This Row],[DIF_Target.]]*Tab.o1[[#This Row],[PDF2]]*Tab.o1[[#This Row],[IN]]),"")</f>
        <v/>
      </c>
      <c r="AG775" s="129" t="str">
        <f>IF(Tab.o1[[#This Row],[a1]]=1,Tab.o1[[#This Row],[rW]]^2,"")</f>
        <v/>
      </c>
      <c r="AH775" s="130" t="str">
        <f>IF(Tab.o1[[#This Row],[a1]]=1,IF(AH$3=0,Tab.o1[[#This Row],[rW2]],0.01+0.94*Tab.o1[[#This Row],[rW2]]/SUM(Tab.o1[rW2])),"")</f>
        <v/>
      </c>
      <c r="AI775" s="128" t="str">
        <f>IF(Tab.o1[[#This Row],[a1]]=1,1/Tab.o1[[#This Row],[PDF]],"")</f>
        <v/>
      </c>
      <c r="AJ775" s="131" t="str">
        <f>IF(Tab.o1[[#This Row],[a1]]=1,[1]!T_AA[[#This Row],[IN'']]*[1]!T_AA[[#This Row],[Qde'']],"")</f>
        <v/>
      </c>
      <c r="AK775" s="132" t="str">
        <f>IF(Tab.o1[[#This Row],[a1]]=1,IF(AK$1=1,Tab.o1[[#This Row],[MED]]+Tab.o1[[#This Row],[MOD]]-Tab.o1[[#This Row],[MED]],""),"")</f>
        <v/>
      </c>
      <c r="AL775" s="133" t="str">
        <f>IF(Tab.o1[[#This Row],[a1]]=1,[1]!T.in.A[[#This Row],[oo16]],"")</f>
        <v/>
      </c>
      <c r="AM775" s="133" t="str">
        <f>IF(Tab.o1[[#This Row],[a1]]=1,IF(AM$3=1,[1]!T.in.A[[#This Row],[Σo16]],""),"")</f>
        <v/>
      </c>
      <c r="AN775" s="126" t="str">
        <f>IF(Tab.o1[[#This Row],[a1]]=1,[1]!T.in.A[[#This Row],[Σp5]],"")</f>
        <v/>
      </c>
      <c r="AO775" s="126" t="str">
        <f>IF(Tab.o1[[#This Row],[a1]]=1,IF(AO$3=1,[1]!T.in.A[[#This Row],[Σp5]],""),"")</f>
        <v/>
      </c>
      <c r="AP775" s="110" t="str">
        <f>IF(Tab.o1[[#This Row],[a1]]=1,IF(ISNUMBER(Tab.o1[[#This Row],[i.]]),NORMDIST(Tab.o1[[#This Row],[Za]],0,1,FALSE)*Tab.o1[[#This Row],[i.]],0),"")</f>
        <v/>
      </c>
      <c r="AQ775" s="125" t="str">
        <f>IF(Tab.o1[[#This Row],[a1]]=1,ABS(Tab.o1[[#This Row],[MOD]]-AVERAGE(Tab.o1[MOD])),"")</f>
        <v/>
      </c>
      <c r="AR775" s="134" t="str">
        <f>IF(Tab.o1[[#This Row],[a1]]=1,Tab.o1[[#This Row],[OBS]]/SUM(Tab.o1[OBS]),"")</f>
        <v/>
      </c>
      <c r="AS775" s="135" t="str">
        <f>IF(ISNUMBER(Tab.o1[[#This Row],[a1]]),ROW()-4,"")</f>
        <v/>
      </c>
      <c r="AT775" s="136" t="str">
        <f>Tab.o1[[#This Row],[MOD]]</f>
        <v/>
      </c>
      <c r="AU775" s="137" t="str">
        <f t="shared" si="49"/>
        <v/>
      </c>
      <c r="AV775" s="138" t="str">
        <f t="shared" si="50"/>
        <v/>
      </c>
      <c r="AW775" s="138" t="str">
        <f t="shared" si="51"/>
        <v/>
      </c>
      <c r="AX775" s="139" t="str">
        <f>[1]!T.in.A[[#This Row],[ID_T_manu]]</f>
        <v/>
      </c>
      <c r="AY775" s="140" t="str">
        <f>IF(ISNUMBER(Tab.o1[[#This Row],[a1]]),IF(AND(Tab.o1[[#This Row],[a1]]=1,Tab.o1[[#This Row],[b1]]&lt;=AY$4),#REF!,AY774),"")</f>
        <v/>
      </c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6"/>
      <c r="BO775" s="26"/>
      <c r="BP775" s="26"/>
      <c r="BQ775" s="26"/>
      <c r="BR775" s="26"/>
      <c r="BS775" s="26"/>
      <c r="BT775" s="26"/>
      <c r="BU775" s="26"/>
      <c r="BV775" s="26"/>
      <c r="BW775" s="26"/>
      <c r="BX775" s="26"/>
      <c r="BY775" s="26"/>
      <c r="BZ775" s="26"/>
      <c r="CA775" s="26"/>
    </row>
    <row r="776" spans="1:79" s="143" customFormat="1" ht="15.75" hidden="1">
      <c r="A776" s="109">
        <v>1.0000000000000002E-6</v>
      </c>
      <c r="B776" s="110">
        <f t="shared" si="48"/>
        <v>776</v>
      </c>
      <c r="C776" s="111" t="str">
        <f>IF(C$1=[1]!T.in.A[[#This Row],[oo2]],1,"")</f>
        <v/>
      </c>
      <c r="D776" s="112" t="str">
        <f>IF(Tab.o1[[#This Row],[a1]]=1,IF(SUM(C776:C777)=0,0,IF(SUM(C775:C776)=1,1,IF(SUM(C775:C777)&gt;1,D775+1,0))),"")</f>
        <v/>
      </c>
      <c r="E776" s="113" t="str">
        <f>IF(Tab.o1[[#This Row],[a1]]=1,[1]!T.in.A[[#This Row],[oo1]],"")</f>
        <v/>
      </c>
      <c r="F776" s="113" t="str">
        <f>IF(Tab.o1[[#This Row],[a1]]=1,[1]!T.in.A[[#This Row],[pp1]],"")</f>
        <v/>
      </c>
      <c r="G776" s="114" t="str">
        <f>IF(Tab.o1[[#This Row],[a1]]=1,G$2+IF(G$1=1,0,Tab.o1[[#This Row],[.x1]])+[1]!T.in.A[[#This Row],[oo3]],"")</f>
        <v/>
      </c>
      <c r="H776" s="115" t="str">
        <f>IF(Tab.o1[[#This Row],[a1]]=1,IF(H$2=0,0,IF(G$1=1,0,Tab.o1[[#This Row],[.x1]])+[1]!T.in.A[[#This Row],[oo4]]),"")</f>
        <v/>
      </c>
      <c r="I776" s="116" t="str">
        <f>IF(Tab.o1[[#This Row],[a1]]=1,IF(J$2=0,Tab.o1[[#This Row],[MED]],Tab.o1[[#This Row],[MOD]]),"")</f>
        <v/>
      </c>
      <c r="J776" s="116" t="str">
        <f>IF(Tab.o1[[#This Row],[a1]]=1,((Tab.o1[[#This Row],[DIF_Target.]]-AVERAGE(Tab.o1[DIF_Target.]))/_xlfn.STDEV.P(Tab.o1[DIF_Target.])),"")</f>
        <v/>
      </c>
      <c r="K776" s="117" t="str">
        <f>IF(Tab.o1[[#This Row],[a1]]=1,IF(J$2=0,Tab.o1[[#This Row],[MOD]]-Tab.o1[[#This Row],[B]],IF(J$2=1,0,-Tab.o1[[#This Row],[MED]])+Tab.o1[[#This Row],[B]]),"")</f>
        <v/>
      </c>
      <c r="L776" s="117" t="str">
        <f ca="1">IF(Tab.o1[[#This Row],[DIF_Target]]=0,IF(L$2=0,Tab.o1[[#This Row],[DIF_Target]],AVERAGE(OFFSET(Tab.o1[[#This Row],[DIF_Target]],1,0,L$3,1)))/3,Tab.o1[[#This Row],[DIF_Target]])</f>
        <v/>
      </c>
      <c r="M776" s="118" t="str">
        <f>IF(Tab.o1[[#This Row],[a1]]=1,NORMSDIST(Tab.o1[[#This Row],[Za]]),"")</f>
        <v/>
      </c>
      <c r="N776" s="119" t="str">
        <f>IF(Tab.o1[[#This Row],[a1]]=1,((Tab.o1[[#This Row],[MedMod]]-AVERAGE(Tab.o1[MedMod]))/_xlfn.STDEV.P(Tab.o1[MedMod])*H$1205)+G$1205,"")</f>
        <v/>
      </c>
      <c r="O776" s="141" t="str">
        <f>IF(Tab.o1[[#This Row],[a1]]=1,Tab.o1[[#This Row],[Zb]]*_xlfn.STDEV.P(Tab.o1[MedMod])+AVERAGE(Tab.o1[MedMod]),"")</f>
        <v/>
      </c>
      <c r="P776" s="117" t="str">
        <f ca="1">IF(Tab.o1[[#This Row],[B]]=0,AVERAGE(OFFSET(Tab.o1[[#This Row],[B]],1,0,L$3,1)),Tab.o1[[#This Row],[B]])</f>
        <v/>
      </c>
      <c r="Q776" s="121" t="str">
        <f>IF(Tab.o1[[#This Row],[a1]]=1,NORMSDIST(Tab.o1[[#This Row],[Zb]]),"")</f>
        <v/>
      </c>
      <c r="R776" s="122" t="str">
        <f>IF(Tab.o1[[#This Row],[a1]]=1,((Tab.o1[[#This Row],[MedMod]]-AVERAGE(Tab.o1[MedMod]))/_xlfn.STDEV.P(Tab.o1[MedMod])*H$1203)+G$1203,"")</f>
        <v/>
      </c>
      <c r="S776" s="122" t="str">
        <f>IF(Tab.o1[[#This Row],[a1]]=1,((Tab.o1[[#This Row],[MedMod]]-AVERAGE(Tab.o1[MedMod]))/_xlfn.STDEV.P(Tab.o1[MedMod])*H$1204)+G$1204,"")</f>
        <v/>
      </c>
      <c r="T776" s="123" t="str">
        <f>IF(Tab.o1[[#This Row],[a1]]=1,Tab.o1[[#This Row],[Z-]]*_xlfn.STDEV.P(Tab.o1[B])+AVERAGE(Tab.o1[B]),"")</f>
        <v/>
      </c>
      <c r="U776" s="123" t="str">
        <f>IF(Tab.o1[[#This Row],[a1]]=1,Tab.o1[[#This Row],[z+]]*_xlfn.STDEV.P(Tab.o1[B])+AVERAGE(Tab.o1[B]),"")</f>
        <v/>
      </c>
      <c r="V776" s="124" t="str">
        <f>IF(Tab.o1[[#This Row],[a1]]=1,ABS((ABS(Tab.o1[[#This Row],[Red]]-Tab.o1[[#This Row],[Blue]]))),"")</f>
        <v/>
      </c>
      <c r="W776" s="125" t="str">
        <f>IF(Tab.o1[[#This Row],[a1]]=1,IF(W$3=0,1,Tab.o1[[#This Row],[Amp.]]*1/_xlfn.MINIFS(Tab.o1[Amp.],Tab.o1[Amp.],"&lt;&gt;0")),"")</f>
        <v/>
      </c>
      <c r="X776" s="126" t="str">
        <f>IF(Tab.o1[[#This Row],[a1]]=1,IF(ISNUMBER(Tab.o1[[#This Row],[i.]]),NORMDIST(Tab.o1[[#This Row],[Za]],0,1,FALSE)*Tab.o1[[#This Row],[i.]],AP$3),"")</f>
        <v/>
      </c>
      <c r="Y776" s="126" t="str">
        <f>IF(Tab.o1[[#This Row],[a1]]=1,0.01+0.94*Tab.o1[[#This Row],[PDF]]/MAX(Tab.o1[PDF]),"")</f>
        <v/>
      </c>
      <c r="Z776" s="126" t="str">
        <f>IF(Tab.o1[[#This Row],[a1]]=1,0.01+0.94*Tab.o1[[#This Row],[W1_PDF]]/MAX(Tab.o1[W1_PDF]),"")</f>
        <v/>
      </c>
      <c r="AA776" s="118" t="str">
        <f>IF(Tab.o1[[#This Row],[a1]]=1,ABS([1]!T.in.A[[#This Row],[oo6]]),"")</f>
        <v/>
      </c>
      <c r="AB776" s="127" t="str">
        <f>IF(Tab.o1[[#This Row],[a1]]=1,IF(AE$3=0,"",IF(AB$3=0,ABS([1]!T.in.A[[#This Row],[oo9]]),ABS(Tab.o1[[#This Row],[DIF_Target.]]*Tab.o1[[#This Row],[W1_PDF]]))),"")</f>
        <v/>
      </c>
      <c r="AC776" s="127" t="str">
        <f>IF(G$1=1,"",IF(Tab.o1[[#This Row],[a1]]=1,Tab.o1[[#This Row],[Wr]]^2,""))</f>
        <v/>
      </c>
      <c r="AD776" s="118" t="str">
        <f>IF(Tab.o1[[#This Row],[a1]]=1,IF(AE$3=0,"",Tab.o1[[#This Row],[Wr2]]/SUM(Tab.o1[Wr2])),"")</f>
        <v/>
      </c>
      <c r="AE776" s="128" t="str">
        <f>IF(Tab.o1[[#This Row],[a1]]=1,[1]!T.in.A[[#This Row],[oo10]],"")</f>
        <v/>
      </c>
      <c r="AF776" s="118" t="str">
        <f>IF(Tab.o1[[#This Row],[a1]]=1,ABS(Tab.o1[[#This Row],[DIF_Target.]]*Tab.o1[[#This Row],[PDF2]]*Tab.o1[[#This Row],[IN]]),"")</f>
        <v/>
      </c>
      <c r="AG776" s="129" t="str">
        <f>IF(Tab.o1[[#This Row],[a1]]=1,Tab.o1[[#This Row],[rW]]^2,"")</f>
        <v/>
      </c>
      <c r="AH776" s="130" t="str">
        <f>IF(Tab.o1[[#This Row],[a1]]=1,IF(AH$3=0,Tab.o1[[#This Row],[rW2]],0.01+0.94*Tab.o1[[#This Row],[rW2]]/SUM(Tab.o1[rW2])),"")</f>
        <v/>
      </c>
      <c r="AI776" s="128" t="str">
        <f>IF(Tab.o1[[#This Row],[a1]]=1,1/Tab.o1[[#This Row],[PDF]],"")</f>
        <v/>
      </c>
      <c r="AJ776" s="131" t="str">
        <f>IF(Tab.o1[[#This Row],[a1]]=1,[1]!T_AA[[#This Row],[IN'']]*[1]!T_AA[[#This Row],[Qde'']],"")</f>
        <v/>
      </c>
      <c r="AK776" s="132" t="str">
        <f>IF(Tab.o1[[#This Row],[a1]]=1,IF(AK$1=1,Tab.o1[[#This Row],[MED]]+Tab.o1[[#This Row],[MOD]]-Tab.o1[[#This Row],[MED]],""),"")</f>
        <v/>
      </c>
      <c r="AL776" s="133" t="str">
        <f>IF(Tab.o1[[#This Row],[a1]]=1,[1]!T.in.A[[#This Row],[oo16]],"")</f>
        <v/>
      </c>
      <c r="AM776" s="133" t="str">
        <f>IF(Tab.o1[[#This Row],[a1]]=1,IF(AM$3=1,[1]!T.in.A[[#This Row],[Σo16]],""),"")</f>
        <v/>
      </c>
      <c r="AN776" s="126" t="str">
        <f>IF(Tab.o1[[#This Row],[a1]]=1,[1]!T.in.A[[#This Row],[Σp5]],"")</f>
        <v/>
      </c>
      <c r="AO776" s="126" t="str">
        <f>IF(Tab.o1[[#This Row],[a1]]=1,IF(AO$3=1,[1]!T.in.A[[#This Row],[Σp5]],""),"")</f>
        <v/>
      </c>
      <c r="AP776" s="110" t="str">
        <f>IF(Tab.o1[[#This Row],[a1]]=1,IF(ISNUMBER(Tab.o1[[#This Row],[i.]]),NORMDIST(Tab.o1[[#This Row],[Za]],0,1,FALSE)*Tab.o1[[#This Row],[i.]],0),"")</f>
        <v/>
      </c>
      <c r="AQ776" s="125" t="str">
        <f>IF(Tab.o1[[#This Row],[a1]]=1,ABS(Tab.o1[[#This Row],[MOD]]-AVERAGE(Tab.o1[MOD])),"")</f>
        <v/>
      </c>
      <c r="AR776" s="134" t="str">
        <f>IF(Tab.o1[[#This Row],[a1]]=1,Tab.o1[[#This Row],[OBS]]/SUM(Tab.o1[OBS]),"")</f>
        <v/>
      </c>
      <c r="AS776" s="135" t="str">
        <f>IF(ISNUMBER(Tab.o1[[#This Row],[a1]]),ROW()-4,"")</f>
        <v/>
      </c>
      <c r="AT776" s="136" t="str">
        <f>Tab.o1[[#This Row],[MOD]]</f>
        <v/>
      </c>
      <c r="AU776" s="137" t="str">
        <f t="shared" si="49"/>
        <v/>
      </c>
      <c r="AV776" s="138" t="str">
        <f t="shared" si="50"/>
        <v/>
      </c>
      <c r="AW776" s="138" t="str">
        <f t="shared" si="51"/>
        <v/>
      </c>
      <c r="AX776" s="139" t="str">
        <f>[1]!T.in.A[[#This Row],[ID_T_manu]]</f>
        <v/>
      </c>
      <c r="AY776" s="140" t="str">
        <f>IF(ISNUMBER(Tab.o1[[#This Row],[a1]]),IF(AND(Tab.o1[[#This Row],[a1]]=1,Tab.o1[[#This Row],[b1]]&lt;=AY$4),#REF!,AY775),"")</f>
        <v/>
      </c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6"/>
      <c r="BO776" s="26"/>
      <c r="BP776" s="26"/>
      <c r="BQ776" s="26"/>
      <c r="BR776" s="26"/>
      <c r="BS776" s="26"/>
      <c r="BT776" s="26"/>
      <c r="BU776" s="26"/>
      <c r="BV776" s="26"/>
      <c r="BW776" s="26"/>
      <c r="BX776" s="26"/>
      <c r="BY776" s="26"/>
      <c r="BZ776" s="26"/>
      <c r="CA776" s="26"/>
    </row>
    <row r="777" spans="1:79" s="143" customFormat="1" ht="15.75" hidden="1">
      <c r="A777" s="109">
        <v>-5.0000000000000004E-6</v>
      </c>
      <c r="B777" s="110">
        <f t="shared" si="48"/>
        <v>777</v>
      </c>
      <c r="C777" s="111" t="str">
        <f>IF(C$1=[1]!T.in.A[[#This Row],[oo2]],1,"")</f>
        <v/>
      </c>
      <c r="D777" s="112" t="str">
        <f>IF(Tab.o1[[#This Row],[a1]]=1,IF(SUM(C777:C778)=0,0,IF(SUM(C776:C777)=1,1,IF(SUM(C776:C778)&gt;1,D776+1,0))),"")</f>
        <v/>
      </c>
      <c r="E777" s="113" t="str">
        <f>IF(Tab.o1[[#This Row],[a1]]=1,[1]!T.in.A[[#This Row],[oo1]],"")</f>
        <v/>
      </c>
      <c r="F777" s="113" t="str">
        <f>IF(Tab.o1[[#This Row],[a1]]=1,[1]!T.in.A[[#This Row],[pp1]],"")</f>
        <v/>
      </c>
      <c r="G777" s="114" t="str">
        <f>IF(Tab.o1[[#This Row],[a1]]=1,G$2+IF(G$1=1,0,Tab.o1[[#This Row],[.x1]])+[1]!T.in.A[[#This Row],[oo3]],"")</f>
        <v/>
      </c>
      <c r="H777" s="115" t="str">
        <f>IF(Tab.o1[[#This Row],[a1]]=1,IF(H$2=0,0,IF(G$1=1,0,Tab.o1[[#This Row],[.x1]])+[1]!T.in.A[[#This Row],[oo4]]),"")</f>
        <v/>
      </c>
      <c r="I777" s="116" t="str">
        <f>IF(Tab.o1[[#This Row],[a1]]=1,IF(J$2=0,Tab.o1[[#This Row],[MED]],Tab.o1[[#This Row],[MOD]]),"")</f>
        <v/>
      </c>
      <c r="J777" s="116" t="str">
        <f>IF(Tab.o1[[#This Row],[a1]]=1,((Tab.o1[[#This Row],[DIF_Target.]]-AVERAGE(Tab.o1[DIF_Target.]))/_xlfn.STDEV.P(Tab.o1[DIF_Target.])),"")</f>
        <v/>
      </c>
      <c r="K777" s="117" t="str">
        <f>IF(Tab.o1[[#This Row],[a1]]=1,IF(J$2=0,Tab.o1[[#This Row],[MOD]]-Tab.o1[[#This Row],[B]],IF(J$2=1,0,-Tab.o1[[#This Row],[MED]])+Tab.o1[[#This Row],[B]]),"")</f>
        <v/>
      </c>
      <c r="L777" s="117" t="str">
        <f ca="1">IF(Tab.o1[[#This Row],[DIF_Target]]=0,IF(L$2=0,Tab.o1[[#This Row],[DIF_Target]],AVERAGE(OFFSET(Tab.o1[[#This Row],[DIF_Target]],1,0,L$3,1)))/3,Tab.o1[[#This Row],[DIF_Target]])</f>
        <v/>
      </c>
      <c r="M777" s="118" t="str">
        <f>IF(Tab.o1[[#This Row],[a1]]=1,NORMSDIST(Tab.o1[[#This Row],[Za]]),"")</f>
        <v/>
      </c>
      <c r="N777" s="119" t="str">
        <f>IF(Tab.o1[[#This Row],[a1]]=1,((Tab.o1[[#This Row],[MedMod]]-AVERAGE(Tab.o1[MedMod]))/_xlfn.STDEV.P(Tab.o1[MedMod])*H$1205)+G$1205,"")</f>
        <v/>
      </c>
      <c r="O777" s="141" t="str">
        <f>IF(Tab.o1[[#This Row],[a1]]=1,Tab.o1[[#This Row],[Zb]]*_xlfn.STDEV.P(Tab.o1[MedMod])+AVERAGE(Tab.o1[MedMod]),"")</f>
        <v/>
      </c>
      <c r="P777" s="117" t="str">
        <f ca="1">IF(Tab.o1[[#This Row],[B]]=0,AVERAGE(OFFSET(Tab.o1[[#This Row],[B]],1,0,L$3,1)),Tab.o1[[#This Row],[B]])</f>
        <v/>
      </c>
      <c r="Q777" s="121" t="str">
        <f>IF(Tab.o1[[#This Row],[a1]]=1,NORMSDIST(Tab.o1[[#This Row],[Zb]]),"")</f>
        <v/>
      </c>
      <c r="R777" s="122" t="str">
        <f>IF(Tab.o1[[#This Row],[a1]]=1,((Tab.o1[[#This Row],[MedMod]]-AVERAGE(Tab.o1[MedMod]))/_xlfn.STDEV.P(Tab.o1[MedMod])*H$1203)+G$1203,"")</f>
        <v/>
      </c>
      <c r="S777" s="122" t="str">
        <f>IF(Tab.o1[[#This Row],[a1]]=1,((Tab.o1[[#This Row],[MedMod]]-AVERAGE(Tab.o1[MedMod]))/_xlfn.STDEV.P(Tab.o1[MedMod])*H$1204)+G$1204,"")</f>
        <v/>
      </c>
      <c r="T777" s="123" t="str">
        <f>IF(Tab.o1[[#This Row],[a1]]=1,Tab.o1[[#This Row],[Z-]]*_xlfn.STDEV.P(Tab.o1[B])+AVERAGE(Tab.o1[B]),"")</f>
        <v/>
      </c>
      <c r="U777" s="123" t="str">
        <f>IF(Tab.o1[[#This Row],[a1]]=1,Tab.o1[[#This Row],[z+]]*_xlfn.STDEV.P(Tab.o1[B])+AVERAGE(Tab.o1[B]),"")</f>
        <v/>
      </c>
      <c r="V777" s="124" t="str">
        <f>IF(Tab.o1[[#This Row],[a1]]=1,ABS((ABS(Tab.o1[[#This Row],[Red]]-Tab.o1[[#This Row],[Blue]]))),"")</f>
        <v/>
      </c>
      <c r="W777" s="125" t="str">
        <f>IF(Tab.o1[[#This Row],[a1]]=1,IF(W$3=0,1,Tab.o1[[#This Row],[Amp.]]*1/_xlfn.MINIFS(Tab.o1[Amp.],Tab.o1[Amp.],"&lt;&gt;0")),"")</f>
        <v/>
      </c>
      <c r="X777" s="126" t="str">
        <f>IF(Tab.o1[[#This Row],[a1]]=1,IF(ISNUMBER(Tab.o1[[#This Row],[i.]]),NORMDIST(Tab.o1[[#This Row],[Za]],0,1,FALSE)*Tab.o1[[#This Row],[i.]],AP$3),"")</f>
        <v/>
      </c>
      <c r="Y777" s="126" t="str">
        <f>IF(Tab.o1[[#This Row],[a1]]=1,0.01+0.94*Tab.o1[[#This Row],[PDF]]/MAX(Tab.o1[PDF]),"")</f>
        <v/>
      </c>
      <c r="Z777" s="126" t="str">
        <f>IF(Tab.o1[[#This Row],[a1]]=1,0.01+0.94*Tab.o1[[#This Row],[W1_PDF]]/MAX(Tab.o1[W1_PDF]),"")</f>
        <v/>
      </c>
      <c r="AA777" s="118" t="str">
        <f>IF(Tab.o1[[#This Row],[a1]]=1,ABS([1]!T.in.A[[#This Row],[oo6]]),"")</f>
        <v/>
      </c>
      <c r="AB777" s="127" t="str">
        <f>IF(Tab.o1[[#This Row],[a1]]=1,IF(AE$3=0,"",IF(AB$3=0,ABS([1]!T.in.A[[#This Row],[oo9]]),ABS(Tab.o1[[#This Row],[DIF_Target.]]*Tab.o1[[#This Row],[W1_PDF]]))),"")</f>
        <v/>
      </c>
      <c r="AC777" s="127" t="str">
        <f>IF(G$1=1,"",IF(Tab.o1[[#This Row],[a1]]=1,Tab.o1[[#This Row],[Wr]]^2,""))</f>
        <v/>
      </c>
      <c r="AD777" s="118" t="str">
        <f>IF(Tab.o1[[#This Row],[a1]]=1,IF(AE$3=0,"",Tab.o1[[#This Row],[Wr2]]/SUM(Tab.o1[Wr2])),"")</f>
        <v/>
      </c>
      <c r="AE777" s="128" t="str">
        <f>IF(Tab.o1[[#This Row],[a1]]=1,[1]!T.in.A[[#This Row],[oo10]],"")</f>
        <v/>
      </c>
      <c r="AF777" s="118" t="str">
        <f>IF(Tab.o1[[#This Row],[a1]]=1,ABS(Tab.o1[[#This Row],[DIF_Target.]]*Tab.o1[[#This Row],[PDF2]]*Tab.o1[[#This Row],[IN]]),"")</f>
        <v/>
      </c>
      <c r="AG777" s="129" t="str">
        <f>IF(Tab.o1[[#This Row],[a1]]=1,Tab.o1[[#This Row],[rW]]^2,"")</f>
        <v/>
      </c>
      <c r="AH777" s="130" t="str">
        <f>IF(Tab.o1[[#This Row],[a1]]=1,IF(AH$3=0,Tab.o1[[#This Row],[rW2]],0.01+0.94*Tab.o1[[#This Row],[rW2]]/SUM(Tab.o1[rW2])),"")</f>
        <v/>
      </c>
      <c r="AI777" s="128" t="str">
        <f>IF(Tab.o1[[#This Row],[a1]]=1,1/Tab.o1[[#This Row],[PDF]],"")</f>
        <v/>
      </c>
      <c r="AJ777" s="131" t="str">
        <f>IF(Tab.o1[[#This Row],[a1]]=1,[1]!T_AA[[#This Row],[IN'']]*[1]!T_AA[[#This Row],[Qde'']],"")</f>
        <v/>
      </c>
      <c r="AK777" s="132" t="str">
        <f>IF(Tab.o1[[#This Row],[a1]]=1,IF(AK$1=1,Tab.o1[[#This Row],[MED]]+Tab.o1[[#This Row],[MOD]]-Tab.o1[[#This Row],[MED]],""),"")</f>
        <v/>
      </c>
      <c r="AL777" s="133" t="str">
        <f>IF(Tab.o1[[#This Row],[a1]]=1,[1]!T.in.A[[#This Row],[oo16]],"")</f>
        <v/>
      </c>
      <c r="AM777" s="133" t="str">
        <f>IF(Tab.o1[[#This Row],[a1]]=1,IF(AM$3=1,[1]!T.in.A[[#This Row],[Σo16]],""),"")</f>
        <v/>
      </c>
      <c r="AN777" s="126" t="str">
        <f>IF(Tab.o1[[#This Row],[a1]]=1,[1]!T.in.A[[#This Row],[Σp5]],"")</f>
        <v/>
      </c>
      <c r="AO777" s="126" t="str">
        <f>IF(Tab.o1[[#This Row],[a1]]=1,IF(AO$3=1,[1]!T.in.A[[#This Row],[Σp5]],""),"")</f>
        <v/>
      </c>
      <c r="AP777" s="110" t="str">
        <f>IF(Tab.o1[[#This Row],[a1]]=1,IF(ISNUMBER(Tab.o1[[#This Row],[i.]]),NORMDIST(Tab.o1[[#This Row],[Za]],0,1,FALSE)*Tab.o1[[#This Row],[i.]],0),"")</f>
        <v/>
      </c>
      <c r="AQ777" s="125" t="str">
        <f>IF(Tab.o1[[#This Row],[a1]]=1,ABS(Tab.o1[[#This Row],[MOD]]-AVERAGE(Tab.o1[MOD])),"")</f>
        <v/>
      </c>
      <c r="AR777" s="134" t="str">
        <f>IF(Tab.o1[[#This Row],[a1]]=1,Tab.o1[[#This Row],[OBS]]/SUM(Tab.o1[OBS]),"")</f>
        <v/>
      </c>
      <c r="AS777" s="135" t="str">
        <f>IF(ISNUMBER(Tab.o1[[#This Row],[a1]]),ROW()-4,"")</f>
        <v/>
      </c>
      <c r="AT777" s="136" t="str">
        <f>Tab.o1[[#This Row],[MOD]]</f>
        <v/>
      </c>
      <c r="AU777" s="137" t="str">
        <f t="shared" si="49"/>
        <v/>
      </c>
      <c r="AV777" s="138" t="str">
        <f t="shared" si="50"/>
        <v/>
      </c>
      <c r="AW777" s="138" t="str">
        <f t="shared" si="51"/>
        <v/>
      </c>
      <c r="AX777" s="139" t="str">
        <f>[1]!T.in.A[[#This Row],[ID_T_manu]]</f>
        <v/>
      </c>
      <c r="AY777" s="140" t="str">
        <f>IF(ISNUMBER(Tab.o1[[#This Row],[a1]]),IF(AND(Tab.o1[[#This Row],[a1]]=1,Tab.o1[[#This Row],[b1]]&lt;=AY$4),#REF!,AY776),"")</f>
        <v/>
      </c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6"/>
      <c r="BO777" s="26"/>
      <c r="BP777" s="26"/>
      <c r="BQ777" s="26"/>
      <c r="BR777" s="26"/>
      <c r="BS777" s="26"/>
      <c r="BT777" s="26"/>
      <c r="BU777" s="26"/>
      <c r="BV777" s="26"/>
      <c r="BW777" s="26"/>
      <c r="BX777" s="26"/>
      <c r="BY777" s="26"/>
      <c r="BZ777" s="26"/>
      <c r="CA777" s="26"/>
    </row>
    <row r="778" spans="1:79" s="143" customFormat="1" ht="15.75" hidden="1">
      <c r="A778" s="109">
        <v>9.0000000000000002E-6</v>
      </c>
      <c r="B778" s="110">
        <f t="shared" si="48"/>
        <v>778</v>
      </c>
      <c r="C778" s="111" t="str">
        <f>IF(C$1=[1]!T.in.A[[#This Row],[oo2]],1,"")</f>
        <v/>
      </c>
      <c r="D778" s="112" t="str">
        <f>IF(Tab.o1[[#This Row],[a1]]=1,IF(SUM(C778:C779)=0,0,IF(SUM(C777:C778)=1,1,IF(SUM(C777:C779)&gt;1,D777+1,0))),"")</f>
        <v/>
      </c>
      <c r="E778" s="113" t="str">
        <f>IF(Tab.o1[[#This Row],[a1]]=1,[1]!T.in.A[[#This Row],[oo1]],"")</f>
        <v/>
      </c>
      <c r="F778" s="113" t="str">
        <f>IF(Tab.o1[[#This Row],[a1]]=1,[1]!T.in.A[[#This Row],[pp1]],"")</f>
        <v/>
      </c>
      <c r="G778" s="114" t="str">
        <f>IF(Tab.o1[[#This Row],[a1]]=1,G$2+IF(G$1=1,0,Tab.o1[[#This Row],[.x1]])+[1]!T.in.A[[#This Row],[oo3]],"")</f>
        <v/>
      </c>
      <c r="H778" s="115" t="str">
        <f>IF(Tab.o1[[#This Row],[a1]]=1,IF(H$2=0,0,IF(G$1=1,0,Tab.o1[[#This Row],[.x1]])+[1]!T.in.A[[#This Row],[oo4]]),"")</f>
        <v/>
      </c>
      <c r="I778" s="116" t="str">
        <f>IF(Tab.o1[[#This Row],[a1]]=1,IF(J$2=0,Tab.o1[[#This Row],[MED]],Tab.o1[[#This Row],[MOD]]),"")</f>
        <v/>
      </c>
      <c r="J778" s="116" t="str">
        <f>IF(Tab.o1[[#This Row],[a1]]=1,((Tab.o1[[#This Row],[DIF_Target.]]-AVERAGE(Tab.o1[DIF_Target.]))/_xlfn.STDEV.P(Tab.o1[DIF_Target.])),"")</f>
        <v/>
      </c>
      <c r="K778" s="117" t="str">
        <f>IF(Tab.o1[[#This Row],[a1]]=1,IF(J$2=0,Tab.o1[[#This Row],[MOD]]-Tab.o1[[#This Row],[B]],IF(J$2=1,0,-Tab.o1[[#This Row],[MED]])+Tab.o1[[#This Row],[B]]),"")</f>
        <v/>
      </c>
      <c r="L778" s="117" t="str">
        <f ca="1">IF(Tab.o1[[#This Row],[DIF_Target]]=0,IF(L$2=0,Tab.o1[[#This Row],[DIF_Target]],AVERAGE(OFFSET(Tab.o1[[#This Row],[DIF_Target]],1,0,L$3,1)))/3,Tab.o1[[#This Row],[DIF_Target]])</f>
        <v/>
      </c>
      <c r="M778" s="118" t="str">
        <f>IF(Tab.o1[[#This Row],[a1]]=1,NORMSDIST(Tab.o1[[#This Row],[Za]]),"")</f>
        <v/>
      </c>
      <c r="N778" s="119" t="str">
        <f>IF(Tab.o1[[#This Row],[a1]]=1,((Tab.o1[[#This Row],[MedMod]]-AVERAGE(Tab.o1[MedMod]))/_xlfn.STDEV.P(Tab.o1[MedMod])*H$1205)+G$1205,"")</f>
        <v/>
      </c>
      <c r="O778" s="141" t="str">
        <f>IF(Tab.o1[[#This Row],[a1]]=1,Tab.o1[[#This Row],[Zb]]*_xlfn.STDEV.P(Tab.o1[MedMod])+AVERAGE(Tab.o1[MedMod]),"")</f>
        <v/>
      </c>
      <c r="P778" s="117" t="str">
        <f ca="1">IF(Tab.o1[[#This Row],[B]]=0,AVERAGE(OFFSET(Tab.o1[[#This Row],[B]],1,0,L$3,1)),Tab.o1[[#This Row],[B]])</f>
        <v/>
      </c>
      <c r="Q778" s="121" t="str">
        <f>IF(Tab.o1[[#This Row],[a1]]=1,NORMSDIST(Tab.o1[[#This Row],[Zb]]),"")</f>
        <v/>
      </c>
      <c r="R778" s="122" t="str">
        <f>IF(Tab.o1[[#This Row],[a1]]=1,((Tab.o1[[#This Row],[MedMod]]-AVERAGE(Tab.o1[MedMod]))/_xlfn.STDEV.P(Tab.o1[MedMod])*H$1203)+G$1203,"")</f>
        <v/>
      </c>
      <c r="S778" s="122" t="str">
        <f>IF(Tab.o1[[#This Row],[a1]]=1,((Tab.o1[[#This Row],[MedMod]]-AVERAGE(Tab.o1[MedMod]))/_xlfn.STDEV.P(Tab.o1[MedMod])*H$1204)+G$1204,"")</f>
        <v/>
      </c>
      <c r="T778" s="123" t="str">
        <f>IF(Tab.o1[[#This Row],[a1]]=1,Tab.o1[[#This Row],[Z-]]*_xlfn.STDEV.P(Tab.o1[B])+AVERAGE(Tab.o1[B]),"")</f>
        <v/>
      </c>
      <c r="U778" s="123" t="str">
        <f>IF(Tab.o1[[#This Row],[a1]]=1,Tab.o1[[#This Row],[z+]]*_xlfn.STDEV.P(Tab.o1[B])+AVERAGE(Tab.o1[B]),"")</f>
        <v/>
      </c>
      <c r="V778" s="124" t="str">
        <f>IF(Tab.o1[[#This Row],[a1]]=1,ABS((ABS(Tab.o1[[#This Row],[Red]]-Tab.o1[[#This Row],[Blue]]))),"")</f>
        <v/>
      </c>
      <c r="W778" s="125" t="str">
        <f>IF(Tab.o1[[#This Row],[a1]]=1,IF(W$3=0,1,Tab.o1[[#This Row],[Amp.]]*1/_xlfn.MINIFS(Tab.o1[Amp.],Tab.o1[Amp.],"&lt;&gt;0")),"")</f>
        <v/>
      </c>
      <c r="X778" s="126" t="str">
        <f>IF(Tab.o1[[#This Row],[a1]]=1,IF(ISNUMBER(Tab.o1[[#This Row],[i.]]),NORMDIST(Tab.o1[[#This Row],[Za]],0,1,FALSE)*Tab.o1[[#This Row],[i.]],AP$3),"")</f>
        <v/>
      </c>
      <c r="Y778" s="126" t="str">
        <f>IF(Tab.o1[[#This Row],[a1]]=1,0.01+0.94*Tab.o1[[#This Row],[PDF]]/MAX(Tab.o1[PDF]),"")</f>
        <v/>
      </c>
      <c r="Z778" s="126" t="str">
        <f>IF(Tab.o1[[#This Row],[a1]]=1,0.01+0.94*Tab.o1[[#This Row],[W1_PDF]]/MAX(Tab.o1[W1_PDF]),"")</f>
        <v/>
      </c>
      <c r="AA778" s="118" t="str">
        <f>IF(Tab.o1[[#This Row],[a1]]=1,ABS([1]!T.in.A[[#This Row],[oo6]]),"")</f>
        <v/>
      </c>
      <c r="AB778" s="127" t="str">
        <f>IF(Tab.o1[[#This Row],[a1]]=1,IF(AE$3=0,"",IF(AB$3=0,ABS([1]!T.in.A[[#This Row],[oo9]]),ABS(Tab.o1[[#This Row],[DIF_Target.]]*Tab.o1[[#This Row],[W1_PDF]]))),"")</f>
        <v/>
      </c>
      <c r="AC778" s="127" t="str">
        <f>IF(G$1=1,"",IF(Tab.o1[[#This Row],[a1]]=1,Tab.o1[[#This Row],[Wr]]^2,""))</f>
        <v/>
      </c>
      <c r="AD778" s="118" t="str">
        <f>IF(Tab.o1[[#This Row],[a1]]=1,IF(AE$3=0,"",Tab.o1[[#This Row],[Wr2]]/SUM(Tab.o1[Wr2])),"")</f>
        <v/>
      </c>
      <c r="AE778" s="128" t="str">
        <f>IF(Tab.o1[[#This Row],[a1]]=1,[1]!T.in.A[[#This Row],[oo10]],"")</f>
        <v/>
      </c>
      <c r="AF778" s="118" t="str">
        <f>IF(Tab.o1[[#This Row],[a1]]=1,ABS(Tab.o1[[#This Row],[DIF_Target.]]*Tab.o1[[#This Row],[PDF2]]*Tab.o1[[#This Row],[IN]]),"")</f>
        <v/>
      </c>
      <c r="AG778" s="129" t="str">
        <f>IF(Tab.o1[[#This Row],[a1]]=1,Tab.o1[[#This Row],[rW]]^2,"")</f>
        <v/>
      </c>
      <c r="AH778" s="130" t="str">
        <f>IF(Tab.o1[[#This Row],[a1]]=1,IF(AH$3=0,Tab.o1[[#This Row],[rW2]],0.01+0.94*Tab.o1[[#This Row],[rW2]]/SUM(Tab.o1[rW2])),"")</f>
        <v/>
      </c>
      <c r="AI778" s="128" t="str">
        <f>IF(Tab.o1[[#This Row],[a1]]=1,1/Tab.o1[[#This Row],[PDF]],"")</f>
        <v/>
      </c>
      <c r="AJ778" s="131" t="str">
        <f>IF(Tab.o1[[#This Row],[a1]]=1,[1]!T_AA[[#This Row],[IN'']]*[1]!T_AA[[#This Row],[Qde'']],"")</f>
        <v/>
      </c>
      <c r="AK778" s="132" t="str">
        <f>IF(Tab.o1[[#This Row],[a1]]=1,IF(AK$1=1,Tab.o1[[#This Row],[MED]]+Tab.o1[[#This Row],[MOD]]-Tab.o1[[#This Row],[MED]],""),"")</f>
        <v/>
      </c>
      <c r="AL778" s="133" t="str">
        <f>IF(Tab.o1[[#This Row],[a1]]=1,[1]!T.in.A[[#This Row],[oo16]],"")</f>
        <v/>
      </c>
      <c r="AM778" s="133" t="str">
        <f>IF(Tab.o1[[#This Row],[a1]]=1,IF(AM$3=1,[1]!T.in.A[[#This Row],[Σo16]],""),"")</f>
        <v/>
      </c>
      <c r="AN778" s="126" t="str">
        <f>IF(Tab.o1[[#This Row],[a1]]=1,[1]!T.in.A[[#This Row],[Σp5]],"")</f>
        <v/>
      </c>
      <c r="AO778" s="126" t="str">
        <f>IF(Tab.o1[[#This Row],[a1]]=1,IF(AO$3=1,[1]!T.in.A[[#This Row],[Σp5]],""),"")</f>
        <v/>
      </c>
      <c r="AP778" s="110" t="str">
        <f>IF(Tab.o1[[#This Row],[a1]]=1,IF(ISNUMBER(Tab.o1[[#This Row],[i.]]),NORMDIST(Tab.o1[[#This Row],[Za]],0,1,FALSE)*Tab.o1[[#This Row],[i.]],0),"")</f>
        <v/>
      </c>
      <c r="AQ778" s="125" t="str">
        <f>IF(Tab.o1[[#This Row],[a1]]=1,ABS(Tab.o1[[#This Row],[MOD]]-AVERAGE(Tab.o1[MOD])),"")</f>
        <v/>
      </c>
      <c r="AR778" s="134" t="str">
        <f>IF(Tab.o1[[#This Row],[a1]]=1,Tab.o1[[#This Row],[OBS]]/SUM(Tab.o1[OBS]),"")</f>
        <v/>
      </c>
      <c r="AS778" s="135" t="str">
        <f>IF(ISNUMBER(Tab.o1[[#This Row],[a1]]),ROW()-4,"")</f>
        <v/>
      </c>
      <c r="AT778" s="136" t="str">
        <f>Tab.o1[[#This Row],[MOD]]</f>
        <v/>
      </c>
      <c r="AU778" s="137" t="str">
        <f t="shared" si="49"/>
        <v/>
      </c>
      <c r="AV778" s="138" t="str">
        <f t="shared" si="50"/>
        <v/>
      </c>
      <c r="AW778" s="138" t="str">
        <f t="shared" si="51"/>
        <v/>
      </c>
      <c r="AX778" s="139" t="str">
        <f>[1]!T.in.A[[#This Row],[ID_T_manu]]</f>
        <v/>
      </c>
      <c r="AY778" s="140" t="str">
        <f>IF(ISNUMBER(Tab.o1[[#This Row],[a1]]),IF(AND(Tab.o1[[#This Row],[a1]]=1,Tab.o1[[#This Row],[b1]]&lt;=AY$4),#REF!,AY777),"")</f>
        <v/>
      </c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6"/>
      <c r="BO778" s="26"/>
      <c r="BP778" s="26"/>
      <c r="BQ778" s="26"/>
      <c r="BR778" s="26"/>
      <c r="BS778" s="26"/>
      <c r="BT778" s="26"/>
      <c r="BU778" s="26"/>
      <c r="BV778" s="26"/>
      <c r="BW778" s="26"/>
      <c r="BX778" s="26"/>
      <c r="BY778" s="26"/>
      <c r="BZ778" s="26"/>
      <c r="CA778" s="26"/>
    </row>
    <row r="779" spans="1:79" s="143" customFormat="1" ht="15.75" hidden="1">
      <c r="A779" s="109">
        <v>9.0000000000000002E-6</v>
      </c>
      <c r="B779" s="110">
        <f t="shared" si="48"/>
        <v>779</v>
      </c>
      <c r="C779" s="111" t="str">
        <f>IF(C$1=[1]!T.in.A[[#This Row],[oo2]],1,"")</f>
        <v/>
      </c>
      <c r="D779" s="112" t="str">
        <f>IF(Tab.o1[[#This Row],[a1]]=1,IF(SUM(C779:C780)=0,0,IF(SUM(C778:C779)=1,1,IF(SUM(C778:C780)&gt;1,D778+1,0))),"")</f>
        <v/>
      </c>
      <c r="E779" s="113" t="str">
        <f>IF(Tab.o1[[#This Row],[a1]]=1,[1]!T.in.A[[#This Row],[oo1]],"")</f>
        <v/>
      </c>
      <c r="F779" s="113" t="str">
        <f>IF(Tab.o1[[#This Row],[a1]]=1,[1]!T.in.A[[#This Row],[pp1]],"")</f>
        <v/>
      </c>
      <c r="G779" s="114" t="str">
        <f>IF(Tab.o1[[#This Row],[a1]]=1,G$2+IF(G$1=1,0,Tab.o1[[#This Row],[.x1]])+[1]!T.in.A[[#This Row],[oo3]],"")</f>
        <v/>
      </c>
      <c r="H779" s="115" t="str">
        <f>IF(Tab.o1[[#This Row],[a1]]=1,IF(H$2=0,0,IF(G$1=1,0,Tab.o1[[#This Row],[.x1]])+[1]!T.in.A[[#This Row],[oo4]]),"")</f>
        <v/>
      </c>
      <c r="I779" s="116" t="str">
        <f>IF(Tab.o1[[#This Row],[a1]]=1,IF(J$2=0,Tab.o1[[#This Row],[MED]],Tab.o1[[#This Row],[MOD]]),"")</f>
        <v/>
      </c>
      <c r="J779" s="116" t="str">
        <f>IF(Tab.o1[[#This Row],[a1]]=1,((Tab.o1[[#This Row],[DIF_Target.]]-AVERAGE(Tab.o1[DIF_Target.]))/_xlfn.STDEV.P(Tab.o1[DIF_Target.])),"")</f>
        <v/>
      </c>
      <c r="K779" s="117" t="str">
        <f>IF(Tab.o1[[#This Row],[a1]]=1,IF(J$2=0,Tab.o1[[#This Row],[MOD]]-Tab.o1[[#This Row],[B]],IF(J$2=1,0,-Tab.o1[[#This Row],[MED]])+Tab.o1[[#This Row],[B]]),"")</f>
        <v/>
      </c>
      <c r="L779" s="117" t="str">
        <f ca="1">IF(Tab.o1[[#This Row],[DIF_Target]]=0,IF(L$2=0,Tab.o1[[#This Row],[DIF_Target]],AVERAGE(OFFSET(Tab.o1[[#This Row],[DIF_Target]],1,0,L$3,1)))/3,Tab.o1[[#This Row],[DIF_Target]])</f>
        <v/>
      </c>
      <c r="M779" s="118" t="str">
        <f>IF(Tab.o1[[#This Row],[a1]]=1,NORMSDIST(Tab.o1[[#This Row],[Za]]),"")</f>
        <v/>
      </c>
      <c r="N779" s="119" t="str">
        <f>IF(Tab.o1[[#This Row],[a1]]=1,((Tab.o1[[#This Row],[MedMod]]-AVERAGE(Tab.o1[MedMod]))/_xlfn.STDEV.P(Tab.o1[MedMod])*H$1205)+G$1205,"")</f>
        <v/>
      </c>
      <c r="O779" s="141" t="str">
        <f>IF(Tab.o1[[#This Row],[a1]]=1,Tab.o1[[#This Row],[Zb]]*_xlfn.STDEV.P(Tab.o1[MedMod])+AVERAGE(Tab.o1[MedMod]),"")</f>
        <v/>
      </c>
      <c r="P779" s="117" t="str">
        <f ca="1">IF(Tab.o1[[#This Row],[B]]=0,AVERAGE(OFFSET(Tab.o1[[#This Row],[B]],1,0,L$3,1)),Tab.o1[[#This Row],[B]])</f>
        <v/>
      </c>
      <c r="Q779" s="121" t="str">
        <f>IF(Tab.o1[[#This Row],[a1]]=1,NORMSDIST(Tab.o1[[#This Row],[Zb]]),"")</f>
        <v/>
      </c>
      <c r="R779" s="122" t="str">
        <f>IF(Tab.o1[[#This Row],[a1]]=1,((Tab.o1[[#This Row],[MedMod]]-AVERAGE(Tab.o1[MedMod]))/_xlfn.STDEV.P(Tab.o1[MedMod])*H$1203)+G$1203,"")</f>
        <v/>
      </c>
      <c r="S779" s="122" t="str">
        <f>IF(Tab.o1[[#This Row],[a1]]=1,((Tab.o1[[#This Row],[MedMod]]-AVERAGE(Tab.o1[MedMod]))/_xlfn.STDEV.P(Tab.o1[MedMod])*H$1204)+G$1204,"")</f>
        <v/>
      </c>
      <c r="T779" s="123" t="str">
        <f>IF(Tab.o1[[#This Row],[a1]]=1,Tab.o1[[#This Row],[Z-]]*_xlfn.STDEV.P(Tab.o1[B])+AVERAGE(Tab.o1[B]),"")</f>
        <v/>
      </c>
      <c r="U779" s="123" t="str">
        <f>IF(Tab.o1[[#This Row],[a1]]=1,Tab.o1[[#This Row],[z+]]*_xlfn.STDEV.P(Tab.o1[B])+AVERAGE(Tab.o1[B]),"")</f>
        <v/>
      </c>
      <c r="V779" s="124" t="str">
        <f>IF(Tab.o1[[#This Row],[a1]]=1,ABS((ABS(Tab.o1[[#This Row],[Red]]-Tab.o1[[#This Row],[Blue]]))),"")</f>
        <v/>
      </c>
      <c r="W779" s="125" t="str">
        <f>IF(Tab.o1[[#This Row],[a1]]=1,IF(W$3=0,1,Tab.o1[[#This Row],[Amp.]]*1/_xlfn.MINIFS(Tab.o1[Amp.],Tab.o1[Amp.],"&lt;&gt;0")),"")</f>
        <v/>
      </c>
      <c r="X779" s="126" t="str">
        <f>IF(Tab.o1[[#This Row],[a1]]=1,IF(ISNUMBER(Tab.o1[[#This Row],[i.]]),NORMDIST(Tab.o1[[#This Row],[Za]],0,1,FALSE)*Tab.o1[[#This Row],[i.]],AP$3),"")</f>
        <v/>
      </c>
      <c r="Y779" s="126" t="str">
        <f>IF(Tab.o1[[#This Row],[a1]]=1,0.01+0.94*Tab.o1[[#This Row],[PDF]]/MAX(Tab.o1[PDF]),"")</f>
        <v/>
      </c>
      <c r="Z779" s="126" t="str">
        <f>IF(Tab.o1[[#This Row],[a1]]=1,0.01+0.94*Tab.o1[[#This Row],[W1_PDF]]/MAX(Tab.o1[W1_PDF]),"")</f>
        <v/>
      </c>
      <c r="AA779" s="118" t="str">
        <f>IF(Tab.o1[[#This Row],[a1]]=1,ABS([1]!T.in.A[[#This Row],[oo6]]),"")</f>
        <v/>
      </c>
      <c r="AB779" s="127" t="str">
        <f>IF(Tab.o1[[#This Row],[a1]]=1,IF(AE$3=0,"",IF(AB$3=0,ABS([1]!T.in.A[[#This Row],[oo9]]),ABS(Tab.o1[[#This Row],[DIF_Target.]]*Tab.o1[[#This Row],[W1_PDF]]))),"")</f>
        <v/>
      </c>
      <c r="AC779" s="127" t="str">
        <f>IF(G$1=1,"",IF(Tab.o1[[#This Row],[a1]]=1,Tab.o1[[#This Row],[Wr]]^2,""))</f>
        <v/>
      </c>
      <c r="AD779" s="118" t="str">
        <f>IF(Tab.o1[[#This Row],[a1]]=1,IF(AE$3=0,"",Tab.o1[[#This Row],[Wr2]]/SUM(Tab.o1[Wr2])),"")</f>
        <v/>
      </c>
      <c r="AE779" s="128" t="str">
        <f>IF(Tab.o1[[#This Row],[a1]]=1,[1]!T.in.A[[#This Row],[oo10]],"")</f>
        <v/>
      </c>
      <c r="AF779" s="118" t="str">
        <f>IF(Tab.o1[[#This Row],[a1]]=1,ABS(Tab.o1[[#This Row],[DIF_Target.]]*Tab.o1[[#This Row],[PDF2]]*Tab.o1[[#This Row],[IN]]),"")</f>
        <v/>
      </c>
      <c r="AG779" s="129" t="str">
        <f>IF(Tab.o1[[#This Row],[a1]]=1,Tab.o1[[#This Row],[rW]]^2,"")</f>
        <v/>
      </c>
      <c r="AH779" s="130" t="str">
        <f>IF(Tab.o1[[#This Row],[a1]]=1,IF(AH$3=0,Tab.o1[[#This Row],[rW2]],0.01+0.94*Tab.o1[[#This Row],[rW2]]/SUM(Tab.o1[rW2])),"")</f>
        <v/>
      </c>
      <c r="AI779" s="128" t="str">
        <f>IF(Tab.o1[[#This Row],[a1]]=1,1/Tab.o1[[#This Row],[PDF]],"")</f>
        <v/>
      </c>
      <c r="AJ779" s="131" t="str">
        <f>IF(Tab.o1[[#This Row],[a1]]=1,[1]!T_AA[[#This Row],[IN'']]*[1]!T_AA[[#This Row],[Qde'']],"")</f>
        <v/>
      </c>
      <c r="AK779" s="132" t="str">
        <f>IF(Tab.o1[[#This Row],[a1]]=1,IF(AK$1=1,Tab.o1[[#This Row],[MED]]+Tab.o1[[#This Row],[MOD]]-Tab.o1[[#This Row],[MED]],""),"")</f>
        <v/>
      </c>
      <c r="AL779" s="133" t="str">
        <f>IF(Tab.o1[[#This Row],[a1]]=1,[1]!T.in.A[[#This Row],[oo16]],"")</f>
        <v/>
      </c>
      <c r="AM779" s="133" t="str">
        <f>IF(Tab.o1[[#This Row],[a1]]=1,IF(AM$3=1,[1]!T.in.A[[#This Row],[Σo16]],""),"")</f>
        <v/>
      </c>
      <c r="AN779" s="126" t="str">
        <f>IF(Tab.o1[[#This Row],[a1]]=1,[1]!T.in.A[[#This Row],[Σp5]],"")</f>
        <v/>
      </c>
      <c r="AO779" s="126" t="str">
        <f>IF(Tab.o1[[#This Row],[a1]]=1,IF(AO$3=1,[1]!T.in.A[[#This Row],[Σp5]],""),"")</f>
        <v/>
      </c>
      <c r="AP779" s="110" t="str">
        <f>IF(Tab.o1[[#This Row],[a1]]=1,IF(ISNUMBER(Tab.o1[[#This Row],[i.]]),NORMDIST(Tab.o1[[#This Row],[Za]],0,1,FALSE)*Tab.o1[[#This Row],[i.]],0),"")</f>
        <v/>
      </c>
      <c r="AQ779" s="125" t="str">
        <f>IF(Tab.o1[[#This Row],[a1]]=1,ABS(Tab.o1[[#This Row],[MOD]]-AVERAGE(Tab.o1[MOD])),"")</f>
        <v/>
      </c>
      <c r="AR779" s="134" t="str">
        <f>IF(Tab.o1[[#This Row],[a1]]=1,Tab.o1[[#This Row],[OBS]]/SUM(Tab.o1[OBS]),"")</f>
        <v/>
      </c>
      <c r="AS779" s="135" t="str">
        <f>IF(ISNUMBER(Tab.o1[[#This Row],[a1]]),ROW()-4,"")</f>
        <v/>
      </c>
      <c r="AT779" s="136" t="str">
        <f>Tab.o1[[#This Row],[MOD]]</f>
        <v/>
      </c>
      <c r="AU779" s="137" t="str">
        <f t="shared" si="49"/>
        <v/>
      </c>
      <c r="AV779" s="138" t="str">
        <f t="shared" si="50"/>
        <v/>
      </c>
      <c r="AW779" s="138" t="str">
        <f t="shared" si="51"/>
        <v/>
      </c>
      <c r="AX779" s="139" t="str">
        <f>[1]!T.in.A[[#This Row],[ID_T_manu]]</f>
        <v/>
      </c>
      <c r="AY779" s="140" t="str">
        <f>IF(ISNUMBER(Tab.o1[[#This Row],[a1]]),IF(AND(Tab.o1[[#This Row],[a1]]=1,Tab.o1[[#This Row],[b1]]&lt;=AY$4),#REF!,AY778),"")</f>
        <v/>
      </c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6"/>
      <c r="BO779" s="26"/>
      <c r="BP779" s="26"/>
      <c r="BQ779" s="26"/>
      <c r="BR779" s="26"/>
      <c r="BS779" s="26"/>
      <c r="BT779" s="26"/>
      <c r="BU779" s="26"/>
      <c r="BV779" s="26"/>
      <c r="BW779" s="26"/>
      <c r="BX779" s="26"/>
      <c r="BY779" s="26"/>
      <c r="BZ779" s="26"/>
      <c r="CA779" s="26"/>
    </row>
    <row r="780" spans="1:79" s="143" customFormat="1" ht="15.75" hidden="1">
      <c r="A780" s="109">
        <v>-1.0000000000000002E-6</v>
      </c>
      <c r="B780" s="110">
        <f t="shared" si="48"/>
        <v>780</v>
      </c>
      <c r="C780" s="111" t="str">
        <f>IF(C$1=[1]!T.in.A[[#This Row],[oo2]],1,"")</f>
        <v/>
      </c>
      <c r="D780" s="112" t="str">
        <f>IF(Tab.o1[[#This Row],[a1]]=1,IF(SUM(C780:C781)=0,0,IF(SUM(C779:C780)=1,1,IF(SUM(C779:C781)&gt;1,D779+1,0))),"")</f>
        <v/>
      </c>
      <c r="E780" s="113" t="str">
        <f>IF(Tab.o1[[#This Row],[a1]]=1,[1]!T.in.A[[#This Row],[oo1]],"")</f>
        <v/>
      </c>
      <c r="F780" s="113" t="str">
        <f>IF(Tab.o1[[#This Row],[a1]]=1,[1]!T.in.A[[#This Row],[pp1]],"")</f>
        <v/>
      </c>
      <c r="G780" s="114" t="str">
        <f>IF(Tab.o1[[#This Row],[a1]]=1,G$2+IF(G$1=1,0,Tab.o1[[#This Row],[.x1]])+[1]!T.in.A[[#This Row],[oo3]],"")</f>
        <v/>
      </c>
      <c r="H780" s="115" t="str">
        <f>IF(Tab.o1[[#This Row],[a1]]=1,IF(H$2=0,0,IF(G$1=1,0,Tab.o1[[#This Row],[.x1]])+[1]!T.in.A[[#This Row],[oo4]]),"")</f>
        <v/>
      </c>
      <c r="I780" s="116" t="str">
        <f>IF(Tab.o1[[#This Row],[a1]]=1,IF(J$2=0,Tab.o1[[#This Row],[MED]],Tab.o1[[#This Row],[MOD]]),"")</f>
        <v/>
      </c>
      <c r="J780" s="116" t="str">
        <f>IF(Tab.o1[[#This Row],[a1]]=1,((Tab.o1[[#This Row],[DIF_Target.]]-AVERAGE(Tab.o1[DIF_Target.]))/_xlfn.STDEV.P(Tab.o1[DIF_Target.])),"")</f>
        <v/>
      </c>
      <c r="K780" s="117" t="str">
        <f>IF(Tab.o1[[#This Row],[a1]]=1,IF(J$2=0,Tab.o1[[#This Row],[MOD]]-Tab.o1[[#This Row],[B]],IF(J$2=1,0,-Tab.o1[[#This Row],[MED]])+Tab.o1[[#This Row],[B]]),"")</f>
        <v/>
      </c>
      <c r="L780" s="117" t="str">
        <f ca="1">IF(Tab.o1[[#This Row],[DIF_Target]]=0,IF(L$2=0,Tab.o1[[#This Row],[DIF_Target]],AVERAGE(OFFSET(Tab.o1[[#This Row],[DIF_Target]],1,0,L$3,1)))/3,Tab.o1[[#This Row],[DIF_Target]])</f>
        <v/>
      </c>
      <c r="M780" s="118" t="str">
        <f>IF(Tab.o1[[#This Row],[a1]]=1,NORMSDIST(Tab.o1[[#This Row],[Za]]),"")</f>
        <v/>
      </c>
      <c r="N780" s="119" t="str">
        <f>IF(Tab.o1[[#This Row],[a1]]=1,((Tab.o1[[#This Row],[MedMod]]-AVERAGE(Tab.o1[MedMod]))/_xlfn.STDEV.P(Tab.o1[MedMod])*H$1205)+G$1205,"")</f>
        <v/>
      </c>
      <c r="O780" s="141" t="str">
        <f>IF(Tab.o1[[#This Row],[a1]]=1,Tab.o1[[#This Row],[Zb]]*_xlfn.STDEV.P(Tab.o1[MedMod])+AVERAGE(Tab.o1[MedMod]),"")</f>
        <v/>
      </c>
      <c r="P780" s="117" t="str">
        <f ca="1">IF(Tab.o1[[#This Row],[B]]=0,AVERAGE(OFFSET(Tab.o1[[#This Row],[B]],1,0,L$3,1)),Tab.o1[[#This Row],[B]])</f>
        <v/>
      </c>
      <c r="Q780" s="121" t="str">
        <f>IF(Tab.o1[[#This Row],[a1]]=1,NORMSDIST(Tab.o1[[#This Row],[Zb]]),"")</f>
        <v/>
      </c>
      <c r="R780" s="122" t="str">
        <f>IF(Tab.o1[[#This Row],[a1]]=1,((Tab.o1[[#This Row],[MedMod]]-AVERAGE(Tab.o1[MedMod]))/_xlfn.STDEV.P(Tab.o1[MedMod])*H$1203)+G$1203,"")</f>
        <v/>
      </c>
      <c r="S780" s="122" t="str">
        <f>IF(Tab.o1[[#This Row],[a1]]=1,((Tab.o1[[#This Row],[MedMod]]-AVERAGE(Tab.o1[MedMod]))/_xlfn.STDEV.P(Tab.o1[MedMod])*H$1204)+G$1204,"")</f>
        <v/>
      </c>
      <c r="T780" s="123" t="str">
        <f>IF(Tab.o1[[#This Row],[a1]]=1,Tab.o1[[#This Row],[Z-]]*_xlfn.STDEV.P(Tab.o1[B])+AVERAGE(Tab.o1[B]),"")</f>
        <v/>
      </c>
      <c r="U780" s="123" t="str">
        <f>IF(Tab.o1[[#This Row],[a1]]=1,Tab.o1[[#This Row],[z+]]*_xlfn.STDEV.P(Tab.o1[B])+AVERAGE(Tab.o1[B]),"")</f>
        <v/>
      </c>
      <c r="V780" s="124" t="str">
        <f>IF(Tab.o1[[#This Row],[a1]]=1,ABS((ABS(Tab.o1[[#This Row],[Red]]-Tab.o1[[#This Row],[Blue]]))),"")</f>
        <v/>
      </c>
      <c r="W780" s="125" t="str">
        <f>IF(Tab.o1[[#This Row],[a1]]=1,IF(W$3=0,1,Tab.o1[[#This Row],[Amp.]]*1/_xlfn.MINIFS(Tab.o1[Amp.],Tab.o1[Amp.],"&lt;&gt;0")),"")</f>
        <v/>
      </c>
      <c r="X780" s="126" t="str">
        <f>IF(Tab.o1[[#This Row],[a1]]=1,IF(ISNUMBER(Tab.o1[[#This Row],[i.]]),NORMDIST(Tab.o1[[#This Row],[Za]],0,1,FALSE)*Tab.o1[[#This Row],[i.]],AP$3),"")</f>
        <v/>
      </c>
      <c r="Y780" s="126" t="str">
        <f>IF(Tab.o1[[#This Row],[a1]]=1,0.01+0.94*Tab.o1[[#This Row],[PDF]]/MAX(Tab.o1[PDF]),"")</f>
        <v/>
      </c>
      <c r="Z780" s="126" t="str">
        <f>IF(Tab.o1[[#This Row],[a1]]=1,0.01+0.94*Tab.o1[[#This Row],[W1_PDF]]/MAX(Tab.o1[W1_PDF]),"")</f>
        <v/>
      </c>
      <c r="AA780" s="118" t="str">
        <f>IF(Tab.o1[[#This Row],[a1]]=1,ABS([1]!T.in.A[[#This Row],[oo6]]),"")</f>
        <v/>
      </c>
      <c r="AB780" s="127" t="str">
        <f>IF(Tab.o1[[#This Row],[a1]]=1,IF(AE$3=0,"",IF(AB$3=0,ABS([1]!T.in.A[[#This Row],[oo9]]),ABS(Tab.o1[[#This Row],[DIF_Target.]]*Tab.o1[[#This Row],[W1_PDF]]))),"")</f>
        <v/>
      </c>
      <c r="AC780" s="127" t="str">
        <f>IF(G$1=1,"",IF(Tab.o1[[#This Row],[a1]]=1,Tab.o1[[#This Row],[Wr]]^2,""))</f>
        <v/>
      </c>
      <c r="AD780" s="118" t="str">
        <f>IF(Tab.o1[[#This Row],[a1]]=1,IF(AE$3=0,"",Tab.o1[[#This Row],[Wr2]]/SUM(Tab.o1[Wr2])),"")</f>
        <v/>
      </c>
      <c r="AE780" s="128" t="str">
        <f>IF(Tab.o1[[#This Row],[a1]]=1,[1]!T.in.A[[#This Row],[oo10]],"")</f>
        <v/>
      </c>
      <c r="AF780" s="118" t="str">
        <f>IF(Tab.o1[[#This Row],[a1]]=1,ABS(Tab.o1[[#This Row],[DIF_Target.]]*Tab.o1[[#This Row],[PDF2]]*Tab.o1[[#This Row],[IN]]),"")</f>
        <v/>
      </c>
      <c r="AG780" s="129" t="str">
        <f>IF(Tab.o1[[#This Row],[a1]]=1,Tab.o1[[#This Row],[rW]]^2,"")</f>
        <v/>
      </c>
      <c r="AH780" s="130" t="str">
        <f>IF(Tab.o1[[#This Row],[a1]]=1,IF(AH$3=0,Tab.o1[[#This Row],[rW2]],0.01+0.94*Tab.o1[[#This Row],[rW2]]/SUM(Tab.o1[rW2])),"")</f>
        <v/>
      </c>
      <c r="AI780" s="128" t="str">
        <f>IF(Tab.o1[[#This Row],[a1]]=1,1/Tab.o1[[#This Row],[PDF]],"")</f>
        <v/>
      </c>
      <c r="AJ780" s="131" t="str">
        <f>IF(Tab.o1[[#This Row],[a1]]=1,[1]!T_AA[[#This Row],[IN'']]*[1]!T_AA[[#This Row],[Qde'']],"")</f>
        <v/>
      </c>
      <c r="AK780" s="132" t="str">
        <f>IF(Tab.o1[[#This Row],[a1]]=1,IF(AK$1=1,Tab.o1[[#This Row],[MED]]+Tab.o1[[#This Row],[MOD]]-Tab.o1[[#This Row],[MED]],""),"")</f>
        <v/>
      </c>
      <c r="AL780" s="133" t="str">
        <f>IF(Tab.o1[[#This Row],[a1]]=1,[1]!T.in.A[[#This Row],[oo16]],"")</f>
        <v/>
      </c>
      <c r="AM780" s="133" t="str">
        <f>IF(Tab.o1[[#This Row],[a1]]=1,IF(AM$3=1,[1]!T.in.A[[#This Row],[Σo16]],""),"")</f>
        <v/>
      </c>
      <c r="AN780" s="126" t="str">
        <f>IF(Tab.o1[[#This Row],[a1]]=1,[1]!T.in.A[[#This Row],[Σp5]],"")</f>
        <v/>
      </c>
      <c r="AO780" s="126" t="str">
        <f>IF(Tab.o1[[#This Row],[a1]]=1,IF(AO$3=1,[1]!T.in.A[[#This Row],[Σp5]],""),"")</f>
        <v/>
      </c>
      <c r="AP780" s="110" t="str">
        <f>IF(Tab.o1[[#This Row],[a1]]=1,IF(ISNUMBER(Tab.o1[[#This Row],[i.]]),NORMDIST(Tab.o1[[#This Row],[Za]],0,1,FALSE)*Tab.o1[[#This Row],[i.]],0),"")</f>
        <v/>
      </c>
      <c r="AQ780" s="125" t="str">
        <f>IF(Tab.o1[[#This Row],[a1]]=1,ABS(Tab.o1[[#This Row],[MOD]]-AVERAGE(Tab.o1[MOD])),"")</f>
        <v/>
      </c>
      <c r="AR780" s="134" t="str">
        <f>IF(Tab.o1[[#This Row],[a1]]=1,Tab.o1[[#This Row],[OBS]]/SUM(Tab.o1[OBS]),"")</f>
        <v/>
      </c>
      <c r="AS780" s="135" t="str">
        <f>IF(ISNUMBER(Tab.o1[[#This Row],[a1]]),ROW()-4,"")</f>
        <v/>
      </c>
      <c r="AT780" s="136" t="str">
        <f>Tab.o1[[#This Row],[MOD]]</f>
        <v/>
      </c>
      <c r="AU780" s="137" t="str">
        <f t="shared" si="49"/>
        <v/>
      </c>
      <c r="AV780" s="138" t="str">
        <f t="shared" si="50"/>
        <v/>
      </c>
      <c r="AW780" s="138" t="str">
        <f t="shared" si="51"/>
        <v/>
      </c>
      <c r="AX780" s="139" t="str">
        <f>[1]!T.in.A[[#This Row],[ID_T_manu]]</f>
        <v/>
      </c>
      <c r="AY780" s="140" t="str">
        <f>IF(ISNUMBER(Tab.o1[[#This Row],[a1]]),IF(AND(Tab.o1[[#This Row],[a1]]=1,Tab.o1[[#This Row],[b1]]&lt;=AY$4),#REF!,AY779),"")</f>
        <v/>
      </c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6"/>
      <c r="BO780" s="26"/>
      <c r="BP780" s="26"/>
      <c r="BQ780" s="26"/>
      <c r="BR780" s="26"/>
      <c r="BS780" s="26"/>
      <c r="BT780" s="26"/>
      <c r="BU780" s="26"/>
      <c r="BV780" s="26"/>
      <c r="BW780" s="26"/>
      <c r="BX780" s="26"/>
      <c r="BY780" s="26"/>
      <c r="BZ780" s="26"/>
      <c r="CA780" s="26"/>
    </row>
    <row r="781" spans="1:79" s="143" customFormat="1" ht="15.75" hidden="1">
      <c r="A781" s="109">
        <v>5.9999999999999993E-6</v>
      </c>
      <c r="B781" s="110">
        <f t="shared" si="48"/>
        <v>781</v>
      </c>
      <c r="C781" s="111" t="str">
        <f>IF(C$1=[1]!T.in.A[[#This Row],[oo2]],1,"")</f>
        <v/>
      </c>
      <c r="D781" s="112" t="str">
        <f>IF(Tab.o1[[#This Row],[a1]]=1,IF(SUM(C781:C782)=0,0,IF(SUM(C780:C781)=1,1,IF(SUM(C780:C782)&gt;1,D780+1,0))),"")</f>
        <v/>
      </c>
      <c r="E781" s="113" t="str">
        <f>IF(Tab.o1[[#This Row],[a1]]=1,[1]!T.in.A[[#This Row],[oo1]],"")</f>
        <v/>
      </c>
      <c r="F781" s="113" t="str">
        <f>IF(Tab.o1[[#This Row],[a1]]=1,[1]!T.in.A[[#This Row],[pp1]],"")</f>
        <v/>
      </c>
      <c r="G781" s="114" t="str">
        <f>IF(Tab.o1[[#This Row],[a1]]=1,G$2+IF(G$1=1,0,Tab.o1[[#This Row],[.x1]])+[1]!T.in.A[[#This Row],[oo3]],"")</f>
        <v/>
      </c>
      <c r="H781" s="115" t="str">
        <f>IF(Tab.o1[[#This Row],[a1]]=1,IF(H$2=0,0,IF(G$1=1,0,Tab.o1[[#This Row],[.x1]])+[1]!T.in.A[[#This Row],[oo4]]),"")</f>
        <v/>
      </c>
      <c r="I781" s="116" t="str">
        <f>IF(Tab.o1[[#This Row],[a1]]=1,IF(J$2=0,Tab.o1[[#This Row],[MED]],Tab.o1[[#This Row],[MOD]]),"")</f>
        <v/>
      </c>
      <c r="J781" s="116" t="str">
        <f>IF(Tab.o1[[#This Row],[a1]]=1,((Tab.o1[[#This Row],[DIF_Target.]]-AVERAGE(Tab.o1[DIF_Target.]))/_xlfn.STDEV.P(Tab.o1[DIF_Target.])),"")</f>
        <v/>
      </c>
      <c r="K781" s="117" t="str">
        <f>IF(Tab.o1[[#This Row],[a1]]=1,IF(J$2=0,Tab.o1[[#This Row],[MOD]]-Tab.o1[[#This Row],[B]],IF(J$2=1,0,-Tab.o1[[#This Row],[MED]])+Tab.o1[[#This Row],[B]]),"")</f>
        <v/>
      </c>
      <c r="L781" s="117" t="str">
        <f ca="1">IF(Tab.o1[[#This Row],[DIF_Target]]=0,IF(L$2=0,Tab.o1[[#This Row],[DIF_Target]],AVERAGE(OFFSET(Tab.o1[[#This Row],[DIF_Target]],1,0,L$3,1)))/3,Tab.o1[[#This Row],[DIF_Target]])</f>
        <v/>
      </c>
      <c r="M781" s="118" t="str">
        <f>IF(Tab.o1[[#This Row],[a1]]=1,NORMSDIST(Tab.o1[[#This Row],[Za]]),"")</f>
        <v/>
      </c>
      <c r="N781" s="119" t="str">
        <f>IF(Tab.o1[[#This Row],[a1]]=1,((Tab.o1[[#This Row],[MedMod]]-AVERAGE(Tab.o1[MedMod]))/_xlfn.STDEV.P(Tab.o1[MedMod])*H$1205)+G$1205,"")</f>
        <v/>
      </c>
      <c r="O781" s="141" t="str">
        <f>IF(Tab.o1[[#This Row],[a1]]=1,Tab.o1[[#This Row],[Zb]]*_xlfn.STDEV.P(Tab.o1[MedMod])+AVERAGE(Tab.o1[MedMod]),"")</f>
        <v/>
      </c>
      <c r="P781" s="117" t="str">
        <f ca="1">IF(Tab.o1[[#This Row],[B]]=0,AVERAGE(OFFSET(Tab.o1[[#This Row],[B]],1,0,L$3,1)),Tab.o1[[#This Row],[B]])</f>
        <v/>
      </c>
      <c r="Q781" s="121" t="str">
        <f>IF(Tab.o1[[#This Row],[a1]]=1,NORMSDIST(Tab.o1[[#This Row],[Zb]]),"")</f>
        <v/>
      </c>
      <c r="R781" s="122" t="str">
        <f>IF(Tab.o1[[#This Row],[a1]]=1,((Tab.o1[[#This Row],[MedMod]]-AVERAGE(Tab.o1[MedMod]))/_xlfn.STDEV.P(Tab.o1[MedMod])*H$1203)+G$1203,"")</f>
        <v/>
      </c>
      <c r="S781" s="122" t="str">
        <f>IF(Tab.o1[[#This Row],[a1]]=1,((Tab.o1[[#This Row],[MedMod]]-AVERAGE(Tab.o1[MedMod]))/_xlfn.STDEV.P(Tab.o1[MedMod])*H$1204)+G$1204,"")</f>
        <v/>
      </c>
      <c r="T781" s="123" t="str">
        <f>IF(Tab.o1[[#This Row],[a1]]=1,Tab.o1[[#This Row],[Z-]]*_xlfn.STDEV.P(Tab.o1[B])+AVERAGE(Tab.o1[B]),"")</f>
        <v/>
      </c>
      <c r="U781" s="123" t="str">
        <f>IF(Tab.o1[[#This Row],[a1]]=1,Tab.o1[[#This Row],[z+]]*_xlfn.STDEV.P(Tab.o1[B])+AVERAGE(Tab.o1[B]),"")</f>
        <v/>
      </c>
      <c r="V781" s="124" t="str">
        <f>IF(Tab.o1[[#This Row],[a1]]=1,ABS((ABS(Tab.o1[[#This Row],[Red]]-Tab.o1[[#This Row],[Blue]]))),"")</f>
        <v/>
      </c>
      <c r="W781" s="125" t="str">
        <f>IF(Tab.o1[[#This Row],[a1]]=1,IF(W$3=0,1,Tab.o1[[#This Row],[Amp.]]*1/_xlfn.MINIFS(Tab.o1[Amp.],Tab.o1[Amp.],"&lt;&gt;0")),"")</f>
        <v/>
      </c>
      <c r="X781" s="126" t="str">
        <f>IF(Tab.o1[[#This Row],[a1]]=1,IF(ISNUMBER(Tab.o1[[#This Row],[i.]]),NORMDIST(Tab.o1[[#This Row],[Za]],0,1,FALSE)*Tab.o1[[#This Row],[i.]],AP$3),"")</f>
        <v/>
      </c>
      <c r="Y781" s="126" t="str">
        <f>IF(Tab.o1[[#This Row],[a1]]=1,0.01+0.94*Tab.o1[[#This Row],[PDF]]/MAX(Tab.o1[PDF]),"")</f>
        <v/>
      </c>
      <c r="Z781" s="126" t="str">
        <f>IF(Tab.o1[[#This Row],[a1]]=1,0.01+0.94*Tab.o1[[#This Row],[W1_PDF]]/MAX(Tab.o1[W1_PDF]),"")</f>
        <v/>
      </c>
      <c r="AA781" s="118" t="str">
        <f>IF(Tab.o1[[#This Row],[a1]]=1,ABS([1]!T.in.A[[#This Row],[oo6]]),"")</f>
        <v/>
      </c>
      <c r="AB781" s="127" t="str">
        <f>IF(Tab.o1[[#This Row],[a1]]=1,IF(AE$3=0,"",IF(AB$3=0,ABS([1]!T.in.A[[#This Row],[oo9]]),ABS(Tab.o1[[#This Row],[DIF_Target.]]*Tab.o1[[#This Row],[W1_PDF]]))),"")</f>
        <v/>
      </c>
      <c r="AC781" s="127" t="str">
        <f>IF(G$1=1,"",IF(Tab.o1[[#This Row],[a1]]=1,Tab.o1[[#This Row],[Wr]]^2,""))</f>
        <v/>
      </c>
      <c r="AD781" s="118" t="str">
        <f>IF(Tab.o1[[#This Row],[a1]]=1,IF(AE$3=0,"",Tab.o1[[#This Row],[Wr2]]/SUM(Tab.o1[Wr2])),"")</f>
        <v/>
      </c>
      <c r="AE781" s="128" t="str">
        <f>IF(Tab.o1[[#This Row],[a1]]=1,[1]!T.in.A[[#This Row],[oo10]],"")</f>
        <v/>
      </c>
      <c r="AF781" s="118" t="str">
        <f>IF(Tab.o1[[#This Row],[a1]]=1,ABS(Tab.o1[[#This Row],[DIF_Target.]]*Tab.o1[[#This Row],[PDF2]]*Tab.o1[[#This Row],[IN]]),"")</f>
        <v/>
      </c>
      <c r="AG781" s="129" t="str">
        <f>IF(Tab.o1[[#This Row],[a1]]=1,Tab.o1[[#This Row],[rW]]^2,"")</f>
        <v/>
      </c>
      <c r="AH781" s="130" t="str">
        <f>IF(Tab.o1[[#This Row],[a1]]=1,IF(AH$3=0,Tab.o1[[#This Row],[rW2]],0.01+0.94*Tab.o1[[#This Row],[rW2]]/SUM(Tab.o1[rW2])),"")</f>
        <v/>
      </c>
      <c r="AI781" s="128" t="str">
        <f>IF(Tab.o1[[#This Row],[a1]]=1,1/Tab.o1[[#This Row],[PDF]],"")</f>
        <v/>
      </c>
      <c r="AJ781" s="131" t="str">
        <f>IF(Tab.o1[[#This Row],[a1]]=1,[1]!T_AA[[#This Row],[IN'']]*[1]!T_AA[[#This Row],[Qde'']],"")</f>
        <v/>
      </c>
      <c r="AK781" s="132" t="str">
        <f>IF(Tab.o1[[#This Row],[a1]]=1,IF(AK$1=1,Tab.o1[[#This Row],[MED]]+Tab.o1[[#This Row],[MOD]]-Tab.o1[[#This Row],[MED]],""),"")</f>
        <v/>
      </c>
      <c r="AL781" s="133" t="str">
        <f>IF(Tab.o1[[#This Row],[a1]]=1,[1]!T.in.A[[#This Row],[oo16]],"")</f>
        <v/>
      </c>
      <c r="AM781" s="133" t="str">
        <f>IF(Tab.o1[[#This Row],[a1]]=1,IF(AM$3=1,[1]!T.in.A[[#This Row],[Σo16]],""),"")</f>
        <v/>
      </c>
      <c r="AN781" s="126" t="str">
        <f>IF(Tab.o1[[#This Row],[a1]]=1,[1]!T.in.A[[#This Row],[Σp5]],"")</f>
        <v/>
      </c>
      <c r="AO781" s="126" t="str">
        <f>IF(Tab.o1[[#This Row],[a1]]=1,IF(AO$3=1,[1]!T.in.A[[#This Row],[Σp5]],""),"")</f>
        <v/>
      </c>
      <c r="AP781" s="110" t="str">
        <f>IF(Tab.o1[[#This Row],[a1]]=1,IF(ISNUMBER(Tab.o1[[#This Row],[i.]]),NORMDIST(Tab.o1[[#This Row],[Za]],0,1,FALSE)*Tab.o1[[#This Row],[i.]],0),"")</f>
        <v/>
      </c>
      <c r="AQ781" s="125" t="str">
        <f>IF(Tab.o1[[#This Row],[a1]]=1,ABS(Tab.o1[[#This Row],[MOD]]-AVERAGE(Tab.o1[MOD])),"")</f>
        <v/>
      </c>
      <c r="AR781" s="134" t="str">
        <f>IF(Tab.o1[[#This Row],[a1]]=1,Tab.o1[[#This Row],[OBS]]/SUM(Tab.o1[OBS]),"")</f>
        <v/>
      </c>
      <c r="AS781" s="135" t="str">
        <f>IF(ISNUMBER(Tab.o1[[#This Row],[a1]]),ROW()-4,"")</f>
        <v/>
      </c>
      <c r="AT781" s="136" t="str">
        <f>Tab.o1[[#This Row],[MOD]]</f>
        <v/>
      </c>
      <c r="AU781" s="137" t="str">
        <f t="shared" si="49"/>
        <v/>
      </c>
      <c r="AV781" s="138" t="str">
        <f t="shared" si="50"/>
        <v/>
      </c>
      <c r="AW781" s="138" t="str">
        <f t="shared" si="51"/>
        <v/>
      </c>
      <c r="AX781" s="139" t="str">
        <f>[1]!T.in.A[[#This Row],[ID_T_manu]]</f>
        <v/>
      </c>
      <c r="AY781" s="140" t="str">
        <f>IF(ISNUMBER(Tab.o1[[#This Row],[a1]]),IF(AND(Tab.o1[[#This Row],[a1]]=1,Tab.o1[[#This Row],[b1]]&lt;=AY$4),#REF!,AY780),"")</f>
        <v/>
      </c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6"/>
      <c r="BO781" s="26"/>
      <c r="BP781" s="26"/>
      <c r="BQ781" s="26"/>
      <c r="BR781" s="26"/>
      <c r="BS781" s="26"/>
      <c r="BT781" s="26"/>
      <c r="BU781" s="26"/>
      <c r="BV781" s="26"/>
      <c r="BW781" s="26"/>
      <c r="BX781" s="26"/>
      <c r="BY781" s="26"/>
      <c r="BZ781" s="26"/>
      <c r="CA781" s="26"/>
    </row>
    <row r="782" spans="1:79" s="143" customFormat="1" ht="15.75" hidden="1">
      <c r="A782" s="109">
        <v>2.9999999999999997E-6</v>
      </c>
      <c r="B782" s="110">
        <f t="shared" si="48"/>
        <v>782</v>
      </c>
      <c r="C782" s="111" t="str">
        <f>IF(C$1=[1]!T.in.A[[#This Row],[oo2]],1,"")</f>
        <v/>
      </c>
      <c r="D782" s="112" t="str">
        <f>IF(Tab.o1[[#This Row],[a1]]=1,IF(SUM(C782:C783)=0,0,IF(SUM(C781:C782)=1,1,IF(SUM(C781:C783)&gt;1,D781+1,0))),"")</f>
        <v/>
      </c>
      <c r="E782" s="113" t="str">
        <f>IF(Tab.o1[[#This Row],[a1]]=1,[1]!T.in.A[[#This Row],[oo1]],"")</f>
        <v/>
      </c>
      <c r="F782" s="113" t="str">
        <f>IF(Tab.o1[[#This Row],[a1]]=1,[1]!T.in.A[[#This Row],[pp1]],"")</f>
        <v/>
      </c>
      <c r="G782" s="114" t="str">
        <f>IF(Tab.o1[[#This Row],[a1]]=1,G$2+IF(G$1=1,0,Tab.o1[[#This Row],[.x1]])+[1]!T.in.A[[#This Row],[oo3]],"")</f>
        <v/>
      </c>
      <c r="H782" s="115" t="str">
        <f>IF(Tab.o1[[#This Row],[a1]]=1,IF(H$2=0,0,IF(G$1=1,0,Tab.o1[[#This Row],[.x1]])+[1]!T.in.A[[#This Row],[oo4]]),"")</f>
        <v/>
      </c>
      <c r="I782" s="116" t="str">
        <f>IF(Tab.o1[[#This Row],[a1]]=1,IF(J$2=0,Tab.o1[[#This Row],[MED]],Tab.o1[[#This Row],[MOD]]),"")</f>
        <v/>
      </c>
      <c r="J782" s="116" t="str">
        <f>IF(Tab.o1[[#This Row],[a1]]=1,((Tab.o1[[#This Row],[DIF_Target.]]-AVERAGE(Tab.o1[DIF_Target.]))/_xlfn.STDEV.P(Tab.o1[DIF_Target.])),"")</f>
        <v/>
      </c>
      <c r="K782" s="117" t="str">
        <f>IF(Tab.o1[[#This Row],[a1]]=1,IF(J$2=0,Tab.o1[[#This Row],[MOD]]-Tab.o1[[#This Row],[B]],IF(J$2=1,0,-Tab.o1[[#This Row],[MED]])+Tab.o1[[#This Row],[B]]),"")</f>
        <v/>
      </c>
      <c r="L782" s="117" t="str">
        <f ca="1">IF(Tab.o1[[#This Row],[DIF_Target]]=0,IF(L$2=0,Tab.o1[[#This Row],[DIF_Target]],AVERAGE(OFFSET(Tab.o1[[#This Row],[DIF_Target]],1,0,L$3,1)))/3,Tab.o1[[#This Row],[DIF_Target]])</f>
        <v/>
      </c>
      <c r="M782" s="118" t="str">
        <f>IF(Tab.o1[[#This Row],[a1]]=1,NORMSDIST(Tab.o1[[#This Row],[Za]]),"")</f>
        <v/>
      </c>
      <c r="N782" s="119" t="str">
        <f>IF(Tab.o1[[#This Row],[a1]]=1,((Tab.o1[[#This Row],[MedMod]]-AVERAGE(Tab.o1[MedMod]))/_xlfn.STDEV.P(Tab.o1[MedMod])*H$1205)+G$1205,"")</f>
        <v/>
      </c>
      <c r="O782" s="141" t="str">
        <f>IF(Tab.o1[[#This Row],[a1]]=1,Tab.o1[[#This Row],[Zb]]*_xlfn.STDEV.P(Tab.o1[MedMod])+AVERAGE(Tab.o1[MedMod]),"")</f>
        <v/>
      </c>
      <c r="P782" s="117" t="str">
        <f ca="1">IF(Tab.o1[[#This Row],[B]]=0,AVERAGE(OFFSET(Tab.o1[[#This Row],[B]],1,0,L$3,1)),Tab.o1[[#This Row],[B]])</f>
        <v/>
      </c>
      <c r="Q782" s="121" t="str">
        <f>IF(Tab.o1[[#This Row],[a1]]=1,NORMSDIST(Tab.o1[[#This Row],[Zb]]),"")</f>
        <v/>
      </c>
      <c r="R782" s="122" t="str">
        <f>IF(Tab.o1[[#This Row],[a1]]=1,((Tab.o1[[#This Row],[MedMod]]-AVERAGE(Tab.o1[MedMod]))/_xlfn.STDEV.P(Tab.o1[MedMod])*H$1203)+G$1203,"")</f>
        <v/>
      </c>
      <c r="S782" s="122" t="str">
        <f>IF(Tab.o1[[#This Row],[a1]]=1,((Tab.o1[[#This Row],[MedMod]]-AVERAGE(Tab.o1[MedMod]))/_xlfn.STDEV.P(Tab.o1[MedMod])*H$1204)+G$1204,"")</f>
        <v/>
      </c>
      <c r="T782" s="123" t="str">
        <f>IF(Tab.o1[[#This Row],[a1]]=1,Tab.o1[[#This Row],[Z-]]*_xlfn.STDEV.P(Tab.o1[B])+AVERAGE(Tab.o1[B]),"")</f>
        <v/>
      </c>
      <c r="U782" s="123" t="str">
        <f>IF(Tab.o1[[#This Row],[a1]]=1,Tab.o1[[#This Row],[z+]]*_xlfn.STDEV.P(Tab.o1[B])+AVERAGE(Tab.o1[B]),"")</f>
        <v/>
      </c>
      <c r="V782" s="124" t="str">
        <f>IF(Tab.o1[[#This Row],[a1]]=1,ABS((ABS(Tab.o1[[#This Row],[Red]]-Tab.o1[[#This Row],[Blue]]))),"")</f>
        <v/>
      </c>
      <c r="W782" s="125" t="str">
        <f>IF(Tab.o1[[#This Row],[a1]]=1,IF(W$3=0,1,Tab.o1[[#This Row],[Amp.]]*1/_xlfn.MINIFS(Tab.o1[Amp.],Tab.o1[Amp.],"&lt;&gt;0")),"")</f>
        <v/>
      </c>
      <c r="X782" s="126" t="str">
        <f>IF(Tab.o1[[#This Row],[a1]]=1,IF(ISNUMBER(Tab.o1[[#This Row],[i.]]),NORMDIST(Tab.o1[[#This Row],[Za]],0,1,FALSE)*Tab.o1[[#This Row],[i.]],AP$3),"")</f>
        <v/>
      </c>
      <c r="Y782" s="126" t="str">
        <f>IF(Tab.o1[[#This Row],[a1]]=1,0.01+0.94*Tab.o1[[#This Row],[PDF]]/MAX(Tab.o1[PDF]),"")</f>
        <v/>
      </c>
      <c r="Z782" s="126" t="str">
        <f>IF(Tab.o1[[#This Row],[a1]]=1,0.01+0.94*Tab.o1[[#This Row],[W1_PDF]]/MAX(Tab.o1[W1_PDF]),"")</f>
        <v/>
      </c>
      <c r="AA782" s="118" t="str">
        <f>IF(Tab.o1[[#This Row],[a1]]=1,ABS([1]!T.in.A[[#This Row],[oo6]]),"")</f>
        <v/>
      </c>
      <c r="AB782" s="127" t="str">
        <f>IF(Tab.o1[[#This Row],[a1]]=1,IF(AE$3=0,"",IF(AB$3=0,ABS([1]!T.in.A[[#This Row],[oo9]]),ABS(Tab.o1[[#This Row],[DIF_Target.]]*Tab.o1[[#This Row],[W1_PDF]]))),"")</f>
        <v/>
      </c>
      <c r="AC782" s="127" t="str">
        <f>IF(G$1=1,"",IF(Tab.o1[[#This Row],[a1]]=1,Tab.o1[[#This Row],[Wr]]^2,""))</f>
        <v/>
      </c>
      <c r="AD782" s="118" t="str">
        <f>IF(Tab.o1[[#This Row],[a1]]=1,IF(AE$3=0,"",Tab.o1[[#This Row],[Wr2]]/SUM(Tab.o1[Wr2])),"")</f>
        <v/>
      </c>
      <c r="AE782" s="128" t="str">
        <f>IF(Tab.o1[[#This Row],[a1]]=1,[1]!T.in.A[[#This Row],[oo10]],"")</f>
        <v/>
      </c>
      <c r="AF782" s="118" t="str">
        <f>IF(Tab.o1[[#This Row],[a1]]=1,ABS(Tab.o1[[#This Row],[DIF_Target.]]*Tab.o1[[#This Row],[PDF2]]*Tab.o1[[#This Row],[IN]]),"")</f>
        <v/>
      </c>
      <c r="AG782" s="129" t="str">
        <f>IF(Tab.o1[[#This Row],[a1]]=1,Tab.o1[[#This Row],[rW]]^2,"")</f>
        <v/>
      </c>
      <c r="AH782" s="130" t="str">
        <f>IF(Tab.o1[[#This Row],[a1]]=1,IF(AH$3=0,Tab.o1[[#This Row],[rW2]],0.01+0.94*Tab.o1[[#This Row],[rW2]]/SUM(Tab.o1[rW2])),"")</f>
        <v/>
      </c>
      <c r="AI782" s="128" t="str">
        <f>IF(Tab.o1[[#This Row],[a1]]=1,1/Tab.o1[[#This Row],[PDF]],"")</f>
        <v/>
      </c>
      <c r="AJ782" s="131" t="str">
        <f>IF(Tab.o1[[#This Row],[a1]]=1,[1]!T_AA[[#This Row],[IN'']]*[1]!T_AA[[#This Row],[Qde'']],"")</f>
        <v/>
      </c>
      <c r="AK782" s="132" t="str">
        <f>IF(Tab.o1[[#This Row],[a1]]=1,IF(AK$1=1,Tab.o1[[#This Row],[MED]]+Tab.o1[[#This Row],[MOD]]-Tab.o1[[#This Row],[MED]],""),"")</f>
        <v/>
      </c>
      <c r="AL782" s="133" t="str">
        <f>IF(Tab.o1[[#This Row],[a1]]=1,[1]!T.in.A[[#This Row],[oo16]],"")</f>
        <v/>
      </c>
      <c r="AM782" s="133" t="str">
        <f>IF(Tab.o1[[#This Row],[a1]]=1,IF(AM$3=1,[1]!T.in.A[[#This Row],[Σo16]],""),"")</f>
        <v/>
      </c>
      <c r="AN782" s="126" t="str">
        <f>IF(Tab.o1[[#This Row],[a1]]=1,[1]!T.in.A[[#This Row],[Σp5]],"")</f>
        <v/>
      </c>
      <c r="AO782" s="126" t="str">
        <f>IF(Tab.o1[[#This Row],[a1]]=1,IF(AO$3=1,[1]!T.in.A[[#This Row],[Σp5]],""),"")</f>
        <v/>
      </c>
      <c r="AP782" s="110" t="str">
        <f>IF(Tab.o1[[#This Row],[a1]]=1,IF(ISNUMBER(Tab.o1[[#This Row],[i.]]),NORMDIST(Tab.o1[[#This Row],[Za]],0,1,FALSE)*Tab.o1[[#This Row],[i.]],0),"")</f>
        <v/>
      </c>
      <c r="AQ782" s="125" t="str">
        <f>IF(Tab.o1[[#This Row],[a1]]=1,ABS(Tab.o1[[#This Row],[MOD]]-AVERAGE(Tab.o1[MOD])),"")</f>
        <v/>
      </c>
      <c r="AR782" s="134" t="str">
        <f>IF(Tab.o1[[#This Row],[a1]]=1,Tab.o1[[#This Row],[OBS]]/SUM(Tab.o1[OBS]),"")</f>
        <v/>
      </c>
      <c r="AS782" s="135" t="str">
        <f>IF(ISNUMBER(Tab.o1[[#This Row],[a1]]),ROW()-4,"")</f>
        <v/>
      </c>
      <c r="AT782" s="136" t="str">
        <f>Tab.o1[[#This Row],[MOD]]</f>
        <v/>
      </c>
      <c r="AU782" s="137" t="str">
        <f t="shared" si="49"/>
        <v/>
      </c>
      <c r="AV782" s="138" t="str">
        <f t="shared" si="50"/>
        <v/>
      </c>
      <c r="AW782" s="138" t="str">
        <f t="shared" si="51"/>
        <v/>
      </c>
      <c r="AX782" s="139" t="str">
        <f>[1]!T.in.A[[#This Row],[ID_T_manu]]</f>
        <v/>
      </c>
      <c r="AY782" s="140" t="str">
        <f>IF(ISNUMBER(Tab.o1[[#This Row],[a1]]),IF(AND(Tab.o1[[#This Row],[a1]]=1,Tab.o1[[#This Row],[b1]]&lt;=AY$4),#REF!,AY781),"")</f>
        <v/>
      </c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6"/>
      <c r="BO782" s="26"/>
      <c r="BP782" s="26"/>
      <c r="BQ782" s="26"/>
      <c r="BR782" s="26"/>
      <c r="BS782" s="26"/>
      <c r="BT782" s="26"/>
      <c r="BU782" s="26"/>
      <c r="BV782" s="26"/>
      <c r="BW782" s="26"/>
      <c r="BX782" s="26"/>
      <c r="BY782" s="26"/>
      <c r="BZ782" s="26"/>
      <c r="CA782" s="26"/>
    </row>
    <row r="783" spans="1:79" s="143" customFormat="1" ht="15.75" hidden="1">
      <c r="A783" s="109">
        <v>-9.0000000000000002E-6</v>
      </c>
      <c r="B783" s="110">
        <f t="shared" si="48"/>
        <v>783</v>
      </c>
      <c r="C783" s="111" t="str">
        <f>IF(C$1=[1]!T.in.A[[#This Row],[oo2]],1,"")</f>
        <v/>
      </c>
      <c r="D783" s="112" t="str">
        <f>IF(Tab.o1[[#This Row],[a1]]=1,IF(SUM(C783:C784)=0,0,IF(SUM(C782:C783)=1,1,IF(SUM(C782:C784)&gt;1,D782+1,0))),"")</f>
        <v/>
      </c>
      <c r="E783" s="113" t="str">
        <f>IF(Tab.o1[[#This Row],[a1]]=1,[1]!T.in.A[[#This Row],[oo1]],"")</f>
        <v/>
      </c>
      <c r="F783" s="113" t="str">
        <f>IF(Tab.o1[[#This Row],[a1]]=1,[1]!T.in.A[[#This Row],[pp1]],"")</f>
        <v/>
      </c>
      <c r="G783" s="114" t="str">
        <f>IF(Tab.o1[[#This Row],[a1]]=1,G$2+IF(G$1=1,0,Tab.o1[[#This Row],[.x1]])+[1]!T.in.A[[#This Row],[oo3]],"")</f>
        <v/>
      </c>
      <c r="H783" s="115" t="str">
        <f>IF(Tab.o1[[#This Row],[a1]]=1,IF(H$2=0,0,IF(G$1=1,0,Tab.o1[[#This Row],[.x1]])+[1]!T.in.A[[#This Row],[oo4]]),"")</f>
        <v/>
      </c>
      <c r="I783" s="116" t="str">
        <f>IF(Tab.o1[[#This Row],[a1]]=1,IF(J$2=0,Tab.o1[[#This Row],[MED]],Tab.o1[[#This Row],[MOD]]),"")</f>
        <v/>
      </c>
      <c r="J783" s="116" t="str">
        <f>IF(Tab.o1[[#This Row],[a1]]=1,((Tab.o1[[#This Row],[DIF_Target.]]-AVERAGE(Tab.o1[DIF_Target.]))/_xlfn.STDEV.P(Tab.o1[DIF_Target.])),"")</f>
        <v/>
      </c>
      <c r="K783" s="117" t="str">
        <f>IF(Tab.o1[[#This Row],[a1]]=1,IF(J$2=0,Tab.o1[[#This Row],[MOD]]-Tab.o1[[#This Row],[B]],IF(J$2=1,0,-Tab.o1[[#This Row],[MED]])+Tab.o1[[#This Row],[B]]),"")</f>
        <v/>
      </c>
      <c r="L783" s="117" t="str">
        <f ca="1">IF(Tab.o1[[#This Row],[DIF_Target]]=0,IF(L$2=0,Tab.o1[[#This Row],[DIF_Target]],AVERAGE(OFFSET(Tab.o1[[#This Row],[DIF_Target]],1,0,L$3,1)))/3,Tab.o1[[#This Row],[DIF_Target]])</f>
        <v/>
      </c>
      <c r="M783" s="118" t="str">
        <f>IF(Tab.o1[[#This Row],[a1]]=1,NORMSDIST(Tab.o1[[#This Row],[Za]]),"")</f>
        <v/>
      </c>
      <c r="N783" s="119" t="str">
        <f>IF(Tab.o1[[#This Row],[a1]]=1,((Tab.o1[[#This Row],[MedMod]]-AVERAGE(Tab.o1[MedMod]))/_xlfn.STDEV.P(Tab.o1[MedMod])*H$1205)+G$1205,"")</f>
        <v/>
      </c>
      <c r="O783" s="141" t="str">
        <f>IF(Tab.o1[[#This Row],[a1]]=1,Tab.o1[[#This Row],[Zb]]*_xlfn.STDEV.P(Tab.o1[MedMod])+AVERAGE(Tab.o1[MedMod]),"")</f>
        <v/>
      </c>
      <c r="P783" s="117" t="str">
        <f ca="1">IF(Tab.o1[[#This Row],[B]]=0,AVERAGE(OFFSET(Tab.o1[[#This Row],[B]],1,0,L$3,1)),Tab.o1[[#This Row],[B]])</f>
        <v/>
      </c>
      <c r="Q783" s="121" t="str">
        <f>IF(Tab.o1[[#This Row],[a1]]=1,NORMSDIST(Tab.o1[[#This Row],[Zb]]),"")</f>
        <v/>
      </c>
      <c r="R783" s="122" t="str">
        <f>IF(Tab.o1[[#This Row],[a1]]=1,((Tab.o1[[#This Row],[MedMod]]-AVERAGE(Tab.o1[MedMod]))/_xlfn.STDEV.P(Tab.o1[MedMod])*H$1203)+G$1203,"")</f>
        <v/>
      </c>
      <c r="S783" s="122" t="str">
        <f>IF(Tab.o1[[#This Row],[a1]]=1,((Tab.o1[[#This Row],[MedMod]]-AVERAGE(Tab.o1[MedMod]))/_xlfn.STDEV.P(Tab.o1[MedMod])*H$1204)+G$1204,"")</f>
        <v/>
      </c>
      <c r="T783" s="123" t="str">
        <f>IF(Tab.o1[[#This Row],[a1]]=1,Tab.o1[[#This Row],[Z-]]*_xlfn.STDEV.P(Tab.o1[B])+AVERAGE(Tab.o1[B]),"")</f>
        <v/>
      </c>
      <c r="U783" s="123" t="str">
        <f>IF(Tab.o1[[#This Row],[a1]]=1,Tab.o1[[#This Row],[z+]]*_xlfn.STDEV.P(Tab.o1[B])+AVERAGE(Tab.o1[B]),"")</f>
        <v/>
      </c>
      <c r="V783" s="124" t="str">
        <f>IF(Tab.o1[[#This Row],[a1]]=1,ABS((ABS(Tab.o1[[#This Row],[Red]]-Tab.o1[[#This Row],[Blue]]))),"")</f>
        <v/>
      </c>
      <c r="W783" s="125" t="str">
        <f>IF(Tab.o1[[#This Row],[a1]]=1,IF(W$3=0,1,Tab.o1[[#This Row],[Amp.]]*1/_xlfn.MINIFS(Tab.o1[Amp.],Tab.o1[Amp.],"&lt;&gt;0")),"")</f>
        <v/>
      </c>
      <c r="X783" s="126" t="str">
        <f>IF(Tab.o1[[#This Row],[a1]]=1,IF(ISNUMBER(Tab.o1[[#This Row],[i.]]),NORMDIST(Tab.o1[[#This Row],[Za]],0,1,FALSE)*Tab.o1[[#This Row],[i.]],AP$3),"")</f>
        <v/>
      </c>
      <c r="Y783" s="126" t="str">
        <f>IF(Tab.o1[[#This Row],[a1]]=1,0.01+0.94*Tab.o1[[#This Row],[PDF]]/MAX(Tab.o1[PDF]),"")</f>
        <v/>
      </c>
      <c r="Z783" s="126" t="str">
        <f>IF(Tab.o1[[#This Row],[a1]]=1,0.01+0.94*Tab.o1[[#This Row],[W1_PDF]]/MAX(Tab.o1[W1_PDF]),"")</f>
        <v/>
      </c>
      <c r="AA783" s="118" t="str">
        <f>IF(Tab.o1[[#This Row],[a1]]=1,ABS([1]!T.in.A[[#This Row],[oo6]]),"")</f>
        <v/>
      </c>
      <c r="AB783" s="127" t="str">
        <f>IF(Tab.o1[[#This Row],[a1]]=1,IF(AE$3=0,"",IF(AB$3=0,ABS([1]!T.in.A[[#This Row],[oo9]]),ABS(Tab.o1[[#This Row],[DIF_Target.]]*Tab.o1[[#This Row],[W1_PDF]]))),"")</f>
        <v/>
      </c>
      <c r="AC783" s="127" t="str">
        <f>IF(G$1=1,"",IF(Tab.o1[[#This Row],[a1]]=1,Tab.o1[[#This Row],[Wr]]^2,""))</f>
        <v/>
      </c>
      <c r="AD783" s="118" t="str">
        <f>IF(Tab.o1[[#This Row],[a1]]=1,IF(AE$3=0,"",Tab.o1[[#This Row],[Wr2]]/SUM(Tab.o1[Wr2])),"")</f>
        <v/>
      </c>
      <c r="AE783" s="128" t="str">
        <f>IF(Tab.o1[[#This Row],[a1]]=1,[1]!T.in.A[[#This Row],[oo10]],"")</f>
        <v/>
      </c>
      <c r="AF783" s="118" t="str">
        <f>IF(Tab.o1[[#This Row],[a1]]=1,ABS(Tab.o1[[#This Row],[DIF_Target.]]*Tab.o1[[#This Row],[PDF2]]*Tab.o1[[#This Row],[IN]]),"")</f>
        <v/>
      </c>
      <c r="AG783" s="129" t="str">
        <f>IF(Tab.o1[[#This Row],[a1]]=1,Tab.o1[[#This Row],[rW]]^2,"")</f>
        <v/>
      </c>
      <c r="AH783" s="130" t="str">
        <f>IF(Tab.o1[[#This Row],[a1]]=1,IF(AH$3=0,Tab.o1[[#This Row],[rW2]],0.01+0.94*Tab.o1[[#This Row],[rW2]]/SUM(Tab.o1[rW2])),"")</f>
        <v/>
      </c>
      <c r="AI783" s="128" t="str">
        <f>IF(Tab.o1[[#This Row],[a1]]=1,1/Tab.o1[[#This Row],[PDF]],"")</f>
        <v/>
      </c>
      <c r="AJ783" s="131" t="str">
        <f>IF(Tab.o1[[#This Row],[a1]]=1,[1]!T_AA[[#This Row],[IN'']]*[1]!T_AA[[#This Row],[Qde'']],"")</f>
        <v/>
      </c>
      <c r="AK783" s="132" t="str">
        <f>IF(Tab.o1[[#This Row],[a1]]=1,IF(AK$1=1,Tab.o1[[#This Row],[MED]]+Tab.o1[[#This Row],[MOD]]-Tab.o1[[#This Row],[MED]],""),"")</f>
        <v/>
      </c>
      <c r="AL783" s="133" t="str">
        <f>IF(Tab.o1[[#This Row],[a1]]=1,[1]!T.in.A[[#This Row],[oo16]],"")</f>
        <v/>
      </c>
      <c r="AM783" s="133" t="str">
        <f>IF(Tab.o1[[#This Row],[a1]]=1,IF(AM$3=1,[1]!T.in.A[[#This Row],[Σo16]],""),"")</f>
        <v/>
      </c>
      <c r="AN783" s="126" t="str">
        <f>IF(Tab.o1[[#This Row],[a1]]=1,[1]!T.in.A[[#This Row],[Σp5]],"")</f>
        <v/>
      </c>
      <c r="AO783" s="126" t="str">
        <f>IF(Tab.o1[[#This Row],[a1]]=1,IF(AO$3=1,[1]!T.in.A[[#This Row],[Σp5]],""),"")</f>
        <v/>
      </c>
      <c r="AP783" s="110" t="str">
        <f>IF(Tab.o1[[#This Row],[a1]]=1,IF(ISNUMBER(Tab.o1[[#This Row],[i.]]),NORMDIST(Tab.o1[[#This Row],[Za]],0,1,FALSE)*Tab.o1[[#This Row],[i.]],0),"")</f>
        <v/>
      </c>
      <c r="AQ783" s="125" t="str">
        <f>IF(Tab.o1[[#This Row],[a1]]=1,ABS(Tab.o1[[#This Row],[MOD]]-AVERAGE(Tab.o1[MOD])),"")</f>
        <v/>
      </c>
      <c r="AR783" s="134" t="str">
        <f>IF(Tab.o1[[#This Row],[a1]]=1,Tab.o1[[#This Row],[OBS]]/SUM(Tab.o1[OBS]),"")</f>
        <v/>
      </c>
      <c r="AS783" s="135" t="str">
        <f>IF(ISNUMBER(Tab.o1[[#This Row],[a1]]),ROW()-4,"")</f>
        <v/>
      </c>
      <c r="AT783" s="136" t="str">
        <f>Tab.o1[[#This Row],[MOD]]</f>
        <v/>
      </c>
      <c r="AU783" s="137" t="str">
        <f t="shared" si="49"/>
        <v/>
      </c>
      <c r="AV783" s="138" t="str">
        <f t="shared" si="50"/>
        <v/>
      </c>
      <c r="AW783" s="138" t="str">
        <f t="shared" si="51"/>
        <v/>
      </c>
      <c r="AX783" s="139" t="str">
        <f>[1]!T.in.A[[#This Row],[ID_T_manu]]</f>
        <v/>
      </c>
      <c r="AY783" s="140" t="str">
        <f>IF(ISNUMBER(Tab.o1[[#This Row],[a1]]),IF(AND(Tab.o1[[#This Row],[a1]]=1,Tab.o1[[#This Row],[b1]]&lt;=AY$4),#REF!,AY782),"")</f>
        <v/>
      </c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6"/>
      <c r="BO783" s="26"/>
      <c r="BP783" s="26"/>
      <c r="BQ783" s="26"/>
      <c r="BR783" s="26"/>
      <c r="BS783" s="26"/>
      <c r="BT783" s="26"/>
      <c r="BU783" s="26"/>
      <c r="BV783" s="26"/>
      <c r="BW783" s="26"/>
      <c r="BX783" s="26"/>
      <c r="BY783" s="26"/>
      <c r="BZ783" s="26"/>
      <c r="CA783" s="26"/>
    </row>
    <row r="784" spans="1:79" s="143" customFormat="1" ht="15.75" hidden="1">
      <c r="A784" s="109">
        <v>2.0000000000000003E-6</v>
      </c>
      <c r="B784" s="110">
        <f t="shared" si="48"/>
        <v>784</v>
      </c>
      <c r="C784" s="111" t="str">
        <f>IF(C$1=[1]!T.in.A[[#This Row],[oo2]],1,"")</f>
        <v/>
      </c>
      <c r="D784" s="112" t="str">
        <f>IF(Tab.o1[[#This Row],[a1]]=1,IF(SUM(C784:C785)=0,0,IF(SUM(C783:C784)=1,1,IF(SUM(C783:C785)&gt;1,D783+1,0))),"")</f>
        <v/>
      </c>
      <c r="E784" s="113" t="str">
        <f>IF(Tab.o1[[#This Row],[a1]]=1,[1]!T.in.A[[#This Row],[oo1]],"")</f>
        <v/>
      </c>
      <c r="F784" s="113" t="str">
        <f>IF(Tab.o1[[#This Row],[a1]]=1,[1]!T.in.A[[#This Row],[pp1]],"")</f>
        <v/>
      </c>
      <c r="G784" s="114" t="str">
        <f>IF(Tab.o1[[#This Row],[a1]]=1,G$2+IF(G$1=1,0,Tab.o1[[#This Row],[.x1]])+[1]!T.in.A[[#This Row],[oo3]],"")</f>
        <v/>
      </c>
      <c r="H784" s="115" t="str">
        <f>IF(Tab.o1[[#This Row],[a1]]=1,IF(H$2=0,0,IF(G$1=1,0,Tab.o1[[#This Row],[.x1]])+[1]!T.in.A[[#This Row],[oo4]]),"")</f>
        <v/>
      </c>
      <c r="I784" s="116" t="str">
        <f>IF(Tab.o1[[#This Row],[a1]]=1,IF(J$2=0,Tab.o1[[#This Row],[MED]],Tab.o1[[#This Row],[MOD]]),"")</f>
        <v/>
      </c>
      <c r="J784" s="116" t="str">
        <f>IF(Tab.o1[[#This Row],[a1]]=1,((Tab.o1[[#This Row],[DIF_Target.]]-AVERAGE(Tab.o1[DIF_Target.]))/_xlfn.STDEV.P(Tab.o1[DIF_Target.])),"")</f>
        <v/>
      </c>
      <c r="K784" s="117" t="str">
        <f>IF(Tab.o1[[#This Row],[a1]]=1,IF(J$2=0,Tab.o1[[#This Row],[MOD]]-Tab.o1[[#This Row],[B]],IF(J$2=1,0,-Tab.o1[[#This Row],[MED]])+Tab.o1[[#This Row],[B]]),"")</f>
        <v/>
      </c>
      <c r="L784" s="117" t="str">
        <f ca="1">IF(Tab.o1[[#This Row],[DIF_Target]]=0,IF(L$2=0,Tab.o1[[#This Row],[DIF_Target]],AVERAGE(OFFSET(Tab.o1[[#This Row],[DIF_Target]],1,0,L$3,1)))/3,Tab.o1[[#This Row],[DIF_Target]])</f>
        <v/>
      </c>
      <c r="M784" s="118" t="str">
        <f>IF(Tab.o1[[#This Row],[a1]]=1,NORMSDIST(Tab.o1[[#This Row],[Za]]),"")</f>
        <v/>
      </c>
      <c r="N784" s="119" t="str">
        <f>IF(Tab.o1[[#This Row],[a1]]=1,((Tab.o1[[#This Row],[MedMod]]-AVERAGE(Tab.o1[MedMod]))/_xlfn.STDEV.P(Tab.o1[MedMod])*H$1205)+G$1205,"")</f>
        <v/>
      </c>
      <c r="O784" s="141" t="str">
        <f>IF(Tab.o1[[#This Row],[a1]]=1,Tab.o1[[#This Row],[Zb]]*_xlfn.STDEV.P(Tab.o1[MedMod])+AVERAGE(Tab.o1[MedMod]),"")</f>
        <v/>
      </c>
      <c r="P784" s="117" t="str">
        <f ca="1">IF(Tab.o1[[#This Row],[B]]=0,AVERAGE(OFFSET(Tab.o1[[#This Row],[B]],1,0,L$3,1)),Tab.o1[[#This Row],[B]])</f>
        <v/>
      </c>
      <c r="Q784" s="121" t="str">
        <f>IF(Tab.o1[[#This Row],[a1]]=1,NORMSDIST(Tab.o1[[#This Row],[Zb]]),"")</f>
        <v/>
      </c>
      <c r="R784" s="122" t="str">
        <f>IF(Tab.o1[[#This Row],[a1]]=1,((Tab.o1[[#This Row],[MedMod]]-AVERAGE(Tab.o1[MedMod]))/_xlfn.STDEV.P(Tab.o1[MedMod])*H$1203)+G$1203,"")</f>
        <v/>
      </c>
      <c r="S784" s="122" t="str">
        <f>IF(Tab.o1[[#This Row],[a1]]=1,((Tab.o1[[#This Row],[MedMod]]-AVERAGE(Tab.o1[MedMod]))/_xlfn.STDEV.P(Tab.o1[MedMod])*H$1204)+G$1204,"")</f>
        <v/>
      </c>
      <c r="T784" s="123" t="str">
        <f>IF(Tab.o1[[#This Row],[a1]]=1,Tab.o1[[#This Row],[Z-]]*_xlfn.STDEV.P(Tab.o1[B])+AVERAGE(Tab.o1[B]),"")</f>
        <v/>
      </c>
      <c r="U784" s="123" t="str">
        <f>IF(Tab.o1[[#This Row],[a1]]=1,Tab.o1[[#This Row],[z+]]*_xlfn.STDEV.P(Tab.o1[B])+AVERAGE(Tab.o1[B]),"")</f>
        <v/>
      </c>
      <c r="V784" s="124" t="str">
        <f>IF(Tab.o1[[#This Row],[a1]]=1,ABS((ABS(Tab.o1[[#This Row],[Red]]-Tab.o1[[#This Row],[Blue]]))),"")</f>
        <v/>
      </c>
      <c r="W784" s="125" t="str">
        <f>IF(Tab.o1[[#This Row],[a1]]=1,IF(W$3=0,1,Tab.o1[[#This Row],[Amp.]]*1/_xlfn.MINIFS(Tab.o1[Amp.],Tab.o1[Amp.],"&lt;&gt;0")),"")</f>
        <v/>
      </c>
      <c r="X784" s="126" t="str">
        <f>IF(Tab.o1[[#This Row],[a1]]=1,IF(ISNUMBER(Tab.o1[[#This Row],[i.]]),NORMDIST(Tab.o1[[#This Row],[Za]],0,1,FALSE)*Tab.o1[[#This Row],[i.]],AP$3),"")</f>
        <v/>
      </c>
      <c r="Y784" s="126" t="str">
        <f>IF(Tab.o1[[#This Row],[a1]]=1,0.01+0.94*Tab.o1[[#This Row],[PDF]]/MAX(Tab.o1[PDF]),"")</f>
        <v/>
      </c>
      <c r="Z784" s="126" t="str">
        <f>IF(Tab.o1[[#This Row],[a1]]=1,0.01+0.94*Tab.o1[[#This Row],[W1_PDF]]/MAX(Tab.o1[W1_PDF]),"")</f>
        <v/>
      </c>
      <c r="AA784" s="118" t="str">
        <f>IF(Tab.o1[[#This Row],[a1]]=1,ABS([1]!T.in.A[[#This Row],[oo6]]),"")</f>
        <v/>
      </c>
      <c r="AB784" s="127" t="str">
        <f>IF(Tab.o1[[#This Row],[a1]]=1,IF(AE$3=0,"",IF(AB$3=0,ABS([1]!T.in.A[[#This Row],[oo9]]),ABS(Tab.o1[[#This Row],[DIF_Target.]]*Tab.o1[[#This Row],[W1_PDF]]))),"")</f>
        <v/>
      </c>
      <c r="AC784" s="127" t="str">
        <f>IF(G$1=1,"",IF(Tab.o1[[#This Row],[a1]]=1,Tab.o1[[#This Row],[Wr]]^2,""))</f>
        <v/>
      </c>
      <c r="AD784" s="118" t="str">
        <f>IF(Tab.o1[[#This Row],[a1]]=1,IF(AE$3=0,"",Tab.o1[[#This Row],[Wr2]]/SUM(Tab.o1[Wr2])),"")</f>
        <v/>
      </c>
      <c r="AE784" s="128" t="str">
        <f>IF(Tab.o1[[#This Row],[a1]]=1,[1]!T.in.A[[#This Row],[oo10]],"")</f>
        <v/>
      </c>
      <c r="AF784" s="118" t="str">
        <f>IF(Tab.o1[[#This Row],[a1]]=1,ABS(Tab.o1[[#This Row],[DIF_Target.]]*Tab.o1[[#This Row],[PDF2]]*Tab.o1[[#This Row],[IN]]),"")</f>
        <v/>
      </c>
      <c r="AG784" s="129" t="str">
        <f>IF(Tab.o1[[#This Row],[a1]]=1,Tab.o1[[#This Row],[rW]]^2,"")</f>
        <v/>
      </c>
      <c r="AH784" s="130" t="str">
        <f>IF(Tab.o1[[#This Row],[a1]]=1,IF(AH$3=0,Tab.o1[[#This Row],[rW2]],0.01+0.94*Tab.o1[[#This Row],[rW2]]/SUM(Tab.o1[rW2])),"")</f>
        <v/>
      </c>
      <c r="AI784" s="128" t="str">
        <f>IF(Tab.o1[[#This Row],[a1]]=1,1/Tab.o1[[#This Row],[PDF]],"")</f>
        <v/>
      </c>
      <c r="AJ784" s="131" t="str">
        <f>IF(Tab.o1[[#This Row],[a1]]=1,[1]!T_AA[[#This Row],[IN'']]*[1]!T_AA[[#This Row],[Qde'']],"")</f>
        <v/>
      </c>
      <c r="AK784" s="132" t="str">
        <f>IF(Tab.o1[[#This Row],[a1]]=1,IF(AK$1=1,Tab.o1[[#This Row],[MED]]+Tab.o1[[#This Row],[MOD]]-Tab.o1[[#This Row],[MED]],""),"")</f>
        <v/>
      </c>
      <c r="AL784" s="133" t="str">
        <f>IF(Tab.o1[[#This Row],[a1]]=1,[1]!T.in.A[[#This Row],[oo16]],"")</f>
        <v/>
      </c>
      <c r="AM784" s="133" t="str">
        <f>IF(Tab.o1[[#This Row],[a1]]=1,IF(AM$3=1,[1]!T.in.A[[#This Row],[Σo16]],""),"")</f>
        <v/>
      </c>
      <c r="AN784" s="126" t="str">
        <f>IF(Tab.o1[[#This Row],[a1]]=1,[1]!T.in.A[[#This Row],[Σp5]],"")</f>
        <v/>
      </c>
      <c r="AO784" s="126" t="str">
        <f>IF(Tab.o1[[#This Row],[a1]]=1,IF(AO$3=1,[1]!T.in.A[[#This Row],[Σp5]],""),"")</f>
        <v/>
      </c>
      <c r="AP784" s="110" t="str">
        <f>IF(Tab.o1[[#This Row],[a1]]=1,IF(ISNUMBER(Tab.o1[[#This Row],[i.]]),NORMDIST(Tab.o1[[#This Row],[Za]],0,1,FALSE)*Tab.o1[[#This Row],[i.]],0),"")</f>
        <v/>
      </c>
      <c r="AQ784" s="125" t="str">
        <f>IF(Tab.o1[[#This Row],[a1]]=1,ABS(Tab.o1[[#This Row],[MOD]]-AVERAGE(Tab.o1[MOD])),"")</f>
        <v/>
      </c>
      <c r="AR784" s="134" t="str">
        <f>IF(Tab.o1[[#This Row],[a1]]=1,Tab.o1[[#This Row],[OBS]]/SUM(Tab.o1[OBS]),"")</f>
        <v/>
      </c>
      <c r="AS784" s="135" t="str">
        <f>IF(ISNUMBER(Tab.o1[[#This Row],[a1]]),ROW()-4,"")</f>
        <v/>
      </c>
      <c r="AT784" s="136" t="str">
        <f>Tab.o1[[#This Row],[MOD]]</f>
        <v/>
      </c>
      <c r="AU784" s="137" t="str">
        <f t="shared" si="49"/>
        <v/>
      </c>
      <c r="AV784" s="138" t="str">
        <f t="shared" si="50"/>
        <v/>
      </c>
      <c r="AW784" s="138" t="str">
        <f t="shared" si="51"/>
        <v/>
      </c>
      <c r="AX784" s="139" t="str">
        <f>[1]!T.in.A[[#This Row],[ID_T_manu]]</f>
        <v/>
      </c>
      <c r="AY784" s="140" t="str">
        <f>IF(ISNUMBER(Tab.o1[[#This Row],[a1]]),IF(AND(Tab.o1[[#This Row],[a1]]=1,Tab.o1[[#This Row],[b1]]&lt;=AY$4),#REF!,AY783),"")</f>
        <v/>
      </c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6"/>
      <c r="BO784" s="26"/>
      <c r="BP784" s="26"/>
      <c r="BQ784" s="26"/>
      <c r="BR784" s="26"/>
      <c r="BS784" s="26"/>
      <c r="BT784" s="26"/>
      <c r="BU784" s="26"/>
      <c r="BV784" s="26"/>
      <c r="BW784" s="26"/>
      <c r="BX784" s="26"/>
      <c r="BY784" s="26"/>
      <c r="BZ784" s="26"/>
      <c r="CA784" s="26"/>
    </row>
    <row r="785" spans="1:79" s="143" customFormat="1" ht="15.75" hidden="1">
      <c r="A785" s="109">
        <v>-4.0000000000000007E-6</v>
      </c>
      <c r="B785" s="110">
        <f t="shared" si="48"/>
        <v>785</v>
      </c>
      <c r="C785" s="111" t="str">
        <f>IF(C$1=[1]!T.in.A[[#This Row],[oo2]],1,"")</f>
        <v/>
      </c>
      <c r="D785" s="112" t="str">
        <f>IF(Tab.o1[[#This Row],[a1]]=1,IF(SUM(C785:C786)=0,0,IF(SUM(C784:C785)=1,1,IF(SUM(C784:C786)&gt;1,D784+1,0))),"")</f>
        <v/>
      </c>
      <c r="E785" s="113" t="str">
        <f>IF(Tab.o1[[#This Row],[a1]]=1,[1]!T.in.A[[#This Row],[oo1]],"")</f>
        <v/>
      </c>
      <c r="F785" s="113" t="str">
        <f>IF(Tab.o1[[#This Row],[a1]]=1,[1]!T.in.A[[#This Row],[pp1]],"")</f>
        <v/>
      </c>
      <c r="G785" s="114" t="str">
        <f>IF(Tab.o1[[#This Row],[a1]]=1,G$2+IF(G$1=1,0,Tab.o1[[#This Row],[.x1]])+[1]!T.in.A[[#This Row],[oo3]],"")</f>
        <v/>
      </c>
      <c r="H785" s="115" t="str">
        <f>IF(Tab.o1[[#This Row],[a1]]=1,IF(H$2=0,0,IF(G$1=1,0,Tab.o1[[#This Row],[.x1]])+[1]!T.in.A[[#This Row],[oo4]]),"")</f>
        <v/>
      </c>
      <c r="I785" s="116" t="str">
        <f>IF(Tab.o1[[#This Row],[a1]]=1,IF(J$2=0,Tab.o1[[#This Row],[MED]],Tab.o1[[#This Row],[MOD]]),"")</f>
        <v/>
      </c>
      <c r="J785" s="116" t="str">
        <f>IF(Tab.o1[[#This Row],[a1]]=1,((Tab.o1[[#This Row],[DIF_Target.]]-AVERAGE(Tab.o1[DIF_Target.]))/_xlfn.STDEV.P(Tab.o1[DIF_Target.])),"")</f>
        <v/>
      </c>
      <c r="K785" s="117" t="str">
        <f>IF(Tab.o1[[#This Row],[a1]]=1,IF(J$2=0,Tab.o1[[#This Row],[MOD]]-Tab.o1[[#This Row],[B]],IF(J$2=1,0,-Tab.o1[[#This Row],[MED]])+Tab.o1[[#This Row],[B]]),"")</f>
        <v/>
      </c>
      <c r="L785" s="117" t="str">
        <f ca="1">IF(Tab.o1[[#This Row],[DIF_Target]]=0,IF(L$2=0,Tab.o1[[#This Row],[DIF_Target]],AVERAGE(OFFSET(Tab.o1[[#This Row],[DIF_Target]],1,0,L$3,1)))/3,Tab.o1[[#This Row],[DIF_Target]])</f>
        <v/>
      </c>
      <c r="M785" s="118" t="str">
        <f>IF(Tab.o1[[#This Row],[a1]]=1,NORMSDIST(Tab.o1[[#This Row],[Za]]),"")</f>
        <v/>
      </c>
      <c r="N785" s="119" t="str">
        <f>IF(Tab.o1[[#This Row],[a1]]=1,((Tab.o1[[#This Row],[MedMod]]-AVERAGE(Tab.o1[MedMod]))/_xlfn.STDEV.P(Tab.o1[MedMod])*H$1205)+G$1205,"")</f>
        <v/>
      </c>
      <c r="O785" s="141" t="str">
        <f>IF(Tab.o1[[#This Row],[a1]]=1,Tab.o1[[#This Row],[Zb]]*_xlfn.STDEV.P(Tab.o1[MedMod])+AVERAGE(Tab.o1[MedMod]),"")</f>
        <v/>
      </c>
      <c r="P785" s="117" t="str">
        <f ca="1">IF(Tab.o1[[#This Row],[B]]=0,AVERAGE(OFFSET(Tab.o1[[#This Row],[B]],1,0,L$3,1)),Tab.o1[[#This Row],[B]])</f>
        <v/>
      </c>
      <c r="Q785" s="121" t="str">
        <f>IF(Tab.o1[[#This Row],[a1]]=1,NORMSDIST(Tab.o1[[#This Row],[Zb]]),"")</f>
        <v/>
      </c>
      <c r="R785" s="122" t="str">
        <f>IF(Tab.o1[[#This Row],[a1]]=1,((Tab.o1[[#This Row],[MedMod]]-AVERAGE(Tab.o1[MedMod]))/_xlfn.STDEV.P(Tab.o1[MedMod])*H$1203)+G$1203,"")</f>
        <v/>
      </c>
      <c r="S785" s="122" t="str">
        <f>IF(Tab.o1[[#This Row],[a1]]=1,((Tab.o1[[#This Row],[MedMod]]-AVERAGE(Tab.o1[MedMod]))/_xlfn.STDEV.P(Tab.o1[MedMod])*H$1204)+G$1204,"")</f>
        <v/>
      </c>
      <c r="T785" s="123" t="str">
        <f>IF(Tab.o1[[#This Row],[a1]]=1,Tab.o1[[#This Row],[Z-]]*_xlfn.STDEV.P(Tab.o1[B])+AVERAGE(Tab.o1[B]),"")</f>
        <v/>
      </c>
      <c r="U785" s="123" t="str">
        <f>IF(Tab.o1[[#This Row],[a1]]=1,Tab.o1[[#This Row],[z+]]*_xlfn.STDEV.P(Tab.o1[B])+AVERAGE(Tab.o1[B]),"")</f>
        <v/>
      </c>
      <c r="V785" s="124" t="str">
        <f>IF(Tab.o1[[#This Row],[a1]]=1,ABS((ABS(Tab.o1[[#This Row],[Red]]-Tab.o1[[#This Row],[Blue]]))),"")</f>
        <v/>
      </c>
      <c r="W785" s="125" t="str">
        <f>IF(Tab.o1[[#This Row],[a1]]=1,IF(W$3=0,1,Tab.o1[[#This Row],[Amp.]]*1/_xlfn.MINIFS(Tab.o1[Amp.],Tab.o1[Amp.],"&lt;&gt;0")),"")</f>
        <v/>
      </c>
      <c r="X785" s="126" t="str">
        <f>IF(Tab.o1[[#This Row],[a1]]=1,IF(ISNUMBER(Tab.o1[[#This Row],[i.]]),NORMDIST(Tab.o1[[#This Row],[Za]],0,1,FALSE)*Tab.o1[[#This Row],[i.]],AP$3),"")</f>
        <v/>
      </c>
      <c r="Y785" s="126" t="str">
        <f>IF(Tab.o1[[#This Row],[a1]]=1,0.01+0.94*Tab.o1[[#This Row],[PDF]]/MAX(Tab.o1[PDF]),"")</f>
        <v/>
      </c>
      <c r="Z785" s="126" t="str">
        <f>IF(Tab.o1[[#This Row],[a1]]=1,0.01+0.94*Tab.o1[[#This Row],[W1_PDF]]/MAX(Tab.o1[W1_PDF]),"")</f>
        <v/>
      </c>
      <c r="AA785" s="118" t="str">
        <f>IF(Tab.o1[[#This Row],[a1]]=1,ABS([1]!T.in.A[[#This Row],[oo6]]),"")</f>
        <v/>
      </c>
      <c r="AB785" s="127" t="str">
        <f>IF(Tab.o1[[#This Row],[a1]]=1,IF(AE$3=0,"",IF(AB$3=0,ABS([1]!T.in.A[[#This Row],[oo9]]),ABS(Tab.o1[[#This Row],[DIF_Target.]]*Tab.o1[[#This Row],[W1_PDF]]))),"")</f>
        <v/>
      </c>
      <c r="AC785" s="127" t="str">
        <f>IF(G$1=1,"",IF(Tab.o1[[#This Row],[a1]]=1,Tab.o1[[#This Row],[Wr]]^2,""))</f>
        <v/>
      </c>
      <c r="AD785" s="118" t="str">
        <f>IF(Tab.o1[[#This Row],[a1]]=1,IF(AE$3=0,"",Tab.o1[[#This Row],[Wr2]]/SUM(Tab.o1[Wr2])),"")</f>
        <v/>
      </c>
      <c r="AE785" s="128" t="str">
        <f>IF(Tab.o1[[#This Row],[a1]]=1,[1]!T.in.A[[#This Row],[oo10]],"")</f>
        <v/>
      </c>
      <c r="AF785" s="118" t="str">
        <f>IF(Tab.o1[[#This Row],[a1]]=1,ABS(Tab.o1[[#This Row],[DIF_Target.]]*Tab.o1[[#This Row],[PDF2]]*Tab.o1[[#This Row],[IN]]),"")</f>
        <v/>
      </c>
      <c r="AG785" s="129" t="str">
        <f>IF(Tab.o1[[#This Row],[a1]]=1,Tab.o1[[#This Row],[rW]]^2,"")</f>
        <v/>
      </c>
      <c r="AH785" s="130" t="str">
        <f>IF(Tab.o1[[#This Row],[a1]]=1,IF(AH$3=0,Tab.o1[[#This Row],[rW2]],0.01+0.94*Tab.o1[[#This Row],[rW2]]/SUM(Tab.o1[rW2])),"")</f>
        <v/>
      </c>
      <c r="AI785" s="128" t="str">
        <f>IF(Tab.o1[[#This Row],[a1]]=1,1/Tab.o1[[#This Row],[PDF]],"")</f>
        <v/>
      </c>
      <c r="AJ785" s="131" t="str">
        <f>IF(Tab.o1[[#This Row],[a1]]=1,[1]!T_AA[[#This Row],[IN'']]*[1]!T_AA[[#This Row],[Qde'']],"")</f>
        <v/>
      </c>
      <c r="AK785" s="132" t="str">
        <f>IF(Tab.o1[[#This Row],[a1]]=1,IF(AK$1=1,Tab.o1[[#This Row],[MED]]+Tab.o1[[#This Row],[MOD]]-Tab.o1[[#This Row],[MED]],""),"")</f>
        <v/>
      </c>
      <c r="AL785" s="133" t="str">
        <f>IF(Tab.o1[[#This Row],[a1]]=1,[1]!T.in.A[[#This Row],[oo16]],"")</f>
        <v/>
      </c>
      <c r="AM785" s="133" t="str">
        <f>IF(Tab.o1[[#This Row],[a1]]=1,IF(AM$3=1,[1]!T.in.A[[#This Row],[Σo16]],""),"")</f>
        <v/>
      </c>
      <c r="AN785" s="126" t="str">
        <f>IF(Tab.o1[[#This Row],[a1]]=1,[1]!T.in.A[[#This Row],[Σp5]],"")</f>
        <v/>
      </c>
      <c r="AO785" s="126" t="str">
        <f>IF(Tab.o1[[#This Row],[a1]]=1,IF(AO$3=1,[1]!T.in.A[[#This Row],[Σp5]],""),"")</f>
        <v/>
      </c>
      <c r="AP785" s="110" t="str">
        <f>IF(Tab.o1[[#This Row],[a1]]=1,IF(ISNUMBER(Tab.o1[[#This Row],[i.]]),NORMDIST(Tab.o1[[#This Row],[Za]],0,1,FALSE)*Tab.o1[[#This Row],[i.]],0),"")</f>
        <v/>
      </c>
      <c r="AQ785" s="125" t="str">
        <f>IF(Tab.o1[[#This Row],[a1]]=1,ABS(Tab.o1[[#This Row],[MOD]]-AVERAGE(Tab.o1[MOD])),"")</f>
        <v/>
      </c>
      <c r="AR785" s="134" t="str">
        <f>IF(Tab.o1[[#This Row],[a1]]=1,Tab.o1[[#This Row],[OBS]]/SUM(Tab.o1[OBS]),"")</f>
        <v/>
      </c>
      <c r="AS785" s="135" t="str">
        <f>IF(ISNUMBER(Tab.o1[[#This Row],[a1]]),ROW()-4,"")</f>
        <v/>
      </c>
      <c r="AT785" s="136" t="str">
        <f>Tab.o1[[#This Row],[MOD]]</f>
        <v/>
      </c>
      <c r="AU785" s="137" t="str">
        <f t="shared" si="49"/>
        <v/>
      </c>
      <c r="AV785" s="138" t="str">
        <f t="shared" si="50"/>
        <v/>
      </c>
      <c r="AW785" s="138" t="str">
        <f t="shared" si="51"/>
        <v/>
      </c>
      <c r="AX785" s="139" t="str">
        <f>[1]!T.in.A[[#This Row],[ID_T_manu]]</f>
        <v/>
      </c>
      <c r="AY785" s="140" t="str">
        <f>IF(ISNUMBER(Tab.o1[[#This Row],[a1]]),IF(AND(Tab.o1[[#This Row],[a1]]=1,Tab.o1[[#This Row],[b1]]&lt;=AY$4),#REF!,AY784),"")</f>
        <v/>
      </c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6"/>
      <c r="BO785" s="26"/>
      <c r="BP785" s="26"/>
      <c r="BQ785" s="26"/>
      <c r="BR785" s="26"/>
      <c r="BS785" s="26"/>
      <c r="BT785" s="26"/>
      <c r="BU785" s="26"/>
      <c r="BV785" s="26"/>
      <c r="BW785" s="26"/>
      <c r="BX785" s="26"/>
      <c r="BY785" s="26"/>
      <c r="BZ785" s="26"/>
      <c r="CA785" s="26"/>
    </row>
    <row r="786" spans="1:79" s="143" customFormat="1" ht="15.75" hidden="1">
      <c r="A786" s="109">
        <v>5.0000000000000004E-6</v>
      </c>
      <c r="B786" s="110">
        <f t="shared" si="48"/>
        <v>786</v>
      </c>
      <c r="C786" s="111" t="str">
        <f>IF(C$1=[1]!T.in.A[[#This Row],[oo2]],1,"")</f>
        <v/>
      </c>
      <c r="D786" s="112" t="str">
        <f>IF(Tab.o1[[#This Row],[a1]]=1,IF(SUM(C786:C787)=0,0,IF(SUM(C785:C786)=1,1,IF(SUM(C785:C787)&gt;1,D785+1,0))),"")</f>
        <v/>
      </c>
      <c r="E786" s="113" t="str">
        <f>IF(Tab.o1[[#This Row],[a1]]=1,[1]!T.in.A[[#This Row],[oo1]],"")</f>
        <v/>
      </c>
      <c r="F786" s="113" t="str">
        <f>IF(Tab.o1[[#This Row],[a1]]=1,[1]!T.in.A[[#This Row],[pp1]],"")</f>
        <v/>
      </c>
      <c r="G786" s="114" t="str">
        <f>IF(Tab.o1[[#This Row],[a1]]=1,G$2+IF(G$1=1,0,Tab.o1[[#This Row],[.x1]])+[1]!T.in.A[[#This Row],[oo3]],"")</f>
        <v/>
      </c>
      <c r="H786" s="115" t="str">
        <f>IF(Tab.o1[[#This Row],[a1]]=1,IF(H$2=0,0,IF(G$1=1,0,Tab.o1[[#This Row],[.x1]])+[1]!T.in.A[[#This Row],[oo4]]),"")</f>
        <v/>
      </c>
      <c r="I786" s="116" t="str">
        <f>IF(Tab.o1[[#This Row],[a1]]=1,IF(J$2=0,Tab.o1[[#This Row],[MED]],Tab.o1[[#This Row],[MOD]]),"")</f>
        <v/>
      </c>
      <c r="J786" s="116" t="str">
        <f>IF(Tab.o1[[#This Row],[a1]]=1,((Tab.o1[[#This Row],[DIF_Target.]]-AVERAGE(Tab.o1[DIF_Target.]))/_xlfn.STDEV.P(Tab.o1[DIF_Target.])),"")</f>
        <v/>
      </c>
      <c r="K786" s="117" t="str">
        <f>IF(Tab.o1[[#This Row],[a1]]=1,IF(J$2=0,Tab.o1[[#This Row],[MOD]]-Tab.o1[[#This Row],[B]],IF(J$2=1,0,-Tab.o1[[#This Row],[MED]])+Tab.o1[[#This Row],[B]]),"")</f>
        <v/>
      </c>
      <c r="L786" s="117" t="str">
        <f ca="1">IF(Tab.o1[[#This Row],[DIF_Target]]=0,IF(L$2=0,Tab.o1[[#This Row],[DIF_Target]],AVERAGE(OFFSET(Tab.o1[[#This Row],[DIF_Target]],1,0,L$3,1)))/3,Tab.o1[[#This Row],[DIF_Target]])</f>
        <v/>
      </c>
      <c r="M786" s="118" t="str">
        <f>IF(Tab.o1[[#This Row],[a1]]=1,NORMSDIST(Tab.o1[[#This Row],[Za]]),"")</f>
        <v/>
      </c>
      <c r="N786" s="119" t="str">
        <f>IF(Tab.o1[[#This Row],[a1]]=1,((Tab.o1[[#This Row],[MedMod]]-AVERAGE(Tab.o1[MedMod]))/_xlfn.STDEV.P(Tab.o1[MedMod])*H$1205)+G$1205,"")</f>
        <v/>
      </c>
      <c r="O786" s="141" t="str">
        <f>IF(Tab.o1[[#This Row],[a1]]=1,Tab.o1[[#This Row],[Zb]]*_xlfn.STDEV.P(Tab.o1[MedMod])+AVERAGE(Tab.o1[MedMod]),"")</f>
        <v/>
      </c>
      <c r="P786" s="117" t="str">
        <f ca="1">IF(Tab.o1[[#This Row],[B]]=0,AVERAGE(OFFSET(Tab.o1[[#This Row],[B]],1,0,L$3,1)),Tab.o1[[#This Row],[B]])</f>
        <v/>
      </c>
      <c r="Q786" s="121" t="str">
        <f>IF(Tab.o1[[#This Row],[a1]]=1,NORMSDIST(Tab.o1[[#This Row],[Zb]]),"")</f>
        <v/>
      </c>
      <c r="R786" s="122" t="str">
        <f>IF(Tab.o1[[#This Row],[a1]]=1,((Tab.o1[[#This Row],[MedMod]]-AVERAGE(Tab.o1[MedMod]))/_xlfn.STDEV.P(Tab.o1[MedMod])*H$1203)+G$1203,"")</f>
        <v/>
      </c>
      <c r="S786" s="122" t="str">
        <f>IF(Tab.o1[[#This Row],[a1]]=1,((Tab.o1[[#This Row],[MedMod]]-AVERAGE(Tab.o1[MedMod]))/_xlfn.STDEV.P(Tab.o1[MedMod])*H$1204)+G$1204,"")</f>
        <v/>
      </c>
      <c r="T786" s="123" t="str">
        <f>IF(Tab.o1[[#This Row],[a1]]=1,Tab.o1[[#This Row],[Z-]]*_xlfn.STDEV.P(Tab.o1[B])+AVERAGE(Tab.o1[B]),"")</f>
        <v/>
      </c>
      <c r="U786" s="123" t="str">
        <f>IF(Tab.o1[[#This Row],[a1]]=1,Tab.o1[[#This Row],[z+]]*_xlfn.STDEV.P(Tab.o1[B])+AVERAGE(Tab.o1[B]),"")</f>
        <v/>
      </c>
      <c r="V786" s="124" t="str">
        <f>IF(Tab.o1[[#This Row],[a1]]=1,ABS((ABS(Tab.o1[[#This Row],[Red]]-Tab.o1[[#This Row],[Blue]]))),"")</f>
        <v/>
      </c>
      <c r="W786" s="125" t="str">
        <f>IF(Tab.o1[[#This Row],[a1]]=1,IF(W$3=0,1,Tab.o1[[#This Row],[Amp.]]*1/_xlfn.MINIFS(Tab.o1[Amp.],Tab.o1[Amp.],"&lt;&gt;0")),"")</f>
        <v/>
      </c>
      <c r="X786" s="126" t="str">
        <f>IF(Tab.o1[[#This Row],[a1]]=1,IF(ISNUMBER(Tab.o1[[#This Row],[i.]]),NORMDIST(Tab.o1[[#This Row],[Za]],0,1,FALSE)*Tab.o1[[#This Row],[i.]],AP$3),"")</f>
        <v/>
      </c>
      <c r="Y786" s="126" t="str">
        <f>IF(Tab.o1[[#This Row],[a1]]=1,0.01+0.94*Tab.o1[[#This Row],[PDF]]/MAX(Tab.o1[PDF]),"")</f>
        <v/>
      </c>
      <c r="Z786" s="126" t="str">
        <f>IF(Tab.o1[[#This Row],[a1]]=1,0.01+0.94*Tab.o1[[#This Row],[W1_PDF]]/MAX(Tab.o1[W1_PDF]),"")</f>
        <v/>
      </c>
      <c r="AA786" s="118" t="str">
        <f>IF(Tab.o1[[#This Row],[a1]]=1,ABS([1]!T.in.A[[#This Row],[oo6]]),"")</f>
        <v/>
      </c>
      <c r="AB786" s="127" t="str">
        <f>IF(Tab.o1[[#This Row],[a1]]=1,IF(AE$3=0,"",IF(AB$3=0,ABS([1]!T.in.A[[#This Row],[oo9]]),ABS(Tab.o1[[#This Row],[DIF_Target.]]*Tab.o1[[#This Row],[W1_PDF]]))),"")</f>
        <v/>
      </c>
      <c r="AC786" s="127" t="str">
        <f>IF(G$1=1,"",IF(Tab.o1[[#This Row],[a1]]=1,Tab.o1[[#This Row],[Wr]]^2,""))</f>
        <v/>
      </c>
      <c r="AD786" s="118" t="str">
        <f>IF(Tab.o1[[#This Row],[a1]]=1,IF(AE$3=0,"",Tab.o1[[#This Row],[Wr2]]/SUM(Tab.o1[Wr2])),"")</f>
        <v/>
      </c>
      <c r="AE786" s="128" t="str">
        <f>IF(Tab.o1[[#This Row],[a1]]=1,[1]!T.in.A[[#This Row],[oo10]],"")</f>
        <v/>
      </c>
      <c r="AF786" s="118" t="str">
        <f>IF(Tab.o1[[#This Row],[a1]]=1,ABS(Tab.o1[[#This Row],[DIF_Target.]]*Tab.o1[[#This Row],[PDF2]]*Tab.o1[[#This Row],[IN]]),"")</f>
        <v/>
      </c>
      <c r="AG786" s="129" t="str">
        <f>IF(Tab.o1[[#This Row],[a1]]=1,Tab.o1[[#This Row],[rW]]^2,"")</f>
        <v/>
      </c>
      <c r="AH786" s="130" t="str">
        <f>IF(Tab.o1[[#This Row],[a1]]=1,IF(AH$3=0,Tab.o1[[#This Row],[rW2]],0.01+0.94*Tab.o1[[#This Row],[rW2]]/SUM(Tab.o1[rW2])),"")</f>
        <v/>
      </c>
      <c r="AI786" s="128" t="str">
        <f>IF(Tab.o1[[#This Row],[a1]]=1,1/Tab.o1[[#This Row],[PDF]],"")</f>
        <v/>
      </c>
      <c r="AJ786" s="131" t="str">
        <f>IF(Tab.o1[[#This Row],[a1]]=1,[1]!T_AA[[#This Row],[IN'']]*[1]!T_AA[[#This Row],[Qde'']],"")</f>
        <v/>
      </c>
      <c r="AK786" s="132" t="str">
        <f>IF(Tab.o1[[#This Row],[a1]]=1,IF(AK$1=1,Tab.o1[[#This Row],[MED]]+Tab.o1[[#This Row],[MOD]]-Tab.o1[[#This Row],[MED]],""),"")</f>
        <v/>
      </c>
      <c r="AL786" s="133" t="str">
        <f>IF(Tab.o1[[#This Row],[a1]]=1,[1]!T.in.A[[#This Row],[oo16]],"")</f>
        <v/>
      </c>
      <c r="AM786" s="133" t="str">
        <f>IF(Tab.o1[[#This Row],[a1]]=1,IF(AM$3=1,[1]!T.in.A[[#This Row],[Σo16]],""),"")</f>
        <v/>
      </c>
      <c r="AN786" s="126" t="str">
        <f>IF(Tab.o1[[#This Row],[a1]]=1,[1]!T.in.A[[#This Row],[Σp5]],"")</f>
        <v/>
      </c>
      <c r="AO786" s="126" t="str">
        <f>IF(Tab.o1[[#This Row],[a1]]=1,IF(AO$3=1,[1]!T.in.A[[#This Row],[Σp5]],""),"")</f>
        <v/>
      </c>
      <c r="AP786" s="110" t="str">
        <f>IF(Tab.o1[[#This Row],[a1]]=1,IF(ISNUMBER(Tab.o1[[#This Row],[i.]]),NORMDIST(Tab.o1[[#This Row],[Za]],0,1,FALSE)*Tab.o1[[#This Row],[i.]],0),"")</f>
        <v/>
      </c>
      <c r="AQ786" s="125" t="str">
        <f>IF(Tab.o1[[#This Row],[a1]]=1,ABS(Tab.o1[[#This Row],[MOD]]-AVERAGE(Tab.o1[MOD])),"")</f>
        <v/>
      </c>
      <c r="AR786" s="134" t="str">
        <f>IF(Tab.o1[[#This Row],[a1]]=1,Tab.o1[[#This Row],[OBS]]/SUM(Tab.o1[OBS]),"")</f>
        <v/>
      </c>
      <c r="AS786" s="135" t="str">
        <f>IF(ISNUMBER(Tab.o1[[#This Row],[a1]]),ROW()-4,"")</f>
        <v/>
      </c>
      <c r="AT786" s="136" t="str">
        <f>Tab.o1[[#This Row],[MOD]]</f>
        <v/>
      </c>
      <c r="AU786" s="137" t="str">
        <f t="shared" si="49"/>
        <v/>
      </c>
      <c r="AV786" s="138" t="str">
        <f t="shared" si="50"/>
        <v/>
      </c>
      <c r="AW786" s="138" t="str">
        <f t="shared" si="51"/>
        <v/>
      </c>
      <c r="AX786" s="139" t="str">
        <f>[1]!T.in.A[[#This Row],[ID_T_manu]]</f>
        <v/>
      </c>
      <c r="AY786" s="140" t="str">
        <f>IF(ISNUMBER(Tab.o1[[#This Row],[a1]]),IF(AND(Tab.o1[[#This Row],[a1]]=1,Tab.o1[[#This Row],[b1]]&lt;=AY$4),#REF!,AY785),"")</f>
        <v/>
      </c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6"/>
      <c r="BO786" s="26"/>
      <c r="BP786" s="26"/>
      <c r="BQ786" s="26"/>
      <c r="BR786" s="26"/>
      <c r="BS786" s="26"/>
      <c r="BT786" s="26"/>
      <c r="BU786" s="26"/>
      <c r="BV786" s="26"/>
      <c r="BW786" s="26"/>
      <c r="BX786" s="26"/>
      <c r="BY786" s="26"/>
      <c r="BZ786" s="26"/>
      <c r="CA786" s="26"/>
    </row>
    <row r="787" spans="1:79" s="143" customFormat="1" ht="15.75" hidden="1">
      <c r="A787" s="109">
        <v>-9.0000000000000002E-6</v>
      </c>
      <c r="B787" s="110">
        <f t="shared" si="48"/>
        <v>787</v>
      </c>
      <c r="C787" s="111" t="str">
        <f>IF(C$1=[1]!T.in.A[[#This Row],[oo2]],1,"")</f>
        <v/>
      </c>
      <c r="D787" s="112" t="str">
        <f>IF(Tab.o1[[#This Row],[a1]]=1,IF(SUM(C787:C788)=0,0,IF(SUM(C786:C787)=1,1,IF(SUM(C786:C788)&gt;1,D786+1,0))),"")</f>
        <v/>
      </c>
      <c r="E787" s="113" t="str">
        <f>IF(Tab.o1[[#This Row],[a1]]=1,[1]!T.in.A[[#This Row],[oo1]],"")</f>
        <v/>
      </c>
      <c r="F787" s="113" t="str">
        <f>IF(Tab.o1[[#This Row],[a1]]=1,[1]!T.in.A[[#This Row],[pp1]],"")</f>
        <v/>
      </c>
      <c r="G787" s="114" t="str">
        <f>IF(Tab.o1[[#This Row],[a1]]=1,G$2+IF(G$1=1,0,Tab.o1[[#This Row],[.x1]])+[1]!T.in.A[[#This Row],[oo3]],"")</f>
        <v/>
      </c>
      <c r="H787" s="115" t="str">
        <f>IF(Tab.o1[[#This Row],[a1]]=1,IF(H$2=0,0,IF(G$1=1,0,Tab.o1[[#This Row],[.x1]])+[1]!T.in.A[[#This Row],[oo4]]),"")</f>
        <v/>
      </c>
      <c r="I787" s="116" t="str">
        <f>IF(Tab.o1[[#This Row],[a1]]=1,IF(J$2=0,Tab.o1[[#This Row],[MED]],Tab.o1[[#This Row],[MOD]]),"")</f>
        <v/>
      </c>
      <c r="J787" s="116" t="str">
        <f>IF(Tab.o1[[#This Row],[a1]]=1,((Tab.o1[[#This Row],[DIF_Target.]]-AVERAGE(Tab.o1[DIF_Target.]))/_xlfn.STDEV.P(Tab.o1[DIF_Target.])),"")</f>
        <v/>
      </c>
      <c r="K787" s="117" t="str">
        <f>IF(Tab.o1[[#This Row],[a1]]=1,IF(J$2=0,Tab.o1[[#This Row],[MOD]]-Tab.o1[[#This Row],[B]],IF(J$2=1,0,-Tab.o1[[#This Row],[MED]])+Tab.o1[[#This Row],[B]]),"")</f>
        <v/>
      </c>
      <c r="L787" s="117" t="str">
        <f ca="1">IF(Tab.o1[[#This Row],[DIF_Target]]=0,IF(L$2=0,Tab.o1[[#This Row],[DIF_Target]],AVERAGE(OFFSET(Tab.o1[[#This Row],[DIF_Target]],1,0,L$3,1)))/3,Tab.o1[[#This Row],[DIF_Target]])</f>
        <v/>
      </c>
      <c r="M787" s="118" t="str">
        <f>IF(Tab.o1[[#This Row],[a1]]=1,NORMSDIST(Tab.o1[[#This Row],[Za]]),"")</f>
        <v/>
      </c>
      <c r="N787" s="119" t="str">
        <f>IF(Tab.o1[[#This Row],[a1]]=1,((Tab.o1[[#This Row],[MedMod]]-AVERAGE(Tab.o1[MedMod]))/_xlfn.STDEV.P(Tab.o1[MedMod])*H$1205)+G$1205,"")</f>
        <v/>
      </c>
      <c r="O787" s="141" t="str">
        <f>IF(Tab.o1[[#This Row],[a1]]=1,Tab.o1[[#This Row],[Zb]]*_xlfn.STDEV.P(Tab.o1[MedMod])+AVERAGE(Tab.o1[MedMod]),"")</f>
        <v/>
      </c>
      <c r="P787" s="117" t="str">
        <f ca="1">IF(Tab.o1[[#This Row],[B]]=0,AVERAGE(OFFSET(Tab.o1[[#This Row],[B]],1,0,L$3,1)),Tab.o1[[#This Row],[B]])</f>
        <v/>
      </c>
      <c r="Q787" s="121" t="str">
        <f>IF(Tab.o1[[#This Row],[a1]]=1,NORMSDIST(Tab.o1[[#This Row],[Zb]]),"")</f>
        <v/>
      </c>
      <c r="R787" s="122" t="str">
        <f>IF(Tab.o1[[#This Row],[a1]]=1,((Tab.o1[[#This Row],[MedMod]]-AVERAGE(Tab.o1[MedMod]))/_xlfn.STDEV.P(Tab.o1[MedMod])*H$1203)+G$1203,"")</f>
        <v/>
      </c>
      <c r="S787" s="122" t="str">
        <f>IF(Tab.o1[[#This Row],[a1]]=1,((Tab.o1[[#This Row],[MedMod]]-AVERAGE(Tab.o1[MedMod]))/_xlfn.STDEV.P(Tab.o1[MedMod])*H$1204)+G$1204,"")</f>
        <v/>
      </c>
      <c r="T787" s="123" t="str">
        <f>IF(Tab.o1[[#This Row],[a1]]=1,Tab.o1[[#This Row],[Z-]]*_xlfn.STDEV.P(Tab.o1[B])+AVERAGE(Tab.o1[B]),"")</f>
        <v/>
      </c>
      <c r="U787" s="123" t="str">
        <f>IF(Tab.o1[[#This Row],[a1]]=1,Tab.o1[[#This Row],[z+]]*_xlfn.STDEV.P(Tab.o1[B])+AVERAGE(Tab.o1[B]),"")</f>
        <v/>
      </c>
      <c r="V787" s="124" t="str">
        <f>IF(Tab.o1[[#This Row],[a1]]=1,ABS((ABS(Tab.o1[[#This Row],[Red]]-Tab.o1[[#This Row],[Blue]]))),"")</f>
        <v/>
      </c>
      <c r="W787" s="125" t="str">
        <f>IF(Tab.o1[[#This Row],[a1]]=1,IF(W$3=0,1,Tab.o1[[#This Row],[Amp.]]*1/_xlfn.MINIFS(Tab.o1[Amp.],Tab.o1[Amp.],"&lt;&gt;0")),"")</f>
        <v/>
      </c>
      <c r="X787" s="126" t="str">
        <f>IF(Tab.o1[[#This Row],[a1]]=1,IF(ISNUMBER(Tab.o1[[#This Row],[i.]]),NORMDIST(Tab.o1[[#This Row],[Za]],0,1,FALSE)*Tab.o1[[#This Row],[i.]],AP$3),"")</f>
        <v/>
      </c>
      <c r="Y787" s="126" t="str">
        <f>IF(Tab.o1[[#This Row],[a1]]=1,0.01+0.94*Tab.o1[[#This Row],[PDF]]/MAX(Tab.o1[PDF]),"")</f>
        <v/>
      </c>
      <c r="Z787" s="126" t="str">
        <f>IF(Tab.o1[[#This Row],[a1]]=1,0.01+0.94*Tab.o1[[#This Row],[W1_PDF]]/MAX(Tab.o1[W1_PDF]),"")</f>
        <v/>
      </c>
      <c r="AA787" s="118" t="str">
        <f>IF(Tab.o1[[#This Row],[a1]]=1,ABS([1]!T.in.A[[#This Row],[oo6]]),"")</f>
        <v/>
      </c>
      <c r="AB787" s="127" t="str">
        <f>IF(Tab.o1[[#This Row],[a1]]=1,IF(AE$3=0,"",IF(AB$3=0,ABS([1]!T.in.A[[#This Row],[oo9]]),ABS(Tab.o1[[#This Row],[DIF_Target.]]*Tab.o1[[#This Row],[W1_PDF]]))),"")</f>
        <v/>
      </c>
      <c r="AC787" s="127" t="str">
        <f>IF(G$1=1,"",IF(Tab.o1[[#This Row],[a1]]=1,Tab.o1[[#This Row],[Wr]]^2,""))</f>
        <v/>
      </c>
      <c r="AD787" s="118" t="str">
        <f>IF(Tab.o1[[#This Row],[a1]]=1,IF(AE$3=0,"",Tab.o1[[#This Row],[Wr2]]/SUM(Tab.o1[Wr2])),"")</f>
        <v/>
      </c>
      <c r="AE787" s="128" t="str">
        <f>IF(Tab.o1[[#This Row],[a1]]=1,[1]!T.in.A[[#This Row],[oo10]],"")</f>
        <v/>
      </c>
      <c r="AF787" s="118" t="str">
        <f>IF(Tab.o1[[#This Row],[a1]]=1,ABS(Tab.o1[[#This Row],[DIF_Target.]]*Tab.o1[[#This Row],[PDF2]]*Tab.o1[[#This Row],[IN]]),"")</f>
        <v/>
      </c>
      <c r="AG787" s="129" t="str">
        <f>IF(Tab.o1[[#This Row],[a1]]=1,Tab.o1[[#This Row],[rW]]^2,"")</f>
        <v/>
      </c>
      <c r="AH787" s="130" t="str">
        <f>IF(Tab.o1[[#This Row],[a1]]=1,IF(AH$3=0,Tab.o1[[#This Row],[rW2]],0.01+0.94*Tab.o1[[#This Row],[rW2]]/SUM(Tab.o1[rW2])),"")</f>
        <v/>
      </c>
      <c r="AI787" s="128" t="str">
        <f>IF(Tab.o1[[#This Row],[a1]]=1,1/Tab.o1[[#This Row],[PDF]],"")</f>
        <v/>
      </c>
      <c r="AJ787" s="131" t="str">
        <f>IF(Tab.o1[[#This Row],[a1]]=1,[1]!T_AA[[#This Row],[IN'']]*[1]!T_AA[[#This Row],[Qde'']],"")</f>
        <v/>
      </c>
      <c r="AK787" s="132" t="str">
        <f>IF(Tab.o1[[#This Row],[a1]]=1,IF(AK$1=1,Tab.o1[[#This Row],[MED]]+Tab.o1[[#This Row],[MOD]]-Tab.o1[[#This Row],[MED]],""),"")</f>
        <v/>
      </c>
      <c r="AL787" s="133" t="str">
        <f>IF(Tab.o1[[#This Row],[a1]]=1,[1]!T.in.A[[#This Row],[oo16]],"")</f>
        <v/>
      </c>
      <c r="AM787" s="133" t="str">
        <f>IF(Tab.o1[[#This Row],[a1]]=1,IF(AM$3=1,[1]!T.in.A[[#This Row],[Σo16]],""),"")</f>
        <v/>
      </c>
      <c r="AN787" s="126" t="str">
        <f>IF(Tab.o1[[#This Row],[a1]]=1,[1]!T.in.A[[#This Row],[Σp5]],"")</f>
        <v/>
      </c>
      <c r="AO787" s="126" t="str">
        <f>IF(Tab.o1[[#This Row],[a1]]=1,IF(AO$3=1,[1]!T.in.A[[#This Row],[Σp5]],""),"")</f>
        <v/>
      </c>
      <c r="AP787" s="110" t="str">
        <f>IF(Tab.o1[[#This Row],[a1]]=1,IF(ISNUMBER(Tab.o1[[#This Row],[i.]]),NORMDIST(Tab.o1[[#This Row],[Za]],0,1,FALSE)*Tab.o1[[#This Row],[i.]],0),"")</f>
        <v/>
      </c>
      <c r="AQ787" s="125" t="str">
        <f>IF(Tab.o1[[#This Row],[a1]]=1,ABS(Tab.o1[[#This Row],[MOD]]-AVERAGE(Tab.o1[MOD])),"")</f>
        <v/>
      </c>
      <c r="AR787" s="134" t="str">
        <f>IF(Tab.o1[[#This Row],[a1]]=1,Tab.o1[[#This Row],[OBS]]/SUM(Tab.o1[OBS]),"")</f>
        <v/>
      </c>
      <c r="AS787" s="135" t="str">
        <f>IF(ISNUMBER(Tab.o1[[#This Row],[a1]]),ROW()-4,"")</f>
        <v/>
      </c>
      <c r="AT787" s="136" t="str">
        <f>Tab.o1[[#This Row],[MOD]]</f>
        <v/>
      </c>
      <c r="AU787" s="137" t="str">
        <f t="shared" si="49"/>
        <v/>
      </c>
      <c r="AV787" s="138" t="str">
        <f t="shared" si="50"/>
        <v/>
      </c>
      <c r="AW787" s="138" t="str">
        <f t="shared" si="51"/>
        <v/>
      </c>
      <c r="AX787" s="139" t="str">
        <f>[1]!T.in.A[[#This Row],[ID_T_manu]]</f>
        <v/>
      </c>
      <c r="AY787" s="140" t="str">
        <f>IF(ISNUMBER(Tab.o1[[#This Row],[a1]]),IF(AND(Tab.o1[[#This Row],[a1]]=1,Tab.o1[[#This Row],[b1]]&lt;=AY$4),#REF!,AY786),"")</f>
        <v/>
      </c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6"/>
      <c r="BO787" s="26"/>
      <c r="BP787" s="26"/>
      <c r="BQ787" s="26"/>
      <c r="BR787" s="26"/>
      <c r="BS787" s="26"/>
      <c r="BT787" s="26"/>
      <c r="BU787" s="26"/>
      <c r="BV787" s="26"/>
      <c r="BW787" s="26"/>
      <c r="BX787" s="26"/>
      <c r="BY787" s="26"/>
      <c r="BZ787" s="26"/>
      <c r="CA787" s="26"/>
    </row>
    <row r="788" spans="1:79" s="143" customFormat="1" ht="15.75" hidden="1">
      <c r="A788" s="109">
        <v>-2.0000000000000003E-6</v>
      </c>
      <c r="B788" s="110">
        <f t="shared" si="48"/>
        <v>788</v>
      </c>
      <c r="C788" s="111" t="str">
        <f>IF(C$1=[1]!T.in.A[[#This Row],[oo2]],1,"")</f>
        <v/>
      </c>
      <c r="D788" s="112" t="str">
        <f>IF(Tab.o1[[#This Row],[a1]]=1,IF(SUM(C788:C789)=0,0,IF(SUM(C787:C788)=1,1,IF(SUM(C787:C789)&gt;1,D787+1,0))),"")</f>
        <v/>
      </c>
      <c r="E788" s="113" t="str">
        <f>IF(Tab.o1[[#This Row],[a1]]=1,[1]!T.in.A[[#This Row],[oo1]],"")</f>
        <v/>
      </c>
      <c r="F788" s="113" t="str">
        <f>IF(Tab.o1[[#This Row],[a1]]=1,[1]!T.in.A[[#This Row],[pp1]],"")</f>
        <v/>
      </c>
      <c r="G788" s="114" t="str">
        <f>IF(Tab.o1[[#This Row],[a1]]=1,G$2+IF(G$1=1,0,Tab.o1[[#This Row],[.x1]])+[1]!T.in.A[[#This Row],[oo3]],"")</f>
        <v/>
      </c>
      <c r="H788" s="115" t="str">
        <f>IF(Tab.o1[[#This Row],[a1]]=1,IF(H$2=0,0,IF(G$1=1,0,Tab.o1[[#This Row],[.x1]])+[1]!T.in.A[[#This Row],[oo4]]),"")</f>
        <v/>
      </c>
      <c r="I788" s="116" t="str">
        <f>IF(Tab.o1[[#This Row],[a1]]=1,IF(J$2=0,Tab.o1[[#This Row],[MED]],Tab.o1[[#This Row],[MOD]]),"")</f>
        <v/>
      </c>
      <c r="J788" s="116" t="str">
        <f>IF(Tab.o1[[#This Row],[a1]]=1,((Tab.o1[[#This Row],[DIF_Target.]]-AVERAGE(Tab.o1[DIF_Target.]))/_xlfn.STDEV.P(Tab.o1[DIF_Target.])),"")</f>
        <v/>
      </c>
      <c r="K788" s="117" t="str">
        <f>IF(Tab.o1[[#This Row],[a1]]=1,IF(J$2=0,Tab.o1[[#This Row],[MOD]]-Tab.o1[[#This Row],[B]],IF(J$2=1,0,-Tab.o1[[#This Row],[MED]])+Tab.o1[[#This Row],[B]]),"")</f>
        <v/>
      </c>
      <c r="L788" s="117" t="str">
        <f ca="1">IF(Tab.o1[[#This Row],[DIF_Target]]=0,IF(L$2=0,Tab.o1[[#This Row],[DIF_Target]],AVERAGE(OFFSET(Tab.o1[[#This Row],[DIF_Target]],1,0,L$3,1)))/3,Tab.o1[[#This Row],[DIF_Target]])</f>
        <v/>
      </c>
      <c r="M788" s="118" t="str">
        <f>IF(Tab.o1[[#This Row],[a1]]=1,NORMSDIST(Tab.o1[[#This Row],[Za]]),"")</f>
        <v/>
      </c>
      <c r="N788" s="119" t="str">
        <f>IF(Tab.o1[[#This Row],[a1]]=1,((Tab.o1[[#This Row],[MedMod]]-AVERAGE(Tab.o1[MedMod]))/_xlfn.STDEV.P(Tab.o1[MedMod])*H$1205)+G$1205,"")</f>
        <v/>
      </c>
      <c r="O788" s="141" t="str">
        <f>IF(Tab.o1[[#This Row],[a1]]=1,Tab.o1[[#This Row],[Zb]]*_xlfn.STDEV.P(Tab.o1[MedMod])+AVERAGE(Tab.o1[MedMod]),"")</f>
        <v/>
      </c>
      <c r="P788" s="117" t="str">
        <f ca="1">IF(Tab.o1[[#This Row],[B]]=0,AVERAGE(OFFSET(Tab.o1[[#This Row],[B]],1,0,L$3,1)),Tab.o1[[#This Row],[B]])</f>
        <v/>
      </c>
      <c r="Q788" s="121" t="str">
        <f>IF(Tab.o1[[#This Row],[a1]]=1,NORMSDIST(Tab.o1[[#This Row],[Zb]]),"")</f>
        <v/>
      </c>
      <c r="R788" s="122" t="str">
        <f>IF(Tab.o1[[#This Row],[a1]]=1,((Tab.o1[[#This Row],[MedMod]]-AVERAGE(Tab.o1[MedMod]))/_xlfn.STDEV.P(Tab.o1[MedMod])*H$1203)+G$1203,"")</f>
        <v/>
      </c>
      <c r="S788" s="122" t="str">
        <f>IF(Tab.o1[[#This Row],[a1]]=1,((Tab.o1[[#This Row],[MedMod]]-AVERAGE(Tab.o1[MedMod]))/_xlfn.STDEV.P(Tab.o1[MedMod])*H$1204)+G$1204,"")</f>
        <v/>
      </c>
      <c r="T788" s="123" t="str">
        <f>IF(Tab.o1[[#This Row],[a1]]=1,Tab.o1[[#This Row],[Z-]]*_xlfn.STDEV.P(Tab.o1[B])+AVERAGE(Tab.o1[B]),"")</f>
        <v/>
      </c>
      <c r="U788" s="123" t="str">
        <f>IF(Tab.o1[[#This Row],[a1]]=1,Tab.o1[[#This Row],[z+]]*_xlfn.STDEV.P(Tab.o1[B])+AVERAGE(Tab.o1[B]),"")</f>
        <v/>
      </c>
      <c r="V788" s="124" t="str">
        <f>IF(Tab.o1[[#This Row],[a1]]=1,ABS((ABS(Tab.o1[[#This Row],[Red]]-Tab.o1[[#This Row],[Blue]]))),"")</f>
        <v/>
      </c>
      <c r="W788" s="125" t="str">
        <f>IF(Tab.o1[[#This Row],[a1]]=1,IF(W$3=0,1,Tab.o1[[#This Row],[Amp.]]*1/_xlfn.MINIFS(Tab.o1[Amp.],Tab.o1[Amp.],"&lt;&gt;0")),"")</f>
        <v/>
      </c>
      <c r="X788" s="126" t="str">
        <f>IF(Tab.o1[[#This Row],[a1]]=1,IF(ISNUMBER(Tab.o1[[#This Row],[i.]]),NORMDIST(Tab.o1[[#This Row],[Za]],0,1,FALSE)*Tab.o1[[#This Row],[i.]],AP$3),"")</f>
        <v/>
      </c>
      <c r="Y788" s="126" t="str">
        <f>IF(Tab.o1[[#This Row],[a1]]=1,0.01+0.94*Tab.o1[[#This Row],[PDF]]/MAX(Tab.o1[PDF]),"")</f>
        <v/>
      </c>
      <c r="Z788" s="126" t="str">
        <f>IF(Tab.o1[[#This Row],[a1]]=1,0.01+0.94*Tab.o1[[#This Row],[W1_PDF]]/MAX(Tab.o1[W1_PDF]),"")</f>
        <v/>
      </c>
      <c r="AA788" s="118" t="str">
        <f>IF(Tab.o1[[#This Row],[a1]]=1,ABS([1]!T.in.A[[#This Row],[oo6]]),"")</f>
        <v/>
      </c>
      <c r="AB788" s="127" t="str">
        <f>IF(Tab.o1[[#This Row],[a1]]=1,IF(AE$3=0,"",IF(AB$3=0,ABS([1]!T.in.A[[#This Row],[oo9]]),ABS(Tab.o1[[#This Row],[DIF_Target.]]*Tab.o1[[#This Row],[W1_PDF]]))),"")</f>
        <v/>
      </c>
      <c r="AC788" s="127" t="str">
        <f>IF(G$1=1,"",IF(Tab.o1[[#This Row],[a1]]=1,Tab.o1[[#This Row],[Wr]]^2,""))</f>
        <v/>
      </c>
      <c r="AD788" s="118" t="str">
        <f>IF(Tab.o1[[#This Row],[a1]]=1,IF(AE$3=0,"",Tab.o1[[#This Row],[Wr2]]/SUM(Tab.o1[Wr2])),"")</f>
        <v/>
      </c>
      <c r="AE788" s="128" t="str">
        <f>IF(Tab.o1[[#This Row],[a1]]=1,[1]!T.in.A[[#This Row],[oo10]],"")</f>
        <v/>
      </c>
      <c r="AF788" s="118" t="str">
        <f>IF(Tab.o1[[#This Row],[a1]]=1,ABS(Tab.o1[[#This Row],[DIF_Target.]]*Tab.o1[[#This Row],[PDF2]]*Tab.o1[[#This Row],[IN]]),"")</f>
        <v/>
      </c>
      <c r="AG788" s="129" t="str">
        <f>IF(Tab.o1[[#This Row],[a1]]=1,Tab.o1[[#This Row],[rW]]^2,"")</f>
        <v/>
      </c>
      <c r="AH788" s="130" t="str">
        <f>IF(Tab.o1[[#This Row],[a1]]=1,IF(AH$3=0,Tab.o1[[#This Row],[rW2]],0.01+0.94*Tab.o1[[#This Row],[rW2]]/SUM(Tab.o1[rW2])),"")</f>
        <v/>
      </c>
      <c r="AI788" s="128" t="str">
        <f>IF(Tab.o1[[#This Row],[a1]]=1,1/Tab.o1[[#This Row],[PDF]],"")</f>
        <v/>
      </c>
      <c r="AJ788" s="131" t="str">
        <f>IF(Tab.o1[[#This Row],[a1]]=1,[1]!T_AA[[#This Row],[IN'']]*[1]!T_AA[[#This Row],[Qde'']],"")</f>
        <v/>
      </c>
      <c r="AK788" s="132" t="str">
        <f>IF(Tab.o1[[#This Row],[a1]]=1,IF(AK$1=1,Tab.o1[[#This Row],[MED]]+Tab.o1[[#This Row],[MOD]]-Tab.o1[[#This Row],[MED]],""),"")</f>
        <v/>
      </c>
      <c r="AL788" s="133" t="str">
        <f>IF(Tab.o1[[#This Row],[a1]]=1,[1]!T.in.A[[#This Row],[oo16]],"")</f>
        <v/>
      </c>
      <c r="AM788" s="133" t="str">
        <f>IF(Tab.o1[[#This Row],[a1]]=1,IF(AM$3=1,[1]!T.in.A[[#This Row],[Σo16]],""),"")</f>
        <v/>
      </c>
      <c r="AN788" s="126" t="str">
        <f>IF(Tab.o1[[#This Row],[a1]]=1,[1]!T.in.A[[#This Row],[Σp5]],"")</f>
        <v/>
      </c>
      <c r="AO788" s="126" t="str">
        <f>IF(Tab.o1[[#This Row],[a1]]=1,IF(AO$3=1,[1]!T.in.A[[#This Row],[Σp5]],""),"")</f>
        <v/>
      </c>
      <c r="AP788" s="110" t="str">
        <f>IF(Tab.o1[[#This Row],[a1]]=1,IF(ISNUMBER(Tab.o1[[#This Row],[i.]]),NORMDIST(Tab.o1[[#This Row],[Za]],0,1,FALSE)*Tab.o1[[#This Row],[i.]],0),"")</f>
        <v/>
      </c>
      <c r="AQ788" s="125" t="str">
        <f>IF(Tab.o1[[#This Row],[a1]]=1,ABS(Tab.o1[[#This Row],[MOD]]-AVERAGE(Tab.o1[MOD])),"")</f>
        <v/>
      </c>
      <c r="AR788" s="134" t="str">
        <f>IF(Tab.o1[[#This Row],[a1]]=1,Tab.o1[[#This Row],[OBS]]/SUM(Tab.o1[OBS]),"")</f>
        <v/>
      </c>
      <c r="AS788" s="135" t="str">
        <f>IF(ISNUMBER(Tab.o1[[#This Row],[a1]]),ROW()-4,"")</f>
        <v/>
      </c>
      <c r="AT788" s="136" t="str">
        <f>Tab.o1[[#This Row],[MOD]]</f>
        <v/>
      </c>
      <c r="AU788" s="137" t="str">
        <f t="shared" si="49"/>
        <v/>
      </c>
      <c r="AV788" s="138" t="str">
        <f t="shared" si="50"/>
        <v/>
      </c>
      <c r="AW788" s="138" t="str">
        <f t="shared" si="51"/>
        <v/>
      </c>
      <c r="AX788" s="139" t="str">
        <f>[1]!T.in.A[[#This Row],[ID_T_manu]]</f>
        <v/>
      </c>
      <c r="AY788" s="140" t="str">
        <f>IF(ISNUMBER(Tab.o1[[#This Row],[a1]]),IF(AND(Tab.o1[[#This Row],[a1]]=1,Tab.o1[[#This Row],[b1]]&lt;=AY$4),#REF!,AY787),"")</f>
        <v/>
      </c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6"/>
      <c r="BO788" s="26"/>
      <c r="BP788" s="26"/>
      <c r="BQ788" s="26"/>
      <c r="BR788" s="26"/>
      <c r="BS788" s="26"/>
      <c r="BT788" s="26"/>
      <c r="BU788" s="26"/>
      <c r="BV788" s="26"/>
      <c r="BW788" s="26"/>
      <c r="BX788" s="26"/>
      <c r="BY788" s="26"/>
      <c r="BZ788" s="26"/>
      <c r="CA788" s="26"/>
    </row>
    <row r="789" spans="1:79" s="143" customFormat="1" ht="15.75" hidden="1">
      <c r="A789" s="109">
        <v>-6.9999999999999999E-6</v>
      </c>
      <c r="B789" s="110">
        <f t="shared" si="48"/>
        <v>789</v>
      </c>
      <c r="C789" s="111" t="str">
        <f>IF(C$1=[1]!T.in.A[[#This Row],[oo2]],1,"")</f>
        <v/>
      </c>
      <c r="D789" s="112" t="str">
        <f>IF(Tab.o1[[#This Row],[a1]]=1,IF(SUM(C789:C790)=0,0,IF(SUM(C788:C789)=1,1,IF(SUM(C788:C790)&gt;1,D788+1,0))),"")</f>
        <v/>
      </c>
      <c r="E789" s="113" t="str">
        <f>IF(Tab.o1[[#This Row],[a1]]=1,[1]!T.in.A[[#This Row],[oo1]],"")</f>
        <v/>
      </c>
      <c r="F789" s="113" t="str">
        <f>IF(Tab.o1[[#This Row],[a1]]=1,[1]!T.in.A[[#This Row],[pp1]],"")</f>
        <v/>
      </c>
      <c r="G789" s="114" t="str">
        <f>IF(Tab.o1[[#This Row],[a1]]=1,G$2+IF(G$1=1,0,Tab.o1[[#This Row],[.x1]])+[1]!T.in.A[[#This Row],[oo3]],"")</f>
        <v/>
      </c>
      <c r="H789" s="115" t="str">
        <f>IF(Tab.o1[[#This Row],[a1]]=1,IF(H$2=0,0,IF(G$1=1,0,Tab.o1[[#This Row],[.x1]])+[1]!T.in.A[[#This Row],[oo4]]),"")</f>
        <v/>
      </c>
      <c r="I789" s="116" t="str">
        <f>IF(Tab.o1[[#This Row],[a1]]=1,IF(J$2=0,Tab.o1[[#This Row],[MED]],Tab.o1[[#This Row],[MOD]]),"")</f>
        <v/>
      </c>
      <c r="J789" s="116" t="str">
        <f>IF(Tab.o1[[#This Row],[a1]]=1,((Tab.o1[[#This Row],[DIF_Target.]]-AVERAGE(Tab.o1[DIF_Target.]))/_xlfn.STDEV.P(Tab.o1[DIF_Target.])),"")</f>
        <v/>
      </c>
      <c r="K789" s="117" t="str">
        <f>IF(Tab.o1[[#This Row],[a1]]=1,IF(J$2=0,Tab.o1[[#This Row],[MOD]]-Tab.o1[[#This Row],[B]],IF(J$2=1,0,-Tab.o1[[#This Row],[MED]])+Tab.o1[[#This Row],[B]]),"")</f>
        <v/>
      </c>
      <c r="L789" s="117" t="str">
        <f ca="1">IF(Tab.o1[[#This Row],[DIF_Target]]=0,IF(L$2=0,Tab.o1[[#This Row],[DIF_Target]],AVERAGE(OFFSET(Tab.o1[[#This Row],[DIF_Target]],1,0,L$3,1)))/3,Tab.o1[[#This Row],[DIF_Target]])</f>
        <v/>
      </c>
      <c r="M789" s="118" t="str">
        <f>IF(Tab.o1[[#This Row],[a1]]=1,NORMSDIST(Tab.o1[[#This Row],[Za]]),"")</f>
        <v/>
      </c>
      <c r="N789" s="119" t="str">
        <f>IF(Tab.o1[[#This Row],[a1]]=1,((Tab.o1[[#This Row],[MedMod]]-AVERAGE(Tab.o1[MedMod]))/_xlfn.STDEV.P(Tab.o1[MedMod])*H$1205)+G$1205,"")</f>
        <v/>
      </c>
      <c r="O789" s="141" t="str">
        <f>IF(Tab.o1[[#This Row],[a1]]=1,Tab.o1[[#This Row],[Zb]]*_xlfn.STDEV.P(Tab.o1[MedMod])+AVERAGE(Tab.o1[MedMod]),"")</f>
        <v/>
      </c>
      <c r="P789" s="117" t="str">
        <f ca="1">IF(Tab.o1[[#This Row],[B]]=0,AVERAGE(OFFSET(Tab.o1[[#This Row],[B]],1,0,L$3,1)),Tab.o1[[#This Row],[B]])</f>
        <v/>
      </c>
      <c r="Q789" s="121" t="str">
        <f>IF(Tab.o1[[#This Row],[a1]]=1,NORMSDIST(Tab.o1[[#This Row],[Zb]]),"")</f>
        <v/>
      </c>
      <c r="R789" s="122" t="str">
        <f>IF(Tab.o1[[#This Row],[a1]]=1,((Tab.o1[[#This Row],[MedMod]]-AVERAGE(Tab.o1[MedMod]))/_xlfn.STDEV.P(Tab.o1[MedMod])*H$1203)+G$1203,"")</f>
        <v/>
      </c>
      <c r="S789" s="122" t="str">
        <f>IF(Tab.o1[[#This Row],[a1]]=1,((Tab.o1[[#This Row],[MedMod]]-AVERAGE(Tab.o1[MedMod]))/_xlfn.STDEV.P(Tab.o1[MedMod])*H$1204)+G$1204,"")</f>
        <v/>
      </c>
      <c r="T789" s="123" t="str">
        <f>IF(Tab.o1[[#This Row],[a1]]=1,Tab.o1[[#This Row],[Z-]]*_xlfn.STDEV.P(Tab.o1[B])+AVERAGE(Tab.o1[B]),"")</f>
        <v/>
      </c>
      <c r="U789" s="123" t="str">
        <f>IF(Tab.o1[[#This Row],[a1]]=1,Tab.o1[[#This Row],[z+]]*_xlfn.STDEV.P(Tab.o1[B])+AVERAGE(Tab.o1[B]),"")</f>
        <v/>
      </c>
      <c r="V789" s="124" t="str">
        <f>IF(Tab.o1[[#This Row],[a1]]=1,ABS((ABS(Tab.o1[[#This Row],[Red]]-Tab.o1[[#This Row],[Blue]]))),"")</f>
        <v/>
      </c>
      <c r="W789" s="125" t="str">
        <f>IF(Tab.o1[[#This Row],[a1]]=1,IF(W$3=0,1,Tab.o1[[#This Row],[Amp.]]*1/_xlfn.MINIFS(Tab.o1[Amp.],Tab.o1[Amp.],"&lt;&gt;0")),"")</f>
        <v/>
      </c>
      <c r="X789" s="126" t="str">
        <f>IF(Tab.o1[[#This Row],[a1]]=1,IF(ISNUMBER(Tab.o1[[#This Row],[i.]]),NORMDIST(Tab.o1[[#This Row],[Za]],0,1,FALSE)*Tab.o1[[#This Row],[i.]],AP$3),"")</f>
        <v/>
      </c>
      <c r="Y789" s="126" t="str">
        <f>IF(Tab.o1[[#This Row],[a1]]=1,0.01+0.94*Tab.o1[[#This Row],[PDF]]/MAX(Tab.o1[PDF]),"")</f>
        <v/>
      </c>
      <c r="Z789" s="126" t="str">
        <f>IF(Tab.o1[[#This Row],[a1]]=1,0.01+0.94*Tab.o1[[#This Row],[W1_PDF]]/MAX(Tab.o1[W1_PDF]),"")</f>
        <v/>
      </c>
      <c r="AA789" s="118" t="str">
        <f>IF(Tab.o1[[#This Row],[a1]]=1,ABS([1]!T.in.A[[#This Row],[oo6]]),"")</f>
        <v/>
      </c>
      <c r="AB789" s="127" t="str">
        <f>IF(Tab.o1[[#This Row],[a1]]=1,IF(AE$3=0,"",IF(AB$3=0,ABS([1]!T.in.A[[#This Row],[oo9]]),ABS(Tab.o1[[#This Row],[DIF_Target.]]*Tab.o1[[#This Row],[W1_PDF]]))),"")</f>
        <v/>
      </c>
      <c r="AC789" s="127" t="str">
        <f>IF(G$1=1,"",IF(Tab.o1[[#This Row],[a1]]=1,Tab.o1[[#This Row],[Wr]]^2,""))</f>
        <v/>
      </c>
      <c r="AD789" s="118" t="str">
        <f>IF(Tab.o1[[#This Row],[a1]]=1,IF(AE$3=0,"",Tab.o1[[#This Row],[Wr2]]/SUM(Tab.o1[Wr2])),"")</f>
        <v/>
      </c>
      <c r="AE789" s="128" t="str">
        <f>IF(Tab.o1[[#This Row],[a1]]=1,[1]!T.in.A[[#This Row],[oo10]],"")</f>
        <v/>
      </c>
      <c r="AF789" s="118" t="str">
        <f>IF(Tab.o1[[#This Row],[a1]]=1,ABS(Tab.o1[[#This Row],[DIF_Target.]]*Tab.o1[[#This Row],[PDF2]]*Tab.o1[[#This Row],[IN]]),"")</f>
        <v/>
      </c>
      <c r="AG789" s="129" t="str">
        <f>IF(Tab.o1[[#This Row],[a1]]=1,Tab.o1[[#This Row],[rW]]^2,"")</f>
        <v/>
      </c>
      <c r="AH789" s="130" t="str">
        <f>IF(Tab.o1[[#This Row],[a1]]=1,IF(AH$3=0,Tab.o1[[#This Row],[rW2]],0.01+0.94*Tab.o1[[#This Row],[rW2]]/SUM(Tab.o1[rW2])),"")</f>
        <v/>
      </c>
      <c r="AI789" s="128" t="str">
        <f>IF(Tab.o1[[#This Row],[a1]]=1,1/Tab.o1[[#This Row],[PDF]],"")</f>
        <v/>
      </c>
      <c r="AJ789" s="131" t="str">
        <f>IF(Tab.o1[[#This Row],[a1]]=1,[1]!T_AA[[#This Row],[IN'']]*[1]!T_AA[[#This Row],[Qde'']],"")</f>
        <v/>
      </c>
      <c r="AK789" s="132" t="str">
        <f>IF(Tab.o1[[#This Row],[a1]]=1,IF(AK$1=1,Tab.o1[[#This Row],[MED]]+Tab.o1[[#This Row],[MOD]]-Tab.o1[[#This Row],[MED]],""),"")</f>
        <v/>
      </c>
      <c r="AL789" s="133" t="str">
        <f>IF(Tab.o1[[#This Row],[a1]]=1,[1]!T.in.A[[#This Row],[oo16]],"")</f>
        <v/>
      </c>
      <c r="AM789" s="133" t="str">
        <f>IF(Tab.o1[[#This Row],[a1]]=1,IF(AM$3=1,[1]!T.in.A[[#This Row],[Σo16]],""),"")</f>
        <v/>
      </c>
      <c r="AN789" s="126" t="str">
        <f>IF(Tab.o1[[#This Row],[a1]]=1,[1]!T.in.A[[#This Row],[Σp5]],"")</f>
        <v/>
      </c>
      <c r="AO789" s="126" t="str">
        <f>IF(Tab.o1[[#This Row],[a1]]=1,IF(AO$3=1,[1]!T.in.A[[#This Row],[Σp5]],""),"")</f>
        <v/>
      </c>
      <c r="AP789" s="110" t="str">
        <f>IF(Tab.o1[[#This Row],[a1]]=1,IF(ISNUMBER(Tab.o1[[#This Row],[i.]]),NORMDIST(Tab.o1[[#This Row],[Za]],0,1,FALSE)*Tab.o1[[#This Row],[i.]],0),"")</f>
        <v/>
      </c>
      <c r="AQ789" s="125" t="str">
        <f>IF(Tab.o1[[#This Row],[a1]]=1,ABS(Tab.o1[[#This Row],[MOD]]-AVERAGE(Tab.o1[MOD])),"")</f>
        <v/>
      </c>
      <c r="AR789" s="134" t="str">
        <f>IF(Tab.o1[[#This Row],[a1]]=1,Tab.o1[[#This Row],[OBS]]/SUM(Tab.o1[OBS]),"")</f>
        <v/>
      </c>
      <c r="AS789" s="135" t="str">
        <f>IF(ISNUMBER(Tab.o1[[#This Row],[a1]]),ROW()-4,"")</f>
        <v/>
      </c>
      <c r="AT789" s="136" t="str">
        <f>Tab.o1[[#This Row],[MOD]]</f>
        <v/>
      </c>
      <c r="AU789" s="137" t="str">
        <f t="shared" si="49"/>
        <v/>
      </c>
      <c r="AV789" s="138" t="str">
        <f t="shared" si="50"/>
        <v/>
      </c>
      <c r="AW789" s="138" t="str">
        <f t="shared" si="51"/>
        <v/>
      </c>
      <c r="AX789" s="139" t="str">
        <f>[1]!T.in.A[[#This Row],[ID_T_manu]]</f>
        <v/>
      </c>
      <c r="AY789" s="140" t="str">
        <f>IF(ISNUMBER(Tab.o1[[#This Row],[a1]]),IF(AND(Tab.o1[[#This Row],[a1]]=1,Tab.o1[[#This Row],[b1]]&lt;=AY$4),#REF!,AY788),"")</f>
        <v/>
      </c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6"/>
      <c r="BO789" s="26"/>
      <c r="BP789" s="26"/>
      <c r="BQ789" s="26"/>
      <c r="BR789" s="26"/>
      <c r="BS789" s="26"/>
      <c r="BT789" s="26"/>
      <c r="BU789" s="26"/>
      <c r="BV789" s="26"/>
      <c r="BW789" s="26"/>
      <c r="BX789" s="26"/>
      <c r="BY789" s="26"/>
      <c r="BZ789" s="26"/>
      <c r="CA789" s="26"/>
    </row>
    <row r="790" spans="1:79" s="143" customFormat="1" ht="15.75" hidden="1">
      <c r="A790" s="109">
        <v>1.0000000000000002E-6</v>
      </c>
      <c r="B790" s="110">
        <f t="shared" si="48"/>
        <v>790</v>
      </c>
      <c r="C790" s="111" t="str">
        <f>IF(C$1=[1]!T.in.A[[#This Row],[oo2]],1,"")</f>
        <v/>
      </c>
      <c r="D790" s="112" t="str">
        <f>IF(Tab.o1[[#This Row],[a1]]=1,IF(SUM(C790:C791)=0,0,IF(SUM(C789:C790)=1,1,IF(SUM(C789:C791)&gt;1,D789+1,0))),"")</f>
        <v/>
      </c>
      <c r="E790" s="113" t="str">
        <f>IF(Tab.o1[[#This Row],[a1]]=1,[1]!T.in.A[[#This Row],[oo1]],"")</f>
        <v/>
      </c>
      <c r="F790" s="113" t="str">
        <f>IF(Tab.o1[[#This Row],[a1]]=1,[1]!T.in.A[[#This Row],[pp1]],"")</f>
        <v/>
      </c>
      <c r="G790" s="114" t="str">
        <f>IF(Tab.o1[[#This Row],[a1]]=1,G$2+IF(G$1=1,0,Tab.o1[[#This Row],[.x1]])+[1]!T.in.A[[#This Row],[oo3]],"")</f>
        <v/>
      </c>
      <c r="H790" s="115" t="str">
        <f>IF(Tab.o1[[#This Row],[a1]]=1,IF(H$2=0,0,IF(G$1=1,0,Tab.o1[[#This Row],[.x1]])+[1]!T.in.A[[#This Row],[oo4]]),"")</f>
        <v/>
      </c>
      <c r="I790" s="116" t="str">
        <f>IF(Tab.o1[[#This Row],[a1]]=1,IF(J$2=0,Tab.o1[[#This Row],[MED]],Tab.o1[[#This Row],[MOD]]),"")</f>
        <v/>
      </c>
      <c r="J790" s="116" t="str">
        <f>IF(Tab.o1[[#This Row],[a1]]=1,((Tab.o1[[#This Row],[DIF_Target.]]-AVERAGE(Tab.o1[DIF_Target.]))/_xlfn.STDEV.P(Tab.o1[DIF_Target.])),"")</f>
        <v/>
      </c>
      <c r="K790" s="117" t="str">
        <f>IF(Tab.o1[[#This Row],[a1]]=1,IF(J$2=0,Tab.o1[[#This Row],[MOD]]-Tab.o1[[#This Row],[B]],IF(J$2=1,0,-Tab.o1[[#This Row],[MED]])+Tab.o1[[#This Row],[B]]),"")</f>
        <v/>
      </c>
      <c r="L790" s="117" t="str">
        <f ca="1">IF(Tab.o1[[#This Row],[DIF_Target]]=0,IF(L$2=0,Tab.o1[[#This Row],[DIF_Target]],AVERAGE(OFFSET(Tab.o1[[#This Row],[DIF_Target]],1,0,L$3,1)))/3,Tab.o1[[#This Row],[DIF_Target]])</f>
        <v/>
      </c>
      <c r="M790" s="118" t="str">
        <f>IF(Tab.o1[[#This Row],[a1]]=1,NORMSDIST(Tab.o1[[#This Row],[Za]]),"")</f>
        <v/>
      </c>
      <c r="N790" s="119" t="str">
        <f>IF(Tab.o1[[#This Row],[a1]]=1,((Tab.o1[[#This Row],[MedMod]]-AVERAGE(Tab.o1[MedMod]))/_xlfn.STDEV.P(Tab.o1[MedMod])*H$1205)+G$1205,"")</f>
        <v/>
      </c>
      <c r="O790" s="141" t="str">
        <f>IF(Tab.o1[[#This Row],[a1]]=1,Tab.o1[[#This Row],[Zb]]*_xlfn.STDEV.P(Tab.o1[MedMod])+AVERAGE(Tab.o1[MedMod]),"")</f>
        <v/>
      </c>
      <c r="P790" s="117" t="str">
        <f ca="1">IF(Tab.o1[[#This Row],[B]]=0,AVERAGE(OFFSET(Tab.o1[[#This Row],[B]],1,0,L$3,1)),Tab.o1[[#This Row],[B]])</f>
        <v/>
      </c>
      <c r="Q790" s="121" t="str">
        <f>IF(Tab.o1[[#This Row],[a1]]=1,NORMSDIST(Tab.o1[[#This Row],[Zb]]),"")</f>
        <v/>
      </c>
      <c r="R790" s="122" t="str">
        <f>IF(Tab.o1[[#This Row],[a1]]=1,((Tab.o1[[#This Row],[MedMod]]-AVERAGE(Tab.o1[MedMod]))/_xlfn.STDEV.P(Tab.o1[MedMod])*H$1203)+G$1203,"")</f>
        <v/>
      </c>
      <c r="S790" s="122" t="str">
        <f>IF(Tab.o1[[#This Row],[a1]]=1,((Tab.o1[[#This Row],[MedMod]]-AVERAGE(Tab.o1[MedMod]))/_xlfn.STDEV.P(Tab.o1[MedMod])*H$1204)+G$1204,"")</f>
        <v/>
      </c>
      <c r="T790" s="123" t="str">
        <f>IF(Tab.o1[[#This Row],[a1]]=1,Tab.o1[[#This Row],[Z-]]*_xlfn.STDEV.P(Tab.o1[B])+AVERAGE(Tab.o1[B]),"")</f>
        <v/>
      </c>
      <c r="U790" s="123" t="str">
        <f>IF(Tab.o1[[#This Row],[a1]]=1,Tab.o1[[#This Row],[z+]]*_xlfn.STDEV.P(Tab.o1[B])+AVERAGE(Tab.o1[B]),"")</f>
        <v/>
      </c>
      <c r="V790" s="124" t="str">
        <f>IF(Tab.o1[[#This Row],[a1]]=1,ABS((ABS(Tab.o1[[#This Row],[Red]]-Tab.o1[[#This Row],[Blue]]))),"")</f>
        <v/>
      </c>
      <c r="W790" s="125" t="str">
        <f>IF(Tab.o1[[#This Row],[a1]]=1,IF(W$3=0,1,Tab.o1[[#This Row],[Amp.]]*1/_xlfn.MINIFS(Tab.o1[Amp.],Tab.o1[Amp.],"&lt;&gt;0")),"")</f>
        <v/>
      </c>
      <c r="X790" s="126" t="str">
        <f>IF(Tab.o1[[#This Row],[a1]]=1,IF(ISNUMBER(Tab.o1[[#This Row],[i.]]),NORMDIST(Tab.o1[[#This Row],[Za]],0,1,FALSE)*Tab.o1[[#This Row],[i.]],AP$3),"")</f>
        <v/>
      </c>
      <c r="Y790" s="126" t="str">
        <f>IF(Tab.o1[[#This Row],[a1]]=1,0.01+0.94*Tab.o1[[#This Row],[PDF]]/MAX(Tab.o1[PDF]),"")</f>
        <v/>
      </c>
      <c r="Z790" s="126" t="str">
        <f>IF(Tab.o1[[#This Row],[a1]]=1,0.01+0.94*Tab.o1[[#This Row],[W1_PDF]]/MAX(Tab.o1[W1_PDF]),"")</f>
        <v/>
      </c>
      <c r="AA790" s="118" t="str">
        <f>IF(Tab.o1[[#This Row],[a1]]=1,ABS([1]!T.in.A[[#This Row],[oo6]]),"")</f>
        <v/>
      </c>
      <c r="AB790" s="127" t="str">
        <f>IF(Tab.o1[[#This Row],[a1]]=1,IF(AE$3=0,"",IF(AB$3=0,ABS([1]!T.in.A[[#This Row],[oo9]]),ABS(Tab.o1[[#This Row],[DIF_Target.]]*Tab.o1[[#This Row],[W1_PDF]]))),"")</f>
        <v/>
      </c>
      <c r="AC790" s="127" t="str">
        <f>IF(G$1=1,"",IF(Tab.o1[[#This Row],[a1]]=1,Tab.o1[[#This Row],[Wr]]^2,""))</f>
        <v/>
      </c>
      <c r="AD790" s="118" t="str">
        <f>IF(Tab.o1[[#This Row],[a1]]=1,IF(AE$3=0,"",Tab.o1[[#This Row],[Wr2]]/SUM(Tab.o1[Wr2])),"")</f>
        <v/>
      </c>
      <c r="AE790" s="128" t="str">
        <f>IF(Tab.o1[[#This Row],[a1]]=1,[1]!T.in.A[[#This Row],[oo10]],"")</f>
        <v/>
      </c>
      <c r="AF790" s="118" t="str">
        <f>IF(Tab.o1[[#This Row],[a1]]=1,ABS(Tab.o1[[#This Row],[DIF_Target.]]*Tab.o1[[#This Row],[PDF2]]*Tab.o1[[#This Row],[IN]]),"")</f>
        <v/>
      </c>
      <c r="AG790" s="129" t="str">
        <f>IF(Tab.o1[[#This Row],[a1]]=1,Tab.o1[[#This Row],[rW]]^2,"")</f>
        <v/>
      </c>
      <c r="AH790" s="130" t="str">
        <f>IF(Tab.o1[[#This Row],[a1]]=1,IF(AH$3=0,Tab.o1[[#This Row],[rW2]],0.01+0.94*Tab.o1[[#This Row],[rW2]]/SUM(Tab.o1[rW2])),"")</f>
        <v/>
      </c>
      <c r="AI790" s="128" t="str">
        <f>IF(Tab.o1[[#This Row],[a1]]=1,1/Tab.o1[[#This Row],[PDF]],"")</f>
        <v/>
      </c>
      <c r="AJ790" s="131" t="str">
        <f>IF(Tab.o1[[#This Row],[a1]]=1,[1]!T_AA[[#This Row],[IN'']]*[1]!T_AA[[#This Row],[Qde'']],"")</f>
        <v/>
      </c>
      <c r="AK790" s="132" t="str">
        <f>IF(Tab.o1[[#This Row],[a1]]=1,IF(AK$1=1,Tab.o1[[#This Row],[MED]]+Tab.o1[[#This Row],[MOD]]-Tab.o1[[#This Row],[MED]],""),"")</f>
        <v/>
      </c>
      <c r="AL790" s="133" t="str">
        <f>IF(Tab.o1[[#This Row],[a1]]=1,[1]!T.in.A[[#This Row],[oo16]],"")</f>
        <v/>
      </c>
      <c r="AM790" s="133" t="str">
        <f>IF(Tab.o1[[#This Row],[a1]]=1,IF(AM$3=1,[1]!T.in.A[[#This Row],[Σo16]],""),"")</f>
        <v/>
      </c>
      <c r="AN790" s="126" t="str">
        <f>IF(Tab.o1[[#This Row],[a1]]=1,[1]!T.in.A[[#This Row],[Σp5]],"")</f>
        <v/>
      </c>
      <c r="AO790" s="126" t="str">
        <f>IF(Tab.o1[[#This Row],[a1]]=1,IF(AO$3=1,[1]!T.in.A[[#This Row],[Σp5]],""),"")</f>
        <v/>
      </c>
      <c r="AP790" s="110" t="str">
        <f>IF(Tab.o1[[#This Row],[a1]]=1,IF(ISNUMBER(Tab.o1[[#This Row],[i.]]),NORMDIST(Tab.o1[[#This Row],[Za]],0,1,FALSE)*Tab.o1[[#This Row],[i.]],0),"")</f>
        <v/>
      </c>
      <c r="AQ790" s="125" t="str">
        <f>IF(Tab.o1[[#This Row],[a1]]=1,ABS(Tab.o1[[#This Row],[MOD]]-AVERAGE(Tab.o1[MOD])),"")</f>
        <v/>
      </c>
      <c r="AR790" s="134" t="str">
        <f>IF(Tab.o1[[#This Row],[a1]]=1,Tab.o1[[#This Row],[OBS]]/SUM(Tab.o1[OBS]),"")</f>
        <v/>
      </c>
      <c r="AS790" s="135" t="str">
        <f>IF(ISNUMBER(Tab.o1[[#This Row],[a1]]),ROW()-4,"")</f>
        <v/>
      </c>
      <c r="AT790" s="136" t="str">
        <f>Tab.o1[[#This Row],[MOD]]</f>
        <v/>
      </c>
      <c r="AU790" s="137" t="str">
        <f t="shared" si="49"/>
        <v/>
      </c>
      <c r="AV790" s="138" t="str">
        <f t="shared" si="50"/>
        <v/>
      </c>
      <c r="AW790" s="138" t="str">
        <f t="shared" si="51"/>
        <v/>
      </c>
      <c r="AX790" s="139" t="str">
        <f>[1]!T.in.A[[#This Row],[ID_T_manu]]</f>
        <v/>
      </c>
      <c r="AY790" s="140" t="str">
        <f>IF(ISNUMBER(Tab.o1[[#This Row],[a1]]),IF(AND(Tab.o1[[#This Row],[a1]]=1,Tab.o1[[#This Row],[b1]]&lt;=AY$4),#REF!,AY789),"")</f>
        <v/>
      </c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6"/>
      <c r="BO790" s="26"/>
      <c r="BP790" s="26"/>
      <c r="BQ790" s="26"/>
      <c r="BR790" s="26"/>
      <c r="BS790" s="26"/>
      <c r="BT790" s="26"/>
      <c r="BU790" s="26"/>
      <c r="BV790" s="26"/>
      <c r="BW790" s="26"/>
      <c r="BX790" s="26"/>
      <c r="BY790" s="26"/>
      <c r="BZ790" s="26"/>
      <c r="CA790" s="26"/>
    </row>
    <row r="791" spans="1:79" s="143" customFormat="1" ht="15.75" hidden="1">
      <c r="A791" s="109">
        <v>5.9999999999999993E-6</v>
      </c>
      <c r="B791" s="110">
        <f t="shared" si="48"/>
        <v>791</v>
      </c>
      <c r="C791" s="111" t="str">
        <f>IF(C$1=[1]!T.in.A[[#This Row],[oo2]],1,"")</f>
        <v/>
      </c>
      <c r="D791" s="112" t="str">
        <f>IF(Tab.o1[[#This Row],[a1]]=1,IF(SUM(C791:C792)=0,0,IF(SUM(C790:C791)=1,1,IF(SUM(C790:C792)&gt;1,D790+1,0))),"")</f>
        <v/>
      </c>
      <c r="E791" s="113" t="str">
        <f>IF(Tab.o1[[#This Row],[a1]]=1,[1]!T.in.A[[#This Row],[oo1]],"")</f>
        <v/>
      </c>
      <c r="F791" s="113" t="str">
        <f>IF(Tab.o1[[#This Row],[a1]]=1,[1]!T.in.A[[#This Row],[pp1]],"")</f>
        <v/>
      </c>
      <c r="G791" s="114" t="str">
        <f>IF(Tab.o1[[#This Row],[a1]]=1,G$2+IF(G$1=1,0,Tab.o1[[#This Row],[.x1]])+[1]!T.in.A[[#This Row],[oo3]],"")</f>
        <v/>
      </c>
      <c r="H791" s="115" t="str">
        <f>IF(Tab.o1[[#This Row],[a1]]=1,IF(H$2=0,0,IF(G$1=1,0,Tab.o1[[#This Row],[.x1]])+[1]!T.in.A[[#This Row],[oo4]]),"")</f>
        <v/>
      </c>
      <c r="I791" s="116" t="str">
        <f>IF(Tab.o1[[#This Row],[a1]]=1,IF(J$2=0,Tab.o1[[#This Row],[MED]],Tab.o1[[#This Row],[MOD]]),"")</f>
        <v/>
      </c>
      <c r="J791" s="116" t="str">
        <f>IF(Tab.o1[[#This Row],[a1]]=1,((Tab.o1[[#This Row],[DIF_Target.]]-AVERAGE(Tab.o1[DIF_Target.]))/_xlfn.STDEV.P(Tab.o1[DIF_Target.])),"")</f>
        <v/>
      </c>
      <c r="K791" s="117" t="str">
        <f>IF(Tab.o1[[#This Row],[a1]]=1,IF(J$2=0,Tab.o1[[#This Row],[MOD]]-Tab.o1[[#This Row],[B]],IF(J$2=1,0,-Tab.o1[[#This Row],[MED]])+Tab.o1[[#This Row],[B]]),"")</f>
        <v/>
      </c>
      <c r="L791" s="117" t="str">
        <f ca="1">IF(Tab.o1[[#This Row],[DIF_Target]]=0,IF(L$2=0,Tab.o1[[#This Row],[DIF_Target]],AVERAGE(OFFSET(Tab.o1[[#This Row],[DIF_Target]],1,0,L$3,1)))/3,Tab.o1[[#This Row],[DIF_Target]])</f>
        <v/>
      </c>
      <c r="M791" s="118" t="str">
        <f>IF(Tab.o1[[#This Row],[a1]]=1,NORMSDIST(Tab.o1[[#This Row],[Za]]),"")</f>
        <v/>
      </c>
      <c r="N791" s="119" t="str">
        <f>IF(Tab.o1[[#This Row],[a1]]=1,((Tab.o1[[#This Row],[MedMod]]-AVERAGE(Tab.o1[MedMod]))/_xlfn.STDEV.P(Tab.o1[MedMod])*H$1205)+G$1205,"")</f>
        <v/>
      </c>
      <c r="O791" s="141" t="str">
        <f>IF(Tab.o1[[#This Row],[a1]]=1,Tab.o1[[#This Row],[Zb]]*_xlfn.STDEV.P(Tab.o1[MedMod])+AVERAGE(Tab.o1[MedMod]),"")</f>
        <v/>
      </c>
      <c r="P791" s="117" t="str">
        <f ca="1">IF(Tab.o1[[#This Row],[B]]=0,AVERAGE(OFFSET(Tab.o1[[#This Row],[B]],1,0,L$3,1)),Tab.o1[[#This Row],[B]])</f>
        <v/>
      </c>
      <c r="Q791" s="121" t="str">
        <f>IF(Tab.o1[[#This Row],[a1]]=1,NORMSDIST(Tab.o1[[#This Row],[Zb]]),"")</f>
        <v/>
      </c>
      <c r="R791" s="122" t="str">
        <f>IF(Tab.o1[[#This Row],[a1]]=1,((Tab.o1[[#This Row],[MedMod]]-AVERAGE(Tab.o1[MedMod]))/_xlfn.STDEV.P(Tab.o1[MedMod])*H$1203)+G$1203,"")</f>
        <v/>
      </c>
      <c r="S791" s="122" t="str">
        <f>IF(Tab.o1[[#This Row],[a1]]=1,((Tab.o1[[#This Row],[MedMod]]-AVERAGE(Tab.o1[MedMod]))/_xlfn.STDEV.P(Tab.o1[MedMod])*H$1204)+G$1204,"")</f>
        <v/>
      </c>
      <c r="T791" s="123" t="str">
        <f>IF(Tab.o1[[#This Row],[a1]]=1,Tab.o1[[#This Row],[Z-]]*_xlfn.STDEV.P(Tab.o1[B])+AVERAGE(Tab.o1[B]),"")</f>
        <v/>
      </c>
      <c r="U791" s="123" t="str">
        <f>IF(Tab.o1[[#This Row],[a1]]=1,Tab.o1[[#This Row],[z+]]*_xlfn.STDEV.P(Tab.o1[B])+AVERAGE(Tab.o1[B]),"")</f>
        <v/>
      </c>
      <c r="V791" s="124" t="str">
        <f>IF(Tab.o1[[#This Row],[a1]]=1,ABS((ABS(Tab.o1[[#This Row],[Red]]-Tab.o1[[#This Row],[Blue]]))),"")</f>
        <v/>
      </c>
      <c r="W791" s="125" t="str">
        <f>IF(Tab.o1[[#This Row],[a1]]=1,IF(W$3=0,1,Tab.o1[[#This Row],[Amp.]]*1/_xlfn.MINIFS(Tab.o1[Amp.],Tab.o1[Amp.],"&lt;&gt;0")),"")</f>
        <v/>
      </c>
      <c r="X791" s="126" t="str">
        <f>IF(Tab.o1[[#This Row],[a1]]=1,IF(ISNUMBER(Tab.o1[[#This Row],[i.]]),NORMDIST(Tab.o1[[#This Row],[Za]],0,1,FALSE)*Tab.o1[[#This Row],[i.]],AP$3),"")</f>
        <v/>
      </c>
      <c r="Y791" s="126" t="str">
        <f>IF(Tab.o1[[#This Row],[a1]]=1,0.01+0.94*Tab.o1[[#This Row],[PDF]]/MAX(Tab.o1[PDF]),"")</f>
        <v/>
      </c>
      <c r="Z791" s="126" t="str">
        <f>IF(Tab.o1[[#This Row],[a1]]=1,0.01+0.94*Tab.o1[[#This Row],[W1_PDF]]/MAX(Tab.o1[W1_PDF]),"")</f>
        <v/>
      </c>
      <c r="AA791" s="118" t="str">
        <f>IF(Tab.o1[[#This Row],[a1]]=1,ABS([1]!T.in.A[[#This Row],[oo6]]),"")</f>
        <v/>
      </c>
      <c r="AB791" s="127" t="str">
        <f>IF(Tab.o1[[#This Row],[a1]]=1,IF(AE$3=0,"",IF(AB$3=0,ABS([1]!T.in.A[[#This Row],[oo9]]),ABS(Tab.o1[[#This Row],[DIF_Target.]]*Tab.o1[[#This Row],[W1_PDF]]))),"")</f>
        <v/>
      </c>
      <c r="AC791" s="127" t="str">
        <f>IF(G$1=1,"",IF(Tab.o1[[#This Row],[a1]]=1,Tab.o1[[#This Row],[Wr]]^2,""))</f>
        <v/>
      </c>
      <c r="AD791" s="118" t="str">
        <f>IF(Tab.o1[[#This Row],[a1]]=1,IF(AE$3=0,"",Tab.o1[[#This Row],[Wr2]]/SUM(Tab.o1[Wr2])),"")</f>
        <v/>
      </c>
      <c r="AE791" s="128" t="str">
        <f>IF(Tab.o1[[#This Row],[a1]]=1,[1]!T.in.A[[#This Row],[oo10]],"")</f>
        <v/>
      </c>
      <c r="AF791" s="118" t="str">
        <f>IF(Tab.o1[[#This Row],[a1]]=1,ABS(Tab.o1[[#This Row],[DIF_Target.]]*Tab.o1[[#This Row],[PDF2]]*Tab.o1[[#This Row],[IN]]),"")</f>
        <v/>
      </c>
      <c r="AG791" s="129" t="str">
        <f>IF(Tab.o1[[#This Row],[a1]]=1,Tab.o1[[#This Row],[rW]]^2,"")</f>
        <v/>
      </c>
      <c r="AH791" s="130" t="str">
        <f>IF(Tab.o1[[#This Row],[a1]]=1,IF(AH$3=0,Tab.o1[[#This Row],[rW2]],0.01+0.94*Tab.o1[[#This Row],[rW2]]/SUM(Tab.o1[rW2])),"")</f>
        <v/>
      </c>
      <c r="AI791" s="128" t="str">
        <f>IF(Tab.o1[[#This Row],[a1]]=1,1/Tab.o1[[#This Row],[PDF]],"")</f>
        <v/>
      </c>
      <c r="AJ791" s="131" t="str">
        <f>IF(Tab.o1[[#This Row],[a1]]=1,[1]!T_AA[[#This Row],[IN'']]*[1]!T_AA[[#This Row],[Qde'']],"")</f>
        <v/>
      </c>
      <c r="AK791" s="132" t="str">
        <f>IF(Tab.o1[[#This Row],[a1]]=1,IF(AK$1=1,Tab.o1[[#This Row],[MED]]+Tab.o1[[#This Row],[MOD]]-Tab.o1[[#This Row],[MED]],""),"")</f>
        <v/>
      </c>
      <c r="AL791" s="133" t="str">
        <f>IF(Tab.o1[[#This Row],[a1]]=1,[1]!T.in.A[[#This Row],[oo16]],"")</f>
        <v/>
      </c>
      <c r="AM791" s="133" t="str">
        <f>IF(Tab.o1[[#This Row],[a1]]=1,IF(AM$3=1,[1]!T.in.A[[#This Row],[Σo16]],""),"")</f>
        <v/>
      </c>
      <c r="AN791" s="126" t="str">
        <f>IF(Tab.o1[[#This Row],[a1]]=1,[1]!T.in.A[[#This Row],[Σp5]],"")</f>
        <v/>
      </c>
      <c r="AO791" s="126" t="str">
        <f>IF(Tab.o1[[#This Row],[a1]]=1,IF(AO$3=1,[1]!T.in.A[[#This Row],[Σp5]],""),"")</f>
        <v/>
      </c>
      <c r="AP791" s="110" t="str">
        <f>IF(Tab.o1[[#This Row],[a1]]=1,IF(ISNUMBER(Tab.o1[[#This Row],[i.]]),NORMDIST(Tab.o1[[#This Row],[Za]],0,1,FALSE)*Tab.o1[[#This Row],[i.]],0),"")</f>
        <v/>
      </c>
      <c r="AQ791" s="125" t="str">
        <f>IF(Tab.o1[[#This Row],[a1]]=1,ABS(Tab.o1[[#This Row],[MOD]]-AVERAGE(Tab.o1[MOD])),"")</f>
        <v/>
      </c>
      <c r="AR791" s="134" t="str">
        <f>IF(Tab.o1[[#This Row],[a1]]=1,Tab.o1[[#This Row],[OBS]]/SUM(Tab.o1[OBS]),"")</f>
        <v/>
      </c>
      <c r="AS791" s="135" t="str">
        <f>IF(ISNUMBER(Tab.o1[[#This Row],[a1]]),ROW()-4,"")</f>
        <v/>
      </c>
      <c r="AT791" s="136" t="str">
        <f>Tab.o1[[#This Row],[MOD]]</f>
        <v/>
      </c>
      <c r="AU791" s="137" t="str">
        <f t="shared" si="49"/>
        <v/>
      </c>
      <c r="AV791" s="138" t="str">
        <f t="shared" si="50"/>
        <v/>
      </c>
      <c r="AW791" s="138" t="str">
        <f t="shared" si="51"/>
        <v/>
      </c>
      <c r="AX791" s="139" t="str">
        <f>[1]!T.in.A[[#This Row],[ID_T_manu]]</f>
        <v/>
      </c>
      <c r="AY791" s="140" t="str">
        <f>IF(ISNUMBER(Tab.o1[[#This Row],[a1]]),IF(AND(Tab.o1[[#This Row],[a1]]=1,Tab.o1[[#This Row],[b1]]&lt;=AY$4),#REF!,AY790),"")</f>
        <v/>
      </c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6"/>
      <c r="BO791" s="26"/>
      <c r="BP791" s="26"/>
      <c r="BQ791" s="26"/>
      <c r="BR791" s="26"/>
      <c r="BS791" s="26"/>
      <c r="BT791" s="26"/>
      <c r="BU791" s="26"/>
      <c r="BV791" s="26"/>
      <c r="BW791" s="26"/>
      <c r="BX791" s="26"/>
      <c r="BY791" s="26"/>
      <c r="BZ791" s="26"/>
      <c r="CA791" s="26"/>
    </row>
    <row r="792" spans="1:79" s="143" customFormat="1" ht="15.75" hidden="1">
      <c r="A792" s="109">
        <v>-1.0000000000000002E-6</v>
      </c>
      <c r="B792" s="110">
        <f t="shared" si="48"/>
        <v>792</v>
      </c>
      <c r="C792" s="111" t="str">
        <f>IF(C$1=[1]!T.in.A[[#This Row],[oo2]],1,"")</f>
        <v/>
      </c>
      <c r="D792" s="112" t="str">
        <f>IF(Tab.o1[[#This Row],[a1]]=1,IF(SUM(C792:C793)=0,0,IF(SUM(C791:C792)=1,1,IF(SUM(C791:C793)&gt;1,D791+1,0))),"")</f>
        <v/>
      </c>
      <c r="E792" s="113" t="str">
        <f>IF(Tab.o1[[#This Row],[a1]]=1,[1]!T.in.A[[#This Row],[oo1]],"")</f>
        <v/>
      </c>
      <c r="F792" s="113" t="str">
        <f>IF(Tab.o1[[#This Row],[a1]]=1,[1]!T.in.A[[#This Row],[pp1]],"")</f>
        <v/>
      </c>
      <c r="G792" s="114" t="str">
        <f>IF(Tab.o1[[#This Row],[a1]]=1,G$2+IF(G$1=1,0,Tab.o1[[#This Row],[.x1]])+[1]!T.in.A[[#This Row],[oo3]],"")</f>
        <v/>
      </c>
      <c r="H792" s="115" t="str">
        <f>IF(Tab.o1[[#This Row],[a1]]=1,IF(H$2=0,0,IF(G$1=1,0,Tab.o1[[#This Row],[.x1]])+[1]!T.in.A[[#This Row],[oo4]]),"")</f>
        <v/>
      </c>
      <c r="I792" s="116" t="str">
        <f>IF(Tab.o1[[#This Row],[a1]]=1,IF(J$2=0,Tab.o1[[#This Row],[MED]],Tab.o1[[#This Row],[MOD]]),"")</f>
        <v/>
      </c>
      <c r="J792" s="116" t="str">
        <f>IF(Tab.o1[[#This Row],[a1]]=1,((Tab.o1[[#This Row],[DIF_Target.]]-AVERAGE(Tab.o1[DIF_Target.]))/_xlfn.STDEV.P(Tab.o1[DIF_Target.])),"")</f>
        <v/>
      </c>
      <c r="K792" s="117" t="str">
        <f>IF(Tab.o1[[#This Row],[a1]]=1,IF(J$2=0,Tab.o1[[#This Row],[MOD]]-Tab.o1[[#This Row],[B]],IF(J$2=1,0,-Tab.o1[[#This Row],[MED]])+Tab.o1[[#This Row],[B]]),"")</f>
        <v/>
      </c>
      <c r="L792" s="117" t="str">
        <f ca="1">IF(Tab.o1[[#This Row],[DIF_Target]]=0,IF(L$2=0,Tab.o1[[#This Row],[DIF_Target]],AVERAGE(OFFSET(Tab.o1[[#This Row],[DIF_Target]],1,0,L$3,1)))/3,Tab.o1[[#This Row],[DIF_Target]])</f>
        <v/>
      </c>
      <c r="M792" s="118" t="str">
        <f>IF(Tab.o1[[#This Row],[a1]]=1,NORMSDIST(Tab.o1[[#This Row],[Za]]),"")</f>
        <v/>
      </c>
      <c r="N792" s="119" t="str">
        <f>IF(Tab.o1[[#This Row],[a1]]=1,((Tab.o1[[#This Row],[MedMod]]-AVERAGE(Tab.o1[MedMod]))/_xlfn.STDEV.P(Tab.o1[MedMod])*H$1205)+G$1205,"")</f>
        <v/>
      </c>
      <c r="O792" s="141" t="str">
        <f>IF(Tab.o1[[#This Row],[a1]]=1,Tab.o1[[#This Row],[Zb]]*_xlfn.STDEV.P(Tab.o1[MedMod])+AVERAGE(Tab.o1[MedMod]),"")</f>
        <v/>
      </c>
      <c r="P792" s="117" t="str">
        <f ca="1">IF(Tab.o1[[#This Row],[B]]=0,AVERAGE(OFFSET(Tab.o1[[#This Row],[B]],1,0,L$3,1)),Tab.o1[[#This Row],[B]])</f>
        <v/>
      </c>
      <c r="Q792" s="121" t="str">
        <f>IF(Tab.o1[[#This Row],[a1]]=1,NORMSDIST(Tab.o1[[#This Row],[Zb]]),"")</f>
        <v/>
      </c>
      <c r="R792" s="122" t="str">
        <f>IF(Tab.o1[[#This Row],[a1]]=1,((Tab.o1[[#This Row],[MedMod]]-AVERAGE(Tab.o1[MedMod]))/_xlfn.STDEV.P(Tab.o1[MedMod])*H$1203)+G$1203,"")</f>
        <v/>
      </c>
      <c r="S792" s="122" t="str">
        <f>IF(Tab.o1[[#This Row],[a1]]=1,((Tab.o1[[#This Row],[MedMod]]-AVERAGE(Tab.o1[MedMod]))/_xlfn.STDEV.P(Tab.o1[MedMod])*H$1204)+G$1204,"")</f>
        <v/>
      </c>
      <c r="T792" s="123" t="str">
        <f>IF(Tab.o1[[#This Row],[a1]]=1,Tab.o1[[#This Row],[Z-]]*_xlfn.STDEV.P(Tab.o1[B])+AVERAGE(Tab.o1[B]),"")</f>
        <v/>
      </c>
      <c r="U792" s="123" t="str">
        <f>IF(Tab.o1[[#This Row],[a1]]=1,Tab.o1[[#This Row],[z+]]*_xlfn.STDEV.P(Tab.o1[B])+AVERAGE(Tab.o1[B]),"")</f>
        <v/>
      </c>
      <c r="V792" s="124" t="str">
        <f>IF(Tab.o1[[#This Row],[a1]]=1,ABS((ABS(Tab.o1[[#This Row],[Red]]-Tab.o1[[#This Row],[Blue]]))),"")</f>
        <v/>
      </c>
      <c r="W792" s="125" t="str">
        <f>IF(Tab.o1[[#This Row],[a1]]=1,IF(W$3=0,1,Tab.o1[[#This Row],[Amp.]]*1/_xlfn.MINIFS(Tab.o1[Amp.],Tab.o1[Amp.],"&lt;&gt;0")),"")</f>
        <v/>
      </c>
      <c r="X792" s="126" t="str">
        <f>IF(Tab.o1[[#This Row],[a1]]=1,IF(ISNUMBER(Tab.o1[[#This Row],[i.]]),NORMDIST(Tab.o1[[#This Row],[Za]],0,1,FALSE)*Tab.o1[[#This Row],[i.]],AP$3),"")</f>
        <v/>
      </c>
      <c r="Y792" s="126" t="str">
        <f>IF(Tab.o1[[#This Row],[a1]]=1,0.01+0.94*Tab.o1[[#This Row],[PDF]]/MAX(Tab.o1[PDF]),"")</f>
        <v/>
      </c>
      <c r="Z792" s="126" t="str">
        <f>IF(Tab.o1[[#This Row],[a1]]=1,0.01+0.94*Tab.o1[[#This Row],[W1_PDF]]/MAX(Tab.o1[W1_PDF]),"")</f>
        <v/>
      </c>
      <c r="AA792" s="118" t="str">
        <f>IF(Tab.o1[[#This Row],[a1]]=1,ABS([1]!T.in.A[[#This Row],[oo6]]),"")</f>
        <v/>
      </c>
      <c r="AB792" s="127" t="str">
        <f>IF(Tab.o1[[#This Row],[a1]]=1,IF(AE$3=0,"",IF(AB$3=0,ABS([1]!T.in.A[[#This Row],[oo9]]),ABS(Tab.o1[[#This Row],[DIF_Target.]]*Tab.o1[[#This Row],[W1_PDF]]))),"")</f>
        <v/>
      </c>
      <c r="AC792" s="127" t="str">
        <f>IF(G$1=1,"",IF(Tab.o1[[#This Row],[a1]]=1,Tab.o1[[#This Row],[Wr]]^2,""))</f>
        <v/>
      </c>
      <c r="AD792" s="118" t="str">
        <f>IF(Tab.o1[[#This Row],[a1]]=1,IF(AE$3=0,"",Tab.o1[[#This Row],[Wr2]]/SUM(Tab.o1[Wr2])),"")</f>
        <v/>
      </c>
      <c r="AE792" s="128" t="str">
        <f>IF(Tab.o1[[#This Row],[a1]]=1,[1]!T.in.A[[#This Row],[oo10]],"")</f>
        <v/>
      </c>
      <c r="AF792" s="118" t="str">
        <f>IF(Tab.o1[[#This Row],[a1]]=1,ABS(Tab.o1[[#This Row],[DIF_Target.]]*Tab.o1[[#This Row],[PDF2]]*Tab.o1[[#This Row],[IN]]),"")</f>
        <v/>
      </c>
      <c r="AG792" s="129" t="str">
        <f>IF(Tab.o1[[#This Row],[a1]]=1,Tab.o1[[#This Row],[rW]]^2,"")</f>
        <v/>
      </c>
      <c r="AH792" s="130" t="str">
        <f>IF(Tab.o1[[#This Row],[a1]]=1,IF(AH$3=0,Tab.o1[[#This Row],[rW2]],0.01+0.94*Tab.o1[[#This Row],[rW2]]/SUM(Tab.o1[rW2])),"")</f>
        <v/>
      </c>
      <c r="AI792" s="128" t="str">
        <f>IF(Tab.o1[[#This Row],[a1]]=1,1/Tab.o1[[#This Row],[PDF]],"")</f>
        <v/>
      </c>
      <c r="AJ792" s="131" t="str">
        <f>IF(Tab.o1[[#This Row],[a1]]=1,[1]!T_AA[[#This Row],[IN'']]*[1]!T_AA[[#This Row],[Qde'']],"")</f>
        <v/>
      </c>
      <c r="AK792" s="132" t="str">
        <f>IF(Tab.o1[[#This Row],[a1]]=1,IF(AK$1=1,Tab.o1[[#This Row],[MED]]+Tab.o1[[#This Row],[MOD]]-Tab.o1[[#This Row],[MED]],""),"")</f>
        <v/>
      </c>
      <c r="AL792" s="133" t="str">
        <f>IF(Tab.o1[[#This Row],[a1]]=1,[1]!T.in.A[[#This Row],[oo16]],"")</f>
        <v/>
      </c>
      <c r="AM792" s="133" t="str">
        <f>IF(Tab.o1[[#This Row],[a1]]=1,IF(AM$3=1,[1]!T.in.A[[#This Row],[Σo16]],""),"")</f>
        <v/>
      </c>
      <c r="AN792" s="126" t="str">
        <f>IF(Tab.o1[[#This Row],[a1]]=1,[1]!T.in.A[[#This Row],[Σp5]],"")</f>
        <v/>
      </c>
      <c r="AO792" s="126" t="str">
        <f>IF(Tab.o1[[#This Row],[a1]]=1,IF(AO$3=1,[1]!T.in.A[[#This Row],[Σp5]],""),"")</f>
        <v/>
      </c>
      <c r="AP792" s="110" t="str">
        <f>IF(Tab.o1[[#This Row],[a1]]=1,IF(ISNUMBER(Tab.o1[[#This Row],[i.]]),NORMDIST(Tab.o1[[#This Row],[Za]],0,1,FALSE)*Tab.o1[[#This Row],[i.]],0),"")</f>
        <v/>
      </c>
      <c r="AQ792" s="125" t="str">
        <f>IF(Tab.o1[[#This Row],[a1]]=1,ABS(Tab.o1[[#This Row],[MOD]]-AVERAGE(Tab.o1[MOD])),"")</f>
        <v/>
      </c>
      <c r="AR792" s="134" t="str">
        <f>IF(Tab.o1[[#This Row],[a1]]=1,Tab.o1[[#This Row],[OBS]]/SUM(Tab.o1[OBS]),"")</f>
        <v/>
      </c>
      <c r="AS792" s="135" t="str">
        <f>IF(ISNUMBER(Tab.o1[[#This Row],[a1]]),ROW()-4,"")</f>
        <v/>
      </c>
      <c r="AT792" s="136" t="str">
        <f>Tab.o1[[#This Row],[MOD]]</f>
        <v/>
      </c>
      <c r="AU792" s="137" t="str">
        <f t="shared" si="49"/>
        <v/>
      </c>
      <c r="AV792" s="138" t="str">
        <f t="shared" si="50"/>
        <v/>
      </c>
      <c r="AW792" s="138" t="str">
        <f t="shared" si="51"/>
        <v/>
      </c>
      <c r="AX792" s="139" t="str">
        <f>[1]!T.in.A[[#This Row],[ID_T_manu]]</f>
        <v/>
      </c>
      <c r="AY792" s="140" t="str">
        <f>IF(ISNUMBER(Tab.o1[[#This Row],[a1]]),IF(AND(Tab.o1[[#This Row],[a1]]=1,Tab.o1[[#This Row],[b1]]&lt;=AY$4),#REF!,AY791),"")</f>
        <v/>
      </c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6"/>
      <c r="BO792" s="26"/>
      <c r="BP792" s="26"/>
      <c r="BQ792" s="26"/>
      <c r="BR792" s="26"/>
      <c r="BS792" s="26"/>
      <c r="BT792" s="26"/>
      <c r="BU792" s="26"/>
      <c r="BV792" s="26"/>
      <c r="BW792" s="26"/>
      <c r="BX792" s="26"/>
      <c r="BY792" s="26"/>
      <c r="BZ792" s="26"/>
      <c r="CA792" s="26"/>
    </row>
    <row r="793" spans="1:79" s="143" customFormat="1" ht="15.75" hidden="1">
      <c r="A793" s="109">
        <v>-8.0000000000000013E-6</v>
      </c>
      <c r="B793" s="110">
        <f t="shared" si="48"/>
        <v>793</v>
      </c>
      <c r="C793" s="111" t="str">
        <f>IF(C$1=[1]!T.in.A[[#This Row],[oo2]],1,"")</f>
        <v/>
      </c>
      <c r="D793" s="112" t="str">
        <f>IF(Tab.o1[[#This Row],[a1]]=1,IF(SUM(C793:C794)=0,0,IF(SUM(C792:C793)=1,1,IF(SUM(C792:C794)&gt;1,D792+1,0))),"")</f>
        <v/>
      </c>
      <c r="E793" s="113" t="str">
        <f>IF(Tab.o1[[#This Row],[a1]]=1,[1]!T.in.A[[#This Row],[oo1]],"")</f>
        <v/>
      </c>
      <c r="F793" s="113" t="str">
        <f>IF(Tab.o1[[#This Row],[a1]]=1,[1]!T.in.A[[#This Row],[pp1]],"")</f>
        <v/>
      </c>
      <c r="G793" s="114" t="str">
        <f>IF(Tab.o1[[#This Row],[a1]]=1,G$2+IF(G$1=1,0,Tab.o1[[#This Row],[.x1]])+[1]!T.in.A[[#This Row],[oo3]],"")</f>
        <v/>
      </c>
      <c r="H793" s="115" t="str">
        <f>IF(Tab.o1[[#This Row],[a1]]=1,IF(H$2=0,0,IF(G$1=1,0,Tab.o1[[#This Row],[.x1]])+[1]!T.in.A[[#This Row],[oo4]]),"")</f>
        <v/>
      </c>
      <c r="I793" s="116" t="str">
        <f>IF(Tab.o1[[#This Row],[a1]]=1,IF(J$2=0,Tab.o1[[#This Row],[MED]],Tab.o1[[#This Row],[MOD]]),"")</f>
        <v/>
      </c>
      <c r="J793" s="116" t="str">
        <f>IF(Tab.o1[[#This Row],[a1]]=1,((Tab.o1[[#This Row],[DIF_Target.]]-AVERAGE(Tab.o1[DIF_Target.]))/_xlfn.STDEV.P(Tab.o1[DIF_Target.])),"")</f>
        <v/>
      </c>
      <c r="K793" s="117" t="str">
        <f>IF(Tab.o1[[#This Row],[a1]]=1,IF(J$2=0,Tab.o1[[#This Row],[MOD]]-Tab.o1[[#This Row],[B]],IF(J$2=1,0,-Tab.o1[[#This Row],[MED]])+Tab.o1[[#This Row],[B]]),"")</f>
        <v/>
      </c>
      <c r="L793" s="117" t="str">
        <f ca="1">IF(Tab.o1[[#This Row],[DIF_Target]]=0,IF(L$2=0,Tab.o1[[#This Row],[DIF_Target]],AVERAGE(OFFSET(Tab.o1[[#This Row],[DIF_Target]],1,0,L$3,1)))/3,Tab.o1[[#This Row],[DIF_Target]])</f>
        <v/>
      </c>
      <c r="M793" s="118" t="str">
        <f>IF(Tab.o1[[#This Row],[a1]]=1,NORMSDIST(Tab.o1[[#This Row],[Za]]),"")</f>
        <v/>
      </c>
      <c r="N793" s="119" t="str">
        <f>IF(Tab.o1[[#This Row],[a1]]=1,((Tab.o1[[#This Row],[MedMod]]-AVERAGE(Tab.o1[MedMod]))/_xlfn.STDEV.P(Tab.o1[MedMod])*H$1205)+G$1205,"")</f>
        <v/>
      </c>
      <c r="O793" s="141" t="str">
        <f>IF(Tab.o1[[#This Row],[a1]]=1,Tab.o1[[#This Row],[Zb]]*_xlfn.STDEV.P(Tab.o1[MedMod])+AVERAGE(Tab.o1[MedMod]),"")</f>
        <v/>
      </c>
      <c r="P793" s="117" t="str">
        <f ca="1">IF(Tab.o1[[#This Row],[B]]=0,AVERAGE(OFFSET(Tab.o1[[#This Row],[B]],1,0,L$3,1)),Tab.o1[[#This Row],[B]])</f>
        <v/>
      </c>
      <c r="Q793" s="121" t="str">
        <f>IF(Tab.o1[[#This Row],[a1]]=1,NORMSDIST(Tab.o1[[#This Row],[Zb]]),"")</f>
        <v/>
      </c>
      <c r="R793" s="122" t="str">
        <f>IF(Tab.o1[[#This Row],[a1]]=1,((Tab.o1[[#This Row],[MedMod]]-AVERAGE(Tab.o1[MedMod]))/_xlfn.STDEV.P(Tab.o1[MedMod])*H$1203)+G$1203,"")</f>
        <v/>
      </c>
      <c r="S793" s="122" t="str">
        <f>IF(Tab.o1[[#This Row],[a1]]=1,((Tab.o1[[#This Row],[MedMod]]-AVERAGE(Tab.o1[MedMod]))/_xlfn.STDEV.P(Tab.o1[MedMod])*H$1204)+G$1204,"")</f>
        <v/>
      </c>
      <c r="T793" s="123" t="str">
        <f>IF(Tab.o1[[#This Row],[a1]]=1,Tab.o1[[#This Row],[Z-]]*_xlfn.STDEV.P(Tab.o1[B])+AVERAGE(Tab.o1[B]),"")</f>
        <v/>
      </c>
      <c r="U793" s="123" t="str">
        <f>IF(Tab.o1[[#This Row],[a1]]=1,Tab.o1[[#This Row],[z+]]*_xlfn.STDEV.P(Tab.o1[B])+AVERAGE(Tab.o1[B]),"")</f>
        <v/>
      </c>
      <c r="V793" s="124" t="str">
        <f>IF(Tab.o1[[#This Row],[a1]]=1,ABS((ABS(Tab.o1[[#This Row],[Red]]-Tab.o1[[#This Row],[Blue]]))),"")</f>
        <v/>
      </c>
      <c r="W793" s="125" t="str">
        <f>IF(Tab.o1[[#This Row],[a1]]=1,IF(W$3=0,1,Tab.o1[[#This Row],[Amp.]]*1/_xlfn.MINIFS(Tab.o1[Amp.],Tab.o1[Amp.],"&lt;&gt;0")),"")</f>
        <v/>
      </c>
      <c r="X793" s="126" t="str">
        <f>IF(Tab.o1[[#This Row],[a1]]=1,IF(ISNUMBER(Tab.o1[[#This Row],[i.]]),NORMDIST(Tab.o1[[#This Row],[Za]],0,1,FALSE)*Tab.o1[[#This Row],[i.]],AP$3),"")</f>
        <v/>
      </c>
      <c r="Y793" s="126" t="str">
        <f>IF(Tab.o1[[#This Row],[a1]]=1,0.01+0.94*Tab.o1[[#This Row],[PDF]]/MAX(Tab.o1[PDF]),"")</f>
        <v/>
      </c>
      <c r="Z793" s="126" t="str">
        <f>IF(Tab.o1[[#This Row],[a1]]=1,0.01+0.94*Tab.o1[[#This Row],[W1_PDF]]/MAX(Tab.o1[W1_PDF]),"")</f>
        <v/>
      </c>
      <c r="AA793" s="118" t="str">
        <f>IF(Tab.o1[[#This Row],[a1]]=1,ABS([1]!T.in.A[[#This Row],[oo6]]),"")</f>
        <v/>
      </c>
      <c r="AB793" s="127" t="str">
        <f>IF(Tab.o1[[#This Row],[a1]]=1,IF(AE$3=0,"",IF(AB$3=0,ABS([1]!T.in.A[[#This Row],[oo9]]),ABS(Tab.o1[[#This Row],[DIF_Target.]]*Tab.o1[[#This Row],[W1_PDF]]))),"")</f>
        <v/>
      </c>
      <c r="AC793" s="127" t="str">
        <f>IF(G$1=1,"",IF(Tab.o1[[#This Row],[a1]]=1,Tab.o1[[#This Row],[Wr]]^2,""))</f>
        <v/>
      </c>
      <c r="AD793" s="118" t="str">
        <f>IF(Tab.o1[[#This Row],[a1]]=1,IF(AE$3=0,"",Tab.o1[[#This Row],[Wr2]]/SUM(Tab.o1[Wr2])),"")</f>
        <v/>
      </c>
      <c r="AE793" s="128" t="str">
        <f>IF(Tab.o1[[#This Row],[a1]]=1,[1]!T.in.A[[#This Row],[oo10]],"")</f>
        <v/>
      </c>
      <c r="AF793" s="118" t="str">
        <f>IF(Tab.o1[[#This Row],[a1]]=1,ABS(Tab.o1[[#This Row],[DIF_Target.]]*Tab.o1[[#This Row],[PDF2]]*Tab.o1[[#This Row],[IN]]),"")</f>
        <v/>
      </c>
      <c r="AG793" s="129" t="str">
        <f>IF(Tab.o1[[#This Row],[a1]]=1,Tab.o1[[#This Row],[rW]]^2,"")</f>
        <v/>
      </c>
      <c r="AH793" s="130" t="str">
        <f>IF(Tab.o1[[#This Row],[a1]]=1,IF(AH$3=0,Tab.o1[[#This Row],[rW2]],0.01+0.94*Tab.o1[[#This Row],[rW2]]/SUM(Tab.o1[rW2])),"")</f>
        <v/>
      </c>
      <c r="AI793" s="128" t="str">
        <f>IF(Tab.o1[[#This Row],[a1]]=1,1/Tab.o1[[#This Row],[PDF]],"")</f>
        <v/>
      </c>
      <c r="AJ793" s="131" t="str">
        <f>IF(Tab.o1[[#This Row],[a1]]=1,[1]!T_AA[[#This Row],[IN'']]*[1]!T_AA[[#This Row],[Qde'']],"")</f>
        <v/>
      </c>
      <c r="AK793" s="132" t="str">
        <f>IF(Tab.o1[[#This Row],[a1]]=1,IF(AK$1=1,Tab.o1[[#This Row],[MED]]+Tab.o1[[#This Row],[MOD]]-Tab.o1[[#This Row],[MED]],""),"")</f>
        <v/>
      </c>
      <c r="AL793" s="133" t="str">
        <f>IF(Tab.o1[[#This Row],[a1]]=1,[1]!T.in.A[[#This Row],[oo16]],"")</f>
        <v/>
      </c>
      <c r="AM793" s="133" t="str">
        <f>IF(Tab.o1[[#This Row],[a1]]=1,IF(AM$3=1,[1]!T.in.A[[#This Row],[Σo16]],""),"")</f>
        <v/>
      </c>
      <c r="AN793" s="126" t="str">
        <f>IF(Tab.o1[[#This Row],[a1]]=1,[1]!T.in.A[[#This Row],[Σp5]],"")</f>
        <v/>
      </c>
      <c r="AO793" s="126" t="str">
        <f>IF(Tab.o1[[#This Row],[a1]]=1,IF(AO$3=1,[1]!T.in.A[[#This Row],[Σp5]],""),"")</f>
        <v/>
      </c>
      <c r="AP793" s="110" t="str">
        <f>IF(Tab.o1[[#This Row],[a1]]=1,IF(ISNUMBER(Tab.o1[[#This Row],[i.]]),NORMDIST(Tab.o1[[#This Row],[Za]],0,1,FALSE)*Tab.o1[[#This Row],[i.]],0),"")</f>
        <v/>
      </c>
      <c r="AQ793" s="125" t="str">
        <f>IF(Tab.o1[[#This Row],[a1]]=1,ABS(Tab.o1[[#This Row],[MOD]]-AVERAGE(Tab.o1[MOD])),"")</f>
        <v/>
      </c>
      <c r="AR793" s="134" t="str">
        <f>IF(Tab.o1[[#This Row],[a1]]=1,Tab.o1[[#This Row],[OBS]]/SUM(Tab.o1[OBS]),"")</f>
        <v/>
      </c>
      <c r="AS793" s="135" t="str">
        <f>IF(ISNUMBER(Tab.o1[[#This Row],[a1]]),ROW()-4,"")</f>
        <v/>
      </c>
      <c r="AT793" s="136" t="str">
        <f>Tab.o1[[#This Row],[MOD]]</f>
        <v/>
      </c>
      <c r="AU793" s="137" t="str">
        <f t="shared" si="49"/>
        <v/>
      </c>
      <c r="AV793" s="138" t="str">
        <f t="shared" si="50"/>
        <v/>
      </c>
      <c r="AW793" s="138" t="str">
        <f t="shared" si="51"/>
        <v/>
      </c>
      <c r="AX793" s="139" t="str">
        <f>[1]!T.in.A[[#This Row],[ID_T_manu]]</f>
        <v/>
      </c>
      <c r="AY793" s="140" t="str">
        <f>IF(ISNUMBER(Tab.o1[[#This Row],[a1]]),IF(AND(Tab.o1[[#This Row],[a1]]=1,Tab.o1[[#This Row],[b1]]&lt;=AY$4),#REF!,AY792),"")</f>
        <v/>
      </c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6"/>
      <c r="BO793" s="26"/>
      <c r="BP793" s="26"/>
      <c r="BQ793" s="26"/>
      <c r="BR793" s="26"/>
      <c r="BS793" s="26"/>
      <c r="BT793" s="26"/>
      <c r="BU793" s="26"/>
      <c r="BV793" s="26"/>
      <c r="BW793" s="26"/>
      <c r="BX793" s="26"/>
      <c r="BY793" s="26"/>
      <c r="BZ793" s="26"/>
      <c r="CA793" s="26"/>
    </row>
    <row r="794" spans="1:79" s="143" customFormat="1" ht="15.75" hidden="1">
      <c r="A794" s="109">
        <v>-1.0000000000000002E-6</v>
      </c>
      <c r="B794" s="110">
        <f t="shared" si="48"/>
        <v>794</v>
      </c>
      <c r="C794" s="111" t="str">
        <f>IF(C$1=[1]!T.in.A[[#This Row],[oo2]],1,"")</f>
        <v/>
      </c>
      <c r="D794" s="112" t="str">
        <f>IF(Tab.o1[[#This Row],[a1]]=1,IF(SUM(C794:C795)=0,0,IF(SUM(C793:C794)=1,1,IF(SUM(C793:C795)&gt;1,D793+1,0))),"")</f>
        <v/>
      </c>
      <c r="E794" s="113" t="str">
        <f>IF(Tab.o1[[#This Row],[a1]]=1,[1]!T.in.A[[#This Row],[oo1]],"")</f>
        <v/>
      </c>
      <c r="F794" s="113" t="str">
        <f>IF(Tab.o1[[#This Row],[a1]]=1,[1]!T.in.A[[#This Row],[pp1]],"")</f>
        <v/>
      </c>
      <c r="G794" s="114" t="str">
        <f>IF(Tab.o1[[#This Row],[a1]]=1,G$2+IF(G$1=1,0,Tab.o1[[#This Row],[.x1]])+[1]!T.in.A[[#This Row],[oo3]],"")</f>
        <v/>
      </c>
      <c r="H794" s="115" t="str">
        <f>IF(Tab.o1[[#This Row],[a1]]=1,IF(H$2=0,0,IF(G$1=1,0,Tab.o1[[#This Row],[.x1]])+[1]!T.in.A[[#This Row],[oo4]]),"")</f>
        <v/>
      </c>
      <c r="I794" s="116" t="str">
        <f>IF(Tab.o1[[#This Row],[a1]]=1,IF(J$2=0,Tab.o1[[#This Row],[MED]],Tab.o1[[#This Row],[MOD]]),"")</f>
        <v/>
      </c>
      <c r="J794" s="116" t="str">
        <f>IF(Tab.o1[[#This Row],[a1]]=1,((Tab.o1[[#This Row],[DIF_Target.]]-AVERAGE(Tab.o1[DIF_Target.]))/_xlfn.STDEV.P(Tab.o1[DIF_Target.])),"")</f>
        <v/>
      </c>
      <c r="K794" s="117" t="str">
        <f>IF(Tab.o1[[#This Row],[a1]]=1,IF(J$2=0,Tab.o1[[#This Row],[MOD]]-Tab.o1[[#This Row],[B]],IF(J$2=1,0,-Tab.o1[[#This Row],[MED]])+Tab.o1[[#This Row],[B]]),"")</f>
        <v/>
      </c>
      <c r="L794" s="117" t="str">
        <f ca="1">IF(Tab.o1[[#This Row],[DIF_Target]]=0,IF(L$2=0,Tab.o1[[#This Row],[DIF_Target]],AVERAGE(OFFSET(Tab.o1[[#This Row],[DIF_Target]],1,0,L$3,1)))/3,Tab.o1[[#This Row],[DIF_Target]])</f>
        <v/>
      </c>
      <c r="M794" s="118" t="str">
        <f>IF(Tab.o1[[#This Row],[a1]]=1,NORMSDIST(Tab.o1[[#This Row],[Za]]),"")</f>
        <v/>
      </c>
      <c r="N794" s="119" t="str">
        <f>IF(Tab.o1[[#This Row],[a1]]=1,((Tab.o1[[#This Row],[MedMod]]-AVERAGE(Tab.o1[MedMod]))/_xlfn.STDEV.P(Tab.o1[MedMod])*H$1205)+G$1205,"")</f>
        <v/>
      </c>
      <c r="O794" s="141" t="str">
        <f>IF(Tab.o1[[#This Row],[a1]]=1,Tab.o1[[#This Row],[Zb]]*_xlfn.STDEV.P(Tab.o1[MedMod])+AVERAGE(Tab.o1[MedMod]),"")</f>
        <v/>
      </c>
      <c r="P794" s="117" t="str">
        <f ca="1">IF(Tab.o1[[#This Row],[B]]=0,AVERAGE(OFFSET(Tab.o1[[#This Row],[B]],1,0,L$3,1)),Tab.o1[[#This Row],[B]])</f>
        <v/>
      </c>
      <c r="Q794" s="121" t="str">
        <f>IF(Tab.o1[[#This Row],[a1]]=1,NORMSDIST(Tab.o1[[#This Row],[Zb]]),"")</f>
        <v/>
      </c>
      <c r="R794" s="122" t="str">
        <f>IF(Tab.o1[[#This Row],[a1]]=1,((Tab.o1[[#This Row],[MedMod]]-AVERAGE(Tab.o1[MedMod]))/_xlfn.STDEV.P(Tab.o1[MedMod])*H$1203)+G$1203,"")</f>
        <v/>
      </c>
      <c r="S794" s="122" t="str">
        <f>IF(Tab.o1[[#This Row],[a1]]=1,((Tab.o1[[#This Row],[MedMod]]-AVERAGE(Tab.o1[MedMod]))/_xlfn.STDEV.P(Tab.o1[MedMod])*H$1204)+G$1204,"")</f>
        <v/>
      </c>
      <c r="T794" s="123" t="str">
        <f>IF(Tab.o1[[#This Row],[a1]]=1,Tab.o1[[#This Row],[Z-]]*_xlfn.STDEV.P(Tab.o1[B])+AVERAGE(Tab.o1[B]),"")</f>
        <v/>
      </c>
      <c r="U794" s="123" t="str">
        <f>IF(Tab.o1[[#This Row],[a1]]=1,Tab.o1[[#This Row],[z+]]*_xlfn.STDEV.P(Tab.o1[B])+AVERAGE(Tab.o1[B]),"")</f>
        <v/>
      </c>
      <c r="V794" s="124" t="str">
        <f>IF(Tab.o1[[#This Row],[a1]]=1,ABS((ABS(Tab.o1[[#This Row],[Red]]-Tab.o1[[#This Row],[Blue]]))),"")</f>
        <v/>
      </c>
      <c r="W794" s="125" t="str">
        <f>IF(Tab.o1[[#This Row],[a1]]=1,IF(W$3=0,1,Tab.o1[[#This Row],[Amp.]]*1/_xlfn.MINIFS(Tab.o1[Amp.],Tab.o1[Amp.],"&lt;&gt;0")),"")</f>
        <v/>
      </c>
      <c r="X794" s="126" t="str">
        <f>IF(Tab.o1[[#This Row],[a1]]=1,IF(ISNUMBER(Tab.o1[[#This Row],[i.]]),NORMDIST(Tab.o1[[#This Row],[Za]],0,1,FALSE)*Tab.o1[[#This Row],[i.]],AP$3),"")</f>
        <v/>
      </c>
      <c r="Y794" s="126" t="str">
        <f>IF(Tab.o1[[#This Row],[a1]]=1,0.01+0.94*Tab.o1[[#This Row],[PDF]]/MAX(Tab.o1[PDF]),"")</f>
        <v/>
      </c>
      <c r="Z794" s="126" t="str">
        <f>IF(Tab.o1[[#This Row],[a1]]=1,0.01+0.94*Tab.o1[[#This Row],[W1_PDF]]/MAX(Tab.o1[W1_PDF]),"")</f>
        <v/>
      </c>
      <c r="AA794" s="118" t="str">
        <f>IF(Tab.o1[[#This Row],[a1]]=1,ABS([1]!T.in.A[[#This Row],[oo6]]),"")</f>
        <v/>
      </c>
      <c r="AB794" s="127" t="str">
        <f>IF(Tab.o1[[#This Row],[a1]]=1,IF(AE$3=0,"",IF(AB$3=0,ABS([1]!T.in.A[[#This Row],[oo9]]),ABS(Tab.o1[[#This Row],[DIF_Target.]]*Tab.o1[[#This Row],[W1_PDF]]))),"")</f>
        <v/>
      </c>
      <c r="AC794" s="127" t="str">
        <f>IF(G$1=1,"",IF(Tab.o1[[#This Row],[a1]]=1,Tab.o1[[#This Row],[Wr]]^2,""))</f>
        <v/>
      </c>
      <c r="AD794" s="118" t="str">
        <f>IF(Tab.o1[[#This Row],[a1]]=1,IF(AE$3=0,"",Tab.o1[[#This Row],[Wr2]]/SUM(Tab.o1[Wr2])),"")</f>
        <v/>
      </c>
      <c r="AE794" s="128" t="str">
        <f>IF(Tab.o1[[#This Row],[a1]]=1,[1]!T.in.A[[#This Row],[oo10]],"")</f>
        <v/>
      </c>
      <c r="AF794" s="118" t="str">
        <f>IF(Tab.o1[[#This Row],[a1]]=1,ABS(Tab.o1[[#This Row],[DIF_Target.]]*Tab.o1[[#This Row],[PDF2]]*Tab.o1[[#This Row],[IN]]),"")</f>
        <v/>
      </c>
      <c r="AG794" s="129" t="str">
        <f>IF(Tab.o1[[#This Row],[a1]]=1,Tab.o1[[#This Row],[rW]]^2,"")</f>
        <v/>
      </c>
      <c r="AH794" s="130" t="str">
        <f>IF(Tab.o1[[#This Row],[a1]]=1,IF(AH$3=0,Tab.o1[[#This Row],[rW2]],0.01+0.94*Tab.o1[[#This Row],[rW2]]/SUM(Tab.o1[rW2])),"")</f>
        <v/>
      </c>
      <c r="AI794" s="128" t="str">
        <f>IF(Tab.o1[[#This Row],[a1]]=1,1/Tab.o1[[#This Row],[PDF]],"")</f>
        <v/>
      </c>
      <c r="AJ794" s="131" t="str">
        <f>IF(Tab.o1[[#This Row],[a1]]=1,[1]!T_AA[[#This Row],[IN'']]*[1]!T_AA[[#This Row],[Qde'']],"")</f>
        <v/>
      </c>
      <c r="AK794" s="132" t="str">
        <f>IF(Tab.o1[[#This Row],[a1]]=1,IF(AK$1=1,Tab.o1[[#This Row],[MED]]+Tab.o1[[#This Row],[MOD]]-Tab.o1[[#This Row],[MED]],""),"")</f>
        <v/>
      </c>
      <c r="AL794" s="133" t="str">
        <f>IF(Tab.o1[[#This Row],[a1]]=1,[1]!T.in.A[[#This Row],[oo16]],"")</f>
        <v/>
      </c>
      <c r="AM794" s="133" t="str">
        <f>IF(Tab.o1[[#This Row],[a1]]=1,IF(AM$3=1,[1]!T.in.A[[#This Row],[Σo16]],""),"")</f>
        <v/>
      </c>
      <c r="AN794" s="126" t="str">
        <f>IF(Tab.o1[[#This Row],[a1]]=1,[1]!T.in.A[[#This Row],[Σp5]],"")</f>
        <v/>
      </c>
      <c r="AO794" s="126" t="str">
        <f>IF(Tab.o1[[#This Row],[a1]]=1,IF(AO$3=1,[1]!T.in.A[[#This Row],[Σp5]],""),"")</f>
        <v/>
      </c>
      <c r="AP794" s="110" t="str">
        <f>IF(Tab.o1[[#This Row],[a1]]=1,IF(ISNUMBER(Tab.o1[[#This Row],[i.]]),NORMDIST(Tab.o1[[#This Row],[Za]],0,1,FALSE)*Tab.o1[[#This Row],[i.]],0),"")</f>
        <v/>
      </c>
      <c r="AQ794" s="125" t="str">
        <f>IF(Tab.o1[[#This Row],[a1]]=1,ABS(Tab.o1[[#This Row],[MOD]]-AVERAGE(Tab.o1[MOD])),"")</f>
        <v/>
      </c>
      <c r="AR794" s="134" t="str">
        <f>IF(Tab.o1[[#This Row],[a1]]=1,Tab.o1[[#This Row],[OBS]]/SUM(Tab.o1[OBS]),"")</f>
        <v/>
      </c>
      <c r="AS794" s="135" t="str">
        <f>IF(ISNUMBER(Tab.o1[[#This Row],[a1]]),ROW()-4,"")</f>
        <v/>
      </c>
      <c r="AT794" s="136" t="str">
        <f>Tab.o1[[#This Row],[MOD]]</f>
        <v/>
      </c>
      <c r="AU794" s="137" t="str">
        <f t="shared" si="49"/>
        <v/>
      </c>
      <c r="AV794" s="138" t="str">
        <f t="shared" si="50"/>
        <v/>
      </c>
      <c r="AW794" s="138" t="str">
        <f t="shared" si="51"/>
        <v/>
      </c>
      <c r="AX794" s="139" t="str">
        <f>[1]!T.in.A[[#This Row],[ID_T_manu]]</f>
        <v/>
      </c>
      <c r="AY794" s="140" t="str">
        <f>IF(ISNUMBER(Tab.o1[[#This Row],[a1]]),IF(AND(Tab.o1[[#This Row],[a1]]=1,Tab.o1[[#This Row],[b1]]&lt;=AY$4),#REF!,AY793),"")</f>
        <v/>
      </c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6"/>
      <c r="BO794" s="26"/>
      <c r="BP794" s="26"/>
      <c r="BQ794" s="26"/>
      <c r="BR794" s="26"/>
      <c r="BS794" s="26"/>
      <c r="BT794" s="26"/>
      <c r="BU794" s="26"/>
      <c r="BV794" s="26"/>
      <c r="BW794" s="26"/>
      <c r="BX794" s="26"/>
      <c r="BY794" s="26"/>
      <c r="BZ794" s="26"/>
      <c r="CA794" s="26"/>
    </row>
    <row r="795" spans="1:79" s="143" customFormat="1" ht="15.75" hidden="1">
      <c r="A795" s="109">
        <v>-9.0000000000000002E-6</v>
      </c>
      <c r="B795" s="110">
        <f t="shared" si="48"/>
        <v>795</v>
      </c>
      <c r="C795" s="111" t="str">
        <f>IF(C$1=[1]!T.in.A[[#This Row],[oo2]],1,"")</f>
        <v/>
      </c>
      <c r="D795" s="112" t="str">
        <f>IF(Tab.o1[[#This Row],[a1]]=1,IF(SUM(C795:C796)=0,0,IF(SUM(C794:C795)=1,1,IF(SUM(C794:C796)&gt;1,D794+1,0))),"")</f>
        <v/>
      </c>
      <c r="E795" s="113" t="str">
        <f>IF(Tab.o1[[#This Row],[a1]]=1,[1]!T.in.A[[#This Row],[oo1]],"")</f>
        <v/>
      </c>
      <c r="F795" s="113" t="str">
        <f>IF(Tab.o1[[#This Row],[a1]]=1,[1]!T.in.A[[#This Row],[pp1]],"")</f>
        <v/>
      </c>
      <c r="G795" s="114" t="str">
        <f>IF(Tab.o1[[#This Row],[a1]]=1,G$2+IF(G$1=1,0,Tab.o1[[#This Row],[.x1]])+[1]!T.in.A[[#This Row],[oo3]],"")</f>
        <v/>
      </c>
      <c r="H795" s="115" t="str">
        <f>IF(Tab.o1[[#This Row],[a1]]=1,IF(H$2=0,0,IF(G$1=1,0,Tab.o1[[#This Row],[.x1]])+[1]!T.in.A[[#This Row],[oo4]]),"")</f>
        <v/>
      </c>
      <c r="I795" s="116" t="str">
        <f>IF(Tab.o1[[#This Row],[a1]]=1,IF(J$2=0,Tab.o1[[#This Row],[MED]],Tab.o1[[#This Row],[MOD]]),"")</f>
        <v/>
      </c>
      <c r="J795" s="116" t="str">
        <f>IF(Tab.o1[[#This Row],[a1]]=1,((Tab.o1[[#This Row],[DIF_Target.]]-AVERAGE(Tab.o1[DIF_Target.]))/_xlfn.STDEV.P(Tab.o1[DIF_Target.])),"")</f>
        <v/>
      </c>
      <c r="K795" s="117" t="str">
        <f>IF(Tab.o1[[#This Row],[a1]]=1,IF(J$2=0,Tab.o1[[#This Row],[MOD]]-Tab.o1[[#This Row],[B]],IF(J$2=1,0,-Tab.o1[[#This Row],[MED]])+Tab.o1[[#This Row],[B]]),"")</f>
        <v/>
      </c>
      <c r="L795" s="117" t="str">
        <f ca="1">IF(Tab.o1[[#This Row],[DIF_Target]]=0,IF(L$2=0,Tab.o1[[#This Row],[DIF_Target]],AVERAGE(OFFSET(Tab.o1[[#This Row],[DIF_Target]],1,0,L$3,1)))/3,Tab.o1[[#This Row],[DIF_Target]])</f>
        <v/>
      </c>
      <c r="M795" s="118" t="str">
        <f>IF(Tab.o1[[#This Row],[a1]]=1,NORMSDIST(Tab.o1[[#This Row],[Za]]),"")</f>
        <v/>
      </c>
      <c r="N795" s="119" t="str">
        <f>IF(Tab.o1[[#This Row],[a1]]=1,((Tab.o1[[#This Row],[MedMod]]-AVERAGE(Tab.o1[MedMod]))/_xlfn.STDEV.P(Tab.o1[MedMod])*H$1205)+G$1205,"")</f>
        <v/>
      </c>
      <c r="O795" s="141" t="str">
        <f>IF(Tab.o1[[#This Row],[a1]]=1,Tab.o1[[#This Row],[Zb]]*_xlfn.STDEV.P(Tab.o1[MedMod])+AVERAGE(Tab.o1[MedMod]),"")</f>
        <v/>
      </c>
      <c r="P795" s="117" t="str">
        <f ca="1">IF(Tab.o1[[#This Row],[B]]=0,AVERAGE(OFFSET(Tab.o1[[#This Row],[B]],1,0,L$3,1)),Tab.o1[[#This Row],[B]])</f>
        <v/>
      </c>
      <c r="Q795" s="121" t="str">
        <f>IF(Tab.o1[[#This Row],[a1]]=1,NORMSDIST(Tab.o1[[#This Row],[Zb]]),"")</f>
        <v/>
      </c>
      <c r="R795" s="122" t="str">
        <f>IF(Tab.o1[[#This Row],[a1]]=1,((Tab.o1[[#This Row],[MedMod]]-AVERAGE(Tab.o1[MedMod]))/_xlfn.STDEV.P(Tab.o1[MedMod])*H$1203)+G$1203,"")</f>
        <v/>
      </c>
      <c r="S795" s="122" t="str">
        <f>IF(Tab.o1[[#This Row],[a1]]=1,((Tab.o1[[#This Row],[MedMod]]-AVERAGE(Tab.o1[MedMod]))/_xlfn.STDEV.P(Tab.o1[MedMod])*H$1204)+G$1204,"")</f>
        <v/>
      </c>
      <c r="T795" s="123" t="str">
        <f>IF(Tab.o1[[#This Row],[a1]]=1,Tab.o1[[#This Row],[Z-]]*_xlfn.STDEV.P(Tab.o1[B])+AVERAGE(Tab.o1[B]),"")</f>
        <v/>
      </c>
      <c r="U795" s="123" t="str">
        <f>IF(Tab.o1[[#This Row],[a1]]=1,Tab.o1[[#This Row],[z+]]*_xlfn.STDEV.P(Tab.o1[B])+AVERAGE(Tab.o1[B]),"")</f>
        <v/>
      </c>
      <c r="V795" s="124" t="str">
        <f>IF(Tab.o1[[#This Row],[a1]]=1,ABS((ABS(Tab.o1[[#This Row],[Red]]-Tab.o1[[#This Row],[Blue]]))),"")</f>
        <v/>
      </c>
      <c r="W795" s="125" t="str">
        <f>IF(Tab.o1[[#This Row],[a1]]=1,IF(W$3=0,1,Tab.o1[[#This Row],[Amp.]]*1/_xlfn.MINIFS(Tab.o1[Amp.],Tab.o1[Amp.],"&lt;&gt;0")),"")</f>
        <v/>
      </c>
      <c r="X795" s="126" t="str">
        <f>IF(Tab.o1[[#This Row],[a1]]=1,IF(ISNUMBER(Tab.o1[[#This Row],[i.]]),NORMDIST(Tab.o1[[#This Row],[Za]],0,1,FALSE)*Tab.o1[[#This Row],[i.]],AP$3),"")</f>
        <v/>
      </c>
      <c r="Y795" s="126" t="str">
        <f>IF(Tab.o1[[#This Row],[a1]]=1,0.01+0.94*Tab.o1[[#This Row],[PDF]]/MAX(Tab.o1[PDF]),"")</f>
        <v/>
      </c>
      <c r="Z795" s="126" t="str">
        <f>IF(Tab.o1[[#This Row],[a1]]=1,0.01+0.94*Tab.o1[[#This Row],[W1_PDF]]/MAX(Tab.o1[W1_PDF]),"")</f>
        <v/>
      </c>
      <c r="AA795" s="118" t="str">
        <f>IF(Tab.o1[[#This Row],[a1]]=1,ABS([1]!T.in.A[[#This Row],[oo6]]),"")</f>
        <v/>
      </c>
      <c r="AB795" s="127" t="str">
        <f>IF(Tab.o1[[#This Row],[a1]]=1,IF(AE$3=0,"",IF(AB$3=0,ABS([1]!T.in.A[[#This Row],[oo9]]),ABS(Tab.o1[[#This Row],[DIF_Target.]]*Tab.o1[[#This Row],[W1_PDF]]))),"")</f>
        <v/>
      </c>
      <c r="AC795" s="127" t="str">
        <f>IF(G$1=1,"",IF(Tab.o1[[#This Row],[a1]]=1,Tab.o1[[#This Row],[Wr]]^2,""))</f>
        <v/>
      </c>
      <c r="AD795" s="118" t="str">
        <f>IF(Tab.o1[[#This Row],[a1]]=1,IF(AE$3=0,"",Tab.o1[[#This Row],[Wr2]]/SUM(Tab.o1[Wr2])),"")</f>
        <v/>
      </c>
      <c r="AE795" s="128" t="str">
        <f>IF(Tab.o1[[#This Row],[a1]]=1,[1]!T.in.A[[#This Row],[oo10]],"")</f>
        <v/>
      </c>
      <c r="AF795" s="118" t="str">
        <f>IF(Tab.o1[[#This Row],[a1]]=1,ABS(Tab.o1[[#This Row],[DIF_Target.]]*Tab.o1[[#This Row],[PDF2]]*Tab.o1[[#This Row],[IN]]),"")</f>
        <v/>
      </c>
      <c r="AG795" s="129" t="str">
        <f>IF(Tab.o1[[#This Row],[a1]]=1,Tab.o1[[#This Row],[rW]]^2,"")</f>
        <v/>
      </c>
      <c r="AH795" s="130" t="str">
        <f>IF(Tab.o1[[#This Row],[a1]]=1,IF(AH$3=0,Tab.o1[[#This Row],[rW2]],0.01+0.94*Tab.o1[[#This Row],[rW2]]/SUM(Tab.o1[rW2])),"")</f>
        <v/>
      </c>
      <c r="AI795" s="128" t="str">
        <f>IF(Tab.o1[[#This Row],[a1]]=1,1/Tab.o1[[#This Row],[PDF]],"")</f>
        <v/>
      </c>
      <c r="AJ795" s="131" t="str">
        <f>IF(Tab.o1[[#This Row],[a1]]=1,[1]!T_AA[[#This Row],[IN'']]*[1]!T_AA[[#This Row],[Qde'']],"")</f>
        <v/>
      </c>
      <c r="AK795" s="132" t="str">
        <f>IF(Tab.o1[[#This Row],[a1]]=1,IF(AK$1=1,Tab.o1[[#This Row],[MED]]+Tab.o1[[#This Row],[MOD]]-Tab.o1[[#This Row],[MED]],""),"")</f>
        <v/>
      </c>
      <c r="AL795" s="133" t="str">
        <f>IF(Tab.o1[[#This Row],[a1]]=1,[1]!T.in.A[[#This Row],[oo16]],"")</f>
        <v/>
      </c>
      <c r="AM795" s="133" t="str">
        <f>IF(Tab.o1[[#This Row],[a1]]=1,IF(AM$3=1,[1]!T.in.A[[#This Row],[Σo16]],""),"")</f>
        <v/>
      </c>
      <c r="AN795" s="126" t="str">
        <f>IF(Tab.o1[[#This Row],[a1]]=1,[1]!T.in.A[[#This Row],[Σp5]],"")</f>
        <v/>
      </c>
      <c r="AO795" s="126" t="str">
        <f>IF(Tab.o1[[#This Row],[a1]]=1,IF(AO$3=1,[1]!T.in.A[[#This Row],[Σp5]],""),"")</f>
        <v/>
      </c>
      <c r="AP795" s="110" t="str">
        <f>IF(Tab.o1[[#This Row],[a1]]=1,IF(ISNUMBER(Tab.o1[[#This Row],[i.]]),NORMDIST(Tab.o1[[#This Row],[Za]],0,1,FALSE)*Tab.o1[[#This Row],[i.]],0),"")</f>
        <v/>
      </c>
      <c r="AQ795" s="125" t="str">
        <f>IF(Tab.o1[[#This Row],[a1]]=1,ABS(Tab.o1[[#This Row],[MOD]]-AVERAGE(Tab.o1[MOD])),"")</f>
        <v/>
      </c>
      <c r="AR795" s="134" t="str">
        <f>IF(Tab.o1[[#This Row],[a1]]=1,Tab.o1[[#This Row],[OBS]]/SUM(Tab.o1[OBS]),"")</f>
        <v/>
      </c>
      <c r="AS795" s="135" t="str">
        <f>IF(ISNUMBER(Tab.o1[[#This Row],[a1]]),ROW()-4,"")</f>
        <v/>
      </c>
      <c r="AT795" s="136" t="str">
        <f>Tab.o1[[#This Row],[MOD]]</f>
        <v/>
      </c>
      <c r="AU795" s="137" t="str">
        <f t="shared" si="49"/>
        <v/>
      </c>
      <c r="AV795" s="138" t="str">
        <f t="shared" si="50"/>
        <v/>
      </c>
      <c r="AW795" s="138" t="str">
        <f t="shared" si="51"/>
        <v/>
      </c>
      <c r="AX795" s="139" t="str">
        <f>[1]!T.in.A[[#This Row],[ID_T_manu]]</f>
        <v/>
      </c>
      <c r="AY795" s="140" t="str">
        <f>IF(ISNUMBER(Tab.o1[[#This Row],[a1]]),IF(AND(Tab.o1[[#This Row],[a1]]=1,Tab.o1[[#This Row],[b1]]&lt;=AY$4),#REF!,AY794),"")</f>
        <v/>
      </c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6"/>
      <c r="BO795" s="26"/>
      <c r="BP795" s="26"/>
      <c r="BQ795" s="26"/>
      <c r="BR795" s="26"/>
      <c r="BS795" s="26"/>
      <c r="BT795" s="26"/>
      <c r="BU795" s="26"/>
      <c r="BV795" s="26"/>
      <c r="BW795" s="26"/>
      <c r="BX795" s="26"/>
      <c r="BY795" s="26"/>
      <c r="BZ795" s="26"/>
      <c r="CA795" s="26"/>
    </row>
    <row r="796" spans="1:79" s="143" customFormat="1" ht="15.75" hidden="1">
      <c r="A796" s="109">
        <v>1.0000000000000002E-6</v>
      </c>
      <c r="B796" s="110">
        <f t="shared" si="48"/>
        <v>796</v>
      </c>
      <c r="C796" s="111" t="str">
        <f>IF(C$1=[1]!T.in.A[[#This Row],[oo2]],1,"")</f>
        <v/>
      </c>
      <c r="D796" s="112" t="str">
        <f>IF(Tab.o1[[#This Row],[a1]]=1,IF(SUM(C796:C797)=0,0,IF(SUM(C795:C796)=1,1,IF(SUM(C795:C797)&gt;1,D795+1,0))),"")</f>
        <v/>
      </c>
      <c r="E796" s="113" t="str">
        <f>IF(Tab.o1[[#This Row],[a1]]=1,[1]!T.in.A[[#This Row],[oo1]],"")</f>
        <v/>
      </c>
      <c r="F796" s="113" t="str">
        <f>IF(Tab.o1[[#This Row],[a1]]=1,[1]!T.in.A[[#This Row],[pp1]],"")</f>
        <v/>
      </c>
      <c r="G796" s="114" t="str">
        <f>IF(Tab.o1[[#This Row],[a1]]=1,G$2+IF(G$1=1,0,Tab.o1[[#This Row],[.x1]])+[1]!T.in.A[[#This Row],[oo3]],"")</f>
        <v/>
      </c>
      <c r="H796" s="115" t="str">
        <f>IF(Tab.o1[[#This Row],[a1]]=1,IF(H$2=0,0,IF(G$1=1,0,Tab.o1[[#This Row],[.x1]])+[1]!T.in.A[[#This Row],[oo4]]),"")</f>
        <v/>
      </c>
      <c r="I796" s="116" t="str">
        <f>IF(Tab.o1[[#This Row],[a1]]=1,IF(J$2=0,Tab.o1[[#This Row],[MED]],Tab.o1[[#This Row],[MOD]]),"")</f>
        <v/>
      </c>
      <c r="J796" s="116" t="str">
        <f>IF(Tab.o1[[#This Row],[a1]]=1,((Tab.o1[[#This Row],[DIF_Target.]]-AVERAGE(Tab.o1[DIF_Target.]))/_xlfn.STDEV.P(Tab.o1[DIF_Target.])),"")</f>
        <v/>
      </c>
      <c r="K796" s="117" t="str">
        <f>IF(Tab.o1[[#This Row],[a1]]=1,IF(J$2=0,Tab.o1[[#This Row],[MOD]]-Tab.o1[[#This Row],[B]],IF(J$2=1,0,-Tab.o1[[#This Row],[MED]])+Tab.o1[[#This Row],[B]]),"")</f>
        <v/>
      </c>
      <c r="L796" s="117" t="str">
        <f ca="1">IF(Tab.o1[[#This Row],[DIF_Target]]=0,IF(L$2=0,Tab.o1[[#This Row],[DIF_Target]],AVERAGE(OFFSET(Tab.o1[[#This Row],[DIF_Target]],1,0,L$3,1)))/3,Tab.o1[[#This Row],[DIF_Target]])</f>
        <v/>
      </c>
      <c r="M796" s="118" t="str">
        <f>IF(Tab.o1[[#This Row],[a1]]=1,NORMSDIST(Tab.o1[[#This Row],[Za]]),"")</f>
        <v/>
      </c>
      <c r="N796" s="119" t="str">
        <f>IF(Tab.o1[[#This Row],[a1]]=1,((Tab.o1[[#This Row],[MedMod]]-AVERAGE(Tab.o1[MedMod]))/_xlfn.STDEV.P(Tab.o1[MedMod])*H$1205)+G$1205,"")</f>
        <v/>
      </c>
      <c r="O796" s="141" t="str">
        <f>IF(Tab.o1[[#This Row],[a1]]=1,Tab.o1[[#This Row],[Zb]]*_xlfn.STDEV.P(Tab.o1[MedMod])+AVERAGE(Tab.o1[MedMod]),"")</f>
        <v/>
      </c>
      <c r="P796" s="117" t="str">
        <f ca="1">IF(Tab.o1[[#This Row],[B]]=0,AVERAGE(OFFSET(Tab.o1[[#This Row],[B]],1,0,L$3,1)),Tab.o1[[#This Row],[B]])</f>
        <v/>
      </c>
      <c r="Q796" s="121" t="str">
        <f>IF(Tab.o1[[#This Row],[a1]]=1,NORMSDIST(Tab.o1[[#This Row],[Zb]]),"")</f>
        <v/>
      </c>
      <c r="R796" s="122" t="str">
        <f>IF(Tab.o1[[#This Row],[a1]]=1,((Tab.o1[[#This Row],[MedMod]]-AVERAGE(Tab.o1[MedMod]))/_xlfn.STDEV.P(Tab.o1[MedMod])*H$1203)+G$1203,"")</f>
        <v/>
      </c>
      <c r="S796" s="122" t="str">
        <f>IF(Tab.o1[[#This Row],[a1]]=1,((Tab.o1[[#This Row],[MedMod]]-AVERAGE(Tab.o1[MedMod]))/_xlfn.STDEV.P(Tab.o1[MedMod])*H$1204)+G$1204,"")</f>
        <v/>
      </c>
      <c r="T796" s="123" t="str">
        <f>IF(Tab.o1[[#This Row],[a1]]=1,Tab.o1[[#This Row],[Z-]]*_xlfn.STDEV.P(Tab.o1[B])+AVERAGE(Tab.o1[B]),"")</f>
        <v/>
      </c>
      <c r="U796" s="123" t="str">
        <f>IF(Tab.o1[[#This Row],[a1]]=1,Tab.o1[[#This Row],[z+]]*_xlfn.STDEV.P(Tab.o1[B])+AVERAGE(Tab.o1[B]),"")</f>
        <v/>
      </c>
      <c r="V796" s="124" t="str">
        <f>IF(Tab.o1[[#This Row],[a1]]=1,ABS((ABS(Tab.o1[[#This Row],[Red]]-Tab.o1[[#This Row],[Blue]]))),"")</f>
        <v/>
      </c>
      <c r="W796" s="125" t="str">
        <f>IF(Tab.o1[[#This Row],[a1]]=1,IF(W$3=0,1,Tab.o1[[#This Row],[Amp.]]*1/_xlfn.MINIFS(Tab.o1[Amp.],Tab.o1[Amp.],"&lt;&gt;0")),"")</f>
        <v/>
      </c>
      <c r="X796" s="126" t="str">
        <f>IF(Tab.o1[[#This Row],[a1]]=1,IF(ISNUMBER(Tab.o1[[#This Row],[i.]]),NORMDIST(Tab.o1[[#This Row],[Za]],0,1,FALSE)*Tab.o1[[#This Row],[i.]],AP$3),"")</f>
        <v/>
      </c>
      <c r="Y796" s="126" t="str">
        <f>IF(Tab.o1[[#This Row],[a1]]=1,0.01+0.94*Tab.o1[[#This Row],[PDF]]/MAX(Tab.o1[PDF]),"")</f>
        <v/>
      </c>
      <c r="Z796" s="126" t="str">
        <f>IF(Tab.o1[[#This Row],[a1]]=1,0.01+0.94*Tab.o1[[#This Row],[W1_PDF]]/MAX(Tab.o1[W1_PDF]),"")</f>
        <v/>
      </c>
      <c r="AA796" s="118" t="str">
        <f>IF(Tab.o1[[#This Row],[a1]]=1,ABS([1]!T.in.A[[#This Row],[oo6]]),"")</f>
        <v/>
      </c>
      <c r="AB796" s="127" t="str">
        <f>IF(Tab.o1[[#This Row],[a1]]=1,IF(AE$3=0,"",IF(AB$3=0,ABS([1]!T.in.A[[#This Row],[oo9]]),ABS(Tab.o1[[#This Row],[DIF_Target.]]*Tab.o1[[#This Row],[W1_PDF]]))),"")</f>
        <v/>
      </c>
      <c r="AC796" s="127" t="str">
        <f>IF(G$1=1,"",IF(Tab.o1[[#This Row],[a1]]=1,Tab.o1[[#This Row],[Wr]]^2,""))</f>
        <v/>
      </c>
      <c r="AD796" s="118" t="str">
        <f>IF(Tab.o1[[#This Row],[a1]]=1,IF(AE$3=0,"",Tab.o1[[#This Row],[Wr2]]/SUM(Tab.o1[Wr2])),"")</f>
        <v/>
      </c>
      <c r="AE796" s="128" t="str">
        <f>IF(Tab.o1[[#This Row],[a1]]=1,[1]!T.in.A[[#This Row],[oo10]],"")</f>
        <v/>
      </c>
      <c r="AF796" s="118" t="str">
        <f>IF(Tab.o1[[#This Row],[a1]]=1,ABS(Tab.o1[[#This Row],[DIF_Target.]]*Tab.o1[[#This Row],[PDF2]]*Tab.o1[[#This Row],[IN]]),"")</f>
        <v/>
      </c>
      <c r="AG796" s="129" t="str">
        <f>IF(Tab.o1[[#This Row],[a1]]=1,Tab.o1[[#This Row],[rW]]^2,"")</f>
        <v/>
      </c>
      <c r="AH796" s="130" t="str">
        <f>IF(Tab.o1[[#This Row],[a1]]=1,IF(AH$3=0,Tab.o1[[#This Row],[rW2]],0.01+0.94*Tab.o1[[#This Row],[rW2]]/SUM(Tab.o1[rW2])),"")</f>
        <v/>
      </c>
      <c r="AI796" s="128" t="str">
        <f>IF(Tab.o1[[#This Row],[a1]]=1,1/Tab.o1[[#This Row],[PDF]],"")</f>
        <v/>
      </c>
      <c r="AJ796" s="131" t="str">
        <f>IF(Tab.o1[[#This Row],[a1]]=1,[1]!T_AA[[#This Row],[IN'']]*[1]!T_AA[[#This Row],[Qde'']],"")</f>
        <v/>
      </c>
      <c r="AK796" s="132" t="str">
        <f>IF(Tab.o1[[#This Row],[a1]]=1,IF(AK$1=1,Tab.o1[[#This Row],[MED]]+Tab.o1[[#This Row],[MOD]]-Tab.o1[[#This Row],[MED]],""),"")</f>
        <v/>
      </c>
      <c r="AL796" s="133" t="str">
        <f>IF(Tab.o1[[#This Row],[a1]]=1,[1]!T.in.A[[#This Row],[oo16]],"")</f>
        <v/>
      </c>
      <c r="AM796" s="133" t="str">
        <f>IF(Tab.o1[[#This Row],[a1]]=1,IF(AM$3=1,[1]!T.in.A[[#This Row],[Σo16]],""),"")</f>
        <v/>
      </c>
      <c r="AN796" s="126" t="str">
        <f>IF(Tab.o1[[#This Row],[a1]]=1,[1]!T.in.A[[#This Row],[Σp5]],"")</f>
        <v/>
      </c>
      <c r="AO796" s="126" t="str">
        <f>IF(Tab.o1[[#This Row],[a1]]=1,IF(AO$3=1,[1]!T.in.A[[#This Row],[Σp5]],""),"")</f>
        <v/>
      </c>
      <c r="AP796" s="110" t="str">
        <f>IF(Tab.o1[[#This Row],[a1]]=1,IF(ISNUMBER(Tab.o1[[#This Row],[i.]]),NORMDIST(Tab.o1[[#This Row],[Za]],0,1,FALSE)*Tab.o1[[#This Row],[i.]],0),"")</f>
        <v/>
      </c>
      <c r="AQ796" s="125" t="str">
        <f>IF(Tab.o1[[#This Row],[a1]]=1,ABS(Tab.o1[[#This Row],[MOD]]-AVERAGE(Tab.o1[MOD])),"")</f>
        <v/>
      </c>
      <c r="AR796" s="134" t="str">
        <f>IF(Tab.o1[[#This Row],[a1]]=1,Tab.o1[[#This Row],[OBS]]/SUM(Tab.o1[OBS]),"")</f>
        <v/>
      </c>
      <c r="AS796" s="135" t="str">
        <f>IF(ISNUMBER(Tab.o1[[#This Row],[a1]]),ROW()-4,"")</f>
        <v/>
      </c>
      <c r="AT796" s="136" t="str">
        <f>Tab.o1[[#This Row],[MOD]]</f>
        <v/>
      </c>
      <c r="AU796" s="137" t="str">
        <f t="shared" si="49"/>
        <v/>
      </c>
      <c r="AV796" s="138" t="str">
        <f t="shared" si="50"/>
        <v/>
      </c>
      <c r="AW796" s="138" t="str">
        <f t="shared" si="51"/>
        <v/>
      </c>
      <c r="AX796" s="139" t="str">
        <f>[1]!T.in.A[[#This Row],[ID_T_manu]]</f>
        <v/>
      </c>
      <c r="AY796" s="140" t="str">
        <f>IF(ISNUMBER(Tab.o1[[#This Row],[a1]]),IF(AND(Tab.o1[[#This Row],[a1]]=1,Tab.o1[[#This Row],[b1]]&lt;=AY$4),#REF!,AY795),"")</f>
        <v/>
      </c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6"/>
      <c r="BO796" s="26"/>
      <c r="BP796" s="26"/>
      <c r="BQ796" s="26"/>
      <c r="BR796" s="26"/>
      <c r="BS796" s="26"/>
      <c r="BT796" s="26"/>
      <c r="BU796" s="26"/>
      <c r="BV796" s="26"/>
      <c r="BW796" s="26"/>
      <c r="BX796" s="26"/>
      <c r="BY796" s="26"/>
      <c r="BZ796" s="26"/>
      <c r="CA796" s="26"/>
    </row>
    <row r="797" spans="1:79" s="143" customFormat="1" ht="15.75" hidden="1">
      <c r="A797" s="109">
        <v>-2.0000000000000003E-6</v>
      </c>
      <c r="B797" s="110">
        <f t="shared" si="48"/>
        <v>797</v>
      </c>
      <c r="C797" s="111" t="str">
        <f>IF(C$1=[1]!T.in.A[[#This Row],[oo2]],1,"")</f>
        <v/>
      </c>
      <c r="D797" s="112" t="str">
        <f>IF(Tab.o1[[#This Row],[a1]]=1,IF(SUM(C797:C798)=0,0,IF(SUM(C796:C797)=1,1,IF(SUM(C796:C798)&gt;1,D796+1,0))),"")</f>
        <v/>
      </c>
      <c r="E797" s="113" t="str">
        <f>IF(Tab.o1[[#This Row],[a1]]=1,[1]!T.in.A[[#This Row],[oo1]],"")</f>
        <v/>
      </c>
      <c r="F797" s="113" t="str">
        <f>IF(Tab.o1[[#This Row],[a1]]=1,[1]!T.in.A[[#This Row],[pp1]],"")</f>
        <v/>
      </c>
      <c r="G797" s="114" t="str">
        <f>IF(Tab.o1[[#This Row],[a1]]=1,G$2+IF(G$1=1,0,Tab.o1[[#This Row],[.x1]])+[1]!T.in.A[[#This Row],[oo3]],"")</f>
        <v/>
      </c>
      <c r="H797" s="115" t="str">
        <f>IF(Tab.o1[[#This Row],[a1]]=1,IF(H$2=0,0,IF(G$1=1,0,Tab.o1[[#This Row],[.x1]])+[1]!T.in.A[[#This Row],[oo4]]),"")</f>
        <v/>
      </c>
      <c r="I797" s="116" t="str">
        <f>IF(Tab.o1[[#This Row],[a1]]=1,IF(J$2=0,Tab.o1[[#This Row],[MED]],Tab.o1[[#This Row],[MOD]]),"")</f>
        <v/>
      </c>
      <c r="J797" s="116" t="str">
        <f>IF(Tab.o1[[#This Row],[a1]]=1,((Tab.o1[[#This Row],[DIF_Target.]]-AVERAGE(Tab.o1[DIF_Target.]))/_xlfn.STDEV.P(Tab.o1[DIF_Target.])),"")</f>
        <v/>
      </c>
      <c r="K797" s="117" t="str">
        <f>IF(Tab.o1[[#This Row],[a1]]=1,IF(J$2=0,Tab.o1[[#This Row],[MOD]]-Tab.o1[[#This Row],[B]],IF(J$2=1,0,-Tab.o1[[#This Row],[MED]])+Tab.o1[[#This Row],[B]]),"")</f>
        <v/>
      </c>
      <c r="L797" s="117" t="str">
        <f ca="1">IF(Tab.o1[[#This Row],[DIF_Target]]=0,IF(L$2=0,Tab.o1[[#This Row],[DIF_Target]],AVERAGE(OFFSET(Tab.o1[[#This Row],[DIF_Target]],1,0,L$3,1)))/3,Tab.o1[[#This Row],[DIF_Target]])</f>
        <v/>
      </c>
      <c r="M797" s="118" t="str">
        <f>IF(Tab.o1[[#This Row],[a1]]=1,NORMSDIST(Tab.o1[[#This Row],[Za]]),"")</f>
        <v/>
      </c>
      <c r="N797" s="119" t="str">
        <f>IF(Tab.o1[[#This Row],[a1]]=1,((Tab.o1[[#This Row],[MedMod]]-AVERAGE(Tab.o1[MedMod]))/_xlfn.STDEV.P(Tab.o1[MedMod])*H$1205)+G$1205,"")</f>
        <v/>
      </c>
      <c r="O797" s="141" t="str">
        <f>IF(Tab.o1[[#This Row],[a1]]=1,Tab.o1[[#This Row],[Zb]]*_xlfn.STDEV.P(Tab.o1[MedMod])+AVERAGE(Tab.o1[MedMod]),"")</f>
        <v/>
      </c>
      <c r="P797" s="117" t="str">
        <f ca="1">IF(Tab.o1[[#This Row],[B]]=0,AVERAGE(OFFSET(Tab.o1[[#This Row],[B]],1,0,L$3,1)),Tab.o1[[#This Row],[B]])</f>
        <v/>
      </c>
      <c r="Q797" s="121" t="str">
        <f>IF(Tab.o1[[#This Row],[a1]]=1,NORMSDIST(Tab.o1[[#This Row],[Zb]]),"")</f>
        <v/>
      </c>
      <c r="R797" s="122" t="str">
        <f>IF(Tab.o1[[#This Row],[a1]]=1,((Tab.o1[[#This Row],[MedMod]]-AVERAGE(Tab.o1[MedMod]))/_xlfn.STDEV.P(Tab.o1[MedMod])*H$1203)+G$1203,"")</f>
        <v/>
      </c>
      <c r="S797" s="122" t="str">
        <f>IF(Tab.o1[[#This Row],[a1]]=1,((Tab.o1[[#This Row],[MedMod]]-AVERAGE(Tab.o1[MedMod]))/_xlfn.STDEV.P(Tab.o1[MedMod])*H$1204)+G$1204,"")</f>
        <v/>
      </c>
      <c r="T797" s="123" t="str">
        <f>IF(Tab.o1[[#This Row],[a1]]=1,Tab.o1[[#This Row],[Z-]]*_xlfn.STDEV.P(Tab.o1[B])+AVERAGE(Tab.o1[B]),"")</f>
        <v/>
      </c>
      <c r="U797" s="123" t="str">
        <f>IF(Tab.o1[[#This Row],[a1]]=1,Tab.o1[[#This Row],[z+]]*_xlfn.STDEV.P(Tab.o1[B])+AVERAGE(Tab.o1[B]),"")</f>
        <v/>
      </c>
      <c r="V797" s="124" t="str">
        <f>IF(Tab.o1[[#This Row],[a1]]=1,ABS((ABS(Tab.o1[[#This Row],[Red]]-Tab.o1[[#This Row],[Blue]]))),"")</f>
        <v/>
      </c>
      <c r="W797" s="125" t="str">
        <f>IF(Tab.o1[[#This Row],[a1]]=1,IF(W$3=0,1,Tab.o1[[#This Row],[Amp.]]*1/_xlfn.MINIFS(Tab.o1[Amp.],Tab.o1[Amp.],"&lt;&gt;0")),"")</f>
        <v/>
      </c>
      <c r="X797" s="126" t="str">
        <f>IF(Tab.o1[[#This Row],[a1]]=1,IF(ISNUMBER(Tab.o1[[#This Row],[i.]]),NORMDIST(Tab.o1[[#This Row],[Za]],0,1,FALSE)*Tab.o1[[#This Row],[i.]],AP$3),"")</f>
        <v/>
      </c>
      <c r="Y797" s="126" t="str">
        <f>IF(Tab.o1[[#This Row],[a1]]=1,0.01+0.94*Tab.o1[[#This Row],[PDF]]/MAX(Tab.o1[PDF]),"")</f>
        <v/>
      </c>
      <c r="Z797" s="126" t="str">
        <f>IF(Tab.o1[[#This Row],[a1]]=1,0.01+0.94*Tab.o1[[#This Row],[W1_PDF]]/MAX(Tab.o1[W1_PDF]),"")</f>
        <v/>
      </c>
      <c r="AA797" s="118" t="str">
        <f>IF(Tab.o1[[#This Row],[a1]]=1,ABS([1]!T.in.A[[#This Row],[oo6]]),"")</f>
        <v/>
      </c>
      <c r="AB797" s="127" t="str">
        <f>IF(Tab.o1[[#This Row],[a1]]=1,IF(AE$3=0,"",IF(AB$3=0,ABS([1]!T.in.A[[#This Row],[oo9]]),ABS(Tab.o1[[#This Row],[DIF_Target.]]*Tab.o1[[#This Row],[W1_PDF]]))),"")</f>
        <v/>
      </c>
      <c r="AC797" s="127" t="str">
        <f>IF(G$1=1,"",IF(Tab.o1[[#This Row],[a1]]=1,Tab.o1[[#This Row],[Wr]]^2,""))</f>
        <v/>
      </c>
      <c r="AD797" s="118" t="str">
        <f>IF(Tab.o1[[#This Row],[a1]]=1,IF(AE$3=0,"",Tab.o1[[#This Row],[Wr2]]/SUM(Tab.o1[Wr2])),"")</f>
        <v/>
      </c>
      <c r="AE797" s="128" t="str">
        <f>IF(Tab.o1[[#This Row],[a1]]=1,[1]!T.in.A[[#This Row],[oo10]],"")</f>
        <v/>
      </c>
      <c r="AF797" s="118" t="str">
        <f>IF(Tab.o1[[#This Row],[a1]]=1,ABS(Tab.o1[[#This Row],[DIF_Target.]]*Tab.o1[[#This Row],[PDF2]]*Tab.o1[[#This Row],[IN]]),"")</f>
        <v/>
      </c>
      <c r="AG797" s="129" t="str">
        <f>IF(Tab.o1[[#This Row],[a1]]=1,Tab.o1[[#This Row],[rW]]^2,"")</f>
        <v/>
      </c>
      <c r="AH797" s="130" t="str">
        <f>IF(Tab.o1[[#This Row],[a1]]=1,IF(AH$3=0,Tab.o1[[#This Row],[rW2]],0.01+0.94*Tab.o1[[#This Row],[rW2]]/SUM(Tab.o1[rW2])),"")</f>
        <v/>
      </c>
      <c r="AI797" s="128" t="str">
        <f>IF(Tab.o1[[#This Row],[a1]]=1,1/Tab.o1[[#This Row],[PDF]],"")</f>
        <v/>
      </c>
      <c r="AJ797" s="131" t="str">
        <f>IF(Tab.o1[[#This Row],[a1]]=1,[1]!T_AA[[#This Row],[IN'']]*[1]!T_AA[[#This Row],[Qde'']],"")</f>
        <v/>
      </c>
      <c r="AK797" s="132" t="str">
        <f>IF(Tab.o1[[#This Row],[a1]]=1,IF(AK$1=1,Tab.o1[[#This Row],[MED]]+Tab.o1[[#This Row],[MOD]]-Tab.o1[[#This Row],[MED]],""),"")</f>
        <v/>
      </c>
      <c r="AL797" s="133" t="str">
        <f>IF(Tab.o1[[#This Row],[a1]]=1,[1]!T.in.A[[#This Row],[oo16]],"")</f>
        <v/>
      </c>
      <c r="AM797" s="133" t="str">
        <f>IF(Tab.o1[[#This Row],[a1]]=1,IF(AM$3=1,[1]!T.in.A[[#This Row],[Σo16]],""),"")</f>
        <v/>
      </c>
      <c r="AN797" s="126" t="str">
        <f>IF(Tab.o1[[#This Row],[a1]]=1,[1]!T.in.A[[#This Row],[Σp5]],"")</f>
        <v/>
      </c>
      <c r="AO797" s="126" t="str">
        <f>IF(Tab.o1[[#This Row],[a1]]=1,IF(AO$3=1,[1]!T.in.A[[#This Row],[Σp5]],""),"")</f>
        <v/>
      </c>
      <c r="AP797" s="110" t="str">
        <f>IF(Tab.o1[[#This Row],[a1]]=1,IF(ISNUMBER(Tab.o1[[#This Row],[i.]]),NORMDIST(Tab.o1[[#This Row],[Za]],0,1,FALSE)*Tab.o1[[#This Row],[i.]],0),"")</f>
        <v/>
      </c>
      <c r="AQ797" s="125" t="str">
        <f>IF(Tab.o1[[#This Row],[a1]]=1,ABS(Tab.o1[[#This Row],[MOD]]-AVERAGE(Tab.o1[MOD])),"")</f>
        <v/>
      </c>
      <c r="AR797" s="134" t="str">
        <f>IF(Tab.o1[[#This Row],[a1]]=1,Tab.o1[[#This Row],[OBS]]/SUM(Tab.o1[OBS]),"")</f>
        <v/>
      </c>
      <c r="AS797" s="135" t="str">
        <f>IF(ISNUMBER(Tab.o1[[#This Row],[a1]]),ROW()-4,"")</f>
        <v/>
      </c>
      <c r="AT797" s="136" t="str">
        <f>Tab.o1[[#This Row],[MOD]]</f>
        <v/>
      </c>
      <c r="AU797" s="137" t="str">
        <f t="shared" si="49"/>
        <v/>
      </c>
      <c r="AV797" s="138" t="str">
        <f t="shared" si="50"/>
        <v/>
      </c>
      <c r="AW797" s="138" t="str">
        <f t="shared" si="51"/>
        <v/>
      </c>
      <c r="AX797" s="139" t="str">
        <f>[1]!T.in.A[[#This Row],[ID_T_manu]]</f>
        <v/>
      </c>
      <c r="AY797" s="140" t="str">
        <f>IF(ISNUMBER(Tab.o1[[#This Row],[a1]]),IF(AND(Tab.o1[[#This Row],[a1]]=1,Tab.o1[[#This Row],[b1]]&lt;=AY$4),#REF!,AY796),"")</f>
        <v/>
      </c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6"/>
      <c r="BO797" s="26"/>
      <c r="BP797" s="26"/>
      <c r="BQ797" s="26"/>
      <c r="BR797" s="26"/>
      <c r="BS797" s="26"/>
      <c r="BT797" s="26"/>
      <c r="BU797" s="26"/>
      <c r="BV797" s="26"/>
      <c r="BW797" s="26"/>
      <c r="BX797" s="26"/>
      <c r="BY797" s="26"/>
      <c r="BZ797" s="26"/>
      <c r="CA797" s="26"/>
    </row>
    <row r="798" spans="1:79" s="143" customFormat="1" ht="15.75" hidden="1">
      <c r="A798" s="109">
        <v>1.0000000000000001E-5</v>
      </c>
      <c r="B798" s="110">
        <f t="shared" si="48"/>
        <v>798</v>
      </c>
      <c r="C798" s="111" t="str">
        <f>IF(C$1=[1]!T.in.A[[#This Row],[oo2]],1,"")</f>
        <v/>
      </c>
      <c r="D798" s="112" t="str">
        <f>IF(Tab.o1[[#This Row],[a1]]=1,IF(SUM(C798:C799)=0,0,IF(SUM(C797:C798)=1,1,IF(SUM(C797:C799)&gt;1,D797+1,0))),"")</f>
        <v/>
      </c>
      <c r="E798" s="113" t="str">
        <f>IF(Tab.o1[[#This Row],[a1]]=1,[1]!T.in.A[[#This Row],[oo1]],"")</f>
        <v/>
      </c>
      <c r="F798" s="113" t="str">
        <f>IF(Tab.o1[[#This Row],[a1]]=1,[1]!T.in.A[[#This Row],[pp1]],"")</f>
        <v/>
      </c>
      <c r="G798" s="114" t="str">
        <f>IF(Tab.o1[[#This Row],[a1]]=1,G$2+IF(G$1=1,0,Tab.o1[[#This Row],[.x1]])+[1]!T.in.A[[#This Row],[oo3]],"")</f>
        <v/>
      </c>
      <c r="H798" s="115" t="str">
        <f>IF(Tab.o1[[#This Row],[a1]]=1,IF(H$2=0,0,IF(G$1=1,0,Tab.o1[[#This Row],[.x1]])+[1]!T.in.A[[#This Row],[oo4]]),"")</f>
        <v/>
      </c>
      <c r="I798" s="116" t="str">
        <f>IF(Tab.o1[[#This Row],[a1]]=1,IF(J$2=0,Tab.o1[[#This Row],[MED]],Tab.o1[[#This Row],[MOD]]),"")</f>
        <v/>
      </c>
      <c r="J798" s="116" t="str">
        <f>IF(Tab.o1[[#This Row],[a1]]=1,((Tab.o1[[#This Row],[DIF_Target.]]-AVERAGE(Tab.o1[DIF_Target.]))/_xlfn.STDEV.P(Tab.o1[DIF_Target.])),"")</f>
        <v/>
      </c>
      <c r="K798" s="117" t="str">
        <f>IF(Tab.o1[[#This Row],[a1]]=1,IF(J$2=0,Tab.o1[[#This Row],[MOD]]-Tab.o1[[#This Row],[B]],IF(J$2=1,0,-Tab.o1[[#This Row],[MED]])+Tab.o1[[#This Row],[B]]),"")</f>
        <v/>
      </c>
      <c r="L798" s="117" t="str">
        <f ca="1">IF(Tab.o1[[#This Row],[DIF_Target]]=0,IF(L$2=0,Tab.o1[[#This Row],[DIF_Target]],AVERAGE(OFFSET(Tab.o1[[#This Row],[DIF_Target]],1,0,L$3,1)))/3,Tab.o1[[#This Row],[DIF_Target]])</f>
        <v/>
      </c>
      <c r="M798" s="118" t="str">
        <f>IF(Tab.o1[[#This Row],[a1]]=1,NORMSDIST(Tab.o1[[#This Row],[Za]]),"")</f>
        <v/>
      </c>
      <c r="N798" s="119" t="str">
        <f>IF(Tab.o1[[#This Row],[a1]]=1,((Tab.o1[[#This Row],[MedMod]]-AVERAGE(Tab.o1[MedMod]))/_xlfn.STDEV.P(Tab.o1[MedMod])*H$1205)+G$1205,"")</f>
        <v/>
      </c>
      <c r="O798" s="141" t="str">
        <f>IF(Tab.o1[[#This Row],[a1]]=1,Tab.o1[[#This Row],[Zb]]*_xlfn.STDEV.P(Tab.o1[MedMod])+AVERAGE(Tab.o1[MedMod]),"")</f>
        <v/>
      </c>
      <c r="P798" s="117" t="str">
        <f ca="1">IF(Tab.o1[[#This Row],[B]]=0,AVERAGE(OFFSET(Tab.o1[[#This Row],[B]],1,0,L$3,1)),Tab.o1[[#This Row],[B]])</f>
        <v/>
      </c>
      <c r="Q798" s="121" t="str">
        <f>IF(Tab.o1[[#This Row],[a1]]=1,NORMSDIST(Tab.o1[[#This Row],[Zb]]),"")</f>
        <v/>
      </c>
      <c r="R798" s="122" t="str">
        <f>IF(Tab.o1[[#This Row],[a1]]=1,((Tab.o1[[#This Row],[MedMod]]-AVERAGE(Tab.o1[MedMod]))/_xlfn.STDEV.P(Tab.o1[MedMod])*H$1203)+G$1203,"")</f>
        <v/>
      </c>
      <c r="S798" s="122" t="str">
        <f>IF(Tab.o1[[#This Row],[a1]]=1,((Tab.o1[[#This Row],[MedMod]]-AVERAGE(Tab.o1[MedMod]))/_xlfn.STDEV.P(Tab.o1[MedMod])*H$1204)+G$1204,"")</f>
        <v/>
      </c>
      <c r="T798" s="123" t="str">
        <f>IF(Tab.o1[[#This Row],[a1]]=1,Tab.o1[[#This Row],[Z-]]*_xlfn.STDEV.P(Tab.o1[B])+AVERAGE(Tab.o1[B]),"")</f>
        <v/>
      </c>
      <c r="U798" s="123" t="str">
        <f>IF(Tab.o1[[#This Row],[a1]]=1,Tab.o1[[#This Row],[z+]]*_xlfn.STDEV.P(Tab.o1[B])+AVERAGE(Tab.o1[B]),"")</f>
        <v/>
      </c>
      <c r="V798" s="124" t="str">
        <f>IF(Tab.o1[[#This Row],[a1]]=1,ABS((ABS(Tab.o1[[#This Row],[Red]]-Tab.o1[[#This Row],[Blue]]))),"")</f>
        <v/>
      </c>
      <c r="W798" s="125" t="str">
        <f>IF(Tab.o1[[#This Row],[a1]]=1,IF(W$3=0,1,Tab.o1[[#This Row],[Amp.]]*1/_xlfn.MINIFS(Tab.o1[Amp.],Tab.o1[Amp.],"&lt;&gt;0")),"")</f>
        <v/>
      </c>
      <c r="X798" s="126" t="str">
        <f>IF(Tab.o1[[#This Row],[a1]]=1,IF(ISNUMBER(Tab.o1[[#This Row],[i.]]),NORMDIST(Tab.o1[[#This Row],[Za]],0,1,FALSE)*Tab.o1[[#This Row],[i.]],AP$3),"")</f>
        <v/>
      </c>
      <c r="Y798" s="126" t="str">
        <f>IF(Tab.o1[[#This Row],[a1]]=1,0.01+0.94*Tab.o1[[#This Row],[PDF]]/MAX(Tab.o1[PDF]),"")</f>
        <v/>
      </c>
      <c r="Z798" s="126" t="str">
        <f>IF(Tab.o1[[#This Row],[a1]]=1,0.01+0.94*Tab.o1[[#This Row],[W1_PDF]]/MAX(Tab.o1[W1_PDF]),"")</f>
        <v/>
      </c>
      <c r="AA798" s="118" t="str">
        <f>IF(Tab.o1[[#This Row],[a1]]=1,ABS([1]!T.in.A[[#This Row],[oo6]]),"")</f>
        <v/>
      </c>
      <c r="AB798" s="127" t="str">
        <f>IF(Tab.o1[[#This Row],[a1]]=1,IF(AE$3=0,"",IF(AB$3=0,ABS([1]!T.in.A[[#This Row],[oo9]]),ABS(Tab.o1[[#This Row],[DIF_Target.]]*Tab.o1[[#This Row],[W1_PDF]]))),"")</f>
        <v/>
      </c>
      <c r="AC798" s="127" t="str">
        <f>IF(G$1=1,"",IF(Tab.o1[[#This Row],[a1]]=1,Tab.o1[[#This Row],[Wr]]^2,""))</f>
        <v/>
      </c>
      <c r="AD798" s="118" t="str">
        <f>IF(Tab.o1[[#This Row],[a1]]=1,IF(AE$3=0,"",Tab.o1[[#This Row],[Wr2]]/SUM(Tab.o1[Wr2])),"")</f>
        <v/>
      </c>
      <c r="AE798" s="128" t="str">
        <f>IF(Tab.o1[[#This Row],[a1]]=1,[1]!T.in.A[[#This Row],[oo10]],"")</f>
        <v/>
      </c>
      <c r="AF798" s="118" t="str">
        <f>IF(Tab.o1[[#This Row],[a1]]=1,ABS(Tab.o1[[#This Row],[DIF_Target.]]*Tab.o1[[#This Row],[PDF2]]*Tab.o1[[#This Row],[IN]]),"")</f>
        <v/>
      </c>
      <c r="AG798" s="129" t="str">
        <f>IF(Tab.o1[[#This Row],[a1]]=1,Tab.o1[[#This Row],[rW]]^2,"")</f>
        <v/>
      </c>
      <c r="AH798" s="130" t="str">
        <f>IF(Tab.o1[[#This Row],[a1]]=1,IF(AH$3=0,Tab.o1[[#This Row],[rW2]],0.01+0.94*Tab.o1[[#This Row],[rW2]]/SUM(Tab.o1[rW2])),"")</f>
        <v/>
      </c>
      <c r="AI798" s="128" t="str">
        <f>IF(Tab.o1[[#This Row],[a1]]=1,1/Tab.o1[[#This Row],[PDF]],"")</f>
        <v/>
      </c>
      <c r="AJ798" s="131" t="str">
        <f>IF(Tab.o1[[#This Row],[a1]]=1,[1]!T_AA[[#This Row],[IN'']]*[1]!T_AA[[#This Row],[Qde'']],"")</f>
        <v/>
      </c>
      <c r="AK798" s="132" t="str">
        <f>IF(Tab.o1[[#This Row],[a1]]=1,IF(AK$1=1,Tab.o1[[#This Row],[MED]]+Tab.o1[[#This Row],[MOD]]-Tab.o1[[#This Row],[MED]],""),"")</f>
        <v/>
      </c>
      <c r="AL798" s="133" t="str">
        <f>IF(Tab.o1[[#This Row],[a1]]=1,[1]!T.in.A[[#This Row],[oo16]],"")</f>
        <v/>
      </c>
      <c r="AM798" s="133" t="str">
        <f>IF(Tab.o1[[#This Row],[a1]]=1,IF(AM$3=1,[1]!T.in.A[[#This Row],[Σo16]],""),"")</f>
        <v/>
      </c>
      <c r="AN798" s="126" t="str">
        <f>IF(Tab.o1[[#This Row],[a1]]=1,[1]!T.in.A[[#This Row],[Σp5]],"")</f>
        <v/>
      </c>
      <c r="AO798" s="126" t="str">
        <f>IF(Tab.o1[[#This Row],[a1]]=1,IF(AO$3=1,[1]!T.in.A[[#This Row],[Σp5]],""),"")</f>
        <v/>
      </c>
      <c r="AP798" s="110" t="str">
        <f>IF(Tab.o1[[#This Row],[a1]]=1,IF(ISNUMBER(Tab.o1[[#This Row],[i.]]),NORMDIST(Tab.o1[[#This Row],[Za]],0,1,FALSE)*Tab.o1[[#This Row],[i.]],0),"")</f>
        <v/>
      </c>
      <c r="AQ798" s="125" t="str">
        <f>IF(Tab.o1[[#This Row],[a1]]=1,ABS(Tab.o1[[#This Row],[MOD]]-AVERAGE(Tab.o1[MOD])),"")</f>
        <v/>
      </c>
      <c r="AR798" s="134" t="str">
        <f>IF(Tab.o1[[#This Row],[a1]]=1,Tab.o1[[#This Row],[OBS]]/SUM(Tab.o1[OBS]),"")</f>
        <v/>
      </c>
      <c r="AS798" s="135" t="str">
        <f>IF(ISNUMBER(Tab.o1[[#This Row],[a1]]),ROW()-4,"")</f>
        <v/>
      </c>
      <c r="AT798" s="136" t="str">
        <f>Tab.o1[[#This Row],[MOD]]</f>
        <v/>
      </c>
      <c r="AU798" s="137" t="str">
        <f t="shared" si="49"/>
        <v/>
      </c>
      <c r="AV798" s="138" t="str">
        <f t="shared" si="50"/>
        <v/>
      </c>
      <c r="AW798" s="138" t="str">
        <f t="shared" si="51"/>
        <v/>
      </c>
      <c r="AX798" s="139" t="str">
        <f>[1]!T.in.A[[#This Row],[ID_T_manu]]</f>
        <v/>
      </c>
      <c r="AY798" s="140" t="str">
        <f>IF(ISNUMBER(Tab.o1[[#This Row],[a1]]),IF(AND(Tab.o1[[#This Row],[a1]]=1,Tab.o1[[#This Row],[b1]]&lt;=AY$4),#REF!,AY797),"")</f>
        <v/>
      </c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6"/>
      <c r="BO798" s="26"/>
      <c r="BP798" s="26"/>
      <c r="BQ798" s="26"/>
      <c r="BR798" s="26"/>
      <c r="BS798" s="26"/>
      <c r="BT798" s="26"/>
      <c r="BU798" s="26"/>
      <c r="BV798" s="26"/>
      <c r="BW798" s="26"/>
      <c r="BX798" s="26"/>
      <c r="BY798" s="26"/>
      <c r="BZ798" s="26"/>
      <c r="CA798" s="26"/>
    </row>
    <row r="799" spans="1:79" s="143" customFormat="1" ht="15.75" hidden="1">
      <c r="A799" s="109">
        <v>-6.9999999999999999E-6</v>
      </c>
      <c r="B799" s="110">
        <f t="shared" si="48"/>
        <v>799</v>
      </c>
      <c r="C799" s="111" t="str">
        <f>IF(C$1=[1]!T.in.A[[#This Row],[oo2]],1,"")</f>
        <v/>
      </c>
      <c r="D799" s="112" t="str">
        <f>IF(Tab.o1[[#This Row],[a1]]=1,IF(SUM(C799:C800)=0,0,IF(SUM(C798:C799)=1,1,IF(SUM(C798:C800)&gt;1,D798+1,0))),"")</f>
        <v/>
      </c>
      <c r="E799" s="113" t="str">
        <f>IF(Tab.o1[[#This Row],[a1]]=1,[1]!T.in.A[[#This Row],[oo1]],"")</f>
        <v/>
      </c>
      <c r="F799" s="113" t="str">
        <f>IF(Tab.o1[[#This Row],[a1]]=1,[1]!T.in.A[[#This Row],[pp1]],"")</f>
        <v/>
      </c>
      <c r="G799" s="114" t="str">
        <f>IF(Tab.o1[[#This Row],[a1]]=1,G$2+IF(G$1=1,0,Tab.o1[[#This Row],[.x1]])+[1]!T.in.A[[#This Row],[oo3]],"")</f>
        <v/>
      </c>
      <c r="H799" s="115" t="str">
        <f>IF(Tab.o1[[#This Row],[a1]]=1,IF(H$2=0,0,IF(G$1=1,0,Tab.o1[[#This Row],[.x1]])+[1]!T.in.A[[#This Row],[oo4]]),"")</f>
        <v/>
      </c>
      <c r="I799" s="116" t="str">
        <f>IF(Tab.o1[[#This Row],[a1]]=1,IF(J$2=0,Tab.o1[[#This Row],[MED]],Tab.o1[[#This Row],[MOD]]),"")</f>
        <v/>
      </c>
      <c r="J799" s="116" t="str">
        <f>IF(Tab.o1[[#This Row],[a1]]=1,((Tab.o1[[#This Row],[DIF_Target.]]-AVERAGE(Tab.o1[DIF_Target.]))/_xlfn.STDEV.P(Tab.o1[DIF_Target.])),"")</f>
        <v/>
      </c>
      <c r="K799" s="117" t="str">
        <f>IF(Tab.o1[[#This Row],[a1]]=1,IF(J$2=0,Tab.o1[[#This Row],[MOD]]-Tab.o1[[#This Row],[B]],IF(J$2=1,0,-Tab.o1[[#This Row],[MED]])+Tab.o1[[#This Row],[B]]),"")</f>
        <v/>
      </c>
      <c r="L799" s="117" t="str">
        <f ca="1">IF(Tab.o1[[#This Row],[DIF_Target]]=0,IF(L$2=0,Tab.o1[[#This Row],[DIF_Target]],AVERAGE(OFFSET(Tab.o1[[#This Row],[DIF_Target]],1,0,L$3,1)))/3,Tab.o1[[#This Row],[DIF_Target]])</f>
        <v/>
      </c>
      <c r="M799" s="118" t="str">
        <f>IF(Tab.o1[[#This Row],[a1]]=1,NORMSDIST(Tab.o1[[#This Row],[Za]]),"")</f>
        <v/>
      </c>
      <c r="N799" s="119" t="str">
        <f>IF(Tab.o1[[#This Row],[a1]]=1,((Tab.o1[[#This Row],[MedMod]]-AVERAGE(Tab.o1[MedMod]))/_xlfn.STDEV.P(Tab.o1[MedMod])*H$1205)+G$1205,"")</f>
        <v/>
      </c>
      <c r="O799" s="141" t="str">
        <f>IF(Tab.o1[[#This Row],[a1]]=1,Tab.o1[[#This Row],[Zb]]*_xlfn.STDEV.P(Tab.o1[MedMod])+AVERAGE(Tab.o1[MedMod]),"")</f>
        <v/>
      </c>
      <c r="P799" s="117" t="str">
        <f ca="1">IF(Tab.o1[[#This Row],[B]]=0,AVERAGE(OFFSET(Tab.o1[[#This Row],[B]],1,0,L$3,1)),Tab.o1[[#This Row],[B]])</f>
        <v/>
      </c>
      <c r="Q799" s="121" t="str">
        <f>IF(Tab.o1[[#This Row],[a1]]=1,NORMSDIST(Tab.o1[[#This Row],[Zb]]),"")</f>
        <v/>
      </c>
      <c r="R799" s="122" t="str">
        <f>IF(Tab.o1[[#This Row],[a1]]=1,((Tab.o1[[#This Row],[MedMod]]-AVERAGE(Tab.o1[MedMod]))/_xlfn.STDEV.P(Tab.o1[MedMod])*H$1203)+G$1203,"")</f>
        <v/>
      </c>
      <c r="S799" s="122" t="str">
        <f>IF(Tab.o1[[#This Row],[a1]]=1,((Tab.o1[[#This Row],[MedMod]]-AVERAGE(Tab.o1[MedMod]))/_xlfn.STDEV.P(Tab.o1[MedMod])*H$1204)+G$1204,"")</f>
        <v/>
      </c>
      <c r="T799" s="123" t="str">
        <f>IF(Tab.o1[[#This Row],[a1]]=1,Tab.o1[[#This Row],[Z-]]*_xlfn.STDEV.P(Tab.o1[B])+AVERAGE(Tab.o1[B]),"")</f>
        <v/>
      </c>
      <c r="U799" s="123" t="str">
        <f>IF(Tab.o1[[#This Row],[a1]]=1,Tab.o1[[#This Row],[z+]]*_xlfn.STDEV.P(Tab.o1[B])+AVERAGE(Tab.o1[B]),"")</f>
        <v/>
      </c>
      <c r="V799" s="124" t="str">
        <f>IF(Tab.o1[[#This Row],[a1]]=1,ABS((ABS(Tab.o1[[#This Row],[Red]]-Tab.o1[[#This Row],[Blue]]))),"")</f>
        <v/>
      </c>
      <c r="W799" s="125" t="str">
        <f>IF(Tab.o1[[#This Row],[a1]]=1,IF(W$3=0,1,Tab.o1[[#This Row],[Amp.]]*1/_xlfn.MINIFS(Tab.o1[Amp.],Tab.o1[Amp.],"&lt;&gt;0")),"")</f>
        <v/>
      </c>
      <c r="X799" s="126" t="str">
        <f>IF(Tab.o1[[#This Row],[a1]]=1,IF(ISNUMBER(Tab.o1[[#This Row],[i.]]),NORMDIST(Tab.o1[[#This Row],[Za]],0,1,FALSE)*Tab.o1[[#This Row],[i.]],AP$3),"")</f>
        <v/>
      </c>
      <c r="Y799" s="126" t="str">
        <f>IF(Tab.o1[[#This Row],[a1]]=1,0.01+0.94*Tab.o1[[#This Row],[PDF]]/MAX(Tab.o1[PDF]),"")</f>
        <v/>
      </c>
      <c r="Z799" s="126" t="str">
        <f>IF(Tab.o1[[#This Row],[a1]]=1,0.01+0.94*Tab.o1[[#This Row],[W1_PDF]]/MAX(Tab.o1[W1_PDF]),"")</f>
        <v/>
      </c>
      <c r="AA799" s="118" t="str">
        <f>IF(Tab.o1[[#This Row],[a1]]=1,ABS([1]!T.in.A[[#This Row],[oo6]]),"")</f>
        <v/>
      </c>
      <c r="AB799" s="127" t="str">
        <f>IF(Tab.o1[[#This Row],[a1]]=1,IF(AE$3=0,"",IF(AB$3=0,ABS([1]!T.in.A[[#This Row],[oo9]]),ABS(Tab.o1[[#This Row],[DIF_Target.]]*Tab.o1[[#This Row],[W1_PDF]]))),"")</f>
        <v/>
      </c>
      <c r="AC799" s="127" t="str">
        <f>IF(G$1=1,"",IF(Tab.o1[[#This Row],[a1]]=1,Tab.o1[[#This Row],[Wr]]^2,""))</f>
        <v/>
      </c>
      <c r="AD799" s="118" t="str">
        <f>IF(Tab.o1[[#This Row],[a1]]=1,IF(AE$3=0,"",Tab.o1[[#This Row],[Wr2]]/SUM(Tab.o1[Wr2])),"")</f>
        <v/>
      </c>
      <c r="AE799" s="128" t="str">
        <f>IF(Tab.o1[[#This Row],[a1]]=1,[1]!T.in.A[[#This Row],[oo10]],"")</f>
        <v/>
      </c>
      <c r="AF799" s="118" t="str">
        <f>IF(Tab.o1[[#This Row],[a1]]=1,ABS(Tab.o1[[#This Row],[DIF_Target.]]*Tab.o1[[#This Row],[PDF2]]*Tab.o1[[#This Row],[IN]]),"")</f>
        <v/>
      </c>
      <c r="AG799" s="129" t="str">
        <f>IF(Tab.o1[[#This Row],[a1]]=1,Tab.o1[[#This Row],[rW]]^2,"")</f>
        <v/>
      </c>
      <c r="AH799" s="130" t="str">
        <f>IF(Tab.o1[[#This Row],[a1]]=1,IF(AH$3=0,Tab.o1[[#This Row],[rW2]],0.01+0.94*Tab.o1[[#This Row],[rW2]]/SUM(Tab.o1[rW2])),"")</f>
        <v/>
      </c>
      <c r="AI799" s="128" t="str">
        <f>IF(Tab.o1[[#This Row],[a1]]=1,1/Tab.o1[[#This Row],[PDF]],"")</f>
        <v/>
      </c>
      <c r="AJ799" s="131" t="str">
        <f>IF(Tab.o1[[#This Row],[a1]]=1,[1]!T_AA[[#This Row],[IN'']]*[1]!T_AA[[#This Row],[Qde'']],"")</f>
        <v/>
      </c>
      <c r="AK799" s="132" t="str">
        <f>IF(Tab.o1[[#This Row],[a1]]=1,IF(AK$1=1,Tab.o1[[#This Row],[MED]]+Tab.o1[[#This Row],[MOD]]-Tab.o1[[#This Row],[MED]],""),"")</f>
        <v/>
      </c>
      <c r="AL799" s="133" t="str">
        <f>IF(Tab.o1[[#This Row],[a1]]=1,[1]!T.in.A[[#This Row],[oo16]],"")</f>
        <v/>
      </c>
      <c r="AM799" s="133" t="str">
        <f>IF(Tab.o1[[#This Row],[a1]]=1,IF(AM$3=1,[1]!T.in.A[[#This Row],[Σo16]],""),"")</f>
        <v/>
      </c>
      <c r="AN799" s="126" t="str">
        <f>IF(Tab.o1[[#This Row],[a1]]=1,[1]!T.in.A[[#This Row],[Σp5]],"")</f>
        <v/>
      </c>
      <c r="AO799" s="126" t="str">
        <f>IF(Tab.o1[[#This Row],[a1]]=1,IF(AO$3=1,[1]!T.in.A[[#This Row],[Σp5]],""),"")</f>
        <v/>
      </c>
      <c r="AP799" s="110" t="str">
        <f>IF(Tab.o1[[#This Row],[a1]]=1,IF(ISNUMBER(Tab.o1[[#This Row],[i.]]),NORMDIST(Tab.o1[[#This Row],[Za]],0,1,FALSE)*Tab.o1[[#This Row],[i.]],0),"")</f>
        <v/>
      </c>
      <c r="AQ799" s="125" t="str">
        <f>IF(Tab.o1[[#This Row],[a1]]=1,ABS(Tab.o1[[#This Row],[MOD]]-AVERAGE(Tab.o1[MOD])),"")</f>
        <v/>
      </c>
      <c r="AR799" s="134" t="str">
        <f>IF(Tab.o1[[#This Row],[a1]]=1,Tab.o1[[#This Row],[OBS]]/SUM(Tab.o1[OBS]),"")</f>
        <v/>
      </c>
      <c r="AS799" s="135" t="str">
        <f>IF(ISNUMBER(Tab.o1[[#This Row],[a1]]),ROW()-4,"")</f>
        <v/>
      </c>
      <c r="AT799" s="136" t="str">
        <f>Tab.o1[[#This Row],[MOD]]</f>
        <v/>
      </c>
      <c r="AU799" s="137" t="str">
        <f t="shared" si="49"/>
        <v/>
      </c>
      <c r="AV799" s="138" t="str">
        <f t="shared" si="50"/>
        <v/>
      </c>
      <c r="AW799" s="138" t="str">
        <f t="shared" si="51"/>
        <v/>
      </c>
      <c r="AX799" s="139" t="str">
        <f>[1]!T.in.A[[#This Row],[ID_T_manu]]</f>
        <v/>
      </c>
      <c r="AY799" s="140" t="str">
        <f>IF(ISNUMBER(Tab.o1[[#This Row],[a1]]),IF(AND(Tab.o1[[#This Row],[a1]]=1,Tab.o1[[#This Row],[b1]]&lt;=AY$4),#REF!,AY798),"")</f>
        <v/>
      </c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6"/>
      <c r="BO799" s="26"/>
      <c r="BP799" s="26"/>
      <c r="BQ799" s="26"/>
      <c r="BR799" s="26"/>
      <c r="BS799" s="26"/>
      <c r="BT799" s="26"/>
      <c r="BU799" s="26"/>
      <c r="BV799" s="26"/>
      <c r="BW799" s="26"/>
      <c r="BX799" s="26"/>
      <c r="BY799" s="26"/>
      <c r="BZ799" s="26"/>
      <c r="CA799" s="26"/>
    </row>
    <row r="800" spans="1:79" s="143" customFormat="1" ht="15.75" hidden="1">
      <c r="A800" s="109">
        <v>1.0000000000000002E-6</v>
      </c>
      <c r="B800" s="110">
        <f t="shared" si="48"/>
        <v>800</v>
      </c>
      <c r="C800" s="111" t="str">
        <f>IF(C$1=[1]!T.in.A[[#This Row],[oo2]],1,"")</f>
        <v/>
      </c>
      <c r="D800" s="112" t="str">
        <f>IF(Tab.o1[[#This Row],[a1]]=1,IF(SUM(C800:C801)=0,0,IF(SUM(C799:C800)=1,1,IF(SUM(C799:C801)&gt;1,D799+1,0))),"")</f>
        <v/>
      </c>
      <c r="E800" s="113" t="str">
        <f>IF(Tab.o1[[#This Row],[a1]]=1,[1]!T.in.A[[#This Row],[oo1]],"")</f>
        <v/>
      </c>
      <c r="F800" s="113" t="str">
        <f>IF(Tab.o1[[#This Row],[a1]]=1,[1]!T.in.A[[#This Row],[pp1]],"")</f>
        <v/>
      </c>
      <c r="G800" s="114" t="str">
        <f>IF(Tab.o1[[#This Row],[a1]]=1,G$2+IF(G$1=1,0,Tab.o1[[#This Row],[.x1]])+[1]!T.in.A[[#This Row],[oo3]],"")</f>
        <v/>
      </c>
      <c r="H800" s="115" t="str">
        <f>IF(Tab.o1[[#This Row],[a1]]=1,IF(H$2=0,0,IF(G$1=1,0,Tab.o1[[#This Row],[.x1]])+[1]!T.in.A[[#This Row],[oo4]]),"")</f>
        <v/>
      </c>
      <c r="I800" s="116" t="str">
        <f>IF(Tab.o1[[#This Row],[a1]]=1,IF(J$2=0,Tab.o1[[#This Row],[MED]],Tab.o1[[#This Row],[MOD]]),"")</f>
        <v/>
      </c>
      <c r="J800" s="116" t="str">
        <f>IF(Tab.o1[[#This Row],[a1]]=1,((Tab.o1[[#This Row],[DIF_Target.]]-AVERAGE(Tab.o1[DIF_Target.]))/_xlfn.STDEV.P(Tab.o1[DIF_Target.])),"")</f>
        <v/>
      </c>
      <c r="K800" s="117" t="str">
        <f>IF(Tab.o1[[#This Row],[a1]]=1,IF(J$2=0,Tab.o1[[#This Row],[MOD]]-Tab.o1[[#This Row],[B]],IF(J$2=1,0,-Tab.o1[[#This Row],[MED]])+Tab.o1[[#This Row],[B]]),"")</f>
        <v/>
      </c>
      <c r="L800" s="117" t="str">
        <f ca="1">IF(Tab.o1[[#This Row],[DIF_Target]]=0,IF(L$2=0,Tab.o1[[#This Row],[DIF_Target]],AVERAGE(OFFSET(Tab.o1[[#This Row],[DIF_Target]],1,0,L$3,1)))/3,Tab.o1[[#This Row],[DIF_Target]])</f>
        <v/>
      </c>
      <c r="M800" s="118" t="str">
        <f>IF(Tab.o1[[#This Row],[a1]]=1,NORMSDIST(Tab.o1[[#This Row],[Za]]),"")</f>
        <v/>
      </c>
      <c r="N800" s="119" t="str">
        <f>IF(Tab.o1[[#This Row],[a1]]=1,((Tab.o1[[#This Row],[MedMod]]-AVERAGE(Tab.o1[MedMod]))/_xlfn.STDEV.P(Tab.o1[MedMod])*H$1205)+G$1205,"")</f>
        <v/>
      </c>
      <c r="O800" s="141" t="str">
        <f>IF(Tab.o1[[#This Row],[a1]]=1,Tab.o1[[#This Row],[Zb]]*_xlfn.STDEV.P(Tab.o1[MedMod])+AVERAGE(Tab.o1[MedMod]),"")</f>
        <v/>
      </c>
      <c r="P800" s="117" t="str">
        <f ca="1">IF(Tab.o1[[#This Row],[B]]=0,AVERAGE(OFFSET(Tab.o1[[#This Row],[B]],1,0,L$3,1)),Tab.o1[[#This Row],[B]])</f>
        <v/>
      </c>
      <c r="Q800" s="121" t="str">
        <f>IF(Tab.o1[[#This Row],[a1]]=1,NORMSDIST(Tab.o1[[#This Row],[Zb]]),"")</f>
        <v/>
      </c>
      <c r="R800" s="122" t="str">
        <f>IF(Tab.o1[[#This Row],[a1]]=1,((Tab.o1[[#This Row],[MedMod]]-AVERAGE(Tab.o1[MedMod]))/_xlfn.STDEV.P(Tab.o1[MedMod])*H$1203)+G$1203,"")</f>
        <v/>
      </c>
      <c r="S800" s="122" t="str">
        <f>IF(Tab.o1[[#This Row],[a1]]=1,((Tab.o1[[#This Row],[MedMod]]-AVERAGE(Tab.o1[MedMod]))/_xlfn.STDEV.P(Tab.o1[MedMod])*H$1204)+G$1204,"")</f>
        <v/>
      </c>
      <c r="T800" s="123" t="str">
        <f>IF(Tab.o1[[#This Row],[a1]]=1,Tab.o1[[#This Row],[Z-]]*_xlfn.STDEV.P(Tab.o1[B])+AVERAGE(Tab.o1[B]),"")</f>
        <v/>
      </c>
      <c r="U800" s="123" t="str">
        <f>IF(Tab.o1[[#This Row],[a1]]=1,Tab.o1[[#This Row],[z+]]*_xlfn.STDEV.P(Tab.o1[B])+AVERAGE(Tab.o1[B]),"")</f>
        <v/>
      </c>
      <c r="V800" s="124" t="str">
        <f>IF(Tab.o1[[#This Row],[a1]]=1,ABS((ABS(Tab.o1[[#This Row],[Red]]-Tab.o1[[#This Row],[Blue]]))),"")</f>
        <v/>
      </c>
      <c r="W800" s="125" t="str">
        <f>IF(Tab.o1[[#This Row],[a1]]=1,IF(W$3=0,1,Tab.o1[[#This Row],[Amp.]]*1/_xlfn.MINIFS(Tab.o1[Amp.],Tab.o1[Amp.],"&lt;&gt;0")),"")</f>
        <v/>
      </c>
      <c r="X800" s="126" t="str">
        <f>IF(Tab.o1[[#This Row],[a1]]=1,IF(ISNUMBER(Tab.o1[[#This Row],[i.]]),NORMDIST(Tab.o1[[#This Row],[Za]],0,1,FALSE)*Tab.o1[[#This Row],[i.]],AP$3),"")</f>
        <v/>
      </c>
      <c r="Y800" s="126" t="str">
        <f>IF(Tab.o1[[#This Row],[a1]]=1,0.01+0.94*Tab.o1[[#This Row],[PDF]]/MAX(Tab.o1[PDF]),"")</f>
        <v/>
      </c>
      <c r="Z800" s="126" t="str">
        <f>IF(Tab.o1[[#This Row],[a1]]=1,0.01+0.94*Tab.o1[[#This Row],[W1_PDF]]/MAX(Tab.o1[W1_PDF]),"")</f>
        <v/>
      </c>
      <c r="AA800" s="118" t="str">
        <f>IF(Tab.o1[[#This Row],[a1]]=1,ABS([1]!T.in.A[[#This Row],[oo6]]),"")</f>
        <v/>
      </c>
      <c r="AB800" s="127" t="str">
        <f>IF(Tab.o1[[#This Row],[a1]]=1,IF(AE$3=0,"",IF(AB$3=0,ABS([1]!T.in.A[[#This Row],[oo9]]),ABS(Tab.o1[[#This Row],[DIF_Target.]]*Tab.o1[[#This Row],[W1_PDF]]))),"")</f>
        <v/>
      </c>
      <c r="AC800" s="127" t="str">
        <f>IF(G$1=1,"",IF(Tab.o1[[#This Row],[a1]]=1,Tab.o1[[#This Row],[Wr]]^2,""))</f>
        <v/>
      </c>
      <c r="AD800" s="118" t="str">
        <f>IF(Tab.o1[[#This Row],[a1]]=1,IF(AE$3=0,"",Tab.o1[[#This Row],[Wr2]]/SUM(Tab.o1[Wr2])),"")</f>
        <v/>
      </c>
      <c r="AE800" s="128" t="str">
        <f>IF(Tab.o1[[#This Row],[a1]]=1,[1]!T.in.A[[#This Row],[oo10]],"")</f>
        <v/>
      </c>
      <c r="AF800" s="118" t="str">
        <f>IF(Tab.o1[[#This Row],[a1]]=1,ABS(Tab.o1[[#This Row],[DIF_Target.]]*Tab.o1[[#This Row],[PDF2]]*Tab.o1[[#This Row],[IN]]),"")</f>
        <v/>
      </c>
      <c r="AG800" s="129" t="str">
        <f>IF(Tab.o1[[#This Row],[a1]]=1,Tab.o1[[#This Row],[rW]]^2,"")</f>
        <v/>
      </c>
      <c r="AH800" s="130" t="str">
        <f>IF(Tab.o1[[#This Row],[a1]]=1,IF(AH$3=0,Tab.o1[[#This Row],[rW2]],0.01+0.94*Tab.o1[[#This Row],[rW2]]/SUM(Tab.o1[rW2])),"")</f>
        <v/>
      </c>
      <c r="AI800" s="128" t="str">
        <f>IF(Tab.o1[[#This Row],[a1]]=1,1/Tab.o1[[#This Row],[PDF]],"")</f>
        <v/>
      </c>
      <c r="AJ800" s="131" t="str">
        <f>IF(Tab.o1[[#This Row],[a1]]=1,[1]!T_AA[[#This Row],[IN'']]*[1]!T_AA[[#This Row],[Qde'']],"")</f>
        <v/>
      </c>
      <c r="AK800" s="132" t="str">
        <f>IF(Tab.o1[[#This Row],[a1]]=1,IF(AK$1=1,Tab.o1[[#This Row],[MED]]+Tab.o1[[#This Row],[MOD]]-Tab.o1[[#This Row],[MED]],""),"")</f>
        <v/>
      </c>
      <c r="AL800" s="133" t="str">
        <f>IF(Tab.o1[[#This Row],[a1]]=1,[1]!T.in.A[[#This Row],[oo16]],"")</f>
        <v/>
      </c>
      <c r="AM800" s="133" t="str">
        <f>IF(Tab.o1[[#This Row],[a1]]=1,IF(AM$3=1,[1]!T.in.A[[#This Row],[Σo16]],""),"")</f>
        <v/>
      </c>
      <c r="AN800" s="126" t="str">
        <f>IF(Tab.o1[[#This Row],[a1]]=1,[1]!T.in.A[[#This Row],[Σp5]],"")</f>
        <v/>
      </c>
      <c r="AO800" s="126" t="str">
        <f>IF(Tab.o1[[#This Row],[a1]]=1,IF(AO$3=1,[1]!T.in.A[[#This Row],[Σp5]],""),"")</f>
        <v/>
      </c>
      <c r="AP800" s="110" t="str">
        <f>IF(Tab.o1[[#This Row],[a1]]=1,IF(ISNUMBER(Tab.o1[[#This Row],[i.]]),NORMDIST(Tab.o1[[#This Row],[Za]],0,1,FALSE)*Tab.o1[[#This Row],[i.]],0),"")</f>
        <v/>
      </c>
      <c r="AQ800" s="125" t="str">
        <f>IF(Tab.o1[[#This Row],[a1]]=1,ABS(Tab.o1[[#This Row],[MOD]]-AVERAGE(Tab.o1[MOD])),"")</f>
        <v/>
      </c>
      <c r="AR800" s="134" t="str">
        <f>IF(Tab.o1[[#This Row],[a1]]=1,Tab.o1[[#This Row],[OBS]]/SUM(Tab.o1[OBS]),"")</f>
        <v/>
      </c>
      <c r="AS800" s="135" t="str">
        <f>IF(ISNUMBER(Tab.o1[[#This Row],[a1]]),ROW()-4,"")</f>
        <v/>
      </c>
      <c r="AT800" s="136" t="str">
        <f>Tab.o1[[#This Row],[MOD]]</f>
        <v/>
      </c>
      <c r="AU800" s="137" t="str">
        <f t="shared" si="49"/>
        <v/>
      </c>
      <c r="AV800" s="138" t="str">
        <f t="shared" si="50"/>
        <v/>
      </c>
      <c r="AW800" s="138" t="str">
        <f t="shared" si="51"/>
        <v/>
      </c>
      <c r="AX800" s="139" t="str">
        <f>[1]!T.in.A[[#This Row],[ID_T_manu]]</f>
        <v/>
      </c>
      <c r="AY800" s="140" t="str">
        <f>IF(ISNUMBER(Tab.o1[[#This Row],[a1]]),IF(AND(Tab.o1[[#This Row],[a1]]=1,Tab.o1[[#This Row],[b1]]&lt;=AY$4),#REF!,AY799),"")</f>
        <v/>
      </c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6"/>
      <c r="BO800" s="26"/>
      <c r="BP800" s="26"/>
      <c r="BQ800" s="26"/>
      <c r="BR800" s="26"/>
      <c r="BS800" s="26"/>
      <c r="BT800" s="26"/>
      <c r="BU800" s="26"/>
      <c r="BV800" s="26"/>
      <c r="BW800" s="26"/>
      <c r="BX800" s="26"/>
      <c r="BY800" s="26"/>
      <c r="BZ800" s="26"/>
      <c r="CA800" s="26"/>
    </row>
    <row r="801" spans="1:79" s="143" customFormat="1" ht="15.75" hidden="1">
      <c r="A801" s="109">
        <v>1.0000000000000002E-6</v>
      </c>
      <c r="B801" s="110">
        <f t="shared" si="48"/>
        <v>801</v>
      </c>
      <c r="C801" s="111" t="str">
        <f>IF(C$1=[1]!T.in.A[[#This Row],[oo2]],1,"")</f>
        <v/>
      </c>
      <c r="D801" s="112" t="str">
        <f>IF(Tab.o1[[#This Row],[a1]]=1,IF(SUM(C801:C802)=0,0,IF(SUM(C800:C801)=1,1,IF(SUM(C800:C802)&gt;1,D800+1,0))),"")</f>
        <v/>
      </c>
      <c r="E801" s="113" t="str">
        <f>IF(Tab.o1[[#This Row],[a1]]=1,[1]!T.in.A[[#This Row],[oo1]],"")</f>
        <v/>
      </c>
      <c r="F801" s="113" t="str">
        <f>IF(Tab.o1[[#This Row],[a1]]=1,[1]!T.in.A[[#This Row],[pp1]],"")</f>
        <v/>
      </c>
      <c r="G801" s="114" t="str">
        <f>IF(Tab.o1[[#This Row],[a1]]=1,G$2+IF(G$1=1,0,Tab.o1[[#This Row],[.x1]])+[1]!T.in.A[[#This Row],[oo3]],"")</f>
        <v/>
      </c>
      <c r="H801" s="115" t="str">
        <f>IF(Tab.o1[[#This Row],[a1]]=1,IF(H$2=0,0,IF(G$1=1,0,Tab.o1[[#This Row],[.x1]])+[1]!T.in.A[[#This Row],[oo4]]),"")</f>
        <v/>
      </c>
      <c r="I801" s="116" t="str">
        <f>IF(Tab.o1[[#This Row],[a1]]=1,IF(J$2=0,Tab.o1[[#This Row],[MED]],Tab.o1[[#This Row],[MOD]]),"")</f>
        <v/>
      </c>
      <c r="J801" s="116" t="str">
        <f>IF(Tab.o1[[#This Row],[a1]]=1,((Tab.o1[[#This Row],[DIF_Target.]]-AVERAGE(Tab.o1[DIF_Target.]))/_xlfn.STDEV.P(Tab.o1[DIF_Target.])),"")</f>
        <v/>
      </c>
      <c r="K801" s="117" t="str">
        <f>IF(Tab.o1[[#This Row],[a1]]=1,IF(J$2=0,Tab.o1[[#This Row],[MOD]]-Tab.o1[[#This Row],[B]],IF(J$2=1,0,-Tab.o1[[#This Row],[MED]])+Tab.o1[[#This Row],[B]]),"")</f>
        <v/>
      </c>
      <c r="L801" s="117" t="str">
        <f ca="1">IF(Tab.o1[[#This Row],[DIF_Target]]=0,IF(L$2=0,Tab.o1[[#This Row],[DIF_Target]],AVERAGE(OFFSET(Tab.o1[[#This Row],[DIF_Target]],1,0,L$3,1)))/3,Tab.o1[[#This Row],[DIF_Target]])</f>
        <v/>
      </c>
      <c r="M801" s="118" t="str">
        <f>IF(Tab.o1[[#This Row],[a1]]=1,NORMSDIST(Tab.o1[[#This Row],[Za]]),"")</f>
        <v/>
      </c>
      <c r="N801" s="119" t="str">
        <f>IF(Tab.o1[[#This Row],[a1]]=1,((Tab.o1[[#This Row],[MedMod]]-AVERAGE(Tab.o1[MedMod]))/_xlfn.STDEV.P(Tab.o1[MedMod])*H$1205)+G$1205,"")</f>
        <v/>
      </c>
      <c r="O801" s="141" t="str">
        <f>IF(Tab.o1[[#This Row],[a1]]=1,Tab.o1[[#This Row],[Zb]]*_xlfn.STDEV.P(Tab.o1[MedMod])+AVERAGE(Tab.o1[MedMod]),"")</f>
        <v/>
      </c>
      <c r="P801" s="117" t="str">
        <f ca="1">IF(Tab.o1[[#This Row],[B]]=0,AVERAGE(OFFSET(Tab.o1[[#This Row],[B]],1,0,L$3,1)),Tab.o1[[#This Row],[B]])</f>
        <v/>
      </c>
      <c r="Q801" s="121" t="str">
        <f>IF(Tab.o1[[#This Row],[a1]]=1,NORMSDIST(Tab.o1[[#This Row],[Zb]]),"")</f>
        <v/>
      </c>
      <c r="R801" s="122" t="str">
        <f>IF(Tab.o1[[#This Row],[a1]]=1,((Tab.o1[[#This Row],[MedMod]]-AVERAGE(Tab.o1[MedMod]))/_xlfn.STDEV.P(Tab.o1[MedMod])*H$1203)+G$1203,"")</f>
        <v/>
      </c>
      <c r="S801" s="122" t="str">
        <f>IF(Tab.o1[[#This Row],[a1]]=1,((Tab.o1[[#This Row],[MedMod]]-AVERAGE(Tab.o1[MedMod]))/_xlfn.STDEV.P(Tab.o1[MedMod])*H$1204)+G$1204,"")</f>
        <v/>
      </c>
      <c r="T801" s="123" t="str">
        <f>IF(Tab.o1[[#This Row],[a1]]=1,Tab.o1[[#This Row],[Z-]]*_xlfn.STDEV.P(Tab.o1[B])+AVERAGE(Tab.o1[B]),"")</f>
        <v/>
      </c>
      <c r="U801" s="123" t="str">
        <f>IF(Tab.o1[[#This Row],[a1]]=1,Tab.o1[[#This Row],[z+]]*_xlfn.STDEV.P(Tab.o1[B])+AVERAGE(Tab.o1[B]),"")</f>
        <v/>
      </c>
      <c r="V801" s="124" t="str">
        <f>IF(Tab.o1[[#This Row],[a1]]=1,ABS((ABS(Tab.o1[[#This Row],[Red]]-Tab.o1[[#This Row],[Blue]]))),"")</f>
        <v/>
      </c>
      <c r="W801" s="125" t="str">
        <f>IF(Tab.o1[[#This Row],[a1]]=1,IF(W$3=0,1,Tab.o1[[#This Row],[Amp.]]*1/_xlfn.MINIFS(Tab.o1[Amp.],Tab.o1[Amp.],"&lt;&gt;0")),"")</f>
        <v/>
      </c>
      <c r="X801" s="126" t="str">
        <f>IF(Tab.o1[[#This Row],[a1]]=1,IF(ISNUMBER(Tab.o1[[#This Row],[i.]]),NORMDIST(Tab.o1[[#This Row],[Za]],0,1,FALSE)*Tab.o1[[#This Row],[i.]],AP$3),"")</f>
        <v/>
      </c>
      <c r="Y801" s="126" t="str">
        <f>IF(Tab.o1[[#This Row],[a1]]=1,0.01+0.94*Tab.o1[[#This Row],[PDF]]/MAX(Tab.o1[PDF]),"")</f>
        <v/>
      </c>
      <c r="Z801" s="126" t="str">
        <f>IF(Tab.o1[[#This Row],[a1]]=1,0.01+0.94*Tab.o1[[#This Row],[W1_PDF]]/MAX(Tab.o1[W1_PDF]),"")</f>
        <v/>
      </c>
      <c r="AA801" s="118" t="str">
        <f>IF(Tab.o1[[#This Row],[a1]]=1,ABS([1]!T.in.A[[#This Row],[oo6]]),"")</f>
        <v/>
      </c>
      <c r="AB801" s="127" t="str">
        <f>IF(Tab.o1[[#This Row],[a1]]=1,IF(AE$3=0,"",IF(AB$3=0,ABS([1]!T.in.A[[#This Row],[oo9]]),ABS(Tab.o1[[#This Row],[DIF_Target.]]*Tab.o1[[#This Row],[W1_PDF]]))),"")</f>
        <v/>
      </c>
      <c r="AC801" s="127" t="str">
        <f>IF(G$1=1,"",IF(Tab.o1[[#This Row],[a1]]=1,Tab.o1[[#This Row],[Wr]]^2,""))</f>
        <v/>
      </c>
      <c r="AD801" s="118" t="str">
        <f>IF(Tab.o1[[#This Row],[a1]]=1,IF(AE$3=0,"",Tab.o1[[#This Row],[Wr2]]/SUM(Tab.o1[Wr2])),"")</f>
        <v/>
      </c>
      <c r="AE801" s="128" t="str">
        <f>IF(Tab.o1[[#This Row],[a1]]=1,[1]!T.in.A[[#This Row],[oo10]],"")</f>
        <v/>
      </c>
      <c r="AF801" s="118" t="str">
        <f>IF(Tab.o1[[#This Row],[a1]]=1,ABS(Tab.o1[[#This Row],[DIF_Target.]]*Tab.o1[[#This Row],[PDF2]]*Tab.o1[[#This Row],[IN]]),"")</f>
        <v/>
      </c>
      <c r="AG801" s="129" t="str">
        <f>IF(Tab.o1[[#This Row],[a1]]=1,Tab.o1[[#This Row],[rW]]^2,"")</f>
        <v/>
      </c>
      <c r="AH801" s="130" t="str">
        <f>IF(Tab.o1[[#This Row],[a1]]=1,IF(AH$3=0,Tab.o1[[#This Row],[rW2]],0.01+0.94*Tab.o1[[#This Row],[rW2]]/SUM(Tab.o1[rW2])),"")</f>
        <v/>
      </c>
      <c r="AI801" s="128" t="str">
        <f>IF(Tab.o1[[#This Row],[a1]]=1,1/Tab.o1[[#This Row],[PDF]],"")</f>
        <v/>
      </c>
      <c r="AJ801" s="131" t="str">
        <f>IF(Tab.o1[[#This Row],[a1]]=1,[1]!T_AA[[#This Row],[IN'']]*[1]!T_AA[[#This Row],[Qde'']],"")</f>
        <v/>
      </c>
      <c r="AK801" s="132" t="str">
        <f>IF(Tab.o1[[#This Row],[a1]]=1,IF(AK$1=1,Tab.o1[[#This Row],[MED]]+Tab.o1[[#This Row],[MOD]]-Tab.o1[[#This Row],[MED]],""),"")</f>
        <v/>
      </c>
      <c r="AL801" s="133" t="str">
        <f>IF(Tab.o1[[#This Row],[a1]]=1,[1]!T.in.A[[#This Row],[oo16]],"")</f>
        <v/>
      </c>
      <c r="AM801" s="133" t="str">
        <f>IF(Tab.o1[[#This Row],[a1]]=1,IF(AM$3=1,[1]!T.in.A[[#This Row],[Σo16]],""),"")</f>
        <v/>
      </c>
      <c r="AN801" s="126" t="str">
        <f>IF(Tab.o1[[#This Row],[a1]]=1,[1]!T.in.A[[#This Row],[Σp5]],"")</f>
        <v/>
      </c>
      <c r="AO801" s="126" t="str">
        <f>IF(Tab.o1[[#This Row],[a1]]=1,IF(AO$3=1,[1]!T.in.A[[#This Row],[Σp5]],""),"")</f>
        <v/>
      </c>
      <c r="AP801" s="110" t="str">
        <f>IF(Tab.o1[[#This Row],[a1]]=1,IF(ISNUMBER(Tab.o1[[#This Row],[i.]]),NORMDIST(Tab.o1[[#This Row],[Za]],0,1,FALSE)*Tab.o1[[#This Row],[i.]],0),"")</f>
        <v/>
      </c>
      <c r="AQ801" s="125" t="str">
        <f>IF(Tab.o1[[#This Row],[a1]]=1,ABS(Tab.o1[[#This Row],[MOD]]-AVERAGE(Tab.o1[MOD])),"")</f>
        <v/>
      </c>
      <c r="AR801" s="134" t="str">
        <f>IF(Tab.o1[[#This Row],[a1]]=1,Tab.o1[[#This Row],[OBS]]/SUM(Tab.o1[OBS]),"")</f>
        <v/>
      </c>
      <c r="AS801" s="135" t="str">
        <f>IF(ISNUMBER(Tab.o1[[#This Row],[a1]]),ROW()-4,"")</f>
        <v/>
      </c>
      <c r="AT801" s="136" t="str">
        <f>Tab.o1[[#This Row],[MOD]]</f>
        <v/>
      </c>
      <c r="AU801" s="137" t="str">
        <f t="shared" si="49"/>
        <v/>
      </c>
      <c r="AV801" s="138" t="str">
        <f t="shared" si="50"/>
        <v/>
      </c>
      <c r="AW801" s="138" t="str">
        <f t="shared" si="51"/>
        <v/>
      </c>
      <c r="AX801" s="139" t="str">
        <f>[1]!T.in.A[[#This Row],[ID_T_manu]]</f>
        <v/>
      </c>
      <c r="AY801" s="140" t="str">
        <f>IF(ISNUMBER(Tab.o1[[#This Row],[a1]]),IF(AND(Tab.o1[[#This Row],[a1]]=1,Tab.o1[[#This Row],[b1]]&lt;=AY$4),#REF!,AY800),"")</f>
        <v/>
      </c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6"/>
      <c r="BO801" s="26"/>
      <c r="BP801" s="26"/>
      <c r="BQ801" s="26"/>
      <c r="BR801" s="26"/>
      <c r="BS801" s="26"/>
      <c r="BT801" s="26"/>
      <c r="BU801" s="26"/>
      <c r="BV801" s="26"/>
      <c r="BW801" s="26"/>
      <c r="BX801" s="26"/>
      <c r="BY801" s="26"/>
      <c r="BZ801" s="26"/>
      <c r="CA801" s="26"/>
    </row>
    <row r="802" spans="1:79" s="143" customFormat="1" ht="15.75" hidden="1">
      <c r="A802" s="109">
        <v>-8.0000000000000013E-6</v>
      </c>
      <c r="B802" s="110">
        <f t="shared" si="48"/>
        <v>802</v>
      </c>
      <c r="C802" s="111" t="str">
        <f>IF(C$1=[1]!T.in.A[[#This Row],[oo2]],1,"")</f>
        <v/>
      </c>
      <c r="D802" s="112" t="str">
        <f>IF(Tab.o1[[#This Row],[a1]]=1,IF(SUM(C802:C803)=0,0,IF(SUM(C801:C802)=1,1,IF(SUM(C801:C803)&gt;1,D801+1,0))),"")</f>
        <v/>
      </c>
      <c r="E802" s="113" t="str">
        <f>IF(Tab.o1[[#This Row],[a1]]=1,[1]!T.in.A[[#This Row],[oo1]],"")</f>
        <v/>
      </c>
      <c r="F802" s="113" t="str">
        <f>IF(Tab.o1[[#This Row],[a1]]=1,[1]!T.in.A[[#This Row],[pp1]],"")</f>
        <v/>
      </c>
      <c r="G802" s="114" t="str">
        <f>IF(Tab.o1[[#This Row],[a1]]=1,G$2+IF(G$1=1,0,Tab.o1[[#This Row],[.x1]])+[1]!T.in.A[[#This Row],[oo3]],"")</f>
        <v/>
      </c>
      <c r="H802" s="115" t="str">
        <f>IF(Tab.o1[[#This Row],[a1]]=1,IF(H$2=0,0,IF(G$1=1,0,Tab.o1[[#This Row],[.x1]])+[1]!T.in.A[[#This Row],[oo4]]),"")</f>
        <v/>
      </c>
      <c r="I802" s="116" t="str">
        <f>IF(Tab.o1[[#This Row],[a1]]=1,IF(J$2=0,Tab.o1[[#This Row],[MED]],Tab.o1[[#This Row],[MOD]]),"")</f>
        <v/>
      </c>
      <c r="J802" s="116" t="str">
        <f>IF(Tab.o1[[#This Row],[a1]]=1,((Tab.o1[[#This Row],[DIF_Target.]]-AVERAGE(Tab.o1[DIF_Target.]))/_xlfn.STDEV.P(Tab.o1[DIF_Target.])),"")</f>
        <v/>
      </c>
      <c r="K802" s="117" t="str">
        <f>IF(Tab.o1[[#This Row],[a1]]=1,IF(J$2=0,Tab.o1[[#This Row],[MOD]]-Tab.o1[[#This Row],[B]],IF(J$2=1,0,-Tab.o1[[#This Row],[MED]])+Tab.o1[[#This Row],[B]]),"")</f>
        <v/>
      </c>
      <c r="L802" s="117" t="str">
        <f ca="1">IF(Tab.o1[[#This Row],[DIF_Target]]=0,IF(L$2=0,Tab.o1[[#This Row],[DIF_Target]],AVERAGE(OFFSET(Tab.o1[[#This Row],[DIF_Target]],1,0,L$3,1)))/3,Tab.o1[[#This Row],[DIF_Target]])</f>
        <v/>
      </c>
      <c r="M802" s="118" t="str">
        <f>IF(Tab.o1[[#This Row],[a1]]=1,NORMSDIST(Tab.o1[[#This Row],[Za]]),"")</f>
        <v/>
      </c>
      <c r="N802" s="119" t="str">
        <f>IF(Tab.o1[[#This Row],[a1]]=1,((Tab.o1[[#This Row],[MedMod]]-AVERAGE(Tab.o1[MedMod]))/_xlfn.STDEV.P(Tab.o1[MedMod])*H$1205)+G$1205,"")</f>
        <v/>
      </c>
      <c r="O802" s="141" t="str">
        <f>IF(Tab.o1[[#This Row],[a1]]=1,Tab.o1[[#This Row],[Zb]]*_xlfn.STDEV.P(Tab.o1[MedMod])+AVERAGE(Tab.o1[MedMod]),"")</f>
        <v/>
      </c>
      <c r="P802" s="117" t="str">
        <f ca="1">IF(Tab.o1[[#This Row],[B]]=0,AVERAGE(OFFSET(Tab.o1[[#This Row],[B]],1,0,L$3,1)),Tab.o1[[#This Row],[B]])</f>
        <v/>
      </c>
      <c r="Q802" s="121" t="str">
        <f>IF(Tab.o1[[#This Row],[a1]]=1,NORMSDIST(Tab.o1[[#This Row],[Zb]]),"")</f>
        <v/>
      </c>
      <c r="R802" s="122" t="str">
        <f>IF(Tab.o1[[#This Row],[a1]]=1,((Tab.o1[[#This Row],[MedMod]]-AVERAGE(Tab.o1[MedMod]))/_xlfn.STDEV.P(Tab.o1[MedMod])*H$1203)+G$1203,"")</f>
        <v/>
      </c>
      <c r="S802" s="122" t="str">
        <f>IF(Tab.o1[[#This Row],[a1]]=1,((Tab.o1[[#This Row],[MedMod]]-AVERAGE(Tab.o1[MedMod]))/_xlfn.STDEV.P(Tab.o1[MedMod])*H$1204)+G$1204,"")</f>
        <v/>
      </c>
      <c r="T802" s="123" t="str">
        <f>IF(Tab.o1[[#This Row],[a1]]=1,Tab.o1[[#This Row],[Z-]]*_xlfn.STDEV.P(Tab.o1[B])+AVERAGE(Tab.o1[B]),"")</f>
        <v/>
      </c>
      <c r="U802" s="123" t="str">
        <f>IF(Tab.o1[[#This Row],[a1]]=1,Tab.o1[[#This Row],[z+]]*_xlfn.STDEV.P(Tab.o1[B])+AVERAGE(Tab.o1[B]),"")</f>
        <v/>
      </c>
      <c r="V802" s="124" t="str">
        <f>IF(Tab.o1[[#This Row],[a1]]=1,ABS((ABS(Tab.o1[[#This Row],[Red]]-Tab.o1[[#This Row],[Blue]]))),"")</f>
        <v/>
      </c>
      <c r="W802" s="125" t="str">
        <f>IF(Tab.o1[[#This Row],[a1]]=1,IF(W$3=0,1,Tab.o1[[#This Row],[Amp.]]*1/_xlfn.MINIFS(Tab.o1[Amp.],Tab.o1[Amp.],"&lt;&gt;0")),"")</f>
        <v/>
      </c>
      <c r="X802" s="126" t="str">
        <f>IF(Tab.o1[[#This Row],[a1]]=1,IF(ISNUMBER(Tab.o1[[#This Row],[i.]]),NORMDIST(Tab.o1[[#This Row],[Za]],0,1,FALSE)*Tab.o1[[#This Row],[i.]],AP$3),"")</f>
        <v/>
      </c>
      <c r="Y802" s="126" t="str">
        <f>IF(Tab.o1[[#This Row],[a1]]=1,0.01+0.94*Tab.o1[[#This Row],[PDF]]/MAX(Tab.o1[PDF]),"")</f>
        <v/>
      </c>
      <c r="Z802" s="126" t="str">
        <f>IF(Tab.o1[[#This Row],[a1]]=1,0.01+0.94*Tab.o1[[#This Row],[W1_PDF]]/MAX(Tab.o1[W1_PDF]),"")</f>
        <v/>
      </c>
      <c r="AA802" s="118" t="str">
        <f>IF(Tab.o1[[#This Row],[a1]]=1,ABS([1]!T.in.A[[#This Row],[oo6]]),"")</f>
        <v/>
      </c>
      <c r="AB802" s="127" t="str">
        <f>IF(Tab.o1[[#This Row],[a1]]=1,IF(AE$3=0,"",IF(AB$3=0,ABS([1]!T.in.A[[#This Row],[oo9]]),ABS(Tab.o1[[#This Row],[DIF_Target.]]*Tab.o1[[#This Row],[W1_PDF]]))),"")</f>
        <v/>
      </c>
      <c r="AC802" s="127" t="str">
        <f>IF(G$1=1,"",IF(Tab.o1[[#This Row],[a1]]=1,Tab.o1[[#This Row],[Wr]]^2,""))</f>
        <v/>
      </c>
      <c r="AD802" s="118" t="str">
        <f>IF(Tab.o1[[#This Row],[a1]]=1,IF(AE$3=0,"",Tab.o1[[#This Row],[Wr2]]/SUM(Tab.o1[Wr2])),"")</f>
        <v/>
      </c>
      <c r="AE802" s="128" t="str">
        <f>IF(Tab.o1[[#This Row],[a1]]=1,[1]!T.in.A[[#This Row],[oo10]],"")</f>
        <v/>
      </c>
      <c r="AF802" s="118" t="str">
        <f>IF(Tab.o1[[#This Row],[a1]]=1,ABS(Tab.o1[[#This Row],[DIF_Target.]]*Tab.o1[[#This Row],[PDF2]]*Tab.o1[[#This Row],[IN]]),"")</f>
        <v/>
      </c>
      <c r="AG802" s="129" t="str">
        <f>IF(Tab.o1[[#This Row],[a1]]=1,Tab.o1[[#This Row],[rW]]^2,"")</f>
        <v/>
      </c>
      <c r="AH802" s="130" t="str">
        <f>IF(Tab.o1[[#This Row],[a1]]=1,IF(AH$3=0,Tab.o1[[#This Row],[rW2]],0.01+0.94*Tab.o1[[#This Row],[rW2]]/SUM(Tab.o1[rW2])),"")</f>
        <v/>
      </c>
      <c r="AI802" s="128" t="str">
        <f>IF(Tab.o1[[#This Row],[a1]]=1,1/Tab.o1[[#This Row],[PDF]],"")</f>
        <v/>
      </c>
      <c r="AJ802" s="131" t="str">
        <f>IF(Tab.o1[[#This Row],[a1]]=1,[1]!T_AA[[#This Row],[IN'']]*[1]!T_AA[[#This Row],[Qde'']],"")</f>
        <v/>
      </c>
      <c r="AK802" s="132" t="str">
        <f>IF(Tab.o1[[#This Row],[a1]]=1,IF(AK$1=1,Tab.o1[[#This Row],[MED]]+Tab.o1[[#This Row],[MOD]]-Tab.o1[[#This Row],[MED]],""),"")</f>
        <v/>
      </c>
      <c r="AL802" s="133" t="str">
        <f>IF(Tab.o1[[#This Row],[a1]]=1,[1]!T.in.A[[#This Row],[oo16]],"")</f>
        <v/>
      </c>
      <c r="AM802" s="133" t="str">
        <f>IF(Tab.o1[[#This Row],[a1]]=1,IF(AM$3=1,[1]!T.in.A[[#This Row],[Σo16]],""),"")</f>
        <v/>
      </c>
      <c r="AN802" s="126" t="str">
        <f>IF(Tab.o1[[#This Row],[a1]]=1,[1]!T.in.A[[#This Row],[Σp5]],"")</f>
        <v/>
      </c>
      <c r="AO802" s="126" t="str">
        <f>IF(Tab.o1[[#This Row],[a1]]=1,IF(AO$3=1,[1]!T.in.A[[#This Row],[Σp5]],""),"")</f>
        <v/>
      </c>
      <c r="AP802" s="110" t="str">
        <f>IF(Tab.o1[[#This Row],[a1]]=1,IF(ISNUMBER(Tab.o1[[#This Row],[i.]]),NORMDIST(Tab.o1[[#This Row],[Za]],0,1,FALSE)*Tab.o1[[#This Row],[i.]],0),"")</f>
        <v/>
      </c>
      <c r="AQ802" s="125" t="str">
        <f>IF(Tab.o1[[#This Row],[a1]]=1,ABS(Tab.o1[[#This Row],[MOD]]-AVERAGE(Tab.o1[MOD])),"")</f>
        <v/>
      </c>
      <c r="AR802" s="134" t="str">
        <f>IF(Tab.o1[[#This Row],[a1]]=1,Tab.o1[[#This Row],[OBS]]/SUM(Tab.o1[OBS]),"")</f>
        <v/>
      </c>
      <c r="AS802" s="135" t="str">
        <f>IF(ISNUMBER(Tab.o1[[#This Row],[a1]]),ROW()-4,"")</f>
        <v/>
      </c>
      <c r="AT802" s="136" t="str">
        <f>Tab.o1[[#This Row],[MOD]]</f>
        <v/>
      </c>
      <c r="AU802" s="137" t="str">
        <f t="shared" si="49"/>
        <v/>
      </c>
      <c r="AV802" s="138" t="str">
        <f t="shared" si="50"/>
        <v/>
      </c>
      <c r="AW802" s="138" t="str">
        <f t="shared" si="51"/>
        <v/>
      </c>
      <c r="AX802" s="139" t="str">
        <f>[1]!T.in.A[[#This Row],[ID_T_manu]]</f>
        <v/>
      </c>
      <c r="AY802" s="140" t="str">
        <f>IF(ISNUMBER(Tab.o1[[#This Row],[a1]]),IF(AND(Tab.o1[[#This Row],[a1]]=1,Tab.o1[[#This Row],[b1]]&lt;=AY$4),#REF!,AY801),"")</f>
        <v/>
      </c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6"/>
      <c r="BO802" s="26"/>
      <c r="BP802" s="26"/>
      <c r="BQ802" s="26"/>
      <c r="BR802" s="26"/>
      <c r="BS802" s="26"/>
      <c r="BT802" s="26"/>
      <c r="BU802" s="26"/>
      <c r="BV802" s="26"/>
      <c r="BW802" s="26"/>
      <c r="BX802" s="26"/>
      <c r="BY802" s="26"/>
      <c r="BZ802" s="26"/>
      <c r="CA802" s="26"/>
    </row>
    <row r="803" spans="1:79" s="143" customFormat="1" ht="15.75" hidden="1">
      <c r="A803" s="109">
        <v>9.0000000000000002E-6</v>
      </c>
      <c r="B803" s="110">
        <f t="shared" si="48"/>
        <v>803</v>
      </c>
      <c r="C803" s="111" t="str">
        <f>IF(C$1=[1]!T.in.A[[#This Row],[oo2]],1,"")</f>
        <v/>
      </c>
      <c r="D803" s="112" t="str">
        <f>IF(Tab.o1[[#This Row],[a1]]=1,IF(SUM(C803:C804)=0,0,IF(SUM(C802:C803)=1,1,IF(SUM(C802:C804)&gt;1,D802+1,0))),"")</f>
        <v/>
      </c>
      <c r="E803" s="113" t="str">
        <f>IF(Tab.o1[[#This Row],[a1]]=1,[1]!T.in.A[[#This Row],[oo1]],"")</f>
        <v/>
      </c>
      <c r="F803" s="113" t="str">
        <f>IF(Tab.o1[[#This Row],[a1]]=1,[1]!T.in.A[[#This Row],[pp1]],"")</f>
        <v/>
      </c>
      <c r="G803" s="114" t="str">
        <f>IF(Tab.o1[[#This Row],[a1]]=1,G$2+IF(G$1=1,0,Tab.o1[[#This Row],[.x1]])+[1]!T.in.A[[#This Row],[oo3]],"")</f>
        <v/>
      </c>
      <c r="H803" s="115" t="str">
        <f>IF(Tab.o1[[#This Row],[a1]]=1,IF(H$2=0,0,IF(G$1=1,0,Tab.o1[[#This Row],[.x1]])+[1]!T.in.A[[#This Row],[oo4]]),"")</f>
        <v/>
      </c>
      <c r="I803" s="116" t="str">
        <f>IF(Tab.o1[[#This Row],[a1]]=1,IF(J$2=0,Tab.o1[[#This Row],[MED]],Tab.o1[[#This Row],[MOD]]),"")</f>
        <v/>
      </c>
      <c r="J803" s="116" t="str">
        <f>IF(Tab.o1[[#This Row],[a1]]=1,((Tab.o1[[#This Row],[DIF_Target.]]-AVERAGE(Tab.o1[DIF_Target.]))/_xlfn.STDEV.P(Tab.o1[DIF_Target.])),"")</f>
        <v/>
      </c>
      <c r="K803" s="117" t="str">
        <f>IF(Tab.o1[[#This Row],[a1]]=1,IF(J$2=0,Tab.o1[[#This Row],[MOD]]-Tab.o1[[#This Row],[B]],IF(J$2=1,0,-Tab.o1[[#This Row],[MED]])+Tab.o1[[#This Row],[B]]),"")</f>
        <v/>
      </c>
      <c r="L803" s="117" t="str">
        <f ca="1">IF(Tab.o1[[#This Row],[DIF_Target]]=0,IF(L$2=0,Tab.o1[[#This Row],[DIF_Target]],AVERAGE(OFFSET(Tab.o1[[#This Row],[DIF_Target]],1,0,L$3,1)))/3,Tab.o1[[#This Row],[DIF_Target]])</f>
        <v/>
      </c>
      <c r="M803" s="118" t="str">
        <f>IF(Tab.o1[[#This Row],[a1]]=1,NORMSDIST(Tab.o1[[#This Row],[Za]]),"")</f>
        <v/>
      </c>
      <c r="N803" s="119" t="str">
        <f>IF(Tab.o1[[#This Row],[a1]]=1,((Tab.o1[[#This Row],[MedMod]]-AVERAGE(Tab.o1[MedMod]))/_xlfn.STDEV.P(Tab.o1[MedMod])*H$1205)+G$1205,"")</f>
        <v/>
      </c>
      <c r="O803" s="141" t="str">
        <f>IF(Tab.o1[[#This Row],[a1]]=1,Tab.o1[[#This Row],[Zb]]*_xlfn.STDEV.P(Tab.o1[MedMod])+AVERAGE(Tab.o1[MedMod]),"")</f>
        <v/>
      </c>
      <c r="P803" s="117" t="str">
        <f ca="1">IF(Tab.o1[[#This Row],[B]]=0,AVERAGE(OFFSET(Tab.o1[[#This Row],[B]],1,0,L$3,1)),Tab.o1[[#This Row],[B]])</f>
        <v/>
      </c>
      <c r="Q803" s="121" t="str">
        <f>IF(Tab.o1[[#This Row],[a1]]=1,NORMSDIST(Tab.o1[[#This Row],[Zb]]),"")</f>
        <v/>
      </c>
      <c r="R803" s="122" t="str">
        <f>IF(Tab.o1[[#This Row],[a1]]=1,((Tab.o1[[#This Row],[MedMod]]-AVERAGE(Tab.o1[MedMod]))/_xlfn.STDEV.P(Tab.o1[MedMod])*H$1203)+G$1203,"")</f>
        <v/>
      </c>
      <c r="S803" s="122" t="str">
        <f>IF(Tab.o1[[#This Row],[a1]]=1,((Tab.o1[[#This Row],[MedMod]]-AVERAGE(Tab.o1[MedMod]))/_xlfn.STDEV.P(Tab.o1[MedMod])*H$1204)+G$1204,"")</f>
        <v/>
      </c>
      <c r="T803" s="123" t="str">
        <f>IF(Tab.o1[[#This Row],[a1]]=1,Tab.o1[[#This Row],[Z-]]*_xlfn.STDEV.P(Tab.o1[B])+AVERAGE(Tab.o1[B]),"")</f>
        <v/>
      </c>
      <c r="U803" s="123" t="str">
        <f>IF(Tab.o1[[#This Row],[a1]]=1,Tab.o1[[#This Row],[z+]]*_xlfn.STDEV.P(Tab.o1[B])+AVERAGE(Tab.o1[B]),"")</f>
        <v/>
      </c>
      <c r="V803" s="124" t="str">
        <f>IF(Tab.o1[[#This Row],[a1]]=1,ABS((ABS(Tab.o1[[#This Row],[Red]]-Tab.o1[[#This Row],[Blue]]))),"")</f>
        <v/>
      </c>
      <c r="W803" s="125" t="str">
        <f>IF(Tab.o1[[#This Row],[a1]]=1,IF(W$3=0,1,Tab.o1[[#This Row],[Amp.]]*1/_xlfn.MINIFS(Tab.o1[Amp.],Tab.o1[Amp.],"&lt;&gt;0")),"")</f>
        <v/>
      </c>
      <c r="X803" s="126" t="str">
        <f>IF(Tab.o1[[#This Row],[a1]]=1,IF(ISNUMBER(Tab.o1[[#This Row],[i.]]),NORMDIST(Tab.o1[[#This Row],[Za]],0,1,FALSE)*Tab.o1[[#This Row],[i.]],AP$3),"")</f>
        <v/>
      </c>
      <c r="Y803" s="126" t="str">
        <f>IF(Tab.o1[[#This Row],[a1]]=1,0.01+0.94*Tab.o1[[#This Row],[PDF]]/MAX(Tab.o1[PDF]),"")</f>
        <v/>
      </c>
      <c r="Z803" s="126" t="str">
        <f>IF(Tab.o1[[#This Row],[a1]]=1,0.01+0.94*Tab.o1[[#This Row],[W1_PDF]]/MAX(Tab.o1[W1_PDF]),"")</f>
        <v/>
      </c>
      <c r="AA803" s="118" t="str">
        <f>IF(Tab.o1[[#This Row],[a1]]=1,ABS([1]!T.in.A[[#This Row],[oo6]]),"")</f>
        <v/>
      </c>
      <c r="AB803" s="127" t="str">
        <f>IF(Tab.o1[[#This Row],[a1]]=1,IF(AE$3=0,"",IF(AB$3=0,ABS([1]!T.in.A[[#This Row],[oo9]]),ABS(Tab.o1[[#This Row],[DIF_Target.]]*Tab.o1[[#This Row],[W1_PDF]]))),"")</f>
        <v/>
      </c>
      <c r="AC803" s="127" t="str">
        <f>IF(G$1=1,"",IF(Tab.o1[[#This Row],[a1]]=1,Tab.o1[[#This Row],[Wr]]^2,""))</f>
        <v/>
      </c>
      <c r="AD803" s="118" t="str">
        <f>IF(Tab.o1[[#This Row],[a1]]=1,IF(AE$3=0,"",Tab.o1[[#This Row],[Wr2]]/SUM(Tab.o1[Wr2])),"")</f>
        <v/>
      </c>
      <c r="AE803" s="128" t="str">
        <f>IF(Tab.o1[[#This Row],[a1]]=1,[1]!T.in.A[[#This Row],[oo10]],"")</f>
        <v/>
      </c>
      <c r="AF803" s="118" t="str">
        <f>IF(Tab.o1[[#This Row],[a1]]=1,ABS(Tab.o1[[#This Row],[DIF_Target.]]*Tab.o1[[#This Row],[PDF2]]*Tab.o1[[#This Row],[IN]]),"")</f>
        <v/>
      </c>
      <c r="AG803" s="129" t="str">
        <f>IF(Tab.o1[[#This Row],[a1]]=1,Tab.o1[[#This Row],[rW]]^2,"")</f>
        <v/>
      </c>
      <c r="AH803" s="130" t="str">
        <f>IF(Tab.o1[[#This Row],[a1]]=1,IF(AH$3=0,Tab.o1[[#This Row],[rW2]],0.01+0.94*Tab.o1[[#This Row],[rW2]]/SUM(Tab.o1[rW2])),"")</f>
        <v/>
      </c>
      <c r="AI803" s="128" t="str">
        <f>IF(Tab.o1[[#This Row],[a1]]=1,1/Tab.o1[[#This Row],[PDF]],"")</f>
        <v/>
      </c>
      <c r="AJ803" s="131" t="str">
        <f>IF(Tab.o1[[#This Row],[a1]]=1,[1]!T_AA[[#This Row],[IN'']]*[1]!T_AA[[#This Row],[Qde'']],"")</f>
        <v/>
      </c>
      <c r="AK803" s="132" t="str">
        <f>IF(Tab.o1[[#This Row],[a1]]=1,IF(AK$1=1,Tab.o1[[#This Row],[MED]]+Tab.o1[[#This Row],[MOD]]-Tab.o1[[#This Row],[MED]],""),"")</f>
        <v/>
      </c>
      <c r="AL803" s="133" t="str">
        <f>IF(Tab.o1[[#This Row],[a1]]=1,[1]!T.in.A[[#This Row],[oo16]],"")</f>
        <v/>
      </c>
      <c r="AM803" s="133" t="str">
        <f>IF(Tab.o1[[#This Row],[a1]]=1,IF(AM$3=1,[1]!T.in.A[[#This Row],[Σo16]],""),"")</f>
        <v/>
      </c>
      <c r="AN803" s="126" t="str">
        <f>IF(Tab.o1[[#This Row],[a1]]=1,[1]!T.in.A[[#This Row],[Σp5]],"")</f>
        <v/>
      </c>
      <c r="AO803" s="126" t="str">
        <f>IF(Tab.o1[[#This Row],[a1]]=1,IF(AO$3=1,[1]!T.in.A[[#This Row],[Σp5]],""),"")</f>
        <v/>
      </c>
      <c r="AP803" s="110" t="str">
        <f>IF(Tab.o1[[#This Row],[a1]]=1,IF(ISNUMBER(Tab.o1[[#This Row],[i.]]),NORMDIST(Tab.o1[[#This Row],[Za]],0,1,FALSE)*Tab.o1[[#This Row],[i.]],0),"")</f>
        <v/>
      </c>
      <c r="AQ803" s="125" t="str">
        <f>IF(Tab.o1[[#This Row],[a1]]=1,ABS(Tab.o1[[#This Row],[MOD]]-AVERAGE(Tab.o1[MOD])),"")</f>
        <v/>
      </c>
      <c r="AR803" s="134" t="str">
        <f>IF(Tab.o1[[#This Row],[a1]]=1,Tab.o1[[#This Row],[OBS]]/SUM(Tab.o1[OBS]),"")</f>
        <v/>
      </c>
      <c r="AS803" s="135" t="str">
        <f>IF(ISNUMBER(Tab.o1[[#This Row],[a1]]),ROW()-4,"")</f>
        <v/>
      </c>
      <c r="AT803" s="136" t="str">
        <f>Tab.o1[[#This Row],[MOD]]</f>
        <v/>
      </c>
      <c r="AU803" s="137" t="str">
        <f t="shared" si="49"/>
        <v/>
      </c>
      <c r="AV803" s="138" t="str">
        <f t="shared" si="50"/>
        <v/>
      </c>
      <c r="AW803" s="138" t="str">
        <f t="shared" si="51"/>
        <v/>
      </c>
      <c r="AX803" s="139" t="str">
        <f>[1]!T.in.A[[#This Row],[ID_T_manu]]</f>
        <v/>
      </c>
      <c r="AY803" s="140" t="str">
        <f>IF(ISNUMBER(Tab.o1[[#This Row],[a1]]),IF(AND(Tab.o1[[#This Row],[a1]]=1,Tab.o1[[#This Row],[b1]]&lt;=AY$4),#REF!,AY802),"")</f>
        <v/>
      </c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6"/>
      <c r="BO803" s="26"/>
      <c r="BP803" s="26"/>
      <c r="BQ803" s="26"/>
      <c r="BR803" s="26"/>
      <c r="BS803" s="26"/>
      <c r="BT803" s="26"/>
      <c r="BU803" s="26"/>
      <c r="BV803" s="26"/>
      <c r="BW803" s="26"/>
      <c r="BX803" s="26"/>
      <c r="BY803" s="26"/>
      <c r="BZ803" s="26"/>
      <c r="CA803" s="26"/>
    </row>
    <row r="804" spans="1:79" s="143" customFormat="1" ht="15.75" hidden="1">
      <c r="A804" s="109">
        <v>4.0000000000000007E-6</v>
      </c>
      <c r="B804" s="110">
        <f t="shared" si="48"/>
        <v>804</v>
      </c>
      <c r="C804" s="111" t="str">
        <f>IF(C$1=[1]!T.in.A[[#This Row],[oo2]],1,"")</f>
        <v/>
      </c>
      <c r="D804" s="112" t="str">
        <f>IF(Tab.o1[[#This Row],[a1]]=1,IF(SUM(C804:C805)=0,0,IF(SUM(C803:C804)=1,1,IF(SUM(C803:C805)&gt;1,D803+1,0))),"")</f>
        <v/>
      </c>
      <c r="E804" s="113" t="str">
        <f>IF(Tab.o1[[#This Row],[a1]]=1,[1]!T.in.A[[#This Row],[oo1]],"")</f>
        <v/>
      </c>
      <c r="F804" s="113" t="str">
        <f>IF(Tab.o1[[#This Row],[a1]]=1,[1]!T.in.A[[#This Row],[pp1]],"")</f>
        <v/>
      </c>
      <c r="G804" s="114" t="str">
        <f>IF(Tab.o1[[#This Row],[a1]]=1,G$2+IF(G$1=1,0,Tab.o1[[#This Row],[.x1]])+[1]!T.in.A[[#This Row],[oo3]],"")</f>
        <v/>
      </c>
      <c r="H804" s="115" t="str">
        <f>IF(Tab.o1[[#This Row],[a1]]=1,IF(H$2=0,0,IF(G$1=1,0,Tab.o1[[#This Row],[.x1]])+[1]!T.in.A[[#This Row],[oo4]]),"")</f>
        <v/>
      </c>
      <c r="I804" s="116" t="str">
        <f>IF(Tab.o1[[#This Row],[a1]]=1,IF(J$2=0,Tab.o1[[#This Row],[MED]],Tab.o1[[#This Row],[MOD]]),"")</f>
        <v/>
      </c>
      <c r="J804" s="116" t="str">
        <f>IF(Tab.o1[[#This Row],[a1]]=1,((Tab.o1[[#This Row],[DIF_Target.]]-AVERAGE(Tab.o1[DIF_Target.]))/_xlfn.STDEV.P(Tab.o1[DIF_Target.])),"")</f>
        <v/>
      </c>
      <c r="K804" s="117" t="str">
        <f>IF(Tab.o1[[#This Row],[a1]]=1,IF(J$2=0,Tab.o1[[#This Row],[MOD]]-Tab.o1[[#This Row],[B]],IF(J$2=1,0,-Tab.o1[[#This Row],[MED]])+Tab.o1[[#This Row],[B]]),"")</f>
        <v/>
      </c>
      <c r="L804" s="117" t="str">
        <f ca="1">IF(Tab.o1[[#This Row],[DIF_Target]]=0,IF(L$2=0,Tab.o1[[#This Row],[DIF_Target]],AVERAGE(OFFSET(Tab.o1[[#This Row],[DIF_Target]],1,0,L$3,1)))/3,Tab.o1[[#This Row],[DIF_Target]])</f>
        <v/>
      </c>
      <c r="M804" s="118" t="str">
        <f>IF(Tab.o1[[#This Row],[a1]]=1,NORMSDIST(Tab.o1[[#This Row],[Za]]),"")</f>
        <v/>
      </c>
      <c r="N804" s="119" t="str">
        <f>IF(Tab.o1[[#This Row],[a1]]=1,((Tab.o1[[#This Row],[MedMod]]-AVERAGE(Tab.o1[MedMod]))/_xlfn.STDEV.P(Tab.o1[MedMod])*H$1205)+G$1205,"")</f>
        <v/>
      </c>
      <c r="O804" s="141" t="str">
        <f>IF(Tab.o1[[#This Row],[a1]]=1,Tab.o1[[#This Row],[Zb]]*_xlfn.STDEV.P(Tab.o1[MedMod])+AVERAGE(Tab.o1[MedMod]),"")</f>
        <v/>
      </c>
      <c r="P804" s="117" t="str">
        <f ca="1">IF(Tab.o1[[#This Row],[B]]=0,AVERAGE(OFFSET(Tab.o1[[#This Row],[B]],1,0,L$3,1)),Tab.o1[[#This Row],[B]])</f>
        <v/>
      </c>
      <c r="Q804" s="121" t="str">
        <f>IF(Tab.o1[[#This Row],[a1]]=1,NORMSDIST(Tab.o1[[#This Row],[Zb]]),"")</f>
        <v/>
      </c>
      <c r="R804" s="122" t="str">
        <f>IF(Tab.o1[[#This Row],[a1]]=1,((Tab.o1[[#This Row],[MedMod]]-AVERAGE(Tab.o1[MedMod]))/_xlfn.STDEV.P(Tab.o1[MedMod])*H$1203)+G$1203,"")</f>
        <v/>
      </c>
      <c r="S804" s="122" t="str">
        <f>IF(Tab.o1[[#This Row],[a1]]=1,((Tab.o1[[#This Row],[MedMod]]-AVERAGE(Tab.o1[MedMod]))/_xlfn.STDEV.P(Tab.o1[MedMod])*H$1204)+G$1204,"")</f>
        <v/>
      </c>
      <c r="T804" s="123" t="str">
        <f>IF(Tab.o1[[#This Row],[a1]]=1,Tab.o1[[#This Row],[Z-]]*_xlfn.STDEV.P(Tab.o1[B])+AVERAGE(Tab.o1[B]),"")</f>
        <v/>
      </c>
      <c r="U804" s="123" t="str">
        <f>IF(Tab.o1[[#This Row],[a1]]=1,Tab.o1[[#This Row],[z+]]*_xlfn.STDEV.P(Tab.o1[B])+AVERAGE(Tab.o1[B]),"")</f>
        <v/>
      </c>
      <c r="V804" s="124" t="str">
        <f>IF(Tab.o1[[#This Row],[a1]]=1,ABS((ABS(Tab.o1[[#This Row],[Red]]-Tab.o1[[#This Row],[Blue]]))),"")</f>
        <v/>
      </c>
      <c r="W804" s="125" t="str">
        <f>IF(Tab.o1[[#This Row],[a1]]=1,IF(W$3=0,1,Tab.o1[[#This Row],[Amp.]]*1/_xlfn.MINIFS(Tab.o1[Amp.],Tab.o1[Amp.],"&lt;&gt;0")),"")</f>
        <v/>
      </c>
      <c r="X804" s="126" t="str">
        <f>IF(Tab.o1[[#This Row],[a1]]=1,IF(ISNUMBER(Tab.o1[[#This Row],[i.]]),NORMDIST(Tab.o1[[#This Row],[Za]],0,1,FALSE)*Tab.o1[[#This Row],[i.]],AP$3),"")</f>
        <v/>
      </c>
      <c r="Y804" s="126" t="str">
        <f>IF(Tab.o1[[#This Row],[a1]]=1,0.01+0.94*Tab.o1[[#This Row],[PDF]]/MAX(Tab.o1[PDF]),"")</f>
        <v/>
      </c>
      <c r="Z804" s="126" t="str">
        <f>IF(Tab.o1[[#This Row],[a1]]=1,0.01+0.94*Tab.o1[[#This Row],[W1_PDF]]/MAX(Tab.o1[W1_PDF]),"")</f>
        <v/>
      </c>
      <c r="AA804" s="118" t="str">
        <f>IF(Tab.o1[[#This Row],[a1]]=1,ABS([1]!T.in.A[[#This Row],[oo6]]),"")</f>
        <v/>
      </c>
      <c r="AB804" s="127" t="str">
        <f>IF(Tab.o1[[#This Row],[a1]]=1,IF(AE$3=0,"",IF(AB$3=0,ABS([1]!T.in.A[[#This Row],[oo9]]),ABS(Tab.o1[[#This Row],[DIF_Target.]]*Tab.o1[[#This Row],[W1_PDF]]))),"")</f>
        <v/>
      </c>
      <c r="AC804" s="127" t="str">
        <f>IF(G$1=1,"",IF(Tab.o1[[#This Row],[a1]]=1,Tab.o1[[#This Row],[Wr]]^2,""))</f>
        <v/>
      </c>
      <c r="AD804" s="118" t="str">
        <f>IF(Tab.o1[[#This Row],[a1]]=1,IF(AE$3=0,"",Tab.o1[[#This Row],[Wr2]]/SUM(Tab.o1[Wr2])),"")</f>
        <v/>
      </c>
      <c r="AE804" s="128" t="str">
        <f>IF(Tab.o1[[#This Row],[a1]]=1,[1]!T.in.A[[#This Row],[oo10]],"")</f>
        <v/>
      </c>
      <c r="AF804" s="118" t="str">
        <f>IF(Tab.o1[[#This Row],[a1]]=1,ABS(Tab.o1[[#This Row],[DIF_Target.]]*Tab.o1[[#This Row],[PDF2]]*Tab.o1[[#This Row],[IN]]),"")</f>
        <v/>
      </c>
      <c r="AG804" s="129" t="str">
        <f>IF(Tab.o1[[#This Row],[a1]]=1,Tab.o1[[#This Row],[rW]]^2,"")</f>
        <v/>
      </c>
      <c r="AH804" s="130" t="str">
        <f>IF(Tab.o1[[#This Row],[a1]]=1,IF(AH$3=0,Tab.o1[[#This Row],[rW2]],0.01+0.94*Tab.o1[[#This Row],[rW2]]/SUM(Tab.o1[rW2])),"")</f>
        <v/>
      </c>
      <c r="AI804" s="128" t="str">
        <f>IF(Tab.o1[[#This Row],[a1]]=1,1/Tab.o1[[#This Row],[PDF]],"")</f>
        <v/>
      </c>
      <c r="AJ804" s="131" t="str">
        <f>IF(Tab.o1[[#This Row],[a1]]=1,[1]!T_AA[[#This Row],[IN'']]*[1]!T_AA[[#This Row],[Qde'']],"")</f>
        <v/>
      </c>
      <c r="AK804" s="132" t="str">
        <f>IF(Tab.o1[[#This Row],[a1]]=1,IF(AK$1=1,Tab.o1[[#This Row],[MED]]+Tab.o1[[#This Row],[MOD]]-Tab.o1[[#This Row],[MED]],""),"")</f>
        <v/>
      </c>
      <c r="AL804" s="133" t="str">
        <f>IF(Tab.o1[[#This Row],[a1]]=1,[1]!T.in.A[[#This Row],[oo16]],"")</f>
        <v/>
      </c>
      <c r="AM804" s="133" t="str">
        <f>IF(Tab.o1[[#This Row],[a1]]=1,IF(AM$3=1,[1]!T.in.A[[#This Row],[Σo16]],""),"")</f>
        <v/>
      </c>
      <c r="AN804" s="126" t="str">
        <f>IF(Tab.o1[[#This Row],[a1]]=1,[1]!T.in.A[[#This Row],[Σp5]],"")</f>
        <v/>
      </c>
      <c r="AO804" s="126" t="str">
        <f>IF(Tab.o1[[#This Row],[a1]]=1,IF(AO$3=1,[1]!T.in.A[[#This Row],[Σp5]],""),"")</f>
        <v/>
      </c>
      <c r="AP804" s="110" t="str">
        <f>IF(Tab.o1[[#This Row],[a1]]=1,IF(ISNUMBER(Tab.o1[[#This Row],[i.]]),NORMDIST(Tab.o1[[#This Row],[Za]],0,1,FALSE)*Tab.o1[[#This Row],[i.]],0),"")</f>
        <v/>
      </c>
      <c r="AQ804" s="125" t="str">
        <f>IF(Tab.o1[[#This Row],[a1]]=1,ABS(Tab.o1[[#This Row],[MOD]]-AVERAGE(Tab.o1[MOD])),"")</f>
        <v/>
      </c>
      <c r="AR804" s="134" t="str">
        <f>IF(Tab.o1[[#This Row],[a1]]=1,Tab.o1[[#This Row],[OBS]]/SUM(Tab.o1[OBS]),"")</f>
        <v/>
      </c>
      <c r="AS804" s="135" t="str">
        <f>IF(ISNUMBER(Tab.o1[[#This Row],[a1]]),ROW()-4,"")</f>
        <v/>
      </c>
      <c r="AT804" s="136" t="str">
        <f>Tab.o1[[#This Row],[MOD]]</f>
        <v/>
      </c>
      <c r="AU804" s="137" t="str">
        <f t="shared" si="49"/>
        <v/>
      </c>
      <c r="AV804" s="138" t="str">
        <f t="shared" si="50"/>
        <v/>
      </c>
      <c r="AW804" s="138" t="str">
        <f t="shared" si="51"/>
        <v/>
      </c>
      <c r="AX804" s="139" t="str">
        <f>[1]!T.in.A[[#This Row],[ID_T_manu]]</f>
        <v/>
      </c>
      <c r="AY804" s="140" t="str">
        <f>IF(ISNUMBER(Tab.o1[[#This Row],[a1]]),IF(AND(Tab.o1[[#This Row],[a1]]=1,Tab.o1[[#This Row],[b1]]&lt;=AY$4),#REF!,AY803),"")</f>
        <v/>
      </c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6"/>
      <c r="BO804" s="26"/>
      <c r="BP804" s="26"/>
      <c r="BQ804" s="26"/>
      <c r="BR804" s="26"/>
      <c r="BS804" s="26"/>
      <c r="BT804" s="26"/>
      <c r="BU804" s="26"/>
      <c r="BV804" s="26"/>
      <c r="BW804" s="26"/>
      <c r="BX804" s="26"/>
      <c r="BY804" s="26"/>
      <c r="BZ804" s="26"/>
      <c r="CA804" s="26"/>
    </row>
    <row r="805" spans="1:79" s="143" customFormat="1" ht="15.75" hidden="1">
      <c r="A805" s="109">
        <v>9.0000000000000002E-6</v>
      </c>
      <c r="B805" s="110">
        <f t="shared" si="48"/>
        <v>805</v>
      </c>
      <c r="C805" s="111" t="str">
        <f>IF(C$1=[1]!T.in.A[[#This Row],[oo2]],1,"")</f>
        <v/>
      </c>
      <c r="D805" s="112" t="str">
        <f>IF(Tab.o1[[#This Row],[a1]]=1,IF(SUM(C805:C806)=0,0,IF(SUM(C804:C805)=1,1,IF(SUM(C804:C806)&gt;1,D804+1,0))),"")</f>
        <v/>
      </c>
      <c r="E805" s="113" t="str">
        <f>IF(Tab.o1[[#This Row],[a1]]=1,[1]!T.in.A[[#This Row],[oo1]],"")</f>
        <v/>
      </c>
      <c r="F805" s="113" t="str">
        <f>IF(Tab.o1[[#This Row],[a1]]=1,[1]!T.in.A[[#This Row],[pp1]],"")</f>
        <v/>
      </c>
      <c r="G805" s="114" t="str">
        <f>IF(Tab.o1[[#This Row],[a1]]=1,G$2+IF(G$1=1,0,Tab.o1[[#This Row],[.x1]])+[1]!T.in.A[[#This Row],[oo3]],"")</f>
        <v/>
      </c>
      <c r="H805" s="115" t="str">
        <f>IF(Tab.o1[[#This Row],[a1]]=1,IF(H$2=0,0,IF(G$1=1,0,Tab.o1[[#This Row],[.x1]])+[1]!T.in.A[[#This Row],[oo4]]),"")</f>
        <v/>
      </c>
      <c r="I805" s="116" t="str">
        <f>IF(Tab.o1[[#This Row],[a1]]=1,IF(J$2=0,Tab.o1[[#This Row],[MED]],Tab.o1[[#This Row],[MOD]]),"")</f>
        <v/>
      </c>
      <c r="J805" s="116" t="str">
        <f>IF(Tab.o1[[#This Row],[a1]]=1,((Tab.o1[[#This Row],[DIF_Target.]]-AVERAGE(Tab.o1[DIF_Target.]))/_xlfn.STDEV.P(Tab.o1[DIF_Target.])),"")</f>
        <v/>
      </c>
      <c r="K805" s="117" t="str">
        <f>IF(Tab.o1[[#This Row],[a1]]=1,IF(J$2=0,Tab.o1[[#This Row],[MOD]]-Tab.o1[[#This Row],[B]],IF(J$2=1,0,-Tab.o1[[#This Row],[MED]])+Tab.o1[[#This Row],[B]]),"")</f>
        <v/>
      </c>
      <c r="L805" s="117" t="str">
        <f ca="1">IF(Tab.o1[[#This Row],[DIF_Target]]=0,IF(L$2=0,Tab.o1[[#This Row],[DIF_Target]],AVERAGE(OFFSET(Tab.o1[[#This Row],[DIF_Target]],1,0,L$3,1)))/3,Tab.o1[[#This Row],[DIF_Target]])</f>
        <v/>
      </c>
      <c r="M805" s="118" t="str">
        <f>IF(Tab.o1[[#This Row],[a1]]=1,NORMSDIST(Tab.o1[[#This Row],[Za]]),"")</f>
        <v/>
      </c>
      <c r="N805" s="119" t="str">
        <f>IF(Tab.o1[[#This Row],[a1]]=1,((Tab.o1[[#This Row],[MedMod]]-AVERAGE(Tab.o1[MedMod]))/_xlfn.STDEV.P(Tab.o1[MedMod])*H$1205)+G$1205,"")</f>
        <v/>
      </c>
      <c r="O805" s="141" t="str">
        <f>IF(Tab.o1[[#This Row],[a1]]=1,Tab.o1[[#This Row],[Zb]]*_xlfn.STDEV.P(Tab.o1[MedMod])+AVERAGE(Tab.o1[MedMod]),"")</f>
        <v/>
      </c>
      <c r="P805" s="117" t="str">
        <f ca="1">IF(Tab.o1[[#This Row],[B]]=0,AVERAGE(OFFSET(Tab.o1[[#This Row],[B]],1,0,L$3,1)),Tab.o1[[#This Row],[B]])</f>
        <v/>
      </c>
      <c r="Q805" s="121" t="str">
        <f>IF(Tab.o1[[#This Row],[a1]]=1,NORMSDIST(Tab.o1[[#This Row],[Zb]]),"")</f>
        <v/>
      </c>
      <c r="R805" s="122" t="str">
        <f>IF(Tab.o1[[#This Row],[a1]]=1,((Tab.o1[[#This Row],[MedMod]]-AVERAGE(Tab.o1[MedMod]))/_xlfn.STDEV.P(Tab.o1[MedMod])*H$1203)+G$1203,"")</f>
        <v/>
      </c>
      <c r="S805" s="122" t="str">
        <f>IF(Tab.o1[[#This Row],[a1]]=1,((Tab.o1[[#This Row],[MedMod]]-AVERAGE(Tab.o1[MedMod]))/_xlfn.STDEV.P(Tab.o1[MedMod])*H$1204)+G$1204,"")</f>
        <v/>
      </c>
      <c r="T805" s="123" t="str">
        <f>IF(Tab.o1[[#This Row],[a1]]=1,Tab.o1[[#This Row],[Z-]]*_xlfn.STDEV.P(Tab.o1[B])+AVERAGE(Tab.o1[B]),"")</f>
        <v/>
      </c>
      <c r="U805" s="123" t="str">
        <f>IF(Tab.o1[[#This Row],[a1]]=1,Tab.o1[[#This Row],[z+]]*_xlfn.STDEV.P(Tab.o1[B])+AVERAGE(Tab.o1[B]),"")</f>
        <v/>
      </c>
      <c r="V805" s="124" t="str">
        <f>IF(Tab.o1[[#This Row],[a1]]=1,ABS((ABS(Tab.o1[[#This Row],[Red]]-Tab.o1[[#This Row],[Blue]]))),"")</f>
        <v/>
      </c>
      <c r="W805" s="125" t="str">
        <f>IF(Tab.o1[[#This Row],[a1]]=1,IF(W$3=0,1,Tab.o1[[#This Row],[Amp.]]*1/_xlfn.MINIFS(Tab.o1[Amp.],Tab.o1[Amp.],"&lt;&gt;0")),"")</f>
        <v/>
      </c>
      <c r="X805" s="126" t="str">
        <f>IF(Tab.o1[[#This Row],[a1]]=1,IF(ISNUMBER(Tab.o1[[#This Row],[i.]]),NORMDIST(Tab.o1[[#This Row],[Za]],0,1,FALSE)*Tab.o1[[#This Row],[i.]],AP$3),"")</f>
        <v/>
      </c>
      <c r="Y805" s="126" t="str">
        <f>IF(Tab.o1[[#This Row],[a1]]=1,0.01+0.94*Tab.o1[[#This Row],[PDF]]/MAX(Tab.o1[PDF]),"")</f>
        <v/>
      </c>
      <c r="Z805" s="126" t="str">
        <f>IF(Tab.o1[[#This Row],[a1]]=1,0.01+0.94*Tab.o1[[#This Row],[W1_PDF]]/MAX(Tab.o1[W1_PDF]),"")</f>
        <v/>
      </c>
      <c r="AA805" s="118" t="str">
        <f>IF(Tab.o1[[#This Row],[a1]]=1,ABS([1]!T.in.A[[#This Row],[oo6]]),"")</f>
        <v/>
      </c>
      <c r="AB805" s="127" t="str">
        <f>IF(Tab.o1[[#This Row],[a1]]=1,IF(AE$3=0,"",IF(AB$3=0,ABS([1]!T.in.A[[#This Row],[oo9]]),ABS(Tab.o1[[#This Row],[DIF_Target.]]*Tab.o1[[#This Row],[W1_PDF]]))),"")</f>
        <v/>
      </c>
      <c r="AC805" s="127" t="str">
        <f>IF(G$1=1,"",IF(Tab.o1[[#This Row],[a1]]=1,Tab.o1[[#This Row],[Wr]]^2,""))</f>
        <v/>
      </c>
      <c r="AD805" s="118" t="str">
        <f>IF(Tab.o1[[#This Row],[a1]]=1,IF(AE$3=0,"",Tab.o1[[#This Row],[Wr2]]/SUM(Tab.o1[Wr2])),"")</f>
        <v/>
      </c>
      <c r="AE805" s="128" t="str">
        <f>IF(Tab.o1[[#This Row],[a1]]=1,[1]!T.in.A[[#This Row],[oo10]],"")</f>
        <v/>
      </c>
      <c r="AF805" s="118" t="str">
        <f>IF(Tab.o1[[#This Row],[a1]]=1,ABS(Tab.o1[[#This Row],[DIF_Target.]]*Tab.o1[[#This Row],[PDF2]]*Tab.o1[[#This Row],[IN]]),"")</f>
        <v/>
      </c>
      <c r="AG805" s="129" t="str">
        <f>IF(Tab.o1[[#This Row],[a1]]=1,Tab.o1[[#This Row],[rW]]^2,"")</f>
        <v/>
      </c>
      <c r="AH805" s="130" t="str">
        <f>IF(Tab.o1[[#This Row],[a1]]=1,IF(AH$3=0,Tab.o1[[#This Row],[rW2]],0.01+0.94*Tab.o1[[#This Row],[rW2]]/SUM(Tab.o1[rW2])),"")</f>
        <v/>
      </c>
      <c r="AI805" s="128" t="str">
        <f>IF(Tab.o1[[#This Row],[a1]]=1,1/Tab.o1[[#This Row],[PDF]],"")</f>
        <v/>
      </c>
      <c r="AJ805" s="131" t="str">
        <f>IF(Tab.o1[[#This Row],[a1]]=1,[1]!T_AA[[#This Row],[IN'']]*[1]!T_AA[[#This Row],[Qde'']],"")</f>
        <v/>
      </c>
      <c r="AK805" s="132" t="str">
        <f>IF(Tab.o1[[#This Row],[a1]]=1,IF(AK$1=1,Tab.o1[[#This Row],[MED]]+Tab.o1[[#This Row],[MOD]]-Tab.o1[[#This Row],[MED]],""),"")</f>
        <v/>
      </c>
      <c r="AL805" s="133" t="str">
        <f>IF(Tab.o1[[#This Row],[a1]]=1,[1]!T.in.A[[#This Row],[oo16]],"")</f>
        <v/>
      </c>
      <c r="AM805" s="133" t="str">
        <f>IF(Tab.o1[[#This Row],[a1]]=1,IF(AM$3=1,[1]!T.in.A[[#This Row],[Σo16]],""),"")</f>
        <v/>
      </c>
      <c r="AN805" s="126" t="str">
        <f>IF(Tab.o1[[#This Row],[a1]]=1,[1]!T.in.A[[#This Row],[Σp5]],"")</f>
        <v/>
      </c>
      <c r="AO805" s="126" t="str">
        <f>IF(Tab.o1[[#This Row],[a1]]=1,IF(AO$3=1,[1]!T.in.A[[#This Row],[Σp5]],""),"")</f>
        <v/>
      </c>
      <c r="AP805" s="110" t="str">
        <f>IF(Tab.o1[[#This Row],[a1]]=1,IF(ISNUMBER(Tab.o1[[#This Row],[i.]]),NORMDIST(Tab.o1[[#This Row],[Za]],0,1,FALSE)*Tab.o1[[#This Row],[i.]],0),"")</f>
        <v/>
      </c>
      <c r="AQ805" s="125" t="str">
        <f>IF(Tab.o1[[#This Row],[a1]]=1,ABS(Tab.o1[[#This Row],[MOD]]-AVERAGE(Tab.o1[MOD])),"")</f>
        <v/>
      </c>
      <c r="AR805" s="134" t="str">
        <f>IF(Tab.o1[[#This Row],[a1]]=1,Tab.o1[[#This Row],[OBS]]/SUM(Tab.o1[OBS]),"")</f>
        <v/>
      </c>
      <c r="AS805" s="135" t="str">
        <f>IF(ISNUMBER(Tab.o1[[#This Row],[a1]]),ROW()-4,"")</f>
        <v/>
      </c>
      <c r="AT805" s="136" t="str">
        <f>Tab.o1[[#This Row],[MOD]]</f>
        <v/>
      </c>
      <c r="AU805" s="137" t="str">
        <f t="shared" si="49"/>
        <v/>
      </c>
      <c r="AV805" s="138" t="str">
        <f t="shared" si="50"/>
        <v/>
      </c>
      <c r="AW805" s="138" t="str">
        <f t="shared" si="51"/>
        <v/>
      </c>
      <c r="AX805" s="139" t="str">
        <f>[1]!T.in.A[[#This Row],[ID_T_manu]]</f>
        <v/>
      </c>
      <c r="AY805" s="140" t="str">
        <f>IF(ISNUMBER(Tab.o1[[#This Row],[a1]]),IF(AND(Tab.o1[[#This Row],[a1]]=1,Tab.o1[[#This Row],[b1]]&lt;=AY$4),#REF!,AY804),"")</f>
        <v/>
      </c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6"/>
      <c r="BO805" s="26"/>
      <c r="BP805" s="26"/>
      <c r="BQ805" s="26"/>
      <c r="BR805" s="26"/>
      <c r="BS805" s="26"/>
      <c r="BT805" s="26"/>
      <c r="BU805" s="26"/>
      <c r="BV805" s="26"/>
      <c r="BW805" s="26"/>
      <c r="BX805" s="26"/>
      <c r="BY805" s="26"/>
      <c r="BZ805" s="26"/>
      <c r="CA805" s="26"/>
    </row>
    <row r="806" spans="1:79" s="143" customFormat="1" ht="15.75" hidden="1">
      <c r="A806" s="109">
        <v>-9.0000000000000002E-6</v>
      </c>
      <c r="B806" s="110">
        <f t="shared" si="48"/>
        <v>806</v>
      </c>
      <c r="C806" s="111" t="str">
        <f>IF(C$1=[1]!T.in.A[[#This Row],[oo2]],1,"")</f>
        <v/>
      </c>
      <c r="D806" s="112" t="str">
        <f>IF(Tab.o1[[#This Row],[a1]]=1,IF(SUM(C806:C807)=0,0,IF(SUM(C805:C806)=1,1,IF(SUM(C805:C807)&gt;1,D805+1,0))),"")</f>
        <v/>
      </c>
      <c r="E806" s="113" t="str">
        <f>IF(Tab.o1[[#This Row],[a1]]=1,[1]!T.in.A[[#This Row],[oo1]],"")</f>
        <v/>
      </c>
      <c r="F806" s="113" t="str">
        <f>IF(Tab.o1[[#This Row],[a1]]=1,[1]!T.in.A[[#This Row],[pp1]],"")</f>
        <v/>
      </c>
      <c r="G806" s="114" t="str">
        <f>IF(Tab.o1[[#This Row],[a1]]=1,G$2+IF(G$1=1,0,Tab.o1[[#This Row],[.x1]])+[1]!T.in.A[[#This Row],[oo3]],"")</f>
        <v/>
      </c>
      <c r="H806" s="115" t="str">
        <f>IF(Tab.o1[[#This Row],[a1]]=1,IF(H$2=0,0,IF(G$1=1,0,Tab.o1[[#This Row],[.x1]])+[1]!T.in.A[[#This Row],[oo4]]),"")</f>
        <v/>
      </c>
      <c r="I806" s="116" t="str">
        <f>IF(Tab.o1[[#This Row],[a1]]=1,IF(J$2=0,Tab.o1[[#This Row],[MED]],Tab.o1[[#This Row],[MOD]]),"")</f>
        <v/>
      </c>
      <c r="J806" s="116" t="str">
        <f>IF(Tab.o1[[#This Row],[a1]]=1,((Tab.o1[[#This Row],[DIF_Target.]]-AVERAGE(Tab.o1[DIF_Target.]))/_xlfn.STDEV.P(Tab.o1[DIF_Target.])),"")</f>
        <v/>
      </c>
      <c r="K806" s="117" t="str">
        <f>IF(Tab.o1[[#This Row],[a1]]=1,IF(J$2=0,Tab.o1[[#This Row],[MOD]]-Tab.o1[[#This Row],[B]],IF(J$2=1,0,-Tab.o1[[#This Row],[MED]])+Tab.o1[[#This Row],[B]]),"")</f>
        <v/>
      </c>
      <c r="L806" s="117" t="str">
        <f ca="1">IF(Tab.o1[[#This Row],[DIF_Target]]=0,IF(L$2=0,Tab.o1[[#This Row],[DIF_Target]],AVERAGE(OFFSET(Tab.o1[[#This Row],[DIF_Target]],1,0,L$3,1)))/3,Tab.o1[[#This Row],[DIF_Target]])</f>
        <v/>
      </c>
      <c r="M806" s="118" t="str">
        <f>IF(Tab.o1[[#This Row],[a1]]=1,NORMSDIST(Tab.o1[[#This Row],[Za]]),"")</f>
        <v/>
      </c>
      <c r="N806" s="119" t="str">
        <f>IF(Tab.o1[[#This Row],[a1]]=1,((Tab.o1[[#This Row],[MedMod]]-AVERAGE(Tab.o1[MedMod]))/_xlfn.STDEV.P(Tab.o1[MedMod])*H$1205)+G$1205,"")</f>
        <v/>
      </c>
      <c r="O806" s="141" t="str">
        <f>IF(Tab.o1[[#This Row],[a1]]=1,Tab.o1[[#This Row],[Zb]]*_xlfn.STDEV.P(Tab.o1[MedMod])+AVERAGE(Tab.o1[MedMod]),"")</f>
        <v/>
      </c>
      <c r="P806" s="117" t="str">
        <f ca="1">IF(Tab.o1[[#This Row],[B]]=0,AVERAGE(OFFSET(Tab.o1[[#This Row],[B]],1,0,L$3,1)),Tab.o1[[#This Row],[B]])</f>
        <v/>
      </c>
      <c r="Q806" s="121" t="str">
        <f>IF(Tab.o1[[#This Row],[a1]]=1,NORMSDIST(Tab.o1[[#This Row],[Zb]]),"")</f>
        <v/>
      </c>
      <c r="R806" s="122" t="str">
        <f>IF(Tab.o1[[#This Row],[a1]]=1,((Tab.o1[[#This Row],[MedMod]]-AVERAGE(Tab.o1[MedMod]))/_xlfn.STDEV.P(Tab.o1[MedMod])*H$1203)+G$1203,"")</f>
        <v/>
      </c>
      <c r="S806" s="122" t="str">
        <f>IF(Tab.o1[[#This Row],[a1]]=1,((Tab.o1[[#This Row],[MedMod]]-AVERAGE(Tab.o1[MedMod]))/_xlfn.STDEV.P(Tab.o1[MedMod])*H$1204)+G$1204,"")</f>
        <v/>
      </c>
      <c r="T806" s="123" t="str">
        <f>IF(Tab.o1[[#This Row],[a1]]=1,Tab.o1[[#This Row],[Z-]]*_xlfn.STDEV.P(Tab.o1[B])+AVERAGE(Tab.o1[B]),"")</f>
        <v/>
      </c>
      <c r="U806" s="123" t="str">
        <f>IF(Tab.o1[[#This Row],[a1]]=1,Tab.o1[[#This Row],[z+]]*_xlfn.STDEV.P(Tab.o1[B])+AVERAGE(Tab.o1[B]),"")</f>
        <v/>
      </c>
      <c r="V806" s="124" t="str">
        <f>IF(Tab.o1[[#This Row],[a1]]=1,ABS((ABS(Tab.o1[[#This Row],[Red]]-Tab.o1[[#This Row],[Blue]]))),"")</f>
        <v/>
      </c>
      <c r="W806" s="125" t="str">
        <f>IF(Tab.o1[[#This Row],[a1]]=1,IF(W$3=0,1,Tab.o1[[#This Row],[Amp.]]*1/_xlfn.MINIFS(Tab.o1[Amp.],Tab.o1[Amp.],"&lt;&gt;0")),"")</f>
        <v/>
      </c>
      <c r="X806" s="126" t="str">
        <f>IF(Tab.o1[[#This Row],[a1]]=1,IF(ISNUMBER(Tab.o1[[#This Row],[i.]]),NORMDIST(Tab.o1[[#This Row],[Za]],0,1,FALSE)*Tab.o1[[#This Row],[i.]],AP$3),"")</f>
        <v/>
      </c>
      <c r="Y806" s="126" t="str">
        <f>IF(Tab.o1[[#This Row],[a1]]=1,0.01+0.94*Tab.o1[[#This Row],[PDF]]/MAX(Tab.o1[PDF]),"")</f>
        <v/>
      </c>
      <c r="Z806" s="126" t="str">
        <f>IF(Tab.o1[[#This Row],[a1]]=1,0.01+0.94*Tab.o1[[#This Row],[W1_PDF]]/MAX(Tab.o1[W1_PDF]),"")</f>
        <v/>
      </c>
      <c r="AA806" s="118" t="str">
        <f>IF(Tab.o1[[#This Row],[a1]]=1,ABS([1]!T.in.A[[#This Row],[oo6]]),"")</f>
        <v/>
      </c>
      <c r="AB806" s="127" t="str">
        <f>IF(Tab.o1[[#This Row],[a1]]=1,IF(AE$3=0,"",IF(AB$3=0,ABS([1]!T.in.A[[#This Row],[oo9]]),ABS(Tab.o1[[#This Row],[DIF_Target.]]*Tab.o1[[#This Row],[W1_PDF]]))),"")</f>
        <v/>
      </c>
      <c r="AC806" s="127" t="str">
        <f>IF(G$1=1,"",IF(Tab.o1[[#This Row],[a1]]=1,Tab.o1[[#This Row],[Wr]]^2,""))</f>
        <v/>
      </c>
      <c r="AD806" s="118" t="str">
        <f>IF(Tab.o1[[#This Row],[a1]]=1,IF(AE$3=0,"",Tab.o1[[#This Row],[Wr2]]/SUM(Tab.o1[Wr2])),"")</f>
        <v/>
      </c>
      <c r="AE806" s="128" t="str">
        <f>IF(Tab.o1[[#This Row],[a1]]=1,[1]!T.in.A[[#This Row],[oo10]],"")</f>
        <v/>
      </c>
      <c r="AF806" s="118" t="str">
        <f>IF(Tab.o1[[#This Row],[a1]]=1,ABS(Tab.o1[[#This Row],[DIF_Target.]]*Tab.o1[[#This Row],[PDF2]]*Tab.o1[[#This Row],[IN]]),"")</f>
        <v/>
      </c>
      <c r="AG806" s="129" t="str">
        <f>IF(Tab.o1[[#This Row],[a1]]=1,Tab.o1[[#This Row],[rW]]^2,"")</f>
        <v/>
      </c>
      <c r="AH806" s="130" t="str">
        <f>IF(Tab.o1[[#This Row],[a1]]=1,IF(AH$3=0,Tab.o1[[#This Row],[rW2]],0.01+0.94*Tab.o1[[#This Row],[rW2]]/SUM(Tab.o1[rW2])),"")</f>
        <v/>
      </c>
      <c r="AI806" s="128" t="str">
        <f>IF(Tab.o1[[#This Row],[a1]]=1,1/Tab.o1[[#This Row],[PDF]],"")</f>
        <v/>
      </c>
      <c r="AJ806" s="131" t="str">
        <f>IF(Tab.o1[[#This Row],[a1]]=1,[1]!T_AA[[#This Row],[IN'']]*[1]!T_AA[[#This Row],[Qde'']],"")</f>
        <v/>
      </c>
      <c r="AK806" s="132" t="str">
        <f>IF(Tab.o1[[#This Row],[a1]]=1,IF(AK$1=1,Tab.o1[[#This Row],[MED]]+Tab.o1[[#This Row],[MOD]]-Tab.o1[[#This Row],[MED]],""),"")</f>
        <v/>
      </c>
      <c r="AL806" s="133" t="str">
        <f>IF(Tab.o1[[#This Row],[a1]]=1,[1]!T.in.A[[#This Row],[oo16]],"")</f>
        <v/>
      </c>
      <c r="AM806" s="133" t="str">
        <f>IF(Tab.o1[[#This Row],[a1]]=1,IF(AM$3=1,[1]!T.in.A[[#This Row],[Σo16]],""),"")</f>
        <v/>
      </c>
      <c r="AN806" s="126" t="str">
        <f>IF(Tab.o1[[#This Row],[a1]]=1,[1]!T.in.A[[#This Row],[Σp5]],"")</f>
        <v/>
      </c>
      <c r="AO806" s="126" t="str">
        <f>IF(Tab.o1[[#This Row],[a1]]=1,IF(AO$3=1,[1]!T.in.A[[#This Row],[Σp5]],""),"")</f>
        <v/>
      </c>
      <c r="AP806" s="110" t="str">
        <f>IF(Tab.o1[[#This Row],[a1]]=1,IF(ISNUMBER(Tab.o1[[#This Row],[i.]]),NORMDIST(Tab.o1[[#This Row],[Za]],0,1,FALSE)*Tab.o1[[#This Row],[i.]],0),"")</f>
        <v/>
      </c>
      <c r="AQ806" s="125" t="str">
        <f>IF(Tab.o1[[#This Row],[a1]]=1,ABS(Tab.o1[[#This Row],[MOD]]-AVERAGE(Tab.o1[MOD])),"")</f>
        <v/>
      </c>
      <c r="AR806" s="134" t="str">
        <f>IF(Tab.o1[[#This Row],[a1]]=1,Tab.o1[[#This Row],[OBS]]/SUM(Tab.o1[OBS]),"")</f>
        <v/>
      </c>
      <c r="AS806" s="135" t="str">
        <f>IF(ISNUMBER(Tab.o1[[#This Row],[a1]]),ROW()-4,"")</f>
        <v/>
      </c>
      <c r="AT806" s="136" t="str">
        <f>Tab.o1[[#This Row],[MOD]]</f>
        <v/>
      </c>
      <c r="AU806" s="137" t="str">
        <f t="shared" si="49"/>
        <v/>
      </c>
      <c r="AV806" s="138" t="str">
        <f t="shared" si="50"/>
        <v/>
      </c>
      <c r="AW806" s="138" t="str">
        <f t="shared" si="51"/>
        <v/>
      </c>
      <c r="AX806" s="139" t="str">
        <f>[1]!T.in.A[[#This Row],[ID_T_manu]]</f>
        <v/>
      </c>
      <c r="AY806" s="140" t="str">
        <f>IF(ISNUMBER(Tab.o1[[#This Row],[a1]]),IF(AND(Tab.o1[[#This Row],[a1]]=1,Tab.o1[[#This Row],[b1]]&lt;=AY$4),#REF!,AY805),"")</f>
        <v/>
      </c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6"/>
      <c r="BO806" s="26"/>
      <c r="BP806" s="26"/>
      <c r="BQ806" s="26"/>
      <c r="BR806" s="26"/>
      <c r="BS806" s="26"/>
      <c r="BT806" s="26"/>
      <c r="BU806" s="26"/>
      <c r="BV806" s="26"/>
      <c r="BW806" s="26"/>
      <c r="BX806" s="26"/>
      <c r="BY806" s="26"/>
      <c r="BZ806" s="26"/>
      <c r="CA806" s="26"/>
    </row>
    <row r="807" spans="1:79" s="143" customFormat="1" ht="15.75" hidden="1">
      <c r="A807" s="109">
        <v>-1.0000000000000002E-6</v>
      </c>
      <c r="B807" s="110">
        <f t="shared" si="48"/>
        <v>807</v>
      </c>
      <c r="C807" s="111" t="str">
        <f>IF(C$1=[1]!T.in.A[[#This Row],[oo2]],1,"")</f>
        <v/>
      </c>
      <c r="D807" s="112" t="str">
        <f>IF(Tab.o1[[#This Row],[a1]]=1,IF(SUM(C807:C808)=0,0,IF(SUM(C806:C807)=1,1,IF(SUM(C806:C808)&gt;1,D806+1,0))),"")</f>
        <v/>
      </c>
      <c r="E807" s="113" t="str">
        <f>IF(Tab.o1[[#This Row],[a1]]=1,[1]!T.in.A[[#This Row],[oo1]],"")</f>
        <v/>
      </c>
      <c r="F807" s="113" t="str">
        <f>IF(Tab.o1[[#This Row],[a1]]=1,[1]!T.in.A[[#This Row],[pp1]],"")</f>
        <v/>
      </c>
      <c r="G807" s="114" t="str">
        <f>IF(Tab.o1[[#This Row],[a1]]=1,G$2+IF(G$1=1,0,Tab.o1[[#This Row],[.x1]])+[1]!T.in.A[[#This Row],[oo3]],"")</f>
        <v/>
      </c>
      <c r="H807" s="115" t="str">
        <f>IF(Tab.o1[[#This Row],[a1]]=1,IF(H$2=0,0,IF(G$1=1,0,Tab.o1[[#This Row],[.x1]])+[1]!T.in.A[[#This Row],[oo4]]),"")</f>
        <v/>
      </c>
      <c r="I807" s="116" t="str">
        <f>IF(Tab.o1[[#This Row],[a1]]=1,IF(J$2=0,Tab.o1[[#This Row],[MED]],Tab.o1[[#This Row],[MOD]]),"")</f>
        <v/>
      </c>
      <c r="J807" s="116" t="str">
        <f>IF(Tab.o1[[#This Row],[a1]]=1,((Tab.o1[[#This Row],[DIF_Target.]]-AVERAGE(Tab.o1[DIF_Target.]))/_xlfn.STDEV.P(Tab.o1[DIF_Target.])),"")</f>
        <v/>
      </c>
      <c r="K807" s="117" t="str">
        <f>IF(Tab.o1[[#This Row],[a1]]=1,IF(J$2=0,Tab.o1[[#This Row],[MOD]]-Tab.o1[[#This Row],[B]],IF(J$2=1,0,-Tab.o1[[#This Row],[MED]])+Tab.o1[[#This Row],[B]]),"")</f>
        <v/>
      </c>
      <c r="L807" s="117" t="str">
        <f ca="1">IF(Tab.o1[[#This Row],[DIF_Target]]=0,IF(L$2=0,Tab.o1[[#This Row],[DIF_Target]],AVERAGE(OFFSET(Tab.o1[[#This Row],[DIF_Target]],1,0,L$3,1)))/3,Tab.o1[[#This Row],[DIF_Target]])</f>
        <v/>
      </c>
      <c r="M807" s="118" t="str">
        <f>IF(Tab.o1[[#This Row],[a1]]=1,NORMSDIST(Tab.o1[[#This Row],[Za]]),"")</f>
        <v/>
      </c>
      <c r="N807" s="119" t="str">
        <f>IF(Tab.o1[[#This Row],[a1]]=1,((Tab.o1[[#This Row],[MedMod]]-AVERAGE(Tab.o1[MedMod]))/_xlfn.STDEV.P(Tab.o1[MedMod])*H$1205)+G$1205,"")</f>
        <v/>
      </c>
      <c r="O807" s="141" t="str">
        <f>IF(Tab.o1[[#This Row],[a1]]=1,Tab.o1[[#This Row],[Zb]]*_xlfn.STDEV.P(Tab.o1[MedMod])+AVERAGE(Tab.o1[MedMod]),"")</f>
        <v/>
      </c>
      <c r="P807" s="117" t="str">
        <f ca="1">IF(Tab.o1[[#This Row],[B]]=0,AVERAGE(OFFSET(Tab.o1[[#This Row],[B]],1,0,L$3,1)),Tab.o1[[#This Row],[B]])</f>
        <v/>
      </c>
      <c r="Q807" s="121" t="str">
        <f>IF(Tab.o1[[#This Row],[a1]]=1,NORMSDIST(Tab.o1[[#This Row],[Zb]]),"")</f>
        <v/>
      </c>
      <c r="R807" s="122" t="str">
        <f>IF(Tab.o1[[#This Row],[a1]]=1,((Tab.o1[[#This Row],[MedMod]]-AVERAGE(Tab.o1[MedMod]))/_xlfn.STDEV.P(Tab.o1[MedMod])*H$1203)+G$1203,"")</f>
        <v/>
      </c>
      <c r="S807" s="122" t="str">
        <f>IF(Tab.o1[[#This Row],[a1]]=1,((Tab.o1[[#This Row],[MedMod]]-AVERAGE(Tab.o1[MedMod]))/_xlfn.STDEV.P(Tab.o1[MedMod])*H$1204)+G$1204,"")</f>
        <v/>
      </c>
      <c r="T807" s="123" t="str">
        <f>IF(Tab.o1[[#This Row],[a1]]=1,Tab.o1[[#This Row],[Z-]]*_xlfn.STDEV.P(Tab.o1[B])+AVERAGE(Tab.o1[B]),"")</f>
        <v/>
      </c>
      <c r="U807" s="123" t="str">
        <f>IF(Tab.o1[[#This Row],[a1]]=1,Tab.o1[[#This Row],[z+]]*_xlfn.STDEV.P(Tab.o1[B])+AVERAGE(Tab.o1[B]),"")</f>
        <v/>
      </c>
      <c r="V807" s="124" t="str">
        <f>IF(Tab.o1[[#This Row],[a1]]=1,ABS((ABS(Tab.o1[[#This Row],[Red]]-Tab.o1[[#This Row],[Blue]]))),"")</f>
        <v/>
      </c>
      <c r="W807" s="125" t="str">
        <f>IF(Tab.o1[[#This Row],[a1]]=1,IF(W$3=0,1,Tab.o1[[#This Row],[Amp.]]*1/_xlfn.MINIFS(Tab.o1[Amp.],Tab.o1[Amp.],"&lt;&gt;0")),"")</f>
        <v/>
      </c>
      <c r="X807" s="126" t="str">
        <f>IF(Tab.o1[[#This Row],[a1]]=1,IF(ISNUMBER(Tab.o1[[#This Row],[i.]]),NORMDIST(Tab.o1[[#This Row],[Za]],0,1,FALSE)*Tab.o1[[#This Row],[i.]],AP$3),"")</f>
        <v/>
      </c>
      <c r="Y807" s="126" t="str">
        <f>IF(Tab.o1[[#This Row],[a1]]=1,0.01+0.94*Tab.o1[[#This Row],[PDF]]/MAX(Tab.o1[PDF]),"")</f>
        <v/>
      </c>
      <c r="Z807" s="126" t="str">
        <f>IF(Tab.o1[[#This Row],[a1]]=1,0.01+0.94*Tab.o1[[#This Row],[W1_PDF]]/MAX(Tab.o1[W1_PDF]),"")</f>
        <v/>
      </c>
      <c r="AA807" s="118" t="str">
        <f>IF(Tab.o1[[#This Row],[a1]]=1,ABS([1]!T.in.A[[#This Row],[oo6]]),"")</f>
        <v/>
      </c>
      <c r="AB807" s="127" t="str">
        <f>IF(Tab.o1[[#This Row],[a1]]=1,IF(AE$3=0,"",IF(AB$3=0,ABS([1]!T.in.A[[#This Row],[oo9]]),ABS(Tab.o1[[#This Row],[DIF_Target.]]*Tab.o1[[#This Row],[W1_PDF]]))),"")</f>
        <v/>
      </c>
      <c r="AC807" s="127" t="str">
        <f>IF(G$1=1,"",IF(Tab.o1[[#This Row],[a1]]=1,Tab.o1[[#This Row],[Wr]]^2,""))</f>
        <v/>
      </c>
      <c r="AD807" s="118" t="str">
        <f>IF(Tab.o1[[#This Row],[a1]]=1,IF(AE$3=0,"",Tab.o1[[#This Row],[Wr2]]/SUM(Tab.o1[Wr2])),"")</f>
        <v/>
      </c>
      <c r="AE807" s="128" t="str">
        <f>IF(Tab.o1[[#This Row],[a1]]=1,[1]!T.in.A[[#This Row],[oo10]],"")</f>
        <v/>
      </c>
      <c r="AF807" s="118" t="str">
        <f>IF(Tab.o1[[#This Row],[a1]]=1,ABS(Tab.o1[[#This Row],[DIF_Target.]]*Tab.o1[[#This Row],[PDF2]]*Tab.o1[[#This Row],[IN]]),"")</f>
        <v/>
      </c>
      <c r="AG807" s="129" t="str">
        <f>IF(Tab.o1[[#This Row],[a1]]=1,Tab.o1[[#This Row],[rW]]^2,"")</f>
        <v/>
      </c>
      <c r="AH807" s="130" t="str">
        <f>IF(Tab.o1[[#This Row],[a1]]=1,IF(AH$3=0,Tab.o1[[#This Row],[rW2]],0.01+0.94*Tab.o1[[#This Row],[rW2]]/SUM(Tab.o1[rW2])),"")</f>
        <v/>
      </c>
      <c r="AI807" s="128" t="str">
        <f>IF(Tab.o1[[#This Row],[a1]]=1,1/Tab.o1[[#This Row],[PDF]],"")</f>
        <v/>
      </c>
      <c r="AJ807" s="131" t="str">
        <f>IF(Tab.o1[[#This Row],[a1]]=1,[1]!T_AA[[#This Row],[IN'']]*[1]!T_AA[[#This Row],[Qde'']],"")</f>
        <v/>
      </c>
      <c r="AK807" s="132" t="str">
        <f>IF(Tab.o1[[#This Row],[a1]]=1,IF(AK$1=1,Tab.o1[[#This Row],[MED]]+Tab.o1[[#This Row],[MOD]]-Tab.o1[[#This Row],[MED]],""),"")</f>
        <v/>
      </c>
      <c r="AL807" s="133" t="str">
        <f>IF(Tab.o1[[#This Row],[a1]]=1,[1]!T.in.A[[#This Row],[oo16]],"")</f>
        <v/>
      </c>
      <c r="AM807" s="133" t="str">
        <f>IF(Tab.o1[[#This Row],[a1]]=1,IF(AM$3=1,[1]!T.in.A[[#This Row],[Σo16]],""),"")</f>
        <v/>
      </c>
      <c r="AN807" s="126" t="str">
        <f>IF(Tab.o1[[#This Row],[a1]]=1,[1]!T.in.A[[#This Row],[Σp5]],"")</f>
        <v/>
      </c>
      <c r="AO807" s="126" t="str">
        <f>IF(Tab.o1[[#This Row],[a1]]=1,IF(AO$3=1,[1]!T.in.A[[#This Row],[Σp5]],""),"")</f>
        <v/>
      </c>
      <c r="AP807" s="110" t="str">
        <f>IF(Tab.o1[[#This Row],[a1]]=1,IF(ISNUMBER(Tab.o1[[#This Row],[i.]]),NORMDIST(Tab.o1[[#This Row],[Za]],0,1,FALSE)*Tab.o1[[#This Row],[i.]],0),"")</f>
        <v/>
      </c>
      <c r="AQ807" s="125" t="str">
        <f>IF(Tab.o1[[#This Row],[a1]]=1,ABS(Tab.o1[[#This Row],[MOD]]-AVERAGE(Tab.o1[MOD])),"")</f>
        <v/>
      </c>
      <c r="AR807" s="134" t="str">
        <f>IF(Tab.o1[[#This Row],[a1]]=1,Tab.o1[[#This Row],[OBS]]/SUM(Tab.o1[OBS]),"")</f>
        <v/>
      </c>
      <c r="AS807" s="135" t="str">
        <f>IF(ISNUMBER(Tab.o1[[#This Row],[a1]]),ROW()-4,"")</f>
        <v/>
      </c>
      <c r="AT807" s="136" t="str">
        <f>Tab.o1[[#This Row],[MOD]]</f>
        <v/>
      </c>
      <c r="AU807" s="137" t="str">
        <f t="shared" si="49"/>
        <v/>
      </c>
      <c r="AV807" s="138" t="str">
        <f t="shared" si="50"/>
        <v/>
      </c>
      <c r="AW807" s="138" t="str">
        <f t="shared" si="51"/>
        <v/>
      </c>
      <c r="AX807" s="139" t="str">
        <f>[1]!T.in.A[[#This Row],[ID_T_manu]]</f>
        <v/>
      </c>
      <c r="AY807" s="140" t="str">
        <f>IF(ISNUMBER(Tab.o1[[#This Row],[a1]]),IF(AND(Tab.o1[[#This Row],[a1]]=1,Tab.o1[[#This Row],[b1]]&lt;=AY$4),#REF!,AY806),"")</f>
        <v/>
      </c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6"/>
      <c r="BO807" s="26"/>
      <c r="BP807" s="26"/>
      <c r="BQ807" s="26"/>
      <c r="BR807" s="26"/>
      <c r="BS807" s="26"/>
      <c r="BT807" s="26"/>
      <c r="BU807" s="26"/>
      <c r="BV807" s="26"/>
      <c r="BW807" s="26"/>
      <c r="BX807" s="26"/>
      <c r="BY807" s="26"/>
      <c r="BZ807" s="26"/>
      <c r="CA807" s="26"/>
    </row>
    <row r="808" spans="1:79" s="143" customFormat="1" ht="15.75" hidden="1">
      <c r="A808" s="109">
        <v>-1.0000000000000002E-6</v>
      </c>
      <c r="B808" s="110">
        <f t="shared" si="48"/>
        <v>808</v>
      </c>
      <c r="C808" s="111" t="str">
        <f>IF(C$1=[1]!T.in.A[[#This Row],[oo2]],1,"")</f>
        <v/>
      </c>
      <c r="D808" s="112" t="str">
        <f>IF(Tab.o1[[#This Row],[a1]]=1,IF(SUM(C808:C809)=0,0,IF(SUM(C807:C808)=1,1,IF(SUM(C807:C809)&gt;1,D807+1,0))),"")</f>
        <v/>
      </c>
      <c r="E808" s="113" t="str">
        <f>IF(Tab.o1[[#This Row],[a1]]=1,[1]!T.in.A[[#This Row],[oo1]],"")</f>
        <v/>
      </c>
      <c r="F808" s="113" t="str">
        <f>IF(Tab.o1[[#This Row],[a1]]=1,[1]!T.in.A[[#This Row],[pp1]],"")</f>
        <v/>
      </c>
      <c r="G808" s="114" t="str">
        <f>IF(Tab.o1[[#This Row],[a1]]=1,G$2+IF(G$1=1,0,Tab.o1[[#This Row],[.x1]])+[1]!T.in.A[[#This Row],[oo3]],"")</f>
        <v/>
      </c>
      <c r="H808" s="115" t="str">
        <f>IF(Tab.o1[[#This Row],[a1]]=1,IF(H$2=0,0,IF(G$1=1,0,Tab.o1[[#This Row],[.x1]])+[1]!T.in.A[[#This Row],[oo4]]),"")</f>
        <v/>
      </c>
      <c r="I808" s="116" t="str">
        <f>IF(Tab.o1[[#This Row],[a1]]=1,IF(J$2=0,Tab.o1[[#This Row],[MED]],Tab.o1[[#This Row],[MOD]]),"")</f>
        <v/>
      </c>
      <c r="J808" s="116" t="str">
        <f>IF(Tab.o1[[#This Row],[a1]]=1,((Tab.o1[[#This Row],[DIF_Target.]]-AVERAGE(Tab.o1[DIF_Target.]))/_xlfn.STDEV.P(Tab.o1[DIF_Target.])),"")</f>
        <v/>
      </c>
      <c r="K808" s="117" t="str">
        <f>IF(Tab.o1[[#This Row],[a1]]=1,IF(J$2=0,Tab.o1[[#This Row],[MOD]]-Tab.o1[[#This Row],[B]],IF(J$2=1,0,-Tab.o1[[#This Row],[MED]])+Tab.o1[[#This Row],[B]]),"")</f>
        <v/>
      </c>
      <c r="L808" s="117" t="str">
        <f ca="1">IF(Tab.o1[[#This Row],[DIF_Target]]=0,IF(L$2=0,Tab.o1[[#This Row],[DIF_Target]],AVERAGE(OFFSET(Tab.o1[[#This Row],[DIF_Target]],1,0,L$3,1)))/3,Tab.o1[[#This Row],[DIF_Target]])</f>
        <v/>
      </c>
      <c r="M808" s="118" t="str">
        <f>IF(Tab.o1[[#This Row],[a1]]=1,NORMSDIST(Tab.o1[[#This Row],[Za]]),"")</f>
        <v/>
      </c>
      <c r="N808" s="119" t="str">
        <f>IF(Tab.o1[[#This Row],[a1]]=1,((Tab.o1[[#This Row],[MedMod]]-AVERAGE(Tab.o1[MedMod]))/_xlfn.STDEV.P(Tab.o1[MedMod])*H$1205)+G$1205,"")</f>
        <v/>
      </c>
      <c r="O808" s="141" t="str">
        <f>IF(Tab.o1[[#This Row],[a1]]=1,Tab.o1[[#This Row],[Zb]]*_xlfn.STDEV.P(Tab.o1[MedMod])+AVERAGE(Tab.o1[MedMod]),"")</f>
        <v/>
      </c>
      <c r="P808" s="117" t="str">
        <f ca="1">IF(Tab.o1[[#This Row],[B]]=0,AVERAGE(OFFSET(Tab.o1[[#This Row],[B]],1,0,L$3,1)),Tab.o1[[#This Row],[B]])</f>
        <v/>
      </c>
      <c r="Q808" s="121" t="str">
        <f>IF(Tab.o1[[#This Row],[a1]]=1,NORMSDIST(Tab.o1[[#This Row],[Zb]]),"")</f>
        <v/>
      </c>
      <c r="R808" s="122" t="str">
        <f>IF(Tab.o1[[#This Row],[a1]]=1,((Tab.o1[[#This Row],[MedMod]]-AVERAGE(Tab.o1[MedMod]))/_xlfn.STDEV.P(Tab.o1[MedMod])*H$1203)+G$1203,"")</f>
        <v/>
      </c>
      <c r="S808" s="122" t="str">
        <f>IF(Tab.o1[[#This Row],[a1]]=1,((Tab.o1[[#This Row],[MedMod]]-AVERAGE(Tab.o1[MedMod]))/_xlfn.STDEV.P(Tab.o1[MedMod])*H$1204)+G$1204,"")</f>
        <v/>
      </c>
      <c r="T808" s="123" t="str">
        <f>IF(Tab.o1[[#This Row],[a1]]=1,Tab.o1[[#This Row],[Z-]]*_xlfn.STDEV.P(Tab.o1[B])+AVERAGE(Tab.o1[B]),"")</f>
        <v/>
      </c>
      <c r="U808" s="123" t="str">
        <f>IF(Tab.o1[[#This Row],[a1]]=1,Tab.o1[[#This Row],[z+]]*_xlfn.STDEV.P(Tab.o1[B])+AVERAGE(Tab.o1[B]),"")</f>
        <v/>
      </c>
      <c r="V808" s="124" t="str">
        <f>IF(Tab.o1[[#This Row],[a1]]=1,ABS((ABS(Tab.o1[[#This Row],[Red]]-Tab.o1[[#This Row],[Blue]]))),"")</f>
        <v/>
      </c>
      <c r="W808" s="125" t="str">
        <f>IF(Tab.o1[[#This Row],[a1]]=1,IF(W$3=0,1,Tab.o1[[#This Row],[Amp.]]*1/_xlfn.MINIFS(Tab.o1[Amp.],Tab.o1[Amp.],"&lt;&gt;0")),"")</f>
        <v/>
      </c>
      <c r="X808" s="126" t="str">
        <f>IF(Tab.o1[[#This Row],[a1]]=1,IF(ISNUMBER(Tab.o1[[#This Row],[i.]]),NORMDIST(Tab.o1[[#This Row],[Za]],0,1,FALSE)*Tab.o1[[#This Row],[i.]],AP$3),"")</f>
        <v/>
      </c>
      <c r="Y808" s="126" t="str">
        <f>IF(Tab.o1[[#This Row],[a1]]=1,0.01+0.94*Tab.o1[[#This Row],[PDF]]/MAX(Tab.o1[PDF]),"")</f>
        <v/>
      </c>
      <c r="Z808" s="126" t="str">
        <f>IF(Tab.o1[[#This Row],[a1]]=1,0.01+0.94*Tab.o1[[#This Row],[W1_PDF]]/MAX(Tab.o1[W1_PDF]),"")</f>
        <v/>
      </c>
      <c r="AA808" s="118" t="str">
        <f>IF(Tab.o1[[#This Row],[a1]]=1,ABS([1]!T.in.A[[#This Row],[oo6]]),"")</f>
        <v/>
      </c>
      <c r="AB808" s="127" t="str">
        <f>IF(Tab.o1[[#This Row],[a1]]=1,IF(AE$3=0,"",IF(AB$3=0,ABS([1]!T.in.A[[#This Row],[oo9]]),ABS(Tab.o1[[#This Row],[DIF_Target.]]*Tab.o1[[#This Row],[W1_PDF]]))),"")</f>
        <v/>
      </c>
      <c r="AC808" s="127" t="str">
        <f>IF(G$1=1,"",IF(Tab.o1[[#This Row],[a1]]=1,Tab.o1[[#This Row],[Wr]]^2,""))</f>
        <v/>
      </c>
      <c r="AD808" s="118" t="str">
        <f>IF(Tab.o1[[#This Row],[a1]]=1,IF(AE$3=0,"",Tab.o1[[#This Row],[Wr2]]/SUM(Tab.o1[Wr2])),"")</f>
        <v/>
      </c>
      <c r="AE808" s="128" t="str">
        <f>IF(Tab.o1[[#This Row],[a1]]=1,[1]!T.in.A[[#This Row],[oo10]],"")</f>
        <v/>
      </c>
      <c r="AF808" s="118" t="str">
        <f>IF(Tab.o1[[#This Row],[a1]]=1,ABS(Tab.o1[[#This Row],[DIF_Target.]]*Tab.o1[[#This Row],[PDF2]]*Tab.o1[[#This Row],[IN]]),"")</f>
        <v/>
      </c>
      <c r="AG808" s="129" t="str">
        <f>IF(Tab.o1[[#This Row],[a1]]=1,Tab.o1[[#This Row],[rW]]^2,"")</f>
        <v/>
      </c>
      <c r="AH808" s="130" t="str">
        <f>IF(Tab.o1[[#This Row],[a1]]=1,IF(AH$3=0,Tab.o1[[#This Row],[rW2]],0.01+0.94*Tab.o1[[#This Row],[rW2]]/SUM(Tab.o1[rW2])),"")</f>
        <v/>
      </c>
      <c r="AI808" s="128" t="str">
        <f>IF(Tab.o1[[#This Row],[a1]]=1,1/Tab.o1[[#This Row],[PDF]],"")</f>
        <v/>
      </c>
      <c r="AJ808" s="131" t="str">
        <f>IF(Tab.o1[[#This Row],[a1]]=1,[1]!T_AA[[#This Row],[IN'']]*[1]!T_AA[[#This Row],[Qde'']],"")</f>
        <v/>
      </c>
      <c r="AK808" s="132" t="str">
        <f>IF(Tab.o1[[#This Row],[a1]]=1,IF(AK$1=1,Tab.o1[[#This Row],[MED]]+Tab.o1[[#This Row],[MOD]]-Tab.o1[[#This Row],[MED]],""),"")</f>
        <v/>
      </c>
      <c r="AL808" s="133" t="str">
        <f>IF(Tab.o1[[#This Row],[a1]]=1,[1]!T.in.A[[#This Row],[oo16]],"")</f>
        <v/>
      </c>
      <c r="AM808" s="133" t="str">
        <f>IF(Tab.o1[[#This Row],[a1]]=1,IF(AM$3=1,[1]!T.in.A[[#This Row],[Σo16]],""),"")</f>
        <v/>
      </c>
      <c r="AN808" s="126" t="str">
        <f>IF(Tab.o1[[#This Row],[a1]]=1,[1]!T.in.A[[#This Row],[Σp5]],"")</f>
        <v/>
      </c>
      <c r="AO808" s="126" t="str">
        <f>IF(Tab.o1[[#This Row],[a1]]=1,IF(AO$3=1,[1]!T.in.A[[#This Row],[Σp5]],""),"")</f>
        <v/>
      </c>
      <c r="AP808" s="110" t="str">
        <f>IF(Tab.o1[[#This Row],[a1]]=1,IF(ISNUMBER(Tab.o1[[#This Row],[i.]]),NORMDIST(Tab.o1[[#This Row],[Za]],0,1,FALSE)*Tab.o1[[#This Row],[i.]],0),"")</f>
        <v/>
      </c>
      <c r="AQ808" s="125" t="str">
        <f>IF(Tab.o1[[#This Row],[a1]]=1,ABS(Tab.o1[[#This Row],[MOD]]-AVERAGE(Tab.o1[MOD])),"")</f>
        <v/>
      </c>
      <c r="AR808" s="134" t="str">
        <f>IF(Tab.o1[[#This Row],[a1]]=1,Tab.o1[[#This Row],[OBS]]/SUM(Tab.o1[OBS]),"")</f>
        <v/>
      </c>
      <c r="AS808" s="135" t="str">
        <f>IF(ISNUMBER(Tab.o1[[#This Row],[a1]]),ROW()-4,"")</f>
        <v/>
      </c>
      <c r="AT808" s="136" t="str">
        <f>Tab.o1[[#This Row],[MOD]]</f>
        <v/>
      </c>
      <c r="AU808" s="137" t="str">
        <f t="shared" si="49"/>
        <v/>
      </c>
      <c r="AV808" s="138" t="str">
        <f t="shared" si="50"/>
        <v/>
      </c>
      <c r="AW808" s="138" t="str">
        <f t="shared" si="51"/>
        <v/>
      </c>
      <c r="AX808" s="139" t="str">
        <f>[1]!T.in.A[[#This Row],[ID_T_manu]]</f>
        <v/>
      </c>
      <c r="AY808" s="140" t="str">
        <f>IF(ISNUMBER(Tab.o1[[#This Row],[a1]]),IF(AND(Tab.o1[[#This Row],[a1]]=1,Tab.o1[[#This Row],[b1]]&lt;=AY$4),#REF!,AY807),"")</f>
        <v/>
      </c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6"/>
      <c r="BO808" s="26"/>
      <c r="BP808" s="26"/>
      <c r="BQ808" s="26"/>
      <c r="BR808" s="26"/>
      <c r="BS808" s="26"/>
      <c r="BT808" s="26"/>
      <c r="BU808" s="26"/>
      <c r="BV808" s="26"/>
      <c r="BW808" s="26"/>
      <c r="BX808" s="26"/>
      <c r="BY808" s="26"/>
      <c r="BZ808" s="26"/>
      <c r="CA808" s="26"/>
    </row>
    <row r="809" spans="1:79" s="143" customFormat="1" ht="15.75" hidden="1">
      <c r="A809" s="109">
        <v>1.0000000000000001E-5</v>
      </c>
      <c r="B809" s="110">
        <f t="shared" si="48"/>
        <v>809</v>
      </c>
      <c r="C809" s="111" t="str">
        <f>IF(C$1=[1]!T.in.A[[#This Row],[oo2]],1,"")</f>
        <v/>
      </c>
      <c r="D809" s="112" t="str">
        <f>IF(Tab.o1[[#This Row],[a1]]=1,IF(SUM(C809:C810)=0,0,IF(SUM(C808:C809)=1,1,IF(SUM(C808:C810)&gt;1,D808+1,0))),"")</f>
        <v/>
      </c>
      <c r="E809" s="113" t="str">
        <f>IF(Tab.o1[[#This Row],[a1]]=1,[1]!T.in.A[[#This Row],[oo1]],"")</f>
        <v/>
      </c>
      <c r="F809" s="113" t="str">
        <f>IF(Tab.o1[[#This Row],[a1]]=1,[1]!T.in.A[[#This Row],[pp1]],"")</f>
        <v/>
      </c>
      <c r="G809" s="114" t="str">
        <f>IF(Tab.o1[[#This Row],[a1]]=1,G$2+IF(G$1=1,0,Tab.o1[[#This Row],[.x1]])+[1]!T.in.A[[#This Row],[oo3]],"")</f>
        <v/>
      </c>
      <c r="H809" s="115" t="str">
        <f>IF(Tab.o1[[#This Row],[a1]]=1,IF(H$2=0,0,IF(G$1=1,0,Tab.o1[[#This Row],[.x1]])+[1]!T.in.A[[#This Row],[oo4]]),"")</f>
        <v/>
      </c>
      <c r="I809" s="116" t="str">
        <f>IF(Tab.o1[[#This Row],[a1]]=1,IF(J$2=0,Tab.o1[[#This Row],[MED]],Tab.o1[[#This Row],[MOD]]),"")</f>
        <v/>
      </c>
      <c r="J809" s="116" t="str">
        <f>IF(Tab.o1[[#This Row],[a1]]=1,((Tab.o1[[#This Row],[DIF_Target.]]-AVERAGE(Tab.o1[DIF_Target.]))/_xlfn.STDEV.P(Tab.o1[DIF_Target.])),"")</f>
        <v/>
      </c>
      <c r="K809" s="117" t="str">
        <f>IF(Tab.o1[[#This Row],[a1]]=1,IF(J$2=0,Tab.o1[[#This Row],[MOD]]-Tab.o1[[#This Row],[B]],IF(J$2=1,0,-Tab.o1[[#This Row],[MED]])+Tab.o1[[#This Row],[B]]),"")</f>
        <v/>
      </c>
      <c r="L809" s="117" t="str">
        <f ca="1">IF(Tab.o1[[#This Row],[DIF_Target]]=0,IF(L$2=0,Tab.o1[[#This Row],[DIF_Target]],AVERAGE(OFFSET(Tab.o1[[#This Row],[DIF_Target]],1,0,L$3,1)))/3,Tab.o1[[#This Row],[DIF_Target]])</f>
        <v/>
      </c>
      <c r="M809" s="118" t="str">
        <f>IF(Tab.o1[[#This Row],[a1]]=1,NORMSDIST(Tab.o1[[#This Row],[Za]]),"")</f>
        <v/>
      </c>
      <c r="N809" s="119" t="str">
        <f>IF(Tab.o1[[#This Row],[a1]]=1,((Tab.o1[[#This Row],[MedMod]]-AVERAGE(Tab.o1[MedMod]))/_xlfn.STDEV.P(Tab.o1[MedMod])*H$1205)+G$1205,"")</f>
        <v/>
      </c>
      <c r="O809" s="141" t="str">
        <f>IF(Tab.o1[[#This Row],[a1]]=1,Tab.o1[[#This Row],[Zb]]*_xlfn.STDEV.P(Tab.o1[MedMod])+AVERAGE(Tab.o1[MedMod]),"")</f>
        <v/>
      </c>
      <c r="P809" s="117" t="str">
        <f ca="1">IF(Tab.o1[[#This Row],[B]]=0,AVERAGE(OFFSET(Tab.o1[[#This Row],[B]],1,0,L$3,1)),Tab.o1[[#This Row],[B]])</f>
        <v/>
      </c>
      <c r="Q809" s="121" t="str">
        <f>IF(Tab.o1[[#This Row],[a1]]=1,NORMSDIST(Tab.o1[[#This Row],[Zb]]),"")</f>
        <v/>
      </c>
      <c r="R809" s="122" t="str">
        <f>IF(Tab.o1[[#This Row],[a1]]=1,((Tab.o1[[#This Row],[MedMod]]-AVERAGE(Tab.o1[MedMod]))/_xlfn.STDEV.P(Tab.o1[MedMod])*H$1203)+G$1203,"")</f>
        <v/>
      </c>
      <c r="S809" s="122" t="str">
        <f>IF(Tab.o1[[#This Row],[a1]]=1,((Tab.o1[[#This Row],[MedMod]]-AVERAGE(Tab.o1[MedMod]))/_xlfn.STDEV.P(Tab.o1[MedMod])*H$1204)+G$1204,"")</f>
        <v/>
      </c>
      <c r="T809" s="123" t="str">
        <f>IF(Tab.o1[[#This Row],[a1]]=1,Tab.o1[[#This Row],[Z-]]*_xlfn.STDEV.P(Tab.o1[B])+AVERAGE(Tab.o1[B]),"")</f>
        <v/>
      </c>
      <c r="U809" s="123" t="str">
        <f>IF(Tab.o1[[#This Row],[a1]]=1,Tab.o1[[#This Row],[z+]]*_xlfn.STDEV.P(Tab.o1[B])+AVERAGE(Tab.o1[B]),"")</f>
        <v/>
      </c>
      <c r="V809" s="124" t="str">
        <f>IF(Tab.o1[[#This Row],[a1]]=1,ABS((ABS(Tab.o1[[#This Row],[Red]]-Tab.o1[[#This Row],[Blue]]))),"")</f>
        <v/>
      </c>
      <c r="W809" s="125" t="str">
        <f>IF(Tab.o1[[#This Row],[a1]]=1,IF(W$3=0,1,Tab.o1[[#This Row],[Amp.]]*1/_xlfn.MINIFS(Tab.o1[Amp.],Tab.o1[Amp.],"&lt;&gt;0")),"")</f>
        <v/>
      </c>
      <c r="X809" s="126" t="str">
        <f>IF(Tab.o1[[#This Row],[a1]]=1,IF(ISNUMBER(Tab.o1[[#This Row],[i.]]),NORMDIST(Tab.o1[[#This Row],[Za]],0,1,FALSE)*Tab.o1[[#This Row],[i.]],AP$3),"")</f>
        <v/>
      </c>
      <c r="Y809" s="126" t="str">
        <f>IF(Tab.o1[[#This Row],[a1]]=1,0.01+0.94*Tab.o1[[#This Row],[PDF]]/MAX(Tab.o1[PDF]),"")</f>
        <v/>
      </c>
      <c r="Z809" s="126" t="str">
        <f>IF(Tab.o1[[#This Row],[a1]]=1,0.01+0.94*Tab.o1[[#This Row],[W1_PDF]]/MAX(Tab.o1[W1_PDF]),"")</f>
        <v/>
      </c>
      <c r="AA809" s="118" t="str">
        <f>IF(Tab.o1[[#This Row],[a1]]=1,ABS([1]!T.in.A[[#This Row],[oo6]]),"")</f>
        <v/>
      </c>
      <c r="AB809" s="127" t="str">
        <f>IF(Tab.o1[[#This Row],[a1]]=1,IF(AE$3=0,"",IF(AB$3=0,ABS([1]!T.in.A[[#This Row],[oo9]]),ABS(Tab.o1[[#This Row],[DIF_Target.]]*Tab.o1[[#This Row],[W1_PDF]]))),"")</f>
        <v/>
      </c>
      <c r="AC809" s="127" t="str">
        <f>IF(G$1=1,"",IF(Tab.o1[[#This Row],[a1]]=1,Tab.o1[[#This Row],[Wr]]^2,""))</f>
        <v/>
      </c>
      <c r="AD809" s="118" t="str">
        <f>IF(Tab.o1[[#This Row],[a1]]=1,IF(AE$3=0,"",Tab.o1[[#This Row],[Wr2]]/SUM(Tab.o1[Wr2])),"")</f>
        <v/>
      </c>
      <c r="AE809" s="128" t="str">
        <f>IF(Tab.o1[[#This Row],[a1]]=1,[1]!T.in.A[[#This Row],[oo10]],"")</f>
        <v/>
      </c>
      <c r="AF809" s="118" t="str">
        <f>IF(Tab.o1[[#This Row],[a1]]=1,ABS(Tab.o1[[#This Row],[DIF_Target.]]*Tab.o1[[#This Row],[PDF2]]*Tab.o1[[#This Row],[IN]]),"")</f>
        <v/>
      </c>
      <c r="AG809" s="129" t="str">
        <f>IF(Tab.o1[[#This Row],[a1]]=1,Tab.o1[[#This Row],[rW]]^2,"")</f>
        <v/>
      </c>
      <c r="AH809" s="130" t="str">
        <f>IF(Tab.o1[[#This Row],[a1]]=1,IF(AH$3=0,Tab.o1[[#This Row],[rW2]],0.01+0.94*Tab.o1[[#This Row],[rW2]]/SUM(Tab.o1[rW2])),"")</f>
        <v/>
      </c>
      <c r="AI809" s="128" t="str">
        <f>IF(Tab.o1[[#This Row],[a1]]=1,1/Tab.o1[[#This Row],[PDF]],"")</f>
        <v/>
      </c>
      <c r="AJ809" s="131" t="str">
        <f>IF(Tab.o1[[#This Row],[a1]]=1,[1]!T_AA[[#This Row],[IN'']]*[1]!T_AA[[#This Row],[Qde'']],"")</f>
        <v/>
      </c>
      <c r="AK809" s="132" t="str">
        <f>IF(Tab.o1[[#This Row],[a1]]=1,IF(AK$1=1,Tab.o1[[#This Row],[MED]]+Tab.o1[[#This Row],[MOD]]-Tab.o1[[#This Row],[MED]],""),"")</f>
        <v/>
      </c>
      <c r="AL809" s="133" t="str">
        <f>IF(Tab.o1[[#This Row],[a1]]=1,[1]!T.in.A[[#This Row],[oo16]],"")</f>
        <v/>
      </c>
      <c r="AM809" s="133" t="str">
        <f>IF(Tab.o1[[#This Row],[a1]]=1,IF(AM$3=1,[1]!T.in.A[[#This Row],[Σo16]],""),"")</f>
        <v/>
      </c>
      <c r="AN809" s="126" t="str">
        <f>IF(Tab.o1[[#This Row],[a1]]=1,[1]!T.in.A[[#This Row],[Σp5]],"")</f>
        <v/>
      </c>
      <c r="AO809" s="126" t="str">
        <f>IF(Tab.o1[[#This Row],[a1]]=1,IF(AO$3=1,[1]!T.in.A[[#This Row],[Σp5]],""),"")</f>
        <v/>
      </c>
      <c r="AP809" s="110" t="str">
        <f>IF(Tab.o1[[#This Row],[a1]]=1,IF(ISNUMBER(Tab.o1[[#This Row],[i.]]),NORMDIST(Tab.o1[[#This Row],[Za]],0,1,FALSE)*Tab.o1[[#This Row],[i.]],0),"")</f>
        <v/>
      </c>
      <c r="AQ809" s="125" t="str">
        <f>IF(Tab.o1[[#This Row],[a1]]=1,ABS(Tab.o1[[#This Row],[MOD]]-AVERAGE(Tab.o1[MOD])),"")</f>
        <v/>
      </c>
      <c r="AR809" s="134" t="str">
        <f>IF(Tab.o1[[#This Row],[a1]]=1,Tab.o1[[#This Row],[OBS]]/SUM(Tab.o1[OBS]),"")</f>
        <v/>
      </c>
      <c r="AS809" s="135" t="str">
        <f>IF(ISNUMBER(Tab.o1[[#This Row],[a1]]),ROW()-4,"")</f>
        <v/>
      </c>
      <c r="AT809" s="136" t="str">
        <f>Tab.o1[[#This Row],[MOD]]</f>
        <v/>
      </c>
      <c r="AU809" s="137" t="str">
        <f t="shared" si="49"/>
        <v/>
      </c>
      <c r="AV809" s="138" t="str">
        <f t="shared" si="50"/>
        <v/>
      </c>
      <c r="AW809" s="138" t="str">
        <f t="shared" si="51"/>
        <v/>
      </c>
      <c r="AX809" s="139" t="str">
        <f>[1]!T.in.A[[#This Row],[ID_T_manu]]</f>
        <v/>
      </c>
      <c r="AY809" s="140" t="str">
        <f>IF(ISNUMBER(Tab.o1[[#This Row],[a1]]),IF(AND(Tab.o1[[#This Row],[a1]]=1,Tab.o1[[#This Row],[b1]]&lt;=AY$4),#REF!,AY808),"")</f>
        <v/>
      </c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6"/>
      <c r="BO809" s="26"/>
      <c r="BP809" s="26"/>
      <c r="BQ809" s="26"/>
      <c r="BR809" s="26"/>
      <c r="BS809" s="26"/>
      <c r="BT809" s="26"/>
      <c r="BU809" s="26"/>
      <c r="BV809" s="26"/>
      <c r="BW809" s="26"/>
      <c r="BX809" s="26"/>
      <c r="BY809" s="26"/>
      <c r="BZ809" s="26"/>
      <c r="CA809" s="26"/>
    </row>
    <row r="810" spans="1:79" s="143" customFormat="1" ht="15.75" hidden="1">
      <c r="A810" s="109">
        <v>-8.0000000000000013E-6</v>
      </c>
      <c r="B810" s="110">
        <f t="shared" si="48"/>
        <v>810</v>
      </c>
      <c r="C810" s="111" t="str">
        <f>IF(C$1=[1]!T.in.A[[#This Row],[oo2]],1,"")</f>
        <v/>
      </c>
      <c r="D810" s="112" t="str">
        <f>IF(Tab.o1[[#This Row],[a1]]=1,IF(SUM(C810:C811)=0,0,IF(SUM(C809:C810)=1,1,IF(SUM(C809:C811)&gt;1,D809+1,0))),"")</f>
        <v/>
      </c>
      <c r="E810" s="113" t="str">
        <f>IF(Tab.o1[[#This Row],[a1]]=1,[1]!T.in.A[[#This Row],[oo1]],"")</f>
        <v/>
      </c>
      <c r="F810" s="113" t="str">
        <f>IF(Tab.o1[[#This Row],[a1]]=1,[1]!T.in.A[[#This Row],[pp1]],"")</f>
        <v/>
      </c>
      <c r="G810" s="114" t="str">
        <f>IF(Tab.o1[[#This Row],[a1]]=1,G$2+IF(G$1=1,0,Tab.o1[[#This Row],[.x1]])+[1]!T.in.A[[#This Row],[oo3]],"")</f>
        <v/>
      </c>
      <c r="H810" s="115" t="str">
        <f>IF(Tab.o1[[#This Row],[a1]]=1,IF(H$2=0,0,IF(G$1=1,0,Tab.o1[[#This Row],[.x1]])+[1]!T.in.A[[#This Row],[oo4]]),"")</f>
        <v/>
      </c>
      <c r="I810" s="116" t="str">
        <f>IF(Tab.o1[[#This Row],[a1]]=1,IF(J$2=0,Tab.o1[[#This Row],[MED]],Tab.o1[[#This Row],[MOD]]),"")</f>
        <v/>
      </c>
      <c r="J810" s="116" t="str">
        <f>IF(Tab.o1[[#This Row],[a1]]=1,((Tab.o1[[#This Row],[DIF_Target.]]-AVERAGE(Tab.o1[DIF_Target.]))/_xlfn.STDEV.P(Tab.o1[DIF_Target.])),"")</f>
        <v/>
      </c>
      <c r="K810" s="117" t="str">
        <f>IF(Tab.o1[[#This Row],[a1]]=1,IF(J$2=0,Tab.o1[[#This Row],[MOD]]-Tab.o1[[#This Row],[B]],IF(J$2=1,0,-Tab.o1[[#This Row],[MED]])+Tab.o1[[#This Row],[B]]),"")</f>
        <v/>
      </c>
      <c r="L810" s="117" t="str">
        <f ca="1">IF(Tab.o1[[#This Row],[DIF_Target]]=0,IF(L$2=0,Tab.o1[[#This Row],[DIF_Target]],AVERAGE(OFFSET(Tab.o1[[#This Row],[DIF_Target]],1,0,L$3,1)))/3,Tab.o1[[#This Row],[DIF_Target]])</f>
        <v/>
      </c>
      <c r="M810" s="118" t="str">
        <f>IF(Tab.o1[[#This Row],[a1]]=1,NORMSDIST(Tab.o1[[#This Row],[Za]]),"")</f>
        <v/>
      </c>
      <c r="N810" s="119" t="str">
        <f>IF(Tab.o1[[#This Row],[a1]]=1,((Tab.o1[[#This Row],[MedMod]]-AVERAGE(Tab.o1[MedMod]))/_xlfn.STDEV.P(Tab.o1[MedMod])*H$1205)+G$1205,"")</f>
        <v/>
      </c>
      <c r="O810" s="141" t="str">
        <f>IF(Tab.o1[[#This Row],[a1]]=1,Tab.o1[[#This Row],[Zb]]*_xlfn.STDEV.P(Tab.o1[MedMod])+AVERAGE(Tab.o1[MedMod]),"")</f>
        <v/>
      </c>
      <c r="P810" s="117" t="str">
        <f ca="1">IF(Tab.o1[[#This Row],[B]]=0,AVERAGE(OFFSET(Tab.o1[[#This Row],[B]],1,0,L$3,1)),Tab.o1[[#This Row],[B]])</f>
        <v/>
      </c>
      <c r="Q810" s="121" t="str">
        <f>IF(Tab.o1[[#This Row],[a1]]=1,NORMSDIST(Tab.o1[[#This Row],[Zb]]),"")</f>
        <v/>
      </c>
      <c r="R810" s="122" t="str">
        <f>IF(Tab.o1[[#This Row],[a1]]=1,((Tab.o1[[#This Row],[MedMod]]-AVERAGE(Tab.o1[MedMod]))/_xlfn.STDEV.P(Tab.o1[MedMod])*H$1203)+G$1203,"")</f>
        <v/>
      </c>
      <c r="S810" s="122" t="str">
        <f>IF(Tab.o1[[#This Row],[a1]]=1,((Tab.o1[[#This Row],[MedMod]]-AVERAGE(Tab.o1[MedMod]))/_xlfn.STDEV.P(Tab.o1[MedMod])*H$1204)+G$1204,"")</f>
        <v/>
      </c>
      <c r="T810" s="123" t="str">
        <f>IF(Tab.o1[[#This Row],[a1]]=1,Tab.o1[[#This Row],[Z-]]*_xlfn.STDEV.P(Tab.o1[B])+AVERAGE(Tab.o1[B]),"")</f>
        <v/>
      </c>
      <c r="U810" s="123" t="str">
        <f>IF(Tab.o1[[#This Row],[a1]]=1,Tab.o1[[#This Row],[z+]]*_xlfn.STDEV.P(Tab.o1[B])+AVERAGE(Tab.o1[B]),"")</f>
        <v/>
      </c>
      <c r="V810" s="124" t="str">
        <f>IF(Tab.o1[[#This Row],[a1]]=1,ABS((ABS(Tab.o1[[#This Row],[Red]]-Tab.o1[[#This Row],[Blue]]))),"")</f>
        <v/>
      </c>
      <c r="W810" s="125" t="str">
        <f>IF(Tab.o1[[#This Row],[a1]]=1,IF(W$3=0,1,Tab.o1[[#This Row],[Amp.]]*1/_xlfn.MINIFS(Tab.o1[Amp.],Tab.o1[Amp.],"&lt;&gt;0")),"")</f>
        <v/>
      </c>
      <c r="X810" s="126" t="str">
        <f>IF(Tab.o1[[#This Row],[a1]]=1,IF(ISNUMBER(Tab.o1[[#This Row],[i.]]),NORMDIST(Tab.o1[[#This Row],[Za]],0,1,FALSE)*Tab.o1[[#This Row],[i.]],AP$3),"")</f>
        <v/>
      </c>
      <c r="Y810" s="126" t="str">
        <f>IF(Tab.o1[[#This Row],[a1]]=1,0.01+0.94*Tab.o1[[#This Row],[PDF]]/MAX(Tab.o1[PDF]),"")</f>
        <v/>
      </c>
      <c r="Z810" s="126" t="str">
        <f>IF(Tab.o1[[#This Row],[a1]]=1,0.01+0.94*Tab.o1[[#This Row],[W1_PDF]]/MAX(Tab.o1[W1_PDF]),"")</f>
        <v/>
      </c>
      <c r="AA810" s="118" t="str">
        <f>IF(Tab.o1[[#This Row],[a1]]=1,ABS([1]!T.in.A[[#This Row],[oo6]]),"")</f>
        <v/>
      </c>
      <c r="AB810" s="127" t="str">
        <f>IF(Tab.o1[[#This Row],[a1]]=1,IF(AE$3=0,"",IF(AB$3=0,ABS([1]!T.in.A[[#This Row],[oo9]]),ABS(Tab.o1[[#This Row],[DIF_Target.]]*Tab.o1[[#This Row],[W1_PDF]]))),"")</f>
        <v/>
      </c>
      <c r="AC810" s="127" t="str">
        <f>IF(G$1=1,"",IF(Tab.o1[[#This Row],[a1]]=1,Tab.o1[[#This Row],[Wr]]^2,""))</f>
        <v/>
      </c>
      <c r="AD810" s="118" t="str">
        <f>IF(Tab.o1[[#This Row],[a1]]=1,IF(AE$3=0,"",Tab.o1[[#This Row],[Wr2]]/SUM(Tab.o1[Wr2])),"")</f>
        <v/>
      </c>
      <c r="AE810" s="128" t="str">
        <f>IF(Tab.o1[[#This Row],[a1]]=1,[1]!T.in.A[[#This Row],[oo10]],"")</f>
        <v/>
      </c>
      <c r="AF810" s="118" t="str">
        <f>IF(Tab.o1[[#This Row],[a1]]=1,ABS(Tab.o1[[#This Row],[DIF_Target.]]*Tab.o1[[#This Row],[PDF2]]*Tab.o1[[#This Row],[IN]]),"")</f>
        <v/>
      </c>
      <c r="AG810" s="129" t="str">
        <f>IF(Tab.o1[[#This Row],[a1]]=1,Tab.o1[[#This Row],[rW]]^2,"")</f>
        <v/>
      </c>
      <c r="AH810" s="130" t="str">
        <f>IF(Tab.o1[[#This Row],[a1]]=1,IF(AH$3=0,Tab.o1[[#This Row],[rW2]],0.01+0.94*Tab.o1[[#This Row],[rW2]]/SUM(Tab.o1[rW2])),"")</f>
        <v/>
      </c>
      <c r="AI810" s="128" t="str">
        <f>IF(Tab.o1[[#This Row],[a1]]=1,1/Tab.o1[[#This Row],[PDF]],"")</f>
        <v/>
      </c>
      <c r="AJ810" s="131" t="str">
        <f>IF(Tab.o1[[#This Row],[a1]]=1,[1]!T_AA[[#This Row],[IN'']]*[1]!T_AA[[#This Row],[Qde'']],"")</f>
        <v/>
      </c>
      <c r="AK810" s="132" t="str">
        <f>IF(Tab.o1[[#This Row],[a1]]=1,IF(AK$1=1,Tab.o1[[#This Row],[MED]]+Tab.o1[[#This Row],[MOD]]-Tab.o1[[#This Row],[MED]],""),"")</f>
        <v/>
      </c>
      <c r="AL810" s="133" t="str">
        <f>IF(Tab.o1[[#This Row],[a1]]=1,[1]!T.in.A[[#This Row],[oo16]],"")</f>
        <v/>
      </c>
      <c r="AM810" s="133" t="str">
        <f>IF(Tab.o1[[#This Row],[a1]]=1,IF(AM$3=1,[1]!T.in.A[[#This Row],[Σo16]],""),"")</f>
        <v/>
      </c>
      <c r="AN810" s="126" t="str">
        <f>IF(Tab.o1[[#This Row],[a1]]=1,[1]!T.in.A[[#This Row],[Σp5]],"")</f>
        <v/>
      </c>
      <c r="AO810" s="126" t="str">
        <f>IF(Tab.o1[[#This Row],[a1]]=1,IF(AO$3=1,[1]!T.in.A[[#This Row],[Σp5]],""),"")</f>
        <v/>
      </c>
      <c r="AP810" s="110" t="str">
        <f>IF(Tab.o1[[#This Row],[a1]]=1,IF(ISNUMBER(Tab.o1[[#This Row],[i.]]),NORMDIST(Tab.o1[[#This Row],[Za]],0,1,FALSE)*Tab.o1[[#This Row],[i.]],0),"")</f>
        <v/>
      </c>
      <c r="AQ810" s="125" t="str">
        <f>IF(Tab.o1[[#This Row],[a1]]=1,ABS(Tab.o1[[#This Row],[MOD]]-AVERAGE(Tab.o1[MOD])),"")</f>
        <v/>
      </c>
      <c r="AR810" s="134" t="str">
        <f>IF(Tab.o1[[#This Row],[a1]]=1,Tab.o1[[#This Row],[OBS]]/SUM(Tab.o1[OBS]),"")</f>
        <v/>
      </c>
      <c r="AS810" s="135" t="str">
        <f>IF(ISNUMBER(Tab.o1[[#This Row],[a1]]),ROW()-4,"")</f>
        <v/>
      </c>
      <c r="AT810" s="136" t="str">
        <f>Tab.o1[[#This Row],[MOD]]</f>
        <v/>
      </c>
      <c r="AU810" s="137" t="str">
        <f t="shared" si="49"/>
        <v/>
      </c>
      <c r="AV810" s="138" t="str">
        <f t="shared" si="50"/>
        <v/>
      </c>
      <c r="AW810" s="138" t="str">
        <f t="shared" si="51"/>
        <v/>
      </c>
      <c r="AX810" s="139" t="str">
        <f>[1]!T.in.A[[#This Row],[ID_T_manu]]</f>
        <v/>
      </c>
      <c r="AY810" s="140" t="str">
        <f>IF(ISNUMBER(Tab.o1[[#This Row],[a1]]),IF(AND(Tab.o1[[#This Row],[a1]]=1,Tab.o1[[#This Row],[b1]]&lt;=AY$4),#REF!,AY809),"")</f>
        <v/>
      </c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6"/>
      <c r="BO810" s="26"/>
      <c r="BP810" s="26"/>
      <c r="BQ810" s="26"/>
      <c r="BR810" s="26"/>
      <c r="BS810" s="26"/>
      <c r="BT810" s="26"/>
      <c r="BU810" s="26"/>
      <c r="BV810" s="26"/>
      <c r="BW810" s="26"/>
      <c r="BX810" s="26"/>
      <c r="BY810" s="26"/>
      <c r="BZ810" s="26"/>
      <c r="CA810" s="26"/>
    </row>
    <row r="811" spans="1:79" s="143" customFormat="1" ht="15.75" hidden="1">
      <c r="A811" s="109">
        <v>-4.0000000000000007E-6</v>
      </c>
      <c r="B811" s="110">
        <f t="shared" si="48"/>
        <v>811</v>
      </c>
      <c r="C811" s="111" t="str">
        <f>IF(C$1=[1]!T.in.A[[#This Row],[oo2]],1,"")</f>
        <v/>
      </c>
      <c r="D811" s="112" t="str">
        <f>IF(Tab.o1[[#This Row],[a1]]=1,IF(SUM(C811:C812)=0,0,IF(SUM(C810:C811)=1,1,IF(SUM(C810:C812)&gt;1,D810+1,0))),"")</f>
        <v/>
      </c>
      <c r="E811" s="113" t="str">
        <f>IF(Tab.o1[[#This Row],[a1]]=1,[1]!T.in.A[[#This Row],[oo1]],"")</f>
        <v/>
      </c>
      <c r="F811" s="113" t="str">
        <f>IF(Tab.o1[[#This Row],[a1]]=1,[1]!T.in.A[[#This Row],[pp1]],"")</f>
        <v/>
      </c>
      <c r="G811" s="114" t="str">
        <f>IF(Tab.o1[[#This Row],[a1]]=1,G$2+IF(G$1=1,0,Tab.o1[[#This Row],[.x1]])+[1]!T.in.A[[#This Row],[oo3]],"")</f>
        <v/>
      </c>
      <c r="H811" s="115" t="str">
        <f>IF(Tab.o1[[#This Row],[a1]]=1,IF(H$2=0,0,IF(G$1=1,0,Tab.o1[[#This Row],[.x1]])+[1]!T.in.A[[#This Row],[oo4]]),"")</f>
        <v/>
      </c>
      <c r="I811" s="116" t="str">
        <f>IF(Tab.o1[[#This Row],[a1]]=1,IF(J$2=0,Tab.o1[[#This Row],[MED]],Tab.o1[[#This Row],[MOD]]),"")</f>
        <v/>
      </c>
      <c r="J811" s="116" t="str">
        <f>IF(Tab.o1[[#This Row],[a1]]=1,((Tab.o1[[#This Row],[DIF_Target.]]-AVERAGE(Tab.o1[DIF_Target.]))/_xlfn.STDEV.P(Tab.o1[DIF_Target.])),"")</f>
        <v/>
      </c>
      <c r="K811" s="117" t="str">
        <f>IF(Tab.o1[[#This Row],[a1]]=1,IF(J$2=0,Tab.o1[[#This Row],[MOD]]-Tab.o1[[#This Row],[B]],IF(J$2=1,0,-Tab.o1[[#This Row],[MED]])+Tab.o1[[#This Row],[B]]),"")</f>
        <v/>
      </c>
      <c r="L811" s="117" t="str">
        <f ca="1">IF(Tab.o1[[#This Row],[DIF_Target]]=0,IF(L$2=0,Tab.o1[[#This Row],[DIF_Target]],AVERAGE(OFFSET(Tab.o1[[#This Row],[DIF_Target]],1,0,L$3,1)))/3,Tab.o1[[#This Row],[DIF_Target]])</f>
        <v/>
      </c>
      <c r="M811" s="118" t="str">
        <f>IF(Tab.o1[[#This Row],[a1]]=1,NORMSDIST(Tab.o1[[#This Row],[Za]]),"")</f>
        <v/>
      </c>
      <c r="N811" s="119" t="str">
        <f>IF(Tab.o1[[#This Row],[a1]]=1,((Tab.o1[[#This Row],[MedMod]]-AVERAGE(Tab.o1[MedMod]))/_xlfn.STDEV.P(Tab.o1[MedMod])*H$1205)+G$1205,"")</f>
        <v/>
      </c>
      <c r="O811" s="141" t="str">
        <f>IF(Tab.o1[[#This Row],[a1]]=1,Tab.o1[[#This Row],[Zb]]*_xlfn.STDEV.P(Tab.o1[MedMod])+AVERAGE(Tab.o1[MedMod]),"")</f>
        <v/>
      </c>
      <c r="P811" s="117" t="str">
        <f ca="1">IF(Tab.o1[[#This Row],[B]]=0,AVERAGE(OFFSET(Tab.o1[[#This Row],[B]],1,0,L$3,1)),Tab.o1[[#This Row],[B]])</f>
        <v/>
      </c>
      <c r="Q811" s="121" t="str">
        <f>IF(Tab.o1[[#This Row],[a1]]=1,NORMSDIST(Tab.o1[[#This Row],[Zb]]),"")</f>
        <v/>
      </c>
      <c r="R811" s="122" t="str">
        <f>IF(Tab.o1[[#This Row],[a1]]=1,((Tab.o1[[#This Row],[MedMod]]-AVERAGE(Tab.o1[MedMod]))/_xlfn.STDEV.P(Tab.o1[MedMod])*H$1203)+G$1203,"")</f>
        <v/>
      </c>
      <c r="S811" s="122" t="str">
        <f>IF(Tab.o1[[#This Row],[a1]]=1,((Tab.o1[[#This Row],[MedMod]]-AVERAGE(Tab.o1[MedMod]))/_xlfn.STDEV.P(Tab.o1[MedMod])*H$1204)+G$1204,"")</f>
        <v/>
      </c>
      <c r="T811" s="123" t="str">
        <f>IF(Tab.o1[[#This Row],[a1]]=1,Tab.o1[[#This Row],[Z-]]*_xlfn.STDEV.P(Tab.o1[B])+AVERAGE(Tab.o1[B]),"")</f>
        <v/>
      </c>
      <c r="U811" s="123" t="str">
        <f>IF(Tab.o1[[#This Row],[a1]]=1,Tab.o1[[#This Row],[z+]]*_xlfn.STDEV.P(Tab.o1[B])+AVERAGE(Tab.o1[B]),"")</f>
        <v/>
      </c>
      <c r="V811" s="124" t="str">
        <f>IF(Tab.o1[[#This Row],[a1]]=1,ABS((ABS(Tab.o1[[#This Row],[Red]]-Tab.o1[[#This Row],[Blue]]))),"")</f>
        <v/>
      </c>
      <c r="W811" s="125" t="str">
        <f>IF(Tab.o1[[#This Row],[a1]]=1,IF(W$3=0,1,Tab.o1[[#This Row],[Amp.]]*1/_xlfn.MINIFS(Tab.o1[Amp.],Tab.o1[Amp.],"&lt;&gt;0")),"")</f>
        <v/>
      </c>
      <c r="X811" s="126" t="str">
        <f>IF(Tab.o1[[#This Row],[a1]]=1,IF(ISNUMBER(Tab.o1[[#This Row],[i.]]),NORMDIST(Tab.o1[[#This Row],[Za]],0,1,FALSE)*Tab.o1[[#This Row],[i.]],AP$3),"")</f>
        <v/>
      </c>
      <c r="Y811" s="126" t="str">
        <f>IF(Tab.o1[[#This Row],[a1]]=1,0.01+0.94*Tab.o1[[#This Row],[PDF]]/MAX(Tab.o1[PDF]),"")</f>
        <v/>
      </c>
      <c r="Z811" s="126" t="str">
        <f>IF(Tab.o1[[#This Row],[a1]]=1,0.01+0.94*Tab.o1[[#This Row],[W1_PDF]]/MAX(Tab.o1[W1_PDF]),"")</f>
        <v/>
      </c>
      <c r="AA811" s="118" t="str">
        <f>IF(Tab.o1[[#This Row],[a1]]=1,ABS([1]!T.in.A[[#This Row],[oo6]]),"")</f>
        <v/>
      </c>
      <c r="AB811" s="127" t="str">
        <f>IF(Tab.o1[[#This Row],[a1]]=1,IF(AE$3=0,"",IF(AB$3=0,ABS([1]!T.in.A[[#This Row],[oo9]]),ABS(Tab.o1[[#This Row],[DIF_Target.]]*Tab.o1[[#This Row],[W1_PDF]]))),"")</f>
        <v/>
      </c>
      <c r="AC811" s="127" t="str">
        <f>IF(G$1=1,"",IF(Tab.o1[[#This Row],[a1]]=1,Tab.o1[[#This Row],[Wr]]^2,""))</f>
        <v/>
      </c>
      <c r="AD811" s="118" t="str">
        <f>IF(Tab.o1[[#This Row],[a1]]=1,IF(AE$3=0,"",Tab.o1[[#This Row],[Wr2]]/SUM(Tab.o1[Wr2])),"")</f>
        <v/>
      </c>
      <c r="AE811" s="128" t="str">
        <f>IF(Tab.o1[[#This Row],[a1]]=1,[1]!T.in.A[[#This Row],[oo10]],"")</f>
        <v/>
      </c>
      <c r="AF811" s="118" t="str">
        <f>IF(Tab.o1[[#This Row],[a1]]=1,ABS(Tab.o1[[#This Row],[DIF_Target.]]*Tab.o1[[#This Row],[PDF2]]*Tab.o1[[#This Row],[IN]]),"")</f>
        <v/>
      </c>
      <c r="AG811" s="129" t="str">
        <f>IF(Tab.o1[[#This Row],[a1]]=1,Tab.o1[[#This Row],[rW]]^2,"")</f>
        <v/>
      </c>
      <c r="AH811" s="130" t="str">
        <f>IF(Tab.o1[[#This Row],[a1]]=1,IF(AH$3=0,Tab.o1[[#This Row],[rW2]],0.01+0.94*Tab.o1[[#This Row],[rW2]]/SUM(Tab.o1[rW2])),"")</f>
        <v/>
      </c>
      <c r="AI811" s="128" t="str">
        <f>IF(Tab.o1[[#This Row],[a1]]=1,1/Tab.o1[[#This Row],[PDF]],"")</f>
        <v/>
      </c>
      <c r="AJ811" s="131" t="str">
        <f>IF(Tab.o1[[#This Row],[a1]]=1,[1]!T_AA[[#This Row],[IN'']]*[1]!T_AA[[#This Row],[Qde'']],"")</f>
        <v/>
      </c>
      <c r="AK811" s="132" t="str">
        <f>IF(Tab.o1[[#This Row],[a1]]=1,IF(AK$1=1,Tab.o1[[#This Row],[MED]]+Tab.o1[[#This Row],[MOD]]-Tab.o1[[#This Row],[MED]],""),"")</f>
        <v/>
      </c>
      <c r="AL811" s="133" t="str">
        <f>IF(Tab.o1[[#This Row],[a1]]=1,[1]!T.in.A[[#This Row],[oo16]],"")</f>
        <v/>
      </c>
      <c r="AM811" s="133" t="str">
        <f>IF(Tab.o1[[#This Row],[a1]]=1,IF(AM$3=1,[1]!T.in.A[[#This Row],[Σo16]],""),"")</f>
        <v/>
      </c>
      <c r="AN811" s="126" t="str">
        <f>IF(Tab.o1[[#This Row],[a1]]=1,[1]!T.in.A[[#This Row],[Σp5]],"")</f>
        <v/>
      </c>
      <c r="AO811" s="126" t="str">
        <f>IF(Tab.o1[[#This Row],[a1]]=1,IF(AO$3=1,[1]!T.in.A[[#This Row],[Σp5]],""),"")</f>
        <v/>
      </c>
      <c r="AP811" s="110" t="str">
        <f>IF(Tab.o1[[#This Row],[a1]]=1,IF(ISNUMBER(Tab.o1[[#This Row],[i.]]),NORMDIST(Tab.o1[[#This Row],[Za]],0,1,FALSE)*Tab.o1[[#This Row],[i.]],0),"")</f>
        <v/>
      </c>
      <c r="AQ811" s="125" t="str">
        <f>IF(Tab.o1[[#This Row],[a1]]=1,ABS(Tab.o1[[#This Row],[MOD]]-AVERAGE(Tab.o1[MOD])),"")</f>
        <v/>
      </c>
      <c r="AR811" s="134" t="str">
        <f>IF(Tab.o1[[#This Row],[a1]]=1,Tab.o1[[#This Row],[OBS]]/SUM(Tab.o1[OBS]),"")</f>
        <v/>
      </c>
      <c r="AS811" s="135" t="str">
        <f>IF(ISNUMBER(Tab.o1[[#This Row],[a1]]),ROW()-4,"")</f>
        <v/>
      </c>
      <c r="AT811" s="136" t="str">
        <f>Tab.o1[[#This Row],[MOD]]</f>
        <v/>
      </c>
      <c r="AU811" s="137" t="str">
        <f t="shared" si="49"/>
        <v/>
      </c>
      <c r="AV811" s="138" t="str">
        <f t="shared" si="50"/>
        <v/>
      </c>
      <c r="AW811" s="138" t="str">
        <f t="shared" si="51"/>
        <v/>
      </c>
      <c r="AX811" s="139" t="str">
        <f>[1]!T.in.A[[#This Row],[ID_T_manu]]</f>
        <v/>
      </c>
      <c r="AY811" s="140" t="str">
        <f>IF(ISNUMBER(Tab.o1[[#This Row],[a1]]),IF(AND(Tab.o1[[#This Row],[a1]]=1,Tab.o1[[#This Row],[b1]]&lt;=AY$4),#REF!,AY810),"")</f>
        <v/>
      </c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6"/>
      <c r="BO811" s="26"/>
      <c r="BP811" s="26"/>
      <c r="BQ811" s="26"/>
      <c r="BR811" s="26"/>
      <c r="BS811" s="26"/>
      <c r="BT811" s="26"/>
      <c r="BU811" s="26"/>
      <c r="BV811" s="26"/>
      <c r="BW811" s="26"/>
      <c r="BX811" s="26"/>
      <c r="BY811" s="26"/>
      <c r="BZ811" s="26"/>
      <c r="CA811" s="26"/>
    </row>
    <row r="812" spans="1:79" s="143" customFormat="1" ht="15.75" hidden="1">
      <c r="A812" s="109">
        <v>1.0000000000000002E-6</v>
      </c>
      <c r="B812" s="110">
        <f t="shared" si="48"/>
        <v>812</v>
      </c>
      <c r="C812" s="111" t="str">
        <f>IF(C$1=[1]!T.in.A[[#This Row],[oo2]],1,"")</f>
        <v/>
      </c>
      <c r="D812" s="112" t="str">
        <f>IF(Tab.o1[[#This Row],[a1]]=1,IF(SUM(C812:C813)=0,0,IF(SUM(C811:C812)=1,1,IF(SUM(C811:C813)&gt;1,D811+1,0))),"")</f>
        <v/>
      </c>
      <c r="E812" s="113" t="str">
        <f>IF(Tab.o1[[#This Row],[a1]]=1,[1]!T.in.A[[#This Row],[oo1]],"")</f>
        <v/>
      </c>
      <c r="F812" s="113" t="str">
        <f>IF(Tab.o1[[#This Row],[a1]]=1,[1]!T.in.A[[#This Row],[pp1]],"")</f>
        <v/>
      </c>
      <c r="G812" s="114" t="str">
        <f>IF(Tab.o1[[#This Row],[a1]]=1,G$2+IF(G$1=1,0,Tab.o1[[#This Row],[.x1]])+[1]!T.in.A[[#This Row],[oo3]],"")</f>
        <v/>
      </c>
      <c r="H812" s="115" t="str">
        <f>IF(Tab.o1[[#This Row],[a1]]=1,IF(H$2=0,0,IF(G$1=1,0,Tab.o1[[#This Row],[.x1]])+[1]!T.in.A[[#This Row],[oo4]]),"")</f>
        <v/>
      </c>
      <c r="I812" s="116" t="str">
        <f>IF(Tab.o1[[#This Row],[a1]]=1,IF(J$2=0,Tab.o1[[#This Row],[MED]],Tab.o1[[#This Row],[MOD]]),"")</f>
        <v/>
      </c>
      <c r="J812" s="116" t="str">
        <f>IF(Tab.o1[[#This Row],[a1]]=1,((Tab.o1[[#This Row],[DIF_Target.]]-AVERAGE(Tab.o1[DIF_Target.]))/_xlfn.STDEV.P(Tab.o1[DIF_Target.])),"")</f>
        <v/>
      </c>
      <c r="K812" s="117" t="str">
        <f>IF(Tab.o1[[#This Row],[a1]]=1,IF(J$2=0,Tab.o1[[#This Row],[MOD]]-Tab.o1[[#This Row],[B]],IF(J$2=1,0,-Tab.o1[[#This Row],[MED]])+Tab.o1[[#This Row],[B]]),"")</f>
        <v/>
      </c>
      <c r="L812" s="117" t="str">
        <f ca="1">IF(Tab.o1[[#This Row],[DIF_Target]]=0,IF(L$2=0,Tab.o1[[#This Row],[DIF_Target]],AVERAGE(OFFSET(Tab.o1[[#This Row],[DIF_Target]],1,0,L$3,1)))/3,Tab.o1[[#This Row],[DIF_Target]])</f>
        <v/>
      </c>
      <c r="M812" s="118" t="str">
        <f>IF(Tab.o1[[#This Row],[a1]]=1,NORMSDIST(Tab.o1[[#This Row],[Za]]),"")</f>
        <v/>
      </c>
      <c r="N812" s="119" t="str">
        <f>IF(Tab.o1[[#This Row],[a1]]=1,((Tab.o1[[#This Row],[MedMod]]-AVERAGE(Tab.o1[MedMod]))/_xlfn.STDEV.P(Tab.o1[MedMod])*H$1205)+G$1205,"")</f>
        <v/>
      </c>
      <c r="O812" s="141" t="str">
        <f>IF(Tab.o1[[#This Row],[a1]]=1,Tab.o1[[#This Row],[Zb]]*_xlfn.STDEV.P(Tab.o1[MedMod])+AVERAGE(Tab.o1[MedMod]),"")</f>
        <v/>
      </c>
      <c r="P812" s="117" t="str">
        <f ca="1">IF(Tab.o1[[#This Row],[B]]=0,AVERAGE(OFFSET(Tab.o1[[#This Row],[B]],1,0,L$3,1)),Tab.o1[[#This Row],[B]])</f>
        <v/>
      </c>
      <c r="Q812" s="121" t="str">
        <f>IF(Tab.o1[[#This Row],[a1]]=1,NORMSDIST(Tab.o1[[#This Row],[Zb]]),"")</f>
        <v/>
      </c>
      <c r="R812" s="122" t="str">
        <f>IF(Tab.o1[[#This Row],[a1]]=1,((Tab.o1[[#This Row],[MedMod]]-AVERAGE(Tab.o1[MedMod]))/_xlfn.STDEV.P(Tab.o1[MedMod])*H$1203)+G$1203,"")</f>
        <v/>
      </c>
      <c r="S812" s="122" t="str">
        <f>IF(Tab.o1[[#This Row],[a1]]=1,((Tab.o1[[#This Row],[MedMod]]-AVERAGE(Tab.o1[MedMod]))/_xlfn.STDEV.P(Tab.o1[MedMod])*H$1204)+G$1204,"")</f>
        <v/>
      </c>
      <c r="T812" s="123" t="str">
        <f>IF(Tab.o1[[#This Row],[a1]]=1,Tab.o1[[#This Row],[Z-]]*_xlfn.STDEV.P(Tab.o1[B])+AVERAGE(Tab.o1[B]),"")</f>
        <v/>
      </c>
      <c r="U812" s="123" t="str">
        <f>IF(Tab.o1[[#This Row],[a1]]=1,Tab.o1[[#This Row],[z+]]*_xlfn.STDEV.P(Tab.o1[B])+AVERAGE(Tab.o1[B]),"")</f>
        <v/>
      </c>
      <c r="V812" s="124" t="str">
        <f>IF(Tab.o1[[#This Row],[a1]]=1,ABS((ABS(Tab.o1[[#This Row],[Red]]-Tab.o1[[#This Row],[Blue]]))),"")</f>
        <v/>
      </c>
      <c r="W812" s="125" t="str">
        <f>IF(Tab.o1[[#This Row],[a1]]=1,IF(W$3=0,1,Tab.o1[[#This Row],[Amp.]]*1/_xlfn.MINIFS(Tab.o1[Amp.],Tab.o1[Amp.],"&lt;&gt;0")),"")</f>
        <v/>
      </c>
      <c r="X812" s="126" t="str">
        <f>IF(Tab.o1[[#This Row],[a1]]=1,IF(ISNUMBER(Tab.o1[[#This Row],[i.]]),NORMDIST(Tab.o1[[#This Row],[Za]],0,1,FALSE)*Tab.o1[[#This Row],[i.]],AP$3),"")</f>
        <v/>
      </c>
      <c r="Y812" s="126" t="str">
        <f>IF(Tab.o1[[#This Row],[a1]]=1,0.01+0.94*Tab.o1[[#This Row],[PDF]]/MAX(Tab.o1[PDF]),"")</f>
        <v/>
      </c>
      <c r="Z812" s="126" t="str">
        <f>IF(Tab.o1[[#This Row],[a1]]=1,0.01+0.94*Tab.o1[[#This Row],[W1_PDF]]/MAX(Tab.o1[W1_PDF]),"")</f>
        <v/>
      </c>
      <c r="AA812" s="118" t="str">
        <f>IF(Tab.o1[[#This Row],[a1]]=1,ABS([1]!T.in.A[[#This Row],[oo6]]),"")</f>
        <v/>
      </c>
      <c r="AB812" s="127" t="str">
        <f>IF(Tab.o1[[#This Row],[a1]]=1,IF(AE$3=0,"",IF(AB$3=0,ABS([1]!T.in.A[[#This Row],[oo9]]),ABS(Tab.o1[[#This Row],[DIF_Target.]]*Tab.o1[[#This Row],[W1_PDF]]))),"")</f>
        <v/>
      </c>
      <c r="AC812" s="127" t="str">
        <f>IF(G$1=1,"",IF(Tab.o1[[#This Row],[a1]]=1,Tab.o1[[#This Row],[Wr]]^2,""))</f>
        <v/>
      </c>
      <c r="AD812" s="118" t="str">
        <f>IF(Tab.o1[[#This Row],[a1]]=1,IF(AE$3=0,"",Tab.o1[[#This Row],[Wr2]]/SUM(Tab.o1[Wr2])),"")</f>
        <v/>
      </c>
      <c r="AE812" s="128" t="str">
        <f>IF(Tab.o1[[#This Row],[a1]]=1,[1]!T.in.A[[#This Row],[oo10]],"")</f>
        <v/>
      </c>
      <c r="AF812" s="118" t="str">
        <f>IF(Tab.o1[[#This Row],[a1]]=1,ABS(Tab.o1[[#This Row],[DIF_Target.]]*Tab.o1[[#This Row],[PDF2]]*Tab.o1[[#This Row],[IN]]),"")</f>
        <v/>
      </c>
      <c r="AG812" s="129" t="str">
        <f>IF(Tab.o1[[#This Row],[a1]]=1,Tab.o1[[#This Row],[rW]]^2,"")</f>
        <v/>
      </c>
      <c r="AH812" s="130" t="str">
        <f>IF(Tab.o1[[#This Row],[a1]]=1,IF(AH$3=0,Tab.o1[[#This Row],[rW2]],0.01+0.94*Tab.o1[[#This Row],[rW2]]/SUM(Tab.o1[rW2])),"")</f>
        <v/>
      </c>
      <c r="AI812" s="128" t="str">
        <f>IF(Tab.o1[[#This Row],[a1]]=1,1/Tab.o1[[#This Row],[PDF]],"")</f>
        <v/>
      </c>
      <c r="AJ812" s="131" t="str">
        <f>IF(Tab.o1[[#This Row],[a1]]=1,[1]!T_AA[[#This Row],[IN'']]*[1]!T_AA[[#This Row],[Qde'']],"")</f>
        <v/>
      </c>
      <c r="AK812" s="132" t="str">
        <f>IF(Tab.o1[[#This Row],[a1]]=1,IF(AK$1=1,Tab.o1[[#This Row],[MED]]+Tab.o1[[#This Row],[MOD]]-Tab.o1[[#This Row],[MED]],""),"")</f>
        <v/>
      </c>
      <c r="AL812" s="133" t="str">
        <f>IF(Tab.o1[[#This Row],[a1]]=1,[1]!T.in.A[[#This Row],[oo16]],"")</f>
        <v/>
      </c>
      <c r="AM812" s="133" t="str">
        <f>IF(Tab.o1[[#This Row],[a1]]=1,IF(AM$3=1,[1]!T.in.A[[#This Row],[Σo16]],""),"")</f>
        <v/>
      </c>
      <c r="AN812" s="126" t="str">
        <f>IF(Tab.o1[[#This Row],[a1]]=1,[1]!T.in.A[[#This Row],[Σp5]],"")</f>
        <v/>
      </c>
      <c r="AO812" s="126" t="str">
        <f>IF(Tab.o1[[#This Row],[a1]]=1,IF(AO$3=1,[1]!T.in.A[[#This Row],[Σp5]],""),"")</f>
        <v/>
      </c>
      <c r="AP812" s="110" t="str">
        <f>IF(Tab.o1[[#This Row],[a1]]=1,IF(ISNUMBER(Tab.o1[[#This Row],[i.]]),NORMDIST(Tab.o1[[#This Row],[Za]],0,1,FALSE)*Tab.o1[[#This Row],[i.]],0),"")</f>
        <v/>
      </c>
      <c r="AQ812" s="125" t="str">
        <f>IF(Tab.o1[[#This Row],[a1]]=1,ABS(Tab.o1[[#This Row],[MOD]]-AVERAGE(Tab.o1[MOD])),"")</f>
        <v/>
      </c>
      <c r="AR812" s="134" t="str">
        <f>IF(Tab.o1[[#This Row],[a1]]=1,Tab.o1[[#This Row],[OBS]]/SUM(Tab.o1[OBS]),"")</f>
        <v/>
      </c>
      <c r="AS812" s="135" t="str">
        <f>IF(ISNUMBER(Tab.o1[[#This Row],[a1]]),ROW()-4,"")</f>
        <v/>
      </c>
      <c r="AT812" s="136" t="str">
        <f>Tab.o1[[#This Row],[MOD]]</f>
        <v/>
      </c>
      <c r="AU812" s="137" t="str">
        <f t="shared" si="49"/>
        <v/>
      </c>
      <c r="AV812" s="138" t="str">
        <f t="shared" si="50"/>
        <v/>
      </c>
      <c r="AW812" s="138" t="str">
        <f t="shared" si="51"/>
        <v/>
      </c>
      <c r="AX812" s="139" t="str">
        <f>[1]!T.in.A[[#This Row],[ID_T_manu]]</f>
        <v/>
      </c>
      <c r="AY812" s="140" t="str">
        <f>IF(ISNUMBER(Tab.o1[[#This Row],[a1]]),IF(AND(Tab.o1[[#This Row],[a1]]=1,Tab.o1[[#This Row],[b1]]&lt;=AY$4),#REF!,AY811),"")</f>
        <v/>
      </c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6"/>
      <c r="BO812" s="26"/>
      <c r="BP812" s="26"/>
      <c r="BQ812" s="26"/>
      <c r="BR812" s="26"/>
      <c r="BS812" s="26"/>
      <c r="BT812" s="26"/>
      <c r="BU812" s="26"/>
      <c r="BV812" s="26"/>
      <c r="BW812" s="26"/>
      <c r="BX812" s="26"/>
      <c r="BY812" s="26"/>
      <c r="BZ812" s="26"/>
      <c r="CA812" s="26"/>
    </row>
    <row r="813" spans="1:79" s="143" customFormat="1" ht="15.75" hidden="1">
      <c r="A813" s="109">
        <v>5.9999999999999993E-6</v>
      </c>
      <c r="B813" s="110">
        <f t="shared" si="48"/>
        <v>813</v>
      </c>
      <c r="C813" s="111" t="str">
        <f>IF(C$1=[1]!T.in.A[[#This Row],[oo2]],1,"")</f>
        <v/>
      </c>
      <c r="D813" s="112" t="str">
        <f>IF(Tab.o1[[#This Row],[a1]]=1,IF(SUM(C813:C814)=0,0,IF(SUM(C812:C813)=1,1,IF(SUM(C812:C814)&gt;1,D812+1,0))),"")</f>
        <v/>
      </c>
      <c r="E813" s="113" t="str">
        <f>IF(Tab.o1[[#This Row],[a1]]=1,[1]!T.in.A[[#This Row],[oo1]],"")</f>
        <v/>
      </c>
      <c r="F813" s="113" t="str">
        <f>IF(Tab.o1[[#This Row],[a1]]=1,[1]!T.in.A[[#This Row],[pp1]],"")</f>
        <v/>
      </c>
      <c r="G813" s="114" t="str">
        <f>IF(Tab.o1[[#This Row],[a1]]=1,G$2+IF(G$1=1,0,Tab.o1[[#This Row],[.x1]])+[1]!T.in.A[[#This Row],[oo3]],"")</f>
        <v/>
      </c>
      <c r="H813" s="115" t="str">
        <f>IF(Tab.o1[[#This Row],[a1]]=1,IF(H$2=0,0,IF(G$1=1,0,Tab.o1[[#This Row],[.x1]])+[1]!T.in.A[[#This Row],[oo4]]),"")</f>
        <v/>
      </c>
      <c r="I813" s="116" t="str">
        <f>IF(Tab.o1[[#This Row],[a1]]=1,IF(J$2=0,Tab.o1[[#This Row],[MED]],Tab.o1[[#This Row],[MOD]]),"")</f>
        <v/>
      </c>
      <c r="J813" s="116" t="str">
        <f>IF(Tab.o1[[#This Row],[a1]]=1,((Tab.o1[[#This Row],[DIF_Target.]]-AVERAGE(Tab.o1[DIF_Target.]))/_xlfn.STDEV.P(Tab.o1[DIF_Target.])),"")</f>
        <v/>
      </c>
      <c r="K813" s="117" t="str">
        <f>IF(Tab.o1[[#This Row],[a1]]=1,IF(J$2=0,Tab.o1[[#This Row],[MOD]]-Tab.o1[[#This Row],[B]],IF(J$2=1,0,-Tab.o1[[#This Row],[MED]])+Tab.o1[[#This Row],[B]]),"")</f>
        <v/>
      </c>
      <c r="L813" s="117" t="str">
        <f ca="1">IF(Tab.o1[[#This Row],[DIF_Target]]=0,IF(L$2=0,Tab.o1[[#This Row],[DIF_Target]],AVERAGE(OFFSET(Tab.o1[[#This Row],[DIF_Target]],1,0,L$3,1)))/3,Tab.o1[[#This Row],[DIF_Target]])</f>
        <v/>
      </c>
      <c r="M813" s="118" t="str">
        <f>IF(Tab.o1[[#This Row],[a1]]=1,NORMSDIST(Tab.o1[[#This Row],[Za]]),"")</f>
        <v/>
      </c>
      <c r="N813" s="119" t="str">
        <f>IF(Tab.o1[[#This Row],[a1]]=1,((Tab.o1[[#This Row],[MedMod]]-AVERAGE(Tab.o1[MedMod]))/_xlfn.STDEV.P(Tab.o1[MedMod])*H$1205)+G$1205,"")</f>
        <v/>
      </c>
      <c r="O813" s="141" t="str">
        <f>IF(Tab.o1[[#This Row],[a1]]=1,Tab.o1[[#This Row],[Zb]]*_xlfn.STDEV.P(Tab.o1[MedMod])+AVERAGE(Tab.o1[MedMod]),"")</f>
        <v/>
      </c>
      <c r="P813" s="117" t="str">
        <f ca="1">IF(Tab.o1[[#This Row],[B]]=0,AVERAGE(OFFSET(Tab.o1[[#This Row],[B]],1,0,L$3,1)),Tab.o1[[#This Row],[B]])</f>
        <v/>
      </c>
      <c r="Q813" s="121" t="str">
        <f>IF(Tab.o1[[#This Row],[a1]]=1,NORMSDIST(Tab.o1[[#This Row],[Zb]]),"")</f>
        <v/>
      </c>
      <c r="R813" s="122" t="str">
        <f>IF(Tab.o1[[#This Row],[a1]]=1,((Tab.o1[[#This Row],[MedMod]]-AVERAGE(Tab.o1[MedMod]))/_xlfn.STDEV.P(Tab.o1[MedMod])*H$1203)+G$1203,"")</f>
        <v/>
      </c>
      <c r="S813" s="122" t="str">
        <f>IF(Tab.o1[[#This Row],[a1]]=1,((Tab.o1[[#This Row],[MedMod]]-AVERAGE(Tab.o1[MedMod]))/_xlfn.STDEV.P(Tab.o1[MedMod])*H$1204)+G$1204,"")</f>
        <v/>
      </c>
      <c r="T813" s="123" t="str">
        <f>IF(Tab.o1[[#This Row],[a1]]=1,Tab.o1[[#This Row],[Z-]]*_xlfn.STDEV.P(Tab.o1[B])+AVERAGE(Tab.o1[B]),"")</f>
        <v/>
      </c>
      <c r="U813" s="123" t="str">
        <f>IF(Tab.o1[[#This Row],[a1]]=1,Tab.o1[[#This Row],[z+]]*_xlfn.STDEV.P(Tab.o1[B])+AVERAGE(Tab.o1[B]),"")</f>
        <v/>
      </c>
      <c r="V813" s="124" t="str">
        <f>IF(Tab.o1[[#This Row],[a1]]=1,ABS((ABS(Tab.o1[[#This Row],[Red]]-Tab.o1[[#This Row],[Blue]]))),"")</f>
        <v/>
      </c>
      <c r="W813" s="125" t="str">
        <f>IF(Tab.o1[[#This Row],[a1]]=1,IF(W$3=0,1,Tab.o1[[#This Row],[Amp.]]*1/_xlfn.MINIFS(Tab.o1[Amp.],Tab.o1[Amp.],"&lt;&gt;0")),"")</f>
        <v/>
      </c>
      <c r="X813" s="126" t="str">
        <f>IF(Tab.o1[[#This Row],[a1]]=1,IF(ISNUMBER(Tab.o1[[#This Row],[i.]]),NORMDIST(Tab.o1[[#This Row],[Za]],0,1,FALSE)*Tab.o1[[#This Row],[i.]],AP$3),"")</f>
        <v/>
      </c>
      <c r="Y813" s="126" t="str">
        <f>IF(Tab.o1[[#This Row],[a1]]=1,0.01+0.94*Tab.o1[[#This Row],[PDF]]/MAX(Tab.o1[PDF]),"")</f>
        <v/>
      </c>
      <c r="Z813" s="126" t="str">
        <f>IF(Tab.o1[[#This Row],[a1]]=1,0.01+0.94*Tab.o1[[#This Row],[W1_PDF]]/MAX(Tab.o1[W1_PDF]),"")</f>
        <v/>
      </c>
      <c r="AA813" s="118" t="str">
        <f>IF(Tab.o1[[#This Row],[a1]]=1,ABS([1]!T.in.A[[#This Row],[oo6]]),"")</f>
        <v/>
      </c>
      <c r="AB813" s="127" t="str">
        <f>IF(Tab.o1[[#This Row],[a1]]=1,IF(AE$3=0,"",IF(AB$3=0,ABS([1]!T.in.A[[#This Row],[oo9]]),ABS(Tab.o1[[#This Row],[DIF_Target.]]*Tab.o1[[#This Row],[W1_PDF]]))),"")</f>
        <v/>
      </c>
      <c r="AC813" s="127" t="str">
        <f>IF(G$1=1,"",IF(Tab.o1[[#This Row],[a1]]=1,Tab.o1[[#This Row],[Wr]]^2,""))</f>
        <v/>
      </c>
      <c r="AD813" s="118" t="str">
        <f>IF(Tab.o1[[#This Row],[a1]]=1,IF(AE$3=0,"",Tab.o1[[#This Row],[Wr2]]/SUM(Tab.o1[Wr2])),"")</f>
        <v/>
      </c>
      <c r="AE813" s="128" t="str">
        <f>IF(Tab.o1[[#This Row],[a1]]=1,[1]!T.in.A[[#This Row],[oo10]],"")</f>
        <v/>
      </c>
      <c r="AF813" s="118" t="str">
        <f>IF(Tab.o1[[#This Row],[a1]]=1,ABS(Tab.o1[[#This Row],[DIF_Target.]]*Tab.o1[[#This Row],[PDF2]]*Tab.o1[[#This Row],[IN]]),"")</f>
        <v/>
      </c>
      <c r="AG813" s="129" t="str">
        <f>IF(Tab.o1[[#This Row],[a1]]=1,Tab.o1[[#This Row],[rW]]^2,"")</f>
        <v/>
      </c>
      <c r="AH813" s="130" t="str">
        <f>IF(Tab.o1[[#This Row],[a1]]=1,IF(AH$3=0,Tab.o1[[#This Row],[rW2]],0.01+0.94*Tab.o1[[#This Row],[rW2]]/SUM(Tab.o1[rW2])),"")</f>
        <v/>
      </c>
      <c r="AI813" s="128" t="str">
        <f>IF(Tab.o1[[#This Row],[a1]]=1,1/Tab.o1[[#This Row],[PDF]],"")</f>
        <v/>
      </c>
      <c r="AJ813" s="131" t="str">
        <f>IF(Tab.o1[[#This Row],[a1]]=1,[1]!T_AA[[#This Row],[IN'']]*[1]!T_AA[[#This Row],[Qde'']],"")</f>
        <v/>
      </c>
      <c r="AK813" s="132" t="str">
        <f>IF(Tab.o1[[#This Row],[a1]]=1,IF(AK$1=1,Tab.o1[[#This Row],[MED]]+Tab.o1[[#This Row],[MOD]]-Tab.o1[[#This Row],[MED]],""),"")</f>
        <v/>
      </c>
      <c r="AL813" s="133" t="str">
        <f>IF(Tab.o1[[#This Row],[a1]]=1,[1]!T.in.A[[#This Row],[oo16]],"")</f>
        <v/>
      </c>
      <c r="AM813" s="133" t="str">
        <f>IF(Tab.o1[[#This Row],[a1]]=1,IF(AM$3=1,[1]!T.in.A[[#This Row],[Σo16]],""),"")</f>
        <v/>
      </c>
      <c r="AN813" s="126" t="str">
        <f>IF(Tab.o1[[#This Row],[a1]]=1,[1]!T.in.A[[#This Row],[Σp5]],"")</f>
        <v/>
      </c>
      <c r="AO813" s="126" t="str">
        <f>IF(Tab.o1[[#This Row],[a1]]=1,IF(AO$3=1,[1]!T.in.A[[#This Row],[Σp5]],""),"")</f>
        <v/>
      </c>
      <c r="AP813" s="110" t="str">
        <f>IF(Tab.o1[[#This Row],[a1]]=1,IF(ISNUMBER(Tab.o1[[#This Row],[i.]]),NORMDIST(Tab.o1[[#This Row],[Za]],0,1,FALSE)*Tab.o1[[#This Row],[i.]],0),"")</f>
        <v/>
      </c>
      <c r="AQ813" s="125" t="str">
        <f>IF(Tab.o1[[#This Row],[a1]]=1,ABS(Tab.o1[[#This Row],[MOD]]-AVERAGE(Tab.o1[MOD])),"")</f>
        <v/>
      </c>
      <c r="AR813" s="134" t="str">
        <f>IF(Tab.o1[[#This Row],[a1]]=1,Tab.o1[[#This Row],[OBS]]/SUM(Tab.o1[OBS]),"")</f>
        <v/>
      </c>
      <c r="AS813" s="135" t="str">
        <f>IF(ISNUMBER(Tab.o1[[#This Row],[a1]]),ROW()-4,"")</f>
        <v/>
      </c>
      <c r="AT813" s="136" t="str">
        <f>Tab.o1[[#This Row],[MOD]]</f>
        <v/>
      </c>
      <c r="AU813" s="137" t="str">
        <f t="shared" si="49"/>
        <v/>
      </c>
      <c r="AV813" s="138" t="str">
        <f t="shared" si="50"/>
        <v/>
      </c>
      <c r="AW813" s="138" t="str">
        <f t="shared" si="51"/>
        <v/>
      </c>
      <c r="AX813" s="139" t="str">
        <f>[1]!T.in.A[[#This Row],[ID_T_manu]]</f>
        <v/>
      </c>
      <c r="AY813" s="140" t="str">
        <f>IF(ISNUMBER(Tab.o1[[#This Row],[a1]]),IF(AND(Tab.o1[[#This Row],[a1]]=1,Tab.o1[[#This Row],[b1]]&lt;=AY$4),#REF!,AY812),"")</f>
        <v/>
      </c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6"/>
      <c r="BO813" s="26"/>
      <c r="BP813" s="26"/>
      <c r="BQ813" s="26"/>
      <c r="BR813" s="26"/>
      <c r="BS813" s="26"/>
      <c r="BT813" s="26"/>
      <c r="BU813" s="26"/>
      <c r="BV813" s="26"/>
      <c r="BW813" s="26"/>
      <c r="BX813" s="26"/>
      <c r="BY813" s="26"/>
      <c r="BZ813" s="26"/>
      <c r="CA813" s="26"/>
    </row>
    <row r="814" spans="1:79" s="143" customFormat="1" ht="15.75" hidden="1">
      <c r="A814" s="109">
        <v>5.9999999999999993E-6</v>
      </c>
      <c r="B814" s="110">
        <f t="shared" si="48"/>
        <v>814</v>
      </c>
      <c r="C814" s="111" t="str">
        <f>IF(C$1=[1]!T.in.A[[#This Row],[oo2]],1,"")</f>
        <v/>
      </c>
      <c r="D814" s="112" t="str">
        <f>IF(Tab.o1[[#This Row],[a1]]=1,IF(SUM(C814:C815)=0,0,IF(SUM(C813:C814)=1,1,IF(SUM(C813:C815)&gt;1,D813+1,0))),"")</f>
        <v/>
      </c>
      <c r="E814" s="113" t="str">
        <f>IF(Tab.o1[[#This Row],[a1]]=1,[1]!T.in.A[[#This Row],[oo1]],"")</f>
        <v/>
      </c>
      <c r="F814" s="113" t="str">
        <f>IF(Tab.o1[[#This Row],[a1]]=1,[1]!T.in.A[[#This Row],[pp1]],"")</f>
        <v/>
      </c>
      <c r="G814" s="114" t="str">
        <f>IF(Tab.o1[[#This Row],[a1]]=1,G$2+IF(G$1=1,0,Tab.o1[[#This Row],[.x1]])+[1]!T.in.A[[#This Row],[oo3]],"")</f>
        <v/>
      </c>
      <c r="H814" s="115" t="str">
        <f>IF(Tab.o1[[#This Row],[a1]]=1,IF(H$2=0,0,IF(G$1=1,0,Tab.o1[[#This Row],[.x1]])+[1]!T.in.A[[#This Row],[oo4]]),"")</f>
        <v/>
      </c>
      <c r="I814" s="116" t="str">
        <f>IF(Tab.o1[[#This Row],[a1]]=1,IF(J$2=0,Tab.o1[[#This Row],[MED]],Tab.o1[[#This Row],[MOD]]),"")</f>
        <v/>
      </c>
      <c r="J814" s="116" t="str">
        <f>IF(Tab.o1[[#This Row],[a1]]=1,((Tab.o1[[#This Row],[DIF_Target.]]-AVERAGE(Tab.o1[DIF_Target.]))/_xlfn.STDEV.P(Tab.o1[DIF_Target.])),"")</f>
        <v/>
      </c>
      <c r="K814" s="117" t="str">
        <f>IF(Tab.o1[[#This Row],[a1]]=1,IF(J$2=0,Tab.o1[[#This Row],[MOD]]-Tab.o1[[#This Row],[B]],IF(J$2=1,0,-Tab.o1[[#This Row],[MED]])+Tab.o1[[#This Row],[B]]),"")</f>
        <v/>
      </c>
      <c r="L814" s="117" t="str">
        <f ca="1">IF(Tab.o1[[#This Row],[DIF_Target]]=0,IF(L$2=0,Tab.o1[[#This Row],[DIF_Target]],AVERAGE(OFFSET(Tab.o1[[#This Row],[DIF_Target]],1,0,L$3,1)))/3,Tab.o1[[#This Row],[DIF_Target]])</f>
        <v/>
      </c>
      <c r="M814" s="118" t="str">
        <f>IF(Tab.o1[[#This Row],[a1]]=1,NORMSDIST(Tab.o1[[#This Row],[Za]]),"")</f>
        <v/>
      </c>
      <c r="N814" s="119" t="str">
        <f>IF(Tab.o1[[#This Row],[a1]]=1,((Tab.o1[[#This Row],[MedMod]]-AVERAGE(Tab.o1[MedMod]))/_xlfn.STDEV.P(Tab.o1[MedMod])*H$1205)+G$1205,"")</f>
        <v/>
      </c>
      <c r="O814" s="141" t="str">
        <f>IF(Tab.o1[[#This Row],[a1]]=1,Tab.o1[[#This Row],[Zb]]*_xlfn.STDEV.P(Tab.o1[MedMod])+AVERAGE(Tab.o1[MedMod]),"")</f>
        <v/>
      </c>
      <c r="P814" s="117" t="str">
        <f ca="1">IF(Tab.o1[[#This Row],[B]]=0,AVERAGE(OFFSET(Tab.o1[[#This Row],[B]],1,0,L$3,1)),Tab.o1[[#This Row],[B]])</f>
        <v/>
      </c>
      <c r="Q814" s="121" t="str">
        <f>IF(Tab.o1[[#This Row],[a1]]=1,NORMSDIST(Tab.o1[[#This Row],[Zb]]),"")</f>
        <v/>
      </c>
      <c r="R814" s="122" t="str">
        <f>IF(Tab.o1[[#This Row],[a1]]=1,((Tab.o1[[#This Row],[MedMod]]-AVERAGE(Tab.o1[MedMod]))/_xlfn.STDEV.P(Tab.o1[MedMod])*H$1203)+G$1203,"")</f>
        <v/>
      </c>
      <c r="S814" s="122" t="str">
        <f>IF(Tab.o1[[#This Row],[a1]]=1,((Tab.o1[[#This Row],[MedMod]]-AVERAGE(Tab.o1[MedMod]))/_xlfn.STDEV.P(Tab.o1[MedMod])*H$1204)+G$1204,"")</f>
        <v/>
      </c>
      <c r="T814" s="123" t="str">
        <f>IF(Tab.o1[[#This Row],[a1]]=1,Tab.o1[[#This Row],[Z-]]*_xlfn.STDEV.P(Tab.o1[B])+AVERAGE(Tab.o1[B]),"")</f>
        <v/>
      </c>
      <c r="U814" s="123" t="str">
        <f>IF(Tab.o1[[#This Row],[a1]]=1,Tab.o1[[#This Row],[z+]]*_xlfn.STDEV.P(Tab.o1[B])+AVERAGE(Tab.o1[B]),"")</f>
        <v/>
      </c>
      <c r="V814" s="124" t="str">
        <f>IF(Tab.o1[[#This Row],[a1]]=1,ABS((ABS(Tab.o1[[#This Row],[Red]]-Tab.o1[[#This Row],[Blue]]))),"")</f>
        <v/>
      </c>
      <c r="W814" s="125" t="str">
        <f>IF(Tab.o1[[#This Row],[a1]]=1,IF(W$3=0,1,Tab.o1[[#This Row],[Amp.]]*1/_xlfn.MINIFS(Tab.o1[Amp.],Tab.o1[Amp.],"&lt;&gt;0")),"")</f>
        <v/>
      </c>
      <c r="X814" s="126" t="str">
        <f>IF(Tab.o1[[#This Row],[a1]]=1,IF(ISNUMBER(Tab.o1[[#This Row],[i.]]),NORMDIST(Tab.o1[[#This Row],[Za]],0,1,FALSE)*Tab.o1[[#This Row],[i.]],AP$3),"")</f>
        <v/>
      </c>
      <c r="Y814" s="126" t="str">
        <f>IF(Tab.o1[[#This Row],[a1]]=1,0.01+0.94*Tab.o1[[#This Row],[PDF]]/MAX(Tab.o1[PDF]),"")</f>
        <v/>
      </c>
      <c r="Z814" s="126" t="str">
        <f>IF(Tab.o1[[#This Row],[a1]]=1,0.01+0.94*Tab.o1[[#This Row],[W1_PDF]]/MAX(Tab.o1[W1_PDF]),"")</f>
        <v/>
      </c>
      <c r="AA814" s="118" t="str">
        <f>IF(Tab.o1[[#This Row],[a1]]=1,ABS([1]!T.in.A[[#This Row],[oo6]]),"")</f>
        <v/>
      </c>
      <c r="AB814" s="127" t="str">
        <f>IF(Tab.o1[[#This Row],[a1]]=1,IF(AE$3=0,"",IF(AB$3=0,ABS([1]!T.in.A[[#This Row],[oo9]]),ABS(Tab.o1[[#This Row],[DIF_Target.]]*Tab.o1[[#This Row],[W1_PDF]]))),"")</f>
        <v/>
      </c>
      <c r="AC814" s="127" t="str">
        <f>IF(G$1=1,"",IF(Tab.o1[[#This Row],[a1]]=1,Tab.o1[[#This Row],[Wr]]^2,""))</f>
        <v/>
      </c>
      <c r="AD814" s="118" t="str">
        <f>IF(Tab.o1[[#This Row],[a1]]=1,IF(AE$3=0,"",Tab.o1[[#This Row],[Wr2]]/SUM(Tab.o1[Wr2])),"")</f>
        <v/>
      </c>
      <c r="AE814" s="128" t="str">
        <f>IF(Tab.o1[[#This Row],[a1]]=1,[1]!T.in.A[[#This Row],[oo10]],"")</f>
        <v/>
      </c>
      <c r="AF814" s="118" t="str">
        <f>IF(Tab.o1[[#This Row],[a1]]=1,ABS(Tab.o1[[#This Row],[DIF_Target.]]*Tab.o1[[#This Row],[PDF2]]*Tab.o1[[#This Row],[IN]]),"")</f>
        <v/>
      </c>
      <c r="AG814" s="129" t="str">
        <f>IF(Tab.o1[[#This Row],[a1]]=1,Tab.o1[[#This Row],[rW]]^2,"")</f>
        <v/>
      </c>
      <c r="AH814" s="130" t="str">
        <f>IF(Tab.o1[[#This Row],[a1]]=1,IF(AH$3=0,Tab.o1[[#This Row],[rW2]],0.01+0.94*Tab.o1[[#This Row],[rW2]]/SUM(Tab.o1[rW2])),"")</f>
        <v/>
      </c>
      <c r="AI814" s="128" t="str">
        <f>IF(Tab.o1[[#This Row],[a1]]=1,1/Tab.o1[[#This Row],[PDF]],"")</f>
        <v/>
      </c>
      <c r="AJ814" s="131" t="str">
        <f>IF(Tab.o1[[#This Row],[a1]]=1,[1]!T_AA[[#This Row],[IN'']]*[1]!T_AA[[#This Row],[Qde'']],"")</f>
        <v/>
      </c>
      <c r="AK814" s="132" t="str">
        <f>IF(Tab.o1[[#This Row],[a1]]=1,IF(AK$1=1,Tab.o1[[#This Row],[MED]]+Tab.o1[[#This Row],[MOD]]-Tab.o1[[#This Row],[MED]],""),"")</f>
        <v/>
      </c>
      <c r="AL814" s="133" t="str">
        <f>IF(Tab.o1[[#This Row],[a1]]=1,[1]!T.in.A[[#This Row],[oo16]],"")</f>
        <v/>
      </c>
      <c r="AM814" s="133" t="str">
        <f>IF(Tab.o1[[#This Row],[a1]]=1,IF(AM$3=1,[1]!T.in.A[[#This Row],[Σo16]],""),"")</f>
        <v/>
      </c>
      <c r="AN814" s="126" t="str">
        <f>IF(Tab.o1[[#This Row],[a1]]=1,[1]!T.in.A[[#This Row],[Σp5]],"")</f>
        <v/>
      </c>
      <c r="AO814" s="126" t="str">
        <f>IF(Tab.o1[[#This Row],[a1]]=1,IF(AO$3=1,[1]!T.in.A[[#This Row],[Σp5]],""),"")</f>
        <v/>
      </c>
      <c r="AP814" s="110" t="str">
        <f>IF(Tab.o1[[#This Row],[a1]]=1,IF(ISNUMBER(Tab.o1[[#This Row],[i.]]),NORMDIST(Tab.o1[[#This Row],[Za]],0,1,FALSE)*Tab.o1[[#This Row],[i.]],0),"")</f>
        <v/>
      </c>
      <c r="AQ814" s="125" t="str">
        <f>IF(Tab.o1[[#This Row],[a1]]=1,ABS(Tab.o1[[#This Row],[MOD]]-AVERAGE(Tab.o1[MOD])),"")</f>
        <v/>
      </c>
      <c r="AR814" s="134" t="str">
        <f>IF(Tab.o1[[#This Row],[a1]]=1,Tab.o1[[#This Row],[OBS]]/SUM(Tab.o1[OBS]),"")</f>
        <v/>
      </c>
      <c r="AS814" s="135" t="str">
        <f>IF(ISNUMBER(Tab.o1[[#This Row],[a1]]),ROW()-4,"")</f>
        <v/>
      </c>
      <c r="AT814" s="136" t="str">
        <f>Tab.o1[[#This Row],[MOD]]</f>
        <v/>
      </c>
      <c r="AU814" s="137" t="str">
        <f t="shared" si="49"/>
        <v/>
      </c>
      <c r="AV814" s="138" t="str">
        <f t="shared" si="50"/>
        <v/>
      </c>
      <c r="AW814" s="138" t="str">
        <f t="shared" si="51"/>
        <v/>
      </c>
      <c r="AX814" s="139" t="str">
        <f>[1]!T.in.A[[#This Row],[ID_T_manu]]</f>
        <v/>
      </c>
      <c r="AY814" s="140" t="str">
        <f>IF(ISNUMBER(Tab.o1[[#This Row],[a1]]),IF(AND(Tab.o1[[#This Row],[a1]]=1,Tab.o1[[#This Row],[b1]]&lt;=AY$4),#REF!,AY813),"")</f>
        <v/>
      </c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6"/>
      <c r="BO814" s="26"/>
      <c r="BP814" s="26"/>
      <c r="BQ814" s="26"/>
      <c r="BR814" s="26"/>
      <c r="BS814" s="26"/>
      <c r="BT814" s="26"/>
      <c r="BU814" s="26"/>
      <c r="BV814" s="26"/>
      <c r="BW814" s="26"/>
      <c r="BX814" s="26"/>
      <c r="BY814" s="26"/>
      <c r="BZ814" s="26"/>
      <c r="CA814" s="26"/>
    </row>
    <row r="815" spans="1:79" s="143" customFormat="1" ht="15.75" hidden="1">
      <c r="A815" s="109">
        <v>9.0000000000000002E-6</v>
      </c>
      <c r="B815" s="110">
        <f t="shared" si="48"/>
        <v>815</v>
      </c>
      <c r="C815" s="111" t="str">
        <f>IF(C$1=[1]!T.in.A[[#This Row],[oo2]],1,"")</f>
        <v/>
      </c>
      <c r="D815" s="112" t="str">
        <f>IF(Tab.o1[[#This Row],[a1]]=1,IF(SUM(C815:C816)=0,0,IF(SUM(C814:C815)=1,1,IF(SUM(C814:C816)&gt;1,D814+1,0))),"")</f>
        <v/>
      </c>
      <c r="E815" s="113" t="str">
        <f>IF(Tab.o1[[#This Row],[a1]]=1,[1]!T.in.A[[#This Row],[oo1]],"")</f>
        <v/>
      </c>
      <c r="F815" s="113" t="str">
        <f>IF(Tab.o1[[#This Row],[a1]]=1,[1]!T.in.A[[#This Row],[pp1]],"")</f>
        <v/>
      </c>
      <c r="G815" s="114" t="str">
        <f>IF(Tab.o1[[#This Row],[a1]]=1,G$2+IF(G$1=1,0,Tab.o1[[#This Row],[.x1]])+[1]!T.in.A[[#This Row],[oo3]],"")</f>
        <v/>
      </c>
      <c r="H815" s="115" t="str">
        <f>IF(Tab.o1[[#This Row],[a1]]=1,IF(H$2=0,0,IF(G$1=1,0,Tab.o1[[#This Row],[.x1]])+[1]!T.in.A[[#This Row],[oo4]]),"")</f>
        <v/>
      </c>
      <c r="I815" s="116" t="str">
        <f>IF(Tab.o1[[#This Row],[a1]]=1,IF(J$2=0,Tab.o1[[#This Row],[MED]],Tab.o1[[#This Row],[MOD]]),"")</f>
        <v/>
      </c>
      <c r="J815" s="116" t="str">
        <f>IF(Tab.o1[[#This Row],[a1]]=1,((Tab.o1[[#This Row],[DIF_Target.]]-AVERAGE(Tab.o1[DIF_Target.]))/_xlfn.STDEV.P(Tab.o1[DIF_Target.])),"")</f>
        <v/>
      </c>
      <c r="K815" s="117" t="str">
        <f>IF(Tab.o1[[#This Row],[a1]]=1,IF(J$2=0,Tab.o1[[#This Row],[MOD]]-Tab.o1[[#This Row],[B]],IF(J$2=1,0,-Tab.o1[[#This Row],[MED]])+Tab.o1[[#This Row],[B]]),"")</f>
        <v/>
      </c>
      <c r="L815" s="117" t="str">
        <f ca="1">IF(Tab.o1[[#This Row],[DIF_Target]]=0,IF(L$2=0,Tab.o1[[#This Row],[DIF_Target]],AVERAGE(OFFSET(Tab.o1[[#This Row],[DIF_Target]],1,0,L$3,1)))/3,Tab.o1[[#This Row],[DIF_Target]])</f>
        <v/>
      </c>
      <c r="M815" s="118" t="str">
        <f>IF(Tab.o1[[#This Row],[a1]]=1,NORMSDIST(Tab.o1[[#This Row],[Za]]),"")</f>
        <v/>
      </c>
      <c r="N815" s="119" t="str">
        <f>IF(Tab.o1[[#This Row],[a1]]=1,((Tab.o1[[#This Row],[MedMod]]-AVERAGE(Tab.o1[MedMod]))/_xlfn.STDEV.P(Tab.o1[MedMod])*H$1205)+G$1205,"")</f>
        <v/>
      </c>
      <c r="O815" s="141" t="str">
        <f>IF(Tab.o1[[#This Row],[a1]]=1,Tab.o1[[#This Row],[Zb]]*_xlfn.STDEV.P(Tab.o1[MedMod])+AVERAGE(Tab.o1[MedMod]),"")</f>
        <v/>
      </c>
      <c r="P815" s="117" t="str">
        <f ca="1">IF(Tab.o1[[#This Row],[B]]=0,AVERAGE(OFFSET(Tab.o1[[#This Row],[B]],1,0,L$3,1)),Tab.o1[[#This Row],[B]])</f>
        <v/>
      </c>
      <c r="Q815" s="121" t="str">
        <f>IF(Tab.o1[[#This Row],[a1]]=1,NORMSDIST(Tab.o1[[#This Row],[Zb]]),"")</f>
        <v/>
      </c>
      <c r="R815" s="122" t="str">
        <f>IF(Tab.o1[[#This Row],[a1]]=1,((Tab.o1[[#This Row],[MedMod]]-AVERAGE(Tab.o1[MedMod]))/_xlfn.STDEV.P(Tab.o1[MedMod])*H$1203)+G$1203,"")</f>
        <v/>
      </c>
      <c r="S815" s="122" t="str">
        <f>IF(Tab.o1[[#This Row],[a1]]=1,((Tab.o1[[#This Row],[MedMod]]-AVERAGE(Tab.o1[MedMod]))/_xlfn.STDEV.P(Tab.o1[MedMod])*H$1204)+G$1204,"")</f>
        <v/>
      </c>
      <c r="T815" s="123" t="str">
        <f>IF(Tab.o1[[#This Row],[a1]]=1,Tab.o1[[#This Row],[Z-]]*_xlfn.STDEV.P(Tab.o1[B])+AVERAGE(Tab.o1[B]),"")</f>
        <v/>
      </c>
      <c r="U815" s="123" t="str">
        <f>IF(Tab.o1[[#This Row],[a1]]=1,Tab.o1[[#This Row],[z+]]*_xlfn.STDEV.P(Tab.o1[B])+AVERAGE(Tab.o1[B]),"")</f>
        <v/>
      </c>
      <c r="V815" s="124" t="str">
        <f>IF(Tab.o1[[#This Row],[a1]]=1,ABS((ABS(Tab.o1[[#This Row],[Red]]-Tab.o1[[#This Row],[Blue]]))),"")</f>
        <v/>
      </c>
      <c r="W815" s="125" t="str">
        <f>IF(Tab.o1[[#This Row],[a1]]=1,IF(W$3=0,1,Tab.o1[[#This Row],[Amp.]]*1/_xlfn.MINIFS(Tab.o1[Amp.],Tab.o1[Amp.],"&lt;&gt;0")),"")</f>
        <v/>
      </c>
      <c r="X815" s="126" t="str">
        <f>IF(Tab.o1[[#This Row],[a1]]=1,IF(ISNUMBER(Tab.o1[[#This Row],[i.]]),NORMDIST(Tab.o1[[#This Row],[Za]],0,1,FALSE)*Tab.o1[[#This Row],[i.]],AP$3),"")</f>
        <v/>
      </c>
      <c r="Y815" s="126" t="str">
        <f>IF(Tab.o1[[#This Row],[a1]]=1,0.01+0.94*Tab.o1[[#This Row],[PDF]]/MAX(Tab.o1[PDF]),"")</f>
        <v/>
      </c>
      <c r="Z815" s="126" t="str">
        <f>IF(Tab.o1[[#This Row],[a1]]=1,0.01+0.94*Tab.o1[[#This Row],[W1_PDF]]/MAX(Tab.o1[W1_PDF]),"")</f>
        <v/>
      </c>
      <c r="AA815" s="118" t="str">
        <f>IF(Tab.o1[[#This Row],[a1]]=1,ABS([1]!T.in.A[[#This Row],[oo6]]),"")</f>
        <v/>
      </c>
      <c r="AB815" s="127" t="str">
        <f>IF(Tab.o1[[#This Row],[a1]]=1,IF(AE$3=0,"",IF(AB$3=0,ABS([1]!T.in.A[[#This Row],[oo9]]),ABS(Tab.o1[[#This Row],[DIF_Target.]]*Tab.o1[[#This Row],[W1_PDF]]))),"")</f>
        <v/>
      </c>
      <c r="AC815" s="127" t="str">
        <f>IF(G$1=1,"",IF(Tab.o1[[#This Row],[a1]]=1,Tab.o1[[#This Row],[Wr]]^2,""))</f>
        <v/>
      </c>
      <c r="AD815" s="118" t="str">
        <f>IF(Tab.o1[[#This Row],[a1]]=1,IF(AE$3=0,"",Tab.o1[[#This Row],[Wr2]]/SUM(Tab.o1[Wr2])),"")</f>
        <v/>
      </c>
      <c r="AE815" s="128" t="str">
        <f>IF(Tab.o1[[#This Row],[a1]]=1,[1]!T.in.A[[#This Row],[oo10]],"")</f>
        <v/>
      </c>
      <c r="AF815" s="118" t="str">
        <f>IF(Tab.o1[[#This Row],[a1]]=1,ABS(Tab.o1[[#This Row],[DIF_Target.]]*Tab.o1[[#This Row],[PDF2]]*Tab.o1[[#This Row],[IN]]),"")</f>
        <v/>
      </c>
      <c r="AG815" s="129" t="str">
        <f>IF(Tab.o1[[#This Row],[a1]]=1,Tab.o1[[#This Row],[rW]]^2,"")</f>
        <v/>
      </c>
      <c r="AH815" s="130" t="str">
        <f>IF(Tab.o1[[#This Row],[a1]]=1,IF(AH$3=0,Tab.o1[[#This Row],[rW2]],0.01+0.94*Tab.o1[[#This Row],[rW2]]/SUM(Tab.o1[rW2])),"")</f>
        <v/>
      </c>
      <c r="AI815" s="128" t="str">
        <f>IF(Tab.o1[[#This Row],[a1]]=1,1/Tab.o1[[#This Row],[PDF]],"")</f>
        <v/>
      </c>
      <c r="AJ815" s="131" t="str">
        <f>IF(Tab.o1[[#This Row],[a1]]=1,[1]!T_AA[[#This Row],[IN'']]*[1]!T_AA[[#This Row],[Qde'']],"")</f>
        <v/>
      </c>
      <c r="AK815" s="132" t="str">
        <f>IF(Tab.o1[[#This Row],[a1]]=1,IF(AK$1=1,Tab.o1[[#This Row],[MED]]+Tab.o1[[#This Row],[MOD]]-Tab.o1[[#This Row],[MED]],""),"")</f>
        <v/>
      </c>
      <c r="AL815" s="133" t="str">
        <f>IF(Tab.o1[[#This Row],[a1]]=1,[1]!T.in.A[[#This Row],[oo16]],"")</f>
        <v/>
      </c>
      <c r="AM815" s="133" t="str">
        <f>IF(Tab.o1[[#This Row],[a1]]=1,IF(AM$3=1,[1]!T.in.A[[#This Row],[Σo16]],""),"")</f>
        <v/>
      </c>
      <c r="AN815" s="126" t="str">
        <f>IF(Tab.o1[[#This Row],[a1]]=1,[1]!T.in.A[[#This Row],[Σp5]],"")</f>
        <v/>
      </c>
      <c r="AO815" s="126" t="str">
        <f>IF(Tab.o1[[#This Row],[a1]]=1,IF(AO$3=1,[1]!T.in.A[[#This Row],[Σp5]],""),"")</f>
        <v/>
      </c>
      <c r="AP815" s="110" t="str">
        <f>IF(Tab.o1[[#This Row],[a1]]=1,IF(ISNUMBER(Tab.o1[[#This Row],[i.]]),NORMDIST(Tab.o1[[#This Row],[Za]],0,1,FALSE)*Tab.o1[[#This Row],[i.]],0),"")</f>
        <v/>
      </c>
      <c r="AQ815" s="125" t="str">
        <f>IF(Tab.o1[[#This Row],[a1]]=1,ABS(Tab.o1[[#This Row],[MOD]]-AVERAGE(Tab.o1[MOD])),"")</f>
        <v/>
      </c>
      <c r="AR815" s="134" t="str">
        <f>IF(Tab.o1[[#This Row],[a1]]=1,Tab.o1[[#This Row],[OBS]]/SUM(Tab.o1[OBS]),"")</f>
        <v/>
      </c>
      <c r="AS815" s="135" t="str">
        <f>IF(ISNUMBER(Tab.o1[[#This Row],[a1]]),ROW()-4,"")</f>
        <v/>
      </c>
      <c r="AT815" s="136" t="str">
        <f>Tab.o1[[#This Row],[MOD]]</f>
        <v/>
      </c>
      <c r="AU815" s="137" t="str">
        <f t="shared" si="49"/>
        <v/>
      </c>
      <c r="AV815" s="138" t="str">
        <f t="shared" si="50"/>
        <v/>
      </c>
      <c r="AW815" s="138" t="str">
        <f t="shared" si="51"/>
        <v/>
      </c>
      <c r="AX815" s="139" t="str">
        <f>[1]!T.in.A[[#This Row],[ID_T_manu]]</f>
        <v/>
      </c>
      <c r="AY815" s="140" t="str">
        <f>IF(ISNUMBER(Tab.o1[[#This Row],[a1]]),IF(AND(Tab.o1[[#This Row],[a1]]=1,Tab.o1[[#This Row],[b1]]&lt;=AY$4),#REF!,AY814),"")</f>
        <v/>
      </c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6"/>
      <c r="BO815" s="26"/>
      <c r="BP815" s="26"/>
      <c r="BQ815" s="26"/>
      <c r="BR815" s="26"/>
      <c r="BS815" s="26"/>
      <c r="BT815" s="26"/>
      <c r="BU815" s="26"/>
      <c r="BV815" s="26"/>
      <c r="BW815" s="26"/>
      <c r="BX815" s="26"/>
      <c r="BY815" s="26"/>
      <c r="BZ815" s="26"/>
      <c r="CA815" s="26"/>
    </row>
    <row r="816" spans="1:79" s="143" customFormat="1" ht="15.75" hidden="1">
      <c r="A816" s="109">
        <v>2.9999999999999997E-6</v>
      </c>
      <c r="B816" s="110">
        <f t="shared" si="48"/>
        <v>816</v>
      </c>
      <c r="C816" s="111" t="str">
        <f>IF(C$1=[1]!T.in.A[[#This Row],[oo2]],1,"")</f>
        <v/>
      </c>
      <c r="D816" s="112" t="str">
        <f>IF(Tab.o1[[#This Row],[a1]]=1,IF(SUM(C816:C817)=0,0,IF(SUM(C815:C816)=1,1,IF(SUM(C815:C817)&gt;1,D815+1,0))),"")</f>
        <v/>
      </c>
      <c r="E816" s="113" t="str">
        <f>IF(Tab.o1[[#This Row],[a1]]=1,[1]!T.in.A[[#This Row],[oo1]],"")</f>
        <v/>
      </c>
      <c r="F816" s="113" t="str">
        <f>IF(Tab.o1[[#This Row],[a1]]=1,[1]!T.in.A[[#This Row],[pp1]],"")</f>
        <v/>
      </c>
      <c r="G816" s="114" t="str">
        <f>IF(Tab.o1[[#This Row],[a1]]=1,G$2+IF(G$1=1,0,Tab.o1[[#This Row],[.x1]])+[1]!T.in.A[[#This Row],[oo3]],"")</f>
        <v/>
      </c>
      <c r="H816" s="115" t="str">
        <f>IF(Tab.o1[[#This Row],[a1]]=1,IF(H$2=0,0,IF(G$1=1,0,Tab.o1[[#This Row],[.x1]])+[1]!T.in.A[[#This Row],[oo4]]),"")</f>
        <v/>
      </c>
      <c r="I816" s="116" t="str">
        <f>IF(Tab.o1[[#This Row],[a1]]=1,IF(J$2=0,Tab.o1[[#This Row],[MED]],Tab.o1[[#This Row],[MOD]]),"")</f>
        <v/>
      </c>
      <c r="J816" s="116" t="str">
        <f>IF(Tab.o1[[#This Row],[a1]]=1,((Tab.o1[[#This Row],[DIF_Target.]]-AVERAGE(Tab.o1[DIF_Target.]))/_xlfn.STDEV.P(Tab.o1[DIF_Target.])),"")</f>
        <v/>
      </c>
      <c r="K816" s="117" t="str">
        <f>IF(Tab.o1[[#This Row],[a1]]=1,IF(J$2=0,Tab.o1[[#This Row],[MOD]]-Tab.o1[[#This Row],[B]],IF(J$2=1,0,-Tab.o1[[#This Row],[MED]])+Tab.o1[[#This Row],[B]]),"")</f>
        <v/>
      </c>
      <c r="L816" s="117" t="str">
        <f ca="1">IF(Tab.o1[[#This Row],[DIF_Target]]=0,IF(L$2=0,Tab.o1[[#This Row],[DIF_Target]],AVERAGE(OFFSET(Tab.o1[[#This Row],[DIF_Target]],1,0,L$3,1)))/3,Tab.o1[[#This Row],[DIF_Target]])</f>
        <v/>
      </c>
      <c r="M816" s="118" t="str">
        <f>IF(Tab.o1[[#This Row],[a1]]=1,NORMSDIST(Tab.o1[[#This Row],[Za]]),"")</f>
        <v/>
      </c>
      <c r="N816" s="119" t="str">
        <f>IF(Tab.o1[[#This Row],[a1]]=1,((Tab.o1[[#This Row],[MedMod]]-AVERAGE(Tab.o1[MedMod]))/_xlfn.STDEV.P(Tab.o1[MedMod])*H$1205)+G$1205,"")</f>
        <v/>
      </c>
      <c r="O816" s="141" t="str">
        <f>IF(Tab.o1[[#This Row],[a1]]=1,Tab.o1[[#This Row],[Zb]]*_xlfn.STDEV.P(Tab.o1[MedMod])+AVERAGE(Tab.o1[MedMod]),"")</f>
        <v/>
      </c>
      <c r="P816" s="117" t="str">
        <f ca="1">IF(Tab.o1[[#This Row],[B]]=0,AVERAGE(OFFSET(Tab.o1[[#This Row],[B]],1,0,L$3,1)),Tab.o1[[#This Row],[B]])</f>
        <v/>
      </c>
      <c r="Q816" s="121" t="str">
        <f>IF(Tab.o1[[#This Row],[a1]]=1,NORMSDIST(Tab.o1[[#This Row],[Zb]]),"")</f>
        <v/>
      </c>
      <c r="R816" s="122" t="str">
        <f>IF(Tab.o1[[#This Row],[a1]]=1,((Tab.o1[[#This Row],[MedMod]]-AVERAGE(Tab.o1[MedMod]))/_xlfn.STDEV.P(Tab.o1[MedMod])*H$1203)+G$1203,"")</f>
        <v/>
      </c>
      <c r="S816" s="122" t="str">
        <f>IF(Tab.o1[[#This Row],[a1]]=1,((Tab.o1[[#This Row],[MedMod]]-AVERAGE(Tab.o1[MedMod]))/_xlfn.STDEV.P(Tab.o1[MedMod])*H$1204)+G$1204,"")</f>
        <v/>
      </c>
      <c r="T816" s="123" t="str">
        <f>IF(Tab.o1[[#This Row],[a1]]=1,Tab.o1[[#This Row],[Z-]]*_xlfn.STDEV.P(Tab.o1[B])+AVERAGE(Tab.o1[B]),"")</f>
        <v/>
      </c>
      <c r="U816" s="123" t="str">
        <f>IF(Tab.o1[[#This Row],[a1]]=1,Tab.o1[[#This Row],[z+]]*_xlfn.STDEV.P(Tab.o1[B])+AVERAGE(Tab.o1[B]),"")</f>
        <v/>
      </c>
      <c r="V816" s="124" t="str">
        <f>IF(Tab.o1[[#This Row],[a1]]=1,ABS((ABS(Tab.o1[[#This Row],[Red]]-Tab.o1[[#This Row],[Blue]]))),"")</f>
        <v/>
      </c>
      <c r="W816" s="125" t="str">
        <f>IF(Tab.o1[[#This Row],[a1]]=1,IF(W$3=0,1,Tab.o1[[#This Row],[Amp.]]*1/_xlfn.MINIFS(Tab.o1[Amp.],Tab.o1[Amp.],"&lt;&gt;0")),"")</f>
        <v/>
      </c>
      <c r="X816" s="126" t="str">
        <f>IF(Tab.o1[[#This Row],[a1]]=1,IF(ISNUMBER(Tab.o1[[#This Row],[i.]]),NORMDIST(Tab.o1[[#This Row],[Za]],0,1,FALSE)*Tab.o1[[#This Row],[i.]],AP$3),"")</f>
        <v/>
      </c>
      <c r="Y816" s="126" t="str">
        <f>IF(Tab.o1[[#This Row],[a1]]=1,0.01+0.94*Tab.o1[[#This Row],[PDF]]/MAX(Tab.o1[PDF]),"")</f>
        <v/>
      </c>
      <c r="Z816" s="126" t="str">
        <f>IF(Tab.o1[[#This Row],[a1]]=1,0.01+0.94*Tab.o1[[#This Row],[W1_PDF]]/MAX(Tab.o1[W1_PDF]),"")</f>
        <v/>
      </c>
      <c r="AA816" s="118" t="str">
        <f>IF(Tab.o1[[#This Row],[a1]]=1,ABS([1]!T.in.A[[#This Row],[oo6]]),"")</f>
        <v/>
      </c>
      <c r="AB816" s="127" t="str">
        <f>IF(Tab.o1[[#This Row],[a1]]=1,IF(AE$3=0,"",IF(AB$3=0,ABS([1]!T.in.A[[#This Row],[oo9]]),ABS(Tab.o1[[#This Row],[DIF_Target.]]*Tab.o1[[#This Row],[W1_PDF]]))),"")</f>
        <v/>
      </c>
      <c r="AC816" s="127" t="str">
        <f>IF(G$1=1,"",IF(Tab.o1[[#This Row],[a1]]=1,Tab.o1[[#This Row],[Wr]]^2,""))</f>
        <v/>
      </c>
      <c r="AD816" s="118" t="str">
        <f>IF(Tab.o1[[#This Row],[a1]]=1,IF(AE$3=0,"",Tab.o1[[#This Row],[Wr2]]/SUM(Tab.o1[Wr2])),"")</f>
        <v/>
      </c>
      <c r="AE816" s="128" t="str">
        <f>IF(Tab.o1[[#This Row],[a1]]=1,[1]!T.in.A[[#This Row],[oo10]],"")</f>
        <v/>
      </c>
      <c r="AF816" s="118" t="str">
        <f>IF(Tab.o1[[#This Row],[a1]]=1,ABS(Tab.o1[[#This Row],[DIF_Target.]]*Tab.o1[[#This Row],[PDF2]]*Tab.o1[[#This Row],[IN]]),"")</f>
        <v/>
      </c>
      <c r="AG816" s="129" t="str">
        <f>IF(Tab.o1[[#This Row],[a1]]=1,Tab.o1[[#This Row],[rW]]^2,"")</f>
        <v/>
      </c>
      <c r="AH816" s="130" t="str">
        <f>IF(Tab.o1[[#This Row],[a1]]=1,IF(AH$3=0,Tab.o1[[#This Row],[rW2]],0.01+0.94*Tab.o1[[#This Row],[rW2]]/SUM(Tab.o1[rW2])),"")</f>
        <v/>
      </c>
      <c r="AI816" s="128" t="str">
        <f>IF(Tab.o1[[#This Row],[a1]]=1,1/Tab.o1[[#This Row],[PDF]],"")</f>
        <v/>
      </c>
      <c r="AJ816" s="131" t="str">
        <f>IF(Tab.o1[[#This Row],[a1]]=1,[1]!T_AA[[#This Row],[IN'']]*[1]!T_AA[[#This Row],[Qde'']],"")</f>
        <v/>
      </c>
      <c r="AK816" s="132" t="str">
        <f>IF(Tab.o1[[#This Row],[a1]]=1,IF(AK$1=1,Tab.o1[[#This Row],[MED]]+Tab.o1[[#This Row],[MOD]]-Tab.o1[[#This Row],[MED]],""),"")</f>
        <v/>
      </c>
      <c r="AL816" s="133" t="str">
        <f>IF(Tab.o1[[#This Row],[a1]]=1,[1]!T.in.A[[#This Row],[oo16]],"")</f>
        <v/>
      </c>
      <c r="AM816" s="133" t="str">
        <f>IF(Tab.o1[[#This Row],[a1]]=1,IF(AM$3=1,[1]!T.in.A[[#This Row],[Σo16]],""),"")</f>
        <v/>
      </c>
      <c r="AN816" s="126" t="str">
        <f>IF(Tab.o1[[#This Row],[a1]]=1,[1]!T.in.A[[#This Row],[Σp5]],"")</f>
        <v/>
      </c>
      <c r="AO816" s="126" t="str">
        <f>IF(Tab.o1[[#This Row],[a1]]=1,IF(AO$3=1,[1]!T.in.A[[#This Row],[Σp5]],""),"")</f>
        <v/>
      </c>
      <c r="AP816" s="110" t="str">
        <f>IF(Tab.o1[[#This Row],[a1]]=1,IF(ISNUMBER(Tab.o1[[#This Row],[i.]]),NORMDIST(Tab.o1[[#This Row],[Za]],0,1,FALSE)*Tab.o1[[#This Row],[i.]],0),"")</f>
        <v/>
      </c>
      <c r="AQ816" s="125" t="str">
        <f>IF(Tab.o1[[#This Row],[a1]]=1,ABS(Tab.o1[[#This Row],[MOD]]-AVERAGE(Tab.o1[MOD])),"")</f>
        <v/>
      </c>
      <c r="AR816" s="134" t="str">
        <f>IF(Tab.o1[[#This Row],[a1]]=1,Tab.o1[[#This Row],[OBS]]/SUM(Tab.o1[OBS]),"")</f>
        <v/>
      </c>
      <c r="AS816" s="135" t="str">
        <f>IF(ISNUMBER(Tab.o1[[#This Row],[a1]]),ROW()-4,"")</f>
        <v/>
      </c>
      <c r="AT816" s="136" t="str">
        <f>Tab.o1[[#This Row],[MOD]]</f>
        <v/>
      </c>
      <c r="AU816" s="137" t="str">
        <f t="shared" si="49"/>
        <v/>
      </c>
      <c r="AV816" s="138" t="str">
        <f t="shared" si="50"/>
        <v/>
      </c>
      <c r="AW816" s="138" t="str">
        <f t="shared" si="51"/>
        <v/>
      </c>
      <c r="AX816" s="139" t="str">
        <f>[1]!T.in.A[[#This Row],[ID_T_manu]]</f>
        <v/>
      </c>
      <c r="AY816" s="140" t="str">
        <f>IF(ISNUMBER(Tab.o1[[#This Row],[a1]]),IF(AND(Tab.o1[[#This Row],[a1]]=1,Tab.o1[[#This Row],[b1]]&lt;=AY$4),#REF!,AY815),"")</f>
        <v/>
      </c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6"/>
      <c r="BO816" s="26"/>
      <c r="BP816" s="26"/>
      <c r="BQ816" s="26"/>
      <c r="BR816" s="26"/>
      <c r="BS816" s="26"/>
      <c r="BT816" s="26"/>
      <c r="BU816" s="26"/>
      <c r="BV816" s="26"/>
      <c r="BW816" s="26"/>
      <c r="BX816" s="26"/>
      <c r="BY816" s="26"/>
      <c r="BZ816" s="26"/>
      <c r="CA816" s="26"/>
    </row>
    <row r="817" spans="1:79" s="143" customFormat="1" ht="15.75" hidden="1">
      <c r="A817" s="109">
        <v>1.0000000000000001E-5</v>
      </c>
      <c r="B817" s="110">
        <f t="shared" si="48"/>
        <v>817</v>
      </c>
      <c r="C817" s="111" t="str">
        <f>IF(C$1=[1]!T.in.A[[#This Row],[oo2]],1,"")</f>
        <v/>
      </c>
      <c r="D817" s="112" t="str">
        <f>IF(Tab.o1[[#This Row],[a1]]=1,IF(SUM(C817:C818)=0,0,IF(SUM(C816:C817)=1,1,IF(SUM(C816:C818)&gt;1,D816+1,0))),"")</f>
        <v/>
      </c>
      <c r="E817" s="113" t="str">
        <f>IF(Tab.o1[[#This Row],[a1]]=1,[1]!T.in.A[[#This Row],[oo1]],"")</f>
        <v/>
      </c>
      <c r="F817" s="113" t="str">
        <f>IF(Tab.o1[[#This Row],[a1]]=1,[1]!T.in.A[[#This Row],[pp1]],"")</f>
        <v/>
      </c>
      <c r="G817" s="114" t="str">
        <f>IF(Tab.o1[[#This Row],[a1]]=1,G$2+IF(G$1=1,0,Tab.o1[[#This Row],[.x1]])+[1]!T.in.A[[#This Row],[oo3]],"")</f>
        <v/>
      </c>
      <c r="H817" s="115" t="str">
        <f>IF(Tab.o1[[#This Row],[a1]]=1,IF(H$2=0,0,IF(G$1=1,0,Tab.o1[[#This Row],[.x1]])+[1]!T.in.A[[#This Row],[oo4]]),"")</f>
        <v/>
      </c>
      <c r="I817" s="116" t="str">
        <f>IF(Tab.o1[[#This Row],[a1]]=1,IF(J$2=0,Tab.o1[[#This Row],[MED]],Tab.o1[[#This Row],[MOD]]),"")</f>
        <v/>
      </c>
      <c r="J817" s="116" t="str">
        <f>IF(Tab.o1[[#This Row],[a1]]=1,((Tab.o1[[#This Row],[DIF_Target.]]-AVERAGE(Tab.o1[DIF_Target.]))/_xlfn.STDEV.P(Tab.o1[DIF_Target.])),"")</f>
        <v/>
      </c>
      <c r="K817" s="117" t="str">
        <f>IF(Tab.o1[[#This Row],[a1]]=1,IF(J$2=0,Tab.o1[[#This Row],[MOD]]-Tab.o1[[#This Row],[B]],IF(J$2=1,0,-Tab.o1[[#This Row],[MED]])+Tab.o1[[#This Row],[B]]),"")</f>
        <v/>
      </c>
      <c r="L817" s="117" t="str">
        <f ca="1">IF(Tab.o1[[#This Row],[DIF_Target]]=0,IF(L$2=0,Tab.o1[[#This Row],[DIF_Target]],AVERAGE(OFFSET(Tab.o1[[#This Row],[DIF_Target]],1,0,L$3,1)))/3,Tab.o1[[#This Row],[DIF_Target]])</f>
        <v/>
      </c>
      <c r="M817" s="118" t="str">
        <f>IF(Tab.o1[[#This Row],[a1]]=1,NORMSDIST(Tab.o1[[#This Row],[Za]]),"")</f>
        <v/>
      </c>
      <c r="N817" s="119" t="str">
        <f>IF(Tab.o1[[#This Row],[a1]]=1,((Tab.o1[[#This Row],[MedMod]]-AVERAGE(Tab.o1[MedMod]))/_xlfn.STDEV.P(Tab.o1[MedMod])*H$1205)+G$1205,"")</f>
        <v/>
      </c>
      <c r="O817" s="141" t="str">
        <f>IF(Tab.o1[[#This Row],[a1]]=1,Tab.o1[[#This Row],[Zb]]*_xlfn.STDEV.P(Tab.o1[MedMod])+AVERAGE(Tab.o1[MedMod]),"")</f>
        <v/>
      </c>
      <c r="P817" s="117" t="str">
        <f ca="1">IF(Tab.o1[[#This Row],[B]]=0,AVERAGE(OFFSET(Tab.o1[[#This Row],[B]],1,0,L$3,1)),Tab.o1[[#This Row],[B]])</f>
        <v/>
      </c>
      <c r="Q817" s="121" t="str">
        <f>IF(Tab.o1[[#This Row],[a1]]=1,NORMSDIST(Tab.o1[[#This Row],[Zb]]),"")</f>
        <v/>
      </c>
      <c r="R817" s="122" t="str">
        <f>IF(Tab.o1[[#This Row],[a1]]=1,((Tab.o1[[#This Row],[MedMod]]-AVERAGE(Tab.o1[MedMod]))/_xlfn.STDEV.P(Tab.o1[MedMod])*H$1203)+G$1203,"")</f>
        <v/>
      </c>
      <c r="S817" s="122" t="str">
        <f>IF(Tab.o1[[#This Row],[a1]]=1,((Tab.o1[[#This Row],[MedMod]]-AVERAGE(Tab.o1[MedMod]))/_xlfn.STDEV.P(Tab.o1[MedMod])*H$1204)+G$1204,"")</f>
        <v/>
      </c>
      <c r="T817" s="123" t="str">
        <f>IF(Tab.o1[[#This Row],[a1]]=1,Tab.o1[[#This Row],[Z-]]*_xlfn.STDEV.P(Tab.o1[B])+AVERAGE(Tab.o1[B]),"")</f>
        <v/>
      </c>
      <c r="U817" s="123" t="str">
        <f>IF(Tab.o1[[#This Row],[a1]]=1,Tab.o1[[#This Row],[z+]]*_xlfn.STDEV.P(Tab.o1[B])+AVERAGE(Tab.o1[B]),"")</f>
        <v/>
      </c>
      <c r="V817" s="124" t="str">
        <f>IF(Tab.o1[[#This Row],[a1]]=1,ABS((ABS(Tab.o1[[#This Row],[Red]]-Tab.o1[[#This Row],[Blue]]))),"")</f>
        <v/>
      </c>
      <c r="W817" s="125" t="str">
        <f>IF(Tab.o1[[#This Row],[a1]]=1,IF(W$3=0,1,Tab.o1[[#This Row],[Amp.]]*1/_xlfn.MINIFS(Tab.o1[Amp.],Tab.o1[Amp.],"&lt;&gt;0")),"")</f>
        <v/>
      </c>
      <c r="X817" s="126" t="str">
        <f>IF(Tab.o1[[#This Row],[a1]]=1,IF(ISNUMBER(Tab.o1[[#This Row],[i.]]),NORMDIST(Tab.o1[[#This Row],[Za]],0,1,FALSE)*Tab.o1[[#This Row],[i.]],AP$3),"")</f>
        <v/>
      </c>
      <c r="Y817" s="126" t="str">
        <f>IF(Tab.o1[[#This Row],[a1]]=1,0.01+0.94*Tab.o1[[#This Row],[PDF]]/MAX(Tab.o1[PDF]),"")</f>
        <v/>
      </c>
      <c r="Z817" s="126" t="str">
        <f>IF(Tab.o1[[#This Row],[a1]]=1,0.01+0.94*Tab.o1[[#This Row],[W1_PDF]]/MAX(Tab.o1[W1_PDF]),"")</f>
        <v/>
      </c>
      <c r="AA817" s="118" t="str">
        <f>IF(Tab.o1[[#This Row],[a1]]=1,ABS([1]!T.in.A[[#This Row],[oo6]]),"")</f>
        <v/>
      </c>
      <c r="AB817" s="127" t="str">
        <f>IF(Tab.o1[[#This Row],[a1]]=1,IF(AE$3=0,"",IF(AB$3=0,ABS([1]!T.in.A[[#This Row],[oo9]]),ABS(Tab.o1[[#This Row],[DIF_Target.]]*Tab.o1[[#This Row],[W1_PDF]]))),"")</f>
        <v/>
      </c>
      <c r="AC817" s="127" t="str">
        <f>IF(G$1=1,"",IF(Tab.o1[[#This Row],[a1]]=1,Tab.o1[[#This Row],[Wr]]^2,""))</f>
        <v/>
      </c>
      <c r="AD817" s="118" t="str">
        <f>IF(Tab.o1[[#This Row],[a1]]=1,IF(AE$3=0,"",Tab.o1[[#This Row],[Wr2]]/SUM(Tab.o1[Wr2])),"")</f>
        <v/>
      </c>
      <c r="AE817" s="128" t="str">
        <f>IF(Tab.o1[[#This Row],[a1]]=1,[1]!T.in.A[[#This Row],[oo10]],"")</f>
        <v/>
      </c>
      <c r="AF817" s="118" t="str">
        <f>IF(Tab.o1[[#This Row],[a1]]=1,ABS(Tab.o1[[#This Row],[DIF_Target.]]*Tab.o1[[#This Row],[PDF2]]*Tab.o1[[#This Row],[IN]]),"")</f>
        <v/>
      </c>
      <c r="AG817" s="129" t="str">
        <f>IF(Tab.o1[[#This Row],[a1]]=1,Tab.o1[[#This Row],[rW]]^2,"")</f>
        <v/>
      </c>
      <c r="AH817" s="130" t="str">
        <f>IF(Tab.o1[[#This Row],[a1]]=1,IF(AH$3=0,Tab.o1[[#This Row],[rW2]],0.01+0.94*Tab.o1[[#This Row],[rW2]]/SUM(Tab.o1[rW2])),"")</f>
        <v/>
      </c>
      <c r="AI817" s="128" t="str">
        <f>IF(Tab.o1[[#This Row],[a1]]=1,1/Tab.o1[[#This Row],[PDF]],"")</f>
        <v/>
      </c>
      <c r="AJ817" s="131" t="str">
        <f>IF(Tab.o1[[#This Row],[a1]]=1,[1]!T_AA[[#This Row],[IN'']]*[1]!T_AA[[#This Row],[Qde'']],"")</f>
        <v/>
      </c>
      <c r="AK817" s="132" t="str">
        <f>IF(Tab.o1[[#This Row],[a1]]=1,IF(AK$1=1,Tab.o1[[#This Row],[MED]]+Tab.o1[[#This Row],[MOD]]-Tab.o1[[#This Row],[MED]],""),"")</f>
        <v/>
      </c>
      <c r="AL817" s="133" t="str">
        <f>IF(Tab.o1[[#This Row],[a1]]=1,[1]!T.in.A[[#This Row],[oo16]],"")</f>
        <v/>
      </c>
      <c r="AM817" s="133" t="str">
        <f>IF(Tab.o1[[#This Row],[a1]]=1,IF(AM$3=1,[1]!T.in.A[[#This Row],[Σo16]],""),"")</f>
        <v/>
      </c>
      <c r="AN817" s="126" t="str">
        <f>IF(Tab.o1[[#This Row],[a1]]=1,[1]!T.in.A[[#This Row],[Σp5]],"")</f>
        <v/>
      </c>
      <c r="AO817" s="126" t="str">
        <f>IF(Tab.o1[[#This Row],[a1]]=1,IF(AO$3=1,[1]!T.in.A[[#This Row],[Σp5]],""),"")</f>
        <v/>
      </c>
      <c r="AP817" s="110" t="str">
        <f>IF(Tab.o1[[#This Row],[a1]]=1,IF(ISNUMBER(Tab.o1[[#This Row],[i.]]),NORMDIST(Tab.o1[[#This Row],[Za]],0,1,FALSE)*Tab.o1[[#This Row],[i.]],0),"")</f>
        <v/>
      </c>
      <c r="AQ817" s="125" t="str">
        <f>IF(Tab.o1[[#This Row],[a1]]=1,ABS(Tab.o1[[#This Row],[MOD]]-AVERAGE(Tab.o1[MOD])),"")</f>
        <v/>
      </c>
      <c r="AR817" s="134" t="str">
        <f>IF(Tab.o1[[#This Row],[a1]]=1,Tab.o1[[#This Row],[OBS]]/SUM(Tab.o1[OBS]),"")</f>
        <v/>
      </c>
      <c r="AS817" s="135" t="str">
        <f>IF(ISNUMBER(Tab.o1[[#This Row],[a1]]),ROW()-4,"")</f>
        <v/>
      </c>
      <c r="AT817" s="136" t="str">
        <f>Tab.o1[[#This Row],[MOD]]</f>
        <v/>
      </c>
      <c r="AU817" s="137" t="str">
        <f t="shared" si="49"/>
        <v/>
      </c>
      <c r="AV817" s="138" t="str">
        <f t="shared" si="50"/>
        <v/>
      </c>
      <c r="AW817" s="138" t="str">
        <f t="shared" si="51"/>
        <v/>
      </c>
      <c r="AX817" s="139" t="str">
        <f>[1]!T.in.A[[#This Row],[ID_T_manu]]</f>
        <v/>
      </c>
      <c r="AY817" s="140" t="str">
        <f>IF(ISNUMBER(Tab.o1[[#This Row],[a1]]),IF(AND(Tab.o1[[#This Row],[a1]]=1,Tab.o1[[#This Row],[b1]]&lt;=AY$4),#REF!,AY816),"")</f>
        <v/>
      </c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6"/>
      <c r="BO817" s="26"/>
      <c r="BP817" s="26"/>
      <c r="BQ817" s="26"/>
      <c r="BR817" s="26"/>
      <c r="BS817" s="26"/>
      <c r="BT817" s="26"/>
      <c r="BU817" s="26"/>
      <c r="BV817" s="26"/>
      <c r="BW817" s="26"/>
      <c r="BX817" s="26"/>
      <c r="BY817" s="26"/>
      <c r="BZ817" s="26"/>
      <c r="CA817" s="26"/>
    </row>
    <row r="818" spans="1:79" s="143" customFormat="1" ht="15.75" hidden="1">
      <c r="A818" s="109">
        <v>-6.9999999999999999E-6</v>
      </c>
      <c r="B818" s="110">
        <f t="shared" si="48"/>
        <v>818</v>
      </c>
      <c r="C818" s="111" t="str">
        <f>IF(C$1=[1]!T.in.A[[#This Row],[oo2]],1,"")</f>
        <v/>
      </c>
      <c r="D818" s="112" t="str">
        <f>IF(Tab.o1[[#This Row],[a1]]=1,IF(SUM(C818:C819)=0,0,IF(SUM(C817:C818)=1,1,IF(SUM(C817:C819)&gt;1,D817+1,0))),"")</f>
        <v/>
      </c>
      <c r="E818" s="113" t="str">
        <f>IF(Tab.o1[[#This Row],[a1]]=1,[1]!T.in.A[[#This Row],[oo1]],"")</f>
        <v/>
      </c>
      <c r="F818" s="113" t="str">
        <f>IF(Tab.o1[[#This Row],[a1]]=1,[1]!T.in.A[[#This Row],[pp1]],"")</f>
        <v/>
      </c>
      <c r="G818" s="114" t="str">
        <f>IF(Tab.o1[[#This Row],[a1]]=1,G$2+IF(G$1=1,0,Tab.o1[[#This Row],[.x1]])+[1]!T.in.A[[#This Row],[oo3]],"")</f>
        <v/>
      </c>
      <c r="H818" s="115" t="str">
        <f>IF(Tab.o1[[#This Row],[a1]]=1,IF(H$2=0,0,IF(G$1=1,0,Tab.o1[[#This Row],[.x1]])+[1]!T.in.A[[#This Row],[oo4]]),"")</f>
        <v/>
      </c>
      <c r="I818" s="116" t="str">
        <f>IF(Tab.o1[[#This Row],[a1]]=1,IF(J$2=0,Tab.o1[[#This Row],[MED]],Tab.o1[[#This Row],[MOD]]),"")</f>
        <v/>
      </c>
      <c r="J818" s="116" t="str">
        <f>IF(Tab.o1[[#This Row],[a1]]=1,((Tab.o1[[#This Row],[DIF_Target.]]-AVERAGE(Tab.o1[DIF_Target.]))/_xlfn.STDEV.P(Tab.o1[DIF_Target.])),"")</f>
        <v/>
      </c>
      <c r="K818" s="117" t="str">
        <f>IF(Tab.o1[[#This Row],[a1]]=1,IF(J$2=0,Tab.o1[[#This Row],[MOD]]-Tab.o1[[#This Row],[B]],IF(J$2=1,0,-Tab.o1[[#This Row],[MED]])+Tab.o1[[#This Row],[B]]),"")</f>
        <v/>
      </c>
      <c r="L818" s="117" t="str">
        <f ca="1">IF(Tab.o1[[#This Row],[DIF_Target]]=0,IF(L$2=0,Tab.o1[[#This Row],[DIF_Target]],AVERAGE(OFFSET(Tab.o1[[#This Row],[DIF_Target]],1,0,L$3,1)))/3,Tab.o1[[#This Row],[DIF_Target]])</f>
        <v/>
      </c>
      <c r="M818" s="118" t="str">
        <f>IF(Tab.o1[[#This Row],[a1]]=1,NORMSDIST(Tab.o1[[#This Row],[Za]]),"")</f>
        <v/>
      </c>
      <c r="N818" s="119" t="str">
        <f>IF(Tab.o1[[#This Row],[a1]]=1,((Tab.o1[[#This Row],[MedMod]]-AVERAGE(Tab.o1[MedMod]))/_xlfn.STDEV.P(Tab.o1[MedMod])*H$1205)+G$1205,"")</f>
        <v/>
      </c>
      <c r="O818" s="141" t="str">
        <f>IF(Tab.o1[[#This Row],[a1]]=1,Tab.o1[[#This Row],[Zb]]*_xlfn.STDEV.P(Tab.o1[MedMod])+AVERAGE(Tab.o1[MedMod]),"")</f>
        <v/>
      </c>
      <c r="P818" s="117" t="str">
        <f ca="1">IF(Tab.o1[[#This Row],[B]]=0,AVERAGE(OFFSET(Tab.o1[[#This Row],[B]],1,0,L$3,1)),Tab.o1[[#This Row],[B]])</f>
        <v/>
      </c>
      <c r="Q818" s="121" t="str">
        <f>IF(Tab.o1[[#This Row],[a1]]=1,NORMSDIST(Tab.o1[[#This Row],[Zb]]),"")</f>
        <v/>
      </c>
      <c r="R818" s="122" t="str">
        <f>IF(Tab.o1[[#This Row],[a1]]=1,((Tab.o1[[#This Row],[MedMod]]-AVERAGE(Tab.o1[MedMod]))/_xlfn.STDEV.P(Tab.o1[MedMod])*H$1203)+G$1203,"")</f>
        <v/>
      </c>
      <c r="S818" s="122" t="str">
        <f>IF(Tab.o1[[#This Row],[a1]]=1,((Tab.o1[[#This Row],[MedMod]]-AVERAGE(Tab.o1[MedMod]))/_xlfn.STDEV.P(Tab.o1[MedMod])*H$1204)+G$1204,"")</f>
        <v/>
      </c>
      <c r="T818" s="123" t="str">
        <f>IF(Tab.o1[[#This Row],[a1]]=1,Tab.o1[[#This Row],[Z-]]*_xlfn.STDEV.P(Tab.o1[B])+AVERAGE(Tab.o1[B]),"")</f>
        <v/>
      </c>
      <c r="U818" s="123" t="str">
        <f>IF(Tab.o1[[#This Row],[a1]]=1,Tab.o1[[#This Row],[z+]]*_xlfn.STDEV.P(Tab.o1[B])+AVERAGE(Tab.o1[B]),"")</f>
        <v/>
      </c>
      <c r="V818" s="124" t="str">
        <f>IF(Tab.o1[[#This Row],[a1]]=1,ABS((ABS(Tab.o1[[#This Row],[Red]]-Tab.o1[[#This Row],[Blue]]))),"")</f>
        <v/>
      </c>
      <c r="W818" s="125" t="str">
        <f>IF(Tab.o1[[#This Row],[a1]]=1,IF(W$3=0,1,Tab.o1[[#This Row],[Amp.]]*1/_xlfn.MINIFS(Tab.o1[Amp.],Tab.o1[Amp.],"&lt;&gt;0")),"")</f>
        <v/>
      </c>
      <c r="X818" s="126" t="str">
        <f>IF(Tab.o1[[#This Row],[a1]]=1,IF(ISNUMBER(Tab.o1[[#This Row],[i.]]),NORMDIST(Tab.o1[[#This Row],[Za]],0,1,FALSE)*Tab.o1[[#This Row],[i.]],AP$3),"")</f>
        <v/>
      </c>
      <c r="Y818" s="126" t="str">
        <f>IF(Tab.o1[[#This Row],[a1]]=1,0.01+0.94*Tab.o1[[#This Row],[PDF]]/MAX(Tab.o1[PDF]),"")</f>
        <v/>
      </c>
      <c r="Z818" s="126" t="str">
        <f>IF(Tab.o1[[#This Row],[a1]]=1,0.01+0.94*Tab.o1[[#This Row],[W1_PDF]]/MAX(Tab.o1[W1_PDF]),"")</f>
        <v/>
      </c>
      <c r="AA818" s="118" t="str">
        <f>IF(Tab.o1[[#This Row],[a1]]=1,ABS([1]!T.in.A[[#This Row],[oo6]]),"")</f>
        <v/>
      </c>
      <c r="AB818" s="127" t="str">
        <f>IF(Tab.o1[[#This Row],[a1]]=1,IF(AE$3=0,"",IF(AB$3=0,ABS([1]!T.in.A[[#This Row],[oo9]]),ABS(Tab.o1[[#This Row],[DIF_Target.]]*Tab.o1[[#This Row],[W1_PDF]]))),"")</f>
        <v/>
      </c>
      <c r="AC818" s="127" t="str">
        <f>IF(G$1=1,"",IF(Tab.o1[[#This Row],[a1]]=1,Tab.o1[[#This Row],[Wr]]^2,""))</f>
        <v/>
      </c>
      <c r="AD818" s="118" t="str">
        <f>IF(Tab.o1[[#This Row],[a1]]=1,IF(AE$3=0,"",Tab.o1[[#This Row],[Wr2]]/SUM(Tab.o1[Wr2])),"")</f>
        <v/>
      </c>
      <c r="AE818" s="128" t="str">
        <f>IF(Tab.o1[[#This Row],[a1]]=1,[1]!T.in.A[[#This Row],[oo10]],"")</f>
        <v/>
      </c>
      <c r="AF818" s="118" t="str">
        <f>IF(Tab.o1[[#This Row],[a1]]=1,ABS(Tab.o1[[#This Row],[DIF_Target.]]*Tab.o1[[#This Row],[PDF2]]*Tab.o1[[#This Row],[IN]]),"")</f>
        <v/>
      </c>
      <c r="AG818" s="129" t="str">
        <f>IF(Tab.o1[[#This Row],[a1]]=1,Tab.o1[[#This Row],[rW]]^2,"")</f>
        <v/>
      </c>
      <c r="AH818" s="130" t="str">
        <f>IF(Tab.o1[[#This Row],[a1]]=1,IF(AH$3=0,Tab.o1[[#This Row],[rW2]],0.01+0.94*Tab.o1[[#This Row],[rW2]]/SUM(Tab.o1[rW2])),"")</f>
        <v/>
      </c>
      <c r="AI818" s="128" t="str">
        <f>IF(Tab.o1[[#This Row],[a1]]=1,1/Tab.o1[[#This Row],[PDF]],"")</f>
        <v/>
      </c>
      <c r="AJ818" s="131" t="str">
        <f>IF(Tab.o1[[#This Row],[a1]]=1,[1]!T_AA[[#This Row],[IN'']]*[1]!T_AA[[#This Row],[Qde'']],"")</f>
        <v/>
      </c>
      <c r="AK818" s="132" t="str">
        <f>IF(Tab.o1[[#This Row],[a1]]=1,IF(AK$1=1,Tab.o1[[#This Row],[MED]]+Tab.o1[[#This Row],[MOD]]-Tab.o1[[#This Row],[MED]],""),"")</f>
        <v/>
      </c>
      <c r="AL818" s="133" t="str">
        <f>IF(Tab.o1[[#This Row],[a1]]=1,[1]!T.in.A[[#This Row],[oo16]],"")</f>
        <v/>
      </c>
      <c r="AM818" s="133" t="str">
        <f>IF(Tab.o1[[#This Row],[a1]]=1,IF(AM$3=1,[1]!T.in.A[[#This Row],[Σo16]],""),"")</f>
        <v/>
      </c>
      <c r="AN818" s="126" t="str">
        <f>IF(Tab.o1[[#This Row],[a1]]=1,[1]!T.in.A[[#This Row],[Σp5]],"")</f>
        <v/>
      </c>
      <c r="AO818" s="126" t="str">
        <f>IF(Tab.o1[[#This Row],[a1]]=1,IF(AO$3=1,[1]!T.in.A[[#This Row],[Σp5]],""),"")</f>
        <v/>
      </c>
      <c r="AP818" s="110" t="str">
        <f>IF(Tab.o1[[#This Row],[a1]]=1,IF(ISNUMBER(Tab.o1[[#This Row],[i.]]),NORMDIST(Tab.o1[[#This Row],[Za]],0,1,FALSE)*Tab.o1[[#This Row],[i.]],0),"")</f>
        <v/>
      </c>
      <c r="AQ818" s="125" t="str">
        <f>IF(Tab.o1[[#This Row],[a1]]=1,ABS(Tab.o1[[#This Row],[MOD]]-AVERAGE(Tab.o1[MOD])),"")</f>
        <v/>
      </c>
      <c r="AR818" s="134" t="str">
        <f>IF(Tab.o1[[#This Row],[a1]]=1,Tab.o1[[#This Row],[OBS]]/SUM(Tab.o1[OBS]),"")</f>
        <v/>
      </c>
      <c r="AS818" s="135" t="str">
        <f>IF(ISNUMBER(Tab.o1[[#This Row],[a1]]),ROW()-4,"")</f>
        <v/>
      </c>
      <c r="AT818" s="136" t="str">
        <f>Tab.o1[[#This Row],[MOD]]</f>
        <v/>
      </c>
      <c r="AU818" s="137" t="str">
        <f t="shared" si="49"/>
        <v/>
      </c>
      <c r="AV818" s="138" t="str">
        <f t="shared" si="50"/>
        <v/>
      </c>
      <c r="AW818" s="138" t="str">
        <f t="shared" si="51"/>
        <v/>
      </c>
      <c r="AX818" s="139" t="str">
        <f>[1]!T.in.A[[#This Row],[ID_T_manu]]</f>
        <v/>
      </c>
      <c r="AY818" s="140" t="str">
        <f>IF(ISNUMBER(Tab.o1[[#This Row],[a1]]),IF(AND(Tab.o1[[#This Row],[a1]]=1,Tab.o1[[#This Row],[b1]]&lt;=AY$4),#REF!,AY817),"")</f>
        <v/>
      </c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6"/>
      <c r="BO818" s="26"/>
      <c r="BP818" s="26"/>
      <c r="BQ818" s="26"/>
      <c r="BR818" s="26"/>
      <c r="BS818" s="26"/>
      <c r="BT818" s="26"/>
      <c r="BU818" s="26"/>
      <c r="BV818" s="26"/>
      <c r="BW818" s="26"/>
      <c r="BX818" s="26"/>
      <c r="BY818" s="26"/>
      <c r="BZ818" s="26"/>
      <c r="CA818" s="26"/>
    </row>
    <row r="819" spans="1:79" s="143" customFormat="1" ht="15.75" hidden="1">
      <c r="A819" s="109">
        <v>-4.0000000000000007E-6</v>
      </c>
      <c r="B819" s="110">
        <f t="shared" si="48"/>
        <v>819</v>
      </c>
      <c r="C819" s="111" t="str">
        <f>IF(C$1=[1]!T.in.A[[#This Row],[oo2]],1,"")</f>
        <v/>
      </c>
      <c r="D819" s="112" t="str">
        <f>IF(Tab.o1[[#This Row],[a1]]=1,IF(SUM(C819:C820)=0,0,IF(SUM(C818:C819)=1,1,IF(SUM(C818:C820)&gt;1,D818+1,0))),"")</f>
        <v/>
      </c>
      <c r="E819" s="113" t="str">
        <f>IF(Tab.o1[[#This Row],[a1]]=1,[1]!T.in.A[[#This Row],[oo1]],"")</f>
        <v/>
      </c>
      <c r="F819" s="113" t="str">
        <f>IF(Tab.o1[[#This Row],[a1]]=1,[1]!T.in.A[[#This Row],[pp1]],"")</f>
        <v/>
      </c>
      <c r="G819" s="114" t="str">
        <f>IF(Tab.o1[[#This Row],[a1]]=1,G$2+IF(G$1=1,0,Tab.o1[[#This Row],[.x1]])+[1]!T.in.A[[#This Row],[oo3]],"")</f>
        <v/>
      </c>
      <c r="H819" s="115" t="str">
        <f>IF(Tab.o1[[#This Row],[a1]]=1,IF(H$2=0,0,IF(G$1=1,0,Tab.o1[[#This Row],[.x1]])+[1]!T.in.A[[#This Row],[oo4]]),"")</f>
        <v/>
      </c>
      <c r="I819" s="116" t="str">
        <f>IF(Tab.o1[[#This Row],[a1]]=1,IF(J$2=0,Tab.o1[[#This Row],[MED]],Tab.o1[[#This Row],[MOD]]),"")</f>
        <v/>
      </c>
      <c r="J819" s="116" t="str">
        <f>IF(Tab.o1[[#This Row],[a1]]=1,((Tab.o1[[#This Row],[DIF_Target.]]-AVERAGE(Tab.o1[DIF_Target.]))/_xlfn.STDEV.P(Tab.o1[DIF_Target.])),"")</f>
        <v/>
      </c>
      <c r="K819" s="117" t="str">
        <f>IF(Tab.o1[[#This Row],[a1]]=1,IF(J$2=0,Tab.o1[[#This Row],[MOD]]-Tab.o1[[#This Row],[B]],IF(J$2=1,0,-Tab.o1[[#This Row],[MED]])+Tab.o1[[#This Row],[B]]),"")</f>
        <v/>
      </c>
      <c r="L819" s="117" t="str">
        <f ca="1">IF(Tab.o1[[#This Row],[DIF_Target]]=0,IF(L$2=0,Tab.o1[[#This Row],[DIF_Target]],AVERAGE(OFFSET(Tab.o1[[#This Row],[DIF_Target]],1,0,L$3,1)))/3,Tab.o1[[#This Row],[DIF_Target]])</f>
        <v/>
      </c>
      <c r="M819" s="118" t="str">
        <f>IF(Tab.o1[[#This Row],[a1]]=1,NORMSDIST(Tab.o1[[#This Row],[Za]]),"")</f>
        <v/>
      </c>
      <c r="N819" s="119" t="str">
        <f>IF(Tab.o1[[#This Row],[a1]]=1,((Tab.o1[[#This Row],[MedMod]]-AVERAGE(Tab.o1[MedMod]))/_xlfn.STDEV.P(Tab.o1[MedMod])*H$1205)+G$1205,"")</f>
        <v/>
      </c>
      <c r="O819" s="141" t="str">
        <f>IF(Tab.o1[[#This Row],[a1]]=1,Tab.o1[[#This Row],[Zb]]*_xlfn.STDEV.P(Tab.o1[MedMod])+AVERAGE(Tab.o1[MedMod]),"")</f>
        <v/>
      </c>
      <c r="P819" s="117" t="str">
        <f ca="1">IF(Tab.o1[[#This Row],[B]]=0,AVERAGE(OFFSET(Tab.o1[[#This Row],[B]],1,0,L$3,1)),Tab.o1[[#This Row],[B]])</f>
        <v/>
      </c>
      <c r="Q819" s="121" t="str">
        <f>IF(Tab.o1[[#This Row],[a1]]=1,NORMSDIST(Tab.o1[[#This Row],[Zb]]),"")</f>
        <v/>
      </c>
      <c r="R819" s="122" t="str">
        <f>IF(Tab.o1[[#This Row],[a1]]=1,((Tab.o1[[#This Row],[MedMod]]-AVERAGE(Tab.o1[MedMod]))/_xlfn.STDEV.P(Tab.o1[MedMod])*H$1203)+G$1203,"")</f>
        <v/>
      </c>
      <c r="S819" s="122" t="str">
        <f>IF(Tab.o1[[#This Row],[a1]]=1,((Tab.o1[[#This Row],[MedMod]]-AVERAGE(Tab.o1[MedMod]))/_xlfn.STDEV.P(Tab.o1[MedMod])*H$1204)+G$1204,"")</f>
        <v/>
      </c>
      <c r="T819" s="123" t="str">
        <f>IF(Tab.o1[[#This Row],[a1]]=1,Tab.o1[[#This Row],[Z-]]*_xlfn.STDEV.P(Tab.o1[B])+AVERAGE(Tab.o1[B]),"")</f>
        <v/>
      </c>
      <c r="U819" s="123" t="str">
        <f>IF(Tab.o1[[#This Row],[a1]]=1,Tab.o1[[#This Row],[z+]]*_xlfn.STDEV.P(Tab.o1[B])+AVERAGE(Tab.o1[B]),"")</f>
        <v/>
      </c>
      <c r="V819" s="124" t="str">
        <f>IF(Tab.o1[[#This Row],[a1]]=1,ABS((ABS(Tab.o1[[#This Row],[Red]]-Tab.o1[[#This Row],[Blue]]))),"")</f>
        <v/>
      </c>
      <c r="W819" s="125" t="str">
        <f>IF(Tab.o1[[#This Row],[a1]]=1,IF(W$3=0,1,Tab.o1[[#This Row],[Amp.]]*1/_xlfn.MINIFS(Tab.o1[Amp.],Tab.o1[Amp.],"&lt;&gt;0")),"")</f>
        <v/>
      </c>
      <c r="X819" s="126" t="str">
        <f>IF(Tab.o1[[#This Row],[a1]]=1,IF(ISNUMBER(Tab.o1[[#This Row],[i.]]),NORMDIST(Tab.o1[[#This Row],[Za]],0,1,FALSE)*Tab.o1[[#This Row],[i.]],AP$3),"")</f>
        <v/>
      </c>
      <c r="Y819" s="126" t="str">
        <f>IF(Tab.o1[[#This Row],[a1]]=1,0.01+0.94*Tab.o1[[#This Row],[PDF]]/MAX(Tab.o1[PDF]),"")</f>
        <v/>
      </c>
      <c r="Z819" s="126" t="str">
        <f>IF(Tab.o1[[#This Row],[a1]]=1,0.01+0.94*Tab.o1[[#This Row],[W1_PDF]]/MAX(Tab.o1[W1_PDF]),"")</f>
        <v/>
      </c>
      <c r="AA819" s="118" t="str">
        <f>IF(Tab.o1[[#This Row],[a1]]=1,ABS([1]!T.in.A[[#This Row],[oo6]]),"")</f>
        <v/>
      </c>
      <c r="AB819" s="127" t="str">
        <f>IF(Tab.o1[[#This Row],[a1]]=1,IF(AE$3=0,"",IF(AB$3=0,ABS([1]!T.in.A[[#This Row],[oo9]]),ABS(Tab.o1[[#This Row],[DIF_Target.]]*Tab.o1[[#This Row],[W1_PDF]]))),"")</f>
        <v/>
      </c>
      <c r="AC819" s="127" t="str">
        <f>IF(G$1=1,"",IF(Tab.o1[[#This Row],[a1]]=1,Tab.o1[[#This Row],[Wr]]^2,""))</f>
        <v/>
      </c>
      <c r="AD819" s="118" t="str">
        <f>IF(Tab.o1[[#This Row],[a1]]=1,IF(AE$3=0,"",Tab.o1[[#This Row],[Wr2]]/SUM(Tab.o1[Wr2])),"")</f>
        <v/>
      </c>
      <c r="AE819" s="128" t="str">
        <f>IF(Tab.o1[[#This Row],[a1]]=1,[1]!T.in.A[[#This Row],[oo10]],"")</f>
        <v/>
      </c>
      <c r="AF819" s="118" t="str">
        <f>IF(Tab.o1[[#This Row],[a1]]=1,ABS(Tab.o1[[#This Row],[DIF_Target.]]*Tab.o1[[#This Row],[PDF2]]*Tab.o1[[#This Row],[IN]]),"")</f>
        <v/>
      </c>
      <c r="AG819" s="129" t="str">
        <f>IF(Tab.o1[[#This Row],[a1]]=1,Tab.o1[[#This Row],[rW]]^2,"")</f>
        <v/>
      </c>
      <c r="AH819" s="130" t="str">
        <f>IF(Tab.o1[[#This Row],[a1]]=1,IF(AH$3=0,Tab.o1[[#This Row],[rW2]],0.01+0.94*Tab.o1[[#This Row],[rW2]]/SUM(Tab.o1[rW2])),"")</f>
        <v/>
      </c>
      <c r="AI819" s="128" t="str">
        <f>IF(Tab.o1[[#This Row],[a1]]=1,1/Tab.o1[[#This Row],[PDF]],"")</f>
        <v/>
      </c>
      <c r="AJ819" s="131" t="str">
        <f>IF(Tab.o1[[#This Row],[a1]]=1,[1]!T_AA[[#This Row],[IN'']]*[1]!T_AA[[#This Row],[Qde'']],"")</f>
        <v/>
      </c>
      <c r="AK819" s="132" t="str">
        <f>IF(Tab.o1[[#This Row],[a1]]=1,IF(AK$1=1,Tab.o1[[#This Row],[MED]]+Tab.o1[[#This Row],[MOD]]-Tab.o1[[#This Row],[MED]],""),"")</f>
        <v/>
      </c>
      <c r="AL819" s="133" t="str">
        <f>IF(Tab.o1[[#This Row],[a1]]=1,[1]!T.in.A[[#This Row],[oo16]],"")</f>
        <v/>
      </c>
      <c r="AM819" s="133" t="str">
        <f>IF(Tab.o1[[#This Row],[a1]]=1,IF(AM$3=1,[1]!T.in.A[[#This Row],[Σo16]],""),"")</f>
        <v/>
      </c>
      <c r="AN819" s="126" t="str">
        <f>IF(Tab.o1[[#This Row],[a1]]=1,[1]!T.in.A[[#This Row],[Σp5]],"")</f>
        <v/>
      </c>
      <c r="AO819" s="126" t="str">
        <f>IF(Tab.o1[[#This Row],[a1]]=1,IF(AO$3=1,[1]!T.in.A[[#This Row],[Σp5]],""),"")</f>
        <v/>
      </c>
      <c r="AP819" s="110" t="str">
        <f>IF(Tab.o1[[#This Row],[a1]]=1,IF(ISNUMBER(Tab.o1[[#This Row],[i.]]),NORMDIST(Tab.o1[[#This Row],[Za]],0,1,FALSE)*Tab.o1[[#This Row],[i.]],0),"")</f>
        <v/>
      </c>
      <c r="AQ819" s="125" t="str">
        <f>IF(Tab.o1[[#This Row],[a1]]=1,ABS(Tab.o1[[#This Row],[MOD]]-AVERAGE(Tab.o1[MOD])),"")</f>
        <v/>
      </c>
      <c r="AR819" s="134" t="str">
        <f>IF(Tab.o1[[#This Row],[a1]]=1,Tab.o1[[#This Row],[OBS]]/SUM(Tab.o1[OBS]),"")</f>
        <v/>
      </c>
      <c r="AS819" s="135" t="str">
        <f>IF(ISNUMBER(Tab.o1[[#This Row],[a1]]),ROW()-4,"")</f>
        <v/>
      </c>
      <c r="AT819" s="136" t="str">
        <f>Tab.o1[[#This Row],[MOD]]</f>
        <v/>
      </c>
      <c r="AU819" s="137" t="str">
        <f t="shared" si="49"/>
        <v/>
      </c>
      <c r="AV819" s="138" t="str">
        <f t="shared" si="50"/>
        <v/>
      </c>
      <c r="AW819" s="138" t="str">
        <f t="shared" si="51"/>
        <v/>
      </c>
      <c r="AX819" s="139" t="str">
        <f>[1]!T.in.A[[#This Row],[ID_T_manu]]</f>
        <v/>
      </c>
      <c r="AY819" s="140" t="str">
        <f>IF(ISNUMBER(Tab.o1[[#This Row],[a1]]),IF(AND(Tab.o1[[#This Row],[a1]]=1,Tab.o1[[#This Row],[b1]]&lt;=AY$4),#REF!,AY818),"")</f>
        <v/>
      </c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6"/>
      <c r="BO819" s="26"/>
      <c r="BP819" s="26"/>
      <c r="BQ819" s="26"/>
      <c r="BR819" s="26"/>
      <c r="BS819" s="26"/>
      <c r="BT819" s="26"/>
      <c r="BU819" s="26"/>
      <c r="BV819" s="26"/>
      <c r="BW819" s="26"/>
      <c r="BX819" s="26"/>
      <c r="BY819" s="26"/>
      <c r="BZ819" s="26"/>
      <c r="CA819" s="26"/>
    </row>
    <row r="820" spans="1:79" s="143" customFormat="1" ht="15.75" hidden="1">
      <c r="A820" s="109">
        <v>6.9999999999999999E-6</v>
      </c>
      <c r="B820" s="110">
        <f t="shared" si="48"/>
        <v>820</v>
      </c>
      <c r="C820" s="111" t="str">
        <f>IF(C$1=[1]!T.in.A[[#This Row],[oo2]],1,"")</f>
        <v/>
      </c>
      <c r="D820" s="112" t="str">
        <f>IF(Tab.o1[[#This Row],[a1]]=1,IF(SUM(C820:C821)=0,0,IF(SUM(C819:C820)=1,1,IF(SUM(C819:C821)&gt;1,D819+1,0))),"")</f>
        <v/>
      </c>
      <c r="E820" s="113" t="str">
        <f>IF(Tab.o1[[#This Row],[a1]]=1,[1]!T.in.A[[#This Row],[oo1]],"")</f>
        <v/>
      </c>
      <c r="F820" s="113" t="str">
        <f>IF(Tab.o1[[#This Row],[a1]]=1,[1]!T.in.A[[#This Row],[pp1]],"")</f>
        <v/>
      </c>
      <c r="G820" s="114" t="str">
        <f>IF(Tab.o1[[#This Row],[a1]]=1,G$2+IF(G$1=1,0,Tab.o1[[#This Row],[.x1]])+[1]!T.in.A[[#This Row],[oo3]],"")</f>
        <v/>
      </c>
      <c r="H820" s="115" t="str">
        <f>IF(Tab.o1[[#This Row],[a1]]=1,IF(H$2=0,0,IF(G$1=1,0,Tab.o1[[#This Row],[.x1]])+[1]!T.in.A[[#This Row],[oo4]]),"")</f>
        <v/>
      </c>
      <c r="I820" s="116" t="str">
        <f>IF(Tab.o1[[#This Row],[a1]]=1,IF(J$2=0,Tab.o1[[#This Row],[MED]],Tab.o1[[#This Row],[MOD]]),"")</f>
        <v/>
      </c>
      <c r="J820" s="116" t="str">
        <f>IF(Tab.o1[[#This Row],[a1]]=1,((Tab.o1[[#This Row],[DIF_Target.]]-AVERAGE(Tab.o1[DIF_Target.]))/_xlfn.STDEV.P(Tab.o1[DIF_Target.])),"")</f>
        <v/>
      </c>
      <c r="K820" s="117" t="str">
        <f>IF(Tab.o1[[#This Row],[a1]]=1,IF(J$2=0,Tab.o1[[#This Row],[MOD]]-Tab.o1[[#This Row],[B]],IF(J$2=1,0,-Tab.o1[[#This Row],[MED]])+Tab.o1[[#This Row],[B]]),"")</f>
        <v/>
      </c>
      <c r="L820" s="117" t="str">
        <f ca="1">IF(Tab.o1[[#This Row],[DIF_Target]]=0,IF(L$2=0,Tab.o1[[#This Row],[DIF_Target]],AVERAGE(OFFSET(Tab.o1[[#This Row],[DIF_Target]],1,0,L$3,1)))/3,Tab.o1[[#This Row],[DIF_Target]])</f>
        <v/>
      </c>
      <c r="M820" s="118" t="str">
        <f>IF(Tab.o1[[#This Row],[a1]]=1,NORMSDIST(Tab.o1[[#This Row],[Za]]),"")</f>
        <v/>
      </c>
      <c r="N820" s="119" t="str">
        <f>IF(Tab.o1[[#This Row],[a1]]=1,((Tab.o1[[#This Row],[MedMod]]-AVERAGE(Tab.o1[MedMod]))/_xlfn.STDEV.P(Tab.o1[MedMod])*H$1205)+G$1205,"")</f>
        <v/>
      </c>
      <c r="O820" s="141" t="str">
        <f>IF(Tab.o1[[#This Row],[a1]]=1,Tab.o1[[#This Row],[Zb]]*_xlfn.STDEV.P(Tab.o1[MedMod])+AVERAGE(Tab.o1[MedMod]),"")</f>
        <v/>
      </c>
      <c r="P820" s="117" t="str">
        <f ca="1">IF(Tab.o1[[#This Row],[B]]=0,AVERAGE(OFFSET(Tab.o1[[#This Row],[B]],1,0,L$3,1)),Tab.o1[[#This Row],[B]])</f>
        <v/>
      </c>
      <c r="Q820" s="121" t="str">
        <f>IF(Tab.o1[[#This Row],[a1]]=1,NORMSDIST(Tab.o1[[#This Row],[Zb]]),"")</f>
        <v/>
      </c>
      <c r="R820" s="122" t="str">
        <f>IF(Tab.o1[[#This Row],[a1]]=1,((Tab.o1[[#This Row],[MedMod]]-AVERAGE(Tab.o1[MedMod]))/_xlfn.STDEV.P(Tab.o1[MedMod])*H$1203)+G$1203,"")</f>
        <v/>
      </c>
      <c r="S820" s="122" t="str">
        <f>IF(Tab.o1[[#This Row],[a1]]=1,((Tab.o1[[#This Row],[MedMod]]-AVERAGE(Tab.o1[MedMod]))/_xlfn.STDEV.P(Tab.o1[MedMod])*H$1204)+G$1204,"")</f>
        <v/>
      </c>
      <c r="T820" s="123" t="str">
        <f>IF(Tab.o1[[#This Row],[a1]]=1,Tab.o1[[#This Row],[Z-]]*_xlfn.STDEV.P(Tab.o1[B])+AVERAGE(Tab.o1[B]),"")</f>
        <v/>
      </c>
      <c r="U820" s="123" t="str">
        <f>IF(Tab.o1[[#This Row],[a1]]=1,Tab.o1[[#This Row],[z+]]*_xlfn.STDEV.P(Tab.o1[B])+AVERAGE(Tab.o1[B]),"")</f>
        <v/>
      </c>
      <c r="V820" s="124" t="str">
        <f>IF(Tab.o1[[#This Row],[a1]]=1,ABS((ABS(Tab.o1[[#This Row],[Red]]-Tab.o1[[#This Row],[Blue]]))),"")</f>
        <v/>
      </c>
      <c r="W820" s="125" t="str">
        <f>IF(Tab.o1[[#This Row],[a1]]=1,IF(W$3=0,1,Tab.o1[[#This Row],[Amp.]]*1/_xlfn.MINIFS(Tab.o1[Amp.],Tab.o1[Amp.],"&lt;&gt;0")),"")</f>
        <v/>
      </c>
      <c r="X820" s="126" t="str">
        <f>IF(Tab.o1[[#This Row],[a1]]=1,IF(ISNUMBER(Tab.o1[[#This Row],[i.]]),NORMDIST(Tab.o1[[#This Row],[Za]],0,1,FALSE)*Tab.o1[[#This Row],[i.]],AP$3),"")</f>
        <v/>
      </c>
      <c r="Y820" s="126" t="str">
        <f>IF(Tab.o1[[#This Row],[a1]]=1,0.01+0.94*Tab.o1[[#This Row],[PDF]]/MAX(Tab.o1[PDF]),"")</f>
        <v/>
      </c>
      <c r="Z820" s="126" t="str">
        <f>IF(Tab.o1[[#This Row],[a1]]=1,0.01+0.94*Tab.o1[[#This Row],[W1_PDF]]/MAX(Tab.o1[W1_PDF]),"")</f>
        <v/>
      </c>
      <c r="AA820" s="118" t="str">
        <f>IF(Tab.o1[[#This Row],[a1]]=1,ABS([1]!T.in.A[[#This Row],[oo6]]),"")</f>
        <v/>
      </c>
      <c r="AB820" s="127" t="str">
        <f>IF(Tab.o1[[#This Row],[a1]]=1,IF(AE$3=0,"",IF(AB$3=0,ABS([1]!T.in.A[[#This Row],[oo9]]),ABS(Tab.o1[[#This Row],[DIF_Target.]]*Tab.o1[[#This Row],[W1_PDF]]))),"")</f>
        <v/>
      </c>
      <c r="AC820" s="127" t="str">
        <f>IF(G$1=1,"",IF(Tab.o1[[#This Row],[a1]]=1,Tab.o1[[#This Row],[Wr]]^2,""))</f>
        <v/>
      </c>
      <c r="AD820" s="118" t="str">
        <f>IF(Tab.o1[[#This Row],[a1]]=1,IF(AE$3=0,"",Tab.o1[[#This Row],[Wr2]]/SUM(Tab.o1[Wr2])),"")</f>
        <v/>
      </c>
      <c r="AE820" s="128" t="str">
        <f>IF(Tab.o1[[#This Row],[a1]]=1,[1]!T.in.A[[#This Row],[oo10]],"")</f>
        <v/>
      </c>
      <c r="AF820" s="118" t="str">
        <f>IF(Tab.o1[[#This Row],[a1]]=1,ABS(Tab.o1[[#This Row],[DIF_Target.]]*Tab.o1[[#This Row],[PDF2]]*Tab.o1[[#This Row],[IN]]),"")</f>
        <v/>
      </c>
      <c r="AG820" s="129" t="str">
        <f>IF(Tab.o1[[#This Row],[a1]]=1,Tab.o1[[#This Row],[rW]]^2,"")</f>
        <v/>
      </c>
      <c r="AH820" s="130" t="str">
        <f>IF(Tab.o1[[#This Row],[a1]]=1,IF(AH$3=0,Tab.o1[[#This Row],[rW2]],0.01+0.94*Tab.o1[[#This Row],[rW2]]/SUM(Tab.o1[rW2])),"")</f>
        <v/>
      </c>
      <c r="AI820" s="128" t="str">
        <f>IF(Tab.o1[[#This Row],[a1]]=1,1/Tab.o1[[#This Row],[PDF]],"")</f>
        <v/>
      </c>
      <c r="AJ820" s="131" t="str">
        <f>IF(Tab.o1[[#This Row],[a1]]=1,[1]!T_AA[[#This Row],[IN'']]*[1]!T_AA[[#This Row],[Qde'']],"")</f>
        <v/>
      </c>
      <c r="AK820" s="132" t="str">
        <f>IF(Tab.o1[[#This Row],[a1]]=1,IF(AK$1=1,Tab.o1[[#This Row],[MED]]+Tab.o1[[#This Row],[MOD]]-Tab.o1[[#This Row],[MED]],""),"")</f>
        <v/>
      </c>
      <c r="AL820" s="133" t="str">
        <f>IF(Tab.o1[[#This Row],[a1]]=1,[1]!T.in.A[[#This Row],[oo16]],"")</f>
        <v/>
      </c>
      <c r="AM820" s="133" t="str">
        <f>IF(Tab.o1[[#This Row],[a1]]=1,IF(AM$3=1,[1]!T.in.A[[#This Row],[Σo16]],""),"")</f>
        <v/>
      </c>
      <c r="AN820" s="126" t="str">
        <f>IF(Tab.o1[[#This Row],[a1]]=1,[1]!T.in.A[[#This Row],[Σp5]],"")</f>
        <v/>
      </c>
      <c r="AO820" s="126" t="str">
        <f>IF(Tab.o1[[#This Row],[a1]]=1,IF(AO$3=1,[1]!T.in.A[[#This Row],[Σp5]],""),"")</f>
        <v/>
      </c>
      <c r="AP820" s="110" t="str">
        <f>IF(Tab.o1[[#This Row],[a1]]=1,IF(ISNUMBER(Tab.o1[[#This Row],[i.]]),NORMDIST(Tab.o1[[#This Row],[Za]],0,1,FALSE)*Tab.o1[[#This Row],[i.]],0),"")</f>
        <v/>
      </c>
      <c r="AQ820" s="125" t="str">
        <f>IF(Tab.o1[[#This Row],[a1]]=1,ABS(Tab.o1[[#This Row],[MOD]]-AVERAGE(Tab.o1[MOD])),"")</f>
        <v/>
      </c>
      <c r="AR820" s="134" t="str">
        <f>IF(Tab.o1[[#This Row],[a1]]=1,Tab.o1[[#This Row],[OBS]]/SUM(Tab.o1[OBS]),"")</f>
        <v/>
      </c>
      <c r="AS820" s="135" t="str">
        <f>IF(ISNUMBER(Tab.o1[[#This Row],[a1]]),ROW()-4,"")</f>
        <v/>
      </c>
      <c r="AT820" s="136" t="str">
        <f>Tab.o1[[#This Row],[MOD]]</f>
        <v/>
      </c>
      <c r="AU820" s="137" t="str">
        <f t="shared" si="49"/>
        <v/>
      </c>
      <c r="AV820" s="138" t="str">
        <f t="shared" si="50"/>
        <v/>
      </c>
      <c r="AW820" s="138" t="str">
        <f t="shared" si="51"/>
        <v/>
      </c>
      <c r="AX820" s="139" t="str">
        <f>[1]!T.in.A[[#This Row],[ID_T_manu]]</f>
        <v/>
      </c>
      <c r="AY820" s="140" t="str">
        <f>IF(ISNUMBER(Tab.o1[[#This Row],[a1]]),IF(AND(Tab.o1[[#This Row],[a1]]=1,Tab.o1[[#This Row],[b1]]&lt;=AY$4),#REF!,AY819),"")</f>
        <v/>
      </c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6"/>
      <c r="BO820" s="26"/>
      <c r="BP820" s="26"/>
      <c r="BQ820" s="26"/>
      <c r="BR820" s="26"/>
      <c r="BS820" s="26"/>
      <c r="BT820" s="26"/>
      <c r="BU820" s="26"/>
      <c r="BV820" s="26"/>
      <c r="BW820" s="26"/>
      <c r="BX820" s="26"/>
      <c r="BY820" s="26"/>
      <c r="BZ820" s="26"/>
      <c r="CA820" s="26"/>
    </row>
    <row r="821" spans="1:79" s="143" customFormat="1" ht="15.75" hidden="1">
      <c r="A821" s="109">
        <v>9.0000000000000002E-6</v>
      </c>
      <c r="B821" s="110">
        <f t="shared" si="48"/>
        <v>821</v>
      </c>
      <c r="C821" s="111" t="str">
        <f>IF(C$1=[1]!T.in.A[[#This Row],[oo2]],1,"")</f>
        <v/>
      </c>
      <c r="D821" s="112" t="str">
        <f>IF(Tab.o1[[#This Row],[a1]]=1,IF(SUM(C821:C822)=0,0,IF(SUM(C820:C821)=1,1,IF(SUM(C820:C822)&gt;1,D820+1,0))),"")</f>
        <v/>
      </c>
      <c r="E821" s="113" t="str">
        <f>IF(Tab.o1[[#This Row],[a1]]=1,[1]!T.in.A[[#This Row],[oo1]],"")</f>
        <v/>
      </c>
      <c r="F821" s="113" t="str">
        <f>IF(Tab.o1[[#This Row],[a1]]=1,[1]!T.in.A[[#This Row],[pp1]],"")</f>
        <v/>
      </c>
      <c r="G821" s="114" t="str">
        <f>IF(Tab.o1[[#This Row],[a1]]=1,G$2+IF(G$1=1,0,Tab.o1[[#This Row],[.x1]])+[1]!T.in.A[[#This Row],[oo3]],"")</f>
        <v/>
      </c>
      <c r="H821" s="115" t="str">
        <f>IF(Tab.o1[[#This Row],[a1]]=1,IF(H$2=0,0,IF(G$1=1,0,Tab.o1[[#This Row],[.x1]])+[1]!T.in.A[[#This Row],[oo4]]),"")</f>
        <v/>
      </c>
      <c r="I821" s="116" t="str">
        <f>IF(Tab.o1[[#This Row],[a1]]=1,IF(J$2=0,Tab.o1[[#This Row],[MED]],Tab.o1[[#This Row],[MOD]]),"")</f>
        <v/>
      </c>
      <c r="J821" s="116" t="str">
        <f>IF(Tab.o1[[#This Row],[a1]]=1,((Tab.o1[[#This Row],[DIF_Target.]]-AVERAGE(Tab.o1[DIF_Target.]))/_xlfn.STDEV.P(Tab.o1[DIF_Target.])),"")</f>
        <v/>
      </c>
      <c r="K821" s="117" t="str">
        <f>IF(Tab.o1[[#This Row],[a1]]=1,IF(J$2=0,Tab.o1[[#This Row],[MOD]]-Tab.o1[[#This Row],[B]],IF(J$2=1,0,-Tab.o1[[#This Row],[MED]])+Tab.o1[[#This Row],[B]]),"")</f>
        <v/>
      </c>
      <c r="L821" s="117" t="str">
        <f ca="1">IF(Tab.o1[[#This Row],[DIF_Target]]=0,IF(L$2=0,Tab.o1[[#This Row],[DIF_Target]],AVERAGE(OFFSET(Tab.o1[[#This Row],[DIF_Target]],1,0,L$3,1)))/3,Tab.o1[[#This Row],[DIF_Target]])</f>
        <v/>
      </c>
      <c r="M821" s="118" t="str">
        <f>IF(Tab.o1[[#This Row],[a1]]=1,NORMSDIST(Tab.o1[[#This Row],[Za]]),"")</f>
        <v/>
      </c>
      <c r="N821" s="119" t="str">
        <f>IF(Tab.o1[[#This Row],[a1]]=1,((Tab.o1[[#This Row],[MedMod]]-AVERAGE(Tab.o1[MedMod]))/_xlfn.STDEV.P(Tab.o1[MedMod])*H$1205)+G$1205,"")</f>
        <v/>
      </c>
      <c r="O821" s="141" t="str">
        <f>IF(Tab.o1[[#This Row],[a1]]=1,Tab.o1[[#This Row],[Zb]]*_xlfn.STDEV.P(Tab.o1[MedMod])+AVERAGE(Tab.o1[MedMod]),"")</f>
        <v/>
      </c>
      <c r="P821" s="117" t="str">
        <f ca="1">IF(Tab.o1[[#This Row],[B]]=0,AVERAGE(OFFSET(Tab.o1[[#This Row],[B]],1,0,L$3,1)),Tab.o1[[#This Row],[B]])</f>
        <v/>
      </c>
      <c r="Q821" s="121" t="str">
        <f>IF(Tab.o1[[#This Row],[a1]]=1,NORMSDIST(Tab.o1[[#This Row],[Zb]]),"")</f>
        <v/>
      </c>
      <c r="R821" s="122" t="str">
        <f>IF(Tab.o1[[#This Row],[a1]]=1,((Tab.o1[[#This Row],[MedMod]]-AVERAGE(Tab.o1[MedMod]))/_xlfn.STDEV.P(Tab.o1[MedMod])*H$1203)+G$1203,"")</f>
        <v/>
      </c>
      <c r="S821" s="122" t="str">
        <f>IF(Tab.o1[[#This Row],[a1]]=1,((Tab.o1[[#This Row],[MedMod]]-AVERAGE(Tab.o1[MedMod]))/_xlfn.STDEV.P(Tab.o1[MedMod])*H$1204)+G$1204,"")</f>
        <v/>
      </c>
      <c r="T821" s="123" t="str">
        <f>IF(Tab.o1[[#This Row],[a1]]=1,Tab.o1[[#This Row],[Z-]]*_xlfn.STDEV.P(Tab.o1[B])+AVERAGE(Tab.o1[B]),"")</f>
        <v/>
      </c>
      <c r="U821" s="123" t="str">
        <f>IF(Tab.o1[[#This Row],[a1]]=1,Tab.o1[[#This Row],[z+]]*_xlfn.STDEV.P(Tab.o1[B])+AVERAGE(Tab.o1[B]),"")</f>
        <v/>
      </c>
      <c r="V821" s="124" t="str">
        <f>IF(Tab.o1[[#This Row],[a1]]=1,ABS((ABS(Tab.o1[[#This Row],[Red]]-Tab.o1[[#This Row],[Blue]]))),"")</f>
        <v/>
      </c>
      <c r="W821" s="125" t="str">
        <f>IF(Tab.o1[[#This Row],[a1]]=1,IF(W$3=0,1,Tab.o1[[#This Row],[Amp.]]*1/_xlfn.MINIFS(Tab.o1[Amp.],Tab.o1[Amp.],"&lt;&gt;0")),"")</f>
        <v/>
      </c>
      <c r="X821" s="126" t="str">
        <f>IF(Tab.o1[[#This Row],[a1]]=1,IF(ISNUMBER(Tab.o1[[#This Row],[i.]]),NORMDIST(Tab.o1[[#This Row],[Za]],0,1,FALSE)*Tab.o1[[#This Row],[i.]],AP$3),"")</f>
        <v/>
      </c>
      <c r="Y821" s="126" t="str">
        <f>IF(Tab.o1[[#This Row],[a1]]=1,0.01+0.94*Tab.o1[[#This Row],[PDF]]/MAX(Tab.o1[PDF]),"")</f>
        <v/>
      </c>
      <c r="Z821" s="126" t="str">
        <f>IF(Tab.o1[[#This Row],[a1]]=1,0.01+0.94*Tab.o1[[#This Row],[W1_PDF]]/MAX(Tab.o1[W1_PDF]),"")</f>
        <v/>
      </c>
      <c r="AA821" s="118" t="str">
        <f>IF(Tab.o1[[#This Row],[a1]]=1,ABS([1]!T.in.A[[#This Row],[oo6]]),"")</f>
        <v/>
      </c>
      <c r="AB821" s="127" t="str">
        <f>IF(Tab.o1[[#This Row],[a1]]=1,IF(AE$3=0,"",IF(AB$3=0,ABS([1]!T.in.A[[#This Row],[oo9]]),ABS(Tab.o1[[#This Row],[DIF_Target.]]*Tab.o1[[#This Row],[W1_PDF]]))),"")</f>
        <v/>
      </c>
      <c r="AC821" s="127" t="str">
        <f>IF(G$1=1,"",IF(Tab.o1[[#This Row],[a1]]=1,Tab.o1[[#This Row],[Wr]]^2,""))</f>
        <v/>
      </c>
      <c r="AD821" s="118" t="str">
        <f>IF(Tab.o1[[#This Row],[a1]]=1,IF(AE$3=0,"",Tab.o1[[#This Row],[Wr2]]/SUM(Tab.o1[Wr2])),"")</f>
        <v/>
      </c>
      <c r="AE821" s="128" t="str">
        <f>IF(Tab.o1[[#This Row],[a1]]=1,[1]!T.in.A[[#This Row],[oo10]],"")</f>
        <v/>
      </c>
      <c r="AF821" s="118" t="str">
        <f>IF(Tab.o1[[#This Row],[a1]]=1,ABS(Tab.o1[[#This Row],[DIF_Target.]]*Tab.o1[[#This Row],[PDF2]]*Tab.o1[[#This Row],[IN]]),"")</f>
        <v/>
      </c>
      <c r="AG821" s="129" t="str">
        <f>IF(Tab.o1[[#This Row],[a1]]=1,Tab.o1[[#This Row],[rW]]^2,"")</f>
        <v/>
      </c>
      <c r="AH821" s="130" t="str">
        <f>IF(Tab.o1[[#This Row],[a1]]=1,IF(AH$3=0,Tab.o1[[#This Row],[rW2]],0.01+0.94*Tab.o1[[#This Row],[rW2]]/SUM(Tab.o1[rW2])),"")</f>
        <v/>
      </c>
      <c r="AI821" s="128" t="str">
        <f>IF(Tab.o1[[#This Row],[a1]]=1,1/Tab.o1[[#This Row],[PDF]],"")</f>
        <v/>
      </c>
      <c r="AJ821" s="131" t="str">
        <f>IF(Tab.o1[[#This Row],[a1]]=1,[1]!T_AA[[#This Row],[IN'']]*[1]!T_AA[[#This Row],[Qde'']],"")</f>
        <v/>
      </c>
      <c r="AK821" s="132" t="str">
        <f>IF(Tab.o1[[#This Row],[a1]]=1,IF(AK$1=1,Tab.o1[[#This Row],[MED]]+Tab.o1[[#This Row],[MOD]]-Tab.o1[[#This Row],[MED]],""),"")</f>
        <v/>
      </c>
      <c r="AL821" s="133" t="str">
        <f>IF(Tab.o1[[#This Row],[a1]]=1,[1]!T.in.A[[#This Row],[oo16]],"")</f>
        <v/>
      </c>
      <c r="AM821" s="133" t="str">
        <f>IF(Tab.o1[[#This Row],[a1]]=1,IF(AM$3=1,[1]!T.in.A[[#This Row],[Σo16]],""),"")</f>
        <v/>
      </c>
      <c r="AN821" s="126" t="str">
        <f>IF(Tab.o1[[#This Row],[a1]]=1,[1]!T.in.A[[#This Row],[Σp5]],"")</f>
        <v/>
      </c>
      <c r="AO821" s="126" t="str">
        <f>IF(Tab.o1[[#This Row],[a1]]=1,IF(AO$3=1,[1]!T.in.A[[#This Row],[Σp5]],""),"")</f>
        <v/>
      </c>
      <c r="AP821" s="110" t="str">
        <f>IF(Tab.o1[[#This Row],[a1]]=1,IF(ISNUMBER(Tab.o1[[#This Row],[i.]]),NORMDIST(Tab.o1[[#This Row],[Za]],0,1,FALSE)*Tab.o1[[#This Row],[i.]],0),"")</f>
        <v/>
      </c>
      <c r="AQ821" s="125" t="str">
        <f>IF(Tab.o1[[#This Row],[a1]]=1,ABS(Tab.o1[[#This Row],[MOD]]-AVERAGE(Tab.o1[MOD])),"")</f>
        <v/>
      </c>
      <c r="AR821" s="134" t="str">
        <f>IF(Tab.o1[[#This Row],[a1]]=1,Tab.o1[[#This Row],[OBS]]/SUM(Tab.o1[OBS]),"")</f>
        <v/>
      </c>
      <c r="AS821" s="135" t="str">
        <f>IF(ISNUMBER(Tab.o1[[#This Row],[a1]]),ROW()-4,"")</f>
        <v/>
      </c>
      <c r="AT821" s="136" t="str">
        <f>Tab.o1[[#This Row],[MOD]]</f>
        <v/>
      </c>
      <c r="AU821" s="137" t="str">
        <f t="shared" si="49"/>
        <v/>
      </c>
      <c r="AV821" s="138" t="str">
        <f t="shared" si="50"/>
        <v/>
      </c>
      <c r="AW821" s="138" t="str">
        <f t="shared" si="51"/>
        <v/>
      </c>
      <c r="AX821" s="139" t="str">
        <f>[1]!T.in.A[[#This Row],[ID_T_manu]]</f>
        <v/>
      </c>
      <c r="AY821" s="140" t="str">
        <f>IF(ISNUMBER(Tab.o1[[#This Row],[a1]]),IF(AND(Tab.o1[[#This Row],[a1]]=1,Tab.o1[[#This Row],[b1]]&lt;=AY$4),#REF!,AY820),"")</f>
        <v/>
      </c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6"/>
      <c r="BO821" s="26"/>
      <c r="BP821" s="26"/>
      <c r="BQ821" s="26"/>
      <c r="BR821" s="26"/>
      <c r="BS821" s="26"/>
      <c r="BT821" s="26"/>
      <c r="BU821" s="26"/>
      <c r="BV821" s="26"/>
      <c r="BW821" s="26"/>
      <c r="BX821" s="26"/>
      <c r="BY821" s="26"/>
      <c r="BZ821" s="26"/>
      <c r="CA821" s="26"/>
    </row>
    <row r="822" spans="1:79" s="143" customFormat="1" ht="15.75" hidden="1">
      <c r="A822" s="109">
        <v>9.0000000000000002E-6</v>
      </c>
      <c r="B822" s="110">
        <f t="shared" si="48"/>
        <v>822</v>
      </c>
      <c r="C822" s="111" t="str">
        <f>IF(C$1=[1]!T.in.A[[#This Row],[oo2]],1,"")</f>
        <v/>
      </c>
      <c r="D822" s="112" t="str">
        <f>IF(Tab.o1[[#This Row],[a1]]=1,IF(SUM(C822:C823)=0,0,IF(SUM(C821:C822)=1,1,IF(SUM(C821:C823)&gt;1,D821+1,0))),"")</f>
        <v/>
      </c>
      <c r="E822" s="113" t="str">
        <f>IF(Tab.o1[[#This Row],[a1]]=1,[1]!T.in.A[[#This Row],[oo1]],"")</f>
        <v/>
      </c>
      <c r="F822" s="113" t="str">
        <f>IF(Tab.o1[[#This Row],[a1]]=1,[1]!T.in.A[[#This Row],[pp1]],"")</f>
        <v/>
      </c>
      <c r="G822" s="114" t="str">
        <f>IF(Tab.o1[[#This Row],[a1]]=1,G$2+IF(G$1=1,0,Tab.o1[[#This Row],[.x1]])+[1]!T.in.A[[#This Row],[oo3]],"")</f>
        <v/>
      </c>
      <c r="H822" s="115" t="str">
        <f>IF(Tab.o1[[#This Row],[a1]]=1,IF(H$2=0,0,IF(G$1=1,0,Tab.o1[[#This Row],[.x1]])+[1]!T.in.A[[#This Row],[oo4]]),"")</f>
        <v/>
      </c>
      <c r="I822" s="116" t="str">
        <f>IF(Tab.o1[[#This Row],[a1]]=1,IF(J$2=0,Tab.o1[[#This Row],[MED]],Tab.o1[[#This Row],[MOD]]),"")</f>
        <v/>
      </c>
      <c r="J822" s="116" t="str">
        <f>IF(Tab.o1[[#This Row],[a1]]=1,((Tab.o1[[#This Row],[DIF_Target.]]-AVERAGE(Tab.o1[DIF_Target.]))/_xlfn.STDEV.P(Tab.o1[DIF_Target.])),"")</f>
        <v/>
      </c>
      <c r="K822" s="117" t="str">
        <f>IF(Tab.o1[[#This Row],[a1]]=1,IF(J$2=0,Tab.o1[[#This Row],[MOD]]-Tab.o1[[#This Row],[B]],IF(J$2=1,0,-Tab.o1[[#This Row],[MED]])+Tab.o1[[#This Row],[B]]),"")</f>
        <v/>
      </c>
      <c r="L822" s="117" t="str">
        <f ca="1">IF(Tab.o1[[#This Row],[DIF_Target]]=0,IF(L$2=0,Tab.o1[[#This Row],[DIF_Target]],AVERAGE(OFFSET(Tab.o1[[#This Row],[DIF_Target]],1,0,L$3,1)))/3,Tab.o1[[#This Row],[DIF_Target]])</f>
        <v/>
      </c>
      <c r="M822" s="118" t="str">
        <f>IF(Tab.o1[[#This Row],[a1]]=1,NORMSDIST(Tab.o1[[#This Row],[Za]]),"")</f>
        <v/>
      </c>
      <c r="N822" s="119" t="str">
        <f>IF(Tab.o1[[#This Row],[a1]]=1,((Tab.o1[[#This Row],[MedMod]]-AVERAGE(Tab.o1[MedMod]))/_xlfn.STDEV.P(Tab.o1[MedMod])*H$1205)+G$1205,"")</f>
        <v/>
      </c>
      <c r="O822" s="141" t="str">
        <f>IF(Tab.o1[[#This Row],[a1]]=1,Tab.o1[[#This Row],[Zb]]*_xlfn.STDEV.P(Tab.o1[MedMod])+AVERAGE(Tab.o1[MedMod]),"")</f>
        <v/>
      </c>
      <c r="P822" s="117" t="str">
        <f ca="1">IF(Tab.o1[[#This Row],[B]]=0,AVERAGE(OFFSET(Tab.o1[[#This Row],[B]],1,0,L$3,1)),Tab.o1[[#This Row],[B]])</f>
        <v/>
      </c>
      <c r="Q822" s="121" t="str">
        <f>IF(Tab.o1[[#This Row],[a1]]=1,NORMSDIST(Tab.o1[[#This Row],[Zb]]),"")</f>
        <v/>
      </c>
      <c r="R822" s="122" t="str">
        <f>IF(Tab.o1[[#This Row],[a1]]=1,((Tab.o1[[#This Row],[MedMod]]-AVERAGE(Tab.o1[MedMod]))/_xlfn.STDEV.P(Tab.o1[MedMod])*H$1203)+G$1203,"")</f>
        <v/>
      </c>
      <c r="S822" s="122" t="str">
        <f>IF(Tab.o1[[#This Row],[a1]]=1,((Tab.o1[[#This Row],[MedMod]]-AVERAGE(Tab.o1[MedMod]))/_xlfn.STDEV.P(Tab.o1[MedMod])*H$1204)+G$1204,"")</f>
        <v/>
      </c>
      <c r="T822" s="123" t="str">
        <f>IF(Tab.o1[[#This Row],[a1]]=1,Tab.o1[[#This Row],[Z-]]*_xlfn.STDEV.P(Tab.o1[B])+AVERAGE(Tab.o1[B]),"")</f>
        <v/>
      </c>
      <c r="U822" s="123" t="str">
        <f>IF(Tab.o1[[#This Row],[a1]]=1,Tab.o1[[#This Row],[z+]]*_xlfn.STDEV.P(Tab.o1[B])+AVERAGE(Tab.o1[B]),"")</f>
        <v/>
      </c>
      <c r="V822" s="124" t="str">
        <f>IF(Tab.o1[[#This Row],[a1]]=1,ABS((ABS(Tab.o1[[#This Row],[Red]]-Tab.o1[[#This Row],[Blue]]))),"")</f>
        <v/>
      </c>
      <c r="W822" s="125" t="str">
        <f>IF(Tab.o1[[#This Row],[a1]]=1,IF(W$3=0,1,Tab.o1[[#This Row],[Amp.]]*1/_xlfn.MINIFS(Tab.o1[Amp.],Tab.o1[Amp.],"&lt;&gt;0")),"")</f>
        <v/>
      </c>
      <c r="X822" s="126" t="str">
        <f>IF(Tab.o1[[#This Row],[a1]]=1,IF(ISNUMBER(Tab.o1[[#This Row],[i.]]),NORMDIST(Tab.o1[[#This Row],[Za]],0,1,FALSE)*Tab.o1[[#This Row],[i.]],AP$3),"")</f>
        <v/>
      </c>
      <c r="Y822" s="126" t="str">
        <f>IF(Tab.o1[[#This Row],[a1]]=1,0.01+0.94*Tab.o1[[#This Row],[PDF]]/MAX(Tab.o1[PDF]),"")</f>
        <v/>
      </c>
      <c r="Z822" s="126" t="str">
        <f>IF(Tab.o1[[#This Row],[a1]]=1,0.01+0.94*Tab.o1[[#This Row],[W1_PDF]]/MAX(Tab.o1[W1_PDF]),"")</f>
        <v/>
      </c>
      <c r="AA822" s="118" t="str">
        <f>IF(Tab.o1[[#This Row],[a1]]=1,ABS([1]!T.in.A[[#This Row],[oo6]]),"")</f>
        <v/>
      </c>
      <c r="AB822" s="127" t="str">
        <f>IF(Tab.o1[[#This Row],[a1]]=1,IF(AE$3=0,"",IF(AB$3=0,ABS([1]!T.in.A[[#This Row],[oo9]]),ABS(Tab.o1[[#This Row],[DIF_Target.]]*Tab.o1[[#This Row],[W1_PDF]]))),"")</f>
        <v/>
      </c>
      <c r="AC822" s="127" t="str">
        <f>IF(G$1=1,"",IF(Tab.o1[[#This Row],[a1]]=1,Tab.o1[[#This Row],[Wr]]^2,""))</f>
        <v/>
      </c>
      <c r="AD822" s="118" t="str">
        <f>IF(Tab.o1[[#This Row],[a1]]=1,IF(AE$3=0,"",Tab.o1[[#This Row],[Wr2]]/SUM(Tab.o1[Wr2])),"")</f>
        <v/>
      </c>
      <c r="AE822" s="128" t="str">
        <f>IF(Tab.o1[[#This Row],[a1]]=1,[1]!T.in.A[[#This Row],[oo10]],"")</f>
        <v/>
      </c>
      <c r="AF822" s="118" t="str">
        <f>IF(Tab.o1[[#This Row],[a1]]=1,ABS(Tab.o1[[#This Row],[DIF_Target.]]*Tab.o1[[#This Row],[PDF2]]*Tab.o1[[#This Row],[IN]]),"")</f>
        <v/>
      </c>
      <c r="AG822" s="129" t="str">
        <f>IF(Tab.o1[[#This Row],[a1]]=1,Tab.o1[[#This Row],[rW]]^2,"")</f>
        <v/>
      </c>
      <c r="AH822" s="130" t="str">
        <f>IF(Tab.o1[[#This Row],[a1]]=1,IF(AH$3=0,Tab.o1[[#This Row],[rW2]],0.01+0.94*Tab.o1[[#This Row],[rW2]]/SUM(Tab.o1[rW2])),"")</f>
        <v/>
      </c>
      <c r="AI822" s="128" t="str">
        <f>IF(Tab.o1[[#This Row],[a1]]=1,1/Tab.o1[[#This Row],[PDF]],"")</f>
        <v/>
      </c>
      <c r="AJ822" s="131" t="str">
        <f>IF(Tab.o1[[#This Row],[a1]]=1,[1]!T_AA[[#This Row],[IN'']]*[1]!T_AA[[#This Row],[Qde'']],"")</f>
        <v/>
      </c>
      <c r="AK822" s="132" t="str">
        <f>IF(Tab.o1[[#This Row],[a1]]=1,IF(AK$1=1,Tab.o1[[#This Row],[MED]]+Tab.o1[[#This Row],[MOD]]-Tab.o1[[#This Row],[MED]],""),"")</f>
        <v/>
      </c>
      <c r="AL822" s="133" t="str">
        <f>IF(Tab.o1[[#This Row],[a1]]=1,[1]!T.in.A[[#This Row],[oo16]],"")</f>
        <v/>
      </c>
      <c r="AM822" s="133" t="str">
        <f>IF(Tab.o1[[#This Row],[a1]]=1,IF(AM$3=1,[1]!T.in.A[[#This Row],[Σo16]],""),"")</f>
        <v/>
      </c>
      <c r="AN822" s="126" t="str">
        <f>IF(Tab.o1[[#This Row],[a1]]=1,[1]!T.in.A[[#This Row],[Σp5]],"")</f>
        <v/>
      </c>
      <c r="AO822" s="126" t="str">
        <f>IF(Tab.o1[[#This Row],[a1]]=1,IF(AO$3=1,[1]!T.in.A[[#This Row],[Σp5]],""),"")</f>
        <v/>
      </c>
      <c r="AP822" s="110" t="str">
        <f>IF(Tab.o1[[#This Row],[a1]]=1,IF(ISNUMBER(Tab.o1[[#This Row],[i.]]),NORMDIST(Tab.o1[[#This Row],[Za]],0,1,FALSE)*Tab.o1[[#This Row],[i.]],0),"")</f>
        <v/>
      </c>
      <c r="AQ822" s="125" t="str">
        <f>IF(Tab.o1[[#This Row],[a1]]=1,ABS(Tab.o1[[#This Row],[MOD]]-AVERAGE(Tab.o1[MOD])),"")</f>
        <v/>
      </c>
      <c r="AR822" s="134" t="str">
        <f>IF(Tab.o1[[#This Row],[a1]]=1,Tab.o1[[#This Row],[OBS]]/SUM(Tab.o1[OBS]),"")</f>
        <v/>
      </c>
      <c r="AS822" s="135" t="str">
        <f>IF(ISNUMBER(Tab.o1[[#This Row],[a1]]),ROW()-4,"")</f>
        <v/>
      </c>
      <c r="AT822" s="136" t="str">
        <f>Tab.o1[[#This Row],[MOD]]</f>
        <v/>
      </c>
      <c r="AU822" s="137" t="str">
        <f t="shared" si="49"/>
        <v/>
      </c>
      <c r="AV822" s="138" t="str">
        <f t="shared" si="50"/>
        <v/>
      </c>
      <c r="AW822" s="138" t="str">
        <f t="shared" si="51"/>
        <v/>
      </c>
      <c r="AX822" s="139" t="str">
        <f>[1]!T.in.A[[#This Row],[ID_T_manu]]</f>
        <v/>
      </c>
      <c r="AY822" s="140" t="str">
        <f>IF(ISNUMBER(Tab.o1[[#This Row],[a1]]),IF(AND(Tab.o1[[#This Row],[a1]]=1,Tab.o1[[#This Row],[b1]]&lt;=AY$4),#REF!,AY821),"")</f>
        <v/>
      </c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6"/>
      <c r="BO822" s="26"/>
      <c r="BP822" s="26"/>
      <c r="BQ822" s="26"/>
      <c r="BR822" s="26"/>
      <c r="BS822" s="26"/>
      <c r="BT822" s="26"/>
      <c r="BU822" s="26"/>
      <c r="BV822" s="26"/>
      <c r="BW822" s="26"/>
      <c r="BX822" s="26"/>
      <c r="BY822" s="26"/>
      <c r="BZ822" s="26"/>
      <c r="CA822" s="26"/>
    </row>
    <row r="823" spans="1:79" s="143" customFormat="1" ht="15.75" hidden="1">
      <c r="A823" s="109">
        <v>1.0000000000000002E-6</v>
      </c>
      <c r="B823" s="110">
        <f t="shared" si="48"/>
        <v>823</v>
      </c>
      <c r="C823" s="111" t="str">
        <f>IF(C$1=[1]!T.in.A[[#This Row],[oo2]],1,"")</f>
        <v/>
      </c>
      <c r="D823" s="112" t="str">
        <f>IF(Tab.o1[[#This Row],[a1]]=1,IF(SUM(C823:C824)=0,0,IF(SUM(C822:C823)=1,1,IF(SUM(C822:C824)&gt;1,D822+1,0))),"")</f>
        <v/>
      </c>
      <c r="E823" s="113" t="str">
        <f>IF(Tab.o1[[#This Row],[a1]]=1,[1]!T.in.A[[#This Row],[oo1]],"")</f>
        <v/>
      </c>
      <c r="F823" s="113" t="str">
        <f>IF(Tab.o1[[#This Row],[a1]]=1,[1]!T.in.A[[#This Row],[pp1]],"")</f>
        <v/>
      </c>
      <c r="G823" s="114" t="str">
        <f>IF(Tab.o1[[#This Row],[a1]]=1,G$2+IF(G$1=1,0,Tab.o1[[#This Row],[.x1]])+[1]!T.in.A[[#This Row],[oo3]],"")</f>
        <v/>
      </c>
      <c r="H823" s="115" t="str">
        <f>IF(Tab.o1[[#This Row],[a1]]=1,IF(H$2=0,0,IF(G$1=1,0,Tab.o1[[#This Row],[.x1]])+[1]!T.in.A[[#This Row],[oo4]]),"")</f>
        <v/>
      </c>
      <c r="I823" s="116" t="str">
        <f>IF(Tab.o1[[#This Row],[a1]]=1,IF(J$2=0,Tab.o1[[#This Row],[MED]],Tab.o1[[#This Row],[MOD]]),"")</f>
        <v/>
      </c>
      <c r="J823" s="116" t="str">
        <f>IF(Tab.o1[[#This Row],[a1]]=1,((Tab.o1[[#This Row],[DIF_Target.]]-AVERAGE(Tab.o1[DIF_Target.]))/_xlfn.STDEV.P(Tab.o1[DIF_Target.])),"")</f>
        <v/>
      </c>
      <c r="K823" s="117" t="str">
        <f>IF(Tab.o1[[#This Row],[a1]]=1,IF(J$2=0,Tab.o1[[#This Row],[MOD]]-Tab.o1[[#This Row],[B]],IF(J$2=1,0,-Tab.o1[[#This Row],[MED]])+Tab.o1[[#This Row],[B]]),"")</f>
        <v/>
      </c>
      <c r="L823" s="117" t="str">
        <f ca="1">IF(Tab.o1[[#This Row],[DIF_Target]]=0,IF(L$2=0,Tab.o1[[#This Row],[DIF_Target]],AVERAGE(OFFSET(Tab.o1[[#This Row],[DIF_Target]],1,0,L$3,1)))/3,Tab.o1[[#This Row],[DIF_Target]])</f>
        <v/>
      </c>
      <c r="M823" s="118" t="str">
        <f>IF(Tab.o1[[#This Row],[a1]]=1,NORMSDIST(Tab.o1[[#This Row],[Za]]),"")</f>
        <v/>
      </c>
      <c r="N823" s="119" t="str">
        <f>IF(Tab.o1[[#This Row],[a1]]=1,((Tab.o1[[#This Row],[MedMod]]-AVERAGE(Tab.o1[MedMod]))/_xlfn.STDEV.P(Tab.o1[MedMod])*H$1205)+G$1205,"")</f>
        <v/>
      </c>
      <c r="O823" s="141" t="str">
        <f>IF(Tab.o1[[#This Row],[a1]]=1,Tab.o1[[#This Row],[Zb]]*_xlfn.STDEV.P(Tab.o1[MedMod])+AVERAGE(Tab.o1[MedMod]),"")</f>
        <v/>
      </c>
      <c r="P823" s="117" t="str">
        <f ca="1">IF(Tab.o1[[#This Row],[B]]=0,AVERAGE(OFFSET(Tab.o1[[#This Row],[B]],1,0,L$3,1)),Tab.o1[[#This Row],[B]])</f>
        <v/>
      </c>
      <c r="Q823" s="121" t="str">
        <f>IF(Tab.o1[[#This Row],[a1]]=1,NORMSDIST(Tab.o1[[#This Row],[Zb]]),"")</f>
        <v/>
      </c>
      <c r="R823" s="122" t="str">
        <f>IF(Tab.o1[[#This Row],[a1]]=1,((Tab.o1[[#This Row],[MedMod]]-AVERAGE(Tab.o1[MedMod]))/_xlfn.STDEV.P(Tab.o1[MedMod])*H$1203)+G$1203,"")</f>
        <v/>
      </c>
      <c r="S823" s="122" t="str">
        <f>IF(Tab.o1[[#This Row],[a1]]=1,((Tab.o1[[#This Row],[MedMod]]-AVERAGE(Tab.o1[MedMod]))/_xlfn.STDEV.P(Tab.o1[MedMod])*H$1204)+G$1204,"")</f>
        <v/>
      </c>
      <c r="T823" s="123" t="str">
        <f>IF(Tab.o1[[#This Row],[a1]]=1,Tab.o1[[#This Row],[Z-]]*_xlfn.STDEV.P(Tab.o1[B])+AVERAGE(Tab.o1[B]),"")</f>
        <v/>
      </c>
      <c r="U823" s="123" t="str">
        <f>IF(Tab.o1[[#This Row],[a1]]=1,Tab.o1[[#This Row],[z+]]*_xlfn.STDEV.P(Tab.o1[B])+AVERAGE(Tab.o1[B]),"")</f>
        <v/>
      </c>
      <c r="V823" s="124" t="str">
        <f>IF(Tab.o1[[#This Row],[a1]]=1,ABS((ABS(Tab.o1[[#This Row],[Red]]-Tab.o1[[#This Row],[Blue]]))),"")</f>
        <v/>
      </c>
      <c r="W823" s="125" t="str">
        <f>IF(Tab.o1[[#This Row],[a1]]=1,IF(W$3=0,1,Tab.o1[[#This Row],[Amp.]]*1/_xlfn.MINIFS(Tab.o1[Amp.],Tab.o1[Amp.],"&lt;&gt;0")),"")</f>
        <v/>
      </c>
      <c r="X823" s="126" t="str">
        <f>IF(Tab.o1[[#This Row],[a1]]=1,IF(ISNUMBER(Tab.o1[[#This Row],[i.]]),NORMDIST(Tab.o1[[#This Row],[Za]],0,1,FALSE)*Tab.o1[[#This Row],[i.]],AP$3),"")</f>
        <v/>
      </c>
      <c r="Y823" s="126" t="str">
        <f>IF(Tab.o1[[#This Row],[a1]]=1,0.01+0.94*Tab.o1[[#This Row],[PDF]]/MAX(Tab.o1[PDF]),"")</f>
        <v/>
      </c>
      <c r="Z823" s="126" t="str">
        <f>IF(Tab.o1[[#This Row],[a1]]=1,0.01+0.94*Tab.o1[[#This Row],[W1_PDF]]/MAX(Tab.o1[W1_PDF]),"")</f>
        <v/>
      </c>
      <c r="AA823" s="118" t="str">
        <f>IF(Tab.o1[[#This Row],[a1]]=1,ABS([1]!T.in.A[[#This Row],[oo6]]),"")</f>
        <v/>
      </c>
      <c r="AB823" s="127" t="str">
        <f>IF(Tab.o1[[#This Row],[a1]]=1,IF(AE$3=0,"",IF(AB$3=0,ABS([1]!T.in.A[[#This Row],[oo9]]),ABS(Tab.o1[[#This Row],[DIF_Target.]]*Tab.o1[[#This Row],[W1_PDF]]))),"")</f>
        <v/>
      </c>
      <c r="AC823" s="127" t="str">
        <f>IF(G$1=1,"",IF(Tab.o1[[#This Row],[a1]]=1,Tab.o1[[#This Row],[Wr]]^2,""))</f>
        <v/>
      </c>
      <c r="AD823" s="118" t="str">
        <f>IF(Tab.o1[[#This Row],[a1]]=1,IF(AE$3=0,"",Tab.o1[[#This Row],[Wr2]]/SUM(Tab.o1[Wr2])),"")</f>
        <v/>
      </c>
      <c r="AE823" s="128" t="str">
        <f>IF(Tab.o1[[#This Row],[a1]]=1,[1]!T.in.A[[#This Row],[oo10]],"")</f>
        <v/>
      </c>
      <c r="AF823" s="118" t="str">
        <f>IF(Tab.o1[[#This Row],[a1]]=1,ABS(Tab.o1[[#This Row],[DIF_Target.]]*Tab.o1[[#This Row],[PDF2]]*Tab.o1[[#This Row],[IN]]),"")</f>
        <v/>
      </c>
      <c r="AG823" s="129" t="str">
        <f>IF(Tab.o1[[#This Row],[a1]]=1,Tab.o1[[#This Row],[rW]]^2,"")</f>
        <v/>
      </c>
      <c r="AH823" s="130" t="str">
        <f>IF(Tab.o1[[#This Row],[a1]]=1,IF(AH$3=0,Tab.o1[[#This Row],[rW2]],0.01+0.94*Tab.o1[[#This Row],[rW2]]/SUM(Tab.o1[rW2])),"")</f>
        <v/>
      </c>
      <c r="AI823" s="128" t="str">
        <f>IF(Tab.o1[[#This Row],[a1]]=1,1/Tab.o1[[#This Row],[PDF]],"")</f>
        <v/>
      </c>
      <c r="AJ823" s="131" t="str">
        <f>IF(Tab.o1[[#This Row],[a1]]=1,[1]!T_AA[[#This Row],[IN'']]*[1]!T_AA[[#This Row],[Qde'']],"")</f>
        <v/>
      </c>
      <c r="AK823" s="132" t="str">
        <f>IF(Tab.o1[[#This Row],[a1]]=1,IF(AK$1=1,Tab.o1[[#This Row],[MED]]+Tab.o1[[#This Row],[MOD]]-Tab.o1[[#This Row],[MED]],""),"")</f>
        <v/>
      </c>
      <c r="AL823" s="133" t="str">
        <f>IF(Tab.o1[[#This Row],[a1]]=1,[1]!T.in.A[[#This Row],[oo16]],"")</f>
        <v/>
      </c>
      <c r="AM823" s="133" t="str">
        <f>IF(Tab.o1[[#This Row],[a1]]=1,IF(AM$3=1,[1]!T.in.A[[#This Row],[Σo16]],""),"")</f>
        <v/>
      </c>
      <c r="AN823" s="126" t="str">
        <f>IF(Tab.o1[[#This Row],[a1]]=1,[1]!T.in.A[[#This Row],[Σp5]],"")</f>
        <v/>
      </c>
      <c r="AO823" s="126" t="str">
        <f>IF(Tab.o1[[#This Row],[a1]]=1,IF(AO$3=1,[1]!T.in.A[[#This Row],[Σp5]],""),"")</f>
        <v/>
      </c>
      <c r="AP823" s="110" t="str">
        <f>IF(Tab.o1[[#This Row],[a1]]=1,IF(ISNUMBER(Tab.o1[[#This Row],[i.]]),NORMDIST(Tab.o1[[#This Row],[Za]],0,1,FALSE)*Tab.o1[[#This Row],[i.]],0),"")</f>
        <v/>
      </c>
      <c r="AQ823" s="125" t="str">
        <f>IF(Tab.o1[[#This Row],[a1]]=1,ABS(Tab.o1[[#This Row],[MOD]]-AVERAGE(Tab.o1[MOD])),"")</f>
        <v/>
      </c>
      <c r="AR823" s="134" t="str">
        <f>IF(Tab.o1[[#This Row],[a1]]=1,Tab.o1[[#This Row],[OBS]]/SUM(Tab.o1[OBS]),"")</f>
        <v/>
      </c>
      <c r="AS823" s="135" t="str">
        <f>IF(ISNUMBER(Tab.o1[[#This Row],[a1]]),ROW()-4,"")</f>
        <v/>
      </c>
      <c r="AT823" s="136" t="str">
        <f>Tab.o1[[#This Row],[MOD]]</f>
        <v/>
      </c>
      <c r="AU823" s="137" t="str">
        <f t="shared" si="49"/>
        <v/>
      </c>
      <c r="AV823" s="138" t="str">
        <f t="shared" si="50"/>
        <v/>
      </c>
      <c r="AW823" s="138" t="str">
        <f t="shared" si="51"/>
        <v/>
      </c>
      <c r="AX823" s="139" t="str">
        <f>[1]!T.in.A[[#This Row],[ID_T_manu]]</f>
        <v/>
      </c>
      <c r="AY823" s="140" t="str">
        <f>IF(ISNUMBER(Tab.o1[[#This Row],[a1]]),IF(AND(Tab.o1[[#This Row],[a1]]=1,Tab.o1[[#This Row],[b1]]&lt;=AY$4),#REF!,AY822),"")</f>
        <v/>
      </c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6"/>
      <c r="BO823" s="26"/>
      <c r="BP823" s="26"/>
      <c r="BQ823" s="26"/>
      <c r="BR823" s="26"/>
      <c r="BS823" s="26"/>
      <c r="BT823" s="26"/>
      <c r="BU823" s="26"/>
      <c r="BV823" s="26"/>
      <c r="BW823" s="26"/>
      <c r="BX823" s="26"/>
      <c r="BY823" s="26"/>
      <c r="BZ823" s="26"/>
      <c r="CA823" s="26"/>
    </row>
    <row r="824" spans="1:79" s="143" customFormat="1" ht="15.75" hidden="1">
      <c r="A824" s="109">
        <v>2.0000000000000003E-6</v>
      </c>
      <c r="B824" s="110">
        <f t="shared" si="48"/>
        <v>824</v>
      </c>
      <c r="C824" s="111" t="str">
        <f>IF(C$1=[1]!T.in.A[[#This Row],[oo2]],1,"")</f>
        <v/>
      </c>
      <c r="D824" s="112" t="str">
        <f>IF(Tab.o1[[#This Row],[a1]]=1,IF(SUM(C824:C825)=0,0,IF(SUM(C823:C824)=1,1,IF(SUM(C823:C825)&gt;1,D823+1,0))),"")</f>
        <v/>
      </c>
      <c r="E824" s="113" t="str">
        <f>IF(Tab.o1[[#This Row],[a1]]=1,[1]!T.in.A[[#This Row],[oo1]],"")</f>
        <v/>
      </c>
      <c r="F824" s="113" t="str">
        <f>IF(Tab.o1[[#This Row],[a1]]=1,[1]!T.in.A[[#This Row],[pp1]],"")</f>
        <v/>
      </c>
      <c r="G824" s="114" t="str">
        <f>IF(Tab.o1[[#This Row],[a1]]=1,G$2+IF(G$1=1,0,Tab.o1[[#This Row],[.x1]])+[1]!T.in.A[[#This Row],[oo3]],"")</f>
        <v/>
      </c>
      <c r="H824" s="115" t="str">
        <f>IF(Tab.o1[[#This Row],[a1]]=1,IF(H$2=0,0,IF(G$1=1,0,Tab.o1[[#This Row],[.x1]])+[1]!T.in.A[[#This Row],[oo4]]),"")</f>
        <v/>
      </c>
      <c r="I824" s="116" t="str">
        <f>IF(Tab.o1[[#This Row],[a1]]=1,IF(J$2=0,Tab.o1[[#This Row],[MED]],Tab.o1[[#This Row],[MOD]]),"")</f>
        <v/>
      </c>
      <c r="J824" s="116" t="str">
        <f>IF(Tab.o1[[#This Row],[a1]]=1,((Tab.o1[[#This Row],[DIF_Target.]]-AVERAGE(Tab.o1[DIF_Target.]))/_xlfn.STDEV.P(Tab.o1[DIF_Target.])),"")</f>
        <v/>
      </c>
      <c r="K824" s="117" t="str">
        <f>IF(Tab.o1[[#This Row],[a1]]=1,IF(J$2=0,Tab.o1[[#This Row],[MOD]]-Tab.o1[[#This Row],[B]],IF(J$2=1,0,-Tab.o1[[#This Row],[MED]])+Tab.o1[[#This Row],[B]]),"")</f>
        <v/>
      </c>
      <c r="L824" s="117" t="str">
        <f ca="1">IF(Tab.o1[[#This Row],[DIF_Target]]=0,IF(L$2=0,Tab.o1[[#This Row],[DIF_Target]],AVERAGE(OFFSET(Tab.o1[[#This Row],[DIF_Target]],1,0,L$3,1)))/3,Tab.o1[[#This Row],[DIF_Target]])</f>
        <v/>
      </c>
      <c r="M824" s="118" t="str">
        <f>IF(Tab.o1[[#This Row],[a1]]=1,NORMSDIST(Tab.o1[[#This Row],[Za]]),"")</f>
        <v/>
      </c>
      <c r="N824" s="119" t="str">
        <f>IF(Tab.o1[[#This Row],[a1]]=1,((Tab.o1[[#This Row],[MedMod]]-AVERAGE(Tab.o1[MedMod]))/_xlfn.STDEV.P(Tab.o1[MedMod])*H$1205)+G$1205,"")</f>
        <v/>
      </c>
      <c r="O824" s="141" t="str">
        <f>IF(Tab.o1[[#This Row],[a1]]=1,Tab.o1[[#This Row],[Zb]]*_xlfn.STDEV.P(Tab.o1[MedMod])+AVERAGE(Tab.o1[MedMod]),"")</f>
        <v/>
      </c>
      <c r="P824" s="117" t="str">
        <f ca="1">IF(Tab.o1[[#This Row],[B]]=0,AVERAGE(OFFSET(Tab.o1[[#This Row],[B]],1,0,L$3,1)),Tab.o1[[#This Row],[B]])</f>
        <v/>
      </c>
      <c r="Q824" s="121" t="str">
        <f>IF(Tab.o1[[#This Row],[a1]]=1,NORMSDIST(Tab.o1[[#This Row],[Zb]]),"")</f>
        <v/>
      </c>
      <c r="R824" s="122" t="str">
        <f>IF(Tab.o1[[#This Row],[a1]]=1,((Tab.o1[[#This Row],[MedMod]]-AVERAGE(Tab.o1[MedMod]))/_xlfn.STDEV.P(Tab.o1[MedMod])*H$1203)+G$1203,"")</f>
        <v/>
      </c>
      <c r="S824" s="122" t="str">
        <f>IF(Tab.o1[[#This Row],[a1]]=1,((Tab.o1[[#This Row],[MedMod]]-AVERAGE(Tab.o1[MedMod]))/_xlfn.STDEV.P(Tab.o1[MedMod])*H$1204)+G$1204,"")</f>
        <v/>
      </c>
      <c r="T824" s="123" t="str">
        <f>IF(Tab.o1[[#This Row],[a1]]=1,Tab.o1[[#This Row],[Z-]]*_xlfn.STDEV.P(Tab.o1[B])+AVERAGE(Tab.o1[B]),"")</f>
        <v/>
      </c>
      <c r="U824" s="123" t="str">
        <f>IF(Tab.o1[[#This Row],[a1]]=1,Tab.o1[[#This Row],[z+]]*_xlfn.STDEV.P(Tab.o1[B])+AVERAGE(Tab.o1[B]),"")</f>
        <v/>
      </c>
      <c r="V824" s="124" t="str">
        <f>IF(Tab.o1[[#This Row],[a1]]=1,ABS((ABS(Tab.o1[[#This Row],[Red]]-Tab.o1[[#This Row],[Blue]]))),"")</f>
        <v/>
      </c>
      <c r="W824" s="125" t="str">
        <f>IF(Tab.o1[[#This Row],[a1]]=1,IF(W$3=0,1,Tab.o1[[#This Row],[Amp.]]*1/_xlfn.MINIFS(Tab.o1[Amp.],Tab.o1[Amp.],"&lt;&gt;0")),"")</f>
        <v/>
      </c>
      <c r="X824" s="126" t="str">
        <f>IF(Tab.o1[[#This Row],[a1]]=1,IF(ISNUMBER(Tab.o1[[#This Row],[i.]]),NORMDIST(Tab.o1[[#This Row],[Za]],0,1,FALSE)*Tab.o1[[#This Row],[i.]],AP$3),"")</f>
        <v/>
      </c>
      <c r="Y824" s="126" t="str">
        <f>IF(Tab.o1[[#This Row],[a1]]=1,0.01+0.94*Tab.o1[[#This Row],[PDF]]/MAX(Tab.o1[PDF]),"")</f>
        <v/>
      </c>
      <c r="Z824" s="126" t="str">
        <f>IF(Tab.o1[[#This Row],[a1]]=1,0.01+0.94*Tab.o1[[#This Row],[W1_PDF]]/MAX(Tab.o1[W1_PDF]),"")</f>
        <v/>
      </c>
      <c r="AA824" s="118" t="str">
        <f>IF(Tab.o1[[#This Row],[a1]]=1,ABS([1]!T.in.A[[#This Row],[oo6]]),"")</f>
        <v/>
      </c>
      <c r="AB824" s="127" t="str">
        <f>IF(Tab.o1[[#This Row],[a1]]=1,IF(AE$3=0,"",IF(AB$3=0,ABS([1]!T.in.A[[#This Row],[oo9]]),ABS(Tab.o1[[#This Row],[DIF_Target.]]*Tab.o1[[#This Row],[W1_PDF]]))),"")</f>
        <v/>
      </c>
      <c r="AC824" s="127" t="str">
        <f>IF(G$1=1,"",IF(Tab.o1[[#This Row],[a1]]=1,Tab.o1[[#This Row],[Wr]]^2,""))</f>
        <v/>
      </c>
      <c r="AD824" s="118" t="str">
        <f>IF(Tab.o1[[#This Row],[a1]]=1,IF(AE$3=0,"",Tab.o1[[#This Row],[Wr2]]/SUM(Tab.o1[Wr2])),"")</f>
        <v/>
      </c>
      <c r="AE824" s="128" t="str">
        <f>IF(Tab.o1[[#This Row],[a1]]=1,[1]!T.in.A[[#This Row],[oo10]],"")</f>
        <v/>
      </c>
      <c r="AF824" s="118" t="str">
        <f>IF(Tab.o1[[#This Row],[a1]]=1,ABS(Tab.o1[[#This Row],[DIF_Target.]]*Tab.o1[[#This Row],[PDF2]]*Tab.o1[[#This Row],[IN]]),"")</f>
        <v/>
      </c>
      <c r="AG824" s="129" t="str">
        <f>IF(Tab.o1[[#This Row],[a1]]=1,Tab.o1[[#This Row],[rW]]^2,"")</f>
        <v/>
      </c>
      <c r="AH824" s="130" t="str">
        <f>IF(Tab.o1[[#This Row],[a1]]=1,IF(AH$3=0,Tab.o1[[#This Row],[rW2]],0.01+0.94*Tab.o1[[#This Row],[rW2]]/SUM(Tab.o1[rW2])),"")</f>
        <v/>
      </c>
      <c r="AI824" s="128" t="str">
        <f>IF(Tab.o1[[#This Row],[a1]]=1,1/Tab.o1[[#This Row],[PDF]],"")</f>
        <v/>
      </c>
      <c r="AJ824" s="131" t="str">
        <f>IF(Tab.o1[[#This Row],[a1]]=1,[1]!T_AA[[#This Row],[IN'']]*[1]!T_AA[[#This Row],[Qde'']],"")</f>
        <v/>
      </c>
      <c r="AK824" s="132" t="str">
        <f>IF(Tab.o1[[#This Row],[a1]]=1,IF(AK$1=1,Tab.o1[[#This Row],[MED]]+Tab.o1[[#This Row],[MOD]]-Tab.o1[[#This Row],[MED]],""),"")</f>
        <v/>
      </c>
      <c r="AL824" s="133" t="str">
        <f>IF(Tab.o1[[#This Row],[a1]]=1,[1]!T.in.A[[#This Row],[oo16]],"")</f>
        <v/>
      </c>
      <c r="AM824" s="133" t="str">
        <f>IF(Tab.o1[[#This Row],[a1]]=1,IF(AM$3=1,[1]!T.in.A[[#This Row],[Σo16]],""),"")</f>
        <v/>
      </c>
      <c r="AN824" s="126" t="str">
        <f>IF(Tab.o1[[#This Row],[a1]]=1,[1]!T.in.A[[#This Row],[Σp5]],"")</f>
        <v/>
      </c>
      <c r="AO824" s="126" t="str">
        <f>IF(Tab.o1[[#This Row],[a1]]=1,IF(AO$3=1,[1]!T.in.A[[#This Row],[Σp5]],""),"")</f>
        <v/>
      </c>
      <c r="AP824" s="110" t="str">
        <f>IF(Tab.o1[[#This Row],[a1]]=1,IF(ISNUMBER(Tab.o1[[#This Row],[i.]]),NORMDIST(Tab.o1[[#This Row],[Za]],0,1,FALSE)*Tab.o1[[#This Row],[i.]],0),"")</f>
        <v/>
      </c>
      <c r="AQ824" s="125" t="str">
        <f>IF(Tab.o1[[#This Row],[a1]]=1,ABS(Tab.o1[[#This Row],[MOD]]-AVERAGE(Tab.o1[MOD])),"")</f>
        <v/>
      </c>
      <c r="AR824" s="134" t="str">
        <f>IF(Tab.o1[[#This Row],[a1]]=1,Tab.o1[[#This Row],[OBS]]/SUM(Tab.o1[OBS]),"")</f>
        <v/>
      </c>
      <c r="AS824" s="135" t="str">
        <f>IF(ISNUMBER(Tab.o1[[#This Row],[a1]]),ROW()-4,"")</f>
        <v/>
      </c>
      <c r="AT824" s="136" t="str">
        <f>Tab.o1[[#This Row],[MOD]]</f>
        <v/>
      </c>
      <c r="AU824" s="137" t="str">
        <f t="shared" si="49"/>
        <v/>
      </c>
      <c r="AV824" s="138" t="str">
        <f t="shared" si="50"/>
        <v/>
      </c>
      <c r="AW824" s="138" t="str">
        <f t="shared" si="51"/>
        <v/>
      </c>
      <c r="AX824" s="139" t="str">
        <f>[1]!T.in.A[[#This Row],[ID_T_manu]]</f>
        <v/>
      </c>
      <c r="AY824" s="140" t="str">
        <f>IF(ISNUMBER(Tab.o1[[#This Row],[a1]]),IF(AND(Tab.o1[[#This Row],[a1]]=1,Tab.o1[[#This Row],[b1]]&lt;=AY$4),#REF!,AY823),"")</f>
        <v/>
      </c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6"/>
      <c r="BO824" s="26"/>
      <c r="BP824" s="26"/>
      <c r="BQ824" s="26"/>
      <c r="BR824" s="26"/>
      <c r="BS824" s="26"/>
      <c r="BT824" s="26"/>
      <c r="BU824" s="26"/>
      <c r="BV824" s="26"/>
      <c r="BW824" s="26"/>
      <c r="BX824" s="26"/>
      <c r="BY824" s="26"/>
      <c r="BZ824" s="26"/>
      <c r="CA824" s="26"/>
    </row>
    <row r="825" spans="1:79" s="143" customFormat="1" ht="15.75" hidden="1">
      <c r="A825" s="109">
        <v>5.9999999999999993E-6</v>
      </c>
      <c r="B825" s="110">
        <f t="shared" si="48"/>
        <v>825</v>
      </c>
      <c r="C825" s="111" t="str">
        <f>IF(C$1=[1]!T.in.A[[#This Row],[oo2]],1,"")</f>
        <v/>
      </c>
      <c r="D825" s="112" t="str">
        <f>IF(Tab.o1[[#This Row],[a1]]=1,IF(SUM(C825:C826)=0,0,IF(SUM(C824:C825)=1,1,IF(SUM(C824:C826)&gt;1,D824+1,0))),"")</f>
        <v/>
      </c>
      <c r="E825" s="113" t="str">
        <f>IF(Tab.o1[[#This Row],[a1]]=1,[1]!T.in.A[[#This Row],[oo1]],"")</f>
        <v/>
      </c>
      <c r="F825" s="113" t="str">
        <f>IF(Tab.o1[[#This Row],[a1]]=1,[1]!T.in.A[[#This Row],[pp1]],"")</f>
        <v/>
      </c>
      <c r="G825" s="114" t="str">
        <f>IF(Tab.o1[[#This Row],[a1]]=1,G$2+IF(G$1=1,0,Tab.o1[[#This Row],[.x1]])+[1]!T.in.A[[#This Row],[oo3]],"")</f>
        <v/>
      </c>
      <c r="H825" s="115" t="str">
        <f>IF(Tab.o1[[#This Row],[a1]]=1,IF(H$2=0,0,IF(G$1=1,0,Tab.o1[[#This Row],[.x1]])+[1]!T.in.A[[#This Row],[oo4]]),"")</f>
        <v/>
      </c>
      <c r="I825" s="116" t="str">
        <f>IF(Tab.o1[[#This Row],[a1]]=1,IF(J$2=0,Tab.o1[[#This Row],[MED]],Tab.o1[[#This Row],[MOD]]),"")</f>
        <v/>
      </c>
      <c r="J825" s="116" t="str">
        <f>IF(Tab.o1[[#This Row],[a1]]=1,((Tab.o1[[#This Row],[DIF_Target.]]-AVERAGE(Tab.o1[DIF_Target.]))/_xlfn.STDEV.P(Tab.o1[DIF_Target.])),"")</f>
        <v/>
      </c>
      <c r="K825" s="117" t="str">
        <f>IF(Tab.o1[[#This Row],[a1]]=1,IF(J$2=0,Tab.o1[[#This Row],[MOD]]-Tab.o1[[#This Row],[B]],IF(J$2=1,0,-Tab.o1[[#This Row],[MED]])+Tab.o1[[#This Row],[B]]),"")</f>
        <v/>
      </c>
      <c r="L825" s="117" t="str">
        <f ca="1">IF(Tab.o1[[#This Row],[DIF_Target]]=0,IF(L$2=0,Tab.o1[[#This Row],[DIF_Target]],AVERAGE(OFFSET(Tab.o1[[#This Row],[DIF_Target]],1,0,L$3,1)))/3,Tab.o1[[#This Row],[DIF_Target]])</f>
        <v/>
      </c>
      <c r="M825" s="118" t="str">
        <f>IF(Tab.o1[[#This Row],[a1]]=1,NORMSDIST(Tab.o1[[#This Row],[Za]]),"")</f>
        <v/>
      </c>
      <c r="N825" s="119" t="str">
        <f>IF(Tab.o1[[#This Row],[a1]]=1,((Tab.o1[[#This Row],[MedMod]]-AVERAGE(Tab.o1[MedMod]))/_xlfn.STDEV.P(Tab.o1[MedMod])*H$1205)+G$1205,"")</f>
        <v/>
      </c>
      <c r="O825" s="141" t="str">
        <f>IF(Tab.o1[[#This Row],[a1]]=1,Tab.o1[[#This Row],[Zb]]*_xlfn.STDEV.P(Tab.o1[MedMod])+AVERAGE(Tab.o1[MedMod]),"")</f>
        <v/>
      </c>
      <c r="P825" s="117" t="str">
        <f ca="1">IF(Tab.o1[[#This Row],[B]]=0,AVERAGE(OFFSET(Tab.o1[[#This Row],[B]],1,0,L$3,1)),Tab.o1[[#This Row],[B]])</f>
        <v/>
      </c>
      <c r="Q825" s="121" t="str">
        <f>IF(Tab.o1[[#This Row],[a1]]=1,NORMSDIST(Tab.o1[[#This Row],[Zb]]),"")</f>
        <v/>
      </c>
      <c r="R825" s="122" t="str">
        <f>IF(Tab.o1[[#This Row],[a1]]=1,((Tab.o1[[#This Row],[MedMod]]-AVERAGE(Tab.o1[MedMod]))/_xlfn.STDEV.P(Tab.o1[MedMod])*H$1203)+G$1203,"")</f>
        <v/>
      </c>
      <c r="S825" s="122" t="str">
        <f>IF(Tab.o1[[#This Row],[a1]]=1,((Tab.o1[[#This Row],[MedMod]]-AVERAGE(Tab.o1[MedMod]))/_xlfn.STDEV.P(Tab.o1[MedMod])*H$1204)+G$1204,"")</f>
        <v/>
      </c>
      <c r="T825" s="123" t="str">
        <f>IF(Tab.o1[[#This Row],[a1]]=1,Tab.o1[[#This Row],[Z-]]*_xlfn.STDEV.P(Tab.o1[B])+AVERAGE(Tab.o1[B]),"")</f>
        <v/>
      </c>
      <c r="U825" s="123" t="str">
        <f>IF(Tab.o1[[#This Row],[a1]]=1,Tab.o1[[#This Row],[z+]]*_xlfn.STDEV.P(Tab.o1[B])+AVERAGE(Tab.o1[B]),"")</f>
        <v/>
      </c>
      <c r="V825" s="124" t="str">
        <f>IF(Tab.o1[[#This Row],[a1]]=1,ABS((ABS(Tab.o1[[#This Row],[Red]]-Tab.o1[[#This Row],[Blue]]))),"")</f>
        <v/>
      </c>
      <c r="W825" s="125" t="str">
        <f>IF(Tab.o1[[#This Row],[a1]]=1,IF(W$3=0,1,Tab.o1[[#This Row],[Amp.]]*1/_xlfn.MINIFS(Tab.o1[Amp.],Tab.o1[Amp.],"&lt;&gt;0")),"")</f>
        <v/>
      </c>
      <c r="X825" s="126" t="str">
        <f>IF(Tab.o1[[#This Row],[a1]]=1,IF(ISNUMBER(Tab.o1[[#This Row],[i.]]),NORMDIST(Tab.o1[[#This Row],[Za]],0,1,FALSE)*Tab.o1[[#This Row],[i.]],AP$3),"")</f>
        <v/>
      </c>
      <c r="Y825" s="126" t="str">
        <f>IF(Tab.o1[[#This Row],[a1]]=1,0.01+0.94*Tab.o1[[#This Row],[PDF]]/MAX(Tab.o1[PDF]),"")</f>
        <v/>
      </c>
      <c r="Z825" s="126" t="str">
        <f>IF(Tab.o1[[#This Row],[a1]]=1,0.01+0.94*Tab.o1[[#This Row],[W1_PDF]]/MAX(Tab.o1[W1_PDF]),"")</f>
        <v/>
      </c>
      <c r="AA825" s="118" t="str">
        <f>IF(Tab.o1[[#This Row],[a1]]=1,ABS([1]!T.in.A[[#This Row],[oo6]]),"")</f>
        <v/>
      </c>
      <c r="AB825" s="127" t="str">
        <f>IF(Tab.o1[[#This Row],[a1]]=1,IF(AE$3=0,"",IF(AB$3=0,ABS([1]!T.in.A[[#This Row],[oo9]]),ABS(Tab.o1[[#This Row],[DIF_Target.]]*Tab.o1[[#This Row],[W1_PDF]]))),"")</f>
        <v/>
      </c>
      <c r="AC825" s="127" t="str">
        <f>IF(G$1=1,"",IF(Tab.o1[[#This Row],[a1]]=1,Tab.o1[[#This Row],[Wr]]^2,""))</f>
        <v/>
      </c>
      <c r="AD825" s="118" t="str">
        <f>IF(Tab.o1[[#This Row],[a1]]=1,IF(AE$3=0,"",Tab.o1[[#This Row],[Wr2]]/SUM(Tab.o1[Wr2])),"")</f>
        <v/>
      </c>
      <c r="AE825" s="128" t="str">
        <f>IF(Tab.o1[[#This Row],[a1]]=1,[1]!T.in.A[[#This Row],[oo10]],"")</f>
        <v/>
      </c>
      <c r="AF825" s="118" t="str">
        <f>IF(Tab.o1[[#This Row],[a1]]=1,ABS(Tab.o1[[#This Row],[DIF_Target.]]*Tab.o1[[#This Row],[PDF2]]*Tab.o1[[#This Row],[IN]]),"")</f>
        <v/>
      </c>
      <c r="AG825" s="129" t="str">
        <f>IF(Tab.o1[[#This Row],[a1]]=1,Tab.o1[[#This Row],[rW]]^2,"")</f>
        <v/>
      </c>
      <c r="AH825" s="130" t="str">
        <f>IF(Tab.o1[[#This Row],[a1]]=1,IF(AH$3=0,Tab.o1[[#This Row],[rW2]],0.01+0.94*Tab.o1[[#This Row],[rW2]]/SUM(Tab.o1[rW2])),"")</f>
        <v/>
      </c>
      <c r="AI825" s="128" t="str">
        <f>IF(Tab.o1[[#This Row],[a1]]=1,1/Tab.o1[[#This Row],[PDF]],"")</f>
        <v/>
      </c>
      <c r="AJ825" s="131" t="str">
        <f>IF(Tab.o1[[#This Row],[a1]]=1,[1]!T_AA[[#This Row],[IN'']]*[1]!T_AA[[#This Row],[Qde'']],"")</f>
        <v/>
      </c>
      <c r="AK825" s="132" t="str">
        <f>IF(Tab.o1[[#This Row],[a1]]=1,IF(AK$1=1,Tab.o1[[#This Row],[MED]]+Tab.o1[[#This Row],[MOD]]-Tab.o1[[#This Row],[MED]],""),"")</f>
        <v/>
      </c>
      <c r="AL825" s="133" t="str">
        <f>IF(Tab.o1[[#This Row],[a1]]=1,[1]!T.in.A[[#This Row],[oo16]],"")</f>
        <v/>
      </c>
      <c r="AM825" s="133" t="str">
        <f>IF(Tab.o1[[#This Row],[a1]]=1,IF(AM$3=1,[1]!T.in.A[[#This Row],[Σo16]],""),"")</f>
        <v/>
      </c>
      <c r="AN825" s="126" t="str">
        <f>IF(Tab.o1[[#This Row],[a1]]=1,[1]!T.in.A[[#This Row],[Σp5]],"")</f>
        <v/>
      </c>
      <c r="AO825" s="126" t="str">
        <f>IF(Tab.o1[[#This Row],[a1]]=1,IF(AO$3=1,[1]!T.in.A[[#This Row],[Σp5]],""),"")</f>
        <v/>
      </c>
      <c r="AP825" s="110" t="str">
        <f>IF(Tab.o1[[#This Row],[a1]]=1,IF(ISNUMBER(Tab.o1[[#This Row],[i.]]),NORMDIST(Tab.o1[[#This Row],[Za]],0,1,FALSE)*Tab.o1[[#This Row],[i.]],0),"")</f>
        <v/>
      </c>
      <c r="AQ825" s="125" t="str">
        <f>IF(Tab.o1[[#This Row],[a1]]=1,ABS(Tab.o1[[#This Row],[MOD]]-AVERAGE(Tab.o1[MOD])),"")</f>
        <v/>
      </c>
      <c r="AR825" s="134" t="str">
        <f>IF(Tab.o1[[#This Row],[a1]]=1,Tab.o1[[#This Row],[OBS]]/SUM(Tab.o1[OBS]),"")</f>
        <v/>
      </c>
      <c r="AS825" s="135" t="str">
        <f>IF(ISNUMBER(Tab.o1[[#This Row],[a1]]),ROW()-4,"")</f>
        <v/>
      </c>
      <c r="AT825" s="136" t="str">
        <f>Tab.o1[[#This Row],[MOD]]</f>
        <v/>
      </c>
      <c r="AU825" s="137" t="str">
        <f t="shared" si="49"/>
        <v/>
      </c>
      <c r="AV825" s="138" t="str">
        <f t="shared" si="50"/>
        <v/>
      </c>
      <c r="AW825" s="138" t="str">
        <f t="shared" si="51"/>
        <v/>
      </c>
      <c r="AX825" s="139" t="str">
        <f>[1]!T.in.A[[#This Row],[ID_T_manu]]</f>
        <v/>
      </c>
      <c r="AY825" s="140" t="str">
        <f>IF(ISNUMBER(Tab.o1[[#This Row],[a1]]),IF(AND(Tab.o1[[#This Row],[a1]]=1,Tab.o1[[#This Row],[b1]]&lt;=AY$4),#REF!,AY824),"")</f>
        <v/>
      </c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6"/>
      <c r="BO825" s="26"/>
      <c r="BP825" s="26"/>
      <c r="BQ825" s="26"/>
      <c r="BR825" s="26"/>
      <c r="BS825" s="26"/>
      <c r="BT825" s="26"/>
      <c r="BU825" s="26"/>
      <c r="BV825" s="26"/>
      <c r="BW825" s="26"/>
      <c r="BX825" s="26"/>
      <c r="BY825" s="26"/>
      <c r="BZ825" s="26"/>
      <c r="CA825" s="26"/>
    </row>
    <row r="826" spans="1:79" s="143" customFormat="1" ht="15.75" hidden="1">
      <c r="A826" s="109">
        <v>5.0000000000000004E-6</v>
      </c>
      <c r="B826" s="110">
        <f t="shared" si="48"/>
        <v>826</v>
      </c>
      <c r="C826" s="111" t="str">
        <f>IF(C$1=[1]!T.in.A[[#This Row],[oo2]],1,"")</f>
        <v/>
      </c>
      <c r="D826" s="112" t="str">
        <f>IF(Tab.o1[[#This Row],[a1]]=1,IF(SUM(C826:C827)=0,0,IF(SUM(C825:C826)=1,1,IF(SUM(C825:C827)&gt;1,D825+1,0))),"")</f>
        <v/>
      </c>
      <c r="E826" s="113" t="str">
        <f>IF(Tab.o1[[#This Row],[a1]]=1,[1]!T.in.A[[#This Row],[oo1]],"")</f>
        <v/>
      </c>
      <c r="F826" s="113" t="str">
        <f>IF(Tab.o1[[#This Row],[a1]]=1,[1]!T.in.A[[#This Row],[pp1]],"")</f>
        <v/>
      </c>
      <c r="G826" s="114" t="str">
        <f>IF(Tab.o1[[#This Row],[a1]]=1,G$2+IF(G$1=1,0,Tab.o1[[#This Row],[.x1]])+[1]!T.in.A[[#This Row],[oo3]],"")</f>
        <v/>
      </c>
      <c r="H826" s="115" t="str">
        <f>IF(Tab.o1[[#This Row],[a1]]=1,IF(H$2=0,0,IF(G$1=1,0,Tab.o1[[#This Row],[.x1]])+[1]!T.in.A[[#This Row],[oo4]]),"")</f>
        <v/>
      </c>
      <c r="I826" s="116" t="str">
        <f>IF(Tab.o1[[#This Row],[a1]]=1,IF(J$2=0,Tab.o1[[#This Row],[MED]],Tab.o1[[#This Row],[MOD]]),"")</f>
        <v/>
      </c>
      <c r="J826" s="116" t="str">
        <f>IF(Tab.o1[[#This Row],[a1]]=1,((Tab.o1[[#This Row],[DIF_Target.]]-AVERAGE(Tab.o1[DIF_Target.]))/_xlfn.STDEV.P(Tab.o1[DIF_Target.])),"")</f>
        <v/>
      </c>
      <c r="K826" s="117" t="str">
        <f>IF(Tab.o1[[#This Row],[a1]]=1,IF(J$2=0,Tab.o1[[#This Row],[MOD]]-Tab.o1[[#This Row],[B]],IF(J$2=1,0,-Tab.o1[[#This Row],[MED]])+Tab.o1[[#This Row],[B]]),"")</f>
        <v/>
      </c>
      <c r="L826" s="117" t="str">
        <f ca="1">IF(Tab.o1[[#This Row],[DIF_Target]]=0,IF(L$2=0,Tab.o1[[#This Row],[DIF_Target]],AVERAGE(OFFSET(Tab.o1[[#This Row],[DIF_Target]],1,0,L$3,1)))/3,Tab.o1[[#This Row],[DIF_Target]])</f>
        <v/>
      </c>
      <c r="M826" s="118" t="str">
        <f>IF(Tab.o1[[#This Row],[a1]]=1,NORMSDIST(Tab.o1[[#This Row],[Za]]),"")</f>
        <v/>
      </c>
      <c r="N826" s="119" t="str">
        <f>IF(Tab.o1[[#This Row],[a1]]=1,((Tab.o1[[#This Row],[MedMod]]-AVERAGE(Tab.o1[MedMod]))/_xlfn.STDEV.P(Tab.o1[MedMod])*H$1205)+G$1205,"")</f>
        <v/>
      </c>
      <c r="O826" s="141" t="str">
        <f>IF(Tab.o1[[#This Row],[a1]]=1,Tab.o1[[#This Row],[Zb]]*_xlfn.STDEV.P(Tab.o1[MedMod])+AVERAGE(Tab.o1[MedMod]),"")</f>
        <v/>
      </c>
      <c r="P826" s="117" t="str">
        <f ca="1">IF(Tab.o1[[#This Row],[B]]=0,AVERAGE(OFFSET(Tab.o1[[#This Row],[B]],1,0,L$3,1)),Tab.o1[[#This Row],[B]])</f>
        <v/>
      </c>
      <c r="Q826" s="121" t="str">
        <f>IF(Tab.o1[[#This Row],[a1]]=1,NORMSDIST(Tab.o1[[#This Row],[Zb]]),"")</f>
        <v/>
      </c>
      <c r="R826" s="122" t="str">
        <f>IF(Tab.o1[[#This Row],[a1]]=1,((Tab.o1[[#This Row],[MedMod]]-AVERAGE(Tab.o1[MedMod]))/_xlfn.STDEV.P(Tab.o1[MedMod])*H$1203)+G$1203,"")</f>
        <v/>
      </c>
      <c r="S826" s="122" t="str">
        <f>IF(Tab.o1[[#This Row],[a1]]=1,((Tab.o1[[#This Row],[MedMod]]-AVERAGE(Tab.o1[MedMod]))/_xlfn.STDEV.P(Tab.o1[MedMod])*H$1204)+G$1204,"")</f>
        <v/>
      </c>
      <c r="T826" s="123" t="str">
        <f>IF(Tab.o1[[#This Row],[a1]]=1,Tab.o1[[#This Row],[Z-]]*_xlfn.STDEV.P(Tab.o1[B])+AVERAGE(Tab.o1[B]),"")</f>
        <v/>
      </c>
      <c r="U826" s="123" t="str">
        <f>IF(Tab.o1[[#This Row],[a1]]=1,Tab.o1[[#This Row],[z+]]*_xlfn.STDEV.P(Tab.o1[B])+AVERAGE(Tab.o1[B]),"")</f>
        <v/>
      </c>
      <c r="V826" s="124" t="str">
        <f>IF(Tab.o1[[#This Row],[a1]]=1,ABS((ABS(Tab.o1[[#This Row],[Red]]-Tab.o1[[#This Row],[Blue]]))),"")</f>
        <v/>
      </c>
      <c r="W826" s="125" t="str">
        <f>IF(Tab.o1[[#This Row],[a1]]=1,IF(W$3=0,1,Tab.o1[[#This Row],[Amp.]]*1/_xlfn.MINIFS(Tab.o1[Amp.],Tab.o1[Amp.],"&lt;&gt;0")),"")</f>
        <v/>
      </c>
      <c r="X826" s="126" t="str">
        <f>IF(Tab.o1[[#This Row],[a1]]=1,IF(ISNUMBER(Tab.o1[[#This Row],[i.]]),NORMDIST(Tab.o1[[#This Row],[Za]],0,1,FALSE)*Tab.o1[[#This Row],[i.]],AP$3),"")</f>
        <v/>
      </c>
      <c r="Y826" s="126" t="str">
        <f>IF(Tab.o1[[#This Row],[a1]]=1,0.01+0.94*Tab.o1[[#This Row],[PDF]]/MAX(Tab.o1[PDF]),"")</f>
        <v/>
      </c>
      <c r="Z826" s="126" t="str">
        <f>IF(Tab.o1[[#This Row],[a1]]=1,0.01+0.94*Tab.o1[[#This Row],[W1_PDF]]/MAX(Tab.o1[W1_PDF]),"")</f>
        <v/>
      </c>
      <c r="AA826" s="118" t="str">
        <f>IF(Tab.o1[[#This Row],[a1]]=1,ABS([1]!T.in.A[[#This Row],[oo6]]),"")</f>
        <v/>
      </c>
      <c r="AB826" s="127" t="str">
        <f>IF(Tab.o1[[#This Row],[a1]]=1,IF(AE$3=0,"",IF(AB$3=0,ABS([1]!T.in.A[[#This Row],[oo9]]),ABS(Tab.o1[[#This Row],[DIF_Target.]]*Tab.o1[[#This Row],[W1_PDF]]))),"")</f>
        <v/>
      </c>
      <c r="AC826" s="127" t="str">
        <f>IF(G$1=1,"",IF(Tab.o1[[#This Row],[a1]]=1,Tab.o1[[#This Row],[Wr]]^2,""))</f>
        <v/>
      </c>
      <c r="AD826" s="118" t="str">
        <f>IF(Tab.o1[[#This Row],[a1]]=1,IF(AE$3=0,"",Tab.o1[[#This Row],[Wr2]]/SUM(Tab.o1[Wr2])),"")</f>
        <v/>
      </c>
      <c r="AE826" s="128" t="str">
        <f>IF(Tab.o1[[#This Row],[a1]]=1,[1]!T.in.A[[#This Row],[oo10]],"")</f>
        <v/>
      </c>
      <c r="AF826" s="118" t="str">
        <f>IF(Tab.o1[[#This Row],[a1]]=1,ABS(Tab.o1[[#This Row],[DIF_Target.]]*Tab.o1[[#This Row],[PDF2]]*Tab.o1[[#This Row],[IN]]),"")</f>
        <v/>
      </c>
      <c r="AG826" s="129" t="str">
        <f>IF(Tab.o1[[#This Row],[a1]]=1,Tab.o1[[#This Row],[rW]]^2,"")</f>
        <v/>
      </c>
      <c r="AH826" s="130" t="str">
        <f>IF(Tab.o1[[#This Row],[a1]]=1,IF(AH$3=0,Tab.o1[[#This Row],[rW2]],0.01+0.94*Tab.o1[[#This Row],[rW2]]/SUM(Tab.o1[rW2])),"")</f>
        <v/>
      </c>
      <c r="AI826" s="128" t="str">
        <f>IF(Tab.o1[[#This Row],[a1]]=1,1/Tab.o1[[#This Row],[PDF]],"")</f>
        <v/>
      </c>
      <c r="AJ826" s="131" t="str">
        <f>IF(Tab.o1[[#This Row],[a1]]=1,[1]!T_AA[[#This Row],[IN'']]*[1]!T_AA[[#This Row],[Qde'']],"")</f>
        <v/>
      </c>
      <c r="AK826" s="132" t="str">
        <f>IF(Tab.o1[[#This Row],[a1]]=1,IF(AK$1=1,Tab.o1[[#This Row],[MED]]+Tab.o1[[#This Row],[MOD]]-Tab.o1[[#This Row],[MED]],""),"")</f>
        <v/>
      </c>
      <c r="AL826" s="133" t="str">
        <f>IF(Tab.o1[[#This Row],[a1]]=1,[1]!T.in.A[[#This Row],[oo16]],"")</f>
        <v/>
      </c>
      <c r="AM826" s="133" t="str">
        <f>IF(Tab.o1[[#This Row],[a1]]=1,IF(AM$3=1,[1]!T.in.A[[#This Row],[Σo16]],""),"")</f>
        <v/>
      </c>
      <c r="AN826" s="126" t="str">
        <f>IF(Tab.o1[[#This Row],[a1]]=1,[1]!T.in.A[[#This Row],[Σp5]],"")</f>
        <v/>
      </c>
      <c r="AO826" s="126" t="str">
        <f>IF(Tab.o1[[#This Row],[a1]]=1,IF(AO$3=1,[1]!T.in.A[[#This Row],[Σp5]],""),"")</f>
        <v/>
      </c>
      <c r="AP826" s="110" t="str">
        <f>IF(Tab.o1[[#This Row],[a1]]=1,IF(ISNUMBER(Tab.o1[[#This Row],[i.]]),NORMDIST(Tab.o1[[#This Row],[Za]],0,1,FALSE)*Tab.o1[[#This Row],[i.]],0),"")</f>
        <v/>
      </c>
      <c r="AQ826" s="125" t="str">
        <f>IF(Tab.o1[[#This Row],[a1]]=1,ABS(Tab.o1[[#This Row],[MOD]]-AVERAGE(Tab.o1[MOD])),"")</f>
        <v/>
      </c>
      <c r="AR826" s="134" t="str">
        <f>IF(Tab.o1[[#This Row],[a1]]=1,Tab.o1[[#This Row],[OBS]]/SUM(Tab.o1[OBS]),"")</f>
        <v/>
      </c>
      <c r="AS826" s="135" t="str">
        <f>IF(ISNUMBER(Tab.o1[[#This Row],[a1]]),ROW()-4,"")</f>
        <v/>
      </c>
      <c r="AT826" s="136" t="str">
        <f>Tab.o1[[#This Row],[MOD]]</f>
        <v/>
      </c>
      <c r="AU826" s="137" t="str">
        <f t="shared" si="49"/>
        <v/>
      </c>
      <c r="AV826" s="138" t="str">
        <f t="shared" si="50"/>
        <v/>
      </c>
      <c r="AW826" s="138" t="str">
        <f t="shared" si="51"/>
        <v/>
      </c>
      <c r="AX826" s="139" t="str">
        <f>[1]!T.in.A[[#This Row],[ID_T_manu]]</f>
        <v/>
      </c>
      <c r="AY826" s="140" t="str">
        <f>IF(ISNUMBER(Tab.o1[[#This Row],[a1]]),IF(AND(Tab.o1[[#This Row],[a1]]=1,Tab.o1[[#This Row],[b1]]&lt;=AY$4),#REF!,AY825),"")</f>
        <v/>
      </c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6"/>
      <c r="BO826" s="26"/>
      <c r="BP826" s="26"/>
      <c r="BQ826" s="26"/>
      <c r="BR826" s="26"/>
      <c r="BS826" s="26"/>
      <c r="BT826" s="26"/>
      <c r="BU826" s="26"/>
      <c r="BV826" s="26"/>
      <c r="BW826" s="26"/>
      <c r="BX826" s="26"/>
      <c r="BY826" s="26"/>
      <c r="BZ826" s="26"/>
      <c r="CA826" s="26"/>
    </row>
    <row r="827" spans="1:79" s="143" customFormat="1" ht="15.75" hidden="1">
      <c r="A827" s="109">
        <v>8.0000000000000013E-6</v>
      </c>
      <c r="B827" s="110">
        <f t="shared" si="48"/>
        <v>827</v>
      </c>
      <c r="C827" s="111" t="str">
        <f>IF(C$1=[1]!T.in.A[[#This Row],[oo2]],1,"")</f>
        <v/>
      </c>
      <c r="D827" s="112" t="str">
        <f>IF(Tab.o1[[#This Row],[a1]]=1,IF(SUM(C827:C828)=0,0,IF(SUM(C826:C827)=1,1,IF(SUM(C826:C828)&gt;1,D826+1,0))),"")</f>
        <v/>
      </c>
      <c r="E827" s="113" t="str">
        <f>IF(Tab.o1[[#This Row],[a1]]=1,[1]!T.in.A[[#This Row],[oo1]],"")</f>
        <v/>
      </c>
      <c r="F827" s="113" t="str">
        <f>IF(Tab.o1[[#This Row],[a1]]=1,[1]!T.in.A[[#This Row],[pp1]],"")</f>
        <v/>
      </c>
      <c r="G827" s="114" t="str">
        <f>IF(Tab.o1[[#This Row],[a1]]=1,G$2+IF(G$1=1,0,Tab.o1[[#This Row],[.x1]])+[1]!T.in.A[[#This Row],[oo3]],"")</f>
        <v/>
      </c>
      <c r="H827" s="115" t="str">
        <f>IF(Tab.o1[[#This Row],[a1]]=1,IF(H$2=0,0,IF(G$1=1,0,Tab.o1[[#This Row],[.x1]])+[1]!T.in.A[[#This Row],[oo4]]),"")</f>
        <v/>
      </c>
      <c r="I827" s="116" t="str">
        <f>IF(Tab.o1[[#This Row],[a1]]=1,IF(J$2=0,Tab.o1[[#This Row],[MED]],Tab.o1[[#This Row],[MOD]]),"")</f>
        <v/>
      </c>
      <c r="J827" s="116" t="str">
        <f>IF(Tab.o1[[#This Row],[a1]]=1,((Tab.o1[[#This Row],[DIF_Target.]]-AVERAGE(Tab.o1[DIF_Target.]))/_xlfn.STDEV.P(Tab.o1[DIF_Target.])),"")</f>
        <v/>
      </c>
      <c r="K827" s="117" t="str">
        <f>IF(Tab.o1[[#This Row],[a1]]=1,IF(J$2=0,Tab.o1[[#This Row],[MOD]]-Tab.o1[[#This Row],[B]],IF(J$2=1,0,-Tab.o1[[#This Row],[MED]])+Tab.o1[[#This Row],[B]]),"")</f>
        <v/>
      </c>
      <c r="L827" s="117" t="str">
        <f ca="1">IF(Tab.o1[[#This Row],[DIF_Target]]=0,IF(L$2=0,Tab.o1[[#This Row],[DIF_Target]],AVERAGE(OFFSET(Tab.o1[[#This Row],[DIF_Target]],1,0,L$3,1)))/3,Tab.o1[[#This Row],[DIF_Target]])</f>
        <v/>
      </c>
      <c r="M827" s="118" t="str">
        <f>IF(Tab.o1[[#This Row],[a1]]=1,NORMSDIST(Tab.o1[[#This Row],[Za]]),"")</f>
        <v/>
      </c>
      <c r="N827" s="119" t="str">
        <f>IF(Tab.o1[[#This Row],[a1]]=1,((Tab.o1[[#This Row],[MedMod]]-AVERAGE(Tab.o1[MedMod]))/_xlfn.STDEV.P(Tab.o1[MedMod])*H$1205)+G$1205,"")</f>
        <v/>
      </c>
      <c r="O827" s="141" t="str">
        <f>IF(Tab.o1[[#This Row],[a1]]=1,Tab.o1[[#This Row],[Zb]]*_xlfn.STDEV.P(Tab.o1[MedMod])+AVERAGE(Tab.o1[MedMod]),"")</f>
        <v/>
      </c>
      <c r="P827" s="117" t="str">
        <f ca="1">IF(Tab.o1[[#This Row],[B]]=0,AVERAGE(OFFSET(Tab.o1[[#This Row],[B]],1,0,L$3,1)),Tab.o1[[#This Row],[B]])</f>
        <v/>
      </c>
      <c r="Q827" s="121" t="str">
        <f>IF(Tab.o1[[#This Row],[a1]]=1,NORMSDIST(Tab.o1[[#This Row],[Zb]]),"")</f>
        <v/>
      </c>
      <c r="R827" s="122" t="str">
        <f>IF(Tab.o1[[#This Row],[a1]]=1,((Tab.o1[[#This Row],[MedMod]]-AVERAGE(Tab.o1[MedMod]))/_xlfn.STDEV.P(Tab.o1[MedMod])*H$1203)+G$1203,"")</f>
        <v/>
      </c>
      <c r="S827" s="122" t="str">
        <f>IF(Tab.o1[[#This Row],[a1]]=1,((Tab.o1[[#This Row],[MedMod]]-AVERAGE(Tab.o1[MedMod]))/_xlfn.STDEV.P(Tab.o1[MedMod])*H$1204)+G$1204,"")</f>
        <v/>
      </c>
      <c r="T827" s="123" t="str">
        <f>IF(Tab.o1[[#This Row],[a1]]=1,Tab.o1[[#This Row],[Z-]]*_xlfn.STDEV.P(Tab.o1[B])+AVERAGE(Tab.o1[B]),"")</f>
        <v/>
      </c>
      <c r="U827" s="123" t="str">
        <f>IF(Tab.o1[[#This Row],[a1]]=1,Tab.o1[[#This Row],[z+]]*_xlfn.STDEV.P(Tab.o1[B])+AVERAGE(Tab.o1[B]),"")</f>
        <v/>
      </c>
      <c r="V827" s="124" t="str">
        <f>IF(Tab.o1[[#This Row],[a1]]=1,ABS((ABS(Tab.o1[[#This Row],[Red]]-Tab.o1[[#This Row],[Blue]]))),"")</f>
        <v/>
      </c>
      <c r="W827" s="125" t="str">
        <f>IF(Tab.o1[[#This Row],[a1]]=1,IF(W$3=0,1,Tab.o1[[#This Row],[Amp.]]*1/_xlfn.MINIFS(Tab.o1[Amp.],Tab.o1[Amp.],"&lt;&gt;0")),"")</f>
        <v/>
      </c>
      <c r="X827" s="126" t="str">
        <f>IF(Tab.o1[[#This Row],[a1]]=1,IF(ISNUMBER(Tab.o1[[#This Row],[i.]]),NORMDIST(Tab.o1[[#This Row],[Za]],0,1,FALSE)*Tab.o1[[#This Row],[i.]],AP$3),"")</f>
        <v/>
      </c>
      <c r="Y827" s="126" t="str">
        <f>IF(Tab.o1[[#This Row],[a1]]=1,0.01+0.94*Tab.o1[[#This Row],[PDF]]/MAX(Tab.o1[PDF]),"")</f>
        <v/>
      </c>
      <c r="Z827" s="126" t="str">
        <f>IF(Tab.o1[[#This Row],[a1]]=1,0.01+0.94*Tab.o1[[#This Row],[W1_PDF]]/MAX(Tab.o1[W1_PDF]),"")</f>
        <v/>
      </c>
      <c r="AA827" s="118" t="str">
        <f>IF(Tab.o1[[#This Row],[a1]]=1,ABS([1]!T.in.A[[#This Row],[oo6]]),"")</f>
        <v/>
      </c>
      <c r="AB827" s="127" t="str">
        <f>IF(Tab.o1[[#This Row],[a1]]=1,IF(AE$3=0,"",IF(AB$3=0,ABS([1]!T.in.A[[#This Row],[oo9]]),ABS(Tab.o1[[#This Row],[DIF_Target.]]*Tab.o1[[#This Row],[W1_PDF]]))),"")</f>
        <v/>
      </c>
      <c r="AC827" s="127" t="str">
        <f>IF(G$1=1,"",IF(Tab.o1[[#This Row],[a1]]=1,Tab.o1[[#This Row],[Wr]]^2,""))</f>
        <v/>
      </c>
      <c r="AD827" s="118" t="str">
        <f>IF(Tab.o1[[#This Row],[a1]]=1,IF(AE$3=0,"",Tab.o1[[#This Row],[Wr2]]/SUM(Tab.o1[Wr2])),"")</f>
        <v/>
      </c>
      <c r="AE827" s="128" t="str">
        <f>IF(Tab.o1[[#This Row],[a1]]=1,[1]!T.in.A[[#This Row],[oo10]],"")</f>
        <v/>
      </c>
      <c r="AF827" s="118" t="str">
        <f>IF(Tab.o1[[#This Row],[a1]]=1,ABS(Tab.o1[[#This Row],[DIF_Target.]]*Tab.o1[[#This Row],[PDF2]]*Tab.o1[[#This Row],[IN]]),"")</f>
        <v/>
      </c>
      <c r="AG827" s="129" t="str">
        <f>IF(Tab.o1[[#This Row],[a1]]=1,Tab.o1[[#This Row],[rW]]^2,"")</f>
        <v/>
      </c>
      <c r="AH827" s="130" t="str">
        <f>IF(Tab.o1[[#This Row],[a1]]=1,IF(AH$3=0,Tab.o1[[#This Row],[rW2]],0.01+0.94*Tab.o1[[#This Row],[rW2]]/SUM(Tab.o1[rW2])),"")</f>
        <v/>
      </c>
      <c r="AI827" s="128" t="str">
        <f>IF(Tab.o1[[#This Row],[a1]]=1,1/Tab.o1[[#This Row],[PDF]],"")</f>
        <v/>
      </c>
      <c r="AJ827" s="131" t="str">
        <f>IF(Tab.o1[[#This Row],[a1]]=1,[1]!T_AA[[#This Row],[IN'']]*[1]!T_AA[[#This Row],[Qde'']],"")</f>
        <v/>
      </c>
      <c r="AK827" s="132" t="str">
        <f>IF(Tab.o1[[#This Row],[a1]]=1,IF(AK$1=1,Tab.o1[[#This Row],[MED]]+Tab.o1[[#This Row],[MOD]]-Tab.o1[[#This Row],[MED]],""),"")</f>
        <v/>
      </c>
      <c r="AL827" s="133" t="str">
        <f>IF(Tab.o1[[#This Row],[a1]]=1,[1]!T.in.A[[#This Row],[oo16]],"")</f>
        <v/>
      </c>
      <c r="AM827" s="133" t="str">
        <f>IF(Tab.o1[[#This Row],[a1]]=1,IF(AM$3=1,[1]!T.in.A[[#This Row],[Σo16]],""),"")</f>
        <v/>
      </c>
      <c r="AN827" s="126" t="str">
        <f>IF(Tab.o1[[#This Row],[a1]]=1,[1]!T.in.A[[#This Row],[Σp5]],"")</f>
        <v/>
      </c>
      <c r="AO827" s="126" t="str">
        <f>IF(Tab.o1[[#This Row],[a1]]=1,IF(AO$3=1,[1]!T.in.A[[#This Row],[Σp5]],""),"")</f>
        <v/>
      </c>
      <c r="AP827" s="110" t="str">
        <f>IF(Tab.o1[[#This Row],[a1]]=1,IF(ISNUMBER(Tab.o1[[#This Row],[i.]]),NORMDIST(Tab.o1[[#This Row],[Za]],0,1,FALSE)*Tab.o1[[#This Row],[i.]],0),"")</f>
        <v/>
      </c>
      <c r="AQ827" s="125" t="str">
        <f>IF(Tab.o1[[#This Row],[a1]]=1,ABS(Tab.o1[[#This Row],[MOD]]-AVERAGE(Tab.o1[MOD])),"")</f>
        <v/>
      </c>
      <c r="AR827" s="134" t="str">
        <f>IF(Tab.o1[[#This Row],[a1]]=1,Tab.o1[[#This Row],[OBS]]/SUM(Tab.o1[OBS]),"")</f>
        <v/>
      </c>
      <c r="AS827" s="135" t="str">
        <f>IF(ISNUMBER(Tab.o1[[#This Row],[a1]]),ROW()-4,"")</f>
        <v/>
      </c>
      <c r="AT827" s="136" t="str">
        <f>Tab.o1[[#This Row],[MOD]]</f>
        <v/>
      </c>
      <c r="AU827" s="137" t="str">
        <f t="shared" si="49"/>
        <v/>
      </c>
      <c r="AV827" s="138" t="str">
        <f t="shared" si="50"/>
        <v/>
      </c>
      <c r="AW827" s="138" t="str">
        <f t="shared" si="51"/>
        <v/>
      </c>
      <c r="AX827" s="139" t="str">
        <f>[1]!T.in.A[[#This Row],[ID_T_manu]]</f>
        <v/>
      </c>
      <c r="AY827" s="140" t="str">
        <f>IF(ISNUMBER(Tab.o1[[#This Row],[a1]]),IF(AND(Tab.o1[[#This Row],[a1]]=1,Tab.o1[[#This Row],[b1]]&lt;=AY$4),#REF!,AY826),"")</f>
        <v/>
      </c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6"/>
      <c r="BO827" s="26"/>
      <c r="BP827" s="26"/>
      <c r="BQ827" s="26"/>
      <c r="BR827" s="26"/>
      <c r="BS827" s="26"/>
      <c r="BT827" s="26"/>
      <c r="BU827" s="26"/>
      <c r="BV827" s="26"/>
      <c r="BW827" s="26"/>
      <c r="BX827" s="26"/>
      <c r="BY827" s="26"/>
      <c r="BZ827" s="26"/>
      <c r="CA827" s="26"/>
    </row>
    <row r="828" spans="1:79" s="143" customFormat="1" ht="15.75" hidden="1">
      <c r="A828" s="109">
        <v>-5.9999999999999993E-6</v>
      </c>
      <c r="B828" s="110">
        <f t="shared" si="48"/>
        <v>828</v>
      </c>
      <c r="C828" s="111" t="str">
        <f>IF(C$1=[1]!T.in.A[[#This Row],[oo2]],1,"")</f>
        <v/>
      </c>
      <c r="D828" s="112" t="str">
        <f>IF(Tab.o1[[#This Row],[a1]]=1,IF(SUM(C828:C829)=0,0,IF(SUM(C827:C828)=1,1,IF(SUM(C827:C829)&gt;1,D827+1,0))),"")</f>
        <v/>
      </c>
      <c r="E828" s="113" t="str">
        <f>IF(Tab.o1[[#This Row],[a1]]=1,[1]!T.in.A[[#This Row],[oo1]],"")</f>
        <v/>
      </c>
      <c r="F828" s="113" t="str">
        <f>IF(Tab.o1[[#This Row],[a1]]=1,[1]!T.in.A[[#This Row],[pp1]],"")</f>
        <v/>
      </c>
      <c r="G828" s="114" t="str">
        <f>IF(Tab.o1[[#This Row],[a1]]=1,G$2+IF(G$1=1,0,Tab.o1[[#This Row],[.x1]])+[1]!T.in.A[[#This Row],[oo3]],"")</f>
        <v/>
      </c>
      <c r="H828" s="115" t="str">
        <f>IF(Tab.o1[[#This Row],[a1]]=1,IF(H$2=0,0,IF(G$1=1,0,Tab.o1[[#This Row],[.x1]])+[1]!T.in.A[[#This Row],[oo4]]),"")</f>
        <v/>
      </c>
      <c r="I828" s="116" t="str">
        <f>IF(Tab.o1[[#This Row],[a1]]=1,IF(J$2=0,Tab.o1[[#This Row],[MED]],Tab.o1[[#This Row],[MOD]]),"")</f>
        <v/>
      </c>
      <c r="J828" s="116" t="str">
        <f>IF(Tab.o1[[#This Row],[a1]]=1,((Tab.o1[[#This Row],[DIF_Target.]]-AVERAGE(Tab.o1[DIF_Target.]))/_xlfn.STDEV.P(Tab.o1[DIF_Target.])),"")</f>
        <v/>
      </c>
      <c r="K828" s="117" t="str">
        <f>IF(Tab.o1[[#This Row],[a1]]=1,IF(J$2=0,Tab.o1[[#This Row],[MOD]]-Tab.o1[[#This Row],[B]],IF(J$2=1,0,-Tab.o1[[#This Row],[MED]])+Tab.o1[[#This Row],[B]]),"")</f>
        <v/>
      </c>
      <c r="L828" s="117" t="str">
        <f ca="1">IF(Tab.o1[[#This Row],[DIF_Target]]=0,IF(L$2=0,Tab.o1[[#This Row],[DIF_Target]],AVERAGE(OFFSET(Tab.o1[[#This Row],[DIF_Target]],1,0,L$3,1)))/3,Tab.o1[[#This Row],[DIF_Target]])</f>
        <v/>
      </c>
      <c r="M828" s="118" t="str">
        <f>IF(Tab.o1[[#This Row],[a1]]=1,NORMSDIST(Tab.o1[[#This Row],[Za]]),"")</f>
        <v/>
      </c>
      <c r="N828" s="119" t="str">
        <f>IF(Tab.o1[[#This Row],[a1]]=1,((Tab.o1[[#This Row],[MedMod]]-AVERAGE(Tab.o1[MedMod]))/_xlfn.STDEV.P(Tab.o1[MedMod])*H$1205)+G$1205,"")</f>
        <v/>
      </c>
      <c r="O828" s="141" t="str">
        <f>IF(Tab.o1[[#This Row],[a1]]=1,Tab.o1[[#This Row],[Zb]]*_xlfn.STDEV.P(Tab.o1[MedMod])+AVERAGE(Tab.o1[MedMod]),"")</f>
        <v/>
      </c>
      <c r="P828" s="117" t="str">
        <f ca="1">IF(Tab.o1[[#This Row],[B]]=0,AVERAGE(OFFSET(Tab.o1[[#This Row],[B]],1,0,L$3,1)),Tab.o1[[#This Row],[B]])</f>
        <v/>
      </c>
      <c r="Q828" s="121" t="str">
        <f>IF(Tab.o1[[#This Row],[a1]]=1,NORMSDIST(Tab.o1[[#This Row],[Zb]]),"")</f>
        <v/>
      </c>
      <c r="R828" s="122" t="str">
        <f>IF(Tab.o1[[#This Row],[a1]]=1,((Tab.o1[[#This Row],[MedMod]]-AVERAGE(Tab.o1[MedMod]))/_xlfn.STDEV.P(Tab.o1[MedMod])*H$1203)+G$1203,"")</f>
        <v/>
      </c>
      <c r="S828" s="122" t="str">
        <f>IF(Tab.o1[[#This Row],[a1]]=1,((Tab.o1[[#This Row],[MedMod]]-AVERAGE(Tab.o1[MedMod]))/_xlfn.STDEV.P(Tab.o1[MedMod])*H$1204)+G$1204,"")</f>
        <v/>
      </c>
      <c r="T828" s="123" t="str">
        <f>IF(Tab.o1[[#This Row],[a1]]=1,Tab.o1[[#This Row],[Z-]]*_xlfn.STDEV.P(Tab.o1[B])+AVERAGE(Tab.o1[B]),"")</f>
        <v/>
      </c>
      <c r="U828" s="123" t="str">
        <f>IF(Tab.o1[[#This Row],[a1]]=1,Tab.o1[[#This Row],[z+]]*_xlfn.STDEV.P(Tab.o1[B])+AVERAGE(Tab.o1[B]),"")</f>
        <v/>
      </c>
      <c r="V828" s="124" t="str">
        <f>IF(Tab.o1[[#This Row],[a1]]=1,ABS((ABS(Tab.o1[[#This Row],[Red]]-Tab.o1[[#This Row],[Blue]]))),"")</f>
        <v/>
      </c>
      <c r="W828" s="125" t="str">
        <f>IF(Tab.o1[[#This Row],[a1]]=1,IF(W$3=0,1,Tab.o1[[#This Row],[Amp.]]*1/_xlfn.MINIFS(Tab.o1[Amp.],Tab.o1[Amp.],"&lt;&gt;0")),"")</f>
        <v/>
      </c>
      <c r="X828" s="126" t="str">
        <f>IF(Tab.o1[[#This Row],[a1]]=1,IF(ISNUMBER(Tab.o1[[#This Row],[i.]]),NORMDIST(Tab.o1[[#This Row],[Za]],0,1,FALSE)*Tab.o1[[#This Row],[i.]],AP$3),"")</f>
        <v/>
      </c>
      <c r="Y828" s="126" t="str">
        <f>IF(Tab.o1[[#This Row],[a1]]=1,0.01+0.94*Tab.o1[[#This Row],[PDF]]/MAX(Tab.o1[PDF]),"")</f>
        <v/>
      </c>
      <c r="Z828" s="126" t="str">
        <f>IF(Tab.o1[[#This Row],[a1]]=1,0.01+0.94*Tab.o1[[#This Row],[W1_PDF]]/MAX(Tab.o1[W1_PDF]),"")</f>
        <v/>
      </c>
      <c r="AA828" s="118" t="str">
        <f>IF(Tab.o1[[#This Row],[a1]]=1,ABS([1]!T.in.A[[#This Row],[oo6]]),"")</f>
        <v/>
      </c>
      <c r="AB828" s="127" t="str">
        <f>IF(Tab.o1[[#This Row],[a1]]=1,IF(AE$3=0,"",IF(AB$3=0,ABS([1]!T.in.A[[#This Row],[oo9]]),ABS(Tab.o1[[#This Row],[DIF_Target.]]*Tab.o1[[#This Row],[W1_PDF]]))),"")</f>
        <v/>
      </c>
      <c r="AC828" s="127" t="str">
        <f>IF(G$1=1,"",IF(Tab.o1[[#This Row],[a1]]=1,Tab.o1[[#This Row],[Wr]]^2,""))</f>
        <v/>
      </c>
      <c r="AD828" s="118" t="str">
        <f>IF(Tab.o1[[#This Row],[a1]]=1,IF(AE$3=0,"",Tab.o1[[#This Row],[Wr2]]/SUM(Tab.o1[Wr2])),"")</f>
        <v/>
      </c>
      <c r="AE828" s="128" t="str">
        <f>IF(Tab.o1[[#This Row],[a1]]=1,[1]!T.in.A[[#This Row],[oo10]],"")</f>
        <v/>
      </c>
      <c r="AF828" s="118" t="str">
        <f>IF(Tab.o1[[#This Row],[a1]]=1,ABS(Tab.o1[[#This Row],[DIF_Target.]]*Tab.o1[[#This Row],[PDF2]]*Tab.o1[[#This Row],[IN]]),"")</f>
        <v/>
      </c>
      <c r="AG828" s="129" t="str">
        <f>IF(Tab.o1[[#This Row],[a1]]=1,Tab.o1[[#This Row],[rW]]^2,"")</f>
        <v/>
      </c>
      <c r="AH828" s="130" t="str">
        <f>IF(Tab.o1[[#This Row],[a1]]=1,IF(AH$3=0,Tab.o1[[#This Row],[rW2]],0.01+0.94*Tab.o1[[#This Row],[rW2]]/SUM(Tab.o1[rW2])),"")</f>
        <v/>
      </c>
      <c r="AI828" s="128" t="str">
        <f>IF(Tab.o1[[#This Row],[a1]]=1,1/Tab.o1[[#This Row],[PDF]],"")</f>
        <v/>
      </c>
      <c r="AJ828" s="131" t="str">
        <f>IF(Tab.o1[[#This Row],[a1]]=1,[1]!T_AA[[#This Row],[IN'']]*[1]!T_AA[[#This Row],[Qde'']],"")</f>
        <v/>
      </c>
      <c r="AK828" s="132" t="str">
        <f>IF(Tab.o1[[#This Row],[a1]]=1,IF(AK$1=1,Tab.o1[[#This Row],[MED]]+Tab.o1[[#This Row],[MOD]]-Tab.o1[[#This Row],[MED]],""),"")</f>
        <v/>
      </c>
      <c r="AL828" s="133" t="str">
        <f>IF(Tab.o1[[#This Row],[a1]]=1,[1]!T.in.A[[#This Row],[oo16]],"")</f>
        <v/>
      </c>
      <c r="AM828" s="133" t="str">
        <f>IF(Tab.o1[[#This Row],[a1]]=1,IF(AM$3=1,[1]!T.in.A[[#This Row],[Σo16]],""),"")</f>
        <v/>
      </c>
      <c r="AN828" s="126" t="str">
        <f>IF(Tab.o1[[#This Row],[a1]]=1,[1]!T.in.A[[#This Row],[Σp5]],"")</f>
        <v/>
      </c>
      <c r="AO828" s="126" t="str">
        <f>IF(Tab.o1[[#This Row],[a1]]=1,IF(AO$3=1,[1]!T.in.A[[#This Row],[Σp5]],""),"")</f>
        <v/>
      </c>
      <c r="AP828" s="110" t="str">
        <f>IF(Tab.o1[[#This Row],[a1]]=1,IF(ISNUMBER(Tab.o1[[#This Row],[i.]]),NORMDIST(Tab.o1[[#This Row],[Za]],0,1,FALSE)*Tab.o1[[#This Row],[i.]],0),"")</f>
        <v/>
      </c>
      <c r="AQ828" s="125" t="str">
        <f>IF(Tab.o1[[#This Row],[a1]]=1,ABS(Tab.o1[[#This Row],[MOD]]-AVERAGE(Tab.o1[MOD])),"")</f>
        <v/>
      </c>
      <c r="AR828" s="134" t="str">
        <f>IF(Tab.o1[[#This Row],[a1]]=1,Tab.o1[[#This Row],[OBS]]/SUM(Tab.o1[OBS]),"")</f>
        <v/>
      </c>
      <c r="AS828" s="135" t="str">
        <f>IF(ISNUMBER(Tab.o1[[#This Row],[a1]]),ROW()-4,"")</f>
        <v/>
      </c>
      <c r="AT828" s="136" t="str">
        <f>Tab.o1[[#This Row],[MOD]]</f>
        <v/>
      </c>
      <c r="AU828" s="137" t="str">
        <f t="shared" si="49"/>
        <v/>
      </c>
      <c r="AV828" s="138" t="str">
        <f t="shared" si="50"/>
        <v/>
      </c>
      <c r="AW828" s="138" t="str">
        <f t="shared" si="51"/>
        <v/>
      </c>
      <c r="AX828" s="139" t="str">
        <f>[1]!T.in.A[[#This Row],[ID_T_manu]]</f>
        <v/>
      </c>
      <c r="AY828" s="140" t="str">
        <f>IF(ISNUMBER(Tab.o1[[#This Row],[a1]]),IF(AND(Tab.o1[[#This Row],[a1]]=1,Tab.o1[[#This Row],[b1]]&lt;=AY$4),#REF!,AY827),"")</f>
        <v/>
      </c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6"/>
      <c r="BO828" s="26"/>
      <c r="BP828" s="26"/>
      <c r="BQ828" s="26"/>
      <c r="BR828" s="26"/>
      <c r="BS828" s="26"/>
      <c r="BT828" s="26"/>
      <c r="BU828" s="26"/>
      <c r="BV828" s="26"/>
      <c r="BW828" s="26"/>
      <c r="BX828" s="26"/>
      <c r="BY828" s="26"/>
      <c r="BZ828" s="26"/>
      <c r="CA828" s="26"/>
    </row>
    <row r="829" spans="1:79" s="143" customFormat="1" ht="15.75" hidden="1">
      <c r="A829" s="109">
        <v>-5.9999999999999993E-6</v>
      </c>
      <c r="B829" s="110">
        <f t="shared" si="48"/>
        <v>829</v>
      </c>
      <c r="C829" s="111" t="str">
        <f>IF(C$1=[1]!T.in.A[[#This Row],[oo2]],1,"")</f>
        <v/>
      </c>
      <c r="D829" s="112" t="str">
        <f>IF(Tab.o1[[#This Row],[a1]]=1,IF(SUM(C829:C830)=0,0,IF(SUM(C828:C829)=1,1,IF(SUM(C828:C830)&gt;1,D828+1,0))),"")</f>
        <v/>
      </c>
      <c r="E829" s="113" t="str">
        <f>IF(Tab.o1[[#This Row],[a1]]=1,[1]!T.in.A[[#This Row],[oo1]],"")</f>
        <v/>
      </c>
      <c r="F829" s="113" t="str">
        <f>IF(Tab.o1[[#This Row],[a1]]=1,[1]!T.in.A[[#This Row],[pp1]],"")</f>
        <v/>
      </c>
      <c r="G829" s="114" t="str">
        <f>IF(Tab.o1[[#This Row],[a1]]=1,G$2+IF(G$1=1,0,Tab.o1[[#This Row],[.x1]])+[1]!T.in.A[[#This Row],[oo3]],"")</f>
        <v/>
      </c>
      <c r="H829" s="115" t="str">
        <f>IF(Tab.o1[[#This Row],[a1]]=1,IF(H$2=0,0,IF(G$1=1,0,Tab.o1[[#This Row],[.x1]])+[1]!T.in.A[[#This Row],[oo4]]),"")</f>
        <v/>
      </c>
      <c r="I829" s="116" t="str">
        <f>IF(Tab.o1[[#This Row],[a1]]=1,IF(J$2=0,Tab.o1[[#This Row],[MED]],Tab.o1[[#This Row],[MOD]]),"")</f>
        <v/>
      </c>
      <c r="J829" s="116" t="str">
        <f>IF(Tab.o1[[#This Row],[a1]]=1,((Tab.o1[[#This Row],[DIF_Target.]]-AVERAGE(Tab.o1[DIF_Target.]))/_xlfn.STDEV.P(Tab.o1[DIF_Target.])),"")</f>
        <v/>
      </c>
      <c r="K829" s="117" t="str">
        <f>IF(Tab.o1[[#This Row],[a1]]=1,IF(J$2=0,Tab.o1[[#This Row],[MOD]]-Tab.o1[[#This Row],[B]],IF(J$2=1,0,-Tab.o1[[#This Row],[MED]])+Tab.o1[[#This Row],[B]]),"")</f>
        <v/>
      </c>
      <c r="L829" s="117" t="str">
        <f ca="1">IF(Tab.o1[[#This Row],[DIF_Target]]=0,IF(L$2=0,Tab.o1[[#This Row],[DIF_Target]],AVERAGE(OFFSET(Tab.o1[[#This Row],[DIF_Target]],1,0,L$3,1)))/3,Tab.o1[[#This Row],[DIF_Target]])</f>
        <v/>
      </c>
      <c r="M829" s="118" t="str">
        <f>IF(Tab.o1[[#This Row],[a1]]=1,NORMSDIST(Tab.o1[[#This Row],[Za]]),"")</f>
        <v/>
      </c>
      <c r="N829" s="119" t="str">
        <f>IF(Tab.o1[[#This Row],[a1]]=1,((Tab.o1[[#This Row],[MedMod]]-AVERAGE(Tab.o1[MedMod]))/_xlfn.STDEV.P(Tab.o1[MedMod])*H$1205)+G$1205,"")</f>
        <v/>
      </c>
      <c r="O829" s="141" t="str">
        <f>IF(Tab.o1[[#This Row],[a1]]=1,Tab.o1[[#This Row],[Zb]]*_xlfn.STDEV.P(Tab.o1[MedMod])+AVERAGE(Tab.o1[MedMod]),"")</f>
        <v/>
      </c>
      <c r="P829" s="117" t="str">
        <f ca="1">IF(Tab.o1[[#This Row],[B]]=0,AVERAGE(OFFSET(Tab.o1[[#This Row],[B]],1,0,L$3,1)),Tab.o1[[#This Row],[B]])</f>
        <v/>
      </c>
      <c r="Q829" s="121" t="str">
        <f>IF(Tab.o1[[#This Row],[a1]]=1,NORMSDIST(Tab.o1[[#This Row],[Zb]]),"")</f>
        <v/>
      </c>
      <c r="R829" s="122" t="str">
        <f>IF(Tab.o1[[#This Row],[a1]]=1,((Tab.o1[[#This Row],[MedMod]]-AVERAGE(Tab.o1[MedMod]))/_xlfn.STDEV.P(Tab.o1[MedMod])*H$1203)+G$1203,"")</f>
        <v/>
      </c>
      <c r="S829" s="122" t="str">
        <f>IF(Tab.o1[[#This Row],[a1]]=1,((Tab.o1[[#This Row],[MedMod]]-AVERAGE(Tab.o1[MedMod]))/_xlfn.STDEV.P(Tab.o1[MedMod])*H$1204)+G$1204,"")</f>
        <v/>
      </c>
      <c r="T829" s="123" t="str">
        <f>IF(Tab.o1[[#This Row],[a1]]=1,Tab.o1[[#This Row],[Z-]]*_xlfn.STDEV.P(Tab.o1[B])+AVERAGE(Tab.o1[B]),"")</f>
        <v/>
      </c>
      <c r="U829" s="123" t="str">
        <f>IF(Tab.o1[[#This Row],[a1]]=1,Tab.o1[[#This Row],[z+]]*_xlfn.STDEV.P(Tab.o1[B])+AVERAGE(Tab.o1[B]),"")</f>
        <v/>
      </c>
      <c r="V829" s="124" t="str">
        <f>IF(Tab.o1[[#This Row],[a1]]=1,ABS((ABS(Tab.o1[[#This Row],[Red]]-Tab.o1[[#This Row],[Blue]]))),"")</f>
        <v/>
      </c>
      <c r="W829" s="125" t="str">
        <f>IF(Tab.o1[[#This Row],[a1]]=1,IF(W$3=0,1,Tab.o1[[#This Row],[Amp.]]*1/_xlfn.MINIFS(Tab.o1[Amp.],Tab.o1[Amp.],"&lt;&gt;0")),"")</f>
        <v/>
      </c>
      <c r="X829" s="126" t="str">
        <f>IF(Tab.o1[[#This Row],[a1]]=1,IF(ISNUMBER(Tab.o1[[#This Row],[i.]]),NORMDIST(Tab.o1[[#This Row],[Za]],0,1,FALSE)*Tab.o1[[#This Row],[i.]],AP$3),"")</f>
        <v/>
      </c>
      <c r="Y829" s="126" t="str">
        <f>IF(Tab.o1[[#This Row],[a1]]=1,0.01+0.94*Tab.o1[[#This Row],[PDF]]/MAX(Tab.o1[PDF]),"")</f>
        <v/>
      </c>
      <c r="Z829" s="126" t="str">
        <f>IF(Tab.o1[[#This Row],[a1]]=1,0.01+0.94*Tab.o1[[#This Row],[W1_PDF]]/MAX(Tab.o1[W1_PDF]),"")</f>
        <v/>
      </c>
      <c r="AA829" s="118" t="str">
        <f>IF(Tab.o1[[#This Row],[a1]]=1,ABS([1]!T.in.A[[#This Row],[oo6]]),"")</f>
        <v/>
      </c>
      <c r="AB829" s="127" t="str">
        <f>IF(Tab.o1[[#This Row],[a1]]=1,IF(AE$3=0,"",IF(AB$3=0,ABS([1]!T.in.A[[#This Row],[oo9]]),ABS(Tab.o1[[#This Row],[DIF_Target.]]*Tab.o1[[#This Row],[W1_PDF]]))),"")</f>
        <v/>
      </c>
      <c r="AC829" s="127" t="str">
        <f>IF(G$1=1,"",IF(Tab.o1[[#This Row],[a1]]=1,Tab.o1[[#This Row],[Wr]]^2,""))</f>
        <v/>
      </c>
      <c r="AD829" s="118" t="str">
        <f>IF(Tab.o1[[#This Row],[a1]]=1,IF(AE$3=0,"",Tab.o1[[#This Row],[Wr2]]/SUM(Tab.o1[Wr2])),"")</f>
        <v/>
      </c>
      <c r="AE829" s="128" t="str">
        <f>IF(Tab.o1[[#This Row],[a1]]=1,[1]!T.in.A[[#This Row],[oo10]],"")</f>
        <v/>
      </c>
      <c r="AF829" s="118" t="str">
        <f>IF(Tab.o1[[#This Row],[a1]]=1,ABS(Tab.o1[[#This Row],[DIF_Target.]]*Tab.o1[[#This Row],[PDF2]]*Tab.o1[[#This Row],[IN]]),"")</f>
        <v/>
      </c>
      <c r="AG829" s="129" t="str">
        <f>IF(Tab.o1[[#This Row],[a1]]=1,Tab.o1[[#This Row],[rW]]^2,"")</f>
        <v/>
      </c>
      <c r="AH829" s="130" t="str">
        <f>IF(Tab.o1[[#This Row],[a1]]=1,IF(AH$3=0,Tab.o1[[#This Row],[rW2]],0.01+0.94*Tab.o1[[#This Row],[rW2]]/SUM(Tab.o1[rW2])),"")</f>
        <v/>
      </c>
      <c r="AI829" s="128" t="str">
        <f>IF(Tab.o1[[#This Row],[a1]]=1,1/Tab.o1[[#This Row],[PDF]],"")</f>
        <v/>
      </c>
      <c r="AJ829" s="131" t="str">
        <f>IF(Tab.o1[[#This Row],[a1]]=1,[1]!T_AA[[#This Row],[IN'']]*[1]!T_AA[[#This Row],[Qde'']],"")</f>
        <v/>
      </c>
      <c r="AK829" s="132" t="str">
        <f>IF(Tab.o1[[#This Row],[a1]]=1,IF(AK$1=1,Tab.o1[[#This Row],[MED]]+Tab.o1[[#This Row],[MOD]]-Tab.o1[[#This Row],[MED]],""),"")</f>
        <v/>
      </c>
      <c r="AL829" s="133" t="str">
        <f>IF(Tab.o1[[#This Row],[a1]]=1,[1]!T.in.A[[#This Row],[oo16]],"")</f>
        <v/>
      </c>
      <c r="AM829" s="133" t="str">
        <f>IF(Tab.o1[[#This Row],[a1]]=1,IF(AM$3=1,[1]!T.in.A[[#This Row],[Σo16]],""),"")</f>
        <v/>
      </c>
      <c r="AN829" s="126" t="str">
        <f>IF(Tab.o1[[#This Row],[a1]]=1,[1]!T.in.A[[#This Row],[Σp5]],"")</f>
        <v/>
      </c>
      <c r="AO829" s="126" t="str">
        <f>IF(Tab.o1[[#This Row],[a1]]=1,IF(AO$3=1,[1]!T.in.A[[#This Row],[Σp5]],""),"")</f>
        <v/>
      </c>
      <c r="AP829" s="110" t="str">
        <f>IF(Tab.o1[[#This Row],[a1]]=1,IF(ISNUMBER(Tab.o1[[#This Row],[i.]]),NORMDIST(Tab.o1[[#This Row],[Za]],0,1,FALSE)*Tab.o1[[#This Row],[i.]],0),"")</f>
        <v/>
      </c>
      <c r="AQ829" s="125" t="str">
        <f>IF(Tab.o1[[#This Row],[a1]]=1,ABS(Tab.o1[[#This Row],[MOD]]-AVERAGE(Tab.o1[MOD])),"")</f>
        <v/>
      </c>
      <c r="AR829" s="134" t="str">
        <f>IF(Tab.o1[[#This Row],[a1]]=1,Tab.o1[[#This Row],[OBS]]/SUM(Tab.o1[OBS]),"")</f>
        <v/>
      </c>
      <c r="AS829" s="135" t="str">
        <f>IF(ISNUMBER(Tab.o1[[#This Row],[a1]]),ROW()-4,"")</f>
        <v/>
      </c>
      <c r="AT829" s="136" t="str">
        <f>Tab.o1[[#This Row],[MOD]]</f>
        <v/>
      </c>
      <c r="AU829" s="137" t="str">
        <f t="shared" si="49"/>
        <v/>
      </c>
      <c r="AV829" s="138" t="str">
        <f t="shared" si="50"/>
        <v/>
      </c>
      <c r="AW829" s="138" t="str">
        <f t="shared" si="51"/>
        <v/>
      </c>
      <c r="AX829" s="139" t="str">
        <f>[1]!T.in.A[[#This Row],[ID_T_manu]]</f>
        <v/>
      </c>
      <c r="AY829" s="140" t="str">
        <f>IF(ISNUMBER(Tab.o1[[#This Row],[a1]]),IF(AND(Tab.o1[[#This Row],[a1]]=1,Tab.o1[[#This Row],[b1]]&lt;=AY$4),#REF!,AY828),"")</f>
        <v/>
      </c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6"/>
      <c r="BO829" s="26"/>
      <c r="BP829" s="26"/>
      <c r="BQ829" s="26"/>
      <c r="BR829" s="26"/>
      <c r="BS829" s="26"/>
      <c r="BT829" s="26"/>
      <c r="BU829" s="26"/>
      <c r="BV829" s="26"/>
      <c r="BW829" s="26"/>
      <c r="BX829" s="26"/>
      <c r="BY829" s="26"/>
      <c r="BZ829" s="26"/>
      <c r="CA829" s="26"/>
    </row>
    <row r="830" spans="1:79" s="143" customFormat="1" ht="15.75" hidden="1">
      <c r="A830" s="109">
        <v>-2.9999999999999997E-6</v>
      </c>
      <c r="B830" s="110">
        <f t="shared" si="48"/>
        <v>830</v>
      </c>
      <c r="C830" s="111" t="str">
        <f>IF(C$1=[1]!T.in.A[[#This Row],[oo2]],1,"")</f>
        <v/>
      </c>
      <c r="D830" s="112" t="str">
        <f>IF(Tab.o1[[#This Row],[a1]]=1,IF(SUM(C830:C831)=0,0,IF(SUM(C829:C830)=1,1,IF(SUM(C829:C831)&gt;1,D829+1,0))),"")</f>
        <v/>
      </c>
      <c r="E830" s="113" t="str">
        <f>IF(Tab.o1[[#This Row],[a1]]=1,[1]!T.in.A[[#This Row],[oo1]],"")</f>
        <v/>
      </c>
      <c r="F830" s="113" t="str">
        <f>IF(Tab.o1[[#This Row],[a1]]=1,[1]!T.in.A[[#This Row],[pp1]],"")</f>
        <v/>
      </c>
      <c r="G830" s="114" t="str">
        <f>IF(Tab.o1[[#This Row],[a1]]=1,G$2+IF(G$1=1,0,Tab.o1[[#This Row],[.x1]])+[1]!T.in.A[[#This Row],[oo3]],"")</f>
        <v/>
      </c>
      <c r="H830" s="115" t="str">
        <f>IF(Tab.o1[[#This Row],[a1]]=1,IF(H$2=0,0,IF(G$1=1,0,Tab.o1[[#This Row],[.x1]])+[1]!T.in.A[[#This Row],[oo4]]),"")</f>
        <v/>
      </c>
      <c r="I830" s="116" t="str">
        <f>IF(Tab.o1[[#This Row],[a1]]=1,IF(J$2=0,Tab.o1[[#This Row],[MED]],Tab.o1[[#This Row],[MOD]]),"")</f>
        <v/>
      </c>
      <c r="J830" s="116" t="str">
        <f>IF(Tab.o1[[#This Row],[a1]]=1,((Tab.o1[[#This Row],[DIF_Target.]]-AVERAGE(Tab.o1[DIF_Target.]))/_xlfn.STDEV.P(Tab.o1[DIF_Target.])),"")</f>
        <v/>
      </c>
      <c r="K830" s="117" t="str">
        <f>IF(Tab.o1[[#This Row],[a1]]=1,IF(J$2=0,Tab.o1[[#This Row],[MOD]]-Tab.o1[[#This Row],[B]],IF(J$2=1,0,-Tab.o1[[#This Row],[MED]])+Tab.o1[[#This Row],[B]]),"")</f>
        <v/>
      </c>
      <c r="L830" s="117" t="str">
        <f ca="1">IF(Tab.o1[[#This Row],[DIF_Target]]=0,IF(L$2=0,Tab.o1[[#This Row],[DIF_Target]],AVERAGE(OFFSET(Tab.o1[[#This Row],[DIF_Target]],1,0,L$3,1)))/3,Tab.o1[[#This Row],[DIF_Target]])</f>
        <v/>
      </c>
      <c r="M830" s="118" t="str">
        <f>IF(Tab.o1[[#This Row],[a1]]=1,NORMSDIST(Tab.o1[[#This Row],[Za]]),"")</f>
        <v/>
      </c>
      <c r="N830" s="119" t="str">
        <f>IF(Tab.o1[[#This Row],[a1]]=1,((Tab.o1[[#This Row],[MedMod]]-AVERAGE(Tab.o1[MedMod]))/_xlfn.STDEV.P(Tab.o1[MedMod])*H$1205)+G$1205,"")</f>
        <v/>
      </c>
      <c r="O830" s="141" t="str">
        <f>IF(Tab.o1[[#This Row],[a1]]=1,Tab.o1[[#This Row],[Zb]]*_xlfn.STDEV.P(Tab.o1[MedMod])+AVERAGE(Tab.o1[MedMod]),"")</f>
        <v/>
      </c>
      <c r="P830" s="117" t="str">
        <f ca="1">IF(Tab.o1[[#This Row],[B]]=0,AVERAGE(OFFSET(Tab.o1[[#This Row],[B]],1,0,L$3,1)),Tab.o1[[#This Row],[B]])</f>
        <v/>
      </c>
      <c r="Q830" s="121" t="str">
        <f>IF(Tab.o1[[#This Row],[a1]]=1,NORMSDIST(Tab.o1[[#This Row],[Zb]]),"")</f>
        <v/>
      </c>
      <c r="R830" s="122" t="str">
        <f>IF(Tab.o1[[#This Row],[a1]]=1,((Tab.o1[[#This Row],[MedMod]]-AVERAGE(Tab.o1[MedMod]))/_xlfn.STDEV.P(Tab.o1[MedMod])*H$1203)+G$1203,"")</f>
        <v/>
      </c>
      <c r="S830" s="122" t="str">
        <f>IF(Tab.o1[[#This Row],[a1]]=1,((Tab.o1[[#This Row],[MedMod]]-AVERAGE(Tab.o1[MedMod]))/_xlfn.STDEV.P(Tab.o1[MedMod])*H$1204)+G$1204,"")</f>
        <v/>
      </c>
      <c r="T830" s="123" t="str">
        <f>IF(Tab.o1[[#This Row],[a1]]=1,Tab.o1[[#This Row],[Z-]]*_xlfn.STDEV.P(Tab.o1[B])+AVERAGE(Tab.o1[B]),"")</f>
        <v/>
      </c>
      <c r="U830" s="123" t="str">
        <f>IF(Tab.o1[[#This Row],[a1]]=1,Tab.o1[[#This Row],[z+]]*_xlfn.STDEV.P(Tab.o1[B])+AVERAGE(Tab.o1[B]),"")</f>
        <v/>
      </c>
      <c r="V830" s="124" t="str">
        <f>IF(Tab.o1[[#This Row],[a1]]=1,ABS((ABS(Tab.o1[[#This Row],[Red]]-Tab.o1[[#This Row],[Blue]]))),"")</f>
        <v/>
      </c>
      <c r="W830" s="125" t="str">
        <f>IF(Tab.o1[[#This Row],[a1]]=1,IF(W$3=0,1,Tab.o1[[#This Row],[Amp.]]*1/_xlfn.MINIFS(Tab.o1[Amp.],Tab.o1[Amp.],"&lt;&gt;0")),"")</f>
        <v/>
      </c>
      <c r="X830" s="126" t="str">
        <f>IF(Tab.o1[[#This Row],[a1]]=1,IF(ISNUMBER(Tab.o1[[#This Row],[i.]]),NORMDIST(Tab.o1[[#This Row],[Za]],0,1,FALSE)*Tab.o1[[#This Row],[i.]],AP$3),"")</f>
        <v/>
      </c>
      <c r="Y830" s="126" t="str">
        <f>IF(Tab.o1[[#This Row],[a1]]=1,0.01+0.94*Tab.o1[[#This Row],[PDF]]/MAX(Tab.o1[PDF]),"")</f>
        <v/>
      </c>
      <c r="Z830" s="126" t="str">
        <f>IF(Tab.o1[[#This Row],[a1]]=1,0.01+0.94*Tab.o1[[#This Row],[W1_PDF]]/MAX(Tab.o1[W1_PDF]),"")</f>
        <v/>
      </c>
      <c r="AA830" s="118" t="str">
        <f>IF(Tab.o1[[#This Row],[a1]]=1,ABS([1]!T.in.A[[#This Row],[oo6]]),"")</f>
        <v/>
      </c>
      <c r="AB830" s="127" t="str">
        <f>IF(Tab.o1[[#This Row],[a1]]=1,IF(AE$3=0,"",IF(AB$3=0,ABS([1]!T.in.A[[#This Row],[oo9]]),ABS(Tab.o1[[#This Row],[DIF_Target.]]*Tab.o1[[#This Row],[W1_PDF]]))),"")</f>
        <v/>
      </c>
      <c r="AC830" s="127" t="str">
        <f>IF(G$1=1,"",IF(Tab.o1[[#This Row],[a1]]=1,Tab.o1[[#This Row],[Wr]]^2,""))</f>
        <v/>
      </c>
      <c r="AD830" s="118" t="str">
        <f>IF(Tab.o1[[#This Row],[a1]]=1,IF(AE$3=0,"",Tab.o1[[#This Row],[Wr2]]/SUM(Tab.o1[Wr2])),"")</f>
        <v/>
      </c>
      <c r="AE830" s="128" t="str">
        <f>IF(Tab.o1[[#This Row],[a1]]=1,[1]!T.in.A[[#This Row],[oo10]],"")</f>
        <v/>
      </c>
      <c r="AF830" s="118" t="str">
        <f>IF(Tab.o1[[#This Row],[a1]]=1,ABS(Tab.o1[[#This Row],[DIF_Target.]]*Tab.o1[[#This Row],[PDF2]]*Tab.o1[[#This Row],[IN]]),"")</f>
        <v/>
      </c>
      <c r="AG830" s="129" t="str">
        <f>IF(Tab.o1[[#This Row],[a1]]=1,Tab.o1[[#This Row],[rW]]^2,"")</f>
        <v/>
      </c>
      <c r="AH830" s="130" t="str">
        <f>IF(Tab.o1[[#This Row],[a1]]=1,IF(AH$3=0,Tab.o1[[#This Row],[rW2]],0.01+0.94*Tab.o1[[#This Row],[rW2]]/SUM(Tab.o1[rW2])),"")</f>
        <v/>
      </c>
      <c r="AI830" s="128" t="str">
        <f>IF(Tab.o1[[#This Row],[a1]]=1,1/Tab.o1[[#This Row],[PDF]],"")</f>
        <v/>
      </c>
      <c r="AJ830" s="131" t="str">
        <f>IF(Tab.o1[[#This Row],[a1]]=1,[1]!T_AA[[#This Row],[IN'']]*[1]!T_AA[[#This Row],[Qde'']],"")</f>
        <v/>
      </c>
      <c r="AK830" s="132" t="str">
        <f>IF(Tab.o1[[#This Row],[a1]]=1,IF(AK$1=1,Tab.o1[[#This Row],[MED]]+Tab.o1[[#This Row],[MOD]]-Tab.o1[[#This Row],[MED]],""),"")</f>
        <v/>
      </c>
      <c r="AL830" s="133" t="str">
        <f>IF(Tab.o1[[#This Row],[a1]]=1,[1]!T.in.A[[#This Row],[oo16]],"")</f>
        <v/>
      </c>
      <c r="AM830" s="133" t="str">
        <f>IF(Tab.o1[[#This Row],[a1]]=1,IF(AM$3=1,[1]!T.in.A[[#This Row],[Σo16]],""),"")</f>
        <v/>
      </c>
      <c r="AN830" s="126" t="str">
        <f>IF(Tab.o1[[#This Row],[a1]]=1,[1]!T.in.A[[#This Row],[Σp5]],"")</f>
        <v/>
      </c>
      <c r="AO830" s="126" t="str">
        <f>IF(Tab.o1[[#This Row],[a1]]=1,IF(AO$3=1,[1]!T.in.A[[#This Row],[Σp5]],""),"")</f>
        <v/>
      </c>
      <c r="AP830" s="110" t="str">
        <f>IF(Tab.o1[[#This Row],[a1]]=1,IF(ISNUMBER(Tab.o1[[#This Row],[i.]]),NORMDIST(Tab.o1[[#This Row],[Za]],0,1,FALSE)*Tab.o1[[#This Row],[i.]],0),"")</f>
        <v/>
      </c>
      <c r="AQ830" s="125" t="str">
        <f>IF(Tab.o1[[#This Row],[a1]]=1,ABS(Tab.o1[[#This Row],[MOD]]-AVERAGE(Tab.o1[MOD])),"")</f>
        <v/>
      </c>
      <c r="AR830" s="134" t="str">
        <f>IF(Tab.o1[[#This Row],[a1]]=1,Tab.o1[[#This Row],[OBS]]/SUM(Tab.o1[OBS]),"")</f>
        <v/>
      </c>
      <c r="AS830" s="135" t="str">
        <f>IF(ISNUMBER(Tab.o1[[#This Row],[a1]]),ROW()-4,"")</f>
        <v/>
      </c>
      <c r="AT830" s="136" t="str">
        <f>Tab.o1[[#This Row],[MOD]]</f>
        <v/>
      </c>
      <c r="AU830" s="137" t="str">
        <f t="shared" si="49"/>
        <v/>
      </c>
      <c r="AV830" s="138" t="str">
        <f t="shared" si="50"/>
        <v/>
      </c>
      <c r="AW830" s="138" t="str">
        <f t="shared" si="51"/>
        <v/>
      </c>
      <c r="AX830" s="139" t="str">
        <f>[1]!T.in.A[[#This Row],[ID_T_manu]]</f>
        <v/>
      </c>
      <c r="AY830" s="140" t="str">
        <f>IF(ISNUMBER(Tab.o1[[#This Row],[a1]]),IF(AND(Tab.o1[[#This Row],[a1]]=1,Tab.o1[[#This Row],[b1]]&lt;=AY$4),#REF!,AY829),"")</f>
        <v/>
      </c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6"/>
      <c r="BO830" s="26"/>
      <c r="BP830" s="26"/>
      <c r="BQ830" s="26"/>
      <c r="BR830" s="26"/>
      <c r="BS830" s="26"/>
      <c r="BT830" s="26"/>
      <c r="BU830" s="26"/>
      <c r="BV830" s="26"/>
      <c r="BW830" s="26"/>
      <c r="BX830" s="26"/>
      <c r="BY830" s="26"/>
      <c r="BZ830" s="26"/>
      <c r="CA830" s="26"/>
    </row>
    <row r="831" spans="1:79" s="143" customFormat="1" ht="15.75" hidden="1">
      <c r="A831" s="109">
        <v>8.0000000000000013E-6</v>
      </c>
      <c r="B831" s="110">
        <f t="shared" si="48"/>
        <v>831</v>
      </c>
      <c r="C831" s="111" t="str">
        <f>IF(C$1=[1]!T.in.A[[#This Row],[oo2]],1,"")</f>
        <v/>
      </c>
      <c r="D831" s="112" t="str">
        <f>IF(Tab.o1[[#This Row],[a1]]=1,IF(SUM(C831:C832)=0,0,IF(SUM(C830:C831)=1,1,IF(SUM(C830:C832)&gt;1,D830+1,0))),"")</f>
        <v/>
      </c>
      <c r="E831" s="113" t="str">
        <f>IF(Tab.o1[[#This Row],[a1]]=1,[1]!T.in.A[[#This Row],[oo1]],"")</f>
        <v/>
      </c>
      <c r="F831" s="113" t="str">
        <f>IF(Tab.o1[[#This Row],[a1]]=1,[1]!T.in.A[[#This Row],[pp1]],"")</f>
        <v/>
      </c>
      <c r="G831" s="114" t="str">
        <f>IF(Tab.o1[[#This Row],[a1]]=1,G$2+IF(G$1=1,0,Tab.o1[[#This Row],[.x1]])+[1]!T.in.A[[#This Row],[oo3]],"")</f>
        <v/>
      </c>
      <c r="H831" s="115" t="str">
        <f>IF(Tab.o1[[#This Row],[a1]]=1,IF(H$2=0,0,IF(G$1=1,0,Tab.o1[[#This Row],[.x1]])+[1]!T.in.A[[#This Row],[oo4]]),"")</f>
        <v/>
      </c>
      <c r="I831" s="116" t="str">
        <f>IF(Tab.o1[[#This Row],[a1]]=1,IF(J$2=0,Tab.o1[[#This Row],[MED]],Tab.o1[[#This Row],[MOD]]),"")</f>
        <v/>
      </c>
      <c r="J831" s="116" t="str">
        <f>IF(Tab.o1[[#This Row],[a1]]=1,((Tab.o1[[#This Row],[DIF_Target.]]-AVERAGE(Tab.o1[DIF_Target.]))/_xlfn.STDEV.P(Tab.o1[DIF_Target.])),"")</f>
        <v/>
      </c>
      <c r="K831" s="117" t="str">
        <f>IF(Tab.o1[[#This Row],[a1]]=1,IF(J$2=0,Tab.o1[[#This Row],[MOD]]-Tab.o1[[#This Row],[B]],IF(J$2=1,0,-Tab.o1[[#This Row],[MED]])+Tab.o1[[#This Row],[B]]),"")</f>
        <v/>
      </c>
      <c r="L831" s="117" t="str">
        <f ca="1">IF(Tab.o1[[#This Row],[DIF_Target]]=0,IF(L$2=0,Tab.o1[[#This Row],[DIF_Target]],AVERAGE(OFFSET(Tab.o1[[#This Row],[DIF_Target]],1,0,L$3,1)))/3,Tab.o1[[#This Row],[DIF_Target]])</f>
        <v/>
      </c>
      <c r="M831" s="118" t="str">
        <f>IF(Tab.o1[[#This Row],[a1]]=1,NORMSDIST(Tab.o1[[#This Row],[Za]]),"")</f>
        <v/>
      </c>
      <c r="N831" s="119" t="str">
        <f>IF(Tab.o1[[#This Row],[a1]]=1,((Tab.o1[[#This Row],[MedMod]]-AVERAGE(Tab.o1[MedMod]))/_xlfn.STDEV.P(Tab.o1[MedMod])*H$1205)+G$1205,"")</f>
        <v/>
      </c>
      <c r="O831" s="141" t="str">
        <f>IF(Tab.o1[[#This Row],[a1]]=1,Tab.o1[[#This Row],[Zb]]*_xlfn.STDEV.P(Tab.o1[MedMod])+AVERAGE(Tab.o1[MedMod]),"")</f>
        <v/>
      </c>
      <c r="P831" s="117" t="str">
        <f ca="1">IF(Tab.o1[[#This Row],[B]]=0,AVERAGE(OFFSET(Tab.o1[[#This Row],[B]],1,0,L$3,1)),Tab.o1[[#This Row],[B]])</f>
        <v/>
      </c>
      <c r="Q831" s="121" t="str">
        <f>IF(Tab.o1[[#This Row],[a1]]=1,NORMSDIST(Tab.o1[[#This Row],[Zb]]),"")</f>
        <v/>
      </c>
      <c r="R831" s="122" t="str">
        <f>IF(Tab.o1[[#This Row],[a1]]=1,((Tab.o1[[#This Row],[MedMod]]-AVERAGE(Tab.o1[MedMod]))/_xlfn.STDEV.P(Tab.o1[MedMod])*H$1203)+G$1203,"")</f>
        <v/>
      </c>
      <c r="S831" s="122" t="str">
        <f>IF(Tab.o1[[#This Row],[a1]]=1,((Tab.o1[[#This Row],[MedMod]]-AVERAGE(Tab.o1[MedMod]))/_xlfn.STDEV.P(Tab.o1[MedMod])*H$1204)+G$1204,"")</f>
        <v/>
      </c>
      <c r="T831" s="123" t="str">
        <f>IF(Tab.o1[[#This Row],[a1]]=1,Tab.o1[[#This Row],[Z-]]*_xlfn.STDEV.P(Tab.o1[B])+AVERAGE(Tab.o1[B]),"")</f>
        <v/>
      </c>
      <c r="U831" s="123" t="str">
        <f>IF(Tab.o1[[#This Row],[a1]]=1,Tab.o1[[#This Row],[z+]]*_xlfn.STDEV.P(Tab.o1[B])+AVERAGE(Tab.o1[B]),"")</f>
        <v/>
      </c>
      <c r="V831" s="124" t="str">
        <f>IF(Tab.o1[[#This Row],[a1]]=1,ABS((ABS(Tab.o1[[#This Row],[Red]]-Tab.o1[[#This Row],[Blue]]))),"")</f>
        <v/>
      </c>
      <c r="W831" s="125" t="str">
        <f>IF(Tab.o1[[#This Row],[a1]]=1,IF(W$3=0,1,Tab.o1[[#This Row],[Amp.]]*1/_xlfn.MINIFS(Tab.o1[Amp.],Tab.o1[Amp.],"&lt;&gt;0")),"")</f>
        <v/>
      </c>
      <c r="X831" s="126" t="str">
        <f>IF(Tab.o1[[#This Row],[a1]]=1,IF(ISNUMBER(Tab.o1[[#This Row],[i.]]),NORMDIST(Tab.o1[[#This Row],[Za]],0,1,FALSE)*Tab.o1[[#This Row],[i.]],AP$3),"")</f>
        <v/>
      </c>
      <c r="Y831" s="126" t="str">
        <f>IF(Tab.o1[[#This Row],[a1]]=1,0.01+0.94*Tab.o1[[#This Row],[PDF]]/MAX(Tab.o1[PDF]),"")</f>
        <v/>
      </c>
      <c r="Z831" s="126" t="str">
        <f>IF(Tab.o1[[#This Row],[a1]]=1,0.01+0.94*Tab.o1[[#This Row],[W1_PDF]]/MAX(Tab.o1[W1_PDF]),"")</f>
        <v/>
      </c>
      <c r="AA831" s="118" t="str">
        <f>IF(Tab.o1[[#This Row],[a1]]=1,ABS([1]!T.in.A[[#This Row],[oo6]]),"")</f>
        <v/>
      </c>
      <c r="AB831" s="127" t="str">
        <f>IF(Tab.o1[[#This Row],[a1]]=1,IF(AE$3=0,"",IF(AB$3=0,ABS([1]!T.in.A[[#This Row],[oo9]]),ABS(Tab.o1[[#This Row],[DIF_Target.]]*Tab.o1[[#This Row],[W1_PDF]]))),"")</f>
        <v/>
      </c>
      <c r="AC831" s="127" t="str">
        <f>IF(G$1=1,"",IF(Tab.o1[[#This Row],[a1]]=1,Tab.o1[[#This Row],[Wr]]^2,""))</f>
        <v/>
      </c>
      <c r="AD831" s="118" t="str">
        <f>IF(Tab.o1[[#This Row],[a1]]=1,IF(AE$3=0,"",Tab.o1[[#This Row],[Wr2]]/SUM(Tab.o1[Wr2])),"")</f>
        <v/>
      </c>
      <c r="AE831" s="128" t="str">
        <f>IF(Tab.o1[[#This Row],[a1]]=1,[1]!T.in.A[[#This Row],[oo10]],"")</f>
        <v/>
      </c>
      <c r="AF831" s="118" t="str">
        <f>IF(Tab.o1[[#This Row],[a1]]=1,ABS(Tab.o1[[#This Row],[DIF_Target.]]*Tab.o1[[#This Row],[PDF2]]*Tab.o1[[#This Row],[IN]]),"")</f>
        <v/>
      </c>
      <c r="AG831" s="129" t="str">
        <f>IF(Tab.o1[[#This Row],[a1]]=1,Tab.o1[[#This Row],[rW]]^2,"")</f>
        <v/>
      </c>
      <c r="AH831" s="130" t="str">
        <f>IF(Tab.o1[[#This Row],[a1]]=1,IF(AH$3=0,Tab.o1[[#This Row],[rW2]],0.01+0.94*Tab.o1[[#This Row],[rW2]]/SUM(Tab.o1[rW2])),"")</f>
        <v/>
      </c>
      <c r="AI831" s="128" t="str">
        <f>IF(Tab.o1[[#This Row],[a1]]=1,1/Tab.o1[[#This Row],[PDF]],"")</f>
        <v/>
      </c>
      <c r="AJ831" s="131" t="str">
        <f>IF(Tab.o1[[#This Row],[a1]]=1,[1]!T_AA[[#This Row],[IN'']]*[1]!T_AA[[#This Row],[Qde'']],"")</f>
        <v/>
      </c>
      <c r="AK831" s="132" t="str">
        <f>IF(Tab.o1[[#This Row],[a1]]=1,IF(AK$1=1,Tab.o1[[#This Row],[MED]]+Tab.o1[[#This Row],[MOD]]-Tab.o1[[#This Row],[MED]],""),"")</f>
        <v/>
      </c>
      <c r="AL831" s="133" t="str">
        <f>IF(Tab.o1[[#This Row],[a1]]=1,[1]!T.in.A[[#This Row],[oo16]],"")</f>
        <v/>
      </c>
      <c r="AM831" s="133" t="str">
        <f>IF(Tab.o1[[#This Row],[a1]]=1,IF(AM$3=1,[1]!T.in.A[[#This Row],[Σo16]],""),"")</f>
        <v/>
      </c>
      <c r="AN831" s="126" t="str">
        <f>IF(Tab.o1[[#This Row],[a1]]=1,[1]!T.in.A[[#This Row],[Σp5]],"")</f>
        <v/>
      </c>
      <c r="AO831" s="126" t="str">
        <f>IF(Tab.o1[[#This Row],[a1]]=1,IF(AO$3=1,[1]!T.in.A[[#This Row],[Σp5]],""),"")</f>
        <v/>
      </c>
      <c r="AP831" s="110" t="str">
        <f>IF(Tab.o1[[#This Row],[a1]]=1,IF(ISNUMBER(Tab.o1[[#This Row],[i.]]),NORMDIST(Tab.o1[[#This Row],[Za]],0,1,FALSE)*Tab.o1[[#This Row],[i.]],0),"")</f>
        <v/>
      </c>
      <c r="AQ831" s="125" t="str">
        <f>IF(Tab.o1[[#This Row],[a1]]=1,ABS(Tab.o1[[#This Row],[MOD]]-AVERAGE(Tab.o1[MOD])),"")</f>
        <v/>
      </c>
      <c r="AR831" s="134" t="str">
        <f>IF(Tab.o1[[#This Row],[a1]]=1,Tab.o1[[#This Row],[OBS]]/SUM(Tab.o1[OBS]),"")</f>
        <v/>
      </c>
      <c r="AS831" s="135" t="str">
        <f>IF(ISNUMBER(Tab.o1[[#This Row],[a1]]),ROW()-4,"")</f>
        <v/>
      </c>
      <c r="AT831" s="136" t="str">
        <f>Tab.o1[[#This Row],[MOD]]</f>
        <v/>
      </c>
      <c r="AU831" s="137" t="str">
        <f t="shared" si="49"/>
        <v/>
      </c>
      <c r="AV831" s="138" t="str">
        <f t="shared" si="50"/>
        <v/>
      </c>
      <c r="AW831" s="138" t="str">
        <f t="shared" si="51"/>
        <v/>
      </c>
      <c r="AX831" s="139" t="str">
        <f>[1]!T.in.A[[#This Row],[ID_T_manu]]</f>
        <v/>
      </c>
      <c r="AY831" s="140" t="str">
        <f>IF(ISNUMBER(Tab.o1[[#This Row],[a1]]),IF(AND(Tab.o1[[#This Row],[a1]]=1,Tab.o1[[#This Row],[b1]]&lt;=AY$4),#REF!,AY830),"")</f>
        <v/>
      </c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6"/>
      <c r="BO831" s="26"/>
      <c r="BP831" s="26"/>
      <c r="BQ831" s="26"/>
      <c r="BR831" s="26"/>
      <c r="BS831" s="26"/>
      <c r="BT831" s="26"/>
      <c r="BU831" s="26"/>
      <c r="BV831" s="26"/>
      <c r="BW831" s="26"/>
      <c r="BX831" s="26"/>
      <c r="BY831" s="26"/>
      <c r="BZ831" s="26"/>
      <c r="CA831" s="26"/>
    </row>
    <row r="832" spans="1:79" s="143" customFormat="1" ht="15.75" hidden="1">
      <c r="A832" s="109">
        <v>8.0000000000000013E-6</v>
      </c>
      <c r="B832" s="110">
        <f t="shared" si="48"/>
        <v>832</v>
      </c>
      <c r="C832" s="111" t="str">
        <f>IF(C$1=[1]!T.in.A[[#This Row],[oo2]],1,"")</f>
        <v/>
      </c>
      <c r="D832" s="112" t="str">
        <f>IF(Tab.o1[[#This Row],[a1]]=1,IF(SUM(C832:C833)=0,0,IF(SUM(C831:C832)=1,1,IF(SUM(C831:C833)&gt;1,D831+1,0))),"")</f>
        <v/>
      </c>
      <c r="E832" s="113" t="str">
        <f>IF(Tab.o1[[#This Row],[a1]]=1,[1]!T.in.A[[#This Row],[oo1]],"")</f>
        <v/>
      </c>
      <c r="F832" s="113" t="str">
        <f>IF(Tab.o1[[#This Row],[a1]]=1,[1]!T.in.A[[#This Row],[pp1]],"")</f>
        <v/>
      </c>
      <c r="G832" s="114" t="str">
        <f>IF(Tab.o1[[#This Row],[a1]]=1,G$2+IF(G$1=1,0,Tab.o1[[#This Row],[.x1]])+[1]!T.in.A[[#This Row],[oo3]],"")</f>
        <v/>
      </c>
      <c r="H832" s="115" t="str">
        <f>IF(Tab.o1[[#This Row],[a1]]=1,IF(H$2=0,0,IF(G$1=1,0,Tab.o1[[#This Row],[.x1]])+[1]!T.in.A[[#This Row],[oo4]]),"")</f>
        <v/>
      </c>
      <c r="I832" s="116" t="str">
        <f>IF(Tab.o1[[#This Row],[a1]]=1,IF(J$2=0,Tab.o1[[#This Row],[MED]],Tab.o1[[#This Row],[MOD]]),"")</f>
        <v/>
      </c>
      <c r="J832" s="116" t="str">
        <f>IF(Tab.o1[[#This Row],[a1]]=1,((Tab.o1[[#This Row],[DIF_Target.]]-AVERAGE(Tab.o1[DIF_Target.]))/_xlfn.STDEV.P(Tab.o1[DIF_Target.])),"")</f>
        <v/>
      </c>
      <c r="K832" s="117" t="str">
        <f>IF(Tab.o1[[#This Row],[a1]]=1,IF(J$2=0,Tab.o1[[#This Row],[MOD]]-Tab.o1[[#This Row],[B]],IF(J$2=1,0,-Tab.o1[[#This Row],[MED]])+Tab.o1[[#This Row],[B]]),"")</f>
        <v/>
      </c>
      <c r="L832" s="117" t="str">
        <f ca="1">IF(Tab.o1[[#This Row],[DIF_Target]]=0,IF(L$2=0,Tab.o1[[#This Row],[DIF_Target]],AVERAGE(OFFSET(Tab.o1[[#This Row],[DIF_Target]],1,0,L$3,1)))/3,Tab.o1[[#This Row],[DIF_Target]])</f>
        <v/>
      </c>
      <c r="M832" s="118" t="str">
        <f>IF(Tab.o1[[#This Row],[a1]]=1,NORMSDIST(Tab.o1[[#This Row],[Za]]),"")</f>
        <v/>
      </c>
      <c r="N832" s="119" t="str">
        <f>IF(Tab.o1[[#This Row],[a1]]=1,((Tab.o1[[#This Row],[MedMod]]-AVERAGE(Tab.o1[MedMod]))/_xlfn.STDEV.P(Tab.o1[MedMod])*H$1205)+G$1205,"")</f>
        <v/>
      </c>
      <c r="O832" s="141" t="str">
        <f>IF(Tab.o1[[#This Row],[a1]]=1,Tab.o1[[#This Row],[Zb]]*_xlfn.STDEV.P(Tab.o1[MedMod])+AVERAGE(Tab.o1[MedMod]),"")</f>
        <v/>
      </c>
      <c r="P832" s="117" t="str">
        <f ca="1">IF(Tab.o1[[#This Row],[B]]=0,AVERAGE(OFFSET(Tab.o1[[#This Row],[B]],1,0,L$3,1)),Tab.o1[[#This Row],[B]])</f>
        <v/>
      </c>
      <c r="Q832" s="121" t="str">
        <f>IF(Tab.o1[[#This Row],[a1]]=1,NORMSDIST(Tab.o1[[#This Row],[Zb]]),"")</f>
        <v/>
      </c>
      <c r="R832" s="122" t="str">
        <f>IF(Tab.o1[[#This Row],[a1]]=1,((Tab.o1[[#This Row],[MedMod]]-AVERAGE(Tab.o1[MedMod]))/_xlfn.STDEV.P(Tab.o1[MedMod])*H$1203)+G$1203,"")</f>
        <v/>
      </c>
      <c r="S832" s="122" t="str">
        <f>IF(Tab.o1[[#This Row],[a1]]=1,((Tab.o1[[#This Row],[MedMod]]-AVERAGE(Tab.o1[MedMod]))/_xlfn.STDEV.P(Tab.o1[MedMod])*H$1204)+G$1204,"")</f>
        <v/>
      </c>
      <c r="T832" s="123" t="str">
        <f>IF(Tab.o1[[#This Row],[a1]]=1,Tab.o1[[#This Row],[Z-]]*_xlfn.STDEV.P(Tab.o1[B])+AVERAGE(Tab.o1[B]),"")</f>
        <v/>
      </c>
      <c r="U832" s="123" t="str">
        <f>IF(Tab.o1[[#This Row],[a1]]=1,Tab.o1[[#This Row],[z+]]*_xlfn.STDEV.P(Tab.o1[B])+AVERAGE(Tab.o1[B]),"")</f>
        <v/>
      </c>
      <c r="V832" s="124" t="str">
        <f>IF(Tab.o1[[#This Row],[a1]]=1,ABS((ABS(Tab.o1[[#This Row],[Red]]-Tab.o1[[#This Row],[Blue]]))),"")</f>
        <v/>
      </c>
      <c r="W832" s="125" t="str">
        <f>IF(Tab.o1[[#This Row],[a1]]=1,IF(W$3=0,1,Tab.o1[[#This Row],[Amp.]]*1/_xlfn.MINIFS(Tab.o1[Amp.],Tab.o1[Amp.],"&lt;&gt;0")),"")</f>
        <v/>
      </c>
      <c r="X832" s="126" t="str">
        <f>IF(Tab.o1[[#This Row],[a1]]=1,IF(ISNUMBER(Tab.o1[[#This Row],[i.]]),NORMDIST(Tab.o1[[#This Row],[Za]],0,1,FALSE)*Tab.o1[[#This Row],[i.]],AP$3),"")</f>
        <v/>
      </c>
      <c r="Y832" s="126" t="str">
        <f>IF(Tab.o1[[#This Row],[a1]]=1,0.01+0.94*Tab.o1[[#This Row],[PDF]]/MAX(Tab.o1[PDF]),"")</f>
        <v/>
      </c>
      <c r="Z832" s="126" t="str">
        <f>IF(Tab.o1[[#This Row],[a1]]=1,0.01+0.94*Tab.o1[[#This Row],[W1_PDF]]/MAX(Tab.o1[W1_PDF]),"")</f>
        <v/>
      </c>
      <c r="AA832" s="118" t="str">
        <f>IF(Tab.o1[[#This Row],[a1]]=1,ABS([1]!T.in.A[[#This Row],[oo6]]),"")</f>
        <v/>
      </c>
      <c r="AB832" s="127" t="str">
        <f>IF(Tab.o1[[#This Row],[a1]]=1,IF(AE$3=0,"",IF(AB$3=0,ABS([1]!T.in.A[[#This Row],[oo9]]),ABS(Tab.o1[[#This Row],[DIF_Target.]]*Tab.o1[[#This Row],[W1_PDF]]))),"")</f>
        <v/>
      </c>
      <c r="AC832" s="127" t="str">
        <f>IF(G$1=1,"",IF(Tab.o1[[#This Row],[a1]]=1,Tab.o1[[#This Row],[Wr]]^2,""))</f>
        <v/>
      </c>
      <c r="AD832" s="118" t="str">
        <f>IF(Tab.o1[[#This Row],[a1]]=1,IF(AE$3=0,"",Tab.o1[[#This Row],[Wr2]]/SUM(Tab.o1[Wr2])),"")</f>
        <v/>
      </c>
      <c r="AE832" s="128" t="str">
        <f>IF(Tab.o1[[#This Row],[a1]]=1,[1]!T.in.A[[#This Row],[oo10]],"")</f>
        <v/>
      </c>
      <c r="AF832" s="118" t="str">
        <f>IF(Tab.o1[[#This Row],[a1]]=1,ABS(Tab.o1[[#This Row],[DIF_Target.]]*Tab.o1[[#This Row],[PDF2]]*Tab.o1[[#This Row],[IN]]),"")</f>
        <v/>
      </c>
      <c r="AG832" s="129" t="str">
        <f>IF(Tab.o1[[#This Row],[a1]]=1,Tab.o1[[#This Row],[rW]]^2,"")</f>
        <v/>
      </c>
      <c r="AH832" s="130" t="str">
        <f>IF(Tab.o1[[#This Row],[a1]]=1,IF(AH$3=0,Tab.o1[[#This Row],[rW2]],0.01+0.94*Tab.o1[[#This Row],[rW2]]/SUM(Tab.o1[rW2])),"")</f>
        <v/>
      </c>
      <c r="AI832" s="128" t="str">
        <f>IF(Tab.o1[[#This Row],[a1]]=1,1/Tab.o1[[#This Row],[PDF]],"")</f>
        <v/>
      </c>
      <c r="AJ832" s="131" t="str">
        <f>IF(Tab.o1[[#This Row],[a1]]=1,[1]!T_AA[[#This Row],[IN'']]*[1]!T_AA[[#This Row],[Qde'']],"")</f>
        <v/>
      </c>
      <c r="AK832" s="132" t="str">
        <f>IF(Tab.o1[[#This Row],[a1]]=1,IF(AK$1=1,Tab.o1[[#This Row],[MED]]+Tab.o1[[#This Row],[MOD]]-Tab.o1[[#This Row],[MED]],""),"")</f>
        <v/>
      </c>
      <c r="AL832" s="133" t="str">
        <f>IF(Tab.o1[[#This Row],[a1]]=1,[1]!T.in.A[[#This Row],[oo16]],"")</f>
        <v/>
      </c>
      <c r="AM832" s="133" t="str">
        <f>IF(Tab.o1[[#This Row],[a1]]=1,IF(AM$3=1,[1]!T.in.A[[#This Row],[Σo16]],""),"")</f>
        <v/>
      </c>
      <c r="AN832" s="126" t="str">
        <f>IF(Tab.o1[[#This Row],[a1]]=1,[1]!T.in.A[[#This Row],[Σp5]],"")</f>
        <v/>
      </c>
      <c r="AO832" s="126" t="str">
        <f>IF(Tab.o1[[#This Row],[a1]]=1,IF(AO$3=1,[1]!T.in.A[[#This Row],[Σp5]],""),"")</f>
        <v/>
      </c>
      <c r="AP832" s="110" t="str">
        <f>IF(Tab.o1[[#This Row],[a1]]=1,IF(ISNUMBER(Tab.o1[[#This Row],[i.]]),NORMDIST(Tab.o1[[#This Row],[Za]],0,1,FALSE)*Tab.o1[[#This Row],[i.]],0),"")</f>
        <v/>
      </c>
      <c r="AQ832" s="125" t="str">
        <f>IF(Tab.o1[[#This Row],[a1]]=1,ABS(Tab.o1[[#This Row],[MOD]]-AVERAGE(Tab.o1[MOD])),"")</f>
        <v/>
      </c>
      <c r="AR832" s="134" t="str">
        <f>IF(Tab.o1[[#This Row],[a1]]=1,Tab.o1[[#This Row],[OBS]]/SUM(Tab.o1[OBS]),"")</f>
        <v/>
      </c>
      <c r="AS832" s="135" t="str">
        <f>IF(ISNUMBER(Tab.o1[[#This Row],[a1]]),ROW()-4,"")</f>
        <v/>
      </c>
      <c r="AT832" s="136" t="str">
        <f>Tab.o1[[#This Row],[MOD]]</f>
        <v/>
      </c>
      <c r="AU832" s="137" t="str">
        <f t="shared" si="49"/>
        <v/>
      </c>
      <c r="AV832" s="138" t="str">
        <f t="shared" si="50"/>
        <v/>
      </c>
      <c r="AW832" s="138" t="str">
        <f t="shared" si="51"/>
        <v/>
      </c>
      <c r="AX832" s="139" t="str">
        <f>[1]!T.in.A[[#This Row],[ID_T_manu]]</f>
        <v/>
      </c>
      <c r="AY832" s="140" t="str">
        <f>IF(ISNUMBER(Tab.o1[[#This Row],[a1]]),IF(AND(Tab.o1[[#This Row],[a1]]=1,Tab.o1[[#This Row],[b1]]&lt;=AY$4),#REF!,AY831),"")</f>
        <v/>
      </c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6"/>
      <c r="BO832" s="26"/>
      <c r="BP832" s="26"/>
      <c r="BQ832" s="26"/>
      <c r="BR832" s="26"/>
      <c r="BS832" s="26"/>
      <c r="BT832" s="26"/>
      <c r="BU832" s="26"/>
      <c r="BV832" s="26"/>
      <c r="BW832" s="26"/>
      <c r="BX832" s="26"/>
      <c r="BY832" s="26"/>
      <c r="BZ832" s="26"/>
      <c r="CA832" s="26"/>
    </row>
    <row r="833" spans="1:79" s="143" customFormat="1" ht="15.75" hidden="1">
      <c r="A833" s="109">
        <v>1.0000000000000002E-6</v>
      </c>
      <c r="B833" s="110">
        <f t="shared" si="48"/>
        <v>833</v>
      </c>
      <c r="C833" s="111" t="str">
        <f>IF(C$1=[1]!T.in.A[[#This Row],[oo2]],1,"")</f>
        <v/>
      </c>
      <c r="D833" s="112" t="str">
        <f>IF(Tab.o1[[#This Row],[a1]]=1,IF(SUM(C833:C834)=0,0,IF(SUM(C832:C833)=1,1,IF(SUM(C832:C834)&gt;1,D832+1,0))),"")</f>
        <v/>
      </c>
      <c r="E833" s="113" t="str">
        <f>IF(Tab.o1[[#This Row],[a1]]=1,[1]!T.in.A[[#This Row],[oo1]],"")</f>
        <v/>
      </c>
      <c r="F833" s="113" t="str">
        <f>IF(Tab.o1[[#This Row],[a1]]=1,[1]!T.in.A[[#This Row],[pp1]],"")</f>
        <v/>
      </c>
      <c r="G833" s="114" t="str">
        <f>IF(Tab.o1[[#This Row],[a1]]=1,G$2+IF(G$1=1,0,Tab.o1[[#This Row],[.x1]])+[1]!T.in.A[[#This Row],[oo3]],"")</f>
        <v/>
      </c>
      <c r="H833" s="115" t="str">
        <f>IF(Tab.o1[[#This Row],[a1]]=1,IF(H$2=0,0,IF(G$1=1,0,Tab.o1[[#This Row],[.x1]])+[1]!T.in.A[[#This Row],[oo4]]),"")</f>
        <v/>
      </c>
      <c r="I833" s="116" t="str">
        <f>IF(Tab.o1[[#This Row],[a1]]=1,IF(J$2=0,Tab.o1[[#This Row],[MED]],Tab.o1[[#This Row],[MOD]]),"")</f>
        <v/>
      </c>
      <c r="J833" s="116" t="str">
        <f>IF(Tab.o1[[#This Row],[a1]]=1,((Tab.o1[[#This Row],[DIF_Target.]]-AVERAGE(Tab.o1[DIF_Target.]))/_xlfn.STDEV.P(Tab.o1[DIF_Target.])),"")</f>
        <v/>
      </c>
      <c r="K833" s="117" t="str">
        <f>IF(Tab.o1[[#This Row],[a1]]=1,IF(J$2=0,Tab.o1[[#This Row],[MOD]]-Tab.o1[[#This Row],[B]],IF(J$2=1,0,-Tab.o1[[#This Row],[MED]])+Tab.o1[[#This Row],[B]]),"")</f>
        <v/>
      </c>
      <c r="L833" s="117" t="str">
        <f ca="1">IF(Tab.o1[[#This Row],[DIF_Target]]=0,IF(L$2=0,Tab.o1[[#This Row],[DIF_Target]],AVERAGE(OFFSET(Tab.o1[[#This Row],[DIF_Target]],1,0,L$3,1)))/3,Tab.o1[[#This Row],[DIF_Target]])</f>
        <v/>
      </c>
      <c r="M833" s="118" t="str">
        <f>IF(Tab.o1[[#This Row],[a1]]=1,NORMSDIST(Tab.o1[[#This Row],[Za]]),"")</f>
        <v/>
      </c>
      <c r="N833" s="119" t="str">
        <f>IF(Tab.o1[[#This Row],[a1]]=1,((Tab.o1[[#This Row],[MedMod]]-AVERAGE(Tab.o1[MedMod]))/_xlfn.STDEV.P(Tab.o1[MedMod])*H$1205)+G$1205,"")</f>
        <v/>
      </c>
      <c r="O833" s="141" t="str">
        <f>IF(Tab.o1[[#This Row],[a1]]=1,Tab.o1[[#This Row],[Zb]]*_xlfn.STDEV.P(Tab.o1[MedMod])+AVERAGE(Tab.o1[MedMod]),"")</f>
        <v/>
      </c>
      <c r="P833" s="117" t="str">
        <f ca="1">IF(Tab.o1[[#This Row],[B]]=0,AVERAGE(OFFSET(Tab.o1[[#This Row],[B]],1,0,L$3,1)),Tab.o1[[#This Row],[B]])</f>
        <v/>
      </c>
      <c r="Q833" s="121" t="str">
        <f>IF(Tab.o1[[#This Row],[a1]]=1,NORMSDIST(Tab.o1[[#This Row],[Zb]]),"")</f>
        <v/>
      </c>
      <c r="R833" s="122" t="str">
        <f>IF(Tab.o1[[#This Row],[a1]]=1,((Tab.o1[[#This Row],[MedMod]]-AVERAGE(Tab.o1[MedMod]))/_xlfn.STDEV.P(Tab.o1[MedMod])*H$1203)+G$1203,"")</f>
        <v/>
      </c>
      <c r="S833" s="122" t="str">
        <f>IF(Tab.o1[[#This Row],[a1]]=1,((Tab.o1[[#This Row],[MedMod]]-AVERAGE(Tab.o1[MedMod]))/_xlfn.STDEV.P(Tab.o1[MedMod])*H$1204)+G$1204,"")</f>
        <v/>
      </c>
      <c r="T833" s="123" t="str">
        <f>IF(Tab.o1[[#This Row],[a1]]=1,Tab.o1[[#This Row],[Z-]]*_xlfn.STDEV.P(Tab.o1[B])+AVERAGE(Tab.o1[B]),"")</f>
        <v/>
      </c>
      <c r="U833" s="123" t="str">
        <f>IF(Tab.o1[[#This Row],[a1]]=1,Tab.o1[[#This Row],[z+]]*_xlfn.STDEV.P(Tab.o1[B])+AVERAGE(Tab.o1[B]),"")</f>
        <v/>
      </c>
      <c r="V833" s="124" t="str">
        <f>IF(Tab.o1[[#This Row],[a1]]=1,ABS((ABS(Tab.o1[[#This Row],[Red]]-Tab.o1[[#This Row],[Blue]]))),"")</f>
        <v/>
      </c>
      <c r="W833" s="125" t="str">
        <f>IF(Tab.o1[[#This Row],[a1]]=1,IF(W$3=0,1,Tab.o1[[#This Row],[Amp.]]*1/_xlfn.MINIFS(Tab.o1[Amp.],Tab.o1[Amp.],"&lt;&gt;0")),"")</f>
        <v/>
      </c>
      <c r="X833" s="126" t="str">
        <f>IF(Tab.o1[[#This Row],[a1]]=1,IF(ISNUMBER(Tab.o1[[#This Row],[i.]]),NORMDIST(Tab.o1[[#This Row],[Za]],0,1,FALSE)*Tab.o1[[#This Row],[i.]],AP$3),"")</f>
        <v/>
      </c>
      <c r="Y833" s="126" t="str">
        <f>IF(Tab.o1[[#This Row],[a1]]=1,0.01+0.94*Tab.o1[[#This Row],[PDF]]/MAX(Tab.o1[PDF]),"")</f>
        <v/>
      </c>
      <c r="Z833" s="126" t="str">
        <f>IF(Tab.o1[[#This Row],[a1]]=1,0.01+0.94*Tab.o1[[#This Row],[W1_PDF]]/MAX(Tab.o1[W1_PDF]),"")</f>
        <v/>
      </c>
      <c r="AA833" s="118" t="str">
        <f>IF(Tab.o1[[#This Row],[a1]]=1,ABS([1]!T.in.A[[#This Row],[oo6]]),"")</f>
        <v/>
      </c>
      <c r="AB833" s="127" t="str">
        <f>IF(Tab.o1[[#This Row],[a1]]=1,IF(AE$3=0,"",IF(AB$3=0,ABS([1]!T.in.A[[#This Row],[oo9]]),ABS(Tab.o1[[#This Row],[DIF_Target.]]*Tab.o1[[#This Row],[W1_PDF]]))),"")</f>
        <v/>
      </c>
      <c r="AC833" s="127" t="str">
        <f>IF(G$1=1,"",IF(Tab.o1[[#This Row],[a1]]=1,Tab.o1[[#This Row],[Wr]]^2,""))</f>
        <v/>
      </c>
      <c r="AD833" s="118" t="str">
        <f>IF(Tab.o1[[#This Row],[a1]]=1,IF(AE$3=0,"",Tab.o1[[#This Row],[Wr2]]/SUM(Tab.o1[Wr2])),"")</f>
        <v/>
      </c>
      <c r="AE833" s="128" t="str">
        <f>IF(Tab.o1[[#This Row],[a1]]=1,[1]!T.in.A[[#This Row],[oo10]],"")</f>
        <v/>
      </c>
      <c r="AF833" s="118" t="str">
        <f>IF(Tab.o1[[#This Row],[a1]]=1,ABS(Tab.o1[[#This Row],[DIF_Target.]]*Tab.o1[[#This Row],[PDF2]]*Tab.o1[[#This Row],[IN]]),"")</f>
        <v/>
      </c>
      <c r="AG833" s="129" t="str">
        <f>IF(Tab.o1[[#This Row],[a1]]=1,Tab.o1[[#This Row],[rW]]^2,"")</f>
        <v/>
      </c>
      <c r="AH833" s="130" t="str">
        <f>IF(Tab.o1[[#This Row],[a1]]=1,IF(AH$3=0,Tab.o1[[#This Row],[rW2]],0.01+0.94*Tab.o1[[#This Row],[rW2]]/SUM(Tab.o1[rW2])),"")</f>
        <v/>
      </c>
      <c r="AI833" s="128" t="str">
        <f>IF(Tab.o1[[#This Row],[a1]]=1,1/Tab.o1[[#This Row],[PDF]],"")</f>
        <v/>
      </c>
      <c r="AJ833" s="131" t="str">
        <f>IF(Tab.o1[[#This Row],[a1]]=1,[1]!T_AA[[#This Row],[IN'']]*[1]!T_AA[[#This Row],[Qde'']],"")</f>
        <v/>
      </c>
      <c r="AK833" s="132" t="str">
        <f>IF(Tab.o1[[#This Row],[a1]]=1,IF(AK$1=1,Tab.o1[[#This Row],[MED]]+Tab.o1[[#This Row],[MOD]]-Tab.o1[[#This Row],[MED]],""),"")</f>
        <v/>
      </c>
      <c r="AL833" s="133" t="str">
        <f>IF(Tab.o1[[#This Row],[a1]]=1,[1]!T.in.A[[#This Row],[oo16]],"")</f>
        <v/>
      </c>
      <c r="AM833" s="133" t="str">
        <f>IF(Tab.o1[[#This Row],[a1]]=1,IF(AM$3=1,[1]!T.in.A[[#This Row],[Σo16]],""),"")</f>
        <v/>
      </c>
      <c r="AN833" s="126" t="str">
        <f>IF(Tab.o1[[#This Row],[a1]]=1,[1]!T.in.A[[#This Row],[Σp5]],"")</f>
        <v/>
      </c>
      <c r="AO833" s="126" t="str">
        <f>IF(Tab.o1[[#This Row],[a1]]=1,IF(AO$3=1,[1]!T.in.A[[#This Row],[Σp5]],""),"")</f>
        <v/>
      </c>
      <c r="AP833" s="110" t="str">
        <f>IF(Tab.o1[[#This Row],[a1]]=1,IF(ISNUMBER(Tab.o1[[#This Row],[i.]]),NORMDIST(Tab.o1[[#This Row],[Za]],0,1,FALSE)*Tab.o1[[#This Row],[i.]],0),"")</f>
        <v/>
      </c>
      <c r="AQ833" s="125" t="str">
        <f>IF(Tab.o1[[#This Row],[a1]]=1,ABS(Tab.o1[[#This Row],[MOD]]-AVERAGE(Tab.o1[MOD])),"")</f>
        <v/>
      </c>
      <c r="AR833" s="134" t="str">
        <f>IF(Tab.o1[[#This Row],[a1]]=1,Tab.o1[[#This Row],[OBS]]/SUM(Tab.o1[OBS]),"")</f>
        <v/>
      </c>
      <c r="AS833" s="135" t="str">
        <f>IF(ISNUMBER(Tab.o1[[#This Row],[a1]]),ROW()-4,"")</f>
        <v/>
      </c>
      <c r="AT833" s="136" t="str">
        <f>Tab.o1[[#This Row],[MOD]]</f>
        <v/>
      </c>
      <c r="AU833" s="137" t="str">
        <f t="shared" si="49"/>
        <v/>
      </c>
      <c r="AV833" s="138" t="str">
        <f t="shared" si="50"/>
        <v/>
      </c>
      <c r="AW833" s="138" t="str">
        <f t="shared" si="51"/>
        <v/>
      </c>
      <c r="AX833" s="139" t="str">
        <f>[1]!T.in.A[[#This Row],[ID_T_manu]]</f>
        <v/>
      </c>
      <c r="AY833" s="140" t="str">
        <f>IF(ISNUMBER(Tab.o1[[#This Row],[a1]]),IF(AND(Tab.o1[[#This Row],[a1]]=1,Tab.o1[[#This Row],[b1]]&lt;=AY$4),#REF!,AY832),"")</f>
        <v/>
      </c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6"/>
      <c r="BO833" s="26"/>
      <c r="BP833" s="26"/>
      <c r="BQ833" s="26"/>
      <c r="BR833" s="26"/>
      <c r="BS833" s="26"/>
      <c r="BT833" s="26"/>
      <c r="BU833" s="26"/>
      <c r="BV833" s="26"/>
      <c r="BW833" s="26"/>
      <c r="BX833" s="26"/>
      <c r="BY833" s="26"/>
      <c r="BZ833" s="26"/>
      <c r="CA833" s="26"/>
    </row>
    <row r="834" spans="1:79" s="143" customFormat="1" ht="15.75" hidden="1">
      <c r="A834" s="109">
        <v>5.0000000000000004E-6</v>
      </c>
      <c r="B834" s="110">
        <f t="shared" si="48"/>
        <v>834</v>
      </c>
      <c r="C834" s="111" t="str">
        <f>IF(C$1=[1]!T.in.A[[#This Row],[oo2]],1,"")</f>
        <v/>
      </c>
      <c r="D834" s="112" t="str">
        <f>IF(Tab.o1[[#This Row],[a1]]=1,IF(SUM(C834:C835)=0,0,IF(SUM(C833:C834)=1,1,IF(SUM(C833:C835)&gt;1,D833+1,0))),"")</f>
        <v/>
      </c>
      <c r="E834" s="113" t="str">
        <f>IF(Tab.o1[[#This Row],[a1]]=1,[1]!T.in.A[[#This Row],[oo1]],"")</f>
        <v/>
      </c>
      <c r="F834" s="113" t="str">
        <f>IF(Tab.o1[[#This Row],[a1]]=1,[1]!T.in.A[[#This Row],[pp1]],"")</f>
        <v/>
      </c>
      <c r="G834" s="114" t="str">
        <f>IF(Tab.o1[[#This Row],[a1]]=1,G$2+IF(G$1=1,0,Tab.o1[[#This Row],[.x1]])+[1]!T.in.A[[#This Row],[oo3]],"")</f>
        <v/>
      </c>
      <c r="H834" s="115" t="str">
        <f>IF(Tab.o1[[#This Row],[a1]]=1,IF(H$2=0,0,IF(G$1=1,0,Tab.o1[[#This Row],[.x1]])+[1]!T.in.A[[#This Row],[oo4]]),"")</f>
        <v/>
      </c>
      <c r="I834" s="116" t="str">
        <f>IF(Tab.o1[[#This Row],[a1]]=1,IF(J$2=0,Tab.o1[[#This Row],[MED]],Tab.o1[[#This Row],[MOD]]),"")</f>
        <v/>
      </c>
      <c r="J834" s="116" t="str">
        <f>IF(Tab.o1[[#This Row],[a1]]=1,((Tab.o1[[#This Row],[DIF_Target.]]-AVERAGE(Tab.o1[DIF_Target.]))/_xlfn.STDEV.P(Tab.o1[DIF_Target.])),"")</f>
        <v/>
      </c>
      <c r="K834" s="117" t="str">
        <f>IF(Tab.o1[[#This Row],[a1]]=1,IF(J$2=0,Tab.o1[[#This Row],[MOD]]-Tab.o1[[#This Row],[B]],IF(J$2=1,0,-Tab.o1[[#This Row],[MED]])+Tab.o1[[#This Row],[B]]),"")</f>
        <v/>
      </c>
      <c r="L834" s="117" t="str">
        <f ca="1">IF(Tab.o1[[#This Row],[DIF_Target]]=0,IF(L$2=0,Tab.o1[[#This Row],[DIF_Target]],AVERAGE(OFFSET(Tab.o1[[#This Row],[DIF_Target]],1,0,L$3,1)))/3,Tab.o1[[#This Row],[DIF_Target]])</f>
        <v/>
      </c>
      <c r="M834" s="118" t="str">
        <f>IF(Tab.o1[[#This Row],[a1]]=1,NORMSDIST(Tab.o1[[#This Row],[Za]]),"")</f>
        <v/>
      </c>
      <c r="N834" s="119" t="str">
        <f>IF(Tab.o1[[#This Row],[a1]]=1,((Tab.o1[[#This Row],[MedMod]]-AVERAGE(Tab.o1[MedMod]))/_xlfn.STDEV.P(Tab.o1[MedMod])*H$1205)+G$1205,"")</f>
        <v/>
      </c>
      <c r="O834" s="141" t="str">
        <f>IF(Tab.o1[[#This Row],[a1]]=1,Tab.o1[[#This Row],[Zb]]*_xlfn.STDEV.P(Tab.o1[MedMod])+AVERAGE(Tab.o1[MedMod]),"")</f>
        <v/>
      </c>
      <c r="P834" s="117" t="str">
        <f ca="1">IF(Tab.o1[[#This Row],[B]]=0,AVERAGE(OFFSET(Tab.o1[[#This Row],[B]],1,0,L$3,1)),Tab.o1[[#This Row],[B]])</f>
        <v/>
      </c>
      <c r="Q834" s="121" t="str">
        <f>IF(Tab.o1[[#This Row],[a1]]=1,NORMSDIST(Tab.o1[[#This Row],[Zb]]),"")</f>
        <v/>
      </c>
      <c r="R834" s="122" t="str">
        <f>IF(Tab.o1[[#This Row],[a1]]=1,((Tab.o1[[#This Row],[MedMod]]-AVERAGE(Tab.o1[MedMod]))/_xlfn.STDEV.P(Tab.o1[MedMod])*H$1203)+G$1203,"")</f>
        <v/>
      </c>
      <c r="S834" s="122" t="str">
        <f>IF(Tab.o1[[#This Row],[a1]]=1,((Tab.o1[[#This Row],[MedMod]]-AVERAGE(Tab.o1[MedMod]))/_xlfn.STDEV.P(Tab.o1[MedMod])*H$1204)+G$1204,"")</f>
        <v/>
      </c>
      <c r="T834" s="123" t="str">
        <f>IF(Tab.o1[[#This Row],[a1]]=1,Tab.o1[[#This Row],[Z-]]*_xlfn.STDEV.P(Tab.o1[B])+AVERAGE(Tab.o1[B]),"")</f>
        <v/>
      </c>
      <c r="U834" s="123" t="str">
        <f>IF(Tab.o1[[#This Row],[a1]]=1,Tab.o1[[#This Row],[z+]]*_xlfn.STDEV.P(Tab.o1[B])+AVERAGE(Tab.o1[B]),"")</f>
        <v/>
      </c>
      <c r="V834" s="124" t="str">
        <f>IF(Tab.o1[[#This Row],[a1]]=1,ABS((ABS(Tab.o1[[#This Row],[Red]]-Tab.o1[[#This Row],[Blue]]))),"")</f>
        <v/>
      </c>
      <c r="W834" s="125" t="str">
        <f>IF(Tab.o1[[#This Row],[a1]]=1,IF(W$3=0,1,Tab.o1[[#This Row],[Amp.]]*1/_xlfn.MINIFS(Tab.o1[Amp.],Tab.o1[Amp.],"&lt;&gt;0")),"")</f>
        <v/>
      </c>
      <c r="X834" s="126" t="str">
        <f>IF(Tab.o1[[#This Row],[a1]]=1,IF(ISNUMBER(Tab.o1[[#This Row],[i.]]),NORMDIST(Tab.o1[[#This Row],[Za]],0,1,FALSE)*Tab.o1[[#This Row],[i.]],AP$3),"")</f>
        <v/>
      </c>
      <c r="Y834" s="126" t="str">
        <f>IF(Tab.o1[[#This Row],[a1]]=1,0.01+0.94*Tab.o1[[#This Row],[PDF]]/MAX(Tab.o1[PDF]),"")</f>
        <v/>
      </c>
      <c r="Z834" s="126" t="str">
        <f>IF(Tab.o1[[#This Row],[a1]]=1,0.01+0.94*Tab.o1[[#This Row],[W1_PDF]]/MAX(Tab.o1[W1_PDF]),"")</f>
        <v/>
      </c>
      <c r="AA834" s="118" t="str">
        <f>IF(Tab.o1[[#This Row],[a1]]=1,ABS([1]!T.in.A[[#This Row],[oo6]]),"")</f>
        <v/>
      </c>
      <c r="AB834" s="127" t="str">
        <f>IF(Tab.o1[[#This Row],[a1]]=1,IF(AE$3=0,"",IF(AB$3=0,ABS([1]!T.in.A[[#This Row],[oo9]]),ABS(Tab.o1[[#This Row],[DIF_Target.]]*Tab.o1[[#This Row],[W1_PDF]]))),"")</f>
        <v/>
      </c>
      <c r="AC834" s="127" t="str">
        <f>IF(G$1=1,"",IF(Tab.o1[[#This Row],[a1]]=1,Tab.o1[[#This Row],[Wr]]^2,""))</f>
        <v/>
      </c>
      <c r="AD834" s="118" t="str">
        <f>IF(Tab.o1[[#This Row],[a1]]=1,IF(AE$3=0,"",Tab.o1[[#This Row],[Wr2]]/SUM(Tab.o1[Wr2])),"")</f>
        <v/>
      </c>
      <c r="AE834" s="128" t="str">
        <f>IF(Tab.o1[[#This Row],[a1]]=1,[1]!T.in.A[[#This Row],[oo10]],"")</f>
        <v/>
      </c>
      <c r="AF834" s="118" t="str">
        <f>IF(Tab.o1[[#This Row],[a1]]=1,ABS(Tab.o1[[#This Row],[DIF_Target.]]*Tab.o1[[#This Row],[PDF2]]*Tab.o1[[#This Row],[IN]]),"")</f>
        <v/>
      </c>
      <c r="AG834" s="129" t="str">
        <f>IF(Tab.o1[[#This Row],[a1]]=1,Tab.o1[[#This Row],[rW]]^2,"")</f>
        <v/>
      </c>
      <c r="AH834" s="130" t="str">
        <f>IF(Tab.o1[[#This Row],[a1]]=1,IF(AH$3=0,Tab.o1[[#This Row],[rW2]],0.01+0.94*Tab.o1[[#This Row],[rW2]]/SUM(Tab.o1[rW2])),"")</f>
        <v/>
      </c>
      <c r="AI834" s="128" t="str">
        <f>IF(Tab.o1[[#This Row],[a1]]=1,1/Tab.o1[[#This Row],[PDF]],"")</f>
        <v/>
      </c>
      <c r="AJ834" s="131" t="str">
        <f>IF(Tab.o1[[#This Row],[a1]]=1,[1]!T_AA[[#This Row],[IN'']]*[1]!T_AA[[#This Row],[Qde'']],"")</f>
        <v/>
      </c>
      <c r="AK834" s="132" t="str">
        <f>IF(Tab.o1[[#This Row],[a1]]=1,IF(AK$1=1,Tab.o1[[#This Row],[MED]]+Tab.o1[[#This Row],[MOD]]-Tab.o1[[#This Row],[MED]],""),"")</f>
        <v/>
      </c>
      <c r="AL834" s="133" t="str">
        <f>IF(Tab.o1[[#This Row],[a1]]=1,[1]!T.in.A[[#This Row],[oo16]],"")</f>
        <v/>
      </c>
      <c r="AM834" s="133" t="str">
        <f>IF(Tab.o1[[#This Row],[a1]]=1,IF(AM$3=1,[1]!T.in.A[[#This Row],[Σo16]],""),"")</f>
        <v/>
      </c>
      <c r="AN834" s="126" t="str">
        <f>IF(Tab.o1[[#This Row],[a1]]=1,[1]!T.in.A[[#This Row],[Σp5]],"")</f>
        <v/>
      </c>
      <c r="AO834" s="126" t="str">
        <f>IF(Tab.o1[[#This Row],[a1]]=1,IF(AO$3=1,[1]!T.in.A[[#This Row],[Σp5]],""),"")</f>
        <v/>
      </c>
      <c r="AP834" s="110" t="str">
        <f>IF(Tab.o1[[#This Row],[a1]]=1,IF(ISNUMBER(Tab.o1[[#This Row],[i.]]),NORMDIST(Tab.o1[[#This Row],[Za]],0,1,FALSE)*Tab.o1[[#This Row],[i.]],0),"")</f>
        <v/>
      </c>
      <c r="AQ834" s="125" t="str">
        <f>IF(Tab.o1[[#This Row],[a1]]=1,ABS(Tab.o1[[#This Row],[MOD]]-AVERAGE(Tab.o1[MOD])),"")</f>
        <v/>
      </c>
      <c r="AR834" s="134" t="str">
        <f>IF(Tab.o1[[#This Row],[a1]]=1,Tab.o1[[#This Row],[OBS]]/SUM(Tab.o1[OBS]),"")</f>
        <v/>
      </c>
      <c r="AS834" s="135" t="str">
        <f>IF(ISNUMBER(Tab.o1[[#This Row],[a1]]),ROW()-4,"")</f>
        <v/>
      </c>
      <c r="AT834" s="136" t="str">
        <f>Tab.o1[[#This Row],[MOD]]</f>
        <v/>
      </c>
      <c r="AU834" s="137" t="str">
        <f t="shared" si="49"/>
        <v/>
      </c>
      <c r="AV834" s="138" t="str">
        <f t="shared" si="50"/>
        <v/>
      </c>
      <c r="AW834" s="138" t="str">
        <f t="shared" si="51"/>
        <v/>
      </c>
      <c r="AX834" s="139" t="str">
        <f>[1]!T.in.A[[#This Row],[ID_T_manu]]</f>
        <v/>
      </c>
      <c r="AY834" s="140" t="str">
        <f>IF(ISNUMBER(Tab.o1[[#This Row],[a1]]),IF(AND(Tab.o1[[#This Row],[a1]]=1,Tab.o1[[#This Row],[b1]]&lt;=AY$4),#REF!,AY833),"")</f>
        <v/>
      </c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6"/>
      <c r="BO834" s="26"/>
      <c r="BP834" s="26"/>
      <c r="BQ834" s="26"/>
      <c r="BR834" s="26"/>
      <c r="BS834" s="26"/>
      <c r="BT834" s="26"/>
      <c r="BU834" s="26"/>
      <c r="BV834" s="26"/>
      <c r="BW834" s="26"/>
      <c r="BX834" s="26"/>
      <c r="BY834" s="26"/>
      <c r="BZ834" s="26"/>
      <c r="CA834" s="26"/>
    </row>
    <row r="835" spans="1:79" s="143" customFormat="1" ht="15.75" hidden="1">
      <c r="A835" s="109">
        <v>-2.9999999999999997E-6</v>
      </c>
      <c r="B835" s="110">
        <f t="shared" si="48"/>
        <v>835</v>
      </c>
      <c r="C835" s="111" t="str">
        <f>IF(C$1=[1]!T.in.A[[#This Row],[oo2]],1,"")</f>
        <v/>
      </c>
      <c r="D835" s="112" t="str">
        <f>IF(Tab.o1[[#This Row],[a1]]=1,IF(SUM(C835:C836)=0,0,IF(SUM(C834:C835)=1,1,IF(SUM(C834:C836)&gt;1,D834+1,0))),"")</f>
        <v/>
      </c>
      <c r="E835" s="113" t="str">
        <f>IF(Tab.o1[[#This Row],[a1]]=1,[1]!T.in.A[[#This Row],[oo1]],"")</f>
        <v/>
      </c>
      <c r="F835" s="113" t="str">
        <f>IF(Tab.o1[[#This Row],[a1]]=1,[1]!T.in.A[[#This Row],[pp1]],"")</f>
        <v/>
      </c>
      <c r="G835" s="114" t="str">
        <f>IF(Tab.o1[[#This Row],[a1]]=1,G$2+IF(G$1=1,0,Tab.o1[[#This Row],[.x1]])+[1]!T.in.A[[#This Row],[oo3]],"")</f>
        <v/>
      </c>
      <c r="H835" s="115" t="str">
        <f>IF(Tab.o1[[#This Row],[a1]]=1,IF(H$2=0,0,IF(G$1=1,0,Tab.o1[[#This Row],[.x1]])+[1]!T.in.A[[#This Row],[oo4]]),"")</f>
        <v/>
      </c>
      <c r="I835" s="116" t="str">
        <f>IF(Tab.o1[[#This Row],[a1]]=1,IF(J$2=0,Tab.o1[[#This Row],[MED]],Tab.o1[[#This Row],[MOD]]),"")</f>
        <v/>
      </c>
      <c r="J835" s="116" t="str">
        <f>IF(Tab.o1[[#This Row],[a1]]=1,((Tab.o1[[#This Row],[DIF_Target.]]-AVERAGE(Tab.o1[DIF_Target.]))/_xlfn.STDEV.P(Tab.o1[DIF_Target.])),"")</f>
        <v/>
      </c>
      <c r="K835" s="117" t="str">
        <f>IF(Tab.o1[[#This Row],[a1]]=1,IF(J$2=0,Tab.o1[[#This Row],[MOD]]-Tab.o1[[#This Row],[B]],IF(J$2=1,0,-Tab.o1[[#This Row],[MED]])+Tab.o1[[#This Row],[B]]),"")</f>
        <v/>
      </c>
      <c r="L835" s="117" t="str">
        <f ca="1">IF(Tab.o1[[#This Row],[DIF_Target]]=0,IF(L$2=0,Tab.o1[[#This Row],[DIF_Target]],AVERAGE(OFFSET(Tab.o1[[#This Row],[DIF_Target]],1,0,L$3,1)))/3,Tab.o1[[#This Row],[DIF_Target]])</f>
        <v/>
      </c>
      <c r="M835" s="118" t="str">
        <f>IF(Tab.o1[[#This Row],[a1]]=1,NORMSDIST(Tab.o1[[#This Row],[Za]]),"")</f>
        <v/>
      </c>
      <c r="N835" s="119" t="str">
        <f>IF(Tab.o1[[#This Row],[a1]]=1,((Tab.o1[[#This Row],[MedMod]]-AVERAGE(Tab.o1[MedMod]))/_xlfn.STDEV.P(Tab.o1[MedMod])*H$1205)+G$1205,"")</f>
        <v/>
      </c>
      <c r="O835" s="141" t="str">
        <f>IF(Tab.o1[[#This Row],[a1]]=1,Tab.o1[[#This Row],[Zb]]*_xlfn.STDEV.P(Tab.o1[MedMod])+AVERAGE(Tab.o1[MedMod]),"")</f>
        <v/>
      </c>
      <c r="P835" s="117" t="str">
        <f ca="1">IF(Tab.o1[[#This Row],[B]]=0,AVERAGE(OFFSET(Tab.o1[[#This Row],[B]],1,0,L$3,1)),Tab.o1[[#This Row],[B]])</f>
        <v/>
      </c>
      <c r="Q835" s="121" t="str">
        <f>IF(Tab.o1[[#This Row],[a1]]=1,NORMSDIST(Tab.o1[[#This Row],[Zb]]),"")</f>
        <v/>
      </c>
      <c r="R835" s="122" t="str">
        <f>IF(Tab.o1[[#This Row],[a1]]=1,((Tab.o1[[#This Row],[MedMod]]-AVERAGE(Tab.o1[MedMod]))/_xlfn.STDEV.P(Tab.o1[MedMod])*H$1203)+G$1203,"")</f>
        <v/>
      </c>
      <c r="S835" s="122" t="str">
        <f>IF(Tab.o1[[#This Row],[a1]]=1,((Tab.o1[[#This Row],[MedMod]]-AVERAGE(Tab.o1[MedMod]))/_xlfn.STDEV.P(Tab.o1[MedMod])*H$1204)+G$1204,"")</f>
        <v/>
      </c>
      <c r="T835" s="123" t="str">
        <f>IF(Tab.o1[[#This Row],[a1]]=1,Tab.o1[[#This Row],[Z-]]*_xlfn.STDEV.P(Tab.o1[B])+AVERAGE(Tab.o1[B]),"")</f>
        <v/>
      </c>
      <c r="U835" s="123" t="str">
        <f>IF(Tab.o1[[#This Row],[a1]]=1,Tab.o1[[#This Row],[z+]]*_xlfn.STDEV.P(Tab.o1[B])+AVERAGE(Tab.o1[B]),"")</f>
        <v/>
      </c>
      <c r="V835" s="124" t="str">
        <f>IF(Tab.o1[[#This Row],[a1]]=1,ABS((ABS(Tab.o1[[#This Row],[Red]]-Tab.o1[[#This Row],[Blue]]))),"")</f>
        <v/>
      </c>
      <c r="W835" s="125" t="str">
        <f>IF(Tab.o1[[#This Row],[a1]]=1,IF(W$3=0,1,Tab.o1[[#This Row],[Amp.]]*1/_xlfn.MINIFS(Tab.o1[Amp.],Tab.o1[Amp.],"&lt;&gt;0")),"")</f>
        <v/>
      </c>
      <c r="X835" s="126" t="str">
        <f>IF(Tab.o1[[#This Row],[a1]]=1,IF(ISNUMBER(Tab.o1[[#This Row],[i.]]),NORMDIST(Tab.o1[[#This Row],[Za]],0,1,FALSE)*Tab.o1[[#This Row],[i.]],AP$3),"")</f>
        <v/>
      </c>
      <c r="Y835" s="126" t="str">
        <f>IF(Tab.o1[[#This Row],[a1]]=1,0.01+0.94*Tab.o1[[#This Row],[PDF]]/MAX(Tab.o1[PDF]),"")</f>
        <v/>
      </c>
      <c r="Z835" s="126" t="str">
        <f>IF(Tab.o1[[#This Row],[a1]]=1,0.01+0.94*Tab.o1[[#This Row],[W1_PDF]]/MAX(Tab.o1[W1_PDF]),"")</f>
        <v/>
      </c>
      <c r="AA835" s="118" t="str">
        <f>IF(Tab.o1[[#This Row],[a1]]=1,ABS([1]!T.in.A[[#This Row],[oo6]]),"")</f>
        <v/>
      </c>
      <c r="AB835" s="127" t="str">
        <f>IF(Tab.o1[[#This Row],[a1]]=1,IF(AE$3=0,"",IF(AB$3=0,ABS([1]!T.in.A[[#This Row],[oo9]]),ABS(Tab.o1[[#This Row],[DIF_Target.]]*Tab.o1[[#This Row],[W1_PDF]]))),"")</f>
        <v/>
      </c>
      <c r="AC835" s="127" t="str">
        <f>IF(G$1=1,"",IF(Tab.o1[[#This Row],[a1]]=1,Tab.o1[[#This Row],[Wr]]^2,""))</f>
        <v/>
      </c>
      <c r="AD835" s="118" t="str">
        <f>IF(Tab.o1[[#This Row],[a1]]=1,IF(AE$3=0,"",Tab.o1[[#This Row],[Wr2]]/SUM(Tab.o1[Wr2])),"")</f>
        <v/>
      </c>
      <c r="AE835" s="128" t="str">
        <f>IF(Tab.o1[[#This Row],[a1]]=1,[1]!T.in.A[[#This Row],[oo10]],"")</f>
        <v/>
      </c>
      <c r="AF835" s="118" t="str">
        <f>IF(Tab.o1[[#This Row],[a1]]=1,ABS(Tab.o1[[#This Row],[DIF_Target.]]*Tab.o1[[#This Row],[PDF2]]*Tab.o1[[#This Row],[IN]]),"")</f>
        <v/>
      </c>
      <c r="AG835" s="129" t="str">
        <f>IF(Tab.o1[[#This Row],[a1]]=1,Tab.o1[[#This Row],[rW]]^2,"")</f>
        <v/>
      </c>
      <c r="AH835" s="130" t="str">
        <f>IF(Tab.o1[[#This Row],[a1]]=1,IF(AH$3=0,Tab.o1[[#This Row],[rW2]],0.01+0.94*Tab.o1[[#This Row],[rW2]]/SUM(Tab.o1[rW2])),"")</f>
        <v/>
      </c>
      <c r="AI835" s="128" t="str">
        <f>IF(Tab.o1[[#This Row],[a1]]=1,1/Tab.o1[[#This Row],[PDF]],"")</f>
        <v/>
      </c>
      <c r="AJ835" s="131" t="str">
        <f>IF(Tab.o1[[#This Row],[a1]]=1,[1]!T_AA[[#This Row],[IN'']]*[1]!T_AA[[#This Row],[Qde'']],"")</f>
        <v/>
      </c>
      <c r="AK835" s="132" t="str">
        <f>IF(Tab.o1[[#This Row],[a1]]=1,IF(AK$1=1,Tab.o1[[#This Row],[MED]]+Tab.o1[[#This Row],[MOD]]-Tab.o1[[#This Row],[MED]],""),"")</f>
        <v/>
      </c>
      <c r="AL835" s="133" t="str">
        <f>IF(Tab.o1[[#This Row],[a1]]=1,[1]!T.in.A[[#This Row],[oo16]],"")</f>
        <v/>
      </c>
      <c r="AM835" s="133" t="str">
        <f>IF(Tab.o1[[#This Row],[a1]]=1,IF(AM$3=1,[1]!T.in.A[[#This Row],[Σo16]],""),"")</f>
        <v/>
      </c>
      <c r="AN835" s="126" t="str">
        <f>IF(Tab.o1[[#This Row],[a1]]=1,[1]!T.in.A[[#This Row],[Σp5]],"")</f>
        <v/>
      </c>
      <c r="AO835" s="126" t="str">
        <f>IF(Tab.o1[[#This Row],[a1]]=1,IF(AO$3=1,[1]!T.in.A[[#This Row],[Σp5]],""),"")</f>
        <v/>
      </c>
      <c r="AP835" s="110" t="str">
        <f>IF(Tab.o1[[#This Row],[a1]]=1,IF(ISNUMBER(Tab.o1[[#This Row],[i.]]),NORMDIST(Tab.o1[[#This Row],[Za]],0,1,FALSE)*Tab.o1[[#This Row],[i.]],0),"")</f>
        <v/>
      </c>
      <c r="AQ835" s="125" t="str">
        <f>IF(Tab.o1[[#This Row],[a1]]=1,ABS(Tab.o1[[#This Row],[MOD]]-AVERAGE(Tab.o1[MOD])),"")</f>
        <v/>
      </c>
      <c r="AR835" s="134" t="str">
        <f>IF(Tab.o1[[#This Row],[a1]]=1,Tab.o1[[#This Row],[OBS]]/SUM(Tab.o1[OBS]),"")</f>
        <v/>
      </c>
      <c r="AS835" s="135" t="str">
        <f>IF(ISNUMBER(Tab.o1[[#This Row],[a1]]),ROW()-4,"")</f>
        <v/>
      </c>
      <c r="AT835" s="136" t="str">
        <f>Tab.o1[[#This Row],[MOD]]</f>
        <v/>
      </c>
      <c r="AU835" s="137" t="str">
        <f t="shared" si="49"/>
        <v/>
      </c>
      <c r="AV835" s="138" t="str">
        <f t="shared" si="50"/>
        <v/>
      </c>
      <c r="AW835" s="138" t="str">
        <f t="shared" si="51"/>
        <v/>
      </c>
      <c r="AX835" s="139" t="str">
        <f>[1]!T.in.A[[#This Row],[ID_T_manu]]</f>
        <v/>
      </c>
      <c r="AY835" s="140" t="str">
        <f>IF(ISNUMBER(Tab.o1[[#This Row],[a1]]),IF(AND(Tab.o1[[#This Row],[a1]]=1,Tab.o1[[#This Row],[b1]]&lt;=AY$4),#REF!,AY834),"")</f>
        <v/>
      </c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6"/>
      <c r="BO835" s="26"/>
      <c r="BP835" s="26"/>
      <c r="BQ835" s="26"/>
      <c r="BR835" s="26"/>
      <c r="BS835" s="26"/>
      <c r="BT835" s="26"/>
      <c r="BU835" s="26"/>
      <c r="BV835" s="26"/>
      <c r="BW835" s="26"/>
      <c r="BX835" s="26"/>
      <c r="BY835" s="26"/>
      <c r="BZ835" s="26"/>
      <c r="CA835" s="26"/>
    </row>
    <row r="836" spans="1:79" s="143" customFormat="1" ht="15.75" hidden="1">
      <c r="A836" s="109">
        <v>1.0000000000000001E-5</v>
      </c>
      <c r="B836" s="110">
        <f t="shared" si="48"/>
        <v>836</v>
      </c>
      <c r="C836" s="111" t="str">
        <f>IF(C$1=[1]!T.in.A[[#This Row],[oo2]],1,"")</f>
        <v/>
      </c>
      <c r="D836" s="112" t="str">
        <f>IF(Tab.o1[[#This Row],[a1]]=1,IF(SUM(C836:C837)=0,0,IF(SUM(C835:C836)=1,1,IF(SUM(C835:C837)&gt;1,D835+1,0))),"")</f>
        <v/>
      </c>
      <c r="E836" s="113" t="str">
        <f>IF(Tab.o1[[#This Row],[a1]]=1,[1]!T.in.A[[#This Row],[oo1]],"")</f>
        <v/>
      </c>
      <c r="F836" s="113" t="str">
        <f>IF(Tab.o1[[#This Row],[a1]]=1,[1]!T.in.A[[#This Row],[pp1]],"")</f>
        <v/>
      </c>
      <c r="G836" s="114" t="str">
        <f>IF(Tab.o1[[#This Row],[a1]]=1,G$2+IF(G$1=1,0,Tab.o1[[#This Row],[.x1]])+[1]!T.in.A[[#This Row],[oo3]],"")</f>
        <v/>
      </c>
      <c r="H836" s="115" t="str">
        <f>IF(Tab.o1[[#This Row],[a1]]=1,IF(H$2=0,0,IF(G$1=1,0,Tab.o1[[#This Row],[.x1]])+[1]!T.in.A[[#This Row],[oo4]]),"")</f>
        <v/>
      </c>
      <c r="I836" s="116" t="str">
        <f>IF(Tab.o1[[#This Row],[a1]]=1,IF(J$2=0,Tab.o1[[#This Row],[MED]],Tab.o1[[#This Row],[MOD]]),"")</f>
        <v/>
      </c>
      <c r="J836" s="116" t="str">
        <f>IF(Tab.o1[[#This Row],[a1]]=1,((Tab.o1[[#This Row],[DIF_Target.]]-AVERAGE(Tab.o1[DIF_Target.]))/_xlfn.STDEV.P(Tab.o1[DIF_Target.])),"")</f>
        <v/>
      </c>
      <c r="K836" s="117" t="str">
        <f>IF(Tab.o1[[#This Row],[a1]]=1,IF(J$2=0,Tab.o1[[#This Row],[MOD]]-Tab.o1[[#This Row],[B]],IF(J$2=1,0,-Tab.o1[[#This Row],[MED]])+Tab.o1[[#This Row],[B]]),"")</f>
        <v/>
      </c>
      <c r="L836" s="117" t="str">
        <f ca="1">IF(Tab.o1[[#This Row],[DIF_Target]]=0,IF(L$2=0,Tab.o1[[#This Row],[DIF_Target]],AVERAGE(OFFSET(Tab.o1[[#This Row],[DIF_Target]],1,0,L$3,1)))/3,Tab.o1[[#This Row],[DIF_Target]])</f>
        <v/>
      </c>
      <c r="M836" s="118" t="str">
        <f>IF(Tab.o1[[#This Row],[a1]]=1,NORMSDIST(Tab.o1[[#This Row],[Za]]),"")</f>
        <v/>
      </c>
      <c r="N836" s="119" t="str">
        <f>IF(Tab.o1[[#This Row],[a1]]=1,((Tab.o1[[#This Row],[MedMod]]-AVERAGE(Tab.o1[MedMod]))/_xlfn.STDEV.P(Tab.o1[MedMod])*H$1205)+G$1205,"")</f>
        <v/>
      </c>
      <c r="O836" s="141" t="str">
        <f>IF(Tab.o1[[#This Row],[a1]]=1,Tab.o1[[#This Row],[Zb]]*_xlfn.STDEV.P(Tab.o1[MedMod])+AVERAGE(Tab.o1[MedMod]),"")</f>
        <v/>
      </c>
      <c r="P836" s="117" t="str">
        <f ca="1">IF(Tab.o1[[#This Row],[B]]=0,AVERAGE(OFFSET(Tab.o1[[#This Row],[B]],1,0,L$3,1)),Tab.o1[[#This Row],[B]])</f>
        <v/>
      </c>
      <c r="Q836" s="121" t="str">
        <f>IF(Tab.o1[[#This Row],[a1]]=1,NORMSDIST(Tab.o1[[#This Row],[Zb]]),"")</f>
        <v/>
      </c>
      <c r="R836" s="122" t="str">
        <f>IF(Tab.o1[[#This Row],[a1]]=1,((Tab.o1[[#This Row],[MedMod]]-AVERAGE(Tab.o1[MedMod]))/_xlfn.STDEV.P(Tab.o1[MedMod])*H$1203)+G$1203,"")</f>
        <v/>
      </c>
      <c r="S836" s="122" t="str">
        <f>IF(Tab.o1[[#This Row],[a1]]=1,((Tab.o1[[#This Row],[MedMod]]-AVERAGE(Tab.o1[MedMod]))/_xlfn.STDEV.P(Tab.o1[MedMod])*H$1204)+G$1204,"")</f>
        <v/>
      </c>
      <c r="T836" s="123" t="str">
        <f>IF(Tab.o1[[#This Row],[a1]]=1,Tab.o1[[#This Row],[Z-]]*_xlfn.STDEV.P(Tab.o1[B])+AVERAGE(Tab.o1[B]),"")</f>
        <v/>
      </c>
      <c r="U836" s="123" t="str">
        <f>IF(Tab.o1[[#This Row],[a1]]=1,Tab.o1[[#This Row],[z+]]*_xlfn.STDEV.P(Tab.o1[B])+AVERAGE(Tab.o1[B]),"")</f>
        <v/>
      </c>
      <c r="V836" s="124" t="str">
        <f>IF(Tab.o1[[#This Row],[a1]]=1,ABS((ABS(Tab.o1[[#This Row],[Red]]-Tab.o1[[#This Row],[Blue]]))),"")</f>
        <v/>
      </c>
      <c r="W836" s="125" t="str">
        <f>IF(Tab.o1[[#This Row],[a1]]=1,IF(W$3=0,1,Tab.o1[[#This Row],[Amp.]]*1/_xlfn.MINIFS(Tab.o1[Amp.],Tab.o1[Amp.],"&lt;&gt;0")),"")</f>
        <v/>
      </c>
      <c r="X836" s="126" t="str">
        <f>IF(Tab.o1[[#This Row],[a1]]=1,IF(ISNUMBER(Tab.o1[[#This Row],[i.]]),NORMDIST(Tab.o1[[#This Row],[Za]],0,1,FALSE)*Tab.o1[[#This Row],[i.]],AP$3),"")</f>
        <v/>
      </c>
      <c r="Y836" s="126" t="str">
        <f>IF(Tab.o1[[#This Row],[a1]]=1,0.01+0.94*Tab.o1[[#This Row],[PDF]]/MAX(Tab.o1[PDF]),"")</f>
        <v/>
      </c>
      <c r="Z836" s="126" t="str">
        <f>IF(Tab.o1[[#This Row],[a1]]=1,0.01+0.94*Tab.o1[[#This Row],[W1_PDF]]/MAX(Tab.o1[W1_PDF]),"")</f>
        <v/>
      </c>
      <c r="AA836" s="118" t="str">
        <f>IF(Tab.o1[[#This Row],[a1]]=1,ABS([1]!T.in.A[[#This Row],[oo6]]),"")</f>
        <v/>
      </c>
      <c r="AB836" s="127" t="str">
        <f>IF(Tab.o1[[#This Row],[a1]]=1,IF(AE$3=0,"",IF(AB$3=0,ABS([1]!T.in.A[[#This Row],[oo9]]),ABS(Tab.o1[[#This Row],[DIF_Target.]]*Tab.o1[[#This Row],[W1_PDF]]))),"")</f>
        <v/>
      </c>
      <c r="AC836" s="127" t="str">
        <f>IF(G$1=1,"",IF(Tab.o1[[#This Row],[a1]]=1,Tab.o1[[#This Row],[Wr]]^2,""))</f>
        <v/>
      </c>
      <c r="AD836" s="118" t="str">
        <f>IF(Tab.o1[[#This Row],[a1]]=1,IF(AE$3=0,"",Tab.o1[[#This Row],[Wr2]]/SUM(Tab.o1[Wr2])),"")</f>
        <v/>
      </c>
      <c r="AE836" s="128" t="str">
        <f>IF(Tab.o1[[#This Row],[a1]]=1,[1]!T.in.A[[#This Row],[oo10]],"")</f>
        <v/>
      </c>
      <c r="AF836" s="118" t="str">
        <f>IF(Tab.o1[[#This Row],[a1]]=1,ABS(Tab.o1[[#This Row],[DIF_Target.]]*Tab.o1[[#This Row],[PDF2]]*Tab.o1[[#This Row],[IN]]),"")</f>
        <v/>
      </c>
      <c r="AG836" s="129" t="str">
        <f>IF(Tab.o1[[#This Row],[a1]]=1,Tab.o1[[#This Row],[rW]]^2,"")</f>
        <v/>
      </c>
      <c r="AH836" s="130" t="str">
        <f>IF(Tab.o1[[#This Row],[a1]]=1,IF(AH$3=0,Tab.o1[[#This Row],[rW2]],0.01+0.94*Tab.o1[[#This Row],[rW2]]/SUM(Tab.o1[rW2])),"")</f>
        <v/>
      </c>
      <c r="AI836" s="128" t="str">
        <f>IF(Tab.o1[[#This Row],[a1]]=1,1/Tab.o1[[#This Row],[PDF]],"")</f>
        <v/>
      </c>
      <c r="AJ836" s="131" t="str">
        <f>IF(Tab.o1[[#This Row],[a1]]=1,[1]!T_AA[[#This Row],[IN'']]*[1]!T_AA[[#This Row],[Qde'']],"")</f>
        <v/>
      </c>
      <c r="AK836" s="132" t="str">
        <f>IF(Tab.o1[[#This Row],[a1]]=1,IF(AK$1=1,Tab.o1[[#This Row],[MED]]+Tab.o1[[#This Row],[MOD]]-Tab.o1[[#This Row],[MED]],""),"")</f>
        <v/>
      </c>
      <c r="AL836" s="133" t="str">
        <f>IF(Tab.o1[[#This Row],[a1]]=1,[1]!T.in.A[[#This Row],[oo16]],"")</f>
        <v/>
      </c>
      <c r="AM836" s="133" t="str">
        <f>IF(Tab.o1[[#This Row],[a1]]=1,IF(AM$3=1,[1]!T.in.A[[#This Row],[Σo16]],""),"")</f>
        <v/>
      </c>
      <c r="AN836" s="126" t="str">
        <f>IF(Tab.o1[[#This Row],[a1]]=1,[1]!T.in.A[[#This Row],[Σp5]],"")</f>
        <v/>
      </c>
      <c r="AO836" s="126" t="str">
        <f>IF(Tab.o1[[#This Row],[a1]]=1,IF(AO$3=1,[1]!T.in.A[[#This Row],[Σp5]],""),"")</f>
        <v/>
      </c>
      <c r="AP836" s="110" t="str">
        <f>IF(Tab.o1[[#This Row],[a1]]=1,IF(ISNUMBER(Tab.o1[[#This Row],[i.]]),NORMDIST(Tab.o1[[#This Row],[Za]],0,1,FALSE)*Tab.o1[[#This Row],[i.]],0),"")</f>
        <v/>
      </c>
      <c r="AQ836" s="125" t="str">
        <f>IF(Tab.o1[[#This Row],[a1]]=1,ABS(Tab.o1[[#This Row],[MOD]]-AVERAGE(Tab.o1[MOD])),"")</f>
        <v/>
      </c>
      <c r="AR836" s="134" t="str">
        <f>IF(Tab.o1[[#This Row],[a1]]=1,Tab.o1[[#This Row],[OBS]]/SUM(Tab.o1[OBS]),"")</f>
        <v/>
      </c>
      <c r="AS836" s="135" t="str">
        <f>IF(ISNUMBER(Tab.o1[[#This Row],[a1]]),ROW()-4,"")</f>
        <v/>
      </c>
      <c r="AT836" s="136" t="str">
        <f>Tab.o1[[#This Row],[MOD]]</f>
        <v/>
      </c>
      <c r="AU836" s="137" t="str">
        <f t="shared" si="49"/>
        <v/>
      </c>
      <c r="AV836" s="138" t="str">
        <f t="shared" si="50"/>
        <v/>
      </c>
      <c r="AW836" s="138" t="str">
        <f t="shared" si="51"/>
        <v/>
      </c>
      <c r="AX836" s="139" t="str">
        <f>[1]!T.in.A[[#This Row],[ID_T_manu]]</f>
        <v/>
      </c>
      <c r="AY836" s="140" t="str">
        <f>IF(ISNUMBER(Tab.o1[[#This Row],[a1]]),IF(AND(Tab.o1[[#This Row],[a1]]=1,Tab.o1[[#This Row],[b1]]&lt;=AY$4),#REF!,AY835),"")</f>
        <v/>
      </c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6"/>
      <c r="BO836" s="26"/>
      <c r="BP836" s="26"/>
      <c r="BQ836" s="26"/>
      <c r="BR836" s="26"/>
      <c r="BS836" s="26"/>
      <c r="BT836" s="26"/>
      <c r="BU836" s="26"/>
      <c r="BV836" s="26"/>
      <c r="BW836" s="26"/>
      <c r="BX836" s="26"/>
      <c r="BY836" s="26"/>
      <c r="BZ836" s="26"/>
      <c r="CA836" s="26"/>
    </row>
    <row r="837" spans="1:79" s="143" customFormat="1" ht="15.75" hidden="1">
      <c r="A837" s="109">
        <v>9.0000000000000002E-6</v>
      </c>
      <c r="B837" s="110">
        <f t="shared" si="48"/>
        <v>837</v>
      </c>
      <c r="C837" s="111" t="str">
        <f>IF(C$1=[1]!T.in.A[[#This Row],[oo2]],1,"")</f>
        <v/>
      </c>
      <c r="D837" s="112" t="str">
        <f>IF(Tab.o1[[#This Row],[a1]]=1,IF(SUM(C837:C838)=0,0,IF(SUM(C836:C837)=1,1,IF(SUM(C836:C838)&gt;1,D836+1,0))),"")</f>
        <v/>
      </c>
      <c r="E837" s="113" t="str">
        <f>IF(Tab.o1[[#This Row],[a1]]=1,[1]!T.in.A[[#This Row],[oo1]],"")</f>
        <v/>
      </c>
      <c r="F837" s="113" t="str">
        <f>IF(Tab.o1[[#This Row],[a1]]=1,[1]!T.in.A[[#This Row],[pp1]],"")</f>
        <v/>
      </c>
      <c r="G837" s="114" t="str">
        <f>IF(Tab.o1[[#This Row],[a1]]=1,G$2+IF(G$1=1,0,Tab.o1[[#This Row],[.x1]])+[1]!T.in.A[[#This Row],[oo3]],"")</f>
        <v/>
      </c>
      <c r="H837" s="115" t="str">
        <f>IF(Tab.o1[[#This Row],[a1]]=1,IF(H$2=0,0,IF(G$1=1,0,Tab.o1[[#This Row],[.x1]])+[1]!T.in.A[[#This Row],[oo4]]),"")</f>
        <v/>
      </c>
      <c r="I837" s="116" t="str">
        <f>IF(Tab.o1[[#This Row],[a1]]=1,IF(J$2=0,Tab.o1[[#This Row],[MED]],Tab.o1[[#This Row],[MOD]]),"")</f>
        <v/>
      </c>
      <c r="J837" s="116" t="str">
        <f>IF(Tab.o1[[#This Row],[a1]]=1,((Tab.o1[[#This Row],[DIF_Target.]]-AVERAGE(Tab.o1[DIF_Target.]))/_xlfn.STDEV.P(Tab.o1[DIF_Target.])),"")</f>
        <v/>
      </c>
      <c r="K837" s="117" t="str">
        <f>IF(Tab.o1[[#This Row],[a1]]=1,IF(J$2=0,Tab.o1[[#This Row],[MOD]]-Tab.o1[[#This Row],[B]],IF(J$2=1,0,-Tab.o1[[#This Row],[MED]])+Tab.o1[[#This Row],[B]]),"")</f>
        <v/>
      </c>
      <c r="L837" s="117" t="str">
        <f ca="1">IF(Tab.o1[[#This Row],[DIF_Target]]=0,IF(L$2=0,Tab.o1[[#This Row],[DIF_Target]],AVERAGE(OFFSET(Tab.o1[[#This Row],[DIF_Target]],1,0,L$3,1)))/3,Tab.o1[[#This Row],[DIF_Target]])</f>
        <v/>
      </c>
      <c r="M837" s="118" t="str">
        <f>IF(Tab.o1[[#This Row],[a1]]=1,NORMSDIST(Tab.o1[[#This Row],[Za]]),"")</f>
        <v/>
      </c>
      <c r="N837" s="119" t="str">
        <f>IF(Tab.o1[[#This Row],[a1]]=1,((Tab.o1[[#This Row],[MedMod]]-AVERAGE(Tab.o1[MedMod]))/_xlfn.STDEV.P(Tab.o1[MedMod])*H$1205)+G$1205,"")</f>
        <v/>
      </c>
      <c r="O837" s="141" t="str">
        <f>IF(Tab.o1[[#This Row],[a1]]=1,Tab.o1[[#This Row],[Zb]]*_xlfn.STDEV.P(Tab.o1[MedMod])+AVERAGE(Tab.o1[MedMod]),"")</f>
        <v/>
      </c>
      <c r="P837" s="117" t="str">
        <f ca="1">IF(Tab.o1[[#This Row],[B]]=0,AVERAGE(OFFSET(Tab.o1[[#This Row],[B]],1,0,L$3,1)),Tab.o1[[#This Row],[B]])</f>
        <v/>
      </c>
      <c r="Q837" s="121" t="str">
        <f>IF(Tab.o1[[#This Row],[a1]]=1,NORMSDIST(Tab.o1[[#This Row],[Zb]]),"")</f>
        <v/>
      </c>
      <c r="R837" s="122" t="str">
        <f>IF(Tab.o1[[#This Row],[a1]]=1,((Tab.o1[[#This Row],[MedMod]]-AVERAGE(Tab.o1[MedMod]))/_xlfn.STDEV.P(Tab.o1[MedMod])*H$1203)+G$1203,"")</f>
        <v/>
      </c>
      <c r="S837" s="122" t="str">
        <f>IF(Tab.o1[[#This Row],[a1]]=1,((Tab.o1[[#This Row],[MedMod]]-AVERAGE(Tab.o1[MedMod]))/_xlfn.STDEV.P(Tab.o1[MedMod])*H$1204)+G$1204,"")</f>
        <v/>
      </c>
      <c r="T837" s="123" t="str">
        <f>IF(Tab.o1[[#This Row],[a1]]=1,Tab.o1[[#This Row],[Z-]]*_xlfn.STDEV.P(Tab.o1[B])+AVERAGE(Tab.o1[B]),"")</f>
        <v/>
      </c>
      <c r="U837" s="123" t="str">
        <f>IF(Tab.o1[[#This Row],[a1]]=1,Tab.o1[[#This Row],[z+]]*_xlfn.STDEV.P(Tab.o1[B])+AVERAGE(Tab.o1[B]),"")</f>
        <v/>
      </c>
      <c r="V837" s="124" t="str">
        <f>IF(Tab.o1[[#This Row],[a1]]=1,ABS((ABS(Tab.o1[[#This Row],[Red]]-Tab.o1[[#This Row],[Blue]]))),"")</f>
        <v/>
      </c>
      <c r="W837" s="125" t="str">
        <f>IF(Tab.o1[[#This Row],[a1]]=1,IF(W$3=0,1,Tab.o1[[#This Row],[Amp.]]*1/_xlfn.MINIFS(Tab.o1[Amp.],Tab.o1[Amp.],"&lt;&gt;0")),"")</f>
        <v/>
      </c>
      <c r="X837" s="126" t="str">
        <f>IF(Tab.o1[[#This Row],[a1]]=1,IF(ISNUMBER(Tab.o1[[#This Row],[i.]]),NORMDIST(Tab.o1[[#This Row],[Za]],0,1,FALSE)*Tab.o1[[#This Row],[i.]],AP$3),"")</f>
        <v/>
      </c>
      <c r="Y837" s="126" t="str">
        <f>IF(Tab.o1[[#This Row],[a1]]=1,0.01+0.94*Tab.o1[[#This Row],[PDF]]/MAX(Tab.o1[PDF]),"")</f>
        <v/>
      </c>
      <c r="Z837" s="126" t="str">
        <f>IF(Tab.o1[[#This Row],[a1]]=1,0.01+0.94*Tab.o1[[#This Row],[W1_PDF]]/MAX(Tab.o1[W1_PDF]),"")</f>
        <v/>
      </c>
      <c r="AA837" s="118" t="str">
        <f>IF(Tab.o1[[#This Row],[a1]]=1,ABS([1]!T.in.A[[#This Row],[oo6]]),"")</f>
        <v/>
      </c>
      <c r="AB837" s="127" t="str">
        <f>IF(Tab.o1[[#This Row],[a1]]=1,IF(AE$3=0,"",IF(AB$3=0,ABS([1]!T.in.A[[#This Row],[oo9]]),ABS(Tab.o1[[#This Row],[DIF_Target.]]*Tab.o1[[#This Row],[W1_PDF]]))),"")</f>
        <v/>
      </c>
      <c r="AC837" s="127" t="str">
        <f>IF(G$1=1,"",IF(Tab.o1[[#This Row],[a1]]=1,Tab.o1[[#This Row],[Wr]]^2,""))</f>
        <v/>
      </c>
      <c r="AD837" s="118" t="str">
        <f>IF(Tab.o1[[#This Row],[a1]]=1,IF(AE$3=0,"",Tab.o1[[#This Row],[Wr2]]/SUM(Tab.o1[Wr2])),"")</f>
        <v/>
      </c>
      <c r="AE837" s="128" t="str">
        <f>IF(Tab.o1[[#This Row],[a1]]=1,[1]!T.in.A[[#This Row],[oo10]],"")</f>
        <v/>
      </c>
      <c r="AF837" s="118" t="str">
        <f>IF(Tab.o1[[#This Row],[a1]]=1,ABS(Tab.o1[[#This Row],[DIF_Target.]]*Tab.o1[[#This Row],[PDF2]]*Tab.o1[[#This Row],[IN]]),"")</f>
        <v/>
      </c>
      <c r="AG837" s="129" t="str">
        <f>IF(Tab.o1[[#This Row],[a1]]=1,Tab.o1[[#This Row],[rW]]^2,"")</f>
        <v/>
      </c>
      <c r="AH837" s="130" t="str">
        <f>IF(Tab.o1[[#This Row],[a1]]=1,IF(AH$3=0,Tab.o1[[#This Row],[rW2]],0.01+0.94*Tab.o1[[#This Row],[rW2]]/SUM(Tab.o1[rW2])),"")</f>
        <v/>
      </c>
      <c r="AI837" s="128" t="str">
        <f>IF(Tab.o1[[#This Row],[a1]]=1,1/Tab.o1[[#This Row],[PDF]],"")</f>
        <v/>
      </c>
      <c r="AJ837" s="131" t="str">
        <f>IF(Tab.o1[[#This Row],[a1]]=1,[1]!T_AA[[#This Row],[IN'']]*[1]!T_AA[[#This Row],[Qde'']],"")</f>
        <v/>
      </c>
      <c r="AK837" s="132" t="str">
        <f>IF(Tab.o1[[#This Row],[a1]]=1,IF(AK$1=1,Tab.o1[[#This Row],[MED]]+Tab.o1[[#This Row],[MOD]]-Tab.o1[[#This Row],[MED]],""),"")</f>
        <v/>
      </c>
      <c r="AL837" s="133" t="str">
        <f>IF(Tab.o1[[#This Row],[a1]]=1,[1]!T.in.A[[#This Row],[oo16]],"")</f>
        <v/>
      </c>
      <c r="AM837" s="133" t="str">
        <f>IF(Tab.o1[[#This Row],[a1]]=1,IF(AM$3=1,[1]!T.in.A[[#This Row],[Σo16]],""),"")</f>
        <v/>
      </c>
      <c r="AN837" s="126" t="str">
        <f>IF(Tab.o1[[#This Row],[a1]]=1,[1]!T.in.A[[#This Row],[Σp5]],"")</f>
        <v/>
      </c>
      <c r="AO837" s="126" t="str">
        <f>IF(Tab.o1[[#This Row],[a1]]=1,IF(AO$3=1,[1]!T.in.A[[#This Row],[Σp5]],""),"")</f>
        <v/>
      </c>
      <c r="AP837" s="110" t="str">
        <f>IF(Tab.o1[[#This Row],[a1]]=1,IF(ISNUMBER(Tab.o1[[#This Row],[i.]]),NORMDIST(Tab.o1[[#This Row],[Za]],0,1,FALSE)*Tab.o1[[#This Row],[i.]],0),"")</f>
        <v/>
      </c>
      <c r="AQ837" s="125" t="str">
        <f>IF(Tab.o1[[#This Row],[a1]]=1,ABS(Tab.o1[[#This Row],[MOD]]-AVERAGE(Tab.o1[MOD])),"")</f>
        <v/>
      </c>
      <c r="AR837" s="134" t="str">
        <f>IF(Tab.o1[[#This Row],[a1]]=1,Tab.o1[[#This Row],[OBS]]/SUM(Tab.o1[OBS]),"")</f>
        <v/>
      </c>
      <c r="AS837" s="135" t="str">
        <f>IF(ISNUMBER(Tab.o1[[#This Row],[a1]]),ROW()-4,"")</f>
        <v/>
      </c>
      <c r="AT837" s="136" t="str">
        <f>Tab.o1[[#This Row],[MOD]]</f>
        <v/>
      </c>
      <c r="AU837" s="137" t="str">
        <f t="shared" si="49"/>
        <v/>
      </c>
      <c r="AV837" s="138" t="str">
        <f t="shared" si="50"/>
        <v/>
      </c>
      <c r="AW837" s="138" t="str">
        <f t="shared" si="51"/>
        <v/>
      </c>
      <c r="AX837" s="139" t="str">
        <f>[1]!T.in.A[[#This Row],[ID_T_manu]]</f>
        <v/>
      </c>
      <c r="AY837" s="140" t="str">
        <f>IF(ISNUMBER(Tab.o1[[#This Row],[a1]]),IF(AND(Tab.o1[[#This Row],[a1]]=1,Tab.o1[[#This Row],[b1]]&lt;=AY$4),#REF!,AY836),"")</f>
        <v/>
      </c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6"/>
      <c r="BO837" s="26"/>
      <c r="BP837" s="26"/>
      <c r="BQ837" s="26"/>
      <c r="BR837" s="26"/>
      <c r="BS837" s="26"/>
      <c r="BT837" s="26"/>
      <c r="BU837" s="26"/>
      <c r="BV837" s="26"/>
      <c r="BW837" s="26"/>
      <c r="BX837" s="26"/>
      <c r="BY837" s="26"/>
      <c r="BZ837" s="26"/>
      <c r="CA837" s="26"/>
    </row>
    <row r="838" spans="1:79" s="143" customFormat="1" ht="15.75" hidden="1">
      <c r="A838" s="109">
        <v>2.9999999999999997E-6</v>
      </c>
      <c r="B838" s="110">
        <f t="shared" ref="B838:B901" si="52">B837+1</f>
        <v>838</v>
      </c>
      <c r="C838" s="111" t="str">
        <f>IF(C$1=[1]!T.in.A[[#This Row],[oo2]],1,"")</f>
        <v/>
      </c>
      <c r="D838" s="112" t="str">
        <f>IF(Tab.o1[[#This Row],[a1]]=1,IF(SUM(C838:C839)=0,0,IF(SUM(C837:C838)=1,1,IF(SUM(C837:C839)&gt;1,D837+1,0))),"")</f>
        <v/>
      </c>
      <c r="E838" s="113" t="str">
        <f>IF(Tab.o1[[#This Row],[a1]]=1,[1]!T.in.A[[#This Row],[oo1]],"")</f>
        <v/>
      </c>
      <c r="F838" s="113" t="str">
        <f>IF(Tab.o1[[#This Row],[a1]]=1,[1]!T.in.A[[#This Row],[pp1]],"")</f>
        <v/>
      </c>
      <c r="G838" s="114" t="str">
        <f>IF(Tab.o1[[#This Row],[a1]]=1,G$2+IF(G$1=1,0,Tab.o1[[#This Row],[.x1]])+[1]!T.in.A[[#This Row],[oo3]],"")</f>
        <v/>
      </c>
      <c r="H838" s="115" t="str">
        <f>IF(Tab.o1[[#This Row],[a1]]=1,IF(H$2=0,0,IF(G$1=1,0,Tab.o1[[#This Row],[.x1]])+[1]!T.in.A[[#This Row],[oo4]]),"")</f>
        <v/>
      </c>
      <c r="I838" s="116" t="str">
        <f>IF(Tab.o1[[#This Row],[a1]]=1,IF(J$2=0,Tab.o1[[#This Row],[MED]],Tab.o1[[#This Row],[MOD]]),"")</f>
        <v/>
      </c>
      <c r="J838" s="116" t="str">
        <f>IF(Tab.o1[[#This Row],[a1]]=1,((Tab.o1[[#This Row],[DIF_Target.]]-AVERAGE(Tab.o1[DIF_Target.]))/_xlfn.STDEV.P(Tab.o1[DIF_Target.])),"")</f>
        <v/>
      </c>
      <c r="K838" s="117" t="str">
        <f>IF(Tab.o1[[#This Row],[a1]]=1,IF(J$2=0,Tab.o1[[#This Row],[MOD]]-Tab.o1[[#This Row],[B]],IF(J$2=1,0,-Tab.o1[[#This Row],[MED]])+Tab.o1[[#This Row],[B]]),"")</f>
        <v/>
      </c>
      <c r="L838" s="117" t="str">
        <f ca="1">IF(Tab.o1[[#This Row],[DIF_Target]]=0,IF(L$2=0,Tab.o1[[#This Row],[DIF_Target]],AVERAGE(OFFSET(Tab.o1[[#This Row],[DIF_Target]],1,0,L$3,1)))/3,Tab.o1[[#This Row],[DIF_Target]])</f>
        <v/>
      </c>
      <c r="M838" s="118" t="str">
        <f>IF(Tab.o1[[#This Row],[a1]]=1,NORMSDIST(Tab.o1[[#This Row],[Za]]),"")</f>
        <v/>
      </c>
      <c r="N838" s="119" t="str">
        <f>IF(Tab.o1[[#This Row],[a1]]=1,((Tab.o1[[#This Row],[MedMod]]-AVERAGE(Tab.o1[MedMod]))/_xlfn.STDEV.P(Tab.o1[MedMod])*H$1205)+G$1205,"")</f>
        <v/>
      </c>
      <c r="O838" s="141" t="str">
        <f>IF(Tab.o1[[#This Row],[a1]]=1,Tab.o1[[#This Row],[Zb]]*_xlfn.STDEV.P(Tab.o1[MedMod])+AVERAGE(Tab.o1[MedMod]),"")</f>
        <v/>
      </c>
      <c r="P838" s="117" t="str">
        <f ca="1">IF(Tab.o1[[#This Row],[B]]=0,AVERAGE(OFFSET(Tab.o1[[#This Row],[B]],1,0,L$3,1)),Tab.o1[[#This Row],[B]])</f>
        <v/>
      </c>
      <c r="Q838" s="121" t="str">
        <f>IF(Tab.o1[[#This Row],[a1]]=1,NORMSDIST(Tab.o1[[#This Row],[Zb]]),"")</f>
        <v/>
      </c>
      <c r="R838" s="122" t="str">
        <f>IF(Tab.o1[[#This Row],[a1]]=1,((Tab.o1[[#This Row],[MedMod]]-AVERAGE(Tab.o1[MedMod]))/_xlfn.STDEV.P(Tab.o1[MedMod])*H$1203)+G$1203,"")</f>
        <v/>
      </c>
      <c r="S838" s="122" t="str">
        <f>IF(Tab.o1[[#This Row],[a1]]=1,((Tab.o1[[#This Row],[MedMod]]-AVERAGE(Tab.o1[MedMod]))/_xlfn.STDEV.P(Tab.o1[MedMod])*H$1204)+G$1204,"")</f>
        <v/>
      </c>
      <c r="T838" s="123" t="str">
        <f>IF(Tab.o1[[#This Row],[a1]]=1,Tab.o1[[#This Row],[Z-]]*_xlfn.STDEV.P(Tab.o1[B])+AVERAGE(Tab.o1[B]),"")</f>
        <v/>
      </c>
      <c r="U838" s="123" t="str">
        <f>IF(Tab.o1[[#This Row],[a1]]=1,Tab.o1[[#This Row],[z+]]*_xlfn.STDEV.P(Tab.o1[B])+AVERAGE(Tab.o1[B]),"")</f>
        <v/>
      </c>
      <c r="V838" s="124" t="str">
        <f>IF(Tab.o1[[#This Row],[a1]]=1,ABS((ABS(Tab.o1[[#This Row],[Red]]-Tab.o1[[#This Row],[Blue]]))),"")</f>
        <v/>
      </c>
      <c r="W838" s="125" t="str">
        <f>IF(Tab.o1[[#This Row],[a1]]=1,IF(W$3=0,1,Tab.o1[[#This Row],[Amp.]]*1/_xlfn.MINIFS(Tab.o1[Amp.],Tab.o1[Amp.],"&lt;&gt;0")),"")</f>
        <v/>
      </c>
      <c r="X838" s="126" t="str">
        <f>IF(Tab.o1[[#This Row],[a1]]=1,IF(ISNUMBER(Tab.o1[[#This Row],[i.]]),NORMDIST(Tab.o1[[#This Row],[Za]],0,1,FALSE)*Tab.o1[[#This Row],[i.]],AP$3),"")</f>
        <v/>
      </c>
      <c r="Y838" s="126" t="str">
        <f>IF(Tab.o1[[#This Row],[a1]]=1,0.01+0.94*Tab.o1[[#This Row],[PDF]]/MAX(Tab.o1[PDF]),"")</f>
        <v/>
      </c>
      <c r="Z838" s="126" t="str">
        <f>IF(Tab.o1[[#This Row],[a1]]=1,0.01+0.94*Tab.o1[[#This Row],[W1_PDF]]/MAX(Tab.o1[W1_PDF]),"")</f>
        <v/>
      </c>
      <c r="AA838" s="118" t="str">
        <f>IF(Tab.o1[[#This Row],[a1]]=1,ABS([1]!T.in.A[[#This Row],[oo6]]),"")</f>
        <v/>
      </c>
      <c r="AB838" s="127" t="str">
        <f>IF(Tab.o1[[#This Row],[a1]]=1,IF(AE$3=0,"",IF(AB$3=0,ABS([1]!T.in.A[[#This Row],[oo9]]),ABS(Tab.o1[[#This Row],[DIF_Target.]]*Tab.o1[[#This Row],[W1_PDF]]))),"")</f>
        <v/>
      </c>
      <c r="AC838" s="127" t="str">
        <f>IF(G$1=1,"",IF(Tab.o1[[#This Row],[a1]]=1,Tab.o1[[#This Row],[Wr]]^2,""))</f>
        <v/>
      </c>
      <c r="AD838" s="118" t="str">
        <f>IF(Tab.o1[[#This Row],[a1]]=1,IF(AE$3=0,"",Tab.o1[[#This Row],[Wr2]]/SUM(Tab.o1[Wr2])),"")</f>
        <v/>
      </c>
      <c r="AE838" s="128" t="str">
        <f>IF(Tab.o1[[#This Row],[a1]]=1,[1]!T.in.A[[#This Row],[oo10]],"")</f>
        <v/>
      </c>
      <c r="AF838" s="118" t="str">
        <f>IF(Tab.o1[[#This Row],[a1]]=1,ABS(Tab.o1[[#This Row],[DIF_Target.]]*Tab.o1[[#This Row],[PDF2]]*Tab.o1[[#This Row],[IN]]),"")</f>
        <v/>
      </c>
      <c r="AG838" s="129" t="str">
        <f>IF(Tab.o1[[#This Row],[a1]]=1,Tab.o1[[#This Row],[rW]]^2,"")</f>
        <v/>
      </c>
      <c r="AH838" s="130" t="str">
        <f>IF(Tab.o1[[#This Row],[a1]]=1,IF(AH$3=0,Tab.o1[[#This Row],[rW2]],0.01+0.94*Tab.o1[[#This Row],[rW2]]/SUM(Tab.o1[rW2])),"")</f>
        <v/>
      </c>
      <c r="AI838" s="128" t="str">
        <f>IF(Tab.o1[[#This Row],[a1]]=1,1/Tab.o1[[#This Row],[PDF]],"")</f>
        <v/>
      </c>
      <c r="AJ838" s="131" t="str">
        <f>IF(Tab.o1[[#This Row],[a1]]=1,[1]!T_AA[[#This Row],[IN'']]*[1]!T_AA[[#This Row],[Qde'']],"")</f>
        <v/>
      </c>
      <c r="AK838" s="132" t="str">
        <f>IF(Tab.o1[[#This Row],[a1]]=1,IF(AK$1=1,Tab.o1[[#This Row],[MED]]+Tab.o1[[#This Row],[MOD]]-Tab.o1[[#This Row],[MED]],""),"")</f>
        <v/>
      </c>
      <c r="AL838" s="133" t="str">
        <f>IF(Tab.o1[[#This Row],[a1]]=1,[1]!T.in.A[[#This Row],[oo16]],"")</f>
        <v/>
      </c>
      <c r="AM838" s="133" t="str">
        <f>IF(Tab.o1[[#This Row],[a1]]=1,IF(AM$3=1,[1]!T.in.A[[#This Row],[Σo16]],""),"")</f>
        <v/>
      </c>
      <c r="AN838" s="126" t="str">
        <f>IF(Tab.o1[[#This Row],[a1]]=1,[1]!T.in.A[[#This Row],[Σp5]],"")</f>
        <v/>
      </c>
      <c r="AO838" s="126" t="str">
        <f>IF(Tab.o1[[#This Row],[a1]]=1,IF(AO$3=1,[1]!T.in.A[[#This Row],[Σp5]],""),"")</f>
        <v/>
      </c>
      <c r="AP838" s="110" t="str">
        <f>IF(Tab.o1[[#This Row],[a1]]=1,IF(ISNUMBER(Tab.o1[[#This Row],[i.]]),NORMDIST(Tab.o1[[#This Row],[Za]],0,1,FALSE)*Tab.o1[[#This Row],[i.]],0),"")</f>
        <v/>
      </c>
      <c r="AQ838" s="125" t="str">
        <f>IF(Tab.o1[[#This Row],[a1]]=1,ABS(Tab.o1[[#This Row],[MOD]]-AVERAGE(Tab.o1[MOD])),"")</f>
        <v/>
      </c>
      <c r="AR838" s="134" t="str">
        <f>IF(Tab.o1[[#This Row],[a1]]=1,Tab.o1[[#This Row],[OBS]]/SUM(Tab.o1[OBS]),"")</f>
        <v/>
      </c>
      <c r="AS838" s="135" t="str">
        <f>IF(ISNUMBER(Tab.o1[[#This Row],[a1]]),ROW()-4,"")</f>
        <v/>
      </c>
      <c r="AT838" s="136" t="str">
        <f>Tab.o1[[#This Row],[MOD]]</f>
        <v/>
      </c>
      <c r="AU838" s="137" t="str">
        <f t="shared" ref="AU838:AU901" si="53">AT838</f>
        <v/>
      </c>
      <c r="AV838" s="138" t="str">
        <f t="shared" ref="AV838:AV901" si="54">IF(AND(ISNUMBER(AT838),ISNUMBER(AU838)),H838-AU838,"")</f>
        <v/>
      </c>
      <c r="AW838" s="138" t="str">
        <f t="shared" ref="AW838:AW901" si="55">IF(AW$4=0,"",IF(AV838&lt;AV$2,AV838," "))</f>
        <v/>
      </c>
      <c r="AX838" s="139" t="str">
        <f>[1]!T.in.A[[#This Row],[ID_T_manu]]</f>
        <v/>
      </c>
      <c r="AY838" s="140" t="str">
        <f>IF(ISNUMBER(Tab.o1[[#This Row],[a1]]),IF(AND(Tab.o1[[#This Row],[a1]]=1,Tab.o1[[#This Row],[b1]]&lt;=AY$4),#REF!,AY837),"")</f>
        <v/>
      </c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6"/>
      <c r="BO838" s="26"/>
      <c r="BP838" s="26"/>
      <c r="BQ838" s="26"/>
      <c r="BR838" s="26"/>
      <c r="BS838" s="26"/>
      <c r="BT838" s="26"/>
      <c r="BU838" s="26"/>
      <c r="BV838" s="26"/>
      <c r="BW838" s="26"/>
      <c r="BX838" s="26"/>
      <c r="BY838" s="26"/>
      <c r="BZ838" s="26"/>
      <c r="CA838" s="26"/>
    </row>
    <row r="839" spans="1:79" s="143" customFormat="1" ht="15.75" hidden="1">
      <c r="A839" s="109">
        <v>-2.9999999999999997E-6</v>
      </c>
      <c r="B839" s="110">
        <f t="shared" si="52"/>
        <v>839</v>
      </c>
      <c r="C839" s="111" t="str">
        <f>IF(C$1=[1]!T.in.A[[#This Row],[oo2]],1,"")</f>
        <v/>
      </c>
      <c r="D839" s="112" t="str">
        <f>IF(Tab.o1[[#This Row],[a1]]=1,IF(SUM(C839:C840)=0,0,IF(SUM(C838:C839)=1,1,IF(SUM(C838:C840)&gt;1,D838+1,0))),"")</f>
        <v/>
      </c>
      <c r="E839" s="113" t="str">
        <f>IF(Tab.o1[[#This Row],[a1]]=1,[1]!T.in.A[[#This Row],[oo1]],"")</f>
        <v/>
      </c>
      <c r="F839" s="113" t="str">
        <f>IF(Tab.o1[[#This Row],[a1]]=1,[1]!T.in.A[[#This Row],[pp1]],"")</f>
        <v/>
      </c>
      <c r="G839" s="114" t="str">
        <f>IF(Tab.o1[[#This Row],[a1]]=1,G$2+IF(G$1=1,0,Tab.o1[[#This Row],[.x1]])+[1]!T.in.A[[#This Row],[oo3]],"")</f>
        <v/>
      </c>
      <c r="H839" s="115" t="str">
        <f>IF(Tab.o1[[#This Row],[a1]]=1,IF(H$2=0,0,IF(G$1=1,0,Tab.o1[[#This Row],[.x1]])+[1]!T.in.A[[#This Row],[oo4]]),"")</f>
        <v/>
      </c>
      <c r="I839" s="116" t="str">
        <f>IF(Tab.o1[[#This Row],[a1]]=1,IF(J$2=0,Tab.o1[[#This Row],[MED]],Tab.o1[[#This Row],[MOD]]),"")</f>
        <v/>
      </c>
      <c r="J839" s="116" t="str">
        <f>IF(Tab.o1[[#This Row],[a1]]=1,((Tab.o1[[#This Row],[DIF_Target.]]-AVERAGE(Tab.o1[DIF_Target.]))/_xlfn.STDEV.P(Tab.o1[DIF_Target.])),"")</f>
        <v/>
      </c>
      <c r="K839" s="117" t="str">
        <f>IF(Tab.o1[[#This Row],[a1]]=1,IF(J$2=0,Tab.o1[[#This Row],[MOD]]-Tab.o1[[#This Row],[B]],IF(J$2=1,0,-Tab.o1[[#This Row],[MED]])+Tab.o1[[#This Row],[B]]),"")</f>
        <v/>
      </c>
      <c r="L839" s="117" t="str">
        <f ca="1">IF(Tab.o1[[#This Row],[DIF_Target]]=0,IF(L$2=0,Tab.o1[[#This Row],[DIF_Target]],AVERAGE(OFFSET(Tab.o1[[#This Row],[DIF_Target]],1,0,L$3,1)))/3,Tab.o1[[#This Row],[DIF_Target]])</f>
        <v/>
      </c>
      <c r="M839" s="118" t="str">
        <f>IF(Tab.o1[[#This Row],[a1]]=1,NORMSDIST(Tab.o1[[#This Row],[Za]]),"")</f>
        <v/>
      </c>
      <c r="N839" s="119" t="str">
        <f>IF(Tab.o1[[#This Row],[a1]]=1,((Tab.o1[[#This Row],[MedMod]]-AVERAGE(Tab.o1[MedMod]))/_xlfn.STDEV.P(Tab.o1[MedMod])*H$1205)+G$1205,"")</f>
        <v/>
      </c>
      <c r="O839" s="141" t="str">
        <f>IF(Tab.o1[[#This Row],[a1]]=1,Tab.o1[[#This Row],[Zb]]*_xlfn.STDEV.P(Tab.o1[MedMod])+AVERAGE(Tab.o1[MedMod]),"")</f>
        <v/>
      </c>
      <c r="P839" s="117" t="str">
        <f ca="1">IF(Tab.o1[[#This Row],[B]]=0,AVERAGE(OFFSET(Tab.o1[[#This Row],[B]],1,0,L$3,1)),Tab.o1[[#This Row],[B]])</f>
        <v/>
      </c>
      <c r="Q839" s="121" t="str">
        <f>IF(Tab.o1[[#This Row],[a1]]=1,NORMSDIST(Tab.o1[[#This Row],[Zb]]),"")</f>
        <v/>
      </c>
      <c r="R839" s="122" t="str">
        <f>IF(Tab.o1[[#This Row],[a1]]=1,((Tab.o1[[#This Row],[MedMod]]-AVERAGE(Tab.o1[MedMod]))/_xlfn.STDEV.P(Tab.o1[MedMod])*H$1203)+G$1203,"")</f>
        <v/>
      </c>
      <c r="S839" s="122" t="str">
        <f>IF(Tab.o1[[#This Row],[a1]]=1,((Tab.o1[[#This Row],[MedMod]]-AVERAGE(Tab.o1[MedMod]))/_xlfn.STDEV.P(Tab.o1[MedMod])*H$1204)+G$1204,"")</f>
        <v/>
      </c>
      <c r="T839" s="123" t="str">
        <f>IF(Tab.o1[[#This Row],[a1]]=1,Tab.o1[[#This Row],[Z-]]*_xlfn.STDEV.P(Tab.o1[B])+AVERAGE(Tab.o1[B]),"")</f>
        <v/>
      </c>
      <c r="U839" s="123" t="str">
        <f>IF(Tab.o1[[#This Row],[a1]]=1,Tab.o1[[#This Row],[z+]]*_xlfn.STDEV.P(Tab.o1[B])+AVERAGE(Tab.o1[B]),"")</f>
        <v/>
      </c>
      <c r="V839" s="124" t="str">
        <f>IF(Tab.o1[[#This Row],[a1]]=1,ABS((ABS(Tab.o1[[#This Row],[Red]]-Tab.o1[[#This Row],[Blue]]))),"")</f>
        <v/>
      </c>
      <c r="W839" s="125" t="str">
        <f>IF(Tab.o1[[#This Row],[a1]]=1,IF(W$3=0,1,Tab.o1[[#This Row],[Amp.]]*1/_xlfn.MINIFS(Tab.o1[Amp.],Tab.o1[Amp.],"&lt;&gt;0")),"")</f>
        <v/>
      </c>
      <c r="X839" s="126" t="str">
        <f>IF(Tab.o1[[#This Row],[a1]]=1,IF(ISNUMBER(Tab.o1[[#This Row],[i.]]),NORMDIST(Tab.o1[[#This Row],[Za]],0,1,FALSE)*Tab.o1[[#This Row],[i.]],AP$3),"")</f>
        <v/>
      </c>
      <c r="Y839" s="126" t="str">
        <f>IF(Tab.o1[[#This Row],[a1]]=1,0.01+0.94*Tab.o1[[#This Row],[PDF]]/MAX(Tab.o1[PDF]),"")</f>
        <v/>
      </c>
      <c r="Z839" s="126" t="str">
        <f>IF(Tab.o1[[#This Row],[a1]]=1,0.01+0.94*Tab.o1[[#This Row],[W1_PDF]]/MAX(Tab.o1[W1_PDF]),"")</f>
        <v/>
      </c>
      <c r="AA839" s="118" t="str">
        <f>IF(Tab.o1[[#This Row],[a1]]=1,ABS([1]!T.in.A[[#This Row],[oo6]]),"")</f>
        <v/>
      </c>
      <c r="AB839" s="127" t="str">
        <f>IF(Tab.o1[[#This Row],[a1]]=1,IF(AE$3=0,"",IF(AB$3=0,ABS([1]!T.in.A[[#This Row],[oo9]]),ABS(Tab.o1[[#This Row],[DIF_Target.]]*Tab.o1[[#This Row],[W1_PDF]]))),"")</f>
        <v/>
      </c>
      <c r="AC839" s="127" t="str">
        <f>IF(G$1=1,"",IF(Tab.o1[[#This Row],[a1]]=1,Tab.o1[[#This Row],[Wr]]^2,""))</f>
        <v/>
      </c>
      <c r="AD839" s="118" t="str">
        <f>IF(Tab.o1[[#This Row],[a1]]=1,IF(AE$3=0,"",Tab.o1[[#This Row],[Wr2]]/SUM(Tab.o1[Wr2])),"")</f>
        <v/>
      </c>
      <c r="AE839" s="128" t="str">
        <f>IF(Tab.o1[[#This Row],[a1]]=1,[1]!T.in.A[[#This Row],[oo10]],"")</f>
        <v/>
      </c>
      <c r="AF839" s="118" t="str">
        <f>IF(Tab.o1[[#This Row],[a1]]=1,ABS(Tab.o1[[#This Row],[DIF_Target.]]*Tab.o1[[#This Row],[PDF2]]*Tab.o1[[#This Row],[IN]]),"")</f>
        <v/>
      </c>
      <c r="AG839" s="129" t="str">
        <f>IF(Tab.o1[[#This Row],[a1]]=1,Tab.o1[[#This Row],[rW]]^2,"")</f>
        <v/>
      </c>
      <c r="AH839" s="130" t="str">
        <f>IF(Tab.o1[[#This Row],[a1]]=1,IF(AH$3=0,Tab.o1[[#This Row],[rW2]],0.01+0.94*Tab.o1[[#This Row],[rW2]]/SUM(Tab.o1[rW2])),"")</f>
        <v/>
      </c>
      <c r="AI839" s="128" t="str">
        <f>IF(Tab.o1[[#This Row],[a1]]=1,1/Tab.o1[[#This Row],[PDF]],"")</f>
        <v/>
      </c>
      <c r="AJ839" s="131" t="str">
        <f>IF(Tab.o1[[#This Row],[a1]]=1,[1]!T_AA[[#This Row],[IN'']]*[1]!T_AA[[#This Row],[Qde'']],"")</f>
        <v/>
      </c>
      <c r="AK839" s="132" t="str">
        <f>IF(Tab.o1[[#This Row],[a1]]=1,IF(AK$1=1,Tab.o1[[#This Row],[MED]]+Tab.o1[[#This Row],[MOD]]-Tab.o1[[#This Row],[MED]],""),"")</f>
        <v/>
      </c>
      <c r="AL839" s="133" t="str">
        <f>IF(Tab.o1[[#This Row],[a1]]=1,[1]!T.in.A[[#This Row],[oo16]],"")</f>
        <v/>
      </c>
      <c r="AM839" s="133" t="str">
        <f>IF(Tab.o1[[#This Row],[a1]]=1,IF(AM$3=1,[1]!T.in.A[[#This Row],[Σo16]],""),"")</f>
        <v/>
      </c>
      <c r="AN839" s="126" t="str">
        <f>IF(Tab.o1[[#This Row],[a1]]=1,[1]!T.in.A[[#This Row],[Σp5]],"")</f>
        <v/>
      </c>
      <c r="AO839" s="126" t="str">
        <f>IF(Tab.o1[[#This Row],[a1]]=1,IF(AO$3=1,[1]!T.in.A[[#This Row],[Σp5]],""),"")</f>
        <v/>
      </c>
      <c r="AP839" s="110" t="str">
        <f>IF(Tab.o1[[#This Row],[a1]]=1,IF(ISNUMBER(Tab.o1[[#This Row],[i.]]),NORMDIST(Tab.o1[[#This Row],[Za]],0,1,FALSE)*Tab.o1[[#This Row],[i.]],0),"")</f>
        <v/>
      </c>
      <c r="AQ839" s="125" t="str">
        <f>IF(Tab.o1[[#This Row],[a1]]=1,ABS(Tab.o1[[#This Row],[MOD]]-AVERAGE(Tab.o1[MOD])),"")</f>
        <v/>
      </c>
      <c r="AR839" s="134" t="str">
        <f>IF(Tab.o1[[#This Row],[a1]]=1,Tab.o1[[#This Row],[OBS]]/SUM(Tab.o1[OBS]),"")</f>
        <v/>
      </c>
      <c r="AS839" s="135" t="str">
        <f>IF(ISNUMBER(Tab.o1[[#This Row],[a1]]),ROW()-4,"")</f>
        <v/>
      </c>
      <c r="AT839" s="136" t="str">
        <f>Tab.o1[[#This Row],[MOD]]</f>
        <v/>
      </c>
      <c r="AU839" s="137" t="str">
        <f t="shared" si="53"/>
        <v/>
      </c>
      <c r="AV839" s="138" t="str">
        <f t="shared" si="54"/>
        <v/>
      </c>
      <c r="AW839" s="138" t="str">
        <f t="shared" si="55"/>
        <v/>
      </c>
      <c r="AX839" s="139" t="str">
        <f>[1]!T.in.A[[#This Row],[ID_T_manu]]</f>
        <v/>
      </c>
      <c r="AY839" s="140" t="str">
        <f>IF(ISNUMBER(Tab.o1[[#This Row],[a1]]),IF(AND(Tab.o1[[#This Row],[a1]]=1,Tab.o1[[#This Row],[b1]]&lt;=AY$4),#REF!,AY838),"")</f>
        <v/>
      </c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6"/>
      <c r="BO839" s="26"/>
      <c r="BP839" s="26"/>
      <c r="BQ839" s="26"/>
      <c r="BR839" s="26"/>
      <c r="BS839" s="26"/>
      <c r="BT839" s="26"/>
      <c r="BU839" s="26"/>
      <c r="BV839" s="26"/>
      <c r="BW839" s="26"/>
      <c r="BX839" s="26"/>
      <c r="BY839" s="26"/>
      <c r="BZ839" s="26"/>
      <c r="CA839" s="26"/>
    </row>
    <row r="840" spans="1:79" s="143" customFormat="1" ht="15.75" hidden="1">
      <c r="A840" s="109">
        <v>-2.0000000000000003E-6</v>
      </c>
      <c r="B840" s="110">
        <f t="shared" si="52"/>
        <v>840</v>
      </c>
      <c r="C840" s="111" t="str">
        <f>IF(C$1=[1]!T.in.A[[#This Row],[oo2]],1,"")</f>
        <v/>
      </c>
      <c r="D840" s="112" t="str">
        <f>IF(Tab.o1[[#This Row],[a1]]=1,IF(SUM(C840:C841)=0,0,IF(SUM(C839:C840)=1,1,IF(SUM(C839:C841)&gt;1,D839+1,0))),"")</f>
        <v/>
      </c>
      <c r="E840" s="113" t="str">
        <f>IF(Tab.o1[[#This Row],[a1]]=1,[1]!T.in.A[[#This Row],[oo1]],"")</f>
        <v/>
      </c>
      <c r="F840" s="113" t="str">
        <f>IF(Tab.o1[[#This Row],[a1]]=1,[1]!T.in.A[[#This Row],[pp1]],"")</f>
        <v/>
      </c>
      <c r="G840" s="114" t="str">
        <f>IF(Tab.o1[[#This Row],[a1]]=1,G$2+IF(G$1=1,0,Tab.o1[[#This Row],[.x1]])+[1]!T.in.A[[#This Row],[oo3]],"")</f>
        <v/>
      </c>
      <c r="H840" s="115" t="str">
        <f>IF(Tab.o1[[#This Row],[a1]]=1,IF(H$2=0,0,IF(G$1=1,0,Tab.o1[[#This Row],[.x1]])+[1]!T.in.A[[#This Row],[oo4]]),"")</f>
        <v/>
      </c>
      <c r="I840" s="116" t="str">
        <f>IF(Tab.o1[[#This Row],[a1]]=1,IF(J$2=0,Tab.o1[[#This Row],[MED]],Tab.o1[[#This Row],[MOD]]),"")</f>
        <v/>
      </c>
      <c r="J840" s="116" t="str">
        <f>IF(Tab.o1[[#This Row],[a1]]=1,((Tab.o1[[#This Row],[DIF_Target.]]-AVERAGE(Tab.o1[DIF_Target.]))/_xlfn.STDEV.P(Tab.o1[DIF_Target.])),"")</f>
        <v/>
      </c>
      <c r="K840" s="117" t="str">
        <f>IF(Tab.o1[[#This Row],[a1]]=1,IF(J$2=0,Tab.o1[[#This Row],[MOD]]-Tab.o1[[#This Row],[B]],IF(J$2=1,0,-Tab.o1[[#This Row],[MED]])+Tab.o1[[#This Row],[B]]),"")</f>
        <v/>
      </c>
      <c r="L840" s="117" t="str">
        <f ca="1">IF(Tab.o1[[#This Row],[DIF_Target]]=0,IF(L$2=0,Tab.o1[[#This Row],[DIF_Target]],AVERAGE(OFFSET(Tab.o1[[#This Row],[DIF_Target]],1,0,L$3,1)))/3,Tab.o1[[#This Row],[DIF_Target]])</f>
        <v/>
      </c>
      <c r="M840" s="118" t="str">
        <f>IF(Tab.o1[[#This Row],[a1]]=1,NORMSDIST(Tab.o1[[#This Row],[Za]]),"")</f>
        <v/>
      </c>
      <c r="N840" s="119" t="str">
        <f>IF(Tab.o1[[#This Row],[a1]]=1,((Tab.o1[[#This Row],[MedMod]]-AVERAGE(Tab.o1[MedMod]))/_xlfn.STDEV.P(Tab.o1[MedMod])*H$1205)+G$1205,"")</f>
        <v/>
      </c>
      <c r="O840" s="141" t="str">
        <f>IF(Tab.o1[[#This Row],[a1]]=1,Tab.o1[[#This Row],[Zb]]*_xlfn.STDEV.P(Tab.o1[MedMod])+AVERAGE(Tab.o1[MedMod]),"")</f>
        <v/>
      </c>
      <c r="P840" s="117" t="str">
        <f ca="1">IF(Tab.o1[[#This Row],[B]]=0,AVERAGE(OFFSET(Tab.o1[[#This Row],[B]],1,0,L$3,1)),Tab.o1[[#This Row],[B]])</f>
        <v/>
      </c>
      <c r="Q840" s="121" t="str">
        <f>IF(Tab.o1[[#This Row],[a1]]=1,NORMSDIST(Tab.o1[[#This Row],[Zb]]),"")</f>
        <v/>
      </c>
      <c r="R840" s="122" t="str">
        <f>IF(Tab.o1[[#This Row],[a1]]=1,((Tab.o1[[#This Row],[MedMod]]-AVERAGE(Tab.o1[MedMod]))/_xlfn.STDEV.P(Tab.o1[MedMod])*H$1203)+G$1203,"")</f>
        <v/>
      </c>
      <c r="S840" s="122" t="str">
        <f>IF(Tab.o1[[#This Row],[a1]]=1,((Tab.o1[[#This Row],[MedMod]]-AVERAGE(Tab.o1[MedMod]))/_xlfn.STDEV.P(Tab.o1[MedMod])*H$1204)+G$1204,"")</f>
        <v/>
      </c>
      <c r="T840" s="123" t="str">
        <f>IF(Tab.o1[[#This Row],[a1]]=1,Tab.o1[[#This Row],[Z-]]*_xlfn.STDEV.P(Tab.o1[B])+AVERAGE(Tab.o1[B]),"")</f>
        <v/>
      </c>
      <c r="U840" s="123" t="str">
        <f>IF(Tab.o1[[#This Row],[a1]]=1,Tab.o1[[#This Row],[z+]]*_xlfn.STDEV.P(Tab.o1[B])+AVERAGE(Tab.o1[B]),"")</f>
        <v/>
      </c>
      <c r="V840" s="124" t="str">
        <f>IF(Tab.o1[[#This Row],[a1]]=1,ABS((ABS(Tab.o1[[#This Row],[Red]]-Tab.o1[[#This Row],[Blue]]))),"")</f>
        <v/>
      </c>
      <c r="W840" s="125" t="str">
        <f>IF(Tab.o1[[#This Row],[a1]]=1,IF(W$3=0,1,Tab.o1[[#This Row],[Amp.]]*1/_xlfn.MINIFS(Tab.o1[Amp.],Tab.o1[Amp.],"&lt;&gt;0")),"")</f>
        <v/>
      </c>
      <c r="X840" s="126" t="str">
        <f>IF(Tab.o1[[#This Row],[a1]]=1,IF(ISNUMBER(Tab.o1[[#This Row],[i.]]),NORMDIST(Tab.o1[[#This Row],[Za]],0,1,FALSE)*Tab.o1[[#This Row],[i.]],AP$3),"")</f>
        <v/>
      </c>
      <c r="Y840" s="126" t="str">
        <f>IF(Tab.o1[[#This Row],[a1]]=1,0.01+0.94*Tab.o1[[#This Row],[PDF]]/MAX(Tab.o1[PDF]),"")</f>
        <v/>
      </c>
      <c r="Z840" s="126" t="str">
        <f>IF(Tab.o1[[#This Row],[a1]]=1,0.01+0.94*Tab.o1[[#This Row],[W1_PDF]]/MAX(Tab.o1[W1_PDF]),"")</f>
        <v/>
      </c>
      <c r="AA840" s="118" t="str">
        <f>IF(Tab.o1[[#This Row],[a1]]=1,ABS([1]!T.in.A[[#This Row],[oo6]]),"")</f>
        <v/>
      </c>
      <c r="AB840" s="127" t="str">
        <f>IF(Tab.o1[[#This Row],[a1]]=1,IF(AE$3=0,"",IF(AB$3=0,ABS([1]!T.in.A[[#This Row],[oo9]]),ABS(Tab.o1[[#This Row],[DIF_Target.]]*Tab.o1[[#This Row],[W1_PDF]]))),"")</f>
        <v/>
      </c>
      <c r="AC840" s="127" t="str">
        <f>IF(G$1=1,"",IF(Tab.o1[[#This Row],[a1]]=1,Tab.o1[[#This Row],[Wr]]^2,""))</f>
        <v/>
      </c>
      <c r="AD840" s="118" t="str">
        <f>IF(Tab.o1[[#This Row],[a1]]=1,IF(AE$3=0,"",Tab.o1[[#This Row],[Wr2]]/SUM(Tab.o1[Wr2])),"")</f>
        <v/>
      </c>
      <c r="AE840" s="128" t="str">
        <f>IF(Tab.o1[[#This Row],[a1]]=1,[1]!T.in.A[[#This Row],[oo10]],"")</f>
        <v/>
      </c>
      <c r="AF840" s="118" t="str">
        <f>IF(Tab.o1[[#This Row],[a1]]=1,ABS(Tab.o1[[#This Row],[DIF_Target.]]*Tab.o1[[#This Row],[PDF2]]*Tab.o1[[#This Row],[IN]]),"")</f>
        <v/>
      </c>
      <c r="AG840" s="129" t="str">
        <f>IF(Tab.o1[[#This Row],[a1]]=1,Tab.o1[[#This Row],[rW]]^2,"")</f>
        <v/>
      </c>
      <c r="AH840" s="130" t="str">
        <f>IF(Tab.o1[[#This Row],[a1]]=1,IF(AH$3=0,Tab.o1[[#This Row],[rW2]],0.01+0.94*Tab.o1[[#This Row],[rW2]]/SUM(Tab.o1[rW2])),"")</f>
        <v/>
      </c>
      <c r="AI840" s="128" t="str">
        <f>IF(Tab.o1[[#This Row],[a1]]=1,1/Tab.o1[[#This Row],[PDF]],"")</f>
        <v/>
      </c>
      <c r="AJ840" s="131" t="str">
        <f>IF(Tab.o1[[#This Row],[a1]]=1,[1]!T_AA[[#This Row],[IN'']]*[1]!T_AA[[#This Row],[Qde'']],"")</f>
        <v/>
      </c>
      <c r="AK840" s="132" t="str">
        <f>IF(Tab.o1[[#This Row],[a1]]=1,IF(AK$1=1,Tab.o1[[#This Row],[MED]]+Tab.o1[[#This Row],[MOD]]-Tab.o1[[#This Row],[MED]],""),"")</f>
        <v/>
      </c>
      <c r="AL840" s="133" t="str">
        <f>IF(Tab.o1[[#This Row],[a1]]=1,[1]!T.in.A[[#This Row],[oo16]],"")</f>
        <v/>
      </c>
      <c r="AM840" s="133" t="str">
        <f>IF(Tab.o1[[#This Row],[a1]]=1,IF(AM$3=1,[1]!T.in.A[[#This Row],[Σo16]],""),"")</f>
        <v/>
      </c>
      <c r="AN840" s="126" t="str">
        <f>IF(Tab.o1[[#This Row],[a1]]=1,[1]!T.in.A[[#This Row],[Σp5]],"")</f>
        <v/>
      </c>
      <c r="AO840" s="126" t="str">
        <f>IF(Tab.o1[[#This Row],[a1]]=1,IF(AO$3=1,[1]!T.in.A[[#This Row],[Σp5]],""),"")</f>
        <v/>
      </c>
      <c r="AP840" s="110" t="str">
        <f>IF(Tab.o1[[#This Row],[a1]]=1,IF(ISNUMBER(Tab.o1[[#This Row],[i.]]),NORMDIST(Tab.o1[[#This Row],[Za]],0,1,FALSE)*Tab.o1[[#This Row],[i.]],0),"")</f>
        <v/>
      </c>
      <c r="AQ840" s="125" t="str">
        <f>IF(Tab.o1[[#This Row],[a1]]=1,ABS(Tab.o1[[#This Row],[MOD]]-AVERAGE(Tab.o1[MOD])),"")</f>
        <v/>
      </c>
      <c r="AR840" s="134" t="str">
        <f>IF(Tab.o1[[#This Row],[a1]]=1,Tab.o1[[#This Row],[OBS]]/SUM(Tab.o1[OBS]),"")</f>
        <v/>
      </c>
      <c r="AS840" s="135" t="str">
        <f>IF(ISNUMBER(Tab.o1[[#This Row],[a1]]),ROW()-4,"")</f>
        <v/>
      </c>
      <c r="AT840" s="136" t="str">
        <f>Tab.o1[[#This Row],[MOD]]</f>
        <v/>
      </c>
      <c r="AU840" s="137" t="str">
        <f t="shared" si="53"/>
        <v/>
      </c>
      <c r="AV840" s="138" t="str">
        <f t="shared" si="54"/>
        <v/>
      </c>
      <c r="AW840" s="138" t="str">
        <f t="shared" si="55"/>
        <v/>
      </c>
      <c r="AX840" s="139" t="str">
        <f>[1]!T.in.A[[#This Row],[ID_T_manu]]</f>
        <v/>
      </c>
      <c r="AY840" s="140" t="str">
        <f>IF(ISNUMBER(Tab.o1[[#This Row],[a1]]),IF(AND(Tab.o1[[#This Row],[a1]]=1,Tab.o1[[#This Row],[b1]]&lt;=AY$4),#REF!,AY839),"")</f>
        <v/>
      </c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6"/>
      <c r="BO840" s="26"/>
      <c r="BP840" s="26"/>
      <c r="BQ840" s="26"/>
      <c r="BR840" s="26"/>
      <c r="BS840" s="26"/>
      <c r="BT840" s="26"/>
      <c r="BU840" s="26"/>
      <c r="BV840" s="26"/>
      <c r="BW840" s="26"/>
      <c r="BX840" s="26"/>
      <c r="BY840" s="26"/>
      <c r="BZ840" s="26"/>
      <c r="CA840" s="26"/>
    </row>
    <row r="841" spans="1:79" s="143" customFormat="1" ht="15.75" hidden="1">
      <c r="A841" s="109">
        <v>5.9999999999999993E-6</v>
      </c>
      <c r="B841" s="110">
        <f t="shared" si="52"/>
        <v>841</v>
      </c>
      <c r="C841" s="111" t="str">
        <f>IF(C$1=[1]!T.in.A[[#This Row],[oo2]],1,"")</f>
        <v/>
      </c>
      <c r="D841" s="112" t="str">
        <f>IF(Tab.o1[[#This Row],[a1]]=1,IF(SUM(C841:C842)=0,0,IF(SUM(C840:C841)=1,1,IF(SUM(C840:C842)&gt;1,D840+1,0))),"")</f>
        <v/>
      </c>
      <c r="E841" s="113" t="str">
        <f>IF(Tab.o1[[#This Row],[a1]]=1,[1]!T.in.A[[#This Row],[oo1]],"")</f>
        <v/>
      </c>
      <c r="F841" s="113" t="str">
        <f>IF(Tab.o1[[#This Row],[a1]]=1,[1]!T.in.A[[#This Row],[pp1]],"")</f>
        <v/>
      </c>
      <c r="G841" s="114" t="str">
        <f>IF(Tab.o1[[#This Row],[a1]]=1,G$2+IF(G$1=1,0,Tab.o1[[#This Row],[.x1]])+[1]!T.in.A[[#This Row],[oo3]],"")</f>
        <v/>
      </c>
      <c r="H841" s="115" t="str">
        <f>IF(Tab.o1[[#This Row],[a1]]=1,IF(H$2=0,0,IF(G$1=1,0,Tab.o1[[#This Row],[.x1]])+[1]!T.in.A[[#This Row],[oo4]]),"")</f>
        <v/>
      </c>
      <c r="I841" s="116" t="str">
        <f>IF(Tab.o1[[#This Row],[a1]]=1,IF(J$2=0,Tab.o1[[#This Row],[MED]],Tab.o1[[#This Row],[MOD]]),"")</f>
        <v/>
      </c>
      <c r="J841" s="116" t="str">
        <f>IF(Tab.o1[[#This Row],[a1]]=1,((Tab.o1[[#This Row],[DIF_Target.]]-AVERAGE(Tab.o1[DIF_Target.]))/_xlfn.STDEV.P(Tab.o1[DIF_Target.])),"")</f>
        <v/>
      </c>
      <c r="K841" s="117" t="str">
        <f>IF(Tab.o1[[#This Row],[a1]]=1,IF(J$2=0,Tab.o1[[#This Row],[MOD]]-Tab.o1[[#This Row],[B]],IF(J$2=1,0,-Tab.o1[[#This Row],[MED]])+Tab.o1[[#This Row],[B]]),"")</f>
        <v/>
      </c>
      <c r="L841" s="117" t="str">
        <f ca="1">IF(Tab.o1[[#This Row],[DIF_Target]]=0,IF(L$2=0,Tab.o1[[#This Row],[DIF_Target]],AVERAGE(OFFSET(Tab.o1[[#This Row],[DIF_Target]],1,0,L$3,1)))/3,Tab.o1[[#This Row],[DIF_Target]])</f>
        <v/>
      </c>
      <c r="M841" s="118" t="str">
        <f>IF(Tab.o1[[#This Row],[a1]]=1,NORMSDIST(Tab.o1[[#This Row],[Za]]),"")</f>
        <v/>
      </c>
      <c r="N841" s="119" t="str">
        <f>IF(Tab.o1[[#This Row],[a1]]=1,((Tab.o1[[#This Row],[MedMod]]-AVERAGE(Tab.o1[MedMod]))/_xlfn.STDEV.P(Tab.o1[MedMod])*H$1205)+G$1205,"")</f>
        <v/>
      </c>
      <c r="O841" s="141" t="str">
        <f>IF(Tab.o1[[#This Row],[a1]]=1,Tab.o1[[#This Row],[Zb]]*_xlfn.STDEV.P(Tab.o1[MedMod])+AVERAGE(Tab.o1[MedMod]),"")</f>
        <v/>
      </c>
      <c r="P841" s="117" t="str">
        <f ca="1">IF(Tab.o1[[#This Row],[B]]=0,AVERAGE(OFFSET(Tab.o1[[#This Row],[B]],1,0,L$3,1)),Tab.o1[[#This Row],[B]])</f>
        <v/>
      </c>
      <c r="Q841" s="121" t="str">
        <f>IF(Tab.o1[[#This Row],[a1]]=1,NORMSDIST(Tab.o1[[#This Row],[Zb]]),"")</f>
        <v/>
      </c>
      <c r="R841" s="122" t="str">
        <f>IF(Tab.o1[[#This Row],[a1]]=1,((Tab.o1[[#This Row],[MedMod]]-AVERAGE(Tab.o1[MedMod]))/_xlfn.STDEV.P(Tab.o1[MedMod])*H$1203)+G$1203,"")</f>
        <v/>
      </c>
      <c r="S841" s="122" t="str">
        <f>IF(Tab.o1[[#This Row],[a1]]=1,((Tab.o1[[#This Row],[MedMod]]-AVERAGE(Tab.o1[MedMod]))/_xlfn.STDEV.P(Tab.o1[MedMod])*H$1204)+G$1204,"")</f>
        <v/>
      </c>
      <c r="T841" s="123" t="str">
        <f>IF(Tab.o1[[#This Row],[a1]]=1,Tab.o1[[#This Row],[Z-]]*_xlfn.STDEV.P(Tab.o1[B])+AVERAGE(Tab.o1[B]),"")</f>
        <v/>
      </c>
      <c r="U841" s="123" t="str">
        <f>IF(Tab.o1[[#This Row],[a1]]=1,Tab.o1[[#This Row],[z+]]*_xlfn.STDEV.P(Tab.o1[B])+AVERAGE(Tab.o1[B]),"")</f>
        <v/>
      </c>
      <c r="V841" s="124" t="str">
        <f>IF(Tab.o1[[#This Row],[a1]]=1,ABS((ABS(Tab.o1[[#This Row],[Red]]-Tab.o1[[#This Row],[Blue]]))),"")</f>
        <v/>
      </c>
      <c r="W841" s="125" t="str">
        <f>IF(Tab.o1[[#This Row],[a1]]=1,IF(W$3=0,1,Tab.o1[[#This Row],[Amp.]]*1/_xlfn.MINIFS(Tab.o1[Amp.],Tab.o1[Amp.],"&lt;&gt;0")),"")</f>
        <v/>
      </c>
      <c r="X841" s="126" t="str">
        <f>IF(Tab.o1[[#This Row],[a1]]=1,IF(ISNUMBER(Tab.o1[[#This Row],[i.]]),NORMDIST(Tab.o1[[#This Row],[Za]],0,1,FALSE)*Tab.o1[[#This Row],[i.]],AP$3),"")</f>
        <v/>
      </c>
      <c r="Y841" s="126" t="str">
        <f>IF(Tab.o1[[#This Row],[a1]]=1,0.01+0.94*Tab.o1[[#This Row],[PDF]]/MAX(Tab.o1[PDF]),"")</f>
        <v/>
      </c>
      <c r="Z841" s="126" t="str">
        <f>IF(Tab.o1[[#This Row],[a1]]=1,0.01+0.94*Tab.o1[[#This Row],[W1_PDF]]/MAX(Tab.o1[W1_PDF]),"")</f>
        <v/>
      </c>
      <c r="AA841" s="118" t="str">
        <f>IF(Tab.o1[[#This Row],[a1]]=1,ABS([1]!T.in.A[[#This Row],[oo6]]),"")</f>
        <v/>
      </c>
      <c r="AB841" s="127" t="str">
        <f>IF(Tab.o1[[#This Row],[a1]]=1,IF(AE$3=0,"",IF(AB$3=0,ABS([1]!T.in.A[[#This Row],[oo9]]),ABS(Tab.o1[[#This Row],[DIF_Target.]]*Tab.o1[[#This Row],[W1_PDF]]))),"")</f>
        <v/>
      </c>
      <c r="AC841" s="127" t="str">
        <f>IF(G$1=1,"",IF(Tab.o1[[#This Row],[a1]]=1,Tab.o1[[#This Row],[Wr]]^2,""))</f>
        <v/>
      </c>
      <c r="AD841" s="118" t="str">
        <f>IF(Tab.o1[[#This Row],[a1]]=1,IF(AE$3=0,"",Tab.o1[[#This Row],[Wr2]]/SUM(Tab.o1[Wr2])),"")</f>
        <v/>
      </c>
      <c r="AE841" s="128" t="str">
        <f>IF(Tab.o1[[#This Row],[a1]]=1,[1]!T.in.A[[#This Row],[oo10]],"")</f>
        <v/>
      </c>
      <c r="AF841" s="118" t="str">
        <f>IF(Tab.o1[[#This Row],[a1]]=1,ABS(Tab.o1[[#This Row],[DIF_Target.]]*Tab.o1[[#This Row],[PDF2]]*Tab.o1[[#This Row],[IN]]),"")</f>
        <v/>
      </c>
      <c r="AG841" s="129" t="str">
        <f>IF(Tab.o1[[#This Row],[a1]]=1,Tab.o1[[#This Row],[rW]]^2,"")</f>
        <v/>
      </c>
      <c r="AH841" s="130" t="str">
        <f>IF(Tab.o1[[#This Row],[a1]]=1,IF(AH$3=0,Tab.o1[[#This Row],[rW2]],0.01+0.94*Tab.o1[[#This Row],[rW2]]/SUM(Tab.o1[rW2])),"")</f>
        <v/>
      </c>
      <c r="AI841" s="128" t="str">
        <f>IF(Tab.o1[[#This Row],[a1]]=1,1/Tab.o1[[#This Row],[PDF]],"")</f>
        <v/>
      </c>
      <c r="AJ841" s="131" t="str">
        <f>IF(Tab.o1[[#This Row],[a1]]=1,[1]!T_AA[[#This Row],[IN'']]*[1]!T_AA[[#This Row],[Qde'']],"")</f>
        <v/>
      </c>
      <c r="AK841" s="132" t="str">
        <f>IF(Tab.o1[[#This Row],[a1]]=1,IF(AK$1=1,Tab.o1[[#This Row],[MED]]+Tab.o1[[#This Row],[MOD]]-Tab.o1[[#This Row],[MED]],""),"")</f>
        <v/>
      </c>
      <c r="AL841" s="133" t="str">
        <f>IF(Tab.o1[[#This Row],[a1]]=1,[1]!T.in.A[[#This Row],[oo16]],"")</f>
        <v/>
      </c>
      <c r="AM841" s="133" t="str">
        <f>IF(Tab.o1[[#This Row],[a1]]=1,IF(AM$3=1,[1]!T.in.A[[#This Row],[Σo16]],""),"")</f>
        <v/>
      </c>
      <c r="AN841" s="126" t="str">
        <f>IF(Tab.o1[[#This Row],[a1]]=1,[1]!T.in.A[[#This Row],[Σp5]],"")</f>
        <v/>
      </c>
      <c r="AO841" s="126" t="str">
        <f>IF(Tab.o1[[#This Row],[a1]]=1,IF(AO$3=1,[1]!T.in.A[[#This Row],[Σp5]],""),"")</f>
        <v/>
      </c>
      <c r="AP841" s="110" t="str">
        <f>IF(Tab.o1[[#This Row],[a1]]=1,IF(ISNUMBER(Tab.o1[[#This Row],[i.]]),NORMDIST(Tab.o1[[#This Row],[Za]],0,1,FALSE)*Tab.o1[[#This Row],[i.]],0),"")</f>
        <v/>
      </c>
      <c r="AQ841" s="125" t="str">
        <f>IF(Tab.o1[[#This Row],[a1]]=1,ABS(Tab.o1[[#This Row],[MOD]]-AVERAGE(Tab.o1[MOD])),"")</f>
        <v/>
      </c>
      <c r="AR841" s="134" t="str">
        <f>IF(Tab.o1[[#This Row],[a1]]=1,Tab.o1[[#This Row],[OBS]]/SUM(Tab.o1[OBS]),"")</f>
        <v/>
      </c>
      <c r="AS841" s="135" t="str">
        <f>IF(ISNUMBER(Tab.o1[[#This Row],[a1]]),ROW()-4,"")</f>
        <v/>
      </c>
      <c r="AT841" s="136" t="str">
        <f>Tab.o1[[#This Row],[MOD]]</f>
        <v/>
      </c>
      <c r="AU841" s="137" t="str">
        <f t="shared" si="53"/>
        <v/>
      </c>
      <c r="AV841" s="138" t="str">
        <f t="shared" si="54"/>
        <v/>
      </c>
      <c r="AW841" s="138" t="str">
        <f t="shared" si="55"/>
        <v/>
      </c>
      <c r="AX841" s="139" t="str">
        <f>[1]!T.in.A[[#This Row],[ID_T_manu]]</f>
        <v/>
      </c>
      <c r="AY841" s="140" t="str">
        <f>IF(ISNUMBER(Tab.o1[[#This Row],[a1]]),IF(AND(Tab.o1[[#This Row],[a1]]=1,Tab.o1[[#This Row],[b1]]&lt;=AY$4),#REF!,AY840),"")</f>
        <v/>
      </c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6"/>
      <c r="BO841" s="26"/>
      <c r="BP841" s="26"/>
      <c r="BQ841" s="26"/>
      <c r="BR841" s="26"/>
      <c r="BS841" s="26"/>
      <c r="BT841" s="26"/>
      <c r="BU841" s="26"/>
      <c r="BV841" s="26"/>
      <c r="BW841" s="26"/>
      <c r="BX841" s="26"/>
      <c r="BY841" s="26"/>
      <c r="BZ841" s="26"/>
      <c r="CA841" s="26"/>
    </row>
    <row r="842" spans="1:79" s="143" customFormat="1" ht="15.75" hidden="1">
      <c r="A842" s="109">
        <v>-4.0000000000000007E-6</v>
      </c>
      <c r="B842" s="110">
        <f t="shared" si="52"/>
        <v>842</v>
      </c>
      <c r="C842" s="111" t="str">
        <f>IF(C$1=[1]!T.in.A[[#This Row],[oo2]],1,"")</f>
        <v/>
      </c>
      <c r="D842" s="112" t="str">
        <f>IF(Tab.o1[[#This Row],[a1]]=1,IF(SUM(C842:C843)=0,0,IF(SUM(C841:C842)=1,1,IF(SUM(C841:C843)&gt;1,D841+1,0))),"")</f>
        <v/>
      </c>
      <c r="E842" s="113" t="str">
        <f>IF(Tab.o1[[#This Row],[a1]]=1,[1]!T.in.A[[#This Row],[oo1]],"")</f>
        <v/>
      </c>
      <c r="F842" s="113" t="str">
        <f>IF(Tab.o1[[#This Row],[a1]]=1,[1]!T.in.A[[#This Row],[pp1]],"")</f>
        <v/>
      </c>
      <c r="G842" s="114" t="str">
        <f>IF(Tab.o1[[#This Row],[a1]]=1,G$2+IF(G$1=1,0,Tab.o1[[#This Row],[.x1]])+[1]!T.in.A[[#This Row],[oo3]],"")</f>
        <v/>
      </c>
      <c r="H842" s="115" t="str">
        <f>IF(Tab.o1[[#This Row],[a1]]=1,IF(H$2=0,0,IF(G$1=1,0,Tab.o1[[#This Row],[.x1]])+[1]!T.in.A[[#This Row],[oo4]]),"")</f>
        <v/>
      </c>
      <c r="I842" s="116" t="str">
        <f>IF(Tab.o1[[#This Row],[a1]]=1,IF(J$2=0,Tab.o1[[#This Row],[MED]],Tab.o1[[#This Row],[MOD]]),"")</f>
        <v/>
      </c>
      <c r="J842" s="116" t="str">
        <f>IF(Tab.o1[[#This Row],[a1]]=1,((Tab.o1[[#This Row],[DIF_Target.]]-AVERAGE(Tab.o1[DIF_Target.]))/_xlfn.STDEV.P(Tab.o1[DIF_Target.])),"")</f>
        <v/>
      </c>
      <c r="K842" s="117" t="str">
        <f>IF(Tab.o1[[#This Row],[a1]]=1,IF(J$2=0,Tab.o1[[#This Row],[MOD]]-Tab.o1[[#This Row],[B]],IF(J$2=1,0,-Tab.o1[[#This Row],[MED]])+Tab.o1[[#This Row],[B]]),"")</f>
        <v/>
      </c>
      <c r="L842" s="117" t="str">
        <f ca="1">IF(Tab.o1[[#This Row],[DIF_Target]]=0,IF(L$2=0,Tab.o1[[#This Row],[DIF_Target]],AVERAGE(OFFSET(Tab.o1[[#This Row],[DIF_Target]],1,0,L$3,1)))/3,Tab.o1[[#This Row],[DIF_Target]])</f>
        <v/>
      </c>
      <c r="M842" s="118" t="str">
        <f>IF(Tab.o1[[#This Row],[a1]]=1,NORMSDIST(Tab.o1[[#This Row],[Za]]),"")</f>
        <v/>
      </c>
      <c r="N842" s="119" t="str">
        <f>IF(Tab.o1[[#This Row],[a1]]=1,((Tab.o1[[#This Row],[MedMod]]-AVERAGE(Tab.o1[MedMod]))/_xlfn.STDEV.P(Tab.o1[MedMod])*H$1205)+G$1205,"")</f>
        <v/>
      </c>
      <c r="O842" s="141" t="str">
        <f>IF(Tab.o1[[#This Row],[a1]]=1,Tab.o1[[#This Row],[Zb]]*_xlfn.STDEV.P(Tab.o1[MedMod])+AVERAGE(Tab.o1[MedMod]),"")</f>
        <v/>
      </c>
      <c r="P842" s="117" t="str">
        <f ca="1">IF(Tab.o1[[#This Row],[B]]=0,AVERAGE(OFFSET(Tab.o1[[#This Row],[B]],1,0,L$3,1)),Tab.o1[[#This Row],[B]])</f>
        <v/>
      </c>
      <c r="Q842" s="121" t="str">
        <f>IF(Tab.o1[[#This Row],[a1]]=1,NORMSDIST(Tab.o1[[#This Row],[Zb]]),"")</f>
        <v/>
      </c>
      <c r="R842" s="122" t="str">
        <f>IF(Tab.o1[[#This Row],[a1]]=1,((Tab.o1[[#This Row],[MedMod]]-AVERAGE(Tab.o1[MedMod]))/_xlfn.STDEV.P(Tab.o1[MedMod])*H$1203)+G$1203,"")</f>
        <v/>
      </c>
      <c r="S842" s="122" t="str">
        <f>IF(Tab.o1[[#This Row],[a1]]=1,((Tab.o1[[#This Row],[MedMod]]-AVERAGE(Tab.o1[MedMod]))/_xlfn.STDEV.P(Tab.o1[MedMod])*H$1204)+G$1204,"")</f>
        <v/>
      </c>
      <c r="T842" s="123" t="str">
        <f>IF(Tab.o1[[#This Row],[a1]]=1,Tab.o1[[#This Row],[Z-]]*_xlfn.STDEV.P(Tab.o1[B])+AVERAGE(Tab.o1[B]),"")</f>
        <v/>
      </c>
      <c r="U842" s="123" t="str">
        <f>IF(Tab.o1[[#This Row],[a1]]=1,Tab.o1[[#This Row],[z+]]*_xlfn.STDEV.P(Tab.o1[B])+AVERAGE(Tab.o1[B]),"")</f>
        <v/>
      </c>
      <c r="V842" s="124" t="str">
        <f>IF(Tab.o1[[#This Row],[a1]]=1,ABS((ABS(Tab.o1[[#This Row],[Red]]-Tab.o1[[#This Row],[Blue]]))),"")</f>
        <v/>
      </c>
      <c r="W842" s="125" t="str">
        <f>IF(Tab.o1[[#This Row],[a1]]=1,IF(W$3=0,1,Tab.o1[[#This Row],[Amp.]]*1/_xlfn.MINIFS(Tab.o1[Amp.],Tab.o1[Amp.],"&lt;&gt;0")),"")</f>
        <v/>
      </c>
      <c r="X842" s="126" t="str">
        <f>IF(Tab.o1[[#This Row],[a1]]=1,IF(ISNUMBER(Tab.o1[[#This Row],[i.]]),NORMDIST(Tab.o1[[#This Row],[Za]],0,1,FALSE)*Tab.o1[[#This Row],[i.]],AP$3),"")</f>
        <v/>
      </c>
      <c r="Y842" s="126" t="str">
        <f>IF(Tab.o1[[#This Row],[a1]]=1,0.01+0.94*Tab.o1[[#This Row],[PDF]]/MAX(Tab.o1[PDF]),"")</f>
        <v/>
      </c>
      <c r="Z842" s="126" t="str">
        <f>IF(Tab.o1[[#This Row],[a1]]=1,0.01+0.94*Tab.o1[[#This Row],[W1_PDF]]/MAX(Tab.o1[W1_PDF]),"")</f>
        <v/>
      </c>
      <c r="AA842" s="118" t="str">
        <f>IF(Tab.o1[[#This Row],[a1]]=1,ABS([1]!T.in.A[[#This Row],[oo6]]),"")</f>
        <v/>
      </c>
      <c r="AB842" s="127" t="str">
        <f>IF(Tab.o1[[#This Row],[a1]]=1,IF(AE$3=0,"",IF(AB$3=0,ABS([1]!T.in.A[[#This Row],[oo9]]),ABS(Tab.o1[[#This Row],[DIF_Target.]]*Tab.o1[[#This Row],[W1_PDF]]))),"")</f>
        <v/>
      </c>
      <c r="AC842" s="127" t="str">
        <f>IF(G$1=1,"",IF(Tab.o1[[#This Row],[a1]]=1,Tab.o1[[#This Row],[Wr]]^2,""))</f>
        <v/>
      </c>
      <c r="AD842" s="118" t="str">
        <f>IF(Tab.o1[[#This Row],[a1]]=1,IF(AE$3=0,"",Tab.o1[[#This Row],[Wr2]]/SUM(Tab.o1[Wr2])),"")</f>
        <v/>
      </c>
      <c r="AE842" s="128" t="str">
        <f>IF(Tab.o1[[#This Row],[a1]]=1,[1]!T.in.A[[#This Row],[oo10]],"")</f>
        <v/>
      </c>
      <c r="AF842" s="118" t="str">
        <f>IF(Tab.o1[[#This Row],[a1]]=1,ABS(Tab.o1[[#This Row],[DIF_Target.]]*Tab.o1[[#This Row],[PDF2]]*Tab.o1[[#This Row],[IN]]),"")</f>
        <v/>
      </c>
      <c r="AG842" s="129" t="str">
        <f>IF(Tab.o1[[#This Row],[a1]]=1,Tab.o1[[#This Row],[rW]]^2,"")</f>
        <v/>
      </c>
      <c r="AH842" s="130" t="str">
        <f>IF(Tab.o1[[#This Row],[a1]]=1,IF(AH$3=0,Tab.o1[[#This Row],[rW2]],0.01+0.94*Tab.o1[[#This Row],[rW2]]/SUM(Tab.o1[rW2])),"")</f>
        <v/>
      </c>
      <c r="AI842" s="128" t="str">
        <f>IF(Tab.o1[[#This Row],[a1]]=1,1/Tab.o1[[#This Row],[PDF]],"")</f>
        <v/>
      </c>
      <c r="AJ842" s="131" t="str">
        <f>IF(Tab.o1[[#This Row],[a1]]=1,[1]!T_AA[[#This Row],[IN'']]*[1]!T_AA[[#This Row],[Qde'']],"")</f>
        <v/>
      </c>
      <c r="AK842" s="132" t="str">
        <f>IF(Tab.o1[[#This Row],[a1]]=1,IF(AK$1=1,Tab.o1[[#This Row],[MED]]+Tab.o1[[#This Row],[MOD]]-Tab.o1[[#This Row],[MED]],""),"")</f>
        <v/>
      </c>
      <c r="AL842" s="133" t="str">
        <f>IF(Tab.o1[[#This Row],[a1]]=1,[1]!T.in.A[[#This Row],[oo16]],"")</f>
        <v/>
      </c>
      <c r="AM842" s="133" t="str">
        <f>IF(Tab.o1[[#This Row],[a1]]=1,IF(AM$3=1,[1]!T.in.A[[#This Row],[Σo16]],""),"")</f>
        <v/>
      </c>
      <c r="AN842" s="126" t="str">
        <f>IF(Tab.o1[[#This Row],[a1]]=1,[1]!T.in.A[[#This Row],[Σp5]],"")</f>
        <v/>
      </c>
      <c r="AO842" s="126" t="str">
        <f>IF(Tab.o1[[#This Row],[a1]]=1,IF(AO$3=1,[1]!T.in.A[[#This Row],[Σp5]],""),"")</f>
        <v/>
      </c>
      <c r="AP842" s="110" t="str">
        <f>IF(Tab.o1[[#This Row],[a1]]=1,IF(ISNUMBER(Tab.o1[[#This Row],[i.]]),NORMDIST(Tab.o1[[#This Row],[Za]],0,1,FALSE)*Tab.o1[[#This Row],[i.]],0),"")</f>
        <v/>
      </c>
      <c r="AQ842" s="125" t="str">
        <f>IF(Tab.o1[[#This Row],[a1]]=1,ABS(Tab.o1[[#This Row],[MOD]]-AVERAGE(Tab.o1[MOD])),"")</f>
        <v/>
      </c>
      <c r="AR842" s="134" t="str">
        <f>IF(Tab.o1[[#This Row],[a1]]=1,Tab.o1[[#This Row],[OBS]]/SUM(Tab.o1[OBS]),"")</f>
        <v/>
      </c>
      <c r="AS842" s="135" t="str">
        <f>IF(ISNUMBER(Tab.o1[[#This Row],[a1]]),ROW()-4,"")</f>
        <v/>
      </c>
      <c r="AT842" s="136" t="str">
        <f>Tab.o1[[#This Row],[MOD]]</f>
        <v/>
      </c>
      <c r="AU842" s="137" t="str">
        <f t="shared" si="53"/>
        <v/>
      </c>
      <c r="AV842" s="138" t="str">
        <f t="shared" si="54"/>
        <v/>
      </c>
      <c r="AW842" s="138" t="str">
        <f t="shared" si="55"/>
        <v/>
      </c>
      <c r="AX842" s="139" t="str">
        <f>[1]!T.in.A[[#This Row],[ID_T_manu]]</f>
        <v/>
      </c>
      <c r="AY842" s="140" t="str">
        <f>IF(ISNUMBER(Tab.o1[[#This Row],[a1]]),IF(AND(Tab.o1[[#This Row],[a1]]=1,Tab.o1[[#This Row],[b1]]&lt;=AY$4),#REF!,AY841),"")</f>
        <v/>
      </c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6"/>
      <c r="BO842" s="26"/>
      <c r="BP842" s="26"/>
      <c r="BQ842" s="26"/>
      <c r="BR842" s="26"/>
      <c r="BS842" s="26"/>
      <c r="BT842" s="26"/>
      <c r="BU842" s="26"/>
      <c r="BV842" s="26"/>
      <c r="BW842" s="26"/>
      <c r="BX842" s="26"/>
      <c r="BY842" s="26"/>
      <c r="BZ842" s="26"/>
      <c r="CA842" s="26"/>
    </row>
    <row r="843" spans="1:79" s="143" customFormat="1" ht="15.75" hidden="1">
      <c r="A843" s="109">
        <v>-5.0000000000000004E-6</v>
      </c>
      <c r="B843" s="110">
        <f t="shared" si="52"/>
        <v>843</v>
      </c>
      <c r="C843" s="111" t="str">
        <f>IF(C$1=[1]!T.in.A[[#This Row],[oo2]],1,"")</f>
        <v/>
      </c>
      <c r="D843" s="112" t="str">
        <f>IF(Tab.o1[[#This Row],[a1]]=1,IF(SUM(C843:C844)=0,0,IF(SUM(C842:C843)=1,1,IF(SUM(C842:C844)&gt;1,D842+1,0))),"")</f>
        <v/>
      </c>
      <c r="E843" s="113" t="str">
        <f>IF(Tab.o1[[#This Row],[a1]]=1,[1]!T.in.A[[#This Row],[oo1]],"")</f>
        <v/>
      </c>
      <c r="F843" s="113" t="str">
        <f>IF(Tab.o1[[#This Row],[a1]]=1,[1]!T.in.A[[#This Row],[pp1]],"")</f>
        <v/>
      </c>
      <c r="G843" s="114" t="str">
        <f>IF(Tab.o1[[#This Row],[a1]]=1,G$2+IF(G$1=1,0,Tab.o1[[#This Row],[.x1]])+[1]!T.in.A[[#This Row],[oo3]],"")</f>
        <v/>
      </c>
      <c r="H843" s="115" t="str">
        <f>IF(Tab.o1[[#This Row],[a1]]=1,IF(H$2=0,0,IF(G$1=1,0,Tab.o1[[#This Row],[.x1]])+[1]!T.in.A[[#This Row],[oo4]]),"")</f>
        <v/>
      </c>
      <c r="I843" s="116" t="str">
        <f>IF(Tab.o1[[#This Row],[a1]]=1,IF(J$2=0,Tab.o1[[#This Row],[MED]],Tab.o1[[#This Row],[MOD]]),"")</f>
        <v/>
      </c>
      <c r="J843" s="116" t="str">
        <f>IF(Tab.o1[[#This Row],[a1]]=1,((Tab.o1[[#This Row],[DIF_Target.]]-AVERAGE(Tab.o1[DIF_Target.]))/_xlfn.STDEV.P(Tab.o1[DIF_Target.])),"")</f>
        <v/>
      </c>
      <c r="K843" s="117" t="str">
        <f>IF(Tab.o1[[#This Row],[a1]]=1,IF(J$2=0,Tab.o1[[#This Row],[MOD]]-Tab.o1[[#This Row],[B]],IF(J$2=1,0,-Tab.o1[[#This Row],[MED]])+Tab.o1[[#This Row],[B]]),"")</f>
        <v/>
      </c>
      <c r="L843" s="117" t="str">
        <f ca="1">IF(Tab.o1[[#This Row],[DIF_Target]]=0,IF(L$2=0,Tab.o1[[#This Row],[DIF_Target]],AVERAGE(OFFSET(Tab.o1[[#This Row],[DIF_Target]],1,0,L$3,1)))/3,Tab.o1[[#This Row],[DIF_Target]])</f>
        <v/>
      </c>
      <c r="M843" s="118" t="str">
        <f>IF(Tab.o1[[#This Row],[a1]]=1,NORMSDIST(Tab.o1[[#This Row],[Za]]),"")</f>
        <v/>
      </c>
      <c r="N843" s="119" t="str">
        <f>IF(Tab.o1[[#This Row],[a1]]=1,((Tab.o1[[#This Row],[MedMod]]-AVERAGE(Tab.o1[MedMod]))/_xlfn.STDEV.P(Tab.o1[MedMod])*H$1205)+G$1205,"")</f>
        <v/>
      </c>
      <c r="O843" s="141" t="str">
        <f>IF(Tab.o1[[#This Row],[a1]]=1,Tab.o1[[#This Row],[Zb]]*_xlfn.STDEV.P(Tab.o1[MedMod])+AVERAGE(Tab.o1[MedMod]),"")</f>
        <v/>
      </c>
      <c r="P843" s="117" t="str">
        <f ca="1">IF(Tab.o1[[#This Row],[B]]=0,AVERAGE(OFFSET(Tab.o1[[#This Row],[B]],1,0,L$3,1)),Tab.o1[[#This Row],[B]])</f>
        <v/>
      </c>
      <c r="Q843" s="121" t="str">
        <f>IF(Tab.o1[[#This Row],[a1]]=1,NORMSDIST(Tab.o1[[#This Row],[Zb]]),"")</f>
        <v/>
      </c>
      <c r="R843" s="122" t="str">
        <f>IF(Tab.o1[[#This Row],[a1]]=1,((Tab.o1[[#This Row],[MedMod]]-AVERAGE(Tab.o1[MedMod]))/_xlfn.STDEV.P(Tab.o1[MedMod])*H$1203)+G$1203,"")</f>
        <v/>
      </c>
      <c r="S843" s="122" t="str">
        <f>IF(Tab.o1[[#This Row],[a1]]=1,((Tab.o1[[#This Row],[MedMod]]-AVERAGE(Tab.o1[MedMod]))/_xlfn.STDEV.P(Tab.o1[MedMod])*H$1204)+G$1204,"")</f>
        <v/>
      </c>
      <c r="T843" s="123" t="str">
        <f>IF(Tab.o1[[#This Row],[a1]]=1,Tab.o1[[#This Row],[Z-]]*_xlfn.STDEV.P(Tab.o1[B])+AVERAGE(Tab.o1[B]),"")</f>
        <v/>
      </c>
      <c r="U843" s="123" t="str">
        <f>IF(Tab.o1[[#This Row],[a1]]=1,Tab.o1[[#This Row],[z+]]*_xlfn.STDEV.P(Tab.o1[B])+AVERAGE(Tab.o1[B]),"")</f>
        <v/>
      </c>
      <c r="V843" s="124" t="str">
        <f>IF(Tab.o1[[#This Row],[a1]]=1,ABS((ABS(Tab.o1[[#This Row],[Red]]-Tab.o1[[#This Row],[Blue]]))),"")</f>
        <v/>
      </c>
      <c r="W843" s="125" t="str">
        <f>IF(Tab.o1[[#This Row],[a1]]=1,IF(W$3=0,1,Tab.o1[[#This Row],[Amp.]]*1/_xlfn.MINIFS(Tab.o1[Amp.],Tab.o1[Amp.],"&lt;&gt;0")),"")</f>
        <v/>
      </c>
      <c r="X843" s="126" t="str">
        <f>IF(Tab.o1[[#This Row],[a1]]=1,IF(ISNUMBER(Tab.o1[[#This Row],[i.]]),NORMDIST(Tab.o1[[#This Row],[Za]],0,1,FALSE)*Tab.o1[[#This Row],[i.]],AP$3),"")</f>
        <v/>
      </c>
      <c r="Y843" s="126" t="str">
        <f>IF(Tab.o1[[#This Row],[a1]]=1,0.01+0.94*Tab.o1[[#This Row],[PDF]]/MAX(Tab.o1[PDF]),"")</f>
        <v/>
      </c>
      <c r="Z843" s="126" t="str">
        <f>IF(Tab.o1[[#This Row],[a1]]=1,0.01+0.94*Tab.o1[[#This Row],[W1_PDF]]/MAX(Tab.o1[W1_PDF]),"")</f>
        <v/>
      </c>
      <c r="AA843" s="118" t="str">
        <f>IF(Tab.o1[[#This Row],[a1]]=1,ABS([1]!T.in.A[[#This Row],[oo6]]),"")</f>
        <v/>
      </c>
      <c r="AB843" s="127" t="str">
        <f>IF(Tab.o1[[#This Row],[a1]]=1,IF(AE$3=0,"",IF(AB$3=0,ABS([1]!T.in.A[[#This Row],[oo9]]),ABS(Tab.o1[[#This Row],[DIF_Target.]]*Tab.o1[[#This Row],[W1_PDF]]))),"")</f>
        <v/>
      </c>
      <c r="AC843" s="127" t="str">
        <f>IF(G$1=1,"",IF(Tab.o1[[#This Row],[a1]]=1,Tab.o1[[#This Row],[Wr]]^2,""))</f>
        <v/>
      </c>
      <c r="AD843" s="118" t="str">
        <f>IF(Tab.o1[[#This Row],[a1]]=1,IF(AE$3=0,"",Tab.o1[[#This Row],[Wr2]]/SUM(Tab.o1[Wr2])),"")</f>
        <v/>
      </c>
      <c r="AE843" s="128" t="str">
        <f>IF(Tab.o1[[#This Row],[a1]]=1,[1]!T.in.A[[#This Row],[oo10]],"")</f>
        <v/>
      </c>
      <c r="AF843" s="118" t="str">
        <f>IF(Tab.o1[[#This Row],[a1]]=1,ABS(Tab.o1[[#This Row],[DIF_Target.]]*Tab.o1[[#This Row],[PDF2]]*Tab.o1[[#This Row],[IN]]),"")</f>
        <v/>
      </c>
      <c r="AG843" s="129" t="str">
        <f>IF(Tab.o1[[#This Row],[a1]]=1,Tab.o1[[#This Row],[rW]]^2,"")</f>
        <v/>
      </c>
      <c r="AH843" s="130" t="str">
        <f>IF(Tab.o1[[#This Row],[a1]]=1,IF(AH$3=0,Tab.o1[[#This Row],[rW2]],0.01+0.94*Tab.o1[[#This Row],[rW2]]/SUM(Tab.o1[rW2])),"")</f>
        <v/>
      </c>
      <c r="AI843" s="128" t="str">
        <f>IF(Tab.o1[[#This Row],[a1]]=1,1/Tab.o1[[#This Row],[PDF]],"")</f>
        <v/>
      </c>
      <c r="AJ843" s="131" t="str">
        <f>IF(Tab.o1[[#This Row],[a1]]=1,[1]!T_AA[[#This Row],[IN'']]*[1]!T_AA[[#This Row],[Qde'']],"")</f>
        <v/>
      </c>
      <c r="AK843" s="132" t="str">
        <f>IF(Tab.o1[[#This Row],[a1]]=1,IF(AK$1=1,Tab.o1[[#This Row],[MED]]+Tab.o1[[#This Row],[MOD]]-Tab.o1[[#This Row],[MED]],""),"")</f>
        <v/>
      </c>
      <c r="AL843" s="133" t="str">
        <f>IF(Tab.o1[[#This Row],[a1]]=1,[1]!T.in.A[[#This Row],[oo16]],"")</f>
        <v/>
      </c>
      <c r="AM843" s="133" t="str">
        <f>IF(Tab.o1[[#This Row],[a1]]=1,IF(AM$3=1,[1]!T.in.A[[#This Row],[Σo16]],""),"")</f>
        <v/>
      </c>
      <c r="AN843" s="126" t="str">
        <f>IF(Tab.o1[[#This Row],[a1]]=1,[1]!T.in.A[[#This Row],[Σp5]],"")</f>
        <v/>
      </c>
      <c r="AO843" s="126" t="str">
        <f>IF(Tab.o1[[#This Row],[a1]]=1,IF(AO$3=1,[1]!T.in.A[[#This Row],[Σp5]],""),"")</f>
        <v/>
      </c>
      <c r="AP843" s="110" t="str">
        <f>IF(Tab.o1[[#This Row],[a1]]=1,IF(ISNUMBER(Tab.o1[[#This Row],[i.]]),NORMDIST(Tab.o1[[#This Row],[Za]],0,1,FALSE)*Tab.o1[[#This Row],[i.]],0),"")</f>
        <v/>
      </c>
      <c r="AQ843" s="125" t="str">
        <f>IF(Tab.o1[[#This Row],[a1]]=1,ABS(Tab.o1[[#This Row],[MOD]]-AVERAGE(Tab.o1[MOD])),"")</f>
        <v/>
      </c>
      <c r="AR843" s="134" t="str">
        <f>IF(Tab.o1[[#This Row],[a1]]=1,Tab.o1[[#This Row],[OBS]]/SUM(Tab.o1[OBS]),"")</f>
        <v/>
      </c>
      <c r="AS843" s="135" t="str">
        <f>IF(ISNUMBER(Tab.o1[[#This Row],[a1]]),ROW()-4,"")</f>
        <v/>
      </c>
      <c r="AT843" s="136" t="str">
        <f>Tab.o1[[#This Row],[MOD]]</f>
        <v/>
      </c>
      <c r="AU843" s="137" t="str">
        <f t="shared" si="53"/>
        <v/>
      </c>
      <c r="AV843" s="138" t="str">
        <f t="shared" si="54"/>
        <v/>
      </c>
      <c r="AW843" s="138" t="str">
        <f t="shared" si="55"/>
        <v/>
      </c>
      <c r="AX843" s="139" t="str">
        <f>[1]!T.in.A[[#This Row],[ID_T_manu]]</f>
        <v/>
      </c>
      <c r="AY843" s="140" t="str">
        <f>IF(ISNUMBER(Tab.o1[[#This Row],[a1]]),IF(AND(Tab.o1[[#This Row],[a1]]=1,Tab.o1[[#This Row],[b1]]&lt;=AY$4),#REF!,AY842),"")</f>
        <v/>
      </c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6"/>
      <c r="BO843" s="26"/>
      <c r="BP843" s="26"/>
      <c r="BQ843" s="26"/>
      <c r="BR843" s="26"/>
      <c r="BS843" s="26"/>
      <c r="BT843" s="26"/>
      <c r="BU843" s="26"/>
      <c r="BV843" s="26"/>
      <c r="BW843" s="26"/>
      <c r="BX843" s="26"/>
      <c r="BY843" s="26"/>
      <c r="BZ843" s="26"/>
      <c r="CA843" s="26"/>
    </row>
    <row r="844" spans="1:79" s="143" customFormat="1" ht="15.75" hidden="1">
      <c r="A844" s="109">
        <v>1.0000000000000002E-6</v>
      </c>
      <c r="B844" s="110">
        <f t="shared" si="52"/>
        <v>844</v>
      </c>
      <c r="C844" s="111" t="str">
        <f>IF(C$1=[1]!T.in.A[[#This Row],[oo2]],1,"")</f>
        <v/>
      </c>
      <c r="D844" s="112" t="str">
        <f>IF(Tab.o1[[#This Row],[a1]]=1,IF(SUM(C844:C845)=0,0,IF(SUM(C843:C844)=1,1,IF(SUM(C843:C845)&gt;1,D843+1,0))),"")</f>
        <v/>
      </c>
      <c r="E844" s="113" t="str">
        <f>IF(Tab.o1[[#This Row],[a1]]=1,[1]!T.in.A[[#This Row],[oo1]],"")</f>
        <v/>
      </c>
      <c r="F844" s="113" t="str">
        <f>IF(Tab.o1[[#This Row],[a1]]=1,[1]!T.in.A[[#This Row],[pp1]],"")</f>
        <v/>
      </c>
      <c r="G844" s="114" t="str">
        <f>IF(Tab.o1[[#This Row],[a1]]=1,G$2+IF(G$1=1,0,Tab.o1[[#This Row],[.x1]])+[1]!T.in.A[[#This Row],[oo3]],"")</f>
        <v/>
      </c>
      <c r="H844" s="115" t="str">
        <f>IF(Tab.o1[[#This Row],[a1]]=1,IF(H$2=0,0,IF(G$1=1,0,Tab.o1[[#This Row],[.x1]])+[1]!T.in.A[[#This Row],[oo4]]),"")</f>
        <v/>
      </c>
      <c r="I844" s="116" t="str">
        <f>IF(Tab.o1[[#This Row],[a1]]=1,IF(J$2=0,Tab.o1[[#This Row],[MED]],Tab.o1[[#This Row],[MOD]]),"")</f>
        <v/>
      </c>
      <c r="J844" s="116" t="str">
        <f>IF(Tab.o1[[#This Row],[a1]]=1,((Tab.o1[[#This Row],[DIF_Target.]]-AVERAGE(Tab.o1[DIF_Target.]))/_xlfn.STDEV.P(Tab.o1[DIF_Target.])),"")</f>
        <v/>
      </c>
      <c r="K844" s="117" t="str">
        <f>IF(Tab.o1[[#This Row],[a1]]=1,IF(J$2=0,Tab.o1[[#This Row],[MOD]]-Tab.o1[[#This Row],[B]],IF(J$2=1,0,-Tab.o1[[#This Row],[MED]])+Tab.o1[[#This Row],[B]]),"")</f>
        <v/>
      </c>
      <c r="L844" s="117" t="str">
        <f ca="1">IF(Tab.o1[[#This Row],[DIF_Target]]=0,IF(L$2=0,Tab.o1[[#This Row],[DIF_Target]],AVERAGE(OFFSET(Tab.o1[[#This Row],[DIF_Target]],1,0,L$3,1)))/3,Tab.o1[[#This Row],[DIF_Target]])</f>
        <v/>
      </c>
      <c r="M844" s="118" t="str">
        <f>IF(Tab.o1[[#This Row],[a1]]=1,NORMSDIST(Tab.o1[[#This Row],[Za]]),"")</f>
        <v/>
      </c>
      <c r="N844" s="119" t="str">
        <f>IF(Tab.o1[[#This Row],[a1]]=1,((Tab.o1[[#This Row],[MedMod]]-AVERAGE(Tab.o1[MedMod]))/_xlfn.STDEV.P(Tab.o1[MedMod])*H$1205)+G$1205,"")</f>
        <v/>
      </c>
      <c r="O844" s="141" t="str">
        <f>IF(Tab.o1[[#This Row],[a1]]=1,Tab.o1[[#This Row],[Zb]]*_xlfn.STDEV.P(Tab.o1[MedMod])+AVERAGE(Tab.o1[MedMod]),"")</f>
        <v/>
      </c>
      <c r="P844" s="117" t="str">
        <f ca="1">IF(Tab.o1[[#This Row],[B]]=0,AVERAGE(OFFSET(Tab.o1[[#This Row],[B]],1,0,L$3,1)),Tab.o1[[#This Row],[B]])</f>
        <v/>
      </c>
      <c r="Q844" s="121" t="str">
        <f>IF(Tab.o1[[#This Row],[a1]]=1,NORMSDIST(Tab.o1[[#This Row],[Zb]]),"")</f>
        <v/>
      </c>
      <c r="R844" s="122" t="str">
        <f>IF(Tab.o1[[#This Row],[a1]]=1,((Tab.o1[[#This Row],[MedMod]]-AVERAGE(Tab.o1[MedMod]))/_xlfn.STDEV.P(Tab.o1[MedMod])*H$1203)+G$1203,"")</f>
        <v/>
      </c>
      <c r="S844" s="122" t="str">
        <f>IF(Tab.o1[[#This Row],[a1]]=1,((Tab.o1[[#This Row],[MedMod]]-AVERAGE(Tab.o1[MedMod]))/_xlfn.STDEV.P(Tab.o1[MedMod])*H$1204)+G$1204,"")</f>
        <v/>
      </c>
      <c r="T844" s="123" t="str">
        <f>IF(Tab.o1[[#This Row],[a1]]=1,Tab.o1[[#This Row],[Z-]]*_xlfn.STDEV.P(Tab.o1[B])+AVERAGE(Tab.o1[B]),"")</f>
        <v/>
      </c>
      <c r="U844" s="123" t="str">
        <f>IF(Tab.o1[[#This Row],[a1]]=1,Tab.o1[[#This Row],[z+]]*_xlfn.STDEV.P(Tab.o1[B])+AVERAGE(Tab.o1[B]),"")</f>
        <v/>
      </c>
      <c r="V844" s="124" t="str">
        <f>IF(Tab.o1[[#This Row],[a1]]=1,ABS((ABS(Tab.o1[[#This Row],[Red]]-Tab.o1[[#This Row],[Blue]]))),"")</f>
        <v/>
      </c>
      <c r="W844" s="125" t="str">
        <f>IF(Tab.o1[[#This Row],[a1]]=1,IF(W$3=0,1,Tab.o1[[#This Row],[Amp.]]*1/_xlfn.MINIFS(Tab.o1[Amp.],Tab.o1[Amp.],"&lt;&gt;0")),"")</f>
        <v/>
      </c>
      <c r="X844" s="126" t="str">
        <f>IF(Tab.o1[[#This Row],[a1]]=1,IF(ISNUMBER(Tab.o1[[#This Row],[i.]]),NORMDIST(Tab.o1[[#This Row],[Za]],0,1,FALSE)*Tab.o1[[#This Row],[i.]],AP$3),"")</f>
        <v/>
      </c>
      <c r="Y844" s="126" t="str">
        <f>IF(Tab.o1[[#This Row],[a1]]=1,0.01+0.94*Tab.o1[[#This Row],[PDF]]/MAX(Tab.o1[PDF]),"")</f>
        <v/>
      </c>
      <c r="Z844" s="126" t="str">
        <f>IF(Tab.o1[[#This Row],[a1]]=1,0.01+0.94*Tab.o1[[#This Row],[W1_PDF]]/MAX(Tab.o1[W1_PDF]),"")</f>
        <v/>
      </c>
      <c r="AA844" s="118" t="str">
        <f>IF(Tab.o1[[#This Row],[a1]]=1,ABS([1]!T.in.A[[#This Row],[oo6]]),"")</f>
        <v/>
      </c>
      <c r="AB844" s="127" t="str">
        <f>IF(Tab.o1[[#This Row],[a1]]=1,IF(AE$3=0,"",IF(AB$3=0,ABS([1]!T.in.A[[#This Row],[oo9]]),ABS(Tab.o1[[#This Row],[DIF_Target.]]*Tab.o1[[#This Row],[W1_PDF]]))),"")</f>
        <v/>
      </c>
      <c r="AC844" s="127" t="str">
        <f>IF(G$1=1,"",IF(Tab.o1[[#This Row],[a1]]=1,Tab.o1[[#This Row],[Wr]]^2,""))</f>
        <v/>
      </c>
      <c r="AD844" s="118" t="str">
        <f>IF(Tab.o1[[#This Row],[a1]]=1,IF(AE$3=0,"",Tab.o1[[#This Row],[Wr2]]/SUM(Tab.o1[Wr2])),"")</f>
        <v/>
      </c>
      <c r="AE844" s="128" t="str">
        <f>IF(Tab.o1[[#This Row],[a1]]=1,[1]!T.in.A[[#This Row],[oo10]],"")</f>
        <v/>
      </c>
      <c r="AF844" s="118" t="str">
        <f>IF(Tab.o1[[#This Row],[a1]]=1,ABS(Tab.o1[[#This Row],[DIF_Target.]]*Tab.o1[[#This Row],[PDF2]]*Tab.o1[[#This Row],[IN]]),"")</f>
        <v/>
      </c>
      <c r="AG844" s="129" t="str">
        <f>IF(Tab.o1[[#This Row],[a1]]=1,Tab.o1[[#This Row],[rW]]^2,"")</f>
        <v/>
      </c>
      <c r="AH844" s="130" t="str">
        <f>IF(Tab.o1[[#This Row],[a1]]=1,IF(AH$3=0,Tab.o1[[#This Row],[rW2]],0.01+0.94*Tab.o1[[#This Row],[rW2]]/SUM(Tab.o1[rW2])),"")</f>
        <v/>
      </c>
      <c r="AI844" s="128" t="str">
        <f>IF(Tab.o1[[#This Row],[a1]]=1,1/Tab.o1[[#This Row],[PDF]],"")</f>
        <v/>
      </c>
      <c r="AJ844" s="131" t="str">
        <f>IF(Tab.o1[[#This Row],[a1]]=1,[1]!T_AA[[#This Row],[IN'']]*[1]!T_AA[[#This Row],[Qde'']],"")</f>
        <v/>
      </c>
      <c r="AK844" s="132" t="str">
        <f>IF(Tab.o1[[#This Row],[a1]]=1,IF(AK$1=1,Tab.o1[[#This Row],[MED]]+Tab.o1[[#This Row],[MOD]]-Tab.o1[[#This Row],[MED]],""),"")</f>
        <v/>
      </c>
      <c r="AL844" s="133" t="str">
        <f>IF(Tab.o1[[#This Row],[a1]]=1,[1]!T.in.A[[#This Row],[oo16]],"")</f>
        <v/>
      </c>
      <c r="AM844" s="133" t="str">
        <f>IF(Tab.o1[[#This Row],[a1]]=1,IF(AM$3=1,[1]!T.in.A[[#This Row],[Σo16]],""),"")</f>
        <v/>
      </c>
      <c r="AN844" s="126" t="str">
        <f>IF(Tab.o1[[#This Row],[a1]]=1,[1]!T.in.A[[#This Row],[Σp5]],"")</f>
        <v/>
      </c>
      <c r="AO844" s="126" t="str">
        <f>IF(Tab.o1[[#This Row],[a1]]=1,IF(AO$3=1,[1]!T.in.A[[#This Row],[Σp5]],""),"")</f>
        <v/>
      </c>
      <c r="AP844" s="110" t="str">
        <f>IF(Tab.o1[[#This Row],[a1]]=1,IF(ISNUMBER(Tab.o1[[#This Row],[i.]]),NORMDIST(Tab.o1[[#This Row],[Za]],0,1,FALSE)*Tab.o1[[#This Row],[i.]],0),"")</f>
        <v/>
      </c>
      <c r="AQ844" s="125" t="str">
        <f>IF(Tab.o1[[#This Row],[a1]]=1,ABS(Tab.o1[[#This Row],[MOD]]-AVERAGE(Tab.o1[MOD])),"")</f>
        <v/>
      </c>
      <c r="AR844" s="134" t="str">
        <f>IF(Tab.o1[[#This Row],[a1]]=1,Tab.o1[[#This Row],[OBS]]/SUM(Tab.o1[OBS]),"")</f>
        <v/>
      </c>
      <c r="AS844" s="135" t="str">
        <f>IF(ISNUMBER(Tab.o1[[#This Row],[a1]]),ROW()-4,"")</f>
        <v/>
      </c>
      <c r="AT844" s="136" t="str">
        <f>Tab.o1[[#This Row],[MOD]]</f>
        <v/>
      </c>
      <c r="AU844" s="137" t="str">
        <f t="shared" si="53"/>
        <v/>
      </c>
      <c r="AV844" s="138" t="str">
        <f t="shared" si="54"/>
        <v/>
      </c>
      <c r="AW844" s="138" t="str">
        <f t="shared" si="55"/>
        <v/>
      </c>
      <c r="AX844" s="139" t="str">
        <f>[1]!T.in.A[[#This Row],[ID_T_manu]]</f>
        <v/>
      </c>
      <c r="AY844" s="140" t="str">
        <f>IF(ISNUMBER(Tab.o1[[#This Row],[a1]]),IF(AND(Tab.o1[[#This Row],[a1]]=1,Tab.o1[[#This Row],[b1]]&lt;=AY$4),#REF!,AY843),"")</f>
        <v/>
      </c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6"/>
      <c r="BO844" s="26"/>
      <c r="BP844" s="26"/>
      <c r="BQ844" s="26"/>
      <c r="BR844" s="26"/>
      <c r="BS844" s="26"/>
      <c r="BT844" s="26"/>
      <c r="BU844" s="26"/>
      <c r="BV844" s="26"/>
      <c r="BW844" s="26"/>
      <c r="BX844" s="26"/>
      <c r="BY844" s="26"/>
      <c r="BZ844" s="26"/>
      <c r="CA844" s="26"/>
    </row>
    <row r="845" spans="1:79" s="143" customFormat="1" ht="15.75" hidden="1">
      <c r="A845" s="109">
        <v>-1.0000000000000001E-5</v>
      </c>
      <c r="B845" s="110">
        <f t="shared" si="52"/>
        <v>845</v>
      </c>
      <c r="C845" s="111" t="str">
        <f>IF(C$1=[1]!T.in.A[[#This Row],[oo2]],1,"")</f>
        <v/>
      </c>
      <c r="D845" s="112" t="str">
        <f>IF(Tab.o1[[#This Row],[a1]]=1,IF(SUM(C845:C846)=0,0,IF(SUM(C844:C845)=1,1,IF(SUM(C844:C846)&gt;1,D844+1,0))),"")</f>
        <v/>
      </c>
      <c r="E845" s="113" t="str">
        <f>IF(Tab.o1[[#This Row],[a1]]=1,[1]!T.in.A[[#This Row],[oo1]],"")</f>
        <v/>
      </c>
      <c r="F845" s="113" t="str">
        <f>IF(Tab.o1[[#This Row],[a1]]=1,[1]!T.in.A[[#This Row],[pp1]],"")</f>
        <v/>
      </c>
      <c r="G845" s="114" t="str">
        <f>IF(Tab.o1[[#This Row],[a1]]=1,G$2+IF(G$1=1,0,Tab.o1[[#This Row],[.x1]])+[1]!T.in.A[[#This Row],[oo3]],"")</f>
        <v/>
      </c>
      <c r="H845" s="115" t="str">
        <f>IF(Tab.o1[[#This Row],[a1]]=1,IF(H$2=0,0,IF(G$1=1,0,Tab.o1[[#This Row],[.x1]])+[1]!T.in.A[[#This Row],[oo4]]),"")</f>
        <v/>
      </c>
      <c r="I845" s="116" t="str">
        <f>IF(Tab.o1[[#This Row],[a1]]=1,IF(J$2=0,Tab.o1[[#This Row],[MED]],Tab.o1[[#This Row],[MOD]]),"")</f>
        <v/>
      </c>
      <c r="J845" s="116" t="str">
        <f>IF(Tab.o1[[#This Row],[a1]]=1,((Tab.o1[[#This Row],[DIF_Target.]]-AVERAGE(Tab.o1[DIF_Target.]))/_xlfn.STDEV.P(Tab.o1[DIF_Target.])),"")</f>
        <v/>
      </c>
      <c r="K845" s="117" t="str">
        <f>IF(Tab.o1[[#This Row],[a1]]=1,IF(J$2=0,Tab.o1[[#This Row],[MOD]]-Tab.o1[[#This Row],[B]],IF(J$2=1,0,-Tab.o1[[#This Row],[MED]])+Tab.o1[[#This Row],[B]]),"")</f>
        <v/>
      </c>
      <c r="L845" s="117" t="str">
        <f ca="1">IF(Tab.o1[[#This Row],[DIF_Target]]=0,IF(L$2=0,Tab.o1[[#This Row],[DIF_Target]],AVERAGE(OFFSET(Tab.o1[[#This Row],[DIF_Target]],1,0,L$3,1)))/3,Tab.o1[[#This Row],[DIF_Target]])</f>
        <v/>
      </c>
      <c r="M845" s="118" t="str">
        <f>IF(Tab.o1[[#This Row],[a1]]=1,NORMSDIST(Tab.o1[[#This Row],[Za]]),"")</f>
        <v/>
      </c>
      <c r="N845" s="119" t="str">
        <f>IF(Tab.o1[[#This Row],[a1]]=1,((Tab.o1[[#This Row],[MedMod]]-AVERAGE(Tab.o1[MedMod]))/_xlfn.STDEV.P(Tab.o1[MedMod])*H$1205)+G$1205,"")</f>
        <v/>
      </c>
      <c r="O845" s="141" t="str">
        <f>IF(Tab.o1[[#This Row],[a1]]=1,Tab.o1[[#This Row],[Zb]]*_xlfn.STDEV.P(Tab.o1[MedMod])+AVERAGE(Tab.o1[MedMod]),"")</f>
        <v/>
      </c>
      <c r="P845" s="117" t="str">
        <f ca="1">IF(Tab.o1[[#This Row],[B]]=0,AVERAGE(OFFSET(Tab.o1[[#This Row],[B]],1,0,L$3,1)),Tab.o1[[#This Row],[B]])</f>
        <v/>
      </c>
      <c r="Q845" s="121" t="str">
        <f>IF(Tab.o1[[#This Row],[a1]]=1,NORMSDIST(Tab.o1[[#This Row],[Zb]]),"")</f>
        <v/>
      </c>
      <c r="R845" s="122" t="str">
        <f>IF(Tab.o1[[#This Row],[a1]]=1,((Tab.o1[[#This Row],[MedMod]]-AVERAGE(Tab.o1[MedMod]))/_xlfn.STDEV.P(Tab.o1[MedMod])*H$1203)+G$1203,"")</f>
        <v/>
      </c>
      <c r="S845" s="122" t="str">
        <f>IF(Tab.o1[[#This Row],[a1]]=1,((Tab.o1[[#This Row],[MedMod]]-AVERAGE(Tab.o1[MedMod]))/_xlfn.STDEV.P(Tab.o1[MedMod])*H$1204)+G$1204,"")</f>
        <v/>
      </c>
      <c r="T845" s="123" t="str">
        <f>IF(Tab.o1[[#This Row],[a1]]=1,Tab.o1[[#This Row],[Z-]]*_xlfn.STDEV.P(Tab.o1[B])+AVERAGE(Tab.o1[B]),"")</f>
        <v/>
      </c>
      <c r="U845" s="123" t="str">
        <f>IF(Tab.o1[[#This Row],[a1]]=1,Tab.o1[[#This Row],[z+]]*_xlfn.STDEV.P(Tab.o1[B])+AVERAGE(Tab.o1[B]),"")</f>
        <v/>
      </c>
      <c r="V845" s="124" t="str">
        <f>IF(Tab.o1[[#This Row],[a1]]=1,ABS((ABS(Tab.o1[[#This Row],[Red]]-Tab.o1[[#This Row],[Blue]]))),"")</f>
        <v/>
      </c>
      <c r="W845" s="125" t="str">
        <f>IF(Tab.o1[[#This Row],[a1]]=1,IF(W$3=0,1,Tab.o1[[#This Row],[Amp.]]*1/_xlfn.MINIFS(Tab.o1[Amp.],Tab.o1[Amp.],"&lt;&gt;0")),"")</f>
        <v/>
      </c>
      <c r="X845" s="126" t="str">
        <f>IF(Tab.o1[[#This Row],[a1]]=1,IF(ISNUMBER(Tab.o1[[#This Row],[i.]]),NORMDIST(Tab.o1[[#This Row],[Za]],0,1,FALSE)*Tab.o1[[#This Row],[i.]],AP$3),"")</f>
        <v/>
      </c>
      <c r="Y845" s="126" t="str">
        <f>IF(Tab.o1[[#This Row],[a1]]=1,0.01+0.94*Tab.o1[[#This Row],[PDF]]/MAX(Tab.o1[PDF]),"")</f>
        <v/>
      </c>
      <c r="Z845" s="126" t="str">
        <f>IF(Tab.o1[[#This Row],[a1]]=1,0.01+0.94*Tab.o1[[#This Row],[W1_PDF]]/MAX(Tab.o1[W1_PDF]),"")</f>
        <v/>
      </c>
      <c r="AA845" s="118" t="str">
        <f>IF(Tab.o1[[#This Row],[a1]]=1,ABS([1]!T.in.A[[#This Row],[oo6]]),"")</f>
        <v/>
      </c>
      <c r="AB845" s="127" t="str">
        <f>IF(Tab.o1[[#This Row],[a1]]=1,IF(AE$3=0,"",IF(AB$3=0,ABS([1]!T.in.A[[#This Row],[oo9]]),ABS(Tab.o1[[#This Row],[DIF_Target.]]*Tab.o1[[#This Row],[W1_PDF]]))),"")</f>
        <v/>
      </c>
      <c r="AC845" s="127" t="str">
        <f>IF(G$1=1,"",IF(Tab.o1[[#This Row],[a1]]=1,Tab.o1[[#This Row],[Wr]]^2,""))</f>
        <v/>
      </c>
      <c r="AD845" s="118" t="str">
        <f>IF(Tab.o1[[#This Row],[a1]]=1,IF(AE$3=0,"",Tab.o1[[#This Row],[Wr2]]/SUM(Tab.o1[Wr2])),"")</f>
        <v/>
      </c>
      <c r="AE845" s="128" t="str">
        <f>IF(Tab.o1[[#This Row],[a1]]=1,[1]!T.in.A[[#This Row],[oo10]],"")</f>
        <v/>
      </c>
      <c r="AF845" s="118" t="str">
        <f>IF(Tab.o1[[#This Row],[a1]]=1,ABS(Tab.o1[[#This Row],[DIF_Target.]]*Tab.o1[[#This Row],[PDF2]]*Tab.o1[[#This Row],[IN]]),"")</f>
        <v/>
      </c>
      <c r="AG845" s="129" t="str">
        <f>IF(Tab.o1[[#This Row],[a1]]=1,Tab.o1[[#This Row],[rW]]^2,"")</f>
        <v/>
      </c>
      <c r="AH845" s="130" t="str">
        <f>IF(Tab.o1[[#This Row],[a1]]=1,IF(AH$3=0,Tab.o1[[#This Row],[rW2]],0.01+0.94*Tab.o1[[#This Row],[rW2]]/SUM(Tab.o1[rW2])),"")</f>
        <v/>
      </c>
      <c r="AI845" s="128" t="str">
        <f>IF(Tab.o1[[#This Row],[a1]]=1,1/Tab.o1[[#This Row],[PDF]],"")</f>
        <v/>
      </c>
      <c r="AJ845" s="131" t="str">
        <f>IF(Tab.o1[[#This Row],[a1]]=1,[1]!T_AA[[#This Row],[IN'']]*[1]!T_AA[[#This Row],[Qde'']],"")</f>
        <v/>
      </c>
      <c r="AK845" s="132" t="str">
        <f>IF(Tab.o1[[#This Row],[a1]]=1,IF(AK$1=1,Tab.o1[[#This Row],[MED]]+Tab.o1[[#This Row],[MOD]]-Tab.o1[[#This Row],[MED]],""),"")</f>
        <v/>
      </c>
      <c r="AL845" s="133" t="str">
        <f>IF(Tab.o1[[#This Row],[a1]]=1,[1]!T.in.A[[#This Row],[oo16]],"")</f>
        <v/>
      </c>
      <c r="AM845" s="133" t="str">
        <f>IF(Tab.o1[[#This Row],[a1]]=1,IF(AM$3=1,[1]!T.in.A[[#This Row],[Σo16]],""),"")</f>
        <v/>
      </c>
      <c r="AN845" s="126" t="str">
        <f>IF(Tab.o1[[#This Row],[a1]]=1,[1]!T.in.A[[#This Row],[Σp5]],"")</f>
        <v/>
      </c>
      <c r="AO845" s="126" t="str">
        <f>IF(Tab.o1[[#This Row],[a1]]=1,IF(AO$3=1,[1]!T.in.A[[#This Row],[Σp5]],""),"")</f>
        <v/>
      </c>
      <c r="AP845" s="110" t="str">
        <f>IF(Tab.o1[[#This Row],[a1]]=1,IF(ISNUMBER(Tab.o1[[#This Row],[i.]]),NORMDIST(Tab.o1[[#This Row],[Za]],0,1,FALSE)*Tab.o1[[#This Row],[i.]],0),"")</f>
        <v/>
      </c>
      <c r="AQ845" s="125" t="str">
        <f>IF(Tab.o1[[#This Row],[a1]]=1,ABS(Tab.o1[[#This Row],[MOD]]-AVERAGE(Tab.o1[MOD])),"")</f>
        <v/>
      </c>
      <c r="AR845" s="134" t="str">
        <f>IF(Tab.o1[[#This Row],[a1]]=1,Tab.o1[[#This Row],[OBS]]/SUM(Tab.o1[OBS]),"")</f>
        <v/>
      </c>
      <c r="AS845" s="135" t="str">
        <f>IF(ISNUMBER(Tab.o1[[#This Row],[a1]]),ROW()-4,"")</f>
        <v/>
      </c>
      <c r="AT845" s="136" t="str">
        <f>Tab.o1[[#This Row],[MOD]]</f>
        <v/>
      </c>
      <c r="AU845" s="137" t="str">
        <f t="shared" si="53"/>
        <v/>
      </c>
      <c r="AV845" s="138" t="str">
        <f t="shared" si="54"/>
        <v/>
      </c>
      <c r="AW845" s="138" t="str">
        <f t="shared" si="55"/>
        <v/>
      </c>
      <c r="AX845" s="139" t="str">
        <f>[1]!T.in.A[[#This Row],[ID_T_manu]]</f>
        <v/>
      </c>
      <c r="AY845" s="140" t="str">
        <f>IF(ISNUMBER(Tab.o1[[#This Row],[a1]]),IF(AND(Tab.o1[[#This Row],[a1]]=1,Tab.o1[[#This Row],[b1]]&lt;=AY$4),#REF!,AY844),"")</f>
        <v/>
      </c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6"/>
      <c r="BO845" s="26"/>
      <c r="BP845" s="26"/>
      <c r="BQ845" s="26"/>
      <c r="BR845" s="26"/>
      <c r="BS845" s="26"/>
      <c r="BT845" s="26"/>
      <c r="BU845" s="26"/>
      <c r="BV845" s="26"/>
      <c r="BW845" s="26"/>
      <c r="BX845" s="26"/>
      <c r="BY845" s="26"/>
      <c r="BZ845" s="26"/>
      <c r="CA845" s="26"/>
    </row>
    <row r="846" spans="1:79" s="143" customFormat="1" ht="15.75" hidden="1">
      <c r="A846" s="109">
        <v>-1.0000000000000001E-5</v>
      </c>
      <c r="B846" s="110">
        <f t="shared" si="52"/>
        <v>846</v>
      </c>
      <c r="C846" s="111" t="str">
        <f>IF(C$1=[1]!T.in.A[[#This Row],[oo2]],1,"")</f>
        <v/>
      </c>
      <c r="D846" s="112" t="str">
        <f>IF(Tab.o1[[#This Row],[a1]]=1,IF(SUM(C846:C847)=0,0,IF(SUM(C845:C846)=1,1,IF(SUM(C845:C847)&gt;1,D845+1,0))),"")</f>
        <v/>
      </c>
      <c r="E846" s="113" t="str">
        <f>IF(Tab.o1[[#This Row],[a1]]=1,[1]!T.in.A[[#This Row],[oo1]],"")</f>
        <v/>
      </c>
      <c r="F846" s="113" t="str">
        <f>IF(Tab.o1[[#This Row],[a1]]=1,[1]!T.in.A[[#This Row],[pp1]],"")</f>
        <v/>
      </c>
      <c r="G846" s="114" t="str">
        <f>IF(Tab.o1[[#This Row],[a1]]=1,G$2+IF(G$1=1,0,Tab.o1[[#This Row],[.x1]])+[1]!T.in.A[[#This Row],[oo3]],"")</f>
        <v/>
      </c>
      <c r="H846" s="115" t="str">
        <f>IF(Tab.o1[[#This Row],[a1]]=1,IF(H$2=0,0,IF(G$1=1,0,Tab.o1[[#This Row],[.x1]])+[1]!T.in.A[[#This Row],[oo4]]),"")</f>
        <v/>
      </c>
      <c r="I846" s="116" t="str">
        <f>IF(Tab.o1[[#This Row],[a1]]=1,IF(J$2=0,Tab.o1[[#This Row],[MED]],Tab.o1[[#This Row],[MOD]]),"")</f>
        <v/>
      </c>
      <c r="J846" s="116" t="str">
        <f>IF(Tab.o1[[#This Row],[a1]]=1,((Tab.o1[[#This Row],[DIF_Target.]]-AVERAGE(Tab.o1[DIF_Target.]))/_xlfn.STDEV.P(Tab.o1[DIF_Target.])),"")</f>
        <v/>
      </c>
      <c r="K846" s="117" t="str">
        <f>IF(Tab.o1[[#This Row],[a1]]=1,IF(J$2=0,Tab.o1[[#This Row],[MOD]]-Tab.o1[[#This Row],[B]],IF(J$2=1,0,-Tab.o1[[#This Row],[MED]])+Tab.o1[[#This Row],[B]]),"")</f>
        <v/>
      </c>
      <c r="L846" s="117" t="str">
        <f ca="1">IF(Tab.o1[[#This Row],[DIF_Target]]=0,IF(L$2=0,Tab.o1[[#This Row],[DIF_Target]],AVERAGE(OFFSET(Tab.o1[[#This Row],[DIF_Target]],1,0,L$3,1)))/3,Tab.o1[[#This Row],[DIF_Target]])</f>
        <v/>
      </c>
      <c r="M846" s="118" t="str">
        <f>IF(Tab.o1[[#This Row],[a1]]=1,NORMSDIST(Tab.o1[[#This Row],[Za]]),"")</f>
        <v/>
      </c>
      <c r="N846" s="119" t="str">
        <f>IF(Tab.o1[[#This Row],[a1]]=1,((Tab.o1[[#This Row],[MedMod]]-AVERAGE(Tab.o1[MedMod]))/_xlfn.STDEV.P(Tab.o1[MedMod])*H$1205)+G$1205,"")</f>
        <v/>
      </c>
      <c r="O846" s="141" t="str">
        <f>IF(Tab.o1[[#This Row],[a1]]=1,Tab.o1[[#This Row],[Zb]]*_xlfn.STDEV.P(Tab.o1[MedMod])+AVERAGE(Tab.o1[MedMod]),"")</f>
        <v/>
      </c>
      <c r="P846" s="117" t="str">
        <f ca="1">IF(Tab.o1[[#This Row],[B]]=0,AVERAGE(OFFSET(Tab.o1[[#This Row],[B]],1,0,L$3,1)),Tab.o1[[#This Row],[B]])</f>
        <v/>
      </c>
      <c r="Q846" s="121" t="str">
        <f>IF(Tab.o1[[#This Row],[a1]]=1,NORMSDIST(Tab.o1[[#This Row],[Zb]]),"")</f>
        <v/>
      </c>
      <c r="R846" s="122" t="str">
        <f>IF(Tab.o1[[#This Row],[a1]]=1,((Tab.o1[[#This Row],[MedMod]]-AVERAGE(Tab.o1[MedMod]))/_xlfn.STDEV.P(Tab.o1[MedMod])*H$1203)+G$1203,"")</f>
        <v/>
      </c>
      <c r="S846" s="122" t="str">
        <f>IF(Tab.o1[[#This Row],[a1]]=1,((Tab.o1[[#This Row],[MedMod]]-AVERAGE(Tab.o1[MedMod]))/_xlfn.STDEV.P(Tab.o1[MedMod])*H$1204)+G$1204,"")</f>
        <v/>
      </c>
      <c r="T846" s="123" t="str">
        <f>IF(Tab.o1[[#This Row],[a1]]=1,Tab.o1[[#This Row],[Z-]]*_xlfn.STDEV.P(Tab.o1[B])+AVERAGE(Tab.o1[B]),"")</f>
        <v/>
      </c>
      <c r="U846" s="123" t="str">
        <f>IF(Tab.o1[[#This Row],[a1]]=1,Tab.o1[[#This Row],[z+]]*_xlfn.STDEV.P(Tab.o1[B])+AVERAGE(Tab.o1[B]),"")</f>
        <v/>
      </c>
      <c r="V846" s="124" t="str">
        <f>IF(Tab.o1[[#This Row],[a1]]=1,ABS((ABS(Tab.o1[[#This Row],[Red]]-Tab.o1[[#This Row],[Blue]]))),"")</f>
        <v/>
      </c>
      <c r="W846" s="125" t="str">
        <f>IF(Tab.o1[[#This Row],[a1]]=1,IF(W$3=0,1,Tab.o1[[#This Row],[Amp.]]*1/_xlfn.MINIFS(Tab.o1[Amp.],Tab.o1[Amp.],"&lt;&gt;0")),"")</f>
        <v/>
      </c>
      <c r="X846" s="126" t="str">
        <f>IF(Tab.o1[[#This Row],[a1]]=1,IF(ISNUMBER(Tab.o1[[#This Row],[i.]]),NORMDIST(Tab.o1[[#This Row],[Za]],0,1,FALSE)*Tab.o1[[#This Row],[i.]],AP$3),"")</f>
        <v/>
      </c>
      <c r="Y846" s="126" t="str">
        <f>IF(Tab.o1[[#This Row],[a1]]=1,0.01+0.94*Tab.o1[[#This Row],[PDF]]/MAX(Tab.o1[PDF]),"")</f>
        <v/>
      </c>
      <c r="Z846" s="126" t="str">
        <f>IF(Tab.o1[[#This Row],[a1]]=1,0.01+0.94*Tab.o1[[#This Row],[W1_PDF]]/MAX(Tab.o1[W1_PDF]),"")</f>
        <v/>
      </c>
      <c r="AA846" s="118" t="str">
        <f>IF(Tab.o1[[#This Row],[a1]]=1,ABS([1]!T.in.A[[#This Row],[oo6]]),"")</f>
        <v/>
      </c>
      <c r="AB846" s="127" t="str">
        <f>IF(Tab.o1[[#This Row],[a1]]=1,IF(AE$3=0,"",IF(AB$3=0,ABS([1]!T.in.A[[#This Row],[oo9]]),ABS(Tab.o1[[#This Row],[DIF_Target.]]*Tab.o1[[#This Row],[W1_PDF]]))),"")</f>
        <v/>
      </c>
      <c r="AC846" s="127" t="str">
        <f>IF(G$1=1,"",IF(Tab.o1[[#This Row],[a1]]=1,Tab.o1[[#This Row],[Wr]]^2,""))</f>
        <v/>
      </c>
      <c r="AD846" s="118" t="str">
        <f>IF(Tab.o1[[#This Row],[a1]]=1,IF(AE$3=0,"",Tab.o1[[#This Row],[Wr2]]/SUM(Tab.o1[Wr2])),"")</f>
        <v/>
      </c>
      <c r="AE846" s="128" t="str">
        <f>IF(Tab.o1[[#This Row],[a1]]=1,[1]!T.in.A[[#This Row],[oo10]],"")</f>
        <v/>
      </c>
      <c r="AF846" s="118" t="str">
        <f>IF(Tab.o1[[#This Row],[a1]]=1,ABS(Tab.o1[[#This Row],[DIF_Target.]]*Tab.o1[[#This Row],[PDF2]]*Tab.o1[[#This Row],[IN]]),"")</f>
        <v/>
      </c>
      <c r="AG846" s="129" t="str">
        <f>IF(Tab.o1[[#This Row],[a1]]=1,Tab.o1[[#This Row],[rW]]^2,"")</f>
        <v/>
      </c>
      <c r="AH846" s="130" t="str">
        <f>IF(Tab.o1[[#This Row],[a1]]=1,IF(AH$3=0,Tab.o1[[#This Row],[rW2]],0.01+0.94*Tab.o1[[#This Row],[rW2]]/SUM(Tab.o1[rW2])),"")</f>
        <v/>
      </c>
      <c r="AI846" s="128" t="str">
        <f>IF(Tab.o1[[#This Row],[a1]]=1,1/Tab.o1[[#This Row],[PDF]],"")</f>
        <v/>
      </c>
      <c r="AJ846" s="131" t="str">
        <f>IF(Tab.o1[[#This Row],[a1]]=1,[1]!T_AA[[#This Row],[IN'']]*[1]!T_AA[[#This Row],[Qde'']],"")</f>
        <v/>
      </c>
      <c r="AK846" s="132" t="str">
        <f>IF(Tab.o1[[#This Row],[a1]]=1,IF(AK$1=1,Tab.o1[[#This Row],[MED]]+Tab.o1[[#This Row],[MOD]]-Tab.o1[[#This Row],[MED]],""),"")</f>
        <v/>
      </c>
      <c r="AL846" s="133" t="str">
        <f>IF(Tab.o1[[#This Row],[a1]]=1,[1]!T.in.A[[#This Row],[oo16]],"")</f>
        <v/>
      </c>
      <c r="AM846" s="133" t="str">
        <f>IF(Tab.o1[[#This Row],[a1]]=1,IF(AM$3=1,[1]!T.in.A[[#This Row],[Σo16]],""),"")</f>
        <v/>
      </c>
      <c r="AN846" s="126" t="str">
        <f>IF(Tab.o1[[#This Row],[a1]]=1,[1]!T.in.A[[#This Row],[Σp5]],"")</f>
        <v/>
      </c>
      <c r="AO846" s="126" t="str">
        <f>IF(Tab.o1[[#This Row],[a1]]=1,IF(AO$3=1,[1]!T.in.A[[#This Row],[Σp5]],""),"")</f>
        <v/>
      </c>
      <c r="AP846" s="110" t="str">
        <f>IF(Tab.o1[[#This Row],[a1]]=1,IF(ISNUMBER(Tab.o1[[#This Row],[i.]]),NORMDIST(Tab.o1[[#This Row],[Za]],0,1,FALSE)*Tab.o1[[#This Row],[i.]],0),"")</f>
        <v/>
      </c>
      <c r="AQ846" s="125" t="str">
        <f>IF(Tab.o1[[#This Row],[a1]]=1,ABS(Tab.o1[[#This Row],[MOD]]-AVERAGE(Tab.o1[MOD])),"")</f>
        <v/>
      </c>
      <c r="AR846" s="134" t="str">
        <f>IF(Tab.o1[[#This Row],[a1]]=1,Tab.o1[[#This Row],[OBS]]/SUM(Tab.o1[OBS]),"")</f>
        <v/>
      </c>
      <c r="AS846" s="135" t="str">
        <f>IF(ISNUMBER(Tab.o1[[#This Row],[a1]]),ROW()-4,"")</f>
        <v/>
      </c>
      <c r="AT846" s="136" t="str">
        <f>Tab.o1[[#This Row],[MOD]]</f>
        <v/>
      </c>
      <c r="AU846" s="137" t="str">
        <f t="shared" si="53"/>
        <v/>
      </c>
      <c r="AV846" s="138" t="str">
        <f t="shared" si="54"/>
        <v/>
      </c>
      <c r="AW846" s="138" t="str">
        <f t="shared" si="55"/>
        <v/>
      </c>
      <c r="AX846" s="139" t="str">
        <f>[1]!T.in.A[[#This Row],[ID_T_manu]]</f>
        <v/>
      </c>
      <c r="AY846" s="140" t="str">
        <f>IF(ISNUMBER(Tab.o1[[#This Row],[a1]]),IF(AND(Tab.o1[[#This Row],[a1]]=1,Tab.o1[[#This Row],[b1]]&lt;=AY$4),#REF!,AY845),"")</f>
        <v/>
      </c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6"/>
      <c r="BO846" s="26"/>
      <c r="BP846" s="26"/>
      <c r="BQ846" s="26"/>
      <c r="BR846" s="26"/>
      <c r="BS846" s="26"/>
      <c r="BT846" s="26"/>
      <c r="BU846" s="26"/>
      <c r="BV846" s="26"/>
      <c r="BW846" s="26"/>
      <c r="BX846" s="26"/>
      <c r="BY846" s="26"/>
      <c r="BZ846" s="26"/>
      <c r="CA846" s="26"/>
    </row>
    <row r="847" spans="1:79" s="143" customFormat="1" ht="15.75" hidden="1">
      <c r="A847" s="109">
        <v>9.0000000000000002E-6</v>
      </c>
      <c r="B847" s="110">
        <f t="shared" si="52"/>
        <v>847</v>
      </c>
      <c r="C847" s="111" t="str">
        <f>IF(C$1=[1]!T.in.A[[#This Row],[oo2]],1,"")</f>
        <v/>
      </c>
      <c r="D847" s="112" t="str">
        <f>IF(Tab.o1[[#This Row],[a1]]=1,IF(SUM(C847:C848)=0,0,IF(SUM(C846:C847)=1,1,IF(SUM(C846:C848)&gt;1,D846+1,0))),"")</f>
        <v/>
      </c>
      <c r="E847" s="113" t="str">
        <f>IF(Tab.o1[[#This Row],[a1]]=1,[1]!T.in.A[[#This Row],[oo1]],"")</f>
        <v/>
      </c>
      <c r="F847" s="113" t="str">
        <f>IF(Tab.o1[[#This Row],[a1]]=1,[1]!T.in.A[[#This Row],[pp1]],"")</f>
        <v/>
      </c>
      <c r="G847" s="114" t="str">
        <f>IF(Tab.o1[[#This Row],[a1]]=1,G$2+IF(G$1=1,0,Tab.o1[[#This Row],[.x1]])+[1]!T.in.A[[#This Row],[oo3]],"")</f>
        <v/>
      </c>
      <c r="H847" s="115" t="str">
        <f>IF(Tab.o1[[#This Row],[a1]]=1,IF(H$2=0,0,IF(G$1=1,0,Tab.o1[[#This Row],[.x1]])+[1]!T.in.A[[#This Row],[oo4]]),"")</f>
        <v/>
      </c>
      <c r="I847" s="116" t="str">
        <f>IF(Tab.o1[[#This Row],[a1]]=1,IF(J$2=0,Tab.o1[[#This Row],[MED]],Tab.o1[[#This Row],[MOD]]),"")</f>
        <v/>
      </c>
      <c r="J847" s="116" t="str">
        <f>IF(Tab.o1[[#This Row],[a1]]=1,((Tab.o1[[#This Row],[DIF_Target.]]-AVERAGE(Tab.o1[DIF_Target.]))/_xlfn.STDEV.P(Tab.o1[DIF_Target.])),"")</f>
        <v/>
      </c>
      <c r="K847" s="117" t="str">
        <f>IF(Tab.o1[[#This Row],[a1]]=1,IF(J$2=0,Tab.o1[[#This Row],[MOD]]-Tab.o1[[#This Row],[B]],IF(J$2=1,0,-Tab.o1[[#This Row],[MED]])+Tab.o1[[#This Row],[B]]),"")</f>
        <v/>
      </c>
      <c r="L847" s="117" t="str">
        <f ca="1">IF(Tab.o1[[#This Row],[DIF_Target]]=0,IF(L$2=0,Tab.o1[[#This Row],[DIF_Target]],AVERAGE(OFFSET(Tab.o1[[#This Row],[DIF_Target]],1,0,L$3,1)))/3,Tab.o1[[#This Row],[DIF_Target]])</f>
        <v/>
      </c>
      <c r="M847" s="118" t="str">
        <f>IF(Tab.o1[[#This Row],[a1]]=1,NORMSDIST(Tab.o1[[#This Row],[Za]]),"")</f>
        <v/>
      </c>
      <c r="N847" s="119" t="str">
        <f>IF(Tab.o1[[#This Row],[a1]]=1,((Tab.o1[[#This Row],[MedMod]]-AVERAGE(Tab.o1[MedMod]))/_xlfn.STDEV.P(Tab.o1[MedMod])*H$1205)+G$1205,"")</f>
        <v/>
      </c>
      <c r="O847" s="141" t="str">
        <f>IF(Tab.o1[[#This Row],[a1]]=1,Tab.o1[[#This Row],[Zb]]*_xlfn.STDEV.P(Tab.o1[MedMod])+AVERAGE(Tab.o1[MedMod]),"")</f>
        <v/>
      </c>
      <c r="P847" s="117" t="str">
        <f ca="1">IF(Tab.o1[[#This Row],[B]]=0,AVERAGE(OFFSET(Tab.o1[[#This Row],[B]],1,0,L$3,1)),Tab.o1[[#This Row],[B]])</f>
        <v/>
      </c>
      <c r="Q847" s="121" t="str">
        <f>IF(Tab.o1[[#This Row],[a1]]=1,NORMSDIST(Tab.o1[[#This Row],[Zb]]),"")</f>
        <v/>
      </c>
      <c r="R847" s="122" t="str">
        <f>IF(Tab.o1[[#This Row],[a1]]=1,((Tab.o1[[#This Row],[MedMod]]-AVERAGE(Tab.o1[MedMod]))/_xlfn.STDEV.P(Tab.o1[MedMod])*H$1203)+G$1203,"")</f>
        <v/>
      </c>
      <c r="S847" s="122" t="str">
        <f>IF(Tab.o1[[#This Row],[a1]]=1,((Tab.o1[[#This Row],[MedMod]]-AVERAGE(Tab.o1[MedMod]))/_xlfn.STDEV.P(Tab.o1[MedMod])*H$1204)+G$1204,"")</f>
        <v/>
      </c>
      <c r="T847" s="123" t="str">
        <f>IF(Tab.o1[[#This Row],[a1]]=1,Tab.o1[[#This Row],[Z-]]*_xlfn.STDEV.P(Tab.o1[B])+AVERAGE(Tab.o1[B]),"")</f>
        <v/>
      </c>
      <c r="U847" s="123" t="str">
        <f>IF(Tab.o1[[#This Row],[a1]]=1,Tab.o1[[#This Row],[z+]]*_xlfn.STDEV.P(Tab.o1[B])+AVERAGE(Tab.o1[B]),"")</f>
        <v/>
      </c>
      <c r="V847" s="124" t="str">
        <f>IF(Tab.o1[[#This Row],[a1]]=1,ABS((ABS(Tab.o1[[#This Row],[Red]]-Tab.o1[[#This Row],[Blue]]))),"")</f>
        <v/>
      </c>
      <c r="W847" s="125" t="str">
        <f>IF(Tab.o1[[#This Row],[a1]]=1,IF(W$3=0,1,Tab.o1[[#This Row],[Amp.]]*1/_xlfn.MINIFS(Tab.o1[Amp.],Tab.o1[Amp.],"&lt;&gt;0")),"")</f>
        <v/>
      </c>
      <c r="X847" s="126" t="str">
        <f>IF(Tab.o1[[#This Row],[a1]]=1,IF(ISNUMBER(Tab.o1[[#This Row],[i.]]),NORMDIST(Tab.o1[[#This Row],[Za]],0,1,FALSE)*Tab.o1[[#This Row],[i.]],AP$3),"")</f>
        <v/>
      </c>
      <c r="Y847" s="126" t="str">
        <f>IF(Tab.o1[[#This Row],[a1]]=1,0.01+0.94*Tab.o1[[#This Row],[PDF]]/MAX(Tab.o1[PDF]),"")</f>
        <v/>
      </c>
      <c r="Z847" s="126" t="str">
        <f>IF(Tab.o1[[#This Row],[a1]]=1,0.01+0.94*Tab.o1[[#This Row],[W1_PDF]]/MAX(Tab.o1[W1_PDF]),"")</f>
        <v/>
      </c>
      <c r="AA847" s="118" t="str">
        <f>IF(Tab.o1[[#This Row],[a1]]=1,ABS([1]!T.in.A[[#This Row],[oo6]]),"")</f>
        <v/>
      </c>
      <c r="AB847" s="127" t="str">
        <f>IF(Tab.o1[[#This Row],[a1]]=1,IF(AE$3=0,"",IF(AB$3=0,ABS([1]!T.in.A[[#This Row],[oo9]]),ABS(Tab.o1[[#This Row],[DIF_Target.]]*Tab.o1[[#This Row],[W1_PDF]]))),"")</f>
        <v/>
      </c>
      <c r="AC847" s="127" t="str">
        <f>IF(G$1=1,"",IF(Tab.o1[[#This Row],[a1]]=1,Tab.o1[[#This Row],[Wr]]^2,""))</f>
        <v/>
      </c>
      <c r="AD847" s="118" t="str">
        <f>IF(Tab.o1[[#This Row],[a1]]=1,IF(AE$3=0,"",Tab.o1[[#This Row],[Wr2]]/SUM(Tab.o1[Wr2])),"")</f>
        <v/>
      </c>
      <c r="AE847" s="128" t="str">
        <f>IF(Tab.o1[[#This Row],[a1]]=1,[1]!T.in.A[[#This Row],[oo10]],"")</f>
        <v/>
      </c>
      <c r="AF847" s="118" t="str">
        <f>IF(Tab.o1[[#This Row],[a1]]=1,ABS(Tab.o1[[#This Row],[DIF_Target.]]*Tab.o1[[#This Row],[PDF2]]*Tab.o1[[#This Row],[IN]]),"")</f>
        <v/>
      </c>
      <c r="AG847" s="129" t="str">
        <f>IF(Tab.o1[[#This Row],[a1]]=1,Tab.o1[[#This Row],[rW]]^2,"")</f>
        <v/>
      </c>
      <c r="AH847" s="130" t="str">
        <f>IF(Tab.o1[[#This Row],[a1]]=1,IF(AH$3=0,Tab.o1[[#This Row],[rW2]],0.01+0.94*Tab.o1[[#This Row],[rW2]]/SUM(Tab.o1[rW2])),"")</f>
        <v/>
      </c>
      <c r="AI847" s="128" t="str">
        <f>IF(Tab.o1[[#This Row],[a1]]=1,1/Tab.o1[[#This Row],[PDF]],"")</f>
        <v/>
      </c>
      <c r="AJ847" s="131" t="str">
        <f>IF(Tab.o1[[#This Row],[a1]]=1,[1]!T_AA[[#This Row],[IN'']]*[1]!T_AA[[#This Row],[Qde'']],"")</f>
        <v/>
      </c>
      <c r="AK847" s="132" t="str">
        <f>IF(Tab.o1[[#This Row],[a1]]=1,IF(AK$1=1,Tab.o1[[#This Row],[MED]]+Tab.o1[[#This Row],[MOD]]-Tab.o1[[#This Row],[MED]],""),"")</f>
        <v/>
      </c>
      <c r="AL847" s="133" t="str">
        <f>IF(Tab.o1[[#This Row],[a1]]=1,[1]!T.in.A[[#This Row],[oo16]],"")</f>
        <v/>
      </c>
      <c r="AM847" s="133" t="str">
        <f>IF(Tab.o1[[#This Row],[a1]]=1,IF(AM$3=1,[1]!T.in.A[[#This Row],[Σo16]],""),"")</f>
        <v/>
      </c>
      <c r="AN847" s="126" t="str">
        <f>IF(Tab.o1[[#This Row],[a1]]=1,[1]!T.in.A[[#This Row],[Σp5]],"")</f>
        <v/>
      </c>
      <c r="AO847" s="126" t="str">
        <f>IF(Tab.o1[[#This Row],[a1]]=1,IF(AO$3=1,[1]!T.in.A[[#This Row],[Σp5]],""),"")</f>
        <v/>
      </c>
      <c r="AP847" s="110" t="str">
        <f>IF(Tab.o1[[#This Row],[a1]]=1,IF(ISNUMBER(Tab.o1[[#This Row],[i.]]),NORMDIST(Tab.o1[[#This Row],[Za]],0,1,FALSE)*Tab.o1[[#This Row],[i.]],0),"")</f>
        <v/>
      </c>
      <c r="AQ847" s="125" t="str">
        <f>IF(Tab.o1[[#This Row],[a1]]=1,ABS(Tab.o1[[#This Row],[MOD]]-AVERAGE(Tab.o1[MOD])),"")</f>
        <v/>
      </c>
      <c r="AR847" s="134" t="str">
        <f>IF(Tab.o1[[#This Row],[a1]]=1,Tab.o1[[#This Row],[OBS]]/SUM(Tab.o1[OBS]),"")</f>
        <v/>
      </c>
      <c r="AS847" s="135" t="str">
        <f>IF(ISNUMBER(Tab.o1[[#This Row],[a1]]),ROW()-4,"")</f>
        <v/>
      </c>
      <c r="AT847" s="136" t="str">
        <f>Tab.o1[[#This Row],[MOD]]</f>
        <v/>
      </c>
      <c r="AU847" s="137" t="str">
        <f t="shared" si="53"/>
        <v/>
      </c>
      <c r="AV847" s="138" t="str">
        <f t="shared" si="54"/>
        <v/>
      </c>
      <c r="AW847" s="138" t="str">
        <f t="shared" si="55"/>
        <v/>
      </c>
      <c r="AX847" s="139" t="str">
        <f>[1]!T.in.A[[#This Row],[ID_T_manu]]</f>
        <v/>
      </c>
      <c r="AY847" s="140" t="str">
        <f>IF(ISNUMBER(Tab.o1[[#This Row],[a1]]),IF(AND(Tab.o1[[#This Row],[a1]]=1,Tab.o1[[#This Row],[b1]]&lt;=AY$4),#REF!,AY846),"")</f>
        <v/>
      </c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6"/>
      <c r="BO847" s="26"/>
      <c r="BP847" s="26"/>
      <c r="BQ847" s="26"/>
      <c r="BR847" s="26"/>
      <c r="BS847" s="26"/>
      <c r="BT847" s="26"/>
      <c r="BU847" s="26"/>
      <c r="BV847" s="26"/>
      <c r="BW847" s="26"/>
      <c r="BX847" s="26"/>
      <c r="BY847" s="26"/>
      <c r="BZ847" s="26"/>
      <c r="CA847" s="26"/>
    </row>
    <row r="848" spans="1:79" s="143" customFormat="1" ht="15.75" hidden="1">
      <c r="A848" s="109">
        <v>-5.9999999999999993E-6</v>
      </c>
      <c r="B848" s="110">
        <f t="shared" si="52"/>
        <v>848</v>
      </c>
      <c r="C848" s="111" t="str">
        <f>IF(C$1=[1]!T.in.A[[#This Row],[oo2]],1,"")</f>
        <v/>
      </c>
      <c r="D848" s="112" t="str">
        <f>IF(Tab.o1[[#This Row],[a1]]=1,IF(SUM(C848:C849)=0,0,IF(SUM(C847:C848)=1,1,IF(SUM(C847:C849)&gt;1,D847+1,0))),"")</f>
        <v/>
      </c>
      <c r="E848" s="113" t="str">
        <f>IF(Tab.o1[[#This Row],[a1]]=1,[1]!T.in.A[[#This Row],[oo1]],"")</f>
        <v/>
      </c>
      <c r="F848" s="113" t="str">
        <f>IF(Tab.o1[[#This Row],[a1]]=1,[1]!T.in.A[[#This Row],[pp1]],"")</f>
        <v/>
      </c>
      <c r="G848" s="114" t="str">
        <f>IF(Tab.o1[[#This Row],[a1]]=1,G$2+IF(G$1=1,0,Tab.o1[[#This Row],[.x1]])+[1]!T.in.A[[#This Row],[oo3]],"")</f>
        <v/>
      </c>
      <c r="H848" s="115" t="str">
        <f>IF(Tab.o1[[#This Row],[a1]]=1,IF(H$2=0,0,IF(G$1=1,0,Tab.o1[[#This Row],[.x1]])+[1]!T.in.A[[#This Row],[oo4]]),"")</f>
        <v/>
      </c>
      <c r="I848" s="116" t="str">
        <f>IF(Tab.o1[[#This Row],[a1]]=1,IF(J$2=0,Tab.o1[[#This Row],[MED]],Tab.o1[[#This Row],[MOD]]),"")</f>
        <v/>
      </c>
      <c r="J848" s="116" t="str">
        <f>IF(Tab.o1[[#This Row],[a1]]=1,((Tab.o1[[#This Row],[DIF_Target.]]-AVERAGE(Tab.o1[DIF_Target.]))/_xlfn.STDEV.P(Tab.o1[DIF_Target.])),"")</f>
        <v/>
      </c>
      <c r="K848" s="117" t="str">
        <f>IF(Tab.o1[[#This Row],[a1]]=1,IF(J$2=0,Tab.o1[[#This Row],[MOD]]-Tab.o1[[#This Row],[B]],IF(J$2=1,0,-Tab.o1[[#This Row],[MED]])+Tab.o1[[#This Row],[B]]),"")</f>
        <v/>
      </c>
      <c r="L848" s="117" t="str">
        <f ca="1">IF(Tab.o1[[#This Row],[DIF_Target]]=0,IF(L$2=0,Tab.o1[[#This Row],[DIF_Target]],AVERAGE(OFFSET(Tab.o1[[#This Row],[DIF_Target]],1,0,L$3,1)))/3,Tab.o1[[#This Row],[DIF_Target]])</f>
        <v/>
      </c>
      <c r="M848" s="118" t="str">
        <f>IF(Tab.o1[[#This Row],[a1]]=1,NORMSDIST(Tab.o1[[#This Row],[Za]]),"")</f>
        <v/>
      </c>
      <c r="N848" s="119" t="str">
        <f>IF(Tab.o1[[#This Row],[a1]]=1,((Tab.o1[[#This Row],[MedMod]]-AVERAGE(Tab.o1[MedMod]))/_xlfn.STDEV.P(Tab.o1[MedMod])*H$1205)+G$1205,"")</f>
        <v/>
      </c>
      <c r="O848" s="141" t="str">
        <f>IF(Tab.o1[[#This Row],[a1]]=1,Tab.o1[[#This Row],[Zb]]*_xlfn.STDEV.P(Tab.o1[MedMod])+AVERAGE(Tab.o1[MedMod]),"")</f>
        <v/>
      </c>
      <c r="P848" s="117" t="str">
        <f ca="1">IF(Tab.o1[[#This Row],[B]]=0,AVERAGE(OFFSET(Tab.o1[[#This Row],[B]],1,0,L$3,1)),Tab.o1[[#This Row],[B]])</f>
        <v/>
      </c>
      <c r="Q848" s="121" t="str">
        <f>IF(Tab.o1[[#This Row],[a1]]=1,NORMSDIST(Tab.o1[[#This Row],[Zb]]),"")</f>
        <v/>
      </c>
      <c r="R848" s="122" t="str">
        <f>IF(Tab.o1[[#This Row],[a1]]=1,((Tab.o1[[#This Row],[MedMod]]-AVERAGE(Tab.o1[MedMod]))/_xlfn.STDEV.P(Tab.o1[MedMod])*H$1203)+G$1203,"")</f>
        <v/>
      </c>
      <c r="S848" s="122" t="str">
        <f>IF(Tab.o1[[#This Row],[a1]]=1,((Tab.o1[[#This Row],[MedMod]]-AVERAGE(Tab.o1[MedMod]))/_xlfn.STDEV.P(Tab.o1[MedMod])*H$1204)+G$1204,"")</f>
        <v/>
      </c>
      <c r="T848" s="123" t="str">
        <f>IF(Tab.o1[[#This Row],[a1]]=1,Tab.o1[[#This Row],[Z-]]*_xlfn.STDEV.P(Tab.o1[B])+AVERAGE(Tab.o1[B]),"")</f>
        <v/>
      </c>
      <c r="U848" s="123" t="str">
        <f>IF(Tab.o1[[#This Row],[a1]]=1,Tab.o1[[#This Row],[z+]]*_xlfn.STDEV.P(Tab.o1[B])+AVERAGE(Tab.o1[B]),"")</f>
        <v/>
      </c>
      <c r="V848" s="124" t="str">
        <f>IF(Tab.o1[[#This Row],[a1]]=1,ABS((ABS(Tab.o1[[#This Row],[Red]]-Tab.o1[[#This Row],[Blue]]))),"")</f>
        <v/>
      </c>
      <c r="W848" s="125" t="str">
        <f>IF(Tab.o1[[#This Row],[a1]]=1,IF(W$3=0,1,Tab.o1[[#This Row],[Amp.]]*1/_xlfn.MINIFS(Tab.o1[Amp.],Tab.o1[Amp.],"&lt;&gt;0")),"")</f>
        <v/>
      </c>
      <c r="X848" s="126" t="str">
        <f>IF(Tab.o1[[#This Row],[a1]]=1,IF(ISNUMBER(Tab.o1[[#This Row],[i.]]),NORMDIST(Tab.o1[[#This Row],[Za]],0,1,FALSE)*Tab.o1[[#This Row],[i.]],AP$3),"")</f>
        <v/>
      </c>
      <c r="Y848" s="126" t="str">
        <f>IF(Tab.o1[[#This Row],[a1]]=1,0.01+0.94*Tab.o1[[#This Row],[PDF]]/MAX(Tab.o1[PDF]),"")</f>
        <v/>
      </c>
      <c r="Z848" s="126" t="str">
        <f>IF(Tab.o1[[#This Row],[a1]]=1,0.01+0.94*Tab.o1[[#This Row],[W1_PDF]]/MAX(Tab.o1[W1_PDF]),"")</f>
        <v/>
      </c>
      <c r="AA848" s="118" t="str">
        <f>IF(Tab.o1[[#This Row],[a1]]=1,ABS([1]!T.in.A[[#This Row],[oo6]]),"")</f>
        <v/>
      </c>
      <c r="AB848" s="127" t="str">
        <f>IF(Tab.o1[[#This Row],[a1]]=1,IF(AE$3=0,"",IF(AB$3=0,ABS([1]!T.in.A[[#This Row],[oo9]]),ABS(Tab.o1[[#This Row],[DIF_Target.]]*Tab.o1[[#This Row],[W1_PDF]]))),"")</f>
        <v/>
      </c>
      <c r="AC848" s="127" t="str">
        <f>IF(G$1=1,"",IF(Tab.o1[[#This Row],[a1]]=1,Tab.o1[[#This Row],[Wr]]^2,""))</f>
        <v/>
      </c>
      <c r="AD848" s="118" t="str">
        <f>IF(Tab.o1[[#This Row],[a1]]=1,IF(AE$3=0,"",Tab.o1[[#This Row],[Wr2]]/SUM(Tab.o1[Wr2])),"")</f>
        <v/>
      </c>
      <c r="AE848" s="128" t="str">
        <f>IF(Tab.o1[[#This Row],[a1]]=1,[1]!T.in.A[[#This Row],[oo10]],"")</f>
        <v/>
      </c>
      <c r="AF848" s="118" t="str">
        <f>IF(Tab.o1[[#This Row],[a1]]=1,ABS(Tab.o1[[#This Row],[DIF_Target.]]*Tab.o1[[#This Row],[PDF2]]*Tab.o1[[#This Row],[IN]]),"")</f>
        <v/>
      </c>
      <c r="AG848" s="129" t="str">
        <f>IF(Tab.o1[[#This Row],[a1]]=1,Tab.o1[[#This Row],[rW]]^2,"")</f>
        <v/>
      </c>
      <c r="AH848" s="130" t="str">
        <f>IF(Tab.o1[[#This Row],[a1]]=1,IF(AH$3=0,Tab.o1[[#This Row],[rW2]],0.01+0.94*Tab.o1[[#This Row],[rW2]]/SUM(Tab.o1[rW2])),"")</f>
        <v/>
      </c>
      <c r="AI848" s="128" t="str">
        <f>IF(Tab.o1[[#This Row],[a1]]=1,1/Tab.o1[[#This Row],[PDF]],"")</f>
        <v/>
      </c>
      <c r="AJ848" s="131" t="str">
        <f>IF(Tab.o1[[#This Row],[a1]]=1,[1]!T_AA[[#This Row],[IN'']]*[1]!T_AA[[#This Row],[Qde'']],"")</f>
        <v/>
      </c>
      <c r="AK848" s="132" t="str">
        <f>IF(Tab.o1[[#This Row],[a1]]=1,IF(AK$1=1,Tab.o1[[#This Row],[MED]]+Tab.o1[[#This Row],[MOD]]-Tab.o1[[#This Row],[MED]],""),"")</f>
        <v/>
      </c>
      <c r="AL848" s="133" t="str">
        <f>IF(Tab.o1[[#This Row],[a1]]=1,[1]!T.in.A[[#This Row],[oo16]],"")</f>
        <v/>
      </c>
      <c r="AM848" s="133" t="str">
        <f>IF(Tab.o1[[#This Row],[a1]]=1,IF(AM$3=1,[1]!T.in.A[[#This Row],[Σo16]],""),"")</f>
        <v/>
      </c>
      <c r="AN848" s="126" t="str">
        <f>IF(Tab.o1[[#This Row],[a1]]=1,[1]!T.in.A[[#This Row],[Σp5]],"")</f>
        <v/>
      </c>
      <c r="AO848" s="126" t="str">
        <f>IF(Tab.o1[[#This Row],[a1]]=1,IF(AO$3=1,[1]!T.in.A[[#This Row],[Σp5]],""),"")</f>
        <v/>
      </c>
      <c r="AP848" s="110" t="str">
        <f>IF(Tab.o1[[#This Row],[a1]]=1,IF(ISNUMBER(Tab.o1[[#This Row],[i.]]),NORMDIST(Tab.o1[[#This Row],[Za]],0,1,FALSE)*Tab.o1[[#This Row],[i.]],0),"")</f>
        <v/>
      </c>
      <c r="AQ848" s="125" t="str">
        <f>IF(Tab.o1[[#This Row],[a1]]=1,ABS(Tab.o1[[#This Row],[MOD]]-AVERAGE(Tab.o1[MOD])),"")</f>
        <v/>
      </c>
      <c r="AR848" s="134" t="str">
        <f>IF(Tab.o1[[#This Row],[a1]]=1,Tab.o1[[#This Row],[OBS]]/SUM(Tab.o1[OBS]),"")</f>
        <v/>
      </c>
      <c r="AS848" s="135" t="str">
        <f>IF(ISNUMBER(Tab.o1[[#This Row],[a1]]),ROW()-4,"")</f>
        <v/>
      </c>
      <c r="AT848" s="136" t="str">
        <f>Tab.o1[[#This Row],[MOD]]</f>
        <v/>
      </c>
      <c r="AU848" s="137" t="str">
        <f t="shared" si="53"/>
        <v/>
      </c>
      <c r="AV848" s="138" t="str">
        <f t="shared" si="54"/>
        <v/>
      </c>
      <c r="AW848" s="138" t="str">
        <f t="shared" si="55"/>
        <v/>
      </c>
      <c r="AX848" s="139" t="str">
        <f>[1]!T.in.A[[#This Row],[ID_T_manu]]</f>
        <v/>
      </c>
      <c r="AY848" s="140" t="str">
        <f>IF(ISNUMBER(Tab.o1[[#This Row],[a1]]),IF(AND(Tab.o1[[#This Row],[a1]]=1,Tab.o1[[#This Row],[b1]]&lt;=AY$4),#REF!,AY847),"")</f>
        <v/>
      </c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6"/>
      <c r="BO848" s="26"/>
      <c r="BP848" s="26"/>
      <c r="BQ848" s="26"/>
      <c r="BR848" s="26"/>
      <c r="BS848" s="26"/>
      <c r="BT848" s="26"/>
      <c r="BU848" s="26"/>
      <c r="BV848" s="26"/>
      <c r="BW848" s="26"/>
      <c r="BX848" s="26"/>
      <c r="BY848" s="26"/>
      <c r="BZ848" s="26"/>
      <c r="CA848" s="26"/>
    </row>
    <row r="849" spans="1:79" s="143" customFormat="1" ht="15.75" hidden="1">
      <c r="A849" s="109">
        <v>-1.0000000000000001E-5</v>
      </c>
      <c r="B849" s="110">
        <f t="shared" si="52"/>
        <v>849</v>
      </c>
      <c r="C849" s="111" t="str">
        <f>IF(C$1=[1]!T.in.A[[#This Row],[oo2]],1,"")</f>
        <v/>
      </c>
      <c r="D849" s="112" t="str">
        <f>IF(Tab.o1[[#This Row],[a1]]=1,IF(SUM(C849:C850)=0,0,IF(SUM(C848:C849)=1,1,IF(SUM(C848:C850)&gt;1,D848+1,0))),"")</f>
        <v/>
      </c>
      <c r="E849" s="113" t="str">
        <f>IF(Tab.o1[[#This Row],[a1]]=1,[1]!T.in.A[[#This Row],[oo1]],"")</f>
        <v/>
      </c>
      <c r="F849" s="113" t="str">
        <f>IF(Tab.o1[[#This Row],[a1]]=1,[1]!T.in.A[[#This Row],[pp1]],"")</f>
        <v/>
      </c>
      <c r="G849" s="114" t="str">
        <f>IF(Tab.o1[[#This Row],[a1]]=1,G$2+IF(G$1=1,0,Tab.o1[[#This Row],[.x1]])+[1]!T.in.A[[#This Row],[oo3]],"")</f>
        <v/>
      </c>
      <c r="H849" s="115" t="str">
        <f>IF(Tab.o1[[#This Row],[a1]]=1,IF(H$2=0,0,IF(G$1=1,0,Tab.o1[[#This Row],[.x1]])+[1]!T.in.A[[#This Row],[oo4]]),"")</f>
        <v/>
      </c>
      <c r="I849" s="116" t="str">
        <f>IF(Tab.o1[[#This Row],[a1]]=1,IF(J$2=0,Tab.o1[[#This Row],[MED]],Tab.o1[[#This Row],[MOD]]),"")</f>
        <v/>
      </c>
      <c r="J849" s="116" t="str">
        <f>IF(Tab.o1[[#This Row],[a1]]=1,((Tab.o1[[#This Row],[DIF_Target.]]-AVERAGE(Tab.o1[DIF_Target.]))/_xlfn.STDEV.P(Tab.o1[DIF_Target.])),"")</f>
        <v/>
      </c>
      <c r="K849" s="117" t="str">
        <f>IF(Tab.o1[[#This Row],[a1]]=1,IF(J$2=0,Tab.o1[[#This Row],[MOD]]-Tab.o1[[#This Row],[B]],IF(J$2=1,0,-Tab.o1[[#This Row],[MED]])+Tab.o1[[#This Row],[B]]),"")</f>
        <v/>
      </c>
      <c r="L849" s="117" t="str">
        <f ca="1">IF(Tab.o1[[#This Row],[DIF_Target]]=0,IF(L$2=0,Tab.o1[[#This Row],[DIF_Target]],AVERAGE(OFFSET(Tab.o1[[#This Row],[DIF_Target]],1,0,L$3,1)))/3,Tab.o1[[#This Row],[DIF_Target]])</f>
        <v/>
      </c>
      <c r="M849" s="118" t="str">
        <f>IF(Tab.o1[[#This Row],[a1]]=1,NORMSDIST(Tab.o1[[#This Row],[Za]]),"")</f>
        <v/>
      </c>
      <c r="N849" s="119" t="str">
        <f>IF(Tab.o1[[#This Row],[a1]]=1,((Tab.o1[[#This Row],[MedMod]]-AVERAGE(Tab.o1[MedMod]))/_xlfn.STDEV.P(Tab.o1[MedMod])*H$1205)+G$1205,"")</f>
        <v/>
      </c>
      <c r="O849" s="141" t="str">
        <f>IF(Tab.o1[[#This Row],[a1]]=1,Tab.o1[[#This Row],[Zb]]*_xlfn.STDEV.P(Tab.o1[MedMod])+AVERAGE(Tab.o1[MedMod]),"")</f>
        <v/>
      </c>
      <c r="P849" s="117" t="str">
        <f ca="1">IF(Tab.o1[[#This Row],[B]]=0,AVERAGE(OFFSET(Tab.o1[[#This Row],[B]],1,0,L$3,1)),Tab.o1[[#This Row],[B]])</f>
        <v/>
      </c>
      <c r="Q849" s="121" t="str">
        <f>IF(Tab.o1[[#This Row],[a1]]=1,NORMSDIST(Tab.o1[[#This Row],[Zb]]),"")</f>
        <v/>
      </c>
      <c r="R849" s="122" t="str">
        <f>IF(Tab.o1[[#This Row],[a1]]=1,((Tab.o1[[#This Row],[MedMod]]-AVERAGE(Tab.o1[MedMod]))/_xlfn.STDEV.P(Tab.o1[MedMod])*H$1203)+G$1203,"")</f>
        <v/>
      </c>
      <c r="S849" s="122" t="str">
        <f>IF(Tab.o1[[#This Row],[a1]]=1,((Tab.o1[[#This Row],[MedMod]]-AVERAGE(Tab.o1[MedMod]))/_xlfn.STDEV.P(Tab.o1[MedMod])*H$1204)+G$1204,"")</f>
        <v/>
      </c>
      <c r="T849" s="123" t="str">
        <f>IF(Tab.o1[[#This Row],[a1]]=1,Tab.o1[[#This Row],[Z-]]*_xlfn.STDEV.P(Tab.o1[B])+AVERAGE(Tab.o1[B]),"")</f>
        <v/>
      </c>
      <c r="U849" s="123" t="str">
        <f>IF(Tab.o1[[#This Row],[a1]]=1,Tab.o1[[#This Row],[z+]]*_xlfn.STDEV.P(Tab.o1[B])+AVERAGE(Tab.o1[B]),"")</f>
        <v/>
      </c>
      <c r="V849" s="124" t="str">
        <f>IF(Tab.o1[[#This Row],[a1]]=1,ABS((ABS(Tab.o1[[#This Row],[Red]]-Tab.o1[[#This Row],[Blue]]))),"")</f>
        <v/>
      </c>
      <c r="W849" s="125" t="str">
        <f>IF(Tab.o1[[#This Row],[a1]]=1,IF(W$3=0,1,Tab.o1[[#This Row],[Amp.]]*1/_xlfn.MINIFS(Tab.o1[Amp.],Tab.o1[Amp.],"&lt;&gt;0")),"")</f>
        <v/>
      </c>
      <c r="X849" s="126" t="str">
        <f>IF(Tab.o1[[#This Row],[a1]]=1,IF(ISNUMBER(Tab.o1[[#This Row],[i.]]),NORMDIST(Tab.o1[[#This Row],[Za]],0,1,FALSE)*Tab.o1[[#This Row],[i.]],AP$3),"")</f>
        <v/>
      </c>
      <c r="Y849" s="126" t="str">
        <f>IF(Tab.o1[[#This Row],[a1]]=1,0.01+0.94*Tab.o1[[#This Row],[PDF]]/MAX(Tab.o1[PDF]),"")</f>
        <v/>
      </c>
      <c r="Z849" s="126" t="str">
        <f>IF(Tab.o1[[#This Row],[a1]]=1,0.01+0.94*Tab.o1[[#This Row],[W1_PDF]]/MAX(Tab.o1[W1_PDF]),"")</f>
        <v/>
      </c>
      <c r="AA849" s="118" t="str">
        <f>IF(Tab.o1[[#This Row],[a1]]=1,ABS([1]!T.in.A[[#This Row],[oo6]]),"")</f>
        <v/>
      </c>
      <c r="AB849" s="127" t="str">
        <f>IF(Tab.o1[[#This Row],[a1]]=1,IF(AE$3=0,"",IF(AB$3=0,ABS([1]!T.in.A[[#This Row],[oo9]]),ABS(Tab.o1[[#This Row],[DIF_Target.]]*Tab.o1[[#This Row],[W1_PDF]]))),"")</f>
        <v/>
      </c>
      <c r="AC849" s="127" t="str">
        <f>IF(G$1=1,"",IF(Tab.o1[[#This Row],[a1]]=1,Tab.o1[[#This Row],[Wr]]^2,""))</f>
        <v/>
      </c>
      <c r="AD849" s="118" t="str">
        <f>IF(Tab.o1[[#This Row],[a1]]=1,IF(AE$3=0,"",Tab.o1[[#This Row],[Wr2]]/SUM(Tab.o1[Wr2])),"")</f>
        <v/>
      </c>
      <c r="AE849" s="128" t="str">
        <f>IF(Tab.o1[[#This Row],[a1]]=1,[1]!T.in.A[[#This Row],[oo10]],"")</f>
        <v/>
      </c>
      <c r="AF849" s="118" t="str">
        <f>IF(Tab.o1[[#This Row],[a1]]=1,ABS(Tab.o1[[#This Row],[DIF_Target.]]*Tab.o1[[#This Row],[PDF2]]*Tab.o1[[#This Row],[IN]]),"")</f>
        <v/>
      </c>
      <c r="AG849" s="129" t="str">
        <f>IF(Tab.o1[[#This Row],[a1]]=1,Tab.o1[[#This Row],[rW]]^2,"")</f>
        <v/>
      </c>
      <c r="AH849" s="130" t="str">
        <f>IF(Tab.o1[[#This Row],[a1]]=1,IF(AH$3=0,Tab.o1[[#This Row],[rW2]],0.01+0.94*Tab.o1[[#This Row],[rW2]]/SUM(Tab.o1[rW2])),"")</f>
        <v/>
      </c>
      <c r="AI849" s="128" t="str">
        <f>IF(Tab.o1[[#This Row],[a1]]=1,1/Tab.o1[[#This Row],[PDF]],"")</f>
        <v/>
      </c>
      <c r="AJ849" s="131" t="str">
        <f>IF(Tab.o1[[#This Row],[a1]]=1,[1]!T_AA[[#This Row],[IN'']]*[1]!T_AA[[#This Row],[Qde'']],"")</f>
        <v/>
      </c>
      <c r="AK849" s="132" t="str">
        <f>IF(Tab.o1[[#This Row],[a1]]=1,IF(AK$1=1,Tab.o1[[#This Row],[MED]]+Tab.o1[[#This Row],[MOD]]-Tab.o1[[#This Row],[MED]],""),"")</f>
        <v/>
      </c>
      <c r="AL849" s="133" t="str">
        <f>IF(Tab.o1[[#This Row],[a1]]=1,[1]!T.in.A[[#This Row],[oo16]],"")</f>
        <v/>
      </c>
      <c r="AM849" s="133" t="str">
        <f>IF(Tab.o1[[#This Row],[a1]]=1,IF(AM$3=1,[1]!T.in.A[[#This Row],[Σo16]],""),"")</f>
        <v/>
      </c>
      <c r="AN849" s="126" t="str">
        <f>IF(Tab.o1[[#This Row],[a1]]=1,[1]!T.in.A[[#This Row],[Σp5]],"")</f>
        <v/>
      </c>
      <c r="AO849" s="126" t="str">
        <f>IF(Tab.o1[[#This Row],[a1]]=1,IF(AO$3=1,[1]!T.in.A[[#This Row],[Σp5]],""),"")</f>
        <v/>
      </c>
      <c r="AP849" s="110" t="str">
        <f>IF(Tab.o1[[#This Row],[a1]]=1,IF(ISNUMBER(Tab.o1[[#This Row],[i.]]),NORMDIST(Tab.o1[[#This Row],[Za]],0,1,FALSE)*Tab.o1[[#This Row],[i.]],0),"")</f>
        <v/>
      </c>
      <c r="AQ849" s="125" t="str">
        <f>IF(Tab.o1[[#This Row],[a1]]=1,ABS(Tab.o1[[#This Row],[MOD]]-AVERAGE(Tab.o1[MOD])),"")</f>
        <v/>
      </c>
      <c r="AR849" s="134" t="str">
        <f>IF(Tab.o1[[#This Row],[a1]]=1,Tab.o1[[#This Row],[OBS]]/SUM(Tab.o1[OBS]),"")</f>
        <v/>
      </c>
      <c r="AS849" s="135" t="str">
        <f>IF(ISNUMBER(Tab.o1[[#This Row],[a1]]),ROW()-4,"")</f>
        <v/>
      </c>
      <c r="AT849" s="136" t="str">
        <f>Tab.o1[[#This Row],[MOD]]</f>
        <v/>
      </c>
      <c r="AU849" s="137" t="str">
        <f t="shared" si="53"/>
        <v/>
      </c>
      <c r="AV849" s="138" t="str">
        <f t="shared" si="54"/>
        <v/>
      </c>
      <c r="AW849" s="138" t="str">
        <f t="shared" si="55"/>
        <v/>
      </c>
      <c r="AX849" s="139" t="str">
        <f>[1]!T.in.A[[#This Row],[ID_T_manu]]</f>
        <v/>
      </c>
      <c r="AY849" s="140" t="str">
        <f>IF(ISNUMBER(Tab.o1[[#This Row],[a1]]),IF(AND(Tab.o1[[#This Row],[a1]]=1,Tab.o1[[#This Row],[b1]]&lt;=AY$4),#REF!,AY848),"")</f>
        <v/>
      </c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6"/>
      <c r="BO849" s="26"/>
      <c r="BP849" s="26"/>
      <c r="BQ849" s="26"/>
      <c r="BR849" s="26"/>
      <c r="BS849" s="26"/>
      <c r="BT849" s="26"/>
      <c r="BU849" s="26"/>
      <c r="BV849" s="26"/>
      <c r="BW849" s="26"/>
      <c r="BX849" s="26"/>
      <c r="BY849" s="26"/>
      <c r="BZ849" s="26"/>
      <c r="CA849" s="26"/>
    </row>
    <row r="850" spans="1:79" s="143" customFormat="1" ht="15.75" hidden="1">
      <c r="A850" s="109">
        <v>-8.0000000000000013E-6</v>
      </c>
      <c r="B850" s="110">
        <f t="shared" si="52"/>
        <v>850</v>
      </c>
      <c r="C850" s="111" t="str">
        <f>IF(C$1=[1]!T.in.A[[#This Row],[oo2]],1,"")</f>
        <v/>
      </c>
      <c r="D850" s="112" t="str">
        <f>IF(Tab.o1[[#This Row],[a1]]=1,IF(SUM(C850:C851)=0,0,IF(SUM(C849:C850)=1,1,IF(SUM(C849:C851)&gt;1,D849+1,0))),"")</f>
        <v/>
      </c>
      <c r="E850" s="113" t="str">
        <f>IF(Tab.o1[[#This Row],[a1]]=1,[1]!T.in.A[[#This Row],[oo1]],"")</f>
        <v/>
      </c>
      <c r="F850" s="113" t="str">
        <f>IF(Tab.o1[[#This Row],[a1]]=1,[1]!T.in.A[[#This Row],[pp1]],"")</f>
        <v/>
      </c>
      <c r="G850" s="114" t="str">
        <f>IF(Tab.o1[[#This Row],[a1]]=1,G$2+IF(G$1=1,0,Tab.o1[[#This Row],[.x1]])+[1]!T.in.A[[#This Row],[oo3]],"")</f>
        <v/>
      </c>
      <c r="H850" s="115" t="str">
        <f>IF(Tab.o1[[#This Row],[a1]]=1,IF(H$2=0,0,IF(G$1=1,0,Tab.o1[[#This Row],[.x1]])+[1]!T.in.A[[#This Row],[oo4]]),"")</f>
        <v/>
      </c>
      <c r="I850" s="116" t="str">
        <f>IF(Tab.o1[[#This Row],[a1]]=1,IF(J$2=0,Tab.o1[[#This Row],[MED]],Tab.o1[[#This Row],[MOD]]),"")</f>
        <v/>
      </c>
      <c r="J850" s="116" t="str">
        <f>IF(Tab.o1[[#This Row],[a1]]=1,((Tab.o1[[#This Row],[DIF_Target.]]-AVERAGE(Tab.o1[DIF_Target.]))/_xlfn.STDEV.P(Tab.o1[DIF_Target.])),"")</f>
        <v/>
      </c>
      <c r="K850" s="117" t="str">
        <f>IF(Tab.o1[[#This Row],[a1]]=1,IF(J$2=0,Tab.o1[[#This Row],[MOD]]-Tab.o1[[#This Row],[B]],IF(J$2=1,0,-Tab.o1[[#This Row],[MED]])+Tab.o1[[#This Row],[B]]),"")</f>
        <v/>
      </c>
      <c r="L850" s="117" t="str">
        <f ca="1">IF(Tab.o1[[#This Row],[DIF_Target]]=0,IF(L$2=0,Tab.o1[[#This Row],[DIF_Target]],AVERAGE(OFFSET(Tab.o1[[#This Row],[DIF_Target]],1,0,L$3,1)))/3,Tab.o1[[#This Row],[DIF_Target]])</f>
        <v/>
      </c>
      <c r="M850" s="118" t="str">
        <f>IF(Tab.o1[[#This Row],[a1]]=1,NORMSDIST(Tab.o1[[#This Row],[Za]]),"")</f>
        <v/>
      </c>
      <c r="N850" s="119" t="str">
        <f>IF(Tab.o1[[#This Row],[a1]]=1,((Tab.o1[[#This Row],[MedMod]]-AVERAGE(Tab.o1[MedMod]))/_xlfn.STDEV.P(Tab.o1[MedMod])*H$1205)+G$1205,"")</f>
        <v/>
      </c>
      <c r="O850" s="141" t="str">
        <f>IF(Tab.o1[[#This Row],[a1]]=1,Tab.o1[[#This Row],[Zb]]*_xlfn.STDEV.P(Tab.o1[MedMod])+AVERAGE(Tab.o1[MedMod]),"")</f>
        <v/>
      </c>
      <c r="P850" s="117" t="str">
        <f ca="1">IF(Tab.o1[[#This Row],[B]]=0,AVERAGE(OFFSET(Tab.o1[[#This Row],[B]],1,0,L$3,1)),Tab.o1[[#This Row],[B]])</f>
        <v/>
      </c>
      <c r="Q850" s="121" t="str">
        <f>IF(Tab.o1[[#This Row],[a1]]=1,NORMSDIST(Tab.o1[[#This Row],[Zb]]),"")</f>
        <v/>
      </c>
      <c r="R850" s="122" t="str">
        <f>IF(Tab.o1[[#This Row],[a1]]=1,((Tab.o1[[#This Row],[MedMod]]-AVERAGE(Tab.o1[MedMod]))/_xlfn.STDEV.P(Tab.o1[MedMod])*H$1203)+G$1203,"")</f>
        <v/>
      </c>
      <c r="S850" s="122" t="str">
        <f>IF(Tab.o1[[#This Row],[a1]]=1,((Tab.o1[[#This Row],[MedMod]]-AVERAGE(Tab.o1[MedMod]))/_xlfn.STDEV.P(Tab.o1[MedMod])*H$1204)+G$1204,"")</f>
        <v/>
      </c>
      <c r="T850" s="123" t="str">
        <f>IF(Tab.o1[[#This Row],[a1]]=1,Tab.o1[[#This Row],[Z-]]*_xlfn.STDEV.P(Tab.o1[B])+AVERAGE(Tab.o1[B]),"")</f>
        <v/>
      </c>
      <c r="U850" s="123" t="str">
        <f>IF(Tab.o1[[#This Row],[a1]]=1,Tab.o1[[#This Row],[z+]]*_xlfn.STDEV.P(Tab.o1[B])+AVERAGE(Tab.o1[B]),"")</f>
        <v/>
      </c>
      <c r="V850" s="124" t="str">
        <f>IF(Tab.o1[[#This Row],[a1]]=1,ABS((ABS(Tab.o1[[#This Row],[Red]]-Tab.o1[[#This Row],[Blue]]))),"")</f>
        <v/>
      </c>
      <c r="W850" s="125" t="str">
        <f>IF(Tab.o1[[#This Row],[a1]]=1,IF(W$3=0,1,Tab.o1[[#This Row],[Amp.]]*1/_xlfn.MINIFS(Tab.o1[Amp.],Tab.o1[Amp.],"&lt;&gt;0")),"")</f>
        <v/>
      </c>
      <c r="X850" s="126" t="str">
        <f>IF(Tab.o1[[#This Row],[a1]]=1,IF(ISNUMBER(Tab.o1[[#This Row],[i.]]),NORMDIST(Tab.o1[[#This Row],[Za]],0,1,FALSE)*Tab.o1[[#This Row],[i.]],AP$3),"")</f>
        <v/>
      </c>
      <c r="Y850" s="126" t="str">
        <f>IF(Tab.o1[[#This Row],[a1]]=1,0.01+0.94*Tab.o1[[#This Row],[PDF]]/MAX(Tab.o1[PDF]),"")</f>
        <v/>
      </c>
      <c r="Z850" s="126" t="str">
        <f>IF(Tab.o1[[#This Row],[a1]]=1,0.01+0.94*Tab.o1[[#This Row],[W1_PDF]]/MAX(Tab.o1[W1_PDF]),"")</f>
        <v/>
      </c>
      <c r="AA850" s="118" t="str">
        <f>IF(Tab.o1[[#This Row],[a1]]=1,ABS([1]!T.in.A[[#This Row],[oo6]]),"")</f>
        <v/>
      </c>
      <c r="AB850" s="127" t="str">
        <f>IF(Tab.o1[[#This Row],[a1]]=1,IF(AE$3=0,"",IF(AB$3=0,ABS([1]!T.in.A[[#This Row],[oo9]]),ABS(Tab.o1[[#This Row],[DIF_Target.]]*Tab.o1[[#This Row],[W1_PDF]]))),"")</f>
        <v/>
      </c>
      <c r="AC850" s="127" t="str">
        <f>IF(G$1=1,"",IF(Tab.o1[[#This Row],[a1]]=1,Tab.o1[[#This Row],[Wr]]^2,""))</f>
        <v/>
      </c>
      <c r="AD850" s="118" t="str">
        <f>IF(Tab.o1[[#This Row],[a1]]=1,IF(AE$3=0,"",Tab.o1[[#This Row],[Wr2]]/SUM(Tab.o1[Wr2])),"")</f>
        <v/>
      </c>
      <c r="AE850" s="128" t="str">
        <f>IF(Tab.o1[[#This Row],[a1]]=1,[1]!T.in.A[[#This Row],[oo10]],"")</f>
        <v/>
      </c>
      <c r="AF850" s="118" t="str">
        <f>IF(Tab.o1[[#This Row],[a1]]=1,ABS(Tab.o1[[#This Row],[DIF_Target.]]*Tab.o1[[#This Row],[PDF2]]*Tab.o1[[#This Row],[IN]]),"")</f>
        <v/>
      </c>
      <c r="AG850" s="129" t="str">
        <f>IF(Tab.o1[[#This Row],[a1]]=1,Tab.o1[[#This Row],[rW]]^2,"")</f>
        <v/>
      </c>
      <c r="AH850" s="130" t="str">
        <f>IF(Tab.o1[[#This Row],[a1]]=1,IF(AH$3=0,Tab.o1[[#This Row],[rW2]],0.01+0.94*Tab.o1[[#This Row],[rW2]]/SUM(Tab.o1[rW2])),"")</f>
        <v/>
      </c>
      <c r="AI850" s="128" t="str">
        <f>IF(Tab.o1[[#This Row],[a1]]=1,1/Tab.o1[[#This Row],[PDF]],"")</f>
        <v/>
      </c>
      <c r="AJ850" s="131" t="str">
        <f>IF(Tab.o1[[#This Row],[a1]]=1,[1]!T_AA[[#This Row],[IN'']]*[1]!T_AA[[#This Row],[Qde'']],"")</f>
        <v/>
      </c>
      <c r="AK850" s="132" t="str">
        <f>IF(Tab.o1[[#This Row],[a1]]=1,IF(AK$1=1,Tab.o1[[#This Row],[MED]]+Tab.o1[[#This Row],[MOD]]-Tab.o1[[#This Row],[MED]],""),"")</f>
        <v/>
      </c>
      <c r="AL850" s="133" t="str">
        <f>IF(Tab.o1[[#This Row],[a1]]=1,[1]!T.in.A[[#This Row],[oo16]],"")</f>
        <v/>
      </c>
      <c r="AM850" s="133" t="str">
        <f>IF(Tab.o1[[#This Row],[a1]]=1,IF(AM$3=1,[1]!T.in.A[[#This Row],[Σo16]],""),"")</f>
        <v/>
      </c>
      <c r="AN850" s="126" t="str">
        <f>IF(Tab.o1[[#This Row],[a1]]=1,[1]!T.in.A[[#This Row],[Σp5]],"")</f>
        <v/>
      </c>
      <c r="AO850" s="126" t="str">
        <f>IF(Tab.o1[[#This Row],[a1]]=1,IF(AO$3=1,[1]!T.in.A[[#This Row],[Σp5]],""),"")</f>
        <v/>
      </c>
      <c r="AP850" s="110" t="str">
        <f>IF(Tab.o1[[#This Row],[a1]]=1,IF(ISNUMBER(Tab.o1[[#This Row],[i.]]),NORMDIST(Tab.o1[[#This Row],[Za]],0,1,FALSE)*Tab.o1[[#This Row],[i.]],0),"")</f>
        <v/>
      </c>
      <c r="AQ850" s="125" t="str">
        <f>IF(Tab.o1[[#This Row],[a1]]=1,ABS(Tab.o1[[#This Row],[MOD]]-AVERAGE(Tab.o1[MOD])),"")</f>
        <v/>
      </c>
      <c r="AR850" s="134" t="str">
        <f>IF(Tab.o1[[#This Row],[a1]]=1,Tab.o1[[#This Row],[OBS]]/SUM(Tab.o1[OBS]),"")</f>
        <v/>
      </c>
      <c r="AS850" s="135" t="str">
        <f>IF(ISNUMBER(Tab.o1[[#This Row],[a1]]),ROW()-4,"")</f>
        <v/>
      </c>
      <c r="AT850" s="136" t="str">
        <f>Tab.o1[[#This Row],[MOD]]</f>
        <v/>
      </c>
      <c r="AU850" s="137" t="str">
        <f t="shared" si="53"/>
        <v/>
      </c>
      <c r="AV850" s="138" t="str">
        <f t="shared" si="54"/>
        <v/>
      </c>
      <c r="AW850" s="138" t="str">
        <f t="shared" si="55"/>
        <v/>
      </c>
      <c r="AX850" s="139" t="str">
        <f>[1]!T.in.A[[#This Row],[ID_T_manu]]</f>
        <v/>
      </c>
      <c r="AY850" s="140" t="str">
        <f>IF(ISNUMBER(Tab.o1[[#This Row],[a1]]),IF(AND(Tab.o1[[#This Row],[a1]]=1,Tab.o1[[#This Row],[b1]]&lt;=AY$4),#REF!,AY849),"")</f>
        <v/>
      </c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6"/>
      <c r="BO850" s="26"/>
      <c r="BP850" s="26"/>
      <c r="BQ850" s="26"/>
      <c r="BR850" s="26"/>
      <c r="BS850" s="26"/>
      <c r="BT850" s="26"/>
      <c r="BU850" s="26"/>
      <c r="BV850" s="26"/>
      <c r="BW850" s="26"/>
      <c r="BX850" s="26"/>
      <c r="BY850" s="26"/>
      <c r="BZ850" s="26"/>
      <c r="CA850" s="26"/>
    </row>
    <row r="851" spans="1:79" s="143" customFormat="1" ht="15.75" hidden="1">
      <c r="A851" s="109">
        <v>-5.9999999999999993E-6</v>
      </c>
      <c r="B851" s="110">
        <f t="shared" si="52"/>
        <v>851</v>
      </c>
      <c r="C851" s="111" t="str">
        <f>IF(C$1=[1]!T.in.A[[#This Row],[oo2]],1,"")</f>
        <v/>
      </c>
      <c r="D851" s="112" t="str">
        <f>IF(Tab.o1[[#This Row],[a1]]=1,IF(SUM(C851:C852)=0,0,IF(SUM(C850:C851)=1,1,IF(SUM(C850:C852)&gt;1,D850+1,0))),"")</f>
        <v/>
      </c>
      <c r="E851" s="113" t="str">
        <f>IF(Tab.o1[[#This Row],[a1]]=1,[1]!T.in.A[[#This Row],[oo1]],"")</f>
        <v/>
      </c>
      <c r="F851" s="113" t="str">
        <f>IF(Tab.o1[[#This Row],[a1]]=1,[1]!T.in.A[[#This Row],[pp1]],"")</f>
        <v/>
      </c>
      <c r="G851" s="114" t="str">
        <f>IF(Tab.o1[[#This Row],[a1]]=1,G$2+IF(G$1=1,0,Tab.o1[[#This Row],[.x1]])+[1]!T.in.A[[#This Row],[oo3]],"")</f>
        <v/>
      </c>
      <c r="H851" s="115" t="str">
        <f>IF(Tab.o1[[#This Row],[a1]]=1,IF(H$2=0,0,IF(G$1=1,0,Tab.o1[[#This Row],[.x1]])+[1]!T.in.A[[#This Row],[oo4]]),"")</f>
        <v/>
      </c>
      <c r="I851" s="116" t="str">
        <f>IF(Tab.o1[[#This Row],[a1]]=1,IF(J$2=0,Tab.o1[[#This Row],[MED]],Tab.o1[[#This Row],[MOD]]),"")</f>
        <v/>
      </c>
      <c r="J851" s="116" t="str">
        <f>IF(Tab.o1[[#This Row],[a1]]=1,((Tab.o1[[#This Row],[DIF_Target.]]-AVERAGE(Tab.o1[DIF_Target.]))/_xlfn.STDEV.P(Tab.o1[DIF_Target.])),"")</f>
        <v/>
      </c>
      <c r="K851" s="117" t="str">
        <f>IF(Tab.o1[[#This Row],[a1]]=1,IF(J$2=0,Tab.o1[[#This Row],[MOD]]-Tab.o1[[#This Row],[B]],IF(J$2=1,0,-Tab.o1[[#This Row],[MED]])+Tab.o1[[#This Row],[B]]),"")</f>
        <v/>
      </c>
      <c r="L851" s="117" t="str">
        <f ca="1">IF(Tab.o1[[#This Row],[DIF_Target]]=0,IF(L$2=0,Tab.o1[[#This Row],[DIF_Target]],AVERAGE(OFFSET(Tab.o1[[#This Row],[DIF_Target]],1,0,L$3,1)))/3,Tab.o1[[#This Row],[DIF_Target]])</f>
        <v/>
      </c>
      <c r="M851" s="118" t="str">
        <f>IF(Tab.o1[[#This Row],[a1]]=1,NORMSDIST(Tab.o1[[#This Row],[Za]]),"")</f>
        <v/>
      </c>
      <c r="N851" s="119" t="str">
        <f>IF(Tab.o1[[#This Row],[a1]]=1,((Tab.o1[[#This Row],[MedMod]]-AVERAGE(Tab.o1[MedMod]))/_xlfn.STDEV.P(Tab.o1[MedMod])*H$1205)+G$1205,"")</f>
        <v/>
      </c>
      <c r="O851" s="141" t="str">
        <f>IF(Tab.o1[[#This Row],[a1]]=1,Tab.o1[[#This Row],[Zb]]*_xlfn.STDEV.P(Tab.o1[MedMod])+AVERAGE(Tab.o1[MedMod]),"")</f>
        <v/>
      </c>
      <c r="P851" s="117" t="str">
        <f ca="1">IF(Tab.o1[[#This Row],[B]]=0,AVERAGE(OFFSET(Tab.o1[[#This Row],[B]],1,0,L$3,1)),Tab.o1[[#This Row],[B]])</f>
        <v/>
      </c>
      <c r="Q851" s="121" t="str">
        <f>IF(Tab.o1[[#This Row],[a1]]=1,NORMSDIST(Tab.o1[[#This Row],[Zb]]),"")</f>
        <v/>
      </c>
      <c r="R851" s="122" t="str">
        <f>IF(Tab.o1[[#This Row],[a1]]=1,((Tab.o1[[#This Row],[MedMod]]-AVERAGE(Tab.o1[MedMod]))/_xlfn.STDEV.P(Tab.o1[MedMod])*H$1203)+G$1203,"")</f>
        <v/>
      </c>
      <c r="S851" s="122" t="str">
        <f>IF(Tab.o1[[#This Row],[a1]]=1,((Tab.o1[[#This Row],[MedMod]]-AVERAGE(Tab.o1[MedMod]))/_xlfn.STDEV.P(Tab.o1[MedMod])*H$1204)+G$1204,"")</f>
        <v/>
      </c>
      <c r="T851" s="123" t="str">
        <f>IF(Tab.o1[[#This Row],[a1]]=1,Tab.o1[[#This Row],[Z-]]*_xlfn.STDEV.P(Tab.o1[B])+AVERAGE(Tab.o1[B]),"")</f>
        <v/>
      </c>
      <c r="U851" s="123" t="str">
        <f>IF(Tab.o1[[#This Row],[a1]]=1,Tab.o1[[#This Row],[z+]]*_xlfn.STDEV.P(Tab.o1[B])+AVERAGE(Tab.o1[B]),"")</f>
        <v/>
      </c>
      <c r="V851" s="124" t="str">
        <f>IF(Tab.o1[[#This Row],[a1]]=1,ABS((ABS(Tab.o1[[#This Row],[Red]]-Tab.o1[[#This Row],[Blue]]))),"")</f>
        <v/>
      </c>
      <c r="W851" s="125" t="str">
        <f>IF(Tab.o1[[#This Row],[a1]]=1,IF(W$3=0,1,Tab.o1[[#This Row],[Amp.]]*1/_xlfn.MINIFS(Tab.o1[Amp.],Tab.o1[Amp.],"&lt;&gt;0")),"")</f>
        <v/>
      </c>
      <c r="X851" s="126" t="str">
        <f>IF(Tab.o1[[#This Row],[a1]]=1,IF(ISNUMBER(Tab.o1[[#This Row],[i.]]),NORMDIST(Tab.o1[[#This Row],[Za]],0,1,FALSE)*Tab.o1[[#This Row],[i.]],AP$3),"")</f>
        <v/>
      </c>
      <c r="Y851" s="126" t="str">
        <f>IF(Tab.o1[[#This Row],[a1]]=1,0.01+0.94*Tab.o1[[#This Row],[PDF]]/MAX(Tab.o1[PDF]),"")</f>
        <v/>
      </c>
      <c r="Z851" s="126" t="str">
        <f>IF(Tab.o1[[#This Row],[a1]]=1,0.01+0.94*Tab.o1[[#This Row],[W1_PDF]]/MAX(Tab.o1[W1_PDF]),"")</f>
        <v/>
      </c>
      <c r="AA851" s="118" t="str">
        <f>IF(Tab.o1[[#This Row],[a1]]=1,ABS([1]!T.in.A[[#This Row],[oo6]]),"")</f>
        <v/>
      </c>
      <c r="AB851" s="127" t="str">
        <f>IF(Tab.o1[[#This Row],[a1]]=1,IF(AE$3=0,"",IF(AB$3=0,ABS([1]!T.in.A[[#This Row],[oo9]]),ABS(Tab.o1[[#This Row],[DIF_Target.]]*Tab.o1[[#This Row],[W1_PDF]]))),"")</f>
        <v/>
      </c>
      <c r="AC851" s="127" t="str">
        <f>IF(G$1=1,"",IF(Tab.o1[[#This Row],[a1]]=1,Tab.o1[[#This Row],[Wr]]^2,""))</f>
        <v/>
      </c>
      <c r="AD851" s="118" t="str">
        <f>IF(Tab.o1[[#This Row],[a1]]=1,IF(AE$3=0,"",Tab.o1[[#This Row],[Wr2]]/SUM(Tab.o1[Wr2])),"")</f>
        <v/>
      </c>
      <c r="AE851" s="128" t="str">
        <f>IF(Tab.o1[[#This Row],[a1]]=1,[1]!T.in.A[[#This Row],[oo10]],"")</f>
        <v/>
      </c>
      <c r="AF851" s="118" t="str">
        <f>IF(Tab.o1[[#This Row],[a1]]=1,ABS(Tab.o1[[#This Row],[DIF_Target.]]*Tab.o1[[#This Row],[PDF2]]*Tab.o1[[#This Row],[IN]]),"")</f>
        <v/>
      </c>
      <c r="AG851" s="129" t="str">
        <f>IF(Tab.o1[[#This Row],[a1]]=1,Tab.o1[[#This Row],[rW]]^2,"")</f>
        <v/>
      </c>
      <c r="AH851" s="130" t="str">
        <f>IF(Tab.o1[[#This Row],[a1]]=1,IF(AH$3=0,Tab.o1[[#This Row],[rW2]],0.01+0.94*Tab.o1[[#This Row],[rW2]]/SUM(Tab.o1[rW2])),"")</f>
        <v/>
      </c>
      <c r="AI851" s="128" t="str">
        <f>IF(Tab.o1[[#This Row],[a1]]=1,1/Tab.o1[[#This Row],[PDF]],"")</f>
        <v/>
      </c>
      <c r="AJ851" s="131" t="str">
        <f>IF(Tab.o1[[#This Row],[a1]]=1,[1]!T_AA[[#This Row],[IN'']]*[1]!T_AA[[#This Row],[Qde'']],"")</f>
        <v/>
      </c>
      <c r="AK851" s="132" t="str">
        <f>IF(Tab.o1[[#This Row],[a1]]=1,IF(AK$1=1,Tab.o1[[#This Row],[MED]]+Tab.o1[[#This Row],[MOD]]-Tab.o1[[#This Row],[MED]],""),"")</f>
        <v/>
      </c>
      <c r="AL851" s="133" t="str">
        <f>IF(Tab.o1[[#This Row],[a1]]=1,[1]!T.in.A[[#This Row],[oo16]],"")</f>
        <v/>
      </c>
      <c r="AM851" s="133" t="str">
        <f>IF(Tab.o1[[#This Row],[a1]]=1,IF(AM$3=1,[1]!T.in.A[[#This Row],[Σo16]],""),"")</f>
        <v/>
      </c>
      <c r="AN851" s="126" t="str">
        <f>IF(Tab.o1[[#This Row],[a1]]=1,[1]!T.in.A[[#This Row],[Σp5]],"")</f>
        <v/>
      </c>
      <c r="AO851" s="126" t="str">
        <f>IF(Tab.o1[[#This Row],[a1]]=1,IF(AO$3=1,[1]!T.in.A[[#This Row],[Σp5]],""),"")</f>
        <v/>
      </c>
      <c r="AP851" s="110" t="str">
        <f>IF(Tab.o1[[#This Row],[a1]]=1,IF(ISNUMBER(Tab.o1[[#This Row],[i.]]),NORMDIST(Tab.o1[[#This Row],[Za]],0,1,FALSE)*Tab.o1[[#This Row],[i.]],0),"")</f>
        <v/>
      </c>
      <c r="AQ851" s="125" t="str">
        <f>IF(Tab.o1[[#This Row],[a1]]=1,ABS(Tab.o1[[#This Row],[MOD]]-AVERAGE(Tab.o1[MOD])),"")</f>
        <v/>
      </c>
      <c r="AR851" s="134" t="str">
        <f>IF(Tab.o1[[#This Row],[a1]]=1,Tab.o1[[#This Row],[OBS]]/SUM(Tab.o1[OBS]),"")</f>
        <v/>
      </c>
      <c r="AS851" s="135" t="str">
        <f>IF(ISNUMBER(Tab.o1[[#This Row],[a1]]),ROW()-4,"")</f>
        <v/>
      </c>
      <c r="AT851" s="136" t="str">
        <f>Tab.o1[[#This Row],[MOD]]</f>
        <v/>
      </c>
      <c r="AU851" s="137" t="str">
        <f t="shared" si="53"/>
        <v/>
      </c>
      <c r="AV851" s="138" t="str">
        <f t="shared" si="54"/>
        <v/>
      </c>
      <c r="AW851" s="138" t="str">
        <f t="shared" si="55"/>
        <v/>
      </c>
      <c r="AX851" s="139" t="str">
        <f>[1]!T.in.A[[#This Row],[ID_T_manu]]</f>
        <v/>
      </c>
      <c r="AY851" s="140" t="str">
        <f>IF(ISNUMBER(Tab.o1[[#This Row],[a1]]),IF(AND(Tab.o1[[#This Row],[a1]]=1,Tab.o1[[#This Row],[b1]]&lt;=AY$4),#REF!,AY850),"")</f>
        <v/>
      </c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6"/>
      <c r="BO851" s="26"/>
      <c r="BP851" s="26"/>
      <c r="BQ851" s="26"/>
      <c r="BR851" s="26"/>
      <c r="BS851" s="26"/>
      <c r="BT851" s="26"/>
      <c r="BU851" s="26"/>
      <c r="BV851" s="26"/>
      <c r="BW851" s="26"/>
      <c r="BX851" s="26"/>
      <c r="BY851" s="26"/>
      <c r="BZ851" s="26"/>
      <c r="CA851" s="26"/>
    </row>
    <row r="852" spans="1:79" s="143" customFormat="1" ht="15.75" hidden="1">
      <c r="A852" s="109">
        <v>1.0000000000000002E-6</v>
      </c>
      <c r="B852" s="110">
        <f t="shared" si="52"/>
        <v>852</v>
      </c>
      <c r="C852" s="111" t="str">
        <f>IF(C$1=[1]!T.in.A[[#This Row],[oo2]],1,"")</f>
        <v/>
      </c>
      <c r="D852" s="112" t="str">
        <f>IF(Tab.o1[[#This Row],[a1]]=1,IF(SUM(C852:C853)=0,0,IF(SUM(C851:C852)=1,1,IF(SUM(C851:C853)&gt;1,D851+1,0))),"")</f>
        <v/>
      </c>
      <c r="E852" s="113" t="str">
        <f>IF(Tab.o1[[#This Row],[a1]]=1,[1]!T.in.A[[#This Row],[oo1]],"")</f>
        <v/>
      </c>
      <c r="F852" s="113" t="str">
        <f>IF(Tab.o1[[#This Row],[a1]]=1,[1]!T.in.A[[#This Row],[pp1]],"")</f>
        <v/>
      </c>
      <c r="G852" s="114" t="str">
        <f>IF(Tab.o1[[#This Row],[a1]]=1,G$2+IF(G$1=1,0,Tab.o1[[#This Row],[.x1]])+[1]!T.in.A[[#This Row],[oo3]],"")</f>
        <v/>
      </c>
      <c r="H852" s="115" t="str">
        <f>IF(Tab.o1[[#This Row],[a1]]=1,IF(H$2=0,0,IF(G$1=1,0,Tab.o1[[#This Row],[.x1]])+[1]!T.in.A[[#This Row],[oo4]]),"")</f>
        <v/>
      </c>
      <c r="I852" s="116" t="str">
        <f>IF(Tab.o1[[#This Row],[a1]]=1,IF(J$2=0,Tab.o1[[#This Row],[MED]],Tab.o1[[#This Row],[MOD]]),"")</f>
        <v/>
      </c>
      <c r="J852" s="116" t="str">
        <f>IF(Tab.o1[[#This Row],[a1]]=1,((Tab.o1[[#This Row],[DIF_Target.]]-AVERAGE(Tab.o1[DIF_Target.]))/_xlfn.STDEV.P(Tab.o1[DIF_Target.])),"")</f>
        <v/>
      </c>
      <c r="K852" s="117" t="str">
        <f>IF(Tab.o1[[#This Row],[a1]]=1,IF(J$2=0,Tab.o1[[#This Row],[MOD]]-Tab.o1[[#This Row],[B]],IF(J$2=1,0,-Tab.o1[[#This Row],[MED]])+Tab.o1[[#This Row],[B]]),"")</f>
        <v/>
      </c>
      <c r="L852" s="117" t="str">
        <f ca="1">IF(Tab.o1[[#This Row],[DIF_Target]]=0,IF(L$2=0,Tab.o1[[#This Row],[DIF_Target]],AVERAGE(OFFSET(Tab.o1[[#This Row],[DIF_Target]],1,0,L$3,1)))/3,Tab.o1[[#This Row],[DIF_Target]])</f>
        <v/>
      </c>
      <c r="M852" s="118" t="str">
        <f>IF(Tab.o1[[#This Row],[a1]]=1,NORMSDIST(Tab.o1[[#This Row],[Za]]),"")</f>
        <v/>
      </c>
      <c r="N852" s="119" t="str">
        <f>IF(Tab.o1[[#This Row],[a1]]=1,((Tab.o1[[#This Row],[MedMod]]-AVERAGE(Tab.o1[MedMod]))/_xlfn.STDEV.P(Tab.o1[MedMod])*H$1205)+G$1205,"")</f>
        <v/>
      </c>
      <c r="O852" s="141" t="str">
        <f>IF(Tab.o1[[#This Row],[a1]]=1,Tab.o1[[#This Row],[Zb]]*_xlfn.STDEV.P(Tab.o1[MedMod])+AVERAGE(Tab.o1[MedMod]),"")</f>
        <v/>
      </c>
      <c r="P852" s="117" t="str">
        <f ca="1">IF(Tab.o1[[#This Row],[B]]=0,AVERAGE(OFFSET(Tab.o1[[#This Row],[B]],1,0,L$3,1)),Tab.o1[[#This Row],[B]])</f>
        <v/>
      </c>
      <c r="Q852" s="121" t="str">
        <f>IF(Tab.o1[[#This Row],[a1]]=1,NORMSDIST(Tab.o1[[#This Row],[Zb]]),"")</f>
        <v/>
      </c>
      <c r="R852" s="122" t="str">
        <f>IF(Tab.o1[[#This Row],[a1]]=1,((Tab.o1[[#This Row],[MedMod]]-AVERAGE(Tab.o1[MedMod]))/_xlfn.STDEV.P(Tab.o1[MedMod])*H$1203)+G$1203,"")</f>
        <v/>
      </c>
      <c r="S852" s="122" t="str">
        <f>IF(Tab.o1[[#This Row],[a1]]=1,((Tab.o1[[#This Row],[MedMod]]-AVERAGE(Tab.o1[MedMod]))/_xlfn.STDEV.P(Tab.o1[MedMod])*H$1204)+G$1204,"")</f>
        <v/>
      </c>
      <c r="T852" s="123" t="str">
        <f>IF(Tab.o1[[#This Row],[a1]]=1,Tab.o1[[#This Row],[Z-]]*_xlfn.STDEV.P(Tab.o1[B])+AVERAGE(Tab.o1[B]),"")</f>
        <v/>
      </c>
      <c r="U852" s="123" t="str">
        <f>IF(Tab.o1[[#This Row],[a1]]=1,Tab.o1[[#This Row],[z+]]*_xlfn.STDEV.P(Tab.o1[B])+AVERAGE(Tab.o1[B]),"")</f>
        <v/>
      </c>
      <c r="V852" s="124" t="str">
        <f>IF(Tab.o1[[#This Row],[a1]]=1,ABS((ABS(Tab.o1[[#This Row],[Red]]-Tab.o1[[#This Row],[Blue]]))),"")</f>
        <v/>
      </c>
      <c r="W852" s="125" t="str">
        <f>IF(Tab.o1[[#This Row],[a1]]=1,IF(W$3=0,1,Tab.o1[[#This Row],[Amp.]]*1/_xlfn.MINIFS(Tab.o1[Amp.],Tab.o1[Amp.],"&lt;&gt;0")),"")</f>
        <v/>
      </c>
      <c r="X852" s="126" t="str">
        <f>IF(Tab.o1[[#This Row],[a1]]=1,IF(ISNUMBER(Tab.o1[[#This Row],[i.]]),NORMDIST(Tab.o1[[#This Row],[Za]],0,1,FALSE)*Tab.o1[[#This Row],[i.]],AP$3),"")</f>
        <v/>
      </c>
      <c r="Y852" s="126" t="str">
        <f>IF(Tab.o1[[#This Row],[a1]]=1,0.01+0.94*Tab.o1[[#This Row],[PDF]]/MAX(Tab.o1[PDF]),"")</f>
        <v/>
      </c>
      <c r="Z852" s="126" t="str">
        <f>IF(Tab.o1[[#This Row],[a1]]=1,0.01+0.94*Tab.o1[[#This Row],[W1_PDF]]/MAX(Tab.o1[W1_PDF]),"")</f>
        <v/>
      </c>
      <c r="AA852" s="118" t="str">
        <f>IF(Tab.o1[[#This Row],[a1]]=1,ABS([1]!T.in.A[[#This Row],[oo6]]),"")</f>
        <v/>
      </c>
      <c r="AB852" s="127" t="str">
        <f>IF(Tab.o1[[#This Row],[a1]]=1,IF(AE$3=0,"",IF(AB$3=0,ABS([1]!T.in.A[[#This Row],[oo9]]),ABS(Tab.o1[[#This Row],[DIF_Target.]]*Tab.o1[[#This Row],[W1_PDF]]))),"")</f>
        <v/>
      </c>
      <c r="AC852" s="127" t="str">
        <f>IF(G$1=1,"",IF(Tab.o1[[#This Row],[a1]]=1,Tab.o1[[#This Row],[Wr]]^2,""))</f>
        <v/>
      </c>
      <c r="AD852" s="118" t="str">
        <f>IF(Tab.o1[[#This Row],[a1]]=1,IF(AE$3=0,"",Tab.o1[[#This Row],[Wr2]]/SUM(Tab.o1[Wr2])),"")</f>
        <v/>
      </c>
      <c r="AE852" s="128" t="str">
        <f>IF(Tab.o1[[#This Row],[a1]]=1,[1]!T.in.A[[#This Row],[oo10]],"")</f>
        <v/>
      </c>
      <c r="AF852" s="118" t="str">
        <f>IF(Tab.o1[[#This Row],[a1]]=1,ABS(Tab.o1[[#This Row],[DIF_Target.]]*Tab.o1[[#This Row],[PDF2]]*Tab.o1[[#This Row],[IN]]),"")</f>
        <v/>
      </c>
      <c r="AG852" s="129" t="str">
        <f>IF(Tab.o1[[#This Row],[a1]]=1,Tab.o1[[#This Row],[rW]]^2,"")</f>
        <v/>
      </c>
      <c r="AH852" s="130" t="str">
        <f>IF(Tab.o1[[#This Row],[a1]]=1,IF(AH$3=0,Tab.o1[[#This Row],[rW2]],0.01+0.94*Tab.o1[[#This Row],[rW2]]/SUM(Tab.o1[rW2])),"")</f>
        <v/>
      </c>
      <c r="AI852" s="128" t="str">
        <f>IF(Tab.o1[[#This Row],[a1]]=1,1/Tab.o1[[#This Row],[PDF]],"")</f>
        <v/>
      </c>
      <c r="AJ852" s="131" t="str">
        <f>IF(Tab.o1[[#This Row],[a1]]=1,[1]!T_AA[[#This Row],[IN'']]*[1]!T_AA[[#This Row],[Qde'']],"")</f>
        <v/>
      </c>
      <c r="AK852" s="132" t="str">
        <f>IF(Tab.o1[[#This Row],[a1]]=1,IF(AK$1=1,Tab.o1[[#This Row],[MED]]+Tab.o1[[#This Row],[MOD]]-Tab.o1[[#This Row],[MED]],""),"")</f>
        <v/>
      </c>
      <c r="AL852" s="133" t="str">
        <f>IF(Tab.o1[[#This Row],[a1]]=1,[1]!T.in.A[[#This Row],[oo16]],"")</f>
        <v/>
      </c>
      <c r="AM852" s="133" t="str">
        <f>IF(Tab.o1[[#This Row],[a1]]=1,IF(AM$3=1,[1]!T.in.A[[#This Row],[Σo16]],""),"")</f>
        <v/>
      </c>
      <c r="AN852" s="126" t="str">
        <f>IF(Tab.o1[[#This Row],[a1]]=1,[1]!T.in.A[[#This Row],[Σp5]],"")</f>
        <v/>
      </c>
      <c r="AO852" s="126" t="str">
        <f>IF(Tab.o1[[#This Row],[a1]]=1,IF(AO$3=1,[1]!T.in.A[[#This Row],[Σp5]],""),"")</f>
        <v/>
      </c>
      <c r="AP852" s="110" t="str">
        <f>IF(Tab.o1[[#This Row],[a1]]=1,IF(ISNUMBER(Tab.o1[[#This Row],[i.]]),NORMDIST(Tab.o1[[#This Row],[Za]],0,1,FALSE)*Tab.o1[[#This Row],[i.]],0),"")</f>
        <v/>
      </c>
      <c r="AQ852" s="125" t="str">
        <f>IF(Tab.o1[[#This Row],[a1]]=1,ABS(Tab.o1[[#This Row],[MOD]]-AVERAGE(Tab.o1[MOD])),"")</f>
        <v/>
      </c>
      <c r="AR852" s="134" t="str">
        <f>IF(Tab.o1[[#This Row],[a1]]=1,Tab.o1[[#This Row],[OBS]]/SUM(Tab.o1[OBS]),"")</f>
        <v/>
      </c>
      <c r="AS852" s="135" t="str">
        <f>IF(ISNUMBER(Tab.o1[[#This Row],[a1]]),ROW()-4,"")</f>
        <v/>
      </c>
      <c r="AT852" s="136" t="str">
        <f>Tab.o1[[#This Row],[MOD]]</f>
        <v/>
      </c>
      <c r="AU852" s="137" t="str">
        <f t="shared" si="53"/>
        <v/>
      </c>
      <c r="AV852" s="138" t="str">
        <f t="shared" si="54"/>
        <v/>
      </c>
      <c r="AW852" s="138" t="str">
        <f t="shared" si="55"/>
        <v/>
      </c>
      <c r="AX852" s="139" t="str">
        <f>[1]!T.in.A[[#This Row],[ID_T_manu]]</f>
        <v/>
      </c>
      <c r="AY852" s="140" t="str">
        <f>IF(ISNUMBER(Tab.o1[[#This Row],[a1]]),IF(AND(Tab.o1[[#This Row],[a1]]=1,Tab.o1[[#This Row],[b1]]&lt;=AY$4),#REF!,AY851),"")</f>
        <v/>
      </c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6"/>
      <c r="BO852" s="26"/>
      <c r="BP852" s="26"/>
      <c r="BQ852" s="26"/>
      <c r="BR852" s="26"/>
      <c r="BS852" s="26"/>
      <c r="BT852" s="26"/>
      <c r="BU852" s="26"/>
      <c r="BV852" s="26"/>
      <c r="BW852" s="26"/>
      <c r="BX852" s="26"/>
      <c r="BY852" s="26"/>
      <c r="BZ852" s="26"/>
      <c r="CA852" s="26"/>
    </row>
    <row r="853" spans="1:79" s="143" customFormat="1" ht="15.75" hidden="1">
      <c r="A853" s="109">
        <v>2.9999999999999997E-6</v>
      </c>
      <c r="B853" s="110">
        <f t="shared" si="52"/>
        <v>853</v>
      </c>
      <c r="C853" s="111" t="str">
        <f>IF(C$1=[1]!T.in.A[[#This Row],[oo2]],1,"")</f>
        <v/>
      </c>
      <c r="D853" s="112" t="str">
        <f>IF(Tab.o1[[#This Row],[a1]]=1,IF(SUM(C853:C854)=0,0,IF(SUM(C852:C853)=1,1,IF(SUM(C852:C854)&gt;1,D852+1,0))),"")</f>
        <v/>
      </c>
      <c r="E853" s="113" t="str">
        <f>IF(Tab.o1[[#This Row],[a1]]=1,[1]!T.in.A[[#This Row],[oo1]],"")</f>
        <v/>
      </c>
      <c r="F853" s="113" t="str">
        <f>IF(Tab.o1[[#This Row],[a1]]=1,[1]!T.in.A[[#This Row],[pp1]],"")</f>
        <v/>
      </c>
      <c r="G853" s="114" t="str">
        <f>IF(Tab.o1[[#This Row],[a1]]=1,G$2+IF(G$1=1,0,Tab.o1[[#This Row],[.x1]])+[1]!T.in.A[[#This Row],[oo3]],"")</f>
        <v/>
      </c>
      <c r="H853" s="115" t="str">
        <f>IF(Tab.o1[[#This Row],[a1]]=1,IF(H$2=0,0,IF(G$1=1,0,Tab.o1[[#This Row],[.x1]])+[1]!T.in.A[[#This Row],[oo4]]),"")</f>
        <v/>
      </c>
      <c r="I853" s="116" t="str">
        <f>IF(Tab.o1[[#This Row],[a1]]=1,IF(J$2=0,Tab.o1[[#This Row],[MED]],Tab.o1[[#This Row],[MOD]]),"")</f>
        <v/>
      </c>
      <c r="J853" s="116" t="str">
        <f>IF(Tab.o1[[#This Row],[a1]]=1,((Tab.o1[[#This Row],[DIF_Target.]]-AVERAGE(Tab.o1[DIF_Target.]))/_xlfn.STDEV.P(Tab.o1[DIF_Target.])),"")</f>
        <v/>
      </c>
      <c r="K853" s="117" t="str">
        <f>IF(Tab.o1[[#This Row],[a1]]=1,IF(J$2=0,Tab.o1[[#This Row],[MOD]]-Tab.o1[[#This Row],[B]],IF(J$2=1,0,-Tab.o1[[#This Row],[MED]])+Tab.o1[[#This Row],[B]]),"")</f>
        <v/>
      </c>
      <c r="L853" s="117" t="str">
        <f ca="1">IF(Tab.o1[[#This Row],[DIF_Target]]=0,IF(L$2=0,Tab.o1[[#This Row],[DIF_Target]],AVERAGE(OFFSET(Tab.o1[[#This Row],[DIF_Target]],1,0,L$3,1)))/3,Tab.o1[[#This Row],[DIF_Target]])</f>
        <v/>
      </c>
      <c r="M853" s="118" t="str">
        <f>IF(Tab.o1[[#This Row],[a1]]=1,NORMSDIST(Tab.o1[[#This Row],[Za]]),"")</f>
        <v/>
      </c>
      <c r="N853" s="119" t="str">
        <f>IF(Tab.o1[[#This Row],[a1]]=1,((Tab.o1[[#This Row],[MedMod]]-AVERAGE(Tab.o1[MedMod]))/_xlfn.STDEV.P(Tab.o1[MedMod])*H$1205)+G$1205,"")</f>
        <v/>
      </c>
      <c r="O853" s="141" t="str">
        <f>IF(Tab.o1[[#This Row],[a1]]=1,Tab.o1[[#This Row],[Zb]]*_xlfn.STDEV.P(Tab.o1[MedMod])+AVERAGE(Tab.o1[MedMod]),"")</f>
        <v/>
      </c>
      <c r="P853" s="117" t="str">
        <f ca="1">IF(Tab.o1[[#This Row],[B]]=0,AVERAGE(OFFSET(Tab.o1[[#This Row],[B]],1,0,L$3,1)),Tab.o1[[#This Row],[B]])</f>
        <v/>
      </c>
      <c r="Q853" s="121" t="str">
        <f>IF(Tab.o1[[#This Row],[a1]]=1,NORMSDIST(Tab.o1[[#This Row],[Zb]]),"")</f>
        <v/>
      </c>
      <c r="R853" s="122" t="str">
        <f>IF(Tab.o1[[#This Row],[a1]]=1,((Tab.o1[[#This Row],[MedMod]]-AVERAGE(Tab.o1[MedMod]))/_xlfn.STDEV.P(Tab.o1[MedMod])*H$1203)+G$1203,"")</f>
        <v/>
      </c>
      <c r="S853" s="122" t="str">
        <f>IF(Tab.o1[[#This Row],[a1]]=1,((Tab.o1[[#This Row],[MedMod]]-AVERAGE(Tab.o1[MedMod]))/_xlfn.STDEV.P(Tab.o1[MedMod])*H$1204)+G$1204,"")</f>
        <v/>
      </c>
      <c r="T853" s="123" t="str">
        <f>IF(Tab.o1[[#This Row],[a1]]=1,Tab.o1[[#This Row],[Z-]]*_xlfn.STDEV.P(Tab.o1[B])+AVERAGE(Tab.o1[B]),"")</f>
        <v/>
      </c>
      <c r="U853" s="123" t="str">
        <f>IF(Tab.o1[[#This Row],[a1]]=1,Tab.o1[[#This Row],[z+]]*_xlfn.STDEV.P(Tab.o1[B])+AVERAGE(Tab.o1[B]),"")</f>
        <v/>
      </c>
      <c r="V853" s="124" t="str">
        <f>IF(Tab.o1[[#This Row],[a1]]=1,ABS((ABS(Tab.o1[[#This Row],[Red]]-Tab.o1[[#This Row],[Blue]]))),"")</f>
        <v/>
      </c>
      <c r="W853" s="125" t="str">
        <f>IF(Tab.o1[[#This Row],[a1]]=1,IF(W$3=0,1,Tab.o1[[#This Row],[Amp.]]*1/_xlfn.MINIFS(Tab.o1[Amp.],Tab.o1[Amp.],"&lt;&gt;0")),"")</f>
        <v/>
      </c>
      <c r="X853" s="126" t="str">
        <f>IF(Tab.o1[[#This Row],[a1]]=1,IF(ISNUMBER(Tab.o1[[#This Row],[i.]]),NORMDIST(Tab.o1[[#This Row],[Za]],0,1,FALSE)*Tab.o1[[#This Row],[i.]],AP$3),"")</f>
        <v/>
      </c>
      <c r="Y853" s="126" t="str">
        <f>IF(Tab.o1[[#This Row],[a1]]=1,0.01+0.94*Tab.o1[[#This Row],[PDF]]/MAX(Tab.o1[PDF]),"")</f>
        <v/>
      </c>
      <c r="Z853" s="126" t="str">
        <f>IF(Tab.o1[[#This Row],[a1]]=1,0.01+0.94*Tab.o1[[#This Row],[W1_PDF]]/MAX(Tab.o1[W1_PDF]),"")</f>
        <v/>
      </c>
      <c r="AA853" s="118" t="str">
        <f>IF(Tab.o1[[#This Row],[a1]]=1,ABS([1]!T.in.A[[#This Row],[oo6]]),"")</f>
        <v/>
      </c>
      <c r="AB853" s="127" t="str">
        <f>IF(Tab.o1[[#This Row],[a1]]=1,IF(AE$3=0,"",IF(AB$3=0,ABS([1]!T.in.A[[#This Row],[oo9]]),ABS(Tab.o1[[#This Row],[DIF_Target.]]*Tab.o1[[#This Row],[W1_PDF]]))),"")</f>
        <v/>
      </c>
      <c r="AC853" s="127" t="str">
        <f>IF(G$1=1,"",IF(Tab.o1[[#This Row],[a1]]=1,Tab.o1[[#This Row],[Wr]]^2,""))</f>
        <v/>
      </c>
      <c r="AD853" s="118" t="str">
        <f>IF(Tab.o1[[#This Row],[a1]]=1,IF(AE$3=0,"",Tab.o1[[#This Row],[Wr2]]/SUM(Tab.o1[Wr2])),"")</f>
        <v/>
      </c>
      <c r="AE853" s="128" t="str">
        <f>IF(Tab.o1[[#This Row],[a1]]=1,[1]!T.in.A[[#This Row],[oo10]],"")</f>
        <v/>
      </c>
      <c r="AF853" s="118" t="str">
        <f>IF(Tab.o1[[#This Row],[a1]]=1,ABS(Tab.o1[[#This Row],[DIF_Target.]]*Tab.o1[[#This Row],[PDF2]]*Tab.o1[[#This Row],[IN]]),"")</f>
        <v/>
      </c>
      <c r="AG853" s="129" t="str">
        <f>IF(Tab.o1[[#This Row],[a1]]=1,Tab.o1[[#This Row],[rW]]^2,"")</f>
        <v/>
      </c>
      <c r="AH853" s="130" t="str">
        <f>IF(Tab.o1[[#This Row],[a1]]=1,IF(AH$3=0,Tab.o1[[#This Row],[rW2]],0.01+0.94*Tab.o1[[#This Row],[rW2]]/SUM(Tab.o1[rW2])),"")</f>
        <v/>
      </c>
      <c r="AI853" s="128" t="str">
        <f>IF(Tab.o1[[#This Row],[a1]]=1,1/Tab.o1[[#This Row],[PDF]],"")</f>
        <v/>
      </c>
      <c r="AJ853" s="131" t="str">
        <f>IF(Tab.o1[[#This Row],[a1]]=1,[1]!T_AA[[#This Row],[IN'']]*[1]!T_AA[[#This Row],[Qde'']],"")</f>
        <v/>
      </c>
      <c r="AK853" s="132" t="str">
        <f>IF(Tab.o1[[#This Row],[a1]]=1,IF(AK$1=1,Tab.o1[[#This Row],[MED]]+Tab.o1[[#This Row],[MOD]]-Tab.o1[[#This Row],[MED]],""),"")</f>
        <v/>
      </c>
      <c r="AL853" s="133" t="str">
        <f>IF(Tab.o1[[#This Row],[a1]]=1,[1]!T.in.A[[#This Row],[oo16]],"")</f>
        <v/>
      </c>
      <c r="AM853" s="133" t="str">
        <f>IF(Tab.o1[[#This Row],[a1]]=1,IF(AM$3=1,[1]!T.in.A[[#This Row],[Σo16]],""),"")</f>
        <v/>
      </c>
      <c r="AN853" s="126" t="str">
        <f>IF(Tab.o1[[#This Row],[a1]]=1,[1]!T.in.A[[#This Row],[Σp5]],"")</f>
        <v/>
      </c>
      <c r="AO853" s="126" t="str">
        <f>IF(Tab.o1[[#This Row],[a1]]=1,IF(AO$3=1,[1]!T.in.A[[#This Row],[Σp5]],""),"")</f>
        <v/>
      </c>
      <c r="AP853" s="110" t="str">
        <f>IF(Tab.o1[[#This Row],[a1]]=1,IF(ISNUMBER(Tab.o1[[#This Row],[i.]]),NORMDIST(Tab.o1[[#This Row],[Za]],0,1,FALSE)*Tab.o1[[#This Row],[i.]],0),"")</f>
        <v/>
      </c>
      <c r="AQ853" s="125" t="str">
        <f>IF(Tab.o1[[#This Row],[a1]]=1,ABS(Tab.o1[[#This Row],[MOD]]-AVERAGE(Tab.o1[MOD])),"")</f>
        <v/>
      </c>
      <c r="AR853" s="134" t="str">
        <f>IF(Tab.o1[[#This Row],[a1]]=1,Tab.o1[[#This Row],[OBS]]/SUM(Tab.o1[OBS]),"")</f>
        <v/>
      </c>
      <c r="AS853" s="135" t="str">
        <f>IF(ISNUMBER(Tab.o1[[#This Row],[a1]]),ROW()-4,"")</f>
        <v/>
      </c>
      <c r="AT853" s="136" t="str">
        <f>Tab.o1[[#This Row],[MOD]]</f>
        <v/>
      </c>
      <c r="AU853" s="137" t="str">
        <f t="shared" si="53"/>
        <v/>
      </c>
      <c r="AV853" s="138" t="str">
        <f t="shared" si="54"/>
        <v/>
      </c>
      <c r="AW853" s="138" t="str">
        <f t="shared" si="55"/>
        <v/>
      </c>
      <c r="AX853" s="139" t="str">
        <f>[1]!T.in.A[[#This Row],[ID_T_manu]]</f>
        <v/>
      </c>
      <c r="AY853" s="140" t="str">
        <f>IF(ISNUMBER(Tab.o1[[#This Row],[a1]]),IF(AND(Tab.o1[[#This Row],[a1]]=1,Tab.o1[[#This Row],[b1]]&lt;=AY$4),#REF!,AY852),"")</f>
        <v/>
      </c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6"/>
      <c r="BO853" s="26"/>
      <c r="BP853" s="26"/>
      <c r="BQ853" s="26"/>
      <c r="BR853" s="26"/>
      <c r="BS853" s="26"/>
      <c r="BT853" s="26"/>
      <c r="BU853" s="26"/>
      <c r="BV853" s="26"/>
      <c r="BW853" s="26"/>
      <c r="BX853" s="26"/>
      <c r="BY853" s="26"/>
      <c r="BZ853" s="26"/>
      <c r="CA853" s="26"/>
    </row>
    <row r="854" spans="1:79" s="143" customFormat="1" ht="15.75" hidden="1">
      <c r="A854" s="109">
        <v>-5.0000000000000004E-6</v>
      </c>
      <c r="B854" s="110">
        <f t="shared" si="52"/>
        <v>854</v>
      </c>
      <c r="C854" s="111" t="str">
        <f>IF(C$1=[1]!T.in.A[[#This Row],[oo2]],1,"")</f>
        <v/>
      </c>
      <c r="D854" s="112" t="str">
        <f>IF(Tab.o1[[#This Row],[a1]]=1,IF(SUM(C854:C855)=0,0,IF(SUM(C853:C854)=1,1,IF(SUM(C853:C855)&gt;1,D853+1,0))),"")</f>
        <v/>
      </c>
      <c r="E854" s="113" t="str">
        <f>IF(Tab.o1[[#This Row],[a1]]=1,[1]!T.in.A[[#This Row],[oo1]],"")</f>
        <v/>
      </c>
      <c r="F854" s="113" t="str">
        <f>IF(Tab.o1[[#This Row],[a1]]=1,[1]!T.in.A[[#This Row],[pp1]],"")</f>
        <v/>
      </c>
      <c r="G854" s="114" t="str">
        <f>IF(Tab.o1[[#This Row],[a1]]=1,G$2+IF(G$1=1,0,Tab.o1[[#This Row],[.x1]])+[1]!T.in.A[[#This Row],[oo3]],"")</f>
        <v/>
      </c>
      <c r="H854" s="115" t="str">
        <f>IF(Tab.o1[[#This Row],[a1]]=1,IF(H$2=0,0,IF(G$1=1,0,Tab.o1[[#This Row],[.x1]])+[1]!T.in.A[[#This Row],[oo4]]),"")</f>
        <v/>
      </c>
      <c r="I854" s="116" t="str">
        <f>IF(Tab.o1[[#This Row],[a1]]=1,IF(J$2=0,Tab.o1[[#This Row],[MED]],Tab.o1[[#This Row],[MOD]]),"")</f>
        <v/>
      </c>
      <c r="J854" s="116" t="str">
        <f>IF(Tab.o1[[#This Row],[a1]]=1,((Tab.o1[[#This Row],[DIF_Target.]]-AVERAGE(Tab.o1[DIF_Target.]))/_xlfn.STDEV.P(Tab.o1[DIF_Target.])),"")</f>
        <v/>
      </c>
      <c r="K854" s="117" t="str">
        <f>IF(Tab.o1[[#This Row],[a1]]=1,IF(J$2=0,Tab.o1[[#This Row],[MOD]]-Tab.o1[[#This Row],[B]],IF(J$2=1,0,-Tab.o1[[#This Row],[MED]])+Tab.o1[[#This Row],[B]]),"")</f>
        <v/>
      </c>
      <c r="L854" s="117" t="str">
        <f ca="1">IF(Tab.o1[[#This Row],[DIF_Target]]=0,IF(L$2=0,Tab.o1[[#This Row],[DIF_Target]],AVERAGE(OFFSET(Tab.o1[[#This Row],[DIF_Target]],1,0,L$3,1)))/3,Tab.o1[[#This Row],[DIF_Target]])</f>
        <v/>
      </c>
      <c r="M854" s="118" t="str">
        <f>IF(Tab.o1[[#This Row],[a1]]=1,NORMSDIST(Tab.o1[[#This Row],[Za]]),"")</f>
        <v/>
      </c>
      <c r="N854" s="119" t="str">
        <f>IF(Tab.o1[[#This Row],[a1]]=1,((Tab.o1[[#This Row],[MedMod]]-AVERAGE(Tab.o1[MedMod]))/_xlfn.STDEV.P(Tab.o1[MedMod])*H$1205)+G$1205,"")</f>
        <v/>
      </c>
      <c r="O854" s="141" t="str">
        <f>IF(Tab.o1[[#This Row],[a1]]=1,Tab.o1[[#This Row],[Zb]]*_xlfn.STDEV.P(Tab.o1[MedMod])+AVERAGE(Tab.o1[MedMod]),"")</f>
        <v/>
      </c>
      <c r="P854" s="117" t="str">
        <f ca="1">IF(Tab.o1[[#This Row],[B]]=0,AVERAGE(OFFSET(Tab.o1[[#This Row],[B]],1,0,L$3,1)),Tab.o1[[#This Row],[B]])</f>
        <v/>
      </c>
      <c r="Q854" s="121" t="str">
        <f>IF(Tab.o1[[#This Row],[a1]]=1,NORMSDIST(Tab.o1[[#This Row],[Zb]]),"")</f>
        <v/>
      </c>
      <c r="R854" s="122" t="str">
        <f>IF(Tab.o1[[#This Row],[a1]]=1,((Tab.o1[[#This Row],[MedMod]]-AVERAGE(Tab.o1[MedMod]))/_xlfn.STDEV.P(Tab.o1[MedMod])*H$1203)+G$1203,"")</f>
        <v/>
      </c>
      <c r="S854" s="122" t="str">
        <f>IF(Tab.o1[[#This Row],[a1]]=1,((Tab.o1[[#This Row],[MedMod]]-AVERAGE(Tab.o1[MedMod]))/_xlfn.STDEV.P(Tab.o1[MedMod])*H$1204)+G$1204,"")</f>
        <v/>
      </c>
      <c r="T854" s="123" t="str">
        <f>IF(Tab.o1[[#This Row],[a1]]=1,Tab.o1[[#This Row],[Z-]]*_xlfn.STDEV.P(Tab.o1[B])+AVERAGE(Tab.o1[B]),"")</f>
        <v/>
      </c>
      <c r="U854" s="123" t="str">
        <f>IF(Tab.o1[[#This Row],[a1]]=1,Tab.o1[[#This Row],[z+]]*_xlfn.STDEV.P(Tab.o1[B])+AVERAGE(Tab.o1[B]),"")</f>
        <v/>
      </c>
      <c r="V854" s="124" t="str">
        <f>IF(Tab.o1[[#This Row],[a1]]=1,ABS((ABS(Tab.o1[[#This Row],[Red]]-Tab.o1[[#This Row],[Blue]]))),"")</f>
        <v/>
      </c>
      <c r="W854" s="125" t="str">
        <f>IF(Tab.o1[[#This Row],[a1]]=1,IF(W$3=0,1,Tab.o1[[#This Row],[Amp.]]*1/_xlfn.MINIFS(Tab.o1[Amp.],Tab.o1[Amp.],"&lt;&gt;0")),"")</f>
        <v/>
      </c>
      <c r="X854" s="126" t="str">
        <f>IF(Tab.o1[[#This Row],[a1]]=1,IF(ISNUMBER(Tab.o1[[#This Row],[i.]]),NORMDIST(Tab.o1[[#This Row],[Za]],0,1,FALSE)*Tab.o1[[#This Row],[i.]],AP$3),"")</f>
        <v/>
      </c>
      <c r="Y854" s="126" t="str">
        <f>IF(Tab.o1[[#This Row],[a1]]=1,0.01+0.94*Tab.o1[[#This Row],[PDF]]/MAX(Tab.o1[PDF]),"")</f>
        <v/>
      </c>
      <c r="Z854" s="126" t="str">
        <f>IF(Tab.o1[[#This Row],[a1]]=1,0.01+0.94*Tab.o1[[#This Row],[W1_PDF]]/MAX(Tab.o1[W1_PDF]),"")</f>
        <v/>
      </c>
      <c r="AA854" s="118" t="str">
        <f>IF(Tab.o1[[#This Row],[a1]]=1,ABS([1]!T.in.A[[#This Row],[oo6]]),"")</f>
        <v/>
      </c>
      <c r="AB854" s="127" t="str">
        <f>IF(Tab.o1[[#This Row],[a1]]=1,IF(AE$3=0,"",IF(AB$3=0,ABS([1]!T.in.A[[#This Row],[oo9]]),ABS(Tab.o1[[#This Row],[DIF_Target.]]*Tab.o1[[#This Row],[W1_PDF]]))),"")</f>
        <v/>
      </c>
      <c r="AC854" s="127" t="str">
        <f>IF(G$1=1,"",IF(Tab.o1[[#This Row],[a1]]=1,Tab.o1[[#This Row],[Wr]]^2,""))</f>
        <v/>
      </c>
      <c r="AD854" s="118" t="str">
        <f>IF(Tab.o1[[#This Row],[a1]]=1,IF(AE$3=0,"",Tab.o1[[#This Row],[Wr2]]/SUM(Tab.o1[Wr2])),"")</f>
        <v/>
      </c>
      <c r="AE854" s="128" t="str">
        <f>IF(Tab.o1[[#This Row],[a1]]=1,[1]!T.in.A[[#This Row],[oo10]],"")</f>
        <v/>
      </c>
      <c r="AF854" s="118" t="str">
        <f>IF(Tab.o1[[#This Row],[a1]]=1,ABS(Tab.o1[[#This Row],[DIF_Target.]]*Tab.o1[[#This Row],[PDF2]]*Tab.o1[[#This Row],[IN]]),"")</f>
        <v/>
      </c>
      <c r="AG854" s="129" t="str">
        <f>IF(Tab.o1[[#This Row],[a1]]=1,Tab.o1[[#This Row],[rW]]^2,"")</f>
        <v/>
      </c>
      <c r="AH854" s="130" t="str">
        <f>IF(Tab.o1[[#This Row],[a1]]=1,IF(AH$3=0,Tab.o1[[#This Row],[rW2]],0.01+0.94*Tab.o1[[#This Row],[rW2]]/SUM(Tab.o1[rW2])),"")</f>
        <v/>
      </c>
      <c r="AI854" s="128" t="str">
        <f>IF(Tab.o1[[#This Row],[a1]]=1,1/Tab.o1[[#This Row],[PDF]],"")</f>
        <v/>
      </c>
      <c r="AJ854" s="131" t="str">
        <f>IF(Tab.o1[[#This Row],[a1]]=1,[1]!T_AA[[#This Row],[IN'']]*[1]!T_AA[[#This Row],[Qde'']],"")</f>
        <v/>
      </c>
      <c r="AK854" s="132" t="str">
        <f>IF(Tab.o1[[#This Row],[a1]]=1,IF(AK$1=1,Tab.o1[[#This Row],[MED]]+Tab.o1[[#This Row],[MOD]]-Tab.o1[[#This Row],[MED]],""),"")</f>
        <v/>
      </c>
      <c r="AL854" s="133" t="str">
        <f>IF(Tab.o1[[#This Row],[a1]]=1,[1]!T.in.A[[#This Row],[oo16]],"")</f>
        <v/>
      </c>
      <c r="AM854" s="133" t="str">
        <f>IF(Tab.o1[[#This Row],[a1]]=1,IF(AM$3=1,[1]!T.in.A[[#This Row],[Σo16]],""),"")</f>
        <v/>
      </c>
      <c r="AN854" s="126" t="str">
        <f>IF(Tab.o1[[#This Row],[a1]]=1,[1]!T.in.A[[#This Row],[Σp5]],"")</f>
        <v/>
      </c>
      <c r="AO854" s="126" t="str">
        <f>IF(Tab.o1[[#This Row],[a1]]=1,IF(AO$3=1,[1]!T.in.A[[#This Row],[Σp5]],""),"")</f>
        <v/>
      </c>
      <c r="AP854" s="110" t="str">
        <f>IF(Tab.o1[[#This Row],[a1]]=1,IF(ISNUMBER(Tab.o1[[#This Row],[i.]]),NORMDIST(Tab.o1[[#This Row],[Za]],0,1,FALSE)*Tab.o1[[#This Row],[i.]],0),"")</f>
        <v/>
      </c>
      <c r="AQ854" s="125" t="str">
        <f>IF(Tab.o1[[#This Row],[a1]]=1,ABS(Tab.o1[[#This Row],[MOD]]-AVERAGE(Tab.o1[MOD])),"")</f>
        <v/>
      </c>
      <c r="AR854" s="134" t="str">
        <f>IF(Tab.o1[[#This Row],[a1]]=1,Tab.o1[[#This Row],[OBS]]/SUM(Tab.o1[OBS]),"")</f>
        <v/>
      </c>
      <c r="AS854" s="135" t="str">
        <f>IF(ISNUMBER(Tab.o1[[#This Row],[a1]]),ROW()-4,"")</f>
        <v/>
      </c>
      <c r="AT854" s="136" t="str">
        <f>Tab.o1[[#This Row],[MOD]]</f>
        <v/>
      </c>
      <c r="AU854" s="137" t="str">
        <f t="shared" si="53"/>
        <v/>
      </c>
      <c r="AV854" s="138" t="str">
        <f t="shared" si="54"/>
        <v/>
      </c>
      <c r="AW854" s="138" t="str">
        <f t="shared" si="55"/>
        <v/>
      </c>
      <c r="AX854" s="139" t="str">
        <f>[1]!T.in.A[[#This Row],[ID_T_manu]]</f>
        <v/>
      </c>
      <c r="AY854" s="140" t="str">
        <f>IF(ISNUMBER(Tab.o1[[#This Row],[a1]]),IF(AND(Tab.o1[[#This Row],[a1]]=1,Tab.o1[[#This Row],[b1]]&lt;=AY$4),#REF!,AY853),"")</f>
        <v/>
      </c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6"/>
      <c r="BO854" s="26"/>
      <c r="BP854" s="26"/>
      <c r="BQ854" s="26"/>
      <c r="BR854" s="26"/>
      <c r="BS854" s="26"/>
      <c r="BT854" s="26"/>
      <c r="BU854" s="26"/>
      <c r="BV854" s="26"/>
      <c r="BW854" s="26"/>
      <c r="BX854" s="26"/>
      <c r="BY854" s="26"/>
      <c r="BZ854" s="26"/>
      <c r="CA854" s="26"/>
    </row>
    <row r="855" spans="1:79" s="143" customFormat="1" ht="15.75" hidden="1">
      <c r="A855" s="109">
        <v>1.0000000000000002E-6</v>
      </c>
      <c r="B855" s="110">
        <f t="shared" si="52"/>
        <v>855</v>
      </c>
      <c r="C855" s="111" t="str">
        <f>IF(C$1=[1]!T.in.A[[#This Row],[oo2]],1,"")</f>
        <v/>
      </c>
      <c r="D855" s="112" t="str">
        <f>IF(Tab.o1[[#This Row],[a1]]=1,IF(SUM(C855:C856)=0,0,IF(SUM(C854:C855)=1,1,IF(SUM(C854:C856)&gt;1,D854+1,0))),"")</f>
        <v/>
      </c>
      <c r="E855" s="113" t="str">
        <f>IF(Tab.o1[[#This Row],[a1]]=1,[1]!T.in.A[[#This Row],[oo1]],"")</f>
        <v/>
      </c>
      <c r="F855" s="113" t="str">
        <f>IF(Tab.o1[[#This Row],[a1]]=1,[1]!T.in.A[[#This Row],[pp1]],"")</f>
        <v/>
      </c>
      <c r="G855" s="114" t="str">
        <f>IF(Tab.o1[[#This Row],[a1]]=1,G$2+IF(G$1=1,0,Tab.o1[[#This Row],[.x1]])+[1]!T.in.A[[#This Row],[oo3]],"")</f>
        <v/>
      </c>
      <c r="H855" s="115" t="str">
        <f>IF(Tab.o1[[#This Row],[a1]]=1,IF(H$2=0,0,IF(G$1=1,0,Tab.o1[[#This Row],[.x1]])+[1]!T.in.A[[#This Row],[oo4]]),"")</f>
        <v/>
      </c>
      <c r="I855" s="116" t="str">
        <f>IF(Tab.o1[[#This Row],[a1]]=1,IF(J$2=0,Tab.o1[[#This Row],[MED]],Tab.o1[[#This Row],[MOD]]),"")</f>
        <v/>
      </c>
      <c r="J855" s="116" t="str">
        <f>IF(Tab.o1[[#This Row],[a1]]=1,((Tab.o1[[#This Row],[DIF_Target.]]-AVERAGE(Tab.o1[DIF_Target.]))/_xlfn.STDEV.P(Tab.o1[DIF_Target.])),"")</f>
        <v/>
      </c>
      <c r="K855" s="117" t="str">
        <f>IF(Tab.o1[[#This Row],[a1]]=1,IF(J$2=0,Tab.o1[[#This Row],[MOD]]-Tab.o1[[#This Row],[B]],IF(J$2=1,0,-Tab.o1[[#This Row],[MED]])+Tab.o1[[#This Row],[B]]),"")</f>
        <v/>
      </c>
      <c r="L855" s="117" t="str">
        <f ca="1">IF(Tab.o1[[#This Row],[DIF_Target]]=0,IF(L$2=0,Tab.o1[[#This Row],[DIF_Target]],AVERAGE(OFFSET(Tab.o1[[#This Row],[DIF_Target]],1,0,L$3,1)))/3,Tab.o1[[#This Row],[DIF_Target]])</f>
        <v/>
      </c>
      <c r="M855" s="118" t="str">
        <f>IF(Tab.o1[[#This Row],[a1]]=1,NORMSDIST(Tab.o1[[#This Row],[Za]]),"")</f>
        <v/>
      </c>
      <c r="N855" s="119" t="str">
        <f>IF(Tab.o1[[#This Row],[a1]]=1,((Tab.o1[[#This Row],[MedMod]]-AVERAGE(Tab.o1[MedMod]))/_xlfn.STDEV.P(Tab.o1[MedMod])*H$1205)+G$1205,"")</f>
        <v/>
      </c>
      <c r="O855" s="141" t="str">
        <f>IF(Tab.o1[[#This Row],[a1]]=1,Tab.o1[[#This Row],[Zb]]*_xlfn.STDEV.P(Tab.o1[MedMod])+AVERAGE(Tab.o1[MedMod]),"")</f>
        <v/>
      </c>
      <c r="P855" s="117" t="str">
        <f ca="1">IF(Tab.o1[[#This Row],[B]]=0,AVERAGE(OFFSET(Tab.o1[[#This Row],[B]],1,0,L$3,1)),Tab.o1[[#This Row],[B]])</f>
        <v/>
      </c>
      <c r="Q855" s="121" t="str">
        <f>IF(Tab.o1[[#This Row],[a1]]=1,NORMSDIST(Tab.o1[[#This Row],[Zb]]),"")</f>
        <v/>
      </c>
      <c r="R855" s="122" t="str">
        <f>IF(Tab.o1[[#This Row],[a1]]=1,((Tab.o1[[#This Row],[MedMod]]-AVERAGE(Tab.o1[MedMod]))/_xlfn.STDEV.P(Tab.o1[MedMod])*H$1203)+G$1203,"")</f>
        <v/>
      </c>
      <c r="S855" s="122" t="str">
        <f>IF(Tab.o1[[#This Row],[a1]]=1,((Tab.o1[[#This Row],[MedMod]]-AVERAGE(Tab.o1[MedMod]))/_xlfn.STDEV.P(Tab.o1[MedMod])*H$1204)+G$1204,"")</f>
        <v/>
      </c>
      <c r="T855" s="123" t="str">
        <f>IF(Tab.o1[[#This Row],[a1]]=1,Tab.o1[[#This Row],[Z-]]*_xlfn.STDEV.P(Tab.o1[B])+AVERAGE(Tab.o1[B]),"")</f>
        <v/>
      </c>
      <c r="U855" s="123" t="str">
        <f>IF(Tab.o1[[#This Row],[a1]]=1,Tab.o1[[#This Row],[z+]]*_xlfn.STDEV.P(Tab.o1[B])+AVERAGE(Tab.o1[B]),"")</f>
        <v/>
      </c>
      <c r="V855" s="124" t="str">
        <f>IF(Tab.o1[[#This Row],[a1]]=1,ABS((ABS(Tab.o1[[#This Row],[Red]]-Tab.o1[[#This Row],[Blue]]))),"")</f>
        <v/>
      </c>
      <c r="W855" s="125" t="str">
        <f>IF(Tab.o1[[#This Row],[a1]]=1,IF(W$3=0,1,Tab.o1[[#This Row],[Amp.]]*1/_xlfn.MINIFS(Tab.o1[Amp.],Tab.o1[Amp.],"&lt;&gt;0")),"")</f>
        <v/>
      </c>
      <c r="X855" s="126" t="str">
        <f>IF(Tab.o1[[#This Row],[a1]]=1,IF(ISNUMBER(Tab.o1[[#This Row],[i.]]),NORMDIST(Tab.o1[[#This Row],[Za]],0,1,FALSE)*Tab.o1[[#This Row],[i.]],AP$3),"")</f>
        <v/>
      </c>
      <c r="Y855" s="126" t="str">
        <f>IF(Tab.o1[[#This Row],[a1]]=1,0.01+0.94*Tab.o1[[#This Row],[PDF]]/MAX(Tab.o1[PDF]),"")</f>
        <v/>
      </c>
      <c r="Z855" s="126" t="str">
        <f>IF(Tab.o1[[#This Row],[a1]]=1,0.01+0.94*Tab.o1[[#This Row],[W1_PDF]]/MAX(Tab.o1[W1_PDF]),"")</f>
        <v/>
      </c>
      <c r="AA855" s="118" t="str">
        <f>IF(Tab.o1[[#This Row],[a1]]=1,ABS([1]!T.in.A[[#This Row],[oo6]]),"")</f>
        <v/>
      </c>
      <c r="AB855" s="127" t="str">
        <f>IF(Tab.o1[[#This Row],[a1]]=1,IF(AE$3=0,"",IF(AB$3=0,ABS([1]!T.in.A[[#This Row],[oo9]]),ABS(Tab.o1[[#This Row],[DIF_Target.]]*Tab.o1[[#This Row],[W1_PDF]]))),"")</f>
        <v/>
      </c>
      <c r="AC855" s="127" t="str">
        <f>IF(G$1=1,"",IF(Tab.o1[[#This Row],[a1]]=1,Tab.o1[[#This Row],[Wr]]^2,""))</f>
        <v/>
      </c>
      <c r="AD855" s="118" t="str">
        <f>IF(Tab.o1[[#This Row],[a1]]=1,IF(AE$3=0,"",Tab.o1[[#This Row],[Wr2]]/SUM(Tab.o1[Wr2])),"")</f>
        <v/>
      </c>
      <c r="AE855" s="128" t="str">
        <f>IF(Tab.o1[[#This Row],[a1]]=1,[1]!T.in.A[[#This Row],[oo10]],"")</f>
        <v/>
      </c>
      <c r="AF855" s="118" t="str">
        <f>IF(Tab.o1[[#This Row],[a1]]=1,ABS(Tab.o1[[#This Row],[DIF_Target.]]*Tab.o1[[#This Row],[PDF2]]*Tab.o1[[#This Row],[IN]]),"")</f>
        <v/>
      </c>
      <c r="AG855" s="129" t="str">
        <f>IF(Tab.o1[[#This Row],[a1]]=1,Tab.o1[[#This Row],[rW]]^2,"")</f>
        <v/>
      </c>
      <c r="AH855" s="130" t="str">
        <f>IF(Tab.o1[[#This Row],[a1]]=1,IF(AH$3=0,Tab.o1[[#This Row],[rW2]],0.01+0.94*Tab.o1[[#This Row],[rW2]]/SUM(Tab.o1[rW2])),"")</f>
        <v/>
      </c>
      <c r="AI855" s="128" t="str">
        <f>IF(Tab.o1[[#This Row],[a1]]=1,1/Tab.o1[[#This Row],[PDF]],"")</f>
        <v/>
      </c>
      <c r="AJ855" s="131" t="str">
        <f>IF(Tab.o1[[#This Row],[a1]]=1,[1]!T_AA[[#This Row],[IN'']]*[1]!T_AA[[#This Row],[Qde'']],"")</f>
        <v/>
      </c>
      <c r="AK855" s="132" t="str">
        <f>IF(Tab.o1[[#This Row],[a1]]=1,IF(AK$1=1,Tab.o1[[#This Row],[MED]]+Tab.o1[[#This Row],[MOD]]-Tab.o1[[#This Row],[MED]],""),"")</f>
        <v/>
      </c>
      <c r="AL855" s="133" t="str">
        <f>IF(Tab.o1[[#This Row],[a1]]=1,[1]!T.in.A[[#This Row],[oo16]],"")</f>
        <v/>
      </c>
      <c r="AM855" s="133" t="str">
        <f>IF(Tab.o1[[#This Row],[a1]]=1,IF(AM$3=1,[1]!T.in.A[[#This Row],[Σo16]],""),"")</f>
        <v/>
      </c>
      <c r="AN855" s="126" t="str">
        <f>IF(Tab.o1[[#This Row],[a1]]=1,[1]!T.in.A[[#This Row],[Σp5]],"")</f>
        <v/>
      </c>
      <c r="AO855" s="126" t="str">
        <f>IF(Tab.o1[[#This Row],[a1]]=1,IF(AO$3=1,[1]!T.in.A[[#This Row],[Σp5]],""),"")</f>
        <v/>
      </c>
      <c r="AP855" s="110" t="str">
        <f>IF(Tab.o1[[#This Row],[a1]]=1,IF(ISNUMBER(Tab.o1[[#This Row],[i.]]),NORMDIST(Tab.o1[[#This Row],[Za]],0,1,FALSE)*Tab.o1[[#This Row],[i.]],0),"")</f>
        <v/>
      </c>
      <c r="AQ855" s="125" t="str">
        <f>IF(Tab.o1[[#This Row],[a1]]=1,ABS(Tab.o1[[#This Row],[MOD]]-AVERAGE(Tab.o1[MOD])),"")</f>
        <v/>
      </c>
      <c r="AR855" s="134" t="str">
        <f>IF(Tab.o1[[#This Row],[a1]]=1,Tab.o1[[#This Row],[OBS]]/SUM(Tab.o1[OBS]),"")</f>
        <v/>
      </c>
      <c r="AS855" s="135" t="str">
        <f>IF(ISNUMBER(Tab.o1[[#This Row],[a1]]),ROW()-4,"")</f>
        <v/>
      </c>
      <c r="AT855" s="136" t="str">
        <f>Tab.o1[[#This Row],[MOD]]</f>
        <v/>
      </c>
      <c r="AU855" s="137" t="str">
        <f t="shared" si="53"/>
        <v/>
      </c>
      <c r="AV855" s="138" t="str">
        <f t="shared" si="54"/>
        <v/>
      </c>
      <c r="AW855" s="138" t="str">
        <f t="shared" si="55"/>
        <v/>
      </c>
      <c r="AX855" s="139" t="str">
        <f>[1]!T.in.A[[#This Row],[ID_T_manu]]</f>
        <v/>
      </c>
      <c r="AY855" s="140" t="str">
        <f>IF(ISNUMBER(Tab.o1[[#This Row],[a1]]),IF(AND(Tab.o1[[#This Row],[a1]]=1,Tab.o1[[#This Row],[b1]]&lt;=AY$4),#REF!,AY854),"")</f>
        <v/>
      </c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6"/>
      <c r="BO855" s="26"/>
      <c r="BP855" s="26"/>
      <c r="BQ855" s="26"/>
      <c r="BR855" s="26"/>
      <c r="BS855" s="26"/>
      <c r="BT855" s="26"/>
      <c r="BU855" s="26"/>
      <c r="BV855" s="26"/>
      <c r="BW855" s="26"/>
      <c r="BX855" s="26"/>
      <c r="BY855" s="26"/>
      <c r="BZ855" s="26"/>
      <c r="CA855" s="26"/>
    </row>
    <row r="856" spans="1:79" s="143" customFormat="1" ht="15.75" hidden="1">
      <c r="A856" s="109">
        <v>-5.0000000000000004E-6</v>
      </c>
      <c r="B856" s="110">
        <f t="shared" si="52"/>
        <v>856</v>
      </c>
      <c r="C856" s="111" t="str">
        <f>IF(C$1=[1]!T.in.A[[#This Row],[oo2]],1,"")</f>
        <v/>
      </c>
      <c r="D856" s="112" t="str">
        <f>IF(Tab.o1[[#This Row],[a1]]=1,IF(SUM(C856:C857)=0,0,IF(SUM(C855:C856)=1,1,IF(SUM(C855:C857)&gt;1,D855+1,0))),"")</f>
        <v/>
      </c>
      <c r="E856" s="113" t="str">
        <f>IF(Tab.o1[[#This Row],[a1]]=1,[1]!T.in.A[[#This Row],[oo1]],"")</f>
        <v/>
      </c>
      <c r="F856" s="113" t="str">
        <f>IF(Tab.o1[[#This Row],[a1]]=1,[1]!T.in.A[[#This Row],[pp1]],"")</f>
        <v/>
      </c>
      <c r="G856" s="114" t="str">
        <f>IF(Tab.o1[[#This Row],[a1]]=1,G$2+IF(G$1=1,0,Tab.o1[[#This Row],[.x1]])+[1]!T.in.A[[#This Row],[oo3]],"")</f>
        <v/>
      </c>
      <c r="H856" s="115" t="str">
        <f>IF(Tab.o1[[#This Row],[a1]]=1,IF(H$2=0,0,IF(G$1=1,0,Tab.o1[[#This Row],[.x1]])+[1]!T.in.A[[#This Row],[oo4]]),"")</f>
        <v/>
      </c>
      <c r="I856" s="116" t="str">
        <f>IF(Tab.o1[[#This Row],[a1]]=1,IF(J$2=0,Tab.o1[[#This Row],[MED]],Tab.o1[[#This Row],[MOD]]),"")</f>
        <v/>
      </c>
      <c r="J856" s="116" t="str">
        <f>IF(Tab.o1[[#This Row],[a1]]=1,((Tab.o1[[#This Row],[DIF_Target.]]-AVERAGE(Tab.o1[DIF_Target.]))/_xlfn.STDEV.P(Tab.o1[DIF_Target.])),"")</f>
        <v/>
      </c>
      <c r="K856" s="117" t="str">
        <f>IF(Tab.o1[[#This Row],[a1]]=1,IF(J$2=0,Tab.o1[[#This Row],[MOD]]-Tab.o1[[#This Row],[B]],IF(J$2=1,0,-Tab.o1[[#This Row],[MED]])+Tab.o1[[#This Row],[B]]),"")</f>
        <v/>
      </c>
      <c r="L856" s="117" t="str">
        <f ca="1">IF(Tab.o1[[#This Row],[DIF_Target]]=0,IF(L$2=0,Tab.o1[[#This Row],[DIF_Target]],AVERAGE(OFFSET(Tab.o1[[#This Row],[DIF_Target]],1,0,L$3,1)))/3,Tab.o1[[#This Row],[DIF_Target]])</f>
        <v/>
      </c>
      <c r="M856" s="118" t="str">
        <f>IF(Tab.o1[[#This Row],[a1]]=1,NORMSDIST(Tab.o1[[#This Row],[Za]]),"")</f>
        <v/>
      </c>
      <c r="N856" s="119" t="str">
        <f>IF(Tab.o1[[#This Row],[a1]]=1,((Tab.o1[[#This Row],[MedMod]]-AVERAGE(Tab.o1[MedMod]))/_xlfn.STDEV.P(Tab.o1[MedMod])*H$1205)+G$1205,"")</f>
        <v/>
      </c>
      <c r="O856" s="141" t="str">
        <f>IF(Tab.o1[[#This Row],[a1]]=1,Tab.o1[[#This Row],[Zb]]*_xlfn.STDEV.P(Tab.o1[MedMod])+AVERAGE(Tab.o1[MedMod]),"")</f>
        <v/>
      </c>
      <c r="P856" s="117" t="str">
        <f ca="1">IF(Tab.o1[[#This Row],[B]]=0,AVERAGE(OFFSET(Tab.o1[[#This Row],[B]],1,0,L$3,1)),Tab.o1[[#This Row],[B]])</f>
        <v/>
      </c>
      <c r="Q856" s="121" t="str">
        <f>IF(Tab.o1[[#This Row],[a1]]=1,NORMSDIST(Tab.o1[[#This Row],[Zb]]),"")</f>
        <v/>
      </c>
      <c r="R856" s="122" t="str">
        <f>IF(Tab.o1[[#This Row],[a1]]=1,((Tab.o1[[#This Row],[MedMod]]-AVERAGE(Tab.o1[MedMod]))/_xlfn.STDEV.P(Tab.o1[MedMod])*H$1203)+G$1203,"")</f>
        <v/>
      </c>
      <c r="S856" s="122" t="str">
        <f>IF(Tab.o1[[#This Row],[a1]]=1,((Tab.o1[[#This Row],[MedMod]]-AVERAGE(Tab.o1[MedMod]))/_xlfn.STDEV.P(Tab.o1[MedMod])*H$1204)+G$1204,"")</f>
        <v/>
      </c>
      <c r="T856" s="123" t="str">
        <f>IF(Tab.o1[[#This Row],[a1]]=1,Tab.o1[[#This Row],[Z-]]*_xlfn.STDEV.P(Tab.o1[B])+AVERAGE(Tab.o1[B]),"")</f>
        <v/>
      </c>
      <c r="U856" s="123" t="str">
        <f>IF(Tab.o1[[#This Row],[a1]]=1,Tab.o1[[#This Row],[z+]]*_xlfn.STDEV.P(Tab.o1[B])+AVERAGE(Tab.o1[B]),"")</f>
        <v/>
      </c>
      <c r="V856" s="124" t="str">
        <f>IF(Tab.o1[[#This Row],[a1]]=1,ABS((ABS(Tab.o1[[#This Row],[Red]]-Tab.o1[[#This Row],[Blue]]))),"")</f>
        <v/>
      </c>
      <c r="W856" s="125" t="str">
        <f>IF(Tab.o1[[#This Row],[a1]]=1,IF(W$3=0,1,Tab.o1[[#This Row],[Amp.]]*1/_xlfn.MINIFS(Tab.o1[Amp.],Tab.o1[Amp.],"&lt;&gt;0")),"")</f>
        <v/>
      </c>
      <c r="X856" s="126" t="str">
        <f>IF(Tab.o1[[#This Row],[a1]]=1,IF(ISNUMBER(Tab.o1[[#This Row],[i.]]),NORMDIST(Tab.o1[[#This Row],[Za]],0,1,FALSE)*Tab.o1[[#This Row],[i.]],AP$3),"")</f>
        <v/>
      </c>
      <c r="Y856" s="126" t="str">
        <f>IF(Tab.o1[[#This Row],[a1]]=1,0.01+0.94*Tab.o1[[#This Row],[PDF]]/MAX(Tab.o1[PDF]),"")</f>
        <v/>
      </c>
      <c r="Z856" s="126" t="str">
        <f>IF(Tab.o1[[#This Row],[a1]]=1,0.01+0.94*Tab.o1[[#This Row],[W1_PDF]]/MAX(Tab.o1[W1_PDF]),"")</f>
        <v/>
      </c>
      <c r="AA856" s="118" t="str">
        <f>IF(Tab.o1[[#This Row],[a1]]=1,ABS([1]!T.in.A[[#This Row],[oo6]]),"")</f>
        <v/>
      </c>
      <c r="AB856" s="127" t="str">
        <f>IF(Tab.o1[[#This Row],[a1]]=1,IF(AE$3=0,"",IF(AB$3=0,ABS([1]!T.in.A[[#This Row],[oo9]]),ABS(Tab.o1[[#This Row],[DIF_Target.]]*Tab.o1[[#This Row],[W1_PDF]]))),"")</f>
        <v/>
      </c>
      <c r="AC856" s="127" t="str">
        <f>IF(G$1=1,"",IF(Tab.o1[[#This Row],[a1]]=1,Tab.o1[[#This Row],[Wr]]^2,""))</f>
        <v/>
      </c>
      <c r="AD856" s="118" t="str">
        <f>IF(Tab.o1[[#This Row],[a1]]=1,IF(AE$3=0,"",Tab.o1[[#This Row],[Wr2]]/SUM(Tab.o1[Wr2])),"")</f>
        <v/>
      </c>
      <c r="AE856" s="128" t="str">
        <f>IF(Tab.o1[[#This Row],[a1]]=1,[1]!T.in.A[[#This Row],[oo10]],"")</f>
        <v/>
      </c>
      <c r="AF856" s="118" t="str">
        <f>IF(Tab.o1[[#This Row],[a1]]=1,ABS(Tab.o1[[#This Row],[DIF_Target.]]*Tab.o1[[#This Row],[PDF2]]*Tab.o1[[#This Row],[IN]]),"")</f>
        <v/>
      </c>
      <c r="AG856" s="129" t="str">
        <f>IF(Tab.o1[[#This Row],[a1]]=1,Tab.o1[[#This Row],[rW]]^2,"")</f>
        <v/>
      </c>
      <c r="AH856" s="130" t="str">
        <f>IF(Tab.o1[[#This Row],[a1]]=1,IF(AH$3=0,Tab.o1[[#This Row],[rW2]],0.01+0.94*Tab.o1[[#This Row],[rW2]]/SUM(Tab.o1[rW2])),"")</f>
        <v/>
      </c>
      <c r="AI856" s="128" t="str">
        <f>IF(Tab.o1[[#This Row],[a1]]=1,1/Tab.o1[[#This Row],[PDF]],"")</f>
        <v/>
      </c>
      <c r="AJ856" s="131" t="str">
        <f>IF(Tab.o1[[#This Row],[a1]]=1,[1]!T_AA[[#This Row],[IN'']]*[1]!T_AA[[#This Row],[Qde'']],"")</f>
        <v/>
      </c>
      <c r="AK856" s="132" t="str">
        <f>IF(Tab.o1[[#This Row],[a1]]=1,IF(AK$1=1,Tab.o1[[#This Row],[MED]]+Tab.o1[[#This Row],[MOD]]-Tab.o1[[#This Row],[MED]],""),"")</f>
        <v/>
      </c>
      <c r="AL856" s="133" t="str">
        <f>IF(Tab.o1[[#This Row],[a1]]=1,[1]!T.in.A[[#This Row],[oo16]],"")</f>
        <v/>
      </c>
      <c r="AM856" s="133" t="str">
        <f>IF(Tab.o1[[#This Row],[a1]]=1,IF(AM$3=1,[1]!T.in.A[[#This Row],[Σo16]],""),"")</f>
        <v/>
      </c>
      <c r="AN856" s="126" t="str">
        <f>IF(Tab.o1[[#This Row],[a1]]=1,[1]!T.in.A[[#This Row],[Σp5]],"")</f>
        <v/>
      </c>
      <c r="AO856" s="126" t="str">
        <f>IF(Tab.o1[[#This Row],[a1]]=1,IF(AO$3=1,[1]!T.in.A[[#This Row],[Σp5]],""),"")</f>
        <v/>
      </c>
      <c r="AP856" s="110" t="str">
        <f>IF(Tab.o1[[#This Row],[a1]]=1,IF(ISNUMBER(Tab.o1[[#This Row],[i.]]),NORMDIST(Tab.o1[[#This Row],[Za]],0,1,FALSE)*Tab.o1[[#This Row],[i.]],0),"")</f>
        <v/>
      </c>
      <c r="AQ856" s="125" t="str">
        <f>IF(Tab.o1[[#This Row],[a1]]=1,ABS(Tab.o1[[#This Row],[MOD]]-AVERAGE(Tab.o1[MOD])),"")</f>
        <v/>
      </c>
      <c r="AR856" s="134" t="str">
        <f>IF(Tab.o1[[#This Row],[a1]]=1,Tab.o1[[#This Row],[OBS]]/SUM(Tab.o1[OBS]),"")</f>
        <v/>
      </c>
      <c r="AS856" s="135" t="str">
        <f>IF(ISNUMBER(Tab.o1[[#This Row],[a1]]),ROW()-4,"")</f>
        <v/>
      </c>
      <c r="AT856" s="136" t="str">
        <f>Tab.o1[[#This Row],[MOD]]</f>
        <v/>
      </c>
      <c r="AU856" s="137" t="str">
        <f t="shared" si="53"/>
        <v/>
      </c>
      <c r="AV856" s="138" t="str">
        <f t="shared" si="54"/>
        <v/>
      </c>
      <c r="AW856" s="138" t="str">
        <f t="shared" si="55"/>
        <v/>
      </c>
      <c r="AX856" s="139" t="str">
        <f>[1]!T.in.A[[#This Row],[ID_T_manu]]</f>
        <v/>
      </c>
      <c r="AY856" s="140" t="str">
        <f>IF(ISNUMBER(Tab.o1[[#This Row],[a1]]),IF(AND(Tab.o1[[#This Row],[a1]]=1,Tab.o1[[#This Row],[b1]]&lt;=AY$4),#REF!,AY855),"")</f>
        <v/>
      </c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6"/>
      <c r="BO856" s="26"/>
      <c r="BP856" s="26"/>
      <c r="BQ856" s="26"/>
      <c r="BR856" s="26"/>
      <c r="BS856" s="26"/>
      <c r="BT856" s="26"/>
      <c r="BU856" s="26"/>
      <c r="BV856" s="26"/>
      <c r="BW856" s="26"/>
      <c r="BX856" s="26"/>
      <c r="BY856" s="26"/>
      <c r="BZ856" s="26"/>
      <c r="CA856" s="26"/>
    </row>
    <row r="857" spans="1:79" s="143" customFormat="1" ht="15.75" hidden="1">
      <c r="A857" s="109">
        <v>-4.0000000000000007E-6</v>
      </c>
      <c r="B857" s="110">
        <f t="shared" si="52"/>
        <v>857</v>
      </c>
      <c r="C857" s="111" t="str">
        <f>IF(C$1=[1]!T.in.A[[#This Row],[oo2]],1,"")</f>
        <v/>
      </c>
      <c r="D857" s="112" t="str">
        <f>IF(Tab.o1[[#This Row],[a1]]=1,IF(SUM(C857:C858)=0,0,IF(SUM(C856:C857)=1,1,IF(SUM(C856:C858)&gt;1,D856+1,0))),"")</f>
        <v/>
      </c>
      <c r="E857" s="113" t="str">
        <f>IF(Tab.o1[[#This Row],[a1]]=1,[1]!T.in.A[[#This Row],[oo1]],"")</f>
        <v/>
      </c>
      <c r="F857" s="113" t="str">
        <f>IF(Tab.o1[[#This Row],[a1]]=1,[1]!T.in.A[[#This Row],[pp1]],"")</f>
        <v/>
      </c>
      <c r="G857" s="114" t="str">
        <f>IF(Tab.o1[[#This Row],[a1]]=1,G$2+IF(G$1=1,0,Tab.o1[[#This Row],[.x1]])+[1]!T.in.A[[#This Row],[oo3]],"")</f>
        <v/>
      </c>
      <c r="H857" s="115" t="str">
        <f>IF(Tab.o1[[#This Row],[a1]]=1,IF(H$2=0,0,IF(G$1=1,0,Tab.o1[[#This Row],[.x1]])+[1]!T.in.A[[#This Row],[oo4]]),"")</f>
        <v/>
      </c>
      <c r="I857" s="116" t="str">
        <f>IF(Tab.o1[[#This Row],[a1]]=1,IF(J$2=0,Tab.o1[[#This Row],[MED]],Tab.o1[[#This Row],[MOD]]),"")</f>
        <v/>
      </c>
      <c r="J857" s="116" t="str">
        <f>IF(Tab.o1[[#This Row],[a1]]=1,((Tab.o1[[#This Row],[DIF_Target.]]-AVERAGE(Tab.o1[DIF_Target.]))/_xlfn.STDEV.P(Tab.o1[DIF_Target.])),"")</f>
        <v/>
      </c>
      <c r="K857" s="117" t="str">
        <f>IF(Tab.o1[[#This Row],[a1]]=1,IF(J$2=0,Tab.o1[[#This Row],[MOD]]-Tab.o1[[#This Row],[B]],IF(J$2=1,0,-Tab.o1[[#This Row],[MED]])+Tab.o1[[#This Row],[B]]),"")</f>
        <v/>
      </c>
      <c r="L857" s="117" t="str">
        <f ca="1">IF(Tab.o1[[#This Row],[DIF_Target]]=0,IF(L$2=0,Tab.o1[[#This Row],[DIF_Target]],AVERAGE(OFFSET(Tab.o1[[#This Row],[DIF_Target]],1,0,L$3,1)))/3,Tab.o1[[#This Row],[DIF_Target]])</f>
        <v/>
      </c>
      <c r="M857" s="118" t="str">
        <f>IF(Tab.o1[[#This Row],[a1]]=1,NORMSDIST(Tab.o1[[#This Row],[Za]]),"")</f>
        <v/>
      </c>
      <c r="N857" s="119" t="str">
        <f>IF(Tab.o1[[#This Row],[a1]]=1,((Tab.o1[[#This Row],[MedMod]]-AVERAGE(Tab.o1[MedMod]))/_xlfn.STDEV.P(Tab.o1[MedMod])*H$1205)+G$1205,"")</f>
        <v/>
      </c>
      <c r="O857" s="141" t="str">
        <f>IF(Tab.o1[[#This Row],[a1]]=1,Tab.o1[[#This Row],[Zb]]*_xlfn.STDEV.P(Tab.o1[MedMod])+AVERAGE(Tab.o1[MedMod]),"")</f>
        <v/>
      </c>
      <c r="P857" s="117" t="str">
        <f ca="1">IF(Tab.o1[[#This Row],[B]]=0,AVERAGE(OFFSET(Tab.o1[[#This Row],[B]],1,0,L$3,1)),Tab.o1[[#This Row],[B]])</f>
        <v/>
      </c>
      <c r="Q857" s="121" t="str">
        <f>IF(Tab.o1[[#This Row],[a1]]=1,NORMSDIST(Tab.o1[[#This Row],[Zb]]),"")</f>
        <v/>
      </c>
      <c r="R857" s="122" t="str">
        <f>IF(Tab.o1[[#This Row],[a1]]=1,((Tab.o1[[#This Row],[MedMod]]-AVERAGE(Tab.o1[MedMod]))/_xlfn.STDEV.P(Tab.o1[MedMod])*H$1203)+G$1203,"")</f>
        <v/>
      </c>
      <c r="S857" s="122" t="str">
        <f>IF(Tab.o1[[#This Row],[a1]]=1,((Tab.o1[[#This Row],[MedMod]]-AVERAGE(Tab.o1[MedMod]))/_xlfn.STDEV.P(Tab.o1[MedMod])*H$1204)+G$1204,"")</f>
        <v/>
      </c>
      <c r="T857" s="123" t="str">
        <f>IF(Tab.o1[[#This Row],[a1]]=1,Tab.o1[[#This Row],[Z-]]*_xlfn.STDEV.P(Tab.o1[B])+AVERAGE(Tab.o1[B]),"")</f>
        <v/>
      </c>
      <c r="U857" s="123" t="str">
        <f>IF(Tab.o1[[#This Row],[a1]]=1,Tab.o1[[#This Row],[z+]]*_xlfn.STDEV.P(Tab.o1[B])+AVERAGE(Tab.o1[B]),"")</f>
        <v/>
      </c>
      <c r="V857" s="124" t="str">
        <f>IF(Tab.o1[[#This Row],[a1]]=1,ABS((ABS(Tab.o1[[#This Row],[Red]]-Tab.o1[[#This Row],[Blue]]))),"")</f>
        <v/>
      </c>
      <c r="W857" s="125" t="str">
        <f>IF(Tab.o1[[#This Row],[a1]]=1,IF(W$3=0,1,Tab.o1[[#This Row],[Amp.]]*1/_xlfn.MINIFS(Tab.o1[Amp.],Tab.o1[Amp.],"&lt;&gt;0")),"")</f>
        <v/>
      </c>
      <c r="X857" s="126" t="str">
        <f>IF(Tab.o1[[#This Row],[a1]]=1,IF(ISNUMBER(Tab.o1[[#This Row],[i.]]),NORMDIST(Tab.o1[[#This Row],[Za]],0,1,FALSE)*Tab.o1[[#This Row],[i.]],AP$3),"")</f>
        <v/>
      </c>
      <c r="Y857" s="126" t="str">
        <f>IF(Tab.o1[[#This Row],[a1]]=1,0.01+0.94*Tab.o1[[#This Row],[PDF]]/MAX(Tab.o1[PDF]),"")</f>
        <v/>
      </c>
      <c r="Z857" s="126" t="str">
        <f>IF(Tab.o1[[#This Row],[a1]]=1,0.01+0.94*Tab.o1[[#This Row],[W1_PDF]]/MAX(Tab.o1[W1_PDF]),"")</f>
        <v/>
      </c>
      <c r="AA857" s="118" t="str">
        <f>IF(Tab.o1[[#This Row],[a1]]=1,ABS([1]!T.in.A[[#This Row],[oo6]]),"")</f>
        <v/>
      </c>
      <c r="AB857" s="127" t="str">
        <f>IF(Tab.o1[[#This Row],[a1]]=1,IF(AE$3=0,"",IF(AB$3=0,ABS([1]!T.in.A[[#This Row],[oo9]]),ABS(Tab.o1[[#This Row],[DIF_Target.]]*Tab.o1[[#This Row],[W1_PDF]]))),"")</f>
        <v/>
      </c>
      <c r="AC857" s="127" t="str">
        <f>IF(G$1=1,"",IF(Tab.o1[[#This Row],[a1]]=1,Tab.o1[[#This Row],[Wr]]^2,""))</f>
        <v/>
      </c>
      <c r="AD857" s="118" t="str">
        <f>IF(Tab.o1[[#This Row],[a1]]=1,IF(AE$3=0,"",Tab.o1[[#This Row],[Wr2]]/SUM(Tab.o1[Wr2])),"")</f>
        <v/>
      </c>
      <c r="AE857" s="128" t="str">
        <f>IF(Tab.o1[[#This Row],[a1]]=1,[1]!T.in.A[[#This Row],[oo10]],"")</f>
        <v/>
      </c>
      <c r="AF857" s="118" t="str">
        <f>IF(Tab.o1[[#This Row],[a1]]=1,ABS(Tab.o1[[#This Row],[DIF_Target.]]*Tab.o1[[#This Row],[PDF2]]*Tab.o1[[#This Row],[IN]]),"")</f>
        <v/>
      </c>
      <c r="AG857" s="129" t="str">
        <f>IF(Tab.o1[[#This Row],[a1]]=1,Tab.o1[[#This Row],[rW]]^2,"")</f>
        <v/>
      </c>
      <c r="AH857" s="130" t="str">
        <f>IF(Tab.o1[[#This Row],[a1]]=1,IF(AH$3=0,Tab.o1[[#This Row],[rW2]],0.01+0.94*Tab.o1[[#This Row],[rW2]]/SUM(Tab.o1[rW2])),"")</f>
        <v/>
      </c>
      <c r="AI857" s="128" t="str">
        <f>IF(Tab.o1[[#This Row],[a1]]=1,1/Tab.o1[[#This Row],[PDF]],"")</f>
        <v/>
      </c>
      <c r="AJ857" s="131" t="str">
        <f>IF(Tab.o1[[#This Row],[a1]]=1,[1]!T_AA[[#This Row],[IN'']]*[1]!T_AA[[#This Row],[Qde'']],"")</f>
        <v/>
      </c>
      <c r="AK857" s="132" t="str">
        <f>IF(Tab.o1[[#This Row],[a1]]=1,IF(AK$1=1,Tab.o1[[#This Row],[MED]]+Tab.o1[[#This Row],[MOD]]-Tab.o1[[#This Row],[MED]],""),"")</f>
        <v/>
      </c>
      <c r="AL857" s="133" t="str">
        <f>IF(Tab.o1[[#This Row],[a1]]=1,[1]!T.in.A[[#This Row],[oo16]],"")</f>
        <v/>
      </c>
      <c r="AM857" s="133" t="str">
        <f>IF(Tab.o1[[#This Row],[a1]]=1,IF(AM$3=1,[1]!T.in.A[[#This Row],[Σo16]],""),"")</f>
        <v/>
      </c>
      <c r="AN857" s="126" t="str">
        <f>IF(Tab.o1[[#This Row],[a1]]=1,[1]!T.in.A[[#This Row],[Σp5]],"")</f>
        <v/>
      </c>
      <c r="AO857" s="126" t="str">
        <f>IF(Tab.o1[[#This Row],[a1]]=1,IF(AO$3=1,[1]!T.in.A[[#This Row],[Σp5]],""),"")</f>
        <v/>
      </c>
      <c r="AP857" s="110" t="str">
        <f>IF(Tab.o1[[#This Row],[a1]]=1,IF(ISNUMBER(Tab.o1[[#This Row],[i.]]),NORMDIST(Tab.o1[[#This Row],[Za]],0,1,FALSE)*Tab.o1[[#This Row],[i.]],0),"")</f>
        <v/>
      </c>
      <c r="AQ857" s="125" t="str">
        <f>IF(Tab.o1[[#This Row],[a1]]=1,ABS(Tab.o1[[#This Row],[MOD]]-AVERAGE(Tab.o1[MOD])),"")</f>
        <v/>
      </c>
      <c r="AR857" s="134" t="str">
        <f>IF(Tab.o1[[#This Row],[a1]]=1,Tab.o1[[#This Row],[OBS]]/SUM(Tab.o1[OBS]),"")</f>
        <v/>
      </c>
      <c r="AS857" s="135" t="str">
        <f>IF(ISNUMBER(Tab.o1[[#This Row],[a1]]),ROW()-4,"")</f>
        <v/>
      </c>
      <c r="AT857" s="136" t="str">
        <f>Tab.o1[[#This Row],[MOD]]</f>
        <v/>
      </c>
      <c r="AU857" s="137" t="str">
        <f t="shared" si="53"/>
        <v/>
      </c>
      <c r="AV857" s="138" t="str">
        <f t="shared" si="54"/>
        <v/>
      </c>
      <c r="AW857" s="138" t="str">
        <f t="shared" si="55"/>
        <v/>
      </c>
      <c r="AX857" s="139" t="str">
        <f>[1]!T.in.A[[#This Row],[ID_T_manu]]</f>
        <v/>
      </c>
      <c r="AY857" s="140" t="str">
        <f>IF(ISNUMBER(Tab.o1[[#This Row],[a1]]),IF(AND(Tab.o1[[#This Row],[a1]]=1,Tab.o1[[#This Row],[b1]]&lt;=AY$4),#REF!,AY856),"")</f>
        <v/>
      </c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6"/>
      <c r="BO857" s="26"/>
      <c r="BP857" s="26"/>
      <c r="BQ857" s="26"/>
      <c r="BR857" s="26"/>
      <c r="BS857" s="26"/>
      <c r="BT857" s="26"/>
      <c r="BU857" s="26"/>
      <c r="BV857" s="26"/>
      <c r="BW857" s="26"/>
      <c r="BX857" s="26"/>
      <c r="BY857" s="26"/>
      <c r="BZ857" s="26"/>
      <c r="CA857" s="26"/>
    </row>
    <row r="858" spans="1:79" s="143" customFormat="1" ht="15.75" hidden="1">
      <c r="A858" s="109">
        <v>-5.9999999999999993E-6</v>
      </c>
      <c r="B858" s="110">
        <f t="shared" si="52"/>
        <v>858</v>
      </c>
      <c r="C858" s="111" t="str">
        <f>IF(C$1=[1]!T.in.A[[#This Row],[oo2]],1,"")</f>
        <v/>
      </c>
      <c r="D858" s="112" t="str">
        <f>IF(Tab.o1[[#This Row],[a1]]=1,IF(SUM(C858:C859)=0,0,IF(SUM(C857:C858)=1,1,IF(SUM(C857:C859)&gt;1,D857+1,0))),"")</f>
        <v/>
      </c>
      <c r="E858" s="113" t="str">
        <f>IF(Tab.o1[[#This Row],[a1]]=1,[1]!T.in.A[[#This Row],[oo1]],"")</f>
        <v/>
      </c>
      <c r="F858" s="113" t="str">
        <f>IF(Tab.o1[[#This Row],[a1]]=1,[1]!T.in.A[[#This Row],[pp1]],"")</f>
        <v/>
      </c>
      <c r="G858" s="114" t="str">
        <f>IF(Tab.o1[[#This Row],[a1]]=1,G$2+IF(G$1=1,0,Tab.o1[[#This Row],[.x1]])+[1]!T.in.A[[#This Row],[oo3]],"")</f>
        <v/>
      </c>
      <c r="H858" s="115" t="str">
        <f>IF(Tab.o1[[#This Row],[a1]]=1,IF(H$2=0,0,IF(G$1=1,0,Tab.o1[[#This Row],[.x1]])+[1]!T.in.A[[#This Row],[oo4]]),"")</f>
        <v/>
      </c>
      <c r="I858" s="116" t="str">
        <f>IF(Tab.o1[[#This Row],[a1]]=1,IF(J$2=0,Tab.o1[[#This Row],[MED]],Tab.o1[[#This Row],[MOD]]),"")</f>
        <v/>
      </c>
      <c r="J858" s="116" t="str">
        <f>IF(Tab.o1[[#This Row],[a1]]=1,((Tab.o1[[#This Row],[DIF_Target.]]-AVERAGE(Tab.o1[DIF_Target.]))/_xlfn.STDEV.P(Tab.o1[DIF_Target.])),"")</f>
        <v/>
      </c>
      <c r="K858" s="117" t="str">
        <f>IF(Tab.o1[[#This Row],[a1]]=1,IF(J$2=0,Tab.o1[[#This Row],[MOD]]-Tab.o1[[#This Row],[B]],IF(J$2=1,0,-Tab.o1[[#This Row],[MED]])+Tab.o1[[#This Row],[B]]),"")</f>
        <v/>
      </c>
      <c r="L858" s="117" t="str">
        <f ca="1">IF(Tab.o1[[#This Row],[DIF_Target]]=0,IF(L$2=0,Tab.o1[[#This Row],[DIF_Target]],AVERAGE(OFFSET(Tab.o1[[#This Row],[DIF_Target]],1,0,L$3,1)))/3,Tab.o1[[#This Row],[DIF_Target]])</f>
        <v/>
      </c>
      <c r="M858" s="118" t="str">
        <f>IF(Tab.o1[[#This Row],[a1]]=1,NORMSDIST(Tab.o1[[#This Row],[Za]]),"")</f>
        <v/>
      </c>
      <c r="N858" s="119" t="str">
        <f>IF(Tab.o1[[#This Row],[a1]]=1,((Tab.o1[[#This Row],[MedMod]]-AVERAGE(Tab.o1[MedMod]))/_xlfn.STDEV.P(Tab.o1[MedMod])*H$1205)+G$1205,"")</f>
        <v/>
      </c>
      <c r="O858" s="141" t="str">
        <f>IF(Tab.o1[[#This Row],[a1]]=1,Tab.o1[[#This Row],[Zb]]*_xlfn.STDEV.P(Tab.o1[MedMod])+AVERAGE(Tab.o1[MedMod]),"")</f>
        <v/>
      </c>
      <c r="P858" s="117" t="str">
        <f ca="1">IF(Tab.o1[[#This Row],[B]]=0,AVERAGE(OFFSET(Tab.o1[[#This Row],[B]],1,0,L$3,1)),Tab.o1[[#This Row],[B]])</f>
        <v/>
      </c>
      <c r="Q858" s="121" t="str">
        <f>IF(Tab.o1[[#This Row],[a1]]=1,NORMSDIST(Tab.o1[[#This Row],[Zb]]),"")</f>
        <v/>
      </c>
      <c r="R858" s="122" t="str">
        <f>IF(Tab.o1[[#This Row],[a1]]=1,((Tab.o1[[#This Row],[MedMod]]-AVERAGE(Tab.o1[MedMod]))/_xlfn.STDEV.P(Tab.o1[MedMod])*H$1203)+G$1203,"")</f>
        <v/>
      </c>
      <c r="S858" s="122" t="str">
        <f>IF(Tab.o1[[#This Row],[a1]]=1,((Tab.o1[[#This Row],[MedMod]]-AVERAGE(Tab.o1[MedMod]))/_xlfn.STDEV.P(Tab.o1[MedMod])*H$1204)+G$1204,"")</f>
        <v/>
      </c>
      <c r="T858" s="123" t="str">
        <f>IF(Tab.o1[[#This Row],[a1]]=1,Tab.o1[[#This Row],[Z-]]*_xlfn.STDEV.P(Tab.o1[B])+AVERAGE(Tab.o1[B]),"")</f>
        <v/>
      </c>
      <c r="U858" s="123" t="str">
        <f>IF(Tab.o1[[#This Row],[a1]]=1,Tab.o1[[#This Row],[z+]]*_xlfn.STDEV.P(Tab.o1[B])+AVERAGE(Tab.o1[B]),"")</f>
        <v/>
      </c>
      <c r="V858" s="124" t="str">
        <f>IF(Tab.o1[[#This Row],[a1]]=1,ABS((ABS(Tab.o1[[#This Row],[Red]]-Tab.o1[[#This Row],[Blue]]))),"")</f>
        <v/>
      </c>
      <c r="W858" s="125" t="str">
        <f>IF(Tab.o1[[#This Row],[a1]]=1,IF(W$3=0,1,Tab.o1[[#This Row],[Amp.]]*1/_xlfn.MINIFS(Tab.o1[Amp.],Tab.o1[Amp.],"&lt;&gt;0")),"")</f>
        <v/>
      </c>
      <c r="X858" s="126" t="str">
        <f>IF(Tab.o1[[#This Row],[a1]]=1,IF(ISNUMBER(Tab.o1[[#This Row],[i.]]),NORMDIST(Tab.o1[[#This Row],[Za]],0,1,FALSE)*Tab.o1[[#This Row],[i.]],AP$3),"")</f>
        <v/>
      </c>
      <c r="Y858" s="126" t="str">
        <f>IF(Tab.o1[[#This Row],[a1]]=1,0.01+0.94*Tab.o1[[#This Row],[PDF]]/MAX(Tab.o1[PDF]),"")</f>
        <v/>
      </c>
      <c r="Z858" s="126" t="str">
        <f>IF(Tab.o1[[#This Row],[a1]]=1,0.01+0.94*Tab.o1[[#This Row],[W1_PDF]]/MAX(Tab.o1[W1_PDF]),"")</f>
        <v/>
      </c>
      <c r="AA858" s="118" t="str">
        <f>IF(Tab.o1[[#This Row],[a1]]=1,ABS([1]!T.in.A[[#This Row],[oo6]]),"")</f>
        <v/>
      </c>
      <c r="AB858" s="127" t="str">
        <f>IF(Tab.o1[[#This Row],[a1]]=1,IF(AE$3=0,"",IF(AB$3=0,ABS([1]!T.in.A[[#This Row],[oo9]]),ABS(Tab.o1[[#This Row],[DIF_Target.]]*Tab.o1[[#This Row],[W1_PDF]]))),"")</f>
        <v/>
      </c>
      <c r="AC858" s="127" t="str">
        <f>IF(G$1=1,"",IF(Tab.o1[[#This Row],[a1]]=1,Tab.o1[[#This Row],[Wr]]^2,""))</f>
        <v/>
      </c>
      <c r="AD858" s="118" t="str">
        <f>IF(Tab.o1[[#This Row],[a1]]=1,IF(AE$3=0,"",Tab.o1[[#This Row],[Wr2]]/SUM(Tab.o1[Wr2])),"")</f>
        <v/>
      </c>
      <c r="AE858" s="128" t="str">
        <f>IF(Tab.o1[[#This Row],[a1]]=1,[1]!T.in.A[[#This Row],[oo10]],"")</f>
        <v/>
      </c>
      <c r="AF858" s="118" t="str">
        <f>IF(Tab.o1[[#This Row],[a1]]=1,ABS(Tab.o1[[#This Row],[DIF_Target.]]*Tab.o1[[#This Row],[PDF2]]*Tab.o1[[#This Row],[IN]]),"")</f>
        <v/>
      </c>
      <c r="AG858" s="129" t="str">
        <f>IF(Tab.o1[[#This Row],[a1]]=1,Tab.o1[[#This Row],[rW]]^2,"")</f>
        <v/>
      </c>
      <c r="AH858" s="130" t="str">
        <f>IF(Tab.o1[[#This Row],[a1]]=1,IF(AH$3=0,Tab.o1[[#This Row],[rW2]],0.01+0.94*Tab.o1[[#This Row],[rW2]]/SUM(Tab.o1[rW2])),"")</f>
        <v/>
      </c>
      <c r="AI858" s="128" t="str">
        <f>IF(Tab.o1[[#This Row],[a1]]=1,1/Tab.o1[[#This Row],[PDF]],"")</f>
        <v/>
      </c>
      <c r="AJ858" s="131" t="str">
        <f>IF(Tab.o1[[#This Row],[a1]]=1,[1]!T_AA[[#This Row],[IN'']]*[1]!T_AA[[#This Row],[Qde'']],"")</f>
        <v/>
      </c>
      <c r="AK858" s="132" t="str">
        <f>IF(Tab.o1[[#This Row],[a1]]=1,IF(AK$1=1,Tab.o1[[#This Row],[MED]]+Tab.o1[[#This Row],[MOD]]-Tab.o1[[#This Row],[MED]],""),"")</f>
        <v/>
      </c>
      <c r="AL858" s="133" t="str">
        <f>IF(Tab.o1[[#This Row],[a1]]=1,[1]!T.in.A[[#This Row],[oo16]],"")</f>
        <v/>
      </c>
      <c r="AM858" s="133" t="str">
        <f>IF(Tab.o1[[#This Row],[a1]]=1,IF(AM$3=1,[1]!T.in.A[[#This Row],[Σo16]],""),"")</f>
        <v/>
      </c>
      <c r="AN858" s="126" t="str">
        <f>IF(Tab.o1[[#This Row],[a1]]=1,[1]!T.in.A[[#This Row],[Σp5]],"")</f>
        <v/>
      </c>
      <c r="AO858" s="126" t="str">
        <f>IF(Tab.o1[[#This Row],[a1]]=1,IF(AO$3=1,[1]!T.in.A[[#This Row],[Σp5]],""),"")</f>
        <v/>
      </c>
      <c r="AP858" s="110" t="str">
        <f>IF(Tab.o1[[#This Row],[a1]]=1,IF(ISNUMBER(Tab.o1[[#This Row],[i.]]),NORMDIST(Tab.o1[[#This Row],[Za]],0,1,FALSE)*Tab.o1[[#This Row],[i.]],0),"")</f>
        <v/>
      </c>
      <c r="AQ858" s="125" t="str">
        <f>IF(Tab.o1[[#This Row],[a1]]=1,ABS(Tab.o1[[#This Row],[MOD]]-AVERAGE(Tab.o1[MOD])),"")</f>
        <v/>
      </c>
      <c r="AR858" s="134" t="str">
        <f>IF(Tab.o1[[#This Row],[a1]]=1,Tab.o1[[#This Row],[OBS]]/SUM(Tab.o1[OBS]),"")</f>
        <v/>
      </c>
      <c r="AS858" s="135" t="str">
        <f>IF(ISNUMBER(Tab.o1[[#This Row],[a1]]),ROW()-4,"")</f>
        <v/>
      </c>
      <c r="AT858" s="136" t="str">
        <f>Tab.o1[[#This Row],[MOD]]</f>
        <v/>
      </c>
      <c r="AU858" s="137" t="str">
        <f t="shared" si="53"/>
        <v/>
      </c>
      <c r="AV858" s="138" t="str">
        <f t="shared" si="54"/>
        <v/>
      </c>
      <c r="AW858" s="138" t="str">
        <f t="shared" si="55"/>
        <v/>
      </c>
      <c r="AX858" s="139" t="str">
        <f>[1]!T.in.A[[#This Row],[ID_T_manu]]</f>
        <v/>
      </c>
      <c r="AY858" s="140" t="str">
        <f>IF(ISNUMBER(Tab.o1[[#This Row],[a1]]),IF(AND(Tab.o1[[#This Row],[a1]]=1,Tab.o1[[#This Row],[b1]]&lt;=AY$4),#REF!,AY857),"")</f>
        <v/>
      </c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6"/>
      <c r="BO858" s="26"/>
      <c r="BP858" s="26"/>
      <c r="BQ858" s="26"/>
      <c r="BR858" s="26"/>
      <c r="BS858" s="26"/>
      <c r="BT858" s="26"/>
      <c r="BU858" s="26"/>
      <c r="BV858" s="26"/>
      <c r="BW858" s="26"/>
      <c r="BX858" s="26"/>
      <c r="BY858" s="26"/>
      <c r="BZ858" s="26"/>
      <c r="CA858" s="26"/>
    </row>
    <row r="859" spans="1:79" s="143" customFormat="1" ht="15.75" hidden="1">
      <c r="A859" s="109">
        <v>5.9999999999999993E-6</v>
      </c>
      <c r="B859" s="110">
        <f t="shared" si="52"/>
        <v>859</v>
      </c>
      <c r="C859" s="111" t="str">
        <f>IF(C$1=[1]!T.in.A[[#This Row],[oo2]],1,"")</f>
        <v/>
      </c>
      <c r="D859" s="112" t="str">
        <f>IF(Tab.o1[[#This Row],[a1]]=1,IF(SUM(C859:C860)=0,0,IF(SUM(C858:C859)=1,1,IF(SUM(C858:C860)&gt;1,D858+1,0))),"")</f>
        <v/>
      </c>
      <c r="E859" s="113" t="str">
        <f>IF(Tab.o1[[#This Row],[a1]]=1,[1]!T.in.A[[#This Row],[oo1]],"")</f>
        <v/>
      </c>
      <c r="F859" s="113" t="str">
        <f>IF(Tab.o1[[#This Row],[a1]]=1,[1]!T.in.A[[#This Row],[pp1]],"")</f>
        <v/>
      </c>
      <c r="G859" s="114" t="str">
        <f>IF(Tab.o1[[#This Row],[a1]]=1,G$2+IF(G$1=1,0,Tab.o1[[#This Row],[.x1]])+[1]!T.in.A[[#This Row],[oo3]],"")</f>
        <v/>
      </c>
      <c r="H859" s="115" t="str">
        <f>IF(Tab.o1[[#This Row],[a1]]=1,IF(H$2=0,0,IF(G$1=1,0,Tab.o1[[#This Row],[.x1]])+[1]!T.in.A[[#This Row],[oo4]]),"")</f>
        <v/>
      </c>
      <c r="I859" s="116" t="str">
        <f>IF(Tab.o1[[#This Row],[a1]]=1,IF(J$2=0,Tab.o1[[#This Row],[MED]],Tab.o1[[#This Row],[MOD]]),"")</f>
        <v/>
      </c>
      <c r="J859" s="116" t="str">
        <f>IF(Tab.o1[[#This Row],[a1]]=1,((Tab.o1[[#This Row],[DIF_Target.]]-AVERAGE(Tab.o1[DIF_Target.]))/_xlfn.STDEV.P(Tab.o1[DIF_Target.])),"")</f>
        <v/>
      </c>
      <c r="K859" s="117" t="str">
        <f>IF(Tab.o1[[#This Row],[a1]]=1,IF(J$2=0,Tab.o1[[#This Row],[MOD]]-Tab.o1[[#This Row],[B]],IF(J$2=1,0,-Tab.o1[[#This Row],[MED]])+Tab.o1[[#This Row],[B]]),"")</f>
        <v/>
      </c>
      <c r="L859" s="117" t="str">
        <f ca="1">IF(Tab.o1[[#This Row],[DIF_Target]]=0,IF(L$2=0,Tab.o1[[#This Row],[DIF_Target]],AVERAGE(OFFSET(Tab.o1[[#This Row],[DIF_Target]],1,0,L$3,1)))/3,Tab.o1[[#This Row],[DIF_Target]])</f>
        <v/>
      </c>
      <c r="M859" s="118" t="str">
        <f>IF(Tab.o1[[#This Row],[a1]]=1,NORMSDIST(Tab.o1[[#This Row],[Za]]),"")</f>
        <v/>
      </c>
      <c r="N859" s="119" t="str">
        <f>IF(Tab.o1[[#This Row],[a1]]=1,((Tab.o1[[#This Row],[MedMod]]-AVERAGE(Tab.o1[MedMod]))/_xlfn.STDEV.P(Tab.o1[MedMod])*H$1205)+G$1205,"")</f>
        <v/>
      </c>
      <c r="O859" s="141" t="str">
        <f>IF(Tab.o1[[#This Row],[a1]]=1,Tab.o1[[#This Row],[Zb]]*_xlfn.STDEV.P(Tab.o1[MedMod])+AVERAGE(Tab.o1[MedMod]),"")</f>
        <v/>
      </c>
      <c r="P859" s="117" t="str">
        <f ca="1">IF(Tab.o1[[#This Row],[B]]=0,AVERAGE(OFFSET(Tab.o1[[#This Row],[B]],1,0,L$3,1)),Tab.o1[[#This Row],[B]])</f>
        <v/>
      </c>
      <c r="Q859" s="121" t="str">
        <f>IF(Tab.o1[[#This Row],[a1]]=1,NORMSDIST(Tab.o1[[#This Row],[Zb]]),"")</f>
        <v/>
      </c>
      <c r="R859" s="122" t="str">
        <f>IF(Tab.o1[[#This Row],[a1]]=1,((Tab.o1[[#This Row],[MedMod]]-AVERAGE(Tab.o1[MedMod]))/_xlfn.STDEV.P(Tab.o1[MedMod])*H$1203)+G$1203,"")</f>
        <v/>
      </c>
      <c r="S859" s="122" t="str">
        <f>IF(Tab.o1[[#This Row],[a1]]=1,((Tab.o1[[#This Row],[MedMod]]-AVERAGE(Tab.o1[MedMod]))/_xlfn.STDEV.P(Tab.o1[MedMod])*H$1204)+G$1204,"")</f>
        <v/>
      </c>
      <c r="T859" s="123" t="str">
        <f>IF(Tab.o1[[#This Row],[a1]]=1,Tab.o1[[#This Row],[Z-]]*_xlfn.STDEV.P(Tab.o1[B])+AVERAGE(Tab.o1[B]),"")</f>
        <v/>
      </c>
      <c r="U859" s="123" t="str">
        <f>IF(Tab.o1[[#This Row],[a1]]=1,Tab.o1[[#This Row],[z+]]*_xlfn.STDEV.P(Tab.o1[B])+AVERAGE(Tab.o1[B]),"")</f>
        <v/>
      </c>
      <c r="V859" s="124" t="str">
        <f>IF(Tab.o1[[#This Row],[a1]]=1,ABS((ABS(Tab.o1[[#This Row],[Red]]-Tab.o1[[#This Row],[Blue]]))),"")</f>
        <v/>
      </c>
      <c r="W859" s="125" t="str">
        <f>IF(Tab.o1[[#This Row],[a1]]=1,IF(W$3=0,1,Tab.o1[[#This Row],[Amp.]]*1/_xlfn.MINIFS(Tab.o1[Amp.],Tab.o1[Amp.],"&lt;&gt;0")),"")</f>
        <v/>
      </c>
      <c r="X859" s="126" t="str">
        <f>IF(Tab.o1[[#This Row],[a1]]=1,IF(ISNUMBER(Tab.o1[[#This Row],[i.]]),NORMDIST(Tab.o1[[#This Row],[Za]],0,1,FALSE)*Tab.o1[[#This Row],[i.]],AP$3),"")</f>
        <v/>
      </c>
      <c r="Y859" s="126" t="str">
        <f>IF(Tab.o1[[#This Row],[a1]]=1,0.01+0.94*Tab.o1[[#This Row],[PDF]]/MAX(Tab.o1[PDF]),"")</f>
        <v/>
      </c>
      <c r="Z859" s="126" t="str">
        <f>IF(Tab.o1[[#This Row],[a1]]=1,0.01+0.94*Tab.o1[[#This Row],[W1_PDF]]/MAX(Tab.o1[W1_PDF]),"")</f>
        <v/>
      </c>
      <c r="AA859" s="118" t="str">
        <f>IF(Tab.o1[[#This Row],[a1]]=1,ABS([1]!T.in.A[[#This Row],[oo6]]),"")</f>
        <v/>
      </c>
      <c r="AB859" s="127" t="str">
        <f>IF(Tab.o1[[#This Row],[a1]]=1,IF(AE$3=0,"",IF(AB$3=0,ABS([1]!T.in.A[[#This Row],[oo9]]),ABS(Tab.o1[[#This Row],[DIF_Target.]]*Tab.o1[[#This Row],[W1_PDF]]))),"")</f>
        <v/>
      </c>
      <c r="AC859" s="127" t="str">
        <f>IF(G$1=1,"",IF(Tab.o1[[#This Row],[a1]]=1,Tab.o1[[#This Row],[Wr]]^2,""))</f>
        <v/>
      </c>
      <c r="AD859" s="118" t="str">
        <f>IF(Tab.o1[[#This Row],[a1]]=1,IF(AE$3=0,"",Tab.o1[[#This Row],[Wr2]]/SUM(Tab.o1[Wr2])),"")</f>
        <v/>
      </c>
      <c r="AE859" s="128" t="str">
        <f>IF(Tab.o1[[#This Row],[a1]]=1,[1]!T.in.A[[#This Row],[oo10]],"")</f>
        <v/>
      </c>
      <c r="AF859" s="118" t="str">
        <f>IF(Tab.o1[[#This Row],[a1]]=1,ABS(Tab.o1[[#This Row],[DIF_Target.]]*Tab.o1[[#This Row],[PDF2]]*Tab.o1[[#This Row],[IN]]),"")</f>
        <v/>
      </c>
      <c r="AG859" s="129" t="str">
        <f>IF(Tab.o1[[#This Row],[a1]]=1,Tab.o1[[#This Row],[rW]]^2,"")</f>
        <v/>
      </c>
      <c r="AH859" s="130" t="str">
        <f>IF(Tab.o1[[#This Row],[a1]]=1,IF(AH$3=0,Tab.o1[[#This Row],[rW2]],0.01+0.94*Tab.o1[[#This Row],[rW2]]/SUM(Tab.o1[rW2])),"")</f>
        <v/>
      </c>
      <c r="AI859" s="128" t="str">
        <f>IF(Tab.o1[[#This Row],[a1]]=1,1/Tab.o1[[#This Row],[PDF]],"")</f>
        <v/>
      </c>
      <c r="AJ859" s="131" t="str">
        <f>IF(Tab.o1[[#This Row],[a1]]=1,[1]!T_AA[[#This Row],[IN'']]*[1]!T_AA[[#This Row],[Qde'']],"")</f>
        <v/>
      </c>
      <c r="AK859" s="132" t="str">
        <f>IF(Tab.o1[[#This Row],[a1]]=1,IF(AK$1=1,Tab.o1[[#This Row],[MED]]+Tab.o1[[#This Row],[MOD]]-Tab.o1[[#This Row],[MED]],""),"")</f>
        <v/>
      </c>
      <c r="AL859" s="133" t="str">
        <f>IF(Tab.o1[[#This Row],[a1]]=1,[1]!T.in.A[[#This Row],[oo16]],"")</f>
        <v/>
      </c>
      <c r="AM859" s="133" t="str">
        <f>IF(Tab.o1[[#This Row],[a1]]=1,IF(AM$3=1,[1]!T.in.A[[#This Row],[Σo16]],""),"")</f>
        <v/>
      </c>
      <c r="AN859" s="126" t="str">
        <f>IF(Tab.o1[[#This Row],[a1]]=1,[1]!T.in.A[[#This Row],[Σp5]],"")</f>
        <v/>
      </c>
      <c r="AO859" s="126" t="str">
        <f>IF(Tab.o1[[#This Row],[a1]]=1,IF(AO$3=1,[1]!T.in.A[[#This Row],[Σp5]],""),"")</f>
        <v/>
      </c>
      <c r="AP859" s="110" t="str">
        <f>IF(Tab.o1[[#This Row],[a1]]=1,IF(ISNUMBER(Tab.o1[[#This Row],[i.]]),NORMDIST(Tab.o1[[#This Row],[Za]],0,1,FALSE)*Tab.o1[[#This Row],[i.]],0),"")</f>
        <v/>
      </c>
      <c r="AQ859" s="125" t="str">
        <f>IF(Tab.o1[[#This Row],[a1]]=1,ABS(Tab.o1[[#This Row],[MOD]]-AVERAGE(Tab.o1[MOD])),"")</f>
        <v/>
      </c>
      <c r="AR859" s="134" t="str">
        <f>IF(Tab.o1[[#This Row],[a1]]=1,Tab.o1[[#This Row],[OBS]]/SUM(Tab.o1[OBS]),"")</f>
        <v/>
      </c>
      <c r="AS859" s="135" t="str">
        <f>IF(ISNUMBER(Tab.o1[[#This Row],[a1]]),ROW()-4,"")</f>
        <v/>
      </c>
      <c r="AT859" s="136" t="str">
        <f>Tab.o1[[#This Row],[MOD]]</f>
        <v/>
      </c>
      <c r="AU859" s="137" t="str">
        <f t="shared" si="53"/>
        <v/>
      </c>
      <c r="AV859" s="138" t="str">
        <f t="shared" si="54"/>
        <v/>
      </c>
      <c r="AW859" s="138" t="str">
        <f t="shared" si="55"/>
        <v/>
      </c>
      <c r="AX859" s="139" t="str">
        <f>[1]!T.in.A[[#This Row],[ID_T_manu]]</f>
        <v/>
      </c>
      <c r="AY859" s="140" t="str">
        <f>IF(ISNUMBER(Tab.o1[[#This Row],[a1]]),IF(AND(Tab.o1[[#This Row],[a1]]=1,Tab.o1[[#This Row],[b1]]&lt;=AY$4),#REF!,AY858),"")</f>
        <v/>
      </c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6"/>
      <c r="BO859" s="26"/>
      <c r="BP859" s="26"/>
      <c r="BQ859" s="26"/>
      <c r="BR859" s="26"/>
      <c r="BS859" s="26"/>
      <c r="BT859" s="26"/>
      <c r="BU859" s="26"/>
      <c r="BV859" s="26"/>
      <c r="BW859" s="26"/>
      <c r="BX859" s="26"/>
      <c r="BY859" s="26"/>
      <c r="BZ859" s="26"/>
      <c r="CA859" s="26"/>
    </row>
    <row r="860" spans="1:79" s="143" customFormat="1" ht="15.75" hidden="1">
      <c r="A860" s="109">
        <v>4.0000000000000007E-6</v>
      </c>
      <c r="B860" s="110">
        <f t="shared" si="52"/>
        <v>860</v>
      </c>
      <c r="C860" s="111" t="str">
        <f>IF(C$1=[1]!T.in.A[[#This Row],[oo2]],1,"")</f>
        <v/>
      </c>
      <c r="D860" s="112" t="str">
        <f>IF(Tab.o1[[#This Row],[a1]]=1,IF(SUM(C860:C861)=0,0,IF(SUM(C859:C860)=1,1,IF(SUM(C859:C861)&gt;1,D859+1,0))),"")</f>
        <v/>
      </c>
      <c r="E860" s="113" t="str">
        <f>IF(Tab.o1[[#This Row],[a1]]=1,[1]!T.in.A[[#This Row],[oo1]],"")</f>
        <v/>
      </c>
      <c r="F860" s="113" t="str">
        <f>IF(Tab.o1[[#This Row],[a1]]=1,[1]!T.in.A[[#This Row],[pp1]],"")</f>
        <v/>
      </c>
      <c r="G860" s="114" t="str">
        <f>IF(Tab.o1[[#This Row],[a1]]=1,G$2+IF(G$1=1,0,Tab.o1[[#This Row],[.x1]])+[1]!T.in.A[[#This Row],[oo3]],"")</f>
        <v/>
      </c>
      <c r="H860" s="115" t="str">
        <f>IF(Tab.o1[[#This Row],[a1]]=1,IF(H$2=0,0,IF(G$1=1,0,Tab.o1[[#This Row],[.x1]])+[1]!T.in.A[[#This Row],[oo4]]),"")</f>
        <v/>
      </c>
      <c r="I860" s="116" t="str">
        <f>IF(Tab.o1[[#This Row],[a1]]=1,IF(J$2=0,Tab.o1[[#This Row],[MED]],Tab.o1[[#This Row],[MOD]]),"")</f>
        <v/>
      </c>
      <c r="J860" s="116" t="str">
        <f>IF(Tab.o1[[#This Row],[a1]]=1,((Tab.o1[[#This Row],[DIF_Target.]]-AVERAGE(Tab.o1[DIF_Target.]))/_xlfn.STDEV.P(Tab.o1[DIF_Target.])),"")</f>
        <v/>
      </c>
      <c r="K860" s="117" t="str">
        <f>IF(Tab.o1[[#This Row],[a1]]=1,IF(J$2=0,Tab.o1[[#This Row],[MOD]]-Tab.o1[[#This Row],[B]],IF(J$2=1,0,-Tab.o1[[#This Row],[MED]])+Tab.o1[[#This Row],[B]]),"")</f>
        <v/>
      </c>
      <c r="L860" s="117" t="str">
        <f ca="1">IF(Tab.o1[[#This Row],[DIF_Target]]=0,IF(L$2=0,Tab.o1[[#This Row],[DIF_Target]],AVERAGE(OFFSET(Tab.o1[[#This Row],[DIF_Target]],1,0,L$3,1)))/3,Tab.o1[[#This Row],[DIF_Target]])</f>
        <v/>
      </c>
      <c r="M860" s="118" t="str">
        <f>IF(Tab.o1[[#This Row],[a1]]=1,NORMSDIST(Tab.o1[[#This Row],[Za]]),"")</f>
        <v/>
      </c>
      <c r="N860" s="119" t="str">
        <f>IF(Tab.o1[[#This Row],[a1]]=1,((Tab.o1[[#This Row],[MedMod]]-AVERAGE(Tab.o1[MedMod]))/_xlfn.STDEV.P(Tab.o1[MedMod])*H$1205)+G$1205,"")</f>
        <v/>
      </c>
      <c r="O860" s="141" t="str">
        <f>IF(Tab.o1[[#This Row],[a1]]=1,Tab.o1[[#This Row],[Zb]]*_xlfn.STDEV.P(Tab.o1[MedMod])+AVERAGE(Tab.o1[MedMod]),"")</f>
        <v/>
      </c>
      <c r="P860" s="117" t="str">
        <f ca="1">IF(Tab.o1[[#This Row],[B]]=0,AVERAGE(OFFSET(Tab.o1[[#This Row],[B]],1,0,L$3,1)),Tab.o1[[#This Row],[B]])</f>
        <v/>
      </c>
      <c r="Q860" s="121" t="str">
        <f>IF(Tab.o1[[#This Row],[a1]]=1,NORMSDIST(Tab.o1[[#This Row],[Zb]]),"")</f>
        <v/>
      </c>
      <c r="R860" s="122" t="str">
        <f>IF(Tab.o1[[#This Row],[a1]]=1,((Tab.o1[[#This Row],[MedMod]]-AVERAGE(Tab.o1[MedMod]))/_xlfn.STDEV.P(Tab.o1[MedMod])*H$1203)+G$1203,"")</f>
        <v/>
      </c>
      <c r="S860" s="122" t="str">
        <f>IF(Tab.o1[[#This Row],[a1]]=1,((Tab.o1[[#This Row],[MedMod]]-AVERAGE(Tab.o1[MedMod]))/_xlfn.STDEV.P(Tab.o1[MedMod])*H$1204)+G$1204,"")</f>
        <v/>
      </c>
      <c r="T860" s="123" t="str">
        <f>IF(Tab.o1[[#This Row],[a1]]=1,Tab.o1[[#This Row],[Z-]]*_xlfn.STDEV.P(Tab.o1[B])+AVERAGE(Tab.o1[B]),"")</f>
        <v/>
      </c>
      <c r="U860" s="123" t="str">
        <f>IF(Tab.o1[[#This Row],[a1]]=1,Tab.o1[[#This Row],[z+]]*_xlfn.STDEV.P(Tab.o1[B])+AVERAGE(Tab.o1[B]),"")</f>
        <v/>
      </c>
      <c r="V860" s="124" t="str">
        <f>IF(Tab.o1[[#This Row],[a1]]=1,ABS((ABS(Tab.o1[[#This Row],[Red]]-Tab.o1[[#This Row],[Blue]]))),"")</f>
        <v/>
      </c>
      <c r="W860" s="125" t="str">
        <f>IF(Tab.o1[[#This Row],[a1]]=1,IF(W$3=0,1,Tab.o1[[#This Row],[Amp.]]*1/_xlfn.MINIFS(Tab.o1[Amp.],Tab.o1[Amp.],"&lt;&gt;0")),"")</f>
        <v/>
      </c>
      <c r="X860" s="126" t="str">
        <f>IF(Tab.o1[[#This Row],[a1]]=1,IF(ISNUMBER(Tab.o1[[#This Row],[i.]]),NORMDIST(Tab.o1[[#This Row],[Za]],0,1,FALSE)*Tab.o1[[#This Row],[i.]],AP$3),"")</f>
        <v/>
      </c>
      <c r="Y860" s="126" t="str">
        <f>IF(Tab.o1[[#This Row],[a1]]=1,0.01+0.94*Tab.o1[[#This Row],[PDF]]/MAX(Tab.o1[PDF]),"")</f>
        <v/>
      </c>
      <c r="Z860" s="126" t="str">
        <f>IF(Tab.o1[[#This Row],[a1]]=1,0.01+0.94*Tab.o1[[#This Row],[W1_PDF]]/MAX(Tab.o1[W1_PDF]),"")</f>
        <v/>
      </c>
      <c r="AA860" s="118" t="str">
        <f>IF(Tab.o1[[#This Row],[a1]]=1,ABS([1]!T.in.A[[#This Row],[oo6]]),"")</f>
        <v/>
      </c>
      <c r="AB860" s="127" t="str">
        <f>IF(Tab.o1[[#This Row],[a1]]=1,IF(AE$3=0,"",IF(AB$3=0,ABS([1]!T.in.A[[#This Row],[oo9]]),ABS(Tab.o1[[#This Row],[DIF_Target.]]*Tab.o1[[#This Row],[W1_PDF]]))),"")</f>
        <v/>
      </c>
      <c r="AC860" s="127" t="str">
        <f>IF(G$1=1,"",IF(Tab.o1[[#This Row],[a1]]=1,Tab.o1[[#This Row],[Wr]]^2,""))</f>
        <v/>
      </c>
      <c r="AD860" s="118" t="str">
        <f>IF(Tab.o1[[#This Row],[a1]]=1,IF(AE$3=0,"",Tab.o1[[#This Row],[Wr2]]/SUM(Tab.o1[Wr2])),"")</f>
        <v/>
      </c>
      <c r="AE860" s="128" t="str">
        <f>IF(Tab.o1[[#This Row],[a1]]=1,[1]!T.in.A[[#This Row],[oo10]],"")</f>
        <v/>
      </c>
      <c r="AF860" s="118" t="str">
        <f>IF(Tab.o1[[#This Row],[a1]]=1,ABS(Tab.o1[[#This Row],[DIF_Target.]]*Tab.o1[[#This Row],[PDF2]]*Tab.o1[[#This Row],[IN]]),"")</f>
        <v/>
      </c>
      <c r="AG860" s="129" t="str">
        <f>IF(Tab.o1[[#This Row],[a1]]=1,Tab.o1[[#This Row],[rW]]^2,"")</f>
        <v/>
      </c>
      <c r="AH860" s="130" t="str">
        <f>IF(Tab.o1[[#This Row],[a1]]=1,IF(AH$3=0,Tab.o1[[#This Row],[rW2]],0.01+0.94*Tab.o1[[#This Row],[rW2]]/SUM(Tab.o1[rW2])),"")</f>
        <v/>
      </c>
      <c r="AI860" s="128" t="str">
        <f>IF(Tab.o1[[#This Row],[a1]]=1,1/Tab.o1[[#This Row],[PDF]],"")</f>
        <v/>
      </c>
      <c r="AJ860" s="131" t="str">
        <f>IF(Tab.o1[[#This Row],[a1]]=1,[1]!T_AA[[#This Row],[IN'']]*[1]!T_AA[[#This Row],[Qde'']],"")</f>
        <v/>
      </c>
      <c r="AK860" s="132" t="str">
        <f>IF(Tab.o1[[#This Row],[a1]]=1,IF(AK$1=1,Tab.o1[[#This Row],[MED]]+Tab.o1[[#This Row],[MOD]]-Tab.o1[[#This Row],[MED]],""),"")</f>
        <v/>
      </c>
      <c r="AL860" s="133" t="str">
        <f>IF(Tab.o1[[#This Row],[a1]]=1,[1]!T.in.A[[#This Row],[oo16]],"")</f>
        <v/>
      </c>
      <c r="AM860" s="133" t="str">
        <f>IF(Tab.o1[[#This Row],[a1]]=1,IF(AM$3=1,[1]!T.in.A[[#This Row],[Σo16]],""),"")</f>
        <v/>
      </c>
      <c r="AN860" s="126" t="str">
        <f>IF(Tab.o1[[#This Row],[a1]]=1,[1]!T.in.A[[#This Row],[Σp5]],"")</f>
        <v/>
      </c>
      <c r="AO860" s="126" t="str">
        <f>IF(Tab.o1[[#This Row],[a1]]=1,IF(AO$3=1,[1]!T.in.A[[#This Row],[Σp5]],""),"")</f>
        <v/>
      </c>
      <c r="AP860" s="110" t="str">
        <f>IF(Tab.o1[[#This Row],[a1]]=1,IF(ISNUMBER(Tab.o1[[#This Row],[i.]]),NORMDIST(Tab.o1[[#This Row],[Za]],0,1,FALSE)*Tab.o1[[#This Row],[i.]],0),"")</f>
        <v/>
      </c>
      <c r="AQ860" s="125" t="str">
        <f>IF(Tab.o1[[#This Row],[a1]]=1,ABS(Tab.o1[[#This Row],[MOD]]-AVERAGE(Tab.o1[MOD])),"")</f>
        <v/>
      </c>
      <c r="AR860" s="134" t="str">
        <f>IF(Tab.o1[[#This Row],[a1]]=1,Tab.o1[[#This Row],[OBS]]/SUM(Tab.o1[OBS]),"")</f>
        <v/>
      </c>
      <c r="AS860" s="135" t="str">
        <f>IF(ISNUMBER(Tab.o1[[#This Row],[a1]]),ROW()-4,"")</f>
        <v/>
      </c>
      <c r="AT860" s="136" t="str">
        <f>Tab.o1[[#This Row],[MOD]]</f>
        <v/>
      </c>
      <c r="AU860" s="137" t="str">
        <f t="shared" si="53"/>
        <v/>
      </c>
      <c r="AV860" s="138" t="str">
        <f t="shared" si="54"/>
        <v/>
      </c>
      <c r="AW860" s="138" t="str">
        <f t="shared" si="55"/>
        <v/>
      </c>
      <c r="AX860" s="139" t="str">
        <f>[1]!T.in.A[[#This Row],[ID_T_manu]]</f>
        <v/>
      </c>
      <c r="AY860" s="140" t="str">
        <f>IF(ISNUMBER(Tab.o1[[#This Row],[a1]]),IF(AND(Tab.o1[[#This Row],[a1]]=1,Tab.o1[[#This Row],[b1]]&lt;=AY$4),#REF!,AY859),"")</f>
        <v/>
      </c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6"/>
      <c r="BO860" s="26"/>
      <c r="BP860" s="26"/>
      <c r="BQ860" s="26"/>
      <c r="BR860" s="26"/>
      <c r="BS860" s="26"/>
      <c r="BT860" s="26"/>
      <c r="BU860" s="26"/>
      <c r="BV860" s="26"/>
      <c r="BW860" s="26"/>
      <c r="BX860" s="26"/>
      <c r="BY860" s="26"/>
      <c r="BZ860" s="26"/>
      <c r="CA860" s="26"/>
    </row>
    <row r="861" spans="1:79" s="143" customFormat="1" ht="15.75" hidden="1">
      <c r="A861" s="109">
        <v>9.0000000000000002E-6</v>
      </c>
      <c r="B861" s="110">
        <f t="shared" si="52"/>
        <v>861</v>
      </c>
      <c r="C861" s="111" t="str">
        <f>IF(C$1=[1]!T.in.A[[#This Row],[oo2]],1,"")</f>
        <v/>
      </c>
      <c r="D861" s="112" t="str">
        <f>IF(Tab.o1[[#This Row],[a1]]=1,IF(SUM(C861:C862)=0,0,IF(SUM(C860:C861)=1,1,IF(SUM(C860:C862)&gt;1,D860+1,0))),"")</f>
        <v/>
      </c>
      <c r="E861" s="113" t="str">
        <f>IF(Tab.o1[[#This Row],[a1]]=1,[1]!T.in.A[[#This Row],[oo1]],"")</f>
        <v/>
      </c>
      <c r="F861" s="113" t="str">
        <f>IF(Tab.o1[[#This Row],[a1]]=1,[1]!T.in.A[[#This Row],[pp1]],"")</f>
        <v/>
      </c>
      <c r="G861" s="114" t="str">
        <f>IF(Tab.o1[[#This Row],[a1]]=1,G$2+IF(G$1=1,0,Tab.o1[[#This Row],[.x1]])+[1]!T.in.A[[#This Row],[oo3]],"")</f>
        <v/>
      </c>
      <c r="H861" s="115" t="str">
        <f>IF(Tab.o1[[#This Row],[a1]]=1,IF(H$2=0,0,IF(G$1=1,0,Tab.o1[[#This Row],[.x1]])+[1]!T.in.A[[#This Row],[oo4]]),"")</f>
        <v/>
      </c>
      <c r="I861" s="116" t="str">
        <f>IF(Tab.o1[[#This Row],[a1]]=1,IF(J$2=0,Tab.o1[[#This Row],[MED]],Tab.o1[[#This Row],[MOD]]),"")</f>
        <v/>
      </c>
      <c r="J861" s="116" t="str">
        <f>IF(Tab.o1[[#This Row],[a1]]=1,((Tab.o1[[#This Row],[DIF_Target.]]-AVERAGE(Tab.o1[DIF_Target.]))/_xlfn.STDEV.P(Tab.o1[DIF_Target.])),"")</f>
        <v/>
      </c>
      <c r="K861" s="117" t="str">
        <f>IF(Tab.o1[[#This Row],[a1]]=1,IF(J$2=0,Tab.o1[[#This Row],[MOD]]-Tab.o1[[#This Row],[B]],IF(J$2=1,0,-Tab.o1[[#This Row],[MED]])+Tab.o1[[#This Row],[B]]),"")</f>
        <v/>
      </c>
      <c r="L861" s="117" t="str">
        <f ca="1">IF(Tab.o1[[#This Row],[DIF_Target]]=0,IF(L$2=0,Tab.o1[[#This Row],[DIF_Target]],AVERAGE(OFFSET(Tab.o1[[#This Row],[DIF_Target]],1,0,L$3,1)))/3,Tab.o1[[#This Row],[DIF_Target]])</f>
        <v/>
      </c>
      <c r="M861" s="118" t="str">
        <f>IF(Tab.o1[[#This Row],[a1]]=1,NORMSDIST(Tab.o1[[#This Row],[Za]]),"")</f>
        <v/>
      </c>
      <c r="N861" s="119" t="str">
        <f>IF(Tab.o1[[#This Row],[a1]]=1,((Tab.o1[[#This Row],[MedMod]]-AVERAGE(Tab.o1[MedMod]))/_xlfn.STDEV.P(Tab.o1[MedMod])*H$1205)+G$1205,"")</f>
        <v/>
      </c>
      <c r="O861" s="141" t="str">
        <f>IF(Tab.o1[[#This Row],[a1]]=1,Tab.o1[[#This Row],[Zb]]*_xlfn.STDEV.P(Tab.o1[MedMod])+AVERAGE(Tab.o1[MedMod]),"")</f>
        <v/>
      </c>
      <c r="P861" s="117" t="str">
        <f ca="1">IF(Tab.o1[[#This Row],[B]]=0,AVERAGE(OFFSET(Tab.o1[[#This Row],[B]],1,0,L$3,1)),Tab.o1[[#This Row],[B]])</f>
        <v/>
      </c>
      <c r="Q861" s="121" t="str">
        <f>IF(Tab.o1[[#This Row],[a1]]=1,NORMSDIST(Tab.o1[[#This Row],[Zb]]),"")</f>
        <v/>
      </c>
      <c r="R861" s="122" t="str">
        <f>IF(Tab.o1[[#This Row],[a1]]=1,((Tab.o1[[#This Row],[MedMod]]-AVERAGE(Tab.o1[MedMod]))/_xlfn.STDEV.P(Tab.o1[MedMod])*H$1203)+G$1203,"")</f>
        <v/>
      </c>
      <c r="S861" s="122" t="str">
        <f>IF(Tab.o1[[#This Row],[a1]]=1,((Tab.o1[[#This Row],[MedMod]]-AVERAGE(Tab.o1[MedMod]))/_xlfn.STDEV.P(Tab.o1[MedMod])*H$1204)+G$1204,"")</f>
        <v/>
      </c>
      <c r="T861" s="123" t="str">
        <f>IF(Tab.o1[[#This Row],[a1]]=1,Tab.o1[[#This Row],[Z-]]*_xlfn.STDEV.P(Tab.o1[B])+AVERAGE(Tab.o1[B]),"")</f>
        <v/>
      </c>
      <c r="U861" s="123" t="str">
        <f>IF(Tab.o1[[#This Row],[a1]]=1,Tab.o1[[#This Row],[z+]]*_xlfn.STDEV.P(Tab.o1[B])+AVERAGE(Tab.o1[B]),"")</f>
        <v/>
      </c>
      <c r="V861" s="124" t="str">
        <f>IF(Tab.o1[[#This Row],[a1]]=1,ABS((ABS(Tab.o1[[#This Row],[Red]]-Tab.o1[[#This Row],[Blue]]))),"")</f>
        <v/>
      </c>
      <c r="W861" s="125" t="str">
        <f>IF(Tab.o1[[#This Row],[a1]]=1,IF(W$3=0,1,Tab.o1[[#This Row],[Amp.]]*1/_xlfn.MINIFS(Tab.o1[Amp.],Tab.o1[Amp.],"&lt;&gt;0")),"")</f>
        <v/>
      </c>
      <c r="X861" s="126" t="str">
        <f>IF(Tab.o1[[#This Row],[a1]]=1,IF(ISNUMBER(Tab.o1[[#This Row],[i.]]),NORMDIST(Tab.o1[[#This Row],[Za]],0,1,FALSE)*Tab.o1[[#This Row],[i.]],AP$3),"")</f>
        <v/>
      </c>
      <c r="Y861" s="126" t="str">
        <f>IF(Tab.o1[[#This Row],[a1]]=1,0.01+0.94*Tab.o1[[#This Row],[PDF]]/MAX(Tab.o1[PDF]),"")</f>
        <v/>
      </c>
      <c r="Z861" s="126" t="str">
        <f>IF(Tab.o1[[#This Row],[a1]]=1,0.01+0.94*Tab.o1[[#This Row],[W1_PDF]]/MAX(Tab.o1[W1_PDF]),"")</f>
        <v/>
      </c>
      <c r="AA861" s="118" t="str">
        <f>IF(Tab.o1[[#This Row],[a1]]=1,ABS([1]!T.in.A[[#This Row],[oo6]]),"")</f>
        <v/>
      </c>
      <c r="AB861" s="127" t="str">
        <f>IF(Tab.o1[[#This Row],[a1]]=1,IF(AE$3=0,"",IF(AB$3=0,ABS([1]!T.in.A[[#This Row],[oo9]]),ABS(Tab.o1[[#This Row],[DIF_Target.]]*Tab.o1[[#This Row],[W1_PDF]]))),"")</f>
        <v/>
      </c>
      <c r="AC861" s="127" t="str">
        <f>IF(G$1=1,"",IF(Tab.o1[[#This Row],[a1]]=1,Tab.o1[[#This Row],[Wr]]^2,""))</f>
        <v/>
      </c>
      <c r="AD861" s="118" t="str">
        <f>IF(Tab.o1[[#This Row],[a1]]=1,IF(AE$3=0,"",Tab.o1[[#This Row],[Wr2]]/SUM(Tab.o1[Wr2])),"")</f>
        <v/>
      </c>
      <c r="AE861" s="128" t="str">
        <f>IF(Tab.o1[[#This Row],[a1]]=1,[1]!T.in.A[[#This Row],[oo10]],"")</f>
        <v/>
      </c>
      <c r="AF861" s="118" t="str">
        <f>IF(Tab.o1[[#This Row],[a1]]=1,ABS(Tab.o1[[#This Row],[DIF_Target.]]*Tab.o1[[#This Row],[PDF2]]*Tab.o1[[#This Row],[IN]]),"")</f>
        <v/>
      </c>
      <c r="AG861" s="129" t="str">
        <f>IF(Tab.o1[[#This Row],[a1]]=1,Tab.o1[[#This Row],[rW]]^2,"")</f>
        <v/>
      </c>
      <c r="AH861" s="130" t="str">
        <f>IF(Tab.o1[[#This Row],[a1]]=1,IF(AH$3=0,Tab.o1[[#This Row],[rW2]],0.01+0.94*Tab.o1[[#This Row],[rW2]]/SUM(Tab.o1[rW2])),"")</f>
        <v/>
      </c>
      <c r="AI861" s="128" t="str">
        <f>IF(Tab.o1[[#This Row],[a1]]=1,1/Tab.o1[[#This Row],[PDF]],"")</f>
        <v/>
      </c>
      <c r="AJ861" s="131" t="str">
        <f>IF(Tab.o1[[#This Row],[a1]]=1,[1]!T_AA[[#This Row],[IN'']]*[1]!T_AA[[#This Row],[Qde'']],"")</f>
        <v/>
      </c>
      <c r="AK861" s="132" t="str">
        <f>IF(Tab.o1[[#This Row],[a1]]=1,IF(AK$1=1,Tab.o1[[#This Row],[MED]]+Tab.o1[[#This Row],[MOD]]-Tab.o1[[#This Row],[MED]],""),"")</f>
        <v/>
      </c>
      <c r="AL861" s="133" t="str">
        <f>IF(Tab.o1[[#This Row],[a1]]=1,[1]!T.in.A[[#This Row],[oo16]],"")</f>
        <v/>
      </c>
      <c r="AM861" s="133" t="str">
        <f>IF(Tab.o1[[#This Row],[a1]]=1,IF(AM$3=1,[1]!T.in.A[[#This Row],[Σo16]],""),"")</f>
        <v/>
      </c>
      <c r="AN861" s="126" t="str">
        <f>IF(Tab.o1[[#This Row],[a1]]=1,[1]!T.in.A[[#This Row],[Σp5]],"")</f>
        <v/>
      </c>
      <c r="AO861" s="126" t="str">
        <f>IF(Tab.o1[[#This Row],[a1]]=1,IF(AO$3=1,[1]!T.in.A[[#This Row],[Σp5]],""),"")</f>
        <v/>
      </c>
      <c r="AP861" s="110" t="str">
        <f>IF(Tab.o1[[#This Row],[a1]]=1,IF(ISNUMBER(Tab.o1[[#This Row],[i.]]),NORMDIST(Tab.o1[[#This Row],[Za]],0,1,FALSE)*Tab.o1[[#This Row],[i.]],0),"")</f>
        <v/>
      </c>
      <c r="AQ861" s="125" t="str">
        <f>IF(Tab.o1[[#This Row],[a1]]=1,ABS(Tab.o1[[#This Row],[MOD]]-AVERAGE(Tab.o1[MOD])),"")</f>
        <v/>
      </c>
      <c r="AR861" s="134" t="str">
        <f>IF(Tab.o1[[#This Row],[a1]]=1,Tab.o1[[#This Row],[OBS]]/SUM(Tab.o1[OBS]),"")</f>
        <v/>
      </c>
      <c r="AS861" s="135" t="str">
        <f>IF(ISNUMBER(Tab.o1[[#This Row],[a1]]),ROW()-4,"")</f>
        <v/>
      </c>
      <c r="AT861" s="136" t="str">
        <f>Tab.o1[[#This Row],[MOD]]</f>
        <v/>
      </c>
      <c r="AU861" s="137" t="str">
        <f t="shared" si="53"/>
        <v/>
      </c>
      <c r="AV861" s="138" t="str">
        <f t="shared" si="54"/>
        <v/>
      </c>
      <c r="AW861" s="138" t="str">
        <f t="shared" si="55"/>
        <v/>
      </c>
      <c r="AX861" s="139" t="str">
        <f>[1]!T.in.A[[#This Row],[ID_T_manu]]</f>
        <v/>
      </c>
      <c r="AY861" s="140" t="str">
        <f>IF(ISNUMBER(Tab.o1[[#This Row],[a1]]),IF(AND(Tab.o1[[#This Row],[a1]]=1,Tab.o1[[#This Row],[b1]]&lt;=AY$4),#REF!,AY860),"")</f>
        <v/>
      </c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6"/>
      <c r="BO861" s="26"/>
      <c r="BP861" s="26"/>
      <c r="BQ861" s="26"/>
      <c r="BR861" s="26"/>
      <c r="BS861" s="26"/>
      <c r="BT861" s="26"/>
      <c r="BU861" s="26"/>
      <c r="BV861" s="26"/>
      <c r="BW861" s="26"/>
      <c r="BX861" s="26"/>
      <c r="BY861" s="26"/>
      <c r="BZ861" s="26"/>
      <c r="CA861" s="26"/>
    </row>
    <row r="862" spans="1:79" s="143" customFormat="1" ht="15.75" hidden="1">
      <c r="A862" s="109">
        <v>8.0000000000000013E-6</v>
      </c>
      <c r="B862" s="110">
        <f t="shared" si="52"/>
        <v>862</v>
      </c>
      <c r="C862" s="111" t="str">
        <f>IF(C$1=[1]!T.in.A[[#This Row],[oo2]],1,"")</f>
        <v/>
      </c>
      <c r="D862" s="112" t="str">
        <f>IF(Tab.o1[[#This Row],[a1]]=1,IF(SUM(C862:C863)=0,0,IF(SUM(C861:C862)=1,1,IF(SUM(C861:C863)&gt;1,D861+1,0))),"")</f>
        <v/>
      </c>
      <c r="E862" s="113" t="str">
        <f>IF(Tab.o1[[#This Row],[a1]]=1,[1]!T.in.A[[#This Row],[oo1]],"")</f>
        <v/>
      </c>
      <c r="F862" s="113" t="str">
        <f>IF(Tab.o1[[#This Row],[a1]]=1,[1]!T.in.A[[#This Row],[pp1]],"")</f>
        <v/>
      </c>
      <c r="G862" s="114" t="str">
        <f>IF(Tab.o1[[#This Row],[a1]]=1,G$2+IF(G$1=1,0,Tab.o1[[#This Row],[.x1]])+[1]!T.in.A[[#This Row],[oo3]],"")</f>
        <v/>
      </c>
      <c r="H862" s="115" t="str">
        <f>IF(Tab.o1[[#This Row],[a1]]=1,IF(H$2=0,0,IF(G$1=1,0,Tab.o1[[#This Row],[.x1]])+[1]!T.in.A[[#This Row],[oo4]]),"")</f>
        <v/>
      </c>
      <c r="I862" s="116" t="str">
        <f>IF(Tab.o1[[#This Row],[a1]]=1,IF(J$2=0,Tab.o1[[#This Row],[MED]],Tab.o1[[#This Row],[MOD]]),"")</f>
        <v/>
      </c>
      <c r="J862" s="116" t="str">
        <f>IF(Tab.o1[[#This Row],[a1]]=1,((Tab.o1[[#This Row],[DIF_Target.]]-AVERAGE(Tab.o1[DIF_Target.]))/_xlfn.STDEV.P(Tab.o1[DIF_Target.])),"")</f>
        <v/>
      </c>
      <c r="K862" s="117" t="str">
        <f>IF(Tab.o1[[#This Row],[a1]]=1,IF(J$2=0,Tab.o1[[#This Row],[MOD]]-Tab.o1[[#This Row],[B]],IF(J$2=1,0,-Tab.o1[[#This Row],[MED]])+Tab.o1[[#This Row],[B]]),"")</f>
        <v/>
      </c>
      <c r="L862" s="117" t="str">
        <f ca="1">IF(Tab.o1[[#This Row],[DIF_Target]]=0,IF(L$2=0,Tab.o1[[#This Row],[DIF_Target]],AVERAGE(OFFSET(Tab.o1[[#This Row],[DIF_Target]],1,0,L$3,1)))/3,Tab.o1[[#This Row],[DIF_Target]])</f>
        <v/>
      </c>
      <c r="M862" s="118" t="str">
        <f>IF(Tab.o1[[#This Row],[a1]]=1,NORMSDIST(Tab.o1[[#This Row],[Za]]),"")</f>
        <v/>
      </c>
      <c r="N862" s="119" t="str">
        <f>IF(Tab.o1[[#This Row],[a1]]=1,((Tab.o1[[#This Row],[MedMod]]-AVERAGE(Tab.o1[MedMod]))/_xlfn.STDEV.P(Tab.o1[MedMod])*H$1205)+G$1205,"")</f>
        <v/>
      </c>
      <c r="O862" s="141" t="str">
        <f>IF(Tab.o1[[#This Row],[a1]]=1,Tab.o1[[#This Row],[Zb]]*_xlfn.STDEV.P(Tab.o1[MedMod])+AVERAGE(Tab.o1[MedMod]),"")</f>
        <v/>
      </c>
      <c r="P862" s="117" t="str">
        <f ca="1">IF(Tab.o1[[#This Row],[B]]=0,AVERAGE(OFFSET(Tab.o1[[#This Row],[B]],1,0,L$3,1)),Tab.o1[[#This Row],[B]])</f>
        <v/>
      </c>
      <c r="Q862" s="121" t="str">
        <f>IF(Tab.o1[[#This Row],[a1]]=1,NORMSDIST(Tab.o1[[#This Row],[Zb]]),"")</f>
        <v/>
      </c>
      <c r="R862" s="122" t="str">
        <f>IF(Tab.o1[[#This Row],[a1]]=1,((Tab.o1[[#This Row],[MedMod]]-AVERAGE(Tab.o1[MedMod]))/_xlfn.STDEV.P(Tab.o1[MedMod])*H$1203)+G$1203,"")</f>
        <v/>
      </c>
      <c r="S862" s="122" t="str">
        <f>IF(Tab.o1[[#This Row],[a1]]=1,((Tab.o1[[#This Row],[MedMod]]-AVERAGE(Tab.o1[MedMod]))/_xlfn.STDEV.P(Tab.o1[MedMod])*H$1204)+G$1204,"")</f>
        <v/>
      </c>
      <c r="T862" s="123" t="str">
        <f>IF(Tab.o1[[#This Row],[a1]]=1,Tab.o1[[#This Row],[Z-]]*_xlfn.STDEV.P(Tab.o1[B])+AVERAGE(Tab.o1[B]),"")</f>
        <v/>
      </c>
      <c r="U862" s="123" t="str">
        <f>IF(Tab.o1[[#This Row],[a1]]=1,Tab.o1[[#This Row],[z+]]*_xlfn.STDEV.P(Tab.o1[B])+AVERAGE(Tab.o1[B]),"")</f>
        <v/>
      </c>
      <c r="V862" s="124" t="str">
        <f>IF(Tab.o1[[#This Row],[a1]]=1,ABS((ABS(Tab.o1[[#This Row],[Red]]-Tab.o1[[#This Row],[Blue]]))),"")</f>
        <v/>
      </c>
      <c r="W862" s="125" t="str">
        <f>IF(Tab.o1[[#This Row],[a1]]=1,IF(W$3=0,1,Tab.o1[[#This Row],[Amp.]]*1/_xlfn.MINIFS(Tab.o1[Amp.],Tab.o1[Amp.],"&lt;&gt;0")),"")</f>
        <v/>
      </c>
      <c r="X862" s="126" t="str">
        <f>IF(Tab.o1[[#This Row],[a1]]=1,IF(ISNUMBER(Tab.o1[[#This Row],[i.]]),NORMDIST(Tab.o1[[#This Row],[Za]],0,1,FALSE)*Tab.o1[[#This Row],[i.]],AP$3),"")</f>
        <v/>
      </c>
      <c r="Y862" s="126" t="str">
        <f>IF(Tab.o1[[#This Row],[a1]]=1,0.01+0.94*Tab.o1[[#This Row],[PDF]]/MAX(Tab.o1[PDF]),"")</f>
        <v/>
      </c>
      <c r="Z862" s="126" t="str">
        <f>IF(Tab.o1[[#This Row],[a1]]=1,0.01+0.94*Tab.o1[[#This Row],[W1_PDF]]/MAX(Tab.o1[W1_PDF]),"")</f>
        <v/>
      </c>
      <c r="AA862" s="118" t="str">
        <f>IF(Tab.o1[[#This Row],[a1]]=1,ABS([1]!T.in.A[[#This Row],[oo6]]),"")</f>
        <v/>
      </c>
      <c r="AB862" s="127" t="str">
        <f>IF(Tab.o1[[#This Row],[a1]]=1,IF(AE$3=0,"",IF(AB$3=0,ABS([1]!T.in.A[[#This Row],[oo9]]),ABS(Tab.o1[[#This Row],[DIF_Target.]]*Tab.o1[[#This Row],[W1_PDF]]))),"")</f>
        <v/>
      </c>
      <c r="AC862" s="127" t="str">
        <f>IF(G$1=1,"",IF(Tab.o1[[#This Row],[a1]]=1,Tab.o1[[#This Row],[Wr]]^2,""))</f>
        <v/>
      </c>
      <c r="AD862" s="118" t="str">
        <f>IF(Tab.o1[[#This Row],[a1]]=1,IF(AE$3=0,"",Tab.o1[[#This Row],[Wr2]]/SUM(Tab.o1[Wr2])),"")</f>
        <v/>
      </c>
      <c r="AE862" s="128" t="str">
        <f>IF(Tab.o1[[#This Row],[a1]]=1,[1]!T.in.A[[#This Row],[oo10]],"")</f>
        <v/>
      </c>
      <c r="AF862" s="118" t="str">
        <f>IF(Tab.o1[[#This Row],[a1]]=1,ABS(Tab.o1[[#This Row],[DIF_Target.]]*Tab.o1[[#This Row],[PDF2]]*Tab.o1[[#This Row],[IN]]),"")</f>
        <v/>
      </c>
      <c r="AG862" s="129" t="str">
        <f>IF(Tab.o1[[#This Row],[a1]]=1,Tab.o1[[#This Row],[rW]]^2,"")</f>
        <v/>
      </c>
      <c r="AH862" s="130" t="str">
        <f>IF(Tab.o1[[#This Row],[a1]]=1,IF(AH$3=0,Tab.o1[[#This Row],[rW2]],0.01+0.94*Tab.o1[[#This Row],[rW2]]/SUM(Tab.o1[rW2])),"")</f>
        <v/>
      </c>
      <c r="AI862" s="128" t="str">
        <f>IF(Tab.o1[[#This Row],[a1]]=1,1/Tab.o1[[#This Row],[PDF]],"")</f>
        <v/>
      </c>
      <c r="AJ862" s="131" t="str">
        <f>IF(Tab.o1[[#This Row],[a1]]=1,[1]!T_AA[[#This Row],[IN'']]*[1]!T_AA[[#This Row],[Qde'']],"")</f>
        <v/>
      </c>
      <c r="AK862" s="132" t="str">
        <f>IF(Tab.o1[[#This Row],[a1]]=1,IF(AK$1=1,Tab.o1[[#This Row],[MED]]+Tab.o1[[#This Row],[MOD]]-Tab.o1[[#This Row],[MED]],""),"")</f>
        <v/>
      </c>
      <c r="AL862" s="133" t="str">
        <f>IF(Tab.o1[[#This Row],[a1]]=1,[1]!T.in.A[[#This Row],[oo16]],"")</f>
        <v/>
      </c>
      <c r="AM862" s="133" t="str">
        <f>IF(Tab.o1[[#This Row],[a1]]=1,IF(AM$3=1,[1]!T.in.A[[#This Row],[Σo16]],""),"")</f>
        <v/>
      </c>
      <c r="AN862" s="126" t="str">
        <f>IF(Tab.o1[[#This Row],[a1]]=1,[1]!T.in.A[[#This Row],[Σp5]],"")</f>
        <v/>
      </c>
      <c r="AO862" s="126" t="str">
        <f>IF(Tab.o1[[#This Row],[a1]]=1,IF(AO$3=1,[1]!T.in.A[[#This Row],[Σp5]],""),"")</f>
        <v/>
      </c>
      <c r="AP862" s="110" t="str">
        <f>IF(Tab.o1[[#This Row],[a1]]=1,IF(ISNUMBER(Tab.o1[[#This Row],[i.]]),NORMDIST(Tab.o1[[#This Row],[Za]],0,1,FALSE)*Tab.o1[[#This Row],[i.]],0),"")</f>
        <v/>
      </c>
      <c r="AQ862" s="125" t="str">
        <f>IF(Tab.o1[[#This Row],[a1]]=1,ABS(Tab.o1[[#This Row],[MOD]]-AVERAGE(Tab.o1[MOD])),"")</f>
        <v/>
      </c>
      <c r="AR862" s="134" t="str">
        <f>IF(Tab.o1[[#This Row],[a1]]=1,Tab.o1[[#This Row],[OBS]]/SUM(Tab.o1[OBS]),"")</f>
        <v/>
      </c>
      <c r="AS862" s="135" t="str">
        <f>IF(ISNUMBER(Tab.o1[[#This Row],[a1]]),ROW()-4,"")</f>
        <v/>
      </c>
      <c r="AT862" s="136" t="str">
        <f>Tab.o1[[#This Row],[MOD]]</f>
        <v/>
      </c>
      <c r="AU862" s="137" t="str">
        <f t="shared" si="53"/>
        <v/>
      </c>
      <c r="AV862" s="138" t="str">
        <f t="shared" si="54"/>
        <v/>
      </c>
      <c r="AW862" s="138" t="str">
        <f t="shared" si="55"/>
        <v/>
      </c>
      <c r="AX862" s="139" t="str">
        <f>[1]!T.in.A[[#This Row],[ID_T_manu]]</f>
        <v/>
      </c>
      <c r="AY862" s="140" t="str">
        <f>IF(ISNUMBER(Tab.o1[[#This Row],[a1]]),IF(AND(Tab.o1[[#This Row],[a1]]=1,Tab.o1[[#This Row],[b1]]&lt;=AY$4),#REF!,AY861),"")</f>
        <v/>
      </c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6"/>
      <c r="BO862" s="26"/>
      <c r="BP862" s="26"/>
      <c r="BQ862" s="26"/>
      <c r="BR862" s="26"/>
      <c r="BS862" s="26"/>
      <c r="BT862" s="26"/>
      <c r="BU862" s="26"/>
      <c r="BV862" s="26"/>
      <c r="BW862" s="26"/>
      <c r="BX862" s="26"/>
      <c r="BY862" s="26"/>
      <c r="BZ862" s="26"/>
      <c r="CA862" s="26"/>
    </row>
    <row r="863" spans="1:79" s="143" customFormat="1" ht="15.75" hidden="1">
      <c r="A863" s="109">
        <v>9.0000000000000002E-6</v>
      </c>
      <c r="B863" s="110">
        <f t="shared" si="52"/>
        <v>863</v>
      </c>
      <c r="C863" s="111" t="str">
        <f>IF(C$1=[1]!T.in.A[[#This Row],[oo2]],1,"")</f>
        <v/>
      </c>
      <c r="D863" s="112" t="str">
        <f>IF(Tab.o1[[#This Row],[a1]]=1,IF(SUM(C863:C864)=0,0,IF(SUM(C862:C863)=1,1,IF(SUM(C862:C864)&gt;1,D862+1,0))),"")</f>
        <v/>
      </c>
      <c r="E863" s="113" t="str">
        <f>IF(Tab.o1[[#This Row],[a1]]=1,[1]!T.in.A[[#This Row],[oo1]],"")</f>
        <v/>
      </c>
      <c r="F863" s="113" t="str">
        <f>IF(Tab.o1[[#This Row],[a1]]=1,[1]!T.in.A[[#This Row],[pp1]],"")</f>
        <v/>
      </c>
      <c r="G863" s="114" t="str">
        <f>IF(Tab.o1[[#This Row],[a1]]=1,G$2+IF(G$1=1,0,Tab.o1[[#This Row],[.x1]])+[1]!T.in.A[[#This Row],[oo3]],"")</f>
        <v/>
      </c>
      <c r="H863" s="115" t="str">
        <f>IF(Tab.o1[[#This Row],[a1]]=1,IF(H$2=0,0,IF(G$1=1,0,Tab.o1[[#This Row],[.x1]])+[1]!T.in.A[[#This Row],[oo4]]),"")</f>
        <v/>
      </c>
      <c r="I863" s="116" t="str">
        <f>IF(Tab.o1[[#This Row],[a1]]=1,IF(J$2=0,Tab.o1[[#This Row],[MED]],Tab.o1[[#This Row],[MOD]]),"")</f>
        <v/>
      </c>
      <c r="J863" s="116" t="str">
        <f>IF(Tab.o1[[#This Row],[a1]]=1,((Tab.o1[[#This Row],[DIF_Target.]]-AVERAGE(Tab.o1[DIF_Target.]))/_xlfn.STDEV.P(Tab.o1[DIF_Target.])),"")</f>
        <v/>
      </c>
      <c r="K863" s="117" t="str">
        <f>IF(Tab.o1[[#This Row],[a1]]=1,IF(J$2=0,Tab.o1[[#This Row],[MOD]]-Tab.o1[[#This Row],[B]],IF(J$2=1,0,-Tab.o1[[#This Row],[MED]])+Tab.o1[[#This Row],[B]]),"")</f>
        <v/>
      </c>
      <c r="L863" s="117" t="str">
        <f ca="1">IF(Tab.o1[[#This Row],[DIF_Target]]=0,IF(L$2=0,Tab.o1[[#This Row],[DIF_Target]],AVERAGE(OFFSET(Tab.o1[[#This Row],[DIF_Target]],1,0,L$3,1)))/3,Tab.o1[[#This Row],[DIF_Target]])</f>
        <v/>
      </c>
      <c r="M863" s="118" t="str">
        <f>IF(Tab.o1[[#This Row],[a1]]=1,NORMSDIST(Tab.o1[[#This Row],[Za]]),"")</f>
        <v/>
      </c>
      <c r="N863" s="119" t="str">
        <f>IF(Tab.o1[[#This Row],[a1]]=1,((Tab.o1[[#This Row],[MedMod]]-AVERAGE(Tab.o1[MedMod]))/_xlfn.STDEV.P(Tab.o1[MedMod])*H$1205)+G$1205,"")</f>
        <v/>
      </c>
      <c r="O863" s="141" t="str">
        <f>IF(Tab.o1[[#This Row],[a1]]=1,Tab.o1[[#This Row],[Zb]]*_xlfn.STDEV.P(Tab.o1[MedMod])+AVERAGE(Tab.o1[MedMod]),"")</f>
        <v/>
      </c>
      <c r="P863" s="117" t="str">
        <f ca="1">IF(Tab.o1[[#This Row],[B]]=0,AVERAGE(OFFSET(Tab.o1[[#This Row],[B]],1,0,L$3,1)),Tab.o1[[#This Row],[B]])</f>
        <v/>
      </c>
      <c r="Q863" s="121" t="str">
        <f>IF(Tab.o1[[#This Row],[a1]]=1,NORMSDIST(Tab.o1[[#This Row],[Zb]]),"")</f>
        <v/>
      </c>
      <c r="R863" s="122" t="str">
        <f>IF(Tab.o1[[#This Row],[a1]]=1,((Tab.o1[[#This Row],[MedMod]]-AVERAGE(Tab.o1[MedMod]))/_xlfn.STDEV.P(Tab.o1[MedMod])*H$1203)+G$1203,"")</f>
        <v/>
      </c>
      <c r="S863" s="122" t="str">
        <f>IF(Tab.o1[[#This Row],[a1]]=1,((Tab.o1[[#This Row],[MedMod]]-AVERAGE(Tab.o1[MedMod]))/_xlfn.STDEV.P(Tab.o1[MedMod])*H$1204)+G$1204,"")</f>
        <v/>
      </c>
      <c r="T863" s="123" t="str">
        <f>IF(Tab.o1[[#This Row],[a1]]=1,Tab.o1[[#This Row],[Z-]]*_xlfn.STDEV.P(Tab.o1[B])+AVERAGE(Tab.o1[B]),"")</f>
        <v/>
      </c>
      <c r="U863" s="123" t="str">
        <f>IF(Tab.o1[[#This Row],[a1]]=1,Tab.o1[[#This Row],[z+]]*_xlfn.STDEV.P(Tab.o1[B])+AVERAGE(Tab.o1[B]),"")</f>
        <v/>
      </c>
      <c r="V863" s="124" t="str">
        <f>IF(Tab.o1[[#This Row],[a1]]=1,ABS((ABS(Tab.o1[[#This Row],[Red]]-Tab.o1[[#This Row],[Blue]]))),"")</f>
        <v/>
      </c>
      <c r="W863" s="125" t="str">
        <f>IF(Tab.o1[[#This Row],[a1]]=1,IF(W$3=0,1,Tab.o1[[#This Row],[Amp.]]*1/_xlfn.MINIFS(Tab.o1[Amp.],Tab.o1[Amp.],"&lt;&gt;0")),"")</f>
        <v/>
      </c>
      <c r="X863" s="126" t="str">
        <f>IF(Tab.o1[[#This Row],[a1]]=1,IF(ISNUMBER(Tab.o1[[#This Row],[i.]]),NORMDIST(Tab.o1[[#This Row],[Za]],0,1,FALSE)*Tab.o1[[#This Row],[i.]],AP$3),"")</f>
        <v/>
      </c>
      <c r="Y863" s="126" t="str">
        <f>IF(Tab.o1[[#This Row],[a1]]=1,0.01+0.94*Tab.o1[[#This Row],[PDF]]/MAX(Tab.o1[PDF]),"")</f>
        <v/>
      </c>
      <c r="Z863" s="126" t="str">
        <f>IF(Tab.o1[[#This Row],[a1]]=1,0.01+0.94*Tab.o1[[#This Row],[W1_PDF]]/MAX(Tab.o1[W1_PDF]),"")</f>
        <v/>
      </c>
      <c r="AA863" s="118" t="str">
        <f>IF(Tab.o1[[#This Row],[a1]]=1,ABS([1]!T.in.A[[#This Row],[oo6]]),"")</f>
        <v/>
      </c>
      <c r="AB863" s="127" t="str">
        <f>IF(Tab.o1[[#This Row],[a1]]=1,IF(AE$3=0,"",IF(AB$3=0,ABS([1]!T.in.A[[#This Row],[oo9]]),ABS(Tab.o1[[#This Row],[DIF_Target.]]*Tab.o1[[#This Row],[W1_PDF]]))),"")</f>
        <v/>
      </c>
      <c r="AC863" s="127" t="str">
        <f>IF(G$1=1,"",IF(Tab.o1[[#This Row],[a1]]=1,Tab.o1[[#This Row],[Wr]]^2,""))</f>
        <v/>
      </c>
      <c r="AD863" s="118" t="str">
        <f>IF(Tab.o1[[#This Row],[a1]]=1,IF(AE$3=0,"",Tab.o1[[#This Row],[Wr2]]/SUM(Tab.o1[Wr2])),"")</f>
        <v/>
      </c>
      <c r="AE863" s="128" t="str">
        <f>IF(Tab.o1[[#This Row],[a1]]=1,[1]!T.in.A[[#This Row],[oo10]],"")</f>
        <v/>
      </c>
      <c r="AF863" s="118" t="str">
        <f>IF(Tab.o1[[#This Row],[a1]]=1,ABS(Tab.o1[[#This Row],[DIF_Target.]]*Tab.o1[[#This Row],[PDF2]]*Tab.o1[[#This Row],[IN]]),"")</f>
        <v/>
      </c>
      <c r="AG863" s="129" t="str">
        <f>IF(Tab.o1[[#This Row],[a1]]=1,Tab.o1[[#This Row],[rW]]^2,"")</f>
        <v/>
      </c>
      <c r="AH863" s="130" t="str">
        <f>IF(Tab.o1[[#This Row],[a1]]=1,IF(AH$3=0,Tab.o1[[#This Row],[rW2]],0.01+0.94*Tab.o1[[#This Row],[rW2]]/SUM(Tab.o1[rW2])),"")</f>
        <v/>
      </c>
      <c r="AI863" s="128" t="str">
        <f>IF(Tab.o1[[#This Row],[a1]]=1,1/Tab.o1[[#This Row],[PDF]],"")</f>
        <v/>
      </c>
      <c r="AJ863" s="131" t="str">
        <f>IF(Tab.o1[[#This Row],[a1]]=1,[1]!T_AA[[#This Row],[IN'']]*[1]!T_AA[[#This Row],[Qde'']],"")</f>
        <v/>
      </c>
      <c r="AK863" s="132" t="str">
        <f>IF(Tab.o1[[#This Row],[a1]]=1,IF(AK$1=1,Tab.o1[[#This Row],[MED]]+Tab.o1[[#This Row],[MOD]]-Tab.o1[[#This Row],[MED]],""),"")</f>
        <v/>
      </c>
      <c r="AL863" s="133" t="str">
        <f>IF(Tab.o1[[#This Row],[a1]]=1,[1]!T.in.A[[#This Row],[oo16]],"")</f>
        <v/>
      </c>
      <c r="AM863" s="133" t="str">
        <f>IF(Tab.o1[[#This Row],[a1]]=1,IF(AM$3=1,[1]!T.in.A[[#This Row],[Σo16]],""),"")</f>
        <v/>
      </c>
      <c r="AN863" s="126" t="str">
        <f>IF(Tab.o1[[#This Row],[a1]]=1,[1]!T.in.A[[#This Row],[Σp5]],"")</f>
        <v/>
      </c>
      <c r="AO863" s="126" t="str">
        <f>IF(Tab.o1[[#This Row],[a1]]=1,IF(AO$3=1,[1]!T.in.A[[#This Row],[Σp5]],""),"")</f>
        <v/>
      </c>
      <c r="AP863" s="110" t="str">
        <f>IF(Tab.o1[[#This Row],[a1]]=1,IF(ISNUMBER(Tab.o1[[#This Row],[i.]]),NORMDIST(Tab.o1[[#This Row],[Za]],0,1,FALSE)*Tab.o1[[#This Row],[i.]],0),"")</f>
        <v/>
      </c>
      <c r="AQ863" s="125" t="str">
        <f>IF(Tab.o1[[#This Row],[a1]]=1,ABS(Tab.o1[[#This Row],[MOD]]-AVERAGE(Tab.o1[MOD])),"")</f>
        <v/>
      </c>
      <c r="AR863" s="134" t="str">
        <f>IF(Tab.o1[[#This Row],[a1]]=1,Tab.o1[[#This Row],[OBS]]/SUM(Tab.o1[OBS]),"")</f>
        <v/>
      </c>
      <c r="AS863" s="135" t="str">
        <f>IF(ISNUMBER(Tab.o1[[#This Row],[a1]]),ROW()-4,"")</f>
        <v/>
      </c>
      <c r="AT863" s="136" t="str">
        <f>Tab.o1[[#This Row],[MOD]]</f>
        <v/>
      </c>
      <c r="AU863" s="137" t="str">
        <f t="shared" si="53"/>
        <v/>
      </c>
      <c r="AV863" s="138" t="str">
        <f t="shared" si="54"/>
        <v/>
      </c>
      <c r="AW863" s="138" t="str">
        <f t="shared" si="55"/>
        <v/>
      </c>
      <c r="AX863" s="139" t="str">
        <f>[1]!T.in.A[[#This Row],[ID_T_manu]]</f>
        <v/>
      </c>
      <c r="AY863" s="140" t="str">
        <f>IF(ISNUMBER(Tab.o1[[#This Row],[a1]]),IF(AND(Tab.o1[[#This Row],[a1]]=1,Tab.o1[[#This Row],[b1]]&lt;=AY$4),#REF!,AY862),"")</f>
        <v/>
      </c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6"/>
      <c r="BO863" s="26"/>
      <c r="BP863" s="26"/>
      <c r="BQ863" s="26"/>
      <c r="BR863" s="26"/>
      <c r="BS863" s="26"/>
      <c r="BT863" s="26"/>
      <c r="BU863" s="26"/>
      <c r="BV863" s="26"/>
      <c r="BW863" s="26"/>
      <c r="BX863" s="26"/>
      <c r="BY863" s="26"/>
      <c r="BZ863" s="26"/>
      <c r="CA863" s="26"/>
    </row>
    <row r="864" spans="1:79" s="143" customFormat="1" ht="15.75" hidden="1">
      <c r="A864" s="109">
        <v>-6.9999999999999999E-6</v>
      </c>
      <c r="B864" s="110">
        <f t="shared" si="52"/>
        <v>864</v>
      </c>
      <c r="C864" s="111" t="str">
        <f>IF(C$1=[1]!T.in.A[[#This Row],[oo2]],1,"")</f>
        <v/>
      </c>
      <c r="D864" s="112" t="str">
        <f>IF(Tab.o1[[#This Row],[a1]]=1,IF(SUM(C864:C865)=0,0,IF(SUM(C863:C864)=1,1,IF(SUM(C863:C865)&gt;1,D863+1,0))),"")</f>
        <v/>
      </c>
      <c r="E864" s="113" t="str">
        <f>IF(Tab.o1[[#This Row],[a1]]=1,[1]!T.in.A[[#This Row],[oo1]],"")</f>
        <v/>
      </c>
      <c r="F864" s="113" t="str">
        <f>IF(Tab.o1[[#This Row],[a1]]=1,[1]!T.in.A[[#This Row],[pp1]],"")</f>
        <v/>
      </c>
      <c r="G864" s="114" t="str">
        <f>IF(Tab.o1[[#This Row],[a1]]=1,G$2+IF(G$1=1,0,Tab.o1[[#This Row],[.x1]])+[1]!T.in.A[[#This Row],[oo3]],"")</f>
        <v/>
      </c>
      <c r="H864" s="115" t="str">
        <f>IF(Tab.o1[[#This Row],[a1]]=1,IF(H$2=0,0,IF(G$1=1,0,Tab.o1[[#This Row],[.x1]])+[1]!T.in.A[[#This Row],[oo4]]),"")</f>
        <v/>
      </c>
      <c r="I864" s="116" t="str">
        <f>IF(Tab.o1[[#This Row],[a1]]=1,IF(J$2=0,Tab.o1[[#This Row],[MED]],Tab.o1[[#This Row],[MOD]]),"")</f>
        <v/>
      </c>
      <c r="J864" s="116" t="str">
        <f>IF(Tab.o1[[#This Row],[a1]]=1,((Tab.o1[[#This Row],[DIF_Target.]]-AVERAGE(Tab.o1[DIF_Target.]))/_xlfn.STDEV.P(Tab.o1[DIF_Target.])),"")</f>
        <v/>
      </c>
      <c r="K864" s="117" t="str">
        <f>IF(Tab.o1[[#This Row],[a1]]=1,IF(J$2=0,Tab.o1[[#This Row],[MOD]]-Tab.o1[[#This Row],[B]],IF(J$2=1,0,-Tab.o1[[#This Row],[MED]])+Tab.o1[[#This Row],[B]]),"")</f>
        <v/>
      </c>
      <c r="L864" s="117" t="str">
        <f ca="1">IF(Tab.o1[[#This Row],[DIF_Target]]=0,IF(L$2=0,Tab.o1[[#This Row],[DIF_Target]],AVERAGE(OFFSET(Tab.o1[[#This Row],[DIF_Target]],1,0,L$3,1)))/3,Tab.o1[[#This Row],[DIF_Target]])</f>
        <v/>
      </c>
      <c r="M864" s="118" t="str">
        <f>IF(Tab.o1[[#This Row],[a1]]=1,NORMSDIST(Tab.o1[[#This Row],[Za]]),"")</f>
        <v/>
      </c>
      <c r="N864" s="119" t="str">
        <f>IF(Tab.o1[[#This Row],[a1]]=1,((Tab.o1[[#This Row],[MedMod]]-AVERAGE(Tab.o1[MedMod]))/_xlfn.STDEV.P(Tab.o1[MedMod])*H$1205)+G$1205,"")</f>
        <v/>
      </c>
      <c r="O864" s="141" t="str">
        <f>IF(Tab.o1[[#This Row],[a1]]=1,Tab.o1[[#This Row],[Zb]]*_xlfn.STDEV.P(Tab.o1[MedMod])+AVERAGE(Tab.o1[MedMod]),"")</f>
        <v/>
      </c>
      <c r="P864" s="117" t="str">
        <f ca="1">IF(Tab.o1[[#This Row],[B]]=0,AVERAGE(OFFSET(Tab.o1[[#This Row],[B]],1,0,L$3,1)),Tab.o1[[#This Row],[B]])</f>
        <v/>
      </c>
      <c r="Q864" s="121" t="str">
        <f>IF(Tab.o1[[#This Row],[a1]]=1,NORMSDIST(Tab.o1[[#This Row],[Zb]]),"")</f>
        <v/>
      </c>
      <c r="R864" s="122" t="str">
        <f>IF(Tab.o1[[#This Row],[a1]]=1,((Tab.o1[[#This Row],[MedMod]]-AVERAGE(Tab.o1[MedMod]))/_xlfn.STDEV.P(Tab.o1[MedMod])*H$1203)+G$1203,"")</f>
        <v/>
      </c>
      <c r="S864" s="122" t="str">
        <f>IF(Tab.o1[[#This Row],[a1]]=1,((Tab.o1[[#This Row],[MedMod]]-AVERAGE(Tab.o1[MedMod]))/_xlfn.STDEV.P(Tab.o1[MedMod])*H$1204)+G$1204,"")</f>
        <v/>
      </c>
      <c r="T864" s="123" t="str">
        <f>IF(Tab.o1[[#This Row],[a1]]=1,Tab.o1[[#This Row],[Z-]]*_xlfn.STDEV.P(Tab.o1[B])+AVERAGE(Tab.o1[B]),"")</f>
        <v/>
      </c>
      <c r="U864" s="123" t="str">
        <f>IF(Tab.o1[[#This Row],[a1]]=1,Tab.o1[[#This Row],[z+]]*_xlfn.STDEV.P(Tab.o1[B])+AVERAGE(Tab.o1[B]),"")</f>
        <v/>
      </c>
      <c r="V864" s="124" t="str">
        <f>IF(Tab.o1[[#This Row],[a1]]=1,ABS((ABS(Tab.o1[[#This Row],[Red]]-Tab.o1[[#This Row],[Blue]]))),"")</f>
        <v/>
      </c>
      <c r="W864" s="125" t="str">
        <f>IF(Tab.o1[[#This Row],[a1]]=1,IF(W$3=0,1,Tab.o1[[#This Row],[Amp.]]*1/_xlfn.MINIFS(Tab.o1[Amp.],Tab.o1[Amp.],"&lt;&gt;0")),"")</f>
        <v/>
      </c>
      <c r="X864" s="126" t="str">
        <f>IF(Tab.o1[[#This Row],[a1]]=1,IF(ISNUMBER(Tab.o1[[#This Row],[i.]]),NORMDIST(Tab.o1[[#This Row],[Za]],0,1,FALSE)*Tab.o1[[#This Row],[i.]],AP$3),"")</f>
        <v/>
      </c>
      <c r="Y864" s="126" t="str">
        <f>IF(Tab.o1[[#This Row],[a1]]=1,0.01+0.94*Tab.o1[[#This Row],[PDF]]/MAX(Tab.o1[PDF]),"")</f>
        <v/>
      </c>
      <c r="Z864" s="126" t="str">
        <f>IF(Tab.o1[[#This Row],[a1]]=1,0.01+0.94*Tab.o1[[#This Row],[W1_PDF]]/MAX(Tab.o1[W1_PDF]),"")</f>
        <v/>
      </c>
      <c r="AA864" s="118" t="str">
        <f>IF(Tab.o1[[#This Row],[a1]]=1,ABS([1]!T.in.A[[#This Row],[oo6]]),"")</f>
        <v/>
      </c>
      <c r="AB864" s="127" t="str">
        <f>IF(Tab.o1[[#This Row],[a1]]=1,IF(AE$3=0,"",IF(AB$3=0,ABS([1]!T.in.A[[#This Row],[oo9]]),ABS(Tab.o1[[#This Row],[DIF_Target.]]*Tab.o1[[#This Row],[W1_PDF]]))),"")</f>
        <v/>
      </c>
      <c r="AC864" s="127" t="str">
        <f>IF(G$1=1,"",IF(Tab.o1[[#This Row],[a1]]=1,Tab.o1[[#This Row],[Wr]]^2,""))</f>
        <v/>
      </c>
      <c r="AD864" s="118" t="str">
        <f>IF(Tab.o1[[#This Row],[a1]]=1,IF(AE$3=0,"",Tab.o1[[#This Row],[Wr2]]/SUM(Tab.o1[Wr2])),"")</f>
        <v/>
      </c>
      <c r="AE864" s="128" t="str">
        <f>IF(Tab.o1[[#This Row],[a1]]=1,[1]!T.in.A[[#This Row],[oo10]],"")</f>
        <v/>
      </c>
      <c r="AF864" s="118" t="str">
        <f>IF(Tab.o1[[#This Row],[a1]]=1,ABS(Tab.o1[[#This Row],[DIF_Target.]]*Tab.o1[[#This Row],[PDF2]]*Tab.o1[[#This Row],[IN]]),"")</f>
        <v/>
      </c>
      <c r="AG864" s="129" t="str">
        <f>IF(Tab.o1[[#This Row],[a1]]=1,Tab.o1[[#This Row],[rW]]^2,"")</f>
        <v/>
      </c>
      <c r="AH864" s="130" t="str">
        <f>IF(Tab.o1[[#This Row],[a1]]=1,IF(AH$3=0,Tab.o1[[#This Row],[rW2]],0.01+0.94*Tab.o1[[#This Row],[rW2]]/SUM(Tab.o1[rW2])),"")</f>
        <v/>
      </c>
      <c r="AI864" s="128" t="str">
        <f>IF(Tab.o1[[#This Row],[a1]]=1,1/Tab.o1[[#This Row],[PDF]],"")</f>
        <v/>
      </c>
      <c r="AJ864" s="131" t="str">
        <f>IF(Tab.o1[[#This Row],[a1]]=1,[1]!T_AA[[#This Row],[IN'']]*[1]!T_AA[[#This Row],[Qde'']],"")</f>
        <v/>
      </c>
      <c r="AK864" s="132" t="str">
        <f>IF(Tab.o1[[#This Row],[a1]]=1,IF(AK$1=1,Tab.o1[[#This Row],[MED]]+Tab.o1[[#This Row],[MOD]]-Tab.o1[[#This Row],[MED]],""),"")</f>
        <v/>
      </c>
      <c r="AL864" s="133" t="str">
        <f>IF(Tab.o1[[#This Row],[a1]]=1,[1]!T.in.A[[#This Row],[oo16]],"")</f>
        <v/>
      </c>
      <c r="AM864" s="133" t="str">
        <f>IF(Tab.o1[[#This Row],[a1]]=1,IF(AM$3=1,[1]!T.in.A[[#This Row],[Σo16]],""),"")</f>
        <v/>
      </c>
      <c r="AN864" s="126" t="str">
        <f>IF(Tab.o1[[#This Row],[a1]]=1,[1]!T.in.A[[#This Row],[Σp5]],"")</f>
        <v/>
      </c>
      <c r="AO864" s="126" t="str">
        <f>IF(Tab.o1[[#This Row],[a1]]=1,IF(AO$3=1,[1]!T.in.A[[#This Row],[Σp5]],""),"")</f>
        <v/>
      </c>
      <c r="AP864" s="110" t="str">
        <f>IF(Tab.o1[[#This Row],[a1]]=1,IF(ISNUMBER(Tab.o1[[#This Row],[i.]]),NORMDIST(Tab.o1[[#This Row],[Za]],0,1,FALSE)*Tab.o1[[#This Row],[i.]],0),"")</f>
        <v/>
      </c>
      <c r="AQ864" s="125" t="str">
        <f>IF(Tab.o1[[#This Row],[a1]]=1,ABS(Tab.o1[[#This Row],[MOD]]-AVERAGE(Tab.o1[MOD])),"")</f>
        <v/>
      </c>
      <c r="AR864" s="134" t="str">
        <f>IF(Tab.o1[[#This Row],[a1]]=1,Tab.o1[[#This Row],[OBS]]/SUM(Tab.o1[OBS]),"")</f>
        <v/>
      </c>
      <c r="AS864" s="135" t="str">
        <f>IF(ISNUMBER(Tab.o1[[#This Row],[a1]]),ROW()-4,"")</f>
        <v/>
      </c>
      <c r="AT864" s="136" t="str">
        <f>Tab.o1[[#This Row],[MOD]]</f>
        <v/>
      </c>
      <c r="AU864" s="137" t="str">
        <f t="shared" si="53"/>
        <v/>
      </c>
      <c r="AV864" s="138" t="str">
        <f t="shared" si="54"/>
        <v/>
      </c>
      <c r="AW864" s="138" t="str">
        <f t="shared" si="55"/>
        <v/>
      </c>
      <c r="AX864" s="139" t="str">
        <f>[1]!T.in.A[[#This Row],[ID_T_manu]]</f>
        <v/>
      </c>
      <c r="AY864" s="140" t="str">
        <f>IF(ISNUMBER(Tab.o1[[#This Row],[a1]]),IF(AND(Tab.o1[[#This Row],[a1]]=1,Tab.o1[[#This Row],[b1]]&lt;=AY$4),#REF!,AY863),"")</f>
        <v/>
      </c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6"/>
      <c r="BO864" s="26"/>
      <c r="BP864" s="26"/>
      <c r="BQ864" s="26"/>
      <c r="BR864" s="26"/>
      <c r="BS864" s="26"/>
      <c r="BT864" s="26"/>
      <c r="BU864" s="26"/>
      <c r="BV864" s="26"/>
      <c r="BW864" s="26"/>
      <c r="BX864" s="26"/>
      <c r="BY864" s="26"/>
      <c r="BZ864" s="26"/>
      <c r="CA864" s="26"/>
    </row>
    <row r="865" spans="1:79" s="143" customFormat="1" ht="15.75" hidden="1">
      <c r="A865" s="109">
        <v>6.9999999999999999E-6</v>
      </c>
      <c r="B865" s="110">
        <f t="shared" si="52"/>
        <v>865</v>
      </c>
      <c r="C865" s="111" t="str">
        <f>IF(C$1=[1]!T.in.A[[#This Row],[oo2]],1,"")</f>
        <v/>
      </c>
      <c r="D865" s="112" t="str">
        <f>IF(Tab.o1[[#This Row],[a1]]=1,IF(SUM(C865:C866)=0,0,IF(SUM(C864:C865)=1,1,IF(SUM(C864:C866)&gt;1,D864+1,0))),"")</f>
        <v/>
      </c>
      <c r="E865" s="113" t="str">
        <f>IF(Tab.o1[[#This Row],[a1]]=1,[1]!T.in.A[[#This Row],[oo1]],"")</f>
        <v/>
      </c>
      <c r="F865" s="113" t="str">
        <f>IF(Tab.o1[[#This Row],[a1]]=1,[1]!T.in.A[[#This Row],[pp1]],"")</f>
        <v/>
      </c>
      <c r="G865" s="114" t="str">
        <f>IF(Tab.o1[[#This Row],[a1]]=1,G$2+IF(G$1=1,0,Tab.o1[[#This Row],[.x1]])+[1]!T.in.A[[#This Row],[oo3]],"")</f>
        <v/>
      </c>
      <c r="H865" s="115" t="str">
        <f>IF(Tab.o1[[#This Row],[a1]]=1,IF(H$2=0,0,IF(G$1=1,0,Tab.o1[[#This Row],[.x1]])+[1]!T.in.A[[#This Row],[oo4]]),"")</f>
        <v/>
      </c>
      <c r="I865" s="116" t="str">
        <f>IF(Tab.o1[[#This Row],[a1]]=1,IF(J$2=0,Tab.o1[[#This Row],[MED]],Tab.o1[[#This Row],[MOD]]),"")</f>
        <v/>
      </c>
      <c r="J865" s="116" t="str">
        <f>IF(Tab.o1[[#This Row],[a1]]=1,((Tab.o1[[#This Row],[DIF_Target.]]-AVERAGE(Tab.o1[DIF_Target.]))/_xlfn.STDEV.P(Tab.o1[DIF_Target.])),"")</f>
        <v/>
      </c>
      <c r="K865" s="117" t="str">
        <f>IF(Tab.o1[[#This Row],[a1]]=1,IF(J$2=0,Tab.o1[[#This Row],[MOD]]-Tab.o1[[#This Row],[B]],IF(J$2=1,0,-Tab.o1[[#This Row],[MED]])+Tab.o1[[#This Row],[B]]),"")</f>
        <v/>
      </c>
      <c r="L865" s="117" t="str">
        <f ca="1">IF(Tab.o1[[#This Row],[DIF_Target]]=0,IF(L$2=0,Tab.o1[[#This Row],[DIF_Target]],AVERAGE(OFFSET(Tab.o1[[#This Row],[DIF_Target]],1,0,L$3,1)))/3,Tab.o1[[#This Row],[DIF_Target]])</f>
        <v/>
      </c>
      <c r="M865" s="118" t="str">
        <f>IF(Tab.o1[[#This Row],[a1]]=1,NORMSDIST(Tab.o1[[#This Row],[Za]]),"")</f>
        <v/>
      </c>
      <c r="N865" s="119" t="str">
        <f>IF(Tab.o1[[#This Row],[a1]]=1,((Tab.o1[[#This Row],[MedMod]]-AVERAGE(Tab.o1[MedMod]))/_xlfn.STDEV.P(Tab.o1[MedMod])*H$1205)+G$1205,"")</f>
        <v/>
      </c>
      <c r="O865" s="141" t="str">
        <f>IF(Tab.o1[[#This Row],[a1]]=1,Tab.o1[[#This Row],[Zb]]*_xlfn.STDEV.P(Tab.o1[MedMod])+AVERAGE(Tab.o1[MedMod]),"")</f>
        <v/>
      </c>
      <c r="P865" s="117" t="str">
        <f ca="1">IF(Tab.o1[[#This Row],[B]]=0,AVERAGE(OFFSET(Tab.o1[[#This Row],[B]],1,0,L$3,1)),Tab.o1[[#This Row],[B]])</f>
        <v/>
      </c>
      <c r="Q865" s="121" t="str">
        <f>IF(Tab.o1[[#This Row],[a1]]=1,NORMSDIST(Tab.o1[[#This Row],[Zb]]),"")</f>
        <v/>
      </c>
      <c r="R865" s="122" t="str">
        <f>IF(Tab.o1[[#This Row],[a1]]=1,((Tab.o1[[#This Row],[MedMod]]-AVERAGE(Tab.o1[MedMod]))/_xlfn.STDEV.P(Tab.o1[MedMod])*H$1203)+G$1203,"")</f>
        <v/>
      </c>
      <c r="S865" s="122" t="str">
        <f>IF(Tab.o1[[#This Row],[a1]]=1,((Tab.o1[[#This Row],[MedMod]]-AVERAGE(Tab.o1[MedMod]))/_xlfn.STDEV.P(Tab.o1[MedMod])*H$1204)+G$1204,"")</f>
        <v/>
      </c>
      <c r="T865" s="123" t="str">
        <f>IF(Tab.o1[[#This Row],[a1]]=1,Tab.o1[[#This Row],[Z-]]*_xlfn.STDEV.P(Tab.o1[B])+AVERAGE(Tab.o1[B]),"")</f>
        <v/>
      </c>
      <c r="U865" s="123" t="str">
        <f>IF(Tab.o1[[#This Row],[a1]]=1,Tab.o1[[#This Row],[z+]]*_xlfn.STDEV.P(Tab.o1[B])+AVERAGE(Tab.o1[B]),"")</f>
        <v/>
      </c>
      <c r="V865" s="124" t="str">
        <f>IF(Tab.o1[[#This Row],[a1]]=1,ABS((ABS(Tab.o1[[#This Row],[Red]]-Tab.o1[[#This Row],[Blue]]))),"")</f>
        <v/>
      </c>
      <c r="W865" s="125" t="str">
        <f>IF(Tab.o1[[#This Row],[a1]]=1,IF(W$3=0,1,Tab.o1[[#This Row],[Amp.]]*1/_xlfn.MINIFS(Tab.o1[Amp.],Tab.o1[Amp.],"&lt;&gt;0")),"")</f>
        <v/>
      </c>
      <c r="X865" s="126" t="str">
        <f>IF(Tab.o1[[#This Row],[a1]]=1,IF(ISNUMBER(Tab.o1[[#This Row],[i.]]),NORMDIST(Tab.o1[[#This Row],[Za]],0,1,FALSE)*Tab.o1[[#This Row],[i.]],AP$3),"")</f>
        <v/>
      </c>
      <c r="Y865" s="126" t="str">
        <f>IF(Tab.o1[[#This Row],[a1]]=1,0.01+0.94*Tab.o1[[#This Row],[PDF]]/MAX(Tab.o1[PDF]),"")</f>
        <v/>
      </c>
      <c r="Z865" s="126" t="str">
        <f>IF(Tab.o1[[#This Row],[a1]]=1,0.01+0.94*Tab.o1[[#This Row],[W1_PDF]]/MAX(Tab.o1[W1_PDF]),"")</f>
        <v/>
      </c>
      <c r="AA865" s="118" t="str">
        <f>IF(Tab.o1[[#This Row],[a1]]=1,ABS([1]!T.in.A[[#This Row],[oo6]]),"")</f>
        <v/>
      </c>
      <c r="AB865" s="127" t="str">
        <f>IF(Tab.o1[[#This Row],[a1]]=1,IF(AE$3=0,"",IF(AB$3=0,ABS([1]!T.in.A[[#This Row],[oo9]]),ABS(Tab.o1[[#This Row],[DIF_Target.]]*Tab.o1[[#This Row],[W1_PDF]]))),"")</f>
        <v/>
      </c>
      <c r="AC865" s="127" t="str">
        <f>IF(G$1=1,"",IF(Tab.o1[[#This Row],[a1]]=1,Tab.o1[[#This Row],[Wr]]^2,""))</f>
        <v/>
      </c>
      <c r="AD865" s="118" t="str">
        <f>IF(Tab.o1[[#This Row],[a1]]=1,IF(AE$3=0,"",Tab.o1[[#This Row],[Wr2]]/SUM(Tab.o1[Wr2])),"")</f>
        <v/>
      </c>
      <c r="AE865" s="128" t="str">
        <f>IF(Tab.o1[[#This Row],[a1]]=1,[1]!T.in.A[[#This Row],[oo10]],"")</f>
        <v/>
      </c>
      <c r="AF865" s="118" t="str">
        <f>IF(Tab.o1[[#This Row],[a1]]=1,ABS(Tab.o1[[#This Row],[DIF_Target.]]*Tab.o1[[#This Row],[PDF2]]*Tab.o1[[#This Row],[IN]]),"")</f>
        <v/>
      </c>
      <c r="AG865" s="129" t="str">
        <f>IF(Tab.o1[[#This Row],[a1]]=1,Tab.o1[[#This Row],[rW]]^2,"")</f>
        <v/>
      </c>
      <c r="AH865" s="130" t="str">
        <f>IF(Tab.o1[[#This Row],[a1]]=1,IF(AH$3=0,Tab.o1[[#This Row],[rW2]],0.01+0.94*Tab.o1[[#This Row],[rW2]]/SUM(Tab.o1[rW2])),"")</f>
        <v/>
      </c>
      <c r="AI865" s="128" t="str">
        <f>IF(Tab.o1[[#This Row],[a1]]=1,1/Tab.o1[[#This Row],[PDF]],"")</f>
        <v/>
      </c>
      <c r="AJ865" s="131" t="str">
        <f>IF(Tab.o1[[#This Row],[a1]]=1,[1]!T_AA[[#This Row],[IN'']]*[1]!T_AA[[#This Row],[Qde'']],"")</f>
        <v/>
      </c>
      <c r="AK865" s="132" t="str">
        <f>IF(Tab.o1[[#This Row],[a1]]=1,IF(AK$1=1,Tab.o1[[#This Row],[MED]]+Tab.o1[[#This Row],[MOD]]-Tab.o1[[#This Row],[MED]],""),"")</f>
        <v/>
      </c>
      <c r="AL865" s="133" t="str">
        <f>IF(Tab.o1[[#This Row],[a1]]=1,[1]!T.in.A[[#This Row],[oo16]],"")</f>
        <v/>
      </c>
      <c r="AM865" s="133" t="str">
        <f>IF(Tab.o1[[#This Row],[a1]]=1,IF(AM$3=1,[1]!T.in.A[[#This Row],[Σo16]],""),"")</f>
        <v/>
      </c>
      <c r="AN865" s="126" t="str">
        <f>IF(Tab.o1[[#This Row],[a1]]=1,[1]!T.in.A[[#This Row],[Σp5]],"")</f>
        <v/>
      </c>
      <c r="AO865" s="126" t="str">
        <f>IF(Tab.o1[[#This Row],[a1]]=1,IF(AO$3=1,[1]!T.in.A[[#This Row],[Σp5]],""),"")</f>
        <v/>
      </c>
      <c r="AP865" s="110" t="str">
        <f>IF(Tab.o1[[#This Row],[a1]]=1,IF(ISNUMBER(Tab.o1[[#This Row],[i.]]),NORMDIST(Tab.o1[[#This Row],[Za]],0,1,FALSE)*Tab.o1[[#This Row],[i.]],0),"")</f>
        <v/>
      </c>
      <c r="AQ865" s="125" t="str">
        <f>IF(Tab.o1[[#This Row],[a1]]=1,ABS(Tab.o1[[#This Row],[MOD]]-AVERAGE(Tab.o1[MOD])),"")</f>
        <v/>
      </c>
      <c r="AR865" s="134" t="str">
        <f>IF(Tab.o1[[#This Row],[a1]]=1,Tab.o1[[#This Row],[OBS]]/SUM(Tab.o1[OBS]),"")</f>
        <v/>
      </c>
      <c r="AS865" s="135" t="str">
        <f>IF(ISNUMBER(Tab.o1[[#This Row],[a1]]),ROW()-4,"")</f>
        <v/>
      </c>
      <c r="AT865" s="136" t="str">
        <f>Tab.o1[[#This Row],[MOD]]</f>
        <v/>
      </c>
      <c r="AU865" s="137" t="str">
        <f t="shared" si="53"/>
        <v/>
      </c>
      <c r="AV865" s="138" t="str">
        <f t="shared" si="54"/>
        <v/>
      </c>
      <c r="AW865" s="138" t="str">
        <f t="shared" si="55"/>
        <v/>
      </c>
      <c r="AX865" s="139" t="str">
        <f>[1]!T.in.A[[#This Row],[ID_T_manu]]</f>
        <v/>
      </c>
      <c r="AY865" s="140" t="str">
        <f>IF(ISNUMBER(Tab.o1[[#This Row],[a1]]),IF(AND(Tab.o1[[#This Row],[a1]]=1,Tab.o1[[#This Row],[b1]]&lt;=AY$4),#REF!,AY864),"")</f>
        <v/>
      </c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6"/>
      <c r="BO865" s="26"/>
      <c r="BP865" s="26"/>
      <c r="BQ865" s="26"/>
      <c r="BR865" s="26"/>
      <c r="BS865" s="26"/>
      <c r="BT865" s="26"/>
      <c r="BU865" s="26"/>
      <c r="BV865" s="26"/>
      <c r="BW865" s="26"/>
      <c r="BX865" s="26"/>
      <c r="BY865" s="26"/>
      <c r="BZ865" s="26"/>
      <c r="CA865" s="26"/>
    </row>
    <row r="866" spans="1:79" s="143" customFormat="1" ht="15.75" hidden="1">
      <c r="A866" s="109">
        <v>-9.0000000000000002E-6</v>
      </c>
      <c r="B866" s="110">
        <f t="shared" si="52"/>
        <v>866</v>
      </c>
      <c r="C866" s="111" t="str">
        <f>IF(C$1=[1]!T.in.A[[#This Row],[oo2]],1,"")</f>
        <v/>
      </c>
      <c r="D866" s="112" t="str">
        <f>IF(Tab.o1[[#This Row],[a1]]=1,IF(SUM(C866:C867)=0,0,IF(SUM(C865:C866)=1,1,IF(SUM(C865:C867)&gt;1,D865+1,0))),"")</f>
        <v/>
      </c>
      <c r="E866" s="113" t="str">
        <f>IF(Tab.o1[[#This Row],[a1]]=1,[1]!T.in.A[[#This Row],[oo1]],"")</f>
        <v/>
      </c>
      <c r="F866" s="113" t="str">
        <f>IF(Tab.o1[[#This Row],[a1]]=1,[1]!T.in.A[[#This Row],[pp1]],"")</f>
        <v/>
      </c>
      <c r="G866" s="114" t="str">
        <f>IF(Tab.o1[[#This Row],[a1]]=1,G$2+IF(G$1=1,0,Tab.o1[[#This Row],[.x1]])+[1]!T.in.A[[#This Row],[oo3]],"")</f>
        <v/>
      </c>
      <c r="H866" s="115" t="str">
        <f>IF(Tab.o1[[#This Row],[a1]]=1,IF(H$2=0,0,IF(G$1=1,0,Tab.o1[[#This Row],[.x1]])+[1]!T.in.A[[#This Row],[oo4]]),"")</f>
        <v/>
      </c>
      <c r="I866" s="116" t="str">
        <f>IF(Tab.o1[[#This Row],[a1]]=1,IF(J$2=0,Tab.o1[[#This Row],[MED]],Tab.o1[[#This Row],[MOD]]),"")</f>
        <v/>
      </c>
      <c r="J866" s="116" t="str">
        <f>IF(Tab.o1[[#This Row],[a1]]=1,((Tab.o1[[#This Row],[DIF_Target.]]-AVERAGE(Tab.o1[DIF_Target.]))/_xlfn.STDEV.P(Tab.o1[DIF_Target.])),"")</f>
        <v/>
      </c>
      <c r="K866" s="117" t="str">
        <f>IF(Tab.o1[[#This Row],[a1]]=1,IF(J$2=0,Tab.o1[[#This Row],[MOD]]-Tab.o1[[#This Row],[B]],IF(J$2=1,0,-Tab.o1[[#This Row],[MED]])+Tab.o1[[#This Row],[B]]),"")</f>
        <v/>
      </c>
      <c r="L866" s="117" t="str">
        <f ca="1">IF(Tab.o1[[#This Row],[DIF_Target]]=0,IF(L$2=0,Tab.o1[[#This Row],[DIF_Target]],AVERAGE(OFFSET(Tab.o1[[#This Row],[DIF_Target]],1,0,L$3,1)))/3,Tab.o1[[#This Row],[DIF_Target]])</f>
        <v/>
      </c>
      <c r="M866" s="118" t="str">
        <f>IF(Tab.o1[[#This Row],[a1]]=1,NORMSDIST(Tab.o1[[#This Row],[Za]]),"")</f>
        <v/>
      </c>
      <c r="N866" s="119" t="str">
        <f>IF(Tab.o1[[#This Row],[a1]]=1,((Tab.o1[[#This Row],[MedMod]]-AVERAGE(Tab.o1[MedMod]))/_xlfn.STDEV.P(Tab.o1[MedMod])*H$1205)+G$1205,"")</f>
        <v/>
      </c>
      <c r="O866" s="141" t="str">
        <f>IF(Tab.o1[[#This Row],[a1]]=1,Tab.o1[[#This Row],[Zb]]*_xlfn.STDEV.P(Tab.o1[MedMod])+AVERAGE(Tab.o1[MedMod]),"")</f>
        <v/>
      </c>
      <c r="P866" s="117" t="str">
        <f ca="1">IF(Tab.o1[[#This Row],[B]]=0,AVERAGE(OFFSET(Tab.o1[[#This Row],[B]],1,0,L$3,1)),Tab.o1[[#This Row],[B]])</f>
        <v/>
      </c>
      <c r="Q866" s="121" t="str">
        <f>IF(Tab.o1[[#This Row],[a1]]=1,NORMSDIST(Tab.o1[[#This Row],[Zb]]),"")</f>
        <v/>
      </c>
      <c r="R866" s="122" t="str">
        <f>IF(Tab.o1[[#This Row],[a1]]=1,((Tab.o1[[#This Row],[MedMod]]-AVERAGE(Tab.o1[MedMod]))/_xlfn.STDEV.P(Tab.o1[MedMod])*H$1203)+G$1203,"")</f>
        <v/>
      </c>
      <c r="S866" s="122" t="str">
        <f>IF(Tab.o1[[#This Row],[a1]]=1,((Tab.o1[[#This Row],[MedMod]]-AVERAGE(Tab.o1[MedMod]))/_xlfn.STDEV.P(Tab.o1[MedMod])*H$1204)+G$1204,"")</f>
        <v/>
      </c>
      <c r="T866" s="123" t="str">
        <f>IF(Tab.o1[[#This Row],[a1]]=1,Tab.o1[[#This Row],[Z-]]*_xlfn.STDEV.P(Tab.o1[B])+AVERAGE(Tab.o1[B]),"")</f>
        <v/>
      </c>
      <c r="U866" s="123" t="str">
        <f>IF(Tab.o1[[#This Row],[a1]]=1,Tab.o1[[#This Row],[z+]]*_xlfn.STDEV.P(Tab.o1[B])+AVERAGE(Tab.o1[B]),"")</f>
        <v/>
      </c>
      <c r="V866" s="124" t="str">
        <f>IF(Tab.o1[[#This Row],[a1]]=1,ABS((ABS(Tab.o1[[#This Row],[Red]]-Tab.o1[[#This Row],[Blue]]))),"")</f>
        <v/>
      </c>
      <c r="W866" s="125" t="str">
        <f>IF(Tab.o1[[#This Row],[a1]]=1,IF(W$3=0,1,Tab.o1[[#This Row],[Amp.]]*1/_xlfn.MINIFS(Tab.o1[Amp.],Tab.o1[Amp.],"&lt;&gt;0")),"")</f>
        <v/>
      </c>
      <c r="X866" s="126" t="str">
        <f>IF(Tab.o1[[#This Row],[a1]]=1,IF(ISNUMBER(Tab.o1[[#This Row],[i.]]),NORMDIST(Tab.o1[[#This Row],[Za]],0,1,FALSE)*Tab.o1[[#This Row],[i.]],AP$3),"")</f>
        <v/>
      </c>
      <c r="Y866" s="126" t="str">
        <f>IF(Tab.o1[[#This Row],[a1]]=1,0.01+0.94*Tab.o1[[#This Row],[PDF]]/MAX(Tab.o1[PDF]),"")</f>
        <v/>
      </c>
      <c r="Z866" s="126" t="str">
        <f>IF(Tab.o1[[#This Row],[a1]]=1,0.01+0.94*Tab.o1[[#This Row],[W1_PDF]]/MAX(Tab.o1[W1_PDF]),"")</f>
        <v/>
      </c>
      <c r="AA866" s="118" t="str">
        <f>IF(Tab.o1[[#This Row],[a1]]=1,ABS([1]!T.in.A[[#This Row],[oo6]]),"")</f>
        <v/>
      </c>
      <c r="AB866" s="127" t="str">
        <f>IF(Tab.o1[[#This Row],[a1]]=1,IF(AE$3=0,"",IF(AB$3=0,ABS([1]!T.in.A[[#This Row],[oo9]]),ABS(Tab.o1[[#This Row],[DIF_Target.]]*Tab.o1[[#This Row],[W1_PDF]]))),"")</f>
        <v/>
      </c>
      <c r="AC866" s="127" t="str">
        <f>IF(G$1=1,"",IF(Tab.o1[[#This Row],[a1]]=1,Tab.o1[[#This Row],[Wr]]^2,""))</f>
        <v/>
      </c>
      <c r="AD866" s="118" t="str">
        <f>IF(Tab.o1[[#This Row],[a1]]=1,IF(AE$3=0,"",Tab.o1[[#This Row],[Wr2]]/SUM(Tab.o1[Wr2])),"")</f>
        <v/>
      </c>
      <c r="AE866" s="128" t="str">
        <f>IF(Tab.o1[[#This Row],[a1]]=1,[1]!T.in.A[[#This Row],[oo10]],"")</f>
        <v/>
      </c>
      <c r="AF866" s="118" t="str">
        <f>IF(Tab.o1[[#This Row],[a1]]=1,ABS(Tab.o1[[#This Row],[DIF_Target.]]*Tab.o1[[#This Row],[PDF2]]*Tab.o1[[#This Row],[IN]]),"")</f>
        <v/>
      </c>
      <c r="AG866" s="129" t="str">
        <f>IF(Tab.o1[[#This Row],[a1]]=1,Tab.o1[[#This Row],[rW]]^2,"")</f>
        <v/>
      </c>
      <c r="AH866" s="130" t="str">
        <f>IF(Tab.o1[[#This Row],[a1]]=1,IF(AH$3=0,Tab.o1[[#This Row],[rW2]],0.01+0.94*Tab.o1[[#This Row],[rW2]]/SUM(Tab.o1[rW2])),"")</f>
        <v/>
      </c>
      <c r="AI866" s="128" t="str">
        <f>IF(Tab.o1[[#This Row],[a1]]=1,1/Tab.o1[[#This Row],[PDF]],"")</f>
        <v/>
      </c>
      <c r="AJ866" s="131" t="str">
        <f>IF(Tab.o1[[#This Row],[a1]]=1,[1]!T_AA[[#This Row],[IN'']]*[1]!T_AA[[#This Row],[Qde'']],"")</f>
        <v/>
      </c>
      <c r="AK866" s="132" t="str">
        <f>IF(Tab.o1[[#This Row],[a1]]=1,IF(AK$1=1,Tab.o1[[#This Row],[MED]]+Tab.o1[[#This Row],[MOD]]-Tab.o1[[#This Row],[MED]],""),"")</f>
        <v/>
      </c>
      <c r="AL866" s="133" t="str">
        <f>IF(Tab.o1[[#This Row],[a1]]=1,[1]!T.in.A[[#This Row],[oo16]],"")</f>
        <v/>
      </c>
      <c r="AM866" s="133" t="str">
        <f>IF(Tab.o1[[#This Row],[a1]]=1,IF(AM$3=1,[1]!T.in.A[[#This Row],[Σo16]],""),"")</f>
        <v/>
      </c>
      <c r="AN866" s="126" t="str">
        <f>IF(Tab.o1[[#This Row],[a1]]=1,[1]!T.in.A[[#This Row],[Σp5]],"")</f>
        <v/>
      </c>
      <c r="AO866" s="126" t="str">
        <f>IF(Tab.o1[[#This Row],[a1]]=1,IF(AO$3=1,[1]!T.in.A[[#This Row],[Σp5]],""),"")</f>
        <v/>
      </c>
      <c r="AP866" s="110" t="str">
        <f>IF(Tab.o1[[#This Row],[a1]]=1,IF(ISNUMBER(Tab.o1[[#This Row],[i.]]),NORMDIST(Tab.o1[[#This Row],[Za]],0,1,FALSE)*Tab.o1[[#This Row],[i.]],0),"")</f>
        <v/>
      </c>
      <c r="AQ866" s="125" t="str">
        <f>IF(Tab.o1[[#This Row],[a1]]=1,ABS(Tab.o1[[#This Row],[MOD]]-AVERAGE(Tab.o1[MOD])),"")</f>
        <v/>
      </c>
      <c r="AR866" s="134" t="str">
        <f>IF(Tab.o1[[#This Row],[a1]]=1,Tab.o1[[#This Row],[OBS]]/SUM(Tab.o1[OBS]),"")</f>
        <v/>
      </c>
      <c r="AS866" s="135" t="str">
        <f>IF(ISNUMBER(Tab.o1[[#This Row],[a1]]),ROW()-4,"")</f>
        <v/>
      </c>
      <c r="AT866" s="136" t="str">
        <f>Tab.o1[[#This Row],[MOD]]</f>
        <v/>
      </c>
      <c r="AU866" s="137" t="str">
        <f t="shared" si="53"/>
        <v/>
      </c>
      <c r="AV866" s="138" t="str">
        <f t="shared" si="54"/>
        <v/>
      </c>
      <c r="AW866" s="138" t="str">
        <f t="shared" si="55"/>
        <v/>
      </c>
      <c r="AX866" s="139" t="str">
        <f>[1]!T.in.A[[#This Row],[ID_T_manu]]</f>
        <v/>
      </c>
      <c r="AY866" s="140" t="str">
        <f>IF(ISNUMBER(Tab.o1[[#This Row],[a1]]),IF(AND(Tab.o1[[#This Row],[a1]]=1,Tab.o1[[#This Row],[b1]]&lt;=AY$4),#REF!,AY865),"")</f>
        <v/>
      </c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6"/>
      <c r="BO866" s="26"/>
      <c r="BP866" s="26"/>
      <c r="BQ866" s="26"/>
      <c r="BR866" s="26"/>
      <c r="BS866" s="26"/>
      <c r="BT866" s="26"/>
      <c r="BU866" s="26"/>
      <c r="BV866" s="26"/>
      <c r="BW866" s="26"/>
      <c r="BX866" s="26"/>
      <c r="BY866" s="26"/>
      <c r="BZ866" s="26"/>
      <c r="CA866" s="26"/>
    </row>
    <row r="867" spans="1:79" s="143" customFormat="1" ht="15.75" hidden="1">
      <c r="A867" s="109">
        <v>-5.9999999999999993E-6</v>
      </c>
      <c r="B867" s="110">
        <f t="shared" si="52"/>
        <v>867</v>
      </c>
      <c r="C867" s="111" t="str">
        <f>IF(C$1=[1]!T.in.A[[#This Row],[oo2]],1,"")</f>
        <v/>
      </c>
      <c r="D867" s="112" t="str">
        <f>IF(Tab.o1[[#This Row],[a1]]=1,IF(SUM(C867:C868)=0,0,IF(SUM(C866:C867)=1,1,IF(SUM(C866:C868)&gt;1,D866+1,0))),"")</f>
        <v/>
      </c>
      <c r="E867" s="113" t="str">
        <f>IF(Tab.o1[[#This Row],[a1]]=1,[1]!T.in.A[[#This Row],[oo1]],"")</f>
        <v/>
      </c>
      <c r="F867" s="113" t="str">
        <f>IF(Tab.o1[[#This Row],[a1]]=1,[1]!T.in.A[[#This Row],[pp1]],"")</f>
        <v/>
      </c>
      <c r="G867" s="114" t="str">
        <f>IF(Tab.o1[[#This Row],[a1]]=1,G$2+IF(G$1=1,0,Tab.o1[[#This Row],[.x1]])+[1]!T.in.A[[#This Row],[oo3]],"")</f>
        <v/>
      </c>
      <c r="H867" s="115" t="str">
        <f>IF(Tab.o1[[#This Row],[a1]]=1,IF(H$2=0,0,IF(G$1=1,0,Tab.o1[[#This Row],[.x1]])+[1]!T.in.A[[#This Row],[oo4]]),"")</f>
        <v/>
      </c>
      <c r="I867" s="116" t="str">
        <f>IF(Tab.o1[[#This Row],[a1]]=1,IF(J$2=0,Tab.o1[[#This Row],[MED]],Tab.o1[[#This Row],[MOD]]),"")</f>
        <v/>
      </c>
      <c r="J867" s="116" t="str">
        <f>IF(Tab.o1[[#This Row],[a1]]=1,((Tab.o1[[#This Row],[DIF_Target.]]-AVERAGE(Tab.o1[DIF_Target.]))/_xlfn.STDEV.P(Tab.o1[DIF_Target.])),"")</f>
        <v/>
      </c>
      <c r="K867" s="117" t="str">
        <f>IF(Tab.o1[[#This Row],[a1]]=1,IF(J$2=0,Tab.o1[[#This Row],[MOD]]-Tab.o1[[#This Row],[B]],IF(J$2=1,0,-Tab.o1[[#This Row],[MED]])+Tab.o1[[#This Row],[B]]),"")</f>
        <v/>
      </c>
      <c r="L867" s="117" t="str">
        <f ca="1">IF(Tab.o1[[#This Row],[DIF_Target]]=0,IF(L$2=0,Tab.o1[[#This Row],[DIF_Target]],AVERAGE(OFFSET(Tab.o1[[#This Row],[DIF_Target]],1,0,L$3,1)))/3,Tab.o1[[#This Row],[DIF_Target]])</f>
        <v/>
      </c>
      <c r="M867" s="118" t="str">
        <f>IF(Tab.o1[[#This Row],[a1]]=1,NORMSDIST(Tab.o1[[#This Row],[Za]]),"")</f>
        <v/>
      </c>
      <c r="N867" s="119" t="str">
        <f>IF(Tab.o1[[#This Row],[a1]]=1,((Tab.o1[[#This Row],[MedMod]]-AVERAGE(Tab.o1[MedMod]))/_xlfn.STDEV.P(Tab.o1[MedMod])*H$1205)+G$1205,"")</f>
        <v/>
      </c>
      <c r="O867" s="141" t="str">
        <f>IF(Tab.o1[[#This Row],[a1]]=1,Tab.o1[[#This Row],[Zb]]*_xlfn.STDEV.P(Tab.o1[MedMod])+AVERAGE(Tab.o1[MedMod]),"")</f>
        <v/>
      </c>
      <c r="P867" s="117" t="str">
        <f ca="1">IF(Tab.o1[[#This Row],[B]]=0,AVERAGE(OFFSET(Tab.o1[[#This Row],[B]],1,0,L$3,1)),Tab.o1[[#This Row],[B]])</f>
        <v/>
      </c>
      <c r="Q867" s="121" t="str">
        <f>IF(Tab.o1[[#This Row],[a1]]=1,NORMSDIST(Tab.o1[[#This Row],[Zb]]),"")</f>
        <v/>
      </c>
      <c r="R867" s="122" t="str">
        <f>IF(Tab.o1[[#This Row],[a1]]=1,((Tab.o1[[#This Row],[MedMod]]-AVERAGE(Tab.o1[MedMod]))/_xlfn.STDEV.P(Tab.o1[MedMod])*H$1203)+G$1203,"")</f>
        <v/>
      </c>
      <c r="S867" s="122" t="str">
        <f>IF(Tab.o1[[#This Row],[a1]]=1,((Tab.o1[[#This Row],[MedMod]]-AVERAGE(Tab.o1[MedMod]))/_xlfn.STDEV.P(Tab.o1[MedMod])*H$1204)+G$1204,"")</f>
        <v/>
      </c>
      <c r="T867" s="123" t="str">
        <f>IF(Tab.o1[[#This Row],[a1]]=1,Tab.o1[[#This Row],[Z-]]*_xlfn.STDEV.P(Tab.o1[B])+AVERAGE(Tab.o1[B]),"")</f>
        <v/>
      </c>
      <c r="U867" s="123" t="str">
        <f>IF(Tab.o1[[#This Row],[a1]]=1,Tab.o1[[#This Row],[z+]]*_xlfn.STDEV.P(Tab.o1[B])+AVERAGE(Tab.o1[B]),"")</f>
        <v/>
      </c>
      <c r="V867" s="124" t="str">
        <f>IF(Tab.o1[[#This Row],[a1]]=1,ABS((ABS(Tab.o1[[#This Row],[Red]]-Tab.o1[[#This Row],[Blue]]))),"")</f>
        <v/>
      </c>
      <c r="W867" s="125" t="str">
        <f>IF(Tab.o1[[#This Row],[a1]]=1,IF(W$3=0,1,Tab.o1[[#This Row],[Amp.]]*1/_xlfn.MINIFS(Tab.o1[Amp.],Tab.o1[Amp.],"&lt;&gt;0")),"")</f>
        <v/>
      </c>
      <c r="X867" s="126" t="str">
        <f>IF(Tab.o1[[#This Row],[a1]]=1,IF(ISNUMBER(Tab.o1[[#This Row],[i.]]),NORMDIST(Tab.o1[[#This Row],[Za]],0,1,FALSE)*Tab.o1[[#This Row],[i.]],AP$3),"")</f>
        <v/>
      </c>
      <c r="Y867" s="126" t="str">
        <f>IF(Tab.o1[[#This Row],[a1]]=1,0.01+0.94*Tab.o1[[#This Row],[PDF]]/MAX(Tab.o1[PDF]),"")</f>
        <v/>
      </c>
      <c r="Z867" s="126" t="str">
        <f>IF(Tab.o1[[#This Row],[a1]]=1,0.01+0.94*Tab.o1[[#This Row],[W1_PDF]]/MAX(Tab.o1[W1_PDF]),"")</f>
        <v/>
      </c>
      <c r="AA867" s="118" t="str">
        <f>IF(Tab.o1[[#This Row],[a1]]=1,ABS([1]!T.in.A[[#This Row],[oo6]]),"")</f>
        <v/>
      </c>
      <c r="AB867" s="127" t="str">
        <f>IF(Tab.o1[[#This Row],[a1]]=1,IF(AE$3=0,"",IF(AB$3=0,ABS([1]!T.in.A[[#This Row],[oo9]]),ABS(Tab.o1[[#This Row],[DIF_Target.]]*Tab.o1[[#This Row],[W1_PDF]]))),"")</f>
        <v/>
      </c>
      <c r="AC867" s="127" t="str">
        <f>IF(G$1=1,"",IF(Tab.o1[[#This Row],[a1]]=1,Tab.o1[[#This Row],[Wr]]^2,""))</f>
        <v/>
      </c>
      <c r="AD867" s="118" t="str">
        <f>IF(Tab.o1[[#This Row],[a1]]=1,IF(AE$3=0,"",Tab.o1[[#This Row],[Wr2]]/SUM(Tab.o1[Wr2])),"")</f>
        <v/>
      </c>
      <c r="AE867" s="128" t="str">
        <f>IF(Tab.o1[[#This Row],[a1]]=1,[1]!T.in.A[[#This Row],[oo10]],"")</f>
        <v/>
      </c>
      <c r="AF867" s="118" t="str">
        <f>IF(Tab.o1[[#This Row],[a1]]=1,ABS(Tab.o1[[#This Row],[DIF_Target.]]*Tab.o1[[#This Row],[PDF2]]*Tab.o1[[#This Row],[IN]]),"")</f>
        <v/>
      </c>
      <c r="AG867" s="129" t="str">
        <f>IF(Tab.o1[[#This Row],[a1]]=1,Tab.o1[[#This Row],[rW]]^2,"")</f>
        <v/>
      </c>
      <c r="AH867" s="130" t="str">
        <f>IF(Tab.o1[[#This Row],[a1]]=1,IF(AH$3=0,Tab.o1[[#This Row],[rW2]],0.01+0.94*Tab.o1[[#This Row],[rW2]]/SUM(Tab.o1[rW2])),"")</f>
        <v/>
      </c>
      <c r="AI867" s="128" t="str">
        <f>IF(Tab.o1[[#This Row],[a1]]=1,1/Tab.o1[[#This Row],[PDF]],"")</f>
        <v/>
      </c>
      <c r="AJ867" s="131" t="str">
        <f>IF(Tab.o1[[#This Row],[a1]]=1,[1]!T_AA[[#This Row],[IN'']]*[1]!T_AA[[#This Row],[Qde'']],"")</f>
        <v/>
      </c>
      <c r="AK867" s="132" t="str">
        <f>IF(Tab.o1[[#This Row],[a1]]=1,IF(AK$1=1,Tab.o1[[#This Row],[MED]]+Tab.o1[[#This Row],[MOD]]-Tab.o1[[#This Row],[MED]],""),"")</f>
        <v/>
      </c>
      <c r="AL867" s="133" t="str">
        <f>IF(Tab.o1[[#This Row],[a1]]=1,[1]!T.in.A[[#This Row],[oo16]],"")</f>
        <v/>
      </c>
      <c r="AM867" s="133" t="str">
        <f>IF(Tab.o1[[#This Row],[a1]]=1,IF(AM$3=1,[1]!T.in.A[[#This Row],[Σo16]],""),"")</f>
        <v/>
      </c>
      <c r="AN867" s="126" t="str">
        <f>IF(Tab.o1[[#This Row],[a1]]=1,[1]!T.in.A[[#This Row],[Σp5]],"")</f>
        <v/>
      </c>
      <c r="AO867" s="126" t="str">
        <f>IF(Tab.o1[[#This Row],[a1]]=1,IF(AO$3=1,[1]!T.in.A[[#This Row],[Σp5]],""),"")</f>
        <v/>
      </c>
      <c r="AP867" s="110" t="str">
        <f>IF(Tab.o1[[#This Row],[a1]]=1,IF(ISNUMBER(Tab.o1[[#This Row],[i.]]),NORMDIST(Tab.o1[[#This Row],[Za]],0,1,FALSE)*Tab.o1[[#This Row],[i.]],0),"")</f>
        <v/>
      </c>
      <c r="AQ867" s="125" t="str">
        <f>IF(Tab.o1[[#This Row],[a1]]=1,ABS(Tab.o1[[#This Row],[MOD]]-AVERAGE(Tab.o1[MOD])),"")</f>
        <v/>
      </c>
      <c r="AR867" s="134" t="str">
        <f>IF(Tab.o1[[#This Row],[a1]]=1,Tab.o1[[#This Row],[OBS]]/SUM(Tab.o1[OBS]),"")</f>
        <v/>
      </c>
      <c r="AS867" s="135" t="str">
        <f>IF(ISNUMBER(Tab.o1[[#This Row],[a1]]),ROW()-4,"")</f>
        <v/>
      </c>
      <c r="AT867" s="136" t="str">
        <f>Tab.o1[[#This Row],[MOD]]</f>
        <v/>
      </c>
      <c r="AU867" s="137" t="str">
        <f t="shared" si="53"/>
        <v/>
      </c>
      <c r="AV867" s="138" t="str">
        <f t="shared" si="54"/>
        <v/>
      </c>
      <c r="AW867" s="138" t="str">
        <f t="shared" si="55"/>
        <v/>
      </c>
      <c r="AX867" s="139" t="str">
        <f>[1]!T.in.A[[#This Row],[ID_T_manu]]</f>
        <v/>
      </c>
      <c r="AY867" s="140" t="str">
        <f>IF(ISNUMBER(Tab.o1[[#This Row],[a1]]),IF(AND(Tab.o1[[#This Row],[a1]]=1,Tab.o1[[#This Row],[b1]]&lt;=AY$4),#REF!,AY866),"")</f>
        <v/>
      </c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6"/>
      <c r="BO867" s="26"/>
      <c r="BP867" s="26"/>
      <c r="BQ867" s="26"/>
      <c r="BR867" s="26"/>
      <c r="BS867" s="26"/>
      <c r="BT867" s="26"/>
      <c r="BU867" s="26"/>
      <c r="BV867" s="26"/>
      <c r="BW867" s="26"/>
      <c r="BX867" s="26"/>
      <c r="BY867" s="26"/>
      <c r="BZ867" s="26"/>
      <c r="CA867" s="26"/>
    </row>
    <row r="868" spans="1:79" s="143" customFormat="1" ht="15.75" hidden="1">
      <c r="A868" s="109">
        <v>-6.9999999999999999E-6</v>
      </c>
      <c r="B868" s="110">
        <f t="shared" si="52"/>
        <v>868</v>
      </c>
      <c r="C868" s="111" t="str">
        <f>IF(C$1=[1]!T.in.A[[#This Row],[oo2]],1,"")</f>
        <v/>
      </c>
      <c r="D868" s="112" t="str">
        <f>IF(Tab.o1[[#This Row],[a1]]=1,IF(SUM(C868:C869)=0,0,IF(SUM(C867:C868)=1,1,IF(SUM(C867:C869)&gt;1,D867+1,0))),"")</f>
        <v/>
      </c>
      <c r="E868" s="113" t="str">
        <f>IF(Tab.o1[[#This Row],[a1]]=1,[1]!T.in.A[[#This Row],[oo1]],"")</f>
        <v/>
      </c>
      <c r="F868" s="113" t="str">
        <f>IF(Tab.o1[[#This Row],[a1]]=1,[1]!T.in.A[[#This Row],[pp1]],"")</f>
        <v/>
      </c>
      <c r="G868" s="114" t="str">
        <f>IF(Tab.o1[[#This Row],[a1]]=1,G$2+IF(G$1=1,0,Tab.o1[[#This Row],[.x1]])+[1]!T.in.A[[#This Row],[oo3]],"")</f>
        <v/>
      </c>
      <c r="H868" s="115" t="str">
        <f>IF(Tab.o1[[#This Row],[a1]]=1,IF(H$2=0,0,IF(G$1=1,0,Tab.o1[[#This Row],[.x1]])+[1]!T.in.A[[#This Row],[oo4]]),"")</f>
        <v/>
      </c>
      <c r="I868" s="116" t="str">
        <f>IF(Tab.o1[[#This Row],[a1]]=1,IF(J$2=0,Tab.o1[[#This Row],[MED]],Tab.o1[[#This Row],[MOD]]),"")</f>
        <v/>
      </c>
      <c r="J868" s="116" t="str">
        <f>IF(Tab.o1[[#This Row],[a1]]=1,((Tab.o1[[#This Row],[DIF_Target.]]-AVERAGE(Tab.o1[DIF_Target.]))/_xlfn.STDEV.P(Tab.o1[DIF_Target.])),"")</f>
        <v/>
      </c>
      <c r="K868" s="117" t="str">
        <f>IF(Tab.o1[[#This Row],[a1]]=1,IF(J$2=0,Tab.o1[[#This Row],[MOD]]-Tab.o1[[#This Row],[B]],IF(J$2=1,0,-Tab.o1[[#This Row],[MED]])+Tab.o1[[#This Row],[B]]),"")</f>
        <v/>
      </c>
      <c r="L868" s="117" t="str">
        <f ca="1">IF(Tab.o1[[#This Row],[DIF_Target]]=0,IF(L$2=0,Tab.o1[[#This Row],[DIF_Target]],AVERAGE(OFFSET(Tab.o1[[#This Row],[DIF_Target]],1,0,L$3,1)))/3,Tab.o1[[#This Row],[DIF_Target]])</f>
        <v/>
      </c>
      <c r="M868" s="118" t="str">
        <f>IF(Tab.o1[[#This Row],[a1]]=1,NORMSDIST(Tab.o1[[#This Row],[Za]]),"")</f>
        <v/>
      </c>
      <c r="N868" s="119" t="str">
        <f>IF(Tab.o1[[#This Row],[a1]]=1,((Tab.o1[[#This Row],[MedMod]]-AVERAGE(Tab.o1[MedMod]))/_xlfn.STDEV.P(Tab.o1[MedMod])*H$1205)+G$1205,"")</f>
        <v/>
      </c>
      <c r="O868" s="141" t="str">
        <f>IF(Tab.o1[[#This Row],[a1]]=1,Tab.o1[[#This Row],[Zb]]*_xlfn.STDEV.P(Tab.o1[MedMod])+AVERAGE(Tab.o1[MedMod]),"")</f>
        <v/>
      </c>
      <c r="P868" s="117" t="str">
        <f ca="1">IF(Tab.o1[[#This Row],[B]]=0,AVERAGE(OFFSET(Tab.o1[[#This Row],[B]],1,0,L$3,1)),Tab.o1[[#This Row],[B]])</f>
        <v/>
      </c>
      <c r="Q868" s="121" t="str">
        <f>IF(Tab.o1[[#This Row],[a1]]=1,NORMSDIST(Tab.o1[[#This Row],[Zb]]),"")</f>
        <v/>
      </c>
      <c r="R868" s="122" t="str">
        <f>IF(Tab.o1[[#This Row],[a1]]=1,((Tab.o1[[#This Row],[MedMod]]-AVERAGE(Tab.o1[MedMod]))/_xlfn.STDEV.P(Tab.o1[MedMod])*H$1203)+G$1203,"")</f>
        <v/>
      </c>
      <c r="S868" s="122" t="str">
        <f>IF(Tab.o1[[#This Row],[a1]]=1,((Tab.o1[[#This Row],[MedMod]]-AVERAGE(Tab.o1[MedMod]))/_xlfn.STDEV.P(Tab.o1[MedMod])*H$1204)+G$1204,"")</f>
        <v/>
      </c>
      <c r="T868" s="123" t="str">
        <f>IF(Tab.o1[[#This Row],[a1]]=1,Tab.o1[[#This Row],[Z-]]*_xlfn.STDEV.P(Tab.o1[B])+AVERAGE(Tab.o1[B]),"")</f>
        <v/>
      </c>
      <c r="U868" s="123" t="str">
        <f>IF(Tab.o1[[#This Row],[a1]]=1,Tab.o1[[#This Row],[z+]]*_xlfn.STDEV.P(Tab.o1[B])+AVERAGE(Tab.o1[B]),"")</f>
        <v/>
      </c>
      <c r="V868" s="124" t="str">
        <f>IF(Tab.o1[[#This Row],[a1]]=1,ABS((ABS(Tab.o1[[#This Row],[Red]]-Tab.o1[[#This Row],[Blue]]))),"")</f>
        <v/>
      </c>
      <c r="W868" s="125" t="str">
        <f>IF(Tab.o1[[#This Row],[a1]]=1,IF(W$3=0,1,Tab.o1[[#This Row],[Amp.]]*1/_xlfn.MINIFS(Tab.o1[Amp.],Tab.o1[Amp.],"&lt;&gt;0")),"")</f>
        <v/>
      </c>
      <c r="X868" s="126" t="str">
        <f>IF(Tab.o1[[#This Row],[a1]]=1,IF(ISNUMBER(Tab.o1[[#This Row],[i.]]),NORMDIST(Tab.o1[[#This Row],[Za]],0,1,FALSE)*Tab.o1[[#This Row],[i.]],AP$3),"")</f>
        <v/>
      </c>
      <c r="Y868" s="126" t="str">
        <f>IF(Tab.o1[[#This Row],[a1]]=1,0.01+0.94*Tab.o1[[#This Row],[PDF]]/MAX(Tab.o1[PDF]),"")</f>
        <v/>
      </c>
      <c r="Z868" s="126" t="str">
        <f>IF(Tab.o1[[#This Row],[a1]]=1,0.01+0.94*Tab.o1[[#This Row],[W1_PDF]]/MAX(Tab.o1[W1_PDF]),"")</f>
        <v/>
      </c>
      <c r="AA868" s="118" t="str">
        <f>IF(Tab.o1[[#This Row],[a1]]=1,ABS([1]!T.in.A[[#This Row],[oo6]]),"")</f>
        <v/>
      </c>
      <c r="AB868" s="127" t="str">
        <f>IF(Tab.o1[[#This Row],[a1]]=1,IF(AE$3=0,"",IF(AB$3=0,ABS([1]!T.in.A[[#This Row],[oo9]]),ABS(Tab.o1[[#This Row],[DIF_Target.]]*Tab.o1[[#This Row],[W1_PDF]]))),"")</f>
        <v/>
      </c>
      <c r="AC868" s="127" t="str">
        <f>IF(G$1=1,"",IF(Tab.o1[[#This Row],[a1]]=1,Tab.o1[[#This Row],[Wr]]^2,""))</f>
        <v/>
      </c>
      <c r="AD868" s="118" t="str">
        <f>IF(Tab.o1[[#This Row],[a1]]=1,IF(AE$3=0,"",Tab.o1[[#This Row],[Wr2]]/SUM(Tab.o1[Wr2])),"")</f>
        <v/>
      </c>
      <c r="AE868" s="128" t="str">
        <f>IF(Tab.o1[[#This Row],[a1]]=1,[1]!T.in.A[[#This Row],[oo10]],"")</f>
        <v/>
      </c>
      <c r="AF868" s="118" t="str">
        <f>IF(Tab.o1[[#This Row],[a1]]=1,ABS(Tab.o1[[#This Row],[DIF_Target.]]*Tab.o1[[#This Row],[PDF2]]*Tab.o1[[#This Row],[IN]]),"")</f>
        <v/>
      </c>
      <c r="AG868" s="129" t="str">
        <f>IF(Tab.o1[[#This Row],[a1]]=1,Tab.o1[[#This Row],[rW]]^2,"")</f>
        <v/>
      </c>
      <c r="AH868" s="130" t="str">
        <f>IF(Tab.o1[[#This Row],[a1]]=1,IF(AH$3=0,Tab.o1[[#This Row],[rW2]],0.01+0.94*Tab.o1[[#This Row],[rW2]]/SUM(Tab.o1[rW2])),"")</f>
        <v/>
      </c>
      <c r="AI868" s="128" t="str">
        <f>IF(Tab.o1[[#This Row],[a1]]=1,1/Tab.o1[[#This Row],[PDF]],"")</f>
        <v/>
      </c>
      <c r="AJ868" s="131" t="str">
        <f>IF(Tab.o1[[#This Row],[a1]]=1,[1]!T_AA[[#This Row],[IN'']]*[1]!T_AA[[#This Row],[Qde'']],"")</f>
        <v/>
      </c>
      <c r="AK868" s="132" t="str">
        <f>IF(Tab.o1[[#This Row],[a1]]=1,IF(AK$1=1,Tab.o1[[#This Row],[MED]]+Tab.o1[[#This Row],[MOD]]-Tab.o1[[#This Row],[MED]],""),"")</f>
        <v/>
      </c>
      <c r="AL868" s="133" t="str">
        <f>IF(Tab.o1[[#This Row],[a1]]=1,[1]!T.in.A[[#This Row],[oo16]],"")</f>
        <v/>
      </c>
      <c r="AM868" s="133" t="str">
        <f>IF(Tab.o1[[#This Row],[a1]]=1,IF(AM$3=1,[1]!T.in.A[[#This Row],[Σo16]],""),"")</f>
        <v/>
      </c>
      <c r="AN868" s="126" t="str">
        <f>IF(Tab.o1[[#This Row],[a1]]=1,[1]!T.in.A[[#This Row],[Σp5]],"")</f>
        <v/>
      </c>
      <c r="AO868" s="126" t="str">
        <f>IF(Tab.o1[[#This Row],[a1]]=1,IF(AO$3=1,[1]!T.in.A[[#This Row],[Σp5]],""),"")</f>
        <v/>
      </c>
      <c r="AP868" s="110" t="str">
        <f>IF(Tab.o1[[#This Row],[a1]]=1,IF(ISNUMBER(Tab.o1[[#This Row],[i.]]),NORMDIST(Tab.o1[[#This Row],[Za]],0,1,FALSE)*Tab.o1[[#This Row],[i.]],0),"")</f>
        <v/>
      </c>
      <c r="AQ868" s="125" t="str">
        <f>IF(Tab.o1[[#This Row],[a1]]=1,ABS(Tab.o1[[#This Row],[MOD]]-AVERAGE(Tab.o1[MOD])),"")</f>
        <v/>
      </c>
      <c r="AR868" s="134" t="str">
        <f>IF(Tab.o1[[#This Row],[a1]]=1,Tab.o1[[#This Row],[OBS]]/SUM(Tab.o1[OBS]),"")</f>
        <v/>
      </c>
      <c r="AS868" s="135" t="str">
        <f>IF(ISNUMBER(Tab.o1[[#This Row],[a1]]),ROW()-4,"")</f>
        <v/>
      </c>
      <c r="AT868" s="136" t="str">
        <f>Tab.o1[[#This Row],[MOD]]</f>
        <v/>
      </c>
      <c r="AU868" s="137" t="str">
        <f t="shared" si="53"/>
        <v/>
      </c>
      <c r="AV868" s="138" t="str">
        <f t="shared" si="54"/>
        <v/>
      </c>
      <c r="AW868" s="138" t="str">
        <f t="shared" si="55"/>
        <v/>
      </c>
      <c r="AX868" s="139" t="str">
        <f>[1]!T.in.A[[#This Row],[ID_T_manu]]</f>
        <v/>
      </c>
      <c r="AY868" s="140" t="str">
        <f>IF(ISNUMBER(Tab.o1[[#This Row],[a1]]),IF(AND(Tab.o1[[#This Row],[a1]]=1,Tab.o1[[#This Row],[b1]]&lt;=AY$4),#REF!,AY867),"")</f>
        <v/>
      </c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6"/>
      <c r="BO868" s="26"/>
      <c r="BP868" s="26"/>
      <c r="BQ868" s="26"/>
      <c r="BR868" s="26"/>
      <c r="BS868" s="26"/>
      <c r="BT868" s="26"/>
      <c r="BU868" s="26"/>
      <c r="BV868" s="26"/>
      <c r="BW868" s="26"/>
      <c r="BX868" s="26"/>
      <c r="BY868" s="26"/>
      <c r="BZ868" s="26"/>
      <c r="CA868" s="26"/>
    </row>
    <row r="869" spans="1:79" s="143" customFormat="1" ht="15.75" hidden="1">
      <c r="A869" s="109">
        <v>1.0000000000000001E-5</v>
      </c>
      <c r="B869" s="110">
        <f t="shared" si="52"/>
        <v>869</v>
      </c>
      <c r="C869" s="111" t="str">
        <f>IF(C$1=[1]!T.in.A[[#This Row],[oo2]],1,"")</f>
        <v/>
      </c>
      <c r="D869" s="112" t="str">
        <f>IF(Tab.o1[[#This Row],[a1]]=1,IF(SUM(C869:C870)=0,0,IF(SUM(C868:C869)=1,1,IF(SUM(C868:C870)&gt;1,D868+1,0))),"")</f>
        <v/>
      </c>
      <c r="E869" s="113" t="str">
        <f>IF(Tab.o1[[#This Row],[a1]]=1,[1]!T.in.A[[#This Row],[oo1]],"")</f>
        <v/>
      </c>
      <c r="F869" s="113" t="str">
        <f>IF(Tab.o1[[#This Row],[a1]]=1,[1]!T.in.A[[#This Row],[pp1]],"")</f>
        <v/>
      </c>
      <c r="G869" s="114" t="str">
        <f>IF(Tab.o1[[#This Row],[a1]]=1,G$2+IF(G$1=1,0,Tab.o1[[#This Row],[.x1]])+[1]!T.in.A[[#This Row],[oo3]],"")</f>
        <v/>
      </c>
      <c r="H869" s="115" t="str">
        <f>IF(Tab.o1[[#This Row],[a1]]=1,IF(H$2=0,0,IF(G$1=1,0,Tab.o1[[#This Row],[.x1]])+[1]!T.in.A[[#This Row],[oo4]]),"")</f>
        <v/>
      </c>
      <c r="I869" s="116" t="str">
        <f>IF(Tab.o1[[#This Row],[a1]]=1,IF(J$2=0,Tab.o1[[#This Row],[MED]],Tab.o1[[#This Row],[MOD]]),"")</f>
        <v/>
      </c>
      <c r="J869" s="116" t="str">
        <f>IF(Tab.o1[[#This Row],[a1]]=1,((Tab.o1[[#This Row],[DIF_Target.]]-AVERAGE(Tab.o1[DIF_Target.]))/_xlfn.STDEV.P(Tab.o1[DIF_Target.])),"")</f>
        <v/>
      </c>
      <c r="K869" s="117" t="str">
        <f>IF(Tab.o1[[#This Row],[a1]]=1,IF(J$2=0,Tab.o1[[#This Row],[MOD]]-Tab.o1[[#This Row],[B]],IF(J$2=1,0,-Tab.o1[[#This Row],[MED]])+Tab.o1[[#This Row],[B]]),"")</f>
        <v/>
      </c>
      <c r="L869" s="117" t="str">
        <f ca="1">IF(Tab.o1[[#This Row],[DIF_Target]]=0,IF(L$2=0,Tab.o1[[#This Row],[DIF_Target]],AVERAGE(OFFSET(Tab.o1[[#This Row],[DIF_Target]],1,0,L$3,1)))/3,Tab.o1[[#This Row],[DIF_Target]])</f>
        <v/>
      </c>
      <c r="M869" s="118" t="str">
        <f>IF(Tab.o1[[#This Row],[a1]]=1,NORMSDIST(Tab.o1[[#This Row],[Za]]),"")</f>
        <v/>
      </c>
      <c r="N869" s="119" t="str">
        <f>IF(Tab.o1[[#This Row],[a1]]=1,((Tab.o1[[#This Row],[MedMod]]-AVERAGE(Tab.o1[MedMod]))/_xlfn.STDEV.P(Tab.o1[MedMod])*H$1205)+G$1205,"")</f>
        <v/>
      </c>
      <c r="O869" s="141" t="str">
        <f>IF(Tab.o1[[#This Row],[a1]]=1,Tab.o1[[#This Row],[Zb]]*_xlfn.STDEV.P(Tab.o1[MedMod])+AVERAGE(Tab.o1[MedMod]),"")</f>
        <v/>
      </c>
      <c r="P869" s="117" t="str">
        <f ca="1">IF(Tab.o1[[#This Row],[B]]=0,AVERAGE(OFFSET(Tab.o1[[#This Row],[B]],1,0,L$3,1)),Tab.o1[[#This Row],[B]])</f>
        <v/>
      </c>
      <c r="Q869" s="121" t="str">
        <f>IF(Tab.o1[[#This Row],[a1]]=1,NORMSDIST(Tab.o1[[#This Row],[Zb]]),"")</f>
        <v/>
      </c>
      <c r="R869" s="122" t="str">
        <f>IF(Tab.o1[[#This Row],[a1]]=1,((Tab.o1[[#This Row],[MedMod]]-AVERAGE(Tab.o1[MedMod]))/_xlfn.STDEV.P(Tab.o1[MedMod])*H$1203)+G$1203,"")</f>
        <v/>
      </c>
      <c r="S869" s="122" t="str">
        <f>IF(Tab.o1[[#This Row],[a1]]=1,((Tab.o1[[#This Row],[MedMod]]-AVERAGE(Tab.o1[MedMod]))/_xlfn.STDEV.P(Tab.o1[MedMod])*H$1204)+G$1204,"")</f>
        <v/>
      </c>
      <c r="T869" s="123" t="str">
        <f>IF(Tab.o1[[#This Row],[a1]]=1,Tab.o1[[#This Row],[Z-]]*_xlfn.STDEV.P(Tab.o1[B])+AVERAGE(Tab.o1[B]),"")</f>
        <v/>
      </c>
      <c r="U869" s="123" t="str">
        <f>IF(Tab.o1[[#This Row],[a1]]=1,Tab.o1[[#This Row],[z+]]*_xlfn.STDEV.P(Tab.o1[B])+AVERAGE(Tab.o1[B]),"")</f>
        <v/>
      </c>
      <c r="V869" s="124" t="str">
        <f>IF(Tab.o1[[#This Row],[a1]]=1,ABS((ABS(Tab.o1[[#This Row],[Red]]-Tab.o1[[#This Row],[Blue]]))),"")</f>
        <v/>
      </c>
      <c r="W869" s="125" t="str">
        <f>IF(Tab.o1[[#This Row],[a1]]=1,IF(W$3=0,1,Tab.o1[[#This Row],[Amp.]]*1/_xlfn.MINIFS(Tab.o1[Amp.],Tab.o1[Amp.],"&lt;&gt;0")),"")</f>
        <v/>
      </c>
      <c r="X869" s="126" t="str">
        <f>IF(Tab.o1[[#This Row],[a1]]=1,IF(ISNUMBER(Tab.o1[[#This Row],[i.]]),NORMDIST(Tab.o1[[#This Row],[Za]],0,1,FALSE)*Tab.o1[[#This Row],[i.]],AP$3),"")</f>
        <v/>
      </c>
      <c r="Y869" s="126" t="str">
        <f>IF(Tab.o1[[#This Row],[a1]]=1,0.01+0.94*Tab.o1[[#This Row],[PDF]]/MAX(Tab.o1[PDF]),"")</f>
        <v/>
      </c>
      <c r="Z869" s="126" t="str">
        <f>IF(Tab.o1[[#This Row],[a1]]=1,0.01+0.94*Tab.o1[[#This Row],[W1_PDF]]/MAX(Tab.o1[W1_PDF]),"")</f>
        <v/>
      </c>
      <c r="AA869" s="118" t="str">
        <f>IF(Tab.o1[[#This Row],[a1]]=1,ABS([1]!T.in.A[[#This Row],[oo6]]),"")</f>
        <v/>
      </c>
      <c r="AB869" s="127" t="str">
        <f>IF(Tab.o1[[#This Row],[a1]]=1,IF(AE$3=0,"",IF(AB$3=0,ABS([1]!T.in.A[[#This Row],[oo9]]),ABS(Tab.o1[[#This Row],[DIF_Target.]]*Tab.o1[[#This Row],[W1_PDF]]))),"")</f>
        <v/>
      </c>
      <c r="AC869" s="127" t="str">
        <f>IF(G$1=1,"",IF(Tab.o1[[#This Row],[a1]]=1,Tab.o1[[#This Row],[Wr]]^2,""))</f>
        <v/>
      </c>
      <c r="AD869" s="118" t="str">
        <f>IF(Tab.o1[[#This Row],[a1]]=1,IF(AE$3=0,"",Tab.o1[[#This Row],[Wr2]]/SUM(Tab.o1[Wr2])),"")</f>
        <v/>
      </c>
      <c r="AE869" s="128" t="str">
        <f>IF(Tab.o1[[#This Row],[a1]]=1,[1]!T.in.A[[#This Row],[oo10]],"")</f>
        <v/>
      </c>
      <c r="AF869" s="118" t="str">
        <f>IF(Tab.o1[[#This Row],[a1]]=1,ABS(Tab.o1[[#This Row],[DIF_Target.]]*Tab.o1[[#This Row],[PDF2]]*Tab.o1[[#This Row],[IN]]),"")</f>
        <v/>
      </c>
      <c r="AG869" s="129" t="str">
        <f>IF(Tab.o1[[#This Row],[a1]]=1,Tab.o1[[#This Row],[rW]]^2,"")</f>
        <v/>
      </c>
      <c r="AH869" s="130" t="str">
        <f>IF(Tab.o1[[#This Row],[a1]]=1,IF(AH$3=0,Tab.o1[[#This Row],[rW2]],0.01+0.94*Tab.o1[[#This Row],[rW2]]/SUM(Tab.o1[rW2])),"")</f>
        <v/>
      </c>
      <c r="AI869" s="128" t="str">
        <f>IF(Tab.o1[[#This Row],[a1]]=1,1/Tab.o1[[#This Row],[PDF]],"")</f>
        <v/>
      </c>
      <c r="AJ869" s="131" t="str">
        <f>IF(Tab.o1[[#This Row],[a1]]=1,[1]!T_AA[[#This Row],[IN'']]*[1]!T_AA[[#This Row],[Qde'']],"")</f>
        <v/>
      </c>
      <c r="AK869" s="132" t="str">
        <f>IF(Tab.o1[[#This Row],[a1]]=1,IF(AK$1=1,Tab.o1[[#This Row],[MED]]+Tab.o1[[#This Row],[MOD]]-Tab.o1[[#This Row],[MED]],""),"")</f>
        <v/>
      </c>
      <c r="AL869" s="133" t="str">
        <f>IF(Tab.o1[[#This Row],[a1]]=1,[1]!T.in.A[[#This Row],[oo16]],"")</f>
        <v/>
      </c>
      <c r="AM869" s="133" t="str">
        <f>IF(Tab.o1[[#This Row],[a1]]=1,IF(AM$3=1,[1]!T.in.A[[#This Row],[Σo16]],""),"")</f>
        <v/>
      </c>
      <c r="AN869" s="126" t="str">
        <f>IF(Tab.o1[[#This Row],[a1]]=1,[1]!T.in.A[[#This Row],[Σp5]],"")</f>
        <v/>
      </c>
      <c r="AO869" s="126" t="str">
        <f>IF(Tab.o1[[#This Row],[a1]]=1,IF(AO$3=1,[1]!T.in.A[[#This Row],[Σp5]],""),"")</f>
        <v/>
      </c>
      <c r="AP869" s="110" t="str">
        <f>IF(Tab.o1[[#This Row],[a1]]=1,IF(ISNUMBER(Tab.o1[[#This Row],[i.]]),NORMDIST(Tab.o1[[#This Row],[Za]],0,1,FALSE)*Tab.o1[[#This Row],[i.]],0),"")</f>
        <v/>
      </c>
      <c r="AQ869" s="125" t="str">
        <f>IF(Tab.o1[[#This Row],[a1]]=1,ABS(Tab.o1[[#This Row],[MOD]]-AVERAGE(Tab.o1[MOD])),"")</f>
        <v/>
      </c>
      <c r="AR869" s="134" t="str">
        <f>IF(Tab.o1[[#This Row],[a1]]=1,Tab.o1[[#This Row],[OBS]]/SUM(Tab.o1[OBS]),"")</f>
        <v/>
      </c>
      <c r="AS869" s="135" t="str">
        <f>IF(ISNUMBER(Tab.o1[[#This Row],[a1]]),ROW()-4,"")</f>
        <v/>
      </c>
      <c r="AT869" s="136" t="str">
        <f>Tab.o1[[#This Row],[MOD]]</f>
        <v/>
      </c>
      <c r="AU869" s="137" t="str">
        <f t="shared" si="53"/>
        <v/>
      </c>
      <c r="AV869" s="138" t="str">
        <f t="shared" si="54"/>
        <v/>
      </c>
      <c r="AW869" s="138" t="str">
        <f t="shared" si="55"/>
        <v/>
      </c>
      <c r="AX869" s="139" t="str">
        <f>[1]!T.in.A[[#This Row],[ID_T_manu]]</f>
        <v/>
      </c>
      <c r="AY869" s="140" t="str">
        <f>IF(ISNUMBER(Tab.o1[[#This Row],[a1]]),IF(AND(Tab.o1[[#This Row],[a1]]=1,Tab.o1[[#This Row],[b1]]&lt;=AY$4),#REF!,AY868),"")</f>
        <v/>
      </c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6"/>
      <c r="BO869" s="26"/>
      <c r="BP869" s="26"/>
      <c r="BQ869" s="26"/>
      <c r="BR869" s="26"/>
      <c r="BS869" s="26"/>
      <c r="BT869" s="26"/>
      <c r="BU869" s="26"/>
      <c r="BV869" s="26"/>
      <c r="BW869" s="26"/>
      <c r="BX869" s="26"/>
      <c r="BY869" s="26"/>
      <c r="BZ869" s="26"/>
      <c r="CA869" s="26"/>
    </row>
    <row r="870" spans="1:79" s="143" customFormat="1" ht="15.75" hidden="1">
      <c r="A870" s="109">
        <v>-4.0000000000000007E-6</v>
      </c>
      <c r="B870" s="110">
        <f t="shared" si="52"/>
        <v>870</v>
      </c>
      <c r="C870" s="111" t="str">
        <f>IF(C$1=[1]!T.in.A[[#This Row],[oo2]],1,"")</f>
        <v/>
      </c>
      <c r="D870" s="112" t="str">
        <f>IF(Tab.o1[[#This Row],[a1]]=1,IF(SUM(C870:C871)=0,0,IF(SUM(C869:C870)=1,1,IF(SUM(C869:C871)&gt;1,D869+1,0))),"")</f>
        <v/>
      </c>
      <c r="E870" s="113" t="str">
        <f>IF(Tab.o1[[#This Row],[a1]]=1,[1]!T.in.A[[#This Row],[oo1]],"")</f>
        <v/>
      </c>
      <c r="F870" s="113" t="str">
        <f>IF(Tab.o1[[#This Row],[a1]]=1,[1]!T.in.A[[#This Row],[pp1]],"")</f>
        <v/>
      </c>
      <c r="G870" s="114" t="str">
        <f>IF(Tab.o1[[#This Row],[a1]]=1,G$2+IF(G$1=1,0,Tab.o1[[#This Row],[.x1]])+[1]!T.in.A[[#This Row],[oo3]],"")</f>
        <v/>
      </c>
      <c r="H870" s="115" t="str">
        <f>IF(Tab.o1[[#This Row],[a1]]=1,IF(H$2=0,0,IF(G$1=1,0,Tab.o1[[#This Row],[.x1]])+[1]!T.in.A[[#This Row],[oo4]]),"")</f>
        <v/>
      </c>
      <c r="I870" s="116" t="str">
        <f>IF(Tab.o1[[#This Row],[a1]]=1,IF(J$2=0,Tab.o1[[#This Row],[MED]],Tab.o1[[#This Row],[MOD]]),"")</f>
        <v/>
      </c>
      <c r="J870" s="116" t="str">
        <f>IF(Tab.o1[[#This Row],[a1]]=1,((Tab.o1[[#This Row],[DIF_Target.]]-AVERAGE(Tab.o1[DIF_Target.]))/_xlfn.STDEV.P(Tab.o1[DIF_Target.])),"")</f>
        <v/>
      </c>
      <c r="K870" s="117" t="str">
        <f>IF(Tab.o1[[#This Row],[a1]]=1,IF(J$2=0,Tab.o1[[#This Row],[MOD]]-Tab.o1[[#This Row],[B]],IF(J$2=1,0,-Tab.o1[[#This Row],[MED]])+Tab.o1[[#This Row],[B]]),"")</f>
        <v/>
      </c>
      <c r="L870" s="117" t="str">
        <f ca="1">IF(Tab.o1[[#This Row],[DIF_Target]]=0,IF(L$2=0,Tab.o1[[#This Row],[DIF_Target]],AVERAGE(OFFSET(Tab.o1[[#This Row],[DIF_Target]],1,0,L$3,1)))/3,Tab.o1[[#This Row],[DIF_Target]])</f>
        <v/>
      </c>
      <c r="M870" s="118" t="str">
        <f>IF(Tab.o1[[#This Row],[a1]]=1,NORMSDIST(Tab.o1[[#This Row],[Za]]),"")</f>
        <v/>
      </c>
      <c r="N870" s="119" t="str">
        <f>IF(Tab.o1[[#This Row],[a1]]=1,((Tab.o1[[#This Row],[MedMod]]-AVERAGE(Tab.o1[MedMod]))/_xlfn.STDEV.P(Tab.o1[MedMod])*H$1205)+G$1205,"")</f>
        <v/>
      </c>
      <c r="O870" s="141" t="str">
        <f>IF(Tab.o1[[#This Row],[a1]]=1,Tab.o1[[#This Row],[Zb]]*_xlfn.STDEV.P(Tab.o1[MedMod])+AVERAGE(Tab.o1[MedMod]),"")</f>
        <v/>
      </c>
      <c r="P870" s="117" t="str">
        <f ca="1">IF(Tab.o1[[#This Row],[B]]=0,AVERAGE(OFFSET(Tab.o1[[#This Row],[B]],1,0,L$3,1)),Tab.o1[[#This Row],[B]])</f>
        <v/>
      </c>
      <c r="Q870" s="121" t="str">
        <f>IF(Tab.o1[[#This Row],[a1]]=1,NORMSDIST(Tab.o1[[#This Row],[Zb]]),"")</f>
        <v/>
      </c>
      <c r="R870" s="122" t="str">
        <f>IF(Tab.o1[[#This Row],[a1]]=1,((Tab.o1[[#This Row],[MedMod]]-AVERAGE(Tab.o1[MedMod]))/_xlfn.STDEV.P(Tab.o1[MedMod])*H$1203)+G$1203,"")</f>
        <v/>
      </c>
      <c r="S870" s="122" t="str">
        <f>IF(Tab.o1[[#This Row],[a1]]=1,((Tab.o1[[#This Row],[MedMod]]-AVERAGE(Tab.o1[MedMod]))/_xlfn.STDEV.P(Tab.o1[MedMod])*H$1204)+G$1204,"")</f>
        <v/>
      </c>
      <c r="T870" s="123" t="str">
        <f>IF(Tab.o1[[#This Row],[a1]]=1,Tab.o1[[#This Row],[Z-]]*_xlfn.STDEV.P(Tab.o1[B])+AVERAGE(Tab.o1[B]),"")</f>
        <v/>
      </c>
      <c r="U870" s="123" t="str">
        <f>IF(Tab.o1[[#This Row],[a1]]=1,Tab.o1[[#This Row],[z+]]*_xlfn.STDEV.P(Tab.o1[B])+AVERAGE(Tab.o1[B]),"")</f>
        <v/>
      </c>
      <c r="V870" s="124" t="str">
        <f>IF(Tab.o1[[#This Row],[a1]]=1,ABS((ABS(Tab.o1[[#This Row],[Red]]-Tab.o1[[#This Row],[Blue]]))),"")</f>
        <v/>
      </c>
      <c r="W870" s="125" t="str">
        <f>IF(Tab.o1[[#This Row],[a1]]=1,IF(W$3=0,1,Tab.o1[[#This Row],[Amp.]]*1/_xlfn.MINIFS(Tab.o1[Amp.],Tab.o1[Amp.],"&lt;&gt;0")),"")</f>
        <v/>
      </c>
      <c r="X870" s="126" t="str">
        <f>IF(Tab.o1[[#This Row],[a1]]=1,IF(ISNUMBER(Tab.o1[[#This Row],[i.]]),NORMDIST(Tab.o1[[#This Row],[Za]],0,1,FALSE)*Tab.o1[[#This Row],[i.]],AP$3),"")</f>
        <v/>
      </c>
      <c r="Y870" s="126" t="str">
        <f>IF(Tab.o1[[#This Row],[a1]]=1,0.01+0.94*Tab.o1[[#This Row],[PDF]]/MAX(Tab.o1[PDF]),"")</f>
        <v/>
      </c>
      <c r="Z870" s="126" t="str">
        <f>IF(Tab.o1[[#This Row],[a1]]=1,0.01+0.94*Tab.o1[[#This Row],[W1_PDF]]/MAX(Tab.o1[W1_PDF]),"")</f>
        <v/>
      </c>
      <c r="AA870" s="118" t="str">
        <f>IF(Tab.o1[[#This Row],[a1]]=1,ABS([1]!T.in.A[[#This Row],[oo6]]),"")</f>
        <v/>
      </c>
      <c r="AB870" s="127" t="str">
        <f>IF(Tab.o1[[#This Row],[a1]]=1,IF(AE$3=0,"",IF(AB$3=0,ABS([1]!T.in.A[[#This Row],[oo9]]),ABS(Tab.o1[[#This Row],[DIF_Target.]]*Tab.o1[[#This Row],[W1_PDF]]))),"")</f>
        <v/>
      </c>
      <c r="AC870" s="127" t="str">
        <f>IF(G$1=1,"",IF(Tab.o1[[#This Row],[a1]]=1,Tab.o1[[#This Row],[Wr]]^2,""))</f>
        <v/>
      </c>
      <c r="AD870" s="118" t="str">
        <f>IF(Tab.o1[[#This Row],[a1]]=1,IF(AE$3=0,"",Tab.o1[[#This Row],[Wr2]]/SUM(Tab.o1[Wr2])),"")</f>
        <v/>
      </c>
      <c r="AE870" s="128" t="str">
        <f>IF(Tab.o1[[#This Row],[a1]]=1,[1]!T.in.A[[#This Row],[oo10]],"")</f>
        <v/>
      </c>
      <c r="AF870" s="118" t="str">
        <f>IF(Tab.o1[[#This Row],[a1]]=1,ABS(Tab.o1[[#This Row],[DIF_Target.]]*Tab.o1[[#This Row],[PDF2]]*Tab.o1[[#This Row],[IN]]),"")</f>
        <v/>
      </c>
      <c r="AG870" s="129" t="str">
        <f>IF(Tab.o1[[#This Row],[a1]]=1,Tab.o1[[#This Row],[rW]]^2,"")</f>
        <v/>
      </c>
      <c r="AH870" s="130" t="str">
        <f>IF(Tab.o1[[#This Row],[a1]]=1,IF(AH$3=0,Tab.o1[[#This Row],[rW2]],0.01+0.94*Tab.o1[[#This Row],[rW2]]/SUM(Tab.o1[rW2])),"")</f>
        <v/>
      </c>
      <c r="AI870" s="128" t="str">
        <f>IF(Tab.o1[[#This Row],[a1]]=1,1/Tab.o1[[#This Row],[PDF]],"")</f>
        <v/>
      </c>
      <c r="AJ870" s="131" t="str">
        <f>IF(Tab.o1[[#This Row],[a1]]=1,[1]!T_AA[[#This Row],[IN'']]*[1]!T_AA[[#This Row],[Qde'']],"")</f>
        <v/>
      </c>
      <c r="AK870" s="132" t="str">
        <f>IF(Tab.o1[[#This Row],[a1]]=1,IF(AK$1=1,Tab.o1[[#This Row],[MED]]+Tab.o1[[#This Row],[MOD]]-Tab.o1[[#This Row],[MED]],""),"")</f>
        <v/>
      </c>
      <c r="AL870" s="133" t="str">
        <f>IF(Tab.o1[[#This Row],[a1]]=1,[1]!T.in.A[[#This Row],[oo16]],"")</f>
        <v/>
      </c>
      <c r="AM870" s="133" t="str">
        <f>IF(Tab.o1[[#This Row],[a1]]=1,IF(AM$3=1,[1]!T.in.A[[#This Row],[Σo16]],""),"")</f>
        <v/>
      </c>
      <c r="AN870" s="126" t="str">
        <f>IF(Tab.o1[[#This Row],[a1]]=1,[1]!T.in.A[[#This Row],[Σp5]],"")</f>
        <v/>
      </c>
      <c r="AO870" s="126" t="str">
        <f>IF(Tab.o1[[#This Row],[a1]]=1,IF(AO$3=1,[1]!T.in.A[[#This Row],[Σp5]],""),"")</f>
        <v/>
      </c>
      <c r="AP870" s="110" t="str">
        <f>IF(Tab.o1[[#This Row],[a1]]=1,IF(ISNUMBER(Tab.o1[[#This Row],[i.]]),NORMDIST(Tab.o1[[#This Row],[Za]],0,1,FALSE)*Tab.o1[[#This Row],[i.]],0),"")</f>
        <v/>
      </c>
      <c r="AQ870" s="125" t="str">
        <f>IF(Tab.o1[[#This Row],[a1]]=1,ABS(Tab.o1[[#This Row],[MOD]]-AVERAGE(Tab.o1[MOD])),"")</f>
        <v/>
      </c>
      <c r="AR870" s="134" t="str">
        <f>IF(Tab.o1[[#This Row],[a1]]=1,Tab.o1[[#This Row],[OBS]]/SUM(Tab.o1[OBS]),"")</f>
        <v/>
      </c>
      <c r="AS870" s="135" t="str">
        <f>IF(ISNUMBER(Tab.o1[[#This Row],[a1]]),ROW()-4,"")</f>
        <v/>
      </c>
      <c r="AT870" s="136" t="str">
        <f>Tab.o1[[#This Row],[MOD]]</f>
        <v/>
      </c>
      <c r="AU870" s="137" t="str">
        <f t="shared" si="53"/>
        <v/>
      </c>
      <c r="AV870" s="138" t="str">
        <f t="shared" si="54"/>
        <v/>
      </c>
      <c r="AW870" s="138" t="str">
        <f t="shared" si="55"/>
        <v/>
      </c>
      <c r="AX870" s="139" t="str">
        <f>[1]!T.in.A[[#This Row],[ID_T_manu]]</f>
        <v/>
      </c>
      <c r="AY870" s="140" t="str">
        <f>IF(ISNUMBER(Tab.o1[[#This Row],[a1]]),IF(AND(Tab.o1[[#This Row],[a1]]=1,Tab.o1[[#This Row],[b1]]&lt;=AY$4),#REF!,AY869),"")</f>
        <v/>
      </c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6"/>
      <c r="BO870" s="26"/>
      <c r="BP870" s="26"/>
      <c r="BQ870" s="26"/>
      <c r="BR870" s="26"/>
      <c r="BS870" s="26"/>
      <c r="BT870" s="26"/>
      <c r="BU870" s="26"/>
      <c r="BV870" s="26"/>
      <c r="BW870" s="26"/>
      <c r="BX870" s="26"/>
      <c r="BY870" s="26"/>
      <c r="BZ870" s="26"/>
      <c r="CA870" s="26"/>
    </row>
    <row r="871" spans="1:79" s="143" customFormat="1" ht="15.75" hidden="1">
      <c r="A871" s="109">
        <v>-2.9999999999999997E-6</v>
      </c>
      <c r="B871" s="110">
        <f t="shared" si="52"/>
        <v>871</v>
      </c>
      <c r="C871" s="111" t="str">
        <f>IF(C$1=[1]!T.in.A[[#This Row],[oo2]],1,"")</f>
        <v/>
      </c>
      <c r="D871" s="112" t="str">
        <f>IF(Tab.o1[[#This Row],[a1]]=1,IF(SUM(C871:C872)=0,0,IF(SUM(C870:C871)=1,1,IF(SUM(C870:C872)&gt;1,D870+1,0))),"")</f>
        <v/>
      </c>
      <c r="E871" s="113" t="str">
        <f>IF(Tab.o1[[#This Row],[a1]]=1,[1]!T.in.A[[#This Row],[oo1]],"")</f>
        <v/>
      </c>
      <c r="F871" s="113" t="str">
        <f>IF(Tab.o1[[#This Row],[a1]]=1,[1]!T.in.A[[#This Row],[pp1]],"")</f>
        <v/>
      </c>
      <c r="G871" s="114" t="str">
        <f>IF(Tab.o1[[#This Row],[a1]]=1,G$2+IF(G$1=1,0,Tab.o1[[#This Row],[.x1]])+[1]!T.in.A[[#This Row],[oo3]],"")</f>
        <v/>
      </c>
      <c r="H871" s="115" t="str">
        <f>IF(Tab.o1[[#This Row],[a1]]=1,IF(H$2=0,0,IF(G$1=1,0,Tab.o1[[#This Row],[.x1]])+[1]!T.in.A[[#This Row],[oo4]]),"")</f>
        <v/>
      </c>
      <c r="I871" s="116" t="str">
        <f>IF(Tab.o1[[#This Row],[a1]]=1,IF(J$2=0,Tab.o1[[#This Row],[MED]],Tab.o1[[#This Row],[MOD]]),"")</f>
        <v/>
      </c>
      <c r="J871" s="116" t="str">
        <f>IF(Tab.o1[[#This Row],[a1]]=1,((Tab.o1[[#This Row],[DIF_Target.]]-AVERAGE(Tab.o1[DIF_Target.]))/_xlfn.STDEV.P(Tab.o1[DIF_Target.])),"")</f>
        <v/>
      </c>
      <c r="K871" s="117" t="str">
        <f>IF(Tab.o1[[#This Row],[a1]]=1,IF(J$2=0,Tab.o1[[#This Row],[MOD]]-Tab.o1[[#This Row],[B]],IF(J$2=1,0,-Tab.o1[[#This Row],[MED]])+Tab.o1[[#This Row],[B]]),"")</f>
        <v/>
      </c>
      <c r="L871" s="117" t="str">
        <f ca="1">IF(Tab.o1[[#This Row],[DIF_Target]]=0,IF(L$2=0,Tab.o1[[#This Row],[DIF_Target]],AVERAGE(OFFSET(Tab.o1[[#This Row],[DIF_Target]],1,0,L$3,1)))/3,Tab.o1[[#This Row],[DIF_Target]])</f>
        <v/>
      </c>
      <c r="M871" s="118" t="str">
        <f>IF(Tab.o1[[#This Row],[a1]]=1,NORMSDIST(Tab.o1[[#This Row],[Za]]),"")</f>
        <v/>
      </c>
      <c r="N871" s="119" t="str">
        <f>IF(Tab.o1[[#This Row],[a1]]=1,((Tab.o1[[#This Row],[MedMod]]-AVERAGE(Tab.o1[MedMod]))/_xlfn.STDEV.P(Tab.o1[MedMod])*H$1205)+G$1205,"")</f>
        <v/>
      </c>
      <c r="O871" s="141" t="str">
        <f>IF(Tab.o1[[#This Row],[a1]]=1,Tab.o1[[#This Row],[Zb]]*_xlfn.STDEV.P(Tab.o1[MedMod])+AVERAGE(Tab.o1[MedMod]),"")</f>
        <v/>
      </c>
      <c r="P871" s="117" t="str">
        <f ca="1">IF(Tab.o1[[#This Row],[B]]=0,AVERAGE(OFFSET(Tab.o1[[#This Row],[B]],1,0,L$3,1)),Tab.o1[[#This Row],[B]])</f>
        <v/>
      </c>
      <c r="Q871" s="121" t="str">
        <f>IF(Tab.o1[[#This Row],[a1]]=1,NORMSDIST(Tab.o1[[#This Row],[Zb]]),"")</f>
        <v/>
      </c>
      <c r="R871" s="122" t="str">
        <f>IF(Tab.o1[[#This Row],[a1]]=1,((Tab.o1[[#This Row],[MedMod]]-AVERAGE(Tab.o1[MedMod]))/_xlfn.STDEV.P(Tab.o1[MedMod])*H$1203)+G$1203,"")</f>
        <v/>
      </c>
      <c r="S871" s="122" t="str">
        <f>IF(Tab.o1[[#This Row],[a1]]=1,((Tab.o1[[#This Row],[MedMod]]-AVERAGE(Tab.o1[MedMod]))/_xlfn.STDEV.P(Tab.o1[MedMod])*H$1204)+G$1204,"")</f>
        <v/>
      </c>
      <c r="T871" s="123" t="str">
        <f>IF(Tab.o1[[#This Row],[a1]]=1,Tab.o1[[#This Row],[Z-]]*_xlfn.STDEV.P(Tab.o1[B])+AVERAGE(Tab.o1[B]),"")</f>
        <v/>
      </c>
      <c r="U871" s="123" t="str">
        <f>IF(Tab.o1[[#This Row],[a1]]=1,Tab.o1[[#This Row],[z+]]*_xlfn.STDEV.P(Tab.o1[B])+AVERAGE(Tab.o1[B]),"")</f>
        <v/>
      </c>
      <c r="V871" s="124" t="str">
        <f>IF(Tab.o1[[#This Row],[a1]]=1,ABS((ABS(Tab.o1[[#This Row],[Red]]-Tab.o1[[#This Row],[Blue]]))),"")</f>
        <v/>
      </c>
      <c r="W871" s="125" t="str">
        <f>IF(Tab.o1[[#This Row],[a1]]=1,IF(W$3=0,1,Tab.o1[[#This Row],[Amp.]]*1/_xlfn.MINIFS(Tab.o1[Amp.],Tab.o1[Amp.],"&lt;&gt;0")),"")</f>
        <v/>
      </c>
      <c r="X871" s="126" t="str">
        <f>IF(Tab.o1[[#This Row],[a1]]=1,IF(ISNUMBER(Tab.o1[[#This Row],[i.]]),NORMDIST(Tab.o1[[#This Row],[Za]],0,1,FALSE)*Tab.o1[[#This Row],[i.]],AP$3),"")</f>
        <v/>
      </c>
      <c r="Y871" s="126" t="str">
        <f>IF(Tab.o1[[#This Row],[a1]]=1,0.01+0.94*Tab.o1[[#This Row],[PDF]]/MAX(Tab.o1[PDF]),"")</f>
        <v/>
      </c>
      <c r="Z871" s="126" t="str">
        <f>IF(Tab.o1[[#This Row],[a1]]=1,0.01+0.94*Tab.o1[[#This Row],[W1_PDF]]/MAX(Tab.o1[W1_PDF]),"")</f>
        <v/>
      </c>
      <c r="AA871" s="118" t="str">
        <f>IF(Tab.o1[[#This Row],[a1]]=1,ABS([1]!T.in.A[[#This Row],[oo6]]),"")</f>
        <v/>
      </c>
      <c r="AB871" s="127" t="str">
        <f>IF(Tab.o1[[#This Row],[a1]]=1,IF(AE$3=0,"",IF(AB$3=0,ABS([1]!T.in.A[[#This Row],[oo9]]),ABS(Tab.o1[[#This Row],[DIF_Target.]]*Tab.o1[[#This Row],[W1_PDF]]))),"")</f>
        <v/>
      </c>
      <c r="AC871" s="127" t="str">
        <f>IF(G$1=1,"",IF(Tab.o1[[#This Row],[a1]]=1,Tab.o1[[#This Row],[Wr]]^2,""))</f>
        <v/>
      </c>
      <c r="AD871" s="118" t="str">
        <f>IF(Tab.o1[[#This Row],[a1]]=1,IF(AE$3=0,"",Tab.o1[[#This Row],[Wr2]]/SUM(Tab.o1[Wr2])),"")</f>
        <v/>
      </c>
      <c r="AE871" s="128" t="str">
        <f>IF(Tab.o1[[#This Row],[a1]]=1,[1]!T.in.A[[#This Row],[oo10]],"")</f>
        <v/>
      </c>
      <c r="AF871" s="118" t="str">
        <f>IF(Tab.o1[[#This Row],[a1]]=1,ABS(Tab.o1[[#This Row],[DIF_Target.]]*Tab.o1[[#This Row],[PDF2]]*Tab.o1[[#This Row],[IN]]),"")</f>
        <v/>
      </c>
      <c r="AG871" s="129" t="str">
        <f>IF(Tab.o1[[#This Row],[a1]]=1,Tab.o1[[#This Row],[rW]]^2,"")</f>
        <v/>
      </c>
      <c r="AH871" s="130" t="str">
        <f>IF(Tab.o1[[#This Row],[a1]]=1,IF(AH$3=0,Tab.o1[[#This Row],[rW2]],0.01+0.94*Tab.o1[[#This Row],[rW2]]/SUM(Tab.o1[rW2])),"")</f>
        <v/>
      </c>
      <c r="AI871" s="128" t="str">
        <f>IF(Tab.o1[[#This Row],[a1]]=1,1/Tab.o1[[#This Row],[PDF]],"")</f>
        <v/>
      </c>
      <c r="AJ871" s="131" t="str">
        <f>IF(Tab.o1[[#This Row],[a1]]=1,[1]!T_AA[[#This Row],[IN'']]*[1]!T_AA[[#This Row],[Qde'']],"")</f>
        <v/>
      </c>
      <c r="AK871" s="132" t="str">
        <f>IF(Tab.o1[[#This Row],[a1]]=1,IF(AK$1=1,Tab.o1[[#This Row],[MED]]+Tab.o1[[#This Row],[MOD]]-Tab.o1[[#This Row],[MED]],""),"")</f>
        <v/>
      </c>
      <c r="AL871" s="133" t="str">
        <f>IF(Tab.o1[[#This Row],[a1]]=1,[1]!T.in.A[[#This Row],[oo16]],"")</f>
        <v/>
      </c>
      <c r="AM871" s="133" t="str">
        <f>IF(Tab.o1[[#This Row],[a1]]=1,IF(AM$3=1,[1]!T.in.A[[#This Row],[Σo16]],""),"")</f>
        <v/>
      </c>
      <c r="AN871" s="126" t="str">
        <f>IF(Tab.o1[[#This Row],[a1]]=1,[1]!T.in.A[[#This Row],[Σp5]],"")</f>
        <v/>
      </c>
      <c r="AO871" s="126" t="str">
        <f>IF(Tab.o1[[#This Row],[a1]]=1,IF(AO$3=1,[1]!T.in.A[[#This Row],[Σp5]],""),"")</f>
        <v/>
      </c>
      <c r="AP871" s="110" t="str">
        <f>IF(Tab.o1[[#This Row],[a1]]=1,IF(ISNUMBER(Tab.o1[[#This Row],[i.]]),NORMDIST(Tab.o1[[#This Row],[Za]],0,1,FALSE)*Tab.o1[[#This Row],[i.]],0),"")</f>
        <v/>
      </c>
      <c r="AQ871" s="125" t="str">
        <f>IF(Tab.o1[[#This Row],[a1]]=1,ABS(Tab.o1[[#This Row],[MOD]]-AVERAGE(Tab.o1[MOD])),"")</f>
        <v/>
      </c>
      <c r="AR871" s="134" t="str">
        <f>IF(Tab.o1[[#This Row],[a1]]=1,Tab.o1[[#This Row],[OBS]]/SUM(Tab.o1[OBS]),"")</f>
        <v/>
      </c>
      <c r="AS871" s="135" t="str">
        <f>IF(ISNUMBER(Tab.o1[[#This Row],[a1]]),ROW()-4,"")</f>
        <v/>
      </c>
      <c r="AT871" s="136" t="str">
        <f>Tab.o1[[#This Row],[MOD]]</f>
        <v/>
      </c>
      <c r="AU871" s="137" t="str">
        <f t="shared" si="53"/>
        <v/>
      </c>
      <c r="AV871" s="138" t="str">
        <f t="shared" si="54"/>
        <v/>
      </c>
      <c r="AW871" s="138" t="str">
        <f t="shared" si="55"/>
        <v/>
      </c>
      <c r="AX871" s="139" t="str">
        <f>[1]!T.in.A[[#This Row],[ID_T_manu]]</f>
        <v/>
      </c>
      <c r="AY871" s="140" t="str">
        <f>IF(ISNUMBER(Tab.o1[[#This Row],[a1]]),IF(AND(Tab.o1[[#This Row],[a1]]=1,Tab.o1[[#This Row],[b1]]&lt;=AY$4),#REF!,AY870),"")</f>
        <v/>
      </c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6"/>
      <c r="BO871" s="26"/>
      <c r="BP871" s="26"/>
      <c r="BQ871" s="26"/>
      <c r="BR871" s="26"/>
      <c r="BS871" s="26"/>
      <c r="BT871" s="26"/>
      <c r="BU871" s="26"/>
      <c r="BV871" s="26"/>
      <c r="BW871" s="26"/>
      <c r="BX871" s="26"/>
      <c r="BY871" s="26"/>
      <c r="BZ871" s="26"/>
      <c r="CA871" s="26"/>
    </row>
    <row r="872" spans="1:79" s="143" customFormat="1" ht="15.75" hidden="1">
      <c r="A872" s="109">
        <v>1.0000000000000002E-6</v>
      </c>
      <c r="B872" s="110">
        <f t="shared" si="52"/>
        <v>872</v>
      </c>
      <c r="C872" s="111" t="str">
        <f>IF(C$1=[1]!T.in.A[[#This Row],[oo2]],1,"")</f>
        <v/>
      </c>
      <c r="D872" s="112" t="str">
        <f>IF(Tab.o1[[#This Row],[a1]]=1,IF(SUM(C872:C873)=0,0,IF(SUM(C871:C872)=1,1,IF(SUM(C871:C873)&gt;1,D871+1,0))),"")</f>
        <v/>
      </c>
      <c r="E872" s="113" t="str">
        <f>IF(Tab.o1[[#This Row],[a1]]=1,[1]!T.in.A[[#This Row],[oo1]],"")</f>
        <v/>
      </c>
      <c r="F872" s="113" t="str">
        <f>IF(Tab.o1[[#This Row],[a1]]=1,[1]!T.in.A[[#This Row],[pp1]],"")</f>
        <v/>
      </c>
      <c r="G872" s="114" t="str">
        <f>IF(Tab.o1[[#This Row],[a1]]=1,G$2+IF(G$1=1,0,Tab.o1[[#This Row],[.x1]])+[1]!T.in.A[[#This Row],[oo3]],"")</f>
        <v/>
      </c>
      <c r="H872" s="115" t="str">
        <f>IF(Tab.o1[[#This Row],[a1]]=1,IF(H$2=0,0,IF(G$1=1,0,Tab.o1[[#This Row],[.x1]])+[1]!T.in.A[[#This Row],[oo4]]),"")</f>
        <v/>
      </c>
      <c r="I872" s="116" t="str">
        <f>IF(Tab.o1[[#This Row],[a1]]=1,IF(J$2=0,Tab.o1[[#This Row],[MED]],Tab.o1[[#This Row],[MOD]]),"")</f>
        <v/>
      </c>
      <c r="J872" s="116" t="str">
        <f>IF(Tab.o1[[#This Row],[a1]]=1,((Tab.o1[[#This Row],[DIF_Target.]]-AVERAGE(Tab.o1[DIF_Target.]))/_xlfn.STDEV.P(Tab.o1[DIF_Target.])),"")</f>
        <v/>
      </c>
      <c r="K872" s="117" t="str">
        <f>IF(Tab.o1[[#This Row],[a1]]=1,IF(J$2=0,Tab.o1[[#This Row],[MOD]]-Tab.o1[[#This Row],[B]],IF(J$2=1,0,-Tab.o1[[#This Row],[MED]])+Tab.o1[[#This Row],[B]]),"")</f>
        <v/>
      </c>
      <c r="L872" s="117" t="str">
        <f ca="1">IF(Tab.o1[[#This Row],[DIF_Target]]=0,IF(L$2=0,Tab.o1[[#This Row],[DIF_Target]],AVERAGE(OFFSET(Tab.o1[[#This Row],[DIF_Target]],1,0,L$3,1)))/3,Tab.o1[[#This Row],[DIF_Target]])</f>
        <v/>
      </c>
      <c r="M872" s="118" t="str">
        <f>IF(Tab.o1[[#This Row],[a1]]=1,NORMSDIST(Tab.o1[[#This Row],[Za]]),"")</f>
        <v/>
      </c>
      <c r="N872" s="119" t="str">
        <f>IF(Tab.o1[[#This Row],[a1]]=1,((Tab.o1[[#This Row],[MedMod]]-AVERAGE(Tab.o1[MedMod]))/_xlfn.STDEV.P(Tab.o1[MedMod])*H$1205)+G$1205,"")</f>
        <v/>
      </c>
      <c r="O872" s="141" t="str">
        <f>IF(Tab.o1[[#This Row],[a1]]=1,Tab.o1[[#This Row],[Zb]]*_xlfn.STDEV.P(Tab.o1[MedMod])+AVERAGE(Tab.o1[MedMod]),"")</f>
        <v/>
      </c>
      <c r="P872" s="117" t="str">
        <f ca="1">IF(Tab.o1[[#This Row],[B]]=0,AVERAGE(OFFSET(Tab.o1[[#This Row],[B]],1,0,L$3,1)),Tab.o1[[#This Row],[B]])</f>
        <v/>
      </c>
      <c r="Q872" s="121" t="str">
        <f>IF(Tab.o1[[#This Row],[a1]]=1,NORMSDIST(Tab.o1[[#This Row],[Zb]]),"")</f>
        <v/>
      </c>
      <c r="R872" s="122" t="str">
        <f>IF(Tab.o1[[#This Row],[a1]]=1,((Tab.o1[[#This Row],[MedMod]]-AVERAGE(Tab.o1[MedMod]))/_xlfn.STDEV.P(Tab.o1[MedMod])*H$1203)+G$1203,"")</f>
        <v/>
      </c>
      <c r="S872" s="122" t="str">
        <f>IF(Tab.o1[[#This Row],[a1]]=1,((Tab.o1[[#This Row],[MedMod]]-AVERAGE(Tab.o1[MedMod]))/_xlfn.STDEV.P(Tab.o1[MedMod])*H$1204)+G$1204,"")</f>
        <v/>
      </c>
      <c r="T872" s="123" t="str">
        <f>IF(Tab.o1[[#This Row],[a1]]=1,Tab.o1[[#This Row],[Z-]]*_xlfn.STDEV.P(Tab.o1[B])+AVERAGE(Tab.o1[B]),"")</f>
        <v/>
      </c>
      <c r="U872" s="123" t="str">
        <f>IF(Tab.o1[[#This Row],[a1]]=1,Tab.o1[[#This Row],[z+]]*_xlfn.STDEV.P(Tab.o1[B])+AVERAGE(Tab.o1[B]),"")</f>
        <v/>
      </c>
      <c r="V872" s="124" t="str">
        <f>IF(Tab.o1[[#This Row],[a1]]=1,ABS((ABS(Tab.o1[[#This Row],[Red]]-Tab.o1[[#This Row],[Blue]]))),"")</f>
        <v/>
      </c>
      <c r="W872" s="125" t="str">
        <f>IF(Tab.o1[[#This Row],[a1]]=1,IF(W$3=0,1,Tab.o1[[#This Row],[Amp.]]*1/_xlfn.MINIFS(Tab.o1[Amp.],Tab.o1[Amp.],"&lt;&gt;0")),"")</f>
        <v/>
      </c>
      <c r="X872" s="126" t="str">
        <f>IF(Tab.o1[[#This Row],[a1]]=1,IF(ISNUMBER(Tab.o1[[#This Row],[i.]]),NORMDIST(Tab.o1[[#This Row],[Za]],0,1,FALSE)*Tab.o1[[#This Row],[i.]],AP$3),"")</f>
        <v/>
      </c>
      <c r="Y872" s="126" t="str">
        <f>IF(Tab.o1[[#This Row],[a1]]=1,0.01+0.94*Tab.o1[[#This Row],[PDF]]/MAX(Tab.o1[PDF]),"")</f>
        <v/>
      </c>
      <c r="Z872" s="126" t="str">
        <f>IF(Tab.o1[[#This Row],[a1]]=1,0.01+0.94*Tab.o1[[#This Row],[W1_PDF]]/MAX(Tab.o1[W1_PDF]),"")</f>
        <v/>
      </c>
      <c r="AA872" s="118" t="str">
        <f>IF(Tab.o1[[#This Row],[a1]]=1,ABS([1]!T.in.A[[#This Row],[oo6]]),"")</f>
        <v/>
      </c>
      <c r="AB872" s="127" t="str">
        <f>IF(Tab.o1[[#This Row],[a1]]=1,IF(AE$3=0,"",IF(AB$3=0,ABS([1]!T.in.A[[#This Row],[oo9]]),ABS(Tab.o1[[#This Row],[DIF_Target.]]*Tab.o1[[#This Row],[W1_PDF]]))),"")</f>
        <v/>
      </c>
      <c r="AC872" s="127" t="str">
        <f>IF(G$1=1,"",IF(Tab.o1[[#This Row],[a1]]=1,Tab.o1[[#This Row],[Wr]]^2,""))</f>
        <v/>
      </c>
      <c r="AD872" s="118" t="str">
        <f>IF(Tab.o1[[#This Row],[a1]]=1,IF(AE$3=0,"",Tab.o1[[#This Row],[Wr2]]/SUM(Tab.o1[Wr2])),"")</f>
        <v/>
      </c>
      <c r="AE872" s="128" t="str">
        <f>IF(Tab.o1[[#This Row],[a1]]=1,[1]!T.in.A[[#This Row],[oo10]],"")</f>
        <v/>
      </c>
      <c r="AF872" s="118" t="str">
        <f>IF(Tab.o1[[#This Row],[a1]]=1,ABS(Tab.o1[[#This Row],[DIF_Target.]]*Tab.o1[[#This Row],[PDF2]]*Tab.o1[[#This Row],[IN]]),"")</f>
        <v/>
      </c>
      <c r="AG872" s="129" t="str">
        <f>IF(Tab.o1[[#This Row],[a1]]=1,Tab.o1[[#This Row],[rW]]^2,"")</f>
        <v/>
      </c>
      <c r="AH872" s="130" t="str">
        <f>IF(Tab.o1[[#This Row],[a1]]=1,IF(AH$3=0,Tab.o1[[#This Row],[rW2]],0.01+0.94*Tab.o1[[#This Row],[rW2]]/SUM(Tab.o1[rW2])),"")</f>
        <v/>
      </c>
      <c r="AI872" s="128" t="str">
        <f>IF(Tab.o1[[#This Row],[a1]]=1,1/Tab.o1[[#This Row],[PDF]],"")</f>
        <v/>
      </c>
      <c r="AJ872" s="131" t="str">
        <f>IF(Tab.o1[[#This Row],[a1]]=1,[1]!T_AA[[#This Row],[IN'']]*[1]!T_AA[[#This Row],[Qde'']],"")</f>
        <v/>
      </c>
      <c r="AK872" s="132" t="str">
        <f>IF(Tab.o1[[#This Row],[a1]]=1,IF(AK$1=1,Tab.o1[[#This Row],[MED]]+Tab.o1[[#This Row],[MOD]]-Tab.o1[[#This Row],[MED]],""),"")</f>
        <v/>
      </c>
      <c r="AL872" s="133" t="str">
        <f>IF(Tab.o1[[#This Row],[a1]]=1,[1]!T.in.A[[#This Row],[oo16]],"")</f>
        <v/>
      </c>
      <c r="AM872" s="133" t="str">
        <f>IF(Tab.o1[[#This Row],[a1]]=1,IF(AM$3=1,[1]!T.in.A[[#This Row],[Σo16]],""),"")</f>
        <v/>
      </c>
      <c r="AN872" s="126" t="str">
        <f>IF(Tab.o1[[#This Row],[a1]]=1,[1]!T.in.A[[#This Row],[Σp5]],"")</f>
        <v/>
      </c>
      <c r="AO872" s="126" t="str">
        <f>IF(Tab.o1[[#This Row],[a1]]=1,IF(AO$3=1,[1]!T.in.A[[#This Row],[Σp5]],""),"")</f>
        <v/>
      </c>
      <c r="AP872" s="110" t="str">
        <f>IF(Tab.o1[[#This Row],[a1]]=1,IF(ISNUMBER(Tab.o1[[#This Row],[i.]]),NORMDIST(Tab.o1[[#This Row],[Za]],0,1,FALSE)*Tab.o1[[#This Row],[i.]],0),"")</f>
        <v/>
      </c>
      <c r="AQ872" s="125" t="str">
        <f>IF(Tab.o1[[#This Row],[a1]]=1,ABS(Tab.o1[[#This Row],[MOD]]-AVERAGE(Tab.o1[MOD])),"")</f>
        <v/>
      </c>
      <c r="AR872" s="134" t="str">
        <f>IF(Tab.o1[[#This Row],[a1]]=1,Tab.o1[[#This Row],[OBS]]/SUM(Tab.o1[OBS]),"")</f>
        <v/>
      </c>
      <c r="AS872" s="135" t="str">
        <f>IF(ISNUMBER(Tab.o1[[#This Row],[a1]]),ROW()-4,"")</f>
        <v/>
      </c>
      <c r="AT872" s="136" t="str">
        <f>Tab.o1[[#This Row],[MOD]]</f>
        <v/>
      </c>
      <c r="AU872" s="137" t="str">
        <f t="shared" si="53"/>
        <v/>
      </c>
      <c r="AV872" s="138" t="str">
        <f t="shared" si="54"/>
        <v/>
      </c>
      <c r="AW872" s="138" t="str">
        <f t="shared" si="55"/>
        <v/>
      </c>
      <c r="AX872" s="139" t="str">
        <f>[1]!T.in.A[[#This Row],[ID_T_manu]]</f>
        <v/>
      </c>
      <c r="AY872" s="140" t="str">
        <f>IF(ISNUMBER(Tab.o1[[#This Row],[a1]]),IF(AND(Tab.o1[[#This Row],[a1]]=1,Tab.o1[[#This Row],[b1]]&lt;=AY$4),#REF!,AY871),"")</f>
        <v/>
      </c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6"/>
      <c r="BO872" s="26"/>
      <c r="BP872" s="26"/>
      <c r="BQ872" s="26"/>
      <c r="BR872" s="26"/>
      <c r="BS872" s="26"/>
      <c r="BT872" s="26"/>
      <c r="BU872" s="26"/>
      <c r="BV872" s="26"/>
      <c r="BW872" s="26"/>
      <c r="BX872" s="26"/>
      <c r="BY872" s="26"/>
      <c r="BZ872" s="26"/>
      <c r="CA872" s="26"/>
    </row>
    <row r="873" spans="1:79" s="143" customFormat="1" ht="15.75" hidden="1">
      <c r="A873" s="109">
        <v>9.0000000000000002E-6</v>
      </c>
      <c r="B873" s="110">
        <f t="shared" si="52"/>
        <v>873</v>
      </c>
      <c r="C873" s="111" t="str">
        <f>IF(C$1=[1]!T.in.A[[#This Row],[oo2]],1,"")</f>
        <v/>
      </c>
      <c r="D873" s="112" t="str">
        <f>IF(Tab.o1[[#This Row],[a1]]=1,IF(SUM(C873:C874)=0,0,IF(SUM(C872:C873)=1,1,IF(SUM(C872:C874)&gt;1,D872+1,0))),"")</f>
        <v/>
      </c>
      <c r="E873" s="113" t="str">
        <f>IF(Tab.o1[[#This Row],[a1]]=1,[1]!T.in.A[[#This Row],[oo1]],"")</f>
        <v/>
      </c>
      <c r="F873" s="113" t="str">
        <f>IF(Tab.o1[[#This Row],[a1]]=1,[1]!T.in.A[[#This Row],[pp1]],"")</f>
        <v/>
      </c>
      <c r="G873" s="114" t="str">
        <f>IF(Tab.o1[[#This Row],[a1]]=1,G$2+IF(G$1=1,0,Tab.o1[[#This Row],[.x1]])+[1]!T.in.A[[#This Row],[oo3]],"")</f>
        <v/>
      </c>
      <c r="H873" s="115" t="str">
        <f>IF(Tab.o1[[#This Row],[a1]]=1,IF(H$2=0,0,IF(G$1=1,0,Tab.o1[[#This Row],[.x1]])+[1]!T.in.A[[#This Row],[oo4]]),"")</f>
        <v/>
      </c>
      <c r="I873" s="116" t="str">
        <f>IF(Tab.o1[[#This Row],[a1]]=1,IF(J$2=0,Tab.o1[[#This Row],[MED]],Tab.o1[[#This Row],[MOD]]),"")</f>
        <v/>
      </c>
      <c r="J873" s="116" t="str">
        <f>IF(Tab.o1[[#This Row],[a1]]=1,((Tab.o1[[#This Row],[DIF_Target.]]-AVERAGE(Tab.o1[DIF_Target.]))/_xlfn.STDEV.P(Tab.o1[DIF_Target.])),"")</f>
        <v/>
      </c>
      <c r="K873" s="117" t="str">
        <f>IF(Tab.o1[[#This Row],[a1]]=1,IF(J$2=0,Tab.o1[[#This Row],[MOD]]-Tab.o1[[#This Row],[B]],IF(J$2=1,0,-Tab.o1[[#This Row],[MED]])+Tab.o1[[#This Row],[B]]),"")</f>
        <v/>
      </c>
      <c r="L873" s="117" t="str">
        <f ca="1">IF(Tab.o1[[#This Row],[DIF_Target]]=0,IF(L$2=0,Tab.o1[[#This Row],[DIF_Target]],AVERAGE(OFFSET(Tab.o1[[#This Row],[DIF_Target]],1,0,L$3,1)))/3,Tab.o1[[#This Row],[DIF_Target]])</f>
        <v/>
      </c>
      <c r="M873" s="118" t="str">
        <f>IF(Tab.o1[[#This Row],[a1]]=1,NORMSDIST(Tab.o1[[#This Row],[Za]]),"")</f>
        <v/>
      </c>
      <c r="N873" s="119" t="str">
        <f>IF(Tab.o1[[#This Row],[a1]]=1,((Tab.o1[[#This Row],[MedMod]]-AVERAGE(Tab.o1[MedMod]))/_xlfn.STDEV.P(Tab.o1[MedMod])*H$1205)+G$1205,"")</f>
        <v/>
      </c>
      <c r="O873" s="141" t="str">
        <f>IF(Tab.o1[[#This Row],[a1]]=1,Tab.o1[[#This Row],[Zb]]*_xlfn.STDEV.P(Tab.o1[MedMod])+AVERAGE(Tab.o1[MedMod]),"")</f>
        <v/>
      </c>
      <c r="P873" s="117" t="str">
        <f ca="1">IF(Tab.o1[[#This Row],[B]]=0,AVERAGE(OFFSET(Tab.o1[[#This Row],[B]],1,0,L$3,1)),Tab.o1[[#This Row],[B]])</f>
        <v/>
      </c>
      <c r="Q873" s="121" t="str">
        <f>IF(Tab.o1[[#This Row],[a1]]=1,NORMSDIST(Tab.o1[[#This Row],[Zb]]),"")</f>
        <v/>
      </c>
      <c r="R873" s="122" t="str">
        <f>IF(Tab.o1[[#This Row],[a1]]=1,((Tab.o1[[#This Row],[MedMod]]-AVERAGE(Tab.o1[MedMod]))/_xlfn.STDEV.P(Tab.o1[MedMod])*H$1203)+G$1203,"")</f>
        <v/>
      </c>
      <c r="S873" s="122" t="str">
        <f>IF(Tab.o1[[#This Row],[a1]]=1,((Tab.o1[[#This Row],[MedMod]]-AVERAGE(Tab.o1[MedMod]))/_xlfn.STDEV.P(Tab.o1[MedMod])*H$1204)+G$1204,"")</f>
        <v/>
      </c>
      <c r="T873" s="123" t="str">
        <f>IF(Tab.o1[[#This Row],[a1]]=1,Tab.o1[[#This Row],[Z-]]*_xlfn.STDEV.P(Tab.o1[B])+AVERAGE(Tab.o1[B]),"")</f>
        <v/>
      </c>
      <c r="U873" s="123" t="str">
        <f>IF(Tab.o1[[#This Row],[a1]]=1,Tab.o1[[#This Row],[z+]]*_xlfn.STDEV.P(Tab.o1[B])+AVERAGE(Tab.o1[B]),"")</f>
        <v/>
      </c>
      <c r="V873" s="124" t="str">
        <f>IF(Tab.o1[[#This Row],[a1]]=1,ABS((ABS(Tab.o1[[#This Row],[Red]]-Tab.o1[[#This Row],[Blue]]))),"")</f>
        <v/>
      </c>
      <c r="W873" s="125" t="str">
        <f>IF(Tab.o1[[#This Row],[a1]]=1,IF(W$3=0,1,Tab.o1[[#This Row],[Amp.]]*1/_xlfn.MINIFS(Tab.o1[Amp.],Tab.o1[Amp.],"&lt;&gt;0")),"")</f>
        <v/>
      </c>
      <c r="X873" s="126" t="str">
        <f>IF(Tab.o1[[#This Row],[a1]]=1,IF(ISNUMBER(Tab.o1[[#This Row],[i.]]),NORMDIST(Tab.o1[[#This Row],[Za]],0,1,FALSE)*Tab.o1[[#This Row],[i.]],AP$3),"")</f>
        <v/>
      </c>
      <c r="Y873" s="126" t="str">
        <f>IF(Tab.o1[[#This Row],[a1]]=1,0.01+0.94*Tab.o1[[#This Row],[PDF]]/MAX(Tab.o1[PDF]),"")</f>
        <v/>
      </c>
      <c r="Z873" s="126" t="str">
        <f>IF(Tab.o1[[#This Row],[a1]]=1,0.01+0.94*Tab.o1[[#This Row],[W1_PDF]]/MAX(Tab.o1[W1_PDF]),"")</f>
        <v/>
      </c>
      <c r="AA873" s="118" t="str">
        <f>IF(Tab.o1[[#This Row],[a1]]=1,ABS([1]!T.in.A[[#This Row],[oo6]]),"")</f>
        <v/>
      </c>
      <c r="AB873" s="127" t="str">
        <f>IF(Tab.o1[[#This Row],[a1]]=1,IF(AE$3=0,"",IF(AB$3=0,ABS([1]!T.in.A[[#This Row],[oo9]]),ABS(Tab.o1[[#This Row],[DIF_Target.]]*Tab.o1[[#This Row],[W1_PDF]]))),"")</f>
        <v/>
      </c>
      <c r="AC873" s="127" t="str">
        <f>IF(G$1=1,"",IF(Tab.o1[[#This Row],[a1]]=1,Tab.o1[[#This Row],[Wr]]^2,""))</f>
        <v/>
      </c>
      <c r="AD873" s="118" t="str">
        <f>IF(Tab.o1[[#This Row],[a1]]=1,IF(AE$3=0,"",Tab.o1[[#This Row],[Wr2]]/SUM(Tab.o1[Wr2])),"")</f>
        <v/>
      </c>
      <c r="AE873" s="128" t="str">
        <f>IF(Tab.o1[[#This Row],[a1]]=1,[1]!T.in.A[[#This Row],[oo10]],"")</f>
        <v/>
      </c>
      <c r="AF873" s="118" t="str">
        <f>IF(Tab.o1[[#This Row],[a1]]=1,ABS(Tab.o1[[#This Row],[DIF_Target.]]*Tab.o1[[#This Row],[PDF2]]*Tab.o1[[#This Row],[IN]]),"")</f>
        <v/>
      </c>
      <c r="AG873" s="129" t="str">
        <f>IF(Tab.o1[[#This Row],[a1]]=1,Tab.o1[[#This Row],[rW]]^2,"")</f>
        <v/>
      </c>
      <c r="AH873" s="130" t="str">
        <f>IF(Tab.o1[[#This Row],[a1]]=1,IF(AH$3=0,Tab.o1[[#This Row],[rW2]],0.01+0.94*Tab.o1[[#This Row],[rW2]]/SUM(Tab.o1[rW2])),"")</f>
        <v/>
      </c>
      <c r="AI873" s="128" t="str">
        <f>IF(Tab.o1[[#This Row],[a1]]=1,1/Tab.o1[[#This Row],[PDF]],"")</f>
        <v/>
      </c>
      <c r="AJ873" s="131" t="str">
        <f>IF(Tab.o1[[#This Row],[a1]]=1,[1]!T_AA[[#This Row],[IN'']]*[1]!T_AA[[#This Row],[Qde'']],"")</f>
        <v/>
      </c>
      <c r="AK873" s="132" t="str">
        <f>IF(Tab.o1[[#This Row],[a1]]=1,IF(AK$1=1,Tab.o1[[#This Row],[MED]]+Tab.o1[[#This Row],[MOD]]-Tab.o1[[#This Row],[MED]],""),"")</f>
        <v/>
      </c>
      <c r="AL873" s="133" t="str">
        <f>IF(Tab.o1[[#This Row],[a1]]=1,[1]!T.in.A[[#This Row],[oo16]],"")</f>
        <v/>
      </c>
      <c r="AM873" s="133" t="str">
        <f>IF(Tab.o1[[#This Row],[a1]]=1,IF(AM$3=1,[1]!T.in.A[[#This Row],[Σo16]],""),"")</f>
        <v/>
      </c>
      <c r="AN873" s="126" t="str">
        <f>IF(Tab.o1[[#This Row],[a1]]=1,[1]!T.in.A[[#This Row],[Σp5]],"")</f>
        <v/>
      </c>
      <c r="AO873" s="126" t="str">
        <f>IF(Tab.o1[[#This Row],[a1]]=1,IF(AO$3=1,[1]!T.in.A[[#This Row],[Σp5]],""),"")</f>
        <v/>
      </c>
      <c r="AP873" s="110" t="str">
        <f>IF(Tab.o1[[#This Row],[a1]]=1,IF(ISNUMBER(Tab.o1[[#This Row],[i.]]),NORMDIST(Tab.o1[[#This Row],[Za]],0,1,FALSE)*Tab.o1[[#This Row],[i.]],0),"")</f>
        <v/>
      </c>
      <c r="AQ873" s="125" t="str">
        <f>IF(Tab.o1[[#This Row],[a1]]=1,ABS(Tab.o1[[#This Row],[MOD]]-AVERAGE(Tab.o1[MOD])),"")</f>
        <v/>
      </c>
      <c r="AR873" s="134" t="str">
        <f>IF(Tab.o1[[#This Row],[a1]]=1,Tab.o1[[#This Row],[OBS]]/SUM(Tab.o1[OBS]),"")</f>
        <v/>
      </c>
      <c r="AS873" s="135" t="str">
        <f>IF(ISNUMBER(Tab.o1[[#This Row],[a1]]),ROW()-4,"")</f>
        <v/>
      </c>
      <c r="AT873" s="136" t="str">
        <f>Tab.o1[[#This Row],[MOD]]</f>
        <v/>
      </c>
      <c r="AU873" s="137" t="str">
        <f t="shared" si="53"/>
        <v/>
      </c>
      <c r="AV873" s="138" t="str">
        <f t="shared" si="54"/>
        <v/>
      </c>
      <c r="AW873" s="138" t="str">
        <f t="shared" si="55"/>
        <v/>
      </c>
      <c r="AX873" s="139" t="str">
        <f>[1]!T.in.A[[#This Row],[ID_T_manu]]</f>
        <v/>
      </c>
      <c r="AY873" s="140" t="str">
        <f>IF(ISNUMBER(Tab.o1[[#This Row],[a1]]),IF(AND(Tab.o1[[#This Row],[a1]]=1,Tab.o1[[#This Row],[b1]]&lt;=AY$4),#REF!,AY872),"")</f>
        <v/>
      </c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6"/>
      <c r="BO873" s="26"/>
      <c r="BP873" s="26"/>
      <c r="BQ873" s="26"/>
      <c r="BR873" s="26"/>
      <c r="BS873" s="26"/>
      <c r="BT873" s="26"/>
      <c r="BU873" s="26"/>
      <c r="BV873" s="26"/>
      <c r="BW873" s="26"/>
      <c r="BX873" s="26"/>
      <c r="BY873" s="26"/>
      <c r="BZ873" s="26"/>
      <c r="CA873" s="26"/>
    </row>
    <row r="874" spans="1:79" s="143" customFormat="1" ht="15.75" hidden="1">
      <c r="A874" s="109">
        <v>8.0000000000000013E-6</v>
      </c>
      <c r="B874" s="110">
        <f t="shared" si="52"/>
        <v>874</v>
      </c>
      <c r="C874" s="111" t="str">
        <f>IF(C$1=[1]!T.in.A[[#This Row],[oo2]],1,"")</f>
        <v/>
      </c>
      <c r="D874" s="112" t="str">
        <f>IF(Tab.o1[[#This Row],[a1]]=1,IF(SUM(C874:C875)=0,0,IF(SUM(C873:C874)=1,1,IF(SUM(C873:C875)&gt;1,D873+1,0))),"")</f>
        <v/>
      </c>
      <c r="E874" s="113" t="str">
        <f>IF(Tab.o1[[#This Row],[a1]]=1,[1]!T.in.A[[#This Row],[oo1]],"")</f>
        <v/>
      </c>
      <c r="F874" s="113" t="str">
        <f>IF(Tab.o1[[#This Row],[a1]]=1,[1]!T.in.A[[#This Row],[pp1]],"")</f>
        <v/>
      </c>
      <c r="G874" s="114" t="str">
        <f>IF(Tab.o1[[#This Row],[a1]]=1,G$2+IF(G$1=1,0,Tab.o1[[#This Row],[.x1]])+[1]!T.in.A[[#This Row],[oo3]],"")</f>
        <v/>
      </c>
      <c r="H874" s="115" t="str">
        <f>IF(Tab.o1[[#This Row],[a1]]=1,IF(H$2=0,0,IF(G$1=1,0,Tab.o1[[#This Row],[.x1]])+[1]!T.in.A[[#This Row],[oo4]]),"")</f>
        <v/>
      </c>
      <c r="I874" s="116" t="str">
        <f>IF(Tab.o1[[#This Row],[a1]]=1,IF(J$2=0,Tab.o1[[#This Row],[MED]],Tab.o1[[#This Row],[MOD]]),"")</f>
        <v/>
      </c>
      <c r="J874" s="116" t="str">
        <f>IF(Tab.o1[[#This Row],[a1]]=1,((Tab.o1[[#This Row],[DIF_Target.]]-AVERAGE(Tab.o1[DIF_Target.]))/_xlfn.STDEV.P(Tab.o1[DIF_Target.])),"")</f>
        <v/>
      </c>
      <c r="K874" s="117" t="str">
        <f>IF(Tab.o1[[#This Row],[a1]]=1,IF(J$2=0,Tab.o1[[#This Row],[MOD]]-Tab.o1[[#This Row],[B]],IF(J$2=1,0,-Tab.o1[[#This Row],[MED]])+Tab.o1[[#This Row],[B]]),"")</f>
        <v/>
      </c>
      <c r="L874" s="117" t="str">
        <f ca="1">IF(Tab.o1[[#This Row],[DIF_Target]]=0,IF(L$2=0,Tab.o1[[#This Row],[DIF_Target]],AVERAGE(OFFSET(Tab.o1[[#This Row],[DIF_Target]],1,0,L$3,1)))/3,Tab.o1[[#This Row],[DIF_Target]])</f>
        <v/>
      </c>
      <c r="M874" s="118" t="str">
        <f>IF(Tab.o1[[#This Row],[a1]]=1,NORMSDIST(Tab.o1[[#This Row],[Za]]),"")</f>
        <v/>
      </c>
      <c r="N874" s="119" t="str">
        <f>IF(Tab.o1[[#This Row],[a1]]=1,((Tab.o1[[#This Row],[MedMod]]-AVERAGE(Tab.o1[MedMod]))/_xlfn.STDEV.P(Tab.o1[MedMod])*H$1205)+G$1205,"")</f>
        <v/>
      </c>
      <c r="O874" s="141" t="str">
        <f>IF(Tab.o1[[#This Row],[a1]]=1,Tab.o1[[#This Row],[Zb]]*_xlfn.STDEV.P(Tab.o1[MedMod])+AVERAGE(Tab.o1[MedMod]),"")</f>
        <v/>
      </c>
      <c r="P874" s="117" t="str">
        <f ca="1">IF(Tab.o1[[#This Row],[B]]=0,AVERAGE(OFFSET(Tab.o1[[#This Row],[B]],1,0,L$3,1)),Tab.o1[[#This Row],[B]])</f>
        <v/>
      </c>
      <c r="Q874" s="121" t="str">
        <f>IF(Tab.o1[[#This Row],[a1]]=1,NORMSDIST(Tab.o1[[#This Row],[Zb]]),"")</f>
        <v/>
      </c>
      <c r="R874" s="122" t="str">
        <f>IF(Tab.o1[[#This Row],[a1]]=1,((Tab.o1[[#This Row],[MedMod]]-AVERAGE(Tab.o1[MedMod]))/_xlfn.STDEV.P(Tab.o1[MedMod])*H$1203)+G$1203,"")</f>
        <v/>
      </c>
      <c r="S874" s="122" t="str">
        <f>IF(Tab.o1[[#This Row],[a1]]=1,((Tab.o1[[#This Row],[MedMod]]-AVERAGE(Tab.o1[MedMod]))/_xlfn.STDEV.P(Tab.o1[MedMod])*H$1204)+G$1204,"")</f>
        <v/>
      </c>
      <c r="T874" s="123" t="str">
        <f>IF(Tab.o1[[#This Row],[a1]]=1,Tab.o1[[#This Row],[Z-]]*_xlfn.STDEV.P(Tab.o1[B])+AVERAGE(Tab.o1[B]),"")</f>
        <v/>
      </c>
      <c r="U874" s="123" t="str">
        <f>IF(Tab.o1[[#This Row],[a1]]=1,Tab.o1[[#This Row],[z+]]*_xlfn.STDEV.P(Tab.o1[B])+AVERAGE(Tab.o1[B]),"")</f>
        <v/>
      </c>
      <c r="V874" s="124" t="str">
        <f>IF(Tab.o1[[#This Row],[a1]]=1,ABS((ABS(Tab.o1[[#This Row],[Red]]-Tab.o1[[#This Row],[Blue]]))),"")</f>
        <v/>
      </c>
      <c r="W874" s="125" t="str">
        <f>IF(Tab.o1[[#This Row],[a1]]=1,IF(W$3=0,1,Tab.o1[[#This Row],[Amp.]]*1/_xlfn.MINIFS(Tab.o1[Amp.],Tab.o1[Amp.],"&lt;&gt;0")),"")</f>
        <v/>
      </c>
      <c r="X874" s="126" t="str">
        <f>IF(Tab.o1[[#This Row],[a1]]=1,IF(ISNUMBER(Tab.o1[[#This Row],[i.]]),NORMDIST(Tab.o1[[#This Row],[Za]],0,1,FALSE)*Tab.o1[[#This Row],[i.]],AP$3),"")</f>
        <v/>
      </c>
      <c r="Y874" s="126" t="str">
        <f>IF(Tab.o1[[#This Row],[a1]]=1,0.01+0.94*Tab.o1[[#This Row],[PDF]]/MAX(Tab.o1[PDF]),"")</f>
        <v/>
      </c>
      <c r="Z874" s="126" t="str">
        <f>IF(Tab.o1[[#This Row],[a1]]=1,0.01+0.94*Tab.o1[[#This Row],[W1_PDF]]/MAX(Tab.o1[W1_PDF]),"")</f>
        <v/>
      </c>
      <c r="AA874" s="118" t="str">
        <f>IF(Tab.o1[[#This Row],[a1]]=1,ABS([1]!T.in.A[[#This Row],[oo6]]),"")</f>
        <v/>
      </c>
      <c r="AB874" s="127" t="str">
        <f>IF(Tab.o1[[#This Row],[a1]]=1,IF(AE$3=0,"",IF(AB$3=0,ABS([1]!T.in.A[[#This Row],[oo9]]),ABS(Tab.o1[[#This Row],[DIF_Target.]]*Tab.o1[[#This Row],[W1_PDF]]))),"")</f>
        <v/>
      </c>
      <c r="AC874" s="127" t="str">
        <f>IF(G$1=1,"",IF(Tab.o1[[#This Row],[a1]]=1,Tab.o1[[#This Row],[Wr]]^2,""))</f>
        <v/>
      </c>
      <c r="AD874" s="118" t="str">
        <f>IF(Tab.o1[[#This Row],[a1]]=1,IF(AE$3=0,"",Tab.o1[[#This Row],[Wr2]]/SUM(Tab.o1[Wr2])),"")</f>
        <v/>
      </c>
      <c r="AE874" s="128" t="str">
        <f>IF(Tab.o1[[#This Row],[a1]]=1,[1]!T.in.A[[#This Row],[oo10]],"")</f>
        <v/>
      </c>
      <c r="AF874" s="118" t="str">
        <f>IF(Tab.o1[[#This Row],[a1]]=1,ABS(Tab.o1[[#This Row],[DIF_Target.]]*Tab.o1[[#This Row],[PDF2]]*Tab.o1[[#This Row],[IN]]),"")</f>
        <v/>
      </c>
      <c r="AG874" s="129" t="str">
        <f>IF(Tab.o1[[#This Row],[a1]]=1,Tab.o1[[#This Row],[rW]]^2,"")</f>
        <v/>
      </c>
      <c r="AH874" s="130" t="str">
        <f>IF(Tab.o1[[#This Row],[a1]]=1,IF(AH$3=0,Tab.o1[[#This Row],[rW2]],0.01+0.94*Tab.o1[[#This Row],[rW2]]/SUM(Tab.o1[rW2])),"")</f>
        <v/>
      </c>
      <c r="AI874" s="128" t="str">
        <f>IF(Tab.o1[[#This Row],[a1]]=1,1/Tab.o1[[#This Row],[PDF]],"")</f>
        <v/>
      </c>
      <c r="AJ874" s="131" t="str">
        <f>IF(Tab.o1[[#This Row],[a1]]=1,[1]!T_AA[[#This Row],[IN'']]*[1]!T_AA[[#This Row],[Qde'']],"")</f>
        <v/>
      </c>
      <c r="AK874" s="132" t="str">
        <f>IF(Tab.o1[[#This Row],[a1]]=1,IF(AK$1=1,Tab.o1[[#This Row],[MED]]+Tab.o1[[#This Row],[MOD]]-Tab.o1[[#This Row],[MED]],""),"")</f>
        <v/>
      </c>
      <c r="AL874" s="133" t="str">
        <f>IF(Tab.o1[[#This Row],[a1]]=1,[1]!T.in.A[[#This Row],[oo16]],"")</f>
        <v/>
      </c>
      <c r="AM874" s="133" t="str">
        <f>IF(Tab.o1[[#This Row],[a1]]=1,IF(AM$3=1,[1]!T.in.A[[#This Row],[Σo16]],""),"")</f>
        <v/>
      </c>
      <c r="AN874" s="126" t="str">
        <f>IF(Tab.o1[[#This Row],[a1]]=1,[1]!T.in.A[[#This Row],[Σp5]],"")</f>
        <v/>
      </c>
      <c r="AO874" s="126" t="str">
        <f>IF(Tab.o1[[#This Row],[a1]]=1,IF(AO$3=1,[1]!T.in.A[[#This Row],[Σp5]],""),"")</f>
        <v/>
      </c>
      <c r="AP874" s="110" t="str">
        <f>IF(Tab.o1[[#This Row],[a1]]=1,IF(ISNUMBER(Tab.o1[[#This Row],[i.]]),NORMDIST(Tab.o1[[#This Row],[Za]],0,1,FALSE)*Tab.o1[[#This Row],[i.]],0),"")</f>
        <v/>
      </c>
      <c r="AQ874" s="125" t="str">
        <f>IF(Tab.o1[[#This Row],[a1]]=1,ABS(Tab.o1[[#This Row],[MOD]]-AVERAGE(Tab.o1[MOD])),"")</f>
        <v/>
      </c>
      <c r="AR874" s="134" t="str">
        <f>IF(Tab.o1[[#This Row],[a1]]=1,Tab.o1[[#This Row],[OBS]]/SUM(Tab.o1[OBS]),"")</f>
        <v/>
      </c>
      <c r="AS874" s="135" t="str">
        <f>IF(ISNUMBER(Tab.o1[[#This Row],[a1]]),ROW()-4,"")</f>
        <v/>
      </c>
      <c r="AT874" s="136" t="str">
        <f>Tab.o1[[#This Row],[MOD]]</f>
        <v/>
      </c>
      <c r="AU874" s="137" t="str">
        <f t="shared" si="53"/>
        <v/>
      </c>
      <c r="AV874" s="138" t="str">
        <f t="shared" si="54"/>
        <v/>
      </c>
      <c r="AW874" s="138" t="str">
        <f t="shared" si="55"/>
        <v/>
      </c>
      <c r="AX874" s="139" t="str">
        <f>[1]!T.in.A[[#This Row],[ID_T_manu]]</f>
        <v/>
      </c>
      <c r="AY874" s="140" t="str">
        <f>IF(ISNUMBER(Tab.o1[[#This Row],[a1]]),IF(AND(Tab.o1[[#This Row],[a1]]=1,Tab.o1[[#This Row],[b1]]&lt;=AY$4),#REF!,AY873),"")</f>
        <v/>
      </c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6"/>
      <c r="BO874" s="26"/>
      <c r="BP874" s="26"/>
      <c r="BQ874" s="26"/>
      <c r="BR874" s="26"/>
      <c r="BS874" s="26"/>
      <c r="BT874" s="26"/>
      <c r="BU874" s="26"/>
      <c r="BV874" s="26"/>
      <c r="BW874" s="26"/>
      <c r="BX874" s="26"/>
      <c r="BY874" s="26"/>
      <c r="BZ874" s="26"/>
      <c r="CA874" s="26"/>
    </row>
    <row r="875" spans="1:79" s="143" customFormat="1" ht="15.75" hidden="1">
      <c r="A875" s="109">
        <v>8.0000000000000013E-6</v>
      </c>
      <c r="B875" s="110">
        <f t="shared" si="52"/>
        <v>875</v>
      </c>
      <c r="C875" s="111" t="str">
        <f>IF(C$1=[1]!T.in.A[[#This Row],[oo2]],1,"")</f>
        <v/>
      </c>
      <c r="D875" s="112" t="str">
        <f>IF(Tab.o1[[#This Row],[a1]]=1,IF(SUM(C875:C876)=0,0,IF(SUM(C874:C875)=1,1,IF(SUM(C874:C876)&gt;1,D874+1,0))),"")</f>
        <v/>
      </c>
      <c r="E875" s="113" t="str">
        <f>IF(Tab.o1[[#This Row],[a1]]=1,[1]!T.in.A[[#This Row],[oo1]],"")</f>
        <v/>
      </c>
      <c r="F875" s="113" t="str">
        <f>IF(Tab.o1[[#This Row],[a1]]=1,[1]!T.in.A[[#This Row],[pp1]],"")</f>
        <v/>
      </c>
      <c r="G875" s="114" t="str">
        <f>IF(Tab.o1[[#This Row],[a1]]=1,G$2+IF(G$1=1,0,Tab.o1[[#This Row],[.x1]])+[1]!T.in.A[[#This Row],[oo3]],"")</f>
        <v/>
      </c>
      <c r="H875" s="115" t="str">
        <f>IF(Tab.o1[[#This Row],[a1]]=1,IF(H$2=0,0,IF(G$1=1,0,Tab.o1[[#This Row],[.x1]])+[1]!T.in.A[[#This Row],[oo4]]),"")</f>
        <v/>
      </c>
      <c r="I875" s="116" t="str">
        <f>IF(Tab.o1[[#This Row],[a1]]=1,IF(J$2=0,Tab.o1[[#This Row],[MED]],Tab.o1[[#This Row],[MOD]]),"")</f>
        <v/>
      </c>
      <c r="J875" s="116" t="str">
        <f>IF(Tab.o1[[#This Row],[a1]]=1,((Tab.o1[[#This Row],[DIF_Target.]]-AVERAGE(Tab.o1[DIF_Target.]))/_xlfn.STDEV.P(Tab.o1[DIF_Target.])),"")</f>
        <v/>
      </c>
      <c r="K875" s="117" t="str">
        <f>IF(Tab.o1[[#This Row],[a1]]=1,IF(J$2=0,Tab.o1[[#This Row],[MOD]]-Tab.o1[[#This Row],[B]],IF(J$2=1,0,-Tab.o1[[#This Row],[MED]])+Tab.o1[[#This Row],[B]]),"")</f>
        <v/>
      </c>
      <c r="L875" s="117" t="str">
        <f ca="1">IF(Tab.o1[[#This Row],[DIF_Target]]=0,IF(L$2=0,Tab.o1[[#This Row],[DIF_Target]],AVERAGE(OFFSET(Tab.o1[[#This Row],[DIF_Target]],1,0,L$3,1)))/3,Tab.o1[[#This Row],[DIF_Target]])</f>
        <v/>
      </c>
      <c r="M875" s="118" t="str">
        <f>IF(Tab.o1[[#This Row],[a1]]=1,NORMSDIST(Tab.o1[[#This Row],[Za]]),"")</f>
        <v/>
      </c>
      <c r="N875" s="119" t="str">
        <f>IF(Tab.o1[[#This Row],[a1]]=1,((Tab.o1[[#This Row],[MedMod]]-AVERAGE(Tab.o1[MedMod]))/_xlfn.STDEV.P(Tab.o1[MedMod])*H$1205)+G$1205,"")</f>
        <v/>
      </c>
      <c r="O875" s="141" t="str">
        <f>IF(Tab.o1[[#This Row],[a1]]=1,Tab.o1[[#This Row],[Zb]]*_xlfn.STDEV.P(Tab.o1[MedMod])+AVERAGE(Tab.o1[MedMod]),"")</f>
        <v/>
      </c>
      <c r="P875" s="117" t="str">
        <f ca="1">IF(Tab.o1[[#This Row],[B]]=0,AVERAGE(OFFSET(Tab.o1[[#This Row],[B]],1,0,L$3,1)),Tab.o1[[#This Row],[B]])</f>
        <v/>
      </c>
      <c r="Q875" s="121" t="str">
        <f>IF(Tab.o1[[#This Row],[a1]]=1,NORMSDIST(Tab.o1[[#This Row],[Zb]]),"")</f>
        <v/>
      </c>
      <c r="R875" s="122" t="str">
        <f>IF(Tab.o1[[#This Row],[a1]]=1,((Tab.o1[[#This Row],[MedMod]]-AVERAGE(Tab.o1[MedMod]))/_xlfn.STDEV.P(Tab.o1[MedMod])*H$1203)+G$1203,"")</f>
        <v/>
      </c>
      <c r="S875" s="122" t="str">
        <f>IF(Tab.o1[[#This Row],[a1]]=1,((Tab.o1[[#This Row],[MedMod]]-AVERAGE(Tab.o1[MedMod]))/_xlfn.STDEV.P(Tab.o1[MedMod])*H$1204)+G$1204,"")</f>
        <v/>
      </c>
      <c r="T875" s="123" t="str">
        <f>IF(Tab.o1[[#This Row],[a1]]=1,Tab.o1[[#This Row],[Z-]]*_xlfn.STDEV.P(Tab.o1[B])+AVERAGE(Tab.o1[B]),"")</f>
        <v/>
      </c>
      <c r="U875" s="123" t="str">
        <f>IF(Tab.o1[[#This Row],[a1]]=1,Tab.o1[[#This Row],[z+]]*_xlfn.STDEV.P(Tab.o1[B])+AVERAGE(Tab.o1[B]),"")</f>
        <v/>
      </c>
      <c r="V875" s="124" t="str">
        <f>IF(Tab.o1[[#This Row],[a1]]=1,ABS((ABS(Tab.o1[[#This Row],[Red]]-Tab.o1[[#This Row],[Blue]]))),"")</f>
        <v/>
      </c>
      <c r="W875" s="125" t="str">
        <f>IF(Tab.o1[[#This Row],[a1]]=1,IF(W$3=0,1,Tab.o1[[#This Row],[Amp.]]*1/_xlfn.MINIFS(Tab.o1[Amp.],Tab.o1[Amp.],"&lt;&gt;0")),"")</f>
        <v/>
      </c>
      <c r="X875" s="126" t="str">
        <f>IF(Tab.o1[[#This Row],[a1]]=1,IF(ISNUMBER(Tab.o1[[#This Row],[i.]]),NORMDIST(Tab.o1[[#This Row],[Za]],0,1,FALSE)*Tab.o1[[#This Row],[i.]],AP$3),"")</f>
        <v/>
      </c>
      <c r="Y875" s="126" t="str">
        <f>IF(Tab.o1[[#This Row],[a1]]=1,0.01+0.94*Tab.o1[[#This Row],[PDF]]/MAX(Tab.o1[PDF]),"")</f>
        <v/>
      </c>
      <c r="Z875" s="126" t="str">
        <f>IF(Tab.o1[[#This Row],[a1]]=1,0.01+0.94*Tab.o1[[#This Row],[W1_PDF]]/MAX(Tab.o1[W1_PDF]),"")</f>
        <v/>
      </c>
      <c r="AA875" s="118" t="str">
        <f>IF(Tab.o1[[#This Row],[a1]]=1,ABS([1]!T.in.A[[#This Row],[oo6]]),"")</f>
        <v/>
      </c>
      <c r="AB875" s="127" t="str">
        <f>IF(Tab.o1[[#This Row],[a1]]=1,IF(AE$3=0,"",IF(AB$3=0,ABS([1]!T.in.A[[#This Row],[oo9]]),ABS(Tab.o1[[#This Row],[DIF_Target.]]*Tab.o1[[#This Row],[W1_PDF]]))),"")</f>
        <v/>
      </c>
      <c r="AC875" s="127" t="str">
        <f>IF(G$1=1,"",IF(Tab.o1[[#This Row],[a1]]=1,Tab.o1[[#This Row],[Wr]]^2,""))</f>
        <v/>
      </c>
      <c r="AD875" s="118" t="str">
        <f>IF(Tab.o1[[#This Row],[a1]]=1,IF(AE$3=0,"",Tab.o1[[#This Row],[Wr2]]/SUM(Tab.o1[Wr2])),"")</f>
        <v/>
      </c>
      <c r="AE875" s="128" t="str">
        <f>IF(Tab.o1[[#This Row],[a1]]=1,[1]!T.in.A[[#This Row],[oo10]],"")</f>
        <v/>
      </c>
      <c r="AF875" s="118" t="str">
        <f>IF(Tab.o1[[#This Row],[a1]]=1,ABS(Tab.o1[[#This Row],[DIF_Target.]]*Tab.o1[[#This Row],[PDF2]]*Tab.o1[[#This Row],[IN]]),"")</f>
        <v/>
      </c>
      <c r="AG875" s="129" t="str">
        <f>IF(Tab.o1[[#This Row],[a1]]=1,Tab.o1[[#This Row],[rW]]^2,"")</f>
        <v/>
      </c>
      <c r="AH875" s="130" t="str">
        <f>IF(Tab.o1[[#This Row],[a1]]=1,IF(AH$3=0,Tab.o1[[#This Row],[rW2]],0.01+0.94*Tab.o1[[#This Row],[rW2]]/SUM(Tab.o1[rW2])),"")</f>
        <v/>
      </c>
      <c r="AI875" s="128" t="str">
        <f>IF(Tab.o1[[#This Row],[a1]]=1,1/Tab.o1[[#This Row],[PDF]],"")</f>
        <v/>
      </c>
      <c r="AJ875" s="131" t="str">
        <f>IF(Tab.o1[[#This Row],[a1]]=1,[1]!T_AA[[#This Row],[IN'']]*[1]!T_AA[[#This Row],[Qde'']],"")</f>
        <v/>
      </c>
      <c r="AK875" s="132" t="str">
        <f>IF(Tab.o1[[#This Row],[a1]]=1,IF(AK$1=1,Tab.o1[[#This Row],[MED]]+Tab.o1[[#This Row],[MOD]]-Tab.o1[[#This Row],[MED]],""),"")</f>
        <v/>
      </c>
      <c r="AL875" s="133" t="str">
        <f>IF(Tab.o1[[#This Row],[a1]]=1,[1]!T.in.A[[#This Row],[oo16]],"")</f>
        <v/>
      </c>
      <c r="AM875" s="133" t="str">
        <f>IF(Tab.o1[[#This Row],[a1]]=1,IF(AM$3=1,[1]!T.in.A[[#This Row],[Σo16]],""),"")</f>
        <v/>
      </c>
      <c r="AN875" s="126" t="str">
        <f>IF(Tab.o1[[#This Row],[a1]]=1,[1]!T.in.A[[#This Row],[Σp5]],"")</f>
        <v/>
      </c>
      <c r="AO875" s="126" t="str">
        <f>IF(Tab.o1[[#This Row],[a1]]=1,IF(AO$3=1,[1]!T.in.A[[#This Row],[Σp5]],""),"")</f>
        <v/>
      </c>
      <c r="AP875" s="110" t="str">
        <f>IF(Tab.o1[[#This Row],[a1]]=1,IF(ISNUMBER(Tab.o1[[#This Row],[i.]]),NORMDIST(Tab.o1[[#This Row],[Za]],0,1,FALSE)*Tab.o1[[#This Row],[i.]],0),"")</f>
        <v/>
      </c>
      <c r="AQ875" s="125" t="str">
        <f>IF(Tab.o1[[#This Row],[a1]]=1,ABS(Tab.o1[[#This Row],[MOD]]-AVERAGE(Tab.o1[MOD])),"")</f>
        <v/>
      </c>
      <c r="AR875" s="134" t="str">
        <f>IF(Tab.o1[[#This Row],[a1]]=1,Tab.o1[[#This Row],[OBS]]/SUM(Tab.o1[OBS]),"")</f>
        <v/>
      </c>
      <c r="AS875" s="135" t="str">
        <f>IF(ISNUMBER(Tab.o1[[#This Row],[a1]]),ROW()-4,"")</f>
        <v/>
      </c>
      <c r="AT875" s="136" t="str">
        <f>Tab.o1[[#This Row],[MOD]]</f>
        <v/>
      </c>
      <c r="AU875" s="137" t="str">
        <f t="shared" si="53"/>
        <v/>
      </c>
      <c r="AV875" s="138" t="str">
        <f t="shared" si="54"/>
        <v/>
      </c>
      <c r="AW875" s="138" t="str">
        <f t="shared" si="55"/>
        <v/>
      </c>
      <c r="AX875" s="139" t="str">
        <f>[1]!T.in.A[[#This Row],[ID_T_manu]]</f>
        <v/>
      </c>
      <c r="AY875" s="140" t="str">
        <f>IF(ISNUMBER(Tab.o1[[#This Row],[a1]]),IF(AND(Tab.o1[[#This Row],[a1]]=1,Tab.o1[[#This Row],[b1]]&lt;=AY$4),#REF!,AY874),"")</f>
        <v/>
      </c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6"/>
      <c r="BO875" s="26"/>
      <c r="BP875" s="26"/>
      <c r="BQ875" s="26"/>
      <c r="BR875" s="26"/>
      <c r="BS875" s="26"/>
      <c r="BT875" s="26"/>
      <c r="BU875" s="26"/>
      <c r="BV875" s="26"/>
      <c r="BW875" s="26"/>
      <c r="BX875" s="26"/>
      <c r="BY875" s="26"/>
      <c r="BZ875" s="26"/>
      <c r="CA875" s="26"/>
    </row>
    <row r="876" spans="1:79" s="143" customFormat="1" ht="15.75" hidden="1">
      <c r="A876" s="109">
        <v>-5.0000000000000004E-6</v>
      </c>
      <c r="B876" s="110">
        <f t="shared" si="52"/>
        <v>876</v>
      </c>
      <c r="C876" s="111" t="str">
        <f>IF(C$1=[1]!T.in.A[[#This Row],[oo2]],1,"")</f>
        <v/>
      </c>
      <c r="D876" s="112" t="str">
        <f>IF(Tab.o1[[#This Row],[a1]]=1,IF(SUM(C876:C877)=0,0,IF(SUM(C875:C876)=1,1,IF(SUM(C875:C877)&gt;1,D875+1,0))),"")</f>
        <v/>
      </c>
      <c r="E876" s="113" t="str">
        <f>IF(Tab.o1[[#This Row],[a1]]=1,[1]!T.in.A[[#This Row],[oo1]],"")</f>
        <v/>
      </c>
      <c r="F876" s="113" t="str">
        <f>IF(Tab.o1[[#This Row],[a1]]=1,[1]!T.in.A[[#This Row],[pp1]],"")</f>
        <v/>
      </c>
      <c r="G876" s="114" t="str">
        <f>IF(Tab.o1[[#This Row],[a1]]=1,G$2+IF(G$1=1,0,Tab.o1[[#This Row],[.x1]])+[1]!T.in.A[[#This Row],[oo3]],"")</f>
        <v/>
      </c>
      <c r="H876" s="115" t="str">
        <f>IF(Tab.o1[[#This Row],[a1]]=1,IF(H$2=0,0,IF(G$1=1,0,Tab.o1[[#This Row],[.x1]])+[1]!T.in.A[[#This Row],[oo4]]),"")</f>
        <v/>
      </c>
      <c r="I876" s="116" t="str">
        <f>IF(Tab.o1[[#This Row],[a1]]=1,IF(J$2=0,Tab.o1[[#This Row],[MED]],Tab.o1[[#This Row],[MOD]]),"")</f>
        <v/>
      </c>
      <c r="J876" s="116" t="str">
        <f>IF(Tab.o1[[#This Row],[a1]]=1,((Tab.o1[[#This Row],[DIF_Target.]]-AVERAGE(Tab.o1[DIF_Target.]))/_xlfn.STDEV.P(Tab.o1[DIF_Target.])),"")</f>
        <v/>
      </c>
      <c r="K876" s="117" t="str">
        <f>IF(Tab.o1[[#This Row],[a1]]=1,IF(J$2=0,Tab.o1[[#This Row],[MOD]]-Tab.o1[[#This Row],[B]],IF(J$2=1,0,-Tab.o1[[#This Row],[MED]])+Tab.o1[[#This Row],[B]]),"")</f>
        <v/>
      </c>
      <c r="L876" s="117" t="str">
        <f ca="1">IF(Tab.o1[[#This Row],[DIF_Target]]=0,IF(L$2=0,Tab.o1[[#This Row],[DIF_Target]],AVERAGE(OFFSET(Tab.o1[[#This Row],[DIF_Target]],1,0,L$3,1)))/3,Tab.o1[[#This Row],[DIF_Target]])</f>
        <v/>
      </c>
      <c r="M876" s="118" t="str">
        <f>IF(Tab.o1[[#This Row],[a1]]=1,NORMSDIST(Tab.o1[[#This Row],[Za]]),"")</f>
        <v/>
      </c>
      <c r="N876" s="119" t="str">
        <f>IF(Tab.o1[[#This Row],[a1]]=1,((Tab.o1[[#This Row],[MedMod]]-AVERAGE(Tab.o1[MedMod]))/_xlfn.STDEV.P(Tab.o1[MedMod])*H$1205)+G$1205,"")</f>
        <v/>
      </c>
      <c r="O876" s="141" t="str">
        <f>IF(Tab.o1[[#This Row],[a1]]=1,Tab.o1[[#This Row],[Zb]]*_xlfn.STDEV.P(Tab.o1[MedMod])+AVERAGE(Tab.o1[MedMod]),"")</f>
        <v/>
      </c>
      <c r="P876" s="117" t="str">
        <f ca="1">IF(Tab.o1[[#This Row],[B]]=0,AVERAGE(OFFSET(Tab.o1[[#This Row],[B]],1,0,L$3,1)),Tab.o1[[#This Row],[B]])</f>
        <v/>
      </c>
      <c r="Q876" s="121" t="str">
        <f>IF(Tab.o1[[#This Row],[a1]]=1,NORMSDIST(Tab.o1[[#This Row],[Zb]]),"")</f>
        <v/>
      </c>
      <c r="R876" s="122" t="str">
        <f>IF(Tab.o1[[#This Row],[a1]]=1,((Tab.o1[[#This Row],[MedMod]]-AVERAGE(Tab.o1[MedMod]))/_xlfn.STDEV.P(Tab.o1[MedMod])*H$1203)+G$1203,"")</f>
        <v/>
      </c>
      <c r="S876" s="122" t="str">
        <f>IF(Tab.o1[[#This Row],[a1]]=1,((Tab.o1[[#This Row],[MedMod]]-AVERAGE(Tab.o1[MedMod]))/_xlfn.STDEV.P(Tab.o1[MedMod])*H$1204)+G$1204,"")</f>
        <v/>
      </c>
      <c r="T876" s="123" t="str">
        <f>IF(Tab.o1[[#This Row],[a1]]=1,Tab.o1[[#This Row],[Z-]]*_xlfn.STDEV.P(Tab.o1[B])+AVERAGE(Tab.o1[B]),"")</f>
        <v/>
      </c>
      <c r="U876" s="123" t="str">
        <f>IF(Tab.o1[[#This Row],[a1]]=1,Tab.o1[[#This Row],[z+]]*_xlfn.STDEV.P(Tab.o1[B])+AVERAGE(Tab.o1[B]),"")</f>
        <v/>
      </c>
      <c r="V876" s="124" t="str">
        <f>IF(Tab.o1[[#This Row],[a1]]=1,ABS((ABS(Tab.o1[[#This Row],[Red]]-Tab.o1[[#This Row],[Blue]]))),"")</f>
        <v/>
      </c>
      <c r="W876" s="125" t="str">
        <f>IF(Tab.o1[[#This Row],[a1]]=1,IF(W$3=0,1,Tab.o1[[#This Row],[Amp.]]*1/_xlfn.MINIFS(Tab.o1[Amp.],Tab.o1[Amp.],"&lt;&gt;0")),"")</f>
        <v/>
      </c>
      <c r="X876" s="126" t="str">
        <f>IF(Tab.o1[[#This Row],[a1]]=1,IF(ISNUMBER(Tab.o1[[#This Row],[i.]]),NORMDIST(Tab.o1[[#This Row],[Za]],0,1,FALSE)*Tab.o1[[#This Row],[i.]],AP$3),"")</f>
        <v/>
      </c>
      <c r="Y876" s="126" t="str">
        <f>IF(Tab.o1[[#This Row],[a1]]=1,0.01+0.94*Tab.o1[[#This Row],[PDF]]/MAX(Tab.o1[PDF]),"")</f>
        <v/>
      </c>
      <c r="Z876" s="126" t="str">
        <f>IF(Tab.o1[[#This Row],[a1]]=1,0.01+0.94*Tab.o1[[#This Row],[W1_PDF]]/MAX(Tab.o1[W1_PDF]),"")</f>
        <v/>
      </c>
      <c r="AA876" s="118" t="str">
        <f>IF(Tab.o1[[#This Row],[a1]]=1,ABS([1]!T.in.A[[#This Row],[oo6]]),"")</f>
        <v/>
      </c>
      <c r="AB876" s="127" t="str">
        <f>IF(Tab.o1[[#This Row],[a1]]=1,IF(AE$3=0,"",IF(AB$3=0,ABS([1]!T.in.A[[#This Row],[oo9]]),ABS(Tab.o1[[#This Row],[DIF_Target.]]*Tab.o1[[#This Row],[W1_PDF]]))),"")</f>
        <v/>
      </c>
      <c r="AC876" s="127" t="str">
        <f>IF(G$1=1,"",IF(Tab.o1[[#This Row],[a1]]=1,Tab.o1[[#This Row],[Wr]]^2,""))</f>
        <v/>
      </c>
      <c r="AD876" s="118" t="str">
        <f>IF(Tab.o1[[#This Row],[a1]]=1,IF(AE$3=0,"",Tab.o1[[#This Row],[Wr2]]/SUM(Tab.o1[Wr2])),"")</f>
        <v/>
      </c>
      <c r="AE876" s="128" t="str">
        <f>IF(Tab.o1[[#This Row],[a1]]=1,[1]!T.in.A[[#This Row],[oo10]],"")</f>
        <v/>
      </c>
      <c r="AF876" s="118" t="str">
        <f>IF(Tab.o1[[#This Row],[a1]]=1,ABS(Tab.o1[[#This Row],[DIF_Target.]]*Tab.o1[[#This Row],[PDF2]]*Tab.o1[[#This Row],[IN]]),"")</f>
        <v/>
      </c>
      <c r="AG876" s="129" t="str">
        <f>IF(Tab.o1[[#This Row],[a1]]=1,Tab.o1[[#This Row],[rW]]^2,"")</f>
        <v/>
      </c>
      <c r="AH876" s="130" t="str">
        <f>IF(Tab.o1[[#This Row],[a1]]=1,IF(AH$3=0,Tab.o1[[#This Row],[rW2]],0.01+0.94*Tab.o1[[#This Row],[rW2]]/SUM(Tab.o1[rW2])),"")</f>
        <v/>
      </c>
      <c r="AI876" s="128" t="str">
        <f>IF(Tab.o1[[#This Row],[a1]]=1,1/Tab.o1[[#This Row],[PDF]],"")</f>
        <v/>
      </c>
      <c r="AJ876" s="131" t="str">
        <f>IF(Tab.o1[[#This Row],[a1]]=1,[1]!T_AA[[#This Row],[IN'']]*[1]!T_AA[[#This Row],[Qde'']],"")</f>
        <v/>
      </c>
      <c r="AK876" s="132" t="str">
        <f>IF(Tab.o1[[#This Row],[a1]]=1,IF(AK$1=1,Tab.o1[[#This Row],[MED]]+Tab.o1[[#This Row],[MOD]]-Tab.o1[[#This Row],[MED]],""),"")</f>
        <v/>
      </c>
      <c r="AL876" s="133" t="str">
        <f>IF(Tab.o1[[#This Row],[a1]]=1,[1]!T.in.A[[#This Row],[oo16]],"")</f>
        <v/>
      </c>
      <c r="AM876" s="133" t="str">
        <f>IF(Tab.o1[[#This Row],[a1]]=1,IF(AM$3=1,[1]!T.in.A[[#This Row],[Σo16]],""),"")</f>
        <v/>
      </c>
      <c r="AN876" s="126" t="str">
        <f>IF(Tab.o1[[#This Row],[a1]]=1,[1]!T.in.A[[#This Row],[Σp5]],"")</f>
        <v/>
      </c>
      <c r="AO876" s="126" t="str">
        <f>IF(Tab.o1[[#This Row],[a1]]=1,IF(AO$3=1,[1]!T.in.A[[#This Row],[Σp5]],""),"")</f>
        <v/>
      </c>
      <c r="AP876" s="110" t="str">
        <f>IF(Tab.o1[[#This Row],[a1]]=1,IF(ISNUMBER(Tab.o1[[#This Row],[i.]]),NORMDIST(Tab.o1[[#This Row],[Za]],0,1,FALSE)*Tab.o1[[#This Row],[i.]],0),"")</f>
        <v/>
      </c>
      <c r="AQ876" s="125" t="str">
        <f>IF(Tab.o1[[#This Row],[a1]]=1,ABS(Tab.o1[[#This Row],[MOD]]-AVERAGE(Tab.o1[MOD])),"")</f>
        <v/>
      </c>
      <c r="AR876" s="134" t="str">
        <f>IF(Tab.o1[[#This Row],[a1]]=1,Tab.o1[[#This Row],[OBS]]/SUM(Tab.o1[OBS]),"")</f>
        <v/>
      </c>
      <c r="AS876" s="135" t="str">
        <f>IF(ISNUMBER(Tab.o1[[#This Row],[a1]]),ROW()-4,"")</f>
        <v/>
      </c>
      <c r="AT876" s="136" t="str">
        <f>Tab.o1[[#This Row],[MOD]]</f>
        <v/>
      </c>
      <c r="AU876" s="137" t="str">
        <f t="shared" si="53"/>
        <v/>
      </c>
      <c r="AV876" s="138" t="str">
        <f t="shared" si="54"/>
        <v/>
      </c>
      <c r="AW876" s="138" t="str">
        <f t="shared" si="55"/>
        <v/>
      </c>
      <c r="AX876" s="139" t="str">
        <f>[1]!T.in.A[[#This Row],[ID_T_manu]]</f>
        <v/>
      </c>
      <c r="AY876" s="140" t="str">
        <f>IF(ISNUMBER(Tab.o1[[#This Row],[a1]]),IF(AND(Tab.o1[[#This Row],[a1]]=1,Tab.o1[[#This Row],[b1]]&lt;=AY$4),#REF!,AY875),"")</f>
        <v/>
      </c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6"/>
      <c r="BO876" s="26"/>
      <c r="BP876" s="26"/>
      <c r="BQ876" s="26"/>
      <c r="BR876" s="26"/>
      <c r="BS876" s="26"/>
      <c r="BT876" s="26"/>
      <c r="BU876" s="26"/>
      <c r="BV876" s="26"/>
      <c r="BW876" s="26"/>
      <c r="BX876" s="26"/>
      <c r="BY876" s="26"/>
      <c r="BZ876" s="26"/>
      <c r="CA876" s="26"/>
    </row>
    <row r="877" spans="1:79" s="143" customFormat="1" ht="15.75" hidden="1">
      <c r="A877" s="109">
        <v>-9.0000000000000002E-6</v>
      </c>
      <c r="B877" s="110">
        <f t="shared" si="52"/>
        <v>877</v>
      </c>
      <c r="C877" s="111" t="str">
        <f>IF(C$1=[1]!T.in.A[[#This Row],[oo2]],1,"")</f>
        <v/>
      </c>
      <c r="D877" s="112" t="str">
        <f>IF(Tab.o1[[#This Row],[a1]]=1,IF(SUM(C877:C878)=0,0,IF(SUM(C876:C877)=1,1,IF(SUM(C876:C878)&gt;1,D876+1,0))),"")</f>
        <v/>
      </c>
      <c r="E877" s="113" t="str">
        <f>IF(Tab.o1[[#This Row],[a1]]=1,[1]!T.in.A[[#This Row],[oo1]],"")</f>
        <v/>
      </c>
      <c r="F877" s="113" t="str">
        <f>IF(Tab.o1[[#This Row],[a1]]=1,[1]!T.in.A[[#This Row],[pp1]],"")</f>
        <v/>
      </c>
      <c r="G877" s="114" t="str">
        <f>IF(Tab.o1[[#This Row],[a1]]=1,G$2+IF(G$1=1,0,Tab.o1[[#This Row],[.x1]])+[1]!T.in.A[[#This Row],[oo3]],"")</f>
        <v/>
      </c>
      <c r="H877" s="115" t="str">
        <f>IF(Tab.o1[[#This Row],[a1]]=1,IF(H$2=0,0,IF(G$1=1,0,Tab.o1[[#This Row],[.x1]])+[1]!T.in.A[[#This Row],[oo4]]),"")</f>
        <v/>
      </c>
      <c r="I877" s="116" t="str">
        <f>IF(Tab.o1[[#This Row],[a1]]=1,IF(J$2=0,Tab.o1[[#This Row],[MED]],Tab.o1[[#This Row],[MOD]]),"")</f>
        <v/>
      </c>
      <c r="J877" s="116" t="str">
        <f>IF(Tab.o1[[#This Row],[a1]]=1,((Tab.o1[[#This Row],[DIF_Target.]]-AVERAGE(Tab.o1[DIF_Target.]))/_xlfn.STDEV.P(Tab.o1[DIF_Target.])),"")</f>
        <v/>
      </c>
      <c r="K877" s="117" t="str">
        <f>IF(Tab.o1[[#This Row],[a1]]=1,IF(J$2=0,Tab.o1[[#This Row],[MOD]]-Tab.o1[[#This Row],[B]],IF(J$2=1,0,-Tab.o1[[#This Row],[MED]])+Tab.o1[[#This Row],[B]]),"")</f>
        <v/>
      </c>
      <c r="L877" s="117" t="str">
        <f ca="1">IF(Tab.o1[[#This Row],[DIF_Target]]=0,IF(L$2=0,Tab.o1[[#This Row],[DIF_Target]],AVERAGE(OFFSET(Tab.o1[[#This Row],[DIF_Target]],1,0,L$3,1)))/3,Tab.o1[[#This Row],[DIF_Target]])</f>
        <v/>
      </c>
      <c r="M877" s="118" t="str">
        <f>IF(Tab.o1[[#This Row],[a1]]=1,NORMSDIST(Tab.o1[[#This Row],[Za]]),"")</f>
        <v/>
      </c>
      <c r="N877" s="119" t="str">
        <f>IF(Tab.o1[[#This Row],[a1]]=1,((Tab.o1[[#This Row],[MedMod]]-AVERAGE(Tab.o1[MedMod]))/_xlfn.STDEV.P(Tab.o1[MedMod])*H$1205)+G$1205,"")</f>
        <v/>
      </c>
      <c r="O877" s="141" t="str">
        <f>IF(Tab.o1[[#This Row],[a1]]=1,Tab.o1[[#This Row],[Zb]]*_xlfn.STDEV.P(Tab.o1[MedMod])+AVERAGE(Tab.o1[MedMod]),"")</f>
        <v/>
      </c>
      <c r="P877" s="117" t="str">
        <f ca="1">IF(Tab.o1[[#This Row],[B]]=0,AVERAGE(OFFSET(Tab.o1[[#This Row],[B]],1,0,L$3,1)),Tab.o1[[#This Row],[B]])</f>
        <v/>
      </c>
      <c r="Q877" s="121" t="str">
        <f>IF(Tab.o1[[#This Row],[a1]]=1,NORMSDIST(Tab.o1[[#This Row],[Zb]]),"")</f>
        <v/>
      </c>
      <c r="R877" s="122" t="str">
        <f>IF(Tab.o1[[#This Row],[a1]]=1,((Tab.o1[[#This Row],[MedMod]]-AVERAGE(Tab.o1[MedMod]))/_xlfn.STDEV.P(Tab.o1[MedMod])*H$1203)+G$1203,"")</f>
        <v/>
      </c>
      <c r="S877" s="122" t="str">
        <f>IF(Tab.o1[[#This Row],[a1]]=1,((Tab.o1[[#This Row],[MedMod]]-AVERAGE(Tab.o1[MedMod]))/_xlfn.STDEV.P(Tab.o1[MedMod])*H$1204)+G$1204,"")</f>
        <v/>
      </c>
      <c r="T877" s="123" t="str">
        <f>IF(Tab.o1[[#This Row],[a1]]=1,Tab.o1[[#This Row],[Z-]]*_xlfn.STDEV.P(Tab.o1[B])+AVERAGE(Tab.o1[B]),"")</f>
        <v/>
      </c>
      <c r="U877" s="123" t="str">
        <f>IF(Tab.o1[[#This Row],[a1]]=1,Tab.o1[[#This Row],[z+]]*_xlfn.STDEV.P(Tab.o1[B])+AVERAGE(Tab.o1[B]),"")</f>
        <v/>
      </c>
      <c r="V877" s="124" t="str">
        <f>IF(Tab.o1[[#This Row],[a1]]=1,ABS((ABS(Tab.o1[[#This Row],[Red]]-Tab.o1[[#This Row],[Blue]]))),"")</f>
        <v/>
      </c>
      <c r="W877" s="125" t="str">
        <f>IF(Tab.o1[[#This Row],[a1]]=1,IF(W$3=0,1,Tab.o1[[#This Row],[Amp.]]*1/_xlfn.MINIFS(Tab.o1[Amp.],Tab.o1[Amp.],"&lt;&gt;0")),"")</f>
        <v/>
      </c>
      <c r="X877" s="126" t="str">
        <f>IF(Tab.o1[[#This Row],[a1]]=1,IF(ISNUMBER(Tab.o1[[#This Row],[i.]]),NORMDIST(Tab.o1[[#This Row],[Za]],0,1,FALSE)*Tab.o1[[#This Row],[i.]],AP$3),"")</f>
        <v/>
      </c>
      <c r="Y877" s="126" t="str">
        <f>IF(Tab.o1[[#This Row],[a1]]=1,0.01+0.94*Tab.o1[[#This Row],[PDF]]/MAX(Tab.o1[PDF]),"")</f>
        <v/>
      </c>
      <c r="Z877" s="126" t="str">
        <f>IF(Tab.o1[[#This Row],[a1]]=1,0.01+0.94*Tab.o1[[#This Row],[W1_PDF]]/MAX(Tab.o1[W1_PDF]),"")</f>
        <v/>
      </c>
      <c r="AA877" s="118" t="str">
        <f>IF(Tab.o1[[#This Row],[a1]]=1,ABS([1]!T.in.A[[#This Row],[oo6]]),"")</f>
        <v/>
      </c>
      <c r="AB877" s="127" t="str">
        <f>IF(Tab.o1[[#This Row],[a1]]=1,IF(AE$3=0,"",IF(AB$3=0,ABS([1]!T.in.A[[#This Row],[oo9]]),ABS(Tab.o1[[#This Row],[DIF_Target.]]*Tab.o1[[#This Row],[W1_PDF]]))),"")</f>
        <v/>
      </c>
      <c r="AC877" s="127" t="str">
        <f>IF(G$1=1,"",IF(Tab.o1[[#This Row],[a1]]=1,Tab.o1[[#This Row],[Wr]]^2,""))</f>
        <v/>
      </c>
      <c r="AD877" s="118" t="str">
        <f>IF(Tab.o1[[#This Row],[a1]]=1,IF(AE$3=0,"",Tab.o1[[#This Row],[Wr2]]/SUM(Tab.o1[Wr2])),"")</f>
        <v/>
      </c>
      <c r="AE877" s="128" t="str">
        <f>IF(Tab.o1[[#This Row],[a1]]=1,[1]!T.in.A[[#This Row],[oo10]],"")</f>
        <v/>
      </c>
      <c r="AF877" s="118" t="str">
        <f>IF(Tab.o1[[#This Row],[a1]]=1,ABS(Tab.o1[[#This Row],[DIF_Target.]]*Tab.o1[[#This Row],[PDF2]]*Tab.o1[[#This Row],[IN]]),"")</f>
        <v/>
      </c>
      <c r="AG877" s="129" t="str">
        <f>IF(Tab.o1[[#This Row],[a1]]=1,Tab.o1[[#This Row],[rW]]^2,"")</f>
        <v/>
      </c>
      <c r="AH877" s="130" t="str">
        <f>IF(Tab.o1[[#This Row],[a1]]=1,IF(AH$3=0,Tab.o1[[#This Row],[rW2]],0.01+0.94*Tab.o1[[#This Row],[rW2]]/SUM(Tab.o1[rW2])),"")</f>
        <v/>
      </c>
      <c r="AI877" s="128" t="str">
        <f>IF(Tab.o1[[#This Row],[a1]]=1,1/Tab.o1[[#This Row],[PDF]],"")</f>
        <v/>
      </c>
      <c r="AJ877" s="131" t="str">
        <f>IF(Tab.o1[[#This Row],[a1]]=1,[1]!T_AA[[#This Row],[IN'']]*[1]!T_AA[[#This Row],[Qde'']],"")</f>
        <v/>
      </c>
      <c r="AK877" s="132" t="str">
        <f>IF(Tab.o1[[#This Row],[a1]]=1,IF(AK$1=1,Tab.o1[[#This Row],[MED]]+Tab.o1[[#This Row],[MOD]]-Tab.o1[[#This Row],[MED]],""),"")</f>
        <v/>
      </c>
      <c r="AL877" s="133" t="str">
        <f>IF(Tab.o1[[#This Row],[a1]]=1,[1]!T.in.A[[#This Row],[oo16]],"")</f>
        <v/>
      </c>
      <c r="AM877" s="133" t="str">
        <f>IF(Tab.o1[[#This Row],[a1]]=1,IF(AM$3=1,[1]!T.in.A[[#This Row],[Σo16]],""),"")</f>
        <v/>
      </c>
      <c r="AN877" s="126" t="str">
        <f>IF(Tab.o1[[#This Row],[a1]]=1,[1]!T.in.A[[#This Row],[Σp5]],"")</f>
        <v/>
      </c>
      <c r="AO877" s="126" t="str">
        <f>IF(Tab.o1[[#This Row],[a1]]=1,IF(AO$3=1,[1]!T.in.A[[#This Row],[Σp5]],""),"")</f>
        <v/>
      </c>
      <c r="AP877" s="110" t="str">
        <f>IF(Tab.o1[[#This Row],[a1]]=1,IF(ISNUMBER(Tab.o1[[#This Row],[i.]]),NORMDIST(Tab.o1[[#This Row],[Za]],0,1,FALSE)*Tab.o1[[#This Row],[i.]],0),"")</f>
        <v/>
      </c>
      <c r="AQ877" s="125" t="str">
        <f>IF(Tab.o1[[#This Row],[a1]]=1,ABS(Tab.o1[[#This Row],[MOD]]-AVERAGE(Tab.o1[MOD])),"")</f>
        <v/>
      </c>
      <c r="AR877" s="134" t="str">
        <f>IF(Tab.o1[[#This Row],[a1]]=1,Tab.o1[[#This Row],[OBS]]/SUM(Tab.o1[OBS]),"")</f>
        <v/>
      </c>
      <c r="AS877" s="135" t="str">
        <f>IF(ISNUMBER(Tab.o1[[#This Row],[a1]]),ROW()-4,"")</f>
        <v/>
      </c>
      <c r="AT877" s="136" t="str">
        <f>Tab.o1[[#This Row],[MOD]]</f>
        <v/>
      </c>
      <c r="AU877" s="137" t="str">
        <f t="shared" si="53"/>
        <v/>
      </c>
      <c r="AV877" s="138" t="str">
        <f t="shared" si="54"/>
        <v/>
      </c>
      <c r="AW877" s="138" t="str">
        <f t="shared" si="55"/>
        <v/>
      </c>
      <c r="AX877" s="139" t="str">
        <f>[1]!T.in.A[[#This Row],[ID_T_manu]]</f>
        <v/>
      </c>
      <c r="AY877" s="140" t="str">
        <f>IF(ISNUMBER(Tab.o1[[#This Row],[a1]]),IF(AND(Tab.o1[[#This Row],[a1]]=1,Tab.o1[[#This Row],[b1]]&lt;=AY$4),#REF!,AY876),"")</f>
        <v/>
      </c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6"/>
      <c r="BO877" s="26"/>
      <c r="BP877" s="26"/>
      <c r="BQ877" s="26"/>
      <c r="BR877" s="26"/>
      <c r="BS877" s="26"/>
      <c r="BT877" s="26"/>
      <c r="BU877" s="26"/>
      <c r="BV877" s="26"/>
      <c r="BW877" s="26"/>
      <c r="BX877" s="26"/>
      <c r="BY877" s="26"/>
      <c r="BZ877" s="26"/>
      <c r="CA877" s="26"/>
    </row>
    <row r="878" spans="1:79" s="143" customFormat="1" ht="15.75" hidden="1">
      <c r="A878" s="109">
        <v>2.0000000000000003E-6</v>
      </c>
      <c r="B878" s="110">
        <f t="shared" si="52"/>
        <v>878</v>
      </c>
      <c r="C878" s="111" t="str">
        <f>IF(C$1=[1]!T.in.A[[#This Row],[oo2]],1,"")</f>
        <v/>
      </c>
      <c r="D878" s="112" t="str">
        <f>IF(Tab.o1[[#This Row],[a1]]=1,IF(SUM(C878:C879)=0,0,IF(SUM(C877:C878)=1,1,IF(SUM(C877:C879)&gt;1,D877+1,0))),"")</f>
        <v/>
      </c>
      <c r="E878" s="113" t="str">
        <f>IF(Tab.o1[[#This Row],[a1]]=1,[1]!T.in.A[[#This Row],[oo1]],"")</f>
        <v/>
      </c>
      <c r="F878" s="113" t="str">
        <f>IF(Tab.o1[[#This Row],[a1]]=1,[1]!T.in.A[[#This Row],[pp1]],"")</f>
        <v/>
      </c>
      <c r="G878" s="114" t="str">
        <f>IF(Tab.o1[[#This Row],[a1]]=1,G$2+IF(G$1=1,0,Tab.o1[[#This Row],[.x1]])+[1]!T.in.A[[#This Row],[oo3]],"")</f>
        <v/>
      </c>
      <c r="H878" s="115" t="str">
        <f>IF(Tab.o1[[#This Row],[a1]]=1,IF(H$2=0,0,IF(G$1=1,0,Tab.o1[[#This Row],[.x1]])+[1]!T.in.A[[#This Row],[oo4]]),"")</f>
        <v/>
      </c>
      <c r="I878" s="116" t="str">
        <f>IF(Tab.o1[[#This Row],[a1]]=1,IF(J$2=0,Tab.o1[[#This Row],[MED]],Tab.o1[[#This Row],[MOD]]),"")</f>
        <v/>
      </c>
      <c r="J878" s="116" t="str">
        <f>IF(Tab.o1[[#This Row],[a1]]=1,((Tab.o1[[#This Row],[DIF_Target.]]-AVERAGE(Tab.o1[DIF_Target.]))/_xlfn.STDEV.P(Tab.o1[DIF_Target.])),"")</f>
        <v/>
      </c>
      <c r="K878" s="117" t="str">
        <f>IF(Tab.o1[[#This Row],[a1]]=1,IF(J$2=0,Tab.o1[[#This Row],[MOD]]-Tab.o1[[#This Row],[B]],IF(J$2=1,0,-Tab.o1[[#This Row],[MED]])+Tab.o1[[#This Row],[B]]),"")</f>
        <v/>
      </c>
      <c r="L878" s="117" t="str">
        <f ca="1">IF(Tab.o1[[#This Row],[DIF_Target]]=0,IF(L$2=0,Tab.o1[[#This Row],[DIF_Target]],AVERAGE(OFFSET(Tab.o1[[#This Row],[DIF_Target]],1,0,L$3,1)))/3,Tab.o1[[#This Row],[DIF_Target]])</f>
        <v/>
      </c>
      <c r="M878" s="118" t="str">
        <f>IF(Tab.o1[[#This Row],[a1]]=1,NORMSDIST(Tab.o1[[#This Row],[Za]]),"")</f>
        <v/>
      </c>
      <c r="N878" s="119" t="str">
        <f>IF(Tab.o1[[#This Row],[a1]]=1,((Tab.o1[[#This Row],[MedMod]]-AVERAGE(Tab.o1[MedMod]))/_xlfn.STDEV.P(Tab.o1[MedMod])*H$1205)+G$1205,"")</f>
        <v/>
      </c>
      <c r="O878" s="141" t="str">
        <f>IF(Tab.o1[[#This Row],[a1]]=1,Tab.o1[[#This Row],[Zb]]*_xlfn.STDEV.P(Tab.o1[MedMod])+AVERAGE(Tab.o1[MedMod]),"")</f>
        <v/>
      </c>
      <c r="P878" s="117" t="str">
        <f ca="1">IF(Tab.o1[[#This Row],[B]]=0,AVERAGE(OFFSET(Tab.o1[[#This Row],[B]],1,0,L$3,1)),Tab.o1[[#This Row],[B]])</f>
        <v/>
      </c>
      <c r="Q878" s="121" t="str">
        <f>IF(Tab.o1[[#This Row],[a1]]=1,NORMSDIST(Tab.o1[[#This Row],[Zb]]),"")</f>
        <v/>
      </c>
      <c r="R878" s="122" t="str">
        <f>IF(Tab.o1[[#This Row],[a1]]=1,((Tab.o1[[#This Row],[MedMod]]-AVERAGE(Tab.o1[MedMod]))/_xlfn.STDEV.P(Tab.o1[MedMod])*H$1203)+G$1203,"")</f>
        <v/>
      </c>
      <c r="S878" s="122" t="str">
        <f>IF(Tab.o1[[#This Row],[a1]]=1,((Tab.o1[[#This Row],[MedMod]]-AVERAGE(Tab.o1[MedMod]))/_xlfn.STDEV.P(Tab.o1[MedMod])*H$1204)+G$1204,"")</f>
        <v/>
      </c>
      <c r="T878" s="123" t="str">
        <f>IF(Tab.o1[[#This Row],[a1]]=1,Tab.o1[[#This Row],[Z-]]*_xlfn.STDEV.P(Tab.o1[B])+AVERAGE(Tab.o1[B]),"")</f>
        <v/>
      </c>
      <c r="U878" s="123" t="str">
        <f>IF(Tab.o1[[#This Row],[a1]]=1,Tab.o1[[#This Row],[z+]]*_xlfn.STDEV.P(Tab.o1[B])+AVERAGE(Tab.o1[B]),"")</f>
        <v/>
      </c>
      <c r="V878" s="124" t="str">
        <f>IF(Tab.o1[[#This Row],[a1]]=1,ABS((ABS(Tab.o1[[#This Row],[Red]]-Tab.o1[[#This Row],[Blue]]))),"")</f>
        <v/>
      </c>
      <c r="W878" s="125" t="str">
        <f>IF(Tab.o1[[#This Row],[a1]]=1,IF(W$3=0,1,Tab.o1[[#This Row],[Amp.]]*1/_xlfn.MINIFS(Tab.o1[Amp.],Tab.o1[Amp.],"&lt;&gt;0")),"")</f>
        <v/>
      </c>
      <c r="X878" s="126" t="str">
        <f>IF(Tab.o1[[#This Row],[a1]]=1,IF(ISNUMBER(Tab.o1[[#This Row],[i.]]),NORMDIST(Tab.o1[[#This Row],[Za]],0,1,FALSE)*Tab.o1[[#This Row],[i.]],AP$3),"")</f>
        <v/>
      </c>
      <c r="Y878" s="126" t="str">
        <f>IF(Tab.o1[[#This Row],[a1]]=1,0.01+0.94*Tab.o1[[#This Row],[PDF]]/MAX(Tab.o1[PDF]),"")</f>
        <v/>
      </c>
      <c r="Z878" s="126" t="str">
        <f>IF(Tab.o1[[#This Row],[a1]]=1,0.01+0.94*Tab.o1[[#This Row],[W1_PDF]]/MAX(Tab.o1[W1_PDF]),"")</f>
        <v/>
      </c>
      <c r="AA878" s="118" t="str">
        <f>IF(Tab.o1[[#This Row],[a1]]=1,ABS([1]!T.in.A[[#This Row],[oo6]]),"")</f>
        <v/>
      </c>
      <c r="AB878" s="127" t="str">
        <f>IF(Tab.o1[[#This Row],[a1]]=1,IF(AE$3=0,"",IF(AB$3=0,ABS([1]!T.in.A[[#This Row],[oo9]]),ABS(Tab.o1[[#This Row],[DIF_Target.]]*Tab.o1[[#This Row],[W1_PDF]]))),"")</f>
        <v/>
      </c>
      <c r="AC878" s="127" t="str">
        <f>IF(G$1=1,"",IF(Tab.o1[[#This Row],[a1]]=1,Tab.o1[[#This Row],[Wr]]^2,""))</f>
        <v/>
      </c>
      <c r="AD878" s="118" t="str">
        <f>IF(Tab.o1[[#This Row],[a1]]=1,IF(AE$3=0,"",Tab.o1[[#This Row],[Wr2]]/SUM(Tab.o1[Wr2])),"")</f>
        <v/>
      </c>
      <c r="AE878" s="128" t="str">
        <f>IF(Tab.o1[[#This Row],[a1]]=1,[1]!T.in.A[[#This Row],[oo10]],"")</f>
        <v/>
      </c>
      <c r="AF878" s="118" t="str">
        <f>IF(Tab.o1[[#This Row],[a1]]=1,ABS(Tab.o1[[#This Row],[DIF_Target.]]*Tab.o1[[#This Row],[PDF2]]*Tab.o1[[#This Row],[IN]]),"")</f>
        <v/>
      </c>
      <c r="AG878" s="129" t="str">
        <f>IF(Tab.o1[[#This Row],[a1]]=1,Tab.o1[[#This Row],[rW]]^2,"")</f>
        <v/>
      </c>
      <c r="AH878" s="130" t="str">
        <f>IF(Tab.o1[[#This Row],[a1]]=1,IF(AH$3=0,Tab.o1[[#This Row],[rW2]],0.01+0.94*Tab.o1[[#This Row],[rW2]]/SUM(Tab.o1[rW2])),"")</f>
        <v/>
      </c>
      <c r="AI878" s="128" t="str">
        <f>IF(Tab.o1[[#This Row],[a1]]=1,1/Tab.o1[[#This Row],[PDF]],"")</f>
        <v/>
      </c>
      <c r="AJ878" s="131" t="str">
        <f>IF(Tab.o1[[#This Row],[a1]]=1,[1]!T_AA[[#This Row],[IN'']]*[1]!T_AA[[#This Row],[Qde'']],"")</f>
        <v/>
      </c>
      <c r="AK878" s="132" t="str">
        <f>IF(Tab.o1[[#This Row],[a1]]=1,IF(AK$1=1,Tab.o1[[#This Row],[MED]]+Tab.o1[[#This Row],[MOD]]-Tab.o1[[#This Row],[MED]],""),"")</f>
        <v/>
      </c>
      <c r="AL878" s="133" t="str">
        <f>IF(Tab.o1[[#This Row],[a1]]=1,[1]!T.in.A[[#This Row],[oo16]],"")</f>
        <v/>
      </c>
      <c r="AM878" s="133" t="str">
        <f>IF(Tab.o1[[#This Row],[a1]]=1,IF(AM$3=1,[1]!T.in.A[[#This Row],[Σo16]],""),"")</f>
        <v/>
      </c>
      <c r="AN878" s="126" t="str">
        <f>IF(Tab.o1[[#This Row],[a1]]=1,[1]!T.in.A[[#This Row],[Σp5]],"")</f>
        <v/>
      </c>
      <c r="AO878" s="126" t="str">
        <f>IF(Tab.o1[[#This Row],[a1]]=1,IF(AO$3=1,[1]!T.in.A[[#This Row],[Σp5]],""),"")</f>
        <v/>
      </c>
      <c r="AP878" s="110" t="str">
        <f>IF(Tab.o1[[#This Row],[a1]]=1,IF(ISNUMBER(Tab.o1[[#This Row],[i.]]),NORMDIST(Tab.o1[[#This Row],[Za]],0,1,FALSE)*Tab.o1[[#This Row],[i.]],0),"")</f>
        <v/>
      </c>
      <c r="AQ878" s="125" t="str">
        <f>IF(Tab.o1[[#This Row],[a1]]=1,ABS(Tab.o1[[#This Row],[MOD]]-AVERAGE(Tab.o1[MOD])),"")</f>
        <v/>
      </c>
      <c r="AR878" s="134" t="str">
        <f>IF(Tab.o1[[#This Row],[a1]]=1,Tab.o1[[#This Row],[OBS]]/SUM(Tab.o1[OBS]),"")</f>
        <v/>
      </c>
      <c r="AS878" s="135" t="str">
        <f>IF(ISNUMBER(Tab.o1[[#This Row],[a1]]),ROW()-4,"")</f>
        <v/>
      </c>
      <c r="AT878" s="136" t="str">
        <f>Tab.o1[[#This Row],[MOD]]</f>
        <v/>
      </c>
      <c r="AU878" s="137" t="str">
        <f t="shared" si="53"/>
        <v/>
      </c>
      <c r="AV878" s="138" t="str">
        <f t="shared" si="54"/>
        <v/>
      </c>
      <c r="AW878" s="138" t="str">
        <f t="shared" si="55"/>
        <v/>
      </c>
      <c r="AX878" s="139" t="str">
        <f>[1]!T.in.A[[#This Row],[ID_T_manu]]</f>
        <v/>
      </c>
      <c r="AY878" s="140" t="str">
        <f>IF(ISNUMBER(Tab.o1[[#This Row],[a1]]),IF(AND(Tab.o1[[#This Row],[a1]]=1,Tab.o1[[#This Row],[b1]]&lt;=AY$4),#REF!,AY877),"")</f>
        <v/>
      </c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6"/>
      <c r="BO878" s="26"/>
      <c r="BP878" s="26"/>
      <c r="BQ878" s="26"/>
      <c r="BR878" s="26"/>
      <c r="BS878" s="26"/>
      <c r="BT878" s="26"/>
      <c r="BU878" s="26"/>
      <c r="BV878" s="26"/>
      <c r="BW878" s="26"/>
      <c r="BX878" s="26"/>
      <c r="BY878" s="26"/>
      <c r="BZ878" s="26"/>
      <c r="CA878" s="26"/>
    </row>
    <row r="879" spans="1:79" s="143" customFormat="1" ht="15.75" hidden="1">
      <c r="A879" s="109">
        <v>5.0000000000000004E-6</v>
      </c>
      <c r="B879" s="110">
        <f t="shared" si="52"/>
        <v>879</v>
      </c>
      <c r="C879" s="111" t="str">
        <f>IF(C$1=[1]!T.in.A[[#This Row],[oo2]],1,"")</f>
        <v/>
      </c>
      <c r="D879" s="112" t="str">
        <f>IF(Tab.o1[[#This Row],[a1]]=1,IF(SUM(C879:C880)=0,0,IF(SUM(C878:C879)=1,1,IF(SUM(C878:C880)&gt;1,D878+1,0))),"")</f>
        <v/>
      </c>
      <c r="E879" s="113" t="str">
        <f>IF(Tab.o1[[#This Row],[a1]]=1,[1]!T.in.A[[#This Row],[oo1]],"")</f>
        <v/>
      </c>
      <c r="F879" s="113" t="str">
        <f>IF(Tab.o1[[#This Row],[a1]]=1,[1]!T.in.A[[#This Row],[pp1]],"")</f>
        <v/>
      </c>
      <c r="G879" s="114" t="str">
        <f>IF(Tab.o1[[#This Row],[a1]]=1,G$2+IF(G$1=1,0,Tab.o1[[#This Row],[.x1]])+[1]!T.in.A[[#This Row],[oo3]],"")</f>
        <v/>
      </c>
      <c r="H879" s="115" t="str">
        <f>IF(Tab.o1[[#This Row],[a1]]=1,IF(H$2=0,0,IF(G$1=1,0,Tab.o1[[#This Row],[.x1]])+[1]!T.in.A[[#This Row],[oo4]]),"")</f>
        <v/>
      </c>
      <c r="I879" s="116" t="str">
        <f>IF(Tab.o1[[#This Row],[a1]]=1,IF(J$2=0,Tab.o1[[#This Row],[MED]],Tab.o1[[#This Row],[MOD]]),"")</f>
        <v/>
      </c>
      <c r="J879" s="116" t="str">
        <f>IF(Tab.o1[[#This Row],[a1]]=1,((Tab.o1[[#This Row],[DIF_Target.]]-AVERAGE(Tab.o1[DIF_Target.]))/_xlfn.STDEV.P(Tab.o1[DIF_Target.])),"")</f>
        <v/>
      </c>
      <c r="K879" s="117" t="str">
        <f>IF(Tab.o1[[#This Row],[a1]]=1,IF(J$2=0,Tab.o1[[#This Row],[MOD]]-Tab.o1[[#This Row],[B]],IF(J$2=1,0,-Tab.o1[[#This Row],[MED]])+Tab.o1[[#This Row],[B]]),"")</f>
        <v/>
      </c>
      <c r="L879" s="117" t="str">
        <f ca="1">IF(Tab.o1[[#This Row],[DIF_Target]]=0,IF(L$2=0,Tab.o1[[#This Row],[DIF_Target]],AVERAGE(OFFSET(Tab.o1[[#This Row],[DIF_Target]],1,0,L$3,1)))/3,Tab.o1[[#This Row],[DIF_Target]])</f>
        <v/>
      </c>
      <c r="M879" s="118" t="str">
        <f>IF(Tab.o1[[#This Row],[a1]]=1,NORMSDIST(Tab.o1[[#This Row],[Za]]),"")</f>
        <v/>
      </c>
      <c r="N879" s="119" t="str">
        <f>IF(Tab.o1[[#This Row],[a1]]=1,((Tab.o1[[#This Row],[MedMod]]-AVERAGE(Tab.o1[MedMod]))/_xlfn.STDEV.P(Tab.o1[MedMod])*H$1205)+G$1205,"")</f>
        <v/>
      </c>
      <c r="O879" s="141" t="str">
        <f>IF(Tab.o1[[#This Row],[a1]]=1,Tab.o1[[#This Row],[Zb]]*_xlfn.STDEV.P(Tab.o1[MedMod])+AVERAGE(Tab.o1[MedMod]),"")</f>
        <v/>
      </c>
      <c r="P879" s="117" t="str">
        <f ca="1">IF(Tab.o1[[#This Row],[B]]=0,AVERAGE(OFFSET(Tab.o1[[#This Row],[B]],1,0,L$3,1)),Tab.o1[[#This Row],[B]])</f>
        <v/>
      </c>
      <c r="Q879" s="121" t="str">
        <f>IF(Tab.o1[[#This Row],[a1]]=1,NORMSDIST(Tab.o1[[#This Row],[Zb]]),"")</f>
        <v/>
      </c>
      <c r="R879" s="122" t="str">
        <f>IF(Tab.o1[[#This Row],[a1]]=1,((Tab.o1[[#This Row],[MedMod]]-AVERAGE(Tab.o1[MedMod]))/_xlfn.STDEV.P(Tab.o1[MedMod])*H$1203)+G$1203,"")</f>
        <v/>
      </c>
      <c r="S879" s="122" t="str">
        <f>IF(Tab.o1[[#This Row],[a1]]=1,((Tab.o1[[#This Row],[MedMod]]-AVERAGE(Tab.o1[MedMod]))/_xlfn.STDEV.P(Tab.o1[MedMod])*H$1204)+G$1204,"")</f>
        <v/>
      </c>
      <c r="T879" s="123" t="str">
        <f>IF(Tab.o1[[#This Row],[a1]]=1,Tab.o1[[#This Row],[Z-]]*_xlfn.STDEV.P(Tab.o1[B])+AVERAGE(Tab.o1[B]),"")</f>
        <v/>
      </c>
      <c r="U879" s="123" t="str">
        <f>IF(Tab.o1[[#This Row],[a1]]=1,Tab.o1[[#This Row],[z+]]*_xlfn.STDEV.P(Tab.o1[B])+AVERAGE(Tab.o1[B]),"")</f>
        <v/>
      </c>
      <c r="V879" s="124" t="str">
        <f>IF(Tab.o1[[#This Row],[a1]]=1,ABS((ABS(Tab.o1[[#This Row],[Red]]-Tab.o1[[#This Row],[Blue]]))),"")</f>
        <v/>
      </c>
      <c r="W879" s="125" t="str">
        <f>IF(Tab.o1[[#This Row],[a1]]=1,IF(W$3=0,1,Tab.o1[[#This Row],[Amp.]]*1/_xlfn.MINIFS(Tab.o1[Amp.],Tab.o1[Amp.],"&lt;&gt;0")),"")</f>
        <v/>
      </c>
      <c r="X879" s="126" t="str">
        <f>IF(Tab.o1[[#This Row],[a1]]=1,IF(ISNUMBER(Tab.o1[[#This Row],[i.]]),NORMDIST(Tab.o1[[#This Row],[Za]],0,1,FALSE)*Tab.o1[[#This Row],[i.]],AP$3),"")</f>
        <v/>
      </c>
      <c r="Y879" s="126" t="str">
        <f>IF(Tab.o1[[#This Row],[a1]]=1,0.01+0.94*Tab.o1[[#This Row],[PDF]]/MAX(Tab.o1[PDF]),"")</f>
        <v/>
      </c>
      <c r="Z879" s="126" t="str">
        <f>IF(Tab.o1[[#This Row],[a1]]=1,0.01+0.94*Tab.o1[[#This Row],[W1_PDF]]/MAX(Tab.o1[W1_PDF]),"")</f>
        <v/>
      </c>
      <c r="AA879" s="118" t="str">
        <f>IF(Tab.o1[[#This Row],[a1]]=1,ABS([1]!T.in.A[[#This Row],[oo6]]),"")</f>
        <v/>
      </c>
      <c r="AB879" s="127" t="str">
        <f>IF(Tab.o1[[#This Row],[a1]]=1,IF(AE$3=0,"",IF(AB$3=0,ABS([1]!T.in.A[[#This Row],[oo9]]),ABS(Tab.o1[[#This Row],[DIF_Target.]]*Tab.o1[[#This Row],[W1_PDF]]))),"")</f>
        <v/>
      </c>
      <c r="AC879" s="127" t="str">
        <f>IF(G$1=1,"",IF(Tab.o1[[#This Row],[a1]]=1,Tab.o1[[#This Row],[Wr]]^2,""))</f>
        <v/>
      </c>
      <c r="AD879" s="118" t="str">
        <f>IF(Tab.o1[[#This Row],[a1]]=1,IF(AE$3=0,"",Tab.o1[[#This Row],[Wr2]]/SUM(Tab.o1[Wr2])),"")</f>
        <v/>
      </c>
      <c r="AE879" s="128" t="str">
        <f>IF(Tab.o1[[#This Row],[a1]]=1,[1]!T.in.A[[#This Row],[oo10]],"")</f>
        <v/>
      </c>
      <c r="AF879" s="118" t="str">
        <f>IF(Tab.o1[[#This Row],[a1]]=1,ABS(Tab.o1[[#This Row],[DIF_Target.]]*Tab.o1[[#This Row],[PDF2]]*Tab.o1[[#This Row],[IN]]),"")</f>
        <v/>
      </c>
      <c r="AG879" s="129" t="str">
        <f>IF(Tab.o1[[#This Row],[a1]]=1,Tab.o1[[#This Row],[rW]]^2,"")</f>
        <v/>
      </c>
      <c r="AH879" s="130" t="str">
        <f>IF(Tab.o1[[#This Row],[a1]]=1,IF(AH$3=0,Tab.o1[[#This Row],[rW2]],0.01+0.94*Tab.o1[[#This Row],[rW2]]/SUM(Tab.o1[rW2])),"")</f>
        <v/>
      </c>
      <c r="AI879" s="128" t="str">
        <f>IF(Tab.o1[[#This Row],[a1]]=1,1/Tab.o1[[#This Row],[PDF]],"")</f>
        <v/>
      </c>
      <c r="AJ879" s="131" t="str">
        <f>IF(Tab.o1[[#This Row],[a1]]=1,[1]!T_AA[[#This Row],[IN'']]*[1]!T_AA[[#This Row],[Qde'']],"")</f>
        <v/>
      </c>
      <c r="AK879" s="132" t="str">
        <f>IF(Tab.o1[[#This Row],[a1]]=1,IF(AK$1=1,Tab.o1[[#This Row],[MED]]+Tab.o1[[#This Row],[MOD]]-Tab.o1[[#This Row],[MED]],""),"")</f>
        <v/>
      </c>
      <c r="AL879" s="133" t="str">
        <f>IF(Tab.o1[[#This Row],[a1]]=1,[1]!T.in.A[[#This Row],[oo16]],"")</f>
        <v/>
      </c>
      <c r="AM879" s="133" t="str">
        <f>IF(Tab.o1[[#This Row],[a1]]=1,IF(AM$3=1,[1]!T.in.A[[#This Row],[Σo16]],""),"")</f>
        <v/>
      </c>
      <c r="AN879" s="126" t="str">
        <f>IF(Tab.o1[[#This Row],[a1]]=1,[1]!T.in.A[[#This Row],[Σp5]],"")</f>
        <v/>
      </c>
      <c r="AO879" s="126" t="str">
        <f>IF(Tab.o1[[#This Row],[a1]]=1,IF(AO$3=1,[1]!T.in.A[[#This Row],[Σp5]],""),"")</f>
        <v/>
      </c>
      <c r="AP879" s="110" t="str">
        <f>IF(Tab.o1[[#This Row],[a1]]=1,IF(ISNUMBER(Tab.o1[[#This Row],[i.]]),NORMDIST(Tab.o1[[#This Row],[Za]],0,1,FALSE)*Tab.o1[[#This Row],[i.]],0),"")</f>
        <v/>
      </c>
      <c r="AQ879" s="125" t="str">
        <f>IF(Tab.o1[[#This Row],[a1]]=1,ABS(Tab.o1[[#This Row],[MOD]]-AVERAGE(Tab.o1[MOD])),"")</f>
        <v/>
      </c>
      <c r="AR879" s="134" t="str">
        <f>IF(Tab.o1[[#This Row],[a1]]=1,Tab.o1[[#This Row],[OBS]]/SUM(Tab.o1[OBS]),"")</f>
        <v/>
      </c>
      <c r="AS879" s="135" t="str">
        <f>IF(ISNUMBER(Tab.o1[[#This Row],[a1]]),ROW()-4,"")</f>
        <v/>
      </c>
      <c r="AT879" s="136" t="str">
        <f>Tab.o1[[#This Row],[MOD]]</f>
        <v/>
      </c>
      <c r="AU879" s="137" t="str">
        <f t="shared" si="53"/>
        <v/>
      </c>
      <c r="AV879" s="138" t="str">
        <f t="shared" si="54"/>
        <v/>
      </c>
      <c r="AW879" s="138" t="str">
        <f t="shared" si="55"/>
        <v/>
      </c>
      <c r="AX879" s="139" t="str">
        <f>[1]!T.in.A[[#This Row],[ID_T_manu]]</f>
        <v/>
      </c>
      <c r="AY879" s="140" t="str">
        <f>IF(ISNUMBER(Tab.o1[[#This Row],[a1]]),IF(AND(Tab.o1[[#This Row],[a1]]=1,Tab.o1[[#This Row],[b1]]&lt;=AY$4),#REF!,AY878),"")</f>
        <v/>
      </c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6"/>
      <c r="BO879" s="26"/>
      <c r="BP879" s="26"/>
      <c r="BQ879" s="26"/>
      <c r="BR879" s="26"/>
      <c r="BS879" s="26"/>
      <c r="BT879" s="26"/>
      <c r="BU879" s="26"/>
      <c r="BV879" s="26"/>
      <c r="BW879" s="26"/>
      <c r="BX879" s="26"/>
      <c r="BY879" s="26"/>
      <c r="BZ879" s="26"/>
      <c r="CA879" s="26"/>
    </row>
    <row r="880" spans="1:79" s="143" customFormat="1" ht="15.75" hidden="1">
      <c r="A880" s="109">
        <v>-1.0000000000000002E-6</v>
      </c>
      <c r="B880" s="110">
        <f t="shared" si="52"/>
        <v>880</v>
      </c>
      <c r="C880" s="111" t="str">
        <f>IF(C$1=[1]!T.in.A[[#This Row],[oo2]],1,"")</f>
        <v/>
      </c>
      <c r="D880" s="112" t="str">
        <f>IF(Tab.o1[[#This Row],[a1]]=1,IF(SUM(C880:C881)=0,0,IF(SUM(C879:C880)=1,1,IF(SUM(C879:C881)&gt;1,D879+1,0))),"")</f>
        <v/>
      </c>
      <c r="E880" s="113" t="str">
        <f>IF(Tab.o1[[#This Row],[a1]]=1,[1]!T.in.A[[#This Row],[oo1]],"")</f>
        <v/>
      </c>
      <c r="F880" s="113" t="str">
        <f>IF(Tab.o1[[#This Row],[a1]]=1,[1]!T.in.A[[#This Row],[pp1]],"")</f>
        <v/>
      </c>
      <c r="G880" s="114" t="str">
        <f>IF(Tab.o1[[#This Row],[a1]]=1,G$2+IF(G$1=1,0,Tab.o1[[#This Row],[.x1]])+[1]!T.in.A[[#This Row],[oo3]],"")</f>
        <v/>
      </c>
      <c r="H880" s="115" t="str">
        <f>IF(Tab.o1[[#This Row],[a1]]=1,IF(H$2=0,0,IF(G$1=1,0,Tab.o1[[#This Row],[.x1]])+[1]!T.in.A[[#This Row],[oo4]]),"")</f>
        <v/>
      </c>
      <c r="I880" s="116" t="str">
        <f>IF(Tab.o1[[#This Row],[a1]]=1,IF(J$2=0,Tab.o1[[#This Row],[MED]],Tab.o1[[#This Row],[MOD]]),"")</f>
        <v/>
      </c>
      <c r="J880" s="116" t="str">
        <f>IF(Tab.o1[[#This Row],[a1]]=1,((Tab.o1[[#This Row],[DIF_Target.]]-AVERAGE(Tab.o1[DIF_Target.]))/_xlfn.STDEV.P(Tab.o1[DIF_Target.])),"")</f>
        <v/>
      </c>
      <c r="K880" s="117" t="str">
        <f>IF(Tab.o1[[#This Row],[a1]]=1,IF(J$2=0,Tab.o1[[#This Row],[MOD]]-Tab.o1[[#This Row],[B]],IF(J$2=1,0,-Tab.o1[[#This Row],[MED]])+Tab.o1[[#This Row],[B]]),"")</f>
        <v/>
      </c>
      <c r="L880" s="117" t="str">
        <f ca="1">IF(Tab.o1[[#This Row],[DIF_Target]]=0,IF(L$2=0,Tab.o1[[#This Row],[DIF_Target]],AVERAGE(OFFSET(Tab.o1[[#This Row],[DIF_Target]],1,0,L$3,1)))/3,Tab.o1[[#This Row],[DIF_Target]])</f>
        <v/>
      </c>
      <c r="M880" s="118" t="str">
        <f>IF(Tab.o1[[#This Row],[a1]]=1,NORMSDIST(Tab.o1[[#This Row],[Za]]),"")</f>
        <v/>
      </c>
      <c r="N880" s="119" t="str">
        <f>IF(Tab.o1[[#This Row],[a1]]=1,((Tab.o1[[#This Row],[MedMod]]-AVERAGE(Tab.o1[MedMod]))/_xlfn.STDEV.P(Tab.o1[MedMod])*H$1205)+G$1205,"")</f>
        <v/>
      </c>
      <c r="O880" s="141" t="str">
        <f>IF(Tab.o1[[#This Row],[a1]]=1,Tab.o1[[#This Row],[Zb]]*_xlfn.STDEV.P(Tab.o1[MedMod])+AVERAGE(Tab.o1[MedMod]),"")</f>
        <v/>
      </c>
      <c r="P880" s="117" t="str">
        <f ca="1">IF(Tab.o1[[#This Row],[B]]=0,AVERAGE(OFFSET(Tab.o1[[#This Row],[B]],1,0,L$3,1)),Tab.o1[[#This Row],[B]])</f>
        <v/>
      </c>
      <c r="Q880" s="121" t="str">
        <f>IF(Tab.o1[[#This Row],[a1]]=1,NORMSDIST(Tab.o1[[#This Row],[Zb]]),"")</f>
        <v/>
      </c>
      <c r="R880" s="122" t="str">
        <f>IF(Tab.o1[[#This Row],[a1]]=1,((Tab.o1[[#This Row],[MedMod]]-AVERAGE(Tab.o1[MedMod]))/_xlfn.STDEV.P(Tab.o1[MedMod])*H$1203)+G$1203,"")</f>
        <v/>
      </c>
      <c r="S880" s="122" t="str">
        <f>IF(Tab.o1[[#This Row],[a1]]=1,((Tab.o1[[#This Row],[MedMod]]-AVERAGE(Tab.o1[MedMod]))/_xlfn.STDEV.P(Tab.o1[MedMod])*H$1204)+G$1204,"")</f>
        <v/>
      </c>
      <c r="T880" s="123" t="str">
        <f>IF(Tab.o1[[#This Row],[a1]]=1,Tab.o1[[#This Row],[Z-]]*_xlfn.STDEV.P(Tab.o1[B])+AVERAGE(Tab.o1[B]),"")</f>
        <v/>
      </c>
      <c r="U880" s="123" t="str">
        <f>IF(Tab.o1[[#This Row],[a1]]=1,Tab.o1[[#This Row],[z+]]*_xlfn.STDEV.P(Tab.o1[B])+AVERAGE(Tab.o1[B]),"")</f>
        <v/>
      </c>
      <c r="V880" s="124" t="str">
        <f>IF(Tab.o1[[#This Row],[a1]]=1,ABS((ABS(Tab.o1[[#This Row],[Red]]-Tab.o1[[#This Row],[Blue]]))),"")</f>
        <v/>
      </c>
      <c r="W880" s="125" t="str">
        <f>IF(Tab.o1[[#This Row],[a1]]=1,IF(W$3=0,1,Tab.o1[[#This Row],[Amp.]]*1/_xlfn.MINIFS(Tab.o1[Amp.],Tab.o1[Amp.],"&lt;&gt;0")),"")</f>
        <v/>
      </c>
      <c r="X880" s="126" t="str">
        <f>IF(Tab.o1[[#This Row],[a1]]=1,IF(ISNUMBER(Tab.o1[[#This Row],[i.]]),NORMDIST(Tab.o1[[#This Row],[Za]],0,1,FALSE)*Tab.o1[[#This Row],[i.]],AP$3),"")</f>
        <v/>
      </c>
      <c r="Y880" s="126" t="str">
        <f>IF(Tab.o1[[#This Row],[a1]]=1,0.01+0.94*Tab.o1[[#This Row],[PDF]]/MAX(Tab.o1[PDF]),"")</f>
        <v/>
      </c>
      <c r="Z880" s="126" t="str">
        <f>IF(Tab.o1[[#This Row],[a1]]=1,0.01+0.94*Tab.o1[[#This Row],[W1_PDF]]/MAX(Tab.o1[W1_PDF]),"")</f>
        <v/>
      </c>
      <c r="AA880" s="118" t="str">
        <f>IF(Tab.o1[[#This Row],[a1]]=1,ABS([1]!T.in.A[[#This Row],[oo6]]),"")</f>
        <v/>
      </c>
      <c r="AB880" s="127" t="str">
        <f>IF(Tab.o1[[#This Row],[a1]]=1,IF(AE$3=0,"",IF(AB$3=0,ABS([1]!T.in.A[[#This Row],[oo9]]),ABS(Tab.o1[[#This Row],[DIF_Target.]]*Tab.o1[[#This Row],[W1_PDF]]))),"")</f>
        <v/>
      </c>
      <c r="AC880" s="127" t="str">
        <f>IF(G$1=1,"",IF(Tab.o1[[#This Row],[a1]]=1,Tab.o1[[#This Row],[Wr]]^2,""))</f>
        <v/>
      </c>
      <c r="AD880" s="118" t="str">
        <f>IF(Tab.o1[[#This Row],[a1]]=1,IF(AE$3=0,"",Tab.o1[[#This Row],[Wr2]]/SUM(Tab.o1[Wr2])),"")</f>
        <v/>
      </c>
      <c r="AE880" s="128" t="str">
        <f>IF(Tab.o1[[#This Row],[a1]]=1,[1]!T.in.A[[#This Row],[oo10]],"")</f>
        <v/>
      </c>
      <c r="AF880" s="118" t="str">
        <f>IF(Tab.o1[[#This Row],[a1]]=1,ABS(Tab.o1[[#This Row],[DIF_Target.]]*Tab.o1[[#This Row],[PDF2]]*Tab.o1[[#This Row],[IN]]),"")</f>
        <v/>
      </c>
      <c r="AG880" s="129" t="str">
        <f>IF(Tab.o1[[#This Row],[a1]]=1,Tab.o1[[#This Row],[rW]]^2,"")</f>
        <v/>
      </c>
      <c r="AH880" s="130" t="str">
        <f>IF(Tab.o1[[#This Row],[a1]]=1,IF(AH$3=0,Tab.o1[[#This Row],[rW2]],0.01+0.94*Tab.o1[[#This Row],[rW2]]/SUM(Tab.o1[rW2])),"")</f>
        <v/>
      </c>
      <c r="AI880" s="128" t="str">
        <f>IF(Tab.o1[[#This Row],[a1]]=1,1/Tab.o1[[#This Row],[PDF]],"")</f>
        <v/>
      </c>
      <c r="AJ880" s="131" t="str">
        <f>IF(Tab.o1[[#This Row],[a1]]=1,[1]!T_AA[[#This Row],[IN'']]*[1]!T_AA[[#This Row],[Qde'']],"")</f>
        <v/>
      </c>
      <c r="AK880" s="132" t="str">
        <f>IF(Tab.o1[[#This Row],[a1]]=1,IF(AK$1=1,Tab.o1[[#This Row],[MED]]+Tab.o1[[#This Row],[MOD]]-Tab.o1[[#This Row],[MED]],""),"")</f>
        <v/>
      </c>
      <c r="AL880" s="133" t="str">
        <f>IF(Tab.o1[[#This Row],[a1]]=1,[1]!T.in.A[[#This Row],[oo16]],"")</f>
        <v/>
      </c>
      <c r="AM880" s="133" t="str">
        <f>IF(Tab.o1[[#This Row],[a1]]=1,IF(AM$3=1,[1]!T.in.A[[#This Row],[Σo16]],""),"")</f>
        <v/>
      </c>
      <c r="AN880" s="126" t="str">
        <f>IF(Tab.o1[[#This Row],[a1]]=1,[1]!T.in.A[[#This Row],[Σp5]],"")</f>
        <v/>
      </c>
      <c r="AO880" s="126" t="str">
        <f>IF(Tab.o1[[#This Row],[a1]]=1,IF(AO$3=1,[1]!T.in.A[[#This Row],[Σp5]],""),"")</f>
        <v/>
      </c>
      <c r="AP880" s="110" t="str">
        <f>IF(Tab.o1[[#This Row],[a1]]=1,IF(ISNUMBER(Tab.o1[[#This Row],[i.]]),NORMDIST(Tab.o1[[#This Row],[Za]],0,1,FALSE)*Tab.o1[[#This Row],[i.]],0),"")</f>
        <v/>
      </c>
      <c r="AQ880" s="125" t="str">
        <f>IF(Tab.o1[[#This Row],[a1]]=1,ABS(Tab.o1[[#This Row],[MOD]]-AVERAGE(Tab.o1[MOD])),"")</f>
        <v/>
      </c>
      <c r="AR880" s="134" t="str">
        <f>IF(Tab.o1[[#This Row],[a1]]=1,Tab.o1[[#This Row],[OBS]]/SUM(Tab.o1[OBS]),"")</f>
        <v/>
      </c>
      <c r="AS880" s="135" t="str">
        <f>IF(ISNUMBER(Tab.o1[[#This Row],[a1]]),ROW()-4,"")</f>
        <v/>
      </c>
      <c r="AT880" s="136" t="str">
        <f>Tab.o1[[#This Row],[MOD]]</f>
        <v/>
      </c>
      <c r="AU880" s="137" t="str">
        <f t="shared" si="53"/>
        <v/>
      </c>
      <c r="AV880" s="138" t="str">
        <f t="shared" si="54"/>
        <v/>
      </c>
      <c r="AW880" s="138" t="str">
        <f t="shared" si="55"/>
        <v/>
      </c>
      <c r="AX880" s="139" t="str">
        <f>[1]!T.in.A[[#This Row],[ID_T_manu]]</f>
        <v/>
      </c>
      <c r="AY880" s="140" t="str">
        <f>IF(ISNUMBER(Tab.o1[[#This Row],[a1]]),IF(AND(Tab.o1[[#This Row],[a1]]=1,Tab.o1[[#This Row],[b1]]&lt;=AY$4),#REF!,AY879),"")</f>
        <v/>
      </c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6"/>
      <c r="BO880" s="26"/>
      <c r="BP880" s="26"/>
      <c r="BQ880" s="26"/>
      <c r="BR880" s="26"/>
      <c r="BS880" s="26"/>
      <c r="BT880" s="26"/>
      <c r="BU880" s="26"/>
      <c r="BV880" s="26"/>
      <c r="BW880" s="26"/>
      <c r="BX880" s="26"/>
      <c r="BY880" s="26"/>
      <c r="BZ880" s="26"/>
      <c r="CA880" s="26"/>
    </row>
    <row r="881" spans="1:79" s="143" customFormat="1" ht="15.75" hidden="1">
      <c r="A881" s="109">
        <v>-1.0000000000000002E-6</v>
      </c>
      <c r="B881" s="110">
        <f t="shared" si="52"/>
        <v>881</v>
      </c>
      <c r="C881" s="111" t="str">
        <f>IF(C$1=[1]!T.in.A[[#This Row],[oo2]],1,"")</f>
        <v/>
      </c>
      <c r="D881" s="112" t="str">
        <f>IF(Tab.o1[[#This Row],[a1]]=1,IF(SUM(C881:C882)=0,0,IF(SUM(C880:C881)=1,1,IF(SUM(C880:C882)&gt;1,D880+1,0))),"")</f>
        <v/>
      </c>
      <c r="E881" s="113" t="str">
        <f>IF(Tab.o1[[#This Row],[a1]]=1,[1]!T.in.A[[#This Row],[oo1]],"")</f>
        <v/>
      </c>
      <c r="F881" s="113" t="str">
        <f>IF(Tab.o1[[#This Row],[a1]]=1,[1]!T.in.A[[#This Row],[pp1]],"")</f>
        <v/>
      </c>
      <c r="G881" s="114" t="str">
        <f>IF(Tab.o1[[#This Row],[a1]]=1,G$2+IF(G$1=1,0,Tab.o1[[#This Row],[.x1]])+[1]!T.in.A[[#This Row],[oo3]],"")</f>
        <v/>
      </c>
      <c r="H881" s="115" t="str">
        <f>IF(Tab.o1[[#This Row],[a1]]=1,IF(H$2=0,0,IF(G$1=1,0,Tab.o1[[#This Row],[.x1]])+[1]!T.in.A[[#This Row],[oo4]]),"")</f>
        <v/>
      </c>
      <c r="I881" s="116" t="str">
        <f>IF(Tab.o1[[#This Row],[a1]]=1,IF(J$2=0,Tab.o1[[#This Row],[MED]],Tab.o1[[#This Row],[MOD]]),"")</f>
        <v/>
      </c>
      <c r="J881" s="116" t="str">
        <f>IF(Tab.o1[[#This Row],[a1]]=1,((Tab.o1[[#This Row],[DIF_Target.]]-AVERAGE(Tab.o1[DIF_Target.]))/_xlfn.STDEV.P(Tab.o1[DIF_Target.])),"")</f>
        <v/>
      </c>
      <c r="K881" s="117" t="str">
        <f>IF(Tab.o1[[#This Row],[a1]]=1,IF(J$2=0,Tab.o1[[#This Row],[MOD]]-Tab.o1[[#This Row],[B]],IF(J$2=1,0,-Tab.o1[[#This Row],[MED]])+Tab.o1[[#This Row],[B]]),"")</f>
        <v/>
      </c>
      <c r="L881" s="117" t="str">
        <f ca="1">IF(Tab.o1[[#This Row],[DIF_Target]]=0,IF(L$2=0,Tab.o1[[#This Row],[DIF_Target]],AVERAGE(OFFSET(Tab.o1[[#This Row],[DIF_Target]],1,0,L$3,1)))/3,Tab.o1[[#This Row],[DIF_Target]])</f>
        <v/>
      </c>
      <c r="M881" s="118" t="str">
        <f>IF(Tab.o1[[#This Row],[a1]]=1,NORMSDIST(Tab.o1[[#This Row],[Za]]),"")</f>
        <v/>
      </c>
      <c r="N881" s="119" t="str">
        <f>IF(Tab.o1[[#This Row],[a1]]=1,((Tab.o1[[#This Row],[MedMod]]-AVERAGE(Tab.o1[MedMod]))/_xlfn.STDEV.P(Tab.o1[MedMod])*H$1205)+G$1205,"")</f>
        <v/>
      </c>
      <c r="O881" s="141" t="str">
        <f>IF(Tab.o1[[#This Row],[a1]]=1,Tab.o1[[#This Row],[Zb]]*_xlfn.STDEV.P(Tab.o1[MedMod])+AVERAGE(Tab.o1[MedMod]),"")</f>
        <v/>
      </c>
      <c r="P881" s="117" t="str">
        <f ca="1">IF(Tab.o1[[#This Row],[B]]=0,AVERAGE(OFFSET(Tab.o1[[#This Row],[B]],1,0,L$3,1)),Tab.o1[[#This Row],[B]])</f>
        <v/>
      </c>
      <c r="Q881" s="121" t="str">
        <f>IF(Tab.o1[[#This Row],[a1]]=1,NORMSDIST(Tab.o1[[#This Row],[Zb]]),"")</f>
        <v/>
      </c>
      <c r="R881" s="122" t="str">
        <f>IF(Tab.o1[[#This Row],[a1]]=1,((Tab.o1[[#This Row],[MedMod]]-AVERAGE(Tab.o1[MedMod]))/_xlfn.STDEV.P(Tab.o1[MedMod])*H$1203)+G$1203,"")</f>
        <v/>
      </c>
      <c r="S881" s="122" t="str">
        <f>IF(Tab.o1[[#This Row],[a1]]=1,((Tab.o1[[#This Row],[MedMod]]-AVERAGE(Tab.o1[MedMod]))/_xlfn.STDEV.P(Tab.o1[MedMod])*H$1204)+G$1204,"")</f>
        <v/>
      </c>
      <c r="T881" s="123" t="str">
        <f>IF(Tab.o1[[#This Row],[a1]]=1,Tab.o1[[#This Row],[Z-]]*_xlfn.STDEV.P(Tab.o1[B])+AVERAGE(Tab.o1[B]),"")</f>
        <v/>
      </c>
      <c r="U881" s="123" t="str">
        <f>IF(Tab.o1[[#This Row],[a1]]=1,Tab.o1[[#This Row],[z+]]*_xlfn.STDEV.P(Tab.o1[B])+AVERAGE(Tab.o1[B]),"")</f>
        <v/>
      </c>
      <c r="V881" s="124" t="str">
        <f>IF(Tab.o1[[#This Row],[a1]]=1,ABS((ABS(Tab.o1[[#This Row],[Red]]-Tab.o1[[#This Row],[Blue]]))),"")</f>
        <v/>
      </c>
      <c r="W881" s="125" t="str">
        <f>IF(Tab.o1[[#This Row],[a1]]=1,IF(W$3=0,1,Tab.o1[[#This Row],[Amp.]]*1/_xlfn.MINIFS(Tab.o1[Amp.],Tab.o1[Amp.],"&lt;&gt;0")),"")</f>
        <v/>
      </c>
      <c r="X881" s="126" t="str">
        <f>IF(Tab.o1[[#This Row],[a1]]=1,IF(ISNUMBER(Tab.o1[[#This Row],[i.]]),NORMDIST(Tab.o1[[#This Row],[Za]],0,1,FALSE)*Tab.o1[[#This Row],[i.]],AP$3),"")</f>
        <v/>
      </c>
      <c r="Y881" s="126" t="str">
        <f>IF(Tab.o1[[#This Row],[a1]]=1,0.01+0.94*Tab.o1[[#This Row],[PDF]]/MAX(Tab.o1[PDF]),"")</f>
        <v/>
      </c>
      <c r="Z881" s="126" t="str">
        <f>IF(Tab.o1[[#This Row],[a1]]=1,0.01+0.94*Tab.o1[[#This Row],[W1_PDF]]/MAX(Tab.o1[W1_PDF]),"")</f>
        <v/>
      </c>
      <c r="AA881" s="118" t="str">
        <f>IF(Tab.o1[[#This Row],[a1]]=1,ABS([1]!T.in.A[[#This Row],[oo6]]),"")</f>
        <v/>
      </c>
      <c r="AB881" s="127" t="str">
        <f>IF(Tab.o1[[#This Row],[a1]]=1,IF(AE$3=0,"",IF(AB$3=0,ABS([1]!T.in.A[[#This Row],[oo9]]),ABS(Tab.o1[[#This Row],[DIF_Target.]]*Tab.o1[[#This Row],[W1_PDF]]))),"")</f>
        <v/>
      </c>
      <c r="AC881" s="127" t="str">
        <f>IF(G$1=1,"",IF(Tab.o1[[#This Row],[a1]]=1,Tab.o1[[#This Row],[Wr]]^2,""))</f>
        <v/>
      </c>
      <c r="AD881" s="118" t="str">
        <f>IF(Tab.o1[[#This Row],[a1]]=1,IF(AE$3=0,"",Tab.o1[[#This Row],[Wr2]]/SUM(Tab.o1[Wr2])),"")</f>
        <v/>
      </c>
      <c r="AE881" s="128" t="str">
        <f>IF(Tab.o1[[#This Row],[a1]]=1,[1]!T.in.A[[#This Row],[oo10]],"")</f>
        <v/>
      </c>
      <c r="AF881" s="118" t="str">
        <f>IF(Tab.o1[[#This Row],[a1]]=1,ABS(Tab.o1[[#This Row],[DIF_Target.]]*Tab.o1[[#This Row],[PDF2]]*Tab.o1[[#This Row],[IN]]),"")</f>
        <v/>
      </c>
      <c r="AG881" s="129" t="str">
        <f>IF(Tab.o1[[#This Row],[a1]]=1,Tab.o1[[#This Row],[rW]]^2,"")</f>
        <v/>
      </c>
      <c r="AH881" s="130" t="str">
        <f>IF(Tab.o1[[#This Row],[a1]]=1,IF(AH$3=0,Tab.o1[[#This Row],[rW2]],0.01+0.94*Tab.o1[[#This Row],[rW2]]/SUM(Tab.o1[rW2])),"")</f>
        <v/>
      </c>
      <c r="AI881" s="128" t="str">
        <f>IF(Tab.o1[[#This Row],[a1]]=1,1/Tab.o1[[#This Row],[PDF]],"")</f>
        <v/>
      </c>
      <c r="AJ881" s="131" t="str">
        <f>IF(Tab.o1[[#This Row],[a1]]=1,[1]!T_AA[[#This Row],[IN'']]*[1]!T_AA[[#This Row],[Qde'']],"")</f>
        <v/>
      </c>
      <c r="AK881" s="132" t="str">
        <f>IF(Tab.o1[[#This Row],[a1]]=1,IF(AK$1=1,Tab.o1[[#This Row],[MED]]+Tab.o1[[#This Row],[MOD]]-Tab.o1[[#This Row],[MED]],""),"")</f>
        <v/>
      </c>
      <c r="AL881" s="133" t="str">
        <f>IF(Tab.o1[[#This Row],[a1]]=1,[1]!T.in.A[[#This Row],[oo16]],"")</f>
        <v/>
      </c>
      <c r="AM881" s="133" t="str">
        <f>IF(Tab.o1[[#This Row],[a1]]=1,IF(AM$3=1,[1]!T.in.A[[#This Row],[Σo16]],""),"")</f>
        <v/>
      </c>
      <c r="AN881" s="126" t="str">
        <f>IF(Tab.o1[[#This Row],[a1]]=1,[1]!T.in.A[[#This Row],[Σp5]],"")</f>
        <v/>
      </c>
      <c r="AO881" s="126" t="str">
        <f>IF(Tab.o1[[#This Row],[a1]]=1,IF(AO$3=1,[1]!T.in.A[[#This Row],[Σp5]],""),"")</f>
        <v/>
      </c>
      <c r="AP881" s="110" t="str">
        <f>IF(Tab.o1[[#This Row],[a1]]=1,IF(ISNUMBER(Tab.o1[[#This Row],[i.]]),NORMDIST(Tab.o1[[#This Row],[Za]],0,1,FALSE)*Tab.o1[[#This Row],[i.]],0),"")</f>
        <v/>
      </c>
      <c r="AQ881" s="125" t="str">
        <f>IF(Tab.o1[[#This Row],[a1]]=1,ABS(Tab.o1[[#This Row],[MOD]]-AVERAGE(Tab.o1[MOD])),"")</f>
        <v/>
      </c>
      <c r="AR881" s="134" t="str">
        <f>IF(Tab.o1[[#This Row],[a1]]=1,Tab.o1[[#This Row],[OBS]]/SUM(Tab.o1[OBS]),"")</f>
        <v/>
      </c>
      <c r="AS881" s="135" t="str">
        <f>IF(ISNUMBER(Tab.o1[[#This Row],[a1]]),ROW()-4,"")</f>
        <v/>
      </c>
      <c r="AT881" s="136" t="str">
        <f>Tab.o1[[#This Row],[MOD]]</f>
        <v/>
      </c>
      <c r="AU881" s="137" t="str">
        <f t="shared" si="53"/>
        <v/>
      </c>
      <c r="AV881" s="138" t="str">
        <f t="shared" si="54"/>
        <v/>
      </c>
      <c r="AW881" s="138" t="str">
        <f t="shared" si="55"/>
        <v/>
      </c>
      <c r="AX881" s="139" t="str">
        <f>[1]!T.in.A[[#This Row],[ID_T_manu]]</f>
        <v/>
      </c>
      <c r="AY881" s="140" t="str">
        <f>IF(ISNUMBER(Tab.o1[[#This Row],[a1]]),IF(AND(Tab.o1[[#This Row],[a1]]=1,Tab.o1[[#This Row],[b1]]&lt;=AY$4),#REF!,AY880),"")</f>
        <v/>
      </c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6"/>
      <c r="BO881" s="26"/>
      <c r="BP881" s="26"/>
      <c r="BQ881" s="26"/>
      <c r="BR881" s="26"/>
      <c r="BS881" s="26"/>
      <c r="BT881" s="26"/>
      <c r="BU881" s="26"/>
      <c r="BV881" s="26"/>
      <c r="BW881" s="26"/>
      <c r="BX881" s="26"/>
      <c r="BY881" s="26"/>
      <c r="BZ881" s="26"/>
      <c r="CA881" s="26"/>
    </row>
    <row r="882" spans="1:79" s="143" customFormat="1" ht="15.75" hidden="1">
      <c r="A882" s="109">
        <v>-2.9999999999999997E-6</v>
      </c>
      <c r="B882" s="110">
        <f t="shared" si="52"/>
        <v>882</v>
      </c>
      <c r="C882" s="111" t="str">
        <f>IF(C$1=[1]!T.in.A[[#This Row],[oo2]],1,"")</f>
        <v/>
      </c>
      <c r="D882" s="112" t="str">
        <f>IF(Tab.o1[[#This Row],[a1]]=1,IF(SUM(C882:C883)=0,0,IF(SUM(C881:C882)=1,1,IF(SUM(C881:C883)&gt;1,D881+1,0))),"")</f>
        <v/>
      </c>
      <c r="E882" s="113" t="str">
        <f>IF(Tab.o1[[#This Row],[a1]]=1,[1]!T.in.A[[#This Row],[oo1]],"")</f>
        <v/>
      </c>
      <c r="F882" s="113" t="str">
        <f>IF(Tab.o1[[#This Row],[a1]]=1,[1]!T.in.A[[#This Row],[pp1]],"")</f>
        <v/>
      </c>
      <c r="G882" s="114" t="str">
        <f>IF(Tab.o1[[#This Row],[a1]]=1,G$2+IF(G$1=1,0,Tab.o1[[#This Row],[.x1]])+[1]!T.in.A[[#This Row],[oo3]],"")</f>
        <v/>
      </c>
      <c r="H882" s="115" t="str">
        <f>IF(Tab.o1[[#This Row],[a1]]=1,IF(H$2=0,0,IF(G$1=1,0,Tab.o1[[#This Row],[.x1]])+[1]!T.in.A[[#This Row],[oo4]]),"")</f>
        <v/>
      </c>
      <c r="I882" s="116" t="str">
        <f>IF(Tab.o1[[#This Row],[a1]]=1,IF(J$2=0,Tab.o1[[#This Row],[MED]],Tab.o1[[#This Row],[MOD]]),"")</f>
        <v/>
      </c>
      <c r="J882" s="116" t="str">
        <f>IF(Tab.o1[[#This Row],[a1]]=1,((Tab.o1[[#This Row],[DIF_Target.]]-AVERAGE(Tab.o1[DIF_Target.]))/_xlfn.STDEV.P(Tab.o1[DIF_Target.])),"")</f>
        <v/>
      </c>
      <c r="K882" s="117" t="str">
        <f>IF(Tab.o1[[#This Row],[a1]]=1,IF(J$2=0,Tab.o1[[#This Row],[MOD]]-Tab.o1[[#This Row],[B]],IF(J$2=1,0,-Tab.o1[[#This Row],[MED]])+Tab.o1[[#This Row],[B]]),"")</f>
        <v/>
      </c>
      <c r="L882" s="117" t="str">
        <f ca="1">IF(Tab.o1[[#This Row],[DIF_Target]]=0,IF(L$2=0,Tab.o1[[#This Row],[DIF_Target]],AVERAGE(OFFSET(Tab.o1[[#This Row],[DIF_Target]],1,0,L$3,1)))/3,Tab.o1[[#This Row],[DIF_Target]])</f>
        <v/>
      </c>
      <c r="M882" s="118" t="str">
        <f>IF(Tab.o1[[#This Row],[a1]]=1,NORMSDIST(Tab.o1[[#This Row],[Za]]),"")</f>
        <v/>
      </c>
      <c r="N882" s="119" t="str">
        <f>IF(Tab.o1[[#This Row],[a1]]=1,((Tab.o1[[#This Row],[MedMod]]-AVERAGE(Tab.o1[MedMod]))/_xlfn.STDEV.P(Tab.o1[MedMod])*H$1205)+G$1205,"")</f>
        <v/>
      </c>
      <c r="O882" s="141" t="str">
        <f>IF(Tab.o1[[#This Row],[a1]]=1,Tab.o1[[#This Row],[Zb]]*_xlfn.STDEV.P(Tab.o1[MedMod])+AVERAGE(Tab.o1[MedMod]),"")</f>
        <v/>
      </c>
      <c r="P882" s="117" t="str">
        <f ca="1">IF(Tab.o1[[#This Row],[B]]=0,AVERAGE(OFFSET(Tab.o1[[#This Row],[B]],1,0,L$3,1)),Tab.o1[[#This Row],[B]])</f>
        <v/>
      </c>
      <c r="Q882" s="121" t="str">
        <f>IF(Tab.o1[[#This Row],[a1]]=1,NORMSDIST(Tab.o1[[#This Row],[Zb]]),"")</f>
        <v/>
      </c>
      <c r="R882" s="122" t="str">
        <f>IF(Tab.o1[[#This Row],[a1]]=1,((Tab.o1[[#This Row],[MedMod]]-AVERAGE(Tab.o1[MedMod]))/_xlfn.STDEV.P(Tab.o1[MedMod])*H$1203)+G$1203,"")</f>
        <v/>
      </c>
      <c r="S882" s="122" t="str">
        <f>IF(Tab.o1[[#This Row],[a1]]=1,((Tab.o1[[#This Row],[MedMod]]-AVERAGE(Tab.o1[MedMod]))/_xlfn.STDEV.P(Tab.o1[MedMod])*H$1204)+G$1204,"")</f>
        <v/>
      </c>
      <c r="T882" s="123" t="str">
        <f>IF(Tab.o1[[#This Row],[a1]]=1,Tab.o1[[#This Row],[Z-]]*_xlfn.STDEV.P(Tab.o1[B])+AVERAGE(Tab.o1[B]),"")</f>
        <v/>
      </c>
      <c r="U882" s="123" t="str">
        <f>IF(Tab.o1[[#This Row],[a1]]=1,Tab.o1[[#This Row],[z+]]*_xlfn.STDEV.P(Tab.o1[B])+AVERAGE(Tab.o1[B]),"")</f>
        <v/>
      </c>
      <c r="V882" s="124" t="str">
        <f>IF(Tab.o1[[#This Row],[a1]]=1,ABS((ABS(Tab.o1[[#This Row],[Red]]-Tab.o1[[#This Row],[Blue]]))),"")</f>
        <v/>
      </c>
      <c r="W882" s="125" t="str">
        <f>IF(Tab.o1[[#This Row],[a1]]=1,IF(W$3=0,1,Tab.o1[[#This Row],[Amp.]]*1/_xlfn.MINIFS(Tab.o1[Amp.],Tab.o1[Amp.],"&lt;&gt;0")),"")</f>
        <v/>
      </c>
      <c r="X882" s="126" t="str">
        <f>IF(Tab.o1[[#This Row],[a1]]=1,IF(ISNUMBER(Tab.o1[[#This Row],[i.]]),NORMDIST(Tab.o1[[#This Row],[Za]],0,1,FALSE)*Tab.o1[[#This Row],[i.]],AP$3),"")</f>
        <v/>
      </c>
      <c r="Y882" s="126" t="str">
        <f>IF(Tab.o1[[#This Row],[a1]]=1,0.01+0.94*Tab.o1[[#This Row],[PDF]]/MAX(Tab.o1[PDF]),"")</f>
        <v/>
      </c>
      <c r="Z882" s="126" t="str">
        <f>IF(Tab.o1[[#This Row],[a1]]=1,0.01+0.94*Tab.o1[[#This Row],[W1_PDF]]/MAX(Tab.o1[W1_PDF]),"")</f>
        <v/>
      </c>
      <c r="AA882" s="118" t="str">
        <f>IF(Tab.o1[[#This Row],[a1]]=1,ABS([1]!T.in.A[[#This Row],[oo6]]),"")</f>
        <v/>
      </c>
      <c r="AB882" s="127" t="str">
        <f>IF(Tab.o1[[#This Row],[a1]]=1,IF(AE$3=0,"",IF(AB$3=0,ABS([1]!T.in.A[[#This Row],[oo9]]),ABS(Tab.o1[[#This Row],[DIF_Target.]]*Tab.o1[[#This Row],[W1_PDF]]))),"")</f>
        <v/>
      </c>
      <c r="AC882" s="127" t="str">
        <f>IF(G$1=1,"",IF(Tab.o1[[#This Row],[a1]]=1,Tab.o1[[#This Row],[Wr]]^2,""))</f>
        <v/>
      </c>
      <c r="AD882" s="118" t="str">
        <f>IF(Tab.o1[[#This Row],[a1]]=1,IF(AE$3=0,"",Tab.o1[[#This Row],[Wr2]]/SUM(Tab.o1[Wr2])),"")</f>
        <v/>
      </c>
      <c r="AE882" s="128" t="str">
        <f>IF(Tab.o1[[#This Row],[a1]]=1,[1]!T.in.A[[#This Row],[oo10]],"")</f>
        <v/>
      </c>
      <c r="AF882" s="118" t="str">
        <f>IF(Tab.o1[[#This Row],[a1]]=1,ABS(Tab.o1[[#This Row],[DIF_Target.]]*Tab.o1[[#This Row],[PDF2]]*Tab.o1[[#This Row],[IN]]),"")</f>
        <v/>
      </c>
      <c r="AG882" s="129" t="str">
        <f>IF(Tab.o1[[#This Row],[a1]]=1,Tab.o1[[#This Row],[rW]]^2,"")</f>
        <v/>
      </c>
      <c r="AH882" s="130" t="str">
        <f>IF(Tab.o1[[#This Row],[a1]]=1,IF(AH$3=0,Tab.o1[[#This Row],[rW2]],0.01+0.94*Tab.o1[[#This Row],[rW2]]/SUM(Tab.o1[rW2])),"")</f>
        <v/>
      </c>
      <c r="AI882" s="128" t="str">
        <f>IF(Tab.o1[[#This Row],[a1]]=1,1/Tab.o1[[#This Row],[PDF]],"")</f>
        <v/>
      </c>
      <c r="AJ882" s="131" t="str">
        <f>IF(Tab.o1[[#This Row],[a1]]=1,[1]!T_AA[[#This Row],[IN'']]*[1]!T_AA[[#This Row],[Qde'']],"")</f>
        <v/>
      </c>
      <c r="AK882" s="132" t="str">
        <f>IF(Tab.o1[[#This Row],[a1]]=1,IF(AK$1=1,Tab.o1[[#This Row],[MED]]+Tab.o1[[#This Row],[MOD]]-Tab.o1[[#This Row],[MED]],""),"")</f>
        <v/>
      </c>
      <c r="AL882" s="133" t="str">
        <f>IF(Tab.o1[[#This Row],[a1]]=1,[1]!T.in.A[[#This Row],[oo16]],"")</f>
        <v/>
      </c>
      <c r="AM882" s="133" t="str">
        <f>IF(Tab.o1[[#This Row],[a1]]=1,IF(AM$3=1,[1]!T.in.A[[#This Row],[Σo16]],""),"")</f>
        <v/>
      </c>
      <c r="AN882" s="126" t="str">
        <f>IF(Tab.o1[[#This Row],[a1]]=1,[1]!T.in.A[[#This Row],[Σp5]],"")</f>
        <v/>
      </c>
      <c r="AO882" s="126" t="str">
        <f>IF(Tab.o1[[#This Row],[a1]]=1,IF(AO$3=1,[1]!T.in.A[[#This Row],[Σp5]],""),"")</f>
        <v/>
      </c>
      <c r="AP882" s="110" t="str">
        <f>IF(Tab.o1[[#This Row],[a1]]=1,IF(ISNUMBER(Tab.o1[[#This Row],[i.]]),NORMDIST(Tab.o1[[#This Row],[Za]],0,1,FALSE)*Tab.o1[[#This Row],[i.]],0),"")</f>
        <v/>
      </c>
      <c r="AQ882" s="125" t="str">
        <f>IF(Tab.o1[[#This Row],[a1]]=1,ABS(Tab.o1[[#This Row],[MOD]]-AVERAGE(Tab.o1[MOD])),"")</f>
        <v/>
      </c>
      <c r="AR882" s="134" t="str">
        <f>IF(Tab.o1[[#This Row],[a1]]=1,Tab.o1[[#This Row],[OBS]]/SUM(Tab.o1[OBS]),"")</f>
        <v/>
      </c>
      <c r="AS882" s="135" t="str">
        <f>IF(ISNUMBER(Tab.o1[[#This Row],[a1]]),ROW()-4,"")</f>
        <v/>
      </c>
      <c r="AT882" s="136" t="str">
        <f>Tab.o1[[#This Row],[MOD]]</f>
        <v/>
      </c>
      <c r="AU882" s="137" t="str">
        <f t="shared" si="53"/>
        <v/>
      </c>
      <c r="AV882" s="138" t="str">
        <f t="shared" si="54"/>
        <v/>
      </c>
      <c r="AW882" s="138" t="str">
        <f t="shared" si="55"/>
        <v/>
      </c>
      <c r="AX882" s="139" t="str">
        <f>[1]!T.in.A[[#This Row],[ID_T_manu]]</f>
        <v/>
      </c>
      <c r="AY882" s="140" t="str">
        <f>IF(ISNUMBER(Tab.o1[[#This Row],[a1]]),IF(AND(Tab.o1[[#This Row],[a1]]=1,Tab.o1[[#This Row],[b1]]&lt;=AY$4),#REF!,AY881),"")</f>
        <v/>
      </c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6"/>
      <c r="BO882" s="26"/>
      <c r="BP882" s="26"/>
      <c r="BQ882" s="26"/>
      <c r="BR882" s="26"/>
      <c r="BS882" s="26"/>
      <c r="BT882" s="26"/>
      <c r="BU882" s="26"/>
      <c r="BV882" s="26"/>
      <c r="BW882" s="26"/>
      <c r="BX882" s="26"/>
      <c r="BY882" s="26"/>
      <c r="BZ882" s="26"/>
      <c r="CA882" s="26"/>
    </row>
    <row r="883" spans="1:79" s="143" customFormat="1" ht="15.75" hidden="1">
      <c r="A883" s="109">
        <v>-5.9999999999999993E-6</v>
      </c>
      <c r="B883" s="110">
        <f t="shared" si="52"/>
        <v>883</v>
      </c>
      <c r="C883" s="111" t="str">
        <f>IF(C$1=[1]!T.in.A[[#This Row],[oo2]],1,"")</f>
        <v/>
      </c>
      <c r="D883" s="112" t="str">
        <f>IF(Tab.o1[[#This Row],[a1]]=1,IF(SUM(C883:C884)=0,0,IF(SUM(C882:C883)=1,1,IF(SUM(C882:C884)&gt;1,D882+1,0))),"")</f>
        <v/>
      </c>
      <c r="E883" s="113" t="str">
        <f>IF(Tab.o1[[#This Row],[a1]]=1,[1]!T.in.A[[#This Row],[oo1]],"")</f>
        <v/>
      </c>
      <c r="F883" s="113" t="str">
        <f>IF(Tab.o1[[#This Row],[a1]]=1,[1]!T.in.A[[#This Row],[pp1]],"")</f>
        <v/>
      </c>
      <c r="G883" s="114" t="str">
        <f>IF(Tab.o1[[#This Row],[a1]]=1,G$2+IF(G$1=1,0,Tab.o1[[#This Row],[.x1]])+[1]!T.in.A[[#This Row],[oo3]],"")</f>
        <v/>
      </c>
      <c r="H883" s="115" t="str">
        <f>IF(Tab.o1[[#This Row],[a1]]=1,IF(H$2=0,0,IF(G$1=1,0,Tab.o1[[#This Row],[.x1]])+[1]!T.in.A[[#This Row],[oo4]]),"")</f>
        <v/>
      </c>
      <c r="I883" s="116" t="str">
        <f>IF(Tab.o1[[#This Row],[a1]]=1,IF(J$2=0,Tab.o1[[#This Row],[MED]],Tab.o1[[#This Row],[MOD]]),"")</f>
        <v/>
      </c>
      <c r="J883" s="116" t="str">
        <f>IF(Tab.o1[[#This Row],[a1]]=1,((Tab.o1[[#This Row],[DIF_Target.]]-AVERAGE(Tab.o1[DIF_Target.]))/_xlfn.STDEV.P(Tab.o1[DIF_Target.])),"")</f>
        <v/>
      </c>
      <c r="K883" s="117" t="str">
        <f>IF(Tab.o1[[#This Row],[a1]]=1,IF(J$2=0,Tab.o1[[#This Row],[MOD]]-Tab.o1[[#This Row],[B]],IF(J$2=1,0,-Tab.o1[[#This Row],[MED]])+Tab.o1[[#This Row],[B]]),"")</f>
        <v/>
      </c>
      <c r="L883" s="117" t="str">
        <f ca="1">IF(Tab.o1[[#This Row],[DIF_Target]]=0,IF(L$2=0,Tab.o1[[#This Row],[DIF_Target]],AVERAGE(OFFSET(Tab.o1[[#This Row],[DIF_Target]],1,0,L$3,1)))/3,Tab.o1[[#This Row],[DIF_Target]])</f>
        <v/>
      </c>
      <c r="M883" s="118" t="str">
        <f>IF(Tab.o1[[#This Row],[a1]]=1,NORMSDIST(Tab.o1[[#This Row],[Za]]),"")</f>
        <v/>
      </c>
      <c r="N883" s="119" t="str">
        <f>IF(Tab.o1[[#This Row],[a1]]=1,((Tab.o1[[#This Row],[MedMod]]-AVERAGE(Tab.o1[MedMod]))/_xlfn.STDEV.P(Tab.o1[MedMod])*H$1205)+G$1205,"")</f>
        <v/>
      </c>
      <c r="O883" s="141" t="str">
        <f>IF(Tab.o1[[#This Row],[a1]]=1,Tab.o1[[#This Row],[Zb]]*_xlfn.STDEV.P(Tab.o1[MedMod])+AVERAGE(Tab.o1[MedMod]),"")</f>
        <v/>
      </c>
      <c r="P883" s="117" t="str">
        <f ca="1">IF(Tab.o1[[#This Row],[B]]=0,AVERAGE(OFFSET(Tab.o1[[#This Row],[B]],1,0,L$3,1)),Tab.o1[[#This Row],[B]])</f>
        <v/>
      </c>
      <c r="Q883" s="121" t="str">
        <f>IF(Tab.o1[[#This Row],[a1]]=1,NORMSDIST(Tab.o1[[#This Row],[Zb]]),"")</f>
        <v/>
      </c>
      <c r="R883" s="122" t="str">
        <f>IF(Tab.o1[[#This Row],[a1]]=1,((Tab.o1[[#This Row],[MedMod]]-AVERAGE(Tab.o1[MedMod]))/_xlfn.STDEV.P(Tab.o1[MedMod])*H$1203)+G$1203,"")</f>
        <v/>
      </c>
      <c r="S883" s="122" t="str">
        <f>IF(Tab.o1[[#This Row],[a1]]=1,((Tab.o1[[#This Row],[MedMod]]-AVERAGE(Tab.o1[MedMod]))/_xlfn.STDEV.P(Tab.o1[MedMod])*H$1204)+G$1204,"")</f>
        <v/>
      </c>
      <c r="T883" s="123" t="str">
        <f>IF(Tab.o1[[#This Row],[a1]]=1,Tab.o1[[#This Row],[Z-]]*_xlfn.STDEV.P(Tab.o1[B])+AVERAGE(Tab.o1[B]),"")</f>
        <v/>
      </c>
      <c r="U883" s="123" t="str">
        <f>IF(Tab.o1[[#This Row],[a1]]=1,Tab.o1[[#This Row],[z+]]*_xlfn.STDEV.P(Tab.o1[B])+AVERAGE(Tab.o1[B]),"")</f>
        <v/>
      </c>
      <c r="V883" s="124" t="str">
        <f>IF(Tab.o1[[#This Row],[a1]]=1,ABS((ABS(Tab.o1[[#This Row],[Red]]-Tab.o1[[#This Row],[Blue]]))),"")</f>
        <v/>
      </c>
      <c r="W883" s="125" t="str">
        <f>IF(Tab.o1[[#This Row],[a1]]=1,IF(W$3=0,1,Tab.o1[[#This Row],[Amp.]]*1/_xlfn.MINIFS(Tab.o1[Amp.],Tab.o1[Amp.],"&lt;&gt;0")),"")</f>
        <v/>
      </c>
      <c r="X883" s="126" t="str">
        <f>IF(Tab.o1[[#This Row],[a1]]=1,IF(ISNUMBER(Tab.o1[[#This Row],[i.]]),NORMDIST(Tab.o1[[#This Row],[Za]],0,1,FALSE)*Tab.o1[[#This Row],[i.]],AP$3),"")</f>
        <v/>
      </c>
      <c r="Y883" s="126" t="str">
        <f>IF(Tab.o1[[#This Row],[a1]]=1,0.01+0.94*Tab.o1[[#This Row],[PDF]]/MAX(Tab.o1[PDF]),"")</f>
        <v/>
      </c>
      <c r="Z883" s="126" t="str">
        <f>IF(Tab.o1[[#This Row],[a1]]=1,0.01+0.94*Tab.o1[[#This Row],[W1_PDF]]/MAX(Tab.o1[W1_PDF]),"")</f>
        <v/>
      </c>
      <c r="AA883" s="118" t="str">
        <f>IF(Tab.o1[[#This Row],[a1]]=1,ABS([1]!T.in.A[[#This Row],[oo6]]),"")</f>
        <v/>
      </c>
      <c r="AB883" s="127" t="str">
        <f>IF(Tab.o1[[#This Row],[a1]]=1,IF(AE$3=0,"",IF(AB$3=0,ABS([1]!T.in.A[[#This Row],[oo9]]),ABS(Tab.o1[[#This Row],[DIF_Target.]]*Tab.o1[[#This Row],[W1_PDF]]))),"")</f>
        <v/>
      </c>
      <c r="AC883" s="127" t="str">
        <f>IF(G$1=1,"",IF(Tab.o1[[#This Row],[a1]]=1,Tab.o1[[#This Row],[Wr]]^2,""))</f>
        <v/>
      </c>
      <c r="AD883" s="118" t="str">
        <f>IF(Tab.o1[[#This Row],[a1]]=1,IF(AE$3=0,"",Tab.o1[[#This Row],[Wr2]]/SUM(Tab.o1[Wr2])),"")</f>
        <v/>
      </c>
      <c r="AE883" s="128" t="str">
        <f>IF(Tab.o1[[#This Row],[a1]]=1,[1]!T.in.A[[#This Row],[oo10]],"")</f>
        <v/>
      </c>
      <c r="AF883" s="118" t="str">
        <f>IF(Tab.o1[[#This Row],[a1]]=1,ABS(Tab.o1[[#This Row],[DIF_Target.]]*Tab.o1[[#This Row],[PDF2]]*Tab.o1[[#This Row],[IN]]),"")</f>
        <v/>
      </c>
      <c r="AG883" s="129" t="str">
        <f>IF(Tab.o1[[#This Row],[a1]]=1,Tab.o1[[#This Row],[rW]]^2,"")</f>
        <v/>
      </c>
      <c r="AH883" s="130" t="str">
        <f>IF(Tab.o1[[#This Row],[a1]]=1,IF(AH$3=0,Tab.o1[[#This Row],[rW2]],0.01+0.94*Tab.o1[[#This Row],[rW2]]/SUM(Tab.o1[rW2])),"")</f>
        <v/>
      </c>
      <c r="AI883" s="128" t="str">
        <f>IF(Tab.o1[[#This Row],[a1]]=1,1/Tab.o1[[#This Row],[PDF]],"")</f>
        <v/>
      </c>
      <c r="AJ883" s="131" t="str">
        <f>IF(Tab.o1[[#This Row],[a1]]=1,[1]!T_AA[[#This Row],[IN'']]*[1]!T_AA[[#This Row],[Qde'']],"")</f>
        <v/>
      </c>
      <c r="AK883" s="132" t="str">
        <f>IF(Tab.o1[[#This Row],[a1]]=1,IF(AK$1=1,Tab.o1[[#This Row],[MED]]+Tab.o1[[#This Row],[MOD]]-Tab.o1[[#This Row],[MED]],""),"")</f>
        <v/>
      </c>
      <c r="AL883" s="133" t="str">
        <f>IF(Tab.o1[[#This Row],[a1]]=1,[1]!T.in.A[[#This Row],[oo16]],"")</f>
        <v/>
      </c>
      <c r="AM883" s="133" t="str">
        <f>IF(Tab.o1[[#This Row],[a1]]=1,IF(AM$3=1,[1]!T.in.A[[#This Row],[Σo16]],""),"")</f>
        <v/>
      </c>
      <c r="AN883" s="126" t="str">
        <f>IF(Tab.o1[[#This Row],[a1]]=1,[1]!T.in.A[[#This Row],[Σp5]],"")</f>
        <v/>
      </c>
      <c r="AO883" s="126" t="str">
        <f>IF(Tab.o1[[#This Row],[a1]]=1,IF(AO$3=1,[1]!T.in.A[[#This Row],[Σp5]],""),"")</f>
        <v/>
      </c>
      <c r="AP883" s="110" t="str">
        <f>IF(Tab.o1[[#This Row],[a1]]=1,IF(ISNUMBER(Tab.o1[[#This Row],[i.]]),NORMDIST(Tab.o1[[#This Row],[Za]],0,1,FALSE)*Tab.o1[[#This Row],[i.]],0),"")</f>
        <v/>
      </c>
      <c r="AQ883" s="125" t="str">
        <f>IF(Tab.o1[[#This Row],[a1]]=1,ABS(Tab.o1[[#This Row],[MOD]]-AVERAGE(Tab.o1[MOD])),"")</f>
        <v/>
      </c>
      <c r="AR883" s="134" t="str">
        <f>IF(Tab.o1[[#This Row],[a1]]=1,Tab.o1[[#This Row],[OBS]]/SUM(Tab.o1[OBS]),"")</f>
        <v/>
      </c>
      <c r="AS883" s="135" t="str">
        <f>IF(ISNUMBER(Tab.o1[[#This Row],[a1]]),ROW()-4,"")</f>
        <v/>
      </c>
      <c r="AT883" s="136" t="str">
        <f>Tab.o1[[#This Row],[MOD]]</f>
        <v/>
      </c>
      <c r="AU883" s="137" t="str">
        <f t="shared" si="53"/>
        <v/>
      </c>
      <c r="AV883" s="138" t="str">
        <f t="shared" si="54"/>
        <v/>
      </c>
      <c r="AW883" s="138" t="str">
        <f t="shared" si="55"/>
        <v/>
      </c>
      <c r="AX883" s="139" t="str">
        <f>[1]!T.in.A[[#This Row],[ID_T_manu]]</f>
        <v/>
      </c>
      <c r="AY883" s="140" t="str">
        <f>IF(ISNUMBER(Tab.o1[[#This Row],[a1]]),IF(AND(Tab.o1[[#This Row],[a1]]=1,Tab.o1[[#This Row],[b1]]&lt;=AY$4),#REF!,AY882),"")</f>
        <v/>
      </c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6"/>
      <c r="BO883" s="26"/>
      <c r="BP883" s="26"/>
      <c r="BQ883" s="26"/>
      <c r="BR883" s="26"/>
      <c r="BS883" s="26"/>
      <c r="BT883" s="26"/>
      <c r="BU883" s="26"/>
      <c r="BV883" s="26"/>
      <c r="BW883" s="26"/>
      <c r="BX883" s="26"/>
      <c r="BY883" s="26"/>
      <c r="BZ883" s="26"/>
      <c r="CA883" s="26"/>
    </row>
    <row r="884" spans="1:79" s="143" customFormat="1" ht="15.75" hidden="1">
      <c r="A884" s="109">
        <v>-1.0000000000000001E-5</v>
      </c>
      <c r="B884" s="110">
        <f t="shared" si="52"/>
        <v>884</v>
      </c>
      <c r="C884" s="111" t="str">
        <f>IF(C$1=[1]!T.in.A[[#This Row],[oo2]],1,"")</f>
        <v/>
      </c>
      <c r="D884" s="112" t="str">
        <f>IF(Tab.o1[[#This Row],[a1]]=1,IF(SUM(C884:C885)=0,0,IF(SUM(C883:C884)=1,1,IF(SUM(C883:C885)&gt;1,D883+1,0))),"")</f>
        <v/>
      </c>
      <c r="E884" s="113" t="str">
        <f>IF(Tab.o1[[#This Row],[a1]]=1,[1]!T.in.A[[#This Row],[oo1]],"")</f>
        <v/>
      </c>
      <c r="F884" s="113" t="str">
        <f>IF(Tab.o1[[#This Row],[a1]]=1,[1]!T.in.A[[#This Row],[pp1]],"")</f>
        <v/>
      </c>
      <c r="G884" s="114" t="str">
        <f>IF(Tab.o1[[#This Row],[a1]]=1,G$2+IF(G$1=1,0,Tab.o1[[#This Row],[.x1]])+[1]!T.in.A[[#This Row],[oo3]],"")</f>
        <v/>
      </c>
      <c r="H884" s="115" t="str">
        <f>IF(Tab.o1[[#This Row],[a1]]=1,IF(H$2=0,0,IF(G$1=1,0,Tab.o1[[#This Row],[.x1]])+[1]!T.in.A[[#This Row],[oo4]]),"")</f>
        <v/>
      </c>
      <c r="I884" s="116" t="str">
        <f>IF(Tab.o1[[#This Row],[a1]]=1,IF(J$2=0,Tab.o1[[#This Row],[MED]],Tab.o1[[#This Row],[MOD]]),"")</f>
        <v/>
      </c>
      <c r="J884" s="116" t="str">
        <f>IF(Tab.o1[[#This Row],[a1]]=1,((Tab.o1[[#This Row],[DIF_Target.]]-AVERAGE(Tab.o1[DIF_Target.]))/_xlfn.STDEV.P(Tab.o1[DIF_Target.])),"")</f>
        <v/>
      </c>
      <c r="K884" s="117" t="str">
        <f>IF(Tab.o1[[#This Row],[a1]]=1,IF(J$2=0,Tab.o1[[#This Row],[MOD]]-Tab.o1[[#This Row],[B]],IF(J$2=1,0,-Tab.o1[[#This Row],[MED]])+Tab.o1[[#This Row],[B]]),"")</f>
        <v/>
      </c>
      <c r="L884" s="117" t="str">
        <f ca="1">IF(Tab.o1[[#This Row],[DIF_Target]]=0,IF(L$2=0,Tab.o1[[#This Row],[DIF_Target]],AVERAGE(OFFSET(Tab.o1[[#This Row],[DIF_Target]],1,0,L$3,1)))/3,Tab.o1[[#This Row],[DIF_Target]])</f>
        <v/>
      </c>
      <c r="M884" s="118" t="str">
        <f>IF(Tab.o1[[#This Row],[a1]]=1,NORMSDIST(Tab.o1[[#This Row],[Za]]),"")</f>
        <v/>
      </c>
      <c r="N884" s="119" t="str">
        <f>IF(Tab.o1[[#This Row],[a1]]=1,((Tab.o1[[#This Row],[MedMod]]-AVERAGE(Tab.o1[MedMod]))/_xlfn.STDEV.P(Tab.o1[MedMod])*H$1205)+G$1205,"")</f>
        <v/>
      </c>
      <c r="O884" s="141" t="str">
        <f>IF(Tab.o1[[#This Row],[a1]]=1,Tab.o1[[#This Row],[Zb]]*_xlfn.STDEV.P(Tab.o1[MedMod])+AVERAGE(Tab.o1[MedMod]),"")</f>
        <v/>
      </c>
      <c r="P884" s="117" t="str">
        <f ca="1">IF(Tab.o1[[#This Row],[B]]=0,AVERAGE(OFFSET(Tab.o1[[#This Row],[B]],1,0,L$3,1)),Tab.o1[[#This Row],[B]])</f>
        <v/>
      </c>
      <c r="Q884" s="121" t="str">
        <f>IF(Tab.o1[[#This Row],[a1]]=1,NORMSDIST(Tab.o1[[#This Row],[Zb]]),"")</f>
        <v/>
      </c>
      <c r="R884" s="122" t="str">
        <f>IF(Tab.o1[[#This Row],[a1]]=1,((Tab.o1[[#This Row],[MedMod]]-AVERAGE(Tab.o1[MedMod]))/_xlfn.STDEV.P(Tab.o1[MedMod])*H$1203)+G$1203,"")</f>
        <v/>
      </c>
      <c r="S884" s="122" t="str">
        <f>IF(Tab.o1[[#This Row],[a1]]=1,((Tab.o1[[#This Row],[MedMod]]-AVERAGE(Tab.o1[MedMod]))/_xlfn.STDEV.P(Tab.o1[MedMod])*H$1204)+G$1204,"")</f>
        <v/>
      </c>
      <c r="T884" s="123" t="str">
        <f>IF(Tab.o1[[#This Row],[a1]]=1,Tab.o1[[#This Row],[Z-]]*_xlfn.STDEV.P(Tab.o1[B])+AVERAGE(Tab.o1[B]),"")</f>
        <v/>
      </c>
      <c r="U884" s="123" t="str">
        <f>IF(Tab.o1[[#This Row],[a1]]=1,Tab.o1[[#This Row],[z+]]*_xlfn.STDEV.P(Tab.o1[B])+AVERAGE(Tab.o1[B]),"")</f>
        <v/>
      </c>
      <c r="V884" s="124" t="str">
        <f>IF(Tab.o1[[#This Row],[a1]]=1,ABS((ABS(Tab.o1[[#This Row],[Red]]-Tab.o1[[#This Row],[Blue]]))),"")</f>
        <v/>
      </c>
      <c r="W884" s="125" t="str">
        <f>IF(Tab.o1[[#This Row],[a1]]=1,IF(W$3=0,1,Tab.o1[[#This Row],[Amp.]]*1/_xlfn.MINIFS(Tab.o1[Amp.],Tab.o1[Amp.],"&lt;&gt;0")),"")</f>
        <v/>
      </c>
      <c r="X884" s="126" t="str">
        <f>IF(Tab.o1[[#This Row],[a1]]=1,IF(ISNUMBER(Tab.o1[[#This Row],[i.]]),NORMDIST(Tab.o1[[#This Row],[Za]],0,1,FALSE)*Tab.o1[[#This Row],[i.]],AP$3),"")</f>
        <v/>
      </c>
      <c r="Y884" s="126" t="str">
        <f>IF(Tab.o1[[#This Row],[a1]]=1,0.01+0.94*Tab.o1[[#This Row],[PDF]]/MAX(Tab.o1[PDF]),"")</f>
        <v/>
      </c>
      <c r="Z884" s="126" t="str">
        <f>IF(Tab.o1[[#This Row],[a1]]=1,0.01+0.94*Tab.o1[[#This Row],[W1_PDF]]/MAX(Tab.o1[W1_PDF]),"")</f>
        <v/>
      </c>
      <c r="AA884" s="118" t="str">
        <f>IF(Tab.o1[[#This Row],[a1]]=1,ABS([1]!T.in.A[[#This Row],[oo6]]),"")</f>
        <v/>
      </c>
      <c r="AB884" s="127" t="str">
        <f>IF(Tab.o1[[#This Row],[a1]]=1,IF(AE$3=0,"",IF(AB$3=0,ABS([1]!T.in.A[[#This Row],[oo9]]),ABS(Tab.o1[[#This Row],[DIF_Target.]]*Tab.o1[[#This Row],[W1_PDF]]))),"")</f>
        <v/>
      </c>
      <c r="AC884" s="127" t="str">
        <f>IF(G$1=1,"",IF(Tab.o1[[#This Row],[a1]]=1,Tab.o1[[#This Row],[Wr]]^2,""))</f>
        <v/>
      </c>
      <c r="AD884" s="118" t="str">
        <f>IF(Tab.o1[[#This Row],[a1]]=1,IF(AE$3=0,"",Tab.o1[[#This Row],[Wr2]]/SUM(Tab.o1[Wr2])),"")</f>
        <v/>
      </c>
      <c r="AE884" s="128" t="str">
        <f>IF(Tab.o1[[#This Row],[a1]]=1,[1]!T.in.A[[#This Row],[oo10]],"")</f>
        <v/>
      </c>
      <c r="AF884" s="118" t="str">
        <f>IF(Tab.o1[[#This Row],[a1]]=1,ABS(Tab.o1[[#This Row],[DIF_Target.]]*Tab.o1[[#This Row],[PDF2]]*Tab.o1[[#This Row],[IN]]),"")</f>
        <v/>
      </c>
      <c r="AG884" s="129" t="str">
        <f>IF(Tab.o1[[#This Row],[a1]]=1,Tab.o1[[#This Row],[rW]]^2,"")</f>
        <v/>
      </c>
      <c r="AH884" s="130" t="str">
        <f>IF(Tab.o1[[#This Row],[a1]]=1,IF(AH$3=0,Tab.o1[[#This Row],[rW2]],0.01+0.94*Tab.o1[[#This Row],[rW2]]/SUM(Tab.o1[rW2])),"")</f>
        <v/>
      </c>
      <c r="AI884" s="128" t="str">
        <f>IF(Tab.o1[[#This Row],[a1]]=1,1/Tab.o1[[#This Row],[PDF]],"")</f>
        <v/>
      </c>
      <c r="AJ884" s="131" t="str">
        <f>IF(Tab.o1[[#This Row],[a1]]=1,[1]!T_AA[[#This Row],[IN'']]*[1]!T_AA[[#This Row],[Qde'']],"")</f>
        <v/>
      </c>
      <c r="AK884" s="132" t="str">
        <f>IF(Tab.o1[[#This Row],[a1]]=1,IF(AK$1=1,Tab.o1[[#This Row],[MED]]+Tab.o1[[#This Row],[MOD]]-Tab.o1[[#This Row],[MED]],""),"")</f>
        <v/>
      </c>
      <c r="AL884" s="133" t="str">
        <f>IF(Tab.o1[[#This Row],[a1]]=1,[1]!T.in.A[[#This Row],[oo16]],"")</f>
        <v/>
      </c>
      <c r="AM884" s="133" t="str">
        <f>IF(Tab.o1[[#This Row],[a1]]=1,IF(AM$3=1,[1]!T.in.A[[#This Row],[Σo16]],""),"")</f>
        <v/>
      </c>
      <c r="AN884" s="126" t="str">
        <f>IF(Tab.o1[[#This Row],[a1]]=1,[1]!T.in.A[[#This Row],[Σp5]],"")</f>
        <v/>
      </c>
      <c r="AO884" s="126" t="str">
        <f>IF(Tab.o1[[#This Row],[a1]]=1,IF(AO$3=1,[1]!T.in.A[[#This Row],[Σp5]],""),"")</f>
        <v/>
      </c>
      <c r="AP884" s="110" t="str">
        <f>IF(Tab.o1[[#This Row],[a1]]=1,IF(ISNUMBER(Tab.o1[[#This Row],[i.]]),NORMDIST(Tab.o1[[#This Row],[Za]],0,1,FALSE)*Tab.o1[[#This Row],[i.]],0),"")</f>
        <v/>
      </c>
      <c r="AQ884" s="125" t="str">
        <f>IF(Tab.o1[[#This Row],[a1]]=1,ABS(Tab.o1[[#This Row],[MOD]]-AVERAGE(Tab.o1[MOD])),"")</f>
        <v/>
      </c>
      <c r="AR884" s="134" t="str">
        <f>IF(Tab.o1[[#This Row],[a1]]=1,Tab.o1[[#This Row],[OBS]]/SUM(Tab.o1[OBS]),"")</f>
        <v/>
      </c>
      <c r="AS884" s="135" t="str">
        <f>IF(ISNUMBER(Tab.o1[[#This Row],[a1]]),ROW()-4,"")</f>
        <v/>
      </c>
      <c r="AT884" s="136" t="str">
        <f>Tab.o1[[#This Row],[MOD]]</f>
        <v/>
      </c>
      <c r="AU884" s="137" t="str">
        <f t="shared" si="53"/>
        <v/>
      </c>
      <c r="AV884" s="138" t="str">
        <f t="shared" si="54"/>
        <v/>
      </c>
      <c r="AW884" s="138" t="str">
        <f t="shared" si="55"/>
        <v/>
      </c>
      <c r="AX884" s="139" t="str">
        <f>[1]!T.in.A[[#This Row],[ID_T_manu]]</f>
        <v/>
      </c>
      <c r="AY884" s="140" t="str">
        <f>IF(ISNUMBER(Tab.o1[[#This Row],[a1]]),IF(AND(Tab.o1[[#This Row],[a1]]=1,Tab.o1[[#This Row],[b1]]&lt;=AY$4),#REF!,AY883),"")</f>
        <v/>
      </c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6"/>
      <c r="BO884" s="26"/>
      <c r="BP884" s="26"/>
      <c r="BQ884" s="26"/>
      <c r="BR884" s="26"/>
      <c r="BS884" s="26"/>
      <c r="BT884" s="26"/>
      <c r="BU884" s="26"/>
      <c r="BV884" s="26"/>
      <c r="BW884" s="26"/>
      <c r="BX884" s="26"/>
      <c r="BY884" s="26"/>
      <c r="BZ884" s="26"/>
      <c r="CA884" s="26"/>
    </row>
    <row r="885" spans="1:79" s="143" customFormat="1" ht="15.75" hidden="1">
      <c r="A885" s="109">
        <v>-4.0000000000000007E-6</v>
      </c>
      <c r="B885" s="110">
        <f t="shared" si="52"/>
        <v>885</v>
      </c>
      <c r="C885" s="111" t="str">
        <f>IF(C$1=[1]!T.in.A[[#This Row],[oo2]],1,"")</f>
        <v/>
      </c>
      <c r="D885" s="112" t="str">
        <f>IF(Tab.o1[[#This Row],[a1]]=1,IF(SUM(C885:C886)=0,0,IF(SUM(C884:C885)=1,1,IF(SUM(C884:C886)&gt;1,D884+1,0))),"")</f>
        <v/>
      </c>
      <c r="E885" s="113" t="str">
        <f>IF(Tab.o1[[#This Row],[a1]]=1,[1]!T.in.A[[#This Row],[oo1]],"")</f>
        <v/>
      </c>
      <c r="F885" s="113" t="str">
        <f>IF(Tab.o1[[#This Row],[a1]]=1,[1]!T.in.A[[#This Row],[pp1]],"")</f>
        <v/>
      </c>
      <c r="G885" s="114" t="str">
        <f>IF(Tab.o1[[#This Row],[a1]]=1,G$2+IF(G$1=1,0,Tab.o1[[#This Row],[.x1]])+[1]!T.in.A[[#This Row],[oo3]],"")</f>
        <v/>
      </c>
      <c r="H885" s="115" t="str">
        <f>IF(Tab.o1[[#This Row],[a1]]=1,IF(H$2=0,0,IF(G$1=1,0,Tab.o1[[#This Row],[.x1]])+[1]!T.in.A[[#This Row],[oo4]]),"")</f>
        <v/>
      </c>
      <c r="I885" s="116" t="str">
        <f>IF(Tab.o1[[#This Row],[a1]]=1,IF(J$2=0,Tab.o1[[#This Row],[MED]],Tab.o1[[#This Row],[MOD]]),"")</f>
        <v/>
      </c>
      <c r="J885" s="116" t="str">
        <f>IF(Tab.o1[[#This Row],[a1]]=1,((Tab.o1[[#This Row],[DIF_Target.]]-AVERAGE(Tab.o1[DIF_Target.]))/_xlfn.STDEV.P(Tab.o1[DIF_Target.])),"")</f>
        <v/>
      </c>
      <c r="K885" s="117" t="str">
        <f>IF(Tab.o1[[#This Row],[a1]]=1,IF(J$2=0,Tab.o1[[#This Row],[MOD]]-Tab.o1[[#This Row],[B]],IF(J$2=1,0,-Tab.o1[[#This Row],[MED]])+Tab.o1[[#This Row],[B]]),"")</f>
        <v/>
      </c>
      <c r="L885" s="117" t="str">
        <f ca="1">IF(Tab.o1[[#This Row],[DIF_Target]]=0,IF(L$2=0,Tab.o1[[#This Row],[DIF_Target]],AVERAGE(OFFSET(Tab.o1[[#This Row],[DIF_Target]],1,0,L$3,1)))/3,Tab.o1[[#This Row],[DIF_Target]])</f>
        <v/>
      </c>
      <c r="M885" s="118" t="str">
        <f>IF(Tab.o1[[#This Row],[a1]]=1,NORMSDIST(Tab.o1[[#This Row],[Za]]),"")</f>
        <v/>
      </c>
      <c r="N885" s="119" t="str">
        <f>IF(Tab.o1[[#This Row],[a1]]=1,((Tab.o1[[#This Row],[MedMod]]-AVERAGE(Tab.o1[MedMod]))/_xlfn.STDEV.P(Tab.o1[MedMod])*H$1205)+G$1205,"")</f>
        <v/>
      </c>
      <c r="O885" s="141" t="str">
        <f>IF(Tab.o1[[#This Row],[a1]]=1,Tab.o1[[#This Row],[Zb]]*_xlfn.STDEV.P(Tab.o1[MedMod])+AVERAGE(Tab.o1[MedMod]),"")</f>
        <v/>
      </c>
      <c r="P885" s="117" t="str">
        <f ca="1">IF(Tab.o1[[#This Row],[B]]=0,AVERAGE(OFFSET(Tab.o1[[#This Row],[B]],1,0,L$3,1)),Tab.o1[[#This Row],[B]])</f>
        <v/>
      </c>
      <c r="Q885" s="121" t="str">
        <f>IF(Tab.o1[[#This Row],[a1]]=1,NORMSDIST(Tab.o1[[#This Row],[Zb]]),"")</f>
        <v/>
      </c>
      <c r="R885" s="122" t="str">
        <f>IF(Tab.o1[[#This Row],[a1]]=1,((Tab.o1[[#This Row],[MedMod]]-AVERAGE(Tab.o1[MedMod]))/_xlfn.STDEV.P(Tab.o1[MedMod])*H$1203)+G$1203,"")</f>
        <v/>
      </c>
      <c r="S885" s="122" t="str">
        <f>IF(Tab.o1[[#This Row],[a1]]=1,((Tab.o1[[#This Row],[MedMod]]-AVERAGE(Tab.o1[MedMod]))/_xlfn.STDEV.P(Tab.o1[MedMod])*H$1204)+G$1204,"")</f>
        <v/>
      </c>
      <c r="T885" s="123" t="str">
        <f>IF(Tab.o1[[#This Row],[a1]]=1,Tab.o1[[#This Row],[Z-]]*_xlfn.STDEV.P(Tab.o1[B])+AVERAGE(Tab.o1[B]),"")</f>
        <v/>
      </c>
      <c r="U885" s="123" t="str">
        <f>IF(Tab.o1[[#This Row],[a1]]=1,Tab.o1[[#This Row],[z+]]*_xlfn.STDEV.P(Tab.o1[B])+AVERAGE(Tab.o1[B]),"")</f>
        <v/>
      </c>
      <c r="V885" s="124" t="str">
        <f>IF(Tab.o1[[#This Row],[a1]]=1,ABS((ABS(Tab.o1[[#This Row],[Red]]-Tab.o1[[#This Row],[Blue]]))),"")</f>
        <v/>
      </c>
      <c r="W885" s="125" t="str">
        <f>IF(Tab.o1[[#This Row],[a1]]=1,IF(W$3=0,1,Tab.o1[[#This Row],[Amp.]]*1/_xlfn.MINIFS(Tab.o1[Amp.],Tab.o1[Amp.],"&lt;&gt;0")),"")</f>
        <v/>
      </c>
      <c r="X885" s="126" t="str">
        <f>IF(Tab.o1[[#This Row],[a1]]=1,IF(ISNUMBER(Tab.o1[[#This Row],[i.]]),NORMDIST(Tab.o1[[#This Row],[Za]],0,1,FALSE)*Tab.o1[[#This Row],[i.]],AP$3),"")</f>
        <v/>
      </c>
      <c r="Y885" s="126" t="str">
        <f>IF(Tab.o1[[#This Row],[a1]]=1,0.01+0.94*Tab.o1[[#This Row],[PDF]]/MAX(Tab.o1[PDF]),"")</f>
        <v/>
      </c>
      <c r="Z885" s="126" t="str">
        <f>IF(Tab.o1[[#This Row],[a1]]=1,0.01+0.94*Tab.o1[[#This Row],[W1_PDF]]/MAX(Tab.o1[W1_PDF]),"")</f>
        <v/>
      </c>
      <c r="AA885" s="118" t="str">
        <f>IF(Tab.o1[[#This Row],[a1]]=1,ABS([1]!T.in.A[[#This Row],[oo6]]),"")</f>
        <v/>
      </c>
      <c r="AB885" s="127" t="str">
        <f>IF(Tab.o1[[#This Row],[a1]]=1,IF(AE$3=0,"",IF(AB$3=0,ABS([1]!T.in.A[[#This Row],[oo9]]),ABS(Tab.o1[[#This Row],[DIF_Target.]]*Tab.o1[[#This Row],[W1_PDF]]))),"")</f>
        <v/>
      </c>
      <c r="AC885" s="127" t="str">
        <f>IF(G$1=1,"",IF(Tab.o1[[#This Row],[a1]]=1,Tab.o1[[#This Row],[Wr]]^2,""))</f>
        <v/>
      </c>
      <c r="AD885" s="118" t="str">
        <f>IF(Tab.o1[[#This Row],[a1]]=1,IF(AE$3=0,"",Tab.o1[[#This Row],[Wr2]]/SUM(Tab.o1[Wr2])),"")</f>
        <v/>
      </c>
      <c r="AE885" s="128" t="str">
        <f>IF(Tab.o1[[#This Row],[a1]]=1,[1]!T.in.A[[#This Row],[oo10]],"")</f>
        <v/>
      </c>
      <c r="AF885" s="118" t="str">
        <f>IF(Tab.o1[[#This Row],[a1]]=1,ABS(Tab.o1[[#This Row],[DIF_Target.]]*Tab.o1[[#This Row],[PDF2]]*Tab.o1[[#This Row],[IN]]),"")</f>
        <v/>
      </c>
      <c r="AG885" s="129" t="str">
        <f>IF(Tab.o1[[#This Row],[a1]]=1,Tab.o1[[#This Row],[rW]]^2,"")</f>
        <v/>
      </c>
      <c r="AH885" s="130" t="str">
        <f>IF(Tab.o1[[#This Row],[a1]]=1,IF(AH$3=0,Tab.o1[[#This Row],[rW2]],0.01+0.94*Tab.o1[[#This Row],[rW2]]/SUM(Tab.o1[rW2])),"")</f>
        <v/>
      </c>
      <c r="AI885" s="128" t="str">
        <f>IF(Tab.o1[[#This Row],[a1]]=1,1/Tab.o1[[#This Row],[PDF]],"")</f>
        <v/>
      </c>
      <c r="AJ885" s="131" t="str">
        <f>IF(Tab.o1[[#This Row],[a1]]=1,[1]!T_AA[[#This Row],[IN'']]*[1]!T_AA[[#This Row],[Qde'']],"")</f>
        <v/>
      </c>
      <c r="AK885" s="132" t="str">
        <f>IF(Tab.o1[[#This Row],[a1]]=1,IF(AK$1=1,Tab.o1[[#This Row],[MED]]+Tab.o1[[#This Row],[MOD]]-Tab.o1[[#This Row],[MED]],""),"")</f>
        <v/>
      </c>
      <c r="AL885" s="133" t="str">
        <f>IF(Tab.o1[[#This Row],[a1]]=1,[1]!T.in.A[[#This Row],[oo16]],"")</f>
        <v/>
      </c>
      <c r="AM885" s="133" t="str">
        <f>IF(Tab.o1[[#This Row],[a1]]=1,IF(AM$3=1,[1]!T.in.A[[#This Row],[Σo16]],""),"")</f>
        <v/>
      </c>
      <c r="AN885" s="126" t="str">
        <f>IF(Tab.o1[[#This Row],[a1]]=1,[1]!T.in.A[[#This Row],[Σp5]],"")</f>
        <v/>
      </c>
      <c r="AO885" s="126" t="str">
        <f>IF(Tab.o1[[#This Row],[a1]]=1,IF(AO$3=1,[1]!T.in.A[[#This Row],[Σp5]],""),"")</f>
        <v/>
      </c>
      <c r="AP885" s="110" t="str">
        <f>IF(Tab.o1[[#This Row],[a1]]=1,IF(ISNUMBER(Tab.o1[[#This Row],[i.]]),NORMDIST(Tab.o1[[#This Row],[Za]],0,1,FALSE)*Tab.o1[[#This Row],[i.]],0),"")</f>
        <v/>
      </c>
      <c r="AQ885" s="125" t="str">
        <f>IF(Tab.o1[[#This Row],[a1]]=1,ABS(Tab.o1[[#This Row],[MOD]]-AVERAGE(Tab.o1[MOD])),"")</f>
        <v/>
      </c>
      <c r="AR885" s="134" t="str">
        <f>IF(Tab.o1[[#This Row],[a1]]=1,Tab.o1[[#This Row],[OBS]]/SUM(Tab.o1[OBS]),"")</f>
        <v/>
      </c>
      <c r="AS885" s="135" t="str">
        <f>IF(ISNUMBER(Tab.o1[[#This Row],[a1]]),ROW()-4,"")</f>
        <v/>
      </c>
      <c r="AT885" s="136" t="str">
        <f>Tab.o1[[#This Row],[MOD]]</f>
        <v/>
      </c>
      <c r="AU885" s="137" t="str">
        <f t="shared" si="53"/>
        <v/>
      </c>
      <c r="AV885" s="138" t="str">
        <f t="shared" si="54"/>
        <v/>
      </c>
      <c r="AW885" s="138" t="str">
        <f t="shared" si="55"/>
        <v/>
      </c>
      <c r="AX885" s="139" t="str">
        <f>[1]!T.in.A[[#This Row],[ID_T_manu]]</f>
        <v/>
      </c>
      <c r="AY885" s="140" t="str">
        <f>IF(ISNUMBER(Tab.o1[[#This Row],[a1]]),IF(AND(Tab.o1[[#This Row],[a1]]=1,Tab.o1[[#This Row],[b1]]&lt;=AY$4),#REF!,AY884),"")</f>
        <v/>
      </c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6"/>
      <c r="BO885" s="26"/>
      <c r="BP885" s="26"/>
      <c r="BQ885" s="26"/>
      <c r="BR885" s="26"/>
      <c r="BS885" s="26"/>
      <c r="BT885" s="26"/>
      <c r="BU885" s="26"/>
      <c r="BV885" s="26"/>
      <c r="BW885" s="26"/>
      <c r="BX885" s="26"/>
      <c r="BY885" s="26"/>
      <c r="BZ885" s="26"/>
      <c r="CA885" s="26"/>
    </row>
    <row r="886" spans="1:79" s="143" customFormat="1" ht="15.75" hidden="1">
      <c r="A886" s="109">
        <v>5.9999999999999993E-6</v>
      </c>
      <c r="B886" s="110">
        <f t="shared" si="52"/>
        <v>886</v>
      </c>
      <c r="C886" s="111" t="str">
        <f>IF(C$1=[1]!T.in.A[[#This Row],[oo2]],1,"")</f>
        <v/>
      </c>
      <c r="D886" s="112" t="str">
        <f>IF(Tab.o1[[#This Row],[a1]]=1,IF(SUM(C886:C887)=0,0,IF(SUM(C885:C886)=1,1,IF(SUM(C885:C887)&gt;1,D885+1,0))),"")</f>
        <v/>
      </c>
      <c r="E886" s="113" t="str">
        <f>IF(Tab.o1[[#This Row],[a1]]=1,[1]!T.in.A[[#This Row],[oo1]],"")</f>
        <v/>
      </c>
      <c r="F886" s="113" t="str">
        <f>IF(Tab.o1[[#This Row],[a1]]=1,[1]!T.in.A[[#This Row],[pp1]],"")</f>
        <v/>
      </c>
      <c r="G886" s="114" t="str">
        <f>IF(Tab.o1[[#This Row],[a1]]=1,G$2+IF(G$1=1,0,Tab.o1[[#This Row],[.x1]])+[1]!T.in.A[[#This Row],[oo3]],"")</f>
        <v/>
      </c>
      <c r="H886" s="115" t="str">
        <f>IF(Tab.o1[[#This Row],[a1]]=1,IF(H$2=0,0,IF(G$1=1,0,Tab.o1[[#This Row],[.x1]])+[1]!T.in.A[[#This Row],[oo4]]),"")</f>
        <v/>
      </c>
      <c r="I886" s="116" t="str">
        <f>IF(Tab.o1[[#This Row],[a1]]=1,IF(J$2=0,Tab.o1[[#This Row],[MED]],Tab.o1[[#This Row],[MOD]]),"")</f>
        <v/>
      </c>
      <c r="J886" s="116" t="str">
        <f>IF(Tab.o1[[#This Row],[a1]]=1,((Tab.o1[[#This Row],[DIF_Target.]]-AVERAGE(Tab.o1[DIF_Target.]))/_xlfn.STDEV.P(Tab.o1[DIF_Target.])),"")</f>
        <v/>
      </c>
      <c r="K886" s="117" t="str">
        <f>IF(Tab.o1[[#This Row],[a1]]=1,IF(J$2=0,Tab.o1[[#This Row],[MOD]]-Tab.o1[[#This Row],[B]],IF(J$2=1,0,-Tab.o1[[#This Row],[MED]])+Tab.o1[[#This Row],[B]]),"")</f>
        <v/>
      </c>
      <c r="L886" s="117" t="str">
        <f ca="1">IF(Tab.o1[[#This Row],[DIF_Target]]=0,IF(L$2=0,Tab.o1[[#This Row],[DIF_Target]],AVERAGE(OFFSET(Tab.o1[[#This Row],[DIF_Target]],1,0,L$3,1)))/3,Tab.o1[[#This Row],[DIF_Target]])</f>
        <v/>
      </c>
      <c r="M886" s="118" t="str">
        <f>IF(Tab.o1[[#This Row],[a1]]=1,NORMSDIST(Tab.o1[[#This Row],[Za]]),"")</f>
        <v/>
      </c>
      <c r="N886" s="119" t="str">
        <f>IF(Tab.o1[[#This Row],[a1]]=1,((Tab.o1[[#This Row],[MedMod]]-AVERAGE(Tab.o1[MedMod]))/_xlfn.STDEV.P(Tab.o1[MedMod])*H$1205)+G$1205,"")</f>
        <v/>
      </c>
      <c r="O886" s="141" t="str">
        <f>IF(Tab.o1[[#This Row],[a1]]=1,Tab.o1[[#This Row],[Zb]]*_xlfn.STDEV.P(Tab.o1[MedMod])+AVERAGE(Tab.o1[MedMod]),"")</f>
        <v/>
      </c>
      <c r="P886" s="117" t="str">
        <f ca="1">IF(Tab.o1[[#This Row],[B]]=0,AVERAGE(OFFSET(Tab.o1[[#This Row],[B]],1,0,L$3,1)),Tab.o1[[#This Row],[B]])</f>
        <v/>
      </c>
      <c r="Q886" s="121" t="str">
        <f>IF(Tab.o1[[#This Row],[a1]]=1,NORMSDIST(Tab.o1[[#This Row],[Zb]]),"")</f>
        <v/>
      </c>
      <c r="R886" s="122" t="str">
        <f>IF(Tab.o1[[#This Row],[a1]]=1,((Tab.o1[[#This Row],[MedMod]]-AVERAGE(Tab.o1[MedMod]))/_xlfn.STDEV.P(Tab.o1[MedMod])*H$1203)+G$1203,"")</f>
        <v/>
      </c>
      <c r="S886" s="122" t="str">
        <f>IF(Tab.o1[[#This Row],[a1]]=1,((Tab.o1[[#This Row],[MedMod]]-AVERAGE(Tab.o1[MedMod]))/_xlfn.STDEV.P(Tab.o1[MedMod])*H$1204)+G$1204,"")</f>
        <v/>
      </c>
      <c r="T886" s="123" t="str">
        <f>IF(Tab.o1[[#This Row],[a1]]=1,Tab.o1[[#This Row],[Z-]]*_xlfn.STDEV.P(Tab.o1[B])+AVERAGE(Tab.o1[B]),"")</f>
        <v/>
      </c>
      <c r="U886" s="123" t="str">
        <f>IF(Tab.o1[[#This Row],[a1]]=1,Tab.o1[[#This Row],[z+]]*_xlfn.STDEV.P(Tab.o1[B])+AVERAGE(Tab.o1[B]),"")</f>
        <v/>
      </c>
      <c r="V886" s="124" t="str">
        <f>IF(Tab.o1[[#This Row],[a1]]=1,ABS((ABS(Tab.o1[[#This Row],[Red]]-Tab.o1[[#This Row],[Blue]]))),"")</f>
        <v/>
      </c>
      <c r="W886" s="125" t="str">
        <f>IF(Tab.o1[[#This Row],[a1]]=1,IF(W$3=0,1,Tab.o1[[#This Row],[Amp.]]*1/_xlfn.MINIFS(Tab.o1[Amp.],Tab.o1[Amp.],"&lt;&gt;0")),"")</f>
        <v/>
      </c>
      <c r="X886" s="126" t="str">
        <f>IF(Tab.o1[[#This Row],[a1]]=1,IF(ISNUMBER(Tab.o1[[#This Row],[i.]]),NORMDIST(Tab.o1[[#This Row],[Za]],0,1,FALSE)*Tab.o1[[#This Row],[i.]],AP$3),"")</f>
        <v/>
      </c>
      <c r="Y886" s="126" t="str">
        <f>IF(Tab.o1[[#This Row],[a1]]=1,0.01+0.94*Tab.o1[[#This Row],[PDF]]/MAX(Tab.o1[PDF]),"")</f>
        <v/>
      </c>
      <c r="Z886" s="126" t="str">
        <f>IF(Tab.o1[[#This Row],[a1]]=1,0.01+0.94*Tab.o1[[#This Row],[W1_PDF]]/MAX(Tab.o1[W1_PDF]),"")</f>
        <v/>
      </c>
      <c r="AA886" s="118" t="str">
        <f>IF(Tab.o1[[#This Row],[a1]]=1,ABS([1]!T.in.A[[#This Row],[oo6]]),"")</f>
        <v/>
      </c>
      <c r="AB886" s="127" t="str">
        <f>IF(Tab.o1[[#This Row],[a1]]=1,IF(AE$3=0,"",IF(AB$3=0,ABS([1]!T.in.A[[#This Row],[oo9]]),ABS(Tab.o1[[#This Row],[DIF_Target.]]*Tab.o1[[#This Row],[W1_PDF]]))),"")</f>
        <v/>
      </c>
      <c r="AC886" s="127" t="str">
        <f>IF(G$1=1,"",IF(Tab.o1[[#This Row],[a1]]=1,Tab.o1[[#This Row],[Wr]]^2,""))</f>
        <v/>
      </c>
      <c r="AD886" s="118" t="str">
        <f>IF(Tab.o1[[#This Row],[a1]]=1,IF(AE$3=0,"",Tab.o1[[#This Row],[Wr2]]/SUM(Tab.o1[Wr2])),"")</f>
        <v/>
      </c>
      <c r="AE886" s="128" t="str">
        <f>IF(Tab.o1[[#This Row],[a1]]=1,[1]!T.in.A[[#This Row],[oo10]],"")</f>
        <v/>
      </c>
      <c r="AF886" s="118" t="str">
        <f>IF(Tab.o1[[#This Row],[a1]]=1,ABS(Tab.o1[[#This Row],[DIF_Target.]]*Tab.o1[[#This Row],[PDF2]]*Tab.o1[[#This Row],[IN]]),"")</f>
        <v/>
      </c>
      <c r="AG886" s="129" t="str">
        <f>IF(Tab.o1[[#This Row],[a1]]=1,Tab.o1[[#This Row],[rW]]^2,"")</f>
        <v/>
      </c>
      <c r="AH886" s="130" t="str">
        <f>IF(Tab.o1[[#This Row],[a1]]=1,IF(AH$3=0,Tab.o1[[#This Row],[rW2]],0.01+0.94*Tab.o1[[#This Row],[rW2]]/SUM(Tab.o1[rW2])),"")</f>
        <v/>
      </c>
      <c r="AI886" s="128" t="str">
        <f>IF(Tab.o1[[#This Row],[a1]]=1,1/Tab.o1[[#This Row],[PDF]],"")</f>
        <v/>
      </c>
      <c r="AJ886" s="131" t="str">
        <f>IF(Tab.o1[[#This Row],[a1]]=1,[1]!T_AA[[#This Row],[IN'']]*[1]!T_AA[[#This Row],[Qde'']],"")</f>
        <v/>
      </c>
      <c r="AK886" s="132" t="str">
        <f>IF(Tab.o1[[#This Row],[a1]]=1,IF(AK$1=1,Tab.o1[[#This Row],[MED]]+Tab.o1[[#This Row],[MOD]]-Tab.o1[[#This Row],[MED]],""),"")</f>
        <v/>
      </c>
      <c r="AL886" s="133" t="str">
        <f>IF(Tab.o1[[#This Row],[a1]]=1,[1]!T.in.A[[#This Row],[oo16]],"")</f>
        <v/>
      </c>
      <c r="AM886" s="133" t="str">
        <f>IF(Tab.o1[[#This Row],[a1]]=1,IF(AM$3=1,[1]!T.in.A[[#This Row],[Σo16]],""),"")</f>
        <v/>
      </c>
      <c r="AN886" s="126" t="str">
        <f>IF(Tab.o1[[#This Row],[a1]]=1,[1]!T.in.A[[#This Row],[Σp5]],"")</f>
        <v/>
      </c>
      <c r="AO886" s="126" t="str">
        <f>IF(Tab.o1[[#This Row],[a1]]=1,IF(AO$3=1,[1]!T.in.A[[#This Row],[Σp5]],""),"")</f>
        <v/>
      </c>
      <c r="AP886" s="110" t="str">
        <f>IF(Tab.o1[[#This Row],[a1]]=1,IF(ISNUMBER(Tab.o1[[#This Row],[i.]]),NORMDIST(Tab.o1[[#This Row],[Za]],0,1,FALSE)*Tab.o1[[#This Row],[i.]],0),"")</f>
        <v/>
      </c>
      <c r="AQ886" s="125" t="str">
        <f>IF(Tab.o1[[#This Row],[a1]]=1,ABS(Tab.o1[[#This Row],[MOD]]-AVERAGE(Tab.o1[MOD])),"")</f>
        <v/>
      </c>
      <c r="AR886" s="134" t="str">
        <f>IF(Tab.o1[[#This Row],[a1]]=1,Tab.o1[[#This Row],[OBS]]/SUM(Tab.o1[OBS]),"")</f>
        <v/>
      </c>
      <c r="AS886" s="135" t="str">
        <f>IF(ISNUMBER(Tab.o1[[#This Row],[a1]]),ROW()-4,"")</f>
        <v/>
      </c>
      <c r="AT886" s="136" t="str">
        <f>Tab.o1[[#This Row],[MOD]]</f>
        <v/>
      </c>
      <c r="AU886" s="137" t="str">
        <f t="shared" si="53"/>
        <v/>
      </c>
      <c r="AV886" s="138" t="str">
        <f t="shared" si="54"/>
        <v/>
      </c>
      <c r="AW886" s="138" t="str">
        <f t="shared" si="55"/>
        <v/>
      </c>
      <c r="AX886" s="139" t="str">
        <f>[1]!T.in.A[[#This Row],[ID_T_manu]]</f>
        <v/>
      </c>
      <c r="AY886" s="140" t="str">
        <f>IF(ISNUMBER(Tab.o1[[#This Row],[a1]]),IF(AND(Tab.o1[[#This Row],[a1]]=1,Tab.o1[[#This Row],[b1]]&lt;=AY$4),#REF!,AY885),"")</f>
        <v/>
      </c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6"/>
      <c r="BO886" s="26"/>
      <c r="BP886" s="26"/>
      <c r="BQ886" s="26"/>
      <c r="BR886" s="26"/>
      <c r="BS886" s="26"/>
      <c r="BT886" s="26"/>
      <c r="BU886" s="26"/>
      <c r="BV886" s="26"/>
      <c r="BW886" s="26"/>
      <c r="BX886" s="26"/>
      <c r="BY886" s="26"/>
      <c r="BZ886" s="26"/>
      <c r="CA886" s="26"/>
    </row>
    <row r="887" spans="1:79" s="143" customFormat="1" ht="15.75" hidden="1">
      <c r="A887" s="109">
        <v>1.0000000000000001E-5</v>
      </c>
      <c r="B887" s="110">
        <f t="shared" si="52"/>
        <v>887</v>
      </c>
      <c r="C887" s="111" t="str">
        <f>IF(C$1=[1]!T.in.A[[#This Row],[oo2]],1,"")</f>
        <v/>
      </c>
      <c r="D887" s="112" t="str">
        <f>IF(Tab.o1[[#This Row],[a1]]=1,IF(SUM(C887:C888)=0,0,IF(SUM(C886:C887)=1,1,IF(SUM(C886:C888)&gt;1,D886+1,0))),"")</f>
        <v/>
      </c>
      <c r="E887" s="113" t="str">
        <f>IF(Tab.o1[[#This Row],[a1]]=1,[1]!T.in.A[[#This Row],[oo1]],"")</f>
        <v/>
      </c>
      <c r="F887" s="113" t="str">
        <f>IF(Tab.o1[[#This Row],[a1]]=1,[1]!T.in.A[[#This Row],[pp1]],"")</f>
        <v/>
      </c>
      <c r="G887" s="114" t="str">
        <f>IF(Tab.o1[[#This Row],[a1]]=1,G$2+IF(G$1=1,0,Tab.o1[[#This Row],[.x1]])+[1]!T.in.A[[#This Row],[oo3]],"")</f>
        <v/>
      </c>
      <c r="H887" s="115" t="str">
        <f>IF(Tab.o1[[#This Row],[a1]]=1,IF(H$2=0,0,IF(G$1=1,0,Tab.o1[[#This Row],[.x1]])+[1]!T.in.A[[#This Row],[oo4]]),"")</f>
        <v/>
      </c>
      <c r="I887" s="116" t="str">
        <f>IF(Tab.o1[[#This Row],[a1]]=1,IF(J$2=0,Tab.o1[[#This Row],[MED]],Tab.o1[[#This Row],[MOD]]),"")</f>
        <v/>
      </c>
      <c r="J887" s="116" t="str">
        <f>IF(Tab.o1[[#This Row],[a1]]=1,((Tab.o1[[#This Row],[DIF_Target.]]-AVERAGE(Tab.o1[DIF_Target.]))/_xlfn.STDEV.P(Tab.o1[DIF_Target.])),"")</f>
        <v/>
      </c>
      <c r="K887" s="117" t="str">
        <f>IF(Tab.o1[[#This Row],[a1]]=1,IF(J$2=0,Tab.o1[[#This Row],[MOD]]-Tab.o1[[#This Row],[B]],IF(J$2=1,0,-Tab.o1[[#This Row],[MED]])+Tab.o1[[#This Row],[B]]),"")</f>
        <v/>
      </c>
      <c r="L887" s="117" t="str">
        <f ca="1">IF(Tab.o1[[#This Row],[DIF_Target]]=0,IF(L$2=0,Tab.o1[[#This Row],[DIF_Target]],AVERAGE(OFFSET(Tab.o1[[#This Row],[DIF_Target]],1,0,L$3,1)))/3,Tab.o1[[#This Row],[DIF_Target]])</f>
        <v/>
      </c>
      <c r="M887" s="118" t="str">
        <f>IF(Tab.o1[[#This Row],[a1]]=1,NORMSDIST(Tab.o1[[#This Row],[Za]]),"")</f>
        <v/>
      </c>
      <c r="N887" s="119" t="str">
        <f>IF(Tab.o1[[#This Row],[a1]]=1,((Tab.o1[[#This Row],[MedMod]]-AVERAGE(Tab.o1[MedMod]))/_xlfn.STDEV.P(Tab.o1[MedMod])*H$1205)+G$1205,"")</f>
        <v/>
      </c>
      <c r="O887" s="141" t="str">
        <f>IF(Tab.o1[[#This Row],[a1]]=1,Tab.o1[[#This Row],[Zb]]*_xlfn.STDEV.P(Tab.o1[MedMod])+AVERAGE(Tab.o1[MedMod]),"")</f>
        <v/>
      </c>
      <c r="P887" s="117" t="str">
        <f ca="1">IF(Tab.o1[[#This Row],[B]]=0,AVERAGE(OFFSET(Tab.o1[[#This Row],[B]],1,0,L$3,1)),Tab.o1[[#This Row],[B]])</f>
        <v/>
      </c>
      <c r="Q887" s="121" t="str">
        <f>IF(Tab.o1[[#This Row],[a1]]=1,NORMSDIST(Tab.o1[[#This Row],[Zb]]),"")</f>
        <v/>
      </c>
      <c r="R887" s="122" t="str">
        <f>IF(Tab.o1[[#This Row],[a1]]=1,((Tab.o1[[#This Row],[MedMod]]-AVERAGE(Tab.o1[MedMod]))/_xlfn.STDEV.P(Tab.o1[MedMod])*H$1203)+G$1203,"")</f>
        <v/>
      </c>
      <c r="S887" s="122" t="str">
        <f>IF(Tab.o1[[#This Row],[a1]]=1,((Tab.o1[[#This Row],[MedMod]]-AVERAGE(Tab.o1[MedMod]))/_xlfn.STDEV.P(Tab.o1[MedMod])*H$1204)+G$1204,"")</f>
        <v/>
      </c>
      <c r="T887" s="123" t="str">
        <f>IF(Tab.o1[[#This Row],[a1]]=1,Tab.o1[[#This Row],[Z-]]*_xlfn.STDEV.P(Tab.o1[B])+AVERAGE(Tab.o1[B]),"")</f>
        <v/>
      </c>
      <c r="U887" s="123" t="str">
        <f>IF(Tab.o1[[#This Row],[a1]]=1,Tab.o1[[#This Row],[z+]]*_xlfn.STDEV.P(Tab.o1[B])+AVERAGE(Tab.o1[B]),"")</f>
        <v/>
      </c>
      <c r="V887" s="124" t="str">
        <f>IF(Tab.o1[[#This Row],[a1]]=1,ABS((ABS(Tab.o1[[#This Row],[Red]]-Tab.o1[[#This Row],[Blue]]))),"")</f>
        <v/>
      </c>
      <c r="W887" s="125" t="str">
        <f>IF(Tab.o1[[#This Row],[a1]]=1,IF(W$3=0,1,Tab.o1[[#This Row],[Amp.]]*1/_xlfn.MINIFS(Tab.o1[Amp.],Tab.o1[Amp.],"&lt;&gt;0")),"")</f>
        <v/>
      </c>
      <c r="X887" s="126" t="str">
        <f>IF(Tab.o1[[#This Row],[a1]]=1,IF(ISNUMBER(Tab.o1[[#This Row],[i.]]),NORMDIST(Tab.o1[[#This Row],[Za]],0,1,FALSE)*Tab.o1[[#This Row],[i.]],AP$3),"")</f>
        <v/>
      </c>
      <c r="Y887" s="126" t="str">
        <f>IF(Tab.o1[[#This Row],[a1]]=1,0.01+0.94*Tab.o1[[#This Row],[PDF]]/MAX(Tab.o1[PDF]),"")</f>
        <v/>
      </c>
      <c r="Z887" s="126" t="str">
        <f>IF(Tab.o1[[#This Row],[a1]]=1,0.01+0.94*Tab.o1[[#This Row],[W1_PDF]]/MAX(Tab.o1[W1_PDF]),"")</f>
        <v/>
      </c>
      <c r="AA887" s="118" t="str">
        <f>IF(Tab.o1[[#This Row],[a1]]=1,ABS([1]!T.in.A[[#This Row],[oo6]]),"")</f>
        <v/>
      </c>
      <c r="AB887" s="127" t="str">
        <f>IF(Tab.o1[[#This Row],[a1]]=1,IF(AE$3=0,"",IF(AB$3=0,ABS([1]!T.in.A[[#This Row],[oo9]]),ABS(Tab.o1[[#This Row],[DIF_Target.]]*Tab.o1[[#This Row],[W1_PDF]]))),"")</f>
        <v/>
      </c>
      <c r="AC887" s="127" t="str">
        <f>IF(G$1=1,"",IF(Tab.o1[[#This Row],[a1]]=1,Tab.o1[[#This Row],[Wr]]^2,""))</f>
        <v/>
      </c>
      <c r="AD887" s="118" t="str">
        <f>IF(Tab.o1[[#This Row],[a1]]=1,IF(AE$3=0,"",Tab.o1[[#This Row],[Wr2]]/SUM(Tab.o1[Wr2])),"")</f>
        <v/>
      </c>
      <c r="AE887" s="128" t="str">
        <f>IF(Tab.o1[[#This Row],[a1]]=1,[1]!T.in.A[[#This Row],[oo10]],"")</f>
        <v/>
      </c>
      <c r="AF887" s="118" t="str">
        <f>IF(Tab.o1[[#This Row],[a1]]=1,ABS(Tab.o1[[#This Row],[DIF_Target.]]*Tab.o1[[#This Row],[PDF2]]*Tab.o1[[#This Row],[IN]]),"")</f>
        <v/>
      </c>
      <c r="AG887" s="129" t="str">
        <f>IF(Tab.o1[[#This Row],[a1]]=1,Tab.o1[[#This Row],[rW]]^2,"")</f>
        <v/>
      </c>
      <c r="AH887" s="130" t="str">
        <f>IF(Tab.o1[[#This Row],[a1]]=1,IF(AH$3=0,Tab.o1[[#This Row],[rW2]],0.01+0.94*Tab.o1[[#This Row],[rW2]]/SUM(Tab.o1[rW2])),"")</f>
        <v/>
      </c>
      <c r="AI887" s="128" t="str">
        <f>IF(Tab.o1[[#This Row],[a1]]=1,1/Tab.o1[[#This Row],[PDF]],"")</f>
        <v/>
      </c>
      <c r="AJ887" s="131" t="str">
        <f>IF(Tab.o1[[#This Row],[a1]]=1,[1]!T_AA[[#This Row],[IN'']]*[1]!T_AA[[#This Row],[Qde'']],"")</f>
        <v/>
      </c>
      <c r="AK887" s="132" t="str">
        <f>IF(Tab.o1[[#This Row],[a1]]=1,IF(AK$1=1,Tab.o1[[#This Row],[MED]]+Tab.o1[[#This Row],[MOD]]-Tab.o1[[#This Row],[MED]],""),"")</f>
        <v/>
      </c>
      <c r="AL887" s="133" t="str">
        <f>IF(Tab.o1[[#This Row],[a1]]=1,[1]!T.in.A[[#This Row],[oo16]],"")</f>
        <v/>
      </c>
      <c r="AM887" s="133" t="str">
        <f>IF(Tab.o1[[#This Row],[a1]]=1,IF(AM$3=1,[1]!T.in.A[[#This Row],[Σo16]],""),"")</f>
        <v/>
      </c>
      <c r="AN887" s="126" t="str">
        <f>IF(Tab.o1[[#This Row],[a1]]=1,[1]!T.in.A[[#This Row],[Σp5]],"")</f>
        <v/>
      </c>
      <c r="AO887" s="126" t="str">
        <f>IF(Tab.o1[[#This Row],[a1]]=1,IF(AO$3=1,[1]!T.in.A[[#This Row],[Σp5]],""),"")</f>
        <v/>
      </c>
      <c r="AP887" s="110" t="str">
        <f>IF(Tab.o1[[#This Row],[a1]]=1,IF(ISNUMBER(Tab.o1[[#This Row],[i.]]),NORMDIST(Tab.o1[[#This Row],[Za]],0,1,FALSE)*Tab.o1[[#This Row],[i.]],0),"")</f>
        <v/>
      </c>
      <c r="AQ887" s="125" t="str">
        <f>IF(Tab.o1[[#This Row],[a1]]=1,ABS(Tab.o1[[#This Row],[MOD]]-AVERAGE(Tab.o1[MOD])),"")</f>
        <v/>
      </c>
      <c r="AR887" s="134" t="str">
        <f>IF(Tab.o1[[#This Row],[a1]]=1,Tab.o1[[#This Row],[OBS]]/SUM(Tab.o1[OBS]),"")</f>
        <v/>
      </c>
      <c r="AS887" s="135" t="str">
        <f>IF(ISNUMBER(Tab.o1[[#This Row],[a1]]),ROW()-4,"")</f>
        <v/>
      </c>
      <c r="AT887" s="136" t="str">
        <f>Tab.o1[[#This Row],[MOD]]</f>
        <v/>
      </c>
      <c r="AU887" s="137" t="str">
        <f t="shared" si="53"/>
        <v/>
      </c>
      <c r="AV887" s="138" t="str">
        <f t="shared" si="54"/>
        <v/>
      </c>
      <c r="AW887" s="138" t="str">
        <f t="shared" si="55"/>
        <v/>
      </c>
      <c r="AX887" s="139" t="str">
        <f>[1]!T.in.A[[#This Row],[ID_T_manu]]</f>
        <v/>
      </c>
      <c r="AY887" s="140" t="str">
        <f>IF(ISNUMBER(Tab.o1[[#This Row],[a1]]),IF(AND(Tab.o1[[#This Row],[a1]]=1,Tab.o1[[#This Row],[b1]]&lt;=AY$4),#REF!,AY886),"")</f>
        <v/>
      </c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6"/>
      <c r="BO887" s="26"/>
      <c r="BP887" s="26"/>
      <c r="BQ887" s="26"/>
      <c r="BR887" s="26"/>
      <c r="BS887" s="26"/>
      <c r="BT887" s="26"/>
      <c r="BU887" s="26"/>
      <c r="BV887" s="26"/>
      <c r="BW887" s="26"/>
      <c r="BX887" s="26"/>
      <c r="BY887" s="26"/>
      <c r="BZ887" s="26"/>
      <c r="CA887" s="26"/>
    </row>
    <row r="888" spans="1:79" s="143" customFormat="1" ht="15.75" hidden="1">
      <c r="A888" s="109">
        <v>-5.0000000000000004E-6</v>
      </c>
      <c r="B888" s="110">
        <f t="shared" si="52"/>
        <v>888</v>
      </c>
      <c r="C888" s="111" t="str">
        <f>IF(C$1=[1]!T.in.A[[#This Row],[oo2]],1,"")</f>
        <v/>
      </c>
      <c r="D888" s="112" t="str">
        <f>IF(Tab.o1[[#This Row],[a1]]=1,IF(SUM(C888:C889)=0,0,IF(SUM(C887:C888)=1,1,IF(SUM(C887:C889)&gt;1,D887+1,0))),"")</f>
        <v/>
      </c>
      <c r="E888" s="113" t="str">
        <f>IF(Tab.o1[[#This Row],[a1]]=1,[1]!T.in.A[[#This Row],[oo1]],"")</f>
        <v/>
      </c>
      <c r="F888" s="113" t="str">
        <f>IF(Tab.o1[[#This Row],[a1]]=1,[1]!T.in.A[[#This Row],[pp1]],"")</f>
        <v/>
      </c>
      <c r="G888" s="114" t="str">
        <f>IF(Tab.o1[[#This Row],[a1]]=1,G$2+IF(G$1=1,0,Tab.o1[[#This Row],[.x1]])+[1]!T.in.A[[#This Row],[oo3]],"")</f>
        <v/>
      </c>
      <c r="H888" s="115" t="str">
        <f>IF(Tab.o1[[#This Row],[a1]]=1,IF(H$2=0,0,IF(G$1=1,0,Tab.o1[[#This Row],[.x1]])+[1]!T.in.A[[#This Row],[oo4]]),"")</f>
        <v/>
      </c>
      <c r="I888" s="116" t="str">
        <f>IF(Tab.o1[[#This Row],[a1]]=1,IF(J$2=0,Tab.o1[[#This Row],[MED]],Tab.o1[[#This Row],[MOD]]),"")</f>
        <v/>
      </c>
      <c r="J888" s="116" t="str">
        <f>IF(Tab.o1[[#This Row],[a1]]=1,((Tab.o1[[#This Row],[DIF_Target.]]-AVERAGE(Tab.o1[DIF_Target.]))/_xlfn.STDEV.P(Tab.o1[DIF_Target.])),"")</f>
        <v/>
      </c>
      <c r="K888" s="117" t="str">
        <f>IF(Tab.o1[[#This Row],[a1]]=1,IF(J$2=0,Tab.o1[[#This Row],[MOD]]-Tab.o1[[#This Row],[B]],IF(J$2=1,0,-Tab.o1[[#This Row],[MED]])+Tab.o1[[#This Row],[B]]),"")</f>
        <v/>
      </c>
      <c r="L888" s="117" t="str">
        <f ca="1">IF(Tab.o1[[#This Row],[DIF_Target]]=0,IF(L$2=0,Tab.o1[[#This Row],[DIF_Target]],AVERAGE(OFFSET(Tab.o1[[#This Row],[DIF_Target]],1,0,L$3,1)))/3,Tab.o1[[#This Row],[DIF_Target]])</f>
        <v/>
      </c>
      <c r="M888" s="118" t="str">
        <f>IF(Tab.o1[[#This Row],[a1]]=1,NORMSDIST(Tab.o1[[#This Row],[Za]]),"")</f>
        <v/>
      </c>
      <c r="N888" s="119" t="str">
        <f>IF(Tab.o1[[#This Row],[a1]]=1,((Tab.o1[[#This Row],[MedMod]]-AVERAGE(Tab.o1[MedMod]))/_xlfn.STDEV.P(Tab.o1[MedMod])*H$1205)+G$1205,"")</f>
        <v/>
      </c>
      <c r="O888" s="141" t="str">
        <f>IF(Tab.o1[[#This Row],[a1]]=1,Tab.o1[[#This Row],[Zb]]*_xlfn.STDEV.P(Tab.o1[MedMod])+AVERAGE(Tab.o1[MedMod]),"")</f>
        <v/>
      </c>
      <c r="P888" s="117" t="str">
        <f ca="1">IF(Tab.o1[[#This Row],[B]]=0,AVERAGE(OFFSET(Tab.o1[[#This Row],[B]],1,0,L$3,1)),Tab.o1[[#This Row],[B]])</f>
        <v/>
      </c>
      <c r="Q888" s="121" t="str">
        <f>IF(Tab.o1[[#This Row],[a1]]=1,NORMSDIST(Tab.o1[[#This Row],[Zb]]),"")</f>
        <v/>
      </c>
      <c r="R888" s="122" t="str">
        <f>IF(Tab.o1[[#This Row],[a1]]=1,((Tab.o1[[#This Row],[MedMod]]-AVERAGE(Tab.o1[MedMod]))/_xlfn.STDEV.P(Tab.o1[MedMod])*H$1203)+G$1203,"")</f>
        <v/>
      </c>
      <c r="S888" s="122" t="str">
        <f>IF(Tab.o1[[#This Row],[a1]]=1,((Tab.o1[[#This Row],[MedMod]]-AVERAGE(Tab.o1[MedMod]))/_xlfn.STDEV.P(Tab.o1[MedMod])*H$1204)+G$1204,"")</f>
        <v/>
      </c>
      <c r="T888" s="123" t="str">
        <f>IF(Tab.o1[[#This Row],[a1]]=1,Tab.o1[[#This Row],[Z-]]*_xlfn.STDEV.P(Tab.o1[B])+AVERAGE(Tab.o1[B]),"")</f>
        <v/>
      </c>
      <c r="U888" s="123" t="str">
        <f>IF(Tab.o1[[#This Row],[a1]]=1,Tab.o1[[#This Row],[z+]]*_xlfn.STDEV.P(Tab.o1[B])+AVERAGE(Tab.o1[B]),"")</f>
        <v/>
      </c>
      <c r="V888" s="124" t="str">
        <f>IF(Tab.o1[[#This Row],[a1]]=1,ABS((ABS(Tab.o1[[#This Row],[Red]]-Tab.o1[[#This Row],[Blue]]))),"")</f>
        <v/>
      </c>
      <c r="W888" s="125" t="str">
        <f>IF(Tab.o1[[#This Row],[a1]]=1,IF(W$3=0,1,Tab.o1[[#This Row],[Amp.]]*1/_xlfn.MINIFS(Tab.o1[Amp.],Tab.o1[Amp.],"&lt;&gt;0")),"")</f>
        <v/>
      </c>
      <c r="X888" s="126" t="str">
        <f>IF(Tab.o1[[#This Row],[a1]]=1,IF(ISNUMBER(Tab.o1[[#This Row],[i.]]),NORMDIST(Tab.o1[[#This Row],[Za]],0,1,FALSE)*Tab.o1[[#This Row],[i.]],AP$3),"")</f>
        <v/>
      </c>
      <c r="Y888" s="126" t="str">
        <f>IF(Tab.o1[[#This Row],[a1]]=1,0.01+0.94*Tab.o1[[#This Row],[PDF]]/MAX(Tab.o1[PDF]),"")</f>
        <v/>
      </c>
      <c r="Z888" s="126" t="str">
        <f>IF(Tab.o1[[#This Row],[a1]]=1,0.01+0.94*Tab.o1[[#This Row],[W1_PDF]]/MAX(Tab.o1[W1_PDF]),"")</f>
        <v/>
      </c>
      <c r="AA888" s="118" t="str">
        <f>IF(Tab.o1[[#This Row],[a1]]=1,ABS([1]!T.in.A[[#This Row],[oo6]]),"")</f>
        <v/>
      </c>
      <c r="AB888" s="127" t="str">
        <f>IF(Tab.o1[[#This Row],[a1]]=1,IF(AE$3=0,"",IF(AB$3=0,ABS([1]!T.in.A[[#This Row],[oo9]]),ABS(Tab.o1[[#This Row],[DIF_Target.]]*Tab.o1[[#This Row],[W1_PDF]]))),"")</f>
        <v/>
      </c>
      <c r="AC888" s="127" t="str">
        <f>IF(G$1=1,"",IF(Tab.o1[[#This Row],[a1]]=1,Tab.o1[[#This Row],[Wr]]^2,""))</f>
        <v/>
      </c>
      <c r="AD888" s="118" t="str">
        <f>IF(Tab.o1[[#This Row],[a1]]=1,IF(AE$3=0,"",Tab.o1[[#This Row],[Wr2]]/SUM(Tab.o1[Wr2])),"")</f>
        <v/>
      </c>
      <c r="AE888" s="128" t="str">
        <f>IF(Tab.o1[[#This Row],[a1]]=1,[1]!T.in.A[[#This Row],[oo10]],"")</f>
        <v/>
      </c>
      <c r="AF888" s="118" t="str">
        <f>IF(Tab.o1[[#This Row],[a1]]=1,ABS(Tab.o1[[#This Row],[DIF_Target.]]*Tab.o1[[#This Row],[PDF2]]*Tab.o1[[#This Row],[IN]]),"")</f>
        <v/>
      </c>
      <c r="AG888" s="129" t="str">
        <f>IF(Tab.o1[[#This Row],[a1]]=1,Tab.o1[[#This Row],[rW]]^2,"")</f>
        <v/>
      </c>
      <c r="AH888" s="130" t="str">
        <f>IF(Tab.o1[[#This Row],[a1]]=1,IF(AH$3=0,Tab.o1[[#This Row],[rW2]],0.01+0.94*Tab.o1[[#This Row],[rW2]]/SUM(Tab.o1[rW2])),"")</f>
        <v/>
      </c>
      <c r="AI888" s="128" t="str">
        <f>IF(Tab.o1[[#This Row],[a1]]=1,1/Tab.o1[[#This Row],[PDF]],"")</f>
        <v/>
      </c>
      <c r="AJ888" s="131" t="str">
        <f>IF(Tab.o1[[#This Row],[a1]]=1,[1]!T_AA[[#This Row],[IN'']]*[1]!T_AA[[#This Row],[Qde'']],"")</f>
        <v/>
      </c>
      <c r="AK888" s="132" t="str">
        <f>IF(Tab.o1[[#This Row],[a1]]=1,IF(AK$1=1,Tab.o1[[#This Row],[MED]]+Tab.o1[[#This Row],[MOD]]-Tab.o1[[#This Row],[MED]],""),"")</f>
        <v/>
      </c>
      <c r="AL888" s="133" t="str">
        <f>IF(Tab.o1[[#This Row],[a1]]=1,[1]!T.in.A[[#This Row],[oo16]],"")</f>
        <v/>
      </c>
      <c r="AM888" s="133" t="str">
        <f>IF(Tab.o1[[#This Row],[a1]]=1,IF(AM$3=1,[1]!T.in.A[[#This Row],[Σo16]],""),"")</f>
        <v/>
      </c>
      <c r="AN888" s="126" t="str">
        <f>IF(Tab.o1[[#This Row],[a1]]=1,[1]!T.in.A[[#This Row],[Σp5]],"")</f>
        <v/>
      </c>
      <c r="AO888" s="126" t="str">
        <f>IF(Tab.o1[[#This Row],[a1]]=1,IF(AO$3=1,[1]!T.in.A[[#This Row],[Σp5]],""),"")</f>
        <v/>
      </c>
      <c r="AP888" s="110" t="str">
        <f>IF(Tab.o1[[#This Row],[a1]]=1,IF(ISNUMBER(Tab.o1[[#This Row],[i.]]),NORMDIST(Tab.o1[[#This Row],[Za]],0,1,FALSE)*Tab.o1[[#This Row],[i.]],0),"")</f>
        <v/>
      </c>
      <c r="AQ888" s="125" t="str">
        <f>IF(Tab.o1[[#This Row],[a1]]=1,ABS(Tab.o1[[#This Row],[MOD]]-AVERAGE(Tab.o1[MOD])),"")</f>
        <v/>
      </c>
      <c r="AR888" s="134" t="str">
        <f>IF(Tab.o1[[#This Row],[a1]]=1,Tab.o1[[#This Row],[OBS]]/SUM(Tab.o1[OBS]),"")</f>
        <v/>
      </c>
      <c r="AS888" s="135" t="str">
        <f>IF(ISNUMBER(Tab.o1[[#This Row],[a1]]),ROW()-4,"")</f>
        <v/>
      </c>
      <c r="AT888" s="136" t="str">
        <f>Tab.o1[[#This Row],[MOD]]</f>
        <v/>
      </c>
      <c r="AU888" s="137" t="str">
        <f t="shared" si="53"/>
        <v/>
      </c>
      <c r="AV888" s="138" t="str">
        <f t="shared" si="54"/>
        <v/>
      </c>
      <c r="AW888" s="138" t="str">
        <f t="shared" si="55"/>
        <v/>
      </c>
      <c r="AX888" s="139" t="str">
        <f>[1]!T.in.A[[#This Row],[ID_T_manu]]</f>
        <v/>
      </c>
      <c r="AY888" s="140" t="str">
        <f>IF(ISNUMBER(Tab.o1[[#This Row],[a1]]),IF(AND(Tab.o1[[#This Row],[a1]]=1,Tab.o1[[#This Row],[b1]]&lt;=AY$4),#REF!,AY887),"")</f>
        <v/>
      </c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6"/>
      <c r="BO888" s="26"/>
      <c r="BP888" s="26"/>
      <c r="BQ888" s="26"/>
      <c r="BR888" s="26"/>
      <c r="BS888" s="26"/>
      <c r="BT888" s="26"/>
      <c r="BU888" s="26"/>
      <c r="BV888" s="26"/>
      <c r="BW888" s="26"/>
      <c r="BX888" s="26"/>
      <c r="BY888" s="26"/>
      <c r="BZ888" s="26"/>
      <c r="CA888" s="26"/>
    </row>
    <row r="889" spans="1:79" s="143" customFormat="1" ht="15.75" hidden="1">
      <c r="A889" s="109">
        <v>6.9999999999999999E-6</v>
      </c>
      <c r="B889" s="110">
        <f t="shared" si="52"/>
        <v>889</v>
      </c>
      <c r="C889" s="111" t="str">
        <f>IF(C$1=[1]!T.in.A[[#This Row],[oo2]],1,"")</f>
        <v/>
      </c>
      <c r="D889" s="112" t="str">
        <f>IF(Tab.o1[[#This Row],[a1]]=1,IF(SUM(C889:C890)=0,0,IF(SUM(C888:C889)=1,1,IF(SUM(C888:C890)&gt;1,D888+1,0))),"")</f>
        <v/>
      </c>
      <c r="E889" s="113" t="str">
        <f>IF(Tab.o1[[#This Row],[a1]]=1,[1]!T.in.A[[#This Row],[oo1]],"")</f>
        <v/>
      </c>
      <c r="F889" s="113" t="str">
        <f>IF(Tab.o1[[#This Row],[a1]]=1,[1]!T.in.A[[#This Row],[pp1]],"")</f>
        <v/>
      </c>
      <c r="G889" s="114" t="str">
        <f>IF(Tab.o1[[#This Row],[a1]]=1,G$2+IF(G$1=1,0,Tab.o1[[#This Row],[.x1]])+[1]!T.in.A[[#This Row],[oo3]],"")</f>
        <v/>
      </c>
      <c r="H889" s="115" t="str">
        <f>IF(Tab.o1[[#This Row],[a1]]=1,IF(H$2=0,0,IF(G$1=1,0,Tab.o1[[#This Row],[.x1]])+[1]!T.in.A[[#This Row],[oo4]]),"")</f>
        <v/>
      </c>
      <c r="I889" s="116" t="str">
        <f>IF(Tab.o1[[#This Row],[a1]]=1,IF(J$2=0,Tab.o1[[#This Row],[MED]],Tab.o1[[#This Row],[MOD]]),"")</f>
        <v/>
      </c>
      <c r="J889" s="116" t="str">
        <f>IF(Tab.o1[[#This Row],[a1]]=1,((Tab.o1[[#This Row],[DIF_Target.]]-AVERAGE(Tab.o1[DIF_Target.]))/_xlfn.STDEV.P(Tab.o1[DIF_Target.])),"")</f>
        <v/>
      </c>
      <c r="K889" s="117" t="str">
        <f>IF(Tab.o1[[#This Row],[a1]]=1,IF(J$2=0,Tab.o1[[#This Row],[MOD]]-Tab.o1[[#This Row],[B]],IF(J$2=1,0,-Tab.o1[[#This Row],[MED]])+Tab.o1[[#This Row],[B]]),"")</f>
        <v/>
      </c>
      <c r="L889" s="117" t="str">
        <f ca="1">IF(Tab.o1[[#This Row],[DIF_Target]]=0,IF(L$2=0,Tab.o1[[#This Row],[DIF_Target]],AVERAGE(OFFSET(Tab.o1[[#This Row],[DIF_Target]],1,0,L$3,1)))/3,Tab.o1[[#This Row],[DIF_Target]])</f>
        <v/>
      </c>
      <c r="M889" s="118" t="str">
        <f>IF(Tab.o1[[#This Row],[a1]]=1,NORMSDIST(Tab.o1[[#This Row],[Za]]),"")</f>
        <v/>
      </c>
      <c r="N889" s="119" t="str">
        <f>IF(Tab.o1[[#This Row],[a1]]=1,((Tab.o1[[#This Row],[MedMod]]-AVERAGE(Tab.o1[MedMod]))/_xlfn.STDEV.P(Tab.o1[MedMod])*H$1205)+G$1205,"")</f>
        <v/>
      </c>
      <c r="O889" s="141" t="str">
        <f>IF(Tab.o1[[#This Row],[a1]]=1,Tab.o1[[#This Row],[Zb]]*_xlfn.STDEV.P(Tab.o1[MedMod])+AVERAGE(Tab.o1[MedMod]),"")</f>
        <v/>
      </c>
      <c r="P889" s="117" t="str">
        <f ca="1">IF(Tab.o1[[#This Row],[B]]=0,AVERAGE(OFFSET(Tab.o1[[#This Row],[B]],1,0,L$3,1)),Tab.o1[[#This Row],[B]])</f>
        <v/>
      </c>
      <c r="Q889" s="121" t="str">
        <f>IF(Tab.o1[[#This Row],[a1]]=1,NORMSDIST(Tab.o1[[#This Row],[Zb]]),"")</f>
        <v/>
      </c>
      <c r="R889" s="122" t="str">
        <f>IF(Tab.o1[[#This Row],[a1]]=1,((Tab.o1[[#This Row],[MedMod]]-AVERAGE(Tab.o1[MedMod]))/_xlfn.STDEV.P(Tab.o1[MedMod])*H$1203)+G$1203,"")</f>
        <v/>
      </c>
      <c r="S889" s="122" t="str">
        <f>IF(Tab.o1[[#This Row],[a1]]=1,((Tab.o1[[#This Row],[MedMod]]-AVERAGE(Tab.o1[MedMod]))/_xlfn.STDEV.P(Tab.o1[MedMod])*H$1204)+G$1204,"")</f>
        <v/>
      </c>
      <c r="T889" s="123" t="str">
        <f>IF(Tab.o1[[#This Row],[a1]]=1,Tab.o1[[#This Row],[Z-]]*_xlfn.STDEV.P(Tab.o1[B])+AVERAGE(Tab.o1[B]),"")</f>
        <v/>
      </c>
      <c r="U889" s="123" t="str">
        <f>IF(Tab.o1[[#This Row],[a1]]=1,Tab.o1[[#This Row],[z+]]*_xlfn.STDEV.P(Tab.o1[B])+AVERAGE(Tab.o1[B]),"")</f>
        <v/>
      </c>
      <c r="V889" s="124" t="str">
        <f>IF(Tab.o1[[#This Row],[a1]]=1,ABS((ABS(Tab.o1[[#This Row],[Red]]-Tab.o1[[#This Row],[Blue]]))),"")</f>
        <v/>
      </c>
      <c r="W889" s="125" t="str">
        <f>IF(Tab.o1[[#This Row],[a1]]=1,IF(W$3=0,1,Tab.o1[[#This Row],[Amp.]]*1/_xlfn.MINIFS(Tab.o1[Amp.],Tab.o1[Amp.],"&lt;&gt;0")),"")</f>
        <v/>
      </c>
      <c r="X889" s="126" t="str">
        <f>IF(Tab.o1[[#This Row],[a1]]=1,IF(ISNUMBER(Tab.o1[[#This Row],[i.]]),NORMDIST(Tab.o1[[#This Row],[Za]],0,1,FALSE)*Tab.o1[[#This Row],[i.]],AP$3),"")</f>
        <v/>
      </c>
      <c r="Y889" s="126" t="str">
        <f>IF(Tab.o1[[#This Row],[a1]]=1,0.01+0.94*Tab.o1[[#This Row],[PDF]]/MAX(Tab.o1[PDF]),"")</f>
        <v/>
      </c>
      <c r="Z889" s="126" t="str">
        <f>IF(Tab.o1[[#This Row],[a1]]=1,0.01+0.94*Tab.o1[[#This Row],[W1_PDF]]/MAX(Tab.o1[W1_PDF]),"")</f>
        <v/>
      </c>
      <c r="AA889" s="118" t="str">
        <f>IF(Tab.o1[[#This Row],[a1]]=1,ABS([1]!T.in.A[[#This Row],[oo6]]),"")</f>
        <v/>
      </c>
      <c r="AB889" s="127" t="str">
        <f>IF(Tab.o1[[#This Row],[a1]]=1,IF(AE$3=0,"",IF(AB$3=0,ABS([1]!T.in.A[[#This Row],[oo9]]),ABS(Tab.o1[[#This Row],[DIF_Target.]]*Tab.o1[[#This Row],[W1_PDF]]))),"")</f>
        <v/>
      </c>
      <c r="AC889" s="127" t="str">
        <f>IF(G$1=1,"",IF(Tab.o1[[#This Row],[a1]]=1,Tab.o1[[#This Row],[Wr]]^2,""))</f>
        <v/>
      </c>
      <c r="AD889" s="118" t="str">
        <f>IF(Tab.o1[[#This Row],[a1]]=1,IF(AE$3=0,"",Tab.o1[[#This Row],[Wr2]]/SUM(Tab.o1[Wr2])),"")</f>
        <v/>
      </c>
      <c r="AE889" s="128" t="str">
        <f>IF(Tab.o1[[#This Row],[a1]]=1,[1]!T.in.A[[#This Row],[oo10]],"")</f>
        <v/>
      </c>
      <c r="AF889" s="118" t="str">
        <f>IF(Tab.o1[[#This Row],[a1]]=1,ABS(Tab.o1[[#This Row],[DIF_Target.]]*Tab.o1[[#This Row],[PDF2]]*Tab.o1[[#This Row],[IN]]),"")</f>
        <v/>
      </c>
      <c r="AG889" s="129" t="str">
        <f>IF(Tab.o1[[#This Row],[a1]]=1,Tab.o1[[#This Row],[rW]]^2,"")</f>
        <v/>
      </c>
      <c r="AH889" s="130" t="str">
        <f>IF(Tab.o1[[#This Row],[a1]]=1,IF(AH$3=0,Tab.o1[[#This Row],[rW2]],0.01+0.94*Tab.o1[[#This Row],[rW2]]/SUM(Tab.o1[rW2])),"")</f>
        <v/>
      </c>
      <c r="AI889" s="128" t="str">
        <f>IF(Tab.o1[[#This Row],[a1]]=1,1/Tab.o1[[#This Row],[PDF]],"")</f>
        <v/>
      </c>
      <c r="AJ889" s="131" t="str">
        <f>IF(Tab.o1[[#This Row],[a1]]=1,[1]!T_AA[[#This Row],[IN'']]*[1]!T_AA[[#This Row],[Qde'']],"")</f>
        <v/>
      </c>
      <c r="AK889" s="132" t="str">
        <f>IF(Tab.o1[[#This Row],[a1]]=1,IF(AK$1=1,Tab.o1[[#This Row],[MED]]+Tab.o1[[#This Row],[MOD]]-Tab.o1[[#This Row],[MED]],""),"")</f>
        <v/>
      </c>
      <c r="AL889" s="133" t="str">
        <f>IF(Tab.o1[[#This Row],[a1]]=1,[1]!T.in.A[[#This Row],[oo16]],"")</f>
        <v/>
      </c>
      <c r="AM889" s="133" t="str">
        <f>IF(Tab.o1[[#This Row],[a1]]=1,IF(AM$3=1,[1]!T.in.A[[#This Row],[Σo16]],""),"")</f>
        <v/>
      </c>
      <c r="AN889" s="126" t="str">
        <f>IF(Tab.o1[[#This Row],[a1]]=1,[1]!T.in.A[[#This Row],[Σp5]],"")</f>
        <v/>
      </c>
      <c r="AO889" s="126" t="str">
        <f>IF(Tab.o1[[#This Row],[a1]]=1,IF(AO$3=1,[1]!T.in.A[[#This Row],[Σp5]],""),"")</f>
        <v/>
      </c>
      <c r="AP889" s="110" t="str">
        <f>IF(Tab.o1[[#This Row],[a1]]=1,IF(ISNUMBER(Tab.o1[[#This Row],[i.]]),NORMDIST(Tab.o1[[#This Row],[Za]],0,1,FALSE)*Tab.o1[[#This Row],[i.]],0),"")</f>
        <v/>
      </c>
      <c r="AQ889" s="125" t="str">
        <f>IF(Tab.o1[[#This Row],[a1]]=1,ABS(Tab.o1[[#This Row],[MOD]]-AVERAGE(Tab.o1[MOD])),"")</f>
        <v/>
      </c>
      <c r="AR889" s="134" t="str">
        <f>IF(Tab.o1[[#This Row],[a1]]=1,Tab.o1[[#This Row],[OBS]]/SUM(Tab.o1[OBS]),"")</f>
        <v/>
      </c>
      <c r="AS889" s="135" t="str">
        <f>IF(ISNUMBER(Tab.o1[[#This Row],[a1]]),ROW()-4,"")</f>
        <v/>
      </c>
      <c r="AT889" s="136" t="str">
        <f>Tab.o1[[#This Row],[MOD]]</f>
        <v/>
      </c>
      <c r="AU889" s="137" t="str">
        <f t="shared" si="53"/>
        <v/>
      </c>
      <c r="AV889" s="138" t="str">
        <f t="shared" si="54"/>
        <v/>
      </c>
      <c r="AW889" s="138" t="str">
        <f t="shared" si="55"/>
        <v/>
      </c>
      <c r="AX889" s="139" t="str">
        <f>[1]!T.in.A[[#This Row],[ID_T_manu]]</f>
        <v/>
      </c>
      <c r="AY889" s="140" t="str">
        <f>IF(ISNUMBER(Tab.o1[[#This Row],[a1]]),IF(AND(Tab.o1[[#This Row],[a1]]=1,Tab.o1[[#This Row],[b1]]&lt;=AY$4),#REF!,AY888),"")</f>
        <v/>
      </c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6"/>
      <c r="BO889" s="26"/>
      <c r="BP889" s="26"/>
      <c r="BQ889" s="26"/>
      <c r="BR889" s="26"/>
      <c r="BS889" s="26"/>
      <c r="BT889" s="26"/>
      <c r="BU889" s="26"/>
      <c r="BV889" s="26"/>
      <c r="BW889" s="26"/>
      <c r="BX889" s="26"/>
      <c r="BY889" s="26"/>
      <c r="BZ889" s="26"/>
      <c r="CA889" s="26"/>
    </row>
    <row r="890" spans="1:79" s="143" customFormat="1" ht="15.75" hidden="1">
      <c r="A890" s="109">
        <v>8.0000000000000013E-6</v>
      </c>
      <c r="B890" s="110">
        <f t="shared" si="52"/>
        <v>890</v>
      </c>
      <c r="C890" s="111" t="str">
        <f>IF(C$1=[1]!T.in.A[[#This Row],[oo2]],1,"")</f>
        <v/>
      </c>
      <c r="D890" s="112" t="str">
        <f>IF(Tab.o1[[#This Row],[a1]]=1,IF(SUM(C890:C891)=0,0,IF(SUM(C889:C890)=1,1,IF(SUM(C889:C891)&gt;1,D889+1,0))),"")</f>
        <v/>
      </c>
      <c r="E890" s="113" t="str">
        <f>IF(Tab.o1[[#This Row],[a1]]=1,[1]!T.in.A[[#This Row],[oo1]],"")</f>
        <v/>
      </c>
      <c r="F890" s="113" t="str">
        <f>IF(Tab.o1[[#This Row],[a1]]=1,[1]!T.in.A[[#This Row],[pp1]],"")</f>
        <v/>
      </c>
      <c r="G890" s="114" t="str">
        <f>IF(Tab.o1[[#This Row],[a1]]=1,G$2+IF(G$1=1,0,Tab.o1[[#This Row],[.x1]])+[1]!T.in.A[[#This Row],[oo3]],"")</f>
        <v/>
      </c>
      <c r="H890" s="115" t="str">
        <f>IF(Tab.o1[[#This Row],[a1]]=1,IF(H$2=0,0,IF(G$1=1,0,Tab.o1[[#This Row],[.x1]])+[1]!T.in.A[[#This Row],[oo4]]),"")</f>
        <v/>
      </c>
      <c r="I890" s="116" t="str">
        <f>IF(Tab.o1[[#This Row],[a1]]=1,IF(J$2=0,Tab.o1[[#This Row],[MED]],Tab.o1[[#This Row],[MOD]]),"")</f>
        <v/>
      </c>
      <c r="J890" s="116" t="str">
        <f>IF(Tab.o1[[#This Row],[a1]]=1,((Tab.o1[[#This Row],[DIF_Target.]]-AVERAGE(Tab.o1[DIF_Target.]))/_xlfn.STDEV.P(Tab.o1[DIF_Target.])),"")</f>
        <v/>
      </c>
      <c r="K890" s="117" t="str">
        <f>IF(Tab.o1[[#This Row],[a1]]=1,IF(J$2=0,Tab.o1[[#This Row],[MOD]]-Tab.o1[[#This Row],[B]],IF(J$2=1,0,-Tab.o1[[#This Row],[MED]])+Tab.o1[[#This Row],[B]]),"")</f>
        <v/>
      </c>
      <c r="L890" s="117" t="str">
        <f ca="1">IF(Tab.o1[[#This Row],[DIF_Target]]=0,IF(L$2=0,Tab.o1[[#This Row],[DIF_Target]],AVERAGE(OFFSET(Tab.o1[[#This Row],[DIF_Target]],1,0,L$3,1)))/3,Tab.o1[[#This Row],[DIF_Target]])</f>
        <v/>
      </c>
      <c r="M890" s="118" t="str">
        <f>IF(Tab.o1[[#This Row],[a1]]=1,NORMSDIST(Tab.o1[[#This Row],[Za]]),"")</f>
        <v/>
      </c>
      <c r="N890" s="119" t="str">
        <f>IF(Tab.o1[[#This Row],[a1]]=1,((Tab.o1[[#This Row],[MedMod]]-AVERAGE(Tab.o1[MedMod]))/_xlfn.STDEV.P(Tab.o1[MedMod])*H$1205)+G$1205,"")</f>
        <v/>
      </c>
      <c r="O890" s="141" t="str">
        <f>IF(Tab.o1[[#This Row],[a1]]=1,Tab.o1[[#This Row],[Zb]]*_xlfn.STDEV.P(Tab.o1[MedMod])+AVERAGE(Tab.o1[MedMod]),"")</f>
        <v/>
      </c>
      <c r="P890" s="117" t="str">
        <f ca="1">IF(Tab.o1[[#This Row],[B]]=0,AVERAGE(OFFSET(Tab.o1[[#This Row],[B]],1,0,L$3,1)),Tab.o1[[#This Row],[B]])</f>
        <v/>
      </c>
      <c r="Q890" s="121" t="str">
        <f>IF(Tab.o1[[#This Row],[a1]]=1,NORMSDIST(Tab.o1[[#This Row],[Zb]]),"")</f>
        <v/>
      </c>
      <c r="R890" s="122" t="str">
        <f>IF(Tab.o1[[#This Row],[a1]]=1,((Tab.o1[[#This Row],[MedMod]]-AVERAGE(Tab.o1[MedMod]))/_xlfn.STDEV.P(Tab.o1[MedMod])*H$1203)+G$1203,"")</f>
        <v/>
      </c>
      <c r="S890" s="122" t="str">
        <f>IF(Tab.o1[[#This Row],[a1]]=1,((Tab.o1[[#This Row],[MedMod]]-AVERAGE(Tab.o1[MedMod]))/_xlfn.STDEV.P(Tab.o1[MedMod])*H$1204)+G$1204,"")</f>
        <v/>
      </c>
      <c r="T890" s="123" t="str">
        <f>IF(Tab.o1[[#This Row],[a1]]=1,Tab.o1[[#This Row],[Z-]]*_xlfn.STDEV.P(Tab.o1[B])+AVERAGE(Tab.o1[B]),"")</f>
        <v/>
      </c>
      <c r="U890" s="123" t="str">
        <f>IF(Tab.o1[[#This Row],[a1]]=1,Tab.o1[[#This Row],[z+]]*_xlfn.STDEV.P(Tab.o1[B])+AVERAGE(Tab.o1[B]),"")</f>
        <v/>
      </c>
      <c r="V890" s="124" t="str">
        <f>IF(Tab.o1[[#This Row],[a1]]=1,ABS((ABS(Tab.o1[[#This Row],[Red]]-Tab.o1[[#This Row],[Blue]]))),"")</f>
        <v/>
      </c>
      <c r="W890" s="125" t="str">
        <f>IF(Tab.o1[[#This Row],[a1]]=1,IF(W$3=0,1,Tab.o1[[#This Row],[Amp.]]*1/_xlfn.MINIFS(Tab.o1[Amp.],Tab.o1[Amp.],"&lt;&gt;0")),"")</f>
        <v/>
      </c>
      <c r="X890" s="126" t="str">
        <f>IF(Tab.o1[[#This Row],[a1]]=1,IF(ISNUMBER(Tab.o1[[#This Row],[i.]]),NORMDIST(Tab.o1[[#This Row],[Za]],0,1,FALSE)*Tab.o1[[#This Row],[i.]],AP$3),"")</f>
        <v/>
      </c>
      <c r="Y890" s="126" t="str">
        <f>IF(Tab.o1[[#This Row],[a1]]=1,0.01+0.94*Tab.o1[[#This Row],[PDF]]/MAX(Tab.o1[PDF]),"")</f>
        <v/>
      </c>
      <c r="Z890" s="126" t="str">
        <f>IF(Tab.o1[[#This Row],[a1]]=1,0.01+0.94*Tab.o1[[#This Row],[W1_PDF]]/MAX(Tab.o1[W1_PDF]),"")</f>
        <v/>
      </c>
      <c r="AA890" s="118" t="str">
        <f>IF(Tab.o1[[#This Row],[a1]]=1,ABS([1]!T.in.A[[#This Row],[oo6]]),"")</f>
        <v/>
      </c>
      <c r="AB890" s="127" t="str">
        <f>IF(Tab.o1[[#This Row],[a1]]=1,IF(AE$3=0,"",IF(AB$3=0,ABS([1]!T.in.A[[#This Row],[oo9]]),ABS(Tab.o1[[#This Row],[DIF_Target.]]*Tab.o1[[#This Row],[W1_PDF]]))),"")</f>
        <v/>
      </c>
      <c r="AC890" s="127" t="str">
        <f>IF(G$1=1,"",IF(Tab.o1[[#This Row],[a1]]=1,Tab.o1[[#This Row],[Wr]]^2,""))</f>
        <v/>
      </c>
      <c r="AD890" s="118" t="str">
        <f>IF(Tab.o1[[#This Row],[a1]]=1,IF(AE$3=0,"",Tab.o1[[#This Row],[Wr2]]/SUM(Tab.o1[Wr2])),"")</f>
        <v/>
      </c>
      <c r="AE890" s="128" t="str">
        <f>IF(Tab.o1[[#This Row],[a1]]=1,[1]!T.in.A[[#This Row],[oo10]],"")</f>
        <v/>
      </c>
      <c r="AF890" s="118" t="str">
        <f>IF(Tab.o1[[#This Row],[a1]]=1,ABS(Tab.o1[[#This Row],[DIF_Target.]]*Tab.o1[[#This Row],[PDF2]]*Tab.o1[[#This Row],[IN]]),"")</f>
        <v/>
      </c>
      <c r="AG890" s="129" t="str">
        <f>IF(Tab.o1[[#This Row],[a1]]=1,Tab.o1[[#This Row],[rW]]^2,"")</f>
        <v/>
      </c>
      <c r="AH890" s="130" t="str">
        <f>IF(Tab.o1[[#This Row],[a1]]=1,IF(AH$3=0,Tab.o1[[#This Row],[rW2]],0.01+0.94*Tab.o1[[#This Row],[rW2]]/SUM(Tab.o1[rW2])),"")</f>
        <v/>
      </c>
      <c r="AI890" s="128" t="str">
        <f>IF(Tab.o1[[#This Row],[a1]]=1,1/Tab.o1[[#This Row],[PDF]],"")</f>
        <v/>
      </c>
      <c r="AJ890" s="131" t="str">
        <f>IF(Tab.o1[[#This Row],[a1]]=1,[1]!T_AA[[#This Row],[IN'']]*[1]!T_AA[[#This Row],[Qde'']],"")</f>
        <v/>
      </c>
      <c r="AK890" s="132" t="str">
        <f>IF(Tab.o1[[#This Row],[a1]]=1,IF(AK$1=1,Tab.o1[[#This Row],[MED]]+Tab.o1[[#This Row],[MOD]]-Tab.o1[[#This Row],[MED]],""),"")</f>
        <v/>
      </c>
      <c r="AL890" s="133" t="str">
        <f>IF(Tab.o1[[#This Row],[a1]]=1,[1]!T.in.A[[#This Row],[oo16]],"")</f>
        <v/>
      </c>
      <c r="AM890" s="133" t="str">
        <f>IF(Tab.o1[[#This Row],[a1]]=1,IF(AM$3=1,[1]!T.in.A[[#This Row],[Σo16]],""),"")</f>
        <v/>
      </c>
      <c r="AN890" s="126" t="str">
        <f>IF(Tab.o1[[#This Row],[a1]]=1,[1]!T.in.A[[#This Row],[Σp5]],"")</f>
        <v/>
      </c>
      <c r="AO890" s="126" t="str">
        <f>IF(Tab.o1[[#This Row],[a1]]=1,IF(AO$3=1,[1]!T.in.A[[#This Row],[Σp5]],""),"")</f>
        <v/>
      </c>
      <c r="AP890" s="110" t="str">
        <f>IF(Tab.o1[[#This Row],[a1]]=1,IF(ISNUMBER(Tab.o1[[#This Row],[i.]]),NORMDIST(Tab.o1[[#This Row],[Za]],0,1,FALSE)*Tab.o1[[#This Row],[i.]],0),"")</f>
        <v/>
      </c>
      <c r="AQ890" s="125" t="str">
        <f>IF(Tab.o1[[#This Row],[a1]]=1,ABS(Tab.o1[[#This Row],[MOD]]-AVERAGE(Tab.o1[MOD])),"")</f>
        <v/>
      </c>
      <c r="AR890" s="134" t="str">
        <f>IF(Tab.o1[[#This Row],[a1]]=1,Tab.o1[[#This Row],[OBS]]/SUM(Tab.o1[OBS]),"")</f>
        <v/>
      </c>
      <c r="AS890" s="135" t="str">
        <f>IF(ISNUMBER(Tab.o1[[#This Row],[a1]]),ROW()-4,"")</f>
        <v/>
      </c>
      <c r="AT890" s="136" t="str">
        <f>Tab.o1[[#This Row],[MOD]]</f>
        <v/>
      </c>
      <c r="AU890" s="137" t="str">
        <f t="shared" si="53"/>
        <v/>
      </c>
      <c r="AV890" s="138" t="str">
        <f t="shared" si="54"/>
        <v/>
      </c>
      <c r="AW890" s="138" t="str">
        <f t="shared" si="55"/>
        <v/>
      </c>
      <c r="AX890" s="139" t="str">
        <f>[1]!T.in.A[[#This Row],[ID_T_manu]]</f>
        <v/>
      </c>
      <c r="AY890" s="140" t="str">
        <f>IF(ISNUMBER(Tab.o1[[#This Row],[a1]]),IF(AND(Tab.o1[[#This Row],[a1]]=1,Tab.o1[[#This Row],[b1]]&lt;=AY$4),#REF!,AY889),"")</f>
        <v/>
      </c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6"/>
      <c r="BO890" s="26"/>
      <c r="BP890" s="26"/>
      <c r="BQ890" s="26"/>
      <c r="BR890" s="26"/>
      <c r="BS890" s="26"/>
      <c r="BT890" s="26"/>
      <c r="BU890" s="26"/>
      <c r="BV890" s="26"/>
      <c r="BW890" s="26"/>
      <c r="BX890" s="26"/>
      <c r="BY890" s="26"/>
      <c r="BZ890" s="26"/>
      <c r="CA890" s="26"/>
    </row>
    <row r="891" spans="1:79" s="143" customFormat="1" ht="15.75" hidden="1">
      <c r="A891" s="109">
        <v>-1.0000000000000002E-6</v>
      </c>
      <c r="B891" s="110">
        <f t="shared" si="52"/>
        <v>891</v>
      </c>
      <c r="C891" s="111" t="str">
        <f>IF(C$1=[1]!T.in.A[[#This Row],[oo2]],1,"")</f>
        <v/>
      </c>
      <c r="D891" s="112" t="str">
        <f>IF(Tab.o1[[#This Row],[a1]]=1,IF(SUM(C891:C892)=0,0,IF(SUM(C890:C891)=1,1,IF(SUM(C890:C892)&gt;1,D890+1,0))),"")</f>
        <v/>
      </c>
      <c r="E891" s="113" t="str">
        <f>IF(Tab.o1[[#This Row],[a1]]=1,[1]!T.in.A[[#This Row],[oo1]],"")</f>
        <v/>
      </c>
      <c r="F891" s="113" t="str">
        <f>IF(Tab.o1[[#This Row],[a1]]=1,[1]!T.in.A[[#This Row],[pp1]],"")</f>
        <v/>
      </c>
      <c r="G891" s="114" t="str">
        <f>IF(Tab.o1[[#This Row],[a1]]=1,G$2+IF(G$1=1,0,Tab.o1[[#This Row],[.x1]])+[1]!T.in.A[[#This Row],[oo3]],"")</f>
        <v/>
      </c>
      <c r="H891" s="115" t="str">
        <f>IF(Tab.o1[[#This Row],[a1]]=1,IF(H$2=0,0,IF(G$1=1,0,Tab.o1[[#This Row],[.x1]])+[1]!T.in.A[[#This Row],[oo4]]),"")</f>
        <v/>
      </c>
      <c r="I891" s="116" t="str">
        <f>IF(Tab.o1[[#This Row],[a1]]=1,IF(J$2=0,Tab.o1[[#This Row],[MED]],Tab.o1[[#This Row],[MOD]]),"")</f>
        <v/>
      </c>
      <c r="J891" s="116" t="str">
        <f>IF(Tab.o1[[#This Row],[a1]]=1,((Tab.o1[[#This Row],[DIF_Target.]]-AVERAGE(Tab.o1[DIF_Target.]))/_xlfn.STDEV.P(Tab.o1[DIF_Target.])),"")</f>
        <v/>
      </c>
      <c r="K891" s="117" t="str">
        <f>IF(Tab.o1[[#This Row],[a1]]=1,IF(J$2=0,Tab.o1[[#This Row],[MOD]]-Tab.o1[[#This Row],[B]],IF(J$2=1,0,-Tab.o1[[#This Row],[MED]])+Tab.o1[[#This Row],[B]]),"")</f>
        <v/>
      </c>
      <c r="L891" s="117" t="str">
        <f ca="1">IF(Tab.o1[[#This Row],[DIF_Target]]=0,IF(L$2=0,Tab.o1[[#This Row],[DIF_Target]],AVERAGE(OFFSET(Tab.o1[[#This Row],[DIF_Target]],1,0,L$3,1)))/3,Tab.o1[[#This Row],[DIF_Target]])</f>
        <v/>
      </c>
      <c r="M891" s="118" t="str">
        <f>IF(Tab.o1[[#This Row],[a1]]=1,NORMSDIST(Tab.o1[[#This Row],[Za]]),"")</f>
        <v/>
      </c>
      <c r="N891" s="119" t="str">
        <f>IF(Tab.o1[[#This Row],[a1]]=1,((Tab.o1[[#This Row],[MedMod]]-AVERAGE(Tab.o1[MedMod]))/_xlfn.STDEV.P(Tab.o1[MedMod])*H$1205)+G$1205,"")</f>
        <v/>
      </c>
      <c r="O891" s="141" t="str">
        <f>IF(Tab.o1[[#This Row],[a1]]=1,Tab.o1[[#This Row],[Zb]]*_xlfn.STDEV.P(Tab.o1[MedMod])+AVERAGE(Tab.o1[MedMod]),"")</f>
        <v/>
      </c>
      <c r="P891" s="117" t="str">
        <f ca="1">IF(Tab.o1[[#This Row],[B]]=0,AVERAGE(OFFSET(Tab.o1[[#This Row],[B]],1,0,L$3,1)),Tab.o1[[#This Row],[B]])</f>
        <v/>
      </c>
      <c r="Q891" s="121" t="str">
        <f>IF(Tab.o1[[#This Row],[a1]]=1,NORMSDIST(Tab.o1[[#This Row],[Zb]]),"")</f>
        <v/>
      </c>
      <c r="R891" s="122" t="str">
        <f>IF(Tab.o1[[#This Row],[a1]]=1,((Tab.o1[[#This Row],[MedMod]]-AVERAGE(Tab.o1[MedMod]))/_xlfn.STDEV.P(Tab.o1[MedMod])*H$1203)+G$1203,"")</f>
        <v/>
      </c>
      <c r="S891" s="122" t="str">
        <f>IF(Tab.o1[[#This Row],[a1]]=1,((Tab.o1[[#This Row],[MedMod]]-AVERAGE(Tab.o1[MedMod]))/_xlfn.STDEV.P(Tab.o1[MedMod])*H$1204)+G$1204,"")</f>
        <v/>
      </c>
      <c r="T891" s="123" t="str">
        <f>IF(Tab.o1[[#This Row],[a1]]=1,Tab.o1[[#This Row],[Z-]]*_xlfn.STDEV.P(Tab.o1[B])+AVERAGE(Tab.o1[B]),"")</f>
        <v/>
      </c>
      <c r="U891" s="123" t="str">
        <f>IF(Tab.o1[[#This Row],[a1]]=1,Tab.o1[[#This Row],[z+]]*_xlfn.STDEV.P(Tab.o1[B])+AVERAGE(Tab.o1[B]),"")</f>
        <v/>
      </c>
      <c r="V891" s="124" t="str">
        <f>IF(Tab.o1[[#This Row],[a1]]=1,ABS((ABS(Tab.o1[[#This Row],[Red]]-Tab.o1[[#This Row],[Blue]]))),"")</f>
        <v/>
      </c>
      <c r="W891" s="125" t="str">
        <f>IF(Tab.o1[[#This Row],[a1]]=1,IF(W$3=0,1,Tab.o1[[#This Row],[Amp.]]*1/_xlfn.MINIFS(Tab.o1[Amp.],Tab.o1[Amp.],"&lt;&gt;0")),"")</f>
        <v/>
      </c>
      <c r="X891" s="126" t="str">
        <f>IF(Tab.o1[[#This Row],[a1]]=1,IF(ISNUMBER(Tab.o1[[#This Row],[i.]]),NORMDIST(Tab.o1[[#This Row],[Za]],0,1,FALSE)*Tab.o1[[#This Row],[i.]],AP$3),"")</f>
        <v/>
      </c>
      <c r="Y891" s="126" t="str">
        <f>IF(Tab.o1[[#This Row],[a1]]=1,0.01+0.94*Tab.o1[[#This Row],[PDF]]/MAX(Tab.o1[PDF]),"")</f>
        <v/>
      </c>
      <c r="Z891" s="126" t="str">
        <f>IF(Tab.o1[[#This Row],[a1]]=1,0.01+0.94*Tab.o1[[#This Row],[W1_PDF]]/MAX(Tab.o1[W1_PDF]),"")</f>
        <v/>
      </c>
      <c r="AA891" s="118" t="str">
        <f>IF(Tab.o1[[#This Row],[a1]]=1,ABS([1]!T.in.A[[#This Row],[oo6]]),"")</f>
        <v/>
      </c>
      <c r="AB891" s="127" t="str">
        <f>IF(Tab.o1[[#This Row],[a1]]=1,IF(AE$3=0,"",IF(AB$3=0,ABS([1]!T.in.A[[#This Row],[oo9]]),ABS(Tab.o1[[#This Row],[DIF_Target.]]*Tab.o1[[#This Row],[W1_PDF]]))),"")</f>
        <v/>
      </c>
      <c r="AC891" s="127" t="str">
        <f>IF(G$1=1,"",IF(Tab.o1[[#This Row],[a1]]=1,Tab.o1[[#This Row],[Wr]]^2,""))</f>
        <v/>
      </c>
      <c r="AD891" s="118" t="str">
        <f>IF(Tab.o1[[#This Row],[a1]]=1,IF(AE$3=0,"",Tab.o1[[#This Row],[Wr2]]/SUM(Tab.o1[Wr2])),"")</f>
        <v/>
      </c>
      <c r="AE891" s="128" t="str">
        <f>IF(Tab.o1[[#This Row],[a1]]=1,[1]!T.in.A[[#This Row],[oo10]],"")</f>
        <v/>
      </c>
      <c r="AF891" s="118" t="str">
        <f>IF(Tab.o1[[#This Row],[a1]]=1,ABS(Tab.o1[[#This Row],[DIF_Target.]]*Tab.o1[[#This Row],[PDF2]]*Tab.o1[[#This Row],[IN]]),"")</f>
        <v/>
      </c>
      <c r="AG891" s="129" t="str">
        <f>IF(Tab.o1[[#This Row],[a1]]=1,Tab.o1[[#This Row],[rW]]^2,"")</f>
        <v/>
      </c>
      <c r="AH891" s="130" t="str">
        <f>IF(Tab.o1[[#This Row],[a1]]=1,IF(AH$3=0,Tab.o1[[#This Row],[rW2]],0.01+0.94*Tab.o1[[#This Row],[rW2]]/SUM(Tab.o1[rW2])),"")</f>
        <v/>
      </c>
      <c r="AI891" s="128" t="str">
        <f>IF(Tab.o1[[#This Row],[a1]]=1,1/Tab.o1[[#This Row],[PDF]],"")</f>
        <v/>
      </c>
      <c r="AJ891" s="131" t="str">
        <f>IF(Tab.o1[[#This Row],[a1]]=1,[1]!T_AA[[#This Row],[IN'']]*[1]!T_AA[[#This Row],[Qde'']],"")</f>
        <v/>
      </c>
      <c r="AK891" s="132" t="str">
        <f>IF(Tab.o1[[#This Row],[a1]]=1,IF(AK$1=1,Tab.o1[[#This Row],[MED]]+Tab.o1[[#This Row],[MOD]]-Tab.o1[[#This Row],[MED]],""),"")</f>
        <v/>
      </c>
      <c r="AL891" s="133" t="str">
        <f>IF(Tab.o1[[#This Row],[a1]]=1,[1]!T.in.A[[#This Row],[oo16]],"")</f>
        <v/>
      </c>
      <c r="AM891" s="133" t="str">
        <f>IF(Tab.o1[[#This Row],[a1]]=1,IF(AM$3=1,[1]!T.in.A[[#This Row],[Σo16]],""),"")</f>
        <v/>
      </c>
      <c r="AN891" s="126" t="str">
        <f>IF(Tab.o1[[#This Row],[a1]]=1,[1]!T.in.A[[#This Row],[Σp5]],"")</f>
        <v/>
      </c>
      <c r="AO891" s="126" t="str">
        <f>IF(Tab.o1[[#This Row],[a1]]=1,IF(AO$3=1,[1]!T.in.A[[#This Row],[Σp5]],""),"")</f>
        <v/>
      </c>
      <c r="AP891" s="110" t="str">
        <f>IF(Tab.o1[[#This Row],[a1]]=1,IF(ISNUMBER(Tab.o1[[#This Row],[i.]]),NORMDIST(Tab.o1[[#This Row],[Za]],0,1,FALSE)*Tab.o1[[#This Row],[i.]],0),"")</f>
        <v/>
      </c>
      <c r="AQ891" s="125" t="str">
        <f>IF(Tab.o1[[#This Row],[a1]]=1,ABS(Tab.o1[[#This Row],[MOD]]-AVERAGE(Tab.o1[MOD])),"")</f>
        <v/>
      </c>
      <c r="AR891" s="134" t="str">
        <f>IF(Tab.o1[[#This Row],[a1]]=1,Tab.o1[[#This Row],[OBS]]/SUM(Tab.o1[OBS]),"")</f>
        <v/>
      </c>
      <c r="AS891" s="135" t="str">
        <f>IF(ISNUMBER(Tab.o1[[#This Row],[a1]]),ROW()-4,"")</f>
        <v/>
      </c>
      <c r="AT891" s="136" t="str">
        <f>Tab.o1[[#This Row],[MOD]]</f>
        <v/>
      </c>
      <c r="AU891" s="137" t="str">
        <f t="shared" si="53"/>
        <v/>
      </c>
      <c r="AV891" s="138" t="str">
        <f t="shared" si="54"/>
        <v/>
      </c>
      <c r="AW891" s="138" t="str">
        <f t="shared" si="55"/>
        <v/>
      </c>
      <c r="AX891" s="139" t="str">
        <f>[1]!T.in.A[[#This Row],[ID_T_manu]]</f>
        <v/>
      </c>
      <c r="AY891" s="140" t="str">
        <f>IF(ISNUMBER(Tab.o1[[#This Row],[a1]]),IF(AND(Tab.o1[[#This Row],[a1]]=1,Tab.o1[[#This Row],[b1]]&lt;=AY$4),#REF!,AY890),"")</f>
        <v/>
      </c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6"/>
      <c r="BO891" s="26"/>
      <c r="BP891" s="26"/>
      <c r="BQ891" s="26"/>
      <c r="BR891" s="26"/>
      <c r="BS891" s="26"/>
      <c r="BT891" s="26"/>
      <c r="BU891" s="26"/>
      <c r="BV891" s="26"/>
      <c r="BW891" s="26"/>
      <c r="BX891" s="26"/>
      <c r="BY891" s="26"/>
      <c r="BZ891" s="26"/>
      <c r="CA891" s="26"/>
    </row>
    <row r="892" spans="1:79" s="143" customFormat="1" ht="15.75" hidden="1">
      <c r="A892" s="109">
        <v>2.0000000000000003E-6</v>
      </c>
      <c r="B892" s="110">
        <f t="shared" si="52"/>
        <v>892</v>
      </c>
      <c r="C892" s="111" t="str">
        <f>IF(C$1=[1]!T.in.A[[#This Row],[oo2]],1,"")</f>
        <v/>
      </c>
      <c r="D892" s="112" t="str">
        <f>IF(Tab.o1[[#This Row],[a1]]=1,IF(SUM(C892:C893)=0,0,IF(SUM(C891:C892)=1,1,IF(SUM(C891:C893)&gt;1,D891+1,0))),"")</f>
        <v/>
      </c>
      <c r="E892" s="113" t="str">
        <f>IF(Tab.o1[[#This Row],[a1]]=1,[1]!T.in.A[[#This Row],[oo1]],"")</f>
        <v/>
      </c>
      <c r="F892" s="113" t="str">
        <f>IF(Tab.o1[[#This Row],[a1]]=1,[1]!T.in.A[[#This Row],[pp1]],"")</f>
        <v/>
      </c>
      <c r="G892" s="114" t="str">
        <f>IF(Tab.o1[[#This Row],[a1]]=1,G$2+IF(G$1=1,0,Tab.o1[[#This Row],[.x1]])+[1]!T.in.A[[#This Row],[oo3]],"")</f>
        <v/>
      </c>
      <c r="H892" s="115" t="str">
        <f>IF(Tab.o1[[#This Row],[a1]]=1,IF(H$2=0,0,IF(G$1=1,0,Tab.o1[[#This Row],[.x1]])+[1]!T.in.A[[#This Row],[oo4]]),"")</f>
        <v/>
      </c>
      <c r="I892" s="116" t="str">
        <f>IF(Tab.o1[[#This Row],[a1]]=1,IF(J$2=0,Tab.o1[[#This Row],[MED]],Tab.o1[[#This Row],[MOD]]),"")</f>
        <v/>
      </c>
      <c r="J892" s="116" t="str">
        <f>IF(Tab.o1[[#This Row],[a1]]=1,((Tab.o1[[#This Row],[DIF_Target.]]-AVERAGE(Tab.o1[DIF_Target.]))/_xlfn.STDEV.P(Tab.o1[DIF_Target.])),"")</f>
        <v/>
      </c>
      <c r="K892" s="117" t="str">
        <f>IF(Tab.o1[[#This Row],[a1]]=1,IF(J$2=0,Tab.o1[[#This Row],[MOD]]-Tab.o1[[#This Row],[B]],IF(J$2=1,0,-Tab.o1[[#This Row],[MED]])+Tab.o1[[#This Row],[B]]),"")</f>
        <v/>
      </c>
      <c r="L892" s="117" t="str">
        <f ca="1">IF(Tab.o1[[#This Row],[DIF_Target]]=0,IF(L$2=0,Tab.o1[[#This Row],[DIF_Target]],AVERAGE(OFFSET(Tab.o1[[#This Row],[DIF_Target]],1,0,L$3,1)))/3,Tab.o1[[#This Row],[DIF_Target]])</f>
        <v/>
      </c>
      <c r="M892" s="118" t="str">
        <f>IF(Tab.o1[[#This Row],[a1]]=1,NORMSDIST(Tab.o1[[#This Row],[Za]]),"")</f>
        <v/>
      </c>
      <c r="N892" s="119" t="str">
        <f>IF(Tab.o1[[#This Row],[a1]]=1,((Tab.o1[[#This Row],[MedMod]]-AVERAGE(Tab.o1[MedMod]))/_xlfn.STDEV.P(Tab.o1[MedMod])*H$1205)+G$1205,"")</f>
        <v/>
      </c>
      <c r="O892" s="141" t="str">
        <f>IF(Tab.o1[[#This Row],[a1]]=1,Tab.o1[[#This Row],[Zb]]*_xlfn.STDEV.P(Tab.o1[MedMod])+AVERAGE(Tab.o1[MedMod]),"")</f>
        <v/>
      </c>
      <c r="P892" s="117" t="str">
        <f ca="1">IF(Tab.o1[[#This Row],[B]]=0,AVERAGE(OFFSET(Tab.o1[[#This Row],[B]],1,0,L$3,1)),Tab.o1[[#This Row],[B]])</f>
        <v/>
      </c>
      <c r="Q892" s="121" t="str">
        <f>IF(Tab.o1[[#This Row],[a1]]=1,NORMSDIST(Tab.o1[[#This Row],[Zb]]),"")</f>
        <v/>
      </c>
      <c r="R892" s="122" t="str">
        <f>IF(Tab.o1[[#This Row],[a1]]=1,((Tab.o1[[#This Row],[MedMod]]-AVERAGE(Tab.o1[MedMod]))/_xlfn.STDEV.P(Tab.o1[MedMod])*H$1203)+G$1203,"")</f>
        <v/>
      </c>
      <c r="S892" s="122" t="str">
        <f>IF(Tab.o1[[#This Row],[a1]]=1,((Tab.o1[[#This Row],[MedMod]]-AVERAGE(Tab.o1[MedMod]))/_xlfn.STDEV.P(Tab.o1[MedMod])*H$1204)+G$1204,"")</f>
        <v/>
      </c>
      <c r="T892" s="123" t="str">
        <f>IF(Tab.o1[[#This Row],[a1]]=1,Tab.o1[[#This Row],[Z-]]*_xlfn.STDEV.P(Tab.o1[B])+AVERAGE(Tab.o1[B]),"")</f>
        <v/>
      </c>
      <c r="U892" s="123" t="str">
        <f>IF(Tab.o1[[#This Row],[a1]]=1,Tab.o1[[#This Row],[z+]]*_xlfn.STDEV.P(Tab.o1[B])+AVERAGE(Tab.o1[B]),"")</f>
        <v/>
      </c>
      <c r="V892" s="124" t="str">
        <f>IF(Tab.o1[[#This Row],[a1]]=1,ABS((ABS(Tab.o1[[#This Row],[Red]]-Tab.o1[[#This Row],[Blue]]))),"")</f>
        <v/>
      </c>
      <c r="W892" s="125" t="str">
        <f>IF(Tab.o1[[#This Row],[a1]]=1,IF(W$3=0,1,Tab.o1[[#This Row],[Amp.]]*1/_xlfn.MINIFS(Tab.o1[Amp.],Tab.o1[Amp.],"&lt;&gt;0")),"")</f>
        <v/>
      </c>
      <c r="X892" s="126" t="str">
        <f>IF(Tab.o1[[#This Row],[a1]]=1,IF(ISNUMBER(Tab.o1[[#This Row],[i.]]),NORMDIST(Tab.o1[[#This Row],[Za]],0,1,FALSE)*Tab.o1[[#This Row],[i.]],AP$3),"")</f>
        <v/>
      </c>
      <c r="Y892" s="126" t="str">
        <f>IF(Tab.o1[[#This Row],[a1]]=1,0.01+0.94*Tab.o1[[#This Row],[PDF]]/MAX(Tab.o1[PDF]),"")</f>
        <v/>
      </c>
      <c r="Z892" s="126" t="str">
        <f>IF(Tab.o1[[#This Row],[a1]]=1,0.01+0.94*Tab.o1[[#This Row],[W1_PDF]]/MAX(Tab.o1[W1_PDF]),"")</f>
        <v/>
      </c>
      <c r="AA892" s="118" t="str">
        <f>IF(Tab.o1[[#This Row],[a1]]=1,ABS([1]!T.in.A[[#This Row],[oo6]]),"")</f>
        <v/>
      </c>
      <c r="AB892" s="127" t="str">
        <f>IF(Tab.o1[[#This Row],[a1]]=1,IF(AE$3=0,"",IF(AB$3=0,ABS([1]!T.in.A[[#This Row],[oo9]]),ABS(Tab.o1[[#This Row],[DIF_Target.]]*Tab.o1[[#This Row],[W1_PDF]]))),"")</f>
        <v/>
      </c>
      <c r="AC892" s="127" t="str">
        <f>IF(G$1=1,"",IF(Tab.o1[[#This Row],[a1]]=1,Tab.o1[[#This Row],[Wr]]^2,""))</f>
        <v/>
      </c>
      <c r="AD892" s="118" t="str">
        <f>IF(Tab.o1[[#This Row],[a1]]=1,IF(AE$3=0,"",Tab.o1[[#This Row],[Wr2]]/SUM(Tab.o1[Wr2])),"")</f>
        <v/>
      </c>
      <c r="AE892" s="128" t="str">
        <f>IF(Tab.o1[[#This Row],[a1]]=1,[1]!T.in.A[[#This Row],[oo10]],"")</f>
        <v/>
      </c>
      <c r="AF892" s="118" t="str">
        <f>IF(Tab.o1[[#This Row],[a1]]=1,ABS(Tab.o1[[#This Row],[DIF_Target.]]*Tab.o1[[#This Row],[PDF2]]*Tab.o1[[#This Row],[IN]]),"")</f>
        <v/>
      </c>
      <c r="AG892" s="129" t="str">
        <f>IF(Tab.o1[[#This Row],[a1]]=1,Tab.o1[[#This Row],[rW]]^2,"")</f>
        <v/>
      </c>
      <c r="AH892" s="130" t="str">
        <f>IF(Tab.o1[[#This Row],[a1]]=1,IF(AH$3=0,Tab.o1[[#This Row],[rW2]],0.01+0.94*Tab.o1[[#This Row],[rW2]]/SUM(Tab.o1[rW2])),"")</f>
        <v/>
      </c>
      <c r="AI892" s="128" t="str">
        <f>IF(Tab.o1[[#This Row],[a1]]=1,1/Tab.o1[[#This Row],[PDF]],"")</f>
        <v/>
      </c>
      <c r="AJ892" s="131" t="str">
        <f>IF(Tab.o1[[#This Row],[a1]]=1,[1]!T_AA[[#This Row],[IN'']]*[1]!T_AA[[#This Row],[Qde'']],"")</f>
        <v/>
      </c>
      <c r="AK892" s="132" t="str">
        <f>IF(Tab.o1[[#This Row],[a1]]=1,IF(AK$1=1,Tab.o1[[#This Row],[MED]]+Tab.o1[[#This Row],[MOD]]-Tab.o1[[#This Row],[MED]],""),"")</f>
        <v/>
      </c>
      <c r="AL892" s="133" t="str">
        <f>IF(Tab.o1[[#This Row],[a1]]=1,[1]!T.in.A[[#This Row],[oo16]],"")</f>
        <v/>
      </c>
      <c r="AM892" s="133" t="str">
        <f>IF(Tab.o1[[#This Row],[a1]]=1,IF(AM$3=1,[1]!T.in.A[[#This Row],[Σo16]],""),"")</f>
        <v/>
      </c>
      <c r="AN892" s="126" t="str">
        <f>IF(Tab.o1[[#This Row],[a1]]=1,[1]!T.in.A[[#This Row],[Σp5]],"")</f>
        <v/>
      </c>
      <c r="AO892" s="126" t="str">
        <f>IF(Tab.o1[[#This Row],[a1]]=1,IF(AO$3=1,[1]!T.in.A[[#This Row],[Σp5]],""),"")</f>
        <v/>
      </c>
      <c r="AP892" s="110" t="str">
        <f>IF(Tab.o1[[#This Row],[a1]]=1,IF(ISNUMBER(Tab.o1[[#This Row],[i.]]),NORMDIST(Tab.o1[[#This Row],[Za]],0,1,FALSE)*Tab.o1[[#This Row],[i.]],0),"")</f>
        <v/>
      </c>
      <c r="AQ892" s="125" t="str">
        <f>IF(Tab.o1[[#This Row],[a1]]=1,ABS(Tab.o1[[#This Row],[MOD]]-AVERAGE(Tab.o1[MOD])),"")</f>
        <v/>
      </c>
      <c r="AR892" s="134" t="str">
        <f>IF(Tab.o1[[#This Row],[a1]]=1,Tab.o1[[#This Row],[OBS]]/SUM(Tab.o1[OBS]),"")</f>
        <v/>
      </c>
      <c r="AS892" s="135" t="str">
        <f>IF(ISNUMBER(Tab.o1[[#This Row],[a1]]),ROW()-4,"")</f>
        <v/>
      </c>
      <c r="AT892" s="136" t="str">
        <f>Tab.o1[[#This Row],[MOD]]</f>
        <v/>
      </c>
      <c r="AU892" s="137" t="str">
        <f t="shared" si="53"/>
        <v/>
      </c>
      <c r="AV892" s="138" t="str">
        <f t="shared" si="54"/>
        <v/>
      </c>
      <c r="AW892" s="138" t="str">
        <f t="shared" si="55"/>
        <v/>
      </c>
      <c r="AX892" s="139" t="str">
        <f>[1]!T.in.A[[#This Row],[ID_T_manu]]</f>
        <v/>
      </c>
      <c r="AY892" s="140" t="str">
        <f>IF(ISNUMBER(Tab.o1[[#This Row],[a1]]),IF(AND(Tab.o1[[#This Row],[a1]]=1,Tab.o1[[#This Row],[b1]]&lt;=AY$4),#REF!,AY891),"")</f>
        <v/>
      </c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6"/>
      <c r="BO892" s="26"/>
      <c r="BP892" s="26"/>
      <c r="BQ892" s="26"/>
      <c r="BR892" s="26"/>
      <c r="BS892" s="26"/>
      <c r="BT892" s="26"/>
      <c r="BU892" s="26"/>
      <c r="BV892" s="26"/>
      <c r="BW892" s="26"/>
      <c r="BX892" s="26"/>
      <c r="BY892" s="26"/>
      <c r="BZ892" s="26"/>
      <c r="CA892" s="26"/>
    </row>
    <row r="893" spans="1:79" ht="15.75" hidden="1">
      <c r="A893" s="109">
        <v>-1.0000000000000002E-6</v>
      </c>
      <c r="B893" s="110">
        <f t="shared" si="52"/>
        <v>893</v>
      </c>
      <c r="C893" s="111" t="str">
        <f>IF(C$1=[1]!T.in.A[[#This Row],[oo2]],1,"")</f>
        <v/>
      </c>
      <c r="D893" s="112" t="str">
        <f>IF(Tab.o1[[#This Row],[a1]]=1,IF(SUM(C893:C894)=0,0,IF(SUM(C892:C893)=1,1,IF(SUM(C892:C894)&gt;1,D892+1,0))),"")</f>
        <v/>
      </c>
      <c r="E893" s="113" t="str">
        <f>IF(Tab.o1[[#This Row],[a1]]=1,[1]!T.in.A[[#This Row],[oo1]],"")</f>
        <v/>
      </c>
      <c r="F893" s="113" t="str">
        <f>IF(Tab.o1[[#This Row],[a1]]=1,[1]!T.in.A[[#This Row],[pp1]],"")</f>
        <v/>
      </c>
      <c r="G893" s="114" t="str">
        <f>IF(Tab.o1[[#This Row],[a1]]=1,G$2+IF(G$1=1,0,Tab.o1[[#This Row],[.x1]])+[1]!T.in.A[[#This Row],[oo3]],"")</f>
        <v/>
      </c>
      <c r="H893" s="115" t="str">
        <f>IF(Tab.o1[[#This Row],[a1]]=1,IF(H$2=0,0,IF(G$1=1,0,Tab.o1[[#This Row],[.x1]])+[1]!T.in.A[[#This Row],[oo4]]),"")</f>
        <v/>
      </c>
      <c r="I893" s="116" t="str">
        <f>IF(Tab.o1[[#This Row],[a1]]=1,IF(J$2=0,Tab.o1[[#This Row],[MED]],Tab.o1[[#This Row],[MOD]]),"")</f>
        <v/>
      </c>
      <c r="J893" s="116" t="str">
        <f>IF(Tab.o1[[#This Row],[a1]]=1,((Tab.o1[[#This Row],[DIF_Target.]]-AVERAGE(Tab.o1[DIF_Target.]))/_xlfn.STDEV.P(Tab.o1[DIF_Target.])),"")</f>
        <v/>
      </c>
      <c r="K893" s="117" t="str">
        <f>IF(Tab.o1[[#This Row],[a1]]=1,IF(J$2=0,Tab.o1[[#This Row],[MOD]]-Tab.o1[[#This Row],[B]],IF(J$2=1,0,-Tab.o1[[#This Row],[MED]])+Tab.o1[[#This Row],[B]]),"")</f>
        <v/>
      </c>
      <c r="L893" s="117" t="str">
        <f ca="1">IF(Tab.o1[[#This Row],[DIF_Target]]=0,IF(L$2=0,Tab.o1[[#This Row],[DIF_Target]],AVERAGE(OFFSET(Tab.o1[[#This Row],[DIF_Target]],1,0,L$3,1)))/3,Tab.o1[[#This Row],[DIF_Target]])</f>
        <v/>
      </c>
      <c r="M893" s="118" t="str">
        <f>IF(Tab.o1[[#This Row],[a1]]=1,NORMSDIST(Tab.o1[[#This Row],[Za]]),"")</f>
        <v/>
      </c>
      <c r="N893" s="119" t="str">
        <f>IF(Tab.o1[[#This Row],[a1]]=1,((Tab.o1[[#This Row],[MedMod]]-AVERAGE(Tab.o1[MedMod]))/_xlfn.STDEV.P(Tab.o1[MedMod])*H$1205)+G$1205,"")</f>
        <v/>
      </c>
      <c r="O893" s="141" t="str">
        <f>IF(Tab.o1[[#This Row],[a1]]=1,Tab.o1[[#This Row],[Zb]]*_xlfn.STDEV.P(Tab.o1[MedMod])+AVERAGE(Tab.o1[MedMod]),"")</f>
        <v/>
      </c>
      <c r="P893" s="117" t="str">
        <f ca="1">IF(Tab.o1[[#This Row],[B]]=0,AVERAGE(OFFSET(Tab.o1[[#This Row],[B]],1,0,L$3,1)),Tab.o1[[#This Row],[B]])</f>
        <v/>
      </c>
      <c r="Q893" s="121" t="str">
        <f>IF(Tab.o1[[#This Row],[a1]]=1,NORMSDIST(Tab.o1[[#This Row],[Zb]]),"")</f>
        <v/>
      </c>
      <c r="R893" s="122" t="str">
        <f>IF(Tab.o1[[#This Row],[a1]]=1,((Tab.o1[[#This Row],[MedMod]]-AVERAGE(Tab.o1[MedMod]))/_xlfn.STDEV.P(Tab.o1[MedMod])*H$1203)+G$1203,"")</f>
        <v/>
      </c>
      <c r="S893" s="122" t="str">
        <f>IF(Tab.o1[[#This Row],[a1]]=1,((Tab.o1[[#This Row],[MedMod]]-AVERAGE(Tab.o1[MedMod]))/_xlfn.STDEV.P(Tab.o1[MedMod])*H$1204)+G$1204,"")</f>
        <v/>
      </c>
      <c r="T893" s="123" t="str">
        <f>IF(Tab.o1[[#This Row],[a1]]=1,Tab.o1[[#This Row],[Z-]]*_xlfn.STDEV.P(Tab.o1[B])+AVERAGE(Tab.o1[B]),"")</f>
        <v/>
      </c>
      <c r="U893" s="123" t="str">
        <f>IF(Tab.o1[[#This Row],[a1]]=1,Tab.o1[[#This Row],[z+]]*_xlfn.STDEV.P(Tab.o1[B])+AVERAGE(Tab.o1[B]),"")</f>
        <v/>
      </c>
      <c r="V893" s="124" t="str">
        <f>IF(Tab.o1[[#This Row],[a1]]=1,ABS((ABS(Tab.o1[[#This Row],[Red]]-Tab.o1[[#This Row],[Blue]]))),"")</f>
        <v/>
      </c>
      <c r="W893" s="125" t="str">
        <f>IF(Tab.o1[[#This Row],[a1]]=1,IF(W$3=0,1,Tab.o1[[#This Row],[Amp.]]*1/_xlfn.MINIFS(Tab.o1[Amp.],Tab.o1[Amp.],"&lt;&gt;0")),"")</f>
        <v/>
      </c>
      <c r="X893" s="126" t="str">
        <f>IF(Tab.o1[[#This Row],[a1]]=1,IF(ISNUMBER(Tab.o1[[#This Row],[i.]]),NORMDIST(Tab.o1[[#This Row],[Za]],0,1,FALSE)*Tab.o1[[#This Row],[i.]],AP$3),"")</f>
        <v/>
      </c>
      <c r="Y893" s="126" t="str">
        <f>IF(Tab.o1[[#This Row],[a1]]=1,0.01+0.94*Tab.o1[[#This Row],[PDF]]/MAX(Tab.o1[PDF]),"")</f>
        <v/>
      </c>
      <c r="Z893" s="126" t="str">
        <f>IF(Tab.o1[[#This Row],[a1]]=1,0.01+0.94*Tab.o1[[#This Row],[W1_PDF]]/MAX(Tab.o1[W1_PDF]),"")</f>
        <v/>
      </c>
      <c r="AA893" s="118" t="str">
        <f>IF(Tab.o1[[#This Row],[a1]]=1,ABS([1]!T.in.A[[#This Row],[oo6]]),"")</f>
        <v/>
      </c>
      <c r="AB893" s="127" t="str">
        <f>IF(Tab.o1[[#This Row],[a1]]=1,IF(AE$3=0,"",IF(AB$3=0,ABS([1]!T.in.A[[#This Row],[oo9]]),ABS(Tab.o1[[#This Row],[DIF_Target.]]*Tab.o1[[#This Row],[W1_PDF]]))),"")</f>
        <v/>
      </c>
      <c r="AC893" s="127" t="str">
        <f>IF(G$1=1,"",IF(Tab.o1[[#This Row],[a1]]=1,Tab.o1[[#This Row],[Wr]]^2,""))</f>
        <v/>
      </c>
      <c r="AD893" s="118" t="str">
        <f>IF(Tab.o1[[#This Row],[a1]]=1,IF(AE$3=0,"",Tab.o1[[#This Row],[Wr2]]/SUM(Tab.o1[Wr2])),"")</f>
        <v/>
      </c>
      <c r="AE893" s="128" t="str">
        <f>IF(Tab.o1[[#This Row],[a1]]=1,[1]!T.in.A[[#This Row],[oo10]],"")</f>
        <v/>
      </c>
      <c r="AF893" s="118" t="str">
        <f>IF(Tab.o1[[#This Row],[a1]]=1,ABS(Tab.o1[[#This Row],[DIF_Target.]]*Tab.o1[[#This Row],[PDF2]]*Tab.o1[[#This Row],[IN]]),"")</f>
        <v/>
      </c>
      <c r="AG893" s="129" t="str">
        <f>IF(Tab.o1[[#This Row],[a1]]=1,Tab.o1[[#This Row],[rW]]^2,"")</f>
        <v/>
      </c>
      <c r="AH893" s="130" t="str">
        <f>IF(Tab.o1[[#This Row],[a1]]=1,IF(AH$3=0,Tab.o1[[#This Row],[rW2]],0.01+0.94*Tab.o1[[#This Row],[rW2]]/SUM(Tab.o1[rW2])),"")</f>
        <v/>
      </c>
      <c r="AI893" s="128" t="str">
        <f>IF(Tab.o1[[#This Row],[a1]]=1,1/Tab.o1[[#This Row],[PDF]],"")</f>
        <v/>
      </c>
      <c r="AJ893" s="131" t="str">
        <f>IF(Tab.o1[[#This Row],[a1]]=1,[1]!T_AA[[#This Row],[IN'']]*[1]!T_AA[[#This Row],[Qde'']],"")</f>
        <v/>
      </c>
      <c r="AK893" s="132" t="str">
        <f>IF(Tab.o1[[#This Row],[a1]]=1,IF(AK$1=1,Tab.o1[[#This Row],[MED]]+Tab.o1[[#This Row],[MOD]]-Tab.o1[[#This Row],[MED]],""),"")</f>
        <v/>
      </c>
      <c r="AL893" s="133" t="str">
        <f>IF(Tab.o1[[#This Row],[a1]]=1,[1]!T.in.A[[#This Row],[oo16]],"")</f>
        <v/>
      </c>
      <c r="AM893" s="133" t="str">
        <f>IF(Tab.o1[[#This Row],[a1]]=1,IF(AM$3=1,[1]!T.in.A[[#This Row],[Σo16]],""),"")</f>
        <v/>
      </c>
      <c r="AN893" s="126" t="str">
        <f>IF(Tab.o1[[#This Row],[a1]]=1,[1]!T.in.A[[#This Row],[Σp5]],"")</f>
        <v/>
      </c>
      <c r="AO893" s="126" t="str">
        <f>IF(Tab.o1[[#This Row],[a1]]=1,IF(AO$3=1,[1]!T.in.A[[#This Row],[Σp5]],""),"")</f>
        <v/>
      </c>
      <c r="AP893" s="110" t="str">
        <f>IF(Tab.o1[[#This Row],[a1]]=1,IF(ISNUMBER(Tab.o1[[#This Row],[i.]]),NORMDIST(Tab.o1[[#This Row],[Za]],0,1,FALSE)*Tab.o1[[#This Row],[i.]],0),"")</f>
        <v/>
      </c>
      <c r="AQ893" s="125" t="str">
        <f>IF(Tab.o1[[#This Row],[a1]]=1,ABS(Tab.o1[[#This Row],[MOD]]-AVERAGE(Tab.o1[MOD])),"")</f>
        <v/>
      </c>
      <c r="AR893" s="134" t="str">
        <f>IF(Tab.o1[[#This Row],[a1]]=1,Tab.o1[[#This Row],[OBS]]/SUM(Tab.o1[OBS]),"")</f>
        <v/>
      </c>
      <c r="AS893" s="135" t="str">
        <f>IF(ISNUMBER(Tab.o1[[#This Row],[a1]]),ROW()-4,"")</f>
        <v/>
      </c>
      <c r="AT893" s="136" t="str">
        <f>Tab.o1[[#This Row],[MOD]]</f>
        <v/>
      </c>
      <c r="AU893" s="137" t="str">
        <f t="shared" si="53"/>
        <v/>
      </c>
      <c r="AV893" s="138" t="str">
        <f t="shared" si="54"/>
        <v/>
      </c>
      <c r="AW893" s="138" t="str">
        <f t="shared" si="55"/>
        <v/>
      </c>
      <c r="AX893" s="139" t="str">
        <f>[1]!T.in.A[[#This Row],[ID_T_manu]]</f>
        <v/>
      </c>
      <c r="AY893" s="140" t="str">
        <f>IF(ISNUMBER(Tab.o1[[#This Row],[a1]]),IF(AND(Tab.o1[[#This Row],[a1]]=1,Tab.o1[[#This Row],[b1]]&lt;=AY$4),#REF!,AY892),"")</f>
        <v/>
      </c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6"/>
      <c r="BO893" s="26"/>
      <c r="BP893" s="26"/>
      <c r="BQ893" s="26"/>
      <c r="BR893" s="26"/>
      <c r="BS893" s="26"/>
      <c r="BT893" s="26"/>
      <c r="BU893" s="26"/>
      <c r="BV893" s="26"/>
      <c r="BW893" s="26"/>
      <c r="BX893" s="26"/>
      <c r="BY893" s="26"/>
      <c r="BZ893" s="26"/>
      <c r="CA893" s="26"/>
    </row>
    <row r="894" spans="1:79" ht="15.75" hidden="1">
      <c r="A894" s="109">
        <v>-6.9999999999999999E-6</v>
      </c>
      <c r="B894" s="110">
        <f t="shared" si="52"/>
        <v>894</v>
      </c>
      <c r="C894" s="111" t="str">
        <f>IF(C$1=[1]!T.in.A[[#This Row],[oo2]],1,"")</f>
        <v/>
      </c>
      <c r="D894" s="112" t="str">
        <f>IF(Tab.o1[[#This Row],[a1]]=1,IF(SUM(C894:C895)=0,0,IF(SUM(C893:C894)=1,1,IF(SUM(C893:C895)&gt;1,D893+1,0))),"")</f>
        <v/>
      </c>
      <c r="E894" s="113" t="str">
        <f>IF(Tab.o1[[#This Row],[a1]]=1,[1]!T.in.A[[#This Row],[oo1]],"")</f>
        <v/>
      </c>
      <c r="F894" s="113" t="str">
        <f>IF(Tab.o1[[#This Row],[a1]]=1,[1]!T.in.A[[#This Row],[pp1]],"")</f>
        <v/>
      </c>
      <c r="G894" s="114" t="str">
        <f>IF(Tab.o1[[#This Row],[a1]]=1,G$2+IF(G$1=1,0,Tab.o1[[#This Row],[.x1]])+[1]!T.in.A[[#This Row],[oo3]],"")</f>
        <v/>
      </c>
      <c r="H894" s="115" t="str">
        <f>IF(Tab.o1[[#This Row],[a1]]=1,IF(H$2=0,0,IF(G$1=1,0,Tab.o1[[#This Row],[.x1]])+[1]!T.in.A[[#This Row],[oo4]]),"")</f>
        <v/>
      </c>
      <c r="I894" s="116" t="str">
        <f>IF(Tab.o1[[#This Row],[a1]]=1,IF(J$2=0,Tab.o1[[#This Row],[MED]],Tab.o1[[#This Row],[MOD]]),"")</f>
        <v/>
      </c>
      <c r="J894" s="116" t="str">
        <f>IF(Tab.o1[[#This Row],[a1]]=1,((Tab.o1[[#This Row],[DIF_Target.]]-AVERAGE(Tab.o1[DIF_Target.]))/_xlfn.STDEV.P(Tab.o1[DIF_Target.])),"")</f>
        <v/>
      </c>
      <c r="K894" s="117" t="str">
        <f>IF(Tab.o1[[#This Row],[a1]]=1,IF(J$2=0,Tab.o1[[#This Row],[MOD]]-Tab.o1[[#This Row],[B]],IF(J$2=1,0,-Tab.o1[[#This Row],[MED]])+Tab.o1[[#This Row],[B]]),"")</f>
        <v/>
      </c>
      <c r="L894" s="117" t="str">
        <f ca="1">IF(Tab.o1[[#This Row],[DIF_Target]]=0,IF(L$2=0,Tab.o1[[#This Row],[DIF_Target]],AVERAGE(OFFSET(Tab.o1[[#This Row],[DIF_Target]],1,0,L$3,1)))/3,Tab.o1[[#This Row],[DIF_Target]])</f>
        <v/>
      </c>
      <c r="M894" s="118" t="str">
        <f>IF(Tab.o1[[#This Row],[a1]]=1,NORMSDIST(Tab.o1[[#This Row],[Za]]),"")</f>
        <v/>
      </c>
      <c r="N894" s="119" t="str">
        <f>IF(Tab.o1[[#This Row],[a1]]=1,((Tab.o1[[#This Row],[MedMod]]-AVERAGE(Tab.o1[MedMod]))/_xlfn.STDEV.P(Tab.o1[MedMod])*H$1205)+G$1205,"")</f>
        <v/>
      </c>
      <c r="O894" s="141" t="str">
        <f>IF(Tab.o1[[#This Row],[a1]]=1,Tab.o1[[#This Row],[Zb]]*_xlfn.STDEV.P(Tab.o1[MedMod])+AVERAGE(Tab.o1[MedMod]),"")</f>
        <v/>
      </c>
      <c r="P894" s="117" t="str">
        <f ca="1">IF(Tab.o1[[#This Row],[B]]=0,AVERAGE(OFFSET(Tab.o1[[#This Row],[B]],1,0,L$3,1)),Tab.o1[[#This Row],[B]])</f>
        <v/>
      </c>
      <c r="Q894" s="121" t="str">
        <f>IF(Tab.o1[[#This Row],[a1]]=1,NORMSDIST(Tab.o1[[#This Row],[Zb]]),"")</f>
        <v/>
      </c>
      <c r="R894" s="122" t="str">
        <f>IF(Tab.o1[[#This Row],[a1]]=1,((Tab.o1[[#This Row],[MedMod]]-AVERAGE(Tab.o1[MedMod]))/_xlfn.STDEV.P(Tab.o1[MedMod])*H$1203)+G$1203,"")</f>
        <v/>
      </c>
      <c r="S894" s="122" t="str">
        <f>IF(Tab.o1[[#This Row],[a1]]=1,((Tab.o1[[#This Row],[MedMod]]-AVERAGE(Tab.o1[MedMod]))/_xlfn.STDEV.P(Tab.o1[MedMod])*H$1204)+G$1204,"")</f>
        <v/>
      </c>
      <c r="T894" s="123" t="str">
        <f>IF(Tab.o1[[#This Row],[a1]]=1,Tab.o1[[#This Row],[Z-]]*_xlfn.STDEV.P(Tab.o1[B])+AVERAGE(Tab.o1[B]),"")</f>
        <v/>
      </c>
      <c r="U894" s="123" t="str">
        <f>IF(Tab.o1[[#This Row],[a1]]=1,Tab.o1[[#This Row],[z+]]*_xlfn.STDEV.P(Tab.o1[B])+AVERAGE(Tab.o1[B]),"")</f>
        <v/>
      </c>
      <c r="V894" s="124" t="str">
        <f>IF(Tab.o1[[#This Row],[a1]]=1,ABS((ABS(Tab.o1[[#This Row],[Red]]-Tab.o1[[#This Row],[Blue]]))),"")</f>
        <v/>
      </c>
      <c r="W894" s="125" t="str">
        <f>IF(Tab.o1[[#This Row],[a1]]=1,IF(W$3=0,1,Tab.o1[[#This Row],[Amp.]]*1/_xlfn.MINIFS(Tab.o1[Amp.],Tab.o1[Amp.],"&lt;&gt;0")),"")</f>
        <v/>
      </c>
      <c r="X894" s="126" t="str">
        <f>IF(Tab.o1[[#This Row],[a1]]=1,IF(ISNUMBER(Tab.o1[[#This Row],[i.]]),NORMDIST(Tab.o1[[#This Row],[Za]],0,1,FALSE)*Tab.o1[[#This Row],[i.]],AP$3),"")</f>
        <v/>
      </c>
      <c r="Y894" s="126" t="str">
        <f>IF(Tab.o1[[#This Row],[a1]]=1,0.01+0.94*Tab.o1[[#This Row],[PDF]]/MAX(Tab.o1[PDF]),"")</f>
        <v/>
      </c>
      <c r="Z894" s="126" t="str">
        <f>IF(Tab.o1[[#This Row],[a1]]=1,0.01+0.94*Tab.o1[[#This Row],[W1_PDF]]/MAX(Tab.o1[W1_PDF]),"")</f>
        <v/>
      </c>
      <c r="AA894" s="118" t="str">
        <f>IF(Tab.o1[[#This Row],[a1]]=1,ABS([1]!T.in.A[[#This Row],[oo6]]),"")</f>
        <v/>
      </c>
      <c r="AB894" s="127" t="str">
        <f>IF(Tab.o1[[#This Row],[a1]]=1,IF(AE$3=0,"",IF(AB$3=0,ABS([1]!T.in.A[[#This Row],[oo9]]),ABS(Tab.o1[[#This Row],[DIF_Target.]]*Tab.o1[[#This Row],[W1_PDF]]))),"")</f>
        <v/>
      </c>
      <c r="AC894" s="127" t="str">
        <f>IF(G$1=1,"",IF(Tab.o1[[#This Row],[a1]]=1,Tab.o1[[#This Row],[Wr]]^2,""))</f>
        <v/>
      </c>
      <c r="AD894" s="118" t="str">
        <f>IF(Tab.o1[[#This Row],[a1]]=1,IF(AE$3=0,"",Tab.o1[[#This Row],[Wr2]]/SUM(Tab.o1[Wr2])),"")</f>
        <v/>
      </c>
      <c r="AE894" s="128" t="str">
        <f>IF(Tab.o1[[#This Row],[a1]]=1,[1]!T.in.A[[#This Row],[oo10]],"")</f>
        <v/>
      </c>
      <c r="AF894" s="118" t="str">
        <f>IF(Tab.o1[[#This Row],[a1]]=1,ABS(Tab.o1[[#This Row],[DIF_Target.]]*Tab.o1[[#This Row],[PDF2]]*Tab.o1[[#This Row],[IN]]),"")</f>
        <v/>
      </c>
      <c r="AG894" s="129" t="str">
        <f>IF(Tab.o1[[#This Row],[a1]]=1,Tab.o1[[#This Row],[rW]]^2,"")</f>
        <v/>
      </c>
      <c r="AH894" s="130" t="str">
        <f>IF(Tab.o1[[#This Row],[a1]]=1,IF(AH$3=0,Tab.o1[[#This Row],[rW2]],0.01+0.94*Tab.o1[[#This Row],[rW2]]/SUM(Tab.o1[rW2])),"")</f>
        <v/>
      </c>
      <c r="AI894" s="128" t="str">
        <f>IF(Tab.o1[[#This Row],[a1]]=1,1/Tab.o1[[#This Row],[PDF]],"")</f>
        <v/>
      </c>
      <c r="AJ894" s="131" t="str">
        <f>IF(Tab.o1[[#This Row],[a1]]=1,[1]!T_AA[[#This Row],[IN'']]*[1]!T_AA[[#This Row],[Qde'']],"")</f>
        <v/>
      </c>
      <c r="AK894" s="132" t="str">
        <f>IF(Tab.o1[[#This Row],[a1]]=1,IF(AK$1=1,Tab.o1[[#This Row],[MED]]+Tab.o1[[#This Row],[MOD]]-Tab.o1[[#This Row],[MED]],""),"")</f>
        <v/>
      </c>
      <c r="AL894" s="133" t="str">
        <f>IF(Tab.o1[[#This Row],[a1]]=1,[1]!T.in.A[[#This Row],[oo16]],"")</f>
        <v/>
      </c>
      <c r="AM894" s="133" t="str">
        <f>IF(Tab.o1[[#This Row],[a1]]=1,IF(AM$3=1,[1]!T.in.A[[#This Row],[Σo16]],""),"")</f>
        <v/>
      </c>
      <c r="AN894" s="126" t="str">
        <f>IF(Tab.o1[[#This Row],[a1]]=1,[1]!T.in.A[[#This Row],[Σp5]],"")</f>
        <v/>
      </c>
      <c r="AO894" s="126" t="str">
        <f>IF(Tab.o1[[#This Row],[a1]]=1,IF(AO$3=1,[1]!T.in.A[[#This Row],[Σp5]],""),"")</f>
        <v/>
      </c>
      <c r="AP894" s="110" t="str">
        <f>IF(Tab.o1[[#This Row],[a1]]=1,IF(ISNUMBER(Tab.o1[[#This Row],[i.]]),NORMDIST(Tab.o1[[#This Row],[Za]],0,1,FALSE)*Tab.o1[[#This Row],[i.]],0),"")</f>
        <v/>
      </c>
      <c r="AQ894" s="125" t="str">
        <f>IF(Tab.o1[[#This Row],[a1]]=1,ABS(Tab.o1[[#This Row],[MOD]]-AVERAGE(Tab.o1[MOD])),"")</f>
        <v/>
      </c>
      <c r="AR894" s="134" t="str">
        <f>IF(Tab.o1[[#This Row],[a1]]=1,Tab.o1[[#This Row],[OBS]]/SUM(Tab.o1[OBS]),"")</f>
        <v/>
      </c>
      <c r="AS894" s="135" t="str">
        <f>IF(ISNUMBER(Tab.o1[[#This Row],[a1]]),ROW()-4,"")</f>
        <v/>
      </c>
      <c r="AT894" s="136" t="str">
        <f>Tab.o1[[#This Row],[MOD]]</f>
        <v/>
      </c>
      <c r="AU894" s="137" t="str">
        <f t="shared" si="53"/>
        <v/>
      </c>
      <c r="AV894" s="138" t="str">
        <f t="shared" si="54"/>
        <v/>
      </c>
      <c r="AW894" s="138" t="str">
        <f t="shared" si="55"/>
        <v/>
      </c>
      <c r="AX894" s="139" t="str">
        <f>[1]!T.in.A[[#This Row],[ID_T_manu]]</f>
        <v/>
      </c>
      <c r="AY894" s="140" t="str">
        <f>IF(ISNUMBER(Tab.o1[[#This Row],[a1]]),IF(AND(Tab.o1[[#This Row],[a1]]=1,Tab.o1[[#This Row],[b1]]&lt;=AY$4),#REF!,AY893),"")</f>
        <v/>
      </c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6"/>
      <c r="BO894" s="26"/>
      <c r="BP894" s="26"/>
      <c r="BQ894" s="26"/>
      <c r="BR894" s="26"/>
      <c r="BS894" s="26"/>
      <c r="BT894" s="26"/>
      <c r="BU894" s="26"/>
      <c r="BV894" s="26"/>
      <c r="BW894" s="26"/>
      <c r="BX894" s="26"/>
      <c r="BY894" s="26"/>
      <c r="BZ894" s="26"/>
      <c r="CA894" s="26"/>
    </row>
    <row r="895" spans="1:79" ht="15.75" hidden="1">
      <c r="A895" s="109">
        <v>2.9999999999999997E-6</v>
      </c>
      <c r="B895" s="110">
        <f t="shared" si="52"/>
        <v>895</v>
      </c>
      <c r="C895" s="111" t="str">
        <f>IF(C$1=[1]!T.in.A[[#This Row],[oo2]],1,"")</f>
        <v/>
      </c>
      <c r="D895" s="112" t="str">
        <f>IF(Tab.o1[[#This Row],[a1]]=1,IF(SUM(C895:C896)=0,0,IF(SUM(C894:C895)=1,1,IF(SUM(C894:C896)&gt;1,D894+1,0))),"")</f>
        <v/>
      </c>
      <c r="E895" s="113" t="str">
        <f>IF(Tab.o1[[#This Row],[a1]]=1,[1]!T.in.A[[#This Row],[oo1]],"")</f>
        <v/>
      </c>
      <c r="F895" s="113" t="str">
        <f>IF(Tab.o1[[#This Row],[a1]]=1,[1]!T.in.A[[#This Row],[pp1]],"")</f>
        <v/>
      </c>
      <c r="G895" s="114" t="str">
        <f>IF(Tab.o1[[#This Row],[a1]]=1,G$2+IF(G$1=1,0,Tab.o1[[#This Row],[.x1]])+[1]!T.in.A[[#This Row],[oo3]],"")</f>
        <v/>
      </c>
      <c r="H895" s="115" t="str">
        <f>IF(Tab.o1[[#This Row],[a1]]=1,IF(H$2=0,0,IF(G$1=1,0,Tab.o1[[#This Row],[.x1]])+[1]!T.in.A[[#This Row],[oo4]]),"")</f>
        <v/>
      </c>
      <c r="I895" s="116" t="str">
        <f>IF(Tab.o1[[#This Row],[a1]]=1,IF(J$2=0,Tab.o1[[#This Row],[MED]],Tab.o1[[#This Row],[MOD]]),"")</f>
        <v/>
      </c>
      <c r="J895" s="116" t="str">
        <f>IF(Tab.o1[[#This Row],[a1]]=1,((Tab.o1[[#This Row],[DIF_Target.]]-AVERAGE(Tab.o1[DIF_Target.]))/_xlfn.STDEV.P(Tab.o1[DIF_Target.])),"")</f>
        <v/>
      </c>
      <c r="K895" s="117" t="str">
        <f>IF(Tab.o1[[#This Row],[a1]]=1,IF(J$2=0,Tab.o1[[#This Row],[MOD]]-Tab.o1[[#This Row],[B]],IF(J$2=1,0,-Tab.o1[[#This Row],[MED]])+Tab.o1[[#This Row],[B]]),"")</f>
        <v/>
      </c>
      <c r="L895" s="117" t="str">
        <f ca="1">IF(Tab.o1[[#This Row],[DIF_Target]]=0,IF(L$2=0,Tab.o1[[#This Row],[DIF_Target]],AVERAGE(OFFSET(Tab.o1[[#This Row],[DIF_Target]],1,0,L$3,1)))/3,Tab.o1[[#This Row],[DIF_Target]])</f>
        <v/>
      </c>
      <c r="M895" s="118" t="str">
        <f>IF(Tab.o1[[#This Row],[a1]]=1,NORMSDIST(Tab.o1[[#This Row],[Za]]),"")</f>
        <v/>
      </c>
      <c r="N895" s="119" t="str">
        <f>IF(Tab.o1[[#This Row],[a1]]=1,((Tab.o1[[#This Row],[MedMod]]-AVERAGE(Tab.o1[MedMod]))/_xlfn.STDEV.P(Tab.o1[MedMod])*H$1205)+G$1205,"")</f>
        <v/>
      </c>
      <c r="O895" s="141" t="str">
        <f>IF(Tab.o1[[#This Row],[a1]]=1,Tab.o1[[#This Row],[Zb]]*_xlfn.STDEV.P(Tab.o1[MedMod])+AVERAGE(Tab.o1[MedMod]),"")</f>
        <v/>
      </c>
      <c r="P895" s="117" t="str">
        <f ca="1">IF(Tab.o1[[#This Row],[B]]=0,AVERAGE(OFFSET(Tab.o1[[#This Row],[B]],1,0,L$3,1)),Tab.o1[[#This Row],[B]])</f>
        <v/>
      </c>
      <c r="Q895" s="121" t="str">
        <f>IF(Tab.o1[[#This Row],[a1]]=1,NORMSDIST(Tab.o1[[#This Row],[Zb]]),"")</f>
        <v/>
      </c>
      <c r="R895" s="122" t="str">
        <f>IF(Tab.o1[[#This Row],[a1]]=1,((Tab.o1[[#This Row],[MedMod]]-AVERAGE(Tab.o1[MedMod]))/_xlfn.STDEV.P(Tab.o1[MedMod])*H$1203)+G$1203,"")</f>
        <v/>
      </c>
      <c r="S895" s="122" t="str">
        <f>IF(Tab.o1[[#This Row],[a1]]=1,((Tab.o1[[#This Row],[MedMod]]-AVERAGE(Tab.o1[MedMod]))/_xlfn.STDEV.P(Tab.o1[MedMod])*H$1204)+G$1204,"")</f>
        <v/>
      </c>
      <c r="T895" s="123" t="str">
        <f>IF(Tab.o1[[#This Row],[a1]]=1,Tab.o1[[#This Row],[Z-]]*_xlfn.STDEV.P(Tab.o1[B])+AVERAGE(Tab.o1[B]),"")</f>
        <v/>
      </c>
      <c r="U895" s="123" t="str">
        <f>IF(Tab.o1[[#This Row],[a1]]=1,Tab.o1[[#This Row],[z+]]*_xlfn.STDEV.P(Tab.o1[B])+AVERAGE(Tab.o1[B]),"")</f>
        <v/>
      </c>
      <c r="V895" s="124" t="str">
        <f>IF(Tab.o1[[#This Row],[a1]]=1,ABS((ABS(Tab.o1[[#This Row],[Red]]-Tab.o1[[#This Row],[Blue]]))),"")</f>
        <v/>
      </c>
      <c r="W895" s="125" t="str">
        <f>IF(Tab.o1[[#This Row],[a1]]=1,IF(W$3=0,1,Tab.o1[[#This Row],[Amp.]]*1/_xlfn.MINIFS(Tab.o1[Amp.],Tab.o1[Amp.],"&lt;&gt;0")),"")</f>
        <v/>
      </c>
      <c r="X895" s="126" t="str">
        <f>IF(Tab.o1[[#This Row],[a1]]=1,IF(ISNUMBER(Tab.o1[[#This Row],[i.]]),NORMDIST(Tab.o1[[#This Row],[Za]],0,1,FALSE)*Tab.o1[[#This Row],[i.]],AP$3),"")</f>
        <v/>
      </c>
      <c r="Y895" s="126" t="str">
        <f>IF(Tab.o1[[#This Row],[a1]]=1,0.01+0.94*Tab.o1[[#This Row],[PDF]]/MAX(Tab.o1[PDF]),"")</f>
        <v/>
      </c>
      <c r="Z895" s="126" t="str">
        <f>IF(Tab.o1[[#This Row],[a1]]=1,0.01+0.94*Tab.o1[[#This Row],[W1_PDF]]/MAX(Tab.o1[W1_PDF]),"")</f>
        <v/>
      </c>
      <c r="AA895" s="118" t="str">
        <f>IF(Tab.o1[[#This Row],[a1]]=1,ABS([1]!T.in.A[[#This Row],[oo6]]),"")</f>
        <v/>
      </c>
      <c r="AB895" s="127" t="str">
        <f>IF(Tab.o1[[#This Row],[a1]]=1,IF(AE$3=0,"",IF(AB$3=0,ABS([1]!T.in.A[[#This Row],[oo9]]),ABS(Tab.o1[[#This Row],[DIF_Target.]]*Tab.o1[[#This Row],[W1_PDF]]))),"")</f>
        <v/>
      </c>
      <c r="AC895" s="127" t="str">
        <f>IF(G$1=1,"",IF(Tab.o1[[#This Row],[a1]]=1,Tab.o1[[#This Row],[Wr]]^2,""))</f>
        <v/>
      </c>
      <c r="AD895" s="118" t="str">
        <f>IF(Tab.o1[[#This Row],[a1]]=1,IF(AE$3=0,"",Tab.o1[[#This Row],[Wr2]]/SUM(Tab.o1[Wr2])),"")</f>
        <v/>
      </c>
      <c r="AE895" s="128" t="str">
        <f>IF(Tab.o1[[#This Row],[a1]]=1,[1]!T.in.A[[#This Row],[oo10]],"")</f>
        <v/>
      </c>
      <c r="AF895" s="118" t="str">
        <f>IF(Tab.o1[[#This Row],[a1]]=1,ABS(Tab.o1[[#This Row],[DIF_Target.]]*Tab.o1[[#This Row],[PDF2]]*Tab.o1[[#This Row],[IN]]),"")</f>
        <v/>
      </c>
      <c r="AG895" s="129" t="str">
        <f>IF(Tab.o1[[#This Row],[a1]]=1,Tab.o1[[#This Row],[rW]]^2,"")</f>
        <v/>
      </c>
      <c r="AH895" s="130" t="str">
        <f>IF(Tab.o1[[#This Row],[a1]]=1,IF(AH$3=0,Tab.o1[[#This Row],[rW2]],0.01+0.94*Tab.o1[[#This Row],[rW2]]/SUM(Tab.o1[rW2])),"")</f>
        <v/>
      </c>
      <c r="AI895" s="128" t="str">
        <f>IF(Tab.o1[[#This Row],[a1]]=1,1/Tab.o1[[#This Row],[PDF]],"")</f>
        <v/>
      </c>
      <c r="AJ895" s="131" t="str">
        <f>IF(Tab.o1[[#This Row],[a1]]=1,[1]!T_AA[[#This Row],[IN'']]*[1]!T_AA[[#This Row],[Qde'']],"")</f>
        <v/>
      </c>
      <c r="AK895" s="132" t="str">
        <f>IF(Tab.o1[[#This Row],[a1]]=1,IF(AK$1=1,Tab.o1[[#This Row],[MED]]+Tab.o1[[#This Row],[MOD]]-Tab.o1[[#This Row],[MED]],""),"")</f>
        <v/>
      </c>
      <c r="AL895" s="133" t="str">
        <f>IF(Tab.o1[[#This Row],[a1]]=1,[1]!T.in.A[[#This Row],[oo16]],"")</f>
        <v/>
      </c>
      <c r="AM895" s="133" t="str">
        <f>IF(Tab.o1[[#This Row],[a1]]=1,IF(AM$3=1,[1]!T.in.A[[#This Row],[Σo16]],""),"")</f>
        <v/>
      </c>
      <c r="AN895" s="126" t="str">
        <f>IF(Tab.o1[[#This Row],[a1]]=1,[1]!T.in.A[[#This Row],[Σp5]],"")</f>
        <v/>
      </c>
      <c r="AO895" s="126" t="str">
        <f>IF(Tab.o1[[#This Row],[a1]]=1,IF(AO$3=1,[1]!T.in.A[[#This Row],[Σp5]],""),"")</f>
        <v/>
      </c>
      <c r="AP895" s="110" t="str">
        <f>IF(Tab.o1[[#This Row],[a1]]=1,IF(ISNUMBER(Tab.o1[[#This Row],[i.]]),NORMDIST(Tab.o1[[#This Row],[Za]],0,1,FALSE)*Tab.o1[[#This Row],[i.]],0),"")</f>
        <v/>
      </c>
      <c r="AQ895" s="125" t="str">
        <f>IF(Tab.o1[[#This Row],[a1]]=1,ABS(Tab.o1[[#This Row],[MOD]]-AVERAGE(Tab.o1[MOD])),"")</f>
        <v/>
      </c>
      <c r="AR895" s="134" t="str">
        <f>IF(Tab.o1[[#This Row],[a1]]=1,Tab.o1[[#This Row],[OBS]]/SUM(Tab.o1[OBS]),"")</f>
        <v/>
      </c>
      <c r="AS895" s="135" t="str">
        <f>IF(ISNUMBER(Tab.o1[[#This Row],[a1]]),ROW()-4,"")</f>
        <v/>
      </c>
      <c r="AT895" s="136" t="str">
        <f>Tab.o1[[#This Row],[MOD]]</f>
        <v/>
      </c>
      <c r="AU895" s="137" t="str">
        <f t="shared" si="53"/>
        <v/>
      </c>
      <c r="AV895" s="138" t="str">
        <f t="shared" si="54"/>
        <v/>
      </c>
      <c r="AW895" s="138" t="str">
        <f t="shared" si="55"/>
        <v/>
      </c>
      <c r="AX895" s="139" t="str">
        <f>[1]!T.in.A[[#This Row],[ID_T_manu]]</f>
        <v/>
      </c>
      <c r="AY895" s="140" t="str">
        <f>IF(ISNUMBER(Tab.o1[[#This Row],[a1]]),IF(AND(Tab.o1[[#This Row],[a1]]=1,Tab.o1[[#This Row],[b1]]&lt;=AY$4),#REF!,AY894),"")</f>
        <v/>
      </c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6"/>
      <c r="BO895" s="26"/>
      <c r="BP895" s="26"/>
      <c r="BQ895" s="26"/>
      <c r="BR895" s="26"/>
      <c r="BS895" s="26"/>
      <c r="BT895" s="26"/>
      <c r="BU895" s="26"/>
      <c r="BV895" s="26"/>
      <c r="BW895" s="26"/>
      <c r="BX895" s="26"/>
      <c r="BY895" s="26"/>
      <c r="BZ895" s="26"/>
      <c r="CA895" s="26"/>
    </row>
    <row r="896" spans="1:79" ht="15.75" hidden="1">
      <c r="A896" s="109">
        <v>-2.9999999999999997E-6</v>
      </c>
      <c r="B896" s="110">
        <f t="shared" si="52"/>
        <v>896</v>
      </c>
      <c r="C896" s="111" t="str">
        <f>IF(C$1=[1]!T.in.A[[#This Row],[oo2]],1,"")</f>
        <v/>
      </c>
      <c r="D896" s="112" t="str">
        <f>IF(Tab.o1[[#This Row],[a1]]=1,IF(SUM(C896:C897)=0,0,IF(SUM(C895:C896)=1,1,IF(SUM(C895:C897)&gt;1,D895+1,0))),"")</f>
        <v/>
      </c>
      <c r="E896" s="113" t="str">
        <f>IF(Tab.o1[[#This Row],[a1]]=1,[1]!T.in.A[[#This Row],[oo1]],"")</f>
        <v/>
      </c>
      <c r="F896" s="113" t="str">
        <f>IF(Tab.o1[[#This Row],[a1]]=1,[1]!T.in.A[[#This Row],[pp1]],"")</f>
        <v/>
      </c>
      <c r="G896" s="114" t="str">
        <f>IF(Tab.o1[[#This Row],[a1]]=1,G$2+IF(G$1=1,0,Tab.o1[[#This Row],[.x1]])+[1]!T.in.A[[#This Row],[oo3]],"")</f>
        <v/>
      </c>
      <c r="H896" s="115" t="str">
        <f>IF(Tab.o1[[#This Row],[a1]]=1,IF(H$2=0,0,IF(G$1=1,0,Tab.o1[[#This Row],[.x1]])+[1]!T.in.A[[#This Row],[oo4]]),"")</f>
        <v/>
      </c>
      <c r="I896" s="116" t="str">
        <f>IF(Tab.o1[[#This Row],[a1]]=1,IF(J$2=0,Tab.o1[[#This Row],[MED]],Tab.o1[[#This Row],[MOD]]),"")</f>
        <v/>
      </c>
      <c r="J896" s="116" t="str">
        <f>IF(Tab.o1[[#This Row],[a1]]=1,((Tab.o1[[#This Row],[DIF_Target.]]-AVERAGE(Tab.o1[DIF_Target.]))/_xlfn.STDEV.P(Tab.o1[DIF_Target.])),"")</f>
        <v/>
      </c>
      <c r="K896" s="117" t="str">
        <f>IF(Tab.o1[[#This Row],[a1]]=1,IF(J$2=0,Tab.o1[[#This Row],[MOD]]-Tab.o1[[#This Row],[B]],IF(J$2=1,0,-Tab.o1[[#This Row],[MED]])+Tab.o1[[#This Row],[B]]),"")</f>
        <v/>
      </c>
      <c r="L896" s="117" t="str">
        <f ca="1">IF(Tab.o1[[#This Row],[DIF_Target]]=0,IF(L$2=0,Tab.o1[[#This Row],[DIF_Target]],AVERAGE(OFFSET(Tab.o1[[#This Row],[DIF_Target]],1,0,L$3,1)))/3,Tab.o1[[#This Row],[DIF_Target]])</f>
        <v/>
      </c>
      <c r="M896" s="118" t="str">
        <f>IF(Tab.o1[[#This Row],[a1]]=1,NORMSDIST(Tab.o1[[#This Row],[Za]]),"")</f>
        <v/>
      </c>
      <c r="N896" s="119" t="str">
        <f>IF(Tab.o1[[#This Row],[a1]]=1,((Tab.o1[[#This Row],[MedMod]]-AVERAGE(Tab.o1[MedMod]))/_xlfn.STDEV.P(Tab.o1[MedMod])*H$1205)+G$1205,"")</f>
        <v/>
      </c>
      <c r="O896" s="141" t="str">
        <f>IF(Tab.o1[[#This Row],[a1]]=1,Tab.o1[[#This Row],[Zb]]*_xlfn.STDEV.P(Tab.o1[MedMod])+AVERAGE(Tab.o1[MedMod]),"")</f>
        <v/>
      </c>
      <c r="P896" s="117" t="str">
        <f ca="1">IF(Tab.o1[[#This Row],[B]]=0,AVERAGE(OFFSET(Tab.o1[[#This Row],[B]],1,0,L$3,1)),Tab.o1[[#This Row],[B]])</f>
        <v/>
      </c>
      <c r="Q896" s="121" t="str">
        <f>IF(Tab.o1[[#This Row],[a1]]=1,NORMSDIST(Tab.o1[[#This Row],[Zb]]),"")</f>
        <v/>
      </c>
      <c r="R896" s="122" t="str">
        <f>IF(Tab.o1[[#This Row],[a1]]=1,((Tab.o1[[#This Row],[MedMod]]-AVERAGE(Tab.o1[MedMod]))/_xlfn.STDEV.P(Tab.o1[MedMod])*H$1203)+G$1203,"")</f>
        <v/>
      </c>
      <c r="S896" s="122" t="str">
        <f>IF(Tab.o1[[#This Row],[a1]]=1,((Tab.o1[[#This Row],[MedMod]]-AVERAGE(Tab.o1[MedMod]))/_xlfn.STDEV.P(Tab.o1[MedMod])*H$1204)+G$1204,"")</f>
        <v/>
      </c>
      <c r="T896" s="123" t="str">
        <f>IF(Tab.o1[[#This Row],[a1]]=1,Tab.o1[[#This Row],[Z-]]*_xlfn.STDEV.P(Tab.o1[B])+AVERAGE(Tab.o1[B]),"")</f>
        <v/>
      </c>
      <c r="U896" s="123" t="str">
        <f>IF(Tab.o1[[#This Row],[a1]]=1,Tab.o1[[#This Row],[z+]]*_xlfn.STDEV.P(Tab.o1[B])+AVERAGE(Tab.o1[B]),"")</f>
        <v/>
      </c>
      <c r="V896" s="124" t="str">
        <f>IF(Tab.o1[[#This Row],[a1]]=1,ABS((ABS(Tab.o1[[#This Row],[Red]]-Tab.o1[[#This Row],[Blue]]))),"")</f>
        <v/>
      </c>
      <c r="W896" s="125" t="str">
        <f>IF(Tab.o1[[#This Row],[a1]]=1,IF(W$3=0,1,Tab.o1[[#This Row],[Amp.]]*1/_xlfn.MINIFS(Tab.o1[Amp.],Tab.o1[Amp.],"&lt;&gt;0")),"")</f>
        <v/>
      </c>
      <c r="X896" s="126" t="str">
        <f>IF(Tab.o1[[#This Row],[a1]]=1,IF(ISNUMBER(Tab.o1[[#This Row],[i.]]),NORMDIST(Tab.o1[[#This Row],[Za]],0,1,FALSE)*Tab.o1[[#This Row],[i.]],AP$3),"")</f>
        <v/>
      </c>
      <c r="Y896" s="126" t="str">
        <f>IF(Tab.o1[[#This Row],[a1]]=1,0.01+0.94*Tab.o1[[#This Row],[PDF]]/MAX(Tab.o1[PDF]),"")</f>
        <v/>
      </c>
      <c r="Z896" s="126" t="str">
        <f>IF(Tab.o1[[#This Row],[a1]]=1,0.01+0.94*Tab.o1[[#This Row],[W1_PDF]]/MAX(Tab.o1[W1_PDF]),"")</f>
        <v/>
      </c>
      <c r="AA896" s="118" t="str">
        <f>IF(Tab.o1[[#This Row],[a1]]=1,ABS([1]!T.in.A[[#This Row],[oo6]]),"")</f>
        <v/>
      </c>
      <c r="AB896" s="127" t="str">
        <f>IF(Tab.o1[[#This Row],[a1]]=1,IF(AE$3=0,"",IF(AB$3=0,ABS([1]!T.in.A[[#This Row],[oo9]]),ABS(Tab.o1[[#This Row],[DIF_Target.]]*Tab.o1[[#This Row],[W1_PDF]]))),"")</f>
        <v/>
      </c>
      <c r="AC896" s="127" t="str">
        <f>IF(G$1=1,"",IF(Tab.o1[[#This Row],[a1]]=1,Tab.o1[[#This Row],[Wr]]^2,""))</f>
        <v/>
      </c>
      <c r="AD896" s="118" t="str">
        <f>IF(Tab.o1[[#This Row],[a1]]=1,IF(AE$3=0,"",Tab.o1[[#This Row],[Wr2]]/SUM(Tab.o1[Wr2])),"")</f>
        <v/>
      </c>
      <c r="AE896" s="128" t="str">
        <f>IF(Tab.o1[[#This Row],[a1]]=1,[1]!T.in.A[[#This Row],[oo10]],"")</f>
        <v/>
      </c>
      <c r="AF896" s="118" t="str">
        <f>IF(Tab.o1[[#This Row],[a1]]=1,ABS(Tab.o1[[#This Row],[DIF_Target.]]*Tab.o1[[#This Row],[PDF2]]*Tab.o1[[#This Row],[IN]]),"")</f>
        <v/>
      </c>
      <c r="AG896" s="129" t="str">
        <f>IF(Tab.o1[[#This Row],[a1]]=1,Tab.o1[[#This Row],[rW]]^2,"")</f>
        <v/>
      </c>
      <c r="AH896" s="130" t="str">
        <f>IF(Tab.o1[[#This Row],[a1]]=1,IF(AH$3=0,Tab.o1[[#This Row],[rW2]],0.01+0.94*Tab.o1[[#This Row],[rW2]]/SUM(Tab.o1[rW2])),"")</f>
        <v/>
      </c>
      <c r="AI896" s="128" t="str">
        <f>IF(Tab.o1[[#This Row],[a1]]=1,1/Tab.o1[[#This Row],[PDF]],"")</f>
        <v/>
      </c>
      <c r="AJ896" s="131" t="str">
        <f>IF(Tab.o1[[#This Row],[a1]]=1,[1]!T_AA[[#This Row],[IN'']]*[1]!T_AA[[#This Row],[Qde'']],"")</f>
        <v/>
      </c>
      <c r="AK896" s="132" t="str">
        <f>IF(Tab.o1[[#This Row],[a1]]=1,IF(AK$1=1,Tab.o1[[#This Row],[MED]]+Tab.o1[[#This Row],[MOD]]-Tab.o1[[#This Row],[MED]],""),"")</f>
        <v/>
      </c>
      <c r="AL896" s="133" t="str">
        <f>IF(Tab.o1[[#This Row],[a1]]=1,[1]!T.in.A[[#This Row],[oo16]],"")</f>
        <v/>
      </c>
      <c r="AM896" s="133" t="str">
        <f>IF(Tab.o1[[#This Row],[a1]]=1,IF(AM$3=1,[1]!T.in.A[[#This Row],[Σo16]],""),"")</f>
        <v/>
      </c>
      <c r="AN896" s="126" t="str">
        <f>IF(Tab.o1[[#This Row],[a1]]=1,[1]!T.in.A[[#This Row],[Σp5]],"")</f>
        <v/>
      </c>
      <c r="AO896" s="126" t="str">
        <f>IF(Tab.o1[[#This Row],[a1]]=1,IF(AO$3=1,[1]!T.in.A[[#This Row],[Σp5]],""),"")</f>
        <v/>
      </c>
      <c r="AP896" s="110" t="str">
        <f>IF(Tab.o1[[#This Row],[a1]]=1,IF(ISNUMBER(Tab.o1[[#This Row],[i.]]),NORMDIST(Tab.o1[[#This Row],[Za]],0,1,FALSE)*Tab.o1[[#This Row],[i.]],0),"")</f>
        <v/>
      </c>
      <c r="AQ896" s="125" t="str">
        <f>IF(Tab.o1[[#This Row],[a1]]=1,ABS(Tab.o1[[#This Row],[MOD]]-AVERAGE(Tab.o1[MOD])),"")</f>
        <v/>
      </c>
      <c r="AR896" s="134" t="str">
        <f>IF(Tab.o1[[#This Row],[a1]]=1,Tab.o1[[#This Row],[OBS]]/SUM(Tab.o1[OBS]),"")</f>
        <v/>
      </c>
      <c r="AS896" s="135" t="str">
        <f>IF(ISNUMBER(Tab.o1[[#This Row],[a1]]),ROW()-4,"")</f>
        <v/>
      </c>
      <c r="AT896" s="136" t="str">
        <f>Tab.o1[[#This Row],[MOD]]</f>
        <v/>
      </c>
      <c r="AU896" s="137" t="str">
        <f t="shared" si="53"/>
        <v/>
      </c>
      <c r="AV896" s="138" t="str">
        <f t="shared" si="54"/>
        <v/>
      </c>
      <c r="AW896" s="138" t="str">
        <f t="shared" si="55"/>
        <v/>
      </c>
      <c r="AX896" s="139" t="str">
        <f>[1]!T.in.A[[#This Row],[ID_T_manu]]</f>
        <v/>
      </c>
      <c r="AY896" s="140" t="str">
        <f>IF(ISNUMBER(Tab.o1[[#This Row],[a1]]),IF(AND(Tab.o1[[#This Row],[a1]]=1,Tab.o1[[#This Row],[b1]]&lt;=AY$4),#REF!,AY895),"")</f>
        <v/>
      </c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6"/>
      <c r="BO896" s="26"/>
      <c r="BP896" s="26"/>
      <c r="BQ896" s="26"/>
      <c r="BR896" s="26"/>
      <c r="BS896" s="26"/>
      <c r="BT896" s="26"/>
      <c r="BU896" s="26"/>
      <c r="BV896" s="26"/>
      <c r="BW896" s="26"/>
      <c r="BX896" s="26"/>
      <c r="BY896" s="26"/>
      <c r="BZ896" s="26"/>
      <c r="CA896" s="26"/>
    </row>
    <row r="897" spans="1:79" ht="15.75" hidden="1">
      <c r="A897" s="109">
        <v>-4.0000000000000007E-6</v>
      </c>
      <c r="B897" s="110">
        <f t="shared" si="52"/>
        <v>897</v>
      </c>
      <c r="C897" s="111" t="str">
        <f>IF(C$1=[1]!T.in.A[[#This Row],[oo2]],1,"")</f>
        <v/>
      </c>
      <c r="D897" s="112" t="str">
        <f>IF(Tab.o1[[#This Row],[a1]]=1,IF(SUM(C897:C898)=0,0,IF(SUM(C896:C897)=1,1,IF(SUM(C896:C898)&gt;1,D896+1,0))),"")</f>
        <v/>
      </c>
      <c r="E897" s="113" t="str">
        <f>IF(Tab.o1[[#This Row],[a1]]=1,[1]!T.in.A[[#This Row],[oo1]],"")</f>
        <v/>
      </c>
      <c r="F897" s="113" t="str">
        <f>IF(Tab.o1[[#This Row],[a1]]=1,[1]!T.in.A[[#This Row],[pp1]],"")</f>
        <v/>
      </c>
      <c r="G897" s="114" t="str">
        <f>IF(Tab.o1[[#This Row],[a1]]=1,G$2+IF(G$1=1,0,Tab.o1[[#This Row],[.x1]])+[1]!T.in.A[[#This Row],[oo3]],"")</f>
        <v/>
      </c>
      <c r="H897" s="115" t="str">
        <f>IF(Tab.o1[[#This Row],[a1]]=1,IF(H$2=0,0,IF(G$1=1,0,Tab.o1[[#This Row],[.x1]])+[1]!T.in.A[[#This Row],[oo4]]),"")</f>
        <v/>
      </c>
      <c r="I897" s="116" t="str">
        <f>IF(Tab.o1[[#This Row],[a1]]=1,IF(J$2=0,Tab.o1[[#This Row],[MED]],Tab.o1[[#This Row],[MOD]]),"")</f>
        <v/>
      </c>
      <c r="J897" s="116" t="str">
        <f>IF(Tab.o1[[#This Row],[a1]]=1,((Tab.o1[[#This Row],[DIF_Target.]]-AVERAGE(Tab.o1[DIF_Target.]))/_xlfn.STDEV.P(Tab.o1[DIF_Target.])),"")</f>
        <v/>
      </c>
      <c r="K897" s="117" t="str">
        <f>IF(Tab.o1[[#This Row],[a1]]=1,IF(J$2=0,Tab.o1[[#This Row],[MOD]]-Tab.o1[[#This Row],[B]],IF(J$2=1,0,-Tab.o1[[#This Row],[MED]])+Tab.o1[[#This Row],[B]]),"")</f>
        <v/>
      </c>
      <c r="L897" s="117" t="str">
        <f ca="1">IF(Tab.o1[[#This Row],[DIF_Target]]=0,IF(L$2=0,Tab.o1[[#This Row],[DIF_Target]],AVERAGE(OFFSET(Tab.o1[[#This Row],[DIF_Target]],1,0,L$3,1)))/3,Tab.o1[[#This Row],[DIF_Target]])</f>
        <v/>
      </c>
      <c r="M897" s="118" t="str">
        <f>IF(Tab.o1[[#This Row],[a1]]=1,NORMSDIST(Tab.o1[[#This Row],[Za]]),"")</f>
        <v/>
      </c>
      <c r="N897" s="119" t="str">
        <f>IF(Tab.o1[[#This Row],[a1]]=1,((Tab.o1[[#This Row],[MedMod]]-AVERAGE(Tab.o1[MedMod]))/_xlfn.STDEV.P(Tab.o1[MedMod])*H$1205)+G$1205,"")</f>
        <v/>
      </c>
      <c r="O897" s="141" t="str">
        <f>IF(Tab.o1[[#This Row],[a1]]=1,Tab.o1[[#This Row],[Zb]]*_xlfn.STDEV.P(Tab.o1[MedMod])+AVERAGE(Tab.o1[MedMod]),"")</f>
        <v/>
      </c>
      <c r="P897" s="117" t="str">
        <f ca="1">IF(Tab.o1[[#This Row],[B]]=0,AVERAGE(OFFSET(Tab.o1[[#This Row],[B]],1,0,L$3,1)),Tab.o1[[#This Row],[B]])</f>
        <v/>
      </c>
      <c r="Q897" s="121" t="str">
        <f>IF(Tab.o1[[#This Row],[a1]]=1,NORMSDIST(Tab.o1[[#This Row],[Zb]]),"")</f>
        <v/>
      </c>
      <c r="R897" s="122" t="str">
        <f>IF(Tab.o1[[#This Row],[a1]]=1,((Tab.o1[[#This Row],[MedMod]]-AVERAGE(Tab.o1[MedMod]))/_xlfn.STDEV.P(Tab.o1[MedMod])*H$1203)+G$1203,"")</f>
        <v/>
      </c>
      <c r="S897" s="122" t="str">
        <f>IF(Tab.o1[[#This Row],[a1]]=1,((Tab.o1[[#This Row],[MedMod]]-AVERAGE(Tab.o1[MedMod]))/_xlfn.STDEV.P(Tab.o1[MedMod])*H$1204)+G$1204,"")</f>
        <v/>
      </c>
      <c r="T897" s="123" t="str">
        <f>IF(Tab.o1[[#This Row],[a1]]=1,Tab.o1[[#This Row],[Z-]]*_xlfn.STDEV.P(Tab.o1[B])+AVERAGE(Tab.o1[B]),"")</f>
        <v/>
      </c>
      <c r="U897" s="123" t="str">
        <f>IF(Tab.o1[[#This Row],[a1]]=1,Tab.o1[[#This Row],[z+]]*_xlfn.STDEV.P(Tab.o1[B])+AVERAGE(Tab.o1[B]),"")</f>
        <v/>
      </c>
      <c r="V897" s="124" t="str">
        <f>IF(Tab.o1[[#This Row],[a1]]=1,ABS((ABS(Tab.o1[[#This Row],[Red]]-Tab.o1[[#This Row],[Blue]]))),"")</f>
        <v/>
      </c>
      <c r="W897" s="125" t="str">
        <f>IF(Tab.o1[[#This Row],[a1]]=1,IF(W$3=0,1,Tab.o1[[#This Row],[Amp.]]*1/_xlfn.MINIFS(Tab.o1[Amp.],Tab.o1[Amp.],"&lt;&gt;0")),"")</f>
        <v/>
      </c>
      <c r="X897" s="126" t="str">
        <f>IF(Tab.o1[[#This Row],[a1]]=1,IF(ISNUMBER(Tab.o1[[#This Row],[i.]]),NORMDIST(Tab.o1[[#This Row],[Za]],0,1,FALSE)*Tab.o1[[#This Row],[i.]],AP$3),"")</f>
        <v/>
      </c>
      <c r="Y897" s="126" t="str">
        <f>IF(Tab.o1[[#This Row],[a1]]=1,0.01+0.94*Tab.o1[[#This Row],[PDF]]/MAX(Tab.o1[PDF]),"")</f>
        <v/>
      </c>
      <c r="Z897" s="126" t="str">
        <f>IF(Tab.o1[[#This Row],[a1]]=1,0.01+0.94*Tab.o1[[#This Row],[W1_PDF]]/MAX(Tab.o1[W1_PDF]),"")</f>
        <v/>
      </c>
      <c r="AA897" s="118" t="str">
        <f>IF(Tab.o1[[#This Row],[a1]]=1,ABS([1]!T.in.A[[#This Row],[oo6]]),"")</f>
        <v/>
      </c>
      <c r="AB897" s="127" t="str">
        <f>IF(Tab.o1[[#This Row],[a1]]=1,IF(AE$3=0,"",IF(AB$3=0,ABS([1]!T.in.A[[#This Row],[oo9]]),ABS(Tab.o1[[#This Row],[DIF_Target.]]*Tab.o1[[#This Row],[W1_PDF]]))),"")</f>
        <v/>
      </c>
      <c r="AC897" s="127" t="str">
        <f>IF(G$1=1,"",IF(Tab.o1[[#This Row],[a1]]=1,Tab.o1[[#This Row],[Wr]]^2,""))</f>
        <v/>
      </c>
      <c r="AD897" s="118" t="str">
        <f>IF(Tab.o1[[#This Row],[a1]]=1,IF(AE$3=0,"",Tab.o1[[#This Row],[Wr2]]/SUM(Tab.o1[Wr2])),"")</f>
        <v/>
      </c>
      <c r="AE897" s="128" t="str">
        <f>IF(Tab.o1[[#This Row],[a1]]=1,[1]!T.in.A[[#This Row],[oo10]],"")</f>
        <v/>
      </c>
      <c r="AF897" s="118" t="str">
        <f>IF(Tab.o1[[#This Row],[a1]]=1,ABS(Tab.o1[[#This Row],[DIF_Target.]]*Tab.o1[[#This Row],[PDF2]]*Tab.o1[[#This Row],[IN]]),"")</f>
        <v/>
      </c>
      <c r="AG897" s="129" t="str">
        <f>IF(Tab.o1[[#This Row],[a1]]=1,Tab.o1[[#This Row],[rW]]^2,"")</f>
        <v/>
      </c>
      <c r="AH897" s="130" t="str">
        <f>IF(Tab.o1[[#This Row],[a1]]=1,IF(AH$3=0,Tab.o1[[#This Row],[rW2]],0.01+0.94*Tab.o1[[#This Row],[rW2]]/SUM(Tab.o1[rW2])),"")</f>
        <v/>
      </c>
      <c r="AI897" s="128" t="str">
        <f>IF(Tab.o1[[#This Row],[a1]]=1,1/Tab.o1[[#This Row],[PDF]],"")</f>
        <v/>
      </c>
      <c r="AJ897" s="131" t="str">
        <f>IF(Tab.o1[[#This Row],[a1]]=1,[1]!T_AA[[#This Row],[IN'']]*[1]!T_AA[[#This Row],[Qde'']],"")</f>
        <v/>
      </c>
      <c r="AK897" s="132" t="str">
        <f>IF(Tab.o1[[#This Row],[a1]]=1,IF(AK$1=1,Tab.o1[[#This Row],[MED]]+Tab.o1[[#This Row],[MOD]]-Tab.o1[[#This Row],[MED]],""),"")</f>
        <v/>
      </c>
      <c r="AL897" s="133" t="str">
        <f>IF(Tab.o1[[#This Row],[a1]]=1,[1]!T.in.A[[#This Row],[oo16]],"")</f>
        <v/>
      </c>
      <c r="AM897" s="133" t="str">
        <f>IF(Tab.o1[[#This Row],[a1]]=1,IF(AM$3=1,[1]!T.in.A[[#This Row],[Σo16]],""),"")</f>
        <v/>
      </c>
      <c r="AN897" s="126" t="str">
        <f>IF(Tab.o1[[#This Row],[a1]]=1,[1]!T.in.A[[#This Row],[Σp5]],"")</f>
        <v/>
      </c>
      <c r="AO897" s="126" t="str">
        <f>IF(Tab.o1[[#This Row],[a1]]=1,IF(AO$3=1,[1]!T.in.A[[#This Row],[Σp5]],""),"")</f>
        <v/>
      </c>
      <c r="AP897" s="110" t="str">
        <f>IF(Tab.o1[[#This Row],[a1]]=1,IF(ISNUMBER(Tab.o1[[#This Row],[i.]]),NORMDIST(Tab.o1[[#This Row],[Za]],0,1,FALSE)*Tab.o1[[#This Row],[i.]],0),"")</f>
        <v/>
      </c>
      <c r="AQ897" s="125" t="str">
        <f>IF(Tab.o1[[#This Row],[a1]]=1,ABS(Tab.o1[[#This Row],[MOD]]-AVERAGE(Tab.o1[MOD])),"")</f>
        <v/>
      </c>
      <c r="AR897" s="134" t="str">
        <f>IF(Tab.o1[[#This Row],[a1]]=1,Tab.o1[[#This Row],[OBS]]/SUM(Tab.o1[OBS]),"")</f>
        <v/>
      </c>
      <c r="AS897" s="135" t="str">
        <f>IF(ISNUMBER(Tab.o1[[#This Row],[a1]]),ROW()-4,"")</f>
        <v/>
      </c>
      <c r="AT897" s="136" t="str">
        <f>Tab.o1[[#This Row],[MOD]]</f>
        <v/>
      </c>
      <c r="AU897" s="137" t="str">
        <f t="shared" si="53"/>
        <v/>
      </c>
      <c r="AV897" s="138" t="str">
        <f t="shared" si="54"/>
        <v/>
      </c>
      <c r="AW897" s="138" t="str">
        <f t="shared" si="55"/>
        <v/>
      </c>
      <c r="AX897" s="139" t="str">
        <f>[1]!T.in.A[[#This Row],[ID_T_manu]]</f>
        <v/>
      </c>
      <c r="AY897" s="140" t="str">
        <f>IF(ISNUMBER(Tab.o1[[#This Row],[a1]]),IF(AND(Tab.o1[[#This Row],[a1]]=1,Tab.o1[[#This Row],[b1]]&lt;=AY$4),#REF!,AY896),"")</f>
        <v/>
      </c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6"/>
      <c r="BO897" s="26"/>
      <c r="BP897" s="26"/>
      <c r="BQ897" s="26"/>
      <c r="BR897" s="26"/>
      <c r="BS897" s="26"/>
      <c r="BT897" s="26"/>
      <c r="BU897" s="26"/>
      <c r="BV897" s="26"/>
      <c r="BW897" s="26"/>
      <c r="BX897" s="26"/>
      <c r="BY897" s="26"/>
      <c r="BZ897" s="26"/>
      <c r="CA897" s="26"/>
    </row>
    <row r="898" spans="1:79" ht="15.75" hidden="1">
      <c r="A898" s="109">
        <v>-4.0000000000000007E-6</v>
      </c>
      <c r="B898" s="110">
        <f t="shared" si="52"/>
        <v>898</v>
      </c>
      <c r="C898" s="111" t="str">
        <f>IF(C$1=[1]!T.in.A[[#This Row],[oo2]],1,"")</f>
        <v/>
      </c>
      <c r="D898" s="112" t="str">
        <f>IF(Tab.o1[[#This Row],[a1]]=1,IF(SUM(C898:C899)=0,0,IF(SUM(C897:C898)=1,1,IF(SUM(C897:C899)&gt;1,D897+1,0))),"")</f>
        <v/>
      </c>
      <c r="E898" s="113" t="str">
        <f>IF(Tab.o1[[#This Row],[a1]]=1,[1]!T.in.A[[#This Row],[oo1]],"")</f>
        <v/>
      </c>
      <c r="F898" s="113" t="str">
        <f>IF(Tab.o1[[#This Row],[a1]]=1,[1]!T.in.A[[#This Row],[pp1]],"")</f>
        <v/>
      </c>
      <c r="G898" s="114" t="str">
        <f>IF(Tab.o1[[#This Row],[a1]]=1,G$2+IF(G$1=1,0,Tab.o1[[#This Row],[.x1]])+[1]!T.in.A[[#This Row],[oo3]],"")</f>
        <v/>
      </c>
      <c r="H898" s="115" t="str">
        <f>IF(Tab.o1[[#This Row],[a1]]=1,IF(H$2=0,0,IF(G$1=1,0,Tab.o1[[#This Row],[.x1]])+[1]!T.in.A[[#This Row],[oo4]]),"")</f>
        <v/>
      </c>
      <c r="I898" s="116" t="str">
        <f>IF(Tab.o1[[#This Row],[a1]]=1,IF(J$2=0,Tab.o1[[#This Row],[MED]],Tab.o1[[#This Row],[MOD]]),"")</f>
        <v/>
      </c>
      <c r="J898" s="116" t="str">
        <f>IF(Tab.o1[[#This Row],[a1]]=1,((Tab.o1[[#This Row],[DIF_Target.]]-AVERAGE(Tab.o1[DIF_Target.]))/_xlfn.STDEV.P(Tab.o1[DIF_Target.])),"")</f>
        <v/>
      </c>
      <c r="K898" s="117" t="str">
        <f>IF(Tab.o1[[#This Row],[a1]]=1,IF(J$2=0,Tab.o1[[#This Row],[MOD]]-Tab.o1[[#This Row],[B]],IF(J$2=1,0,-Tab.o1[[#This Row],[MED]])+Tab.o1[[#This Row],[B]]),"")</f>
        <v/>
      </c>
      <c r="L898" s="117" t="str">
        <f ca="1">IF(Tab.o1[[#This Row],[DIF_Target]]=0,IF(L$2=0,Tab.o1[[#This Row],[DIF_Target]],AVERAGE(OFFSET(Tab.o1[[#This Row],[DIF_Target]],1,0,L$3,1)))/3,Tab.o1[[#This Row],[DIF_Target]])</f>
        <v/>
      </c>
      <c r="M898" s="118" t="str">
        <f>IF(Tab.o1[[#This Row],[a1]]=1,NORMSDIST(Tab.o1[[#This Row],[Za]]),"")</f>
        <v/>
      </c>
      <c r="N898" s="119" t="str">
        <f>IF(Tab.o1[[#This Row],[a1]]=1,((Tab.o1[[#This Row],[MedMod]]-AVERAGE(Tab.o1[MedMod]))/_xlfn.STDEV.P(Tab.o1[MedMod])*H$1205)+G$1205,"")</f>
        <v/>
      </c>
      <c r="O898" s="141" t="str">
        <f>IF(Tab.o1[[#This Row],[a1]]=1,Tab.o1[[#This Row],[Zb]]*_xlfn.STDEV.P(Tab.o1[MedMod])+AVERAGE(Tab.o1[MedMod]),"")</f>
        <v/>
      </c>
      <c r="P898" s="117" t="str">
        <f ca="1">IF(Tab.o1[[#This Row],[B]]=0,AVERAGE(OFFSET(Tab.o1[[#This Row],[B]],1,0,L$3,1)),Tab.o1[[#This Row],[B]])</f>
        <v/>
      </c>
      <c r="Q898" s="121" t="str">
        <f>IF(Tab.o1[[#This Row],[a1]]=1,NORMSDIST(Tab.o1[[#This Row],[Zb]]),"")</f>
        <v/>
      </c>
      <c r="R898" s="122" t="str">
        <f>IF(Tab.o1[[#This Row],[a1]]=1,((Tab.o1[[#This Row],[MedMod]]-AVERAGE(Tab.o1[MedMod]))/_xlfn.STDEV.P(Tab.o1[MedMod])*H$1203)+G$1203,"")</f>
        <v/>
      </c>
      <c r="S898" s="122" t="str">
        <f>IF(Tab.o1[[#This Row],[a1]]=1,((Tab.o1[[#This Row],[MedMod]]-AVERAGE(Tab.o1[MedMod]))/_xlfn.STDEV.P(Tab.o1[MedMod])*H$1204)+G$1204,"")</f>
        <v/>
      </c>
      <c r="T898" s="123" t="str">
        <f>IF(Tab.o1[[#This Row],[a1]]=1,Tab.o1[[#This Row],[Z-]]*_xlfn.STDEV.P(Tab.o1[B])+AVERAGE(Tab.o1[B]),"")</f>
        <v/>
      </c>
      <c r="U898" s="123" t="str">
        <f>IF(Tab.o1[[#This Row],[a1]]=1,Tab.o1[[#This Row],[z+]]*_xlfn.STDEV.P(Tab.o1[B])+AVERAGE(Tab.o1[B]),"")</f>
        <v/>
      </c>
      <c r="V898" s="124" t="str">
        <f>IF(Tab.o1[[#This Row],[a1]]=1,ABS((ABS(Tab.o1[[#This Row],[Red]]-Tab.o1[[#This Row],[Blue]]))),"")</f>
        <v/>
      </c>
      <c r="W898" s="125" t="str">
        <f>IF(Tab.o1[[#This Row],[a1]]=1,IF(W$3=0,1,Tab.o1[[#This Row],[Amp.]]*1/_xlfn.MINIFS(Tab.o1[Amp.],Tab.o1[Amp.],"&lt;&gt;0")),"")</f>
        <v/>
      </c>
      <c r="X898" s="126" t="str">
        <f>IF(Tab.o1[[#This Row],[a1]]=1,IF(ISNUMBER(Tab.o1[[#This Row],[i.]]),NORMDIST(Tab.o1[[#This Row],[Za]],0,1,FALSE)*Tab.o1[[#This Row],[i.]],AP$3),"")</f>
        <v/>
      </c>
      <c r="Y898" s="126" t="str">
        <f>IF(Tab.o1[[#This Row],[a1]]=1,0.01+0.94*Tab.o1[[#This Row],[PDF]]/MAX(Tab.o1[PDF]),"")</f>
        <v/>
      </c>
      <c r="Z898" s="126" t="str">
        <f>IF(Tab.o1[[#This Row],[a1]]=1,0.01+0.94*Tab.o1[[#This Row],[W1_PDF]]/MAX(Tab.o1[W1_PDF]),"")</f>
        <v/>
      </c>
      <c r="AA898" s="118" t="str">
        <f>IF(Tab.o1[[#This Row],[a1]]=1,ABS([1]!T.in.A[[#This Row],[oo6]]),"")</f>
        <v/>
      </c>
      <c r="AB898" s="127" t="str">
        <f>IF(Tab.o1[[#This Row],[a1]]=1,IF(AE$3=0,"",IF(AB$3=0,ABS([1]!T.in.A[[#This Row],[oo9]]),ABS(Tab.o1[[#This Row],[DIF_Target.]]*Tab.o1[[#This Row],[W1_PDF]]))),"")</f>
        <v/>
      </c>
      <c r="AC898" s="127" t="str">
        <f>IF(G$1=1,"",IF(Tab.o1[[#This Row],[a1]]=1,Tab.o1[[#This Row],[Wr]]^2,""))</f>
        <v/>
      </c>
      <c r="AD898" s="118" t="str">
        <f>IF(Tab.o1[[#This Row],[a1]]=1,IF(AE$3=0,"",Tab.o1[[#This Row],[Wr2]]/SUM(Tab.o1[Wr2])),"")</f>
        <v/>
      </c>
      <c r="AE898" s="128" t="str">
        <f>IF(Tab.o1[[#This Row],[a1]]=1,[1]!T.in.A[[#This Row],[oo10]],"")</f>
        <v/>
      </c>
      <c r="AF898" s="118" t="str">
        <f>IF(Tab.o1[[#This Row],[a1]]=1,ABS(Tab.o1[[#This Row],[DIF_Target.]]*Tab.o1[[#This Row],[PDF2]]*Tab.o1[[#This Row],[IN]]),"")</f>
        <v/>
      </c>
      <c r="AG898" s="129" t="str">
        <f>IF(Tab.o1[[#This Row],[a1]]=1,Tab.o1[[#This Row],[rW]]^2,"")</f>
        <v/>
      </c>
      <c r="AH898" s="130" t="str">
        <f>IF(Tab.o1[[#This Row],[a1]]=1,IF(AH$3=0,Tab.o1[[#This Row],[rW2]],0.01+0.94*Tab.o1[[#This Row],[rW2]]/SUM(Tab.o1[rW2])),"")</f>
        <v/>
      </c>
      <c r="AI898" s="128" t="str">
        <f>IF(Tab.o1[[#This Row],[a1]]=1,1/Tab.o1[[#This Row],[PDF]],"")</f>
        <v/>
      </c>
      <c r="AJ898" s="131" t="str">
        <f>IF(Tab.o1[[#This Row],[a1]]=1,[1]!T_AA[[#This Row],[IN'']]*[1]!T_AA[[#This Row],[Qde'']],"")</f>
        <v/>
      </c>
      <c r="AK898" s="132" t="str">
        <f>IF(Tab.o1[[#This Row],[a1]]=1,IF(AK$1=1,Tab.o1[[#This Row],[MED]]+Tab.o1[[#This Row],[MOD]]-Tab.o1[[#This Row],[MED]],""),"")</f>
        <v/>
      </c>
      <c r="AL898" s="133" t="str">
        <f>IF(Tab.o1[[#This Row],[a1]]=1,[1]!T.in.A[[#This Row],[oo16]],"")</f>
        <v/>
      </c>
      <c r="AM898" s="133" t="str">
        <f>IF(Tab.o1[[#This Row],[a1]]=1,IF(AM$3=1,[1]!T.in.A[[#This Row],[Σo16]],""),"")</f>
        <v/>
      </c>
      <c r="AN898" s="126" t="str">
        <f>IF(Tab.o1[[#This Row],[a1]]=1,[1]!T.in.A[[#This Row],[Σp5]],"")</f>
        <v/>
      </c>
      <c r="AO898" s="126" t="str">
        <f>IF(Tab.o1[[#This Row],[a1]]=1,IF(AO$3=1,[1]!T.in.A[[#This Row],[Σp5]],""),"")</f>
        <v/>
      </c>
      <c r="AP898" s="110" t="str">
        <f>IF(Tab.o1[[#This Row],[a1]]=1,IF(ISNUMBER(Tab.o1[[#This Row],[i.]]),NORMDIST(Tab.o1[[#This Row],[Za]],0,1,FALSE)*Tab.o1[[#This Row],[i.]],0),"")</f>
        <v/>
      </c>
      <c r="AQ898" s="125" t="str">
        <f>IF(Tab.o1[[#This Row],[a1]]=1,ABS(Tab.o1[[#This Row],[MOD]]-AVERAGE(Tab.o1[MOD])),"")</f>
        <v/>
      </c>
      <c r="AR898" s="134" t="str">
        <f>IF(Tab.o1[[#This Row],[a1]]=1,Tab.o1[[#This Row],[OBS]]/SUM(Tab.o1[OBS]),"")</f>
        <v/>
      </c>
      <c r="AS898" s="135" t="str">
        <f>IF(ISNUMBER(Tab.o1[[#This Row],[a1]]),ROW()-4,"")</f>
        <v/>
      </c>
      <c r="AT898" s="136" t="str">
        <f>Tab.o1[[#This Row],[MOD]]</f>
        <v/>
      </c>
      <c r="AU898" s="137" t="str">
        <f t="shared" si="53"/>
        <v/>
      </c>
      <c r="AV898" s="138" t="str">
        <f t="shared" si="54"/>
        <v/>
      </c>
      <c r="AW898" s="138" t="str">
        <f t="shared" si="55"/>
        <v/>
      </c>
      <c r="AX898" s="139" t="str">
        <f>[1]!T.in.A[[#This Row],[ID_T_manu]]</f>
        <v/>
      </c>
      <c r="AY898" s="140" t="str">
        <f>IF(ISNUMBER(Tab.o1[[#This Row],[a1]]),IF(AND(Tab.o1[[#This Row],[a1]]=1,Tab.o1[[#This Row],[b1]]&lt;=AY$4),#REF!,AY897),"")</f>
        <v/>
      </c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6"/>
      <c r="BO898" s="26"/>
      <c r="BP898" s="26"/>
      <c r="BQ898" s="26"/>
      <c r="BR898" s="26"/>
      <c r="BS898" s="26"/>
      <c r="BT898" s="26"/>
      <c r="BU898" s="26"/>
      <c r="BV898" s="26"/>
      <c r="BW898" s="26"/>
      <c r="BX898" s="26"/>
      <c r="BY898" s="26"/>
      <c r="BZ898" s="26"/>
      <c r="CA898" s="26"/>
    </row>
    <row r="899" spans="1:79" ht="15.75" hidden="1">
      <c r="A899" s="109">
        <v>6.9999999999999999E-6</v>
      </c>
      <c r="B899" s="110">
        <f t="shared" si="52"/>
        <v>899</v>
      </c>
      <c r="C899" s="111" t="str">
        <f>IF(C$1=[1]!T.in.A[[#This Row],[oo2]],1,"")</f>
        <v/>
      </c>
      <c r="D899" s="112" t="str">
        <f>IF(Tab.o1[[#This Row],[a1]]=1,IF(SUM(C899:C900)=0,0,IF(SUM(C898:C899)=1,1,IF(SUM(C898:C900)&gt;1,D898+1,0))),"")</f>
        <v/>
      </c>
      <c r="E899" s="113" t="str">
        <f>IF(Tab.o1[[#This Row],[a1]]=1,[1]!T.in.A[[#This Row],[oo1]],"")</f>
        <v/>
      </c>
      <c r="F899" s="113" t="str">
        <f>IF(Tab.o1[[#This Row],[a1]]=1,[1]!T.in.A[[#This Row],[pp1]],"")</f>
        <v/>
      </c>
      <c r="G899" s="114" t="str">
        <f>IF(Tab.o1[[#This Row],[a1]]=1,G$2+IF(G$1=1,0,Tab.o1[[#This Row],[.x1]])+[1]!T.in.A[[#This Row],[oo3]],"")</f>
        <v/>
      </c>
      <c r="H899" s="115" t="str">
        <f>IF(Tab.o1[[#This Row],[a1]]=1,IF(H$2=0,0,IF(G$1=1,0,Tab.o1[[#This Row],[.x1]])+[1]!T.in.A[[#This Row],[oo4]]),"")</f>
        <v/>
      </c>
      <c r="I899" s="116" t="str">
        <f>IF(Tab.o1[[#This Row],[a1]]=1,IF(J$2=0,Tab.o1[[#This Row],[MED]],Tab.o1[[#This Row],[MOD]]),"")</f>
        <v/>
      </c>
      <c r="J899" s="116" t="str">
        <f>IF(Tab.o1[[#This Row],[a1]]=1,((Tab.o1[[#This Row],[DIF_Target.]]-AVERAGE(Tab.o1[DIF_Target.]))/_xlfn.STDEV.P(Tab.o1[DIF_Target.])),"")</f>
        <v/>
      </c>
      <c r="K899" s="117" t="str">
        <f>IF(Tab.o1[[#This Row],[a1]]=1,IF(J$2=0,Tab.o1[[#This Row],[MOD]]-Tab.o1[[#This Row],[B]],IF(J$2=1,0,-Tab.o1[[#This Row],[MED]])+Tab.o1[[#This Row],[B]]),"")</f>
        <v/>
      </c>
      <c r="L899" s="117" t="str">
        <f ca="1">IF(Tab.o1[[#This Row],[DIF_Target]]=0,IF(L$2=0,Tab.o1[[#This Row],[DIF_Target]],AVERAGE(OFFSET(Tab.o1[[#This Row],[DIF_Target]],1,0,L$3,1)))/3,Tab.o1[[#This Row],[DIF_Target]])</f>
        <v/>
      </c>
      <c r="M899" s="118" t="str">
        <f>IF(Tab.o1[[#This Row],[a1]]=1,NORMSDIST(Tab.o1[[#This Row],[Za]]),"")</f>
        <v/>
      </c>
      <c r="N899" s="119" t="str">
        <f>IF(Tab.o1[[#This Row],[a1]]=1,((Tab.o1[[#This Row],[MedMod]]-AVERAGE(Tab.o1[MedMod]))/_xlfn.STDEV.P(Tab.o1[MedMod])*H$1205)+G$1205,"")</f>
        <v/>
      </c>
      <c r="O899" s="141" t="str">
        <f>IF(Tab.o1[[#This Row],[a1]]=1,Tab.o1[[#This Row],[Zb]]*_xlfn.STDEV.P(Tab.o1[MedMod])+AVERAGE(Tab.o1[MedMod]),"")</f>
        <v/>
      </c>
      <c r="P899" s="117" t="str">
        <f ca="1">IF(Tab.o1[[#This Row],[B]]=0,AVERAGE(OFFSET(Tab.o1[[#This Row],[B]],1,0,L$3,1)),Tab.o1[[#This Row],[B]])</f>
        <v/>
      </c>
      <c r="Q899" s="121" t="str">
        <f>IF(Tab.o1[[#This Row],[a1]]=1,NORMSDIST(Tab.o1[[#This Row],[Zb]]),"")</f>
        <v/>
      </c>
      <c r="R899" s="122" t="str">
        <f>IF(Tab.o1[[#This Row],[a1]]=1,((Tab.o1[[#This Row],[MedMod]]-AVERAGE(Tab.o1[MedMod]))/_xlfn.STDEV.P(Tab.o1[MedMod])*H$1203)+G$1203,"")</f>
        <v/>
      </c>
      <c r="S899" s="122" t="str">
        <f>IF(Tab.o1[[#This Row],[a1]]=1,((Tab.o1[[#This Row],[MedMod]]-AVERAGE(Tab.o1[MedMod]))/_xlfn.STDEV.P(Tab.o1[MedMod])*H$1204)+G$1204,"")</f>
        <v/>
      </c>
      <c r="T899" s="123" t="str">
        <f>IF(Tab.o1[[#This Row],[a1]]=1,Tab.o1[[#This Row],[Z-]]*_xlfn.STDEV.P(Tab.o1[B])+AVERAGE(Tab.o1[B]),"")</f>
        <v/>
      </c>
      <c r="U899" s="123" t="str">
        <f>IF(Tab.o1[[#This Row],[a1]]=1,Tab.o1[[#This Row],[z+]]*_xlfn.STDEV.P(Tab.o1[B])+AVERAGE(Tab.o1[B]),"")</f>
        <v/>
      </c>
      <c r="V899" s="124" t="str">
        <f>IF(Tab.o1[[#This Row],[a1]]=1,ABS((ABS(Tab.o1[[#This Row],[Red]]-Tab.o1[[#This Row],[Blue]]))),"")</f>
        <v/>
      </c>
      <c r="W899" s="125" t="str">
        <f>IF(Tab.o1[[#This Row],[a1]]=1,IF(W$3=0,1,Tab.o1[[#This Row],[Amp.]]*1/_xlfn.MINIFS(Tab.o1[Amp.],Tab.o1[Amp.],"&lt;&gt;0")),"")</f>
        <v/>
      </c>
      <c r="X899" s="126" t="str">
        <f>IF(Tab.o1[[#This Row],[a1]]=1,IF(ISNUMBER(Tab.o1[[#This Row],[i.]]),NORMDIST(Tab.o1[[#This Row],[Za]],0,1,FALSE)*Tab.o1[[#This Row],[i.]],AP$3),"")</f>
        <v/>
      </c>
      <c r="Y899" s="126" t="str">
        <f>IF(Tab.o1[[#This Row],[a1]]=1,0.01+0.94*Tab.o1[[#This Row],[PDF]]/MAX(Tab.o1[PDF]),"")</f>
        <v/>
      </c>
      <c r="Z899" s="126" t="str">
        <f>IF(Tab.o1[[#This Row],[a1]]=1,0.01+0.94*Tab.o1[[#This Row],[W1_PDF]]/MAX(Tab.o1[W1_PDF]),"")</f>
        <v/>
      </c>
      <c r="AA899" s="118" t="str">
        <f>IF(Tab.o1[[#This Row],[a1]]=1,ABS([1]!T.in.A[[#This Row],[oo6]]),"")</f>
        <v/>
      </c>
      <c r="AB899" s="127" t="str">
        <f>IF(Tab.o1[[#This Row],[a1]]=1,IF(AE$3=0,"",IF(AB$3=0,ABS([1]!T.in.A[[#This Row],[oo9]]),ABS(Tab.o1[[#This Row],[DIF_Target.]]*Tab.o1[[#This Row],[W1_PDF]]))),"")</f>
        <v/>
      </c>
      <c r="AC899" s="127" t="str">
        <f>IF(G$1=1,"",IF(Tab.o1[[#This Row],[a1]]=1,Tab.o1[[#This Row],[Wr]]^2,""))</f>
        <v/>
      </c>
      <c r="AD899" s="118" t="str">
        <f>IF(Tab.o1[[#This Row],[a1]]=1,IF(AE$3=0,"",Tab.o1[[#This Row],[Wr2]]/SUM(Tab.o1[Wr2])),"")</f>
        <v/>
      </c>
      <c r="AE899" s="128" t="str">
        <f>IF(Tab.o1[[#This Row],[a1]]=1,[1]!T.in.A[[#This Row],[oo10]],"")</f>
        <v/>
      </c>
      <c r="AF899" s="118" t="str">
        <f>IF(Tab.o1[[#This Row],[a1]]=1,ABS(Tab.o1[[#This Row],[DIF_Target.]]*Tab.o1[[#This Row],[PDF2]]*Tab.o1[[#This Row],[IN]]),"")</f>
        <v/>
      </c>
      <c r="AG899" s="129" t="str">
        <f>IF(Tab.o1[[#This Row],[a1]]=1,Tab.o1[[#This Row],[rW]]^2,"")</f>
        <v/>
      </c>
      <c r="AH899" s="130" t="str">
        <f>IF(Tab.o1[[#This Row],[a1]]=1,IF(AH$3=0,Tab.o1[[#This Row],[rW2]],0.01+0.94*Tab.o1[[#This Row],[rW2]]/SUM(Tab.o1[rW2])),"")</f>
        <v/>
      </c>
      <c r="AI899" s="128" t="str">
        <f>IF(Tab.o1[[#This Row],[a1]]=1,1/Tab.o1[[#This Row],[PDF]],"")</f>
        <v/>
      </c>
      <c r="AJ899" s="131" t="str">
        <f>IF(Tab.o1[[#This Row],[a1]]=1,[1]!T_AA[[#This Row],[IN'']]*[1]!T_AA[[#This Row],[Qde'']],"")</f>
        <v/>
      </c>
      <c r="AK899" s="132" t="str">
        <f>IF(Tab.o1[[#This Row],[a1]]=1,IF(AK$1=1,Tab.o1[[#This Row],[MED]]+Tab.o1[[#This Row],[MOD]]-Tab.o1[[#This Row],[MED]],""),"")</f>
        <v/>
      </c>
      <c r="AL899" s="133" t="str">
        <f>IF(Tab.o1[[#This Row],[a1]]=1,[1]!T.in.A[[#This Row],[oo16]],"")</f>
        <v/>
      </c>
      <c r="AM899" s="133" t="str">
        <f>IF(Tab.o1[[#This Row],[a1]]=1,IF(AM$3=1,[1]!T.in.A[[#This Row],[Σo16]],""),"")</f>
        <v/>
      </c>
      <c r="AN899" s="126" t="str">
        <f>IF(Tab.o1[[#This Row],[a1]]=1,[1]!T.in.A[[#This Row],[Σp5]],"")</f>
        <v/>
      </c>
      <c r="AO899" s="126" t="str">
        <f>IF(Tab.o1[[#This Row],[a1]]=1,IF(AO$3=1,[1]!T.in.A[[#This Row],[Σp5]],""),"")</f>
        <v/>
      </c>
      <c r="AP899" s="110" t="str">
        <f>IF(Tab.o1[[#This Row],[a1]]=1,IF(ISNUMBER(Tab.o1[[#This Row],[i.]]),NORMDIST(Tab.o1[[#This Row],[Za]],0,1,FALSE)*Tab.o1[[#This Row],[i.]],0),"")</f>
        <v/>
      </c>
      <c r="AQ899" s="125" t="str">
        <f>IF(Tab.o1[[#This Row],[a1]]=1,ABS(Tab.o1[[#This Row],[MOD]]-AVERAGE(Tab.o1[MOD])),"")</f>
        <v/>
      </c>
      <c r="AR899" s="134" t="str">
        <f>IF(Tab.o1[[#This Row],[a1]]=1,Tab.o1[[#This Row],[OBS]]/SUM(Tab.o1[OBS]),"")</f>
        <v/>
      </c>
      <c r="AS899" s="135" t="str">
        <f>IF(ISNUMBER(Tab.o1[[#This Row],[a1]]),ROW()-4,"")</f>
        <v/>
      </c>
      <c r="AT899" s="136" t="str">
        <f>Tab.o1[[#This Row],[MOD]]</f>
        <v/>
      </c>
      <c r="AU899" s="137" t="str">
        <f t="shared" si="53"/>
        <v/>
      </c>
      <c r="AV899" s="138" t="str">
        <f t="shared" si="54"/>
        <v/>
      </c>
      <c r="AW899" s="138" t="str">
        <f t="shared" si="55"/>
        <v/>
      </c>
      <c r="AX899" s="139" t="str">
        <f>[1]!T.in.A[[#This Row],[ID_T_manu]]</f>
        <v/>
      </c>
      <c r="AY899" s="140" t="str">
        <f>IF(ISNUMBER(Tab.o1[[#This Row],[a1]]),IF(AND(Tab.o1[[#This Row],[a1]]=1,Tab.o1[[#This Row],[b1]]&lt;=AY$4),#REF!,AY898),"")</f>
        <v/>
      </c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6"/>
      <c r="BO899" s="26"/>
      <c r="BP899" s="26"/>
      <c r="BQ899" s="26"/>
      <c r="BR899" s="26"/>
      <c r="BS899" s="26"/>
      <c r="BT899" s="26"/>
      <c r="BU899" s="26"/>
      <c r="BV899" s="26"/>
      <c r="BW899" s="26"/>
      <c r="BX899" s="26"/>
      <c r="BY899" s="26"/>
      <c r="BZ899" s="26"/>
      <c r="CA899" s="26"/>
    </row>
    <row r="900" spans="1:79" ht="15.75" hidden="1">
      <c r="A900" s="109">
        <v>-5.0000000000000004E-6</v>
      </c>
      <c r="B900" s="110">
        <f t="shared" si="52"/>
        <v>900</v>
      </c>
      <c r="C900" s="111" t="str">
        <f>IF(C$1=[1]!T.in.A[[#This Row],[oo2]],1,"")</f>
        <v/>
      </c>
      <c r="D900" s="112" t="str">
        <f>IF(Tab.o1[[#This Row],[a1]]=1,IF(SUM(C900:C901)=0,0,IF(SUM(C899:C900)=1,1,IF(SUM(C899:C901)&gt;1,D899+1,0))),"")</f>
        <v/>
      </c>
      <c r="E900" s="113" t="str">
        <f>IF(Tab.o1[[#This Row],[a1]]=1,[1]!T.in.A[[#This Row],[oo1]],"")</f>
        <v/>
      </c>
      <c r="F900" s="113" t="str">
        <f>IF(Tab.o1[[#This Row],[a1]]=1,[1]!T.in.A[[#This Row],[pp1]],"")</f>
        <v/>
      </c>
      <c r="G900" s="114" t="str">
        <f>IF(Tab.o1[[#This Row],[a1]]=1,G$2+IF(G$1=1,0,Tab.o1[[#This Row],[.x1]])+[1]!T.in.A[[#This Row],[oo3]],"")</f>
        <v/>
      </c>
      <c r="H900" s="115" t="str">
        <f>IF(Tab.o1[[#This Row],[a1]]=1,IF(H$2=0,0,IF(G$1=1,0,Tab.o1[[#This Row],[.x1]])+[1]!T.in.A[[#This Row],[oo4]]),"")</f>
        <v/>
      </c>
      <c r="I900" s="116" t="str">
        <f>IF(Tab.o1[[#This Row],[a1]]=1,IF(J$2=0,Tab.o1[[#This Row],[MED]],Tab.o1[[#This Row],[MOD]]),"")</f>
        <v/>
      </c>
      <c r="J900" s="116" t="str">
        <f>IF(Tab.o1[[#This Row],[a1]]=1,((Tab.o1[[#This Row],[DIF_Target.]]-AVERAGE(Tab.o1[DIF_Target.]))/_xlfn.STDEV.P(Tab.o1[DIF_Target.])),"")</f>
        <v/>
      </c>
      <c r="K900" s="117" t="str">
        <f>IF(Tab.o1[[#This Row],[a1]]=1,IF(J$2=0,Tab.o1[[#This Row],[MOD]]-Tab.o1[[#This Row],[B]],IF(J$2=1,0,-Tab.o1[[#This Row],[MED]])+Tab.o1[[#This Row],[B]]),"")</f>
        <v/>
      </c>
      <c r="L900" s="117" t="str">
        <f ca="1">IF(Tab.o1[[#This Row],[DIF_Target]]=0,IF(L$2=0,Tab.o1[[#This Row],[DIF_Target]],AVERAGE(OFFSET(Tab.o1[[#This Row],[DIF_Target]],1,0,L$3,1)))/3,Tab.o1[[#This Row],[DIF_Target]])</f>
        <v/>
      </c>
      <c r="M900" s="118" t="str">
        <f>IF(Tab.o1[[#This Row],[a1]]=1,NORMSDIST(Tab.o1[[#This Row],[Za]]),"")</f>
        <v/>
      </c>
      <c r="N900" s="119" t="str">
        <f>IF(Tab.o1[[#This Row],[a1]]=1,((Tab.o1[[#This Row],[MedMod]]-AVERAGE(Tab.o1[MedMod]))/_xlfn.STDEV.P(Tab.o1[MedMod])*H$1205)+G$1205,"")</f>
        <v/>
      </c>
      <c r="O900" s="141" t="str">
        <f>IF(Tab.o1[[#This Row],[a1]]=1,Tab.o1[[#This Row],[Zb]]*_xlfn.STDEV.P(Tab.o1[MedMod])+AVERAGE(Tab.o1[MedMod]),"")</f>
        <v/>
      </c>
      <c r="P900" s="117" t="str">
        <f ca="1">IF(Tab.o1[[#This Row],[B]]=0,AVERAGE(OFFSET(Tab.o1[[#This Row],[B]],1,0,L$3,1)),Tab.o1[[#This Row],[B]])</f>
        <v/>
      </c>
      <c r="Q900" s="121" t="str">
        <f>IF(Tab.o1[[#This Row],[a1]]=1,NORMSDIST(Tab.o1[[#This Row],[Zb]]),"")</f>
        <v/>
      </c>
      <c r="R900" s="122" t="str">
        <f>IF(Tab.o1[[#This Row],[a1]]=1,((Tab.o1[[#This Row],[MedMod]]-AVERAGE(Tab.o1[MedMod]))/_xlfn.STDEV.P(Tab.o1[MedMod])*H$1203)+G$1203,"")</f>
        <v/>
      </c>
      <c r="S900" s="122" t="str">
        <f>IF(Tab.o1[[#This Row],[a1]]=1,((Tab.o1[[#This Row],[MedMod]]-AVERAGE(Tab.o1[MedMod]))/_xlfn.STDEV.P(Tab.o1[MedMod])*H$1204)+G$1204,"")</f>
        <v/>
      </c>
      <c r="T900" s="123" t="str">
        <f>IF(Tab.o1[[#This Row],[a1]]=1,Tab.o1[[#This Row],[Z-]]*_xlfn.STDEV.P(Tab.o1[B])+AVERAGE(Tab.o1[B]),"")</f>
        <v/>
      </c>
      <c r="U900" s="123" t="str">
        <f>IF(Tab.o1[[#This Row],[a1]]=1,Tab.o1[[#This Row],[z+]]*_xlfn.STDEV.P(Tab.o1[B])+AVERAGE(Tab.o1[B]),"")</f>
        <v/>
      </c>
      <c r="V900" s="124" t="str">
        <f>IF(Tab.o1[[#This Row],[a1]]=1,ABS((ABS(Tab.o1[[#This Row],[Red]]-Tab.o1[[#This Row],[Blue]]))),"")</f>
        <v/>
      </c>
      <c r="W900" s="125" t="str">
        <f>IF(Tab.o1[[#This Row],[a1]]=1,IF(W$3=0,1,Tab.o1[[#This Row],[Amp.]]*1/_xlfn.MINIFS(Tab.o1[Amp.],Tab.o1[Amp.],"&lt;&gt;0")),"")</f>
        <v/>
      </c>
      <c r="X900" s="126" t="str">
        <f>IF(Tab.o1[[#This Row],[a1]]=1,IF(ISNUMBER(Tab.o1[[#This Row],[i.]]),NORMDIST(Tab.o1[[#This Row],[Za]],0,1,FALSE)*Tab.o1[[#This Row],[i.]],AP$3),"")</f>
        <v/>
      </c>
      <c r="Y900" s="126" t="str">
        <f>IF(Tab.o1[[#This Row],[a1]]=1,0.01+0.94*Tab.o1[[#This Row],[PDF]]/MAX(Tab.o1[PDF]),"")</f>
        <v/>
      </c>
      <c r="Z900" s="126" t="str">
        <f>IF(Tab.o1[[#This Row],[a1]]=1,0.01+0.94*Tab.o1[[#This Row],[W1_PDF]]/MAX(Tab.o1[W1_PDF]),"")</f>
        <v/>
      </c>
      <c r="AA900" s="118" t="str">
        <f>IF(Tab.o1[[#This Row],[a1]]=1,ABS([1]!T.in.A[[#This Row],[oo6]]),"")</f>
        <v/>
      </c>
      <c r="AB900" s="127" t="str">
        <f>IF(Tab.o1[[#This Row],[a1]]=1,IF(AE$3=0,"",IF(AB$3=0,ABS([1]!T.in.A[[#This Row],[oo9]]),ABS(Tab.o1[[#This Row],[DIF_Target.]]*Tab.o1[[#This Row],[W1_PDF]]))),"")</f>
        <v/>
      </c>
      <c r="AC900" s="127" t="str">
        <f>IF(G$1=1,"",IF(Tab.o1[[#This Row],[a1]]=1,Tab.o1[[#This Row],[Wr]]^2,""))</f>
        <v/>
      </c>
      <c r="AD900" s="118" t="str">
        <f>IF(Tab.o1[[#This Row],[a1]]=1,IF(AE$3=0,"",Tab.o1[[#This Row],[Wr2]]/SUM(Tab.o1[Wr2])),"")</f>
        <v/>
      </c>
      <c r="AE900" s="128" t="str">
        <f>IF(Tab.o1[[#This Row],[a1]]=1,[1]!T.in.A[[#This Row],[oo10]],"")</f>
        <v/>
      </c>
      <c r="AF900" s="118" t="str">
        <f>IF(Tab.o1[[#This Row],[a1]]=1,ABS(Tab.o1[[#This Row],[DIF_Target.]]*Tab.o1[[#This Row],[PDF2]]*Tab.o1[[#This Row],[IN]]),"")</f>
        <v/>
      </c>
      <c r="AG900" s="129" t="str">
        <f>IF(Tab.o1[[#This Row],[a1]]=1,Tab.o1[[#This Row],[rW]]^2,"")</f>
        <v/>
      </c>
      <c r="AH900" s="130" t="str">
        <f>IF(Tab.o1[[#This Row],[a1]]=1,IF(AH$3=0,Tab.o1[[#This Row],[rW2]],0.01+0.94*Tab.o1[[#This Row],[rW2]]/SUM(Tab.o1[rW2])),"")</f>
        <v/>
      </c>
      <c r="AI900" s="128" t="str">
        <f>IF(Tab.o1[[#This Row],[a1]]=1,1/Tab.o1[[#This Row],[PDF]],"")</f>
        <v/>
      </c>
      <c r="AJ900" s="131" t="str">
        <f>IF(Tab.o1[[#This Row],[a1]]=1,[1]!T_AA[[#This Row],[IN'']]*[1]!T_AA[[#This Row],[Qde'']],"")</f>
        <v/>
      </c>
      <c r="AK900" s="132" t="str">
        <f>IF(Tab.o1[[#This Row],[a1]]=1,IF(AK$1=1,Tab.o1[[#This Row],[MED]]+Tab.o1[[#This Row],[MOD]]-Tab.o1[[#This Row],[MED]],""),"")</f>
        <v/>
      </c>
      <c r="AL900" s="133" t="str">
        <f>IF(Tab.o1[[#This Row],[a1]]=1,[1]!T.in.A[[#This Row],[oo16]],"")</f>
        <v/>
      </c>
      <c r="AM900" s="133" t="str">
        <f>IF(Tab.o1[[#This Row],[a1]]=1,IF(AM$3=1,[1]!T.in.A[[#This Row],[Σo16]],""),"")</f>
        <v/>
      </c>
      <c r="AN900" s="126" t="str">
        <f>IF(Tab.o1[[#This Row],[a1]]=1,[1]!T.in.A[[#This Row],[Σp5]],"")</f>
        <v/>
      </c>
      <c r="AO900" s="126" t="str">
        <f>IF(Tab.o1[[#This Row],[a1]]=1,IF(AO$3=1,[1]!T.in.A[[#This Row],[Σp5]],""),"")</f>
        <v/>
      </c>
      <c r="AP900" s="110" t="str">
        <f>IF(Tab.o1[[#This Row],[a1]]=1,IF(ISNUMBER(Tab.o1[[#This Row],[i.]]),NORMDIST(Tab.o1[[#This Row],[Za]],0,1,FALSE)*Tab.o1[[#This Row],[i.]],0),"")</f>
        <v/>
      </c>
      <c r="AQ900" s="125" t="str">
        <f>IF(Tab.o1[[#This Row],[a1]]=1,ABS(Tab.o1[[#This Row],[MOD]]-AVERAGE(Tab.o1[MOD])),"")</f>
        <v/>
      </c>
      <c r="AR900" s="134" t="str">
        <f>IF(Tab.o1[[#This Row],[a1]]=1,Tab.o1[[#This Row],[OBS]]/SUM(Tab.o1[OBS]),"")</f>
        <v/>
      </c>
      <c r="AS900" s="135" t="str">
        <f>IF(ISNUMBER(Tab.o1[[#This Row],[a1]]),ROW()-4,"")</f>
        <v/>
      </c>
      <c r="AT900" s="136" t="str">
        <f>Tab.o1[[#This Row],[MOD]]</f>
        <v/>
      </c>
      <c r="AU900" s="137" t="str">
        <f t="shared" si="53"/>
        <v/>
      </c>
      <c r="AV900" s="138" t="str">
        <f t="shared" si="54"/>
        <v/>
      </c>
      <c r="AW900" s="138" t="str">
        <f t="shared" si="55"/>
        <v/>
      </c>
      <c r="AX900" s="139" t="str">
        <f>[1]!T.in.A[[#This Row],[ID_T_manu]]</f>
        <v/>
      </c>
      <c r="AY900" s="140" t="str">
        <f>IF(ISNUMBER(Tab.o1[[#This Row],[a1]]),IF(AND(Tab.o1[[#This Row],[a1]]=1,Tab.o1[[#This Row],[b1]]&lt;=AY$4),#REF!,AY899),"")</f>
        <v/>
      </c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6"/>
      <c r="BO900" s="26"/>
      <c r="BP900" s="26"/>
      <c r="BQ900" s="26"/>
      <c r="BR900" s="26"/>
      <c r="BS900" s="26"/>
      <c r="BT900" s="26"/>
      <c r="BU900" s="26"/>
      <c r="BV900" s="26"/>
      <c r="BW900" s="26"/>
      <c r="BX900" s="26"/>
      <c r="BY900" s="26"/>
      <c r="BZ900" s="26"/>
      <c r="CA900" s="26"/>
    </row>
    <row r="901" spans="1:79" ht="15.75" hidden="1">
      <c r="A901" s="109">
        <v>5.0000000000000004E-6</v>
      </c>
      <c r="B901" s="110">
        <f t="shared" si="52"/>
        <v>901</v>
      </c>
      <c r="C901" s="111" t="str">
        <f>IF(C$1=[1]!T.in.A[[#This Row],[oo2]],1,"")</f>
        <v/>
      </c>
      <c r="D901" s="112" t="str">
        <f>IF(Tab.o1[[#This Row],[a1]]=1,IF(SUM(C901:C902)=0,0,IF(SUM(C900:C901)=1,1,IF(SUM(C900:C902)&gt;1,D900+1,0))),"")</f>
        <v/>
      </c>
      <c r="E901" s="113" t="str">
        <f>IF(Tab.o1[[#This Row],[a1]]=1,[1]!T.in.A[[#This Row],[oo1]],"")</f>
        <v/>
      </c>
      <c r="F901" s="113" t="str">
        <f>IF(Tab.o1[[#This Row],[a1]]=1,[1]!T.in.A[[#This Row],[pp1]],"")</f>
        <v/>
      </c>
      <c r="G901" s="114" t="str">
        <f>IF(Tab.o1[[#This Row],[a1]]=1,G$2+IF(G$1=1,0,Tab.o1[[#This Row],[.x1]])+[1]!T.in.A[[#This Row],[oo3]],"")</f>
        <v/>
      </c>
      <c r="H901" s="115" t="str">
        <f>IF(Tab.o1[[#This Row],[a1]]=1,IF(H$2=0,0,IF(G$1=1,0,Tab.o1[[#This Row],[.x1]])+[1]!T.in.A[[#This Row],[oo4]]),"")</f>
        <v/>
      </c>
      <c r="I901" s="116" t="str">
        <f>IF(Tab.o1[[#This Row],[a1]]=1,IF(J$2=0,Tab.o1[[#This Row],[MED]],Tab.o1[[#This Row],[MOD]]),"")</f>
        <v/>
      </c>
      <c r="J901" s="116" t="str">
        <f>IF(Tab.o1[[#This Row],[a1]]=1,((Tab.o1[[#This Row],[DIF_Target.]]-AVERAGE(Tab.o1[DIF_Target.]))/_xlfn.STDEV.P(Tab.o1[DIF_Target.])),"")</f>
        <v/>
      </c>
      <c r="K901" s="117" t="str">
        <f>IF(Tab.o1[[#This Row],[a1]]=1,IF(J$2=0,Tab.o1[[#This Row],[MOD]]-Tab.o1[[#This Row],[B]],IF(J$2=1,0,-Tab.o1[[#This Row],[MED]])+Tab.o1[[#This Row],[B]]),"")</f>
        <v/>
      </c>
      <c r="L901" s="117" t="str">
        <f ca="1">IF(Tab.o1[[#This Row],[DIF_Target]]=0,IF(L$2=0,Tab.o1[[#This Row],[DIF_Target]],AVERAGE(OFFSET(Tab.o1[[#This Row],[DIF_Target]],1,0,L$3,1)))/3,Tab.o1[[#This Row],[DIF_Target]])</f>
        <v/>
      </c>
      <c r="M901" s="118" t="str">
        <f>IF(Tab.o1[[#This Row],[a1]]=1,NORMSDIST(Tab.o1[[#This Row],[Za]]),"")</f>
        <v/>
      </c>
      <c r="N901" s="119" t="str">
        <f>IF(Tab.o1[[#This Row],[a1]]=1,((Tab.o1[[#This Row],[MedMod]]-AVERAGE(Tab.o1[MedMod]))/_xlfn.STDEV.P(Tab.o1[MedMod])*H$1205)+G$1205,"")</f>
        <v/>
      </c>
      <c r="O901" s="141" t="str">
        <f>IF(Tab.o1[[#This Row],[a1]]=1,Tab.o1[[#This Row],[Zb]]*_xlfn.STDEV.P(Tab.o1[MedMod])+AVERAGE(Tab.o1[MedMod]),"")</f>
        <v/>
      </c>
      <c r="P901" s="117" t="str">
        <f ca="1">IF(Tab.o1[[#This Row],[B]]=0,AVERAGE(OFFSET(Tab.o1[[#This Row],[B]],1,0,L$3,1)),Tab.o1[[#This Row],[B]])</f>
        <v/>
      </c>
      <c r="Q901" s="121" t="str">
        <f>IF(Tab.o1[[#This Row],[a1]]=1,NORMSDIST(Tab.o1[[#This Row],[Zb]]),"")</f>
        <v/>
      </c>
      <c r="R901" s="122" t="str">
        <f>IF(Tab.o1[[#This Row],[a1]]=1,((Tab.o1[[#This Row],[MedMod]]-AVERAGE(Tab.o1[MedMod]))/_xlfn.STDEV.P(Tab.o1[MedMod])*H$1203)+G$1203,"")</f>
        <v/>
      </c>
      <c r="S901" s="122" t="str">
        <f>IF(Tab.o1[[#This Row],[a1]]=1,((Tab.o1[[#This Row],[MedMod]]-AVERAGE(Tab.o1[MedMod]))/_xlfn.STDEV.P(Tab.o1[MedMod])*H$1204)+G$1204,"")</f>
        <v/>
      </c>
      <c r="T901" s="123" t="str">
        <f>IF(Tab.o1[[#This Row],[a1]]=1,Tab.o1[[#This Row],[Z-]]*_xlfn.STDEV.P(Tab.o1[B])+AVERAGE(Tab.o1[B]),"")</f>
        <v/>
      </c>
      <c r="U901" s="123" t="str">
        <f>IF(Tab.o1[[#This Row],[a1]]=1,Tab.o1[[#This Row],[z+]]*_xlfn.STDEV.P(Tab.o1[B])+AVERAGE(Tab.o1[B]),"")</f>
        <v/>
      </c>
      <c r="V901" s="124" t="str">
        <f>IF(Tab.o1[[#This Row],[a1]]=1,ABS((ABS(Tab.o1[[#This Row],[Red]]-Tab.o1[[#This Row],[Blue]]))),"")</f>
        <v/>
      </c>
      <c r="W901" s="125" t="str">
        <f>IF(Tab.o1[[#This Row],[a1]]=1,IF(W$3=0,1,Tab.o1[[#This Row],[Amp.]]*1/_xlfn.MINIFS(Tab.o1[Amp.],Tab.o1[Amp.],"&lt;&gt;0")),"")</f>
        <v/>
      </c>
      <c r="X901" s="126" t="str">
        <f>IF(Tab.o1[[#This Row],[a1]]=1,IF(ISNUMBER(Tab.o1[[#This Row],[i.]]),NORMDIST(Tab.o1[[#This Row],[Za]],0,1,FALSE)*Tab.o1[[#This Row],[i.]],AP$3),"")</f>
        <v/>
      </c>
      <c r="Y901" s="126" t="str">
        <f>IF(Tab.o1[[#This Row],[a1]]=1,0.01+0.94*Tab.o1[[#This Row],[PDF]]/MAX(Tab.o1[PDF]),"")</f>
        <v/>
      </c>
      <c r="Z901" s="126" t="str">
        <f>IF(Tab.o1[[#This Row],[a1]]=1,0.01+0.94*Tab.o1[[#This Row],[W1_PDF]]/MAX(Tab.o1[W1_PDF]),"")</f>
        <v/>
      </c>
      <c r="AA901" s="118" t="str">
        <f>IF(Tab.o1[[#This Row],[a1]]=1,ABS([1]!T.in.A[[#This Row],[oo6]]),"")</f>
        <v/>
      </c>
      <c r="AB901" s="127" t="str">
        <f>IF(Tab.o1[[#This Row],[a1]]=1,IF(AE$3=0,"",IF(AB$3=0,ABS([1]!T.in.A[[#This Row],[oo9]]),ABS(Tab.o1[[#This Row],[DIF_Target.]]*Tab.o1[[#This Row],[W1_PDF]]))),"")</f>
        <v/>
      </c>
      <c r="AC901" s="127" t="str">
        <f>IF(G$1=1,"",IF(Tab.o1[[#This Row],[a1]]=1,Tab.o1[[#This Row],[Wr]]^2,""))</f>
        <v/>
      </c>
      <c r="AD901" s="118" t="str">
        <f>IF(Tab.o1[[#This Row],[a1]]=1,IF(AE$3=0,"",Tab.o1[[#This Row],[Wr2]]/SUM(Tab.o1[Wr2])),"")</f>
        <v/>
      </c>
      <c r="AE901" s="128" t="str">
        <f>IF(Tab.o1[[#This Row],[a1]]=1,[1]!T.in.A[[#This Row],[oo10]],"")</f>
        <v/>
      </c>
      <c r="AF901" s="118" t="str">
        <f>IF(Tab.o1[[#This Row],[a1]]=1,ABS(Tab.o1[[#This Row],[DIF_Target.]]*Tab.o1[[#This Row],[PDF2]]*Tab.o1[[#This Row],[IN]]),"")</f>
        <v/>
      </c>
      <c r="AG901" s="129" t="str">
        <f>IF(Tab.o1[[#This Row],[a1]]=1,Tab.o1[[#This Row],[rW]]^2,"")</f>
        <v/>
      </c>
      <c r="AH901" s="130" t="str">
        <f>IF(Tab.o1[[#This Row],[a1]]=1,IF(AH$3=0,Tab.o1[[#This Row],[rW2]],0.01+0.94*Tab.o1[[#This Row],[rW2]]/SUM(Tab.o1[rW2])),"")</f>
        <v/>
      </c>
      <c r="AI901" s="128" t="str">
        <f>IF(Tab.o1[[#This Row],[a1]]=1,1/Tab.o1[[#This Row],[PDF]],"")</f>
        <v/>
      </c>
      <c r="AJ901" s="131" t="str">
        <f>IF(Tab.o1[[#This Row],[a1]]=1,[1]!T_AA[[#This Row],[IN'']]*[1]!T_AA[[#This Row],[Qde'']],"")</f>
        <v/>
      </c>
      <c r="AK901" s="132" t="str">
        <f>IF(Tab.o1[[#This Row],[a1]]=1,IF(AK$1=1,Tab.o1[[#This Row],[MED]]+Tab.o1[[#This Row],[MOD]]-Tab.o1[[#This Row],[MED]],""),"")</f>
        <v/>
      </c>
      <c r="AL901" s="133" t="str">
        <f>IF(Tab.o1[[#This Row],[a1]]=1,[1]!T.in.A[[#This Row],[oo16]],"")</f>
        <v/>
      </c>
      <c r="AM901" s="133" t="str">
        <f>IF(Tab.o1[[#This Row],[a1]]=1,IF(AM$3=1,[1]!T.in.A[[#This Row],[Σo16]],""),"")</f>
        <v/>
      </c>
      <c r="AN901" s="126" t="str">
        <f>IF(Tab.o1[[#This Row],[a1]]=1,[1]!T.in.A[[#This Row],[Σp5]],"")</f>
        <v/>
      </c>
      <c r="AO901" s="126" t="str">
        <f>IF(Tab.o1[[#This Row],[a1]]=1,IF(AO$3=1,[1]!T.in.A[[#This Row],[Σp5]],""),"")</f>
        <v/>
      </c>
      <c r="AP901" s="110" t="str">
        <f>IF(Tab.o1[[#This Row],[a1]]=1,IF(ISNUMBER(Tab.o1[[#This Row],[i.]]),NORMDIST(Tab.o1[[#This Row],[Za]],0,1,FALSE)*Tab.o1[[#This Row],[i.]],0),"")</f>
        <v/>
      </c>
      <c r="AQ901" s="125" t="str">
        <f>IF(Tab.o1[[#This Row],[a1]]=1,ABS(Tab.o1[[#This Row],[MOD]]-AVERAGE(Tab.o1[MOD])),"")</f>
        <v/>
      </c>
      <c r="AR901" s="134" t="str">
        <f>IF(Tab.o1[[#This Row],[a1]]=1,Tab.o1[[#This Row],[OBS]]/SUM(Tab.o1[OBS]),"")</f>
        <v/>
      </c>
      <c r="AS901" s="135" t="str">
        <f>IF(ISNUMBER(Tab.o1[[#This Row],[a1]]),ROW()-4,"")</f>
        <v/>
      </c>
      <c r="AT901" s="136" t="str">
        <f>Tab.o1[[#This Row],[MOD]]</f>
        <v/>
      </c>
      <c r="AU901" s="137" t="str">
        <f t="shared" si="53"/>
        <v/>
      </c>
      <c r="AV901" s="138" t="str">
        <f t="shared" si="54"/>
        <v/>
      </c>
      <c r="AW901" s="138" t="str">
        <f t="shared" si="55"/>
        <v/>
      </c>
      <c r="AX901" s="139" t="str">
        <f>[1]!T.in.A[[#This Row],[ID_T_manu]]</f>
        <v/>
      </c>
      <c r="AY901" s="140" t="str">
        <f>IF(ISNUMBER(Tab.o1[[#This Row],[a1]]),IF(AND(Tab.o1[[#This Row],[a1]]=1,Tab.o1[[#This Row],[b1]]&lt;=AY$4),#REF!,AY900),"")</f>
        <v/>
      </c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6"/>
      <c r="BO901" s="26"/>
      <c r="BP901" s="26"/>
      <c r="BQ901" s="26"/>
      <c r="BR901" s="26"/>
      <c r="BS901" s="26"/>
      <c r="BT901" s="26"/>
      <c r="BU901" s="26"/>
      <c r="BV901" s="26"/>
      <c r="BW901" s="26"/>
      <c r="BX901" s="26"/>
      <c r="BY901" s="26"/>
      <c r="BZ901" s="26"/>
      <c r="CA901" s="26"/>
    </row>
    <row r="902" spans="1:79" ht="15.75" hidden="1">
      <c r="A902" s="109">
        <v>-8.0000000000000013E-6</v>
      </c>
      <c r="B902" s="110">
        <f t="shared" ref="B902:B965" si="56">B901+1</f>
        <v>902</v>
      </c>
      <c r="C902" s="111" t="str">
        <f>IF(C$1=[1]!T.in.A[[#This Row],[oo2]],1,"")</f>
        <v/>
      </c>
      <c r="D902" s="112" t="str">
        <f>IF(Tab.o1[[#This Row],[a1]]=1,IF(SUM(C902:C903)=0,0,IF(SUM(C901:C902)=1,1,IF(SUM(C901:C903)&gt;1,D901+1,0))),"")</f>
        <v/>
      </c>
      <c r="E902" s="113" t="str">
        <f>IF(Tab.o1[[#This Row],[a1]]=1,[1]!T.in.A[[#This Row],[oo1]],"")</f>
        <v/>
      </c>
      <c r="F902" s="113" t="str">
        <f>IF(Tab.o1[[#This Row],[a1]]=1,[1]!T.in.A[[#This Row],[pp1]],"")</f>
        <v/>
      </c>
      <c r="G902" s="114" t="str">
        <f>IF(Tab.o1[[#This Row],[a1]]=1,G$2+IF(G$1=1,0,Tab.o1[[#This Row],[.x1]])+[1]!T.in.A[[#This Row],[oo3]],"")</f>
        <v/>
      </c>
      <c r="H902" s="115" t="str">
        <f>IF(Tab.o1[[#This Row],[a1]]=1,IF(H$2=0,0,IF(G$1=1,0,Tab.o1[[#This Row],[.x1]])+[1]!T.in.A[[#This Row],[oo4]]),"")</f>
        <v/>
      </c>
      <c r="I902" s="116" t="str">
        <f>IF(Tab.o1[[#This Row],[a1]]=1,IF(J$2=0,Tab.o1[[#This Row],[MED]],Tab.o1[[#This Row],[MOD]]),"")</f>
        <v/>
      </c>
      <c r="J902" s="116" t="str">
        <f>IF(Tab.o1[[#This Row],[a1]]=1,((Tab.o1[[#This Row],[DIF_Target.]]-AVERAGE(Tab.o1[DIF_Target.]))/_xlfn.STDEV.P(Tab.o1[DIF_Target.])),"")</f>
        <v/>
      </c>
      <c r="K902" s="117" t="str">
        <f>IF(Tab.o1[[#This Row],[a1]]=1,IF(J$2=0,Tab.o1[[#This Row],[MOD]]-Tab.o1[[#This Row],[B]],IF(J$2=1,0,-Tab.o1[[#This Row],[MED]])+Tab.o1[[#This Row],[B]]),"")</f>
        <v/>
      </c>
      <c r="L902" s="117" t="str">
        <f ca="1">IF(Tab.o1[[#This Row],[DIF_Target]]=0,IF(L$2=0,Tab.o1[[#This Row],[DIF_Target]],AVERAGE(OFFSET(Tab.o1[[#This Row],[DIF_Target]],1,0,L$3,1)))/3,Tab.o1[[#This Row],[DIF_Target]])</f>
        <v/>
      </c>
      <c r="M902" s="118" t="str">
        <f>IF(Tab.o1[[#This Row],[a1]]=1,NORMSDIST(Tab.o1[[#This Row],[Za]]),"")</f>
        <v/>
      </c>
      <c r="N902" s="119" t="str">
        <f>IF(Tab.o1[[#This Row],[a1]]=1,((Tab.o1[[#This Row],[MedMod]]-AVERAGE(Tab.o1[MedMod]))/_xlfn.STDEV.P(Tab.o1[MedMod])*H$1205)+G$1205,"")</f>
        <v/>
      </c>
      <c r="O902" s="141" t="str">
        <f>IF(Tab.o1[[#This Row],[a1]]=1,Tab.o1[[#This Row],[Zb]]*_xlfn.STDEV.P(Tab.o1[MedMod])+AVERAGE(Tab.o1[MedMod]),"")</f>
        <v/>
      </c>
      <c r="P902" s="117" t="str">
        <f ca="1">IF(Tab.o1[[#This Row],[B]]=0,AVERAGE(OFFSET(Tab.o1[[#This Row],[B]],1,0,L$3,1)),Tab.o1[[#This Row],[B]])</f>
        <v/>
      </c>
      <c r="Q902" s="121" t="str">
        <f>IF(Tab.o1[[#This Row],[a1]]=1,NORMSDIST(Tab.o1[[#This Row],[Zb]]),"")</f>
        <v/>
      </c>
      <c r="R902" s="122" t="str">
        <f>IF(Tab.o1[[#This Row],[a1]]=1,((Tab.o1[[#This Row],[MedMod]]-AVERAGE(Tab.o1[MedMod]))/_xlfn.STDEV.P(Tab.o1[MedMod])*H$1203)+G$1203,"")</f>
        <v/>
      </c>
      <c r="S902" s="122" t="str">
        <f>IF(Tab.o1[[#This Row],[a1]]=1,((Tab.o1[[#This Row],[MedMod]]-AVERAGE(Tab.o1[MedMod]))/_xlfn.STDEV.P(Tab.o1[MedMod])*H$1204)+G$1204,"")</f>
        <v/>
      </c>
      <c r="T902" s="123" t="str">
        <f>IF(Tab.o1[[#This Row],[a1]]=1,Tab.o1[[#This Row],[Z-]]*_xlfn.STDEV.P(Tab.o1[B])+AVERAGE(Tab.o1[B]),"")</f>
        <v/>
      </c>
      <c r="U902" s="123" t="str">
        <f>IF(Tab.o1[[#This Row],[a1]]=1,Tab.o1[[#This Row],[z+]]*_xlfn.STDEV.P(Tab.o1[B])+AVERAGE(Tab.o1[B]),"")</f>
        <v/>
      </c>
      <c r="V902" s="124" t="str">
        <f>IF(Tab.o1[[#This Row],[a1]]=1,ABS((ABS(Tab.o1[[#This Row],[Red]]-Tab.o1[[#This Row],[Blue]]))),"")</f>
        <v/>
      </c>
      <c r="W902" s="125" t="str">
        <f>IF(Tab.o1[[#This Row],[a1]]=1,IF(W$3=0,1,Tab.o1[[#This Row],[Amp.]]*1/_xlfn.MINIFS(Tab.o1[Amp.],Tab.o1[Amp.],"&lt;&gt;0")),"")</f>
        <v/>
      </c>
      <c r="X902" s="126" t="str">
        <f>IF(Tab.o1[[#This Row],[a1]]=1,IF(ISNUMBER(Tab.o1[[#This Row],[i.]]),NORMDIST(Tab.o1[[#This Row],[Za]],0,1,FALSE)*Tab.o1[[#This Row],[i.]],AP$3),"")</f>
        <v/>
      </c>
      <c r="Y902" s="126" t="str">
        <f>IF(Tab.o1[[#This Row],[a1]]=1,0.01+0.94*Tab.o1[[#This Row],[PDF]]/MAX(Tab.o1[PDF]),"")</f>
        <v/>
      </c>
      <c r="Z902" s="126" t="str">
        <f>IF(Tab.o1[[#This Row],[a1]]=1,0.01+0.94*Tab.o1[[#This Row],[W1_PDF]]/MAX(Tab.o1[W1_PDF]),"")</f>
        <v/>
      </c>
      <c r="AA902" s="118" t="str">
        <f>IF(Tab.o1[[#This Row],[a1]]=1,ABS([1]!T.in.A[[#This Row],[oo6]]),"")</f>
        <v/>
      </c>
      <c r="AB902" s="127" t="str">
        <f>IF(Tab.o1[[#This Row],[a1]]=1,IF(AE$3=0,"",IF(AB$3=0,ABS([1]!T.in.A[[#This Row],[oo9]]),ABS(Tab.o1[[#This Row],[DIF_Target.]]*Tab.o1[[#This Row],[W1_PDF]]))),"")</f>
        <v/>
      </c>
      <c r="AC902" s="127" t="str">
        <f>IF(G$1=1,"",IF(Tab.o1[[#This Row],[a1]]=1,Tab.o1[[#This Row],[Wr]]^2,""))</f>
        <v/>
      </c>
      <c r="AD902" s="118" t="str">
        <f>IF(Tab.o1[[#This Row],[a1]]=1,IF(AE$3=0,"",Tab.o1[[#This Row],[Wr2]]/SUM(Tab.o1[Wr2])),"")</f>
        <v/>
      </c>
      <c r="AE902" s="128" t="str">
        <f>IF(Tab.o1[[#This Row],[a1]]=1,[1]!T.in.A[[#This Row],[oo10]],"")</f>
        <v/>
      </c>
      <c r="AF902" s="118" t="str">
        <f>IF(Tab.o1[[#This Row],[a1]]=1,ABS(Tab.o1[[#This Row],[DIF_Target.]]*Tab.o1[[#This Row],[PDF2]]*Tab.o1[[#This Row],[IN]]),"")</f>
        <v/>
      </c>
      <c r="AG902" s="129" t="str">
        <f>IF(Tab.o1[[#This Row],[a1]]=1,Tab.o1[[#This Row],[rW]]^2,"")</f>
        <v/>
      </c>
      <c r="AH902" s="130" t="str">
        <f>IF(Tab.o1[[#This Row],[a1]]=1,IF(AH$3=0,Tab.o1[[#This Row],[rW2]],0.01+0.94*Tab.o1[[#This Row],[rW2]]/SUM(Tab.o1[rW2])),"")</f>
        <v/>
      </c>
      <c r="AI902" s="128" t="str">
        <f>IF(Tab.o1[[#This Row],[a1]]=1,1/Tab.o1[[#This Row],[PDF]],"")</f>
        <v/>
      </c>
      <c r="AJ902" s="131" t="str">
        <f>IF(Tab.o1[[#This Row],[a1]]=1,[1]!T_AA[[#This Row],[IN'']]*[1]!T_AA[[#This Row],[Qde'']],"")</f>
        <v/>
      </c>
      <c r="AK902" s="132" t="str">
        <f>IF(Tab.o1[[#This Row],[a1]]=1,IF(AK$1=1,Tab.o1[[#This Row],[MED]]+Tab.o1[[#This Row],[MOD]]-Tab.o1[[#This Row],[MED]],""),"")</f>
        <v/>
      </c>
      <c r="AL902" s="133" t="str">
        <f>IF(Tab.o1[[#This Row],[a1]]=1,[1]!T.in.A[[#This Row],[oo16]],"")</f>
        <v/>
      </c>
      <c r="AM902" s="133" t="str">
        <f>IF(Tab.o1[[#This Row],[a1]]=1,IF(AM$3=1,[1]!T.in.A[[#This Row],[Σo16]],""),"")</f>
        <v/>
      </c>
      <c r="AN902" s="126" t="str">
        <f>IF(Tab.o1[[#This Row],[a1]]=1,[1]!T.in.A[[#This Row],[Σp5]],"")</f>
        <v/>
      </c>
      <c r="AO902" s="126" t="str">
        <f>IF(Tab.o1[[#This Row],[a1]]=1,IF(AO$3=1,[1]!T.in.A[[#This Row],[Σp5]],""),"")</f>
        <v/>
      </c>
      <c r="AP902" s="110" t="str">
        <f>IF(Tab.o1[[#This Row],[a1]]=1,IF(ISNUMBER(Tab.o1[[#This Row],[i.]]),NORMDIST(Tab.o1[[#This Row],[Za]],0,1,FALSE)*Tab.o1[[#This Row],[i.]],0),"")</f>
        <v/>
      </c>
      <c r="AQ902" s="125" t="str">
        <f>IF(Tab.o1[[#This Row],[a1]]=1,ABS(Tab.o1[[#This Row],[MOD]]-AVERAGE(Tab.o1[MOD])),"")</f>
        <v/>
      </c>
      <c r="AR902" s="134" t="str">
        <f>IF(Tab.o1[[#This Row],[a1]]=1,Tab.o1[[#This Row],[OBS]]/SUM(Tab.o1[OBS]),"")</f>
        <v/>
      </c>
      <c r="AS902" s="135" t="str">
        <f>IF(ISNUMBER(Tab.o1[[#This Row],[a1]]),ROW()-4,"")</f>
        <v/>
      </c>
      <c r="AT902" s="136" t="str">
        <f>Tab.o1[[#This Row],[MOD]]</f>
        <v/>
      </c>
      <c r="AU902" s="137" t="str">
        <f t="shared" ref="AU902:AU965" si="57">AT902</f>
        <v/>
      </c>
      <c r="AV902" s="138" t="str">
        <f t="shared" ref="AV902:AV965" si="58">IF(AND(ISNUMBER(AT902),ISNUMBER(AU902)),H902-AU902,"")</f>
        <v/>
      </c>
      <c r="AW902" s="138" t="str">
        <f t="shared" ref="AW902:AW965" si="59">IF(AW$4=0,"",IF(AV902&lt;AV$2,AV902," "))</f>
        <v/>
      </c>
      <c r="AX902" s="139" t="str">
        <f>[1]!T.in.A[[#This Row],[ID_T_manu]]</f>
        <v/>
      </c>
      <c r="AY902" s="140" t="str">
        <f>IF(ISNUMBER(Tab.o1[[#This Row],[a1]]),IF(AND(Tab.o1[[#This Row],[a1]]=1,Tab.o1[[#This Row],[b1]]&lt;=AY$4),#REF!,AY901),"")</f>
        <v/>
      </c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6"/>
      <c r="BO902" s="26"/>
      <c r="BP902" s="26"/>
      <c r="BQ902" s="26"/>
      <c r="BR902" s="26"/>
      <c r="BS902" s="26"/>
      <c r="BT902" s="26"/>
      <c r="BU902" s="26"/>
      <c r="BV902" s="26"/>
      <c r="BW902" s="26"/>
      <c r="BX902" s="26"/>
      <c r="BY902" s="26"/>
      <c r="BZ902" s="26"/>
      <c r="CA902" s="26"/>
    </row>
    <row r="903" spans="1:79" ht="15.75" hidden="1">
      <c r="A903" s="109">
        <v>2.0000000000000003E-6</v>
      </c>
      <c r="B903" s="110">
        <f t="shared" si="56"/>
        <v>903</v>
      </c>
      <c r="C903" s="111" t="str">
        <f>IF(C$1=[1]!T.in.A[[#This Row],[oo2]],1,"")</f>
        <v/>
      </c>
      <c r="D903" s="112" t="str">
        <f>IF(Tab.o1[[#This Row],[a1]]=1,IF(SUM(C903:C904)=0,0,IF(SUM(C902:C903)=1,1,IF(SUM(C902:C904)&gt;1,D902+1,0))),"")</f>
        <v/>
      </c>
      <c r="E903" s="113" t="str">
        <f>IF(Tab.o1[[#This Row],[a1]]=1,[1]!T.in.A[[#This Row],[oo1]],"")</f>
        <v/>
      </c>
      <c r="F903" s="113" t="str">
        <f>IF(Tab.o1[[#This Row],[a1]]=1,[1]!T.in.A[[#This Row],[pp1]],"")</f>
        <v/>
      </c>
      <c r="G903" s="114" t="str">
        <f>IF(Tab.o1[[#This Row],[a1]]=1,G$2+IF(G$1=1,0,Tab.o1[[#This Row],[.x1]])+[1]!T.in.A[[#This Row],[oo3]],"")</f>
        <v/>
      </c>
      <c r="H903" s="115" t="str">
        <f>IF(Tab.o1[[#This Row],[a1]]=1,IF(H$2=0,0,IF(G$1=1,0,Tab.o1[[#This Row],[.x1]])+[1]!T.in.A[[#This Row],[oo4]]),"")</f>
        <v/>
      </c>
      <c r="I903" s="116" t="str">
        <f>IF(Tab.o1[[#This Row],[a1]]=1,IF(J$2=0,Tab.o1[[#This Row],[MED]],Tab.o1[[#This Row],[MOD]]),"")</f>
        <v/>
      </c>
      <c r="J903" s="116" t="str">
        <f>IF(Tab.o1[[#This Row],[a1]]=1,((Tab.o1[[#This Row],[DIF_Target.]]-AVERAGE(Tab.o1[DIF_Target.]))/_xlfn.STDEV.P(Tab.o1[DIF_Target.])),"")</f>
        <v/>
      </c>
      <c r="K903" s="117" t="str">
        <f>IF(Tab.o1[[#This Row],[a1]]=1,IF(J$2=0,Tab.o1[[#This Row],[MOD]]-Tab.o1[[#This Row],[B]],IF(J$2=1,0,-Tab.o1[[#This Row],[MED]])+Tab.o1[[#This Row],[B]]),"")</f>
        <v/>
      </c>
      <c r="L903" s="117" t="str">
        <f ca="1">IF(Tab.o1[[#This Row],[DIF_Target]]=0,IF(L$2=0,Tab.o1[[#This Row],[DIF_Target]],AVERAGE(OFFSET(Tab.o1[[#This Row],[DIF_Target]],1,0,L$3,1)))/3,Tab.o1[[#This Row],[DIF_Target]])</f>
        <v/>
      </c>
      <c r="M903" s="118" t="str">
        <f>IF(Tab.o1[[#This Row],[a1]]=1,NORMSDIST(Tab.o1[[#This Row],[Za]]),"")</f>
        <v/>
      </c>
      <c r="N903" s="119" t="str">
        <f>IF(Tab.o1[[#This Row],[a1]]=1,((Tab.o1[[#This Row],[MedMod]]-AVERAGE(Tab.o1[MedMod]))/_xlfn.STDEV.P(Tab.o1[MedMod])*H$1205)+G$1205,"")</f>
        <v/>
      </c>
      <c r="O903" s="141" t="str">
        <f>IF(Tab.o1[[#This Row],[a1]]=1,Tab.o1[[#This Row],[Zb]]*_xlfn.STDEV.P(Tab.o1[MedMod])+AVERAGE(Tab.o1[MedMod]),"")</f>
        <v/>
      </c>
      <c r="P903" s="117" t="str">
        <f ca="1">IF(Tab.o1[[#This Row],[B]]=0,AVERAGE(OFFSET(Tab.o1[[#This Row],[B]],1,0,L$3,1)),Tab.o1[[#This Row],[B]])</f>
        <v/>
      </c>
      <c r="Q903" s="121" t="str">
        <f>IF(Tab.o1[[#This Row],[a1]]=1,NORMSDIST(Tab.o1[[#This Row],[Zb]]),"")</f>
        <v/>
      </c>
      <c r="R903" s="122" t="str">
        <f>IF(Tab.o1[[#This Row],[a1]]=1,((Tab.o1[[#This Row],[MedMod]]-AVERAGE(Tab.o1[MedMod]))/_xlfn.STDEV.P(Tab.o1[MedMod])*H$1203)+G$1203,"")</f>
        <v/>
      </c>
      <c r="S903" s="122" t="str">
        <f>IF(Tab.o1[[#This Row],[a1]]=1,((Tab.o1[[#This Row],[MedMod]]-AVERAGE(Tab.o1[MedMod]))/_xlfn.STDEV.P(Tab.o1[MedMod])*H$1204)+G$1204,"")</f>
        <v/>
      </c>
      <c r="T903" s="123" t="str">
        <f>IF(Tab.o1[[#This Row],[a1]]=1,Tab.o1[[#This Row],[Z-]]*_xlfn.STDEV.P(Tab.o1[B])+AVERAGE(Tab.o1[B]),"")</f>
        <v/>
      </c>
      <c r="U903" s="123" t="str">
        <f>IF(Tab.o1[[#This Row],[a1]]=1,Tab.o1[[#This Row],[z+]]*_xlfn.STDEV.P(Tab.o1[B])+AVERAGE(Tab.o1[B]),"")</f>
        <v/>
      </c>
      <c r="V903" s="124" t="str">
        <f>IF(Tab.o1[[#This Row],[a1]]=1,ABS((ABS(Tab.o1[[#This Row],[Red]]-Tab.o1[[#This Row],[Blue]]))),"")</f>
        <v/>
      </c>
      <c r="W903" s="125" t="str">
        <f>IF(Tab.o1[[#This Row],[a1]]=1,IF(W$3=0,1,Tab.o1[[#This Row],[Amp.]]*1/_xlfn.MINIFS(Tab.o1[Amp.],Tab.o1[Amp.],"&lt;&gt;0")),"")</f>
        <v/>
      </c>
      <c r="X903" s="126" t="str">
        <f>IF(Tab.o1[[#This Row],[a1]]=1,IF(ISNUMBER(Tab.o1[[#This Row],[i.]]),NORMDIST(Tab.o1[[#This Row],[Za]],0,1,FALSE)*Tab.o1[[#This Row],[i.]],AP$3),"")</f>
        <v/>
      </c>
      <c r="Y903" s="126" t="str">
        <f>IF(Tab.o1[[#This Row],[a1]]=1,0.01+0.94*Tab.o1[[#This Row],[PDF]]/MAX(Tab.o1[PDF]),"")</f>
        <v/>
      </c>
      <c r="Z903" s="126" t="str">
        <f>IF(Tab.o1[[#This Row],[a1]]=1,0.01+0.94*Tab.o1[[#This Row],[W1_PDF]]/MAX(Tab.o1[W1_PDF]),"")</f>
        <v/>
      </c>
      <c r="AA903" s="118" t="str">
        <f>IF(Tab.o1[[#This Row],[a1]]=1,ABS([1]!T.in.A[[#This Row],[oo6]]),"")</f>
        <v/>
      </c>
      <c r="AB903" s="127" t="str">
        <f>IF(Tab.o1[[#This Row],[a1]]=1,IF(AE$3=0,"",IF(AB$3=0,ABS([1]!T.in.A[[#This Row],[oo9]]),ABS(Tab.o1[[#This Row],[DIF_Target.]]*Tab.o1[[#This Row],[W1_PDF]]))),"")</f>
        <v/>
      </c>
      <c r="AC903" s="127" t="str">
        <f>IF(G$1=1,"",IF(Tab.o1[[#This Row],[a1]]=1,Tab.o1[[#This Row],[Wr]]^2,""))</f>
        <v/>
      </c>
      <c r="AD903" s="118" t="str">
        <f>IF(Tab.o1[[#This Row],[a1]]=1,IF(AE$3=0,"",Tab.o1[[#This Row],[Wr2]]/SUM(Tab.o1[Wr2])),"")</f>
        <v/>
      </c>
      <c r="AE903" s="128" t="str">
        <f>IF(Tab.o1[[#This Row],[a1]]=1,[1]!T.in.A[[#This Row],[oo10]],"")</f>
        <v/>
      </c>
      <c r="AF903" s="118" t="str">
        <f>IF(Tab.o1[[#This Row],[a1]]=1,ABS(Tab.o1[[#This Row],[DIF_Target.]]*Tab.o1[[#This Row],[PDF2]]*Tab.o1[[#This Row],[IN]]),"")</f>
        <v/>
      </c>
      <c r="AG903" s="129" t="str">
        <f>IF(Tab.o1[[#This Row],[a1]]=1,Tab.o1[[#This Row],[rW]]^2,"")</f>
        <v/>
      </c>
      <c r="AH903" s="130" t="str">
        <f>IF(Tab.o1[[#This Row],[a1]]=1,IF(AH$3=0,Tab.o1[[#This Row],[rW2]],0.01+0.94*Tab.o1[[#This Row],[rW2]]/SUM(Tab.o1[rW2])),"")</f>
        <v/>
      </c>
      <c r="AI903" s="128" t="str">
        <f>IF(Tab.o1[[#This Row],[a1]]=1,1/Tab.o1[[#This Row],[PDF]],"")</f>
        <v/>
      </c>
      <c r="AJ903" s="131" t="str">
        <f>IF(Tab.o1[[#This Row],[a1]]=1,[1]!T_AA[[#This Row],[IN'']]*[1]!T_AA[[#This Row],[Qde'']],"")</f>
        <v/>
      </c>
      <c r="AK903" s="132" t="str">
        <f>IF(Tab.o1[[#This Row],[a1]]=1,IF(AK$1=1,Tab.o1[[#This Row],[MED]]+Tab.o1[[#This Row],[MOD]]-Tab.o1[[#This Row],[MED]],""),"")</f>
        <v/>
      </c>
      <c r="AL903" s="133" t="str">
        <f>IF(Tab.o1[[#This Row],[a1]]=1,[1]!T.in.A[[#This Row],[oo16]],"")</f>
        <v/>
      </c>
      <c r="AM903" s="133" t="str">
        <f>IF(Tab.o1[[#This Row],[a1]]=1,IF(AM$3=1,[1]!T.in.A[[#This Row],[Σo16]],""),"")</f>
        <v/>
      </c>
      <c r="AN903" s="126" t="str">
        <f>IF(Tab.o1[[#This Row],[a1]]=1,[1]!T.in.A[[#This Row],[Σp5]],"")</f>
        <v/>
      </c>
      <c r="AO903" s="126" t="str">
        <f>IF(Tab.o1[[#This Row],[a1]]=1,IF(AO$3=1,[1]!T.in.A[[#This Row],[Σp5]],""),"")</f>
        <v/>
      </c>
      <c r="AP903" s="110" t="str">
        <f>IF(Tab.o1[[#This Row],[a1]]=1,IF(ISNUMBER(Tab.o1[[#This Row],[i.]]),NORMDIST(Tab.o1[[#This Row],[Za]],0,1,FALSE)*Tab.o1[[#This Row],[i.]],0),"")</f>
        <v/>
      </c>
      <c r="AQ903" s="125" t="str">
        <f>IF(Tab.o1[[#This Row],[a1]]=1,ABS(Tab.o1[[#This Row],[MOD]]-AVERAGE(Tab.o1[MOD])),"")</f>
        <v/>
      </c>
      <c r="AR903" s="134" t="str">
        <f>IF(Tab.o1[[#This Row],[a1]]=1,Tab.o1[[#This Row],[OBS]]/SUM(Tab.o1[OBS]),"")</f>
        <v/>
      </c>
      <c r="AS903" s="135" t="str">
        <f>IF(ISNUMBER(Tab.o1[[#This Row],[a1]]),ROW()-4,"")</f>
        <v/>
      </c>
      <c r="AT903" s="136" t="str">
        <f>Tab.o1[[#This Row],[MOD]]</f>
        <v/>
      </c>
      <c r="AU903" s="137" t="str">
        <f t="shared" si="57"/>
        <v/>
      </c>
      <c r="AV903" s="138" t="str">
        <f t="shared" si="58"/>
        <v/>
      </c>
      <c r="AW903" s="138" t="str">
        <f t="shared" si="59"/>
        <v/>
      </c>
      <c r="AX903" s="139" t="str">
        <f>[1]!T.in.A[[#This Row],[ID_T_manu]]</f>
        <v/>
      </c>
      <c r="AY903" s="140" t="str">
        <f>IF(ISNUMBER(Tab.o1[[#This Row],[a1]]),IF(AND(Tab.o1[[#This Row],[a1]]=1,Tab.o1[[#This Row],[b1]]&lt;=AY$4),#REF!,AY902),"")</f>
        <v/>
      </c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6"/>
      <c r="BO903" s="26"/>
      <c r="BP903" s="26"/>
      <c r="BQ903" s="26"/>
      <c r="BR903" s="26"/>
      <c r="BS903" s="26"/>
      <c r="BT903" s="26"/>
      <c r="BU903" s="26"/>
      <c r="BV903" s="26"/>
      <c r="BW903" s="26"/>
      <c r="BX903" s="26"/>
      <c r="BY903" s="26"/>
      <c r="BZ903" s="26"/>
      <c r="CA903" s="26"/>
    </row>
    <row r="904" spans="1:79" ht="15.75" hidden="1">
      <c r="A904" s="109">
        <v>-9.0000000000000002E-6</v>
      </c>
      <c r="B904" s="110">
        <f t="shared" si="56"/>
        <v>904</v>
      </c>
      <c r="C904" s="111" t="str">
        <f>IF(C$1=[1]!T.in.A[[#This Row],[oo2]],1,"")</f>
        <v/>
      </c>
      <c r="D904" s="112" t="str">
        <f>IF(Tab.o1[[#This Row],[a1]]=1,IF(SUM(C904:C905)=0,0,IF(SUM(C903:C904)=1,1,IF(SUM(C903:C905)&gt;1,D903+1,0))),"")</f>
        <v/>
      </c>
      <c r="E904" s="113" t="str">
        <f>IF(Tab.o1[[#This Row],[a1]]=1,[1]!T.in.A[[#This Row],[oo1]],"")</f>
        <v/>
      </c>
      <c r="F904" s="113" t="str">
        <f>IF(Tab.o1[[#This Row],[a1]]=1,[1]!T.in.A[[#This Row],[pp1]],"")</f>
        <v/>
      </c>
      <c r="G904" s="114" t="str">
        <f>IF(Tab.o1[[#This Row],[a1]]=1,G$2+IF(G$1=1,0,Tab.o1[[#This Row],[.x1]])+[1]!T.in.A[[#This Row],[oo3]],"")</f>
        <v/>
      </c>
      <c r="H904" s="115" t="str">
        <f>IF(Tab.o1[[#This Row],[a1]]=1,IF(H$2=0,0,IF(G$1=1,0,Tab.o1[[#This Row],[.x1]])+[1]!T.in.A[[#This Row],[oo4]]),"")</f>
        <v/>
      </c>
      <c r="I904" s="116" t="str">
        <f>IF(Tab.o1[[#This Row],[a1]]=1,IF(J$2=0,Tab.o1[[#This Row],[MED]],Tab.o1[[#This Row],[MOD]]),"")</f>
        <v/>
      </c>
      <c r="J904" s="116" t="str">
        <f>IF(Tab.o1[[#This Row],[a1]]=1,((Tab.o1[[#This Row],[DIF_Target.]]-AVERAGE(Tab.o1[DIF_Target.]))/_xlfn.STDEV.P(Tab.o1[DIF_Target.])),"")</f>
        <v/>
      </c>
      <c r="K904" s="117" t="str">
        <f>IF(Tab.o1[[#This Row],[a1]]=1,IF(J$2=0,Tab.o1[[#This Row],[MOD]]-Tab.o1[[#This Row],[B]],IF(J$2=1,0,-Tab.o1[[#This Row],[MED]])+Tab.o1[[#This Row],[B]]),"")</f>
        <v/>
      </c>
      <c r="L904" s="117" t="str">
        <f ca="1">IF(Tab.o1[[#This Row],[DIF_Target]]=0,IF(L$2=0,Tab.o1[[#This Row],[DIF_Target]],AVERAGE(OFFSET(Tab.o1[[#This Row],[DIF_Target]],1,0,L$3,1)))/3,Tab.o1[[#This Row],[DIF_Target]])</f>
        <v/>
      </c>
      <c r="M904" s="118" t="str">
        <f>IF(Tab.o1[[#This Row],[a1]]=1,NORMSDIST(Tab.o1[[#This Row],[Za]]),"")</f>
        <v/>
      </c>
      <c r="N904" s="119" t="str">
        <f>IF(Tab.o1[[#This Row],[a1]]=1,((Tab.o1[[#This Row],[MedMod]]-AVERAGE(Tab.o1[MedMod]))/_xlfn.STDEV.P(Tab.o1[MedMod])*H$1205)+G$1205,"")</f>
        <v/>
      </c>
      <c r="O904" s="141" t="str">
        <f>IF(Tab.o1[[#This Row],[a1]]=1,Tab.o1[[#This Row],[Zb]]*_xlfn.STDEV.P(Tab.o1[MedMod])+AVERAGE(Tab.o1[MedMod]),"")</f>
        <v/>
      </c>
      <c r="P904" s="117" t="str">
        <f ca="1">IF(Tab.o1[[#This Row],[B]]=0,AVERAGE(OFFSET(Tab.o1[[#This Row],[B]],1,0,L$3,1)),Tab.o1[[#This Row],[B]])</f>
        <v/>
      </c>
      <c r="Q904" s="121" t="str">
        <f>IF(Tab.o1[[#This Row],[a1]]=1,NORMSDIST(Tab.o1[[#This Row],[Zb]]),"")</f>
        <v/>
      </c>
      <c r="R904" s="122" t="str">
        <f>IF(Tab.o1[[#This Row],[a1]]=1,((Tab.o1[[#This Row],[MedMod]]-AVERAGE(Tab.o1[MedMod]))/_xlfn.STDEV.P(Tab.o1[MedMod])*H$1203)+G$1203,"")</f>
        <v/>
      </c>
      <c r="S904" s="122" t="str">
        <f>IF(Tab.o1[[#This Row],[a1]]=1,((Tab.o1[[#This Row],[MedMod]]-AVERAGE(Tab.o1[MedMod]))/_xlfn.STDEV.P(Tab.o1[MedMod])*H$1204)+G$1204,"")</f>
        <v/>
      </c>
      <c r="T904" s="123" t="str">
        <f>IF(Tab.o1[[#This Row],[a1]]=1,Tab.o1[[#This Row],[Z-]]*_xlfn.STDEV.P(Tab.o1[B])+AVERAGE(Tab.o1[B]),"")</f>
        <v/>
      </c>
      <c r="U904" s="123" t="str">
        <f>IF(Tab.o1[[#This Row],[a1]]=1,Tab.o1[[#This Row],[z+]]*_xlfn.STDEV.P(Tab.o1[B])+AVERAGE(Tab.o1[B]),"")</f>
        <v/>
      </c>
      <c r="V904" s="124" t="str">
        <f>IF(Tab.o1[[#This Row],[a1]]=1,ABS((ABS(Tab.o1[[#This Row],[Red]]-Tab.o1[[#This Row],[Blue]]))),"")</f>
        <v/>
      </c>
      <c r="W904" s="125" t="str">
        <f>IF(Tab.o1[[#This Row],[a1]]=1,IF(W$3=0,1,Tab.o1[[#This Row],[Amp.]]*1/_xlfn.MINIFS(Tab.o1[Amp.],Tab.o1[Amp.],"&lt;&gt;0")),"")</f>
        <v/>
      </c>
      <c r="X904" s="126" t="str">
        <f>IF(Tab.o1[[#This Row],[a1]]=1,IF(ISNUMBER(Tab.o1[[#This Row],[i.]]),NORMDIST(Tab.o1[[#This Row],[Za]],0,1,FALSE)*Tab.o1[[#This Row],[i.]],AP$3),"")</f>
        <v/>
      </c>
      <c r="Y904" s="126" t="str">
        <f>IF(Tab.o1[[#This Row],[a1]]=1,0.01+0.94*Tab.o1[[#This Row],[PDF]]/MAX(Tab.o1[PDF]),"")</f>
        <v/>
      </c>
      <c r="Z904" s="126" t="str">
        <f>IF(Tab.o1[[#This Row],[a1]]=1,0.01+0.94*Tab.o1[[#This Row],[W1_PDF]]/MAX(Tab.o1[W1_PDF]),"")</f>
        <v/>
      </c>
      <c r="AA904" s="118" t="str">
        <f>IF(Tab.o1[[#This Row],[a1]]=1,ABS([1]!T.in.A[[#This Row],[oo6]]),"")</f>
        <v/>
      </c>
      <c r="AB904" s="127" t="str">
        <f>IF(Tab.o1[[#This Row],[a1]]=1,IF(AE$3=0,"",IF(AB$3=0,ABS([1]!T.in.A[[#This Row],[oo9]]),ABS(Tab.o1[[#This Row],[DIF_Target.]]*Tab.o1[[#This Row],[W1_PDF]]))),"")</f>
        <v/>
      </c>
      <c r="AC904" s="127" t="str">
        <f>IF(G$1=1,"",IF(Tab.o1[[#This Row],[a1]]=1,Tab.o1[[#This Row],[Wr]]^2,""))</f>
        <v/>
      </c>
      <c r="AD904" s="118" t="str">
        <f>IF(Tab.o1[[#This Row],[a1]]=1,IF(AE$3=0,"",Tab.o1[[#This Row],[Wr2]]/SUM(Tab.o1[Wr2])),"")</f>
        <v/>
      </c>
      <c r="AE904" s="128" t="str">
        <f>IF(Tab.o1[[#This Row],[a1]]=1,[1]!T.in.A[[#This Row],[oo10]],"")</f>
        <v/>
      </c>
      <c r="AF904" s="118" t="str">
        <f>IF(Tab.o1[[#This Row],[a1]]=1,ABS(Tab.o1[[#This Row],[DIF_Target.]]*Tab.o1[[#This Row],[PDF2]]*Tab.o1[[#This Row],[IN]]),"")</f>
        <v/>
      </c>
      <c r="AG904" s="129" t="str">
        <f>IF(Tab.o1[[#This Row],[a1]]=1,Tab.o1[[#This Row],[rW]]^2,"")</f>
        <v/>
      </c>
      <c r="AH904" s="130" t="str">
        <f>IF(Tab.o1[[#This Row],[a1]]=1,IF(AH$3=0,Tab.o1[[#This Row],[rW2]],0.01+0.94*Tab.o1[[#This Row],[rW2]]/SUM(Tab.o1[rW2])),"")</f>
        <v/>
      </c>
      <c r="AI904" s="128" t="str">
        <f>IF(Tab.o1[[#This Row],[a1]]=1,1/Tab.o1[[#This Row],[PDF]],"")</f>
        <v/>
      </c>
      <c r="AJ904" s="131" t="str">
        <f>IF(Tab.o1[[#This Row],[a1]]=1,[1]!T_AA[[#This Row],[IN'']]*[1]!T_AA[[#This Row],[Qde'']],"")</f>
        <v/>
      </c>
      <c r="AK904" s="132" t="str">
        <f>IF(Tab.o1[[#This Row],[a1]]=1,IF(AK$1=1,Tab.o1[[#This Row],[MED]]+Tab.o1[[#This Row],[MOD]]-Tab.o1[[#This Row],[MED]],""),"")</f>
        <v/>
      </c>
      <c r="AL904" s="133" t="str">
        <f>IF(Tab.o1[[#This Row],[a1]]=1,[1]!T.in.A[[#This Row],[oo16]],"")</f>
        <v/>
      </c>
      <c r="AM904" s="133" t="str">
        <f>IF(Tab.o1[[#This Row],[a1]]=1,IF(AM$3=1,[1]!T.in.A[[#This Row],[Σo16]],""),"")</f>
        <v/>
      </c>
      <c r="AN904" s="126" t="str">
        <f>IF(Tab.o1[[#This Row],[a1]]=1,[1]!T.in.A[[#This Row],[Σp5]],"")</f>
        <v/>
      </c>
      <c r="AO904" s="126" t="str">
        <f>IF(Tab.o1[[#This Row],[a1]]=1,IF(AO$3=1,[1]!T.in.A[[#This Row],[Σp5]],""),"")</f>
        <v/>
      </c>
      <c r="AP904" s="110" t="str">
        <f>IF(Tab.o1[[#This Row],[a1]]=1,IF(ISNUMBER(Tab.o1[[#This Row],[i.]]),NORMDIST(Tab.o1[[#This Row],[Za]],0,1,FALSE)*Tab.o1[[#This Row],[i.]],0),"")</f>
        <v/>
      </c>
      <c r="AQ904" s="125" t="str">
        <f>IF(Tab.o1[[#This Row],[a1]]=1,ABS(Tab.o1[[#This Row],[MOD]]-AVERAGE(Tab.o1[MOD])),"")</f>
        <v/>
      </c>
      <c r="AR904" s="134" t="str">
        <f>IF(Tab.o1[[#This Row],[a1]]=1,Tab.o1[[#This Row],[OBS]]/SUM(Tab.o1[OBS]),"")</f>
        <v/>
      </c>
      <c r="AS904" s="135" t="str">
        <f>IF(ISNUMBER(Tab.o1[[#This Row],[a1]]),ROW()-4,"")</f>
        <v/>
      </c>
      <c r="AT904" s="136" t="str">
        <f>Tab.o1[[#This Row],[MOD]]</f>
        <v/>
      </c>
      <c r="AU904" s="137" t="str">
        <f t="shared" si="57"/>
        <v/>
      </c>
      <c r="AV904" s="138" t="str">
        <f t="shared" si="58"/>
        <v/>
      </c>
      <c r="AW904" s="138" t="str">
        <f t="shared" si="59"/>
        <v/>
      </c>
      <c r="AX904" s="139" t="str">
        <f>[1]!T.in.A[[#This Row],[ID_T_manu]]</f>
        <v/>
      </c>
      <c r="AY904" s="140" t="str">
        <f>IF(ISNUMBER(Tab.o1[[#This Row],[a1]]),IF(AND(Tab.o1[[#This Row],[a1]]=1,Tab.o1[[#This Row],[b1]]&lt;=AY$4),#REF!,AY903),"")</f>
        <v/>
      </c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6"/>
      <c r="BO904" s="26"/>
      <c r="BP904" s="26"/>
      <c r="BQ904" s="26"/>
      <c r="BR904" s="26"/>
      <c r="BS904" s="26"/>
      <c r="BT904" s="26"/>
      <c r="BU904" s="26"/>
      <c r="BV904" s="26"/>
      <c r="BW904" s="26"/>
      <c r="BX904" s="26"/>
      <c r="BY904" s="26"/>
      <c r="BZ904" s="26"/>
      <c r="CA904" s="26"/>
    </row>
    <row r="905" spans="1:79" ht="15.75" hidden="1">
      <c r="A905" s="109">
        <v>-8.0000000000000013E-6</v>
      </c>
      <c r="B905" s="110">
        <f t="shared" si="56"/>
        <v>905</v>
      </c>
      <c r="C905" s="111" t="str">
        <f>IF(C$1=[1]!T.in.A[[#This Row],[oo2]],1,"")</f>
        <v/>
      </c>
      <c r="D905" s="112" t="str">
        <f>IF(Tab.o1[[#This Row],[a1]]=1,IF(SUM(C905:C906)=0,0,IF(SUM(C904:C905)=1,1,IF(SUM(C904:C906)&gt;1,D904+1,0))),"")</f>
        <v/>
      </c>
      <c r="E905" s="113" t="str">
        <f>IF(Tab.o1[[#This Row],[a1]]=1,[1]!T.in.A[[#This Row],[oo1]],"")</f>
        <v/>
      </c>
      <c r="F905" s="113" t="str">
        <f>IF(Tab.o1[[#This Row],[a1]]=1,[1]!T.in.A[[#This Row],[pp1]],"")</f>
        <v/>
      </c>
      <c r="G905" s="114" t="str">
        <f>IF(Tab.o1[[#This Row],[a1]]=1,G$2+IF(G$1=1,0,Tab.o1[[#This Row],[.x1]])+[1]!T.in.A[[#This Row],[oo3]],"")</f>
        <v/>
      </c>
      <c r="H905" s="115" t="str">
        <f>IF(Tab.o1[[#This Row],[a1]]=1,IF(H$2=0,0,IF(G$1=1,0,Tab.o1[[#This Row],[.x1]])+[1]!T.in.A[[#This Row],[oo4]]),"")</f>
        <v/>
      </c>
      <c r="I905" s="116" t="str">
        <f>IF(Tab.o1[[#This Row],[a1]]=1,IF(J$2=0,Tab.o1[[#This Row],[MED]],Tab.o1[[#This Row],[MOD]]),"")</f>
        <v/>
      </c>
      <c r="J905" s="116" t="str">
        <f>IF(Tab.o1[[#This Row],[a1]]=1,((Tab.o1[[#This Row],[DIF_Target.]]-AVERAGE(Tab.o1[DIF_Target.]))/_xlfn.STDEV.P(Tab.o1[DIF_Target.])),"")</f>
        <v/>
      </c>
      <c r="K905" s="117" t="str">
        <f>IF(Tab.o1[[#This Row],[a1]]=1,IF(J$2=0,Tab.o1[[#This Row],[MOD]]-Tab.o1[[#This Row],[B]],IF(J$2=1,0,-Tab.o1[[#This Row],[MED]])+Tab.o1[[#This Row],[B]]),"")</f>
        <v/>
      </c>
      <c r="L905" s="117" t="str">
        <f ca="1">IF(Tab.o1[[#This Row],[DIF_Target]]=0,IF(L$2=0,Tab.o1[[#This Row],[DIF_Target]],AVERAGE(OFFSET(Tab.o1[[#This Row],[DIF_Target]],1,0,L$3,1)))/3,Tab.o1[[#This Row],[DIF_Target]])</f>
        <v/>
      </c>
      <c r="M905" s="118" t="str">
        <f>IF(Tab.o1[[#This Row],[a1]]=1,NORMSDIST(Tab.o1[[#This Row],[Za]]),"")</f>
        <v/>
      </c>
      <c r="N905" s="119" t="str">
        <f>IF(Tab.o1[[#This Row],[a1]]=1,((Tab.o1[[#This Row],[MedMod]]-AVERAGE(Tab.o1[MedMod]))/_xlfn.STDEV.P(Tab.o1[MedMod])*H$1205)+G$1205,"")</f>
        <v/>
      </c>
      <c r="O905" s="141" t="str">
        <f>IF(Tab.o1[[#This Row],[a1]]=1,Tab.o1[[#This Row],[Zb]]*_xlfn.STDEV.P(Tab.o1[MedMod])+AVERAGE(Tab.o1[MedMod]),"")</f>
        <v/>
      </c>
      <c r="P905" s="117" t="str">
        <f ca="1">IF(Tab.o1[[#This Row],[B]]=0,AVERAGE(OFFSET(Tab.o1[[#This Row],[B]],1,0,L$3,1)),Tab.o1[[#This Row],[B]])</f>
        <v/>
      </c>
      <c r="Q905" s="121" t="str">
        <f>IF(Tab.o1[[#This Row],[a1]]=1,NORMSDIST(Tab.o1[[#This Row],[Zb]]),"")</f>
        <v/>
      </c>
      <c r="R905" s="122" t="str">
        <f>IF(Tab.o1[[#This Row],[a1]]=1,((Tab.o1[[#This Row],[MedMod]]-AVERAGE(Tab.o1[MedMod]))/_xlfn.STDEV.P(Tab.o1[MedMod])*H$1203)+G$1203,"")</f>
        <v/>
      </c>
      <c r="S905" s="122" t="str">
        <f>IF(Tab.o1[[#This Row],[a1]]=1,((Tab.o1[[#This Row],[MedMod]]-AVERAGE(Tab.o1[MedMod]))/_xlfn.STDEV.P(Tab.o1[MedMod])*H$1204)+G$1204,"")</f>
        <v/>
      </c>
      <c r="T905" s="123" t="str">
        <f>IF(Tab.o1[[#This Row],[a1]]=1,Tab.o1[[#This Row],[Z-]]*_xlfn.STDEV.P(Tab.o1[B])+AVERAGE(Tab.o1[B]),"")</f>
        <v/>
      </c>
      <c r="U905" s="123" t="str">
        <f>IF(Tab.o1[[#This Row],[a1]]=1,Tab.o1[[#This Row],[z+]]*_xlfn.STDEV.P(Tab.o1[B])+AVERAGE(Tab.o1[B]),"")</f>
        <v/>
      </c>
      <c r="V905" s="124" t="str">
        <f>IF(Tab.o1[[#This Row],[a1]]=1,ABS((ABS(Tab.o1[[#This Row],[Red]]-Tab.o1[[#This Row],[Blue]]))),"")</f>
        <v/>
      </c>
      <c r="W905" s="125" t="str">
        <f>IF(Tab.o1[[#This Row],[a1]]=1,IF(W$3=0,1,Tab.o1[[#This Row],[Amp.]]*1/_xlfn.MINIFS(Tab.o1[Amp.],Tab.o1[Amp.],"&lt;&gt;0")),"")</f>
        <v/>
      </c>
      <c r="X905" s="126" t="str">
        <f>IF(Tab.o1[[#This Row],[a1]]=1,IF(ISNUMBER(Tab.o1[[#This Row],[i.]]),NORMDIST(Tab.o1[[#This Row],[Za]],0,1,FALSE)*Tab.o1[[#This Row],[i.]],AP$3),"")</f>
        <v/>
      </c>
      <c r="Y905" s="126" t="str">
        <f>IF(Tab.o1[[#This Row],[a1]]=1,0.01+0.94*Tab.o1[[#This Row],[PDF]]/MAX(Tab.o1[PDF]),"")</f>
        <v/>
      </c>
      <c r="Z905" s="126" t="str">
        <f>IF(Tab.o1[[#This Row],[a1]]=1,0.01+0.94*Tab.o1[[#This Row],[W1_PDF]]/MAX(Tab.o1[W1_PDF]),"")</f>
        <v/>
      </c>
      <c r="AA905" s="118" t="str">
        <f>IF(Tab.o1[[#This Row],[a1]]=1,ABS([1]!T.in.A[[#This Row],[oo6]]),"")</f>
        <v/>
      </c>
      <c r="AB905" s="127" t="str">
        <f>IF(Tab.o1[[#This Row],[a1]]=1,IF(AE$3=0,"",IF(AB$3=0,ABS([1]!T.in.A[[#This Row],[oo9]]),ABS(Tab.o1[[#This Row],[DIF_Target.]]*Tab.o1[[#This Row],[W1_PDF]]))),"")</f>
        <v/>
      </c>
      <c r="AC905" s="127" t="str">
        <f>IF(G$1=1,"",IF(Tab.o1[[#This Row],[a1]]=1,Tab.o1[[#This Row],[Wr]]^2,""))</f>
        <v/>
      </c>
      <c r="AD905" s="118" t="str">
        <f>IF(Tab.o1[[#This Row],[a1]]=1,IF(AE$3=0,"",Tab.o1[[#This Row],[Wr2]]/SUM(Tab.o1[Wr2])),"")</f>
        <v/>
      </c>
      <c r="AE905" s="128" t="str">
        <f>IF(Tab.o1[[#This Row],[a1]]=1,[1]!T.in.A[[#This Row],[oo10]],"")</f>
        <v/>
      </c>
      <c r="AF905" s="118" t="str">
        <f>IF(Tab.o1[[#This Row],[a1]]=1,ABS(Tab.o1[[#This Row],[DIF_Target.]]*Tab.o1[[#This Row],[PDF2]]*Tab.o1[[#This Row],[IN]]),"")</f>
        <v/>
      </c>
      <c r="AG905" s="129" t="str">
        <f>IF(Tab.o1[[#This Row],[a1]]=1,Tab.o1[[#This Row],[rW]]^2,"")</f>
        <v/>
      </c>
      <c r="AH905" s="130" t="str">
        <f>IF(Tab.o1[[#This Row],[a1]]=1,IF(AH$3=0,Tab.o1[[#This Row],[rW2]],0.01+0.94*Tab.o1[[#This Row],[rW2]]/SUM(Tab.o1[rW2])),"")</f>
        <v/>
      </c>
      <c r="AI905" s="128" t="str">
        <f>IF(Tab.o1[[#This Row],[a1]]=1,1/Tab.o1[[#This Row],[PDF]],"")</f>
        <v/>
      </c>
      <c r="AJ905" s="131" t="str">
        <f>IF(Tab.o1[[#This Row],[a1]]=1,[1]!T_AA[[#This Row],[IN'']]*[1]!T_AA[[#This Row],[Qde'']],"")</f>
        <v/>
      </c>
      <c r="AK905" s="132" t="str">
        <f>IF(Tab.o1[[#This Row],[a1]]=1,IF(AK$1=1,Tab.o1[[#This Row],[MED]]+Tab.o1[[#This Row],[MOD]]-Tab.o1[[#This Row],[MED]],""),"")</f>
        <v/>
      </c>
      <c r="AL905" s="133" t="str">
        <f>IF(Tab.o1[[#This Row],[a1]]=1,[1]!T.in.A[[#This Row],[oo16]],"")</f>
        <v/>
      </c>
      <c r="AM905" s="133" t="str">
        <f>IF(Tab.o1[[#This Row],[a1]]=1,IF(AM$3=1,[1]!T.in.A[[#This Row],[Σo16]],""),"")</f>
        <v/>
      </c>
      <c r="AN905" s="126" t="str">
        <f>IF(Tab.o1[[#This Row],[a1]]=1,[1]!T.in.A[[#This Row],[Σp5]],"")</f>
        <v/>
      </c>
      <c r="AO905" s="126" t="str">
        <f>IF(Tab.o1[[#This Row],[a1]]=1,IF(AO$3=1,[1]!T.in.A[[#This Row],[Σp5]],""),"")</f>
        <v/>
      </c>
      <c r="AP905" s="110" t="str">
        <f>IF(Tab.o1[[#This Row],[a1]]=1,IF(ISNUMBER(Tab.o1[[#This Row],[i.]]),NORMDIST(Tab.o1[[#This Row],[Za]],0,1,FALSE)*Tab.o1[[#This Row],[i.]],0),"")</f>
        <v/>
      </c>
      <c r="AQ905" s="125" t="str">
        <f>IF(Tab.o1[[#This Row],[a1]]=1,ABS(Tab.o1[[#This Row],[MOD]]-AVERAGE(Tab.o1[MOD])),"")</f>
        <v/>
      </c>
      <c r="AR905" s="134" t="str">
        <f>IF(Tab.o1[[#This Row],[a1]]=1,Tab.o1[[#This Row],[OBS]]/SUM(Tab.o1[OBS]),"")</f>
        <v/>
      </c>
      <c r="AS905" s="135" t="str">
        <f>IF(ISNUMBER(Tab.o1[[#This Row],[a1]]),ROW()-4,"")</f>
        <v/>
      </c>
      <c r="AT905" s="136" t="str">
        <f>Tab.o1[[#This Row],[MOD]]</f>
        <v/>
      </c>
      <c r="AU905" s="137" t="str">
        <f t="shared" si="57"/>
        <v/>
      </c>
      <c r="AV905" s="138" t="str">
        <f t="shared" si="58"/>
        <v/>
      </c>
      <c r="AW905" s="138" t="str">
        <f t="shared" si="59"/>
        <v/>
      </c>
      <c r="AX905" s="139" t="str">
        <f>[1]!T.in.A[[#This Row],[ID_T_manu]]</f>
        <v/>
      </c>
      <c r="AY905" s="140" t="str">
        <f>IF(ISNUMBER(Tab.o1[[#This Row],[a1]]),IF(AND(Tab.o1[[#This Row],[a1]]=1,Tab.o1[[#This Row],[b1]]&lt;=AY$4),#REF!,AY904),"")</f>
        <v/>
      </c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6"/>
      <c r="BO905" s="26"/>
      <c r="BP905" s="26"/>
      <c r="BQ905" s="26"/>
      <c r="BR905" s="26"/>
      <c r="BS905" s="26"/>
      <c r="BT905" s="26"/>
      <c r="BU905" s="26"/>
      <c r="BV905" s="26"/>
      <c r="BW905" s="26"/>
      <c r="BX905" s="26"/>
      <c r="BY905" s="26"/>
      <c r="BZ905" s="26"/>
      <c r="CA905" s="26"/>
    </row>
    <row r="906" spans="1:79" ht="15.75" hidden="1">
      <c r="A906" s="109">
        <v>-2.9999999999999997E-6</v>
      </c>
      <c r="B906" s="110">
        <f t="shared" si="56"/>
        <v>906</v>
      </c>
      <c r="C906" s="111" t="str">
        <f>IF(C$1=[1]!T.in.A[[#This Row],[oo2]],1,"")</f>
        <v/>
      </c>
      <c r="D906" s="112" t="str">
        <f>IF(Tab.o1[[#This Row],[a1]]=1,IF(SUM(C906:C907)=0,0,IF(SUM(C905:C906)=1,1,IF(SUM(C905:C907)&gt;1,D905+1,0))),"")</f>
        <v/>
      </c>
      <c r="E906" s="113" t="str">
        <f>IF(Tab.o1[[#This Row],[a1]]=1,[1]!T.in.A[[#This Row],[oo1]],"")</f>
        <v/>
      </c>
      <c r="F906" s="113" t="str">
        <f>IF(Tab.o1[[#This Row],[a1]]=1,[1]!T.in.A[[#This Row],[pp1]],"")</f>
        <v/>
      </c>
      <c r="G906" s="114" t="str">
        <f>IF(Tab.o1[[#This Row],[a1]]=1,G$2+IF(G$1=1,0,Tab.o1[[#This Row],[.x1]])+[1]!T.in.A[[#This Row],[oo3]],"")</f>
        <v/>
      </c>
      <c r="H906" s="115" t="str">
        <f>IF(Tab.o1[[#This Row],[a1]]=1,IF(H$2=0,0,IF(G$1=1,0,Tab.o1[[#This Row],[.x1]])+[1]!T.in.A[[#This Row],[oo4]]),"")</f>
        <v/>
      </c>
      <c r="I906" s="116" t="str">
        <f>IF(Tab.o1[[#This Row],[a1]]=1,IF(J$2=0,Tab.o1[[#This Row],[MED]],Tab.o1[[#This Row],[MOD]]),"")</f>
        <v/>
      </c>
      <c r="J906" s="116" t="str">
        <f>IF(Tab.o1[[#This Row],[a1]]=1,((Tab.o1[[#This Row],[DIF_Target.]]-AVERAGE(Tab.o1[DIF_Target.]))/_xlfn.STDEV.P(Tab.o1[DIF_Target.])),"")</f>
        <v/>
      </c>
      <c r="K906" s="117" t="str">
        <f>IF(Tab.o1[[#This Row],[a1]]=1,IF(J$2=0,Tab.o1[[#This Row],[MOD]]-Tab.o1[[#This Row],[B]],IF(J$2=1,0,-Tab.o1[[#This Row],[MED]])+Tab.o1[[#This Row],[B]]),"")</f>
        <v/>
      </c>
      <c r="L906" s="117" t="str">
        <f ca="1">IF(Tab.o1[[#This Row],[DIF_Target]]=0,IF(L$2=0,Tab.o1[[#This Row],[DIF_Target]],AVERAGE(OFFSET(Tab.o1[[#This Row],[DIF_Target]],1,0,L$3,1)))/3,Tab.o1[[#This Row],[DIF_Target]])</f>
        <v/>
      </c>
      <c r="M906" s="118" t="str">
        <f>IF(Tab.o1[[#This Row],[a1]]=1,NORMSDIST(Tab.o1[[#This Row],[Za]]),"")</f>
        <v/>
      </c>
      <c r="N906" s="119" t="str">
        <f>IF(Tab.o1[[#This Row],[a1]]=1,((Tab.o1[[#This Row],[MedMod]]-AVERAGE(Tab.o1[MedMod]))/_xlfn.STDEV.P(Tab.o1[MedMod])*H$1205)+G$1205,"")</f>
        <v/>
      </c>
      <c r="O906" s="141" t="str">
        <f>IF(Tab.o1[[#This Row],[a1]]=1,Tab.o1[[#This Row],[Zb]]*_xlfn.STDEV.P(Tab.o1[MedMod])+AVERAGE(Tab.o1[MedMod]),"")</f>
        <v/>
      </c>
      <c r="P906" s="117" t="str">
        <f ca="1">IF(Tab.o1[[#This Row],[B]]=0,AVERAGE(OFFSET(Tab.o1[[#This Row],[B]],1,0,L$3,1)),Tab.o1[[#This Row],[B]])</f>
        <v/>
      </c>
      <c r="Q906" s="121" t="str">
        <f>IF(Tab.o1[[#This Row],[a1]]=1,NORMSDIST(Tab.o1[[#This Row],[Zb]]),"")</f>
        <v/>
      </c>
      <c r="R906" s="122" t="str">
        <f>IF(Tab.o1[[#This Row],[a1]]=1,((Tab.o1[[#This Row],[MedMod]]-AVERAGE(Tab.o1[MedMod]))/_xlfn.STDEV.P(Tab.o1[MedMod])*H$1203)+G$1203,"")</f>
        <v/>
      </c>
      <c r="S906" s="122" t="str">
        <f>IF(Tab.o1[[#This Row],[a1]]=1,((Tab.o1[[#This Row],[MedMod]]-AVERAGE(Tab.o1[MedMod]))/_xlfn.STDEV.P(Tab.o1[MedMod])*H$1204)+G$1204,"")</f>
        <v/>
      </c>
      <c r="T906" s="123" t="str">
        <f>IF(Tab.o1[[#This Row],[a1]]=1,Tab.o1[[#This Row],[Z-]]*_xlfn.STDEV.P(Tab.o1[B])+AVERAGE(Tab.o1[B]),"")</f>
        <v/>
      </c>
      <c r="U906" s="123" t="str">
        <f>IF(Tab.o1[[#This Row],[a1]]=1,Tab.o1[[#This Row],[z+]]*_xlfn.STDEV.P(Tab.o1[B])+AVERAGE(Tab.o1[B]),"")</f>
        <v/>
      </c>
      <c r="V906" s="124" t="str">
        <f>IF(Tab.o1[[#This Row],[a1]]=1,ABS((ABS(Tab.o1[[#This Row],[Red]]-Tab.o1[[#This Row],[Blue]]))),"")</f>
        <v/>
      </c>
      <c r="W906" s="125" t="str">
        <f>IF(Tab.o1[[#This Row],[a1]]=1,IF(W$3=0,1,Tab.o1[[#This Row],[Amp.]]*1/_xlfn.MINIFS(Tab.o1[Amp.],Tab.o1[Amp.],"&lt;&gt;0")),"")</f>
        <v/>
      </c>
      <c r="X906" s="126" t="str">
        <f>IF(Tab.o1[[#This Row],[a1]]=1,IF(ISNUMBER(Tab.o1[[#This Row],[i.]]),NORMDIST(Tab.o1[[#This Row],[Za]],0,1,FALSE)*Tab.o1[[#This Row],[i.]],AP$3),"")</f>
        <v/>
      </c>
      <c r="Y906" s="126" t="str">
        <f>IF(Tab.o1[[#This Row],[a1]]=1,0.01+0.94*Tab.o1[[#This Row],[PDF]]/MAX(Tab.o1[PDF]),"")</f>
        <v/>
      </c>
      <c r="Z906" s="126" t="str">
        <f>IF(Tab.o1[[#This Row],[a1]]=1,0.01+0.94*Tab.o1[[#This Row],[W1_PDF]]/MAX(Tab.o1[W1_PDF]),"")</f>
        <v/>
      </c>
      <c r="AA906" s="118" t="str">
        <f>IF(Tab.o1[[#This Row],[a1]]=1,ABS([1]!T.in.A[[#This Row],[oo6]]),"")</f>
        <v/>
      </c>
      <c r="AB906" s="127" t="str">
        <f>IF(Tab.o1[[#This Row],[a1]]=1,IF(AE$3=0,"",IF(AB$3=0,ABS([1]!T.in.A[[#This Row],[oo9]]),ABS(Tab.o1[[#This Row],[DIF_Target.]]*Tab.o1[[#This Row],[W1_PDF]]))),"")</f>
        <v/>
      </c>
      <c r="AC906" s="127" t="str">
        <f>IF(G$1=1,"",IF(Tab.o1[[#This Row],[a1]]=1,Tab.o1[[#This Row],[Wr]]^2,""))</f>
        <v/>
      </c>
      <c r="AD906" s="118" t="str">
        <f>IF(Tab.o1[[#This Row],[a1]]=1,IF(AE$3=0,"",Tab.o1[[#This Row],[Wr2]]/SUM(Tab.o1[Wr2])),"")</f>
        <v/>
      </c>
      <c r="AE906" s="128" t="str">
        <f>IF(Tab.o1[[#This Row],[a1]]=1,[1]!T.in.A[[#This Row],[oo10]],"")</f>
        <v/>
      </c>
      <c r="AF906" s="118" t="str">
        <f>IF(Tab.o1[[#This Row],[a1]]=1,ABS(Tab.o1[[#This Row],[DIF_Target.]]*Tab.o1[[#This Row],[PDF2]]*Tab.o1[[#This Row],[IN]]),"")</f>
        <v/>
      </c>
      <c r="AG906" s="129" t="str">
        <f>IF(Tab.o1[[#This Row],[a1]]=1,Tab.o1[[#This Row],[rW]]^2,"")</f>
        <v/>
      </c>
      <c r="AH906" s="130" t="str">
        <f>IF(Tab.o1[[#This Row],[a1]]=1,IF(AH$3=0,Tab.o1[[#This Row],[rW2]],0.01+0.94*Tab.o1[[#This Row],[rW2]]/SUM(Tab.o1[rW2])),"")</f>
        <v/>
      </c>
      <c r="AI906" s="128" t="str">
        <f>IF(Tab.o1[[#This Row],[a1]]=1,1/Tab.o1[[#This Row],[PDF]],"")</f>
        <v/>
      </c>
      <c r="AJ906" s="131" t="str">
        <f>IF(Tab.o1[[#This Row],[a1]]=1,[1]!T_AA[[#This Row],[IN'']]*[1]!T_AA[[#This Row],[Qde'']],"")</f>
        <v/>
      </c>
      <c r="AK906" s="132" t="str">
        <f>IF(Tab.o1[[#This Row],[a1]]=1,IF(AK$1=1,Tab.o1[[#This Row],[MED]]+Tab.o1[[#This Row],[MOD]]-Tab.o1[[#This Row],[MED]],""),"")</f>
        <v/>
      </c>
      <c r="AL906" s="133" t="str">
        <f>IF(Tab.o1[[#This Row],[a1]]=1,[1]!T.in.A[[#This Row],[oo16]],"")</f>
        <v/>
      </c>
      <c r="AM906" s="133" t="str">
        <f>IF(Tab.o1[[#This Row],[a1]]=1,IF(AM$3=1,[1]!T.in.A[[#This Row],[Σo16]],""),"")</f>
        <v/>
      </c>
      <c r="AN906" s="126" t="str">
        <f>IF(Tab.o1[[#This Row],[a1]]=1,[1]!T.in.A[[#This Row],[Σp5]],"")</f>
        <v/>
      </c>
      <c r="AO906" s="126" t="str">
        <f>IF(Tab.o1[[#This Row],[a1]]=1,IF(AO$3=1,[1]!T.in.A[[#This Row],[Σp5]],""),"")</f>
        <v/>
      </c>
      <c r="AP906" s="110" t="str">
        <f>IF(Tab.o1[[#This Row],[a1]]=1,IF(ISNUMBER(Tab.o1[[#This Row],[i.]]),NORMDIST(Tab.o1[[#This Row],[Za]],0,1,FALSE)*Tab.o1[[#This Row],[i.]],0),"")</f>
        <v/>
      </c>
      <c r="AQ906" s="125" t="str">
        <f>IF(Tab.o1[[#This Row],[a1]]=1,ABS(Tab.o1[[#This Row],[MOD]]-AVERAGE(Tab.o1[MOD])),"")</f>
        <v/>
      </c>
      <c r="AR906" s="134" t="str">
        <f>IF(Tab.o1[[#This Row],[a1]]=1,Tab.o1[[#This Row],[OBS]]/SUM(Tab.o1[OBS]),"")</f>
        <v/>
      </c>
      <c r="AS906" s="135" t="str">
        <f>IF(ISNUMBER(Tab.o1[[#This Row],[a1]]),ROW()-4,"")</f>
        <v/>
      </c>
      <c r="AT906" s="136" t="str">
        <f>Tab.o1[[#This Row],[MOD]]</f>
        <v/>
      </c>
      <c r="AU906" s="137" t="str">
        <f t="shared" si="57"/>
        <v/>
      </c>
      <c r="AV906" s="138" t="str">
        <f t="shared" si="58"/>
        <v/>
      </c>
      <c r="AW906" s="138" t="str">
        <f t="shared" si="59"/>
        <v/>
      </c>
      <c r="AX906" s="139" t="str">
        <f>[1]!T.in.A[[#This Row],[ID_T_manu]]</f>
        <v/>
      </c>
      <c r="AY906" s="140" t="str">
        <f>IF(ISNUMBER(Tab.o1[[#This Row],[a1]]),IF(AND(Tab.o1[[#This Row],[a1]]=1,Tab.o1[[#This Row],[b1]]&lt;=AY$4),#REF!,AY905),"")</f>
        <v/>
      </c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6"/>
      <c r="BO906" s="26"/>
      <c r="BP906" s="26"/>
      <c r="BQ906" s="26"/>
      <c r="BR906" s="26"/>
      <c r="BS906" s="26"/>
      <c r="BT906" s="26"/>
      <c r="BU906" s="26"/>
      <c r="BV906" s="26"/>
      <c r="BW906" s="26"/>
      <c r="BX906" s="26"/>
      <c r="BY906" s="26"/>
      <c r="BZ906" s="26"/>
      <c r="CA906" s="26"/>
    </row>
    <row r="907" spans="1:79" ht="15.75" hidden="1">
      <c r="A907" s="109">
        <v>-8.0000000000000013E-6</v>
      </c>
      <c r="B907" s="110">
        <f t="shared" si="56"/>
        <v>907</v>
      </c>
      <c r="C907" s="111" t="str">
        <f>IF(C$1=[1]!T.in.A[[#This Row],[oo2]],1,"")</f>
        <v/>
      </c>
      <c r="D907" s="112" t="str">
        <f>IF(Tab.o1[[#This Row],[a1]]=1,IF(SUM(C907:C908)=0,0,IF(SUM(C906:C907)=1,1,IF(SUM(C906:C908)&gt;1,D906+1,0))),"")</f>
        <v/>
      </c>
      <c r="E907" s="113" t="str">
        <f>IF(Tab.o1[[#This Row],[a1]]=1,[1]!T.in.A[[#This Row],[oo1]],"")</f>
        <v/>
      </c>
      <c r="F907" s="113" t="str">
        <f>IF(Tab.o1[[#This Row],[a1]]=1,[1]!T.in.A[[#This Row],[pp1]],"")</f>
        <v/>
      </c>
      <c r="G907" s="114" t="str">
        <f>IF(Tab.o1[[#This Row],[a1]]=1,G$2+IF(G$1=1,0,Tab.o1[[#This Row],[.x1]])+[1]!T.in.A[[#This Row],[oo3]],"")</f>
        <v/>
      </c>
      <c r="H907" s="115" t="str">
        <f>IF(Tab.o1[[#This Row],[a1]]=1,IF(H$2=0,0,IF(G$1=1,0,Tab.o1[[#This Row],[.x1]])+[1]!T.in.A[[#This Row],[oo4]]),"")</f>
        <v/>
      </c>
      <c r="I907" s="116" t="str">
        <f>IF(Tab.o1[[#This Row],[a1]]=1,IF(J$2=0,Tab.o1[[#This Row],[MED]],Tab.o1[[#This Row],[MOD]]),"")</f>
        <v/>
      </c>
      <c r="J907" s="116" t="str">
        <f>IF(Tab.o1[[#This Row],[a1]]=1,((Tab.o1[[#This Row],[DIF_Target.]]-AVERAGE(Tab.o1[DIF_Target.]))/_xlfn.STDEV.P(Tab.o1[DIF_Target.])),"")</f>
        <v/>
      </c>
      <c r="K907" s="117" t="str">
        <f>IF(Tab.o1[[#This Row],[a1]]=1,IF(J$2=0,Tab.o1[[#This Row],[MOD]]-Tab.o1[[#This Row],[B]],IF(J$2=1,0,-Tab.o1[[#This Row],[MED]])+Tab.o1[[#This Row],[B]]),"")</f>
        <v/>
      </c>
      <c r="L907" s="117" t="str">
        <f ca="1">IF(Tab.o1[[#This Row],[DIF_Target]]=0,IF(L$2=0,Tab.o1[[#This Row],[DIF_Target]],AVERAGE(OFFSET(Tab.o1[[#This Row],[DIF_Target]],1,0,L$3,1)))/3,Tab.o1[[#This Row],[DIF_Target]])</f>
        <v/>
      </c>
      <c r="M907" s="118" t="str">
        <f>IF(Tab.o1[[#This Row],[a1]]=1,NORMSDIST(Tab.o1[[#This Row],[Za]]),"")</f>
        <v/>
      </c>
      <c r="N907" s="119" t="str">
        <f>IF(Tab.o1[[#This Row],[a1]]=1,((Tab.o1[[#This Row],[MedMod]]-AVERAGE(Tab.o1[MedMod]))/_xlfn.STDEV.P(Tab.o1[MedMod])*H$1205)+G$1205,"")</f>
        <v/>
      </c>
      <c r="O907" s="141" t="str">
        <f>IF(Tab.o1[[#This Row],[a1]]=1,Tab.o1[[#This Row],[Zb]]*_xlfn.STDEV.P(Tab.o1[MedMod])+AVERAGE(Tab.o1[MedMod]),"")</f>
        <v/>
      </c>
      <c r="P907" s="117" t="str">
        <f ca="1">IF(Tab.o1[[#This Row],[B]]=0,AVERAGE(OFFSET(Tab.o1[[#This Row],[B]],1,0,L$3,1)),Tab.o1[[#This Row],[B]])</f>
        <v/>
      </c>
      <c r="Q907" s="121" t="str">
        <f>IF(Tab.o1[[#This Row],[a1]]=1,NORMSDIST(Tab.o1[[#This Row],[Zb]]),"")</f>
        <v/>
      </c>
      <c r="R907" s="122" t="str">
        <f>IF(Tab.o1[[#This Row],[a1]]=1,((Tab.o1[[#This Row],[MedMod]]-AVERAGE(Tab.o1[MedMod]))/_xlfn.STDEV.P(Tab.o1[MedMod])*H$1203)+G$1203,"")</f>
        <v/>
      </c>
      <c r="S907" s="122" t="str">
        <f>IF(Tab.o1[[#This Row],[a1]]=1,((Tab.o1[[#This Row],[MedMod]]-AVERAGE(Tab.o1[MedMod]))/_xlfn.STDEV.P(Tab.o1[MedMod])*H$1204)+G$1204,"")</f>
        <v/>
      </c>
      <c r="T907" s="123" t="str">
        <f>IF(Tab.o1[[#This Row],[a1]]=1,Tab.o1[[#This Row],[Z-]]*_xlfn.STDEV.P(Tab.o1[B])+AVERAGE(Tab.o1[B]),"")</f>
        <v/>
      </c>
      <c r="U907" s="123" t="str">
        <f>IF(Tab.o1[[#This Row],[a1]]=1,Tab.o1[[#This Row],[z+]]*_xlfn.STDEV.P(Tab.o1[B])+AVERAGE(Tab.o1[B]),"")</f>
        <v/>
      </c>
      <c r="V907" s="124" t="str">
        <f>IF(Tab.o1[[#This Row],[a1]]=1,ABS((ABS(Tab.o1[[#This Row],[Red]]-Tab.o1[[#This Row],[Blue]]))),"")</f>
        <v/>
      </c>
      <c r="W907" s="125" t="str">
        <f>IF(Tab.o1[[#This Row],[a1]]=1,IF(W$3=0,1,Tab.o1[[#This Row],[Amp.]]*1/_xlfn.MINIFS(Tab.o1[Amp.],Tab.o1[Amp.],"&lt;&gt;0")),"")</f>
        <v/>
      </c>
      <c r="X907" s="126" t="str">
        <f>IF(Tab.o1[[#This Row],[a1]]=1,IF(ISNUMBER(Tab.o1[[#This Row],[i.]]),NORMDIST(Tab.o1[[#This Row],[Za]],0,1,FALSE)*Tab.o1[[#This Row],[i.]],AP$3),"")</f>
        <v/>
      </c>
      <c r="Y907" s="126" t="str">
        <f>IF(Tab.o1[[#This Row],[a1]]=1,0.01+0.94*Tab.o1[[#This Row],[PDF]]/MAX(Tab.o1[PDF]),"")</f>
        <v/>
      </c>
      <c r="Z907" s="126" t="str">
        <f>IF(Tab.o1[[#This Row],[a1]]=1,0.01+0.94*Tab.o1[[#This Row],[W1_PDF]]/MAX(Tab.o1[W1_PDF]),"")</f>
        <v/>
      </c>
      <c r="AA907" s="118" t="str">
        <f>IF(Tab.o1[[#This Row],[a1]]=1,ABS([1]!T.in.A[[#This Row],[oo6]]),"")</f>
        <v/>
      </c>
      <c r="AB907" s="127" t="str">
        <f>IF(Tab.o1[[#This Row],[a1]]=1,IF(AE$3=0,"",IF(AB$3=0,ABS([1]!T.in.A[[#This Row],[oo9]]),ABS(Tab.o1[[#This Row],[DIF_Target.]]*Tab.o1[[#This Row],[W1_PDF]]))),"")</f>
        <v/>
      </c>
      <c r="AC907" s="127" t="str">
        <f>IF(G$1=1,"",IF(Tab.o1[[#This Row],[a1]]=1,Tab.o1[[#This Row],[Wr]]^2,""))</f>
        <v/>
      </c>
      <c r="AD907" s="118" t="str">
        <f>IF(Tab.o1[[#This Row],[a1]]=1,IF(AE$3=0,"",Tab.o1[[#This Row],[Wr2]]/SUM(Tab.o1[Wr2])),"")</f>
        <v/>
      </c>
      <c r="AE907" s="128" t="str">
        <f>IF(Tab.o1[[#This Row],[a1]]=1,[1]!T.in.A[[#This Row],[oo10]],"")</f>
        <v/>
      </c>
      <c r="AF907" s="118" t="str">
        <f>IF(Tab.o1[[#This Row],[a1]]=1,ABS(Tab.o1[[#This Row],[DIF_Target.]]*Tab.o1[[#This Row],[PDF2]]*Tab.o1[[#This Row],[IN]]),"")</f>
        <v/>
      </c>
      <c r="AG907" s="129" t="str">
        <f>IF(Tab.o1[[#This Row],[a1]]=1,Tab.o1[[#This Row],[rW]]^2,"")</f>
        <v/>
      </c>
      <c r="AH907" s="130" t="str">
        <f>IF(Tab.o1[[#This Row],[a1]]=1,IF(AH$3=0,Tab.o1[[#This Row],[rW2]],0.01+0.94*Tab.o1[[#This Row],[rW2]]/SUM(Tab.o1[rW2])),"")</f>
        <v/>
      </c>
      <c r="AI907" s="128" t="str">
        <f>IF(Tab.o1[[#This Row],[a1]]=1,1/Tab.o1[[#This Row],[PDF]],"")</f>
        <v/>
      </c>
      <c r="AJ907" s="131" t="str">
        <f>IF(Tab.o1[[#This Row],[a1]]=1,[1]!T_AA[[#This Row],[IN'']]*[1]!T_AA[[#This Row],[Qde'']],"")</f>
        <v/>
      </c>
      <c r="AK907" s="132" t="str">
        <f>IF(Tab.o1[[#This Row],[a1]]=1,IF(AK$1=1,Tab.o1[[#This Row],[MED]]+Tab.o1[[#This Row],[MOD]]-Tab.o1[[#This Row],[MED]],""),"")</f>
        <v/>
      </c>
      <c r="AL907" s="133" t="str">
        <f>IF(Tab.o1[[#This Row],[a1]]=1,[1]!T.in.A[[#This Row],[oo16]],"")</f>
        <v/>
      </c>
      <c r="AM907" s="133" t="str">
        <f>IF(Tab.o1[[#This Row],[a1]]=1,IF(AM$3=1,[1]!T.in.A[[#This Row],[Σo16]],""),"")</f>
        <v/>
      </c>
      <c r="AN907" s="126" t="str">
        <f>IF(Tab.o1[[#This Row],[a1]]=1,[1]!T.in.A[[#This Row],[Σp5]],"")</f>
        <v/>
      </c>
      <c r="AO907" s="126" t="str">
        <f>IF(Tab.o1[[#This Row],[a1]]=1,IF(AO$3=1,[1]!T.in.A[[#This Row],[Σp5]],""),"")</f>
        <v/>
      </c>
      <c r="AP907" s="110" t="str">
        <f>IF(Tab.o1[[#This Row],[a1]]=1,IF(ISNUMBER(Tab.o1[[#This Row],[i.]]),NORMDIST(Tab.o1[[#This Row],[Za]],0,1,FALSE)*Tab.o1[[#This Row],[i.]],0),"")</f>
        <v/>
      </c>
      <c r="AQ907" s="125" t="str">
        <f>IF(Tab.o1[[#This Row],[a1]]=1,ABS(Tab.o1[[#This Row],[MOD]]-AVERAGE(Tab.o1[MOD])),"")</f>
        <v/>
      </c>
      <c r="AR907" s="134" t="str">
        <f>IF(Tab.o1[[#This Row],[a1]]=1,Tab.o1[[#This Row],[OBS]]/SUM(Tab.o1[OBS]),"")</f>
        <v/>
      </c>
      <c r="AS907" s="135" t="str">
        <f>IF(ISNUMBER(Tab.o1[[#This Row],[a1]]),ROW()-4,"")</f>
        <v/>
      </c>
      <c r="AT907" s="136" t="str">
        <f>Tab.o1[[#This Row],[MOD]]</f>
        <v/>
      </c>
      <c r="AU907" s="137" t="str">
        <f t="shared" si="57"/>
        <v/>
      </c>
      <c r="AV907" s="138" t="str">
        <f t="shared" si="58"/>
        <v/>
      </c>
      <c r="AW907" s="138" t="str">
        <f t="shared" si="59"/>
        <v/>
      </c>
      <c r="AX907" s="139" t="str">
        <f>[1]!T.in.A[[#This Row],[ID_T_manu]]</f>
        <v/>
      </c>
      <c r="AY907" s="140" t="str">
        <f>IF(ISNUMBER(Tab.o1[[#This Row],[a1]]),IF(AND(Tab.o1[[#This Row],[a1]]=1,Tab.o1[[#This Row],[b1]]&lt;=AY$4),#REF!,AY906),"")</f>
        <v/>
      </c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6"/>
      <c r="BO907" s="26"/>
      <c r="BP907" s="26"/>
      <c r="BQ907" s="26"/>
      <c r="BR907" s="26"/>
      <c r="BS907" s="26"/>
      <c r="BT907" s="26"/>
      <c r="BU907" s="26"/>
      <c r="BV907" s="26"/>
      <c r="BW907" s="26"/>
      <c r="BX907" s="26"/>
      <c r="BY907" s="26"/>
      <c r="BZ907" s="26"/>
      <c r="CA907" s="26"/>
    </row>
    <row r="908" spans="1:79" ht="15.75" hidden="1">
      <c r="A908" s="109">
        <v>1.0000000000000002E-6</v>
      </c>
      <c r="B908" s="110">
        <f t="shared" si="56"/>
        <v>908</v>
      </c>
      <c r="C908" s="111" t="str">
        <f>IF(C$1=[1]!T.in.A[[#This Row],[oo2]],1,"")</f>
        <v/>
      </c>
      <c r="D908" s="112" t="str">
        <f>IF(Tab.o1[[#This Row],[a1]]=1,IF(SUM(C908:C909)=0,0,IF(SUM(C907:C908)=1,1,IF(SUM(C907:C909)&gt;1,D907+1,0))),"")</f>
        <v/>
      </c>
      <c r="E908" s="113" t="str">
        <f>IF(Tab.o1[[#This Row],[a1]]=1,[1]!T.in.A[[#This Row],[oo1]],"")</f>
        <v/>
      </c>
      <c r="F908" s="113" t="str">
        <f>IF(Tab.o1[[#This Row],[a1]]=1,[1]!T.in.A[[#This Row],[pp1]],"")</f>
        <v/>
      </c>
      <c r="G908" s="114" t="str">
        <f>IF(Tab.o1[[#This Row],[a1]]=1,G$2+IF(G$1=1,0,Tab.o1[[#This Row],[.x1]])+[1]!T.in.A[[#This Row],[oo3]],"")</f>
        <v/>
      </c>
      <c r="H908" s="115" t="str">
        <f>IF(Tab.o1[[#This Row],[a1]]=1,IF(H$2=0,0,IF(G$1=1,0,Tab.o1[[#This Row],[.x1]])+[1]!T.in.A[[#This Row],[oo4]]),"")</f>
        <v/>
      </c>
      <c r="I908" s="116" t="str">
        <f>IF(Tab.o1[[#This Row],[a1]]=1,IF(J$2=0,Tab.o1[[#This Row],[MED]],Tab.o1[[#This Row],[MOD]]),"")</f>
        <v/>
      </c>
      <c r="J908" s="116" t="str">
        <f>IF(Tab.o1[[#This Row],[a1]]=1,((Tab.o1[[#This Row],[DIF_Target.]]-AVERAGE(Tab.o1[DIF_Target.]))/_xlfn.STDEV.P(Tab.o1[DIF_Target.])),"")</f>
        <v/>
      </c>
      <c r="K908" s="117" t="str">
        <f>IF(Tab.o1[[#This Row],[a1]]=1,IF(J$2=0,Tab.o1[[#This Row],[MOD]]-Tab.o1[[#This Row],[B]],IF(J$2=1,0,-Tab.o1[[#This Row],[MED]])+Tab.o1[[#This Row],[B]]),"")</f>
        <v/>
      </c>
      <c r="L908" s="117" t="str">
        <f ca="1">IF(Tab.o1[[#This Row],[DIF_Target]]=0,IF(L$2=0,Tab.o1[[#This Row],[DIF_Target]],AVERAGE(OFFSET(Tab.o1[[#This Row],[DIF_Target]],1,0,L$3,1)))/3,Tab.o1[[#This Row],[DIF_Target]])</f>
        <v/>
      </c>
      <c r="M908" s="118" t="str">
        <f>IF(Tab.o1[[#This Row],[a1]]=1,NORMSDIST(Tab.o1[[#This Row],[Za]]),"")</f>
        <v/>
      </c>
      <c r="N908" s="119" t="str">
        <f>IF(Tab.o1[[#This Row],[a1]]=1,((Tab.o1[[#This Row],[MedMod]]-AVERAGE(Tab.o1[MedMod]))/_xlfn.STDEV.P(Tab.o1[MedMod])*H$1205)+G$1205,"")</f>
        <v/>
      </c>
      <c r="O908" s="141" t="str">
        <f>IF(Tab.o1[[#This Row],[a1]]=1,Tab.o1[[#This Row],[Zb]]*_xlfn.STDEV.P(Tab.o1[MedMod])+AVERAGE(Tab.o1[MedMod]),"")</f>
        <v/>
      </c>
      <c r="P908" s="117" t="str">
        <f ca="1">IF(Tab.o1[[#This Row],[B]]=0,AVERAGE(OFFSET(Tab.o1[[#This Row],[B]],1,0,L$3,1)),Tab.o1[[#This Row],[B]])</f>
        <v/>
      </c>
      <c r="Q908" s="121" t="str">
        <f>IF(Tab.o1[[#This Row],[a1]]=1,NORMSDIST(Tab.o1[[#This Row],[Zb]]),"")</f>
        <v/>
      </c>
      <c r="R908" s="122" t="str">
        <f>IF(Tab.o1[[#This Row],[a1]]=1,((Tab.o1[[#This Row],[MedMod]]-AVERAGE(Tab.o1[MedMod]))/_xlfn.STDEV.P(Tab.o1[MedMod])*H$1203)+G$1203,"")</f>
        <v/>
      </c>
      <c r="S908" s="122" t="str">
        <f>IF(Tab.o1[[#This Row],[a1]]=1,((Tab.o1[[#This Row],[MedMod]]-AVERAGE(Tab.o1[MedMod]))/_xlfn.STDEV.P(Tab.o1[MedMod])*H$1204)+G$1204,"")</f>
        <v/>
      </c>
      <c r="T908" s="123" t="str">
        <f>IF(Tab.o1[[#This Row],[a1]]=1,Tab.o1[[#This Row],[Z-]]*_xlfn.STDEV.P(Tab.o1[B])+AVERAGE(Tab.o1[B]),"")</f>
        <v/>
      </c>
      <c r="U908" s="123" t="str">
        <f>IF(Tab.o1[[#This Row],[a1]]=1,Tab.o1[[#This Row],[z+]]*_xlfn.STDEV.P(Tab.o1[B])+AVERAGE(Tab.o1[B]),"")</f>
        <v/>
      </c>
      <c r="V908" s="124" t="str">
        <f>IF(Tab.o1[[#This Row],[a1]]=1,ABS((ABS(Tab.o1[[#This Row],[Red]]-Tab.o1[[#This Row],[Blue]]))),"")</f>
        <v/>
      </c>
      <c r="W908" s="125" t="str">
        <f>IF(Tab.o1[[#This Row],[a1]]=1,IF(W$3=0,1,Tab.o1[[#This Row],[Amp.]]*1/_xlfn.MINIFS(Tab.o1[Amp.],Tab.o1[Amp.],"&lt;&gt;0")),"")</f>
        <v/>
      </c>
      <c r="X908" s="126" t="str">
        <f>IF(Tab.o1[[#This Row],[a1]]=1,IF(ISNUMBER(Tab.o1[[#This Row],[i.]]),NORMDIST(Tab.o1[[#This Row],[Za]],0,1,FALSE)*Tab.o1[[#This Row],[i.]],AP$3),"")</f>
        <v/>
      </c>
      <c r="Y908" s="126" t="str">
        <f>IF(Tab.o1[[#This Row],[a1]]=1,0.01+0.94*Tab.o1[[#This Row],[PDF]]/MAX(Tab.o1[PDF]),"")</f>
        <v/>
      </c>
      <c r="Z908" s="126" t="str">
        <f>IF(Tab.o1[[#This Row],[a1]]=1,0.01+0.94*Tab.o1[[#This Row],[W1_PDF]]/MAX(Tab.o1[W1_PDF]),"")</f>
        <v/>
      </c>
      <c r="AA908" s="118" t="str">
        <f>IF(Tab.o1[[#This Row],[a1]]=1,ABS([1]!T.in.A[[#This Row],[oo6]]),"")</f>
        <v/>
      </c>
      <c r="AB908" s="127" t="str">
        <f>IF(Tab.o1[[#This Row],[a1]]=1,IF(AE$3=0,"",IF(AB$3=0,ABS([1]!T.in.A[[#This Row],[oo9]]),ABS(Tab.o1[[#This Row],[DIF_Target.]]*Tab.o1[[#This Row],[W1_PDF]]))),"")</f>
        <v/>
      </c>
      <c r="AC908" s="127" t="str">
        <f>IF(G$1=1,"",IF(Tab.o1[[#This Row],[a1]]=1,Tab.o1[[#This Row],[Wr]]^2,""))</f>
        <v/>
      </c>
      <c r="AD908" s="118" t="str">
        <f>IF(Tab.o1[[#This Row],[a1]]=1,IF(AE$3=0,"",Tab.o1[[#This Row],[Wr2]]/SUM(Tab.o1[Wr2])),"")</f>
        <v/>
      </c>
      <c r="AE908" s="128" t="str">
        <f>IF(Tab.o1[[#This Row],[a1]]=1,[1]!T.in.A[[#This Row],[oo10]],"")</f>
        <v/>
      </c>
      <c r="AF908" s="118" t="str">
        <f>IF(Tab.o1[[#This Row],[a1]]=1,ABS(Tab.o1[[#This Row],[DIF_Target.]]*Tab.o1[[#This Row],[PDF2]]*Tab.o1[[#This Row],[IN]]),"")</f>
        <v/>
      </c>
      <c r="AG908" s="129" t="str">
        <f>IF(Tab.o1[[#This Row],[a1]]=1,Tab.o1[[#This Row],[rW]]^2,"")</f>
        <v/>
      </c>
      <c r="AH908" s="130" t="str">
        <f>IF(Tab.o1[[#This Row],[a1]]=1,IF(AH$3=0,Tab.o1[[#This Row],[rW2]],0.01+0.94*Tab.o1[[#This Row],[rW2]]/SUM(Tab.o1[rW2])),"")</f>
        <v/>
      </c>
      <c r="AI908" s="128" t="str">
        <f>IF(Tab.o1[[#This Row],[a1]]=1,1/Tab.o1[[#This Row],[PDF]],"")</f>
        <v/>
      </c>
      <c r="AJ908" s="131" t="str">
        <f>IF(Tab.o1[[#This Row],[a1]]=1,[1]!T_AA[[#This Row],[IN'']]*[1]!T_AA[[#This Row],[Qde'']],"")</f>
        <v/>
      </c>
      <c r="AK908" s="132" t="str">
        <f>IF(Tab.o1[[#This Row],[a1]]=1,IF(AK$1=1,Tab.o1[[#This Row],[MED]]+Tab.o1[[#This Row],[MOD]]-Tab.o1[[#This Row],[MED]],""),"")</f>
        <v/>
      </c>
      <c r="AL908" s="133" t="str">
        <f>IF(Tab.o1[[#This Row],[a1]]=1,[1]!T.in.A[[#This Row],[oo16]],"")</f>
        <v/>
      </c>
      <c r="AM908" s="133" t="str">
        <f>IF(Tab.o1[[#This Row],[a1]]=1,IF(AM$3=1,[1]!T.in.A[[#This Row],[Σo16]],""),"")</f>
        <v/>
      </c>
      <c r="AN908" s="126" t="str">
        <f>IF(Tab.o1[[#This Row],[a1]]=1,[1]!T.in.A[[#This Row],[Σp5]],"")</f>
        <v/>
      </c>
      <c r="AO908" s="126" t="str">
        <f>IF(Tab.o1[[#This Row],[a1]]=1,IF(AO$3=1,[1]!T.in.A[[#This Row],[Σp5]],""),"")</f>
        <v/>
      </c>
      <c r="AP908" s="110" t="str">
        <f>IF(Tab.o1[[#This Row],[a1]]=1,IF(ISNUMBER(Tab.o1[[#This Row],[i.]]),NORMDIST(Tab.o1[[#This Row],[Za]],0,1,FALSE)*Tab.o1[[#This Row],[i.]],0),"")</f>
        <v/>
      </c>
      <c r="AQ908" s="125" t="str">
        <f>IF(Tab.o1[[#This Row],[a1]]=1,ABS(Tab.o1[[#This Row],[MOD]]-AVERAGE(Tab.o1[MOD])),"")</f>
        <v/>
      </c>
      <c r="AR908" s="134" t="str">
        <f>IF(Tab.o1[[#This Row],[a1]]=1,Tab.o1[[#This Row],[OBS]]/SUM(Tab.o1[OBS]),"")</f>
        <v/>
      </c>
      <c r="AS908" s="135" t="str">
        <f>IF(ISNUMBER(Tab.o1[[#This Row],[a1]]),ROW()-4,"")</f>
        <v/>
      </c>
      <c r="AT908" s="136" t="str">
        <f>Tab.o1[[#This Row],[MOD]]</f>
        <v/>
      </c>
      <c r="AU908" s="137" t="str">
        <f t="shared" si="57"/>
        <v/>
      </c>
      <c r="AV908" s="138" t="str">
        <f t="shared" si="58"/>
        <v/>
      </c>
      <c r="AW908" s="138" t="str">
        <f t="shared" si="59"/>
        <v/>
      </c>
      <c r="AX908" s="139" t="str">
        <f>[1]!T.in.A[[#This Row],[ID_T_manu]]</f>
        <v/>
      </c>
      <c r="AY908" s="140" t="str">
        <f>IF(ISNUMBER(Tab.o1[[#This Row],[a1]]),IF(AND(Tab.o1[[#This Row],[a1]]=1,Tab.o1[[#This Row],[b1]]&lt;=AY$4),#REF!,AY907),"")</f>
        <v/>
      </c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6"/>
      <c r="BO908" s="26"/>
      <c r="BP908" s="26"/>
      <c r="BQ908" s="26"/>
      <c r="BR908" s="26"/>
      <c r="BS908" s="26"/>
      <c r="BT908" s="26"/>
      <c r="BU908" s="26"/>
      <c r="BV908" s="26"/>
      <c r="BW908" s="26"/>
      <c r="BX908" s="26"/>
      <c r="BY908" s="26"/>
      <c r="BZ908" s="26"/>
      <c r="CA908" s="26"/>
    </row>
    <row r="909" spans="1:79" ht="15.75" hidden="1">
      <c r="A909" s="109">
        <v>6.9999999999999999E-6</v>
      </c>
      <c r="B909" s="110">
        <f t="shared" si="56"/>
        <v>909</v>
      </c>
      <c r="C909" s="111" t="str">
        <f>IF(C$1=[1]!T.in.A[[#This Row],[oo2]],1,"")</f>
        <v/>
      </c>
      <c r="D909" s="112" t="str">
        <f>IF(Tab.o1[[#This Row],[a1]]=1,IF(SUM(C909:C910)=0,0,IF(SUM(C908:C909)=1,1,IF(SUM(C908:C910)&gt;1,D908+1,0))),"")</f>
        <v/>
      </c>
      <c r="E909" s="113" t="str">
        <f>IF(Tab.o1[[#This Row],[a1]]=1,[1]!T.in.A[[#This Row],[oo1]],"")</f>
        <v/>
      </c>
      <c r="F909" s="113" t="str">
        <f>IF(Tab.o1[[#This Row],[a1]]=1,[1]!T.in.A[[#This Row],[pp1]],"")</f>
        <v/>
      </c>
      <c r="G909" s="114" t="str">
        <f>IF(Tab.o1[[#This Row],[a1]]=1,G$2+IF(G$1=1,0,Tab.o1[[#This Row],[.x1]])+[1]!T.in.A[[#This Row],[oo3]],"")</f>
        <v/>
      </c>
      <c r="H909" s="115" t="str">
        <f>IF(Tab.o1[[#This Row],[a1]]=1,IF(H$2=0,0,IF(G$1=1,0,Tab.o1[[#This Row],[.x1]])+[1]!T.in.A[[#This Row],[oo4]]),"")</f>
        <v/>
      </c>
      <c r="I909" s="116" t="str">
        <f>IF(Tab.o1[[#This Row],[a1]]=1,IF(J$2=0,Tab.o1[[#This Row],[MED]],Tab.o1[[#This Row],[MOD]]),"")</f>
        <v/>
      </c>
      <c r="J909" s="116" t="str">
        <f>IF(Tab.o1[[#This Row],[a1]]=1,((Tab.o1[[#This Row],[DIF_Target.]]-AVERAGE(Tab.o1[DIF_Target.]))/_xlfn.STDEV.P(Tab.o1[DIF_Target.])),"")</f>
        <v/>
      </c>
      <c r="K909" s="117" t="str">
        <f>IF(Tab.o1[[#This Row],[a1]]=1,IF(J$2=0,Tab.o1[[#This Row],[MOD]]-Tab.o1[[#This Row],[B]],IF(J$2=1,0,-Tab.o1[[#This Row],[MED]])+Tab.o1[[#This Row],[B]]),"")</f>
        <v/>
      </c>
      <c r="L909" s="117" t="str">
        <f ca="1">IF(Tab.o1[[#This Row],[DIF_Target]]=0,IF(L$2=0,Tab.o1[[#This Row],[DIF_Target]],AVERAGE(OFFSET(Tab.o1[[#This Row],[DIF_Target]],1,0,L$3,1)))/3,Tab.o1[[#This Row],[DIF_Target]])</f>
        <v/>
      </c>
      <c r="M909" s="118" t="str">
        <f>IF(Tab.o1[[#This Row],[a1]]=1,NORMSDIST(Tab.o1[[#This Row],[Za]]),"")</f>
        <v/>
      </c>
      <c r="N909" s="119" t="str">
        <f>IF(Tab.o1[[#This Row],[a1]]=1,((Tab.o1[[#This Row],[MedMod]]-AVERAGE(Tab.o1[MedMod]))/_xlfn.STDEV.P(Tab.o1[MedMod])*H$1205)+G$1205,"")</f>
        <v/>
      </c>
      <c r="O909" s="141" t="str">
        <f>IF(Tab.o1[[#This Row],[a1]]=1,Tab.o1[[#This Row],[Zb]]*_xlfn.STDEV.P(Tab.o1[MedMod])+AVERAGE(Tab.o1[MedMod]),"")</f>
        <v/>
      </c>
      <c r="P909" s="117" t="str">
        <f ca="1">IF(Tab.o1[[#This Row],[B]]=0,AVERAGE(OFFSET(Tab.o1[[#This Row],[B]],1,0,L$3,1)),Tab.o1[[#This Row],[B]])</f>
        <v/>
      </c>
      <c r="Q909" s="121" t="str">
        <f>IF(Tab.o1[[#This Row],[a1]]=1,NORMSDIST(Tab.o1[[#This Row],[Zb]]),"")</f>
        <v/>
      </c>
      <c r="R909" s="122" t="str">
        <f>IF(Tab.o1[[#This Row],[a1]]=1,((Tab.o1[[#This Row],[MedMod]]-AVERAGE(Tab.o1[MedMod]))/_xlfn.STDEV.P(Tab.o1[MedMod])*H$1203)+G$1203,"")</f>
        <v/>
      </c>
      <c r="S909" s="122" t="str">
        <f>IF(Tab.o1[[#This Row],[a1]]=1,((Tab.o1[[#This Row],[MedMod]]-AVERAGE(Tab.o1[MedMod]))/_xlfn.STDEV.P(Tab.o1[MedMod])*H$1204)+G$1204,"")</f>
        <v/>
      </c>
      <c r="T909" s="123" t="str">
        <f>IF(Tab.o1[[#This Row],[a1]]=1,Tab.o1[[#This Row],[Z-]]*_xlfn.STDEV.P(Tab.o1[B])+AVERAGE(Tab.o1[B]),"")</f>
        <v/>
      </c>
      <c r="U909" s="123" t="str">
        <f>IF(Tab.o1[[#This Row],[a1]]=1,Tab.o1[[#This Row],[z+]]*_xlfn.STDEV.P(Tab.o1[B])+AVERAGE(Tab.o1[B]),"")</f>
        <v/>
      </c>
      <c r="V909" s="124" t="str">
        <f>IF(Tab.o1[[#This Row],[a1]]=1,ABS((ABS(Tab.o1[[#This Row],[Red]]-Tab.o1[[#This Row],[Blue]]))),"")</f>
        <v/>
      </c>
      <c r="W909" s="125" t="str">
        <f>IF(Tab.o1[[#This Row],[a1]]=1,IF(W$3=0,1,Tab.o1[[#This Row],[Amp.]]*1/_xlfn.MINIFS(Tab.o1[Amp.],Tab.o1[Amp.],"&lt;&gt;0")),"")</f>
        <v/>
      </c>
      <c r="X909" s="126" t="str">
        <f>IF(Tab.o1[[#This Row],[a1]]=1,IF(ISNUMBER(Tab.o1[[#This Row],[i.]]),NORMDIST(Tab.o1[[#This Row],[Za]],0,1,FALSE)*Tab.o1[[#This Row],[i.]],AP$3),"")</f>
        <v/>
      </c>
      <c r="Y909" s="126" t="str">
        <f>IF(Tab.o1[[#This Row],[a1]]=1,0.01+0.94*Tab.o1[[#This Row],[PDF]]/MAX(Tab.o1[PDF]),"")</f>
        <v/>
      </c>
      <c r="Z909" s="126" t="str">
        <f>IF(Tab.o1[[#This Row],[a1]]=1,0.01+0.94*Tab.o1[[#This Row],[W1_PDF]]/MAX(Tab.o1[W1_PDF]),"")</f>
        <v/>
      </c>
      <c r="AA909" s="118" t="str">
        <f>IF(Tab.o1[[#This Row],[a1]]=1,ABS([1]!T.in.A[[#This Row],[oo6]]),"")</f>
        <v/>
      </c>
      <c r="AB909" s="127" t="str">
        <f>IF(Tab.o1[[#This Row],[a1]]=1,IF(AE$3=0,"",IF(AB$3=0,ABS([1]!T.in.A[[#This Row],[oo9]]),ABS(Tab.o1[[#This Row],[DIF_Target.]]*Tab.o1[[#This Row],[W1_PDF]]))),"")</f>
        <v/>
      </c>
      <c r="AC909" s="127" t="str">
        <f>IF(G$1=1,"",IF(Tab.o1[[#This Row],[a1]]=1,Tab.o1[[#This Row],[Wr]]^2,""))</f>
        <v/>
      </c>
      <c r="AD909" s="118" t="str">
        <f>IF(Tab.o1[[#This Row],[a1]]=1,IF(AE$3=0,"",Tab.o1[[#This Row],[Wr2]]/SUM(Tab.o1[Wr2])),"")</f>
        <v/>
      </c>
      <c r="AE909" s="128" t="str">
        <f>IF(Tab.o1[[#This Row],[a1]]=1,[1]!T.in.A[[#This Row],[oo10]],"")</f>
        <v/>
      </c>
      <c r="AF909" s="118" t="str">
        <f>IF(Tab.o1[[#This Row],[a1]]=1,ABS(Tab.o1[[#This Row],[DIF_Target.]]*Tab.o1[[#This Row],[PDF2]]*Tab.o1[[#This Row],[IN]]),"")</f>
        <v/>
      </c>
      <c r="AG909" s="129" t="str">
        <f>IF(Tab.o1[[#This Row],[a1]]=1,Tab.o1[[#This Row],[rW]]^2,"")</f>
        <v/>
      </c>
      <c r="AH909" s="130" t="str">
        <f>IF(Tab.o1[[#This Row],[a1]]=1,IF(AH$3=0,Tab.o1[[#This Row],[rW2]],0.01+0.94*Tab.o1[[#This Row],[rW2]]/SUM(Tab.o1[rW2])),"")</f>
        <v/>
      </c>
      <c r="AI909" s="128" t="str">
        <f>IF(Tab.o1[[#This Row],[a1]]=1,1/Tab.o1[[#This Row],[PDF]],"")</f>
        <v/>
      </c>
      <c r="AJ909" s="131" t="str">
        <f>IF(Tab.o1[[#This Row],[a1]]=1,[1]!T_AA[[#This Row],[IN'']]*[1]!T_AA[[#This Row],[Qde'']],"")</f>
        <v/>
      </c>
      <c r="AK909" s="132" t="str">
        <f>IF(Tab.o1[[#This Row],[a1]]=1,IF(AK$1=1,Tab.o1[[#This Row],[MED]]+Tab.o1[[#This Row],[MOD]]-Tab.o1[[#This Row],[MED]],""),"")</f>
        <v/>
      </c>
      <c r="AL909" s="133" t="str">
        <f>IF(Tab.o1[[#This Row],[a1]]=1,[1]!T.in.A[[#This Row],[oo16]],"")</f>
        <v/>
      </c>
      <c r="AM909" s="133" t="str">
        <f>IF(Tab.o1[[#This Row],[a1]]=1,IF(AM$3=1,[1]!T.in.A[[#This Row],[Σo16]],""),"")</f>
        <v/>
      </c>
      <c r="AN909" s="126" t="str">
        <f>IF(Tab.o1[[#This Row],[a1]]=1,[1]!T.in.A[[#This Row],[Σp5]],"")</f>
        <v/>
      </c>
      <c r="AO909" s="126" t="str">
        <f>IF(Tab.o1[[#This Row],[a1]]=1,IF(AO$3=1,[1]!T.in.A[[#This Row],[Σp5]],""),"")</f>
        <v/>
      </c>
      <c r="AP909" s="110" t="str">
        <f>IF(Tab.o1[[#This Row],[a1]]=1,IF(ISNUMBER(Tab.o1[[#This Row],[i.]]),NORMDIST(Tab.o1[[#This Row],[Za]],0,1,FALSE)*Tab.o1[[#This Row],[i.]],0),"")</f>
        <v/>
      </c>
      <c r="AQ909" s="125" t="str">
        <f>IF(Tab.o1[[#This Row],[a1]]=1,ABS(Tab.o1[[#This Row],[MOD]]-AVERAGE(Tab.o1[MOD])),"")</f>
        <v/>
      </c>
      <c r="AR909" s="134" t="str">
        <f>IF(Tab.o1[[#This Row],[a1]]=1,Tab.o1[[#This Row],[OBS]]/SUM(Tab.o1[OBS]),"")</f>
        <v/>
      </c>
      <c r="AS909" s="135" t="str">
        <f>IF(ISNUMBER(Tab.o1[[#This Row],[a1]]),ROW()-4,"")</f>
        <v/>
      </c>
      <c r="AT909" s="136" t="str">
        <f>Tab.o1[[#This Row],[MOD]]</f>
        <v/>
      </c>
      <c r="AU909" s="137" t="str">
        <f t="shared" si="57"/>
        <v/>
      </c>
      <c r="AV909" s="138" t="str">
        <f t="shared" si="58"/>
        <v/>
      </c>
      <c r="AW909" s="138" t="str">
        <f t="shared" si="59"/>
        <v/>
      </c>
      <c r="AX909" s="139" t="str">
        <f>[1]!T.in.A[[#This Row],[ID_T_manu]]</f>
        <v/>
      </c>
      <c r="AY909" s="140" t="str">
        <f>IF(ISNUMBER(Tab.o1[[#This Row],[a1]]),IF(AND(Tab.o1[[#This Row],[a1]]=1,Tab.o1[[#This Row],[b1]]&lt;=AY$4),#REF!,AY908),"")</f>
        <v/>
      </c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6"/>
      <c r="BO909" s="26"/>
      <c r="BP909" s="26"/>
      <c r="BQ909" s="26"/>
      <c r="BR909" s="26"/>
      <c r="BS909" s="26"/>
      <c r="BT909" s="26"/>
      <c r="BU909" s="26"/>
      <c r="BV909" s="26"/>
      <c r="BW909" s="26"/>
      <c r="BX909" s="26"/>
      <c r="BY909" s="26"/>
      <c r="BZ909" s="26"/>
      <c r="CA909" s="26"/>
    </row>
    <row r="910" spans="1:79" ht="15.75" hidden="1">
      <c r="A910" s="109">
        <v>1.0000000000000002E-6</v>
      </c>
      <c r="B910" s="110">
        <f t="shared" si="56"/>
        <v>910</v>
      </c>
      <c r="C910" s="111" t="str">
        <f>IF(C$1=[1]!T.in.A[[#This Row],[oo2]],1,"")</f>
        <v/>
      </c>
      <c r="D910" s="112" t="str">
        <f>IF(Tab.o1[[#This Row],[a1]]=1,IF(SUM(C910:C911)=0,0,IF(SUM(C909:C910)=1,1,IF(SUM(C909:C911)&gt;1,D909+1,0))),"")</f>
        <v/>
      </c>
      <c r="E910" s="113" t="str">
        <f>IF(Tab.o1[[#This Row],[a1]]=1,[1]!T.in.A[[#This Row],[oo1]],"")</f>
        <v/>
      </c>
      <c r="F910" s="113" t="str">
        <f>IF(Tab.o1[[#This Row],[a1]]=1,[1]!T.in.A[[#This Row],[pp1]],"")</f>
        <v/>
      </c>
      <c r="G910" s="114" t="str">
        <f>IF(Tab.o1[[#This Row],[a1]]=1,G$2+IF(G$1=1,0,Tab.o1[[#This Row],[.x1]])+[1]!T.in.A[[#This Row],[oo3]],"")</f>
        <v/>
      </c>
      <c r="H910" s="115" t="str">
        <f>IF(Tab.o1[[#This Row],[a1]]=1,IF(H$2=0,0,IF(G$1=1,0,Tab.o1[[#This Row],[.x1]])+[1]!T.in.A[[#This Row],[oo4]]),"")</f>
        <v/>
      </c>
      <c r="I910" s="116" t="str">
        <f>IF(Tab.o1[[#This Row],[a1]]=1,IF(J$2=0,Tab.o1[[#This Row],[MED]],Tab.o1[[#This Row],[MOD]]),"")</f>
        <v/>
      </c>
      <c r="J910" s="116" t="str">
        <f>IF(Tab.o1[[#This Row],[a1]]=1,((Tab.o1[[#This Row],[DIF_Target.]]-AVERAGE(Tab.o1[DIF_Target.]))/_xlfn.STDEV.P(Tab.o1[DIF_Target.])),"")</f>
        <v/>
      </c>
      <c r="K910" s="117" t="str">
        <f>IF(Tab.o1[[#This Row],[a1]]=1,IF(J$2=0,Tab.o1[[#This Row],[MOD]]-Tab.o1[[#This Row],[B]],IF(J$2=1,0,-Tab.o1[[#This Row],[MED]])+Tab.o1[[#This Row],[B]]),"")</f>
        <v/>
      </c>
      <c r="L910" s="117" t="str">
        <f ca="1">IF(Tab.o1[[#This Row],[DIF_Target]]=0,IF(L$2=0,Tab.o1[[#This Row],[DIF_Target]],AVERAGE(OFFSET(Tab.o1[[#This Row],[DIF_Target]],1,0,L$3,1)))/3,Tab.o1[[#This Row],[DIF_Target]])</f>
        <v/>
      </c>
      <c r="M910" s="118" t="str">
        <f>IF(Tab.o1[[#This Row],[a1]]=1,NORMSDIST(Tab.o1[[#This Row],[Za]]),"")</f>
        <v/>
      </c>
      <c r="N910" s="119" t="str">
        <f>IF(Tab.o1[[#This Row],[a1]]=1,((Tab.o1[[#This Row],[MedMod]]-AVERAGE(Tab.o1[MedMod]))/_xlfn.STDEV.P(Tab.o1[MedMod])*H$1205)+G$1205,"")</f>
        <v/>
      </c>
      <c r="O910" s="141" t="str">
        <f>IF(Tab.o1[[#This Row],[a1]]=1,Tab.o1[[#This Row],[Zb]]*_xlfn.STDEV.P(Tab.o1[MedMod])+AVERAGE(Tab.o1[MedMod]),"")</f>
        <v/>
      </c>
      <c r="P910" s="117" t="str">
        <f ca="1">IF(Tab.o1[[#This Row],[B]]=0,AVERAGE(OFFSET(Tab.o1[[#This Row],[B]],1,0,L$3,1)),Tab.o1[[#This Row],[B]])</f>
        <v/>
      </c>
      <c r="Q910" s="121" t="str">
        <f>IF(Tab.o1[[#This Row],[a1]]=1,NORMSDIST(Tab.o1[[#This Row],[Zb]]),"")</f>
        <v/>
      </c>
      <c r="R910" s="122" t="str">
        <f>IF(Tab.o1[[#This Row],[a1]]=1,((Tab.o1[[#This Row],[MedMod]]-AVERAGE(Tab.o1[MedMod]))/_xlfn.STDEV.P(Tab.o1[MedMod])*H$1203)+G$1203,"")</f>
        <v/>
      </c>
      <c r="S910" s="122" t="str">
        <f>IF(Tab.o1[[#This Row],[a1]]=1,((Tab.o1[[#This Row],[MedMod]]-AVERAGE(Tab.o1[MedMod]))/_xlfn.STDEV.P(Tab.o1[MedMod])*H$1204)+G$1204,"")</f>
        <v/>
      </c>
      <c r="T910" s="123" t="str">
        <f>IF(Tab.o1[[#This Row],[a1]]=1,Tab.o1[[#This Row],[Z-]]*_xlfn.STDEV.P(Tab.o1[B])+AVERAGE(Tab.o1[B]),"")</f>
        <v/>
      </c>
      <c r="U910" s="123" t="str">
        <f>IF(Tab.o1[[#This Row],[a1]]=1,Tab.o1[[#This Row],[z+]]*_xlfn.STDEV.P(Tab.o1[B])+AVERAGE(Tab.o1[B]),"")</f>
        <v/>
      </c>
      <c r="V910" s="124" t="str">
        <f>IF(Tab.o1[[#This Row],[a1]]=1,ABS((ABS(Tab.o1[[#This Row],[Red]]-Tab.o1[[#This Row],[Blue]]))),"")</f>
        <v/>
      </c>
      <c r="W910" s="125" t="str">
        <f>IF(Tab.o1[[#This Row],[a1]]=1,IF(W$3=0,1,Tab.o1[[#This Row],[Amp.]]*1/_xlfn.MINIFS(Tab.o1[Amp.],Tab.o1[Amp.],"&lt;&gt;0")),"")</f>
        <v/>
      </c>
      <c r="X910" s="126" t="str">
        <f>IF(Tab.o1[[#This Row],[a1]]=1,IF(ISNUMBER(Tab.o1[[#This Row],[i.]]),NORMDIST(Tab.o1[[#This Row],[Za]],0,1,FALSE)*Tab.o1[[#This Row],[i.]],AP$3),"")</f>
        <v/>
      </c>
      <c r="Y910" s="126" t="str">
        <f>IF(Tab.o1[[#This Row],[a1]]=1,0.01+0.94*Tab.o1[[#This Row],[PDF]]/MAX(Tab.o1[PDF]),"")</f>
        <v/>
      </c>
      <c r="Z910" s="126" t="str">
        <f>IF(Tab.o1[[#This Row],[a1]]=1,0.01+0.94*Tab.o1[[#This Row],[W1_PDF]]/MAX(Tab.o1[W1_PDF]),"")</f>
        <v/>
      </c>
      <c r="AA910" s="118" t="str">
        <f>IF(Tab.o1[[#This Row],[a1]]=1,ABS([1]!T.in.A[[#This Row],[oo6]]),"")</f>
        <v/>
      </c>
      <c r="AB910" s="127" t="str">
        <f>IF(Tab.o1[[#This Row],[a1]]=1,IF(AE$3=0,"",IF(AB$3=0,ABS([1]!T.in.A[[#This Row],[oo9]]),ABS(Tab.o1[[#This Row],[DIF_Target.]]*Tab.o1[[#This Row],[W1_PDF]]))),"")</f>
        <v/>
      </c>
      <c r="AC910" s="127" t="str">
        <f>IF(G$1=1,"",IF(Tab.o1[[#This Row],[a1]]=1,Tab.o1[[#This Row],[Wr]]^2,""))</f>
        <v/>
      </c>
      <c r="AD910" s="118" t="str">
        <f>IF(Tab.o1[[#This Row],[a1]]=1,IF(AE$3=0,"",Tab.o1[[#This Row],[Wr2]]/SUM(Tab.o1[Wr2])),"")</f>
        <v/>
      </c>
      <c r="AE910" s="128" t="str">
        <f>IF(Tab.o1[[#This Row],[a1]]=1,[1]!T.in.A[[#This Row],[oo10]],"")</f>
        <v/>
      </c>
      <c r="AF910" s="118" t="str">
        <f>IF(Tab.o1[[#This Row],[a1]]=1,ABS(Tab.o1[[#This Row],[DIF_Target.]]*Tab.o1[[#This Row],[PDF2]]*Tab.o1[[#This Row],[IN]]),"")</f>
        <v/>
      </c>
      <c r="AG910" s="129" t="str">
        <f>IF(Tab.o1[[#This Row],[a1]]=1,Tab.o1[[#This Row],[rW]]^2,"")</f>
        <v/>
      </c>
      <c r="AH910" s="130" t="str">
        <f>IF(Tab.o1[[#This Row],[a1]]=1,IF(AH$3=0,Tab.o1[[#This Row],[rW2]],0.01+0.94*Tab.o1[[#This Row],[rW2]]/SUM(Tab.o1[rW2])),"")</f>
        <v/>
      </c>
      <c r="AI910" s="128" t="str">
        <f>IF(Tab.o1[[#This Row],[a1]]=1,1/Tab.o1[[#This Row],[PDF]],"")</f>
        <v/>
      </c>
      <c r="AJ910" s="131" t="str">
        <f>IF(Tab.o1[[#This Row],[a1]]=1,[1]!T_AA[[#This Row],[IN'']]*[1]!T_AA[[#This Row],[Qde'']],"")</f>
        <v/>
      </c>
      <c r="AK910" s="132" t="str">
        <f>IF(Tab.o1[[#This Row],[a1]]=1,IF(AK$1=1,Tab.o1[[#This Row],[MED]]+Tab.o1[[#This Row],[MOD]]-Tab.o1[[#This Row],[MED]],""),"")</f>
        <v/>
      </c>
      <c r="AL910" s="133" t="str">
        <f>IF(Tab.o1[[#This Row],[a1]]=1,[1]!T.in.A[[#This Row],[oo16]],"")</f>
        <v/>
      </c>
      <c r="AM910" s="133" t="str">
        <f>IF(Tab.o1[[#This Row],[a1]]=1,IF(AM$3=1,[1]!T.in.A[[#This Row],[Σo16]],""),"")</f>
        <v/>
      </c>
      <c r="AN910" s="126" t="str">
        <f>IF(Tab.o1[[#This Row],[a1]]=1,[1]!T.in.A[[#This Row],[Σp5]],"")</f>
        <v/>
      </c>
      <c r="AO910" s="126" t="str">
        <f>IF(Tab.o1[[#This Row],[a1]]=1,IF(AO$3=1,[1]!T.in.A[[#This Row],[Σp5]],""),"")</f>
        <v/>
      </c>
      <c r="AP910" s="110" t="str">
        <f>IF(Tab.o1[[#This Row],[a1]]=1,IF(ISNUMBER(Tab.o1[[#This Row],[i.]]),NORMDIST(Tab.o1[[#This Row],[Za]],0,1,FALSE)*Tab.o1[[#This Row],[i.]],0),"")</f>
        <v/>
      </c>
      <c r="AQ910" s="125" t="str">
        <f>IF(Tab.o1[[#This Row],[a1]]=1,ABS(Tab.o1[[#This Row],[MOD]]-AVERAGE(Tab.o1[MOD])),"")</f>
        <v/>
      </c>
      <c r="AR910" s="134" t="str">
        <f>IF(Tab.o1[[#This Row],[a1]]=1,Tab.o1[[#This Row],[OBS]]/SUM(Tab.o1[OBS]),"")</f>
        <v/>
      </c>
      <c r="AS910" s="135" t="str">
        <f>IF(ISNUMBER(Tab.o1[[#This Row],[a1]]),ROW()-4,"")</f>
        <v/>
      </c>
      <c r="AT910" s="136" t="str">
        <f>Tab.o1[[#This Row],[MOD]]</f>
        <v/>
      </c>
      <c r="AU910" s="137" t="str">
        <f t="shared" si="57"/>
        <v/>
      </c>
      <c r="AV910" s="138" t="str">
        <f t="shared" si="58"/>
        <v/>
      </c>
      <c r="AW910" s="138" t="str">
        <f t="shared" si="59"/>
        <v/>
      </c>
      <c r="AX910" s="139" t="str">
        <f>[1]!T.in.A[[#This Row],[ID_T_manu]]</f>
        <v/>
      </c>
      <c r="AY910" s="140" t="str">
        <f>IF(ISNUMBER(Tab.o1[[#This Row],[a1]]),IF(AND(Tab.o1[[#This Row],[a1]]=1,Tab.o1[[#This Row],[b1]]&lt;=AY$4),#REF!,AY909),"")</f>
        <v/>
      </c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6"/>
      <c r="BO910" s="26"/>
      <c r="BP910" s="26"/>
      <c r="BQ910" s="26"/>
      <c r="BR910" s="26"/>
      <c r="BS910" s="26"/>
      <c r="BT910" s="26"/>
      <c r="BU910" s="26"/>
      <c r="BV910" s="26"/>
      <c r="BW910" s="26"/>
      <c r="BX910" s="26"/>
      <c r="BY910" s="26"/>
      <c r="BZ910" s="26"/>
      <c r="CA910" s="26"/>
    </row>
    <row r="911" spans="1:79" ht="15.75" hidden="1">
      <c r="A911" s="109">
        <v>5.0000000000000004E-6</v>
      </c>
      <c r="B911" s="110">
        <f t="shared" si="56"/>
        <v>911</v>
      </c>
      <c r="C911" s="111" t="str">
        <f>IF(C$1=[1]!T.in.A[[#This Row],[oo2]],1,"")</f>
        <v/>
      </c>
      <c r="D911" s="112" t="str">
        <f>IF(Tab.o1[[#This Row],[a1]]=1,IF(SUM(C911:C912)=0,0,IF(SUM(C910:C911)=1,1,IF(SUM(C910:C912)&gt;1,D910+1,0))),"")</f>
        <v/>
      </c>
      <c r="E911" s="113" t="str">
        <f>IF(Tab.o1[[#This Row],[a1]]=1,[1]!T.in.A[[#This Row],[oo1]],"")</f>
        <v/>
      </c>
      <c r="F911" s="113" t="str">
        <f>IF(Tab.o1[[#This Row],[a1]]=1,[1]!T.in.A[[#This Row],[pp1]],"")</f>
        <v/>
      </c>
      <c r="G911" s="114" t="str">
        <f>IF(Tab.o1[[#This Row],[a1]]=1,G$2+IF(G$1=1,0,Tab.o1[[#This Row],[.x1]])+[1]!T.in.A[[#This Row],[oo3]],"")</f>
        <v/>
      </c>
      <c r="H911" s="115" t="str">
        <f>IF(Tab.o1[[#This Row],[a1]]=1,IF(H$2=0,0,IF(G$1=1,0,Tab.o1[[#This Row],[.x1]])+[1]!T.in.A[[#This Row],[oo4]]),"")</f>
        <v/>
      </c>
      <c r="I911" s="116" t="str">
        <f>IF(Tab.o1[[#This Row],[a1]]=1,IF(J$2=0,Tab.o1[[#This Row],[MED]],Tab.o1[[#This Row],[MOD]]),"")</f>
        <v/>
      </c>
      <c r="J911" s="116" t="str">
        <f>IF(Tab.o1[[#This Row],[a1]]=1,((Tab.o1[[#This Row],[DIF_Target.]]-AVERAGE(Tab.o1[DIF_Target.]))/_xlfn.STDEV.P(Tab.o1[DIF_Target.])),"")</f>
        <v/>
      </c>
      <c r="K911" s="117" t="str">
        <f>IF(Tab.o1[[#This Row],[a1]]=1,IF(J$2=0,Tab.o1[[#This Row],[MOD]]-Tab.o1[[#This Row],[B]],IF(J$2=1,0,-Tab.o1[[#This Row],[MED]])+Tab.o1[[#This Row],[B]]),"")</f>
        <v/>
      </c>
      <c r="L911" s="117" t="str">
        <f ca="1">IF(Tab.o1[[#This Row],[DIF_Target]]=0,IF(L$2=0,Tab.o1[[#This Row],[DIF_Target]],AVERAGE(OFFSET(Tab.o1[[#This Row],[DIF_Target]],1,0,L$3,1)))/3,Tab.o1[[#This Row],[DIF_Target]])</f>
        <v/>
      </c>
      <c r="M911" s="118" t="str">
        <f>IF(Tab.o1[[#This Row],[a1]]=1,NORMSDIST(Tab.o1[[#This Row],[Za]]),"")</f>
        <v/>
      </c>
      <c r="N911" s="119" t="str">
        <f>IF(Tab.o1[[#This Row],[a1]]=1,((Tab.o1[[#This Row],[MedMod]]-AVERAGE(Tab.o1[MedMod]))/_xlfn.STDEV.P(Tab.o1[MedMod])*H$1205)+G$1205,"")</f>
        <v/>
      </c>
      <c r="O911" s="141" t="str">
        <f>IF(Tab.o1[[#This Row],[a1]]=1,Tab.o1[[#This Row],[Zb]]*_xlfn.STDEV.P(Tab.o1[MedMod])+AVERAGE(Tab.o1[MedMod]),"")</f>
        <v/>
      </c>
      <c r="P911" s="117" t="str">
        <f ca="1">IF(Tab.o1[[#This Row],[B]]=0,AVERAGE(OFFSET(Tab.o1[[#This Row],[B]],1,0,L$3,1)),Tab.o1[[#This Row],[B]])</f>
        <v/>
      </c>
      <c r="Q911" s="121" t="str">
        <f>IF(Tab.o1[[#This Row],[a1]]=1,NORMSDIST(Tab.o1[[#This Row],[Zb]]),"")</f>
        <v/>
      </c>
      <c r="R911" s="122" t="str">
        <f>IF(Tab.o1[[#This Row],[a1]]=1,((Tab.o1[[#This Row],[MedMod]]-AVERAGE(Tab.o1[MedMod]))/_xlfn.STDEV.P(Tab.o1[MedMod])*H$1203)+G$1203,"")</f>
        <v/>
      </c>
      <c r="S911" s="122" t="str">
        <f>IF(Tab.o1[[#This Row],[a1]]=1,((Tab.o1[[#This Row],[MedMod]]-AVERAGE(Tab.o1[MedMod]))/_xlfn.STDEV.P(Tab.o1[MedMod])*H$1204)+G$1204,"")</f>
        <v/>
      </c>
      <c r="T911" s="123" t="str">
        <f>IF(Tab.o1[[#This Row],[a1]]=1,Tab.o1[[#This Row],[Z-]]*_xlfn.STDEV.P(Tab.o1[B])+AVERAGE(Tab.o1[B]),"")</f>
        <v/>
      </c>
      <c r="U911" s="123" t="str">
        <f>IF(Tab.o1[[#This Row],[a1]]=1,Tab.o1[[#This Row],[z+]]*_xlfn.STDEV.P(Tab.o1[B])+AVERAGE(Tab.o1[B]),"")</f>
        <v/>
      </c>
      <c r="V911" s="124" t="str">
        <f>IF(Tab.o1[[#This Row],[a1]]=1,ABS((ABS(Tab.o1[[#This Row],[Red]]-Tab.o1[[#This Row],[Blue]]))),"")</f>
        <v/>
      </c>
      <c r="W911" s="125" t="str">
        <f>IF(Tab.o1[[#This Row],[a1]]=1,IF(W$3=0,1,Tab.o1[[#This Row],[Amp.]]*1/_xlfn.MINIFS(Tab.o1[Amp.],Tab.o1[Amp.],"&lt;&gt;0")),"")</f>
        <v/>
      </c>
      <c r="X911" s="126" t="str">
        <f>IF(Tab.o1[[#This Row],[a1]]=1,IF(ISNUMBER(Tab.o1[[#This Row],[i.]]),NORMDIST(Tab.o1[[#This Row],[Za]],0,1,FALSE)*Tab.o1[[#This Row],[i.]],AP$3),"")</f>
        <v/>
      </c>
      <c r="Y911" s="126" t="str">
        <f>IF(Tab.o1[[#This Row],[a1]]=1,0.01+0.94*Tab.o1[[#This Row],[PDF]]/MAX(Tab.o1[PDF]),"")</f>
        <v/>
      </c>
      <c r="Z911" s="126" t="str">
        <f>IF(Tab.o1[[#This Row],[a1]]=1,0.01+0.94*Tab.o1[[#This Row],[W1_PDF]]/MAX(Tab.o1[W1_PDF]),"")</f>
        <v/>
      </c>
      <c r="AA911" s="118" t="str">
        <f>IF(Tab.o1[[#This Row],[a1]]=1,ABS([1]!T.in.A[[#This Row],[oo6]]),"")</f>
        <v/>
      </c>
      <c r="AB911" s="127" t="str">
        <f>IF(Tab.o1[[#This Row],[a1]]=1,IF(AE$3=0,"",IF(AB$3=0,ABS([1]!T.in.A[[#This Row],[oo9]]),ABS(Tab.o1[[#This Row],[DIF_Target.]]*Tab.o1[[#This Row],[W1_PDF]]))),"")</f>
        <v/>
      </c>
      <c r="AC911" s="127" t="str">
        <f>IF(G$1=1,"",IF(Tab.o1[[#This Row],[a1]]=1,Tab.o1[[#This Row],[Wr]]^2,""))</f>
        <v/>
      </c>
      <c r="AD911" s="118" t="str">
        <f>IF(Tab.o1[[#This Row],[a1]]=1,IF(AE$3=0,"",Tab.o1[[#This Row],[Wr2]]/SUM(Tab.o1[Wr2])),"")</f>
        <v/>
      </c>
      <c r="AE911" s="128" t="str">
        <f>IF(Tab.o1[[#This Row],[a1]]=1,[1]!T.in.A[[#This Row],[oo10]],"")</f>
        <v/>
      </c>
      <c r="AF911" s="118" t="str">
        <f>IF(Tab.o1[[#This Row],[a1]]=1,ABS(Tab.o1[[#This Row],[DIF_Target.]]*Tab.o1[[#This Row],[PDF2]]*Tab.o1[[#This Row],[IN]]),"")</f>
        <v/>
      </c>
      <c r="AG911" s="129" t="str">
        <f>IF(Tab.o1[[#This Row],[a1]]=1,Tab.o1[[#This Row],[rW]]^2,"")</f>
        <v/>
      </c>
      <c r="AH911" s="130" t="str">
        <f>IF(Tab.o1[[#This Row],[a1]]=1,IF(AH$3=0,Tab.o1[[#This Row],[rW2]],0.01+0.94*Tab.o1[[#This Row],[rW2]]/SUM(Tab.o1[rW2])),"")</f>
        <v/>
      </c>
      <c r="AI911" s="128" t="str">
        <f>IF(Tab.o1[[#This Row],[a1]]=1,1/Tab.o1[[#This Row],[PDF]],"")</f>
        <v/>
      </c>
      <c r="AJ911" s="131" t="str">
        <f>IF(Tab.o1[[#This Row],[a1]]=1,[1]!T_AA[[#This Row],[IN'']]*[1]!T_AA[[#This Row],[Qde'']],"")</f>
        <v/>
      </c>
      <c r="AK911" s="132" t="str">
        <f>IF(Tab.o1[[#This Row],[a1]]=1,IF(AK$1=1,Tab.o1[[#This Row],[MED]]+Tab.o1[[#This Row],[MOD]]-Tab.o1[[#This Row],[MED]],""),"")</f>
        <v/>
      </c>
      <c r="AL911" s="133" t="str">
        <f>IF(Tab.o1[[#This Row],[a1]]=1,[1]!T.in.A[[#This Row],[oo16]],"")</f>
        <v/>
      </c>
      <c r="AM911" s="133" t="str">
        <f>IF(Tab.o1[[#This Row],[a1]]=1,IF(AM$3=1,[1]!T.in.A[[#This Row],[Σo16]],""),"")</f>
        <v/>
      </c>
      <c r="AN911" s="126" t="str">
        <f>IF(Tab.o1[[#This Row],[a1]]=1,[1]!T.in.A[[#This Row],[Σp5]],"")</f>
        <v/>
      </c>
      <c r="AO911" s="126" t="str">
        <f>IF(Tab.o1[[#This Row],[a1]]=1,IF(AO$3=1,[1]!T.in.A[[#This Row],[Σp5]],""),"")</f>
        <v/>
      </c>
      <c r="AP911" s="110" t="str">
        <f>IF(Tab.o1[[#This Row],[a1]]=1,IF(ISNUMBER(Tab.o1[[#This Row],[i.]]),NORMDIST(Tab.o1[[#This Row],[Za]],0,1,FALSE)*Tab.o1[[#This Row],[i.]],0),"")</f>
        <v/>
      </c>
      <c r="AQ911" s="125" t="str">
        <f>IF(Tab.o1[[#This Row],[a1]]=1,ABS(Tab.o1[[#This Row],[MOD]]-AVERAGE(Tab.o1[MOD])),"")</f>
        <v/>
      </c>
      <c r="AR911" s="134" t="str">
        <f>IF(Tab.o1[[#This Row],[a1]]=1,Tab.o1[[#This Row],[OBS]]/SUM(Tab.o1[OBS]),"")</f>
        <v/>
      </c>
      <c r="AS911" s="135" t="str">
        <f>IF(ISNUMBER(Tab.o1[[#This Row],[a1]]),ROW()-4,"")</f>
        <v/>
      </c>
      <c r="AT911" s="136" t="str">
        <f>Tab.o1[[#This Row],[MOD]]</f>
        <v/>
      </c>
      <c r="AU911" s="137" t="str">
        <f t="shared" si="57"/>
        <v/>
      </c>
      <c r="AV911" s="138" t="str">
        <f t="shared" si="58"/>
        <v/>
      </c>
      <c r="AW911" s="138" t="str">
        <f t="shared" si="59"/>
        <v/>
      </c>
      <c r="AX911" s="139" t="str">
        <f>[1]!T.in.A[[#This Row],[ID_T_manu]]</f>
        <v/>
      </c>
      <c r="AY911" s="140" t="str">
        <f>IF(ISNUMBER(Tab.o1[[#This Row],[a1]]),IF(AND(Tab.o1[[#This Row],[a1]]=1,Tab.o1[[#This Row],[b1]]&lt;=AY$4),#REF!,AY910),"")</f>
        <v/>
      </c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6"/>
      <c r="BO911" s="26"/>
      <c r="BP911" s="26"/>
      <c r="BQ911" s="26"/>
      <c r="BR911" s="26"/>
      <c r="BS911" s="26"/>
      <c r="BT911" s="26"/>
      <c r="BU911" s="26"/>
      <c r="BV911" s="26"/>
      <c r="BW911" s="26"/>
      <c r="BX911" s="26"/>
      <c r="BY911" s="26"/>
      <c r="BZ911" s="26"/>
      <c r="CA911" s="26"/>
    </row>
    <row r="912" spans="1:79" ht="15.75" hidden="1">
      <c r="A912" s="109">
        <v>4.0000000000000007E-6</v>
      </c>
      <c r="B912" s="110">
        <f t="shared" si="56"/>
        <v>912</v>
      </c>
      <c r="C912" s="111" t="str">
        <f>IF(C$1=[1]!T.in.A[[#This Row],[oo2]],1,"")</f>
        <v/>
      </c>
      <c r="D912" s="112" t="str">
        <f>IF(Tab.o1[[#This Row],[a1]]=1,IF(SUM(C912:C913)=0,0,IF(SUM(C911:C912)=1,1,IF(SUM(C911:C913)&gt;1,D911+1,0))),"")</f>
        <v/>
      </c>
      <c r="E912" s="113" t="str">
        <f>IF(Tab.o1[[#This Row],[a1]]=1,[1]!T.in.A[[#This Row],[oo1]],"")</f>
        <v/>
      </c>
      <c r="F912" s="113" t="str">
        <f>IF(Tab.o1[[#This Row],[a1]]=1,[1]!T.in.A[[#This Row],[pp1]],"")</f>
        <v/>
      </c>
      <c r="G912" s="114" t="str">
        <f>IF(Tab.o1[[#This Row],[a1]]=1,G$2+IF(G$1=1,0,Tab.o1[[#This Row],[.x1]])+[1]!T.in.A[[#This Row],[oo3]],"")</f>
        <v/>
      </c>
      <c r="H912" s="115" t="str">
        <f>IF(Tab.o1[[#This Row],[a1]]=1,IF(H$2=0,0,IF(G$1=1,0,Tab.o1[[#This Row],[.x1]])+[1]!T.in.A[[#This Row],[oo4]]),"")</f>
        <v/>
      </c>
      <c r="I912" s="116" t="str">
        <f>IF(Tab.o1[[#This Row],[a1]]=1,IF(J$2=0,Tab.o1[[#This Row],[MED]],Tab.o1[[#This Row],[MOD]]),"")</f>
        <v/>
      </c>
      <c r="J912" s="116" t="str">
        <f>IF(Tab.o1[[#This Row],[a1]]=1,((Tab.o1[[#This Row],[DIF_Target.]]-AVERAGE(Tab.o1[DIF_Target.]))/_xlfn.STDEV.P(Tab.o1[DIF_Target.])),"")</f>
        <v/>
      </c>
      <c r="K912" s="117" t="str">
        <f>IF(Tab.o1[[#This Row],[a1]]=1,IF(J$2=0,Tab.o1[[#This Row],[MOD]]-Tab.o1[[#This Row],[B]],IF(J$2=1,0,-Tab.o1[[#This Row],[MED]])+Tab.o1[[#This Row],[B]]),"")</f>
        <v/>
      </c>
      <c r="L912" s="117" t="str">
        <f ca="1">IF(Tab.o1[[#This Row],[DIF_Target]]=0,IF(L$2=0,Tab.o1[[#This Row],[DIF_Target]],AVERAGE(OFFSET(Tab.o1[[#This Row],[DIF_Target]],1,0,L$3,1)))/3,Tab.o1[[#This Row],[DIF_Target]])</f>
        <v/>
      </c>
      <c r="M912" s="118" t="str">
        <f>IF(Tab.o1[[#This Row],[a1]]=1,NORMSDIST(Tab.o1[[#This Row],[Za]]),"")</f>
        <v/>
      </c>
      <c r="N912" s="119" t="str">
        <f>IF(Tab.o1[[#This Row],[a1]]=1,((Tab.o1[[#This Row],[MedMod]]-AVERAGE(Tab.o1[MedMod]))/_xlfn.STDEV.P(Tab.o1[MedMod])*H$1205)+G$1205,"")</f>
        <v/>
      </c>
      <c r="O912" s="141" t="str">
        <f>IF(Tab.o1[[#This Row],[a1]]=1,Tab.o1[[#This Row],[Zb]]*_xlfn.STDEV.P(Tab.o1[MedMod])+AVERAGE(Tab.o1[MedMod]),"")</f>
        <v/>
      </c>
      <c r="P912" s="117" t="str">
        <f ca="1">IF(Tab.o1[[#This Row],[B]]=0,AVERAGE(OFFSET(Tab.o1[[#This Row],[B]],1,0,L$3,1)),Tab.o1[[#This Row],[B]])</f>
        <v/>
      </c>
      <c r="Q912" s="121" t="str">
        <f>IF(Tab.o1[[#This Row],[a1]]=1,NORMSDIST(Tab.o1[[#This Row],[Zb]]),"")</f>
        <v/>
      </c>
      <c r="R912" s="122" t="str">
        <f>IF(Tab.o1[[#This Row],[a1]]=1,((Tab.o1[[#This Row],[MedMod]]-AVERAGE(Tab.o1[MedMod]))/_xlfn.STDEV.P(Tab.o1[MedMod])*H$1203)+G$1203,"")</f>
        <v/>
      </c>
      <c r="S912" s="122" t="str">
        <f>IF(Tab.o1[[#This Row],[a1]]=1,((Tab.o1[[#This Row],[MedMod]]-AVERAGE(Tab.o1[MedMod]))/_xlfn.STDEV.P(Tab.o1[MedMod])*H$1204)+G$1204,"")</f>
        <v/>
      </c>
      <c r="T912" s="123" t="str">
        <f>IF(Tab.o1[[#This Row],[a1]]=1,Tab.o1[[#This Row],[Z-]]*_xlfn.STDEV.P(Tab.o1[B])+AVERAGE(Tab.o1[B]),"")</f>
        <v/>
      </c>
      <c r="U912" s="123" t="str">
        <f>IF(Tab.o1[[#This Row],[a1]]=1,Tab.o1[[#This Row],[z+]]*_xlfn.STDEV.P(Tab.o1[B])+AVERAGE(Tab.o1[B]),"")</f>
        <v/>
      </c>
      <c r="V912" s="124" t="str">
        <f>IF(Tab.o1[[#This Row],[a1]]=1,ABS((ABS(Tab.o1[[#This Row],[Red]]-Tab.o1[[#This Row],[Blue]]))),"")</f>
        <v/>
      </c>
      <c r="W912" s="125" t="str">
        <f>IF(Tab.o1[[#This Row],[a1]]=1,IF(W$3=0,1,Tab.o1[[#This Row],[Amp.]]*1/_xlfn.MINIFS(Tab.o1[Amp.],Tab.o1[Amp.],"&lt;&gt;0")),"")</f>
        <v/>
      </c>
      <c r="X912" s="126" t="str">
        <f>IF(Tab.o1[[#This Row],[a1]]=1,IF(ISNUMBER(Tab.o1[[#This Row],[i.]]),NORMDIST(Tab.o1[[#This Row],[Za]],0,1,FALSE)*Tab.o1[[#This Row],[i.]],AP$3),"")</f>
        <v/>
      </c>
      <c r="Y912" s="126" t="str">
        <f>IF(Tab.o1[[#This Row],[a1]]=1,0.01+0.94*Tab.o1[[#This Row],[PDF]]/MAX(Tab.o1[PDF]),"")</f>
        <v/>
      </c>
      <c r="Z912" s="126" t="str">
        <f>IF(Tab.o1[[#This Row],[a1]]=1,0.01+0.94*Tab.o1[[#This Row],[W1_PDF]]/MAX(Tab.o1[W1_PDF]),"")</f>
        <v/>
      </c>
      <c r="AA912" s="118" t="str">
        <f>IF(Tab.o1[[#This Row],[a1]]=1,ABS([1]!T.in.A[[#This Row],[oo6]]),"")</f>
        <v/>
      </c>
      <c r="AB912" s="127" t="str">
        <f>IF(Tab.o1[[#This Row],[a1]]=1,IF(AE$3=0,"",IF(AB$3=0,ABS([1]!T.in.A[[#This Row],[oo9]]),ABS(Tab.o1[[#This Row],[DIF_Target.]]*Tab.o1[[#This Row],[W1_PDF]]))),"")</f>
        <v/>
      </c>
      <c r="AC912" s="127" t="str">
        <f>IF(G$1=1,"",IF(Tab.o1[[#This Row],[a1]]=1,Tab.o1[[#This Row],[Wr]]^2,""))</f>
        <v/>
      </c>
      <c r="AD912" s="118" t="str">
        <f>IF(Tab.o1[[#This Row],[a1]]=1,IF(AE$3=0,"",Tab.o1[[#This Row],[Wr2]]/SUM(Tab.o1[Wr2])),"")</f>
        <v/>
      </c>
      <c r="AE912" s="128" t="str">
        <f>IF(Tab.o1[[#This Row],[a1]]=1,[1]!T.in.A[[#This Row],[oo10]],"")</f>
        <v/>
      </c>
      <c r="AF912" s="118" t="str">
        <f>IF(Tab.o1[[#This Row],[a1]]=1,ABS(Tab.o1[[#This Row],[DIF_Target.]]*Tab.o1[[#This Row],[PDF2]]*Tab.o1[[#This Row],[IN]]),"")</f>
        <v/>
      </c>
      <c r="AG912" s="129" t="str">
        <f>IF(Tab.o1[[#This Row],[a1]]=1,Tab.o1[[#This Row],[rW]]^2,"")</f>
        <v/>
      </c>
      <c r="AH912" s="130" t="str">
        <f>IF(Tab.o1[[#This Row],[a1]]=1,IF(AH$3=0,Tab.o1[[#This Row],[rW2]],0.01+0.94*Tab.o1[[#This Row],[rW2]]/SUM(Tab.o1[rW2])),"")</f>
        <v/>
      </c>
      <c r="AI912" s="128" t="str">
        <f>IF(Tab.o1[[#This Row],[a1]]=1,1/Tab.o1[[#This Row],[PDF]],"")</f>
        <v/>
      </c>
      <c r="AJ912" s="131" t="str">
        <f>IF(Tab.o1[[#This Row],[a1]]=1,[1]!T_AA[[#This Row],[IN'']]*[1]!T_AA[[#This Row],[Qde'']],"")</f>
        <v/>
      </c>
      <c r="AK912" s="132" t="str">
        <f>IF(Tab.o1[[#This Row],[a1]]=1,IF(AK$1=1,Tab.o1[[#This Row],[MED]]+Tab.o1[[#This Row],[MOD]]-Tab.o1[[#This Row],[MED]],""),"")</f>
        <v/>
      </c>
      <c r="AL912" s="133" t="str">
        <f>IF(Tab.o1[[#This Row],[a1]]=1,[1]!T.in.A[[#This Row],[oo16]],"")</f>
        <v/>
      </c>
      <c r="AM912" s="133" t="str">
        <f>IF(Tab.o1[[#This Row],[a1]]=1,IF(AM$3=1,[1]!T.in.A[[#This Row],[Σo16]],""),"")</f>
        <v/>
      </c>
      <c r="AN912" s="126" t="str">
        <f>IF(Tab.o1[[#This Row],[a1]]=1,[1]!T.in.A[[#This Row],[Σp5]],"")</f>
        <v/>
      </c>
      <c r="AO912" s="126" t="str">
        <f>IF(Tab.o1[[#This Row],[a1]]=1,IF(AO$3=1,[1]!T.in.A[[#This Row],[Σp5]],""),"")</f>
        <v/>
      </c>
      <c r="AP912" s="110" t="str">
        <f>IF(Tab.o1[[#This Row],[a1]]=1,IF(ISNUMBER(Tab.o1[[#This Row],[i.]]),NORMDIST(Tab.o1[[#This Row],[Za]],0,1,FALSE)*Tab.o1[[#This Row],[i.]],0),"")</f>
        <v/>
      </c>
      <c r="AQ912" s="125" t="str">
        <f>IF(Tab.o1[[#This Row],[a1]]=1,ABS(Tab.o1[[#This Row],[MOD]]-AVERAGE(Tab.o1[MOD])),"")</f>
        <v/>
      </c>
      <c r="AR912" s="134" t="str">
        <f>IF(Tab.o1[[#This Row],[a1]]=1,Tab.o1[[#This Row],[OBS]]/SUM(Tab.o1[OBS]),"")</f>
        <v/>
      </c>
      <c r="AS912" s="135" t="str">
        <f>IF(ISNUMBER(Tab.o1[[#This Row],[a1]]),ROW()-4,"")</f>
        <v/>
      </c>
      <c r="AT912" s="136" t="str">
        <f>Tab.o1[[#This Row],[MOD]]</f>
        <v/>
      </c>
      <c r="AU912" s="137" t="str">
        <f t="shared" si="57"/>
        <v/>
      </c>
      <c r="AV912" s="138" t="str">
        <f t="shared" si="58"/>
        <v/>
      </c>
      <c r="AW912" s="138" t="str">
        <f t="shared" si="59"/>
        <v/>
      </c>
      <c r="AX912" s="139" t="str">
        <f>[1]!T.in.A[[#This Row],[ID_T_manu]]</f>
        <v/>
      </c>
      <c r="AY912" s="140" t="str">
        <f>IF(ISNUMBER(Tab.o1[[#This Row],[a1]]),IF(AND(Tab.o1[[#This Row],[a1]]=1,Tab.o1[[#This Row],[b1]]&lt;=AY$4),#REF!,AY911),"")</f>
        <v/>
      </c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6"/>
      <c r="BO912" s="26"/>
      <c r="BP912" s="26"/>
      <c r="BQ912" s="26"/>
      <c r="BR912" s="26"/>
      <c r="BS912" s="26"/>
      <c r="BT912" s="26"/>
      <c r="BU912" s="26"/>
      <c r="BV912" s="26"/>
      <c r="BW912" s="26"/>
      <c r="BX912" s="26"/>
      <c r="BY912" s="26"/>
      <c r="BZ912" s="26"/>
      <c r="CA912" s="26"/>
    </row>
    <row r="913" spans="1:79" ht="15.75" hidden="1">
      <c r="A913" s="109">
        <v>2.9999999999999997E-6</v>
      </c>
      <c r="B913" s="110">
        <f t="shared" si="56"/>
        <v>913</v>
      </c>
      <c r="C913" s="111" t="str">
        <f>IF(C$1=[1]!T.in.A[[#This Row],[oo2]],1,"")</f>
        <v/>
      </c>
      <c r="D913" s="112" t="str">
        <f>IF(Tab.o1[[#This Row],[a1]]=1,IF(SUM(C913:C914)=0,0,IF(SUM(C912:C913)=1,1,IF(SUM(C912:C914)&gt;1,D912+1,0))),"")</f>
        <v/>
      </c>
      <c r="E913" s="113" t="str">
        <f>IF(Tab.o1[[#This Row],[a1]]=1,[1]!T.in.A[[#This Row],[oo1]],"")</f>
        <v/>
      </c>
      <c r="F913" s="113" t="str">
        <f>IF(Tab.o1[[#This Row],[a1]]=1,[1]!T.in.A[[#This Row],[pp1]],"")</f>
        <v/>
      </c>
      <c r="G913" s="114" t="str">
        <f>IF(Tab.o1[[#This Row],[a1]]=1,G$2+IF(G$1=1,0,Tab.o1[[#This Row],[.x1]])+[1]!T.in.A[[#This Row],[oo3]],"")</f>
        <v/>
      </c>
      <c r="H913" s="115" t="str">
        <f>IF(Tab.o1[[#This Row],[a1]]=1,IF(H$2=0,0,IF(G$1=1,0,Tab.o1[[#This Row],[.x1]])+[1]!T.in.A[[#This Row],[oo4]]),"")</f>
        <v/>
      </c>
      <c r="I913" s="116" t="str">
        <f>IF(Tab.o1[[#This Row],[a1]]=1,IF(J$2=0,Tab.o1[[#This Row],[MED]],Tab.o1[[#This Row],[MOD]]),"")</f>
        <v/>
      </c>
      <c r="J913" s="116" t="str">
        <f>IF(Tab.o1[[#This Row],[a1]]=1,((Tab.o1[[#This Row],[DIF_Target.]]-AVERAGE(Tab.o1[DIF_Target.]))/_xlfn.STDEV.P(Tab.o1[DIF_Target.])),"")</f>
        <v/>
      </c>
      <c r="K913" s="117" t="str">
        <f>IF(Tab.o1[[#This Row],[a1]]=1,IF(J$2=0,Tab.o1[[#This Row],[MOD]]-Tab.o1[[#This Row],[B]],IF(J$2=1,0,-Tab.o1[[#This Row],[MED]])+Tab.o1[[#This Row],[B]]),"")</f>
        <v/>
      </c>
      <c r="L913" s="117" t="str">
        <f ca="1">IF(Tab.o1[[#This Row],[DIF_Target]]=0,IF(L$2=0,Tab.o1[[#This Row],[DIF_Target]],AVERAGE(OFFSET(Tab.o1[[#This Row],[DIF_Target]],1,0,L$3,1)))/3,Tab.o1[[#This Row],[DIF_Target]])</f>
        <v/>
      </c>
      <c r="M913" s="118" t="str">
        <f>IF(Tab.o1[[#This Row],[a1]]=1,NORMSDIST(Tab.o1[[#This Row],[Za]]),"")</f>
        <v/>
      </c>
      <c r="N913" s="119" t="str">
        <f>IF(Tab.o1[[#This Row],[a1]]=1,((Tab.o1[[#This Row],[MedMod]]-AVERAGE(Tab.o1[MedMod]))/_xlfn.STDEV.P(Tab.o1[MedMod])*H$1205)+G$1205,"")</f>
        <v/>
      </c>
      <c r="O913" s="141" t="str">
        <f>IF(Tab.o1[[#This Row],[a1]]=1,Tab.o1[[#This Row],[Zb]]*_xlfn.STDEV.P(Tab.o1[MedMod])+AVERAGE(Tab.o1[MedMod]),"")</f>
        <v/>
      </c>
      <c r="P913" s="117" t="str">
        <f ca="1">IF(Tab.o1[[#This Row],[B]]=0,AVERAGE(OFFSET(Tab.o1[[#This Row],[B]],1,0,L$3,1)),Tab.o1[[#This Row],[B]])</f>
        <v/>
      </c>
      <c r="Q913" s="121" t="str">
        <f>IF(Tab.o1[[#This Row],[a1]]=1,NORMSDIST(Tab.o1[[#This Row],[Zb]]),"")</f>
        <v/>
      </c>
      <c r="R913" s="122" t="str">
        <f>IF(Tab.o1[[#This Row],[a1]]=1,((Tab.o1[[#This Row],[MedMod]]-AVERAGE(Tab.o1[MedMod]))/_xlfn.STDEV.P(Tab.o1[MedMod])*H$1203)+G$1203,"")</f>
        <v/>
      </c>
      <c r="S913" s="122" t="str">
        <f>IF(Tab.o1[[#This Row],[a1]]=1,((Tab.o1[[#This Row],[MedMod]]-AVERAGE(Tab.o1[MedMod]))/_xlfn.STDEV.P(Tab.o1[MedMod])*H$1204)+G$1204,"")</f>
        <v/>
      </c>
      <c r="T913" s="123" t="str">
        <f>IF(Tab.o1[[#This Row],[a1]]=1,Tab.o1[[#This Row],[Z-]]*_xlfn.STDEV.P(Tab.o1[B])+AVERAGE(Tab.o1[B]),"")</f>
        <v/>
      </c>
      <c r="U913" s="123" t="str">
        <f>IF(Tab.o1[[#This Row],[a1]]=1,Tab.o1[[#This Row],[z+]]*_xlfn.STDEV.P(Tab.o1[B])+AVERAGE(Tab.o1[B]),"")</f>
        <v/>
      </c>
      <c r="V913" s="124" t="str">
        <f>IF(Tab.o1[[#This Row],[a1]]=1,ABS((ABS(Tab.o1[[#This Row],[Red]]-Tab.o1[[#This Row],[Blue]]))),"")</f>
        <v/>
      </c>
      <c r="W913" s="125" t="str">
        <f>IF(Tab.o1[[#This Row],[a1]]=1,IF(W$3=0,1,Tab.o1[[#This Row],[Amp.]]*1/_xlfn.MINIFS(Tab.o1[Amp.],Tab.o1[Amp.],"&lt;&gt;0")),"")</f>
        <v/>
      </c>
      <c r="X913" s="126" t="str">
        <f>IF(Tab.o1[[#This Row],[a1]]=1,IF(ISNUMBER(Tab.o1[[#This Row],[i.]]),NORMDIST(Tab.o1[[#This Row],[Za]],0,1,FALSE)*Tab.o1[[#This Row],[i.]],AP$3),"")</f>
        <v/>
      </c>
      <c r="Y913" s="126" t="str">
        <f>IF(Tab.o1[[#This Row],[a1]]=1,0.01+0.94*Tab.o1[[#This Row],[PDF]]/MAX(Tab.o1[PDF]),"")</f>
        <v/>
      </c>
      <c r="Z913" s="126" t="str">
        <f>IF(Tab.o1[[#This Row],[a1]]=1,0.01+0.94*Tab.o1[[#This Row],[W1_PDF]]/MAX(Tab.o1[W1_PDF]),"")</f>
        <v/>
      </c>
      <c r="AA913" s="118" t="str">
        <f>IF(Tab.o1[[#This Row],[a1]]=1,ABS([1]!T.in.A[[#This Row],[oo6]]),"")</f>
        <v/>
      </c>
      <c r="AB913" s="127" t="str">
        <f>IF(Tab.o1[[#This Row],[a1]]=1,IF(AE$3=0,"",IF(AB$3=0,ABS([1]!T.in.A[[#This Row],[oo9]]),ABS(Tab.o1[[#This Row],[DIF_Target.]]*Tab.o1[[#This Row],[W1_PDF]]))),"")</f>
        <v/>
      </c>
      <c r="AC913" s="127" t="str">
        <f>IF(G$1=1,"",IF(Tab.o1[[#This Row],[a1]]=1,Tab.o1[[#This Row],[Wr]]^2,""))</f>
        <v/>
      </c>
      <c r="AD913" s="118" t="str">
        <f>IF(Tab.o1[[#This Row],[a1]]=1,IF(AE$3=0,"",Tab.o1[[#This Row],[Wr2]]/SUM(Tab.o1[Wr2])),"")</f>
        <v/>
      </c>
      <c r="AE913" s="128" t="str">
        <f>IF(Tab.o1[[#This Row],[a1]]=1,[1]!T.in.A[[#This Row],[oo10]],"")</f>
        <v/>
      </c>
      <c r="AF913" s="118" t="str">
        <f>IF(Tab.o1[[#This Row],[a1]]=1,ABS(Tab.o1[[#This Row],[DIF_Target.]]*Tab.o1[[#This Row],[PDF2]]*Tab.o1[[#This Row],[IN]]),"")</f>
        <v/>
      </c>
      <c r="AG913" s="129" t="str">
        <f>IF(Tab.o1[[#This Row],[a1]]=1,Tab.o1[[#This Row],[rW]]^2,"")</f>
        <v/>
      </c>
      <c r="AH913" s="130" t="str">
        <f>IF(Tab.o1[[#This Row],[a1]]=1,IF(AH$3=0,Tab.o1[[#This Row],[rW2]],0.01+0.94*Tab.o1[[#This Row],[rW2]]/SUM(Tab.o1[rW2])),"")</f>
        <v/>
      </c>
      <c r="AI913" s="128" t="str">
        <f>IF(Tab.o1[[#This Row],[a1]]=1,1/Tab.o1[[#This Row],[PDF]],"")</f>
        <v/>
      </c>
      <c r="AJ913" s="131" t="str">
        <f>IF(Tab.o1[[#This Row],[a1]]=1,[1]!T_AA[[#This Row],[IN'']]*[1]!T_AA[[#This Row],[Qde'']],"")</f>
        <v/>
      </c>
      <c r="AK913" s="132" t="str">
        <f>IF(Tab.o1[[#This Row],[a1]]=1,IF(AK$1=1,Tab.o1[[#This Row],[MED]]+Tab.o1[[#This Row],[MOD]]-Tab.o1[[#This Row],[MED]],""),"")</f>
        <v/>
      </c>
      <c r="AL913" s="133" t="str">
        <f>IF(Tab.o1[[#This Row],[a1]]=1,[1]!T.in.A[[#This Row],[oo16]],"")</f>
        <v/>
      </c>
      <c r="AM913" s="133" t="str">
        <f>IF(Tab.o1[[#This Row],[a1]]=1,IF(AM$3=1,[1]!T.in.A[[#This Row],[Σo16]],""),"")</f>
        <v/>
      </c>
      <c r="AN913" s="126" t="str">
        <f>IF(Tab.o1[[#This Row],[a1]]=1,[1]!T.in.A[[#This Row],[Σp5]],"")</f>
        <v/>
      </c>
      <c r="AO913" s="126" t="str">
        <f>IF(Tab.o1[[#This Row],[a1]]=1,IF(AO$3=1,[1]!T.in.A[[#This Row],[Σp5]],""),"")</f>
        <v/>
      </c>
      <c r="AP913" s="110" t="str">
        <f>IF(Tab.o1[[#This Row],[a1]]=1,IF(ISNUMBER(Tab.o1[[#This Row],[i.]]),NORMDIST(Tab.o1[[#This Row],[Za]],0,1,FALSE)*Tab.o1[[#This Row],[i.]],0),"")</f>
        <v/>
      </c>
      <c r="AQ913" s="125" t="str">
        <f>IF(Tab.o1[[#This Row],[a1]]=1,ABS(Tab.o1[[#This Row],[MOD]]-AVERAGE(Tab.o1[MOD])),"")</f>
        <v/>
      </c>
      <c r="AR913" s="134" t="str">
        <f>IF(Tab.o1[[#This Row],[a1]]=1,Tab.o1[[#This Row],[OBS]]/SUM(Tab.o1[OBS]),"")</f>
        <v/>
      </c>
      <c r="AS913" s="135" t="str">
        <f>IF(ISNUMBER(Tab.o1[[#This Row],[a1]]),ROW()-4,"")</f>
        <v/>
      </c>
      <c r="AT913" s="136" t="str">
        <f>Tab.o1[[#This Row],[MOD]]</f>
        <v/>
      </c>
      <c r="AU913" s="137" t="str">
        <f t="shared" si="57"/>
        <v/>
      </c>
      <c r="AV913" s="138" t="str">
        <f t="shared" si="58"/>
        <v/>
      </c>
      <c r="AW913" s="138" t="str">
        <f t="shared" si="59"/>
        <v/>
      </c>
      <c r="AX913" s="139" t="str">
        <f>[1]!T.in.A[[#This Row],[ID_T_manu]]</f>
        <v/>
      </c>
      <c r="AY913" s="140" t="str">
        <f>IF(ISNUMBER(Tab.o1[[#This Row],[a1]]),IF(AND(Tab.o1[[#This Row],[a1]]=1,Tab.o1[[#This Row],[b1]]&lt;=AY$4),#REF!,AY912),"")</f>
        <v/>
      </c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6"/>
      <c r="BO913" s="26"/>
      <c r="BP913" s="26"/>
      <c r="BQ913" s="26"/>
      <c r="BR913" s="26"/>
      <c r="BS913" s="26"/>
      <c r="BT913" s="26"/>
      <c r="BU913" s="26"/>
      <c r="BV913" s="26"/>
      <c r="BW913" s="26"/>
      <c r="BX913" s="26"/>
      <c r="BY913" s="26"/>
      <c r="BZ913" s="26"/>
      <c r="CA913" s="26"/>
    </row>
    <row r="914" spans="1:79" ht="15.75" hidden="1">
      <c r="A914" s="109">
        <v>-2.0000000000000003E-6</v>
      </c>
      <c r="B914" s="110">
        <f t="shared" si="56"/>
        <v>914</v>
      </c>
      <c r="C914" s="111" t="str">
        <f>IF(C$1=[1]!T.in.A[[#This Row],[oo2]],1,"")</f>
        <v/>
      </c>
      <c r="D914" s="112" t="str">
        <f>IF(Tab.o1[[#This Row],[a1]]=1,IF(SUM(C914:C915)=0,0,IF(SUM(C913:C914)=1,1,IF(SUM(C913:C915)&gt;1,D913+1,0))),"")</f>
        <v/>
      </c>
      <c r="E914" s="113" t="str">
        <f>IF(Tab.o1[[#This Row],[a1]]=1,[1]!T.in.A[[#This Row],[oo1]],"")</f>
        <v/>
      </c>
      <c r="F914" s="113" t="str">
        <f>IF(Tab.o1[[#This Row],[a1]]=1,[1]!T.in.A[[#This Row],[pp1]],"")</f>
        <v/>
      </c>
      <c r="G914" s="114" t="str">
        <f>IF(Tab.o1[[#This Row],[a1]]=1,G$2+IF(G$1=1,0,Tab.o1[[#This Row],[.x1]])+[1]!T.in.A[[#This Row],[oo3]],"")</f>
        <v/>
      </c>
      <c r="H914" s="115" t="str">
        <f>IF(Tab.o1[[#This Row],[a1]]=1,IF(H$2=0,0,IF(G$1=1,0,Tab.o1[[#This Row],[.x1]])+[1]!T.in.A[[#This Row],[oo4]]),"")</f>
        <v/>
      </c>
      <c r="I914" s="116" t="str">
        <f>IF(Tab.o1[[#This Row],[a1]]=1,IF(J$2=0,Tab.o1[[#This Row],[MED]],Tab.o1[[#This Row],[MOD]]),"")</f>
        <v/>
      </c>
      <c r="J914" s="116" t="str">
        <f>IF(Tab.o1[[#This Row],[a1]]=1,((Tab.o1[[#This Row],[DIF_Target.]]-AVERAGE(Tab.o1[DIF_Target.]))/_xlfn.STDEV.P(Tab.o1[DIF_Target.])),"")</f>
        <v/>
      </c>
      <c r="K914" s="117" t="str">
        <f>IF(Tab.o1[[#This Row],[a1]]=1,IF(J$2=0,Tab.o1[[#This Row],[MOD]]-Tab.o1[[#This Row],[B]],IF(J$2=1,0,-Tab.o1[[#This Row],[MED]])+Tab.o1[[#This Row],[B]]),"")</f>
        <v/>
      </c>
      <c r="L914" s="117" t="str">
        <f ca="1">IF(Tab.o1[[#This Row],[DIF_Target]]=0,IF(L$2=0,Tab.o1[[#This Row],[DIF_Target]],AVERAGE(OFFSET(Tab.o1[[#This Row],[DIF_Target]],1,0,L$3,1)))/3,Tab.o1[[#This Row],[DIF_Target]])</f>
        <v/>
      </c>
      <c r="M914" s="118" t="str">
        <f>IF(Tab.o1[[#This Row],[a1]]=1,NORMSDIST(Tab.o1[[#This Row],[Za]]),"")</f>
        <v/>
      </c>
      <c r="N914" s="119" t="str">
        <f>IF(Tab.o1[[#This Row],[a1]]=1,((Tab.o1[[#This Row],[MedMod]]-AVERAGE(Tab.o1[MedMod]))/_xlfn.STDEV.P(Tab.o1[MedMod])*H$1205)+G$1205,"")</f>
        <v/>
      </c>
      <c r="O914" s="141" t="str">
        <f>IF(Tab.o1[[#This Row],[a1]]=1,Tab.o1[[#This Row],[Zb]]*_xlfn.STDEV.P(Tab.o1[MedMod])+AVERAGE(Tab.o1[MedMod]),"")</f>
        <v/>
      </c>
      <c r="P914" s="117" t="str">
        <f ca="1">IF(Tab.o1[[#This Row],[B]]=0,AVERAGE(OFFSET(Tab.o1[[#This Row],[B]],1,0,L$3,1)),Tab.o1[[#This Row],[B]])</f>
        <v/>
      </c>
      <c r="Q914" s="121" t="str">
        <f>IF(Tab.o1[[#This Row],[a1]]=1,NORMSDIST(Tab.o1[[#This Row],[Zb]]),"")</f>
        <v/>
      </c>
      <c r="R914" s="122" t="str">
        <f>IF(Tab.o1[[#This Row],[a1]]=1,((Tab.o1[[#This Row],[MedMod]]-AVERAGE(Tab.o1[MedMod]))/_xlfn.STDEV.P(Tab.o1[MedMod])*H$1203)+G$1203,"")</f>
        <v/>
      </c>
      <c r="S914" s="122" t="str">
        <f>IF(Tab.o1[[#This Row],[a1]]=1,((Tab.o1[[#This Row],[MedMod]]-AVERAGE(Tab.o1[MedMod]))/_xlfn.STDEV.P(Tab.o1[MedMod])*H$1204)+G$1204,"")</f>
        <v/>
      </c>
      <c r="T914" s="123" t="str">
        <f>IF(Tab.o1[[#This Row],[a1]]=1,Tab.o1[[#This Row],[Z-]]*_xlfn.STDEV.P(Tab.o1[B])+AVERAGE(Tab.o1[B]),"")</f>
        <v/>
      </c>
      <c r="U914" s="123" t="str">
        <f>IF(Tab.o1[[#This Row],[a1]]=1,Tab.o1[[#This Row],[z+]]*_xlfn.STDEV.P(Tab.o1[B])+AVERAGE(Tab.o1[B]),"")</f>
        <v/>
      </c>
      <c r="V914" s="124" t="str">
        <f>IF(Tab.o1[[#This Row],[a1]]=1,ABS((ABS(Tab.o1[[#This Row],[Red]]-Tab.o1[[#This Row],[Blue]]))),"")</f>
        <v/>
      </c>
      <c r="W914" s="125" t="str">
        <f>IF(Tab.o1[[#This Row],[a1]]=1,IF(W$3=0,1,Tab.o1[[#This Row],[Amp.]]*1/_xlfn.MINIFS(Tab.o1[Amp.],Tab.o1[Amp.],"&lt;&gt;0")),"")</f>
        <v/>
      </c>
      <c r="X914" s="126" t="str">
        <f>IF(Tab.o1[[#This Row],[a1]]=1,IF(ISNUMBER(Tab.o1[[#This Row],[i.]]),NORMDIST(Tab.o1[[#This Row],[Za]],0,1,FALSE)*Tab.o1[[#This Row],[i.]],AP$3),"")</f>
        <v/>
      </c>
      <c r="Y914" s="126" t="str">
        <f>IF(Tab.o1[[#This Row],[a1]]=1,0.01+0.94*Tab.o1[[#This Row],[PDF]]/MAX(Tab.o1[PDF]),"")</f>
        <v/>
      </c>
      <c r="Z914" s="126" t="str">
        <f>IF(Tab.o1[[#This Row],[a1]]=1,0.01+0.94*Tab.o1[[#This Row],[W1_PDF]]/MAX(Tab.o1[W1_PDF]),"")</f>
        <v/>
      </c>
      <c r="AA914" s="118" t="str">
        <f>IF(Tab.o1[[#This Row],[a1]]=1,ABS([1]!T.in.A[[#This Row],[oo6]]),"")</f>
        <v/>
      </c>
      <c r="AB914" s="127" t="str">
        <f>IF(Tab.o1[[#This Row],[a1]]=1,IF(AE$3=0,"",IF(AB$3=0,ABS([1]!T.in.A[[#This Row],[oo9]]),ABS(Tab.o1[[#This Row],[DIF_Target.]]*Tab.o1[[#This Row],[W1_PDF]]))),"")</f>
        <v/>
      </c>
      <c r="AC914" s="127" t="str">
        <f>IF(G$1=1,"",IF(Tab.o1[[#This Row],[a1]]=1,Tab.o1[[#This Row],[Wr]]^2,""))</f>
        <v/>
      </c>
      <c r="AD914" s="118" t="str">
        <f>IF(Tab.o1[[#This Row],[a1]]=1,IF(AE$3=0,"",Tab.o1[[#This Row],[Wr2]]/SUM(Tab.o1[Wr2])),"")</f>
        <v/>
      </c>
      <c r="AE914" s="128" t="str">
        <f>IF(Tab.o1[[#This Row],[a1]]=1,[1]!T.in.A[[#This Row],[oo10]],"")</f>
        <v/>
      </c>
      <c r="AF914" s="118" t="str">
        <f>IF(Tab.o1[[#This Row],[a1]]=1,ABS(Tab.o1[[#This Row],[DIF_Target.]]*Tab.o1[[#This Row],[PDF2]]*Tab.o1[[#This Row],[IN]]),"")</f>
        <v/>
      </c>
      <c r="AG914" s="129" t="str">
        <f>IF(Tab.o1[[#This Row],[a1]]=1,Tab.o1[[#This Row],[rW]]^2,"")</f>
        <v/>
      </c>
      <c r="AH914" s="130" t="str">
        <f>IF(Tab.o1[[#This Row],[a1]]=1,IF(AH$3=0,Tab.o1[[#This Row],[rW2]],0.01+0.94*Tab.o1[[#This Row],[rW2]]/SUM(Tab.o1[rW2])),"")</f>
        <v/>
      </c>
      <c r="AI914" s="128" t="str">
        <f>IF(Tab.o1[[#This Row],[a1]]=1,1/Tab.o1[[#This Row],[PDF]],"")</f>
        <v/>
      </c>
      <c r="AJ914" s="131" t="str">
        <f>IF(Tab.o1[[#This Row],[a1]]=1,[1]!T_AA[[#This Row],[IN'']]*[1]!T_AA[[#This Row],[Qde'']],"")</f>
        <v/>
      </c>
      <c r="AK914" s="132" t="str">
        <f>IF(Tab.o1[[#This Row],[a1]]=1,IF(AK$1=1,Tab.o1[[#This Row],[MED]]+Tab.o1[[#This Row],[MOD]]-Tab.o1[[#This Row],[MED]],""),"")</f>
        <v/>
      </c>
      <c r="AL914" s="133" t="str">
        <f>IF(Tab.o1[[#This Row],[a1]]=1,[1]!T.in.A[[#This Row],[oo16]],"")</f>
        <v/>
      </c>
      <c r="AM914" s="133" t="str">
        <f>IF(Tab.o1[[#This Row],[a1]]=1,IF(AM$3=1,[1]!T.in.A[[#This Row],[Σo16]],""),"")</f>
        <v/>
      </c>
      <c r="AN914" s="126" t="str">
        <f>IF(Tab.o1[[#This Row],[a1]]=1,[1]!T.in.A[[#This Row],[Σp5]],"")</f>
        <v/>
      </c>
      <c r="AO914" s="126" t="str">
        <f>IF(Tab.o1[[#This Row],[a1]]=1,IF(AO$3=1,[1]!T.in.A[[#This Row],[Σp5]],""),"")</f>
        <v/>
      </c>
      <c r="AP914" s="110" t="str">
        <f>IF(Tab.o1[[#This Row],[a1]]=1,IF(ISNUMBER(Tab.o1[[#This Row],[i.]]),NORMDIST(Tab.o1[[#This Row],[Za]],0,1,FALSE)*Tab.o1[[#This Row],[i.]],0),"")</f>
        <v/>
      </c>
      <c r="AQ914" s="125" t="str">
        <f>IF(Tab.o1[[#This Row],[a1]]=1,ABS(Tab.o1[[#This Row],[MOD]]-AVERAGE(Tab.o1[MOD])),"")</f>
        <v/>
      </c>
      <c r="AR914" s="134" t="str">
        <f>IF(Tab.o1[[#This Row],[a1]]=1,Tab.o1[[#This Row],[OBS]]/SUM(Tab.o1[OBS]),"")</f>
        <v/>
      </c>
      <c r="AS914" s="135" t="str">
        <f>IF(ISNUMBER(Tab.o1[[#This Row],[a1]]),ROW()-4,"")</f>
        <v/>
      </c>
      <c r="AT914" s="136" t="str">
        <f>Tab.o1[[#This Row],[MOD]]</f>
        <v/>
      </c>
      <c r="AU914" s="137" t="str">
        <f t="shared" si="57"/>
        <v/>
      </c>
      <c r="AV914" s="138" t="str">
        <f t="shared" si="58"/>
        <v/>
      </c>
      <c r="AW914" s="138" t="str">
        <f t="shared" si="59"/>
        <v/>
      </c>
      <c r="AX914" s="139" t="str">
        <f>[1]!T.in.A[[#This Row],[ID_T_manu]]</f>
        <v/>
      </c>
      <c r="AY914" s="140" t="str">
        <f>IF(ISNUMBER(Tab.o1[[#This Row],[a1]]),IF(AND(Tab.o1[[#This Row],[a1]]=1,Tab.o1[[#This Row],[b1]]&lt;=AY$4),#REF!,AY913),"")</f>
        <v/>
      </c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6"/>
      <c r="BO914" s="26"/>
      <c r="BP914" s="26"/>
      <c r="BQ914" s="26"/>
      <c r="BR914" s="26"/>
      <c r="BS914" s="26"/>
      <c r="BT914" s="26"/>
      <c r="BU914" s="26"/>
      <c r="BV914" s="26"/>
      <c r="BW914" s="26"/>
      <c r="BX914" s="26"/>
      <c r="BY914" s="26"/>
      <c r="BZ914" s="26"/>
      <c r="CA914" s="26"/>
    </row>
    <row r="915" spans="1:79" ht="15.75" hidden="1">
      <c r="A915" s="109">
        <v>5.9999999999999993E-6</v>
      </c>
      <c r="B915" s="110">
        <f t="shared" si="56"/>
        <v>915</v>
      </c>
      <c r="C915" s="111" t="str">
        <f>IF(C$1=[1]!T.in.A[[#This Row],[oo2]],1,"")</f>
        <v/>
      </c>
      <c r="D915" s="112" t="str">
        <f>IF(Tab.o1[[#This Row],[a1]]=1,IF(SUM(C915:C916)=0,0,IF(SUM(C914:C915)=1,1,IF(SUM(C914:C916)&gt;1,D914+1,0))),"")</f>
        <v/>
      </c>
      <c r="E915" s="113" t="str">
        <f>IF(Tab.o1[[#This Row],[a1]]=1,[1]!T.in.A[[#This Row],[oo1]],"")</f>
        <v/>
      </c>
      <c r="F915" s="113" t="str">
        <f>IF(Tab.o1[[#This Row],[a1]]=1,[1]!T.in.A[[#This Row],[pp1]],"")</f>
        <v/>
      </c>
      <c r="G915" s="114" t="str">
        <f>IF(Tab.o1[[#This Row],[a1]]=1,G$2+IF(G$1=1,0,Tab.o1[[#This Row],[.x1]])+[1]!T.in.A[[#This Row],[oo3]],"")</f>
        <v/>
      </c>
      <c r="H915" s="115" t="str">
        <f>IF(Tab.o1[[#This Row],[a1]]=1,IF(H$2=0,0,IF(G$1=1,0,Tab.o1[[#This Row],[.x1]])+[1]!T.in.A[[#This Row],[oo4]]),"")</f>
        <v/>
      </c>
      <c r="I915" s="116" t="str">
        <f>IF(Tab.o1[[#This Row],[a1]]=1,IF(J$2=0,Tab.o1[[#This Row],[MED]],Tab.o1[[#This Row],[MOD]]),"")</f>
        <v/>
      </c>
      <c r="J915" s="116" t="str">
        <f>IF(Tab.o1[[#This Row],[a1]]=1,((Tab.o1[[#This Row],[DIF_Target.]]-AVERAGE(Tab.o1[DIF_Target.]))/_xlfn.STDEV.P(Tab.o1[DIF_Target.])),"")</f>
        <v/>
      </c>
      <c r="K915" s="117" t="str">
        <f>IF(Tab.o1[[#This Row],[a1]]=1,IF(J$2=0,Tab.o1[[#This Row],[MOD]]-Tab.o1[[#This Row],[B]],IF(J$2=1,0,-Tab.o1[[#This Row],[MED]])+Tab.o1[[#This Row],[B]]),"")</f>
        <v/>
      </c>
      <c r="L915" s="117" t="str">
        <f ca="1">IF(Tab.o1[[#This Row],[DIF_Target]]=0,IF(L$2=0,Tab.o1[[#This Row],[DIF_Target]],AVERAGE(OFFSET(Tab.o1[[#This Row],[DIF_Target]],1,0,L$3,1)))/3,Tab.o1[[#This Row],[DIF_Target]])</f>
        <v/>
      </c>
      <c r="M915" s="118" t="str">
        <f>IF(Tab.o1[[#This Row],[a1]]=1,NORMSDIST(Tab.o1[[#This Row],[Za]]),"")</f>
        <v/>
      </c>
      <c r="N915" s="119" t="str">
        <f>IF(Tab.o1[[#This Row],[a1]]=1,((Tab.o1[[#This Row],[MedMod]]-AVERAGE(Tab.o1[MedMod]))/_xlfn.STDEV.P(Tab.o1[MedMod])*H$1205)+G$1205,"")</f>
        <v/>
      </c>
      <c r="O915" s="141" t="str">
        <f>IF(Tab.o1[[#This Row],[a1]]=1,Tab.o1[[#This Row],[Zb]]*_xlfn.STDEV.P(Tab.o1[MedMod])+AVERAGE(Tab.o1[MedMod]),"")</f>
        <v/>
      </c>
      <c r="P915" s="117" t="str">
        <f ca="1">IF(Tab.o1[[#This Row],[B]]=0,AVERAGE(OFFSET(Tab.o1[[#This Row],[B]],1,0,L$3,1)),Tab.o1[[#This Row],[B]])</f>
        <v/>
      </c>
      <c r="Q915" s="121" t="str">
        <f>IF(Tab.o1[[#This Row],[a1]]=1,NORMSDIST(Tab.o1[[#This Row],[Zb]]),"")</f>
        <v/>
      </c>
      <c r="R915" s="122" t="str">
        <f>IF(Tab.o1[[#This Row],[a1]]=1,((Tab.o1[[#This Row],[MedMod]]-AVERAGE(Tab.o1[MedMod]))/_xlfn.STDEV.P(Tab.o1[MedMod])*H$1203)+G$1203,"")</f>
        <v/>
      </c>
      <c r="S915" s="122" t="str">
        <f>IF(Tab.o1[[#This Row],[a1]]=1,((Tab.o1[[#This Row],[MedMod]]-AVERAGE(Tab.o1[MedMod]))/_xlfn.STDEV.P(Tab.o1[MedMod])*H$1204)+G$1204,"")</f>
        <v/>
      </c>
      <c r="T915" s="123" t="str">
        <f>IF(Tab.o1[[#This Row],[a1]]=1,Tab.o1[[#This Row],[Z-]]*_xlfn.STDEV.P(Tab.o1[B])+AVERAGE(Tab.o1[B]),"")</f>
        <v/>
      </c>
      <c r="U915" s="123" t="str">
        <f>IF(Tab.o1[[#This Row],[a1]]=1,Tab.o1[[#This Row],[z+]]*_xlfn.STDEV.P(Tab.o1[B])+AVERAGE(Tab.o1[B]),"")</f>
        <v/>
      </c>
      <c r="V915" s="124" t="str">
        <f>IF(Tab.o1[[#This Row],[a1]]=1,ABS((ABS(Tab.o1[[#This Row],[Red]]-Tab.o1[[#This Row],[Blue]]))),"")</f>
        <v/>
      </c>
      <c r="W915" s="125" t="str">
        <f>IF(Tab.o1[[#This Row],[a1]]=1,IF(W$3=0,1,Tab.o1[[#This Row],[Amp.]]*1/_xlfn.MINIFS(Tab.o1[Amp.],Tab.o1[Amp.],"&lt;&gt;0")),"")</f>
        <v/>
      </c>
      <c r="X915" s="126" t="str">
        <f>IF(Tab.o1[[#This Row],[a1]]=1,IF(ISNUMBER(Tab.o1[[#This Row],[i.]]),NORMDIST(Tab.o1[[#This Row],[Za]],0,1,FALSE)*Tab.o1[[#This Row],[i.]],AP$3),"")</f>
        <v/>
      </c>
      <c r="Y915" s="126" t="str">
        <f>IF(Tab.o1[[#This Row],[a1]]=1,0.01+0.94*Tab.o1[[#This Row],[PDF]]/MAX(Tab.o1[PDF]),"")</f>
        <v/>
      </c>
      <c r="Z915" s="126" t="str">
        <f>IF(Tab.o1[[#This Row],[a1]]=1,0.01+0.94*Tab.o1[[#This Row],[W1_PDF]]/MAX(Tab.o1[W1_PDF]),"")</f>
        <v/>
      </c>
      <c r="AA915" s="118" t="str">
        <f>IF(Tab.o1[[#This Row],[a1]]=1,ABS([1]!T.in.A[[#This Row],[oo6]]),"")</f>
        <v/>
      </c>
      <c r="AB915" s="127" t="str">
        <f>IF(Tab.o1[[#This Row],[a1]]=1,IF(AE$3=0,"",IF(AB$3=0,ABS([1]!T.in.A[[#This Row],[oo9]]),ABS(Tab.o1[[#This Row],[DIF_Target.]]*Tab.o1[[#This Row],[W1_PDF]]))),"")</f>
        <v/>
      </c>
      <c r="AC915" s="127" t="str">
        <f>IF(G$1=1,"",IF(Tab.o1[[#This Row],[a1]]=1,Tab.o1[[#This Row],[Wr]]^2,""))</f>
        <v/>
      </c>
      <c r="AD915" s="118" t="str">
        <f>IF(Tab.o1[[#This Row],[a1]]=1,IF(AE$3=0,"",Tab.o1[[#This Row],[Wr2]]/SUM(Tab.o1[Wr2])),"")</f>
        <v/>
      </c>
      <c r="AE915" s="128" t="str">
        <f>IF(Tab.o1[[#This Row],[a1]]=1,[1]!T.in.A[[#This Row],[oo10]],"")</f>
        <v/>
      </c>
      <c r="AF915" s="118" t="str">
        <f>IF(Tab.o1[[#This Row],[a1]]=1,ABS(Tab.o1[[#This Row],[DIF_Target.]]*Tab.o1[[#This Row],[PDF2]]*Tab.o1[[#This Row],[IN]]),"")</f>
        <v/>
      </c>
      <c r="AG915" s="129" t="str">
        <f>IF(Tab.o1[[#This Row],[a1]]=1,Tab.o1[[#This Row],[rW]]^2,"")</f>
        <v/>
      </c>
      <c r="AH915" s="130" t="str">
        <f>IF(Tab.o1[[#This Row],[a1]]=1,IF(AH$3=0,Tab.o1[[#This Row],[rW2]],0.01+0.94*Tab.o1[[#This Row],[rW2]]/SUM(Tab.o1[rW2])),"")</f>
        <v/>
      </c>
      <c r="AI915" s="128" t="str">
        <f>IF(Tab.o1[[#This Row],[a1]]=1,1/Tab.o1[[#This Row],[PDF]],"")</f>
        <v/>
      </c>
      <c r="AJ915" s="131" t="str">
        <f>IF(Tab.o1[[#This Row],[a1]]=1,[1]!T_AA[[#This Row],[IN'']]*[1]!T_AA[[#This Row],[Qde'']],"")</f>
        <v/>
      </c>
      <c r="AK915" s="132" t="str">
        <f>IF(Tab.o1[[#This Row],[a1]]=1,IF(AK$1=1,Tab.o1[[#This Row],[MED]]+Tab.o1[[#This Row],[MOD]]-Tab.o1[[#This Row],[MED]],""),"")</f>
        <v/>
      </c>
      <c r="AL915" s="133" t="str">
        <f>IF(Tab.o1[[#This Row],[a1]]=1,[1]!T.in.A[[#This Row],[oo16]],"")</f>
        <v/>
      </c>
      <c r="AM915" s="133" t="str">
        <f>IF(Tab.o1[[#This Row],[a1]]=1,IF(AM$3=1,[1]!T.in.A[[#This Row],[Σo16]],""),"")</f>
        <v/>
      </c>
      <c r="AN915" s="126" t="str">
        <f>IF(Tab.o1[[#This Row],[a1]]=1,[1]!T.in.A[[#This Row],[Σp5]],"")</f>
        <v/>
      </c>
      <c r="AO915" s="126" t="str">
        <f>IF(Tab.o1[[#This Row],[a1]]=1,IF(AO$3=1,[1]!T.in.A[[#This Row],[Σp5]],""),"")</f>
        <v/>
      </c>
      <c r="AP915" s="110" t="str">
        <f>IF(Tab.o1[[#This Row],[a1]]=1,IF(ISNUMBER(Tab.o1[[#This Row],[i.]]),NORMDIST(Tab.o1[[#This Row],[Za]],0,1,FALSE)*Tab.o1[[#This Row],[i.]],0),"")</f>
        <v/>
      </c>
      <c r="AQ915" s="125" t="str">
        <f>IF(Tab.o1[[#This Row],[a1]]=1,ABS(Tab.o1[[#This Row],[MOD]]-AVERAGE(Tab.o1[MOD])),"")</f>
        <v/>
      </c>
      <c r="AR915" s="134" t="str">
        <f>IF(Tab.o1[[#This Row],[a1]]=1,Tab.o1[[#This Row],[OBS]]/SUM(Tab.o1[OBS]),"")</f>
        <v/>
      </c>
      <c r="AS915" s="135" t="str">
        <f>IF(ISNUMBER(Tab.o1[[#This Row],[a1]]),ROW()-4,"")</f>
        <v/>
      </c>
      <c r="AT915" s="136" t="str">
        <f>Tab.o1[[#This Row],[MOD]]</f>
        <v/>
      </c>
      <c r="AU915" s="137" t="str">
        <f t="shared" si="57"/>
        <v/>
      </c>
      <c r="AV915" s="138" t="str">
        <f t="shared" si="58"/>
        <v/>
      </c>
      <c r="AW915" s="138" t="str">
        <f t="shared" si="59"/>
        <v/>
      </c>
      <c r="AX915" s="139" t="str">
        <f>[1]!T.in.A[[#This Row],[ID_T_manu]]</f>
        <v/>
      </c>
      <c r="AY915" s="140" t="str">
        <f>IF(ISNUMBER(Tab.o1[[#This Row],[a1]]),IF(AND(Tab.o1[[#This Row],[a1]]=1,Tab.o1[[#This Row],[b1]]&lt;=AY$4),#REF!,AY914),"")</f>
        <v/>
      </c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6"/>
      <c r="BO915" s="26"/>
      <c r="BP915" s="26"/>
      <c r="BQ915" s="26"/>
      <c r="BR915" s="26"/>
      <c r="BS915" s="26"/>
      <c r="BT915" s="26"/>
      <c r="BU915" s="26"/>
      <c r="BV915" s="26"/>
      <c r="BW915" s="26"/>
      <c r="BX915" s="26"/>
      <c r="BY915" s="26"/>
      <c r="BZ915" s="26"/>
      <c r="CA915" s="26"/>
    </row>
    <row r="916" spans="1:79" ht="15.75" hidden="1">
      <c r="A916" s="109">
        <v>-6.9999999999999999E-6</v>
      </c>
      <c r="B916" s="110">
        <f t="shared" si="56"/>
        <v>916</v>
      </c>
      <c r="C916" s="111" t="str">
        <f>IF(C$1=[1]!T.in.A[[#This Row],[oo2]],1,"")</f>
        <v/>
      </c>
      <c r="D916" s="112" t="str">
        <f>IF(Tab.o1[[#This Row],[a1]]=1,IF(SUM(C916:C917)=0,0,IF(SUM(C915:C916)=1,1,IF(SUM(C915:C917)&gt;1,D915+1,0))),"")</f>
        <v/>
      </c>
      <c r="E916" s="113" t="str">
        <f>IF(Tab.o1[[#This Row],[a1]]=1,[1]!T.in.A[[#This Row],[oo1]],"")</f>
        <v/>
      </c>
      <c r="F916" s="113" t="str">
        <f>IF(Tab.o1[[#This Row],[a1]]=1,[1]!T.in.A[[#This Row],[pp1]],"")</f>
        <v/>
      </c>
      <c r="G916" s="114" t="str">
        <f>IF(Tab.o1[[#This Row],[a1]]=1,G$2+IF(G$1=1,0,Tab.o1[[#This Row],[.x1]])+[1]!T.in.A[[#This Row],[oo3]],"")</f>
        <v/>
      </c>
      <c r="H916" s="115" t="str">
        <f>IF(Tab.o1[[#This Row],[a1]]=1,IF(H$2=0,0,IF(G$1=1,0,Tab.o1[[#This Row],[.x1]])+[1]!T.in.A[[#This Row],[oo4]]),"")</f>
        <v/>
      </c>
      <c r="I916" s="116" t="str">
        <f>IF(Tab.o1[[#This Row],[a1]]=1,IF(J$2=0,Tab.o1[[#This Row],[MED]],Tab.o1[[#This Row],[MOD]]),"")</f>
        <v/>
      </c>
      <c r="J916" s="116" t="str">
        <f>IF(Tab.o1[[#This Row],[a1]]=1,((Tab.o1[[#This Row],[DIF_Target.]]-AVERAGE(Tab.o1[DIF_Target.]))/_xlfn.STDEV.P(Tab.o1[DIF_Target.])),"")</f>
        <v/>
      </c>
      <c r="K916" s="117" t="str">
        <f>IF(Tab.o1[[#This Row],[a1]]=1,IF(J$2=0,Tab.o1[[#This Row],[MOD]]-Tab.o1[[#This Row],[B]],IF(J$2=1,0,-Tab.o1[[#This Row],[MED]])+Tab.o1[[#This Row],[B]]),"")</f>
        <v/>
      </c>
      <c r="L916" s="117" t="str">
        <f ca="1">IF(Tab.o1[[#This Row],[DIF_Target]]=0,IF(L$2=0,Tab.o1[[#This Row],[DIF_Target]],AVERAGE(OFFSET(Tab.o1[[#This Row],[DIF_Target]],1,0,L$3,1)))/3,Tab.o1[[#This Row],[DIF_Target]])</f>
        <v/>
      </c>
      <c r="M916" s="118" t="str">
        <f>IF(Tab.o1[[#This Row],[a1]]=1,NORMSDIST(Tab.o1[[#This Row],[Za]]),"")</f>
        <v/>
      </c>
      <c r="N916" s="119" t="str">
        <f>IF(Tab.o1[[#This Row],[a1]]=1,((Tab.o1[[#This Row],[MedMod]]-AVERAGE(Tab.o1[MedMod]))/_xlfn.STDEV.P(Tab.o1[MedMod])*H$1205)+G$1205,"")</f>
        <v/>
      </c>
      <c r="O916" s="141" t="str">
        <f>IF(Tab.o1[[#This Row],[a1]]=1,Tab.o1[[#This Row],[Zb]]*_xlfn.STDEV.P(Tab.o1[MedMod])+AVERAGE(Tab.o1[MedMod]),"")</f>
        <v/>
      </c>
      <c r="P916" s="117" t="str">
        <f ca="1">IF(Tab.o1[[#This Row],[B]]=0,AVERAGE(OFFSET(Tab.o1[[#This Row],[B]],1,0,L$3,1)),Tab.o1[[#This Row],[B]])</f>
        <v/>
      </c>
      <c r="Q916" s="121" t="str">
        <f>IF(Tab.o1[[#This Row],[a1]]=1,NORMSDIST(Tab.o1[[#This Row],[Zb]]),"")</f>
        <v/>
      </c>
      <c r="R916" s="122" t="str">
        <f>IF(Tab.o1[[#This Row],[a1]]=1,((Tab.o1[[#This Row],[MedMod]]-AVERAGE(Tab.o1[MedMod]))/_xlfn.STDEV.P(Tab.o1[MedMod])*H$1203)+G$1203,"")</f>
        <v/>
      </c>
      <c r="S916" s="122" t="str">
        <f>IF(Tab.o1[[#This Row],[a1]]=1,((Tab.o1[[#This Row],[MedMod]]-AVERAGE(Tab.o1[MedMod]))/_xlfn.STDEV.P(Tab.o1[MedMod])*H$1204)+G$1204,"")</f>
        <v/>
      </c>
      <c r="T916" s="123" t="str">
        <f>IF(Tab.o1[[#This Row],[a1]]=1,Tab.o1[[#This Row],[Z-]]*_xlfn.STDEV.P(Tab.o1[B])+AVERAGE(Tab.o1[B]),"")</f>
        <v/>
      </c>
      <c r="U916" s="123" t="str">
        <f>IF(Tab.o1[[#This Row],[a1]]=1,Tab.o1[[#This Row],[z+]]*_xlfn.STDEV.P(Tab.o1[B])+AVERAGE(Tab.o1[B]),"")</f>
        <v/>
      </c>
      <c r="V916" s="124" t="str">
        <f>IF(Tab.o1[[#This Row],[a1]]=1,ABS((ABS(Tab.o1[[#This Row],[Red]]-Tab.o1[[#This Row],[Blue]]))),"")</f>
        <v/>
      </c>
      <c r="W916" s="125" t="str">
        <f>IF(Tab.o1[[#This Row],[a1]]=1,IF(W$3=0,1,Tab.o1[[#This Row],[Amp.]]*1/_xlfn.MINIFS(Tab.o1[Amp.],Tab.o1[Amp.],"&lt;&gt;0")),"")</f>
        <v/>
      </c>
      <c r="X916" s="126" t="str">
        <f>IF(Tab.o1[[#This Row],[a1]]=1,IF(ISNUMBER(Tab.o1[[#This Row],[i.]]),NORMDIST(Tab.o1[[#This Row],[Za]],0,1,FALSE)*Tab.o1[[#This Row],[i.]],AP$3),"")</f>
        <v/>
      </c>
      <c r="Y916" s="126" t="str">
        <f>IF(Tab.o1[[#This Row],[a1]]=1,0.01+0.94*Tab.o1[[#This Row],[PDF]]/MAX(Tab.o1[PDF]),"")</f>
        <v/>
      </c>
      <c r="Z916" s="126" t="str">
        <f>IF(Tab.o1[[#This Row],[a1]]=1,0.01+0.94*Tab.o1[[#This Row],[W1_PDF]]/MAX(Tab.o1[W1_PDF]),"")</f>
        <v/>
      </c>
      <c r="AA916" s="118" t="str">
        <f>IF(Tab.o1[[#This Row],[a1]]=1,ABS([1]!T.in.A[[#This Row],[oo6]]),"")</f>
        <v/>
      </c>
      <c r="AB916" s="127" t="str">
        <f>IF(Tab.o1[[#This Row],[a1]]=1,IF(AE$3=0,"",IF(AB$3=0,ABS([1]!T.in.A[[#This Row],[oo9]]),ABS(Tab.o1[[#This Row],[DIF_Target.]]*Tab.o1[[#This Row],[W1_PDF]]))),"")</f>
        <v/>
      </c>
      <c r="AC916" s="127" t="str">
        <f>IF(G$1=1,"",IF(Tab.o1[[#This Row],[a1]]=1,Tab.o1[[#This Row],[Wr]]^2,""))</f>
        <v/>
      </c>
      <c r="AD916" s="118" t="str">
        <f>IF(Tab.o1[[#This Row],[a1]]=1,IF(AE$3=0,"",Tab.o1[[#This Row],[Wr2]]/SUM(Tab.o1[Wr2])),"")</f>
        <v/>
      </c>
      <c r="AE916" s="128" t="str">
        <f>IF(Tab.o1[[#This Row],[a1]]=1,[1]!T.in.A[[#This Row],[oo10]],"")</f>
        <v/>
      </c>
      <c r="AF916" s="118" t="str">
        <f>IF(Tab.o1[[#This Row],[a1]]=1,ABS(Tab.o1[[#This Row],[DIF_Target.]]*Tab.o1[[#This Row],[PDF2]]*Tab.o1[[#This Row],[IN]]),"")</f>
        <v/>
      </c>
      <c r="AG916" s="129" t="str">
        <f>IF(Tab.o1[[#This Row],[a1]]=1,Tab.o1[[#This Row],[rW]]^2,"")</f>
        <v/>
      </c>
      <c r="AH916" s="130" t="str">
        <f>IF(Tab.o1[[#This Row],[a1]]=1,IF(AH$3=0,Tab.o1[[#This Row],[rW2]],0.01+0.94*Tab.o1[[#This Row],[rW2]]/SUM(Tab.o1[rW2])),"")</f>
        <v/>
      </c>
      <c r="AI916" s="128" t="str">
        <f>IF(Tab.o1[[#This Row],[a1]]=1,1/Tab.o1[[#This Row],[PDF]],"")</f>
        <v/>
      </c>
      <c r="AJ916" s="131" t="str">
        <f>IF(Tab.o1[[#This Row],[a1]]=1,[1]!T_AA[[#This Row],[IN'']]*[1]!T_AA[[#This Row],[Qde'']],"")</f>
        <v/>
      </c>
      <c r="AK916" s="132" t="str">
        <f>IF(Tab.o1[[#This Row],[a1]]=1,IF(AK$1=1,Tab.o1[[#This Row],[MED]]+Tab.o1[[#This Row],[MOD]]-Tab.o1[[#This Row],[MED]],""),"")</f>
        <v/>
      </c>
      <c r="AL916" s="133" t="str">
        <f>IF(Tab.o1[[#This Row],[a1]]=1,[1]!T.in.A[[#This Row],[oo16]],"")</f>
        <v/>
      </c>
      <c r="AM916" s="133" t="str">
        <f>IF(Tab.o1[[#This Row],[a1]]=1,IF(AM$3=1,[1]!T.in.A[[#This Row],[Σo16]],""),"")</f>
        <v/>
      </c>
      <c r="AN916" s="126" t="str">
        <f>IF(Tab.o1[[#This Row],[a1]]=1,[1]!T.in.A[[#This Row],[Σp5]],"")</f>
        <v/>
      </c>
      <c r="AO916" s="126" t="str">
        <f>IF(Tab.o1[[#This Row],[a1]]=1,IF(AO$3=1,[1]!T.in.A[[#This Row],[Σp5]],""),"")</f>
        <v/>
      </c>
      <c r="AP916" s="110" t="str">
        <f>IF(Tab.o1[[#This Row],[a1]]=1,IF(ISNUMBER(Tab.o1[[#This Row],[i.]]),NORMDIST(Tab.o1[[#This Row],[Za]],0,1,FALSE)*Tab.o1[[#This Row],[i.]],0),"")</f>
        <v/>
      </c>
      <c r="AQ916" s="125" t="str">
        <f>IF(Tab.o1[[#This Row],[a1]]=1,ABS(Tab.o1[[#This Row],[MOD]]-AVERAGE(Tab.o1[MOD])),"")</f>
        <v/>
      </c>
      <c r="AR916" s="134" t="str">
        <f>IF(Tab.o1[[#This Row],[a1]]=1,Tab.o1[[#This Row],[OBS]]/SUM(Tab.o1[OBS]),"")</f>
        <v/>
      </c>
      <c r="AS916" s="135" t="str">
        <f>IF(ISNUMBER(Tab.o1[[#This Row],[a1]]),ROW()-4,"")</f>
        <v/>
      </c>
      <c r="AT916" s="136" t="str">
        <f>Tab.o1[[#This Row],[MOD]]</f>
        <v/>
      </c>
      <c r="AU916" s="137" t="str">
        <f t="shared" si="57"/>
        <v/>
      </c>
      <c r="AV916" s="138" t="str">
        <f t="shared" si="58"/>
        <v/>
      </c>
      <c r="AW916" s="138" t="str">
        <f t="shared" si="59"/>
        <v/>
      </c>
      <c r="AX916" s="139" t="str">
        <f>[1]!T.in.A[[#This Row],[ID_T_manu]]</f>
        <v/>
      </c>
      <c r="AY916" s="140" t="str">
        <f>IF(ISNUMBER(Tab.o1[[#This Row],[a1]]),IF(AND(Tab.o1[[#This Row],[a1]]=1,Tab.o1[[#This Row],[b1]]&lt;=AY$4),#REF!,AY915),"")</f>
        <v/>
      </c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6"/>
      <c r="BO916" s="26"/>
      <c r="BP916" s="26"/>
      <c r="BQ916" s="26"/>
      <c r="BR916" s="26"/>
      <c r="BS916" s="26"/>
      <c r="BT916" s="26"/>
      <c r="BU916" s="26"/>
      <c r="BV916" s="26"/>
      <c r="BW916" s="26"/>
      <c r="BX916" s="26"/>
      <c r="BY916" s="26"/>
      <c r="BZ916" s="26"/>
      <c r="CA916" s="26"/>
    </row>
    <row r="917" spans="1:79" ht="15.75" hidden="1">
      <c r="A917" s="109">
        <v>6.9999999999999999E-6</v>
      </c>
      <c r="B917" s="110">
        <f t="shared" si="56"/>
        <v>917</v>
      </c>
      <c r="C917" s="111" t="str">
        <f>IF(C$1=[1]!T.in.A[[#This Row],[oo2]],1,"")</f>
        <v/>
      </c>
      <c r="D917" s="112" t="str">
        <f>IF(Tab.o1[[#This Row],[a1]]=1,IF(SUM(C917:C918)=0,0,IF(SUM(C916:C917)=1,1,IF(SUM(C916:C918)&gt;1,D916+1,0))),"")</f>
        <v/>
      </c>
      <c r="E917" s="113" t="str">
        <f>IF(Tab.o1[[#This Row],[a1]]=1,[1]!T.in.A[[#This Row],[oo1]],"")</f>
        <v/>
      </c>
      <c r="F917" s="113" t="str">
        <f>IF(Tab.o1[[#This Row],[a1]]=1,[1]!T.in.A[[#This Row],[pp1]],"")</f>
        <v/>
      </c>
      <c r="G917" s="114" t="str">
        <f>IF(Tab.o1[[#This Row],[a1]]=1,G$2+IF(G$1=1,0,Tab.o1[[#This Row],[.x1]])+[1]!T.in.A[[#This Row],[oo3]],"")</f>
        <v/>
      </c>
      <c r="H917" s="115" t="str">
        <f>IF(Tab.o1[[#This Row],[a1]]=1,IF(H$2=0,0,IF(G$1=1,0,Tab.o1[[#This Row],[.x1]])+[1]!T.in.A[[#This Row],[oo4]]),"")</f>
        <v/>
      </c>
      <c r="I917" s="116" t="str">
        <f>IF(Tab.o1[[#This Row],[a1]]=1,IF(J$2=0,Tab.o1[[#This Row],[MED]],Tab.o1[[#This Row],[MOD]]),"")</f>
        <v/>
      </c>
      <c r="J917" s="116" t="str">
        <f>IF(Tab.o1[[#This Row],[a1]]=1,((Tab.o1[[#This Row],[DIF_Target.]]-AVERAGE(Tab.o1[DIF_Target.]))/_xlfn.STDEV.P(Tab.o1[DIF_Target.])),"")</f>
        <v/>
      </c>
      <c r="K917" s="117" t="str">
        <f>IF(Tab.o1[[#This Row],[a1]]=1,IF(J$2=0,Tab.o1[[#This Row],[MOD]]-Tab.o1[[#This Row],[B]],IF(J$2=1,0,-Tab.o1[[#This Row],[MED]])+Tab.o1[[#This Row],[B]]),"")</f>
        <v/>
      </c>
      <c r="L917" s="117" t="str">
        <f ca="1">IF(Tab.o1[[#This Row],[DIF_Target]]=0,IF(L$2=0,Tab.o1[[#This Row],[DIF_Target]],AVERAGE(OFFSET(Tab.o1[[#This Row],[DIF_Target]],1,0,L$3,1)))/3,Tab.o1[[#This Row],[DIF_Target]])</f>
        <v/>
      </c>
      <c r="M917" s="118" t="str">
        <f>IF(Tab.o1[[#This Row],[a1]]=1,NORMSDIST(Tab.o1[[#This Row],[Za]]),"")</f>
        <v/>
      </c>
      <c r="N917" s="119" t="str">
        <f>IF(Tab.o1[[#This Row],[a1]]=1,((Tab.o1[[#This Row],[MedMod]]-AVERAGE(Tab.o1[MedMod]))/_xlfn.STDEV.P(Tab.o1[MedMod])*H$1205)+G$1205,"")</f>
        <v/>
      </c>
      <c r="O917" s="141" t="str">
        <f>IF(Tab.o1[[#This Row],[a1]]=1,Tab.o1[[#This Row],[Zb]]*_xlfn.STDEV.P(Tab.o1[MedMod])+AVERAGE(Tab.o1[MedMod]),"")</f>
        <v/>
      </c>
      <c r="P917" s="117" t="str">
        <f ca="1">IF(Tab.o1[[#This Row],[B]]=0,AVERAGE(OFFSET(Tab.o1[[#This Row],[B]],1,0,L$3,1)),Tab.o1[[#This Row],[B]])</f>
        <v/>
      </c>
      <c r="Q917" s="121" t="str">
        <f>IF(Tab.o1[[#This Row],[a1]]=1,NORMSDIST(Tab.o1[[#This Row],[Zb]]),"")</f>
        <v/>
      </c>
      <c r="R917" s="122" t="str">
        <f>IF(Tab.o1[[#This Row],[a1]]=1,((Tab.o1[[#This Row],[MedMod]]-AVERAGE(Tab.o1[MedMod]))/_xlfn.STDEV.P(Tab.o1[MedMod])*H$1203)+G$1203,"")</f>
        <v/>
      </c>
      <c r="S917" s="122" t="str">
        <f>IF(Tab.o1[[#This Row],[a1]]=1,((Tab.o1[[#This Row],[MedMod]]-AVERAGE(Tab.o1[MedMod]))/_xlfn.STDEV.P(Tab.o1[MedMod])*H$1204)+G$1204,"")</f>
        <v/>
      </c>
      <c r="T917" s="123" t="str">
        <f>IF(Tab.o1[[#This Row],[a1]]=1,Tab.o1[[#This Row],[Z-]]*_xlfn.STDEV.P(Tab.o1[B])+AVERAGE(Tab.o1[B]),"")</f>
        <v/>
      </c>
      <c r="U917" s="123" t="str">
        <f>IF(Tab.o1[[#This Row],[a1]]=1,Tab.o1[[#This Row],[z+]]*_xlfn.STDEV.P(Tab.o1[B])+AVERAGE(Tab.o1[B]),"")</f>
        <v/>
      </c>
      <c r="V917" s="124" t="str">
        <f>IF(Tab.o1[[#This Row],[a1]]=1,ABS((ABS(Tab.o1[[#This Row],[Red]]-Tab.o1[[#This Row],[Blue]]))),"")</f>
        <v/>
      </c>
      <c r="W917" s="125" t="str">
        <f>IF(Tab.o1[[#This Row],[a1]]=1,IF(W$3=0,1,Tab.o1[[#This Row],[Amp.]]*1/_xlfn.MINIFS(Tab.o1[Amp.],Tab.o1[Amp.],"&lt;&gt;0")),"")</f>
        <v/>
      </c>
      <c r="X917" s="126" t="str">
        <f>IF(Tab.o1[[#This Row],[a1]]=1,IF(ISNUMBER(Tab.o1[[#This Row],[i.]]),NORMDIST(Tab.o1[[#This Row],[Za]],0,1,FALSE)*Tab.o1[[#This Row],[i.]],AP$3),"")</f>
        <v/>
      </c>
      <c r="Y917" s="126" t="str">
        <f>IF(Tab.o1[[#This Row],[a1]]=1,0.01+0.94*Tab.o1[[#This Row],[PDF]]/MAX(Tab.o1[PDF]),"")</f>
        <v/>
      </c>
      <c r="Z917" s="126" t="str">
        <f>IF(Tab.o1[[#This Row],[a1]]=1,0.01+0.94*Tab.o1[[#This Row],[W1_PDF]]/MAX(Tab.o1[W1_PDF]),"")</f>
        <v/>
      </c>
      <c r="AA917" s="118" t="str">
        <f>IF(Tab.o1[[#This Row],[a1]]=1,ABS([1]!T.in.A[[#This Row],[oo6]]),"")</f>
        <v/>
      </c>
      <c r="AB917" s="127" t="str">
        <f>IF(Tab.o1[[#This Row],[a1]]=1,IF(AE$3=0,"",IF(AB$3=0,ABS([1]!T.in.A[[#This Row],[oo9]]),ABS(Tab.o1[[#This Row],[DIF_Target.]]*Tab.o1[[#This Row],[W1_PDF]]))),"")</f>
        <v/>
      </c>
      <c r="AC917" s="127" t="str">
        <f>IF(G$1=1,"",IF(Tab.o1[[#This Row],[a1]]=1,Tab.o1[[#This Row],[Wr]]^2,""))</f>
        <v/>
      </c>
      <c r="AD917" s="118" t="str">
        <f>IF(Tab.o1[[#This Row],[a1]]=1,IF(AE$3=0,"",Tab.o1[[#This Row],[Wr2]]/SUM(Tab.o1[Wr2])),"")</f>
        <v/>
      </c>
      <c r="AE917" s="128" t="str">
        <f>IF(Tab.o1[[#This Row],[a1]]=1,[1]!T.in.A[[#This Row],[oo10]],"")</f>
        <v/>
      </c>
      <c r="AF917" s="118" t="str">
        <f>IF(Tab.o1[[#This Row],[a1]]=1,ABS(Tab.o1[[#This Row],[DIF_Target.]]*Tab.o1[[#This Row],[PDF2]]*Tab.o1[[#This Row],[IN]]),"")</f>
        <v/>
      </c>
      <c r="AG917" s="129" t="str">
        <f>IF(Tab.o1[[#This Row],[a1]]=1,Tab.o1[[#This Row],[rW]]^2,"")</f>
        <v/>
      </c>
      <c r="AH917" s="130" t="str">
        <f>IF(Tab.o1[[#This Row],[a1]]=1,IF(AH$3=0,Tab.o1[[#This Row],[rW2]],0.01+0.94*Tab.o1[[#This Row],[rW2]]/SUM(Tab.o1[rW2])),"")</f>
        <v/>
      </c>
      <c r="AI917" s="128" t="str">
        <f>IF(Tab.o1[[#This Row],[a1]]=1,1/Tab.o1[[#This Row],[PDF]],"")</f>
        <v/>
      </c>
      <c r="AJ917" s="131" t="str">
        <f>IF(Tab.o1[[#This Row],[a1]]=1,[1]!T_AA[[#This Row],[IN'']]*[1]!T_AA[[#This Row],[Qde'']],"")</f>
        <v/>
      </c>
      <c r="AK917" s="132" t="str">
        <f>IF(Tab.o1[[#This Row],[a1]]=1,IF(AK$1=1,Tab.o1[[#This Row],[MED]]+Tab.o1[[#This Row],[MOD]]-Tab.o1[[#This Row],[MED]],""),"")</f>
        <v/>
      </c>
      <c r="AL917" s="133" t="str">
        <f>IF(Tab.o1[[#This Row],[a1]]=1,[1]!T.in.A[[#This Row],[oo16]],"")</f>
        <v/>
      </c>
      <c r="AM917" s="133" t="str">
        <f>IF(Tab.o1[[#This Row],[a1]]=1,IF(AM$3=1,[1]!T.in.A[[#This Row],[Σo16]],""),"")</f>
        <v/>
      </c>
      <c r="AN917" s="126" t="str">
        <f>IF(Tab.o1[[#This Row],[a1]]=1,[1]!T.in.A[[#This Row],[Σp5]],"")</f>
        <v/>
      </c>
      <c r="AO917" s="126" t="str">
        <f>IF(Tab.o1[[#This Row],[a1]]=1,IF(AO$3=1,[1]!T.in.A[[#This Row],[Σp5]],""),"")</f>
        <v/>
      </c>
      <c r="AP917" s="110" t="str">
        <f>IF(Tab.o1[[#This Row],[a1]]=1,IF(ISNUMBER(Tab.o1[[#This Row],[i.]]),NORMDIST(Tab.o1[[#This Row],[Za]],0,1,FALSE)*Tab.o1[[#This Row],[i.]],0),"")</f>
        <v/>
      </c>
      <c r="AQ917" s="125" t="str">
        <f>IF(Tab.o1[[#This Row],[a1]]=1,ABS(Tab.o1[[#This Row],[MOD]]-AVERAGE(Tab.o1[MOD])),"")</f>
        <v/>
      </c>
      <c r="AR917" s="134" t="str">
        <f>IF(Tab.o1[[#This Row],[a1]]=1,Tab.o1[[#This Row],[OBS]]/SUM(Tab.o1[OBS]),"")</f>
        <v/>
      </c>
      <c r="AS917" s="135" t="str">
        <f>IF(ISNUMBER(Tab.o1[[#This Row],[a1]]),ROW()-4,"")</f>
        <v/>
      </c>
      <c r="AT917" s="136" t="str">
        <f>Tab.o1[[#This Row],[MOD]]</f>
        <v/>
      </c>
      <c r="AU917" s="137" t="str">
        <f t="shared" si="57"/>
        <v/>
      </c>
      <c r="AV917" s="138" t="str">
        <f t="shared" si="58"/>
        <v/>
      </c>
      <c r="AW917" s="138" t="str">
        <f t="shared" si="59"/>
        <v/>
      </c>
      <c r="AX917" s="139" t="str">
        <f>[1]!T.in.A[[#This Row],[ID_T_manu]]</f>
        <v/>
      </c>
      <c r="AY917" s="140" t="str">
        <f>IF(ISNUMBER(Tab.o1[[#This Row],[a1]]),IF(AND(Tab.o1[[#This Row],[a1]]=1,Tab.o1[[#This Row],[b1]]&lt;=AY$4),#REF!,AY916),"")</f>
        <v/>
      </c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6"/>
      <c r="BO917" s="26"/>
      <c r="BP917" s="26"/>
      <c r="BQ917" s="26"/>
      <c r="BR917" s="26"/>
      <c r="BS917" s="26"/>
      <c r="BT917" s="26"/>
      <c r="BU917" s="26"/>
      <c r="BV917" s="26"/>
      <c r="BW917" s="26"/>
      <c r="BX917" s="26"/>
      <c r="BY917" s="26"/>
      <c r="BZ917" s="26"/>
      <c r="CA917" s="26"/>
    </row>
    <row r="918" spans="1:79" ht="15.75" hidden="1">
      <c r="A918" s="109">
        <v>1.0000000000000002E-6</v>
      </c>
      <c r="B918" s="110">
        <f t="shared" si="56"/>
        <v>918</v>
      </c>
      <c r="C918" s="111" t="str">
        <f>IF(C$1=[1]!T.in.A[[#This Row],[oo2]],1,"")</f>
        <v/>
      </c>
      <c r="D918" s="112" t="str">
        <f>IF(Tab.o1[[#This Row],[a1]]=1,IF(SUM(C918:C919)=0,0,IF(SUM(C917:C918)=1,1,IF(SUM(C917:C919)&gt;1,D917+1,0))),"")</f>
        <v/>
      </c>
      <c r="E918" s="113" t="str">
        <f>IF(Tab.o1[[#This Row],[a1]]=1,[1]!T.in.A[[#This Row],[oo1]],"")</f>
        <v/>
      </c>
      <c r="F918" s="113" t="str">
        <f>IF(Tab.o1[[#This Row],[a1]]=1,[1]!T.in.A[[#This Row],[pp1]],"")</f>
        <v/>
      </c>
      <c r="G918" s="114" t="str">
        <f>IF(Tab.o1[[#This Row],[a1]]=1,G$2+IF(G$1=1,0,Tab.o1[[#This Row],[.x1]])+[1]!T.in.A[[#This Row],[oo3]],"")</f>
        <v/>
      </c>
      <c r="H918" s="115" t="str">
        <f>IF(Tab.o1[[#This Row],[a1]]=1,IF(H$2=0,0,IF(G$1=1,0,Tab.o1[[#This Row],[.x1]])+[1]!T.in.A[[#This Row],[oo4]]),"")</f>
        <v/>
      </c>
      <c r="I918" s="116" t="str">
        <f>IF(Tab.o1[[#This Row],[a1]]=1,IF(J$2=0,Tab.o1[[#This Row],[MED]],Tab.o1[[#This Row],[MOD]]),"")</f>
        <v/>
      </c>
      <c r="J918" s="116" t="str">
        <f>IF(Tab.o1[[#This Row],[a1]]=1,((Tab.o1[[#This Row],[DIF_Target.]]-AVERAGE(Tab.o1[DIF_Target.]))/_xlfn.STDEV.P(Tab.o1[DIF_Target.])),"")</f>
        <v/>
      </c>
      <c r="K918" s="117" t="str">
        <f>IF(Tab.o1[[#This Row],[a1]]=1,IF(J$2=0,Tab.o1[[#This Row],[MOD]]-Tab.o1[[#This Row],[B]],IF(J$2=1,0,-Tab.o1[[#This Row],[MED]])+Tab.o1[[#This Row],[B]]),"")</f>
        <v/>
      </c>
      <c r="L918" s="117" t="str">
        <f ca="1">IF(Tab.o1[[#This Row],[DIF_Target]]=0,IF(L$2=0,Tab.o1[[#This Row],[DIF_Target]],AVERAGE(OFFSET(Tab.o1[[#This Row],[DIF_Target]],1,0,L$3,1)))/3,Tab.o1[[#This Row],[DIF_Target]])</f>
        <v/>
      </c>
      <c r="M918" s="118" t="str">
        <f>IF(Tab.o1[[#This Row],[a1]]=1,NORMSDIST(Tab.o1[[#This Row],[Za]]),"")</f>
        <v/>
      </c>
      <c r="N918" s="119" t="str">
        <f>IF(Tab.o1[[#This Row],[a1]]=1,((Tab.o1[[#This Row],[MedMod]]-AVERAGE(Tab.o1[MedMod]))/_xlfn.STDEV.P(Tab.o1[MedMod])*H$1205)+G$1205,"")</f>
        <v/>
      </c>
      <c r="O918" s="141" t="str">
        <f>IF(Tab.o1[[#This Row],[a1]]=1,Tab.o1[[#This Row],[Zb]]*_xlfn.STDEV.P(Tab.o1[MedMod])+AVERAGE(Tab.o1[MedMod]),"")</f>
        <v/>
      </c>
      <c r="P918" s="117" t="str">
        <f ca="1">IF(Tab.o1[[#This Row],[B]]=0,AVERAGE(OFFSET(Tab.o1[[#This Row],[B]],1,0,L$3,1)),Tab.o1[[#This Row],[B]])</f>
        <v/>
      </c>
      <c r="Q918" s="121" t="str">
        <f>IF(Tab.o1[[#This Row],[a1]]=1,NORMSDIST(Tab.o1[[#This Row],[Zb]]),"")</f>
        <v/>
      </c>
      <c r="R918" s="122" t="str">
        <f>IF(Tab.o1[[#This Row],[a1]]=1,((Tab.o1[[#This Row],[MedMod]]-AVERAGE(Tab.o1[MedMod]))/_xlfn.STDEV.P(Tab.o1[MedMod])*H$1203)+G$1203,"")</f>
        <v/>
      </c>
      <c r="S918" s="122" t="str">
        <f>IF(Tab.o1[[#This Row],[a1]]=1,((Tab.o1[[#This Row],[MedMod]]-AVERAGE(Tab.o1[MedMod]))/_xlfn.STDEV.P(Tab.o1[MedMod])*H$1204)+G$1204,"")</f>
        <v/>
      </c>
      <c r="T918" s="123" t="str">
        <f>IF(Tab.o1[[#This Row],[a1]]=1,Tab.o1[[#This Row],[Z-]]*_xlfn.STDEV.P(Tab.o1[B])+AVERAGE(Tab.o1[B]),"")</f>
        <v/>
      </c>
      <c r="U918" s="123" t="str">
        <f>IF(Tab.o1[[#This Row],[a1]]=1,Tab.o1[[#This Row],[z+]]*_xlfn.STDEV.P(Tab.o1[B])+AVERAGE(Tab.o1[B]),"")</f>
        <v/>
      </c>
      <c r="V918" s="124" t="str">
        <f>IF(Tab.o1[[#This Row],[a1]]=1,ABS((ABS(Tab.o1[[#This Row],[Red]]-Tab.o1[[#This Row],[Blue]]))),"")</f>
        <v/>
      </c>
      <c r="W918" s="125" t="str">
        <f>IF(Tab.o1[[#This Row],[a1]]=1,IF(W$3=0,1,Tab.o1[[#This Row],[Amp.]]*1/_xlfn.MINIFS(Tab.o1[Amp.],Tab.o1[Amp.],"&lt;&gt;0")),"")</f>
        <v/>
      </c>
      <c r="X918" s="126" t="str">
        <f>IF(Tab.o1[[#This Row],[a1]]=1,IF(ISNUMBER(Tab.o1[[#This Row],[i.]]),NORMDIST(Tab.o1[[#This Row],[Za]],0,1,FALSE)*Tab.o1[[#This Row],[i.]],AP$3),"")</f>
        <v/>
      </c>
      <c r="Y918" s="126" t="str">
        <f>IF(Tab.o1[[#This Row],[a1]]=1,0.01+0.94*Tab.o1[[#This Row],[PDF]]/MAX(Tab.o1[PDF]),"")</f>
        <v/>
      </c>
      <c r="Z918" s="126" t="str">
        <f>IF(Tab.o1[[#This Row],[a1]]=1,0.01+0.94*Tab.o1[[#This Row],[W1_PDF]]/MAX(Tab.o1[W1_PDF]),"")</f>
        <v/>
      </c>
      <c r="AA918" s="118" t="str">
        <f>IF(Tab.o1[[#This Row],[a1]]=1,ABS([1]!T.in.A[[#This Row],[oo6]]),"")</f>
        <v/>
      </c>
      <c r="AB918" s="127" t="str">
        <f>IF(Tab.o1[[#This Row],[a1]]=1,IF(AE$3=0,"",IF(AB$3=0,ABS([1]!T.in.A[[#This Row],[oo9]]),ABS(Tab.o1[[#This Row],[DIF_Target.]]*Tab.o1[[#This Row],[W1_PDF]]))),"")</f>
        <v/>
      </c>
      <c r="AC918" s="127" t="str">
        <f>IF(G$1=1,"",IF(Tab.o1[[#This Row],[a1]]=1,Tab.o1[[#This Row],[Wr]]^2,""))</f>
        <v/>
      </c>
      <c r="AD918" s="118" t="str">
        <f>IF(Tab.o1[[#This Row],[a1]]=1,IF(AE$3=0,"",Tab.o1[[#This Row],[Wr2]]/SUM(Tab.o1[Wr2])),"")</f>
        <v/>
      </c>
      <c r="AE918" s="128" t="str">
        <f>IF(Tab.o1[[#This Row],[a1]]=1,[1]!T.in.A[[#This Row],[oo10]],"")</f>
        <v/>
      </c>
      <c r="AF918" s="118" t="str">
        <f>IF(Tab.o1[[#This Row],[a1]]=1,ABS(Tab.o1[[#This Row],[DIF_Target.]]*Tab.o1[[#This Row],[PDF2]]*Tab.o1[[#This Row],[IN]]),"")</f>
        <v/>
      </c>
      <c r="AG918" s="129" t="str">
        <f>IF(Tab.o1[[#This Row],[a1]]=1,Tab.o1[[#This Row],[rW]]^2,"")</f>
        <v/>
      </c>
      <c r="AH918" s="130" t="str">
        <f>IF(Tab.o1[[#This Row],[a1]]=1,IF(AH$3=0,Tab.o1[[#This Row],[rW2]],0.01+0.94*Tab.o1[[#This Row],[rW2]]/SUM(Tab.o1[rW2])),"")</f>
        <v/>
      </c>
      <c r="AI918" s="128" t="str">
        <f>IF(Tab.o1[[#This Row],[a1]]=1,1/Tab.o1[[#This Row],[PDF]],"")</f>
        <v/>
      </c>
      <c r="AJ918" s="131" t="str">
        <f>IF(Tab.o1[[#This Row],[a1]]=1,[1]!T_AA[[#This Row],[IN'']]*[1]!T_AA[[#This Row],[Qde'']],"")</f>
        <v/>
      </c>
      <c r="AK918" s="132" t="str">
        <f>IF(Tab.o1[[#This Row],[a1]]=1,IF(AK$1=1,Tab.o1[[#This Row],[MED]]+Tab.o1[[#This Row],[MOD]]-Tab.o1[[#This Row],[MED]],""),"")</f>
        <v/>
      </c>
      <c r="AL918" s="133" t="str">
        <f>IF(Tab.o1[[#This Row],[a1]]=1,[1]!T.in.A[[#This Row],[oo16]],"")</f>
        <v/>
      </c>
      <c r="AM918" s="133" t="str">
        <f>IF(Tab.o1[[#This Row],[a1]]=1,IF(AM$3=1,[1]!T.in.A[[#This Row],[Σo16]],""),"")</f>
        <v/>
      </c>
      <c r="AN918" s="126" t="str">
        <f>IF(Tab.o1[[#This Row],[a1]]=1,[1]!T.in.A[[#This Row],[Σp5]],"")</f>
        <v/>
      </c>
      <c r="AO918" s="126" t="str">
        <f>IF(Tab.o1[[#This Row],[a1]]=1,IF(AO$3=1,[1]!T.in.A[[#This Row],[Σp5]],""),"")</f>
        <v/>
      </c>
      <c r="AP918" s="110" t="str">
        <f>IF(Tab.o1[[#This Row],[a1]]=1,IF(ISNUMBER(Tab.o1[[#This Row],[i.]]),NORMDIST(Tab.o1[[#This Row],[Za]],0,1,FALSE)*Tab.o1[[#This Row],[i.]],0),"")</f>
        <v/>
      </c>
      <c r="AQ918" s="125" t="str">
        <f>IF(Tab.o1[[#This Row],[a1]]=1,ABS(Tab.o1[[#This Row],[MOD]]-AVERAGE(Tab.o1[MOD])),"")</f>
        <v/>
      </c>
      <c r="AR918" s="134" t="str">
        <f>IF(Tab.o1[[#This Row],[a1]]=1,Tab.o1[[#This Row],[OBS]]/SUM(Tab.o1[OBS]),"")</f>
        <v/>
      </c>
      <c r="AS918" s="135" t="str">
        <f>IF(ISNUMBER(Tab.o1[[#This Row],[a1]]),ROW()-4,"")</f>
        <v/>
      </c>
      <c r="AT918" s="136" t="str">
        <f>Tab.o1[[#This Row],[MOD]]</f>
        <v/>
      </c>
      <c r="AU918" s="137" t="str">
        <f t="shared" si="57"/>
        <v/>
      </c>
      <c r="AV918" s="138" t="str">
        <f t="shared" si="58"/>
        <v/>
      </c>
      <c r="AW918" s="138" t="str">
        <f t="shared" si="59"/>
        <v/>
      </c>
      <c r="AX918" s="139" t="str">
        <f>[1]!T.in.A[[#This Row],[ID_T_manu]]</f>
        <v/>
      </c>
      <c r="AY918" s="140" t="str">
        <f>IF(ISNUMBER(Tab.o1[[#This Row],[a1]]),IF(AND(Tab.o1[[#This Row],[a1]]=1,Tab.o1[[#This Row],[b1]]&lt;=AY$4),#REF!,AY917),"")</f>
        <v/>
      </c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6"/>
      <c r="BO918" s="26"/>
      <c r="BP918" s="26"/>
      <c r="BQ918" s="26"/>
      <c r="BR918" s="26"/>
      <c r="BS918" s="26"/>
      <c r="BT918" s="26"/>
      <c r="BU918" s="26"/>
      <c r="BV918" s="26"/>
      <c r="BW918" s="26"/>
      <c r="BX918" s="26"/>
      <c r="BY918" s="26"/>
      <c r="BZ918" s="26"/>
      <c r="CA918" s="26"/>
    </row>
    <row r="919" spans="1:79" ht="15.75" hidden="1">
      <c r="A919" s="109">
        <v>2.0000000000000003E-6</v>
      </c>
      <c r="B919" s="110">
        <f t="shared" si="56"/>
        <v>919</v>
      </c>
      <c r="C919" s="111" t="str">
        <f>IF(C$1=[1]!T.in.A[[#This Row],[oo2]],1,"")</f>
        <v/>
      </c>
      <c r="D919" s="112" t="str">
        <f>IF(Tab.o1[[#This Row],[a1]]=1,IF(SUM(C919:C920)=0,0,IF(SUM(C918:C919)=1,1,IF(SUM(C918:C920)&gt;1,D918+1,0))),"")</f>
        <v/>
      </c>
      <c r="E919" s="113" t="str">
        <f>IF(Tab.o1[[#This Row],[a1]]=1,[1]!T.in.A[[#This Row],[oo1]],"")</f>
        <v/>
      </c>
      <c r="F919" s="113" t="str">
        <f>IF(Tab.o1[[#This Row],[a1]]=1,[1]!T.in.A[[#This Row],[pp1]],"")</f>
        <v/>
      </c>
      <c r="G919" s="114" t="str">
        <f>IF(Tab.o1[[#This Row],[a1]]=1,G$2+IF(G$1=1,0,Tab.o1[[#This Row],[.x1]])+[1]!T.in.A[[#This Row],[oo3]],"")</f>
        <v/>
      </c>
      <c r="H919" s="115" t="str">
        <f>IF(Tab.o1[[#This Row],[a1]]=1,IF(H$2=0,0,IF(G$1=1,0,Tab.o1[[#This Row],[.x1]])+[1]!T.in.A[[#This Row],[oo4]]),"")</f>
        <v/>
      </c>
      <c r="I919" s="116" t="str">
        <f>IF(Tab.o1[[#This Row],[a1]]=1,IF(J$2=0,Tab.o1[[#This Row],[MED]],Tab.o1[[#This Row],[MOD]]),"")</f>
        <v/>
      </c>
      <c r="J919" s="116" t="str">
        <f>IF(Tab.o1[[#This Row],[a1]]=1,((Tab.o1[[#This Row],[DIF_Target.]]-AVERAGE(Tab.o1[DIF_Target.]))/_xlfn.STDEV.P(Tab.o1[DIF_Target.])),"")</f>
        <v/>
      </c>
      <c r="K919" s="117" t="str">
        <f>IF(Tab.o1[[#This Row],[a1]]=1,IF(J$2=0,Tab.o1[[#This Row],[MOD]]-Tab.o1[[#This Row],[B]],IF(J$2=1,0,-Tab.o1[[#This Row],[MED]])+Tab.o1[[#This Row],[B]]),"")</f>
        <v/>
      </c>
      <c r="L919" s="117" t="str">
        <f ca="1">IF(Tab.o1[[#This Row],[DIF_Target]]=0,IF(L$2=0,Tab.o1[[#This Row],[DIF_Target]],AVERAGE(OFFSET(Tab.o1[[#This Row],[DIF_Target]],1,0,L$3,1)))/3,Tab.o1[[#This Row],[DIF_Target]])</f>
        <v/>
      </c>
      <c r="M919" s="118" t="str">
        <f>IF(Tab.o1[[#This Row],[a1]]=1,NORMSDIST(Tab.o1[[#This Row],[Za]]),"")</f>
        <v/>
      </c>
      <c r="N919" s="119" t="str">
        <f>IF(Tab.o1[[#This Row],[a1]]=1,((Tab.o1[[#This Row],[MedMod]]-AVERAGE(Tab.o1[MedMod]))/_xlfn.STDEV.P(Tab.o1[MedMod])*H$1205)+G$1205,"")</f>
        <v/>
      </c>
      <c r="O919" s="141" t="str">
        <f>IF(Tab.o1[[#This Row],[a1]]=1,Tab.o1[[#This Row],[Zb]]*_xlfn.STDEV.P(Tab.o1[MedMod])+AVERAGE(Tab.o1[MedMod]),"")</f>
        <v/>
      </c>
      <c r="P919" s="117" t="str">
        <f ca="1">IF(Tab.o1[[#This Row],[B]]=0,AVERAGE(OFFSET(Tab.o1[[#This Row],[B]],1,0,L$3,1)),Tab.o1[[#This Row],[B]])</f>
        <v/>
      </c>
      <c r="Q919" s="121" t="str">
        <f>IF(Tab.o1[[#This Row],[a1]]=1,NORMSDIST(Tab.o1[[#This Row],[Zb]]),"")</f>
        <v/>
      </c>
      <c r="R919" s="122" t="str">
        <f>IF(Tab.o1[[#This Row],[a1]]=1,((Tab.o1[[#This Row],[MedMod]]-AVERAGE(Tab.o1[MedMod]))/_xlfn.STDEV.P(Tab.o1[MedMod])*H$1203)+G$1203,"")</f>
        <v/>
      </c>
      <c r="S919" s="122" t="str">
        <f>IF(Tab.o1[[#This Row],[a1]]=1,((Tab.o1[[#This Row],[MedMod]]-AVERAGE(Tab.o1[MedMod]))/_xlfn.STDEV.P(Tab.o1[MedMod])*H$1204)+G$1204,"")</f>
        <v/>
      </c>
      <c r="T919" s="123" t="str">
        <f>IF(Tab.o1[[#This Row],[a1]]=1,Tab.o1[[#This Row],[Z-]]*_xlfn.STDEV.P(Tab.o1[B])+AVERAGE(Tab.o1[B]),"")</f>
        <v/>
      </c>
      <c r="U919" s="123" t="str">
        <f>IF(Tab.o1[[#This Row],[a1]]=1,Tab.o1[[#This Row],[z+]]*_xlfn.STDEV.P(Tab.o1[B])+AVERAGE(Tab.o1[B]),"")</f>
        <v/>
      </c>
      <c r="V919" s="124" t="str">
        <f>IF(Tab.o1[[#This Row],[a1]]=1,ABS((ABS(Tab.o1[[#This Row],[Red]]-Tab.o1[[#This Row],[Blue]]))),"")</f>
        <v/>
      </c>
      <c r="W919" s="125" t="str">
        <f>IF(Tab.o1[[#This Row],[a1]]=1,IF(W$3=0,1,Tab.o1[[#This Row],[Amp.]]*1/_xlfn.MINIFS(Tab.o1[Amp.],Tab.o1[Amp.],"&lt;&gt;0")),"")</f>
        <v/>
      </c>
      <c r="X919" s="126" t="str">
        <f>IF(Tab.o1[[#This Row],[a1]]=1,IF(ISNUMBER(Tab.o1[[#This Row],[i.]]),NORMDIST(Tab.o1[[#This Row],[Za]],0,1,FALSE)*Tab.o1[[#This Row],[i.]],AP$3),"")</f>
        <v/>
      </c>
      <c r="Y919" s="126" t="str">
        <f>IF(Tab.o1[[#This Row],[a1]]=1,0.01+0.94*Tab.o1[[#This Row],[PDF]]/MAX(Tab.o1[PDF]),"")</f>
        <v/>
      </c>
      <c r="Z919" s="126" t="str">
        <f>IF(Tab.o1[[#This Row],[a1]]=1,0.01+0.94*Tab.o1[[#This Row],[W1_PDF]]/MAX(Tab.o1[W1_PDF]),"")</f>
        <v/>
      </c>
      <c r="AA919" s="118" t="str">
        <f>IF(Tab.o1[[#This Row],[a1]]=1,ABS([1]!T.in.A[[#This Row],[oo6]]),"")</f>
        <v/>
      </c>
      <c r="AB919" s="127" t="str">
        <f>IF(Tab.o1[[#This Row],[a1]]=1,IF(AE$3=0,"",IF(AB$3=0,ABS([1]!T.in.A[[#This Row],[oo9]]),ABS(Tab.o1[[#This Row],[DIF_Target.]]*Tab.o1[[#This Row],[W1_PDF]]))),"")</f>
        <v/>
      </c>
      <c r="AC919" s="127" t="str">
        <f>IF(G$1=1,"",IF(Tab.o1[[#This Row],[a1]]=1,Tab.o1[[#This Row],[Wr]]^2,""))</f>
        <v/>
      </c>
      <c r="AD919" s="118" t="str">
        <f>IF(Tab.o1[[#This Row],[a1]]=1,IF(AE$3=0,"",Tab.o1[[#This Row],[Wr2]]/SUM(Tab.o1[Wr2])),"")</f>
        <v/>
      </c>
      <c r="AE919" s="128" t="str">
        <f>IF(Tab.o1[[#This Row],[a1]]=1,[1]!T.in.A[[#This Row],[oo10]],"")</f>
        <v/>
      </c>
      <c r="AF919" s="118" t="str">
        <f>IF(Tab.o1[[#This Row],[a1]]=1,ABS(Tab.o1[[#This Row],[DIF_Target.]]*Tab.o1[[#This Row],[PDF2]]*Tab.o1[[#This Row],[IN]]),"")</f>
        <v/>
      </c>
      <c r="AG919" s="129" t="str">
        <f>IF(Tab.o1[[#This Row],[a1]]=1,Tab.o1[[#This Row],[rW]]^2,"")</f>
        <v/>
      </c>
      <c r="AH919" s="130" t="str">
        <f>IF(Tab.o1[[#This Row],[a1]]=1,IF(AH$3=0,Tab.o1[[#This Row],[rW2]],0.01+0.94*Tab.o1[[#This Row],[rW2]]/SUM(Tab.o1[rW2])),"")</f>
        <v/>
      </c>
      <c r="AI919" s="128" t="str">
        <f>IF(Tab.o1[[#This Row],[a1]]=1,1/Tab.o1[[#This Row],[PDF]],"")</f>
        <v/>
      </c>
      <c r="AJ919" s="131" t="str">
        <f>IF(Tab.o1[[#This Row],[a1]]=1,[1]!T_AA[[#This Row],[IN'']]*[1]!T_AA[[#This Row],[Qde'']],"")</f>
        <v/>
      </c>
      <c r="AK919" s="132" t="str">
        <f>IF(Tab.o1[[#This Row],[a1]]=1,IF(AK$1=1,Tab.o1[[#This Row],[MED]]+Tab.o1[[#This Row],[MOD]]-Tab.o1[[#This Row],[MED]],""),"")</f>
        <v/>
      </c>
      <c r="AL919" s="133" t="str">
        <f>IF(Tab.o1[[#This Row],[a1]]=1,[1]!T.in.A[[#This Row],[oo16]],"")</f>
        <v/>
      </c>
      <c r="AM919" s="133" t="str">
        <f>IF(Tab.o1[[#This Row],[a1]]=1,IF(AM$3=1,[1]!T.in.A[[#This Row],[Σo16]],""),"")</f>
        <v/>
      </c>
      <c r="AN919" s="126" t="str">
        <f>IF(Tab.o1[[#This Row],[a1]]=1,[1]!T.in.A[[#This Row],[Σp5]],"")</f>
        <v/>
      </c>
      <c r="AO919" s="126" t="str">
        <f>IF(Tab.o1[[#This Row],[a1]]=1,IF(AO$3=1,[1]!T.in.A[[#This Row],[Σp5]],""),"")</f>
        <v/>
      </c>
      <c r="AP919" s="110" t="str">
        <f>IF(Tab.o1[[#This Row],[a1]]=1,IF(ISNUMBER(Tab.o1[[#This Row],[i.]]),NORMDIST(Tab.o1[[#This Row],[Za]],0,1,FALSE)*Tab.o1[[#This Row],[i.]],0),"")</f>
        <v/>
      </c>
      <c r="AQ919" s="125" t="str">
        <f>IF(Tab.o1[[#This Row],[a1]]=1,ABS(Tab.o1[[#This Row],[MOD]]-AVERAGE(Tab.o1[MOD])),"")</f>
        <v/>
      </c>
      <c r="AR919" s="134" t="str">
        <f>IF(Tab.o1[[#This Row],[a1]]=1,Tab.o1[[#This Row],[OBS]]/SUM(Tab.o1[OBS]),"")</f>
        <v/>
      </c>
      <c r="AS919" s="135" t="str">
        <f>IF(ISNUMBER(Tab.o1[[#This Row],[a1]]),ROW()-4,"")</f>
        <v/>
      </c>
      <c r="AT919" s="136" t="str">
        <f>Tab.o1[[#This Row],[MOD]]</f>
        <v/>
      </c>
      <c r="AU919" s="137" t="str">
        <f t="shared" si="57"/>
        <v/>
      </c>
      <c r="AV919" s="138" t="str">
        <f t="shared" si="58"/>
        <v/>
      </c>
      <c r="AW919" s="138" t="str">
        <f t="shared" si="59"/>
        <v/>
      </c>
      <c r="AX919" s="139" t="str">
        <f>[1]!T.in.A[[#This Row],[ID_T_manu]]</f>
        <v/>
      </c>
      <c r="AY919" s="140" t="str">
        <f>IF(ISNUMBER(Tab.o1[[#This Row],[a1]]),IF(AND(Tab.o1[[#This Row],[a1]]=1,Tab.o1[[#This Row],[b1]]&lt;=AY$4),#REF!,AY918),"")</f>
        <v/>
      </c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6"/>
      <c r="BO919" s="26"/>
      <c r="BP919" s="26"/>
      <c r="BQ919" s="26"/>
      <c r="BR919" s="26"/>
      <c r="BS919" s="26"/>
      <c r="BT919" s="26"/>
      <c r="BU919" s="26"/>
      <c r="BV919" s="26"/>
      <c r="BW919" s="26"/>
      <c r="BX919" s="26"/>
      <c r="BY919" s="26"/>
      <c r="BZ919" s="26"/>
      <c r="CA919" s="26"/>
    </row>
    <row r="920" spans="1:79" ht="15.75" hidden="1">
      <c r="A920" s="109">
        <v>1.0000000000000002E-6</v>
      </c>
      <c r="B920" s="110">
        <f t="shared" si="56"/>
        <v>920</v>
      </c>
      <c r="C920" s="111" t="str">
        <f>IF(C$1=[1]!T.in.A[[#This Row],[oo2]],1,"")</f>
        <v/>
      </c>
      <c r="D920" s="112" t="str">
        <f>IF(Tab.o1[[#This Row],[a1]]=1,IF(SUM(C920:C921)=0,0,IF(SUM(C919:C920)=1,1,IF(SUM(C919:C921)&gt;1,D919+1,0))),"")</f>
        <v/>
      </c>
      <c r="E920" s="113" t="str">
        <f>IF(Tab.o1[[#This Row],[a1]]=1,[1]!T.in.A[[#This Row],[oo1]],"")</f>
        <v/>
      </c>
      <c r="F920" s="113" t="str">
        <f>IF(Tab.o1[[#This Row],[a1]]=1,[1]!T.in.A[[#This Row],[pp1]],"")</f>
        <v/>
      </c>
      <c r="G920" s="114" t="str">
        <f>IF(Tab.o1[[#This Row],[a1]]=1,G$2+IF(G$1=1,0,Tab.o1[[#This Row],[.x1]])+[1]!T.in.A[[#This Row],[oo3]],"")</f>
        <v/>
      </c>
      <c r="H920" s="115" t="str">
        <f>IF(Tab.o1[[#This Row],[a1]]=1,IF(H$2=0,0,IF(G$1=1,0,Tab.o1[[#This Row],[.x1]])+[1]!T.in.A[[#This Row],[oo4]]),"")</f>
        <v/>
      </c>
      <c r="I920" s="116" t="str">
        <f>IF(Tab.o1[[#This Row],[a1]]=1,IF(J$2=0,Tab.o1[[#This Row],[MED]],Tab.o1[[#This Row],[MOD]]),"")</f>
        <v/>
      </c>
      <c r="J920" s="116" t="str">
        <f>IF(Tab.o1[[#This Row],[a1]]=1,((Tab.o1[[#This Row],[DIF_Target.]]-AVERAGE(Tab.o1[DIF_Target.]))/_xlfn.STDEV.P(Tab.o1[DIF_Target.])),"")</f>
        <v/>
      </c>
      <c r="K920" s="117" t="str">
        <f>IF(Tab.o1[[#This Row],[a1]]=1,IF(J$2=0,Tab.o1[[#This Row],[MOD]]-Tab.o1[[#This Row],[B]],IF(J$2=1,0,-Tab.o1[[#This Row],[MED]])+Tab.o1[[#This Row],[B]]),"")</f>
        <v/>
      </c>
      <c r="L920" s="117" t="str">
        <f ca="1">IF(Tab.o1[[#This Row],[DIF_Target]]=0,IF(L$2=0,Tab.o1[[#This Row],[DIF_Target]],AVERAGE(OFFSET(Tab.o1[[#This Row],[DIF_Target]],1,0,L$3,1)))/3,Tab.o1[[#This Row],[DIF_Target]])</f>
        <v/>
      </c>
      <c r="M920" s="118" t="str">
        <f>IF(Tab.o1[[#This Row],[a1]]=1,NORMSDIST(Tab.o1[[#This Row],[Za]]),"")</f>
        <v/>
      </c>
      <c r="N920" s="119" t="str">
        <f>IF(Tab.o1[[#This Row],[a1]]=1,((Tab.o1[[#This Row],[MedMod]]-AVERAGE(Tab.o1[MedMod]))/_xlfn.STDEV.P(Tab.o1[MedMod])*H$1205)+G$1205,"")</f>
        <v/>
      </c>
      <c r="O920" s="141" t="str">
        <f>IF(Tab.o1[[#This Row],[a1]]=1,Tab.o1[[#This Row],[Zb]]*_xlfn.STDEV.P(Tab.o1[MedMod])+AVERAGE(Tab.o1[MedMod]),"")</f>
        <v/>
      </c>
      <c r="P920" s="117" t="str">
        <f ca="1">IF(Tab.o1[[#This Row],[B]]=0,AVERAGE(OFFSET(Tab.o1[[#This Row],[B]],1,0,L$3,1)),Tab.o1[[#This Row],[B]])</f>
        <v/>
      </c>
      <c r="Q920" s="121" t="str">
        <f>IF(Tab.o1[[#This Row],[a1]]=1,NORMSDIST(Tab.o1[[#This Row],[Zb]]),"")</f>
        <v/>
      </c>
      <c r="R920" s="122" t="str">
        <f>IF(Tab.o1[[#This Row],[a1]]=1,((Tab.o1[[#This Row],[MedMod]]-AVERAGE(Tab.o1[MedMod]))/_xlfn.STDEV.P(Tab.o1[MedMod])*H$1203)+G$1203,"")</f>
        <v/>
      </c>
      <c r="S920" s="122" t="str">
        <f>IF(Tab.o1[[#This Row],[a1]]=1,((Tab.o1[[#This Row],[MedMod]]-AVERAGE(Tab.o1[MedMod]))/_xlfn.STDEV.P(Tab.o1[MedMod])*H$1204)+G$1204,"")</f>
        <v/>
      </c>
      <c r="T920" s="123" t="str">
        <f>IF(Tab.o1[[#This Row],[a1]]=1,Tab.o1[[#This Row],[Z-]]*_xlfn.STDEV.P(Tab.o1[B])+AVERAGE(Tab.o1[B]),"")</f>
        <v/>
      </c>
      <c r="U920" s="123" t="str">
        <f>IF(Tab.o1[[#This Row],[a1]]=1,Tab.o1[[#This Row],[z+]]*_xlfn.STDEV.P(Tab.o1[B])+AVERAGE(Tab.o1[B]),"")</f>
        <v/>
      </c>
      <c r="V920" s="124" t="str">
        <f>IF(Tab.o1[[#This Row],[a1]]=1,ABS((ABS(Tab.o1[[#This Row],[Red]]-Tab.o1[[#This Row],[Blue]]))),"")</f>
        <v/>
      </c>
      <c r="W920" s="125" t="str">
        <f>IF(Tab.o1[[#This Row],[a1]]=1,IF(W$3=0,1,Tab.o1[[#This Row],[Amp.]]*1/_xlfn.MINIFS(Tab.o1[Amp.],Tab.o1[Amp.],"&lt;&gt;0")),"")</f>
        <v/>
      </c>
      <c r="X920" s="126" t="str">
        <f>IF(Tab.o1[[#This Row],[a1]]=1,IF(ISNUMBER(Tab.o1[[#This Row],[i.]]),NORMDIST(Tab.o1[[#This Row],[Za]],0,1,FALSE)*Tab.o1[[#This Row],[i.]],AP$3),"")</f>
        <v/>
      </c>
      <c r="Y920" s="126" t="str">
        <f>IF(Tab.o1[[#This Row],[a1]]=1,0.01+0.94*Tab.o1[[#This Row],[PDF]]/MAX(Tab.o1[PDF]),"")</f>
        <v/>
      </c>
      <c r="Z920" s="126" t="str">
        <f>IF(Tab.o1[[#This Row],[a1]]=1,0.01+0.94*Tab.o1[[#This Row],[W1_PDF]]/MAX(Tab.o1[W1_PDF]),"")</f>
        <v/>
      </c>
      <c r="AA920" s="118" t="str">
        <f>IF(Tab.o1[[#This Row],[a1]]=1,ABS([1]!T.in.A[[#This Row],[oo6]]),"")</f>
        <v/>
      </c>
      <c r="AB920" s="127" t="str">
        <f>IF(Tab.o1[[#This Row],[a1]]=1,IF(AE$3=0,"",IF(AB$3=0,ABS([1]!T.in.A[[#This Row],[oo9]]),ABS(Tab.o1[[#This Row],[DIF_Target.]]*Tab.o1[[#This Row],[W1_PDF]]))),"")</f>
        <v/>
      </c>
      <c r="AC920" s="127" t="str">
        <f>IF(G$1=1,"",IF(Tab.o1[[#This Row],[a1]]=1,Tab.o1[[#This Row],[Wr]]^2,""))</f>
        <v/>
      </c>
      <c r="AD920" s="118" t="str">
        <f>IF(Tab.o1[[#This Row],[a1]]=1,IF(AE$3=0,"",Tab.o1[[#This Row],[Wr2]]/SUM(Tab.o1[Wr2])),"")</f>
        <v/>
      </c>
      <c r="AE920" s="128" t="str">
        <f>IF(Tab.o1[[#This Row],[a1]]=1,[1]!T.in.A[[#This Row],[oo10]],"")</f>
        <v/>
      </c>
      <c r="AF920" s="118" t="str">
        <f>IF(Tab.o1[[#This Row],[a1]]=1,ABS(Tab.o1[[#This Row],[DIF_Target.]]*Tab.o1[[#This Row],[PDF2]]*Tab.o1[[#This Row],[IN]]),"")</f>
        <v/>
      </c>
      <c r="AG920" s="129" t="str">
        <f>IF(Tab.o1[[#This Row],[a1]]=1,Tab.o1[[#This Row],[rW]]^2,"")</f>
        <v/>
      </c>
      <c r="AH920" s="130" t="str">
        <f>IF(Tab.o1[[#This Row],[a1]]=1,IF(AH$3=0,Tab.o1[[#This Row],[rW2]],0.01+0.94*Tab.o1[[#This Row],[rW2]]/SUM(Tab.o1[rW2])),"")</f>
        <v/>
      </c>
      <c r="AI920" s="128" t="str">
        <f>IF(Tab.o1[[#This Row],[a1]]=1,1/Tab.o1[[#This Row],[PDF]],"")</f>
        <v/>
      </c>
      <c r="AJ920" s="131" t="str">
        <f>IF(Tab.o1[[#This Row],[a1]]=1,[1]!T_AA[[#This Row],[IN'']]*[1]!T_AA[[#This Row],[Qde'']],"")</f>
        <v/>
      </c>
      <c r="AK920" s="132" t="str">
        <f>IF(Tab.o1[[#This Row],[a1]]=1,IF(AK$1=1,Tab.o1[[#This Row],[MED]]+Tab.o1[[#This Row],[MOD]]-Tab.o1[[#This Row],[MED]],""),"")</f>
        <v/>
      </c>
      <c r="AL920" s="133" t="str">
        <f>IF(Tab.o1[[#This Row],[a1]]=1,[1]!T.in.A[[#This Row],[oo16]],"")</f>
        <v/>
      </c>
      <c r="AM920" s="133" t="str">
        <f>IF(Tab.o1[[#This Row],[a1]]=1,IF(AM$3=1,[1]!T.in.A[[#This Row],[Σo16]],""),"")</f>
        <v/>
      </c>
      <c r="AN920" s="126" t="str">
        <f>IF(Tab.o1[[#This Row],[a1]]=1,[1]!T.in.A[[#This Row],[Σp5]],"")</f>
        <v/>
      </c>
      <c r="AO920" s="126" t="str">
        <f>IF(Tab.o1[[#This Row],[a1]]=1,IF(AO$3=1,[1]!T.in.A[[#This Row],[Σp5]],""),"")</f>
        <v/>
      </c>
      <c r="AP920" s="110" t="str">
        <f>IF(Tab.o1[[#This Row],[a1]]=1,IF(ISNUMBER(Tab.o1[[#This Row],[i.]]),NORMDIST(Tab.o1[[#This Row],[Za]],0,1,FALSE)*Tab.o1[[#This Row],[i.]],0),"")</f>
        <v/>
      </c>
      <c r="AQ920" s="125" t="str">
        <f>IF(Tab.o1[[#This Row],[a1]]=1,ABS(Tab.o1[[#This Row],[MOD]]-AVERAGE(Tab.o1[MOD])),"")</f>
        <v/>
      </c>
      <c r="AR920" s="134" t="str">
        <f>IF(Tab.o1[[#This Row],[a1]]=1,Tab.o1[[#This Row],[OBS]]/SUM(Tab.o1[OBS]),"")</f>
        <v/>
      </c>
      <c r="AS920" s="135" t="str">
        <f>IF(ISNUMBER(Tab.o1[[#This Row],[a1]]),ROW()-4,"")</f>
        <v/>
      </c>
      <c r="AT920" s="136" t="str">
        <f>Tab.o1[[#This Row],[MOD]]</f>
        <v/>
      </c>
      <c r="AU920" s="137" t="str">
        <f t="shared" si="57"/>
        <v/>
      </c>
      <c r="AV920" s="138" t="str">
        <f t="shared" si="58"/>
        <v/>
      </c>
      <c r="AW920" s="138" t="str">
        <f t="shared" si="59"/>
        <v/>
      </c>
      <c r="AX920" s="139" t="str">
        <f>[1]!T.in.A[[#This Row],[ID_T_manu]]</f>
        <v/>
      </c>
      <c r="AY920" s="140" t="str">
        <f>IF(ISNUMBER(Tab.o1[[#This Row],[a1]]),IF(AND(Tab.o1[[#This Row],[a1]]=1,Tab.o1[[#This Row],[b1]]&lt;=AY$4),#REF!,AY919),"")</f>
        <v/>
      </c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6"/>
      <c r="BO920" s="26"/>
      <c r="BP920" s="26"/>
      <c r="BQ920" s="26"/>
      <c r="BR920" s="26"/>
      <c r="BS920" s="26"/>
      <c r="BT920" s="26"/>
      <c r="BU920" s="26"/>
      <c r="BV920" s="26"/>
      <c r="BW920" s="26"/>
      <c r="BX920" s="26"/>
      <c r="BY920" s="26"/>
      <c r="BZ920" s="26"/>
      <c r="CA920" s="26"/>
    </row>
    <row r="921" spans="1:79" ht="15.75" hidden="1">
      <c r="A921" s="109">
        <v>1.0000000000000001E-5</v>
      </c>
      <c r="B921" s="110">
        <f t="shared" si="56"/>
        <v>921</v>
      </c>
      <c r="C921" s="111" t="str">
        <f>IF(C$1=[1]!T.in.A[[#This Row],[oo2]],1,"")</f>
        <v/>
      </c>
      <c r="D921" s="112" t="str">
        <f>IF(Tab.o1[[#This Row],[a1]]=1,IF(SUM(C921:C922)=0,0,IF(SUM(C920:C921)=1,1,IF(SUM(C920:C922)&gt;1,D920+1,0))),"")</f>
        <v/>
      </c>
      <c r="E921" s="113" t="str">
        <f>IF(Tab.o1[[#This Row],[a1]]=1,[1]!T.in.A[[#This Row],[oo1]],"")</f>
        <v/>
      </c>
      <c r="F921" s="113" t="str">
        <f>IF(Tab.o1[[#This Row],[a1]]=1,[1]!T.in.A[[#This Row],[pp1]],"")</f>
        <v/>
      </c>
      <c r="G921" s="114" t="str">
        <f>IF(Tab.o1[[#This Row],[a1]]=1,G$2+IF(G$1=1,0,Tab.o1[[#This Row],[.x1]])+[1]!T.in.A[[#This Row],[oo3]],"")</f>
        <v/>
      </c>
      <c r="H921" s="115" t="str">
        <f>IF(Tab.o1[[#This Row],[a1]]=1,IF(H$2=0,0,IF(G$1=1,0,Tab.o1[[#This Row],[.x1]])+[1]!T.in.A[[#This Row],[oo4]]),"")</f>
        <v/>
      </c>
      <c r="I921" s="116" t="str">
        <f>IF(Tab.o1[[#This Row],[a1]]=1,IF(J$2=0,Tab.o1[[#This Row],[MED]],Tab.o1[[#This Row],[MOD]]),"")</f>
        <v/>
      </c>
      <c r="J921" s="116" t="str">
        <f>IF(Tab.o1[[#This Row],[a1]]=1,((Tab.o1[[#This Row],[DIF_Target.]]-AVERAGE(Tab.o1[DIF_Target.]))/_xlfn.STDEV.P(Tab.o1[DIF_Target.])),"")</f>
        <v/>
      </c>
      <c r="K921" s="117" t="str">
        <f>IF(Tab.o1[[#This Row],[a1]]=1,IF(J$2=0,Tab.o1[[#This Row],[MOD]]-Tab.o1[[#This Row],[B]],IF(J$2=1,0,-Tab.o1[[#This Row],[MED]])+Tab.o1[[#This Row],[B]]),"")</f>
        <v/>
      </c>
      <c r="L921" s="117" t="str">
        <f ca="1">IF(Tab.o1[[#This Row],[DIF_Target]]=0,IF(L$2=0,Tab.o1[[#This Row],[DIF_Target]],AVERAGE(OFFSET(Tab.o1[[#This Row],[DIF_Target]],1,0,L$3,1)))/3,Tab.o1[[#This Row],[DIF_Target]])</f>
        <v/>
      </c>
      <c r="M921" s="118" t="str">
        <f>IF(Tab.o1[[#This Row],[a1]]=1,NORMSDIST(Tab.o1[[#This Row],[Za]]),"")</f>
        <v/>
      </c>
      <c r="N921" s="119" t="str">
        <f>IF(Tab.o1[[#This Row],[a1]]=1,((Tab.o1[[#This Row],[MedMod]]-AVERAGE(Tab.o1[MedMod]))/_xlfn.STDEV.P(Tab.o1[MedMod])*H$1205)+G$1205,"")</f>
        <v/>
      </c>
      <c r="O921" s="141" t="str">
        <f>IF(Tab.o1[[#This Row],[a1]]=1,Tab.o1[[#This Row],[Zb]]*_xlfn.STDEV.P(Tab.o1[MedMod])+AVERAGE(Tab.o1[MedMod]),"")</f>
        <v/>
      </c>
      <c r="P921" s="117" t="str">
        <f ca="1">IF(Tab.o1[[#This Row],[B]]=0,AVERAGE(OFFSET(Tab.o1[[#This Row],[B]],1,0,L$3,1)),Tab.o1[[#This Row],[B]])</f>
        <v/>
      </c>
      <c r="Q921" s="121" t="str">
        <f>IF(Tab.o1[[#This Row],[a1]]=1,NORMSDIST(Tab.o1[[#This Row],[Zb]]),"")</f>
        <v/>
      </c>
      <c r="R921" s="122" t="str">
        <f>IF(Tab.o1[[#This Row],[a1]]=1,((Tab.o1[[#This Row],[MedMod]]-AVERAGE(Tab.o1[MedMod]))/_xlfn.STDEV.P(Tab.o1[MedMod])*H$1203)+G$1203,"")</f>
        <v/>
      </c>
      <c r="S921" s="122" t="str">
        <f>IF(Tab.o1[[#This Row],[a1]]=1,((Tab.o1[[#This Row],[MedMod]]-AVERAGE(Tab.o1[MedMod]))/_xlfn.STDEV.P(Tab.o1[MedMod])*H$1204)+G$1204,"")</f>
        <v/>
      </c>
      <c r="T921" s="123" t="str">
        <f>IF(Tab.o1[[#This Row],[a1]]=1,Tab.o1[[#This Row],[Z-]]*_xlfn.STDEV.P(Tab.o1[B])+AVERAGE(Tab.o1[B]),"")</f>
        <v/>
      </c>
      <c r="U921" s="123" t="str">
        <f>IF(Tab.o1[[#This Row],[a1]]=1,Tab.o1[[#This Row],[z+]]*_xlfn.STDEV.P(Tab.o1[B])+AVERAGE(Tab.o1[B]),"")</f>
        <v/>
      </c>
      <c r="V921" s="124" t="str">
        <f>IF(Tab.o1[[#This Row],[a1]]=1,ABS((ABS(Tab.o1[[#This Row],[Red]]-Tab.o1[[#This Row],[Blue]]))),"")</f>
        <v/>
      </c>
      <c r="W921" s="125" t="str">
        <f>IF(Tab.o1[[#This Row],[a1]]=1,IF(W$3=0,1,Tab.o1[[#This Row],[Amp.]]*1/_xlfn.MINIFS(Tab.o1[Amp.],Tab.o1[Amp.],"&lt;&gt;0")),"")</f>
        <v/>
      </c>
      <c r="X921" s="126" t="str">
        <f>IF(Tab.o1[[#This Row],[a1]]=1,IF(ISNUMBER(Tab.o1[[#This Row],[i.]]),NORMDIST(Tab.o1[[#This Row],[Za]],0,1,FALSE)*Tab.o1[[#This Row],[i.]],AP$3),"")</f>
        <v/>
      </c>
      <c r="Y921" s="126" t="str">
        <f>IF(Tab.o1[[#This Row],[a1]]=1,0.01+0.94*Tab.o1[[#This Row],[PDF]]/MAX(Tab.o1[PDF]),"")</f>
        <v/>
      </c>
      <c r="Z921" s="126" t="str">
        <f>IF(Tab.o1[[#This Row],[a1]]=1,0.01+0.94*Tab.o1[[#This Row],[W1_PDF]]/MAX(Tab.o1[W1_PDF]),"")</f>
        <v/>
      </c>
      <c r="AA921" s="118" t="str">
        <f>IF(Tab.o1[[#This Row],[a1]]=1,ABS([1]!T.in.A[[#This Row],[oo6]]),"")</f>
        <v/>
      </c>
      <c r="AB921" s="127" t="str">
        <f>IF(Tab.o1[[#This Row],[a1]]=1,IF(AE$3=0,"",IF(AB$3=0,ABS([1]!T.in.A[[#This Row],[oo9]]),ABS(Tab.o1[[#This Row],[DIF_Target.]]*Tab.o1[[#This Row],[W1_PDF]]))),"")</f>
        <v/>
      </c>
      <c r="AC921" s="127" t="str">
        <f>IF(G$1=1,"",IF(Tab.o1[[#This Row],[a1]]=1,Tab.o1[[#This Row],[Wr]]^2,""))</f>
        <v/>
      </c>
      <c r="AD921" s="118" t="str">
        <f>IF(Tab.o1[[#This Row],[a1]]=1,IF(AE$3=0,"",Tab.o1[[#This Row],[Wr2]]/SUM(Tab.o1[Wr2])),"")</f>
        <v/>
      </c>
      <c r="AE921" s="128" t="str">
        <f>IF(Tab.o1[[#This Row],[a1]]=1,[1]!T.in.A[[#This Row],[oo10]],"")</f>
        <v/>
      </c>
      <c r="AF921" s="118" t="str">
        <f>IF(Tab.o1[[#This Row],[a1]]=1,ABS(Tab.o1[[#This Row],[DIF_Target.]]*Tab.o1[[#This Row],[PDF2]]*Tab.o1[[#This Row],[IN]]),"")</f>
        <v/>
      </c>
      <c r="AG921" s="129" t="str">
        <f>IF(Tab.o1[[#This Row],[a1]]=1,Tab.o1[[#This Row],[rW]]^2,"")</f>
        <v/>
      </c>
      <c r="AH921" s="130" t="str">
        <f>IF(Tab.o1[[#This Row],[a1]]=1,IF(AH$3=0,Tab.o1[[#This Row],[rW2]],0.01+0.94*Tab.o1[[#This Row],[rW2]]/SUM(Tab.o1[rW2])),"")</f>
        <v/>
      </c>
      <c r="AI921" s="128" t="str">
        <f>IF(Tab.o1[[#This Row],[a1]]=1,1/Tab.o1[[#This Row],[PDF]],"")</f>
        <v/>
      </c>
      <c r="AJ921" s="131" t="str">
        <f>IF(Tab.o1[[#This Row],[a1]]=1,[1]!T_AA[[#This Row],[IN'']]*[1]!T_AA[[#This Row],[Qde'']],"")</f>
        <v/>
      </c>
      <c r="AK921" s="132" t="str">
        <f>IF(Tab.o1[[#This Row],[a1]]=1,IF(AK$1=1,Tab.o1[[#This Row],[MED]]+Tab.o1[[#This Row],[MOD]]-Tab.o1[[#This Row],[MED]],""),"")</f>
        <v/>
      </c>
      <c r="AL921" s="133" t="str">
        <f>IF(Tab.o1[[#This Row],[a1]]=1,[1]!T.in.A[[#This Row],[oo16]],"")</f>
        <v/>
      </c>
      <c r="AM921" s="133" t="str">
        <f>IF(Tab.o1[[#This Row],[a1]]=1,IF(AM$3=1,[1]!T.in.A[[#This Row],[Σo16]],""),"")</f>
        <v/>
      </c>
      <c r="AN921" s="126" t="str">
        <f>IF(Tab.o1[[#This Row],[a1]]=1,[1]!T.in.A[[#This Row],[Σp5]],"")</f>
        <v/>
      </c>
      <c r="AO921" s="126" t="str">
        <f>IF(Tab.o1[[#This Row],[a1]]=1,IF(AO$3=1,[1]!T.in.A[[#This Row],[Σp5]],""),"")</f>
        <v/>
      </c>
      <c r="AP921" s="110" t="str">
        <f>IF(Tab.o1[[#This Row],[a1]]=1,IF(ISNUMBER(Tab.o1[[#This Row],[i.]]),NORMDIST(Tab.o1[[#This Row],[Za]],0,1,FALSE)*Tab.o1[[#This Row],[i.]],0),"")</f>
        <v/>
      </c>
      <c r="AQ921" s="125" t="str">
        <f>IF(Tab.o1[[#This Row],[a1]]=1,ABS(Tab.o1[[#This Row],[MOD]]-AVERAGE(Tab.o1[MOD])),"")</f>
        <v/>
      </c>
      <c r="AR921" s="134" t="str">
        <f>IF(Tab.o1[[#This Row],[a1]]=1,Tab.o1[[#This Row],[OBS]]/SUM(Tab.o1[OBS]),"")</f>
        <v/>
      </c>
      <c r="AS921" s="135" t="str">
        <f>IF(ISNUMBER(Tab.o1[[#This Row],[a1]]),ROW()-4,"")</f>
        <v/>
      </c>
      <c r="AT921" s="136" t="str">
        <f>Tab.o1[[#This Row],[MOD]]</f>
        <v/>
      </c>
      <c r="AU921" s="137" t="str">
        <f t="shared" si="57"/>
        <v/>
      </c>
      <c r="AV921" s="138" t="str">
        <f t="shared" si="58"/>
        <v/>
      </c>
      <c r="AW921" s="138" t="str">
        <f t="shared" si="59"/>
        <v/>
      </c>
      <c r="AX921" s="139" t="str">
        <f>[1]!T.in.A[[#This Row],[ID_T_manu]]</f>
        <v/>
      </c>
      <c r="AY921" s="140" t="str">
        <f>IF(ISNUMBER(Tab.o1[[#This Row],[a1]]),IF(AND(Tab.o1[[#This Row],[a1]]=1,Tab.o1[[#This Row],[b1]]&lt;=AY$4),#REF!,AY920),"")</f>
        <v/>
      </c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6"/>
      <c r="BO921" s="26"/>
      <c r="BP921" s="26"/>
      <c r="BQ921" s="26"/>
      <c r="BR921" s="26"/>
      <c r="BS921" s="26"/>
      <c r="BT921" s="26"/>
      <c r="BU921" s="26"/>
      <c r="BV921" s="26"/>
      <c r="BW921" s="26"/>
      <c r="BX921" s="26"/>
      <c r="BY921" s="26"/>
      <c r="BZ921" s="26"/>
      <c r="CA921" s="26"/>
    </row>
    <row r="922" spans="1:79" ht="15.75" hidden="1">
      <c r="A922" s="109">
        <v>-9.0000000000000002E-6</v>
      </c>
      <c r="B922" s="110">
        <f t="shared" si="56"/>
        <v>922</v>
      </c>
      <c r="C922" s="111" t="str">
        <f>IF(C$1=[1]!T.in.A[[#This Row],[oo2]],1,"")</f>
        <v/>
      </c>
      <c r="D922" s="112" t="str">
        <f>IF(Tab.o1[[#This Row],[a1]]=1,IF(SUM(C922:C923)=0,0,IF(SUM(C921:C922)=1,1,IF(SUM(C921:C923)&gt;1,D921+1,0))),"")</f>
        <v/>
      </c>
      <c r="E922" s="113" t="str">
        <f>IF(Tab.o1[[#This Row],[a1]]=1,[1]!T.in.A[[#This Row],[oo1]],"")</f>
        <v/>
      </c>
      <c r="F922" s="113" t="str">
        <f>IF(Tab.o1[[#This Row],[a1]]=1,[1]!T.in.A[[#This Row],[pp1]],"")</f>
        <v/>
      </c>
      <c r="G922" s="114" t="str">
        <f>IF(Tab.o1[[#This Row],[a1]]=1,G$2+IF(G$1=1,0,Tab.o1[[#This Row],[.x1]])+[1]!T.in.A[[#This Row],[oo3]],"")</f>
        <v/>
      </c>
      <c r="H922" s="115" t="str">
        <f>IF(Tab.o1[[#This Row],[a1]]=1,IF(H$2=0,0,IF(G$1=1,0,Tab.o1[[#This Row],[.x1]])+[1]!T.in.A[[#This Row],[oo4]]),"")</f>
        <v/>
      </c>
      <c r="I922" s="116" t="str">
        <f>IF(Tab.o1[[#This Row],[a1]]=1,IF(J$2=0,Tab.o1[[#This Row],[MED]],Tab.o1[[#This Row],[MOD]]),"")</f>
        <v/>
      </c>
      <c r="J922" s="116" t="str">
        <f>IF(Tab.o1[[#This Row],[a1]]=1,((Tab.o1[[#This Row],[DIF_Target.]]-AVERAGE(Tab.o1[DIF_Target.]))/_xlfn.STDEV.P(Tab.o1[DIF_Target.])),"")</f>
        <v/>
      </c>
      <c r="K922" s="117" t="str">
        <f>IF(Tab.o1[[#This Row],[a1]]=1,IF(J$2=0,Tab.o1[[#This Row],[MOD]]-Tab.o1[[#This Row],[B]],IF(J$2=1,0,-Tab.o1[[#This Row],[MED]])+Tab.o1[[#This Row],[B]]),"")</f>
        <v/>
      </c>
      <c r="L922" s="117" t="str">
        <f ca="1">IF(Tab.o1[[#This Row],[DIF_Target]]=0,IF(L$2=0,Tab.o1[[#This Row],[DIF_Target]],AVERAGE(OFFSET(Tab.o1[[#This Row],[DIF_Target]],1,0,L$3,1)))/3,Tab.o1[[#This Row],[DIF_Target]])</f>
        <v/>
      </c>
      <c r="M922" s="118" t="str">
        <f>IF(Tab.o1[[#This Row],[a1]]=1,NORMSDIST(Tab.o1[[#This Row],[Za]]),"")</f>
        <v/>
      </c>
      <c r="N922" s="119" t="str">
        <f>IF(Tab.o1[[#This Row],[a1]]=1,((Tab.o1[[#This Row],[MedMod]]-AVERAGE(Tab.o1[MedMod]))/_xlfn.STDEV.P(Tab.o1[MedMod])*H$1205)+G$1205,"")</f>
        <v/>
      </c>
      <c r="O922" s="141" t="str">
        <f>IF(Tab.o1[[#This Row],[a1]]=1,Tab.o1[[#This Row],[Zb]]*_xlfn.STDEV.P(Tab.o1[MedMod])+AVERAGE(Tab.o1[MedMod]),"")</f>
        <v/>
      </c>
      <c r="P922" s="117" t="str">
        <f ca="1">IF(Tab.o1[[#This Row],[B]]=0,AVERAGE(OFFSET(Tab.o1[[#This Row],[B]],1,0,L$3,1)),Tab.o1[[#This Row],[B]])</f>
        <v/>
      </c>
      <c r="Q922" s="121" t="str">
        <f>IF(Tab.o1[[#This Row],[a1]]=1,NORMSDIST(Tab.o1[[#This Row],[Zb]]),"")</f>
        <v/>
      </c>
      <c r="R922" s="122" t="str">
        <f>IF(Tab.o1[[#This Row],[a1]]=1,((Tab.o1[[#This Row],[MedMod]]-AVERAGE(Tab.o1[MedMod]))/_xlfn.STDEV.P(Tab.o1[MedMod])*H$1203)+G$1203,"")</f>
        <v/>
      </c>
      <c r="S922" s="122" t="str">
        <f>IF(Tab.o1[[#This Row],[a1]]=1,((Tab.o1[[#This Row],[MedMod]]-AVERAGE(Tab.o1[MedMod]))/_xlfn.STDEV.P(Tab.o1[MedMod])*H$1204)+G$1204,"")</f>
        <v/>
      </c>
      <c r="T922" s="123" t="str">
        <f>IF(Tab.o1[[#This Row],[a1]]=1,Tab.o1[[#This Row],[Z-]]*_xlfn.STDEV.P(Tab.o1[B])+AVERAGE(Tab.o1[B]),"")</f>
        <v/>
      </c>
      <c r="U922" s="123" t="str">
        <f>IF(Tab.o1[[#This Row],[a1]]=1,Tab.o1[[#This Row],[z+]]*_xlfn.STDEV.P(Tab.o1[B])+AVERAGE(Tab.o1[B]),"")</f>
        <v/>
      </c>
      <c r="V922" s="124" t="str">
        <f>IF(Tab.o1[[#This Row],[a1]]=1,ABS((ABS(Tab.o1[[#This Row],[Red]]-Tab.o1[[#This Row],[Blue]]))),"")</f>
        <v/>
      </c>
      <c r="W922" s="125" t="str">
        <f>IF(Tab.o1[[#This Row],[a1]]=1,IF(W$3=0,1,Tab.o1[[#This Row],[Amp.]]*1/_xlfn.MINIFS(Tab.o1[Amp.],Tab.o1[Amp.],"&lt;&gt;0")),"")</f>
        <v/>
      </c>
      <c r="X922" s="126" t="str">
        <f>IF(Tab.o1[[#This Row],[a1]]=1,IF(ISNUMBER(Tab.o1[[#This Row],[i.]]),NORMDIST(Tab.o1[[#This Row],[Za]],0,1,FALSE)*Tab.o1[[#This Row],[i.]],AP$3),"")</f>
        <v/>
      </c>
      <c r="Y922" s="126" t="str">
        <f>IF(Tab.o1[[#This Row],[a1]]=1,0.01+0.94*Tab.o1[[#This Row],[PDF]]/MAX(Tab.o1[PDF]),"")</f>
        <v/>
      </c>
      <c r="Z922" s="126" t="str">
        <f>IF(Tab.o1[[#This Row],[a1]]=1,0.01+0.94*Tab.o1[[#This Row],[W1_PDF]]/MAX(Tab.o1[W1_PDF]),"")</f>
        <v/>
      </c>
      <c r="AA922" s="118" t="str">
        <f>IF(Tab.o1[[#This Row],[a1]]=1,ABS([1]!T.in.A[[#This Row],[oo6]]),"")</f>
        <v/>
      </c>
      <c r="AB922" s="127" t="str">
        <f>IF(Tab.o1[[#This Row],[a1]]=1,IF(AE$3=0,"",IF(AB$3=0,ABS([1]!T.in.A[[#This Row],[oo9]]),ABS(Tab.o1[[#This Row],[DIF_Target.]]*Tab.o1[[#This Row],[W1_PDF]]))),"")</f>
        <v/>
      </c>
      <c r="AC922" s="127" t="str">
        <f>IF(G$1=1,"",IF(Tab.o1[[#This Row],[a1]]=1,Tab.o1[[#This Row],[Wr]]^2,""))</f>
        <v/>
      </c>
      <c r="AD922" s="118" t="str">
        <f>IF(Tab.o1[[#This Row],[a1]]=1,IF(AE$3=0,"",Tab.o1[[#This Row],[Wr2]]/SUM(Tab.o1[Wr2])),"")</f>
        <v/>
      </c>
      <c r="AE922" s="128" t="str">
        <f>IF(Tab.o1[[#This Row],[a1]]=1,[1]!T.in.A[[#This Row],[oo10]],"")</f>
        <v/>
      </c>
      <c r="AF922" s="118" t="str">
        <f>IF(Tab.o1[[#This Row],[a1]]=1,ABS(Tab.o1[[#This Row],[DIF_Target.]]*Tab.o1[[#This Row],[PDF2]]*Tab.o1[[#This Row],[IN]]),"")</f>
        <v/>
      </c>
      <c r="AG922" s="129" t="str">
        <f>IF(Tab.o1[[#This Row],[a1]]=1,Tab.o1[[#This Row],[rW]]^2,"")</f>
        <v/>
      </c>
      <c r="AH922" s="130" t="str">
        <f>IF(Tab.o1[[#This Row],[a1]]=1,IF(AH$3=0,Tab.o1[[#This Row],[rW2]],0.01+0.94*Tab.o1[[#This Row],[rW2]]/SUM(Tab.o1[rW2])),"")</f>
        <v/>
      </c>
      <c r="AI922" s="128" t="str">
        <f>IF(Tab.o1[[#This Row],[a1]]=1,1/Tab.o1[[#This Row],[PDF]],"")</f>
        <v/>
      </c>
      <c r="AJ922" s="131" t="str">
        <f>IF(Tab.o1[[#This Row],[a1]]=1,[1]!T_AA[[#This Row],[IN'']]*[1]!T_AA[[#This Row],[Qde'']],"")</f>
        <v/>
      </c>
      <c r="AK922" s="132" t="str">
        <f>IF(Tab.o1[[#This Row],[a1]]=1,IF(AK$1=1,Tab.o1[[#This Row],[MED]]+Tab.o1[[#This Row],[MOD]]-Tab.o1[[#This Row],[MED]],""),"")</f>
        <v/>
      </c>
      <c r="AL922" s="133" t="str">
        <f>IF(Tab.o1[[#This Row],[a1]]=1,[1]!T.in.A[[#This Row],[oo16]],"")</f>
        <v/>
      </c>
      <c r="AM922" s="133" t="str">
        <f>IF(Tab.o1[[#This Row],[a1]]=1,IF(AM$3=1,[1]!T.in.A[[#This Row],[Σo16]],""),"")</f>
        <v/>
      </c>
      <c r="AN922" s="126" t="str">
        <f>IF(Tab.o1[[#This Row],[a1]]=1,[1]!T.in.A[[#This Row],[Σp5]],"")</f>
        <v/>
      </c>
      <c r="AO922" s="126" t="str">
        <f>IF(Tab.o1[[#This Row],[a1]]=1,IF(AO$3=1,[1]!T.in.A[[#This Row],[Σp5]],""),"")</f>
        <v/>
      </c>
      <c r="AP922" s="110" t="str">
        <f>IF(Tab.o1[[#This Row],[a1]]=1,IF(ISNUMBER(Tab.o1[[#This Row],[i.]]),NORMDIST(Tab.o1[[#This Row],[Za]],0,1,FALSE)*Tab.o1[[#This Row],[i.]],0),"")</f>
        <v/>
      </c>
      <c r="AQ922" s="125" t="str">
        <f>IF(Tab.o1[[#This Row],[a1]]=1,ABS(Tab.o1[[#This Row],[MOD]]-AVERAGE(Tab.o1[MOD])),"")</f>
        <v/>
      </c>
      <c r="AR922" s="134" t="str">
        <f>IF(Tab.o1[[#This Row],[a1]]=1,Tab.o1[[#This Row],[OBS]]/SUM(Tab.o1[OBS]),"")</f>
        <v/>
      </c>
      <c r="AS922" s="135" t="str">
        <f>IF(ISNUMBER(Tab.o1[[#This Row],[a1]]),ROW()-4,"")</f>
        <v/>
      </c>
      <c r="AT922" s="136" t="str">
        <f>Tab.o1[[#This Row],[MOD]]</f>
        <v/>
      </c>
      <c r="AU922" s="137" t="str">
        <f t="shared" si="57"/>
        <v/>
      </c>
      <c r="AV922" s="138" t="str">
        <f t="shared" si="58"/>
        <v/>
      </c>
      <c r="AW922" s="138" t="str">
        <f t="shared" si="59"/>
        <v/>
      </c>
      <c r="AX922" s="139" t="str">
        <f>[1]!T.in.A[[#This Row],[ID_T_manu]]</f>
        <v/>
      </c>
      <c r="AY922" s="140" t="str">
        <f>IF(ISNUMBER(Tab.o1[[#This Row],[a1]]),IF(AND(Tab.o1[[#This Row],[a1]]=1,Tab.o1[[#This Row],[b1]]&lt;=AY$4),#REF!,AY921),"")</f>
        <v/>
      </c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6"/>
      <c r="BO922" s="26"/>
      <c r="BP922" s="26"/>
      <c r="BQ922" s="26"/>
      <c r="BR922" s="26"/>
      <c r="BS922" s="26"/>
      <c r="BT922" s="26"/>
      <c r="BU922" s="26"/>
      <c r="BV922" s="26"/>
      <c r="BW922" s="26"/>
      <c r="BX922" s="26"/>
      <c r="BY922" s="26"/>
      <c r="BZ922" s="26"/>
      <c r="CA922" s="26"/>
    </row>
    <row r="923" spans="1:79" ht="15.75" hidden="1">
      <c r="A923" s="109">
        <v>2.9999999999999997E-6</v>
      </c>
      <c r="B923" s="110">
        <f t="shared" si="56"/>
        <v>923</v>
      </c>
      <c r="C923" s="111" t="str">
        <f>IF(C$1=[1]!T.in.A[[#This Row],[oo2]],1,"")</f>
        <v/>
      </c>
      <c r="D923" s="112" t="str">
        <f>IF(Tab.o1[[#This Row],[a1]]=1,IF(SUM(C923:C924)=0,0,IF(SUM(C922:C923)=1,1,IF(SUM(C922:C924)&gt;1,D922+1,0))),"")</f>
        <v/>
      </c>
      <c r="E923" s="113" t="str">
        <f>IF(Tab.o1[[#This Row],[a1]]=1,[1]!T.in.A[[#This Row],[oo1]],"")</f>
        <v/>
      </c>
      <c r="F923" s="113" t="str">
        <f>IF(Tab.o1[[#This Row],[a1]]=1,[1]!T.in.A[[#This Row],[pp1]],"")</f>
        <v/>
      </c>
      <c r="G923" s="114" t="str">
        <f>IF(Tab.o1[[#This Row],[a1]]=1,G$2+IF(G$1=1,0,Tab.o1[[#This Row],[.x1]])+[1]!T.in.A[[#This Row],[oo3]],"")</f>
        <v/>
      </c>
      <c r="H923" s="115" t="str">
        <f>IF(Tab.o1[[#This Row],[a1]]=1,IF(H$2=0,0,IF(G$1=1,0,Tab.o1[[#This Row],[.x1]])+[1]!T.in.A[[#This Row],[oo4]]),"")</f>
        <v/>
      </c>
      <c r="I923" s="116" t="str">
        <f>IF(Tab.o1[[#This Row],[a1]]=1,IF(J$2=0,Tab.o1[[#This Row],[MED]],Tab.o1[[#This Row],[MOD]]),"")</f>
        <v/>
      </c>
      <c r="J923" s="116" t="str">
        <f>IF(Tab.o1[[#This Row],[a1]]=1,((Tab.o1[[#This Row],[DIF_Target.]]-AVERAGE(Tab.o1[DIF_Target.]))/_xlfn.STDEV.P(Tab.o1[DIF_Target.])),"")</f>
        <v/>
      </c>
      <c r="K923" s="117" t="str">
        <f>IF(Tab.o1[[#This Row],[a1]]=1,IF(J$2=0,Tab.o1[[#This Row],[MOD]]-Tab.o1[[#This Row],[B]],IF(J$2=1,0,-Tab.o1[[#This Row],[MED]])+Tab.o1[[#This Row],[B]]),"")</f>
        <v/>
      </c>
      <c r="L923" s="117" t="str">
        <f ca="1">IF(Tab.o1[[#This Row],[DIF_Target]]=0,IF(L$2=0,Tab.o1[[#This Row],[DIF_Target]],AVERAGE(OFFSET(Tab.o1[[#This Row],[DIF_Target]],1,0,L$3,1)))/3,Tab.o1[[#This Row],[DIF_Target]])</f>
        <v/>
      </c>
      <c r="M923" s="118" t="str">
        <f>IF(Tab.o1[[#This Row],[a1]]=1,NORMSDIST(Tab.o1[[#This Row],[Za]]),"")</f>
        <v/>
      </c>
      <c r="N923" s="119" t="str">
        <f>IF(Tab.o1[[#This Row],[a1]]=1,((Tab.o1[[#This Row],[MedMod]]-AVERAGE(Tab.o1[MedMod]))/_xlfn.STDEV.P(Tab.o1[MedMod])*H$1205)+G$1205,"")</f>
        <v/>
      </c>
      <c r="O923" s="141" t="str">
        <f>IF(Tab.o1[[#This Row],[a1]]=1,Tab.o1[[#This Row],[Zb]]*_xlfn.STDEV.P(Tab.o1[MedMod])+AVERAGE(Tab.o1[MedMod]),"")</f>
        <v/>
      </c>
      <c r="P923" s="117" t="str">
        <f ca="1">IF(Tab.o1[[#This Row],[B]]=0,AVERAGE(OFFSET(Tab.o1[[#This Row],[B]],1,0,L$3,1)),Tab.o1[[#This Row],[B]])</f>
        <v/>
      </c>
      <c r="Q923" s="121" t="str">
        <f>IF(Tab.o1[[#This Row],[a1]]=1,NORMSDIST(Tab.o1[[#This Row],[Zb]]),"")</f>
        <v/>
      </c>
      <c r="R923" s="122" t="str">
        <f>IF(Tab.o1[[#This Row],[a1]]=1,((Tab.o1[[#This Row],[MedMod]]-AVERAGE(Tab.o1[MedMod]))/_xlfn.STDEV.P(Tab.o1[MedMod])*H$1203)+G$1203,"")</f>
        <v/>
      </c>
      <c r="S923" s="122" t="str">
        <f>IF(Tab.o1[[#This Row],[a1]]=1,((Tab.o1[[#This Row],[MedMod]]-AVERAGE(Tab.o1[MedMod]))/_xlfn.STDEV.P(Tab.o1[MedMod])*H$1204)+G$1204,"")</f>
        <v/>
      </c>
      <c r="T923" s="123" t="str">
        <f>IF(Tab.o1[[#This Row],[a1]]=1,Tab.o1[[#This Row],[Z-]]*_xlfn.STDEV.P(Tab.o1[B])+AVERAGE(Tab.o1[B]),"")</f>
        <v/>
      </c>
      <c r="U923" s="123" t="str">
        <f>IF(Tab.o1[[#This Row],[a1]]=1,Tab.o1[[#This Row],[z+]]*_xlfn.STDEV.P(Tab.o1[B])+AVERAGE(Tab.o1[B]),"")</f>
        <v/>
      </c>
      <c r="V923" s="124" t="str">
        <f>IF(Tab.o1[[#This Row],[a1]]=1,ABS((ABS(Tab.o1[[#This Row],[Red]]-Tab.o1[[#This Row],[Blue]]))),"")</f>
        <v/>
      </c>
      <c r="W923" s="125" t="str">
        <f>IF(Tab.o1[[#This Row],[a1]]=1,IF(W$3=0,1,Tab.o1[[#This Row],[Amp.]]*1/_xlfn.MINIFS(Tab.o1[Amp.],Tab.o1[Amp.],"&lt;&gt;0")),"")</f>
        <v/>
      </c>
      <c r="X923" s="126" t="str">
        <f>IF(Tab.o1[[#This Row],[a1]]=1,IF(ISNUMBER(Tab.o1[[#This Row],[i.]]),NORMDIST(Tab.o1[[#This Row],[Za]],0,1,FALSE)*Tab.o1[[#This Row],[i.]],AP$3),"")</f>
        <v/>
      </c>
      <c r="Y923" s="126" t="str">
        <f>IF(Tab.o1[[#This Row],[a1]]=1,0.01+0.94*Tab.o1[[#This Row],[PDF]]/MAX(Tab.o1[PDF]),"")</f>
        <v/>
      </c>
      <c r="Z923" s="126" t="str">
        <f>IF(Tab.o1[[#This Row],[a1]]=1,0.01+0.94*Tab.o1[[#This Row],[W1_PDF]]/MAX(Tab.o1[W1_PDF]),"")</f>
        <v/>
      </c>
      <c r="AA923" s="118" t="str">
        <f>IF(Tab.o1[[#This Row],[a1]]=1,ABS([1]!T.in.A[[#This Row],[oo6]]),"")</f>
        <v/>
      </c>
      <c r="AB923" s="127" t="str">
        <f>IF(Tab.o1[[#This Row],[a1]]=1,IF(AE$3=0,"",IF(AB$3=0,ABS([1]!T.in.A[[#This Row],[oo9]]),ABS(Tab.o1[[#This Row],[DIF_Target.]]*Tab.o1[[#This Row],[W1_PDF]]))),"")</f>
        <v/>
      </c>
      <c r="AC923" s="127" t="str">
        <f>IF(G$1=1,"",IF(Tab.o1[[#This Row],[a1]]=1,Tab.o1[[#This Row],[Wr]]^2,""))</f>
        <v/>
      </c>
      <c r="AD923" s="118" t="str">
        <f>IF(Tab.o1[[#This Row],[a1]]=1,IF(AE$3=0,"",Tab.o1[[#This Row],[Wr2]]/SUM(Tab.o1[Wr2])),"")</f>
        <v/>
      </c>
      <c r="AE923" s="128" t="str">
        <f>IF(Tab.o1[[#This Row],[a1]]=1,[1]!T.in.A[[#This Row],[oo10]],"")</f>
        <v/>
      </c>
      <c r="AF923" s="118" t="str">
        <f>IF(Tab.o1[[#This Row],[a1]]=1,ABS(Tab.o1[[#This Row],[DIF_Target.]]*Tab.o1[[#This Row],[PDF2]]*Tab.o1[[#This Row],[IN]]),"")</f>
        <v/>
      </c>
      <c r="AG923" s="129" t="str">
        <f>IF(Tab.o1[[#This Row],[a1]]=1,Tab.o1[[#This Row],[rW]]^2,"")</f>
        <v/>
      </c>
      <c r="AH923" s="130" t="str">
        <f>IF(Tab.o1[[#This Row],[a1]]=1,IF(AH$3=0,Tab.o1[[#This Row],[rW2]],0.01+0.94*Tab.o1[[#This Row],[rW2]]/SUM(Tab.o1[rW2])),"")</f>
        <v/>
      </c>
      <c r="AI923" s="128" t="str">
        <f>IF(Tab.o1[[#This Row],[a1]]=1,1/Tab.o1[[#This Row],[PDF]],"")</f>
        <v/>
      </c>
      <c r="AJ923" s="131" t="str">
        <f>IF(Tab.o1[[#This Row],[a1]]=1,[1]!T_AA[[#This Row],[IN'']]*[1]!T_AA[[#This Row],[Qde'']],"")</f>
        <v/>
      </c>
      <c r="AK923" s="132" t="str">
        <f>IF(Tab.o1[[#This Row],[a1]]=1,IF(AK$1=1,Tab.o1[[#This Row],[MED]]+Tab.o1[[#This Row],[MOD]]-Tab.o1[[#This Row],[MED]],""),"")</f>
        <v/>
      </c>
      <c r="AL923" s="133" t="str">
        <f>IF(Tab.o1[[#This Row],[a1]]=1,[1]!T.in.A[[#This Row],[oo16]],"")</f>
        <v/>
      </c>
      <c r="AM923" s="133" t="str">
        <f>IF(Tab.o1[[#This Row],[a1]]=1,IF(AM$3=1,[1]!T.in.A[[#This Row],[Σo16]],""),"")</f>
        <v/>
      </c>
      <c r="AN923" s="126" t="str">
        <f>IF(Tab.o1[[#This Row],[a1]]=1,[1]!T.in.A[[#This Row],[Σp5]],"")</f>
        <v/>
      </c>
      <c r="AO923" s="126" t="str">
        <f>IF(Tab.o1[[#This Row],[a1]]=1,IF(AO$3=1,[1]!T.in.A[[#This Row],[Σp5]],""),"")</f>
        <v/>
      </c>
      <c r="AP923" s="110" t="str">
        <f>IF(Tab.o1[[#This Row],[a1]]=1,IF(ISNUMBER(Tab.o1[[#This Row],[i.]]),NORMDIST(Tab.o1[[#This Row],[Za]],0,1,FALSE)*Tab.o1[[#This Row],[i.]],0),"")</f>
        <v/>
      </c>
      <c r="AQ923" s="125" t="str">
        <f>IF(Tab.o1[[#This Row],[a1]]=1,ABS(Tab.o1[[#This Row],[MOD]]-AVERAGE(Tab.o1[MOD])),"")</f>
        <v/>
      </c>
      <c r="AR923" s="134" t="str">
        <f>IF(Tab.o1[[#This Row],[a1]]=1,Tab.o1[[#This Row],[OBS]]/SUM(Tab.o1[OBS]),"")</f>
        <v/>
      </c>
      <c r="AS923" s="135" t="str">
        <f>IF(ISNUMBER(Tab.o1[[#This Row],[a1]]),ROW()-4,"")</f>
        <v/>
      </c>
      <c r="AT923" s="136" t="str">
        <f>Tab.o1[[#This Row],[MOD]]</f>
        <v/>
      </c>
      <c r="AU923" s="137" t="str">
        <f t="shared" si="57"/>
        <v/>
      </c>
      <c r="AV923" s="138" t="str">
        <f t="shared" si="58"/>
        <v/>
      </c>
      <c r="AW923" s="138" t="str">
        <f t="shared" si="59"/>
        <v/>
      </c>
      <c r="AX923" s="139" t="str">
        <f>[1]!T.in.A[[#This Row],[ID_T_manu]]</f>
        <v/>
      </c>
      <c r="AY923" s="140" t="str">
        <f>IF(ISNUMBER(Tab.o1[[#This Row],[a1]]),IF(AND(Tab.o1[[#This Row],[a1]]=1,Tab.o1[[#This Row],[b1]]&lt;=AY$4),#REF!,AY922),"")</f>
        <v/>
      </c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6"/>
      <c r="BO923" s="26"/>
      <c r="BP923" s="26"/>
      <c r="BQ923" s="26"/>
      <c r="BR923" s="26"/>
      <c r="BS923" s="26"/>
      <c r="BT923" s="26"/>
      <c r="BU923" s="26"/>
      <c r="BV923" s="26"/>
      <c r="BW923" s="26"/>
      <c r="BX923" s="26"/>
      <c r="BY923" s="26"/>
      <c r="BZ923" s="26"/>
      <c r="CA923" s="26"/>
    </row>
    <row r="924" spans="1:79" ht="15.75" hidden="1">
      <c r="A924" s="109">
        <v>1.0000000000000002E-6</v>
      </c>
      <c r="B924" s="110">
        <f t="shared" si="56"/>
        <v>924</v>
      </c>
      <c r="C924" s="111" t="str">
        <f>IF(C$1=[1]!T.in.A[[#This Row],[oo2]],1,"")</f>
        <v/>
      </c>
      <c r="D924" s="112" t="str">
        <f>IF(Tab.o1[[#This Row],[a1]]=1,IF(SUM(C924:C925)=0,0,IF(SUM(C923:C924)=1,1,IF(SUM(C923:C925)&gt;1,D923+1,0))),"")</f>
        <v/>
      </c>
      <c r="E924" s="113" t="str">
        <f>IF(Tab.o1[[#This Row],[a1]]=1,[1]!T.in.A[[#This Row],[oo1]],"")</f>
        <v/>
      </c>
      <c r="F924" s="113" t="str">
        <f>IF(Tab.o1[[#This Row],[a1]]=1,[1]!T.in.A[[#This Row],[pp1]],"")</f>
        <v/>
      </c>
      <c r="G924" s="114" t="str">
        <f>IF(Tab.o1[[#This Row],[a1]]=1,G$2+IF(G$1=1,0,Tab.o1[[#This Row],[.x1]])+[1]!T.in.A[[#This Row],[oo3]],"")</f>
        <v/>
      </c>
      <c r="H924" s="115" t="str">
        <f>IF(Tab.o1[[#This Row],[a1]]=1,IF(H$2=0,0,IF(G$1=1,0,Tab.o1[[#This Row],[.x1]])+[1]!T.in.A[[#This Row],[oo4]]),"")</f>
        <v/>
      </c>
      <c r="I924" s="116" t="str">
        <f>IF(Tab.o1[[#This Row],[a1]]=1,IF(J$2=0,Tab.o1[[#This Row],[MED]],Tab.o1[[#This Row],[MOD]]),"")</f>
        <v/>
      </c>
      <c r="J924" s="116" t="str">
        <f>IF(Tab.o1[[#This Row],[a1]]=1,((Tab.o1[[#This Row],[DIF_Target.]]-AVERAGE(Tab.o1[DIF_Target.]))/_xlfn.STDEV.P(Tab.o1[DIF_Target.])),"")</f>
        <v/>
      </c>
      <c r="K924" s="117" t="str">
        <f>IF(Tab.o1[[#This Row],[a1]]=1,IF(J$2=0,Tab.o1[[#This Row],[MOD]]-Tab.o1[[#This Row],[B]],IF(J$2=1,0,-Tab.o1[[#This Row],[MED]])+Tab.o1[[#This Row],[B]]),"")</f>
        <v/>
      </c>
      <c r="L924" s="117" t="str">
        <f ca="1">IF(Tab.o1[[#This Row],[DIF_Target]]=0,IF(L$2=0,Tab.o1[[#This Row],[DIF_Target]],AVERAGE(OFFSET(Tab.o1[[#This Row],[DIF_Target]],1,0,L$3,1)))/3,Tab.o1[[#This Row],[DIF_Target]])</f>
        <v/>
      </c>
      <c r="M924" s="118" t="str">
        <f>IF(Tab.o1[[#This Row],[a1]]=1,NORMSDIST(Tab.o1[[#This Row],[Za]]),"")</f>
        <v/>
      </c>
      <c r="N924" s="119" t="str">
        <f>IF(Tab.o1[[#This Row],[a1]]=1,((Tab.o1[[#This Row],[MedMod]]-AVERAGE(Tab.o1[MedMod]))/_xlfn.STDEV.P(Tab.o1[MedMod])*H$1205)+G$1205,"")</f>
        <v/>
      </c>
      <c r="O924" s="141" t="str">
        <f>IF(Tab.o1[[#This Row],[a1]]=1,Tab.o1[[#This Row],[Zb]]*_xlfn.STDEV.P(Tab.o1[MedMod])+AVERAGE(Tab.o1[MedMod]),"")</f>
        <v/>
      </c>
      <c r="P924" s="117" t="str">
        <f ca="1">IF(Tab.o1[[#This Row],[B]]=0,AVERAGE(OFFSET(Tab.o1[[#This Row],[B]],1,0,L$3,1)),Tab.o1[[#This Row],[B]])</f>
        <v/>
      </c>
      <c r="Q924" s="121" t="str">
        <f>IF(Tab.o1[[#This Row],[a1]]=1,NORMSDIST(Tab.o1[[#This Row],[Zb]]),"")</f>
        <v/>
      </c>
      <c r="R924" s="122" t="str">
        <f>IF(Tab.o1[[#This Row],[a1]]=1,((Tab.o1[[#This Row],[MedMod]]-AVERAGE(Tab.o1[MedMod]))/_xlfn.STDEV.P(Tab.o1[MedMod])*H$1203)+G$1203,"")</f>
        <v/>
      </c>
      <c r="S924" s="122" t="str">
        <f>IF(Tab.o1[[#This Row],[a1]]=1,((Tab.o1[[#This Row],[MedMod]]-AVERAGE(Tab.o1[MedMod]))/_xlfn.STDEV.P(Tab.o1[MedMod])*H$1204)+G$1204,"")</f>
        <v/>
      </c>
      <c r="T924" s="123" t="str">
        <f>IF(Tab.o1[[#This Row],[a1]]=1,Tab.o1[[#This Row],[Z-]]*_xlfn.STDEV.P(Tab.o1[B])+AVERAGE(Tab.o1[B]),"")</f>
        <v/>
      </c>
      <c r="U924" s="123" t="str">
        <f>IF(Tab.o1[[#This Row],[a1]]=1,Tab.o1[[#This Row],[z+]]*_xlfn.STDEV.P(Tab.o1[B])+AVERAGE(Tab.o1[B]),"")</f>
        <v/>
      </c>
      <c r="V924" s="124" t="str">
        <f>IF(Tab.o1[[#This Row],[a1]]=1,ABS((ABS(Tab.o1[[#This Row],[Red]]-Tab.o1[[#This Row],[Blue]]))),"")</f>
        <v/>
      </c>
      <c r="W924" s="125" t="str">
        <f>IF(Tab.o1[[#This Row],[a1]]=1,IF(W$3=0,1,Tab.o1[[#This Row],[Amp.]]*1/_xlfn.MINIFS(Tab.o1[Amp.],Tab.o1[Amp.],"&lt;&gt;0")),"")</f>
        <v/>
      </c>
      <c r="X924" s="126" t="str">
        <f>IF(Tab.o1[[#This Row],[a1]]=1,IF(ISNUMBER(Tab.o1[[#This Row],[i.]]),NORMDIST(Tab.o1[[#This Row],[Za]],0,1,FALSE)*Tab.o1[[#This Row],[i.]],AP$3),"")</f>
        <v/>
      </c>
      <c r="Y924" s="126" t="str">
        <f>IF(Tab.o1[[#This Row],[a1]]=1,0.01+0.94*Tab.o1[[#This Row],[PDF]]/MAX(Tab.o1[PDF]),"")</f>
        <v/>
      </c>
      <c r="Z924" s="126" t="str">
        <f>IF(Tab.o1[[#This Row],[a1]]=1,0.01+0.94*Tab.o1[[#This Row],[W1_PDF]]/MAX(Tab.o1[W1_PDF]),"")</f>
        <v/>
      </c>
      <c r="AA924" s="118" t="str">
        <f>IF(Tab.o1[[#This Row],[a1]]=1,ABS([1]!T.in.A[[#This Row],[oo6]]),"")</f>
        <v/>
      </c>
      <c r="AB924" s="127" t="str">
        <f>IF(Tab.o1[[#This Row],[a1]]=1,IF(AE$3=0,"",IF(AB$3=0,ABS([1]!T.in.A[[#This Row],[oo9]]),ABS(Tab.o1[[#This Row],[DIF_Target.]]*Tab.o1[[#This Row],[W1_PDF]]))),"")</f>
        <v/>
      </c>
      <c r="AC924" s="127" t="str">
        <f>IF(G$1=1,"",IF(Tab.o1[[#This Row],[a1]]=1,Tab.o1[[#This Row],[Wr]]^2,""))</f>
        <v/>
      </c>
      <c r="AD924" s="118" t="str">
        <f>IF(Tab.o1[[#This Row],[a1]]=1,IF(AE$3=0,"",Tab.o1[[#This Row],[Wr2]]/SUM(Tab.o1[Wr2])),"")</f>
        <v/>
      </c>
      <c r="AE924" s="128" t="str">
        <f>IF(Tab.o1[[#This Row],[a1]]=1,[1]!T.in.A[[#This Row],[oo10]],"")</f>
        <v/>
      </c>
      <c r="AF924" s="118" t="str">
        <f>IF(Tab.o1[[#This Row],[a1]]=1,ABS(Tab.o1[[#This Row],[DIF_Target.]]*Tab.o1[[#This Row],[PDF2]]*Tab.o1[[#This Row],[IN]]),"")</f>
        <v/>
      </c>
      <c r="AG924" s="129" t="str">
        <f>IF(Tab.o1[[#This Row],[a1]]=1,Tab.o1[[#This Row],[rW]]^2,"")</f>
        <v/>
      </c>
      <c r="AH924" s="130" t="str">
        <f>IF(Tab.o1[[#This Row],[a1]]=1,IF(AH$3=0,Tab.o1[[#This Row],[rW2]],0.01+0.94*Tab.o1[[#This Row],[rW2]]/SUM(Tab.o1[rW2])),"")</f>
        <v/>
      </c>
      <c r="AI924" s="128" t="str">
        <f>IF(Tab.o1[[#This Row],[a1]]=1,1/Tab.o1[[#This Row],[PDF]],"")</f>
        <v/>
      </c>
      <c r="AJ924" s="131" t="str">
        <f>IF(Tab.o1[[#This Row],[a1]]=1,[1]!T_AA[[#This Row],[IN'']]*[1]!T_AA[[#This Row],[Qde'']],"")</f>
        <v/>
      </c>
      <c r="AK924" s="132" t="str">
        <f>IF(Tab.o1[[#This Row],[a1]]=1,IF(AK$1=1,Tab.o1[[#This Row],[MED]]+Tab.o1[[#This Row],[MOD]]-Tab.o1[[#This Row],[MED]],""),"")</f>
        <v/>
      </c>
      <c r="AL924" s="133" t="str">
        <f>IF(Tab.o1[[#This Row],[a1]]=1,[1]!T.in.A[[#This Row],[oo16]],"")</f>
        <v/>
      </c>
      <c r="AM924" s="133" t="str">
        <f>IF(Tab.o1[[#This Row],[a1]]=1,IF(AM$3=1,[1]!T.in.A[[#This Row],[Σo16]],""),"")</f>
        <v/>
      </c>
      <c r="AN924" s="126" t="str">
        <f>IF(Tab.o1[[#This Row],[a1]]=1,[1]!T.in.A[[#This Row],[Σp5]],"")</f>
        <v/>
      </c>
      <c r="AO924" s="126" t="str">
        <f>IF(Tab.o1[[#This Row],[a1]]=1,IF(AO$3=1,[1]!T.in.A[[#This Row],[Σp5]],""),"")</f>
        <v/>
      </c>
      <c r="AP924" s="110" t="str">
        <f>IF(Tab.o1[[#This Row],[a1]]=1,IF(ISNUMBER(Tab.o1[[#This Row],[i.]]),NORMDIST(Tab.o1[[#This Row],[Za]],0,1,FALSE)*Tab.o1[[#This Row],[i.]],0),"")</f>
        <v/>
      </c>
      <c r="AQ924" s="125" t="str">
        <f>IF(Tab.o1[[#This Row],[a1]]=1,ABS(Tab.o1[[#This Row],[MOD]]-AVERAGE(Tab.o1[MOD])),"")</f>
        <v/>
      </c>
      <c r="AR924" s="134" t="str">
        <f>IF(Tab.o1[[#This Row],[a1]]=1,Tab.o1[[#This Row],[OBS]]/SUM(Tab.o1[OBS]),"")</f>
        <v/>
      </c>
      <c r="AS924" s="135" t="str">
        <f>IF(ISNUMBER(Tab.o1[[#This Row],[a1]]),ROW()-4,"")</f>
        <v/>
      </c>
      <c r="AT924" s="136" t="str">
        <f>Tab.o1[[#This Row],[MOD]]</f>
        <v/>
      </c>
      <c r="AU924" s="137" t="str">
        <f t="shared" si="57"/>
        <v/>
      </c>
      <c r="AV924" s="138" t="str">
        <f t="shared" si="58"/>
        <v/>
      </c>
      <c r="AW924" s="138" t="str">
        <f t="shared" si="59"/>
        <v/>
      </c>
      <c r="AX924" s="139" t="str">
        <f>[1]!T.in.A[[#This Row],[ID_T_manu]]</f>
        <v/>
      </c>
      <c r="AY924" s="140" t="str">
        <f>IF(ISNUMBER(Tab.o1[[#This Row],[a1]]),IF(AND(Tab.o1[[#This Row],[a1]]=1,Tab.o1[[#This Row],[b1]]&lt;=AY$4),#REF!,AY923),"")</f>
        <v/>
      </c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6"/>
      <c r="BO924" s="26"/>
      <c r="BP924" s="26"/>
      <c r="BQ924" s="26"/>
      <c r="BR924" s="26"/>
      <c r="BS924" s="26"/>
      <c r="BT924" s="26"/>
      <c r="BU924" s="26"/>
      <c r="BV924" s="26"/>
      <c r="BW924" s="26"/>
      <c r="BX924" s="26"/>
      <c r="BY924" s="26"/>
      <c r="BZ924" s="26"/>
      <c r="CA924" s="26"/>
    </row>
    <row r="925" spans="1:79" ht="15.75" hidden="1">
      <c r="A925" s="109">
        <v>8.0000000000000013E-6</v>
      </c>
      <c r="B925" s="110">
        <f t="shared" si="56"/>
        <v>925</v>
      </c>
      <c r="C925" s="111" t="str">
        <f>IF(C$1=[1]!T.in.A[[#This Row],[oo2]],1,"")</f>
        <v/>
      </c>
      <c r="D925" s="112" t="str">
        <f>IF(Tab.o1[[#This Row],[a1]]=1,IF(SUM(C925:C926)=0,0,IF(SUM(C924:C925)=1,1,IF(SUM(C924:C926)&gt;1,D924+1,0))),"")</f>
        <v/>
      </c>
      <c r="E925" s="113" t="str">
        <f>IF(Tab.o1[[#This Row],[a1]]=1,[1]!T.in.A[[#This Row],[oo1]],"")</f>
        <v/>
      </c>
      <c r="F925" s="113" t="str">
        <f>IF(Tab.o1[[#This Row],[a1]]=1,[1]!T.in.A[[#This Row],[pp1]],"")</f>
        <v/>
      </c>
      <c r="G925" s="114" t="str">
        <f>IF(Tab.o1[[#This Row],[a1]]=1,G$2+IF(G$1=1,0,Tab.o1[[#This Row],[.x1]])+[1]!T.in.A[[#This Row],[oo3]],"")</f>
        <v/>
      </c>
      <c r="H925" s="115" t="str">
        <f>IF(Tab.o1[[#This Row],[a1]]=1,IF(H$2=0,0,IF(G$1=1,0,Tab.o1[[#This Row],[.x1]])+[1]!T.in.A[[#This Row],[oo4]]),"")</f>
        <v/>
      </c>
      <c r="I925" s="116" t="str">
        <f>IF(Tab.o1[[#This Row],[a1]]=1,IF(J$2=0,Tab.o1[[#This Row],[MED]],Tab.o1[[#This Row],[MOD]]),"")</f>
        <v/>
      </c>
      <c r="J925" s="116" t="str">
        <f>IF(Tab.o1[[#This Row],[a1]]=1,((Tab.o1[[#This Row],[DIF_Target.]]-AVERAGE(Tab.o1[DIF_Target.]))/_xlfn.STDEV.P(Tab.o1[DIF_Target.])),"")</f>
        <v/>
      </c>
      <c r="K925" s="117" t="str">
        <f>IF(Tab.o1[[#This Row],[a1]]=1,IF(J$2=0,Tab.o1[[#This Row],[MOD]]-Tab.o1[[#This Row],[B]],IF(J$2=1,0,-Tab.o1[[#This Row],[MED]])+Tab.o1[[#This Row],[B]]),"")</f>
        <v/>
      </c>
      <c r="L925" s="117" t="str">
        <f ca="1">IF(Tab.o1[[#This Row],[DIF_Target]]=0,IF(L$2=0,Tab.o1[[#This Row],[DIF_Target]],AVERAGE(OFFSET(Tab.o1[[#This Row],[DIF_Target]],1,0,L$3,1)))/3,Tab.o1[[#This Row],[DIF_Target]])</f>
        <v/>
      </c>
      <c r="M925" s="118" t="str">
        <f>IF(Tab.o1[[#This Row],[a1]]=1,NORMSDIST(Tab.o1[[#This Row],[Za]]),"")</f>
        <v/>
      </c>
      <c r="N925" s="119" t="str">
        <f>IF(Tab.o1[[#This Row],[a1]]=1,((Tab.o1[[#This Row],[MedMod]]-AVERAGE(Tab.o1[MedMod]))/_xlfn.STDEV.P(Tab.o1[MedMod])*H$1205)+G$1205,"")</f>
        <v/>
      </c>
      <c r="O925" s="141" t="str">
        <f>IF(Tab.o1[[#This Row],[a1]]=1,Tab.o1[[#This Row],[Zb]]*_xlfn.STDEV.P(Tab.o1[MedMod])+AVERAGE(Tab.o1[MedMod]),"")</f>
        <v/>
      </c>
      <c r="P925" s="117" t="str">
        <f ca="1">IF(Tab.o1[[#This Row],[B]]=0,AVERAGE(OFFSET(Tab.o1[[#This Row],[B]],1,0,L$3,1)),Tab.o1[[#This Row],[B]])</f>
        <v/>
      </c>
      <c r="Q925" s="121" t="str">
        <f>IF(Tab.o1[[#This Row],[a1]]=1,NORMSDIST(Tab.o1[[#This Row],[Zb]]),"")</f>
        <v/>
      </c>
      <c r="R925" s="122" t="str">
        <f>IF(Tab.o1[[#This Row],[a1]]=1,((Tab.o1[[#This Row],[MedMod]]-AVERAGE(Tab.o1[MedMod]))/_xlfn.STDEV.P(Tab.o1[MedMod])*H$1203)+G$1203,"")</f>
        <v/>
      </c>
      <c r="S925" s="122" t="str">
        <f>IF(Tab.o1[[#This Row],[a1]]=1,((Tab.o1[[#This Row],[MedMod]]-AVERAGE(Tab.o1[MedMod]))/_xlfn.STDEV.P(Tab.o1[MedMod])*H$1204)+G$1204,"")</f>
        <v/>
      </c>
      <c r="T925" s="123" t="str">
        <f>IF(Tab.o1[[#This Row],[a1]]=1,Tab.o1[[#This Row],[Z-]]*_xlfn.STDEV.P(Tab.o1[B])+AVERAGE(Tab.o1[B]),"")</f>
        <v/>
      </c>
      <c r="U925" s="123" t="str">
        <f>IF(Tab.o1[[#This Row],[a1]]=1,Tab.o1[[#This Row],[z+]]*_xlfn.STDEV.P(Tab.o1[B])+AVERAGE(Tab.o1[B]),"")</f>
        <v/>
      </c>
      <c r="V925" s="124" t="str">
        <f>IF(Tab.o1[[#This Row],[a1]]=1,ABS((ABS(Tab.o1[[#This Row],[Red]]-Tab.o1[[#This Row],[Blue]]))),"")</f>
        <v/>
      </c>
      <c r="W925" s="125" t="str">
        <f>IF(Tab.o1[[#This Row],[a1]]=1,IF(W$3=0,1,Tab.o1[[#This Row],[Amp.]]*1/_xlfn.MINIFS(Tab.o1[Amp.],Tab.o1[Amp.],"&lt;&gt;0")),"")</f>
        <v/>
      </c>
      <c r="X925" s="126" t="str">
        <f>IF(Tab.o1[[#This Row],[a1]]=1,IF(ISNUMBER(Tab.o1[[#This Row],[i.]]),NORMDIST(Tab.o1[[#This Row],[Za]],0,1,FALSE)*Tab.o1[[#This Row],[i.]],AP$3),"")</f>
        <v/>
      </c>
      <c r="Y925" s="126" t="str">
        <f>IF(Tab.o1[[#This Row],[a1]]=1,0.01+0.94*Tab.o1[[#This Row],[PDF]]/MAX(Tab.o1[PDF]),"")</f>
        <v/>
      </c>
      <c r="Z925" s="126" t="str">
        <f>IF(Tab.o1[[#This Row],[a1]]=1,0.01+0.94*Tab.o1[[#This Row],[W1_PDF]]/MAX(Tab.o1[W1_PDF]),"")</f>
        <v/>
      </c>
      <c r="AA925" s="118" t="str">
        <f>IF(Tab.o1[[#This Row],[a1]]=1,ABS([1]!T.in.A[[#This Row],[oo6]]),"")</f>
        <v/>
      </c>
      <c r="AB925" s="127" t="str">
        <f>IF(Tab.o1[[#This Row],[a1]]=1,IF(AE$3=0,"",IF(AB$3=0,ABS([1]!T.in.A[[#This Row],[oo9]]),ABS(Tab.o1[[#This Row],[DIF_Target.]]*Tab.o1[[#This Row],[W1_PDF]]))),"")</f>
        <v/>
      </c>
      <c r="AC925" s="127" t="str">
        <f>IF(G$1=1,"",IF(Tab.o1[[#This Row],[a1]]=1,Tab.o1[[#This Row],[Wr]]^2,""))</f>
        <v/>
      </c>
      <c r="AD925" s="118" t="str">
        <f>IF(Tab.o1[[#This Row],[a1]]=1,IF(AE$3=0,"",Tab.o1[[#This Row],[Wr2]]/SUM(Tab.o1[Wr2])),"")</f>
        <v/>
      </c>
      <c r="AE925" s="128" t="str">
        <f>IF(Tab.o1[[#This Row],[a1]]=1,[1]!T.in.A[[#This Row],[oo10]],"")</f>
        <v/>
      </c>
      <c r="AF925" s="118" t="str">
        <f>IF(Tab.o1[[#This Row],[a1]]=1,ABS(Tab.o1[[#This Row],[DIF_Target.]]*Tab.o1[[#This Row],[PDF2]]*Tab.o1[[#This Row],[IN]]),"")</f>
        <v/>
      </c>
      <c r="AG925" s="129" t="str">
        <f>IF(Tab.o1[[#This Row],[a1]]=1,Tab.o1[[#This Row],[rW]]^2,"")</f>
        <v/>
      </c>
      <c r="AH925" s="130" t="str">
        <f>IF(Tab.o1[[#This Row],[a1]]=1,IF(AH$3=0,Tab.o1[[#This Row],[rW2]],0.01+0.94*Tab.o1[[#This Row],[rW2]]/SUM(Tab.o1[rW2])),"")</f>
        <v/>
      </c>
      <c r="AI925" s="128" t="str">
        <f>IF(Tab.o1[[#This Row],[a1]]=1,1/Tab.o1[[#This Row],[PDF]],"")</f>
        <v/>
      </c>
      <c r="AJ925" s="131" t="str">
        <f>IF(Tab.o1[[#This Row],[a1]]=1,[1]!T_AA[[#This Row],[IN'']]*[1]!T_AA[[#This Row],[Qde'']],"")</f>
        <v/>
      </c>
      <c r="AK925" s="132" t="str">
        <f>IF(Tab.o1[[#This Row],[a1]]=1,IF(AK$1=1,Tab.o1[[#This Row],[MED]]+Tab.o1[[#This Row],[MOD]]-Tab.o1[[#This Row],[MED]],""),"")</f>
        <v/>
      </c>
      <c r="AL925" s="133" t="str">
        <f>IF(Tab.o1[[#This Row],[a1]]=1,[1]!T.in.A[[#This Row],[oo16]],"")</f>
        <v/>
      </c>
      <c r="AM925" s="133" t="str">
        <f>IF(Tab.o1[[#This Row],[a1]]=1,IF(AM$3=1,[1]!T.in.A[[#This Row],[Σo16]],""),"")</f>
        <v/>
      </c>
      <c r="AN925" s="126" t="str">
        <f>IF(Tab.o1[[#This Row],[a1]]=1,[1]!T.in.A[[#This Row],[Σp5]],"")</f>
        <v/>
      </c>
      <c r="AO925" s="126" t="str">
        <f>IF(Tab.o1[[#This Row],[a1]]=1,IF(AO$3=1,[1]!T.in.A[[#This Row],[Σp5]],""),"")</f>
        <v/>
      </c>
      <c r="AP925" s="110" t="str">
        <f>IF(Tab.o1[[#This Row],[a1]]=1,IF(ISNUMBER(Tab.o1[[#This Row],[i.]]),NORMDIST(Tab.o1[[#This Row],[Za]],0,1,FALSE)*Tab.o1[[#This Row],[i.]],0),"")</f>
        <v/>
      </c>
      <c r="AQ925" s="125" t="str">
        <f>IF(Tab.o1[[#This Row],[a1]]=1,ABS(Tab.o1[[#This Row],[MOD]]-AVERAGE(Tab.o1[MOD])),"")</f>
        <v/>
      </c>
      <c r="AR925" s="134" t="str">
        <f>IF(Tab.o1[[#This Row],[a1]]=1,Tab.o1[[#This Row],[OBS]]/SUM(Tab.o1[OBS]),"")</f>
        <v/>
      </c>
      <c r="AS925" s="135" t="str">
        <f>IF(ISNUMBER(Tab.o1[[#This Row],[a1]]),ROW()-4,"")</f>
        <v/>
      </c>
      <c r="AT925" s="136" t="str">
        <f>Tab.o1[[#This Row],[MOD]]</f>
        <v/>
      </c>
      <c r="AU925" s="137" t="str">
        <f t="shared" si="57"/>
        <v/>
      </c>
      <c r="AV925" s="138" t="str">
        <f t="shared" si="58"/>
        <v/>
      </c>
      <c r="AW925" s="138" t="str">
        <f t="shared" si="59"/>
        <v/>
      </c>
      <c r="AX925" s="139" t="str">
        <f>[1]!T.in.A[[#This Row],[ID_T_manu]]</f>
        <v/>
      </c>
      <c r="AY925" s="140" t="str">
        <f>IF(ISNUMBER(Tab.o1[[#This Row],[a1]]),IF(AND(Tab.o1[[#This Row],[a1]]=1,Tab.o1[[#This Row],[b1]]&lt;=AY$4),#REF!,AY924),"")</f>
        <v/>
      </c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6"/>
      <c r="BO925" s="26"/>
      <c r="BP925" s="26"/>
      <c r="BQ925" s="26"/>
      <c r="BR925" s="26"/>
      <c r="BS925" s="26"/>
      <c r="BT925" s="26"/>
      <c r="BU925" s="26"/>
      <c r="BV925" s="26"/>
      <c r="BW925" s="26"/>
      <c r="BX925" s="26"/>
      <c r="BY925" s="26"/>
      <c r="BZ925" s="26"/>
      <c r="CA925" s="26"/>
    </row>
    <row r="926" spans="1:79" ht="15.75" hidden="1">
      <c r="A926" s="109">
        <v>-4.0000000000000007E-6</v>
      </c>
      <c r="B926" s="110">
        <f t="shared" si="56"/>
        <v>926</v>
      </c>
      <c r="C926" s="111" t="str">
        <f>IF(C$1=[1]!T.in.A[[#This Row],[oo2]],1,"")</f>
        <v/>
      </c>
      <c r="D926" s="112" t="str">
        <f>IF(Tab.o1[[#This Row],[a1]]=1,IF(SUM(C926:C927)=0,0,IF(SUM(C925:C926)=1,1,IF(SUM(C925:C927)&gt;1,D925+1,0))),"")</f>
        <v/>
      </c>
      <c r="E926" s="113" t="str">
        <f>IF(Tab.o1[[#This Row],[a1]]=1,[1]!T.in.A[[#This Row],[oo1]],"")</f>
        <v/>
      </c>
      <c r="F926" s="113" t="str">
        <f>IF(Tab.o1[[#This Row],[a1]]=1,[1]!T.in.A[[#This Row],[pp1]],"")</f>
        <v/>
      </c>
      <c r="G926" s="114" t="str">
        <f>IF(Tab.o1[[#This Row],[a1]]=1,G$2+IF(G$1=1,0,Tab.o1[[#This Row],[.x1]])+[1]!T.in.A[[#This Row],[oo3]],"")</f>
        <v/>
      </c>
      <c r="H926" s="115" t="str">
        <f>IF(Tab.o1[[#This Row],[a1]]=1,IF(H$2=0,0,IF(G$1=1,0,Tab.o1[[#This Row],[.x1]])+[1]!T.in.A[[#This Row],[oo4]]),"")</f>
        <v/>
      </c>
      <c r="I926" s="116" t="str">
        <f>IF(Tab.o1[[#This Row],[a1]]=1,IF(J$2=0,Tab.o1[[#This Row],[MED]],Tab.o1[[#This Row],[MOD]]),"")</f>
        <v/>
      </c>
      <c r="J926" s="116" t="str">
        <f>IF(Tab.o1[[#This Row],[a1]]=1,((Tab.o1[[#This Row],[DIF_Target.]]-AVERAGE(Tab.o1[DIF_Target.]))/_xlfn.STDEV.P(Tab.o1[DIF_Target.])),"")</f>
        <v/>
      </c>
      <c r="K926" s="117" t="str">
        <f>IF(Tab.o1[[#This Row],[a1]]=1,IF(J$2=0,Tab.o1[[#This Row],[MOD]]-Tab.o1[[#This Row],[B]],IF(J$2=1,0,-Tab.o1[[#This Row],[MED]])+Tab.o1[[#This Row],[B]]),"")</f>
        <v/>
      </c>
      <c r="L926" s="117" t="str">
        <f ca="1">IF(Tab.o1[[#This Row],[DIF_Target]]=0,IF(L$2=0,Tab.o1[[#This Row],[DIF_Target]],AVERAGE(OFFSET(Tab.o1[[#This Row],[DIF_Target]],1,0,L$3,1)))/3,Tab.o1[[#This Row],[DIF_Target]])</f>
        <v/>
      </c>
      <c r="M926" s="118" t="str">
        <f>IF(Tab.o1[[#This Row],[a1]]=1,NORMSDIST(Tab.o1[[#This Row],[Za]]),"")</f>
        <v/>
      </c>
      <c r="N926" s="119" t="str">
        <f>IF(Tab.o1[[#This Row],[a1]]=1,((Tab.o1[[#This Row],[MedMod]]-AVERAGE(Tab.o1[MedMod]))/_xlfn.STDEV.P(Tab.o1[MedMod])*H$1205)+G$1205,"")</f>
        <v/>
      </c>
      <c r="O926" s="141" t="str">
        <f>IF(Tab.o1[[#This Row],[a1]]=1,Tab.o1[[#This Row],[Zb]]*_xlfn.STDEV.P(Tab.o1[MedMod])+AVERAGE(Tab.o1[MedMod]),"")</f>
        <v/>
      </c>
      <c r="P926" s="117" t="str">
        <f ca="1">IF(Tab.o1[[#This Row],[B]]=0,AVERAGE(OFFSET(Tab.o1[[#This Row],[B]],1,0,L$3,1)),Tab.o1[[#This Row],[B]])</f>
        <v/>
      </c>
      <c r="Q926" s="121" t="str">
        <f>IF(Tab.o1[[#This Row],[a1]]=1,NORMSDIST(Tab.o1[[#This Row],[Zb]]),"")</f>
        <v/>
      </c>
      <c r="R926" s="122" t="str">
        <f>IF(Tab.o1[[#This Row],[a1]]=1,((Tab.o1[[#This Row],[MedMod]]-AVERAGE(Tab.o1[MedMod]))/_xlfn.STDEV.P(Tab.o1[MedMod])*H$1203)+G$1203,"")</f>
        <v/>
      </c>
      <c r="S926" s="122" t="str">
        <f>IF(Tab.o1[[#This Row],[a1]]=1,((Tab.o1[[#This Row],[MedMod]]-AVERAGE(Tab.o1[MedMod]))/_xlfn.STDEV.P(Tab.o1[MedMod])*H$1204)+G$1204,"")</f>
        <v/>
      </c>
      <c r="T926" s="123" t="str">
        <f>IF(Tab.o1[[#This Row],[a1]]=1,Tab.o1[[#This Row],[Z-]]*_xlfn.STDEV.P(Tab.o1[B])+AVERAGE(Tab.o1[B]),"")</f>
        <v/>
      </c>
      <c r="U926" s="123" t="str">
        <f>IF(Tab.o1[[#This Row],[a1]]=1,Tab.o1[[#This Row],[z+]]*_xlfn.STDEV.P(Tab.o1[B])+AVERAGE(Tab.o1[B]),"")</f>
        <v/>
      </c>
      <c r="V926" s="124" t="str">
        <f>IF(Tab.o1[[#This Row],[a1]]=1,ABS((ABS(Tab.o1[[#This Row],[Red]]-Tab.o1[[#This Row],[Blue]]))),"")</f>
        <v/>
      </c>
      <c r="W926" s="125" t="str">
        <f>IF(Tab.o1[[#This Row],[a1]]=1,IF(W$3=0,1,Tab.o1[[#This Row],[Amp.]]*1/_xlfn.MINIFS(Tab.o1[Amp.],Tab.o1[Amp.],"&lt;&gt;0")),"")</f>
        <v/>
      </c>
      <c r="X926" s="126" t="str">
        <f>IF(Tab.o1[[#This Row],[a1]]=1,IF(ISNUMBER(Tab.o1[[#This Row],[i.]]),NORMDIST(Tab.o1[[#This Row],[Za]],0,1,FALSE)*Tab.o1[[#This Row],[i.]],AP$3),"")</f>
        <v/>
      </c>
      <c r="Y926" s="126" t="str">
        <f>IF(Tab.o1[[#This Row],[a1]]=1,0.01+0.94*Tab.o1[[#This Row],[PDF]]/MAX(Tab.o1[PDF]),"")</f>
        <v/>
      </c>
      <c r="Z926" s="126" t="str">
        <f>IF(Tab.o1[[#This Row],[a1]]=1,0.01+0.94*Tab.o1[[#This Row],[W1_PDF]]/MAX(Tab.o1[W1_PDF]),"")</f>
        <v/>
      </c>
      <c r="AA926" s="118" t="str">
        <f>IF(Tab.o1[[#This Row],[a1]]=1,ABS([1]!T.in.A[[#This Row],[oo6]]),"")</f>
        <v/>
      </c>
      <c r="AB926" s="127" t="str">
        <f>IF(Tab.o1[[#This Row],[a1]]=1,IF(AE$3=0,"",IF(AB$3=0,ABS([1]!T.in.A[[#This Row],[oo9]]),ABS(Tab.o1[[#This Row],[DIF_Target.]]*Tab.o1[[#This Row],[W1_PDF]]))),"")</f>
        <v/>
      </c>
      <c r="AC926" s="127" t="str">
        <f>IF(G$1=1,"",IF(Tab.o1[[#This Row],[a1]]=1,Tab.o1[[#This Row],[Wr]]^2,""))</f>
        <v/>
      </c>
      <c r="AD926" s="118" t="str">
        <f>IF(Tab.o1[[#This Row],[a1]]=1,IF(AE$3=0,"",Tab.o1[[#This Row],[Wr2]]/SUM(Tab.o1[Wr2])),"")</f>
        <v/>
      </c>
      <c r="AE926" s="128" t="str">
        <f>IF(Tab.o1[[#This Row],[a1]]=1,[1]!T.in.A[[#This Row],[oo10]],"")</f>
        <v/>
      </c>
      <c r="AF926" s="118" t="str">
        <f>IF(Tab.o1[[#This Row],[a1]]=1,ABS(Tab.o1[[#This Row],[DIF_Target.]]*Tab.o1[[#This Row],[PDF2]]*Tab.o1[[#This Row],[IN]]),"")</f>
        <v/>
      </c>
      <c r="AG926" s="129" t="str">
        <f>IF(Tab.o1[[#This Row],[a1]]=1,Tab.o1[[#This Row],[rW]]^2,"")</f>
        <v/>
      </c>
      <c r="AH926" s="130" t="str">
        <f>IF(Tab.o1[[#This Row],[a1]]=1,IF(AH$3=0,Tab.o1[[#This Row],[rW2]],0.01+0.94*Tab.o1[[#This Row],[rW2]]/SUM(Tab.o1[rW2])),"")</f>
        <v/>
      </c>
      <c r="AI926" s="128" t="str">
        <f>IF(Tab.o1[[#This Row],[a1]]=1,1/Tab.o1[[#This Row],[PDF]],"")</f>
        <v/>
      </c>
      <c r="AJ926" s="131" t="str">
        <f>IF(Tab.o1[[#This Row],[a1]]=1,[1]!T_AA[[#This Row],[IN'']]*[1]!T_AA[[#This Row],[Qde'']],"")</f>
        <v/>
      </c>
      <c r="AK926" s="132" t="str">
        <f>IF(Tab.o1[[#This Row],[a1]]=1,IF(AK$1=1,Tab.o1[[#This Row],[MED]]+Tab.o1[[#This Row],[MOD]]-Tab.o1[[#This Row],[MED]],""),"")</f>
        <v/>
      </c>
      <c r="AL926" s="133" t="str">
        <f>IF(Tab.o1[[#This Row],[a1]]=1,[1]!T.in.A[[#This Row],[oo16]],"")</f>
        <v/>
      </c>
      <c r="AM926" s="133" t="str">
        <f>IF(Tab.o1[[#This Row],[a1]]=1,IF(AM$3=1,[1]!T.in.A[[#This Row],[Σo16]],""),"")</f>
        <v/>
      </c>
      <c r="AN926" s="126" t="str">
        <f>IF(Tab.o1[[#This Row],[a1]]=1,[1]!T.in.A[[#This Row],[Σp5]],"")</f>
        <v/>
      </c>
      <c r="AO926" s="126" t="str">
        <f>IF(Tab.o1[[#This Row],[a1]]=1,IF(AO$3=1,[1]!T.in.A[[#This Row],[Σp5]],""),"")</f>
        <v/>
      </c>
      <c r="AP926" s="110" t="str">
        <f>IF(Tab.o1[[#This Row],[a1]]=1,IF(ISNUMBER(Tab.o1[[#This Row],[i.]]),NORMDIST(Tab.o1[[#This Row],[Za]],0,1,FALSE)*Tab.o1[[#This Row],[i.]],0),"")</f>
        <v/>
      </c>
      <c r="AQ926" s="125" t="str">
        <f>IF(Tab.o1[[#This Row],[a1]]=1,ABS(Tab.o1[[#This Row],[MOD]]-AVERAGE(Tab.o1[MOD])),"")</f>
        <v/>
      </c>
      <c r="AR926" s="134" t="str">
        <f>IF(Tab.o1[[#This Row],[a1]]=1,Tab.o1[[#This Row],[OBS]]/SUM(Tab.o1[OBS]),"")</f>
        <v/>
      </c>
      <c r="AS926" s="135" t="str">
        <f>IF(ISNUMBER(Tab.o1[[#This Row],[a1]]),ROW()-4,"")</f>
        <v/>
      </c>
      <c r="AT926" s="136" t="str">
        <f>Tab.o1[[#This Row],[MOD]]</f>
        <v/>
      </c>
      <c r="AU926" s="137" t="str">
        <f t="shared" si="57"/>
        <v/>
      </c>
      <c r="AV926" s="138" t="str">
        <f t="shared" si="58"/>
        <v/>
      </c>
      <c r="AW926" s="138" t="str">
        <f t="shared" si="59"/>
        <v/>
      </c>
      <c r="AX926" s="139" t="str">
        <f>[1]!T.in.A[[#This Row],[ID_T_manu]]</f>
        <v/>
      </c>
      <c r="AY926" s="140" t="str">
        <f>IF(ISNUMBER(Tab.o1[[#This Row],[a1]]),IF(AND(Tab.o1[[#This Row],[a1]]=1,Tab.o1[[#This Row],[b1]]&lt;=AY$4),#REF!,AY925),"")</f>
        <v/>
      </c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6"/>
      <c r="BO926" s="26"/>
      <c r="BP926" s="26"/>
      <c r="BQ926" s="26"/>
      <c r="BR926" s="26"/>
      <c r="BS926" s="26"/>
      <c r="BT926" s="26"/>
      <c r="BU926" s="26"/>
      <c r="BV926" s="26"/>
      <c r="BW926" s="26"/>
      <c r="BX926" s="26"/>
      <c r="BY926" s="26"/>
      <c r="BZ926" s="26"/>
      <c r="CA926" s="26"/>
    </row>
    <row r="927" spans="1:79" ht="15.75" hidden="1">
      <c r="A927" s="109">
        <v>-9.0000000000000002E-6</v>
      </c>
      <c r="B927" s="110">
        <f t="shared" si="56"/>
        <v>927</v>
      </c>
      <c r="C927" s="111" t="str">
        <f>IF(C$1=[1]!T.in.A[[#This Row],[oo2]],1,"")</f>
        <v/>
      </c>
      <c r="D927" s="112" t="str">
        <f>IF(Tab.o1[[#This Row],[a1]]=1,IF(SUM(C927:C928)=0,0,IF(SUM(C926:C927)=1,1,IF(SUM(C926:C928)&gt;1,D926+1,0))),"")</f>
        <v/>
      </c>
      <c r="E927" s="113" t="str">
        <f>IF(Tab.o1[[#This Row],[a1]]=1,[1]!T.in.A[[#This Row],[oo1]],"")</f>
        <v/>
      </c>
      <c r="F927" s="113" t="str">
        <f>IF(Tab.o1[[#This Row],[a1]]=1,[1]!T.in.A[[#This Row],[pp1]],"")</f>
        <v/>
      </c>
      <c r="G927" s="114" t="str">
        <f>IF(Tab.o1[[#This Row],[a1]]=1,G$2+IF(G$1=1,0,Tab.o1[[#This Row],[.x1]])+[1]!T.in.A[[#This Row],[oo3]],"")</f>
        <v/>
      </c>
      <c r="H927" s="115" t="str">
        <f>IF(Tab.o1[[#This Row],[a1]]=1,IF(H$2=0,0,IF(G$1=1,0,Tab.o1[[#This Row],[.x1]])+[1]!T.in.A[[#This Row],[oo4]]),"")</f>
        <v/>
      </c>
      <c r="I927" s="116" t="str">
        <f>IF(Tab.o1[[#This Row],[a1]]=1,IF(J$2=0,Tab.o1[[#This Row],[MED]],Tab.o1[[#This Row],[MOD]]),"")</f>
        <v/>
      </c>
      <c r="J927" s="116" t="str">
        <f>IF(Tab.o1[[#This Row],[a1]]=1,((Tab.o1[[#This Row],[DIF_Target.]]-AVERAGE(Tab.o1[DIF_Target.]))/_xlfn.STDEV.P(Tab.o1[DIF_Target.])),"")</f>
        <v/>
      </c>
      <c r="K927" s="117" t="str">
        <f>IF(Tab.o1[[#This Row],[a1]]=1,IF(J$2=0,Tab.o1[[#This Row],[MOD]]-Tab.o1[[#This Row],[B]],IF(J$2=1,0,-Tab.o1[[#This Row],[MED]])+Tab.o1[[#This Row],[B]]),"")</f>
        <v/>
      </c>
      <c r="L927" s="117" t="str">
        <f ca="1">IF(Tab.o1[[#This Row],[DIF_Target]]=0,IF(L$2=0,Tab.o1[[#This Row],[DIF_Target]],AVERAGE(OFFSET(Tab.o1[[#This Row],[DIF_Target]],1,0,L$3,1)))/3,Tab.o1[[#This Row],[DIF_Target]])</f>
        <v/>
      </c>
      <c r="M927" s="118" t="str">
        <f>IF(Tab.o1[[#This Row],[a1]]=1,NORMSDIST(Tab.o1[[#This Row],[Za]]),"")</f>
        <v/>
      </c>
      <c r="N927" s="119" t="str">
        <f>IF(Tab.o1[[#This Row],[a1]]=1,((Tab.o1[[#This Row],[MedMod]]-AVERAGE(Tab.o1[MedMod]))/_xlfn.STDEV.P(Tab.o1[MedMod])*H$1205)+G$1205,"")</f>
        <v/>
      </c>
      <c r="O927" s="141" t="str">
        <f>IF(Tab.o1[[#This Row],[a1]]=1,Tab.o1[[#This Row],[Zb]]*_xlfn.STDEV.P(Tab.o1[MedMod])+AVERAGE(Tab.o1[MedMod]),"")</f>
        <v/>
      </c>
      <c r="P927" s="117" t="str">
        <f ca="1">IF(Tab.o1[[#This Row],[B]]=0,AVERAGE(OFFSET(Tab.o1[[#This Row],[B]],1,0,L$3,1)),Tab.o1[[#This Row],[B]])</f>
        <v/>
      </c>
      <c r="Q927" s="121" t="str">
        <f>IF(Tab.o1[[#This Row],[a1]]=1,NORMSDIST(Tab.o1[[#This Row],[Zb]]),"")</f>
        <v/>
      </c>
      <c r="R927" s="122" t="str">
        <f>IF(Tab.o1[[#This Row],[a1]]=1,((Tab.o1[[#This Row],[MedMod]]-AVERAGE(Tab.o1[MedMod]))/_xlfn.STDEV.P(Tab.o1[MedMod])*H$1203)+G$1203,"")</f>
        <v/>
      </c>
      <c r="S927" s="122" t="str">
        <f>IF(Tab.o1[[#This Row],[a1]]=1,((Tab.o1[[#This Row],[MedMod]]-AVERAGE(Tab.o1[MedMod]))/_xlfn.STDEV.P(Tab.o1[MedMod])*H$1204)+G$1204,"")</f>
        <v/>
      </c>
      <c r="T927" s="123" t="str">
        <f>IF(Tab.o1[[#This Row],[a1]]=1,Tab.o1[[#This Row],[Z-]]*_xlfn.STDEV.P(Tab.o1[B])+AVERAGE(Tab.o1[B]),"")</f>
        <v/>
      </c>
      <c r="U927" s="123" t="str">
        <f>IF(Tab.o1[[#This Row],[a1]]=1,Tab.o1[[#This Row],[z+]]*_xlfn.STDEV.P(Tab.o1[B])+AVERAGE(Tab.o1[B]),"")</f>
        <v/>
      </c>
      <c r="V927" s="124" t="str">
        <f>IF(Tab.o1[[#This Row],[a1]]=1,ABS((ABS(Tab.o1[[#This Row],[Red]]-Tab.o1[[#This Row],[Blue]]))),"")</f>
        <v/>
      </c>
      <c r="W927" s="125" t="str">
        <f>IF(Tab.o1[[#This Row],[a1]]=1,IF(W$3=0,1,Tab.o1[[#This Row],[Amp.]]*1/_xlfn.MINIFS(Tab.o1[Amp.],Tab.o1[Amp.],"&lt;&gt;0")),"")</f>
        <v/>
      </c>
      <c r="X927" s="126" t="str">
        <f>IF(Tab.o1[[#This Row],[a1]]=1,IF(ISNUMBER(Tab.o1[[#This Row],[i.]]),NORMDIST(Tab.o1[[#This Row],[Za]],0,1,FALSE)*Tab.o1[[#This Row],[i.]],AP$3),"")</f>
        <v/>
      </c>
      <c r="Y927" s="126" t="str">
        <f>IF(Tab.o1[[#This Row],[a1]]=1,0.01+0.94*Tab.o1[[#This Row],[PDF]]/MAX(Tab.o1[PDF]),"")</f>
        <v/>
      </c>
      <c r="Z927" s="126" t="str">
        <f>IF(Tab.o1[[#This Row],[a1]]=1,0.01+0.94*Tab.o1[[#This Row],[W1_PDF]]/MAX(Tab.o1[W1_PDF]),"")</f>
        <v/>
      </c>
      <c r="AA927" s="118" t="str">
        <f>IF(Tab.o1[[#This Row],[a1]]=1,ABS([1]!T.in.A[[#This Row],[oo6]]),"")</f>
        <v/>
      </c>
      <c r="AB927" s="127" t="str">
        <f>IF(Tab.o1[[#This Row],[a1]]=1,IF(AE$3=0,"",IF(AB$3=0,ABS([1]!T.in.A[[#This Row],[oo9]]),ABS(Tab.o1[[#This Row],[DIF_Target.]]*Tab.o1[[#This Row],[W1_PDF]]))),"")</f>
        <v/>
      </c>
      <c r="AC927" s="127" t="str">
        <f>IF(G$1=1,"",IF(Tab.o1[[#This Row],[a1]]=1,Tab.o1[[#This Row],[Wr]]^2,""))</f>
        <v/>
      </c>
      <c r="AD927" s="118" t="str">
        <f>IF(Tab.o1[[#This Row],[a1]]=1,IF(AE$3=0,"",Tab.o1[[#This Row],[Wr2]]/SUM(Tab.o1[Wr2])),"")</f>
        <v/>
      </c>
      <c r="AE927" s="128" t="str">
        <f>IF(Tab.o1[[#This Row],[a1]]=1,[1]!T.in.A[[#This Row],[oo10]],"")</f>
        <v/>
      </c>
      <c r="AF927" s="118" t="str">
        <f>IF(Tab.o1[[#This Row],[a1]]=1,ABS(Tab.o1[[#This Row],[DIF_Target.]]*Tab.o1[[#This Row],[PDF2]]*Tab.o1[[#This Row],[IN]]),"")</f>
        <v/>
      </c>
      <c r="AG927" s="129" t="str">
        <f>IF(Tab.o1[[#This Row],[a1]]=1,Tab.o1[[#This Row],[rW]]^2,"")</f>
        <v/>
      </c>
      <c r="AH927" s="130" t="str">
        <f>IF(Tab.o1[[#This Row],[a1]]=1,IF(AH$3=0,Tab.o1[[#This Row],[rW2]],0.01+0.94*Tab.o1[[#This Row],[rW2]]/SUM(Tab.o1[rW2])),"")</f>
        <v/>
      </c>
      <c r="AI927" s="128" t="str">
        <f>IF(Tab.o1[[#This Row],[a1]]=1,1/Tab.o1[[#This Row],[PDF]],"")</f>
        <v/>
      </c>
      <c r="AJ927" s="131" t="str">
        <f>IF(Tab.o1[[#This Row],[a1]]=1,[1]!T_AA[[#This Row],[IN'']]*[1]!T_AA[[#This Row],[Qde'']],"")</f>
        <v/>
      </c>
      <c r="AK927" s="132" t="str">
        <f>IF(Tab.o1[[#This Row],[a1]]=1,IF(AK$1=1,Tab.o1[[#This Row],[MED]]+Tab.o1[[#This Row],[MOD]]-Tab.o1[[#This Row],[MED]],""),"")</f>
        <v/>
      </c>
      <c r="AL927" s="133" t="str">
        <f>IF(Tab.o1[[#This Row],[a1]]=1,[1]!T.in.A[[#This Row],[oo16]],"")</f>
        <v/>
      </c>
      <c r="AM927" s="133" t="str">
        <f>IF(Tab.o1[[#This Row],[a1]]=1,IF(AM$3=1,[1]!T.in.A[[#This Row],[Σo16]],""),"")</f>
        <v/>
      </c>
      <c r="AN927" s="126" t="str">
        <f>IF(Tab.o1[[#This Row],[a1]]=1,[1]!T.in.A[[#This Row],[Σp5]],"")</f>
        <v/>
      </c>
      <c r="AO927" s="126" t="str">
        <f>IF(Tab.o1[[#This Row],[a1]]=1,IF(AO$3=1,[1]!T.in.A[[#This Row],[Σp5]],""),"")</f>
        <v/>
      </c>
      <c r="AP927" s="110" t="str">
        <f>IF(Tab.o1[[#This Row],[a1]]=1,IF(ISNUMBER(Tab.o1[[#This Row],[i.]]),NORMDIST(Tab.o1[[#This Row],[Za]],0,1,FALSE)*Tab.o1[[#This Row],[i.]],0),"")</f>
        <v/>
      </c>
      <c r="AQ927" s="125" t="str">
        <f>IF(Tab.o1[[#This Row],[a1]]=1,ABS(Tab.o1[[#This Row],[MOD]]-AVERAGE(Tab.o1[MOD])),"")</f>
        <v/>
      </c>
      <c r="AR927" s="134" t="str">
        <f>IF(Tab.o1[[#This Row],[a1]]=1,Tab.o1[[#This Row],[OBS]]/SUM(Tab.o1[OBS]),"")</f>
        <v/>
      </c>
      <c r="AS927" s="135" t="str">
        <f>IF(ISNUMBER(Tab.o1[[#This Row],[a1]]),ROW()-4,"")</f>
        <v/>
      </c>
      <c r="AT927" s="136" t="str">
        <f>Tab.o1[[#This Row],[MOD]]</f>
        <v/>
      </c>
      <c r="AU927" s="137" t="str">
        <f t="shared" si="57"/>
        <v/>
      </c>
      <c r="AV927" s="138" t="str">
        <f t="shared" si="58"/>
        <v/>
      </c>
      <c r="AW927" s="138" t="str">
        <f t="shared" si="59"/>
        <v/>
      </c>
      <c r="AX927" s="139" t="str">
        <f>[1]!T.in.A[[#This Row],[ID_T_manu]]</f>
        <v/>
      </c>
      <c r="AY927" s="140" t="str">
        <f>IF(ISNUMBER(Tab.o1[[#This Row],[a1]]),IF(AND(Tab.o1[[#This Row],[a1]]=1,Tab.o1[[#This Row],[b1]]&lt;=AY$4),#REF!,AY926),"")</f>
        <v/>
      </c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6"/>
      <c r="BO927" s="26"/>
      <c r="BP927" s="26"/>
      <c r="BQ927" s="26"/>
      <c r="BR927" s="26"/>
      <c r="BS927" s="26"/>
      <c r="BT927" s="26"/>
      <c r="BU927" s="26"/>
      <c r="BV927" s="26"/>
      <c r="BW927" s="26"/>
      <c r="BX927" s="26"/>
      <c r="BY927" s="26"/>
      <c r="BZ927" s="26"/>
      <c r="CA927" s="26"/>
    </row>
    <row r="928" spans="1:79" ht="15.75" hidden="1">
      <c r="A928" s="109">
        <v>-4.0000000000000007E-6</v>
      </c>
      <c r="B928" s="110">
        <f t="shared" si="56"/>
        <v>928</v>
      </c>
      <c r="C928" s="111" t="str">
        <f>IF(C$1=[1]!T.in.A[[#This Row],[oo2]],1,"")</f>
        <v/>
      </c>
      <c r="D928" s="112" t="str">
        <f>IF(Tab.o1[[#This Row],[a1]]=1,IF(SUM(C928:C929)=0,0,IF(SUM(C927:C928)=1,1,IF(SUM(C927:C929)&gt;1,D927+1,0))),"")</f>
        <v/>
      </c>
      <c r="E928" s="113" t="str">
        <f>IF(Tab.o1[[#This Row],[a1]]=1,[1]!T.in.A[[#This Row],[oo1]],"")</f>
        <v/>
      </c>
      <c r="F928" s="113" t="str">
        <f>IF(Tab.o1[[#This Row],[a1]]=1,[1]!T.in.A[[#This Row],[pp1]],"")</f>
        <v/>
      </c>
      <c r="G928" s="114" t="str">
        <f>IF(Tab.o1[[#This Row],[a1]]=1,G$2+IF(G$1=1,0,Tab.o1[[#This Row],[.x1]])+[1]!T.in.A[[#This Row],[oo3]],"")</f>
        <v/>
      </c>
      <c r="H928" s="115" t="str">
        <f>IF(Tab.o1[[#This Row],[a1]]=1,IF(H$2=0,0,IF(G$1=1,0,Tab.o1[[#This Row],[.x1]])+[1]!T.in.A[[#This Row],[oo4]]),"")</f>
        <v/>
      </c>
      <c r="I928" s="116" t="str">
        <f>IF(Tab.o1[[#This Row],[a1]]=1,IF(J$2=0,Tab.o1[[#This Row],[MED]],Tab.o1[[#This Row],[MOD]]),"")</f>
        <v/>
      </c>
      <c r="J928" s="116" t="str">
        <f>IF(Tab.o1[[#This Row],[a1]]=1,((Tab.o1[[#This Row],[DIF_Target.]]-AVERAGE(Tab.o1[DIF_Target.]))/_xlfn.STDEV.P(Tab.o1[DIF_Target.])),"")</f>
        <v/>
      </c>
      <c r="K928" s="117" t="str">
        <f>IF(Tab.o1[[#This Row],[a1]]=1,IF(J$2=0,Tab.o1[[#This Row],[MOD]]-Tab.o1[[#This Row],[B]],IF(J$2=1,0,-Tab.o1[[#This Row],[MED]])+Tab.o1[[#This Row],[B]]),"")</f>
        <v/>
      </c>
      <c r="L928" s="117" t="str">
        <f ca="1">IF(Tab.o1[[#This Row],[DIF_Target]]=0,IF(L$2=0,Tab.o1[[#This Row],[DIF_Target]],AVERAGE(OFFSET(Tab.o1[[#This Row],[DIF_Target]],1,0,L$3,1)))/3,Tab.o1[[#This Row],[DIF_Target]])</f>
        <v/>
      </c>
      <c r="M928" s="118" t="str">
        <f>IF(Tab.o1[[#This Row],[a1]]=1,NORMSDIST(Tab.o1[[#This Row],[Za]]),"")</f>
        <v/>
      </c>
      <c r="N928" s="119" t="str">
        <f>IF(Tab.o1[[#This Row],[a1]]=1,((Tab.o1[[#This Row],[MedMod]]-AVERAGE(Tab.o1[MedMod]))/_xlfn.STDEV.P(Tab.o1[MedMod])*H$1205)+G$1205,"")</f>
        <v/>
      </c>
      <c r="O928" s="141" t="str">
        <f>IF(Tab.o1[[#This Row],[a1]]=1,Tab.o1[[#This Row],[Zb]]*_xlfn.STDEV.P(Tab.o1[MedMod])+AVERAGE(Tab.o1[MedMod]),"")</f>
        <v/>
      </c>
      <c r="P928" s="117" t="str">
        <f ca="1">IF(Tab.o1[[#This Row],[B]]=0,AVERAGE(OFFSET(Tab.o1[[#This Row],[B]],1,0,L$3,1)),Tab.o1[[#This Row],[B]])</f>
        <v/>
      </c>
      <c r="Q928" s="121" t="str">
        <f>IF(Tab.o1[[#This Row],[a1]]=1,NORMSDIST(Tab.o1[[#This Row],[Zb]]),"")</f>
        <v/>
      </c>
      <c r="R928" s="122" t="str">
        <f>IF(Tab.o1[[#This Row],[a1]]=1,((Tab.o1[[#This Row],[MedMod]]-AVERAGE(Tab.o1[MedMod]))/_xlfn.STDEV.P(Tab.o1[MedMod])*H$1203)+G$1203,"")</f>
        <v/>
      </c>
      <c r="S928" s="122" t="str">
        <f>IF(Tab.o1[[#This Row],[a1]]=1,((Tab.o1[[#This Row],[MedMod]]-AVERAGE(Tab.o1[MedMod]))/_xlfn.STDEV.P(Tab.o1[MedMod])*H$1204)+G$1204,"")</f>
        <v/>
      </c>
      <c r="T928" s="123" t="str">
        <f>IF(Tab.o1[[#This Row],[a1]]=1,Tab.o1[[#This Row],[Z-]]*_xlfn.STDEV.P(Tab.o1[B])+AVERAGE(Tab.o1[B]),"")</f>
        <v/>
      </c>
      <c r="U928" s="123" t="str">
        <f>IF(Tab.o1[[#This Row],[a1]]=1,Tab.o1[[#This Row],[z+]]*_xlfn.STDEV.P(Tab.o1[B])+AVERAGE(Tab.o1[B]),"")</f>
        <v/>
      </c>
      <c r="V928" s="124" t="str">
        <f>IF(Tab.o1[[#This Row],[a1]]=1,ABS((ABS(Tab.o1[[#This Row],[Red]]-Tab.o1[[#This Row],[Blue]]))),"")</f>
        <v/>
      </c>
      <c r="W928" s="125" t="str">
        <f>IF(Tab.o1[[#This Row],[a1]]=1,IF(W$3=0,1,Tab.o1[[#This Row],[Amp.]]*1/_xlfn.MINIFS(Tab.o1[Amp.],Tab.o1[Amp.],"&lt;&gt;0")),"")</f>
        <v/>
      </c>
      <c r="X928" s="126" t="str">
        <f>IF(Tab.o1[[#This Row],[a1]]=1,IF(ISNUMBER(Tab.o1[[#This Row],[i.]]),NORMDIST(Tab.o1[[#This Row],[Za]],0,1,FALSE)*Tab.o1[[#This Row],[i.]],AP$3),"")</f>
        <v/>
      </c>
      <c r="Y928" s="126" t="str">
        <f>IF(Tab.o1[[#This Row],[a1]]=1,0.01+0.94*Tab.o1[[#This Row],[PDF]]/MAX(Tab.o1[PDF]),"")</f>
        <v/>
      </c>
      <c r="Z928" s="126" t="str">
        <f>IF(Tab.o1[[#This Row],[a1]]=1,0.01+0.94*Tab.o1[[#This Row],[W1_PDF]]/MAX(Tab.o1[W1_PDF]),"")</f>
        <v/>
      </c>
      <c r="AA928" s="118" t="str">
        <f>IF(Tab.o1[[#This Row],[a1]]=1,ABS([1]!T.in.A[[#This Row],[oo6]]),"")</f>
        <v/>
      </c>
      <c r="AB928" s="127" t="str">
        <f>IF(Tab.o1[[#This Row],[a1]]=1,IF(AE$3=0,"",IF(AB$3=0,ABS([1]!T.in.A[[#This Row],[oo9]]),ABS(Tab.o1[[#This Row],[DIF_Target.]]*Tab.o1[[#This Row],[W1_PDF]]))),"")</f>
        <v/>
      </c>
      <c r="AC928" s="127" t="str">
        <f>IF(G$1=1,"",IF(Tab.o1[[#This Row],[a1]]=1,Tab.o1[[#This Row],[Wr]]^2,""))</f>
        <v/>
      </c>
      <c r="AD928" s="118" t="str">
        <f>IF(Tab.o1[[#This Row],[a1]]=1,IF(AE$3=0,"",Tab.o1[[#This Row],[Wr2]]/SUM(Tab.o1[Wr2])),"")</f>
        <v/>
      </c>
      <c r="AE928" s="128" t="str">
        <f>IF(Tab.o1[[#This Row],[a1]]=1,[1]!T.in.A[[#This Row],[oo10]],"")</f>
        <v/>
      </c>
      <c r="AF928" s="118" t="str">
        <f>IF(Tab.o1[[#This Row],[a1]]=1,ABS(Tab.o1[[#This Row],[DIF_Target.]]*Tab.o1[[#This Row],[PDF2]]*Tab.o1[[#This Row],[IN]]),"")</f>
        <v/>
      </c>
      <c r="AG928" s="129" t="str">
        <f>IF(Tab.o1[[#This Row],[a1]]=1,Tab.o1[[#This Row],[rW]]^2,"")</f>
        <v/>
      </c>
      <c r="AH928" s="130" t="str">
        <f>IF(Tab.o1[[#This Row],[a1]]=1,IF(AH$3=0,Tab.o1[[#This Row],[rW2]],0.01+0.94*Tab.o1[[#This Row],[rW2]]/SUM(Tab.o1[rW2])),"")</f>
        <v/>
      </c>
      <c r="AI928" s="128" t="str">
        <f>IF(Tab.o1[[#This Row],[a1]]=1,1/Tab.o1[[#This Row],[PDF]],"")</f>
        <v/>
      </c>
      <c r="AJ928" s="131" t="str">
        <f>IF(Tab.o1[[#This Row],[a1]]=1,[1]!T_AA[[#This Row],[IN'']]*[1]!T_AA[[#This Row],[Qde'']],"")</f>
        <v/>
      </c>
      <c r="AK928" s="132" t="str">
        <f>IF(Tab.o1[[#This Row],[a1]]=1,IF(AK$1=1,Tab.o1[[#This Row],[MED]]+Tab.o1[[#This Row],[MOD]]-Tab.o1[[#This Row],[MED]],""),"")</f>
        <v/>
      </c>
      <c r="AL928" s="133" t="str">
        <f>IF(Tab.o1[[#This Row],[a1]]=1,[1]!T.in.A[[#This Row],[oo16]],"")</f>
        <v/>
      </c>
      <c r="AM928" s="133" t="str">
        <f>IF(Tab.o1[[#This Row],[a1]]=1,IF(AM$3=1,[1]!T.in.A[[#This Row],[Σo16]],""),"")</f>
        <v/>
      </c>
      <c r="AN928" s="126" t="str">
        <f>IF(Tab.o1[[#This Row],[a1]]=1,[1]!T.in.A[[#This Row],[Σp5]],"")</f>
        <v/>
      </c>
      <c r="AO928" s="126" t="str">
        <f>IF(Tab.o1[[#This Row],[a1]]=1,IF(AO$3=1,[1]!T.in.A[[#This Row],[Σp5]],""),"")</f>
        <v/>
      </c>
      <c r="AP928" s="110" t="str">
        <f>IF(Tab.o1[[#This Row],[a1]]=1,IF(ISNUMBER(Tab.o1[[#This Row],[i.]]),NORMDIST(Tab.o1[[#This Row],[Za]],0,1,FALSE)*Tab.o1[[#This Row],[i.]],0),"")</f>
        <v/>
      </c>
      <c r="AQ928" s="125" t="str">
        <f>IF(Tab.o1[[#This Row],[a1]]=1,ABS(Tab.o1[[#This Row],[MOD]]-AVERAGE(Tab.o1[MOD])),"")</f>
        <v/>
      </c>
      <c r="AR928" s="134" t="str">
        <f>IF(Tab.o1[[#This Row],[a1]]=1,Tab.o1[[#This Row],[OBS]]/SUM(Tab.o1[OBS]),"")</f>
        <v/>
      </c>
      <c r="AS928" s="135" t="str">
        <f>IF(ISNUMBER(Tab.o1[[#This Row],[a1]]),ROW()-4,"")</f>
        <v/>
      </c>
      <c r="AT928" s="136" t="str">
        <f>Tab.o1[[#This Row],[MOD]]</f>
        <v/>
      </c>
      <c r="AU928" s="137" t="str">
        <f t="shared" si="57"/>
        <v/>
      </c>
      <c r="AV928" s="138" t="str">
        <f t="shared" si="58"/>
        <v/>
      </c>
      <c r="AW928" s="138" t="str">
        <f t="shared" si="59"/>
        <v/>
      </c>
      <c r="AX928" s="139" t="str">
        <f>[1]!T.in.A[[#This Row],[ID_T_manu]]</f>
        <v/>
      </c>
      <c r="AY928" s="140" t="str">
        <f>IF(ISNUMBER(Tab.o1[[#This Row],[a1]]),IF(AND(Tab.o1[[#This Row],[a1]]=1,Tab.o1[[#This Row],[b1]]&lt;=AY$4),#REF!,AY927),"")</f>
        <v/>
      </c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6"/>
      <c r="BO928" s="26"/>
      <c r="BP928" s="26"/>
      <c r="BQ928" s="26"/>
      <c r="BR928" s="26"/>
      <c r="BS928" s="26"/>
      <c r="BT928" s="26"/>
      <c r="BU928" s="26"/>
      <c r="BV928" s="26"/>
      <c r="BW928" s="26"/>
      <c r="BX928" s="26"/>
      <c r="BY928" s="26"/>
      <c r="BZ928" s="26"/>
      <c r="CA928" s="26"/>
    </row>
    <row r="929" spans="1:79" ht="15.75" hidden="1">
      <c r="A929" s="109">
        <v>1.0000000000000002E-6</v>
      </c>
      <c r="B929" s="110">
        <f t="shared" si="56"/>
        <v>929</v>
      </c>
      <c r="C929" s="111" t="str">
        <f>IF(C$1=[1]!T.in.A[[#This Row],[oo2]],1,"")</f>
        <v/>
      </c>
      <c r="D929" s="112" t="str">
        <f>IF(Tab.o1[[#This Row],[a1]]=1,IF(SUM(C929:C930)=0,0,IF(SUM(C928:C929)=1,1,IF(SUM(C928:C930)&gt;1,D928+1,0))),"")</f>
        <v/>
      </c>
      <c r="E929" s="113" t="str">
        <f>IF(Tab.o1[[#This Row],[a1]]=1,[1]!T.in.A[[#This Row],[oo1]],"")</f>
        <v/>
      </c>
      <c r="F929" s="113" t="str">
        <f>IF(Tab.o1[[#This Row],[a1]]=1,[1]!T.in.A[[#This Row],[pp1]],"")</f>
        <v/>
      </c>
      <c r="G929" s="114" t="str">
        <f>IF(Tab.o1[[#This Row],[a1]]=1,G$2+IF(G$1=1,0,Tab.o1[[#This Row],[.x1]])+[1]!T.in.A[[#This Row],[oo3]],"")</f>
        <v/>
      </c>
      <c r="H929" s="115" t="str">
        <f>IF(Tab.o1[[#This Row],[a1]]=1,IF(H$2=0,0,IF(G$1=1,0,Tab.o1[[#This Row],[.x1]])+[1]!T.in.A[[#This Row],[oo4]]),"")</f>
        <v/>
      </c>
      <c r="I929" s="116" t="str">
        <f>IF(Tab.o1[[#This Row],[a1]]=1,IF(J$2=0,Tab.o1[[#This Row],[MED]],Tab.o1[[#This Row],[MOD]]),"")</f>
        <v/>
      </c>
      <c r="J929" s="116" t="str">
        <f>IF(Tab.o1[[#This Row],[a1]]=1,((Tab.o1[[#This Row],[DIF_Target.]]-AVERAGE(Tab.o1[DIF_Target.]))/_xlfn.STDEV.P(Tab.o1[DIF_Target.])),"")</f>
        <v/>
      </c>
      <c r="K929" s="117" t="str">
        <f>IF(Tab.o1[[#This Row],[a1]]=1,IF(J$2=0,Tab.o1[[#This Row],[MOD]]-Tab.o1[[#This Row],[B]],IF(J$2=1,0,-Tab.o1[[#This Row],[MED]])+Tab.o1[[#This Row],[B]]),"")</f>
        <v/>
      </c>
      <c r="L929" s="117" t="str">
        <f ca="1">IF(Tab.o1[[#This Row],[DIF_Target]]=0,IF(L$2=0,Tab.o1[[#This Row],[DIF_Target]],AVERAGE(OFFSET(Tab.o1[[#This Row],[DIF_Target]],1,0,L$3,1)))/3,Tab.o1[[#This Row],[DIF_Target]])</f>
        <v/>
      </c>
      <c r="M929" s="118" t="str">
        <f>IF(Tab.o1[[#This Row],[a1]]=1,NORMSDIST(Tab.o1[[#This Row],[Za]]),"")</f>
        <v/>
      </c>
      <c r="N929" s="119" t="str">
        <f>IF(Tab.o1[[#This Row],[a1]]=1,((Tab.o1[[#This Row],[MedMod]]-AVERAGE(Tab.o1[MedMod]))/_xlfn.STDEV.P(Tab.o1[MedMod])*H$1205)+G$1205,"")</f>
        <v/>
      </c>
      <c r="O929" s="141" t="str">
        <f>IF(Tab.o1[[#This Row],[a1]]=1,Tab.o1[[#This Row],[Zb]]*_xlfn.STDEV.P(Tab.o1[MedMod])+AVERAGE(Tab.o1[MedMod]),"")</f>
        <v/>
      </c>
      <c r="P929" s="117" t="str">
        <f ca="1">IF(Tab.o1[[#This Row],[B]]=0,AVERAGE(OFFSET(Tab.o1[[#This Row],[B]],1,0,L$3,1)),Tab.o1[[#This Row],[B]])</f>
        <v/>
      </c>
      <c r="Q929" s="121" t="str">
        <f>IF(Tab.o1[[#This Row],[a1]]=1,NORMSDIST(Tab.o1[[#This Row],[Zb]]),"")</f>
        <v/>
      </c>
      <c r="R929" s="122" t="str">
        <f>IF(Tab.o1[[#This Row],[a1]]=1,((Tab.o1[[#This Row],[MedMod]]-AVERAGE(Tab.o1[MedMod]))/_xlfn.STDEV.P(Tab.o1[MedMod])*H$1203)+G$1203,"")</f>
        <v/>
      </c>
      <c r="S929" s="122" t="str">
        <f>IF(Tab.o1[[#This Row],[a1]]=1,((Tab.o1[[#This Row],[MedMod]]-AVERAGE(Tab.o1[MedMod]))/_xlfn.STDEV.P(Tab.o1[MedMod])*H$1204)+G$1204,"")</f>
        <v/>
      </c>
      <c r="T929" s="123" t="str">
        <f>IF(Tab.o1[[#This Row],[a1]]=1,Tab.o1[[#This Row],[Z-]]*_xlfn.STDEV.P(Tab.o1[B])+AVERAGE(Tab.o1[B]),"")</f>
        <v/>
      </c>
      <c r="U929" s="123" t="str">
        <f>IF(Tab.o1[[#This Row],[a1]]=1,Tab.o1[[#This Row],[z+]]*_xlfn.STDEV.P(Tab.o1[B])+AVERAGE(Tab.o1[B]),"")</f>
        <v/>
      </c>
      <c r="V929" s="124" t="str">
        <f>IF(Tab.o1[[#This Row],[a1]]=1,ABS((ABS(Tab.o1[[#This Row],[Red]]-Tab.o1[[#This Row],[Blue]]))),"")</f>
        <v/>
      </c>
      <c r="W929" s="125" t="str">
        <f>IF(Tab.o1[[#This Row],[a1]]=1,IF(W$3=0,1,Tab.o1[[#This Row],[Amp.]]*1/_xlfn.MINIFS(Tab.o1[Amp.],Tab.o1[Amp.],"&lt;&gt;0")),"")</f>
        <v/>
      </c>
      <c r="X929" s="126" t="str">
        <f>IF(Tab.o1[[#This Row],[a1]]=1,IF(ISNUMBER(Tab.o1[[#This Row],[i.]]),NORMDIST(Tab.o1[[#This Row],[Za]],0,1,FALSE)*Tab.o1[[#This Row],[i.]],AP$3),"")</f>
        <v/>
      </c>
      <c r="Y929" s="126" t="str">
        <f>IF(Tab.o1[[#This Row],[a1]]=1,0.01+0.94*Tab.o1[[#This Row],[PDF]]/MAX(Tab.o1[PDF]),"")</f>
        <v/>
      </c>
      <c r="Z929" s="126" t="str">
        <f>IF(Tab.o1[[#This Row],[a1]]=1,0.01+0.94*Tab.o1[[#This Row],[W1_PDF]]/MAX(Tab.o1[W1_PDF]),"")</f>
        <v/>
      </c>
      <c r="AA929" s="118" t="str">
        <f>IF(Tab.o1[[#This Row],[a1]]=1,ABS([1]!T.in.A[[#This Row],[oo6]]),"")</f>
        <v/>
      </c>
      <c r="AB929" s="127" t="str">
        <f>IF(Tab.o1[[#This Row],[a1]]=1,IF(AE$3=0,"",IF(AB$3=0,ABS([1]!T.in.A[[#This Row],[oo9]]),ABS(Tab.o1[[#This Row],[DIF_Target.]]*Tab.o1[[#This Row],[W1_PDF]]))),"")</f>
        <v/>
      </c>
      <c r="AC929" s="127" t="str">
        <f>IF(G$1=1,"",IF(Tab.o1[[#This Row],[a1]]=1,Tab.o1[[#This Row],[Wr]]^2,""))</f>
        <v/>
      </c>
      <c r="AD929" s="118" t="str">
        <f>IF(Tab.o1[[#This Row],[a1]]=1,IF(AE$3=0,"",Tab.o1[[#This Row],[Wr2]]/SUM(Tab.o1[Wr2])),"")</f>
        <v/>
      </c>
      <c r="AE929" s="128" t="str">
        <f>IF(Tab.o1[[#This Row],[a1]]=1,[1]!T.in.A[[#This Row],[oo10]],"")</f>
        <v/>
      </c>
      <c r="AF929" s="118" t="str">
        <f>IF(Tab.o1[[#This Row],[a1]]=1,ABS(Tab.o1[[#This Row],[DIF_Target.]]*Tab.o1[[#This Row],[PDF2]]*Tab.o1[[#This Row],[IN]]),"")</f>
        <v/>
      </c>
      <c r="AG929" s="129" t="str">
        <f>IF(Tab.o1[[#This Row],[a1]]=1,Tab.o1[[#This Row],[rW]]^2,"")</f>
        <v/>
      </c>
      <c r="AH929" s="130" t="str">
        <f>IF(Tab.o1[[#This Row],[a1]]=1,IF(AH$3=0,Tab.o1[[#This Row],[rW2]],0.01+0.94*Tab.o1[[#This Row],[rW2]]/SUM(Tab.o1[rW2])),"")</f>
        <v/>
      </c>
      <c r="AI929" s="128" t="str">
        <f>IF(Tab.o1[[#This Row],[a1]]=1,1/Tab.o1[[#This Row],[PDF]],"")</f>
        <v/>
      </c>
      <c r="AJ929" s="131" t="str">
        <f>IF(Tab.o1[[#This Row],[a1]]=1,[1]!T_AA[[#This Row],[IN'']]*[1]!T_AA[[#This Row],[Qde'']],"")</f>
        <v/>
      </c>
      <c r="AK929" s="132" t="str">
        <f>IF(Tab.o1[[#This Row],[a1]]=1,IF(AK$1=1,Tab.o1[[#This Row],[MED]]+Tab.o1[[#This Row],[MOD]]-Tab.o1[[#This Row],[MED]],""),"")</f>
        <v/>
      </c>
      <c r="AL929" s="133" t="str">
        <f>IF(Tab.o1[[#This Row],[a1]]=1,[1]!T.in.A[[#This Row],[oo16]],"")</f>
        <v/>
      </c>
      <c r="AM929" s="133" t="str">
        <f>IF(Tab.o1[[#This Row],[a1]]=1,IF(AM$3=1,[1]!T.in.A[[#This Row],[Σo16]],""),"")</f>
        <v/>
      </c>
      <c r="AN929" s="126" t="str">
        <f>IF(Tab.o1[[#This Row],[a1]]=1,[1]!T.in.A[[#This Row],[Σp5]],"")</f>
        <v/>
      </c>
      <c r="AO929" s="126" t="str">
        <f>IF(Tab.o1[[#This Row],[a1]]=1,IF(AO$3=1,[1]!T.in.A[[#This Row],[Σp5]],""),"")</f>
        <v/>
      </c>
      <c r="AP929" s="110" t="str">
        <f>IF(Tab.o1[[#This Row],[a1]]=1,IF(ISNUMBER(Tab.o1[[#This Row],[i.]]),NORMDIST(Tab.o1[[#This Row],[Za]],0,1,FALSE)*Tab.o1[[#This Row],[i.]],0),"")</f>
        <v/>
      </c>
      <c r="AQ929" s="125" t="str">
        <f>IF(Tab.o1[[#This Row],[a1]]=1,ABS(Tab.o1[[#This Row],[MOD]]-AVERAGE(Tab.o1[MOD])),"")</f>
        <v/>
      </c>
      <c r="AR929" s="134" t="str">
        <f>IF(Tab.o1[[#This Row],[a1]]=1,Tab.o1[[#This Row],[OBS]]/SUM(Tab.o1[OBS]),"")</f>
        <v/>
      </c>
      <c r="AS929" s="135" t="str">
        <f>IF(ISNUMBER(Tab.o1[[#This Row],[a1]]),ROW()-4,"")</f>
        <v/>
      </c>
      <c r="AT929" s="136" t="str">
        <f>Tab.o1[[#This Row],[MOD]]</f>
        <v/>
      </c>
      <c r="AU929" s="137" t="str">
        <f t="shared" si="57"/>
        <v/>
      </c>
      <c r="AV929" s="138" t="str">
        <f t="shared" si="58"/>
        <v/>
      </c>
      <c r="AW929" s="138" t="str">
        <f t="shared" si="59"/>
        <v/>
      </c>
      <c r="AX929" s="139" t="str">
        <f>[1]!T.in.A[[#This Row],[ID_T_manu]]</f>
        <v/>
      </c>
      <c r="AY929" s="140" t="str">
        <f>IF(ISNUMBER(Tab.o1[[#This Row],[a1]]),IF(AND(Tab.o1[[#This Row],[a1]]=1,Tab.o1[[#This Row],[b1]]&lt;=AY$4),#REF!,AY928),"")</f>
        <v/>
      </c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6"/>
      <c r="BO929" s="26"/>
      <c r="BP929" s="26"/>
      <c r="BQ929" s="26"/>
      <c r="BR929" s="26"/>
      <c r="BS929" s="26"/>
      <c r="BT929" s="26"/>
      <c r="BU929" s="26"/>
      <c r="BV929" s="26"/>
      <c r="BW929" s="26"/>
      <c r="BX929" s="26"/>
      <c r="BY929" s="26"/>
      <c r="BZ929" s="26"/>
      <c r="CA929" s="26"/>
    </row>
    <row r="930" spans="1:79" ht="15.75" hidden="1">
      <c r="A930" s="109">
        <v>2.0000000000000003E-6</v>
      </c>
      <c r="B930" s="110">
        <f t="shared" si="56"/>
        <v>930</v>
      </c>
      <c r="C930" s="111" t="str">
        <f>IF(C$1=[1]!T.in.A[[#This Row],[oo2]],1,"")</f>
        <v/>
      </c>
      <c r="D930" s="112" t="str">
        <f>IF(Tab.o1[[#This Row],[a1]]=1,IF(SUM(C930:C931)=0,0,IF(SUM(C929:C930)=1,1,IF(SUM(C929:C931)&gt;1,D929+1,0))),"")</f>
        <v/>
      </c>
      <c r="E930" s="113" t="str">
        <f>IF(Tab.o1[[#This Row],[a1]]=1,[1]!T.in.A[[#This Row],[oo1]],"")</f>
        <v/>
      </c>
      <c r="F930" s="113" t="str">
        <f>IF(Tab.o1[[#This Row],[a1]]=1,[1]!T.in.A[[#This Row],[pp1]],"")</f>
        <v/>
      </c>
      <c r="G930" s="114" t="str">
        <f>IF(Tab.o1[[#This Row],[a1]]=1,G$2+IF(G$1=1,0,Tab.o1[[#This Row],[.x1]])+[1]!T.in.A[[#This Row],[oo3]],"")</f>
        <v/>
      </c>
      <c r="H930" s="115" t="str">
        <f>IF(Tab.o1[[#This Row],[a1]]=1,IF(H$2=0,0,IF(G$1=1,0,Tab.o1[[#This Row],[.x1]])+[1]!T.in.A[[#This Row],[oo4]]),"")</f>
        <v/>
      </c>
      <c r="I930" s="116" t="str">
        <f>IF(Tab.o1[[#This Row],[a1]]=1,IF(J$2=0,Tab.o1[[#This Row],[MED]],Tab.o1[[#This Row],[MOD]]),"")</f>
        <v/>
      </c>
      <c r="J930" s="116" t="str">
        <f>IF(Tab.o1[[#This Row],[a1]]=1,((Tab.o1[[#This Row],[DIF_Target.]]-AVERAGE(Tab.o1[DIF_Target.]))/_xlfn.STDEV.P(Tab.o1[DIF_Target.])),"")</f>
        <v/>
      </c>
      <c r="K930" s="117" t="str">
        <f>IF(Tab.o1[[#This Row],[a1]]=1,IF(J$2=0,Tab.o1[[#This Row],[MOD]]-Tab.o1[[#This Row],[B]],IF(J$2=1,0,-Tab.o1[[#This Row],[MED]])+Tab.o1[[#This Row],[B]]),"")</f>
        <v/>
      </c>
      <c r="L930" s="117" t="str">
        <f ca="1">IF(Tab.o1[[#This Row],[DIF_Target]]=0,IF(L$2=0,Tab.o1[[#This Row],[DIF_Target]],AVERAGE(OFFSET(Tab.o1[[#This Row],[DIF_Target]],1,0,L$3,1)))/3,Tab.o1[[#This Row],[DIF_Target]])</f>
        <v/>
      </c>
      <c r="M930" s="118" t="str">
        <f>IF(Tab.o1[[#This Row],[a1]]=1,NORMSDIST(Tab.o1[[#This Row],[Za]]),"")</f>
        <v/>
      </c>
      <c r="N930" s="119" t="str">
        <f>IF(Tab.o1[[#This Row],[a1]]=1,((Tab.o1[[#This Row],[MedMod]]-AVERAGE(Tab.o1[MedMod]))/_xlfn.STDEV.P(Tab.o1[MedMod])*H$1205)+G$1205,"")</f>
        <v/>
      </c>
      <c r="O930" s="141" t="str">
        <f>IF(Tab.o1[[#This Row],[a1]]=1,Tab.o1[[#This Row],[Zb]]*_xlfn.STDEV.P(Tab.o1[MedMod])+AVERAGE(Tab.o1[MedMod]),"")</f>
        <v/>
      </c>
      <c r="P930" s="117" t="str">
        <f ca="1">IF(Tab.o1[[#This Row],[B]]=0,AVERAGE(OFFSET(Tab.o1[[#This Row],[B]],1,0,L$3,1)),Tab.o1[[#This Row],[B]])</f>
        <v/>
      </c>
      <c r="Q930" s="121" t="str">
        <f>IF(Tab.o1[[#This Row],[a1]]=1,NORMSDIST(Tab.o1[[#This Row],[Zb]]),"")</f>
        <v/>
      </c>
      <c r="R930" s="122" t="str">
        <f>IF(Tab.o1[[#This Row],[a1]]=1,((Tab.o1[[#This Row],[MedMod]]-AVERAGE(Tab.o1[MedMod]))/_xlfn.STDEV.P(Tab.o1[MedMod])*H$1203)+G$1203,"")</f>
        <v/>
      </c>
      <c r="S930" s="122" t="str">
        <f>IF(Tab.o1[[#This Row],[a1]]=1,((Tab.o1[[#This Row],[MedMod]]-AVERAGE(Tab.o1[MedMod]))/_xlfn.STDEV.P(Tab.o1[MedMod])*H$1204)+G$1204,"")</f>
        <v/>
      </c>
      <c r="T930" s="123" t="str">
        <f>IF(Tab.o1[[#This Row],[a1]]=1,Tab.o1[[#This Row],[Z-]]*_xlfn.STDEV.P(Tab.o1[B])+AVERAGE(Tab.o1[B]),"")</f>
        <v/>
      </c>
      <c r="U930" s="123" t="str">
        <f>IF(Tab.o1[[#This Row],[a1]]=1,Tab.o1[[#This Row],[z+]]*_xlfn.STDEV.P(Tab.o1[B])+AVERAGE(Tab.o1[B]),"")</f>
        <v/>
      </c>
      <c r="V930" s="124" t="str">
        <f>IF(Tab.o1[[#This Row],[a1]]=1,ABS((ABS(Tab.o1[[#This Row],[Red]]-Tab.o1[[#This Row],[Blue]]))),"")</f>
        <v/>
      </c>
      <c r="W930" s="125" t="str">
        <f>IF(Tab.o1[[#This Row],[a1]]=1,IF(W$3=0,1,Tab.o1[[#This Row],[Amp.]]*1/_xlfn.MINIFS(Tab.o1[Amp.],Tab.o1[Amp.],"&lt;&gt;0")),"")</f>
        <v/>
      </c>
      <c r="X930" s="126" t="str">
        <f>IF(Tab.o1[[#This Row],[a1]]=1,IF(ISNUMBER(Tab.o1[[#This Row],[i.]]),NORMDIST(Tab.o1[[#This Row],[Za]],0,1,FALSE)*Tab.o1[[#This Row],[i.]],AP$3),"")</f>
        <v/>
      </c>
      <c r="Y930" s="126" t="str">
        <f>IF(Tab.o1[[#This Row],[a1]]=1,0.01+0.94*Tab.o1[[#This Row],[PDF]]/MAX(Tab.o1[PDF]),"")</f>
        <v/>
      </c>
      <c r="Z930" s="126" t="str">
        <f>IF(Tab.o1[[#This Row],[a1]]=1,0.01+0.94*Tab.o1[[#This Row],[W1_PDF]]/MAX(Tab.o1[W1_PDF]),"")</f>
        <v/>
      </c>
      <c r="AA930" s="118" t="str">
        <f>IF(Tab.o1[[#This Row],[a1]]=1,ABS([1]!T.in.A[[#This Row],[oo6]]),"")</f>
        <v/>
      </c>
      <c r="AB930" s="127" t="str">
        <f>IF(Tab.o1[[#This Row],[a1]]=1,IF(AE$3=0,"",IF(AB$3=0,ABS([1]!T.in.A[[#This Row],[oo9]]),ABS(Tab.o1[[#This Row],[DIF_Target.]]*Tab.o1[[#This Row],[W1_PDF]]))),"")</f>
        <v/>
      </c>
      <c r="AC930" s="127" t="str">
        <f>IF(G$1=1,"",IF(Tab.o1[[#This Row],[a1]]=1,Tab.o1[[#This Row],[Wr]]^2,""))</f>
        <v/>
      </c>
      <c r="AD930" s="118" t="str">
        <f>IF(Tab.o1[[#This Row],[a1]]=1,IF(AE$3=0,"",Tab.o1[[#This Row],[Wr2]]/SUM(Tab.o1[Wr2])),"")</f>
        <v/>
      </c>
      <c r="AE930" s="128" t="str">
        <f>IF(Tab.o1[[#This Row],[a1]]=1,[1]!T.in.A[[#This Row],[oo10]],"")</f>
        <v/>
      </c>
      <c r="AF930" s="118" t="str">
        <f>IF(Tab.o1[[#This Row],[a1]]=1,ABS(Tab.o1[[#This Row],[DIF_Target.]]*Tab.o1[[#This Row],[PDF2]]*Tab.o1[[#This Row],[IN]]),"")</f>
        <v/>
      </c>
      <c r="AG930" s="129" t="str">
        <f>IF(Tab.o1[[#This Row],[a1]]=1,Tab.o1[[#This Row],[rW]]^2,"")</f>
        <v/>
      </c>
      <c r="AH930" s="130" t="str">
        <f>IF(Tab.o1[[#This Row],[a1]]=1,IF(AH$3=0,Tab.o1[[#This Row],[rW2]],0.01+0.94*Tab.o1[[#This Row],[rW2]]/SUM(Tab.o1[rW2])),"")</f>
        <v/>
      </c>
      <c r="AI930" s="128" t="str">
        <f>IF(Tab.o1[[#This Row],[a1]]=1,1/Tab.o1[[#This Row],[PDF]],"")</f>
        <v/>
      </c>
      <c r="AJ930" s="131" t="str">
        <f>IF(Tab.o1[[#This Row],[a1]]=1,[1]!T_AA[[#This Row],[IN'']]*[1]!T_AA[[#This Row],[Qde'']],"")</f>
        <v/>
      </c>
      <c r="AK930" s="132" t="str">
        <f>IF(Tab.o1[[#This Row],[a1]]=1,IF(AK$1=1,Tab.o1[[#This Row],[MED]]+Tab.o1[[#This Row],[MOD]]-Tab.o1[[#This Row],[MED]],""),"")</f>
        <v/>
      </c>
      <c r="AL930" s="133" t="str">
        <f>IF(Tab.o1[[#This Row],[a1]]=1,[1]!T.in.A[[#This Row],[oo16]],"")</f>
        <v/>
      </c>
      <c r="AM930" s="133" t="str">
        <f>IF(Tab.o1[[#This Row],[a1]]=1,IF(AM$3=1,[1]!T.in.A[[#This Row],[Σo16]],""),"")</f>
        <v/>
      </c>
      <c r="AN930" s="126" t="str">
        <f>IF(Tab.o1[[#This Row],[a1]]=1,[1]!T.in.A[[#This Row],[Σp5]],"")</f>
        <v/>
      </c>
      <c r="AO930" s="126" t="str">
        <f>IF(Tab.o1[[#This Row],[a1]]=1,IF(AO$3=1,[1]!T.in.A[[#This Row],[Σp5]],""),"")</f>
        <v/>
      </c>
      <c r="AP930" s="110" t="str">
        <f>IF(Tab.o1[[#This Row],[a1]]=1,IF(ISNUMBER(Tab.o1[[#This Row],[i.]]),NORMDIST(Tab.o1[[#This Row],[Za]],0,1,FALSE)*Tab.o1[[#This Row],[i.]],0),"")</f>
        <v/>
      </c>
      <c r="AQ930" s="125" t="str">
        <f>IF(Tab.o1[[#This Row],[a1]]=1,ABS(Tab.o1[[#This Row],[MOD]]-AVERAGE(Tab.o1[MOD])),"")</f>
        <v/>
      </c>
      <c r="AR930" s="134" t="str">
        <f>IF(Tab.o1[[#This Row],[a1]]=1,Tab.o1[[#This Row],[OBS]]/SUM(Tab.o1[OBS]),"")</f>
        <v/>
      </c>
      <c r="AS930" s="135" t="str">
        <f>IF(ISNUMBER(Tab.o1[[#This Row],[a1]]),ROW()-4,"")</f>
        <v/>
      </c>
      <c r="AT930" s="136" t="str">
        <f>Tab.o1[[#This Row],[MOD]]</f>
        <v/>
      </c>
      <c r="AU930" s="137" t="str">
        <f t="shared" si="57"/>
        <v/>
      </c>
      <c r="AV930" s="138" t="str">
        <f t="shared" si="58"/>
        <v/>
      </c>
      <c r="AW930" s="138" t="str">
        <f t="shared" si="59"/>
        <v/>
      </c>
      <c r="AX930" s="139" t="str">
        <f>[1]!T.in.A[[#This Row],[ID_T_manu]]</f>
        <v/>
      </c>
      <c r="AY930" s="140" t="str">
        <f>IF(ISNUMBER(Tab.o1[[#This Row],[a1]]),IF(AND(Tab.o1[[#This Row],[a1]]=1,Tab.o1[[#This Row],[b1]]&lt;=AY$4),#REF!,AY929),"")</f>
        <v/>
      </c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6"/>
      <c r="BO930" s="26"/>
      <c r="BP930" s="26"/>
      <c r="BQ930" s="26"/>
      <c r="BR930" s="26"/>
      <c r="BS930" s="26"/>
      <c r="BT930" s="26"/>
      <c r="BU930" s="26"/>
      <c r="BV930" s="26"/>
      <c r="BW930" s="26"/>
      <c r="BX930" s="26"/>
      <c r="BY930" s="26"/>
      <c r="BZ930" s="26"/>
      <c r="CA930" s="26"/>
    </row>
    <row r="931" spans="1:79" ht="15.75" hidden="1">
      <c r="A931" s="109">
        <v>2.9999999999999997E-6</v>
      </c>
      <c r="B931" s="110">
        <f t="shared" si="56"/>
        <v>931</v>
      </c>
      <c r="C931" s="111" t="str">
        <f>IF(C$1=[1]!T.in.A[[#This Row],[oo2]],1,"")</f>
        <v/>
      </c>
      <c r="D931" s="112" t="str">
        <f>IF(Tab.o1[[#This Row],[a1]]=1,IF(SUM(C931:C932)=0,0,IF(SUM(C930:C931)=1,1,IF(SUM(C930:C932)&gt;1,D930+1,0))),"")</f>
        <v/>
      </c>
      <c r="E931" s="113" t="str">
        <f>IF(Tab.o1[[#This Row],[a1]]=1,[1]!T.in.A[[#This Row],[oo1]],"")</f>
        <v/>
      </c>
      <c r="F931" s="113" t="str">
        <f>IF(Tab.o1[[#This Row],[a1]]=1,[1]!T.in.A[[#This Row],[pp1]],"")</f>
        <v/>
      </c>
      <c r="G931" s="114" t="str">
        <f>IF(Tab.o1[[#This Row],[a1]]=1,G$2+IF(G$1=1,0,Tab.o1[[#This Row],[.x1]])+[1]!T.in.A[[#This Row],[oo3]],"")</f>
        <v/>
      </c>
      <c r="H931" s="115" t="str">
        <f>IF(Tab.o1[[#This Row],[a1]]=1,IF(H$2=0,0,IF(G$1=1,0,Tab.o1[[#This Row],[.x1]])+[1]!T.in.A[[#This Row],[oo4]]),"")</f>
        <v/>
      </c>
      <c r="I931" s="116" t="str">
        <f>IF(Tab.o1[[#This Row],[a1]]=1,IF(J$2=0,Tab.o1[[#This Row],[MED]],Tab.o1[[#This Row],[MOD]]),"")</f>
        <v/>
      </c>
      <c r="J931" s="116" t="str">
        <f>IF(Tab.o1[[#This Row],[a1]]=1,((Tab.o1[[#This Row],[DIF_Target.]]-AVERAGE(Tab.o1[DIF_Target.]))/_xlfn.STDEV.P(Tab.o1[DIF_Target.])),"")</f>
        <v/>
      </c>
      <c r="K931" s="117" t="str">
        <f>IF(Tab.o1[[#This Row],[a1]]=1,IF(J$2=0,Tab.o1[[#This Row],[MOD]]-Tab.o1[[#This Row],[B]],IF(J$2=1,0,-Tab.o1[[#This Row],[MED]])+Tab.o1[[#This Row],[B]]),"")</f>
        <v/>
      </c>
      <c r="L931" s="117" t="str">
        <f ca="1">IF(Tab.o1[[#This Row],[DIF_Target]]=0,IF(L$2=0,Tab.o1[[#This Row],[DIF_Target]],AVERAGE(OFFSET(Tab.o1[[#This Row],[DIF_Target]],1,0,L$3,1)))/3,Tab.o1[[#This Row],[DIF_Target]])</f>
        <v/>
      </c>
      <c r="M931" s="118" t="str">
        <f>IF(Tab.o1[[#This Row],[a1]]=1,NORMSDIST(Tab.o1[[#This Row],[Za]]),"")</f>
        <v/>
      </c>
      <c r="N931" s="119" t="str">
        <f>IF(Tab.o1[[#This Row],[a1]]=1,((Tab.o1[[#This Row],[MedMod]]-AVERAGE(Tab.o1[MedMod]))/_xlfn.STDEV.P(Tab.o1[MedMod])*H$1205)+G$1205,"")</f>
        <v/>
      </c>
      <c r="O931" s="141" t="str">
        <f>IF(Tab.o1[[#This Row],[a1]]=1,Tab.o1[[#This Row],[Zb]]*_xlfn.STDEV.P(Tab.o1[MedMod])+AVERAGE(Tab.o1[MedMod]),"")</f>
        <v/>
      </c>
      <c r="P931" s="117" t="str">
        <f ca="1">IF(Tab.o1[[#This Row],[B]]=0,AVERAGE(OFFSET(Tab.o1[[#This Row],[B]],1,0,L$3,1)),Tab.o1[[#This Row],[B]])</f>
        <v/>
      </c>
      <c r="Q931" s="121" t="str">
        <f>IF(Tab.o1[[#This Row],[a1]]=1,NORMSDIST(Tab.o1[[#This Row],[Zb]]),"")</f>
        <v/>
      </c>
      <c r="R931" s="122" t="str">
        <f>IF(Tab.o1[[#This Row],[a1]]=1,((Tab.o1[[#This Row],[MedMod]]-AVERAGE(Tab.o1[MedMod]))/_xlfn.STDEV.P(Tab.o1[MedMod])*H$1203)+G$1203,"")</f>
        <v/>
      </c>
      <c r="S931" s="122" t="str">
        <f>IF(Tab.o1[[#This Row],[a1]]=1,((Tab.o1[[#This Row],[MedMod]]-AVERAGE(Tab.o1[MedMod]))/_xlfn.STDEV.P(Tab.o1[MedMod])*H$1204)+G$1204,"")</f>
        <v/>
      </c>
      <c r="T931" s="123" t="str">
        <f>IF(Tab.o1[[#This Row],[a1]]=1,Tab.o1[[#This Row],[Z-]]*_xlfn.STDEV.P(Tab.o1[B])+AVERAGE(Tab.o1[B]),"")</f>
        <v/>
      </c>
      <c r="U931" s="123" t="str">
        <f>IF(Tab.o1[[#This Row],[a1]]=1,Tab.o1[[#This Row],[z+]]*_xlfn.STDEV.P(Tab.o1[B])+AVERAGE(Tab.o1[B]),"")</f>
        <v/>
      </c>
      <c r="V931" s="124" t="str">
        <f>IF(Tab.o1[[#This Row],[a1]]=1,ABS((ABS(Tab.o1[[#This Row],[Red]]-Tab.o1[[#This Row],[Blue]]))),"")</f>
        <v/>
      </c>
      <c r="W931" s="125" t="str">
        <f>IF(Tab.o1[[#This Row],[a1]]=1,IF(W$3=0,1,Tab.o1[[#This Row],[Amp.]]*1/_xlfn.MINIFS(Tab.o1[Amp.],Tab.o1[Amp.],"&lt;&gt;0")),"")</f>
        <v/>
      </c>
      <c r="X931" s="126" t="str">
        <f>IF(Tab.o1[[#This Row],[a1]]=1,IF(ISNUMBER(Tab.o1[[#This Row],[i.]]),NORMDIST(Tab.o1[[#This Row],[Za]],0,1,FALSE)*Tab.o1[[#This Row],[i.]],AP$3),"")</f>
        <v/>
      </c>
      <c r="Y931" s="126" t="str">
        <f>IF(Tab.o1[[#This Row],[a1]]=1,0.01+0.94*Tab.o1[[#This Row],[PDF]]/MAX(Tab.o1[PDF]),"")</f>
        <v/>
      </c>
      <c r="Z931" s="126" t="str">
        <f>IF(Tab.o1[[#This Row],[a1]]=1,0.01+0.94*Tab.o1[[#This Row],[W1_PDF]]/MAX(Tab.o1[W1_PDF]),"")</f>
        <v/>
      </c>
      <c r="AA931" s="118" t="str">
        <f>IF(Tab.o1[[#This Row],[a1]]=1,ABS([1]!T.in.A[[#This Row],[oo6]]),"")</f>
        <v/>
      </c>
      <c r="AB931" s="127" t="str">
        <f>IF(Tab.o1[[#This Row],[a1]]=1,IF(AE$3=0,"",IF(AB$3=0,ABS([1]!T.in.A[[#This Row],[oo9]]),ABS(Tab.o1[[#This Row],[DIF_Target.]]*Tab.o1[[#This Row],[W1_PDF]]))),"")</f>
        <v/>
      </c>
      <c r="AC931" s="127" t="str">
        <f>IF(G$1=1,"",IF(Tab.o1[[#This Row],[a1]]=1,Tab.o1[[#This Row],[Wr]]^2,""))</f>
        <v/>
      </c>
      <c r="AD931" s="118" t="str">
        <f>IF(Tab.o1[[#This Row],[a1]]=1,IF(AE$3=0,"",Tab.o1[[#This Row],[Wr2]]/SUM(Tab.o1[Wr2])),"")</f>
        <v/>
      </c>
      <c r="AE931" s="128" t="str">
        <f>IF(Tab.o1[[#This Row],[a1]]=1,[1]!T.in.A[[#This Row],[oo10]],"")</f>
        <v/>
      </c>
      <c r="AF931" s="118" t="str">
        <f>IF(Tab.o1[[#This Row],[a1]]=1,ABS(Tab.o1[[#This Row],[DIF_Target.]]*Tab.o1[[#This Row],[PDF2]]*Tab.o1[[#This Row],[IN]]),"")</f>
        <v/>
      </c>
      <c r="AG931" s="129" t="str">
        <f>IF(Tab.o1[[#This Row],[a1]]=1,Tab.o1[[#This Row],[rW]]^2,"")</f>
        <v/>
      </c>
      <c r="AH931" s="130" t="str">
        <f>IF(Tab.o1[[#This Row],[a1]]=1,IF(AH$3=0,Tab.o1[[#This Row],[rW2]],0.01+0.94*Tab.o1[[#This Row],[rW2]]/SUM(Tab.o1[rW2])),"")</f>
        <v/>
      </c>
      <c r="AI931" s="128" t="str">
        <f>IF(Tab.o1[[#This Row],[a1]]=1,1/Tab.o1[[#This Row],[PDF]],"")</f>
        <v/>
      </c>
      <c r="AJ931" s="131" t="str">
        <f>IF(Tab.o1[[#This Row],[a1]]=1,[1]!T_AA[[#This Row],[IN'']]*[1]!T_AA[[#This Row],[Qde'']],"")</f>
        <v/>
      </c>
      <c r="AK931" s="132" t="str">
        <f>IF(Tab.o1[[#This Row],[a1]]=1,IF(AK$1=1,Tab.o1[[#This Row],[MED]]+Tab.o1[[#This Row],[MOD]]-Tab.o1[[#This Row],[MED]],""),"")</f>
        <v/>
      </c>
      <c r="AL931" s="133" t="str">
        <f>IF(Tab.o1[[#This Row],[a1]]=1,[1]!T.in.A[[#This Row],[oo16]],"")</f>
        <v/>
      </c>
      <c r="AM931" s="133" t="str">
        <f>IF(Tab.o1[[#This Row],[a1]]=1,IF(AM$3=1,[1]!T.in.A[[#This Row],[Σo16]],""),"")</f>
        <v/>
      </c>
      <c r="AN931" s="126" t="str">
        <f>IF(Tab.o1[[#This Row],[a1]]=1,[1]!T.in.A[[#This Row],[Σp5]],"")</f>
        <v/>
      </c>
      <c r="AO931" s="126" t="str">
        <f>IF(Tab.o1[[#This Row],[a1]]=1,IF(AO$3=1,[1]!T.in.A[[#This Row],[Σp5]],""),"")</f>
        <v/>
      </c>
      <c r="AP931" s="110" t="str">
        <f>IF(Tab.o1[[#This Row],[a1]]=1,IF(ISNUMBER(Tab.o1[[#This Row],[i.]]),NORMDIST(Tab.o1[[#This Row],[Za]],0,1,FALSE)*Tab.o1[[#This Row],[i.]],0),"")</f>
        <v/>
      </c>
      <c r="AQ931" s="125" t="str">
        <f>IF(Tab.o1[[#This Row],[a1]]=1,ABS(Tab.o1[[#This Row],[MOD]]-AVERAGE(Tab.o1[MOD])),"")</f>
        <v/>
      </c>
      <c r="AR931" s="134" t="str">
        <f>IF(Tab.o1[[#This Row],[a1]]=1,Tab.o1[[#This Row],[OBS]]/SUM(Tab.o1[OBS]),"")</f>
        <v/>
      </c>
      <c r="AS931" s="135" t="str">
        <f>IF(ISNUMBER(Tab.o1[[#This Row],[a1]]),ROW()-4,"")</f>
        <v/>
      </c>
      <c r="AT931" s="136" t="str">
        <f>Tab.o1[[#This Row],[MOD]]</f>
        <v/>
      </c>
      <c r="AU931" s="137" t="str">
        <f t="shared" si="57"/>
        <v/>
      </c>
      <c r="AV931" s="138" t="str">
        <f t="shared" si="58"/>
        <v/>
      </c>
      <c r="AW931" s="138" t="str">
        <f t="shared" si="59"/>
        <v/>
      </c>
      <c r="AX931" s="139" t="str">
        <f>[1]!T.in.A[[#This Row],[ID_T_manu]]</f>
        <v/>
      </c>
      <c r="AY931" s="140" t="str">
        <f>IF(ISNUMBER(Tab.o1[[#This Row],[a1]]),IF(AND(Tab.o1[[#This Row],[a1]]=1,Tab.o1[[#This Row],[b1]]&lt;=AY$4),#REF!,AY930),"")</f>
        <v/>
      </c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6"/>
      <c r="BO931" s="26"/>
      <c r="BP931" s="26"/>
      <c r="BQ931" s="26"/>
      <c r="BR931" s="26"/>
      <c r="BS931" s="26"/>
      <c r="BT931" s="26"/>
      <c r="BU931" s="26"/>
      <c r="BV931" s="26"/>
      <c r="BW931" s="26"/>
      <c r="BX931" s="26"/>
      <c r="BY931" s="26"/>
      <c r="BZ931" s="26"/>
      <c r="CA931" s="26"/>
    </row>
    <row r="932" spans="1:79" ht="15.75" hidden="1">
      <c r="A932" s="109">
        <v>1.0000000000000001E-5</v>
      </c>
      <c r="B932" s="110">
        <f t="shared" si="56"/>
        <v>932</v>
      </c>
      <c r="C932" s="111" t="str">
        <f>IF(C$1=[1]!T.in.A[[#This Row],[oo2]],1,"")</f>
        <v/>
      </c>
      <c r="D932" s="112" t="str">
        <f>IF(Tab.o1[[#This Row],[a1]]=1,IF(SUM(C932:C933)=0,0,IF(SUM(C931:C932)=1,1,IF(SUM(C931:C933)&gt;1,D931+1,0))),"")</f>
        <v/>
      </c>
      <c r="E932" s="113" t="str">
        <f>IF(Tab.o1[[#This Row],[a1]]=1,[1]!T.in.A[[#This Row],[oo1]],"")</f>
        <v/>
      </c>
      <c r="F932" s="113" t="str">
        <f>IF(Tab.o1[[#This Row],[a1]]=1,[1]!T.in.A[[#This Row],[pp1]],"")</f>
        <v/>
      </c>
      <c r="G932" s="114" t="str">
        <f>IF(Tab.o1[[#This Row],[a1]]=1,G$2+IF(G$1=1,0,Tab.o1[[#This Row],[.x1]])+[1]!T.in.A[[#This Row],[oo3]],"")</f>
        <v/>
      </c>
      <c r="H932" s="115" t="str">
        <f>IF(Tab.o1[[#This Row],[a1]]=1,IF(H$2=0,0,IF(G$1=1,0,Tab.o1[[#This Row],[.x1]])+[1]!T.in.A[[#This Row],[oo4]]),"")</f>
        <v/>
      </c>
      <c r="I932" s="116" t="str">
        <f>IF(Tab.o1[[#This Row],[a1]]=1,IF(J$2=0,Tab.o1[[#This Row],[MED]],Tab.o1[[#This Row],[MOD]]),"")</f>
        <v/>
      </c>
      <c r="J932" s="116" t="str">
        <f>IF(Tab.o1[[#This Row],[a1]]=1,((Tab.o1[[#This Row],[DIF_Target.]]-AVERAGE(Tab.o1[DIF_Target.]))/_xlfn.STDEV.P(Tab.o1[DIF_Target.])),"")</f>
        <v/>
      </c>
      <c r="K932" s="117" t="str">
        <f>IF(Tab.o1[[#This Row],[a1]]=1,IF(J$2=0,Tab.o1[[#This Row],[MOD]]-Tab.o1[[#This Row],[B]],IF(J$2=1,0,-Tab.o1[[#This Row],[MED]])+Tab.o1[[#This Row],[B]]),"")</f>
        <v/>
      </c>
      <c r="L932" s="117" t="str">
        <f ca="1">IF(Tab.o1[[#This Row],[DIF_Target]]=0,IF(L$2=0,Tab.o1[[#This Row],[DIF_Target]],AVERAGE(OFFSET(Tab.o1[[#This Row],[DIF_Target]],1,0,L$3,1)))/3,Tab.o1[[#This Row],[DIF_Target]])</f>
        <v/>
      </c>
      <c r="M932" s="118" t="str">
        <f>IF(Tab.o1[[#This Row],[a1]]=1,NORMSDIST(Tab.o1[[#This Row],[Za]]),"")</f>
        <v/>
      </c>
      <c r="N932" s="119" t="str">
        <f>IF(Tab.o1[[#This Row],[a1]]=1,((Tab.o1[[#This Row],[MedMod]]-AVERAGE(Tab.o1[MedMod]))/_xlfn.STDEV.P(Tab.o1[MedMod])*H$1205)+G$1205,"")</f>
        <v/>
      </c>
      <c r="O932" s="141" t="str">
        <f>IF(Tab.o1[[#This Row],[a1]]=1,Tab.o1[[#This Row],[Zb]]*_xlfn.STDEV.P(Tab.o1[MedMod])+AVERAGE(Tab.o1[MedMod]),"")</f>
        <v/>
      </c>
      <c r="P932" s="117" t="str">
        <f ca="1">IF(Tab.o1[[#This Row],[B]]=0,AVERAGE(OFFSET(Tab.o1[[#This Row],[B]],1,0,L$3,1)),Tab.o1[[#This Row],[B]])</f>
        <v/>
      </c>
      <c r="Q932" s="121" t="str">
        <f>IF(Tab.o1[[#This Row],[a1]]=1,NORMSDIST(Tab.o1[[#This Row],[Zb]]),"")</f>
        <v/>
      </c>
      <c r="R932" s="122" t="str">
        <f>IF(Tab.o1[[#This Row],[a1]]=1,((Tab.o1[[#This Row],[MedMod]]-AVERAGE(Tab.o1[MedMod]))/_xlfn.STDEV.P(Tab.o1[MedMod])*H$1203)+G$1203,"")</f>
        <v/>
      </c>
      <c r="S932" s="122" t="str">
        <f>IF(Tab.o1[[#This Row],[a1]]=1,((Tab.o1[[#This Row],[MedMod]]-AVERAGE(Tab.o1[MedMod]))/_xlfn.STDEV.P(Tab.o1[MedMod])*H$1204)+G$1204,"")</f>
        <v/>
      </c>
      <c r="T932" s="123" t="str">
        <f>IF(Tab.o1[[#This Row],[a1]]=1,Tab.o1[[#This Row],[Z-]]*_xlfn.STDEV.P(Tab.o1[B])+AVERAGE(Tab.o1[B]),"")</f>
        <v/>
      </c>
      <c r="U932" s="123" t="str">
        <f>IF(Tab.o1[[#This Row],[a1]]=1,Tab.o1[[#This Row],[z+]]*_xlfn.STDEV.P(Tab.o1[B])+AVERAGE(Tab.o1[B]),"")</f>
        <v/>
      </c>
      <c r="V932" s="124" t="str">
        <f>IF(Tab.o1[[#This Row],[a1]]=1,ABS((ABS(Tab.o1[[#This Row],[Red]]-Tab.o1[[#This Row],[Blue]]))),"")</f>
        <v/>
      </c>
      <c r="W932" s="125" t="str">
        <f>IF(Tab.o1[[#This Row],[a1]]=1,IF(W$3=0,1,Tab.o1[[#This Row],[Amp.]]*1/_xlfn.MINIFS(Tab.o1[Amp.],Tab.o1[Amp.],"&lt;&gt;0")),"")</f>
        <v/>
      </c>
      <c r="X932" s="126" t="str">
        <f>IF(Tab.o1[[#This Row],[a1]]=1,IF(ISNUMBER(Tab.o1[[#This Row],[i.]]),NORMDIST(Tab.o1[[#This Row],[Za]],0,1,FALSE)*Tab.o1[[#This Row],[i.]],AP$3),"")</f>
        <v/>
      </c>
      <c r="Y932" s="126" t="str">
        <f>IF(Tab.o1[[#This Row],[a1]]=1,0.01+0.94*Tab.o1[[#This Row],[PDF]]/MAX(Tab.o1[PDF]),"")</f>
        <v/>
      </c>
      <c r="Z932" s="126" t="str">
        <f>IF(Tab.o1[[#This Row],[a1]]=1,0.01+0.94*Tab.o1[[#This Row],[W1_PDF]]/MAX(Tab.o1[W1_PDF]),"")</f>
        <v/>
      </c>
      <c r="AA932" s="118" t="str">
        <f>IF(Tab.o1[[#This Row],[a1]]=1,ABS([1]!T.in.A[[#This Row],[oo6]]),"")</f>
        <v/>
      </c>
      <c r="AB932" s="127" t="str">
        <f>IF(Tab.o1[[#This Row],[a1]]=1,IF(AE$3=0,"",IF(AB$3=0,ABS([1]!T.in.A[[#This Row],[oo9]]),ABS(Tab.o1[[#This Row],[DIF_Target.]]*Tab.o1[[#This Row],[W1_PDF]]))),"")</f>
        <v/>
      </c>
      <c r="AC932" s="127" t="str">
        <f>IF(G$1=1,"",IF(Tab.o1[[#This Row],[a1]]=1,Tab.o1[[#This Row],[Wr]]^2,""))</f>
        <v/>
      </c>
      <c r="AD932" s="118" t="str">
        <f>IF(Tab.o1[[#This Row],[a1]]=1,IF(AE$3=0,"",Tab.o1[[#This Row],[Wr2]]/SUM(Tab.o1[Wr2])),"")</f>
        <v/>
      </c>
      <c r="AE932" s="128" t="str">
        <f>IF(Tab.o1[[#This Row],[a1]]=1,[1]!T.in.A[[#This Row],[oo10]],"")</f>
        <v/>
      </c>
      <c r="AF932" s="118" t="str">
        <f>IF(Tab.o1[[#This Row],[a1]]=1,ABS(Tab.o1[[#This Row],[DIF_Target.]]*Tab.o1[[#This Row],[PDF2]]*Tab.o1[[#This Row],[IN]]),"")</f>
        <v/>
      </c>
      <c r="AG932" s="129" t="str">
        <f>IF(Tab.o1[[#This Row],[a1]]=1,Tab.o1[[#This Row],[rW]]^2,"")</f>
        <v/>
      </c>
      <c r="AH932" s="130" t="str">
        <f>IF(Tab.o1[[#This Row],[a1]]=1,IF(AH$3=0,Tab.o1[[#This Row],[rW2]],0.01+0.94*Tab.o1[[#This Row],[rW2]]/SUM(Tab.o1[rW2])),"")</f>
        <v/>
      </c>
      <c r="AI932" s="128" t="str">
        <f>IF(Tab.o1[[#This Row],[a1]]=1,1/Tab.o1[[#This Row],[PDF]],"")</f>
        <v/>
      </c>
      <c r="AJ932" s="131" t="str">
        <f>IF(Tab.o1[[#This Row],[a1]]=1,[1]!T_AA[[#This Row],[IN'']]*[1]!T_AA[[#This Row],[Qde'']],"")</f>
        <v/>
      </c>
      <c r="AK932" s="132" t="str">
        <f>IF(Tab.o1[[#This Row],[a1]]=1,IF(AK$1=1,Tab.o1[[#This Row],[MED]]+Tab.o1[[#This Row],[MOD]]-Tab.o1[[#This Row],[MED]],""),"")</f>
        <v/>
      </c>
      <c r="AL932" s="133" t="str">
        <f>IF(Tab.o1[[#This Row],[a1]]=1,[1]!T.in.A[[#This Row],[oo16]],"")</f>
        <v/>
      </c>
      <c r="AM932" s="133" t="str">
        <f>IF(Tab.o1[[#This Row],[a1]]=1,IF(AM$3=1,[1]!T.in.A[[#This Row],[Σo16]],""),"")</f>
        <v/>
      </c>
      <c r="AN932" s="126" t="str">
        <f>IF(Tab.o1[[#This Row],[a1]]=1,[1]!T.in.A[[#This Row],[Σp5]],"")</f>
        <v/>
      </c>
      <c r="AO932" s="126" t="str">
        <f>IF(Tab.o1[[#This Row],[a1]]=1,IF(AO$3=1,[1]!T.in.A[[#This Row],[Σp5]],""),"")</f>
        <v/>
      </c>
      <c r="AP932" s="110" t="str">
        <f>IF(Tab.o1[[#This Row],[a1]]=1,IF(ISNUMBER(Tab.o1[[#This Row],[i.]]),NORMDIST(Tab.o1[[#This Row],[Za]],0,1,FALSE)*Tab.o1[[#This Row],[i.]],0),"")</f>
        <v/>
      </c>
      <c r="AQ932" s="125" t="str">
        <f>IF(Tab.o1[[#This Row],[a1]]=1,ABS(Tab.o1[[#This Row],[MOD]]-AVERAGE(Tab.o1[MOD])),"")</f>
        <v/>
      </c>
      <c r="AR932" s="134" t="str">
        <f>IF(Tab.o1[[#This Row],[a1]]=1,Tab.o1[[#This Row],[OBS]]/SUM(Tab.o1[OBS]),"")</f>
        <v/>
      </c>
      <c r="AS932" s="135" t="str">
        <f>IF(ISNUMBER(Tab.o1[[#This Row],[a1]]),ROW()-4,"")</f>
        <v/>
      </c>
      <c r="AT932" s="136" t="str">
        <f>Tab.o1[[#This Row],[MOD]]</f>
        <v/>
      </c>
      <c r="AU932" s="137" t="str">
        <f t="shared" si="57"/>
        <v/>
      </c>
      <c r="AV932" s="138" t="str">
        <f t="shared" si="58"/>
        <v/>
      </c>
      <c r="AW932" s="138" t="str">
        <f t="shared" si="59"/>
        <v/>
      </c>
      <c r="AX932" s="139" t="str">
        <f>[1]!T.in.A[[#This Row],[ID_T_manu]]</f>
        <v/>
      </c>
      <c r="AY932" s="140" t="str">
        <f>IF(ISNUMBER(Tab.o1[[#This Row],[a1]]),IF(AND(Tab.o1[[#This Row],[a1]]=1,Tab.o1[[#This Row],[b1]]&lt;=AY$4),#REF!,AY931),"")</f>
        <v/>
      </c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6"/>
      <c r="BO932" s="26"/>
      <c r="BP932" s="26"/>
      <c r="BQ932" s="26"/>
      <c r="BR932" s="26"/>
      <c r="BS932" s="26"/>
      <c r="BT932" s="26"/>
      <c r="BU932" s="26"/>
      <c r="BV932" s="26"/>
      <c r="BW932" s="26"/>
      <c r="BX932" s="26"/>
      <c r="BY932" s="26"/>
      <c r="BZ932" s="26"/>
      <c r="CA932" s="26"/>
    </row>
    <row r="933" spans="1:79" ht="15.75" hidden="1">
      <c r="A933" s="109">
        <v>2.9999999999999997E-6</v>
      </c>
      <c r="B933" s="110">
        <f t="shared" si="56"/>
        <v>933</v>
      </c>
      <c r="C933" s="111" t="str">
        <f>IF(C$1=[1]!T.in.A[[#This Row],[oo2]],1,"")</f>
        <v/>
      </c>
      <c r="D933" s="112" t="str">
        <f>IF(Tab.o1[[#This Row],[a1]]=1,IF(SUM(C933:C934)=0,0,IF(SUM(C932:C933)=1,1,IF(SUM(C932:C934)&gt;1,D932+1,0))),"")</f>
        <v/>
      </c>
      <c r="E933" s="113" t="str">
        <f>IF(Tab.o1[[#This Row],[a1]]=1,[1]!T.in.A[[#This Row],[oo1]],"")</f>
        <v/>
      </c>
      <c r="F933" s="113" t="str">
        <f>IF(Tab.o1[[#This Row],[a1]]=1,[1]!T.in.A[[#This Row],[pp1]],"")</f>
        <v/>
      </c>
      <c r="G933" s="114" t="str">
        <f>IF(Tab.o1[[#This Row],[a1]]=1,G$2+IF(G$1=1,0,Tab.o1[[#This Row],[.x1]])+[1]!T.in.A[[#This Row],[oo3]],"")</f>
        <v/>
      </c>
      <c r="H933" s="115" t="str">
        <f>IF(Tab.o1[[#This Row],[a1]]=1,IF(H$2=0,0,IF(G$1=1,0,Tab.o1[[#This Row],[.x1]])+[1]!T.in.A[[#This Row],[oo4]]),"")</f>
        <v/>
      </c>
      <c r="I933" s="116" t="str">
        <f>IF(Tab.o1[[#This Row],[a1]]=1,IF(J$2=0,Tab.o1[[#This Row],[MED]],Tab.o1[[#This Row],[MOD]]),"")</f>
        <v/>
      </c>
      <c r="J933" s="116" t="str">
        <f>IF(Tab.o1[[#This Row],[a1]]=1,((Tab.o1[[#This Row],[DIF_Target.]]-AVERAGE(Tab.o1[DIF_Target.]))/_xlfn.STDEV.P(Tab.o1[DIF_Target.])),"")</f>
        <v/>
      </c>
      <c r="K933" s="117" t="str">
        <f>IF(Tab.o1[[#This Row],[a1]]=1,IF(J$2=0,Tab.o1[[#This Row],[MOD]]-Tab.o1[[#This Row],[B]],IF(J$2=1,0,-Tab.o1[[#This Row],[MED]])+Tab.o1[[#This Row],[B]]),"")</f>
        <v/>
      </c>
      <c r="L933" s="117" t="str">
        <f ca="1">IF(Tab.o1[[#This Row],[DIF_Target]]=0,IF(L$2=0,Tab.o1[[#This Row],[DIF_Target]],AVERAGE(OFFSET(Tab.o1[[#This Row],[DIF_Target]],1,0,L$3,1)))/3,Tab.o1[[#This Row],[DIF_Target]])</f>
        <v/>
      </c>
      <c r="M933" s="118" t="str">
        <f>IF(Tab.o1[[#This Row],[a1]]=1,NORMSDIST(Tab.o1[[#This Row],[Za]]),"")</f>
        <v/>
      </c>
      <c r="N933" s="119" t="str">
        <f>IF(Tab.o1[[#This Row],[a1]]=1,((Tab.o1[[#This Row],[MedMod]]-AVERAGE(Tab.o1[MedMod]))/_xlfn.STDEV.P(Tab.o1[MedMod])*H$1205)+G$1205,"")</f>
        <v/>
      </c>
      <c r="O933" s="141" t="str">
        <f>IF(Tab.o1[[#This Row],[a1]]=1,Tab.o1[[#This Row],[Zb]]*_xlfn.STDEV.P(Tab.o1[MedMod])+AVERAGE(Tab.o1[MedMod]),"")</f>
        <v/>
      </c>
      <c r="P933" s="117" t="str">
        <f ca="1">IF(Tab.o1[[#This Row],[B]]=0,AVERAGE(OFFSET(Tab.o1[[#This Row],[B]],1,0,L$3,1)),Tab.o1[[#This Row],[B]])</f>
        <v/>
      </c>
      <c r="Q933" s="121" t="str">
        <f>IF(Tab.o1[[#This Row],[a1]]=1,NORMSDIST(Tab.o1[[#This Row],[Zb]]),"")</f>
        <v/>
      </c>
      <c r="R933" s="122" t="str">
        <f>IF(Tab.o1[[#This Row],[a1]]=1,((Tab.o1[[#This Row],[MedMod]]-AVERAGE(Tab.o1[MedMod]))/_xlfn.STDEV.P(Tab.o1[MedMod])*H$1203)+G$1203,"")</f>
        <v/>
      </c>
      <c r="S933" s="122" t="str">
        <f>IF(Tab.o1[[#This Row],[a1]]=1,((Tab.o1[[#This Row],[MedMod]]-AVERAGE(Tab.o1[MedMod]))/_xlfn.STDEV.P(Tab.o1[MedMod])*H$1204)+G$1204,"")</f>
        <v/>
      </c>
      <c r="T933" s="123" t="str">
        <f>IF(Tab.o1[[#This Row],[a1]]=1,Tab.o1[[#This Row],[Z-]]*_xlfn.STDEV.P(Tab.o1[B])+AVERAGE(Tab.o1[B]),"")</f>
        <v/>
      </c>
      <c r="U933" s="123" t="str">
        <f>IF(Tab.o1[[#This Row],[a1]]=1,Tab.o1[[#This Row],[z+]]*_xlfn.STDEV.P(Tab.o1[B])+AVERAGE(Tab.o1[B]),"")</f>
        <v/>
      </c>
      <c r="V933" s="124" t="str">
        <f>IF(Tab.o1[[#This Row],[a1]]=1,ABS((ABS(Tab.o1[[#This Row],[Red]]-Tab.o1[[#This Row],[Blue]]))),"")</f>
        <v/>
      </c>
      <c r="W933" s="125" t="str">
        <f>IF(Tab.o1[[#This Row],[a1]]=1,IF(W$3=0,1,Tab.o1[[#This Row],[Amp.]]*1/_xlfn.MINIFS(Tab.o1[Amp.],Tab.o1[Amp.],"&lt;&gt;0")),"")</f>
        <v/>
      </c>
      <c r="X933" s="126" t="str">
        <f>IF(Tab.o1[[#This Row],[a1]]=1,IF(ISNUMBER(Tab.o1[[#This Row],[i.]]),NORMDIST(Tab.o1[[#This Row],[Za]],0,1,FALSE)*Tab.o1[[#This Row],[i.]],AP$3),"")</f>
        <v/>
      </c>
      <c r="Y933" s="126" t="str">
        <f>IF(Tab.o1[[#This Row],[a1]]=1,0.01+0.94*Tab.o1[[#This Row],[PDF]]/MAX(Tab.o1[PDF]),"")</f>
        <v/>
      </c>
      <c r="Z933" s="126" t="str">
        <f>IF(Tab.o1[[#This Row],[a1]]=1,0.01+0.94*Tab.o1[[#This Row],[W1_PDF]]/MAX(Tab.o1[W1_PDF]),"")</f>
        <v/>
      </c>
      <c r="AA933" s="118" t="str">
        <f>IF(Tab.o1[[#This Row],[a1]]=1,ABS([1]!T.in.A[[#This Row],[oo6]]),"")</f>
        <v/>
      </c>
      <c r="AB933" s="127" t="str">
        <f>IF(Tab.o1[[#This Row],[a1]]=1,IF(AE$3=0,"",IF(AB$3=0,ABS([1]!T.in.A[[#This Row],[oo9]]),ABS(Tab.o1[[#This Row],[DIF_Target.]]*Tab.o1[[#This Row],[W1_PDF]]))),"")</f>
        <v/>
      </c>
      <c r="AC933" s="127" t="str">
        <f>IF(G$1=1,"",IF(Tab.o1[[#This Row],[a1]]=1,Tab.o1[[#This Row],[Wr]]^2,""))</f>
        <v/>
      </c>
      <c r="AD933" s="118" t="str">
        <f>IF(Tab.o1[[#This Row],[a1]]=1,IF(AE$3=0,"",Tab.o1[[#This Row],[Wr2]]/SUM(Tab.o1[Wr2])),"")</f>
        <v/>
      </c>
      <c r="AE933" s="128" t="str">
        <f>IF(Tab.o1[[#This Row],[a1]]=1,[1]!T.in.A[[#This Row],[oo10]],"")</f>
        <v/>
      </c>
      <c r="AF933" s="118" t="str">
        <f>IF(Tab.o1[[#This Row],[a1]]=1,ABS(Tab.o1[[#This Row],[DIF_Target.]]*Tab.o1[[#This Row],[PDF2]]*Tab.o1[[#This Row],[IN]]),"")</f>
        <v/>
      </c>
      <c r="AG933" s="129" t="str">
        <f>IF(Tab.o1[[#This Row],[a1]]=1,Tab.o1[[#This Row],[rW]]^2,"")</f>
        <v/>
      </c>
      <c r="AH933" s="130" t="str">
        <f>IF(Tab.o1[[#This Row],[a1]]=1,IF(AH$3=0,Tab.o1[[#This Row],[rW2]],0.01+0.94*Tab.o1[[#This Row],[rW2]]/SUM(Tab.o1[rW2])),"")</f>
        <v/>
      </c>
      <c r="AI933" s="128" t="str">
        <f>IF(Tab.o1[[#This Row],[a1]]=1,1/Tab.o1[[#This Row],[PDF]],"")</f>
        <v/>
      </c>
      <c r="AJ933" s="131" t="str">
        <f>IF(Tab.o1[[#This Row],[a1]]=1,[1]!T_AA[[#This Row],[IN'']]*[1]!T_AA[[#This Row],[Qde'']],"")</f>
        <v/>
      </c>
      <c r="AK933" s="132" t="str">
        <f>IF(Tab.o1[[#This Row],[a1]]=1,IF(AK$1=1,Tab.o1[[#This Row],[MED]]+Tab.o1[[#This Row],[MOD]]-Tab.o1[[#This Row],[MED]],""),"")</f>
        <v/>
      </c>
      <c r="AL933" s="133" t="str">
        <f>IF(Tab.o1[[#This Row],[a1]]=1,[1]!T.in.A[[#This Row],[oo16]],"")</f>
        <v/>
      </c>
      <c r="AM933" s="133" t="str">
        <f>IF(Tab.o1[[#This Row],[a1]]=1,IF(AM$3=1,[1]!T.in.A[[#This Row],[Σo16]],""),"")</f>
        <v/>
      </c>
      <c r="AN933" s="126" t="str">
        <f>IF(Tab.o1[[#This Row],[a1]]=1,[1]!T.in.A[[#This Row],[Σp5]],"")</f>
        <v/>
      </c>
      <c r="AO933" s="126" t="str">
        <f>IF(Tab.o1[[#This Row],[a1]]=1,IF(AO$3=1,[1]!T.in.A[[#This Row],[Σp5]],""),"")</f>
        <v/>
      </c>
      <c r="AP933" s="110" t="str">
        <f>IF(Tab.o1[[#This Row],[a1]]=1,IF(ISNUMBER(Tab.o1[[#This Row],[i.]]),NORMDIST(Tab.o1[[#This Row],[Za]],0,1,FALSE)*Tab.o1[[#This Row],[i.]],0),"")</f>
        <v/>
      </c>
      <c r="AQ933" s="125" t="str">
        <f>IF(Tab.o1[[#This Row],[a1]]=1,ABS(Tab.o1[[#This Row],[MOD]]-AVERAGE(Tab.o1[MOD])),"")</f>
        <v/>
      </c>
      <c r="AR933" s="134" t="str">
        <f>IF(Tab.o1[[#This Row],[a1]]=1,Tab.o1[[#This Row],[OBS]]/SUM(Tab.o1[OBS]),"")</f>
        <v/>
      </c>
      <c r="AS933" s="135" t="str">
        <f>IF(ISNUMBER(Tab.o1[[#This Row],[a1]]),ROW()-4,"")</f>
        <v/>
      </c>
      <c r="AT933" s="136" t="str">
        <f>Tab.o1[[#This Row],[MOD]]</f>
        <v/>
      </c>
      <c r="AU933" s="137" t="str">
        <f t="shared" si="57"/>
        <v/>
      </c>
      <c r="AV933" s="138" t="str">
        <f t="shared" si="58"/>
        <v/>
      </c>
      <c r="AW933" s="138" t="str">
        <f t="shared" si="59"/>
        <v/>
      </c>
      <c r="AX933" s="139" t="str">
        <f>[1]!T.in.A[[#This Row],[ID_T_manu]]</f>
        <v/>
      </c>
      <c r="AY933" s="140" t="str">
        <f>IF(ISNUMBER(Tab.o1[[#This Row],[a1]]),IF(AND(Tab.o1[[#This Row],[a1]]=1,Tab.o1[[#This Row],[b1]]&lt;=AY$4),#REF!,AY932),"")</f>
        <v/>
      </c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6"/>
      <c r="BO933" s="26"/>
      <c r="BP933" s="26"/>
      <c r="BQ933" s="26"/>
      <c r="BR933" s="26"/>
      <c r="BS933" s="26"/>
      <c r="BT933" s="26"/>
      <c r="BU933" s="26"/>
      <c r="BV933" s="26"/>
      <c r="BW933" s="26"/>
      <c r="BX933" s="26"/>
      <c r="BY933" s="26"/>
      <c r="BZ933" s="26"/>
      <c r="CA933" s="26"/>
    </row>
    <row r="934" spans="1:79" ht="15.75" hidden="1">
      <c r="A934" s="109">
        <v>-1.0000000000000002E-6</v>
      </c>
      <c r="B934" s="110">
        <f t="shared" si="56"/>
        <v>934</v>
      </c>
      <c r="C934" s="111" t="str">
        <f>IF(C$1=[1]!T.in.A[[#This Row],[oo2]],1,"")</f>
        <v/>
      </c>
      <c r="D934" s="112" t="str">
        <f>IF(Tab.o1[[#This Row],[a1]]=1,IF(SUM(C934:C935)=0,0,IF(SUM(C933:C934)=1,1,IF(SUM(C933:C935)&gt;1,D933+1,0))),"")</f>
        <v/>
      </c>
      <c r="E934" s="113" t="str">
        <f>IF(Tab.o1[[#This Row],[a1]]=1,[1]!T.in.A[[#This Row],[oo1]],"")</f>
        <v/>
      </c>
      <c r="F934" s="113" t="str">
        <f>IF(Tab.o1[[#This Row],[a1]]=1,[1]!T.in.A[[#This Row],[pp1]],"")</f>
        <v/>
      </c>
      <c r="G934" s="114" t="str">
        <f>IF(Tab.o1[[#This Row],[a1]]=1,G$2+IF(G$1=1,0,Tab.o1[[#This Row],[.x1]])+[1]!T.in.A[[#This Row],[oo3]],"")</f>
        <v/>
      </c>
      <c r="H934" s="115" t="str">
        <f>IF(Tab.o1[[#This Row],[a1]]=1,IF(H$2=0,0,IF(G$1=1,0,Tab.o1[[#This Row],[.x1]])+[1]!T.in.A[[#This Row],[oo4]]),"")</f>
        <v/>
      </c>
      <c r="I934" s="116" t="str">
        <f>IF(Tab.o1[[#This Row],[a1]]=1,IF(J$2=0,Tab.o1[[#This Row],[MED]],Tab.o1[[#This Row],[MOD]]),"")</f>
        <v/>
      </c>
      <c r="J934" s="116" t="str">
        <f>IF(Tab.o1[[#This Row],[a1]]=1,((Tab.o1[[#This Row],[DIF_Target.]]-AVERAGE(Tab.o1[DIF_Target.]))/_xlfn.STDEV.P(Tab.o1[DIF_Target.])),"")</f>
        <v/>
      </c>
      <c r="K934" s="117" t="str">
        <f>IF(Tab.o1[[#This Row],[a1]]=1,IF(J$2=0,Tab.o1[[#This Row],[MOD]]-Tab.o1[[#This Row],[B]],IF(J$2=1,0,-Tab.o1[[#This Row],[MED]])+Tab.o1[[#This Row],[B]]),"")</f>
        <v/>
      </c>
      <c r="L934" s="117" t="str">
        <f ca="1">IF(Tab.o1[[#This Row],[DIF_Target]]=0,IF(L$2=0,Tab.o1[[#This Row],[DIF_Target]],AVERAGE(OFFSET(Tab.o1[[#This Row],[DIF_Target]],1,0,L$3,1)))/3,Tab.o1[[#This Row],[DIF_Target]])</f>
        <v/>
      </c>
      <c r="M934" s="118" t="str">
        <f>IF(Tab.o1[[#This Row],[a1]]=1,NORMSDIST(Tab.o1[[#This Row],[Za]]),"")</f>
        <v/>
      </c>
      <c r="N934" s="119" t="str">
        <f>IF(Tab.o1[[#This Row],[a1]]=1,((Tab.o1[[#This Row],[MedMod]]-AVERAGE(Tab.o1[MedMod]))/_xlfn.STDEV.P(Tab.o1[MedMod])*H$1205)+G$1205,"")</f>
        <v/>
      </c>
      <c r="O934" s="141" t="str">
        <f>IF(Tab.o1[[#This Row],[a1]]=1,Tab.o1[[#This Row],[Zb]]*_xlfn.STDEV.P(Tab.o1[MedMod])+AVERAGE(Tab.o1[MedMod]),"")</f>
        <v/>
      </c>
      <c r="P934" s="117" t="str">
        <f ca="1">IF(Tab.o1[[#This Row],[B]]=0,AVERAGE(OFFSET(Tab.o1[[#This Row],[B]],1,0,L$3,1)),Tab.o1[[#This Row],[B]])</f>
        <v/>
      </c>
      <c r="Q934" s="121" t="str">
        <f>IF(Tab.o1[[#This Row],[a1]]=1,NORMSDIST(Tab.o1[[#This Row],[Zb]]),"")</f>
        <v/>
      </c>
      <c r="R934" s="122" t="str">
        <f>IF(Tab.o1[[#This Row],[a1]]=1,((Tab.o1[[#This Row],[MedMod]]-AVERAGE(Tab.o1[MedMod]))/_xlfn.STDEV.P(Tab.o1[MedMod])*H$1203)+G$1203,"")</f>
        <v/>
      </c>
      <c r="S934" s="122" t="str">
        <f>IF(Tab.o1[[#This Row],[a1]]=1,((Tab.o1[[#This Row],[MedMod]]-AVERAGE(Tab.o1[MedMod]))/_xlfn.STDEV.P(Tab.o1[MedMod])*H$1204)+G$1204,"")</f>
        <v/>
      </c>
      <c r="T934" s="123" t="str">
        <f>IF(Tab.o1[[#This Row],[a1]]=1,Tab.o1[[#This Row],[Z-]]*_xlfn.STDEV.P(Tab.o1[B])+AVERAGE(Tab.o1[B]),"")</f>
        <v/>
      </c>
      <c r="U934" s="123" t="str">
        <f>IF(Tab.o1[[#This Row],[a1]]=1,Tab.o1[[#This Row],[z+]]*_xlfn.STDEV.P(Tab.o1[B])+AVERAGE(Tab.o1[B]),"")</f>
        <v/>
      </c>
      <c r="V934" s="124" t="str">
        <f>IF(Tab.o1[[#This Row],[a1]]=1,ABS((ABS(Tab.o1[[#This Row],[Red]]-Tab.o1[[#This Row],[Blue]]))),"")</f>
        <v/>
      </c>
      <c r="W934" s="125" t="str">
        <f>IF(Tab.o1[[#This Row],[a1]]=1,IF(W$3=0,1,Tab.o1[[#This Row],[Amp.]]*1/_xlfn.MINIFS(Tab.o1[Amp.],Tab.o1[Amp.],"&lt;&gt;0")),"")</f>
        <v/>
      </c>
      <c r="X934" s="126" t="str">
        <f>IF(Tab.o1[[#This Row],[a1]]=1,IF(ISNUMBER(Tab.o1[[#This Row],[i.]]),NORMDIST(Tab.o1[[#This Row],[Za]],0,1,FALSE)*Tab.o1[[#This Row],[i.]],AP$3),"")</f>
        <v/>
      </c>
      <c r="Y934" s="126" t="str">
        <f>IF(Tab.o1[[#This Row],[a1]]=1,0.01+0.94*Tab.o1[[#This Row],[PDF]]/MAX(Tab.o1[PDF]),"")</f>
        <v/>
      </c>
      <c r="Z934" s="126" t="str">
        <f>IF(Tab.o1[[#This Row],[a1]]=1,0.01+0.94*Tab.o1[[#This Row],[W1_PDF]]/MAX(Tab.o1[W1_PDF]),"")</f>
        <v/>
      </c>
      <c r="AA934" s="118" t="str">
        <f>IF(Tab.o1[[#This Row],[a1]]=1,ABS([1]!T.in.A[[#This Row],[oo6]]),"")</f>
        <v/>
      </c>
      <c r="AB934" s="127" t="str">
        <f>IF(Tab.o1[[#This Row],[a1]]=1,IF(AE$3=0,"",IF(AB$3=0,ABS([1]!T.in.A[[#This Row],[oo9]]),ABS(Tab.o1[[#This Row],[DIF_Target.]]*Tab.o1[[#This Row],[W1_PDF]]))),"")</f>
        <v/>
      </c>
      <c r="AC934" s="127" t="str">
        <f>IF(G$1=1,"",IF(Tab.o1[[#This Row],[a1]]=1,Tab.o1[[#This Row],[Wr]]^2,""))</f>
        <v/>
      </c>
      <c r="AD934" s="118" t="str">
        <f>IF(Tab.o1[[#This Row],[a1]]=1,IF(AE$3=0,"",Tab.o1[[#This Row],[Wr2]]/SUM(Tab.o1[Wr2])),"")</f>
        <v/>
      </c>
      <c r="AE934" s="128" t="str">
        <f>IF(Tab.o1[[#This Row],[a1]]=1,[1]!T.in.A[[#This Row],[oo10]],"")</f>
        <v/>
      </c>
      <c r="AF934" s="118" t="str">
        <f>IF(Tab.o1[[#This Row],[a1]]=1,ABS(Tab.o1[[#This Row],[DIF_Target.]]*Tab.o1[[#This Row],[PDF2]]*Tab.o1[[#This Row],[IN]]),"")</f>
        <v/>
      </c>
      <c r="AG934" s="129" t="str">
        <f>IF(Tab.o1[[#This Row],[a1]]=1,Tab.o1[[#This Row],[rW]]^2,"")</f>
        <v/>
      </c>
      <c r="AH934" s="130" t="str">
        <f>IF(Tab.o1[[#This Row],[a1]]=1,IF(AH$3=0,Tab.o1[[#This Row],[rW2]],0.01+0.94*Tab.o1[[#This Row],[rW2]]/SUM(Tab.o1[rW2])),"")</f>
        <v/>
      </c>
      <c r="AI934" s="128" t="str">
        <f>IF(Tab.o1[[#This Row],[a1]]=1,1/Tab.o1[[#This Row],[PDF]],"")</f>
        <v/>
      </c>
      <c r="AJ934" s="131" t="str">
        <f>IF(Tab.o1[[#This Row],[a1]]=1,[1]!T_AA[[#This Row],[IN'']]*[1]!T_AA[[#This Row],[Qde'']],"")</f>
        <v/>
      </c>
      <c r="AK934" s="132" t="str">
        <f>IF(Tab.o1[[#This Row],[a1]]=1,IF(AK$1=1,Tab.o1[[#This Row],[MED]]+Tab.o1[[#This Row],[MOD]]-Tab.o1[[#This Row],[MED]],""),"")</f>
        <v/>
      </c>
      <c r="AL934" s="133" t="str">
        <f>IF(Tab.o1[[#This Row],[a1]]=1,[1]!T.in.A[[#This Row],[oo16]],"")</f>
        <v/>
      </c>
      <c r="AM934" s="133" t="str">
        <f>IF(Tab.o1[[#This Row],[a1]]=1,IF(AM$3=1,[1]!T.in.A[[#This Row],[Σo16]],""),"")</f>
        <v/>
      </c>
      <c r="AN934" s="126" t="str">
        <f>IF(Tab.o1[[#This Row],[a1]]=1,[1]!T.in.A[[#This Row],[Σp5]],"")</f>
        <v/>
      </c>
      <c r="AO934" s="126" t="str">
        <f>IF(Tab.o1[[#This Row],[a1]]=1,IF(AO$3=1,[1]!T.in.A[[#This Row],[Σp5]],""),"")</f>
        <v/>
      </c>
      <c r="AP934" s="110" t="str">
        <f>IF(Tab.o1[[#This Row],[a1]]=1,IF(ISNUMBER(Tab.o1[[#This Row],[i.]]),NORMDIST(Tab.o1[[#This Row],[Za]],0,1,FALSE)*Tab.o1[[#This Row],[i.]],0),"")</f>
        <v/>
      </c>
      <c r="AQ934" s="125" t="str">
        <f>IF(Tab.o1[[#This Row],[a1]]=1,ABS(Tab.o1[[#This Row],[MOD]]-AVERAGE(Tab.o1[MOD])),"")</f>
        <v/>
      </c>
      <c r="AR934" s="134" t="str">
        <f>IF(Tab.o1[[#This Row],[a1]]=1,Tab.o1[[#This Row],[OBS]]/SUM(Tab.o1[OBS]),"")</f>
        <v/>
      </c>
      <c r="AS934" s="135" t="str">
        <f>IF(ISNUMBER(Tab.o1[[#This Row],[a1]]),ROW()-4,"")</f>
        <v/>
      </c>
      <c r="AT934" s="136" t="str">
        <f>Tab.o1[[#This Row],[MOD]]</f>
        <v/>
      </c>
      <c r="AU934" s="137" t="str">
        <f t="shared" si="57"/>
        <v/>
      </c>
      <c r="AV934" s="138" t="str">
        <f t="shared" si="58"/>
        <v/>
      </c>
      <c r="AW934" s="138" t="str">
        <f t="shared" si="59"/>
        <v/>
      </c>
      <c r="AX934" s="139" t="str">
        <f>[1]!T.in.A[[#This Row],[ID_T_manu]]</f>
        <v/>
      </c>
      <c r="AY934" s="140" t="str">
        <f>IF(ISNUMBER(Tab.o1[[#This Row],[a1]]),IF(AND(Tab.o1[[#This Row],[a1]]=1,Tab.o1[[#This Row],[b1]]&lt;=AY$4),#REF!,AY933),"")</f>
        <v/>
      </c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6"/>
      <c r="BO934" s="26"/>
      <c r="BP934" s="26"/>
      <c r="BQ934" s="26"/>
      <c r="BR934" s="26"/>
      <c r="BS934" s="26"/>
      <c r="BT934" s="26"/>
      <c r="BU934" s="26"/>
      <c r="BV934" s="26"/>
      <c r="BW934" s="26"/>
      <c r="BX934" s="26"/>
      <c r="BY934" s="26"/>
      <c r="BZ934" s="26"/>
      <c r="CA934" s="26"/>
    </row>
    <row r="935" spans="1:79" ht="15.75" hidden="1">
      <c r="A935" s="109">
        <v>-2.9999999999999997E-6</v>
      </c>
      <c r="B935" s="110">
        <f t="shared" si="56"/>
        <v>935</v>
      </c>
      <c r="C935" s="111" t="str">
        <f>IF(C$1=[1]!T.in.A[[#This Row],[oo2]],1,"")</f>
        <v/>
      </c>
      <c r="D935" s="112" t="str">
        <f>IF(Tab.o1[[#This Row],[a1]]=1,IF(SUM(C935:C936)=0,0,IF(SUM(C934:C935)=1,1,IF(SUM(C934:C936)&gt;1,D934+1,0))),"")</f>
        <v/>
      </c>
      <c r="E935" s="113" t="str">
        <f>IF(Tab.o1[[#This Row],[a1]]=1,[1]!T.in.A[[#This Row],[oo1]],"")</f>
        <v/>
      </c>
      <c r="F935" s="113" t="str">
        <f>IF(Tab.o1[[#This Row],[a1]]=1,[1]!T.in.A[[#This Row],[pp1]],"")</f>
        <v/>
      </c>
      <c r="G935" s="114" t="str">
        <f>IF(Tab.o1[[#This Row],[a1]]=1,G$2+IF(G$1=1,0,Tab.o1[[#This Row],[.x1]])+[1]!T.in.A[[#This Row],[oo3]],"")</f>
        <v/>
      </c>
      <c r="H935" s="115" t="str">
        <f>IF(Tab.o1[[#This Row],[a1]]=1,IF(H$2=0,0,IF(G$1=1,0,Tab.o1[[#This Row],[.x1]])+[1]!T.in.A[[#This Row],[oo4]]),"")</f>
        <v/>
      </c>
      <c r="I935" s="116" t="str">
        <f>IF(Tab.o1[[#This Row],[a1]]=1,IF(J$2=0,Tab.o1[[#This Row],[MED]],Tab.o1[[#This Row],[MOD]]),"")</f>
        <v/>
      </c>
      <c r="J935" s="116" t="str">
        <f>IF(Tab.o1[[#This Row],[a1]]=1,((Tab.o1[[#This Row],[DIF_Target.]]-AVERAGE(Tab.o1[DIF_Target.]))/_xlfn.STDEV.P(Tab.o1[DIF_Target.])),"")</f>
        <v/>
      </c>
      <c r="K935" s="117" t="str">
        <f>IF(Tab.o1[[#This Row],[a1]]=1,IF(J$2=0,Tab.o1[[#This Row],[MOD]]-Tab.o1[[#This Row],[B]],IF(J$2=1,0,-Tab.o1[[#This Row],[MED]])+Tab.o1[[#This Row],[B]]),"")</f>
        <v/>
      </c>
      <c r="L935" s="117" t="str">
        <f ca="1">IF(Tab.o1[[#This Row],[DIF_Target]]=0,IF(L$2=0,Tab.o1[[#This Row],[DIF_Target]],AVERAGE(OFFSET(Tab.o1[[#This Row],[DIF_Target]],1,0,L$3,1)))/3,Tab.o1[[#This Row],[DIF_Target]])</f>
        <v/>
      </c>
      <c r="M935" s="118" t="str">
        <f>IF(Tab.o1[[#This Row],[a1]]=1,NORMSDIST(Tab.o1[[#This Row],[Za]]),"")</f>
        <v/>
      </c>
      <c r="N935" s="119" t="str">
        <f>IF(Tab.o1[[#This Row],[a1]]=1,((Tab.o1[[#This Row],[MedMod]]-AVERAGE(Tab.o1[MedMod]))/_xlfn.STDEV.P(Tab.o1[MedMod])*H$1205)+G$1205,"")</f>
        <v/>
      </c>
      <c r="O935" s="141" t="str">
        <f>IF(Tab.o1[[#This Row],[a1]]=1,Tab.o1[[#This Row],[Zb]]*_xlfn.STDEV.P(Tab.o1[MedMod])+AVERAGE(Tab.o1[MedMod]),"")</f>
        <v/>
      </c>
      <c r="P935" s="117" t="str">
        <f ca="1">IF(Tab.o1[[#This Row],[B]]=0,AVERAGE(OFFSET(Tab.o1[[#This Row],[B]],1,0,L$3,1)),Tab.o1[[#This Row],[B]])</f>
        <v/>
      </c>
      <c r="Q935" s="121" t="str">
        <f>IF(Tab.o1[[#This Row],[a1]]=1,NORMSDIST(Tab.o1[[#This Row],[Zb]]),"")</f>
        <v/>
      </c>
      <c r="R935" s="122" t="str">
        <f>IF(Tab.o1[[#This Row],[a1]]=1,((Tab.o1[[#This Row],[MedMod]]-AVERAGE(Tab.o1[MedMod]))/_xlfn.STDEV.P(Tab.o1[MedMod])*H$1203)+G$1203,"")</f>
        <v/>
      </c>
      <c r="S935" s="122" t="str">
        <f>IF(Tab.o1[[#This Row],[a1]]=1,((Tab.o1[[#This Row],[MedMod]]-AVERAGE(Tab.o1[MedMod]))/_xlfn.STDEV.P(Tab.o1[MedMod])*H$1204)+G$1204,"")</f>
        <v/>
      </c>
      <c r="T935" s="123" t="str">
        <f>IF(Tab.o1[[#This Row],[a1]]=1,Tab.o1[[#This Row],[Z-]]*_xlfn.STDEV.P(Tab.o1[B])+AVERAGE(Tab.o1[B]),"")</f>
        <v/>
      </c>
      <c r="U935" s="123" t="str">
        <f>IF(Tab.o1[[#This Row],[a1]]=1,Tab.o1[[#This Row],[z+]]*_xlfn.STDEV.P(Tab.o1[B])+AVERAGE(Tab.o1[B]),"")</f>
        <v/>
      </c>
      <c r="V935" s="124" t="str">
        <f>IF(Tab.o1[[#This Row],[a1]]=1,ABS((ABS(Tab.o1[[#This Row],[Red]]-Tab.o1[[#This Row],[Blue]]))),"")</f>
        <v/>
      </c>
      <c r="W935" s="125" t="str">
        <f>IF(Tab.o1[[#This Row],[a1]]=1,IF(W$3=0,1,Tab.o1[[#This Row],[Amp.]]*1/_xlfn.MINIFS(Tab.o1[Amp.],Tab.o1[Amp.],"&lt;&gt;0")),"")</f>
        <v/>
      </c>
      <c r="X935" s="126" t="str">
        <f>IF(Tab.o1[[#This Row],[a1]]=1,IF(ISNUMBER(Tab.o1[[#This Row],[i.]]),NORMDIST(Tab.o1[[#This Row],[Za]],0,1,FALSE)*Tab.o1[[#This Row],[i.]],AP$3),"")</f>
        <v/>
      </c>
      <c r="Y935" s="126" t="str">
        <f>IF(Tab.o1[[#This Row],[a1]]=1,0.01+0.94*Tab.o1[[#This Row],[PDF]]/MAX(Tab.o1[PDF]),"")</f>
        <v/>
      </c>
      <c r="Z935" s="126" t="str">
        <f>IF(Tab.o1[[#This Row],[a1]]=1,0.01+0.94*Tab.o1[[#This Row],[W1_PDF]]/MAX(Tab.o1[W1_PDF]),"")</f>
        <v/>
      </c>
      <c r="AA935" s="118" t="str">
        <f>IF(Tab.o1[[#This Row],[a1]]=1,ABS([1]!T.in.A[[#This Row],[oo6]]),"")</f>
        <v/>
      </c>
      <c r="AB935" s="127" t="str">
        <f>IF(Tab.o1[[#This Row],[a1]]=1,IF(AE$3=0,"",IF(AB$3=0,ABS([1]!T.in.A[[#This Row],[oo9]]),ABS(Tab.o1[[#This Row],[DIF_Target.]]*Tab.o1[[#This Row],[W1_PDF]]))),"")</f>
        <v/>
      </c>
      <c r="AC935" s="127" t="str">
        <f>IF(G$1=1,"",IF(Tab.o1[[#This Row],[a1]]=1,Tab.o1[[#This Row],[Wr]]^2,""))</f>
        <v/>
      </c>
      <c r="AD935" s="118" t="str">
        <f>IF(Tab.o1[[#This Row],[a1]]=1,IF(AE$3=0,"",Tab.o1[[#This Row],[Wr2]]/SUM(Tab.o1[Wr2])),"")</f>
        <v/>
      </c>
      <c r="AE935" s="128" t="str">
        <f>IF(Tab.o1[[#This Row],[a1]]=1,[1]!T.in.A[[#This Row],[oo10]],"")</f>
        <v/>
      </c>
      <c r="AF935" s="118" t="str">
        <f>IF(Tab.o1[[#This Row],[a1]]=1,ABS(Tab.o1[[#This Row],[DIF_Target.]]*Tab.o1[[#This Row],[PDF2]]*Tab.o1[[#This Row],[IN]]),"")</f>
        <v/>
      </c>
      <c r="AG935" s="129" t="str">
        <f>IF(Tab.o1[[#This Row],[a1]]=1,Tab.o1[[#This Row],[rW]]^2,"")</f>
        <v/>
      </c>
      <c r="AH935" s="130" t="str">
        <f>IF(Tab.o1[[#This Row],[a1]]=1,IF(AH$3=0,Tab.o1[[#This Row],[rW2]],0.01+0.94*Tab.o1[[#This Row],[rW2]]/SUM(Tab.o1[rW2])),"")</f>
        <v/>
      </c>
      <c r="AI935" s="128" t="str">
        <f>IF(Tab.o1[[#This Row],[a1]]=1,1/Tab.o1[[#This Row],[PDF]],"")</f>
        <v/>
      </c>
      <c r="AJ935" s="131" t="str">
        <f>IF(Tab.o1[[#This Row],[a1]]=1,[1]!T_AA[[#This Row],[IN'']]*[1]!T_AA[[#This Row],[Qde'']],"")</f>
        <v/>
      </c>
      <c r="AK935" s="132" t="str">
        <f>IF(Tab.o1[[#This Row],[a1]]=1,IF(AK$1=1,Tab.o1[[#This Row],[MED]]+Tab.o1[[#This Row],[MOD]]-Tab.o1[[#This Row],[MED]],""),"")</f>
        <v/>
      </c>
      <c r="AL935" s="133" t="str">
        <f>IF(Tab.o1[[#This Row],[a1]]=1,[1]!T.in.A[[#This Row],[oo16]],"")</f>
        <v/>
      </c>
      <c r="AM935" s="133" t="str">
        <f>IF(Tab.o1[[#This Row],[a1]]=1,IF(AM$3=1,[1]!T.in.A[[#This Row],[Σo16]],""),"")</f>
        <v/>
      </c>
      <c r="AN935" s="126" t="str">
        <f>IF(Tab.o1[[#This Row],[a1]]=1,[1]!T.in.A[[#This Row],[Σp5]],"")</f>
        <v/>
      </c>
      <c r="AO935" s="126" t="str">
        <f>IF(Tab.o1[[#This Row],[a1]]=1,IF(AO$3=1,[1]!T.in.A[[#This Row],[Σp5]],""),"")</f>
        <v/>
      </c>
      <c r="AP935" s="110" t="str">
        <f>IF(Tab.o1[[#This Row],[a1]]=1,IF(ISNUMBER(Tab.o1[[#This Row],[i.]]),NORMDIST(Tab.o1[[#This Row],[Za]],0,1,FALSE)*Tab.o1[[#This Row],[i.]],0),"")</f>
        <v/>
      </c>
      <c r="AQ935" s="125" t="str">
        <f>IF(Tab.o1[[#This Row],[a1]]=1,ABS(Tab.o1[[#This Row],[MOD]]-AVERAGE(Tab.o1[MOD])),"")</f>
        <v/>
      </c>
      <c r="AR935" s="134" t="str">
        <f>IF(Tab.o1[[#This Row],[a1]]=1,Tab.o1[[#This Row],[OBS]]/SUM(Tab.o1[OBS]),"")</f>
        <v/>
      </c>
      <c r="AS935" s="135" t="str">
        <f>IF(ISNUMBER(Tab.o1[[#This Row],[a1]]),ROW()-4,"")</f>
        <v/>
      </c>
      <c r="AT935" s="136" t="str">
        <f>Tab.o1[[#This Row],[MOD]]</f>
        <v/>
      </c>
      <c r="AU935" s="137" t="str">
        <f t="shared" si="57"/>
        <v/>
      </c>
      <c r="AV935" s="138" t="str">
        <f t="shared" si="58"/>
        <v/>
      </c>
      <c r="AW935" s="138" t="str">
        <f t="shared" si="59"/>
        <v/>
      </c>
      <c r="AX935" s="139" t="str">
        <f>[1]!T.in.A[[#This Row],[ID_T_manu]]</f>
        <v/>
      </c>
      <c r="AY935" s="140" t="str">
        <f>IF(ISNUMBER(Tab.o1[[#This Row],[a1]]),IF(AND(Tab.o1[[#This Row],[a1]]=1,Tab.o1[[#This Row],[b1]]&lt;=AY$4),#REF!,AY934),"")</f>
        <v/>
      </c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6"/>
      <c r="BO935" s="26"/>
      <c r="BP935" s="26"/>
      <c r="BQ935" s="26"/>
      <c r="BR935" s="26"/>
      <c r="BS935" s="26"/>
      <c r="BT935" s="26"/>
      <c r="BU935" s="26"/>
      <c r="BV935" s="26"/>
      <c r="BW935" s="26"/>
      <c r="BX935" s="26"/>
      <c r="BY935" s="26"/>
      <c r="BZ935" s="26"/>
      <c r="CA935" s="26"/>
    </row>
    <row r="936" spans="1:79" ht="15.75" hidden="1">
      <c r="A936" s="109">
        <v>-1.0000000000000002E-6</v>
      </c>
      <c r="B936" s="110">
        <f t="shared" si="56"/>
        <v>936</v>
      </c>
      <c r="C936" s="111" t="str">
        <f>IF(C$1=[1]!T.in.A[[#This Row],[oo2]],1,"")</f>
        <v/>
      </c>
      <c r="D936" s="112" t="str">
        <f>IF(Tab.o1[[#This Row],[a1]]=1,IF(SUM(C936:C937)=0,0,IF(SUM(C935:C936)=1,1,IF(SUM(C935:C937)&gt;1,D935+1,0))),"")</f>
        <v/>
      </c>
      <c r="E936" s="113" t="str">
        <f>IF(Tab.o1[[#This Row],[a1]]=1,[1]!T.in.A[[#This Row],[oo1]],"")</f>
        <v/>
      </c>
      <c r="F936" s="113" t="str">
        <f>IF(Tab.o1[[#This Row],[a1]]=1,[1]!T.in.A[[#This Row],[pp1]],"")</f>
        <v/>
      </c>
      <c r="G936" s="114" t="str">
        <f>IF(Tab.o1[[#This Row],[a1]]=1,G$2+IF(G$1=1,0,Tab.o1[[#This Row],[.x1]])+[1]!T.in.A[[#This Row],[oo3]],"")</f>
        <v/>
      </c>
      <c r="H936" s="115" t="str">
        <f>IF(Tab.o1[[#This Row],[a1]]=1,IF(H$2=0,0,IF(G$1=1,0,Tab.o1[[#This Row],[.x1]])+[1]!T.in.A[[#This Row],[oo4]]),"")</f>
        <v/>
      </c>
      <c r="I936" s="116" t="str">
        <f>IF(Tab.o1[[#This Row],[a1]]=1,IF(J$2=0,Tab.o1[[#This Row],[MED]],Tab.o1[[#This Row],[MOD]]),"")</f>
        <v/>
      </c>
      <c r="J936" s="116" t="str">
        <f>IF(Tab.o1[[#This Row],[a1]]=1,((Tab.o1[[#This Row],[DIF_Target.]]-AVERAGE(Tab.o1[DIF_Target.]))/_xlfn.STDEV.P(Tab.o1[DIF_Target.])),"")</f>
        <v/>
      </c>
      <c r="K936" s="117" t="str">
        <f>IF(Tab.o1[[#This Row],[a1]]=1,IF(J$2=0,Tab.o1[[#This Row],[MOD]]-Tab.o1[[#This Row],[B]],IF(J$2=1,0,-Tab.o1[[#This Row],[MED]])+Tab.o1[[#This Row],[B]]),"")</f>
        <v/>
      </c>
      <c r="L936" s="117" t="str">
        <f ca="1">IF(Tab.o1[[#This Row],[DIF_Target]]=0,IF(L$2=0,Tab.o1[[#This Row],[DIF_Target]],AVERAGE(OFFSET(Tab.o1[[#This Row],[DIF_Target]],1,0,L$3,1)))/3,Tab.o1[[#This Row],[DIF_Target]])</f>
        <v/>
      </c>
      <c r="M936" s="118" t="str">
        <f>IF(Tab.o1[[#This Row],[a1]]=1,NORMSDIST(Tab.o1[[#This Row],[Za]]),"")</f>
        <v/>
      </c>
      <c r="N936" s="119" t="str">
        <f>IF(Tab.o1[[#This Row],[a1]]=1,((Tab.o1[[#This Row],[MedMod]]-AVERAGE(Tab.o1[MedMod]))/_xlfn.STDEV.P(Tab.o1[MedMod])*H$1205)+G$1205,"")</f>
        <v/>
      </c>
      <c r="O936" s="141" t="str">
        <f>IF(Tab.o1[[#This Row],[a1]]=1,Tab.o1[[#This Row],[Zb]]*_xlfn.STDEV.P(Tab.o1[MedMod])+AVERAGE(Tab.o1[MedMod]),"")</f>
        <v/>
      </c>
      <c r="P936" s="117" t="str">
        <f ca="1">IF(Tab.o1[[#This Row],[B]]=0,AVERAGE(OFFSET(Tab.o1[[#This Row],[B]],1,0,L$3,1)),Tab.o1[[#This Row],[B]])</f>
        <v/>
      </c>
      <c r="Q936" s="121" t="str">
        <f>IF(Tab.o1[[#This Row],[a1]]=1,NORMSDIST(Tab.o1[[#This Row],[Zb]]),"")</f>
        <v/>
      </c>
      <c r="R936" s="122" t="str">
        <f>IF(Tab.o1[[#This Row],[a1]]=1,((Tab.o1[[#This Row],[MedMod]]-AVERAGE(Tab.o1[MedMod]))/_xlfn.STDEV.P(Tab.o1[MedMod])*H$1203)+G$1203,"")</f>
        <v/>
      </c>
      <c r="S936" s="122" t="str">
        <f>IF(Tab.o1[[#This Row],[a1]]=1,((Tab.o1[[#This Row],[MedMod]]-AVERAGE(Tab.o1[MedMod]))/_xlfn.STDEV.P(Tab.o1[MedMod])*H$1204)+G$1204,"")</f>
        <v/>
      </c>
      <c r="T936" s="123" t="str">
        <f>IF(Tab.o1[[#This Row],[a1]]=1,Tab.o1[[#This Row],[Z-]]*_xlfn.STDEV.P(Tab.o1[B])+AVERAGE(Tab.o1[B]),"")</f>
        <v/>
      </c>
      <c r="U936" s="123" t="str">
        <f>IF(Tab.o1[[#This Row],[a1]]=1,Tab.o1[[#This Row],[z+]]*_xlfn.STDEV.P(Tab.o1[B])+AVERAGE(Tab.o1[B]),"")</f>
        <v/>
      </c>
      <c r="V936" s="124" t="str">
        <f>IF(Tab.o1[[#This Row],[a1]]=1,ABS((ABS(Tab.o1[[#This Row],[Red]]-Tab.o1[[#This Row],[Blue]]))),"")</f>
        <v/>
      </c>
      <c r="W936" s="125" t="str">
        <f>IF(Tab.o1[[#This Row],[a1]]=1,IF(W$3=0,1,Tab.o1[[#This Row],[Amp.]]*1/_xlfn.MINIFS(Tab.o1[Amp.],Tab.o1[Amp.],"&lt;&gt;0")),"")</f>
        <v/>
      </c>
      <c r="X936" s="126" t="str">
        <f>IF(Tab.o1[[#This Row],[a1]]=1,IF(ISNUMBER(Tab.o1[[#This Row],[i.]]),NORMDIST(Tab.o1[[#This Row],[Za]],0,1,FALSE)*Tab.o1[[#This Row],[i.]],AP$3),"")</f>
        <v/>
      </c>
      <c r="Y936" s="126" t="str">
        <f>IF(Tab.o1[[#This Row],[a1]]=1,0.01+0.94*Tab.o1[[#This Row],[PDF]]/MAX(Tab.o1[PDF]),"")</f>
        <v/>
      </c>
      <c r="Z936" s="126" t="str">
        <f>IF(Tab.o1[[#This Row],[a1]]=1,0.01+0.94*Tab.o1[[#This Row],[W1_PDF]]/MAX(Tab.o1[W1_PDF]),"")</f>
        <v/>
      </c>
      <c r="AA936" s="118" t="str">
        <f>IF(Tab.o1[[#This Row],[a1]]=1,ABS([1]!T.in.A[[#This Row],[oo6]]),"")</f>
        <v/>
      </c>
      <c r="AB936" s="127" t="str">
        <f>IF(Tab.o1[[#This Row],[a1]]=1,IF(AE$3=0,"",IF(AB$3=0,ABS([1]!T.in.A[[#This Row],[oo9]]),ABS(Tab.o1[[#This Row],[DIF_Target.]]*Tab.o1[[#This Row],[W1_PDF]]))),"")</f>
        <v/>
      </c>
      <c r="AC936" s="127" t="str">
        <f>IF(G$1=1,"",IF(Tab.o1[[#This Row],[a1]]=1,Tab.o1[[#This Row],[Wr]]^2,""))</f>
        <v/>
      </c>
      <c r="AD936" s="118" t="str">
        <f>IF(Tab.o1[[#This Row],[a1]]=1,IF(AE$3=0,"",Tab.o1[[#This Row],[Wr2]]/SUM(Tab.o1[Wr2])),"")</f>
        <v/>
      </c>
      <c r="AE936" s="128" t="str">
        <f>IF(Tab.o1[[#This Row],[a1]]=1,[1]!T.in.A[[#This Row],[oo10]],"")</f>
        <v/>
      </c>
      <c r="AF936" s="118" t="str">
        <f>IF(Tab.o1[[#This Row],[a1]]=1,ABS(Tab.o1[[#This Row],[DIF_Target.]]*Tab.o1[[#This Row],[PDF2]]*Tab.o1[[#This Row],[IN]]),"")</f>
        <v/>
      </c>
      <c r="AG936" s="129" t="str">
        <f>IF(Tab.o1[[#This Row],[a1]]=1,Tab.o1[[#This Row],[rW]]^2,"")</f>
        <v/>
      </c>
      <c r="AH936" s="130" t="str">
        <f>IF(Tab.o1[[#This Row],[a1]]=1,IF(AH$3=0,Tab.o1[[#This Row],[rW2]],0.01+0.94*Tab.o1[[#This Row],[rW2]]/SUM(Tab.o1[rW2])),"")</f>
        <v/>
      </c>
      <c r="AI936" s="128" t="str">
        <f>IF(Tab.o1[[#This Row],[a1]]=1,1/Tab.o1[[#This Row],[PDF]],"")</f>
        <v/>
      </c>
      <c r="AJ936" s="131" t="str">
        <f>IF(Tab.o1[[#This Row],[a1]]=1,[1]!T_AA[[#This Row],[IN'']]*[1]!T_AA[[#This Row],[Qde'']],"")</f>
        <v/>
      </c>
      <c r="AK936" s="132" t="str">
        <f>IF(Tab.o1[[#This Row],[a1]]=1,IF(AK$1=1,Tab.o1[[#This Row],[MED]]+Tab.o1[[#This Row],[MOD]]-Tab.o1[[#This Row],[MED]],""),"")</f>
        <v/>
      </c>
      <c r="AL936" s="133" t="str">
        <f>IF(Tab.o1[[#This Row],[a1]]=1,[1]!T.in.A[[#This Row],[oo16]],"")</f>
        <v/>
      </c>
      <c r="AM936" s="133" t="str">
        <f>IF(Tab.o1[[#This Row],[a1]]=1,IF(AM$3=1,[1]!T.in.A[[#This Row],[Σo16]],""),"")</f>
        <v/>
      </c>
      <c r="AN936" s="126" t="str">
        <f>IF(Tab.o1[[#This Row],[a1]]=1,[1]!T.in.A[[#This Row],[Σp5]],"")</f>
        <v/>
      </c>
      <c r="AO936" s="126" t="str">
        <f>IF(Tab.o1[[#This Row],[a1]]=1,IF(AO$3=1,[1]!T.in.A[[#This Row],[Σp5]],""),"")</f>
        <v/>
      </c>
      <c r="AP936" s="110" t="str">
        <f>IF(Tab.o1[[#This Row],[a1]]=1,IF(ISNUMBER(Tab.o1[[#This Row],[i.]]),NORMDIST(Tab.o1[[#This Row],[Za]],0,1,FALSE)*Tab.o1[[#This Row],[i.]],0),"")</f>
        <v/>
      </c>
      <c r="AQ936" s="125" t="str">
        <f>IF(Tab.o1[[#This Row],[a1]]=1,ABS(Tab.o1[[#This Row],[MOD]]-AVERAGE(Tab.o1[MOD])),"")</f>
        <v/>
      </c>
      <c r="AR936" s="134" t="str">
        <f>IF(Tab.o1[[#This Row],[a1]]=1,Tab.o1[[#This Row],[OBS]]/SUM(Tab.o1[OBS]),"")</f>
        <v/>
      </c>
      <c r="AS936" s="135" t="str">
        <f>IF(ISNUMBER(Tab.o1[[#This Row],[a1]]),ROW()-4,"")</f>
        <v/>
      </c>
      <c r="AT936" s="136" t="str">
        <f>Tab.o1[[#This Row],[MOD]]</f>
        <v/>
      </c>
      <c r="AU936" s="137" t="str">
        <f t="shared" si="57"/>
        <v/>
      </c>
      <c r="AV936" s="138" t="str">
        <f t="shared" si="58"/>
        <v/>
      </c>
      <c r="AW936" s="138" t="str">
        <f t="shared" si="59"/>
        <v/>
      </c>
      <c r="AX936" s="139" t="str">
        <f>[1]!T.in.A[[#This Row],[ID_T_manu]]</f>
        <v/>
      </c>
      <c r="AY936" s="140" t="str">
        <f>IF(ISNUMBER(Tab.o1[[#This Row],[a1]]),IF(AND(Tab.o1[[#This Row],[a1]]=1,Tab.o1[[#This Row],[b1]]&lt;=AY$4),#REF!,AY935),"")</f>
        <v/>
      </c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6"/>
      <c r="BO936" s="26"/>
      <c r="BP936" s="26"/>
      <c r="BQ936" s="26"/>
      <c r="BR936" s="26"/>
      <c r="BS936" s="26"/>
      <c r="BT936" s="26"/>
      <c r="BU936" s="26"/>
      <c r="BV936" s="26"/>
      <c r="BW936" s="26"/>
      <c r="BX936" s="26"/>
      <c r="BY936" s="26"/>
      <c r="BZ936" s="26"/>
      <c r="CA936" s="26"/>
    </row>
    <row r="937" spans="1:79" ht="15.75" hidden="1">
      <c r="A937" s="109">
        <v>-1.0000000000000001E-5</v>
      </c>
      <c r="B937" s="110">
        <f t="shared" si="56"/>
        <v>937</v>
      </c>
      <c r="C937" s="111" t="str">
        <f>IF(C$1=[1]!T.in.A[[#This Row],[oo2]],1,"")</f>
        <v/>
      </c>
      <c r="D937" s="112" t="str">
        <f>IF(Tab.o1[[#This Row],[a1]]=1,IF(SUM(C937:C938)=0,0,IF(SUM(C936:C937)=1,1,IF(SUM(C936:C938)&gt;1,D936+1,0))),"")</f>
        <v/>
      </c>
      <c r="E937" s="113" t="str">
        <f>IF(Tab.o1[[#This Row],[a1]]=1,[1]!T.in.A[[#This Row],[oo1]],"")</f>
        <v/>
      </c>
      <c r="F937" s="113" t="str">
        <f>IF(Tab.o1[[#This Row],[a1]]=1,[1]!T.in.A[[#This Row],[pp1]],"")</f>
        <v/>
      </c>
      <c r="G937" s="114" t="str">
        <f>IF(Tab.o1[[#This Row],[a1]]=1,G$2+IF(G$1=1,0,Tab.o1[[#This Row],[.x1]])+[1]!T.in.A[[#This Row],[oo3]],"")</f>
        <v/>
      </c>
      <c r="H937" s="115" t="str">
        <f>IF(Tab.o1[[#This Row],[a1]]=1,IF(H$2=0,0,IF(G$1=1,0,Tab.o1[[#This Row],[.x1]])+[1]!T.in.A[[#This Row],[oo4]]),"")</f>
        <v/>
      </c>
      <c r="I937" s="116" t="str">
        <f>IF(Tab.o1[[#This Row],[a1]]=1,IF(J$2=0,Tab.o1[[#This Row],[MED]],Tab.o1[[#This Row],[MOD]]),"")</f>
        <v/>
      </c>
      <c r="J937" s="116" t="str">
        <f>IF(Tab.o1[[#This Row],[a1]]=1,((Tab.o1[[#This Row],[DIF_Target.]]-AVERAGE(Tab.o1[DIF_Target.]))/_xlfn.STDEV.P(Tab.o1[DIF_Target.])),"")</f>
        <v/>
      </c>
      <c r="K937" s="117" t="str">
        <f>IF(Tab.o1[[#This Row],[a1]]=1,IF(J$2=0,Tab.o1[[#This Row],[MOD]]-Tab.o1[[#This Row],[B]],IF(J$2=1,0,-Tab.o1[[#This Row],[MED]])+Tab.o1[[#This Row],[B]]),"")</f>
        <v/>
      </c>
      <c r="L937" s="117" t="str">
        <f ca="1">IF(Tab.o1[[#This Row],[DIF_Target]]=0,IF(L$2=0,Tab.o1[[#This Row],[DIF_Target]],AVERAGE(OFFSET(Tab.o1[[#This Row],[DIF_Target]],1,0,L$3,1)))/3,Tab.o1[[#This Row],[DIF_Target]])</f>
        <v/>
      </c>
      <c r="M937" s="118" t="str">
        <f>IF(Tab.o1[[#This Row],[a1]]=1,NORMSDIST(Tab.o1[[#This Row],[Za]]),"")</f>
        <v/>
      </c>
      <c r="N937" s="119" t="str">
        <f>IF(Tab.o1[[#This Row],[a1]]=1,((Tab.o1[[#This Row],[MedMod]]-AVERAGE(Tab.o1[MedMod]))/_xlfn.STDEV.P(Tab.o1[MedMod])*H$1205)+G$1205,"")</f>
        <v/>
      </c>
      <c r="O937" s="141" t="str">
        <f>IF(Tab.o1[[#This Row],[a1]]=1,Tab.o1[[#This Row],[Zb]]*_xlfn.STDEV.P(Tab.o1[MedMod])+AVERAGE(Tab.o1[MedMod]),"")</f>
        <v/>
      </c>
      <c r="P937" s="117" t="str">
        <f ca="1">IF(Tab.o1[[#This Row],[B]]=0,AVERAGE(OFFSET(Tab.o1[[#This Row],[B]],1,0,L$3,1)),Tab.o1[[#This Row],[B]])</f>
        <v/>
      </c>
      <c r="Q937" s="121" t="str">
        <f>IF(Tab.o1[[#This Row],[a1]]=1,NORMSDIST(Tab.o1[[#This Row],[Zb]]),"")</f>
        <v/>
      </c>
      <c r="R937" s="122" t="str">
        <f>IF(Tab.o1[[#This Row],[a1]]=1,((Tab.o1[[#This Row],[MedMod]]-AVERAGE(Tab.o1[MedMod]))/_xlfn.STDEV.P(Tab.o1[MedMod])*H$1203)+G$1203,"")</f>
        <v/>
      </c>
      <c r="S937" s="122" t="str">
        <f>IF(Tab.o1[[#This Row],[a1]]=1,((Tab.o1[[#This Row],[MedMod]]-AVERAGE(Tab.o1[MedMod]))/_xlfn.STDEV.P(Tab.o1[MedMod])*H$1204)+G$1204,"")</f>
        <v/>
      </c>
      <c r="T937" s="123" t="str">
        <f>IF(Tab.o1[[#This Row],[a1]]=1,Tab.o1[[#This Row],[Z-]]*_xlfn.STDEV.P(Tab.o1[B])+AVERAGE(Tab.o1[B]),"")</f>
        <v/>
      </c>
      <c r="U937" s="123" t="str">
        <f>IF(Tab.o1[[#This Row],[a1]]=1,Tab.o1[[#This Row],[z+]]*_xlfn.STDEV.P(Tab.o1[B])+AVERAGE(Tab.o1[B]),"")</f>
        <v/>
      </c>
      <c r="V937" s="124" t="str">
        <f>IF(Tab.o1[[#This Row],[a1]]=1,ABS((ABS(Tab.o1[[#This Row],[Red]]-Tab.o1[[#This Row],[Blue]]))),"")</f>
        <v/>
      </c>
      <c r="W937" s="125" t="str">
        <f>IF(Tab.o1[[#This Row],[a1]]=1,IF(W$3=0,1,Tab.o1[[#This Row],[Amp.]]*1/_xlfn.MINIFS(Tab.o1[Amp.],Tab.o1[Amp.],"&lt;&gt;0")),"")</f>
        <v/>
      </c>
      <c r="X937" s="126" t="str">
        <f>IF(Tab.o1[[#This Row],[a1]]=1,IF(ISNUMBER(Tab.o1[[#This Row],[i.]]),NORMDIST(Tab.o1[[#This Row],[Za]],0,1,FALSE)*Tab.o1[[#This Row],[i.]],AP$3),"")</f>
        <v/>
      </c>
      <c r="Y937" s="126" t="str">
        <f>IF(Tab.o1[[#This Row],[a1]]=1,0.01+0.94*Tab.o1[[#This Row],[PDF]]/MAX(Tab.o1[PDF]),"")</f>
        <v/>
      </c>
      <c r="Z937" s="126" t="str">
        <f>IF(Tab.o1[[#This Row],[a1]]=1,0.01+0.94*Tab.o1[[#This Row],[W1_PDF]]/MAX(Tab.o1[W1_PDF]),"")</f>
        <v/>
      </c>
      <c r="AA937" s="118" t="str">
        <f>IF(Tab.o1[[#This Row],[a1]]=1,ABS([1]!T.in.A[[#This Row],[oo6]]),"")</f>
        <v/>
      </c>
      <c r="AB937" s="127" t="str">
        <f>IF(Tab.o1[[#This Row],[a1]]=1,IF(AE$3=0,"",IF(AB$3=0,ABS([1]!T.in.A[[#This Row],[oo9]]),ABS(Tab.o1[[#This Row],[DIF_Target.]]*Tab.o1[[#This Row],[W1_PDF]]))),"")</f>
        <v/>
      </c>
      <c r="AC937" s="127" t="str">
        <f>IF(G$1=1,"",IF(Tab.o1[[#This Row],[a1]]=1,Tab.o1[[#This Row],[Wr]]^2,""))</f>
        <v/>
      </c>
      <c r="AD937" s="118" t="str">
        <f>IF(Tab.o1[[#This Row],[a1]]=1,IF(AE$3=0,"",Tab.o1[[#This Row],[Wr2]]/SUM(Tab.o1[Wr2])),"")</f>
        <v/>
      </c>
      <c r="AE937" s="128" t="str">
        <f>IF(Tab.o1[[#This Row],[a1]]=1,[1]!T.in.A[[#This Row],[oo10]],"")</f>
        <v/>
      </c>
      <c r="AF937" s="118" t="str">
        <f>IF(Tab.o1[[#This Row],[a1]]=1,ABS(Tab.o1[[#This Row],[DIF_Target.]]*Tab.o1[[#This Row],[PDF2]]*Tab.o1[[#This Row],[IN]]),"")</f>
        <v/>
      </c>
      <c r="AG937" s="129" t="str">
        <f>IF(Tab.o1[[#This Row],[a1]]=1,Tab.o1[[#This Row],[rW]]^2,"")</f>
        <v/>
      </c>
      <c r="AH937" s="130" t="str">
        <f>IF(Tab.o1[[#This Row],[a1]]=1,IF(AH$3=0,Tab.o1[[#This Row],[rW2]],0.01+0.94*Tab.o1[[#This Row],[rW2]]/SUM(Tab.o1[rW2])),"")</f>
        <v/>
      </c>
      <c r="AI937" s="128" t="str">
        <f>IF(Tab.o1[[#This Row],[a1]]=1,1/Tab.o1[[#This Row],[PDF]],"")</f>
        <v/>
      </c>
      <c r="AJ937" s="131" t="str">
        <f>IF(Tab.o1[[#This Row],[a1]]=1,[1]!T_AA[[#This Row],[IN'']]*[1]!T_AA[[#This Row],[Qde'']],"")</f>
        <v/>
      </c>
      <c r="AK937" s="132" t="str">
        <f>IF(Tab.o1[[#This Row],[a1]]=1,IF(AK$1=1,Tab.o1[[#This Row],[MED]]+Tab.o1[[#This Row],[MOD]]-Tab.o1[[#This Row],[MED]],""),"")</f>
        <v/>
      </c>
      <c r="AL937" s="133" t="str">
        <f>IF(Tab.o1[[#This Row],[a1]]=1,[1]!T.in.A[[#This Row],[oo16]],"")</f>
        <v/>
      </c>
      <c r="AM937" s="133" t="str">
        <f>IF(Tab.o1[[#This Row],[a1]]=1,IF(AM$3=1,[1]!T.in.A[[#This Row],[Σo16]],""),"")</f>
        <v/>
      </c>
      <c r="AN937" s="126" t="str">
        <f>IF(Tab.o1[[#This Row],[a1]]=1,[1]!T.in.A[[#This Row],[Σp5]],"")</f>
        <v/>
      </c>
      <c r="AO937" s="126" t="str">
        <f>IF(Tab.o1[[#This Row],[a1]]=1,IF(AO$3=1,[1]!T.in.A[[#This Row],[Σp5]],""),"")</f>
        <v/>
      </c>
      <c r="AP937" s="110" t="str">
        <f>IF(Tab.o1[[#This Row],[a1]]=1,IF(ISNUMBER(Tab.o1[[#This Row],[i.]]),NORMDIST(Tab.o1[[#This Row],[Za]],0,1,FALSE)*Tab.o1[[#This Row],[i.]],0),"")</f>
        <v/>
      </c>
      <c r="AQ937" s="125" t="str">
        <f>IF(Tab.o1[[#This Row],[a1]]=1,ABS(Tab.o1[[#This Row],[MOD]]-AVERAGE(Tab.o1[MOD])),"")</f>
        <v/>
      </c>
      <c r="AR937" s="134" t="str">
        <f>IF(Tab.o1[[#This Row],[a1]]=1,Tab.o1[[#This Row],[OBS]]/SUM(Tab.o1[OBS]),"")</f>
        <v/>
      </c>
      <c r="AS937" s="135" t="str">
        <f>IF(ISNUMBER(Tab.o1[[#This Row],[a1]]),ROW()-4,"")</f>
        <v/>
      </c>
      <c r="AT937" s="136" t="str">
        <f>Tab.o1[[#This Row],[MOD]]</f>
        <v/>
      </c>
      <c r="AU937" s="137" t="str">
        <f t="shared" si="57"/>
        <v/>
      </c>
      <c r="AV937" s="138" t="str">
        <f t="shared" si="58"/>
        <v/>
      </c>
      <c r="AW937" s="138" t="str">
        <f t="shared" si="59"/>
        <v/>
      </c>
      <c r="AX937" s="139" t="str">
        <f>[1]!T.in.A[[#This Row],[ID_T_manu]]</f>
        <v/>
      </c>
      <c r="AY937" s="140" t="str">
        <f>IF(ISNUMBER(Tab.o1[[#This Row],[a1]]),IF(AND(Tab.o1[[#This Row],[a1]]=1,Tab.o1[[#This Row],[b1]]&lt;=AY$4),#REF!,AY936),"")</f>
        <v/>
      </c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6"/>
      <c r="BO937" s="26"/>
      <c r="BP937" s="26"/>
      <c r="BQ937" s="26"/>
      <c r="BR937" s="26"/>
      <c r="BS937" s="26"/>
      <c r="BT937" s="26"/>
      <c r="BU937" s="26"/>
      <c r="BV937" s="26"/>
      <c r="BW937" s="26"/>
      <c r="BX937" s="26"/>
      <c r="BY937" s="26"/>
      <c r="BZ937" s="26"/>
      <c r="CA937" s="26"/>
    </row>
    <row r="938" spans="1:79" ht="15.75" hidden="1">
      <c r="A938" s="109">
        <v>1.0000000000000001E-5</v>
      </c>
      <c r="B938" s="110">
        <f t="shared" si="56"/>
        <v>938</v>
      </c>
      <c r="C938" s="111" t="str">
        <f>IF(C$1=[1]!T.in.A[[#This Row],[oo2]],1,"")</f>
        <v/>
      </c>
      <c r="D938" s="112" t="str">
        <f>IF(Tab.o1[[#This Row],[a1]]=1,IF(SUM(C938:C939)=0,0,IF(SUM(C937:C938)=1,1,IF(SUM(C937:C939)&gt;1,D937+1,0))),"")</f>
        <v/>
      </c>
      <c r="E938" s="113" t="str">
        <f>IF(Tab.o1[[#This Row],[a1]]=1,[1]!T.in.A[[#This Row],[oo1]],"")</f>
        <v/>
      </c>
      <c r="F938" s="113" t="str">
        <f>IF(Tab.o1[[#This Row],[a1]]=1,[1]!T.in.A[[#This Row],[pp1]],"")</f>
        <v/>
      </c>
      <c r="G938" s="114" t="str">
        <f>IF(Tab.o1[[#This Row],[a1]]=1,G$2+IF(G$1=1,0,Tab.o1[[#This Row],[.x1]])+[1]!T.in.A[[#This Row],[oo3]],"")</f>
        <v/>
      </c>
      <c r="H938" s="115" t="str">
        <f>IF(Tab.o1[[#This Row],[a1]]=1,IF(H$2=0,0,IF(G$1=1,0,Tab.o1[[#This Row],[.x1]])+[1]!T.in.A[[#This Row],[oo4]]),"")</f>
        <v/>
      </c>
      <c r="I938" s="116" t="str">
        <f>IF(Tab.o1[[#This Row],[a1]]=1,IF(J$2=0,Tab.o1[[#This Row],[MED]],Tab.o1[[#This Row],[MOD]]),"")</f>
        <v/>
      </c>
      <c r="J938" s="116" t="str">
        <f>IF(Tab.o1[[#This Row],[a1]]=1,((Tab.o1[[#This Row],[DIF_Target.]]-AVERAGE(Tab.o1[DIF_Target.]))/_xlfn.STDEV.P(Tab.o1[DIF_Target.])),"")</f>
        <v/>
      </c>
      <c r="K938" s="117" t="str">
        <f>IF(Tab.o1[[#This Row],[a1]]=1,IF(J$2=0,Tab.o1[[#This Row],[MOD]]-Tab.o1[[#This Row],[B]],IF(J$2=1,0,-Tab.o1[[#This Row],[MED]])+Tab.o1[[#This Row],[B]]),"")</f>
        <v/>
      </c>
      <c r="L938" s="117" t="str">
        <f ca="1">IF(Tab.o1[[#This Row],[DIF_Target]]=0,IF(L$2=0,Tab.o1[[#This Row],[DIF_Target]],AVERAGE(OFFSET(Tab.o1[[#This Row],[DIF_Target]],1,0,L$3,1)))/3,Tab.o1[[#This Row],[DIF_Target]])</f>
        <v/>
      </c>
      <c r="M938" s="118" t="str">
        <f>IF(Tab.o1[[#This Row],[a1]]=1,NORMSDIST(Tab.o1[[#This Row],[Za]]),"")</f>
        <v/>
      </c>
      <c r="N938" s="119" t="str">
        <f>IF(Tab.o1[[#This Row],[a1]]=1,((Tab.o1[[#This Row],[MedMod]]-AVERAGE(Tab.o1[MedMod]))/_xlfn.STDEV.P(Tab.o1[MedMod])*H$1205)+G$1205,"")</f>
        <v/>
      </c>
      <c r="O938" s="141" t="str">
        <f>IF(Tab.o1[[#This Row],[a1]]=1,Tab.o1[[#This Row],[Zb]]*_xlfn.STDEV.P(Tab.o1[MedMod])+AVERAGE(Tab.o1[MedMod]),"")</f>
        <v/>
      </c>
      <c r="P938" s="117" t="str">
        <f ca="1">IF(Tab.o1[[#This Row],[B]]=0,AVERAGE(OFFSET(Tab.o1[[#This Row],[B]],1,0,L$3,1)),Tab.o1[[#This Row],[B]])</f>
        <v/>
      </c>
      <c r="Q938" s="121" t="str">
        <f>IF(Tab.o1[[#This Row],[a1]]=1,NORMSDIST(Tab.o1[[#This Row],[Zb]]),"")</f>
        <v/>
      </c>
      <c r="R938" s="122" t="str">
        <f>IF(Tab.o1[[#This Row],[a1]]=1,((Tab.o1[[#This Row],[MedMod]]-AVERAGE(Tab.o1[MedMod]))/_xlfn.STDEV.P(Tab.o1[MedMod])*H$1203)+G$1203,"")</f>
        <v/>
      </c>
      <c r="S938" s="122" t="str">
        <f>IF(Tab.o1[[#This Row],[a1]]=1,((Tab.o1[[#This Row],[MedMod]]-AVERAGE(Tab.o1[MedMod]))/_xlfn.STDEV.P(Tab.o1[MedMod])*H$1204)+G$1204,"")</f>
        <v/>
      </c>
      <c r="T938" s="123" t="str">
        <f>IF(Tab.o1[[#This Row],[a1]]=1,Tab.o1[[#This Row],[Z-]]*_xlfn.STDEV.P(Tab.o1[B])+AVERAGE(Tab.o1[B]),"")</f>
        <v/>
      </c>
      <c r="U938" s="123" t="str">
        <f>IF(Tab.o1[[#This Row],[a1]]=1,Tab.o1[[#This Row],[z+]]*_xlfn.STDEV.P(Tab.o1[B])+AVERAGE(Tab.o1[B]),"")</f>
        <v/>
      </c>
      <c r="V938" s="124" t="str">
        <f>IF(Tab.o1[[#This Row],[a1]]=1,ABS((ABS(Tab.o1[[#This Row],[Red]]-Tab.o1[[#This Row],[Blue]]))),"")</f>
        <v/>
      </c>
      <c r="W938" s="125" t="str">
        <f>IF(Tab.o1[[#This Row],[a1]]=1,IF(W$3=0,1,Tab.o1[[#This Row],[Amp.]]*1/_xlfn.MINIFS(Tab.o1[Amp.],Tab.o1[Amp.],"&lt;&gt;0")),"")</f>
        <v/>
      </c>
      <c r="X938" s="126" t="str">
        <f>IF(Tab.o1[[#This Row],[a1]]=1,IF(ISNUMBER(Tab.o1[[#This Row],[i.]]),NORMDIST(Tab.o1[[#This Row],[Za]],0,1,FALSE)*Tab.o1[[#This Row],[i.]],AP$3),"")</f>
        <v/>
      </c>
      <c r="Y938" s="126" t="str">
        <f>IF(Tab.o1[[#This Row],[a1]]=1,0.01+0.94*Tab.o1[[#This Row],[PDF]]/MAX(Tab.o1[PDF]),"")</f>
        <v/>
      </c>
      <c r="Z938" s="126" t="str">
        <f>IF(Tab.o1[[#This Row],[a1]]=1,0.01+0.94*Tab.o1[[#This Row],[W1_PDF]]/MAX(Tab.o1[W1_PDF]),"")</f>
        <v/>
      </c>
      <c r="AA938" s="118" t="str">
        <f>IF(Tab.o1[[#This Row],[a1]]=1,ABS([1]!T.in.A[[#This Row],[oo6]]),"")</f>
        <v/>
      </c>
      <c r="AB938" s="127" t="str">
        <f>IF(Tab.o1[[#This Row],[a1]]=1,IF(AE$3=0,"",IF(AB$3=0,ABS([1]!T.in.A[[#This Row],[oo9]]),ABS(Tab.o1[[#This Row],[DIF_Target.]]*Tab.o1[[#This Row],[W1_PDF]]))),"")</f>
        <v/>
      </c>
      <c r="AC938" s="127" t="str">
        <f>IF(G$1=1,"",IF(Tab.o1[[#This Row],[a1]]=1,Tab.o1[[#This Row],[Wr]]^2,""))</f>
        <v/>
      </c>
      <c r="AD938" s="118" t="str">
        <f>IF(Tab.o1[[#This Row],[a1]]=1,IF(AE$3=0,"",Tab.o1[[#This Row],[Wr2]]/SUM(Tab.o1[Wr2])),"")</f>
        <v/>
      </c>
      <c r="AE938" s="128" t="str">
        <f>IF(Tab.o1[[#This Row],[a1]]=1,[1]!T.in.A[[#This Row],[oo10]],"")</f>
        <v/>
      </c>
      <c r="AF938" s="118" t="str">
        <f>IF(Tab.o1[[#This Row],[a1]]=1,ABS(Tab.o1[[#This Row],[DIF_Target.]]*Tab.o1[[#This Row],[PDF2]]*Tab.o1[[#This Row],[IN]]),"")</f>
        <v/>
      </c>
      <c r="AG938" s="129" t="str">
        <f>IF(Tab.o1[[#This Row],[a1]]=1,Tab.o1[[#This Row],[rW]]^2,"")</f>
        <v/>
      </c>
      <c r="AH938" s="130" t="str">
        <f>IF(Tab.o1[[#This Row],[a1]]=1,IF(AH$3=0,Tab.o1[[#This Row],[rW2]],0.01+0.94*Tab.o1[[#This Row],[rW2]]/SUM(Tab.o1[rW2])),"")</f>
        <v/>
      </c>
      <c r="AI938" s="128" t="str">
        <f>IF(Tab.o1[[#This Row],[a1]]=1,1/Tab.o1[[#This Row],[PDF]],"")</f>
        <v/>
      </c>
      <c r="AJ938" s="131" t="str">
        <f>IF(Tab.o1[[#This Row],[a1]]=1,[1]!T_AA[[#This Row],[IN'']]*[1]!T_AA[[#This Row],[Qde'']],"")</f>
        <v/>
      </c>
      <c r="AK938" s="132" t="str">
        <f>IF(Tab.o1[[#This Row],[a1]]=1,IF(AK$1=1,Tab.o1[[#This Row],[MED]]+Tab.o1[[#This Row],[MOD]]-Tab.o1[[#This Row],[MED]],""),"")</f>
        <v/>
      </c>
      <c r="AL938" s="133" t="str">
        <f>IF(Tab.o1[[#This Row],[a1]]=1,[1]!T.in.A[[#This Row],[oo16]],"")</f>
        <v/>
      </c>
      <c r="AM938" s="133" t="str">
        <f>IF(Tab.o1[[#This Row],[a1]]=1,IF(AM$3=1,[1]!T.in.A[[#This Row],[Σo16]],""),"")</f>
        <v/>
      </c>
      <c r="AN938" s="126" t="str">
        <f>IF(Tab.o1[[#This Row],[a1]]=1,[1]!T.in.A[[#This Row],[Σp5]],"")</f>
        <v/>
      </c>
      <c r="AO938" s="126" t="str">
        <f>IF(Tab.o1[[#This Row],[a1]]=1,IF(AO$3=1,[1]!T.in.A[[#This Row],[Σp5]],""),"")</f>
        <v/>
      </c>
      <c r="AP938" s="110" t="str">
        <f>IF(Tab.o1[[#This Row],[a1]]=1,IF(ISNUMBER(Tab.o1[[#This Row],[i.]]),NORMDIST(Tab.o1[[#This Row],[Za]],0,1,FALSE)*Tab.o1[[#This Row],[i.]],0),"")</f>
        <v/>
      </c>
      <c r="AQ938" s="125" t="str">
        <f>IF(Tab.o1[[#This Row],[a1]]=1,ABS(Tab.o1[[#This Row],[MOD]]-AVERAGE(Tab.o1[MOD])),"")</f>
        <v/>
      </c>
      <c r="AR938" s="134" t="str">
        <f>IF(Tab.o1[[#This Row],[a1]]=1,Tab.o1[[#This Row],[OBS]]/SUM(Tab.o1[OBS]),"")</f>
        <v/>
      </c>
      <c r="AS938" s="135" t="str">
        <f>IF(ISNUMBER(Tab.o1[[#This Row],[a1]]),ROW()-4,"")</f>
        <v/>
      </c>
      <c r="AT938" s="136" t="str">
        <f>Tab.o1[[#This Row],[MOD]]</f>
        <v/>
      </c>
      <c r="AU938" s="137" t="str">
        <f t="shared" si="57"/>
        <v/>
      </c>
      <c r="AV938" s="138" t="str">
        <f t="shared" si="58"/>
        <v/>
      </c>
      <c r="AW938" s="138" t="str">
        <f t="shared" si="59"/>
        <v/>
      </c>
      <c r="AX938" s="139" t="str">
        <f>[1]!T.in.A[[#This Row],[ID_T_manu]]</f>
        <v/>
      </c>
      <c r="AY938" s="140" t="str">
        <f>IF(ISNUMBER(Tab.o1[[#This Row],[a1]]),IF(AND(Tab.o1[[#This Row],[a1]]=1,Tab.o1[[#This Row],[b1]]&lt;=AY$4),#REF!,AY937),"")</f>
        <v/>
      </c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6"/>
      <c r="BO938" s="26"/>
      <c r="BP938" s="26"/>
      <c r="BQ938" s="26"/>
      <c r="BR938" s="26"/>
      <c r="BS938" s="26"/>
      <c r="BT938" s="26"/>
      <c r="BU938" s="26"/>
      <c r="BV938" s="26"/>
      <c r="BW938" s="26"/>
      <c r="BX938" s="26"/>
      <c r="BY938" s="26"/>
      <c r="BZ938" s="26"/>
      <c r="CA938" s="26"/>
    </row>
    <row r="939" spans="1:79" ht="15.75" hidden="1">
      <c r="A939" s="109">
        <v>2.9999999999999997E-6</v>
      </c>
      <c r="B939" s="110">
        <f t="shared" si="56"/>
        <v>939</v>
      </c>
      <c r="C939" s="111" t="str">
        <f>IF(C$1=[1]!T.in.A[[#This Row],[oo2]],1,"")</f>
        <v/>
      </c>
      <c r="D939" s="112" t="str">
        <f>IF(Tab.o1[[#This Row],[a1]]=1,IF(SUM(C939:C940)=0,0,IF(SUM(C938:C939)=1,1,IF(SUM(C938:C940)&gt;1,D938+1,0))),"")</f>
        <v/>
      </c>
      <c r="E939" s="113" t="str">
        <f>IF(Tab.o1[[#This Row],[a1]]=1,[1]!T.in.A[[#This Row],[oo1]],"")</f>
        <v/>
      </c>
      <c r="F939" s="113" t="str">
        <f>IF(Tab.o1[[#This Row],[a1]]=1,[1]!T.in.A[[#This Row],[pp1]],"")</f>
        <v/>
      </c>
      <c r="G939" s="114" t="str">
        <f>IF(Tab.o1[[#This Row],[a1]]=1,G$2+IF(G$1=1,0,Tab.o1[[#This Row],[.x1]])+[1]!T.in.A[[#This Row],[oo3]],"")</f>
        <v/>
      </c>
      <c r="H939" s="115" t="str">
        <f>IF(Tab.o1[[#This Row],[a1]]=1,IF(H$2=0,0,IF(G$1=1,0,Tab.o1[[#This Row],[.x1]])+[1]!T.in.A[[#This Row],[oo4]]),"")</f>
        <v/>
      </c>
      <c r="I939" s="116" t="str">
        <f>IF(Tab.o1[[#This Row],[a1]]=1,IF(J$2=0,Tab.o1[[#This Row],[MED]],Tab.o1[[#This Row],[MOD]]),"")</f>
        <v/>
      </c>
      <c r="J939" s="116" t="str">
        <f>IF(Tab.o1[[#This Row],[a1]]=1,((Tab.o1[[#This Row],[DIF_Target.]]-AVERAGE(Tab.o1[DIF_Target.]))/_xlfn.STDEV.P(Tab.o1[DIF_Target.])),"")</f>
        <v/>
      </c>
      <c r="K939" s="117" t="str">
        <f>IF(Tab.o1[[#This Row],[a1]]=1,IF(J$2=0,Tab.o1[[#This Row],[MOD]]-Tab.o1[[#This Row],[B]],IF(J$2=1,0,-Tab.o1[[#This Row],[MED]])+Tab.o1[[#This Row],[B]]),"")</f>
        <v/>
      </c>
      <c r="L939" s="117" t="str">
        <f ca="1">IF(Tab.o1[[#This Row],[DIF_Target]]=0,IF(L$2=0,Tab.o1[[#This Row],[DIF_Target]],AVERAGE(OFFSET(Tab.o1[[#This Row],[DIF_Target]],1,0,L$3,1)))/3,Tab.o1[[#This Row],[DIF_Target]])</f>
        <v/>
      </c>
      <c r="M939" s="118" t="str">
        <f>IF(Tab.o1[[#This Row],[a1]]=1,NORMSDIST(Tab.o1[[#This Row],[Za]]),"")</f>
        <v/>
      </c>
      <c r="N939" s="119" t="str">
        <f>IF(Tab.o1[[#This Row],[a1]]=1,((Tab.o1[[#This Row],[MedMod]]-AVERAGE(Tab.o1[MedMod]))/_xlfn.STDEV.P(Tab.o1[MedMod])*H$1205)+G$1205,"")</f>
        <v/>
      </c>
      <c r="O939" s="141" t="str">
        <f>IF(Tab.o1[[#This Row],[a1]]=1,Tab.o1[[#This Row],[Zb]]*_xlfn.STDEV.P(Tab.o1[MedMod])+AVERAGE(Tab.o1[MedMod]),"")</f>
        <v/>
      </c>
      <c r="P939" s="117" t="str">
        <f ca="1">IF(Tab.o1[[#This Row],[B]]=0,AVERAGE(OFFSET(Tab.o1[[#This Row],[B]],1,0,L$3,1)),Tab.o1[[#This Row],[B]])</f>
        <v/>
      </c>
      <c r="Q939" s="121" t="str">
        <f>IF(Tab.o1[[#This Row],[a1]]=1,NORMSDIST(Tab.o1[[#This Row],[Zb]]),"")</f>
        <v/>
      </c>
      <c r="R939" s="122" t="str">
        <f>IF(Tab.o1[[#This Row],[a1]]=1,((Tab.o1[[#This Row],[MedMod]]-AVERAGE(Tab.o1[MedMod]))/_xlfn.STDEV.P(Tab.o1[MedMod])*H$1203)+G$1203,"")</f>
        <v/>
      </c>
      <c r="S939" s="122" t="str">
        <f>IF(Tab.o1[[#This Row],[a1]]=1,((Tab.o1[[#This Row],[MedMod]]-AVERAGE(Tab.o1[MedMod]))/_xlfn.STDEV.P(Tab.o1[MedMod])*H$1204)+G$1204,"")</f>
        <v/>
      </c>
      <c r="T939" s="123" t="str">
        <f>IF(Tab.o1[[#This Row],[a1]]=1,Tab.o1[[#This Row],[Z-]]*_xlfn.STDEV.P(Tab.o1[B])+AVERAGE(Tab.o1[B]),"")</f>
        <v/>
      </c>
      <c r="U939" s="123" t="str">
        <f>IF(Tab.o1[[#This Row],[a1]]=1,Tab.o1[[#This Row],[z+]]*_xlfn.STDEV.P(Tab.o1[B])+AVERAGE(Tab.o1[B]),"")</f>
        <v/>
      </c>
      <c r="V939" s="124" t="str">
        <f>IF(Tab.o1[[#This Row],[a1]]=1,ABS((ABS(Tab.o1[[#This Row],[Red]]-Tab.o1[[#This Row],[Blue]]))),"")</f>
        <v/>
      </c>
      <c r="W939" s="125" t="str">
        <f>IF(Tab.o1[[#This Row],[a1]]=1,IF(W$3=0,1,Tab.o1[[#This Row],[Amp.]]*1/_xlfn.MINIFS(Tab.o1[Amp.],Tab.o1[Amp.],"&lt;&gt;0")),"")</f>
        <v/>
      </c>
      <c r="X939" s="126" t="str">
        <f>IF(Tab.o1[[#This Row],[a1]]=1,IF(ISNUMBER(Tab.o1[[#This Row],[i.]]),NORMDIST(Tab.o1[[#This Row],[Za]],0,1,FALSE)*Tab.o1[[#This Row],[i.]],AP$3),"")</f>
        <v/>
      </c>
      <c r="Y939" s="126" t="str">
        <f>IF(Tab.o1[[#This Row],[a1]]=1,0.01+0.94*Tab.o1[[#This Row],[PDF]]/MAX(Tab.o1[PDF]),"")</f>
        <v/>
      </c>
      <c r="Z939" s="126" t="str">
        <f>IF(Tab.o1[[#This Row],[a1]]=1,0.01+0.94*Tab.o1[[#This Row],[W1_PDF]]/MAX(Tab.o1[W1_PDF]),"")</f>
        <v/>
      </c>
      <c r="AA939" s="118" t="str">
        <f>IF(Tab.o1[[#This Row],[a1]]=1,ABS([1]!T.in.A[[#This Row],[oo6]]),"")</f>
        <v/>
      </c>
      <c r="AB939" s="127" t="str">
        <f>IF(Tab.o1[[#This Row],[a1]]=1,IF(AE$3=0,"",IF(AB$3=0,ABS([1]!T.in.A[[#This Row],[oo9]]),ABS(Tab.o1[[#This Row],[DIF_Target.]]*Tab.o1[[#This Row],[W1_PDF]]))),"")</f>
        <v/>
      </c>
      <c r="AC939" s="127" t="str">
        <f>IF(G$1=1,"",IF(Tab.o1[[#This Row],[a1]]=1,Tab.o1[[#This Row],[Wr]]^2,""))</f>
        <v/>
      </c>
      <c r="AD939" s="118" t="str">
        <f>IF(Tab.o1[[#This Row],[a1]]=1,IF(AE$3=0,"",Tab.o1[[#This Row],[Wr2]]/SUM(Tab.o1[Wr2])),"")</f>
        <v/>
      </c>
      <c r="AE939" s="128" t="str">
        <f>IF(Tab.o1[[#This Row],[a1]]=1,[1]!T.in.A[[#This Row],[oo10]],"")</f>
        <v/>
      </c>
      <c r="AF939" s="118" t="str">
        <f>IF(Tab.o1[[#This Row],[a1]]=1,ABS(Tab.o1[[#This Row],[DIF_Target.]]*Tab.o1[[#This Row],[PDF2]]*Tab.o1[[#This Row],[IN]]),"")</f>
        <v/>
      </c>
      <c r="AG939" s="129" t="str">
        <f>IF(Tab.o1[[#This Row],[a1]]=1,Tab.o1[[#This Row],[rW]]^2,"")</f>
        <v/>
      </c>
      <c r="AH939" s="130" t="str">
        <f>IF(Tab.o1[[#This Row],[a1]]=1,IF(AH$3=0,Tab.o1[[#This Row],[rW2]],0.01+0.94*Tab.o1[[#This Row],[rW2]]/SUM(Tab.o1[rW2])),"")</f>
        <v/>
      </c>
      <c r="AI939" s="128" t="str">
        <f>IF(Tab.o1[[#This Row],[a1]]=1,1/Tab.o1[[#This Row],[PDF]],"")</f>
        <v/>
      </c>
      <c r="AJ939" s="131" t="str">
        <f>IF(Tab.o1[[#This Row],[a1]]=1,[1]!T_AA[[#This Row],[IN'']]*[1]!T_AA[[#This Row],[Qde'']],"")</f>
        <v/>
      </c>
      <c r="AK939" s="132" t="str">
        <f>IF(Tab.o1[[#This Row],[a1]]=1,IF(AK$1=1,Tab.o1[[#This Row],[MED]]+Tab.o1[[#This Row],[MOD]]-Tab.o1[[#This Row],[MED]],""),"")</f>
        <v/>
      </c>
      <c r="AL939" s="133" t="str">
        <f>IF(Tab.o1[[#This Row],[a1]]=1,[1]!T.in.A[[#This Row],[oo16]],"")</f>
        <v/>
      </c>
      <c r="AM939" s="133" t="str">
        <f>IF(Tab.o1[[#This Row],[a1]]=1,IF(AM$3=1,[1]!T.in.A[[#This Row],[Σo16]],""),"")</f>
        <v/>
      </c>
      <c r="AN939" s="126" t="str">
        <f>IF(Tab.o1[[#This Row],[a1]]=1,[1]!T.in.A[[#This Row],[Σp5]],"")</f>
        <v/>
      </c>
      <c r="AO939" s="126" t="str">
        <f>IF(Tab.o1[[#This Row],[a1]]=1,IF(AO$3=1,[1]!T.in.A[[#This Row],[Σp5]],""),"")</f>
        <v/>
      </c>
      <c r="AP939" s="110" t="str">
        <f>IF(Tab.o1[[#This Row],[a1]]=1,IF(ISNUMBER(Tab.o1[[#This Row],[i.]]),NORMDIST(Tab.o1[[#This Row],[Za]],0,1,FALSE)*Tab.o1[[#This Row],[i.]],0),"")</f>
        <v/>
      </c>
      <c r="AQ939" s="125" t="str">
        <f>IF(Tab.o1[[#This Row],[a1]]=1,ABS(Tab.o1[[#This Row],[MOD]]-AVERAGE(Tab.o1[MOD])),"")</f>
        <v/>
      </c>
      <c r="AR939" s="134" t="str">
        <f>IF(Tab.o1[[#This Row],[a1]]=1,Tab.o1[[#This Row],[OBS]]/SUM(Tab.o1[OBS]),"")</f>
        <v/>
      </c>
      <c r="AS939" s="135" t="str">
        <f>IF(ISNUMBER(Tab.o1[[#This Row],[a1]]),ROW()-4,"")</f>
        <v/>
      </c>
      <c r="AT939" s="136" t="str">
        <f>Tab.o1[[#This Row],[MOD]]</f>
        <v/>
      </c>
      <c r="AU939" s="137" t="str">
        <f t="shared" si="57"/>
        <v/>
      </c>
      <c r="AV939" s="138" t="str">
        <f t="shared" si="58"/>
        <v/>
      </c>
      <c r="AW939" s="138" t="str">
        <f t="shared" si="59"/>
        <v/>
      </c>
      <c r="AX939" s="139" t="str">
        <f>[1]!T.in.A[[#This Row],[ID_T_manu]]</f>
        <v/>
      </c>
      <c r="AY939" s="140" t="str">
        <f>IF(ISNUMBER(Tab.o1[[#This Row],[a1]]),IF(AND(Tab.o1[[#This Row],[a1]]=1,Tab.o1[[#This Row],[b1]]&lt;=AY$4),#REF!,AY938),"")</f>
        <v/>
      </c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6"/>
      <c r="BO939" s="26"/>
      <c r="BP939" s="26"/>
      <c r="BQ939" s="26"/>
      <c r="BR939" s="26"/>
      <c r="BS939" s="26"/>
      <c r="BT939" s="26"/>
      <c r="BU939" s="26"/>
      <c r="BV939" s="26"/>
      <c r="BW939" s="26"/>
      <c r="BX939" s="26"/>
      <c r="BY939" s="26"/>
      <c r="BZ939" s="26"/>
      <c r="CA939" s="26"/>
    </row>
    <row r="940" spans="1:79" ht="15.75" hidden="1">
      <c r="A940" s="109">
        <v>-1.0000000000000002E-6</v>
      </c>
      <c r="B940" s="110">
        <f t="shared" si="56"/>
        <v>940</v>
      </c>
      <c r="C940" s="111" t="str">
        <f>IF(C$1=[1]!T.in.A[[#This Row],[oo2]],1,"")</f>
        <v/>
      </c>
      <c r="D940" s="112" t="str">
        <f>IF(Tab.o1[[#This Row],[a1]]=1,IF(SUM(C940:C941)=0,0,IF(SUM(C939:C940)=1,1,IF(SUM(C939:C941)&gt;1,D939+1,0))),"")</f>
        <v/>
      </c>
      <c r="E940" s="113" t="str">
        <f>IF(Tab.o1[[#This Row],[a1]]=1,[1]!T.in.A[[#This Row],[oo1]],"")</f>
        <v/>
      </c>
      <c r="F940" s="113" t="str">
        <f>IF(Tab.o1[[#This Row],[a1]]=1,[1]!T.in.A[[#This Row],[pp1]],"")</f>
        <v/>
      </c>
      <c r="G940" s="114" t="str">
        <f>IF(Tab.o1[[#This Row],[a1]]=1,G$2+IF(G$1=1,0,Tab.o1[[#This Row],[.x1]])+[1]!T.in.A[[#This Row],[oo3]],"")</f>
        <v/>
      </c>
      <c r="H940" s="115" t="str">
        <f>IF(Tab.o1[[#This Row],[a1]]=1,IF(H$2=0,0,IF(G$1=1,0,Tab.o1[[#This Row],[.x1]])+[1]!T.in.A[[#This Row],[oo4]]),"")</f>
        <v/>
      </c>
      <c r="I940" s="116" t="str">
        <f>IF(Tab.o1[[#This Row],[a1]]=1,IF(J$2=0,Tab.o1[[#This Row],[MED]],Tab.o1[[#This Row],[MOD]]),"")</f>
        <v/>
      </c>
      <c r="J940" s="116" t="str">
        <f>IF(Tab.o1[[#This Row],[a1]]=1,((Tab.o1[[#This Row],[DIF_Target.]]-AVERAGE(Tab.o1[DIF_Target.]))/_xlfn.STDEV.P(Tab.o1[DIF_Target.])),"")</f>
        <v/>
      </c>
      <c r="K940" s="117" t="str">
        <f>IF(Tab.o1[[#This Row],[a1]]=1,IF(J$2=0,Tab.o1[[#This Row],[MOD]]-Tab.o1[[#This Row],[B]],IF(J$2=1,0,-Tab.o1[[#This Row],[MED]])+Tab.o1[[#This Row],[B]]),"")</f>
        <v/>
      </c>
      <c r="L940" s="117" t="str">
        <f ca="1">IF(Tab.o1[[#This Row],[DIF_Target]]=0,IF(L$2=0,Tab.o1[[#This Row],[DIF_Target]],AVERAGE(OFFSET(Tab.o1[[#This Row],[DIF_Target]],1,0,L$3,1)))/3,Tab.o1[[#This Row],[DIF_Target]])</f>
        <v/>
      </c>
      <c r="M940" s="118" t="str">
        <f>IF(Tab.o1[[#This Row],[a1]]=1,NORMSDIST(Tab.o1[[#This Row],[Za]]),"")</f>
        <v/>
      </c>
      <c r="N940" s="119" t="str">
        <f>IF(Tab.o1[[#This Row],[a1]]=1,((Tab.o1[[#This Row],[MedMod]]-AVERAGE(Tab.o1[MedMod]))/_xlfn.STDEV.P(Tab.o1[MedMod])*H$1205)+G$1205,"")</f>
        <v/>
      </c>
      <c r="O940" s="141" t="str">
        <f>IF(Tab.o1[[#This Row],[a1]]=1,Tab.o1[[#This Row],[Zb]]*_xlfn.STDEV.P(Tab.o1[MedMod])+AVERAGE(Tab.o1[MedMod]),"")</f>
        <v/>
      </c>
      <c r="P940" s="117" t="str">
        <f ca="1">IF(Tab.o1[[#This Row],[B]]=0,AVERAGE(OFFSET(Tab.o1[[#This Row],[B]],1,0,L$3,1)),Tab.o1[[#This Row],[B]])</f>
        <v/>
      </c>
      <c r="Q940" s="121" t="str">
        <f>IF(Tab.o1[[#This Row],[a1]]=1,NORMSDIST(Tab.o1[[#This Row],[Zb]]),"")</f>
        <v/>
      </c>
      <c r="R940" s="122" t="str">
        <f>IF(Tab.o1[[#This Row],[a1]]=1,((Tab.o1[[#This Row],[MedMod]]-AVERAGE(Tab.o1[MedMod]))/_xlfn.STDEV.P(Tab.o1[MedMod])*H$1203)+G$1203,"")</f>
        <v/>
      </c>
      <c r="S940" s="122" t="str">
        <f>IF(Tab.o1[[#This Row],[a1]]=1,((Tab.o1[[#This Row],[MedMod]]-AVERAGE(Tab.o1[MedMod]))/_xlfn.STDEV.P(Tab.o1[MedMod])*H$1204)+G$1204,"")</f>
        <v/>
      </c>
      <c r="T940" s="123" t="str">
        <f>IF(Tab.o1[[#This Row],[a1]]=1,Tab.o1[[#This Row],[Z-]]*_xlfn.STDEV.P(Tab.o1[B])+AVERAGE(Tab.o1[B]),"")</f>
        <v/>
      </c>
      <c r="U940" s="123" t="str">
        <f>IF(Tab.o1[[#This Row],[a1]]=1,Tab.o1[[#This Row],[z+]]*_xlfn.STDEV.P(Tab.o1[B])+AVERAGE(Tab.o1[B]),"")</f>
        <v/>
      </c>
      <c r="V940" s="124" t="str">
        <f>IF(Tab.o1[[#This Row],[a1]]=1,ABS((ABS(Tab.o1[[#This Row],[Red]]-Tab.o1[[#This Row],[Blue]]))),"")</f>
        <v/>
      </c>
      <c r="W940" s="125" t="str">
        <f>IF(Tab.o1[[#This Row],[a1]]=1,IF(W$3=0,1,Tab.o1[[#This Row],[Amp.]]*1/_xlfn.MINIFS(Tab.o1[Amp.],Tab.o1[Amp.],"&lt;&gt;0")),"")</f>
        <v/>
      </c>
      <c r="X940" s="126" t="str">
        <f>IF(Tab.o1[[#This Row],[a1]]=1,IF(ISNUMBER(Tab.o1[[#This Row],[i.]]),NORMDIST(Tab.o1[[#This Row],[Za]],0,1,FALSE)*Tab.o1[[#This Row],[i.]],AP$3),"")</f>
        <v/>
      </c>
      <c r="Y940" s="126" t="str">
        <f>IF(Tab.o1[[#This Row],[a1]]=1,0.01+0.94*Tab.o1[[#This Row],[PDF]]/MAX(Tab.o1[PDF]),"")</f>
        <v/>
      </c>
      <c r="Z940" s="126" t="str">
        <f>IF(Tab.o1[[#This Row],[a1]]=1,0.01+0.94*Tab.o1[[#This Row],[W1_PDF]]/MAX(Tab.o1[W1_PDF]),"")</f>
        <v/>
      </c>
      <c r="AA940" s="118" t="str">
        <f>IF(Tab.o1[[#This Row],[a1]]=1,ABS([1]!T.in.A[[#This Row],[oo6]]),"")</f>
        <v/>
      </c>
      <c r="AB940" s="127" t="str">
        <f>IF(Tab.o1[[#This Row],[a1]]=1,IF(AE$3=0,"",IF(AB$3=0,ABS([1]!T.in.A[[#This Row],[oo9]]),ABS(Tab.o1[[#This Row],[DIF_Target.]]*Tab.o1[[#This Row],[W1_PDF]]))),"")</f>
        <v/>
      </c>
      <c r="AC940" s="127" t="str">
        <f>IF(G$1=1,"",IF(Tab.o1[[#This Row],[a1]]=1,Tab.o1[[#This Row],[Wr]]^2,""))</f>
        <v/>
      </c>
      <c r="AD940" s="118" t="str">
        <f>IF(Tab.o1[[#This Row],[a1]]=1,IF(AE$3=0,"",Tab.o1[[#This Row],[Wr2]]/SUM(Tab.o1[Wr2])),"")</f>
        <v/>
      </c>
      <c r="AE940" s="128" t="str">
        <f>IF(Tab.o1[[#This Row],[a1]]=1,[1]!T.in.A[[#This Row],[oo10]],"")</f>
        <v/>
      </c>
      <c r="AF940" s="118" t="str">
        <f>IF(Tab.o1[[#This Row],[a1]]=1,ABS(Tab.o1[[#This Row],[DIF_Target.]]*Tab.o1[[#This Row],[PDF2]]*Tab.o1[[#This Row],[IN]]),"")</f>
        <v/>
      </c>
      <c r="AG940" s="129" t="str">
        <f>IF(Tab.o1[[#This Row],[a1]]=1,Tab.o1[[#This Row],[rW]]^2,"")</f>
        <v/>
      </c>
      <c r="AH940" s="130" t="str">
        <f>IF(Tab.o1[[#This Row],[a1]]=1,IF(AH$3=0,Tab.o1[[#This Row],[rW2]],0.01+0.94*Tab.o1[[#This Row],[rW2]]/SUM(Tab.o1[rW2])),"")</f>
        <v/>
      </c>
      <c r="AI940" s="128" t="str">
        <f>IF(Tab.o1[[#This Row],[a1]]=1,1/Tab.o1[[#This Row],[PDF]],"")</f>
        <v/>
      </c>
      <c r="AJ940" s="131" t="str">
        <f>IF(Tab.o1[[#This Row],[a1]]=1,[1]!T_AA[[#This Row],[IN'']]*[1]!T_AA[[#This Row],[Qde'']],"")</f>
        <v/>
      </c>
      <c r="AK940" s="132" t="str">
        <f>IF(Tab.o1[[#This Row],[a1]]=1,IF(AK$1=1,Tab.o1[[#This Row],[MED]]+Tab.o1[[#This Row],[MOD]]-Tab.o1[[#This Row],[MED]],""),"")</f>
        <v/>
      </c>
      <c r="AL940" s="133" t="str">
        <f>IF(Tab.o1[[#This Row],[a1]]=1,[1]!T.in.A[[#This Row],[oo16]],"")</f>
        <v/>
      </c>
      <c r="AM940" s="133" t="str">
        <f>IF(Tab.o1[[#This Row],[a1]]=1,IF(AM$3=1,[1]!T.in.A[[#This Row],[Σo16]],""),"")</f>
        <v/>
      </c>
      <c r="AN940" s="126" t="str">
        <f>IF(Tab.o1[[#This Row],[a1]]=1,[1]!T.in.A[[#This Row],[Σp5]],"")</f>
        <v/>
      </c>
      <c r="AO940" s="126" t="str">
        <f>IF(Tab.o1[[#This Row],[a1]]=1,IF(AO$3=1,[1]!T.in.A[[#This Row],[Σp5]],""),"")</f>
        <v/>
      </c>
      <c r="AP940" s="110" t="str">
        <f>IF(Tab.o1[[#This Row],[a1]]=1,IF(ISNUMBER(Tab.o1[[#This Row],[i.]]),NORMDIST(Tab.o1[[#This Row],[Za]],0,1,FALSE)*Tab.o1[[#This Row],[i.]],0),"")</f>
        <v/>
      </c>
      <c r="AQ940" s="125" t="str">
        <f>IF(Tab.o1[[#This Row],[a1]]=1,ABS(Tab.o1[[#This Row],[MOD]]-AVERAGE(Tab.o1[MOD])),"")</f>
        <v/>
      </c>
      <c r="AR940" s="134" t="str">
        <f>IF(Tab.o1[[#This Row],[a1]]=1,Tab.o1[[#This Row],[OBS]]/SUM(Tab.o1[OBS]),"")</f>
        <v/>
      </c>
      <c r="AS940" s="135" t="str">
        <f>IF(ISNUMBER(Tab.o1[[#This Row],[a1]]),ROW()-4,"")</f>
        <v/>
      </c>
      <c r="AT940" s="136" t="str">
        <f>Tab.o1[[#This Row],[MOD]]</f>
        <v/>
      </c>
      <c r="AU940" s="137" t="str">
        <f t="shared" si="57"/>
        <v/>
      </c>
      <c r="AV940" s="138" t="str">
        <f t="shared" si="58"/>
        <v/>
      </c>
      <c r="AW940" s="138" t="str">
        <f t="shared" si="59"/>
        <v/>
      </c>
      <c r="AX940" s="139" t="str">
        <f>[1]!T.in.A[[#This Row],[ID_T_manu]]</f>
        <v/>
      </c>
      <c r="AY940" s="140" t="str">
        <f>IF(ISNUMBER(Tab.o1[[#This Row],[a1]]),IF(AND(Tab.o1[[#This Row],[a1]]=1,Tab.o1[[#This Row],[b1]]&lt;=AY$4),#REF!,AY939),"")</f>
        <v/>
      </c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6"/>
      <c r="BO940" s="26"/>
      <c r="BP940" s="26"/>
      <c r="BQ940" s="26"/>
      <c r="BR940" s="26"/>
      <c r="BS940" s="26"/>
      <c r="BT940" s="26"/>
      <c r="BU940" s="26"/>
      <c r="BV940" s="26"/>
      <c r="BW940" s="26"/>
      <c r="BX940" s="26"/>
      <c r="BY940" s="26"/>
      <c r="BZ940" s="26"/>
      <c r="CA940" s="26"/>
    </row>
    <row r="941" spans="1:79" ht="15.75" hidden="1">
      <c r="A941" s="109">
        <v>1.0000000000000002E-6</v>
      </c>
      <c r="B941" s="110">
        <f t="shared" si="56"/>
        <v>941</v>
      </c>
      <c r="C941" s="111" t="str">
        <f>IF(C$1=[1]!T.in.A[[#This Row],[oo2]],1,"")</f>
        <v/>
      </c>
      <c r="D941" s="112" t="str">
        <f>IF(Tab.o1[[#This Row],[a1]]=1,IF(SUM(C941:C942)=0,0,IF(SUM(C940:C941)=1,1,IF(SUM(C940:C942)&gt;1,D940+1,0))),"")</f>
        <v/>
      </c>
      <c r="E941" s="113" t="str">
        <f>IF(Tab.o1[[#This Row],[a1]]=1,[1]!T.in.A[[#This Row],[oo1]],"")</f>
        <v/>
      </c>
      <c r="F941" s="113" t="str">
        <f>IF(Tab.o1[[#This Row],[a1]]=1,[1]!T.in.A[[#This Row],[pp1]],"")</f>
        <v/>
      </c>
      <c r="G941" s="114" t="str">
        <f>IF(Tab.o1[[#This Row],[a1]]=1,G$2+IF(G$1=1,0,Tab.o1[[#This Row],[.x1]])+[1]!T.in.A[[#This Row],[oo3]],"")</f>
        <v/>
      </c>
      <c r="H941" s="115" t="str">
        <f>IF(Tab.o1[[#This Row],[a1]]=1,IF(H$2=0,0,IF(G$1=1,0,Tab.o1[[#This Row],[.x1]])+[1]!T.in.A[[#This Row],[oo4]]),"")</f>
        <v/>
      </c>
      <c r="I941" s="116" t="str">
        <f>IF(Tab.o1[[#This Row],[a1]]=1,IF(J$2=0,Tab.o1[[#This Row],[MED]],Tab.o1[[#This Row],[MOD]]),"")</f>
        <v/>
      </c>
      <c r="J941" s="116" t="str">
        <f>IF(Tab.o1[[#This Row],[a1]]=1,((Tab.o1[[#This Row],[DIF_Target.]]-AVERAGE(Tab.o1[DIF_Target.]))/_xlfn.STDEV.P(Tab.o1[DIF_Target.])),"")</f>
        <v/>
      </c>
      <c r="K941" s="117" t="str">
        <f>IF(Tab.o1[[#This Row],[a1]]=1,IF(J$2=0,Tab.o1[[#This Row],[MOD]]-Tab.o1[[#This Row],[B]],IF(J$2=1,0,-Tab.o1[[#This Row],[MED]])+Tab.o1[[#This Row],[B]]),"")</f>
        <v/>
      </c>
      <c r="L941" s="117" t="str">
        <f ca="1">IF(Tab.o1[[#This Row],[DIF_Target]]=0,IF(L$2=0,Tab.o1[[#This Row],[DIF_Target]],AVERAGE(OFFSET(Tab.o1[[#This Row],[DIF_Target]],1,0,L$3,1)))/3,Tab.o1[[#This Row],[DIF_Target]])</f>
        <v/>
      </c>
      <c r="M941" s="118" t="str">
        <f>IF(Tab.o1[[#This Row],[a1]]=1,NORMSDIST(Tab.o1[[#This Row],[Za]]),"")</f>
        <v/>
      </c>
      <c r="N941" s="119" t="str">
        <f>IF(Tab.o1[[#This Row],[a1]]=1,((Tab.o1[[#This Row],[MedMod]]-AVERAGE(Tab.o1[MedMod]))/_xlfn.STDEV.P(Tab.o1[MedMod])*H$1205)+G$1205,"")</f>
        <v/>
      </c>
      <c r="O941" s="141" t="str">
        <f>IF(Tab.o1[[#This Row],[a1]]=1,Tab.o1[[#This Row],[Zb]]*_xlfn.STDEV.P(Tab.o1[MedMod])+AVERAGE(Tab.o1[MedMod]),"")</f>
        <v/>
      </c>
      <c r="P941" s="117" t="str">
        <f ca="1">IF(Tab.o1[[#This Row],[B]]=0,AVERAGE(OFFSET(Tab.o1[[#This Row],[B]],1,0,L$3,1)),Tab.o1[[#This Row],[B]])</f>
        <v/>
      </c>
      <c r="Q941" s="121" t="str">
        <f>IF(Tab.o1[[#This Row],[a1]]=1,NORMSDIST(Tab.o1[[#This Row],[Zb]]),"")</f>
        <v/>
      </c>
      <c r="R941" s="122" t="str">
        <f>IF(Tab.o1[[#This Row],[a1]]=1,((Tab.o1[[#This Row],[MedMod]]-AVERAGE(Tab.o1[MedMod]))/_xlfn.STDEV.P(Tab.o1[MedMod])*H$1203)+G$1203,"")</f>
        <v/>
      </c>
      <c r="S941" s="122" t="str">
        <f>IF(Tab.o1[[#This Row],[a1]]=1,((Tab.o1[[#This Row],[MedMod]]-AVERAGE(Tab.o1[MedMod]))/_xlfn.STDEV.P(Tab.o1[MedMod])*H$1204)+G$1204,"")</f>
        <v/>
      </c>
      <c r="T941" s="123" t="str">
        <f>IF(Tab.o1[[#This Row],[a1]]=1,Tab.o1[[#This Row],[Z-]]*_xlfn.STDEV.P(Tab.o1[B])+AVERAGE(Tab.o1[B]),"")</f>
        <v/>
      </c>
      <c r="U941" s="123" t="str">
        <f>IF(Tab.o1[[#This Row],[a1]]=1,Tab.o1[[#This Row],[z+]]*_xlfn.STDEV.P(Tab.o1[B])+AVERAGE(Tab.o1[B]),"")</f>
        <v/>
      </c>
      <c r="V941" s="124" t="str">
        <f>IF(Tab.o1[[#This Row],[a1]]=1,ABS((ABS(Tab.o1[[#This Row],[Red]]-Tab.o1[[#This Row],[Blue]]))),"")</f>
        <v/>
      </c>
      <c r="W941" s="125" t="str">
        <f>IF(Tab.o1[[#This Row],[a1]]=1,IF(W$3=0,1,Tab.o1[[#This Row],[Amp.]]*1/_xlfn.MINIFS(Tab.o1[Amp.],Tab.o1[Amp.],"&lt;&gt;0")),"")</f>
        <v/>
      </c>
      <c r="X941" s="126" t="str">
        <f>IF(Tab.o1[[#This Row],[a1]]=1,IF(ISNUMBER(Tab.o1[[#This Row],[i.]]),NORMDIST(Tab.o1[[#This Row],[Za]],0,1,FALSE)*Tab.o1[[#This Row],[i.]],AP$3),"")</f>
        <v/>
      </c>
      <c r="Y941" s="126" t="str">
        <f>IF(Tab.o1[[#This Row],[a1]]=1,0.01+0.94*Tab.o1[[#This Row],[PDF]]/MAX(Tab.o1[PDF]),"")</f>
        <v/>
      </c>
      <c r="Z941" s="126" t="str">
        <f>IF(Tab.o1[[#This Row],[a1]]=1,0.01+0.94*Tab.o1[[#This Row],[W1_PDF]]/MAX(Tab.o1[W1_PDF]),"")</f>
        <v/>
      </c>
      <c r="AA941" s="118" t="str">
        <f>IF(Tab.o1[[#This Row],[a1]]=1,ABS([1]!T.in.A[[#This Row],[oo6]]),"")</f>
        <v/>
      </c>
      <c r="AB941" s="127" t="str">
        <f>IF(Tab.o1[[#This Row],[a1]]=1,IF(AE$3=0,"",IF(AB$3=0,ABS([1]!T.in.A[[#This Row],[oo9]]),ABS(Tab.o1[[#This Row],[DIF_Target.]]*Tab.o1[[#This Row],[W1_PDF]]))),"")</f>
        <v/>
      </c>
      <c r="AC941" s="127" t="str">
        <f>IF(G$1=1,"",IF(Tab.o1[[#This Row],[a1]]=1,Tab.o1[[#This Row],[Wr]]^2,""))</f>
        <v/>
      </c>
      <c r="AD941" s="118" t="str">
        <f>IF(Tab.o1[[#This Row],[a1]]=1,IF(AE$3=0,"",Tab.o1[[#This Row],[Wr2]]/SUM(Tab.o1[Wr2])),"")</f>
        <v/>
      </c>
      <c r="AE941" s="128" t="str">
        <f>IF(Tab.o1[[#This Row],[a1]]=1,[1]!T.in.A[[#This Row],[oo10]],"")</f>
        <v/>
      </c>
      <c r="AF941" s="118" t="str">
        <f>IF(Tab.o1[[#This Row],[a1]]=1,ABS(Tab.o1[[#This Row],[DIF_Target.]]*Tab.o1[[#This Row],[PDF2]]*Tab.o1[[#This Row],[IN]]),"")</f>
        <v/>
      </c>
      <c r="AG941" s="129" t="str">
        <f>IF(Tab.o1[[#This Row],[a1]]=1,Tab.o1[[#This Row],[rW]]^2,"")</f>
        <v/>
      </c>
      <c r="AH941" s="130" t="str">
        <f>IF(Tab.o1[[#This Row],[a1]]=1,IF(AH$3=0,Tab.o1[[#This Row],[rW2]],0.01+0.94*Tab.o1[[#This Row],[rW2]]/SUM(Tab.o1[rW2])),"")</f>
        <v/>
      </c>
      <c r="AI941" s="128" t="str">
        <f>IF(Tab.o1[[#This Row],[a1]]=1,1/Tab.o1[[#This Row],[PDF]],"")</f>
        <v/>
      </c>
      <c r="AJ941" s="131" t="str">
        <f>IF(Tab.o1[[#This Row],[a1]]=1,[1]!T_AA[[#This Row],[IN'']]*[1]!T_AA[[#This Row],[Qde'']],"")</f>
        <v/>
      </c>
      <c r="AK941" s="132" t="str">
        <f>IF(Tab.o1[[#This Row],[a1]]=1,IF(AK$1=1,Tab.o1[[#This Row],[MED]]+Tab.o1[[#This Row],[MOD]]-Tab.o1[[#This Row],[MED]],""),"")</f>
        <v/>
      </c>
      <c r="AL941" s="133" t="str">
        <f>IF(Tab.o1[[#This Row],[a1]]=1,[1]!T.in.A[[#This Row],[oo16]],"")</f>
        <v/>
      </c>
      <c r="AM941" s="133" t="str">
        <f>IF(Tab.o1[[#This Row],[a1]]=1,IF(AM$3=1,[1]!T.in.A[[#This Row],[Σo16]],""),"")</f>
        <v/>
      </c>
      <c r="AN941" s="126" t="str">
        <f>IF(Tab.o1[[#This Row],[a1]]=1,[1]!T.in.A[[#This Row],[Σp5]],"")</f>
        <v/>
      </c>
      <c r="AO941" s="126" t="str">
        <f>IF(Tab.o1[[#This Row],[a1]]=1,IF(AO$3=1,[1]!T.in.A[[#This Row],[Σp5]],""),"")</f>
        <v/>
      </c>
      <c r="AP941" s="110" t="str">
        <f>IF(Tab.o1[[#This Row],[a1]]=1,IF(ISNUMBER(Tab.o1[[#This Row],[i.]]),NORMDIST(Tab.o1[[#This Row],[Za]],0,1,FALSE)*Tab.o1[[#This Row],[i.]],0),"")</f>
        <v/>
      </c>
      <c r="AQ941" s="125" t="str">
        <f>IF(Tab.o1[[#This Row],[a1]]=1,ABS(Tab.o1[[#This Row],[MOD]]-AVERAGE(Tab.o1[MOD])),"")</f>
        <v/>
      </c>
      <c r="AR941" s="134" t="str">
        <f>IF(Tab.o1[[#This Row],[a1]]=1,Tab.o1[[#This Row],[OBS]]/SUM(Tab.o1[OBS]),"")</f>
        <v/>
      </c>
      <c r="AS941" s="135" t="str">
        <f>IF(ISNUMBER(Tab.o1[[#This Row],[a1]]),ROW()-4,"")</f>
        <v/>
      </c>
      <c r="AT941" s="136" t="str">
        <f>Tab.o1[[#This Row],[MOD]]</f>
        <v/>
      </c>
      <c r="AU941" s="137" t="str">
        <f t="shared" si="57"/>
        <v/>
      </c>
      <c r="AV941" s="138" t="str">
        <f t="shared" si="58"/>
        <v/>
      </c>
      <c r="AW941" s="138" t="str">
        <f t="shared" si="59"/>
        <v/>
      </c>
      <c r="AX941" s="139" t="str">
        <f>[1]!T.in.A[[#This Row],[ID_T_manu]]</f>
        <v/>
      </c>
      <c r="AY941" s="140" t="str">
        <f>IF(ISNUMBER(Tab.o1[[#This Row],[a1]]),IF(AND(Tab.o1[[#This Row],[a1]]=1,Tab.o1[[#This Row],[b1]]&lt;=AY$4),#REF!,AY940),"")</f>
        <v/>
      </c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6"/>
      <c r="BO941" s="26"/>
      <c r="BP941" s="26"/>
      <c r="BQ941" s="26"/>
      <c r="BR941" s="26"/>
      <c r="BS941" s="26"/>
      <c r="BT941" s="26"/>
      <c r="BU941" s="26"/>
      <c r="BV941" s="26"/>
      <c r="BW941" s="26"/>
      <c r="BX941" s="26"/>
      <c r="BY941" s="26"/>
      <c r="BZ941" s="26"/>
      <c r="CA941" s="26"/>
    </row>
    <row r="942" spans="1:79" ht="15.75" hidden="1">
      <c r="A942" s="109">
        <v>-5.0000000000000004E-6</v>
      </c>
      <c r="B942" s="110">
        <f t="shared" si="56"/>
        <v>942</v>
      </c>
      <c r="C942" s="111" t="str">
        <f>IF(C$1=[1]!T.in.A[[#This Row],[oo2]],1,"")</f>
        <v/>
      </c>
      <c r="D942" s="112" t="str">
        <f>IF(Tab.o1[[#This Row],[a1]]=1,IF(SUM(C942:C943)=0,0,IF(SUM(C941:C942)=1,1,IF(SUM(C941:C943)&gt;1,D941+1,0))),"")</f>
        <v/>
      </c>
      <c r="E942" s="113" t="str">
        <f>IF(Tab.o1[[#This Row],[a1]]=1,[1]!T.in.A[[#This Row],[oo1]],"")</f>
        <v/>
      </c>
      <c r="F942" s="113" t="str">
        <f>IF(Tab.o1[[#This Row],[a1]]=1,[1]!T.in.A[[#This Row],[pp1]],"")</f>
        <v/>
      </c>
      <c r="G942" s="114" t="str">
        <f>IF(Tab.o1[[#This Row],[a1]]=1,G$2+IF(G$1=1,0,Tab.o1[[#This Row],[.x1]])+[1]!T.in.A[[#This Row],[oo3]],"")</f>
        <v/>
      </c>
      <c r="H942" s="115" t="str">
        <f>IF(Tab.o1[[#This Row],[a1]]=1,IF(H$2=0,0,IF(G$1=1,0,Tab.o1[[#This Row],[.x1]])+[1]!T.in.A[[#This Row],[oo4]]),"")</f>
        <v/>
      </c>
      <c r="I942" s="116" t="str">
        <f>IF(Tab.o1[[#This Row],[a1]]=1,IF(J$2=0,Tab.o1[[#This Row],[MED]],Tab.o1[[#This Row],[MOD]]),"")</f>
        <v/>
      </c>
      <c r="J942" s="116" t="str">
        <f>IF(Tab.o1[[#This Row],[a1]]=1,((Tab.o1[[#This Row],[DIF_Target.]]-AVERAGE(Tab.o1[DIF_Target.]))/_xlfn.STDEV.P(Tab.o1[DIF_Target.])),"")</f>
        <v/>
      </c>
      <c r="K942" s="117" t="str">
        <f>IF(Tab.o1[[#This Row],[a1]]=1,IF(J$2=0,Tab.o1[[#This Row],[MOD]]-Tab.o1[[#This Row],[B]],IF(J$2=1,0,-Tab.o1[[#This Row],[MED]])+Tab.o1[[#This Row],[B]]),"")</f>
        <v/>
      </c>
      <c r="L942" s="117" t="str">
        <f ca="1">IF(Tab.o1[[#This Row],[DIF_Target]]=0,IF(L$2=0,Tab.o1[[#This Row],[DIF_Target]],AVERAGE(OFFSET(Tab.o1[[#This Row],[DIF_Target]],1,0,L$3,1)))/3,Tab.o1[[#This Row],[DIF_Target]])</f>
        <v/>
      </c>
      <c r="M942" s="118" t="str">
        <f>IF(Tab.o1[[#This Row],[a1]]=1,NORMSDIST(Tab.o1[[#This Row],[Za]]),"")</f>
        <v/>
      </c>
      <c r="N942" s="119" t="str">
        <f>IF(Tab.o1[[#This Row],[a1]]=1,((Tab.o1[[#This Row],[MedMod]]-AVERAGE(Tab.o1[MedMod]))/_xlfn.STDEV.P(Tab.o1[MedMod])*H$1205)+G$1205,"")</f>
        <v/>
      </c>
      <c r="O942" s="141" t="str">
        <f>IF(Tab.o1[[#This Row],[a1]]=1,Tab.o1[[#This Row],[Zb]]*_xlfn.STDEV.P(Tab.o1[MedMod])+AVERAGE(Tab.o1[MedMod]),"")</f>
        <v/>
      </c>
      <c r="P942" s="117" t="str">
        <f ca="1">IF(Tab.o1[[#This Row],[B]]=0,AVERAGE(OFFSET(Tab.o1[[#This Row],[B]],1,0,L$3,1)),Tab.o1[[#This Row],[B]])</f>
        <v/>
      </c>
      <c r="Q942" s="121" t="str">
        <f>IF(Tab.o1[[#This Row],[a1]]=1,NORMSDIST(Tab.o1[[#This Row],[Zb]]),"")</f>
        <v/>
      </c>
      <c r="R942" s="122" t="str">
        <f>IF(Tab.o1[[#This Row],[a1]]=1,((Tab.o1[[#This Row],[MedMod]]-AVERAGE(Tab.o1[MedMod]))/_xlfn.STDEV.P(Tab.o1[MedMod])*H$1203)+G$1203,"")</f>
        <v/>
      </c>
      <c r="S942" s="122" t="str">
        <f>IF(Tab.o1[[#This Row],[a1]]=1,((Tab.o1[[#This Row],[MedMod]]-AVERAGE(Tab.o1[MedMod]))/_xlfn.STDEV.P(Tab.o1[MedMod])*H$1204)+G$1204,"")</f>
        <v/>
      </c>
      <c r="T942" s="123" t="str">
        <f>IF(Tab.o1[[#This Row],[a1]]=1,Tab.o1[[#This Row],[Z-]]*_xlfn.STDEV.P(Tab.o1[B])+AVERAGE(Tab.o1[B]),"")</f>
        <v/>
      </c>
      <c r="U942" s="123" t="str">
        <f>IF(Tab.o1[[#This Row],[a1]]=1,Tab.o1[[#This Row],[z+]]*_xlfn.STDEV.P(Tab.o1[B])+AVERAGE(Tab.o1[B]),"")</f>
        <v/>
      </c>
      <c r="V942" s="124" t="str">
        <f>IF(Tab.o1[[#This Row],[a1]]=1,ABS((ABS(Tab.o1[[#This Row],[Red]]-Tab.o1[[#This Row],[Blue]]))),"")</f>
        <v/>
      </c>
      <c r="W942" s="125" t="str">
        <f>IF(Tab.o1[[#This Row],[a1]]=1,IF(W$3=0,1,Tab.o1[[#This Row],[Amp.]]*1/_xlfn.MINIFS(Tab.o1[Amp.],Tab.o1[Amp.],"&lt;&gt;0")),"")</f>
        <v/>
      </c>
      <c r="X942" s="126" t="str">
        <f>IF(Tab.o1[[#This Row],[a1]]=1,IF(ISNUMBER(Tab.o1[[#This Row],[i.]]),NORMDIST(Tab.o1[[#This Row],[Za]],0,1,FALSE)*Tab.o1[[#This Row],[i.]],AP$3),"")</f>
        <v/>
      </c>
      <c r="Y942" s="126" t="str">
        <f>IF(Tab.o1[[#This Row],[a1]]=1,0.01+0.94*Tab.o1[[#This Row],[PDF]]/MAX(Tab.o1[PDF]),"")</f>
        <v/>
      </c>
      <c r="Z942" s="126" t="str">
        <f>IF(Tab.o1[[#This Row],[a1]]=1,0.01+0.94*Tab.o1[[#This Row],[W1_PDF]]/MAX(Tab.o1[W1_PDF]),"")</f>
        <v/>
      </c>
      <c r="AA942" s="118" t="str">
        <f>IF(Tab.o1[[#This Row],[a1]]=1,ABS([1]!T.in.A[[#This Row],[oo6]]),"")</f>
        <v/>
      </c>
      <c r="AB942" s="127" t="str">
        <f>IF(Tab.o1[[#This Row],[a1]]=1,IF(AE$3=0,"",IF(AB$3=0,ABS([1]!T.in.A[[#This Row],[oo9]]),ABS(Tab.o1[[#This Row],[DIF_Target.]]*Tab.o1[[#This Row],[W1_PDF]]))),"")</f>
        <v/>
      </c>
      <c r="AC942" s="127" t="str">
        <f>IF(G$1=1,"",IF(Tab.o1[[#This Row],[a1]]=1,Tab.o1[[#This Row],[Wr]]^2,""))</f>
        <v/>
      </c>
      <c r="AD942" s="118" t="str">
        <f>IF(Tab.o1[[#This Row],[a1]]=1,IF(AE$3=0,"",Tab.o1[[#This Row],[Wr2]]/SUM(Tab.o1[Wr2])),"")</f>
        <v/>
      </c>
      <c r="AE942" s="128" t="str">
        <f>IF(Tab.o1[[#This Row],[a1]]=1,[1]!T.in.A[[#This Row],[oo10]],"")</f>
        <v/>
      </c>
      <c r="AF942" s="118" t="str">
        <f>IF(Tab.o1[[#This Row],[a1]]=1,ABS(Tab.o1[[#This Row],[DIF_Target.]]*Tab.o1[[#This Row],[PDF2]]*Tab.o1[[#This Row],[IN]]),"")</f>
        <v/>
      </c>
      <c r="AG942" s="129" t="str">
        <f>IF(Tab.o1[[#This Row],[a1]]=1,Tab.o1[[#This Row],[rW]]^2,"")</f>
        <v/>
      </c>
      <c r="AH942" s="130" t="str">
        <f>IF(Tab.o1[[#This Row],[a1]]=1,IF(AH$3=0,Tab.o1[[#This Row],[rW2]],0.01+0.94*Tab.o1[[#This Row],[rW2]]/SUM(Tab.o1[rW2])),"")</f>
        <v/>
      </c>
      <c r="AI942" s="128" t="str">
        <f>IF(Tab.o1[[#This Row],[a1]]=1,1/Tab.o1[[#This Row],[PDF]],"")</f>
        <v/>
      </c>
      <c r="AJ942" s="131" t="str">
        <f>IF(Tab.o1[[#This Row],[a1]]=1,[1]!T_AA[[#This Row],[IN'']]*[1]!T_AA[[#This Row],[Qde'']],"")</f>
        <v/>
      </c>
      <c r="AK942" s="132" t="str">
        <f>IF(Tab.o1[[#This Row],[a1]]=1,IF(AK$1=1,Tab.o1[[#This Row],[MED]]+Tab.o1[[#This Row],[MOD]]-Tab.o1[[#This Row],[MED]],""),"")</f>
        <v/>
      </c>
      <c r="AL942" s="133" t="str">
        <f>IF(Tab.o1[[#This Row],[a1]]=1,[1]!T.in.A[[#This Row],[oo16]],"")</f>
        <v/>
      </c>
      <c r="AM942" s="133" t="str">
        <f>IF(Tab.o1[[#This Row],[a1]]=1,IF(AM$3=1,[1]!T.in.A[[#This Row],[Σo16]],""),"")</f>
        <v/>
      </c>
      <c r="AN942" s="126" t="str">
        <f>IF(Tab.o1[[#This Row],[a1]]=1,[1]!T.in.A[[#This Row],[Σp5]],"")</f>
        <v/>
      </c>
      <c r="AO942" s="126" t="str">
        <f>IF(Tab.o1[[#This Row],[a1]]=1,IF(AO$3=1,[1]!T.in.A[[#This Row],[Σp5]],""),"")</f>
        <v/>
      </c>
      <c r="AP942" s="110" t="str">
        <f>IF(Tab.o1[[#This Row],[a1]]=1,IF(ISNUMBER(Tab.o1[[#This Row],[i.]]),NORMDIST(Tab.o1[[#This Row],[Za]],0,1,FALSE)*Tab.o1[[#This Row],[i.]],0),"")</f>
        <v/>
      </c>
      <c r="AQ942" s="125" t="str">
        <f>IF(Tab.o1[[#This Row],[a1]]=1,ABS(Tab.o1[[#This Row],[MOD]]-AVERAGE(Tab.o1[MOD])),"")</f>
        <v/>
      </c>
      <c r="AR942" s="134" t="str">
        <f>IF(Tab.o1[[#This Row],[a1]]=1,Tab.o1[[#This Row],[OBS]]/SUM(Tab.o1[OBS]),"")</f>
        <v/>
      </c>
      <c r="AS942" s="135" t="str">
        <f>IF(ISNUMBER(Tab.o1[[#This Row],[a1]]),ROW()-4,"")</f>
        <v/>
      </c>
      <c r="AT942" s="136" t="str">
        <f>Tab.o1[[#This Row],[MOD]]</f>
        <v/>
      </c>
      <c r="AU942" s="137" t="str">
        <f t="shared" si="57"/>
        <v/>
      </c>
      <c r="AV942" s="138" t="str">
        <f t="shared" si="58"/>
        <v/>
      </c>
      <c r="AW942" s="138" t="str">
        <f t="shared" si="59"/>
        <v/>
      </c>
      <c r="AX942" s="139" t="str">
        <f>[1]!T.in.A[[#This Row],[ID_T_manu]]</f>
        <v/>
      </c>
      <c r="AY942" s="140" t="str">
        <f>IF(ISNUMBER(Tab.o1[[#This Row],[a1]]),IF(AND(Tab.o1[[#This Row],[a1]]=1,Tab.o1[[#This Row],[b1]]&lt;=AY$4),#REF!,AY941),"")</f>
        <v/>
      </c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6"/>
      <c r="BO942" s="26"/>
      <c r="BP942" s="26"/>
      <c r="BQ942" s="26"/>
      <c r="BR942" s="26"/>
      <c r="BS942" s="26"/>
      <c r="BT942" s="26"/>
      <c r="BU942" s="26"/>
      <c r="BV942" s="26"/>
      <c r="BW942" s="26"/>
      <c r="BX942" s="26"/>
      <c r="BY942" s="26"/>
      <c r="BZ942" s="26"/>
      <c r="CA942" s="26"/>
    </row>
    <row r="943" spans="1:79" ht="15.75" hidden="1">
      <c r="A943" s="109">
        <v>-2.9999999999999997E-6</v>
      </c>
      <c r="B943" s="110">
        <f t="shared" si="56"/>
        <v>943</v>
      </c>
      <c r="C943" s="111" t="str">
        <f>IF(C$1=[1]!T.in.A[[#This Row],[oo2]],1,"")</f>
        <v/>
      </c>
      <c r="D943" s="112" t="str">
        <f>IF(Tab.o1[[#This Row],[a1]]=1,IF(SUM(C943:C944)=0,0,IF(SUM(C942:C943)=1,1,IF(SUM(C942:C944)&gt;1,D942+1,0))),"")</f>
        <v/>
      </c>
      <c r="E943" s="113" t="str">
        <f>IF(Tab.o1[[#This Row],[a1]]=1,[1]!T.in.A[[#This Row],[oo1]],"")</f>
        <v/>
      </c>
      <c r="F943" s="113" t="str">
        <f>IF(Tab.o1[[#This Row],[a1]]=1,[1]!T.in.A[[#This Row],[pp1]],"")</f>
        <v/>
      </c>
      <c r="G943" s="114" t="str">
        <f>IF(Tab.o1[[#This Row],[a1]]=1,G$2+IF(G$1=1,0,Tab.o1[[#This Row],[.x1]])+[1]!T.in.A[[#This Row],[oo3]],"")</f>
        <v/>
      </c>
      <c r="H943" s="115" t="str">
        <f>IF(Tab.o1[[#This Row],[a1]]=1,IF(H$2=0,0,IF(G$1=1,0,Tab.o1[[#This Row],[.x1]])+[1]!T.in.A[[#This Row],[oo4]]),"")</f>
        <v/>
      </c>
      <c r="I943" s="116" t="str">
        <f>IF(Tab.o1[[#This Row],[a1]]=1,IF(J$2=0,Tab.o1[[#This Row],[MED]],Tab.o1[[#This Row],[MOD]]),"")</f>
        <v/>
      </c>
      <c r="J943" s="116" t="str">
        <f>IF(Tab.o1[[#This Row],[a1]]=1,((Tab.o1[[#This Row],[DIF_Target.]]-AVERAGE(Tab.o1[DIF_Target.]))/_xlfn.STDEV.P(Tab.o1[DIF_Target.])),"")</f>
        <v/>
      </c>
      <c r="K943" s="117" t="str">
        <f>IF(Tab.o1[[#This Row],[a1]]=1,IF(J$2=0,Tab.o1[[#This Row],[MOD]]-Tab.o1[[#This Row],[B]],IF(J$2=1,0,-Tab.o1[[#This Row],[MED]])+Tab.o1[[#This Row],[B]]),"")</f>
        <v/>
      </c>
      <c r="L943" s="117" t="str">
        <f ca="1">IF(Tab.o1[[#This Row],[DIF_Target]]=0,IF(L$2=0,Tab.o1[[#This Row],[DIF_Target]],AVERAGE(OFFSET(Tab.o1[[#This Row],[DIF_Target]],1,0,L$3,1)))/3,Tab.o1[[#This Row],[DIF_Target]])</f>
        <v/>
      </c>
      <c r="M943" s="118" t="str">
        <f>IF(Tab.o1[[#This Row],[a1]]=1,NORMSDIST(Tab.o1[[#This Row],[Za]]),"")</f>
        <v/>
      </c>
      <c r="N943" s="119" t="str">
        <f>IF(Tab.o1[[#This Row],[a1]]=1,((Tab.o1[[#This Row],[MedMod]]-AVERAGE(Tab.o1[MedMod]))/_xlfn.STDEV.P(Tab.o1[MedMod])*H$1205)+G$1205,"")</f>
        <v/>
      </c>
      <c r="O943" s="141" t="str">
        <f>IF(Tab.o1[[#This Row],[a1]]=1,Tab.o1[[#This Row],[Zb]]*_xlfn.STDEV.P(Tab.o1[MedMod])+AVERAGE(Tab.o1[MedMod]),"")</f>
        <v/>
      </c>
      <c r="P943" s="117" t="str">
        <f ca="1">IF(Tab.o1[[#This Row],[B]]=0,AVERAGE(OFFSET(Tab.o1[[#This Row],[B]],1,0,L$3,1)),Tab.o1[[#This Row],[B]])</f>
        <v/>
      </c>
      <c r="Q943" s="121" t="str">
        <f>IF(Tab.o1[[#This Row],[a1]]=1,NORMSDIST(Tab.o1[[#This Row],[Zb]]),"")</f>
        <v/>
      </c>
      <c r="R943" s="122" t="str">
        <f>IF(Tab.o1[[#This Row],[a1]]=1,((Tab.o1[[#This Row],[MedMod]]-AVERAGE(Tab.o1[MedMod]))/_xlfn.STDEV.P(Tab.o1[MedMod])*H$1203)+G$1203,"")</f>
        <v/>
      </c>
      <c r="S943" s="122" t="str">
        <f>IF(Tab.o1[[#This Row],[a1]]=1,((Tab.o1[[#This Row],[MedMod]]-AVERAGE(Tab.o1[MedMod]))/_xlfn.STDEV.P(Tab.o1[MedMod])*H$1204)+G$1204,"")</f>
        <v/>
      </c>
      <c r="T943" s="123" t="str">
        <f>IF(Tab.o1[[#This Row],[a1]]=1,Tab.o1[[#This Row],[Z-]]*_xlfn.STDEV.P(Tab.o1[B])+AVERAGE(Tab.o1[B]),"")</f>
        <v/>
      </c>
      <c r="U943" s="123" t="str">
        <f>IF(Tab.o1[[#This Row],[a1]]=1,Tab.o1[[#This Row],[z+]]*_xlfn.STDEV.P(Tab.o1[B])+AVERAGE(Tab.o1[B]),"")</f>
        <v/>
      </c>
      <c r="V943" s="124" t="str">
        <f>IF(Tab.o1[[#This Row],[a1]]=1,ABS((ABS(Tab.o1[[#This Row],[Red]]-Tab.o1[[#This Row],[Blue]]))),"")</f>
        <v/>
      </c>
      <c r="W943" s="125" t="str">
        <f>IF(Tab.o1[[#This Row],[a1]]=1,IF(W$3=0,1,Tab.o1[[#This Row],[Amp.]]*1/_xlfn.MINIFS(Tab.o1[Amp.],Tab.o1[Amp.],"&lt;&gt;0")),"")</f>
        <v/>
      </c>
      <c r="X943" s="126" t="str">
        <f>IF(Tab.o1[[#This Row],[a1]]=1,IF(ISNUMBER(Tab.o1[[#This Row],[i.]]),NORMDIST(Tab.o1[[#This Row],[Za]],0,1,FALSE)*Tab.o1[[#This Row],[i.]],AP$3),"")</f>
        <v/>
      </c>
      <c r="Y943" s="126" t="str">
        <f>IF(Tab.o1[[#This Row],[a1]]=1,0.01+0.94*Tab.o1[[#This Row],[PDF]]/MAX(Tab.o1[PDF]),"")</f>
        <v/>
      </c>
      <c r="Z943" s="126" t="str">
        <f>IF(Tab.o1[[#This Row],[a1]]=1,0.01+0.94*Tab.o1[[#This Row],[W1_PDF]]/MAX(Tab.o1[W1_PDF]),"")</f>
        <v/>
      </c>
      <c r="AA943" s="118" t="str">
        <f>IF(Tab.o1[[#This Row],[a1]]=1,ABS([1]!T.in.A[[#This Row],[oo6]]),"")</f>
        <v/>
      </c>
      <c r="AB943" s="127" t="str">
        <f>IF(Tab.o1[[#This Row],[a1]]=1,IF(AE$3=0,"",IF(AB$3=0,ABS([1]!T.in.A[[#This Row],[oo9]]),ABS(Tab.o1[[#This Row],[DIF_Target.]]*Tab.o1[[#This Row],[W1_PDF]]))),"")</f>
        <v/>
      </c>
      <c r="AC943" s="127" t="str">
        <f>IF(G$1=1,"",IF(Tab.o1[[#This Row],[a1]]=1,Tab.o1[[#This Row],[Wr]]^2,""))</f>
        <v/>
      </c>
      <c r="AD943" s="118" t="str">
        <f>IF(Tab.o1[[#This Row],[a1]]=1,IF(AE$3=0,"",Tab.o1[[#This Row],[Wr2]]/SUM(Tab.o1[Wr2])),"")</f>
        <v/>
      </c>
      <c r="AE943" s="128" t="str">
        <f>IF(Tab.o1[[#This Row],[a1]]=1,[1]!T.in.A[[#This Row],[oo10]],"")</f>
        <v/>
      </c>
      <c r="AF943" s="118" t="str">
        <f>IF(Tab.o1[[#This Row],[a1]]=1,ABS(Tab.o1[[#This Row],[DIF_Target.]]*Tab.o1[[#This Row],[PDF2]]*Tab.o1[[#This Row],[IN]]),"")</f>
        <v/>
      </c>
      <c r="AG943" s="129" t="str">
        <f>IF(Tab.o1[[#This Row],[a1]]=1,Tab.o1[[#This Row],[rW]]^2,"")</f>
        <v/>
      </c>
      <c r="AH943" s="130" t="str">
        <f>IF(Tab.o1[[#This Row],[a1]]=1,IF(AH$3=0,Tab.o1[[#This Row],[rW2]],0.01+0.94*Tab.o1[[#This Row],[rW2]]/SUM(Tab.o1[rW2])),"")</f>
        <v/>
      </c>
      <c r="AI943" s="128" t="str">
        <f>IF(Tab.o1[[#This Row],[a1]]=1,1/Tab.o1[[#This Row],[PDF]],"")</f>
        <v/>
      </c>
      <c r="AJ943" s="131" t="str">
        <f>IF(Tab.o1[[#This Row],[a1]]=1,[1]!T_AA[[#This Row],[IN'']]*[1]!T_AA[[#This Row],[Qde'']],"")</f>
        <v/>
      </c>
      <c r="AK943" s="132" t="str">
        <f>IF(Tab.o1[[#This Row],[a1]]=1,IF(AK$1=1,Tab.o1[[#This Row],[MED]]+Tab.o1[[#This Row],[MOD]]-Tab.o1[[#This Row],[MED]],""),"")</f>
        <v/>
      </c>
      <c r="AL943" s="133" t="str">
        <f>IF(Tab.o1[[#This Row],[a1]]=1,[1]!T.in.A[[#This Row],[oo16]],"")</f>
        <v/>
      </c>
      <c r="AM943" s="133" t="str">
        <f>IF(Tab.o1[[#This Row],[a1]]=1,IF(AM$3=1,[1]!T.in.A[[#This Row],[Σo16]],""),"")</f>
        <v/>
      </c>
      <c r="AN943" s="126" t="str">
        <f>IF(Tab.o1[[#This Row],[a1]]=1,[1]!T.in.A[[#This Row],[Σp5]],"")</f>
        <v/>
      </c>
      <c r="AO943" s="126" t="str">
        <f>IF(Tab.o1[[#This Row],[a1]]=1,IF(AO$3=1,[1]!T.in.A[[#This Row],[Σp5]],""),"")</f>
        <v/>
      </c>
      <c r="AP943" s="110" t="str">
        <f>IF(Tab.o1[[#This Row],[a1]]=1,IF(ISNUMBER(Tab.o1[[#This Row],[i.]]),NORMDIST(Tab.o1[[#This Row],[Za]],0,1,FALSE)*Tab.o1[[#This Row],[i.]],0),"")</f>
        <v/>
      </c>
      <c r="AQ943" s="125" t="str">
        <f>IF(Tab.o1[[#This Row],[a1]]=1,ABS(Tab.o1[[#This Row],[MOD]]-AVERAGE(Tab.o1[MOD])),"")</f>
        <v/>
      </c>
      <c r="AR943" s="134" t="str">
        <f>IF(Tab.o1[[#This Row],[a1]]=1,Tab.o1[[#This Row],[OBS]]/SUM(Tab.o1[OBS]),"")</f>
        <v/>
      </c>
      <c r="AS943" s="135" t="str">
        <f>IF(ISNUMBER(Tab.o1[[#This Row],[a1]]),ROW()-4,"")</f>
        <v/>
      </c>
      <c r="AT943" s="136" t="str">
        <f>Tab.o1[[#This Row],[MOD]]</f>
        <v/>
      </c>
      <c r="AU943" s="137" t="str">
        <f t="shared" si="57"/>
        <v/>
      </c>
      <c r="AV943" s="138" t="str">
        <f t="shared" si="58"/>
        <v/>
      </c>
      <c r="AW943" s="138" t="str">
        <f t="shared" si="59"/>
        <v/>
      </c>
      <c r="AX943" s="139" t="str">
        <f>[1]!T.in.A[[#This Row],[ID_T_manu]]</f>
        <v/>
      </c>
      <c r="AY943" s="140" t="str">
        <f>IF(ISNUMBER(Tab.o1[[#This Row],[a1]]),IF(AND(Tab.o1[[#This Row],[a1]]=1,Tab.o1[[#This Row],[b1]]&lt;=AY$4),#REF!,AY942),"")</f>
        <v/>
      </c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6"/>
      <c r="BO943" s="26"/>
      <c r="BP943" s="26"/>
      <c r="BQ943" s="26"/>
      <c r="BR943" s="26"/>
      <c r="BS943" s="26"/>
      <c r="BT943" s="26"/>
      <c r="BU943" s="26"/>
      <c r="BV943" s="26"/>
      <c r="BW943" s="26"/>
      <c r="BX943" s="26"/>
      <c r="BY943" s="26"/>
      <c r="BZ943" s="26"/>
      <c r="CA943" s="26"/>
    </row>
    <row r="944" spans="1:79" ht="15.75" hidden="1">
      <c r="A944" s="109">
        <v>-1.0000000000000001E-5</v>
      </c>
      <c r="B944" s="110">
        <f t="shared" si="56"/>
        <v>944</v>
      </c>
      <c r="C944" s="111" t="str">
        <f>IF(C$1=[1]!T.in.A[[#This Row],[oo2]],1,"")</f>
        <v/>
      </c>
      <c r="D944" s="112" t="str">
        <f>IF(Tab.o1[[#This Row],[a1]]=1,IF(SUM(C944:C945)=0,0,IF(SUM(C943:C944)=1,1,IF(SUM(C943:C945)&gt;1,D943+1,0))),"")</f>
        <v/>
      </c>
      <c r="E944" s="113" t="str">
        <f>IF(Tab.o1[[#This Row],[a1]]=1,[1]!T.in.A[[#This Row],[oo1]],"")</f>
        <v/>
      </c>
      <c r="F944" s="113" t="str">
        <f>IF(Tab.o1[[#This Row],[a1]]=1,[1]!T.in.A[[#This Row],[pp1]],"")</f>
        <v/>
      </c>
      <c r="G944" s="114" t="str">
        <f>IF(Tab.o1[[#This Row],[a1]]=1,G$2+IF(G$1=1,0,Tab.o1[[#This Row],[.x1]])+[1]!T.in.A[[#This Row],[oo3]],"")</f>
        <v/>
      </c>
      <c r="H944" s="115" t="str">
        <f>IF(Tab.o1[[#This Row],[a1]]=1,IF(H$2=0,0,IF(G$1=1,0,Tab.o1[[#This Row],[.x1]])+[1]!T.in.A[[#This Row],[oo4]]),"")</f>
        <v/>
      </c>
      <c r="I944" s="116" t="str">
        <f>IF(Tab.o1[[#This Row],[a1]]=1,IF(J$2=0,Tab.o1[[#This Row],[MED]],Tab.o1[[#This Row],[MOD]]),"")</f>
        <v/>
      </c>
      <c r="J944" s="116" t="str">
        <f>IF(Tab.o1[[#This Row],[a1]]=1,((Tab.o1[[#This Row],[DIF_Target.]]-AVERAGE(Tab.o1[DIF_Target.]))/_xlfn.STDEV.P(Tab.o1[DIF_Target.])),"")</f>
        <v/>
      </c>
      <c r="K944" s="117" t="str">
        <f>IF(Tab.o1[[#This Row],[a1]]=1,IF(J$2=0,Tab.o1[[#This Row],[MOD]]-Tab.o1[[#This Row],[B]],IF(J$2=1,0,-Tab.o1[[#This Row],[MED]])+Tab.o1[[#This Row],[B]]),"")</f>
        <v/>
      </c>
      <c r="L944" s="117" t="str">
        <f ca="1">IF(Tab.o1[[#This Row],[DIF_Target]]=0,IF(L$2=0,Tab.o1[[#This Row],[DIF_Target]],AVERAGE(OFFSET(Tab.o1[[#This Row],[DIF_Target]],1,0,L$3,1)))/3,Tab.o1[[#This Row],[DIF_Target]])</f>
        <v/>
      </c>
      <c r="M944" s="118" t="str">
        <f>IF(Tab.o1[[#This Row],[a1]]=1,NORMSDIST(Tab.o1[[#This Row],[Za]]),"")</f>
        <v/>
      </c>
      <c r="N944" s="119" t="str">
        <f>IF(Tab.o1[[#This Row],[a1]]=1,((Tab.o1[[#This Row],[MedMod]]-AVERAGE(Tab.o1[MedMod]))/_xlfn.STDEV.P(Tab.o1[MedMod])*H$1205)+G$1205,"")</f>
        <v/>
      </c>
      <c r="O944" s="141" t="str">
        <f>IF(Tab.o1[[#This Row],[a1]]=1,Tab.o1[[#This Row],[Zb]]*_xlfn.STDEV.P(Tab.o1[MedMod])+AVERAGE(Tab.o1[MedMod]),"")</f>
        <v/>
      </c>
      <c r="P944" s="117" t="str">
        <f ca="1">IF(Tab.o1[[#This Row],[B]]=0,AVERAGE(OFFSET(Tab.o1[[#This Row],[B]],1,0,L$3,1)),Tab.o1[[#This Row],[B]])</f>
        <v/>
      </c>
      <c r="Q944" s="121" t="str">
        <f>IF(Tab.o1[[#This Row],[a1]]=1,NORMSDIST(Tab.o1[[#This Row],[Zb]]),"")</f>
        <v/>
      </c>
      <c r="R944" s="122" t="str">
        <f>IF(Tab.o1[[#This Row],[a1]]=1,((Tab.o1[[#This Row],[MedMod]]-AVERAGE(Tab.o1[MedMod]))/_xlfn.STDEV.P(Tab.o1[MedMod])*H$1203)+G$1203,"")</f>
        <v/>
      </c>
      <c r="S944" s="122" t="str">
        <f>IF(Tab.o1[[#This Row],[a1]]=1,((Tab.o1[[#This Row],[MedMod]]-AVERAGE(Tab.o1[MedMod]))/_xlfn.STDEV.P(Tab.o1[MedMod])*H$1204)+G$1204,"")</f>
        <v/>
      </c>
      <c r="T944" s="123" t="str">
        <f>IF(Tab.o1[[#This Row],[a1]]=1,Tab.o1[[#This Row],[Z-]]*_xlfn.STDEV.P(Tab.o1[B])+AVERAGE(Tab.o1[B]),"")</f>
        <v/>
      </c>
      <c r="U944" s="123" t="str">
        <f>IF(Tab.o1[[#This Row],[a1]]=1,Tab.o1[[#This Row],[z+]]*_xlfn.STDEV.P(Tab.o1[B])+AVERAGE(Tab.o1[B]),"")</f>
        <v/>
      </c>
      <c r="V944" s="124" t="str">
        <f>IF(Tab.o1[[#This Row],[a1]]=1,ABS((ABS(Tab.o1[[#This Row],[Red]]-Tab.o1[[#This Row],[Blue]]))),"")</f>
        <v/>
      </c>
      <c r="W944" s="125" t="str">
        <f>IF(Tab.o1[[#This Row],[a1]]=1,IF(W$3=0,1,Tab.o1[[#This Row],[Amp.]]*1/_xlfn.MINIFS(Tab.o1[Amp.],Tab.o1[Amp.],"&lt;&gt;0")),"")</f>
        <v/>
      </c>
      <c r="X944" s="126" t="str">
        <f>IF(Tab.o1[[#This Row],[a1]]=1,IF(ISNUMBER(Tab.o1[[#This Row],[i.]]),NORMDIST(Tab.o1[[#This Row],[Za]],0,1,FALSE)*Tab.o1[[#This Row],[i.]],AP$3),"")</f>
        <v/>
      </c>
      <c r="Y944" s="126" t="str">
        <f>IF(Tab.o1[[#This Row],[a1]]=1,0.01+0.94*Tab.o1[[#This Row],[PDF]]/MAX(Tab.o1[PDF]),"")</f>
        <v/>
      </c>
      <c r="Z944" s="126" t="str">
        <f>IF(Tab.o1[[#This Row],[a1]]=1,0.01+0.94*Tab.o1[[#This Row],[W1_PDF]]/MAX(Tab.o1[W1_PDF]),"")</f>
        <v/>
      </c>
      <c r="AA944" s="118" t="str">
        <f>IF(Tab.o1[[#This Row],[a1]]=1,ABS([1]!T.in.A[[#This Row],[oo6]]),"")</f>
        <v/>
      </c>
      <c r="AB944" s="127" t="str">
        <f>IF(Tab.o1[[#This Row],[a1]]=1,IF(AE$3=0,"",IF(AB$3=0,ABS([1]!T.in.A[[#This Row],[oo9]]),ABS(Tab.o1[[#This Row],[DIF_Target.]]*Tab.o1[[#This Row],[W1_PDF]]))),"")</f>
        <v/>
      </c>
      <c r="AC944" s="127" t="str">
        <f>IF(G$1=1,"",IF(Tab.o1[[#This Row],[a1]]=1,Tab.o1[[#This Row],[Wr]]^2,""))</f>
        <v/>
      </c>
      <c r="AD944" s="118" t="str">
        <f>IF(Tab.o1[[#This Row],[a1]]=1,IF(AE$3=0,"",Tab.o1[[#This Row],[Wr2]]/SUM(Tab.o1[Wr2])),"")</f>
        <v/>
      </c>
      <c r="AE944" s="128" t="str">
        <f>IF(Tab.o1[[#This Row],[a1]]=1,[1]!T.in.A[[#This Row],[oo10]],"")</f>
        <v/>
      </c>
      <c r="AF944" s="118" t="str">
        <f>IF(Tab.o1[[#This Row],[a1]]=1,ABS(Tab.o1[[#This Row],[DIF_Target.]]*Tab.o1[[#This Row],[PDF2]]*Tab.o1[[#This Row],[IN]]),"")</f>
        <v/>
      </c>
      <c r="AG944" s="129" t="str">
        <f>IF(Tab.o1[[#This Row],[a1]]=1,Tab.o1[[#This Row],[rW]]^2,"")</f>
        <v/>
      </c>
      <c r="AH944" s="130" t="str">
        <f>IF(Tab.o1[[#This Row],[a1]]=1,IF(AH$3=0,Tab.o1[[#This Row],[rW2]],0.01+0.94*Tab.o1[[#This Row],[rW2]]/SUM(Tab.o1[rW2])),"")</f>
        <v/>
      </c>
      <c r="AI944" s="128" t="str">
        <f>IF(Tab.o1[[#This Row],[a1]]=1,1/Tab.o1[[#This Row],[PDF]],"")</f>
        <v/>
      </c>
      <c r="AJ944" s="131" t="str">
        <f>IF(Tab.o1[[#This Row],[a1]]=1,[1]!T_AA[[#This Row],[IN'']]*[1]!T_AA[[#This Row],[Qde'']],"")</f>
        <v/>
      </c>
      <c r="AK944" s="132" t="str">
        <f>IF(Tab.o1[[#This Row],[a1]]=1,IF(AK$1=1,Tab.o1[[#This Row],[MED]]+Tab.o1[[#This Row],[MOD]]-Tab.o1[[#This Row],[MED]],""),"")</f>
        <v/>
      </c>
      <c r="AL944" s="133" t="str">
        <f>IF(Tab.o1[[#This Row],[a1]]=1,[1]!T.in.A[[#This Row],[oo16]],"")</f>
        <v/>
      </c>
      <c r="AM944" s="133" t="str">
        <f>IF(Tab.o1[[#This Row],[a1]]=1,IF(AM$3=1,[1]!T.in.A[[#This Row],[Σo16]],""),"")</f>
        <v/>
      </c>
      <c r="AN944" s="126" t="str">
        <f>IF(Tab.o1[[#This Row],[a1]]=1,[1]!T.in.A[[#This Row],[Σp5]],"")</f>
        <v/>
      </c>
      <c r="AO944" s="126" t="str">
        <f>IF(Tab.o1[[#This Row],[a1]]=1,IF(AO$3=1,[1]!T.in.A[[#This Row],[Σp5]],""),"")</f>
        <v/>
      </c>
      <c r="AP944" s="110" t="str">
        <f>IF(Tab.o1[[#This Row],[a1]]=1,IF(ISNUMBER(Tab.o1[[#This Row],[i.]]),NORMDIST(Tab.o1[[#This Row],[Za]],0,1,FALSE)*Tab.o1[[#This Row],[i.]],0),"")</f>
        <v/>
      </c>
      <c r="AQ944" s="125" t="str">
        <f>IF(Tab.o1[[#This Row],[a1]]=1,ABS(Tab.o1[[#This Row],[MOD]]-AVERAGE(Tab.o1[MOD])),"")</f>
        <v/>
      </c>
      <c r="AR944" s="134" t="str">
        <f>IF(Tab.o1[[#This Row],[a1]]=1,Tab.o1[[#This Row],[OBS]]/SUM(Tab.o1[OBS]),"")</f>
        <v/>
      </c>
      <c r="AS944" s="135" t="str">
        <f>IF(ISNUMBER(Tab.o1[[#This Row],[a1]]),ROW()-4,"")</f>
        <v/>
      </c>
      <c r="AT944" s="136" t="str">
        <f>Tab.o1[[#This Row],[MOD]]</f>
        <v/>
      </c>
      <c r="AU944" s="137" t="str">
        <f t="shared" si="57"/>
        <v/>
      </c>
      <c r="AV944" s="138" t="str">
        <f t="shared" si="58"/>
        <v/>
      </c>
      <c r="AW944" s="138" t="str">
        <f t="shared" si="59"/>
        <v/>
      </c>
      <c r="AX944" s="139" t="str">
        <f>[1]!T.in.A[[#This Row],[ID_T_manu]]</f>
        <v/>
      </c>
      <c r="AY944" s="140" t="str">
        <f>IF(ISNUMBER(Tab.o1[[#This Row],[a1]]),IF(AND(Tab.o1[[#This Row],[a1]]=1,Tab.o1[[#This Row],[b1]]&lt;=AY$4),#REF!,AY943),"")</f>
        <v/>
      </c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6"/>
      <c r="BO944" s="26"/>
      <c r="BP944" s="26"/>
      <c r="BQ944" s="26"/>
      <c r="BR944" s="26"/>
      <c r="BS944" s="26"/>
      <c r="BT944" s="26"/>
      <c r="BU944" s="26"/>
      <c r="BV944" s="26"/>
      <c r="BW944" s="26"/>
      <c r="BX944" s="26"/>
      <c r="BY944" s="26"/>
      <c r="BZ944" s="26"/>
      <c r="CA944" s="26"/>
    </row>
    <row r="945" spans="1:79" ht="15.75" hidden="1">
      <c r="A945" s="109">
        <v>-4.0000000000000007E-6</v>
      </c>
      <c r="B945" s="110">
        <f t="shared" si="56"/>
        <v>945</v>
      </c>
      <c r="C945" s="111" t="str">
        <f>IF(C$1=[1]!T.in.A[[#This Row],[oo2]],1,"")</f>
        <v/>
      </c>
      <c r="D945" s="112" t="str">
        <f>IF(Tab.o1[[#This Row],[a1]]=1,IF(SUM(C945:C946)=0,0,IF(SUM(C944:C945)=1,1,IF(SUM(C944:C946)&gt;1,D944+1,0))),"")</f>
        <v/>
      </c>
      <c r="E945" s="113" t="str">
        <f>IF(Tab.o1[[#This Row],[a1]]=1,[1]!T.in.A[[#This Row],[oo1]],"")</f>
        <v/>
      </c>
      <c r="F945" s="113" t="str">
        <f>IF(Tab.o1[[#This Row],[a1]]=1,[1]!T.in.A[[#This Row],[pp1]],"")</f>
        <v/>
      </c>
      <c r="G945" s="114" t="str">
        <f>IF(Tab.o1[[#This Row],[a1]]=1,G$2+IF(G$1=1,0,Tab.o1[[#This Row],[.x1]])+[1]!T.in.A[[#This Row],[oo3]],"")</f>
        <v/>
      </c>
      <c r="H945" s="115" t="str">
        <f>IF(Tab.o1[[#This Row],[a1]]=1,IF(H$2=0,0,IF(G$1=1,0,Tab.o1[[#This Row],[.x1]])+[1]!T.in.A[[#This Row],[oo4]]),"")</f>
        <v/>
      </c>
      <c r="I945" s="116" t="str">
        <f>IF(Tab.o1[[#This Row],[a1]]=1,IF(J$2=0,Tab.o1[[#This Row],[MED]],Tab.o1[[#This Row],[MOD]]),"")</f>
        <v/>
      </c>
      <c r="J945" s="116" t="str">
        <f>IF(Tab.o1[[#This Row],[a1]]=1,((Tab.o1[[#This Row],[DIF_Target.]]-AVERAGE(Tab.o1[DIF_Target.]))/_xlfn.STDEV.P(Tab.o1[DIF_Target.])),"")</f>
        <v/>
      </c>
      <c r="K945" s="117" t="str">
        <f>IF(Tab.o1[[#This Row],[a1]]=1,IF(J$2=0,Tab.o1[[#This Row],[MOD]]-Tab.o1[[#This Row],[B]],IF(J$2=1,0,-Tab.o1[[#This Row],[MED]])+Tab.o1[[#This Row],[B]]),"")</f>
        <v/>
      </c>
      <c r="L945" s="117" t="str">
        <f ca="1">IF(Tab.o1[[#This Row],[DIF_Target]]=0,IF(L$2=0,Tab.o1[[#This Row],[DIF_Target]],AVERAGE(OFFSET(Tab.o1[[#This Row],[DIF_Target]],1,0,L$3,1)))/3,Tab.o1[[#This Row],[DIF_Target]])</f>
        <v/>
      </c>
      <c r="M945" s="118" t="str">
        <f>IF(Tab.o1[[#This Row],[a1]]=1,NORMSDIST(Tab.o1[[#This Row],[Za]]),"")</f>
        <v/>
      </c>
      <c r="N945" s="119" t="str">
        <f>IF(Tab.o1[[#This Row],[a1]]=1,((Tab.o1[[#This Row],[MedMod]]-AVERAGE(Tab.o1[MedMod]))/_xlfn.STDEV.P(Tab.o1[MedMod])*H$1205)+G$1205,"")</f>
        <v/>
      </c>
      <c r="O945" s="141" t="str">
        <f>IF(Tab.o1[[#This Row],[a1]]=1,Tab.o1[[#This Row],[Zb]]*_xlfn.STDEV.P(Tab.o1[MedMod])+AVERAGE(Tab.o1[MedMod]),"")</f>
        <v/>
      </c>
      <c r="P945" s="117" t="str">
        <f ca="1">IF(Tab.o1[[#This Row],[B]]=0,AVERAGE(OFFSET(Tab.o1[[#This Row],[B]],1,0,L$3,1)),Tab.o1[[#This Row],[B]])</f>
        <v/>
      </c>
      <c r="Q945" s="121" t="str">
        <f>IF(Tab.o1[[#This Row],[a1]]=1,NORMSDIST(Tab.o1[[#This Row],[Zb]]),"")</f>
        <v/>
      </c>
      <c r="R945" s="122" t="str">
        <f>IF(Tab.o1[[#This Row],[a1]]=1,((Tab.o1[[#This Row],[MedMod]]-AVERAGE(Tab.o1[MedMod]))/_xlfn.STDEV.P(Tab.o1[MedMod])*H$1203)+G$1203,"")</f>
        <v/>
      </c>
      <c r="S945" s="122" t="str">
        <f>IF(Tab.o1[[#This Row],[a1]]=1,((Tab.o1[[#This Row],[MedMod]]-AVERAGE(Tab.o1[MedMod]))/_xlfn.STDEV.P(Tab.o1[MedMod])*H$1204)+G$1204,"")</f>
        <v/>
      </c>
      <c r="T945" s="123" t="str">
        <f>IF(Tab.o1[[#This Row],[a1]]=1,Tab.o1[[#This Row],[Z-]]*_xlfn.STDEV.P(Tab.o1[B])+AVERAGE(Tab.o1[B]),"")</f>
        <v/>
      </c>
      <c r="U945" s="123" t="str">
        <f>IF(Tab.o1[[#This Row],[a1]]=1,Tab.o1[[#This Row],[z+]]*_xlfn.STDEV.P(Tab.o1[B])+AVERAGE(Tab.o1[B]),"")</f>
        <v/>
      </c>
      <c r="V945" s="124" t="str">
        <f>IF(Tab.o1[[#This Row],[a1]]=1,ABS((ABS(Tab.o1[[#This Row],[Red]]-Tab.o1[[#This Row],[Blue]]))),"")</f>
        <v/>
      </c>
      <c r="W945" s="125" t="str">
        <f>IF(Tab.o1[[#This Row],[a1]]=1,IF(W$3=0,1,Tab.o1[[#This Row],[Amp.]]*1/_xlfn.MINIFS(Tab.o1[Amp.],Tab.o1[Amp.],"&lt;&gt;0")),"")</f>
        <v/>
      </c>
      <c r="X945" s="126" t="str">
        <f>IF(Tab.o1[[#This Row],[a1]]=1,IF(ISNUMBER(Tab.o1[[#This Row],[i.]]),NORMDIST(Tab.o1[[#This Row],[Za]],0,1,FALSE)*Tab.o1[[#This Row],[i.]],AP$3),"")</f>
        <v/>
      </c>
      <c r="Y945" s="126" t="str">
        <f>IF(Tab.o1[[#This Row],[a1]]=1,0.01+0.94*Tab.o1[[#This Row],[PDF]]/MAX(Tab.o1[PDF]),"")</f>
        <v/>
      </c>
      <c r="Z945" s="126" t="str">
        <f>IF(Tab.o1[[#This Row],[a1]]=1,0.01+0.94*Tab.o1[[#This Row],[W1_PDF]]/MAX(Tab.o1[W1_PDF]),"")</f>
        <v/>
      </c>
      <c r="AA945" s="118" t="str">
        <f>IF(Tab.o1[[#This Row],[a1]]=1,ABS([1]!T.in.A[[#This Row],[oo6]]),"")</f>
        <v/>
      </c>
      <c r="AB945" s="127" t="str">
        <f>IF(Tab.o1[[#This Row],[a1]]=1,IF(AE$3=0,"",IF(AB$3=0,ABS([1]!T.in.A[[#This Row],[oo9]]),ABS(Tab.o1[[#This Row],[DIF_Target.]]*Tab.o1[[#This Row],[W1_PDF]]))),"")</f>
        <v/>
      </c>
      <c r="AC945" s="127" t="str">
        <f>IF(G$1=1,"",IF(Tab.o1[[#This Row],[a1]]=1,Tab.o1[[#This Row],[Wr]]^2,""))</f>
        <v/>
      </c>
      <c r="AD945" s="118" t="str">
        <f>IF(Tab.o1[[#This Row],[a1]]=1,IF(AE$3=0,"",Tab.o1[[#This Row],[Wr2]]/SUM(Tab.o1[Wr2])),"")</f>
        <v/>
      </c>
      <c r="AE945" s="128" t="str">
        <f>IF(Tab.o1[[#This Row],[a1]]=1,[1]!T.in.A[[#This Row],[oo10]],"")</f>
        <v/>
      </c>
      <c r="AF945" s="118" t="str">
        <f>IF(Tab.o1[[#This Row],[a1]]=1,ABS(Tab.o1[[#This Row],[DIF_Target.]]*Tab.o1[[#This Row],[PDF2]]*Tab.o1[[#This Row],[IN]]),"")</f>
        <v/>
      </c>
      <c r="AG945" s="129" t="str">
        <f>IF(Tab.o1[[#This Row],[a1]]=1,Tab.o1[[#This Row],[rW]]^2,"")</f>
        <v/>
      </c>
      <c r="AH945" s="130" t="str">
        <f>IF(Tab.o1[[#This Row],[a1]]=1,IF(AH$3=0,Tab.o1[[#This Row],[rW2]],0.01+0.94*Tab.o1[[#This Row],[rW2]]/SUM(Tab.o1[rW2])),"")</f>
        <v/>
      </c>
      <c r="AI945" s="128" t="str">
        <f>IF(Tab.o1[[#This Row],[a1]]=1,1/Tab.o1[[#This Row],[PDF]],"")</f>
        <v/>
      </c>
      <c r="AJ945" s="131" t="str">
        <f>IF(Tab.o1[[#This Row],[a1]]=1,[1]!T_AA[[#This Row],[IN'']]*[1]!T_AA[[#This Row],[Qde'']],"")</f>
        <v/>
      </c>
      <c r="AK945" s="132" t="str">
        <f>IF(Tab.o1[[#This Row],[a1]]=1,IF(AK$1=1,Tab.o1[[#This Row],[MED]]+Tab.o1[[#This Row],[MOD]]-Tab.o1[[#This Row],[MED]],""),"")</f>
        <v/>
      </c>
      <c r="AL945" s="133" t="str">
        <f>IF(Tab.o1[[#This Row],[a1]]=1,[1]!T.in.A[[#This Row],[oo16]],"")</f>
        <v/>
      </c>
      <c r="AM945" s="133" t="str">
        <f>IF(Tab.o1[[#This Row],[a1]]=1,IF(AM$3=1,[1]!T.in.A[[#This Row],[Σo16]],""),"")</f>
        <v/>
      </c>
      <c r="AN945" s="126" t="str">
        <f>IF(Tab.o1[[#This Row],[a1]]=1,[1]!T.in.A[[#This Row],[Σp5]],"")</f>
        <v/>
      </c>
      <c r="AO945" s="126" t="str">
        <f>IF(Tab.o1[[#This Row],[a1]]=1,IF(AO$3=1,[1]!T.in.A[[#This Row],[Σp5]],""),"")</f>
        <v/>
      </c>
      <c r="AP945" s="110" t="str">
        <f>IF(Tab.o1[[#This Row],[a1]]=1,IF(ISNUMBER(Tab.o1[[#This Row],[i.]]),NORMDIST(Tab.o1[[#This Row],[Za]],0,1,FALSE)*Tab.o1[[#This Row],[i.]],0),"")</f>
        <v/>
      </c>
      <c r="AQ945" s="125" t="str">
        <f>IF(Tab.o1[[#This Row],[a1]]=1,ABS(Tab.o1[[#This Row],[MOD]]-AVERAGE(Tab.o1[MOD])),"")</f>
        <v/>
      </c>
      <c r="AR945" s="134" t="str">
        <f>IF(Tab.o1[[#This Row],[a1]]=1,Tab.o1[[#This Row],[OBS]]/SUM(Tab.o1[OBS]),"")</f>
        <v/>
      </c>
      <c r="AS945" s="135" t="str">
        <f>IF(ISNUMBER(Tab.o1[[#This Row],[a1]]),ROW()-4,"")</f>
        <v/>
      </c>
      <c r="AT945" s="136" t="str">
        <f>Tab.o1[[#This Row],[MOD]]</f>
        <v/>
      </c>
      <c r="AU945" s="137" t="str">
        <f t="shared" si="57"/>
        <v/>
      </c>
      <c r="AV945" s="138" t="str">
        <f t="shared" si="58"/>
        <v/>
      </c>
      <c r="AW945" s="138" t="str">
        <f t="shared" si="59"/>
        <v/>
      </c>
      <c r="AX945" s="139" t="str">
        <f>[1]!T.in.A[[#This Row],[ID_T_manu]]</f>
        <v/>
      </c>
      <c r="AY945" s="140" t="str">
        <f>IF(ISNUMBER(Tab.o1[[#This Row],[a1]]),IF(AND(Tab.o1[[#This Row],[a1]]=1,Tab.o1[[#This Row],[b1]]&lt;=AY$4),#REF!,AY944),"")</f>
        <v/>
      </c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6"/>
      <c r="BO945" s="26"/>
      <c r="BP945" s="26"/>
      <c r="BQ945" s="26"/>
      <c r="BR945" s="26"/>
      <c r="BS945" s="26"/>
      <c r="BT945" s="26"/>
      <c r="BU945" s="26"/>
      <c r="BV945" s="26"/>
      <c r="BW945" s="26"/>
      <c r="BX945" s="26"/>
      <c r="BY945" s="26"/>
      <c r="BZ945" s="26"/>
      <c r="CA945" s="26"/>
    </row>
    <row r="946" spans="1:79" ht="15.75" hidden="1">
      <c r="A946" s="109">
        <v>8.0000000000000013E-6</v>
      </c>
      <c r="B946" s="110">
        <f t="shared" si="56"/>
        <v>946</v>
      </c>
      <c r="C946" s="111" t="str">
        <f>IF(C$1=[1]!T.in.A[[#This Row],[oo2]],1,"")</f>
        <v/>
      </c>
      <c r="D946" s="112" t="str">
        <f>IF(Tab.o1[[#This Row],[a1]]=1,IF(SUM(C946:C947)=0,0,IF(SUM(C945:C946)=1,1,IF(SUM(C945:C947)&gt;1,D945+1,0))),"")</f>
        <v/>
      </c>
      <c r="E946" s="113" t="str">
        <f>IF(Tab.o1[[#This Row],[a1]]=1,[1]!T.in.A[[#This Row],[oo1]],"")</f>
        <v/>
      </c>
      <c r="F946" s="113" t="str">
        <f>IF(Tab.o1[[#This Row],[a1]]=1,[1]!T.in.A[[#This Row],[pp1]],"")</f>
        <v/>
      </c>
      <c r="G946" s="114" t="str">
        <f>IF(Tab.o1[[#This Row],[a1]]=1,G$2+IF(G$1=1,0,Tab.o1[[#This Row],[.x1]])+[1]!T.in.A[[#This Row],[oo3]],"")</f>
        <v/>
      </c>
      <c r="H946" s="115" t="str">
        <f>IF(Tab.o1[[#This Row],[a1]]=1,IF(H$2=0,0,IF(G$1=1,0,Tab.o1[[#This Row],[.x1]])+[1]!T.in.A[[#This Row],[oo4]]),"")</f>
        <v/>
      </c>
      <c r="I946" s="116" t="str">
        <f>IF(Tab.o1[[#This Row],[a1]]=1,IF(J$2=0,Tab.o1[[#This Row],[MED]],Tab.o1[[#This Row],[MOD]]),"")</f>
        <v/>
      </c>
      <c r="J946" s="116" t="str">
        <f>IF(Tab.o1[[#This Row],[a1]]=1,((Tab.o1[[#This Row],[DIF_Target.]]-AVERAGE(Tab.o1[DIF_Target.]))/_xlfn.STDEV.P(Tab.o1[DIF_Target.])),"")</f>
        <v/>
      </c>
      <c r="K946" s="117" t="str">
        <f>IF(Tab.o1[[#This Row],[a1]]=1,IF(J$2=0,Tab.o1[[#This Row],[MOD]]-Tab.o1[[#This Row],[B]],IF(J$2=1,0,-Tab.o1[[#This Row],[MED]])+Tab.o1[[#This Row],[B]]),"")</f>
        <v/>
      </c>
      <c r="L946" s="117" t="str">
        <f ca="1">IF(Tab.o1[[#This Row],[DIF_Target]]=0,IF(L$2=0,Tab.o1[[#This Row],[DIF_Target]],AVERAGE(OFFSET(Tab.o1[[#This Row],[DIF_Target]],1,0,L$3,1)))/3,Tab.o1[[#This Row],[DIF_Target]])</f>
        <v/>
      </c>
      <c r="M946" s="118" t="str">
        <f>IF(Tab.o1[[#This Row],[a1]]=1,NORMSDIST(Tab.o1[[#This Row],[Za]]),"")</f>
        <v/>
      </c>
      <c r="N946" s="119" t="str">
        <f>IF(Tab.o1[[#This Row],[a1]]=1,((Tab.o1[[#This Row],[MedMod]]-AVERAGE(Tab.o1[MedMod]))/_xlfn.STDEV.P(Tab.o1[MedMod])*H$1205)+G$1205,"")</f>
        <v/>
      </c>
      <c r="O946" s="141" t="str">
        <f>IF(Tab.o1[[#This Row],[a1]]=1,Tab.o1[[#This Row],[Zb]]*_xlfn.STDEV.P(Tab.o1[MedMod])+AVERAGE(Tab.o1[MedMod]),"")</f>
        <v/>
      </c>
      <c r="P946" s="117" t="str">
        <f ca="1">IF(Tab.o1[[#This Row],[B]]=0,AVERAGE(OFFSET(Tab.o1[[#This Row],[B]],1,0,L$3,1)),Tab.o1[[#This Row],[B]])</f>
        <v/>
      </c>
      <c r="Q946" s="121" t="str">
        <f>IF(Tab.o1[[#This Row],[a1]]=1,NORMSDIST(Tab.o1[[#This Row],[Zb]]),"")</f>
        <v/>
      </c>
      <c r="R946" s="122" t="str">
        <f>IF(Tab.o1[[#This Row],[a1]]=1,((Tab.o1[[#This Row],[MedMod]]-AVERAGE(Tab.o1[MedMod]))/_xlfn.STDEV.P(Tab.o1[MedMod])*H$1203)+G$1203,"")</f>
        <v/>
      </c>
      <c r="S946" s="122" t="str">
        <f>IF(Tab.o1[[#This Row],[a1]]=1,((Tab.o1[[#This Row],[MedMod]]-AVERAGE(Tab.o1[MedMod]))/_xlfn.STDEV.P(Tab.o1[MedMod])*H$1204)+G$1204,"")</f>
        <v/>
      </c>
      <c r="T946" s="123" t="str">
        <f>IF(Tab.o1[[#This Row],[a1]]=1,Tab.o1[[#This Row],[Z-]]*_xlfn.STDEV.P(Tab.o1[B])+AVERAGE(Tab.o1[B]),"")</f>
        <v/>
      </c>
      <c r="U946" s="123" t="str">
        <f>IF(Tab.o1[[#This Row],[a1]]=1,Tab.o1[[#This Row],[z+]]*_xlfn.STDEV.P(Tab.o1[B])+AVERAGE(Tab.o1[B]),"")</f>
        <v/>
      </c>
      <c r="V946" s="124" t="str">
        <f>IF(Tab.o1[[#This Row],[a1]]=1,ABS((ABS(Tab.o1[[#This Row],[Red]]-Tab.o1[[#This Row],[Blue]]))),"")</f>
        <v/>
      </c>
      <c r="W946" s="125" t="str">
        <f>IF(Tab.o1[[#This Row],[a1]]=1,IF(W$3=0,1,Tab.o1[[#This Row],[Amp.]]*1/_xlfn.MINIFS(Tab.o1[Amp.],Tab.o1[Amp.],"&lt;&gt;0")),"")</f>
        <v/>
      </c>
      <c r="X946" s="126" t="str">
        <f>IF(Tab.o1[[#This Row],[a1]]=1,IF(ISNUMBER(Tab.o1[[#This Row],[i.]]),NORMDIST(Tab.o1[[#This Row],[Za]],0,1,FALSE)*Tab.o1[[#This Row],[i.]],AP$3),"")</f>
        <v/>
      </c>
      <c r="Y946" s="126" t="str">
        <f>IF(Tab.o1[[#This Row],[a1]]=1,0.01+0.94*Tab.o1[[#This Row],[PDF]]/MAX(Tab.o1[PDF]),"")</f>
        <v/>
      </c>
      <c r="Z946" s="126" t="str">
        <f>IF(Tab.o1[[#This Row],[a1]]=1,0.01+0.94*Tab.o1[[#This Row],[W1_PDF]]/MAX(Tab.o1[W1_PDF]),"")</f>
        <v/>
      </c>
      <c r="AA946" s="118" t="str">
        <f>IF(Tab.o1[[#This Row],[a1]]=1,ABS([1]!T.in.A[[#This Row],[oo6]]),"")</f>
        <v/>
      </c>
      <c r="AB946" s="127" t="str">
        <f>IF(Tab.o1[[#This Row],[a1]]=1,IF(AE$3=0,"",IF(AB$3=0,ABS([1]!T.in.A[[#This Row],[oo9]]),ABS(Tab.o1[[#This Row],[DIF_Target.]]*Tab.o1[[#This Row],[W1_PDF]]))),"")</f>
        <v/>
      </c>
      <c r="AC946" s="127" t="str">
        <f>IF(G$1=1,"",IF(Tab.o1[[#This Row],[a1]]=1,Tab.o1[[#This Row],[Wr]]^2,""))</f>
        <v/>
      </c>
      <c r="AD946" s="118" t="str">
        <f>IF(Tab.o1[[#This Row],[a1]]=1,IF(AE$3=0,"",Tab.o1[[#This Row],[Wr2]]/SUM(Tab.o1[Wr2])),"")</f>
        <v/>
      </c>
      <c r="AE946" s="128" t="str">
        <f>IF(Tab.o1[[#This Row],[a1]]=1,[1]!T.in.A[[#This Row],[oo10]],"")</f>
        <v/>
      </c>
      <c r="AF946" s="118" t="str">
        <f>IF(Tab.o1[[#This Row],[a1]]=1,ABS(Tab.o1[[#This Row],[DIF_Target.]]*Tab.o1[[#This Row],[PDF2]]*Tab.o1[[#This Row],[IN]]),"")</f>
        <v/>
      </c>
      <c r="AG946" s="129" t="str">
        <f>IF(Tab.o1[[#This Row],[a1]]=1,Tab.o1[[#This Row],[rW]]^2,"")</f>
        <v/>
      </c>
      <c r="AH946" s="130" t="str">
        <f>IF(Tab.o1[[#This Row],[a1]]=1,IF(AH$3=0,Tab.o1[[#This Row],[rW2]],0.01+0.94*Tab.o1[[#This Row],[rW2]]/SUM(Tab.o1[rW2])),"")</f>
        <v/>
      </c>
      <c r="AI946" s="128" t="str">
        <f>IF(Tab.o1[[#This Row],[a1]]=1,1/Tab.o1[[#This Row],[PDF]],"")</f>
        <v/>
      </c>
      <c r="AJ946" s="131" t="str">
        <f>IF(Tab.o1[[#This Row],[a1]]=1,[1]!T_AA[[#This Row],[IN'']]*[1]!T_AA[[#This Row],[Qde'']],"")</f>
        <v/>
      </c>
      <c r="AK946" s="132" t="str">
        <f>IF(Tab.o1[[#This Row],[a1]]=1,IF(AK$1=1,Tab.o1[[#This Row],[MED]]+Tab.o1[[#This Row],[MOD]]-Tab.o1[[#This Row],[MED]],""),"")</f>
        <v/>
      </c>
      <c r="AL946" s="133" t="str">
        <f>IF(Tab.o1[[#This Row],[a1]]=1,[1]!T.in.A[[#This Row],[oo16]],"")</f>
        <v/>
      </c>
      <c r="AM946" s="133" t="str">
        <f>IF(Tab.o1[[#This Row],[a1]]=1,IF(AM$3=1,[1]!T.in.A[[#This Row],[Σo16]],""),"")</f>
        <v/>
      </c>
      <c r="AN946" s="126" t="str">
        <f>IF(Tab.o1[[#This Row],[a1]]=1,[1]!T.in.A[[#This Row],[Σp5]],"")</f>
        <v/>
      </c>
      <c r="AO946" s="126" t="str">
        <f>IF(Tab.o1[[#This Row],[a1]]=1,IF(AO$3=1,[1]!T.in.A[[#This Row],[Σp5]],""),"")</f>
        <v/>
      </c>
      <c r="AP946" s="110" t="str">
        <f>IF(Tab.o1[[#This Row],[a1]]=1,IF(ISNUMBER(Tab.o1[[#This Row],[i.]]),NORMDIST(Tab.o1[[#This Row],[Za]],0,1,FALSE)*Tab.o1[[#This Row],[i.]],0),"")</f>
        <v/>
      </c>
      <c r="AQ946" s="125" t="str">
        <f>IF(Tab.o1[[#This Row],[a1]]=1,ABS(Tab.o1[[#This Row],[MOD]]-AVERAGE(Tab.o1[MOD])),"")</f>
        <v/>
      </c>
      <c r="AR946" s="134" t="str">
        <f>IF(Tab.o1[[#This Row],[a1]]=1,Tab.o1[[#This Row],[OBS]]/SUM(Tab.o1[OBS]),"")</f>
        <v/>
      </c>
      <c r="AS946" s="135" t="str">
        <f>IF(ISNUMBER(Tab.o1[[#This Row],[a1]]),ROW()-4,"")</f>
        <v/>
      </c>
      <c r="AT946" s="136" t="str">
        <f>Tab.o1[[#This Row],[MOD]]</f>
        <v/>
      </c>
      <c r="AU946" s="137" t="str">
        <f t="shared" si="57"/>
        <v/>
      </c>
      <c r="AV946" s="138" t="str">
        <f t="shared" si="58"/>
        <v/>
      </c>
      <c r="AW946" s="138" t="str">
        <f t="shared" si="59"/>
        <v/>
      </c>
      <c r="AX946" s="139" t="str">
        <f>[1]!T.in.A[[#This Row],[ID_T_manu]]</f>
        <v/>
      </c>
      <c r="AY946" s="140" t="str">
        <f>IF(ISNUMBER(Tab.o1[[#This Row],[a1]]),IF(AND(Tab.o1[[#This Row],[a1]]=1,Tab.o1[[#This Row],[b1]]&lt;=AY$4),#REF!,AY945),"")</f>
        <v/>
      </c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6"/>
      <c r="BO946" s="26"/>
      <c r="BP946" s="26"/>
      <c r="BQ946" s="26"/>
      <c r="BR946" s="26"/>
      <c r="BS946" s="26"/>
      <c r="BT946" s="26"/>
      <c r="BU946" s="26"/>
      <c r="BV946" s="26"/>
      <c r="BW946" s="26"/>
      <c r="BX946" s="26"/>
      <c r="BY946" s="26"/>
      <c r="BZ946" s="26"/>
      <c r="CA946" s="26"/>
    </row>
    <row r="947" spans="1:79" ht="15.75" hidden="1">
      <c r="A947" s="109">
        <v>8.0000000000000013E-6</v>
      </c>
      <c r="B947" s="110">
        <f t="shared" si="56"/>
        <v>947</v>
      </c>
      <c r="C947" s="111" t="str">
        <f>IF(C$1=[1]!T.in.A[[#This Row],[oo2]],1,"")</f>
        <v/>
      </c>
      <c r="D947" s="112" t="str">
        <f>IF(Tab.o1[[#This Row],[a1]]=1,IF(SUM(C947:C948)=0,0,IF(SUM(C946:C947)=1,1,IF(SUM(C946:C948)&gt;1,D946+1,0))),"")</f>
        <v/>
      </c>
      <c r="E947" s="113" t="str">
        <f>IF(Tab.o1[[#This Row],[a1]]=1,[1]!T.in.A[[#This Row],[oo1]],"")</f>
        <v/>
      </c>
      <c r="F947" s="113" t="str">
        <f>IF(Tab.o1[[#This Row],[a1]]=1,[1]!T.in.A[[#This Row],[pp1]],"")</f>
        <v/>
      </c>
      <c r="G947" s="114" t="str">
        <f>IF(Tab.o1[[#This Row],[a1]]=1,G$2+IF(G$1=1,0,Tab.o1[[#This Row],[.x1]])+[1]!T.in.A[[#This Row],[oo3]],"")</f>
        <v/>
      </c>
      <c r="H947" s="115" t="str">
        <f>IF(Tab.o1[[#This Row],[a1]]=1,IF(H$2=0,0,IF(G$1=1,0,Tab.o1[[#This Row],[.x1]])+[1]!T.in.A[[#This Row],[oo4]]),"")</f>
        <v/>
      </c>
      <c r="I947" s="116" t="str">
        <f>IF(Tab.o1[[#This Row],[a1]]=1,IF(J$2=0,Tab.o1[[#This Row],[MED]],Tab.o1[[#This Row],[MOD]]),"")</f>
        <v/>
      </c>
      <c r="J947" s="116" t="str">
        <f>IF(Tab.o1[[#This Row],[a1]]=1,((Tab.o1[[#This Row],[DIF_Target.]]-AVERAGE(Tab.o1[DIF_Target.]))/_xlfn.STDEV.P(Tab.o1[DIF_Target.])),"")</f>
        <v/>
      </c>
      <c r="K947" s="117" t="str">
        <f>IF(Tab.o1[[#This Row],[a1]]=1,IF(J$2=0,Tab.o1[[#This Row],[MOD]]-Tab.o1[[#This Row],[B]],IF(J$2=1,0,-Tab.o1[[#This Row],[MED]])+Tab.o1[[#This Row],[B]]),"")</f>
        <v/>
      </c>
      <c r="L947" s="117" t="str">
        <f ca="1">IF(Tab.o1[[#This Row],[DIF_Target]]=0,IF(L$2=0,Tab.o1[[#This Row],[DIF_Target]],AVERAGE(OFFSET(Tab.o1[[#This Row],[DIF_Target]],1,0,L$3,1)))/3,Tab.o1[[#This Row],[DIF_Target]])</f>
        <v/>
      </c>
      <c r="M947" s="118" t="str">
        <f>IF(Tab.o1[[#This Row],[a1]]=1,NORMSDIST(Tab.o1[[#This Row],[Za]]),"")</f>
        <v/>
      </c>
      <c r="N947" s="119" t="str">
        <f>IF(Tab.o1[[#This Row],[a1]]=1,((Tab.o1[[#This Row],[MedMod]]-AVERAGE(Tab.o1[MedMod]))/_xlfn.STDEV.P(Tab.o1[MedMod])*H$1205)+G$1205,"")</f>
        <v/>
      </c>
      <c r="O947" s="141" t="str">
        <f>IF(Tab.o1[[#This Row],[a1]]=1,Tab.o1[[#This Row],[Zb]]*_xlfn.STDEV.P(Tab.o1[MedMod])+AVERAGE(Tab.o1[MedMod]),"")</f>
        <v/>
      </c>
      <c r="P947" s="117" t="str">
        <f ca="1">IF(Tab.o1[[#This Row],[B]]=0,AVERAGE(OFFSET(Tab.o1[[#This Row],[B]],1,0,L$3,1)),Tab.o1[[#This Row],[B]])</f>
        <v/>
      </c>
      <c r="Q947" s="121" t="str">
        <f>IF(Tab.o1[[#This Row],[a1]]=1,NORMSDIST(Tab.o1[[#This Row],[Zb]]),"")</f>
        <v/>
      </c>
      <c r="R947" s="122" t="str">
        <f>IF(Tab.o1[[#This Row],[a1]]=1,((Tab.o1[[#This Row],[MedMod]]-AVERAGE(Tab.o1[MedMod]))/_xlfn.STDEV.P(Tab.o1[MedMod])*H$1203)+G$1203,"")</f>
        <v/>
      </c>
      <c r="S947" s="122" t="str">
        <f>IF(Tab.o1[[#This Row],[a1]]=1,((Tab.o1[[#This Row],[MedMod]]-AVERAGE(Tab.o1[MedMod]))/_xlfn.STDEV.P(Tab.o1[MedMod])*H$1204)+G$1204,"")</f>
        <v/>
      </c>
      <c r="T947" s="123" t="str">
        <f>IF(Tab.o1[[#This Row],[a1]]=1,Tab.o1[[#This Row],[Z-]]*_xlfn.STDEV.P(Tab.o1[B])+AVERAGE(Tab.o1[B]),"")</f>
        <v/>
      </c>
      <c r="U947" s="123" t="str">
        <f>IF(Tab.o1[[#This Row],[a1]]=1,Tab.o1[[#This Row],[z+]]*_xlfn.STDEV.P(Tab.o1[B])+AVERAGE(Tab.o1[B]),"")</f>
        <v/>
      </c>
      <c r="V947" s="124" t="str">
        <f>IF(Tab.o1[[#This Row],[a1]]=1,ABS((ABS(Tab.o1[[#This Row],[Red]]-Tab.o1[[#This Row],[Blue]]))),"")</f>
        <v/>
      </c>
      <c r="W947" s="125" t="str">
        <f>IF(Tab.o1[[#This Row],[a1]]=1,IF(W$3=0,1,Tab.o1[[#This Row],[Amp.]]*1/_xlfn.MINIFS(Tab.o1[Amp.],Tab.o1[Amp.],"&lt;&gt;0")),"")</f>
        <v/>
      </c>
      <c r="X947" s="126" t="str">
        <f>IF(Tab.o1[[#This Row],[a1]]=1,IF(ISNUMBER(Tab.o1[[#This Row],[i.]]),NORMDIST(Tab.o1[[#This Row],[Za]],0,1,FALSE)*Tab.o1[[#This Row],[i.]],AP$3),"")</f>
        <v/>
      </c>
      <c r="Y947" s="126" t="str">
        <f>IF(Tab.o1[[#This Row],[a1]]=1,0.01+0.94*Tab.o1[[#This Row],[PDF]]/MAX(Tab.o1[PDF]),"")</f>
        <v/>
      </c>
      <c r="Z947" s="126" t="str">
        <f>IF(Tab.o1[[#This Row],[a1]]=1,0.01+0.94*Tab.o1[[#This Row],[W1_PDF]]/MAX(Tab.o1[W1_PDF]),"")</f>
        <v/>
      </c>
      <c r="AA947" s="118" t="str">
        <f>IF(Tab.o1[[#This Row],[a1]]=1,ABS([1]!T.in.A[[#This Row],[oo6]]),"")</f>
        <v/>
      </c>
      <c r="AB947" s="127" t="str">
        <f>IF(Tab.o1[[#This Row],[a1]]=1,IF(AE$3=0,"",IF(AB$3=0,ABS([1]!T.in.A[[#This Row],[oo9]]),ABS(Tab.o1[[#This Row],[DIF_Target.]]*Tab.o1[[#This Row],[W1_PDF]]))),"")</f>
        <v/>
      </c>
      <c r="AC947" s="127" t="str">
        <f>IF(G$1=1,"",IF(Tab.o1[[#This Row],[a1]]=1,Tab.o1[[#This Row],[Wr]]^2,""))</f>
        <v/>
      </c>
      <c r="AD947" s="118" t="str">
        <f>IF(Tab.o1[[#This Row],[a1]]=1,IF(AE$3=0,"",Tab.o1[[#This Row],[Wr2]]/SUM(Tab.o1[Wr2])),"")</f>
        <v/>
      </c>
      <c r="AE947" s="128" t="str">
        <f>IF(Tab.o1[[#This Row],[a1]]=1,[1]!T.in.A[[#This Row],[oo10]],"")</f>
        <v/>
      </c>
      <c r="AF947" s="118" t="str">
        <f>IF(Tab.o1[[#This Row],[a1]]=1,ABS(Tab.o1[[#This Row],[DIF_Target.]]*Tab.o1[[#This Row],[PDF2]]*Tab.o1[[#This Row],[IN]]),"")</f>
        <v/>
      </c>
      <c r="AG947" s="129" t="str">
        <f>IF(Tab.o1[[#This Row],[a1]]=1,Tab.o1[[#This Row],[rW]]^2,"")</f>
        <v/>
      </c>
      <c r="AH947" s="130" t="str">
        <f>IF(Tab.o1[[#This Row],[a1]]=1,IF(AH$3=0,Tab.o1[[#This Row],[rW2]],0.01+0.94*Tab.o1[[#This Row],[rW2]]/SUM(Tab.o1[rW2])),"")</f>
        <v/>
      </c>
      <c r="AI947" s="128" t="str">
        <f>IF(Tab.o1[[#This Row],[a1]]=1,1/Tab.o1[[#This Row],[PDF]],"")</f>
        <v/>
      </c>
      <c r="AJ947" s="131" t="str">
        <f>IF(Tab.o1[[#This Row],[a1]]=1,[1]!T_AA[[#This Row],[IN'']]*[1]!T_AA[[#This Row],[Qde'']],"")</f>
        <v/>
      </c>
      <c r="AK947" s="132" t="str">
        <f>IF(Tab.o1[[#This Row],[a1]]=1,IF(AK$1=1,Tab.o1[[#This Row],[MED]]+Tab.o1[[#This Row],[MOD]]-Tab.o1[[#This Row],[MED]],""),"")</f>
        <v/>
      </c>
      <c r="AL947" s="133" t="str">
        <f>IF(Tab.o1[[#This Row],[a1]]=1,[1]!T.in.A[[#This Row],[oo16]],"")</f>
        <v/>
      </c>
      <c r="AM947" s="133" t="str">
        <f>IF(Tab.o1[[#This Row],[a1]]=1,IF(AM$3=1,[1]!T.in.A[[#This Row],[Σo16]],""),"")</f>
        <v/>
      </c>
      <c r="AN947" s="126" t="str">
        <f>IF(Tab.o1[[#This Row],[a1]]=1,[1]!T.in.A[[#This Row],[Σp5]],"")</f>
        <v/>
      </c>
      <c r="AO947" s="126" t="str">
        <f>IF(Tab.o1[[#This Row],[a1]]=1,IF(AO$3=1,[1]!T.in.A[[#This Row],[Σp5]],""),"")</f>
        <v/>
      </c>
      <c r="AP947" s="110" t="str">
        <f>IF(Tab.o1[[#This Row],[a1]]=1,IF(ISNUMBER(Tab.o1[[#This Row],[i.]]),NORMDIST(Tab.o1[[#This Row],[Za]],0,1,FALSE)*Tab.o1[[#This Row],[i.]],0),"")</f>
        <v/>
      </c>
      <c r="AQ947" s="125" t="str">
        <f>IF(Tab.o1[[#This Row],[a1]]=1,ABS(Tab.o1[[#This Row],[MOD]]-AVERAGE(Tab.o1[MOD])),"")</f>
        <v/>
      </c>
      <c r="AR947" s="134" t="str">
        <f>IF(Tab.o1[[#This Row],[a1]]=1,Tab.o1[[#This Row],[OBS]]/SUM(Tab.o1[OBS]),"")</f>
        <v/>
      </c>
      <c r="AS947" s="135" t="str">
        <f>IF(ISNUMBER(Tab.o1[[#This Row],[a1]]),ROW()-4,"")</f>
        <v/>
      </c>
      <c r="AT947" s="136" t="str">
        <f>Tab.o1[[#This Row],[MOD]]</f>
        <v/>
      </c>
      <c r="AU947" s="137" t="str">
        <f t="shared" si="57"/>
        <v/>
      </c>
      <c r="AV947" s="138" t="str">
        <f t="shared" si="58"/>
        <v/>
      </c>
      <c r="AW947" s="138" t="str">
        <f t="shared" si="59"/>
        <v/>
      </c>
      <c r="AX947" s="139" t="str">
        <f>[1]!T.in.A[[#This Row],[ID_T_manu]]</f>
        <v/>
      </c>
      <c r="AY947" s="140" t="str">
        <f>IF(ISNUMBER(Tab.o1[[#This Row],[a1]]),IF(AND(Tab.o1[[#This Row],[a1]]=1,Tab.o1[[#This Row],[b1]]&lt;=AY$4),#REF!,AY946),"")</f>
        <v/>
      </c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6"/>
      <c r="BO947" s="26"/>
      <c r="BP947" s="26"/>
      <c r="BQ947" s="26"/>
      <c r="BR947" s="26"/>
      <c r="BS947" s="26"/>
      <c r="BT947" s="26"/>
      <c r="BU947" s="26"/>
      <c r="BV947" s="26"/>
      <c r="BW947" s="26"/>
      <c r="BX947" s="26"/>
      <c r="BY947" s="26"/>
      <c r="BZ947" s="26"/>
      <c r="CA947" s="26"/>
    </row>
    <row r="948" spans="1:79" ht="15.75" hidden="1">
      <c r="A948" s="109">
        <v>-1.0000000000000001E-5</v>
      </c>
      <c r="B948" s="110">
        <f t="shared" si="56"/>
        <v>948</v>
      </c>
      <c r="C948" s="111" t="str">
        <f>IF(C$1=[1]!T.in.A[[#This Row],[oo2]],1,"")</f>
        <v/>
      </c>
      <c r="D948" s="112" t="str">
        <f>IF(Tab.o1[[#This Row],[a1]]=1,IF(SUM(C948:C949)=0,0,IF(SUM(C947:C948)=1,1,IF(SUM(C947:C949)&gt;1,D947+1,0))),"")</f>
        <v/>
      </c>
      <c r="E948" s="113" t="str">
        <f>IF(Tab.o1[[#This Row],[a1]]=1,[1]!T.in.A[[#This Row],[oo1]],"")</f>
        <v/>
      </c>
      <c r="F948" s="113" t="str">
        <f>IF(Tab.o1[[#This Row],[a1]]=1,[1]!T.in.A[[#This Row],[pp1]],"")</f>
        <v/>
      </c>
      <c r="G948" s="114" t="str">
        <f>IF(Tab.o1[[#This Row],[a1]]=1,G$2+IF(G$1=1,0,Tab.o1[[#This Row],[.x1]])+[1]!T.in.A[[#This Row],[oo3]],"")</f>
        <v/>
      </c>
      <c r="H948" s="115" t="str">
        <f>IF(Tab.o1[[#This Row],[a1]]=1,IF(H$2=0,0,IF(G$1=1,0,Tab.o1[[#This Row],[.x1]])+[1]!T.in.A[[#This Row],[oo4]]),"")</f>
        <v/>
      </c>
      <c r="I948" s="116" t="str">
        <f>IF(Tab.o1[[#This Row],[a1]]=1,IF(J$2=0,Tab.o1[[#This Row],[MED]],Tab.o1[[#This Row],[MOD]]),"")</f>
        <v/>
      </c>
      <c r="J948" s="116" t="str">
        <f>IF(Tab.o1[[#This Row],[a1]]=1,((Tab.o1[[#This Row],[DIF_Target.]]-AVERAGE(Tab.o1[DIF_Target.]))/_xlfn.STDEV.P(Tab.o1[DIF_Target.])),"")</f>
        <v/>
      </c>
      <c r="K948" s="117" t="str">
        <f>IF(Tab.o1[[#This Row],[a1]]=1,IF(J$2=0,Tab.o1[[#This Row],[MOD]]-Tab.o1[[#This Row],[B]],IF(J$2=1,0,-Tab.o1[[#This Row],[MED]])+Tab.o1[[#This Row],[B]]),"")</f>
        <v/>
      </c>
      <c r="L948" s="117" t="str">
        <f ca="1">IF(Tab.o1[[#This Row],[DIF_Target]]=0,IF(L$2=0,Tab.o1[[#This Row],[DIF_Target]],AVERAGE(OFFSET(Tab.o1[[#This Row],[DIF_Target]],1,0,L$3,1)))/3,Tab.o1[[#This Row],[DIF_Target]])</f>
        <v/>
      </c>
      <c r="M948" s="118" t="str">
        <f>IF(Tab.o1[[#This Row],[a1]]=1,NORMSDIST(Tab.o1[[#This Row],[Za]]),"")</f>
        <v/>
      </c>
      <c r="N948" s="119" t="str">
        <f>IF(Tab.o1[[#This Row],[a1]]=1,((Tab.o1[[#This Row],[MedMod]]-AVERAGE(Tab.o1[MedMod]))/_xlfn.STDEV.P(Tab.o1[MedMod])*H$1205)+G$1205,"")</f>
        <v/>
      </c>
      <c r="O948" s="141" t="str">
        <f>IF(Tab.o1[[#This Row],[a1]]=1,Tab.o1[[#This Row],[Zb]]*_xlfn.STDEV.P(Tab.o1[MedMod])+AVERAGE(Tab.o1[MedMod]),"")</f>
        <v/>
      </c>
      <c r="P948" s="117" t="str">
        <f ca="1">IF(Tab.o1[[#This Row],[B]]=0,AVERAGE(OFFSET(Tab.o1[[#This Row],[B]],1,0,L$3,1)),Tab.o1[[#This Row],[B]])</f>
        <v/>
      </c>
      <c r="Q948" s="121" t="str">
        <f>IF(Tab.o1[[#This Row],[a1]]=1,NORMSDIST(Tab.o1[[#This Row],[Zb]]),"")</f>
        <v/>
      </c>
      <c r="R948" s="122" t="str">
        <f>IF(Tab.o1[[#This Row],[a1]]=1,((Tab.o1[[#This Row],[MedMod]]-AVERAGE(Tab.o1[MedMod]))/_xlfn.STDEV.P(Tab.o1[MedMod])*H$1203)+G$1203,"")</f>
        <v/>
      </c>
      <c r="S948" s="122" t="str">
        <f>IF(Tab.o1[[#This Row],[a1]]=1,((Tab.o1[[#This Row],[MedMod]]-AVERAGE(Tab.o1[MedMod]))/_xlfn.STDEV.P(Tab.o1[MedMod])*H$1204)+G$1204,"")</f>
        <v/>
      </c>
      <c r="T948" s="123" t="str">
        <f>IF(Tab.o1[[#This Row],[a1]]=1,Tab.o1[[#This Row],[Z-]]*_xlfn.STDEV.P(Tab.o1[B])+AVERAGE(Tab.o1[B]),"")</f>
        <v/>
      </c>
      <c r="U948" s="123" t="str">
        <f>IF(Tab.o1[[#This Row],[a1]]=1,Tab.o1[[#This Row],[z+]]*_xlfn.STDEV.P(Tab.o1[B])+AVERAGE(Tab.o1[B]),"")</f>
        <v/>
      </c>
      <c r="V948" s="124" t="str">
        <f>IF(Tab.o1[[#This Row],[a1]]=1,ABS((ABS(Tab.o1[[#This Row],[Red]]-Tab.o1[[#This Row],[Blue]]))),"")</f>
        <v/>
      </c>
      <c r="W948" s="125" t="str">
        <f>IF(Tab.o1[[#This Row],[a1]]=1,IF(W$3=0,1,Tab.o1[[#This Row],[Amp.]]*1/_xlfn.MINIFS(Tab.o1[Amp.],Tab.o1[Amp.],"&lt;&gt;0")),"")</f>
        <v/>
      </c>
      <c r="X948" s="126" t="str">
        <f>IF(Tab.o1[[#This Row],[a1]]=1,IF(ISNUMBER(Tab.o1[[#This Row],[i.]]),NORMDIST(Tab.o1[[#This Row],[Za]],0,1,FALSE)*Tab.o1[[#This Row],[i.]],AP$3),"")</f>
        <v/>
      </c>
      <c r="Y948" s="126" t="str">
        <f>IF(Tab.o1[[#This Row],[a1]]=1,0.01+0.94*Tab.o1[[#This Row],[PDF]]/MAX(Tab.o1[PDF]),"")</f>
        <v/>
      </c>
      <c r="Z948" s="126" t="str">
        <f>IF(Tab.o1[[#This Row],[a1]]=1,0.01+0.94*Tab.o1[[#This Row],[W1_PDF]]/MAX(Tab.o1[W1_PDF]),"")</f>
        <v/>
      </c>
      <c r="AA948" s="118" t="str">
        <f>IF(Tab.o1[[#This Row],[a1]]=1,ABS([1]!T.in.A[[#This Row],[oo6]]),"")</f>
        <v/>
      </c>
      <c r="AB948" s="127" t="str">
        <f>IF(Tab.o1[[#This Row],[a1]]=1,IF(AE$3=0,"",IF(AB$3=0,ABS([1]!T.in.A[[#This Row],[oo9]]),ABS(Tab.o1[[#This Row],[DIF_Target.]]*Tab.o1[[#This Row],[W1_PDF]]))),"")</f>
        <v/>
      </c>
      <c r="AC948" s="127" t="str">
        <f>IF(G$1=1,"",IF(Tab.o1[[#This Row],[a1]]=1,Tab.o1[[#This Row],[Wr]]^2,""))</f>
        <v/>
      </c>
      <c r="AD948" s="118" t="str">
        <f>IF(Tab.o1[[#This Row],[a1]]=1,IF(AE$3=0,"",Tab.o1[[#This Row],[Wr2]]/SUM(Tab.o1[Wr2])),"")</f>
        <v/>
      </c>
      <c r="AE948" s="128" t="str">
        <f>IF(Tab.o1[[#This Row],[a1]]=1,[1]!T.in.A[[#This Row],[oo10]],"")</f>
        <v/>
      </c>
      <c r="AF948" s="118" t="str">
        <f>IF(Tab.o1[[#This Row],[a1]]=1,ABS(Tab.o1[[#This Row],[DIF_Target.]]*Tab.o1[[#This Row],[PDF2]]*Tab.o1[[#This Row],[IN]]),"")</f>
        <v/>
      </c>
      <c r="AG948" s="129" t="str">
        <f>IF(Tab.o1[[#This Row],[a1]]=1,Tab.o1[[#This Row],[rW]]^2,"")</f>
        <v/>
      </c>
      <c r="AH948" s="130" t="str">
        <f>IF(Tab.o1[[#This Row],[a1]]=1,IF(AH$3=0,Tab.o1[[#This Row],[rW2]],0.01+0.94*Tab.o1[[#This Row],[rW2]]/SUM(Tab.o1[rW2])),"")</f>
        <v/>
      </c>
      <c r="AI948" s="128" t="str">
        <f>IF(Tab.o1[[#This Row],[a1]]=1,1/Tab.o1[[#This Row],[PDF]],"")</f>
        <v/>
      </c>
      <c r="AJ948" s="131" t="str">
        <f>IF(Tab.o1[[#This Row],[a1]]=1,[1]!T_AA[[#This Row],[IN'']]*[1]!T_AA[[#This Row],[Qde'']],"")</f>
        <v/>
      </c>
      <c r="AK948" s="132" t="str">
        <f>IF(Tab.o1[[#This Row],[a1]]=1,IF(AK$1=1,Tab.o1[[#This Row],[MED]]+Tab.o1[[#This Row],[MOD]]-Tab.o1[[#This Row],[MED]],""),"")</f>
        <v/>
      </c>
      <c r="AL948" s="133" t="str">
        <f>IF(Tab.o1[[#This Row],[a1]]=1,[1]!T.in.A[[#This Row],[oo16]],"")</f>
        <v/>
      </c>
      <c r="AM948" s="133" t="str">
        <f>IF(Tab.o1[[#This Row],[a1]]=1,IF(AM$3=1,[1]!T.in.A[[#This Row],[Σo16]],""),"")</f>
        <v/>
      </c>
      <c r="AN948" s="126" t="str">
        <f>IF(Tab.o1[[#This Row],[a1]]=1,[1]!T.in.A[[#This Row],[Σp5]],"")</f>
        <v/>
      </c>
      <c r="AO948" s="126" t="str">
        <f>IF(Tab.o1[[#This Row],[a1]]=1,IF(AO$3=1,[1]!T.in.A[[#This Row],[Σp5]],""),"")</f>
        <v/>
      </c>
      <c r="AP948" s="110" t="str">
        <f>IF(Tab.o1[[#This Row],[a1]]=1,IF(ISNUMBER(Tab.o1[[#This Row],[i.]]),NORMDIST(Tab.o1[[#This Row],[Za]],0,1,FALSE)*Tab.o1[[#This Row],[i.]],0),"")</f>
        <v/>
      </c>
      <c r="AQ948" s="125" t="str">
        <f>IF(Tab.o1[[#This Row],[a1]]=1,ABS(Tab.o1[[#This Row],[MOD]]-AVERAGE(Tab.o1[MOD])),"")</f>
        <v/>
      </c>
      <c r="AR948" s="134" t="str">
        <f>IF(Tab.o1[[#This Row],[a1]]=1,Tab.o1[[#This Row],[OBS]]/SUM(Tab.o1[OBS]),"")</f>
        <v/>
      </c>
      <c r="AS948" s="135" t="str">
        <f>IF(ISNUMBER(Tab.o1[[#This Row],[a1]]),ROW()-4,"")</f>
        <v/>
      </c>
      <c r="AT948" s="136" t="str">
        <f>Tab.o1[[#This Row],[MOD]]</f>
        <v/>
      </c>
      <c r="AU948" s="137" t="str">
        <f t="shared" si="57"/>
        <v/>
      </c>
      <c r="AV948" s="138" t="str">
        <f t="shared" si="58"/>
        <v/>
      </c>
      <c r="AW948" s="138" t="str">
        <f t="shared" si="59"/>
        <v/>
      </c>
      <c r="AX948" s="139" t="str">
        <f>[1]!T.in.A[[#This Row],[ID_T_manu]]</f>
        <v/>
      </c>
      <c r="AY948" s="140" t="str">
        <f>IF(ISNUMBER(Tab.o1[[#This Row],[a1]]),IF(AND(Tab.o1[[#This Row],[a1]]=1,Tab.o1[[#This Row],[b1]]&lt;=AY$4),#REF!,AY947),"")</f>
        <v/>
      </c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6"/>
      <c r="BO948" s="26"/>
      <c r="BP948" s="26"/>
      <c r="BQ948" s="26"/>
      <c r="BR948" s="26"/>
      <c r="BS948" s="26"/>
      <c r="BT948" s="26"/>
      <c r="BU948" s="26"/>
      <c r="BV948" s="26"/>
      <c r="BW948" s="26"/>
      <c r="BX948" s="26"/>
      <c r="BY948" s="26"/>
      <c r="BZ948" s="26"/>
      <c r="CA948" s="26"/>
    </row>
    <row r="949" spans="1:79" ht="15.75" hidden="1">
      <c r="A949" s="109">
        <v>-2.0000000000000003E-6</v>
      </c>
      <c r="B949" s="110">
        <f t="shared" si="56"/>
        <v>949</v>
      </c>
      <c r="C949" s="111" t="str">
        <f>IF(C$1=[1]!T.in.A[[#This Row],[oo2]],1,"")</f>
        <v/>
      </c>
      <c r="D949" s="112" t="str">
        <f>IF(Tab.o1[[#This Row],[a1]]=1,IF(SUM(C949:C950)=0,0,IF(SUM(C948:C949)=1,1,IF(SUM(C948:C950)&gt;1,D948+1,0))),"")</f>
        <v/>
      </c>
      <c r="E949" s="113" t="str">
        <f>IF(Tab.o1[[#This Row],[a1]]=1,[1]!T.in.A[[#This Row],[oo1]],"")</f>
        <v/>
      </c>
      <c r="F949" s="113" t="str">
        <f>IF(Tab.o1[[#This Row],[a1]]=1,[1]!T.in.A[[#This Row],[pp1]],"")</f>
        <v/>
      </c>
      <c r="G949" s="114" t="str">
        <f>IF(Tab.o1[[#This Row],[a1]]=1,G$2+IF(G$1=1,0,Tab.o1[[#This Row],[.x1]])+[1]!T.in.A[[#This Row],[oo3]],"")</f>
        <v/>
      </c>
      <c r="H949" s="115" t="str">
        <f>IF(Tab.o1[[#This Row],[a1]]=1,IF(H$2=0,0,IF(G$1=1,0,Tab.o1[[#This Row],[.x1]])+[1]!T.in.A[[#This Row],[oo4]]),"")</f>
        <v/>
      </c>
      <c r="I949" s="116" t="str">
        <f>IF(Tab.o1[[#This Row],[a1]]=1,IF(J$2=0,Tab.o1[[#This Row],[MED]],Tab.o1[[#This Row],[MOD]]),"")</f>
        <v/>
      </c>
      <c r="J949" s="116" t="str">
        <f>IF(Tab.o1[[#This Row],[a1]]=1,((Tab.o1[[#This Row],[DIF_Target.]]-AVERAGE(Tab.o1[DIF_Target.]))/_xlfn.STDEV.P(Tab.o1[DIF_Target.])),"")</f>
        <v/>
      </c>
      <c r="K949" s="117" t="str">
        <f>IF(Tab.o1[[#This Row],[a1]]=1,IF(J$2=0,Tab.o1[[#This Row],[MOD]]-Tab.o1[[#This Row],[B]],IF(J$2=1,0,-Tab.o1[[#This Row],[MED]])+Tab.o1[[#This Row],[B]]),"")</f>
        <v/>
      </c>
      <c r="L949" s="117" t="str">
        <f ca="1">IF(Tab.o1[[#This Row],[DIF_Target]]=0,IF(L$2=0,Tab.o1[[#This Row],[DIF_Target]],AVERAGE(OFFSET(Tab.o1[[#This Row],[DIF_Target]],1,0,L$3,1)))/3,Tab.o1[[#This Row],[DIF_Target]])</f>
        <v/>
      </c>
      <c r="M949" s="118" t="str">
        <f>IF(Tab.o1[[#This Row],[a1]]=1,NORMSDIST(Tab.o1[[#This Row],[Za]]),"")</f>
        <v/>
      </c>
      <c r="N949" s="119" t="str">
        <f>IF(Tab.o1[[#This Row],[a1]]=1,((Tab.o1[[#This Row],[MedMod]]-AVERAGE(Tab.o1[MedMod]))/_xlfn.STDEV.P(Tab.o1[MedMod])*H$1205)+G$1205,"")</f>
        <v/>
      </c>
      <c r="O949" s="141" t="str">
        <f>IF(Tab.o1[[#This Row],[a1]]=1,Tab.o1[[#This Row],[Zb]]*_xlfn.STDEV.P(Tab.o1[MedMod])+AVERAGE(Tab.o1[MedMod]),"")</f>
        <v/>
      </c>
      <c r="P949" s="117" t="str">
        <f ca="1">IF(Tab.o1[[#This Row],[B]]=0,AVERAGE(OFFSET(Tab.o1[[#This Row],[B]],1,0,L$3,1)),Tab.o1[[#This Row],[B]])</f>
        <v/>
      </c>
      <c r="Q949" s="121" t="str">
        <f>IF(Tab.o1[[#This Row],[a1]]=1,NORMSDIST(Tab.o1[[#This Row],[Zb]]),"")</f>
        <v/>
      </c>
      <c r="R949" s="122" t="str">
        <f>IF(Tab.o1[[#This Row],[a1]]=1,((Tab.o1[[#This Row],[MedMod]]-AVERAGE(Tab.o1[MedMod]))/_xlfn.STDEV.P(Tab.o1[MedMod])*H$1203)+G$1203,"")</f>
        <v/>
      </c>
      <c r="S949" s="122" t="str">
        <f>IF(Tab.o1[[#This Row],[a1]]=1,((Tab.o1[[#This Row],[MedMod]]-AVERAGE(Tab.o1[MedMod]))/_xlfn.STDEV.P(Tab.o1[MedMod])*H$1204)+G$1204,"")</f>
        <v/>
      </c>
      <c r="T949" s="123" t="str">
        <f>IF(Tab.o1[[#This Row],[a1]]=1,Tab.o1[[#This Row],[Z-]]*_xlfn.STDEV.P(Tab.o1[B])+AVERAGE(Tab.o1[B]),"")</f>
        <v/>
      </c>
      <c r="U949" s="123" t="str">
        <f>IF(Tab.o1[[#This Row],[a1]]=1,Tab.o1[[#This Row],[z+]]*_xlfn.STDEV.P(Tab.o1[B])+AVERAGE(Tab.o1[B]),"")</f>
        <v/>
      </c>
      <c r="V949" s="124" t="str">
        <f>IF(Tab.o1[[#This Row],[a1]]=1,ABS((ABS(Tab.o1[[#This Row],[Red]]-Tab.o1[[#This Row],[Blue]]))),"")</f>
        <v/>
      </c>
      <c r="W949" s="125" t="str">
        <f>IF(Tab.o1[[#This Row],[a1]]=1,IF(W$3=0,1,Tab.o1[[#This Row],[Amp.]]*1/_xlfn.MINIFS(Tab.o1[Amp.],Tab.o1[Amp.],"&lt;&gt;0")),"")</f>
        <v/>
      </c>
      <c r="X949" s="126" t="str">
        <f>IF(Tab.o1[[#This Row],[a1]]=1,IF(ISNUMBER(Tab.o1[[#This Row],[i.]]),NORMDIST(Tab.o1[[#This Row],[Za]],0,1,FALSE)*Tab.o1[[#This Row],[i.]],AP$3),"")</f>
        <v/>
      </c>
      <c r="Y949" s="126" t="str">
        <f>IF(Tab.o1[[#This Row],[a1]]=1,0.01+0.94*Tab.o1[[#This Row],[PDF]]/MAX(Tab.o1[PDF]),"")</f>
        <v/>
      </c>
      <c r="Z949" s="126" t="str">
        <f>IF(Tab.o1[[#This Row],[a1]]=1,0.01+0.94*Tab.o1[[#This Row],[W1_PDF]]/MAX(Tab.o1[W1_PDF]),"")</f>
        <v/>
      </c>
      <c r="AA949" s="118" t="str">
        <f>IF(Tab.o1[[#This Row],[a1]]=1,ABS([1]!T.in.A[[#This Row],[oo6]]),"")</f>
        <v/>
      </c>
      <c r="AB949" s="127" t="str">
        <f>IF(Tab.o1[[#This Row],[a1]]=1,IF(AE$3=0,"",IF(AB$3=0,ABS([1]!T.in.A[[#This Row],[oo9]]),ABS(Tab.o1[[#This Row],[DIF_Target.]]*Tab.o1[[#This Row],[W1_PDF]]))),"")</f>
        <v/>
      </c>
      <c r="AC949" s="127" t="str">
        <f>IF(G$1=1,"",IF(Tab.o1[[#This Row],[a1]]=1,Tab.o1[[#This Row],[Wr]]^2,""))</f>
        <v/>
      </c>
      <c r="AD949" s="118" t="str">
        <f>IF(Tab.o1[[#This Row],[a1]]=1,IF(AE$3=0,"",Tab.o1[[#This Row],[Wr2]]/SUM(Tab.o1[Wr2])),"")</f>
        <v/>
      </c>
      <c r="AE949" s="128" t="str">
        <f>IF(Tab.o1[[#This Row],[a1]]=1,[1]!T.in.A[[#This Row],[oo10]],"")</f>
        <v/>
      </c>
      <c r="AF949" s="118" t="str">
        <f>IF(Tab.o1[[#This Row],[a1]]=1,ABS(Tab.o1[[#This Row],[DIF_Target.]]*Tab.o1[[#This Row],[PDF2]]*Tab.o1[[#This Row],[IN]]),"")</f>
        <v/>
      </c>
      <c r="AG949" s="129" t="str">
        <f>IF(Tab.o1[[#This Row],[a1]]=1,Tab.o1[[#This Row],[rW]]^2,"")</f>
        <v/>
      </c>
      <c r="AH949" s="130" t="str">
        <f>IF(Tab.o1[[#This Row],[a1]]=1,IF(AH$3=0,Tab.o1[[#This Row],[rW2]],0.01+0.94*Tab.o1[[#This Row],[rW2]]/SUM(Tab.o1[rW2])),"")</f>
        <v/>
      </c>
      <c r="AI949" s="128" t="str">
        <f>IF(Tab.o1[[#This Row],[a1]]=1,1/Tab.o1[[#This Row],[PDF]],"")</f>
        <v/>
      </c>
      <c r="AJ949" s="131" t="str">
        <f>IF(Tab.o1[[#This Row],[a1]]=1,[1]!T_AA[[#This Row],[IN'']]*[1]!T_AA[[#This Row],[Qde'']],"")</f>
        <v/>
      </c>
      <c r="AK949" s="132" t="str">
        <f>IF(Tab.o1[[#This Row],[a1]]=1,IF(AK$1=1,Tab.o1[[#This Row],[MED]]+Tab.o1[[#This Row],[MOD]]-Tab.o1[[#This Row],[MED]],""),"")</f>
        <v/>
      </c>
      <c r="AL949" s="133" t="str">
        <f>IF(Tab.o1[[#This Row],[a1]]=1,[1]!T.in.A[[#This Row],[oo16]],"")</f>
        <v/>
      </c>
      <c r="AM949" s="133" t="str">
        <f>IF(Tab.o1[[#This Row],[a1]]=1,IF(AM$3=1,[1]!T.in.A[[#This Row],[Σo16]],""),"")</f>
        <v/>
      </c>
      <c r="AN949" s="126" t="str">
        <f>IF(Tab.o1[[#This Row],[a1]]=1,[1]!T.in.A[[#This Row],[Σp5]],"")</f>
        <v/>
      </c>
      <c r="AO949" s="126" t="str">
        <f>IF(Tab.o1[[#This Row],[a1]]=1,IF(AO$3=1,[1]!T.in.A[[#This Row],[Σp5]],""),"")</f>
        <v/>
      </c>
      <c r="AP949" s="110" t="str">
        <f>IF(Tab.o1[[#This Row],[a1]]=1,IF(ISNUMBER(Tab.o1[[#This Row],[i.]]),NORMDIST(Tab.o1[[#This Row],[Za]],0,1,FALSE)*Tab.o1[[#This Row],[i.]],0),"")</f>
        <v/>
      </c>
      <c r="AQ949" s="125" t="str">
        <f>IF(Tab.o1[[#This Row],[a1]]=1,ABS(Tab.o1[[#This Row],[MOD]]-AVERAGE(Tab.o1[MOD])),"")</f>
        <v/>
      </c>
      <c r="AR949" s="134" t="str">
        <f>IF(Tab.o1[[#This Row],[a1]]=1,Tab.o1[[#This Row],[OBS]]/SUM(Tab.o1[OBS]),"")</f>
        <v/>
      </c>
      <c r="AS949" s="135" t="str">
        <f>IF(ISNUMBER(Tab.o1[[#This Row],[a1]]),ROW()-4,"")</f>
        <v/>
      </c>
      <c r="AT949" s="136" t="str">
        <f>Tab.o1[[#This Row],[MOD]]</f>
        <v/>
      </c>
      <c r="AU949" s="137" t="str">
        <f t="shared" si="57"/>
        <v/>
      </c>
      <c r="AV949" s="138" t="str">
        <f t="shared" si="58"/>
        <v/>
      </c>
      <c r="AW949" s="138" t="str">
        <f t="shared" si="59"/>
        <v/>
      </c>
      <c r="AX949" s="139" t="str">
        <f>[1]!T.in.A[[#This Row],[ID_T_manu]]</f>
        <v/>
      </c>
      <c r="AY949" s="140" t="str">
        <f>IF(ISNUMBER(Tab.o1[[#This Row],[a1]]),IF(AND(Tab.o1[[#This Row],[a1]]=1,Tab.o1[[#This Row],[b1]]&lt;=AY$4),#REF!,AY948),"")</f>
        <v/>
      </c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6"/>
      <c r="BO949" s="26"/>
      <c r="BP949" s="26"/>
      <c r="BQ949" s="26"/>
      <c r="BR949" s="26"/>
      <c r="BS949" s="26"/>
      <c r="BT949" s="26"/>
      <c r="BU949" s="26"/>
      <c r="BV949" s="26"/>
      <c r="BW949" s="26"/>
      <c r="BX949" s="26"/>
      <c r="BY949" s="26"/>
      <c r="BZ949" s="26"/>
      <c r="CA949" s="26"/>
    </row>
    <row r="950" spans="1:79" ht="15.75" hidden="1">
      <c r="A950" s="109">
        <v>1.0000000000000002E-6</v>
      </c>
      <c r="B950" s="110">
        <f t="shared" si="56"/>
        <v>950</v>
      </c>
      <c r="C950" s="111" t="str">
        <f>IF(C$1=[1]!T.in.A[[#This Row],[oo2]],1,"")</f>
        <v/>
      </c>
      <c r="D950" s="112" t="str">
        <f>IF(Tab.o1[[#This Row],[a1]]=1,IF(SUM(C950:C951)=0,0,IF(SUM(C949:C950)=1,1,IF(SUM(C949:C951)&gt;1,D949+1,0))),"")</f>
        <v/>
      </c>
      <c r="E950" s="113" t="str">
        <f>IF(Tab.o1[[#This Row],[a1]]=1,[1]!T.in.A[[#This Row],[oo1]],"")</f>
        <v/>
      </c>
      <c r="F950" s="113" t="str">
        <f>IF(Tab.o1[[#This Row],[a1]]=1,[1]!T.in.A[[#This Row],[pp1]],"")</f>
        <v/>
      </c>
      <c r="G950" s="114" t="str">
        <f>IF(Tab.o1[[#This Row],[a1]]=1,G$2+IF(G$1=1,0,Tab.o1[[#This Row],[.x1]])+[1]!T.in.A[[#This Row],[oo3]],"")</f>
        <v/>
      </c>
      <c r="H950" s="115" t="str">
        <f>IF(Tab.o1[[#This Row],[a1]]=1,IF(H$2=0,0,IF(G$1=1,0,Tab.o1[[#This Row],[.x1]])+[1]!T.in.A[[#This Row],[oo4]]),"")</f>
        <v/>
      </c>
      <c r="I950" s="116" t="str">
        <f>IF(Tab.o1[[#This Row],[a1]]=1,IF(J$2=0,Tab.o1[[#This Row],[MED]],Tab.o1[[#This Row],[MOD]]),"")</f>
        <v/>
      </c>
      <c r="J950" s="116" t="str">
        <f>IF(Tab.o1[[#This Row],[a1]]=1,((Tab.o1[[#This Row],[DIF_Target.]]-AVERAGE(Tab.o1[DIF_Target.]))/_xlfn.STDEV.P(Tab.o1[DIF_Target.])),"")</f>
        <v/>
      </c>
      <c r="K950" s="117" t="str">
        <f>IF(Tab.o1[[#This Row],[a1]]=1,IF(J$2=0,Tab.o1[[#This Row],[MOD]]-Tab.o1[[#This Row],[B]],IF(J$2=1,0,-Tab.o1[[#This Row],[MED]])+Tab.o1[[#This Row],[B]]),"")</f>
        <v/>
      </c>
      <c r="L950" s="117" t="str">
        <f ca="1">IF(Tab.o1[[#This Row],[DIF_Target]]=0,IF(L$2=0,Tab.o1[[#This Row],[DIF_Target]],AVERAGE(OFFSET(Tab.o1[[#This Row],[DIF_Target]],1,0,L$3,1)))/3,Tab.o1[[#This Row],[DIF_Target]])</f>
        <v/>
      </c>
      <c r="M950" s="118" t="str">
        <f>IF(Tab.o1[[#This Row],[a1]]=1,NORMSDIST(Tab.o1[[#This Row],[Za]]),"")</f>
        <v/>
      </c>
      <c r="N950" s="119" t="str">
        <f>IF(Tab.o1[[#This Row],[a1]]=1,((Tab.o1[[#This Row],[MedMod]]-AVERAGE(Tab.o1[MedMod]))/_xlfn.STDEV.P(Tab.o1[MedMod])*H$1205)+G$1205,"")</f>
        <v/>
      </c>
      <c r="O950" s="141" t="str">
        <f>IF(Tab.o1[[#This Row],[a1]]=1,Tab.o1[[#This Row],[Zb]]*_xlfn.STDEV.P(Tab.o1[MedMod])+AVERAGE(Tab.o1[MedMod]),"")</f>
        <v/>
      </c>
      <c r="P950" s="117" t="str">
        <f ca="1">IF(Tab.o1[[#This Row],[B]]=0,AVERAGE(OFFSET(Tab.o1[[#This Row],[B]],1,0,L$3,1)),Tab.o1[[#This Row],[B]])</f>
        <v/>
      </c>
      <c r="Q950" s="121" t="str">
        <f>IF(Tab.o1[[#This Row],[a1]]=1,NORMSDIST(Tab.o1[[#This Row],[Zb]]),"")</f>
        <v/>
      </c>
      <c r="R950" s="122" t="str">
        <f>IF(Tab.o1[[#This Row],[a1]]=1,((Tab.o1[[#This Row],[MedMod]]-AVERAGE(Tab.o1[MedMod]))/_xlfn.STDEV.P(Tab.o1[MedMod])*H$1203)+G$1203,"")</f>
        <v/>
      </c>
      <c r="S950" s="122" t="str">
        <f>IF(Tab.o1[[#This Row],[a1]]=1,((Tab.o1[[#This Row],[MedMod]]-AVERAGE(Tab.o1[MedMod]))/_xlfn.STDEV.P(Tab.o1[MedMod])*H$1204)+G$1204,"")</f>
        <v/>
      </c>
      <c r="T950" s="123" t="str">
        <f>IF(Tab.o1[[#This Row],[a1]]=1,Tab.o1[[#This Row],[Z-]]*_xlfn.STDEV.P(Tab.o1[B])+AVERAGE(Tab.o1[B]),"")</f>
        <v/>
      </c>
      <c r="U950" s="123" t="str">
        <f>IF(Tab.o1[[#This Row],[a1]]=1,Tab.o1[[#This Row],[z+]]*_xlfn.STDEV.P(Tab.o1[B])+AVERAGE(Tab.o1[B]),"")</f>
        <v/>
      </c>
      <c r="V950" s="124" t="str">
        <f>IF(Tab.o1[[#This Row],[a1]]=1,ABS((ABS(Tab.o1[[#This Row],[Red]]-Tab.o1[[#This Row],[Blue]]))),"")</f>
        <v/>
      </c>
      <c r="W950" s="125" t="str">
        <f>IF(Tab.o1[[#This Row],[a1]]=1,IF(W$3=0,1,Tab.o1[[#This Row],[Amp.]]*1/_xlfn.MINIFS(Tab.o1[Amp.],Tab.o1[Amp.],"&lt;&gt;0")),"")</f>
        <v/>
      </c>
      <c r="X950" s="126" t="str">
        <f>IF(Tab.o1[[#This Row],[a1]]=1,IF(ISNUMBER(Tab.o1[[#This Row],[i.]]),NORMDIST(Tab.o1[[#This Row],[Za]],0,1,FALSE)*Tab.o1[[#This Row],[i.]],AP$3),"")</f>
        <v/>
      </c>
      <c r="Y950" s="126" t="str">
        <f>IF(Tab.o1[[#This Row],[a1]]=1,0.01+0.94*Tab.o1[[#This Row],[PDF]]/MAX(Tab.o1[PDF]),"")</f>
        <v/>
      </c>
      <c r="Z950" s="126" t="str">
        <f>IF(Tab.o1[[#This Row],[a1]]=1,0.01+0.94*Tab.o1[[#This Row],[W1_PDF]]/MAX(Tab.o1[W1_PDF]),"")</f>
        <v/>
      </c>
      <c r="AA950" s="118" t="str">
        <f>IF(Tab.o1[[#This Row],[a1]]=1,ABS([1]!T.in.A[[#This Row],[oo6]]),"")</f>
        <v/>
      </c>
      <c r="AB950" s="127" t="str">
        <f>IF(Tab.o1[[#This Row],[a1]]=1,IF(AE$3=0,"",IF(AB$3=0,ABS([1]!T.in.A[[#This Row],[oo9]]),ABS(Tab.o1[[#This Row],[DIF_Target.]]*Tab.o1[[#This Row],[W1_PDF]]))),"")</f>
        <v/>
      </c>
      <c r="AC950" s="127" t="str">
        <f>IF(G$1=1,"",IF(Tab.o1[[#This Row],[a1]]=1,Tab.o1[[#This Row],[Wr]]^2,""))</f>
        <v/>
      </c>
      <c r="AD950" s="118" t="str">
        <f>IF(Tab.o1[[#This Row],[a1]]=1,IF(AE$3=0,"",Tab.o1[[#This Row],[Wr2]]/SUM(Tab.o1[Wr2])),"")</f>
        <v/>
      </c>
      <c r="AE950" s="128" t="str">
        <f>IF(Tab.o1[[#This Row],[a1]]=1,[1]!T.in.A[[#This Row],[oo10]],"")</f>
        <v/>
      </c>
      <c r="AF950" s="118" t="str">
        <f>IF(Tab.o1[[#This Row],[a1]]=1,ABS(Tab.o1[[#This Row],[DIF_Target.]]*Tab.o1[[#This Row],[PDF2]]*Tab.o1[[#This Row],[IN]]),"")</f>
        <v/>
      </c>
      <c r="AG950" s="129" t="str">
        <f>IF(Tab.o1[[#This Row],[a1]]=1,Tab.o1[[#This Row],[rW]]^2,"")</f>
        <v/>
      </c>
      <c r="AH950" s="130" t="str">
        <f>IF(Tab.o1[[#This Row],[a1]]=1,IF(AH$3=0,Tab.o1[[#This Row],[rW2]],0.01+0.94*Tab.o1[[#This Row],[rW2]]/SUM(Tab.o1[rW2])),"")</f>
        <v/>
      </c>
      <c r="AI950" s="128" t="str">
        <f>IF(Tab.o1[[#This Row],[a1]]=1,1/Tab.o1[[#This Row],[PDF]],"")</f>
        <v/>
      </c>
      <c r="AJ950" s="131" t="str">
        <f>IF(Tab.o1[[#This Row],[a1]]=1,[1]!T_AA[[#This Row],[IN'']]*[1]!T_AA[[#This Row],[Qde'']],"")</f>
        <v/>
      </c>
      <c r="AK950" s="132" t="str">
        <f>IF(Tab.o1[[#This Row],[a1]]=1,IF(AK$1=1,Tab.o1[[#This Row],[MED]]+Tab.o1[[#This Row],[MOD]]-Tab.o1[[#This Row],[MED]],""),"")</f>
        <v/>
      </c>
      <c r="AL950" s="133" t="str">
        <f>IF(Tab.o1[[#This Row],[a1]]=1,[1]!T.in.A[[#This Row],[oo16]],"")</f>
        <v/>
      </c>
      <c r="AM950" s="133" t="str">
        <f>IF(Tab.o1[[#This Row],[a1]]=1,IF(AM$3=1,[1]!T.in.A[[#This Row],[Σo16]],""),"")</f>
        <v/>
      </c>
      <c r="AN950" s="126" t="str">
        <f>IF(Tab.o1[[#This Row],[a1]]=1,[1]!T.in.A[[#This Row],[Σp5]],"")</f>
        <v/>
      </c>
      <c r="AO950" s="126" t="str">
        <f>IF(Tab.o1[[#This Row],[a1]]=1,IF(AO$3=1,[1]!T.in.A[[#This Row],[Σp5]],""),"")</f>
        <v/>
      </c>
      <c r="AP950" s="110" t="str">
        <f>IF(Tab.o1[[#This Row],[a1]]=1,IF(ISNUMBER(Tab.o1[[#This Row],[i.]]),NORMDIST(Tab.o1[[#This Row],[Za]],0,1,FALSE)*Tab.o1[[#This Row],[i.]],0),"")</f>
        <v/>
      </c>
      <c r="AQ950" s="125" t="str">
        <f>IF(Tab.o1[[#This Row],[a1]]=1,ABS(Tab.o1[[#This Row],[MOD]]-AVERAGE(Tab.o1[MOD])),"")</f>
        <v/>
      </c>
      <c r="AR950" s="134" t="str">
        <f>IF(Tab.o1[[#This Row],[a1]]=1,Tab.o1[[#This Row],[OBS]]/SUM(Tab.o1[OBS]),"")</f>
        <v/>
      </c>
      <c r="AS950" s="135" t="str">
        <f>IF(ISNUMBER(Tab.o1[[#This Row],[a1]]),ROW()-4,"")</f>
        <v/>
      </c>
      <c r="AT950" s="136" t="str">
        <f>Tab.o1[[#This Row],[MOD]]</f>
        <v/>
      </c>
      <c r="AU950" s="137" t="str">
        <f t="shared" si="57"/>
        <v/>
      </c>
      <c r="AV950" s="138" t="str">
        <f t="shared" si="58"/>
        <v/>
      </c>
      <c r="AW950" s="138" t="str">
        <f t="shared" si="59"/>
        <v/>
      </c>
      <c r="AX950" s="139" t="str">
        <f>[1]!T.in.A[[#This Row],[ID_T_manu]]</f>
        <v/>
      </c>
      <c r="AY950" s="140" t="str">
        <f>IF(ISNUMBER(Tab.o1[[#This Row],[a1]]),IF(AND(Tab.o1[[#This Row],[a1]]=1,Tab.o1[[#This Row],[b1]]&lt;=AY$4),#REF!,AY949),"")</f>
        <v/>
      </c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6"/>
      <c r="BO950" s="26"/>
      <c r="BP950" s="26"/>
      <c r="BQ950" s="26"/>
      <c r="BR950" s="26"/>
      <c r="BS950" s="26"/>
      <c r="BT950" s="26"/>
      <c r="BU950" s="26"/>
      <c r="BV950" s="26"/>
      <c r="BW950" s="26"/>
      <c r="BX950" s="26"/>
      <c r="BY950" s="26"/>
      <c r="BZ950" s="26"/>
      <c r="CA950" s="26"/>
    </row>
    <row r="951" spans="1:79" ht="15.75" hidden="1">
      <c r="A951" s="109">
        <v>8.0000000000000013E-6</v>
      </c>
      <c r="B951" s="110">
        <f t="shared" si="56"/>
        <v>951</v>
      </c>
      <c r="C951" s="111" t="str">
        <f>IF(C$1=[1]!T.in.A[[#This Row],[oo2]],1,"")</f>
        <v/>
      </c>
      <c r="D951" s="112" t="str">
        <f>IF(Tab.o1[[#This Row],[a1]]=1,IF(SUM(C951:C952)=0,0,IF(SUM(C950:C951)=1,1,IF(SUM(C950:C952)&gt;1,D950+1,0))),"")</f>
        <v/>
      </c>
      <c r="E951" s="113" t="str">
        <f>IF(Tab.o1[[#This Row],[a1]]=1,[1]!T.in.A[[#This Row],[oo1]],"")</f>
        <v/>
      </c>
      <c r="F951" s="113" t="str">
        <f>IF(Tab.o1[[#This Row],[a1]]=1,[1]!T.in.A[[#This Row],[pp1]],"")</f>
        <v/>
      </c>
      <c r="G951" s="114" t="str">
        <f>IF(Tab.o1[[#This Row],[a1]]=1,G$2+IF(G$1=1,0,Tab.o1[[#This Row],[.x1]])+[1]!T.in.A[[#This Row],[oo3]],"")</f>
        <v/>
      </c>
      <c r="H951" s="115" t="str">
        <f>IF(Tab.o1[[#This Row],[a1]]=1,IF(H$2=0,0,IF(G$1=1,0,Tab.o1[[#This Row],[.x1]])+[1]!T.in.A[[#This Row],[oo4]]),"")</f>
        <v/>
      </c>
      <c r="I951" s="116" t="str">
        <f>IF(Tab.o1[[#This Row],[a1]]=1,IF(J$2=0,Tab.o1[[#This Row],[MED]],Tab.o1[[#This Row],[MOD]]),"")</f>
        <v/>
      </c>
      <c r="J951" s="116" t="str">
        <f>IF(Tab.o1[[#This Row],[a1]]=1,((Tab.o1[[#This Row],[DIF_Target.]]-AVERAGE(Tab.o1[DIF_Target.]))/_xlfn.STDEV.P(Tab.o1[DIF_Target.])),"")</f>
        <v/>
      </c>
      <c r="K951" s="117" t="str">
        <f>IF(Tab.o1[[#This Row],[a1]]=1,IF(J$2=0,Tab.o1[[#This Row],[MOD]]-Tab.o1[[#This Row],[B]],IF(J$2=1,0,-Tab.o1[[#This Row],[MED]])+Tab.o1[[#This Row],[B]]),"")</f>
        <v/>
      </c>
      <c r="L951" s="117" t="str">
        <f ca="1">IF(Tab.o1[[#This Row],[DIF_Target]]=0,IF(L$2=0,Tab.o1[[#This Row],[DIF_Target]],AVERAGE(OFFSET(Tab.o1[[#This Row],[DIF_Target]],1,0,L$3,1)))/3,Tab.o1[[#This Row],[DIF_Target]])</f>
        <v/>
      </c>
      <c r="M951" s="118" t="str">
        <f>IF(Tab.o1[[#This Row],[a1]]=1,NORMSDIST(Tab.o1[[#This Row],[Za]]),"")</f>
        <v/>
      </c>
      <c r="N951" s="119" t="str">
        <f>IF(Tab.o1[[#This Row],[a1]]=1,((Tab.o1[[#This Row],[MedMod]]-AVERAGE(Tab.o1[MedMod]))/_xlfn.STDEV.P(Tab.o1[MedMod])*H$1205)+G$1205,"")</f>
        <v/>
      </c>
      <c r="O951" s="141" t="str">
        <f>IF(Tab.o1[[#This Row],[a1]]=1,Tab.o1[[#This Row],[Zb]]*_xlfn.STDEV.P(Tab.o1[MedMod])+AVERAGE(Tab.o1[MedMod]),"")</f>
        <v/>
      </c>
      <c r="P951" s="117" t="str">
        <f ca="1">IF(Tab.o1[[#This Row],[B]]=0,AVERAGE(OFFSET(Tab.o1[[#This Row],[B]],1,0,L$3,1)),Tab.o1[[#This Row],[B]])</f>
        <v/>
      </c>
      <c r="Q951" s="121" t="str">
        <f>IF(Tab.o1[[#This Row],[a1]]=1,NORMSDIST(Tab.o1[[#This Row],[Zb]]),"")</f>
        <v/>
      </c>
      <c r="R951" s="122" t="str">
        <f>IF(Tab.o1[[#This Row],[a1]]=1,((Tab.o1[[#This Row],[MedMod]]-AVERAGE(Tab.o1[MedMod]))/_xlfn.STDEV.P(Tab.o1[MedMod])*H$1203)+G$1203,"")</f>
        <v/>
      </c>
      <c r="S951" s="122" t="str">
        <f>IF(Tab.o1[[#This Row],[a1]]=1,((Tab.o1[[#This Row],[MedMod]]-AVERAGE(Tab.o1[MedMod]))/_xlfn.STDEV.P(Tab.o1[MedMod])*H$1204)+G$1204,"")</f>
        <v/>
      </c>
      <c r="T951" s="123" t="str">
        <f>IF(Tab.o1[[#This Row],[a1]]=1,Tab.o1[[#This Row],[Z-]]*_xlfn.STDEV.P(Tab.o1[B])+AVERAGE(Tab.o1[B]),"")</f>
        <v/>
      </c>
      <c r="U951" s="123" t="str">
        <f>IF(Tab.o1[[#This Row],[a1]]=1,Tab.o1[[#This Row],[z+]]*_xlfn.STDEV.P(Tab.o1[B])+AVERAGE(Tab.o1[B]),"")</f>
        <v/>
      </c>
      <c r="V951" s="124" t="str">
        <f>IF(Tab.o1[[#This Row],[a1]]=1,ABS((ABS(Tab.o1[[#This Row],[Red]]-Tab.o1[[#This Row],[Blue]]))),"")</f>
        <v/>
      </c>
      <c r="W951" s="125" t="str">
        <f>IF(Tab.o1[[#This Row],[a1]]=1,IF(W$3=0,1,Tab.o1[[#This Row],[Amp.]]*1/_xlfn.MINIFS(Tab.o1[Amp.],Tab.o1[Amp.],"&lt;&gt;0")),"")</f>
        <v/>
      </c>
      <c r="X951" s="126" t="str">
        <f>IF(Tab.o1[[#This Row],[a1]]=1,IF(ISNUMBER(Tab.o1[[#This Row],[i.]]),NORMDIST(Tab.o1[[#This Row],[Za]],0,1,FALSE)*Tab.o1[[#This Row],[i.]],AP$3),"")</f>
        <v/>
      </c>
      <c r="Y951" s="126" t="str">
        <f>IF(Tab.o1[[#This Row],[a1]]=1,0.01+0.94*Tab.o1[[#This Row],[PDF]]/MAX(Tab.o1[PDF]),"")</f>
        <v/>
      </c>
      <c r="Z951" s="126" t="str">
        <f>IF(Tab.o1[[#This Row],[a1]]=1,0.01+0.94*Tab.o1[[#This Row],[W1_PDF]]/MAX(Tab.o1[W1_PDF]),"")</f>
        <v/>
      </c>
      <c r="AA951" s="118" t="str">
        <f>IF(Tab.o1[[#This Row],[a1]]=1,ABS([1]!T.in.A[[#This Row],[oo6]]),"")</f>
        <v/>
      </c>
      <c r="AB951" s="127" t="str">
        <f>IF(Tab.o1[[#This Row],[a1]]=1,IF(AE$3=0,"",IF(AB$3=0,ABS([1]!T.in.A[[#This Row],[oo9]]),ABS(Tab.o1[[#This Row],[DIF_Target.]]*Tab.o1[[#This Row],[W1_PDF]]))),"")</f>
        <v/>
      </c>
      <c r="AC951" s="127" t="str">
        <f>IF(G$1=1,"",IF(Tab.o1[[#This Row],[a1]]=1,Tab.o1[[#This Row],[Wr]]^2,""))</f>
        <v/>
      </c>
      <c r="AD951" s="118" t="str">
        <f>IF(Tab.o1[[#This Row],[a1]]=1,IF(AE$3=0,"",Tab.o1[[#This Row],[Wr2]]/SUM(Tab.o1[Wr2])),"")</f>
        <v/>
      </c>
      <c r="AE951" s="128" t="str">
        <f>IF(Tab.o1[[#This Row],[a1]]=1,[1]!T.in.A[[#This Row],[oo10]],"")</f>
        <v/>
      </c>
      <c r="AF951" s="118" t="str">
        <f>IF(Tab.o1[[#This Row],[a1]]=1,ABS(Tab.o1[[#This Row],[DIF_Target.]]*Tab.o1[[#This Row],[PDF2]]*Tab.o1[[#This Row],[IN]]),"")</f>
        <v/>
      </c>
      <c r="AG951" s="129" t="str">
        <f>IF(Tab.o1[[#This Row],[a1]]=1,Tab.o1[[#This Row],[rW]]^2,"")</f>
        <v/>
      </c>
      <c r="AH951" s="130" t="str">
        <f>IF(Tab.o1[[#This Row],[a1]]=1,IF(AH$3=0,Tab.o1[[#This Row],[rW2]],0.01+0.94*Tab.o1[[#This Row],[rW2]]/SUM(Tab.o1[rW2])),"")</f>
        <v/>
      </c>
      <c r="AI951" s="128" t="str">
        <f>IF(Tab.o1[[#This Row],[a1]]=1,1/Tab.o1[[#This Row],[PDF]],"")</f>
        <v/>
      </c>
      <c r="AJ951" s="131" t="str">
        <f>IF(Tab.o1[[#This Row],[a1]]=1,[1]!T_AA[[#This Row],[IN'']]*[1]!T_AA[[#This Row],[Qde'']],"")</f>
        <v/>
      </c>
      <c r="AK951" s="132" t="str">
        <f>IF(Tab.o1[[#This Row],[a1]]=1,IF(AK$1=1,Tab.o1[[#This Row],[MED]]+Tab.o1[[#This Row],[MOD]]-Tab.o1[[#This Row],[MED]],""),"")</f>
        <v/>
      </c>
      <c r="AL951" s="133" t="str">
        <f>IF(Tab.o1[[#This Row],[a1]]=1,[1]!T.in.A[[#This Row],[oo16]],"")</f>
        <v/>
      </c>
      <c r="AM951" s="133" t="str">
        <f>IF(Tab.o1[[#This Row],[a1]]=1,IF(AM$3=1,[1]!T.in.A[[#This Row],[Σo16]],""),"")</f>
        <v/>
      </c>
      <c r="AN951" s="126" t="str">
        <f>IF(Tab.o1[[#This Row],[a1]]=1,[1]!T.in.A[[#This Row],[Σp5]],"")</f>
        <v/>
      </c>
      <c r="AO951" s="126" t="str">
        <f>IF(Tab.o1[[#This Row],[a1]]=1,IF(AO$3=1,[1]!T.in.A[[#This Row],[Σp5]],""),"")</f>
        <v/>
      </c>
      <c r="AP951" s="110" t="str">
        <f>IF(Tab.o1[[#This Row],[a1]]=1,IF(ISNUMBER(Tab.o1[[#This Row],[i.]]),NORMDIST(Tab.o1[[#This Row],[Za]],0,1,FALSE)*Tab.o1[[#This Row],[i.]],0),"")</f>
        <v/>
      </c>
      <c r="AQ951" s="125" t="str">
        <f>IF(Tab.o1[[#This Row],[a1]]=1,ABS(Tab.o1[[#This Row],[MOD]]-AVERAGE(Tab.o1[MOD])),"")</f>
        <v/>
      </c>
      <c r="AR951" s="134" t="str">
        <f>IF(Tab.o1[[#This Row],[a1]]=1,Tab.o1[[#This Row],[OBS]]/SUM(Tab.o1[OBS]),"")</f>
        <v/>
      </c>
      <c r="AS951" s="135" t="str">
        <f>IF(ISNUMBER(Tab.o1[[#This Row],[a1]]),ROW()-4,"")</f>
        <v/>
      </c>
      <c r="AT951" s="136" t="str">
        <f>Tab.o1[[#This Row],[MOD]]</f>
        <v/>
      </c>
      <c r="AU951" s="137" t="str">
        <f t="shared" si="57"/>
        <v/>
      </c>
      <c r="AV951" s="138" t="str">
        <f t="shared" si="58"/>
        <v/>
      </c>
      <c r="AW951" s="138" t="str">
        <f t="shared" si="59"/>
        <v/>
      </c>
      <c r="AX951" s="139" t="str">
        <f>[1]!T.in.A[[#This Row],[ID_T_manu]]</f>
        <v/>
      </c>
      <c r="AY951" s="140" t="str">
        <f>IF(ISNUMBER(Tab.o1[[#This Row],[a1]]),IF(AND(Tab.o1[[#This Row],[a1]]=1,Tab.o1[[#This Row],[b1]]&lt;=AY$4),#REF!,AY950),"")</f>
        <v/>
      </c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6"/>
      <c r="BO951" s="26"/>
      <c r="BP951" s="26"/>
      <c r="BQ951" s="26"/>
      <c r="BR951" s="26"/>
      <c r="BS951" s="26"/>
      <c r="BT951" s="26"/>
      <c r="BU951" s="26"/>
      <c r="BV951" s="26"/>
      <c r="BW951" s="26"/>
      <c r="BX951" s="26"/>
      <c r="BY951" s="26"/>
      <c r="BZ951" s="26"/>
      <c r="CA951" s="26"/>
    </row>
    <row r="952" spans="1:79" ht="15.75" hidden="1">
      <c r="A952" s="109">
        <v>2.9999999999999997E-6</v>
      </c>
      <c r="B952" s="110">
        <f t="shared" si="56"/>
        <v>952</v>
      </c>
      <c r="C952" s="111" t="str">
        <f>IF(C$1=[1]!T.in.A[[#This Row],[oo2]],1,"")</f>
        <v/>
      </c>
      <c r="D952" s="112" t="str">
        <f>IF(Tab.o1[[#This Row],[a1]]=1,IF(SUM(C952:C953)=0,0,IF(SUM(C951:C952)=1,1,IF(SUM(C951:C953)&gt;1,D951+1,0))),"")</f>
        <v/>
      </c>
      <c r="E952" s="113" t="str">
        <f>IF(Tab.o1[[#This Row],[a1]]=1,[1]!T.in.A[[#This Row],[oo1]],"")</f>
        <v/>
      </c>
      <c r="F952" s="113" t="str">
        <f>IF(Tab.o1[[#This Row],[a1]]=1,[1]!T.in.A[[#This Row],[pp1]],"")</f>
        <v/>
      </c>
      <c r="G952" s="114" t="str">
        <f>IF(Tab.o1[[#This Row],[a1]]=1,G$2+IF(G$1=1,0,Tab.o1[[#This Row],[.x1]])+[1]!T.in.A[[#This Row],[oo3]],"")</f>
        <v/>
      </c>
      <c r="H952" s="115" t="str">
        <f>IF(Tab.o1[[#This Row],[a1]]=1,IF(H$2=0,0,IF(G$1=1,0,Tab.o1[[#This Row],[.x1]])+[1]!T.in.A[[#This Row],[oo4]]),"")</f>
        <v/>
      </c>
      <c r="I952" s="116" t="str">
        <f>IF(Tab.o1[[#This Row],[a1]]=1,IF(J$2=0,Tab.o1[[#This Row],[MED]],Tab.o1[[#This Row],[MOD]]),"")</f>
        <v/>
      </c>
      <c r="J952" s="116" t="str">
        <f>IF(Tab.o1[[#This Row],[a1]]=1,((Tab.o1[[#This Row],[DIF_Target.]]-AVERAGE(Tab.o1[DIF_Target.]))/_xlfn.STDEV.P(Tab.o1[DIF_Target.])),"")</f>
        <v/>
      </c>
      <c r="K952" s="117" t="str">
        <f>IF(Tab.o1[[#This Row],[a1]]=1,IF(J$2=0,Tab.o1[[#This Row],[MOD]]-Tab.o1[[#This Row],[B]],IF(J$2=1,0,-Tab.o1[[#This Row],[MED]])+Tab.o1[[#This Row],[B]]),"")</f>
        <v/>
      </c>
      <c r="L952" s="117" t="str">
        <f ca="1">IF(Tab.o1[[#This Row],[DIF_Target]]=0,IF(L$2=0,Tab.o1[[#This Row],[DIF_Target]],AVERAGE(OFFSET(Tab.o1[[#This Row],[DIF_Target]],1,0,L$3,1)))/3,Tab.o1[[#This Row],[DIF_Target]])</f>
        <v/>
      </c>
      <c r="M952" s="118" t="str">
        <f>IF(Tab.o1[[#This Row],[a1]]=1,NORMSDIST(Tab.o1[[#This Row],[Za]]),"")</f>
        <v/>
      </c>
      <c r="N952" s="119" t="str">
        <f>IF(Tab.o1[[#This Row],[a1]]=1,((Tab.o1[[#This Row],[MedMod]]-AVERAGE(Tab.o1[MedMod]))/_xlfn.STDEV.P(Tab.o1[MedMod])*H$1205)+G$1205,"")</f>
        <v/>
      </c>
      <c r="O952" s="141" t="str">
        <f>IF(Tab.o1[[#This Row],[a1]]=1,Tab.o1[[#This Row],[Zb]]*_xlfn.STDEV.P(Tab.o1[MedMod])+AVERAGE(Tab.o1[MedMod]),"")</f>
        <v/>
      </c>
      <c r="P952" s="117" t="str">
        <f ca="1">IF(Tab.o1[[#This Row],[B]]=0,AVERAGE(OFFSET(Tab.o1[[#This Row],[B]],1,0,L$3,1)),Tab.o1[[#This Row],[B]])</f>
        <v/>
      </c>
      <c r="Q952" s="121" t="str">
        <f>IF(Tab.o1[[#This Row],[a1]]=1,NORMSDIST(Tab.o1[[#This Row],[Zb]]),"")</f>
        <v/>
      </c>
      <c r="R952" s="122" t="str">
        <f>IF(Tab.o1[[#This Row],[a1]]=1,((Tab.o1[[#This Row],[MedMod]]-AVERAGE(Tab.o1[MedMod]))/_xlfn.STDEV.P(Tab.o1[MedMod])*H$1203)+G$1203,"")</f>
        <v/>
      </c>
      <c r="S952" s="122" t="str">
        <f>IF(Tab.o1[[#This Row],[a1]]=1,((Tab.o1[[#This Row],[MedMod]]-AVERAGE(Tab.o1[MedMod]))/_xlfn.STDEV.P(Tab.o1[MedMod])*H$1204)+G$1204,"")</f>
        <v/>
      </c>
      <c r="T952" s="123" t="str">
        <f>IF(Tab.o1[[#This Row],[a1]]=1,Tab.o1[[#This Row],[Z-]]*_xlfn.STDEV.P(Tab.o1[B])+AVERAGE(Tab.o1[B]),"")</f>
        <v/>
      </c>
      <c r="U952" s="123" t="str">
        <f>IF(Tab.o1[[#This Row],[a1]]=1,Tab.o1[[#This Row],[z+]]*_xlfn.STDEV.P(Tab.o1[B])+AVERAGE(Tab.o1[B]),"")</f>
        <v/>
      </c>
      <c r="V952" s="124" t="str">
        <f>IF(Tab.o1[[#This Row],[a1]]=1,ABS((ABS(Tab.o1[[#This Row],[Red]]-Tab.o1[[#This Row],[Blue]]))),"")</f>
        <v/>
      </c>
      <c r="W952" s="125" t="str">
        <f>IF(Tab.o1[[#This Row],[a1]]=1,IF(W$3=0,1,Tab.o1[[#This Row],[Amp.]]*1/_xlfn.MINIFS(Tab.o1[Amp.],Tab.o1[Amp.],"&lt;&gt;0")),"")</f>
        <v/>
      </c>
      <c r="X952" s="126" t="str">
        <f>IF(Tab.o1[[#This Row],[a1]]=1,IF(ISNUMBER(Tab.o1[[#This Row],[i.]]),NORMDIST(Tab.o1[[#This Row],[Za]],0,1,FALSE)*Tab.o1[[#This Row],[i.]],AP$3),"")</f>
        <v/>
      </c>
      <c r="Y952" s="126" t="str">
        <f>IF(Tab.o1[[#This Row],[a1]]=1,0.01+0.94*Tab.o1[[#This Row],[PDF]]/MAX(Tab.o1[PDF]),"")</f>
        <v/>
      </c>
      <c r="Z952" s="126" t="str">
        <f>IF(Tab.o1[[#This Row],[a1]]=1,0.01+0.94*Tab.o1[[#This Row],[W1_PDF]]/MAX(Tab.o1[W1_PDF]),"")</f>
        <v/>
      </c>
      <c r="AA952" s="118" t="str">
        <f>IF(Tab.o1[[#This Row],[a1]]=1,ABS([1]!T.in.A[[#This Row],[oo6]]),"")</f>
        <v/>
      </c>
      <c r="AB952" s="127" t="str">
        <f>IF(Tab.o1[[#This Row],[a1]]=1,IF(AE$3=0,"",IF(AB$3=0,ABS([1]!T.in.A[[#This Row],[oo9]]),ABS(Tab.o1[[#This Row],[DIF_Target.]]*Tab.o1[[#This Row],[W1_PDF]]))),"")</f>
        <v/>
      </c>
      <c r="AC952" s="127" t="str">
        <f>IF(G$1=1,"",IF(Tab.o1[[#This Row],[a1]]=1,Tab.o1[[#This Row],[Wr]]^2,""))</f>
        <v/>
      </c>
      <c r="AD952" s="118" t="str">
        <f>IF(Tab.o1[[#This Row],[a1]]=1,IF(AE$3=0,"",Tab.o1[[#This Row],[Wr2]]/SUM(Tab.o1[Wr2])),"")</f>
        <v/>
      </c>
      <c r="AE952" s="128" t="str">
        <f>IF(Tab.o1[[#This Row],[a1]]=1,[1]!T.in.A[[#This Row],[oo10]],"")</f>
        <v/>
      </c>
      <c r="AF952" s="118" t="str">
        <f>IF(Tab.o1[[#This Row],[a1]]=1,ABS(Tab.o1[[#This Row],[DIF_Target.]]*Tab.o1[[#This Row],[PDF2]]*Tab.o1[[#This Row],[IN]]),"")</f>
        <v/>
      </c>
      <c r="AG952" s="129" t="str">
        <f>IF(Tab.o1[[#This Row],[a1]]=1,Tab.o1[[#This Row],[rW]]^2,"")</f>
        <v/>
      </c>
      <c r="AH952" s="130" t="str">
        <f>IF(Tab.o1[[#This Row],[a1]]=1,IF(AH$3=0,Tab.o1[[#This Row],[rW2]],0.01+0.94*Tab.o1[[#This Row],[rW2]]/SUM(Tab.o1[rW2])),"")</f>
        <v/>
      </c>
      <c r="AI952" s="128" t="str">
        <f>IF(Tab.o1[[#This Row],[a1]]=1,1/Tab.o1[[#This Row],[PDF]],"")</f>
        <v/>
      </c>
      <c r="AJ952" s="131" t="str">
        <f>IF(Tab.o1[[#This Row],[a1]]=1,[1]!T_AA[[#This Row],[IN'']]*[1]!T_AA[[#This Row],[Qde'']],"")</f>
        <v/>
      </c>
      <c r="AK952" s="132" t="str">
        <f>IF(Tab.o1[[#This Row],[a1]]=1,IF(AK$1=1,Tab.o1[[#This Row],[MED]]+Tab.o1[[#This Row],[MOD]]-Tab.o1[[#This Row],[MED]],""),"")</f>
        <v/>
      </c>
      <c r="AL952" s="133" t="str">
        <f>IF(Tab.o1[[#This Row],[a1]]=1,[1]!T.in.A[[#This Row],[oo16]],"")</f>
        <v/>
      </c>
      <c r="AM952" s="133" t="str">
        <f>IF(Tab.o1[[#This Row],[a1]]=1,IF(AM$3=1,[1]!T.in.A[[#This Row],[Σo16]],""),"")</f>
        <v/>
      </c>
      <c r="AN952" s="126" t="str">
        <f>IF(Tab.o1[[#This Row],[a1]]=1,[1]!T.in.A[[#This Row],[Σp5]],"")</f>
        <v/>
      </c>
      <c r="AO952" s="126" t="str">
        <f>IF(Tab.o1[[#This Row],[a1]]=1,IF(AO$3=1,[1]!T.in.A[[#This Row],[Σp5]],""),"")</f>
        <v/>
      </c>
      <c r="AP952" s="110" t="str">
        <f>IF(Tab.o1[[#This Row],[a1]]=1,IF(ISNUMBER(Tab.o1[[#This Row],[i.]]),NORMDIST(Tab.o1[[#This Row],[Za]],0,1,FALSE)*Tab.o1[[#This Row],[i.]],0),"")</f>
        <v/>
      </c>
      <c r="AQ952" s="125" t="str">
        <f>IF(Tab.o1[[#This Row],[a1]]=1,ABS(Tab.o1[[#This Row],[MOD]]-AVERAGE(Tab.o1[MOD])),"")</f>
        <v/>
      </c>
      <c r="AR952" s="134" t="str">
        <f>IF(Tab.o1[[#This Row],[a1]]=1,Tab.o1[[#This Row],[OBS]]/SUM(Tab.o1[OBS]),"")</f>
        <v/>
      </c>
      <c r="AS952" s="135" t="str">
        <f>IF(ISNUMBER(Tab.o1[[#This Row],[a1]]),ROW()-4,"")</f>
        <v/>
      </c>
      <c r="AT952" s="136" t="str">
        <f>Tab.o1[[#This Row],[MOD]]</f>
        <v/>
      </c>
      <c r="AU952" s="137" t="str">
        <f t="shared" si="57"/>
        <v/>
      </c>
      <c r="AV952" s="138" t="str">
        <f t="shared" si="58"/>
        <v/>
      </c>
      <c r="AW952" s="138" t="str">
        <f t="shared" si="59"/>
        <v/>
      </c>
      <c r="AX952" s="139" t="str">
        <f>[1]!T.in.A[[#This Row],[ID_T_manu]]</f>
        <v/>
      </c>
      <c r="AY952" s="140" t="str">
        <f>IF(ISNUMBER(Tab.o1[[#This Row],[a1]]),IF(AND(Tab.o1[[#This Row],[a1]]=1,Tab.o1[[#This Row],[b1]]&lt;=AY$4),#REF!,AY951),"")</f>
        <v/>
      </c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6"/>
      <c r="BO952" s="26"/>
      <c r="BP952" s="26"/>
      <c r="BQ952" s="26"/>
      <c r="BR952" s="26"/>
      <c r="BS952" s="26"/>
      <c r="BT952" s="26"/>
      <c r="BU952" s="26"/>
      <c r="BV952" s="26"/>
      <c r="BW952" s="26"/>
      <c r="BX952" s="26"/>
      <c r="BY952" s="26"/>
      <c r="BZ952" s="26"/>
      <c r="CA952" s="26"/>
    </row>
    <row r="953" spans="1:79" ht="15.75" hidden="1">
      <c r="A953" s="109">
        <v>4.0000000000000007E-6</v>
      </c>
      <c r="B953" s="110">
        <f t="shared" si="56"/>
        <v>953</v>
      </c>
      <c r="C953" s="111" t="str">
        <f>IF(C$1=[1]!T.in.A[[#This Row],[oo2]],1,"")</f>
        <v/>
      </c>
      <c r="D953" s="112" t="str">
        <f>IF(Tab.o1[[#This Row],[a1]]=1,IF(SUM(C953:C954)=0,0,IF(SUM(C952:C953)=1,1,IF(SUM(C952:C954)&gt;1,D952+1,0))),"")</f>
        <v/>
      </c>
      <c r="E953" s="113" t="str">
        <f>IF(Tab.o1[[#This Row],[a1]]=1,[1]!T.in.A[[#This Row],[oo1]],"")</f>
        <v/>
      </c>
      <c r="F953" s="113" t="str">
        <f>IF(Tab.o1[[#This Row],[a1]]=1,[1]!T.in.A[[#This Row],[pp1]],"")</f>
        <v/>
      </c>
      <c r="G953" s="114" t="str">
        <f>IF(Tab.o1[[#This Row],[a1]]=1,G$2+IF(G$1=1,0,Tab.o1[[#This Row],[.x1]])+[1]!T.in.A[[#This Row],[oo3]],"")</f>
        <v/>
      </c>
      <c r="H953" s="115" t="str">
        <f>IF(Tab.o1[[#This Row],[a1]]=1,IF(H$2=0,0,IF(G$1=1,0,Tab.o1[[#This Row],[.x1]])+[1]!T.in.A[[#This Row],[oo4]]),"")</f>
        <v/>
      </c>
      <c r="I953" s="116" t="str">
        <f>IF(Tab.o1[[#This Row],[a1]]=1,IF(J$2=0,Tab.o1[[#This Row],[MED]],Tab.o1[[#This Row],[MOD]]),"")</f>
        <v/>
      </c>
      <c r="J953" s="116" t="str">
        <f>IF(Tab.o1[[#This Row],[a1]]=1,((Tab.o1[[#This Row],[DIF_Target.]]-AVERAGE(Tab.o1[DIF_Target.]))/_xlfn.STDEV.P(Tab.o1[DIF_Target.])),"")</f>
        <v/>
      </c>
      <c r="K953" s="117" t="str">
        <f>IF(Tab.o1[[#This Row],[a1]]=1,IF(J$2=0,Tab.o1[[#This Row],[MOD]]-Tab.o1[[#This Row],[B]],IF(J$2=1,0,-Tab.o1[[#This Row],[MED]])+Tab.o1[[#This Row],[B]]),"")</f>
        <v/>
      </c>
      <c r="L953" s="117" t="str">
        <f ca="1">IF(Tab.o1[[#This Row],[DIF_Target]]=0,IF(L$2=0,Tab.o1[[#This Row],[DIF_Target]],AVERAGE(OFFSET(Tab.o1[[#This Row],[DIF_Target]],1,0,L$3,1)))/3,Tab.o1[[#This Row],[DIF_Target]])</f>
        <v/>
      </c>
      <c r="M953" s="118" t="str">
        <f>IF(Tab.o1[[#This Row],[a1]]=1,NORMSDIST(Tab.o1[[#This Row],[Za]]),"")</f>
        <v/>
      </c>
      <c r="N953" s="119" t="str">
        <f>IF(Tab.o1[[#This Row],[a1]]=1,((Tab.o1[[#This Row],[MedMod]]-AVERAGE(Tab.o1[MedMod]))/_xlfn.STDEV.P(Tab.o1[MedMod])*H$1205)+G$1205,"")</f>
        <v/>
      </c>
      <c r="O953" s="141" t="str">
        <f>IF(Tab.o1[[#This Row],[a1]]=1,Tab.o1[[#This Row],[Zb]]*_xlfn.STDEV.P(Tab.o1[MedMod])+AVERAGE(Tab.o1[MedMod]),"")</f>
        <v/>
      </c>
      <c r="P953" s="117" t="str">
        <f ca="1">IF(Tab.o1[[#This Row],[B]]=0,AVERAGE(OFFSET(Tab.o1[[#This Row],[B]],1,0,L$3,1)),Tab.o1[[#This Row],[B]])</f>
        <v/>
      </c>
      <c r="Q953" s="121" t="str">
        <f>IF(Tab.o1[[#This Row],[a1]]=1,NORMSDIST(Tab.o1[[#This Row],[Zb]]),"")</f>
        <v/>
      </c>
      <c r="R953" s="122" t="str">
        <f>IF(Tab.o1[[#This Row],[a1]]=1,((Tab.o1[[#This Row],[MedMod]]-AVERAGE(Tab.o1[MedMod]))/_xlfn.STDEV.P(Tab.o1[MedMod])*H$1203)+G$1203,"")</f>
        <v/>
      </c>
      <c r="S953" s="122" t="str">
        <f>IF(Tab.o1[[#This Row],[a1]]=1,((Tab.o1[[#This Row],[MedMod]]-AVERAGE(Tab.o1[MedMod]))/_xlfn.STDEV.P(Tab.o1[MedMod])*H$1204)+G$1204,"")</f>
        <v/>
      </c>
      <c r="T953" s="123" t="str">
        <f>IF(Tab.o1[[#This Row],[a1]]=1,Tab.o1[[#This Row],[Z-]]*_xlfn.STDEV.P(Tab.o1[B])+AVERAGE(Tab.o1[B]),"")</f>
        <v/>
      </c>
      <c r="U953" s="123" t="str">
        <f>IF(Tab.o1[[#This Row],[a1]]=1,Tab.o1[[#This Row],[z+]]*_xlfn.STDEV.P(Tab.o1[B])+AVERAGE(Tab.o1[B]),"")</f>
        <v/>
      </c>
      <c r="V953" s="124" t="str">
        <f>IF(Tab.o1[[#This Row],[a1]]=1,ABS((ABS(Tab.o1[[#This Row],[Red]]-Tab.o1[[#This Row],[Blue]]))),"")</f>
        <v/>
      </c>
      <c r="W953" s="125" t="str">
        <f>IF(Tab.o1[[#This Row],[a1]]=1,IF(W$3=0,1,Tab.o1[[#This Row],[Amp.]]*1/_xlfn.MINIFS(Tab.o1[Amp.],Tab.o1[Amp.],"&lt;&gt;0")),"")</f>
        <v/>
      </c>
      <c r="X953" s="126" t="str">
        <f>IF(Tab.o1[[#This Row],[a1]]=1,IF(ISNUMBER(Tab.o1[[#This Row],[i.]]),NORMDIST(Tab.o1[[#This Row],[Za]],0,1,FALSE)*Tab.o1[[#This Row],[i.]],AP$3),"")</f>
        <v/>
      </c>
      <c r="Y953" s="126" t="str">
        <f>IF(Tab.o1[[#This Row],[a1]]=1,0.01+0.94*Tab.o1[[#This Row],[PDF]]/MAX(Tab.o1[PDF]),"")</f>
        <v/>
      </c>
      <c r="Z953" s="126" t="str">
        <f>IF(Tab.o1[[#This Row],[a1]]=1,0.01+0.94*Tab.o1[[#This Row],[W1_PDF]]/MAX(Tab.o1[W1_PDF]),"")</f>
        <v/>
      </c>
      <c r="AA953" s="118" t="str">
        <f>IF(Tab.o1[[#This Row],[a1]]=1,ABS([1]!T.in.A[[#This Row],[oo6]]),"")</f>
        <v/>
      </c>
      <c r="AB953" s="127" t="str">
        <f>IF(Tab.o1[[#This Row],[a1]]=1,IF(AE$3=0,"",IF(AB$3=0,ABS([1]!T.in.A[[#This Row],[oo9]]),ABS(Tab.o1[[#This Row],[DIF_Target.]]*Tab.o1[[#This Row],[W1_PDF]]))),"")</f>
        <v/>
      </c>
      <c r="AC953" s="127" t="str">
        <f>IF(G$1=1,"",IF(Tab.o1[[#This Row],[a1]]=1,Tab.o1[[#This Row],[Wr]]^2,""))</f>
        <v/>
      </c>
      <c r="AD953" s="118" t="str">
        <f>IF(Tab.o1[[#This Row],[a1]]=1,IF(AE$3=0,"",Tab.o1[[#This Row],[Wr2]]/SUM(Tab.o1[Wr2])),"")</f>
        <v/>
      </c>
      <c r="AE953" s="128" t="str">
        <f>IF(Tab.o1[[#This Row],[a1]]=1,[1]!T.in.A[[#This Row],[oo10]],"")</f>
        <v/>
      </c>
      <c r="AF953" s="118" t="str">
        <f>IF(Tab.o1[[#This Row],[a1]]=1,ABS(Tab.o1[[#This Row],[DIF_Target.]]*Tab.o1[[#This Row],[PDF2]]*Tab.o1[[#This Row],[IN]]),"")</f>
        <v/>
      </c>
      <c r="AG953" s="129" t="str">
        <f>IF(Tab.o1[[#This Row],[a1]]=1,Tab.o1[[#This Row],[rW]]^2,"")</f>
        <v/>
      </c>
      <c r="AH953" s="130" t="str">
        <f>IF(Tab.o1[[#This Row],[a1]]=1,IF(AH$3=0,Tab.o1[[#This Row],[rW2]],0.01+0.94*Tab.o1[[#This Row],[rW2]]/SUM(Tab.o1[rW2])),"")</f>
        <v/>
      </c>
      <c r="AI953" s="128" t="str">
        <f>IF(Tab.o1[[#This Row],[a1]]=1,1/Tab.o1[[#This Row],[PDF]],"")</f>
        <v/>
      </c>
      <c r="AJ953" s="131" t="str">
        <f>IF(Tab.o1[[#This Row],[a1]]=1,[1]!T_AA[[#This Row],[IN'']]*[1]!T_AA[[#This Row],[Qde'']],"")</f>
        <v/>
      </c>
      <c r="AK953" s="132" t="str">
        <f>IF(Tab.o1[[#This Row],[a1]]=1,IF(AK$1=1,Tab.o1[[#This Row],[MED]]+Tab.o1[[#This Row],[MOD]]-Tab.o1[[#This Row],[MED]],""),"")</f>
        <v/>
      </c>
      <c r="AL953" s="133" t="str">
        <f>IF(Tab.o1[[#This Row],[a1]]=1,[1]!T.in.A[[#This Row],[oo16]],"")</f>
        <v/>
      </c>
      <c r="AM953" s="133" t="str">
        <f>IF(Tab.o1[[#This Row],[a1]]=1,IF(AM$3=1,[1]!T.in.A[[#This Row],[Σo16]],""),"")</f>
        <v/>
      </c>
      <c r="AN953" s="126" t="str">
        <f>IF(Tab.o1[[#This Row],[a1]]=1,[1]!T.in.A[[#This Row],[Σp5]],"")</f>
        <v/>
      </c>
      <c r="AO953" s="126" t="str">
        <f>IF(Tab.o1[[#This Row],[a1]]=1,IF(AO$3=1,[1]!T.in.A[[#This Row],[Σp5]],""),"")</f>
        <v/>
      </c>
      <c r="AP953" s="110" t="str">
        <f>IF(Tab.o1[[#This Row],[a1]]=1,IF(ISNUMBER(Tab.o1[[#This Row],[i.]]),NORMDIST(Tab.o1[[#This Row],[Za]],0,1,FALSE)*Tab.o1[[#This Row],[i.]],0),"")</f>
        <v/>
      </c>
      <c r="AQ953" s="125" t="str">
        <f>IF(Tab.o1[[#This Row],[a1]]=1,ABS(Tab.o1[[#This Row],[MOD]]-AVERAGE(Tab.o1[MOD])),"")</f>
        <v/>
      </c>
      <c r="AR953" s="134" t="str">
        <f>IF(Tab.o1[[#This Row],[a1]]=1,Tab.o1[[#This Row],[OBS]]/SUM(Tab.o1[OBS]),"")</f>
        <v/>
      </c>
      <c r="AS953" s="135" t="str">
        <f>IF(ISNUMBER(Tab.o1[[#This Row],[a1]]),ROW()-4,"")</f>
        <v/>
      </c>
      <c r="AT953" s="136" t="str">
        <f>Tab.o1[[#This Row],[MOD]]</f>
        <v/>
      </c>
      <c r="AU953" s="137" t="str">
        <f t="shared" si="57"/>
        <v/>
      </c>
      <c r="AV953" s="138" t="str">
        <f t="shared" si="58"/>
        <v/>
      </c>
      <c r="AW953" s="138" t="str">
        <f t="shared" si="59"/>
        <v/>
      </c>
      <c r="AX953" s="139" t="str">
        <f>[1]!T.in.A[[#This Row],[ID_T_manu]]</f>
        <v/>
      </c>
      <c r="AY953" s="140" t="str">
        <f>IF(ISNUMBER(Tab.o1[[#This Row],[a1]]),IF(AND(Tab.o1[[#This Row],[a1]]=1,Tab.o1[[#This Row],[b1]]&lt;=AY$4),#REF!,AY952),"")</f>
        <v/>
      </c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6"/>
      <c r="BO953" s="26"/>
      <c r="BP953" s="26"/>
      <c r="BQ953" s="26"/>
      <c r="BR953" s="26"/>
      <c r="BS953" s="26"/>
      <c r="BT953" s="26"/>
      <c r="BU953" s="26"/>
      <c r="BV953" s="26"/>
      <c r="BW953" s="26"/>
      <c r="BX953" s="26"/>
      <c r="BY953" s="26"/>
      <c r="BZ953" s="26"/>
      <c r="CA953" s="26"/>
    </row>
    <row r="954" spans="1:79" ht="15.75" hidden="1">
      <c r="A954" s="109">
        <v>-9.0000000000000002E-6</v>
      </c>
      <c r="B954" s="110">
        <f t="shared" si="56"/>
        <v>954</v>
      </c>
      <c r="C954" s="111" t="str">
        <f>IF(C$1=[1]!T.in.A[[#This Row],[oo2]],1,"")</f>
        <v/>
      </c>
      <c r="D954" s="112" t="str">
        <f>IF(Tab.o1[[#This Row],[a1]]=1,IF(SUM(C954:C955)=0,0,IF(SUM(C953:C954)=1,1,IF(SUM(C953:C955)&gt;1,D953+1,0))),"")</f>
        <v/>
      </c>
      <c r="E954" s="113" t="str">
        <f>IF(Tab.o1[[#This Row],[a1]]=1,[1]!T.in.A[[#This Row],[oo1]],"")</f>
        <v/>
      </c>
      <c r="F954" s="113" t="str">
        <f>IF(Tab.o1[[#This Row],[a1]]=1,[1]!T.in.A[[#This Row],[pp1]],"")</f>
        <v/>
      </c>
      <c r="G954" s="114" t="str">
        <f>IF(Tab.o1[[#This Row],[a1]]=1,G$2+IF(G$1=1,0,Tab.o1[[#This Row],[.x1]])+[1]!T.in.A[[#This Row],[oo3]],"")</f>
        <v/>
      </c>
      <c r="H954" s="115" t="str">
        <f>IF(Tab.o1[[#This Row],[a1]]=1,IF(H$2=0,0,IF(G$1=1,0,Tab.o1[[#This Row],[.x1]])+[1]!T.in.A[[#This Row],[oo4]]),"")</f>
        <v/>
      </c>
      <c r="I954" s="116" t="str">
        <f>IF(Tab.o1[[#This Row],[a1]]=1,IF(J$2=0,Tab.o1[[#This Row],[MED]],Tab.o1[[#This Row],[MOD]]),"")</f>
        <v/>
      </c>
      <c r="J954" s="116" t="str">
        <f>IF(Tab.o1[[#This Row],[a1]]=1,((Tab.o1[[#This Row],[DIF_Target.]]-AVERAGE(Tab.o1[DIF_Target.]))/_xlfn.STDEV.P(Tab.o1[DIF_Target.])),"")</f>
        <v/>
      </c>
      <c r="K954" s="117" t="str">
        <f>IF(Tab.o1[[#This Row],[a1]]=1,IF(J$2=0,Tab.o1[[#This Row],[MOD]]-Tab.o1[[#This Row],[B]],IF(J$2=1,0,-Tab.o1[[#This Row],[MED]])+Tab.o1[[#This Row],[B]]),"")</f>
        <v/>
      </c>
      <c r="L954" s="117" t="str">
        <f ca="1">IF(Tab.o1[[#This Row],[DIF_Target]]=0,IF(L$2=0,Tab.o1[[#This Row],[DIF_Target]],AVERAGE(OFFSET(Tab.o1[[#This Row],[DIF_Target]],1,0,L$3,1)))/3,Tab.o1[[#This Row],[DIF_Target]])</f>
        <v/>
      </c>
      <c r="M954" s="118" t="str">
        <f>IF(Tab.o1[[#This Row],[a1]]=1,NORMSDIST(Tab.o1[[#This Row],[Za]]),"")</f>
        <v/>
      </c>
      <c r="N954" s="119" t="str">
        <f>IF(Tab.o1[[#This Row],[a1]]=1,((Tab.o1[[#This Row],[MedMod]]-AVERAGE(Tab.o1[MedMod]))/_xlfn.STDEV.P(Tab.o1[MedMod])*H$1205)+G$1205,"")</f>
        <v/>
      </c>
      <c r="O954" s="141" t="str">
        <f>IF(Tab.o1[[#This Row],[a1]]=1,Tab.o1[[#This Row],[Zb]]*_xlfn.STDEV.P(Tab.o1[MedMod])+AVERAGE(Tab.o1[MedMod]),"")</f>
        <v/>
      </c>
      <c r="P954" s="117" t="str">
        <f ca="1">IF(Tab.o1[[#This Row],[B]]=0,AVERAGE(OFFSET(Tab.o1[[#This Row],[B]],1,0,L$3,1)),Tab.o1[[#This Row],[B]])</f>
        <v/>
      </c>
      <c r="Q954" s="121" t="str">
        <f>IF(Tab.o1[[#This Row],[a1]]=1,NORMSDIST(Tab.o1[[#This Row],[Zb]]),"")</f>
        <v/>
      </c>
      <c r="R954" s="122" t="str">
        <f>IF(Tab.o1[[#This Row],[a1]]=1,((Tab.o1[[#This Row],[MedMod]]-AVERAGE(Tab.o1[MedMod]))/_xlfn.STDEV.P(Tab.o1[MedMod])*H$1203)+G$1203,"")</f>
        <v/>
      </c>
      <c r="S954" s="122" t="str">
        <f>IF(Tab.o1[[#This Row],[a1]]=1,((Tab.o1[[#This Row],[MedMod]]-AVERAGE(Tab.o1[MedMod]))/_xlfn.STDEV.P(Tab.o1[MedMod])*H$1204)+G$1204,"")</f>
        <v/>
      </c>
      <c r="T954" s="123" t="str">
        <f>IF(Tab.o1[[#This Row],[a1]]=1,Tab.o1[[#This Row],[Z-]]*_xlfn.STDEV.P(Tab.o1[B])+AVERAGE(Tab.o1[B]),"")</f>
        <v/>
      </c>
      <c r="U954" s="123" t="str">
        <f>IF(Tab.o1[[#This Row],[a1]]=1,Tab.o1[[#This Row],[z+]]*_xlfn.STDEV.P(Tab.o1[B])+AVERAGE(Tab.o1[B]),"")</f>
        <v/>
      </c>
      <c r="V954" s="124" t="str">
        <f>IF(Tab.o1[[#This Row],[a1]]=1,ABS((ABS(Tab.o1[[#This Row],[Red]]-Tab.o1[[#This Row],[Blue]]))),"")</f>
        <v/>
      </c>
      <c r="W954" s="125" t="str">
        <f>IF(Tab.o1[[#This Row],[a1]]=1,IF(W$3=0,1,Tab.o1[[#This Row],[Amp.]]*1/_xlfn.MINIFS(Tab.o1[Amp.],Tab.o1[Amp.],"&lt;&gt;0")),"")</f>
        <v/>
      </c>
      <c r="X954" s="126" t="str">
        <f>IF(Tab.o1[[#This Row],[a1]]=1,IF(ISNUMBER(Tab.o1[[#This Row],[i.]]),NORMDIST(Tab.o1[[#This Row],[Za]],0,1,FALSE)*Tab.o1[[#This Row],[i.]],AP$3),"")</f>
        <v/>
      </c>
      <c r="Y954" s="126" t="str">
        <f>IF(Tab.o1[[#This Row],[a1]]=1,0.01+0.94*Tab.o1[[#This Row],[PDF]]/MAX(Tab.o1[PDF]),"")</f>
        <v/>
      </c>
      <c r="Z954" s="126" t="str">
        <f>IF(Tab.o1[[#This Row],[a1]]=1,0.01+0.94*Tab.o1[[#This Row],[W1_PDF]]/MAX(Tab.o1[W1_PDF]),"")</f>
        <v/>
      </c>
      <c r="AA954" s="118" t="str">
        <f>IF(Tab.o1[[#This Row],[a1]]=1,ABS([1]!T.in.A[[#This Row],[oo6]]),"")</f>
        <v/>
      </c>
      <c r="AB954" s="127" t="str">
        <f>IF(Tab.o1[[#This Row],[a1]]=1,IF(AE$3=0,"",IF(AB$3=0,ABS([1]!T.in.A[[#This Row],[oo9]]),ABS(Tab.o1[[#This Row],[DIF_Target.]]*Tab.o1[[#This Row],[W1_PDF]]))),"")</f>
        <v/>
      </c>
      <c r="AC954" s="127" t="str">
        <f>IF(G$1=1,"",IF(Tab.o1[[#This Row],[a1]]=1,Tab.o1[[#This Row],[Wr]]^2,""))</f>
        <v/>
      </c>
      <c r="AD954" s="118" t="str">
        <f>IF(Tab.o1[[#This Row],[a1]]=1,IF(AE$3=0,"",Tab.o1[[#This Row],[Wr2]]/SUM(Tab.o1[Wr2])),"")</f>
        <v/>
      </c>
      <c r="AE954" s="128" t="str">
        <f>IF(Tab.o1[[#This Row],[a1]]=1,[1]!T.in.A[[#This Row],[oo10]],"")</f>
        <v/>
      </c>
      <c r="AF954" s="118" t="str">
        <f>IF(Tab.o1[[#This Row],[a1]]=1,ABS(Tab.o1[[#This Row],[DIF_Target.]]*Tab.o1[[#This Row],[PDF2]]*Tab.o1[[#This Row],[IN]]),"")</f>
        <v/>
      </c>
      <c r="AG954" s="129" t="str">
        <f>IF(Tab.o1[[#This Row],[a1]]=1,Tab.o1[[#This Row],[rW]]^2,"")</f>
        <v/>
      </c>
      <c r="AH954" s="130" t="str">
        <f>IF(Tab.o1[[#This Row],[a1]]=1,IF(AH$3=0,Tab.o1[[#This Row],[rW2]],0.01+0.94*Tab.o1[[#This Row],[rW2]]/SUM(Tab.o1[rW2])),"")</f>
        <v/>
      </c>
      <c r="AI954" s="128" t="str">
        <f>IF(Tab.o1[[#This Row],[a1]]=1,1/Tab.o1[[#This Row],[PDF]],"")</f>
        <v/>
      </c>
      <c r="AJ954" s="131" t="str">
        <f>IF(Tab.o1[[#This Row],[a1]]=1,[1]!T_AA[[#This Row],[IN'']]*[1]!T_AA[[#This Row],[Qde'']],"")</f>
        <v/>
      </c>
      <c r="AK954" s="132" t="str">
        <f>IF(Tab.o1[[#This Row],[a1]]=1,IF(AK$1=1,Tab.o1[[#This Row],[MED]]+Tab.o1[[#This Row],[MOD]]-Tab.o1[[#This Row],[MED]],""),"")</f>
        <v/>
      </c>
      <c r="AL954" s="133" t="str">
        <f>IF(Tab.o1[[#This Row],[a1]]=1,[1]!T.in.A[[#This Row],[oo16]],"")</f>
        <v/>
      </c>
      <c r="AM954" s="133" t="str">
        <f>IF(Tab.o1[[#This Row],[a1]]=1,IF(AM$3=1,[1]!T.in.A[[#This Row],[Σo16]],""),"")</f>
        <v/>
      </c>
      <c r="AN954" s="126" t="str">
        <f>IF(Tab.o1[[#This Row],[a1]]=1,[1]!T.in.A[[#This Row],[Σp5]],"")</f>
        <v/>
      </c>
      <c r="AO954" s="126" t="str">
        <f>IF(Tab.o1[[#This Row],[a1]]=1,IF(AO$3=1,[1]!T.in.A[[#This Row],[Σp5]],""),"")</f>
        <v/>
      </c>
      <c r="AP954" s="110" t="str">
        <f>IF(Tab.o1[[#This Row],[a1]]=1,IF(ISNUMBER(Tab.o1[[#This Row],[i.]]),NORMDIST(Tab.o1[[#This Row],[Za]],0,1,FALSE)*Tab.o1[[#This Row],[i.]],0),"")</f>
        <v/>
      </c>
      <c r="AQ954" s="125" t="str">
        <f>IF(Tab.o1[[#This Row],[a1]]=1,ABS(Tab.o1[[#This Row],[MOD]]-AVERAGE(Tab.o1[MOD])),"")</f>
        <v/>
      </c>
      <c r="AR954" s="134" t="str">
        <f>IF(Tab.o1[[#This Row],[a1]]=1,Tab.o1[[#This Row],[OBS]]/SUM(Tab.o1[OBS]),"")</f>
        <v/>
      </c>
      <c r="AS954" s="135" t="str">
        <f>IF(ISNUMBER(Tab.o1[[#This Row],[a1]]),ROW()-4,"")</f>
        <v/>
      </c>
      <c r="AT954" s="136" t="str">
        <f>Tab.o1[[#This Row],[MOD]]</f>
        <v/>
      </c>
      <c r="AU954" s="137" t="str">
        <f t="shared" si="57"/>
        <v/>
      </c>
      <c r="AV954" s="138" t="str">
        <f t="shared" si="58"/>
        <v/>
      </c>
      <c r="AW954" s="138" t="str">
        <f t="shared" si="59"/>
        <v/>
      </c>
      <c r="AX954" s="139" t="str">
        <f>[1]!T.in.A[[#This Row],[ID_T_manu]]</f>
        <v/>
      </c>
      <c r="AY954" s="140" t="str">
        <f>IF(ISNUMBER(Tab.o1[[#This Row],[a1]]),IF(AND(Tab.o1[[#This Row],[a1]]=1,Tab.o1[[#This Row],[b1]]&lt;=AY$4),#REF!,AY953),"")</f>
        <v/>
      </c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6"/>
      <c r="BO954" s="26"/>
      <c r="BP954" s="26"/>
      <c r="BQ954" s="26"/>
      <c r="BR954" s="26"/>
      <c r="BS954" s="26"/>
      <c r="BT954" s="26"/>
      <c r="BU954" s="26"/>
      <c r="BV954" s="26"/>
      <c r="BW954" s="26"/>
      <c r="BX954" s="26"/>
      <c r="BY954" s="26"/>
      <c r="BZ954" s="26"/>
      <c r="CA954" s="26"/>
    </row>
    <row r="955" spans="1:79" ht="15.75" hidden="1">
      <c r="A955" s="109">
        <v>4.0000000000000007E-6</v>
      </c>
      <c r="B955" s="110">
        <f t="shared" si="56"/>
        <v>955</v>
      </c>
      <c r="C955" s="111" t="str">
        <f>IF(C$1=[1]!T.in.A[[#This Row],[oo2]],1,"")</f>
        <v/>
      </c>
      <c r="D955" s="112" t="str">
        <f>IF(Tab.o1[[#This Row],[a1]]=1,IF(SUM(C955:C956)=0,0,IF(SUM(C954:C955)=1,1,IF(SUM(C954:C956)&gt;1,D954+1,0))),"")</f>
        <v/>
      </c>
      <c r="E955" s="113" t="str">
        <f>IF(Tab.o1[[#This Row],[a1]]=1,[1]!T.in.A[[#This Row],[oo1]],"")</f>
        <v/>
      </c>
      <c r="F955" s="113" t="str">
        <f>IF(Tab.o1[[#This Row],[a1]]=1,[1]!T.in.A[[#This Row],[pp1]],"")</f>
        <v/>
      </c>
      <c r="G955" s="114" t="str">
        <f>IF(Tab.o1[[#This Row],[a1]]=1,G$2+IF(G$1=1,0,Tab.o1[[#This Row],[.x1]])+[1]!T.in.A[[#This Row],[oo3]],"")</f>
        <v/>
      </c>
      <c r="H955" s="115" t="str">
        <f>IF(Tab.o1[[#This Row],[a1]]=1,IF(H$2=0,0,IF(G$1=1,0,Tab.o1[[#This Row],[.x1]])+[1]!T.in.A[[#This Row],[oo4]]),"")</f>
        <v/>
      </c>
      <c r="I955" s="116" t="str">
        <f>IF(Tab.o1[[#This Row],[a1]]=1,IF(J$2=0,Tab.o1[[#This Row],[MED]],Tab.o1[[#This Row],[MOD]]),"")</f>
        <v/>
      </c>
      <c r="J955" s="116" t="str">
        <f>IF(Tab.o1[[#This Row],[a1]]=1,((Tab.o1[[#This Row],[DIF_Target.]]-AVERAGE(Tab.o1[DIF_Target.]))/_xlfn.STDEV.P(Tab.o1[DIF_Target.])),"")</f>
        <v/>
      </c>
      <c r="K955" s="117" t="str">
        <f>IF(Tab.o1[[#This Row],[a1]]=1,IF(J$2=0,Tab.o1[[#This Row],[MOD]]-Tab.o1[[#This Row],[B]],IF(J$2=1,0,-Tab.o1[[#This Row],[MED]])+Tab.o1[[#This Row],[B]]),"")</f>
        <v/>
      </c>
      <c r="L955" s="117" t="str">
        <f ca="1">IF(Tab.o1[[#This Row],[DIF_Target]]=0,IF(L$2=0,Tab.o1[[#This Row],[DIF_Target]],AVERAGE(OFFSET(Tab.o1[[#This Row],[DIF_Target]],1,0,L$3,1)))/3,Tab.o1[[#This Row],[DIF_Target]])</f>
        <v/>
      </c>
      <c r="M955" s="118" t="str">
        <f>IF(Tab.o1[[#This Row],[a1]]=1,NORMSDIST(Tab.o1[[#This Row],[Za]]),"")</f>
        <v/>
      </c>
      <c r="N955" s="119" t="str">
        <f>IF(Tab.o1[[#This Row],[a1]]=1,((Tab.o1[[#This Row],[MedMod]]-AVERAGE(Tab.o1[MedMod]))/_xlfn.STDEV.P(Tab.o1[MedMod])*H$1205)+G$1205,"")</f>
        <v/>
      </c>
      <c r="O955" s="141" t="str">
        <f>IF(Tab.o1[[#This Row],[a1]]=1,Tab.o1[[#This Row],[Zb]]*_xlfn.STDEV.P(Tab.o1[MedMod])+AVERAGE(Tab.o1[MedMod]),"")</f>
        <v/>
      </c>
      <c r="P955" s="117" t="str">
        <f ca="1">IF(Tab.o1[[#This Row],[B]]=0,AVERAGE(OFFSET(Tab.o1[[#This Row],[B]],1,0,L$3,1)),Tab.o1[[#This Row],[B]])</f>
        <v/>
      </c>
      <c r="Q955" s="121" t="str">
        <f>IF(Tab.o1[[#This Row],[a1]]=1,NORMSDIST(Tab.o1[[#This Row],[Zb]]),"")</f>
        <v/>
      </c>
      <c r="R955" s="122" t="str">
        <f>IF(Tab.o1[[#This Row],[a1]]=1,((Tab.o1[[#This Row],[MedMod]]-AVERAGE(Tab.o1[MedMod]))/_xlfn.STDEV.P(Tab.o1[MedMod])*H$1203)+G$1203,"")</f>
        <v/>
      </c>
      <c r="S955" s="122" t="str">
        <f>IF(Tab.o1[[#This Row],[a1]]=1,((Tab.o1[[#This Row],[MedMod]]-AVERAGE(Tab.o1[MedMod]))/_xlfn.STDEV.P(Tab.o1[MedMod])*H$1204)+G$1204,"")</f>
        <v/>
      </c>
      <c r="T955" s="123" t="str">
        <f>IF(Tab.o1[[#This Row],[a1]]=1,Tab.o1[[#This Row],[Z-]]*_xlfn.STDEV.P(Tab.o1[B])+AVERAGE(Tab.o1[B]),"")</f>
        <v/>
      </c>
      <c r="U955" s="123" t="str">
        <f>IF(Tab.o1[[#This Row],[a1]]=1,Tab.o1[[#This Row],[z+]]*_xlfn.STDEV.P(Tab.o1[B])+AVERAGE(Tab.o1[B]),"")</f>
        <v/>
      </c>
      <c r="V955" s="124" t="str">
        <f>IF(Tab.o1[[#This Row],[a1]]=1,ABS((ABS(Tab.o1[[#This Row],[Red]]-Tab.o1[[#This Row],[Blue]]))),"")</f>
        <v/>
      </c>
      <c r="W955" s="125" t="str">
        <f>IF(Tab.o1[[#This Row],[a1]]=1,IF(W$3=0,1,Tab.o1[[#This Row],[Amp.]]*1/_xlfn.MINIFS(Tab.o1[Amp.],Tab.o1[Amp.],"&lt;&gt;0")),"")</f>
        <v/>
      </c>
      <c r="X955" s="126" t="str">
        <f>IF(Tab.o1[[#This Row],[a1]]=1,IF(ISNUMBER(Tab.o1[[#This Row],[i.]]),NORMDIST(Tab.o1[[#This Row],[Za]],0,1,FALSE)*Tab.o1[[#This Row],[i.]],AP$3),"")</f>
        <v/>
      </c>
      <c r="Y955" s="126" t="str">
        <f>IF(Tab.o1[[#This Row],[a1]]=1,0.01+0.94*Tab.o1[[#This Row],[PDF]]/MAX(Tab.o1[PDF]),"")</f>
        <v/>
      </c>
      <c r="Z955" s="126" t="str">
        <f>IF(Tab.o1[[#This Row],[a1]]=1,0.01+0.94*Tab.o1[[#This Row],[W1_PDF]]/MAX(Tab.o1[W1_PDF]),"")</f>
        <v/>
      </c>
      <c r="AA955" s="118" t="str">
        <f>IF(Tab.o1[[#This Row],[a1]]=1,ABS([1]!T.in.A[[#This Row],[oo6]]),"")</f>
        <v/>
      </c>
      <c r="AB955" s="127" t="str">
        <f>IF(Tab.o1[[#This Row],[a1]]=1,IF(AE$3=0,"",IF(AB$3=0,ABS([1]!T.in.A[[#This Row],[oo9]]),ABS(Tab.o1[[#This Row],[DIF_Target.]]*Tab.o1[[#This Row],[W1_PDF]]))),"")</f>
        <v/>
      </c>
      <c r="AC955" s="127" t="str">
        <f>IF(G$1=1,"",IF(Tab.o1[[#This Row],[a1]]=1,Tab.o1[[#This Row],[Wr]]^2,""))</f>
        <v/>
      </c>
      <c r="AD955" s="118" t="str">
        <f>IF(Tab.o1[[#This Row],[a1]]=1,IF(AE$3=0,"",Tab.o1[[#This Row],[Wr2]]/SUM(Tab.o1[Wr2])),"")</f>
        <v/>
      </c>
      <c r="AE955" s="128" t="str">
        <f>IF(Tab.o1[[#This Row],[a1]]=1,[1]!T.in.A[[#This Row],[oo10]],"")</f>
        <v/>
      </c>
      <c r="AF955" s="118" t="str">
        <f>IF(Tab.o1[[#This Row],[a1]]=1,ABS(Tab.o1[[#This Row],[DIF_Target.]]*Tab.o1[[#This Row],[PDF2]]*Tab.o1[[#This Row],[IN]]),"")</f>
        <v/>
      </c>
      <c r="AG955" s="129" t="str">
        <f>IF(Tab.o1[[#This Row],[a1]]=1,Tab.o1[[#This Row],[rW]]^2,"")</f>
        <v/>
      </c>
      <c r="AH955" s="130" t="str">
        <f>IF(Tab.o1[[#This Row],[a1]]=1,IF(AH$3=0,Tab.o1[[#This Row],[rW2]],0.01+0.94*Tab.o1[[#This Row],[rW2]]/SUM(Tab.o1[rW2])),"")</f>
        <v/>
      </c>
      <c r="AI955" s="128" t="str">
        <f>IF(Tab.o1[[#This Row],[a1]]=1,1/Tab.o1[[#This Row],[PDF]],"")</f>
        <v/>
      </c>
      <c r="AJ955" s="131" t="str">
        <f>IF(Tab.o1[[#This Row],[a1]]=1,[1]!T_AA[[#This Row],[IN'']]*[1]!T_AA[[#This Row],[Qde'']],"")</f>
        <v/>
      </c>
      <c r="AK955" s="132" t="str">
        <f>IF(Tab.o1[[#This Row],[a1]]=1,IF(AK$1=1,Tab.o1[[#This Row],[MED]]+Tab.o1[[#This Row],[MOD]]-Tab.o1[[#This Row],[MED]],""),"")</f>
        <v/>
      </c>
      <c r="AL955" s="133" t="str">
        <f>IF(Tab.o1[[#This Row],[a1]]=1,[1]!T.in.A[[#This Row],[oo16]],"")</f>
        <v/>
      </c>
      <c r="AM955" s="133" t="str">
        <f>IF(Tab.o1[[#This Row],[a1]]=1,IF(AM$3=1,[1]!T.in.A[[#This Row],[Σo16]],""),"")</f>
        <v/>
      </c>
      <c r="AN955" s="126" t="str">
        <f>IF(Tab.o1[[#This Row],[a1]]=1,[1]!T.in.A[[#This Row],[Σp5]],"")</f>
        <v/>
      </c>
      <c r="AO955" s="126" t="str">
        <f>IF(Tab.o1[[#This Row],[a1]]=1,IF(AO$3=1,[1]!T.in.A[[#This Row],[Σp5]],""),"")</f>
        <v/>
      </c>
      <c r="AP955" s="110" t="str">
        <f>IF(Tab.o1[[#This Row],[a1]]=1,IF(ISNUMBER(Tab.o1[[#This Row],[i.]]),NORMDIST(Tab.o1[[#This Row],[Za]],0,1,FALSE)*Tab.o1[[#This Row],[i.]],0),"")</f>
        <v/>
      </c>
      <c r="AQ955" s="125" t="str">
        <f>IF(Tab.o1[[#This Row],[a1]]=1,ABS(Tab.o1[[#This Row],[MOD]]-AVERAGE(Tab.o1[MOD])),"")</f>
        <v/>
      </c>
      <c r="AR955" s="134" t="str">
        <f>IF(Tab.o1[[#This Row],[a1]]=1,Tab.o1[[#This Row],[OBS]]/SUM(Tab.o1[OBS]),"")</f>
        <v/>
      </c>
      <c r="AS955" s="135" t="str">
        <f>IF(ISNUMBER(Tab.o1[[#This Row],[a1]]),ROW()-4,"")</f>
        <v/>
      </c>
      <c r="AT955" s="136" t="str">
        <f>Tab.o1[[#This Row],[MOD]]</f>
        <v/>
      </c>
      <c r="AU955" s="137" t="str">
        <f t="shared" si="57"/>
        <v/>
      </c>
      <c r="AV955" s="138" t="str">
        <f t="shared" si="58"/>
        <v/>
      </c>
      <c r="AW955" s="138" t="str">
        <f t="shared" si="59"/>
        <v/>
      </c>
      <c r="AX955" s="139" t="str">
        <f>[1]!T.in.A[[#This Row],[ID_T_manu]]</f>
        <v/>
      </c>
      <c r="AY955" s="140" t="str">
        <f>IF(ISNUMBER(Tab.o1[[#This Row],[a1]]),IF(AND(Tab.o1[[#This Row],[a1]]=1,Tab.o1[[#This Row],[b1]]&lt;=AY$4),#REF!,AY954),"")</f>
        <v/>
      </c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6"/>
      <c r="BO955" s="26"/>
      <c r="BP955" s="26"/>
      <c r="BQ955" s="26"/>
      <c r="BR955" s="26"/>
      <c r="BS955" s="26"/>
      <c r="BT955" s="26"/>
      <c r="BU955" s="26"/>
      <c r="BV955" s="26"/>
      <c r="BW955" s="26"/>
      <c r="BX955" s="26"/>
      <c r="BY955" s="26"/>
      <c r="BZ955" s="26"/>
      <c r="CA955" s="26"/>
    </row>
    <row r="956" spans="1:79" ht="15.75" hidden="1">
      <c r="A956" s="109">
        <v>9.0000000000000002E-6</v>
      </c>
      <c r="B956" s="110">
        <f t="shared" si="56"/>
        <v>956</v>
      </c>
      <c r="C956" s="111" t="str">
        <f>IF(C$1=[1]!T.in.A[[#This Row],[oo2]],1,"")</f>
        <v/>
      </c>
      <c r="D956" s="112" t="str">
        <f>IF(Tab.o1[[#This Row],[a1]]=1,IF(SUM(C956:C957)=0,0,IF(SUM(C955:C956)=1,1,IF(SUM(C955:C957)&gt;1,D955+1,0))),"")</f>
        <v/>
      </c>
      <c r="E956" s="113" t="str">
        <f>IF(Tab.o1[[#This Row],[a1]]=1,[1]!T.in.A[[#This Row],[oo1]],"")</f>
        <v/>
      </c>
      <c r="F956" s="113" t="str">
        <f>IF(Tab.o1[[#This Row],[a1]]=1,[1]!T.in.A[[#This Row],[pp1]],"")</f>
        <v/>
      </c>
      <c r="G956" s="114" t="str">
        <f>IF(Tab.o1[[#This Row],[a1]]=1,G$2+IF(G$1=1,0,Tab.o1[[#This Row],[.x1]])+[1]!T.in.A[[#This Row],[oo3]],"")</f>
        <v/>
      </c>
      <c r="H956" s="115" t="str">
        <f>IF(Tab.o1[[#This Row],[a1]]=1,IF(H$2=0,0,IF(G$1=1,0,Tab.o1[[#This Row],[.x1]])+[1]!T.in.A[[#This Row],[oo4]]),"")</f>
        <v/>
      </c>
      <c r="I956" s="116" t="str">
        <f>IF(Tab.o1[[#This Row],[a1]]=1,IF(J$2=0,Tab.o1[[#This Row],[MED]],Tab.o1[[#This Row],[MOD]]),"")</f>
        <v/>
      </c>
      <c r="J956" s="116" t="str">
        <f>IF(Tab.o1[[#This Row],[a1]]=1,((Tab.o1[[#This Row],[DIF_Target.]]-AVERAGE(Tab.o1[DIF_Target.]))/_xlfn.STDEV.P(Tab.o1[DIF_Target.])),"")</f>
        <v/>
      </c>
      <c r="K956" s="117" t="str">
        <f>IF(Tab.o1[[#This Row],[a1]]=1,IF(J$2=0,Tab.o1[[#This Row],[MOD]]-Tab.o1[[#This Row],[B]],IF(J$2=1,0,-Tab.o1[[#This Row],[MED]])+Tab.o1[[#This Row],[B]]),"")</f>
        <v/>
      </c>
      <c r="L956" s="117" t="str">
        <f ca="1">IF(Tab.o1[[#This Row],[DIF_Target]]=0,IF(L$2=0,Tab.o1[[#This Row],[DIF_Target]],AVERAGE(OFFSET(Tab.o1[[#This Row],[DIF_Target]],1,0,L$3,1)))/3,Tab.o1[[#This Row],[DIF_Target]])</f>
        <v/>
      </c>
      <c r="M956" s="118" t="str">
        <f>IF(Tab.o1[[#This Row],[a1]]=1,NORMSDIST(Tab.o1[[#This Row],[Za]]),"")</f>
        <v/>
      </c>
      <c r="N956" s="119" t="str">
        <f>IF(Tab.o1[[#This Row],[a1]]=1,((Tab.o1[[#This Row],[MedMod]]-AVERAGE(Tab.o1[MedMod]))/_xlfn.STDEV.P(Tab.o1[MedMod])*H$1205)+G$1205,"")</f>
        <v/>
      </c>
      <c r="O956" s="141" t="str">
        <f>IF(Tab.o1[[#This Row],[a1]]=1,Tab.o1[[#This Row],[Zb]]*_xlfn.STDEV.P(Tab.o1[MedMod])+AVERAGE(Tab.o1[MedMod]),"")</f>
        <v/>
      </c>
      <c r="P956" s="117" t="str">
        <f ca="1">IF(Tab.o1[[#This Row],[B]]=0,AVERAGE(OFFSET(Tab.o1[[#This Row],[B]],1,0,L$3,1)),Tab.o1[[#This Row],[B]])</f>
        <v/>
      </c>
      <c r="Q956" s="121" t="str">
        <f>IF(Tab.o1[[#This Row],[a1]]=1,NORMSDIST(Tab.o1[[#This Row],[Zb]]),"")</f>
        <v/>
      </c>
      <c r="R956" s="122" t="str">
        <f>IF(Tab.o1[[#This Row],[a1]]=1,((Tab.o1[[#This Row],[MedMod]]-AVERAGE(Tab.o1[MedMod]))/_xlfn.STDEV.P(Tab.o1[MedMod])*H$1203)+G$1203,"")</f>
        <v/>
      </c>
      <c r="S956" s="122" t="str">
        <f>IF(Tab.o1[[#This Row],[a1]]=1,((Tab.o1[[#This Row],[MedMod]]-AVERAGE(Tab.o1[MedMod]))/_xlfn.STDEV.P(Tab.o1[MedMod])*H$1204)+G$1204,"")</f>
        <v/>
      </c>
      <c r="T956" s="123" t="str">
        <f>IF(Tab.o1[[#This Row],[a1]]=1,Tab.o1[[#This Row],[Z-]]*_xlfn.STDEV.P(Tab.o1[B])+AVERAGE(Tab.o1[B]),"")</f>
        <v/>
      </c>
      <c r="U956" s="123" t="str">
        <f>IF(Tab.o1[[#This Row],[a1]]=1,Tab.o1[[#This Row],[z+]]*_xlfn.STDEV.P(Tab.o1[B])+AVERAGE(Tab.o1[B]),"")</f>
        <v/>
      </c>
      <c r="V956" s="124" t="str">
        <f>IF(Tab.o1[[#This Row],[a1]]=1,ABS((ABS(Tab.o1[[#This Row],[Red]]-Tab.o1[[#This Row],[Blue]]))),"")</f>
        <v/>
      </c>
      <c r="W956" s="125" t="str">
        <f>IF(Tab.o1[[#This Row],[a1]]=1,IF(W$3=0,1,Tab.o1[[#This Row],[Amp.]]*1/_xlfn.MINIFS(Tab.o1[Amp.],Tab.o1[Amp.],"&lt;&gt;0")),"")</f>
        <v/>
      </c>
      <c r="X956" s="126" t="str">
        <f>IF(Tab.o1[[#This Row],[a1]]=1,IF(ISNUMBER(Tab.o1[[#This Row],[i.]]),NORMDIST(Tab.o1[[#This Row],[Za]],0,1,FALSE)*Tab.o1[[#This Row],[i.]],AP$3),"")</f>
        <v/>
      </c>
      <c r="Y956" s="126" t="str">
        <f>IF(Tab.o1[[#This Row],[a1]]=1,0.01+0.94*Tab.o1[[#This Row],[PDF]]/MAX(Tab.o1[PDF]),"")</f>
        <v/>
      </c>
      <c r="Z956" s="126" t="str">
        <f>IF(Tab.o1[[#This Row],[a1]]=1,0.01+0.94*Tab.o1[[#This Row],[W1_PDF]]/MAX(Tab.o1[W1_PDF]),"")</f>
        <v/>
      </c>
      <c r="AA956" s="118" t="str">
        <f>IF(Tab.o1[[#This Row],[a1]]=1,ABS([1]!T.in.A[[#This Row],[oo6]]),"")</f>
        <v/>
      </c>
      <c r="AB956" s="127" t="str">
        <f>IF(Tab.o1[[#This Row],[a1]]=1,IF(AE$3=0,"",IF(AB$3=0,ABS([1]!T.in.A[[#This Row],[oo9]]),ABS(Tab.o1[[#This Row],[DIF_Target.]]*Tab.o1[[#This Row],[W1_PDF]]))),"")</f>
        <v/>
      </c>
      <c r="AC956" s="127" t="str">
        <f>IF(G$1=1,"",IF(Tab.o1[[#This Row],[a1]]=1,Tab.o1[[#This Row],[Wr]]^2,""))</f>
        <v/>
      </c>
      <c r="AD956" s="118" t="str">
        <f>IF(Tab.o1[[#This Row],[a1]]=1,IF(AE$3=0,"",Tab.o1[[#This Row],[Wr2]]/SUM(Tab.o1[Wr2])),"")</f>
        <v/>
      </c>
      <c r="AE956" s="128" t="str">
        <f>IF(Tab.o1[[#This Row],[a1]]=1,[1]!T.in.A[[#This Row],[oo10]],"")</f>
        <v/>
      </c>
      <c r="AF956" s="118" t="str">
        <f>IF(Tab.o1[[#This Row],[a1]]=1,ABS(Tab.o1[[#This Row],[DIF_Target.]]*Tab.o1[[#This Row],[PDF2]]*Tab.o1[[#This Row],[IN]]),"")</f>
        <v/>
      </c>
      <c r="AG956" s="129" t="str">
        <f>IF(Tab.o1[[#This Row],[a1]]=1,Tab.o1[[#This Row],[rW]]^2,"")</f>
        <v/>
      </c>
      <c r="AH956" s="130" t="str">
        <f>IF(Tab.o1[[#This Row],[a1]]=1,IF(AH$3=0,Tab.o1[[#This Row],[rW2]],0.01+0.94*Tab.o1[[#This Row],[rW2]]/SUM(Tab.o1[rW2])),"")</f>
        <v/>
      </c>
      <c r="AI956" s="128" t="str">
        <f>IF(Tab.o1[[#This Row],[a1]]=1,1/Tab.o1[[#This Row],[PDF]],"")</f>
        <v/>
      </c>
      <c r="AJ956" s="131" t="str">
        <f>IF(Tab.o1[[#This Row],[a1]]=1,[1]!T_AA[[#This Row],[IN'']]*[1]!T_AA[[#This Row],[Qde'']],"")</f>
        <v/>
      </c>
      <c r="AK956" s="132" t="str">
        <f>IF(Tab.o1[[#This Row],[a1]]=1,IF(AK$1=1,Tab.o1[[#This Row],[MED]]+Tab.o1[[#This Row],[MOD]]-Tab.o1[[#This Row],[MED]],""),"")</f>
        <v/>
      </c>
      <c r="AL956" s="133" t="str">
        <f>IF(Tab.o1[[#This Row],[a1]]=1,[1]!T.in.A[[#This Row],[oo16]],"")</f>
        <v/>
      </c>
      <c r="AM956" s="133" t="str">
        <f>IF(Tab.o1[[#This Row],[a1]]=1,IF(AM$3=1,[1]!T.in.A[[#This Row],[Σo16]],""),"")</f>
        <v/>
      </c>
      <c r="AN956" s="126" t="str">
        <f>IF(Tab.o1[[#This Row],[a1]]=1,[1]!T.in.A[[#This Row],[Σp5]],"")</f>
        <v/>
      </c>
      <c r="AO956" s="126" t="str">
        <f>IF(Tab.o1[[#This Row],[a1]]=1,IF(AO$3=1,[1]!T.in.A[[#This Row],[Σp5]],""),"")</f>
        <v/>
      </c>
      <c r="AP956" s="110" t="str">
        <f>IF(Tab.o1[[#This Row],[a1]]=1,IF(ISNUMBER(Tab.o1[[#This Row],[i.]]),NORMDIST(Tab.o1[[#This Row],[Za]],0,1,FALSE)*Tab.o1[[#This Row],[i.]],0),"")</f>
        <v/>
      </c>
      <c r="AQ956" s="125" t="str">
        <f>IF(Tab.o1[[#This Row],[a1]]=1,ABS(Tab.o1[[#This Row],[MOD]]-AVERAGE(Tab.o1[MOD])),"")</f>
        <v/>
      </c>
      <c r="AR956" s="134" t="str">
        <f>IF(Tab.o1[[#This Row],[a1]]=1,Tab.o1[[#This Row],[OBS]]/SUM(Tab.o1[OBS]),"")</f>
        <v/>
      </c>
      <c r="AS956" s="135" t="str">
        <f>IF(ISNUMBER(Tab.o1[[#This Row],[a1]]),ROW()-4,"")</f>
        <v/>
      </c>
      <c r="AT956" s="136" t="str">
        <f>Tab.o1[[#This Row],[MOD]]</f>
        <v/>
      </c>
      <c r="AU956" s="137" t="str">
        <f t="shared" si="57"/>
        <v/>
      </c>
      <c r="AV956" s="138" t="str">
        <f t="shared" si="58"/>
        <v/>
      </c>
      <c r="AW956" s="138" t="str">
        <f t="shared" si="59"/>
        <v/>
      </c>
      <c r="AX956" s="139" t="str">
        <f>[1]!T.in.A[[#This Row],[ID_T_manu]]</f>
        <v/>
      </c>
      <c r="AY956" s="140" t="str">
        <f>IF(ISNUMBER(Tab.o1[[#This Row],[a1]]),IF(AND(Tab.o1[[#This Row],[a1]]=1,Tab.o1[[#This Row],[b1]]&lt;=AY$4),#REF!,AY955),"")</f>
        <v/>
      </c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6"/>
      <c r="BO956" s="26"/>
      <c r="BP956" s="26"/>
      <c r="BQ956" s="26"/>
      <c r="BR956" s="26"/>
      <c r="BS956" s="26"/>
      <c r="BT956" s="26"/>
      <c r="BU956" s="26"/>
      <c r="BV956" s="26"/>
      <c r="BW956" s="26"/>
      <c r="BX956" s="26"/>
      <c r="BY956" s="26"/>
      <c r="BZ956" s="26"/>
      <c r="CA956" s="26"/>
    </row>
    <row r="957" spans="1:79" ht="15.75" hidden="1">
      <c r="A957" s="109">
        <v>-8.0000000000000013E-6</v>
      </c>
      <c r="B957" s="110">
        <f t="shared" si="56"/>
        <v>957</v>
      </c>
      <c r="C957" s="111" t="str">
        <f>IF(C$1=[1]!T.in.A[[#This Row],[oo2]],1,"")</f>
        <v/>
      </c>
      <c r="D957" s="112" t="str">
        <f>IF(Tab.o1[[#This Row],[a1]]=1,IF(SUM(C957:C958)=0,0,IF(SUM(C956:C957)=1,1,IF(SUM(C956:C958)&gt;1,D956+1,0))),"")</f>
        <v/>
      </c>
      <c r="E957" s="113" t="str">
        <f>IF(Tab.o1[[#This Row],[a1]]=1,[1]!T.in.A[[#This Row],[oo1]],"")</f>
        <v/>
      </c>
      <c r="F957" s="113" t="str">
        <f>IF(Tab.o1[[#This Row],[a1]]=1,[1]!T.in.A[[#This Row],[pp1]],"")</f>
        <v/>
      </c>
      <c r="G957" s="114" t="str">
        <f>IF(Tab.o1[[#This Row],[a1]]=1,G$2+IF(G$1=1,0,Tab.o1[[#This Row],[.x1]])+[1]!T.in.A[[#This Row],[oo3]],"")</f>
        <v/>
      </c>
      <c r="H957" s="115" t="str">
        <f>IF(Tab.o1[[#This Row],[a1]]=1,IF(H$2=0,0,IF(G$1=1,0,Tab.o1[[#This Row],[.x1]])+[1]!T.in.A[[#This Row],[oo4]]),"")</f>
        <v/>
      </c>
      <c r="I957" s="116" t="str">
        <f>IF(Tab.o1[[#This Row],[a1]]=1,IF(J$2=0,Tab.o1[[#This Row],[MED]],Tab.o1[[#This Row],[MOD]]),"")</f>
        <v/>
      </c>
      <c r="J957" s="116" t="str">
        <f>IF(Tab.o1[[#This Row],[a1]]=1,((Tab.o1[[#This Row],[DIF_Target.]]-AVERAGE(Tab.o1[DIF_Target.]))/_xlfn.STDEV.P(Tab.o1[DIF_Target.])),"")</f>
        <v/>
      </c>
      <c r="K957" s="117" t="str">
        <f>IF(Tab.o1[[#This Row],[a1]]=1,IF(J$2=0,Tab.o1[[#This Row],[MOD]]-Tab.o1[[#This Row],[B]],IF(J$2=1,0,-Tab.o1[[#This Row],[MED]])+Tab.o1[[#This Row],[B]]),"")</f>
        <v/>
      </c>
      <c r="L957" s="117" t="str">
        <f ca="1">IF(Tab.o1[[#This Row],[DIF_Target]]=0,IF(L$2=0,Tab.o1[[#This Row],[DIF_Target]],AVERAGE(OFFSET(Tab.o1[[#This Row],[DIF_Target]],1,0,L$3,1)))/3,Tab.o1[[#This Row],[DIF_Target]])</f>
        <v/>
      </c>
      <c r="M957" s="118" t="str">
        <f>IF(Tab.o1[[#This Row],[a1]]=1,NORMSDIST(Tab.o1[[#This Row],[Za]]),"")</f>
        <v/>
      </c>
      <c r="N957" s="119" t="str">
        <f>IF(Tab.o1[[#This Row],[a1]]=1,((Tab.o1[[#This Row],[MedMod]]-AVERAGE(Tab.o1[MedMod]))/_xlfn.STDEV.P(Tab.o1[MedMod])*H$1205)+G$1205,"")</f>
        <v/>
      </c>
      <c r="O957" s="141" t="str">
        <f>IF(Tab.o1[[#This Row],[a1]]=1,Tab.o1[[#This Row],[Zb]]*_xlfn.STDEV.P(Tab.o1[MedMod])+AVERAGE(Tab.o1[MedMod]),"")</f>
        <v/>
      </c>
      <c r="P957" s="117" t="str">
        <f ca="1">IF(Tab.o1[[#This Row],[B]]=0,AVERAGE(OFFSET(Tab.o1[[#This Row],[B]],1,0,L$3,1)),Tab.o1[[#This Row],[B]])</f>
        <v/>
      </c>
      <c r="Q957" s="121" t="str">
        <f>IF(Tab.o1[[#This Row],[a1]]=1,NORMSDIST(Tab.o1[[#This Row],[Zb]]),"")</f>
        <v/>
      </c>
      <c r="R957" s="122" t="str">
        <f>IF(Tab.o1[[#This Row],[a1]]=1,((Tab.o1[[#This Row],[MedMod]]-AVERAGE(Tab.o1[MedMod]))/_xlfn.STDEV.P(Tab.o1[MedMod])*H$1203)+G$1203,"")</f>
        <v/>
      </c>
      <c r="S957" s="122" t="str">
        <f>IF(Tab.o1[[#This Row],[a1]]=1,((Tab.o1[[#This Row],[MedMod]]-AVERAGE(Tab.o1[MedMod]))/_xlfn.STDEV.P(Tab.o1[MedMod])*H$1204)+G$1204,"")</f>
        <v/>
      </c>
      <c r="T957" s="123" t="str">
        <f>IF(Tab.o1[[#This Row],[a1]]=1,Tab.o1[[#This Row],[Z-]]*_xlfn.STDEV.P(Tab.o1[B])+AVERAGE(Tab.o1[B]),"")</f>
        <v/>
      </c>
      <c r="U957" s="123" t="str">
        <f>IF(Tab.o1[[#This Row],[a1]]=1,Tab.o1[[#This Row],[z+]]*_xlfn.STDEV.P(Tab.o1[B])+AVERAGE(Tab.o1[B]),"")</f>
        <v/>
      </c>
      <c r="V957" s="124" t="str">
        <f>IF(Tab.o1[[#This Row],[a1]]=1,ABS((ABS(Tab.o1[[#This Row],[Red]]-Tab.o1[[#This Row],[Blue]]))),"")</f>
        <v/>
      </c>
      <c r="W957" s="125" t="str">
        <f>IF(Tab.o1[[#This Row],[a1]]=1,IF(W$3=0,1,Tab.o1[[#This Row],[Amp.]]*1/_xlfn.MINIFS(Tab.o1[Amp.],Tab.o1[Amp.],"&lt;&gt;0")),"")</f>
        <v/>
      </c>
      <c r="X957" s="126" t="str">
        <f>IF(Tab.o1[[#This Row],[a1]]=1,IF(ISNUMBER(Tab.o1[[#This Row],[i.]]),NORMDIST(Tab.o1[[#This Row],[Za]],0,1,FALSE)*Tab.o1[[#This Row],[i.]],AP$3),"")</f>
        <v/>
      </c>
      <c r="Y957" s="126" t="str">
        <f>IF(Tab.o1[[#This Row],[a1]]=1,0.01+0.94*Tab.o1[[#This Row],[PDF]]/MAX(Tab.o1[PDF]),"")</f>
        <v/>
      </c>
      <c r="Z957" s="126" t="str">
        <f>IF(Tab.o1[[#This Row],[a1]]=1,0.01+0.94*Tab.o1[[#This Row],[W1_PDF]]/MAX(Tab.o1[W1_PDF]),"")</f>
        <v/>
      </c>
      <c r="AA957" s="118" t="str">
        <f>IF(Tab.o1[[#This Row],[a1]]=1,ABS([1]!T.in.A[[#This Row],[oo6]]),"")</f>
        <v/>
      </c>
      <c r="AB957" s="127" t="str">
        <f>IF(Tab.o1[[#This Row],[a1]]=1,IF(AE$3=0,"",IF(AB$3=0,ABS([1]!T.in.A[[#This Row],[oo9]]),ABS(Tab.o1[[#This Row],[DIF_Target.]]*Tab.o1[[#This Row],[W1_PDF]]))),"")</f>
        <v/>
      </c>
      <c r="AC957" s="127" t="str">
        <f>IF(G$1=1,"",IF(Tab.o1[[#This Row],[a1]]=1,Tab.o1[[#This Row],[Wr]]^2,""))</f>
        <v/>
      </c>
      <c r="AD957" s="118" t="str">
        <f>IF(Tab.o1[[#This Row],[a1]]=1,IF(AE$3=0,"",Tab.o1[[#This Row],[Wr2]]/SUM(Tab.o1[Wr2])),"")</f>
        <v/>
      </c>
      <c r="AE957" s="128" t="str">
        <f>IF(Tab.o1[[#This Row],[a1]]=1,[1]!T.in.A[[#This Row],[oo10]],"")</f>
        <v/>
      </c>
      <c r="AF957" s="118" t="str">
        <f>IF(Tab.o1[[#This Row],[a1]]=1,ABS(Tab.o1[[#This Row],[DIF_Target.]]*Tab.o1[[#This Row],[PDF2]]*Tab.o1[[#This Row],[IN]]),"")</f>
        <v/>
      </c>
      <c r="AG957" s="129" t="str">
        <f>IF(Tab.o1[[#This Row],[a1]]=1,Tab.o1[[#This Row],[rW]]^2,"")</f>
        <v/>
      </c>
      <c r="AH957" s="130" t="str">
        <f>IF(Tab.o1[[#This Row],[a1]]=1,IF(AH$3=0,Tab.o1[[#This Row],[rW2]],0.01+0.94*Tab.o1[[#This Row],[rW2]]/SUM(Tab.o1[rW2])),"")</f>
        <v/>
      </c>
      <c r="AI957" s="128" t="str">
        <f>IF(Tab.o1[[#This Row],[a1]]=1,1/Tab.o1[[#This Row],[PDF]],"")</f>
        <v/>
      </c>
      <c r="AJ957" s="131" t="str">
        <f>IF(Tab.o1[[#This Row],[a1]]=1,[1]!T_AA[[#This Row],[IN'']]*[1]!T_AA[[#This Row],[Qde'']],"")</f>
        <v/>
      </c>
      <c r="AK957" s="132" t="str">
        <f>IF(Tab.o1[[#This Row],[a1]]=1,IF(AK$1=1,Tab.o1[[#This Row],[MED]]+Tab.o1[[#This Row],[MOD]]-Tab.o1[[#This Row],[MED]],""),"")</f>
        <v/>
      </c>
      <c r="AL957" s="133" t="str">
        <f>IF(Tab.o1[[#This Row],[a1]]=1,[1]!T.in.A[[#This Row],[oo16]],"")</f>
        <v/>
      </c>
      <c r="AM957" s="133" t="str">
        <f>IF(Tab.o1[[#This Row],[a1]]=1,IF(AM$3=1,[1]!T.in.A[[#This Row],[Σo16]],""),"")</f>
        <v/>
      </c>
      <c r="AN957" s="126" t="str">
        <f>IF(Tab.o1[[#This Row],[a1]]=1,[1]!T.in.A[[#This Row],[Σp5]],"")</f>
        <v/>
      </c>
      <c r="AO957" s="126" t="str">
        <f>IF(Tab.o1[[#This Row],[a1]]=1,IF(AO$3=1,[1]!T.in.A[[#This Row],[Σp5]],""),"")</f>
        <v/>
      </c>
      <c r="AP957" s="110" t="str">
        <f>IF(Tab.o1[[#This Row],[a1]]=1,IF(ISNUMBER(Tab.o1[[#This Row],[i.]]),NORMDIST(Tab.o1[[#This Row],[Za]],0,1,FALSE)*Tab.o1[[#This Row],[i.]],0),"")</f>
        <v/>
      </c>
      <c r="AQ957" s="125" t="str">
        <f>IF(Tab.o1[[#This Row],[a1]]=1,ABS(Tab.o1[[#This Row],[MOD]]-AVERAGE(Tab.o1[MOD])),"")</f>
        <v/>
      </c>
      <c r="AR957" s="134" t="str">
        <f>IF(Tab.o1[[#This Row],[a1]]=1,Tab.o1[[#This Row],[OBS]]/SUM(Tab.o1[OBS]),"")</f>
        <v/>
      </c>
      <c r="AS957" s="135" t="str">
        <f>IF(ISNUMBER(Tab.o1[[#This Row],[a1]]),ROW()-4,"")</f>
        <v/>
      </c>
      <c r="AT957" s="136" t="str">
        <f>Tab.o1[[#This Row],[MOD]]</f>
        <v/>
      </c>
      <c r="AU957" s="137" t="str">
        <f t="shared" si="57"/>
        <v/>
      </c>
      <c r="AV957" s="138" t="str">
        <f t="shared" si="58"/>
        <v/>
      </c>
      <c r="AW957" s="138" t="str">
        <f t="shared" si="59"/>
        <v/>
      </c>
      <c r="AX957" s="139" t="str">
        <f>[1]!T.in.A[[#This Row],[ID_T_manu]]</f>
        <v/>
      </c>
      <c r="AY957" s="140" t="str">
        <f>IF(ISNUMBER(Tab.o1[[#This Row],[a1]]),IF(AND(Tab.o1[[#This Row],[a1]]=1,Tab.o1[[#This Row],[b1]]&lt;=AY$4),#REF!,AY956),"")</f>
        <v/>
      </c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6"/>
      <c r="BO957" s="26"/>
      <c r="BP957" s="26"/>
      <c r="BQ957" s="26"/>
      <c r="BR957" s="26"/>
      <c r="BS957" s="26"/>
      <c r="BT957" s="26"/>
      <c r="BU957" s="26"/>
      <c r="BV957" s="26"/>
      <c r="BW957" s="26"/>
      <c r="BX957" s="26"/>
      <c r="BY957" s="26"/>
      <c r="BZ957" s="26"/>
      <c r="CA957" s="26"/>
    </row>
    <row r="958" spans="1:79" ht="15.75" hidden="1">
      <c r="A958" s="109">
        <v>-8.0000000000000013E-6</v>
      </c>
      <c r="B958" s="110">
        <f t="shared" si="56"/>
        <v>958</v>
      </c>
      <c r="C958" s="111" t="str">
        <f>IF(C$1=[1]!T.in.A[[#This Row],[oo2]],1,"")</f>
        <v/>
      </c>
      <c r="D958" s="112" t="str">
        <f>IF(Tab.o1[[#This Row],[a1]]=1,IF(SUM(C958:C959)=0,0,IF(SUM(C957:C958)=1,1,IF(SUM(C957:C959)&gt;1,D957+1,0))),"")</f>
        <v/>
      </c>
      <c r="E958" s="113" t="str">
        <f>IF(Tab.o1[[#This Row],[a1]]=1,[1]!T.in.A[[#This Row],[oo1]],"")</f>
        <v/>
      </c>
      <c r="F958" s="113" t="str">
        <f>IF(Tab.o1[[#This Row],[a1]]=1,[1]!T.in.A[[#This Row],[pp1]],"")</f>
        <v/>
      </c>
      <c r="G958" s="114" t="str">
        <f>IF(Tab.o1[[#This Row],[a1]]=1,G$2+IF(G$1=1,0,Tab.o1[[#This Row],[.x1]])+[1]!T.in.A[[#This Row],[oo3]],"")</f>
        <v/>
      </c>
      <c r="H958" s="115" t="str">
        <f>IF(Tab.o1[[#This Row],[a1]]=1,IF(H$2=0,0,IF(G$1=1,0,Tab.o1[[#This Row],[.x1]])+[1]!T.in.A[[#This Row],[oo4]]),"")</f>
        <v/>
      </c>
      <c r="I958" s="116" t="str">
        <f>IF(Tab.o1[[#This Row],[a1]]=1,IF(J$2=0,Tab.o1[[#This Row],[MED]],Tab.o1[[#This Row],[MOD]]),"")</f>
        <v/>
      </c>
      <c r="J958" s="116" t="str">
        <f>IF(Tab.o1[[#This Row],[a1]]=1,((Tab.o1[[#This Row],[DIF_Target.]]-AVERAGE(Tab.o1[DIF_Target.]))/_xlfn.STDEV.P(Tab.o1[DIF_Target.])),"")</f>
        <v/>
      </c>
      <c r="K958" s="117" t="str">
        <f>IF(Tab.o1[[#This Row],[a1]]=1,IF(J$2=0,Tab.o1[[#This Row],[MOD]]-Tab.o1[[#This Row],[B]],IF(J$2=1,0,-Tab.o1[[#This Row],[MED]])+Tab.o1[[#This Row],[B]]),"")</f>
        <v/>
      </c>
      <c r="L958" s="117" t="str">
        <f ca="1">IF(Tab.o1[[#This Row],[DIF_Target]]=0,IF(L$2=0,Tab.o1[[#This Row],[DIF_Target]],AVERAGE(OFFSET(Tab.o1[[#This Row],[DIF_Target]],1,0,L$3,1)))/3,Tab.o1[[#This Row],[DIF_Target]])</f>
        <v/>
      </c>
      <c r="M958" s="118" t="str">
        <f>IF(Tab.o1[[#This Row],[a1]]=1,NORMSDIST(Tab.o1[[#This Row],[Za]]),"")</f>
        <v/>
      </c>
      <c r="N958" s="119" t="str">
        <f>IF(Tab.o1[[#This Row],[a1]]=1,((Tab.o1[[#This Row],[MedMod]]-AVERAGE(Tab.o1[MedMod]))/_xlfn.STDEV.P(Tab.o1[MedMod])*H$1205)+G$1205,"")</f>
        <v/>
      </c>
      <c r="O958" s="141" t="str">
        <f>IF(Tab.o1[[#This Row],[a1]]=1,Tab.o1[[#This Row],[Zb]]*_xlfn.STDEV.P(Tab.o1[MedMod])+AVERAGE(Tab.o1[MedMod]),"")</f>
        <v/>
      </c>
      <c r="P958" s="117" t="str">
        <f ca="1">IF(Tab.o1[[#This Row],[B]]=0,AVERAGE(OFFSET(Tab.o1[[#This Row],[B]],1,0,L$3,1)),Tab.o1[[#This Row],[B]])</f>
        <v/>
      </c>
      <c r="Q958" s="121" t="str">
        <f>IF(Tab.o1[[#This Row],[a1]]=1,NORMSDIST(Tab.o1[[#This Row],[Zb]]),"")</f>
        <v/>
      </c>
      <c r="R958" s="122" t="str">
        <f>IF(Tab.o1[[#This Row],[a1]]=1,((Tab.o1[[#This Row],[MedMod]]-AVERAGE(Tab.o1[MedMod]))/_xlfn.STDEV.P(Tab.o1[MedMod])*H$1203)+G$1203,"")</f>
        <v/>
      </c>
      <c r="S958" s="122" t="str">
        <f>IF(Tab.o1[[#This Row],[a1]]=1,((Tab.o1[[#This Row],[MedMod]]-AVERAGE(Tab.o1[MedMod]))/_xlfn.STDEV.P(Tab.o1[MedMod])*H$1204)+G$1204,"")</f>
        <v/>
      </c>
      <c r="T958" s="123" t="str">
        <f>IF(Tab.o1[[#This Row],[a1]]=1,Tab.o1[[#This Row],[Z-]]*_xlfn.STDEV.P(Tab.o1[B])+AVERAGE(Tab.o1[B]),"")</f>
        <v/>
      </c>
      <c r="U958" s="123" t="str">
        <f>IF(Tab.o1[[#This Row],[a1]]=1,Tab.o1[[#This Row],[z+]]*_xlfn.STDEV.P(Tab.o1[B])+AVERAGE(Tab.o1[B]),"")</f>
        <v/>
      </c>
      <c r="V958" s="124" t="str">
        <f>IF(Tab.o1[[#This Row],[a1]]=1,ABS((ABS(Tab.o1[[#This Row],[Red]]-Tab.o1[[#This Row],[Blue]]))),"")</f>
        <v/>
      </c>
      <c r="W958" s="125" t="str">
        <f>IF(Tab.o1[[#This Row],[a1]]=1,IF(W$3=0,1,Tab.o1[[#This Row],[Amp.]]*1/_xlfn.MINIFS(Tab.o1[Amp.],Tab.o1[Amp.],"&lt;&gt;0")),"")</f>
        <v/>
      </c>
      <c r="X958" s="126" t="str">
        <f>IF(Tab.o1[[#This Row],[a1]]=1,IF(ISNUMBER(Tab.o1[[#This Row],[i.]]),NORMDIST(Tab.o1[[#This Row],[Za]],0,1,FALSE)*Tab.o1[[#This Row],[i.]],AP$3),"")</f>
        <v/>
      </c>
      <c r="Y958" s="126" t="str">
        <f>IF(Tab.o1[[#This Row],[a1]]=1,0.01+0.94*Tab.o1[[#This Row],[PDF]]/MAX(Tab.o1[PDF]),"")</f>
        <v/>
      </c>
      <c r="Z958" s="126" t="str">
        <f>IF(Tab.o1[[#This Row],[a1]]=1,0.01+0.94*Tab.o1[[#This Row],[W1_PDF]]/MAX(Tab.o1[W1_PDF]),"")</f>
        <v/>
      </c>
      <c r="AA958" s="118" t="str">
        <f>IF(Tab.o1[[#This Row],[a1]]=1,ABS([1]!T.in.A[[#This Row],[oo6]]),"")</f>
        <v/>
      </c>
      <c r="AB958" s="127" t="str">
        <f>IF(Tab.o1[[#This Row],[a1]]=1,IF(AE$3=0,"",IF(AB$3=0,ABS([1]!T.in.A[[#This Row],[oo9]]),ABS(Tab.o1[[#This Row],[DIF_Target.]]*Tab.o1[[#This Row],[W1_PDF]]))),"")</f>
        <v/>
      </c>
      <c r="AC958" s="127" t="str">
        <f>IF(G$1=1,"",IF(Tab.o1[[#This Row],[a1]]=1,Tab.o1[[#This Row],[Wr]]^2,""))</f>
        <v/>
      </c>
      <c r="AD958" s="118" t="str">
        <f>IF(Tab.o1[[#This Row],[a1]]=1,IF(AE$3=0,"",Tab.o1[[#This Row],[Wr2]]/SUM(Tab.o1[Wr2])),"")</f>
        <v/>
      </c>
      <c r="AE958" s="128" t="str">
        <f>IF(Tab.o1[[#This Row],[a1]]=1,[1]!T.in.A[[#This Row],[oo10]],"")</f>
        <v/>
      </c>
      <c r="AF958" s="118" t="str">
        <f>IF(Tab.o1[[#This Row],[a1]]=1,ABS(Tab.o1[[#This Row],[DIF_Target.]]*Tab.o1[[#This Row],[PDF2]]*Tab.o1[[#This Row],[IN]]),"")</f>
        <v/>
      </c>
      <c r="AG958" s="129" t="str">
        <f>IF(Tab.o1[[#This Row],[a1]]=1,Tab.o1[[#This Row],[rW]]^2,"")</f>
        <v/>
      </c>
      <c r="AH958" s="130" t="str">
        <f>IF(Tab.o1[[#This Row],[a1]]=1,IF(AH$3=0,Tab.o1[[#This Row],[rW2]],0.01+0.94*Tab.o1[[#This Row],[rW2]]/SUM(Tab.o1[rW2])),"")</f>
        <v/>
      </c>
      <c r="AI958" s="128" t="str">
        <f>IF(Tab.o1[[#This Row],[a1]]=1,1/Tab.o1[[#This Row],[PDF]],"")</f>
        <v/>
      </c>
      <c r="AJ958" s="131" t="str">
        <f>IF(Tab.o1[[#This Row],[a1]]=1,[1]!T_AA[[#This Row],[IN'']]*[1]!T_AA[[#This Row],[Qde'']],"")</f>
        <v/>
      </c>
      <c r="AK958" s="132" t="str">
        <f>IF(Tab.o1[[#This Row],[a1]]=1,IF(AK$1=1,Tab.o1[[#This Row],[MED]]+Tab.o1[[#This Row],[MOD]]-Tab.o1[[#This Row],[MED]],""),"")</f>
        <v/>
      </c>
      <c r="AL958" s="133" t="str">
        <f>IF(Tab.o1[[#This Row],[a1]]=1,[1]!T.in.A[[#This Row],[oo16]],"")</f>
        <v/>
      </c>
      <c r="AM958" s="133" t="str">
        <f>IF(Tab.o1[[#This Row],[a1]]=1,IF(AM$3=1,[1]!T.in.A[[#This Row],[Σo16]],""),"")</f>
        <v/>
      </c>
      <c r="AN958" s="126" t="str">
        <f>IF(Tab.o1[[#This Row],[a1]]=1,[1]!T.in.A[[#This Row],[Σp5]],"")</f>
        <v/>
      </c>
      <c r="AO958" s="126" t="str">
        <f>IF(Tab.o1[[#This Row],[a1]]=1,IF(AO$3=1,[1]!T.in.A[[#This Row],[Σp5]],""),"")</f>
        <v/>
      </c>
      <c r="AP958" s="110" t="str">
        <f>IF(Tab.o1[[#This Row],[a1]]=1,IF(ISNUMBER(Tab.o1[[#This Row],[i.]]),NORMDIST(Tab.o1[[#This Row],[Za]],0,1,FALSE)*Tab.o1[[#This Row],[i.]],0),"")</f>
        <v/>
      </c>
      <c r="AQ958" s="125" t="str">
        <f>IF(Tab.o1[[#This Row],[a1]]=1,ABS(Tab.o1[[#This Row],[MOD]]-AVERAGE(Tab.o1[MOD])),"")</f>
        <v/>
      </c>
      <c r="AR958" s="134" t="str">
        <f>IF(Tab.o1[[#This Row],[a1]]=1,Tab.o1[[#This Row],[OBS]]/SUM(Tab.o1[OBS]),"")</f>
        <v/>
      </c>
      <c r="AS958" s="135" t="str">
        <f>IF(ISNUMBER(Tab.o1[[#This Row],[a1]]),ROW()-4,"")</f>
        <v/>
      </c>
      <c r="AT958" s="136" t="str">
        <f>Tab.o1[[#This Row],[MOD]]</f>
        <v/>
      </c>
      <c r="AU958" s="137" t="str">
        <f t="shared" si="57"/>
        <v/>
      </c>
      <c r="AV958" s="138" t="str">
        <f t="shared" si="58"/>
        <v/>
      </c>
      <c r="AW958" s="138" t="str">
        <f t="shared" si="59"/>
        <v/>
      </c>
      <c r="AX958" s="139" t="str">
        <f>[1]!T.in.A[[#This Row],[ID_T_manu]]</f>
        <v/>
      </c>
      <c r="AY958" s="140" t="str">
        <f>IF(ISNUMBER(Tab.o1[[#This Row],[a1]]),IF(AND(Tab.o1[[#This Row],[a1]]=1,Tab.o1[[#This Row],[b1]]&lt;=AY$4),#REF!,AY957),"")</f>
        <v/>
      </c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6"/>
      <c r="BO958" s="26"/>
      <c r="BP958" s="26"/>
      <c r="BQ958" s="26"/>
      <c r="BR958" s="26"/>
      <c r="BS958" s="26"/>
      <c r="BT958" s="26"/>
      <c r="BU958" s="26"/>
      <c r="BV958" s="26"/>
      <c r="BW958" s="26"/>
      <c r="BX958" s="26"/>
      <c r="BY958" s="26"/>
      <c r="BZ958" s="26"/>
      <c r="CA958" s="26"/>
    </row>
    <row r="959" spans="1:79" ht="15.75" hidden="1">
      <c r="A959" s="109">
        <v>-2.9999999999999997E-6</v>
      </c>
      <c r="B959" s="110">
        <f t="shared" si="56"/>
        <v>959</v>
      </c>
      <c r="C959" s="111" t="str">
        <f>IF(C$1=[1]!T.in.A[[#This Row],[oo2]],1,"")</f>
        <v/>
      </c>
      <c r="D959" s="112" t="str">
        <f>IF(Tab.o1[[#This Row],[a1]]=1,IF(SUM(C959:C960)=0,0,IF(SUM(C958:C959)=1,1,IF(SUM(C958:C960)&gt;1,D958+1,0))),"")</f>
        <v/>
      </c>
      <c r="E959" s="113" t="str">
        <f>IF(Tab.o1[[#This Row],[a1]]=1,[1]!T.in.A[[#This Row],[oo1]],"")</f>
        <v/>
      </c>
      <c r="F959" s="113" t="str">
        <f>IF(Tab.o1[[#This Row],[a1]]=1,[1]!T.in.A[[#This Row],[pp1]],"")</f>
        <v/>
      </c>
      <c r="G959" s="114" t="str">
        <f>IF(Tab.o1[[#This Row],[a1]]=1,G$2+IF(G$1=1,0,Tab.o1[[#This Row],[.x1]])+[1]!T.in.A[[#This Row],[oo3]],"")</f>
        <v/>
      </c>
      <c r="H959" s="115" t="str">
        <f>IF(Tab.o1[[#This Row],[a1]]=1,IF(H$2=0,0,IF(G$1=1,0,Tab.o1[[#This Row],[.x1]])+[1]!T.in.A[[#This Row],[oo4]]),"")</f>
        <v/>
      </c>
      <c r="I959" s="116" t="str">
        <f>IF(Tab.o1[[#This Row],[a1]]=1,IF(J$2=0,Tab.o1[[#This Row],[MED]],Tab.o1[[#This Row],[MOD]]),"")</f>
        <v/>
      </c>
      <c r="J959" s="116" t="str">
        <f>IF(Tab.o1[[#This Row],[a1]]=1,((Tab.o1[[#This Row],[DIF_Target.]]-AVERAGE(Tab.o1[DIF_Target.]))/_xlfn.STDEV.P(Tab.o1[DIF_Target.])),"")</f>
        <v/>
      </c>
      <c r="K959" s="117" t="str">
        <f>IF(Tab.o1[[#This Row],[a1]]=1,IF(J$2=0,Tab.o1[[#This Row],[MOD]]-Tab.o1[[#This Row],[B]],IF(J$2=1,0,-Tab.o1[[#This Row],[MED]])+Tab.o1[[#This Row],[B]]),"")</f>
        <v/>
      </c>
      <c r="L959" s="117" t="str">
        <f ca="1">IF(Tab.o1[[#This Row],[DIF_Target]]=0,IF(L$2=0,Tab.o1[[#This Row],[DIF_Target]],AVERAGE(OFFSET(Tab.o1[[#This Row],[DIF_Target]],1,0,L$3,1)))/3,Tab.o1[[#This Row],[DIF_Target]])</f>
        <v/>
      </c>
      <c r="M959" s="118" t="str">
        <f>IF(Tab.o1[[#This Row],[a1]]=1,NORMSDIST(Tab.o1[[#This Row],[Za]]),"")</f>
        <v/>
      </c>
      <c r="N959" s="119" t="str">
        <f>IF(Tab.o1[[#This Row],[a1]]=1,((Tab.o1[[#This Row],[MedMod]]-AVERAGE(Tab.o1[MedMod]))/_xlfn.STDEV.P(Tab.o1[MedMod])*H$1205)+G$1205,"")</f>
        <v/>
      </c>
      <c r="O959" s="141" t="str">
        <f>IF(Tab.o1[[#This Row],[a1]]=1,Tab.o1[[#This Row],[Zb]]*_xlfn.STDEV.P(Tab.o1[MedMod])+AVERAGE(Tab.o1[MedMod]),"")</f>
        <v/>
      </c>
      <c r="P959" s="117" t="str">
        <f ca="1">IF(Tab.o1[[#This Row],[B]]=0,AVERAGE(OFFSET(Tab.o1[[#This Row],[B]],1,0,L$3,1)),Tab.o1[[#This Row],[B]])</f>
        <v/>
      </c>
      <c r="Q959" s="121" t="str">
        <f>IF(Tab.o1[[#This Row],[a1]]=1,NORMSDIST(Tab.o1[[#This Row],[Zb]]),"")</f>
        <v/>
      </c>
      <c r="R959" s="122" t="str">
        <f>IF(Tab.o1[[#This Row],[a1]]=1,((Tab.o1[[#This Row],[MedMod]]-AVERAGE(Tab.o1[MedMod]))/_xlfn.STDEV.P(Tab.o1[MedMod])*H$1203)+G$1203,"")</f>
        <v/>
      </c>
      <c r="S959" s="122" t="str">
        <f>IF(Tab.o1[[#This Row],[a1]]=1,((Tab.o1[[#This Row],[MedMod]]-AVERAGE(Tab.o1[MedMod]))/_xlfn.STDEV.P(Tab.o1[MedMod])*H$1204)+G$1204,"")</f>
        <v/>
      </c>
      <c r="T959" s="123" t="str">
        <f>IF(Tab.o1[[#This Row],[a1]]=1,Tab.o1[[#This Row],[Z-]]*_xlfn.STDEV.P(Tab.o1[B])+AVERAGE(Tab.o1[B]),"")</f>
        <v/>
      </c>
      <c r="U959" s="123" t="str">
        <f>IF(Tab.o1[[#This Row],[a1]]=1,Tab.o1[[#This Row],[z+]]*_xlfn.STDEV.P(Tab.o1[B])+AVERAGE(Tab.o1[B]),"")</f>
        <v/>
      </c>
      <c r="V959" s="124" t="str">
        <f>IF(Tab.o1[[#This Row],[a1]]=1,ABS((ABS(Tab.o1[[#This Row],[Red]]-Tab.o1[[#This Row],[Blue]]))),"")</f>
        <v/>
      </c>
      <c r="W959" s="125" t="str">
        <f>IF(Tab.o1[[#This Row],[a1]]=1,IF(W$3=0,1,Tab.o1[[#This Row],[Amp.]]*1/_xlfn.MINIFS(Tab.o1[Amp.],Tab.o1[Amp.],"&lt;&gt;0")),"")</f>
        <v/>
      </c>
      <c r="X959" s="126" t="str">
        <f>IF(Tab.o1[[#This Row],[a1]]=1,IF(ISNUMBER(Tab.o1[[#This Row],[i.]]),NORMDIST(Tab.o1[[#This Row],[Za]],0,1,FALSE)*Tab.o1[[#This Row],[i.]],AP$3),"")</f>
        <v/>
      </c>
      <c r="Y959" s="126" t="str">
        <f>IF(Tab.o1[[#This Row],[a1]]=1,0.01+0.94*Tab.o1[[#This Row],[PDF]]/MAX(Tab.o1[PDF]),"")</f>
        <v/>
      </c>
      <c r="Z959" s="126" t="str">
        <f>IF(Tab.o1[[#This Row],[a1]]=1,0.01+0.94*Tab.o1[[#This Row],[W1_PDF]]/MAX(Tab.o1[W1_PDF]),"")</f>
        <v/>
      </c>
      <c r="AA959" s="118" t="str">
        <f>IF(Tab.o1[[#This Row],[a1]]=1,ABS([1]!T.in.A[[#This Row],[oo6]]),"")</f>
        <v/>
      </c>
      <c r="AB959" s="127" t="str">
        <f>IF(Tab.o1[[#This Row],[a1]]=1,IF(AE$3=0,"",IF(AB$3=0,ABS([1]!T.in.A[[#This Row],[oo9]]),ABS(Tab.o1[[#This Row],[DIF_Target.]]*Tab.o1[[#This Row],[W1_PDF]]))),"")</f>
        <v/>
      </c>
      <c r="AC959" s="127" t="str">
        <f>IF(G$1=1,"",IF(Tab.o1[[#This Row],[a1]]=1,Tab.o1[[#This Row],[Wr]]^2,""))</f>
        <v/>
      </c>
      <c r="AD959" s="118" t="str">
        <f>IF(Tab.o1[[#This Row],[a1]]=1,IF(AE$3=0,"",Tab.o1[[#This Row],[Wr2]]/SUM(Tab.o1[Wr2])),"")</f>
        <v/>
      </c>
      <c r="AE959" s="128" t="str">
        <f>IF(Tab.o1[[#This Row],[a1]]=1,[1]!T.in.A[[#This Row],[oo10]],"")</f>
        <v/>
      </c>
      <c r="AF959" s="118" t="str">
        <f>IF(Tab.o1[[#This Row],[a1]]=1,ABS(Tab.o1[[#This Row],[DIF_Target.]]*Tab.o1[[#This Row],[PDF2]]*Tab.o1[[#This Row],[IN]]),"")</f>
        <v/>
      </c>
      <c r="AG959" s="129" t="str">
        <f>IF(Tab.o1[[#This Row],[a1]]=1,Tab.o1[[#This Row],[rW]]^2,"")</f>
        <v/>
      </c>
      <c r="AH959" s="130" t="str">
        <f>IF(Tab.o1[[#This Row],[a1]]=1,IF(AH$3=0,Tab.o1[[#This Row],[rW2]],0.01+0.94*Tab.o1[[#This Row],[rW2]]/SUM(Tab.o1[rW2])),"")</f>
        <v/>
      </c>
      <c r="AI959" s="128" t="str">
        <f>IF(Tab.o1[[#This Row],[a1]]=1,1/Tab.o1[[#This Row],[PDF]],"")</f>
        <v/>
      </c>
      <c r="AJ959" s="131" t="str">
        <f>IF(Tab.o1[[#This Row],[a1]]=1,[1]!T_AA[[#This Row],[IN'']]*[1]!T_AA[[#This Row],[Qde'']],"")</f>
        <v/>
      </c>
      <c r="AK959" s="132" t="str">
        <f>IF(Tab.o1[[#This Row],[a1]]=1,IF(AK$1=1,Tab.o1[[#This Row],[MED]]+Tab.o1[[#This Row],[MOD]]-Tab.o1[[#This Row],[MED]],""),"")</f>
        <v/>
      </c>
      <c r="AL959" s="133" t="str">
        <f>IF(Tab.o1[[#This Row],[a1]]=1,[1]!T.in.A[[#This Row],[oo16]],"")</f>
        <v/>
      </c>
      <c r="AM959" s="133" t="str">
        <f>IF(Tab.o1[[#This Row],[a1]]=1,IF(AM$3=1,[1]!T.in.A[[#This Row],[Σo16]],""),"")</f>
        <v/>
      </c>
      <c r="AN959" s="126" t="str">
        <f>IF(Tab.o1[[#This Row],[a1]]=1,[1]!T.in.A[[#This Row],[Σp5]],"")</f>
        <v/>
      </c>
      <c r="AO959" s="126" t="str">
        <f>IF(Tab.o1[[#This Row],[a1]]=1,IF(AO$3=1,[1]!T.in.A[[#This Row],[Σp5]],""),"")</f>
        <v/>
      </c>
      <c r="AP959" s="110" t="str">
        <f>IF(Tab.o1[[#This Row],[a1]]=1,IF(ISNUMBER(Tab.o1[[#This Row],[i.]]),NORMDIST(Tab.o1[[#This Row],[Za]],0,1,FALSE)*Tab.o1[[#This Row],[i.]],0),"")</f>
        <v/>
      </c>
      <c r="AQ959" s="125" t="str">
        <f>IF(Tab.o1[[#This Row],[a1]]=1,ABS(Tab.o1[[#This Row],[MOD]]-AVERAGE(Tab.o1[MOD])),"")</f>
        <v/>
      </c>
      <c r="AR959" s="134" t="str">
        <f>IF(Tab.o1[[#This Row],[a1]]=1,Tab.o1[[#This Row],[OBS]]/SUM(Tab.o1[OBS]),"")</f>
        <v/>
      </c>
      <c r="AS959" s="135" t="str">
        <f>IF(ISNUMBER(Tab.o1[[#This Row],[a1]]),ROW()-4,"")</f>
        <v/>
      </c>
      <c r="AT959" s="136" t="str">
        <f>Tab.o1[[#This Row],[MOD]]</f>
        <v/>
      </c>
      <c r="AU959" s="137" t="str">
        <f t="shared" si="57"/>
        <v/>
      </c>
      <c r="AV959" s="138" t="str">
        <f t="shared" si="58"/>
        <v/>
      </c>
      <c r="AW959" s="138" t="str">
        <f t="shared" si="59"/>
        <v/>
      </c>
      <c r="AX959" s="139" t="str">
        <f>[1]!T.in.A[[#This Row],[ID_T_manu]]</f>
        <v/>
      </c>
      <c r="AY959" s="140" t="str">
        <f>IF(ISNUMBER(Tab.o1[[#This Row],[a1]]),IF(AND(Tab.o1[[#This Row],[a1]]=1,Tab.o1[[#This Row],[b1]]&lt;=AY$4),#REF!,AY958),"")</f>
        <v/>
      </c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6"/>
      <c r="BO959" s="26"/>
      <c r="BP959" s="26"/>
      <c r="BQ959" s="26"/>
      <c r="BR959" s="26"/>
      <c r="BS959" s="26"/>
      <c r="BT959" s="26"/>
      <c r="BU959" s="26"/>
      <c r="BV959" s="26"/>
      <c r="BW959" s="26"/>
      <c r="BX959" s="26"/>
      <c r="BY959" s="26"/>
      <c r="BZ959" s="26"/>
      <c r="CA959" s="26"/>
    </row>
    <row r="960" spans="1:79" ht="15.75" hidden="1">
      <c r="A960" s="109">
        <v>-5.0000000000000004E-6</v>
      </c>
      <c r="B960" s="110">
        <f t="shared" si="56"/>
        <v>960</v>
      </c>
      <c r="C960" s="111" t="str">
        <f>IF(C$1=[1]!T.in.A[[#This Row],[oo2]],1,"")</f>
        <v/>
      </c>
      <c r="D960" s="112" t="str">
        <f>IF(Tab.o1[[#This Row],[a1]]=1,IF(SUM(C960:C961)=0,0,IF(SUM(C959:C960)=1,1,IF(SUM(C959:C961)&gt;1,D959+1,0))),"")</f>
        <v/>
      </c>
      <c r="E960" s="113" t="str">
        <f>IF(Tab.o1[[#This Row],[a1]]=1,[1]!T.in.A[[#This Row],[oo1]],"")</f>
        <v/>
      </c>
      <c r="F960" s="113" t="str">
        <f>IF(Tab.o1[[#This Row],[a1]]=1,[1]!T.in.A[[#This Row],[pp1]],"")</f>
        <v/>
      </c>
      <c r="G960" s="114" t="str">
        <f>IF(Tab.o1[[#This Row],[a1]]=1,G$2+IF(G$1=1,0,Tab.o1[[#This Row],[.x1]])+[1]!T.in.A[[#This Row],[oo3]],"")</f>
        <v/>
      </c>
      <c r="H960" s="115" t="str">
        <f>IF(Tab.o1[[#This Row],[a1]]=1,IF(H$2=0,0,IF(G$1=1,0,Tab.o1[[#This Row],[.x1]])+[1]!T.in.A[[#This Row],[oo4]]),"")</f>
        <v/>
      </c>
      <c r="I960" s="116" t="str">
        <f>IF(Tab.o1[[#This Row],[a1]]=1,IF(J$2=0,Tab.o1[[#This Row],[MED]],Tab.o1[[#This Row],[MOD]]),"")</f>
        <v/>
      </c>
      <c r="J960" s="116" t="str">
        <f>IF(Tab.o1[[#This Row],[a1]]=1,((Tab.o1[[#This Row],[DIF_Target.]]-AVERAGE(Tab.o1[DIF_Target.]))/_xlfn.STDEV.P(Tab.o1[DIF_Target.])),"")</f>
        <v/>
      </c>
      <c r="K960" s="117" t="str">
        <f>IF(Tab.o1[[#This Row],[a1]]=1,IF(J$2=0,Tab.o1[[#This Row],[MOD]]-Tab.o1[[#This Row],[B]],IF(J$2=1,0,-Tab.o1[[#This Row],[MED]])+Tab.o1[[#This Row],[B]]),"")</f>
        <v/>
      </c>
      <c r="L960" s="117" t="str">
        <f ca="1">IF(Tab.o1[[#This Row],[DIF_Target]]=0,IF(L$2=0,Tab.o1[[#This Row],[DIF_Target]],AVERAGE(OFFSET(Tab.o1[[#This Row],[DIF_Target]],1,0,L$3,1)))/3,Tab.o1[[#This Row],[DIF_Target]])</f>
        <v/>
      </c>
      <c r="M960" s="118" t="str">
        <f>IF(Tab.o1[[#This Row],[a1]]=1,NORMSDIST(Tab.o1[[#This Row],[Za]]),"")</f>
        <v/>
      </c>
      <c r="N960" s="119" t="str">
        <f>IF(Tab.o1[[#This Row],[a1]]=1,((Tab.o1[[#This Row],[MedMod]]-AVERAGE(Tab.o1[MedMod]))/_xlfn.STDEV.P(Tab.o1[MedMod])*H$1205)+G$1205,"")</f>
        <v/>
      </c>
      <c r="O960" s="141" t="str">
        <f>IF(Tab.o1[[#This Row],[a1]]=1,Tab.o1[[#This Row],[Zb]]*_xlfn.STDEV.P(Tab.o1[MedMod])+AVERAGE(Tab.o1[MedMod]),"")</f>
        <v/>
      </c>
      <c r="P960" s="117" t="str">
        <f ca="1">IF(Tab.o1[[#This Row],[B]]=0,AVERAGE(OFFSET(Tab.o1[[#This Row],[B]],1,0,L$3,1)),Tab.o1[[#This Row],[B]])</f>
        <v/>
      </c>
      <c r="Q960" s="121" t="str">
        <f>IF(Tab.o1[[#This Row],[a1]]=1,NORMSDIST(Tab.o1[[#This Row],[Zb]]),"")</f>
        <v/>
      </c>
      <c r="R960" s="122" t="str">
        <f>IF(Tab.o1[[#This Row],[a1]]=1,((Tab.o1[[#This Row],[MedMod]]-AVERAGE(Tab.o1[MedMod]))/_xlfn.STDEV.P(Tab.o1[MedMod])*H$1203)+G$1203,"")</f>
        <v/>
      </c>
      <c r="S960" s="122" t="str">
        <f>IF(Tab.o1[[#This Row],[a1]]=1,((Tab.o1[[#This Row],[MedMod]]-AVERAGE(Tab.o1[MedMod]))/_xlfn.STDEV.P(Tab.o1[MedMod])*H$1204)+G$1204,"")</f>
        <v/>
      </c>
      <c r="T960" s="123" t="str">
        <f>IF(Tab.o1[[#This Row],[a1]]=1,Tab.o1[[#This Row],[Z-]]*_xlfn.STDEV.P(Tab.o1[B])+AVERAGE(Tab.o1[B]),"")</f>
        <v/>
      </c>
      <c r="U960" s="123" t="str">
        <f>IF(Tab.o1[[#This Row],[a1]]=1,Tab.o1[[#This Row],[z+]]*_xlfn.STDEV.P(Tab.o1[B])+AVERAGE(Tab.o1[B]),"")</f>
        <v/>
      </c>
      <c r="V960" s="124" t="str">
        <f>IF(Tab.o1[[#This Row],[a1]]=1,ABS((ABS(Tab.o1[[#This Row],[Red]]-Tab.o1[[#This Row],[Blue]]))),"")</f>
        <v/>
      </c>
      <c r="W960" s="125" t="str">
        <f>IF(Tab.o1[[#This Row],[a1]]=1,IF(W$3=0,1,Tab.o1[[#This Row],[Amp.]]*1/_xlfn.MINIFS(Tab.o1[Amp.],Tab.o1[Amp.],"&lt;&gt;0")),"")</f>
        <v/>
      </c>
      <c r="X960" s="126" t="str">
        <f>IF(Tab.o1[[#This Row],[a1]]=1,IF(ISNUMBER(Tab.o1[[#This Row],[i.]]),NORMDIST(Tab.o1[[#This Row],[Za]],0,1,FALSE)*Tab.o1[[#This Row],[i.]],AP$3),"")</f>
        <v/>
      </c>
      <c r="Y960" s="126" t="str">
        <f>IF(Tab.o1[[#This Row],[a1]]=1,0.01+0.94*Tab.o1[[#This Row],[PDF]]/MAX(Tab.o1[PDF]),"")</f>
        <v/>
      </c>
      <c r="Z960" s="126" t="str">
        <f>IF(Tab.o1[[#This Row],[a1]]=1,0.01+0.94*Tab.o1[[#This Row],[W1_PDF]]/MAX(Tab.o1[W1_PDF]),"")</f>
        <v/>
      </c>
      <c r="AA960" s="118" t="str">
        <f>IF(Tab.o1[[#This Row],[a1]]=1,ABS([1]!T.in.A[[#This Row],[oo6]]),"")</f>
        <v/>
      </c>
      <c r="AB960" s="127" t="str">
        <f>IF(Tab.o1[[#This Row],[a1]]=1,IF(AE$3=0,"",IF(AB$3=0,ABS([1]!T.in.A[[#This Row],[oo9]]),ABS(Tab.o1[[#This Row],[DIF_Target.]]*Tab.o1[[#This Row],[W1_PDF]]))),"")</f>
        <v/>
      </c>
      <c r="AC960" s="127" t="str">
        <f>IF(G$1=1,"",IF(Tab.o1[[#This Row],[a1]]=1,Tab.o1[[#This Row],[Wr]]^2,""))</f>
        <v/>
      </c>
      <c r="AD960" s="118" t="str">
        <f>IF(Tab.o1[[#This Row],[a1]]=1,IF(AE$3=0,"",Tab.o1[[#This Row],[Wr2]]/SUM(Tab.o1[Wr2])),"")</f>
        <v/>
      </c>
      <c r="AE960" s="128" t="str">
        <f>IF(Tab.o1[[#This Row],[a1]]=1,[1]!T.in.A[[#This Row],[oo10]],"")</f>
        <v/>
      </c>
      <c r="AF960" s="118" t="str">
        <f>IF(Tab.o1[[#This Row],[a1]]=1,ABS(Tab.o1[[#This Row],[DIF_Target.]]*Tab.o1[[#This Row],[PDF2]]*Tab.o1[[#This Row],[IN]]),"")</f>
        <v/>
      </c>
      <c r="AG960" s="129" t="str">
        <f>IF(Tab.o1[[#This Row],[a1]]=1,Tab.o1[[#This Row],[rW]]^2,"")</f>
        <v/>
      </c>
      <c r="AH960" s="130" t="str">
        <f>IF(Tab.o1[[#This Row],[a1]]=1,IF(AH$3=0,Tab.o1[[#This Row],[rW2]],0.01+0.94*Tab.o1[[#This Row],[rW2]]/SUM(Tab.o1[rW2])),"")</f>
        <v/>
      </c>
      <c r="AI960" s="128" t="str">
        <f>IF(Tab.o1[[#This Row],[a1]]=1,1/Tab.o1[[#This Row],[PDF]],"")</f>
        <v/>
      </c>
      <c r="AJ960" s="131" t="str">
        <f>IF(Tab.o1[[#This Row],[a1]]=1,[1]!T_AA[[#This Row],[IN'']]*[1]!T_AA[[#This Row],[Qde'']],"")</f>
        <v/>
      </c>
      <c r="AK960" s="132" t="str">
        <f>IF(Tab.o1[[#This Row],[a1]]=1,IF(AK$1=1,Tab.o1[[#This Row],[MED]]+Tab.o1[[#This Row],[MOD]]-Tab.o1[[#This Row],[MED]],""),"")</f>
        <v/>
      </c>
      <c r="AL960" s="133" t="str">
        <f>IF(Tab.o1[[#This Row],[a1]]=1,[1]!T.in.A[[#This Row],[oo16]],"")</f>
        <v/>
      </c>
      <c r="AM960" s="133" t="str">
        <f>IF(Tab.o1[[#This Row],[a1]]=1,IF(AM$3=1,[1]!T.in.A[[#This Row],[Σo16]],""),"")</f>
        <v/>
      </c>
      <c r="AN960" s="126" t="str">
        <f>IF(Tab.o1[[#This Row],[a1]]=1,[1]!T.in.A[[#This Row],[Σp5]],"")</f>
        <v/>
      </c>
      <c r="AO960" s="126" t="str">
        <f>IF(Tab.o1[[#This Row],[a1]]=1,IF(AO$3=1,[1]!T.in.A[[#This Row],[Σp5]],""),"")</f>
        <v/>
      </c>
      <c r="AP960" s="110" t="str">
        <f>IF(Tab.o1[[#This Row],[a1]]=1,IF(ISNUMBER(Tab.o1[[#This Row],[i.]]),NORMDIST(Tab.o1[[#This Row],[Za]],0,1,FALSE)*Tab.o1[[#This Row],[i.]],0),"")</f>
        <v/>
      </c>
      <c r="AQ960" s="125" t="str">
        <f>IF(Tab.o1[[#This Row],[a1]]=1,ABS(Tab.o1[[#This Row],[MOD]]-AVERAGE(Tab.o1[MOD])),"")</f>
        <v/>
      </c>
      <c r="AR960" s="134" t="str">
        <f>IF(Tab.o1[[#This Row],[a1]]=1,Tab.o1[[#This Row],[OBS]]/SUM(Tab.o1[OBS]),"")</f>
        <v/>
      </c>
      <c r="AS960" s="135" t="str">
        <f>IF(ISNUMBER(Tab.o1[[#This Row],[a1]]),ROW()-4,"")</f>
        <v/>
      </c>
      <c r="AT960" s="136" t="str">
        <f>Tab.o1[[#This Row],[MOD]]</f>
        <v/>
      </c>
      <c r="AU960" s="137" t="str">
        <f t="shared" si="57"/>
        <v/>
      </c>
      <c r="AV960" s="138" t="str">
        <f t="shared" si="58"/>
        <v/>
      </c>
      <c r="AW960" s="138" t="str">
        <f t="shared" si="59"/>
        <v/>
      </c>
      <c r="AX960" s="139" t="str">
        <f>[1]!T.in.A[[#This Row],[ID_T_manu]]</f>
        <v/>
      </c>
      <c r="AY960" s="140" t="str">
        <f>IF(ISNUMBER(Tab.o1[[#This Row],[a1]]),IF(AND(Tab.o1[[#This Row],[a1]]=1,Tab.o1[[#This Row],[b1]]&lt;=AY$4),#REF!,AY959),"")</f>
        <v/>
      </c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6"/>
      <c r="BO960" s="26"/>
      <c r="BP960" s="26"/>
      <c r="BQ960" s="26"/>
      <c r="BR960" s="26"/>
      <c r="BS960" s="26"/>
      <c r="BT960" s="26"/>
      <c r="BU960" s="26"/>
      <c r="BV960" s="26"/>
      <c r="BW960" s="26"/>
      <c r="BX960" s="26"/>
      <c r="BY960" s="26"/>
      <c r="BZ960" s="26"/>
      <c r="CA960" s="26"/>
    </row>
    <row r="961" spans="1:79" ht="15.75" hidden="1">
      <c r="A961" s="109">
        <v>1.0000000000000002E-6</v>
      </c>
      <c r="B961" s="110">
        <f t="shared" si="56"/>
        <v>961</v>
      </c>
      <c r="C961" s="111" t="str">
        <f>IF(C$1=[1]!T.in.A[[#This Row],[oo2]],1,"")</f>
        <v/>
      </c>
      <c r="D961" s="112" t="str">
        <f>IF(Tab.o1[[#This Row],[a1]]=1,IF(SUM(C961:C962)=0,0,IF(SUM(C960:C961)=1,1,IF(SUM(C960:C962)&gt;1,D960+1,0))),"")</f>
        <v/>
      </c>
      <c r="E961" s="113" t="str">
        <f>IF(Tab.o1[[#This Row],[a1]]=1,[1]!T.in.A[[#This Row],[oo1]],"")</f>
        <v/>
      </c>
      <c r="F961" s="113" t="str">
        <f>IF(Tab.o1[[#This Row],[a1]]=1,[1]!T.in.A[[#This Row],[pp1]],"")</f>
        <v/>
      </c>
      <c r="G961" s="114" t="str">
        <f>IF(Tab.o1[[#This Row],[a1]]=1,G$2+IF(G$1=1,0,Tab.o1[[#This Row],[.x1]])+[1]!T.in.A[[#This Row],[oo3]],"")</f>
        <v/>
      </c>
      <c r="H961" s="115" t="str">
        <f>IF(Tab.o1[[#This Row],[a1]]=1,IF(H$2=0,0,IF(G$1=1,0,Tab.o1[[#This Row],[.x1]])+[1]!T.in.A[[#This Row],[oo4]]),"")</f>
        <v/>
      </c>
      <c r="I961" s="116" t="str">
        <f>IF(Tab.o1[[#This Row],[a1]]=1,IF(J$2=0,Tab.o1[[#This Row],[MED]],Tab.o1[[#This Row],[MOD]]),"")</f>
        <v/>
      </c>
      <c r="J961" s="116" t="str">
        <f>IF(Tab.o1[[#This Row],[a1]]=1,((Tab.o1[[#This Row],[DIF_Target.]]-AVERAGE(Tab.o1[DIF_Target.]))/_xlfn.STDEV.P(Tab.o1[DIF_Target.])),"")</f>
        <v/>
      </c>
      <c r="K961" s="117" t="str">
        <f>IF(Tab.o1[[#This Row],[a1]]=1,IF(J$2=0,Tab.o1[[#This Row],[MOD]]-Tab.o1[[#This Row],[B]],IF(J$2=1,0,-Tab.o1[[#This Row],[MED]])+Tab.o1[[#This Row],[B]]),"")</f>
        <v/>
      </c>
      <c r="L961" s="117" t="str">
        <f ca="1">IF(Tab.o1[[#This Row],[DIF_Target]]=0,IF(L$2=0,Tab.o1[[#This Row],[DIF_Target]],AVERAGE(OFFSET(Tab.o1[[#This Row],[DIF_Target]],1,0,L$3,1)))/3,Tab.o1[[#This Row],[DIF_Target]])</f>
        <v/>
      </c>
      <c r="M961" s="118" t="str">
        <f>IF(Tab.o1[[#This Row],[a1]]=1,NORMSDIST(Tab.o1[[#This Row],[Za]]),"")</f>
        <v/>
      </c>
      <c r="N961" s="119" t="str">
        <f>IF(Tab.o1[[#This Row],[a1]]=1,((Tab.o1[[#This Row],[MedMod]]-AVERAGE(Tab.o1[MedMod]))/_xlfn.STDEV.P(Tab.o1[MedMod])*H$1205)+G$1205,"")</f>
        <v/>
      </c>
      <c r="O961" s="141" t="str">
        <f>IF(Tab.o1[[#This Row],[a1]]=1,Tab.o1[[#This Row],[Zb]]*_xlfn.STDEV.P(Tab.o1[MedMod])+AVERAGE(Tab.o1[MedMod]),"")</f>
        <v/>
      </c>
      <c r="P961" s="117" t="str">
        <f ca="1">IF(Tab.o1[[#This Row],[B]]=0,AVERAGE(OFFSET(Tab.o1[[#This Row],[B]],1,0,L$3,1)),Tab.o1[[#This Row],[B]])</f>
        <v/>
      </c>
      <c r="Q961" s="121" t="str">
        <f>IF(Tab.o1[[#This Row],[a1]]=1,NORMSDIST(Tab.o1[[#This Row],[Zb]]),"")</f>
        <v/>
      </c>
      <c r="R961" s="122" t="str">
        <f>IF(Tab.o1[[#This Row],[a1]]=1,((Tab.o1[[#This Row],[MedMod]]-AVERAGE(Tab.o1[MedMod]))/_xlfn.STDEV.P(Tab.o1[MedMod])*H$1203)+G$1203,"")</f>
        <v/>
      </c>
      <c r="S961" s="122" t="str">
        <f>IF(Tab.o1[[#This Row],[a1]]=1,((Tab.o1[[#This Row],[MedMod]]-AVERAGE(Tab.o1[MedMod]))/_xlfn.STDEV.P(Tab.o1[MedMod])*H$1204)+G$1204,"")</f>
        <v/>
      </c>
      <c r="T961" s="123" t="str">
        <f>IF(Tab.o1[[#This Row],[a1]]=1,Tab.o1[[#This Row],[Z-]]*_xlfn.STDEV.P(Tab.o1[B])+AVERAGE(Tab.o1[B]),"")</f>
        <v/>
      </c>
      <c r="U961" s="123" t="str">
        <f>IF(Tab.o1[[#This Row],[a1]]=1,Tab.o1[[#This Row],[z+]]*_xlfn.STDEV.P(Tab.o1[B])+AVERAGE(Tab.o1[B]),"")</f>
        <v/>
      </c>
      <c r="V961" s="124" t="str">
        <f>IF(Tab.o1[[#This Row],[a1]]=1,ABS((ABS(Tab.o1[[#This Row],[Red]]-Tab.o1[[#This Row],[Blue]]))),"")</f>
        <v/>
      </c>
      <c r="W961" s="125" t="str">
        <f>IF(Tab.o1[[#This Row],[a1]]=1,IF(W$3=0,1,Tab.o1[[#This Row],[Amp.]]*1/_xlfn.MINIFS(Tab.o1[Amp.],Tab.o1[Amp.],"&lt;&gt;0")),"")</f>
        <v/>
      </c>
      <c r="X961" s="126" t="str">
        <f>IF(Tab.o1[[#This Row],[a1]]=1,IF(ISNUMBER(Tab.o1[[#This Row],[i.]]),NORMDIST(Tab.o1[[#This Row],[Za]],0,1,FALSE)*Tab.o1[[#This Row],[i.]],AP$3),"")</f>
        <v/>
      </c>
      <c r="Y961" s="126" t="str">
        <f>IF(Tab.o1[[#This Row],[a1]]=1,0.01+0.94*Tab.o1[[#This Row],[PDF]]/MAX(Tab.o1[PDF]),"")</f>
        <v/>
      </c>
      <c r="Z961" s="126" t="str">
        <f>IF(Tab.o1[[#This Row],[a1]]=1,0.01+0.94*Tab.o1[[#This Row],[W1_PDF]]/MAX(Tab.o1[W1_PDF]),"")</f>
        <v/>
      </c>
      <c r="AA961" s="118" t="str">
        <f>IF(Tab.o1[[#This Row],[a1]]=1,ABS([1]!T.in.A[[#This Row],[oo6]]),"")</f>
        <v/>
      </c>
      <c r="AB961" s="127" t="str">
        <f>IF(Tab.o1[[#This Row],[a1]]=1,IF(AE$3=0,"",IF(AB$3=0,ABS([1]!T.in.A[[#This Row],[oo9]]),ABS(Tab.o1[[#This Row],[DIF_Target.]]*Tab.o1[[#This Row],[W1_PDF]]))),"")</f>
        <v/>
      </c>
      <c r="AC961" s="127" t="str">
        <f>IF(G$1=1,"",IF(Tab.o1[[#This Row],[a1]]=1,Tab.o1[[#This Row],[Wr]]^2,""))</f>
        <v/>
      </c>
      <c r="AD961" s="118" t="str">
        <f>IF(Tab.o1[[#This Row],[a1]]=1,IF(AE$3=0,"",Tab.o1[[#This Row],[Wr2]]/SUM(Tab.o1[Wr2])),"")</f>
        <v/>
      </c>
      <c r="AE961" s="128" t="str">
        <f>IF(Tab.o1[[#This Row],[a1]]=1,[1]!T.in.A[[#This Row],[oo10]],"")</f>
        <v/>
      </c>
      <c r="AF961" s="118" t="str">
        <f>IF(Tab.o1[[#This Row],[a1]]=1,ABS(Tab.o1[[#This Row],[DIF_Target.]]*Tab.o1[[#This Row],[PDF2]]*Tab.o1[[#This Row],[IN]]),"")</f>
        <v/>
      </c>
      <c r="AG961" s="129" t="str">
        <f>IF(Tab.o1[[#This Row],[a1]]=1,Tab.o1[[#This Row],[rW]]^2,"")</f>
        <v/>
      </c>
      <c r="AH961" s="130" t="str">
        <f>IF(Tab.o1[[#This Row],[a1]]=1,IF(AH$3=0,Tab.o1[[#This Row],[rW2]],0.01+0.94*Tab.o1[[#This Row],[rW2]]/SUM(Tab.o1[rW2])),"")</f>
        <v/>
      </c>
      <c r="AI961" s="128" t="str">
        <f>IF(Tab.o1[[#This Row],[a1]]=1,1/Tab.o1[[#This Row],[PDF]],"")</f>
        <v/>
      </c>
      <c r="AJ961" s="131" t="str">
        <f>IF(Tab.o1[[#This Row],[a1]]=1,[1]!T_AA[[#This Row],[IN'']]*[1]!T_AA[[#This Row],[Qde'']],"")</f>
        <v/>
      </c>
      <c r="AK961" s="132" t="str">
        <f>IF(Tab.o1[[#This Row],[a1]]=1,IF(AK$1=1,Tab.o1[[#This Row],[MED]]+Tab.o1[[#This Row],[MOD]]-Tab.o1[[#This Row],[MED]],""),"")</f>
        <v/>
      </c>
      <c r="AL961" s="133" t="str">
        <f>IF(Tab.o1[[#This Row],[a1]]=1,[1]!T.in.A[[#This Row],[oo16]],"")</f>
        <v/>
      </c>
      <c r="AM961" s="133" t="str">
        <f>IF(Tab.o1[[#This Row],[a1]]=1,IF(AM$3=1,[1]!T.in.A[[#This Row],[Σo16]],""),"")</f>
        <v/>
      </c>
      <c r="AN961" s="126" t="str">
        <f>IF(Tab.o1[[#This Row],[a1]]=1,[1]!T.in.A[[#This Row],[Σp5]],"")</f>
        <v/>
      </c>
      <c r="AO961" s="126" t="str">
        <f>IF(Tab.o1[[#This Row],[a1]]=1,IF(AO$3=1,[1]!T.in.A[[#This Row],[Σp5]],""),"")</f>
        <v/>
      </c>
      <c r="AP961" s="110" t="str">
        <f>IF(Tab.o1[[#This Row],[a1]]=1,IF(ISNUMBER(Tab.o1[[#This Row],[i.]]),NORMDIST(Tab.o1[[#This Row],[Za]],0,1,FALSE)*Tab.o1[[#This Row],[i.]],0),"")</f>
        <v/>
      </c>
      <c r="AQ961" s="125" t="str">
        <f>IF(Tab.o1[[#This Row],[a1]]=1,ABS(Tab.o1[[#This Row],[MOD]]-AVERAGE(Tab.o1[MOD])),"")</f>
        <v/>
      </c>
      <c r="AR961" s="134" t="str">
        <f>IF(Tab.o1[[#This Row],[a1]]=1,Tab.o1[[#This Row],[OBS]]/SUM(Tab.o1[OBS]),"")</f>
        <v/>
      </c>
      <c r="AS961" s="135" t="str">
        <f>IF(ISNUMBER(Tab.o1[[#This Row],[a1]]),ROW()-4,"")</f>
        <v/>
      </c>
      <c r="AT961" s="136" t="str">
        <f>Tab.o1[[#This Row],[MOD]]</f>
        <v/>
      </c>
      <c r="AU961" s="137" t="str">
        <f t="shared" si="57"/>
        <v/>
      </c>
      <c r="AV961" s="138" t="str">
        <f t="shared" si="58"/>
        <v/>
      </c>
      <c r="AW961" s="138" t="str">
        <f t="shared" si="59"/>
        <v/>
      </c>
      <c r="AX961" s="139" t="str">
        <f>[1]!T.in.A[[#This Row],[ID_T_manu]]</f>
        <v/>
      </c>
      <c r="AY961" s="140" t="str">
        <f>IF(ISNUMBER(Tab.o1[[#This Row],[a1]]),IF(AND(Tab.o1[[#This Row],[a1]]=1,Tab.o1[[#This Row],[b1]]&lt;=AY$4),#REF!,AY960),"")</f>
        <v/>
      </c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6"/>
      <c r="BO961" s="26"/>
      <c r="BP961" s="26"/>
      <c r="BQ961" s="26"/>
      <c r="BR961" s="26"/>
      <c r="BS961" s="26"/>
      <c r="BT961" s="26"/>
      <c r="BU961" s="26"/>
      <c r="BV961" s="26"/>
      <c r="BW961" s="26"/>
      <c r="BX961" s="26"/>
      <c r="BY961" s="26"/>
      <c r="BZ961" s="26"/>
      <c r="CA961" s="26"/>
    </row>
    <row r="962" spans="1:79" ht="15.75" hidden="1">
      <c r="A962" s="109">
        <v>-2.0000000000000003E-6</v>
      </c>
      <c r="B962" s="110">
        <f t="shared" si="56"/>
        <v>962</v>
      </c>
      <c r="C962" s="111" t="str">
        <f>IF(C$1=[1]!T.in.A[[#This Row],[oo2]],1,"")</f>
        <v/>
      </c>
      <c r="D962" s="112" t="str">
        <f>IF(Tab.o1[[#This Row],[a1]]=1,IF(SUM(C962:C963)=0,0,IF(SUM(C961:C962)=1,1,IF(SUM(C961:C963)&gt;1,D961+1,0))),"")</f>
        <v/>
      </c>
      <c r="E962" s="113" t="str">
        <f>IF(Tab.o1[[#This Row],[a1]]=1,[1]!T.in.A[[#This Row],[oo1]],"")</f>
        <v/>
      </c>
      <c r="F962" s="113" t="str">
        <f>IF(Tab.o1[[#This Row],[a1]]=1,[1]!T.in.A[[#This Row],[pp1]],"")</f>
        <v/>
      </c>
      <c r="G962" s="114" t="str">
        <f>IF(Tab.o1[[#This Row],[a1]]=1,G$2+IF(G$1=1,0,Tab.o1[[#This Row],[.x1]])+[1]!T.in.A[[#This Row],[oo3]],"")</f>
        <v/>
      </c>
      <c r="H962" s="115" t="str">
        <f>IF(Tab.o1[[#This Row],[a1]]=1,IF(H$2=0,0,IF(G$1=1,0,Tab.o1[[#This Row],[.x1]])+[1]!T.in.A[[#This Row],[oo4]]),"")</f>
        <v/>
      </c>
      <c r="I962" s="116" t="str">
        <f>IF(Tab.o1[[#This Row],[a1]]=1,IF(J$2=0,Tab.o1[[#This Row],[MED]],Tab.o1[[#This Row],[MOD]]),"")</f>
        <v/>
      </c>
      <c r="J962" s="116" t="str">
        <f>IF(Tab.o1[[#This Row],[a1]]=1,((Tab.o1[[#This Row],[DIF_Target.]]-AVERAGE(Tab.o1[DIF_Target.]))/_xlfn.STDEV.P(Tab.o1[DIF_Target.])),"")</f>
        <v/>
      </c>
      <c r="K962" s="117" t="str">
        <f>IF(Tab.o1[[#This Row],[a1]]=1,IF(J$2=0,Tab.o1[[#This Row],[MOD]]-Tab.o1[[#This Row],[B]],IF(J$2=1,0,-Tab.o1[[#This Row],[MED]])+Tab.o1[[#This Row],[B]]),"")</f>
        <v/>
      </c>
      <c r="L962" s="117" t="str">
        <f ca="1">IF(Tab.o1[[#This Row],[DIF_Target]]=0,IF(L$2=0,Tab.o1[[#This Row],[DIF_Target]],AVERAGE(OFFSET(Tab.o1[[#This Row],[DIF_Target]],1,0,L$3,1)))/3,Tab.o1[[#This Row],[DIF_Target]])</f>
        <v/>
      </c>
      <c r="M962" s="118" t="str">
        <f>IF(Tab.o1[[#This Row],[a1]]=1,NORMSDIST(Tab.o1[[#This Row],[Za]]),"")</f>
        <v/>
      </c>
      <c r="N962" s="119" t="str">
        <f>IF(Tab.o1[[#This Row],[a1]]=1,((Tab.o1[[#This Row],[MedMod]]-AVERAGE(Tab.o1[MedMod]))/_xlfn.STDEV.P(Tab.o1[MedMod])*H$1205)+G$1205,"")</f>
        <v/>
      </c>
      <c r="O962" s="141" t="str">
        <f>IF(Tab.o1[[#This Row],[a1]]=1,Tab.o1[[#This Row],[Zb]]*_xlfn.STDEV.P(Tab.o1[MedMod])+AVERAGE(Tab.o1[MedMod]),"")</f>
        <v/>
      </c>
      <c r="P962" s="117" t="str">
        <f ca="1">IF(Tab.o1[[#This Row],[B]]=0,AVERAGE(OFFSET(Tab.o1[[#This Row],[B]],1,0,L$3,1)),Tab.o1[[#This Row],[B]])</f>
        <v/>
      </c>
      <c r="Q962" s="121" t="str">
        <f>IF(Tab.o1[[#This Row],[a1]]=1,NORMSDIST(Tab.o1[[#This Row],[Zb]]),"")</f>
        <v/>
      </c>
      <c r="R962" s="122" t="str">
        <f>IF(Tab.o1[[#This Row],[a1]]=1,((Tab.o1[[#This Row],[MedMod]]-AVERAGE(Tab.o1[MedMod]))/_xlfn.STDEV.P(Tab.o1[MedMod])*H$1203)+G$1203,"")</f>
        <v/>
      </c>
      <c r="S962" s="122" t="str">
        <f>IF(Tab.o1[[#This Row],[a1]]=1,((Tab.o1[[#This Row],[MedMod]]-AVERAGE(Tab.o1[MedMod]))/_xlfn.STDEV.P(Tab.o1[MedMod])*H$1204)+G$1204,"")</f>
        <v/>
      </c>
      <c r="T962" s="123" t="str">
        <f>IF(Tab.o1[[#This Row],[a1]]=1,Tab.o1[[#This Row],[Z-]]*_xlfn.STDEV.P(Tab.o1[B])+AVERAGE(Tab.o1[B]),"")</f>
        <v/>
      </c>
      <c r="U962" s="123" t="str">
        <f>IF(Tab.o1[[#This Row],[a1]]=1,Tab.o1[[#This Row],[z+]]*_xlfn.STDEV.P(Tab.o1[B])+AVERAGE(Tab.o1[B]),"")</f>
        <v/>
      </c>
      <c r="V962" s="124" t="str">
        <f>IF(Tab.o1[[#This Row],[a1]]=1,ABS((ABS(Tab.o1[[#This Row],[Red]]-Tab.o1[[#This Row],[Blue]]))),"")</f>
        <v/>
      </c>
      <c r="W962" s="125" t="str">
        <f>IF(Tab.o1[[#This Row],[a1]]=1,IF(W$3=0,1,Tab.o1[[#This Row],[Amp.]]*1/_xlfn.MINIFS(Tab.o1[Amp.],Tab.o1[Amp.],"&lt;&gt;0")),"")</f>
        <v/>
      </c>
      <c r="X962" s="126" t="str">
        <f>IF(Tab.o1[[#This Row],[a1]]=1,IF(ISNUMBER(Tab.o1[[#This Row],[i.]]),NORMDIST(Tab.o1[[#This Row],[Za]],0,1,FALSE)*Tab.o1[[#This Row],[i.]],AP$3),"")</f>
        <v/>
      </c>
      <c r="Y962" s="126" t="str">
        <f>IF(Tab.o1[[#This Row],[a1]]=1,0.01+0.94*Tab.o1[[#This Row],[PDF]]/MAX(Tab.o1[PDF]),"")</f>
        <v/>
      </c>
      <c r="Z962" s="126" t="str">
        <f>IF(Tab.o1[[#This Row],[a1]]=1,0.01+0.94*Tab.o1[[#This Row],[W1_PDF]]/MAX(Tab.o1[W1_PDF]),"")</f>
        <v/>
      </c>
      <c r="AA962" s="118" t="str">
        <f>IF(Tab.o1[[#This Row],[a1]]=1,ABS([1]!T.in.A[[#This Row],[oo6]]),"")</f>
        <v/>
      </c>
      <c r="AB962" s="127" t="str">
        <f>IF(Tab.o1[[#This Row],[a1]]=1,IF(AE$3=0,"",IF(AB$3=0,ABS([1]!T.in.A[[#This Row],[oo9]]),ABS(Tab.o1[[#This Row],[DIF_Target.]]*Tab.o1[[#This Row],[W1_PDF]]))),"")</f>
        <v/>
      </c>
      <c r="AC962" s="127" t="str">
        <f>IF(G$1=1,"",IF(Tab.o1[[#This Row],[a1]]=1,Tab.o1[[#This Row],[Wr]]^2,""))</f>
        <v/>
      </c>
      <c r="AD962" s="118" t="str">
        <f>IF(Tab.o1[[#This Row],[a1]]=1,IF(AE$3=0,"",Tab.o1[[#This Row],[Wr2]]/SUM(Tab.o1[Wr2])),"")</f>
        <v/>
      </c>
      <c r="AE962" s="128" t="str">
        <f>IF(Tab.o1[[#This Row],[a1]]=1,[1]!T.in.A[[#This Row],[oo10]],"")</f>
        <v/>
      </c>
      <c r="AF962" s="118" t="str">
        <f>IF(Tab.o1[[#This Row],[a1]]=1,ABS(Tab.o1[[#This Row],[DIF_Target.]]*Tab.o1[[#This Row],[PDF2]]*Tab.o1[[#This Row],[IN]]),"")</f>
        <v/>
      </c>
      <c r="AG962" s="129" t="str">
        <f>IF(Tab.o1[[#This Row],[a1]]=1,Tab.o1[[#This Row],[rW]]^2,"")</f>
        <v/>
      </c>
      <c r="AH962" s="130" t="str">
        <f>IF(Tab.o1[[#This Row],[a1]]=1,IF(AH$3=0,Tab.o1[[#This Row],[rW2]],0.01+0.94*Tab.o1[[#This Row],[rW2]]/SUM(Tab.o1[rW2])),"")</f>
        <v/>
      </c>
      <c r="AI962" s="128" t="str">
        <f>IF(Tab.o1[[#This Row],[a1]]=1,1/Tab.o1[[#This Row],[PDF]],"")</f>
        <v/>
      </c>
      <c r="AJ962" s="131" t="str">
        <f>IF(Tab.o1[[#This Row],[a1]]=1,[1]!T_AA[[#This Row],[IN'']]*[1]!T_AA[[#This Row],[Qde'']],"")</f>
        <v/>
      </c>
      <c r="AK962" s="132" t="str">
        <f>IF(Tab.o1[[#This Row],[a1]]=1,IF(AK$1=1,Tab.o1[[#This Row],[MED]]+Tab.o1[[#This Row],[MOD]]-Tab.o1[[#This Row],[MED]],""),"")</f>
        <v/>
      </c>
      <c r="AL962" s="133" t="str">
        <f>IF(Tab.o1[[#This Row],[a1]]=1,[1]!T.in.A[[#This Row],[oo16]],"")</f>
        <v/>
      </c>
      <c r="AM962" s="133" t="str">
        <f>IF(Tab.o1[[#This Row],[a1]]=1,IF(AM$3=1,[1]!T.in.A[[#This Row],[Σo16]],""),"")</f>
        <v/>
      </c>
      <c r="AN962" s="126" t="str">
        <f>IF(Tab.o1[[#This Row],[a1]]=1,[1]!T.in.A[[#This Row],[Σp5]],"")</f>
        <v/>
      </c>
      <c r="AO962" s="126" t="str">
        <f>IF(Tab.o1[[#This Row],[a1]]=1,IF(AO$3=1,[1]!T.in.A[[#This Row],[Σp5]],""),"")</f>
        <v/>
      </c>
      <c r="AP962" s="110" t="str">
        <f>IF(Tab.o1[[#This Row],[a1]]=1,IF(ISNUMBER(Tab.o1[[#This Row],[i.]]),NORMDIST(Tab.o1[[#This Row],[Za]],0,1,FALSE)*Tab.o1[[#This Row],[i.]],0),"")</f>
        <v/>
      </c>
      <c r="AQ962" s="125" t="str">
        <f>IF(Tab.o1[[#This Row],[a1]]=1,ABS(Tab.o1[[#This Row],[MOD]]-AVERAGE(Tab.o1[MOD])),"")</f>
        <v/>
      </c>
      <c r="AR962" s="134" t="str">
        <f>IF(Tab.o1[[#This Row],[a1]]=1,Tab.o1[[#This Row],[OBS]]/SUM(Tab.o1[OBS]),"")</f>
        <v/>
      </c>
      <c r="AS962" s="135" t="str">
        <f>IF(ISNUMBER(Tab.o1[[#This Row],[a1]]),ROW()-4,"")</f>
        <v/>
      </c>
      <c r="AT962" s="136" t="str">
        <f>Tab.o1[[#This Row],[MOD]]</f>
        <v/>
      </c>
      <c r="AU962" s="137" t="str">
        <f t="shared" si="57"/>
        <v/>
      </c>
      <c r="AV962" s="138" t="str">
        <f t="shared" si="58"/>
        <v/>
      </c>
      <c r="AW962" s="138" t="str">
        <f t="shared" si="59"/>
        <v/>
      </c>
      <c r="AX962" s="139" t="str">
        <f>[1]!T.in.A[[#This Row],[ID_T_manu]]</f>
        <v/>
      </c>
      <c r="AY962" s="140" t="str">
        <f>IF(ISNUMBER(Tab.o1[[#This Row],[a1]]),IF(AND(Tab.o1[[#This Row],[a1]]=1,Tab.o1[[#This Row],[b1]]&lt;=AY$4),#REF!,AY961),"")</f>
        <v/>
      </c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6"/>
      <c r="BO962" s="26"/>
      <c r="BP962" s="26"/>
      <c r="BQ962" s="26"/>
      <c r="BR962" s="26"/>
      <c r="BS962" s="26"/>
      <c r="BT962" s="26"/>
      <c r="BU962" s="26"/>
      <c r="BV962" s="26"/>
      <c r="BW962" s="26"/>
      <c r="BX962" s="26"/>
      <c r="BY962" s="26"/>
      <c r="BZ962" s="26"/>
      <c r="CA962" s="26"/>
    </row>
    <row r="963" spans="1:79" ht="15.75" hidden="1">
      <c r="A963" s="109">
        <v>-5.9999999999999993E-6</v>
      </c>
      <c r="B963" s="110">
        <f t="shared" si="56"/>
        <v>963</v>
      </c>
      <c r="C963" s="111" t="str">
        <f>IF(C$1=[1]!T.in.A[[#This Row],[oo2]],1,"")</f>
        <v/>
      </c>
      <c r="D963" s="112" t="str">
        <f>IF(Tab.o1[[#This Row],[a1]]=1,IF(SUM(C963:C964)=0,0,IF(SUM(C962:C963)=1,1,IF(SUM(C962:C964)&gt;1,D962+1,0))),"")</f>
        <v/>
      </c>
      <c r="E963" s="113" t="str">
        <f>IF(Tab.o1[[#This Row],[a1]]=1,[1]!T.in.A[[#This Row],[oo1]],"")</f>
        <v/>
      </c>
      <c r="F963" s="113" t="str">
        <f>IF(Tab.o1[[#This Row],[a1]]=1,[1]!T.in.A[[#This Row],[pp1]],"")</f>
        <v/>
      </c>
      <c r="G963" s="114" t="str">
        <f>IF(Tab.o1[[#This Row],[a1]]=1,G$2+IF(G$1=1,0,Tab.o1[[#This Row],[.x1]])+[1]!T.in.A[[#This Row],[oo3]],"")</f>
        <v/>
      </c>
      <c r="H963" s="115" t="str">
        <f>IF(Tab.o1[[#This Row],[a1]]=1,IF(H$2=0,0,IF(G$1=1,0,Tab.o1[[#This Row],[.x1]])+[1]!T.in.A[[#This Row],[oo4]]),"")</f>
        <v/>
      </c>
      <c r="I963" s="116" t="str">
        <f>IF(Tab.o1[[#This Row],[a1]]=1,IF(J$2=0,Tab.o1[[#This Row],[MED]],Tab.o1[[#This Row],[MOD]]),"")</f>
        <v/>
      </c>
      <c r="J963" s="116" t="str">
        <f>IF(Tab.o1[[#This Row],[a1]]=1,((Tab.o1[[#This Row],[DIF_Target.]]-AVERAGE(Tab.o1[DIF_Target.]))/_xlfn.STDEV.P(Tab.o1[DIF_Target.])),"")</f>
        <v/>
      </c>
      <c r="K963" s="117" t="str">
        <f>IF(Tab.o1[[#This Row],[a1]]=1,IF(J$2=0,Tab.o1[[#This Row],[MOD]]-Tab.o1[[#This Row],[B]],IF(J$2=1,0,-Tab.o1[[#This Row],[MED]])+Tab.o1[[#This Row],[B]]),"")</f>
        <v/>
      </c>
      <c r="L963" s="117" t="str">
        <f ca="1">IF(Tab.o1[[#This Row],[DIF_Target]]=0,IF(L$2=0,Tab.o1[[#This Row],[DIF_Target]],AVERAGE(OFFSET(Tab.o1[[#This Row],[DIF_Target]],1,0,L$3,1)))/3,Tab.o1[[#This Row],[DIF_Target]])</f>
        <v/>
      </c>
      <c r="M963" s="118" t="str">
        <f>IF(Tab.o1[[#This Row],[a1]]=1,NORMSDIST(Tab.o1[[#This Row],[Za]]),"")</f>
        <v/>
      </c>
      <c r="N963" s="119" t="str">
        <f>IF(Tab.o1[[#This Row],[a1]]=1,((Tab.o1[[#This Row],[MedMod]]-AVERAGE(Tab.o1[MedMod]))/_xlfn.STDEV.P(Tab.o1[MedMod])*H$1205)+G$1205,"")</f>
        <v/>
      </c>
      <c r="O963" s="141" t="str">
        <f>IF(Tab.o1[[#This Row],[a1]]=1,Tab.o1[[#This Row],[Zb]]*_xlfn.STDEV.P(Tab.o1[MedMod])+AVERAGE(Tab.o1[MedMod]),"")</f>
        <v/>
      </c>
      <c r="P963" s="117" t="str">
        <f ca="1">IF(Tab.o1[[#This Row],[B]]=0,AVERAGE(OFFSET(Tab.o1[[#This Row],[B]],1,0,L$3,1)),Tab.o1[[#This Row],[B]])</f>
        <v/>
      </c>
      <c r="Q963" s="121" t="str">
        <f>IF(Tab.o1[[#This Row],[a1]]=1,NORMSDIST(Tab.o1[[#This Row],[Zb]]),"")</f>
        <v/>
      </c>
      <c r="R963" s="122" t="str">
        <f>IF(Tab.o1[[#This Row],[a1]]=1,((Tab.o1[[#This Row],[MedMod]]-AVERAGE(Tab.o1[MedMod]))/_xlfn.STDEV.P(Tab.o1[MedMod])*H$1203)+G$1203,"")</f>
        <v/>
      </c>
      <c r="S963" s="122" t="str">
        <f>IF(Tab.o1[[#This Row],[a1]]=1,((Tab.o1[[#This Row],[MedMod]]-AVERAGE(Tab.o1[MedMod]))/_xlfn.STDEV.P(Tab.o1[MedMod])*H$1204)+G$1204,"")</f>
        <v/>
      </c>
      <c r="T963" s="123" t="str">
        <f>IF(Tab.o1[[#This Row],[a1]]=1,Tab.o1[[#This Row],[Z-]]*_xlfn.STDEV.P(Tab.o1[B])+AVERAGE(Tab.o1[B]),"")</f>
        <v/>
      </c>
      <c r="U963" s="123" t="str">
        <f>IF(Tab.o1[[#This Row],[a1]]=1,Tab.o1[[#This Row],[z+]]*_xlfn.STDEV.P(Tab.o1[B])+AVERAGE(Tab.o1[B]),"")</f>
        <v/>
      </c>
      <c r="V963" s="124" t="str">
        <f>IF(Tab.o1[[#This Row],[a1]]=1,ABS((ABS(Tab.o1[[#This Row],[Red]]-Tab.o1[[#This Row],[Blue]]))),"")</f>
        <v/>
      </c>
      <c r="W963" s="125" t="str">
        <f>IF(Tab.o1[[#This Row],[a1]]=1,IF(W$3=0,1,Tab.o1[[#This Row],[Amp.]]*1/_xlfn.MINIFS(Tab.o1[Amp.],Tab.o1[Amp.],"&lt;&gt;0")),"")</f>
        <v/>
      </c>
      <c r="X963" s="126" t="str">
        <f>IF(Tab.o1[[#This Row],[a1]]=1,IF(ISNUMBER(Tab.o1[[#This Row],[i.]]),NORMDIST(Tab.o1[[#This Row],[Za]],0,1,FALSE)*Tab.o1[[#This Row],[i.]],AP$3),"")</f>
        <v/>
      </c>
      <c r="Y963" s="126" t="str">
        <f>IF(Tab.o1[[#This Row],[a1]]=1,0.01+0.94*Tab.o1[[#This Row],[PDF]]/MAX(Tab.o1[PDF]),"")</f>
        <v/>
      </c>
      <c r="Z963" s="126" t="str">
        <f>IF(Tab.o1[[#This Row],[a1]]=1,0.01+0.94*Tab.o1[[#This Row],[W1_PDF]]/MAX(Tab.o1[W1_PDF]),"")</f>
        <v/>
      </c>
      <c r="AA963" s="118" t="str">
        <f>IF(Tab.o1[[#This Row],[a1]]=1,ABS([1]!T.in.A[[#This Row],[oo6]]),"")</f>
        <v/>
      </c>
      <c r="AB963" s="127" t="str">
        <f>IF(Tab.o1[[#This Row],[a1]]=1,IF(AE$3=0,"",IF(AB$3=0,ABS([1]!T.in.A[[#This Row],[oo9]]),ABS(Tab.o1[[#This Row],[DIF_Target.]]*Tab.o1[[#This Row],[W1_PDF]]))),"")</f>
        <v/>
      </c>
      <c r="AC963" s="127" t="str">
        <f>IF(G$1=1,"",IF(Tab.o1[[#This Row],[a1]]=1,Tab.o1[[#This Row],[Wr]]^2,""))</f>
        <v/>
      </c>
      <c r="AD963" s="118" t="str">
        <f>IF(Tab.o1[[#This Row],[a1]]=1,IF(AE$3=0,"",Tab.o1[[#This Row],[Wr2]]/SUM(Tab.o1[Wr2])),"")</f>
        <v/>
      </c>
      <c r="AE963" s="128" t="str">
        <f>IF(Tab.o1[[#This Row],[a1]]=1,[1]!T.in.A[[#This Row],[oo10]],"")</f>
        <v/>
      </c>
      <c r="AF963" s="118" t="str">
        <f>IF(Tab.o1[[#This Row],[a1]]=1,ABS(Tab.o1[[#This Row],[DIF_Target.]]*Tab.o1[[#This Row],[PDF2]]*Tab.o1[[#This Row],[IN]]),"")</f>
        <v/>
      </c>
      <c r="AG963" s="129" t="str">
        <f>IF(Tab.o1[[#This Row],[a1]]=1,Tab.o1[[#This Row],[rW]]^2,"")</f>
        <v/>
      </c>
      <c r="AH963" s="130" t="str">
        <f>IF(Tab.o1[[#This Row],[a1]]=1,IF(AH$3=0,Tab.o1[[#This Row],[rW2]],0.01+0.94*Tab.o1[[#This Row],[rW2]]/SUM(Tab.o1[rW2])),"")</f>
        <v/>
      </c>
      <c r="AI963" s="128" t="str">
        <f>IF(Tab.o1[[#This Row],[a1]]=1,1/Tab.o1[[#This Row],[PDF]],"")</f>
        <v/>
      </c>
      <c r="AJ963" s="131" t="str">
        <f>IF(Tab.o1[[#This Row],[a1]]=1,[1]!T_AA[[#This Row],[IN'']]*[1]!T_AA[[#This Row],[Qde'']],"")</f>
        <v/>
      </c>
      <c r="AK963" s="132" t="str">
        <f>IF(Tab.o1[[#This Row],[a1]]=1,IF(AK$1=1,Tab.o1[[#This Row],[MED]]+Tab.o1[[#This Row],[MOD]]-Tab.o1[[#This Row],[MED]],""),"")</f>
        <v/>
      </c>
      <c r="AL963" s="133" t="str">
        <f>IF(Tab.o1[[#This Row],[a1]]=1,[1]!T.in.A[[#This Row],[oo16]],"")</f>
        <v/>
      </c>
      <c r="AM963" s="133" t="str">
        <f>IF(Tab.o1[[#This Row],[a1]]=1,IF(AM$3=1,[1]!T.in.A[[#This Row],[Σo16]],""),"")</f>
        <v/>
      </c>
      <c r="AN963" s="126" t="str">
        <f>IF(Tab.o1[[#This Row],[a1]]=1,[1]!T.in.A[[#This Row],[Σp5]],"")</f>
        <v/>
      </c>
      <c r="AO963" s="126" t="str">
        <f>IF(Tab.o1[[#This Row],[a1]]=1,IF(AO$3=1,[1]!T.in.A[[#This Row],[Σp5]],""),"")</f>
        <v/>
      </c>
      <c r="AP963" s="110" t="str">
        <f>IF(Tab.o1[[#This Row],[a1]]=1,IF(ISNUMBER(Tab.o1[[#This Row],[i.]]),NORMDIST(Tab.o1[[#This Row],[Za]],0,1,FALSE)*Tab.o1[[#This Row],[i.]],0),"")</f>
        <v/>
      </c>
      <c r="AQ963" s="125" t="str">
        <f>IF(Tab.o1[[#This Row],[a1]]=1,ABS(Tab.o1[[#This Row],[MOD]]-AVERAGE(Tab.o1[MOD])),"")</f>
        <v/>
      </c>
      <c r="AR963" s="134" t="str">
        <f>IF(Tab.o1[[#This Row],[a1]]=1,Tab.o1[[#This Row],[OBS]]/SUM(Tab.o1[OBS]),"")</f>
        <v/>
      </c>
      <c r="AS963" s="135" t="str">
        <f>IF(ISNUMBER(Tab.o1[[#This Row],[a1]]),ROW()-4,"")</f>
        <v/>
      </c>
      <c r="AT963" s="136" t="str">
        <f>Tab.o1[[#This Row],[MOD]]</f>
        <v/>
      </c>
      <c r="AU963" s="137" t="str">
        <f t="shared" si="57"/>
        <v/>
      </c>
      <c r="AV963" s="138" t="str">
        <f t="shared" si="58"/>
        <v/>
      </c>
      <c r="AW963" s="138" t="str">
        <f t="shared" si="59"/>
        <v/>
      </c>
      <c r="AX963" s="139" t="str">
        <f>[1]!T.in.A[[#This Row],[ID_T_manu]]</f>
        <v/>
      </c>
      <c r="AY963" s="140" t="str">
        <f>IF(ISNUMBER(Tab.o1[[#This Row],[a1]]),IF(AND(Tab.o1[[#This Row],[a1]]=1,Tab.o1[[#This Row],[b1]]&lt;=AY$4),#REF!,AY962),"")</f>
        <v/>
      </c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6"/>
      <c r="BO963" s="26"/>
      <c r="BP963" s="26"/>
      <c r="BQ963" s="26"/>
      <c r="BR963" s="26"/>
      <c r="BS963" s="26"/>
      <c r="BT963" s="26"/>
      <c r="BU963" s="26"/>
      <c r="BV963" s="26"/>
      <c r="BW963" s="26"/>
      <c r="BX963" s="26"/>
      <c r="BY963" s="26"/>
      <c r="BZ963" s="26"/>
      <c r="CA963" s="26"/>
    </row>
    <row r="964" spans="1:79" ht="15.75" hidden="1">
      <c r="A964" s="109">
        <v>-5.9999999999999993E-6</v>
      </c>
      <c r="B964" s="110">
        <f t="shared" si="56"/>
        <v>964</v>
      </c>
      <c r="C964" s="111" t="str">
        <f>IF(C$1=[1]!T.in.A[[#This Row],[oo2]],1,"")</f>
        <v/>
      </c>
      <c r="D964" s="112" t="str">
        <f>IF(Tab.o1[[#This Row],[a1]]=1,IF(SUM(C964:C965)=0,0,IF(SUM(C963:C964)=1,1,IF(SUM(C963:C965)&gt;1,D963+1,0))),"")</f>
        <v/>
      </c>
      <c r="E964" s="113" t="str">
        <f>IF(Tab.o1[[#This Row],[a1]]=1,[1]!T.in.A[[#This Row],[oo1]],"")</f>
        <v/>
      </c>
      <c r="F964" s="113" t="str">
        <f>IF(Tab.o1[[#This Row],[a1]]=1,[1]!T.in.A[[#This Row],[pp1]],"")</f>
        <v/>
      </c>
      <c r="G964" s="114" t="str">
        <f>IF(Tab.o1[[#This Row],[a1]]=1,G$2+IF(G$1=1,0,Tab.o1[[#This Row],[.x1]])+[1]!T.in.A[[#This Row],[oo3]],"")</f>
        <v/>
      </c>
      <c r="H964" s="115" t="str">
        <f>IF(Tab.o1[[#This Row],[a1]]=1,IF(H$2=0,0,IF(G$1=1,0,Tab.o1[[#This Row],[.x1]])+[1]!T.in.A[[#This Row],[oo4]]),"")</f>
        <v/>
      </c>
      <c r="I964" s="116" t="str">
        <f>IF(Tab.o1[[#This Row],[a1]]=1,IF(J$2=0,Tab.o1[[#This Row],[MED]],Tab.o1[[#This Row],[MOD]]),"")</f>
        <v/>
      </c>
      <c r="J964" s="116" t="str">
        <f>IF(Tab.o1[[#This Row],[a1]]=1,((Tab.o1[[#This Row],[DIF_Target.]]-AVERAGE(Tab.o1[DIF_Target.]))/_xlfn.STDEV.P(Tab.o1[DIF_Target.])),"")</f>
        <v/>
      </c>
      <c r="K964" s="117" t="str">
        <f>IF(Tab.o1[[#This Row],[a1]]=1,IF(J$2=0,Tab.o1[[#This Row],[MOD]]-Tab.o1[[#This Row],[B]],IF(J$2=1,0,-Tab.o1[[#This Row],[MED]])+Tab.o1[[#This Row],[B]]),"")</f>
        <v/>
      </c>
      <c r="L964" s="117" t="str">
        <f ca="1">IF(Tab.o1[[#This Row],[DIF_Target]]=0,IF(L$2=0,Tab.o1[[#This Row],[DIF_Target]],AVERAGE(OFFSET(Tab.o1[[#This Row],[DIF_Target]],1,0,L$3,1)))/3,Tab.o1[[#This Row],[DIF_Target]])</f>
        <v/>
      </c>
      <c r="M964" s="118" t="str">
        <f>IF(Tab.o1[[#This Row],[a1]]=1,NORMSDIST(Tab.o1[[#This Row],[Za]]),"")</f>
        <v/>
      </c>
      <c r="N964" s="119" t="str">
        <f>IF(Tab.o1[[#This Row],[a1]]=1,((Tab.o1[[#This Row],[MedMod]]-AVERAGE(Tab.o1[MedMod]))/_xlfn.STDEV.P(Tab.o1[MedMod])*H$1205)+G$1205,"")</f>
        <v/>
      </c>
      <c r="O964" s="141" t="str">
        <f>IF(Tab.o1[[#This Row],[a1]]=1,Tab.o1[[#This Row],[Zb]]*_xlfn.STDEV.P(Tab.o1[MedMod])+AVERAGE(Tab.o1[MedMod]),"")</f>
        <v/>
      </c>
      <c r="P964" s="117" t="str">
        <f ca="1">IF(Tab.o1[[#This Row],[B]]=0,AVERAGE(OFFSET(Tab.o1[[#This Row],[B]],1,0,L$3,1)),Tab.o1[[#This Row],[B]])</f>
        <v/>
      </c>
      <c r="Q964" s="121" t="str">
        <f>IF(Tab.o1[[#This Row],[a1]]=1,NORMSDIST(Tab.o1[[#This Row],[Zb]]),"")</f>
        <v/>
      </c>
      <c r="R964" s="122" t="str">
        <f>IF(Tab.o1[[#This Row],[a1]]=1,((Tab.o1[[#This Row],[MedMod]]-AVERAGE(Tab.o1[MedMod]))/_xlfn.STDEV.P(Tab.o1[MedMod])*H$1203)+G$1203,"")</f>
        <v/>
      </c>
      <c r="S964" s="122" t="str">
        <f>IF(Tab.o1[[#This Row],[a1]]=1,((Tab.o1[[#This Row],[MedMod]]-AVERAGE(Tab.o1[MedMod]))/_xlfn.STDEV.P(Tab.o1[MedMod])*H$1204)+G$1204,"")</f>
        <v/>
      </c>
      <c r="T964" s="123" t="str">
        <f>IF(Tab.o1[[#This Row],[a1]]=1,Tab.o1[[#This Row],[Z-]]*_xlfn.STDEV.P(Tab.o1[B])+AVERAGE(Tab.o1[B]),"")</f>
        <v/>
      </c>
      <c r="U964" s="123" t="str">
        <f>IF(Tab.o1[[#This Row],[a1]]=1,Tab.o1[[#This Row],[z+]]*_xlfn.STDEV.P(Tab.o1[B])+AVERAGE(Tab.o1[B]),"")</f>
        <v/>
      </c>
      <c r="V964" s="124" t="str">
        <f>IF(Tab.o1[[#This Row],[a1]]=1,ABS((ABS(Tab.o1[[#This Row],[Red]]-Tab.o1[[#This Row],[Blue]]))),"")</f>
        <v/>
      </c>
      <c r="W964" s="125" t="str">
        <f>IF(Tab.o1[[#This Row],[a1]]=1,IF(W$3=0,1,Tab.o1[[#This Row],[Amp.]]*1/_xlfn.MINIFS(Tab.o1[Amp.],Tab.o1[Amp.],"&lt;&gt;0")),"")</f>
        <v/>
      </c>
      <c r="X964" s="126" t="str">
        <f>IF(Tab.o1[[#This Row],[a1]]=1,IF(ISNUMBER(Tab.o1[[#This Row],[i.]]),NORMDIST(Tab.o1[[#This Row],[Za]],0,1,FALSE)*Tab.o1[[#This Row],[i.]],AP$3),"")</f>
        <v/>
      </c>
      <c r="Y964" s="126" t="str">
        <f>IF(Tab.o1[[#This Row],[a1]]=1,0.01+0.94*Tab.o1[[#This Row],[PDF]]/MAX(Tab.o1[PDF]),"")</f>
        <v/>
      </c>
      <c r="Z964" s="126" t="str">
        <f>IF(Tab.o1[[#This Row],[a1]]=1,0.01+0.94*Tab.o1[[#This Row],[W1_PDF]]/MAX(Tab.o1[W1_PDF]),"")</f>
        <v/>
      </c>
      <c r="AA964" s="118" t="str">
        <f>IF(Tab.o1[[#This Row],[a1]]=1,ABS([1]!T.in.A[[#This Row],[oo6]]),"")</f>
        <v/>
      </c>
      <c r="AB964" s="127" t="str">
        <f>IF(Tab.o1[[#This Row],[a1]]=1,IF(AE$3=0,"",IF(AB$3=0,ABS([1]!T.in.A[[#This Row],[oo9]]),ABS(Tab.o1[[#This Row],[DIF_Target.]]*Tab.o1[[#This Row],[W1_PDF]]))),"")</f>
        <v/>
      </c>
      <c r="AC964" s="127" t="str">
        <f>IF(G$1=1,"",IF(Tab.o1[[#This Row],[a1]]=1,Tab.o1[[#This Row],[Wr]]^2,""))</f>
        <v/>
      </c>
      <c r="AD964" s="118" t="str">
        <f>IF(Tab.o1[[#This Row],[a1]]=1,IF(AE$3=0,"",Tab.o1[[#This Row],[Wr2]]/SUM(Tab.o1[Wr2])),"")</f>
        <v/>
      </c>
      <c r="AE964" s="128" t="str">
        <f>IF(Tab.o1[[#This Row],[a1]]=1,[1]!T.in.A[[#This Row],[oo10]],"")</f>
        <v/>
      </c>
      <c r="AF964" s="118" t="str">
        <f>IF(Tab.o1[[#This Row],[a1]]=1,ABS(Tab.o1[[#This Row],[DIF_Target.]]*Tab.o1[[#This Row],[PDF2]]*Tab.o1[[#This Row],[IN]]),"")</f>
        <v/>
      </c>
      <c r="AG964" s="129" t="str">
        <f>IF(Tab.o1[[#This Row],[a1]]=1,Tab.o1[[#This Row],[rW]]^2,"")</f>
        <v/>
      </c>
      <c r="AH964" s="130" t="str">
        <f>IF(Tab.o1[[#This Row],[a1]]=1,IF(AH$3=0,Tab.o1[[#This Row],[rW2]],0.01+0.94*Tab.o1[[#This Row],[rW2]]/SUM(Tab.o1[rW2])),"")</f>
        <v/>
      </c>
      <c r="AI964" s="128" t="str">
        <f>IF(Tab.o1[[#This Row],[a1]]=1,1/Tab.o1[[#This Row],[PDF]],"")</f>
        <v/>
      </c>
      <c r="AJ964" s="131" t="str">
        <f>IF(Tab.o1[[#This Row],[a1]]=1,[1]!T_AA[[#This Row],[IN'']]*[1]!T_AA[[#This Row],[Qde'']],"")</f>
        <v/>
      </c>
      <c r="AK964" s="132" t="str">
        <f>IF(Tab.o1[[#This Row],[a1]]=1,IF(AK$1=1,Tab.o1[[#This Row],[MED]]+Tab.o1[[#This Row],[MOD]]-Tab.o1[[#This Row],[MED]],""),"")</f>
        <v/>
      </c>
      <c r="AL964" s="133" t="str">
        <f>IF(Tab.o1[[#This Row],[a1]]=1,[1]!T.in.A[[#This Row],[oo16]],"")</f>
        <v/>
      </c>
      <c r="AM964" s="133" t="str">
        <f>IF(Tab.o1[[#This Row],[a1]]=1,IF(AM$3=1,[1]!T.in.A[[#This Row],[Σo16]],""),"")</f>
        <v/>
      </c>
      <c r="AN964" s="126" t="str">
        <f>IF(Tab.o1[[#This Row],[a1]]=1,[1]!T.in.A[[#This Row],[Σp5]],"")</f>
        <v/>
      </c>
      <c r="AO964" s="126" t="str">
        <f>IF(Tab.o1[[#This Row],[a1]]=1,IF(AO$3=1,[1]!T.in.A[[#This Row],[Σp5]],""),"")</f>
        <v/>
      </c>
      <c r="AP964" s="110" t="str">
        <f>IF(Tab.o1[[#This Row],[a1]]=1,IF(ISNUMBER(Tab.o1[[#This Row],[i.]]),NORMDIST(Tab.o1[[#This Row],[Za]],0,1,FALSE)*Tab.o1[[#This Row],[i.]],0),"")</f>
        <v/>
      </c>
      <c r="AQ964" s="125" t="str">
        <f>IF(Tab.o1[[#This Row],[a1]]=1,ABS(Tab.o1[[#This Row],[MOD]]-AVERAGE(Tab.o1[MOD])),"")</f>
        <v/>
      </c>
      <c r="AR964" s="134" t="str">
        <f>IF(Tab.o1[[#This Row],[a1]]=1,Tab.o1[[#This Row],[OBS]]/SUM(Tab.o1[OBS]),"")</f>
        <v/>
      </c>
      <c r="AS964" s="135" t="str">
        <f>IF(ISNUMBER(Tab.o1[[#This Row],[a1]]),ROW()-4,"")</f>
        <v/>
      </c>
      <c r="AT964" s="136" t="str">
        <f>Tab.o1[[#This Row],[MOD]]</f>
        <v/>
      </c>
      <c r="AU964" s="137" t="str">
        <f t="shared" si="57"/>
        <v/>
      </c>
      <c r="AV964" s="138" t="str">
        <f t="shared" si="58"/>
        <v/>
      </c>
      <c r="AW964" s="138" t="str">
        <f t="shared" si="59"/>
        <v/>
      </c>
      <c r="AX964" s="139" t="str">
        <f>[1]!T.in.A[[#This Row],[ID_T_manu]]</f>
        <v/>
      </c>
      <c r="AY964" s="140" t="str">
        <f>IF(ISNUMBER(Tab.o1[[#This Row],[a1]]),IF(AND(Tab.o1[[#This Row],[a1]]=1,Tab.o1[[#This Row],[b1]]&lt;=AY$4),#REF!,AY963),"")</f>
        <v/>
      </c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6"/>
      <c r="BO964" s="26"/>
      <c r="BP964" s="26"/>
      <c r="BQ964" s="26"/>
      <c r="BR964" s="26"/>
      <c r="BS964" s="26"/>
      <c r="BT964" s="26"/>
      <c r="BU964" s="26"/>
      <c r="BV964" s="26"/>
      <c r="BW964" s="26"/>
      <c r="BX964" s="26"/>
      <c r="BY964" s="26"/>
      <c r="BZ964" s="26"/>
      <c r="CA964" s="26"/>
    </row>
    <row r="965" spans="1:79" ht="15.75" hidden="1">
      <c r="A965" s="109">
        <v>-5.9999999999999993E-6</v>
      </c>
      <c r="B965" s="110">
        <f t="shared" si="56"/>
        <v>965</v>
      </c>
      <c r="C965" s="111" t="str">
        <f>IF(C$1=[1]!T.in.A[[#This Row],[oo2]],1,"")</f>
        <v/>
      </c>
      <c r="D965" s="112" t="str">
        <f>IF(Tab.o1[[#This Row],[a1]]=1,IF(SUM(C965:C966)=0,0,IF(SUM(C964:C965)=1,1,IF(SUM(C964:C966)&gt;1,D964+1,0))),"")</f>
        <v/>
      </c>
      <c r="E965" s="113" t="str">
        <f>IF(Tab.o1[[#This Row],[a1]]=1,[1]!T.in.A[[#This Row],[oo1]],"")</f>
        <v/>
      </c>
      <c r="F965" s="113" t="str">
        <f>IF(Tab.o1[[#This Row],[a1]]=1,[1]!T.in.A[[#This Row],[pp1]],"")</f>
        <v/>
      </c>
      <c r="G965" s="114" t="str">
        <f>IF(Tab.o1[[#This Row],[a1]]=1,G$2+IF(G$1=1,0,Tab.o1[[#This Row],[.x1]])+[1]!T.in.A[[#This Row],[oo3]],"")</f>
        <v/>
      </c>
      <c r="H965" s="115" t="str">
        <f>IF(Tab.o1[[#This Row],[a1]]=1,IF(H$2=0,0,IF(G$1=1,0,Tab.o1[[#This Row],[.x1]])+[1]!T.in.A[[#This Row],[oo4]]),"")</f>
        <v/>
      </c>
      <c r="I965" s="116" t="str">
        <f>IF(Tab.o1[[#This Row],[a1]]=1,IF(J$2=0,Tab.o1[[#This Row],[MED]],Tab.o1[[#This Row],[MOD]]),"")</f>
        <v/>
      </c>
      <c r="J965" s="116" t="str">
        <f>IF(Tab.o1[[#This Row],[a1]]=1,((Tab.o1[[#This Row],[DIF_Target.]]-AVERAGE(Tab.o1[DIF_Target.]))/_xlfn.STDEV.P(Tab.o1[DIF_Target.])),"")</f>
        <v/>
      </c>
      <c r="K965" s="117" t="str">
        <f>IF(Tab.o1[[#This Row],[a1]]=1,IF(J$2=0,Tab.o1[[#This Row],[MOD]]-Tab.o1[[#This Row],[B]],IF(J$2=1,0,-Tab.o1[[#This Row],[MED]])+Tab.o1[[#This Row],[B]]),"")</f>
        <v/>
      </c>
      <c r="L965" s="117" t="str">
        <f ca="1">IF(Tab.o1[[#This Row],[DIF_Target]]=0,IF(L$2=0,Tab.o1[[#This Row],[DIF_Target]],AVERAGE(OFFSET(Tab.o1[[#This Row],[DIF_Target]],1,0,L$3,1)))/3,Tab.o1[[#This Row],[DIF_Target]])</f>
        <v/>
      </c>
      <c r="M965" s="118" t="str">
        <f>IF(Tab.o1[[#This Row],[a1]]=1,NORMSDIST(Tab.o1[[#This Row],[Za]]),"")</f>
        <v/>
      </c>
      <c r="N965" s="119" t="str">
        <f>IF(Tab.o1[[#This Row],[a1]]=1,((Tab.o1[[#This Row],[MedMod]]-AVERAGE(Tab.o1[MedMod]))/_xlfn.STDEV.P(Tab.o1[MedMod])*H$1205)+G$1205,"")</f>
        <v/>
      </c>
      <c r="O965" s="141" t="str">
        <f>IF(Tab.o1[[#This Row],[a1]]=1,Tab.o1[[#This Row],[Zb]]*_xlfn.STDEV.P(Tab.o1[MedMod])+AVERAGE(Tab.o1[MedMod]),"")</f>
        <v/>
      </c>
      <c r="P965" s="117" t="str">
        <f ca="1">IF(Tab.o1[[#This Row],[B]]=0,AVERAGE(OFFSET(Tab.o1[[#This Row],[B]],1,0,L$3,1)),Tab.o1[[#This Row],[B]])</f>
        <v/>
      </c>
      <c r="Q965" s="121" t="str">
        <f>IF(Tab.o1[[#This Row],[a1]]=1,NORMSDIST(Tab.o1[[#This Row],[Zb]]),"")</f>
        <v/>
      </c>
      <c r="R965" s="122" t="str">
        <f>IF(Tab.o1[[#This Row],[a1]]=1,((Tab.o1[[#This Row],[MedMod]]-AVERAGE(Tab.o1[MedMod]))/_xlfn.STDEV.P(Tab.o1[MedMod])*H$1203)+G$1203,"")</f>
        <v/>
      </c>
      <c r="S965" s="122" t="str">
        <f>IF(Tab.o1[[#This Row],[a1]]=1,((Tab.o1[[#This Row],[MedMod]]-AVERAGE(Tab.o1[MedMod]))/_xlfn.STDEV.P(Tab.o1[MedMod])*H$1204)+G$1204,"")</f>
        <v/>
      </c>
      <c r="T965" s="123" t="str">
        <f>IF(Tab.o1[[#This Row],[a1]]=1,Tab.o1[[#This Row],[Z-]]*_xlfn.STDEV.P(Tab.o1[B])+AVERAGE(Tab.o1[B]),"")</f>
        <v/>
      </c>
      <c r="U965" s="123" t="str">
        <f>IF(Tab.o1[[#This Row],[a1]]=1,Tab.o1[[#This Row],[z+]]*_xlfn.STDEV.P(Tab.o1[B])+AVERAGE(Tab.o1[B]),"")</f>
        <v/>
      </c>
      <c r="V965" s="124" t="str">
        <f>IF(Tab.o1[[#This Row],[a1]]=1,ABS((ABS(Tab.o1[[#This Row],[Red]]-Tab.o1[[#This Row],[Blue]]))),"")</f>
        <v/>
      </c>
      <c r="W965" s="125" t="str">
        <f>IF(Tab.o1[[#This Row],[a1]]=1,IF(W$3=0,1,Tab.o1[[#This Row],[Amp.]]*1/_xlfn.MINIFS(Tab.o1[Amp.],Tab.o1[Amp.],"&lt;&gt;0")),"")</f>
        <v/>
      </c>
      <c r="X965" s="126" t="str">
        <f>IF(Tab.o1[[#This Row],[a1]]=1,IF(ISNUMBER(Tab.o1[[#This Row],[i.]]),NORMDIST(Tab.o1[[#This Row],[Za]],0,1,FALSE)*Tab.o1[[#This Row],[i.]],AP$3),"")</f>
        <v/>
      </c>
      <c r="Y965" s="126" t="str">
        <f>IF(Tab.o1[[#This Row],[a1]]=1,0.01+0.94*Tab.o1[[#This Row],[PDF]]/MAX(Tab.o1[PDF]),"")</f>
        <v/>
      </c>
      <c r="Z965" s="126" t="str">
        <f>IF(Tab.o1[[#This Row],[a1]]=1,0.01+0.94*Tab.o1[[#This Row],[W1_PDF]]/MAX(Tab.o1[W1_PDF]),"")</f>
        <v/>
      </c>
      <c r="AA965" s="118" t="str">
        <f>IF(Tab.o1[[#This Row],[a1]]=1,ABS([1]!T.in.A[[#This Row],[oo6]]),"")</f>
        <v/>
      </c>
      <c r="AB965" s="127" t="str">
        <f>IF(Tab.o1[[#This Row],[a1]]=1,IF(AE$3=0,"",IF(AB$3=0,ABS([1]!T.in.A[[#This Row],[oo9]]),ABS(Tab.o1[[#This Row],[DIF_Target.]]*Tab.o1[[#This Row],[W1_PDF]]))),"")</f>
        <v/>
      </c>
      <c r="AC965" s="127" t="str">
        <f>IF(G$1=1,"",IF(Tab.o1[[#This Row],[a1]]=1,Tab.o1[[#This Row],[Wr]]^2,""))</f>
        <v/>
      </c>
      <c r="AD965" s="118" t="str">
        <f>IF(Tab.o1[[#This Row],[a1]]=1,IF(AE$3=0,"",Tab.o1[[#This Row],[Wr2]]/SUM(Tab.o1[Wr2])),"")</f>
        <v/>
      </c>
      <c r="AE965" s="128" t="str">
        <f>IF(Tab.o1[[#This Row],[a1]]=1,[1]!T.in.A[[#This Row],[oo10]],"")</f>
        <v/>
      </c>
      <c r="AF965" s="118" t="str">
        <f>IF(Tab.o1[[#This Row],[a1]]=1,ABS(Tab.o1[[#This Row],[DIF_Target.]]*Tab.o1[[#This Row],[PDF2]]*Tab.o1[[#This Row],[IN]]),"")</f>
        <v/>
      </c>
      <c r="AG965" s="129" t="str">
        <f>IF(Tab.o1[[#This Row],[a1]]=1,Tab.o1[[#This Row],[rW]]^2,"")</f>
        <v/>
      </c>
      <c r="AH965" s="130" t="str">
        <f>IF(Tab.o1[[#This Row],[a1]]=1,IF(AH$3=0,Tab.o1[[#This Row],[rW2]],0.01+0.94*Tab.o1[[#This Row],[rW2]]/SUM(Tab.o1[rW2])),"")</f>
        <v/>
      </c>
      <c r="AI965" s="128" t="str">
        <f>IF(Tab.o1[[#This Row],[a1]]=1,1/Tab.o1[[#This Row],[PDF]],"")</f>
        <v/>
      </c>
      <c r="AJ965" s="131" t="str">
        <f>IF(Tab.o1[[#This Row],[a1]]=1,[1]!T_AA[[#This Row],[IN'']]*[1]!T_AA[[#This Row],[Qde'']],"")</f>
        <v/>
      </c>
      <c r="AK965" s="132" t="str">
        <f>IF(Tab.o1[[#This Row],[a1]]=1,IF(AK$1=1,Tab.o1[[#This Row],[MED]]+Tab.o1[[#This Row],[MOD]]-Tab.o1[[#This Row],[MED]],""),"")</f>
        <v/>
      </c>
      <c r="AL965" s="133" t="str">
        <f>IF(Tab.o1[[#This Row],[a1]]=1,[1]!T.in.A[[#This Row],[oo16]],"")</f>
        <v/>
      </c>
      <c r="AM965" s="133" t="str">
        <f>IF(Tab.o1[[#This Row],[a1]]=1,IF(AM$3=1,[1]!T.in.A[[#This Row],[Σo16]],""),"")</f>
        <v/>
      </c>
      <c r="AN965" s="126" t="str">
        <f>IF(Tab.o1[[#This Row],[a1]]=1,[1]!T.in.A[[#This Row],[Σp5]],"")</f>
        <v/>
      </c>
      <c r="AO965" s="126" t="str">
        <f>IF(Tab.o1[[#This Row],[a1]]=1,IF(AO$3=1,[1]!T.in.A[[#This Row],[Σp5]],""),"")</f>
        <v/>
      </c>
      <c r="AP965" s="110" t="str">
        <f>IF(Tab.o1[[#This Row],[a1]]=1,IF(ISNUMBER(Tab.o1[[#This Row],[i.]]),NORMDIST(Tab.o1[[#This Row],[Za]],0,1,FALSE)*Tab.o1[[#This Row],[i.]],0),"")</f>
        <v/>
      </c>
      <c r="AQ965" s="125" t="str">
        <f>IF(Tab.o1[[#This Row],[a1]]=1,ABS(Tab.o1[[#This Row],[MOD]]-AVERAGE(Tab.o1[MOD])),"")</f>
        <v/>
      </c>
      <c r="AR965" s="134" t="str">
        <f>IF(Tab.o1[[#This Row],[a1]]=1,Tab.o1[[#This Row],[OBS]]/SUM(Tab.o1[OBS]),"")</f>
        <v/>
      </c>
      <c r="AS965" s="135" t="str">
        <f>IF(ISNUMBER(Tab.o1[[#This Row],[a1]]),ROW()-4,"")</f>
        <v/>
      </c>
      <c r="AT965" s="136" t="str">
        <f>Tab.o1[[#This Row],[MOD]]</f>
        <v/>
      </c>
      <c r="AU965" s="137" t="str">
        <f t="shared" si="57"/>
        <v/>
      </c>
      <c r="AV965" s="138" t="str">
        <f t="shared" si="58"/>
        <v/>
      </c>
      <c r="AW965" s="138" t="str">
        <f t="shared" si="59"/>
        <v/>
      </c>
      <c r="AX965" s="139" t="str">
        <f>[1]!T.in.A[[#This Row],[ID_T_manu]]</f>
        <v/>
      </c>
      <c r="AY965" s="140" t="str">
        <f>IF(ISNUMBER(Tab.o1[[#This Row],[a1]]),IF(AND(Tab.o1[[#This Row],[a1]]=1,Tab.o1[[#This Row],[b1]]&lt;=AY$4),#REF!,AY964),"")</f>
        <v/>
      </c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6"/>
      <c r="BO965" s="26"/>
      <c r="BP965" s="26"/>
      <c r="BQ965" s="26"/>
      <c r="BR965" s="26"/>
      <c r="BS965" s="26"/>
      <c r="BT965" s="26"/>
      <c r="BU965" s="26"/>
      <c r="BV965" s="26"/>
      <c r="BW965" s="26"/>
      <c r="BX965" s="26"/>
      <c r="BY965" s="26"/>
      <c r="BZ965" s="26"/>
      <c r="CA965" s="26"/>
    </row>
    <row r="966" spans="1:79" ht="15.75" hidden="1">
      <c r="A966" s="109">
        <v>-2.0000000000000003E-6</v>
      </c>
      <c r="B966" s="110">
        <f t="shared" ref="B966:B1029" si="60">B965+1</f>
        <v>966</v>
      </c>
      <c r="C966" s="111" t="str">
        <f>IF(C$1=[1]!T.in.A[[#This Row],[oo2]],1,"")</f>
        <v/>
      </c>
      <c r="D966" s="112" t="str">
        <f>IF(Tab.o1[[#This Row],[a1]]=1,IF(SUM(C966:C967)=0,0,IF(SUM(C965:C966)=1,1,IF(SUM(C965:C967)&gt;1,D965+1,0))),"")</f>
        <v/>
      </c>
      <c r="E966" s="113" t="str">
        <f>IF(Tab.o1[[#This Row],[a1]]=1,[1]!T.in.A[[#This Row],[oo1]],"")</f>
        <v/>
      </c>
      <c r="F966" s="113" t="str">
        <f>IF(Tab.o1[[#This Row],[a1]]=1,[1]!T.in.A[[#This Row],[pp1]],"")</f>
        <v/>
      </c>
      <c r="G966" s="114" t="str">
        <f>IF(Tab.o1[[#This Row],[a1]]=1,G$2+IF(G$1=1,0,Tab.o1[[#This Row],[.x1]])+[1]!T.in.A[[#This Row],[oo3]],"")</f>
        <v/>
      </c>
      <c r="H966" s="115" t="str">
        <f>IF(Tab.o1[[#This Row],[a1]]=1,IF(H$2=0,0,IF(G$1=1,0,Tab.o1[[#This Row],[.x1]])+[1]!T.in.A[[#This Row],[oo4]]),"")</f>
        <v/>
      </c>
      <c r="I966" s="116" t="str">
        <f>IF(Tab.o1[[#This Row],[a1]]=1,IF(J$2=0,Tab.o1[[#This Row],[MED]],Tab.o1[[#This Row],[MOD]]),"")</f>
        <v/>
      </c>
      <c r="J966" s="116" t="str">
        <f>IF(Tab.o1[[#This Row],[a1]]=1,((Tab.o1[[#This Row],[DIF_Target.]]-AVERAGE(Tab.o1[DIF_Target.]))/_xlfn.STDEV.P(Tab.o1[DIF_Target.])),"")</f>
        <v/>
      </c>
      <c r="K966" s="117" t="str">
        <f>IF(Tab.o1[[#This Row],[a1]]=1,IF(J$2=0,Tab.o1[[#This Row],[MOD]]-Tab.o1[[#This Row],[B]],IF(J$2=1,0,-Tab.o1[[#This Row],[MED]])+Tab.o1[[#This Row],[B]]),"")</f>
        <v/>
      </c>
      <c r="L966" s="117" t="str">
        <f ca="1">IF(Tab.o1[[#This Row],[DIF_Target]]=0,IF(L$2=0,Tab.o1[[#This Row],[DIF_Target]],AVERAGE(OFFSET(Tab.o1[[#This Row],[DIF_Target]],1,0,L$3,1)))/3,Tab.o1[[#This Row],[DIF_Target]])</f>
        <v/>
      </c>
      <c r="M966" s="118" t="str">
        <f>IF(Tab.o1[[#This Row],[a1]]=1,NORMSDIST(Tab.o1[[#This Row],[Za]]),"")</f>
        <v/>
      </c>
      <c r="N966" s="119" t="str">
        <f>IF(Tab.o1[[#This Row],[a1]]=1,((Tab.o1[[#This Row],[MedMod]]-AVERAGE(Tab.o1[MedMod]))/_xlfn.STDEV.P(Tab.o1[MedMod])*H$1205)+G$1205,"")</f>
        <v/>
      </c>
      <c r="O966" s="141" t="str">
        <f>IF(Tab.o1[[#This Row],[a1]]=1,Tab.o1[[#This Row],[Zb]]*_xlfn.STDEV.P(Tab.o1[MedMod])+AVERAGE(Tab.o1[MedMod]),"")</f>
        <v/>
      </c>
      <c r="P966" s="117" t="str">
        <f ca="1">IF(Tab.o1[[#This Row],[B]]=0,AVERAGE(OFFSET(Tab.o1[[#This Row],[B]],1,0,L$3,1)),Tab.o1[[#This Row],[B]])</f>
        <v/>
      </c>
      <c r="Q966" s="121" t="str">
        <f>IF(Tab.o1[[#This Row],[a1]]=1,NORMSDIST(Tab.o1[[#This Row],[Zb]]),"")</f>
        <v/>
      </c>
      <c r="R966" s="122" t="str">
        <f>IF(Tab.o1[[#This Row],[a1]]=1,((Tab.o1[[#This Row],[MedMod]]-AVERAGE(Tab.o1[MedMod]))/_xlfn.STDEV.P(Tab.o1[MedMod])*H$1203)+G$1203,"")</f>
        <v/>
      </c>
      <c r="S966" s="122" t="str">
        <f>IF(Tab.o1[[#This Row],[a1]]=1,((Tab.o1[[#This Row],[MedMod]]-AVERAGE(Tab.o1[MedMod]))/_xlfn.STDEV.P(Tab.o1[MedMod])*H$1204)+G$1204,"")</f>
        <v/>
      </c>
      <c r="T966" s="123" t="str">
        <f>IF(Tab.o1[[#This Row],[a1]]=1,Tab.o1[[#This Row],[Z-]]*_xlfn.STDEV.P(Tab.o1[B])+AVERAGE(Tab.o1[B]),"")</f>
        <v/>
      </c>
      <c r="U966" s="123" t="str">
        <f>IF(Tab.o1[[#This Row],[a1]]=1,Tab.o1[[#This Row],[z+]]*_xlfn.STDEV.P(Tab.o1[B])+AVERAGE(Tab.o1[B]),"")</f>
        <v/>
      </c>
      <c r="V966" s="124" t="str">
        <f>IF(Tab.o1[[#This Row],[a1]]=1,ABS((ABS(Tab.o1[[#This Row],[Red]]-Tab.o1[[#This Row],[Blue]]))),"")</f>
        <v/>
      </c>
      <c r="W966" s="125" t="str">
        <f>IF(Tab.o1[[#This Row],[a1]]=1,IF(W$3=0,1,Tab.o1[[#This Row],[Amp.]]*1/_xlfn.MINIFS(Tab.o1[Amp.],Tab.o1[Amp.],"&lt;&gt;0")),"")</f>
        <v/>
      </c>
      <c r="X966" s="126" t="str">
        <f>IF(Tab.o1[[#This Row],[a1]]=1,IF(ISNUMBER(Tab.o1[[#This Row],[i.]]),NORMDIST(Tab.o1[[#This Row],[Za]],0,1,FALSE)*Tab.o1[[#This Row],[i.]],AP$3),"")</f>
        <v/>
      </c>
      <c r="Y966" s="126" t="str">
        <f>IF(Tab.o1[[#This Row],[a1]]=1,0.01+0.94*Tab.o1[[#This Row],[PDF]]/MAX(Tab.o1[PDF]),"")</f>
        <v/>
      </c>
      <c r="Z966" s="126" t="str">
        <f>IF(Tab.o1[[#This Row],[a1]]=1,0.01+0.94*Tab.o1[[#This Row],[W1_PDF]]/MAX(Tab.o1[W1_PDF]),"")</f>
        <v/>
      </c>
      <c r="AA966" s="118" t="str">
        <f>IF(Tab.o1[[#This Row],[a1]]=1,ABS([1]!T.in.A[[#This Row],[oo6]]),"")</f>
        <v/>
      </c>
      <c r="AB966" s="127" t="str">
        <f>IF(Tab.o1[[#This Row],[a1]]=1,IF(AE$3=0,"",IF(AB$3=0,ABS([1]!T.in.A[[#This Row],[oo9]]),ABS(Tab.o1[[#This Row],[DIF_Target.]]*Tab.o1[[#This Row],[W1_PDF]]))),"")</f>
        <v/>
      </c>
      <c r="AC966" s="127" t="str">
        <f>IF(G$1=1,"",IF(Tab.o1[[#This Row],[a1]]=1,Tab.o1[[#This Row],[Wr]]^2,""))</f>
        <v/>
      </c>
      <c r="AD966" s="118" t="str">
        <f>IF(Tab.o1[[#This Row],[a1]]=1,IF(AE$3=0,"",Tab.o1[[#This Row],[Wr2]]/SUM(Tab.o1[Wr2])),"")</f>
        <v/>
      </c>
      <c r="AE966" s="128" t="str">
        <f>IF(Tab.o1[[#This Row],[a1]]=1,[1]!T.in.A[[#This Row],[oo10]],"")</f>
        <v/>
      </c>
      <c r="AF966" s="118" t="str">
        <f>IF(Tab.o1[[#This Row],[a1]]=1,ABS(Tab.o1[[#This Row],[DIF_Target.]]*Tab.o1[[#This Row],[PDF2]]*Tab.o1[[#This Row],[IN]]),"")</f>
        <v/>
      </c>
      <c r="AG966" s="129" t="str">
        <f>IF(Tab.o1[[#This Row],[a1]]=1,Tab.o1[[#This Row],[rW]]^2,"")</f>
        <v/>
      </c>
      <c r="AH966" s="130" t="str">
        <f>IF(Tab.o1[[#This Row],[a1]]=1,IF(AH$3=0,Tab.o1[[#This Row],[rW2]],0.01+0.94*Tab.o1[[#This Row],[rW2]]/SUM(Tab.o1[rW2])),"")</f>
        <v/>
      </c>
      <c r="AI966" s="128" t="str">
        <f>IF(Tab.o1[[#This Row],[a1]]=1,1/Tab.o1[[#This Row],[PDF]],"")</f>
        <v/>
      </c>
      <c r="AJ966" s="131" t="str">
        <f>IF(Tab.o1[[#This Row],[a1]]=1,[1]!T_AA[[#This Row],[IN'']]*[1]!T_AA[[#This Row],[Qde'']],"")</f>
        <v/>
      </c>
      <c r="AK966" s="132" t="str">
        <f>IF(Tab.o1[[#This Row],[a1]]=1,IF(AK$1=1,Tab.o1[[#This Row],[MED]]+Tab.o1[[#This Row],[MOD]]-Tab.o1[[#This Row],[MED]],""),"")</f>
        <v/>
      </c>
      <c r="AL966" s="133" t="str">
        <f>IF(Tab.o1[[#This Row],[a1]]=1,[1]!T.in.A[[#This Row],[oo16]],"")</f>
        <v/>
      </c>
      <c r="AM966" s="133" t="str">
        <f>IF(Tab.o1[[#This Row],[a1]]=1,IF(AM$3=1,[1]!T.in.A[[#This Row],[Σo16]],""),"")</f>
        <v/>
      </c>
      <c r="AN966" s="126" t="str">
        <f>IF(Tab.o1[[#This Row],[a1]]=1,[1]!T.in.A[[#This Row],[Σp5]],"")</f>
        <v/>
      </c>
      <c r="AO966" s="126" t="str">
        <f>IF(Tab.o1[[#This Row],[a1]]=1,IF(AO$3=1,[1]!T.in.A[[#This Row],[Σp5]],""),"")</f>
        <v/>
      </c>
      <c r="AP966" s="110" t="str">
        <f>IF(Tab.o1[[#This Row],[a1]]=1,IF(ISNUMBER(Tab.o1[[#This Row],[i.]]),NORMDIST(Tab.o1[[#This Row],[Za]],0,1,FALSE)*Tab.o1[[#This Row],[i.]],0),"")</f>
        <v/>
      </c>
      <c r="AQ966" s="125" t="str">
        <f>IF(Tab.o1[[#This Row],[a1]]=1,ABS(Tab.o1[[#This Row],[MOD]]-AVERAGE(Tab.o1[MOD])),"")</f>
        <v/>
      </c>
      <c r="AR966" s="134" t="str">
        <f>IF(Tab.o1[[#This Row],[a1]]=1,Tab.o1[[#This Row],[OBS]]/SUM(Tab.o1[OBS]),"")</f>
        <v/>
      </c>
      <c r="AS966" s="135" t="str">
        <f>IF(ISNUMBER(Tab.o1[[#This Row],[a1]]),ROW()-4,"")</f>
        <v/>
      </c>
      <c r="AT966" s="136" t="str">
        <f>Tab.o1[[#This Row],[MOD]]</f>
        <v/>
      </c>
      <c r="AU966" s="137" t="str">
        <f t="shared" ref="AU966:AU1029" si="61">AT966</f>
        <v/>
      </c>
      <c r="AV966" s="138" t="str">
        <f t="shared" ref="AV966:AV1029" si="62">IF(AND(ISNUMBER(AT966),ISNUMBER(AU966)),H966-AU966,"")</f>
        <v/>
      </c>
      <c r="AW966" s="138" t="str">
        <f t="shared" ref="AW966:AW1029" si="63">IF(AW$4=0,"",IF(AV966&lt;AV$2,AV966," "))</f>
        <v/>
      </c>
      <c r="AX966" s="139" t="str">
        <f>[1]!T.in.A[[#This Row],[ID_T_manu]]</f>
        <v/>
      </c>
      <c r="AY966" s="140" t="str">
        <f>IF(ISNUMBER(Tab.o1[[#This Row],[a1]]),IF(AND(Tab.o1[[#This Row],[a1]]=1,Tab.o1[[#This Row],[b1]]&lt;=AY$4),#REF!,AY965),"")</f>
        <v/>
      </c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6"/>
      <c r="BO966" s="26"/>
      <c r="BP966" s="26"/>
      <c r="BQ966" s="26"/>
      <c r="BR966" s="26"/>
      <c r="BS966" s="26"/>
      <c r="BT966" s="26"/>
      <c r="BU966" s="26"/>
      <c r="BV966" s="26"/>
      <c r="BW966" s="26"/>
      <c r="BX966" s="26"/>
      <c r="BY966" s="26"/>
      <c r="BZ966" s="26"/>
      <c r="CA966" s="26"/>
    </row>
    <row r="967" spans="1:79" ht="15.75" hidden="1">
      <c r="A967" s="109">
        <v>5.0000000000000004E-6</v>
      </c>
      <c r="B967" s="110">
        <f t="shared" si="60"/>
        <v>967</v>
      </c>
      <c r="C967" s="111" t="str">
        <f>IF(C$1=[1]!T.in.A[[#This Row],[oo2]],1,"")</f>
        <v/>
      </c>
      <c r="D967" s="112" t="str">
        <f>IF(Tab.o1[[#This Row],[a1]]=1,IF(SUM(C967:C968)=0,0,IF(SUM(C966:C967)=1,1,IF(SUM(C966:C968)&gt;1,D966+1,0))),"")</f>
        <v/>
      </c>
      <c r="E967" s="113" t="str">
        <f>IF(Tab.o1[[#This Row],[a1]]=1,[1]!T.in.A[[#This Row],[oo1]],"")</f>
        <v/>
      </c>
      <c r="F967" s="113" t="str">
        <f>IF(Tab.o1[[#This Row],[a1]]=1,[1]!T.in.A[[#This Row],[pp1]],"")</f>
        <v/>
      </c>
      <c r="G967" s="114" t="str">
        <f>IF(Tab.o1[[#This Row],[a1]]=1,G$2+IF(G$1=1,0,Tab.o1[[#This Row],[.x1]])+[1]!T.in.A[[#This Row],[oo3]],"")</f>
        <v/>
      </c>
      <c r="H967" s="115" t="str">
        <f>IF(Tab.o1[[#This Row],[a1]]=1,IF(H$2=0,0,IF(G$1=1,0,Tab.o1[[#This Row],[.x1]])+[1]!T.in.A[[#This Row],[oo4]]),"")</f>
        <v/>
      </c>
      <c r="I967" s="116" t="str">
        <f>IF(Tab.o1[[#This Row],[a1]]=1,IF(J$2=0,Tab.o1[[#This Row],[MED]],Tab.o1[[#This Row],[MOD]]),"")</f>
        <v/>
      </c>
      <c r="J967" s="116" t="str">
        <f>IF(Tab.o1[[#This Row],[a1]]=1,((Tab.o1[[#This Row],[DIF_Target.]]-AVERAGE(Tab.o1[DIF_Target.]))/_xlfn.STDEV.P(Tab.o1[DIF_Target.])),"")</f>
        <v/>
      </c>
      <c r="K967" s="117" t="str">
        <f>IF(Tab.o1[[#This Row],[a1]]=1,IF(J$2=0,Tab.o1[[#This Row],[MOD]]-Tab.o1[[#This Row],[B]],IF(J$2=1,0,-Tab.o1[[#This Row],[MED]])+Tab.o1[[#This Row],[B]]),"")</f>
        <v/>
      </c>
      <c r="L967" s="117" t="str">
        <f ca="1">IF(Tab.o1[[#This Row],[DIF_Target]]=0,IF(L$2=0,Tab.o1[[#This Row],[DIF_Target]],AVERAGE(OFFSET(Tab.o1[[#This Row],[DIF_Target]],1,0,L$3,1)))/3,Tab.o1[[#This Row],[DIF_Target]])</f>
        <v/>
      </c>
      <c r="M967" s="118" t="str">
        <f>IF(Tab.o1[[#This Row],[a1]]=1,NORMSDIST(Tab.o1[[#This Row],[Za]]),"")</f>
        <v/>
      </c>
      <c r="N967" s="119" t="str">
        <f>IF(Tab.o1[[#This Row],[a1]]=1,((Tab.o1[[#This Row],[MedMod]]-AVERAGE(Tab.o1[MedMod]))/_xlfn.STDEV.P(Tab.o1[MedMod])*H$1205)+G$1205,"")</f>
        <v/>
      </c>
      <c r="O967" s="141" t="str">
        <f>IF(Tab.o1[[#This Row],[a1]]=1,Tab.o1[[#This Row],[Zb]]*_xlfn.STDEV.P(Tab.o1[MedMod])+AVERAGE(Tab.o1[MedMod]),"")</f>
        <v/>
      </c>
      <c r="P967" s="117" t="str">
        <f ca="1">IF(Tab.o1[[#This Row],[B]]=0,AVERAGE(OFFSET(Tab.o1[[#This Row],[B]],1,0,L$3,1)),Tab.o1[[#This Row],[B]])</f>
        <v/>
      </c>
      <c r="Q967" s="121" t="str">
        <f>IF(Tab.o1[[#This Row],[a1]]=1,NORMSDIST(Tab.o1[[#This Row],[Zb]]),"")</f>
        <v/>
      </c>
      <c r="R967" s="122" t="str">
        <f>IF(Tab.o1[[#This Row],[a1]]=1,((Tab.o1[[#This Row],[MedMod]]-AVERAGE(Tab.o1[MedMod]))/_xlfn.STDEV.P(Tab.o1[MedMod])*H$1203)+G$1203,"")</f>
        <v/>
      </c>
      <c r="S967" s="122" t="str">
        <f>IF(Tab.o1[[#This Row],[a1]]=1,((Tab.o1[[#This Row],[MedMod]]-AVERAGE(Tab.o1[MedMod]))/_xlfn.STDEV.P(Tab.o1[MedMod])*H$1204)+G$1204,"")</f>
        <v/>
      </c>
      <c r="T967" s="123" t="str">
        <f>IF(Tab.o1[[#This Row],[a1]]=1,Tab.o1[[#This Row],[Z-]]*_xlfn.STDEV.P(Tab.o1[B])+AVERAGE(Tab.o1[B]),"")</f>
        <v/>
      </c>
      <c r="U967" s="123" t="str">
        <f>IF(Tab.o1[[#This Row],[a1]]=1,Tab.o1[[#This Row],[z+]]*_xlfn.STDEV.P(Tab.o1[B])+AVERAGE(Tab.o1[B]),"")</f>
        <v/>
      </c>
      <c r="V967" s="124" t="str">
        <f>IF(Tab.o1[[#This Row],[a1]]=1,ABS((ABS(Tab.o1[[#This Row],[Red]]-Tab.o1[[#This Row],[Blue]]))),"")</f>
        <v/>
      </c>
      <c r="W967" s="125" t="str">
        <f>IF(Tab.o1[[#This Row],[a1]]=1,IF(W$3=0,1,Tab.o1[[#This Row],[Amp.]]*1/_xlfn.MINIFS(Tab.o1[Amp.],Tab.o1[Amp.],"&lt;&gt;0")),"")</f>
        <v/>
      </c>
      <c r="X967" s="126" t="str">
        <f>IF(Tab.o1[[#This Row],[a1]]=1,IF(ISNUMBER(Tab.o1[[#This Row],[i.]]),NORMDIST(Tab.o1[[#This Row],[Za]],0,1,FALSE)*Tab.o1[[#This Row],[i.]],AP$3),"")</f>
        <v/>
      </c>
      <c r="Y967" s="126" t="str">
        <f>IF(Tab.o1[[#This Row],[a1]]=1,0.01+0.94*Tab.o1[[#This Row],[PDF]]/MAX(Tab.o1[PDF]),"")</f>
        <v/>
      </c>
      <c r="Z967" s="126" t="str">
        <f>IF(Tab.o1[[#This Row],[a1]]=1,0.01+0.94*Tab.o1[[#This Row],[W1_PDF]]/MAX(Tab.o1[W1_PDF]),"")</f>
        <v/>
      </c>
      <c r="AA967" s="118" t="str">
        <f>IF(Tab.o1[[#This Row],[a1]]=1,ABS([1]!T.in.A[[#This Row],[oo6]]),"")</f>
        <v/>
      </c>
      <c r="AB967" s="127" t="str">
        <f>IF(Tab.o1[[#This Row],[a1]]=1,IF(AE$3=0,"",IF(AB$3=0,ABS([1]!T.in.A[[#This Row],[oo9]]),ABS(Tab.o1[[#This Row],[DIF_Target.]]*Tab.o1[[#This Row],[W1_PDF]]))),"")</f>
        <v/>
      </c>
      <c r="AC967" s="127" t="str">
        <f>IF(G$1=1,"",IF(Tab.o1[[#This Row],[a1]]=1,Tab.o1[[#This Row],[Wr]]^2,""))</f>
        <v/>
      </c>
      <c r="AD967" s="118" t="str">
        <f>IF(Tab.o1[[#This Row],[a1]]=1,IF(AE$3=0,"",Tab.o1[[#This Row],[Wr2]]/SUM(Tab.o1[Wr2])),"")</f>
        <v/>
      </c>
      <c r="AE967" s="128" t="str">
        <f>IF(Tab.o1[[#This Row],[a1]]=1,[1]!T.in.A[[#This Row],[oo10]],"")</f>
        <v/>
      </c>
      <c r="AF967" s="118" t="str">
        <f>IF(Tab.o1[[#This Row],[a1]]=1,ABS(Tab.o1[[#This Row],[DIF_Target.]]*Tab.o1[[#This Row],[PDF2]]*Tab.o1[[#This Row],[IN]]),"")</f>
        <v/>
      </c>
      <c r="AG967" s="129" t="str">
        <f>IF(Tab.o1[[#This Row],[a1]]=1,Tab.o1[[#This Row],[rW]]^2,"")</f>
        <v/>
      </c>
      <c r="AH967" s="130" t="str">
        <f>IF(Tab.o1[[#This Row],[a1]]=1,IF(AH$3=0,Tab.o1[[#This Row],[rW2]],0.01+0.94*Tab.o1[[#This Row],[rW2]]/SUM(Tab.o1[rW2])),"")</f>
        <v/>
      </c>
      <c r="AI967" s="128" t="str">
        <f>IF(Tab.o1[[#This Row],[a1]]=1,1/Tab.o1[[#This Row],[PDF]],"")</f>
        <v/>
      </c>
      <c r="AJ967" s="131" t="str">
        <f>IF(Tab.o1[[#This Row],[a1]]=1,[1]!T_AA[[#This Row],[IN'']]*[1]!T_AA[[#This Row],[Qde'']],"")</f>
        <v/>
      </c>
      <c r="AK967" s="132" t="str">
        <f>IF(Tab.o1[[#This Row],[a1]]=1,IF(AK$1=1,Tab.o1[[#This Row],[MED]]+Tab.o1[[#This Row],[MOD]]-Tab.o1[[#This Row],[MED]],""),"")</f>
        <v/>
      </c>
      <c r="AL967" s="133" t="str">
        <f>IF(Tab.o1[[#This Row],[a1]]=1,[1]!T.in.A[[#This Row],[oo16]],"")</f>
        <v/>
      </c>
      <c r="AM967" s="133" t="str">
        <f>IF(Tab.o1[[#This Row],[a1]]=1,IF(AM$3=1,[1]!T.in.A[[#This Row],[Σo16]],""),"")</f>
        <v/>
      </c>
      <c r="AN967" s="126" t="str">
        <f>IF(Tab.o1[[#This Row],[a1]]=1,[1]!T.in.A[[#This Row],[Σp5]],"")</f>
        <v/>
      </c>
      <c r="AO967" s="126" t="str">
        <f>IF(Tab.o1[[#This Row],[a1]]=1,IF(AO$3=1,[1]!T.in.A[[#This Row],[Σp5]],""),"")</f>
        <v/>
      </c>
      <c r="AP967" s="110" t="str">
        <f>IF(Tab.o1[[#This Row],[a1]]=1,IF(ISNUMBER(Tab.o1[[#This Row],[i.]]),NORMDIST(Tab.o1[[#This Row],[Za]],0,1,FALSE)*Tab.o1[[#This Row],[i.]],0),"")</f>
        <v/>
      </c>
      <c r="AQ967" s="125" t="str">
        <f>IF(Tab.o1[[#This Row],[a1]]=1,ABS(Tab.o1[[#This Row],[MOD]]-AVERAGE(Tab.o1[MOD])),"")</f>
        <v/>
      </c>
      <c r="AR967" s="134" t="str">
        <f>IF(Tab.o1[[#This Row],[a1]]=1,Tab.o1[[#This Row],[OBS]]/SUM(Tab.o1[OBS]),"")</f>
        <v/>
      </c>
      <c r="AS967" s="135" t="str">
        <f>IF(ISNUMBER(Tab.o1[[#This Row],[a1]]),ROW()-4,"")</f>
        <v/>
      </c>
      <c r="AT967" s="136" t="str">
        <f>Tab.o1[[#This Row],[MOD]]</f>
        <v/>
      </c>
      <c r="AU967" s="137" t="str">
        <f t="shared" si="61"/>
        <v/>
      </c>
      <c r="AV967" s="138" t="str">
        <f t="shared" si="62"/>
        <v/>
      </c>
      <c r="AW967" s="138" t="str">
        <f t="shared" si="63"/>
        <v/>
      </c>
      <c r="AX967" s="139" t="str">
        <f>[1]!T.in.A[[#This Row],[ID_T_manu]]</f>
        <v/>
      </c>
      <c r="AY967" s="140" t="str">
        <f>IF(ISNUMBER(Tab.o1[[#This Row],[a1]]),IF(AND(Tab.o1[[#This Row],[a1]]=1,Tab.o1[[#This Row],[b1]]&lt;=AY$4),#REF!,AY966),"")</f>
        <v/>
      </c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6"/>
      <c r="BO967" s="26"/>
      <c r="BP967" s="26"/>
      <c r="BQ967" s="26"/>
      <c r="BR967" s="26"/>
      <c r="BS967" s="26"/>
      <c r="BT967" s="26"/>
      <c r="BU967" s="26"/>
      <c r="BV967" s="26"/>
      <c r="BW967" s="26"/>
      <c r="BX967" s="26"/>
      <c r="BY967" s="26"/>
      <c r="BZ967" s="26"/>
      <c r="CA967" s="26"/>
    </row>
    <row r="968" spans="1:79" ht="15.75" hidden="1">
      <c r="A968" s="109">
        <v>8.0000000000000013E-6</v>
      </c>
      <c r="B968" s="110">
        <f t="shared" si="60"/>
        <v>968</v>
      </c>
      <c r="C968" s="111" t="str">
        <f>IF(C$1=[1]!T.in.A[[#This Row],[oo2]],1,"")</f>
        <v/>
      </c>
      <c r="D968" s="112" t="str">
        <f>IF(Tab.o1[[#This Row],[a1]]=1,IF(SUM(C968:C969)=0,0,IF(SUM(C967:C968)=1,1,IF(SUM(C967:C969)&gt;1,D967+1,0))),"")</f>
        <v/>
      </c>
      <c r="E968" s="113" t="str">
        <f>IF(Tab.o1[[#This Row],[a1]]=1,[1]!T.in.A[[#This Row],[oo1]],"")</f>
        <v/>
      </c>
      <c r="F968" s="113" t="str">
        <f>IF(Tab.o1[[#This Row],[a1]]=1,[1]!T.in.A[[#This Row],[pp1]],"")</f>
        <v/>
      </c>
      <c r="G968" s="114" t="str">
        <f>IF(Tab.o1[[#This Row],[a1]]=1,G$2+IF(G$1=1,0,Tab.o1[[#This Row],[.x1]])+[1]!T.in.A[[#This Row],[oo3]],"")</f>
        <v/>
      </c>
      <c r="H968" s="115" t="str">
        <f>IF(Tab.o1[[#This Row],[a1]]=1,IF(H$2=0,0,IF(G$1=1,0,Tab.o1[[#This Row],[.x1]])+[1]!T.in.A[[#This Row],[oo4]]),"")</f>
        <v/>
      </c>
      <c r="I968" s="116" t="str">
        <f>IF(Tab.o1[[#This Row],[a1]]=1,IF(J$2=0,Tab.o1[[#This Row],[MED]],Tab.o1[[#This Row],[MOD]]),"")</f>
        <v/>
      </c>
      <c r="J968" s="116" t="str">
        <f>IF(Tab.o1[[#This Row],[a1]]=1,((Tab.o1[[#This Row],[DIF_Target.]]-AVERAGE(Tab.o1[DIF_Target.]))/_xlfn.STDEV.P(Tab.o1[DIF_Target.])),"")</f>
        <v/>
      </c>
      <c r="K968" s="117" t="str">
        <f>IF(Tab.o1[[#This Row],[a1]]=1,IF(J$2=0,Tab.o1[[#This Row],[MOD]]-Tab.o1[[#This Row],[B]],IF(J$2=1,0,-Tab.o1[[#This Row],[MED]])+Tab.o1[[#This Row],[B]]),"")</f>
        <v/>
      </c>
      <c r="L968" s="117" t="str">
        <f ca="1">IF(Tab.o1[[#This Row],[DIF_Target]]=0,IF(L$2=0,Tab.o1[[#This Row],[DIF_Target]],AVERAGE(OFFSET(Tab.o1[[#This Row],[DIF_Target]],1,0,L$3,1)))/3,Tab.o1[[#This Row],[DIF_Target]])</f>
        <v/>
      </c>
      <c r="M968" s="118" t="str">
        <f>IF(Tab.o1[[#This Row],[a1]]=1,NORMSDIST(Tab.o1[[#This Row],[Za]]),"")</f>
        <v/>
      </c>
      <c r="N968" s="119" t="str">
        <f>IF(Tab.o1[[#This Row],[a1]]=1,((Tab.o1[[#This Row],[MedMod]]-AVERAGE(Tab.o1[MedMod]))/_xlfn.STDEV.P(Tab.o1[MedMod])*H$1205)+G$1205,"")</f>
        <v/>
      </c>
      <c r="O968" s="141" t="str">
        <f>IF(Tab.o1[[#This Row],[a1]]=1,Tab.o1[[#This Row],[Zb]]*_xlfn.STDEV.P(Tab.o1[MedMod])+AVERAGE(Tab.o1[MedMod]),"")</f>
        <v/>
      </c>
      <c r="P968" s="117" t="str">
        <f ca="1">IF(Tab.o1[[#This Row],[B]]=0,AVERAGE(OFFSET(Tab.o1[[#This Row],[B]],1,0,L$3,1)),Tab.o1[[#This Row],[B]])</f>
        <v/>
      </c>
      <c r="Q968" s="121" t="str">
        <f>IF(Tab.o1[[#This Row],[a1]]=1,NORMSDIST(Tab.o1[[#This Row],[Zb]]),"")</f>
        <v/>
      </c>
      <c r="R968" s="122" t="str">
        <f>IF(Tab.o1[[#This Row],[a1]]=1,((Tab.o1[[#This Row],[MedMod]]-AVERAGE(Tab.o1[MedMod]))/_xlfn.STDEV.P(Tab.o1[MedMod])*H$1203)+G$1203,"")</f>
        <v/>
      </c>
      <c r="S968" s="122" t="str">
        <f>IF(Tab.o1[[#This Row],[a1]]=1,((Tab.o1[[#This Row],[MedMod]]-AVERAGE(Tab.o1[MedMod]))/_xlfn.STDEV.P(Tab.o1[MedMod])*H$1204)+G$1204,"")</f>
        <v/>
      </c>
      <c r="T968" s="123" t="str">
        <f>IF(Tab.o1[[#This Row],[a1]]=1,Tab.o1[[#This Row],[Z-]]*_xlfn.STDEV.P(Tab.o1[B])+AVERAGE(Tab.o1[B]),"")</f>
        <v/>
      </c>
      <c r="U968" s="123" t="str">
        <f>IF(Tab.o1[[#This Row],[a1]]=1,Tab.o1[[#This Row],[z+]]*_xlfn.STDEV.P(Tab.o1[B])+AVERAGE(Tab.o1[B]),"")</f>
        <v/>
      </c>
      <c r="V968" s="124" t="str">
        <f>IF(Tab.o1[[#This Row],[a1]]=1,ABS((ABS(Tab.o1[[#This Row],[Red]]-Tab.o1[[#This Row],[Blue]]))),"")</f>
        <v/>
      </c>
      <c r="W968" s="125" t="str">
        <f>IF(Tab.o1[[#This Row],[a1]]=1,IF(W$3=0,1,Tab.o1[[#This Row],[Amp.]]*1/_xlfn.MINIFS(Tab.o1[Amp.],Tab.o1[Amp.],"&lt;&gt;0")),"")</f>
        <v/>
      </c>
      <c r="X968" s="126" t="str">
        <f>IF(Tab.o1[[#This Row],[a1]]=1,IF(ISNUMBER(Tab.o1[[#This Row],[i.]]),NORMDIST(Tab.o1[[#This Row],[Za]],0,1,FALSE)*Tab.o1[[#This Row],[i.]],AP$3),"")</f>
        <v/>
      </c>
      <c r="Y968" s="126" t="str">
        <f>IF(Tab.o1[[#This Row],[a1]]=1,0.01+0.94*Tab.o1[[#This Row],[PDF]]/MAX(Tab.o1[PDF]),"")</f>
        <v/>
      </c>
      <c r="Z968" s="126" t="str">
        <f>IF(Tab.o1[[#This Row],[a1]]=1,0.01+0.94*Tab.o1[[#This Row],[W1_PDF]]/MAX(Tab.o1[W1_PDF]),"")</f>
        <v/>
      </c>
      <c r="AA968" s="118" t="str">
        <f>IF(Tab.o1[[#This Row],[a1]]=1,ABS([1]!T.in.A[[#This Row],[oo6]]),"")</f>
        <v/>
      </c>
      <c r="AB968" s="127" t="str">
        <f>IF(Tab.o1[[#This Row],[a1]]=1,IF(AE$3=0,"",IF(AB$3=0,ABS([1]!T.in.A[[#This Row],[oo9]]),ABS(Tab.o1[[#This Row],[DIF_Target.]]*Tab.o1[[#This Row],[W1_PDF]]))),"")</f>
        <v/>
      </c>
      <c r="AC968" s="127" t="str">
        <f>IF(G$1=1,"",IF(Tab.o1[[#This Row],[a1]]=1,Tab.o1[[#This Row],[Wr]]^2,""))</f>
        <v/>
      </c>
      <c r="AD968" s="118" t="str">
        <f>IF(Tab.o1[[#This Row],[a1]]=1,IF(AE$3=0,"",Tab.o1[[#This Row],[Wr2]]/SUM(Tab.o1[Wr2])),"")</f>
        <v/>
      </c>
      <c r="AE968" s="128" t="str">
        <f>IF(Tab.o1[[#This Row],[a1]]=1,[1]!T.in.A[[#This Row],[oo10]],"")</f>
        <v/>
      </c>
      <c r="AF968" s="118" t="str">
        <f>IF(Tab.o1[[#This Row],[a1]]=1,ABS(Tab.o1[[#This Row],[DIF_Target.]]*Tab.o1[[#This Row],[PDF2]]*Tab.o1[[#This Row],[IN]]),"")</f>
        <v/>
      </c>
      <c r="AG968" s="129" t="str">
        <f>IF(Tab.o1[[#This Row],[a1]]=1,Tab.o1[[#This Row],[rW]]^2,"")</f>
        <v/>
      </c>
      <c r="AH968" s="130" t="str">
        <f>IF(Tab.o1[[#This Row],[a1]]=1,IF(AH$3=0,Tab.o1[[#This Row],[rW2]],0.01+0.94*Tab.o1[[#This Row],[rW2]]/SUM(Tab.o1[rW2])),"")</f>
        <v/>
      </c>
      <c r="AI968" s="128" t="str">
        <f>IF(Tab.o1[[#This Row],[a1]]=1,1/Tab.o1[[#This Row],[PDF]],"")</f>
        <v/>
      </c>
      <c r="AJ968" s="131" t="str">
        <f>IF(Tab.o1[[#This Row],[a1]]=1,[1]!T_AA[[#This Row],[IN'']]*[1]!T_AA[[#This Row],[Qde'']],"")</f>
        <v/>
      </c>
      <c r="AK968" s="132" t="str">
        <f>IF(Tab.o1[[#This Row],[a1]]=1,IF(AK$1=1,Tab.o1[[#This Row],[MED]]+Tab.o1[[#This Row],[MOD]]-Tab.o1[[#This Row],[MED]],""),"")</f>
        <v/>
      </c>
      <c r="AL968" s="133" t="str">
        <f>IF(Tab.o1[[#This Row],[a1]]=1,[1]!T.in.A[[#This Row],[oo16]],"")</f>
        <v/>
      </c>
      <c r="AM968" s="133" t="str">
        <f>IF(Tab.o1[[#This Row],[a1]]=1,IF(AM$3=1,[1]!T.in.A[[#This Row],[Σo16]],""),"")</f>
        <v/>
      </c>
      <c r="AN968" s="126" t="str">
        <f>IF(Tab.o1[[#This Row],[a1]]=1,[1]!T.in.A[[#This Row],[Σp5]],"")</f>
        <v/>
      </c>
      <c r="AO968" s="126" t="str">
        <f>IF(Tab.o1[[#This Row],[a1]]=1,IF(AO$3=1,[1]!T.in.A[[#This Row],[Σp5]],""),"")</f>
        <v/>
      </c>
      <c r="AP968" s="110" t="str">
        <f>IF(Tab.o1[[#This Row],[a1]]=1,IF(ISNUMBER(Tab.o1[[#This Row],[i.]]),NORMDIST(Tab.o1[[#This Row],[Za]],0,1,FALSE)*Tab.o1[[#This Row],[i.]],0),"")</f>
        <v/>
      </c>
      <c r="AQ968" s="125" t="str">
        <f>IF(Tab.o1[[#This Row],[a1]]=1,ABS(Tab.o1[[#This Row],[MOD]]-AVERAGE(Tab.o1[MOD])),"")</f>
        <v/>
      </c>
      <c r="AR968" s="134" t="str">
        <f>IF(Tab.o1[[#This Row],[a1]]=1,Tab.o1[[#This Row],[OBS]]/SUM(Tab.o1[OBS]),"")</f>
        <v/>
      </c>
      <c r="AS968" s="135" t="str">
        <f>IF(ISNUMBER(Tab.o1[[#This Row],[a1]]),ROW()-4,"")</f>
        <v/>
      </c>
      <c r="AT968" s="136" t="str">
        <f>Tab.o1[[#This Row],[MOD]]</f>
        <v/>
      </c>
      <c r="AU968" s="137" t="str">
        <f t="shared" si="61"/>
        <v/>
      </c>
      <c r="AV968" s="138" t="str">
        <f t="shared" si="62"/>
        <v/>
      </c>
      <c r="AW968" s="138" t="str">
        <f t="shared" si="63"/>
        <v/>
      </c>
      <c r="AX968" s="139" t="str">
        <f>[1]!T.in.A[[#This Row],[ID_T_manu]]</f>
        <v/>
      </c>
      <c r="AY968" s="140" t="str">
        <f>IF(ISNUMBER(Tab.o1[[#This Row],[a1]]),IF(AND(Tab.o1[[#This Row],[a1]]=1,Tab.o1[[#This Row],[b1]]&lt;=AY$4),#REF!,AY967),"")</f>
        <v/>
      </c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6"/>
      <c r="BO968" s="26"/>
      <c r="BP968" s="26"/>
      <c r="BQ968" s="26"/>
      <c r="BR968" s="26"/>
      <c r="BS968" s="26"/>
      <c r="BT968" s="26"/>
      <c r="BU968" s="26"/>
      <c r="BV968" s="26"/>
      <c r="BW968" s="26"/>
      <c r="BX968" s="26"/>
      <c r="BY968" s="26"/>
      <c r="BZ968" s="26"/>
      <c r="CA968" s="26"/>
    </row>
    <row r="969" spans="1:79" ht="15.75" hidden="1">
      <c r="A969" s="109">
        <v>-2.0000000000000003E-6</v>
      </c>
      <c r="B969" s="110">
        <f t="shared" si="60"/>
        <v>969</v>
      </c>
      <c r="C969" s="111" t="str">
        <f>IF(C$1=[1]!T.in.A[[#This Row],[oo2]],1,"")</f>
        <v/>
      </c>
      <c r="D969" s="112" t="str">
        <f>IF(Tab.o1[[#This Row],[a1]]=1,IF(SUM(C969:C970)=0,0,IF(SUM(C968:C969)=1,1,IF(SUM(C968:C970)&gt;1,D968+1,0))),"")</f>
        <v/>
      </c>
      <c r="E969" s="113" t="str">
        <f>IF(Tab.o1[[#This Row],[a1]]=1,[1]!T.in.A[[#This Row],[oo1]],"")</f>
        <v/>
      </c>
      <c r="F969" s="113" t="str">
        <f>IF(Tab.o1[[#This Row],[a1]]=1,[1]!T.in.A[[#This Row],[pp1]],"")</f>
        <v/>
      </c>
      <c r="G969" s="114" t="str">
        <f>IF(Tab.o1[[#This Row],[a1]]=1,G$2+IF(G$1=1,0,Tab.o1[[#This Row],[.x1]])+[1]!T.in.A[[#This Row],[oo3]],"")</f>
        <v/>
      </c>
      <c r="H969" s="115" t="str">
        <f>IF(Tab.o1[[#This Row],[a1]]=1,IF(H$2=0,0,IF(G$1=1,0,Tab.o1[[#This Row],[.x1]])+[1]!T.in.A[[#This Row],[oo4]]),"")</f>
        <v/>
      </c>
      <c r="I969" s="116" t="str">
        <f>IF(Tab.o1[[#This Row],[a1]]=1,IF(J$2=0,Tab.o1[[#This Row],[MED]],Tab.o1[[#This Row],[MOD]]),"")</f>
        <v/>
      </c>
      <c r="J969" s="116" t="str">
        <f>IF(Tab.o1[[#This Row],[a1]]=1,((Tab.o1[[#This Row],[DIF_Target.]]-AVERAGE(Tab.o1[DIF_Target.]))/_xlfn.STDEV.P(Tab.o1[DIF_Target.])),"")</f>
        <v/>
      </c>
      <c r="K969" s="117" t="str">
        <f>IF(Tab.o1[[#This Row],[a1]]=1,IF(J$2=0,Tab.o1[[#This Row],[MOD]]-Tab.o1[[#This Row],[B]],IF(J$2=1,0,-Tab.o1[[#This Row],[MED]])+Tab.o1[[#This Row],[B]]),"")</f>
        <v/>
      </c>
      <c r="L969" s="117" t="str">
        <f ca="1">IF(Tab.o1[[#This Row],[DIF_Target]]=0,IF(L$2=0,Tab.o1[[#This Row],[DIF_Target]],AVERAGE(OFFSET(Tab.o1[[#This Row],[DIF_Target]],1,0,L$3,1)))/3,Tab.o1[[#This Row],[DIF_Target]])</f>
        <v/>
      </c>
      <c r="M969" s="118" t="str">
        <f>IF(Tab.o1[[#This Row],[a1]]=1,NORMSDIST(Tab.o1[[#This Row],[Za]]),"")</f>
        <v/>
      </c>
      <c r="N969" s="119" t="str">
        <f>IF(Tab.o1[[#This Row],[a1]]=1,((Tab.o1[[#This Row],[MedMod]]-AVERAGE(Tab.o1[MedMod]))/_xlfn.STDEV.P(Tab.o1[MedMod])*H$1205)+G$1205,"")</f>
        <v/>
      </c>
      <c r="O969" s="141" t="str">
        <f>IF(Tab.o1[[#This Row],[a1]]=1,Tab.o1[[#This Row],[Zb]]*_xlfn.STDEV.P(Tab.o1[MedMod])+AVERAGE(Tab.o1[MedMod]),"")</f>
        <v/>
      </c>
      <c r="P969" s="117" t="str">
        <f ca="1">IF(Tab.o1[[#This Row],[B]]=0,AVERAGE(OFFSET(Tab.o1[[#This Row],[B]],1,0,L$3,1)),Tab.o1[[#This Row],[B]])</f>
        <v/>
      </c>
      <c r="Q969" s="121" t="str">
        <f>IF(Tab.o1[[#This Row],[a1]]=1,NORMSDIST(Tab.o1[[#This Row],[Zb]]),"")</f>
        <v/>
      </c>
      <c r="R969" s="122" t="str">
        <f>IF(Tab.o1[[#This Row],[a1]]=1,((Tab.o1[[#This Row],[MedMod]]-AVERAGE(Tab.o1[MedMod]))/_xlfn.STDEV.P(Tab.o1[MedMod])*H$1203)+G$1203,"")</f>
        <v/>
      </c>
      <c r="S969" s="122" t="str">
        <f>IF(Tab.o1[[#This Row],[a1]]=1,((Tab.o1[[#This Row],[MedMod]]-AVERAGE(Tab.o1[MedMod]))/_xlfn.STDEV.P(Tab.o1[MedMod])*H$1204)+G$1204,"")</f>
        <v/>
      </c>
      <c r="T969" s="123" t="str">
        <f>IF(Tab.o1[[#This Row],[a1]]=1,Tab.o1[[#This Row],[Z-]]*_xlfn.STDEV.P(Tab.o1[B])+AVERAGE(Tab.o1[B]),"")</f>
        <v/>
      </c>
      <c r="U969" s="123" t="str">
        <f>IF(Tab.o1[[#This Row],[a1]]=1,Tab.o1[[#This Row],[z+]]*_xlfn.STDEV.P(Tab.o1[B])+AVERAGE(Tab.o1[B]),"")</f>
        <v/>
      </c>
      <c r="V969" s="124" t="str">
        <f>IF(Tab.o1[[#This Row],[a1]]=1,ABS((ABS(Tab.o1[[#This Row],[Red]]-Tab.o1[[#This Row],[Blue]]))),"")</f>
        <v/>
      </c>
      <c r="W969" s="125" t="str">
        <f>IF(Tab.o1[[#This Row],[a1]]=1,IF(W$3=0,1,Tab.o1[[#This Row],[Amp.]]*1/_xlfn.MINIFS(Tab.o1[Amp.],Tab.o1[Amp.],"&lt;&gt;0")),"")</f>
        <v/>
      </c>
      <c r="X969" s="126" t="str">
        <f>IF(Tab.o1[[#This Row],[a1]]=1,IF(ISNUMBER(Tab.o1[[#This Row],[i.]]),NORMDIST(Tab.o1[[#This Row],[Za]],0,1,FALSE)*Tab.o1[[#This Row],[i.]],AP$3),"")</f>
        <v/>
      </c>
      <c r="Y969" s="126" t="str">
        <f>IF(Tab.o1[[#This Row],[a1]]=1,0.01+0.94*Tab.o1[[#This Row],[PDF]]/MAX(Tab.o1[PDF]),"")</f>
        <v/>
      </c>
      <c r="Z969" s="126" t="str">
        <f>IF(Tab.o1[[#This Row],[a1]]=1,0.01+0.94*Tab.o1[[#This Row],[W1_PDF]]/MAX(Tab.o1[W1_PDF]),"")</f>
        <v/>
      </c>
      <c r="AA969" s="118" t="str">
        <f>IF(Tab.o1[[#This Row],[a1]]=1,ABS([1]!T.in.A[[#This Row],[oo6]]),"")</f>
        <v/>
      </c>
      <c r="AB969" s="127" t="str">
        <f>IF(Tab.o1[[#This Row],[a1]]=1,IF(AE$3=0,"",IF(AB$3=0,ABS([1]!T.in.A[[#This Row],[oo9]]),ABS(Tab.o1[[#This Row],[DIF_Target.]]*Tab.o1[[#This Row],[W1_PDF]]))),"")</f>
        <v/>
      </c>
      <c r="AC969" s="127" t="str">
        <f>IF(G$1=1,"",IF(Tab.o1[[#This Row],[a1]]=1,Tab.o1[[#This Row],[Wr]]^2,""))</f>
        <v/>
      </c>
      <c r="AD969" s="118" t="str">
        <f>IF(Tab.o1[[#This Row],[a1]]=1,IF(AE$3=0,"",Tab.o1[[#This Row],[Wr2]]/SUM(Tab.o1[Wr2])),"")</f>
        <v/>
      </c>
      <c r="AE969" s="128" t="str">
        <f>IF(Tab.o1[[#This Row],[a1]]=1,[1]!T.in.A[[#This Row],[oo10]],"")</f>
        <v/>
      </c>
      <c r="AF969" s="118" t="str">
        <f>IF(Tab.o1[[#This Row],[a1]]=1,ABS(Tab.o1[[#This Row],[DIF_Target.]]*Tab.o1[[#This Row],[PDF2]]*Tab.o1[[#This Row],[IN]]),"")</f>
        <v/>
      </c>
      <c r="AG969" s="129" t="str">
        <f>IF(Tab.o1[[#This Row],[a1]]=1,Tab.o1[[#This Row],[rW]]^2,"")</f>
        <v/>
      </c>
      <c r="AH969" s="130" t="str">
        <f>IF(Tab.o1[[#This Row],[a1]]=1,IF(AH$3=0,Tab.o1[[#This Row],[rW2]],0.01+0.94*Tab.o1[[#This Row],[rW2]]/SUM(Tab.o1[rW2])),"")</f>
        <v/>
      </c>
      <c r="AI969" s="128" t="str">
        <f>IF(Tab.o1[[#This Row],[a1]]=1,1/Tab.o1[[#This Row],[PDF]],"")</f>
        <v/>
      </c>
      <c r="AJ969" s="131" t="str">
        <f>IF(Tab.o1[[#This Row],[a1]]=1,[1]!T_AA[[#This Row],[IN'']]*[1]!T_AA[[#This Row],[Qde'']],"")</f>
        <v/>
      </c>
      <c r="AK969" s="132" t="str">
        <f>IF(Tab.o1[[#This Row],[a1]]=1,IF(AK$1=1,Tab.o1[[#This Row],[MED]]+Tab.o1[[#This Row],[MOD]]-Tab.o1[[#This Row],[MED]],""),"")</f>
        <v/>
      </c>
      <c r="AL969" s="133" t="str">
        <f>IF(Tab.o1[[#This Row],[a1]]=1,[1]!T.in.A[[#This Row],[oo16]],"")</f>
        <v/>
      </c>
      <c r="AM969" s="133" t="str">
        <f>IF(Tab.o1[[#This Row],[a1]]=1,IF(AM$3=1,[1]!T.in.A[[#This Row],[Σo16]],""),"")</f>
        <v/>
      </c>
      <c r="AN969" s="126" t="str">
        <f>IF(Tab.o1[[#This Row],[a1]]=1,[1]!T.in.A[[#This Row],[Σp5]],"")</f>
        <v/>
      </c>
      <c r="AO969" s="126" t="str">
        <f>IF(Tab.o1[[#This Row],[a1]]=1,IF(AO$3=1,[1]!T.in.A[[#This Row],[Σp5]],""),"")</f>
        <v/>
      </c>
      <c r="AP969" s="110" t="str">
        <f>IF(Tab.o1[[#This Row],[a1]]=1,IF(ISNUMBER(Tab.o1[[#This Row],[i.]]),NORMDIST(Tab.o1[[#This Row],[Za]],0,1,FALSE)*Tab.o1[[#This Row],[i.]],0),"")</f>
        <v/>
      </c>
      <c r="AQ969" s="125" t="str">
        <f>IF(Tab.o1[[#This Row],[a1]]=1,ABS(Tab.o1[[#This Row],[MOD]]-AVERAGE(Tab.o1[MOD])),"")</f>
        <v/>
      </c>
      <c r="AR969" s="134" t="str">
        <f>IF(Tab.o1[[#This Row],[a1]]=1,Tab.o1[[#This Row],[OBS]]/SUM(Tab.o1[OBS]),"")</f>
        <v/>
      </c>
      <c r="AS969" s="135" t="str">
        <f>IF(ISNUMBER(Tab.o1[[#This Row],[a1]]),ROW()-4,"")</f>
        <v/>
      </c>
      <c r="AT969" s="136" t="str">
        <f>Tab.o1[[#This Row],[MOD]]</f>
        <v/>
      </c>
      <c r="AU969" s="137" t="str">
        <f t="shared" si="61"/>
        <v/>
      </c>
      <c r="AV969" s="138" t="str">
        <f t="shared" si="62"/>
        <v/>
      </c>
      <c r="AW969" s="138" t="str">
        <f t="shared" si="63"/>
        <v/>
      </c>
      <c r="AX969" s="139" t="str">
        <f>[1]!T.in.A[[#This Row],[ID_T_manu]]</f>
        <v/>
      </c>
      <c r="AY969" s="140" t="str">
        <f>IF(ISNUMBER(Tab.o1[[#This Row],[a1]]),IF(AND(Tab.o1[[#This Row],[a1]]=1,Tab.o1[[#This Row],[b1]]&lt;=AY$4),#REF!,AY968),"")</f>
        <v/>
      </c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6"/>
      <c r="BO969" s="26"/>
      <c r="BP969" s="26"/>
      <c r="BQ969" s="26"/>
      <c r="BR969" s="26"/>
      <c r="BS969" s="26"/>
      <c r="BT969" s="26"/>
      <c r="BU969" s="26"/>
      <c r="BV969" s="26"/>
      <c r="BW969" s="26"/>
      <c r="BX969" s="26"/>
      <c r="BY969" s="26"/>
      <c r="BZ969" s="26"/>
      <c r="CA969" s="26"/>
    </row>
    <row r="970" spans="1:79" ht="15.75" hidden="1">
      <c r="A970" s="109">
        <v>-1.0000000000000002E-6</v>
      </c>
      <c r="B970" s="110">
        <f t="shared" si="60"/>
        <v>970</v>
      </c>
      <c r="C970" s="111" t="str">
        <f>IF(C$1=[1]!T.in.A[[#This Row],[oo2]],1,"")</f>
        <v/>
      </c>
      <c r="D970" s="112" t="str">
        <f>IF(Tab.o1[[#This Row],[a1]]=1,IF(SUM(C970:C971)=0,0,IF(SUM(C969:C970)=1,1,IF(SUM(C969:C971)&gt;1,D969+1,0))),"")</f>
        <v/>
      </c>
      <c r="E970" s="113" t="str">
        <f>IF(Tab.o1[[#This Row],[a1]]=1,[1]!T.in.A[[#This Row],[oo1]],"")</f>
        <v/>
      </c>
      <c r="F970" s="113" t="str">
        <f>IF(Tab.o1[[#This Row],[a1]]=1,[1]!T.in.A[[#This Row],[pp1]],"")</f>
        <v/>
      </c>
      <c r="G970" s="114" t="str">
        <f>IF(Tab.o1[[#This Row],[a1]]=1,G$2+IF(G$1=1,0,Tab.o1[[#This Row],[.x1]])+[1]!T.in.A[[#This Row],[oo3]],"")</f>
        <v/>
      </c>
      <c r="H970" s="115" t="str">
        <f>IF(Tab.o1[[#This Row],[a1]]=1,IF(H$2=0,0,IF(G$1=1,0,Tab.o1[[#This Row],[.x1]])+[1]!T.in.A[[#This Row],[oo4]]),"")</f>
        <v/>
      </c>
      <c r="I970" s="116" t="str">
        <f>IF(Tab.o1[[#This Row],[a1]]=1,IF(J$2=0,Tab.o1[[#This Row],[MED]],Tab.o1[[#This Row],[MOD]]),"")</f>
        <v/>
      </c>
      <c r="J970" s="116" t="str">
        <f>IF(Tab.o1[[#This Row],[a1]]=1,((Tab.o1[[#This Row],[DIF_Target.]]-AVERAGE(Tab.o1[DIF_Target.]))/_xlfn.STDEV.P(Tab.o1[DIF_Target.])),"")</f>
        <v/>
      </c>
      <c r="K970" s="117" t="str">
        <f>IF(Tab.o1[[#This Row],[a1]]=1,IF(J$2=0,Tab.o1[[#This Row],[MOD]]-Tab.o1[[#This Row],[B]],IF(J$2=1,0,-Tab.o1[[#This Row],[MED]])+Tab.o1[[#This Row],[B]]),"")</f>
        <v/>
      </c>
      <c r="L970" s="117" t="str">
        <f ca="1">IF(Tab.o1[[#This Row],[DIF_Target]]=0,IF(L$2=0,Tab.o1[[#This Row],[DIF_Target]],AVERAGE(OFFSET(Tab.o1[[#This Row],[DIF_Target]],1,0,L$3,1)))/3,Tab.o1[[#This Row],[DIF_Target]])</f>
        <v/>
      </c>
      <c r="M970" s="118" t="str">
        <f>IF(Tab.o1[[#This Row],[a1]]=1,NORMSDIST(Tab.o1[[#This Row],[Za]]),"")</f>
        <v/>
      </c>
      <c r="N970" s="119" t="str">
        <f>IF(Tab.o1[[#This Row],[a1]]=1,((Tab.o1[[#This Row],[MedMod]]-AVERAGE(Tab.o1[MedMod]))/_xlfn.STDEV.P(Tab.o1[MedMod])*H$1205)+G$1205,"")</f>
        <v/>
      </c>
      <c r="O970" s="141" t="str">
        <f>IF(Tab.o1[[#This Row],[a1]]=1,Tab.o1[[#This Row],[Zb]]*_xlfn.STDEV.P(Tab.o1[MedMod])+AVERAGE(Tab.o1[MedMod]),"")</f>
        <v/>
      </c>
      <c r="P970" s="117" t="str">
        <f ca="1">IF(Tab.o1[[#This Row],[B]]=0,AVERAGE(OFFSET(Tab.o1[[#This Row],[B]],1,0,L$3,1)),Tab.o1[[#This Row],[B]])</f>
        <v/>
      </c>
      <c r="Q970" s="121" t="str">
        <f>IF(Tab.o1[[#This Row],[a1]]=1,NORMSDIST(Tab.o1[[#This Row],[Zb]]),"")</f>
        <v/>
      </c>
      <c r="R970" s="122" t="str">
        <f>IF(Tab.o1[[#This Row],[a1]]=1,((Tab.o1[[#This Row],[MedMod]]-AVERAGE(Tab.o1[MedMod]))/_xlfn.STDEV.P(Tab.o1[MedMod])*H$1203)+G$1203,"")</f>
        <v/>
      </c>
      <c r="S970" s="122" t="str">
        <f>IF(Tab.o1[[#This Row],[a1]]=1,((Tab.o1[[#This Row],[MedMod]]-AVERAGE(Tab.o1[MedMod]))/_xlfn.STDEV.P(Tab.o1[MedMod])*H$1204)+G$1204,"")</f>
        <v/>
      </c>
      <c r="T970" s="123" t="str">
        <f>IF(Tab.o1[[#This Row],[a1]]=1,Tab.o1[[#This Row],[Z-]]*_xlfn.STDEV.P(Tab.o1[B])+AVERAGE(Tab.o1[B]),"")</f>
        <v/>
      </c>
      <c r="U970" s="123" t="str">
        <f>IF(Tab.o1[[#This Row],[a1]]=1,Tab.o1[[#This Row],[z+]]*_xlfn.STDEV.P(Tab.o1[B])+AVERAGE(Tab.o1[B]),"")</f>
        <v/>
      </c>
      <c r="V970" s="124" t="str">
        <f>IF(Tab.o1[[#This Row],[a1]]=1,ABS((ABS(Tab.o1[[#This Row],[Red]]-Tab.o1[[#This Row],[Blue]]))),"")</f>
        <v/>
      </c>
      <c r="W970" s="125" t="str">
        <f>IF(Tab.o1[[#This Row],[a1]]=1,IF(W$3=0,1,Tab.o1[[#This Row],[Amp.]]*1/_xlfn.MINIFS(Tab.o1[Amp.],Tab.o1[Amp.],"&lt;&gt;0")),"")</f>
        <v/>
      </c>
      <c r="X970" s="126" t="str">
        <f>IF(Tab.o1[[#This Row],[a1]]=1,IF(ISNUMBER(Tab.o1[[#This Row],[i.]]),NORMDIST(Tab.o1[[#This Row],[Za]],0,1,FALSE)*Tab.o1[[#This Row],[i.]],AP$3),"")</f>
        <v/>
      </c>
      <c r="Y970" s="126" t="str">
        <f>IF(Tab.o1[[#This Row],[a1]]=1,0.01+0.94*Tab.o1[[#This Row],[PDF]]/MAX(Tab.o1[PDF]),"")</f>
        <v/>
      </c>
      <c r="Z970" s="126" t="str">
        <f>IF(Tab.o1[[#This Row],[a1]]=1,0.01+0.94*Tab.o1[[#This Row],[W1_PDF]]/MAX(Tab.o1[W1_PDF]),"")</f>
        <v/>
      </c>
      <c r="AA970" s="118" t="str">
        <f>IF(Tab.o1[[#This Row],[a1]]=1,ABS([1]!T.in.A[[#This Row],[oo6]]),"")</f>
        <v/>
      </c>
      <c r="AB970" s="127" t="str">
        <f>IF(Tab.o1[[#This Row],[a1]]=1,IF(AE$3=0,"",IF(AB$3=0,ABS([1]!T.in.A[[#This Row],[oo9]]),ABS(Tab.o1[[#This Row],[DIF_Target.]]*Tab.o1[[#This Row],[W1_PDF]]))),"")</f>
        <v/>
      </c>
      <c r="AC970" s="127" t="str">
        <f>IF(G$1=1,"",IF(Tab.o1[[#This Row],[a1]]=1,Tab.o1[[#This Row],[Wr]]^2,""))</f>
        <v/>
      </c>
      <c r="AD970" s="118" t="str">
        <f>IF(Tab.o1[[#This Row],[a1]]=1,IF(AE$3=0,"",Tab.o1[[#This Row],[Wr2]]/SUM(Tab.o1[Wr2])),"")</f>
        <v/>
      </c>
      <c r="AE970" s="128" t="str">
        <f>IF(Tab.o1[[#This Row],[a1]]=1,[1]!T.in.A[[#This Row],[oo10]],"")</f>
        <v/>
      </c>
      <c r="AF970" s="118" t="str">
        <f>IF(Tab.o1[[#This Row],[a1]]=1,ABS(Tab.o1[[#This Row],[DIF_Target.]]*Tab.o1[[#This Row],[PDF2]]*Tab.o1[[#This Row],[IN]]),"")</f>
        <v/>
      </c>
      <c r="AG970" s="129" t="str">
        <f>IF(Tab.o1[[#This Row],[a1]]=1,Tab.o1[[#This Row],[rW]]^2,"")</f>
        <v/>
      </c>
      <c r="AH970" s="130" t="str">
        <f>IF(Tab.o1[[#This Row],[a1]]=1,IF(AH$3=0,Tab.o1[[#This Row],[rW2]],0.01+0.94*Tab.o1[[#This Row],[rW2]]/SUM(Tab.o1[rW2])),"")</f>
        <v/>
      </c>
      <c r="AI970" s="128" t="str">
        <f>IF(Tab.o1[[#This Row],[a1]]=1,1/Tab.o1[[#This Row],[PDF]],"")</f>
        <v/>
      </c>
      <c r="AJ970" s="131" t="str">
        <f>IF(Tab.o1[[#This Row],[a1]]=1,[1]!T_AA[[#This Row],[IN'']]*[1]!T_AA[[#This Row],[Qde'']],"")</f>
        <v/>
      </c>
      <c r="AK970" s="132" t="str">
        <f>IF(Tab.o1[[#This Row],[a1]]=1,IF(AK$1=1,Tab.o1[[#This Row],[MED]]+Tab.o1[[#This Row],[MOD]]-Tab.o1[[#This Row],[MED]],""),"")</f>
        <v/>
      </c>
      <c r="AL970" s="133" t="str">
        <f>IF(Tab.o1[[#This Row],[a1]]=1,[1]!T.in.A[[#This Row],[oo16]],"")</f>
        <v/>
      </c>
      <c r="AM970" s="133" t="str">
        <f>IF(Tab.o1[[#This Row],[a1]]=1,IF(AM$3=1,[1]!T.in.A[[#This Row],[Σo16]],""),"")</f>
        <v/>
      </c>
      <c r="AN970" s="126" t="str">
        <f>IF(Tab.o1[[#This Row],[a1]]=1,[1]!T.in.A[[#This Row],[Σp5]],"")</f>
        <v/>
      </c>
      <c r="AO970" s="126" t="str">
        <f>IF(Tab.o1[[#This Row],[a1]]=1,IF(AO$3=1,[1]!T.in.A[[#This Row],[Σp5]],""),"")</f>
        <v/>
      </c>
      <c r="AP970" s="110" t="str">
        <f>IF(Tab.o1[[#This Row],[a1]]=1,IF(ISNUMBER(Tab.o1[[#This Row],[i.]]),NORMDIST(Tab.o1[[#This Row],[Za]],0,1,FALSE)*Tab.o1[[#This Row],[i.]],0),"")</f>
        <v/>
      </c>
      <c r="AQ970" s="125" t="str">
        <f>IF(Tab.o1[[#This Row],[a1]]=1,ABS(Tab.o1[[#This Row],[MOD]]-AVERAGE(Tab.o1[MOD])),"")</f>
        <v/>
      </c>
      <c r="AR970" s="134" t="str">
        <f>IF(Tab.o1[[#This Row],[a1]]=1,Tab.o1[[#This Row],[OBS]]/SUM(Tab.o1[OBS]),"")</f>
        <v/>
      </c>
      <c r="AS970" s="135" t="str">
        <f>IF(ISNUMBER(Tab.o1[[#This Row],[a1]]),ROW()-4,"")</f>
        <v/>
      </c>
      <c r="AT970" s="136" t="str">
        <f>Tab.o1[[#This Row],[MOD]]</f>
        <v/>
      </c>
      <c r="AU970" s="137" t="str">
        <f t="shared" si="61"/>
        <v/>
      </c>
      <c r="AV970" s="138" t="str">
        <f t="shared" si="62"/>
        <v/>
      </c>
      <c r="AW970" s="138" t="str">
        <f t="shared" si="63"/>
        <v/>
      </c>
      <c r="AX970" s="139" t="str">
        <f>[1]!T.in.A[[#This Row],[ID_T_manu]]</f>
        <v/>
      </c>
      <c r="AY970" s="140" t="str">
        <f>IF(ISNUMBER(Tab.o1[[#This Row],[a1]]),IF(AND(Tab.o1[[#This Row],[a1]]=1,Tab.o1[[#This Row],[b1]]&lt;=AY$4),#REF!,AY969),"")</f>
        <v/>
      </c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6"/>
      <c r="BO970" s="26"/>
      <c r="BP970" s="26"/>
      <c r="BQ970" s="26"/>
      <c r="BR970" s="26"/>
      <c r="BS970" s="26"/>
      <c r="BT970" s="26"/>
      <c r="BU970" s="26"/>
      <c r="BV970" s="26"/>
      <c r="BW970" s="26"/>
      <c r="BX970" s="26"/>
      <c r="BY970" s="26"/>
      <c r="BZ970" s="26"/>
      <c r="CA970" s="26"/>
    </row>
    <row r="971" spans="1:79" ht="15.75" hidden="1">
      <c r="A971" s="109">
        <v>6.9999999999999999E-6</v>
      </c>
      <c r="B971" s="110">
        <f t="shared" si="60"/>
        <v>971</v>
      </c>
      <c r="C971" s="111" t="str">
        <f>IF(C$1=[1]!T.in.A[[#This Row],[oo2]],1,"")</f>
        <v/>
      </c>
      <c r="D971" s="112" t="str">
        <f>IF(Tab.o1[[#This Row],[a1]]=1,IF(SUM(C971:C972)=0,0,IF(SUM(C970:C971)=1,1,IF(SUM(C970:C972)&gt;1,D970+1,0))),"")</f>
        <v/>
      </c>
      <c r="E971" s="113" t="str">
        <f>IF(Tab.o1[[#This Row],[a1]]=1,[1]!T.in.A[[#This Row],[oo1]],"")</f>
        <v/>
      </c>
      <c r="F971" s="113" t="str">
        <f>IF(Tab.o1[[#This Row],[a1]]=1,[1]!T.in.A[[#This Row],[pp1]],"")</f>
        <v/>
      </c>
      <c r="G971" s="114" t="str">
        <f>IF(Tab.o1[[#This Row],[a1]]=1,G$2+IF(G$1=1,0,Tab.o1[[#This Row],[.x1]])+[1]!T.in.A[[#This Row],[oo3]],"")</f>
        <v/>
      </c>
      <c r="H971" s="115" t="str">
        <f>IF(Tab.o1[[#This Row],[a1]]=1,IF(H$2=0,0,IF(G$1=1,0,Tab.o1[[#This Row],[.x1]])+[1]!T.in.A[[#This Row],[oo4]]),"")</f>
        <v/>
      </c>
      <c r="I971" s="116" t="str">
        <f>IF(Tab.o1[[#This Row],[a1]]=1,IF(J$2=0,Tab.o1[[#This Row],[MED]],Tab.o1[[#This Row],[MOD]]),"")</f>
        <v/>
      </c>
      <c r="J971" s="116" t="str">
        <f>IF(Tab.o1[[#This Row],[a1]]=1,((Tab.o1[[#This Row],[DIF_Target.]]-AVERAGE(Tab.o1[DIF_Target.]))/_xlfn.STDEV.P(Tab.o1[DIF_Target.])),"")</f>
        <v/>
      </c>
      <c r="K971" s="117" t="str">
        <f>IF(Tab.o1[[#This Row],[a1]]=1,IF(J$2=0,Tab.o1[[#This Row],[MOD]]-Tab.o1[[#This Row],[B]],IF(J$2=1,0,-Tab.o1[[#This Row],[MED]])+Tab.o1[[#This Row],[B]]),"")</f>
        <v/>
      </c>
      <c r="L971" s="117" t="str">
        <f ca="1">IF(Tab.o1[[#This Row],[DIF_Target]]=0,IF(L$2=0,Tab.o1[[#This Row],[DIF_Target]],AVERAGE(OFFSET(Tab.o1[[#This Row],[DIF_Target]],1,0,L$3,1)))/3,Tab.o1[[#This Row],[DIF_Target]])</f>
        <v/>
      </c>
      <c r="M971" s="118" t="str">
        <f>IF(Tab.o1[[#This Row],[a1]]=1,NORMSDIST(Tab.o1[[#This Row],[Za]]),"")</f>
        <v/>
      </c>
      <c r="N971" s="119" t="str">
        <f>IF(Tab.o1[[#This Row],[a1]]=1,((Tab.o1[[#This Row],[MedMod]]-AVERAGE(Tab.o1[MedMod]))/_xlfn.STDEV.P(Tab.o1[MedMod])*H$1205)+G$1205,"")</f>
        <v/>
      </c>
      <c r="O971" s="141" t="str">
        <f>IF(Tab.o1[[#This Row],[a1]]=1,Tab.o1[[#This Row],[Zb]]*_xlfn.STDEV.P(Tab.o1[MedMod])+AVERAGE(Tab.o1[MedMod]),"")</f>
        <v/>
      </c>
      <c r="P971" s="117" t="str">
        <f ca="1">IF(Tab.o1[[#This Row],[B]]=0,AVERAGE(OFFSET(Tab.o1[[#This Row],[B]],1,0,L$3,1)),Tab.o1[[#This Row],[B]])</f>
        <v/>
      </c>
      <c r="Q971" s="121" t="str">
        <f>IF(Tab.o1[[#This Row],[a1]]=1,NORMSDIST(Tab.o1[[#This Row],[Zb]]),"")</f>
        <v/>
      </c>
      <c r="R971" s="122" t="str">
        <f>IF(Tab.o1[[#This Row],[a1]]=1,((Tab.o1[[#This Row],[MedMod]]-AVERAGE(Tab.o1[MedMod]))/_xlfn.STDEV.P(Tab.o1[MedMod])*H$1203)+G$1203,"")</f>
        <v/>
      </c>
      <c r="S971" s="122" t="str">
        <f>IF(Tab.o1[[#This Row],[a1]]=1,((Tab.o1[[#This Row],[MedMod]]-AVERAGE(Tab.o1[MedMod]))/_xlfn.STDEV.P(Tab.o1[MedMod])*H$1204)+G$1204,"")</f>
        <v/>
      </c>
      <c r="T971" s="123" t="str">
        <f>IF(Tab.o1[[#This Row],[a1]]=1,Tab.o1[[#This Row],[Z-]]*_xlfn.STDEV.P(Tab.o1[B])+AVERAGE(Tab.o1[B]),"")</f>
        <v/>
      </c>
      <c r="U971" s="123" t="str">
        <f>IF(Tab.o1[[#This Row],[a1]]=1,Tab.o1[[#This Row],[z+]]*_xlfn.STDEV.P(Tab.o1[B])+AVERAGE(Tab.o1[B]),"")</f>
        <v/>
      </c>
      <c r="V971" s="124" t="str">
        <f>IF(Tab.o1[[#This Row],[a1]]=1,ABS((ABS(Tab.o1[[#This Row],[Red]]-Tab.o1[[#This Row],[Blue]]))),"")</f>
        <v/>
      </c>
      <c r="W971" s="125" t="str">
        <f>IF(Tab.o1[[#This Row],[a1]]=1,IF(W$3=0,1,Tab.o1[[#This Row],[Amp.]]*1/_xlfn.MINIFS(Tab.o1[Amp.],Tab.o1[Amp.],"&lt;&gt;0")),"")</f>
        <v/>
      </c>
      <c r="X971" s="126" t="str">
        <f>IF(Tab.o1[[#This Row],[a1]]=1,IF(ISNUMBER(Tab.o1[[#This Row],[i.]]),NORMDIST(Tab.o1[[#This Row],[Za]],0,1,FALSE)*Tab.o1[[#This Row],[i.]],AP$3),"")</f>
        <v/>
      </c>
      <c r="Y971" s="126" t="str">
        <f>IF(Tab.o1[[#This Row],[a1]]=1,0.01+0.94*Tab.o1[[#This Row],[PDF]]/MAX(Tab.o1[PDF]),"")</f>
        <v/>
      </c>
      <c r="Z971" s="126" t="str">
        <f>IF(Tab.o1[[#This Row],[a1]]=1,0.01+0.94*Tab.o1[[#This Row],[W1_PDF]]/MAX(Tab.o1[W1_PDF]),"")</f>
        <v/>
      </c>
      <c r="AA971" s="118" t="str">
        <f>IF(Tab.o1[[#This Row],[a1]]=1,ABS([1]!T.in.A[[#This Row],[oo6]]),"")</f>
        <v/>
      </c>
      <c r="AB971" s="127" t="str">
        <f>IF(Tab.o1[[#This Row],[a1]]=1,IF(AE$3=0,"",IF(AB$3=0,ABS([1]!T.in.A[[#This Row],[oo9]]),ABS(Tab.o1[[#This Row],[DIF_Target.]]*Tab.o1[[#This Row],[W1_PDF]]))),"")</f>
        <v/>
      </c>
      <c r="AC971" s="127" t="str">
        <f>IF(G$1=1,"",IF(Tab.o1[[#This Row],[a1]]=1,Tab.o1[[#This Row],[Wr]]^2,""))</f>
        <v/>
      </c>
      <c r="AD971" s="118" t="str">
        <f>IF(Tab.o1[[#This Row],[a1]]=1,IF(AE$3=0,"",Tab.o1[[#This Row],[Wr2]]/SUM(Tab.o1[Wr2])),"")</f>
        <v/>
      </c>
      <c r="AE971" s="128" t="str">
        <f>IF(Tab.o1[[#This Row],[a1]]=1,[1]!T.in.A[[#This Row],[oo10]],"")</f>
        <v/>
      </c>
      <c r="AF971" s="118" t="str">
        <f>IF(Tab.o1[[#This Row],[a1]]=1,ABS(Tab.o1[[#This Row],[DIF_Target.]]*Tab.o1[[#This Row],[PDF2]]*Tab.o1[[#This Row],[IN]]),"")</f>
        <v/>
      </c>
      <c r="AG971" s="129" t="str">
        <f>IF(Tab.o1[[#This Row],[a1]]=1,Tab.o1[[#This Row],[rW]]^2,"")</f>
        <v/>
      </c>
      <c r="AH971" s="130" t="str">
        <f>IF(Tab.o1[[#This Row],[a1]]=1,IF(AH$3=0,Tab.o1[[#This Row],[rW2]],0.01+0.94*Tab.o1[[#This Row],[rW2]]/SUM(Tab.o1[rW2])),"")</f>
        <v/>
      </c>
      <c r="AI971" s="128" t="str">
        <f>IF(Tab.o1[[#This Row],[a1]]=1,1/Tab.o1[[#This Row],[PDF]],"")</f>
        <v/>
      </c>
      <c r="AJ971" s="131" t="str">
        <f>IF(Tab.o1[[#This Row],[a1]]=1,[1]!T_AA[[#This Row],[IN'']]*[1]!T_AA[[#This Row],[Qde'']],"")</f>
        <v/>
      </c>
      <c r="AK971" s="132" t="str">
        <f>IF(Tab.o1[[#This Row],[a1]]=1,IF(AK$1=1,Tab.o1[[#This Row],[MED]]+Tab.o1[[#This Row],[MOD]]-Tab.o1[[#This Row],[MED]],""),"")</f>
        <v/>
      </c>
      <c r="AL971" s="133" t="str">
        <f>IF(Tab.o1[[#This Row],[a1]]=1,[1]!T.in.A[[#This Row],[oo16]],"")</f>
        <v/>
      </c>
      <c r="AM971" s="133" t="str">
        <f>IF(Tab.o1[[#This Row],[a1]]=1,IF(AM$3=1,[1]!T.in.A[[#This Row],[Σo16]],""),"")</f>
        <v/>
      </c>
      <c r="AN971" s="126" t="str">
        <f>IF(Tab.o1[[#This Row],[a1]]=1,[1]!T.in.A[[#This Row],[Σp5]],"")</f>
        <v/>
      </c>
      <c r="AO971" s="126" t="str">
        <f>IF(Tab.o1[[#This Row],[a1]]=1,IF(AO$3=1,[1]!T.in.A[[#This Row],[Σp5]],""),"")</f>
        <v/>
      </c>
      <c r="AP971" s="110" t="str">
        <f>IF(Tab.o1[[#This Row],[a1]]=1,IF(ISNUMBER(Tab.o1[[#This Row],[i.]]),NORMDIST(Tab.o1[[#This Row],[Za]],0,1,FALSE)*Tab.o1[[#This Row],[i.]],0),"")</f>
        <v/>
      </c>
      <c r="AQ971" s="125" t="str">
        <f>IF(Tab.o1[[#This Row],[a1]]=1,ABS(Tab.o1[[#This Row],[MOD]]-AVERAGE(Tab.o1[MOD])),"")</f>
        <v/>
      </c>
      <c r="AR971" s="134" t="str">
        <f>IF(Tab.o1[[#This Row],[a1]]=1,Tab.o1[[#This Row],[OBS]]/SUM(Tab.o1[OBS]),"")</f>
        <v/>
      </c>
      <c r="AS971" s="135" t="str">
        <f>IF(ISNUMBER(Tab.o1[[#This Row],[a1]]),ROW()-4,"")</f>
        <v/>
      </c>
      <c r="AT971" s="136" t="str">
        <f>Tab.o1[[#This Row],[MOD]]</f>
        <v/>
      </c>
      <c r="AU971" s="137" t="str">
        <f t="shared" si="61"/>
        <v/>
      </c>
      <c r="AV971" s="138" t="str">
        <f t="shared" si="62"/>
        <v/>
      </c>
      <c r="AW971" s="138" t="str">
        <f t="shared" si="63"/>
        <v/>
      </c>
      <c r="AX971" s="139" t="str">
        <f>[1]!T.in.A[[#This Row],[ID_T_manu]]</f>
        <v/>
      </c>
      <c r="AY971" s="140" t="str">
        <f>IF(ISNUMBER(Tab.o1[[#This Row],[a1]]),IF(AND(Tab.o1[[#This Row],[a1]]=1,Tab.o1[[#This Row],[b1]]&lt;=AY$4),#REF!,AY970),"")</f>
        <v/>
      </c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6"/>
      <c r="BO971" s="26"/>
      <c r="BP971" s="26"/>
      <c r="BQ971" s="26"/>
      <c r="BR971" s="26"/>
      <c r="BS971" s="26"/>
      <c r="BT971" s="26"/>
      <c r="BU971" s="26"/>
      <c r="BV971" s="26"/>
      <c r="BW971" s="26"/>
      <c r="BX971" s="26"/>
      <c r="BY971" s="26"/>
      <c r="BZ971" s="26"/>
      <c r="CA971" s="26"/>
    </row>
    <row r="972" spans="1:79" ht="15.75" hidden="1">
      <c r="A972" s="109">
        <v>1.0000000000000002E-6</v>
      </c>
      <c r="B972" s="110">
        <f t="shared" si="60"/>
        <v>972</v>
      </c>
      <c r="C972" s="111" t="str">
        <f>IF(C$1=[1]!T.in.A[[#This Row],[oo2]],1,"")</f>
        <v/>
      </c>
      <c r="D972" s="112" t="str">
        <f>IF(Tab.o1[[#This Row],[a1]]=1,IF(SUM(C972:C973)=0,0,IF(SUM(C971:C972)=1,1,IF(SUM(C971:C973)&gt;1,D971+1,0))),"")</f>
        <v/>
      </c>
      <c r="E972" s="113" t="str">
        <f>IF(Tab.o1[[#This Row],[a1]]=1,[1]!T.in.A[[#This Row],[oo1]],"")</f>
        <v/>
      </c>
      <c r="F972" s="113" t="str">
        <f>IF(Tab.o1[[#This Row],[a1]]=1,[1]!T.in.A[[#This Row],[pp1]],"")</f>
        <v/>
      </c>
      <c r="G972" s="114" t="str">
        <f>IF(Tab.o1[[#This Row],[a1]]=1,G$2+IF(G$1=1,0,Tab.o1[[#This Row],[.x1]])+[1]!T.in.A[[#This Row],[oo3]],"")</f>
        <v/>
      </c>
      <c r="H972" s="115" t="str">
        <f>IF(Tab.o1[[#This Row],[a1]]=1,IF(H$2=0,0,IF(G$1=1,0,Tab.o1[[#This Row],[.x1]])+[1]!T.in.A[[#This Row],[oo4]]),"")</f>
        <v/>
      </c>
      <c r="I972" s="116" t="str">
        <f>IF(Tab.o1[[#This Row],[a1]]=1,IF(J$2=0,Tab.o1[[#This Row],[MED]],Tab.o1[[#This Row],[MOD]]),"")</f>
        <v/>
      </c>
      <c r="J972" s="116" t="str">
        <f>IF(Tab.o1[[#This Row],[a1]]=1,((Tab.o1[[#This Row],[DIF_Target.]]-AVERAGE(Tab.o1[DIF_Target.]))/_xlfn.STDEV.P(Tab.o1[DIF_Target.])),"")</f>
        <v/>
      </c>
      <c r="K972" s="117" t="str">
        <f>IF(Tab.o1[[#This Row],[a1]]=1,IF(J$2=0,Tab.o1[[#This Row],[MOD]]-Tab.o1[[#This Row],[B]],IF(J$2=1,0,-Tab.o1[[#This Row],[MED]])+Tab.o1[[#This Row],[B]]),"")</f>
        <v/>
      </c>
      <c r="L972" s="117" t="str">
        <f ca="1">IF(Tab.o1[[#This Row],[DIF_Target]]=0,IF(L$2=0,Tab.o1[[#This Row],[DIF_Target]],AVERAGE(OFFSET(Tab.o1[[#This Row],[DIF_Target]],1,0,L$3,1)))/3,Tab.o1[[#This Row],[DIF_Target]])</f>
        <v/>
      </c>
      <c r="M972" s="118" t="str">
        <f>IF(Tab.o1[[#This Row],[a1]]=1,NORMSDIST(Tab.o1[[#This Row],[Za]]),"")</f>
        <v/>
      </c>
      <c r="N972" s="119" t="str">
        <f>IF(Tab.o1[[#This Row],[a1]]=1,((Tab.o1[[#This Row],[MedMod]]-AVERAGE(Tab.o1[MedMod]))/_xlfn.STDEV.P(Tab.o1[MedMod])*H$1205)+G$1205,"")</f>
        <v/>
      </c>
      <c r="O972" s="141" t="str">
        <f>IF(Tab.o1[[#This Row],[a1]]=1,Tab.o1[[#This Row],[Zb]]*_xlfn.STDEV.P(Tab.o1[MedMod])+AVERAGE(Tab.o1[MedMod]),"")</f>
        <v/>
      </c>
      <c r="P972" s="117" t="str">
        <f ca="1">IF(Tab.o1[[#This Row],[B]]=0,AVERAGE(OFFSET(Tab.o1[[#This Row],[B]],1,0,L$3,1)),Tab.o1[[#This Row],[B]])</f>
        <v/>
      </c>
      <c r="Q972" s="121" t="str">
        <f>IF(Tab.o1[[#This Row],[a1]]=1,NORMSDIST(Tab.o1[[#This Row],[Zb]]),"")</f>
        <v/>
      </c>
      <c r="R972" s="122" t="str">
        <f>IF(Tab.o1[[#This Row],[a1]]=1,((Tab.o1[[#This Row],[MedMod]]-AVERAGE(Tab.o1[MedMod]))/_xlfn.STDEV.P(Tab.o1[MedMod])*H$1203)+G$1203,"")</f>
        <v/>
      </c>
      <c r="S972" s="122" t="str">
        <f>IF(Tab.o1[[#This Row],[a1]]=1,((Tab.o1[[#This Row],[MedMod]]-AVERAGE(Tab.o1[MedMod]))/_xlfn.STDEV.P(Tab.o1[MedMod])*H$1204)+G$1204,"")</f>
        <v/>
      </c>
      <c r="T972" s="123" t="str">
        <f>IF(Tab.o1[[#This Row],[a1]]=1,Tab.o1[[#This Row],[Z-]]*_xlfn.STDEV.P(Tab.o1[B])+AVERAGE(Tab.o1[B]),"")</f>
        <v/>
      </c>
      <c r="U972" s="123" t="str">
        <f>IF(Tab.o1[[#This Row],[a1]]=1,Tab.o1[[#This Row],[z+]]*_xlfn.STDEV.P(Tab.o1[B])+AVERAGE(Tab.o1[B]),"")</f>
        <v/>
      </c>
      <c r="V972" s="124" t="str">
        <f>IF(Tab.o1[[#This Row],[a1]]=1,ABS((ABS(Tab.o1[[#This Row],[Red]]-Tab.o1[[#This Row],[Blue]]))),"")</f>
        <v/>
      </c>
      <c r="W972" s="125" t="str">
        <f>IF(Tab.o1[[#This Row],[a1]]=1,IF(W$3=0,1,Tab.o1[[#This Row],[Amp.]]*1/_xlfn.MINIFS(Tab.o1[Amp.],Tab.o1[Amp.],"&lt;&gt;0")),"")</f>
        <v/>
      </c>
      <c r="X972" s="126" t="str">
        <f>IF(Tab.o1[[#This Row],[a1]]=1,IF(ISNUMBER(Tab.o1[[#This Row],[i.]]),NORMDIST(Tab.o1[[#This Row],[Za]],0,1,FALSE)*Tab.o1[[#This Row],[i.]],AP$3),"")</f>
        <v/>
      </c>
      <c r="Y972" s="126" t="str">
        <f>IF(Tab.o1[[#This Row],[a1]]=1,0.01+0.94*Tab.o1[[#This Row],[PDF]]/MAX(Tab.o1[PDF]),"")</f>
        <v/>
      </c>
      <c r="Z972" s="126" t="str">
        <f>IF(Tab.o1[[#This Row],[a1]]=1,0.01+0.94*Tab.o1[[#This Row],[W1_PDF]]/MAX(Tab.o1[W1_PDF]),"")</f>
        <v/>
      </c>
      <c r="AA972" s="118" t="str">
        <f>IF(Tab.o1[[#This Row],[a1]]=1,ABS([1]!T.in.A[[#This Row],[oo6]]),"")</f>
        <v/>
      </c>
      <c r="AB972" s="127" t="str">
        <f>IF(Tab.o1[[#This Row],[a1]]=1,IF(AE$3=0,"",IF(AB$3=0,ABS([1]!T.in.A[[#This Row],[oo9]]),ABS(Tab.o1[[#This Row],[DIF_Target.]]*Tab.o1[[#This Row],[W1_PDF]]))),"")</f>
        <v/>
      </c>
      <c r="AC972" s="127" t="str">
        <f>IF(G$1=1,"",IF(Tab.o1[[#This Row],[a1]]=1,Tab.o1[[#This Row],[Wr]]^2,""))</f>
        <v/>
      </c>
      <c r="AD972" s="118" t="str">
        <f>IF(Tab.o1[[#This Row],[a1]]=1,IF(AE$3=0,"",Tab.o1[[#This Row],[Wr2]]/SUM(Tab.o1[Wr2])),"")</f>
        <v/>
      </c>
      <c r="AE972" s="128" t="str">
        <f>IF(Tab.o1[[#This Row],[a1]]=1,[1]!T.in.A[[#This Row],[oo10]],"")</f>
        <v/>
      </c>
      <c r="AF972" s="118" t="str">
        <f>IF(Tab.o1[[#This Row],[a1]]=1,ABS(Tab.o1[[#This Row],[DIF_Target.]]*Tab.o1[[#This Row],[PDF2]]*Tab.o1[[#This Row],[IN]]),"")</f>
        <v/>
      </c>
      <c r="AG972" s="129" t="str">
        <f>IF(Tab.o1[[#This Row],[a1]]=1,Tab.o1[[#This Row],[rW]]^2,"")</f>
        <v/>
      </c>
      <c r="AH972" s="130" t="str">
        <f>IF(Tab.o1[[#This Row],[a1]]=1,IF(AH$3=0,Tab.o1[[#This Row],[rW2]],0.01+0.94*Tab.o1[[#This Row],[rW2]]/SUM(Tab.o1[rW2])),"")</f>
        <v/>
      </c>
      <c r="AI972" s="128" t="str">
        <f>IF(Tab.o1[[#This Row],[a1]]=1,1/Tab.o1[[#This Row],[PDF]],"")</f>
        <v/>
      </c>
      <c r="AJ972" s="131" t="str">
        <f>IF(Tab.o1[[#This Row],[a1]]=1,[1]!T_AA[[#This Row],[IN'']]*[1]!T_AA[[#This Row],[Qde'']],"")</f>
        <v/>
      </c>
      <c r="AK972" s="132" t="str">
        <f>IF(Tab.o1[[#This Row],[a1]]=1,IF(AK$1=1,Tab.o1[[#This Row],[MED]]+Tab.o1[[#This Row],[MOD]]-Tab.o1[[#This Row],[MED]],""),"")</f>
        <v/>
      </c>
      <c r="AL972" s="133" t="str">
        <f>IF(Tab.o1[[#This Row],[a1]]=1,[1]!T.in.A[[#This Row],[oo16]],"")</f>
        <v/>
      </c>
      <c r="AM972" s="133" t="str">
        <f>IF(Tab.o1[[#This Row],[a1]]=1,IF(AM$3=1,[1]!T.in.A[[#This Row],[Σo16]],""),"")</f>
        <v/>
      </c>
      <c r="AN972" s="126" t="str">
        <f>IF(Tab.o1[[#This Row],[a1]]=1,[1]!T.in.A[[#This Row],[Σp5]],"")</f>
        <v/>
      </c>
      <c r="AO972" s="126" t="str">
        <f>IF(Tab.o1[[#This Row],[a1]]=1,IF(AO$3=1,[1]!T.in.A[[#This Row],[Σp5]],""),"")</f>
        <v/>
      </c>
      <c r="AP972" s="110" t="str">
        <f>IF(Tab.o1[[#This Row],[a1]]=1,IF(ISNUMBER(Tab.o1[[#This Row],[i.]]),NORMDIST(Tab.o1[[#This Row],[Za]],0,1,FALSE)*Tab.o1[[#This Row],[i.]],0),"")</f>
        <v/>
      </c>
      <c r="AQ972" s="125" t="str">
        <f>IF(Tab.o1[[#This Row],[a1]]=1,ABS(Tab.o1[[#This Row],[MOD]]-AVERAGE(Tab.o1[MOD])),"")</f>
        <v/>
      </c>
      <c r="AR972" s="134" t="str">
        <f>IF(Tab.o1[[#This Row],[a1]]=1,Tab.o1[[#This Row],[OBS]]/SUM(Tab.o1[OBS]),"")</f>
        <v/>
      </c>
      <c r="AS972" s="135" t="str">
        <f>IF(ISNUMBER(Tab.o1[[#This Row],[a1]]),ROW()-4,"")</f>
        <v/>
      </c>
      <c r="AT972" s="136" t="str">
        <f>Tab.o1[[#This Row],[MOD]]</f>
        <v/>
      </c>
      <c r="AU972" s="137" t="str">
        <f t="shared" si="61"/>
        <v/>
      </c>
      <c r="AV972" s="138" t="str">
        <f t="shared" si="62"/>
        <v/>
      </c>
      <c r="AW972" s="138" t="str">
        <f t="shared" si="63"/>
        <v/>
      </c>
      <c r="AX972" s="139" t="str">
        <f>[1]!T.in.A[[#This Row],[ID_T_manu]]</f>
        <v/>
      </c>
      <c r="AY972" s="140" t="str">
        <f>IF(ISNUMBER(Tab.o1[[#This Row],[a1]]),IF(AND(Tab.o1[[#This Row],[a1]]=1,Tab.o1[[#This Row],[b1]]&lt;=AY$4),#REF!,AY971),"")</f>
        <v/>
      </c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6"/>
      <c r="BO972" s="26"/>
      <c r="BP972" s="26"/>
      <c r="BQ972" s="26"/>
      <c r="BR972" s="26"/>
      <c r="BS972" s="26"/>
      <c r="BT972" s="26"/>
      <c r="BU972" s="26"/>
      <c r="BV972" s="26"/>
      <c r="BW972" s="26"/>
      <c r="BX972" s="26"/>
      <c r="BY972" s="26"/>
      <c r="BZ972" s="26"/>
      <c r="CA972" s="26"/>
    </row>
    <row r="973" spans="1:79" ht="15.75" hidden="1">
      <c r="A973" s="109">
        <v>-5.9999999999999993E-6</v>
      </c>
      <c r="B973" s="110">
        <f t="shared" si="60"/>
        <v>973</v>
      </c>
      <c r="C973" s="111" t="str">
        <f>IF(C$1=[1]!T.in.A[[#This Row],[oo2]],1,"")</f>
        <v/>
      </c>
      <c r="D973" s="112" t="str">
        <f>IF(Tab.o1[[#This Row],[a1]]=1,IF(SUM(C973:C974)=0,0,IF(SUM(C972:C973)=1,1,IF(SUM(C972:C974)&gt;1,D972+1,0))),"")</f>
        <v/>
      </c>
      <c r="E973" s="113" t="str">
        <f>IF(Tab.o1[[#This Row],[a1]]=1,[1]!T.in.A[[#This Row],[oo1]],"")</f>
        <v/>
      </c>
      <c r="F973" s="113" t="str">
        <f>IF(Tab.o1[[#This Row],[a1]]=1,[1]!T.in.A[[#This Row],[pp1]],"")</f>
        <v/>
      </c>
      <c r="G973" s="114" t="str">
        <f>IF(Tab.o1[[#This Row],[a1]]=1,G$2+IF(G$1=1,0,Tab.o1[[#This Row],[.x1]])+[1]!T.in.A[[#This Row],[oo3]],"")</f>
        <v/>
      </c>
      <c r="H973" s="115" t="str">
        <f>IF(Tab.o1[[#This Row],[a1]]=1,IF(H$2=0,0,IF(G$1=1,0,Tab.o1[[#This Row],[.x1]])+[1]!T.in.A[[#This Row],[oo4]]),"")</f>
        <v/>
      </c>
      <c r="I973" s="116" t="str">
        <f>IF(Tab.o1[[#This Row],[a1]]=1,IF(J$2=0,Tab.o1[[#This Row],[MED]],Tab.o1[[#This Row],[MOD]]),"")</f>
        <v/>
      </c>
      <c r="J973" s="116" t="str">
        <f>IF(Tab.o1[[#This Row],[a1]]=1,((Tab.o1[[#This Row],[DIF_Target.]]-AVERAGE(Tab.o1[DIF_Target.]))/_xlfn.STDEV.P(Tab.o1[DIF_Target.])),"")</f>
        <v/>
      </c>
      <c r="K973" s="117" t="str">
        <f>IF(Tab.o1[[#This Row],[a1]]=1,IF(J$2=0,Tab.o1[[#This Row],[MOD]]-Tab.o1[[#This Row],[B]],IF(J$2=1,0,-Tab.o1[[#This Row],[MED]])+Tab.o1[[#This Row],[B]]),"")</f>
        <v/>
      </c>
      <c r="L973" s="117" t="str">
        <f ca="1">IF(Tab.o1[[#This Row],[DIF_Target]]=0,IF(L$2=0,Tab.o1[[#This Row],[DIF_Target]],AVERAGE(OFFSET(Tab.o1[[#This Row],[DIF_Target]],1,0,L$3,1)))/3,Tab.o1[[#This Row],[DIF_Target]])</f>
        <v/>
      </c>
      <c r="M973" s="118" t="str">
        <f>IF(Tab.o1[[#This Row],[a1]]=1,NORMSDIST(Tab.o1[[#This Row],[Za]]),"")</f>
        <v/>
      </c>
      <c r="N973" s="119" t="str">
        <f>IF(Tab.o1[[#This Row],[a1]]=1,((Tab.o1[[#This Row],[MedMod]]-AVERAGE(Tab.o1[MedMod]))/_xlfn.STDEV.P(Tab.o1[MedMod])*H$1205)+G$1205,"")</f>
        <v/>
      </c>
      <c r="O973" s="141" t="str">
        <f>IF(Tab.o1[[#This Row],[a1]]=1,Tab.o1[[#This Row],[Zb]]*_xlfn.STDEV.P(Tab.o1[MedMod])+AVERAGE(Tab.o1[MedMod]),"")</f>
        <v/>
      </c>
      <c r="P973" s="117" t="str">
        <f ca="1">IF(Tab.o1[[#This Row],[B]]=0,AVERAGE(OFFSET(Tab.o1[[#This Row],[B]],1,0,L$3,1)),Tab.o1[[#This Row],[B]])</f>
        <v/>
      </c>
      <c r="Q973" s="121" t="str">
        <f>IF(Tab.o1[[#This Row],[a1]]=1,NORMSDIST(Tab.o1[[#This Row],[Zb]]),"")</f>
        <v/>
      </c>
      <c r="R973" s="122" t="str">
        <f>IF(Tab.o1[[#This Row],[a1]]=1,((Tab.o1[[#This Row],[MedMod]]-AVERAGE(Tab.o1[MedMod]))/_xlfn.STDEV.P(Tab.o1[MedMod])*H$1203)+G$1203,"")</f>
        <v/>
      </c>
      <c r="S973" s="122" t="str">
        <f>IF(Tab.o1[[#This Row],[a1]]=1,((Tab.o1[[#This Row],[MedMod]]-AVERAGE(Tab.o1[MedMod]))/_xlfn.STDEV.P(Tab.o1[MedMod])*H$1204)+G$1204,"")</f>
        <v/>
      </c>
      <c r="T973" s="123" t="str">
        <f>IF(Tab.o1[[#This Row],[a1]]=1,Tab.o1[[#This Row],[Z-]]*_xlfn.STDEV.P(Tab.o1[B])+AVERAGE(Tab.o1[B]),"")</f>
        <v/>
      </c>
      <c r="U973" s="123" t="str">
        <f>IF(Tab.o1[[#This Row],[a1]]=1,Tab.o1[[#This Row],[z+]]*_xlfn.STDEV.P(Tab.o1[B])+AVERAGE(Tab.o1[B]),"")</f>
        <v/>
      </c>
      <c r="V973" s="124" t="str">
        <f>IF(Tab.o1[[#This Row],[a1]]=1,ABS((ABS(Tab.o1[[#This Row],[Red]]-Tab.o1[[#This Row],[Blue]]))),"")</f>
        <v/>
      </c>
      <c r="W973" s="125" t="str">
        <f>IF(Tab.o1[[#This Row],[a1]]=1,IF(W$3=0,1,Tab.o1[[#This Row],[Amp.]]*1/_xlfn.MINIFS(Tab.o1[Amp.],Tab.o1[Amp.],"&lt;&gt;0")),"")</f>
        <v/>
      </c>
      <c r="X973" s="126" t="str">
        <f>IF(Tab.o1[[#This Row],[a1]]=1,IF(ISNUMBER(Tab.o1[[#This Row],[i.]]),NORMDIST(Tab.o1[[#This Row],[Za]],0,1,FALSE)*Tab.o1[[#This Row],[i.]],AP$3),"")</f>
        <v/>
      </c>
      <c r="Y973" s="126" t="str">
        <f>IF(Tab.o1[[#This Row],[a1]]=1,0.01+0.94*Tab.o1[[#This Row],[PDF]]/MAX(Tab.o1[PDF]),"")</f>
        <v/>
      </c>
      <c r="Z973" s="126" t="str">
        <f>IF(Tab.o1[[#This Row],[a1]]=1,0.01+0.94*Tab.o1[[#This Row],[W1_PDF]]/MAX(Tab.o1[W1_PDF]),"")</f>
        <v/>
      </c>
      <c r="AA973" s="118" t="str">
        <f>IF(Tab.o1[[#This Row],[a1]]=1,ABS([1]!T.in.A[[#This Row],[oo6]]),"")</f>
        <v/>
      </c>
      <c r="AB973" s="127" t="str">
        <f>IF(Tab.o1[[#This Row],[a1]]=1,IF(AE$3=0,"",IF(AB$3=0,ABS([1]!T.in.A[[#This Row],[oo9]]),ABS(Tab.o1[[#This Row],[DIF_Target.]]*Tab.o1[[#This Row],[W1_PDF]]))),"")</f>
        <v/>
      </c>
      <c r="AC973" s="127" t="str">
        <f>IF(G$1=1,"",IF(Tab.o1[[#This Row],[a1]]=1,Tab.o1[[#This Row],[Wr]]^2,""))</f>
        <v/>
      </c>
      <c r="AD973" s="118" t="str">
        <f>IF(Tab.o1[[#This Row],[a1]]=1,IF(AE$3=0,"",Tab.o1[[#This Row],[Wr2]]/SUM(Tab.o1[Wr2])),"")</f>
        <v/>
      </c>
      <c r="AE973" s="128" t="str">
        <f>IF(Tab.o1[[#This Row],[a1]]=1,[1]!T.in.A[[#This Row],[oo10]],"")</f>
        <v/>
      </c>
      <c r="AF973" s="118" t="str">
        <f>IF(Tab.o1[[#This Row],[a1]]=1,ABS(Tab.o1[[#This Row],[DIF_Target.]]*Tab.o1[[#This Row],[PDF2]]*Tab.o1[[#This Row],[IN]]),"")</f>
        <v/>
      </c>
      <c r="AG973" s="129" t="str">
        <f>IF(Tab.o1[[#This Row],[a1]]=1,Tab.o1[[#This Row],[rW]]^2,"")</f>
        <v/>
      </c>
      <c r="AH973" s="130" t="str">
        <f>IF(Tab.o1[[#This Row],[a1]]=1,IF(AH$3=0,Tab.o1[[#This Row],[rW2]],0.01+0.94*Tab.o1[[#This Row],[rW2]]/SUM(Tab.o1[rW2])),"")</f>
        <v/>
      </c>
      <c r="AI973" s="128" t="str">
        <f>IF(Tab.o1[[#This Row],[a1]]=1,1/Tab.o1[[#This Row],[PDF]],"")</f>
        <v/>
      </c>
      <c r="AJ973" s="131" t="str">
        <f>IF(Tab.o1[[#This Row],[a1]]=1,[1]!T_AA[[#This Row],[IN'']]*[1]!T_AA[[#This Row],[Qde'']],"")</f>
        <v/>
      </c>
      <c r="AK973" s="132" t="str">
        <f>IF(Tab.o1[[#This Row],[a1]]=1,IF(AK$1=1,Tab.o1[[#This Row],[MED]]+Tab.o1[[#This Row],[MOD]]-Tab.o1[[#This Row],[MED]],""),"")</f>
        <v/>
      </c>
      <c r="AL973" s="133" t="str">
        <f>IF(Tab.o1[[#This Row],[a1]]=1,[1]!T.in.A[[#This Row],[oo16]],"")</f>
        <v/>
      </c>
      <c r="AM973" s="133" t="str">
        <f>IF(Tab.o1[[#This Row],[a1]]=1,IF(AM$3=1,[1]!T.in.A[[#This Row],[Σo16]],""),"")</f>
        <v/>
      </c>
      <c r="AN973" s="126" t="str">
        <f>IF(Tab.o1[[#This Row],[a1]]=1,[1]!T.in.A[[#This Row],[Σp5]],"")</f>
        <v/>
      </c>
      <c r="AO973" s="126" t="str">
        <f>IF(Tab.o1[[#This Row],[a1]]=1,IF(AO$3=1,[1]!T.in.A[[#This Row],[Σp5]],""),"")</f>
        <v/>
      </c>
      <c r="AP973" s="110" t="str">
        <f>IF(Tab.o1[[#This Row],[a1]]=1,IF(ISNUMBER(Tab.o1[[#This Row],[i.]]),NORMDIST(Tab.o1[[#This Row],[Za]],0,1,FALSE)*Tab.o1[[#This Row],[i.]],0),"")</f>
        <v/>
      </c>
      <c r="AQ973" s="125" t="str">
        <f>IF(Tab.o1[[#This Row],[a1]]=1,ABS(Tab.o1[[#This Row],[MOD]]-AVERAGE(Tab.o1[MOD])),"")</f>
        <v/>
      </c>
      <c r="AR973" s="134" t="str">
        <f>IF(Tab.o1[[#This Row],[a1]]=1,Tab.o1[[#This Row],[OBS]]/SUM(Tab.o1[OBS]),"")</f>
        <v/>
      </c>
      <c r="AS973" s="135" t="str">
        <f>IF(ISNUMBER(Tab.o1[[#This Row],[a1]]),ROW()-4,"")</f>
        <v/>
      </c>
      <c r="AT973" s="136" t="str">
        <f>Tab.o1[[#This Row],[MOD]]</f>
        <v/>
      </c>
      <c r="AU973" s="137" t="str">
        <f t="shared" si="61"/>
        <v/>
      </c>
      <c r="AV973" s="138" t="str">
        <f t="shared" si="62"/>
        <v/>
      </c>
      <c r="AW973" s="138" t="str">
        <f t="shared" si="63"/>
        <v/>
      </c>
      <c r="AX973" s="139" t="str">
        <f>[1]!T.in.A[[#This Row],[ID_T_manu]]</f>
        <v/>
      </c>
      <c r="AY973" s="140" t="str">
        <f>IF(ISNUMBER(Tab.o1[[#This Row],[a1]]),IF(AND(Tab.o1[[#This Row],[a1]]=1,Tab.o1[[#This Row],[b1]]&lt;=AY$4),#REF!,AY972),"")</f>
        <v/>
      </c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6"/>
      <c r="BO973" s="26"/>
      <c r="BP973" s="26"/>
      <c r="BQ973" s="26"/>
      <c r="BR973" s="26"/>
      <c r="BS973" s="26"/>
      <c r="BT973" s="26"/>
      <c r="BU973" s="26"/>
      <c r="BV973" s="26"/>
      <c r="BW973" s="26"/>
      <c r="BX973" s="26"/>
      <c r="BY973" s="26"/>
      <c r="BZ973" s="26"/>
      <c r="CA973" s="26"/>
    </row>
    <row r="974" spans="1:79" ht="15.75" hidden="1">
      <c r="A974" s="109">
        <v>6.9999999999999999E-6</v>
      </c>
      <c r="B974" s="110">
        <f t="shared" si="60"/>
        <v>974</v>
      </c>
      <c r="C974" s="111" t="str">
        <f>IF(C$1=[1]!T.in.A[[#This Row],[oo2]],1,"")</f>
        <v/>
      </c>
      <c r="D974" s="112" t="str">
        <f>IF(Tab.o1[[#This Row],[a1]]=1,IF(SUM(C974:C975)=0,0,IF(SUM(C973:C974)=1,1,IF(SUM(C973:C975)&gt;1,D973+1,0))),"")</f>
        <v/>
      </c>
      <c r="E974" s="113" t="str">
        <f>IF(Tab.o1[[#This Row],[a1]]=1,[1]!T.in.A[[#This Row],[oo1]],"")</f>
        <v/>
      </c>
      <c r="F974" s="113" t="str">
        <f>IF(Tab.o1[[#This Row],[a1]]=1,[1]!T.in.A[[#This Row],[pp1]],"")</f>
        <v/>
      </c>
      <c r="G974" s="114" t="str">
        <f>IF(Tab.o1[[#This Row],[a1]]=1,G$2+IF(G$1=1,0,Tab.o1[[#This Row],[.x1]])+[1]!T.in.A[[#This Row],[oo3]],"")</f>
        <v/>
      </c>
      <c r="H974" s="115" t="str">
        <f>IF(Tab.o1[[#This Row],[a1]]=1,IF(H$2=0,0,IF(G$1=1,0,Tab.o1[[#This Row],[.x1]])+[1]!T.in.A[[#This Row],[oo4]]),"")</f>
        <v/>
      </c>
      <c r="I974" s="116" t="str">
        <f>IF(Tab.o1[[#This Row],[a1]]=1,IF(J$2=0,Tab.o1[[#This Row],[MED]],Tab.o1[[#This Row],[MOD]]),"")</f>
        <v/>
      </c>
      <c r="J974" s="116" t="str">
        <f>IF(Tab.o1[[#This Row],[a1]]=1,((Tab.o1[[#This Row],[DIF_Target.]]-AVERAGE(Tab.o1[DIF_Target.]))/_xlfn.STDEV.P(Tab.o1[DIF_Target.])),"")</f>
        <v/>
      </c>
      <c r="K974" s="117" t="str">
        <f>IF(Tab.o1[[#This Row],[a1]]=1,IF(J$2=0,Tab.o1[[#This Row],[MOD]]-Tab.o1[[#This Row],[B]],IF(J$2=1,0,-Tab.o1[[#This Row],[MED]])+Tab.o1[[#This Row],[B]]),"")</f>
        <v/>
      </c>
      <c r="L974" s="117" t="str">
        <f ca="1">IF(Tab.o1[[#This Row],[DIF_Target]]=0,IF(L$2=0,Tab.o1[[#This Row],[DIF_Target]],AVERAGE(OFFSET(Tab.o1[[#This Row],[DIF_Target]],1,0,L$3,1)))/3,Tab.o1[[#This Row],[DIF_Target]])</f>
        <v/>
      </c>
      <c r="M974" s="118" t="str">
        <f>IF(Tab.o1[[#This Row],[a1]]=1,NORMSDIST(Tab.o1[[#This Row],[Za]]),"")</f>
        <v/>
      </c>
      <c r="N974" s="119" t="str">
        <f>IF(Tab.o1[[#This Row],[a1]]=1,((Tab.o1[[#This Row],[MedMod]]-AVERAGE(Tab.o1[MedMod]))/_xlfn.STDEV.P(Tab.o1[MedMod])*H$1205)+G$1205,"")</f>
        <v/>
      </c>
      <c r="O974" s="141" t="str">
        <f>IF(Tab.o1[[#This Row],[a1]]=1,Tab.o1[[#This Row],[Zb]]*_xlfn.STDEV.P(Tab.o1[MedMod])+AVERAGE(Tab.o1[MedMod]),"")</f>
        <v/>
      </c>
      <c r="P974" s="117" t="str">
        <f ca="1">IF(Tab.o1[[#This Row],[B]]=0,AVERAGE(OFFSET(Tab.o1[[#This Row],[B]],1,0,L$3,1)),Tab.o1[[#This Row],[B]])</f>
        <v/>
      </c>
      <c r="Q974" s="121" t="str">
        <f>IF(Tab.o1[[#This Row],[a1]]=1,NORMSDIST(Tab.o1[[#This Row],[Zb]]),"")</f>
        <v/>
      </c>
      <c r="R974" s="122" t="str">
        <f>IF(Tab.o1[[#This Row],[a1]]=1,((Tab.o1[[#This Row],[MedMod]]-AVERAGE(Tab.o1[MedMod]))/_xlfn.STDEV.P(Tab.o1[MedMod])*H$1203)+G$1203,"")</f>
        <v/>
      </c>
      <c r="S974" s="122" t="str">
        <f>IF(Tab.o1[[#This Row],[a1]]=1,((Tab.o1[[#This Row],[MedMod]]-AVERAGE(Tab.o1[MedMod]))/_xlfn.STDEV.P(Tab.o1[MedMod])*H$1204)+G$1204,"")</f>
        <v/>
      </c>
      <c r="T974" s="123" t="str">
        <f>IF(Tab.o1[[#This Row],[a1]]=1,Tab.o1[[#This Row],[Z-]]*_xlfn.STDEV.P(Tab.o1[B])+AVERAGE(Tab.o1[B]),"")</f>
        <v/>
      </c>
      <c r="U974" s="123" t="str">
        <f>IF(Tab.o1[[#This Row],[a1]]=1,Tab.o1[[#This Row],[z+]]*_xlfn.STDEV.P(Tab.o1[B])+AVERAGE(Tab.o1[B]),"")</f>
        <v/>
      </c>
      <c r="V974" s="124" t="str">
        <f>IF(Tab.o1[[#This Row],[a1]]=1,ABS((ABS(Tab.o1[[#This Row],[Red]]-Tab.o1[[#This Row],[Blue]]))),"")</f>
        <v/>
      </c>
      <c r="W974" s="125" t="str">
        <f>IF(Tab.o1[[#This Row],[a1]]=1,IF(W$3=0,1,Tab.o1[[#This Row],[Amp.]]*1/_xlfn.MINIFS(Tab.o1[Amp.],Tab.o1[Amp.],"&lt;&gt;0")),"")</f>
        <v/>
      </c>
      <c r="X974" s="126" t="str">
        <f>IF(Tab.o1[[#This Row],[a1]]=1,IF(ISNUMBER(Tab.o1[[#This Row],[i.]]),NORMDIST(Tab.o1[[#This Row],[Za]],0,1,FALSE)*Tab.o1[[#This Row],[i.]],AP$3),"")</f>
        <v/>
      </c>
      <c r="Y974" s="126" t="str">
        <f>IF(Tab.o1[[#This Row],[a1]]=1,0.01+0.94*Tab.o1[[#This Row],[PDF]]/MAX(Tab.o1[PDF]),"")</f>
        <v/>
      </c>
      <c r="Z974" s="126" t="str">
        <f>IF(Tab.o1[[#This Row],[a1]]=1,0.01+0.94*Tab.o1[[#This Row],[W1_PDF]]/MAX(Tab.o1[W1_PDF]),"")</f>
        <v/>
      </c>
      <c r="AA974" s="118" t="str">
        <f>IF(Tab.o1[[#This Row],[a1]]=1,ABS([1]!T.in.A[[#This Row],[oo6]]),"")</f>
        <v/>
      </c>
      <c r="AB974" s="127" t="str">
        <f>IF(Tab.o1[[#This Row],[a1]]=1,IF(AE$3=0,"",IF(AB$3=0,ABS([1]!T.in.A[[#This Row],[oo9]]),ABS(Tab.o1[[#This Row],[DIF_Target.]]*Tab.o1[[#This Row],[W1_PDF]]))),"")</f>
        <v/>
      </c>
      <c r="AC974" s="127" t="str">
        <f>IF(G$1=1,"",IF(Tab.o1[[#This Row],[a1]]=1,Tab.o1[[#This Row],[Wr]]^2,""))</f>
        <v/>
      </c>
      <c r="AD974" s="118" t="str">
        <f>IF(Tab.o1[[#This Row],[a1]]=1,IF(AE$3=0,"",Tab.o1[[#This Row],[Wr2]]/SUM(Tab.o1[Wr2])),"")</f>
        <v/>
      </c>
      <c r="AE974" s="128" t="str">
        <f>IF(Tab.o1[[#This Row],[a1]]=1,[1]!T.in.A[[#This Row],[oo10]],"")</f>
        <v/>
      </c>
      <c r="AF974" s="118" t="str">
        <f>IF(Tab.o1[[#This Row],[a1]]=1,ABS(Tab.o1[[#This Row],[DIF_Target.]]*Tab.o1[[#This Row],[PDF2]]*Tab.o1[[#This Row],[IN]]),"")</f>
        <v/>
      </c>
      <c r="AG974" s="129" t="str">
        <f>IF(Tab.o1[[#This Row],[a1]]=1,Tab.o1[[#This Row],[rW]]^2,"")</f>
        <v/>
      </c>
      <c r="AH974" s="130" t="str">
        <f>IF(Tab.o1[[#This Row],[a1]]=1,IF(AH$3=0,Tab.o1[[#This Row],[rW2]],0.01+0.94*Tab.o1[[#This Row],[rW2]]/SUM(Tab.o1[rW2])),"")</f>
        <v/>
      </c>
      <c r="AI974" s="128" t="str">
        <f>IF(Tab.o1[[#This Row],[a1]]=1,1/Tab.o1[[#This Row],[PDF]],"")</f>
        <v/>
      </c>
      <c r="AJ974" s="131" t="str">
        <f>IF(Tab.o1[[#This Row],[a1]]=1,[1]!T_AA[[#This Row],[IN'']]*[1]!T_AA[[#This Row],[Qde'']],"")</f>
        <v/>
      </c>
      <c r="AK974" s="132" t="str">
        <f>IF(Tab.o1[[#This Row],[a1]]=1,IF(AK$1=1,Tab.o1[[#This Row],[MED]]+Tab.o1[[#This Row],[MOD]]-Tab.o1[[#This Row],[MED]],""),"")</f>
        <v/>
      </c>
      <c r="AL974" s="133" t="str">
        <f>IF(Tab.o1[[#This Row],[a1]]=1,[1]!T.in.A[[#This Row],[oo16]],"")</f>
        <v/>
      </c>
      <c r="AM974" s="133" t="str">
        <f>IF(Tab.o1[[#This Row],[a1]]=1,IF(AM$3=1,[1]!T.in.A[[#This Row],[Σo16]],""),"")</f>
        <v/>
      </c>
      <c r="AN974" s="126" t="str">
        <f>IF(Tab.o1[[#This Row],[a1]]=1,[1]!T.in.A[[#This Row],[Σp5]],"")</f>
        <v/>
      </c>
      <c r="AO974" s="126" t="str">
        <f>IF(Tab.o1[[#This Row],[a1]]=1,IF(AO$3=1,[1]!T.in.A[[#This Row],[Σp5]],""),"")</f>
        <v/>
      </c>
      <c r="AP974" s="110" t="str">
        <f>IF(Tab.o1[[#This Row],[a1]]=1,IF(ISNUMBER(Tab.o1[[#This Row],[i.]]),NORMDIST(Tab.o1[[#This Row],[Za]],0,1,FALSE)*Tab.o1[[#This Row],[i.]],0),"")</f>
        <v/>
      </c>
      <c r="AQ974" s="125" t="str">
        <f>IF(Tab.o1[[#This Row],[a1]]=1,ABS(Tab.o1[[#This Row],[MOD]]-AVERAGE(Tab.o1[MOD])),"")</f>
        <v/>
      </c>
      <c r="AR974" s="134" t="str">
        <f>IF(Tab.o1[[#This Row],[a1]]=1,Tab.o1[[#This Row],[OBS]]/SUM(Tab.o1[OBS]),"")</f>
        <v/>
      </c>
      <c r="AS974" s="135" t="str">
        <f>IF(ISNUMBER(Tab.o1[[#This Row],[a1]]),ROW()-4,"")</f>
        <v/>
      </c>
      <c r="AT974" s="136" t="str">
        <f>Tab.o1[[#This Row],[MOD]]</f>
        <v/>
      </c>
      <c r="AU974" s="137" t="str">
        <f t="shared" si="61"/>
        <v/>
      </c>
      <c r="AV974" s="138" t="str">
        <f t="shared" si="62"/>
        <v/>
      </c>
      <c r="AW974" s="138" t="str">
        <f t="shared" si="63"/>
        <v/>
      </c>
      <c r="AX974" s="139" t="str">
        <f>[1]!T.in.A[[#This Row],[ID_T_manu]]</f>
        <v/>
      </c>
      <c r="AY974" s="140" t="str">
        <f>IF(ISNUMBER(Tab.o1[[#This Row],[a1]]),IF(AND(Tab.o1[[#This Row],[a1]]=1,Tab.o1[[#This Row],[b1]]&lt;=AY$4),#REF!,AY973),"")</f>
        <v/>
      </c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6"/>
      <c r="BO974" s="26"/>
      <c r="BP974" s="26"/>
      <c r="BQ974" s="26"/>
      <c r="BR974" s="26"/>
      <c r="BS974" s="26"/>
      <c r="BT974" s="26"/>
      <c r="BU974" s="26"/>
      <c r="BV974" s="26"/>
      <c r="BW974" s="26"/>
      <c r="BX974" s="26"/>
      <c r="BY974" s="26"/>
      <c r="BZ974" s="26"/>
      <c r="CA974" s="26"/>
    </row>
    <row r="975" spans="1:79" ht="15.75" hidden="1">
      <c r="A975" s="109">
        <v>1.0000000000000001E-5</v>
      </c>
      <c r="B975" s="110">
        <f t="shared" si="60"/>
        <v>975</v>
      </c>
      <c r="C975" s="111" t="str">
        <f>IF(C$1=[1]!T.in.A[[#This Row],[oo2]],1,"")</f>
        <v/>
      </c>
      <c r="D975" s="112" t="str">
        <f>IF(Tab.o1[[#This Row],[a1]]=1,IF(SUM(C975:C976)=0,0,IF(SUM(C974:C975)=1,1,IF(SUM(C974:C976)&gt;1,D974+1,0))),"")</f>
        <v/>
      </c>
      <c r="E975" s="113" t="str">
        <f>IF(Tab.o1[[#This Row],[a1]]=1,[1]!T.in.A[[#This Row],[oo1]],"")</f>
        <v/>
      </c>
      <c r="F975" s="113" t="str">
        <f>IF(Tab.o1[[#This Row],[a1]]=1,[1]!T.in.A[[#This Row],[pp1]],"")</f>
        <v/>
      </c>
      <c r="G975" s="114" t="str">
        <f>IF(Tab.o1[[#This Row],[a1]]=1,G$2+IF(G$1=1,0,Tab.o1[[#This Row],[.x1]])+[1]!T.in.A[[#This Row],[oo3]],"")</f>
        <v/>
      </c>
      <c r="H975" s="115" t="str">
        <f>IF(Tab.o1[[#This Row],[a1]]=1,IF(H$2=0,0,IF(G$1=1,0,Tab.o1[[#This Row],[.x1]])+[1]!T.in.A[[#This Row],[oo4]]),"")</f>
        <v/>
      </c>
      <c r="I975" s="116" t="str">
        <f>IF(Tab.o1[[#This Row],[a1]]=1,IF(J$2=0,Tab.o1[[#This Row],[MED]],Tab.o1[[#This Row],[MOD]]),"")</f>
        <v/>
      </c>
      <c r="J975" s="116" t="str">
        <f>IF(Tab.o1[[#This Row],[a1]]=1,((Tab.o1[[#This Row],[DIF_Target.]]-AVERAGE(Tab.o1[DIF_Target.]))/_xlfn.STDEV.P(Tab.o1[DIF_Target.])),"")</f>
        <v/>
      </c>
      <c r="K975" s="117" t="str">
        <f>IF(Tab.o1[[#This Row],[a1]]=1,IF(J$2=0,Tab.o1[[#This Row],[MOD]]-Tab.o1[[#This Row],[B]],IF(J$2=1,0,-Tab.o1[[#This Row],[MED]])+Tab.o1[[#This Row],[B]]),"")</f>
        <v/>
      </c>
      <c r="L975" s="117" t="str">
        <f ca="1">IF(Tab.o1[[#This Row],[DIF_Target]]=0,IF(L$2=0,Tab.o1[[#This Row],[DIF_Target]],AVERAGE(OFFSET(Tab.o1[[#This Row],[DIF_Target]],1,0,L$3,1)))/3,Tab.o1[[#This Row],[DIF_Target]])</f>
        <v/>
      </c>
      <c r="M975" s="118" t="str">
        <f>IF(Tab.o1[[#This Row],[a1]]=1,NORMSDIST(Tab.o1[[#This Row],[Za]]),"")</f>
        <v/>
      </c>
      <c r="N975" s="119" t="str">
        <f>IF(Tab.o1[[#This Row],[a1]]=1,((Tab.o1[[#This Row],[MedMod]]-AVERAGE(Tab.o1[MedMod]))/_xlfn.STDEV.P(Tab.o1[MedMod])*H$1205)+G$1205,"")</f>
        <v/>
      </c>
      <c r="O975" s="141" t="str">
        <f>IF(Tab.o1[[#This Row],[a1]]=1,Tab.o1[[#This Row],[Zb]]*_xlfn.STDEV.P(Tab.o1[MedMod])+AVERAGE(Tab.o1[MedMod]),"")</f>
        <v/>
      </c>
      <c r="P975" s="117" t="str">
        <f ca="1">IF(Tab.o1[[#This Row],[B]]=0,AVERAGE(OFFSET(Tab.o1[[#This Row],[B]],1,0,L$3,1)),Tab.o1[[#This Row],[B]])</f>
        <v/>
      </c>
      <c r="Q975" s="121" t="str">
        <f>IF(Tab.o1[[#This Row],[a1]]=1,NORMSDIST(Tab.o1[[#This Row],[Zb]]),"")</f>
        <v/>
      </c>
      <c r="R975" s="122" t="str">
        <f>IF(Tab.o1[[#This Row],[a1]]=1,((Tab.o1[[#This Row],[MedMod]]-AVERAGE(Tab.o1[MedMod]))/_xlfn.STDEV.P(Tab.o1[MedMod])*H$1203)+G$1203,"")</f>
        <v/>
      </c>
      <c r="S975" s="122" t="str">
        <f>IF(Tab.o1[[#This Row],[a1]]=1,((Tab.o1[[#This Row],[MedMod]]-AVERAGE(Tab.o1[MedMod]))/_xlfn.STDEV.P(Tab.o1[MedMod])*H$1204)+G$1204,"")</f>
        <v/>
      </c>
      <c r="T975" s="123" t="str">
        <f>IF(Tab.o1[[#This Row],[a1]]=1,Tab.o1[[#This Row],[Z-]]*_xlfn.STDEV.P(Tab.o1[B])+AVERAGE(Tab.o1[B]),"")</f>
        <v/>
      </c>
      <c r="U975" s="123" t="str">
        <f>IF(Tab.o1[[#This Row],[a1]]=1,Tab.o1[[#This Row],[z+]]*_xlfn.STDEV.P(Tab.o1[B])+AVERAGE(Tab.o1[B]),"")</f>
        <v/>
      </c>
      <c r="V975" s="124" t="str">
        <f>IF(Tab.o1[[#This Row],[a1]]=1,ABS((ABS(Tab.o1[[#This Row],[Red]]-Tab.o1[[#This Row],[Blue]]))),"")</f>
        <v/>
      </c>
      <c r="W975" s="125" t="str">
        <f>IF(Tab.o1[[#This Row],[a1]]=1,IF(W$3=0,1,Tab.o1[[#This Row],[Amp.]]*1/_xlfn.MINIFS(Tab.o1[Amp.],Tab.o1[Amp.],"&lt;&gt;0")),"")</f>
        <v/>
      </c>
      <c r="X975" s="126" t="str">
        <f>IF(Tab.o1[[#This Row],[a1]]=1,IF(ISNUMBER(Tab.o1[[#This Row],[i.]]),NORMDIST(Tab.o1[[#This Row],[Za]],0,1,FALSE)*Tab.o1[[#This Row],[i.]],AP$3),"")</f>
        <v/>
      </c>
      <c r="Y975" s="126" t="str">
        <f>IF(Tab.o1[[#This Row],[a1]]=1,0.01+0.94*Tab.o1[[#This Row],[PDF]]/MAX(Tab.o1[PDF]),"")</f>
        <v/>
      </c>
      <c r="Z975" s="126" t="str">
        <f>IF(Tab.o1[[#This Row],[a1]]=1,0.01+0.94*Tab.o1[[#This Row],[W1_PDF]]/MAX(Tab.o1[W1_PDF]),"")</f>
        <v/>
      </c>
      <c r="AA975" s="118" t="str">
        <f>IF(Tab.o1[[#This Row],[a1]]=1,ABS([1]!T.in.A[[#This Row],[oo6]]),"")</f>
        <v/>
      </c>
      <c r="AB975" s="127" t="str">
        <f>IF(Tab.o1[[#This Row],[a1]]=1,IF(AE$3=0,"",IF(AB$3=0,ABS([1]!T.in.A[[#This Row],[oo9]]),ABS(Tab.o1[[#This Row],[DIF_Target.]]*Tab.o1[[#This Row],[W1_PDF]]))),"")</f>
        <v/>
      </c>
      <c r="AC975" s="127" t="str">
        <f>IF(G$1=1,"",IF(Tab.o1[[#This Row],[a1]]=1,Tab.o1[[#This Row],[Wr]]^2,""))</f>
        <v/>
      </c>
      <c r="AD975" s="118" t="str">
        <f>IF(Tab.o1[[#This Row],[a1]]=1,IF(AE$3=0,"",Tab.o1[[#This Row],[Wr2]]/SUM(Tab.o1[Wr2])),"")</f>
        <v/>
      </c>
      <c r="AE975" s="128" t="str">
        <f>IF(Tab.o1[[#This Row],[a1]]=1,[1]!T.in.A[[#This Row],[oo10]],"")</f>
        <v/>
      </c>
      <c r="AF975" s="118" t="str">
        <f>IF(Tab.o1[[#This Row],[a1]]=1,ABS(Tab.o1[[#This Row],[DIF_Target.]]*Tab.o1[[#This Row],[PDF2]]*Tab.o1[[#This Row],[IN]]),"")</f>
        <v/>
      </c>
      <c r="AG975" s="129" t="str">
        <f>IF(Tab.o1[[#This Row],[a1]]=1,Tab.o1[[#This Row],[rW]]^2,"")</f>
        <v/>
      </c>
      <c r="AH975" s="130" t="str">
        <f>IF(Tab.o1[[#This Row],[a1]]=1,IF(AH$3=0,Tab.o1[[#This Row],[rW2]],0.01+0.94*Tab.o1[[#This Row],[rW2]]/SUM(Tab.o1[rW2])),"")</f>
        <v/>
      </c>
      <c r="AI975" s="128" t="str">
        <f>IF(Tab.o1[[#This Row],[a1]]=1,1/Tab.o1[[#This Row],[PDF]],"")</f>
        <v/>
      </c>
      <c r="AJ975" s="131" t="str">
        <f>IF(Tab.o1[[#This Row],[a1]]=1,[1]!T_AA[[#This Row],[IN'']]*[1]!T_AA[[#This Row],[Qde'']],"")</f>
        <v/>
      </c>
      <c r="AK975" s="132" t="str">
        <f>IF(Tab.o1[[#This Row],[a1]]=1,IF(AK$1=1,Tab.o1[[#This Row],[MED]]+Tab.o1[[#This Row],[MOD]]-Tab.o1[[#This Row],[MED]],""),"")</f>
        <v/>
      </c>
      <c r="AL975" s="133" t="str">
        <f>IF(Tab.o1[[#This Row],[a1]]=1,[1]!T.in.A[[#This Row],[oo16]],"")</f>
        <v/>
      </c>
      <c r="AM975" s="133" t="str">
        <f>IF(Tab.o1[[#This Row],[a1]]=1,IF(AM$3=1,[1]!T.in.A[[#This Row],[Σo16]],""),"")</f>
        <v/>
      </c>
      <c r="AN975" s="126" t="str">
        <f>IF(Tab.o1[[#This Row],[a1]]=1,[1]!T.in.A[[#This Row],[Σp5]],"")</f>
        <v/>
      </c>
      <c r="AO975" s="126" t="str">
        <f>IF(Tab.o1[[#This Row],[a1]]=1,IF(AO$3=1,[1]!T.in.A[[#This Row],[Σp5]],""),"")</f>
        <v/>
      </c>
      <c r="AP975" s="110" t="str">
        <f>IF(Tab.o1[[#This Row],[a1]]=1,IF(ISNUMBER(Tab.o1[[#This Row],[i.]]),NORMDIST(Tab.o1[[#This Row],[Za]],0,1,FALSE)*Tab.o1[[#This Row],[i.]],0),"")</f>
        <v/>
      </c>
      <c r="AQ975" s="125" t="str">
        <f>IF(Tab.o1[[#This Row],[a1]]=1,ABS(Tab.o1[[#This Row],[MOD]]-AVERAGE(Tab.o1[MOD])),"")</f>
        <v/>
      </c>
      <c r="AR975" s="134" t="str">
        <f>IF(Tab.o1[[#This Row],[a1]]=1,Tab.o1[[#This Row],[OBS]]/SUM(Tab.o1[OBS]),"")</f>
        <v/>
      </c>
      <c r="AS975" s="135" t="str">
        <f>IF(ISNUMBER(Tab.o1[[#This Row],[a1]]),ROW()-4,"")</f>
        <v/>
      </c>
      <c r="AT975" s="136" t="str">
        <f>Tab.o1[[#This Row],[MOD]]</f>
        <v/>
      </c>
      <c r="AU975" s="137" t="str">
        <f t="shared" si="61"/>
        <v/>
      </c>
      <c r="AV975" s="138" t="str">
        <f t="shared" si="62"/>
        <v/>
      </c>
      <c r="AW975" s="138" t="str">
        <f t="shared" si="63"/>
        <v/>
      </c>
      <c r="AX975" s="139" t="str">
        <f>[1]!T.in.A[[#This Row],[ID_T_manu]]</f>
        <v/>
      </c>
      <c r="AY975" s="140" t="str">
        <f>IF(ISNUMBER(Tab.o1[[#This Row],[a1]]),IF(AND(Tab.o1[[#This Row],[a1]]=1,Tab.o1[[#This Row],[b1]]&lt;=AY$4),#REF!,AY974),"")</f>
        <v/>
      </c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6"/>
      <c r="BO975" s="26"/>
      <c r="BP975" s="26"/>
      <c r="BQ975" s="26"/>
      <c r="BR975" s="26"/>
      <c r="BS975" s="26"/>
      <c r="BT975" s="26"/>
      <c r="BU975" s="26"/>
      <c r="BV975" s="26"/>
      <c r="BW975" s="26"/>
      <c r="BX975" s="26"/>
      <c r="BY975" s="26"/>
      <c r="BZ975" s="26"/>
      <c r="CA975" s="26"/>
    </row>
    <row r="976" spans="1:79" ht="15.75" hidden="1">
      <c r="A976" s="109">
        <v>-2.0000000000000003E-6</v>
      </c>
      <c r="B976" s="110">
        <f t="shared" si="60"/>
        <v>976</v>
      </c>
      <c r="C976" s="111" t="str">
        <f>IF(C$1=[1]!T.in.A[[#This Row],[oo2]],1,"")</f>
        <v/>
      </c>
      <c r="D976" s="112" t="str">
        <f>IF(Tab.o1[[#This Row],[a1]]=1,IF(SUM(C976:C977)=0,0,IF(SUM(C975:C976)=1,1,IF(SUM(C975:C977)&gt;1,D975+1,0))),"")</f>
        <v/>
      </c>
      <c r="E976" s="113" t="str">
        <f>IF(Tab.o1[[#This Row],[a1]]=1,[1]!T.in.A[[#This Row],[oo1]],"")</f>
        <v/>
      </c>
      <c r="F976" s="113" t="str">
        <f>IF(Tab.o1[[#This Row],[a1]]=1,[1]!T.in.A[[#This Row],[pp1]],"")</f>
        <v/>
      </c>
      <c r="G976" s="114" t="str">
        <f>IF(Tab.o1[[#This Row],[a1]]=1,G$2+IF(G$1=1,0,Tab.o1[[#This Row],[.x1]])+[1]!T.in.A[[#This Row],[oo3]],"")</f>
        <v/>
      </c>
      <c r="H976" s="115" t="str">
        <f>IF(Tab.o1[[#This Row],[a1]]=1,IF(H$2=0,0,IF(G$1=1,0,Tab.o1[[#This Row],[.x1]])+[1]!T.in.A[[#This Row],[oo4]]),"")</f>
        <v/>
      </c>
      <c r="I976" s="116" t="str">
        <f>IF(Tab.o1[[#This Row],[a1]]=1,IF(J$2=0,Tab.o1[[#This Row],[MED]],Tab.o1[[#This Row],[MOD]]),"")</f>
        <v/>
      </c>
      <c r="J976" s="116" t="str">
        <f>IF(Tab.o1[[#This Row],[a1]]=1,((Tab.o1[[#This Row],[DIF_Target.]]-AVERAGE(Tab.o1[DIF_Target.]))/_xlfn.STDEV.P(Tab.o1[DIF_Target.])),"")</f>
        <v/>
      </c>
      <c r="K976" s="117" t="str">
        <f>IF(Tab.o1[[#This Row],[a1]]=1,IF(J$2=0,Tab.o1[[#This Row],[MOD]]-Tab.o1[[#This Row],[B]],IF(J$2=1,0,-Tab.o1[[#This Row],[MED]])+Tab.o1[[#This Row],[B]]),"")</f>
        <v/>
      </c>
      <c r="L976" s="117" t="str">
        <f ca="1">IF(Tab.o1[[#This Row],[DIF_Target]]=0,IF(L$2=0,Tab.o1[[#This Row],[DIF_Target]],AVERAGE(OFFSET(Tab.o1[[#This Row],[DIF_Target]],1,0,L$3,1)))/3,Tab.o1[[#This Row],[DIF_Target]])</f>
        <v/>
      </c>
      <c r="M976" s="118" t="str">
        <f>IF(Tab.o1[[#This Row],[a1]]=1,NORMSDIST(Tab.o1[[#This Row],[Za]]),"")</f>
        <v/>
      </c>
      <c r="N976" s="119" t="str">
        <f>IF(Tab.o1[[#This Row],[a1]]=1,((Tab.o1[[#This Row],[MedMod]]-AVERAGE(Tab.o1[MedMod]))/_xlfn.STDEV.P(Tab.o1[MedMod])*H$1205)+G$1205,"")</f>
        <v/>
      </c>
      <c r="O976" s="141" t="str">
        <f>IF(Tab.o1[[#This Row],[a1]]=1,Tab.o1[[#This Row],[Zb]]*_xlfn.STDEV.P(Tab.o1[MedMod])+AVERAGE(Tab.o1[MedMod]),"")</f>
        <v/>
      </c>
      <c r="P976" s="117" t="str">
        <f ca="1">IF(Tab.o1[[#This Row],[B]]=0,AVERAGE(OFFSET(Tab.o1[[#This Row],[B]],1,0,L$3,1)),Tab.o1[[#This Row],[B]])</f>
        <v/>
      </c>
      <c r="Q976" s="121" t="str">
        <f>IF(Tab.o1[[#This Row],[a1]]=1,NORMSDIST(Tab.o1[[#This Row],[Zb]]),"")</f>
        <v/>
      </c>
      <c r="R976" s="122" t="str">
        <f>IF(Tab.o1[[#This Row],[a1]]=1,((Tab.o1[[#This Row],[MedMod]]-AVERAGE(Tab.o1[MedMod]))/_xlfn.STDEV.P(Tab.o1[MedMod])*H$1203)+G$1203,"")</f>
        <v/>
      </c>
      <c r="S976" s="122" t="str">
        <f>IF(Tab.o1[[#This Row],[a1]]=1,((Tab.o1[[#This Row],[MedMod]]-AVERAGE(Tab.o1[MedMod]))/_xlfn.STDEV.P(Tab.o1[MedMod])*H$1204)+G$1204,"")</f>
        <v/>
      </c>
      <c r="T976" s="123" t="str">
        <f>IF(Tab.o1[[#This Row],[a1]]=1,Tab.o1[[#This Row],[Z-]]*_xlfn.STDEV.P(Tab.o1[B])+AVERAGE(Tab.o1[B]),"")</f>
        <v/>
      </c>
      <c r="U976" s="123" t="str">
        <f>IF(Tab.o1[[#This Row],[a1]]=1,Tab.o1[[#This Row],[z+]]*_xlfn.STDEV.P(Tab.o1[B])+AVERAGE(Tab.o1[B]),"")</f>
        <v/>
      </c>
      <c r="V976" s="124" t="str">
        <f>IF(Tab.o1[[#This Row],[a1]]=1,ABS((ABS(Tab.o1[[#This Row],[Red]]-Tab.o1[[#This Row],[Blue]]))),"")</f>
        <v/>
      </c>
      <c r="W976" s="125" t="str">
        <f>IF(Tab.o1[[#This Row],[a1]]=1,IF(W$3=0,1,Tab.o1[[#This Row],[Amp.]]*1/_xlfn.MINIFS(Tab.o1[Amp.],Tab.o1[Amp.],"&lt;&gt;0")),"")</f>
        <v/>
      </c>
      <c r="X976" s="126" t="str">
        <f>IF(Tab.o1[[#This Row],[a1]]=1,IF(ISNUMBER(Tab.o1[[#This Row],[i.]]),NORMDIST(Tab.o1[[#This Row],[Za]],0,1,FALSE)*Tab.o1[[#This Row],[i.]],AP$3),"")</f>
        <v/>
      </c>
      <c r="Y976" s="126" t="str">
        <f>IF(Tab.o1[[#This Row],[a1]]=1,0.01+0.94*Tab.o1[[#This Row],[PDF]]/MAX(Tab.o1[PDF]),"")</f>
        <v/>
      </c>
      <c r="Z976" s="126" t="str">
        <f>IF(Tab.o1[[#This Row],[a1]]=1,0.01+0.94*Tab.o1[[#This Row],[W1_PDF]]/MAX(Tab.o1[W1_PDF]),"")</f>
        <v/>
      </c>
      <c r="AA976" s="118" t="str">
        <f>IF(Tab.o1[[#This Row],[a1]]=1,ABS([1]!T.in.A[[#This Row],[oo6]]),"")</f>
        <v/>
      </c>
      <c r="AB976" s="127" t="str">
        <f>IF(Tab.o1[[#This Row],[a1]]=1,IF(AE$3=0,"",IF(AB$3=0,ABS([1]!T.in.A[[#This Row],[oo9]]),ABS(Tab.o1[[#This Row],[DIF_Target.]]*Tab.o1[[#This Row],[W1_PDF]]))),"")</f>
        <v/>
      </c>
      <c r="AC976" s="127" t="str">
        <f>IF(G$1=1,"",IF(Tab.o1[[#This Row],[a1]]=1,Tab.o1[[#This Row],[Wr]]^2,""))</f>
        <v/>
      </c>
      <c r="AD976" s="118" t="str">
        <f>IF(Tab.o1[[#This Row],[a1]]=1,IF(AE$3=0,"",Tab.o1[[#This Row],[Wr2]]/SUM(Tab.o1[Wr2])),"")</f>
        <v/>
      </c>
      <c r="AE976" s="128" t="str">
        <f>IF(Tab.o1[[#This Row],[a1]]=1,[1]!T.in.A[[#This Row],[oo10]],"")</f>
        <v/>
      </c>
      <c r="AF976" s="118" t="str">
        <f>IF(Tab.o1[[#This Row],[a1]]=1,ABS(Tab.o1[[#This Row],[DIF_Target.]]*Tab.o1[[#This Row],[PDF2]]*Tab.o1[[#This Row],[IN]]),"")</f>
        <v/>
      </c>
      <c r="AG976" s="129" t="str">
        <f>IF(Tab.o1[[#This Row],[a1]]=1,Tab.o1[[#This Row],[rW]]^2,"")</f>
        <v/>
      </c>
      <c r="AH976" s="130" t="str">
        <f>IF(Tab.o1[[#This Row],[a1]]=1,IF(AH$3=0,Tab.o1[[#This Row],[rW2]],0.01+0.94*Tab.o1[[#This Row],[rW2]]/SUM(Tab.o1[rW2])),"")</f>
        <v/>
      </c>
      <c r="AI976" s="128" t="str">
        <f>IF(Tab.o1[[#This Row],[a1]]=1,1/Tab.o1[[#This Row],[PDF]],"")</f>
        <v/>
      </c>
      <c r="AJ976" s="131" t="str">
        <f>IF(Tab.o1[[#This Row],[a1]]=1,[1]!T_AA[[#This Row],[IN'']]*[1]!T_AA[[#This Row],[Qde'']],"")</f>
        <v/>
      </c>
      <c r="AK976" s="132" t="str">
        <f>IF(Tab.o1[[#This Row],[a1]]=1,IF(AK$1=1,Tab.o1[[#This Row],[MED]]+Tab.o1[[#This Row],[MOD]]-Tab.o1[[#This Row],[MED]],""),"")</f>
        <v/>
      </c>
      <c r="AL976" s="133" t="str">
        <f>IF(Tab.o1[[#This Row],[a1]]=1,[1]!T.in.A[[#This Row],[oo16]],"")</f>
        <v/>
      </c>
      <c r="AM976" s="133" t="str">
        <f>IF(Tab.o1[[#This Row],[a1]]=1,IF(AM$3=1,[1]!T.in.A[[#This Row],[Σo16]],""),"")</f>
        <v/>
      </c>
      <c r="AN976" s="126" t="str">
        <f>IF(Tab.o1[[#This Row],[a1]]=1,[1]!T.in.A[[#This Row],[Σp5]],"")</f>
        <v/>
      </c>
      <c r="AO976" s="126" t="str">
        <f>IF(Tab.o1[[#This Row],[a1]]=1,IF(AO$3=1,[1]!T.in.A[[#This Row],[Σp5]],""),"")</f>
        <v/>
      </c>
      <c r="AP976" s="110" t="str">
        <f>IF(Tab.o1[[#This Row],[a1]]=1,IF(ISNUMBER(Tab.o1[[#This Row],[i.]]),NORMDIST(Tab.o1[[#This Row],[Za]],0,1,FALSE)*Tab.o1[[#This Row],[i.]],0),"")</f>
        <v/>
      </c>
      <c r="AQ976" s="125" t="str">
        <f>IF(Tab.o1[[#This Row],[a1]]=1,ABS(Tab.o1[[#This Row],[MOD]]-AVERAGE(Tab.o1[MOD])),"")</f>
        <v/>
      </c>
      <c r="AR976" s="134" t="str">
        <f>IF(Tab.o1[[#This Row],[a1]]=1,Tab.o1[[#This Row],[OBS]]/SUM(Tab.o1[OBS]),"")</f>
        <v/>
      </c>
      <c r="AS976" s="135" t="str">
        <f>IF(ISNUMBER(Tab.o1[[#This Row],[a1]]),ROW()-4,"")</f>
        <v/>
      </c>
      <c r="AT976" s="136" t="str">
        <f>Tab.o1[[#This Row],[MOD]]</f>
        <v/>
      </c>
      <c r="AU976" s="137" t="str">
        <f t="shared" si="61"/>
        <v/>
      </c>
      <c r="AV976" s="138" t="str">
        <f t="shared" si="62"/>
        <v/>
      </c>
      <c r="AW976" s="138" t="str">
        <f t="shared" si="63"/>
        <v/>
      </c>
      <c r="AX976" s="139" t="str">
        <f>[1]!T.in.A[[#This Row],[ID_T_manu]]</f>
        <v/>
      </c>
      <c r="AY976" s="140" t="str">
        <f>IF(ISNUMBER(Tab.o1[[#This Row],[a1]]),IF(AND(Tab.o1[[#This Row],[a1]]=1,Tab.o1[[#This Row],[b1]]&lt;=AY$4),#REF!,AY975),"")</f>
        <v/>
      </c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6"/>
      <c r="BO976" s="26"/>
      <c r="BP976" s="26"/>
      <c r="BQ976" s="26"/>
      <c r="BR976" s="26"/>
      <c r="BS976" s="26"/>
      <c r="BT976" s="26"/>
      <c r="BU976" s="26"/>
      <c r="BV976" s="26"/>
      <c r="BW976" s="26"/>
      <c r="BX976" s="26"/>
      <c r="BY976" s="26"/>
      <c r="BZ976" s="26"/>
      <c r="CA976" s="26"/>
    </row>
    <row r="977" spans="1:79" ht="15.75" hidden="1">
      <c r="A977" s="109">
        <v>2.9999999999999997E-6</v>
      </c>
      <c r="B977" s="110">
        <f t="shared" si="60"/>
        <v>977</v>
      </c>
      <c r="C977" s="111" t="str">
        <f>IF(C$1=[1]!T.in.A[[#This Row],[oo2]],1,"")</f>
        <v/>
      </c>
      <c r="D977" s="112" t="str">
        <f>IF(Tab.o1[[#This Row],[a1]]=1,IF(SUM(C977:C978)=0,0,IF(SUM(C976:C977)=1,1,IF(SUM(C976:C978)&gt;1,D976+1,0))),"")</f>
        <v/>
      </c>
      <c r="E977" s="113" t="str">
        <f>IF(Tab.o1[[#This Row],[a1]]=1,[1]!T.in.A[[#This Row],[oo1]],"")</f>
        <v/>
      </c>
      <c r="F977" s="113" t="str">
        <f>IF(Tab.o1[[#This Row],[a1]]=1,[1]!T.in.A[[#This Row],[pp1]],"")</f>
        <v/>
      </c>
      <c r="G977" s="114" t="str">
        <f>IF(Tab.o1[[#This Row],[a1]]=1,G$2+IF(G$1=1,0,Tab.o1[[#This Row],[.x1]])+[1]!T.in.A[[#This Row],[oo3]],"")</f>
        <v/>
      </c>
      <c r="H977" s="115" t="str">
        <f>IF(Tab.o1[[#This Row],[a1]]=1,IF(H$2=0,0,IF(G$1=1,0,Tab.o1[[#This Row],[.x1]])+[1]!T.in.A[[#This Row],[oo4]]),"")</f>
        <v/>
      </c>
      <c r="I977" s="116" t="str">
        <f>IF(Tab.o1[[#This Row],[a1]]=1,IF(J$2=0,Tab.o1[[#This Row],[MED]],Tab.o1[[#This Row],[MOD]]),"")</f>
        <v/>
      </c>
      <c r="J977" s="116" t="str">
        <f>IF(Tab.o1[[#This Row],[a1]]=1,((Tab.o1[[#This Row],[DIF_Target.]]-AVERAGE(Tab.o1[DIF_Target.]))/_xlfn.STDEV.P(Tab.o1[DIF_Target.])),"")</f>
        <v/>
      </c>
      <c r="K977" s="117" t="str">
        <f>IF(Tab.o1[[#This Row],[a1]]=1,IF(J$2=0,Tab.o1[[#This Row],[MOD]]-Tab.o1[[#This Row],[B]],IF(J$2=1,0,-Tab.o1[[#This Row],[MED]])+Tab.o1[[#This Row],[B]]),"")</f>
        <v/>
      </c>
      <c r="L977" s="117" t="str">
        <f ca="1">IF(Tab.o1[[#This Row],[DIF_Target]]=0,IF(L$2=0,Tab.o1[[#This Row],[DIF_Target]],AVERAGE(OFFSET(Tab.o1[[#This Row],[DIF_Target]],1,0,L$3,1)))/3,Tab.o1[[#This Row],[DIF_Target]])</f>
        <v/>
      </c>
      <c r="M977" s="118" t="str">
        <f>IF(Tab.o1[[#This Row],[a1]]=1,NORMSDIST(Tab.o1[[#This Row],[Za]]),"")</f>
        <v/>
      </c>
      <c r="N977" s="119" t="str">
        <f>IF(Tab.o1[[#This Row],[a1]]=1,((Tab.o1[[#This Row],[MedMod]]-AVERAGE(Tab.o1[MedMod]))/_xlfn.STDEV.P(Tab.o1[MedMod])*H$1205)+G$1205,"")</f>
        <v/>
      </c>
      <c r="O977" s="141" t="str">
        <f>IF(Tab.o1[[#This Row],[a1]]=1,Tab.o1[[#This Row],[Zb]]*_xlfn.STDEV.P(Tab.o1[MedMod])+AVERAGE(Tab.o1[MedMod]),"")</f>
        <v/>
      </c>
      <c r="P977" s="117" t="str">
        <f ca="1">IF(Tab.o1[[#This Row],[B]]=0,AVERAGE(OFFSET(Tab.o1[[#This Row],[B]],1,0,L$3,1)),Tab.o1[[#This Row],[B]])</f>
        <v/>
      </c>
      <c r="Q977" s="121" t="str">
        <f>IF(Tab.o1[[#This Row],[a1]]=1,NORMSDIST(Tab.o1[[#This Row],[Zb]]),"")</f>
        <v/>
      </c>
      <c r="R977" s="122" t="str">
        <f>IF(Tab.o1[[#This Row],[a1]]=1,((Tab.o1[[#This Row],[MedMod]]-AVERAGE(Tab.o1[MedMod]))/_xlfn.STDEV.P(Tab.o1[MedMod])*H$1203)+G$1203,"")</f>
        <v/>
      </c>
      <c r="S977" s="122" t="str">
        <f>IF(Tab.o1[[#This Row],[a1]]=1,((Tab.o1[[#This Row],[MedMod]]-AVERAGE(Tab.o1[MedMod]))/_xlfn.STDEV.P(Tab.o1[MedMod])*H$1204)+G$1204,"")</f>
        <v/>
      </c>
      <c r="T977" s="123" t="str">
        <f>IF(Tab.o1[[#This Row],[a1]]=1,Tab.o1[[#This Row],[Z-]]*_xlfn.STDEV.P(Tab.o1[B])+AVERAGE(Tab.o1[B]),"")</f>
        <v/>
      </c>
      <c r="U977" s="123" t="str">
        <f>IF(Tab.o1[[#This Row],[a1]]=1,Tab.o1[[#This Row],[z+]]*_xlfn.STDEV.P(Tab.o1[B])+AVERAGE(Tab.o1[B]),"")</f>
        <v/>
      </c>
      <c r="V977" s="124" t="str">
        <f>IF(Tab.o1[[#This Row],[a1]]=1,ABS((ABS(Tab.o1[[#This Row],[Red]]-Tab.o1[[#This Row],[Blue]]))),"")</f>
        <v/>
      </c>
      <c r="W977" s="125" t="str">
        <f>IF(Tab.o1[[#This Row],[a1]]=1,IF(W$3=0,1,Tab.o1[[#This Row],[Amp.]]*1/_xlfn.MINIFS(Tab.o1[Amp.],Tab.o1[Amp.],"&lt;&gt;0")),"")</f>
        <v/>
      </c>
      <c r="X977" s="126" t="str">
        <f>IF(Tab.o1[[#This Row],[a1]]=1,IF(ISNUMBER(Tab.o1[[#This Row],[i.]]),NORMDIST(Tab.o1[[#This Row],[Za]],0,1,FALSE)*Tab.o1[[#This Row],[i.]],AP$3),"")</f>
        <v/>
      </c>
      <c r="Y977" s="126" t="str">
        <f>IF(Tab.o1[[#This Row],[a1]]=1,0.01+0.94*Tab.o1[[#This Row],[PDF]]/MAX(Tab.o1[PDF]),"")</f>
        <v/>
      </c>
      <c r="Z977" s="126" t="str">
        <f>IF(Tab.o1[[#This Row],[a1]]=1,0.01+0.94*Tab.o1[[#This Row],[W1_PDF]]/MAX(Tab.o1[W1_PDF]),"")</f>
        <v/>
      </c>
      <c r="AA977" s="118" t="str">
        <f>IF(Tab.o1[[#This Row],[a1]]=1,ABS([1]!T.in.A[[#This Row],[oo6]]),"")</f>
        <v/>
      </c>
      <c r="AB977" s="127" t="str">
        <f>IF(Tab.o1[[#This Row],[a1]]=1,IF(AE$3=0,"",IF(AB$3=0,ABS([1]!T.in.A[[#This Row],[oo9]]),ABS(Tab.o1[[#This Row],[DIF_Target.]]*Tab.o1[[#This Row],[W1_PDF]]))),"")</f>
        <v/>
      </c>
      <c r="AC977" s="127" t="str">
        <f>IF(G$1=1,"",IF(Tab.o1[[#This Row],[a1]]=1,Tab.o1[[#This Row],[Wr]]^2,""))</f>
        <v/>
      </c>
      <c r="AD977" s="118" t="str">
        <f>IF(Tab.o1[[#This Row],[a1]]=1,IF(AE$3=0,"",Tab.o1[[#This Row],[Wr2]]/SUM(Tab.o1[Wr2])),"")</f>
        <v/>
      </c>
      <c r="AE977" s="128" t="str">
        <f>IF(Tab.o1[[#This Row],[a1]]=1,[1]!T.in.A[[#This Row],[oo10]],"")</f>
        <v/>
      </c>
      <c r="AF977" s="118" t="str">
        <f>IF(Tab.o1[[#This Row],[a1]]=1,ABS(Tab.o1[[#This Row],[DIF_Target.]]*Tab.o1[[#This Row],[PDF2]]*Tab.o1[[#This Row],[IN]]),"")</f>
        <v/>
      </c>
      <c r="AG977" s="129" t="str">
        <f>IF(Tab.o1[[#This Row],[a1]]=1,Tab.o1[[#This Row],[rW]]^2,"")</f>
        <v/>
      </c>
      <c r="AH977" s="130" t="str">
        <f>IF(Tab.o1[[#This Row],[a1]]=1,IF(AH$3=0,Tab.o1[[#This Row],[rW2]],0.01+0.94*Tab.o1[[#This Row],[rW2]]/SUM(Tab.o1[rW2])),"")</f>
        <v/>
      </c>
      <c r="AI977" s="128" t="str">
        <f>IF(Tab.o1[[#This Row],[a1]]=1,1/Tab.o1[[#This Row],[PDF]],"")</f>
        <v/>
      </c>
      <c r="AJ977" s="131" t="str">
        <f>IF(Tab.o1[[#This Row],[a1]]=1,[1]!T_AA[[#This Row],[IN'']]*[1]!T_AA[[#This Row],[Qde'']],"")</f>
        <v/>
      </c>
      <c r="AK977" s="132" t="str">
        <f>IF(Tab.o1[[#This Row],[a1]]=1,IF(AK$1=1,Tab.o1[[#This Row],[MED]]+Tab.o1[[#This Row],[MOD]]-Tab.o1[[#This Row],[MED]],""),"")</f>
        <v/>
      </c>
      <c r="AL977" s="133" t="str">
        <f>IF(Tab.o1[[#This Row],[a1]]=1,[1]!T.in.A[[#This Row],[oo16]],"")</f>
        <v/>
      </c>
      <c r="AM977" s="133" t="str">
        <f>IF(Tab.o1[[#This Row],[a1]]=1,IF(AM$3=1,[1]!T.in.A[[#This Row],[Σo16]],""),"")</f>
        <v/>
      </c>
      <c r="AN977" s="126" t="str">
        <f>IF(Tab.o1[[#This Row],[a1]]=1,[1]!T.in.A[[#This Row],[Σp5]],"")</f>
        <v/>
      </c>
      <c r="AO977" s="126" t="str">
        <f>IF(Tab.o1[[#This Row],[a1]]=1,IF(AO$3=1,[1]!T.in.A[[#This Row],[Σp5]],""),"")</f>
        <v/>
      </c>
      <c r="AP977" s="110" t="str">
        <f>IF(Tab.o1[[#This Row],[a1]]=1,IF(ISNUMBER(Tab.o1[[#This Row],[i.]]),NORMDIST(Tab.o1[[#This Row],[Za]],0,1,FALSE)*Tab.o1[[#This Row],[i.]],0),"")</f>
        <v/>
      </c>
      <c r="AQ977" s="125" t="str">
        <f>IF(Tab.o1[[#This Row],[a1]]=1,ABS(Tab.o1[[#This Row],[MOD]]-AVERAGE(Tab.o1[MOD])),"")</f>
        <v/>
      </c>
      <c r="AR977" s="134" t="str">
        <f>IF(Tab.o1[[#This Row],[a1]]=1,Tab.o1[[#This Row],[OBS]]/SUM(Tab.o1[OBS]),"")</f>
        <v/>
      </c>
      <c r="AS977" s="135" t="str">
        <f>IF(ISNUMBER(Tab.o1[[#This Row],[a1]]),ROW()-4,"")</f>
        <v/>
      </c>
      <c r="AT977" s="136" t="str">
        <f>Tab.o1[[#This Row],[MOD]]</f>
        <v/>
      </c>
      <c r="AU977" s="137" t="str">
        <f t="shared" si="61"/>
        <v/>
      </c>
      <c r="AV977" s="138" t="str">
        <f t="shared" si="62"/>
        <v/>
      </c>
      <c r="AW977" s="138" t="str">
        <f t="shared" si="63"/>
        <v/>
      </c>
      <c r="AX977" s="139" t="str">
        <f>[1]!T.in.A[[#This Row],[ID_T_manu]]</f>
        <v/>
      </c>
      <c r="AY977" s="140" t="str">
        <f>IF(ISNUMBER(Tab.o1[[#This Row],[a1]]),IF(AND(Tab.o1[[#This Row],[a1]]=1,Tab.o1[[#This Row],[b1]]&lt;=AY$4),#REF!,AY976),"")</f>
        <v/>
      </c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6"/>
      <c r="BO977" s="26"/>
      <c r="BP977" s="26"/>
      <c r="BQ977" s="26"/>
      <c r="BR977" s="26"/>
      <c r="BS977" s="26"/>
      <c r="BT977" s="26"/>
      <c r="BU977" s="26"/>
      <c r="BV977" s="26"/>
      <c r="BW977" s="26"/>
      <c r="BX977" s="26"/>
      <c r="BY977" s="26"/>
      <c r="BZ977" s="26"/>
      <c r="CA977" s="26"/>
    </row>
    <row r="978" spans="1:79" ht="15.75" hidden="1">
      <c r="A978" s="109">
        <v>-5.9999999999999993E-6</v>
      </c>
      <c r="B978" s="110">
        <f t="shared" si="60"/>
        <v>978</v>
      </c>
      <c r="C978" s="111" t="str">
        <f>IF(C$1=[1]!T.in.A[[#This Row],[oo2]],1,"")</f>
        <v/>
      </c>
      <c r="D978" s="112" t="str">
        <f>IF(Tab.o1[[#This Row],[a1]]=1,IF(SUM(C978:C979)=0,0,IF(SUM(C977:C978)=1,1,IF(SUM(C977:C979)&gt;1,D977+1,0))),"")</f>
        <v/>
      </c>
      <c r="E978" s="113" t="str">
        <f>IF(Tab.o1[[#This Row],[a1]]=1,[1]!T.in.A[[#This Row],[oo1]],"")</f>
        <v/>
      </c>
      <c r="F978" s="113" t="str">
        <f>IF(Tab.o1[[#This Row],[a1]]=1,[1]!T.in.A[[#This Row],[pp1]],"")</f>
        <v/>
      </c>
      <c r="G978" s="114" t="str">
        <f>IF(Tab.o1[[#This Row],[a1]]=1,G$2+IF(G$1=1,0,Tab.o1[[#This Row],[.x1]])+[1]!T.in.A[[#This Row],[oo3]],"")</f>
        <v/>
      </c>
      <c r="H978" s="115" t="str">
        <f>IF(Tab.o1[[#This Row],[a1]]=1,IF(H$2=0,0,IF(G$1=1,0,Tab.o1[[#This Row],[.x1]])+[1]!T.in.A[[#This Row],[oo4]]),"")</f>
        <v/>
      </c>
      <c r="I978" s="116" t="str">
        <f>IF(Tab.o1[[#This Row],[a1]]=1,IF(J$2=0,Tab.o1[[#This Row],[MED]],Tab.o1[[#This Row],[MOD]]),"")</f>
        <v/>
      </c>
      <c r="J978" s="116" t="str">
        <f>IF(Tab.o1[[#This Row],[a1]]=1,((Tab.o1[[#This Row],[DIF_Target.]]-AVERAGE(Tab.o1[DIF_Target.]))/_xlfn.STDEV.P(Tab.o1[DIF_Target.])),"")</f>
        <v/>
      </c>
      <c r="K978" s="117" t="str">
        <f>IF(Tab.o1[[#This Row],[a1]]=1,IF(J$2=0,Tab.o1[[#This Row],[MOD]]-Tab.o1[[#This Row],[B]],IF(J$2=1,0,-Tab.o1[[#This Row],[MED]])+Tab.o1[[#This Row],[B]]),"")</f>
        <v/>
      </c>
      <c r="L978" s="117" t="str">
        <f ca="1">IF(Tab.o1[[#This Row],[DIF_Target]]=0,IF(L$2=0,Tab.o1[[#This Row],[DIF_Target]],AVERAGE(OFFSET(Tab.o1[[#This Row],[DIF_Target]],1,0,L$3,1)))/3,Tab.o1[[#This Row],[DIF_Target]])</f>
        <v/>
      </c>
      <c r="M978" s="118" t="str">
        <f>IF(Tab.o1[[#This Row],[a1]]=1,NORMSDIST(Tab.o1[[#This Row],[Za]]),"")</f>
        <v/>
      </c>
      <c r="N978" s="119" t="str">
        <f>IF(Tab.o1[[#This Row],[a1]]=1,((Tab.o1[[#This Row],[MedMod]]-AVERAGE(Tab.o1[MedMod]))/_xlfn.STDEV.P(Tab.o1[MedMod])*H$1205)+G$1205,"")</f>
        <v/>
      </c>
      <c r="O978" s="141" t="str">
        <f>IF(Tab.o1[[#This Row],[a1]]=1,Tab.o1[[#This Row],[Zb]]*_xlfn.STDEV.P(Tab.o1[MedMod])+AVERAGE(Tab.o1[MedMod]),"")</f>
        <v/>
      </c>
      <c r="P978" s="117" t="str">
        <f ca="1">IF(Tab.o1[[#This Row],[B]]=0,AVERAGE(OFFSET(Tab.o1[[#This Row],[B]],1,0,L$3,1)),Tab.o1[[#This Row],[B]])</f>
        <v/>
      </c>
      <c r="Q978" s="121" t="str">
        <f>IF(Tab.o1[[#This Row],[a1]]=1,NORMSDIST(Tab.o1[[#This Row],[Zb]]),"")</f>
        <v/>
      </c>
      <c r="R978" s="122" t="str">
        <f>IF(Tab.o1[[#This Row],[a1]]=1,((Tab.o1[[#This Row],[MedMod]]-AVERAGE(Tab.o1[MedMod]))/_xlfn.STDEV.P(Tab.o1[MedMod])*H$1203)+G$1203,"")</f>
        <v/>
      </c>
      <c r="S978" s="122" t="str">
        <f>IF(Tab.o1[[#This Row],[a1]]=1,((Tab.o1[[#This Row],[MedMod]]-AVERAGE(Tab.o1[MedMod]))/_xlfn.STDEV.P(Tab.o1[MedMod])*H$1204)+G$1204,"")</f>
        <v/>
      </c>
      <c r="T978" s="123" t="str">
        <f>IF(Tab.o1[[#This Row],[a1]]=1,Tab.o1[[#This Row],[Z-]]*_xlfn.STDEV.P(Tab.o1[B])+AVERAGE(Tab.o1[B]),"")</f>
        <v/>
      </c>
      <c r="U978" s="123" t="str">
        <f>IF(Tab.o1[[#This Row],[a1]]=1,Tab.o1[[#This Row],[z+]]*_xlfn.STDEV.P(Tab.o1[B])+AVERAGE(Tab.o1[B]),"")</f>
        <v/>
      </c>
      <c r="V978" s="124" t="str">
        <f>IF(Tab.o1[[#This Row],[a1]]=1,ABS((ABS(Tab.o1[[#This Row],[Red]]-Tab.o1[[#This Row],[Blue]]))),"")</f>
        <v/>
      </c>
      <c r="W978" s="125" t="str">
        <f>IF(Tab.o1[[#This Row],[a1]]=1,IF(W$3=0,1,Tab.o1[[#This Row],[Amp.]]*1/_xlfn.MINIFS(Tab.o1[Amp.],Tab.o1[Amp.],"&lt;&gt;0")),"")</f>
        <v/>
      </c>
      <c r="X978" s="126" t="str">
        <f>IF(Tab.o1[[#This Row],[a1]]=1,IF(ISNUMBER(Tab.o1[[#This Row],[i.]]),NORMDIST(Tab.o1[[#This Row],[Za]],0,1,FALSE)*Tab.o1[[#This Row],[i.]],AP$3),"")</f>
        <v/>
      </c>
      <c r="Y978" s="126" t="str">
        <f>IF(Tab.o1[[#This Row],[a1]]=1,0.01+0.94*Tab.o1[[#This Row],[PDF]]/MAX(Tab.o1[PDF]),"")</f>
        <v/>
      </c>
      <c r="Z978" s="126" t="str">
        <f>IF(Tab.o1[[#This Row],[a1]]=1,0.01+0.94*Tab.o1[[#This Row],[W1_PDF]]/MAX(Tab.o1[W1_PDF]),"")</f>
        <v/>
      </c>
      <c r="AA978" s="118" t="str">
        <f>IF(Tab.o1[[#This Row],[a1]]=1,ABS([1]!T.in.A[[#This Row],[oo6]]),"")</f>
        <v/>
      </c>
      <c r="AB978" s="127" t="str">
        <f>IF(Tab.o1[[#This Row],[a1]]=1,IF(AE$3=0,"",IF(AB$3=0,ABS([1]!T.in.A[[#This Row],[oo9]]),ABS(Tab.o1[[#This Row],[DIF_Target.]]*Tab.o1[[#This Row],[W1_PDF]]))),"")</f>
        <v/>
      </c>
      <c r="AC978" s="127" t="str">
        <f>IF(G$1=1,"",IF(Tab.o1[[#This Row],[a1]]=1,Tab.o1[[#This Row],[Wr]]^2,""))</f>
        <v/>
      </c>
      <c r="AD978" s="118" t="str">
        <f>IF(Tab.o1[[#This Row],[a1]]=1,IF(AE$3=0,"",Tab.o1[[#This Row],[Wr2]]/SUM(Tab.o1[Wr2])),"")</f>
        <v/>
      </c>
      <c r="AE978" s="128" t="str">
        <f>IF(Tab.o1[[#This Row],[a1]]=1,[1]!T.in.A[[#This Row],[oo10]],"")</f>
        <v/>
      </c>
      <c r="AF978" s="118" t="str">
        <f>IF(Tab.o1[[#This Row],[a1]]=1,ABS(Tab.o1[[#This Row],[DIF_Target.]]*Tab.o1[[#This Row],[PDF2]]*Tab.o1[[#This Row],[IN]]),"")</f>
        <v/>
      </c>
      <c r="AG978" s="129" t="str">
        <f>IF(Tab.o1[[#This Row],[a1]]=1,Tab.o1[[#This Row],[rW]]^2,"")</f>
        <v/>
      </c>
      <c r="AH978" s="130" t="str">
        <f>IF(Tab.o1[[#This Row],[a1]]=1,IF(AH$3=0,Tab.o1[[#This Row],[rW2]],0.01+0.94*Tab.o1[[#This Row],[rW2]]/SUM(Tab.o1[rW2])),"")</f>
        <v/>
      </c>
      <c r="AI978" s="128" t="str">
        <f>IF(Tab.o1[[#This Row],[a1]]=1,1/Tab.o1[[#This Row],[PDF]],"")</f>
        <v/>
      </c>
      <c r="AJ978" s="131" t="str">
        <f>IF(Tab.o1[[#This Row],[a1]]=1,[1]!T_AA[[#This Row],[IN'']]*[1]!T_AA[[#This Row],[Qde'']],"")</f>
        <v/>
      </c>
      <c r="AK978" s="132" t="str">
        <f>IF(Tab.o1[[#This Row],[a1]]=1,IF(AK$1=1,Tab.o1[[#This Row],[MED]]+Tab.o1[[#This Row],[MOD]]-Tab.o1[[#This Row],[MED]],""),"")</f>
        <v/>
      </c>
      <c r="AL978" s="133" t="str">
        <f>IF(Tab.o1[[#This Row],[a1]]=1,[1]!T.in.A[[#This Row],[oo16]],"")</f>
        <v/>
      </c>
      <c r="AM978" s="133" t="str">
        <f>IF(Tab.o1[[#This Row],[a1]]=1,IF(AM$3=1,[1]!T.in.A[[#This Row],[Σo16]],""),"")</f>
        <v/>
      </c>
      <c r="AN978" s="126" t="str">
        <f>IF(Tab.o1[[#This Row],[a1]]=1,[1]!T.in.A[[#This Row],[Σp5]],"")</f>
        <v/>
      </c>
      <c r="AO978" s="126" t="str">
        <f>IF(Tab.o1[[#This Row],[a1]]=1,IF(AO$3=1,[1]!T.in.A[[#This Row],[Σp5]],""),"")</f>
        <v/>
      </c>
      <c r="AP978" s="110" t="str">
        <f>IF(Tab.o1[[#This Row],[a1]]=1,IF(ISNUMBER(Tab.o1[[#This Row],[i.]]),NORMDIST(Tab.o1[[#This Row],[Za]],0,1,FALSE)*Tab.o1[[#This Row],[i.]],0),"")</f>
        <v/>
      </c>
      <c r="AQ978" s="125" t="str">
        <f>IF(Tab.o1[[#This Row],[a1]]=1,ABS(Tab.o1[[#This Row],[MOD]]-AVERAGE(Tab.o1[MOD])),"")</f>
        <v/>
      </c>
      <c r="AR978" s="134" t="str">
        <f>IF(Tab.o1[[#This Row],[a1]]=1,Tab.o1[[#This Row],[OBS]]/SUM(Tab.o1[OBS]),"")</f>
        <v/>
      </c>
      <c r="AS978" s="135" t="str">
        <f>IF(ISNUMBER(Tab.o1[[#This Row],[a1]]),ROW()-4,"")</f>
        <v/>
      </c>
      <c r="AT978" s="136" t="str">
        <f>Tab.o1[[#This Row],[MOD]]</f>
        <v/>
      </c>
      <c r="AU978" s="137" t="str">
        <f t="shared" si="61"/>
        <v/>
      </c>
      <c r="AV978" s="138" t="str">
        <f t="shared" si="62"/>
        <v/>
      </c>
      <c r="AW978" s="138" t="str">
        <f t="shared" si="63"/>
        <v/>
      </c>
      <c r="AX978" s="139" t="str">
        <f>[1]!T.in.A[[#This Row],[ID_T_manu]]</f>
        <v/>
      </c>
      <c r="AY978" s="140" t="str">
        <f>IF(ISNUMBER(Tab.o1[[#This Row],[a1]]),IF(AND(Tab.o1[[#This Row],[a1]]=1,Tab.o1[[#This Row],[b1]]&lt;=AY$4),#REF!,AY977),"")</f>
        <v/>
      </c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6"/>
      <c r="BO978" s="26"/>
      <c r="BP978" s="26"/>
      <c r="BQ978" s="26"/>
      <c r="BR978" s="26"/>
      <c r="BS978" s="26"/>
      <c r="BT978" s="26"/>
      <c r="BU978" s="26"/>
      <c r="BV978" s="26"/>
      <c r="BW978" s="26"/>
      <c r="BX978" s="26"/>
      <c r="BY978" s="26"/>
      <c r="BZ978" s="26"/>
      <c r="CA978" s="26"/>
    </row>
    <row r="979" spans="1:79" ht="15.75" hidden="1">
      <c r="A979" s="109">
        <v>5.0000000000000004E-6</v>
      </c>
      <c r="B979" s="110">
        <f t="shared" si="60"/>
        <v>979</v>
      </c>
      <c r="C979" s="111" t="str">
        <f>IF(C$1=[1]!T.in.A[[#This Row],[oo2]],1,"")</f>
        <v/>
      </c>
      <c r="D979" s="112" t="str">
        <f>IF(Tab.o1[[#This Row],[a1]]=1,IF(SUM(C979:C980)=0,0,IF(SUM(C978:C979)=1,1,IF(SUM(C978:C980)&gt;1,D978+1,0))),"")</f>
        <v/>
      </c>
      <c r="E979" s="113" t="str">
        <f>IF(Tab.o1[[#This Row],[a1]]=1,[1]!T.in.A[[#This Row],[oo1]],"")</f>
        <v/>
      </c>
      <c r="F979" s="113" t="str">
        <f>IF(Tab.o1[[#This Row],[a1]]=1,[1]!T.in.A[[#This Row],[pp1]],"")</f>
        <v/>
      </c>
      <c r="G979" s="114" t="str">
        <f>IF(Tab.o1[[#This Row],[a1]]=1,G$2+IF(G$1=1,0,Tab.o1[[#This Row],[.x1]])+[1]!T.in.A[[#This Row],[oo3]],"")</f>
        <v/>
      </c>
      <c r="H979" s="115" t="str">
        <f>IF(Tab.o1[[#This Row],[a1]]=1,IF(H$2=0,0,IF(G$1=1,0,Tab.o1[[#This Row],[.x1]])+[1]!T.in.A[[#This Row],[oo4]]),"")</f>
        <v/>
      </c>
      <c r="I979" s="116" t="str">
        <f>IF(Tab.o1[[#This Row],[a1]]=1,IF(J$2=0,Tab.o1[[#This Row],[MED]],Tab.o1[[#This Row],[MOD]]),"")</f>
        <v/>
      </c>
      <c r="J979" s="116" t="str">
        <f>IF(Tab.o1[[#This Row],[a1]]=1,((Tab.o1[[#This Row],[DIF_Target.]]-AVERAGE(Tab.o1[DIF_Target.]))/_xlfn.STDEV.P(Tab.o1[DIF_Target.])),"")</f>
        <v/>
      </c>
      <c r="K979" s="117" t="str">
        <f>IF(Tab.o1[[#This Row],[a1]]=1,IF(J$2=0,Tab.o1[[#This Row],[MOD]]-Tab.o1[[#This Row],[B]],IF(J$2=1,0,-Tab.o1[[#This Row],[MED]])+Tab.o1[[#This Row],[B]]),"")</f>
        <v/>
      </c>
      <c r="L979" s="117" t="str">
        <f ca="1">IF(Tab.o1[[#This Row],[DIF_Target]]=0,IF(L$2=0,Tab.o1[[#This Row],[DIF_Target]],AVERAGE(OFFSET(Tab.o1[[#This Row],[DIF_Target]],1,0,L$3,1)))/3,Tab.o1[[#This Row],[DIF_Target]])</f>
        <v/>
      </c>
      <c r="M979" s="118" t="str">
        <f>IF(Tab.o1[[#This Row],[a1]]=1,NORMSDIST(Tab.o1[[#This Row],[Za]]),"")</f>
        <v/>
      </c>
      <c r="N979" s="119" t="str">
        <f>IF(Tab.o1[[#This Row],[a1]]=1,((Tab.o1[[#This Row],[MedMod]]-AVERAGE(Tab.o1[MedMod]))/_xlfn.STDEV.P(Tab.o1[MedMod])*H$1205)+G$1205,"")</f>
        <v/>
      </c>
      <c r="O979" s="141" t="str">
        <f>IF(Tab.o1[[#This Row],[a1]]=1,Tab.o1[[#This Row],[Zb]]*_xlfn.STDEV.P(Tab.o1[MedMod])+AVERAGE(Tab.o1[MedMod]),"")</f>
        <v/>
      </c>
      <c r="P979" s="117" t="str">
        <f ca="1">IF(Tab.o1[[#This Row],[B]]=0,AVERAGE(OFFSET(Tab.o1[[#This Row],[B]],1,0,L$3,1)),Tab.o1[[#This Row],[B]])</f>
        <v/>
      </c>
      <c r="Q979" s="121" t="str">
        <f>IF(Tab.o1[[#This Row],[a1]]=1,NORMSDIST(Tab.o1[[#This Row],[Zb]]),"")</f>
        <v/>
      </c>
      <c r="R979" s="122" t="str">
        <f>IF(Tab.o1[[#This Row],[a1]]=1,((Tab.o1[[#This Row],[MedMod]]-AVERAGE(Tab.o1[MedMod]))/_xlfn.STDEV.P(Tab.o1[MedMod])*H$1203)+G$1203,"")</f>
        <v/>
      </c>
      <c r="S979" s="122" t="str">
        <f>IF(Tab.o1[[#This Row],[a1]]=1,((Tab.o1[[#This Row],[MedMod]]-AVERAGE(Tab.o1[MedMod]))/_xlfn.STDEV.P(Tab.o1[MedMod])*H$1204)+G$1204,"")</f>
        <v/>
      </c>
      <c r="T979" s="123" t="str">
        <f>IF(Tab.o1[[#This Row],[a1]]=1,Tab.o1[[#This Row],[Z-]]*_xlfn.STDEV.P(Tab.o1[B])+AVERAGE(Tab.o1[B]),"")</f>
        <v/>
      </c>
      <c r="U979" s="123" t="str">
        <f>IF(Tab.o1[[#This Row],[a1]]=1,Tab.o1[[#This Row],[z+]]*_xlfn.STDEV.P(Tab.o1[B])+AVERAGE(Tab.o1[B]),"")</f>
        <v/>
      </c>
      <c r="V979" s="124" t="str">
        <f>IF(Tab.o1[[#This Row],[a1]]=1,ABS((ABS(Tab.o1[[#This Row],[Red]]-Tab.o1[[#This Row],[Blue]]))),"")</f>
        <v/>
      </c>
      <c r="W979" s="125" t="str">
        <f>IF(Tab.o1[[#This Row],[a1]]=1,IF(W$3=0,1,Tab.o1[[#This Row],[Amp.]]*1/_xlfn.MINIFS(Tab.o1[Amp.],Tab.o1[Amp.],"&lt;&gt;0")),"")</f>
        <v/>
      </c>
      <c r="X979" s="126" t="str">
        <f>IF(Tab.o1[[#This Row],[a1]]=1,IF(ISNUMBER(Tab.o1[[#This Row],[i.]]),NORMDIST(Tab.o1[[#This Row],[Za]],0,1,FALSE)*Tab.o1[[#This Row],[i.]],AP$3),"")</f>
        <v/>
      </c>
      <c r="Y979" s="126" t="str">
        <f>IF(Tab.o1[[#This Row],[a1]]=1,0.01+0.94*Tab.o1[[#This Row],[PDF]]/MAX(Tab.o1[PDF]),"")</f>
        <v/>
      </c>
      <c r="Z979" s="126" t="str">
        <f>IF(Tab.o1[[#This Row],[a1]]=1,0.01+0.94*Tab.o1[[#This Row],[W1_PDF]]/MAX(Tab.o1[W1_PDF]),"")</f>
        <v/>
      </c>
      <c r="AA979" s="118" t="str">
        <f>IF(Tab.o1[[#This Row],[a1]]=1,ABS([1]!T.in.A[[#This Row],[oo6]]),"")</f>
        <v/>
      </c>
      <c r="AB979" s="127" t="str">
        <f>IF(Tab.o1[[#This Row],[a1]]=1,IF(AE$3=0,"",IF(AB$3=0,ABS([1]!T.in.A[[#This Row],[oo9]]),ABS(Tab.o1[[#This Row],[DIF_Target.]]*Tab.o1[[#This Row],[W1_PDF]]))),"")</f>
        <v/>
      </c>
      <c r="AC979" s="127" t="str">
        <f>IF(G$1=1,"",IF(Tab.o1[[#This Row],[a1]]=1,Tab.o1[[#This Row],[Wr]]^2,""))</f>
        <v/>
      </c>
      <c r="AD979" s="118" t="str">
        <f>IF(Tab.o1[[#This Row],[a1]]=1,IF(AE$3=0,"",Tab.o1[[#This Row],[Wr2]]/SUM(Tab.o1[Wr2])),"")</f>
        <v/>
      </c>
      <c r="AE979" s="128" t="str">
        <f>IF(Tab.o1[[#This Row],[a1]]=1,[1]!T.in.A[[#This Row],[oo10]],"")</f>
        <v/>
      </c>
      <c r="AF979" s="118" t="str">
        <f>IF(Tab.o1[[#This Row],[a1]]=1,ABS(Tab.o1[[#This Row],[DIF_Target.]]*Tab.o1[[#This Row],[PDF2]]*Tab.o1[[#This Row],[IN]]),"")</f>
        <v/>
      </c>
      <c r="AG979" s="129" t="str">
        <f>IF(Tab.o1[[#This Row],[a1]]=1,Tab.o1[[#This Row],[rW]]^2,"")</f>
        <v/>
      </c>
      <c r="AH979" s="130" t="str">
        <f>IF(Tab.o1[[#This Row],[a1]]=1,IF(AH$3=0,Tab.o1[[#This Row],[rW2]],0.01+0.94*Tab.o1[[#This Row],[rW2]]/SUM(Tab.o1[rW2])),"")</f>
        <v/>
      </c>
      <c r="AI979" s="128" t="str">
        <f>IF(Tab.o1[[#This Row],[a1]]=1,1/Tab.o1[[#This Row],[PDF]],"")</f>
        <v/>
      </c>
      <c r="AJ979" s="131" t="str">
        <f>IF(Tab.o1[[#This Row],[a1]]=1,[1]!T_AA[[#This Row],[IN'']]*[1]!T_AA[[#This Row],[Qde'']],"")</f>
        <v/>
      </c>
      <c r="AK979" s="132" t="str">
        <f>IF(Tab.o1[[#This Row],[a1]]=1,IF(AK$1=1,Tab.o1[[#This Row],[MED]]+Tab.o1[[#This Row],[MOD]]-Tab.o1[[#This Row],[MED]],""),"")</f>
        <v/>
      </c>
      <c r="AL979" s="133" t="str">
        <f>IF(Tab.o1[[#This Row],[a1]]=1,[1]!T.in.A[[#This Row],[oo16]],"")</f>
        <v/>
      </c>
      <c r="AM979" s="133" t="str">
        <f>IF(Tab.o1[[#This Row],[a1]]=1,IF(AM$3=1,[1]!T.in.A[[#This Row],[Σo16]],""),"")</f>
        <v/>
      </c>
      <c r="AN979" s="126" t="str">
        <f>IF(Tab.o1[[#This Row],[a1]]=1,[1]!T.in.A[[#This Row],[Σp5]],"")</f>
        <v/>
      </c>
      <c r="AO979" s="126" t="str">
        <f>IF(Tab.o1[[#This Row],[a1]]=1,IF(AO$3=1,[1]!T.in.A[[#This Row],[Σp5]],""),"")</f>
        <v/>
      </c>
      <c r="AP979" s="110" t="str">
        <f>IF(Tab.o1[[#This Row],[a1]]=1,IF(ISNUMBER(Tab.o1[[#This Row],[i.]]),NORMDIST(Tab.o1[[#This Row],[Za]],0,1,FALSE)*Tab.o1[[#This Row],[i.]],0),"")</f>
        <v/>
      </c>
      <c r="AQ979" s="125" t="str">
        <f>IF(Tab.o1[[#This Row],[a1]]=1,ABS(Tab.o1[[#This Row],[MOD]]-AVERAGE(Tab.o1[MOD])),"")</f>
        <v/>
      </c>
      <c r="AR979" s="134" t="str">
        <f>IF(Tab.o1[[#This Row],[a1]]=1,Tab.o1[[#This Row],[OBS]]/SUM(Tab.o1[OBS]),"")</f>
        <v/>
      </c>
      <c r="AS979" s="135" t="str">
        <f>IF(ISNUMBER(Tab.o1[[#This Row],[a1]]),ROW()-4,"")</f>
        <v/>
      </c>
      <c r="AT979" s="136" t="str">
        <f>Tab.o1[[#This Row],[MOD]]</f>
        <v/>
      </c>
      <c r="AU979" s="137" t="str">
        <f t="shared" si="61"/>
        <v/>
      </c>
      <c r="AV979" s="138" t="str">
        <f t="shared" si="62"/>
        <v/>
      </c>
      <c r="AW979" s="138" t="str">
        <f t="shared" si="63"/>
        <v/>
      </c>
      <c r="AX979" s="139" t="str">
        <f>[1]!T.in.A[[#This Row],[ID_T_manu]]</f>
        <v/>
      </c>
      <c r="AY979" s="140" t="str">
        <f>IF(ISNUMBER(Tab.o1[[#This Row],[a1]]),IF(AND(Tab.o1[[#This Row],[a1]]=1,Tab.o1[[#This Row],[b1]]&lt;=AY$4),#REF!,AY978),"")</f>
        <v/>
      </c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6"/>
      <c r="BO979" s="26"/>
      <c r="BP979" s="26"/>
      <c r="BQ979" s="26"/>
      <c r="BR979" s="26"/>
      <c r="BS979" s="26"/>
      <c r="BT979" s="26"/>
      <c r="BU979" s="26"/>
      <c r="BV979" s="26"/>
      <c r="BW979" s="26"/>
      <c r="BX979" s="26"/>
      <c r="BY979" s="26"/>
      <c r="BZ979" s="26"/>
      <c r="CA979" s="26"/>
    </row>
    <row r="980" spans="1:79" ht="15.75" hidden="1">
      <c r="A980" s="109">
        <v>-8.0000000000000013E-6</v>
      </c>
      <c r="B980" s="110">
        <f t="shared" si="60"/>
        <v>980</v>
      </c>
      <c r="C980" s="111" t="str">
        <f>IF(C$1=[1]!T.in.A[[#This Row],[oo2]],1,"")</f>
        <v/>
      </c>
      <c r="D980" s="112" t="str">
        <f>IF(Tab.o1[[#This Row],[a1]]=1,IF(SUM(C980:C981)=0,0,IF(SUM(C979:C980)=1,1,IF(SUM(C979:C981)&gt;1,D979+1,0))),"")</f>
        <v/>
      </c>
      <c r="E980" s="113" t="str">
        <f>IF(Tab.o1[[#This Row],[a1]]=1,[1]!T.in.A[[#This Row],[oo1]],"")</f>
        <v/>
      </c>
      <c r="F980" s="113" t="str">
        <f>IF(Tab.o1[[#This Row],[a1]]=1,[1]!T.in.A[[#This Row],[pp1]],"")</f>
        <v/>
      </c>
      <c r="G980" s="114" t="str">
        <f>IF(Tab.o1[[#This Row],[a1]]=1,G$2+IF(G$1=1,0,Tab.o1[[#This Row],[.x1]])+[1]!T.in.A[[#This Row],[oo3]],"")</f>
        <v/>
      </c>
      <c r="H980" s="115" t="str">
        <f>IF(Tab.o1[[#This Row],[a1]]=1,IF(H$2=0,0,IF(G$1=1,0,Tab.o1[[#This Row],[.x1]])+[1]!T.in.A[[#This Row],[oo4]]),"")</f>
        <v/>
      </c>
      <c r="I980" s="116" t="str">
        <f>IF(Tab.o1[[#This Row],[a1]]=1,IF(J$2=0,Tab.o1[[#This Row],[MED]],Tab.o1[[#This Row],[MOD]]),"")</f>
        <v/>
      </c>
      <c r="J980" s="116" t="str">
        <f>IF(Tab.o1[[#This Row],[a1]]=1,((Tab.o1[[#This Row],[DIF_Target.]]-AVERAGE(Tab.o1[DIF_Target.]))/_xlfn.STDEV.P(Tab.o1[DIF_Target.])),"")</f>
        <v/>
      </c>
      <c r="K980" s="117" t="str">
        <f>IF(Tab.o1[[#This Row],[a1]]=1,IF(J$2=0,Tab.o1[[#This Row],[MOD]]-Tab.o1[[#This Row],[B]],IF(J$2=1,0,-Tab.o1[[#This Row],[MED]])+Tab.o1[[#This Row],[B]]),"")</f>
        <v/>
      </c>
      <c r="L980" s="117" t="str">
        <f ca="1">IF(Tab.o1[[#This Row],[DIF_Target]]=0,IF(L$2=0,Tab.o1[[#This Row],[DIF_Target]],AVERAGE(OFFSET(Tab.o1[[#This Row],[DIF_Target]],1,0,L$3,1)))/3,Tab.o1[[#This Row],[DIF_Target]])</f>
        <v/>
      </c>
      <c r="M980" s="118" t="str">
        <f>IF(Tab.o1[[#This Row],[a1]]=1,NORMSDIST(Tab.o1[[#This Row],[Za]]),"")</f>
        <v/>
      </c>
      <c r="N980" s="119" t="str">
        <f>IF(Tab.o1[[#This Row],[a1]]=1,((Tab.o1[[#This Row],[MedMod]]-AVERAGE(Tab.o1[MedMod]))/_xlfn.STDEV.P(Tab.o1[MedMod])*H$1205)+G$1205,"")</f>
        <v/>
      </c>
      <c r="O980" s="141" t="str">
        <f>IF(Tab.o1[[#This Row],[a1]]=1,Tab.o1[[#This Row],[Zb]]*_xlfn.STDEV.P(Tab.o1[MedMod])+AVERAGE(Tab.o1[MedMod]),"")</f>
        <v/>
      </c>
      <c r="P980" s="117" t="str">
        <f ca="1">IF(Tab.o1[[#This Row],[B]]=0,AVERAGE(OFFSET(Tab.o1[[#This Row],[B]],1,0,L$3,1)),Tab.o1[[#This Row],[B]])</f>
        <v/>
      </c>
      <c r="Q980" s="121" t="str">
        <f>IF(Tab.o1[[#This Row],[a1]]=1,NORMSDIST(Tab.o1[[#This Row],[Zb]]),"")</f>
        <v/>
      </c>
      <c r="R980" s="122" t="str">
        <f>IF(Tab.o1[[#This Row],[a1]]=1,((Tab.o1[[#This Row],[MedMod]]-AVERAGE(Tab.o1[MedMod]))/_xlfn.STDEV.P(Tab.o1[MedMod])*H$1203)+G$1203,"")</f>
        <v/>
      </c>
      <c r="S980" s="122" t="str">
        <f>IF(Tab.o1[[#This Row],[a1]]=1,((Tab.o1[[#This Row],[MedMod]]-AVERAGE(Tab.o1[MedMod]))/_xlfn.STDEV.P(Tab.o1[MedMod])*H$1204)+G$1204,"")</f>
        <v/>
      </c>
      <c r="T980" s="123" t="str">
        <f>IF(Tab.o1[[#This Row],[a1]]=1,Tab.o1[[#This Row],[Z-]]*_xlfn.STDEV.P(Tab.o1[B])+AVERAGE(Tab.o1[B]),"")</f>
        <v/>
      </c>
      <c r="U980" s="123" t="str">
        <f>IF(Tab.o1[[#This Row],[a1]]=1,Tab.o1[[#This Row],[z+]]*_xlfn.STDEV.P(Tab.o1[B])+AVERAGE(Tab.o1[B]),"")</f>
        <v/>
      </c>
      <c r="V980" s="124" t="str">
        <f>IF(Tab.o1[[#This Row],[a1]]=1,ABS((ABS(Tab.o1[[#This Row],[Red]]-Tab.o1[[#This Row],[Blue]]))),"")</f>
        <v/>
      </c>
      <c r="W980" s="125" t="str">
        <f>IF(Tab.o1[[#This Row],[a1]]=1,IF(W$3=0,1,Tab.o1[[#This Row],[Amp.]]*1/_xlfn.MINIFS(Tab.o1[Amp.],Tab.o1[Amp.],"&lt;&gt;0")),"")</f>
        <v/>
      </c>
      <c r="X980" s="126" t="str">
        <f>IF(Tab.o1[[#This Row],[a1]]=1,IF(ISNUMBER(Tab.o1[[#This Row],[i.]]),NORMDIST(Tab.o1[[#This Row],[Za]],0,1,FALSE)*Tab.o1[[#This Row],[i.]],AP$3),"")</f>
        <v/>
      </c>
      <c r="Y980" s="126" t="str">
        <f>IF(Tab.o1[[#This Row],[a1]]=1,0.01+0.94*Tab.o1[[#This Row],[PDF]]/MAX(Tab.o1[PDF]),"")</f>
        <v/>
      </c>
      <c r="Z980" s="126" t="str">
        <f>IF(Tab.o1[[#This Row],[a1]]=1,0.01+0.94*Tab.o1[[#This Row],[W1_PDF]]/MAX(Tab.o1[W1_PDF]),"")</f>
        <v/>
      </c>
      <c r="AA980" s="118" t="str">
        <f>IF(Tab.o1[[#This Row],[a1]]=1,ABS([1]!T.in.A[[#This Row],[oo6]]),"")</f>
        <v/>
      </c>
      <c r="AB980" s="127" t="str">
        <f>IF(Tab.o1[[#This Row],[a1]]=1,IF(AE$3=0,"",IF(AB$3=0,ABS([1]!T.in.A[[#This Row],[oo9]]),ABS(Tab.o1[[#This Row],[DIF_Target.]]*Tab.o1[[#This Row],[W1_PDF]]))),"")</f>
        <v/>
      </c>
      <c r="AC980" s="127" t="str">
        <f>IF(G$1=1,"",IF(Tab.o1[[#This Row],[a1]]=1,Tab.o1[[#This Row],[Wr]]^2,""))</f>
        <v/>
      </c>
      <c r="AD980" s="118" t="str">
        <f>IF(Tab.o1[[#This Row],[a1]]=1,IF(AE$3=0,"",Tab.o1[[#This Row],[Wr2]]/SUM(Tab.o1[Wr2])),"")</f>
        <v/>
      </c>
      <c r="AE980" s="128" t="str">
        <f>IF(Tab.o1[[#This Row],[a1]]=1,[1]!T.in.A[[#This Row],[oo10]],"")</f>
        <v/>
      </c>
      <c r="AF980" s="118" t="str">
        <f>IF(Tab.o1[[#This Row],[a1]]=1,ABS(Tab.o1[[#This Row],[DIF_Target.]]*Tab.o1[[#This Row],[PDF2]]*Tab.o1[[#This Row],[IN]]),"")</f>
        <v/>
      </c>
      <c r="AG980" s="129" t="str">
        <f>IF(Tab.o1[[#This Row],[a1]]=1,Tab.o1[[#This Row],[rW]]^2,"")</f>
        <v/>
      </c>
      <c r="AH980" s="130" t="str">
        <f>IF(Tab.o1[[#This Row],[a1]]=1,IF(AH$3=0,Tab.o1[[#This Row],[rW2]],0.01+0.94*Tab.o1[[#This Row],[rW2]]/SUM(Tab.o1[rW2])),"")</f>
        <v/>
      </c>
      <c r="AI980" s="128" t="str">
        <f>IF(Tab.o1[[#This Row],[a1]]=1,1/Tab.o1[[#This Row],[PDF]],"")</f>
        <v/>
      </c>
      <c r="AJ980" s="131" t="str">
        <f>IF(Tab.o1[[#This Row],[a1]]=1,[1]!T_AA[[#This Row],[IN'']]*[1]!T_AA[[#This Row],[Qde'']],"")</f>
        <v/>
      </c>
      <c r="AK980" s="132" t="str">
        <f>IF(Tab.o1[[#This Row],[a1]]=1,IF(AK$1=1,Tab.o1[[#This Row],[MED]]+Tab.o1[[#This Row],[MOD]]-Tab.o1[[#This Row],[MED]],""),"")</f>
        <v/>
      </c>
      <c r="AL980" s="133" t="str">
        <f>IF(Tab.o1[[#This Row],[a1]]=1,[1]!T.in.A[[#This Row],[oo16]],"")</f>
        <v/>
      </c>
      <c r="AM980" s="133" t="str">
        <f>IF(Tab.o1[[#This Row],[a1]]=1,IF(AM$3=1,[1]!T.in.A[[#This Row],[Σo16]],""),"")</f>
        <v/>
      </c>
      <c r="AN980" s="126" t="str">
        <f>IF(Tab.o1[[#This Row],[a1]]=1,[1]!T.in.A[[#This Row],[Σp5]],"")</f>
        <v/>
      </c>
      <c r="AO980" s="126" t="str">
        <f>IF(Tab.o1[[#This Row],[a1]]=1,IF(AO$3=1,[1]!T.in.A[[#This Row],[Σp5]],""),"")</f>
        <v/>
      </c>
      <c r="AP980" s="110" t="str">
        <f>IF(Tab.o1[[#This Row],[a1]]=1,IF(ISNUMBER(Tab.o1[[#This Row],[i.]]),NORMDIST(Tab.o1[[#This Row],[Za]],0,1,FALSE)*Tab.o1[[#This Row],[i.]],0),"")</f>
        <v/>
      </c>
      <c r="AQ980" s="125" t="str">
        <f>IF(Tab.o1[[#This Row],[a1]]=1,ABS(Tab.o1[[#This Row],[MOD]]-AVERAGE(Tab.o1[MOD])),"")</f>
        <v/>
      </c>
      <c r="AR980" s="134" t="str">
        <f>IF(Tab.o1[[#This Row],[a1]]=1,Tab.o1[[#This Row],[OBS]]/SUM(Tab.o1[OBS]),"")</f>
        <v/>
      </c>
      <c r="AS980" s="135" t="str">
        <f>IF(ISNUMBER(Tab.o1[[#This Row],[a1]]),ROW()-4,"")</f>
        <v/>
      </c>
      <c r="AT980" s="136" t="str">
        <f>Tab.o1[[#This Row],[MOD]]</f>
        <v/>
      </c>
      <c r="AU980" s="137" t="str">
        <f t="shared" si="61"/>
        <v/>
      </c>
      <c r="AV980" s="138" t="str">
        <f t="shared" si="62"/>
        <v/>
      </c>
      <c r="AW980" s="138" t="str">
        <f t="shared" si="63"/>
        <v/>
      </c>
      <c r="AX980" s="139" t="str">
        <f>[1]!T.in.A[[#This Row],[ID_T_manu]]</f>
        <v/>
      </c>
      <c r="AY980" s="140" t="str">
        <f>IF(ISNUMBER(Tab.o1[[#This Row],[a1]]),IF(AND(Tab.o1[[#This Row],[a1]]=1,Tab.o1[[#This Row],[b1]]&lt;=AY$4),#REF!,AY979),"")</f>
        <v/>
      </c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6"/>
      <c r="BO980" s="26"/>
      <c r="BP980" s="26"/>
      <c r="BQ980" s="26"/>
      <c r="BR980" s="26"/>
      <c r="BS980" s="26"/>
      <c r="BT980" s="26"/>
      <c r="BU980" s="26"/>
      <c r="BV980" s="26"/>
      <c r="BW980" s="26"/>
      <c r="BX980" s="26"/>
      <c r="BY980" s="26"/>
      <c r="BZ980" s="26"/>
      <c r="CA980" s="26"/>
    </row>
    <row r="981" spans="1:79" ht="15.75" hidden="1">
      <c r="A981" s="109">
        <v>1.0000000000000001E-5</v>
      </c>
      <c r="B981" s="110">
        <f t="shared" si="60"/>
        <v>981</v>
      </c>
      <c r="C981" s="111" t="str">
        <f>IF(C$1=[1]!T.in.A[[#This Row],[oo2]],1,"")</f>
        <v/>
      </c>
      <c r="D981" s="112" t="str">
        <f>IF(Tab.o1[[#This Row],[a1]]=1,IF(SUM(C981:C982)=0,0,IF(SUM(C980:C981)=1,1,IF(SUM(C980:C982)&gt;1,D980+1,0))),"")</f>
        <v/>
      </c>
      <c r="E981" s="113" t="str">
        <f>IF(Tab.o1[[#This Row],[a1]]=1,[1]!T.in.A[[#This Row],[oo1]],"")</f>
        <v/>
      </c>
      <c r="F981" s="113" t="str">
        <f>IF(Tab.o1[[#This Row],[a1]]=1,[1]!T.in.A[[#This Row],[pp1]],"")</f>
        <v/>
      </c>
      <c r="G981" s="114" t="str">
        <f>IF(Tab.o1[[#This Row],[a1]]=1,G$2+IF(G$1=1,0,Tab.o1[[#This Row],[.x1]])+[1]!T.in.A[[#This Row],[oo3]],"")</f>
        <v/>
      </c>
      <c r="H981" s="115" t="str">
        <f>IF(Tab.o1[[#This Row],[a1]]=1,IF(H$2=0,0,IF(G$1=1,0,Tab.o1[[#This Row],[.x1]])+[1]!T.in.A[[#This Row],[oo4]]),"")</f>
        <v/>
      </c>
      <c r="I981" s="116" t="str">
        <f>IF(Tab.o1[[#This Row],[a1]]=1,IF(J$2=0,Tab.o1[[#This Row],[MED]],Tab.o1[[#This Row],[MOD]]),"")</f>
        <v/>
      </c>
      <c r="J981" s="116" t="str">
        <f>IF(Tab.o1[[#This Row],[a1]]=1,((Tab.o1[[#This Row],[DIF_Target.]]-AVERAGE(Tab.o1[DIF_Target.]))/_xlfn.STDEV.P(Tab.o1[DIF_Target.])),"")</f>
        <v/>
      </c>
      <c r="K981" s="117" t="str">
        <f>IF(Tab.o1[[#This Row],[a1]]=1,IF(J$2=0,Tab.o1[[#This Row],[MOD]]-Tab.o1[[#This Row],[B]],IF(J$2=1,0,-Tab.o1[[#This Row],[MED]])+Tab.o1[[#This Row],[B]]),"")</f>
        <v/>
      </c>
      <c r="L981" s="117" t="str">
        <f ca="1">IF(Tab.o1[[#This Row],[DIF_Target]]=0,IF(L$2=0,Tab.o1[[#This Row],[DIF_Target]],AVERAGE(OFFSET(Tab.o1[[#This Row],[DIF_Target]],1,0,L$3,1)))/3,Tab.o1[[#This Row],[DIF_Target]])</f>
        <v/>
      </c>
      <c r="M981" s="118" t="str">
        <f>IF(Tab.o1[[#This Row],[a1]]=1,NORMSDIST(Tab.o1[[#This Row],[Za]]),"")</f>
        <v/>
      </c>
      <c r="N981" s="119" t="str">
        <f>IF(Tab.o1[[#This Row],[a1]]=1,((Tab.o1[[#This Row],[MedMod]]-AVERAGE(Tab.o1[MedMod]))/_xlfn.STDEV.P(Tab.o1[MedMod])*H$1205)+G$1205,"")</f>
        <v/>
      </c>
      <c r="O981" s="141" t="str">
        <f>IF(Tab.o1[[#This Row],[a1]]=1,Tab.o1[[#This Row],[Zb]]*_xlfn.STDEV.P(Tab.o1[MedMod])+AVERAGE(Tab.o1[MedMod]),"")</f>
        <v/>
      </c>
      <c r="P981" s="117" t="str">
        <f ca="1">IF(Tab.o1[[#This Row],[B]]=0,AVERAGE(OFFSET(Tab.o1[[#This Row],[B]],1,0,L$3,1)),Tab.o1[[#This Row],[B]])</f>
        <v/>
      </c>
      <c r="Q981" s="121" t="str">
        <f>IF(Tab.o1[[#This Row],[a1]]=1,NORMSDIST(Tab.o1[[#This Row],[Zb]]),"")</f>
        <v/>
      </c>
      <c r="R981" s="122" t="str">
        <f>IF(Tab.o1[[#This Row],[a1]]=1,((Tab.o1[[#This Row],[MedMod]]-AVERAGE(Tab.o1[MedMod]))/_xlfn.STDEV.P(Tab.o1[MedMod])*H$1203)+G$1203,"")</f>
        <v/>
      </c>
      <c r="S981" s="122" t="str">
        <f>IF(Tab.o1[[#This Row],[a1]]=1,((Tab.o1[[#This Row],[MedMod]]-AVERAGE(Tab.o1[MedMod]))/_xlfn.STDEV.P(Tab.o1[MedMod])*H$1204)+G$1204,"")</f>
        <v/>
      </c>
      <c r="T981" s="123" t="str">
        <f>IF(Tab.o1[[#This Row],[a1]]=1,Tab.o1[[#This Row],[Z-]]*_xlfn.STDEV.P(Tab.o1[B])+AVERAGE(Tab.o1[B]),"")</f>
        <v/>
      </c>
      <c r="U981" s="123" t="str">
        <f>IF(Tab.o1[[#This Row],[a1]]=1,Tab.o1[[#This Row],[z+]]*_xlfn.STDEV.P(Tab.o1[B])+AVERAGE(Tab.o1[B]),"")</f>
        <v/>
      </c>
      <c r="V981" s="124" t="str">
        <f>IF(Tab.o1[[#This Row],[a1]]=1,ABS((ABS(Tab.o1[[#This Row],[Red]]-Tab.o1[[#This Row],[Blue]]))),"")</f>
        <v/>
      </c>
      <c r="W981" s="125" t="str">
        <f>IF(Tab.o1[[#This Row],[a1]]=1,IF(W$3=0,1,Tab.o1[[#This Row],[Amp.]]*1/_xlfn.MINIFS(Tab.o1[Amp.],Tab.o1[Amp.],"&lt;&gt;0")),"")</f>
        <v/>
      </c>
      <c r="X981" s="126" t="str">
        <f>IF(Tab.o1[[#This Row],[a1]]=1,IF(ISNUMBER(Tab.o1[[#This Row],[i.]]),NORMDIST(Tab.o1[[#This Row],[Za]],0,1,FALSE)*Tab.o1[[#This Row],[i.]],AP$3),"")</f>
        <v/>
      </c>
      <c r="Y981" s="126" t="str">
        <f>IF(Tab.o1[[#This Row],[a1]]=1,0.01+0.94*Tab.o1[[#This Row],[PDF]]/MAX(Tab.o1[PDF]),"")</f>
        <v/>
      </c>
      <c r="Z981" s="126" t="str">
        <f>IF(Tab.o1[[#This Row],[a1]]=1,0.01+0.94*Tab.o1[[#This Row],[W1_PDF]]/MAX(Tab.o1[W1_PDF]),"")</f>
        <v/>
      </c>
      <c r="AA981" s="118" t="str">
        <f>IF(Tab.o1[[#This Row],[a1]]=1,ABS([1]!T.in.A[[#This Row],[oo6]]),"")</f>
        <v/>
      </c>
      <c r="AB981" s="127" t="str">
        <f>IF(Tab.o1[[#This Row],[a1]]=1,IF(AE$3=0,"",IF(AB$3=0,ABS([1]!T.in.A[[#This Row],[oo9]]),ABS(Tab.o1[[#This Row],[DIF_Target.]]*Tab.o1[[#This Row],[W1_PDF]]))),"")</f>
        <v/>
      </c>
      <c r="AC981" s="127" t="str">
        <f>IF(G$1=1,"",IF(Tab.o1[[#This Row],[a1]]=1,Tab.o1[[#This Row],[Wr]]^2,""))</f>
        <v/>
      </c>
      <c r="AD981" s="118" t="str">
        <f>IF(Tab.o1[[#This Row],[a1]]=1,IF(AE$3=0,"",Tab.o1[[#This Row],[Wr2]]/SUM(Tab.o1[Wr2])),"")</f>
        <v/>
      </c>
      <c r="AE981" s="128" t="str">
        <f>IF(Tab.o1[[#This Row],[a1]]=1,[1]!T.in.A[[#This Row],[oo10]],"")</f>
        <v/>
      </c>
      <c r="AF981" s="118" t="str">
        <f>IF(Tab.o1[[#This Row],[a1]]=1,ABS(Tab.o1[[#This Row],[DIF_Target.]]*Tab.o1[[#This Row],[PDF2]]*Tab.o1[[#This Row],[IN]]),"")</f>
        <v/>
      </c>
      <c r="AG981" s="129" t="str">
        <f>IF(Tab.o1[[#This Row],[a1]]=1,Tab.o1[[#This Row],[rW]]^2,"")</f>
        <v/>
      </c>
      <c r="AH981" s="130" t="str">
        <f>IF(Tab.o1[[#This Row],[a1]]=1,IF(AH$3=0,Tab.o1[[#This Row],[rW2]],0.01+0.94*Tab.o1[[#This Row],[rW2]]/SUM(Tab.o1[rW2])),"")</f>
        <v/>
      </c>
      <c r="AI981" s="128" t="str">
        <f>IF(Tab.o1[[#This Row],[a1]]=1,1/Tab.o1[[#This Row],[PDF]],"")</f>
        <v/>
      </c>
      <c r="AJ981" s="131" t="str">
        <f>IF(Tab.o1[[#This Row],[a1]]=1,[1]!T_AA[[#This Row],[IN'']]*[1]!T_AA[[#This Row],[Qde'']],"")</f>
        <v/>
      </c>
      <c r="AK981" s="132" t="str">
        <f>IF(Tab.o1[[#This Row],[a1]]=1,IF(AK$1=1,Tab.o1[[#This Row],[MED]]+Tab.o1[[#This Row],[MOD]]-Tab.o1[[#This Row],[MED]],""),"")</f>
        <v/>
      </c>
      <c r="AL981" s="133" t="str">
        <f>IF(Tab.o1[[#This Row],[a1]]=1,[1]!T.in.A[[#This Row],[oo16]],"")</f>
        <v/>
      </c>
      <c r="AM981" s="133" t="str">
        <f>IF(Tab.o1[[#This Row],[a1]]=1,IF(AM$3=1,[1]!T.in.A[[#This Row],[Σo16]],""),"")</f>
        <v/>
      </c>
      <c r="AN981" s="126" t="str">
        <f>IF(Tab.o1[[#This Row],[a1]]=1,[1]!T.in.A[[#This Row],[Σp5]],"")</f>
        <v/>
      </c>
      <c r="AO981" s="126" t="str">
        <f>IF(Tab.o1[[#This Row],[a1]]=1,IF(AO$3=1,[1]!T.in.A[[#This Row],[Σp5]],""),"")</f>
        <v/>
      </c>
      <c r="AP981" s="110" t="str">
        <f>IF(Tab.o1[[#This Row],[a1]]=1,IF(ISNUMBER(Tab.o1[[#This Row],[i.]]),NORMDIST(Tab.o1[[#This Row],[Za]],0,1,FALSE)*Tab.o1[[#This Row],[i.]],0),"")</f>
        <v/>
      </c>
      <c r="AQ981" s="125" t="str">
        <f>IF(Tab.o1[[#This Row],[a1]]=1,ABS(Tab.o1[[#This Row],[MOD]]-AVERAGE(Tab.o1[MOD])),"")</f>
        <v/>
      </c>
      <c r="AR981" s="134" t="str">
        <f>IF(Tab.o1[[#This Row],[a1]]=1,Tab.o1[[#This Row],[OBS]]/SUM(Tab.o1[OBS]),"")</f>
        <v/>
      </c>
      <c r="AS981" s="135" t="str">
        <f>IF(ISNUMBER(Tab.o1[[#This Row],[a1]]),ROW()-4,"")</f>
        <v/>
      </c>
      <c r="AT981" s="136" t="str">
        <f>Tab.o1[[#This Row],[MOD]]</f>
        <v/>
      </c>
      <c r="AU981" s="137" t="str">
        <f t="shared" si="61"/>
        <v/>
      </c>
      <c r="AV981" s="138" t="str">
        <f t="shared" si="62"/>
        <v/>
      </c>
      <c r="AW981" s="138" t="str">
        <f t="shared" si="63"/>
        <v/>
      </c>
      <c r="AX981" s="139" t="str">
        <f>[1]!T.in.A[[#This Row],[ID_T_manu]]</f>
        <v/>
      </c>
      <c r="AY981" s="140" t="str">
        <f>IF(ISNUMBER(Tab.o1[[#This Row],[a1]]),IF(AND(Tab.o1[[#This Row],[a1]]=1,Tab.o1[[#This Row],[b1]]&lt;=AY$4),#REF!,AY980),"")</f>
        <v/>
      </c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6"/>
      <c r="BO981" s="26"/>
      <c r="BP981" s="26"/>
      <c r="BQ981" s="26"/>
      <c r="BR981" s="26"/>
      <c r="BS981" s="26"/>
      <c r="BT981" s="26"/>
      <c r="BU981" s="26"/>
      <c r="BV981" s="26"/>
      <c r="BW981" s="26"/>
      <c r="BX981" s="26"/>
      <c r="BY981" s="26"/>
      <c r="BZ981" s="26"/>
      <c r="CA981" s="26"/>
    </row>
    <row r="982" spans="1:79" ht="15.75" hidden="1">
      <c r="A982" s="109">
        <v>-9.0000000000000002E-6</v>
      </c>
      <c r="B982" s="110">
        <f t="shared" si="60"/>
        <v>982</v>
      </c>
      <c r="C982" s="111" t="str">
        <f>IF(C$1=[1]!T.in.A[[#This Row],[oo2]],1,"")</f>
        <v/>
      </c>
      <c r="D982" s="112" t="str">
        <f>IF(Tab.o1[[#This Row],[a1]]=1,IF(SUM(C982:C983)=0,0,IF(SUM(C981:C982)=1,1,IF(SUM(C981:C983)&gt;1,D981+1,0))),"")</f>
        <v/>
      </c>
      <c r="E982" s="113" t="str">
        <f>IF(Tab.o1[[#This Row],[a1]]=1,[1]!T.in.A[[#This Row],[oo1]],"")</f>
        <v/>
      </c>
      <c r="F982" s="113" t="str">
        <f>IF(Tab.o1[[#This Row],[a1]]=1,[1]!T.in.A[[#This Row],[pp1]],"")</f>
        <v/>
      </c>
      <c r="G982" s="114" t="str">
        <f>IF(Tab.o1[[#This Row],[a1]]=1,G$2+IF(G$1=1,0,Tab.o1[[#This Row],[.x1]])+[1]!T.in.A[[#This Row],[oo3]],"")</f>
        <v/>
      </c>
      <c r="H982" s="115" t="str">
        <f>IF(Tab.o1[[#This Row],[a1]]=1,IF(H$2=0,0,IF(G$1=1,0,Tab.o1[[#This Row],[.x1]])+[1]!T.in.A[[#This Row],[oo4]]),"")</f>
        <v/>
      </c>
      <c r="I982" s="116" t="str">
        <f>IF(Tab.o1[[#This Row],[a1]]=1,IF(J$2=0,Tab.o1[[#This Row],[MED]],Tab.o1[[#This Row],[MOD]]),"")</f>
        <v/>
      </c>
      <c r="J982" s="116" t="str">
        <f>IF(Tab.o1[[#This Row],[a1]]=1,((Tab.o1[[#This Row],[DIF_Target.]]-AVERAGE(Tab.o1[DIF_Target.]))/_xlfn.STDEV.P(Tab.o1[DIF_Target.])),"")</f>
        <v/>
      </c>
      <c r="K982" s="117" t="str">
        <f>IF(Tab.o1[[#This Row],[a1]]=1,IF(J$2=0,Tab.o1[[#This Row],[MOD]]-Tab.o1[[#This Row],[B]],IF(J$2=1,0,-Tab.o1[[#This Row],[MED]])+Tab.o1[[#This Row],[B]]),"")</f>
        <v/>
      </c>
      <c r="L982" s="117" t="str">
        <f ca="1">IF(Tab.o1[[#This Row],[DIF_Target]]=0,IF(L$2=0,Tab.o1[[#This Row],[DIF_Target]],AVERAGE(OFFSET(Tab.o1[[#This Row],[DIF_Target]],1,0,L$3,1)))/3,Tab.o1[[#This Row],[DIF_Target]])</f>
        <v/>
      </c>
      <c r="M982" s="118" t="str">
        <f>IF(Tab.o1[[#This Row],[a1]]=1,NORMSDIST(Tab.o1[[#This Row],[Za]]),"")</f>
        <v/>
      </c>
      <c r="N982" s="119" t="str">
        <f>IF(Tab.o1[[#This Row],[a1]]=1,((Tab.o1[[#This Row],[MedMod]]-AVERAGE(Tab.o1[MedMod]))/_xlfn.STDEV.P(Tab.o1[MedMod])*H$1205)+G$1205,"")</f>
        <v/>
      </c>
      <c r="O982" s="141" t="str">
        <f>IF(Tab.o1[[#This Row],[a1]]=1,Tab.o1[[#This Row],[Zb]]*_xlfn.STDEV.P(Tab.o1[MedMod])+AVERAGE(Tab.o1[MedMod]),"")</f>
        <v/>
      </c>
      <c r="P982" s="117" t="str">
        <f ca="1">IF(Tab.o1[[#This Row],[B]]=0,AVERAGE(OFFSET(Tab.o1[[#This Row],[B]],1,0,L$3,1)),Tab.o1[[#This Row],[B]])</f>
        <v/>
      </c>
      <c r="Q982" s="121" t="str">
        <f>IF(Tab.o1[[#This Row],[a1]]=1,NORMSDIST(Tab.o1[[#This Row],[Zb]]),"")</f>
        <v/>
      </c>
      <c r="R982" s="122" t="str">
        <f>IF(Tab.o1[[#This Row],[a1]]=1,((Tab.o1[[#This Row],[MedMod]]-AVERAGE(Tab.o1[MedMod]))/_xlfn.STDEV.P(Tab.o1[MedMod])*H$1203)+G$1203,"")</f>
        <v/>
      </c>
      <c r="S982" s="122" t="str">
        <f>IF(Tab.o1[[#This Row],[a1]]=1,((Tab.o1[[#This Row],[MedMod]]-AVERAGE(Tab.o1[MedMod]))/_xlfn.STDEV.P(Tab.o1[MedMod])*H$1204)+G$1204,"")</f>
        <v/>
      </c>
      <c r="T982" s="123" t="str">
        <f>IF(Tab.o1[[#This Row],[a1]]=1,Tab.o1[[#This Row],[Z-]]*_xlfn.STDEV.P(Tab.o1[B])+AVERAGE(Tab.o1[B]),"")</f>
        <v/>
      </c>
      <c r="U982" s="123" t="str">
        <f>IF(Tab.o1[[#This Row],[a1]]=1,Tab.o1[[#This Row],[z+]]*_xlfn.STDEV.P(Tab.o1[B])+AVERAGE(Tab.o1[B]),"")</f>
        <v/>
      </c>
      <c r="V982" s="124" t="str">
        <f>IF(Tab.o1[[#This Row],[a1]]=1,ABS((ABS(Tab.o1[[#This Row],[Red]]-Tab.o1[[#This Row],[Blue]]))),"")</f>
        <v/>
      </c>
      <c r="W982" s="125" t="str">
        <f>IF(Tab.o1[[#This Row],[a1]]=1,IF(W$3=0,1,Tab.o1[[#This Row],[Amp.]]*1/_xlfn.MINIFS(Tab.o1[Amp.],Tab.o1[Amp.],"&lt;&gt;0")),"")</f>
        <v/>
      </c>
      <c r="X982" s="126" t="str">
        <f>IF(Tab.o1[[#This Row],[a1]]=1,IF(ISNUMBER(Tab.o1[[#This Row],[i.]]),NORMDIST(Tab.o1[[#This Row],[Za]],0,1,FALSE)*Tab.o1[[#This Row],[i.]],AP$3),"")</f>
        <v/>
      </c>
      <c r="Y982" s="126" t="str">
        <f>IF(Tab.o1[[#This Row],[a1]]=1,0.01+0.94*Tab.o1[[#This Row],[PDF]]/MAX(Tab.o1[PDF]),"")</f>
        <v/>
      </c>
      <c r="Z982" s="126" t="str">
        <f>IF(Tab.o1[[#This Row],[a1]]=1,0.01+0.94*Tab.o1[[#This Row],[W1_PDF]]/MAX(Tab.o1[W1_PDF]),"")</f>
        <v/>
      </c>
      <c r="AA982" s="118" t="str">
        <f>IF(Tab.o1[[#This Row],[a1]]=1,ABS([1]!T.in.A[[#This Row],[oo6]]),"")</f>
        <v/>
      </c>
      <c r="AB982" s="127" t="str">
        <f>IF(Tab.o1[[#This Row],[a1]]=1,IF(AE$3=0,"",IF(AB$3=0,ABS([1]!T.in.A[[#This Row],[oo9]]),ABS(Tab.o1[[#This Row],[DIF_Target.]]*Tab.o1[[#This Row],[W1_PDF]]))),"")</f>
        <v/>
      </c>
      <c r="AC982" s="127" t="str">
        <f>IF(G$1=1,"",IF(Tab.o1[[#This Row],[a1]]=1,Tab.o1[[#This Row],[Wr]]^2,""))</f>
        <v/>
      </c>
      <c r="AD982" s="118" t="str">
        <f>IF(Tab.o1[[#This Row],[a1]]=1,IF(AE$3=0,"",Tab.o1[[#This Row],[Wr2]]/SUM(Tab.o1[Wr2])),"")</f>
        <v/>
      </c>
      <c r="AE982" s="128" t="str">
        <f>IF(Tab.o1[[#This Row],[a1]]=1,[1]!T.in.A[[#This Row],[oo10]],"")</f>
        <v/>
      </c>
      <c r="AF982" s="118" t="str">
        <f>IF(Tab.o1[[#This Row],[a1]]=1,ABS(Tab.o1[[#This Row],[DIF_Target.]]*Tab.o1[[#This Row],[PDF2]]*Tab.o1[[#This Row],[IN]]),"")</f>
        <v/>
      </c>
      <c r="AG982" s="129" t="str">
        <f>IF(Tab.o1[[#This Row],[a1]]=1,Tab.o1[[#This Row],[rW]]^2,"")</f>
        <v/>
      </c>
      <c r="AH982" s="130" t="str">
        <f>IF(Tab.o1[[#This Row],[a1]]=1,IF(AH$3=0,Tab.o1[[#This Row],[rW2]],0.01+0.94*Tab.o1[[#This Row],[rW2]]/SUM(Tab.o1[rW2])),"")</f>
        <v/>
      </c>
      <c r="AI982" s="128" t="str">
        <f>IF(Tab.o1[[#This Row],[a1]]=1,1/Tab.o1[[#This Row],[PDF]],"")</f>
        <v/>
      </c>
      <c r="AJ982" s="131" t="str">
        <f>IF(Tab.o1[[#This Row],[a1]]=1,[1]!T_AA[[#This Row],[IN'']]*[1]!T_AA[[#This Row],[Qde'']],"")</f>
        <v/>
      </c>
      <c r="AK982" s="132" t="str">
        <f>IF(Tab.o1[[#This Row],[a1]]=1,IF(AK$1=1,Tab.o1[[#This Row],[MED]]+Tab.o1[[#This Row],[MOD]]-Tab.o1[[#This Row],[MED]],""),"")</f>
        <v/>
      </c>
      <c r="AL982" s="133" t="str">
        <f>IF(Tab.o1[[#This Row],[a1]]=1,[1]!T.in.A[[#This Row],[oo16]],"")</f>
        <v/>
      </c>
      <c r="AM982" s="133" t="str">
        <f>IF(Tab.o1[[#This Row],[a1]]=1,IF(AM$3=1,[1]!T.in.A[[#This Row],[Σo16]],""),"")</f>
        <v/>
      </c>
      <c r="AN982" s="126" t="str">
        <f>IF(Tab.o1[[#This Row],[a1]]=1,[1]!T.in.A[[#This Row],[Σp5]],"")</f>
        <v/>
      </c>
      <c r="AO982" s="126" t="str">
        <f>IF(Tab.o1[[#This Row],[a1]]=1,IF(AO$3=1,[1]!T.in.A[[#This Row],[Σp5]],""),"")</f>
        <v/>
      </c>
      <c r="AP982" s="110" t="str">
        <f>IF(Tab.o1[[#This Row],[a1]]=1,IF(ISNUMBER(Tab.o1[[#This Row],[i.]]),NORMDIST(Tab.o1[[#This Row],[Za]],0,1,FALSE)*Tab.o1[[#This Row],[i.]],0),"")</f>
        <v/>
      </c>
      <c r="AQ982" s="125" t="str">
        <f>IF(Tab.o1[[#This Row],[a1]]=1,ABS(Tab.o1[[#This Row],[MOD]]-AVERAGE(Tab.o1[MOD])),"")</f>
        <v/>
      </c>
      <c r="AR982" s="134" t="str">
        <f>IF(Tab.o1[[#This Row],[a1]]=1,Tab.o1[[#This Row],[OBS]]/SUM(Tab.o1[OBS]),"")</f>
        <v/>
      </c>
      <c r="AS982" s="135" t="str">
        <f>IF(ISNUMBER(Tab.o1[[#This Row],[a1]]),ROW()-4,"")</f>
        <v/>
      </c>
      <c r="AT982" s="136" t="str">
        <f>Tab.o1[[#This Row],[MOD]]</f>
        <v/>
      </c>
      <c r="AU982" s="137" t="str">
        <f t="shared" si="61"/>
        <v/>
      </c>
      <c r="AV982" s="138" t="str">
        <f t="shared" si="62"/>
        <v/>
      </c>
      <c r="AW982" s="138" t="str">
        <f t="shared" si="63"/>
        <v/>
      </c>
      <c r="AX982" s="139" t="str">
        <f>[1]!T.in.A[[#This Row],[ID_T_manu]]</f>
        <v/>
      </c>
      <c r="AY982" s="140" t="str">
        <f>IF(ISNUMBER(Tab.o1[[#This Row],[a1]]),IF(AND(Tab.o1[[#This Row],[a1]]=1,Tab.o1[[#This Row],[b1]]&lt;=AY$4),#REF!,AY981),"")</f>
        <v/>
      </c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6"/>
      <c r="BO982" s="26"/>
      <c r="BP982" s="26"/>
      <c r="BQ982" s="26"/>
      <c r="BR982" s="26"/>
      <c r="BS982" s="26"/>
      <c r="BT982" s="26"/>
      <c r="BU982" s="26"/>
      <c r="BV982" s="26"/>
      <c r="BW982" s="26"/>
      <c r="BX982" s="26"/>
      <c r="BY982" s="26"/>
      <c r="BZ982" s="26"/>
      <c r="CA982" s="26"/>
    </row>
    <row r="983" spans="1:79" ht="15.75" hidden="1">
      <c r="A983" s="109">
        <v>1.0000000000000002E-6</v>
      </c>
      <c r="B983" s="110">
        <f t="shared" si="60"/>
        <v>983</v>
      </c>
      <c r="C983" s="111" t="str">
        <f>IF(C$1=[1]!T.in.A[[#This Row],[oo2]],1,"")</f>
        <v/>
      </c>
      <c r="D983" s="112" t="str">
        <f>IF(Tab.o1[[#This Row],[a1]]=1,IF(SUM(C983:C984)=0,0,IF(SUM(C982:C983)=1,1,IF(SUM(C982:C984)&gt;1,D982+1,0))),"")</f>
        <v/>
      </c>
      <c r="E983" s="113" t="str">
        <f>IF(Tab.o1[[#This Row],[a1]]=1,[1]!T.in.A[[#This Row],[oo1]],"")</f>
        <v/>
      </c>
      <c r="F983" s="113" t="str">
        <f>IF(Tab.o1[[#This Row],[a1]]=1,[1]!T.in.A[[#This Row],[pp1]],"")</f>
        <v/>
      </c>
      <c r="G983" s="114" t="str">
        <f>IF(Tab.o1[[#This Row],[a1]]=1,G$2+IF(G$1=1,0,Tab.o1[[#This Row],[.x1]])+[1]!T.in.A[[#This Row],[oo3]],"")</f>
        <v/>
      </c>
      <c r="H983" s="115" t="str">
        <f>IF(Tab.o1[[#This Row],[a1]]=1,IF(H$2=0,0,IF(G$1=1,0,Tab.o1[[#This Row],[.x1]])+[1]!T.in.A[[#This Row],[oo4]]),"")</f>
        <v/>
      </c>
      <c r="I983" s="116" t="str">
        <f>IF(Tab.o1[[#This Row],[a1]]=1,IF(J$2=0,Tab.o1[[#This Row],[MED]],Tab.o1[[#This Row],[MOD]]),"")</f>
        <v/>
      </c>
      <c r="J983" s="116" t="str">
        <f>IF(Tab.o1[[#This Row],[a1]]=1,((Tab.o1[[#This Row],[DIF_Target.]]-AVERAGE(Tab.o1[DIF_Target.]))/_xlfn.STDEV.P(Tab.o1[DIF_Target.])),"")</f>
        <v/>
      </c>
      <c r="K983" s="117" t="str">
        <f>IF(Tab.o1[[#This Row],[a1]]=1,IF(J$2=0,Tab.o1[[#This Row],[MOD]]-Tab.o1[[#This Row],[B]],IF(J$2=1,0,-Tab.o1[[#This Row],[MED]])+Tab.o1[[#This Row],[B]]),"")</f>
        <v/>
      </c>
      <c r="L983" s="117" t="str">
        <f ca="1">IF(Tab.o1[[#This Row],[DIF_Target]]=0,IF(L$2=0,Tab.o1[[#This Row],[DIF_Target]],AVERAGE(OFFSET(Tab.o1[[#This Row],[DIF_Target]],1,0,L$3,1)))/3,Tab.o1[[#This Row],[DIF_Target]])</f>
        <v/>
      </c>
      <c r="M983" s="118" t="str">
        <f>IF(Tab.o1[[#This Row],[a1]]=1,NORMSDIST(Tab.o1[[#This Row],[Za]]),"")</f>
        <v/>
      </c>
      <c r="N983" s="119" t="str">
        <f>IF(Tab.o1[[#This Row],[a1]]=1,((Tab.o1[[#This Row],[MedMod]]-AVERAGE(Tab.o1[MedMod]))/_xlfn.STDEV.P(Tab.o1[MedMod])*H$1205)+G$1205,"")</f>
        <v/>
      </c>
      <c r="O983" s="141" t="str">
        <f>IF(Tab.o1[[#This Row],[a1]]=1,Tab.o1[[#This Row],[Zb]]*_xlfn.STDEV.P(Tab.o1[MedMod])+AVERAGE(Tab.o1[MedMod]),"")</f>
        <v/>
      </c>
      <c r="P983" s="117" t="str">
        <f ca="1">IF(Tab.o1[[#This Row],[B]]=0,AVERAGE(OFFSET(Tab.o1[[#This Row],[B]],1,0,L$3,1)),Tab.o1[[#This Row],[B]])</f>
        <v/>
      </c>
      <c r="Q983" s="121" t="str">
        <f>IF(Tab.o1[[#This Row],[a1]]=1,NORMSDIST(Tab.o1[[#This Row],[Zb]]),"")</f>
        <v/>
      </c>
      <c r="R983" s="122" t="str">
        <f>IF(Tab.o1[[#This Row],[a1]]=1,((Tab.o1[[#This Row],[MedMod]]-AVERAGE(Tab.o1[MedMod]))/_xlfn.STDEV.P(Tab.o1[MedMod])*H$1203)+G$1203,"")</f>
        <v/>
      </c>
      <c r="S983" s="122" t="str">
        <f>IF(Tab.o1[[#This Row],[a1]]=1,((Tab.o1[[#This Row],[MedMod]]-AVERAGE(Tab.o1[MedMod]))/_xlfn.STDEV.P(Tab.o1[MedMod])*H$1204)+G$1204,"")</f>
        <v/>
      </c>
      <c r="T983" s="123" t="str">
        <f>IF(Tab.o1[[#This Row],[a1]]=1,Tab.o1[[#This Row],[Z-]]*_xlfn.STDEV.P(Tab.o1[B])+AVERAGE(Tab.o1[B]),"")</f>
        <v/>
      </c>
      <c r="U983" s="123" t="str">
        <f>IF(Tab.o1[[#This Row],[a1]]=1,Tab.o1[[#This Row],[z+]]*_xlfn.STDEV.P(Tab.o1[B])+AVERAGE(Tab.o1[B]),"")</f>
        <v/>
      </c>
      <c r="V983" s="124" t="str">
        <f>IF(Tab.o1[[#This Row],[a1]]=1,ABS((ABS(Tab.o1[[#This Row],[Red]]-Tab.o1[[#This Row],[Blue]]))),"")</f>
        <v/>
      </c>
      <c r="W983" s="125" t="str">
        <f>IF(Tab.o1[[#This Row],[a1]]=1,IF(W$3=0,1,Tab.o1[[#This Row],[Amp.]]*1/_xlfn.MINIFS(Tab.o1[Amp.],Tab.o1[Amp.],"&lt;&gt;0")),"")</f>
        <v/>
      </c>
      <c r="X983" s="126" t="str">
        <f>IF(Tab.o1[[#This Row],[a1]]=1,IF(ISNUMBER(Tab.o1[[#This Row],[i.]]),NORMDIST(Tab.o1[[#This Row],[Za]],0,1,FALSE)*Tab.o1[[#This Row],[i.]],AP$3),"")</f>
        <v/>
      </c>
      <c r="Y983" s="126" t="str">
        <f>IF(Tab.o1[[#This Row],[a1]]=1,0.01+0.94*Tab.o1[[#This Row],[PDF]]/MAX(Tab.o1[PDF]),"")</f>
        <v/>
      </c>
      <c r="Z983" s="126" t="str">
        <f>IF(Tab.o1[[#This Row],[a1]]=1,0.01+0.94*Tab.o1[[#This Row],[W1_PDF]]/MAX(Tab.o1[W1_PDF]),"")</f>
        <v/>
      </c>
      <c r="AA983" s="118" t="str">
        <f>IF(Tab.o1[[#This Row],[a1]]=1,ABS([1]!T.in.A[[#This Row],[oo6]]),"")</f>
        <v/>
      </c>
      <c r="AB983" s="127" t="str">
        <f>IF(Tab.o1[[#This Row],[a1]]=1,IF(AE$3=0,"",IF(AB$3=0,ABS([1]!T.in.A[[#This Row],[oo9]]),ABS(Tab.o1[[#This Row],[DIF_Target.]]*Tab.o1[[#This Row],[W1_PDF]]))),"")</f>
        <v/>
      </c>
      <c r="AC983" s="127" t="str">
        <f>IF(G$1=1,"",IF(Tab.o1[[#This Row],[a1]]=1,Tab.o1[[#This Row],[Wr]]^2,""))</f>
        <v/>
      </c>
      <c r="AD983" s="118" t="str">
        <f>IF(Tab.o1[[#This Row],[a1]]=1,IF(AE$3=0,"",Tab.o1[[#This Row],[Wr2]]/SUM(Tab.o1[Wr2])),"")</f>
        <v/>
      </c>
      <c r="AE983" s="128" t="str">
        <f>IF(Tab.o1[[#This Row],[a1]]=1,[1]!T.in.A[[#This Row],[oo10]],"")</f>
        <v/>
      </c>
      <c r="AF983" s="118" t="str">
        <f>IF(Tab.o1[[#This Row],[a1]]=1,ABS(Tab.o1[[#This Row],[DIF_Target.]]*Tab.o1[[#This Row],[PDF2]]*Tab.o1[[#This Row],[IN]]),"")</f>
        <v/>
      </c>
      <c r="AG983" s="129" t="str">
        <f>IF(Tab.o1[[#This Row],[a1]]=1,Tab.o1[[#This Row],[rW]]^2,"")</f>
        <v/>
      </c>
      <c r="AH983" s="130" t="str">
        <f>IF(Tab.o1[[#This Row],[a1]]=1,IF(AH$3=0,Tab.o1[[#This Row],[rW2]],0.01+0.94*Tab.o1[[#This Row],[rW2]]/SUM(Tab.o1[rW2])),"")</f>
        <v/>
      </c>
      <c r="AI983" s="128" t="str">
        <f>IF(Tab.o1[[#This Row],[a1]]=1,1/Tab.o1[[#This Row],[PDF]],"")</f>
        <v/>
      </c>
      <c r="AJ983" s="131" t="str">
        <f>IF(Tab.o1[[#This Row],[a1]]=1,[1]!T_AA[[#This Row],[IN'']]*[1]!T_AA[[#This Row],[Qde'']],"")</f>
        <v/>
      </c>
      <c r="AK983" s="132" t="str">
        <f>IF(Tab.o1[[#This Row],[a1]]=1,IF(AK$1=1,Tab.o1[[#This Row],[MED]]+Tab.o1[[#This Row],[MOD]]-Tab.o1[[#This Row],[MED]],""),"")</f>
        <v/>
      </c>
      <c r="AL983" s="133" t="str">
        <f>IF(Tab.o1[[#This Row],[a1]]=1,[1]!T.in.A[[#This Row],[oo16]],"")</f>
        <v/>
      </c>
      <c r="AM983" s="133" t="str">
        <f>IF(Tab.o1[[#This Row],[a1]]=1,IF(AM$3=1,[1]!T.in.A[[#This Row],[Σo16]],""),"")</f>
        <v/>
      </c>
      <c r="AN983" s="126" t="str">
        <f>IF(Tab.o1[[#This Row],[a1]]=1,[1]!T.in.A[[#This Row],[Σp5]],"")</f>
        <v/>
      </c>
      <c r="AO983" s="126" t="str">
        <f>IF(Tab.o1[[#This Row],[a1]]=1,IF(AO$3=1,[1]!T.in.A[[#This Row],[Σp5]],""),"")</f>
        <v/>
      </c>
      <c r="AP983" s="110" t="str">
        <f>IF(Tab.o1[[#This Row],[a1]]=1,IF(ISNUMBER(Tab.o1[[#This Row],[i.]]),NORMDIST(Tab.o1[[#This Row],[Za]],0,1,FALSE)*Tab.o1[[#This Row],[i.]],0),"")</f>
        <v/>
      </c>
      <c r="AQ983" s="125" t="str">
        <f>IF(Tab.o1[[#This Row],[a1]]=1,ABS(Tab.o1[[#This Row],[MOD]]-AVERAGE(Tab.o1[MOD])),"")</f>
        <v/>
      </c>
      <c r="AR983" s="134" t="str">
        <f>IF(Tab.o1[[#This Row],[a1]]=1,Tab.o1[[#This Row],[OBS]]/SUM(Tab.o1[OBS]),"")</f>
        <v/>
      </c>
      <c r="AS983" s="135" t="str">
        <f>IF(ISNUMBER(Tab.o1[[#This Row],[a1]]),ROW()-4,"")</f>
        <v/>
      </c>
      <c r="AT983" s="136" t="str">
        <f>Tab.o1[[#This Row],[MOD]]</f>
        <v/>
      </c>
      <c r="AU983" s="137" t="str">
        <f t="shared" si="61"/>
        <v/>
      </c>
      <c r="AV983" s="138" t="str">
        <f t="shared" si="62"/>
        <v/>
      </c>
      <c r="AW983" s="138" t="str">
        <f t="shared" si="63"/>
        <v/>
      </c>
      <c r="AX983" s="139" t="str">
        <f>[1]!T.in.A[[#This Row],[ID_T_manu]]</f>
        <v/>
      </c>
      <c r="AY983" s="140" t="str">
        <f>IF(ISNUMBER(Tab.o1[[#This Row],[a1]]),IF(AND(Tab.o1[[#This Row],[a1]]=1,Tab.o1[[#This Row],[b1]]&lt;=AY$4),#REF!,AY982),"")</f>
        <v/>
      </c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6"/>
      <c r="BO983" s="26"/>
      <c r="BP983" s="26"/>
      <c r="BQ983" s="26"/>
      <c r="BR983" s="26"/>
      <c r="BS983" s="26"/>
      <c r="BT983" s="26"/>
      <c r="BU983" s="26"/>
      <c r="BV983" s="26"/>
      <c r="BW983" s="26"/>
      <c r="BX983" s="26"/>
      <c r="BY983" s="26"/>
      <c r="BZ983" s="26"/>
      <c r="CA983" s="26"/>
    </row>
    <row r="984" spans="1:79" ht="15.75" hidden="1">
      <c r="A984" s="109">
        <v>-5.9999999999999993E-6</v>
      </c>
      <c r="B984" s="110">
        <f t="shared" si="60"/>
        <v>984</v>
      </c>
      <c r="C984" s="111" t="str">
        <f>IF(C$1=[1]!T.in.A[[#This Row],[oo2]],1,"")</f>
        <v/>
      </c>
      <c r="D984" s="112" t="str">
        <f>IF(Tab.o1[[#This Row],[a1]]=1,IF(SUM(C984:C985)=0,0,IF(SUM(C983:C984)=1,1,IF(SUM(C983:C985)&gt;1,D983+1,0))),"")</f>
        <v/>
      </c>
      <c r="E984" s="113" t="str">
        <f>IF(Tab.o1[[#This Row],[a1]]=1,[1]!T.in.A[[#This Row],[oo1]],"")</f>
        <v/>
      </c>
      <c r="F984" s="113" t="str">
        <f>IF(Tab.o1[[#This Row],[a1]]=1,[1]!T.in.A[[#This Row],[pp1]],"")</f>
        <v/>
      </c>
      <c r="G984" s="114" t="str">
        <f>IF(Tab.o1[[#This Row],[a1]]=1,G$2+IF(G$1=1,0,Tab.o1[[#This Row],[.x1]])+[1]!T.in.A[[#This Row],[oo3]],"")</f>
        <v/>
      </c>
      <c r="H984" s="115" t="str">
        <f>IF(Tab.o1[[#This Row],[a1]]=1,IF(H$2=0,0,IF(G$1=1,0,Tab.o1[[#This Row],[.x1]])+[1]!T.in.A[[#This Row],[oo4]]),"")</f>
        <v/>
      </c>
      <c r="I984" s="116" t="str">
        <f>IF(Tab.o1[[#This Row],[a1]]=1,IF(J$2=0,Tab.o1[[#This Row],[MED]],Tab.o1[[#This Row],[MOD]]),"")</f>
        <v/>
      </c>
      <c r="J984" s="116" t="str">
        <f>IF(Tab.o1[[#This Row],[a1]]=1,((Tab.o1[[#This Row],[DIF_Target.]]-AVERAGE(Tab.o1[DIF_Target.]))/_xlfn.STDEV.P(Tab.o1[DIF_Target.])),"")</f>
        <v/>
      </c>
      <c r="K984" s="117" t="str">
        <f>IF(Tab.o1[[#This Row],[a1]]=1,IF(J$2=0,Tab.o1[[#This Row],[MOD]]-Tab.o1[[#This Row],[B]],IF(J$2=1,0,-Tab.o1[[#This Row],[MED]])+Tab.o1[[#This Row],[B]]),"")</f>
        <v/>
      </c>
      <c r="L984" s="117" t="str">
        <f ca="1">IF(Tab.o1[[#This Row],[DIF_Target]]=0,IF(L$2=0,Tab.o1[[#This Row],[DIF_Target]],AVERAGE(OFFSET(Tab.o1[[#This Row],[DIF_Target]],1,0,L$3,1)))/3,Tab.o1[[#This Row],[DIF_Target]])</f>
        <v/>
      </c>
      <c r="M984" s="118" t="str">
        <f>IF(Tab.o1[[#This Row],[a1]]=1,NORMSDIST(Tab.o1[[#This Row],[Za]]),"")</f>
        <v/>
      </c>
      <c r="N984" s="119" t="str">
        <f>IF(Tab.o1[[#This Row],[a1]]=1,((Tab.o1[[#This Row],[MedMod]]-AVERAGE(Tab.o1[MedMod]))/_xlfn.STDEV.P(Tab.o1[MedMod])*H$1205)+G$1205,"")</f>
        <v/>
      </c>
      <c r="O984" s="141" t="str">
        <f>IF(Tab.o1[[#This Row],[a1]]=1,Tab.o1[[#This Row],[Zb]]*_xlfn.STDEV.P(Tab.o1[MedMod])+AVERAGE(Tab.o1[MedMod]),"")</f>
        <v/>
      </c>
      <c r="P984" s="117" t="str">
        <f ca="1">IF(Tab.o1[[#This Row],[B]]=0,AVERAGE(OFFSET(Tab.o1[[#This Row],[B]],1,0,L$3,1)),Tab.o1[[#This Row],[B]])</f>
        <v/>
      </c>
      <c r="Q984" s="121" t="str">
        <f>IF(Tab.o1[[#This Row],[a1]]=1,NORMSDIST(Tab.o1[[#This Row],[Zb]]),"")</f>
        <v/>
      </c>
      <c r="R984" s="122" t="str">
        <f>IF(Tab.o1[[#This Row],[a1]]=1,((Tab.o1[[#This Row],[MedMod]]-AVERAGE(Tab.o1[MedMod]))/_xlfn.STDEV.P(Tab.o1[MedMod])*H$1203)+G$1203,"")</f>
        <v/>
      </c>
      <c r="S984" s="122" t="str">
        <f>IF(Tab.o1[[#This Row],[a1]]=1,((Tab.o1[[#This Row],[MedMod]]-AVERAGE(Tab.o1[MedMod]))/_xlfn.STDEV.P(Tab.o1[MedMod])*H$1204)+G$1204,"")</f>
        <v/>
      </c>
      <c r="T984" s="123" t="str">
        <f>IF(Tab.o1[[#This Row],[a1]]=1,Tab.o1[[#This Row],[Z-]]*_xlfn.STDEV.P(Tab.o1[B])+AVERAGE(Tab.o1[B]),"")</f>
        <v/>
      </c>
      <c r="U984" s="123" t="str">
        <f>IF(Tab.o1[[#This Row],[a1]]=1,Tab.o1[[#This Row],[z+]]*_xlfn.STDEV.P(Tab.o1[B])+AVERAGE(Tab.o1[B]),"")</f>
        <v/>
      </c>
      <c r="V984" s="124" t="str">
        <f>IF(Tab.o1[[#This Row],[a1]]=1,ABS((ABS(Tab.o1[[#This Row],[Red]]-Tab.o1[[#This Row],[Blue]]))),"")</f>
        <v/>
      </c>
      <c r="W984" s="125" t="str">
        <f>IF(Tab.o1[[#This Row],[a1]]=1,IF(W$3=0,1,Tab.o1[[#This Row],[Amp.]]*1/_xlfn.MINIFS(Tab.o1[Amp.],Tab.o1[Amp.],"&lt;&gt;0")),"")</f>
        <v/>
      </c>
      <c r="X984" s="126" t="str">
        <f>IF(Tab.o1[[#This Row],[a1]]=1,IF(ISNUMBER(Tab.o1[[#This Row],[i.]]),NORMDIST(Tab.o1[[#This Row],[Za]],0,1,FALSE)*Tab.o1[[#This Row],[i.]],AP$3),"")</f>
        <v/>
      </c>
      <c r="Y984" s="126" t="str">
        <f>IF(Tab.o1[[#This Row],[a1]]=1,0.01+0.94*Tab.o1[[#This Row],[PDF]]/MAX(Tab.o1[PDF]),"")</f>
        <v/>
      </c>
      <c r="Z984" s="126" t="str">
        <f>IF(Tab.o1[[#This Row],[a1]]=1,0.01+0.94*Tab.o1[[#This Row],[W1_PDF]]/MAX(Tab.o1[W1_PDF]),"")</f>
        <v/>
      </c>
      <c r="AA984" s="118" t="str">
        <f>IF(Tab.o1[[#This Row],[a1]]=1,ABS([1]!T.in.A[[#This Row],[oo6]]),"")</f>
        <v/>
      </c>
      <c r="AB984" s="127" t="str">
        <f>IF(Tab.o1[[#This Row],[a1]]=1,IF(AE$3=0,"",IF(AB$3=0,ABS([1]!T.in.A[[#This Row],[oo9]]),ABS(Tab.o1[[#This Row],[DIF_Target.]]*Tab.o1[[#This Row],[W1_PDF]]))),"")</f>
        <v/>
      </c>
      <c r="AC984" s="127" t="str">
        <f>IF(G$1=1,"",IF(Tab.o1[[#This Row],[a1]]=1,Tab.o1[[#This Row],[Wr]]^2,""))</f>
        <v/>
      </c>
      <c r="AD984" s="118" t="str">
        <f>IF(Tab.o1[[#This Row],[a1]]=1,IF(AE$3=0,"",Tab.o1[[#This Row],[Wr2]]/SUM(Tab.o1[Wr2])),"")</f>
        <v/>
      </c>
      <c r="AE984" s="128" t="str">
        <f>IF(Tab.o1[[#This Row],[a1]]=1,[1]!T.in.A[[#This Row],[oo10]],"")</f>
        <v/>
      </c>
      <c r="AF984" s="118" t="str">
        <f>IF(Tab.o1[[#This Row],[a1]]=1,ABS(Tab.o1[[#This Row],[DIF_Target.]]*Tab.o1[[#This Row],[PDF2]]*Tab.o1[[#This Row],[IN]]),"")</f>
        <v/>
      </c>
      <c r="AG984" s="129" t="str">
        <f>IF(Tab.o1[[#This Row],[a1]]=1,Tab.o1[[#This Row],[rW]]^2,"")</f>
        <v/>
      </c>
      <c r="AH984" s="130" t="str">
        <f>IF(Tab.o1[[#This Row],[a1]]=1,IF(AH$3=0,Tab.o1[[#This Row],[rW2]],0.01+0.94*Tab.o1[[#This Row],[rW2]]/SUM(Tab.o1[rW2])),"")</f>
        <v/>
      </c>
      <c r="AI984" s="128" t="str">
        <f>IF(Tab.o1[[#This Row],[a1]]=1,1/Tab.o1[[#This Row],[PDF]],"")</f>
        <v/>
      </c>
      <c r="AJ984" s="131" t="str">
        <f>IF(Tab.o1[[#This Row],[a1]]=1,[1]!T_AA[[#This Row],[IN'']]*[1]!T_AA[[#This Row],[Qde'']],"")</f>
        <v/>
      </c>
      <c r="AK984" s="132" t="str">
        <f>IF(Tab.o1[[#This Row],[a1]]=1,IF(AK$1=1,Tab.o1[[#This Row],[MED]]+Tab.o1[[#This Row],[MOD]]-Tab.o1[[#This Row],[MED]],""),"")</f>
        <v/>
      </c>
      <c r="AL984" s="133" t="str">
        <f>IF(Tab.o1[[#This Row],[a1]]=1,[1]!T.in.A[[#This Row],[oo16]],"")</f>
        <v/>
      </c>
      <c r="AM984" s="133" t="str">
        <f>IF(Tab.o1[[#This Row],[a1]]=1,IF(AM$3=1,[1]!T.in.A[[#This Row],[Σo16]],""),"")</f>
        <v/>
      </c>
      <c r="AN984" s="126" t="str">
        <f>IF(Tab.o1[[#This Row],[a1]]=1,[1]!T.in.A[[#This Row],[Σp5]],"")</f>
        <v/>
      </c>
      <c r="AO984" s="126" t="str">
        <f>IF(Tab.o1[[#This Row],[a1]]=1,IF(AO$3=1,[1]!T.in.A[[#This Row],[Σp5]],""),"")</f>
        <v/>
      </c>
      <c r="AP984" s="110" t="str">
        <f>IF(Tab.o1[[#This Row],[a1]]=1,IF(ISNUMBER(Tab.o1[[#This Row],[i.]]),NORMDIST(Tab.o1[[#This Row],[Za]],0,1,FALSE)*Tab.o1[[#This Row],[i.]],0),"")</f>
        <v/>
      </c>
      <c r="AQ984" s="125" t="str">
        <f>IF(Tab.o1[[#This Row],[a1]]=1,ABS(Tab.o1[[#This Row],[MOD]]-AVERAGE(Tab.o1[MOD])),"")</f>
        <v/>
      </c>
      <c r="AR984" s="134" t="str">
        <f>IF(Tab.o1[[#This Row],[a1]]=1,Tab.o1[[#This Row],[OBS]]/SUM(Tab.o1[OBS]),"")</f>
        <v/>
      </c>
      <c r="AS984" s="135" t="str">
        <f>IF(ISNUMBER(Tab.o1[[#This Row],[a1]]),ROW()-4,"")</f>
        <v/>
      </c>
      <c r="AT984" s="136" t="str">
        <f>Tab.o1[[#This Row],[MOD]]</f>
        <v/>
      </c>
      <c r="AU984" s="137" t="str">
        <f t="shared" si="61"/>
        <v/>
      </c>
      <c r="AV984" s="138" t="str">
        <f t="shared" si="62"/>
        <v/>
      </c>
      <c r="AW984" s="138" t="str">
        <f t="shared" si="63"/>
        <v/>
      </c>
      <c r="AX984" s="139" t="str">
        <f>[1]!T.in.A[[#This Row],[ID_T_manu]]</f>
        <v/>
      </c>
      <c r="AY984" s="140" t="str">
        <f>IF(ISNUMBER(Tab.o1[[#This Row],[a1]]),IF(AND(Tab.o1[[#This Row],[a1]]=1,Tab.o1[[#This Row],[b1]]&lt;=AY$4),#REF!,AY983),"")</f>
        <v/>
      </c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6"/>
      <c r="BO984" s="26"/>
      <c r="BP984" s="26"/>
      <c r="BQ984" s="26"/>
      <c r="BR984" s="26"/>
      <c r="BS984" s="26"/>
      <c r="BT984" s="26"/>
      <c r="BU984" s="26"/>
      <c r="BV984" s="26"/>
      <c r="BW984" s="26"/>
      <c r="BX984" s="26"/>
      <c r="BY984" s="26"/>
      <c r="BZ984" s="26"/>
      <c r="CA984" s="26"/>
    </row>
    <row r="985" spans="1:79" ht="15.75" hidden="1">
      <c r="A985" s="109">
        <v>-5.9999999999999993E-6</v>
      </c>
      <c r="B985" s="110">
        <f t="shared" si="60"/>
        <v>985</v>
      </c>
      <c r="C985" s="111" t="str">
        <f>IF(C$1=[1]!T.in.A[[#This Row],[oo2]],1,"")</f>
        <v/>
      </c>
      <c r="D985" s="112" t="str">
        <f>IF(Tab.o1[[#This Row],[a1]]=1,IF(SUM(C985:C986)=0,0,IF(SUM(C984:C985)=1,1,IF(SUM(C984:C986)&gt;1,D984+1,0))),"")</f>
        <v/>
      </c>
      <c r="E985" s="113" t="str">
        <f>IF(Tab.o1[[#This Row],[a1]]=1,[1]!T.in.A[[#This Row],[oo1]],"")</f>
        <v/>
      </c>
      <c r="F985" s="113" t="str">
        <f>IF(Tab.o1[[#This Row],[a1]]=1,[1]!T.in.A[[#This Row],[pp1]],"")</f>
        <v/>
      </c>
      <c r="G985" s="114" t="str">
        <f>IF(Tab.o1[[#This Row],[a1]]=1,G$2+IF(G$1=1,0,Tab.o1[[#This Row],[.x1]])+[1]!T.in.A[[#This Row],[oo3]],"")</f>
        <v/>
      </c>
      <c r="H985" s="115" t="str">
        <f>IF(Tab.o1[[#This Row],[a1]]=1,IF(H$2=0,0,IF(G$1=1,0,Tab.o1[[#This Row],[.x1]])+[1]!T.in.A[[#This Row],[oo4]]),"")</f>
        <v/>
      </c>
      <c r="I985" s="116" t="str">
        <f>IF(Tab.o1[[#This Row],[a1]]=1,IF(J$2=0,Tab.o1[[#This Row],[MED]],Tab.o1[[#This Row],[MOD]]),"")</f>
        <v/>
      </c>
      <c r="J985" s="116" t="str">
        <f>IF(Tab.o1[[#This Row],[a1]]=1,((Tab.o1[[#This Row],[DIF_Target.]]-AVERAGE(Tab.o1[DIF_Target.]))/_xlfn.STDEV.P(Tab.o1[DIF_Target.])),"")</f>
        <v/>
      </c>
      <c r="K985" s="117" t="str">
        <f>IF(Tab.o1[[#This Row],[a1]]=1,IF(J$2=0,Tab.o1[[#This Row],[MOD]]-Tab.o1[[#This Row],[B]],IF(J$2=1,0,-Tab.o1[[#This Row],[MED]])+Tab.o1[[#This Row],[B]]),"")</f>
        <v/>
      </c>
      <c r="L985" s="117" t="str">
        <f ca="1">IF(Tab.o1[[#This Row],[DIF_Target]]=0,IF(L$2=0,Tab.o1[[#This Row],[DIF_Target]],AVERAGE(OFFSET(Tab.o1[[#This Row],[DIF_Target]],1,0,L$3,1)))/3,Tab.o1[[#This Row],[DIF_Target]])</f>
        <v/>
      </c>
      <c r="M985" s="118" t="str">
        <f>IF(Tab.o1[[#This Row],[a1]]=1,NORMSDIST(Tab.o1[[#This Row],[Za]]),"")</f>
        <v/>
      </c>
      <c r="N985" s="119" t="str">
        <f>IF(Tab.o1[[#This Row],[a1]]=1,((Tab.o1[[#This Row],[MedMod]]-AVERAGE(Tab.o1[MedMod]))/_xlfn.STDEV.P(Tab.o1[MedMod])*H$1205)+G$1205,"")</f>
        <v/>
      </c>
      <c r="O985" s="141" t="str">
        <f>IF(Tab.o1[[#This Row],[a1]]=1,Tab.o1[[#This Row],[Zb]]*_xlfn.STDEV.P(Tab.o1[MedMod])+AVERAGE(Tab.o1[MedMod]),"")</f>
        <v/>
      </c>
      <c r="P985" s="117" t="str">
        <f ca="1">IF(Tab.o1[[#This Row],[B]]=0,AVERAGE(OFFSET(Tab.o1[[#This Row],[B]],1,0,L$3,1)),Tab.o1[[#This Row],[B]])</f>
        <v/>
      </c>
      <c r="Q985" s="121" t="str">
        <f>IF(Tab.o1[[#This Row],[a1]]=1,NORMSDIST(Tab.o1[[#This Row],[Zb]]),"")</f>
        <v/>
      </c>
      <c r="R985" s="122" t="str">
        <f>IF(Tab.o1[[#This Row],[a1]]=1,((Tab.o1[[#This Row],[MedMod]]-AVERAGE(Tab.o1[MedMod]))/_xlfn.STDEV.P(Tab.o1[MedMod])*H$1203)+G$1203,"")</f>
        <v/>
      </c>
      <c r="S985" s="122" t="str">
        <f>IF(Tab.o1[[#This Row],[a1]]=1,((Tab.o1[[#This Row],[MedMod]]-AVERAGE(Tab.o1[MedMod]))/_xlfn.STDEV.P(Tab.o1[MedMod])*H$1204)+G$1204,"")</f>
        <v/>
      </c>
      <c r="T985" s="123" t="str">
        <f>IF(Tab.o1[[#This Row],[a1]]=1,Tab.o1[[#This Row],[Z-]]*_xlfn.STDEV.P(Tab.o1[B])+AVERAGE(Tab.o1[B]),"")</f>
        <v/>
      </c>
      <c r="U985" s="123" t="str">
        <f>IF(Tab.o1[[#This Row],[a1]]=1,Tab.o1[[#This Row],[z+]]*_xlfn.STDEV.P(Tab.o1[B])+AVERAGE(Tab.o1[B]),"")</f>
        <v/>
      </c>
      <c r="V985" s="124" t="str">
        <f>IF(Tab.o1[[#This Row],[a1]]=1,ABS((ABS(Tab.o1[[#This Row],[Red]]-Tab.o1[[#This Row],[Blue]]))),"")</f>
        <v/>
      </c>
      <c r="W985" s="125" t="str">
        <f>IF(Tab.o1[[#This Row],[a1]]=1,IF(W$3=0,1,Tab.o1[[#This Row],[Amp.]]*1/_xlfn.MINIFS(Tab.o1[Amp.],Tab.o1[Amp.],"&lt;&gt;0")),"")</f>
        <v/>
      </c>
      <c r="X985" s="126" t="str">
        <f>IF(Tab.o1[[#This Row],[a1]]=1,IF(ISNUMBER(Tab.o1[[#This Row],[i.]]),NORMDIST(Tab.o1[[#This Row],[Za]],0,1,FALSE)*Tab.o1[[#This Row],[i.]],AP$3),"")</f>
        <v/>
      </c>
      <c r="Y985" s="126" t="str">
        <f>IF(Tab.o1[[#This Row],[a1]]=1,0.01+0.94*Tab.o1[[#This Row],[PDF]]/MAX(Tab.o1[PDF]),"")</f>
        <v/>
      </c>
      <c r="Z985" s="126" t="str">
        <f>IF(Tab.o1[[#This Row],[a1]]=1,0.01+0.94*Tab.o1[[#This Row],[W1_PDF]]/MAX(Tab.o1[W1_PDF]),"")</f>
        <v/>
      </c>
      <c r="AA985" s="118" t="str">
        <f>IF(Tab.o1[[#This Row],[a1]]=1,ABS([1]!T.in.A[[#This Row],[oo6]]),"")</f>
        <v/>
      </c>
      <c r="AB985" s="127" t="str">
        <f>IF(Tab.o1[[#This Row],[a1]]=1,IF(AE$3=0,"",IF(AB$3=0,ABS([1]!T.in.A[[#This Row],[oo9]]),ABS(Tab.o1[[#This Row],[DIF_Target.]]*Tab.o1[[#This Row],[W1_PDF]]))),"")</f>
        <v/>
      </c>
      <c r="AC985" s="127" t="str">
        <f>IF(G$1=1,"",IF(Tab.o1[[#This Row],[a1]]=1,Tab.o1[[#This Row],[Wr]]^2,""))</f>
        <v/>
      </c>
      <c r="AD985" s="118" t="str">
        <f>IF(Tab.o1[[#This Row],[a1]]=1,IF(AE$3=0,"",Tab.o1[[#This Row],[Wr2]]/SUM(Tab.o1[Wr2])),"")</f>
        <v/>
      </c>
      <c r="AE985" s="128" t="str">
        <f>IF(Tab.o1[[#This Row],[a1]]=1,[1]!T.in.A[[#This Row],[oo10]],"")</f>
        <v/>
      </c>
      <c r="AF985" s="118" t="str">
        <f>IF(Tab.o1[[#This Row],[a1]]=1,ABS(Tab.o1[[#This Row],[DIF_Target.]]*Tab.o1[[#This Row],[PDF2]]*Tab.o1[[#This Row],[IN]]),"")</f>
        <v/>
      </c>
      <c r="AG985" s="129" t="str">
        <f>IF(Tab.o1[[#This Row],[a1]]=1,Tab.o1[[#This Row],[rW]]^2,"")</f>
        <v/>
      </c>
      <c r="AH985" s="130" t="str">
        <f>IF(Tab.o1[[#This Row],[a1]]=1,IF(AH$3=0,Tab.o1[[#This Row],[rW2]],0.01+0.94*Tab.o1[[#This Row],[rW2]]/SUM(Tab.o1[rW2])),"")</f>
        <v/>
      </c>
      <c r="AI985" s="128" t="str">
        <f>IF(Tab.o1[[#This Row],[a1]]=1,1/Tab.o1[[#This Row],[PDF]],"")</f>
        <v/>
      </c>
      <c r="AJ985" s="131" t="str">
        <f>IF(Tab.o1[[#This Row],[a1]]=1,[1]!T_AA[[#This Row],[IN'']]*[1]!T_AA[[#This Row],[Qde'']],"")</f>
        <v/>
      </c>
      <c r="AK985" s="132" t="str">
        <f>IF(Tab.o1[[#This Row],[a1]]=1,IF(AK$1=1,Tab.o1[[#This Row],[MED]]+Tab.o1[[#This Row],[MOD]]-Tab.o1[[#This Row],[MED]],""),"")</f>
        <v/>
      </c>
      <c r="AL985" s="133" t="str">
        <f>IF(Tab.o1[[#This Row],[a1]]=1,[1]!T.in.A[[#This Row],[oo16]],"")</f>
        <v/>
      </c>
      <c r="AM985" s="133" t="str">
        <f>IF(Tab.o1[[#This Row],[a1]]=1,IF(AM$3=1,[1]!T.in.A[[#This Row],[Σo16]],""),"")</f>
        <v/>
      </c>
      <c r="AN985" s="126" t="str">
        <f>IF(Tab.o1[[#This Row],[a1]]=1,[1]!T.in.A[[#This Row],[Σp5]],"")</f>
        <v/>
      </c>
      <c r="AO985" s="126" t="str">
        <f>IF(Tab.o1[[#This Row],[a1]]=1,IF(AO$3=1,[1]!T.in.A[[#This Row],[Σp5]],""),"")</f>
        <v/>
      </c>
      <c r="AP985" s="110" t="str">
        <f>IF(Tab.o1[[#This Row],[a1]]=1,IF(ISNUMBER(Tab.o1[[#This Row],[i.]]),NORMDIST(Tab.o1[[#This Row],[Za]],0,1,FALSE)*Tab.o1[[#This Row],[i.]],0),"")</f>
        <v/>
      </c>
      <c r="AQ985" s="125" t="str">
        <f>IF(Tab.o1[[#This Row],[a1]]=1,ABS(Tab.o1[[#This Row],[MOD]]-AVERAGE(Tab.o1[MOD])),"")</f>
        <v/>
      </c>
      <c r="AR985" s="134" t="str">
        <f>IF(Tab.o1[[#This Row],[a1]]=1,Tab.o1[[#This Row],[OBS]]/SUM(Tab.o1[OBS]),"")</f>
        <v/>
      </c>
      <c r="AS985" s="135" t="str">
        <f>IF(ISNUMBER(Tab.o1[[#This Row],[a1]]),ROW()-4,"")</f>
        <v/>
      </c>
      <c r="AT985" s="136" t="str">
        <f>Tab.o1[[#This Row],[MOD]]</f>
        <v/>
      </c>
      <c r="AU985" s="137" t="str">
        <f t="shared" si="61"/>
        <v/>
      </c>
      <c r="AV985" s="138" t="str">
        <f t="shared" si="62"/>
        <v/>
      </c>
      <c r="AW985" s="138" t="str">
        <f t="shared" si="63"/>
        <v/>
      </c>
      <c r="AX985" s="139" t="str">
        <f>[1]!T.in.A[[#This Row],[ID_T_manu]]</f>
        <v/>
      </c>
      <c r="AY985" s="140" t="str">
        <f>IF(ISNUMBER(Tab.o1[[#This Row],[a1]]),IF(AND(Tab.o1[[#This Row],[a1]]=1,Tab.o1[[#This Row],[b1]]&lt;=AY$4),#REF!,AY984),"")</f>
        <v/>
      </c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6"/>
      <c r="BO985" s="26"/>
      <c r="BP985" s="26"/>
      <c r="BQ985" s="26"/>
      <c r="BR985" s="26"/>
      <c r="BS985" s="26"/>
      <c r="BT985" s="26"/>
      <c r="BU985" s="26"/>
      <c r="BV985" s="26"/>
      <c r="BW985" s="26"/>
      <c r="BX985" s="26"/>
      <c r="BY985" s="26"/>
      <c r="BZ985" s="26"/>
      <c r="CA985" s="26"/>
    </row>
    <row r="986" spans="1:79" ht="15.75" hidden="1">
      <c r="A986" s="109">
        <v>4.0000000000000007E-6</v>
      </c>
      <c r="B986" s="110">
        <f t="shared" si="60"/>
        <v>986</v>
      </c>
      <c r="C986" s="111" t="str">
        <f>IF(C$1=[1]!T.in.A[[#This Row],[oo2]],1,"")</f>
        <v/>
      </c>
      <c r="D986" s="112" t="str">
        <f>IF(Tab.o1[[#This Row],[a1]]=1,IF(SUM(C986:C987)=0,0,IF(SUM(C985:C986)=1,1,IF(SUM(C985:C987)&gt;1,D985+1,0))),"")</f>
        <v/>
      </c>
      <c r="E986" s="113" t="str">
        <f>IF(Tab.o1[[#This Row],[a1]]=1,[1]!T.in.A[[#This Row],[oo1]],"")</f>
        <v/>
      </c>
      <c r="F986" s="113" t="str">
        <f>IF(Tab.o1[[#This Row],[a1]]=1,[1]!T.in.A[[#This Row],[pp1]],"")</f>
        <v/>
      </c>
      <c r="G986" s="114" t="str">
        <f>IF(Tab.o1[[#This Row],[a1]]=1,G$2+IF(G$1=1,0,Tab.o1[[#This Row],[.x1]])+[1]!T.in.A[[#This Row],[oo3]],"")</f>
        <v/>
      </c>
      <c r="H986" s="115" t="str">
        <f>IF(Tab.o1[[#This Row],[a1]]=1,IF(H$2=0,0,IF(G$1=1,0,Tab.o1[[#This Row],[.x1]])+[1]!T.in.A[[#This Row],[oo4]]),"")</f>
        <v/>
      </c>
      <c r="I986" s="116" t="str">
        <f>IF(Tab.o1[[#This Row],[a1]]=1,IF(J$2=0,Tab.o1[[#This Row],[MED]],Tab.o1[[#This Row],[MOD]]),"")</f>
        <v/>
      </c>
      <c r="J986" s="116" t="str">
        <f>IF(Tab.o1[[#This Row],[a1]]=1,((Tab.o1[[#This Row],[DIF_Target.]]-AVERAGE(Tab.o1[DIF_Target.]))/_xlfn.STDEV.P(Tab.o1[DIF_Target.])),"")</f>
        <v/>
      </c>
      <c r="K986" s="117" t="str">
        <f>IF(Tab.o1[[#This Row],[a1]]=1,IF(J$2=0,Tab.o1[[#This Row],[MOD]]-Tab.o1[[#This Row],[B]],IF(J$2=1,0,-Tab.o1[[#This Row],[MED]])+Tab.o1[[#This Row],[B]]),"")</f>
        <v/>
      </c>
      <c r="L986" s="117" t="str">
        <f ca="1">IF(Tab.o1[[#This Row],[DIF_Target]]=0,IF(L$2=0,Tab.o1[[#This Row],[DIF_Target]],AVERAGE(OFFSET(Tab.o1[[#This Row],[DIF_Target]],1,0,L$3,1)))/3,Tab.o1[[#This Row],[DIF_Target]])</f>
        <v/>
      </c>
      <c r="M986" s="118" t="str">
        <f>IF(Tab.o1[[#This Row],[a1]]=1,NORMSDIST(Tab.o1[[#This Row],[Za]]),"")</f>
        <v/>
      </c>
      <c r="N986" s="119" t="str">
        <f>IF(Tab.o1[[#This Row],[a1]]=1,((Tab.o1[[#This Row],[MedMod]]-AVERAGE(Tab.o1[MedMod]))/_xlfn.STDEV.P(Tab.o1[MedMod])*H$1205)+G$1205,"")</f>
        <v/>
      </c>
      <c r="O986" s="141" t="str">
        <f>IF(Tab.o1[[#This Row],[a1]]=1,Tab.o1[[#This Row],[Zb]]*_xlfn.STDEV.P(Tab.o1[MedMod])+AVERAGE(Tab.o1[MedMod]),"")</f>
        <v/>
      </c>
      <c r="P986" s="117" t="str">
        <f ca="1">IF(Tab.o1[[#This Row],[B]]=0,AVERAGE(OFFSET(Tab.o1[[#This Row],[B]],1,0,L$3,1)),Tab.o1[[#This Row],[B]])</f>
        <v/>
      </c>
      <c r="Q986" s="121" t="str">
        <f>IF(Tab.o1[[#This Row],[a1]]=1,NORMSDIST(Tab.o1[[#This Row],[Zb]]),"")</f>
        <v/>
      </c>
      <c r="R986" s="122" t="str">
        <f>IF(Tab.o1[[#This Row],[a1]]=1,((Tab.o1[[#This Row],[MedMod]]-AVERAGE(Tab.o1[MedMod]))/_xlfn.STDEV.P(Tab.o1[MedMod])*H$1203)+G$1203,"")</f>
        <v/>
      </c>
      <c r="S986" s="122" t="str">
        <f>IF(Tab.o1[[#This Row],[a1]]=1,((Tab.o1[[#This Row],[MedMod]]-AVERAGE(Tab.o1[MedMod]))/_xlfn.STDEV.P(Tab.o1[MedMod])*H$1204)+G$1204,"")</f>
        <v/>
      </c>
      <c r="T986" s="123" t="str">
        <f>IF(Tab.o1[[#This Row],[a1]]=1,Tab.o1[[#This Row],[Z-]]*_xlfn.STDEV.P(Tab.o1[B])+AVERAGE(Tab.o1[B]),"")</f>
        <v/>
      </c>
      <c r="U986" s="123" t="str">
        <f>IF(Tab.o1[[#This Row],[a1]]=1,Tab.o1[[#This Row],[z+]]*_xlfn.STDEV.P(Tab.o1[B])+AVERAGE(Tab.o1[B]),"")</f>
        <v/>
      </c>
      <c r="V986" s="124" t="str">
        <f>IF(Tab.o1[[#This Row],[a1]]=1,ABS((ABS(Tab.o1[[#This Row],[Red]]-Tab.o1[[#This Row],[Blue]]))),"")</f>
        <v/>
      </c>
      <c r="W986" s="125" t="str">
        <f>IF(Tab.o1[[#This Row],[a1]]=1,IF(W$3=0,1,Tab.o1[[#This Row],[Amp.]]*1/_xlfn.MINIFS(Tab.o1[Amp.],Tab.o1[Amp.],"&lt;&gt;0")),"")</f>
        <v/>
      </c>
      <c r="X986" s="126" t="str">
        <f>IF(Tab.o1[[#This Row],[a1]]=1,IF(ISNUMBER(Tab.o1[[#This Row],[i.]]),NORMDIST(Tab.o1[[#This Row],[Za]],0,1,FALSE)*Tab.o1[[#This Row],[i.]],AP$3),"")</f>
        <v/>
      </c>
      <c r="Y986" s="126" t="str">
        <f>IF(Tab.o1[[#This Row],[a1]]=1,0.01+0.94*Tab.o1[[#This Row],[PDF]]/MAX(Tab.o1[PDF]),"")</f>
        <v/>
      </c>
      <c r="Z986" s="126" t="str">
        <f>IF(Tab.o1[[#This Row],[a1]]=1,0.01+0.94*Tab.o1[[#This Row],[W1_PDF]]/MAX(Tab.o1[W1_PDF]),"")</f>
        <v/>
      </c>
      <c r="AA986" s="118" t="str">
        <f>IF(Tab.o1[[#This Row],[a1]]=1,ABS([1]!T.in.A[[#This Row],[oo6]]),"")</f>
        <v/>
      </c>
      <c r="AB986" s="127" t="str">
        <f>IF(Tab.o1[[#This Row],[a1]]=1,IF(AE$3=0,"",IF(AB$3=0,ABS([1]!T.in.A[[#This Row],[oo9]]),ABS(Tab.o1[[#This Row],[DIF_Target.]]*Tab.o1[[#This Row],[W1_PDF]]))),"")</f>
        <v/>
      </c>
      <c r="AC986" s="127" t="str">
        <f>IF(G$1=1,"",IF(Tab.o1[[#This Row],[a1]]=1,Tab.o1[[#This Row],[Wr]]^2,""))</f>
        <v/>
      </c>
      <c r="AD986" s="118" t="str">
        <f>IF(Tab.o1[[#This Row],[a1]]=1,IF(AE$3=0,"",Tab.o1[[#This Row],[Wr2]]/SUM(Tab.o1[Wr2])),"")</f>
        <v/>
      </c>
      <c r="AE986" s="128" t="str">
        <f>IF(Tab.o1[[#This Row],[a1]]=1,[1]!T.in.A[[#This Row],[oo10]],"")</f>
        <v/>
      </c>
      <c r="AF986" s="118" t="str">
        <f>IF(Tab.o1[[#This Row],[a1]]=1,ABS(Tab.o1[[#This Row],[DIF_Target.]]*Tab.o1[[#This Row],[PDF2]]*Tab.o1[[#This Row],[IN]]),"")</f>
        <v/>
      </c>
      <c r="AG986" s="129" t="str">
        <f>IF(Tab.o1[[#This Row],[a1]]=1,Tab.o1[[#This Row],[rW]]^2,"")</f>
        <v/>
      </c>
      <c r="AH986" s="130" t="str">
        <f>IF(Tab.o1[[#This Row],[a1]]=1,IF(AH$3=0,Tab.o1[[#This Row],[rW2]],0.01+0.94*Tab.o1[[#This Row],[rW2]]/SUM(Tab.o1[rW2])),"")</f>
        <v/>
      </c>
      <c r="AI986" s="128" t="str">
        <f>IF(Tab.o1[[#This Row],[a1]]=1,1/Tab.o1[[#This Row],[PDF]],"")</f>
        <v/>
      </c>
      <c r="AJ986" s="131" t="str">
        <f>IF(Tab.o1[[#This Row],[a1]]=1,[1]!T_AA[[#This Row],[IN'']]*[1]!T_AA[[#This Row],[Qde'']],"")</f>
        <v/>
      </c>
      <c r="AK986" s="132" t="str">
        <f>IF(Tab.o1[[#This Row],[a1]]=1,IF(AK$1=1,Tab.o1[[#This Row],[MED]]+Tab.o1[[#This Row],[MOD]]-Tab.o1[[#This Row],[MED]],""),"")</f>
        <v/>
      </c>
      <c r="AL986" s="133" t="str">
        <f>IF(Tab.o1[[#This Row],[a1]]=1,[1]!T.in.A[[#This Row],[oo16]],"")</f>
        <v/>
      </c>
      <c r="AM986" s="133" t="str">
        <f>IF(Tab.o1[[#This Row],[a1]]=1,IF(AM$3=1,[1]!T.in.A[[#This Row],[Σo16]],""),"")</f>
        <v/>
      </c>
      <c r="AN986" s="126" t="str">
        <f>IF(Tab.o1[[#This Row],[a1]]=1,[1]!T.in.A[[#This Row],[Σp5]],"")</f>
        <v/>
      </c>
      <c r="AO986" s="126" t="str">
        <f>IF(Tab.o1[[#This Row],[a1]]=1,IF(AO$3=1,[1]!T.in.A[[#This Row],[Σp5]],""),"")</f>
        <v/>
      </c>
      <c r="AP986" s="110" t="str">
        <f>IF(Tab.o1[[#This Row],[a1]]=1,IF(ISNUMBER(Tab.o1[[#This Row],[i.]]),NORMDIST(Tab.o1[[#This Row],[Za]],0,1,FALSE)*Tab.o1[[#This Row],[i.]],0),"")</f>
        <v/>
      </c>
      <c r="AQ986" s="125" t="str">
        <f>IF(Tab.o1[[#This Row],[a1]]=1,ABS(Tab.o1[[#This Row],[MOD]]-AVERAGE(Tab.o1[MOD])),"")</f>
        <v/>
      </c>
      <c r="AR986" s="134" t="str">
        <f>IF(Tab.o1[[#This Row],[a1]]=1,Tab.o1[[#This Row],[OBS]]/SUM(Tab.o1[OBS]),"")</f>
        <v/>
      </c>
      <c r="AS986" s="135" t="str">
        <f>IF(ISNUMBER(Tab.o1[[#This Row],[a1]]),ROW()-4,"")</f>
        <v/>
      </c>
      <c r="AT986" s="136" t="str">
        <f>Tab.o1[[#This Row],[MOD]]</f>
        <v/>
      </c>
      <c r="AU986" s="137" t="str">
        <f t="shared" si="61"/>
        <v/>
      </c>
      <c r="AV986" s="138" t="str">
        <f t="shared" si="62"/>
        <v/>
      </c>
      <c r="AW986" s="138" t="str">
        <f t="shared" si="63"/>
        <v/>
      </c>
      <c r="AX986" s="139" t="str">
        <f>[1]!T.in.A[[#This Row],[ID_T_manu]]</f>
        <v/>
      </c>
      <c r="AY986" s="140" t="str">
        <f>IF(ISNUMBER(Tab.o1[[#This Row],[a1]]),IF(AND(Tab.o1[[#This Row],[a1]]=1,Tab.o1[[#This Row],[b1]]&lt;=AY$4),#REF!,AY985),"")</f>
        <v/>
      </c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6"/>
      <c r="BO986" s="26"/>
      <c r="BP986" s="26"/>
      <c r="BQ986" s="26"/>
      <c r="BR986" s="26"/>
      <c r="BS986" s="26"/>
      <c r="BT986" s="26"/>
      <c r="BU986" s="26"/>
      <c r="BV986" s="26"/>
      <c r="BW986" s="26"/>
      <c r="BX986" s="26"/>
      <c r="BY986" s="26"/>
      <c r="BZ986" s="26"/>
      <c r="CA986" s="26"/>
    </row>
    <row r="987" spans="1:79" ht="15.75" hidden="1">
      <c r="A987" s="109">
        <v>9.0000000000000002E-6</v>
      </c>
      <c r="B987" s="110">
        <f t="shared" si="60"/>
        <v>987</v>
      </c>
      <c r="C987" s="111" t="str">
        <f>IF(C$1=[1]!T.in.A[[#This Row],[oo2]],1,"")</f>
        <v/>
      </c>
      <c r="D987" s="112" t="str">
        <f>IF(Tab.o1[[#This Row],[a1]]=1,IF(SUM(C987:C988)=0,0,IF(SUM(C986:C987)=1,1,IF(SUM(C986:C988)&gt;1,D986+1,0))),"")</f>
        <v/>
      </c>
      <c r="E987" s="113" t="str">
        <f>IF(Tab.o1[[#This Row],[a1]]=1,[1]!T.in.A[[#This Row],[oo1]],"")</f>
        <v/>
      </c>
      <c r="F987" s="113" t="str">
        <f>IF(Tab.o1[[#This Row],[a1]]=1,[1]!T.in.A[[#This Row],[pp1]],"")</f>
        <v/>
      </c>
      <c r="G987" s="114" t="str">
        <f>IF(Tab.o1[[#This Row],[a1]]=1,G$2+IF(G$1=1,0,Tab.o1[[#This Row],[.x1]])+[1]!T.in.A[[#This Row],[oo3]],"")</f>
        <v/>
      </c>
      <c r="H987" s="115" t="str">
        <f>IF(Tab.o1[[#This Row],[a1]]=1,IF(H$2=0,0,IF(G$1=1,0,Tab.o1[[#This Row],[.x1]])+[1]!T.in.A[[#This Row],[oo4]]),"")</f>
        <v/>
      </c>
      <c r="I987" s="116" t="str">
        <f>IF(Tab.o1[[#This Row],[a1]]=1,IF(J$2=0,Tab.o1[[#This Row],[MED]],Tab.o1[[#This Row],[MOD]]),"")</f>
        <v/>
      </c>
      <c r="J987" s="116" t="str">
        <f>IF(Tab.o1[[#This Row],[a1]]=1,((Tab.o1[[#This Row],[DIF_Target.]]-AVERAGE(Tab.o1[DIF_Target.]))/_xlfn.STDEV.P(Tab.o1[DIF_Target.])),"")</f>
        <v/>
      </c>
      <c r="K987" s="117" t="str">
        <f>IF(Tab.o1[[#This Row],[a1]]=1,IF(J$2=0,Tab.o1[[#This Row],[MOD]]-Tab.o1[[#This Row],[B]],IF(J$2=1,0,-Tab.o1[[#This Row],[MED]])+Tab.o1[[#This Row],[B]]),"")</f>
        <v/>
      </c>
      <c r="L987" s="117" t="str">
        <f ca="1">IF(Tab.o1[[#This Row],[DIF_Target]]=0,IF(L$2=0,Tab.o1[[#This Row],[DIF_Target]],AVERAGE(OFFSET(Tab.o1[[#This Row],[DIF_Target]],1,0,L$3,1)))/3,Tab.o1[[#This Row],[DIF_Target]])</f>
        <v/>
      </c>
      <c r="M987" s="118" t="str">
        <f>IF(Tab.o1[[#This Row],[a1]]=1,NORMSDIST(Tab.o1[[#This Row],[Za]]),"")</f>
        <v/>
      </c>
      <c r="N987" s="119" t="str">
        <f>IF(Tab.o1[[#This Row],[a1]]=1,((Tab.o1[[#This Row],[MedMod]]-AVERAGE(Tab.o1[MedMod]))/_xlfn.STDEV.P(Tab.o1[MedMod])*H$1205)+G$1205,"")</f>
        <v/>
      </c>
      <c r="O987" s="141" t="str">
        <f>IF(Tab.o1[[#This Row],[a1]]=1,Tab.o1[[#This Row],[Zb]]*_xlfn.STDEV.P(Tab.o1[MedMod])+AVERAGE(Tab.o1[MedMod]),"")</f>
        <v/>
      </c>
      <c r="P987" s="117" t="str">
        <f ca="1">IF(Tab.o1[[#This Row],[B]]=0,AVERAGE(OFFSET(Tab.o1[[#This Row],[B]],1,0,L$3,1)),Tab.o1[[#This Row],[B]])</f>
        <v/>
      </c>
      <c r="Q987" s="121" t="str">
        <f>IF(Tab.o1[[#This Row],[a1]]=1,NORMSDIST(Tab.o1[[#This Row],[Zb]]),"")</f>
        <v/>
      </c>
      <c r="R987" s="122" t="str">
        <f>IF(Tab.o1[[#This Row],[a1]]=1,((Tab.o1[[#This Row],[MedMod]]-AVERAGE(Tab.o1[MedMod]))/_xlfn.STDEV.P(Tab.o1[MedMod])*H$1203)+G$1203,"")</f>
        <v/>
      </c>
      <c r="S987" s="122" t="str">
        <f>IF(Tab.o1[[#This Row],[a1]]=1,((Tab.o1[[#This Row],[MedMod]]-AVERAGE(Tab.o1[MedMod]))/_xlfn.STDEV.P(Tab.o1[MedMod])*H$1204)+G$1204,"")</f>
        <v/>
      </c>
      <c r="T987" s="123" t="str">
        <f>IF(Tab.o1[[#This Row],[a1]]=1,Tab.o1[[#This Row],[Z-]]*_xlfn.STDEV.P(Tab.o1[B])+AVERAGE(Tab.o1[B]),"")</f>
        <v/>
      </c>
      <c r="U987" s="123" t="str">
        <f>IF(Tab.o1[[#This Row],[a1]]=1,Tab.o1[[#This Row],[z+]]*_xlfn.STDEV.P(Tab.o1[B])+AVERAGE(Tab.o1[B]),"")</f>
        <v/>
      </c>
      <c r="V987" s="124" t="str">
        <f>IF(Tab.o1[[#This Row],[a1]]=1,ABS((ABS(Tab.o1[[#This Row],[Red]]-Tab.o1[[#This Row],[Blue]]))),"")</f>
        <v/>
      </c>
      <c r="W987" s="125" t="str">
        <f>IF(Tab.o1[[#This Row],[a1]]=1,IF(W$3=0,1,Tab.o1[[#This Row],[Amp.]]*1/_xlfn.MINIFS(Tab.o1[Amp.],Tab.o1[Amp.],"&lt;&gt;0")),"")</f>
        <v/>
      </c>
      <c r="X987" s="126" t="str">
        <f>IF(Tab.o1[[#This Row],[a1]]=1,IF(ISNUMBER(Tab.o1[[#This Row],[i.]]),NORMDIST(Tab.o1[[#This Row],[Za]],0,1,FALSE)*Tab.o1[[#This Row],[i.]],AP$3),"")</f>
        <v/>
      </c>
      <c r="Y987" s="126" t="str">
        <f>IF(Tab.o1[[#This Row],[a1]]=1,0.01+0.94*Tab.o1[[#This Row],[PDF]]/MAX(Tab.o1[PDF]),"")</f>
        <v/>
      </c>
      <c r="Z987" s="126" t="str">
        <f>IF(Tab.o1[[#This Row],[a1]]=1,0.01+0.94*Tab.o1[[#This Row],[W1_PDF]]/MAX(Tab.o1[W1_PDF]),"")</f>
        <v/>
      </c>
      <c r="AA987" s="118" t="str">
        <f>IF(Tab.o1[[#This Row],[a1]]=1,ABS([1]!T.in.A[[#This Row],[oo6]]),"")</f>
        <v/>
      </c>
      <c r="AB987" s="127" t="str">
        <f>IF(Tab.o1[[#This Row],[a1]]=1,IF(AE$3=0,"",IF(AB$3=0,ABS([1]!T.in.A[[#This Row],[oo9]]),ABS(Tab.o1[[#This Row],[DIF_Target.]]*Tab.o1[[#This Row],[W1_PDF]]))),"")</f>
        <v/>
      </c>
      <c r="AC987" s="127" t="str">
        <f>IF(G$1=1,"",IF(Tab.o1[[#This Row],[a1]]=1,Tab.o1[[#This Row],[Wr]]^2,""))</f>
        <v/>
      </c>
      <c r="AD987" s="118" t="str">
        <f>IF(Tab.o1[[#This Row],[a1]]=1,IF(AE$3=0,"",Tab.o1[[#This Row],[Wr2]]/SUM(Tab.o1[Wr2])),"")</f>
        <v/>
      </c>
      <c r="AE987" s="128" t="str">
        <f>IF(Tab.o1[[#This Row],[a1]]=1,[1]!T.in.A[[#This Row],[oo10]],"")</f>
        <v/>
      </c>
      <c r="AF987" s="118" t="str">
        <f>IF(Tab.o1[[#This Row],[a1]]=1,ABS(Tab.o1[[#This Row],[DIF_Target.]]*Tab.o1[[#This Row],[PDF2]]*Tab.o1[[#This Row],[IN]]),"")</f>
        <v/>
      </c>
      <c r="AG987" s="129" t="str">
        <f>IF(Tab.o1[[#This Row],[a1]]=1,Tab.o1[[#This Row],[rW]]^2,"")</f>
        <v/>
      </c>
      <c r="AH987" s="130" t="str">
        <f>IF(Tab.o1[[#This Row],[a1]]=1,IF(AH$3=0,Tab.o1[[#This Row],[rW2]],0.01+0.94*Tab.o1[[#This Row],[rW2]]/SUM(Tab.o1[rW2])),"")</f>
        <v/>
      </c>
      <c r="AI987" s="128" t="str">
        <f>IF(Tab.o1[[#This Row],[a1]]=1,1/Tab.o1[[#This Row],[PDF]],"")</f>
        <v/>
      </c>
      <c r="AJ987" s="131" t="str">
        <f>IF(Tab.o1[[#This Row],[a1]]=1,[1]!T_AA[[#This Row],[IN'']]*[1]!T_AA[[#This Row],[Qde'']],"")</f>
        <v/>
      </c>
      <c r="AK987" s="132" t="str">
        <f>IF(Tab.o1[[#This Row],[a1]]=1,IF(AK$1=1,Tab.o1[[#This Row],[MED]]+Tab.o1[[#This Row],[MOD]]-Tab.o1[[#This Row],[MED]],""),"")</f>
        <v/>
      </c>
      <c r="AL987" s="133" t="str">
        <f>IF(Tab.o1[[#This Row],[a1]]=1,[1]!T.in.A[[#This Row],[oo16]],"")</f>
        <v/>
      </c>
      <c r="AM987" s="133" t="str">
        <f>IF(Tab.o1[[#This Row],[a1]]=1,IF(AM$3=1,[1]!T.in.A[[#This Row],[Σo16]],""),"")</f>
        <v/>
      </c>
      <c r="AN987" s="126" t="str">
        <f>IF(Tab.o1[[#This Row],[a1]]=1,[1]!T.in.A[[#This Row],[Σp5]],"")</f>
        <v/>
      </c>
      <c r="AO987" s="126" t="str">
        <f>IF(Tab.o1[[#This Row],[a1]]=1,IF(AO$3=1,[1]!T.in.A[[#This Row],[Σp5]],""),"")</f>
        <v/>
      </c>
      <c r="AP987" s="110" t="str">
        <f>IF(Tab.o1[[#This Row],[a1]]=1,IF(ISNUMBER(Tab.o1[[#This Row],[i.]]),NORMDIST(Tab.o1[[#This Row],[Za]],0,1,FALSE)*Tab.o1[[#This Row],[i.]],0),"")</f>
        <v/>
      </c>
      <c r="AQ987" s="125" t="str">
        <f>IF(Tab.o1[[#This Row],[a1]]=1,ABS(Tab.o1[[#This Row],[MOD]]-AVERAGE(Tab.o1[MOD])),"")</f>
        <v/>
      </c>
      <c r="AR987" s="134" t="str">
        <f>IF(Tab.o1[[#This Row],[a1]]=1,Tab.o1[[#This Row],[OBS]]/SUM(Tab.o1[OBS]),"")</f>
        <v/>
      </c>
      <c r="AS987" s="135" t="str">
        <f>IF(ISNUMBER(Tab.o1[[#This Row],[a1]]),ROW()-4,"")</f>
        <v/>
      </c>
      <c r="AT987" s="136" t="str">
        <f>Tab.o1[[#This Row],[MOD]]</f>
        <v/>
      </c>
      <c r="AU987" s="137" t="str">
        <f t="shared" si="61"/>
        <v/>
      </c>
      <c r="AV987" s="138" t="str">
        <f t="shared" si="62"/>
        <v/>
      </c>
      <c r="AW987" s="138" t="str">
        <f t="shared" si="63"/>
        <v/>
      </c>
      <c r="AX987" s="139" t="str">
        <f>[1]!T.in.A[[#This Row],[ID_T_manu]]</f>
        <v/>
      </c>
      <c r="AY987" s="140" t="str">
        <f>IF(ISNUMBER(Tab.o1[[#This Row],[a1]]),IF(AND(Tab.o1[[#This Row],[a1]]=1,Tab.o1[[#This Row],[b1]]&lt;=AY$4),#REF!,AY986),"")</f>
        <v/>
      </c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6"/>
      <c r="BO987" s="26"/>
      <c r="BP987" s="26"/>
      <c r="BQ987" s="26"/>
      <c r="BR987" s="26"/>
      <c r="BS987" s="26"/>
      <c r="BT987" s="26"/>
      <c r="BU987" s="26"/>
      <c r="BV987" s="26"/>
      <c r="BW987" s="26"/>
      <c r="BX987" s="26"/>
      <c r="BY987" s="26"/>
      <c r="BZ987" s="26"/>
      <c r="CA987" s="26"/>
    </row>
    <row r="988" spans="1:79" ht="15.75" hidden="1">
      <c r="A988" s="109">
        <v>-6.9999999999999999E-6</v>
      </c>
      <c r="B988" s="110">
        <f t="shared" si="60"/>
        <v>988</v>
      </c>
      <c r="C988" s="111" t="str">
        <f>IF(C$1=[1]!T.in.A[[#This Row],[oo2]],1,"")</f>
        <v/>
      </c>
      <c r="D988" s="112" t="str">
        <f>IF(Tab.o1[[#This Row],[a1]]=1,IF(SUM(C988:C989)=0,0,IF(SUM(C987:C988)=1,1,IF(SUM(C987:C989)&gt;1,D987+1,0))),"")</f>
        <v/>
      </c>
      <c r="E988" s="113" t="str">
        <f>IF(Tab.o1[[#This Row],[a1]]=1,[1]!T.in.A[[#This Row],[oo1]],"")</f>
        <v/>
      </c>
      <c r="F988" s="113" t="str">
        <f>IF(Tab.o1[[#This Row],[a1]]=1,[1]!T.in.A[[#This Row],[pp1]],"")</f>
        <v/>
      </c>
      <c r="G988" s="114" t="str">
        <f>IF(Tab.o1[[#This Row],[a1]]=1,G$2+IF(G$1=1,0,Tab.o1[[#This Row],[.x1]])+[1]!T.in.A[[#This Row],[oo3]],"")</f>
        <v/>
      </c>
      <c r="H988" s="115" t="str">
        <f>IF(Tab.o1[[#This Row],[a1]]=1,IF(H$2=0,0,IF(G$1=1,0,Tab.o1[[#This Row],[.x1]])+[1]!T.in.A[[#This Row],[oo4]]),"")</f>
        <v/>
      </c>
      <c r="I988" s="116" t="str">
        <f>IF(Tab.o1[[#This Row],[a1]]=1,IF(J$2=0,Tab.o1[[#This Row],[MED]],Tab.o1[[#This Row],[MOD]]),"")</f>
        <v/>
      </c>
      <c r="J988" s="116" t="str">
        <f>IF(Tab.o1[[#This Row],[a1]]=1,((Tab.o1[[#This Row],[DIF_Target.]]-AVERAGE(Tab.o1[DIF_Target.]))/_xlfn.STDEV.P(Tab.o1[DIF_Target.])),"")</f>
        <v/>
      </c>
      <c r="K988" s="117" t="str">
        <f>IF(Tab.o1[[#This Row],[a1]]=1,IF(J$2=0,Tab.o1[[#This Row],[MOD]]-Tab.o1[[#This Row],[B]],IF(J$2=1,0,-Tab.o1[[#This Row],[MED]])+Tab.o1[[#This Row],[B]]),"")</f>
        <v/>
      </c>
      <c r="L988" s="117" t="str">
        <f ca="1">IF(Tab.o1[[#This Row],[DIF_Target]]=0,IF(L$2=0,Tab.o1[[#This Row],[DIF_Target]],AVERAGE(OFFSET(Tab.o1[[#This Row],[DIF_Target]],1,0,L$3,1)))/3,Tab.o1[[#This Row],[DIF_Target]])</f>
        <v/>
      </c>
      <c r="M988" s="118" t="str">
        <f>IF(Tab.o1[[#This Row],[a1]]=1,NORMSDIST(Tab.o1[[#This Row],[Za]]),"")</f>
        <v/>
      </c>
      <c r="N988" s="119" t="str">
        <f>IF(Tab.o1[[#This Row],[a1]]=1,((Tab.o1[[#This Row],[MedMod]]-AVERAGE(Tab.o1[MedMod]))/_xlfn.STDEV.P(Tab.o1[MedMod])*H$1205)+G$1205,"")</f>
        <v/>
      </c>
      <c r="O988" s="141" t="str">
        <f>IF(Tab.o1[[#This Row],[a1]]=1,Tab.o1[[#This Row],[Zb]]*_xlfn.STDEV.P(Tab.o1[MedMod])+AVERAGE(Tab.o1[MedMod]),"")</f>
        <v/>
      </c>
      <c r="P988" s="117" t="str">
        <f ca="1">IF(Tab.o1[[#This Row],[B]]=0,AVERAGE(OFFSET(Tab.o1[[#This Row],[B]],1,0,L$3,1)),Tab.o1[[#This Row],[B]])</f>
        <v/>
      </c>
      <c r="Q988" s="121" t="str">
        <f>IF(Tab.o1[[#This Row],[a1]]=1,NORMSDIST(Tab.o1[[#This Row],[Zb]]),"")</f>
        <v/>
      </c>
      <c r="R988" s="122" t="str">
        <f>IF(Tab.o1[[#This Row],[a1]]=1,((Tab.o1[[#This Row],[MedMod]]-AVERAGE(Tab.o1[MedMod]))/_xlfn.STDEV.P(Tab.o1[MedMod])*H$1203)+G$1203,"")</f>
        <v/>
      </c>
      <c r="S988" s="122" t="str">
        <f>IF(Tab.o1[[#This Row],[a1]]=1,((Tab.o1[[#This Row],[MedMod]]-AVERAGE(Tab.o1[MedMod]))/_xlfn.STDEV.P(Tab.o1[MedMod])*H$1204)+G$1204,"")</f>
        <v/>
      </c>
      <c r="T988" s="123" t="str">
        <f>IF(Tab.o1[[#This Row],[a1]]=1,Tab.o1[[#This Row],[Z-]]*_xlfn.STDEV.P(Tab.o1[B])+AVERAGE(Tab.o1[B]),"")</f>
        <v/>
      </c>
      <c r="U988" s="123" t="str">
        <f>IF(Tab.o1[[#This Row],[a1]]=1,Tab.o1[[#This Row],[z+]]*_xlfn.STDEV.P(Tab.o1[B])+AVERAGE(Tab.o1[B]),"")</f>
        <v/>
      </c>
      <c r="V988" s="124" t="str">
        <f>IF(Tab.o1[[#This Row],[a1]]=1,ABS((ABS(Tab.o1[[#This Row],[Red]]-Tab.o1[[#This Row],[Blue]]))),"")</f>
        <v/>
      </c>
      <c r="W988" s="125" t="str">
        <f>IF(Tab.o1[[#This Row],[a1]]=1,IF(W$3=0,1,Tab.o1[[#This Row],[Amp.]]*1/_xlfn.MINIFS(Tab.o1[Amp.],Tab.o1[Amp.],"&lt;&gt;0")),"")</f>
        <v/>
      </c>
      <c r="X988" s="126" t="str">
        <f>IF(Tab.o1[[#This Row],[a1]]=1,IF(ISNUMBER(Tab.o1[[#This Row],[i.]]),NORMDIST(Tab.o1[[#This Row],[Za]],0,1,FALSE)*Tab.o1[[#This Row],[i.]],AP$3),"")</f>
        <v/>
      </c>
      <c r="Y988" s="126" t="str">
        <f>IF(Tab.o1[[#This Row],[a1]]=1,0.01+0.94*Tab.o1[[#This Row],[PDF]]/MAX(Tab.o1[PDF]),"")</f>
        <v/>
      </c>
      <c r="Z988" s="126" t="str">
        <f>IF(Tab.o1[[#This Row],[a1]]=1,0.01+0.94*Tab.o1[[#This Row],[W1_PDF]]/MAX(Tab.o1[W1_PDF]),"")</f>
        <v/>
      </c>
      <c r="AA988" s="118" t="str">
        <f>IF(Tab.o1[[#This Row],[a1]]=1,ABS([1]!T.in.A[[#This Row],[oo6]]),"")</f>
        <v/>
      </c>
      <c r="AB988" s="127" t="str">
        <f>IF(Tab.o1[[#This Row],[a1]]=1,IF(AE$3=0,"",IF(AB$3=0,ABS([1]!T.in.A[[#This Row],[oo9]]),ABS(Tab.o1[[#This Row],[DIF_Target.]]*Tab.o1[[#This Row],[W1_PDF]]))),"")</f>
        <v/>
      </c>
      <c r="AC988" s="127" t="str">
        <f>IF(G$1=1,"",IF(Tab.o1[[#This Row],[a1]]=1,Tab.o1[[#This Row],[Wr]]^2,""))</f>
        <v/>
      </c>
      <c r="AD988" s="118" t="str">
        <f>IF(Tab.o1[[#This Row],[a1]]=1,IF(AE$3=0,"",Tab.o1[[#This Row],[Wr2]]/SUM(Tab.o1[Wr2])),"")</f>
        <v/>
      </c>
      <c r="AE988" s="128" t="str">
        <f>IF(Tab.o1[[#This Row],[a1]]=1,[1]!T.in.A[[#This Row],[oo10]],"")</f>
        <v/>
      </c>
      <c r="AF988" s="118" t="str">
        <f>IF(Tab.o1[[#This Row],[a1]]=1,ABS(Tab.o1[[#This Row],[DIF_Target.]]*Tab.o1[[#This Row],[PDF2]]*Tab.o1[[#This Row],[IN]]),"")</f>
        <v/>
      </c>
      <c r="AG988" s="129" t="str">
        <f>IF(Tab.o1[[#This Row],[a1]]=1,Tab.o1[[#This Row],[rW]]^2,"")</f>
        <v/>
      </c>
      <c r="AH988" s="130" t="str">
        <f>IF(Tab.o1[[#This Row],[a1]]=1,IF(AH$3=0,Tab.o1[[#This Row],[rW2]],0.01+0.94*Tab.o1[[#This Row],[rW2]]/SUM(Tab.o1[rW2])),"")</f>
        <v/>
      </c>
      <c r="AI988" s="128" t="str">
        <f>IF(Tab.o1[[#This Row],[a1]]=1,1/Tab.o1[[#This Row],[PDF]],"")</f>
        <v/>
      </c>
      <c r="AJ988" s="131" t="str">
        <f>IF(Tab.o1[[#This Row],[a1]]=1,[1]!T_AA[[#This Row],[IN'']]*[1]!T_AA[[#This Row],[Qde'']],"")</f>
        <v/>
      </c>
      <c r="AK988" s="132" t="str">
        <f>IF(Tab.o1[[#This Row],[a1]]=1,IF(AK$1=1,Tab.o1[[#This Row],[MED]]+Tab.o1[[#This Row],[MOD]]-Tab.o1[[#This Row],[MED]],""),"")</f>
        <v/>
      </c>
      <c r="AL988" s="133" t="str">
        <f>IF(Tab.o1[[#This Row],[a1]]=1,[1]!T.in.A[[#This Row],[oo16]],"")</f>
        <v/>
      </c>
      <c r="AM988" s="133" t="str">
        <f>IF(Tab.o1[[#This Row],[a1]]=1,IF(AM$3=1,[1]!T.in.A[[#This Row],[Σo16]],""),"")</f>
        <v/>
      </c>
      <c r="AN988" s="126" t="str">
        <f>IF(Tab.o1[[#This Row],[a1]]=1,[1]!T.in.A[[#This Row],[Σp5]],"")</f>
        <v/>
      </c>
      <c r="AO988" s="126" t="str">
        <f>IF(Tab.o1[[#This Row],[a1]]=1,IF(AO$3=1,[1]!T.in.A[[#This Row],[Σp5]],""),"")</f>
        <v/>
      </c>
      <c r="AP988" s="110" t="str">
        <f>IF(Tab.o1[[#This Row],[a1]]=1,IF(ISNUMBER(Tab.o1[[#This Row],[i.]]),NORMDIST(Tab.o1[[#This Row],[Za]],0,1,FALSE)*Tab.o1[[#This Row],[i.]],0),"")</f>
        <v/>
      </c>
      <c r="AQ988" s="125" t="str">
        <f>IF(Tab.o1[[#This Row],[a1]]=1,ABS(Tab.o1[[#This Row],[MOD]]-AVERAGE(Tab.o1[MOD])),"")</f>
        <v/>
      </c>
      <c r="AR988" s="134" t="str">
        <f>IF(Tab.o1[[#This Row],[a1]]=1,Tab.o1[[#This Row],[OBS]]/SUM(Tab.o1[OBS]),"")</f>
        <v/>
      </c>
      <c r="AS988" s="135" t="str">
        <f>IF(ISNUMBER(Tab.o1[[#This Row],[a1]]),ROW()-4,"")</f>
        <v/>
      </c>
      <c r="AT988" s="136" t="str">
        <f>Tab.o1[[#This Row],[MOD]]</f>
        <v/>
      </c>
      <c r="AU988" s="137" t="str">
        <f t="shared" si="61"/>
        <v/>
      </c>
      <c r="AV988" s="138" t="str">
        <f t="shared" si="62"/>
        <v/>
      </c>
      <c r="AW988" s="138" t="str">
        <f t="shared" si="63"/>
        <v/>
      </c>
      <c r="AX988" s="139" t="str">
        <f>[1]!T.in.A[[#This Row],[ID_T_manu]]</f>
        <v/>
      </c>
      <c r="AY988" s="140" t="str">
        <f>IF(ISNUMBER(Tab.o1[[#This Row],[a1]]),IF(AND(Tab.o1[[#This Row],[a1]]=1,Tab.o1[[#This Row],[b1]]&lt;=AY$4),#REF!,AY987),"")</f>
        <v/>
      </c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6"/>
      <c r="BO988" s="26"/>
      <c r="BP988" s="26"/>
      <c r="BQ988" s="26"/>
      <c r="BR988" s="26"/>
      <c r="BS988" s="26"/>
      <c r="BT988" s="26"/>
      <c r="BU988" s="26"/>
      <c r="BV988" s="26"/>
      <c r="BW988" s="26"/>
      <c r="BX988" s="26"/>
      <c r="BY988" s="26"/>
      <c r="BZ988" s="26"/>
      <c r="CA988" s="26"/>
    </row>
    <row r="989" spans="1:79" ht="15.75" hidden="1">
      <c r="A989" s="109">
        <v>1.0000000000000002E-6</v>
      </c>
      <c r="B989" s="110">
        <f t="shared" si="60"/>
        <v>989</v>
      </c>
      <c r="C989" s="111" t="str">
        <f>IF(C$1=[1]!T.in.A[[#This Row],[oo2]],1,"")</f>
        <v/>
      </c>
      <c r="D989" s="112" t="str">
        <f>IF(Tab.o1[[#This Row],[a1]]=1,IF(SUM(C989:C990)=0,0,IF(SUM(C988:C989)=1,1,IF(SUM(C988:C990)&gt;1,D988+1,0))),"")</f>
        <v/>
      </c>
      <c r="E989" s="113" t="str">
        <f>IF(Tab.o1[[#This Row],[a1]]=1,[1]!T.in.A[[#This Row],[oo1]],"")</f>
        <v/>
      </c>
      <c r="F989" s="113" t="str">
        <f>IF(Tab.o1[[#This Row],[a1]]=1,[1]!T.in.A[[#This Row],[pp1]],"")</f>
        <v/>
      </c>
      <c r="G989" s="114" t="str">
        <f>IF(Tab.o1[[#This Row],[a1]]=1,G$2+IF(G$1=1,0,Tab.o1[[#This Row],[.x1]])+[1]!T.in.A[[#This Row],[oo3]],"")</f>
        <v/>
      </c>
      <c r="H989" s="115" t="str">
        <f>IF(Tab.o1[[#This Row],[a1]]=1,IF(H$2=0,0,IF(G$1=1,0,Tab.o1[[#This Row],[.x1]])+[1]!T.in.A[[#This Row],[oo4]]),"")</f>
        <v/>
      </c>
      <c r="I989" s="116" t="str">
        <f>IF(Tab.o1[[#This Row],[a1]]=1,IF(J$2=0,Tab.o1[[#This Row],[MED]],Tab.o1[[#This Row],[MOD]]),"")</f>
        <v/>
      </c>
      <c r="J989" s="116" t="str">
        <f>IF(Tab.o1[[#This Row],[a1]]=1,((Tab.o1[[#This Row],[DIF_Target.]]-AVERAGE(Tab.o1[DIF_Target.]))/_xlfn.STDEV.P(Tab.o1[DIF_Target.])),"")</f>
        <v/>
      </c>
      <c r="K989" s="117" t="str">
        <f>IF(Tab.o1[[#This Row],[a1]]=1,IF(J$2=0,Tab.o1[[#This Row],[MOD]]-Tab.o1[[#This Row],[B]],IF(J$2=1,0,-Tab.o1[[#This Row],[MED]])+Tab.o1[[#This Row],[B]]),"")</f>
        <v/>
      </c>
      <c r="L989" s="117" t="str">
        <f ca="1">IF(Tab.o1[[#This Row],[DIF_Target]]=0,IF(L$2=0,Tab.o1[[#This Row],[DIF_Target]],AVERAGE(OFFSET(Tab.o1[[#This Row],[DIF_Target]],1,0,L$3,1)))/3,Tab.o1[[#This Row],[DIF_Target]])</f>
        <v/>
      </c>
      <c r="M989" s="118" t="str">
        <f>IF(Tab.o1[[#This Row],[a1]]=1,NORMSDIST(Tab.o1[[#This Row],[Za]]),"")</f>
        <v/>
      </c>
      <c r="N989" s="119" t="str">
        <f>IF(Tab.o1[[#This Row],[a1]]=1,((Tab.o1[[#This Row],[MedMod]]-AVERAGE(Tab.o1[MedMod]))/_xlfn.STDEV.P(Tab.o1[MedMod])*H$1205)+G$1205,"")</f>
        <v/>
      </c>
      <c r="O989" s="141" t="str">
        <f>IF(Tab.o1[[#This Row],[a1]]=1,Tab.o1[[#This Row],[Zb]]*_xlfn.STDEV.P(Tab.o1[MedMod])+AVERAGE(Tab.o1[MedMod]),"")</f>
        <v/>
      </c>
      <c r="P989" s="117" t="str">
        <f ca="1">IF(Tab.o1[[#This Row],[B]]=0,AVERAGE(OFFSET(Tab.o1[[#This Row],[B]],1,0,L$3,1)),Tab.o1[[#This Row],[B]])</f>
        <v/>
      </c>
      <c r="Q989" s="121" t="str">
        <f>IF(Tab.o1[[#This Row],[a1]]=1,NORMSDIST(Tab.o1[[#This Row],[Zb]]),"")</f>
        <v/>
      </c>
      <c r="R989" s="122" t="str">
        <f>IF(Tab.o1[[#This Row],[a1]]=1,((Tab.o1[[#This Row],[MedMod]]-AVERAGE(Tab.o1[MedMod]))/_xlfn.STDEV.P(Tab.o1[MedMod])*H$1203)+G$1203,"")</f>
        <v/>
      </c>
      <c r="S989" s="122" t="str">
        <f>IF(Tab.o1[[#This Row],[a1]]=1,((Tab.o1[[#This Row],[MedMod]]-AVERAGE(Tab.o1[MedMod]))/_xlfn.STDEV.P(Tab.o1[MedMod])*H$1204)+G$1204,"")</f>
        <v/>
      </c>
      <c r="T989" s="123" t="str">
        <f>IF(Tab.o1[[#This Row],[a1]]=1,Tab.o1[[#This Row],[Z-]]*_xlfn.STDEV.P(Tab.o1[B])+AVERAGE(Tab.o1[B]),"")</f>
        <v/>
      </c>
      <c r="U989" s="123" t="str">
        <f>IF(Tab.o1[[#This Row],[a1]]=1,Tab.o1[[#This Row],[z+]]*_xlfn.STDEV.P(Tab.o1[B])+AVERAGE(Tab.o1[B]),"")</f>
        <v/>
      </c>
      <c r="V989" s="124" t="str">
        <f>IF(Tab.o1[[#This Row],[a1]]=1,ABS((ABS(Tab.o1[[#This Row],[Red]]-Tab.o1[[#This Row],[Blue]]))),"")</f>
        <v/>
      </c>
      <c r="W989" s="125" t="str">
        <f>IF(Tab.o1[[#This Row],[a1]]=1,IF(W$3=0,1,Tab.o1[[#This Row],[Amp.]]*1/_xlfn.MINIFS(Tab.o1[Amp.],Tab.o1[Amp.],"&lt;&gt;0")),"")</f>
        <v/>
      </c>
      <c r="X989" s="126" t="str">
        <f>IF(Tab.o1[[#This Row],[a1]]=1,IF(ISNUMBER(Tab.o1[[#This Row],[i.]]),NORMDIST(Tab.o1[[#This Row],[Za]],0,1,FALSE)*Tab.o1[[#This Row],[i.]],AP$3),"")</f>
        <v/>
      </c>
      <c r="Y989" s="126" t="str">
        <f>IF(Tab.o1[[#This Row],[a1]]=1,0.01+0.94*Tab.o1[[#This Row],[PDF]]/MAX(Tab.o1[PDF]),"")</f>
        <v/>
      </c>
      <c r="Z989" s="126" t="str">
        <f>IF(Tab.o1[[#This Row],[a1]]=1,0.01+0.94*Tab.o1[[#This Row],[W1_PDF]]/MAX(Tab.o1[W1_PDF]),"")</f>
        <v/>
      </c>
      <c r="AA989" s="118" t="str">
        <f>IF(Tab.o1[[#This Row],[a1]]=1,ABS([1]!T.in.A[[#This Row],[oo6]]),"")</f>
        <v/>
      </c>
      <c r="AB989" s="127" t="str">
        <f>IF(Tab.o1[[#This Row],[a1]]=1,IF(AE$3=0,"",IF(AB$3=0,ABS([1]!T.in.A[[#This Row],[oo9]]),ABS(Tab.o1[[#This Row],[DIF_Target.]]*Tab.o1[[#This Row],[W1_PDF]]))),"")</f>
        <v/>
      </c>
      <c r="AC989" s="127" t="str">
        <f>IF(G$1=1,"",IF(Tab.o1[[#This Row],[a1]]=1,Tab.o1[[#This Row],[Wr]]^2,""))</f>
        <v/>
      </c>
      <c r="AD989" s="118" t="str">
        <f>IF(Tab.o1[[#This Row],[a1]]=1,IF(AE$3=0,"",Tab.o1[[#This Row],[Wr2]]/SUM(Tab.o1[Wr2])),"")</f>
        <v/>
      </c>
      <c r="AE989" s="128" t="str">
        <f>IF(Tab.o1[[#This Row],[a1]]=1,[1]!T.in.A[[#This Row],[oo10]],"")</f>
        <v/>
      </c>
      <c r="AF989" s="118" t="str">
        <f>IF(Tab.o1[[#This Row],[a1]]=1,ABS(Tab.o1[[#This Row],[DIF_Target.]]*Tab.o1[[#This Row],[PDF2]]*Tab.o1[[#This Row],[IN]]),"")</f>
        <v/>
      </c>
      <c r="AG989" s="129" t="str">
        <f>IF(Tab.o1[[#This Row],[a1]]=1,Tab.o1[[#This Row],[rW]]^2,"")</f>
        <v/>
      </c>
      <c r="AH989" s="130" t="str">
        <f>IF(Tab.o1[[#This Row],[a1]]=1,IF(AH$3=0,Tab.o1[[#This Row],[rW2]],0.01+0.94*Tab.o1[[#This Row],[rW2]]/SUM(Tab.o1[rW2])),"")</f>
        <v/>
      </c>
      <c r="AI989" s="128" t="str">
        <f>IF(Tab.o1[[#This Row],[a1]]=1,1/Tab.o1[[#This Row],[PDF]],"")</f>
        <v/>
      </c>
      <c r="AJ989" s="131" t="str">
        <f>IF(Tab.o1[[#This Row],[a1]]=1,[1]!T_AA[[#This Row],[IN'']]*[1]!T_AA[[#This Row],[Qde'']],"")</f>
        <v/>
      </c>
      <c r="AK989" s="132" t="str">
        <f>IF(Tab.o1[[#This Row],[a1]]=1,IF(AK$1=1,Tab.o1[[#This Row],[MED]]+Tab.o1[[#This Row],[MOD]]-Tab.o1[[#This Row],[MED]],""),"")</f>
        <v/>
      </c>
      <c r="AL989" s="133" t="str">
        <f>IF(Tab.o1[[#This Row],[a1]]=1,[1]!T.in.A[[#This Row],[oo16]],"")</f>
        <v/>
      </c>
      <c r="AM989" s="133" t="str">
        <f>IF(Tab.o1[[#This Row],[a1]]=1,IF(AM$3=1,[1]!T.in.A[[#This Row],[Σo16]],""),"")</f>
        <v/>
      </c>
      <c r="AN989" s="126" t="str">
        <f>IF(Tab.o1[[#This Row],[a1]]=1,[1]!T.in.A[[#This Row],[Σp5]],"")</f>
        <v/>
      </c>
      <c r="AO989" s="126" t="str">
        <f>IF(Tab.o1[[#This Row],[a1]]=1,IF(AO$3=1,[1]!T.in.A[[#This Row],[Σp5]],""),"")</f>
        <v/>
      </c>
      <c r="AP989" s="110" t="str">
        <f>IF(Tab.o1[[#This Row],[a1]]=1,IF(ISNUMBER(Tab.o1[[#This Row],[i.]]),NORMDIST(Tab.o1[[#This Row],[Za]],0,1,FALSE)*Tab.o1[[#This Row],[i.]],0),"")</f>
        <v/>
      </c>
      <c r="AQ989" s="125" t="str">
        <f>IF(Tab.o1[[#This Row],[a1]]=1,ABS(Tab.o1[[#This Row],[MOD]]-AVERAGE(Tab.o1[MOD])),"")</f>
        <v/>
      </c>
      <c r="AR989" s="134" t="str">
        <f>IF(Tab.o1[[#This Row],[a1]]=1,Tab.o1[[#This Row],[OBS]]/SUM(Tab.o1[OBS]),"")</f>
        <v/>
      </c>
      <c r="AS989" s="135" t="str">
        <f>IF(ISNUMBER(Tab.o1[[#This Row],[a1]]),ROW()-4,"")</f>
        <v/>
      </c>
      <c r="AT989" s="136" t="str">
        <f>Tab.o1[[#This Row],[MOD]]</f>
        <v/>
      </c>
      <c r="AU989" s="137" t="str">
        <f t="shared" si="61"/>
        <v/>
      </c>
      <c r="AV989" s="138" t="str">
        <f t="shared" si="62"/>
        <v/>
      </c>
      <c r="AW989" s="138" t="str">
        <f t="shared" si="63"/>
        <v/>
      </c>
      <c r="AX989" s="139" t="str">
        <f>[1]!T.in.A[[#This Row],[ID_T_manu]]</f>
        <v/>
      </c>
      <c r="AY989" s="140" t="str">
        <f>IF(ISNUMBER(Tab.o1[[#This Row],[a1]]),IF(AND(Tab.o1[[#This Row],[a1]]=1,Tab.o1[[#This Row],[b1]]&lt;=AY$4),#REF!,AY988),"")</f>
        <v/>
      </c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6"/>
      <c r="BO989" s="26"/>
      <c r="BP989" s="26"/>
      <c r="BQ989" s="26"/>
      <c r="BR989" s="26"/>
      <c r="BS989" s="26"/>
      <c r="BT989" s="26"/>
      <c r="BU989" s="26"/>
      <c r="BV989" s="26"/>
      <c r="BW989" s="26"/>
      <c r="BX989" s="26"/>
      <c r="BY989" s="26"/>
      <c r="BZ989" s="26"/>
      <c r="CA989" s="26"/>
    </row>
    <row r="990" spans="1:79" ht="15.75" hidden="1">
      <c r="A990" s="109">
        <v>-5.0000000000000004E-6</v>
      </c>
      <c r="B990" s="110">
        <f t="shared" si="60"/>
        <v>990</v>
      </c>
      <c r="C990" s="111" t="str">
        <f>IF(C$1=[1]!T.in.A[[#This Row],[oo2]],1,"")</f>
        <v/>
      </c>
      <c r="D990" s="112" t="str">
        <f>IF(Tab.o1[[#This Row],[a1]]=1,IF(SUM(C990:C991)=0,0,IF(SUM(C989:C990)=1,1,IF(SUM(C989:C991)&gt;1,D989+1,0))),"")</f>
        <v/>
      </c>
      <c r="E990" s="113" t="str">
        <f>IF(Tab.o1[[#This Row],[a1]]=1,[1]!T.in.A[[#This Row],[oo1]],"")</f>
        <v/>
      </c>
      <c r="F990" s="113" t="str">
        <f>IF(Tab.o1[[#This Row],[a1]]=1,[1]!T.in.A[[#This Row],[pp1]],"")</f>
        <v/>
      </c>
      <c r="G990" s="114" t="str">
        <f>IF(Tab.o1[[#This Row],[a1]]=1,G$2+IF(G$1=1,0,Tab.o1[[#This Row],[.x1]])+[1]!T.in.A[[#This Row],[oo3]],"")</f>
        <v/>
      </c>
      <c r="H990" s="115" t="str">
        <f>IF(Tab.o1[[#This Row],[a1]]=1,IF(H$2=0,0,IF(G$1=1,0,Tab.o1[[#This Row],[.x1]])+[1]!T.in.A[[#This Row],[oo4]]),"")</f>
        <v/>
      </c>
      <c r="I990" s="116" t="str">
        <f>IF(Tab.o1[[#This Row],[a1]]=1,IF(J$2=0,Tab.o1[[#This Row],[MED]],Tab.o1[[#This Row],[MOD]]),"")</f>
        <v/>
      </c>
      <c r="J990" s="116" t="str">
        <f>IF(Tab.o1[[#This Row],[a1]]=1,((Tab.o1[[#This Row],[DIF_Target.]]-AVERAGE(Tab.o1[DIF_Target.]))/_xlfn.STDEV.P(Tab.o1[DIF_Target.])),"")</f>
        <v/>
      </c>
      <c r="K990" s="117" t="str">
        <f>IF(Tab.o1[[#This Row],[a1]]=1,IF(J$2=0,Tab.o1[[#This Row],[MOD]]-Tab.o1[[#This Row],[B]],IF(J$2=1,0,-Tab.o1[[#This Row],[MED]])+Tab.o1[[#This Row],[B]]),"")</f>
        <v/>
      </c>
      <c r="L990" s="117" t="str">
        <f ca="1">IF(Tab.o1[[#This Row],[DIF_Target]]=0,IF(L$2=0,Tab.o1[[#This Row],[DIF_Target]],AVERAGE(OFFSET(Tab.o1[[#This Row],[DIF_Target]],1,0,L$3,1)))/3,Tab.o1[[#This Row],[DIF_Target]])</f>
        <v/>
      </c>
      <c r="M990" s="118" t="str">
        <f>IF(Tab.o1[[#This Row],[a1]]=1,NORMSDIST(Tab.o1[[#This Row],[Za]]),"")</f>
        <v/>
      </c>
      <c r="N990" s="119" t="str">
        <f>IF(Tab.o1[[#This Row],[a1]]=1,((Tab.o1[[#This Row],[MedMod]]-AVERAGE(Tab.o1[MedMod]))/_xlfn.STDEV.P(Tab.o1[MedMod])*H$1205)+G$1205,"")</f>
        <v/>
      </c>
      <c r="O990" s="141" t="str">
        <f>IF(Tab.o1[[#This Row],[a1]]=1,Tab.o1[[#This Row],[Zb]]*_xlfn.STDEV.P(Tab.o1[MedMod])+AVERAGE(Tab.o1[MedMod]),"")</f>
        <v/>
      </c>
      <c r="P990" s="117" t="str">
        <f ca="1">IF(Tab.o1[[#This Row],[B]]=0,AVERAGE(OFFSET(Tab.o1[[#This Row],[B]],1,0,L$3,1)),Tab.o1[[#This Row],[B]])</f>
        <v/>
      </c>
      <c r="Q990" s="121" t="str">
        <f>IF(Tab.o1[[#This Row],[a1]]=1,NORMSDIST(Tab.o1[[#This Row],[Zb]]),"")</f>
        <v/>
      </c>
      <c r="R990" s="122" t="str">
        <f>IF(Tab.o1[[#This Row],[a1]]=1,((Tab.o1[[#This Row],[MedMod]]-AVERAGE(Tab.o1[MedMod]))/_xlfn.STDEV.P(Tab.o1[MedMod])*H$1203)+G$1203,"")</f>
        <v/>
      </c>
      <c r="S990" s="122" t="str">
        <f>IF(Tab.o1[[#This Row],[a1]]=1,((Tab.o1[[#This Row],[MedMod]]-AVERAGE(Tab.o1[MedMod]))/_xlfn.STDEV.P(Tab.o1[MedMod])*H$1204)+G$1204,"")</f>
        <v/>
      </c>
      <c r="T990" s="123" t="str">
        <f>IF(Tab.o1[[#This Row],[a1]]=1,Tab.o1[[#This Row],[Z-]]*_xlfn.STDEV.P(Tab.o1[B])+AVERAGE(Tab.o1[B]),"")</f>
        <v/>
      </c>
      <c r="U990" s="123" t="str">
        <f>IF(Tab.o1[[#This Row],[a1]]=1,Tab.o1[[#This Row],[z+]]*_xlfn.STDEV.P(Tab.o1[B])+AVERAGE(Tab.o1[B]),"")</f>
        <v/>
      </c>
      <c r="V990" s="124" t="str">
        <f>IF(Tab.o1[[#This Row],[a1]]=1,ABS((ABS(Tab.o1[[#This Row],[Red]]-Tab.o1[[#This Row],[Blue]]))),"")</f>
        <v/>
      </c>
      <c r="W990" s="125" t="str">
        <f>IF(Tab.o1[[#This Row],[a1]]=1,IF(W$3=0,1,Tab.o1[[#This Row],[Amp.]]*1/_xlfn.MINIFS(Tab.o1[Amp.],Tab.o1[Amp.],"&lt;&gt;0")),"")</f>
        <v/>
      </c>
      <c r="X990" s="126" t="str">
        <f>IF(Tab.o1[[#This Row],[a1]]=1,IF(ISNUMBER(Tab.o1[[#This Row],[i.]]),NORMDIST(Tab.o1[[#This Row],[Za]],0,1,FALSE)*Tab.o1[[#This Row],[i.]],AP$3),"")</f>
        <v/>
      </c>
      <c r="Y990" s="126" t="str">
        <f>IF(Tab.o1[[#This Row],[a1]]=1,0.01+0.94*Tab.o1[[#This Row],[PDF]]/MAX(Tab.o1[PDF]),"")</f>
        <v/>
      </c>
      <c r="Z990" s="126" t="str">
        <f>IF(Tab.o1[[#This Row],[a1]]=1,0.01+0.94*Tab.o1[[#This Row],[W1_PDF]]/MAX(Tab.o1[W1_PDF]),"")</f>
        <v/>
      </c>
      <c r="AA990" s="118" t="str">
        <f>IF(Tab.o1[[#This Row],[a1]]=1,ABS([1]!T.in.A[[#This Row],[oo6]]),"")</f>
        <v/>
      </c>
      <c r="AB990" s="127" t="str">
        <f>IF(Tab.o1[[#This Row],[a1]]=1,IF(AE$3=0,"",IF(AB$3=0,ABS([1]!T.in.A[[#This Row],[oo9]]),ABS(Tab.o1[[#This Row],[DIF_Target.]]*Tab.o1[[#This Row],[W1_PDF]]))),"")</f>
        <v/>
      </c>
      <c r="AC990" s="127" t="str">
        <f>IF(G$1=1,"",IF(Tab.o1[[#This Row],[a1]]=1,Tab.o1[[#This Row],[Wr]]^2,""))</f>
        <v/>
      </c>
      <c r="AD990" s="118" t="str">
        <f>IF(Tab.o1[[#This Row],[a1]]=1,IF(AE$3=0,"",Tab.o1[[#This Row],[Wr2]]/SUM(Tab.o1[Wr2])),"")</f>
        <v/>
      </c>
      <c r="AE990" s="128" t="str">
        <f>IF(Tab.o1[[#This Row],[a1]]=1,[1]!T.in.A[[#This Row],[oo10]],"")</f>
        <v/>
      </c>
      <c r="AF990" s="118" t="str">
        <f>IF(Tab.o1[[#This Row],[a1]]=1,ABS(Tab.o1[[#This Row],[DIF_Target.]]*Tab.o1[[#This Row],[PDF2]]*Tab.o1[[#This Row],[IN]]),"")</f>
        <v/>
      </c>
      <c r="AG990" s="129" t="str">
        <f>IF(Tab.o1[[#This Row],[a1]]=1,Tab.o1[[#This Row],[rW]]^2,"")</f>
        <v/>
      </c>
      <c r="AH990" s="130" t="str">
        <f>IF(Tab.o1[[#This Row],[a1]]=1,IF(AH$3=0,Tab.o1[[#This Row],[rW2]],0.01+0.94*Tab.o1[[#This Row],[rW2]]/SUM(Tab.o1[rW2])),"")</f>
        <v/>
      </c>
      <c r="AI990" s="128" t="str">
        <f>IF(Tab.o1[[#This Row],[a1]]=1,1/Tab.o1[[#This Row],[PDF]],"")</f>
        <v/>
      </c>
      <c r="AJ990" s="131" t="str">
        <f>IF(Tab.o1[[#This Row],[a1]]=1,[1]!T_AA[[#This Row],[IN'']]*[1]!T_AA[[#This Row],[Qde'']],"")</f>
        <v/>
      </c>
      <c r="AK990" s="132" t="str">
        <f>IF(Tab.o1[[#This Row],[a1]]=1,IF(AK$1=1,Tab.o1[[#This Row],[MED]]+Tab.o1[[#This Row],[MOD]]-Tab.o1[[#This Row],[MED]],""),"")</f>
        <v/>
      </c>
      <c r="AL990" s="133" t="str">
        <f>IF(Tab.o1[[#This Row],[a1]]=1,[1]!T.in.A[[#This Row],[oo16]],"")</f>
        <v/>
      </c>
      <c r="AM990" s="133" t="str">
        <f>IF(Tab.o1[[#This Row],[a1]]=1,IF(AM$3=1,[1]!T.in.A[[#This Row],[Σo16]],""),"")</f>
        <v/>
      </c>
      <c r="AN990" s="126" t="str">
        <f>IF(Tab.o1[[#This Row],[a1]]=1,[1]!T.in.A[[#This Row],[Σp5]],"")</f>
        <v/>
      </c>
      <c r="AO990" s="126" t="str">
        <f>IF(Tab.o1[[#This Row],[a1]]=1,IF(AO$3=1,[1]!T.in.A[[#This Row],[Σp5]],""),"")</f>
        <v/>
      </c>
      <c r="AP990" s="110" t="str">
        <f>IF(Tab.o1[[#This Row],[a1]]=1,IF(ISNUMBER(Tab.o1[[#This Row],[i.]]),NORMDIST(Tab.o1[[#This Row],[Za]],0,1,FALSE)*Tab.o1[[#This Row],[i.]],0),"")</f>
        <v/>
      </c>
      <c r="AQ990" s="125" t="str">
        <f>IF(Tab.o1[[#This Row],[a1]]=1,ABS(Tab.o1[[#This Row],[MOD]]-AVERAGE(Tab.o1[MOD])),"")</f>
        <v/>
      </c>
      <c r="AR990" s="134" t="str">
        <f>IF(Tab.o1[[#This Row],[a1]]=1,Tab.o1[[#This Row],[OBS]]/SUM(Tab.o1[OBS]),"")</f>
        <v/>
      </c>
      <c r="AS990" s="135" t="str">
        <f>IF(ISNUMBER(Tab.o1[[#This Row],[a1]]),ROW()-4,"")</f>
        <v/>
      </c>
      <c r="AT990" s="136" t="str">
        <f>Tab.o1[[#This Row],[MOD]]</f>
        <v/>
      </c>
      <c r="AU990" s="137" t="str">
        <f t="shared" si="61"/>
        <v/>
      </c>
      <c r="AV990" s="138" t="str">
        <f t="shared" si="62"/>
        <v/>
      </c>
      <c r="AW990" s="138" t="str">
        <f t="shared" si="63"/>
        <v/>
      </c>
      <c r="AX990" s="139" t="str">
        <f>[1]!T.in.A[[#This Row],[ID_T_manu]]</f>
        <v/>
      </c>
      <c r="AY990" s="140" t="str">
        <f>IF(ISNUMBER(Tab.o1[[#This Row],[a1]]),IF(AND(Tab.o1[[#This Row],[a1]]=1,Tab.o1[[#This Row],[b1]]&lt;=AY$4),#REF!,AY989),"")</f>
        <v/>
      </c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6"/>
      <c r="BO990" s="26"/>
      <c r="BP990" s="26"/>
      <c r="BQ990" s="26"/>
      <c r="BR990" s="26"/>
      <c r="BS990" s="26"/>
      <c r="BT990" s="26"/>
      <c r="BU990" s="26"/>
      <c r="BV990" s="26"/>
      <c r="BW990" s="26"/>
      <c r="BX990" s="26"/>
      <c r="BY990" s="26"/>
      <c r="BZ990" s="26"/>
      <c r="CA990" s="26"/>
    </row>
    <row r="991" spans="1:79" ht="15.75" hidden="1">
      <c r="A991" s="109">
        <v>2.0000000000000003E-6</v>
      </c>
      <c r="B991" s="110">
        <f t="shared" si="60"/>
        <v>991</v>
      </c>
      <c r="C991" s="111" t="str">
        <f>IF(C$1=[1]!T.in.A[[#This Row],[oo2]],1,"")</f>
        <v/>
      </c>
      <c r="D991" s="112" t="str">
        <f>IF(Tab.o1[[#This Row],[a1]]=1,IF(SUM(C991:C992)=0,0,IF(SUM(C990:C991)=1,1,IF(SUM(C990:C992)&gt;1,D990+1,0))),"")</f>
        <v/>
      </c>
      <c r="E991" s="113" t="str">
        <f>IF(Tab.o1[[#This Row],[a1]]=1,[1]!T.in.A[[#This Row],[oo1]],"")</f>
        <v/>
      </c>
      <c r="F991" s="113" t="str">
        <f>IF(Tab.o1[[#This Row],[a1]]=1,[1]!T.in.A[[#This Row],[pp1]],"")</f>
        <v/>
      </c>
      <c r="G991" s="114" t="str">
        <f>IF(Tab.o1[[#This Row],[a1]]=1,G$2+IF(G$1=1,0,Tab.o1[[#This Row],[.x1]])+[1]!T.in.A[[#This Row],[oo3]],"")</f>
        <v/>
      </c>
      <c r="H991" s="115" t="str">
        <f>IF(Tab.o1[[#This Row],[a1]]=1,IF(H$2=0,0,IF(G$1=1,0,Tab.o1[[#This Row],[.x1]])+[1]!T.in.A[[#This Row],[oo4]]),"")</f>
        <v/>
      </c>
      <c r="I991" s="116" t="str">
        <f>IF(Tab.o1[[#This Row],[a1]]=1,IF(J$2=0,Tab.o1[[#This Row],[MED]],Tab.o1[[#This Row],[MOD]]),"")</f>
        <v/>
      </c>
      <c r="J991" s="116" t="str">
        <f>IF(Tab.o1[[#This Row],[a1]]=1,((Tab.o1[[#This Row],[DIF_Target.]]-AVERAGE(Tab.o1[DIF_Target.]))/_xlfn.STDEV.P(Tab.o1[DIF_Target.])),"")</f>
        <v/>
      </c>
      <c r="K991" s="117" t="str">
        <f>IF(Tab.o1[[#This Row],[a1]]=1,IF(J$2=0,Tab.o1[[#This Row],[MOD]]-Tab.o1[[#This Row],[B]],IF(J$2=1,0,-Tab.o1[[#This Row],[MED]])+Tab.o1[[#This Row],[B]]),"")</f>
        <v/>
      </c>
      <c r="L991" s="117" t="str">
        <f ca="1">IF(Tab.o1[[#This Row],[DIF_Target]]=0,IF(L$2=0,Tab.o1[[#This Row],[DIF_Target]],AVERAGE(OFFSET(Tab.o1[[#This Row],[DIF_Target]],1,0,L$3,1)))/3,Tab.o1[[#This Row],[DIF_Target]])</f>
        <v/>
      </c>
      <c r="M991" s="118" t="str">
        <f>IF(Tab.o1[[#This Row],[a1]]=1,NORMSDIST(Tab.o1[[#This Row],[Za]]),"")</f>
        <v/>
      </c>
      <c r="N991" s="119" t="str">
        <f>IF(Tab.o1[[#This Row],[a1]]=1,((Tab.o1[[#This Row],[MedMod]]-AVERAGE(Tab.o1[MedMod]))/_xlfn.STDEV.P(Tab.o1[MedMod])*H$1205)+G$1205,"")</f>
        <v/>
      </c>
      <c r="O991" s="141" t="str">
        <f>IF(Tab.o1[[#This Row],[a1]]=1,Tab.o1[[#This Row],[Zb]]*_xlfn.STDEV.P(Tab.o1[MedMod])+AVERAGE(Tab.o1[MedMod]),"")</f>
        <v/>
      </c>
      <c r="P991" s="117" t="str">
        <f ca="1">IF(Tab.o1[[#This Row],[B]]=0,AVERAGE(OFFSET(Tab.o1[[#This Row],[B]],1,0,L$3,1)),Tab.o1[[#This Row],[B]])</f>
        <v/>
      </c>
      <c r="Q991" s="121" t="str">
        <f>IF(Tab.o1[[#This Row],[a1]]=1,NORMSDIST(Tab.o1[[#This Row],[Zb]]),"")</f>
        <v/>
      </c>
      <c r="R991" s="122" t="str">
        <f>IF(Tab.o1[[#This Row],[a1]]=1,((Tab.o1[[#This Row],[MedMod]]-AVERAGE(Tab.o1[MedMod]))/_xlfn.STDEV.P(Tab.o1[MedMod])*H$1203)+G$1203,"")</f>
        <v/>
      </c>
      <c r="S991" s="122" t="str">
        <f>IF(Tab.o1[[#This Row],[a1]]=1,((Tab.o1[[#This Row],[MedMod]]-AVERAGE(Tab.o1[MedMod]))/_xlfn.STDEV.P(Tab.o1[MedMod])*H$1204)+G$1204,"")</f>
        <v/>
      </c>
      <c r="T991" s="123" t="str">
        <f>IF(Tab.o1[[#This Row],[a1]]=1,Tab.o1[[#This Row],[Z-]]*_xlfn.STDEV.P(Tab.o1[B])+AVERAGE(Tab.o1[B]),"")</f>
        <v/>
      </c>
      <c r="U991" s="123" t="str">
        <f>IF(Tab.o1[[#This Row],[a1]]=1,Tab.o1[[#This Row],[z+]]*_xlfn.STDEV.P(Tab.o1[B])+AVERAGE(Tab.o1[B]),"")</f>
        <v/>
      </c>
      <c r="V991" s="124" t="str">
        <f>IF(Tab.o1[[#This Row],[a1]]=1,ABS((ABS(Tab.o1[[#This Row],[Red]]-Tab.o1[[#This Row],[Blue]]))),"")</f>
        <v/>
      </c>
      <c r="W991" s="125" t="str">
        <f>IF(Tab.o1[[#This Row],[a1]]=1,IF(W$3=0,1,Tab.o1[[#This Row],[Amp.]]*1/_xlfn.MINIFS(Tab.o1[Amp.],Tab.o1[Amp.],"&lt;&gt;0")),"")</f>
        <v/>
      </c>
      <c r="X991" s="126" t="str">
        <f>IF(Tab.o1[[#This Row],[a1]]=1,IF(ISNUMBER(Tab.o1[[#This Row],[i.]]),NORMDIST(Tab.o1[[#This Row],[Za]],0,1,FALSE)*Tab.o1[[#This Row],[i.]],AP$3),"")</f>
        <v/>
      </c>
      <c r="Y991" s="126" t="str">
        <f>IF(Tab.o1[[#This Row],[a1]]=1,0.01+0.94*Tab.o1[[#This Row],[PDF]]/MAX(Tab.o1[PDF]),"")</f>
        <v/>
      </c>
      <c r="Z991" s="126" t="str">
        <f>IF(Tab.o1[[#This Row],[a1]]=1,0.01+0.94*Tab.o1[[#This Row],[W1_PDF]]/MAX(Tab.o1[W1_PDF]),"")</f>
        <v/>
      </c>
      <c r="AA991" s="118" t="str">
        <f>IF(Tab.o1[[#This Row],[a1]]=1,ABS([1]!T.in.A[[#This Row],[oo6]]),"")</f>
        <v/>
      </c>
      <c r="AB991" s="127" t="str">
        <f>IF(Tab.o1[[#This Row],[a1]]=1,IF(AE$3=0,"",IF(AB$3=0,ABS([1]!T.in.A[[#This Row],[oo9]]),ABS(Tab.o1[[#This Row],[DIF_Target.]]*Tab.o1[[#This Row],[W1_PDF]]))),"")</f>
        <v/>
      </c>
      <c r="AC991" s="127" t="str">
        <f>IF(G$1=1,"",IF(Tab.o1[[#This Row],[a1]]=1,Tab.o1[[#This Row],[Wr]]^2,""))</f>
        <v/>
      </c>
      <c r="AD991" s="118" t="str">
        <f>IF(Tab.o1[[#This Row],[a1]]=1,IF(AE$3=0,"",Tab.o1[[#This Row],[Wr2]]/SUM(Tab.o1[Wr2])),"")</f>
        <v/>
      </c>
      <c r="AE991" s="128" t="str">
        <f>IF(Tab.o1[[#This Row],[a1]]=1,[1]!T.in.A[[#This Row],[oo10]],"")</f>
        <v/>
      </c>
      <c r="AF991" s="118" t="str">
        <f>IF(Tab.o1[[#This Row],[a1]]=1,ABS(Tab.o1[[#This Row],[DIF_Target.]]*Tab.o1[[#This Row],[PDF2]]*Tab.o1[[#This Row],[IN]]),"")</f>
        <v/>
      </c>
      <c r="AG991" s="129" t="str">
        <f>IF(Tab.o1[[#This Row],[a1]]=1,Tab.o1[[#This Row],[rW]]^2,"")</f>
        <v/>
      </c>
      <c r="AH991" s="130" t="str">
        <f>IF(Tab.o1[[#This Row],[a1]]=1,IF(AH$3=0,Tab.o1[[#This Row],[rW2]],0.01+0.94*Tab.o1[[#This Row],[rW2]]/SUM(Tab.o1[rW2])),"")</f>
        <v/>
      </c>
      <c r="AI991" s="128" t="str">
        <f>IF(Tab.o1[[#This Row],[a1]]=1,1/Tab.o1[[#This Row],[PDF]],"")</f>
        <v/>
      </c>
      <c r="AJ991" s="131" t="str">
        <f>IF(Tab.o1[[#This Row],[a1]]=1,[1]!T_AA[[#This Row],[IN'']]*[1]!T_AA[[#This Row],[Qde'']],"")</f>
        <v/>
      </c>
      <c r="AK991" s="132" t="str">
        <f>IF(Tab.o1[[#This Row],[a1]]=1,IF(AK$1=1,Tab.o1[[#This Row],[MED]]+Tab.o1[[#This Row],[MOD]]-Tab.o1[[#This Row],[MED]],""),"")</f>
        <v/>
      </c>
      <c r="AL991" s="133" t="str">
        <f>IF(Tab.o1[[#This Row],[a1]]=1,[1]!T.in.A[[#This Row],[oo16]],"")</f>
        <v/>
      </c>
      <c r="AM991" s="133" t="str">
        <f>IF(Tab.o1[[#This Row],[a1]]=1,IF(AM$3=1,[1]!T.in.A[[#This Row],[Σo16]],""),"")</f>
        <v/>
      </c>
      <c r="AN991" s="126" t="str">
        <f>IF(Tab.o1[[#This Row],[a1]]=1,[1]!T.in.A[[#This Row],[Σp5]],"")</f>
        <v/>
      </c>
      <c r="AO991" s="126" t="str">
        <f>IF(Tab.o1[[#This Row],[a1]]=1,IF(AO$3=1,[1]!T.in.A[[#This Row],[Σp5]],""),"")</f>
        <v/>
      </c>
      <c r="AP991" s="110" t="str">
        <f>IF(Tab.o1[[#This Row],[a1]]=1,IF(ISNUMBER(Tab.o1[[#This Row],[i.]]),NORMDIST(Tab.o1[[#This Row],[Za]],0,1,FALSE)*Tab.o1[[#This Row],[i.]],0),"")</f>
        <v/>
      </c>
      <c r="AQ991" s="125" t="str">
        <f>IF(Tab.o1[[#This Row],[a1]]=1,ABS(Tab.o1[[#This Row],[MOD]]-AVERAGE(Tab.o1[MOD])),"")</f>
        <v/>
      </c>
      <c r="AR991" s="134" t="str">
        <f>IF(Tab.o1[[#This Row],[a1]]=1,Tab.o1[[#This Row],[OBS]]/SUM(Tab.o1[OBS]),"")</f>
        <v/>
      </c>
      <c r="AS991" s="135" t="str">
        <f>IF(ISNUMBER(Tab.o1[[#This Row],[a1]]),ROW()-4,"")</f>
        <v/>
      </c>
      <c r="AT991" s="136" t="str">
        <f>Tab.o1[[#This Row],[MOD]]</f>
        <v/>
      </c>
      <c r="AU991" s="137" t="str">
        <f t="shared" si="61"/>
        <v/>
      </c>
      <c r="AV991" s="138" t="str">
        <f t="shared" si="62"/>
        <v/>
      </c>
      <c r="AW991" s="138" t="str">
        <f t="shared" si="63"/>
        <v/>
      </c>
      <c r="AX991" s="139" t="str">
        <f>[1]!T.in.A[[#This Row],[ID_T_manu]]</f>
        <v/>
      </c>
      <c r="AY991" s="140" t="str">
        <f>IF(ISNUMBER(Tab.o1[[#This Row],[a1]]),IF(AND(Tab.o1[[#This Row],[a1]]=1,Tab.o1[[#This Row],[b1]]&lt;=AY$4),#REF!,AY990),"")</f>
        <v/>
      </c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6"/>
      <c r="BO991" s="26"/>
      <c r="BP991" s="26"/>
      <c r="BQ991" s="26"/>
      <c r="BR991" s="26"/>
      <c r="BS991" s="26"/>
      <c r="BT991" s="26"/>
      <c r="BU991" s="26"/>
      <c r="BV991" s="26"/>
      <c r="BW991" s="26"/>
      <c r="BX991" s="26"/>
      <c r="BY991" s="26"/>
      <c r="BZ991" s="26"/>
      <c r="CA991" s="26"/>
    </row>
    <row r="992" spans="1:79" ht="15.75" hidden="1">
      <c r="A992" s="109">
        <v>1.0000000000000002E-6</v>
      </c>
      <c r="B992" s="110">
        <f t="shared" si="60"/>
        <v>992</v>
      </c>
      <c r="C992" s="111" t="str">
        <f>IF(C$1=[1]!T.in.A[[#This Row],[oo2]],1,"")</f>
        <v/>
      </c>
      <c r="D992" s="112" t="str">
        <f>IF(Tab.o1[[#This Row],[a1]]=1,IF(SUM(C992:C993)=0,0,IF(SUM(C991:C992)=1,1,IF(SUM(C991:C993)&gt;1,D991+1,0))),"")</f>
        <v/>
      </c>
      <c r="E992" s="113" t="str">
        <f>IF(Tab.o1[[#This Row],[a1]]=1,[1]!T.in.A[[#This Row],[oo1]],"")</f>
        <v/>
      </c>
      <c r="F992" s="113" t="str">
        <f>IF(Tab.o1[[#This Row],[a1]]=1,[1]!T.in.A[[#This Row],[pp1]],"")</f>
        <v/>
      </c>
      <c r="G992" s="114" t="str">
        <f>IF(Tab.o1[[#This Row],[a1]]=1,G$2+IF(G$1=1,0,Tab.o1[[#This Row],[.x1]])+[1]!T.in.A[[#This Row],[oo3]],"")</f>
        <v/>
      </c>
      <c r="H992" s="115" t="str">
        <f>IF(Tab.o1[[#This Row],[a1]]=1,IF(H$2=0,0,IF(G$1=1,0,Tab.o1[[#This Row],[.x1]])+[1]!T.in.A[[#This Row],[oo4]]),"")</f>
        <v/>
      </c>
      <c r="I992" s="116" t="str">
        <f>IF(Tab.o1[[#This Row],[a1]]=1,IF(J$2=0,Tab.o1[[#This Row],[MED]],Tab.o1[[#This Row],[MOD]]),"")</f>
        <v/>
      </c>
      <c r="J992" s="116" t="str">
        <f>IF(Tab.o1[[#This Row],[a1]]=1,((Tab.o1[[#This Row],[DIF_Target.]]-AVERAGE(Tab.o1[DIF_Target.]))/_xlfn.STDEV.P(Tab.o1[DIF_Target.])),"")</f>
        <v/>
      </c>
      <c r="K992" s="117" t="str">
        <f>IF(Tab.o1[[#This Row],[a1]]=1,IF(J$2=0,Tab.o1[[#This Row],[MOD]]-Tab.o1[[#This Row],[B]],IF(J$2=1,0,-Tab.o1[[#This Row],[MED]])+Tab.o1[[#This Row],[B]]),"")</f>
        <v/>
      </c>
      <c r="L992" s="117" t="str">
        <f ca="1">IF(Tab.o1[[#This Row],[DIF_Target]]=0,IF(L$2=0,Tab.o1[[#This Row],[DIF_Target]],AVERAGE(OFFSET(Tab.o1[[#This Row],[DIF_Target]],1,0,L$3,1)))/3,Tab.o1[[#This Row],[DIF_Target]])</f>
        <v/>
      </c>
      <c r="M992" s="118" t="str">
        <f>IF(Tab.o1[[#This Row],[a1]]=1,NORMSDIST(Tab.o1[[#This Row],[Za]]),"")</f>
        <v/>
      </c>
      <c r="N992" s="119" t="str">
        <f>IF(Tab.o1[[#This Row],[a1]]=1,((Tab.o1[[#This Row],[MedMod]]-AVERAGE(Tab.o1[MedMod]))/_xlfn.STDEV.P(Tab.o1[MedMod])*H$1205)+G$1205,"")</f>
        <v/>
      </c>
      <c r="O992" s="141" t="str">
        <f>IF(Tab.o1[[#This Row],[a1]]=1,Tab.o1[[#This Row],[Zb]]*_xlfn.STDEV.P(Tab.o1[MedMod])+AVERAGE(Tab.o1[MedMod]),"")</f>
        <v/>
      </c>
      <c r="P992" s="117" t="str">
        <f ca="1">IF(Tab.o1[[#This Row],[B]]=0,AVERAGE(OFFSET(Tab.o1[[#This Row],[B]],1,0,L$3,1)),Tab.o1[[#This Row],[B]])</f>
        <v/>
      </c>
      <c r="Q992" s="121" t="str">
        <f>IF(Tab.o1[[#This Row],[a1]]=1,NORMSDIST(Tab.o1[[#This Row],[Zb]]),"")</f>
        <v/>
      </c>
      <c r="R992" s="122" t="str">
        <f>IF(Tab.o1[[#This Row],[a1]]=1,((Tab.o1[[#This Row],[MedMod]]-AVERAGE(Tab.o1[MedMod]))/_xlfn.STDEV.P(Tab.o1[MedMod])*H$1203)+G$1203,"")</f>
        <v/>
      </c>
      <c r="S992" s="122" t="str">
        <f>IF(Tab.o1[[#This Row],[a1]]=1,((Tab.o1[[#This Row],[MedMod]]-AVERAGE(Tab.o1[MedMod]))/_xlfn.STDEV.P(Tab.o1[MedMod])*H$1204)+G$1204,"")</f>
        <v/>
      </c>
      <c r="T992" s="123" t="str">
        <f>IF(Tab.o1[[#This Row],[a1]]=1,Tab.o1[[#This Row],[Z-]]*_xlfn.STDEV.P(Tab.o1[B])+AVERAGE(Tab.o1[B]),"")</f>
        <v/>
      </c>
      <c r="U992" s="123" t="str">
        <f>IF(Tab.o1[[#This Row],[a1]]=1,Tab.o1[[#This Row],[z+]]*_xlfn.STDEV.P(Tab.o1[B])+AVERAGE(Tab.o1[B]),"")</f>
        <v/>
      </c>
      <c r="V992" s="124" t="str">
        <f>IF(Tab.o1[[#This Row],[a1]]=1,ABS((ABS(Tab.o1[[#This Row],[Red]]-Tab.o1[[#This Row],[Blue]]))),"")</f>
        <v/>
      </c>
      <c r="W992" s="125" t="str">
        <f>IF(Tab.o1[[#This Row],[a1]]=1,IF(W$3=0,1,Tab.o1[[#This Row],[Amp.]]*1/_xlfn.MINIFS(Tab.o1[Amp.],Tab.o1[Amp.],"&lt;&gt;0")),"")</f>
        <v/>
      </c>
      <c r="X992" s="126" t="str">
        <f>IF(Tab.o1[[#This Row],[a1]]=1,IF(ISNUMBER(Tab.o1[[#This Row],[i.]]),NORMDIST(Tab.o1[[#This Row],[Za]],0,1,FALSE)*Tab.o1[[#This Row],[i.]],AP$3),"")</f>
        <v/>
      </c>
      <c r="Y992" s="126" t="str">
        <f>IF(Tab.o1[[#This Row],[a1]]=1,0.01+0.94*Tab.o1[[#This Row],[PDF]]/MAX(Tab.o1[PDF]),"")</f>
        <v/>
      </c>
      <c r="Z992" s="126" t="str">
        <f>IF(Tab.o1[[#This Row],[a1]]=1,0.01+0.94*Tab.o1[[#This Row],[W1_PDF]]/MAX(Tab.o1[W1_PDF]),"")</f>
        <v/>
      </c>
      <c r="AA992" s="118" t="str">
        <f>IF(Tab.o1[[#This Row],[a1]]=1,ABS([1]!T.in.A[[#This Row],[oo6]]),"")</f>
        <v/>
      </c>
      <c r="AB992" s="127" t="str">
        <f>IF(Tab.o1[[#This Row],[a1]]=1,IF(AE$3=0,"",IF(AB$3=0,ABS([1]!T.in.A[[#This Row],[oo9]]),ABS(Tab.o1[[#This Row],[DIF_Target.]]*Tab.o1[[#This Row],[W1_PDF]]))),"")</f>
        <v/>
      </c>
      <c r="AC992" s="127" t="str">
        <f>IF(G$1=1,"",IF(Tab.o1[[#This Row],[a1]]=1,Tab.o1[[#This Row],[Wr]]^2,""))</f>
        <v/>
      </c>
      <c r="AD992" s="118" t="str">
        <f>IF(Tab.o1[[#This Row],[a1]]=1,IF(AE$3=0,"",Tab.o1[[#This Row],[Wr2]]/SUM(Tab.o1[Wr2])),"")</f>
        <v/>
      </c>
      <c r="AE992" s="128" t="str">
        <f>IF(Tab.o1[[#This Row],[a1]]=1,[1]!T.in.A[[#This Row],[oo10]],"")</f>
        <v/>
      </c>
      <c r="AF992" s="118" t="str">
        <f>IF(Tab.o1[[#This Row],[a1]]=1,ABS(Tab.o1[[#This Row],[DIF_Target.]]*Tab.o1[[#This Row],[PDF2]]*Tab.o1[[#This Row],[IN]]),"")</f>
        <v/>
      </c>
      <c r="AG992" s="129" t="str">
        <f>IF(Tab.o1[[#This Row],[a1]]=1,Tab.o1[[#This Row],[rW]]^2,"")</f>
        <v/>
      </c>
      <c r="AH992" s="130" t="str">
        <f>IF(Tab.o1[[#This Row],[a1]]=1,IF(AH$3=0,Tab.o1[[#This Row],[rW2]],0.01+0.94*Tab.o1[[#This Row],[rW2]]/SUM(Tab.o1[rW2])),"")</f>
        <v/>
      </c>
      <c r="AI992" s="128" t="str">
        <f>IF(Tab.o1[[#This Row],[a1]]=1,1/Tab.o1[[#This Row],[PDF]],"")</f>
        <v/>
      </c>
      <c r="AJ992" s="131" t="str">
        <f>IF(Tab.o1[[#This Row],[a1]]=1,[1]!T_AA[[#This Row],[IN'']]*[1]!T_AA[[#This Row],[Qde'']],"")</f>
        <v/>
      </c>
      <c r="AK992" s="132" t="str">
        <f>IF(Tab.o1[[#This Row],[a1]]=1,IF(AK$1=1,Tab.o1[[#This Row],[MED]]+Tab.o1[[#This Row],[MOD]]-Tab.o1[[#This Row],[MED]],""),"")</f>
        <v/>
      </c>
      <c r="AL992" s="133" t="str">
        <f>IF(Tab.o1[[#This Row],[a1]]=1,[1]!T.in.A[[#This Row],[oo16]],"")</f>
        <v/>
      </c>
      <c r="AM992" s="133" t="str">
        <f>IF(Tab.o1[[#This Row],[a1]]=1,IF(AM$3=1,[1]!T.in.A[[#This Row],[Σo16]],""),"")</f>
        <v/>
      </c>
      <c r="AN992" s="126" t="str">
        <f>IF(Tab.o1[[#This Row],[a1]]=1,[1]!T.in.A[[#This Row],[Σp5]],"")</f>
        <v/>
      </c>
      <c r="AO992" s="126" t="str">
        <f>IF(Tab.o1[[#This Row],[a1]]=1,IF(AO$3=1,[1]!T.in.A[[#This Row],[Σp5]],""),"")</f>
        <v/>
      </c>
      <c r="AP992" s="110" t="str">
        <f>IF(Tab.o1[[#This Row],[a1]]=1,IF(ISNUMBER(Tab.o1[[#This Row],[i.]]),NORMDIST(Tab.o1[[#This Row],[Za]],0,1,FALSE)*Tab.o1[[#This Row],[i.]],0),"")</f>
        <v/>
      </c>
      <c r="AQ992" s="125" t="str">
        <f>IF(Tab.o1[[#This Row],[a1]]=1,ABS(Tab.o1[[#This Row],[MOD]]-AVERAGE(Tab.o1[MOD])),"")</f>
        <v/>
      </c>
      <c r="AR992" s="134" t="str">
        <f>IF(Tab.o1[[#This Row],[a1]]=1,Tab.o1[[#This Row],[OBS]]/SUM(Tab.o1[OBS]),"")</f>
        <v/>
      </c>
      <c r="AS992" s="135" t="str">
        <f>IF(ISNUMBER(Tab.o1[[#This Row],[a1]]),ROW()-4,"")</f>
        <v/>
      </c>
      <c r="AT992" s="136" t="str">
        <f>Tab.o1[[#This Row],[MOD]]</f>
        <v/>
      </c>
      <c r="AU992" s="137" t="str">
        <f t="shared" si="61"/>
        <v/>
      </c>
      <c r="AV992" s="138" t="str">
        <f t="shared" si="62"/>
        <v/>
      </c>
      <c r="AW992" s="138" t="str">
        <f t="shared" si="63"/>
        <v/>
      </c>
      <c r="AX992" s="139" t="str">
        <f>[1]!T.in.A[[#This Row],[ID_T_manu]]</f>
        <v/>
      </c>
      <c r="AY992" s="140" t="str">
        <f>IF(ISNUMBER(Tab.o1[[#This Row],[a1]]),IF(AND(Tab.o1[[#This Row],[a1]]=1,Tab.o1[[#This Row],[b1]]&lt;=AY$4),#REF!,AY991),"")</f>
        <v/>
      </c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6"/>
      <c r="BO992" s="26"/>
      <c r="BP992" s="26"/>
      <c r="BQ992" s="26"/>
      <c r="BR992" s="26"/>
      <c r="BS992" s="26"/>
      <c r="BT992" s="26"/>
      <c r="BU992" s="26"/>
      <c r="BV992" s="26"/>
      <c r="BW992" s="26"/>
      <c r="BX992" s="26"/>
      <c r="BY992" s="26"/>
      <c r="BZ992" s="26"/>
      <c r="CA992" s="26"/>
    </row>
    <row r="993" spans="1:79" ht="15.75" hidden="1">
      <c r="A993" s="109">
        <v>2.9999999999999997E-6</v>
      </c>
      <c r="B993" s="110">
        <f t="shared" si="60"/>
        <v>993</v>
      </c>
      <c r="C993" s="111" t="str">
        <f>IF(C$1=[1]!T.in.A[[#This Row],[oo2]],1,"")</f>
        <v/>
      </c>
      <c r="D993" s="112" t="str">
        <f>IF(Tab.o1[[#This Row],[a1]]=1,IF(SUM(C993:C994)=0,0,IF(SUM(C992:C993)=1,1,IF(SUM(C992:C994)&gt;1,D992+1,0))),"")</f>
        <v/>
      </c>
      <c r="E993" s="113" t="str">
        <f>IF(Tab.o1[[#This Row],[a1]]=1,[1]!T.in.A[[#This Row],[oo1]],"")</f>
        <v/>
      </c>
      <c r="F993" s="113" t="str">
        <f>IF(Tab.o1[[#This Row],[a1]]=1,[1]!T.in.A[[#This Row],[pp1]],"")</f>
        <v/>
      </c>
      <c r="G993" s="114" t="str">
        <f>IF(Tab.o1[[#This Row],[a1]]=1,G$2+IF(G$1=1,0,Tab.o1[[#This Row],[.x1]])+[1]!T.in.A[[#This Row],[oo3]],"")</f>
        <v/>
      </c>
      <c r="H993" s="115" t="str">
        <f>IF(Tab.o1[[#This Row],[a1]]=1,IF(H$2=0,0,IF(G$1=1,0,Tab.o1[[#This Row],[.x1]])+[1]!T.in.A[[#This Row],[oo4]]),"")</f>
        <v/>
      </c>
      <c r="I993" s="116" t="str">
        <f>IF(Tab.o1[[#This Row],[a1]]=1,IF(J$2=0,Tab.o1[[#This Row],[MED]],Tab.o1[[#This Row],[MOD]]),"")</f>
        <v/>
      </c>
      <c r="J993" s="116" t="str">
        <f>IF(Tab.o1[[#This Row],[a1]]=1,((Tab.o1[[#This Row],[DIF_Target.]]-AVERAGE(Tab.o1[DIF_Target.]))/_xlfn.STDEV.P(Tab.o1[DIF_Target.])),"")</f>
        <v/>
      </c>
      <c r="K993" s="117" t="str">
        <f>IF(Tab.o1[[#This Row],[a1]]=1,IF(J$2=0,Tab.o1[[#This Row],[MOD]]-Tab.o1[[#This Row],[B]],IF(J$2=1,0,-Tab.o1[[#This Row],[MED]])+Tab.o1[[#This Row],[B]]),"")</f>
        <v/>
      </c>
      <c r="L993" s="117" t="str">
        <f ca="1">IF(Tab.o1[[#This Row],[DIF_Target]]=0,IF(L$2=0,Tab.o1[[#This Row],[DIF_Target]],AVERAGE(OFFSET(Tab.o1[[#This Row],[DIF_Target]],1,0,L$3,1)))/3,Tab.o1[[#This Row],[DIF_Target]])</f>
        <v/>
      </c>
      <c r="M993" s="118" t="str">
        <f>IF(Tab.o1[[#This Row],[a1]]=1,NORMSDIST(Tab.o1[[#This Row],[Za]]),"")</f>
        <v/>
      </c>
      <c r="N993" s="119" t="str">
        <f>IF(Tab.o1[[#This Row],[a1]]=1,((Tab.o1[[#This Row],[MedMod]]-AVERAGE(Tab.o1[MedMod]))/_xlfn.STDEV.P(Tab.o1[MedMod])*H$1205)+G$1205,"")</f>
        <v/>
      </c>
      <c r="O993" s="141" t="str">
        <f>IF(Tab.o1[[#This Row],[a1]]=1,Tab.o1[[#This Row],[Zb]]*_xlfn.STDEV.P(Tab.o1[MedMod])+AVERAGE(Tab.o1[MedMod]),"")</f>
        <v/>
      </c>
      <c r="P993" s="117" t="str">
        <f ca="1">IF(Tab.o1[[#This Row],[B]]=0,AVERAGE(OFFSET(Tab.o1[[#This Row],[B]],1,0,L$3,1)),Tab.o1[[#This Row],[B]])</f>
        <v/>
      </c>
      <c r="Q993" s="121" t="str">
        <f>IF(Tab.o1[[#This Row],[a1]]=1,NORMSDIST(Tab.o1[[#This Row],[Zb]]),"")</f>
        <v/>
      </c>
      <c r="R993" s="122" t="str">
        <f>IF(Tab.o1[[#This Row],[a1]]=1,((Tab.o1[[#This Row],[MedMod]]-AVERAGE(Tab.o1[MedMod]))/_xlfn.STDEV.P(Tab.o1[MedMod])*H$1203)+G$1203,"")</f>
        <v/>
      </c>
      <c r="S993" s="122" t="str">
        <f>IF(Tab.o1[[#This Row],[a1]]=1,((Tab.o1[[#This Row],[MedMod]]-AVERAGE(Tab.o1[MedMod]))/_xlfn.STDEV.P(Tab.o1[MedMod])*H$1204)+G$1204,"")</f>
        <v/>
      </c>
      <c r="T993" s="123" t="str">
        <f>IF(Tab.o1[[#This Row],[a1]]=1,Tab.o1[[#This Row],[Z-]]*_xlfn.STDEV.P(Tab.o1[B])+AVERAGE(Tab.o1[B]),"")</f>
        <v/>
      </c>
      <c r="U993" s="123" t="str">
        <f>IF(Tab.o1[[#This Row],[a1]]=1,Tab.o1[[#This Row],[z+]]*_xlfn.STDEV.P(Tab.o1[B])+AVERAGE(Tab.o1[B]),"")</f>
        <v/>
      </c>
      <c r="V993" s="124" t="str">
        <f>IF(Tab.o1[[#This Row],[a1]]=1,ABS((ABS(Tab.o1[[#This Row],[Red]]-Tab.o1[[#This Row],[Blue]]))),"")</f>
        <v/>
      </c>
      <c r="W993" s="125" t="str">
        <f>IF(Tab.o1[[#This Row],[a1]]=1,IF(W$3=0,1,Tab.o1[[#This Row],[Amp.]]*1/_xlfn.MINIFS(Tab.o1[Amp.],Tab.o1[Amp.],"&lt;&gt;0")),"")</f>
        <v/>
      </c>
      <c r="X993" s="126" t="str">
        <f>IF(Tab.o1[[#This Row],[a1]]=1,IF(ISNUMBER(Tab.o1[[#This Row],[i.]]),NORMDIST(Tab.o1[[#This Row],[Za]],0,1,FALSE)*Tab.o1[[#This Row],[i.]],AP$3),"")</f>
        <v/>
      </c>
      <c r="Y993" s="126" t="str">
        <f>IF(Tab.o1[[#This Row],[a1]]=1,0.01+0.94*Tab.o1[[#This Row],[PDF]]/MAX(Tab.o1[PDF]),"")</f>
        <v/>
      </c>
      <c r="Z993" s="126" t="str">
        <f>IF(Tab.o1[[#This Row],[a1]]=1,0.01+0.94*Tab.o1[[#This Row],[W1_PDF]]/MAX(Tab.o1[W1_PDF]),"")</f>
        <v/>
      </c>
      <c r="AA993" s="118" t="str">
        <f>IF(Tab.o1[[#This Row],[a1]]=1,ABS([1]!T.in.A[[#This Row],[oo6]]),"")</f>
        <v/>
      </c>
      <c r="AB993" s="127" t="str">
        <f>IF(Tab.o1[[#This Row],[a1]]=1,IF(AE$3=0,"",IF(AB$3=0,ABS([1]!T.in.A[[#This Row],[oo9]]),ABS(Tab.o1[[#This Row],[DIF_Target.]]*Tab.o1[[#This Row],[W1_PDF]]))),"")</f>
        <v/>
      </c>
      <c r="AC993" s="127" t="str">
        <f>IF(G$1=1,"",IF(Tab.o1[[#This Row],[a1]]=1,Tab.o1[[#This Row],[Wr]]^2,""))</f>
        <v/>
      </c>
      <c r="AD993" s="118" t="str">
        <f>IF(Tab.o1[[#This Row],[a1]]=1,IF(AE$3=0,"",Tab.o1[[#This Row],[Wr2]]/SUM(Tab.o1[Wr2])),"")</f>
        <v/>
      </c>
      <c r="AE993" s="128" t="str">
        <f>IF(Tab.o1[[#This Row],[a1]]=1,[1]!T.in.A[[#This Row],[oo10]],"")</f>
        <v/>
      </c>
      <c r="AF993" s="118" t="str">
        <f>IF(Tab.o1[[#This Row],[a1]]=1,ABS(Tab.o1[[#This Row],[DIF_Target.]]*Tab.o1[[#This Row],[PDF2]]*Tab.o1[[#This Row],[IN]]),"")</f>
        <v/>
      </c>
      <c r="AG993" s="129" t="str">
        <f>IF(Tab.o1[[#This Row],[a1]]=1,Tab.o1[[#This Row],[rW]]^2,"")</f>
        <v/>
      </c>
      <c r="AH993" s="130" t="str">
        <f>IF(Tab.o1[[#This Row],[a1]]=1,IF(AH$3=0,Tab.o1[[#This Row],[rW2]],0.01+0.94*Tab.o1[[#This Row],[rW2]]/SUM(Tab.o1[rW2])),"")</f>
        <v/>
      </c>
      <c r="AI993" s="128" t="str">
        <f>IF(Tab.o1[[#This Row],[a1]]=1,1/Tab.o1[[#This Row],[PDF]],"")</f>
        <v/>
      </c>
      <c r="AJ993" s="131" t="str">
        <f>IF(Tab.o1[[#This Row],[a1]]=1,[1]!T_AA[[#This Row],[IN'']]*[1]!T_AA[[#This Row],[Qde'']],"")</f>
        <v/>
      </c>
      <c r="AK993" s="132" t="str">
        <f>IF(Tab.o1[[#This Row],[a1]]=1,IF(AK$1=1,Tab.o1[[#This Row],[MED]]+Tab.o1[[#This Row],[MOD]]-Tab.o1[[#This Row],[MED]],""),"")</f>
        <v/>
      </c>
      <c r="AL993" s="133" t="str">
        <f>IF(Tab.o1[[#This Row],[a1]]=1,[1]!T.in.A[[#This Row],[oo16]],"")</f>
        <v/>
      </c>
      <c r="AM993" s="133" t="str">
        <f>IF(Tab.o1[[#This Row],[a1]]=1,IF(AM$3=1,[1]!T.in.A[[#This Row],[Σo16]],""),"")</f>
        <v/>
      </c>
      <c r="AN993" s="126" t="str">
        <f>IF(Tab.o1[[#This Row],[a1]]=1,[1]!T.in.A[[#This Row],[Σp5]],"")</f>
        <v/>
      </c>
      <c r="AO993" s="126" t="str">
        <f>IF(Tab.o1[[#This Row],[a1]]=1,IF(AO$3=1,[1]!T.in.A[[#This Row],[Σp5]],""),"")</f>
        <v/>
      </c>
      <c r="AP993" s="110" t="str">
        <f>IF(Tab.o1[[#This Row],[a1]]=1,IF(ISNUMBER(Tab.o1[[#This Row],[i.]]),NORMDIST(Tab.o1[[#This Row],[Za]],0,1,FALSE)*Tab.o1[[#This Row],[i.]],0),"")</f>
        <v/>
      </c>
      <c r="AQ993" s="125" t="str">
        <f>IF(Tab.o1[[#This Row],[a1]]=1,ABS(Tab.o1[[#This Row],[MOD]]-AVERAGE(Tab.o1[MOD])),"")</f>
        <v/>
      </c>
      <c r="AR993" s="134" t="str">
        <f>IF(Tab.o1[[#This Row],[a1]]=1,Tab.o1[[#This Row],[OBS]]/SUM(Tab.o1[OBS]),"")</f>
        <v/>
      </c>
      <c r="AS993" s="135" t="str">
        <f>IF(ISNUMBER(Tab.o1[[#This Row],[a1]]),ROW()-4,"")</f>
        <v/>
      </c>
      <c r="AT993" s="136" t="str">
        <f>Tab.o1[[#This Row],[MOD]]</f>
        <v/>
      </c>
      <c r="AU993" s="137" t="str">
        <f t="shared" si="61"/>
        <v/>
      </c>
      <c r="AV993" s="138" t="str">
        <f t="shared" si="62"/>
        <v/>
      </c>
      <c r="AW993" s="138" t="str">
        <f t="shared" si="63"/>
        <v/>
      </c>
      <c r="AX993" s="139" t="str">
        <f>[1]!T.in.A[[#This Row],[ID_T_manu]]</f>
        <v/>
      </c>
      <c r="AY993" s="140" t="str">
        <f>IF(ISNUMBER(Tab.o1[[#This Row],[a1]]),IF(AND(Tab.o1[[#This Row],[a1]]=1,Tab.o1[[#This Row],[b1]]&lt;=AY$4),#REF!,AY992),"")</f>
        <v/>
      </c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6"/>
      <c r="BO993" s="26"/>
      <c r="BP993" s="26"/>
      <c r="BQ993" s="26"/>
      <c r="BR993" s="26"/>
      <c r="BS993" s="26"/>
      <c r="BT993" s="26"/>
      <c r="BU993" s="26"/>
      <c r="BV993" s="26"/>
      <c r="BW993" s="26"/>
      <c r="BX993" s="26"/>
      <c r="BY993" s="26"/>
      <c r="BZ993" s="26"/>
      <c r="CA993" s="26"/>
    </row>
    <row r="994" spans="1:79" ht="15.75" hidden="1">
      <c r="A994" s="109">
        <v>2.0000000000000003E-6</v>
      </c>
      <c r="B994" s="110">
        <f t="shared" si="60"/>
        <v>994</v>
      </c>
      <c r="C994" s="111" t="str">
        <f>IF(C$1=[1]!T.in.A[[#This Row],[oo2]],1,"")</f>
        <v/>
      </c>
      <c r="D994" s="112" t="str">
        <f>IF(Tab.o1[[#This Row],[a1]]=1,IF(SUM(C994:C995)=0,0,IF(SUM(C993:C994)=1,1,IF(SUM(C993:C995)&gt;1,D993+1,0))),"")</f>
        <v/>
      </c>
      <c r="E994" s="113" t="str">
        <f>IF(Tab.o1[[#This Row],[a1]]=1,[1]!T.in.A[[#This Row],[oo1]],"")</f>
        <v/>
      </c>
      <c r="F994" s="113" t="str">
        <f>IF(Tab.o1[[#This Row],[a1]]=1,[1]!T.in.A[[#This Row],[pp1]],"")</f>
        <v/>
      </c>
      <c r="G994" s="114" t="str">
        <f>IF(Tab.o1[[#This Row],[a1]]=1,G$2+IF(G$1=1,0,Tab.o1[[#This Row],[.x1]])+[1]!T.in.A[[#This Row],[oo3]],"")</f>
        <v/>
      </c>
      <c r="H994" s="115" t="str">
        <f>IF(Tab.o1[[#This Row],[a1]]=1,IF(H$2=0,0,IF(G$1=1,0,Tab.o1[[#This Row],[.x1]])+[1]!T.in.A[[#This Row],[oo4]]),"")</f>
        <v/>
      </c>
      <c r="I994" s="116" t="str">
        <f>IF(Tab.o1[[#This Row],[a1]]=1,IF(J$2=0,Tab.o1[[#This Row],[MED]],Tab.o1[[#This Row],[MOD]]),"")</f>
        <v/>
      </c>
      <c r="J994" s="116" t="str">
        <f>IF(Tab.o1[[#This Row],[a1]]=1,((Tab.o1[[#This Row],[DIF_Target.]]-AVERAGE(Tab.o1[DIF_Target.]))/_xlfn.STDEV.P(Tab.o1[DIF_Target.])),"")</f>
        <v/>
      </c>
      <c r="K994" s="117" t="str">
        <f>IF(Tab.o1[[#This Row],[a1]]=1,IF(J$2=0,Tab.o1[[#This Row],[MOD]]-Tab.o1[[#This Row],[B]],IF(J$2=1,0,-Tab.o1[[#This Row],[MED]])+Tab.o1[[#This Row],[B]]),"")</f>
        <v/>
      </c>
      <c r="L994" s="117" t="str">
        <f ca="1">IF(Tab.o1[[#This Row],[DIF_Target]]=0,IF(L$2=0,Tab.o1[[#This Row],[DIF_Target]],AVERAGE(OFFSET(Tab.o1[[#This Row],[DIF_Target]],1,0,L$3,1)))/3,Tab.o1[[#This Row],[DIF_Target]])</f>
        <v/>
      </c>
      <c r="M994" s="118" t="str">
        <f>IF(Tab.o1[[#This Row],[a1]]=1,NORMSDIST(Tab.o1[[#This Row],[Za]]),"")</f>
        <v/>
      </c>
      <c r="N994" s="119" t="str">
        <f>IF(Tab.o1[[#This Row],[a1]]=1,((Tab.o1[[#This Row],[MedMod]]-AVERAGE(Tab.o1[MedMod]))/_xlfn.STDEV.P(Tab.o1[MedMod])*H$1205)+G$1205,"")</f>
        <v/>
      </c>
      <c r="O994" s="141" t="str">
        <f>IF(Tab.o1[[#This Row],[a1]]=1,Tab.o1[[#This Row],[Zb]]*_xlfn.STDEV.P(Tab.o1[MedMod])+AVERAGE(Tab.o1[MedMod]),"")</f>
        <v/>
      </c>
      <c r="P994" s="117" t="str">
        <f ca="1">IF(Tab.o1[[#This Row],[B]]=0,AVERAGE(OFFSET(Tab.o1[[#This Row],[B]],1,0,L$3,1)),Tab.o1[[#This Row],[B]])</f>
        <v/>
      </c>
      <c r="Q994" s="121" t="str">
        <f>IF(Tab.o1[[#This Row],[a1]]=1,NORMSDIST(Tab.o1[[#This Row],[Zb]]),"")</f>
        <v/>
      </c>
      <c r="R994" s="122" t="str">
        <f>IF(Tab.o1[[#This Row],[a1]]=1,((Tab.o1[[#This Row],[MedMod]]-AVERAGE(Tab.o1[MedMod]))/_xlfn.STDEV.P(Tab.o1[MedMod])*H$1203)+G$1203,"")</f>
        <v/>
      </c>
      <c r="S994" s="122" t="str">
        <f>IF(Tab.o1[[#This Row],[a1]]=1,((Tab.o1[[#This Row],[MedMod]]-AVERAGE(Tab.o1[MedMod]))/_xlfn.STDEV.P(Tab.o1[MedMod])*H$1204)+G$1204,"")</f>
        <v/>
      </c>
      <c r="T994" s="123" t="str">
        <f>IF(Tab.o1[[#This Row],[a1]]=1,Tab.o1[[#This Row],[Z-]]*_xlfn.STDEV.P(Tab.o1[B])+AVERAGE(Tab.o1[B]),"")</f>
        <v/>
      </c>
      <c r="U994" s="123" t="str">
        <f>IF(Tab.o1[[#This Row],[a1]]=1,Tab.o1[[#This Row],[z+]]*_xlfn.STDEV.P(Tab.o1[B])+AVERAGE(Tab.o1[B]),"")</f>
        <v/>
      </c>
      <c r="V994" s="124" t="str">
        <f>IF(Tab.o1[[#This Row],[a1]]=1,ABS((ABS(Tab.o1[[#This Row],[Red]]-Tab.o1[[#This Row],[Blue]]))),"")</f>
        <v/>
      </c>
      <c r="W994" s="125" t="str">
        <f>IF(Tab.o1[[#This Row],[a1]]=1,IF(W$3=0,1,Tab.o1[[#This Row],[Amp.]]*1/_xlfn.MINIFS(Tab.o1[Amp.],Tab.o1[Amp.],"&lt;&gt;0")),"")</f>
        <v/>
      </c>
      <c r="X994" s="126" t="str">
        <f>IF(Tab.o1[[#This Row],[a1]]=1,IF(ISNUMBER(Tab.o1[[#This Row],[i.]]),NORMDIST(Tab.o1[[#This Row],[Za]],0,1,FALSE)*Tab.o1[[#This Row],[i.]],AP$3),"")</f>
        <v/>
      </c>
      <c r="Y994" s="126" t="str">
        <f>IF(Tab.o1[[#This Row],[a1]]=1,0.01+0.94*Tab.o1[[#This Row],[PDF]]/MAX(Tab.o1[PDF]),"")</f>
        <v/>
      </c>
      <c r="Z994" s="126" t="str">
        <f>IF(Tab.o1[[#This Row],[a1]]=1,0.01+0.94*Tab.o1[[#This Row],[W1_PDF]]/MAX(Tab.o1[W1_PDF]),"")</f>
        <v/>
      </c>
      <c r="AA994" s="118" t="str">
        <f>IF(Tab.o1[[#This Row],[a1]]=1,ABS([1]!T.in.A[[#This Row],[oo6]]),"")</f>
        <v/>
      </c>
      <c r="AB994" s="127" t="str">
        <f>IF(Tab.o1[[#This Row],[a1]]=1,IF(AE$3=0,"",IF(AB$3=0,ABS([1]!T.in.A[[#This Row],[oo9]]),ABS(Tab.o1[[#This Row],[DIF_Target.]]*Tab.o1[[#This Row],[W1_PDF]]))),"")</f>
        <v/>
      </c>
      <c r="AC994" s="127" t="str">
        <f>IF(G$1=1,"",IF(Tab.o1[[#This Row],[a1]]=1,Tab.o1[[#This Row],[Wr]]^2,""))</f>
        <v/>
      </c>
      <c r="AD994" s="118" t="str">
        <f>IF(Tab.o1[[#This Row],[a1]]=1,IF(AE$3=0,"",Tab.o1[[#This Row],[Wr2]]/SUM(Tab.o1[Wr2])),"")</f>
        <v/>
      </c>
      <c r="AE994" s="128" t="str">
        <f>IF(Tab.o1[[#This Row],[a1]]=1,[1]!T.in.A[[#This Row],[oo10]],"")</f>
        <v/>
      </c>
      <c r="AF994" s="118" t="str">
        <f>IF(Tab.o1[[#This Row],[a1]]=1,ABS(Tab.o1[[#This Row],[DIF_Target.]]*Tab.o1[[#This Row],[PDF2]]*Tab.o1[[#This Row],[IN]]),"")</f>
        <v/>
      </c>
      <c r="AG994" s="129" t="str">
        <f>IF(Tab.o1[[#This Row],[a1]]=1,Tab.o1[[#This Row],[rW]]^2,"")</f>
        <v/>
      </c>
      <c r="AH994" s="130" t="str">
        <f>IF(Tab.o1[[#This Row],[a1]]=1,IF(AH$3=0,Tab.o1[[#This Row],[rW2]],0.01+0.94*Tab.o1[[#This Row],[rW2]]/SUM(Tab.o1[rW2])),"")</f>
        <v/>
      </c>
      <c r="AI994" s="128" t="str">
        <f>IF(Tab.o1[[#This Row],[a1]]=1,1/Tab.o1[[#This Row],[PDF]],"")</f>
        <v/>
      </c>
      <c r="AJ994" s="131" t="str">
        <f>IF(Tab.o1[[#This Row],[a1]]=1,[1]!T_AA[[#This Row],[IN'']]*[1]!T_AA[[#This Row],[Qde'']],"")</f>
        <v/>
      </c>
      <c r="AK994" s="132" t="str">
        <f>IF(Tab.o1[[#This Row],[a1]]=1,IF(AK$1=1,Tab.o1[[#This Row],[MED]]+Tab.o1[[#This Row],[MOD]]-Tab.o1[[#This Row],[MED]],""),"")</f>
        <v/>
      </c>
      <c r="AL994" s="133" t="str">
        <f>IF(Tab.o1[[#This Row],[a1]]=1,[1]!T.in.A[[#This Row],[oo16]],"")</f>
        <v/>
      </c>
      <c r="AM994" s="133" t="str">
        <f>IF(Tab.o1[[#This Row],[a1]]=1,IF(AM$3=1,[1]!T.in.A[[#This Row],[Σo16]],""),"")</f>
        <v/>
      </c>
      <c r="AN994" s="126" t="str">
        <f>IF(Tab.o1[[#This Row],[a1]]=1,[1]!T.in.A[[#This Row],[Σp5]],"")</f>
        <v/>
      </c>
      <c r="AO994" s="126" t="str">
        <f>IF(Tab.o1[[#This Row],[a1]]=1,IF(AO$3=1,[1]!T.in.A[[#This Row],[Σp5]],""),"")</f>
        <v/>
      </c>
      <c r="AP994" s="110" t="str">
        <f>IF(Tab.o1[[#This Row],[a1]]=1,IF(ISNUMBER(Tab.o1[[#This Row],[i.]]),NORMDIST(Tab.o1[[#This Row],[Za]],0,1,FALSE)*Tab.o1[[#This Row],[i.]],0),"")</f>
        <v/>
      </c>
      <c r="AQ994" s="125" t="str">
        <f>IF(Tab.o1[[#This Row],[a1]]=1,ABS(Tab.o1[[#This Row],[MOD]]-AVERAGE(Tab.o1[MOD])),"")</f>
        <v/>
      </c>
      <c r="AR994" s="134" t="str">
        <f>IF(Tab.o1[[#This Row],[a1]]=1,Tab.o1[[#This Row],[OBS]]/SUM(Tab.o1[OBS]),"")</f>
        <v/>
      </c>
      <c r="AS994" s="135" t="str">
        <f>IF(ISNUMBER(Tab.o1[[#This Row],[a1]]),ROW()-4,"")</f>
        <v/>
      </c>
      <c r="AT994" s="136" t="str">
        <f>Tab.o1[[#This Row],[MOD]]</f>
        <v/>
      </c>
      <c r="AU994" s="137" t="str">
        <f t="shared" si="61"/>
        <v/>
      </c>
      <c r="AV994" s="138" t="str">
        <f t="shared" si="62"/>
        <v/>
      </c>
      <c r="AW994" s="138" t="str">
        <f t="shared" si="63"/>
        <v/>
      </c>
      <c r="AX994" s="139" t="str">
        <f>[1]!T.in.A[[#This Row],[ID_T_manu]]</f>
        <v/>
      </c>
      <c r="AY994" s="140" t="str">
        <f>IF(ISNUMBER(Tab.o1[[#This Row],[a1]]),IF(AND(Tab.o1[[#This Row],[a1]]=1,Tab.o1[[#This Row],[b1]]&lt;=AY$4),#REF!,AY993),"")</f>
        <v/>
      </c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6"/>
      <c r="BO994" s="26"/>
      <c r="BP994" s="26"/>
      <c r="BQ994" s="26"/>
      <c r="BR994" s="26"/>
      <c r="BS994" s="26"/>
      <c r="BT994" s="26"/>
      <c r="BU994" s="26"/>
      <c r="BV994" s="26"/>
      <c r="BW994" s="26"/>
      <c r="BX994" s="26"/>
      <c r="BY994" s="26"/>
      <c r="BZ994" s="26"/>
      <c r="CA994" s="26"/>
    </row>
    <row r="995" spans="1:79" ht="15.75" hidden="1">
      <c r="A995" s="109">
        <v>1.0000000000000001E-5</v>
      </c>
      <c r="B995" s="110">
        <f t="shared" si="60"/>
        <v>995</v>
      </c>
      <c r="C995" s="111" t="str">
        <f>IF(C$1=[1]!T.in.A[[#This Row],[oo2]],1,"")</f>
        <v/>
      </c>
      <c r="D995" s="112" t="str">
        <f>IF(Tab.o1[[#This Row],[a1]]=1,IF(SUM(C995:C996)=0,0,IF(SUM(C994:C995)=1,1,IF(SUM(C994:C996)&gt;1,D994+1,0))),"")</f>
        <v/>
      </c>
      <c r="E995" s="113" t="str">
        <f>IF(Tab.o1[[#This Row],[a1]]=1,[1]!T.in.A[[#This Row],[oo1]],"")</f>
        <v/>
      </c>
      <c r="F995" s="113" t="str">
        <f>IF(Tab.o1[[#This Row],[a1]]=1,[1]!T.in.A[[#This Row],[pp1]],"")</f>
        <v/>
      </c>
      <c r="G995" s="114" t="str">
        <f>IF(Tab.o1[[#This Row],[a1]]=1,G$2+IF(G$1=1,0,Tab.o1[[#This Row],[.x1]])+[1]!T.in.A[[#This Row],[oo3]],"")</f>
        <v/>
      </c>
      <c r="H995" s="115" t="str">
        <f>IF(Tab.o1[[#This Row],[a1]]=1,IF(H$2=0,0,IF(G$1=1,0,Tab.o1[[#This Row],[.x1]])+[1]!T.in.A[[#This Row],[oo4]]),"")</f>
        <v/>
      </c>
      <c r="I995" s="116" t="str">
        <f>IF(Tab.o1[[#This Row],[a1]]=1,IF(J$2=0,Tab.o1[[#This Row],[MED]],Tab.o1[[#This Row],[MOD]]),"")</f>
        <v/>
      </c>
      <c r="J995" s="116" t="str">
        <f>IF(Tab.o1[[#This Row],[a1]]=1,((Tab.o1[[#This Row],[DIF_Target.]]-AVERAGE(Tab.o1[DIF_Target.]))/_xlfn.STDEV.P(Tab.o1[DIF_Target.])),"")</f>
        <v/>
      </c>
      <c r="K995" s="117" t="str">
        <f>IF(Tab.o1[[#This Row],[a1]]=1,IF(J$2=0,Tab.o1[[#This Row],[MOD]]-Tab.o1[[#This Row],[B]],IF(J$2=1,0,-Tab.o1[[#This Row],[MED]])+Tab.o1[[#This Row],[B]]),"")</f>
        <v/>
      </c>
      <c r="L995" s="117" t="str">
        <f ca="1">IF(Tab.o1[[#This Row],[DIF_Target]]=0,IF(L$2=0,Tab.o1[[#This Row],[DIF_Target]],AVERAGE(OFFSET(Tab.o1[[#This Row],[DIF_Target]],1,0,L$3,1)))/3,Tab.o1[[#This Row],[DIF_Target]])</f>
        <v/>
      </c>
      <c r="M995" s="118" t="str">
        <f>IF(Tab.o1[[#This Row],[a1]]=1,NORMSDIST(Tab.o1[[#This Row],[Za]]),"")</f>
        <v/>
      </c>
      <c r="N995" s="119" t="str">
        <f>IF(Tab.o1[[#This Row],[a1]]=1,((Tab.o1[[#This Row],[MedMod]]-AVERAGE(Tab.o1[MedMod]))/_xlfn.STDEV.P(Tab.o1[MedMod])*H$1205)+G$1205,"")</f>
        <v/>
      </c>
      <c r="O995" s="141" t="str">
        <f>IF(Tab.o1[[#This Row],[a1]]=1,Tab.o1[[#This Row],[Zb]]*_xlfn.STDEV.P(Tab.o1[MedMod])+AVERAGE(Tab.o1[MedMod]),"")</f>
        <v/>
      </c>
      <c r="P995" s="117" t="str">
        <f ca="1">IF(Tab.o1[[#This Row],[B]]=0,AVERAGE(OFFSET(Tab.o1[[#This Row],[B]],1,0,L$3,1)),Tab.o1[[#This Row],[B]])</f>
        <v/>
      </c>
      <c r="Q995" s="121" t="str">
        <f>IF(Tab.o1[[#This Row],[a1]]=1,NORMSDIST(Tab.o1[[#This Row],[Zb]]),"")</f>
        <v/>
      </c>
      <c r="R995" s="122" t="str">
        <f>IF(Tab.o1[[#This Row],[a1]]=1,((Tab.o1[[#This Row],[MedMod]]-AVERAGE(Tab.o1[MedMod]))/_xlfn.STDEV.P(Tab.o1[MedMod])*H$1203)+G$1203,"")</f>
        <v/>
      </c>
      <c r="S995" s="122" t="str">
        <f>IF(Tab.o1[[#This Row],[a1]]=1,((Tab.o1[[#This Row],[MedMod]]-AVERAGE(Tab.o1[MedMod]))/_xlfn.STDEV.P(Tab.o1[MedMod])*H$1204)+G$1204,"")</f>
        <v/>
      </c>
      <c r="T995" s="123" t="str">
        <f>IF(Tab.o1[[#This Row],[a1]]=1,Tab.o1[[#This Row],[Z-]]*_xlfn.STDEV.P(Tab.o1[B])+AVERAGE(Tab.o1[B]),"")</f>
        <v/>
      </c>
      <c r="U995" s="123" t="str">
        <f>IF(Tab.o1[[#This Row],[a1]]=1,Tab.o1[[#This Row],[z+]]*_xlfn.STDEV.P(Tab.o1[B])+AVERAGE(Tab.o1[B]),"")</f>
        <v/>
      </c>
      <c r="V995" s="124" t="str">
        <f>IF(Tab.o1[[#This Row],[a1]]=1,ABS((ABS(Tab.o1[[#This Row],[Red]]-Tab.o1[[#This Row],[Blue]]))),"")</f>
        <v/>
      </c>
      <c r="W995" s="125" t="str">
        <f>IF(Tab.o1[[#This Row],[a1]]=1,IF(W$3=0,1,Tab.o1[[#This Row],[Amp.]]*1/_xlfn.MINIFS(Tab.o1[Amp.],Tab.o1[Amp.],"&lt;&gt;0")),"")</f>
        <v/>
      </c>
      <c r="X995" s="126" t="str">
        <f>IF(Tab.o1[[#This Row],[a1]]=1,IF(ISNUMBER(Tab.o1[[#This Row],[i.]]),NORMDIST(Tab.o1[[#This Row],[Za]],0,1,FALSE)*Tab.o1[[#This Row],[i.]],AP$3),"")</f>
        <v/>
      </c>
      <c r="Y995" s="126" t="str">
        <f>IF(Tab.o1[[#This Row],[a1]]=1,0.01+0.94*Tab.o1[[#This Row],[PDF]]/MAX(Tab.o1[PDF]),"")</f>
        <v/>
      </c>
      <c r="Z995" s="126" t="str">
        <f>IF(Tab.o1[[#This Row],[a1]]=1,0.01+0.94*Tab.o1[[#This Row],[W1_PDF]]/MAX(Tab.o1[W1_PDF]),"")</f>
        <v/>
      </c>
      <c r="AA995" s="118" t="str">
        <f>IF(Tab.o1[[#This Row],[a1]]=1,ABS([1]!T.in.A[[#This Row],[oo6]]),"")</f>
        <v/>
      </c>
      <c r="AB995" s="127" t="str">
        <f>IF(Tab.o1[[#This Row],[a1]]=1,IF(AE$3=0,"",IF(AB$3=0,ABS([1]!T.in.A[[#This Row],[oo9]]),ABS(Tab.o1[[#This Row],[DIF_Target.]]*Tab.o1[[#This Row],[W1_PDF]]))),"")</f>
        <v/>
      </c>
      <c r="AC995" s="127" t="str">
        <f>IF(G$1=1,"",IF(Tab.o1[[#This Row],[a1]]=1,Tab.o1[[#This Row],[Wr]]^2,""))</f>
        <v/>
      </c>
      <c r="AD995" s="118" t="str">
        <f>IF(Tab.o1[[#This Row],[a1]]=1,IF(AE$3=0,"",Tab.o1[[#This Row],[Wr2]]/SUM(Tab.o1[Wr2])),"")</f>
        <v/>
      </c>
      <c r="AE995" s="128" t="str">
        <f>IF(Tab.o1[[#This Row],[a1]]=1,[1]!T.in.A[[#This Row],[oo10]],"")</f>
        <v/>
      </c>
      <c r="AF995" s="118" t="str">
        <f>IF(Tab.o1[[#This Row],[a1]]=1,ABS(Tab.o1[[#This Row],[DIF_Target.]]*Tab.o1[[#This Row],[PDF2]]*Tab.o1[[#This Row],[IN]]),"")</f>
        <v/>
      </c>
      <c r="AG995" s="129" t="str">
        <f>IF(Tab.o1[[#This Row],[a1]]=1,Tab.o1[[#This Row],[rW]]^2,"")</f>
        <v/>
      </c>
      <c r="AH995" s="130" t="str">
        <f>IF(Tab.o1[[#This Row],[a1]]=1,IF(AH$3=0,Tab.o1[[#This Row],[rW2]],0.01+0.94*Tab.o1[[#This Row],[rW2]]/SUM(Tab.o1[rW2])),"")</f>
        <v/>
      </c>
      <c r="AI995" s="128" t="str">
        <f>IF(Tab.o1[[#This Row],[a1]]=1,1/Tab.o1[[#This Row],[PDF]],"")</f>
        <v/>
      </c>
      <c r="AJ995" s="131" t="str">
        <f>IF(Tab.o1[[#This Row],[a1]]=1,[1]!T_AA[[#This Row],[IN'']]*[1]!T_AA[[#This Row],[Qde'']],"")</f>
        <v/>
      </c>
      <c r="AK995" s="132" t="str">
        <f>IF(Tab.o1[[#This Row],[a1]]=1,IF(AK$1=1,Tab.o1[[#This Row],[MED]]+Tab.o1[[#This Row],[MOD]]-Tab.o1[[#This Row],[MED]],""),"")</f>
        <v/>
      </c>
      <c r="AL995" s="133" t="str">
        <f>IF(Tab.o1[[#This Row],[a1]]=1,[1]!T.in.A[[#This Row],[oo16]],"")</f>
        <v/>
      </c>
      <c r="AM995" s="133" t="str">
        <f>IF(Tab.o1[[#This Row],[a1]]=1,IF(AM$3=1,[1]!T.in.A[[#This Row],[Σo16]],""),"")</f>
        <v/>
      </c>
      <c r="AN995" s="126" t="str">
        <f>IF(Tab.o1[[#This Row],[a1]]=1,[1]!T.in.A[[#This Row],[Σp5]],"")</f>
        <v/>
      </c>
      <c r="AO995" s="126" t="str">
        <f>IF(Tab.o1[[#This Row],[a1]]=1,IF(AO$3=1,[1]!T.in.A[[#This Row],[Σp5]],""),"")</f>
        <v/>
      </c>
      <c r="AP995" s="110" t="str">
        <f>IF(Tab.o1[[#This Row],[a1]]=1,IF(ISNUMBER(Tab.o1[[#This Row],[i.]]),NORMDIST(Tab.o1[[#This Row],[Za]],0,1,FALSE)*Tab.o1[[#This Row],[i.]],0),"")</f>
        <v/>
      </c>
      <c r="AQ995" s="125" t="str">
        <f>IF(Tab.o1[[#This Row],[a1]]=1,ABS(Tab.o1[[#This Row],[MOD]]-AVERAGE(Tab.o1[MOD])),"")</f>
        <v/>
      </c>
      <c r="AR995" s="134" t="str">
        <f>IF(Tab.o1[[#This Row],[a1]]=1,Tab.o1[[#This Row],[OBS]]/SUM(Tab.o1[OBS]),"")</f>
        <v/>
      </c>
      <c r="AS995" s="135" t="str">
        <f>IF(ISNUMBER(Tab.o1[[#This Row],[a1]]),ROW()-4,"")</f>
        <v/>
      </c>
      <c r="AT995" s="136" t="str">
        <f>Tab.o1[[#This Row],[MOD]]</f>
        <v/>
      </c>
      <c r="AU995" s="137" t="str">
        <f t="shared" si="61"/>
        <v/>
      </c>
      <c r="AV995" s="138" t="str">
        <f t="shared" si="62"/>
        <v/>
      </c>
      <c r="AW995" s="138" t="str">
        <f t="shared" si="63"/>
        <v/>
      </c>
      <c r="AX995" s="139" t="str">
        <f>[1]!T.in.A[[#This Row],[ID_T_manu]]</f>
        <v/>
      </c>
      <c r="AY995" s="140" t="str">
        <f>IF(ISNUMBER(Tab.o1[[#This Row],[a1]]),IF(AND(Tab.o1[[#This Row],[a1]]=1,Tab.o1[[#This Row],[b1]]&lt;=AY$4),#REF!,AY994),"")</f>
        <v/>
      </c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6"/>
      <c r="BO995" s="26"/>
      <c r="BP995" s="26"/>
      <c r="BQ995" s="26"/>
      <c r="BR995" s="26"/>
      <c r="BS995" s="26"/>
      <c r="BT995" s="26"/>
      <c r="BU995" s="26"/>
      <c r="BV995" s="26"/>
      <c r="BW995" s="26"/>
      <c r="BX995" s="26"/>
      <c r="BY995" s="26"/>
      <c r="BZ995" s="26"/>
      <c r="CA995" s="26"/>
    </row>
    <row r="996" spans="1:79" ht="15.75" hidden="1">
      <c r="A996" s="109">
        <v>4.0000000000000007E-6</v>
      </c>
      <c r="B996" s="110">
        <f t="shared" si="60"/>
        <v>996</v>
      </c>
      <c r="C996" s="111" t="str">
        <f>IF(C$1=[1]!T.in.A[[#This Row],[oo2]],1,"")</f>
        <v/>
      </c>
      <c r="D996" s="112" t="str">
        <f>IF(Tab.o1[[#This Row],[a1]]=1,IF(SUM(C996:C997)=0,0,IF(SUM(C995:C996)=1,1,IF(SUM(C995:C997)&gt;1,D995+1,0))),"")</f>
        <v/>
      </c>
      <c r="E996" s="113" t="str">
        <f>IF(Tab.o1[[#This Row],[a1]]=1,[1]!T.in.A[[#This Row],[oo1]],"")</f>
        <v/>
      </c>
      <c r="F996" s="113" t="str">
        <f>IF(Tab.o1[[#This Row],[a1]]=1,[1]!T.in.A[[#This Row],[pp1]],"")</f>
        <v/>
      </c>
      <c r="G996" s="114" t="str">
        <f>IF(Tab.o1[[#This Row],[a1]]=1,G$2+IF(G$1=1,0,Tab.o1[[#This Row],[.x1]])+[1]!T.in.A[[#This Row],[oo3]],"")</f>
        <v/>
      </c>
      <c r="H996" s="115" t="str">
        <f>IF(Tab.o1[[#This Row],[a1]]=1,IF(H$2=0,0,IF(G$1=1,0,Tab.o1[[#This Row],[.x1]])+[1]!T.in.A[[#This Row],[oo4]]),"")</f>
        <v/>
      </c>
      <c r="I996" s="116" t="str">
        <f>IF(Tab.o1[[#This Row],[a1]]=1,IF(J$2=0,Tab.o1[[#This Row],[MED]],Tab.o1[[#This Row],[MOD]]),"")</f>
        <v/>
      </c>
      <c r="J996" s="116" t="str">
        <f>IF(Tab.o1[[#This Row],[a1]]=1,((Tab.o1[[#This Row],[DIF_Target.]]-AVERAGE(Tab.o1[DIF_Target.]))/_xlfn.STDEV.P(Tab.o1[DIF_Target.])),"")</f>
        <v/>
      </c>
      <c r="K996" s="117" t="str">
        <f>IF(Tab.o1[[#This Row],[a1]]=1,IF(J$2=0,Tab.o1[[#This Row],[MOD]]-Tab.o1[[#This Row],[B]],IF(J$2=1,0,-Tab.o1[[#This Row],[MED]])+Tab.o1[[#This Row],[B]]),"")</f>
        <v/>
      </c>
      <c r="L996" s="117" t="str">
        <f ca="1">IF(Tab.o1[[#This Row],[DIF_Target]]=0,IF(L$2=0,Tab.o1[[#This Row],[DIF_Target]],AVERAGE(OFFSET(Tab.o1[[#This Row],[DIF_Target]],1,0,L$3,1)))/3,Tab.o1[[#This Row],[DIF_Target]])</f>
        <v/>
      </c>
      <c r="M996" s="118" t="str">
        <f>IF(Tab.o1[[#This Row],[a1]]=1,NORMSDIST(Tab.o1[[#This Row],[Za]]),"")</f>
        <v/>
      </c>
      <c r="N996" s="119" t="str">
        <f>IF(Tab.o1[[#This Row],[a1]]=1,((Tab.o1[[#This Row],[MedMod]]-AVERAGE(Tab.o1[MedMod]))/_xlfn.STDEV.P(Tab.o1[MedMod])*H$1205)+G$1205,"")</f>
        <v/>
      </c>
      <c r="O996" s="141" t="str">
        <f>IF(Tab.o1[[#This Row],[a1]]=1,Tab.o1[[#This Row],[Zb]]*_xlfn.STDEV.P(Tab.o1[MedMod])+AVERAGE(Tab.o1[MedMod]),"")</f>
        <v/>
      </c>
      <c r="P996" s="117" t="str">
        <f ca="1">IF(Tab.o1[[#This Row],[B]]=0,AVERAGE(OFFSET(Tab.o1[[#This Row],[B]],1,0,L$3,1)),Tab.o1[[#This Row],[B]])</f>
        <v/>
      </c>
      <c r="Q996" s="121" t="str">
        <f>IF(Tab.o1[[#This Row],[a1]]=1,NORMSDIST(Tab.o1[[#This Row],[Zb]]),"")</f>
        <v/>
      </c>
      <c r="R996" s="122" t="str">
        <f>IF(Tab.o1[[#This Row],[a1]]=1,((Tab.o1[[#This Row],[MedMod]]-AVERAGE(Tab.o1[MedMod]))/_xlfn.STDEV.P(Tab.o1[MedMod])*H$1203)+G$1203,"")</f>
        <v/>
      </c>
      <c r="S996" s="122" t="str">
        <f>IF(Tab.o1[[#This Row],[a1]]=1,((Tab.o1[[#This Row],[MedMod]]-AVERAGE(Tab.o1[MedMod]))/_xlfn.STDEV.P(Tab.o1[MedMod])*H$1204)+G$1204,"")</f>
        <v/>
      </c>
      <c r="T996" s="123" t="str">
        <f>IF(Tab.o1[[#This Row],[a1]]=1,Tab.o1[[#This Row],[Z-]]*_xlfn.STDEV.P(Tab.o1[B])+AVERAGE(Tab.o1[B]),"")</f>
        <v/>
      </c>
      <c r="U996" s="123" t="str">
        <f>IF(Tab.o1[[#This Row],[a1]]=1,Tab.o1[[#This Row],[z+]]*_xlfn.STDEV.P(Tab.o1[B])+AVERAGE(Tab.o1[B]),"")</f>
        <v/>
      </c>
      <c r="V996" s="124" t="str">
        <f>IF(Tab.o1[[#This Row],[a1]]=1,ABS((ABS(Tab.o1[[#This Row],[Red]]-Tab.o1[[#This Row],[Blue]]))),"")</f>
        <v/>
      </c>
      <c r="W996" s="125" t="str">
        <f>IF(Tab.o1[[#This Row],[a1]]=1,IF(W$3=0,1,Tab.o1[[#This Row],[Amp.]]*1/_xlfn.MINIFS(Tab.o1[Amp.],Tab.o1[Amp.],"&lt;&gt;0")),"")</f>
        <v/>
      </c>
      <c r="X996" s="126" t="str">
        <f>IF(Tab.o1[[#This Row],[a1]]=1,IF(ISNUMBER(Tab.o1[[#This Row],[i.]]),NORMDIST(Tab.o1[[#This Row],[Za]],0,1,FALSE)*Tab.o1[[#This Row],[i.]],AP$3),"")</f>
        <v/>
      </c>
      <c r="Y996" s="126" t="str">
        <f>IF(Tab.o1[[#This Row],[a1]]=1,0.01+0.94*Tab.o1[[#This Row],[PDF]]/MAX(Tab.o1[PDF]),"")</f>
        <v/>
      </c>
      <c r="Z996" s="126" t="str">
        <f>IF(Tab.o1[[#This Row],[a1]]=1,0.01+0.94*Tab.o1[[#This Row],[W1_PDF]]/MAX(Tab.o1[W1_PDF]),"")</f>
        <v/>
      </c>
      <c r="AA996" s="118" t="str">
        <f>IF(Tab.o1[[#This Row],[a1]]=1,ABS([1]!T.in.A[[#This Row],[oo6]]),"")</f>
        <v/>
      </c>
      <c r="AB996" s="127" t="str">
        <f>IF(Tab.o1[[#This Row],[a1]]=1,IF(AE$3=0,"",IF(AB$3=0,ABS([1]!T.in.A[[#This Row],[oo9]]),ABS(Tab.o1[[#This Row],[DIF_Target.]]*Tab.o1[[#This Row],[W1_PDF]]))),"")</f>
        <v/>
      </c>
      <c r="AC996" s="127" t="str">
        <f>IF(G$1=1,"",IF(Tab.o1[[#This Row],[a1]]=1,Tab.o1[[#This Row],[Wr]]^2,""))</f>
        <v/>
      </c>
      <c r="AD996" s="118" t="str">
        <f>IF(Tab.o1[[#This Row],[a1]]=1,IF(AE$3=0,"",Tab.o1[[#This Row],[Wr2]]/SUM(Tab.o1[Wr2])),"")</f>
        <v/>
      </c>
      <c r="AE996" s="128" t="str">
        <f>IF(Tab.o1[[#This Row],[a1]]=1,[1]!T.in.A[[#This Row],[oo10]],"")</f>
        <v/>
      </c>
      <c r="AF996" s="118" t="str">
        <f>IF(Tab.o1[[#This Row],[a1]]=1,ABS(Tab.o1[[#This Row],[DIF_Target.]]*Tab.o1[[#This Row],[PDF2]]*Tab.o1[[#This Row],[IN]]),"")</f>
        <v/>
      </c>
      <c r="AG996" s="129" t="str">
        <f>IF(Tab.o1[[#This Row],[a1]]=1,Tab.o1[[#This Row],[rW]]^2,"")</f>
        <v/>
      </c>
      <c r="AH996" s="130" t="str">
        <f>IF(Tab.o1[[#This Row],[a1]]=1,IF(AH$3=0,Tab.o1[[#This Row],[rW2]],0.01+0.94*Tab.o1[[#This Row],[rW2]]/SUM(Tab.o1[rW2])),"")</f>
        <v/>
      </c>
      <c r="AI996" s="128" t="str">
        <f>IF(Tab.o1[[#This Row],[a1]]=1,1/Tab.o1[[#This Row],[PDF]],"")</f>
        <v/>
      </c>
      <c r="AJ996" s="131" t="str">
        <f>IF(Tab.o1[[#This Row],[a1]]=1,[1]!T_AA[[#This Row],[IN'']]*[1]!T_AA[[#This Row],[Qde'']],"")</f>
        <v/>
      </c>
      <c r="AK996" s="132" t="str">
        <f>IF(Tab.o1[[#This Row],[a1]]=1,IF(AK$1=1,Tab.o1[[#This Row],[MED]]+Tab.o1[[#This Row],[MOD]]-Tab.o1[[#This Row],[MED]],""),"")</f>
        <v/>
      </c>
      <c r="AL996" s="133" t="str">
        <f>IF(Tab.o1[[#This Row],[a1]]=1,[1]!T.in.A[[#This Row],[oo16]],"")</f>
        <v/>
      </c>
      <c r="AM996" s="133" t="str">
        <f>IF(Tab.o1[[#This Row],[a1]]=1,IF(AM$3=1,[1]!T.in.A[[#This Row],[Σo16]],""),"")</f>
        <v/>
      </c>
      <c r="AN996" s="126" t="str">
        <f>IF(Tab.o1[[#This Row],[a1]]=1,[1]!T.in.A[[#This Row],[Σp5]],"")</f>
        <v/>
      </c>
      <c r="AO996" s="126" t="str">
        <f>IF(Tab.o1[[#This Row],[a1]]=1,IF(AO$3=1,[1]!T.in.A[[#This Row],[Σp5]],""),"")</f>
        <v/>
      </c>
      <c r="AP996" s="110" t="str">
        <f>IF(Tab.o1[[#This Row],[a1]]=1,IF(ISNUMBER(Tab.o1[[#This Row],[i.]]),NORMDIST(Tab.o1[[#This Row],[Za]],0,1,FALSE)*Tab.o1[[#This Row],[i.]],0),"")</f>
        <v/>
      </c>
      <c r="AQ996" s="125" t="str">
        <f>IF(Tab.o1[[#This Row],[a1]]=1,ABS(Tab.o1[[#This Row],[MOD]]-AVERAGE(Tab.o1[MOD])),"")</f>
        <v/>
      </c>
      <c r="AR996" s="134" t="str">
        <f>IF(Tab.o1[[#This Row],[a1]]=1,Tab.o1[[#This Row],[OBS]]/SUM(Tab.o1[OBS]),"")</f>
        <v/>
      </c>
      <c r="AS996" s="135" t="str">
        <f>IF(ISNUMBER(Tab.o1[[#This Row],[a1]]),ROW()-4,"")</f>
        <v/>
      </c>
      <c r="AT996" s="136" t="str">
        <f>Tab.o1[[#This Row],[MOD]]</f>
        <v/>
      </c>
      <c r="AU996" s="137" t="str">
        <f t="shared" si="61"/>
        <v/>
      </c>
      <c r="AV996" s="138" t="str">
        <f t="shared" si="62"/>
        <v/>
      </c>
      <c r="AW996" s="138" t="str">
        <f t="shared" si="63"/>
        <v/>
      </c>
      <c r="AX996" s="139" t="str">
        <f>[1]!T.in.A[[#This Row],[ID_T_manu]]</f>
        <v/>
      </c>
      <c r="AY996" s="140" t="str">
        <f>IF(ISNUMBER(Tab.o1[[#This Row],[a1]]),IF(AND(Tab.o1[[#This Row],[a1]]=1,Tab.o1[[#This Row],[b1]]&lt;=AY$4),#REF!,AY995),"")</f>
        <v/>
      </c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6"/>
      <c r="BO996" s="26"/>
      <c r="BP996" s="26"/>
      <c r="BQ996" s="26"/>
      <c r="BR996" s="26"/>
      <c r="BS996" s="26"/>
      <c r="BT996" s="26"/>
      <c r="BU996" s="26"/>
      <c r="BV996" s="26"/>
      <c r="BW996" s="26"/>
      <c r="BX996" s="26"/>
      <c r="BY996" s="26"/>
      <c r="BZ996" s="26"/>
      <c r="CA996" s="26"/>
    </row>
    <row r="997" spans="1:79" ht="15.75" hidden="1">
      <c r="A997" s="109">
        <v>-1.0000000000000001E-5</v>
      </c>
      <c r="B997" s="110">
        <f t="shared" si="60"/>
        <v>997</v>
      </c>
      <c r="C997" s="111" t="str">
        <f>IF(C$1=[1]!T.in.A[[#This Row],[oo2]],1,"")</f>
        <v/>
      </c>
      <c r="D997" s="112" t="str">
        <f>IF(Tab.o1[[#This Row],[a1]]=1,IF(SUM(C997:C998)=0,0,IF(SUM(C996:C997)=1,1,IF(SUM(C996:C998)&gt;1,D996+1,0))),"")</f>
        <v/>
      </c>
      <c r="E997" s="113" t="str">
        <f>IF(Tab.o1[[#This Row],[a1]]=1,[1]!T.in.A[[#This Row],[oo1]],"")</f>
        <v/>
      </c>
      <c r="F997" s="113" t="str">
        <f>IF(Tab.o1[[#This Row],[a1]]=1,[1]!T.in.A[[#This Row],[pp1]],"")</f>
        <v/>
      </c>
      <c r="G997" s="114" t="str">
        <f>IF(Tab.o1[[#This Row],[a1]]=1,G$2+IF(G$1=1,0,Tab.o1[[#This Row],[.x1]])+[1]!T.in.A[[#This Row],[oo3]],"")</f>
        <v/>
      </c>
      <c r="H997" s="115" t="str">
        <f>IF(Tab.o1[[#This Row],[a1]]=1,IF(H$2=0,0,IF(G$1=1,0,Tab.o1[[#This Row],[.x1]])+[1]!T.in.A[[#This Row],[oo4]]),"")</f>
        <v/>
      </c>
      <c r="I997" s="116" t="str">
        <f>IF(Tab.o1[[#This Row],[a1]]=1,IF(J$2=0,Tab.o1[[#This Row],[MED]],Tab.o1[[#This Row],[MOD]]),"")</f>
        <v/>
      </c>
      <c r="J997" s="116" t="str">
        <f>IF(Tab.o1[[#This Row],[a1]]=1,((Tab.o1[[#This Row],[DIF_Target.]]-AVERAGE(Tab.o1[DIF_Target.]))/_xlfn.STDEV.P(Tab.o1[DIF_Target.])),"")</f>
        <v/>
      </c>
      <c r="K997" s="117" t="str">
        <f>IF(Tab.o1[[#This Row],[a1]]=1,IF(J$2=0,Tab.o1[[#This Row],[MOD]]-Tab.o1[[#This Row],[B]],IF(J$2=1,0,-Tab.o1[[#This Row],[MED]])+Tab.o1[[#This Row],[B]]),"")</f>
        <v/>
      </c>
      <c r="L997" s="117" t="str">
        <f ca="1">IF(Tab.o1[[#This Row],[DIF_Target]]=0,IF(L$2=0,Tab.o1[[#This Row],[DIF_Target]],AVERAGE(OFFSET(Tab.o1[[#This Row],[DIF_Target]],1,0,L$3,1)))/3,Tab.o1[[#This Row],[DIF_Target]])</f>
        <v/>
      </c>
      <c r="M997" s="118" t="str">
        <f>IF(Tab.o1[[#This Row],[a1]]=1,NORMSDIST(Tab.o1[[#This Row],[Za]]),"")</f>
        <v/>
      </c>
      <c r="N997" s="119" t="str">
        <f>IF(Tab.o1[[#This Row],[a1]]=1,((Tab.o1[[#This Row],[MedMod]]-AVERAGE(Tab.o1[MedMod]))/_xlfn.STDEV.P(Tab.o1[MedMod])*H$1205)+G$1205,"")</f>
        <v/>
      </c>
      <c r="O997" s="141" t="str">
        <f>IF(Tab.o1[[#This Row],[a1]]=1,Tab.o1[[#This Row],[Zb]]*_xlfn.STDEV.P(Tab.o1[MedMod])+AVERAGE(Tab.o1[MedMod]),"")</f>
        <v/>
      </c>
      <c r="P997" s="117" t="str">
        <f ca="1">IF(Tab.o1[[#This Row],[B]]=0,AVERAGE(OFFSET(Tab.o1[[#This Row],[B]],1,0,L$3,1)),Tab.o1[[#This Row],[B]])</f>
        <v/>
      </c>
      <c r="Q997" s="121" t="str">
        <f>IF(Tab.o1[[#This Row],[a1]]=1,NORMSDIST(Tab.o1[[#This Row],[Zb]]),"")</f>
        <v/>
      </c>
      <c r="R997" s="122" t="str">
        <f>IF(Tab.o1[[#This Row],[a1]]=1,((Tab.o1[[#This Row],[MedMod]]-AVERAGE(Tab.o1[MedMod]))/_xlfn.STDEV.P(Tab.o1[MedMod])*H$1203)+G$1203,"")</f>
        <v/>
      </c>
      <c r="S997" s="122" t="str">
        <f>IF(Tab.o1[[#This Row],[a1]]=1,((Tab.o1[[#This Row],[MedMod]]-AVERAGE(Tab.o1[MedMod]))/_xlfn.STDEV.P(Tab.o1[MedMod])*H$1204)+G$1204,"")</f>
        <v/>
      </c>
      <c r="T997" s="123" t="str">
        <f>IF(Tab.o1[[#This Row],[a1]]=1,Tab.o1[[#This Row],[Z-]]*_xlfn.STDEV.P(Tab.o1[B])+AVERAGE(Tab.o1[B]),"")</f>
        <v/>
      </c>
      <c r="U997" s="123" t="str">
        <f>IF(Tab.o1[[#This Row],[a1]]=1,Tab.o1[[#This Row],[z+]]*_xlfn.STDEV.P(Tab.o1[B])+AVERAGE(Tab.o1[B]),"")</f>
        <v/>
      </c>
      <c r="V997" s="124" t="str">
        <f>IF(Tab.o1[[#This Row],[a1]]=1,ABS((ABS(Tab.o1[[#This Row],[Red]]-Tab.o1[[#This Row],[Blue]]))),"")</f>
        <v/>
      </c>
      <c r="W997" s="125" t="str">
        <f>IF(Tab.o1[[#This Row],[a1]]=1,IF(W$3=0,1,Tab.o1[[#This Row],[Amp.]]*1/_xlfn.MINIFS(Tab.o1[Amp.],Tab.o1[Amp.],"&lt;&gt;0")),"")</f>
        <v/>
      </c>
      <c r="X997" s="126" t="str">
        <f>IF(Tab.o1[[#This Row],[a1]]=1,IF(ISNUMBER(Tab.o1[[#This Row],[i.]]),NORMDIST(Tab.o1[[#This Row],[Za]],0,1,FALSE)*Tab.o1[[#This Row],[i.]],AP$3),"")</f>
        <v/>
      </c>
      <c r="Y997" s="126" t="str">
        <f>IF(Tab.o1[[#This Row],[a1]]=1,0.01+0.94*Tab.o1[[#This Row],[PDF]]/MAX(Tab.o1[PDF]),"")</f>
        <v/>
      </c>
      <c r="Z997" s="126" t="str">
        <f>IF(Tab.o1[[#This Row],[a1]]=1,0.01+0.94*Tab.o1[[#This Row],[W1_PDF]]/MAX(Tab.o1[W1_PDF]),"")</f>
        <v/>
      </c>
      <c r="AA997" s="118" t="str">
        <f>IF(Tab.o1[[#This Row],[a1]]=1,ABS([1]!T.in.A[[#This Row],[oo6]]),"")</f>
        <v/>
      </c>
      <c r="AB997" s="127" t="str">
        <f>IF(Tab.o1[[#This Row],[a1]]=1,IF(AE$3=0,"",IF(AB$3=0,ABS([1]!T.in.A[[#This Row],[oo9]]),ABS(Tab.o1[[#This Row],[DIF_Target.]]*Tab.o1[[#This Row],[W1_PDF]]))),"")</f>
        <v/>
      </c>
      <c r="AC997" s="127" t="str">
        <f>IF(G$1=1,"",IF(Tab.o1[[#This Row],[a1]]=1,Tab.o1[[#This Row],[Wr]]^2,""))</f>
        <v/>
      </c>
      <c r="AD997" s="118" t="str">
        <f>IF(Tab.o1[[#This Row],[a1]]=1,IF(AE$3=0,"",Tab.o1[[#This Row],[Wr2]]/SUM(Tab.o1[Wr2])),"")</f>
        <v/>
      </c>
      <c r="AE997" s="128" t="str">
        <f>IF(Tab.o1[[#This Row],[a1]]=1,[1]!T.in.A[[#This Row],[oo10]],"")</f>
        <v/>
      </c>
      <c r="AF997" s="118" t="str">
        <f>IF(Tab.o1[[#This Row],[a1]]=1,ABS(Tab.o1[[#This Row],[DIF_Target.]]*Tab.o1[[#This Row],[PDF2]]*Tab.o1[[#This Row],[IN]]),"")</f>
        <v/>
      </c>
      <c r="AG997" s="129" t="str">
        <f>IF(Tab.o1[[#This Row],[a1]]=1,Tab.o1[[#This Row],[rW]]^2,"")</f>
        <v/>
      </c>
      <c r="AH997" s="130" t="str">
        <f>IF(Tab.o1[[#This Row],[a1]]=1,IF(AH$3=0,Tab.o1[[#This Row],[rW2]],0.01+0.94*Tab.o1[[#This Row],[rW2]]/SUM(Tab.o1[rW2])),"")</f>
        <v/>
      </c>
      <c r="AI997" s="128" t="str">
        <f>IF(Tab.o1[[#This Row],[a1]]=1,1/Tab.o1[[#This Row],[PDF]],"")</f>
        <v/>
      </c>
      <c r="AJ997" s="131" t="str">
        <f>IF(Tab.o1[[#This Row],[a1]]=1,[1]!T_AA[[#This Row],[IN'']]*[1]!T_AA[[#This Row],[Qde'']],"")</f>
        <v/>
      </c>
      <c r="AK997" s="132" t="str">
        <f>IF(Tab.o1[[#This Row],[a1]]=1,IF(AK$1=1,Tab.o1[[#This Row],[MED]]+Tab.o1[[#This Row],[MOD]]-Tab.o1[[#This Row],[MED]],""),"")</f>
        <v/>
      </c>
      <c r="AL997" s="133" t="str">
        <f>IF(Tab.o1[[#This Row],[a1]]=1,[1]!T.in.A[[#This Row],[oo16]],"")</f>
        <v/>
      </c>
      <c r="AM997" s="133" t="str">
        <f>IF(Tab.o1[[#This Row],[a1]]=1,IF(AM$3=1,[1]!T.in.A[[#This Row],[Σo16]],""),"")</f>
        <v/>
      </c>
      <c r="AN997" s="126" t="str">
        <f>IF(Tab.o1[[#This Row],[a1]]=1,[1]!T.in.A[[#This Row],[Σp5]],"")</f>
        <v/>
      </c>
      <c r="AO997" s="126" t="str">
        <f>IF(Tab.o1[[#This Row],[a1]]=1,IF(AO$3=1,[1]!T.in.A[[#This Row],[Σp5]],""),"")</f>
        <v/>
      </c>
      <c r="AP997" s="110" t="str">
        <f>IF(Tab.o1[[#This Row],[a1]]=1,IF(ISNUMBER(Tab.o1[[#This Row],[i.]]),NORMDIST(Tab.o1[[#This Row],[Za]],0,1,FALSE)*Tab.o1[[#This Row],[i.]],0),"")</f>
        <v/>
      </c>
      <c r="AQ997" s="125" t="str">
        <f>IF(Tab.o1[[#This Row],[a1]]=1,ABS(Tab.o1[[#This Row],[MOD]]-AVERAGE(Tab.o1[MOD])),"")</f>
        <v/>
      </c>
      <c r="AR997" s="134" t="str">
        <f>IF(Tab.o1[[#This Row],[a1]]=1,Tab.o1[[#This Row],[OBS]]/SUM(Tab.o1[OBS]),"")</f>
        <v/>
      </c>
      <c r="AS997" s="135" t="str">
        <f>IF(ISNUMBER(Tab.o1[[#This Row],[a1]]),ROW()-4,"")</f>
        <v/>
      </c>
      <c r="AT997" s="136" t="str">
        <f>Tab.o1[[#This Row],[MOD]]</f>
        <v/>
      </c>
      <c r="AU997" s="137" t="str">
        <f t="shared" si="61"/>
        <v/>
      </c>
      <c r="AV997" s="138" t="str">
        <f t="shared" si="62"/>
        <v/>
      </c>
      <c r="AW997" s="138" t="str">
        <f t="shared" si="63"/>
        <v/>
      </c>
      <c r="AX997" s="139" t="str">
        <f>[1]!T.in.A[[#This Row],[ID_T_manu]]</f>
        <v/>
      </c>
      <c r="AY997" s="140" t="str">
        <f>IF(ISNUMBER(Tab.o1[[#This Row],[a1]]),IF(AND(Tab.o1[[#This Row],[a1]]=1,Tab.o1[[#This Row],[b1]]&lt;=AY$4),#REF!,AY996),"")</f>
        <v/>
      </c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6"/>
      <c r="BO997" s="26"/>
      <c r="BP997" s="26"/>
      <c r="BQ997" s="26"/>
      <c r="BR997" s="26"/>
      <c r="BS997" s="26"/>
      <c r="BT997" s="26"/>
      <c r="BU997" s="26"/>
      <c r="BV997" s="26"/>
      <c r="BW997" s="26"/>
      <c r="BX997" s="26"/>
      <c r="BY997" s="26"/>
      <c r="BZ997" s="26"/>
      <c r="CA997" s="26"/>
    </row>
    <row r="998" spans="1:79" ht="15.75" hidden="1">
      <c r="A998" s="109">
        <v>5.0000000000000004E-6</v>
      </c>
      <c r="B998" s="110">
        <f t="shared" si="60"/>
        <v>998</v>
      </c>
      <c r="C998" s="111" t="str">
        <f>IF(C$1=[1]!T.in.A[[#This Row],[oo2]],1,"")</f>
        <v/>
      </c>
      <c r="D998" s="112" t="str">
        <f>IF(Tab.o1[[#This Row],[a1]]=1,IF(SUM(C998:C999)=0,0,IF(SUM(C997:C998)=1,1,IF(SUM(C997:C999)&gt;1,D997+1,0))),"")</f>
        <v/>
      </c>
      <c r="E998" s="113" t="str">
        <f>IF(Tab.o1[[#This Row],[a1]]=1,[1]!T.in.A[[#This Row],[oo1]],"")</f>
        <v/>
      </c>
      <c r="F998" s="113" t="str">
        <f>IF(Tab.o1[[#This Row],[a1]]=1,[1]!T.in.A[[#This Row],[pp1]],"")</f>
        <v/>
      </c>
      <c r="G998" s="114" t="str">
        <f>IF(Tab.o1[[#This Row],[a1]]=1,G$2+IF(G$1=1,0,Tab.o1[[#This Row],[.x1]])+[1]!T.in.A[[#This Row],[oo3]],"")</f>
        <v/>
      </c>
      <c r="H998" s="115" t="str">
        <f>IF(Tab.o1[[#This Row],[a1]]=1,IF(H$2=0,0,IF(G$1=1,0,Tab.o1[[#This Row],[.x1]])+[1]!T.in.A[[#This Row],[oo4]]),"")</f>
        <v/>
      </c>
      <c r="I998" s="116" t="str">
        <f>IF(Tab.o1[[#This Row],[a1]]=1,IF(J$2=0,Tab.o1[[#This Row],[MED]],Tab.o1[[#This Row],[MOD]]),"")</f>
        <v/>
      </c>
      <c r="J998" s="116" t="str">
        <f>IF(Tab.o1[[#This Row],[a1]]=1,((Tab.o1[[#This Row],[DIF_Target.]]-AVERAGE(Tab.o1[DIF_Target.]))/_xlfn.STDEV.P(Tab.o1[DIF_Target.])),"")</f>
        <v/>
      </c>
      <c r="K998" s="117" t="str">
        <f>IF(Tab.o1[[#This Row],[a1]]=1,IF(J$2=0,Tab.o1[[#This Row],[MOD]]-Tab.o1[[#This Row],[B]],IF(J$2=1,0,-Tab.o1[[#This Row],[MED]])+Tab.o1[[#This Row],[B]]),"")</f>
        <v/>
      </c>
      <c r="L998" s="117" t="str">
        <f ca="1">IF(Tab.o1[[#This Row],[DIF_Target]]=0,IF(L$2=0,Tab.o1[[#This Row],[DIF_Target]],AVERAGE(OFFSET(Tab.o1[[#This Row],[DIF_Target]],1,0,L$3,1)))/3,Tab.o1[[#This Row],[DIF_Target]])</f>
        <v/>
      </c>
      <c r="M998" s="118" t="str">
        <f>IF(Tab.o1[[#This Row],[a1]]=1,NORMSDIST(Tab.o1[[#This Row],[Za]]),"")</f>
        <v/>
      </c>
      <c r="N998" s="119" t="str">
        <f>IF(Tab.o1[[#This Row],[a1]]=1,((Tab.o1[[#This Row],[MedMod]]-AVERAGE(Tab.o1[MedMod]))/_xlfn.STDEV.P(Tab.o1[MedMod])*H$1205)+G$1205,"")</f>
        <v/>
      </c>
      <c r="O998" s="141" t="str">
        <f>IF(Tab.o1[[#This Row],[a1]]=1,Tab.o1[[#This Row],[Zb]]*_xlfn.STDEV.P(Tab.o1[MedMod])+AVERAGE(Tab.o1[MedMod]),"")</f>
        <v/>
      </c>
      <c r="P998" s="117" t="str">
        <f ca="1">IF(Tab.o1[[#This Row],[B]]=0,AVERAGE(OFFSET(Tab.o1[[#This Row],[B]],1,0,L$3,1)),Tab.o1[[#This Row],[B]])</f>
        <v/>
      </c>
      <c r="Q998" s="121" t="str">
        <f>IF(Tab.o1[[#This Row],[a1]]=1,NORMSDIST(Tab.o1[[#This Row],[Zb]]),"")</f>
        <v/>
      </c>
      <c r="R998" s="122" t="str">
        <f>IF(Tab.o1[[#This Row],[a1]]=1,((Tab.o1[[#This Row],[MedMod]]-AVERAGE(Tab.o1[MedMod]))/_xlfn.STDEV.P(Tab.o1[MedMod])*H$1203)+G$1203,"")</f>
        <v/>
      </c>
      <c r="S998" s="122" t="str">
        <f>IF(Tab.o1[[#This Row],[a1]]=1,((Tab.o1[[#This Row],[MedMod]]-AVERAGE(Tab.o1[MedMod]))/_xlfn.STDEV.P(Tab.o1[MedMod])*H$1204)+G$1204,"")</f>
        <v/>
      </c>
      <c r="T998" s="123" t="str">
        <f>IF(Tab.o1[[#This Row],[a1]]=1,Tab.o1[[#This Row],[Z-]]*_xlfn.STDEV.P(Tab.o1[B])+AVERAGE(Tab.o1[B]),"")</f>
        <v/>
      </c>
      <c r="U998" s="123" t="str">
        <f>IF(Tab.o1[[#This Row],[a1]]=1,Tab.o1[[#This Row],[z+]]*_xlfn.STDEV.P(Tab.o1[B])+AVERAGE(Tab.o1[B]),"")</f>
        <v/>
      </c>
      <c r="V998" s="124" t="str">
        <f>IF(Tab.o1[[#This Row],[a1]]=1,ABS((ABS(Tab.o1[[#This Row],[Red]]-Tab.o1[[#This Row],[Blue]]))),"")</f>
        <v/>
      </c>
      <c r="W998" s="125" t="str">
        <f>IF(Tab.o1[[#This Row],[a1]]=1,IF(W$3=0,1,Tab.o1[[#This Row],[Amp.]]*1/_xlfn.MINIFS(Tab.o1[Amp.],Tab.o1[Amp.],"&lt;&gt;0")),"")</f>
        <v/>
      </c>
      <c r="X998" s="126" t="str">
        <f>IF(Tab.o1[[#This Row],[a1]]=1,IF(ISNUMBER(Tab.o1[[#This Row],[i.]]),NORMDIST(Tab.o1[[#This Row],[Za]],0,1,FALSE)*Tab.o1[[#This Row],[i.]],AP$3),"")</f>
        <v/>
      </c>
      <c r="Y998" s="126" t="str">
        <f>IF(Tab.o1[[#This Row],[a1]]=1,0.01+0.94*Tab.o1[[#This Row],[PDF]]/MAX(Tab.o1[PDF]),"")</f>
        <v/>
      </c>
      <c r="Z998" s="126" t="str">
        <f>IF(Tab.o1[[#This Row],[a1]]=1,0.01+0.94*Tab.o1[[#This Row],[W1_PDF]]/MAX(Tab.o1[W1_PDF]),"")</f>
        <v/>
      </c>
      <c r="AA998" s="118" t="str">
        <f>IF(Tab.o1[[#This Row],[a1]]=1,ABS([1]!T.in.A[[#This Row],[oo6]]),"")</f>
        <v/>
      </c>
      <c r="AB998" s="127" t="str">
        <f>IF(Tab.o1[[#This Row],[a1]]=1,IF(AE$3=0,"",IF(AB$3=0,ABS([1]!T.in.A[[#This Row],[oo9]]),ABS(Tab.o1[[#This Row],[DIF_Target.]]*Tab.o1[[#This Row],[W1_PDF]]))),"")</f>
        <v/>
      </c>
      <c r="AC998" s="127" t="str">
        <f>IF(G$1=1,"",IF(Tab.o1[[#This Row],[a1]]=1,Tab.o1[[#This Row],[Wr]]^2,""))</f>
        <v/>
      </c>
      <c r="AD998" s="118" t="str">
        <f>IF(Tab.o1[[#This Row],[a1]]=1,IF(AE$3=0,"",Tab.o1[[#This Row],[Wr2]]/SUM(Tab.o1[Wr2])),"")</f>
        <v/>
      </c>
      <c r="AE998" s="128" t="str">
        <f>IF(Tab.o1[[#This Row],[a1]]=1,[1]!T.in.A[[#This Row],[oo10]],"")</f>
        <v/>
      </c>
      <c r="AF998" s="118" t="str">
        <f>IF(Tab.o1[[#This Row],[a1]]=1,ABS(Tab.o1[[#This Row],[DIF_Target.]]*Tab.o1[[#This Row],[PDF2]]*Tab.o1[[#This Row],[IN]]),"")</f>
        <v/>
      </c>
      <c r="AG998" s="129" t="str">
        <f>IF(Tab.o1[[#This Row],[a1]]=1,Tab.o1[[#This Row],[rW]]^2,"")</f>
        <v/>
      </c>
      <c r="AH998" s="130" t="str">
        <f>IF(Tab.o1[[#This Row],[a1]]=1,IF(AH$3=0,Tab.o1[[#This Row],[rW2]],0.01+0.94*Tab.o1[[#This Row],[rW2]]/SUM(Tab.o1[rW2])),"")</f>
        <v/>
      </c>
      <c r="AI998" s="128" t="str">
        <f>IF(Tab.o1[[#This Row],[a1]]=1,1/Tab.o1[[#This Row],[PDF]],"")</f>
        <v/>
      </c>
      <c r="AJ998" s="131" t="str">
        <f>IF(Tab.o1[[#This Row],[a1]]=1,[1]!T_AA[[#This Row],[IN'']]*[1]!T_AA[[#This Row],[Qde'']],"")</f>
        <v/>
      </c>
      <c r="AK998" s="132" t="str">
        <f>IF(Tab.o1[[#This Row],[a1]]=1,IF(AK$1=1,Tab.o1[[#This Row],[MED]]+Tab.o1[[#This Row],[MOD]]-Tab.o1[[#This Row],[MED]],""),"")</f>
        <v/>
      </c>
      <c r="AL998" s="133" t="str">
        <f>IF(Tab.o1[[#This Row],[a1]]=1,[1]!T.in.A[[#This Row],[oo16]],"")</f>
        <v/>
      </c>
      <c r="AM998" s="133" t="str">
        <f>IF(Tab.o1[[#This Row],[a1]]=1,IF(AM$3=1,[1]!T.in.A[[#This Row],[Σo16]],""),"")</f>
        <v/>
      </c>
      <c r="AN998" s="126" t="str">
        <f>IF(Tab.o1[[#This Row],[a1]]=1,[1]!T.in.A[[#This Row],[Σp5]],"")</f>
        <v/>
      </c>
      <c r="AO998" s="126" t="str">
        <f>IF(Tab.o1[[#This Row],[a1]]=1,IF(AO$3=1,[1]!T.in.A[[#This Row],[Σp5]],""),"")</f>
        <v/>
      </c>
      <c r="AP998" s="110" t="str">
        <f>IF(Tab.o1[[#This Row],[a1]]=1,IF(ISNUMBER(Tab.o1[[#This Row],[i.]]),NORMDIST(Tab.o1[[#This Row],[Za]],0,1,FALSE)*Tab.o1[[#This Row],[i.]],0),"")</f>
        <v/>
      </c>
      <c r="AQ998" s="125" t="str">
        <f>IF(Tab.o1[[#This Row],[a1]]=1,ABS(Tab.o1[[#This Row],[MOD]]-AVERAGE(Tab.o1[MOD])),"")</f>
        <v/>
      </c>
      <c r="AR998" s="134" t="str">
        <f>IF(Tab.o1[[#This Row],[a1]]=1,Tab.o1[[#This Row],[OBS]]/SUM(Tab.o1[OBS]),"")</f>
        <v/>
      </c>
      <c r="AS998" s="135" t="str">
        <f>IF(ISNUMBER(Tab.o1[[#This Row],[a1]]),ROW()-4,"")</f>
        <v/>
      </c>
      <c r="AT998" s="136" t="str">
        <f>Tab.o1[[#This Row],[MOD]]</f>
        <v/>
      </c>
      <c r="AU998" s="137" t="str">
        <f t="shared" si="61"/>
        <v/>
      </c>
      <c r="AV998" s="138" t="str">
        <f t="shared" si="62"/>
        <v/>
      </c>
      <c r="AW998" s="138" t="str">
        <f t="shared" si="63"/>
        <v/>
      </c>
      <c r="AX998" s="139" t="str">
        <f>[1]!T.in.A[[#This Row],[ID_T_manu]]</f>
        <v/>
      </c>
      <c r="AY998" s="140" t="str">
        <f>IF(ISNUMBER(Tab.o1[[#This Row],[a1]]),IF(AND(Tab.o1[[#This Row],[a1]]=1,Tab.o1[[#This Row],[b1]]&lt;=AY$4),#REF!,AY997),"")</f>
        <v/>
      </c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6"/>
      <c r="BO998" s="26"/>
      <c r="BP998" s="26"/>
      <c r="BQ998" s="26"/>
      <c r="BR998" s="26"/>
      <c r="BS998" s="26"/>
      <c r="BT998" s="26"/>
      <c r="BU998" s="26"/>
      <c r="BV998" s="26"/>
      <c r="BW998" s="26"/>
      <c r="BX998" s="26"/>
      <c r="BY998" s="26"/>
      <c r="BZ998" s="26"/>
      <c r="CA998" s="26"/>
    </row>
    <row r="999" spans="1:79" ht="15.75" hidden="1">
      <c r="A999" s="109">
        <v>5.0000000000000004E-6</v>
      </c>
      <c r="B999" s="110">
        <f t="shared" si="60"/>
        <v>999</v>
      </c>
      <c r="C999" s="111" t="str">
        <f>IF(C$1=[1]!T.in.A[[#This Row],[oo2]],1,"")</f>
        <v/>
      </c>
      <c r="D999" s="112" t="str">
        <f>IF(Tab.o1[[#This Row],[a1]]=1,IF(SUM(C999:C1000)=0,0,IF(SUM(C998:C999)=1,1,IF(SUM(C998:C1000)&gt;1,D998+1,0))),"")</f>
        <v/>
      </c>
      <c r="E999" s="113" t="str">
        <f>IF(Tab.o1[[#This Row],[a1]]=1,[1]!T.in.A[[#This Row],[oo1]],"")</f>
        <v/>
      </c>
      <c r="F999" s="113" t="str">
        <f>IF(Tab.o1[[#This Row],[a1]]=1,[1]!T.in.A[[#This Row],[pp1]],"")</f>
        <v/>
      </c>
      <c r="G999" s="114" t="str">
        <f>IF(Tab.o1[[#This Row],[a1]]=1,G$2+IF(G$1=1,0,Tab.o1[[#This Row],[.x1]])+[1]!T.in.A[[#This Row],[oo3]],"")</f>
        <v/>
      </c>
      <c r="H999" s="115" t="str">
        <f>IF(Tab.o1[[#This Row],[a1]]=1,IF(H$2=0,0,IF(G$1=1,0,Tab.o1[[#This Row],[.x1]])+[1]!T.in.A[[#This Row],[oo4]]),"")</f>
        <v/>
      </c>
      <c r="I999" s="116" t="str">
        <f>IF(Tab.o1[[#This Row],[a1]]=1,IF(J$2=0,Tab.o1[[#This Row],[MED]],Tab.o1[[#This Row],[MOD]]),"")</f>
        <v/>
      </c>
      <c r="J999" s="116" t="str">
        <f>IF(Tab.o1[[#This Row],[a1]]=1,((Tab.o1[[#This Row],[DIF_Target.]]-AVERAGE(Tab.o1[DIF_Target.]))/_xlfn.STDEV.P(Tab.o1[DIF_Target.])),"")</f>
        <v/>
      </c>
      <c r="K999" s="117" t="str">
        <f>IF(Tab.o1[[#This Row],[a1]]=1,IF(J$2=0,Tab.o1[[#This Row],[MOD]]-Tab.o1[[#This Row],[B]],IF(J$2=1,0,-Tab.o1[[#This Row],[MED]])+Tab.o1[[#This Row],[B]]),"")</f>
        <v/>
      </c>
      <c r="L999" s="117" t="str">
        <f ca="1">IF(Tab.o1[[#This Row],[DIF_Target]]=0,IF(L$2=0,Tab.o1[[#This Row],[DIF_Target]],AVERAGE(OFFSET(Tab.o1[[#This Row],[DIF_Target]],1,0,L$3,1)))/3,Tab.o1[[#This Row],[DIF_Target]])</f>
        <v/>
      </c>
      <c r="M999" s="118" t="str">
        <f>IF(Tab.o1[[#This Row],[a1]]=1,NORMSDIST(Tab.o1[[#This Row],[Za]]),"")</f>
        <v/>
      </c>
      <c r="N999" s="119" t="str">
        <f>IF(Tab.o1[[#This Row],[a1]]=1,((Tab.o1[[#This Row],[MedMod]]-AVERAGE(Tab.o1[MedMod]))/_xlfn.STDEV.P(Tab.o1[MedMod])*H$1205)+G$1205,"")</f>
        <v/>
      </c>
      <c r="O999" s="141" t="str">
        <f>IF(Tab.o1[[#This Row],[a1]]=1,Tab.o1[[#This Row],[Zb]]*_xlfn.STDEV.P(Tab.o1[MedMod])+AVERAGE(Tab.o1[MedMod]),"")</f>
        <v/>
      </c>
      <c r="P999" s="117" t="str">
        <f ca="1">IF(Tab.o1[[#This Row],[B]]=0,AVERAGE(OFFSET(Tab.o1[[#This Row],[B]],1,0,L$3,1)),Tab.o1[[#This Row],[B]])</f>
        <v/>
      </c>
      <c r="Q999" s="121" t="str">
        <f>IF(Tab.o1[[#This Row],[a1]]=1,NORMSDIST(Tab.o1[[#This Row],[Zb]]),"")</f>
        <v/>
      </c>
      <c r="R999" s="122" t="str">
        <f>IF(Tab.o1[[#This Row],[a1]]=1,((Tab.o1[[#This Row],[MedMod]]-AVERAGE(Tab.o1[MedMod]))/_xlfn.STDEV.P(Tab.o1[MedMod])*H$1203)+G$1203,"")</f>
        <v/>
      </c>
      <c r="S999" s="122" t="str">
        <f>IF(Tab.o1[[#This Row],[a1]]=1,((Tab.o1[[#This Row],[MedMod]]-AVERAGE(Tab.o1[MedMod]))/_xlfn.STDEV.P(Tab.o1[MedMod])*H$1204)+G$1204,"")</f>
        <v/>
      </c>
      <c r="T999" s="123" t="str">
        <f>IF(Tab.o1[[#This Row],[a1]]=1,Tab.o1[[#This Row],[Z-]]*_xlfn.STDEV.P(Tab.o1[B])+AVERAGE(Tab.o1[B]),"")</f>
        <v/>
      </c>
      <c r="U999" s="123" t="str">
        <f>IF(Tab.o1[[#This Row],[a1]]=1,Tab.o1[[#This Row],[z+]]*_xlfn.STDEV.P(Tab.o1[B])+AVERAGE(Tab.o1[B]),"")</f>
        <v/>
      </c>
      <c r="V999" s="124" t="str">
        <f>IF(Tab.o1[[#This Row],[a1]]=1,ABS((ABS(Tab.o1[[#This Row],[Red]]-Tab.o1[[#This Row],[Blue]]))),"")</f>
        <v/>
      </c>
      <c r="W999" s="125" t="str">
        <f>IF(Tab.o1[[#This Row],[a1]]=1,IF(W$3=0,1,Tab.o1[[#This Row],[Amp.]]*1/_xlfn.MINIFS(Tab.o1[Amp.],Tab.o1[Amp.],"&lt;&gt;0")),"")</f>
        <v/>
      </c>
      <c r="X999" s="126" t="str">
        <f>IF(Tab.o1[[#This Row],[a1]]=1,IF(ISNUMBER(Tab.o1[[#This Row],[i.]]),NORMDIST(Tab.o1[[#This Row],[Za]],0,1,FALSE)*Tab.o1[[#This Row],[i.]],AP$3),"")</f>
        <v/>
      </c>
      <c r="Y999" s="126" t="str">
        <f>IF(Tab.o1[[#This Row],[a1]]=1,0.01+0.94*Tab.o1[[#This Row],[PDF]]/MAX(Tab.o1[PDF]),"")</f>
        <v/>
      </c>
      <c r="Z999" s="126" t="str">
        <f>IF(Tab.o1[[#This Row],[a1]]=1,0.01+0.94*Tab.o1[[#This Row],[W1_PDF]]/MAX(Tab.o1[W1_PDF]),"")</f>
        <v/>
      </c>
      <c r="AA999" s="118" t="str">
        <f>IF(Tab.o1[[#This Row],[a1]]=1,ABS([1]!T.in.A[[#This Row],[oo6]]),"")</f>
        <v/>
      </c>
      <c r="AB999" s="127" t="str">
        <f>IF(Tab.o1[[#This Row],[a1]]=1,IF(AE$3=0,"",IF(AB$3=0,ABS([1]!T.in.A[[#This Row],[oo9]]),ABS(Tab.o1[[#This Row],[DIF_Target.]]*Tab.o1[[#This Row],[W1_PDF]]))),"")</f>
        <v/>
      </c>
      <c r="AC999" s="127" t="str">
        <f>IF(G$1=1,"",IF(Tab.o1[[#This Row],[a1]]=1,Tab.o1[[#This Row],[Wr]]^2,""))</f>
        <v/>
      </c>
      <c r="AD999" s="118" t="str">
        <f>IF(Tab.o1[[#This Row],[a1]]=1,IF(AE$3=0,"",Tab.o1[[#This Row],[Wr2]]/SUM(Tab.o1[Wr2])),"")</f>
        <v/>
      </c>
      <c r="AE999" s="128" t="str">
        <f>IF(Tab.o1[[#This Row],[a1]]=1,[1]!T.in.A[[#This Row],[oo10]],"")</f>
        <v/>
      </c>
      <c r="AF999" s="118" t="str">
        <f>IF(Tab.o1[[#This Row],[a1]]=1,ABS(Tab.o1[[#This Row],[DIF_Target.]]*Tab.o1[[#This Row],[PDF2]]*Tab.o1[[#This Row],[IN]]),"")</f>
        <v/>
      </c>
      <c r="AG999" s="129" t="str">
        <f>IF(Tab.o1[[#This Row],[a1]]=1,Tab.o1[[#This Row],[rW]]^2,"")</f>
        <v/>
      </c>
      <c r="AH999" s="130" t="str">
        <f>IF(Tab.o1[[#This Row],[a1]]=1,IF(AH$3=0,Tab.o1[[#This Row],[rW2]],0.01+0.94*Tab.o1[[#This Row],[rW2]]/SUM(Tab.o1[rW2])),"")</f>
        <v/>
      </c>
      <c r="AI999" s="128" t="str">
        <f>IF(Tab.o1[[#This Row],[a1]]=1,1/Tab.o1[[#This Row],[PDF]],"")</f>
        <v/>
      </c>
      <c r="AJ999" s="131" t="str">
        <f>IF(Tab.o1[[#This Row],[a1]]=1,[1]!T_AA[[#This Row],[IN'']]*[1]!T_AA[[#This Row],[Qde'']],"")</f>
        <v/>
      </c>
      <c r="AK999" s="132" t="str">
        <f>IF(Tab.o1[[#This Row],[a1]]=1,IF(AK$1=1,Tab.o1[[#This Row],[MED]]+Tab.o1[[#This Row],[MOD]]-Tab.o1[[#This Row],[MED]],""),"")</f>
        <v/>
      </c>
      <c r="AL999" s="133" t="str">
        <f>IF(Tab.o1[[#This Row],[a1]]=1,[1]!T.in.A[[#This Row],[oo16]],"")</f>
        <v/>
      </c>
      <c r="AM999" s="133" t="str">
        <f>IF(Tab.o1[[#This Row],[a1]]=1,IF(AM$3=1,[1]!T.in.A[[#This Row],[Σo16]],""),"")</f>
        <v/>
      </c>
      <c r="AN999" s="126" t="str">
        <f>IF(Tab.o1[[#This Row],[a1]]=1,[1]!T.in.A[[#This Row],[Σp5]],"")</f>
        <v/>
      </c>
      <c r="AO999" s="126" t="str">
        <f>IF(Tab.o1[[#This Row],[a1]]=1,IF(AO$3=1,[1]!T.in.A[[#This Row],[Σp5]],""),"")</f>
        <v/>
      </c>
      <c r="AP999" s="110" t="str">
        <f>IF(Tab.o1[[#This Row],[a1]]=1,IF(ISNUMBER(Tab.o1[[#This Row],[i.]]),NORMDIST(Tab.o1[[#This Row],[Za]],0,1,FALSE)*Tab.o1[[#This Row],[i.]],0),"")</f>
        <v/>
      </c>
      <c r="AQ999" s="125" t="str">
        <f>IF(Tab.o1[[#This Row],[a1]]=1,ABS(Tab.o1[[#This Row],[MOD]]-AVERAGE(Tab.o1[MOD])),"")</f>
        <v/>
      </c>
      <c r="AR999" s="134" t="str">
        <f>IF(Tab.o1[[#This Row],[a1]]=1,Tab.o1[[#This Row],[OBS]]/SUM(Tab.o1[OBS]),"")</f>
        <v/>
      </c>
      <c r="AS999" s="135" t="str">
        <f>IF(ISNUMBER(Tab.o1[[#This Row],[a1]]),ROW()-4,"")</f>
        <v/>
      </c>
      <c r="AT999" s="136" t="str">
        <f>Tab.o1[[#This Row],[MOD]]</f>
        <v/>
      </c>
      <c r="AU999" s="137" t="str">
        <f t="shared" si="61"/>
        <v/>
      </c>
      <c r="AV999" s="138" t="str">
        <f t="shared" si="62"/>
        <v/>
      </c>
      <c r="AW999" s="138" t="str">
        <f t="shared" si="63"/>
        <v/>
      </c>
      <c r="AX999" s="139" t="str">
        <f>[1]!T.in.A[[#This Row],[ID_T_manu]]</f>
        <v/>
      </c>
      <c r="AY999" s="140" t="str">
        <f>IF(ISNUMBER(Tab.o1[[#This Row],[a1]]),IF(AND(Tab.o1[[#This Row],[a1]]=1,Tab.o1[[#This Row],[b1]]&lt;=AY$4),#REF!,AY998),"")</f>
        <v/>
      </c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6"/>
      <c r="BO999" s="26"/>
      <c r="BP999" s="26"/>
      <c r="BQ999" s="26"/>
      <c r="BR999" s="26"/>
      <c r="BS999" s="26"/>
      <c r="BT999" s="26"/>
      <c r="BU999" s="26"/>
      <c r="BV999" s="26"/>
      <c r="BW999" s="26"/>
      <c r="BX999" s="26"/>
      <c r="BY999" s="26"/>
      <c r="BZ999" s="26"/>
      <c r="CA999" s="26"/>
    </row>
    <row r="1000" spans="1:79" ht="15.75" hidden="1">
      <c r="A1000" s="109">
        <v>4.0000000000000007E-6</v>
      </c>
      <c r="B1000" s="110">
        <f t="shared" si="60"/>
        <v>1000</v>
      </c>
      <c r="C1000" s="111" t="str">
        <f>IF(C$1=[1]!T.in.A[[#This Row],[oo2]],1,"")</f>
        <v/>
      </c>
      <c r="D1000" s="112" t="str">
        <f>IF(Tab.o1[[#This Row],[a1]]=1,IF(SUM(C1000:C1001)=0,0,IF(SUM(C999:C1000)=1,1,IF(SUM(C999:C1001)&gt;1,D999+1,0))),"")</f>
        <v/>
      </c>
      <c r="E1000" s="113" t="str">
        <f>IF(Tab.o1[[#This Row],[a1]]=1,[1]!T.in.A[[#This Row],[oo1]],"")</f>
        <v/>
      </c>
      <c r="F1000" s="113" t="str">
        <f>IF(Tab.o1[[#This Row],[a1]]=1,[1]!T.in.A[[#This Row],[pp1]],"")</f>
        <v/>
      </c>
      <c r="G1000" s="114" t="str">
        <f>IF(Tab.o1[[#This Row],[a1]]=1,G$2+IF(G$1=1,0,Tab.o1[[#This Row],[.x1]])+[1]!T.in.A[[#This Row],[oo3]],"")</f>
        <v/>
      </c>
      <c r="H1000" s="115" t="str">
        <f>IF(Tab.o1[[#This Row],[a1]]=1,IF(H$2=0,0,IF(G$1=1,0,Tab.o1[[#This Row],[.x1]])+[1]!T.in.A[[#This Row],[oo4]]),"")</f>
        <v/>
      </c>
      <c r="I1000" s="116" t="str">
        <f>IF(Tab.o1[[#This Row],[a1]]=1,IF(J$2=0,Tab.o1[[#This Row],[MED]],Tab.o1[[#This Row],[MOD]]),"")</f>
        <v/>
      </c>
      <c r="J1000" s="116" t="str">
        <f>IF(Tab.o1[[#This Row],[a1]]=1,((Tab.o1[[#This Row],[DIF_Target.]]-AVERAGE(Tab.o1[DIF_Target.]))/_xlfn.STDEV.P(Tab.o1[DIF_Target.])),"")</f>
        <v/>
      </c>
      <c r="K1000" s="117" t="str">
        <f>IF(Tab.o1[[#This Row],[a1]]=1,IF(J$2=0,Tab.o1[[#This Row],[MOD]]-Tab.o1[[#This Row],[B]],IF(J$2=1,0,-Tab.o1[[#This Row],[MED]])+Tab.o1[[#This Row],[B]]),"")</f>
        <v/>
      </c>
      <c r="L1000" s="117" t="str">
        <f ca="1">IF(Tab.o1[[#This Row],[DIF_Target]]=0,IF(L$2=0,Tab.o1[[#This Row],[DIF_Target]],AVERAGE(OFFSET(Tab.o1[[#This Row],[DIF_Target]],1,0,L$3,1)))/3,Tab.o1[[#This Row],[DIF_Target]])</f>
        <v/>
      </c>
      <c r="M1000" s="118" t="str">
        <f>IF(Tab.o1[[#This Row],[a1]]=1,NORMSDIST(Tab.o1[[#This Row],[Za]]),"")</f>
        <v/>
      </c>
      <c r="N1000" s="119" t="str">
        <f>IF(Tab.o1[[#This Row],[a1]]=1,((Tab.o1[[#This Row],[MedMod]]-AVERAGE(Tab.o1[MedMod]))/_xlfn.STDEV.P(Tab.o1[MedMod])*H$1205)+G$1205,"")</f>
        <v/>
      </c>
      <c r="O1000" s="141" t="str">
        <f>IF(Tab.o1[[#This Row],[a1]]=1,Tab.o1[[#This Row],[Zb]]*_xlfn.STDEV.P(Tab.o1[MedMod])+AVERAGE(Tab.o1[MedMod]),"")</f>
        <v/>
      </c>
      <c r="P1000" s="117" t="str">
        <f ca="1">IF(Tab.o1[[#This Row],[B]]=0,AVERAGE(OFFSET(Tab.o1[[#This Row],[B]],1,0,L$3,1)),Tab.o1[[#This Row],[B]])</f>
        <v/>
      </c>
      <c r="Q1000" s="121" t="str">
        <f>IF(Tab.o1[[#This Row],[a1]]=1,NORMSDIST(Tab.o1[[#This Row],[Zb]]),"")</f>
        <v/>
      </c>
      <c r="R1000" s="122" t="str">
        <f>IF(Tab.o1[[#This Row],[a1]]=1,((Tab.o1[[#This Row],[MedMod]]-AVERAGE(Tab.o1[MedMod]))/_xlfn.STDEV.P(Tab.o1[MedMod])*H$1203)+G$1203,"")</f>
        <v/>
      </c>
      <c r="S1000" s="122" t="str">
        <f>IF(Tab.o1[[#This Row],[a1]]=1,((Tab.o1[[#This Row],[MedMod]]-AVERAGE(Tab.o1[MedMod]))/_xlfn.STDEV.P(Tab.o1[MedMod])*H$1204)+G$1204,"")</f>
        <v/>
      </c>
      <c r="T1000" s="123" t="str">
        <f>IF(Tab.o1[[#This Row],[a1]]=1,Tab.o1[[#This Row],[Z-]]*_xlfn.STDEV.P(Tab.o1[B])+AVERAGE(Tab.o1[B]),"")</f>
        <v/>
      </c>
      <c r="U1000" s="123" t="str">
        <f>IF(Tab.o1[[#This Row],[a1]]=1,Tab.o1[[#This Row],[z+]]*_xlfn.STDEV.P(Tab.o1[B])+AVERAGE(Tab.o1[B]),"")</f>
        <v/>
      </c>
      <c r="V1000" s="124" t="str">
        <f>IF(Tab.o1[[#This Row],[a1]]=1,ABS((ABS(Tab.o1[[#This Row],[Red]]-Tab.o1[[#This Row],[Blue]]))),"")</f>
        <v/>
      </c>
      <c r="W1000" s="125" t="str">
        <f>IF(Tab.o1[[#This Row],[a1]]=1,IF(W$3=0,1,Tab.o1[[#This Row],[Amp.]]*1/_xlfn.MINIFS(Tab.o1[Amp.],Tab.o1[Amp.],"&lt;&gt;0")),"")</f>
        <v/>
      </c>
      <c r="X1000" s="126" t="str">
        <f>IF(Tab.o1[[#This Row],[a1]]=1,IF(ISNUMBER(Tab.o1[[#This Row],[i.]]),NORMDIST(Tab.o1[[#This Row],[Za]],0,1,FALSE)*Tab.o1[[#This Row],[i.]],AP$3),"")</f>
        <v/>
      </c>
      <c r="Y1000" s="126" t="str">
        <f>IF(Tab.o1[[#This Row],[a1]]=1,0.01+0.94*Tab.o1[[#This Row],[PDF]]/MAX(Tab.o1[PDF]),"")</f>
        <v/>
      </c>
      <c r="Z1000" s="126" t="str">
        <f>IF(Tab.o1[[#This Row],[a1]]=1,0.01+0.94*Tab.o1[[#This Row],[W1_PDF]]/MAX(Tab.o1[W1_PDF]),"")</f>
        <v/>
      </c>
      <c r="AA1000" s="118" t="str">
        <f>IF(Tab.o1[[#This Row],[a1]]=1,ABS([1]!T.in.A[[#This Row],[oo6]]),"")</f>
        <v/>
      </c>
      <c r="AB1000" s="127" t="str">
        <f>IF(Tab.o1[[#This Row],[a1]]=1,IF(AE$3=0,"",IF(AB$3=0,ABS([1]!T.in.A[[#This Row],[oo9]]),ABS(Tab.o1[[#This Row],[DIF_Target.]]*Tab.o1[[#This Row],[W1_PDF]]))),"")</f>
        <v/>
      </c>
      <c r="AC1000" s="127" t="str">
        <f>IF(G$1=1,"",IF(Tab.o1[[#This Row],[a1]]=1,Tab.o1[[#This Row],[Wr]]^2,""))</f>
        <v/>
      </c>
      <c r="AD1000" s="118" t="str">
        <f>IF(Tab.o1[[#This Row],[a1]]=1,IF(AE$3=0,"",Tab.o1[[#This Row],[Wr2]]/SUM(Tab.o1[Wr2])),"")</f>
        <v/>
      </c>
      <c r="AE1000" s="128" t="str">
        <f>IF(Tab.o1[[#This Row],[a1]]=1,[1]!T.in.A[[#This Row],[oo10]],"")</f>
        <v/>
      </c>
      <c r="AF1000" s="118" t="str">
        <f>IF(Tab.o1[[#This Row],[a1]]=1,ABS(Tab.o1[[#This Row],[DIF_Target.]]*Tab.o1[[#This Row],[PDF2]]*Tab.o1[[#This Row],[IN]]),"")</f>
        <v/>
      </c>
      <c r="AG1000" s="129" t="str">
        <f>IF(Tab.o1[[#This Row],[a1]]=1,Tab.o1[[#This Row],[rW]]^2,"")</f>
        <v/>
      </c>
      <c r="AH1000" s="130" t="str">
        <f>IF(Tab.o1[[#This Row],[a1]]=1,IF(AH$3=0,Tab.o1[[#This Row],[rW2]],0.01+0.94*Tab.o1[[#This Row],[rW2]]/SUM(Tab.o1[rW2])),"")</f>
        <v/>
      </c>
      <c r="AI1000" s="128" t="str">
        <f>IF(Tab.o1[[#This Row],[a1]]=1,1/Tab.o1[[#This Row],[PDF]],"")</f>
        <v/>
      </c>
      <c r="AJ1000" s="131" t="str">
        <f>IF(Tab.o1[[#This Row],[a1]]=1,[1]!T_AA[[#This Row],[IN'']]*[1]!T_AA[[#This Row],[Qde'']],"")</f>
        <v/>
      </c>
      <c r="AK1000" s="132" t="str">
        <f>IF(Tab.o1[[#This Row],[a1]]=1,IF(AK$1=1,Tab.o1[[#This Row],[MED]]+Tab.o1[[#This Row],[MOD]]-Tab.o1[[#This Row],[MED]],""),"")</f>
        <v/>
      </c>
      <c r="AL1000" s="133" t="str">
        <f>IF(Tab.o1[[#This Row],[a1]]=1,[1]!T.in.A[[#This Row],[oo16]],"")</f>
        <v/>
      </c>
      <c r="AM1000" s="133" t="str">
        <f>IF(Tab.o1[[#This Row],[a1]]=1,IF(AM$3=1,[1]!T.in.A[[#This Row],[Σo16]],""),"")</f>
        <v/>
      </c>
      <c r="AN1000" s="126" t="str">
        <f>IF(Tab.o1[[#This Row],[a1]]=1,[1]!T.in.A[[#This Row],[Σp5]],"")</f>
        <v/>
      </c>
      <c r="AO1000" s="126" t="str">
        <f>IF(Tab.o1[[#This Row],[a1]]=1,IF(AO$3=1,[1]!T.in.A[[#This Row],[Σp5]],""),"")</f>
        <v/>
      </c>
      <c r="AP1000" s="110" t="str">
        <f>IF(Tab.o1[[#This Row],[a1]]=1,IF(ISNUMBER(Tab.o1[[#This Row],[i.]]),NORMDIST(Tab.o1[[#This Row],[Za]],0,1,FALSE)*Tab.o1[[#This Row],[i.]],0),"")</f>
        <v/>
      </c>
      <c r="AQ1000" s="125" t="str">
        <f>IF(Tab.o1[[#This Row],[a1]]=1,ABS(Tab.o1[[#This Row],[MOD]]-AVERAGE(Tab.o1[MOD])),"")</f>
        <v/>
      </c>
      <c r="AR1000" s="134" t="str">
        <f>IF(Tab.o1[[#This Row],[a1]]=1,Tab.o1[[#This Row],[OBS]]/SUM(Tab.o1[OBS]),"")</f>
        <v/>
      </c>
      <c r="AS1000" s="135" t="str">
        <f>IF(ISNUMBER(Tab.o1[[#This Row],[a1]]),ROW()-4,"")</f>
        <v/>
      </c>
      <c r="AT1000" s="136" t="str">
        <f>Tab.o1[[#This Row],[MOD]]</f>
        <v/>
      </c>
      <c r="AU1000" s="137" t="str">
        <f t="shared" si="61"/>
        <v/>
      </c>
      <c r="AV1000" s="138" t="str">
        <f t="shared" si="62"/>
        <v/>
      </c>
      <c r="AW1000" s="138" t="str">
        <f t="shared" si="63"/>
        <v/>
      </c>
      <c r="AX1000" s="139" t="str">
        <f>[1]!T.in.A[[#This Row],[ID_T_manu]]</f>
        <v/>
      </c>
      <c r="AY1000" s="140" t="str">
        <f>IF(ISNUMBER(Tab.o1[[#This Row],[a1]]),IF(AND(Tab.o1[[#This Row],[a1]]=1,Tab.o1[[#This Row],[b1]]&lt;=AY$4),#REF!,AY999),"")</f>
        <v/>
      </c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6"/>
      <c r="BO1000" s="26"/>
      <c r="BP1000" s="26"/>
      <c r="BQ1000" s="26"/>
      <c r="BR1000" s="26"/>
      <c r="BS1000" s="26"/>
      <c r="BT1000" s="26"/>
      <c r="BU1000" s="26"/>
      <c r="BV1000" s="26"/>
      <c r="BW1000" s="26"/>
      <c r="BX1000" s="26"/>
      <c r="BY1000" s="26"/>
      <c r="BZ1000" s="26"/>
      <c r="CA1000" s="26"/>
    </row>
    <row r="1001" spans="1:79" ht="15.75" hidden="1">
      <c r="A1001" s="109">
        <v>6.9999999999999999E-6</v>
      </c>
      <c r="B1001" s="110">
        <f t="shared" si="60"/>
        <v>1001</v>
      </c>
      <c r="C1001" s="111" t="str">
        <f>IF(C$1=[1]!T.in.A[[#This Row],[oo2]],1,"")</f>
        <v/>
      </c>
      <c r="D1001" s="112" t="str">
        <f>IF(Tab.o1[[#This Row],[a1]]=1,IF(SUM(C1001:C1002)=0,0,IF(SUM(C1000:C1001)=1,1,IF(SUM(C1000:C1002)&gt;1,D1000+1,0))),"")</f>
        <v/>
      </c>
      <c r="E1001" s="113" t="str">
        <f>IF(Tab.o1[[#This Row],[a1]]=1,[1]!T.in.A[[#This Row],[oo1]],"")</f>
        <v/>
      </c>
      <c r="F1001" s="113" t="str">
        <f>IF(Tab.o1[[#This Row],[a1]]=1,[1]!T.in.A[[#This Row],[pp1]],"")</f>
        <v/>
      </c>
      <c r="G1001" s="114" t="str">
        <f>IF(Tab.o1[[#This Row],[a1]]=1,G$2+IF(G$1=1,0,Tab.o1[[#This Row],[.x1]])+[1]!T.in.A[[#This Row],[oo3]],"")</f>
        <v/>
      </c>
      <c r="H1001" s="115" t="str">
        <f>IF(Tab.o1[[#This Row],[a1]]=1,IF(H$2=0,0,IF(G$1=1,0,Tab.o1[[#This Row],[.x1]])+[1]!T.in.A[[#This Row],[oo4]]),"")</f>
        <v/>
      </c>
      <c r="I1001" s="116" t="str">
        <f>IF(Tab.o1[[#This Row],[a1]]=1,IF(J$2=0,Tab.o1[[#This Row],[MED]],Tab.o1[[#This Row],[MOD]]),"")</f>
        <v/>
      </c>
      <c r="J1001" s="116" t="str">
        <f>IF(Tab.o1[[#This Row],[a1]]=1,((Tab.o1[[#This Row],[DIF_Target.]]-AVERAGE(Tab.o1[DIF_Target.]))/_xlfn.STDEV.P(Tab.o1[DIF_Target.])),"")</f>
        <v/>
      </c>
      <c r="K1001" s="117" t="str">
        <f>IF(Tab.o1[[#This Row],[a1]]=1,IF(J$2=0,Tab.o1[[#This Row],[MOD]]-Tab.o1[[#This Row],[B]],IF(J$2=1,0,-Tab.o1[[#This Row],[MED]])+Tab.o1[[#This Row],[B]]),"")</f>
        <v/>
      </c>
      <c r="L1001" s="117" t="str">
        <f ca="1">IF(Tab.o1[[#This Row],[DIF_Target]]=0,IF(L$2=0,Tab.o1[[#This Row],[DIF_Target]],AVERAGE(OFFSET(Tab.o1[[#This Row],[DIF_Target]],1,0,L$3,1)))/3,Tab.o1[[#This Row],[DIF_Target]])</f>
        <v/>
      </c>
      <c r="M1001" s="118" t="str">
        <f>IF(Tab.o1[[#This Row],[a1]]=1,NORMSDIST(Tab.o1[[#This Row],[Za]]),"")</f>
        <v/>
      </c>
      <c r="N1001" s="119" t="str">
        <f>IF(Tab.o1[[#This Row],[a1]]=1,((Tab.o1[[#This Row],[MedMod]]-AVERAGE(Tab.o1[MedMod]))/_xlfn.STDEV.P(Tab.o1[MedMod])*H$1205)+G$1205,"")</f>
        <v/>
      </c>
      <c r="O1001" s="141" t="str">
        <f>IF(Tab.o1[[#This Row],[a1]]=1,Tab.o1[[#This Row],[Zb]]*_xlfn.STDEV.P(Tab.o1[MedMod])+AVERAGE(Tab.o1[MedMod]),"")</f>
        <v/>
      </c>
      <c r="P1001" s="117" t="str">
        <f ca="1">IF(Tab.o1[[#This Row],[B]]=0,AVERAGE(OFFSET(Tab.o1[[#This Row],[B]],1,0,L$3,1)),Tab.o1[[#This Row],[B]])</f>
        <v/>
      </c>
      <c r="Q1001" s="121" t="str">
        <f>IF(Tab.o1[[#This Row],[a1]]=1,NORMSDIST(Tab.o1[[#This Row],[Zb]]),"")</f>
        <v/>
      </c>
      <c r="R1001" s="122" t="str">
        <f>IF(Tab.o1[[#This Row],[a1]]=1,((Tab.o1[[#This Row],[MedMod]]-AVERAGE(Tab.o1[MedMod]))/_xlfn.STDEV.P(Tab.o1[MedMod])*H$1203)+G$1203,"")</f>
        <v/>
      </c>
      <c r="S1001" s="122" t="str">
        <f>IF(Tab.o1[[#This Row],[a1]]=1,((Tab.o1[[#This Row],[MedMod]]-AVERAGE(Tab.o1[MedMod]))/_xlfn.STDEV.P(Tab.o1[MedMod])*H$1204)+G$1204,"")</f>
        <v/>
      </c>
      <c r="T1001" s="123" t="str">
        <f>IF(Tab.o1[[#This Row],[a1]]=1,Tab.o1[[#This Row],[Z-]]*_xlfn.STDEV.P(Tab.o1[B])+AVERAGE(Tab.o1[B]),"")</f>
        <v/>
      </c>
      <c r="U1001" s="123" t="str">
        <f>IF(Tab.o1[[#This Row],[a1]]=1,Tab.o1[[#This Row],[z+]]*_xlfn.STDEV.P(Tab.o1[B])+AVERAGE(Tab.o1[B]),"")</f>
        <v/>
      </c>
      <c r="V1001" s="124" t="str">
        <f>IF(Tab.o1[[#This Row],[a1]]=1,ABS((ABS(Tab.o1[[#This Row],[Red]]-Tab.o1[[#This Row],[Blue]]))),"")</f>
        <v/>
      </c>
      <c r="W1001" s="125" t="str">
        <f>IF(Tab.o1[[#This Row],[a1]]=1,IF(W$3=0,1,Tab.o1[[#This Row],[Amp.]]*1/_xlfn.MINIFS(Tab.o1[Amp.],Tab.o1[Amp.],"&lt;&gt;0")),"")</f>
        <v/>
      </c>
      <c r="X1001" s="126" t="str">
        <f>IF(Tab.o1[[#This Row],[a1]]=1,IF(ISNUMBER(Tab.o1[[#This Row],[i.]]),NORMDIST(Tab.o1[[#This Row],[Za]],0,1,FALSE)*Tab.o1[[#This Row],[i.]],AP$3),"")</f>
        <v/>
      </c>
      <c r="Y1001" s="126" t="str">
        <f>IF(Tab.o1[[#This Row],[a1]]=1,0.01+0.94*Tab.o1[[#This Row],[PDF]]/MAX(Tab.o1[PDF]),"")</f>
        <v/>
      </c>
      <c r="Z1001" s="126" t="str">
        <f>IF(Tab.o1[[#This Row],[a1]]=1,0.01+0.94*Tab.o1[[#This Row],[W1_PDF]]/MAX(Tab.o1[W1_PDF]),"")</f>
        <v/>
      </c>
      <c r="AA1001" s="118" t="str">
        <f>IF(Tab.o1[[#This Row],[a1]]=1,ABS([1]!T.in.A[[#This Row],[oo6]]),"")</f>
        <v/>
      </c>
      <c r="AB1001" s="127" t="str">
        <f>IF(Tab.o1[[#This Row],[a1]]=1,IF(AE$3=0,"",IF(AB$3=0,ABS([1]!T.in.A[[#This Row],[oo9]]),ABS(Tab.o1[[#This Row],[DIF_Target.]]*Tab.o1[[#This Row],[W1_PDF]]))),"")</f>
        <v/>
      </c>
      <c r="AC1001" s="127" t="str">
        <f>IF(G$1=1,"",IF(Tab.o1[[#This Row],[a1]]=1,Tab.o1[[#This Row],[Wr]]^2,""))</f>
        <v/>
      </c>
      <c r="AD1001" s="118" t="str">
        <f>IF(Tab.o1[[#This Row],[a1]]=1,IF(AE$3=0,"",Tab.o1[[#This Row],[Wr2]]/SUM(Tab.o1[Wr2])),"")</f>
        <v/>
      </c>
      <c r="AE1001" s="128" t="str">
        <f>IF(Tab.o1[[#This Row],[a1]]=1,[1]!T.in.A[[#This Row],[oo10]],"")</f>
        <v/>
      </c>
      <c r="AF1001" s="118" t="str">
        <f>IF(Tab.o1[[#This Row],[a1]]=1,ABS(Tab.o1[[#This Row],[DIF_Target.]]*Tab.o1[[#This Row],[PDF2]]*Tab.o1[[#This Row],[IN]]),"")</f>
        <v/>
      </c>
      <c r="AG1001" s="129" t="str">
        <f>IF(Tab.o1[[#This Row],[a1]]=1,Tab.o1[[#This Row],[rW]]^2,"")</f>
        <v/>
      </c>
      <c r="AH1001" s="130" t="str">
        <f>IF(Tab.o1[[#This Row],[a1]]=1,IF(AH$3=0,Tab.o1[[#This Row],[rW2]],0.01+0.94*Tab.o1[[#This Row],[rW2]]/SUM(Tab.o1[rW2])),"")</f>
        <v/>
      </c>
      <c r="AI1001" s="128" t="str">
        <f>IF(Tab.o1[[#This Row],[a1]]=1,1/Tab.o1[[#This Row],[PDF]],"")</f>
        <v/>
      </c>
      <c r="AJ1001" s="131" t="str">
        <f>IF(Tab.o1[[#This Row],[a1]]=1,[1]!T_AA[[#This Row],[IN'']]*[1]!T_AA[[#This Row],[Qde'']],"")</f>
        <v/>
      </c>
      <c r="AK1001" s="132" t="str">
        <f>IF(Tab.o1[[#This Row],[a1]]=1,IF(AK$1=1,Tab.o1[[#This Row],[MED]]+Tab.o1[[#This Row],[MOD]]-Tab.o1[[#This Row],[MED]],""),"")</f>
        <v/>
      </c>
      <c r="AL1001" s="133" t="str">
        <f>IF(Tab.o1[[#This Row],[a1]]=1,[1]!T.in.A[[#This Row],[oo16]],"")</f>
        <v/>
      </c>
      <c r="AM1001" s="133" t="str">
        <f>IF(Tab.o1[[#This Row],[a1]]=1,IF(AM$3=1,[1]!T.in.A[[#This Row],[Σo16]],""),"")</f>
        <v/>
      </c>
      <c r="AN1001" s="126" t="str">
        <f>IF(Tab.o1[[#This Row],[a1]]=1,[1]!T.in.A[[#This Row],[Σp5]],"")</f>
        <v/>
      </c>
      <c r="AO1001" s="126" t="str">
        <f>IF(Tab.o1[[#This Row],[a1]]=1,IF(AO$3=1,[1]!T.in.A[[#This Row],[Σp5]],""),"")</f>
        <v/>
      </c>
      <c r="AP1001" s="110" t="str">
        <f>IF(Tab.o1[[#This Row],[a1]]=1,IF(ISNUMBER(Tab.o1[[#This Row],[i.]]),NORMDIST(Tab.o1[[#This Row],[Za]],0,1,FALSE)*Tab.o1[[#This Row],[i.]],0),"")</f>
        <v/>
      </c>
      <c r="AQ1001" s="125" t="str">
        <f>IF(Tab.o1[[#This Row],[a1]]=1,ABS(Tab.o1[[#This Row],[MOD]]-AVERAGE(Tab.o1[MOD])),"")</f>
        <v/>
      </c>
      <c r="AR1001" s="134" t="str">
        <f>IF(Tab.o1[[#This Row],[a1]]=1,Tab.o1[[#This Row],[OBS]]/SUM(Tab.o1[OBS]),"")</f>
        <v/>
      </c>
      <c r="AS1001" s="135" t="str">
        <f>IF(ISNUMBER(Tab.o1[[#This Row],[a1]]),ROW()-4,"")</f>
        <v/>
      </c>
      <c r="AT1001" s="136" t="str">
        <f>Tab.o1[[#This Row],[MOD]]</f>
        <v/>
      </c>
      <c r="AU1001" s="137" t="str">
        <f t="shared" si="61"/>
        <v/>
      </c>
      <c r="AV1001" s="138" t="str">
        <f t="shared" si="62"/>
        <v/>
      </c>
      <c r="AW1001" s="138" t="str">
        <f t="shared" si="63"/>
        <v/>
      </c>
      <c r="AX1001" s="139" t="str">
        <f>[1]!T.in.A[[#This Row],[ID_T_manu]]</f>
        <v/>
      </c>
      <c r="AY1001" s="140" t="str">
        <f>IF(ISNUMBER(Tab.o1[[#This Row],[a1]]),IF(AND(Tab.o1[[#This Row],[a1]]=1,Tab.o1[[#This Row],[b1]]&lt;=AY$4),#REF!,AY1000),"")</f>
        <v/>
      </c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25"/>
      <c r="BN1001" s="26"/>
      <c r="BO1001" s="26"/>
      <c r="BP1001" s="26"/>
      <c r="BQ1001" s="26"/>
      <c r="BR1001" s="26"/>
      <c r="BS1001" s="26"/>
      <c r="BT1001" s="26"/>
      <c r="BU1001" s="26"/>
      <c r="BV1001" s="26"/>
      <c r="BW1001" s="26"/>
      <c r="BX1001" s="26"/>
      <c r="BY1001" s="26"/>
      <c r="BZ1001" s="26"/>
      <c r="CA1001" s="26"/>
    </row>
    <row r="1002" spans="1:79" ht="15.75" hidden="1">
      <c r="A1002" s="109">
        <v>9.0000000000000002E-6</v>
      </c>
      <c r="B1002" s="110">
        <f t="shared" si="60"/>
        <v>1002</v>
      </c>
      <c r="C1002" s="111" t="str">
        <f>IF(C$1=[1]!T.in.A[[#This Row],[oo2]],1,"")</f>
        <v/>
      </c>
      <c r="D1002" s="112" t="str">
        <f>IF(Tab.o1[[#This Row],[a1]]=1,IF(SUM(C1002:C1003)=0,0,IF(SUM(C1001:C1002)=1,1,IF(SUM(C1001:C1003)&gt;1,D1001+1,0))),"")</f>
        <v/>
      </c>
      <c r="E1002" s="113" t="str">
        <f>IF(Tab.o1[[#This Row],[a1]]=1,[1]!T.in.A[[#This Row],[oo1]],"")</f>
        <v/>
      </c>
      <c r="F1002" s="113" t="str">
        <f>IF(Tab.o1[[#This Row],[a1]]=1,[1]!T.in.A[[#This Row],[pp1]],"")</f>
        <v/>
      </c>
      <c r="G1002" s="114" t="str">
        <f>IF(Tab.o1[[#This Row],[a1]]=1,G$2+IF(G$1=1,0,Tab.o1[[#This Row],[.x1]])+[1]!T.in.A[[#This Row],[oo3]],"")</f>
        <v/>
      </c>
      <c r="H1002" s="115" t="str">
        <f>IF(Tab.o1[[#This Row],[a1]]=1,IF(H$2=0,0,IF(G$1=1,0,Tab.o1[[#This Row],[.x1]])+[1]!T.in.A[[#This Row],[oo4]]),"")</f>
        <v/>
      </c>
      <c r="I1002" s="116" t="str">
        <f>IF(Tab.o1[[#This Row],[a1]]=1,IF(J$2=0,Tab.o1[[#This Row],[MED]],Tab.o1[[#This Row],[MOD]]),"")</f>
        <v/>
      </c>
      <c r="J1002" s="116" t="str">
        <f>IF(Tab.o1[[#This Row],[a1]]=1,((Tab.o1[[#This Row],[DIF_Target.]]-AVERAGE(Tab.o1[DIF_Target.]))/_xlfn.STDEV.P(Tab.o1[DIF_Target.])),"")</f>
        <v/>
      </c>
      <c r="K1002" s="117" t="str">
        <f>IF(Tab.o1[[#This Row],[a1]]=1,IF(J$2=0,Tab.o1[[#This Row],[MOD]]-Tab.o1[[#This Row],[B]],IF(J$2=1,0,-Tab.o1[[#This Row],[MED]])+Tab.o1[[#This Row],[B]]),"")</f>
        <v/>
      </c>
      <c r="L1002" s="117" t="str">
        <f ca="1">IF(Tab.o1[[#This Row],[DIF_Target]]=0,IF(L$2=0,Tab.o1[[#This Row],[DIF_Target]],AVERAGE(OFFSET(Tab.o1[[#This Row],[DIF_Target]],1,0,L$3,1)))/3,Tab.o1[[#This Row],[DIF_Target]])</f>
        <v/>
      </c>
      <c r="M1002" s="118" t="str">
        <f>IF(Tab.o1[[#This Row],[a1]]=1,NORMSDIST(Tab.o1[[#This Row],[Za]]),"")</f>
        <v/>
      </c>
      <c r="N1002" s="119" t="str">
        <f>IF(Tab.o1[[#This Row],[a1]]=1,((Tab.o1[[#This Row],[MedMod]]-AVERAGE(Tab.o1[MedMod]))/_xlfn.STDEV.P(Tab.o1[MedMod])*H$1205)+G$1205,"")</f>
        <v/>
      </c>
      <c r="O1002" s="141" t="str">
        <f>IF(Tab.o1[[#This Row],[a1]]=1,Tab.o1[[#This Row],[Zb]]*_xlfn.STDEV.P(Tab.o1[MedMod])+AVERAGE(Tab.o1[MedMod]),"")</f>
        <v/>
      </c>
      <c r="P1002" s="117" t="str">
        <f ca="1">IF(Tab.o1[[#This Row],[B]]=0,AVERAGE(OFFSET(Tab.o1[[#This Row],[B]],1,0,L$3,1)),Tab.o1[[#This Row],[B]])</f>
        <v/>
      </c>
      <c r="Q1002" s="121" t="str">
        <f>IF(Tab.o1[[#This Row],[a1]]=1,NORMSDIST(Tab.o1[[#This Row],[Zb]]),"")</f>
        <v/>
      </c>
      <c r="R1002" s="122" t="str">
        <f>IF(Tab.o1[[#This Row],[a1]]=1,((Tab.o1[[#This Row],[MedMod]]-AVERAGE(Tab.o1[MedMod]))/_xlfn.STDEV.P(Tab.o1[MedMod])*H$1203)+G$1203,"")</f>
        <v/>
      </c>
      <c r="S1002" s="122" t="str">
        <f>IF(Tab.o1[[#This Row],[a1]]=1,((Tab.o1[[#This Row],[MedMod]]-AVERAGE(Tab.o1[MedMod]))/_xlfn.STDEV.P(Tab.o1[MedMod])*H$1204)+G$1204,"")</f>
        <v/>
      </c>
      <c r="T1002" s="123" t="str">
        <f>IF(Tab.o1[[#This Row],[a1]]=1,Tab.o1[[#This Row],[Z-]]*_xlfn.STDEV.P(Tab.o1[B])+AVERAGE(Tab.o1[B]),"")</f>
        <v/>
      </c>
      <c r="U1002" s="123" t="str">
        <f>IF(Tab.o1[[#This Row],[a1]]=1,Tab.o1[[#This Row],[z+]]*_xlfn.STDEV.P(Tab.o1[B])+AVERAGE(Tab.o1[B]),"")</f>
        <v/>
      </c>
      <c r="V1002" s="124" t="str">
        <f>IF(Tab.o1[[#This Row],[a1]]=1,ABS((ABS(Tab.o1[[#This Row],[Red]]-Tab.o1[[#This Row],[Blue]]))),"")</f>
        <v/>
      </c>
      <c r="W1002" s="125" t="str">
        <f>IF(Tab.o1[[#This Row],[a1]]=1,IF(W$3=0,1,Tab.o1[[#This Row],[Amp.]]*1/_xlfn.MINIFS(Tab.o1[Amp.],Tab.o1[Amp.],"&lt;&gt;0")),"")</f>
        <v/>
      </c>
      <c r="X1002" s="126" t="str">
        <f>IF(Tab.o1[[#This Row],[a1]]=1,IF(ISNUMBER(Tab.o1[[#This Row],[i.]]),NORMDIST(Tab.o1[[#This Row],[Za]],0,1,FALSE)*Tab.o1[[#This Row],[i.]],AP$3),"")</f>
        <v/>
      </c>
      <c r="Y1002" s="126" t="str">
        <f>IF(Tab.o1[[#This Row],[a1]]=1,0.01+0.94*Tab.o1[[#This Row],[PDF]]/MAX(Tab.o1[PDF]),"")</f>
        <v/>
      </c>
      <c r="Z1002" s="126" t="str">
        <f>IF(Tab.o1[[#This Row],[a1]]=1,0.01+0.94*Tab.o1[[#This Row],[W1_PDF]]/MAX(Tab.o1[W1_PDF]),"")</f>
        <v/>
      </c>
      <c r="AA1002" s="118" t="str">
        <f>IF(Tab.o1[[#This Row],[a1]]=1,ABS([1]!T.in.A[[#This Row],[oo6]]),"")</f>
        <v/>
      </c>
      <c r="AB1002" s="127" t="str">
        <f>IF(Tab.o1[[#This Row],[a1]]=1,IF(AE$3=0,"",IF(AB$3=0,ABS([1]!T.in.A[[#This Row],[oo9]]),ABS(Tab.o1[[#This Row],[DIF_Target.]]*Tab.o1[[#This Row],[W1_PDF]]))),"")</f>
        <v/>
      </c>
      <c r="AC1002" s="127" t="str">
        <f>IF(G$1=1,"",IF(Tab.o1[[#This Row],[a1]]=1,Tab.o1[[#This Row],[Wr]]^2,""))</f>
        <v/>
      </c>
      <c r="AD1002" s="118" t="str">
        <f>IF(Tab.o1[[#This Row],[a1]]=1,IF(AE$3=0,"",Tab.o1[[#This Row],[Wr2]]/SUM(Tab.o1[Wr2])),"")</f>
        <v/>
      </c>
      <c r="AE1002" s="128" t="str">
        <f>IF(Tab.o1[[#This Row],[a1]]=1,[1]!T.in.A[[#This Row],[oo10]],"")</f>
        <v/>
      </c>
      <c r="AF1002" s="118" t="str">
        <f>IF(Tab.o1[[#This Row],[a1]]=1,ABS(Tab.o1[[#This Row],[DIF_Target.]]*Tab.o1[[#This Row],[PDF2]]*Tab.o1[[#This Row],[IN]]),"")</f>
        <v/>
      </c>
      <c r="AG1002" s="129" t="str">
        <f>IF(Tab.o1[[#This Row],[a1]]=1,Tab.o1[[#This Row],[rW]]^2,"")</f>
        <v/>
      </c>
      <c r="AH1002" s="130" t="str">
        <f>IF(Tab.o1[[#This Row],[a1]]=1,IF(AH$3=0,Tab.o1[[#This Row],[rW2]],0.01+0.94*Tab.o1[[#This Row],[rW2]]/SUM(Tab.o1[rW2])),"")</f>
        <v/>
      </c>
      <c r="AI1002" s="128" t="str">
        <f>IF(Tab.o1[[#This Row],[a1]]=1,1/Tab.o1[[#This Row],[PDF]],"")</f>
        <v/>
      </c>
      <c r="AJ1002" s="131" t="str">
        <f>IF(Tab.o1[[#This Row],[a1]]=1,[1]!T_AA[[#This Row],[IN'']]*[1]!T_AA[[#This Row],[Qde'']],"")</f>
        <v/>
      </c>
      <c r="AK1002" s="132" t="str">
        <f>IF(Tab.o1[[#This Row],[a1]]=1,IF(AK$1=1,Tab.o1[[#This Row],[MED]]+Tab.o1[[#This Row],[MOD]]-Tab.o1[[#This Row],[MED]],""),"")</f>
        <v/>
      </c>
      <c r="AL1002" s="133" t="str">
        <f>IF(Tab.o1[[#This Row],[a1]]=1,[1]!T.in.A[[#This Row],[oo16]],"")</f>
        <v/>
      </c>
      <c r="AM1002" s="133" t="str">
        <f>IF(Tab.o1[[#This Row],[a1]]=1,IF(AM$3=1,[1]!T.in.A[[#This Row],[Σo16]],""),"")</f>
        <v/>
      </c>
      <c r="AN1002" s="126" t="str">
        <f>IF(Tab.o1[[#This Row],[a1]]=1,[1]!T.in.A[[#This Row],[Σp5]],"")</f>
        <v/>
      </c>
      <c r="AO1002" s="126" t="str">
        <f>IF(Tab.o1[[#This Row],[a1]]=1,IF(AO$3=1,[1]!T.in.A[[#This Row],[Σp5]],""),"")</f>
        <v/>
      </c>
      <c r="AP1002" s="110" t="str">
        <f>IF(Tab.o1[[#This Row],[a1]]=1,IF(ISNUMBER(Tab.o1[[#This Row],[i.]]),NORMDIST(Tab.o1[[#This Row],[Za]],0,1,FALSE)*Tab.o1[[#This Row],[i.]],0),"")</f>
        <v/>
      </c>
      <c r="AQ1002" s="125" t="str">
        <f>IF(Tab.o1[[#This Row],[a1]]=1,ABS(Tab.o1[[#This Row],[MOD]]-AVERAGE(Tab.o1[MOD])),"")</f>
        <v/>
      </c>
      <c r="AR1002" s="134" t="str">
        <f>IF(Tab.o1[[#This Row],[a1]]=1,Tab.o1[[#This Row],[OBS]]/SUM(Tab.o1[OBS]),"")</f>
        <v/>
      </c>
      <c r="AS1002" s="135" t="str">
        <f>IF(ISNUMBER(Tab.o1[[#This Row],[a1]]),ROW()-4,"")</f>
        <v/>
      </c>
      <c r="AT1002" s="136" t="str">
        <f>Tab.o1[[#This Row],[MOD]]</f>
        <v/>
      </c>
      <c r="AU1002" s="137" t="str">
        <f t="shared" si="61"/>
        <v/>
      </c>
      <c r="AV1002" s="138" t="str">
        <f t="shared" si="62"/>
        <v/>
      </c>
      <c r="AW1002" s="138" t="str">
        <f t="shared" si="63"/>
        <v/>
      </c>
      <c r="AX1002" s="139" t="str">
        <f>[1]!T.in.A[[#This Row],[ID_T_manu]]</f>
        <v/>
      </c>
      <c r="AY1002" s="140" t="str">
        <f>IF(ISNUMBER(Tab.o1[[#This Row],[a1]]),IF(AND(Tab.o1[[#This Row],[a1]]=1,Tab.o1[[#This Row],[b1]]&lt;=AY$4),#REF!,AY1001),"")</f>
        <v/>
      </c>
      <c r="AZ1002" s="25"/>
      <c r="BA1002" s="25"/>
      <c r="BB1002" s="25"/>
      <c r="BC1002" s="25"/>
      <c r="BD1002" s="25"/>
      <c r="BE1002" s="25"/>
      <c r="BF1002" s="25"/>
      <c r="BG1002" s="25"/>
      <c r="BH1002" s="25"/>
      <c r="BI1002" s="25"/>
      <c r="BJ1002" s="25"/>
      <c r="BK1002" s="25"/>
      <c r="BL1002" s="25"/>
      <c r="BM1002" s="25"/>
      <c r="BN1002" s="26"/>
      <c r="BO1002" s="26"/>
      <c r="BP1002" s="26"/>
      <c r="BQ1002" s="26"/>
      <c r="BR1002" s="26"/>
      <c r="BS1002" s="26"/>
      <c r="BT1002" s="26"/>
      <c r="BU1002" s="26"/>
      <c r="BV1002" s="26"/>
      <c r="BW1002" s="26"/>
      <c r="BX1002" s="26"/>
      <c r="BY1002" s="26"/>
      <c r="BZ1002" s="26"/>
      <c r="CA1002" s="26"/>
    </row>
    <row r="1003" spans="1:79" ht="15.75" hidden="1">
      <c r="A1003" s="109">
        <v>-2.0000000000000003E-6</v>
      </c>
      <c r="B1003" s="110">
        <f t="shared" si="60"/>
        <v>1003</v>
      </c>
      <c r="C1003" s="111" t="str">
        <f>IF(C$1=[1]!T.in.A[[#This Row],[oo2]],1,"")</f>
        <v/>
      </c>
      <c r="D1003" s="112" t="str">
        <f>IF(Tab.o1[[#This Row],[a1]]=1,IF(SUM(C1003:C1004)=0,0,IF(SUM(C1002:C1003)=1,1,IF(SUM(C1002:C1004)&gt;1,D1002+1,0))),"")</f>
        <v/>
      </c>
      <c r="E1003" s="113" t="str">
        <f>IF(Tab.o1[[#This Row],[a1]]=1,[1]!T.in.A[[#This Row],[oo1]],"")</f>
        <v/>
      </c>
      <c r="F1003" s="113" t="str">
        <f>IF(Tab.o1[[#This Row],[a1]]=1,[1]!T.in.A[[#This Row],[pp1]],"")</f>
        <v/>
      </c>
      <c r="G1003" s="114" t="str">
        <f>IF(Tab.o1[[#This Row],[a1]]=1,G$2+IF(G$1=1,0,Tab.o1[[#This Row],[.x1]])+[1]!T.in.A[[#This Row],[oo3]],"")</f>
        <v/>
      </c>
      <c r="H1003" s="115" t="str">
        <f>IF(Tab.o1[[#This Row],[a1]]=1,IF(H$2=0,0,IF(G$1=1,0,Tab.o1[[#This Row],[.x1]])+[1]!T.in.A[[#This Row],[oo4]]),"")</f>
        <v/>
      </c>
      <c r="I1003" s="116" t="str">
        <f>IF(Tab.o1[[#This Row],[a1]]=1,IF(J$2=0,Tab.o1[[#This Row],[MED]],Tab.o1[[#This Row],[MOD]]),"")</f>
        <v/>
      </c>
      <c r="J1003" s="116" t="str">
        <f>IF(Tab.o1[[#This Row],[a1]]=1,((Tab.o1[[#This Row],[DIF_Target.]]-AVERAGE(Tab.o1[DIF_Target.]))/_xlfn.STDEV.P(Tab.o1[DIF_Target.])),"")</f>
        <v/>
      </c>
      <c r="K1003" s="117" t="str">
        <f>IF(Tab.o1[[#This Row],[a1]]=1,IF(J$2=0,Tab.o1[[#This Row],[MOD]]-Tab.o1[[#This Row],[B]],IF(J$2=1,0,-Tab.o1[[#This Row],[MED]])+Tab.o1[[#This Row],[B]]),"")</f>
        <v/>
      </c>
      <c r="L1003" s="117" t="str">
        <f ca="1">IF(Tab.o1[[#This Row],[DIF_Target]]=0,IF(L$2=0,Tab.o1[[#This Row],[DIF_Target]],AVERAGE(OFFSET(Tab.o1[[#This Row],[DIF_Target]],1,0,L$3,1)))/3,Tab.o1[[#This Row],[DIF_Target]])</f>
        <v/>
      </c>
      <c r="M1003" s="118" t="str">
        <f>IF(Tab.o1[[#This Row],[a1]]=1,NORMSDIST(Tab.o1[[#This Row],[Za]]),"")</f>
        <v/>
      </c>
      <c r="N1003" s="119" t="str">
        <f>IF(Tab.o1[[#This Row],[a1]]=1,((Tab.o1[[#This Row],[MedMod]]-AVERAGE(Tab.o1[MedMod]))/_xlfn.STDEV.P(Tab.o1[MedMod])*H$1205)+G$1205,"")</f>
        <v/>
      </c>
      <c r="O1003" s="141" t="str">
        <f>IF(Tab.o1[[#This Row],[a1]]=1,Tab.o1[[#This Row],[Zb]]*_xlfn.STDEV.P(Tab.o1[MedMod])+AVERAGE(Tab.o1[MedMod]),"")</f>
        <v/>
      </c>
      <c r="P1003" s="117" t="str">
        <f ca="1">IF(Tab.o1[[#This Row],[B]]=0,AVERAGE(OFFSET(Tab.o1[[#This Row],[B]],1,0,L$3,1)),Tab.o1[[#This Row],[B]])</f>
        <v/>
      </c>
      <c r="Q1003" s="121" t="str">
        <f>IF(Tab.o1[[#This Row],[a1]]=1,NORMSDIST(Tab.o1[[#This Row],[Zb]]),"")</f>
        <v/>
      </c>
      <c r="R1003" s="122" t="str">
        <f>IF(Tab.o1[[#This Row],[a1]]=1,((Tab.o1[[#This Row],[MedMod]]-AVERAGE(Tab.o1[MedMod]))/_xlfn.STDEV.P(Tab.o1[MedMod])*H$1203)+G$1203,"")</f>
        <v/>
      </c>
      <c r="S1003" s="122" t="str">
        <f>IF(Tab.o1[[#This Row],[a1]]=1,((Tab.o1[[#This Row],[MedMod]]-AVERAGE(Tab.o1[MedMod]))/_xlfn.STDEV.P(Tab.o1[MedMod])*H$1204)+G$1204,"")</f>
        <v/>
      </c>
      <c r="T1003" s="123" t="str">
        <f>IF(Tab.o1[[#This Row],[a1]]=1,Tab.o1[[#This Row],[Z-]]*_xlfn.STDEV.P(Tab.o1[B])+AVERAGE(Tab.o1[B]),"")</f>
        <v/>
      </c>
      <c r="U1003" s="123" t="str">
        <f>IF(Tab.o1[[#This Row],[a1]]=1,Tab.o1[[#This Row],[z+]]*_xlfn.STDEV.P(Tab.o1[B])+AVERAGE(Tab.o1[B]),"")</f>
        <v/>
      </c>
      <c r="V1003" s="124" t="str">
        <f>IF(Tab.o1[[#This Row],[a1]]=1,ABS((ABS(Tab.o1[[#This Row],[Red]]-Tab.o1[[#This Row],[Blue]]))),"")</f>
        <v/>
      </c>
      <c r="W1003" s="125" t="str">
        <f>IF(Tab.o1[[#This Row],[a1]]=1,IF(W$3=0,1,Tab.o1[[#This Row],[Amp.]]*1/_xlfn.MINIFS(Tab.o1[Amp.],Tab.o1[Amp.],"&lt;&gt;0")),"")</f>
        <v/>
      </c>
      <c r="X1003" s="126" t="str">
        <f>IF(Tab.o1[[#This Row],[a1]]=1,IF(ISNUMBER(Tab.o1[[#This Row],[i.]]),NORMDIST(Tab.o1[[#This Row],[Za]],0,1,FALSE)*Tab.o1[[#This Row],[i.]],AP$3),"")</f>
        <v/>
      </c>
      <c r="Y1003" s="126" t="str">
        <f>IF(Tab.o1[[#This Row],[a1]]=1,0.01+0.94*Tab.o1[[#This Row],[PDF]]/MAX(Tab.o1[PDF]),"")</f>
        <v/>
      </c>
      <c r="Z1003" s="126" t="str">
        <f>IF(Tab.o1[[#This Row],[a1]]=1,0.01+0.94*Tab.o1[[#This Row],[W1_PDF]]/MAX(Tab.o1[W1_PDF]),"")</f>
        <v/>
      </c>
      <c r="AA1003" s="118" t="str">
        <f>IF(Tab.o1[[#This Row],[a1]]=1,ABS([1]!T.in.A[[#This Row],[oo6]]),"")</f>
        <v/>
      </c>
      <c r="AB1003" s="127" t="str">
        <f>IF(Tab.o1[[#This Row],[a1]]=1,IF(AE$3=0,"",IF(AB$3=0,ABS([1]!T.in.A[[#This Row],[oo9]]),ABS(Tab.o1[[#This Row],[DIF_Target.]]*Tab.o1[[#This Row],[W1_PDF]]))),"")</f>
        <v/>
      </c>
      <c r="AC1003" s="127" t="str">
        <f>IF(G$1=1,"",IF(Tab.o1[[#This Row],[a1]]=1,Tab.o1[[#This Row],[Wr]]^2,""))</f>
        <v/>
      </c>
      <c r="AD1003" s="118" t="str">
        <f>IF(Tab.o1[[#This Row],[a1]]=1,IF(AE$3=0,"",Tab.o1[[#This Row],[Wr2]]/SUM(Tab.o1[Wr2])),"")</f>
        <v/>
      </c>
      <c r="AE1003" s="128" t="str">
        <f>IF(Tab.o1[[#This Row],[a1]]=1,[1]!T.in.A[[#This Row],[oo10]],"")</f>
        <v/>
      </c>
      <c r="AF1003" s="118" t="str">
        <f>IF(Tab.o1[[#This Row],[a1]]=1,ABS(Tab.o1[[#This Row],[DIF_Target.]]*Tab.o1[[#This Row],[PDF2]]*Tab.o1[[#This Row],[IN]]),"")</f>
        <v/>
      </c>
      <c r="AG1003" s="129" t="str">
        <f>IF(Tab.o1[[#This Row],[a1]]=1,Tab.o1[[#This Row],[rW]]^2,"")</f>
        <v/>
      </c>
      <c r="AH1003" s="130" t="str">
        <f>IF(Tab.o1[[#This Row],[a1]]=1,IF(AH$3=0,Tab.o1[[#This Row],[rW2]],0.01+0.94*Tab.o1[[#This Row],[rW2]]/SUM(Tab.o1[rW2])),"")</f>
        <v/>
      </c>
      <c r="AI1003" s="128" t="str">
        <f>IF(Tab.o1[[#This Row],[a1]]=1,1/Tab.o1[[#This Row],[PDF]],"")</f>
        <v/>
      </c>
      <c r="AJ1003" s="131" t="str">
        <f>IF(Tab.o1[[#This Row],[a1]]=1,[1]!T_AA[[#This Row],[IN'']]*[1]!T_AA[[#This Row],[Qde'']],"")</f>
        <v/>
      </c>
      <c r="AK1003" s="132" t="str">
        <f>IF(Tab.o1[[#This Row],[a1]]=1,IF(AK$1=1,Tab.o1[[#This Row],[MED]]+Tab.o1[[#This Row],[MOD]]-Tab.o1[[#This Row],[MED]],""),"")</f>
        <v/>
      </c>
      <c r="AL1003" s="133" t="str">
        <f>IF(Tab.o1[[#This Row],[a1]]=1,[1]!T.in.A[[#This Row],[oo16]],"")</f>
        <v/>
      </c>
      <c r="AM1003" s="133" t="str">
        <f>IF(Tab.o1[[#This Row],[a1]]=1,IF(AM$3=1,[1]!T.in.A[[#This Row],[Σo16]],""),"")</f>
        <v/>
      </c>
      <c r="AN1003" s="126" t="str">
        <f>IF(Tab.o1[[#This Row],[a1]]=1,[1]!T.in.A[[#This Row],[Σp5]],"")</f>
        <v/>
      </c>
      <c r="AO1003" s="126" t="str">
        <f>IF(Tab.o1[[#This Row],[a1]]=1,IF(AO$3=1,[1]!T.in.A[[#This Row],[Σp5]],""),"")</f>
        <v/>
      </c>
      <c r="AP1003" s="110" t="str">
        <f>IF(Tab.o1[[#This Row],[a1]]=1,IF(ISNUMBER(Tab.o1[[#This Row],[i.]]),NORMDIST(Tab.o1[[#This Row],[Za]],0,1,FALSE)*Tab.o1[[#This Row],[i.]],0),"")</f>
        <v/>
      </c>
      <c r="AQ1003" s="125" t="str">
        <f>IF(Tab.o1[[#This Row],[a1]]=1,ABS(Tab.o1[[#This Row],[MOD]]-AVERAGE(Tab.o1[MOD])),"")</f>
        <v/>
      </c>
      <c r="AR1003" s="134" t="str">
        <f>IF(Tab.o1[[#This Row],[a1]]=1,Tab.o1[[#This Row],[OBS]]/SUM(Tab.o1[OBS]),"")</f>
        <v/>
      </c>
      <c r="AS1003" s="135" t="str">
        <f>IF(ISNUMBER(Tab.o1[[#This Row],[a1]]),ROW()-4,"")</f>
        <v/>
      </c>
      <c r="AT1003" s="136" t="str">
        <f>Tab.o1[[#This Row],[MOD]]</f>
        <v/>
      </c>
      <c r="AU1003" s="137" t="str">
        <f t="shared" si="61"/>
        <v/>
      </c>
      <c r="AV1003" s="138" t="str">
        <f t="shared" si="62"/>
        <v/>
      </c>
      <c r="AW1003" s="138" t="str">
        <f t="shared" si="63"/>
        <v/>
      </c>
      <c r="AX1003" s="139" t="str">
        <f>[1]!T.in.A[[#This Row],[ID_T_manu]]</f>
        <v/>
      </c>
      <c r="AY1003" s="140" t="str">
        <f>IF(ISNUMBER(Tab.o1[[#This Row],[a1]]),IF(AND(Tab.o1[[#This Row],[a1]]=1,Tab.o1[[#This Row],[b1]]&lt;=AY$4),#REF!,AY1002),"")</f>
        <v/>
      </c>
      <c r="AZ1003" s="25"/>
      <c r="BA1003" s="25"/>
      <c r="BB1003" s="25"/>
      <c r="BC1003" s="25"/>
      <c r="BD1003" s="25"/>
      <c r="BE1003" s="25"/>
      <c r="BF1003" s="25"/>
      <c r="BG1003" s="25"/>
      <c r="BH1003" s="25"/>
      <c r="BI1003" s="25"/>
      <c r="BJ1003" s="25"/>
      <c r="BK1003" s="25"/>
      <c r="BL1003" s="25"/>
      <c r="BM1003" s="25"/>
      <c r="BN1003" s="26"/>
      <c r="BO1003" s="26"/>
      <c r="BP1003" s="26"/>
      <c r="BQ1003" s="26"/>
      <c r="BR1003" s="26"/>
      <c r="BS1003" s="26"/>
      <c r="BT1003" s="26"/>
      <c r="BU1003" s="26"/>
      <c r="BV1003" s="26"/>
      <c r="BW1003" s="26"/>
      <c r="BX1003" s="26"/>
      <c r="BY1003" s="26"/>
      <c r="BZ1003" s="26"/>
      <c r="CA1003" s="26"/>
    </row>
    <row r="1004" spans="1:79" ht="15.75" hidden="1">
      <c r="A1004" s="109">
        <v>9.0000000000000002E-6</v>
      </c>
      <c r="B1004" s="110">
        <f t="shared" si="60"/>
        <v>1004</v>
      </c>
      <c r="C1004" s="111" t="str">
        <f>IF(C$1=[1]!T.in.A[[#This Row],[oo2]],1,"")</f>
        <v/>
      </c>
      <c r="D1004" s="112" t="str">
        <f>IF(Tab.o1[[#This Row],[a1]]=1,IF(SUM(C1004:C1005)=0,0,IF(SUM(C1003:C1004)=1,1,IF(SUM(C1003:C1005)&gt;1,D1003+1,0))),"")</f>
        <v/>
      </c>
      <c r="E1004" s="113" t="str">
        <f>IF(Tab.o1[[#This Row],[a1]]=1,[1]!T.in.A[[#This Row],[oo1]],"")</f>
        <v/>
      </c>
      <c r="F1004" s="113" t="str">
        <f>IF(Tab.o1[[#This Row],[a1]]=1,[1]!T.in.A[[#This Row],[pp1]],"")</f>
        <v/>
      </c>
      <c r="G1004" s="114" t="str">
        <f>IF(Tab.o1[[#This Row],[a1]]=1,G$2+IF(G$1=1,0,Tab.o1[[#This Row],[.x1]])+[1]!T.in.A[[#This Row],[oo3]],"")</f>
        <v/>
      </c>
      <c r="H1004" s="115" t="str">
        <f>IF(Tab.o1[[#This Row],[a1]]=1,IF(H$2=0,0,IF(G$1=1,0,Tab.o1[[#This Row],[.x1]])+[1]!T.in.A[[#This Row],[oo4]]),"")</f>
        <v/>
      </c>
      <c r="I1004" s="116" t="str">
        <f>IF(Tab.o1[[#This Row],[a1]]=1,IF(J$2=0,Tab.o1[[#This Row],[MED]],Tab.o1[[#This Row],[MOD]]),"")</f>
        <v/>
      </c>
      <c r="J1004" s="116" t="str">
        <f>IF(Tab.o1[[#This Row],[a1]]=1,((Tab.o1[[#This Row],[DIF_Target.]]-AVERAGE(Tab.o1[DIF_Target.]))/_xlfn.STDEV.P(Tab.o1[DIF_Target.])),"")</f>
        <v/>
      </c>
      <c r="K1004" s="117" t="str">
        <f>IF(Tab.o1[[#This Row],[a1]]=1,IF(J$2=0,Tab.o1[[#This Row],[MOD]]-Tab.o1[[#This Row],[B]],IF(J$2=1,0,-Tab.o1[[#This Row],[MED]])+Tab.o1[[#This Row],[B]]),"")</f>
        <v/>
      </c>
      <c r="L1004" s="117" t="str">
        <f ca="1">IF(Tab.o1[[#This Row],[DIF_Target]]=0,IF(L$2=0,Tab.o1[[#This Row],[DIF_Target]],AVERAGE(OFFSET(Tab.o1[[#This Row],[DIF_Target]],1,0,L$3,1)))/3,Tab.o1[[#This Row],[DIF_Target]])</f>
        <v/>
      </c>
      <c r="M1004" s="118" t="str">
        <f>IF(Tab.o1[[#This Row],[a1]]=1,NORMSDIST(Tab.o1[[#This Row],[Za]]),"")</f>
        <v/>
      </c>
      <c r="N1004" s="119" t="str">
        <f>IF(Tab.o1[[#This Row],[a1]]=1,((Tab.o1[[#This Row],[MedMod]]-AVERAGE(Tab.o1[MedMod]))/_xlfn.STDEV.P(Tab.o1[MedMod])*H$1205)+G$1205,"")</f>
        <v/>
      </c>
      <c r="O1004" s="141" t="str">
        <f>IF(Tab.o1[[#This Row],[a1]]=1,Tab.o1[[#This Row],[Zb]]*_xlfn.STDEV.P(Tab.o1[MedMod])+AVERAGE(Tab.o1[MedMod]),"")</f>
        <v/>
      </c>
      <c r="P1004" s="117" t="str">
        <f ca="1">IF(Tab.o1[[#This Row],[B]]=0,AVERAGE(OFFSET(Tab.o1[[#This Row],[B]],1,0,L$3,1)),Tab.o1[[#This Row],[B]])</f>
        <v/>
      </c>
      <c r="Q1004" s="121" t="str">
        <f>IF(Tab.o1[[#This Row],[a1]]=1,NORMSDIST(Tab.o1[[#This Row],[Zb]]),"")</f>
        <v/>
      </c>
      <c r="R1004" s="122" t="str">
        <f>IF(Tab.o1[[#This Row],[a1]]=1,((Tab.o1[[#This Row],[MedMod]]-AVERAGE(Tab.o1[MedMod]))/_xlfn.STDEV.P(Tab.o1[MedMod])*H$1203)+G$1203,"")</f>
        <v/>
      </c>
      <c r="S1004" s="122" t="str">
        <f>IF(Tab.o1[[#This Row],[a1]]=1,((Tab.o1[[#This Row],[MedMod]]-AVERAGE(Tab.o1[MedMod]))/_xlfn.STDEV.P(Tab.o1[MedMod])*H$1204)+G$1204,"")</f>
        <v/>
      </c>
      <c r="T1004" s="123" t="str">
        <f>IF(Tab.o1[[#This Row],[a1]]=1,Tab.o1[[#This Row],[Z-]]*_xlfn.STDEV.P(Tab.o1[B])+AVERAGE(Tab.o1[B]),"")</f>
        <v/>
      </c>
      <c r="U1004" s="123" t="str">
        <f>IF(Tab.o1[[#This Row],[a1]]=1,Tab.o1[[#This Row],[z+]]*_xlfn.STDEV.P(Tab.o1[B])+AVERAGE(Tab.o1[B]),"")</f>
        <v/>
      </c>
      <c r="V1004" s="124" t="str">
        <f>IF(Tab.o1[[#This Row],[a1]]=1,ABS((ABS(Tab.o1[[#This Row],[Red]]-Tab.o1[[#This Row],[Blue]]))),"")</f>
        <v/>
      </c>
      <c r="W1004" s="125" t="str">
        <f>IF(Tab.o1[[#This Row],[a1]]=1,IF(W$3=0,1,Tab.o1[[#This Row],[Amp.]]*1/_xlfn.MINIFS(Tab.o1[Amp.],Tab.o1[Amp.],"&lt;&gt;0")),"")</f>
        <v/>
      </c>
      <c r="X1004" s="126" t="str">
        <f>IF(Tab.o1[[#This Row],[a1]]=1,IF(ISNUMBER(Tab.o1[[#This Row],[i.]]),NORMDIST(Tab.o1[[#This Row],[Za]],0,1,FALSE)*Tab.o1[[#This Row],[i.]],AP$3),"")</f>
        <v/>
      </c>
      <c r="Y1004" s="126" t="str">
        <f>IF(Tab.o1[[#This Row],[a1]]=1,0.01+0.94*Tab.o1[[#This Row],[PDF]]/MAX(Tab.o1[PDF]),"")</f>
        <v/>
      </c>
      <c r="Z1004" s="126" t="str">
        <f>IF(Tab.o1[[#This Row],[a1]]=1,0.01+0.94*Tab.o1[[#This Row],[W1_PDF]]/MAX(Tab.o1[W1_PDF]),"")</f>
        <v/>
      </c>
      <c r="AA1004" s="118" t="str">
        <f>IF(Tab.o1[[#This Row],[a1]]=1,ABS([1]!T.in.A[[#This Row],[oo6]]),"")</f>
        <v/>
      </c>
      <c r="AB1004" s="127" t="str">
        <f>IF(Tab.o1[[#This Row],[a1]]=1,IF(AE$3=0,"",IF(AB$3=0,ABS([1]!T.in.A[[#This Row],[oo9]]),ABS(Tab.o1[[#This Row],[DIF_Target.]]*Tab.o1[[#This Row],[W1_PDF]]))),"")</f>
        <v/>
      </c>
      <c r="AC1004" s="127" t="str">
        <f>IF(G$1=1,"",IF(Tab.o1[[#This Row],[a1]]=1,Tab.o1[[#This Row],[Wr]]^2,""))</f>
        <v/>
      </c>
      <c r="AD1004" s="118" t="str">
        <f>IF(Tab.o1[[#This Row],[a1]]=1,IF(AE$3=0,"",Tab.o1[[#This Row],[Wr2]]/SUM(Tab.o1[Wr2])),"")</f>
        <v/>
      </c>
      <c r="AE1004" s="128" t="str">
        <f>IF(Tab.o1[[#This Row],[a1]]=1,[1]!T.in.A[[#This Row],[oo10]],"")</f>
        <v/>
      </c>
      <c r="AF1004" s="118" t="str">
        <f>IF(Tab.o1[[#This Row],[a1]]=1,ABS(Tab.o1[[#This Row],[DIF_Target.]]*Tab.o1[[#This Row],[PDF2]]*Tab.o1[[#This Row],[IN]]),"")</f>
        <v/>
      </c>
      <c r="AG1004" s="129" t="str">
        <f>IF(Tab.o1[[#This Row],[a1]]=1,Tab.o1[[#This Row],[rW]]^2,"")</f>
        <v/>
      </c>
      <c r="AH1004" s="130" t="str">
        <f>IF(Tab.o1[[#This Row],[a1]]=1,IF(AH$3=0,Tab.o1[[#This Row],[rW2]],0.01+0.94*Tab.o1[[#This Row],[rW2]]/SUM(Tab.o1[rW2])),"")</f>
        <v/>
      </c>
      <c r="AI1004" s="128" t="str">
        <f>IF(Tab.o1[[#This Row],[a1]]=1,1/Tab.o1[[#This Row],[PDF]],"")</f>
        <v/>
      </c>
      <c r="AJ1004" s="131" t="str">
        <f>IF(Tab.o1[[#This Row],[a1]]=1,[1]!T_AA[[#This Row],[IN'']]*[1]!T_AA[[#This Row],[Qde'']],"")</f>
        <v/>
      </c>
      <c r="AK1004" s="132" t="str">
        <f>IF(Tab.o1[[#This Row],[a1]]=1,IF(AK$1=1,Tab.o1[[#This Row],[MED]]+Tab.o1[[#This Row],[MOD]]-Tab.o1[[#This Row],[MED]],""),"")</f>
        <v/>
      </c>
      <c r="AL1004" s="133" t="str">
        <f>IF(Tab.o1[[#This Row],[a1]]=1,[1]!T.in.A[[#This Row],[oo16]],"")</f>
        <v/>
      </c>
      <c r="AM1004" s="133" t="str">
        <f>IF(Tab.o1[[#This Row],[a1]]=1,IF(AM$3=1,[1]!T.in.A[[#This Row],[Σo16]],""),"")</f>
        <v/>
      </c>
      <c r="AN1004" s="126" t="str">
        <f>IF(Tab.o1[[#This Row],[a1]]=1,[1]!T.in.A[[#This Row],[Σp5]],"")</f>
        <v/>
      </c>
      <c r="AO1004" s="126" t="str">
        <f>IF(Tab.o1[[#This Row],[a1]]=1,IF(AO$3=1,[1]!T.in.A[[#This Row],[Σp5]],""),"")</f>
        <v/>
      </c>
      <c r="AP1004" s="110" t="str">
        <f>IF(Tab.o1[[#This Row],[a1]]=1,IF(ISNUMBER(Tab.o1[[#This Row],[i.]]),NORMDIST(Tab.o1[[#This Row],[Za]],0,1,FALSE)*Tab.o1[[#This Row],[i.]],0),"")</f>
        <v/>
      </c>
      <c r="AQ1004" s="125" t="str">
        <f>IF(Tab.o1[[#This Row],[a1]]=1,ABS(Tab.o1[[#This Row],[MOD]]-AVERAGE(Tab.o1[MOD])),"")</f>
        <v/>
      </c>
      <c r="AR1004" s="134" t="str">
        <f>IF(Tab.o1[[#This Row],[a1]]=1,Tab.o1[[#This Row],[OBS]]/SUM(Tab.o1[OBS]),"")</f>
        <v/>
      </c>
      <c r="AS1004" s="135" t="str">
        <f>IF(ISNUMBER(Tab.o1[[#This Row],[a1]]),ROW()-4,"")</f>
        <v/>
      </c>
      <c r="AT1004" s="136" t="str">
        <f>Tab.o1[[#This Row],[MOD]]</f>
        <v/>
      </c>
      <c r="AU1004" s="137" t="str">
        <f t="shared" si="61"/>
        <v/>
      </c>
      <c r="AV1004" s="138" t="str">
        <f t="shared" si="62"/>
        <v/>
      </c>
      <c r="AW1004" s="138" t="str">
        <f t="shared" si="63"/>
        <v/>
      </c>
      <c r="AX1004" s="139" t="str">
        <f>[1]!T.in.A[[#This Row],[ID_T_manu]]</f>
        <v/>
      </c>
      <c r="AY1004" s="140" t="str">
        <f>IF(ISNUMBER(Tab.o1[[#This Row],[a1]]),IF(AND(Tab.o1[[#This Row],[a1]]=1,Tab.o1[[#This Row],[b1]]&lt;=AY$4),#REF!,AY1003),"")</f>
        <v/>
      </c>
      <c r="AZ1004" s="25"/>
      <c r="BA1004" s="25"/>
      <c r="BB1004" s="25"/>
      <c r="BC1004" s="25"/>
      <c r="BD1004" s="25"/>
      <c r="BE1004" s="25"/>
      <c r="BF1004" s="25"/>
      <c r="BG1004" s="25"/>
      <c r="BH1004" s="25"/>
      <c r="BI1004" s="25"/>
      <c r="BJ1004" s="25"/>
      <c r="BK1004" s="25"/>
      <c r="BL1004" s="25"/>
      <c r="BM1004" s="25"/>
      <c r="BN1004" s="26"/>
      <c r="BO1004" s="26"/>
      <c r="BP1004" s="26"/>
      <c r="BQ1004" s="26"/>
      <c r="BR1004" s="26"/>
      <c r="BS1004" s="26"/>
      <c r="BT1004" s="26"/>
      <c r="BU1004" s="26"/>
      <c r="BV1004" s="26"/>
      <c r="BW1004" s="26"/>
      <c r="BX1004" s="26"/>
      <c r="BY1004" s="26"/>
      <c r="BZ1004" s="26"/>
      <c r="CA1004" s="26"/>
    </row>
    <row r="1005" spans="1:79" ht="15.75" hidden="1">
      <c r="A1005" s="109">
        <v>-4.0000000000000007E-6</v>
      </c>
      <c r="B1005" s="110">
        <f t="shared" si="60"/>
        <v>1005</v>
      </c>
      <c r="C1005" s="111" t="str">
        <f>IF(C$1=[1]!T.in.A[[#This Row],[oo2]],1,"")</f>
        <v/>
      </c>
      <c r="D1005" s="112" t="str">
        <f>IF(Tab.o1[[#This Row],[a1]]=1,IF(SUM(C1005:C1006)=0,0,IF(SUM(C1004:C1005)=1,1,IF(SUM(C1004:C1006)&gt;1,D1004+1,0))),"")</f>
        <v/>
      </c>
      <c r="E1005" s="113" t="str">
        <f>IF(Tab.o1[[#This Row],[a1]]=1,[1]!T.in.A[[#This Row],[oo1]],"")</f>
        <v/>
      </c>
      <c r="F1005" s="113" t="str">
        <f>IF(Tab.o1[[#This Row],[a1]]=1,[1]!T.in.A[[#This Row],[pp1]],"")</f>
        <v/>
      </c>
      <c r="G1005" s="114" t="str">
        <f>IF(Tab.o1[[#This Row],[a1]]=1,G$2+IF(G$1=1,0,Tab.o1[[#This Row],[.x1]])+[1]!T.in.A[[#This Row],[oo3]],"")</f>
        <v/>
      </c>
      <c r="H1005" s="115" t="str">
        <f>IF(Tab.o1[[#This Row],[a1]]=1,IF(H$2=0,0,IF(G$1=1,0,Tab.o1[[#This Row],[.x1]])+[1]!T.in.A[[#This Row],[oo4]]),"")</f>
        <v/>
      </c>
      <c r="I1005" s="116" t="str">
        <f>IF(Tab.o1[[#This Row],[a1]]=1,IF(J$2=0,Tab.o1[[#This Row],[MED]],Tab.o1[[#This Row],[MOD]]),"")</f>
        <v/>
      </c>
      <c r="J1005" s="116" t="str">
        <f>IF(Tab.o1[[#This Row],[a1]]=1,((Tab.o1[[#This Row],[DIF_Target.]]-AVERAGE(Tab.o1[DIF_Target.]))/_xlfn.STDEV.P(Tab.o1[DIF_Target.])),"")</f>
        <v/>
      </c>
      <c r="K1005" s="117" t="str">
        <f>IF(Tab.o1[[#This Row],[a1]]=1,IF(J$2=0,Tab.o1[[#This Row],[MOD]]-Tab.o1[[#This Row],[B]],IF(J$2=1,0,-Tab.o1[[#This Row],[MED]])+Tab.o1[[#This Row],[B]]),"")</f>
        <v/>
      </c>
      <c r="L1005" s="117" t="str">
        <f ca="1">IF(Tab.o1[[#This Row],[DIF_Target]]=0,IF(L$2=0,Tab.o1[[#This Row],[DIF_Target]],AVERAGE(OFFSET(Tab.o1[[#This Row],[DIF_Target]],1,0,L$3,1)))/3,Tab.o1[[#This Row],[DIF_Target]])</f>
        <v/>
      </c>
      <c r="M1005" s="118" t="str">
        <f>IF(Tab.o1[[#This Row],[a1]]=1,NORMSDIST(Tab.o1[[#This Row],[Za]]),"")</f>
        <v/>
      </c>
      <c r="N1005" s="119" t="str">
        <f>IF(Tab.o1[[#This Row],[a1]]=1,((Tab.o1[[#This Row],[MedMod]]-AVERAGE(Tab.o1[MedMod]))/_xlfn.STDEV.P(Tab.o1[MedMod])*H$1205)+G$1205,"")</f>
        <v/>
      </c>
      <c r="O1005" s="141" t="str">
        <f>IF(Tab.o1[[#This Row],[a1]]=1,Tab.o1[[#This Row],[Zb]]*_xlfn.STDEV.P(Tab.o1[MedMod])+AVERAGE(Tab.o1[MedMod]),"")</f>
        <v/>
      </c>
      <c r="P1005" s="117" t="str">
        <f ca="1">IF(Tab.o1[[#This Row],[B]]=0,AVERAGE(OFFSET(Tab.o1[[#This Row],[B]],1,0,L$3,1)),Tab.o1[[#This Row],[B]])</f>
        <v/>
      </c>
      <c r="Q1005" s="121" t="str">
        <f>IF(Tab.o1[[#This Row],[a1]]=1,NORMSDIST(Tab.o1[[#This Row],[Zb]]),"")</f>
        <v/>
      </c>
      <c r="R1005" s="122" t="str">
        <f>IF(Tab.o1[[#This Row],[a1]]=1,((Tab.o1[[#This Row],[MedMod]]-AVERAGE(Tab.o1[MedMod]))/_xlfn.STDEV.P(Tab.o1[MedMod])*H$1203)+G$1203,"")</f>
        <v/>
      </c>
      <c r="S1005" s="122" t="str">
        <f>IF(Tab.o1[[#This Row],[a1]]=1,((Tab.o1[[#This Row],[MedMod]]-AVERAGE(Tab.o1[MedMod]))/_xlfn.STDEV.P(Tab.o1[MedMod])*H$1204)+G$1204,"")</f>
        <v/>
      </c>
      <c r="T1005" s="123" t="str">
        <f>IF(Tab.o1[[#This Row],[a1]]=1,Tab.o1[[#This Row],[Z-]]*_xlfn.STDEV.P(Tab.o1[B])+AVERAGE(Tab.o1[B]),"")</f>
        <v/>
      </c>
      <c r="U1005" s="123" t="str">
        <f>IF(Tab.o1[[#This Row],[a1]]=1,Tab.o1[[#This Row],[z+]]*_xlfn.STDEV.P(Tab.o1[B])+AVERAGE(Tab.o1[B]),"")</f>
        <v/>
      </c>
      <c r="V1005" s="124" t="str">
        <f>IF(Tab.o1[[#This Row],[a1]]=1,ABS((ABS(Tab.o1[[#This Row],[Red]]-Tab.o1[[#This Row],[Blue]]))),"")</f>
        <v/>
      </c>
      <c r="W1005" s="125" t="str">
        <f>IF(Tab.o1[[#This Row],[a1]]=1,IF(W$3=0,1,Tab.o1[[#This Row],[Amp.]]*1/_xlfn.MINIFS(Tab.o1[Amp.],Tab.o1[Amp.],"&lt;&gt;0")),"")</f>
        <v/>
      </c>
      <c r="X1005" s="126" t="str">
        <f>IF(Tab.o1[[#This Row],[a1]]=1,IF(ISNUMBER(Tab.o1[[#This Row],[i.]]),NORMDIST(Tab.o1[[#This Row],[Za]],0,1,FALSE)*Tab.o1[[#This Row],[i.]],AP$3),"")</f>
        <v/>
      </c>
      <c r="Y1005" s="126" t="str">
        <f>IF(Tab.o1[[#This Row],[a1]]=1,0.01+0.94*Tab.o1[[#This Row],[PDF]]/MAX(Tab.o1[PDF]),"")</f>
        <v/>
      </c>
      <c r="Z1005" s="126" t="str">
        <f>IF(Tab.o1[[#This Row],[a1]]=1,0.01+0.94*Tab.o1[[#This Row],[W1_PDF]]/MAX(Tab.o1[W1_PDF]),"")</f>
        <v/>
      </c>
      <c r="AA1005" s="118" t="str">
        <f>IF(Tab.o1[[#This Row],[a1]]=1,ABS([1]!T.in.A[[#This Row],[oo6]]),"")</f>
        <v/>
      </c>
      <c r="AB1005" s="127" t="str">
        <f>IF(Tab.o1[[#This Row],[a1]]=1,IF(AE$3=0,"",IF(AB$3=0,ABS([1]!T.in.A[[#This Row],[oo9]]),ABS(Tab.o1[[#This Row],[DIF_Target.]]*Tab.o1[[#This Row],[W1_PDF]]))),"")</f>
        <v/>
      </c>
      <c r="AC1005" s="127" t="str">
        <f>IF(G$1=1,"",IF(Tab.o1[[#This Row],[a1]]=1,Tab.o1[[#This Row],[Wr]]^2,""))</f>
        <v/>
      </c>
      <c r="AD1005" s="118" t="str">
        <f>IF(Tab.o1[[#This Row],[a1]]=1,IF(AE$3=0,"",Tab.o1[[#This Row],[Wr2]]/SUM(Tab.o1[Wr2])),"")</f>
        <v/>
      </c>
      <c r="AE1005" s="128" t="str">
        <f>IF(Tab.o1[[#This Row],[a1]]=1,[1]!T.in.A[[#This Row],[oo10]],"")</f>
        <v/>
      </c>
      <c r="AF1005" s="118" t="str">
        <f>IF(Tab.o1[[#This Row],[a1]]=1,ABS(Tab.o1[[#This Row],[DIF_Target.]]*Tab.o1[[#This Row],[PDF2]]*Tab.o1[[#This Row],[IN]]),"")</f>
        <v/>
      </c>
      <c r="AG1005" s="129" t="str">
        <f>IF(Tab.o1[[#This Row],[a1]]=1,Tab.o1[[#This Row],[rW]]^2,"")</f>
        <v/>
      </c>
      <c r="AH1005" s="130" t="str">
        <f>IF(Tab.o1[[#This Row],[a1]]=1,IF(AH$3=0,Tab.o1[[#This Row],[rW2]],0.01+0.94*Tab.o1[[#This Row],[rW2]]/SUM(Tab.o1[rW2])),"")</f>
        <v/>
      </c>
      <c r="AI1005" s="128" t="str">
        <f>IF(Tab.o1[[#This Row],[a1]]=1,1/Tab.o1[[#This Row],[PDF]],"")</f>
        <v/>
      </c>
      <c r="AJ1005" s="131" t="str">
        <f>IF(Tab.o1[[#This Row],[a1]]=1,[1]!T_AA[[#This Row],[IN'']]*[1]!T_AA[[#This Row],[Qde'']],"")</f>
        <v/>
      </c>
      <c r="AK1005" s="132" t="str">
        <f>IF(Tab.o1[[#This Row],[a1]]=1,IF(AK$1=1,Tab.o1[[#This Row],[MED]]+Tab.o1[[#This Row],[MOD]]-Tab.o1[[#This Row],[MED]],""),"")</f>
        <v/>
      </c>
      <c r="AL1005" s="133" t="str">
        <f>IF(Tab.o1[[#This Row],[a1]]=1,[1]!T.in.A[[#This Row],[oo16]],"")</f>
        <v/>
      </c>
      <c r="AM1005" s="133" t="str">
        <f>IF(Tab.o1[[#This Row],[a1]]=1,IF(AM$3=1,[1]!T.in.A[[#This Row],[Σo16]],""),"")</f>
        <v/>
      </c>
      <c r="AN1005" s="126" t="str">
        <f>IF(Tab.o1[[#This Row],[a1]]=1,[1]!T.in.A[[#This Row],[Σp5]],"")</f>
        <v/>
      </c>
      <c r="AO1005" s="126" t="str">
        <f>IF(Tab.o1[[#This Row],[a1]]=1,IF(AO$3=1,[1]!T.in.A[[#This Row],[Σp5]],""),"")</f>
        <v/>
      </c>
      <c r="AP1005" s="110" t="str">
        <f>IF(Tab.o1[[#This Row],[a1]]=1,IF(ISNUMBER(Tab.o1[[#This Row],[i.]]),NORMDIST(Tab.o1[[#This Row],[Za]],0,1,FALSE)*Tab.o1[[#This Row],[i.]],0),"")</f>
        <v/>
      </c>
      <c r="AQ1005" s="125" t="str">
        <f>IF(Tab.o1[[#This Row],[a1]]=1,ABS(Tab.o1[[#This Row],[MOD]]-AVERAGE(Tab.o1[MOD])),"")</f>
        <v/>
      </c>
      <c r="AR1005" s="134" t="str">
        <f>IF(Tab.o1[[#This Row],[a1]]=1,Tab.o1[[#This Row],[OBS]]/SUM(Tab.o1[OBS]),"")</f>
        <v/>
      </c>
      <c r="AS1005" s="135" t="str">
        <f>IF(ISNUMBER(Tab.o1[[#This Row],[a1]]),ROW()-4,"")</f>
        <v/>
      </c>
      <c r="AT1005" s="136" t="str">
        <f>Tab.o1[[#This Row],[MOD]]</f>
        <v/>
      </c>
      <c r="AU1005" s="137" t="str">
        <f t="shared" si="61"/>
        <v/>
      </c>
      <c r="AV1005" s="138" t="str">
        <f t="shared" si="62"/>
        <v/>
      </c>
      <c r="AW1005" s="138" t="str">
        <f t="shared" si="63"/>
        <v/>
      </c>
      <c r="AX1005" s="139" t="str">
        <f>[1]!T.in.A[[#This Row],[ID_T_manu]]</f>
        <v/>
      </c>
      <c r="AY1005" s="140" t="str">
        <f>IF(ISNUMBER(Tab.o1[[#This Row],[a1]]),IF(AND(Tab.o1[[#This Row],[a1]]=1,Tab.o1[[#This Row],[b1]]&lt;=AY$4),#REF!,AY1004),"")</f>
        <v/>
      </c>
      <c r="AZ1005" s="25"/>
      <c r="BA1005" s="25"/>
      <c r="BB1005" s="25"/>
      <c r="BC1005" s="25"/>
      <c r="BD1005" s="25"/>
      <c r="BE1005" s="25"/>
      <c r="BF1005" s="25"/>
      <c r="BG1005" s="25"/>
      <c r="BH1005" s="25"/>
      <c r="BI1005" s="25"/>
      <c r="BJ1005" s="25"/>
      <c r="BK1005" s="25"/>
      <c r="BL1005" s="25"/>
      <c r="BM1005" s="25"/>
      <c r="BN1005" s="26"/>
      <c r="BO1005" s="26"/>
      <c r="BP1005" s="26"/>
      <c r="BQ1005" s="26"/>
      <c r="BR1005" s="26"/>
      <c r="BS1005" s="26"/>
      <c r="BT1005" s="26"/>
      <c r="BU1005" s="26"/>
      <c r="BV1005" s="26"/>
      <c r="BW1005" s="26"/>
      <c r="BX1005" s="26"/>
      <c r="BY1005" s="26"/>
      <c r="BZ1005" s="26"/>
      <c r="CA1005" s="26"/>
    </row>
    <row r="1006" spans="1:79" ht="15.75" hidden="1">
      <c r="A1006" s="109">
        <v>9.0000000000000002E-6</v>
      </c>
      <c r="B1006" s="110">
        <f t="shared" si="60"/>
        <v>1006</v>
      </c>
      <c r="C1006" s="111" t="str">
        <f>IF(C$1=[1]!T.in.A[[#This Row],[oo2]],1,"")</f>
        <v/>
      </c>
      <c r="D1006" s="112" t="str">
        <f>IF(Tab.o1[[#This Row],[a1]]=1,IF(SUM(C1006:C1007)=0,0,IF(SUM(C1005:C1006)=1,1,IF(SUM(C1005:C1007)&gt;1,D1005+1,0))),"")</f>
        <v/>
      </c>
      <c r="E1006" s="113" t="str">
        <f>IF(Tab.o1[[#This Row],[a1]]=1,[1]!T.in.A[[#This Row],[oo1]],"")</f>
        <v/>
      </c>
      <c r="F1006" s="113" t="str">
        <f>IF(Tab.o1[[#This Row],[a1]]=1,[1]!T.in.A[[#This Row],[pp1]],"")</f>
        <v/>
      </c>
      <c r="G1006" s="114" t="str">
        <f>IF(Tab.o1[[#This Row],[a1]]=1,G$2+IF(G$1=1,0,Tab.o1[[#This Row],[.x1]])+[1]!T.in.A[[#This Row],[oo3]],"")</f>
        <v/>
      </c>
      <c r="H1006" s="115" t="str">
        <f>IF(Tab.o1[[#This Row],[a1]]=1,IF(H$2=0,0,IF(G$1=1,0,Tab.o1[[#This Row],[.x1]])+[1]!T.in.A[[#This Row],[oo4]]),"")</f>
        <v/>
      </c>
      <c r="I1006" s="116" t="str">
        <f>IF(Tab.o1[[#This Row],[a1]]=1,IF(J$2=0,Tab.o1[[#This Row],[MED]],Tab.o1[[#This Row],[MOD]]),"")</f>
        <v/>
      </c>
      <c r="J1006" s="116" t="str">
        <f>IF(Tab.o1[[#This Row],[a1]]=1,((Tab.o1[[#This Row],[DIF_Target.]]-AVERAGE(Tab.o1[DIF_Target.]))/_xlfn.STDEV.P(Tab.o1[DIF_Target.])),"")</f>
        <v/>
      </c>
      <c r="K1006" s="117" t="str">
        <f>IF(Tab.o1[[#This Row],[a1]]=1,IF(J$2=0,Tab.o1[[#This Row],[MOD]]-Tab.o1[[#This Row],[B]],IF(J$2=1,0,-Tab.o1[[#This Row],[MED]])+Tab.o1[[#This Row],[B]]),"")</f>
        <v/>
      </c>
      <c r="L1006" s="117" t="str">
        <f ca="1">IF(Tab.o1[[#This Row],[DIF_Target]]=0,IF(L$2=0,Tab.o1[[#This Row],[DIF_Target]],AVERAGE(OFFSET(Tab.o1[[#This Row],[DIF_Target]],1,0,L$3,1)))/3,Tab.o1[[#This Row],[DIF_Target]])</f>
        <v/>
      </c>
      <c r="M1006" s="118" t="str">
        <f>IF(Tab.o1[[#This Row],[a1]]=1,NORMSDIST(Tab.o1[[#This Row],[Za]]),"")</f>
        <v/>
      </c>
      <c r="N1006" s="119" t="str">
        <f>IF(Tab.o1[[#This Row],[a1]]=1,((Tab.o1[[#This Row],[MedMod]]-AVERAGE(Tab.o1[MedMod]))/_xlfn.STDEV.P(Tab.o1[MedMod])*H$1205)+G$1205,"")</f>
        <v/>
      </c>
      <c r="O1006" s="141" t="str">
        <f>IF(Tab.o1[[#This Row],[a1]]=1,Tab.o1[[#This Row],[Zb]]*_xlfn.STDEV.P(Tab.o1[MedMod])+AVERAGE(Tab.o1[MedMod]),"")</f>
        <v/>
      </c>
      <c r="P1006" s="117" t="str">
        <f ca="1">IF(Tab.o1[[#This Row],[B]]=0,AVERAGE(OFFSET(Tab.o1[[#This Row],[B]],1,0,L$3,1)),Tab.o1[[#This Row],[B]])</f>
        <v/>
      </c>
      <c r="Q1006" s="121" t="str">
        <f>IF(Tab.o1[[#This Row],[a1]]=1,NORMSDIST(Tab.o1[[#This Row],[Zb]]),"")</f>
        <v/>
      </c>
      <c r="R1006" s="122" t="str">
        <f>IF(Tab.o1[[#This Row],[a1]]=1,((Tab.o1[[#This Row],[MedMod]]-AVERAGE(Tab.o1[MedMod]))/_xlfn.STDEV.P(Tab.o1[MedMod])*H$1203)+G$1203,"")</f>
        <v/>
      </c>
      <c r="S1006" s="122" t="str">
        <f>IF(Tab.o1[[#This Row],[a1]]=1,((Tab.o1[[#This Row],[MedMod]]-AVERAGE(Tab.o1[MedMod]))/_xlfn.STDEV.P(Tab.o1[MedMod])*H$1204)+G$1204,"")</f>
        <v/>
      </c>
      <c r="T1006" s="123" t="str">
        <f>IF(Tab.o1[[#This Row],[a1]]=1,Tab.o1[[#This Row],[Z-]]*_xlfn.STDEV.P(Tab.o1[B])+AVERAGE(Tab.o1[B]),"")</f>
        <v/>
      </c>
      <c r="U1006" s="123" t="str">
        <f>IF(Tab.o1[[#This Row],[a1]]=1,Tab.o1[[#This Row],[z+]]*_xlfn.STDEV.P(Tab.o1[B])+AVERAGE(Tab.o1[B]),"")</f>
        <v/>
      </c>
      <c r="V1006" s="124" t="str">
        <f>IF(Tab.o1[[#This Row],[a1]]=1,ABS((ABS(Tab.o1[[#This Row],[Red]]-Tab.o1[[#This Row],[Blue]]))),"")</f>
        <v/>
      </c>
      <c r="W1006" s="125" t="str">
        <f>IF(Tab.o1[[#This Row],[a1]]=1,IF(W$3=0,1,Tab.o1[[#This Row],[Amp.]]*1/_xlfn.MINIFS(Tab.o1[Amp.],Tab.o1[Amp.],"&lt;&gt;0")),"")</f>
        <v/>
      </c>
      <c r="X1006" s="126" t="str">
        <f>IF(Tab.o1[[#This Row],[a1]]=1,IF(ISNUMBER(Tab.o1[[#This Row],[i.]]),NORMDIST(Tab.o1[[#This Row],[Za]],0,1,FALSE)*Tab.o1[[#This Row],[i.]],AP$3),"")</f>
        <v/>
      </c>
      <c r="Y1006" s="126" t="str">
        <f>IF(Tab.o1[[#This Row],[a1]]=1,0.01+0.94*Tab.o1[[#This Row],[PDF]]/MAX(Tab.o1[PDF]),"")</f>
        <v/>
      </c>
      <c r="Z1006" s="126" t="str">
        <f>IF(Tab.o1[[#This Row],[a1]]=1,0.01+0.94*Tab.o1[[#This Row],[W1_PDF]]/MAX(Tab.o1[W1_PDF]),"")</f>
        <v/>
      </c>
      <c r="AA1006" s="118" t="str">
        <f>IF(Tab.o1[[#This Row],[a1]]=1,ABS([1]!T.in.A[[#This Row],[oo6]]),"")</f>
        <v/>
      </c>
      <c r="AB1006" s="127" t="str">
        <f>IF(Tab.o1[[#This Row],[a1]]=1,IF(AE$3=0,"",IF(AB$3=0,ABS([1]!T.in.A[[#This Row],[oo9]]),ABS(Tab.o1[[#This Row],[DIF_Target.]]*Tab.o1[[#This Row],[W1_PDF]]))),"")</f>
        <v/>
      </c>
      <c r="AC1006" s="127" t="str">
        <f>IF(G$1=1,"",IF(Tab.o1[[#This Row],[a1]]=1,Tab.o1[[#This Row],[Wr]]^2,""))</f>
        <v/>
      </c>
      <c r="AD1006" s="118" t="str">
        <f>IF(Tab.o1[[#This Row],[a1]]=1,IF(AE$3=0,"",Tab.o1[[#This Row],[Wr2]]/SUM(Tab.o1[Wr2])),"")</f>
        <v/>
      </c>
      <c r="AE1006" s="128" t="str">
        <f>IF(Tab.o1[[#This Row],[a1]]=1,[1]!T.in.A[[#This Row],[oo10]],"")</f>
        <v/>
      </c>
      <c r="AF1006" s="118" t="str">
        <f>IF(Tab.o1[[#This Row],[a1]]=1,ABS(Tab.o1[[#This Row],[DIF_Target.]]*Tab.o1[[#This Row],[PDF2]]*Tab.o1[[#This Row],[IN]]),"")</f>
        <v/>
      </c>
      <c r="AG1006" s="129" t="str">
        <f>IF(Tab.o1[[#This Row],[a1]]=1,Tab.o1[[#This Row],[rW]]^2,"")</f>
        <v/>
      </c>
      <c r="AH1006" s="130" t="str">
        <f>IF(Tab.o1[[#This Row],[a1]]=1,IF(AH$3=0,Tab.o1[[#This Row],[rW2]],0.01+0.94*Tab.o1[[#This Row],[rW2]]/SUM(Tab.o1[rW2])),"")</f>
        <v/>
      </c>
      <c r="AI1006" s="128" t="str">
        <f>IF(Tab.o1[[#This Row],[a1]]=1,1/Tab.o1[[#This Row],[PDF]],"")</f>
        <v/>
      </c>
      <c r="AJ1006" s="131" t="str">
        <f>IF(Tab.o1[[#This Row],[a1]]=1,[1]!T_AA[[#This Row],[IN'']]*[1]!T_AA[[#This Row],[Qde'']],"")</f>
        <v/>
      </c>
      <c r="AK1006" s="132" t="str">
        <f>IF(Tab.o1[[#This Row],[a1]]=1,IF(AK$1=1,Tab.o1[[#This Row],[MED]]+Tab.o1[[#This Row],[MOD]]-Tab.o1[[#This Row],[MED]],""),"")</f>
        <v/>
      </c>
      <c r="AL1006" s="133" t="str">
        <f>IF(Tab.o1[[#This Row],[a1]]=1,[1]!T.in.A[[#This Row],[oo16]],"")</f>
        <v/>
      </c>
      <c r="AM1006" s="133" t="str">
        <f>IF(Tab.o1[[#This Row],[a1]]=1,IF(AM$3=1,[1]!T.in.A[[#This Row],[Σo16]],""),"")</f>
        <v/>
      </c>
      <c r="AN1006" s="126" t="str">
        <f>IF(Tab.o1[[#This Row],[a1]]=1,[1]!T.in.A[[#This Row],[Σp5]],"")</f>
        <v/>
      </c>
      <c r="AO1006" s="126" t="str">
        <f>IF(Tab.o1[[#This Row],[a1]]=1,IF(AO$3=1,[1]!T.in.A[[#This Row],[Σp5]],""),"")</f>
        <v/>
      </c>
      <c r="AP1006" s="110" t="str">
        <f>IF(Tab.o1[[#This Row],[a1]]=1,IF(ISNUMBER(Tab.o1[[#This Row],[i.]]),NORMDIST(Tab.o1[[#This Row],[Za]],0,1,FALSE)*Tab.o1[[#This Row],[i.]],0),"")</f>
        <v/>
      </c>
      <c r="AQ1006" s="125" t="str">
        <f>IF(Tab.o1[[#This Row],[a1]]=1,ABS(Tab.o1[[#This Row],[MOD]]-AVERAGE(Tab.o1[MOD])),"")</f>
        <v/>
      </c>
      <c r="AR1006" s="134" t="str">
        <f>IF(Tab.o1[[#This Row],[a1]]=1,Tab.o1[[#This Row],[OBS]]/SUM(Tab.o1[OBS]),"")</f>
        <v/>
      </c>
      <c r="AS1006" s="135" t="str">
        <f>IF(ISNUMBER(Tab.o1[[#This Row],[a1]]),ROW()-4,"")</f>
        <v/>
      </c>
      <c r="AT1006" s="136" t="str">
        <f>Tab.o1[[#This Row],[MOD]]</f>
        <v/>
      </c>
      <c r="AU1006" s="137" t="str">
        <f t="shared" si="61"/>
        <v/>
      </c>
      <c r="AV1006" s="138" t="str">
        <f t="shared" si="62"/>
        <v/>
      </c>
      <c r="AW1006" s="138" t="str">
        <f t="shared" si="63"/>
        <v/>
      </c>
      <c r="AX1006" s="139" t="str">
        <f>[1]!T.in.A[[#This Row],[ID_T_manu]]</f>
        <v/>
      </c>
      <c r="AY1006" s="140" t="str">
        <f>IF(ISNUMBER(Tab.o1[[#This Row],[a1]]),IF(AND(Tab.o1[[#This Row],[a1]]=1,Tab.o1[[#This Row],[b1]]&lt;=AY$4),#REF!,AY1005),"")</f>
        <v/>
      </c>
      <c r="AZ1006" s="25"/>
      <c r="BA1006" s="25"/>
      <c r="BB1006" s="25"/>
      <c r="BC1006" s="25"/>
      <c r="BD1006" s="25"/>
      <c r="BE1006" s="25"/>
      <c r="BF1006" s="25"/>
      <c r="BG1006" s="25"/>
      <c r="BH1006" s="25"/>
      <c r="BI1006" s="25"/>
      <c r="BJ1006" s="25"/>
      <c r="BK1006" s="25"/>
      <c r="BL1006" s="25"/>
      <c r="BM1006" s="25"/>
      <c r="BN1006" s="26"/>
      <c r="BO1006" s="26"/>
      <c r="BP1006" s="26"/>
      <c r="BQ1006" s="26"/>
      <c r="BR1006" s="26"/>
      <c r="BS1006" s="26"/>
      <c r="BT1006" s="26"/>
      <c r="BU1006" s="26"/>
      <c r="BV1006" s="26"/>
      <c r="BW1006" s="26"/>
      <c r="BX1006" s="26"/>
      <c r="BY1006" s="26"/>
      <c r="BZ1006" s="26"/>
      <c r="CA1006" s="26"/>
    </row>
    <row r="1007" spans="1:79" ht="15.75" hidden="1">
      <c r="A1007" s="109">
        <v>2.9999999999999997E-6</v>
      </c>
      <c r="B1007" s="110">
        <f t="shared" si="60"/>
        <v>1007</v>
      </c>
      <c r="C1007" s="111" t="str">
        <f>IF(C$1=[1]!T.in.A[[#This Row],[oo2]],1,"")</f>
        <v/>
      </c>
      <c r="D1007" s="112" t="str">
        <f>IF(Tab.o1[[#This Row],[a1]]=1,IF(SUM(C1007:C1008)=0,0,IF(SUM(C1006:C1007)=1,1,IF(SUM(C1006:C1008)&gt;1,D1006+1,0))),"")</f>
        <v/>
      </c>
      <c r="E1007" s="113" t="str">
        <f>IF(Tab.o1[[#This Row],[a1]]=1,[1]!T.in.A[[#This Row],[oo1]],"")</f>
        <v/>
      </c>
      <c r="F1007" s="113" t="str">
        <f>IF(Tab.o1[[#This Row],[a1]]=1,[1]!T.in.A[[#This Row],[pp1]],"")</f>
        <v/>
      </c>
      <c r="G1007" s="114" t="str">
        <f>IF(Tab.o1[[#This Row],[a1]]=1,G$2+IF(G$1=1,0,Tab.o1[[#This Row],[.x1]])+[1]!T.in.A[[#This Row],[oo3]],"")</f>
        <v/>
      </c>
      <c r="H1007" s="115" t="str">
        <f>IF(Tab.o1[[#This Row],[a1]]=1,IF(H$2=0,0,IF(G$1=1,0,Tab.o1[[#This Row],[.x1]])+[1]!T.in.A[[#This Row],[oo4]]),"")</f>
        <v/>
      </c>
      <c r="I1007" s="116" t="str">
        <f>IF(Tab.o1[[#This Row],[a1]]=1,IF(J$2=0,Tab.o1[[#This Row],[MED]],Tab.o1[[#This Row],[MOD]]),"")</f>
        <v/>
      </c>
      <c r="J1007" s="116" t="str">
        <f>IF(Tab.o1[[#This Row],[a1]]=1,((Tab.o1[[#This Row],[DIF_Target.]]-AVERAGE(Tab.o1[DIF_Target.]))/_xlfn.STDEV.P(Tab.o1[DIF_Target.])),"")</f>
        <v/>
      </c>
      <c r="K1007" s="117" t="str">
        <f>IF(Tab.o1[[#This Row],[a1]]=1,IF(J$2=0,Tab.o1[[#This Row],[MOD]]-Tab.o1[[#This Row],[B]],IF(J$2=1,0,-Tab.o1[[#This Row],[MED]])+Tab.o1[[#This Row],[B]]),"")</f>
        <v/>
      </c>
      <c r="L1007" s="117" t="str">
        <f ca="1">IF(Tab.o1[[#This Row],[DIF_Target]]=0,IF(L$2=0,Tab.o1[[#This Row],[DIF_Target]],AVERAGE(OFFSET(Tab.o1[[#This Row],[DIF_Target]],1,0,L$3,1)))/3,Tab.o1[[#This Row],[DIF_Target]])</f>
        <v/>
      </c>
      <c r="M1007" s="118" t="str">
        <f>IF(Tab.o1[[#This Row],[a1]]=1,NORMSDIST(Tab.o1[[#This Row],[Za]]),"")</f>
        <v/>
      </c>
      <c r="N1007" s="119" t="str">
        <f>IF(Tab.o1[[#This Row],[a1]]=1,((Tab.o1[[#This Row],[MedMod]]-AVERAGE(Tab.o1[MedMod]))/_xlfn.STDEV.P(Tab.o1[MedMod])*H$1205)+G$1205,"")</f>
        <v/>
      </c>
      <c r="O1007" s="141" t="str">
        <f>IF(Tab.o1[[#This Row],[a1]]=1,Tab.o1[[#This Row],[Zb]]*_xlfn.STDEV.P(Tab.o1[MedMod])+AVERAGE(Tab.o1[MedMod]),"")</f>
        <v/>
      </c>
      <c r="P1007" s="117" t="str">
        <f ca="1">IF(Tab.o1[[#This Row],[B]]=0,AVERAGE(OFFSET(Tab.o1[[#This Row],[B]],1,0,L$3,1)),Tab.o1[[#This Row],[B]])</f>
        <v/>
      </c>
      <c r="Q1007" s="121" t="str">
        <f>IF(Tab.o1[[#This Row],[a1]]=1,NORMSDIST(Tab.o1[[#This Row],[Zb]]),"")</f>
        <v/>
      </c>
      <c r="R1007" s="122" t="str">
        <f>IF(Tab.o1[[#This Row],[a1]]=1,((Tab.o1[[#This Row],[MedMod]]-AVERAGE(Tab.o1[MedMod]))/_xlfn.STDEV.P(Tab.o1[MedMod])*H$1203)+G$1203,"")</f>
        <v/>
      </c>
      <c r="S1007" s="122" t="str">
        <f>IF(Tab.o1[[#This Row],[a1]]=1,((Tab.o1[[#This Row],[MedMod]]-AVERAGE(Tab.o1[MedMod]))/_xlfn.STDEV.P(Tab.o1[MedMod])*H$1204)+G$1204,"")</f>
        <v/>
      </c>
      <c r="T1007" s="123" t="str">
        <f>IF(Tab.o1[[#This Row],[a1]]=1,Tab.o1[[#This Row],[Z-]]*_xlfn.STDEV.P(Tab.o1[B])+AVERAGE(Tab.o1[B]),"")</f>
        <v/>
      </c>
      <c r="U1007" s="123" t="str">
        <f>IF(Tab.o1[[#This Row],[a1]]=1,Tab.o1[[#This Row],[z+]]*_xlfn.STDEV.P(Tab.o1[B])+AVERAGE(Tab.o1[B]),"")</f>
        <v/>
      </c>
      <c r="V1007" s="124" t="str">
        <f>IF(Tab.o1[[#This Row],[a1]]=1,ABS((ABS(Tab.o1[[#This Row],[Red]]-Tab.o1[[#This Row],[Blue]]))),"")</f>
        <v/>
      </c>
      <c r="W1007" s="125" t="str">
        <f>IF(Tab.o1[[#This Row],[a1]]=1,IF(W$3=0,1,Tab.o1[[#This Row],[Amp.]]*1/_xlfn.MINIFS(Tab.o1[Amp.],Tab.o1[Amp.],"&lt;&gt;0")),"")</f>
        <v/>
      </c>
      <c r="X1007" s="126" t="str">
        <f>IF(Tab.o1[[#This Row],[a1]]=1,IF(ISNUMBER(Tab.o1[[#This Row],[i.]]),NORMDIST(Tab.o1[[#This Row],[Za]],0,1,FALSE)*Tab.o1[[#This Row],[i.]],AP$3),"")</f>
        <v/>
      </c>
      <c r="Y1007" s="126" t="str">
        <f>IF(Tab.o1[[#This Row],[a1]]=1,0.01+0.94*Tab.o1[[#This Row],[PDF]]/MAX(Tab.o1[PDF]),"")</f>
        <v/>
      </c>
      <c r="Z1007" s="126" t="str">
        <f>IF(Tab.o1[[#This Row],[a1]]=1,0.01+0.94*Tab.o1[[#This Row],[W1_PDF]]/MAX(Tab.o1[W1_PDF]),"")</f>
        <v/>
      </c>
      <c r="AA1007" s="118" t="str">
        <f>IF(Tab.o1[[#This Row],[a1]]=1,ABS([1]!T.in.A[[#This Row],[oo6]]),"")</f>
        <v/>
      </c>
      <c r="AB1007" s="127" t="str">
        <f>IF(Tab.o1[[#This Row],[a1]]=1,IF(AE$3=0,"",IF(AB$3=0,ABS([1]!T.in.A[[#This Row],[oo9]]),ABS(Tab.o1[[#This Row],[DIF_Target.]]*Tab.o1[[#This Row],[W1_PDF]]))),"")</f>
        <v/>
      </c>
      <c r="AC1007" s="127" t="str">
        <f>IF(G$1=1,"",IF(Tab.o1[[#This Row],[a1]]=1,Tab.o1[[#This Row],[Wr]]^2,""))</f>
        <v/>
      </c>
      <c r="AD1007" s="118" t="str">
        <f>IF(Tab.o1[[#This Row],[a1]]=1,IF(AE$3=0,"",Tab.o1[[#This Row],[Wr2]]/SUM(Tab.o1[Wr2])),"")</f>
        <v/>
      </c>
      <c r="AE1007" s="128" t="str">
        <f>IF(Tab.o1[[#This Row],[a1]]=1,[1]!T.in.A[[#This Row],[oo10]],"")</f>
        <v/>
      </c>
      <c r="AF1007" s="118" t="str">
        <f>IF(Tab.o1[[#This Row],[a1]]=1,ABS(Tab.o1[[#This Row],[DIF_Target.]]*Tab.o1[[#This Row],[PDF2]]*Tab.o1[[#This Row],[IN]]),"")</f>
        <v/>
      </c>
      <c r="AG1007" s="129" t="str">
        <f>IF(Tab.o1[[#This Row],[a1]]=1,Tab.o1[[#This Row],[rW]]^2,"")</f>
        <v/>
      </c>
      <c r="AH1007" s="130" t="str">
        <f>IF(Tab.o1[[#This Row],[a1]]=1,IF(AH$3=0,Tab.o1[[#This Row],[rW2]],0.01+0.94*Tab.o1[[#This Row],[rW2]]/SUM(Tab.o1[rW2])),"")</f>
        <v/>
      </c>
      <c r="AI1007" s="128" t="str">
        <f>IF(Tab.o1[[#This Row],[a1]]=1,1/Tab.o1[[#This Row],[PDF]],"")</f>
        <v/>
      </c>
      <c r="AJ1007" s="131" t="str">
        <f>IF(Tab.o1[[#This Row],[a1]]=1,[1]!T_AA[[#This Row],[IN'']]*[1]!T_AA[[#This Row],[Qde'']],"")</f>
        <v/>
      </c>
      <c r="AK1007" s="132" t="str">
        <f>IF(Tab.o1[[#This Row],[a1]]=1,IF(AK$1=1,Tab.o1[[#This Row],[MED]]+Tab.o1[[#This Row],[MOD]]-Tab.o1[[#This Row],[MED]],""),"")</f>
        <v/>
      </c>
      <c r="AL1007" s="133" t="str">
        <f>IF(Tab.o1[[#This Row],[a1]]=1,[1]!T.in.A[[#This Row],[oo16]],"")</f>
        <v/>
      </c>
      <c r="AM1007" s="133" t="str">
        <f>IF(Tab.o1[[#This Row],[a1]]=1,IF(AM$3=1,[1]!T.in.A[[#This Row],[Σo16]],""),"")</f>
        <v/>
      </c>
      <c r="AN1007" s="126" t="str">
        <f>IF(Tab.o1[[#This Row],[a1]]=1,[1]!T.in.A[[#This Row],[Σp5]],"")</f>
        <v/>
      </c>
      <c r="AO1007" s="126" t="str">
        <f>IF(Tab.o1[[#This Row],[a1]]=1,IF(AO$3=1,[1]!T.in.A[[#This Row],[Σp5]],""),"")</f>
        <v/>
      </c>
      <c r="AP1007" s="110" t="str">
        <f>IF(Tab.o1[[#This Row],[a1]]=1,IF(ISNUMBER(Tab.o1[[#This Row],[i.]]),NORMDIST(Tab.o1[[#This Row],[Za]],0,1,FALSE)*Tab.o1[[#This Row],[i.]],0),"")</f>
        <v/>
      </c>
      <c r="AQ1007" s="125" t="str">
        <f>IF(Tab.o1[[#This Row],[a1]]=1,ABS(Tab.o1[[#This Row],[MOD]]-AVERAGE(Tab.o1[MOD])),"")</f>
        <v/>
      </c>
      <c r="AR1007" s="134" t="str">
        <f>IF(Tab.o1[[#This Row],[a1]]=1,Tab.o1[[#This Row],[OBS]]/SUM(Tab.o1[OBS]),"")</f>
        <v/>
      </c>
      <c r="AS1007" s="135" t="str">
        <f>IF(ISNUMBER(Tab.o1[[#This Row],[a1]]),ROW()-4,"")</f>
        <v/>
      </c>
      <c r="AT1007" s="136" t="str">
        <f>Tab.o1[[#This Row],[MOD]]</f>
        <v/>
      </c>
      <c r="AU1007" s="137" t="str">
        <f t="shared" si="61"/>
        <v/>
      </c>
      <c r="AV1007" s="138" t="str">
        <f t="shared" si="62"/>
        <v/>
      </c>
      <c r="AW1007" s="138" t="str">
        <f t="shared" si="63"/>
        <v/>
      </c>
      <c r="AX1007" s="139" t="str">
        <f>[1]!T.in.A[[#This Row],[ID_T_manu]]</f>
        <v/>
      </c>
      <c r="AY1007" s="140" t="str">
        <f>IF(ISNUMBER(Tab.o1[[#This Row],[a1]]),IF(AND(Tab.o1[[#This Row],[a1]]=1,Tab.o1[[#This Row],[b1]]&lt;=AY$4),#REF!,AY1006),"")</f>
        <v/>
      </c>
      <c r="AZ1007" s="25"/>
      <c r="BA1007" s="25"/>
      <c r="BB1007" s="25"/>
      <c r="BC1007" s="25"/>
      <c r="BD1007" s="25"/>
      <c r="BE1007" s="25"/>
      <c r="BF1007" s="25"/>
      <c r="BG1007" s="25"/>
      <c r="BH1007" s="25"/>
      <c r="BI1007" s="25"/>
      <c r="BJ1007" s="25"/>
      <c r="BK1007" s="25"/>
      <c r="BL1007" s="25"/>
      <c r="BM1007" s="25"/>
      <c r="BN1007" s="26"/>
      <c r="BO1007" s="26"/>
      <c r="BP1007" s="26"/>
      <c r="BQ1007" s="26"/>
      <c r="BR1007" s="26"/>
      <c r="BS1007" s="26"/>
      <c r="BT1007" s="26"/>
      <c r="BU1007" s="26"/>
      <c r="BV1007" s="26"/>
      <c r="BW1007" s="26"/>
      <c r="BX1007" s="26"/>
      <c r="BY1007" s="26"/>
      <c r="BZ1007" s="26"/>
      <c r="CA1007" s="26"/>
    </row>
    <row r="1008" spans="1:79" ht="15.75" hidden="1">
      <c r="A1008" s="109">
        <v>-2.9999999999999997E-6</v>
      </c>
      <c r="B1008" s="110">
        <f t="shared" si="60"/>
        <v>1008</v>
      </c>
      <c r="C1008" s="111" t="str">
        <f>IF(C$1=[1]!T.in.A[[#This Row],[oo2]],1,"")</f>
        <v/>
      </c>
      <c r="D1008" s="112" t="str">
        <f>IF(Tab.o1[[#This Row],[a1]]=1,IF(SUM(C1008:C1009)=0,0,IF(SUM(C1007:C1008)=1,1,IF(SUM(C1007:C1009)&gt;1,D1007+1,0))),"")</f>
        <v/>
      </c>
      <c r="E1008" s="113" t="str">
        <f>IF(Tab.o1[[#This Row],[a1]]=1,[1]!T.in.A[[#This Row],[oo1]],"")</f>
        <v/>
      </c>
      <c r="F1008" s="113" t="str">
        <f>IF(Tab.o1[[#This Row],[a1]]=1,[1]!T.in.A[[#This Row],[pp1]],"")</f>
        <v/>
      </c>
      <c r="G1008" s="114" t="str">
        <f>IF(Tab.o1[[#This Row],[a1]]=1,G$2+IF(G$1=1,0,Tab.o1[[#This Row],[.x1]])+[1]!T.in.A[[#This Row],[oo3]],"")</f>
        <v/>
      </c>
      <c r="H1008" s="115" t="str">
        <f>IF(Tab.o1[[#This Row],[a1]]=1,IF(H$2=0,0,IF(G$1=1,0,Tab.o1[[#This Row],[.x1]])+[1]!T.in.A[[#This Row],[oo4]]),"")</f>
        <v/>
      </c>
      <c r="I1008" s="116" t="str">
        <f>IF(Tab.o1[[#This Row],[a1]]=1,IF(J$2=0,Tab.o1[[#This Row],[MED]],Tab.o1[[#This Row],[MOD]]),"")</f>
        <v/>
      </c>
      <c r="J1008" s="116" t="str">
        <f>IF(Tab.o1[[#This Row],[a1]]=1,((Tab.o1[[#This Row],[DIF_Target.]]-AVERAGE(Tab.o1[DIF_Target.]))/_xlfn.STDEV.P(Tab.o1[DIF_Target.])),"")</f>
        <v/>
      </c>
      <c r="K1008" s="117" t="str">
        <f>IF(Tab.o1[[#This Row],[a1]]=1,IF(J$2=0,Tab.o1[[#This Row],[MOD]]-Tab.o1[[#This Row],[B]],IF(J$2=1,0,-Tab.o1[[#This Row],[MED]])+Tab.o1[[#This Row],[B]]),"")</f>
        <v/>
      </c>
      <c r="L1008" s="117" t="str">
        <f ca="1">IF(Tab.o1[[#This Row],[DIF_Target]]=0,IF(L$2=0,Tab.o1[[#This Row],[DIF_Target]],AVERAGE(OFFSET(Tab.o1[[#This Row],[DIF_Target]],1,0,L$3,1)))/3,Tab.o1[[#This Row],[DIF_Target]])</f>
        <v/>
      </c>
      <c r="M1008" s="118" t="str">
        <f>IF(Tab.o1[[#This Row],[a1]]=1,NORMSDIST(Tab.o1[[#This Row],[Za]]),"")</f>
        <v/>
      </c>
      <c r="N1008" s="119" t="str">
        <f>IF(Tab.o1[[#This Row],[a1]]=1,((Tab.o1[[#This Row],[MedMod]]-AVERAGE(Tab.o1[MedMod]))/_xlfn.STDEV.P(Tab.o1[MedMod])*H$1205)+G$1205,"")</f>
        <v/>
      </c>
      <c r="O1008" s="141" t="str">
        <f>IF(Tab.o1[[#This Row],[a1]]=1,Tab.o1[[#This Row],[Zb]]*_xlfn.STDEV.P(Tab.o1[MedMod])+AVERAGE(Tab.o1[MedMod]),"")</f>
        <v/>
      </c>
      <c r="P1008" s="117" t="str">
        <f ca="1">IF(Tab.o1[[#This Row],[B]]=0,AVERAGE(OFFSET(Tab.o1[[#This Row],[B]],1,0,L$3,1)),Tab.o1[[#This Row],[B]])</f>
        <v/>
      </c>
      <c r="Q1008" s="121" t="str">
        <f>IF(Tab.o1[[#This Row],[a1]]=1,NORMSDIST(Tab.o1[[#This Row],[Zb]]),"")</f>
        <v/>
      </c>
      <c r="R1008" s="122" t="str">
        <f>IF(Tab.o1[[#This Row],[a1]]=1,((Tab.o1[[#This Row],[MedMod]]-AVERAGE(Tab.o1[MedMod]))/_xlfn.STDEV.P(Tab.o1[MedMod])*H$1203)+G$1203,"")</f>
        <v/>
      </c>
      <c r="S1008" s="122" t="str">
        <f>IF(Tab.o1[[#This Row],[a1]]=1,((Tab.o1[[#This Row],[MedMod]]-AVERAGE(Tab.o1[MedMod]))/_xlfn.STDEV.P(Tab.o1[MedMod])*H$1204)+G$1204,"")</f>
        <v/>
      </c>
      <c r="T1008" s="123" t="str">
        <f>IF(Tab.o1[[#This Row],[a1]]=1,Tab.o1[[#This Row],[Z-]]*_xlfn.STDEV.P(Tab.o1[B])+AVERAGE(Tab.o1[B]),"")</f>
        <v/>
      </c>
      <c r="U1008" s="123" t="str">
        <f>IF(Tab.o1[[#This Row],[a1]]=1,Tab.o1[[#This Row],[z+]]*_xlfn.STDEV.P(Tab.o1[B])+AVERAGE(Tab.o1[B]),"")</f>
        <v/>
      </c>
      <c r="V1008" s="124" t="str">
        <f>IF(Tab.o1[[#This Row],[a1]]=1,ABS((ABS(Tab.o1[[#This Row],[Red]]-Tab.o1[[#This Row],[Blue]]))),"")</f>
        <v/>
      </c>
      <c r="W1008" s="125" t="str">
        <f>IF(Tab.o1[[#This Row],[a1]]=1,IF(W$3=0,1,Tab.o1[[#This Row],[Amp.]]*1/_xlfn.MINIFS(Tab.o1[Amp.],Tab.o1[Amp.],"&lt;&gt;0")),"")</f>
        <v/>
      </c>
      <c r="X1008" s="126" t="str">
        <f>IF(Tab.o1[[#This Row],[a1]]=1,IF(ISNUMBER(Tab.o1[[#This Row],[i.]]),NORMDIST(Tab.o1[[#This Row],[Za]],0,1,FALSE)*Tab.o1[[#This Row],[i.]],AP$3),"")</f>
        <v/>
      </c>
      <c r="Y1008" s="126" t="str">
        <f>IF(Tab.o1[[#This Row],[a1]]=1,0.01+0.94*Tab.o1[[#This Row],[PDF]]/MAX(Tab.o1[PDF]),"")</f>
        <v/>
      </c>
      <c r="Z1008" s="126" t="str">
        <f>IF(Tab.o1[[#This Row],[a1]]=1,0.01+0.94*Tab.o1[[#This Row],[W1_PDF]]/MAX(Tab.o1[W1_PDF]),"")</f>
        <v/>
      </c>
      <c r="AA1008" s="118" t="str">
        <f>IF(Tab.o1[[#This Row],[a1]]=1,ABS([1]!T.in.A[[#This Row],[oo6]]),"")</f>
        <v/>
      </c>
      <c r="AB1008" s="127" t="str">
        <f>IF(Tab.o1[[#This Row],[a1]]=1,IF(AE$3=0,"",IF(AB$3=0,ABS([1]!T.in.A[[#This Row],[oo9]]),ABS(Tab.o1[[#This Row],[DIF_Target.]]*Tab.o1[[#This Row],[W1_PDF]]))),"")</f>
        <v/>
      </c>
      <c r="AC1008" s="127" t="str">
        <f>IF(G$1=1,"",IF(Tab.o1[[#This Row],[a1]]=1,Tab.o1[[#This Row],[Wr]]^2,""))</f>
        <v/>
      </c>
      <c r="AD1008" s="118" t="str">
        <f>IF(Tab.o1[[#This Row],[a1]]=1,IF(AE$3=0,"",Tab.o1[[#This Row],[Wr2]]/SUM(Tab.o1[Wr2])),"")</f>
        <v/>
      </c>
      <c r="AE1008" s="128" t="str">
        <f>IF(Tab.o1[[#This Row],[a1]]=1,[1]!T.in.A[[#This Row],[oo10]],"")</f>
        <v/>
      </c>
      <c r="AF1008" s="118" t="str">
        <f>IF(Tab.o1[[#This Row],[a1]]=1,ABS(Tab.o1[[#This Row],[DIF_Target.]]*Tab.o1[[#This Row],[PDF2]]*Tab.o1[[#This Row],[IN]]),"")</f>
        <v/>
      </c>
      <c r="AG1008" s="129" t="str">
        <f>IF(Tab.o1[[#This Row],[a1]]=1,Tab.o1[[#This Row],[rW]]^2,"")</f>
        <v/>
      </c>
      <c r="AH1008" s="130" t="str">
        <f>IF(Tab.o1[[#This Row],[a1]]=1,IF(AH$3=0,Tab.o1[[#This Row],[rW2]],0.01+0.94*Tab.o1[[#This Row],[rW2]]/SUM(Tab.o1[rW2])),"")</f>
        <v/>
      </c>
      <c r="AI1008" s="128" t="str">
        <f>IF(Tab.o1[[#This Row],[a1]]=1,1/Tab.o1[[#This Row],[PDF]],"")</f>
        <v/>
      </c>
      <c r="AJ1008" s="131" t="str">
        <f>IF(Tab.o1[[#This Row],[a1]]=1,[1]!T_AA[[#This Row],[IN'']]*[1]!T_AA[[#This Row],[Qde'']],"")</f>
        <v/>
      </c>
      <c r="AK1008" s="132" t="str">
        <f>IF(Tab.o1[[#This Row],[a1]]=1,IF(AK$1=1,Tab.o1[[#This Row],[MED]]+Tab.o1[[#This Row],[MOD]]-Tab.o1[[#This Row],[MED]],""),"")</f>
        <v/>
      </c>
      <c r="AL1008" s="133" t="str">
        <f>IF(Tab.o1[[#This Row],[a1]]=1,[1]!T.in.A[[#This Row],[oo16]],"")</f>
        <v/>
      </c>
      <c r="AM1008" s="133" t="str">
        <f>IF(Tab.o1[[#This Row],[a1]]=1,IF(AM$3=1,[1]!T.in.A[[#This Row],[Σo16]],""),"")</f>
        <v/>
      </c>
      <c r="AN1008" s="126" t="str">
        <f>IF(Tab.o1[[#This Row],[a1]]=1,[1]!T.in.A[[#This Row],[Σp5]],"")</f>
        <v/>
      </c>
      <c r="AO1008" s="126" t="str">
        <f>IF(Tab.o1[[#This Row],[a1]]=1,IF(AO$3=1,[1]!T.in.A[[#This Row],[Σp5]],""),"")</f>
        <v/>
      </c>
      <c r="AP1008" s="110" t="str">
        <f>IF(Tab.o1[[#This Row],[a1]]=1,IF(ISNUMBER(Tab.o1[[#This Row],[i.]]),NORMDIST(Tab.o1[[#This Row],[Za]],0,1,FALSE)*Tab.o1[[#This Row],[i.]],0),"")</f>
        <v/>
      </c>
      <c r="AQ1008" s="125" t="str">
        <f>IF(Tab.o1[[#This Row],[a1]]=1,ABS(Tab.o1[[#This Row],[MOD]]-AVERAGE(Tab.o1[MOD])),"")</f>
        <v/>
      </c>
      <c r="AR1008" s="134" t="str">
        <f>IF(Tab.o1[[#This Row],[a1]]=1,Tab.o1[[#This Row],[OBS]]/SUM(Tab.o1[OBS]),"")</f>
        <v/>
      </c>
      <c r="AS1008" s="135" t="str">
        <f>IF(ISNUMBER(Tab.o1[[#This Row],[a1]]),ROW()-4,"")</f>
        <v/>
      </c>
      <c r="AT1008" s="136" t="str">
        <f>Tab.o1[[#This Row],[MOD]]</f>
        <v/>
      </c>
      <c r="AU1008" s="137" t="str">
        <f t="shared" si="61"/>
        <v/>
      </c>
      <c r="AV1008" s="138" t="str">
        <f t="shared" si="62"/>
        <v/>
      </c>
      <c r="AW1008" s="138" t="str">
        <f t="shared" si="63"/>
        <v/>
      </c>
      <c r="AX1008" s="139" t="str">
        <f>[1]!T.in.A[[#This Row],[ID_T_manu]]</f>
        <v/>
      </c>
      <c r="AY1008" s="140" t="str">
        <f>IF(ISNUMBER(Tab.o1[[#This Row],[a1]]),IF(AND(Tab.o1[[#This Row],[a1]]=1,Tab.o1[[#This Row],[b1]]&lt;=AY$4),#REF!,AY1007),"")</f>
        <v/>
      </c>
      <c r="AZ1008" s="25"/>
      <c r="BA1008" s="25"/>
      <c r="BB1008" s="25"/>
      <c r="BC1008" s="25"/>
      <c r="BD1008" s="25"/>
      <c r="BE1008" s="25"/>
      <c r="BF1008" s="25"/>
      <c r="BG1008" s="25"/>
      <c r="BH1008" s="25"/>
      <c r="BI1008" s="25"/>
      <c r="BJ1008" s="25"/>
      <c r="BK1008" s="25"/>
      <c r="BL1008" s="25"/>
      <c r="BM1008" s="25"/>
      <c r="BN1008" s="26"/>
      <c r="BO1008" s="26"/>
      <c r="BP1008" s="26"/>
      <c r="BQ1008" s="26"/>
      <c r="BR1008" s="26"/>
      <c r="BS1008" s="26"/>
      <c r="BT1008" s="26"/>
      <c r="BU1008" s="26"/>
      <c r="BV1008" s="26"/>
      <c r="BW1008" s="26"/>
      <c r="BX1008" s="26"/>
      <c r="BY1008" s="26"/>
      <c r="BZ1008" s="26"/>
      <c r="CA1008" s="26"/>
    </row>
    <row r="1009" spans="1:79" ht="15.75" hidden="1">
      <c r="A1009" s="109">
        <v>-4.0000000000000007E-6</v>
      </c>
      <c r="B1009" s="110">
        <f t="shared" si="60"/>
        <v>1009</v>
      </c>
      <c r="C1009" s="111" t="str">
        <f>IF(C$1=[1]!T.in.A[[#This Row],[oo2]],1,"")</f>
        <v/>
      </c>
      <c r="D1009" s="112" t="str">
        <f>IF(Tab.o1[[#This Row],[a1]]=1,IF(SUM(C1009:C1010)=0,0,IF(SUM(C1008:C1009)=1,1,IF(SUM(C1008:C1010)&gt;1,D1008+1,0))),"")</f>
        <v/>
      </c>
      <c r="E1009" s="113" t="str">
        <f>IF(Tab.o1[[#This Row],[a1]]=1,[1]!T.in.A[[#This Row],[oo1]],"")</f>
        <v/>
      </c>
      <c r="F1009" s="113" t="str">
        <f>IF(Tab.o1[[#This Row],[a1]]=1,[1]!T.in.A[[#This Row],[pp1]],"")</f>
        <v/>
      </c>
      <c r="G1009" s="114" t="str">
        <f>IF(Tab.o1[[#This Row],[a1]]=1,G$2+IF(G$1=1,0,Tab.o1[[#This Row],[.x1]])+[1]!T.in.A[[#This Row],[oo3]],"")</f>
        <v/>
      </c>
      <c r="H1009" s="115" t="str">
        <f>IF(Tab.o1[[#This Row],[a1]]=1,IF(H$2=0,0,IF(G$1=1,0,Tab.o1[[#This Row],[.x1]])+[1]!T.in.A[[#This Row],[oo4]]),"")</f>
        <v/>
      </c>
      <c r="I1009" s="116" t="str">
        <f>IF(Tab.o1[[#This Row],[a1]]=1,IF(J$2=0,Tab.o1[[#This Row],[MED]],Tab.o1[[#This Row],[MOD]]),"")</f>
        <v/>
      </c>
      <c r="J1009" s="116" t="str">
        <f>IF(Tab.o1[[#This Row],[a1]]=1,((Tab.o1[[#This Row],[DIF_Target.]]-AVERAGE(Tab.o1[DIF_Target.]))/_xlfn.STDEV.P(Tab.o1[DIF_Target.])),"")</f>
        <v/>
      </c>
      <c r="K1009" s="117" t="str">
        <f>IF(Tab.o1[[#This Row],[a1]]=1,IF(J$2=0,Tab.o1[[#This Row],[MOD]]-Tab.o1[[#This Row],[B]],IF(J$2=1,0,-Tab.o1[[#This Row],[MED]])+Tab.o1[[#This Row],[B]]),"")</f>
        <v/>
      </c>
      <c r="L1009" s="117" t="str">
        <f ca="1">IF(Tab.o1[[#This Row],[DIF_Target]]=0,IF(L$2=0,Tab.o1[[#This Row],[DIF_Target]],AVERAGE(OFFSET(Tab.o1[[#This Row],[DIF_Target]],1,0,L$3,1)))/3,Tab.o1[[#This Row],[DIF_Target]])</f>
        <v/>
      </c>
      <c r="M1009" s="118" t="str">
        <f>IF(Tab.o1[[#This Row],[a1]]=1,NORMSDIST(Tab.o1[[#This Row],[Za]]),"")</f>
        <v/>
      </c>
      <c r="N1009" s="119" t="str">
        <f>IF(Tab.o1[[#This Row],[a1]]=1,((Tab.o1[[#This Row],[MedMod]]-AVERAGE(Tab.o1[MedMod]))/_xlfn.STDEV.P(Tab.o1[MedMod])*H$1205)+G$1205,"")</f>
        <v/>
      </c>
      <c r="O1009" s="141" t="str">
        <f>IF(Tab.o1[[#This Row],[a1]]=1,Tab.o1[[#This Row],[Zb]]*_xlfn.STDEV.P(Tab.o1[MedMod])+AVERAGE(Tab.o1[MedMod]),"")</f>
        <v/>
      </c>
      <c r="P1009" s="117" t="str">
        <f ca="1">IF(Tab.o1[[#This Row],[B]]=0,AVERAGE(OFFSET(Tab.o1[[#This Row],[B]],1,0,L$3,1)),Tab.o1[[#This Row],[B]])</f>
        <v/>
      </c>
      <c r="Q1009" s="121" t="str">
        <f>IF(Tab.o1[[#This Row],[a1]]=1,NORMSDIST(Tab.o1[[#This Row],[Zb]]),"")</f>
        <v/>
      </c>
      <c r="R1009" s="122" t="str">
        <f>IF(Tab.o1[[#This Row],[a1]]=1,((Tab.o1[[#This Row],[MedMod]]-AVERAGE(Tab.o1[MedMod]))/_xlfn.STDEV.P(Tab.o1[MedMod])*H$1203)+G$1203,"")</f>
        <v/>
      </c>
      <c r="S1009" s="122" t="str">
        <f>IF(Tab.o1[[#This Row],[a1]]=1,((Tab.o1[[#This Row],[MedMod]]-AVERAGE(Tab.o1[MedMod]))/_xlfn.STDEV.P(Tab.o1[MedMod])*H$1204)+G$1204,"")</f>
        <v/>
      </c>
      <c r="T1009" s="123" t="str">
        <f>IF(Tab.o1[[#This Row],[a1]]=1,Tab.o1[[#This Row],[Z-]]*_xlfn.STDEV.P(Tab.o1[B])+AVERAGE(Tab.o1[B]),"")</f>
        <v/>
      </c>
      <c r="U1009" s="123" t="str">
        <f>IF(Tab.o1[[#This Row],[a1]]=1,Tab.o1[[#This Row],[z+]]*_xlfn.STDEV.P(Tab.o1[B])+AVERAGE(Tab.o1[B]),"")</f>
        <v/>
      </c>
      <c r="V1009" s="124" t="str">
        <f>IF(Tab.o1[[#This Row],[a1]]=1,ABS((ABS(Tab.o1[[#This Row],[Red]]-Tab.o1[[#This Row],[Blue]]))),"")</f>
        <v/>
      </c>
      <c r="W1009" s="125" t="str">
        <f>IF(Tab.o1[[#This Row],[a1]]=1,IF(W$3=0,1,Tab.o1[[#This Row],[Amp.]]*1/_xlfn.MINIFS(Tab.o1[Amp.],Tab.o1[Amp.],"&lt;&gt;0")),"")</f>
        <v/>
      </c>
      <c r="X1009" s="126" t="str">
        <f>IF(Tab.o1[[#This Row],[a1]]=1,IF(ISNUMBER(Tab.o1[[#This Row],[i.]]),NORMDIST(Tab.o1[[#This Row],[Za]],0,1,FALSE)*Tab.o1[[#This Row],[i.]],AP$3),"")</f>
        <v/>
      </c>
      <c r="Y1009" s="126" t="str">
        <f>IF(Tab.o1[[#This Row],[a1]]=1,0.01+0.94*Tab.o1[[#This Row],[PDF]]/MAX(Tab.o1[PDF]),"")</f>
        <v/>
      </c>
      <c r="Z1009" s="126" t="str">
        <f>IF(Tab.o1[[#This Row],[a1]]=1,0.01+0.94*Tab.o1[[#This Row],[W1_PDF]]/MAX(Tab.o1[W1_PDF]),"")</f>
        <v/>
      </c>
      <c r="AA1009" s="118" t="str">
        <f>IF(Tab.o1[[#This Row],[a1]]=1,ABS([1]!T.in.A[[#This Row],[oo6]]),"")</f>
        <v/>
      </c>
      <c r="AB1009" s="127" t="str">
        <f>IF(Tab.o1[[#This Row],[a1]]=1,IF(AE$3=0,"",IF(AB$3=0,ABS([1]!T.in.A[[#This Row],[oo9]]),ABS(Tab.o1[[#This Row],[DIF_Target.]]*Tab.o1[[#This Row],[W1_PDF]]))),"")</f>
        <v/>
      </c>
      <c r="AC1009" s="127" t="str">
        <f>IF(G$1=1,"",IF(Tab.o1[[#This Row],[a1]]=1,Tab.o1[[#This Row],[Wr]]^2,""))</f>
        <v/>
      </c>
      <c r="AD1009" s="118" t="str">
        <f>IF(Tab.o1[[#This Row],[a1]]=1,IF(AE$3=0,"",Tab.o1[[#This Row],[Wr2]]/SUM(Tab.o1[Wr2])),"")</f>
        <v/>
      </c>
      <c r="AE1009" s="128" t="str">
        <f>IF(Tab.o1[[#This Row],[a1]]=1,[1]!T.in.A[[#This Row],[oo10]],"")</f>
        <v/>
      </c>
      <c r="AF1009" s="118" t="str">
        <f>IF(Tab.o1[[#This Row],[a1]]=1,ABS(Tab.o1[[#This Row],[DIF_Target.]]*Tab.o1[[#This Row],[PDF2]]*Tab.o1[[#This Row],[IN]]),"")</f>
        <v/>
      </c>
      <c r="AG1009" s="129" t="str">
        <f>IF(Tab.o1[[#This Row],[a1]]=1,Tab.o1[[#This Row],[rW]]^2,"")</f>
        <v/>
      </c>
      <c r="AH1009" s="130" t="str">
        <f>IF(Tab.o1[[#This Row],[a1]]=1,IF(AH$3=0,Tab.o1[[#This Row],[rW2]],0.01+0.94*Tab.o1[[#This Row],[rW2]]/SUM(Tab.o1[rW2])),"")</f>
        <v/>
      </c>
      <c r="AI1009" s="128" t="str">
        <f>IF(Tab.o1[[#This Row],[a1]]=1,1/Tab.o1[[#This Row],[PDF]],"")</f>
        <v/>
      </c>
      <c r="AJ1009" s="131" t="str">
        <f>IF(Tab.o1[[#This Row],[a1]]=1,[1]!T_AA[[#This Row],[IN'']]*[1]!T_AA[[#This Row],[Qde'']],"")</f>
        <v/>
      </c>
      <c r="AK1009" s="132" t="str">
        <f>IF(Tab.o1[[#This Row],[a1]]=1,IF(AK$1=1,Tab.o1[[#This Row],[MED]]+Tab.o1[[#This Row],[MOD]]-Tab.o1[[#This Row],[MED]],""),"")</f>
        <v/>
      </c>
      <c r="AL1009" s="133" t="str">
        <f>IF(Tab.o1[[#This Row],[a1]]=1,[1]!T.in.A[[#This Row],[oo16]],"")</f>
        <v/>
      </c>
      <c r="AM1009" s="133" t="str">
        <f>IF(Tab.o1[[#This Row],[a1]]=1,IF(AM$3=1,[1]!T.in.A[[#This Row],[Σo16]],""),"")</f>
        <v/>
      </c>
      <c r="AN1009" s="126" t="str">
        <f>IF(Tab.o1[[#This Row],[a1]]=1,[1]!T.in.A[[#This Row],[Σp5]],"")</f>
        <v/>
      </c>
      <c r="AO1009" s="126" t="str">
        <f>IF(Tab.o1[[#This Row],[a1]]=1,IF(AO$3=1,[1]!T.in.A[[#This Row],[Σp5]],""),"")</f>
        <v/>
      </c>
      <c r="AP1009" s="110" t="str">
        <f>IF(Tab.o1[[#This Row],[a1]]=1,IF(ISNUMBER(Tab.o1[[#This Row],[i.]]),NORMDIST(Tab.o1[[#This Row],[Za]],0,1,FALSE)*Tab.o1[[#This Row],[i.]],0),"")</f>
        <v/>
      </c>
      <c r="AQ1009" s="125" t="str">
        <f>IF(Tab.o1[[#This Row],[a1]]=1,ABS(Tab.o1[[#This Row],[MOD]]-AVERAGE(Tab.o1[MOD])),"")</f>
        <v/>
      </c>
      <c r="AR1009" s="134" t="str">
        <f>IF(Tab.o1[[#This Row],[a1]]=1,Tab.o1[[#This Row],[OBS]]/SUM(Tab.o1[OBS]),"")</f>
        <v/>
      </c>
      <c r="AS1009" s="135" t="str">
        <f>IF(ISNUMBER(Tab.o1[[#This Row],[a1]]),ROW()-4,"")</f>
        <v/>
      </c>
      <c r="AT1009" s="136" t="str">
        <f>Tab.o1[[#This Row],[MOD]]</f>
        <v/>
      </c>
      <c r="AU1009" s="137" t="str">
        <f t="shared" si="61"/>
        <v/>
      </c>
      <c r="AV1009" s="138" t="str">
        <f t="shared" si="62"/>
        <v/>
      </c>
      <c r="AW1009" s="138" t="str">
        <f t="shared" si="63"/>
        <v/>
      </c>
      <c r="AX1009" s="139" t="str">
        <f>[1]!T.in.A[[#This Row],[ID_T_manu]]</f>
        <v/>
      </c>
      <c r="AY1009" s="140" t="str">
        <f>IF(ISNUMBER(Tab.o1[[#This Row],[a1]]),IF(AND(Tab.o1[[#This Row],[a1]]=1,Tab.o1[[#This Row],[b1]]&lt;=AY$4),#REF!,AY1008),"")</f>
        <v/>
      </c>
      <c r="AZ1009" s="25"/>
      <c r="BA1009" s="25"/>
      <c r="BB1009" s="25"/>
      <c r="BC1009" s="25"/>
      <c r="BD1009" s="25"/>
      <c r="BE1009" s="25"/>
      <c r="BF1009" s="25"/>
      <c r="BG1009" s="25"/>
      <c r="BH1009" s="25"/>
      <c r="BI1009" s="25"/>
      <c r="BJ1009" s="25"/>
      <c r="BK1009" s="25"/>
      <c r="BL1009" s="25"/>
      <c r="BM1009" s="25"/>
      <c r="BN1009" s="26"/>
      <c r="BO1009" s="26"/>
      <c r="BP1009" s="26"/>
      <c r="BQ1009" s="26"/>
      <c r="BR1009" s="26"/>
      <c r="BS1009" s="26"/>
      <c r="BT1009" s="26"/>
      <c r="BU1009" s="26"/>
      <c r="BV1009" s="26"/>
      <c r="BW1009" s="26"/>
      <c r="BX1009" s="26"/>
      <c r="BY1009" s="26"/>
      <c r="BZ1009" s="26"/>
      <c r="CA1009" s="26"/>
    </row>
    <row r="1010" spans="1:79" ht="15.75" hidden="1">
      <c r="A1010" s="109">
        <v>5.0000000000000004E-6</v>
      </c>
      <c r="B1010" s="110">
        <f t="shared" si="60"/>
        <v>1010</v>
      </c>
      <c r="C1010" s="111" t="str">
        <f>IF(C$1=[1]!T.in.A[[#This Row],[oo2]],1,"")</f>
        <v/>
      </c>
      <c r="D1010" s="112" t="str">
        <f>IF(Tab.o1[[#This Row],[a1]]=1,IF(SUM(C1010:C1011)=0,0,IF(SUM(C1009:C1010)=1,1,IF(SUM(C1009:C1011)&gt;1,D1009+1,0))),"")</f>
        <v/>
      </c>
      <c r="E1010" s="113" t="str">
        <f>IF(Tab.o1[[#This Row],[a1]]=1,[1]!T.in.A[[#This Row],[oo1]],"")</f>
        <v/>
      </c>
      <c r="F1010" s="113" t="str">
        <f>IF(Tab.o1[[#This Row],[a1]]=1,[1]!T.in.A[[#This Row],[pp1]],"")</f>
        <v/>
      </c>
      <c r="G1010" s="114" t="str">
        <f>IF(Tab.o1[[#This Row],[a1]]=1,G$2+IF(G$1=1,0,Tab.o1[[#This Row],[.x1]])+[1]!T.in.A[[#This Row],[oo3]],"")</f>
        <v/>
      </c>
      <c r="H1010" s="115" t="str">
        <f>IF(Tab.o1[[#This Row],[a1]]=1,IF(H$2=0,0,IF(G$1=1,0,Tab.o1[[#This Row],[.x1]])+[1]!T.in.A[[#This Row],[oo4]]),"")</f>
        <v/>
      </c>
      <c r="I1010" s="116" t="str">
        <f>IF(Tab.o1[[#This Row],[a1]]=1,IF(J$2=0,Tab.o1[[#This Row],[MED]],Tab.o1[[#This Row],[MOD]]),"")</f>
        <v/>
      </c>
      <c r="J1010" s="116" t="str">
        <f>IF(Tab.o1[[#This Row],[a1]]=1,((Tab.o1[[#This Row],[DIF_Target.]]-AVERAGE(Tab.o1[DIF_Target.]))/_xlfn.STDEV.P(Tab.o1[DIF_Target.])),"")</f>
        <v/>
      </c>
      <c r="K1010" s="117" t="str">
        <f>IF(Tab.o1[[#This Row],[a1]]=1,IF(J$2=0,Tab.o1[[#This Row],[MOD]]-Tab.o1[[#This Row],[B]],IF(J$2=1,0,-Tab.o1[[#This Row],[MED]])+Tab.o1[[#This Row],[B]]),"")</f>
        <v/>
      </c>
      <c r="L1010" s="117" t="str">
        <f ca="1">IF(Tab.o1[[#This Row],[DIF_Target]]=0,IF(L$2=0,Tab.o1[[#This Row],[DIF_Target]],AVERAGE(OFFSET(Tab.o1[[#This Row],[DIF_Target]],1,0,L$3,1)))/3,Tab.o1[[#This Row],[DIF_Target]])</f>
        <v/>
      </c>
      <c r="M1010" s="118" t="str">
        <f>IF(Tab.o1[[#This Row],[a1]]=1,NORMSDIST(Tab.o1[[#This Row],[Za]]),"")</f>
        <v/>
      </c>
      <c r="N1010" s="119" t="str">
        <f>IF(Tab.o1[[#This Row],[a1]]=1,((Tab.o1[[#This Row],[MedMod]]-AVERAGE(Tab.o1[MedMod]))/_xlfn.STDEV.P(Tab.o1[MedMod])*H$1205)+G$1205,"")</f>
        <v/>
      </c>
      <c r="O1010" s="141" t="str">
        <f>IF(Tab.o1[[#This Row],[a1]]=1,Tab.o1[[#This Row],[Zb]]*_xlfn.STDEV.P(Tab.o1[MedMod])+AVERAGE(Tab.o1[MedMod]),"")</f>
        <v/>
      </c>
      <c r="P1010" s="117" t="str">
        <f ca="1">IF(Tab.o1[[#This Row],[B]]=0,AVERAGE(OFFSET(Tab.o1[[#This Row],[B]],1,0,L$3,1)),Tab.o1[[#This Row],[B]])</f>
        <v/>
      </c>
      <c r="Q1010" s="121" t="str">
        <f>IF(Tab.o1[[#This Row],[a1]]=1,NORMSDIST(Tab.o1[[#This Row],[Zb]]),"")</f>
        <v/>
      </c>
      <c r="R1010" s="122" t="str">
        <f>IF(Tab.o1[[#This Row],[a1]]=1,((Tab.o1[[#This Row],[MedMod]]-AVERAGE(Tab.o1[MedMod]))/_xlfn.STDEV.P(Tab.o1[MedMod])*H$1203)+G$1203,"")</f>
        <v/>
      </c>
      <c r="S1010" s="122" t="str">
        <f>IF(Tab.o1[[#This Row],[a1]]=1,((Tab.o1[[#This Row],[MedMod]]-AVERAGE(Tab.o1[MedMod]))/_xlfn.STDEV.P(Tab.o1[MedMod])*H$1204)+G$1204,"")</f>
        <v/>
      </c>
      <c r="T1010" s="123" t="str">
        <f>IF(Tab.o1[[#This Row],[a1]]=1,Tab.o1[[#This Row],[Z-]]*_xlfn.STDEV.P(Tab.o1[B])+AVERAGE(Tab.o1[B]),"")</f>
        <v/>
      </c>
      <c r="U1010" s="123" t="str">
        <f>IF(Tab.o1[[#This Row],[a1]]=1,Tab.o1[[#This Row],[z+]]*_xlfn.STDEV.P(Tab.o1[B])+AVERAGE(Tab.o1[B]),"")</f>
        <v/>
      </c>
      <c r="V1010" s="124" t="str">
        <f>IF(Tab.o1[[#This Row],[a1]]=1,ABS((ABS(Tab.o1[[#This Row],[Red]]-Tab.o1[[#This Row],[Blue]]))),"")</f>
        <v/>
      </c>
      <c r="W1010" s="125" t="str">
        <f>IF(Tab.o1[[#This Row],[a1]]=1,IF(W$3=0,1,Tab.o1[[#This Row],[Amp.]]*1/_xlfn.MINIFS(Tab.o1[Amp.],Tab.o1[Amp.],"&lt;&gt;0")),"")</f>
        <v/>
      </c>
      <c r="X1010" s="126" t="str">
        <f>IF(Tab.o1[[#This Row],[a1]]=1,IF(ISNUMBER(Tab.o1[[#This Row],[i.]]),NORMDIST(Tab.o1[[#This Row],[Za]],0,1,FALSE)*Tab.o1[[#This Row],[i.]],AP$3),"")</f>
        <v/>
      </c>
      <c r="Y1010" s="126" t="str">
        <f>IF(Tab.o1[[#This Row],[a1]]=1,0.01+0.94*Tab.o1[[#This Row],[PDF]]/MAX(Tab.o1[PDF]),"")</f>
        <v/>
      </c>
      <c r="Z1010" s="126" t="str">
        <f>IF(Tab.o1[[#This Row],[a1]]=1,0.01+0.94*Tab.o1[[#This Row],[W1_PDF]]/MAX(Tab.o1[W1_PDF]),"")</f>
        <v/>
      </c>
      <c r="AA1010" s="118" t="str">
        <f>IF(Tab.o1[[#This Row],[a1]]=1,ABS([1]!T.in.A[[#This Row],[oo6]]),"")</f>
        <v/>
      </c>
      <c r="AB1010" s="127" t="str">
        <f>IF(Tab.o1[[#This Row],[a1]]=1,IF(AE$3=0,"",IF(AB$3=0,ABS([1]!T.in.A[[#This Row],[oo9]]),ABS(Tab.o1[[#This Row],[DIF_Target.]]*Tab.o1[[#This Row],[W1_PDF]]))),"")</f>
        <v/>
      </c>
      <c r="AC1010" s="127" t="str">
        <f>IF(G$1=1,"",IF(Tab.o1[[#This Row],[a1]]=1,Tab.o1[[#This Row],[Wr]]^2,""))</f>
        <v/>
      </c>
      <c r="AD1010" s="118" t="str">
        <f>IF(Tab.o1[[#This Row],[a1]]=1,IF(AE$3=0,"",Tab.o1[[#This Row],[Wr2]]/SUM(Tab.o1[Wr2])),"")</f>
        <v/>
      </c>
      <c r="AE1010" s="128" t="str">
        <f>IF(Tab.o1[[#This Row],[a1]]=1,[1]!T.in.A[[#This Row],[oo10]],"")</f>
        <v/>
      </c>
      <c r="AF1010" s="118" t="str">
        <f>IF(Tab.o1[[#This Row],[a1]]=1,ABS(Tab.o1[[#This Row],[DIF_Target.]]*Tab.o1[[#This Row],[PDF2]]*Tab.o1[[#This Row],[IN]]),"")</f>
        <v/>
      </c>
      <c r="AG1010" s="129" t="str">
        <f>IF(Tab.o1[[#This Row],[a1]]=1,Tab.o1[[#This Row],[rW]]^2,"")</f>
        <v/>
      </c>
      <c r="AH1010" s="130" t="str">
        <f>IF(Tab.o1[[#This Row],[a1]]=1,IF(AH$3=0,Tab.o1[[#This Row],[rW2]],0.01+0.94*Tab.o1[[#This Row],[rW2]]/SUM(Tab.o1[rW2])),"")</f>
        <v/>
      </c>
      <c r="AI1010" s="128" t="str">
        <f>IF(Tab.o1[[#This Row],[a1]]=1,1/Tab.o1[[#This Row],[PDF]],"")</f>
        <v/>
      </c>
      <c r="AJ1010" s="131" t="str">
        <f>IF(Tab.o1[[#This Row],[a1]]=1,[1]!T_AA[[#This Row],[IN'']]*[1]!T_AA[[#This Row],[Qde'']],"")</f>
        <v/>
      </c>
      <c r="AK1010" s="132" t="str">
        <f>IF(Tab.o1[[#This Row],[a1]]=1,IF(AK$1=1,Tab.o1[[#This Row],[MED]]+Tab.o1[[#This Row],[MOD]]-Tab.o1[[#This Row],[MED]],""),"")</f>
        <v/>
      </c>
      <c r="AL1010" s="133" t="str">
        <f>IF(Tab.o1[[#This Row],[a1]]=1,[1]!T.in.A[[#This Row],[oo16]],"")</f>
        <v/>
      </c>
      <c r="AM1010" s="133" t="str">
        <f>IF(Tab.o1[[#This Row],[a1]]=1,IF(AM$3=1,[1]!T.in.A[[#This Row],[Σo16]],""),"")</f>
        <v/>
      </c>
      <c r="AN1010" s="126" t="str">
        <f>IF(Tab.o1[[#This Row],[a1]]=1,[1]!T.in.A[[#This Row],[Σp5]],"")</f>
        <v/>
      </c>
      <c r="AO1010" s="126" t="str">
        <f>IF(Tab.o1[[#This Row],[a1]]=1,IF(AO$3=1,[1]!T.in.A[[#This Row],[Σp5]],""),"")</f>
        <v/>
      </c>
      <c r="AP1010" s="110" t="str">
        <f>IF(Tab.o1[[#This Row],[a1]]=1,IF(ISNUMBER(Tab.o1[[#This Row],[i.]]),NORMDIST(Tab.o1[[#This Row],[Za]],0,1,FALSE)*Tab.o1[[#This Row],[i.]],0),"")</f>
        <v/>
      </c>
      <c r="AQ1010" s="125" t="str">
        <f>IF(Tab.o1[[#This Row],[a1]]=1,ABS(Tab.o1[[#This Row],[MOD]]-AVERAGE(Tab.o1[MOD])),"")</f>
        <v/>
      </c>
      <c r="AR1010" s="134" t="str">
        <f>IF(Tab.o1[[#This Row],[a1]]=1,Tab.o1[[#This Row],[OBS]]/SUM(Tab.o1[OBS]),"")</f>
        <v/>
      </c>
      <c r="AS1010" s="135" t="str">
        <f>IF(ISNUMBER(Tab.o1[[#This Row],[a1]]),ROW()-4,"")</f>
        <v/>
      </c>
      <c r="AT1010" s="136" t="str">
        <f>Tab.o1[[#This Row],[MOD]]</f>
        <v/>
      </c>
      <c r="AU1010" s="137" t="str">
        <f t="shared" si="61"/>
        <v/>
      </c>
      <c r="AV1010" s="138" t="str">
        <f t="shared" si="62"/>
        <v/>
      </c>
      <c r="AW1010" s="138" t="str">
        <f t="shared" si="63"/>
        <v/>
      </c>
      <c r="AX1010" s="139" t="str">
        <f>[1]!T.in.A[[#This Row],[ID_T_manu]]</f>
        <v/>
      </c>
      <c r="AY1010" s="140" t="str">
        <f>IF(ISNUMBER(Tab.o1[[#This Row],[a1]]),IF(AND(Tab.o1[[#This Row],[a1]]=1,Tab.o1[[#This Row],[b1]]&lt;=AY$4),#REF!,AY1009),"")</f>
        <v/>
      </c>
      <c r="AZ1010" s="25"/>
      <c r="BA1010" s="25"/>
      <c r="BB1010" s="25"/>
      <c r="BC1010" s="25"/>
      <c r="BD1010" s="25"/>
      <c r="BE1010" s="25"/>
      <c r="BF1010" s="25"/>
      <c r="BG1010" s="25"/>
      <c r="BH1010" s="25"/>
      <c r="BI1010" s="25"/>
      <c r="BJ1010" s="25"/>
      <c r="BK1010" s="25"/>
      <c r="BL1010" s="25"/>
      <c r="BM1010" s="25"/>
      <c r="BN1010" s="26"/>
      <c r="BO1010" s="26"/>
      <c r="BP1010" s="26"/>
      <c r="BQ1010" s="26"/>
      <c r="BR1010" s="26"/>
      <c r="BS1010" s="26"/>
      <c r="BT1010" s="26"/>
      <c r="BU1010" s="26"/>
      <c r="BV1010" s="26"/>
      <c r="BW1010" s="26"/>
      <c r="BX1010" s="26"/>
      <c r="BY1010" s="26"/>
      <c r="BZ1010" s="26"/>
      <c r="CA1010" s="26"/>
    </row>
    <row r="1011" spans="1:79" ht="15.75" hidden="1">
      <c r="A1011" s="109">
        <v>9.0000000000000002E-6</v>
      </c>
      <c r="B1011" s="110">
        <f t="shared" si="60"/>
        <v>1011</v>
      </c>
      <c r="C1011" s="111" t="str">
        <f>IF(C$1=[1]!T.in.A[[#This Row],[oo2]],1,"")</f>
        <v/>
      </c>
      <c r="D1011" s="112" t="str">
        <f>IF(Tab.o1[[#This Row],[a1]]=1,IF(SUM(C1011:C1012)=0,0,IF(SUM(C1010:C1011)=1,1,IF(SUM(C1010:C1012)&gt;1,D1010+1,0))),"")</f>
        <v/>
      </c>
      <c r="E1011" s="113" t="str">
        <f>IF(Tab.o1[[#This Row],[a1]]=1,[1]!T.in.A[[#This Row],[oo1]],"")</f>
        <v/>
      </c>
      <c r="F1011" s="113" t="str">
        <f>IF(Tab.o1[[#This Row],[a1]]=1,[1]!T.in.A[[#This Row],[pp1]],"")</f>
        <v/>
      </c>
      <c r="G1011" s="114" t="str">
        <f>IF(Tab.o1[[#This Row],[a1]]=1,G$2+IF(G$1=1,0,Tab.o1[[#This Row],[.x1]])+[1]!T.in.A[[#This Row],[oo3]],"")</f>
        <v/>
      </c>
      <c r="H1011" s="115" t="str">
        <f>IF(Tab.o1[[#This Row],[a1]]=1,IF(H$2=0,0,IF(G$1=1,0,Tab.o1[[#This Row],[.x1]])+[1]!T.in.A[[#This Row],[oo4]]),"")</f>
        <v/>
      </c>
      <c r="I1011" s="116" t="str">
        <f>IF(Tab.o1[[#This Row],[a1]]=1,IF(J$2=0,Tab.o1[[#This Row],[MED]],Tab.o1[[#This Row],[MOD]]),"")</f>
        <v/>
      </c>
      <c r="J1011" s="116" t="str">
        <f>IF(Tab.o1[[#This Row],[a1]]=1,((Tab.o1[[#This Row],[DIF_Target.]]-AVERAGE(Tab.o1[DIF_Target.]))/_xlfn.STDEV.P(Tab.o1[DIF_Target.])),"")</f>
        <v/>
      </c>
      <c r="K1011" s="117" t="str">
        <f>IF(Tab.o1[[#This Row],[a1]]=1,IF(J$2=0,Tab.o1[[#This Row],[MOD]]-Tab.o1[[#This Row],[B]],IF(J$2=1,0,-Tab.o1[[#This Row],[MED]])+Tab.o1[[#This Row],[B]]),"")</f>
        <v/>
      </c>
      <c r="L1011" s="117" t="str">
        <f ca="1">IF(Tab.o1[[#This Row],[DIF_Target]]=0,IF(L$2=0,Tab.o1[[#This Row],[DIF_Target]],AVERAGE(OFFSET(Tab.o1[[#This Row],[DIF_Target]],1,0,L$3,1)))/3,Tab.o1[[#This Row],[DIF_Target]])</f>
        <v/>
      </c>
      <c r="M1011" s="118" t="str">
        <f>IF(Tab.o1[[#This Row],[a1]]=1,NORMSDIST(Tab.o1[[#This Row],[Za]]),"")</f>
        <v/>
      </c>
      <c r="N1011" s="119" t="str">
        <f>IF(Tab.o1[[#This Row],[a1]]=1,((Tab.o1[[#This Row],[MedMod]]-AVERAGE(Tab.o1[MedMod]))/_xlfn.STDEV.P(Tab.o1[MedMod])*H$1205)+G$1205,"")</f>
        <v/>
      </c>
      <c r="O1011" s="141" t="str">
        <f>IF(Tab.o1[[#This Row],[a1]]=1,Tab.o1[[#This Row],[Zb]]*_xlfn.STDEV.P(Tab.o1[MedMod])+AVERAGE(Tab.o1[MedMod]),"")</f>
        <v/>
      </c>
      <c r="P1011" s="117" t="str">
        <f ca="1">IF(Tab.o1[[#This Row],[B]]=0,AVERAGE(OFFSET(Tab.o1[[#This Row],[B]],1,0,L$3,1)),Tab.o1[[#This Row],[B]])</f>
        <v/>
      </c>
      <c r="Q1011" s="121" t="str">
        <f>IF(Tab.o1[[#This Row],[a1]]=1,NORMSDIST(Tab.o1[[#This Row],[Zb]]),"")</f>
        <v/>
      </c>
      <c r="R1011" s="122" t="str">
        <f>IF(Tab.o1[[#This Row],[a1]]=1,((Tab.o1[[#This Row],[MedMod]]-AVERAGE(Tab.o1[MedMod]))/_xlfn.STDEV.P(Tab.o1[MedMod])*H$1203)+G$1203,"")</f>
        <v/>
      </c>
      <c r="S1011" s="122" t="str">
        <f>IF(Tab.o1[[#This Row],[a1]]=1,((Tab.o1[[#This Row],[MedMod]]-AVERAGE(Tab.o1[MedMod]))/_xlfn.STDEV.P(Tab.o1[MedMod])*H$1204)+G$1204,"")</f>
        <v/>
      </c>
      <c r="T1011" s="123" t="str">
        <f>IF(Tab.o1[[#This Row],[a1]]=1,Tab.o1[[#This Row],[Z-]]*_xlfn.STDEV.P(Tab.o1[B])+AVERAGE(Tab.o1[B]),"")</f>
        <v/>
      </c>
      <c r="U1011" s="123" t="str">
        <f>IF(Tab.o1[[#This Row],[a1]]=1,Tab.o1[[#This Row],[z+]]*_xlfn.STDEV.P(Tab.o1[B])+AVERAGE(Tab.o1[B]),"")</f>
        <v/>
      </c>
      <c r="V1011" s="124" t="str">
        <f>IF(Tab.o1[[#This Row],[a1]]=1,ABS((ABS(Tab.o1[[#This Row],[Red]]-Tab.o1[[#This Row],[Blue]]))),"")</f>
        <v/>
      </c>
      <c r="W1011" s="125" t="str">
        <f>IF(Tab.o1[[#This Row],[a1]]=1,IF(W$3=0,1,Tab.o1[[#This Row],[Amp.]]*1/_xlfn.MINIFS(Tab.o1[Amp.],Tab.o1[Amp.],"&lt;&gt;0")),"")</f>
        <v/>
      </c>
      <c r="X1011" s="126" t="str">
        <f>IF(Tab.o1[[#This Row],[a1]]=1,IF(ISNUMBER(Tab.o1[[#This Row],[i.]]),NORMDIST(Tab.o1[[#This Row],[Za]],0,1,FALSE)*Tab.o1[[#This Row],[i.]],AP$3),"")</f>
        <v/>
      </c>
      <c r="Y1011" s="126" t="str">
        <f>IF(Tab.o1[[#This Row],[a1]]=1,0.01+0.94*Tab.o1[[#This Row],[PDF]]/MAX(Tab.o1[PDF]),"")</f>
        <v/>
      </c>
      <c r="Z1011" s="126" t="str">
        <f>IF(Tab.o1[[#This Row],[a1]]=1,0.01+0.94*Tab.o1[[#This Row],[W1_PDF]]/MAX(Tab.o1[W1_PDF]),"")</f>
        <v/>
      </c>
      <c r="AA1011" s="118" t="str">
        <f>IF(Tab.o1[[#This Row],[a1]]=1,ABS([1]!T.in.A[[#This Row],[oo6]]),"")</f>
        <v/>
      </c>
      <c r="AB1011" s="127" t="str">
        <f>IF(Tab.o1[[#This Row],[a1]]=1,IF(AE$3=0,"",IF(AB$3=0,ABS([1]!T.in.A[[#This Row],[oo9]]),ABS(Tab.o1[[#This Row],[DIF_Target.]]*Tab.o1[[#This Row],[W1_PDF]]))),"")</f>
        <v/>
      </c>
      <c r="AC1011" s="127" t="str">
        <f>IF(G$1=1,"",IF(Tab.o1[[#This Row],[a1]]=1,Tab.o1[[#This Row],[Wr]]^2,""))</f>
        <v/>
      </c>
      <c r="AD1011" s="118" t="str">
        <f>IF(Tab.o1[[#This Row],[a1]]=1,IF(AE$3=0,"",Tab.o1[[#This Row],[Wr2]]/SUM(Tab.o1[Wr2])),"")</f>
        <v/>
      </c>
      <c r="AE1011" s="128" t="str">
        <f>IF(Tab.o1[[#This Row],[a1]]=1,[1]!T.in.A[[#This Row],[oo10]],"")</f>
        <v/>
      </c>
      <c r="AF1011" s="118" t="str">
        <f>IF(Tab.o1[[#This Row],[a1]]=1,ABS(Tab.o1[[#This Row],[DIF_Target.]]*Tab.o1[[#This Row],[PDF2]]*Tab.o1[[#This Row],[IN]]),"")</f>
        <v/>
      </c>
      <c r="AG1011" s="129" t="str">
        <f>IF(Tab.o1[[#This Row],[a1]]=1,Tab.o1[[#This Row],[rW]]^2,"")</f>
        <v/>
      </c>
      <c r="AH1011" s="130" t="str">
        <f>IF(Tab.o1[[#This Row],[a1]]=1,IF(AH$3=0,Tab.o1[[#This Row],[rW2]],0.01+0.94*Tab.o1[[#This Row],[rW2]]/SUM(Tab.o1[rW2])),"")</f>
        <v/>
      </c>
      <c r="AI1011" s="128" t="str">
        <f>IF(Tab.o1[[#This Row],[a1]]=1,1/Tab.o1[[#This Row],[PDF]],"")</f>
        <v/>
      </c>
      <c r="AJ1011" s="131" t="str">
        <f>IF(Tab.o1[[#This Row],[a1]]=1,[1]!T_AA[[#This Row],[IN'']]*[1]!T_AA[[#This Row],[Qde'']],"")</f>
        <v/>
      </c>
      <c r="AK1011" s="132" t="str">
        <f>IF(Tab.o1[[#This Row],[a1]]=1,IF(AK$1=1,Tab.o1[[#This Row],[MED]]+Tab.o1[[#This Row],[MOD]]-Tab.o1[[#This Row],[MED]],""),"")</f>
        <v/>
      </c>
      <c r="AL1011" s="133" t="str">
        <f>IF(Tab.o1[[#This Row],[a1]]=1,[1]!T.in.A[[#This Row],[oo16]],"")</f>
        <v/>
      </c>
      <c r="AM1011" s="133" t="str">
        <f>IF(Tab.o1[[#This Row],[a1]]=1,IF(AM$3=1,[1]!T.in.A[[#This Row],[Σo16]],""),"")</f>
        <v/>
      </c>
      <c r="AN1011" s="126" t="str">
        <f>IF(Tab.o1[[#This Row],[a1]]=1,[1]!T.in.A[[#This Row],[Σp5]],"")</f>
        <v/>
      </c>
      <c r="AO1011" s="126" t="str">
        <f>IF(Tab.o1[[#This Row],[a1]]=1,IF(AO$3=1,[1]!T.in.A[[#This Row],[Σp5]],""),"")</f>
        <v/>
      </c>
      <c r="AP1011" s="110" t="str">
        <f>IF(Tab.o1[[#This Row],[a1]]=1,IF(ISNUMBER(Tab.o1[[#This Row],[i.]]),NORMDIST(Tab.o1[[#This Row],[Za]],0,1,FALSE)*Tab.o1[[#This Row],[i.]],0),"")</f>
        <v/>
      </c>
      <c r="AQ1011" s="125" t="str">
        <f>IF(Tab.o1[[#This Row],[a1]]=1,ABS(Tab.o1[[#This Row],[MOD]]-AVERAGE(Tab.o1[MOD])),"")</f>
        <v/>
      </c>
      <c r="AR1011" s="134" t="str">
        <f>IF(Tab.o1[[#This Row],[a1]]=1,Tab.o1[[#This Row],[OBS]]/SUM(Tab.o1[OBS]),"")</f>
        <v/>
      </c>
      <c r="AS1011" s="135" t="str">
        <f>IF(ISNUMBER(Tab.o1[[#This Row],[a1]]),ROW()-4,"")</f>
        <v/>
      </c>
      <c r="AT1011" s="136" t="str">
        <f>Tab.o1[[#This Row],[MOD]]</f>
        <v/>
      </c>
      <c r="AU1011" s="137" t="str">
        <f t="shared" si="61"/>
        <v/>
      </c>
      <c r="AV1011" s="138" t="str">
        <f t="shared" si="62"/>
        <v/>
      </c>
      <c r="AW1011" s="138" t="str">
        <f t="shared" si="63"/>
        <v/>
      </c>
      <c r="AX1011" s="139" t="str">
        <f>[1]!T.in.A[[#This Row],[ID_T_manu]]</f>
        <v/>
      </c>
      <c r="AY1011" s="140" t="str">
        <f>IF(ISNUMBER(Tab.o1[[#This Row],[a1]]),IF(AND(Tab.o1[[#This Row],[a1]]=1,Tab.o1[[#This Row],[b1]]&lt;=AY$4),#REF!,AY1010),"")</f>
        <v/>
      </c>
      <c r="AZ1011" s="25"/>
      <c r="BA1011" s="25"/>
      <c r="BB1011" s="25"/>
      <c r="BC1011" s="25"/>
      <c r="BD1011" s="25"/>
      <c r="BE1011" s="25"/>
      <c r="BF1011" s="25"/>
      <c r="BG1011" s="25"/>
      <c r="BH1011" s="25"/>
      <c r="BI1011" s="25"/>
      <c r="BJ1011" s="25"/>
      <c r="BK1011" s="25"/>
      <c r="BL1011" s="25"/>
      <c r="BM1011" s="25"/>
      <c r="BN1011" s="26"/>
      <c r="BO1011" s="26"/>
      <c r="BP1011" s="26"/>
      <c r="BQ1011" s="26"/>
      <c r="BR1011" s="26"/>
      <c r="BS1011" s="26"/>
      <c r="BT1011" s="26"/>
      <c r="BU1011" s="26"/>
      <c r="BV1011" s="26"/>
      <c r="BW1011" s="26"/>
      <c r="BX1011" s="26"/>
      <c r="BY1011" s="26"/>
      <c r="BZ1011" s="26"/>
      <c r="CA1011" s="26"/>
    </row>
    <row r="1012" spans="1:79" ht="15.75" hidden="1">
      <c r="A1012" s="109">
        <v>2.9999999999999997E-6</v>
      </c>
      <c r="B1012" s="110">
        <f t="shared" si="60"/>
        <v>1012</v>
      </c>
      <c r="C1012" s="111" t="str">
        <f>IF(C$1=[1]!T.in.A[[#This Row],[oo2]],1,"")</f>
        <v/>
      </c>
      <c r="D1012" s="112" t="str">
        <f>IF(Tab.o1[[#This Row],[a1]]=1,IF(SUM(C1012:C1013)=0,0,IF(SUM(C1011:C1012)=1,1,IF(SUM(C1011:C1013)&gt;1,D1011+1,0))),"")</f>
        <v/>
      </c>
      <c r="E1012" s="113" t="str">
        <f>IF(Tab.o1[[#This Row],[a1]]=1,[1]!T.in.A[[#This Row],[oo1]],"")</f>
        <v/>
      </c>
      <c r="F1012" s="113" t="str">
        <f>IF(Tab.o1[[#This Row],[a1]]=1,[1]!T.in.A[[#This Row],[pp1]],"")</f>
        <v/>
      </c>
      <c r="G1012" s="114" t="str">
        <f>IF(Tab.o1[[#This Row],[a1]]=1,G$2+IF(G$1=1,0,Tab.o1[[#This Row],[.x1]])+[1]!T.in.A[[#This Row],[oo3]],"")</f>
        <v/>
      </c>
      <c r="H1012" s="115" t="str">
        <f>IF(Tab.o1[[#This Row],[a1]]=1,IF(H$2=0,0,IF(G$1=1,0,Tab.o1[[#This Row],[.x1]])+[1]!T.in.A[[#This Row],[oo4]]),"")</f>
        <v/>
      </c>
      <c r="I1012" s="116" t="str">
        <f>IF(Tab.o1[[#This Row],[a1]]=1,IF(J$2=0,Tab.o1[[#This Row],[MED]],Tab.o1[[#This Row],[MOD]]),"")</f>
        <v/>
      </c>
      <c r="J1012" s="116" t="str">
        <f>IF(Tab.o1[[#This Row],[a1]]=1,((Tab.o1[[#This Row],[DIF_Target.]]-AVERAGE(Tab.o1[DIF_Target.]))/_xlfn.STDEV.P(Tab.o1[DIF_Target.])),"")</f>
        <v/>
      </c>
      <c r="K1012" s="117" t="str">
        <f>IF(Tab.o1[[#This Row],[a1]]=1,IF(J$2=0,Tab.o1[[#This Row],[MOD]]-Tab.o1[[#This Row],[B]],IF(J$2=1,0,-Tab.o1[[#This Row],[MED]])+Tab.o1[[#This Row],[B]]),"")</f>
        <v/>
      </c>
      <c r="L1012" s="117" t="str">
        <f ca="1">IF(Tab.o1[[#This Row],[DIF_Target]]=0,IF(L$2=0,Tab.o1[[#This Row],[DIF_Target]],AVERAGE(OFFSET(Tab.o1[[#This Row],[DIF_Target]],1,0,L$3,1)))/3,Tab.o1[[#This Row],[DIF_Target]])</f>
        <v/>
      </c>
      <c r="M1012" s="118" t="str">
        <f>IF(Tab.o1[[#This Row],[a1]]=1,NORMSDIST(Tab.o1[[#This Row],[Za]]),"")</f>
        <v/>
      </c>
      <c r="N1012" s="119" t="str">
        <f>IF(Tab.o1[[#This Row],[a1]]=1,((Tab.o1[[#This Row],[MedMod]]-AVERAGE(Tab.o1[MedMod]))/_xlfn.STDEV.P(Tab.o1[MedMod])*H$1205)+G$1205,"")</f>
        <v/>
      </c>
      <c r="O1012" s="141" t="str">
        <f>IF(Tab.o1[[#This Row],[a1]]=1,Tab.o1[[#This Row],[Zb]]*_xlfn.STDEV.P(Tab.o1[MedMod])+AVERAGE(Tab.o1[MedMod]),"")</f>
        <v/>
      </c>
      <c r="P1012" s="117" t="str">
        <f ca="1">IF(Tab.o1[[#This Row],[B]]=0,AVERAGE(OFFSET(Tab.o1[[#This Row],[B]],1,0,L$3,1)),Tab.o1[[#This Row],[B]])</f>
        <v/>
      </c>
      <c r="Q1012" s="121" t="str">
        <f>IF(Tab.o1[[#This Row],[a1]]=1,NORMSDIST(Tab.o1[[#This Row],[Zb]]),"")</f>
        <v/>
      </c>
      <c r="R1012" s="122" t="str">
        <f>IF(Tab.o1[[#This Row],[a1]]=1,((Tab.o1[[#This Row],[MedMod]]-AVERAGE(Tab.o1[MedMod]))/_xlfn.STDEV.P(Tab.o1[MedMod])*H$1203)+G$1203,"")</f>
        <v/>
      </c>
      <c r="S1012" s="122" t="str">
        <f>IF(Tab.o1[[#This Row],[a1]]=1,((Tab.o1[[#This Row],[MedMod]]-AVERAGE(Tab.o1[MedMod]))/_xlfn.STDEV.P(Tab.o1[MedMod])*H$1204)+G$1204,"")</f>
        <v/>
      </c>
      <c r="T1012" s="123" t="str">
        <f>IF(Tab.o1[[#This Row],[a1]]=1,Tab.o1[[#This Row],[Z-]]*_xlfn.STDEV.P(Tab.o1[B])+AVERAGE(Tab.o1[B]),"")</f>
        <v/>
      </c>
      <c r="U1012" s="123" t="str">
        <f>IF(Tab.o1[[#This Row],[a1]]=1,Tab.o1[[#This Row],[z+]]*_xlfn.STDEV.P(Tab.o1[B])+AVERAGE(Tab.o1[B]),"")</f>
        <v/>
      </c>
      <c r="V1012" s="124" t="str">
        <f>IF(Tab.o1[[#This Row],[a1]]=1,ABS((ABS(Tab.o1[[#This Row],[Red]]-Tab.o1[[#This Row],[Blue]]))),"")</f>
        <v/>
      </c>
      <c r="W1012" s="125" t="str">
        <f>IF(Tab.o1[[#This Row],[a1]]=1,IF(W$3=0,1,Tab.o1[[#This Row],[Amp.]]*1/_xlfn.MINIFS(Tab.o1[Amp.],Tab.o1[Amp.],"&lt;&gt;0")),"")</f>
        <v/>
      </c>
      <c r="X1012" s="126" t="str">
        <f>IF(Tab.o1[[#This Row],[a1]]=1,IF(ISNUMBER(Tab.o1[[#This Row],[i.]]),NORMDIST(Tab.o1[[#This Row],[Za]],0,1,FALSE)*Tab.o1[[#This Row],[i.]],AP$3),"")</f>
        <v/>
      </c>
      <c r="Y1012" s="126" t="str">
        <f>IF(Tab.o1[[#This Row],[a1]]=1,0.01+0.94*Tab.o1[[#This Row],[PDF]]/MAX(Tab.o1[PDF]),"")</f>
        <v/>
      </c>
      <c r="Z1012" s="126" t="str">
        <f>IF(Tab.o1[[#This Row],[a1]]=1,0.01+0.94*Tab.o1[[#This Row],[W1_PDF]]/MAX(Tab.o1[W1_PDF]),"")</f>
        <v/>
      </c>
      <c r="AA1012" s="118" t="str">
        <f>IF(Tab.o1[[#This Row],[a1]]=1,ABS([1]!T.in.A[[#This Row],[oo6]]),"")</f>
        <v/>
      </c>
      <c r="AB1012" s="127" t="str">
        <f>IF(Tab.o1[[#This Row],[a1]]=1,IF(AE$3=0,"",IF(AB$3=0,ABS([1]!T.in.A[[#This Row],[oo9]]),ABS(Tab.o1[[#This Row],[DIF_Target.]]*Tab.o1[[#This Row],[W1_PDF]]))),"")</f>
        <v/>
      </c>
      <c r="AC1012" s="127" t="str">
        <f>IF(G$1=1,"",IF(Tab.o1[[#This Row],[a1]]=1,Tab.o1[[#This Row],[Wr]]^2,""))</f>
        <v/>
      </c>
      <c r="AD1012" s="118" t="str">
        <f>IF(Tab.o1[[#This Row],[a1]]=1,IF(AE$3=0,"",Tab.o1[[#This Row],[Wr2]]/SUM(Tab.o1[Wr2])),"")</f>
        <v/>
      </c>
      <c r="AE1012" s="128" t="str">
        <f>IF(Tab.o1[[#This Row],[a1]]=1,[1]!T.in.A[[#This Row],[oo10]],"")</f>
        <v/>
      </c>
      <c r="AF1012" s="118" t="str">
        <f>IF(Tab.o1[[#This Row],[a1]]=1,ABS(Tab.o1[[#This Row],[DIF_Target.]]*Tab.o1[[#This Row],[PDF2]]*Tab.o1[[#This Row],[IN]]),"")</f>
        <v/>
      </c>
      <c r="AG1012" s="129" t="str">
        <f>IF(Tab.o1[[#This Row],[a1]]=1,Tab.o1[[#This Row],[rW]]^2,"")</f>
        <v/>
      </c>
      <c r="AH1012" s="130" t="str">
        <f>IF(Tab.o1[[#This Row],[a1]]=1,IF(AH$3=0,Tab.o1[[#This Row],[rW2]],0.01+0.94*Tab.o1[[#This Row],[rW2]]/SUM(Tab.o1[rW2])),"")</f>
        <v/>
      </c>
      <c r="AI1012" s="128" t="str">
        <f>IF(Tab.o1[[#This Row],[a1]]=1,1/Tab.o1[[#This Row],[PDF]],"")</f>
        <v/>
      </c>
      <c r="AJ1012" s="131" t="str">
        <f>IF(Tab.o1[[#This Row],[a1]]=1,[1]!T_AA[[#This Row],[IN'']]*[1]!T_AA[[#This Row],[Qde'']],"")</f>
        <v/>
      </c>
      <c r="AK1012" s="132" t="str">
        <f>IF(Tab.o1[[#This Row],[a1]]=1,IF(AK$1=1,Tab.o1[[#This Row],[MED]]+Tab.o1[[#This Row],[MOD]]-Tab.o1[[#This Row],[MED]],""),"")</f>
        <v/>
      </c>
      <c r="AL1012" s="133" t="str">
        <f>IF(Tab.o1[[#This Row],[a1]]=1,[1]!T.in.A[[#This Row],[oo16]],"")</f>
        <v/>
      </c>
      <c r="AM1012" s="133" t="str">
        <f>IF(Tab.o1[[#This Row],[a1]]=1,IF(AM$3=1,[1]!T.in.A[[#This Row],[Σo16]],""),"")</f>
        <v/>
      </c>
      <c r="AN1012" s="126" t="str">
        <f>IF(Tab.o1[[#This Row],[a1]]=1,[1]!T.in.A[[#This Row],[Σp5]],"")</f>
        <v/>
      </c>
      <c r="AO1012" s="126" t="str">
        <f>IF(Tab.o1[[#This Row],[a1]]=1,IF(AO$3=1,[1]!T.in.A[[#This Row],[Σp5]],""),"")</f>
        <v/>
      </c>
      <c r="AP1012" s="110" t="str">
        <f>IF(Tab.o1[[#This Row],[a1]]=1,IF(ISNUMBER(Tab.o1[[#This Row],[i.]]),NORMDIST(Tab.o1[[#This Row],[Za]],0,1,FALSE)*Tab.o1[[#This Row],[i.]],0),"")</f>
        <v/>
      </c>
      <c r="AQ1012" s="125" t="str">
        <f>IF(Tab.o1[[#This Row],[a1]]=1,ABS(Tab.o1[[#This Row],[MOD]]-AVERAGE(Tab.o1[MOD])),"")</f>
        <v/>
      </c>
      <c r="AR1012" s="134" t="str">
        <f>IF(Tab.o1[[#This Row],[a1]]=1,Tab.o1[[#This Row],[OBS]]/SUM(Tab.o1[OBS]),"")</f>
        <v/>
      </c>
      <c r="AS1012" s="135" t="str">
        <f>IF(ISNUMBER(Tab.o1[[#This Row],[a1]]),ROW()-4,"")</f>
        <v/>
      </c>
      <c r="AT1012" s="136" t="str">
        <f>Tab.o1[[#This Row],[MOD]]</f>
        <v/>
      </c>
      <c r="AU1012" s="137" t="str">
        <f t="shared" si="61"/>
        <v/>
      </c>
      <c r="AV1012" s="138" t="str">
        <f t="shared" si="62"/>
        <v/>
      </c>
      <c r="AW1012" s="138" t="str">
        <f t="shared" si="63"/>
        <v/>
      </c>
      <c r="AX1012" s="139" t="str">
        <f>[1]!T.in.A[[#This Row],[ID_T_manu]]</f>
        <v/>
      </c>
      <c r="AY1012" s="140" t="str">
        <f>IF(ISNUMBER(Tab.o1[[#This Row],[a1]]),IF(AND(Tab.o1[[#This Row],[a1]]=1,Tab.o1[[#This Row],[b1]]&lt;=AY$4),#REF!,AY1011),"")</f>
        <v/>
      </c>
      <c r="AZ1012" s="25"/>
      <c r="BA1012" s="25"/>
      <c r="BB1012" s="25"/>
      <c r="BC1012" s="25"/>
      <c r="BD1012" s="25"/>
      <c r="BE1012" s="25"/>
      <c r="BF1012" s="25"/>
      <c r="BG1012" s="25"/>
      <c r="BH1012" s="25"/>
      <c r="BI1012" s="25"/>
      <c r="BJ1012" s="25"/>
      <c r="BK1012" s="25"/>
      <c r="BL1012" s="25"/>
      <c r="BM1012" s="25"/>
      <c r="BN1012" s="26"/>
      <c r="BO1012" s="26"/>
      <c r="BP1012" s="26"/>
      <c r="BQ1012" s="26"/>
      <c r="BR1012" s="26"/>
      <c r="BS1012" s="26"/>
      <c r="BT1012" s="26"/>
      <c r="BU1012" s="26"/>
      <c r="BV1012" s="26"/>
      <c r="BW1012" s="26"/>
      <c r="BX1012" s="26"/>
      <c r="BY1012" s="26"/>
      <c r="BZ1012" s="26"/>
      <c r="CA1012" s="26"/>
    </row>
    <row r="1013" spans="1:79" ht="15.75" hidden="1">
      <c r="A1013" s="109">
        <v>-2.0000000000000003E-6</v>
      </c>
      <c r="B1013" s="110">
        <f t="shared" si="60"/>
        <v>1013</v>
      </c>
      <c r="C1013" s="111" t="str">
        <f>IF(C$1=[1]!T.in.A[[#This Row],[oo2]],1,"")</f>
        <v/>
      </c>
      <c r="D1013" s="112" t="str">
        <f>IF(Tab.o1[[#This Row],[a1]]=1,IF(SUM(C1013:C1014)=0,0,IF(SUM(C1012:C1013)=1,1,IF(SUM(C1012:C1014)&gt;1,D1012+1,0))),"")</f>
        <v/>
      </c>
      <c r="E1013" s="113" t="str">
        <f>IF(Tab.o1[[#This Row],[a1]]=1,[1]!T.in.A[[#This Row],[oo1]],"")</f>
        <v/>
      </c>
      <c r="F1013" s="113" t="str">
        <f>IF(Tab.o1[[#This Row],[a1]]=1,[1]!T.in.A[[#This Row],[pp1]],"")</f>
        <v/>
      </c>
      <c r="G1013" s="114" t="str">
        <f>IF(Tab.o1[[#This Row],[a1]]=1,G$2+IF(G$1=1,0,Tab.o1[[#This Row],[.x1]])+[1]!T.in.A[[#This Row],[oo3]],"")</f>
        <v/>
      </c>
      <c r="H1013" s="115" t="str">
        <f>IF(Tab.o1[[#This Row],[a1]]=1,IF(H$2=0,0,IF(G$1=1,0,Tab.o1[[#This Row],[.x1]])+[1]!T.in.A[[#This Row],[oo4]]),"")</f>
        <v/>
      </c>
      <c r="I1013" s="116" t="str">
        <f>IF(Tab.o1[[#This Row],[a1]]=1,IF(J$2=0,Tab.o1[[#This Row],[MED]],Tab.o1[[#This Row],[MOD]]),"")</f>
        <v/>
      </c>
      <c r="J1013" s="116" t="str">
        <f>IF(Tab.o1[[#This Row],[a1]]=1,((Tab.o1[[#This Row],[DIF_Target.]]-AVERAGE(Tab.o1[DIF_Target.]))/_xlfn.STDEV.P(Tab.o1[DIF_Target.])),"")</f>
        <v/>
      </c>
      <c r="K1013" s="117" t="str">
        <f>IF(Tab.o1[[#This Row],[a1]]=1,IF(J$2=0,Tab.o1[[#This Row],[MOD]]-Tab.o1[[#This Row],[B]],IF(J$2=1,0,-Tab.o1[[#This Row],[MED]])+Tab.o1[[#This Row],[B]]),"")</f>
        <v/>
      </c>
      <c r="L1013" s="117" t="str">
        <f ca="1">IF(Tab.o1[[#This Row],[DIF_Target]]=0,IF(L$2=0,Tab.o1[[#This Row],[DIF_Target]],AVERAGE(OFFSET(Tab.o1[[#This Row],[DIF_Target]],1,0,L$3,1)))/3,Tab.o1[[#This Row],[DIF_Target]])</f>
        <v/>
      </c>
      <c r="M1013" s="118" t="str">
        <f>IF(Tab.o1[[#This Row],[a1]]=1,NORMSDIST(Tab.o1[[#This Row],[Za]]),"")</f>
        <v/>
      </c>
      <c r="N1013" s="119" t="str">
        <f>IF(Tab.o1[[#This Row],[a1]]=1,((Tab.o1[[#This Row],[MedMod]]-AVERAGE(Tab.o1[MedMod]))/_xlfn.STDEV.P(Tab.o1[MedMod])*H$1205)+G$1205,"")</f>
        <v/>
      </c>
      <c r="O1013" s="141" t="str">
        <f>IF(Tab.o1[[#This Row],[a1]]=1,Tab.o1[[#This Row],[Zb]]*_xlfn.STDEV.P(Tab.o1[MedMod])+AVERAGE(Tab.o1[MedMod]),"")</f>
        <v/>
      </c>
      <c r="P1013" s="117" t="str">
        <f ca="1">IF(Tab.o1[[#This Row],[B]]=0,AVERAGE(OFFSET(Tab.o1[[#This Row],[B]],1,0,L$3,1)),Tab.o1[[#This Row],[B]])</f>
        <v/>
      </c>
      <c r="Q1013" s="121" t="str">
        <f>IF(Tab.o1[[#This Row],[a1]]=1,NORMSDIST(Tab.o1[[#This Row],[Zb]]),"")</f>
        <v/>
      </c>
      <c r="R1013" s="122" t="str">
        <f>IF(Tab.o1[[#This Row],[a1]]=1,((Tab.o1[[#This Row],[MedMod]]-AVERAGE(Tab.o1[MedMod]))/_xlfn.STDEV.P(Tab.o1[MedMod])*H$1203)+G$1203,"")</f>
        <v/>
      </c>
      <c r="S1013" s="122" t="str">
        <f>IF(Tab.o1[[#This Row],[a1]]=1,((Tab.o1[[#This Row],[MedMod]]-AVERAGE(Tab.o1[MedMod]))/_xlfn.STDEV.P(Tab.o1[MedMod])*H$1204)+G$1204,"")</f>
        <v/>
      </c>
      <c r="T1013" s="123" t="str">
        <f>IF(Tab.o1[[#This Row],[a1]]=1,Tab.o1[[#This Row],[Z-]]*_xlfn.STDEV.P(Tab.o1[B])+AVERAGE(Tab.o1[B]),"")</f>
        <v/>
      </c>
      <c r="U1013" s="123" t="str">
        <f>IF(Tab.o1[[#This Row],[a1]]=1,Tab.o1[[#This Row],[z+]]*_xlfn.STDEV.P(Tab.o1[B])+AVERAGE(Tab.o1[B]),"")</f>
        <v/>
      </c>
      <c r="V1013" s="124" t="str">
        <f>IF(Tab.o1[[#This Row],[a1]]=1,ABS((ABS(Tab.o1[[#This Row],[Red]]-Tab.o1[[#This Row],[Blue]]))),"")</f>
        <v/>
      </c>
      <c r="W1013" s="125" t="str">
        <f>IF(Tab.o1[[#This Row],[a1]]=1,IF(W$3=0,1,Tab.o1[[#This Row],[Amp.]]*1/_xlfn.MINIFS(Tab.o1[Amp.],Tab.o1[Amp.],"&lt;&gt;0")),"")</f>
        <v/>
      </c>
      <c r="X1013" s="126" t="str">
        <f>IF(Tab.o1[[#This Row],[a1]]=1,IF(ISNUMBER(Tab.o1[[#This Row],[i.]]),NORMDIST(Tab.o1[[#This Row],[Za]],0,1,FALSE)*Tab.o1[[#This Row],[i.]],AP$3),"")</f>
        <v/>
      </c>
      <c r="Y1013" s="126" t="str">
        <f>IF(Tab.o1[[#This Row],[a1]]=1,0.01+0.94*Tab.o1[[#This Row],[PDF]]/MAX(Tab.o1[PDF]),"")</f>
        <v/>
      </c>
      <c r="Z1013" s="126" t="str">
        <f>IF(Tab.o1[[#This Row],[a1]]=1,0.01+0.94*Tab.o1[[#This Row],[W1_PDF]]/MAX(Tab.o1[W1_PDF]),"")</f>
        <v/>
      </c>
      <c r="AA1013" s="118" t="str">
        <f>IF(Tab.o1[[#This Row],[a1]]=1,ABS([1]!T.in.A[[#This Row],[oo6]]),"")</f>
        <v/>
      </c>
      <c r="AB1013" s="127" t="str">
        <f>IF(Tab.o1[[#This Row],[a1]]=1,IF(AE$3=0,"",IF(AB$3=0,ABS([1]!T.in.A[[#This Row],[oo9]]),ABS(Tab.o1[[#This Row],[DIF_Target.]]*Tab.o1[[#This Row],[W1_PDF]]))),"")</f>
        <v/>
      </c>
      <c r="AC1013" s="127" t="str">
        <f>IF(G$1=1,"",IF(Tab.o1[[#This Row],[a1]]=1,Tab.o1[[#This Row],[Wr]]^2,""))</f>
        <v/>
      </c>
      <c r="AD1013" s="118" t="str">
        <f>IF(Tab.o1[[#This Row],[a1]]=1,IF(AE$3=0,"",Tab.o1[[#This Row],[Wr2]]/SUM(Tab.o1[Wr2])),"")</f>
        <v/>
      </c>
      <c r="AE1013" s="128" t="str">
        <f>IF(Tab.o1[[#This Row],[a1]]=1,[1]!T.in.A[[#This Row],[oo10]],"")</f>
        <v/>
      </c>
      <c r="AF1013" s="118" t="str">
        <f>IF(Tab.o1[[#This Row],[a1]]=1,ABS(Tab.o1[[#This Row],[DIF_Target.]]*Tab.o1[[#This Row],[PDF2]]*Tab.o1[[#This Row],[IN]]),"")</f>
        <v/>
      </c>
      <c r="AG1013" s="129" t="str">
        <f>IF(Tab.o1[[#This Row],[a1]]=1,Tab.o1[[#This Row],[rW]]^2,"")</f>
        <v/>
      </c>
      <c r="AH1013" s="130" t="str">
        <f>IF(Tab.o1[[#This Row],[a1]]=1,IF(AH$3=0,Tab.o1[[#This Row],[rW2]],0.01+0.94*Tab.o1[[#This Row],[rW2]]/SUM(Tab.o1[rW2])),"")</f>
        <v/>
      </c>
      <c r="AI1013" s="128" t="str">
        <f>IF(Tab.o1[[#This Row],[a1]]=1,1/Tab.o1[[#This Row],[PDF]],"")</f>
        <v/>
      </c>
      <c r="AJ1013" s="131" t="str">
        <f>IF(Tab.o1[[#This Row],[a1]]=1,[1]!T_AA[[#This Row],[IN'']]*[1]!T_AA[[#This Row],[Qde'']],"")</f>
        <v/>
      </c>
      <c r="AK1013" s="132" t="str">
        <f>IF(Tab.o1[[#This Row],[a1]]=1,IF(AK$1=1,Tab.o1[[#This Row],[MED]]+Tab.o1[[#This Row],[MOD]]-Tab.o1[[#This Row],[MED]],""),"")</f>
        <v/>
      </c>
      <c r="AL1013" s="133" t="str">
        <f>IF(Tab.o1[[#This Row],[a1]]=1,[1]!T.in.A[[#This Row],[oo16]],"")</f>
        <v/>
      </c>
      <c r="AM1013" s="133" t="str">
        <f>IF(Tab.o1[[#This Row],[a1]]=1,IF(AM$3=1,[1]!T.in.A[[#This Row],[Σo16]],""),"")</f>
        <v/>
      </c>
      <c r="AN1013" s="126" t="str">
        <f>IF(Tab.o1[[#This Row],[a1]]=1,[1]!T.in.A[[#This Row],[Σp5]],"")</f>
        <v/>
      </c>
      <c r="AO1013" s="126" t="str">
        <f>IF(Tab.o1[[#This Row],[a1]]=1,IF(AO$3=1,[1]!T.in.A[[#This Row],[Σp5]],""),"")</f>
        <v/>
      </c>
      <c r="AP1013" s="110" t="str">
        <f>IF(Tab.o1[[#This Row],[a1]]=1,IF(ISNUMBER(Tab.o1[[#This Row],[i.]]),NORMDIST(Tab.o1[[#This Row],[Za]],0,1,FALSE)*Tab.o1[[#This Row],[i.]],0),"")</f>
        <v/>
      </c>
      <c r="AQ1013" s="125" t="str">
        <f>IF(Tab.o1[[#This Row],[a1]]=1,ABS(Tab.o1[[#This Row],[MOD]]-AVERAGE(Tab.o1[MOD])),"")</f>
        <v/>
      </c>
      <c r="AR1013" s="134" t="str">
        <f>IF(Tab.o1[[#This Row],[a1]]=1,Tab.o1[[#This Row],[OBS]]/SUM(Tab.o1[OBS]),"")</f>
        <v/>
      </c>
      <c r="AS1013" s="135" t="str">
        <f>IF(ISNUMBER(Tab.o1[[#This Row],[a1]]),ROW()-4,"")</f>
        <v/>
      </c>
      <c r="AT1013" s="136" t="str">
        <f>Tab.o1[[#This Row],[MOD]]</f>
        <v/>
      </c>
      <c r="AU1013" s="137" t="str">
        <f t="shared" si="61"/>
        <v/>
      </c>
      <c r="AV1013" s="138" t="str">
        <f t="shared" si="62"/>
        <v/>
      </c>
      <c r="AW1013" s="138" t="str">
        <f t="shared" si="63"/>
        <v/>
      </c>
      <c r="AX1013" s="139" t="str">
        <f>[1]!T.in.A[[#This Row],[ID_T_manu]]</f>
        <v/>
      </c>
      <c r="AY1013" s="140" t="str">
        <f>IF(ISNUMBER(Tab.o1[[#This Row],[a1]]),IF(AND(Tab.o1[[#This Row],[a1]]=1,Tab.o1[[#This Row],[b1]]&lt;=AY$4),#REF!,AY1012),"")</f>
        <v/>
      </c>
      <c r="AZ1013" s="25"/>
      <c r="BA1013" s="25"/>
      <c r="BB1013" s="25"/>
      <c r="BC1013" s="25"/>
      <c r="BD1013" s="25"/>
      <c r="BE1013" s="25"/>
      <c r="BF1013" s="25"/>
      <c r="BG1013" s="25"/>
      <c r="BH1013" s="25"/>
      <c r="BI1013" s="25"/>
      <c r="BJ1013" s="25"/>
      <c r="BK1013" s="25"/>
      <c r="BL1013" s="25"/>
      <c r="BM1013" s="25"/>
      <c r="BN1013" s="26"/>
      <c r="BO1013" s="26"/>
      <c r="BP1013" s="26"/>
      <c r="BQ1013" s="26"/>
      <c r="BR1013" s="26"/>
      <c r="BS1013" s="26"/>
      <c r="BT1013" s="26"/>
      <c r="BU1013" s="26"/>
      <c r="BV1013" s="26"/>
      <c r="BW1013" s="26"/>
      <c r="BX1013" s="26"/>
      <c r="BY1013" s="26"/>
      <c r="BZ1013" s="26"/>
      <c r="CA1013" s="26"/>
    </row>
    <row r="1014" spans="1:79" ht="15.75" hidden="1">
      <c r="A1014" s="109">
        <v>-6.9999999999999999E-6</v>
      </c>
      <c r="B1014" s="110">
        <f t="shared" si="60"/>
        <v>1014</v>
      </c>
      <c r="C1014" s="111" t="str">
        <f>IF(C$1=[1]!T.in.A[[#This Row],[oo2]],1,"")</f>
        <v/>
      </c>
      <c r="D1014" s="112" t="str">
        <f>IF(Tab.o1[[#This Row],[a1]]=1,IF(SUM(C1014:C1015)=0,0,IF(SUM(C1013:C1014)=1,1,IF(SUM(C1013:C1015)&gt;1,D1013+1,0))),"")</f>
        <v/>
      </c>
      <c r="E1014" s="113" t="str">
        <f>IF(Tab.o1[[#This Row],[a1]]=1,[1]!T.in.A[[#This Row],[oo1]],"")</f>
        <v/>
      </c>
      <c r="F1014" s="113" t="str">
        <f>IF(Tab.o1[[#This Row],[a1]]=1,[1]!T.in.A[[#This Row],[pp1]],"")</f>
        <v/>
      </c>
      <c r="G1014" s="114" t="str">
        <f>IF(Tab.o1[[#This Row],[a1]]=1,G$2+IF(G$1=1,0,Tab.o1[[#This Row],[.x1]])+[1]!T.in.A[[#This Row],[oo3]],"")</f>
        <v/>
      </c>
      <c r="H1014" s="115" t="str">
        <f>IF(Tab.o1[[#This Row],[a1]]=1,IF(H$2=0,0,IF(G$1=1,0,Tab.o1[[#This Row],[.x1]])+[1]!T.in.A[[#This Row],[oo4]]),"")</f>
        <v/>
      </c>
      <c r="I1014" s="116" t="str">
        <f>IF(Tab.o1[[#This Row],[a1]]=1,IF(J$2=0,Tab.o1[[#This Row],[MED]],Tab.o1[[#This Row],[MOD]]),"")</f>
        <v/>
      </c>
      <c r="J1014" s="116" t="str">
        <f>IF(Tab.o1[[#This Row],[a1]]=1,((Tab.o1[[#This Row],[DIF_Target.]]-AVERAGE(Tab.o1[DIF_Target.]))/_xlfn.STDEV.P(Tab.o1[DIF_Target.])),"")</f>
        <v/>
      </c>
      <c r="K1014" s="117" t="str">
        <f>IF(Tab.o1[[#This Row],[a1]]=1,IF(J$2=0,Tab.o1[[#This Row],[MOD]]-Tab.o1[[#This Row],[B]],IF(J$2=1,0,-Tab.o1[[#This Row],[MED]])+Tab.o1[[#This Row],[B]]),"")</f>
        <v/>
      </c>
      <c r="L1014" s="117" t="str">
        <f ca="1">IF(Tab.o1[[#This Row],[DIF_Target]]=0,IF(L$2=0,Tab.o1[[#This Row],[DIF_Target]],AVERAGE(OFFSET(Tab.o1[[#This Row],[DIF_Target]],1,0,L$3,1)))/3,Tab.o1[[#This Row],[DIF_Target]])</f>
        <v/>
      </c>
      <c r="M1014" s="118" t="str">
        <f>IF(Tab.o1[[#This Row],[a1]]=1,NORMSDIST(Tab.o1[[#This Row],[Za]]),"")</f>
        <v/>
      </c>
      <c r="N1014" s="119" t="str">
        <f>IF(Tab.o1[[#This Row],[a1]]=1,((Tab.o1[[#This Row],[MedMod]]-AVERAGE(Tab.o1[MedMod]))/_xlfn.STDEV.P(Tab.o1[MedMod])*H$1205)+G$1205,"")</f>
        <v/>
      </c>
      <c r="O1014" s="141" t="str">
        <f>IF(Tab.o1[[#This Row],[a1]]=1,Tab.o1[[#This Row],[Zb]]*_xlfn.STDEV.P(Tab.o1[MedMod])+AVERAGE(Tab.o1[MedMod]),"")</f>
        <v/>
      </c>
      <c r="P1014" s="117" t="str">
        <f ca="1">IF(Tab.o1[[#This Row],[B]]=0,AVERAGE(OFFSET(Tab.o1[[#This Row],[B]],1,0,L$3,1)),Tab.o1[[#This Row],[B]])</f>
        <v/>
      </c>
      <c r="Q1014" s="121" t="str">
        <f>IF(Tab.o1[[#This Row],[a1]]=1,NORMSDIST(Tab.o1[[#This Row],[Zb]]),"")</f>
        <v/>
      </c>
      <c r="R1014" s="122" t="str">
        <f>IF(Tab.o1[[#This Row],[a1]]=1,((Tab.o1[[#This Row],[MedMod]]-AVERAGE(Tab.o1[MedMod]))/_xlfn.STDEV.P(Tab.o1[MedMod])*H$1203)+G$1203,"")</f>
        <v/>
      </c>
      <c r="S1014" s="122" t="str">
        <f>IF(Tab.o1[[#This Row],[a1]]=1,((Tab.o1[[#This Row],[MedMod]]-AVERAGE(Tab.o1[MedMod]))/_xlfn.STDEV.P(Tab.o1[MedMod])*H$1204)+G$1204,"")</f>
        <v/>
      </c>
      <c r="T1014" s="123" t="str">
        <f>IF(Tab.o1[[#This Row],[a1]]=1,Tab.o1[[#This Row],[Z-]]*_xlfn.STDEV.P(Tab.o1[B])+AVERAGE(Tab.o1[B]),"")</f>
        <v/>
      </c>
      <c r="U1014" s="123" t="str">
        <f>IF(Tab.o1[[#This Row],[a1]]=1,Tab.o1[[#This Row],[z+]]*_xlfn.STDEV.P(Tab.o1[B])+AVERAGE(Tab.o1[B]),"")</f>
        <v/>
      </c>
      <c r="V1014" s="124" t="str">
        <f>IF(Tab.o1[[#This Row],[a1]]=1,ABS((ABS(Tab.o1[[#This Row],[Red]]-Tab.o1[[#This Row],[Blue]]))),"")</f>
        <v/>
      </c>
      <c r="W1014" s="125" t="str">
        <f>IF(Tab.o1[[#This Row],[a1]]=1,IF(W$3=0,1,Tab.o1[[#This Row],[Amp.]]*1/_xlfn.MINIFS(Tab.o1[Amp.],Tab.o1[Amp.],"&lt;&gt;0")),"")</f>
        <v/>
      </c>
      <c r="X1014" s="126" t="str">
        <f>IF(Tab.o1[[#This Row],[a1]]=1,IF(ISNUMBER(Tab.o1[[#This Row],[i.]]),NORMDIST(Tab.o1[[#This Row],[Za]],0,1,FALSE)*Tab.o1[[#This Row],[i.]],AP$3),"")</f>
        <v/>
      </c>
      <c r="Y1014" s="126" t="str">
        <f>IF(Tab.o1[[#This Row],[a1]]=1,0.01+0.94*Tab.o1[[#This Row],[PDF]]/MAX(Tab.o1[PDF]),"")</f>
        <v/>
      </c>
      <c r="Z1014" s="126" t="str">
        <f>IF(Tab.o1[[#This Row],[a1]]=1,0.01+0.94*Tab.o1[[#This Row],[W1_PDF]]/MAX(Tab.o1[W1_PDF]),"")</f>
        <v/>
      </c>
      <c r="AA1014" s="118" t="str">
        <f>IF(Tab.o1[[#This Row],[a1]]=1,ABS([1]!T.in.A[[#This Row],[oo6]]),"")</f>
        <v/>
      </c>
      <c r="AB1014" s="127" t="str">
        <f>IF(Tab.o1[[#This Row],[a1]]=1,IF(AE$3=0,"",IF(AB$3=0,ABS([1]!T.in.A[[#This Row],[oo9]]),ABS(Tab.o1[[#This Row],[DIF_Target.]]*Tab.o1[[#This Row],[W1_PDF]]))),"")</f>
        <v/>
      </c>
      <c r="AC1014" s="127" t="str">
        <f>IF(G$1=1,"",IF(Tab.o1[[#This Row],[a1]]=1,Tab.o1[[#This Row],[Wr]]^2,""))</f>
        <v/>
      </c>
      <c r="AD1014" s="118" t="str">
        <f>IF(Tab.o1[[#This Row],[a1]]=1,IF(AE$3=0,"",Tab.o1[[#This Row],[Wr2]]/SUM(Tab.o1[Wr2])),"")</f>
        <v/>
      </c>
      <c r="AE1014" s="128" t="str">
        <f>IF(Tab.o1[[#This Row],[a1]]=1,[1]!T.in.A[[#This Row],[oo10]],"")</f>
        <v/>
      </c>
      <c r="AF1014" s="118" t="str">
        <f>IF(Tab.o1[[#This Row],[a1]]=1,ABS(Tab.o1[[#This Row],[DIF_Target.]]*Tab.o1[[#This Row],[PDF2]]*Tab.o1[[#This Row],[IN]]),"")</f>
        <v/>
      </c>
      <c r="AG1014" s="129" t="str">
        <f>IF(Tab.o1[[#This Row],[a1]]=1,Tab.o1[[#This Row],[rW]]^2,"")</f>
        <v/>
      </c>
      <c r="AH1014" s="130" t="str">
        <f>IF(Tab.o1[[#This Row],[a1]]=1,IF(AH$3=0,Tab.o1[[#This Row],[rW2]],0.01+0.94*Tab.o1[[#This Row],[rW2]]/SUM(Tab.o1[rW2])),"")</f>
        <v/>
      </c>
      <c r="AI1014" s="128" t="str">
        <f>IF(Tab.o1[[#This Row],[a1]]=1,1/Tab.o1[[#This Row],[PDF]],"")</f>
        <v/>
      </c>
      <c r="AJ1014" s="131" t="str">
        <f>IF(Tab.o1[[#This Row],[a1]]=1,[1]!T_AA[[#This Row],[IN'']]*[1]!T_AA[[#This Row],[Qde'']],"")</f>
        <v/>
      </c>
      <c r="AK1014" s="132" t="str">
        <f>IF(Tab.o1[[#This Row],[a1]]=1,IF(AK$1=1,Tab.o1[[#This Row],[MED]]+Tab.o1[[#This Row],[MOD]]-Tab.o1[[#This Row],[MED]],""),"")</f>
        <v/>
      </c>
      <c r="AL1014" s="133" t="str">
        <f>IF(Tab.o1[[#This Row],[a1]]=1,[1]!T.in.A[[#This Row],[oo16]],"")</f>
        <v/>
      </c>
      <c r="AM1014" s="133" t="str">
        <f>IF(Tab.o1[[#This Row],[a1]]=1,IF(AM$3=1,[1]!T.in.A[[#This Row],[Σo16]],""),"")</f>
        <v/>
      </c>
      <c r="AN1014" s="126" t="str">
        <f>IF(Tab.o1[[#This Row],[a1]]=1,[1]!T.in.A[[#This Row],[Σp5]],"")</f>
        <v/>
      </c>
      <c r="AO1014" s="126" t="str">
        <f>IF(Tab.o1[[#This Row],[a1]]=1,IF(AO$3=1,[1]!T.in.A[[#This Row],[Σp5]],""),"")</f>
        <v/>
      </c>
      <c r="AP1014" s="110" t="str">
        <f>IF(Tab.o1[[#This Row],[a1]]=1,IF(ISNUMBER(Tab.o1[[#This Row],[i.]]),NORMDIST(Tab.o1[[#This Row],[Za]],0,1,FALSE)*Tab.o1[[#This Row],[i.]],0),"")</f>
        <v/>
      </c>
      <c r="AQ1014" s="125" t="str">
        <f>IF(Tab.o1[[#This Row],[a1]]=1,ABS(Tab.o1[[#This Row],[MOD]]-AVERAGE(Tab.o1[MOD])),"")</f>
        <v/>
      </c>
      <c r="AR1014" s="134" t="str">
        <f>IF(Tab.o1[[#This Row],[a1]]=1,Tab.o1[[#This Row],[OBS]]/SUM(Tab.o1[OBS]),"")</f>
        <v/>
      </c>
      <c r="AS1014" s="135" t="str">
        <f>IF(ISNUMBER(Tab.o1[[#This Row],[a1]]),ROW()-4,"")</f>
        <v/>
      </c>
      <c r="AT1014" s="136" t="str">
        <f>Tab.o1[[#This Row],[MOD]]</f>
        <v/>
      </c>
      <c r="AU1014" s="137" t="str">
        <f t="shared" si="61"/>
        <v/>
      </c>
      <c r="AV1014" s="138" t="str">
        <f t="shared" si="62"/>
        <v/>
      </c>
      <c r="AW1014" s="138" t="str">
        <f t="shared" si="63"/>
        <v/>
      </c>
      <c r="AX1014" s="139" t="str">
        <f>[1]!T.in.A[[#This Row],[ID_T_manu]]</f>
        <v/>
      </c>
      <c r="AY1014" s="140" t="str">
        <f>IF(ISNUMBER(Tab.o1[[#This Row],[a1]]),IF(AND(Tab.o1[[#This Row],[a1]]=1,Tab.o1[[#This Row],[b1]]&lt;=AY$4),#REF!,AY1013),"")</f>
        <v/>
      </c>
      <c r="AZ1014" s="25"/>
      <c r="BA1014" s="25"/>
      <c r="BB1014" s="25"/>
      <c r="BC1014" s="25"/>
      <c r="BD1014" s="25"/>
      <c r="BE1014" s="25"/>
      <c r="BF1014" s="25"/>
      <c r="BG1014" s="25"/>
      <c r="BH1014" s="25"/>
      <c r="BI1014" s="25"/>
      <c r="BJ1014" s="25"/>
      <c r="BK1014" s="25"/>
      <c r="BL1014" s="25"/>
      <c r="BM1014" s="25"/>
      <c r="BN1014" s="26"/>
      <c r="BO1014" s="26"/>
      <c r="BP1014" s="26"/>
      <c r="BQ1014" s="26"/>
      <c r="BR1014" s="26"/>
      <c r="BS1014" s="26"/>
      <c r="BT1014" s="26"/>
      <c r="BU1014" s="26"/>
      <c r="BV1014" s="26"/>
      <c r="BW1014" s="26"/>
      <c r="BX1014" s="26"/>
      <c r="BY1014" s="26"/>
      <c r="BZ1014" s="26"/>
      <c r="CA1014" s="26"/>
    </row>
    <row r="1015" spans="1:79" ht="15.75" hidden="1">
      <c r="A1015" s="109">
        <v>2.0000000000000003E-6</v>
      </c>
      <c r="B1015" s="110">
        <f t="shared" si="60"/>
        <v>1015</v>
      </c>
      <c r="C1015" s="111" t="str">
        <f>IF(C$1=[1]!T.in.A[[#This Row],[oo2]],1,"")</f>
        <v/>
      </c>
      <c r="D1015" s="112" t="str">
        <f>IF(Tab.o1[[#This Row],[a1]]=1,IF(SUM(C1015:C1016)=0,0,IF(SUM(C1014:C1015)=1,1,IF(SUM(C1014:C1016)&gt;1,D1014+1,0))),"")</f>
        <v/>
      </c>
      <c r="E1015" s="113" t="str">
        <f>IF(Tab.o1[[#This Row],[a1]]=1,[1]!T.in.A[[#This Row],[oo1]],"")</f>
        <v/>
      </c>
      <c r="F1015" s="113" t="str">
        <f>IF(Tab.o1[[#This Row],[a1]]=1,[1]!T.in.A[[#This Row],[pp1]],"")</f>
        <v/>
      </c>
      <c r="G1015" s="114" t="str">
        <f>IF(Tab.o1[[#This Row],[a1]]=1,G$2+IF(G$1=1,0,Tab.o1[[#This Row],[.x1]])+[1]!T.in.A[[#This Row],[oo3]],"")</f>
        <v/>
      </c>
      <c r="H1015" s="115" t="str">
        <f>IF(Tab.o1[[#This Row],[a1]]=1,IF(H$2=0,0,IF(G$1=1,0,Tab.o1[[#This Row],[.x1]])+[1]!T.in.A[[#This Row],[oo4]]),"")</f>
        <v/>
      </c>
      <c r="I1015" s="116" t="str">
        <f>IF(Tab.o1[[#This Row],[a1]]=1,IF(J$2=0,Tab.o1[[#This Row],[MED]],Tab.o1[[#This Row],[MOD]]),"")</f>
        <v/>
      </c>
      <c r="J1015" s="116" t="str">
        <f>IF(Tab.o1[[#This Row],[a1]]=1,((Tab.o1[[#This Row],[DIF_Target.]]-AVERAGE(Tab.o1[DIF_Target.]))/_xlfn.STDEV.P(Tab.o1[DIF_Target.])),"")</f>
        <v/>
      </c>
      <c r="K1015" s="117" t="str">
        <f>IF(Tab.o1[[#This Row],[a1]]=1,IF(J$2=0,Tab.o1[[#This Row],[MOD]]-Tab.o1[[#This Row],[B]],IF(J$2=1,0,-Tab.o1[[#This Row],[MED]])+Tab.o1[[#This Row],[B]]),"")</f>
        <v/>
      </c>
      <c r="L1015" s="117" t="str">
        <f ca="1">IF(Tab.o1[[#This Row],[DIF_Target]]=0,IF(L$2=0,Tab.o1[[#This Row],[DIF_Target]],AVERAGE(OFFSET(Tab.o1[[#This Row],[DIF_Target]],1,0,L$3,1)))/3,Tab.o1[[#This Row],[DIF_Target]])</f>
        <v/>
      </c>
      <c r="M1015" s="118" t="str">
        <f>IF(Tab.o1[[#This Row],[a1]]=1,NORMSDIST(Tab.o1[[#This Row],[Za]]),"")</f>
        <v/>
      </c>
      <c r="N1015" s="119" t="str">
        <f>IF(Tab.o1[[#This Row],[a1]]=1,((Tab.o1[[#This Row],[MedMod]]-AVERAGE(Tab.o1[MedMod]))/_xlfn.STDEV.P(Tab.o1[MedMod])*H$1205)+G$1205,"")</f>
        <v/>
      </c>
      <c r="O1015" s="141" t="str">
        <f>IF(Tab.o1[[#This Row],[a1]]=1,Tab.o1[[#This Row],[Zb]]*_xlfn.STDEV.P(Tab.o1[MedMod])+AVERAGE(Tab.o1[MedMod]),"")</f>
        <v/>
      </c>
      <c r="P1015" s="117" t="str">
        <f ca="1">IF(Tab.o1[[#This Row],[B]]=0,AVERAGE(OFFSET(Tab.o1[[#This Row],[B]],1,0,L$3,1)),Tab.o1[[#This Row],[B]])</f>
        <v/>
      </c>
      <c r="Q1015" s="121" t="str">
        <f>IF(Tab.o1[[#This Row],[a1]]=1,NORMSDIST(Tab.o1[[#This Row],[Zb]]),"")</f>
        <v/>
      </c>
      <c r="R1015" s="122" t="str">
        <f>IF(Tab.o1[[#This Row],[a1]]=1,((Tab.o1[[#This Row],[MedMod]]-AVERAGE(Tab.o1[MedMod]))/_xlfn.STDEV.P(Tab.o1[MedMod])*H$1203)+G$1203,"")</f>
        <v/>
      </c>
      <c r="S1015" s="122" t="str">
        <f>IF(Tab.o1[[#This Row],[a1]]=1,((Tab.o1[[#This Row],[MedMod]]-AVERAGE(Tab.o1[MedMod]))/_xlfn.STDEV.P(Tab.o1[MedMod])*H$1204)+G$1204,"")</f>
        <v/>
      </c>
      <c r="T1015" s="123" t="str">
        <f>IF(Tab.o1[[#This Row],[a1]]=1,Tab.o1[[#This Row],[Z-]]*_xlfn.STDEV.P(Tab.o1[B])+AVERAGE(Tab.o1[B]),"")</f>
        <v/>
      </c>
      <c r="U1015" s="123" t="str">
        <f>IF(Tab.o1[[#This Row],[a1]]=1,Tab.o1[[#This Row],[z+]]*_xlfn.STDEV.P(Tab.o1[B])+AVERAGE(Tab.o1[B]),"")</f>
        <v/>
      </c>
      <c r="V1015" s="124" t="str">
        <f>IF(Tab.o1[[#This Row],[a1]]=1,ABS((ABS(Tab.o1[[#This Row],[Red]]-Tab.o1[[#This Row],[Blue]]))),"")</f>
        <v/>
      </c>
      <c r="W1015" s="125" t="str">
        <f>IF(Tab.o1[[#This Row],[a1]]=1,IF(W$3=0,1,Tab.o1[[#This Row],[Amp.]]*1/_xlfn.MINIFS(Tab.o1[Amp.],Tab.o1[Amp.],"&lt;&gt;0")),"")</f>
        <v/>
      </c>
      <c r="X1015" s="126" t="str">
        <f>IF(Tab.o1[[#This Row],[a1]]=1,IF(ISNUMBER(Tab.o1[[#This Row],[i.]]),NORMDIST(Tab.o1[[#This Row],[Za]],0,1,FALSE)*Tab.o1[[#This Row],[i.]],AP$3),"")</f>
        <v/>
      </c>
      <c r="Y1015" s="126" t="str">
        <f>IF(Tab.o1[[#This Row],[a1]]=1,0.01+0.94*Tab.o1[[#This Row],[PDF]]/MAX(Tab.o1[PDF]),"")</f>
        <v/>
      </c>
      <c r="Z1015" s="126" t="str">
        <f>IF(Tab.o1[[#This Row],[a1]]=1,0.01+0.94*Tab.o1[[#This Row],[W1_PDF]]/MAX(Tab.o1[W1_PDF]),"")</f>
        <v/>
      </c>
      <c r="AA1015" s="118" t="str">
        <f>IF(Tab.o1[[#This Row],[a1]]=1,ABS([1]!T.in.A[[#This Row],[oo6]]),"")</f>
        <v/>
      </c>
      <c r="AB1015" s="127" t="str">
        <f>IF(Tab.o1[[#This Row],[a1]]=1,IF(AE$3=0,"",IF(AB$3=0,ABS([1]!T.in.A[[#This Row],[oo9]]),ABS(Tab.o1[[#This Row],[DIF_Target.]]*Tab.o1[[#This Row],[W1_PDF]]))),"")</f>
        <v/>
      </c>
      <c r="AC1015" s="127" t="str">
        <f>IF(G$1=1,"",IF(Tab.o1[[#This Row],[a1]]=1,Tab.o1[[#This Row],[Wr]]^2,""))</f>
        <v/>
      </c>
      <c r="AD1015" s="118" t="str">
        <f>IF(Tab.o1[[#This Row],[a1]]=1,IF(AE$3=0,"",Tab.o1[[#This Row],[Wr2]]/SUM(Tab.o1[Wr2])),"")</f>
        <v/>
      </c>
      <c r="AE1015" s="128" t="str">
        <f>IF(Tab.o1[[#This Row],[a1]]=1,[1]!T.in.A[[#This Row],[oo10]],"")</f>
        <v/>
      </c>
      <c r="AF1015" s="118" t="str">
        <f>IF(Tab.o1[[#This Row],[a1]]=1,ABS(Tab.o1[[#This Row],[DIF_Target.]]*Tab.o1[[#This Row],[PDF2]]*Tab.o1[[#This Row],[IN]]),"")</f>
        <v/>
      </c>
      <c r="AG1015" s="129" t="str">
        <f>IF(Tab.o1[[#This Row],[a1]]=1,Tab.o1[[#This Row],[rW]]^2,"")</f>
        <v/>
      </c>
      <c r="AH1015" s="130" t="str">
        <f>IF(Tab.o1[[#This Row],[a1]]=1,IF(AH$3=0,Tab.o1[[#This Row],[rW2]],0.01+0.94*Tab.o1[[#This Row],[rW2]]/SUM(Tab.o1[rW2])),"")</f>
        <v/>
      </c>
      <c r="AI1015" s="128" t="str">
        <f>IF(Tab.o1[[#This Row],[a1]]=1,1/Tab.o1[[#This Row],[PDF]],"")</f>
        <v/>
      </c>
      <c r="AJ1015" s="131" t="str">
        <f>IF(Tab.o1[[#This Row],[a1]]=1,[1]!T_AA[[#This Row],[IN'']]*[1]!T_AA[[#This Row],[Qde'']],"")</f>
        <v/>
      </c>
      <c r="AK1015" s="132" t="str">
        <f>IF(Tab.o1[[#This Row],[a1]]=1,IF(AK$1=1,Tab.o1[[#This Row],[MED]]+Tab.o1[[#This Row],[MOD]]-Tab.o1[[#This Row],[MED]],""),"")</f>
        <v/>
      </c>
      <c r="AL1015" s="133" t="str">
        <f>IF(Tab.o1[[#This Row],[a1]]=1,[1]!T.in.A[[#This Row],[oo16]],"")</f>
        <v/>
      </c>
      <c r="AM1015" s="133" t="str">
        <f>IF(Tab.o1[[#This Row],[a1]]=1,IF(AM$3=1,[1]!T.in.A[[#This Row],[Σo16]],""),"")</f>
        <v/>
      </c>
      <c r="AN1015" s="126" t="str">
        <f>IF(Tab.o1[[#This Row],[a1]]=1,[1]!T.in.A[[#This Row],[Σp5]],"")</f>
        <v/>
      </c>
      <c r="AO1015" s="126" t="str">
        <f>IF(Tab.o1[[#This Row],[a1]]=1,IF(AO$3=1,[1]!T.in.A[[#This Row],[Σp5]],""),"")</f>
        <v/>
      </c>
      <c r="AP1015" s="110" t="str">
        <f>IF(Tab.o1[[#This Row],[a1]]=1,IF(ISNUMBER(Tab.o1[[#This Row],[i.]]),NORMDIST(Tab.o1[[#This Row],[Za]],0,1,FALSE)*Tab.o1[[#This Row],[i.]],0),"")</f>
        <v/>
      </c>
      <c r="AQ1015" s="125" t="str">
        <f>IF(Tab.o1[[#This Row],[a1]]=1,ABS(Tab.o1[[#This Row],[MOD]]-AVERAGE(Tab.o1[MOD])),"")</f>
        <v/>
      </c>
      <c r="AR1015" s="134" t="str">
        <f>IF(Tab.o1[[#This Row],[a1]]=1,Tab.o1[[#This Row],[OBS]]/SUM(Tab.o1[OBS]),"")</f>
        <v/>
      </c>
      <c r="AS1015" s="135" t="str">
        <f>IF(ISNUMBER(Tab.o1[[#This Row],[a1]]),ROW()-4,"")</f>
        <v/>
      </c>
      <c r="AT1015" s="136" t="str">
        <f>Tab.o1[[#This Row],[MOD]]</f>
        <v/>
      </c>
      <c r="AU1015" s="137" t="str">
        <f t="shared" si="61"/>
        <v/>
      </c>
      <c r="AV1015" s="138" t="str">
        <f t="shared" si="62"/>
        <v/>
      </c>
      <c r="AW1015" s="138" t="str">
        <f t="shared" si="63"/>
        <v/>
      </c>
      <c r="AX1015" s="139" t="str">
        <f>[1]!T.in.A[[#This Row],[ID_T_manu]]</f>
        <v/>
      </c>
      <c r="AY1015" s="140" t="str">
        <f>IF(ISNUMBER(Tab.o1[[#This Row],[a1]]),IF(AND(Tab.o1[[#This Row],[a1]]=1,Tab.o1[[#This Row],[b1]]&lt;=AY$4),#REF!,AY1014),"")</f>
        <v/>
      </c>
      <c r="AZ1015" s="25"/>
      <c r="BA1015" s="25"/>
      <c r="BB1015" s="25"/>
      <c r="BC1015" s="25"/>
      <c r="BD1015" s="25"/>
      <c r="BE1015" s="25"/>
      <c r="BF1015" s="25"/>
      <c r="BG1015" s="25"/>
      <c r="BH1015" s="25"/>
      <c r="BI1015" s="25"/>
      <c r="BJ1015" s="25"/>
      <c r="BK1015" s="25"/>
      <c r="BL1015" s="25"/>
      <c r="BM1015" s="25"/>
      <c r="BN1015" s="26"/>
      <c r="BO1015" s="26"/>
      <c r="BP1015" s="26"/>
      <c r="BQ1015" s="26"/>
      <c r="BR1015" s="26"/>
      <c r="BS1015" s="26"/>
      <c r="BT1015" s="26"/>
      <c r="BU1015" s="26"/>
      <c r="BV1015" s="26"/>
      <c r="BW1015" s="26"/>
      <c r="BX1015" s="26"/>
      <c r="BY1015" s="26"/>
      <c r="BZ1015" s="26"/>
      <c r="CA1015" s="26"/>
    </row>
    <row r="1016" spans="1:79" ht="15.75" hidden="1">
      <c r="A1016" s="109">
        <v>9.0000000000000002E-6</v>
      </c>
      <c r="B1016" s="110">
        <f t="shared" si="60"/>
        <v>1016</v>
      </c>
      <c r="C1016" s="111" t="str">
        <f>IF(C$1=[1]!T.in.A[[#This Row],[oo2]],1,"")</f>
        <v/>
      </c>
      <c r="D1016" s="112" t="str">
        <f>IF(Tab.o1[[#This Row],[a1]]=1,IF(SUM(C1016:C1017)=0,0,IF(SUM(C1015:C1016)=1,1,IF(SUM(C1015:C1017)&gt;1,D1015+1,0))),"")</f>
        <v/>
      </c>
      <c r="E1016" s="113" t="str">
        <f>IF(Tab.o1[[#This Row],[a1]]=1,[1]!T.in.A[[#This Row],[oo1]],"")</f>
        <v/>
      </c>
      <c r="F1016" s="113" t="str">
        <f>IF(Tab.o1[[#This Row],[a1]]=1,[1]!T.in.A[[#This Row],[pp1]],"")</f>
        <v/>
      </c>
      <c r="G1016" s="114" t="str">
        <f>IF(Tab.o1[[#This Row],[a1]]=1,G$2+IF(G$1=1,0,Tab.o1[[#This Row],[.x1]])+[1]!T.in.A[[#This Row],[oo3]],"")</f>
        <v/>
      </c>
      <c r="H1016" s="115" t="str">
        <f>IF(Tab.o1[[#This Row],[a1]]=1,IF(H$2=0,0,IF(G$1=1,0,Tab.o1[[#This Row],[.x1]])+[1]!T.in.A[[#This Row],[oo4]]),"")</f>
        <v/>
      </c>
      <c r="I1016" s="116" t="str">
        <f>IF(Tab.o1[[#This Row],[a1]]=1,IF(J$2=0,Tab.o1[[#This Row],[MED]],Tab.o1[[#This Row],[MOD]]),"")</f>
        <v/>
      </c>
      <c r="J1016" s="116" t="str">
        <f>IF(Tab.o1[[#This Row],[a1]]=1,((Tab.o1[[#This Row],[DIF_Target.]]-AVERAGE(Tab.o1[DIF_Target.]))/_xlfn.STDEV.P(Tab.o1[DIF_Target.])),"")</f>
        <v/>
      </c>
      <c r="K1016" s="117" t="str">
        <f>IF(Tab.o1[[#This Row],[a1]]=1,IF(J$2=0,Tab.o1[[#This Row],[MOD]]-Tab.o1[[#This Row],[B]],IF(J$2=1,0,-Tab.o1[[#This Row],[MED]])+Tab.o1[[#This Row],[B]]),"")</f>
        <v/>
      </c>
      <c r="L1016" s="117" t="str">
        <f ca="1">IF(Tab.o1[[#This Row],[DIF_Target]]=0,IF(L$2=0,Tab.o1[[#This Row],[DIF_Target]],AVERAGE(OFFSET(Tab.o1[[#This Row],[DIF_Target]],1,0,L$3,1)))/3,Tab.o1[[#This Row],[DIF_Target]])</f>
        <v/>
      </c>
      <c r="M1016" s="118" t="str">
        <f>IF(Tab.o1[[#This Row],[a1]]=1,NORMSDIST(Tab.o1[[#This Row],[Za]]),"")</f>
        <v/>
      </c>
      <c r="N1016" s="119" t="str">
        <f>IF(Tab.o1[[#This Row],[a1]]=1,((Tab.o1[[#This Row],[MedMod]]-AVERAGE(Tab.o1[MedMod]))/_xlfn.STDEV.P(Tab.o1[MedMod])*H$1205)+G$1205,"")</f>
        <v/>
      </c>
      <c r="O1016" s="141" t="str">
        <f>IF(Tab.o1[[#This Row],[a1]]=1,Tab.o1[[#This Row],[Zb]]*_xlfn.STDEV.P(Tab.o1[MedMod])+AVERAGE(Tab.o1[MedMod]),"")</f>
        <v/>
      </c>
      <c r="P1016" s="117" t="str">
        <f ca="1">IF(Tab.o1[[#This Row],[B]]=0,AVERAGE(OFFSET(Tab.o1[[#This Row],[B]],1,0,L$3,1)),Tab.o1[[#This Row],[B]])</f>
        <v/>
      </c>
      <c r="Q1016" s="121" t="str">
        <f>IF(Tab.o1[[#This Row],[a1]]=1,NORMSDIST(Tab.o1[[#This Row],[Zb]]),"")</f>
        <v/>
      </c>
      <c r="R1016" s="122" t="str">
        <f>IF(Tab.o1[[#This Row],[a1]]=1,((Tab.o1[[#This Row],[MedMod]]-AVERAGE(Tab.o1[MedMod]))/_xlfn.STDEV.P(Tab.o1[MedMod])*H$1203)+G$1203,"")</f>
        <v/>
      </c>
      <c r="S1016" s="122" t="str">
        <f>IF(Tab.o1[[#This Row],[a1]]=1,((Tab.o1[[#This Row],[MedMod]]-AVERAGE(Tab.o1[MedMod]))/_xlfn.STDEV.P(Tab.o1[MedMod])*H$1204)+G$1204,"")</f>
        <v/>
      </c>
      <c r="T1016" s="123" t="str">
        <f>IF(Tab.o1[[#This Row],[a1]]=1,Tab.o1[[#This Row],[Z-]]*_xlfn.STDEV.P(Tab.o1[B])+AVERAGE(Tab.o1[B]),"")</f>
        <v/>
      </c>
      <c r="U1016" s="123" t="str">
        <f>IF(Tab.o1[[#This Row],[a1]]=1,Tab.o1[[#This Row],[z+]]*_xlfn.STDEV.P(Tab.o1[B])+AVERAGE(Tab.o1[B]),"")</f>
        <v/>
      </c>
      <c r="V1016" s="124" t="str">
        <f>IF(Tab.o1[[#This Row],[a1]]=1,ABS((ABS(Tab.o1[[#This Row],[Red]]-Tab.o1[[#This Row],[Blue]]))),"")</f>
        <v/>
      </c>
      <c r="W1016" s="125" t="str">
        <f>IF(Tab.o1[[#This Row],[a1]]=1,IF(W$3=0,1,Tab.o1[[#This Row],[Amp.]]*1/_xlfn.MINIFS(Tab.o1[Amp.],Tab.o1[Amp.],"&lt;&gt;0")),"")</f>
        <v/>
      </c>
      <c r="X1016" s="126" t="str">
        <f>IF(Tab.o1[[#This Row],[a1]]=1,IF(ISNUMBER(Tab.o1[[#This Row],[i.]]),NORMDIST(Tab.o1[[#This Row],[Za]],0,1,FALSE)*Tab.o1[[#This Row],[i.]],AP$3),"")</f>
        <v/>
      </c>
      <c r="Y1016" s="126" t="str">
        <f>IF(Tab.o1[[#This Row],[a1]]=1,0.01+0.94*Tab.o1[[#This Row],[PDF]]/MAX(Tab.o1[PDF]),"")</f>
        <v/>
      </c>
      <c r="Z1016" s="126" t="str">
        <f>IF(Tab.o1[[#This Row],[a1]]=1,0.01+0.94*Tab.o1[[#This Row],[W1_PDF]]/MAX(Tab.o1[W1_PDF]),"")</f>
        <v/>
      </c>
      <c r="AA1016" s="118" t="str">
        <f>IF(Tab.o1[[#This Row],[a1]]=1,ABS([1]!T.in.A[[#This Row],[oo6]]),"")</f>
        <v/>
      </c>
      <c r="AB1016" s="127" t="str">
        <f>IF(Tab.o1[[#This Row],[a1]]=1,IF(AE$3=0,"",IF(AB$3=0,ABS([1]!T.in.A[[#This Row],[oo9]]),ABS(Tab.o1[[#This Row],[DIF_Target.]]*Tab.o1[[#This Row],[W1_PDF]]))),"")</f>
        <v/>
      </c>
      <c r="AC1016" s="127" t="str">
        <f>IF(G$1=1,"",IF(Tab.o1[[#This Row],[a1]]=1,Tab.o1[[#This Row],[Wr]]^2,""))</f>
        <v/>
      </c>
      <c r="AD1016" s="118" t="str">
        <f>IF(Tab.o1[[#This Row],[a1]]=1,IF(AE$3=0,"",Tab.o1[[#This Row],[Wr2]]/SUM(Tab.o1[Wr2])),"")</f>
        <v/>
      </c>
      <c r="AE1016" s="128" t="str">
        <f>IF(Tab.o1[[#This Row],[a1]]=1,[1]!T.in.A[[#This Row],[oo10]],"")</f>
        <v/>
      </c>
      <c r="AF1016" s="118" t="str">
        <f>IF(Tab.o1[[#This Row],[a1]]=1,ABS(Tab.o1[[#This Row],[DIF_Target.]]*Tab.o1[[#This Row],[PDF2]]*Tab.o1[[#This Row],[IN]]),"")</f>
        <v/>
      </c>
      <c r="AG1016" s="129" t="str">
        <f>IF(Tab.o1[[#This Row],[a1]]=1,Tab.o1[[#This Row],[rW]]^2,"")</f>
        <v/>
      </c>
      <c r="AH1016" s="130" t="str">
        <f>IF(Tab.o1[[#This Row],[a1]]=1,IF(AH$3=0,Tab.o1[[#This Row],[rW2]],0.01+0.94*Tab.o1[[#This Row],[rW2]]/SUM(Tab.o1[rW2])),"")</f>
        <v/>
      </c>
      <c r="AI1016" s="128" t="str">
        <f>IF(Tab.o1[[#This Row],[a1]]=1,1/Tab.o1[[#This Row],[PDF]],"")</f>
        <v/>
      </c>
      <c r="AJ1016" s="131" t="str">
        <f>IF(Tab.o1[[#This Row],[a1]]=1,[1]!T_AA[[#This Row],[IN'']]*[1]!T_AA[[#This Row],[Qde'']],"")</f>
        <v/>
      </c>
      <c r="AK1016" s="132" t="str">
        <f>IF(Tab.o1[[#This Row],[a1]]=1,IF(AK$1=1,Tab.o1[[#This Row],[MED]]+Tab.o1[[#This Row],[MOD]]-Tab.o1[[#This Row],[MED]],""),"")</f>
        <v/>
      </c>
      <c r="AL1016" s="133" t="str">
        <f>IF(Tab.o1[[#This Row],[a1]]=1,[1]!T.in.A[[#This Row],[oo16]],"")</f>
        <v/>
      </c>
      <c r="AM1016" s="133" t="str">
        <f>IF(Tab.o1[[#This Row],[a1]]=1,IF(AM$3=1,[1]!T.in.A[[#This Row],[Σo16]],""),"")</f>
        <v/>
      </c>
      <c r="AN1016" s="126" t="str">
        <f>IF(Tab.o1[[#This Row],[a1]]=1,[1]!T.in.A[[#This Row],[Σp5]],"")</f>
        <v/>
      </c>
      <c r="AO1016" s="126" t="str">
        <f>IF(Tab.o1[[#This Row],[a1]]=1,IF(AO$3=1,[1]!T.in.A[[#This Row],[Σp5]],""),"")</f>
        <v/>
      </c>
      <c r="AP1016" s="110" t="str">
        <f>IF(Tab.o1[[#This Row],[a1]]=1,IF(ISNUMBER(Tab.o1[[#This Row],[i.]]),NORMDIST(Tab.o1[[#This Row],[Za]],0,1,FALSE)*Tab.o1[[#This Row],[i.]],0),"")</f>
        <v/>
      </c>
      <c r="AQ1016" s="125" t="str">
        <f>IF(Tab.o1[[#This Row],[a1]]=1,ABS(Tab.o1[[#This Row],[MOD]]-AVERAGE(Tab.o1[MOD])),"")</f>
        <v/>
      </c>
      <c r="AR1016" s="134" t="str">
        <f>IF(Tab.o1[[#This Row],[a1]]=1,Tab.o1[[#This Row],[OBS]]/SUM(Tab.o1[OBS]),"")</f>
        <v/>
      </c>
      <c r="AS1016" s="135" t="str">
        <f>IF(ISNUMBER(Tab.o1[[#This Row],[a1]]),ROW()-4,"")</f>
        <v/>
      </c>
      <c r="AT1016" s="136" t="str">
        <f>Tab.o1[[#This Row],[MOD]]</f>
        <v/>
      </c>
      <c r="AU1016" s="137" t="str">
        <f t="shared" si="61"/>
        <v/>
      </c>
      <c r="AV1016" s="138" t="str">
        <f t="shared" si="62"/>
        <v/>
      </c>
      <c r="AW1016" s="138" t="str">
        <f t="shared" si="63"/>
        <v/>
      </c>
      <c r="AX1016" s="139" t="str">
        <f>[1]!T.in.A[[#This Row],[ID_T_manu]]</f>
        <v/>
      </c>
      <c r="AY1016" s="140" t="str">
        <f>IF(ISNUMBER(Tab.o1[[#This Row],[a1]]),IF(AND(Tab.o1[[#This Row],[a1]]=1,Tab.o1[[#This Row],[b1]]&lt;=AY$4),#REF!,AY1015),"")</f>
        <v/>
      </c>
      <c r="AZ1016" s="25"/>
      <c r="BA1016" s="25"/>
      <c r="BB1016" s="25"/>
      <c r="BC1016" s="25"/>
      <c r="BD1016" s="25"/>
      <c r="BE1016" s="25"/>
      <c r="BF1016" s="25"/>
      <c r="BG1016" s="25"/>
      <c r="BH1016" s="25"/>
      <c r="BI1016" s="25"/>
      <c r="BJ1016" s="25"/>
      <c r="BK1016" s="25"/>
      <c r="BL1016" s="25"/>
      <c r="BM1016" s="25"/>
      <c r="BN1016" s="26"/>
      <c r="BO1016" s="26"/>
      <c r="BP1016" s="26"/>
      <c r="BQ1016" s="26"/>
      <c r="BR1016" s="26"/>
      <c r="BS1016" s="26"/>
      <c r="BT1016" s="26"/>
      <c r="BU1016" s="26"/>
      <c r="BV1016" s="26"/>
      <c r="BW1016" s="26"/>
      <c r="BX1016" s="26"/>
      <c r="BY1016" s="26"/>
      <c r="BZ1016" s="26"/>
      <c r="CA1016" s="26"/>
    </row>
    <row r="1017" spans="1:79" ht="15.75" hidden="1">
      <c r="A1017" s="109">
        <v>-1.0000000000000001E-5</v>
      </c>
      <c r="B1017" s="110">
        <f t="shared" si="60"/>
        <v>1017</v>
      </c>
      <c r="C1017" s="111" t="str">
        <f>IF(C$1=[1]!T.in.A[[#This Row],[oo2]],1,"")</f>
        <v/>
      </c>
      <c r="D1017" s="112" t="str">
        <f>IF(Tab.o1[[#This Row],[a1]]=1,IF(SUM(C1017:C1018)=0,0,IF(SUM(C1016:C1017)=1,1,IF(SUM(C1016:C1018)&gt;1,D1016+1,0))),"")</f>
        <v/>
      </c>
      <c r="E1017" s="113" t="str">
        <f>IF(Tab.o1[[#This Row],[a1]]=1,[1]!T.in.A[[#This Row],[oo1]],"")</f>
        <v/>
      </c>
      <c r="F1017" s="113" t="str">
        <f>IF(Tab.o1[[#This Row],[a1]]=1,[1]!T.in.A[[#This Row],[pp1]],"")</f>
        <v/>
      </c>
      <c r="G1017" s="114" t="str">
        <f>IF(Tab.o1[[#This Row],[a1]]=1,G$2+IF(G$1=1,0,Tab.o1[[#This Row],[.x1]])+[1]!T.in.A[[#This Row],[oo3]],"")</f>
        <v/>
      </c>
      <c r="H1017" s="115" t="str">
        <f>IF(Tab.o1[[#This Row],[a1]]=1,IF(H$2=0,0,IF(G$1=1,0,Tab.o1[[#This Row],[.x1]])+[1]!T.in.A[[#This Row],[oo4]]),"")</f>
        <v/>
      </c>
      <c r="I1017" s="116" t="str">
        <f>IF(Tab.o1[[#This Row],[a1]]=1,IF(J$2=0,Tab.o1[[#This Row],[MED]],Tab.o1[[#This Row],[MOD]]),"")</f>
        <v/>
      </c>
      <c r="J1017" s="116" t="str">
        <f>IF(Tab.o1[[#This Row],[a1]]=1,((Tab.o1[[#This Row],[DIF_Target.]]-AVERAGE(Tab.o1[DIF_Target.]))/_xlfn.STDEV.P(Tab.o1[DIF_Target.])),"")</f>
        <v/>
      </c>
      <c r="K1017" s="117" t="str">
        <f>IF(Tab.o1[[#This Row],[a1]]=1,IF(J$2=0,Tab.o1[[#This Row],[MOD]]-Tab.o1[[#This Row],[B]],IF(J$2=1,0,-Tab.o1[[#This Row],[MED]])+Tab.o1[[#This Row],[B]]),"")</f>
        <v/>
      </c>
      <c r="L1017" s="117" t="str">
        <f ca="1">IF(Tab.o1[[#This Row],[DIF_Target]]=0,IF(L$2=0,Tab.o1[[#This Row],[DIF_Target]],AVERAGE(OFFSET(Tab.o1[[#This Row],[DIF_Target]],1,0,L$3,1)))/3,Tab.o1[[#This Row],[DIF_Target]])</f>
        <v/>
      </c>
      <c r="M1017" s="118" t="str">
        <f>IF(Tab.o1[[#This Row],[a1]]=1,NORMSDIST(Tab.o1[[#This Row],[Za]]),"")</f>
        <v/>
      </c>
      <c r="N1017" s="119" t="str">
        <f>IF(Tab.o1[[#This Row],[a1]]=1,((Tab.o1[[#This Row],[MedMod]]-AVERAGE(Tab.o1[MedMod]))/_xlfn.STDEV.P(Tab.o1[MedMod])*H$1205)+G$1205,"")</f>
        <v/>
      </c>
      <c r="O1017" s="141" t="str">
        <f>IF(Tab.o1[[#This Row],[a1]]=1,Tab.o1[[#This Row],[Zb]]*_xlfn.STDEV.P(Tab.o1[MedMod])+AVERAGE(Tab.o1[MedMod]),"")</f>
        <v/>
      </c>
      <c r="P1017" s="117" t="str">
        <f ca="1">IF(Tab.o1[[#This Row],[B]]=0,AVERAGE(OFFSET(Tab.o1[[#This Row],[B]],1,0,L$3,1)),Tab.o1[[#This Row],[B]])</f>
        <v/>
      </c>
      <c r="Q1017" s="121" t="str">
        <f>IF(Tab.o1[[#This Row],[a1]]=1,NORMSDIST(Tab.o1[[#This Row],[Zb]]),"")</f>
        <v/>
      </c>
      <c r="R1017" s="122" t="str">
        <f>IF(Tab.o1[[#This Row],[a1]]=1,((Tab.o1[[#This Row],[MedMod]]-AVERAGE(Tab.o1[MedMod]))/_xlfn.STDEV.P(Tab.o1[MedMod])*H$1203)+G$1203,"")</f>
        <v/>
      </c>
      <c r="S1017" s="122" t="str">
        <f>IF(Tab.o1[[#This Row],[a1]]=1,((Tab.o1[[#This Row],[MedMod]]-AVERAGE(Tab.o1[MedMod]))/_xlfn.STDEV.P(Tab.o1[MedMod])*H$1204)+G$1204,"")</f>
        <v/>
      </c>
      <c r="T1017" s="123" t="str">
        <f>IF(Tab.o1[[#This Row],[a1]]=1,Tab.o1[[#This Row],[Z-]]*_xlfn.STDEV.P(Tab.o1[B])+AVERAGE(Tab.o1[B]),"")</f>
        <v/>
      </c>
      <c r="U1017" s="123" t="str">
        <f>IF(Tab.o1[[#This Row],[a1]]=1,Tab.o1[[#This Row],[z+]]*_xlfn.STDEV.P(Tab.o1[B])+AVERAGE(Tab.o1[B]),"")</f>
        <v/>
      </c>
      <c r="V1017" s="124" t="str">
        <f>IF(Tab.o1[[#This Row],[a1]]=1,ABS((ABS(Tab.o1[[#This Row],[Red]]-Tab.o1[[#This Row],[Blue]]))),"")</f>
        <v/>
      </c>
      <c r="W1017" s="125" t="str">
        <f>IF(Tab.o1[[#This Row],[a1]]=1,IF(W$3=0,1,Tab.o1[[#This Row],[Amp.]]*1/_xlfn.MINIFS(Tab.o1[Amp.],Tab.o1[Amp.],"&lt;&gt;0")),"")</f>
        <v/>
      </c>
      <c r="X1017" s="126" t="str">
        <f>IF(Tab.o1[[#This Row],[a1]]=1,IF(ISNUMBER(Tab.o1[[#This Row],[i.]]),NORMDIST(Tab.o1[[#This Row],[Za]],0,1,FALSE)*Tab.o1[[#This Row],[i.]],AP$3),"")</f>
        <v/>
      </c>
      <c r="Y1017" s="126" t="str">
        <f>IF(Tab.o1[[#This Row],[a1]]=1,0.01+0.94*Tab.o1[[#This Row],[PDF]]/MAX(Tab.o1[PDF]),"")</f>
        <v/>
      </c>
      <c r="Z1017" s="126" t="str">
        <f>IF(Tab.o1[[#This Row],[a1]]=1,0.01+0.94*Tab.o1[[#This Row],[W1_PDF]]/MAX(Tab.o1[W1_PDF]),"")</f>
        <v/>
      </c>
      <c r="AA1017" s="118" t="str">
        <f>IF(Tab.o1[[#This Row],[a1]]=1,ABS([1]!T.in.A[[#This Row],[oo6]]),"")</f>
        <v/>
      </c>
      <c r="AB1017" s="127" t="str">
        <f>IF(Tab.o1[[#This Row],[a1]]=1,IF(AE$3=0,"",IF(AB$3=0,ABS([1]!T.in.A[[#This Row],[oo9]]),ABS(Tab.o1[[#This Row],[DIF_Target.]]*Tab.o1[[#This Row],[W1_PDF]]))),"")</f>
        <v/>
      </c>
      <c r="AC1017" s="127" t="str">
        <f>IF(G$1=1,"",IF(Tab.o1[[#This Row],[a1]]=1,Tab.o1[[#This Row],[Wr]]^2,""))</f>
        <v/>
      </c>
      <c r="AD1017" s="118" t="str">
        <f>IF(Tab.o1[[#This Row],[a1]]=1,IF(AE$3=0,"",Tab.o1[[#This Row],[Wr2]]/SUM(Tab.o1[Wr2])),"")</f>
        <v/>
      </c>
      <c r="AE1017" s="128" t="str">
        <f>IF(Tab.o1[[#This Row],[a1]]=1,[1]!T.in.A[[#This Row],[oo10]],"")</f>
        <v/>
      </c>
      <c r="AF1017" s="118" t="str">
        <f>IF(Tab.o1[[#This Row],[a1]]=1,ABS(Tab.o1[[#This Row],[DIF_Target.]]*Tab.o1[[#This Row],[PDF2]]*Tab.o1[[#This Row],[IN]]),"")</f>
        <v/>
      </c>
      <c r="AG1017" s="129" t="str">
        <f>IF(Tab.o1[[#This Row],[a1]]=1,Tab.o1[[#This Row],[rW]]^2,"")</f>
        <v/>
      </c>
      <c r="AH1017" s="130" t="str">
        <f>IF(Tab.o1[[#This Row],[a1]]=1,IF(AH$3=0,Tab.o1[[#This Row],[rW2]],0.01+0.94*Tab.o1[[#This Row],[rW2]]/SUM(Tab.o1[rW2])),"")</f>
        <v/>
      </c>
      <c r="AI1017" s="128" t="str">
        <f>IF(Tab.o1[[#This Row],[a1]]=1,1/Tab.o1[[#This Row],[PDF]],"")</f>
        <v/>
      </c>
      <c r="AJ1017" s="131" t="str">
        <f>IF(Tab.o1[[#This Row],[a1]]=1,[1]!T_AA[[#This Row],[IN'']]*[1]!T_AA[[#This Row],[Qde'']],"")</f>
        <v/>
      </c>
      <c r="AK1017" s="132" t="str">
        <f>IF(Tab.o1[[#This Row],[a1]]=1,IF(AK$1=1,Tab.o1[[#This Row],[MED]]+Tab.o1[[#This Row],[MOD]]-Tab.o1[[#This Row],[MED]],""),"")</f>
        <v/>
      </c>
      <c r="AL1017" s="133" t="str">
        <f>IF(Tab.o1[[#This Row],[a1]]=1,[1]!T.in.A[[#This Row],[oo16]],"")</f>
        <v/>
      </c>
      <c r="AM1017" s="133" t="str">
        <f>IF(Tab.o1[[#This Row],[a1]]=1,IF(AM$3=1,[1]!T.in.A[[#This Row],[Σo16]],""),"")</f>
        <v/>
      </c>
      <c r="AN1017" s="126" t="str">
        <f>IF(Tab.o1[[#This Row],[a1]]=1,[1]!T.in.A[[#This Row],[Σp5]],"")</f>
        <v/>
      </c>
      <c r="AO1017" s="126" t="str">
        <f>IF(Tab.o1[[#This Row],[a1]]=1,IF(AO$3=1,[1]!T.in.A[[#This Row],[Σp5]],""),"")</f>
        <v/>
      </c>
      <c r="AP1017" s="110" t="str">
        <f>IF(Tab.o1[[#This Row],[a1]]=1,IF(ISNUMBER(Tab.o1[[#This Row],[i.]]),NORMDIST(Tab.o1[[#This Row],[Za]],0,1,FALSE)*Tab.o1[[#This Row],[i.]],0),"")</f>
        <v/>
      </c>
      <c r="AQ1017" s="125" t="str">
        <f>IF(Tab.o1[[#This Row],[a1]]=1,ABS(Tab.o1[[#This Row],[MOD]]-AVERAGE(Tab.o1[MOD])),"")</f>
        <v/>
      </c>
      <c r="AR1017" s="134" t="str">
        <f>IF(Tab.o1[[#This Row],[a1]]=1,Tab.o1[[#This Row],[OBS]]/SUM(Tab.o1[OBS]),"")</f>
        <v/>
      </c>
      <c r="AS1017" s="135" t="str">
        <f>IF(ISNUMBER(Tab.o1[[#This Row],[a1]]),ROW()-4,"")</f>
        <v/>
      </c>
      <c r="AT1017" s="136" t="str">
        <f>Tab.o1[[#This Row],[MOD]]</f>
        <v/>
      </c>
      <c r="AU1017" s="137" t="str">
        <f t="shared" si="61"/>
        <v/>
      </c>
      <c r="AV1017" s="138" t="str">
        <f t="shared" si="62"/>
        <v/>
      </c>
      <c r="AW1017" s="138" t="str">
        <f t="shared" si="63"/>
        <v/>
      </c>
      <c r="AX1017" s="139" t="str">
        <f>[1]!T.in.A[[#This Row],[ID_T_manu]]</f>
        <v/>
      </c>
      <c r="AY1017" s="140" t="str">
        <f>IF(ISNUMBER(Tab.o1[[#This Row],[a1]]),IF(AND(Tab.o1[[#This Row],[a1]]=1,Tab.o1[[#This Row],[b1]]&lt;=AY$4),#REF!,AY1016),"")</f>
        <v/>
      </c>
      <c r="AZ1017" s="25"/>
      <c r="BA1017" s="25"/>
      <c r="BB1017" s="25"/>
      <c r="BC1017" s="25"/>
      <c r="BD1017" s="25"/>
      <c r="BE1017" s="25"/>
      <c r="BF1017" s="25"/>
      <c r="BG1017" s="25"/>
      <c r="BH1017" s="25"/>
      <c r="BI1017" s="25"/>
      <c r="BJ1017" s="25"/>
      <c r="BK1017" s="25"/>
      <c r="BL1017" s="25"/>
      <c r="BM1017" s="25"/>
      <c r="BN1017" s="26"/>
      <c r="BO1017" s="26"/>
      <c r="BP1017" s="26"/>
      <c r="BQ1017" s="26"/>
      <c r="BR1017" s="26"/>
      <c r="BS1017" s="26"/>
      <c r="BT1017" s="26"/>
      <c r="BU1017" s="26"/>
      <c r="BV1017" s="26"/>
      <c r="BW1017" s="26"/>
      <c r="BX1017" s="26"/>
      <c r="BY1017" s="26"/>
      <c r="BZ1017" s="26"/>
      <c r="CA1017" s="26"/>
    </row>
    <row r="1018" spans="1:79" ht="15.75" hidden="1">
      <c r="A1018" s="109">
        <v>6.9999999999999999E-6</v>
      </c>
      <c r="B1018" s="110">
        <f t="shared" si="60"/>
        <v>1018</v>
      </c>
      <c r="C1018" s="111" t="str">
        <f>IF(C$1=[1]!T.in.A[[#This Row],[oo2]],1,"")</f>
        <v/>
      </c>
      <c r="D1018" s="112" t="str">
        <f>IF(Tab.o1[[#This Row],[a1]]=1,IF(SUM(C1018:C1019)=0,0,IF(SUM(C1017:C1018)=1,1,IF(SUM(C1017:C1019)&gt;1,D1017+1,0))),"")</f>
        <v/>
      </c>
      <c r="E1018" s="113" t="str">
        <f>IF(Tab.o1[[#This Row],[a1]]=1,[1]!T.in.A[[#This Row],[oo1]],"")</f>
        <v/>
      </c>
      <c r="F1018" s="113" t="str">
        <f>IF(Tab.o1[[#This Row],[a1]]=1,[1]!T.in.A[[#This Row],[pp1]],"")</f>
        <v/>
      </c>
      <c r="G1018" s="114" t="str">
        <f>IF(Tab.o1[[#This Row],[a1]]=1,G$2+IF(G$1=1,0,Tab.o1[[#This Row],[.x1]])+[1]!T.in.A[[#This Row],[oo3]],"")</f>
        <v/>
      </c>
      <c r="H1018" s="115" t="str">
        <f>IF(Tab.o1[[#This Row],[a1]]=1,IF(H$2=0,0,IF(G$1=1,0,Tab.o1[[#This Row],[.x1]])+[1]!T.in.A[[#This Row],[oo4]]),"")</f>
        <v/>
      </c>
      <c r="I1018" s="116" t="str">
        <f>IF(Tab.o1[[#This Row],[a1]]=1,IF(J$2=0,Tab.o1[[#This Row],[MED]],Tab.o1[[#This Row],[MOD]]),"")</f>
        <v/>
      </c>
      <c r="J1018" s="116" t="str">
        <f>IF(Tab.o1[[#This Row],[a1]]=1,((Tab.o1[[#This Row],[DIF_Target.]]-AVERAGE(Tab.o1[DIF_Target.]))/_xlfn.STDEV.P(Tab.o1[DIF_Target.])),"")</f>
        <v/>
      </c>
      <c r="K1018" s="117" t="str">
        <f>IF(Tab.o1[[#This Row],[a1]]=1,IF(J$2=0,Tab.o1[[#This Row],[MOD]]-Tab.o1[[#This Row],[B]],IF(J$2=1,0,-Tab.o1[[#This Row],[MED]])+Tab.o1[[#This Row],[B]]),"")</f>
        <v/>
      </c>
      <c r="L1018" s="117" t="str">
        <f ca="1">IF(Tab.o1[[#This Row],[DIF_Target]]=0,IF(L$2=0,Tab.o1[[#This Row],[DIF_Target]],AVERAGE(OFFSET(Tab.o1[[#This Row],[DIF_Target]],1,0,L$3,1)))/3,Tab.o1[[#This Row],[DIF_Target]])</f>
        <v/>
      </c>
      <c r="M1018" s="118" t="str">
        <f>IF(Tab.o1[[#This Row],[a1]]=1,NORMSDIST(Tab.o1[[#This Row],[Za]]),"")</f>
        <v/>
      </c>
      <c r="N1018" s="119" t="str">
        <f>IF(Tab.o1[[#This Row],[a1]]=1,((Tab.o1[[#This Row],[MedMod]]-AVERAGE(Tab.o1[MedMod]))/_xlfn.STDEV.P(Tab.o1[MedMod])*H$1205)+G$1205,"")</f>
        <v/>
      </c>
      <c r="O1018" s="141" t="str">
        <f>IF(Tab.o1[[#This Row],[a1]]=1,Tab.o1[[#This Row],[Zb]]*_xlfn.STDEV.P(Tab.o1[MedMod])+AVERAGE(Tab.o1[MedMod]),"")</f>
        <v/>
      </c>
      <c r="P1018" s="117" t="str">
        <f ca="1">IF(Tab.o1[[#This Row],[B]]=0,AVERAGE(OFFSET(Tab.o1[[#This Row],[B]],1,0,L$3,1)),Tab.o1[[#This Row],[B]])</f>
        <v/>
      </c>
      <c r="Q1018" s="121" t="str">
        <f>IF(Tab.o1[[#This Row],[a1]]=1,NORMSDIST(Tab.o1[[#This Row],[Zb]]),"")</f>
        <v/>
      </c>
      <c r="R1018" s="122" t="str">
        <f>IF(Tab.o1[[#This Row],[a1]]=1,((Tab.o1[[#This Row],[MedMod]]-AVERAGE(Tab.o1[MedMod]))/_xlfn.STDEV.P(Tab.o1[MedMod])*H$1203)+G$1203,"")</f>
        <v/>
      </c>
      <c r="S1018" s="122" t="str">
        <f>IF(Tab.o1[[#This Row],[a1]]=1,((Tab.o1[[#This Row],[MedMod]]-AVERAGE(Tab.o1[MedMod]))/_xlfn.STDEV.P(Tab.o1[MedMod])*H$1204)+G$1204,"")</f>
        <v/>
      </c>
      <c r="T1018" s="123" t="str">
        <f>IF(Tab.o1[[#This Row],[a1]]=1,Tab.o1[[#This Row],[Z-]]*_xlfn.STDEV.P(Tab.o1[B])+AVERAGE(Tab.o1[B]),"")</f>
        <v/>
      </c>
      <c r="U1018" s="123" t="str">
        <f>IF(Tab.o1[[#This Row],[a1]]=1,Tab.o1[[#This Row],[z+]]*_xlfn.STDEV.P(Tab.o1[B])+AVERAGE(Tab.o1[B]),"")</f>
        <v/>
      </c>
      <c r="V1018" s="124" t="str">
        <f>IF(Tab.o1[[#This Row],[a1]]=1,ABS((ABS(Tab.o1[[#This Row],[Red]]-Tab.o1[[#This Row],[Blue]]))),"")</f>
        <v/>
      </c>
      <c r="W1018" s="125" t="str">
        <f>IF(Tab.o1[[#This Row],[a1]]=1,IF(W$3=0,1,Tab.o1[[#This Row],[Amp.]]*1/_xlfn.MINIFS(Tab.o1[Amp.],Tab.o1[Amp.],"&lt;&gt;0")),"")</f>
        <v/>
      </c>
      <c r="X1018" s="126" t="str">
        <f>IF(Tab.o1[[#This Row],[a1]]=1,IF(ISNUMBER(Tab.o1[[#This Row],[i.]]),NORMDIST(Tab.o1[[#This Row],[Za]],0,1,FALSE)*Tab.o1[[#This Row],[i.]],AP$3),"")</f>
        <v/>
      </c>
      <c r="Y1018" s="126" t="str">
        <f>IF(Tab.o1[[#This Row],[a1]]=1,0.01+0.94*Tab.o1[[#This Row],[PDF]]/MAX(Tab.o1[PDF]),"")</f>
        <v/>
      </c>
      <c r="Z1018" s="126" t="str">
        <f>IF(Tab.o1[[#This Row],[a1]]=1,0.01+0.94*Tab.o1[[#This Row],[W1_PDF]]/MAX(Tab.o1[W1_PDF]),"")</f>
        <v/>
      </c>
      <c r="AA1018" s="118" t="str">
        <f>IF(Tab.o1[[#This Row],[a1]]=1,ABS([1]!T.in.A[[#This Row],[oo6]]),"")</f>
        <v/>
      </c>
      <c r="AB1018" s="127" t="str">
        <f>IF(Tab.o1[[#This Row],[a1]]=1,IF(AE$3=0,"",IF(AB$3=0,ABS([1]!T.in.A[[#This Row],[oo9]]),ABS(Tab.o1[[#This Row],[DIF_Target.]]*Tab.o1[[#This Row],[W1_PDF]]))),"")</f>
        <v/>
      </c>
      <c r="AC1018" s="127" t="str">
        <f>IF(G$1=1,"",IF(Tab.o1[[#This Row],[a1]]=1,Tab.o1[[#This Row],[Wr]]^2,""))</f>
        <v/>
      </c>
      <c r="AD1018" s="118" t="str">
        <f>IF(Tab.o1[[#This Row],[a1]]=1,IF(AE$3=0,"",Tab.o1[[#This Row],[Wr2]]/SUM(Tab.o1[Wr2])),"")</f>
        <v/>
      </c>
      <c r="AE1018" s="128" t="str">
        <f>IF(Tab.o1[[#This Row],[a1]]=1,[1]!T.in.A[[#This Row],[oo10]],"")</f>
        <v/>
      </c>
      <c r="AF1018" s="118" t="str">
        <f>IF(Tab.o1[[#This Row],[a1]]=1,ABS(Tab.o1[[#This Row],[DIF_Target.]]*Tab.o1[[#This Row],[PDF2]]*Tab.o1[[#This Row],[IN]]),"")</f>
        <v/>
      </c>
      <c r="AG1018" s="129" t="str">
        <f>IF(Tab.o1[[#This Row],[a1]]=1,Tab.o1[[#This Row],[rW]]^2,"")</f>
        <v/>
      </c>
      <c r="AH1018" s="130" t="str">
        <f>IF(Tab.o1[[#This Row],[a1]]=1,IF(AH$3=0,Tab.o1[[#This Row],[rW2]],0.01+0.94*Tab.o1[[#This Row],[rW2]]/SUM(Tab.o1[rW2])),"")</f>
        <v/>
      </c>
      <c r="AI1018" s="128" t="str">
        <f>IF(Tab.o1[[#This Row],[a1]]=1,1/Tab.o1[[#This Row],[PDF]],"")</f>
        <v/>
      </c>
      <c r="AJ1018" s="131" t="str">
        <f>IF(Tab.o1[[#This Row],[a1]]=1,[1]!T_AA[[#This Row],[IN'']]*[1]!T_AA[[#This Row],[Qde'']],"")</f>
        <v/>
      </c>
      <c r="AK1018" s="132" t="str">
        <f>IF(Tab.o1[[#This Row],[a1]]=1,IF(AK$1=1,Tab.o1[[#This Row],[MED]]+Tab.o1[[#This Row],[MOD]]-Tab.o1[[#This Row],[MED]],""),"")</f>
        <v/>
      </c>
      <c r="AL1018" s="133" t="str">
        <f>IF(Tab.o1[[#This Row],[a1]]=1,[1]!T.in.A[[#This Row],[oo16]],"")</f>
        <v/>
      </c>
      <c r="AM1018" s="133" t="str">
        <f>IF(Tab.o1[[#This Row],[a1]]=1,IF(AM$3=1,[1]!T.in.A[[#This Row],[Σo16]],""),"")</f>
        <v/>
      </c>
      <c r="AN1018" s="126" t="str">
        <f>IF(Tab.o1[[#This Row],[a1]]=1,[1]!T.in.A[[#This Row],[Σp5]],"")</f>
        <v/>
      </c>
      <c r="AO1018" s="126" t="str">
        <f>IF(Tab.o1[[#This Row],[a1]]=1,IF(AO$3=1,[1]!T.in.A[[#This Row],[Σp5]],""),"")</f>
        <v/>
      </c>
      <c r="AP1018" s="110" t="str">
        <f>IF(Tab.o1[[#This Row],[a1]]=1,IF(ISNUMBER(Tab.o1[[#This Row],[i.]]),NORMDIST(Tab.o1[[#This Row],[Za]],0,1,FALSE)*Tab.o1[[#This Row],[i.]],0),"")</f>
        <v/>
      </c>
      <c r="AQ1018" s="125" t="str">
        <f>IF(Tab.o1[[#This Row],[a1]]=1,ABS(Tab.o1[[#This Row],[MOD]]-AVERAGE(Tab.o1[MOD])),"")</f>
        <v/>
      </c>
      <c r="AR1018" s="134" t="str">
        <f>IF(Tab.o1[[#This Row],[a1]]=1,Tab.o1[[#This Row],[OBS]]/SUM(Tab.o1[OBS]),"")</f>
        <v/>
      </c>
      <c r="AS1018" s="135" t="str">
        <f>IF(ISNUMBER(Tab.o1[[#This Row],[a1]]),ROW()-4,"")</f>
        <v/>
      </c>
      <c r="AT1018" s="136" t="str">
        <f>Tab.o1[[#This Row],[MOD]]</f>
        <v/>
      </c>
      <c r="AU1018" s="137" t="str">
        <f t="shared" si="61"/>
        <v/>
      </c>
      <c r="AV1018" s="138" t="str">
        <f t="shared" si="62"/>
        <v/>
      </c>
      <c r="AW1018" s="138" t="str">
        <f t="shared" si="63"/>
        <v/>
      </c>
      <c r="AX1018" s="139" t="str">
        <f>[1]!T.in.A[[#This Row],[ID_T_manu]]</f>
        <v/>
      </c>
      <c r="AY1018" s="140" t="str">
        <f>IF(ISNUMBER(Tab.o1[[#This Row],[a1]]),IF(AND(Tab.o1[[#This Row],[a1]]=1,Tab.o1[[#This Row],[b1]]&lt;=AY$4),#REF!,AY1017),"")</f>
        <v/>
      </c>
      <c r="AZ1018" s="25"/>
      <c r="BA1018" s="25"/>
      <c r="BB1018" s="25"/>
      <c r="BC1018" s="25"/>
      <c r="BD1018" s="25"/>
      <c r="BE1018" s="25"/>
      <c r="BF1018" s="25"/>
      <c r="BG1018" s="25"/>
      <c r="BH1018" s="25"/>
      <c r="BI1018" s="25"/>
      <c r="BJ1018" s="25"/>
      <c r="BK1018" s="25"/>
      <c r="BL1018" s="25"/>
      <c r="BM1018" s="25"/>
      <c r="BN1018" s="26"/>
      <c r="BO1018" s="26"/>
      <c r="BP1018" s="26"/>
      <c r="BQ1018" s="26"/>
      <c r="BR1018" s="26"/>
      <c r="BS1018" s="26"/>
      <c r="BT1018" s="26"/>
      <c r="BU1018" s="26"/>
      <c r="BV1018" s="26"/>
      <c r="BW1018" s="26"/>
      <c r="BX1018" s="26"/>
      <c r="BY1018" s="26"/>
      <c r="BZ1018" s="26"/>
      <c r="CA1018" s="26"/>
    </row>
    <row r="1019" spans="1:79" ht="15.75" hidden="1">
      <c r="A1019" s="109">
        <v>-4.0000000000000007E-6</v>
      </c>
      <c r="B1019" s="110">
        <f t="shared" si="60"/>
        <v>1019</v>
      </c>
      <c r="C1019" s="111" t="str">
        <f>IF(C$1=[1]!T.in.A[[#This Row],[oo2]],1,"")</f>
        <v/>
      </c>
      <c r="D1019" s="112" t="str">
        <f>IF(Tab.o1[[#This Row],[a1]]=1,IF(SUM(C1019:C1020)=0,0,IF(SUM(C1018:C1019)=1,1,IF(SUM(C1018:C1020)&gt;1,D1018+1,0))),"")</f>
        <v/>
      </c>
      <c r="E1019" s="113" t="str">
        <f>IF(Tab.o1[[#This Row],[a1]]=1,[1]!T.in.A[[#This Row],[oo1]],"")</f>
        <v/>
      </c>
      <c r="F1019" s="113" t="str">
        <f>IF(Tab.o1[[#This Row],[a1]]=1,[1]!T.in.A[[#This Row],[pp1]],"")</f>
        <v/>
      </c>
      <c r="G1019" s="114" t="str">
        <f>IF(Tab.o1[[#This Row],[a1]]=1,G$2+IF(G$1=1,0,Tab.o1[[#This Row],[.x1]])+[1]!T.in.A[[#This Row],[oo3]],"")</f>
        <v/>
      </c>
      <c r="H1019" s="115" t="str">
        <f>IF(Tab.o1[[#This Row],[a1]]=1,IF(H$2=0,0,IF(G$1=1,0,Tab.o1[[#This Row],[.x1]])+[1]!T.in.A[[#This Row],[oo4]]),"")</f>
        <v/>
      </c>
      <c r="I1019" s="116" t="str">
        <f>IF(Tab.o1[[#This Row],[a1]]=1,IF(J$2=0,Tab.o1[[#This Row],[MED]],Tab.o1[[#This Row],[MOD]]),"")</f>
        <v/>
      </c>
      <c r="J1019" s="116" t="str">
        <f>IF(Tab.o1[[#This Row],[a1]]=1,((Tab.o1[[#This Row],[DIF_Target.]]-AVERAGE(Tab.o1[DIF_Target.]))/_xlfn.STDEV.P(Tab.o1[DIF_Target.])),"")</f>
        <v/>
      </c>
      <c r="K1019" s="117" t="str">
        <f>IF(Tab.o1[[#This Row],[a1]]=1,IF(J$2=0,Tab.o1[[#This Row],[MOD]]-Tab.o1[[#This Row],[B]],IF(J$2=1,0,-Tab.o1[[#This Row],[MED]])+Tab.o1[[#This Row],[B]]),"")</f>
        <v/>
      </c>
      <c r="L1019" s="117" t="str">
        <f ca="1">IF(Tab.o1[[#This Row],[DIF_Target]]=0,IF(L$2=0,Tab.o1[[#This Row],[DIF_Target]],AVERAGE(OFFSET(Tab.o1[[#This Row],[DIF_Target]],1,0,L$3,1)))/3,Tab.o1[[#This Row],[DIF_Target]])</f>
        <v/>
      </c>
      <c r="M1019" s="118" t="str">
        <f>IF(Tab.o1[[#This Row],[a1]]=1,NORMSDIST(Tab.o1[[#This Row],[Za]]),"")</f>
        <v/>
      </c>
      <c r="N1019" s="119" t="str">
        <f>IF(Tab.o1[[#This Row],[a1]]=1,((Tab.o1[[#This Row],[MedMod]]-AVERAGE(Tab.o1[MedMod]))/_xlfn.STDEV.P(Tab.o1[MedMod])*H$1205)+G$1205,"")</f>
        <v/>
      </c>
      <c r="O1019" s="141" t="str">
        <f>IF(Tab.o1[[#This Row],[a1]]=1,Tab.o1[[#This Row],[Zb]]*_xlfn.STDEV.P(Tab.o1[MedMod])+AVERAGE(Tab.o1[MedMod]),"")</f>
        <v/>
      </c>
      <c r="P1019" s="117" t="str">
        <f ca="1">IF(Tab.o1[[#This Row],[B]]=0,AVERAGE(OFFSET(Tab.o1[[#This Row],[B]],1,0,L$3,1)),Tab.o1[[#This Row],[B]])</f>
        <v/>
      </c>
      <c r="Q1019" s="121" t="str">
        <f>IF(Tab.o1[[#This Row],[a1]]=1,NORMSDIST(Tab.o1[[#This Row],[Zb]]),"")</f>
        <v/>
      </c>
      <c r="R1019" s="122" t="str">
        <f>IF(Tab.o1[[#This Row],[a1]]=1,((Tab.o1[[#This Row],[MedMod]]-AVERAGE(Tab.o1[MedMod]))/_xlfn.STDEV.P(Tab.o1[MedMod])*H$1203)+G$1203,"")</f>
        <v/>
      </c>
      <c r="S1019" s="122" t="str">
        <f>IF(Tab.o1[[#This Row],[a1]]=1,((Tab.o1[[#This Row],[MedMod]]-AVERAGE(Tab.o1[MedMod]))/_xlfn.STDEV.P(Tab.o1[MedMod])*H$1204)+G$1204,"")</f>
        <v/>
      </c>
      <c r="T1019" s="123" t="str">
        <f>IF(Tab.o1[[#This Row],[a1]]=1,Tab.o1[[#This Row],[Z-]]*_xlfn.STDEV.P(Tab.o1[B])+AVERAGE(Tab.o1[B]),"")</f>
        <v/>
      </c>
      <c r="U1019" s="123" t="str">
        <f>IF(Tab.o1[[#This Row],[a1]]=1,Tab.o1[[#This Row],[z+]]*_xlfn.STDEV.P(Tab.o1[B])+AVERAGE(Tab.o1[B]),"")</f>
        <v/>
      </c>
      <c r="V1019" s="124" t="str">
        <f>IF(Tab.o1[[#This Row],[a1]]=1,ABS((ABS(Tab.o1[[#This Row],[Red]]-Tab.o1[[#This Row],[Blue]]))),"")</f>
        <v/>
      </c>
      <c r="W1019" s="125" t="str">
        <f>IF(Tab.o1[[#This Row],[a1]]=1,IF(W$3=0,1,Tab.o1[[#This Row],[Amp.]]*1/_xlfn.MINIFS(Tab.o1[Amp.],Tab.o1[Amp.],"&lt;&gt;0")),"")</f>
        <v/>
      </c>
      <c r="X1019" s="126" t="str">
        <f>IF(Tab.o1[[#This Row],[a1]]=1,IF(ISNUMBER(Tab.o1[[#This Row],[i.]]),NORMDIST(Tab.o1[[#This Row],[Za]],0,1,FALSE)*Tab.o1[[#This Row],[i.]],AP$3),"")</f>
        <v/>
      </c>
      <c r="Y1019" s="126" t="str">
        <f>IF(Tab.o1[[#This Row],[a1]]=1,0.01+0.94*Tab.o1[[#This Row],[PDF]]/MAX(Tab.o1[PDF]),"")</f>
        <v/>
      </c>
      <c r="Z1019" s="126" t="str">
        <f>IF(Tab.o1[[#This Row],[a1]]=1,0.01+0.94*Tab.o1[[#This Row],[W1_PDF]]/MAX(Tab.o1[W1_PDF]),"")</f>
        <v/>
      </c>
      <c r="AA1019" s="118" t="str">
        <f>IF(Tab.o1[[#This Row],[a1]]=1,ABS([1]!T.in.A[[#This Row],[oo6]]),"")</f>
        <v/>
      </c>
      <c r="AB1019" s="127" t="str">
        <f>IF(Tab.o1[[#This Row],[a1]]=1,IF(AE$3=0,"",IF(AB$3=0,ABS([1]!T.in.A[[#This Row],[oo9]]),ABS(Tab.o1[[#This Row],[DIF_Target.]]*Tab.o1[[#This Row],[W1_PDF]]))),"")</f>
        <v/>
      </c>
      <c r="AC1019" s="127" t="str">
        <f>IF(G$1=1,"",IF(Tab.o1[[#This Row],[a1]]=1,Tab.o1[[#This Row],[Wr]]^2,""))</f>
        <v/>
      </c>
      <c r="AD1019" s="118" t="str">
        <f>IF(Tab.o1[[#This Row],[a1]]=1,IF(AE$3=0,"",Tab.o1[[#This Row],[Wr2]]/SUM(Tab.o1[Wr2])),"")</f>
        <v/>
      </c>
      <c r="AE1019" s="128" t="str">
        <f>IF(Tab.o1[[#This Row],[a1]]=1,[1]!T.in.A[[#This Row],[oo10]],"")</f>
        <v/>
      </c>
      <c r="AF1019" s="118" t="str">
        <f>IF(Tab.o1[[#This Row],[a1]]=1,ABS(Tab.o1[[#This Row],[DIF_Target.]]*Tab.o1[[#This Row],[PDF2]]*Tab.o1[[#This Row],[IN]]),"")</f>
        <v/>
      </c>
      <c r="AG1019" s="129" t="str">
        <f>IF(Tab.o1[[#This Row],[a1]]=1,Tab.o1[[#This Row],[rW]]^2,"")</f>
        <v/>
      </c>
      <c r="AH1019" s="130" t="str">
        <f>IF(Tab.o1[[#This Row],[a1]]=1,IF(AH$3=0,Tab.o1[[#This Row],[rW2]],0.01+0.94*Tab.o1[[#This Row],[rW2]]/SUM(Tab.o1[rW2])),"")</f>
        <v/>
      </c>
      <c r="AI1019" s="128" t="str">
        <f>IF(Tab.o1[[#This Row],[a1]]=1,1/Tab.o1[[#This Row],[PDF]],"")</f>
        <v/>
      </c>
      <c r="AJ1019" s="131" t="str">
        <f>IF(Tab.o1[[#This Row],[a1]]=1,[1]!T_AA[[#This Row],[IN'']]*[1]!T_AA[[#This Row],[Qde'']],"")</f>
        <v/>
      </c>
      <c r="AK1019" s="132" t="str">
        <f>IF(Tab.o1[[#This Row],[a1]]=1,IF(AK$1=1,Tab.o1[[#This Row],[MED]]+Tab.o1[[#This Row],[MOD]]-Tab.o1[[#This Row],[MED]],""),"")</f>
        <v/>
      </c>
      <c r="AL1019" s="133" t="str">
        <f>IF(Tab.o1[[#This Row],[a1]]=1,[1]!T.in.A[[#This Row],[oo16]],"")</f>
        <v/>
      </c>
      <c r="AM1019" s="133" t="str">
        <f>IF(Tab.o1[[#This Row],[a1]]=1,IF(AM$3=1,[1]!T.in.A[[#This Row],[Σo16]],""),"")</f>
        <v/>
      </c>
      <c r="AN1019" s="126" t="str">
        <f>IF(Tab.o1[[#This Row],[a1]]=1,[1]!T.in.A[[#This Row],[Σp5]],"")</f>
        <v/>
      </c>
      <c r="AO1019" s="126" t="str">
        <f>IF(Tab.o1[[#This Row],[a1]]=1,IF(AO$3=1,[1]!T.in.A[[#This Row],[Σp5]],""),"")</f>
        <v/>
      </c>
      <c r="AP1019" s="110" t="str">
        <f>IF(Tab.o1[[#This Row],[a1]]=1,IF(ISNUMBER(Tab.o1[[#This Row],[i.]]),NORMDIST(Tab.o1[[#This Row],[Za]],0,1,FALSE)*Tab.o1[[#This Row],[i.]],0),"")</f>
        <v/>
      </c>
      <c r="AQ1019" s="125" t="str">
        <f>IF(Tab.o1[[#This Row],[a1]]=1,ABS(Tab.o1[[#This Row],[MOD]]-AVERAGE(Tab.o1[MOD])),"")</f>
        <v/>
      </c>
      <c r="AR1019" s="134" t="str">
        <f>IF(Tab.o1[[#This Row],[a1]]=1,Tab.o1[[#This Row],[OBS]]/SUM(Tab.o1[OBS]),"")</f>
        <v/>
      </c>
      <c r="AS1019" s="135" t="str">
        <f>IF(ISNUMBER(Tab.o1[[#This Row],[a1]]),ROW()-4,"")</f>
        <v/>
      </c>
      <c r="AT1019" s="136" t="str">
        <f>Tab.o1[[#This Row],[MOD]]</f>
        <v/>
      </c>
      <c r="AU1019" s="137" t="str">
        <f t="shared" si="61"/>
        <v/>
      </c>
      <c r="AV1019" s="138" t="str">
        <f t="shared" si="62"/>
        <v/>
      </c>
      <c r="AW1019" s="138" t="str">
        <f t="shared" si="63"/>
        <v/>
      </c>
      <c r="AX1019" s="139" t="str">
        <f>[1]!T.in.A[[#This Row],[ID_T_manu]]</f>
        <v/>
      </c>
      <c r="AY1019" s="140" t="str">
        <f>IF(ISNUMBER(Tab.o1[[#This Row],[a1]]),IF(AND(Tab.o1[[#This Row],[a1]]=1,Tab.o1[[#This Row],[b1]]&lt;=AY$4),#REF!,AY1018),"")</f>
        <v/>
      </c>
      <c r="AZ1019" s="25"/>
      <c r="BA1019" s="25"/>
      <c r="BB1019" s="25"/>
      <c r="BC1019" s="25"/>
      <c r="BD1019" s="25"/>
      <c r="BE1019" s="25"/>
      <c r="BF1019" s="25"/>
      <c r="BG1019" s="25"/>
      <c r="BH1019" s="25"/>
      <c r="BI1019" s="25"/>
      <c r="BJ1019" s="25"/>
      <c r="BK1019" s="25"/>
      <c r="BL1019" s="25"/>
      <c r="BM1019" s="25"/>
      <c r="BN1019" s="26"/>
      <c r="BO1019" s="26"/>
      <c r="BP1019" s="26"/>
      <c r="BQ1019" s="26"/>
      <c r="BR1019" s="26"/>
      <c r="BS1019" s="26"/>
      <c r="BT1019" s="26"/>
      <c r="BU1019" s="26"/>
      <c r="BV1019" s="26"/>
      <c r="BW1019" s="26"/>
      <c r="BX1019" s="26"/>
      <c r="BY1019" s="26"/>
      <c r="BZ1019" s="26"/>
      <c r="CA1019" s="26"/>
    </row>
    <row r="1020" spans="1:79" ht="15.75" hidden="1">
      <c r="A1020" s="109">
        <v>2.0000000000000003E-6</v>
      </c>
      <c r="B1020" s="110">
        <f t="shared" si="60"/>
        <v>1020</v>
      </c>
      <c r="C1020" s="111" t="str">
        <f>IF(C$1=[1]!T.in.A[[#This Row],[oo2]],1,"")</f>
        <v/>
      </c>
      <c r="D1020" s="112" t="str">
        <f>IF(Tab.o1[[#This Row],[a1]]=1,IF(SUM(C1020:C1021)=0,0,IF(SUM(C1019:C1020)=1,1,IF(SUM(C1019:C1021)&gt;1,D1019+1,0))),"")</f>
        <v/>
      </c>
      <c r="E1020" s="113" t="str">
        <f>IF(Tab.o1[[#This Row],[a1]]=1,[1]!T.in.A[[#This Row],[oo1]],"")</f>
        <v/>
      </c>
      <c r="F1020" s="113" t="str">
        <f>IF(Tab.o1[[#This Row],[a1]]=1,[1]!T.in.A[[#This Row],[pp1]],"")</f>
        <v/>
      </c>
      <c r="G1020" s="114" t="str">
        <f>IF(Tab.o1[[#This Row],[a1]]=1,G$2+IF(G$1=1,0,Tab.o1[[#This Row],[.x1]])+[1]!T.in.A[[#This Row],[oo3]],"")</f>
        <v/>
      </c>
      <c r="H1020" s="115" t="str">
        <f>IF(Tab.o1[[#This Row],[a1]]=1,IF(H$2=0,0,IF(G$1=1,0,Tab.o1[[#This Row],[.x1]])+[1]!T.in.A[[#This Row],[oo4]]),"")</f>
        <v/>
      </c>
      <c r="I1020" s="116" t="str">
        <f>IF(Tab.o1[[#This Row],[a1]]=1,IF(J$2=0,Tab.o1[[#This Row],[MED]],Tab.o1[[#This Row],[MOD]]),"")</f>
        <v/>
      </c>
      <c r="J1020" s="116" t="str">
        <f>IF(Tab.o1[[#This Row],[a1]]=1,((Tab.o1[[#This Row],[DIF_Target.]]-AVERAGE(Tab.o1[DIF_Target.]))/_xlfn.STDEV.P(Tab.o1[DIF_Target.])),"")</f>
        <v/>
      </c>
      <c r="K1020" s="117" t="str">
        <f>IF(Tab.o1[[#This Row],[a1]]=1,IF(J$2=0,Tab.o1[[#This Row],[MOD]]-Tab.o1[[#This Row],[B]],IF(J$2=1,0,-Tab.o1[[#This Row],[MED]])+Tab.o1[[#This Row],[B]]),"")</f>
        <v/>
      </c>
      <c r="L1020" s="117" t="str">
        <f ca="1">IF(Tab.o1[[#This Row],[DIF_Target]]=0,IF(L$2=0,Tab.o1[[#This Row],[DIF_Target]],AVERAGE(OFFSET(Tab.o1[[#This Row],[DIF_Target]],1,0,L$3,1)))/3,Tab.o1[[#This Row],[DIF_Target]])</f>
        <v/>
      </c>
      <c r="M1020" s="118" t="str">
        <f>IF(Tab.o1[[#This Row],[a1]]=1,NORMSDIST(Tab.o1[[#This Row],[Za]]),"")</f>
        <v/>
      </c>
      <c r="N1020" s="119" t="str">
        <f>IF(Tab.o1[[#This Row],[a1]]=1,((Tab.o1[[#This Row],[MedMod]]-AVERAGE(Tab.o1[MedMod]))/_xlfn.STDEV.P(Tab.o1[MedMod])*H$1205)+G$1205,"")</f>
        <v/>
      </c>
      <c r="O1020" s="141" t="str">
        <f>IF(Tab.o1[[#This Row],[a1]]=1,Tab.o1[[#This Row],[Zb]]*_xlfn.STDEV.P(Tab.o1[MedMod])+AVERAGE(Tab.o1[MedMod]),"")</f>
        <v/>
      </c>
      <c r="P1020" s="117" t="str">
        <f ca="1">IF(Tab.o1[[#This Row],[B]]=0,AVERAGE(OFFSET(Tab.o1[[#This Row],[B]],1,0,L$3,1)),Tab.o1[[#This Row],[B]])</f>
        <v/>
      </c>
      <c r="Q1020" s="121" t="str">
        <f>IF(Tab.o1[[#This Row],[a1]]=1,NORMSDIST(Tab.o1[[#This Row],[Zb]]),"")</f>
        <v/>
      </c>
      <c r="R1020" s="122" t="str">
        <f>IF(Tab.o1[[#This Row],[a1]]=1,((Tab.o1[[#This Row],[MedMod]]-AVERAGE(Tab.o1[MedMod]))/_xlfn.STDEV.P(Tab.o1[MedMod])*H$1203)+G$1203,"")</f>
        <v/>
      </c>
      <c r="S1020" s="122" t="str">
        <f>IF(Tab.o1[[#This Row],[a1]]=1,((Tab.o1[[#This Row],[MedMod]]-AVERAGE(Tab.o1[MedMod]))/_xlfn.STDEV.P(Tab.o1[MedMod])*H$1204)+G$1204,"")</f>
        <v/>
      </c>
      <c r="T1020" s="123" t="str">
        <f>IF(Tab.o1[[#This Row],[a1]]=1,Tab.o1[[#This Row],[Z-]]*_xlfn.STDEV.P(Tab.o1[B])+AVERAGE(Tab.o1[B]),"")</f>
        <v/>
      </c>
      <c r="U1020" s="123" t="str">
        <f>IF(Tab.o1[[#This Row],[a1]]=1,Tab.o1[[#This Row],[z+]]*_xlfn.STDEV.P(Tab.o1[B])+AVERAGE(Tab.o1[B]),"")</f>
        <v/>
      </c>
      <c r="V1020" s="124" t="str">
        <f>IF(Tab.o1[[#This Row],[a1]]=1,ABS((ABS(Tab.o1[[#This Row],[Red]]-Tab.o1[[#This Row],[Blue]]))),"")</f>
        <v/>
      </c>
      <c r="W1020" s="125" t="str">
        <f>IF(Tab.o1[[#This Row],[a1]]=1,IF(W$3=0,1,Tab.o1[[#This Row],[Amp.]]*1/_xlfn.MINIFS(Tab.o1[Amp.],Tab.o1[Amp.],"&lt;&gt;0")),"")</f>
        <v/>
      </c>
      <c r="X1020" s="126" t="str">
        <f>IF(Tab.o1[[#This Row],[a1]]=1,IF(ISNUMBER(Tab.o1[[#This Row],[i.]]),NORMDIST(Tab.o1[[#This Row],[Za]],0,1,FALSE)*Tab.o1[[#This Row],[i.]],AP$3),"")</f>
        <v/>
      </c>
      <c r="Y1020" s="126" t="str">
        <f>IF(Tab.o1[[#This Row],[a1]]=1,0.01+0.94*Tab.o1[[#This Row],[PDF]]/MAX(Tab.o1[PDF]),"")</f>
        <v/>
      </c>
      <c r="Z1020" s="126" t="str">
        <f>IF(Tab.o1[[#This Row],[a1]]=1,0.01+0.94*Tab.o1[[#This Row],[W1_PDF]]/MAX(Tab.o1[W1_PDF]),"")</f>
        <v/>
      </c>
      <c r="AA1020" s="118" t="str">
        <f>IF(Tab.o1[[#This Row],[a1]]=1,ABS([1]!T.in.A[[#This Row],[oo6]]),"")</f>
        <v/>
      </c>
      <c r="AB1020" s="127" t="str">
        <f>IF(Tab.o1[[#This Row],[a1]]=1,IF(AE$3=0,"",IF(AB$3=0,ABS([1]!T.in.A[[#This Row],[oo9]]),ABS(Tab.o1[[#This Row],[DIF_Target.]]*Tab.o1[[#This Row],[W1_PDF]]))),"")</f>
        <v/>
      </c>
      <c r="AC1020" s="127" t="str">
        <f>IF(G$1=1,"",IF(Tab.o1[[#This Row],[a1]]=1,Tab.o1[[#This Row],[Wr]]^2,""))</f>
        <v/>
      </c>
      <c r="AD1020" s="118" t="str">
        <f>IF(Tab.o1[[#This Row],[a1]]=1,IF(AE$3=0,"",Tab.o1[[#This Row],[Wr2]]/SUM(Tab.o1[Wr2])),"")</f>
        <v/>
      </c>
      <c r="AE1020" s="128" t="str">
        <f>IF(Tab.o1[[#This Row],[a1]]=1,[1]!T.in.A[[#This Row],[oo10]],"")</f>
        <v/>
      </c>
      <c r="AF1020" s="118" t="str">
        <f>IF(Tab.o1[[#This Row],[a1]]=1,ABS(Tab.o1[[#This Row],[DIF_Target.]]*Tab.o1[[#This Row],[PDF2]]*Tab.o1[[#This Row],[IN]]),"")</f>
        <v/>
      </c>
      <c r="AG1020" s="129" t="str">
        <f>IF(Tab.o1[[#This Row],[a1]]=1,Tab.o1[[#This Row],[rW]]^2,"")</f>
        <v/>
      </c>
      <c r="AH1020" s="130" t="str">
        <f>IF(Tab.o1[[#This Row],[a1]]=1,IF(AH$3=0,Tab.o1[[#This Row],[rW2]],0.01+0.94*Tab.o1[[#This Row],[rW2]]/SUM(Tab.o1[rW2])),"")</f>
        <v/>
      </c>
      <c r="AI1020" s="128" t="str">
        <f>IF(Tab.o1[[#This Row],[a1]]=1,1/Tab.o1[[#This Row],[PDF]],"")</f>
        <v/>
      </c>
      <c r="AJ1020" s="131" t="str">
        <f>IF(Tab.o1[[#This Row],[a1]]=1,[1]!T_AA[[#This Row],[IN'']]*[1]!T_AA[[#This Row],[Qde'']],"")</f>
        <v/>
      </c>
      <c r="AK1020" s="132" t="str">
        <f>IF(Tab.o1[[#This Row],[a1]]=1,IF(AK$1=1,Tab.o1[[#This Row],[MED]]+Tab.o1[[#This Row],[MOD]]-Tab.o1[[#This Row],[MED]],""),"")</f>
        <v/>
      </c>
      <c r="AL1020" s="133" t="str">
        <f>IF(Tab.o1[[#This Row],[a1]]=1,[1]!T.in.A[[#This Row],[oo16]],"")</f>
        <v/>
      </c>
      <c r="AM1020" s="133" t="str">
        <f>IF(Tab.o1[[#This Row],[a1]]=1,IF(AM$3=1,[1]!T.in.A[[#This Row],[Σo16]],""),"")</f>
        <v/>
      </c>
      <c r="AN1020" s="126" t="str">
        <f>IF(Tab.o1[[#This Row],[a1]]=1,[1]!T.in.A[[#This Row],[Σp5]],"")</f>
        <v/>
      </c>
      <c r="AO1020" s="126" t="str">
        <f>IF(Tab.o1[[#This Row],[a1]]=1,IF(AO$3=1,[1]!T.in.A[[#This Row],[Σp5]],""),"")</f>
        <v/>
      </c>
      <c r="AP1020" s="110" t="str">
        <f>IF(Tab.o1[[#This Row],[a1]]=1,IF(ISNUMBER(Tab.o1[[#This Row],[i.]]),NORMDIST(Tab.o1[[#This Row],[Za]],0,1,FALSE)*Tab.o1[[#This Row],[i.]],0),"")</f>
        <v/>
      </c>
      <c r="AQ1020" s="125" t="str">
        <f>IF(Tab.o1[[#This Row],[a1]]=1,ABS(Tab.o1[[#This Row],[MOD]]-AVERAGE(Tab.o1[MOD])),"")</f>
        <v/>
      </c>
      <c r="AR1020" s="134" t="str">
        <f>IF(Tab.o1[[#This Row],[a1]]=1,Tab.o1[[#This Row],[OBS]]/SUM(Tab.o1[OBS]),"")</f>
        <v/>
      </c>
      <c r="AS1020" s="135" t="str">
        <f>IF(ISNUMBER(Tab.o1[[#This Row],[a1]]),ROW()-4,"")</f>
        <v/>
      </c>
      <c r="AT1020" s="136" t="str">
        <f>Tab.o1[[#This Row],[MOD]]</f>
        <v/>
      </c>
      <c r="AU1020" s="137" t="str">
        <f t="shared" si="61"/>
        <v/>
      </c>
      <c r="AV1020" s="138" t="str">
        <f t="shared" si="62"/>
        <v/>
      </c>
      <c r="AW1020" s="138" t="str">
        <f t="shared" si="63"/>
        <v/>
      </c>
      <c r="AX1020" s="139" t="str">
        <f>[1]!T.in.A[[#This Row],[ID_T_manu]]</f>
        <v/>
      </c>
      <c r="AY1020" s="140" t="str">
        <f>IF(ISNUMBER(Tab.o1[[#This Row],[a1]]),IF(AND(Tab.o1[[#This Row],[a1]]=1,Tab.o1[[#This Row],[b1]]&lt;=AY$4),#REF!,AY1019),"")</f>
        <v/>
      </c>
      <c r="AZ1020" s="25"/>
      <c r="BA1020" s="25"/>
      <c r="BB1020" s="25"/>
      <c r="BC1020" s="25"/>
      <c r="BD1020" s="25"/>
      <c r="BE1020" s="25"/>
      <c r="BF1020" s="25"/>
      <c r="BG1020" s="25"/>
      <c r="BH1020" s="25"/>
      <c r="BI1020" s="25"/>
      <c r="BJ1020" s="25"/>
      <c r="BK1020" s="25"/>
      <c r="BL1020" s="25"/>
      <c r="BM1020" s="25"/>
      <c r="BN1020" s="26"/>
      <c r="BO1020" s="26"/>
      <c r="BP1020" s="26"/>
      <c r="BQ1020" s="26"/>
      <c r="BR1020" s="26"/>
      <c r="BS1020" s="26"/>
      <c r="BT1020" s="26"/>
      <c r="BU1020" s="26"/>
      <c r="BV1020" s="26"/>
      <c r="BW1020" s="26"/>
      <c r="BX1020" s="26"/>
      <c r="BY1020" s="26"/>
      <c r="BZ1020" s="26"/>
      <c r="CA1020" s="26"/>
    </row>
    <row r="1021" spans="1:79" ht="15.75" hidden="1">
      <c r="A1021" s="109">
        <v>-2.0000000000000003E-6</v>
      </c>
      <c r="B1021" s="110">
        <f t="shared" si="60"/>
        <v>1021</v>
      </c>
      <c r="C1021" s="111" t="str">
        <f>IF(C$1=[1]!T.in.A[[#This Row],[oo2]],1,"")</f>
        <v/>
      </c>
      <c r="D1021" s="112" t="str">
        <f>IF(Tab.o1[[#This Row],[a1]]=1,IF(SUM(C1021:C1022)=0,0,IF(SUM(C1020:C1021)=1,1,IF(SUM(C1020:C1022)&gt;1,D1020+1,0))),"")</f>
        <v/>
      </c>
      <c r="E1021" s="113" t="str">
        <f>IF(Tab.o1[[#This Row],[a1]]=1,[1]!T.in.A[[#This Row],[oo1]],"")</f>
        <v/>
      </c>
      <c r="F1021" s="113" t="str">
        <f>IF(Tab.o1[[#This Row],[a1]]=1,[1]!T.in.A[[#This Row],[pp1]],"")</f>
        <v/>
      </c>
      <c r="G1021" s="114" t="str">
        <f>IF(Tab.o1[[#This Row],[a1]]=1,G$2+IF(G$1=1,0,Tab.o1[[#This Row],[.x1]])+[1]!T.in.A[[#This Row],[oo3]],"")</f>
        <v/>
      </c>
      <c r="H1021" s="115" t="str">
        <f>IF(Tab.o1[[#This Row],[a1]]=1,IF(H$2=0,0,IF(G$1=1,0,Tab.o1[[#This Row],[.x1]])+[1]!T.in.A[[#This Row],[oo4]]),"")</f>
        <v/>
      </c>
      <c r="I1021" s="116" t="str">
        <f>IF(Tab.o1[[#This Row],[a1]]=1,IF(J$2=0,Tab.o1[[#This Row],[MED]],Tab.o1[[#This Row],[MOD]]),"")</f>
        <v/>
      </c>
      <c r="J1021" s="116" t="str">
        <f>IF(Tab.o1[[#This Row],[a1]]=1,((Tab.o1[[#This Row],[DIF_Target.]]-AVERAGE(Tab.o1[DIF_Target.]))/_xlfn.STDEV.P(Tab.o1[DIF_Target.])),"")</f>
        <v/>
      </c>
      <c r="K1021" s="117" t="str">
        <f>IF(Tab.o1[[#This Row],[a1]]=1,IF(J$2=0,Tab.o1[[#This Row],[MOD]]-Tab.o1[[#This Row],[B]],IF(J$2=1,0,-Tab.o1[[#This Row],[MED]])+Tab.o1[[#This Row],[B]]),"")</f>
        <v/>
      </c>
      <c r="L1021" s="117" t="str">
        <f ca="1">IF(Tab.o1[[#This Row],[DIF_Target]]=0,IF(L$2=0,Tab.o1[[#This Row],[DIF_Target]],AVERAGE(OFFSET(Tab.o1[[#This Row],[DIF_Target]],1,0,L$3,1)))/3,Tab.o1[[#This Row],[DIF_Target]])</f>
        <v/>
      </c>
      <c r="M1021" s="118" t="str">
        <f>IF(Tab.o1[[#This Row],[a1]]=1,NORMSDIST(Tab.o1[[#This Row],[Za]]),"")</f>
        <v/>
      </c>
      <c r="N1021" s="119" t="str">
        <f>IF(Tab.o1[[#This Row],[a1]]=1,((Tab.o1[[#This Row],[MedMod]]-AVERAGE(Tab.o1[MedMod]))/_xlfn.STDEV.P(Tab.o1[MedMod])*H$1205)+G$1205,"")</f>
        <v/>
      </c>
      <c r="O1021" s="141" t="str">
        <f>IF(Tab.o1[[#This Row],[a1]]=1,Tab.o1[[#This Row],[Zb]]*_xlfn.STDEV.P(Tab.o1[MedMod])+AVERAGE(Tab.o1[MedMod]),"")</f>
        <v/>
      </c>
      <c r="P1021" s="117" t="str">
        <f ca="1">IF(Tab.o1[[#This Row],[B]]=0,AVERAGE(OFFSET(Tab.o1[[#This Row],[B]],1,0,L$3,1)),Tab.o1[[#This Row],[B]])</f>
        <v/>
      </c>
      <c r="Q1021" s="121" t="str">
        <f>IF(Tab.o1[[#This Row],[a1]]=1,NORMSDIST(Tab.o1[[#This Row],[Zb]]),"")</f>
        <v/>
      </c>
      <c r="R1021" s="122" t="str">
        <f>IF(Tab.o1[[#This Row],[a1]]=1,((Tab.o1[[#This Row],[MedMod]]-AVERAGE(Tab.o1[MedMod]))/_xlfn.STDEV.P(Tab.o1[MedMod])*H$1203)+G$1203,"")</f>
        <v/>
      </c>
      <c r="S1021" s="122" t="str">
        <f>IF(Tab.o1[[#This Row],[a1]]=1,((Tab.o1[[#This Row],[MedMod]]-AVERAGE(Tab.o1[MedMod]))/_xlfn.STDEV.P(Tab.o1[MedMod])*H$1204)+G$1204,"")</f>
        <v/>
      </c>
      <c r="T1021" s="123" t="str">
        <f>IF(Tab.o1[[#This Row],[a1]]=1,Tab.o1[[#This Row],[Z-]]*_xlfn.STDEV.P(Tab.o1[B])+AVERAGE(Tab.o1[B]),"")</f>
        <v/>
      </c>
      <c r="U1021" s="123" t="str">
        <f>IF(Tab.o1[[#This Row],[a1]]=1,Tab.o1[[#This Row],[z+]]*_xlfn.STDEV.P(Tab.o1[B])+AVERAGE(Tab.o1[B]),"")</f>
        <v/>
      </c>
      <c r="V1021" s="124" t="str">
        <f>IF(Tab.o1[[#This Row],[a1]]=1,ABS((ABS(Tab.o1[[#This Row],[Red]]-Tab.o1[[#This Row],[Blue]]))),"")</f>
        <v/>
      </c>
      <c r="W1021" s="125" t="str">
        <f>IF(Tab.o1[[#This Row],[a1]]=1,IF(W$3=0,1,Tab.o1[[#This Row],[Amp.]]*1/_xlfn.MINIFS(Tab.o1[Amp.],Tab.o1[Amp.],"&lt;&gt;0")),"")</f>
        <v/>
      </c>
      <c r="X1021" s="126" t="str">
        <f>IF(Tab.o1[[#This Row],[a1]]=1,IF(ISNUMBER(Tab.o1[[#This Row],[i.]]),NORMDIST(Tab.o1[[#This Row],[Za]],0,1,FALSE)*Tab.o1[[#This Row],[i.]],AP$3),"")</f>
        <v/>
      </c>
      <c r="Y1021" s="126" t="str">
        <f>IF(Tab.o1[[#This Row],[a1]]=1,0.01+0.94*Tab.o1[[#This Row],[PDF]]/MAX(Tab.o1[PDF]),"")</f>
        <v/>
      </c>
      <c r="Z1021" s="126" t="str">
        <f>IF(Tab.o1[[#This Row],[a1]]=1,0.01+0.94*Tab.o1[[#This Row],[W1_PDF]]/MAX(Tab.o1[W1_PDF]),"")</f>
        <v/>
      </c>
      <c r="AA1021" s="118" t="str">
        <f>IF(Tab.o1[[#This Row],[a1]]=1,ABS([1]!T.in.A[[#This Row],[oo6]]),"")</f>
        <v/>
      </c>
      <c r="AB1021" s="127" t="str">
        <f>IF(Tab.o1[[#This Row],[a1]]=1,IF(AE$3=0,"",IF(AB$3=0,ABS([1]!T.in.A[[#This Row],[oo9]]),ABS(Tab.o1[[#This Row],[DIF_Target.]]*Tab.o1[[#This Row],[W1_PDF]]))),"")</f>
        <v/>
      </c>
      <c r="AC1021" s="127" t="str">
        <f>IF(G$1=1,"",IF(Tab.o1[[#This Row],[a1]]=1,Tab.o1[[#This Row],[Wr]]^2,""))</f>
        <v/>
      </c>
      <c r="AD1021" s="118" t="str">
        <f>IF(Tab.o1[[#This Row],[a1]]=1,IF(AE$3=0,"",Tab.o1[[#This Row],[Wr2]]/SUM(Tab.o1[Wr2])),"")</f>
        <v/>
      </c>
      <c r="AE1021" s="128" t="str">
        <f>IF(Tab.o1[[#This Row],[a1]]=1,[1]!T.in.A[[#This Row],[oo10]],"")</f>
        <v/>
      </c>
      <c r="AF1021" s="118" t="str">
        <f>IF(Tab.o1[[#This Row],[a1]]=1,ABS(Tab.o1[[#This Row],[DIF_Target.]]*Tab.o1[[#This Row],[PDF2]]*Tab.o1[[#This Row],[IN]]),"")</f>
        <v/>
      </c>
      <c r="AG1021" s="129" t="str">
        <f>IF(Tab.o1[[#This Row],[a1]]=1,Tab.o1[[#This Row],[rW]]^2,"")</f>
        <v/>
      </c>
      <c r="AH1021" s="130" t="str">
        <f>IF(Tab.o1[[#This Row],[a1]]=1,IF(AH$3=0,Tab.o1[[#This Row],[rW2]],0.01+0.94*Tab.o1[[#This Row],[rW2]]/SUM(Tab.o1[rW2])),"")</f>
        <v/>
      </c>
      <c r="AI1021" s="128" t="str">
        <f>IF(Tab.o1[[#This Row],[a1]]=1,1/Tab.o1[[#This Row],[PDF]],"")</f>
        <v/>
      </c>
      <c r="AJ1021" s="131" t="str">
        <f>IF(Tab.o1[[#This Row],[a1]]=1,[1]!T_AA[[#This Row],[IN'']]*[1]!T_AA[[#This Row],[Qde'']],"")</f>
        <v/>
      </c>
      <c r="AK1021" s="132" t="str">
        <f>IF(Tab.o1[[#This Row],[a1]]=1,IF(AK$1=1,Tab.o1[[#This Row],[MED]]+Tab.o1[[#This Row],[MOD]]-Tab.o1[[#This Row],[MED]],""),"")</f>
        <v/>
      </c>
      <c r="AL1021" s="133" t="str">
        <f>IF(Tab.o1[[#This Row],[a1]]=1,[1]!T.in.A[[#This Row],[oo16]],"")</f>
        <v/>
      </c>
      <c r="AM1021" s="133" t="str">
        <f>IF(Tab.o1[[#This Row],[a1]]=1,IF(AM$3=1,[1]!T.in.A[[#This Row],[Σo16]],""),"")</f>
        <v/>
      </c>
      <c r="AN1021" s="126" t="str">
        <f>IF(Tab.o1[[#This Row],[a1]]=1,[1]!T.in.A[[#This Row],[Σp5]],"")</f>
        <v/>
      </c>
      <c r="AO1021" s="126" t="str">
        <f>IF(Tab.o1[[#This Row],[a1]]=1,IF(AO$3=1,[1]!T.in.A[[#This Row],[Σp5]],""),"")</f>
        <v/>
      </c>
      <c r="AP1021" s="110" t="str">
        <f>IF(Tab.o1[[#This Row],[a1]]=1,IF(ISNUMBER(Tab.o1[[#This Row],[i.]]),NORMDIST(Tab.o1[[#This Row],[Za]],0,1,FALSE)*Tab.o1[[#This Row],[i.]],0),"")</f>
        <v/>
      </c>
      <c r="AQ1021" s="125" t="str">
        <f>IF(Tab.o1[[#This Row],[a1]]=1,ABS(Tab.o1[[#This Row],[MOD]]-AVERAGE(Tab.o1[MOD])),"")</f>
        <v/>
      </c>
      <c r="AR1021" s="134" t="str">
        <f>IF(Tab.o1[[#This Row],[a1]]=1,Tab.o1[[#This Row],[OBS]]/SUM(Tab.o1[OBS]),"")</f>
        <v/>
      </c>
      <c r="AS1021" s="135" t="str">
        <f>IF(ISNUMBER(Tab.o1[[#This Row],[a1]]),ROW()-4,"")</f>
        <v/>
      </c>
      <c r="AT1021" s="136" t="str">
        <f>Tab.o1[[#This Row],[MOD]]</f>
        <v/>
      </c>
      <c r="AU1021" s="137" t="str">
        <f t="shared" si="61"/>
        <v/>
      </c>
      <c r="AV1021" s="138" t="str">
        <f t="shared" si="62"/>
        <v/>
      </c>
      <c r="AW1021" s="138" t="str">
        <f t="shared" si="63"/>
        <v/>
      </c>
      <c r="AX1021" s="139" t="str">
        <f>[1]!T.in.A[[#This Row],[ID_T_manu]]</f>
        <v/>
      </c>
      <c r="AY1021" s="140" t="str">
        <f>IF(ISNUMBER(Tab.o1[[#This Row],[a1]]),IF(AND(Tab.o1[[#This Row],[a1]]=1,Tab.o1[[#This Row],[b1]]&lt;=AY$4),#REF!,AY1020),"")</f>
        <v/>
      </c>
      <c r="AZ1021" s="25"/>
      <c r="BA1021" s="25"/>
      <c r="BB1021" s="25"/>
      <c r="BC1021" s="25"/>
      <c r="BD1021" s="25"/>
      <c r="BE1021" s="25"/>
      <c r="BF1021" s="25"/>
      <c r="BG1021" s="25"/>
      <c r="BH1021" s="25"/>
      <c r="BI1021" s="25"/>
      <c r="BJ1021" s="25"/>
      <c r="BK1021" s="25"/>
      <c r="BL1021" s="25"/>
      <c r="BM1021" s="25"/>
      <c r="BN1021" s="26"/>
      <c r="BO1021" s="26"/>
      <c r="BP1021" s="26"/>
      <c r="BQ1021" s="26"/>
      <c r="BR1021" s="26"/>
      <c r="BS1021" s="26"/>
      <c r="BT1021" s="26"/>
      <c r="BU1021" s="26"/>
      <c r="BV1021" s="26"/>
      <c r="BW1021" s="26"/>
      <c r="BX1021" s="26"/>
      <c r="BY1021" s="26"/>
      <c r="BZ1021" s="26"/>
      <c r="CA1021" s="26"/>
    </row>
    <row r="1022" spans="1:79" ht="15.75" hidden="1">
      <c r="A1022" s="109">
        <v>-1.0000000000000002E-6</v>
      </c>
      <c r="B1022" s="110">
        <f t="shared" si="60"/>
        <v>1022</v>
      </c>
      <c r="C1022" s="111" t="str">
        <f>IF(C$1=[1]!T.in.A[[#This Row],[oo2]],1,"")</f>
        <v/>
      </c>
      <c r="D1022" s="112" t="str">
        <f>IF(Tab.o1[[#This Row],[a1]]=1,IF(SUM(C1022:C1023)=0,0,IF(SUM(C1021:C1022)=1,1,IF(SUM(C1021:C1023)&gt;1,D1021+1,0))),"")</f>
        <v/>
      </c>
      <c r="E1022" s="113" t="str">
        <f>IF(Tab.o1[[#This Row],[a1]]=1,[1]!T.in.A[[#This Row],[oo1]],"")</f>
        <v/>
      </c>
      <c r="F1022" s="113" t="str">
        <f>IF(Tab.o1[[#This Row],[a1]]=1,[1]!T.in.A[[#This Row],[pp1]],"")</f>
        <v/>
      </c>
      <c r="G1022" s="114" t="str">
        <f>IF(Tab.o1[[#This Row],[a1]]=1,G$2+IF(G$1=1,0,Tab.o1[[#This Row],[.x1]])+[1]!T.in.A[[#This Row],[oo3]],"")</f>
        <v/>
      </c>
      <c r="H1022" s="115" t="str">
        <f>IF(Tab.o1[[#This Row],[a1]]=1,IF(H$2=0,0,IF(G$1=1,0,Tab.o1[[#This Row],[.x1]])+[1]!T.in.A[[#This Row],[oo4]]),"")</f>
        <v/>
      </c>
      <c r="I1022" s="116" t="str">
        <f>IF(Tab.o1[[#This Row],[a1]]=1,IF(J$2=0,Tab.o1[[#This Row],[MED]],Tab.o1[[#This Row],[MOD]]),"")</f>
        <v/>
      </c>
      <c r="J1022" s="116" t="str">
        <f>IF(Tab.o1[[#This Row],[a1]]=1,((Tab.o1[[#This Row],[DIF_Target.]]-AVERAGE(Tab.o1[DIF_Target.]))/_xlfn.STDEV.P(Tab.o1[DIF_Target.])),"")</f>
        <v/>
      </c>
      <c r="K1022" s="117" t="str">
        <f>IF(Tab.o1[[#This Row],[a1]]=1,IF(J$2=0,Tab.o1[[#This Row],[MOD]]-Tab.o1[[#This Row],[B]],IF(J$2=1,0,-Tab.o1[[#This Row],[MED]])+Tab.o1[[#This Row],[B]]),"")</f>
        <v/>
      </c>
      <c r="L1022" s="117" t="str">
        <f ca="1">IF(Tab.o1[[#This Row],[DIF_Target]]=0,IF(L$2=0,Tab.o1[[#This Row],[DIF_Target]],AVERAGE(OFFSET(Tab.o1[[#This Row],[DIF_Target]],1,0,L$3,1)))/3,Tab.o1[[#This Row],[DIF_Target]])</f>
        <v/>
      </c>
      <c r="M1022" s="118" t="str">
        <f>IF(Tab.o1[[#This Row],[a1]]=1,NORMSDIST(Tab.o1[[#This Row],[Za]]),"")</f>
        <v/>
      </c>
      <c r="N1022" s="119" t="str">
        <f>IF(Tab.o1[[#This Row],[a1]]=1,((Tab.o1[[#This Row],[MedMod]]-AVERAGE(Tab.o1[MedMod]))/_xlfn.STDEV.P(Tab.o1[MedMod])*H$1205)+G$1205,"")</f>
        <v/>
      </c>
      <c r="O1022" s="141" t="str">
        <f>IF(Tab.o1[[#This Row],[a1]]=1,Tab.o1[[#This Row],[Zb]]*_xlfn.STDEV.P(Tab.o1[MedMod])+AVERAGE(Tab.o1[MedMod]),"")</f>
        <v/>
      </c>
      <c r="P1022" s="117" t="str">
        <f ca="1">IF(Tab.o1[[#This Row],[B]]=0,AVERAGE(OFFSET(Tab.o1[[#This Row],[B]],1,0,L$3,1)),Tab.o1[[#This Row],[B]])</f>
        <v/>
      </c>
      <c r="Q1022" s="121" t="str">
        <f>IF(Tab.o1[[#This Row],[a1]]=1,NORMSDIST(Tab.o1[[#This Row],[Zb]]),"")</f>
        <v/>
      </c>
      <c r="R1022" s="122" t="str">
        <f>IF(Tab.o1[[#This Row],[a1]]=1,((Tab.o1[[#This Row],[MedMod]]-AVERAGE(Tab.o1[MedMod]))/_xlfn.STDEV.P(Tab.o1[MedMod])*H$1203)+G$1203,"")</f>
        <v/>
      </c>
      <c r="S1022" s="122" t="str">
        <f>IF(Tab.o1[[#This Row],[a1]]=1,((Tab.o1[[#This Row],[MedMod]]-AVERAGE(Tab.o1[MedMod]))/_xlfn.STDEV.P(Tab.o1[MedMod])*H$1204)+G$1204,"")</f>
        <v/>
      </c>
      <c r="T1022" s="123" t="str">
        <f>IF(Tab.o1[[#This Row],[a1]]=1,Tab.o1[[#This Row],[Z-]]*_xlfn.STDEV.P(Tab.o1[B])+AVERAGE(Tab.o1[B]),"")</f>
        <v/>
      </c>
      <c r="U1022" s="123" t="str">
        <f>IF(Tab.o1[[#This Row],[a1]]=1,Tab.o1[[#This Row],[z+]]*_xlfn.STDEV.P(Tab.o1[B])+AVERAGE(Tab.o1[B]),"")</f>
        <v/>
      </c>
      <c r="V1022" s="124" t="str">
        <f>IF(Tab.o1[[#This Row],[a1]]=1,ABS((ABS(Tab.o1[[#This Row],[Red]]-Tab.o1[[#This Row],[Blue]]))),"")</f>
        <v/>
      </c>
      <c r="W1022" s="125" t="str">
        <f>IF(Tab.o1[[#This Row],[a1]]=1,IF(W$3=0,1,Tab.o1[[#This Row],[Amp.]]*1/_xlfn.MINIFS(Tab.o1[Amp.],Tab.o1[Amp.],"&lt;&gt;0")),"")</f>
        <v/>
      </c>
      <c r="X1022" s="126" t="str">
        <f>IF(Tab.o1[[#This Row],[a1]]=1,IF(ISNUMBER(Tab.o1[[#This Row],[i.]]),NORMDIST(Tab.o1[[#This Row],[Za]],0,1,FALSE)*Tab.o1[[#This Row],[i.]],AP$3),"")</f>
        <v/>
      </c>
      <c r="Y1022" s="126" t="str">
        <f>IF(Tab.o1[[#This Row],[a1]]=1,0.01+0.94*Tab.o1[[#This Row],[PDF]]/MAX(Tab.o1[PDF]),"")</f>
        <v/>
      </c>
      <c r="Z1022" s="126" t="str">
        <f>IF(Tab.o1[[#This Row],[a1]]=1,0.01+0.94*Tab.o1[[#This Row],[W1_PDF]]/MAX(Tab.o1[W1_PDF]),"")</f>
        <v/>
      </c>
      <c r="AA1022" s="118" t="str">
        <f>IF(Tab.o1[[#This Row],[a1]]=1,ABS([1]!T.in.A[[#This Row],[oo6]]),"")</f>
        <v/>
      </c>
      <c r="AB1022" s="127" t="str">
        <f>IF(Tab.o1[[#This Row],[a1]]=1,IF(AE$3=0,"",IF(AB$3=0,ABS([1]!T.in.A[[#This Row],[oo9]]),ABS(Tab.o1[[#This Row],[DIF_Target.]]*Tab.o1[[#This Row],[W1_PDF]]))),"")</f>
        <v/>
      </c>
      <c r="AC1022" s="127" t="str">
        <f>IF(G$1=1,"",IF(Tab.o1[[#This Row],[a1]]=1,Tab.o1[[#This Row],[Wr]]^2,""))</f>
        <v/>
      </c>
      <c r="AD1022" s="118" t="str">
        <f>IF(Tab.o1[[#This Row],[a1]]=1,IF(AE$3=0,"",Tab.o1[[#This Row],[Wr2]]/SUM(Tab.o1[Wr2])),"")</f>
        <v/>
      </c>
      <c r="AE1022" s="128" t="str">
        <f>IF(Tab.o1[[#This Row],[a1]]=1,[1]!T.in.A[[#This Row],[oo10]],"")</f>
        <v/>
      </c>
      <c r="AF1022" s="118" t="str">
        <f>IF(Tab.o1[[#This Row],[a1]]=1,ABS(Tab.o1[[#This Row],[DIF_Target.]]*Tab.o1[[#This Row],[PDF2]]*Tab.o1[[#This Row],[IN]]),"")</f>
        <v/>
      </c>
      <c r="AG1022" s="129" t="str">
        <f>IF(Tab.o1[[#This Row],[a1]]=1,Tab.o1[[#This Row],[rW]]^2,"")</f>
        <v/>
      </c>
      <c r="AH1022" s="130" t="str">
        <f>IF(Tab.o1[[#This Row],[a1]]=1,IF(AH$3=0,Tab.o1[[#This Row],[rW2]],0.01+0.94*Tab.o1[[#This Row],[rW2]]/SUM(Tab.o1[rW2])),"")</f>
        <v/>
      </c>
      <c r="AI1022" s="128" t="str">
        <f>IF(Tab.o1[[#This Row],[a1]]=1,1/Tab.o1[[#This Row],[PDF]],"")</f>
        <v/>
      </c>
      <c r="AJ1022" s="131" t="str">
        <f>IF(Tab.o1[[#This Row],[a1]]=1,[1]!T_AA[[#This Row],[IN'']]*[1]!T_AA[[#This Row],[Qde'']],"")</f>
        <v/>
      </c>
      <c r="AK1022" s="132" t="str">
        <f>IF(Tab.o1[[#This Row],[a1]]=1,IF(AK$1=1,Tab.o1[[#This Row],[MED]]+Tab.o1[[#This Row],[MOD]]-Tab.o1[[#This Row],[MED]],""),"")</f>
        <v/>
      </c>
      <c r="AL1022" s="133" t="str">
        <f>IF(Tab.o1[[#This Row],[a1]]=1,[1]!T.in.A[[#This Row],[oo16]],"")</f>
        <v/>
      </c>
      <c r="AM1022" s="133" t="str">
        <f>IF(Tab.o1[[#This Row],[a1]]=1,IF(AM$3=1,[1]!T.in.A[[#This Row],[Σo16]],""),"")</f>
        <v/>
      </c>
      <c r="AN1022" s="126" t="str">
        <f>IF(Tab.o1[[#This Row],[a1]]=1,[1]!T.in.A[[#This Row],[Σp5]],"")</f>
        <v/>
      </c>
      <c r="AO1022" s="126" t="str">
        <f>IF(Tab.o1[[#This Row],[a1]]=1,IF(AO$3=1,[1]!T.in.A[[#This Row],[Σp5]],""),"")</f>
        <v/>
      </c>
      <c r="AP1022" s="110" t="str">
        <f>IF(Tab.o1[[#This Row],[a1]]=1,IF(ISNUMBER(Tab.o1[[#This Row],[i.]]),NORMDIST(Tab.o1[[#This Row],[Za]],0,1,FALSE)*Tab.o1[[#This Row],[i.]],0),"")</f>
        <v/>
      </c>
      <c r="AQ1022" s="125" t="str">
        <f>IF(Tab.o1[[#This Row],[a1]]=1,ABS(Tab.o1[[#This Row],[MOD]]-AVERAGE(Tab.o1[MOD])),"")</f>
        <v/>
      </c>
      <c r="AR1022" s="134" t="str">
        <f>IF(Tab.o1[[#This Row],[a1]]=1,Tab.o1[[#This Row],[OBS]]/SUM(Tab.o1[OBS]),"")</f>
        <v/>
      </c>
      <c r="AS1022" s="135" t="str">
        <f>IF(ISNUMBER(Tab.o1[[#This Row],[a1]]),ROW()-4,"")</f>
        <v/>
      </c>
      <c r="AT1022" s="136" t="str">
        <f>Tab.o1[[#This Row],[MOD]]</f>
        <v/>
      </c>
      <c r="AU1022" s="137" t="str">
        <f t="shared" si="61"/>
        <v/>
      </c>
      <c r="AV1022" s="138" t="str">
        <f t="shared" si="62"/>
        <v/>
      </c>
      <c r="AW1022" s="138" t="str">
        <f t="shared" si="63"/>
        <v/>
      </c>
      <c r="AX1022" s="139" t="str">
        <f>[1]!T.in.A[[#This Row],[ID_T_manu]]</f>
        <v/>
      </c>
      <c r="AY1022" s="140" t="str">
        <f>IF(ISNUMBER(Tab.o1[[#This Row],[a1]]),IF(AND(Tab.o1[[#This Row],[a1]]=1,Tab.o1[[#This Row],[b1]]&lt;=AY$4),#REF!,AY1021),"")</f>
        <v/>
      </c>
      <c r="AZ1022" s="25"/>
      <c r="BA1022" s="25"/>
      <c r="BB1022" s="25"/>
      <c r="BC1022" s="25"/>
      <c r="BD1022" s="25"/>
      <c r="BE1022" s="25"/>
      <c r="BF1022" s="25"/>
      <c r="BG1022" s="25"/>
      <c r="BH1022" s="25"/>
      <c r="BI1022" s="25"/>
      <c r="BJ1022" s="25"/>
      <c r="BK1022" s="25"/>
      <c r="BL1022" s="25"/>
      <c r="BM1022" s="25"/>
      <c r="BN1022" s="26"/>
      <c r="BO1022" s="26"/>
      <c r="BP1022" s="26"/>
      <c r="BQ1022" s="26"/>
      <c r="BR1022" s="26"/>
      <c r="BS1022" s="26"/>
      <c r="BT1022" s="26"/>
      <c r="BU1022" s="26"/>
      <c r="BV1022" s="26"/>
      <c r="BW1022" s="26"/>
      <c r="BX1022" s="26"/>
      <c r="BY1022" s="26"/>
      <c r="BZ1022" s="26"/>
      <c r="CA1022" s="26"/>
    </row>
    <row r="1023" spans="1:79" ht="15.75" hidden="1">
      <c r="A1023" s="109">
        <v>-8.0000000000000013E-6</v>
      </c>
      <c r="B1023" s="110">
        <f t="shared" si="60"/>
        <v>1023</v>
      </c>
      <c r="C1023" s="111" t="str">
        <f>IF(C$1=[1]!T.in.A[[#This Row],[oo2]],1,"")</f>
        <v/>
      </c>
      <c r="D1023" s="112" t="str">
        <f>IF(Tab.o1[[#This Row],[a1]]=1,IF(SUM(C1023:C1024)=0,0,IF(SUM(C1022:C1023)=1,1,IF(SUM(C1022:C1024)&gt;1,D1022+1,0))),"")</f>
        <v/>
      </c>
      <c r="E1023" s="113" t="str">
        <f>IF(Tab.o1[[#This Row],[a1]]=1,[1]!T.in.A[[#This Row],[oo1]],"")</f>
        <v/>
      </c>
      <c r="F1023" s="113" t="str">
        <f>IF(Tab.o1[[#This Row],[a1]]=1,[1]!T.in.A[[#This Row],[pp1]],"")</f>
        <v/>
      </c>
      <c r="G1023" s="114" t="str">
        <f>IF(Tab.o1[[#This Row],[a1]]=1,G$2+IF(G$1=1,0,Tab.o1[[#This Row],[.x1]])+[1]!T.in.A[[#This Row],[oo3]],"")</f>
        <v/>
      </c>
      <c r="H1023" s="115" t="str">
        <f>IF(Tab.o1[[#This Row],[a1]]=1,IF(H$2=0,0,IF(G$1=1,0,Tab.o1[[#This Row],[.x1]])+[1]!T.in.A[[#This Row],[oo4]]),"")</f>
        <v/>
      </c>
      <c r="I1023" s="116" t="str">
        <f>IF(Tab.o1[[#This Row],[a1]]=1,IF(J$2=0,Tab.o1[[#This Row],[MED]],Tab.o1[[#This Row],[MOD]]),"")</f>
        <v/>
      </c>
      <c r="J1023" s="116" t="str">
        <f>IF(Tab.o1[[#This Row],[a1]]=1,((Tab.o1[[#This Row],[DIF_Target.]]-AVERAGE(Tab.o1[DIF_Target.]))/_xlfn.STDEV.P(Tab.o1[DIF_Target.])),"")</f>
        <v/>
      </c>
      <c r="K1023" s="117" t="str">
        <f>IF(Tab.o1[[#This Row],[a1]]=1,IF(J$2=0,Tab.o1[[#This Row],[MOD]]-Tab.o1[[#This Row],[B]],IF(J$2=1,0,-Tab.o1[[#This Row],[MED]])+Tab.o1[[#This Row],[B]]),"")</f>
        <v/>
      </c>
      <c r="L1023" s="117" t="str">
        <f ca="1">IF(Tab.o1[[#This Row],[DIF_Target]]=0,IF(L$2=0,Tab.o1[[#This Row],[DIF_Target]],AVERAGE(OFFSET(Tab.o1[[#This Row],[DIF_Target]],1,0,L$3,1)))/3,Tab.o1[[#This Row],[DIF_Target]])</f>
        <v/>
      </c>
      <c r="M1023" s="118" t="str">
        <f>IF(Tab.o1[[#This Row],[a1]]=1,NORMSDIST(Tab.o1[[#This Row],[Za]]),"")</f>
        <v/>
      </c>
      <c r="N1023" s="119" t="str">
        <f>IF(Tab.o1[[#This Row],[a1]]=1,((Tab.o1[[#This Row],[MedMod]]-AVERAGE(Tab.o1[MedMod]))/_xlfn.STDEV.P(Tab.o1[MedMod])*H$1205)+G$1205,"")</f>
        <v/>
      </c>
      <c r="O1023" s="141" t="str">
        <f>IF(Tab.o1[[#This Row],[a1]]=1,Tab.o1[[#This Row],[Zb]]*_xlfn.STDEV.P(Tab.o1[MedMod])+AVERAGE(Tab.o1[MedMod]),"")</f>
        <v/>
      </c>
      <c r="P1023" s="117" t="str">
        <f ca="1">IF(Tab.o1[[#This Row],[B]]=0,AVERAGE(OFFSET(Tab.o1[[#This Row],[B]],1,0,L$3,1)),Tab.o1[[#This Row],[B]])</f>
        <v/>
      </c>
      <c r="Q1023" s="121" t="str">
        <f>IF(Tab.o1[[#This Row],[a1]]=1,NORMSDIST(Tab.o1[[#This Row],[Zb]]),"")</f>
        <v/>
      </c>
      <c r="R1023" s="122" t="str">
        <f>IF(Tab.o1[[#This Row],[a1]]=1,((Tab.o1[[#This Row],[MedMod]]-AVERAGE(Tab.o1[MedMod]))/_xlfn.STDEV.P(Tab.o1[MedMod])*H$1203)+G$1203,"")</f>
        <v/>
      </c>
      <c r="S1023" s="122" t="str">
        <f>IF(Tab.o1[[#This Row],[a1]]=1,((Tab.o1[[#This Row],[MedMod]]-AVERAGE(Tab.o1[MedMod]))/_xlfn.STDEV.P(Tab.o1[MedMod])*H$1204)+G$1204,"")</f>
        <v/>
      </c>
      <c r="T1023" s="123" t="str">
        <f>IF(Tab.o1[[#This Row],[a1]]=1,Tab.o1[[#This Row],[Z-]]*_xlfn.STDEV.P(Tab.o1[B])+AVERAGE(Tab.o1[B]),"")</f>
        <v/>
      </c>
      <c r="U1023" s="123" t="str">
        <f>IF(Tab.o1[[#This Row],[a1]]=1,Tab.o1[[#This Row],[z+]]*_xlfn.STDEV.P(Tab.o1[B])+AVERAGE(Tab.o1[B]),"")</f>
        <v/>
      </c>
      <c r="V1023" s="124" t="str">
        <f>IF(Tab.o1[[#This Row],[a1]]=1,ABS((ABS(Tab.o1[[#This Row],[Red]]-Tab.o1[[#This Row],[Blue]]))),"")</f>
        <v/>
      </c>
      <c r="W1023" s="125" t="str">
        <f>IF(Tab.o1[[#This Row],[a1]]=1,IF(W$3=0,1,Tab.o1[[#This Row],[Amp.]]*1/_xlfn.MINIFS(Tab.o1[Amp.],Tab.o1[Amp.],"&lt;&gt;0")),"")</f>
        <v/>
      </c>
      <c r="X1023" s="126" t="str">
        <f>IF(Tab.o1[[#This Row],[a1]]=1,IF(ISNUMBER(Tab.o1[[#This Row],[i.]]),NORMDIST(Tab.o1[[#This Row],[Za]],0,1,FALSE)*Tab.o1[[#This Row],[i.]],AP$3),"")</f>
        <v/>
      </c>
      <c r="Y1023" s="126" t="str">
        <f>IF(Tab.o1[[#This Row],[a1]]=1,0.01+0.94*Tab.o1[[#This Row],[PDF]]/MAX(Tab.o1[PDF]),"")</f>
        <v/>
      </c>
      <c r="Z1023" s="126" t="str">
        <f>IF(Tab.o1[[#This Row],[a1]]=1,0.01+0.94*Tab.o1[[#This Row],[W1_PDF]]/MAX(Tab.o1[W1_PDF]),"")</f>
        <v/>
      </c>
      <c r="AA1023" s="118" t="str">
        <f>IF(Tab.o1[[#This Row],[a1]]=1,ABS([1]!T.in.A[[#This Row],[oo6]]),"")</f>
        <v/>
      </c>
      <c r="AB1023" s="127" t="str">
        <f>IF(Tab.o1[[#This Row],[a1]]=1,IF(AE$3=0,"",IF(AB$3=0,ABS([1]!T.in.A[[#This Row],[oo9]]),ABS(Tab.o1[[#This Row],[DIF_Target.]]*Tab.o1[[#This Row],[W1_PDF]]))),"")</f>
        <v/>
      </c>
      <c r="AC1023" s="127" t="str">
        <f>IF(G$1=1,"",IF(Tab.o1[[#This Row],[a1]]=1,Tab.o1[[#This Row],[Wr]]^2,""))</f>
        <v/>
      </c>
      <c r="AD1023" s="118" t="str">
        <f>IF(Tab.o1[[#This Row],[a1]]=1,IF(AE$3=0,"",Tab.o1[[#This Row],[Wr2]]/SUM(Tab.o1[Wr2])),"")</f>
        <v/>
      </c>
      <c r="AE1023" s="128" t="str">
        <f>IF(Tab.o1[[#This Row],[a1]]=1,[1]!T.in.A[[#This Row],[oo10]],"")</f>
        <v/>
      </c>
      <c r="AF1023" s="118" t="str">
        <f>IF(Tab.o1[[#This Row],[a1]]=1,ABS(Tab.o1[[#This Row],[DIF_Target.]]*Tab.o1[[#This Row],[PDF2]]*Tab.o1[[#This Row],[IN]]),"")</f>
        <v/>
      </c>
      <c r="AG1023" s="129" t="str">
        <f>IF(Tab.o1[[#This Row],[a1]]=1,Tab.o1[[#This Row],[rW]]^2,"")</f>
        <v/>
      </c>
      <c r="AH1023" s="130" t="str">
        <f>IF(Tab.o1[[#This Row],[a1]]=1,IF(AH$3=0,Tab.o1[[#This Row],[rW2]],0.01+0.94*Tab.o1[[#This Row],[rW2]]/SUM(Tab.o1[rW2])),"")</f>
        <v/>
      </c>
      <c r="AI1023" s="128" t="str">
        <f>IF(Tab.o1[[#This Row],[a1]]=1,1/Tab.o1[[#This Row],[PDF]],"")</f>
        <v/>
      </c>
      <c r="AJ1023" s="131" t="str">
        <f>IF(Tab.o1[[#This Row],[a1]]=1,[1]!T_AA[[#This Row],[IN'']]*[1]!T_AA[[#This Row],[Qde'']],"")</f>
        <v/>
      </c>
      <c r="AK1023" s="132" t="str">
        <f>IF(Tab.o1[[#This Row],[a1]]=1,IF(AK$1=1,Tab.o1[[#This Row],[MED]]+Tab.o1[[#This Row],[MOD]]-Tab.o1[[#This Row],[MED]],""),"")</f>
        <v/>
      </c>
      <c r="AL1023" s="133" t="str">
        <f>IF(Tab.o1[[#This Row],[a1]]=1,[1]!T.in.A[[#This Row],[oo16]],"")</f>
        <v/>
      </c>
      <c r="AM1023" s="133" t="str">
        <f>IF(Tab.o1[[#This Row],[a1]]=1,IF(AM$3=1,[1]!T.in.A[[#This Row],[Σo16]],""),"")</f>
        <v/>
      </c>
      <c r="AN1023" s="126" t="str">
        <f>IF(Tab.o1[[#This Row],[a1]]=1,[1]!T.in.A[[#This Row],[Σp5]],"")</f>
        <v/>
      </c>
      <c r="AO1023" s="126" t="str">
        <f>IF(Tab.o1[[#This Row],[a1]]=1,IF(AO$3=1,[1]!T.in.A[[#This Row],[Σp5]],""),"")</f>
        <v/>
      </c>
      <c r="AP1023" s="110" t="str">
        <f>IF(Tab.o1[[#This Row],[a1]]=1,IF(ISNUMBER(Tab.o1[[#This Row],[i.]]),NORMDIST(Tab.o1[[#This Row],[Za]],0,1,FALSE)*Tab.o1[[#This Row],[i.]],0),"")</f>
        <v/>
      </c>
      <c r="AQ1023" s="125" t="str">
        <f>IF(Tab.o1[[#This Row],[a1]]=1,ABS(Tab.o1[[#This Row],[MOD]]-AVERAGE(Tab.o1[MOD])),"")</f>
        <v/>
      </c>
      <c r="AR1023" s="134" t="str">
        <f>IF(Tab.o1[[#This Row],[a1]]=1,Tab.o1[[#This Row],[OBS]]/SUM(Tab.o1[OBS]),"")</f>
        <v/>
      </c>
      <c r="AS1023" s="135" t="str">
        <f>IF(ISNUMBER(Tab.o1[[#This Row],[a1]]),ROW()-4,"")</f>
        <v/>
      </c>
      <c r="AT1023" s="136" t="str">
        <f>Tab.o1[[#This Row],[MOD]]</f>
        <v/>
      </c>
      <c r="AU1023" s="137" t="str">
        <f t="shared" si="61"/>
        <v/>
      </c>
      <c r="AV1023" s="138" t="str">
        <f t="shared" si="62"/>
        <v/>
      </c>
      <c r="AW1023" s="138" t="str">
        <f t="shared" si="63"/>
        <v/>
      </c>
      <c r="AX1023" s="139" t="str">
        <f>[1]!T.in.A[[#This Row],[ID_T_manu]]</f>
        <v/>
      </c>
      <c r="AY1023" s="140" t="str">
        <f>IF(ISNUMBER(Tab.o1[[#This Row],[a1]]),IF(AND(Tab.o1[[#This Row],[a1]]=1,Tab.o1[[#This Row],[b1]]&lt;=AY$4),#REF!,AY1022),"")</f>
        <v/>
      </c>
      <c r="AZ1023" s="25"/>
      <c r="BA1023" s="25"/>
      <c r="BB1023" s="25"/>
      <c r="BC1023" s="25"/>
      <c r="BD1023" s="25"/>
      <c r="BE1023" s="25"/>
      <c r="BF1023" s="25"/>
      <c r="BG1023" s="25"/>
      <c r="BH1023" s="25"/>
      <c r="BI1023" s="25"/>
      <c r="BJ1023" s="25"/>
      <c r="BK1023" s="25"/>
      <c r="BL1023" s="25"/>
      <c r="BM1023" s="25"/>
      <c r="BN1023" s="26"/>
      <c r="BO1023" s="26"/>
      <c r="BP1023" s="26"/>
      <c r="BQ1023" s="26"/>
      <c r="BR1023" s="26"/>
      <c r="BS1023" s="26"/>
      <c r="BT1023" s="26"/>
      <c r="BU1023" s="26"/>
      <c r="BV1023" s="26"/>
      <c r="BW1023" s="26"/>
      <c r="BX1023" s="26"/>
      <c r="BY1023" s="26"/>
      <c r="BZ1023" s="26"/>
      <c r="CA1023" s="26"/>
    </row>
    <row r="1024" spans="1:79" ht="15.75" hidden="1">
      <c r="A1024" s="109">
        <v>-5.0000000000000004E-6</v>
      </c>
      <c r="B1024" s="110">
        <f t="shared" si="60"/>
        <v>1024</v>
      </c>
      <c r="C1024" s="111" t="str">
        <f>IF(C$1=[1]!T.in.A[[#This Row],[oo2]],1,"")</f>
        <v/>
      </c>
      <c r="D1024" s="112" t="str">
        <f>IF(Tab.o1[[#This Row],[a1]]=1,IF(SUM(C1024:C1025)=0,0,IF(SUM(C1023:C1024)=1,1,IF(SUM(C1023:C1025)&gt;1,D1023+1,0))),"")</f>
        <v/>
      </c>
      <c r="E1024" s="113" t="str">
        <f>IF(Tab.o1[[#This Row],[a1]]=1,[1]!T.in.A[[#This Row],[oo1]],"")</f>
        <v/>
      </c>
      <c r="F1024" s="113" t="str">
        <f>IF(Tab.o1[[#This Row],[a1]]=1,[1]!T.in.A[[#This Row],[pp1]],"")</f>
        <v/>
      </c>
      <c r="G1024" s="114" t="str">
        <f>IF(Tab.o1[[#This Row],[a1]]=1,G$2+IF(G$1=1,0,Tab.o1[[#This Row],[.x1]])+[1]!T.in.A[[#This Row],[oo3]],"")</f>
        <v/>
      </c>
      <c r="H1024" s="115" t="str">
        <f>IF(Tab.o1[[#This Row],[a1]]=1,IF(H$2=0,0,IF(G$1=1,0,Tab.o1[[#This Row],[.x1]])+[1]!T.in.A[[#This Row],[oo4]]),"")</f>
        <v/>
      </c>
      <c r="I1024" s="116" t="str">
        <f>IF(Tab.o1[[#This Row],[a1]]=1,IF(J$2=0,Tab.o1[[#This Row],[MED]],Tab.o1[[#This Row],[MOD]]),"")</f>
        <v/>
      </c>
      <c r="J1024" s="116" t="str">
        <f>IF(Tab.o1[[#This Row],[a1]]=1,((Tab.o1[[#This Row],[DIF_Target.]]-AVERAGE(Tab.o1[DIF_Target.]))/_xlfn.STDEV.P(Tab.o1[DIF_Target.])),"")</f>
        <v/>
      </c>
      <c r="K1024" s="117" t="str">
        <f>IF(Tab.o1[[#This Row],[a1]]=1,IF(J$2=0,Tab.o1[[#This Row],[MOD]]-Tab.o1[[#This Row],[B]],IF(J$2=1,0,-Tab.o1[[#This Row],[MED]])+Tab.o1[[#This Row],[B]]),"")</f>
        <v/>
      </c>
      <c r="L1024" s="117" t="str">
        <f ca="1">IF(Tab.o1[[#This Row],[DIF_Target]]=0,IF(L$2=0,Tab.o1[[#This Row],[DIF_Target]],AVERAGE(OFFSET(Tab.o1[[#This Row],[DIF_Target]],1,0,L$3,1)))/3,Tab.o1[[#This Row],[DIF_Target]])</f>
        <v/>
      </c>
      <c r="M1024" s="118" t="str">
        <f>IF(Tab.o1[[#This Row],[a1]]=1,NORMSDIST(Tab.o1[[#This Row],[Za]]),"")</f>
        <v/>
      </c>
      <c r="N1024" s="119" t="str">
        <f>IF(Tab.o1[[#This Row],[a1]]=1,((Tab.o1[[#This Row],[MedMod]]-AVERAGE(Tab.o1[MedMod]))/_xlfn.STDEV.P(Tab.o1[MedMod])*H$1205)+G$1205,"")</f>
        <v/>
      </c>
      <c r="O1024" s="141" t="str">
        <f>IF(Tab.o1[[#This Row],[a1]]=1,Tab.o1[[#This Row],[Zb]]*_xlfn.STDEV.P(Tab.o1[MedMod])+AVERAGE(Tab.o1[MedMod]),"")</f>
        <v/>
      </c>
      <c r="P1024" s="117" t="str">
        <f ca="1">IF(Tab.o1[[#This Row],[B]]=0,AVERAGE(OFFSET(Tab.o1[[#This Row],[B]],1,0,L$3,1)),Tab.o1[[#This Row],[B]])</f>
        <v/>
      </c>
      <c r="Q1024" s="121" t="str">
        <f>IF(Tab.o1[[#This Row],[a1]]=1,NORMSDIST(Tab.o1[[#This Row],[Zb]]),"")</f>
        <v/>
      </c>
      <c r="R1024" s="122" t="str">
        <f>IF(Tab.o1[[#This Row],[a1]]=1,((Tab.o1[[#This Row],[MedMod]]-AVERAGE(Tab.o1[MedMod]))/_xlfn.STDEV.P(Tab.o1[MedMod])*H$1203)+G$1203,"")</f>
        <v/>
      </c>
      <c r="S1024" s="122" t="str">
        <f>IF(Tab.o1[[#This Row],[a1]]=1,((Tab.o1[[#This Row],[MedMod]]-AVERAGE(Tab.o1[MedMod]))/_xlfn.STDEV.P(Tab.o1[MedMod])*H$1204)+G$1204,"")</f>
        <v/>
      </c>
      <c r="T1024" s="123" t="str">
        <f>IF(Tab.o1[[#This Row],[a1]]=1,Tab.o1[[#This Row],[Z-]]*_xlfn.STDEV.P(Tab.o1[B])+AVERAGE(Tab.o1[B]),"")</f>
        <v/>
      </c>
      <c r="U1024" s="123" t="str">
        <f>IF(Tab.o1[[#This Row],[a1]]=1,Tab.o1[[#This Row],[z+]]*_xlfn.STDEV.P(Tab.o1[B])+AVERAGE(Tab.o1[B]),"")</f>
        <v/>
      </c>
      <c r="V1024" s="124" t="str">
        <f>IF(Tab.o1[[#This Row],[a1]]=1,ABS((ABS(Tab.o1[[#This Row],[Red]]-Tab.o1[[#This Row],[Blue]]))),"")</f>
        <v/>
      </c>
      <c r="W1024" s="125" t="str">
        <f>IF(Tab.o1[[#This Row],[a1]]=1,IF(W$3=0,1,Tab.o1[[#This Row],[Amp.]]*1/_xlfn.MINIFS(Tab.o1[Amp.],Tab.o1[Amp.],"&lt;&gt;0")),"")</f>
        <v/>
      </c>
      <c r="X1024" s="126" t="str">
        <f>IF(Tab.o1[[#This Row],[a1]]=1,IF(ISNUMBER(Tab.o1[[#This Row],[i.]]),NORMDIST(Tab.o1[[#This Row],[Za]],0,1,FALSE)*Tab.o1[[#This Row],[i.]],AP$3),"")</f>
        <v/>
      </c>
      <c r="Y1024" s="126" t="str">
        <f>IF(Tab.o1[[#This Row],[a1]]=1,0.01+0.94*Tab.o1[[#This Row],[PDF]]/MAX(Tab.o1[PDF]),"")</f>
        <v/>
      </c>
      <c r="Z1024" s="126" t="str">
        <f>IF(Tab.o1[[#This Row],[a1]]=1,0.01+0.94*Tab.o1[[#This Row],[W1_PDF]]/MAX(Tab.o1[W1_PDF]),"")</f>
        <v/>
      </c>
      <c r="AA1024" s="118" t="str">
        <f>IF(Tab.o1[[#This Row],[a1]]=1,ABS([1]!T.in.A[[#This Row],[oo6]]),"")</f>
        <v/>
      </c>
      <c r="AB1024" s="127" t="str">
        <f>IF(Tab.o1[[#This Row],[a1]]=1,IF(AE$3=0,"",IF(AB$3=0,ABS([1]!T.in.A[[#This Row],[oo9]]),ABS(Tab.o1[[#This Row],[DIF_Target.]]*Tab.o1[[#This Row],[W1_PDF]]))),"")</f>
        <v/>
      </c>
      <c r="AC1024" s="127" t="str">
        <f>IF(G$1=1,"",IF(Tab.o1[[#This Row],[a1]]=1,Tab.o1[[#This Row],[Wr]]^2,""))</f>
        <v/>
      </c>
      <c r="AD1024" s="118" t="str">
        <f>IF(Tab.o1[[#This Row],[a1]]=1,IF(AE$3=0,"",Tab.o1[[#This Row],[Wr2]]/SUM(Tab.o1[Wr2])),"")</f>
        <v/>
      </c>
      <c r="AE1024" s="128" t="str">
        <f>IF(Tab.o1[[#This Row],[a1]]=1,[1]!T.in.A[[#This Row],[oo10]],"")</f>
        <v/>
      </c>
      <c r="AF1024" s="118" t="str">
        <f>IF(Tab.o1[[#This Row],[a1]]=1,ABS(Tab.o1[[#This Row],[DIF_Target.]]*Tab.o1[[#This Row],[PDF2]]*Tab.o1[[#This Row],[IN]]),"")</f>
        <v/>
      </c>
      <c r="AG1024" s="129" t="str">
        <f>IF(Tab.o1[[#This Row],[a1]]=1,Tab.o1[[#This Row],[rW]]^2,"")</f>
        <v/>
      </c>
      <c r="AH1024" s="130" t="str">
        <f>IF(Tab.o1[[#This Row],[a1]]=1,IF(AH$3=0,Tab.o1[[#This Row],[rW2]],0.01+0.94*Tab.o1[[#This Row],[rW2]]/SUM(Tab.o1[rW2])),"")</f>
        <v/>
      </c>
      <c r="AI1024" s="128" t="str">
        <f>IF(Tab.o1[[#This Row],[a1]]=1,1/Tab.o1[[#This Row],[PDF]],"")</f>
        <v/>
      </c>
      <c r="AJ1024" s="131" t="str">
        <f>IF(Tab.o1[[#This Row],[a1]]=1,[1]!T_AA[[#This Row],[IN'']]*[1]!T_AA[[#This Row],[Qde'']],"")</f>
        <v/>
      </c>
      <c r="AK1024" s="132" t="str">
        <f>IF(Tab.o1[[#This Row],[a1]]=1,IF(AK$1=1,Tab.o1[[#This Row],[MED]]+Tab.o1[[#This Row],[MOD]]-Tab.o1[[#This Row],[MED]],""),"")</f>
        <v/>
      </c>
      <c r="AL1024" s="133" t="str">
        <f>IF(Tab.o1[[#This Row],[a1]]=1,[1]!T.in.A[[#This Row],[oo16]],"")</f>
        <v/>
      </c>
      <c r="AM1024" s="133" t="str">
        <f>IF(Tab.o1[[#This Row],[a1]]=1,IF(AM$3=1,[1]!T.in.A[[#This Row],[Σo16]],""),"")</f>
        <v/>
      </c>
      <c r="AN1024" s="126" t="str">
        <f>IF(Tab.o1[[#This Row],[a1]]=1,[1]!T.in.A[[#This Row],[Σp5]],"")</f>
        <v/>
      </c>
      <c r="AO1024" s="126" t="str">
        <f>IF(Tab.o1[[#This Row],[a1]]=1,IF(AO$3=1,[1]!T.in.A[[#This Row],[Σp5]],""),"")</f>
        <v/>
      </c>
      <c r="AP1024" s="110" t="str">
        <f>IF(Tab.o1[[#This Row],[a1]]=1,IF(ISNUMBER(Tab.o1[[#This Row],[i.]]),NORMDIST(Tab.o1[[#This Row],[Za]],0,1,FALSE)*Tab.o1[[#This Row],[i.]],0),"")</f>
        <v/>
      </c>
      <c r="AQ1024" s="125" t="str">
        <f>IF(Tab.o1[[#This Row],[a1]]=1,ABS(Tab.o1[[#This Row],[MOD]]-AVERAGE(Tab.o1[MOD])),"")</f>
        <v/>
      </c>
      <c r="AR1024" s="134" t="str">
        <f>IF(Tab.o1[[#This Row],[a1]]=1,Tab.o1[[#This Row],[OBS]]/SUM(Tab.o1[OBS]),"")</f>
        <v/>
      </c>
      <c r="AS1024" s="135" t="str">
        <f>IF(ISNUMBER(Tab.o1[[#This Row],[a1]]),ROW()-4,"")</f>
        <v/>
      </c>
      <c r="AT1024" s="136" t="str">
        <f>Tab.o1[[#This Row],[MOD]]</f>
        <v/>
      </c>
      <c r="AU1024" s="137" t="str">
        <f t="shared" si="61"/>
        <v/>
      </c>
      <c r="AV1024" s="138" t="str">
        <f t="shared" si="62"/>
        <v/>
      </c>
      <c r="AW1024" s="138" t="str">
        <f t="shared" si="63"/>
        <v/>
      </c>
      <c r="AX1024" s="139" t="str">
        <f>[1]!T.in.A[[#This Row],[ID_T_manu]]</f>
        <v/>
      </c>
      <c r="AY1024" s="140" t="str">
        <f>IF(ISNUMBER(Tab.o1[[#This Row],[a1]]),IF(AND(Tab.o1[[#This Row],[a1]]=1,Tab.o1[[#This Row],[b1]]&lt;=AY$4),#REF!,AY1023),"")</f>
        <v/>
      </c>
      <c r="AZ1024" s="25"/>
      <c r="BA1024" s="25"/>
      <c r="BB1024" s="25"/>
      <c r="BC1024" s="25"/>
      <c r="BD1024" s="25"/>
      <c r="BE1024" s="25"/>
      <c r="BF1024" s="25"/>
      <c r="BG1024" s="25"/>
      <c r="BH1024" s="25"/>
      <c r="BI1024" s="25"/>
      <c r="BJ1024" s="25"/>
      <c r="BK1024" s="25"/>
      <c r="BL1024" s="25"/>
      <c r="BM1024" s="25"/>
      <c r="BN1024" s="26"/>
      <c r="BO1024" s="26"/>
      <c r="BP1024" s="26"/>
      <c r="BQ1024" s="26"/>
      <c r="BR1024" s="26"/>
      <c r="BS1024" s="26"/>
      <c r="BT1024" s="26"/>
      <c r="BU1024" s="26"/>
      <c r="BV1024" s="26"/>
      <c r="BW1024" s="26"/>
      <c r="BX1024" s="26"/>
      <c r="BY1024" s="26"/>
      <c r="BZ1024" s="26"/>
      <c r="CA1024" s="26"/>
    </row>
    <row r="1025" spans="1:79" ht="15.75" hidden="1">
      <c r="A1025" s="109">
        <v>4.0000000000000007E-6</v>
      </c>
      <c r="B1025" s="110">
        <f t="shared" si="60"/>
        <v>1025</v>
      </c>
      <c r="C1025" s="111" t="str">
        <f>IF(C$1=[1]!T.in.A[[#This Row],[oo2]],1,"")</f>
        <v/>
      </c>
      <c r="D1025" s="112" t="str">
        <f>IF(Tab.o1[[#This Row],[a1]]=1,IF(SUM(C1025:C1026)=0,0,IF(SUM(C1024:C1025)=1,1,IF(SUM(C1024:C1026)&gt;1,D1024+1,0))),"")</f>
        <v/>
      </c>
      <c r="E1025" s="113" t="str">
        <f>IF(Tab.o1[[#This Row],[a1]]=1,[1]!T.in.A[[#This Row],[oo1]],"")</f>
        <v/>
      </c>
      <c r="F1025" s="113" t="str">
        <f>IF(Tab.o1[[#This Row],[a1]]=1,[1]!T.in.A[[#This Row],[pp1]],"")</f>
        <v/>
      </c>
      <c r="G1025" s="114" t="str">
        <f>IF(Tab.o1[[#This Row],[a1]]=1,G$2+IF(G$1=1,0,Tab.o1[[#This Row],[.x1]])+[1]!T.in.A[[#This Row],[oo3]],"")</f>
        <v/>
      </c>
      <c r="H1025" s="115" t="str">
        <f>IF(Tab.o1[[#This Row],[a1]]=1,IF(H$2=0,0,IF(G$1=1,0,Tab.o1[[#This Row],[.x1]])+[1]!T.in.A[[#This Row],[oo4]]),"")</f>
        <v/>
      </c>
      <c r="I1025" s="116" t="str">
        <f>IF(Tab.o1[[#This Row],[a1]]=1,IF(J$2=0,Tab.o1[[#This Row],[MED]],Tab.o1[[#This Row],[MOD]]),"")</f>
        <v/>
      </c>
      <c r="J1025" s="116" t="str">
        <f>IF(Tab.o1[[#This Row],[a1]]=1,((Tab.o1[[#This Row],[DIF_Target.]]-AVERAGE(Tab.o1[DIF_Target.]))/_xlfn.STDEV.P(Tab.o1[DIF_Target.])),"")</f>
        <v/>
      </c>
      <c r="K1025" s="117" t="str">
        <f>IF(Tab.o1[[#This Row],[a1]]=1,IF(J$2=0,Tab.o1[[#This Row],[MOD]]-Tab.o1[[#This Row],[B]],IF(J$2=1,0,-Tab.o1[[#This Row],[MED]])+Tab.o1[[#This Row],[B]]),"")</f>
        <v/>
      </c>
      <c r="L1025" s="117" t="str">
        <f ca="1">IF(Tab.o1[[#This Row],[DIF_Target]]=0,IF(L$2=0,Tab.o1[[#This Row],[DIF_Target]],AVERAGE(OFFSET(Tab.o1[[#This Row],[DIF_Target]],1,0,L$3,1)))/3,Tab.o1[[#This Row],[DIF_Target]])</f>
        <v/>
      </c>
      <c r="M1025" s="118" t="str">
        <f>IF(Tab.o1[[#This Row],[a1]]=1,NORMSDIST(Tab.o1[[#This Row],[Za]]),"")</f>
        <v/>
      </c>
      <c r="N1025" s="119" t="str">
        <f>IF(Tab.o1[[#This Row],[a1]]=1,((Tab.o1[[#This Row],[MedMod]]-AVERAGE(Tab.o1[MedMod]))/_xlfn.STDEV.P(Tab.o1[MedMod])*H$1205)+G$1205,"")</f>
        <v/>
      </c>
      <c r="O1025" s="141" t="str">
        <f>IF(Tab.o1[[#This Row],[a1]]=1,Tab.o1[[#This Row],[Zb]]*_xlfn.STDEV.P(Tab.o1[MedMod])+AVERAGE(Tab.o1[MedMod]),"")</f>
        <v/>
      </c>
      <c r="P1025" s="117" t="str">
        <f ca="1">IF(Tab.o1[[#This Row],[B]]=0,AVERAGE(OFFSET(Tab.o1[[#This Row],[B]],1,0,L$3,1)),Tab.o1[[#This Row],[B]])</f>
        <v/>
      </c>
      <c r="Q1025" s="121" t="str">
        <f>IF(Tab.o1[[#This Row],[a1]]=1,NORMSDIST(Tab.o1[[#This Row],[Zb]]),"")</f>
        <v/>
      </c>
      <c r="R1025" s="122" t="str">
        <f>IF(Tab.o1[[#This Row],[a1]]=1,((Tab.o1[[#This Row],[MedMod]]-AVERAGE(Tab.o1[MedMod]))/_xlfn.STDEV.P(Tab.o1[MedMod])*H$1203)+G$1203,"")</f>
        <v/>
      </c>
      <c r="S1025" s="122" t="str">
        <f>IF(Tab.o1[[#This Row],[a1]]=1,((Tab.o1[[#This Row],[MedMod]]-AVERAGE(Tab.o1[MedMod]))/_xlfn.STDEV.P(Tab.o1[MedMod])*H$1204)+G$1204,"")</f>
        <v/>
      </c>
      <c r="T1025" s="123" t="str">
        <f>IF(Tab.o1[[#This Row],[a1]]=1,Tab.o1[[#This Row],[Z-]]*_xlfn.STDEV.P(Tab.o1[B])+AVERAGE(Tab.o1[B]),"")</f>
        <v/>
      </c>
      <c r="U1025" s="123" t="str">
        <f>IF(Tab.o1[[#This Row],[a1]]=1,Tab.o1[[#This Row],[z+]]*_xlfn.STDEV.P(Tab.o1[B])+AVERAGE(Tab.o1[B]),"")</f>
        <v/>
      </c>
      <c r="V1025" s="124" t="str">
        <f>IF(Tab.o1[[#This Row],[a1]]=1,ABS((ABS(Tab.o1[[#This Row],[Red]]-Tab.o1[[#This Row],[Blue]]))),"")</f>
        <v/>
      </c>
      <c r="W1025" s="125" t="str">
        <f>IF(Tab.o1[[#This Row],[a1]]=1,IF(W$3=0,1,Tab.o1[[#This Row],[Amp.]]*1/_xlfn.MINIFS(Tab.o1[Amp.],Tab.o1[Amp.],"&lt;&gt;0")),"")</f>
        <v/>
      </c>
      <c r="X1025" s="126" t="str">
        <f>IF(Tab.o1[[#This Row],[a1]]=1,IF(ISNUMBER(Tab.o1[[#This Row],[i.]]),NORMDIST(Tab.o1[[#This Row],[Za]],0,1,FALSE)*Tab.o1[[#This Row],[i.]],AP$3),"")</f>
        <v/>
      </c>
      <c r="Y1025" s="126" t="str">
        <f>IF(Tab.o1[[#This Row],[a1]]=1,0.01+0.94*Tab.o1[[#This Row],[PDF]]/MAX(Tab.o1[PDF]),"")</f>
        <v/>
      </c>
      <c r="Z1025" s="126" t="str">
        <f>IF(Tab.o1[[#This Row],[a1]]=1,0.01+0.94*Tab.o1[[#This Row],[W1_PDF]]/MAX(Tab.o1[W1_PDF]),"")</f>
        <v/>
      </c>
      <c r="AA1025" s="118" t="str">
        <f>IF(Tab.o1[[#This Row],[a1]]=1,ABS([1]!T.in.A[[#This Row],[oo6]]),"")</f>
        <v/>
      </c>
      <c r="AB1025" s="127" t="str">
        <f>IF(Tab.o1[[#This Row],[a1]]=1,IF(AE$3=0,"",IF(AB$3=0,ABS([1]!T.in.A[[#This Row],[oo9]]),ABS(Tab.o1[[#This Row],[DIF_Target.]]*Tab.o1[[#This Row],[W1_PDF]]))),"")</f>
        <v/>
      </c>
      <c r="AC1025" s="127" t="str">
        <f>IF(G$1=1,"",IF(Tab.o1[[#This Row],[a1]]=1,Tab.o1[[#This Row],[Wr]]^2,""))</f>
        <v/>
      </c>
      <c r="AD1025" s="118" t="str">
        <f>IF(Tab.o1[[#This Row],[a1]]=1,IF(AE$3=0,"",Tab.o1[[#This Row],[Wr2]]/SUM(Tab.o1[Wr2])),"")</f>
        <v/>
      </c>
      <c r="AE1025" s="128" t="str">
        <f>IF(Tab.o1[[#This Row],[a1]]=1,[1]!T.in.A[[#This Row],[oo10]],"")</f>
        <v/>
      </c>
      <c r="AF1025" s="118" t="str">
        <f>IF(Tab.o1[[#This Row],[a1]]=1,ABS(Tab.o1[[#This Row],[DIF_Target.]]*Tab.o1[[#This Row],[PDF2]]*Tab.o1[[#This Row],[IN]]),"")</f>
        <v/>
      </c>
      <c r="AG1025" s="129" t="str">
        <f>IF(Tab.o1[[#This Row],[a1]]=1,Tab.o1[[#This Row],[rW]]^2,"")</f>
        <v/>
      </c>
      <c r="AH1025" s="130" t="str">
        <f>IF(Tab.o1[[#This Row],[a1]]=1,IF(AH$3=0,Tab.o1[[#This Row],[rW2]],0.01+0.94*Tab.o1[[#This Row],[rW2]]/SUM(Tab.o1[rW2])),"")</f>
        <v/>
      </c>
      <c r="AI1025" s="128" t="str">
        <f>IF(Tab.o1[[#This Row],[a1]]=1,1/Tab.o1[[#This Row],[PDF]],"")</f>
        <v/>
      </c>
      <c r="AJ1025" s="131" t="str">
        <f>IF(Tab.o1[[#This Row],[a1]]=1,[1]!T_AA[[#This Row],[IN'']]*[1]!T_AA[[#This Row],[Qde'']],"")</f>
        <v/>
      </c>
      <c r="AK1025" s="132" t="str">
        <f>IF(Tab.o1[[#This Row],[a1]]=1,IF(AK$1=1,Tab.o1[[#This Row],[MED]]+Tab.o1[[#This Row],[MOD]]-Tab.o1[[#This Row],[MED]],""),"")</f>
        <v/>
      </c>
      <c r="AL1025" s="133" t="str">
        <f>IF(Tab.o1[[#This Row],[a1]]=1,[1]!T.in.A[[#This Row],[oo16]],"")</f>
        <v/>
      </c>
      <c r="AM1025" s="133" t="str">
        <f>IF(Tab.o1[[#This Row],[a1]]=1,IF(AM$3=1,[1]!T.in.A[[#This Row],[Σo16]],""),"")</f>
        <v/>
      </c>
      <c r="AN1025" s="126" t="str">
        <f>IF(Tab.o1[[#This Row],[a1]]=1,[1]!T.in.A[[#This Row],[Σp5]],"")</f>
        <v/>
      </c>
      <c r="AO1025" s="126" t="str">
        <f>IF(Tab.o1[[#This Row],[a1]]=1,IF(AO$3=1,[1]!T.in.A[[#This Row],[Σp5]],""),"")</f>
        <v/>
      </c>
      <c r="AP1025" s="110" t="str">
        <f>IF(Tab.o1[[#This Row],[a1]]=1,IF(ISNUMBER(Tab.o1[[#This Row],[i.]]),NORMDIST(Tab.o1[[#This Row],[Za]],0,1,FALSE)*Tab.o1[[#This Row],[i.]],0),"")</f>
        <v/>
      </c>
      <c r="AQ1025" s="125" t="str">
        <f>IF(Tab.o1[[#This Row],[a1]]=1,ABS(Tab.o1[[#This Row],[MOD]]-AVERAGE(Tab.o1[MOD])),"")</f>
        <v/>
      </c>
      <c r="AR1025" s="134" t="str">
        <f>IF(Tab.o1[[#This Row],[a1]]=1,Tab.o1[[#This Row],[OBS]]/SUM(Tab.o1[OBS]),"")</f>
        <v/>
      </c>
      <c r="AS1025" s="135" t="str">
        <f>IF(ISNUMBER(Tab.o1[[#This Row],[a1]]),ROW()-4,"")</f>
        <v/>
      </c>
      <c r="AT1025" s="136" t="str">
        <f>Tab.o1[[#This Row],[MOD]]</f>
        <v/>
      </c>
      <c r="AU1025" s="137" t="str">
        <f t="shared" si="61"/>
        <v/>
      </c>
      <c r="AV1025" s="138" t="str">
        <f t="shared" si="62"/>
        <v/>
      </c>
      <c r="AW1025" s="138" t="str">
        <f t="shared" si="63"/>
        <v/>
      </c>
      <c r="AX1025" s="139" t="str">
        <f>[1]!T.in.A[[#This Row],[ID_T_manu]]</f>
        <v/>
      </c>
      <c r="AY1025" s="140" t="str">
        <f>IF(ISNUMBER(Tab.o1[[#This Row],[a1]]),IF(AND(Tab.o1[[#This Row],[a1]]=1,Tab.o1[[#This Row],[b1]]&lt;=AY$4),#REF!,AY1024),"")</f>
        <v/>
      </c>
      <c r="AZ1025" s="25"/>
      <c r="BA1025" s="25"/>
      <c r="BB1025" s="25"/>
      <c r="BC1025" s="25"/>
      <c r="BD1025" s="25"/>
      <c r="BE1025" s="25"/>
      <c r="BF1025" s="25"/>
      <c r="BG1025" s="25"/>
      <c r="BH1025" s="25"/>
      <c r="BI1025" s="25"/>
      <c r="BJ1025" s="25"/>
      <c r="BK1025" s="25"/>
      <c r="BL1025" s="25"/>
      <c r="BM1025" s="25"/>
      <c r="BN1025" s="26"/>
      <c r="BO1025" s="26"/>
      <c r="BP1025" s="26"/>
      <c r="BQ1025" s="26"/>
      <c r="BR1025" s="26"/>
      <c r="BS1025" s="26"/>
      <c r="BT1025" s="26"/>
      <c r="BU1025" s="26"/>
      <c r="BV1025" s="26"/>
      <c r="BW1025" s="26"/>
      <c r="BX1025" s="26"/>
      <c r="BY1025" s="26"/>
      <c r="BZ1025" s="26"/>
      <c r="CA1025" s="26"/>
    </row>
    <row r="1026" spans="1:79" ht="15.75" hidden="1">
      <c r="A1026" s="109">
        <v>-8.0000000000000013E-6</v>
      </c>
      <c r="B1026" s="110">
        <f t="shared" si="60"/>
        <v>1026</v>
      </c>
      <c r="C1026" s="111" t="str">
        <f>IF(C$1=[1]!T.in.A[[#This Row],[oo2]],1,"")</f>
        <v/>
      </c>
      <c r="D1026" s="112" t="str">
        <f>IF(Tab.o1[[#This Row],[a1]]=1,IF(SUM(C1026:C1027)=0,0,IF(SUM(C1025:C1026)=1,1,IF(SUM(C1025:C1027)&gt;1,D1025+1,0))),"")</f>
        <v/>
      </c>
      <c r="E1026" s="113" t="str">
        <f>IF(Tab.o1[[#This Row],[a1]]=1,[1]!T.in.A[[#This Row],[oo1]],"")</f>
        <v/>
      </c>
      <c r="F1026" s="113" t="str">
        <f>IF(Tab.o1[[#This Row],[a1]]=1,[1]!T.in.A[[#This Row],[pp1]],"")</f>
        <v/>
      </c>
      <c r="G1026" s="114" t="str">
        <f>IF(Tab.o1[[#This Row],[a1]]=1,G$2+IF(G$1=1,0,Tab.o1[[#This Row],[.x1]])+[1]!T.in.A[[#This Row],[oo3]],"")</f>
        <v/>
      </c>
      <c r="H1026" s="115" t="str">
        <f>IF(Tab.o1[[#This Row],[a1]]=1,IF(H$2=0,0,IF(G$1=1,0,Tab.o1[[#This Row],[.x1]])+[1]!T.in.A[[#This Row],[oo4]]),"")</f>
        <v/>
      </c>
      <c r="I1026" s="116" t="str">
        <f>IF(Tab.o1[[#This Row],[a1]]=1,IF(J$2=0,Tab.o1[[#This Row],[MED]],Tab.o1[[#This Row],[MOD]]),"")</f>
        <v/>
      </c>
      <c r="J1026" s="116" t="str">
        <f>IF(Tab.o1[[#This Row],[a1]]=1,((Tab.o1[[#This Row],[DIF_Target.]]-AVERAGE(Tab.o1[DIF_Target.]))/_xlfn.STDEV.P(Tab.o1[DIF_Target.])),"")</f>
        <v/>
      </c>
      <c r="K1026" s="117" t="str">
        <f>IF(Tab.o1[[#This Row],[a1]]=1,IF(J$2=0,Tab.o1[[#This Row],[MOD]]-Tab.o1[[#This Row],[B]],IF(J$2=1,0,-Tab.o1[[#This Row],[MED]])+Tab.o1[[#This Row],[B]]),"")</f>
        <v/>
      </c>
      <c r="L1026" s="117" t="str">
        <f ca="1">IF(Tab.o1[[#This Row],[DIF_Target]]=0,IF(L$2=0,Tab.o1[[#This Row],[DIF_Target]],AVERAGE(OFFSET(Tab.o1[[#This Row],[DIF_Target]],1,0,L$3,1)))/3,Tab.o1[[#This Row],[DIF_Target]])</f>
        <v/>
      </c>
      <c r="M1026" s="118" t="str">
        <f>IF(Tab.o1[[#This Row],[a1]]=1,NORMSDIST(Tab.o1[[#This Row],[Za]]),"")</f>
        <v/>
      </c>
      <c r="N1026" s="119" t="str">
        <f>IF(Tab.o1[[#This Row],[a1]]=1,((Tab.o1[[#This Row],[MedMod]]-AVERAGE(Tab.o1[MedMod]))/_xlfn.STDEV.P(Tab.o1[MedMod])*H$1205)+G$1205,"")</f>
        <v/>
      </c>
      <c r="O1026" s="141" t="str">
        <f>IF(Tab.o1[[#This Row],[a1]]=1,Tab.o1[[#This Row],[Zb]]*_xlfn.STDEV.P(Tab.o1[MedMod])+AVERAGE(Tab.o1[MedMod]),"")</f>
        <v/>
      </c>
      <c r="P1026" s="117" t="str">
        <f ca="1">IF(Tab.o1[[#This Row],[B]]=0,AVERAGE(OFFSET(Tab.o1[[#This Row],[B]],1,0,L$3,1)),Tab.o1[[#This Row],[B]])</f>
        <v/>
      </c>
      <c r="Q1026" s="121" t="str">
        <f>IF(Tab.o1[[#This Row],[a1]]=1,NORMSDIST(Tab.o1[[#This Row],[Zb]]),"")</f>
        <v/>
      </c>
      <c r="R1026" s="122" t="str">
        <f>IF(Tab.o1[[#This Row],[a1]]=1,((Tab.o1[[#This Row],[MedMod]]-AVERAGE(Tab.o1[MedMod]))/_xlfn.STDEV.P(Tab.o1[MedMod])*H$1203)+G$1203,"")</f>
        <v/>
      </c>
      <c r="S1026" s="122" t="str">
        <f>IF(Tab.o1[[#This Row],[a1]]=1,((Tab.o1[[#This Row],[MedMod]]-AVERAGE(Tab.o1[MedMod]))/_xlfn.STDEV.P(Tab.o1[MedMod])*H$1204)+G$1204,"")</f>
        <v/>
      </c>
      <c r="T1026" s="123" t="str">
        <f>IF(Tab.o1[[#This Row],[a1]]=1,Tab.o1[[#This Row],[Z-]]*_xlfn.STDEV.P(Tab.o1[B])+AVERAGE(Tab.o1[B]),"")</f>
        <v/>
      </c>
      <c r="U1026" s="123" t="str">
        <f>IF(Tab.o1[[#This Row],[a1]]=1,Tab.o1[[#This Row],[z+]]*_xlfn.STDEV.P(Tab.o1[B])+AVERAGE(Tab.o1[B]),"")</f>
        <v/>
      </c>
      <c r="V1026" s="124" t="str">
        <f>IF(Tab.o1[[#This Row],[a1]]=1,ABS((ABS(Tab.o1[[#This Row],[Red]]-Tab.o1[[#This Row],[Blue]]))),"")</f>
        <v/>
      </c>
      <c r="W1026" s="125" t="str">
        <f>IF(Tab.o1[[#This Row],[a1]]=1,IF(W$3=0,1,Tab.o1[[#This Row],[Amp.]]*1/_xlfn.MINIFS(Tab.o1[Amp.],Tab.o1[Amp.],"&lt;&gt;0")),"")</f>
        <v/>
      </c>
      <c r="X1026" s="126" t="str">
        <f>IF(Tab.o1[[#This Row],[a1]]=1,IF(ISNUMBER(Tab.o1[[#This Row],[i.]]),NORMDIST(Tab.o1[[#This Row],[Za]],0,1,FALSE)*Tab.o1[[#This Row],[i.]],AP$3),"")</f>
        <v/>
      </c>
      <c r="Y1026" s="126" t="str">
        <f>IF(Tab.o1[[#This Row],[a1]]=1,0.01+0.94*Tab.o1[[#This Row],[PDF]]/MAX(Tab.o1[PDF]),"")</f>
        <v/>
      </c>
      <c r="Z1026" s="126" t="str">
        <f>IF(Tab.o1[[#This Row],[a1]]=1,0.01+0.94*Tab.o1[[#This Row],[W1_PDF]]/MAX(Tab.o1[W1_PDF]),"")</f>
        <v/>
      </c>
      <c r="AA1026" s="118" t="str">
        <f>IF(Tab.o1[[#This Row],[a1]]=1,ABS([1]!T.in.A[[#This Row],[oo6]]),"")</f>
        <v/>
      </c>
      <c r="AB1026" s="127" t="str">
        <f>IF(Tab.o1[[#This Row],[a1]]=1,IF(AE$3=0,"",IF(AB$3=0,ABS([1]!T.in.A[[#This Row],[oo9]]),ABS(Tab.o1[[#This Row],[DIF_Target.]]*Tab.o1[[#This Row],[W1_PDF]]))),"")</f>
        <v/>
      </c>
      <c r="AC1026" s="127" t="str">
        <f>IF(G$1=1,"",IF(Tab.o1[[#This Row],[a1]]=1,Tab.o1[[#This Row],[Wr]]^2,""))</f>
        <v/>
      </c>
      <c r="AD1026" s="118" t="str">
        <f>IF(Tab.o1[[#This Row],[a1]]=1,IF(AE$3=0,"",Tab.o1[[#This Row],[Wr2]]/SUM(Tab.o1[Wr2])),"")</f>
        <v/>
      </c>
      <c r="AE1026" s="128" t="str">
        <f>IF(Tab.o1[[#This Row],[a1]]=1,[1]!T.in.A[[#This Row],[oo10]],"")</f>
        <v/>
      </c>
      <c r="AF1026" s="118" t="str">
        <f>IF(Tab.o1[[#This Row],[a1]]=1,ABS(Tab.o1[[#This Row],[DIF_Target.]]*Tab.o1[[#This Row],[PDF2]]*Tab.o1[[#This Row],[IN]]),"")</f>
        <v/>
      </c>
      <c r="AG1026" s="129" t="str">
        <f>IF(Tab.o1[[#This Row],[a1]]=1,Tab.o1[[#This Row],[rW]]^2,"")</f>
        <v/>
      </c>
      <c r="AH1026" s="130" t="str">
        <f>IF(Tab.o1[[#This Row],[a1]]=1,IF(AH$3=0,Tab.o1[[#This Row],[rW2]],0.01+0.94*Tab.o1[[#This Row],[rW2]]/SUM(Tab.o1[rW2])),"")</f>
        <v/>
      </c>
      <c r="AI1026" s="128" t="str">
        <f>IF(Tab.o1[[#This Row],[a1]]=1,1/Tab.o1[[#This Row],[PDF]],"")</f>
        <v/>
      </c>
      <c r="AJ1026" s="131" t="str">
        <f>IF(Tab.o1[[#This Row],[a1]]=1,[1]!T_AA[[#This Row],[IN'']]*[1]!T_AA[[#This Row],[Qde'']],"")</f>
        <v/>
      </c>
      <c r="AK1026" s="132" t="str">
        <f>IF(Tab.o1[[#This Row],[a1]]=1,IF(AK$1=1,Tab.o1[[#This Row],[MED]]+Tab.o1[[#This Row],[MOD]]-Tab.o1[[#This Row],[MED]],""),"")</f>
        <v/>
      </c>
      <c r="AL1026" s="133" t="str">
        <f>IF(Tab.o1[[#This Row],[a1]]=1,[1]!T.in.A[[#This Row],[oo16]],"")</f>
        <v/>
      </c>
      <c r="AM1026" s="133" t="str">
        <f>IF(Tab.o1[[#This Row],[a1]]=1,IF(AM$3=1,[1]!T.in.A[[#This Row],[Σo16]],""),"")</f>
        <v/>
      </c>
      <c r="AN1026" s="126" t="str">
        <f>IF(Tab.o1[[#This Row],[a1]]=1,[1]!T.in.A[[#This Row],[Σp5]],"")</f>
        <v/>
      </c>
      <c r="AO1026" s="126" t="str">
        <f>IF(Tab.o1[[#This Row],[a1]]=1,IF(AO$3=1,[1]!T.in.A[[#This Row],[Σp5]],""),"")</f>
        <v/>
      </c>
      <c r="AP1026" s="110" t="str">
        <f>IF(Tab.o1[[#This Row],[a1]]=1,IF(ISNUMBER(Tab.o1[[#This Row],[i.]]),NORMDIST(Tab.o1[[#This Row],[Za]],0,1,FALSE)*Tab.o1[[#This Row],[i.]],0),"")</f>
        <v/>
      </c>
      <c r="AQ1026" s="125" t="str">
        <f>IF(Tab.o1[[#This Row],[a1]]=1,ABS(Tab.o1[[#This Row],[MOD]]-AVERAGE(Tab.o1[MOD])),"")</f>
        <v/>
      </c>
      <c r="AR1026" s="134" t="str">
        <f>IF(Tab.o1[[#This Row],[a1]]=1,Tab.o1[[#This Row],[OBS]]/SUM(Tab.o1[OBS]),"")</f>
        <v/>
      </c>
      <c r="AS1026" s="135" t="str">
        <f>IF(ISNUMBER(Tab.o1[[#This Row],[a1]]),ROW()-4,"")</f>
        <v/>
      </c>
      <c r="AT1026" s="136" t="str">
        <f>Tab.o1[[#This Row],[MOD]]</f>
        <v/>
      </c>
      <c r="AU1026" s="137" t="str">
        <f t="shared" si="61"/>
        <v/>
      </c>
      <c r="AV1026" s="138" t="str">
        <f t="shared" si="62"/>
        <v/>
      </c>
      <c r="AW1026" s="138" t="str">
        <f t="shared" si="63"/>
        <v/>
      </c>
      <c r="AX1026" s="139" t="str">
        <f>[1]!T.in.A[[#This Row],[ID_T_manu]]</f>
        <v/>
      </c>
      <c r="AY1026" s="140" t="str">
        <f>IF(ISNUMBER(Tab.o1[[#This Row],[a1]]),IF(AND(Tab.o1[[#This Row],[a1]]=1,Tab.o1[[#This Row],[b1]]&lt;=AY$4),#REF!,AY1025),"")</f>
        <v/>
      </c>
      <c r="AZ1026" s="25"/>
      <c r="BA1026" s="25"/>
      <c r="BB1026" s="25"/>
      <c r="BC1026" s="25"/>
      <c r="BD1026" s="25"/>
      <c r="BE1026" s="25"/>
      <c r="BF1026" s="25"/>
      <c r="BG1026" s="25"/>
      <c r="BH1026" s="25"/>
      <c r="BI1026" s="25"/>
      <c r="BJ1026" s="25"/>
      <c r="BK1026" s="25"/>
      <c r="BL1026" s="25"/>
      <c r="BM1026" s="25"/>
      <c r="BN1026" s="26"/>
      <c r="BO1026" s="26"/>
      <c r="BP1026" s="26"/>
      <c r="BQ1026" s="26"/>
      <c r="BR1026" s="26"/>
      <c r="BS1026" s="26"/>
      <c r="BT1026" s="26"/>
      <c r="BU1026" s="26"/>
      <c r="BV1026" s="26"/>
      <c r="BW1026" s="26"/>
      <c r="BX1026" s="26"/>
      <c r="BY1026" s="26"/>
      <c r="BZ1026" s="26"/>
      <c r="CA1026" s="26"/>
    </row>
    <row r="1027" spans="1:79" ht="15.75" hidden="1">
      <c r="A1027" s="109">
        <v>-9.0000000000000002E-6</v>
      </c>
      <c r="B1027" s="110">
        <f t="shared" si="60"/>
        <v>1027</v>
      </c>
      <c r="C1027" s="111" t="str">
        <f>IF(C$1=[1]!T.in.A[[#This Row],[oo2]],1,"")</f>
        <v/>
      </c>
      <c r="D1027" s="112" t="str">
        <f>IF(Tab.o1[[#This Row],[a1]]=1,IF(SUM(C1027:C1028)=0,0,IF(SUM(C1026:C1027)=1,1,IF(SUM(C1026:C1028)&gt;1,D1026+1,0))),"")</f>
        <v/>
      </c>
      <c r="E1027" s="113" t="str">
        <f>IF(Tab.o1[[#This Row],[a1]]=1,[1]!T.in.A[[#This Row],[oo1]],"")</f>
        <v/>
      </c>
      <c r="F1027" s="113" t="str">
        <f>IF(Tab.o1[[#This Row],[a1]]=1,[1]!T.in.A[[#This Row],[pp1]],"")</f>
        <v/>
      </c>
      <c r="G1027" s="114" t="str">
        <f>IF(Tab.o1[[#This Row],[a1]]=1,G$2+IF(G$1=1,0,Tab.o1[[#This Row],[.x1]])+[1]!T.in.A[[#This Row],[oo3]],"")</f>
        <v/>
      </c>
      <c r="H1027" s="115" t="str">
        <f>IF(Tab.o1[[#This Row],[a1]]=1,IF(H$2=0,0,IF(G$1=1,0,Tab.o1[[#This Row],[.x1]])+[1]!T.in.A[[#This Row],[oo4]]),"")</f>
        <v/>
      </c>
      <c r="I1027" s="116" t="str">
        <f>IF(Tab.o1[[#This Row],[a1]]=1,IF(J$2=0,Tab.o1[[#This Row],[MED]],Tab.o1[[#This Row],[MOD]]),"")</f>
        <v/>
      </c>
      <c r="J1027" s="116" t="str">
        <f>IF(Tab.o1[[#This Row],[a1]]=1,((Tab.o1[[#This Row],[DIF_Target.]]-AVERAGE(Tab.o1[DIF_Target.]))/_xlfn.STDEV.P(Tab.o1[DIF_Target.])),"")</f>
        <v/>
      </c>
      <c r="K1027" s="117" t="str">
        <f>IF(Tab.o1[[#This Row],[a1]]=1,IF(J$2=0,Tab.o1[[#This Row],[MOD]]-Tab.o1[[#This Row],[B]],IF(J$2=1,0,-Tab.o1[[#This Row],[MED]])+Tab.o1[[#This Row],[B]]),"")</f>
        <v/>
      </c>
      <c r="L1027" s="117" t="str">
        <f ca="1">IF(Tab.o1[[#This Row],[DIF_Target]]=0,IF(L$2=0,Tab.o1[[#This Row],[DIF_Target]],AVERAGE(OFFSET(Tab.o1[[#This Row],[DIF_Target]],1,0,L$3,1)))/3,Tab.o1[[#This Row],[DIF_Target]])</f>
        <v/>
      </c>
      <c r="M1027" s="118" t="str">
        <f>IF(Tab.o1[[#This Row],[a1]]=1,NORMSDIST(Tab.o1[[#This Row],[Za]]),"")</f>
        <v/>
      </c>
      <c r="N1027" s="119" t="str">
        <f>IF(Tab.o1[[#This Row],[a1]]=1,((Tab.o1[[#This Row],[MedMod]]-AVERAGE(Tab.o1[MedMod]))/_xlfn.STDEV.P(Tab.o1[MedMod])*H$1205)+G$1205,"")</f>
        <v/>
      </c>
      <c r="O1027" s="141" t="str">
        <f>IF(Tab.o1[[#This Row],[a1]]=1,Tab.o1[[#This Row],[Zb]]*_xlfn.STDEV.P(Tab.o1[MedMod])+AVERAGE(Tab.o1[MedMod]),"")</f>
        <v/>
      </c>
      <c r="P1027" s="117" t="str">
        <f ca="1">IF(Tab.o1[[#This Row],[B]]=0,AVERAGE(OFFSET(Tab.o1[[#This Row],[B]],1,0,L$3,1)),Tab.o1[[#This Row],[B]])</f>
        <v/>
      </c>
      <c r="Q1027" s="121" t="str">
        <f>IF(Tab.o1[[#This Row],[a1]]=1,NORMSDIST(Tab.o1[[#This Row],[Zb]]),"")</f>
        <v/>
      </c>
      <c r="R1027" s="122" t="str">
        <f>IF(Tab.o1[[#This Row],[a1]]=1,((Tab.o1[[#This Row],[MedMod]]-AVERAGE(Tab.o1[MedMod]))/_xlfn.STDEV.P(Tab.o1[MedMod])*H$1203)+G$1203,"")</f>
        <v/>
      </c>
      <c r="S1027" s="122" t="str">
        <f>IF(Tab.o1[[#This Row],[a1]]=1,((Tab.o1[[#This Row],[MedMod]]-AVERAGE(Tab.o1[MedMod]))/_xlfn.STDEV.P(Tab.o1[MedMod])*H$1204)+G$1204,"")</f>
        <v/>
      </c>
      <c r="T1027" s="123" t="str">
        <f>IF(Tab.o1[[#This Row],[a1]]=1,Tab.o1[[#This Row],[Z-]]*_xlfn.STDEV.P(Tab.o1[B])+AVERAGE(Tab.o1[B]),"")</f>
        <v/>
      </c>
      <c r="U1027" s="123" t="str">
        <f>IF(Tab.o1[[#This Row],[a1]]=1,Tab.o1[[#This Row],[z+]]*_xlfn.STDEV.P(Tab.o1[B])+AVERAGE(Tab.o1[B]),"")</f>
        <v/>
      </c>
      <c r="V1027" s="124" t="str">
        <f>IF(Tab.o1[[#This Row],[a1]]=1,ABS((ABS(Tab.o1[[#This Row],[Red]]-Tab.o1[[#This Row],[Blue]]))),"")</f>
        <v/>
      </c>
      <c r="W1027" s="125" t="str">
        <f>IF(Tab.o1[[#This Row],[a1]]=1,IF(W$3=0,1,Tab.o1[[#This Row],[Amp.]]*1/_xlfn.MINIFS(Tab.o1[Amp.],Tab.o1[Amp.],"&lt;&gt;0")),"")</f>
        <v/>
      </c>
      <c r="X1027" s="126" t="str">
        <f>IF(Tab.o1[[#This Row],[a1]]=1,IF(ISNUMBER(Tab.o1[[#This Row],[i.]]),NORMDIST(Tab.o1[[#This Row],[Za]],0,1,FALSE)*Tab.o1[[#This Row],[i.]],AP$3),"")</f>
        <v/>
      </c>
      <c r="Y1027" s="126" t="str">
        <f>IF(Tab.o1[[#This Row],[a1]]=1,0.01+0.94*Tab.o1[[#This Row],[PDF]]/MAX(Tab.o1[PDF]),"")</f>
        <v/>
      </c>
      <c r="Z1027" s="126" t="str">
        <f>IF(Tab.o1[[#This Row],[a1]]=1,0.01+0.94*Tab.o1[[#This Row],[W1_PDF]]/MAX(Tab.o1[W1_PDF]),"")</f>
        <v/>
      </c>
      <c r="AA1027" s="118" t="str">
        <f>IF(Tab.o1[[#This Row],[a1]]=1,ABS([1]!T.in.A[[#This Row],[oo6]]),"")</f>
        <v/>
      </c>
      <c r="AB1027" s="127" t="str">
        <f>IF(Tab.o1[[#This Row],[a1]]=1,IF(AE$3=0,"",IF(AB$3=0,ABS([1]!T.in.A[[#This Row],[oo9]]),ABS(Tab.o1[[#This Row],[DIF_Target.]]*Tab.o1[[#This Row],[W1_PDF]]))),"")</f>
        <v/>
      </c>
      <c r="AC1027" s="127" t="str">
        <f>IF(G$1=1,"",IF(Tab.o1[[#This Row],[a1]]=1,Tab.o1[[#This Row],[Wr]]^2,""))</f>
        <v/>
      </c>
      <c r="AD1027" s="118" t="str">
        <f>IF(Tab.o1[[#This Row],[a1]]=1,IF(AE$3=0,"",Tab.o1[[#This Row],[Wr2]]/SUM(Tab.o1[Wr2])),"")</f>
        <v/>
      </c>
      <c r="AE1027" s="128" t="str">
        <f>IF(Tab.o1[[#This Row],[a1]]=1,[1]!T.in.A[[#This Row],[oo10]],"")</f>
        <v/>
      </c>
      <c r="AF1027" s="118" t="str">
        <f>IF(Tab.o1[[#This Row],[a1]]=1,ABS(Tab.o1[[#This Row],[DIF_Target.]]*Tab.o1[[#This Row],[PDF2]]*Tab.o1[[#This Row],[IN]]),"")</f>
        <v/>
      </c>
      <c r="AG1027" s="129" t="str">
        <f>IF(Tab.o1[[#This Row],[a1]]=1,Tab.o1[[#This Row],[rW]]^2,"")</f>
        <v/>
      </c>
      <c r="AH1027" s="130" t="str">
        <f>IF(Tab.o1[[#This Row],[a1]]=1,IF(AH$3=0,Tab.o1[[#This Row],[rW2]],0.01+0.94*Tab.o1[[#This Row],[rW2]]/SUM(Tab.o1[rW2])),"")</f>
        <v/>
      </c>
      <c r="AI1027" s="128" t="str">
        <f>IF(Tab.o1[[#This Row],[a1]]=1,1/Tab.o1[[#This Row],[PDF]],"")</f>
        <v/>
      </c>
      <c r="AJ1027" s="131" t="str">
        <f>IF(Tab.o1[[#This Row],[a1]]=1,[1]!T_AA[[#This Row],[IN'']]*[1]!T_AA[[#This Row],[Qde'']],"")</f>
        <v/>
      </c>
      <c r="AK1027" s="132" t="str">
        <f>IF(Tab.o1[[#This Row],[a1]]=1,IF(AK$1=1,Tab.o1[[#This Row],[MED]]+Tab.o1[[#This Row],[MOD]]-Tab.o1[[#This Row],[MED]],""),"")</f>
        <v/>
      </c>
      <c r="AL1027" s="133" t="str">
        <f>IF(Tab.o1[[#This Row],[a1]]=1,[1]!T.in.A[[#This Row],[oo16]],"")</f>
        <v/>
      </c>
      <c r="AM1027" s="133" t="str">
        <f>IF(Tab.o1[[#This Row],[a1]]=1,IF(AM$3=1,[1]!T.in.A[[#This Row],[Σo16]],""),"")</f>
        <v/>
      </c>
      <c r="AN1027" s="126" t="str">
        <f>IF(Tab.o1[[#This Row],[a1]]=1,[1]!T.in.A[[#This Row],[Σp5]],"")</f>
        <v/>
      </c>
      <c r="AO1027" s="126" t="str">
        <f>IF(Tab.o1[[#This Row],[a1]]=1,IF(AO$3=1,[1]!T.in.A[[#This Row],[Σp5]],""),"")</f>
        <v/>
      </c>
      <c r="AP1027" s="110" t="str">
        <f>IF(Tab.o1[[#This Row],[a1]]=1,IF(ISNUMBER(Tab.o1[[#This Row],[i.]]),NORMDIST(Tab.o1[[#This Row],[Za]],0,1,FALSE)*Tab.o1[[#This Row],[i.]],0),"")</f>
        <v/>
      </c>
      <c r="AQ1027" s="125" t="str">
        <f>IF(Tab.o1[[#This Row],[a1]]=1,ABS(Tab.o1[[#This Row],[MOD]]-AVERAGE(Tab.o1[MOD])),"")</f>
        <v/>
      </c>
      <c r="AR1027" s="134" t="str">
        <f>IF(Tab.o1[[#This Row],[a1]]=1,Tab.o1[[#This Row],[OBS]]/SUM(Tab.o1[OBS]),"")</f>
        <v/>
      </c>
      <c r="AS1027" s="135" t="str">
        <f>IF(ISNUMBER(Tab.o1[[#This Row],[a1]]),ROW()-4,"")</f>
        <v/>
      </c>
      <c r="AT1027" s="136" t="str">
        <f>Tab.o1[[#This Row],[MOD]]</f>
        <v/>
      </c>
      <c r="AU1027" s="137" t="str">
        <f t="shared" si="61"/>
        <v/>
      </c>
      <c r="AV1027" s="138" t="str">
        <f t="shared" si="62"/>
        <v/>
      </c>
      <c r="AW1027" s="138" t="str">
        <f t="shared" si="63"/>
        <v/>
      </c>
      <c r="AX1027" s="139" t="str">
        <f>[1]!T.in.A[[#This Row],[ID_T_manu]]</f>
        <v/>
      </c>
      <c r="AY1027" s="140" t="str">
        <f>IF(ISNUMBER(Tab.o1[[#This Row],[a1]]),IF(AND(Tab.o1[[#This Row],[a1]]=1,Tab.o1[[#This Row],[b1]]&lt;=AY$4),#REF!,AY1026),"")</f>
        <v/>
      </c>
      <c r="AZ1027" s="25"/>
      <c r="BA1027" s="25"/>
      <c r="BB1027" s="25"/>
      <c r="BC1027" s="25"/>
      <c r="BD1027" s="25"/>
      <c r="BE1027" s="25"/>
      <c r="BF1027" s="25"/>
      <c r="BG1027" s="25"/>
      <c r="BH1027" s="25"/>
      <c r="BI1027" s="25"/>
      <c r="BJ1027" s="25"/>
      <c r="BK1027" s="25"/>
      <c r="BL1027" s="25"/>
      <c r="BM1027" s="25"/>
      <c r="BN1027" s="26"/>
      <c r="BO1027" s="26"/>
      <c r="BP1027" s="26"/>
      <c r="BQ1027" s="26"/>
      <c r="BR1027" s="26"/>
      <c r="BS1027" s="26"/>
      <c r="BT1027" s="26"/>
      <c r="BU1027" s="26"/>
      <c r="BV1027" s="26"/>
      <c r="BW1027" s="26"/>
      <c r="BX1027" s="26"/>
      <c r="BY1027" s="26"/>
      <c r="BZ1027" s="26"/>
      <c r="CA1027" s="26"/>
    </row>
    <row r="1028" spans="1:79" ht="15.75" hidden="1">
      <c r="A1028" s="109">
        <v>-2.9999999999999997E-6</v>
      </c>
      <c r="B1028" s="110">
        <f t="shared" si="60"/>
        <v>1028</v>
      </c>
      <c r="C1028" s="111" t="str">
        <f>IF(C$1=[1]!T.in.A[[#This Row],[oo2]],1,"")</f>
        <v/>
      </c>
      <c r="D1028" s="112" t="str">
        <f>IF(Tab.o1[[#This Row],[a1]]=1,IF(SUM(C1028:C1029)=0,0,IF(SUM(C1027:C1028)=1,1,IF(SUM(C1027:C1029)&gt;1,D1027+1,0))),"")</f>
        <v/>
      </c>
      <c r="E1028" s="113" t="str">
        <f>IF(Tab.o1[[#This Row],[a1]]=1,[1]!T.in.A[[#This Row],[oo1]],"")</f>
        <v/>
      </c>
      <c r="F1028" s="113" t="str">
        <f>IF(Tab.o1[[#This Row],[a1]]=1,[1]!T.in.A[[#This Row],[pp1]],"")</f>
        <v/>
      </c>
      <c r="G1028" s="114" t="str">
        <f>IF(Tab.o1[[#This Row],[a1]]=1,G$2+IF(G$1=1,0,Tab.o1[[#This Row],[.x1]])+[1]!T.in.A[[#This Row],[oo3]],"")</f>
        <v/>
      </c>
      <c r="H1028" s="115" t="str">
        <f>IF(Tab.o1[[#This Row],[a1]]=1,IF(H$2=0,0,IF(G$1=1,0,Tab.o1[[#This Row],[.x1]])+[1]!T.in.A[[#This Row],[oo4]]),"")</f>
        <v/>
      </c>
      <c r="I1028" s="116" t="str">
        <f>IF(Tab.o1[[#This Row],[a1]]=1,IF(J$2=0,Tab.o1[[#This Row],[MED]],Tab.o1[[#This Row],[MOD]]),"")</f>
        <v/>
      </c>
      <c r="J1028" s="116" t="str">
        <f>IF(Tab.o1[[#This Row],[a1]]=1,((Tab.o1[[#This Row],[DIF_Target.]]-AVERAGE(Tab.o1[DIF_Target.]))/_xlfn.STDEV.P(Tab.o1[DIF_Target.])),"")</f>
        <v/>
      </c>
      <c r="K1028" s="117" t="str">
        <f>IF(Tab.o1[[#This Row],[a1]]=1,IF(J$2=0,Tab.o1[[#This Row],[MOD]]-Tab.o1[[#This Row],[B]],IF(J$2=1,0,-Tab.o1[[#This Row],[MED]])+Tab.o1[[#This Row],[B]]),"")</f>
        <v/>
      </c>
      <c r="L1028" s="117" t="str">
        <f ca="1">IF(Tab.o1[[#This Row],[DIF_Target]]=0,IF(L$2=0,Tab.o1[[#This Row],[DIF_Target]],AVERAGE(OFFSET(Tab.o1[[#This Row],[DIF_Target]],1,0,L$3,1)))/3,Tab.o1[[#This Row],[DIF_Target]])</f>
        <v/>
      </c>
      <c r="M1028" s="118" t="str">
        <f>IF(Tab.o1[[#This Row],[a1]]=1,NORMSDIST(Tab.o1[[#This Row],[Za]]),"")</f>
        <v/>
      </c>
      <c r="N1028" s="119" t="str">
        <f>IF(Tab.o1[[#This Row],[a1]]=1,((Tab.o1[[#This Row],[MedMod]]-AVERAGE(Tab.o1[MedMod]))/_xlfn.STDEV.P(Tab.o1[MedMod])*H$1205)+G$1205,"")</f>
        <v/>
      </c>
      <c r="O1028" s="141" t="str">
        <f>IF(Tab.o1[[#This Row],[a1]]=1,Tab.o1[[#This Row],[Zb]]*_xlfn.STDEV.P(Tab.o1[MedMod])+AVERAGE(Tab.o1[MedMod]),"")</f>
        <v/>
      </c>
      <c r="P1028" s="117" t="str">
        <f ca="1">IF(Tab.o1[[#This Row],[B]]=0,AVERAGE(OFFSET(Tab.o1[[#This Row],[B]],1,0,L$3,1)),Tab.o1[[#This Row],[B]])</f>
        <v/>
      </c>
      <c r="Q1028" s="121" t="str">
        <f>IF(Tab.o1[[#This Row],[a1]]=1,NORMSDIST(Tab.o1[[#This Row],[Zb]]),"")</f>
        <v/>
      </c>
      <c r="R1028" s="122" t="str">
        <f>IF(Tab.o1[[#This Row],[a1]]=1,((Tab.o1[[#This Row],[MedMod]]-AVERAGE(Tab.o1[MedMod]))/_xlfn.STDEV.P(Tab.o1[MedMod])*H$1203)+G$1203,"")</f>
        <v/>
      </c>
      <c r="S1028" s="122" t="str">
        <f>IF(Tab.o1[[#This Row],[a1]]=1,((Tab.o1[[#This Row],[MedMod]]-AVERAGE(Tab.o1[MedMod]))/_xlfn.STDEV.P(Tab.o1[MedMod])*H$1204)+G$1204,"")</f>
        <v/>
      </c>
      <c r="T1028" s="123" t="str">
        <f>IF(Tab.o1[[#This Row],[a1]]=1,Tab.o1[[#This Row],[Z-]]*_xlfn.STDEV.P(Tab.o1[B])+AVERAGE(Tab.o1[B]),"")</f>
        <v/>
      </c>
      <c r="U1028" s="123" t="str">
        <f>IF(Tab.o1[[#This Row],[a1]]=1,Tab.o1[[#This Row],[z+]]*_xlfn.STDEV.P(Tab.o1[B])+AVERAGE(Tab.o1[B]),"")</f>
        <v/>
      </c>
      <c r="V1028" s="124" t="str">
        <f>IF(Tab.o1[[#This Row],[a1]]=1,ABS((ABS(Tab.o1[[#This Row],[Red]]-Tab.o1[[#This Row],[Blue]]))),"")</f>
        <v/>
      </c>
      <c r="W1028" s="125" t="str">
        <f>IF(Tab.o1[[#This Row],[a1]]=1,IF(W$3=0,1,Tab.o1[[#This Row],[Amp.]]*1/_xlfn.MINIFS(Tab.o1[Amp.],Tab.o1[Amp.],"&lt;&gt;0")),"")</f>
        <v/>
      </c>
      <c r="X1028" s="126" t="str">
        <f>IF(Tab.o1[[#This Row],[a1]]=1,IF(ISNUMBER(Tab.o1[[#This Row],[i.]]),NORMDIST(Tab.o1[[#This Row],[Za]],0,1,FALSE)*Tab.o1[[#This Row],[i.]],AP$3),"")</f>
        <v/>
      </c>
      <c r="Y1028" s="126" t="str">
        <f>IF(Tab.o1[[#This Row],[a1]]=1,0.01+0.94*Tab.o1[[#This Row],[PDF]]/MAX(Tab.o1[PDF]),"")</f>
        <v/>
      </c>
      <c r="Z1028" s="126" t="str">
        <f>IF(Tab.o1[[#This Row],[a1]]=1,0.01+0.94*Tab.o1[[#This Row],[W1_PDF]]/MAX(Tab.o1[W1_PDF]),"")</f>
        <v/>
      </c>
      <c r="AA1028" s="118" t="str">
        <f>IF(Tab.o1[[#This Row],[a1]]=1,ABS([1]!T.in.A[[#This Row],[oo6]]),"")</f>
        <v/>
      </c>
      <c r="AB1028" s="127" t="str">
        <f>IF(Tab.o1[[#This Row],[a1]]=1,IF(AE$3=0,"",IF(AB$3=0,ABS([1]!T.in.A[[#This Row],[oo9]]),ABS(Tab.o1[[#This Row],[DIF_Target.]]*Tab.o1[[#This Row],[W1_PDF]]))),"")</f>
        <v/>
      </c>
      <c r="AC1028" s="127" t="str">
        <f>IF(G$1=1,"",IF(Tab.o1[[#This Row],[a1]]=1,Tab.o1[[#This Row],[Wr]]^2,""))</f>
        <v/>
      </c>
      <c r="AD1028" s="118" t="str">
        <f>IF(Tab.o1[[#This Row],[a1]]=1,IF(AE$3=0,"",Tab.o1[[#This Row],[Wr2]]/SUM(Tab.o1[Wr2])),"")</f>
        <v/>
      </c>
      <c r="AE1028" s="128" t="str">
        <f>IF(Tab.o1[[#This Row],[a1]]=1,[1]!T.in.A[[#This Row],[oo10]],"")</f>
        <v/>
      </c>
      <c r="AF1028" s="118" t="str">
        <f>IF(Tab.o1[[#This Row],[a1]]=1,ABS(Tab.o1[[#This Row],[DIF_Target.]]*Tab.o1[[#This Row],[PDF2]]*Tab.o1[[#This Row],[IN]]),"")</f>
        <v/>
      </c>
      <c r="AG1028" s="129" t="str">
        <f>IF(Tab.o1[[#This Row],[a1]]=1,Tab.o1[[#This Row],[rW]]^2,"")</f>
        <v/>
      </c>
      <c r="AH1028" s="130" t="str">
        <f>IF(Tab.o1[[#This Row],[a1]]=1,IF(AH$3=0,Tab.o1[[#This Row],[rW2]],0.01+0.94*Tab.o1[[#This Row],[rW2]]/SUM(Tab.o1[rW2])),"")</f>
        <v/>
      </c>
      <c r="AI1028" s="128" t="str">
        <f>IF(Tab.o1[[#This Row],[a1]]=1,1/Tab.o1[[#This Row],[PDF]],"")</f>
        <v/>
      </c>
      <c r="AJ1028" s="131" t="str">
        <f>IF(Tab.o1[[#This Row],[a1]]=1,[1]!T_AA[[#This Row],[IN'']]*[1]!T_AA[[#This Row],[Qde'']],"")</f>
        <v/>
      </c>
      <c r="AK1028" s="132" t="str">
        <f>IF(Tab.o1[[#This Row],[a1]]=1,IF(AK$1=1,Tab.o1[[#This Row],[MED]]+Tab.o1[[#This Row],[MOD]]-Tab.o1[[#This Row],[MED]],""),"")</f>
        <v/>
      </c>
      <c r="AL1028" s="133" t="str">
        <f>IF(Tab.o1[[#This Row],[a1]]=1,[1]!T.in.A[[#This Row],[oo16]],"")</f>
        <v/>
      </c>
      <c r="AM1028" s="133" t="str">
        <f>IF(Tab.o1[[#This Row],[a1]]=1,IF(AM$3=1,[1]!T.in.A[[#This Row],[Σo16]],""),"")</f>
        <v/>
      </c>
      <c r="AN1028" s="126" t="str">
        <f>IF(Tab.o1[[#This Row],[a1]]=1,[1]!T.in.A[[#This Row],[Σp5]],"")</f>
        <v/>
      </c>
      <c r="AO1028" s="126" t="str">
        <f>IF(Tab.o1[[#This Row],[a1]]=1,IF(AO$3=1,[1]!T.in.A[[#This Row],[Σp5]],""),"")</f>
        <v/>
      </c>
      <c r="AP1028" s="110" t="str">
        <f>IF(Tab.o1[[#This Row],[a1]]=1,IF(ISNUMBER(Tab.o1[[#This Row],[i.]]),NORMDIST(Tab.o1[[#This Row],[Za]],0,1,FALSE)*Tab.o1[[#This Row],[i.]],0),"")</f>
        <v/>
      </c>
      <c r="AQ1028" s="125" t="str">
        <f>IF(Tab.o1[[#This Row],[a1]]=1,ABS(Tab.o1[[#This Row],[MOD]]-AVERAGE(Tab.o1[MOD])),"")</f>
        <v/>
      </c>
      <c r="AR1028" s="134" t="str">
        <f>IF(Tab.o1[[#This Row],[a1]]=1,Tab.o1[[#This Row],[OBS]]/SUM(Tab.o1[OBS]),"")</f>
        <v/>
      </c>
      <c r="AS1028" s="135" t="str">
        <f>IF(ISNUMBER(Tab.o1[[#This Row],[a1]]),ROW()-4,"")</f>
        <v/>
      </c>
      <c r="AT1028" s="136" t="str">
        <f>Tab.o1[[#This Row],[MOD]]</f>
        <v/>
      </c>
      <c r="AU1028" s="137" t="str">
        <f t="shared" si="61"/>
        <v/>
      </c>
      <c r="AV1028" s="138" t="str">
        <f t="shared" si="62"/>
        <v/>
      </c>
      <c r="AW1028" s="138" t="str">
        <f t="shared" si="63"/>
        <v/>
      </c>
      <c r="AX1028" s="139" t="str">
        <f>[1]!T.in.A[[#This Row],[ID_T_manu]]</f>
        <v/>
      </c>
      <c r="AY1028" s="140" t="str">
        <f>IF(ISNUMBER(Tab.o1[[#This Row],[a1]]),IF(AND(Tab.o1[[#This Row],[a1]]=1,Tab.o1[[#This Row],[b1]]&lt;=AY$4),#REF!,AY1027),"")</f>
        <v/>
      </c>
      <c r="AZ1028" s="25"/>
      <c r="BA1028" s="25"/>
      <c r="BB1028" s="25"/>
      <c r="BC1028" s="25"/>
      <c r="BD1028" s="25"/>
      <c r="BE1028" s="25"/>
      <c r="BF1028" s="25"/>
      <c r="BG1028" s="25"/>
      <c r="BH1028" s="25"/>
      <c r="BI1028" s="25"/>
      <c r="BJ1028" s="25"/>
      <c r="BK1028" s="25"/>
      <c r="BL1028" s="25"/>
      <c r="BM1028" s="25"/>
      <c r="BN1028" s="26"/>
      <c r="BO1028" s="26"/>
      <c r="BP1028" s="26"/>
      <c r="BQ1028" s="26"/>
      <c r="BR1028" s="26"/>
      <c r="BS1028" s="26"/>
      <c r="BT1028" s="26"/>
      <c r="BU1028" s="26"/>
      <c r="BV1028" s="26"/>
      <c r="BW1028" s="26"/>
      <c r="BX1028" s="26"/>
      <c r="BY1028" s="26"/>
      <c r="BZ1028" s="26"/>
      <c r="CA1028" s="26"/>
    </row>
    <row r="1029" spans="1:79" ht="15.75" hidden="1">
      <c r="A1029" s="109">
        <v>-1.0000000000000002E-6</v>
      </c>
      <c r="B1029" s="110">
        <f t="shared" si="60"/>
        <v>1029</v>
      </c>
      <c r="C1029" s="111" t="str">
        <f>IF(C$1=[1]!T.in.A[[#This Row],[oo2]],1,"")</f>
        <v/>
      </c>
      <c r="D1029" s="112" t="str">
        <f>IF(Tab.o1[[#This Row],[a1]]=1,IF(SUM(C1029:C1030)=0,0,IF(SUM(C1028:C1029)=1,1,IF(SUM(C1028:C1030)&gt;1,D1028+1,0))),"")</f>
        <v/>
      </c>
      <c r="E1029" s="113" t="str">
        <f>IF(Tab.o1[[#This Row],[a1]]=1,[1]!T.in.A[[#This Row],[oo1]],"")</f>
        <v/>
      </c>
      <c r="F1029" s="113" t="str">
        <f>IF(Tab.o1[[#This Row],[a1]]=1,[1]!T.in.A[[#This Row],[pp1]],"")</f>
        <v/>
      </c>
      <c r="G1029" s="114" t="str">
        <f>IF(Tab.o1[[#This Row],[a1]]=1,G$2+IF(G$1=1,0,Tab.o1[[#This Row],[.x1]])+[1]!T.in.A[[#This Row],[oo3]],"")</f>
        <v/>
      </c>
      <c r="H1029" s="115" t="str">
        <f>IF(Tab.o1[[#This Row],[a1]]=1,IF(H$2=0,0,IF(G$1=1,0,Tab.o1[[#This Row],[.x1]])+[1]!T.in.A[[#This Row],[oo4]]),"")</f>
        <v/>
      </c>
      <c r="I1029" s="116" t="str">
        <f>IF(Tab.o1[[#This Row],[a1]]=1,IF(J$2=0,Tab.o1[[#This Row],[MED]],Tab.o1[[#This Row],[MOD]]),"")</f>
        <v/>
      </c>
      <c r="J1029" s="116" t="str">
        <f>IF(Tab.o1[[#This Row],[a1]]=1,((Tab.o1[[#This Row],[DIF_Target.]]-AVERAGE(Tab.o1[DIF_Target.]))/_xlfn.STDEV.P(Tab.o1[DIF_Target.])),"")</f>
        <v/>
      </c>
      <c r="K1029" s="117" t="str">
        <f>IF(Tab.o1[[#This Row],[a1]]=1,IF(J$2=0,Tab.o1[[#This Row],[MOD]]-Tab.o1[[#This Row],[B]],IF(J$2=1,0,-Tab.o1[[#This Row],[MED]])+Tab.o1[[#This Row],[B]]),"")</f>
        <v/>
      </c>
      <c r="L1029" s="117" t="str">
        <f ca="1">IF(Tab.o1[[#This Row],[DIF_Target]]=0,IF(L$2=0,Tab.o1[[#This Row],[DIF_Target]],AVERAGE(OFFSET(Tab.o1[[#This Row],[DIF_Target]],1,0,L$3,1)))/3,Tab.o1[[#This Row],[DIF_Target]])</f>
        <v/>
      </c>
      <c r="M1029" s="118" t="str">
        <f>IF(Tab.o1[[#This Row],[a1]]=1,NORMSDIST(Tab.o1[[#This Row],[Za]]),"")</f>
        <v/>
      </c>
      <c r="N1029" s="119" t="str">
        <f>IF(Tab.o1[[#This Row],[a1]]=1,((Tab.o1[[#This Row],[MedMod]]-AVERAGE(Tab.o1[MedMod]))/_xlfn.STDEV.P(Tab.o1[MedMod])*H$1205)+G$1205,"")</f>
        <v/>
      </c>
      <c r="O1029" s="141" t="str">
        <f>IF(Tab.o1[[#This Row],[a1]]=1,Tab.o1[[#This Row],[Zb]]*_xlfn.STDEV.P(Tab.o1[MedMod])+AVERAGE(Tab.o1[MedMod]),"")</f>
        <v/>
      </c>
      <c r="P1029" s="117" t="str">
        <f ca="1">IF(Tab.o1[[#This Row],[B]]=0,AVERAGE(OFFSET(Tab.o1[[#This Row],[B]],1,0,L$3,1)),Tab.o1[[#This Row],[B]])</f>
        <v/>
      </c>
      <c r="Q1029" s="121" t="str">
        <f>IF(Tab.o1[[#This Row],[a1]]=1,NORMSDIST(Tab.o1[[#This Row],[Zb]]),"")</f>
        <v/>
      </c>
      <c r="R1029" s="122" t="str">
        <f>IF(Tab.o1[[#This Row],[a1]]=1,((Tab.o1[[#This Row],[MedMod]]-AVERAGE(Tab.o1[MedMod]))/_xlfn.STDEV.P(Tab.o1[MedMod])*H$1203)+G$1203,"")</f>
        <v/>
      </c>
      <c r="S1029" s="122" t="str">
        <f>IF(Tab.o1[[#This Row],[a1]]=1,((Tab.o1[[#This Row],[MedMod]]-AVERAGE(Tab.o1[MedMod]))/_xlfn.STDEV.P(Tab.o1[MedMod])*H$1204)+G$1204,"")</f>
        <v/>
      </c>
      <c r="T1029" s="123" t="str">
        <f>IF(Tab.o1[[#This Row],[a1]]=1,Tab.o1[[#This Row],[Z-]]*_xlfn.STDEV.P(Tab.o1[B])+AVERAGE(Tab.o1[B]),"")</f>
        <v/>
      </c>
      <c r="U1029" s="123" t="str">
        <f>IF(Tab.o1[[#This Row],[a1]]=1,Tab.o1[[#This Row],[z+]]*_xlfn.STDEV.P(Tab.o1[B])+AVERAGE(Tab.o1[B]),"")</f>
        <v/>
      </c>
      <c r="V1029" s="124" t="str">
        <f>IF(Tab.o1[[#This Row],[a1]]=1,ABS((ABS(Tab.o1[[#This Row],[Red]]-Tab.o1[[#This Row],[Blue]]))),"")</f>
        <v/>
      </c>
      <c r="W1029" s="125" t="str">
        <f>IF(Tab.o1[[#This Row],[a1]]=1,IF(W$3=0,1,Tab.o1[[#This Row],[Amp.]]*1/_xlfn.MINIFS(Tab.o1[Amp.],Tab.o1[Amp.],"&lt;&gt;0")),"")</f>
        <v/>
      </c>
      <c r="X1029" s="126" t="str">
        <f>IF(Tab.o1[[#This Row],[a1]]=1,IF(ISNUMBER(Tab.o1[[#This Row],[i.]]),NORMDIST(Tab.o1[[#This Row],[Za]],0,1,FALSE)*Tab.o1[[#This Row],[i.]],AP$3),"")</f>
        <v/>
      </c>
      <c r="Y1029" s="126" t="str">
        <f>IF(Tab.o1[[#This Row],[a1]]=1,0.01+0.94*Tab.o1[[#This Row],[PDF]]/MAX(Tab.o1[PDF]),"")</f>
        <v/>
      </c>
      <c r="Z1029" s="126" t="str">
        <f>IF(Tab.o1[[#This Row],[a1]]=1,0.01+0.94*Tab.o1[[#This Row],[W1_PDF]]/MAX(Tab.o1[W1_PDF]),"")</f>
        <v/>
      </c>
      <c r="AA1029" s="118" t="str">
        <f>IF(Tab.o1[[#This Row],[a1]]=1,ABS([1]!T.in.A[[#This Row],[oo6]]),"")</f>
        <v/>
      </c>
      <c r="AB1029" s="127" t="str">
        <f>IF(Tab.o1[[#This Row],[a1]]=1,IF(AE$3=0,"",IF(AB$3=0,ABS([1]!T.in.A[[#This Row],[oo9]]),ABS(Tab.o1[[#This Row],[DIF_Target.]]*Tab.o1[[#This Row],[W1_PDF]]))),"")</f>
        <v/>
      </c>
      <c r="AC1029" s="127" t="str">
        <f>IF(G$1=1,"",IF(Tab.o1[[#This Row],[a1]]=1,Tab.o1[[#This Row],[Wr]]^2,""))</f>
        <v/>
      </c>
      <c r="AD1029" s="118" t="str">
        <f>IF(Tab.o1[[#This Row],[a1]]=1,IF(AE$3=0,"",Tab.o1[[#This Row],[Wr2]]/SUM(Tab.o1[Wr2])),"")</f>
        <v/>
      </c>
      <c r="AE1029" s="128" t="str">
        <f>IF(Tab.o1[[#This Row],[a1]]=1,[1]!T.in.A[[#This Row],[oo10]],"")</f>
        <v/>
      </c>
      <c r="AF1029" s="118" t="str">
        <f>IF(Tab.o1[[#This Row],[a1]]=1,ABS(Tab.o1[[#This Row],[DIF_Target.]]*Tab.o1[[#This Row],[PDF2]]*Tab.o1[[#This Row],[IN]]),"")</f>
        <v/>
      </c>
      <c r="AG1029" s="129" t="str">
        <f>IF(Tab.o1[[#This Row],[a1]]=1,Tab.o1[[#This Row],[rW]]^2,"")</f>
        <v/>
      </c>
      <c r="AH1029" s="130" t="str">
        <f>IF(Tab.o1[[#This Row],[a1]]=1,IF(AH$3=0,Tab.o1[[#This Row],[rW2]],0.01+0.94*Tab.o1[[#This Row],[rW2]]/SUM(Tab.o1[rW2])),"")</f>
        <v/>
      </c>
      <c r="AI1029" s="128" t="str">
        <f>IF(Tab.o1[[#This Row],[a1]]=1,1/Tab.o1[[#This Row],[PDF]],"")</f>
        <v/>
      </c>
      <c r="AJ1029" s="131" t="str">
        <f>IF(Tab.o1[[#This Row],[a1]]=1,[1]!T_AA[[#This Row],[IN'']]*[1]!T_AA[[#This Row],[Qde'']],"")</f>
        <v/>
      </c>
      <c r="AK1029" s="132" t="str">
        <f>IF(Tab.o1[[#This Row],[a1]]=1,IF(AK$1=1,Tab.o1[[#This Row],[MED]]+Tab.o1[[#This Row],[MOD]]-Tab.o1[[#This Row],[MED]],""),"")</f>
        <v/>
      </c>
      <c r="AL1029" s="133" t="str">
        <f>IF(Tab.o1[[#This Row],[a1]]=1,[1]!T.in.A[[#This Row],[oo16]],"")</f>
        <v/>
      </c>
      <c r="AM1029" s="133" t="str">
        <f>IF(Tab.o1[[#This Row],[a1]]=1,IF(AM$3=1,[1]!T.in.A[[#This Row],[Σo16]],""),"")</f>
        <v/>
      </c>
      <c r="AN1029" s="126" t="str">
        <f>IF(Tab.o1[[#This Row],[a1]]=1,[1]!T.in.A[[#This Row],[Σp5]],"")</f>
        <v/>
      </c>
      <c r="AO1029" s="126" t="str">
        <f>IF(Tab.o1[[#This Row],[a1]]=1,IF(AO$3=1,[1]!T.in.A[[#This Row],[Σp5]],""),"")</f>
        <v/>
      </c>
      <c r="AP1029" s="110" t="str">
        <f>IF(Tab.o1[[#This Row],[a1]]=1,IF(ISNUMBER(Tab.o1[[#This Row],[i.]]),NORMDIST(Tab.o1[[#This Row],[Za]],0,1,FALSE)*Tab.o1[[#This Row],[i.]],0),"")</f>
        <v/>
      </c>
      <c r="AQ1029" s="125" t="str">
        <f>IF(Tab.o1[[#This Row],[a1]]=1,ABS(Tab.o1[[#This Row],[MOD]]-AVERAGE(Tab.o1[MOD])),"")</f>
        <v/>
      </c>
      <c r="AR1029" s="134" t="str">
        <f>IF(Tab.o1[[#This Row],[a1]]=1,Tab.o1[[#This Row],[OBS]]/SUM(Tab.o1[OBS]),"")</f>
        <v/>
      </c>
      <c r="AS1029" s="135" t="str">
        <f>IF(ISNUMBER(Tab.o1[[#This Row],[a1]]),ROW()-4,"")</f>
        <v/>
      </c>
      <c r="AT1029" s="136" t="str">
        <f>Tab.o1[[#This Row],[MOD]]</f>
        <v/>
      </c>
      <c r="AU1029" s="137" t="str">
        <f t="shared" si="61"/>
        <v/>
      </c>
      <c r="AV1029" s="138" t="str">
        <f t="shared" si="62"/>
        <v/>
      </c>
      <c r="AW1029" s="138" t="str">
        <f t="shared" si="63"/>
        <v/>
      </c>
      <c r="AX1029" s="139" t="str">
        <f>[1]!T.in.A[[#This Row],[ID_T_manu]]</f>
        <v/>
      </c>
      <c r="AY1029" s="140" t="str">
        <f>IF(ISNUMBER(Tab.o1[[#This Row],[a1]]),IF(AND(Tab.o1[[#This Row],[a1]]=1,Tab.o1[[#This Row],[b1]]&lt;=AY$4),#REF!,AY1028),"")</f>
        <v/>
      </c>
      <c r="AZ1029" s="25"/>
      <c r="BA1029" s="25"/>
      <c r="BB1029" s="25"/>
      <c r="BC1029" s="25"/>
      <c r="BD1029" s="25"/>
      <c r="BE1029" s="25"/>
      <c r="BF1029" s="25"/>
      <c r="BG1029" s="25"/>
      <c r="BH1029" s="25"/>
      <c r="BI1029" s="25"/>
      <c r="BJ1029" s="25"/>
      <c r="BK1029" s="25"/>
      <c r="BL1029" s="25"/>
      <c r="BM1029" s="25"/>
      <c r="BN1029" s="26"/>
      <c r="BO1029" s="26"/>
      <c r="BP1029" s="26"/>
      <c r="BQ1029" s="26"/>
      <c r="BR1029" s="26"/>
      <c r="BS1029" s="26"/>
      <c r="BT1029" s="26"/>
      <c r="BU1029" s="26"/>
      <c r="BV1029" s="26"/>
      <c r="BW1029" s="26"/>
      <c r="BX1029" s="26"/>
      <c r="BY1029" s="26"/>
      <c r="BZ1029" s="26"/>
      <c r="CA1029" s="26"/>
    </row>
    <row r="1030" spans="1:79" ht="15.75" hidden="1">
      <c r="A1030" s="109">
        <v>-1.0000000000000001E-5</v>
      </c>
      <c r="B1030" s="110">
        <f t="shared" ref="B1030:B1093" si="64">B1029+1</f>
        <v>1030</v>
      </c>
      <c r="C1030" s="111" t="str">
        <f>IF(C$1=[1]!T.in.A[[#This Row],[oo2]],1,"")</f>
        <v/>
      </c>
      <c r="D1030" s="112" t="str">
        <f>IF(Tab.o1[[#This Row],[a1]]=1,IF(SUM(C1030:C1031)=0,0,IF(SUM(C1029:C1030)=1,1,IF(SUM(C1029:C1031)&gt;1,D1029+1,0))),"")</f>
        <v/>
      </c>
      <c r="E1030" s="113" t="str">
        <f>IF(Tab.o1[[#This Row],[a1]]=1,[1]!T.in.A[[#This Row],[oo1]],"")</f>
        <v/>
      </c>
      <c r="F1030" s="113" t="str">
        <f>IF(Tab.o1[[#This Row],[a1]]=1,[1]!T.in.A[[#This Row],[pp1]],"")</f>
        <v/>
      </c>
      <c r="G1030" s="114" t="str">
        <f>IF(Tab.o1[[#This Row],[a1]]=1,G$2+IF(G$1=1,0,Tab.o1[[#This Row],[.x1]])+[1]!T.in.A[[#This Row],[oo3]],"")</f>
        <v/>
      </c>
      <c r="H1030" s="115" t="str">
        <f>IF(Tab.o1[[#This Row],[a1]]=1,IF(H$2=0,0,IF(G$1=1,0,Tab.o1[[#This Row],[.x1]])+[1]!T.in.A[[#This Row],[oo4]]),"")</f>
        <v/>
      </c>
      <c r="I1030" s="116" t="str">
        <f>IF(Tab.o1[[#This Row],[a1]]=1,IF(J$2=0,Tab.o1[[#This Row],[MED]],Tab.o1[[#This Row],[MOD]]),"")</f>
        <v/>
      </c>
      <c r="J1030" s="116" t="str">
        <f>IF(Tab.o1[[#This Row],[a1]]=1,((Tab.o1[[#This Row],[DIF_Target.]]-AVERAGE(Tab.o1[DIF_Target.]))/_xlfn.STDEV.P(Tab.o1[DIF_Target.])),"")</f>
        <v/>
      </c>
      <c r="K1030" s="117" t="str">
        <f>IF(Tab.o1[[#This Row],[a1]]=1,IF(J$2=0,Tab.o1[[#This Row],[MOD]]-Tab.o1[[#This Row],[B]],IF(J$2=1,0,-Tab.o1[[#This Row],[MED]])+Tab.o1[[#This Row],[B]]),"")</f>
        <v/>
      </c>
      <c r="L1030" s="117" t="str">
        <f ca="1">IF(Tab.o1[[#This Row],[DIF_Target]]=0,IF(L$2=0,Tab.o1[[#This Row],[DIF_Target]],AVERAGE(OFFSET(Tab.o1[[#This Row],[DIF_Target]],1,0,L$3,1)))/3,Tab.o1[[#This Row],[DIF_Target]])</f>
        <v/>
      </c>
      <c r="M1030" s="118" t="str">
        <f>IF(Tab.o1[[#This Row],[a1]]=1,NORMSDIST(Tab.o1[[#This Row],[Za]]),"")</f>
        <v/>
      </c>
      <c r="N1030" s="119" t="str">
        <f>IF(Tab.o1[[#This Row],[a1]]=1,((Tab.o1[[#This Row],[MedMod]]-AVERAGE(Tab.o1[MedMod]))/_xlfn.STDEV.P(Tab.o1[MedMod])*H$1205)+G$1205,"")</f>
        <v/>
      </c>
      <c r="O1030" s="141" t="str">
        <f>IF(Tab.o1[[#This Row],[a1]]=1,Tab.o1[[#This Row],[Zb]]*_xlfn.STDEV.P(Tab.o1[MedMod])+AVERAGE(Tab.o1[MedMod]),"")</f>
        <v/>
      </c>
      <c r="P1030" s="117" t="str">
        <f ca="1">IF(Tab.o1[[#This Row],[B]]=0,AVERAGE(OFFSET(Tab.o1[[#This Row],[B]],1,0,L$3,1)),Tab.o1[[#This Row],[B]])</f>
        <v/>
      </c>
      <c r="Q1030" s="121" t="str">
        <f>IF(Tab.o1[[#This Row],[a1]]=1,NORMSDIST(Tab.o1[[#This Row],[Zb]]),"")</f>
        <v/>
      </c>
      <c r="R1030" s="122" t="str">
        <f>IF(Tab.o1[[#This Row],[a1]]=1,((Tab.o1[[#This Row],[MedMod]]-AVERAGE(Tab.o1[MedMod]))/_xlfn.STDEV.P(Tab.o1[MedMod])*H$1203)+G$1203,"")</f>
        <v/>
      </c>
      <c r="S1030" s="122" t="str">
        <f>IF(Tab.o1[[#This Row],[a1]]=1,((Tab.o1[[#This Row],[MedMod]]-AVERAGE(Tab.o1[MedMod]))/_xlfn.STDEV.P(Tab.o1[MedMod])*H$1204)+G$1204,"")</f>
        <v/>
      </c>
      <c r="T1030" s="123" t="str">
        <f>IF(Tab.o1[[#This Row],[a1]]=1,Tab.o1[[#This Row],[Z-]]*_xlfn.STDEV.P(Tab.o1[B])+AVERAGE(Tab.o1[B]),"")</f>
        <v/>
      </c>
      <c r="U1030" s="123" t="str">
        <f>IF(Tab.o1[[#This Row],[a1]]=1,Tab.o1[[#This Row],[z+]]*_xlfn.STDEV.P(Tab.o1[B])+AVERAGE(Tab.o1[B]),"")</f>
        <v/>
      </c>
      <c r="V1030" s="124" t="str">
        <f>IF(Tab.o1[[#This Row],[a1]]=1,ABS((ABS(Tab.o1[[#This Row],[Red]]-Tab.o1[[#This Row],[Blue]]))),"")</f>
        <v/>
      </c>
      <c r="W1030" s="125" t="str">
        <f>IF(Tab.o1[[#This Row],[a1]]=1,IF(W$3=0,1,Tab.o1[[#This Row],[Amp.]]*1/_xlfn.MINIFS(Tab.o1[Amp.],Tab.o1[Amp.],"&lt;&gt;0")),"")</f>
        <v/>
      </c>
      <c r="X1030" s="126" t="str">
        <f>IF(Tab.o1[[#This Row],[a1]]=1,IF(ISNUMBER(Tab.o1[[#This Row],[i.]]),NORMDIST(Tab.o1[[#This Row],[Za]],0,1,FALSE)*Tab.o1[[#This Row],[i.]],AP$3),"")</f>
        <v/>
      </c>
      <c r="Y1030" s="126" t="str">
        <f>IF(Tab.o1[[#This Row],[a1]]=1,0.01+0.94*Tab.o1[[#This Row],[PDF]]/MAX(Tab.o1[PDF]),"")</f>
        <v/>
      </c>
      <c r="Z1030" s="126" t="str">
        <f>IF(Tab.o1[[#This Row],[a1]]=1,0.01+0.94*Tab.o1[[#This Row],[W1_PDF]]/MAX(Tab.o1[W1_PDF]),"")</f>
        <v/>
      </c>
      <c r="AA1030" s="118" t="str">
        <f>IF(Tab.o1[[#This Row],[a1]]=1,ABS([1]!T.in.A[[#This Row],[oo6]]),"")</f>
        <v/>
      </c>
      <c r="AB1030" s="127" t="str">
        <f>IF(Tab.o1[[#This Row],[a1]]=1,IF(AE$3=0,"",IF(AB$3=0,ABS([1]!T.in.A[[#This Row],[oo9]]),ABS(Tab.o1[[#This Row],[DIF_Target.]]*Tab.o1[[#This Row],[W1_PDF]]))),"")</f>
        <v/>
      </c>
      <c r="AC1030" s="127" t="str">
        <f>IF(G$1=1,"",IF(Tab.o1[[#This Row],[a1]]=1,Tab.o1[[#This Row],[Wr]]^2,""))</f>
        <v/>
      </c>
      <c r="AD1030" s="118" t="str">
        <f>IF(Tab.o1[[#This Row],[a1]]=1,IF(AE$3=0,"",Tab.o1[[#This Row],[Wr2]]/SUM(Tab.o1[Wr2])),"")</f>
        <v/>
      </c>
      <c r="AE1030" s="128" t="str">
        <f>IF(Tab.o1[[#This Row],[a1]]=1,[1]!T.in.A[[#This Row],[oo10]],"")</f>
        <v/>
      </c>
      <c r="AF1030" s="118" t="str">
        <f>IF(Tab.o1[[#This Row],[a1]]=1,ABS(Tab.o1[[#This Row],[DIF_Target.]]*Tab.o1[[#This Row],[PDF2]]*Tab.o1[[#This Row],[IN]]),"")</f>
        <v/>
      </c>
      <c r="AG1030" s="129" t="str">
        <f>IF(Tab.o1[[#This Row],[a1]]=1,Tab.o1[[#This Row],[rW]]^2,"")</f>
        <v/>
      </c>
      <c r="AH1030" s="130" t="str">
        <f>IF(Tab.o1[[#This Row],[a1]]=1,IF(AH$3=0,Tab.o1[[#This Row],[rW2]],0.01+0.94*Tab.o1[[#This Row],[rW2]]/SUM(Tab.o1[rW2])),"")</f>
        <v/>
      </c>
      <c r="AI1030" s="128" t="str">
        <f>IF(Tab.o1[[#This Row],[a1]]=1,1/Tab.o1[[#This Row],[PDF]],"")</f>
        <v/>
      </c>
      <c r="AJ1030" s="131" t="str">
        <f>IF(Tab.o1[[#This Row],[a1]]=1,[1]!T_AA[[#This Row],[IN'']]*[1]!T_AA[[#This Row],[Qde'']],"")</f>
        <v/>
      </c>
      <c r="AK1030" s="132" t="str">
        <f>IF(Tab.o1[[#This Row],[a1]]=1,IF(AK$1=1,Tab.o1[[#This Row],[MED]]+Tab.o1[[#This Row],[MOD]]-Tab.o1[[#This Row],[MED]],""),"")</f>
        <v/>
      </c>
      <c r="AL1030" s="133" t="str">
        <f>IF(Tab.o1[[#This Row],[a1]]=1,[1]!T.in.A[[#This Row],[oo16]],"")</f>
        <v/>
      </c>
      <c r="AM1030" s="133" t="str">
        <f>IF(Tab.o1[[#This Row],[a1]]=1,IF(AM$3=1,[1]!T.in.A[[#This Row],[Σo16]],""),"")</f>
        <v/>
      </c>
      <c r="AN1030" s="126" t="str">
        <f>IF(Tab.o1[[#This Row],[a1]]=1,[1]!T.in.A[[#This Row],[Σp5]],"")</f>
        <v/>
      </c>
      <c r="AO1030" s="126" t="str">
        <f>IF(Tab.o1[[#This Row],[a1]]=1,IF(AO$3=1,[1]!T.in.A[[#This Row],[Σp5]],""),"")</f>
        <v/>
      </c>
      <c r="AP1030" s="110" t="str">
        <f>IF(Tab.o1[[#This Row],[a1]]=1,IF(ISNUMBER(Tab.o1[[#This Row],[i.]]),NORMDIST(Tab.o1[[#This Row],[Za]],0,1,FALSE)*Tab.o1[[#This Row],[i.]],0),"")</f>
        <v/>
      </c>
      <c r="AQ1030" s="125" t="str">
        <f>IF(Tab.o1[[#This Row],[a1]]=1,ABS(Tab.o1[[#This Row],[MOD]]-AVERAGE(Tab.o1[MOD])),"")</f>
        <v/>
      </c>
      <c r="AR1030" s="134" t="str">
        <f>IF(Tab.o1[[#This Row],[a1]]=1,Tab.o1[[#This Row],[OBS]]/SUM(Tab.o1[OBS]),"")</f>
        <v/>
      </c>
      <c r="AS1030" s="135" t="str">
        <f>IF(ISNUMBER(Tab.o1[[#This Row],[a1]]),ROW()-4,"")</f>
        <v/>
      </c>
      <c r="AT1030" s="136" t="str">
        <f>Tab.o1[[#This Row],[MOD]]</f>
        <v/>
      </c>
      <c r="AU1030" s="137" t="str">
        <f t="shared" ref="AU1030:AU1093" si="65">AT1030</f>
        <v/>
      </c>
      <c r="AV1030" s="138" t="str">
        <f t="shared" ref="AV1030:AV1093" si="66">IF(AND(ISNUMBER(AT1030),ISNUMBER(AU1030)),H1030-AU1030,"")</f>
        <v/>
      </c>
      <c r="AW1030" s="138" t="str">
        <f t="shared" ref="AW1030:AW1093" si="67">IF(AW$4=0,"",IF(AV1030&lt;AV$2,AV1030," "))</f>
        <v/>
      </c>
      <c r="AX1030" s="139" t="str">
        <f>[1]!T.in.A[[#This Row],[ID_T_manu]]</f>
        <v/>
      </c>
      <c r="AY1030" s="140" t="str">
        <f>IF(ISNUMBER(Tab.o1[[#This Row],[a1]]),IF(AND(Tab.o1[[#This Row],[a1]]=1,Tab.o1[[#This Row],[b1]]&lt;=AY$4),#REF!,AY1029),"")</f>
        <v/>
      </c>
      <c r="AZ1030" s="25"/>
      <c r="BA1030" s="25"/>
      <c r="BB1030" s="25"/>
      <c r="BC1030" s="25"/>
      <c r="BD1030" s="25"/>
      <c r="BE1030" s="25"/>
      <c r="BF1030" s="25"/>
      <c r="BG1030" s="25"/>
      <c r="BH1030" s="25"/>
      <c r="BI1030" s="25"/>
      <c r="BJ1030" s="25"/>
      <c r="BK1030" s="25"/>
      <c r="BL1030" s="25"/>
      <c r="BM1030" s="25"/>
      <c r="BN1030" s="26"/>
      <c r="BO1030" s="26"/>
      <c r="BP1030" s="26"/>
      <c r="BQ1030" s="26"/>
      <c r="BR1030" s="26"/>
      <c r="BS1030" s="26"/>
      <c r="BT1030" s="26"/>
      <c r="BU1030" s="26"/>
      <c r="BV1030" s="26"/>
      <c r="BW1030" s="26"/>
      <c r="BX1030" s="26"/>
      <c r="BY1030" s="26"/>
      <c r="BZ1030" s="26"/>
      <c r="CA1030" s="26"/>
    </row>
    <row r="1031" spans="1:79" ht="15.75" hidden="1">
      <c r="A1031" s="109">
        <v>-5.0000000000000004E-6</v>
      </c>
      <c r="B1031" s="110">
        <f t="shared" si="64"/>
        <v>1031</v>
      </c>
      <c r="C1031" s="111" t="str">
        <f>IF(C$1=[1]!T.in.A[[#This Row],[oo2]],1,"")</f>
        <v/>
      </c>
      <c r="D1031" s="112" t="str">
        <f>IF(Tab.o1[[#This Row],[a1]]=1,IF(SUM(C1031:C1032)=0,0,IF(SUM(C1030:C1031)=1,1,IF(SUM(C1030:C1032)&gt;1,D1030+1,0))),"")</f>
        <v/>
      </c>
      <c r="E1031" s="113" t="str">
        <f>IF(Tab.o1[[#This Row],[a1]]=1,[1]!T.in.A[[#This Row],[oo1]],"")</f>
        <v/>
      </c>
      <c r="F1031" s="113" t="str">
        <f>IF(Tab.o1[[#This Row],[a1]]=1,[1]!T.in.A[[#This Row],[pp1]],"")</f>
        <v/>
      </c>
      <c r="G1031" s="114" t="str">
        <f>IF(Tab.o1[[#This Row],[a1]]=1,G$2+IF(G$1=1,0,Tab.o1[[#This Row],[.x1]])+[1]!T.in.A[[#This Row],[oo3]],"")</f>
        <v/>
      </c>
      <c r="H1031" s="115" t="str">
        <f>IF(Tab.o1[[#This Row],[a1]]=1,IF(H$2=0,0,IF(G$1=1,0,Tab.o1[[#This Row],[.x1]])+[1]!T.in.A[[#This Row],[oo4]]),"")</f>
        <v/>
      </c>
      <c r="I1031" s="116" t="str">
        <f>IF(Tab.o1[[#This Row],[a1]]=1,IF(J$2=0,Tab.o1[[#This Row],[MED]],Tab.o1[[#This Row],[MOD]]),"")</f>
        <v/>
      </c>
      <c r="J1031" s="116" t="str">
        <f>IF(Tab.o1[[#This Row],[a1]]=1,((Tab.o1[[#This Row],[DIF_Target.]]-AVERAGE(Tab.o1[DIF_Target.]))/_xlfn.STDEV.P(Tab.o1[DIF_Target.])),"")</f>
        <v/>
      </c>
      <c r="K1031" s="117" t="str">
        <f>IF(Tab.o1[[#This Row],[a1]]=1,IF(J$2=0,Tab.o1[[#This Row],[MOD]]-Tab.o1[[#This Row],[B]],IF(J$2=1,0,-Tab.o1[[#This Row],[MED]])+Tab.o1[[#This Row],[B]]),"")</f>
        <v/>
      </c>
      <c r="L1031" s="117" t="str">
        <f ca="1">IF(Tab.o1[[#This Row],[DIF_Target]]=0,IF(L$2=0,Tab.o1[[#This Row],[DIF_Target]],AVERAGE(OFFSET(Tab.o1[[#This Row],[DIF_Target]],1,0,L$3,1)))/3,Tab.o1[[#This Row],[DIF_Target]])</f>
        <v/>
      </c>
      <c r="M1031" s="118" t="str">
        <f>IF(Tab.o1[[#This Row],[a1]]=1,NORMSDIST(Tab.o1[[#This Row],[Za]]),"")</f>
        <v/>
      </c>
      <c r="N1031" s="119" t="str">
        <f>IF(Tab.o1[[#This Row],[a1]]=1,((Tab.o1[[#This Row],[MedMod]]-AVERAGE(Tab.o1[MedMod]))/_xlfn.STDEV.P(Tab.o1[MedMod])*H$1205)+G$1205,"")</f>
        <v/>
      </c>
      <c r="O1031" s="141" t="str">
        <f>IF(Tab.o1[[#This Row],[a1]]=1,Tab.o1[[#This Row],[Zb]]*_xlfn.STDEV.P(Tab.o1[MedMod])+AVERAGE(Tab.o1[MedMod]),"")</f>
        <v/>
      </c>
      <c r="P1031" s="117" t="str">
        <f ca="1">IF(Tab.o1[[#This Row],[B]]=0,AVERAGE(OFFSET(Tab.o1[[#This Row],[B]],1,0,L$3,1)),Tab.o1[[#This Row],[B]])</f>
        <v/>
      </c>
      <c r="Q1031" s="121" t="str">
        <f>IF(Tab.o1[[#This Row],[a1]]=1,NORMSDIST(Tab.o1[[#This Row],[Zb]]),"")</f>
        <v/>
      </c>
      <c r="R1031" s="122" t="str">
        <f>IF(Tab.o1[[#This Row],[a1]]=1,((Tab.o1[[#This Row],[MedMod]]-AVERAGE(Tab.o1[MedMod]))/_xlfn.STDEV.P(Tab.o1[MedMod])*H$1203)+G$1203,"")</f>
        <v/>
      </c>
      <c r="S1031" s="122" t="str">
        <f>IF(Tab.o1[[#This Row],[a1]]=1,((Tab.o1[[#This Row],[MedMod]]-AVERAGE(Tab.o1[MedMod]))/_xlfn.STDEV.P(Tab.o1[MedMod])*H$1204)+G$1204,"")</f>
        <v/>
      </c>
      <c r="T1031" s="123" t="str">
        <f>IF(Tab.o1[[#This Row],[a1]]=1,Tab.o1[[#This Row],[Z-]]*_xlfn.STDEV.P(Tab.o1[B])+AVERAGE(Tab.o1[B]),"")</f>
        <v/>
      </c>
      <c r="U1031" s="123" t="str">
        <f>IF(Tab.o1[[#This Row],[a1]]=1,Tab.o1[[#This Row],[z+]]*_xlfn.STDEV.P(Tab.o1[B])+AVERAGE(Tab.o1[B]),"")</f>
        <v/>
      </c>
      <c r="V1031" s="124" t="str">
        <f>IF(Tab.o1[[#This Row],[a1]]=1,ABS((ABS(Tab.o1[[#This Row],[Red]]-Tab.o1[[#This Row],[Blue]]))),"")</f>
        <v/>
      </c>
      <c r="W1031" s="125" t="str">
        <f>IF(Tab.o1[[#This Row],[a1]]=1,IF(W$3=0,1,Tab.o1[[#This Row],[Amp.]]*1/_xlfn.MINIFS(Tab.o1[Amp.],Tab.o1[Amp.],"&lt;&gt;0")),"")</f>
        <v/>
      </c>
      <c r="X1031" s="126" t="str">
        <f>IF(Tab.o1[[#This Row],[a1]]=1,IF(ISNUMBER(Tab.o1[[#This Row],[i.]]),NORMDIST(Tab.o1[[#This Row],[Za]],0,1,FALSE)*Tab.o1[[#This Row],[i.]],AP$3),"")</f>
        <v/>
      </c>
      <c r="Y1031" s="126" t="str">
        <f>IF(Tab.o1[[#This Row],[a1]]=1,0.01+0.94*Tab.o1[[#This Row],[PDF]]/MAX(Tab.o1[PDF]),"")</f>
        <v/>
      </c>
      <c r="Z1031" s="126" t="str">
        <f>IF(Tab.o1[[#This Row],[a1]]=1,0.01+0.94*Tab.o1[[#This Row],[W1_PDF]]/MAX(Tab.o1[W1_PDF]),"")</f>
        <v/>
      </c>
      <c r="AA1031" s="118" t="str">
        <f>IF(Tab.o1[[#This Row],[a1]]=1,ABS([1]!T.in.A[[#This Row],[oo6]]),"")</f>
        <v/>
      </c>
      <c r="AB1031" s="127" t="str">
        <f>IF(Tab.o1[[#This Row],[a1]]=1,IF(AE$3=0,"",IF(AB$3=0,ABS([1]!T.in.A[[#This Row],[oo9]]),ABS(Tab.o1[[#This Row],[DIF_Target.]]*Tab.o1[[#This Row],[W1_PDF]]))),"")</f>
        <v/>
      </c>
      <c r="AC1031" s="127" t="str">
        <f>IF(G$1=1,"",IF(Tab.o1[[#This Row],[a1]]=1,Tab.o1[[#This Row],[Wr]]^2,""))</f>
        <v/>
      </c>
      <c r="AD1031" s="118" t="str">
        <f>IF(Tab.o1[[#This Row],[a1]]=1,IF(AE$3=0,"",Tab.o1[[#This Row],[Wr2]]/SUM(Tab.o1[Wr2])),"")</f>
        <v/>
      </c>
      <c r="AE1031" s="128" t="str">
        <f>IF(Tab.o1[[#This Row],[a1]]=1,[1]!T.in.A[[#This Row],[oo10]],"")</f>
        <v/>
      </c>
      <c r="AF1031" s="118" t="str">
        <f>IF(Tab.o1[[#This Row],[a1]]=1,ABS(Tab.o1[[#This Row],[DIF_Target.]]*Tab.o1[[#This Row],[PDF2]]*Tab.o1[[#This Row],[IN]]),"")</f>
        <v/>
      </c>
      <c r="AG1031" s="129" t="str">
        <f>IF(Tab.o1[[#This Row],[a1]]=1,Tab.o1[[#This Row],[rW]]^2,"")</f>
        <v/>
      </c>
      <c r="AH1031" s="130" t="str">
        <f>IF(Tab.o1[[#This Row],[a1]]=1,IF(AH$3=0,Tab.o1[[#This Row],[rW2]],0.01+0.94*Tab.o1[[#This Row],[rW2]]/SUM(Tab.o1[rW2])),"")</f>
        <v/>
      </c>
      <c r="AI1031" s="128" t="str">
        <f>IF(Tab.o1[[#This Row],[a1]]=1,1/Tab.o1[[#This Row],[PDF]],"")</f>
        <v/>
      </c>
      <c r="AJ1031" s="131" t="str">
        <f>IF(Tab.o1[[#This Row],[a1]]=1,[1]!T_AA[[#This Row],[IN'']]*[1]!T_AA[[#This Row],[Qde'']],"")</f>
        <v/>
      </c>
      <c r="AK1031" s="132" t="str">
        <f>IF(Tab.o1[[#This Row],[a1]]=1,IF(AK$1=1,Tab.o1[[#This Row],[MED]]+Tab.o1[[#This Row],[MOD]]-Tab.o1[[#This Row],[MED]],""),"")</f>
        <v/>
      </c>
      <c r="AL1031" s="133" t="str">
        <f>IF(Tab.o1[[#This Row],[a1]]=1,[1]!T.in.A[[#This Row],[oo16]],"")</f>
        <v/>
      </c>
      <c r="AM1031" s="133" t="str">
        <f>IF(Tab.o1[[#This Row],[a1]]=1,IF(AM$3=1,[1]!T.in.A[[#This Row],[Σo16]],""),"")</f>
        <v/>
      </c>
      <c r="AN1031" s="126" t="str">
        <f>IF(Tab.o1[[#This Row],[a1]]=1,[1]!T.in.A[[#This Row],[Σp5]],"")</f>
        <v/>
      </c>
      <c r="AO1031" s="126" t="str">
        <f>IF(Tab.o1[[#This Row],[a1]]=1,IF(AO$3=1,[1]!T.in.A[[#This Row],[Σp5]],""),"")</f>
        <v/>
      </c>
      <c r="AP1031" s="110" t="str">
        <f>IF(Tab.o1[[#This Row],[a1]]=1,IF(ISNUMBER(Tab.o1[[#This Row],[i.]]),NORMDIST(Tab.o1[[#This Row],[Za]],0,1,FALSE)*Tab.o1[[#This Row],[i.]],0),"")</f>
        <v/>
      </c>
      <c r="AQ1031" s="125" t="str">
        <f>IF(Tab.o1[[#This Row],[a1]]=1,ABS(Tab.o1[[#This Row],[MOD]]-AVERAGE(Tab.o1[MOD])),"")</f>
        <v/>
      </c>
      <c r="AR1031" s="134" t="str">
        <f>IF(Tab.o1[[#This Row],[a1]]=1,Tab.o1[[#This Row],[OBS]]/SUM(Tab.o1[OBS]),"")</f>
        <v/>
      </c>
      <c r="AS1031" s="135" t="str">
        <f>IF(ISNUMBER(Tab.o1[[#This Row],[a1]]),ROW()-4,"")</f>
        <v/>
      </c>
      <c r="AT1031" s="136" t="str">
        <f>Tab.o1[[#This Row],[MOD]]</f>
        <v/>
      </c>
      <c r="AU1031" s="137" t="str">
        <f t="shared" si="65"/>
        <v/>
      </c>
      <c r="AV1031" s="138" t="str">
        <f t="shared" si="66"/>
        <v/>
      </c>
      <c r="AW1031" s="138" t="str">
        <f t="shared" si="67"/>
        <v/>
      </c>
      <c r="AX1031" s="139" t="str">
        <f>[1]!T.in.A[[#This Row],[ID_T_manu]]</f>
        <v/>
      </c>
      <c r="AY1031" s="140" t="str">
        <f>IF(ISNUMBER(Tab.o1[[#This Row],[a1]]),IF(AND(Tab.o1[[#This Row],[a1]]=1,Tab.o1[[#This Row],[b1]]&lt;=AY$4),#REF!,AY1030),"")</f>
        <v/>
      </c>
      <c r="AZ1031" s="25"/>
      <c r="BA1031" s="25"/>
      <c r="BB1031" s="25"/>
      <c r="BC1031" s="25"/>
      <c r="BD1031" s="25"/>
      <c r="BE1031" s="25"/>
      <c r="BF1031" s="25"/>
      <c r="BG1031" s="25"/>
      <c r="BH1031" s="25"/>
      <c r="BI1031" s="25"/>
      <c r="BJ1031" s="25"/>
      <c r="BK1031" s="25"/>
      <c r="BL1031" s="25"/>
      <c r="BM1031" s="25"/>
      <c r="BN1031" s="26"/>
      <c r="BO1031" s="26"/>
      <c r="BP1031" s="26"/>
      <c r="BQ1031" s="26"/>
      <c r="BR1031" s="26"/>
      <c r="BS1031" s="26"/>
      <c r="BT1031" s="26"/>
      <c r="BU1031" s="26"/>
      <c r="BV1031" s="26"/>
      <c r="BW1031" s="26"/>
      <c r="BX1031" s="26"/>
      <c r="BY1031" s="26"/>
      <c r="BZ1031" s="26"/>
      <c r="CA1031" s="26"/>
    </row>
    <row r="1032" spans="1:79" ht="15.75" hidden="1">
      <c r="A1032" s="109">
        <v>-9.0000000000000002E-6</v>
      </c>
      <c r="B1032" s="110">
        <f t="shared" si="64"/>
        <v>1032</v>
      </c>
      <c r="C1032" s="111" t="str">
        <f>IF(C$1=[1]!T.in.A[[#This Row],[oo2]],1,"")</f>
        <v/>
      </c>
      <c r="D1032" s="112" t="str">
        <f>IF(Tab.o1[[#This Row],[a1]]=1,IF(SUM(C1032:C1033)=0,0,IF(SUM(C1031:C1032)=1,1,IF(SUM(C1031:C1033)&gt;1,D1031+1,0))),"")</f>
        <v/>
      </c>
      <c r="E1032" s="113" t="str">
        <f>IF(Tab.o1[[#This Row],[a1]]=1,[1]!T.in.A[[#This Row],[oo1]],"")</f>
        <v/>
      </c>
      <c r="F1032" s="113" t="str">
        <f>IF(Tab.o1[[#This Row],[a1]]=1,[1]!T.in.A[[#This Row],[pp1]],"")</f>
        <v/>
      </c>
      <c r="G1032" s="114" t="str">
        <f>IF(Tab.o1[[#This Row],[a1]]=1,G$2+IF(G$1=1,0,Tab.o1[[#This Row],[.x1]])+[1]!T.in.A[[#This Row],[oo3]],"")</f>
        <v/>
      </c>
      <c r="H1032" s="115" t="str">
        <f>IF(Tab.o1[[#This Row],[a1]]=1,IF(H$2=0,0,IF(G$1=1,0,Tab.o1[[#This Row],[.x1]])+[1]!T.in.A[[#This Row],[oo4]]),"")</f>
        <v/>
      </c>
      <c r="I1032" s="116" t="str">
        <f>IF(Tab.o1[[#This Row],[a1]]=1,IF(J$2=0,Tab.o1[[#This Row],[MED]],Tab.o1[[#This Row],[MOD]]),"")</f>
        <v/>
      </c>
      <c r="J1032" s="116" t="str">
        <f>IF(Tab.o1[[#This Row],[a1]]=1,((Tab.o1[[#This Row],[DIF_Target.]]-AVERAGE(Tab.o1[DIF_Target.]))/_xlfn.STDEV.P(Tab.o1[DIF_Target.])),"")</f>
        <v/>
      </c>
      <c r="K1032" s="117" t="str">
        <f>IF(Tab.o1[[#This Row],[a1]]=1,IF(J$2=0,Tab.o1[[#This Row],[MOD]]-Tab.o1[[#This Row],[B]],IF(J$2=1,0,-Tab.o1[[#This Row],[MED]])+Tab.o1[[#This Row],[B]]),"")</f>
        <v/>
      </c>
      <c r="L1032" s="117" t="str">
        <f ca="1">IF(Tab.o1[[#This Row],[DIF_Target]]=0,IF(L$2=0,Tab.o1[[#This Row],[DIF_Target]],AVERAGE(OFFSET(Tab.o1[[#This Row],[DIF_Target]],1,0,L$3,1)))/3,Tab.o1[[#This Row],[DIF_Target]])</f>
        <v/>
      </c>
      <c r="M1032" s="118" t="str">
        <f>IF(Tab.o1[[#This Row],[a1]]=1,NORMSDIST(Tab.o1[[#This Row],[Za]]),"")</f>
        <v/>
      </c>
      <c r="N1032" s="119" t="str">
        <f>IF(Tab.o1[[#This Row],[a1]]=1,((Tab.o1[[#This Row],[MedMod]]-AVERAGE(Tab.o1[MedMod]))/_xlfn.STDEV.P(Tab.o1[MedMod])*H$1205)+G$1205,"")</f>
        <v/>
      </c>
      <c r="O1032" s="141" t="str">
        <f>IF(Tab.o1[[#This Row],[a1]]=1,Tab.o1[[#This Row],[Zb]]*_xlfn.STDEV.P(Tab.o1[MedMod])+AVERAGE(Tab.o1[MedMod]),"")</f>
        <v/>
      </c>
      <c r="P1032" s="117" t="str">
        <f ca="1">IF(Tab.o1[[#This Row],[B]]=0,AVERAGE(OFFSET(Tab.o1[[#This Row],[B]],1,0,L$3,1)),Tab.o1[[#This Row],[B]])</f>
        <v/>
      </c>
      <c r="Q1032" s="121" t="str">
        <f>IF(Tab.o1[[#This Row],[a1]]=1,NORMSDIST(Tab.o1[[#This Row],[Zb]]),"")</f>
        <v/>
      </c>
      <c r="R1032" s="122" t="str">
        <f>IF(Tab.o1[[#This Row],[a1]]=1,((Tab.o1[[#This Row],[MedMod]]-AVERAGE(Tab.o1[MedMod]))/_xlfn.STDEV.P(Tab.o1[MedMod])*H$1203)+G$1203,"")</f>
        <v/>
      </c>
      <c r="S1032" s="122" t="str">
        <f>IF(Tab.o1[[#This Row],[a1]]=1,((Tab.o1[[#This Row],[MedMod]]-AVERAGE(Tab.o1[MedMod]))/_xlfn.STDEV.P(Tab.o1[MedMod])*H$1204)+G$1204,"")</f>
        <v/>
      </c>
      <c r="T1032" s="123" t="str">
        <f>IF(Tab.o1[[#This Row],[a1]]=1,Tab.o1[[#This Row],[Z-]]*_xlfn.STDEV.P(Tab.o1[B])+AVERAGE(Tab.o1[B]),"")</f>
        <v/>
      </c>
      <c r="U1032" s="123" t="str">
        <f>IF(Tab.o1[[#This Row],[a1]]=1,Tab.o1[[#This Row],[z+]]*_xlfn.STDEV.P(Tab.o1[B])+AVERAGE(Tab.o1[B]),"")</f>
        <v/>
      </c>
      <c r="V1032" s="124" t="str">
        <f>IF(Tab.o1[[#This Row],[a1]]=1,ABS((ABS(Tab.o1[[#This Row],[Red]]-Tab.o1[[#This Row],[Blue]]))),"")</f>
        <v/>
      </c>
      <c r="W1032" s="125" t="str">
        <f>IF(Tab.o1[[#This Row],[a1]]=1,IF(W$3=0,1,Tab.o1[[#This Row],[Amp.]]*1/_xlfn.MINIFS(Tab.o1[Amp.],Tab.o1[Amp.],"&lt;&gt;0")),"")</f>
        <v/>
      </c>
      <c r="X1032" s="126" t="str">
        <f>IF(Tab.o1[[#This Row],[a1]]=1,IF(ISNUMBER(Tab.o1[[#This Row],[i.]]),NORMDIST(Tab.o1[[#This Row],[Za]],0,1,FALSE)*Tab.o1[[#This Row],[i.]],AP$3),"")</f>
        <v/>
      </c>
      <c r="Y1032" s="126" t="str">
        <f>IF(Tab.o1[[#This Row],[a1]]=1,0.01+0.94*Tab.o1[[#This Row],[PDF]]/MAX(Tab.o1[PDF]),"")</f>
        <v/>
      </c>
      <c r="Z1032" s="126" t="str">
        <f>IF(Tab.o1[[#This Row],[a1]]=1,0.01+0.94*Tab.o1[[#This Row],[W1_PDF]]/MAX(Tab.o1[W1_PDF]),"")</f>
        <v/>
      </c>
      <c r="AA1032" s="118" t="str">
        <f>IF(Tab.o1[[#This Row],[a1]]=1,ABS([1]!T.in.A[[#This Row],[oo6]]),"")</f>
        <v/>
      </c>
      <c r="AB1032" s="127" t="str">
        <f>IF(Tab.o1[[#This Row],[a1]]=1,IF(AE$3=0,"",IF(AB$3=0,ABS([1]!T.in.A[[#This Row],[oo9]]),ABS(Tab.o1[[#This Row],[DIF_Target.]]*Tab.o1[[#This Row],[W1_PDF]]))),"")</f>
        <v/>
      </c>
      <c r="AC1032" s="127" t="str">
        <f>IF(G$1=1,"",IF(Tab.o1[[#This Row],[a1]]=1,Tab.o1[[#This Row],[Wr]]^2,""))</f>
        <v/>
      </c>
      <c r="AD1032" s="118" t="str">
        <f>IF(Tab.o1[[#This Row],[a1]]=1,IF(AE$3=0,"",Tab.o1[[#This Row],[Wr2]]/SUM(Tab.o1[Wr2])),"")</f>
        <v/>
      </c>
      <c r="AE1032" s="128" t="str">
        <f>IF(Tab.o1[[#This Row],[a1]]=1,[1]!T.in.A[[#This Row],[oo10]],"")</f>
        <v/>
      </c>
      <c r="AF1032" s="118" t="str">
        <f>IF(Tab.o1[[#This Row],[a1]]=1,ABS(Tab.o1[[#This Row],[DIF_Target.]]*Tab.o1[[#This Row],[PDF2]]*Tab.o1[[#This Row],[IN]]),"")</f>
        <v/>
      </c>
      <c r="AG1032" s="129" t="str">
        <f>IF(Tab.o1[[#This Row],[a1]]=1,Tab.o1[[#This Row],[rW]]^2,"")</f>
        <v/>
      </c>
      <c r="AH1032" s="130" t="str">
        <f>IF(Tab.o1[[#This Row],[a1]]=1,IF(AH$3=0,Tab.o1[[#This Row],[rW2]],0.01+0.94*Tab.o1[[#This Row],[rW2]]/SUM(Tab.o1[rW2])),"")</f>
        <v/>
      </c>
      <c r="AI1032" s="128" t="str">
        <f>IF(Tab.o1[[#This Row],[a1]]=1,1/Tab.o1[[#This Row],[PDF]],"")</f>
        <v/>
      </c>
      <c r="AJ1032" s="131" t="str">
        <f>IF(Tab.o1[[#This Row],[a1]]=1,[1]!T_AA[[#This Row],[IN'']]*[1]!T_AA[[#This Row],[Qde'']],"")</f>
        <v/>
      </c>
      <c r="AK1032" s="132" t="str">
        <f>IF(Tab.o1[[#This Row],[a1]]=1,IF(AK$1=1,Tab.o1[[#This Row],[MED]]+Tab.o1[[#This Row],[MOD]]-Tab.o1[[#This Row],[MED]],""),"")</f>
        <v/>
      </c>
      <c r="AL1032" s="133" t="str">
        <f>IF(Tab.o1[[#This Row],[a1]]=1,[1]!T.in.A[[#This Row],[oo16]],"")</f>
        <v/>
      </c>
      <c r="AM1032" s="133" t="str">
        <f>IF(Tab.o1[[#This Row],[a1]]=1,IF(AM$3=1,[1]!T.in.A[[#This Row],[Σo16]],""),"")</f>
        <v/>
      </c>
      <c r="AN1032" s="126" t="str">
        <f>IF(Tab.o1[[#This Row],[a1]]=1,[1]!T.in.A[[#This Row],[Σp5]],"")</f>
        <v/>
      </c>
      <c r="AO1032" s="126" t="str">
        <f>IF(Tab.o1[[#This Row],[a1]]=1,IF(AO$3=1,[1]!T.in.A[[#This Row],[Σp5]],""),"")</f>
        <v/>
      </c>
      <c r="AP1032" s="110" t="str">
        <f>IF(Tab.o1[[#This Row],[a1]]=1,IF(ISNUMBER(Tab.o1[[#This Row],[i.]]),NORMDIST(Tab.o1[[#This Row],[Za]],0,1,FALSE)*Tab.o1[[#This Row],[i.]],0),"")</f>
        <v/>
      </c>
      <c r="AQ1032" s="125" t="str">
        <f>IF(Tab.o1[[#This Row],[a1]]=1,ABS(Tab.o1[[#This Row],[MOD]]-AVERAGE(Tab.o1[MOD])),"")</f>
        <v/>
      </c>
      <c r="AR1032" s="134" t="str">
        <f>IF(Tab.o1[[#This Row],[a1]]=1,Tab.o1[[#This Row],[OBS]]/SUM(Tab.o1[OBS]),"")</f>
        <v/>
      </c>
      <c r="AS1032" s="135" t="str">
        <f>IF(ISNUMBER(Tab.o1[[#This Row],[a1]]),ROW()-4,"")</f>
        <v/>
      </c>
      <c r="AT1032" s="136" t="str">
        <f>Tab.o1[[#This Row],[MOD]]</f>
        <v/>
      </c>
      <c r="AU1032" s="137" t="str">
        <f t="shared" si="65"/>
        <v/>
      </c>
      <c r="AV1032" s="138" t="str">
        <f t="shared" si="66"/>
        <v/>
      </c>
      <c r="AW1032" s="138" t="str">
        <f t="shared" si="67"/>
        <v/>
      </c>
      <c r="AX1032" s="139" t="str">
        <f>[1]!T.in.A[[#This Row],[ID_T_manu]]</f>
        <v/>
      </c>
      <c r="AY1032" s="140" t="str">
        <f>IF(ISNUMBER(Tab.o1[[#This Row],[a1]]),IF(AND(Tab.o1[[#This Row],[a1]]=1,Tab.o1[[#This Row],[b1]]&lt;=AY$4),#REF!,AY1031),"")</f>
        <v/>
      </c>
      <c r="AZ1032" s="25"/>
      <c r="BA1032" s="25"/>
      <c r="BB1032" s="25"/>
      <c r="BC1032" s="25"/>
      <c r="BD1032" s="25"/>
      <c r="BE1032" s="25"/>
      <c r="BF1032" s="25"/>
      <c r="BG1032" s="25"/>
      <c r="BH1032" s="25"/>
      <c r="BI1032" s="25"/>
      <c r="BJ1032" s="25"/>
      <c r="BK1032" s="25"/>
      <c r="BL1032" s="25"/>
      <c r="BM1032" s="25"/>
      <c r="BN1032" s="26"/>
      <c r="BO1032" s="26"/>
      <c r="BP1032" s="26"/>
      <c r="BQ1032" s="26"/>
      <c r="BR1032" s="26"/>
      <c r="BS1032" s="26"/>
      <c r="BT1032" s="26"/>
      <c r="BU1032" s="26"/>
      <c r="BV1032" s="26"/>
      <c r="BW1032" s="26"/>
      <c r="BX1032" s="26"/>
      <c r="BY1032" s="26"/>
      <c r="BZ1032" s="26"/>
      <c r="CA1032" s="26"/>
    </row>
    <row r="1033" spans="1:79" ht="15.75" hidden="1">
      <c r="A1033" s="109">
        <v>-4.0000000000000007E-6</v>
      </c>
      <c r="B1033" s="110">
        <f t="shared" si="64"/>
        <v>1033</v>
      </c>
      <c r="C1033" s="111" t="str">
        <f>IF(C$1=[1]!T.in.A[[#This Row],[oo2]],1,"")</f>
        <v/>
      </c>
      <c r="D1033" s="112" t="str">
        <f>IF(Tab.o1[[#This Row],[a1]]=1,IF(SUM(C1033:C1034)=0,0,IF(SUM(C1032:C1033)=1,1,IF(SUM(C1032:C1034)&gt;1,D1032+1,0))),"")</f>
        <v/>
      </c>
      <c r="E1033" s="113" t="str">
        <f>IF(Tab.o1[[#This Row],[a1]]=1,[1]!T.in.A[[#This Row],[oo1]],"")</f>
        <v/>
      </c>
      <c r="F1033" s="113" t="str">
        <f>IF(Tab.o1[[#This Row],[a1]]=1,[1]!T.in.A[[#This Row],[pp1]],"")</f>
        <v/>
      </c>
      <c r="G1033" s="114" t="str">
        <f>IF(Tab.o1[[#This Row],[a1]]=1,G$2+IF(G$1=1,0,Tab.o1[[#This Row],[.x1]])+[1]!T.in.A[[#This Row],[oo3]],"")</f>
        <v/>
      </c>
      <c r="H1033" s="115" t="str">
        <f>IF(Tab.o1[[#This Row],[a1]]=1,IF(H$2=0,0,IF(G$1=1,0,Tab.o1[[#This Row],[.x1]])+[1]!T.in.A[[#This Row],[oo4]]),"")</f>
        <v/>
      </c>
      <c r="I1033" s="116" t="str">
        <f>IF(Tab.o1[[#This Row],[a1]]=1,IF(J$2=0,Tab.o1[[#This Row],[MED]],Tab.o1[[#This Row],[MOD]]),"")</f>
        <v/>
      </c>
      <c r="J1033" s="116" t="str">
        <f>IF(Tab.o1[[#This Row],[a1]]=1,((Tab.o1[[#This Row],[DIF_Target.]]-AVERAGE(Tab.o1[DIF_Target.]))/_xlfn.STDEV.P(Tab.o1[DIF_Target.])),"")</f>
        <v/>
      </c>
      <c r="K1033" s="117" t="str">
        <f>IF(Tab.o1[[#This Row],[a1]]=1,IF(J$2=0,Tab.o1[[#This Row],[MOD]]-Tab.o1[[#This Row],[B]],IF(J$2=1,0,-Tab.o1[[#This Row],[MED]])+Tab.o1[[#This Row],[B]]),"")</f>
        <v/>
      </c>
      <c r="L1033" s="117" t="str">
        <f ca="1">IF(Tab.o1[[#This Row],[DIF_Target]]=0,IF(L$2=0,Tab.o1[[#This Row],[DIF_Target]],AVERAGE(OFFSET(Tab.o1[[#This Row],[DIF_Target]],1,0,L$3,1)))/3,Tab.o1[[#This Row],[DIF_Target]])</f>
        <v/>
      </c>
      <c r="M1033" s="118" t="str">
        <f>IF(Tab.o1[[#This Row],[a1]]=1,NORMSDIST(Tab.o1[[#This Row],[Za]]),"")</f>
        <v/>
      </c>
      <c r="N1033" s="119" t="str">
        <f>IF(Tab.o1[[#This Row],[a1]]=1,((Tab.o1[[#This Row],[MedMod]]-AVERAGE(Tab.o1[MedMod]))/_xlfn.STDEV.P(Tab.o1[MedMod])*H$1205)+G$1205,"")</f>
        <v/>
      </c>
      <c r="O1033" s="141" t="str">
        <f>IF(Tab.o1[[#This Row],[a1]]=1,Tab.o1[[#This Row],[Zb]]*_xlfn.STDEV.P(Tab.o1[MedMod])+AVERAGE(Tab.o1[MedMod]),"")</f>
        <v/>
      </c>
      <c r="P1033" s="117" t="str">
        <f ca="1">IF(Tab.o1[[#This Row],[B]]=0,AVERAGE(OFFSET(Tab.o1[[#This Row],[B]],1,0,L$3,1)),Tab.o1[[#This Row],[B]])</f>
        <v/>
      </c>
      <c r="Q1033" s="121" t="str">
        <f>IF(Tab.o1[[#This Row],[a1]]=1,NORMSDIST(Tab.o1[[#This Row],[Zb]]),"")</f>
        <v/>
      </c>
      <c r="R1033" s="122" t="str">
        <f>IF(Tab.o1[[#This Row],[a1]]=1,((Tab.o1[[#This Row],[MedMod]]-AVERAGE(Tab.o1[MedMod]))/_xlfn.STDEV.P(Tab.o1[MedMod])*H$1203)+G$1203,"")</f>
        <v/>
      </c>
      <c r="S1033" s="122" t="str">
        <f>IF(Tab.o1[[#This Row],[a1]]=1,((Tab.o1[[#This Row],[MedMod]]-AVERAGE(Tab.o1[MedMod]))/_xlfn.STDEV.P(Tab.o1[MedMod])*H$1204)+G$1204,"")</f>
        <v/>
      </c>
      <c r="T1033" s="123" t="str">
        <f>IF(Tab.o1[[#This Row],[a1]]=1,Tab.o1[[#This Row],[Z-]]*_xlfn.STDEV.P(Tab.o1[B])+AVERAGE(Tab.o1[B]),"")</f>
        <v/>
      </c>
      <c r="U1033" s="123" t="str">
        <f>IF(Tab.o1[[#This Row],[a1]]=1,Tab.o1[[#This Row],[z+]]*_xlfn.STDEV.P(Tab.o1[B])+AVERAGE(Tab.o1[B]),"")</f>
        <v/>
      </c>
      <c r="V1033" s="124" t="str">
        <f>IF(Tab.o1[[#This Row],[a1]]=1,ABS((ABS(Tab.o1[[#This Row],[Red]]-Tab.o1[[#This Row],[Blue]]))),"")</f>
        <v/>
      </c>
      <c r="W1033" s="125" t="str">
        <f>IF(Tab.o1[[#This Row],[a1]]=1,IF(W$3=0,1,Tab.o1[[#This Row],[Amp.]]*1/_xlfn.MINIFS(Tab.o1[Amp.],Tab.o1[Amp.],"&lt;&gt;0")),"")</f>
        <v/>
      </c>
      <c r="X1033" s="126" t="str">
        <f>IF(Tab.o1[[#This Row],[a1]]=1,IF(ISNUMBER(Tab.o1[[#This Row],[i.]]),NORMDIST(Tab.o1[[#This Row],[Za]],0,1,FALSE)*Tab.o1[[#This Row],[i.]],AP$3),"")</f>
        <v/>
      </c>
      <c r="Y1033" s="126" t="str">
        <f>IF(Tab.o1[[#This Row],[a1]]=1,0.01+0.94*Tab.o1[[#This Row],[PDF]]/MAX(Tab.o1[PDF]),"")</f>
        <v/>
      </c>
      <c r="Z1033" s="126" t="str">
        <f>IF(Tab.o1[[#This Row],[a1]]=1,0.01+0.94*Tab.o1[[#This Row],[W1_PDF]]/MAX(Tab.o1[W1_PDF]),"")</f>
        <v/>
      </c>
      <c r="AA1033" s="118" t="str">
        <f>IF(Tab.o1[[#This Row],[a1]]=1,ABS([1]!T.in.A[[#This Row],[oo6]]),"")</f>
        <v/>
      </c>
      <c r="AB1033" s="127" t="str">
        <f>IF(Tab.o1[[#This Row],[a1]]=1,IF(AE$3=0,"",IF(AB$3=0,ABS([1]!T.in.A[[#This Row],[oo9]]),ABS(Tab.o1[[#This Row],[DIF_Target.]]*Tab.o1[[#This Row],[W1_PDF]]))),"")</f>
        <v/>
      </c>
      <c r="AC1033" s="127" t="str">
        <f>IF(G$1=1,"",IF(Tab.o1[[#This Row],[a1]]=1,Tab.o1[[#This Row],[Wr]]^2,""))</f>
        <v/>
      </c>
      <c r="AD1033" s="118" t="str">
        <f>IF(Tab.o1[[#This Row],[a1]]=1,IF(AE$3=0,"",Tab.o1[[#This Row],[Wr2]]/SUM(Tab.o1[Wr2])),"")</f>
        <v/>
      </c>
      <c r="AE1033" s="128" t="str">
        <f>IF(Tab.o1[[#This Row],[a1]]=1,[1]!T.in.A[[#This Row],[oo10]],"")</f>
        <v/>
      </c>
      <c r="AF1033" s="118" t="str">
        <f>IF(Tab.o1[[#This Row],[a1]]=1,ABS(Tab.o1[[#This Row],[DIF_Target.]]*Tab.o1[[#This Row],[PDF2]]*Tab.o1[[#This Row],[IN]]),"")</f>
        <v/>
      </c>
      <c r="AG1033" s="129" t="str">
        <f>IF(Tab.o1[[#This Row],[a1]]=1,Tab.o1[[#This Row],[rW]]^2,"")</f>
        <v/>
      </c>
      <c r="AH1033" s="130" t="str">
        <f>IF(Tab.o1[[#This Row],[a1]]=1,IF(AH$3=0,Tab.o1[[#This Row],[rW2]],0.01+0.94*Tab.o1[[#This Row],[rW2]]/SUM(Tab.o1[rW2])),"")</f>
        <v/>
      </c>
      <c r="AI1033" s="128" t="str">
        <f>IF(Tab.o1[[#This Row],[a1]]=1,1/Tab.o1[[#This Row],[PDF]],"")</f>
        <v/>
      </c>
      <c r="AJ1033" s="131" t="str">
        <f>IF(Tab.o1[[#This Row],[a1]]=1,[1]!T_AA[[#This Row],[IN'']]*[1]!T_AA[[#This Row],[Qde'']],"")</f>
        <v/>
      </c>
      <c r="AK1033" s="132" t="str">
        <f>IF(Tab.o1[[#This Row],[a1]]=1,IF(AK$1=1,Tab.o1[[#This Row],[MED]]+Tab.o1[[#This Row],[MOD]]-Tab.o1[[#This Row],[MED]],""),"")</f>
        <v/>
      </c>
      <c r="AL1033" s="133" t="str">
        <f>IF(Tab.o1[[#This Row],[a1]]=1,[1]!T.in.A[[#This Row],[oo16]],"")</f>
        <v/>
      </c>
      <c r="AM1033" s="133" t="str">
        <f>IF(Tab.o1[[#This Row],[a1]]=1,IF(AM$3=1,[1]!T.in.A[[#This Row],[Σo16]],""),"")</f>
        <v/>
      </c>
      <c r="AN1033" s="126" t="str">
        <f>IF(Tab.o1[[#This Row],[a1]]=1,[1]!T.in.A[[#This Row],[Σp5]],"")</f>
        <v/>
      </c>
      <c r="AO1033" s="126" t="str">
        <f>IF(Tab.o1[[#This Row],[a1]]=1,IF(AO$3=1,[1]!T.in.A[[#This Row],[Σp5]],""),"")</f>
        <v/>
      </c>
      <c r="AP1033" s="110" t="str">
        <f>IF(Tab.o1[[#This Row],[a1]]=1,IF(ISNUMBER(Tab.o1[[#This Row],[i.]]),NORMDIST(Tab.o1[[#This Row],[Za]],0,1,FALSE)*Tab.o1[[#This Row],[i.]],0),"")</f>
        <v/>
      </c>
      <c r="AQ1033" s="125" t="str">
        <f>IF(Tab.o1[[#This Row],[a1]]=1,ABS(Tab.o1[[#This Row],[MOD]]-AVERAGE(Tab.o1[MOD])),"")</f>
        <v/>
      </c>
      <c r="AR1033" s="134" t="str">
        <f>IF(Tab.o1[[#This Row],[a1]]=1,Tab.o1[[#This Row],[OBS]]/SUM(Tab.o1[OBS]),"")</f>
        <v/>
      </c>
      <c r="AS1033" s="135" t="str">
        <f>IF(ISNUMBER(Tab.o1[[#This Row],[a1]]),ROW()-4,"")</f>
        <v/>
      </c>
      <c r="AT1033" s="136" t="str">
        <f>Tab.o1[[#This Row],[MOD]]</f>
        <v/>
      </c>
      <c r="AU1033" s="137" t="str">
        <f t="shared" si="65"/>
        <v/>
      </c>
      <c r="AV1033" s="138" t="str">
        <f t="shared" si="66"/>
        <v/>
      </c>
      <c r="AW1033" s="138" t="str">
        <f t="shared" si="67"/>
        <v/>
      </c>
      <c r="AX1033" s="139" t="str">
        <f>[1]!T.in.A[[#This Row],[ID_T_manu]]</f>
        <v/>
      </c>
      <c r="AY1033" s="140" t="str">
        <f>IF(ISNUMBER(Tab.o1[[#This Row],[a1]]),IF(AND(Tab.o1[[#This Row],[a1]]=1,Tab.o1[[#This Row],[b1]]&lt;=AY$4),#REF!,AY1032),"")</f>
        <v/>
      </c>
      <c r="AZ1033" s="25"/>
      <c r="BA1033" s="25"/>
      <c r="BB1033" s="25"/>
      <c r="BC1033" s="25"/>
      <c r="BD1033" s="25"/>
      <c r="BE1033" s="25"/>
      <c r="BF1033" s="25"/>
      <c r="BG1033" s="25"/>
      <c r="BH1033" s="25"/>
      <c r="BI1033" s="25"/>
      <c r="BJ1033" s="25"/>
      <c r="BK1033" s="25"/>
      <c r="BL1033" s="25"/>
      <c r="BM1033" s="25"/>
      <c r="BN1033" s="26"/>
      <c r="BO1033" s="26"/>
      <c r="BP1033" s="26"/>
      <c r="BQ1033" s="26"/>
      <c r="BR1033" s="26"/>
      <c r="BS1033" s="26"/>
      <c r="BT1033" s="26"/>
      <c r="BU1033" s="26"/>
      <c r="BV1033" s="26"/>
      <c r="BW1033" s="26"/>
      <c r="BX1033" s="26"/>
      <c r="BY1033" s="26"/>
      <c r="BZ1033" s="26"/>
      <c r="CA1033" s="26"/>
    </row>
    <row r="1034" spans="1:79" ht="15.75" hidden="1">
      <c r="A1034" s="109">
        <v>8.0000000000000013E-6</v>
      </c>
      <c r="B1034" s="110">
        <f t="shared" si="64"/>
        <v>1034</v>
      </c>
      <c r="C1034" s="111" t="str">
        <f>IF(C$1=[1]!T.in.A[[#This Row],[oo2]],1,"")</f>
        <v/>
      </c>
      <c r="D1034" s="112" t="str">
        <f>IF(Tab.o1[[#This Row],[a1]]=1,IF(SUM(C1034:C1035)=0,0,IF(SUM(C1033:C1034)=1,1,IF(SUM(C1033:C1035)&gt;1,D1033+1,0))),"")</f>
        <v/>
      </c>
      <c r="E1034" s="113" t="str">
        <f>IF(Tab.o1[[#This Row],[a1]]=1,[1]!T.in.A[[#This Row],[oo1]],"")</f>
        <v/>
      </c>
      <c r="F1034" s="113" t="str">
        <f>IF(Tab.o1[[#This Row],[a1]]=1,[1]!T.in.A[[#This Row],[pp1]],"")</f>
        <v/>
      </c>
      <c r="G1034" s="114" t="str">
        <f>IF(Tab.o1[[#This Row],[a1]]=1,G$2+IF(G$1=1,0,Tab.o1[[#This Row],[.x1]])+[1]!T.in.A[[#This Row],[oo3]],"")</f>
        <v/>
      </c>
      <c r="H1034" s="115" t="str">
        <f>IF(Tab.o1[[#This Row],[a1]]=1,IF(H$2=0,0,IF(G$1=1,0,Tab.o1[[#This Row],[.x1]])+[1]!T.in.A[[#This Row],[oo4]]),"")</f>
        <v/>
      </c>
      <c r="I1034" s="116" t="str">
        <f>IF(Tab.o1[[#This Row],[a1]]=1,IF(J$2=0,Tab.o1[[#This Row],[MED]],Tab.o1[[#This Row],[MOD]]),"")</f>
        <v/>
      </c>
      <c r="J1034" s="116" t="str">
        <f>IF(Tab.o1[[#This Row],[a1]]=1,((Tab.o1[[#This Row],[DIF_Target.]]-AVERAGE(Tab.o1[DIF_Target.]))/_xlfn.STDEV.P(Tab.o1[DIF_Target.])),"")</f>
        <v/>
      </c>
      <c r="K1034" s="117" t="str">
        <f>IF(Tab.o1[[#This Row],[a1]]=1,IF(J$2=0,Tab.o1[[#This Row],[MOD]]-Tab.o1[[#This Row],[B]],IF(J$2=1,0,-Tab.o1[[#This Row],[MED]])+Tab.o1[[#This Row],[B]]),"")</f>
        <v/>
      </c>
      <c r="L1034" s="117" t="str">
        <f ca="1">IF(Tab.o1[[#This Row],[DIF_Target]]=0,IF(L$2=0,Tab.o1[[#This Row],[DIF_Target]],AVERAGE(OFFSET(Tab.o1[[#This Row],[DIF_Target]],1,0,L$3,1)))/3,Tab.o1[[#This Row],[DIF_Target]])</f>
        <v/>
      </c>
      <c r="M1034" s="118" t="str">
        <f>IF(Tab.o1[[#This Row],[a1]]=1,NORMSDIST(Tab.o1[[#This Row],[Za]]),"")</f>
        <v/>
      </c>
      <c r="N1034" s="119" t="str">
        <f>IF(Tab.o1[[#This Row],[a1]]=1,((Tab.o1[[#This Row],[MedMod]]-AVERAGE(Tab.o1[MedMod]))/_xlfn.STDEV.P(Tab.o1[MedMod])*H$1205)+G$1205,"")</f>
        <v/>
      </c>
      <c r="O1034" s="141" t="str">
        <f>IF(Tab.o1[[#This Row],[a1]]=1,Tab.o1[[#This Row],[Zb]]*_xlfn.STDEV.P(Tab.o1[MedMod])+AVERAGE(Tab.o1[MedMod]),"")</f>
        <v/>
      </c>
      <c r="P1034" s="117" t="str">
        <f ca="1">IF(Tab.o1[[#This Row],[B]]=0,AVERAGE(OFFSET(Tab.o1[[#This Row],[B]],1,0,L$3,1)),Tab.o1[[#This Row],[B]])</f>
        <v/>
      </c>
      <c r="Q1034" s="121" t="str">
        <f>IF(Tab.o1[[#This Row],[a1]]=1,NORMSDIST(Tab.o1[[#This Row],[Zb]]),"")</f>
        <v/>
      </c>
      <c r="R1034" s="122" t="str">
        <f>IF(Tab.o1[[#This Row],[a1]]=1,((Tab.o1[[#This Row],[MedMod]]-AVERAGE(Tab.o1[MedMod]))/_xlfn.STDEV.P(Tab.o1[MedMod])*H$1203)+G$1203,"")</f>
        <v/>
      </c>
      <c r="S1034" s="122" t="str">
        <f>IF(Tab.o1[[#This Row],[a1]]=1,((Tab.o1[[#This Row],[MedMod]]-AVERAGE(Tab.o1[MedMod]))/_xlfn.STDEV.P(Tab.o1[MedMod])*H$1204)+G$1204,"")</f>
        <v/>
      </c>
      <c r="T1034" s="123" t="str">
        <f>IF(Tab.o1[[#This Row],[a1]]=1,Tab.o1[[#This Row],[Z-]]*_xlfn.STDEV.P(Tab.o1[B])+AVERAGE(Tab.o1[B]),"")</f>
        <v/>
      </c>
      <c r="U1034" s="123" t="str">
        <f>IF(Tab.o1[[#This Row],[a1]]=1,Tab.o1[[#This Row],[z+]]*_xlfn.STDEV.P(Tab.o1[B])+AVERAGE(Tab.o1[B]),"")</f>
        <v/>
      </c>
      <c r="V1034" s="124" t="str">
        <f>IF(Tab.o1[[#This Row],[a1]]=1,ABS((ABS(Tab.o1[[#This Row],[Red]]-Tab.o1[[#This Row],[Blue]]))),"")</f>
        <v/>
      </c>
      <c r="W1034" s="125" t="str">
        <f>IF(Tab.o1[[#This Row],[a1]]=1,IF(W$3=0,1,Tab.o1[[#This Row],[Amp.]]*1/_xlfn.MINIFS(Tab.o1[Amp.],Tab.o1[Amp.],"&lt;&gt;0")),"")</f>
        <v/>
      </c>
      <c r="X1034" s="126" t="str">
        <f>IF(Tab.o1[[#This Row],[a1]]=1,IF(ISNUMBER(Tab.o1[[#This Row],[i.]]),NORMDIST(Tab.o1[[#This Row],[Za]],0,1,FALSE)*Tab.o1[[#This Row],[i.]],AP$3),"")</f>
        <v/>
      </c>
      <c r="Y1034" s="126" t="str">
        <f>IF(Tab.o1[[#This Row],[a1]]=1,0.01+0.94*Tab.o1[[#This Row],[PDF]]/MAX(Tab.o1[PDF]),"")</f>
        <v/>
      </c>
      <c r="Z1034" s="126" t="str">
        <f>IF(Tab.o1[[#This Row],[a1]]=1,0.01+0.94*Tab.o1[[#This Row],[W1_PDF]]/MAX(Tab.o1[W1_PDF]),"")</f>
        <v/>
      </c>
      <c r="AA1034" s="118" t="str">
        <f>IF(Tab.o1[[#This Row],[a1]]=1,ABS([1]!T.in.A[[#This Row],[oo6]]),"")</f>
        <v/>
      </c>
      <c r="AB1034" s="127" t="str">
        <f>IF(Tab.o1[[#This Row],[a1]]=1,IF(AE$3=0,"",IF(AB$3=0,ABS([1]!T.in.A[[#This Row],[oo9]]),ABS(Tab.o1[[#This Row],[DIF_Target.]]*Tab.o1[[#This Row],[W1_PDF]]))),"")</f>
        <v/>
      </c>
      <c r="AC1034" s="127" t="str">
        <f>IF(G$1=1,"",IF(Tab.o1[[#This Row],[a1]]=1,Tab.o1[[#This Row],[Wr]]^2,""))</f>
        <v/>
      </c>
      <c r="AD1034" s="118" t="str">
        <f>IF(Tab.o1[[#This Row],[a1]]=1,IF(AE$3=0,"",Tab.o1[[#This Row],[Wr2]]/SUM(Tab.o1[Wr2])),"")</f>
        <v/>
      </c>
      <c r="AE1034" s="128" t="str">
        <f>IF(Tab.o1[[#This Row],[a1]]=1,[1]!T.in.A[[#This Row],[oo10]],"")</f>
        <v/>
      </c>
      <c r="AF1034" s="118" t="str">
        <f>IF(Tab.o1[[#This Row],[a1]]=1,ABS(Tab.o1[[#This Row],[DIF_Target.]]*Tab.o1[[#This Row],[PDF2]]*Tab.o1[[#This Row],[IN]]),"")</f>
        <v/>
      </c>
      <c r="AG1034" s="129" t="str">
        <f>IF(Tab.o1[[#This Row],[a1]]=1,Tab.o1[[#This Row],[rW]]^2,"")</f>
        <v/>
      </c>
      <c r="AH1034" s="130" t="str">
        <f>IF(Tab.o1[[#This Row],[a1]]=1,IF(AH$3=0,Tab.o1[[#This Row],[rW2]],0.01+0.94*Tab.o1[[#This Row],[rW2]]/SUM(Tab.o1[rW2])),"")</f>
        <v/>
      </c>
      <c r="AI1034" s="128" t="str">
        <f>IF(Tab.o1[[#This Row],[a1]]=1,1/Tab.o1[[#This Row],[PDF]],"")</f>
        <v/>
      </c>
      <c r="AJ1034" s="131" t="str">
        <f>IF(Tab.o1[[#This Row],[a1]]=1,[1]!T_AA[[#This Row],[IN'']]*[1]!T_AA[[#This Row],[Qde'']],"")</f>
        <v/>
      </c>
      <c r="AK1034" s="132" t="str">
        <f>IF(Tab.o1[[#This Row],[a1]]=1,IF(AK$1=1,Tab.o1[[#This Row],[MED]]+Tab.o1[[#This Row],[MOD]]-Tab.o1[[#This Row],[MED]],""),"")</f>
        <v/>
      </c>
      <c r="AL1034" s="133" t="str">
        <f>IF(Tab.o1[[#This Row],[a1]]=1,[1]!T.in.A[[#This Row],[oo16]],"")</f>
        <v/>
      </c>
      <c r="AM1034" s="133" t="str">
        <f>IF(Tab.o1[[#This Row],[a1]]=1,IF(AM$3=1,[1]!T.in.A[[#This Row],[Σo16]],""),"")</f>
        <v/>
      </c>
      <c r="AN1034" s="126" t="str">
        <f>IF(Tab.o1[[#This Row],[a1]]=1,[1]!T.in.A[[#This Row],[Σp5]],"")</f>
        <v/>
      </c>
      <c r="AO1034" s="126" t="str">
        <f>IF(Tab.o1[[#This Row],[a1]]=1,IF(AO$3=1,[1]!T.in.A[[#This Row],[Σp5]],""),"")</f>
        <v/>
      </c>
      <c r="AP1034" s="110" t="str">
        <f>IF(Tab.o1[[#This Row],[a1]]=1,IF(ISNUMBER(Tab.o1[[#This Row],[i.]]),NORMDIST(Tab.o1[[#This Row],[Za]],0,1,FALSE)*Tab.o1[[#This Row],[i.]],0),"")</f>
        <v/>
      </c>
      <c r="AQ1034" s="125" t="str">
        <f>IF(Tab.o1[[#This Row],[a1]]=1,ABS(Tab.o1[[#This Row],[MOD]]-AVERAGE(Tab.o1[MOD])),"")</f>
        <v/>
      </c>
      <c r="AR1034" s="134" t="str">
        <f>IF(Tab.o1[[#This Row],[a1]]=1,Tab.o1[[#This Row],[OBS]]/SUM(Tab.o1[OBS]),"")</f>
        <v/>
      </c>
      <c r="AS1034" s="135" t="str">
        <f>IF(ISNUMBER(Tab.o1[[#This Row],[a1]]),ROW()-4,"")</f>
        <v/>
      </c>
      <c r="AT1034" s="136" t="str">
        <f>Tab.o1[[#This Row],[MOD]]</f>
        <v/>
      </c>
      <c r="AU1034" s="137" t="str">
        <f t="shared" si="65"/>
        <v/>
      </c>
      <c r="AV1034" s="138" t="str">
        <f t="shared" si="66"/>
        <v/>
      </c>
      <c r="AW1034" s="138" t="str">
        <f t="shared" si="67"/>
        <v/>
      </c>
      <c r="AX1034" s="139" t="str">
        <f>[1]!T.in.A[[#This Row],[ID_T_manu]]</f>
        <v/>
      </c>
      <c r="AY1034" s="140" t="str">
        <f>IF(ISNUMBER(Tab.o1[[#This Row],[a1]]),IF(AND(Tab.o1[[#This Row],[a1]]=1,Tab.o1[[#This Row],[b1]]&lt;=AY$4),#REF!,AY1033),"")</f>
        <v/>
      </c>
      <c r="AZ1034" s="25"/>
      <c r="BA1034" s="25"/>
      <c r="BB1034" s="25"/>
      <c r="BC1034" s="25"/>
      <c r="BD1034" s="25"/>
      <c r="BE1034" s="25"/>
      <c r="BF1034" s="25"/>
      <c r="BG1034" s="25"/>
      <c r="BH1034" s="25"/>
      <c r="BI1034" s="25"/>
      <c r="BJ1034" s="25"/>
      <c r="BK1034" s="25"/>
      <c r="BL1034" s="25"/>
      <c r="BM1034" s="25"/>
      <c r="BN1034" s="26"/>
      <c r="BO1034" s="26"/>
      <c r="BP1034" s="26"/>
      <c r="BQ1034" s="26"/>
      <c r="BR1034" s="26"/>
      <c r="BS1034" s="26"/>
      <c r="BT1034" s="26"/>
      <c r="BU1034" s="26"/>
      <c r="BV1034" s="26"/>
      <c r="BW1034" s="26"/>
      <c r="BX1034" s="26"/>
      <c r="BY1034" s="26"/>
      <c r="BZ1034" s="26"/>
      <c r="CA1034" s="26"/>
    </row>
    <row r="1035" spans="1:79" ht="15.75" hidden="1">
      <c r="A1035" s="109">
        <v>-6.9999999999999999E-6</v>
      </c>
      <c r="B1035" s="110">
        <f t="shared" si="64"/>
        <v>1035</v>
      </c>
      <c r="C1035" s="111" t="str">
        <f>IF(C$1=[1]!T.in.A[[#This Row],[oo2]],1,"")</f>
        <v/>
      </c>
      <c r="D1035" s="112" t="str">
        <f>IF(Tab.o1[[#This Row],[a1]]=1,IF(SUM(C1035:C1036)=0,0,IF(SUM(C1034:C1035)=1,1,IF(SUM(C1034:C1036)&gt;1,D1034+1,0))),"")</f>
        <v/>
      </c>
      <c r="E1035" s="113" t="str">
        <f>IF(Tab.o1[[#This Row],[a1]]=1,[1]!T.in.A[[#This Row],[oo1]],"")</f>
        <v/>
      </c>
      <c r="F1035" s="113" t="str">
        <f>IF(Tab.o1[[#This Row],[a1]]=1,[1]!T.in.A[[#This Row],[pp1]],"")</f>
        <v/>
      </c>
      <c r="G1035" s="114" t="str">
        <f>IF(Tab.o1[[#This Row],[a1]]=1,G$2+IF(G$1=1,0,Tab.o1[[#This Row],[.x1]])+[1]!T.in.A[[#This Row],[oo3]],"")</f>
        <v/>
      </c>
      <c r="H1035" s="115" t="str">
        <f>IF(Tab.o1[[#This Row],[a1]]=1,IF(H$2=0,0,IF(G$1=1,0,Tab.o1[[#This Row],[.x1]])+[1]!T.in.A[[#This Row],[oo4]]),"")</f>
        <v/>
      </c>
      <c r="I1035" s="116" t="str">
        <f>IF(Tab.o1[[#This Row],[a1]]=1,IF(J$2=0,Tab.o1[[#This Row],[MED]],Tab.o1[[#This Row],[MOD]]),"")</f>
        <v/>
      </c>
      <c r="J1035" s="116" t="str">
        <f>IF(Tab.o1[[#This Row],[a1]]=1,((Tab.o1[[#This Row],[DIF_Target.]]-AVERAGE(Tab.o1[DIF_Target.]))/_xlfn.STDEV.P(Tab.o1[DIF_Target.])),"")</f>
        <v/>
      </c>
      <c r="K1035" s="117" t="str">
        <f>IF(Tab.o1[[#This Row],[a1]]=1,IF(J$2=0,Tab.o1[[#This Row],[MOD]]-Tab.o1[[#This Row],[B]],IF(J$2=1,0,-Tab.o1[[#This Row],[MED]])+Tab.o1[[#This Row],[B]]),"")</f>
        <v/>
      </c>
      <c r="L1035" s="117" t="str">
        <f ca="1">IF(Tab.o1[[#This Row],[DIF_Target]]=0,IF(L$2=0,Tab.o1[[#This Row],[DIF_Target]],AVERAGE(OFFSET(Tab.o1[[#This Row],[DIF_Target]],1,0,L$3,1)))/3,Tab.o1[[#This Row],[DIF_Target]])</f>
        <v/>
      </c>
      <c r="M1035" s="118" t="str">
        <f>IF(Tab.o1[[#This Row],[a1]]=1,NORMSDIST(Tab.o1[[#This Row],[Za]]),"")</f>
        <v/>
      </c>
      <c r="N1035" s="119" t="str">
        <f>IF(Tab.o1[[#This Row],[a1]]=1,((Tab.o1[[#This Row],[MedMod]]-AVERAGE(Tab.o1[MedMod]))/_xlfn.STDEV.P(Tab.o1[MedMod])*H$1205)+G$1205,"")</f>
        <v/>
      </c>
      <c r="O1035" s="141" t="str">
        <f>IF(Tab.o1[[#This Row],[a1]]=1,Tab.o1[[#This Row],[Zb]]*_xlfn.STDEV.P(Tab.o1[MedMod])+AVERAGE(Tab.o1[MedMod]),"")</f>
        <v/>
      </c>
      <c r="P1035" s="117" t="str">
        <f ca="1">IF(Tab.o1[[#This Row],[B]]=0,AVERAGE(OFFSET(Tab.o1[[#This Row],[B]],1,0,L$3,1)),Tab.o1[[#This Row],[B]])</f>
        <v/>
      </c>
      <c r="Q1035" s="121" t="str">
        <f>IF(Tab.o1[[#This Row],[a1]]=1,NORMSDIST(Tab.o1[[#This Row],[Zb]]),"")</f>
        <v/>
      </c>
      <c r="R1035" s="122" t="str">
        <f>IF(Tab.o1[[#This Row],[a1]]=1,((Tab.o1[[#This Row],[MedMod]]-AVERAGE(Tab.o1[MedMod]))/_xlfn.STDEV.P(Tab.o1[MedMod])*H$1203)+G$1203,"")</f>
        <v/>
      </c>
      <c r="S1035" s="122" t="str">
        <f>IF(Tab.o1[[#This Row],[a1]]=1,((Tab.o1[[#This Row],[MedMod]]-AVERAGE(Tab.o1[MedMod]))/_xlfn.STDEV.P(Tab.o1[MedMod])*H$1204)+G$1204,"")</f>
        <v/>
      </c>
      <c r="T1035" s="123" t="str">
        <f>IF(Tab.o1[[#This Row],[a1]]=1,Tab.o1[[#This Row],[Z-]]*_xlfn.STDEV.P(Tab.o1[B])+AVERAGE(Tab.o1[B]),"")</f>
        <v/>
      </c>
      <c r="U1035" s="123" t="str">
        <f>IF(Tab.o1[[#This Row],[a1]]=1,Tab.o1[[#This Row],[z+]]*_xlfn.STDEV.P(Tab.o1[B])+AVERAGE(Tab.o1[B]),"")</f>
        <v/>
      </c>
      <c r="V1035" s="124" t="str">
        <f>IF(Tab.o1[[#This Row],[a1]]=1,ABS((ABS(Tab.o1[[#This Row],[Red]]-Tab.o1[[#This Row],[Blue]]))),"")</f>
        <v/>
      </c>
      <c r="W1035" s="125" t="str">
        <f>IF(Tab.o1[[#This Row],[a1]]=1,IF(W$3=0,1,Tab.o1[[#This Row],[Amp.]]*1/_xlfn.MINIFS(Tab.o1[Amp.],Tab.o1[Amp.],"&lt;&gt;0")),"")</f>
        <v/>
      </c>
      <c r="X1035" s="126" t="str">
        <f>IF(Tab.o1[[#This Row],[a1]]=1,IF(ISNUMBER(Tab.o1[[#This Row],[i.]]),NORMDIST(Tab.o1[[#This Row],[Za]],0,1,FALSE)*Tab.o1[[#This Row],[i.]],AP$3),"")</f>
        <v/>
      </c>
      <c r="Y1035" s="126" t="str">
        <f>IF(Tab.o1[[#This Row],[a1]]=1,0.01+0.94*Tab.o1[[#This Row],[PDF]]/MAX(Tab.o1[PDF]),"")</f>
        <v/>
      </c>
      <c r="Z1035" s="126" t="str">
        <f>IF(Tab.o1[[#This Row],[a1]]=1,0.01+0.94*Tab.o1[[#This Row],[W1_PDF]]/MAX(Tab.o1[W1_PDF]),"")</f>
        <v/>
      </c>
      <c r="AA1035" s="118" t="str">
        <f>IF(Tab.o1[[#This Row],[a1]]=1,ABS([1]!T.in.A[[#This Row],[oo6]]),"")</f>
        <v/>
      </c>
      <c r="AB1035" s="127" t="str">
        <f>IF(Tab.o1[[#This Row],[a1]]=1,IF(AE$3=0,"",IF(AB$3=0,ABS([1]!T.in.A[[#This Row],[oo9]]),ABS(Tab.o1[[#This Row],[DIF_Target.]]*Tab.o1[[#This Row],[W1_PDF]]))),"")</f>
        <v/>
      </c>
      <c r="AC1035" s="127" t="str">
        <f>IF(G$1=1,"",IF(Tab.o1[[#This Row],[a1]]=1,Tab.o1[[#This Row],[Wr]]^2,""))</f>
        <v/>
      </c>
      <c r="AD1035" s="118" t="str">
        <f>IF(Tab.o1[[#This Row],[a1]]=1,IF(AE$3=0,"",Tab.o1[[#This Row],[Wr2]]/SUM(Tab.o1[Wr2])),"")</f>
        <v/>
      </c>
      <c r="AE1035" s="128" t="str">
        <f>IF(Tab.o1[[#This Row],[a1]]=1,[1]!T.in.A[[#This Row],[oo10]],"")</f>
        <v/>
      </c>
      <c r="AF1035" s="118" t="str">
        <f>IF(Tab.o1[[#This Row],[a1]]=1,ABS(Tab.o1[[#This Row],[DIF_Target.]]*Tab.o1[[#This Row],[PDF2]]*Tab.o1[[#This Row],[IN]]),"")</f>
        <v/>
      </c>
      <c r="AG1035" s="129" t="str">
        <f>IF(Tab.o1[[#This Row],[a1]]=1,Tab.o1[[#This Row],[rW]]^2,"")</f>
        <v/>
      </c>
      <c r="AH1035" s="130" t="str">
        <f>IF(Tab.o1[[#This Row],[a1]]=1,IF(AH$3=0,Tab.o1[[#This Row],[rW2]],0.01+0.94*Tab.o1[[#This Row],[rW2]]/SUM(Tab.o1[rW2])),"")</f>
        <v/>
      </c>
      <c r="AI1035" s="128" t="str">
        <f>IF(Tab.o1[[#This Row],[a1]]=1,1/Tab.o1[[#This Row],[PDF]],"")</f>
        <v/>
      </c>
      <c r="AJ1035" s="131" t="str">
        <f>IF(Tab.o1[[#This Row],[a1]]=1,[1]!T_AA[[#This Row],[IN'']]*[1]!T_AA[[#This Row],[Qde'']],"")</f>
        <v/>
      </c>
      <c r="AK1035" s="132" t="str">
        <f>IF(Tab.o1[[#This Row],[a1]]=1,IF(AK$1=1,Tab.o1[[#This Row],[MED]]+Tab.o1[[#This Row],[MOD]]-Tab.o1[[#This Row],[MED]],""),"")</f>
        <v/>
      </c>
      <c r="AL1035" s="133" t="str">
        <f>IF(Tab.o1[[#This Row],[a1]]=1,[1]!T.in.A[[#This Row],[oo16]],"")</f>
        <v/>
      </c>
      <c r="AM1035" s="133" t="str">
        <f>IF(Tab.o1[[#This Row],[a1]]=1,IF(AM$3=1,[1]!T.in.A[[#This Row],[Σo16]],""),"")</f>
        <v/>
      </c>
      <c r="AN1035" s="126" t="str">
        <f>IF(Tab.o1[[#This Row],[a1]]=1,[1]!T.in.A[[#This Row],[Σp5]],"")</f>
        <v/>
      </c>
      <c r="AO1035" s="126" t="str">
        <f>IF(Tab.o1[[#This Row],[a1]]=1,IF(AO$3=1,[1]!T.in.A[[#This Row],[Σp5]],""),"")</f>
        <v/>
      </c>
      <c r="AP1035" s="110" t="str">
        <f>IF(Tab.o1[[#This Row],[a1]]=1,IF(ISNUMBER(Tab.o1[[#This Row],[i.]]),NORMDIST(Tab.o1[[#This Row],[Za]],0,1,FALSE)*Tab.o1[[#This Row],[i.]],0),"")</f>
        <v/>
      </c>
      <c r="AQ1035" s="125" t="str">
        <f>IF(Tab.o1[[#This Row],[a1]]=1,ABS(Tab.o1[[#This Row],[MOD]]-AVERAGE(Tab.o1[MOD])),"")</f>
        <v/>
      </c>
      <c r="AR1035" s="134" t="str">
        <f>IF(Tab.o1[[#This Row],[a1]]=1,Tab.o1[[#This Row],[OBS]]/SUM(Tab.o1[OBS]),"")</f>
        <v/>
      </c>
      <c r="AS1035" s="135" t="str">
        <f>IF(ISNUMBER(Tab.o1[[#This Row],[a1]]),ROW()-4,"")</f>
        <v/>
      </c>
      <c r="AT1035" s="136" t="str">
        <f>Tab.o1[[#This Row],[MOD]]</f>
        <v/>
      </c>
      <c r="AU1035" s="137" t="str">
        <f t="shared" si="65"/>
        <v/>
      </c>
      <c r="AV1035" s="138" t="str">
        <f t="shared" si="66"/>
        <v/>
      </c>
      <c r="AW1035" s="138" t="str">
        <f t="shared" si="67"/>
        <v/>
      </c>
      <c r="AX1035" s="139" t="str">
        <f>[1]!T.in.A[[#This Row],[ID_T_manu]]</f>
        <v/>
      </c>
      <c r="AY1035" s="140" t="str">
        <f>IF(ISNUMBER(Tab.o1[[#This Row],[a1]]),IF(AND(Tab.o1[[#This Row],[a1]]=1,Tab.o1[[#This Row],[b1]]&lt;=AY$4),#REF!,AY1034),"")</f>
        <v/>
      </c>
      <c r="AZ1035" s="25"/>
      <c r="BA1035" s="25"/>
      <c r="BB1035" s="25"/>
      <c r="BC1035" s="25"/>
      <c r="BD1035" s="25"/>
      <c r="BE1035" s="25"/>
      <c r="BF1035" s="25"/>
      <c r="BG1035" s="25"/>
      <c r="BH1035" s="25"/>
      <c r="BI1035" s="25"/>
      <c r="BJ1035" s="25"/>
      <c r="BK1035" s="25"/>
      <c r="BL1035" s="25"/>
      <c r="BM1035" s="25"/>
      <c r="BN1035" s="26"/>
      <c r="BO1035" s="26"/>
      <c r="BP1035" s="26"/>
      <c r="BQ1035" s="26"/>
      <c r="BR1035" s="26"/>
      <c r="BS1035" s="26"/>
      <c r="BT1035" s="26"/>
      <c r="BU1035" s="26"/>
      <c r="BV1035" s="26"/>
      <c r="BW1035" s="26"/>
      <c r="BX1035" s="26"/>
      <c r="BY1035" s="26"/>
      <c r="BZ1035" s="26"/>
      <c r="CA1035" s="26"/>
    </row>
    <row r="1036" spans="1:79" ht="15.75" hidden="1">
      <c r="A1036" s="109">
        <v>-9.0000000000000002E-6</v>
      </c>
      <c r="B1036" s="110">
        <f t="shared" si="64"/>
        <v>1036</v>
      </c>
      <c r="C1036" s="111" t="str">
        <f>IF(C$1=[1]!T.in.A[[#This Row],[oo2]],1,"")</f>
        <v/>
      </c>
      <c r="D1036" s="112" t="str">
        <f>IF(Tab.o1[[#This Row],[a1]]=1,IF(SUM(C1036:C1037)=0,0,IF(SUM(C1035:C1036)=1,1,IF(SUM(C1035:C1037)&gt;1,D1035+1,0))),"")</f>
        <v/>
      </c>
      <c r="E1036" s="113" t="str">
        <f>IF(Tab.o1[[#This Row],[a1]]=1,[1]!T.in.A[[#This Row],[oo1]],"")</f>
        <v/>
      </c>
      <c r="F1036" s="113" t="str">
        <f>IF(Tab.o1[[#This Row],[a1]]=1,[1]!T.in.A[[#This Row],[pp1]],"")</f>
        <v/>
      </c>
      <c r="G1036" s="114" t="str">
        <f>IF(Tab.o1[[#This Row],[a1]]=1,G$2+IF(G$1=1,0,Tab.o1[[#This Row],[.x1]])+[1]!T.in.A[[#This Row],[oo3]],"")</f>
        <v/>
      </c>
      <c r="H1036" s="115" t="str">
        <f>IF(Tab.o1[[#This Row],[a1]]=1,IF(H$2=0,0,IF(G$1=1,0,Tab.o1[[#This Row],[.x1]])+[1]!T.in.A[[#This Row],[oo4]]),"")</f>
        <v/>
      </c>
      <c r="I1036" s="116" t="str">
        <f>IF(Tab.o1[[#This Row],[a1]]=1,IF(J$2=0,Tab.o1[[#This Row],[MED]],Tab.o1[[#This Row],[MOD]]),"")</f>
        <v/>
      </c>
      <c r="J1036" s="116" t="str">
        <f>IF(Tab.o1[[#This Row],[a1]]=1,((Tab.o1[[#This Row],[DIF_Target.]]-AVERAGE(Tab.o1[DIF_Target.]))/_xlfn.STDEV.P(Tab.o1[DIF_Target.])),"")</f>
        <v/>
      </c>
      <c r="K1036" s="117" t="str">
        <f>IF(Tab.o1[[#This Row],[a1]]=1,IF(J$2=0,Tab.o1[[#This Row],[MOD]]-Tab.o1[[#This Row],[B]],IF(J$2=1,0,-Tab.o1[[#This Row],[MED]])+Tab.o1[[#This Row],[B]]),"")</f>
        <v/>
      </c>
      <c r="L1036" s="117" t="str">
        <f ca="1">IF(Tab.o1[[#This Row],[DIF_Target]]=0,IF(L$2=0,Tab.o1[[#This Row],[DIF_Target]],AVERAGE(OFFSET(Tab.o1[[#This Row],[DIF_Target]],1,0,L$3,1)))/3,Tab.o1[[#This Row],[DIF_Target]])</f>
        <v/>
      </c>
      <c r="M1036" s="118" t="str">
        <f>IF(Tab.o1[[#This Row],[a1]]=1,NORMSDIST(Tab.o1[[#This Row],[Za]]),"")</f>
        <v/>
      </c>
      <c r="N1036" s="119" t="str">
        <f>IF(Tab.o1[[#This Row],[a1]]=1,((Tab.o1[[#This Row],[MedMod]]-AVERAGE(Tab.o1[MedMod]))/_xlfn.STDEV.P(Tab.o1[MedMod])*H$1205)+G$1205,"")</f>
        <v/>
      </c>
      <c r="O1036" s="141" t="str">
        <f>IF(Tab.o1[[#This Row],[a1]]=1,Tab.o1[[#This Row],[Zb]]*_xlfn.STDEV.P(Tab.o1[MedMod])+AVERAGE(Tab.o1[MedMod]),"")</f>
        <v/>
      </c>
      <c r="P1036" s="117" t="str">
        <f ca="1">IF(Tab.o1[[#This Row],[B]]=0,AVERAGE(OFFSET(Tab.o1[[#This Row],[B]],1,0,L$3,1)),Tab.o1[[#This Row],[B]])</f>
        <v/>
      </c>
      <c r="Q1036" s="121" t="str">
        <f>IF(Tab.o1[[#This Row],[a1]]=1,NORMSDIST(Tab.o1[[#This Row],[Zb]]),"")</f>
        <v/>
      </c>
      <c r="R1036" s="122" t="str">
        <f>IF(Tab.o1[[#This Row],[a1]]=1,((Tab.o1[[#This Row],[MedMod]]-AVERAGE(Tab.o1[MedMod]))/_xlfn.STDEV.P(Tab.o1[MedMod])*H$1203)+G$1203,"")</f>
        <v/>
      </c>
      <c r="S1036" s="122" t="str">
        <f>IF(Tab.o1[[#This Row],[a1]]=1,((Tab.o1[[#This Row],[MedMod]]-AVERAGE(Tab.o1[MedMod]))/_xlfn.STDEV.P(Tab.o1[MedMod])*H$1204)+G$1204,"")</f>
        <v/>
      </c>
      <c r="T1036" s="123" t="str">
        <f>IF(Tab.o1[[#This Row],[a1]]=1,Tab.o1[[#This Row],[Z-]]*_xlfn.STDEV.P(Tab.o1[B])+AVERAGE(Tab.o1[B]),"")</f>
        <v/>
      </c>
      <c r="U1036" s="123" t="str">
        <f>IF(Tab.o1[[#This Row],[a1]]=1,Tab.o1[[#This Row],[z+]]*_xlfn.STDEV.P(Tab.o1[B])+AVERAGE(Tab.o1[B]),"")</f>
        <v/>
      </c>
      <c r="V1036" s="124" t="str">
        <f>IF(Tab.o1[[#This Row],[a1]]=1,ABS((ABS(Tab.o1[[#This Row],[Red]]-Tab.o1[[#This Row],[Blue]]))),"")</f>
        <v/>
      </c>
      <c r="W1036" s="125" t="str">
        <f>IF(Tab.o1[[#This Row],[a1]]=1,IF(W$3=0,1,Tab.o1[[#This Row],[Amp.]]*1/_xlfn.MINIFS(Tab.o1[Amp.],Tab.o1[Amp.],"&lt;&gt;0")),"")</f>
        <v/>
      </c>
      <c r="X1036" s="126" t="str">
        <f>IF(Tab.o1[[#This Row],[a1]]=1,IF(ISNUMBER(Tab.o1[[#This Row],[i.]]),NORMDIST(Tab.o1[[#This Row],[Za]],0,1,FALSE)*Tab.o1[[#This Row],[i.]],AP$3),"")</f>
        <v/>
      </c>
      <c r="Y1036" s="126" t="str">
        <f>IF(Tab.o1[[#This Row],[a1]]=1,0.01+0.94*Tab.o1[[#This Row],[PDF]]/MAX(Tab.o1[PDF]),"")</f>
        <v/>
      </c>
      <c r="Z1036" s="126" t="str">
        <f>IF(Tab.o1[[#This Row],[a1]]=1,0.01+0.94*Tab.o1[[#This Row],[W1_PDF]]/MAX(Tab.o1[W1_PDF]),"")</f>
        <v/>
      </c>
      <c r="AA1036" s="118" t="str">
        <f>IF(Tab.o1[[#This Row],[a1]]=1,ABS([1]!T.in.A[[#This Row],[oo6]]),"")</f>
        <v/>
      </c>
      <c r="AB1036" s="127" t="str">
        <f>IF(Tab.o1[[#This Row],[a1]]=1,IF(AE$3=0,"",IF(AB$3=0,ABS([1]!T.in.A[[#This Row],[oo9]]),ABS(Tab.o1[[#This Row],[DIF_Target.]]*Tab.o1[[#This Row],[W1_PDF]]))),"")</f>
        <v/>
      </c>
      <c r="AC1036" s="127" t="str">
        <f>IF(G$1=1,"",IF(Tab.o1[[#This Row],[a1]]=1,Tab.o1[[#This Row],[Wr]]^2,""))</f>
        <v/>
      </c>
      <c r="AD1036" s="118" t="str">
        <f>IF(Tab.o1[[#This Row],[a1]]=1,IF(AE$3=0,"",Tab.o1[[#This Row],[Wr2]]/SUM(Tab.o1[Wr2])),"")</f>
        <v/>
      </c>
      <c r="AE1036" s="128" t="str">
        <f>IF(Tab.o1[[#This Row],[a1]]=1,[1]!T.in.A[[#This Row],[oo10]],"")</f>
        <v/>
      </c>
      <c r="AF1036" s="118" t="str">
        <f>IF(Tab.o1[[#This Row],[a1]]=1,ABS(Tab.o1[[#This Row],[DIF_Target.]]*Tab.o1[[#This Row],[PDF2]]*Tab.o1[[#This Row],[IN]]),"")</f>
        <v/>
      </c>
      <c r="AG1036" s="129" t="str">
        <f>IF(Tab.o1[[#This Row],[a1]]=1,Tab.o1[[#This Row],[rW]]^2,"")</f>
        <v/>
      </c>
      <c r="AH1036" s="130" t="str">
        <f>IF(Tab.o1[[#This Row],[a1]]=1,IF(AH$3=0,Tab.o1[[#This Row],[rW2]],0.01+0.94*Tab.o1[[#This Row],[rW2]]/SUM(Tab.o1[rW2])),"")</f>
        <v/>
      </c>
      <c r="AI1036" s="128" t="str">
        <f>IF(Tab.o1[[#This Row],[a1]]=1,1/Tab.o1[[#This Row],[PDF]],"")</f>
        <v/>
      </c>
      <c r="AJ1036" s="131" t="str">
        <f>IF(Tab.o1[[#This Row],[a1]]=1,[1]!T_AA[[#This Row],[IN'']]*[1]!T_AA[[#This Row],[Qde'']],"")</f>
        <v/>
      </c>
      <c r="AK1036" s="132" t="str">
        <f>IF(Tab.o1[[#This Row],[a1]]=1,IF(AK$1=1,Tab.o1[[#This Row],[MED]]+Tab.o1[[#This Row],[MOD]]-Tab.o1[[#This Row],[MED]],""),"")</f>
        <v/>
      </c>
      <c r="AL1036" s="133" t="str">
        <f>IF(Tab.o1[[#This Row],[a1]]=1,[1]!T.in.A[[#This Row],[oo16]],"")</f>
        <v/>
      </c>
      <c r="AM1036" s="133" t="str">
        <f>IF(Tab.o1[[#This Row],[a1]]=1,IF(AM$3=1,[1]!T.in.A[[#This Row],[Σo16]],""),"")</f>
        <v/>
      </c>
      <c r="AN1036" s="126" t="str">
        <f>IF(Tab.o1[[#This Row],[a1]]=1,[1]!T.in.A[[#This Row],[Σp5]],"")</f>
        <v/>
      </c>
      <c r="AO1036" s="126" t="str">
        <f>IF(Tab.o1[[#This Row],[a1]]=1,IF(AO$3=1,[1]!T.in.A[[#This Row],[Σp5]],""),"")</f>
        <v/>
      </c>
      <c r="AP1036" s="110" t="str">
        <f>IF(Tab.o1[[#This Row],[a1]]=1,IF(ISNUMBER(Tab.o1[[#This Row],[i.]]),NORMDIST(Tab.o1[[#This Row],[Za]],0,1,FALSE)*Tab.o1[[#This Row],[i.]],0),"")</f>
        <v/>
      </c>
      <c r="AQ1036" s="125" t="str">
        <f>IF(Tab.o1[[#This Row],[a1]]=1,ABS(Tab.o1[[#This Row],[MOD]]-AVERAGE(Tab.o1[MOD])),"")</f>
        <v/>
      </c>
      <c r="AR1036" s="134" t="str">
        <f>IF(Tab.o1[[#This Row],[a1]]=1,Tab.o1[[#This Row],[OBS]]/SUM(Tab.o1[OBS]),"")</f>
        <v/>
      </c>
      <c r="AS1036" s="135" t="str">
        <f>IF(ISNUMBER(Tab.o1[[#This Row],[a1]]),ROW()-4,"")</f>
        <v/>
      </c>
      <c r="AT1036" s="136" t="str">
        <f>Tab.o1[[#This Row],[MOD]]</f>
        <v/>
      </c>
      <c r="AU1036" s="137" t="str">
        <f t="shared" si="65"/>
        <v/>
      </c>
      <c r="AV1036" s="138" t="str">
        <f t="shared" si="66"/>
        <v/>
      </c>
      <c r="AW1036" s="138" t="str">
        <f t="shared" si="67"/>
        <v/>
      </c>
      <c r="AX1036" s="139" t="str">
        <f>[1]!T.in.A[[#This Row],[ID_T_manu]]</f>
        <v/>
      </c>
      <c r="AY1036" s="140" t="str">
        <f>IF(ISNUMBER(Tab.o1[[#This Row],[a1]]),IF(AND(Tab.o1[[#This Row],[a1]]=1,Tab.o1[[#This Row],[b1]]&lt;=AY$4),#REF!,AY1035),"")</f>
        <v/>
      </c>
      <c r="AZ1036" s="25"/>
      <c r="BA1036" s="25"/>
      <c r="BB1036" s="25"/>
      <c r="BC1036" s="25"/>
      <c r="BD1036" s="25"/>
      <c r="BE1036" s="25"/>
      <c r="BF1036" s="25"/>
      <c r="BG1036" s="25"/>
      <c r="BH1036" s="25"/>
      <c r="BI1036" s="25"/>
      <c r="BJ1036" s="25"/>
      <c r="BK1036" s="25"/>
      <c r="BL1036" s="25"/>
      <c r="BM1036" s="25"/>
      <c r="BN1036" s="26"/>
      <c r="BO1036" s="26"/>
      <c r="BP1036" s="26"/>
      <c r="BQ1036" s="26"/>
      <c r="BR1036" s="26"/>
      <c r="BS1036" s="26"/>
      <c r="BT1036" s="26"/>
      <c r="BU1036" s="26"/>
      <c r="BV1036" s="26"/>
      <c r="BW1036" s="26"/>
      <c r="BX1036" s="26"/>
      <c r="BY1036" s="26"/>
      <c r="BZ1036" s="26"/>
      <c r="CA1036" s="26"/>
    </row>
    <row r="1037" spans="1:79" ht="15.75" hidden="1">
      <c r="A1037" s="109">
        <v>2.0000000000000003E-6</v>
      </c>
      <c r="B1037" s="110">
        <f t="shared" si="64"/>
        <v>1037</v>
      </c>
      <c r="C1037" s="111" t="str">
        <f>IF(C$1=[1]!T.in.A[[#This Row],[oo2]],1,"")</f>
        <v/>
      </c>
      <c r="D1037" s="112" t="str">
        <f>IF(Tab.o1[[#This Row],[a1]]=1,IF(SUM(C1037:C1038)=0,0,IF(SUM(C1036:C1037)=1,1,IF(SUM(C1036:C1038)&gt;1,D1036+1,0))),"")</f>
        <v/>
      </c>
      <c r="E1037" s="113" t="str">
        <f>IF(Tab.o1[[#This Row],[a1]]=1,[1]!T.in.A[[#This Row],[oo1]],"")</f>
        <v/>
      </c>
      <c r="F1037" s="113" t="str">
        <f>IF(Tab.o1[[#This Row],[a1]]=1,[1]!T.in.A[[#This Row],[pp1]],"")</f>
        <v/>
      </c>
      <c r="G1037" s="114" t="str">
        <f>IF(Tab.o1[[#This Row],[a1]]=1,G$2+IF(G$1=1,0,Tab.o1[[#This Row],[.x1]])+[1]!T.in.A[[#This Row],[oo3]],"")</f>
        <v/>
      </c>
      <c r="H1037" s="115" t="str">
        <f>IF(Tab.o1[[#This Row],[a1]]=1,IF(H$2=0,0,IF(G$1=1,0,Tab.o1[[#This Row],[.x1]])+[1]!T.in.A[[#This Row],[oo4]]),"")</f>
        <v/>
      </c>
      <c r="I1037" s="116" t="str">
        <f>IF(Tab.o1[[#This Row],[a1]]=1,IF(J$2=0,Tab.o1[[#This Row],[MED]],Tab.o1[[#This Row],[MOD]]),"")</f>
        <v/>
      </c>
      <c r="J1037" s="116" t="str">
        <f>IF(Tab.o1[[#This Row],[a1]]=1,((Tab.o1[[#This Row],[DIF_Target.]]-AVERAGE(Tab.o1[DIF_Target.]))/_xlfn.STDEV.P(Tab.o1[DIF_Target.])),"")</f>
        <v/>
      </c>
      <c r="K1037" s="117" t="str">
        <f>IF(Tab.o1[[#This Row],[a1]]=1,IF(J$2=0,Tab.o1[[#This Row],[MOD]]-Tab.o1[[#This Row],[B]],IF(J$2=1,0,-Tab.o1[[#This Row],[MED]])+Tab.o1[[#This Row],[B]]),"")</f>
        <v/>
      </c>
      <c r="L1037" s="117" t="str">
        <f ca="1">IF(Tab.o1[[#This Row],[DIF_Target]]=0,IF(L$2=0,Tab.o1[[#This Row],[DIF_Target]],AVERAGE(OFFSET(Tab.o1[[#This Row],[DIF_Target]],1,0,L$3,1)))/3,Tab.o1[[#This Row],[DIF_Target]])</f>
        <v/>
      </c>
      <c r="M1037" s="118" t="str">
        <f>IF(Tab.o1[[#This Row],[a1]]=1,NORMSDIST(Tab.o1[[#This Row],[Za]]),"")</f>
        <v/>
      </c>
      <c r="N1037" s="119" t="str">
        <f>IF(Tab.o1[[#This Row],[a1]]=1,((Tab.o1[[#This Row],[MedMod]]-AVERAGE(Tab.o1[MedMod]))/_xlfn.STDEV.P(Tab.o1[MedMod])*H$1205)+G$1205,"")</f>
        <v/>
      </c>
      <c r="O1037" s="141" t="str">
        <f>IF(Tab.o1[[#This Row],[a1]]=1,Tab.o1[[#This Row],[Zb]]*_xlfn.STDEV.P(Tab.o1[MedMod])+AVERAGE(Tab.o1[MedMod]),"")</f>
        <v/>
      </c>
      <c r="P1037" s="117" t="str">
        <f ca="1">IF(Tab.o1[[#This Row],[B]]=0,AVERAGE(OFFSET(Tab.o1[[#This Row],[B]],1,0,L$3,1)),Tab.o1[[#This Row],[B]])</f>
        <v/>
      </c>
      <c r="Q1037" s="121" t="str">
        <f>IF(Tab.o1[[#This Row],[a1]]=1,NORMSDIST(Tab.o1[[#This Row],[Zb]]),"")</f>
        <v/>
      </c>
      <c r="R1037" s="122" t="str">
        <f>IF(Tab.o1[[#This Row],[a1]]=1,((Tab.o1[[#This Row],[MedMod]]-AVERAGE(Tab.o1[MedMod]))/_xlfn.STDEV.P(Tab.o1[MedMod])*H$1203)+G$1203,"")</f>
        <v/>
      </c>
      <c r="S1037" s="122" t="str">
        <f>IF(Tab.o1[[#This Row],[a1]]=1,((Tab.o1[[#This Row],[MedMod]]-AVERAGE(Tab.o1[MedMod]))/_xlfn.STDEV.P(Tab.o1[MedMod])*H$1204)+G$1204,"")</f>
        <v/>
      </c>
      <c r="T1037" s="123" t="str">
        <f>IF(Tab.o1[[#This Row],[a1]]=1,Tab.o1[[#This Row],[Z-]]*_xlfn.STDEV.P(Tab.o1[B])+AVERAGE(Tab.o1[B]),"")</f>
        <v/>
      </c>
      <c r="U1037" s="123" t="str">
        <f>IF(Tab.o1[[#This Row],[a1]]=1,Tab.o1[[#This Row],[z+]]*_xlfn.STDEV.P(Tab.o1[B])+AVERAGE(Tab.o1[B]),"")</f>
        <v/>
      </c>
      <c r="V1037" s="124" t="str">
        <f>IF(Tab.o1[[#This Row],[a1]]=1,ABS((ABS(Tab.o1[[#This Row],[Red]]-Tab.o1[[#This Row],[Blue]]))),"")</f>
        <v/>
      </c>
      <c r="W1037" s="125" t="str">
        <f>IF(Tab.o1[[#This Row],[a1]]=1,IF(W$3=0,1,Tab.o1[[#This Row],[Amp.]]*1/_xlfn.MINIFS(Tab.o1[Amp.],Tab.o1[Amp.],"&lt;&gt;0")),"")</f>
        <v/>
      </c>
      <c r="X1037" s="126" t="str">
        <f>IF(Tab.o1[[#This Row],[a1]]=1,IF(ISNUMBER(Tab.o1[[#This Row],[i.]]),NORMDIST(Tab.o1[[#This Row],[Za]],0,1,FALSE)*Tab.o1[[#This Row],[i.]],AP$3),"")</f>
        <v/>
      </c>
      <c r="Y1037" s="126" t="str">
        <f>IF(Tab.o1[[#This Row],[a1]]=1,0.01+0.94*Tab.o1[[#This Row],[PDF]]/MAX(Tab.o1[PDF]),"")</f>
        <v/>
      </c>
      <c r="Z1037" s="126" t="str">
        <f>IF(Tab.o1[[#This Row],[a1]]=1,0.01+0.94*Tab.o1[[#This Row],[W1_PDF]]/MAX(Tab.o1[W1_PDF]),"")</f>
        <v/>
      </c>
      <c r="AA1037" s="118" t="str">
        <f>IF(Tab.o1[[#This Row],[a1]]=1,ABS([1]!T.in.A[[#This Row],[oo6]]),"")</f>
        <v/>
      </c>
      <c r="AB1037" s="127" t="str">
        <f>IF(Tab.o1[[#This Row],[a1]]=1,IF(AE$3=0,"",IF(AB$3=0,ABS([1]!T.in.A[[#This Row],[oo9]]),ABS(Tab.o1[[#This Row],[DIF_Target.]]*Tab.o1[[#This Row],[W1_PDF]]))),"")</f>
        <v/>
      </c>
      <c r="AC1037" s="127" t="str">
        <f>IF(G$1=1,"",IF(Tab.o1[[#This Row],[a1]]=1,Tab.o1[[#This Row],[Wr]]^2,""))</f>
        <v/>
      </c>
      <c r="AD1037" s="118" t="str">
        <f>IF(Tab.o1[[#This Row],[a1]]=1,IF(AE$3=0,"",Tab.o1[[#This Row],[Wr2]]/SUM(Tab.o1[Wr2])),"")</f>
        <v/>
      </c>
      <c r="AE1037" s="128" t="str">
        <f>IF(Tab.o1[[#This Row],[a1]]=1,[1]!T.in.A[[#This Row],[oo10]],"")</f>
        <v/>
      </c>
      <c r="AF1037" s="118" t="str">
        <f>IF(Tab.o1[[#This Row],[a1]]=1,ABS(Tab.o1[[#This Row],[DIF_Target.]]*Tab.o1[[#This Row],[PDF2]]*Tab.o1[[#This Row],[IN]]),"")</f>
        <v/>
      </c>
      <c r="AG1037" s="129" t="str">
        <f>IF(Tab.o1[[#This Row],[a1]]=1,Tab.o1[[#This Row],[rW]]^2,"")</f>
        <v/>
      </c>
      <c r="AH1037" s="130" t="str">
        <f>IF(Tab.o1[[#This Row],[a1]]=1,IF(AH$3=0,Tab.o1[[#This Row],[rW2]],0.01+0.94*Tab.o1[[#This Row],[rW2]]/SUM(Tab.o1[rW2])),"")</f>
        <v/>
      </c>
      <c r="AI1037" s="128" t="str">
        <f>IF(Tab.o1[[#This Row],[a1]]=1,1/Tab.o1[[#This Row],[PDF]],"")</f>
        <v/>
      </c>
      <c r="AJ1037" s="131" t="str">
        <f>IF(Tab.o1[[#This Row],[a1]]=1,[1]!T_AA[[#This Row],[IN'']]*[1]!T_AA[[#This Row],[Qde'']],"")</f>
        <v/>
      </c>
      <c r="AK1037" s="132" t="str">
        <f>IF(Tab.o1[[#This Row],[a1]]=1,IF(AK$1=1,Tab.o1[[#This Row],[MED]]+Tab.o1[[#This Row],[MOD]]-Tab.o1[[#This Row],[MED]],""),"")</f>
        <v/>
      </c>
      <c r="AL1037" s="133" t="str">
        <f>IF(Tab.o1[[#This Row],[a1]]=1,[1]!T.in.A[[#This Row],[oo16]],"")</f>
        <v/>
      </c>
      <c r="AM1037" s="133" t="str">
        <f>IF(Tab.o1[[#This Row],[a1]]=1,IF(AM$3=1,[1]!T.in.A[[#This Row],[Σo16]],""),"")</f>
        <v/>
      </c>
      <c r="AN1037" s="126" t="str">
        <f>IF(Tab.o1[[#This Row],[a1]]=1,[1]!T.in.A[[#This Row],[Σp5]],"")</f>
        <v/>
      </c>
      <c r="AO1037" s="126" t="str">
        <f>IF(Tab.o1[[#This Row],[a1]]=1,IF(AO$3=1,[1]!T.in.A[[#This Row],[Σp5]],""),"")</f>
        <v/>
      </c>
      <c r="AP1037" s="110" t="str">
        <f>IF(Tab.o1[[#This Row],[a1]]=1,IF(ISNUMBER(Tab.o1[[#This Row],[i.]]),NORMDIST(Tab.o1[[#This Row],[Za]],0,1,FALSE)*Tab.o1[[#This Row],[i.]],0),"")</f>
        <v/>
      </c>
      <c r="AQ1037" s="125" t="str">
        <f>IF(Tab.o1[[#This Row],[a1]]=1,ABS(Tab.o1[[#This Row],[MOD]]-AVERAGE(Tab.o1[MOD])),"")</f>
        <v/>
      </c>
      <c r="AR1037" s="134" t="str">
        <f>IF(Tab.o1[[#This Row],[a1]]=1,Tab.o1[[#This Row],[OBS]]/SUM(Tab.o1[OBS]),"")</f>
        <v/>
      </c>
      <c r="AS1037" s="135" t="str">
        <f>IF(ISNUMBER(Tab.o1[[#This Row],[a1]]),ROW()-4,"")</f>
        <v/>
      </c>
      <c r="AT1037" s="136" t="str">
        <f>Tab.o1[[#This Row],[MOD]]</f>
        <v/>
      </c>
      <c r="AU1037" s="137" t="str">
        <f t="shared" si="65"/>
        <v/>
      </c>
      <c r="AV1037" s="138" t="str">
        <f t="shared" si="66"/>
        <v/>
      </c>
      <c r="AW1037" s="138" t="str">
        <f t="shared" si="67"/>
        <v/>
      </c>
      <c r="AX1037" s="139" t="str">
        <f>[1]!T.in.A[[#This Row],[ID_T_manu]]</f>
        <v/>
      </c>
      <c r="AY1037" s="140" t="str">
        <f>IF(ISNUMBER(Tab.o1[[#This Row],[a1]]),IF(AND(Tab.o1[[#This Row],[a1]]=1,Tab.o1[[#This Row],[b1]]&lt;=AY$4),#REF!,AY1036),"")</f>
        <v/>
      </c>
      <c r="AZ1037" s="25"/>
      <c r="BA1037" s="25"/>
      <c r="BB1037" s="25"/>
      <c r="BC1037" s="25"/>
      <c r="BD1037" s="25"/>
      <c r="BE1037" s="25"/>
      <c r="BF1037" s="25"/>
      <c r="BG1037" s="25"/>
      <c r="BH1037" s="25"/>
      <c r="BI1037" s="25"/>
      <c r="BJ1037" s="25"/>
      <c r="BK1037" s="25"/>
      <c r="BL1037" s="25"/>
      <c r="BM1037" s="25"/>
      <c r="BN1037" s="26"/>
      <c r="BO1037" s="26"/>
      <c r="BP1037" s="26"/>
      <c r="BQ1037" s="26"/>
      <c r="BR1037" s="26"/>
      <c r="BS1037" s="26"/>
      <c r="BT1037" s="26"/>
      <c r="BU1037" s="26"/>
      <c r="BV1037" s="26"/>
      <c r="BW1037" s="26"/>
      <c r="BX1037" s="26"/>
      <c r="BY1037" s="26"/>
      <c r="BZ1037" s="26"/>
      <c r="CA1037" s="26"/>
    </row>
    <row r="1038" spans="1:79" ht="15.75" hidden="1">
      <c r="A1038" s="109">
        <v>-2.0000000000000003E-6</v>
      </c>
      <c r="B1038" s="110">
        <f t="shared" si="64"/>
        <v>1038</v>
      </c>
      <c r="C1038" s="111" t="str">
        <f>IF(C$1=[1]!T.in.A[[#This Row],[oo2]],1,"")</f>
        <v/>
      </c>
      <c r="D1038" s="112" t="str">
        <f>IF(Tab.o1[[#This Row],[a1]]=1,IF(SUM(C1038:C1039)=0,0,IF(SUM(C1037:C1038)=1,1,IF(SUM(C1037:C1039)&gt;1,D1037+1,0))),"")</f>
        <v/>
      </c>
      <c r="E1038" s="113" t="str">
        <f>IF(Tab.o1[[#This Row],[a1]]=1,[1]!T.in.A[[#This Row],[oo1]],"")</f>
        <v/>
      </c>
      <c r="F1038" s="113" t="str">
        <f>IF(Tab.o1[[#This Row],[a1]]=1,[1]!T.in.A[[#This Row],[pp1]],"")</f>
        <v/>
      </c>
      <c r="G1038" s="114" t="str">
        <f>IF(Tab.o1[[#This Row],[a1]]=1,G$2+IF(G$1=1,0,Tab.o1[[#This Row],[.x1]])+[1]!T.in.A[[#This Row],[oo3]],"")</f>
        <v/>
      </c>
      <c r="H1038" s="115" t="str">
        <f>IF(Tab.o1[[#This Row],[a1]]=1,IF(H$2=0,0,IF(G$1=1,0,Tab.o1[[#This Row],[.x1]])+[1]!T.in.A[[#This Row],[oo4]]),"")</f>
        <v/>
      </c>
      <c r="I1038" s="116" t="str">
        <f>IF(Tab.o1[[#This Row],[a1]]=1,IF(J$2=0,Tab.o1[[#This Row],[MED]],Tab.o1[[#This Row],[MOD]]),"")</f>
        <v/>
      </c>
      <c r="J1038" s="116" t="str">
        <f>IF(Tab.o1[[#This Row],[a1]]=1,((Tab.o1[[#This Row],[DIF_Target.]]-AVERAGE(Tab.o1[DIF_Target.]))/_xlfn.STDEV.P(Tab.o1[DIF_Target.])),"")</f>
        <v/>
      </c>
      <c r="K1038" s="117" t="str">
        <f>IF(Tab.o1[[#This Row],[a1]]=1,IF(J$2=0,Tab.o1[[#This Row],[MOD]]-Tab.o1[[#This Row],[B]],IF(J$2=1,0,-Tab.o1[[#This Row],[MED]])+Tab.o1[[#This Row],[B]]),"")</f>
        <v/>
      </c>
      <c r="L1038" s="117" t="str">
        <f ca="1">IF(Tab.o1[[#This Row],[DIF_Target]]=0,IF(L$2=0,Tab.o1[[#This Row],[DIF_Target]],AVERAGE(OFFSET(Tab.o1[[#This Row],[DIF_Target]],1,0,L$3,1)))/3,Tab.o1[[#This Row],[DIF_Target]])</f>
        <v/>
      </c>
      <c r="M1038" s="118" t="str">
        <f>IF(Tab.o1[[#This Row],[a1]]=1,NORMSDIST(Tab.o1[[#This Row],[Za]]),"")</f>
        <v/>
      </c>
      <c r="N1038" s="119" t="str">
        <f>IF(Tab.o1[[#This Row],[a1]]=1,((Tab.o1[[#This Row],[MedMod]]-AVERAGE(Tab.o1[MedMod]))/_xlfn.STDEV.P(Tab.o1[MedMod])*H$1205)+G$1205,"")</f>
        <v/>
      </c>
      <c r="O1038" s="141" t="str">
        <f>IF(Tab.o1[[#This Row],[a1]]=1,Tab.o1[[#This Row],[Zb]]*_xlfn.STDEV.P(Tab.o1[MedMod])+AVERAGE(Tab.o1[MedMod]),"")</f>
        <v/>
      </c>
      <c r="P1038" s="117" t="str">
        <f ca="1">IF(Tab.o1[[#This Row],[B]]=0,AVERAGE(OFFSET(Tab.o1[[#This Row],[B]],1,0,L$3,1)),Tab.o1[[#This Row],[B]])</f>
        <v/>
      </c>
      <c r="Q1038" s="121" t="str">
        <f>IF(Tab.o1[[#This Row],[a1]]=1,NORMSDIST(Tab.o1[[#This Row],[Zb]]),"")</f>
        <v/>
      </c>
      <c r="R1038" s="122" t="str">
        <f>IF(Tab.o1[[#This Row],[a1]]=1,((Tab.o1[[#This Row],[MedMod]]-AVERAGE(Tab.o1[MedMod]))/_xlfn.STDEV.P(Tab.o1[MedMod])*H$1203)+G$1203,"")</f>
        <v/>
      </c>
      <c r="S1038" s="122" t="str">
        <f>IF(Tab.o1[[#This Row],[a1]]=1,((Tab.o1[[#This Row],[MedMod]]-AVERAGE(Tab.o1[MedMod]))/_xlfn.STDEV.P(Tab.o1[MedMod])*H$1204)+G$1204,"")</f>
        <v/>
      </c>
      <c r="T1038" s="123" t="str">
        <f>IF(Tab.o1[[#This Row],[a1]]=1,Tab.o1[[#This Row],[Z-]]*_xlfn.STDEV.P(Tab.o1[B])+AVERAGE(Tab.o1[B]),"")</f>
        <v/>
      </c>
      <c r="U1038" s="123" t="str">
        <f>IF(Tab.o1[[#This Row],[a1]]=1,Tab.o1[[#This Row],[z+]]*_xlfn.STDEV.P(Tab.o1[B])+AVERAGE(Tab.o1[B]),"")</f>
        <v/>
      </c>
      <c r="V1038" s="124" t="str">
        <f>IF(Tab.o1[[#This Row],[a1]]=1,ABS((ABS(Tab.o1[[#This Row],[Red]]-Tab.o1[[#This Row],[Blue]]))),"")</f>
        <v/>
      </c>
      <c r="W1038" s="125" t="str">
        <f>IF(Tab.o1[[#This Row],[a1]]=1,IF(W$3=0,1,Tab.o1[[#This Row],[Amp.]]*1/_xlfn.MINIFS(Tab.o1[Amp.],Tab.o1[Amp.],"&lt;&gt;0")),"")</f>
        <v/>
      </c>
      <c r="X1038" s="126" t="str">
        <f>IF(Tab.o1[[#This Row],[a1]]=1,IF(ISNUMBER(Tab.o1[[#This Row],[i.]]),NORMDIST(Tab.o1[[#This Row],[Za]],0,1,FALSE)*Tab.o1[[#This Row],[i.]],AP$3),"")</f>
        <v/>
      </c>
      <c r="Y1038" s="126" t="str">
        <f>IF(Tab.o1[[#This Row],[a1]]=1,0.01+0.94*Tab.o1[[#This Row],[PDF]]/MAX(Tab.o1[PDF]),"")</f>
        <v/>
      </c>
      <c r="Z1038" s="126" t="str">
        <f>IF(Tab.o1[[#This Row],[a1]]=1,0.01+0.94*Tab.o1[[#This Row],[W1_PDF]]/MAX(Tab.o1[W1_PDF]),"")</f>
        <v/>
      </c>
      <c r="AA1038" s="118" t="str">
        <f>IF(Tab.o1[[#This Row],[a1]]=1,ABS([1]!T.in.A[[#This Row],[oo6]]),"")</f>
        <v/>
      </c>
      <c r="AB1038" s="127" t="str">
        <f>IF(Tab.o1[[#This Row],[a1]]=1,IF(AE$3=0,"",IF(AB$3=0,ABS([1]!T.in.A[[#This Row],[oo9]]),ABS(Tab.o1[[#This Row],[DIF_Target.]]*Tab.o1[[#This Row],[W1_PDF]]))),"")</f>
        <v/>
      </c>
      <c r="AC1038" s="127" t="str">
        <f>IF(G$1=1,"",IF(Tab.o1[[#This Row],[a1]]=1,Tab.o1[[#This Row],[Wr]]^2,""))</f>
        <v/>
      </c>
      <c r="AD1038" s="118" t="str">
        <f>IF(Tab.o1[[#This Row],[a1]]=1,IF(AE$3=0,"",Tab.o1[[#This Row],[Wr2]]/SUM(Tab.o1[Wr2])),"")</f>
        <v/>
      </c>
      <c r="AE1038" s="128" t="str">
        <f>IF(Tab.o1[[#This Row],[a1]]=1,[1]!T.in.A[[#This Row],[oo10]],"")</f>
        <v/>
      </c>
      <c r="AF1038" s="118" t="str">
        <f>IF(Tab.o1[[#This Row],[a1]]=1,ABS(Tab.o1[[#This Row],[DIF_Target.]]*Tab.o1[[#This Row],[PDF2]]*Tab.o1[[#This Row],[IN]]),"")</f>
        <v/>
      </c>
      <c r="AG1038" s="129" t="str">
        <f>IF(Tab.o1[[#This Row],[a1]]=1,Tab.o1[[#This Row],[rW]]^2,"")</f>
        <v/>
      </c>
      <c r="AH1038" s="130" t="str">
        <f>IF(Tab.o1[[#This Row],[a1]]=1,IF(AH$3=0,Tab.o1[[#This Row],[rW2]],0.01+0.94*Tab.o1[[#This Row],[rW2]]/SUM(Tab.o1[rW2])),"")</f>
        <v/>
      </c>
      <c r="AI1038" s="128" t="str">
        <f>IF(Tab.o1[[#This Row],[a1]]=1,1/Tab.o1[[#This Row],[PDF]],"")</f>
        <v/>
      </c>
      <c r="AJ1038" s="131" t="str">
        <f>IF(Tab.o1[[#This Row],[a1]]=1,[1]!T_AA[[#This Row],[IN'']]*[1]!T_AA[[#This Row],[Qde'']],"")</f>
        <v/>
      </c>
      <c r="AK1038" s="132" t="str">
        <f>IF(Tab.o1[[#This Row],[a1]]=1,IF(AK$1=1,Tab.o1[[#This Row],[MED]]+Tab.o1[[#This Row],[MOD]]-Tab.o1[[#This Row],[MED]],""),"")</f>
        <v/>
      </c>
      <c r="AL1038" s="133" t="str">
        <f>IF(Tab.o1[[#This Row],[a1]]=1,[1]!T.in.A[[#This Row],[oo16]],"")</f>
        <v/>
      </c>
      <c r="AM1038" s="133" t="str">
        <f>IF(Tab.o1[[#This Row],[a1]]=1,IF(AM$3=1,[1]!T.in.A[[#This Row],[Σo16]],""),"")</f>
        <v/>
      </c>
      <c r="AN1038" s="126" t="str">
        <f>IF(Tab.o1[[#This Row],[a1]]=1,[1]!T.in.A[[#This Row],[Σp5]],"")</f>
        <v/>
      </c>
      <c r="AO1038" s="126" t="str">
        <f>IF(Tab.o1[[#This Row],[a1]]=1,IF(AO$3=1,[1]!T.in.A[[#This Row],[Σp5]],""),"")</f>
        <v/>
      </c>
      <c r="AP1038" s="110" t="str">
        <f>IF(Tab.o1[[#This Row],[a1]]=1,IF(ISNUMBER(Tab.o1[[#This Row],[i.]]),NORMDIST(Tab.o1[[#This Row],[Za]],0,1,FALSE)*Tab.o1[[#This Row],[i.]],0),"")</f>
        <v/>
      </c>
      <c r="AQ1038" s="125" t="str">
        <f>IF(Tab.o1[[#This Row],[a1]]=1,ABS(Tab.o1[[#This Row],[MOD]]-AVERAGE(Tab.o1[MOD])),"")</f>
        <v/>
      </c>
      <c r="AR1038" s="134" t="str">
        <f>IF(Tab.o1[[#This Row],[a1]]=1,Tab.o1[[#This Row],[OBS]]/SUM(Tab.o1[OBS]),"")</f>
        <v/>
      </c>
      <c r="AS1038" s="135" t="str">
        <f>IF(ISNUMBER(Tab.o1[[#This Row],[a1]]),ROW()-4,"")</f>
        <v/>
      </c>
      <c r="AT1038" s="136" t="str">
        <f>Tab.o1[[#This Row],[MOD]]</f>
        <v/>
      </c>
      <c r="AU1038" s="137" t="str">
        <f t="shared" si="65"/>
        <v/>
      </c>
      <c r="AV1038" s="138" t="str">
        <f t="shared" si="66"/>
        <v/>
      </c>
      <c r="AW1038" s="138" t="str">
        <f t="shared" si="67"/>
        <v/>
      </c>
      <c r="AX1038" s="139" t="str">
        <f>[1]!T.in.A[[#This Row],[ID_T_manu]]</f>
        <v/>
      </c>
      <c r="AY1038" s="140" t="str">
        <f>IF(ISNUMBER(Tab.o1[[#This Row],[a1]]),IF(AND(Tab.o1[[#This Row],[a1]]=1,Tab.o1[[#This Row],[b1]]&lt;=AY$4),#REF!,AY1037),"")</f>
        <v/>
      </c>
      <c r="AZ1038" s="25"/>
      <c r="BA1038" s="25"/>
      <c r="BB1038" s="25"/>
      <c r="BC1038" s="25"/>
      <c r="BD1038" s="25"/>
      <c r="BE1038" s="25"/>
      <c r="BF1038" s="25"/>
      <c r="BG1038" s="25"/>
      <c r="BH1038" s="25"/>
      <c r="BI1038" s="25"/>
      <c r="BJ1038" s="25"/>
      <c r="BK1038" s="25"/>
      <c r="BL1038" s="25"/>
      <c r="BM1038" s="25"/>
      <c r="BN1038" s="26"/>
      <c r="BO1038" s="26"/>
      <c r="BP1038" s="26"/>
      <c r="BQ1038" s="26"/>
      <c r="BR1038" s="26"/>
      <c r="BS1038" s="26"/>
      <c r="BT1038" s="26"/>
      <c r="BU1038" s="26"/>
      <c r="BV1038" s="26"/>
      <c r="BW1038" s="26"/>
      <c r="BX1038" s="26"/>
      <c r="BY1038" s="26"/>
      <c r="BZ1038" s="26"/>
      <c r="CA1038" s="26"/>
    </row>
    <row r="1039" spans="1:79" ht="15.75" hidden="1">
      <c r="A1039" s="109">
        <v>-6.9999999999999999E-6</v>
      </c>
      <c r="B1039" s="110">
        <f t="shared" si="64"/>
        <v>1039</v>
      </c>
      <c r="C1039" s="111" t="str">
        <f>IF(C$1=[1]!T.in.A[[#This Row],[oo2]],1,"")</f>
        <v/>
      </c>
      <c r="D1039" s="112" t="str">
        <f>IF(Tab.o1[[#This Row],[a1]]=1,IF(SUM(C1039:C1040)=0,0,IF(SUM(C1038:C1039)=1,1,IF(SUM(C1038:C1040)&gt;1,D1038+1,0))),"")</f>
        <v/>
      </c>
      <c r="E1039" s="113" t="str">
        <f>IF(Tab.o1[[#This Row],[a1]]=1,[1]!T.in.A[[#This Row],[oo1]],"")</f>
        <v/>
      </c>
      <c r="F1039" s="113" t="str">
        <f>IF(Tab.o1[[#This Row],[a1]]=1,[1]!T.in.A[[#This Row],[pp1]],"")</f>
        <v/>
      </c>
      <c r="G1039" s="114" t="str">
        <f>IF(Tab.o1[[#This Row],[a1]]=1,G$2+IF(G$1=1,0,Tab.o1[[#This Row],[.x1]])+[1]!T.in.A[[#This Row],[oo3]],"")</f>
        <v/>
      </c>
      <c r="H1039" s="115" t="str">
        <f>IF(Tab.o1[[#This Row],[a1]]=1,IF(H$2=0,0,IF(G$1=1,0,Tab.o1[[#This Row],[.x1]])+[1]!T.in.A[[#This Row],[oo4]]),"")</f>
        <v/>
      </c>
      <c r="I1039" s="116" t="str">
        <f>IF(Tab.o1[[#This Row],[a1]]=1,IF(J$2=0,Tab.o1[[#This Row],[MED]],Tab.o1[[#This Row],[MOD]]),"")</f>
        <v/>
      </c>
      <c r="J1039" s="116" t="str">
        <f>IF(Tab.o1[[#This Row],[a1]]=1,((Tab.o1[[#This Row],[DIF_Target.]]-AVERAGE(Tab.o1[DIF_Target.]))/_xlfn.STDEV.P(Tab.o1[DIF_Target.])),"")</f>
        <v/>
      </c>
      <c r="K1039" s="117" t="str">
        <f>IF(Tab.o1[[#This Row],[a1]]=1,IF(J$2=0,Tab.o1[[#This Row],[MOD]]-Tab.o1[[#This Row],[B]],IF(J$2=1,0,-Tab.o1[[#This Row],[MED]])+Tab.o1[[#This Row],[B]]),"")</f>
        <v/>
      </c>
      <c r="L1039" s="117" t="str">
        <f ca="1">IF(Tab.o1[[#This Row],[DIF_Target]]=0,IF(L$2=0,Tab.o1[[#This Row],[DIF_Target]],AVERAGE(OFFSET(Tab.o1[[#This Row],[DIF_Target]],1,0,L$3,1)))/3,Tab.o1[[#This Row],[DIF_Target]])</f>
        <v/>
      </c>
      <c r="M1039" s="118" t="str">
        <f>IF(Tab.o1[[#This Row],[a1]]=1,NORMSDIST(Tab.o1[[#This Row],[Za]]),"")</f>
        <v/>
      </c>
      <c r="N1039" s="119" t="str">
        <f>IF(Tab.o1[[#This Row],[a1]]=1,((Tab.o1[[#This Row],[MedMod]]-AVERAGE(Tab.o1[MedMod]))/_xlfn.STDEV.P(Tab.o1[MedMod])*H$1205)+G$1205,"")</f>
        <v/>
      </c>
      <c r="O1039" s="141" t="str">
        <f>IF(Tab.o1[[#This Row],[a1]]=1,Tab.o1[[#This Row],[Zb]]*_xlfn.STDEV.P(Tab.o1[MedMod])+AVERAGE(Tab.o1[MedMod]),"")</f>
        <v/>
      </c>
      <c r="P1039" s="117" t="str">
        <f ca="1">IF(Tab.o1[[#This Row],[B]]=0,AVERAGE(OFFSET(Tab.o1[[#This Row],[B]],1,0,L$3,1)),Tab.o1[[#This Row],[B]])</f>
        <v/>
      </c>
      <c r="Q1039" s="121" t="str">
        <f>IF(Tab.o1[[#This Row],[a1]]=1,NORMSDIST(Tab.o1[[#This Row],[Zb]]),"")</f>
        <v/>
      </c>
      <c r="R1039" s="122" t="str">
        <f>IF(Tab.o1[[#This Row],[a1]]=1,((Tab.o1[[#This Row],[MedMod]]-AVERAGE(Tab.o1[MedMod]))/_xlfn.STDEV.P(Tab.o1[MedMod])*H$1203)+G$1203,"")</f>
        <v/>
      </c>
      <c r="S1039" s="122" t="str">
        <f>IF(Tab.o1[[#This Row],[a1]]=1,((Tab.o1[[#This Row],[MedMod]]-AVERAGE(Tab.o1[MedMod]))/_xlfn.STDEV.P(Tab.o1[MedMod])*H$1204)+G$1204,"")</f>
        <v/>
      </c>
      <c r="T1039" s="123" t="str">
        <f>IF(Tab.o1[[#This Row],[a1]]=1,Tab.o1[[#This Row],[Z-]]*_xlfn.STDEV.P(Tab.o1[B])+AVERAGE(Tab.o1[B]),"")</f>
        <v/>
      </c>
      <c r="U1039" s="123" t="str">
        <f>IF(Tab.o1[[#This Row],[a1]]=1,Tab.o1[[#This Row],[z+]]*_xlfn.STDEV.P(Tab.o1[B])+AVERAGE(Tab.o1[B]),"")</f>
        <v/>
      </c>
      <c r="V1039" s="124" t="str">
        <f>IF(Tab.o1[[#This Row],[a1]]=1,ABS((ABS(Tab.o1[[#This Row],[Red]]-Tab.o1[[#This Row],[Blue]]))),"")</f>
        <v/>
      </c>
      <c r="W1039" s="125" t="str">
        <f>IF(Tab.o1[[#This Row],[a1]]=1,IF(W$3=0,1,Tab.o1[[#This Row],[Amp.]]*1/_xlfn.MINIFS(Tab.o1[Amp.],Tab.o1[Amp.],"&lt;&gt;0")),"")</f>
        <v/>
      </c>
      <c r="X1039" s="126" t="str">
        <f>IF(Tab.o1[[#This Row],[a1]]=1,IF(ISNUMBER(Tab.o1[[#This Row],[i.]]),NORMDIST(Tab.o1[[#This Row],[Za]],0,1,FALSE)*Tab.o1[[#This Row],[i.]],AP$3),"")</f>
        <v/>
      </c>
      <c r="Y1039" s="126" t="str">
        <f>IF(Tab.o1[[#This Row],[a1]]=1,0.01+0.94*Tab.o1[[#This Row],[PDF]]/MAX(Tab.o1[PDF]),"")</f>
        <v/>
      </c>
      <c r="Z1039" s="126" t="str">
        <f>IF(Tab.o1[[#This Row],[a1]]=1,0.01+0.94*Tab.o1[[#This Row],[W1_PDF]]/MAX(Tab.o1[W1_PDF]),"")</f>
        <v/>
      </c>
      <c r="AA1039" s="118" t="str">
        <f>IF(Tab.o1[[#This Row],[a1]]=1,ABS([1]!T.in.A[[#This Row],[oo6]]),"")</f>
        <v/>
      </c>
      <c r="AB1039" s="127" t="str">
        <f>IF(Tab.o1[[#This Row],[a1]]=1,IF(AE$3=0,"",IF(AB$3=0,ABS([1]!T.in.A[[#This Row],[oo9]]),ABS(Tab.o1[[#This Row],[DIF_Target.]]*Tab.o1[[#This Row],[W1_PDF]]))),"")</f>
        <v/>
      </c>
      <c r="AC1039" s="127" t="str">
        <f>IF(G$1=1,"",IF(Tab.o1[[#This Row],[a1]]=1,Tab.o1[[#This Row],[Wr]]^2,""))</f>
        <v/>
      </c>
      <c r="AD1039" s="118" t="str">
        <f>IF(Tab.o1[[#This Row],[a1]]=1,IF(AE$3=0,"",Tab.o1[[#This Row],[Wr2]]/SUM(Tab.o1[Wr2])),"")</f>
        <v/>
      </c>
      <c r="AE1039" s="128" t="str">
        <f>IF(Tab.o1[[#This Row],[a1]]=1,[1]!T.in.A[[#This Row],[oo10]],"")</f>
        <v/>
      </c>
      <c r="AF1039" s="118" t="str">
        <f>IF(Tab.o1[[#This Row],[a1]]=1,ABS(Tab.o1[[#This Row],[DIF_Target.]]*Tab.o1[[#This Row],[PDF2]]*Tab.o1[[#This Row],[IN]]),"")</f>
        <v/>
      </c>
      <c r="AG1039" s="129" t="str">
        <f>IF(Tab.o1[[#This Row],[a1]]=1,Tab.o1[[#This Row],[rW]]^2,"")</f>
        <v/>
      </c>
      <c r="AH1039" s="130" t="str">
        <f>IF(Tab.o1[[#This Row],[a1]]=1,IF(AH$3=0,Tab.o1[[#This Row],[rW2]],0.01+0.94*Tab.o1[[#This Row],[rW2]]/SUM(Tab.o1[rW2])),"")</f>
        <v/>
      </c>
      <c r="AI1039" s="128" t="str">
        <f>IF(Tab.o1[[#This Row],[a1]]=1,1/Tab.o1[[#This Row],[PDF]],"")</f>
        <v/>
      </c>
      <c r="AJ1039" s="131" t="str">
        <f>IF(Tab.o1[[#This Row],[a1]]=1,[1]!T_AA[[#This Row],[IN'']]*[1]!T_AA[[#This Row],[Qde'']],"")</f>
        <v/>
      </c>
      <c r="AK1039" s="132" t="str">
        <f>IF(Tab.o1[[#This Row],[a1]]=1,IF(AK$1=1,Tab.o1[[#This Row],[MED]]+Tab.o1[[#This Row],[MOD]]-Tab.o1[[#This Row],[MED]],""),"")</f>
        <v/>
      </c>
      <c r="AL1039" s="133" t="str">
        <f>IF(Tab.o1[[#This Row],[a1]]=1,[1]!T.in.A[[#This Row],[oo16]],"")</f>
        <v/>
      </c>
      <c r="AM1039" s="133" t="str">
        <f>IF(Tab.o1[[#This Row],[a1]]=1,IF(AM$3=1,[1]!T.in.A[[#This Row],[Σo16]],""),"")</f>
        <v/>
      </c>
      <c r="AN1039" s="126" t="str">
        <f>IF(Tab.o1[[#This Row],[a1]]=1,[1]!T.in.A[[#This Row],[Σp5]],"")</f>
        <v/>
      </c>
      <c r="AO1039" s="126" t="str">
        <f>IF(Tab.o1[[#This Row],[a1]]=1,IF(AO$3=1,[1]!T.in.A[[#This Row],[Σp5]],""),"")</f>
        <v/>
      </c>
      <c r="AP1039" s="110" t="str">
        <f>IF(Tab.o1[[#This Row],[a1]]=1,IF(ISNUMBER(Tab.o1[[#This Row],[i.]]),NORMDIST(Tab.o1[[#This Row],[Za]],0,1,FALSE)*Tab.o1[[#This Row],[i.]],0),"")</f>
        <v/>
      </c>
      <c r="AQ1039" s="125" t="str">
        <f>IF(Tab.o1[[#This Row],[a1]]=1,ABS(Tab.o1[[#This Row],[MOD]]-AVERAGE(Tab.o1[MOD])),"")</f>
        <v/>
      </c>
      <c r="AR1039" s="134" t="str">
        <f>IF(Tab.o1[[#This Row],[a1]]=1,Tab.o1[[#This Row],[OBS]]/SUM(Tab.o1[OBS]),"")</f>
        <v/>
      </c>
      <c r="AS1039" s="135" t="str">
        <f>IF(ISNUMBER(Tab.o1[[#This Row],[a1]]),ROW()-4,"")</f>
        <v/>
      </c>
      <c r="AT1039" s="136" t="str">
        <f>Tab.o1[[#This Row],[MOD]]</f>
        <v/>
      </c>
      <c r="AU1039" s="137" t="str">
        <f t="shared" si="65"/>
        <v/>
      </c>
      <c r="AV1039" s="138" t="str">
        <f t="shared" si="66"/>
        <v/>
      </c>
      <c r="AW1039" s="138" t="str">
        <f t="shared" si="67"/>
        <v/>
      </c>
      <c r="AX1039" s="139" t="str">
        <f>[1]!T.in.A[[#This Row],[ID_T_manu]]</f>
        <v/>
      </c>
      <c r="AY1039" s="140" t="str">
        <f>IF(ISNUMBER(Tab.o1[[#This Row],[a1]]),IF(AND(Tab.o1[[#This Row],[a1]]=1,Tab.o1[[#This Row],[b1]]&lt;=AY$4),#REF!,AY1038),"")</f>
        <v/>
      </c>
      <c r="AZ1039" s="25"/>
      <c r="BA1039" s="25"/>
      <c r="BB1039" s="25"/>
      <c r="BC1039" s="25"/>
      <c r="BD1039" s="25"/>
      <c r="BE1039" s="25"/>
      <c r="BF1039" s="25"/>
      <c r="BG1039" s="25"/>
      <c r="BH1039" s="25"/>
      <c r="BI1039" s="25"/>
      <c r="BJ1039" s="25"/>
      <c r="BK1039" s="25"/>
      <c r="BL1039" s="25"/>
      <c r="BM1039" s="25"/>
      <c r="BN1039" s="26"/>
      <c r="BO1039" s="26"/>
      <c r="BP1039" s="26"/>
      <c r="BQ1039" s="26"/>
      <c r="BR1039" s="26"/>
      <c r="BS1039" s="26"/>
      <c r="BT1039" s="26"/>
      <c r="BU1039" s="26"/>
      <c r="BV1039" s="26"/>
      <c r="BW1039" s="26"/>
      <c r="BX1039" s="26"/>
      <c r="BY1039" s="26"/>
      <c r="BZ1039" s="26"/>
      <c r="CA1039" s="26"/>
    </row>
    <row r="1040" spans="1:79" ht="15.75" hidden="1">
      <c r="A1040" s="109">
        <v>-1.0000000000000001E-5</v>
      </c>
      <c r="B1040" s="110">
        <f t="shared" si="64"/>
        <v>1040</v>
      </c>
      <c r="C1040" s="111" t="str">
        <f>IF(C$1=[1]!T.in.A[[#This Row],[oo2]],1,"")</f>
        <v/>
      </c>
      <c r="D1040" s="112" t="str">
        <f>IF(Tab.o1[[#This Row],[a1]]=1,IF(SUM(C1040:C1041)=0,0,IF(SUM(C1039:C1040)=1,1,IF(SUM(C1039:C1041)&gt;1,D1039+1,0))),"")</f>
        <v/>
      </c>
      <c r="E1040" s="113" t="str">
        <f>IF(Tab.o1[[#This Row],[a1]]=1,[1]!T.in.A[[#This Row],[oo1]],"")</f>
        <v/>
      </c>
      <c r="F1040" s="113" t="str">
        <f>IF(Tab.o1[[#This Row],[a1]]=1,[1]!T.in.A[[#This Row],[pp1]],"")</f>
        <v/>
      </c>
      <c r="G1040" s="114" t="str">
        <f>IF(Tab.o1[[#This Row],[a1]]=1,G$2+IF(G$1=1,0,Tab.o1[[#This Row],[.x1]])+[1]!T.in.A[[#This Row],[oo3]],"")</f>
        <v/>
      </c>
      <c r="H1040" s="115" t="str">
        <f>IF(Tab.o1[[#This Row],[a1]]=1,IF(H$2=0,0,IF(G$1=1,0,Tab.o1[[#This Row],[.x1]])+[1]!T.in.A[[#This Row],[oo4]]),"")</f>
        <v/>
      </c>
      <c r="I1040" s="116" t="str">
        <f>IF(Tab.o1[[#This Row],[a1]]=1,IF(J$2=0,Tab.o1[[#This Row],[MED]],Tab.o1[[#This Row],[MOD]]),"")</f>
        <v/>
      </c>
      <c r="J1040" s="116" t="str">
        <f>IF(Tab.o1[[#This Row],[a1]]=1,((Tab.o1[[#This Row],[DIF_Target.]]-AVERAGE(Tab.o1[DIF_Target.]))/_xlfn.STDEV.P(Tab.o1[DIF_Target.])),"")</f>
        <v/>
      </c>
      <c r="K1040" s="117" t="str">
        <f>IF(Tab.o1[[#This Row],[a1]]=1,IF(J$2=0,Tab.o1[[#This Row],[MOD]]-Tab.o1[[#This Row],[B]],IF(J$2=1,0,-Tab.o1[[#This Row],[MED]])+Tab.o1[[#This Row],[B]]),"")</f>
        <v/>
      </c>
      <c r="L1040" s="117" t="str">
        <f ca="1">IF(Tab.o1[[#This Row],[DIF_Target]]=0,IF(L$2=0,Tab.o1[[#This Row],[DIF_Target]],AVERAGE(OFFSET(Tab.o1[[#This Row],[DIF_Target]],1,0,L$3,1)))/3,Tab.o1[[#This Row],[DIF_Target]])</f>
        <v/>
      </c>
      <c r="M1040" s="118" t="str">
        <f>IF(Tab.o1[[#This Row],[a1]]=1,NORMSDIST(Tab.o1[[#This Row],[Za]]),"")</f>
        <v/>
      </c>
      <c r="N1040" s="119" t="str">
        <f>IF(Tab.o1[[#This Row],[a1]]=1,((Tab.o1[[#This Row],[MedMod]]-AVERAGE(Tab.o1[MedMod]))/_xlfn.STDEV.P(Tab.o1[MedMod])*H$1205)+G$1205,"")</f>
        <v/>
      </c>
      <c r="O1040" s="141" t="str">
        <f>IF(Tab.o1[[#This Row],[a1]]=1,Tab.o1[[#This Row],[Zb]]*_xlfn.STDEV.P(Tab.o1[MedMod])+AVERAGE(Tab.o1[MedMod]),"")</f>
        <v/>
      </c>
      <c r="P1040" s="117" t="str">
        <f ca="1">IF(Tab.o1[[#This Row],[B]]=0,AVERAGE(OFFSET(Tab.o1[[#This Row],[B]],1,0,L$3,1)),Tab.o1[[#This Row],[B]])</f>
        <v/>
      </c>
      <c r="Q1040" s="121" t="str">
        <f>IF(Tab.o1[[#This Row],[a1]]=1,NORMSDIST(Tab.o1[[#This Row],[Zb]]),"")</f>
        <v/>
      </c>
      <c r="R1040" s="122" t="str">
        <f>IF(Tab.o1[[#This Row],[a1]]=1,((Tab.o1[[#This Row],[MedMod]]-AVERAGE(Tab.o1[MedMod]))/_xlfn.STDEV.P(Tab.o1[MedMod])*H$1203)+G$1203,"")</f>
        <v/>
      </c>
      <c r="S1040" s="122" t="str">
        <f>IF(Tab.o1[[#This Row],[a1]]=1,((Tab.o1[[#This Row],[MedMod]]-AVERAGE(Tab.o1[MedMod]))/_xlfn.STDEV.P(Tab.o1[MedMod])*H$1204)+G$1204,"")</f>
        <v/>
      </c>
      <c r="T1040" s="123" t="str">
        <f>IF(Tab.o1[[#This Row],[a1]]=1,Tab.o1[[#This Row],[Z-]]*_xlfn.STDEV.P(Tab.o1[B])+AVERAGE(Tab.o1[B]),"")</f>
        <v/>
      </c>
      <c r="U1040" s="123" t="str">
        <f>IF(Tab.o1[[#This Row],[a1]]=1,Tab.o1[[#This Row],[z+]]*_xlfn.STDEV.P(Tab.o1[B])+AVERAGE(Tab.o1[B]),"")</f>
        <v/>
      </c>
      <c r="V1040" s="124" t="str">
        <f>IF(Tab.o1[[#This Row],[a1]]=1,ABS((ABS(Tab.o1[[#This Row],[Red]]-Tab.o1[[#This Row],[Blue]]))),"")</f>
        <v/>
      </c>
      <c r="W1040" s="125" t="str">
        <f>IF(Tab.o1[[#This Row],[a1]]=1,IF(W$3=0,1,Tab.o1[[#This Row],[Amp.]]*1/_xlfn.MINIFS(Tab.o1[Amp.],Tab.o1[Amp.],"&lt;&gt;0")),"")</f>
        <v/>
      </c>
      <c r="X1040" s="126" t="str">
        <f>IF(Tab.o1[[#This Row],[a1]]=1,IF(ISNUMBER(Tab.o1[[#This Row],[i.]]),NORMDIST(Tab.o1[[#This Row],[Za]],0,1,FALSE)*Tab.o1[[#This Row],[i.]],AP$3),"")</f>
        <v/>
      </c>
      <c r="Y1040" s="126" t="str">
        <f>IF(Tab.o1[[#This Row],[a1]]=1,0.01+0.94*Tab.o1[[#This Row],[PDF]]/MAX(Tab.o1[PDF]),"")</f>
        <v/>
      </c>
      <c r="Z1040" s="126" t="str">
        <f>IF(Tab.o1[[#This Row],[a1]]=1,0.01+0.94*Tab.o1[[#This Row],[W1_PDF]]/MAX(Tab.o1[W1_PDF]),"")</f>
        <v/>
      </c>
      <c r="AA1040" s="118" t="str">
        <f>IF(Tab.o1[[#This Row],[a1]]=1,ABS([1]!T.in.A[[#This Row],[oo6]]),"")</f>
        <v/>
      </c>
      <c r="AB1040" s="127" t="str">
        <f>IF(Tab.o1[[#This Row],[a1]]=1,IF(AE$3=0,"",IF(AB$3=0,ABS([1]!T.in.A[[#This Row],[oo9]]),ABS(Tab.o1[[#This Row],[DIF_Target.]]*Tab.o1[[#This Row],[W1_PDF]]))),"")</f>
        <v/>
      </c>
      <c r="AC1040" s="127" t="str">
        <f>IF(G$1=1,"",IF(Tab.o1[[#This Row],[a1]]=1,Tab.o1[[#This Row],[Wr]]^2,""))</f>
        <v/>
      </c>
      <c r="AD1040" s="118" t="str">
        <f>IF(Tab.o1[[#This Row],[a1]]=1,IF(AE$3=0,"",Tab.o1[[#This Row],[Wr2]]/SUM(Tab.o1[Wr2])),"")</f>
        <v/>
      </c>
      <c r="AE1040" s="128" t="str">
        <f>IF(Tab.o1[[#This Row],[a1]]=1,[1]!T.in.A[[#This Row],[oo10]],"")</f>
        <v/>
      </c>
      <c r="AF1040" s="118" t="str">
        <f>IF(Tab.o1[[#This Row],[a1]]=1,ABS(Tab.o1[[#This Row],[DIF_Target.]]*Tab.o1[[#This Row],[PDF2]]*Tab.o1[[#This Row],[IN]]),"")</f>
        <v/>
      </c>
      <c r="AG1040" s="129" t="str">
        <f>IF(Tab.o1[[#This Row],[a1]]=1,Tab.o1[[#This Row],[rW]]^2,"")</f>
        <v/>
      </c>
      <c r="AH1040" s="130" t="str">
        <f>IF(Tab.o1[[#This Row],[a1]]=1,IF(AH$3=0,Tab.o1[[#This Row],[rW2]],0.01+0.94*Tab.o1[[#This Row],[rW2]]/SUM(Tab.o1[rW2])),"")</f>
        <v/>
      </c>
      <c r="AI1040" s="128" t="str">
        <f>IF(Tab.o1[[#This Row],[a1]]=1,1/Tab.o1[[#This Row],[PDF]],"")</f>
        <v/>
      </c>
      <c r="AJ1040" s="131" t="str">
        <f>IF(Tab.o1[[#This Row],[a1]]=1,[1]!T_AA[[#This Row],[IN'']]*[1]!T_AA[[#This Row],[Qde'']],"")</f>
        <v/>
      </c>
      <c r="AK1040" s="132" t="str">
        <f>IF(Tab.o1[[#This Row],[a1]]=1,IF(AK$1=1,Tab.o1[[#This Row],[MED]]+Tab.o1[[#This Row],[MOD]]-Tab.o1[[#This Row],[MED]],""),"")</f>
        <v/>
      </c>
      <c r="AL1040" s="133" t="str">
        <f>IF(Tab.o1[[#This Row],[a1]]=1,[1]!T.in.A[[#This Row],[oo16]],"")</f>
        <v/>
      </c>
      <c r="AM1040" s="133" t="str">
        <f>IF(Tab.o1[[#This Row],[a1]]=1,IF(AM$3=1,[1]!T.in.A[[#This Row],[Σo16]],""),"")</f>
        <v/>
      </c>
      <c r="AN1040" s="126" t="str">
        <f>IF(Tab.o1[[#This Row],[a1]]=1,[1]!T.in.A[[#This Row],[Σp5]],"")</f>
        <v/>
      </c>
      <c r="AO1040" s="126" t="str">
        <f>IF(Tab.o1[[#This Row],[a1]]=1,IF(AO$3=1,[1]!T.in.A[[#This Row],[Σp5]],""),"")</f>
        <v/>
      </c>
      <c r="AP1040" s="110" t="str">
        <f>IF(Tab.o1[[#This Row],[a1]]=1,IF(ISNUMBER(Tab.o1[[#This Row],[i.]]),NORMDIST(Tab.o1[[#This Row],[Za]],0,1,FALSE)*Tab.o1[[#This Row],[i.]],0),"")</f>
        <v/>
      </c>
      <c r="AQ1040" s="125" t="str">
        <f>IF(Tab.o1[[#This Row],[a1]]=1,ABS(Tab.o1[[#This Row],[MOD]]-AVERAGE(Tab.o1[MOD])),"")</f>
        <v/>
      </c>
      <c r="AR1040" s="134" t="str">
        <f>IF(Tab.o1[[#This Row],[a1]]=1,Tab.o1[[#This Row],[OBS]]/SUM(Tab.o1[OBS]),"")</f>
        <v/>
      </c>
      <c r="AS1040" s="135" t="str">
        <f>IF(ISNUMBER(Tab.o1[[#This Row],[a1]]),ROW()-4,"")</f>
        <v/>
      </c>
      <c r="AT1040" s="136" t="str">
        <f>Tab.o1[[#This Row],[MOD]]</f>
        <v/>
      </c>
      <c r="AU1040" s="137" t="str">
        <f t="shared" si="65"/>
        <v/>
      </c>
      <c r="AV1040" s="138" t="str">
        <f t="shared" si="66"/>
        <v/>
      </c>
      <c r="AW1040" s="138" t="str">
        <f t="shared" si="67"/>
        <v/>
      </c>
      <c r="AX1040" s="139" t="str">
        <f>[1]!T.in.A[[#This Row],[ID_T_manu]]</f>
        <v/>
      </c>
      <c r="AY1040" s="140" t="str">
        <f>IF(ISNUMBER(Tab.o1[[#This Row],[a1]]),IF(AND(Tab.o1[[#This Row],[a1]]=1,Tab.o1[[#This Row],[b1]]&lt;=AY$4),#REF!,AY1039),"")</f>
        <v/>
      </c>
      <c r="AZ1040" s="25"/>
      <c r="BA1040" s="25"/>
      <c r="BB1040" s="25"/>
      <c r="BC1040" s="25"/>
      <c r="BD1040" s="25"/>
      <c r="BE1040" s="25"/>
      <c r="BF1040" s="25"/>
      <c r="BG1040" s="25"/>
      <c r="BH1040" s="25"/>
      <c r="BI1040" s="25"/>
      <c r="BJ1040" s="25"/>
      <c r="BK1040" s="25"/>
      <c r="BL1040" s="25"/>
      <c r="BM1040" s="25"/>
      <c r="BN1040" s="26"/>
      <c r="BO1040" s="26"/>
      <c r="BP1040" s="26"/>
      <c r="BQ1040" s="26"/>
      <c r="BR1040" s="26"/>
      <c r="BS1040" s="26"/>
      <c r="BT1040" s="26"/>
      <c r="BU1040" s="26"/>
      <c r="BV1040" s="26"/>
      <c r="BW1040" s="26"/>
      <c r="BX1040" s="26"/>
      <c r="BY1040" s="26"/>
      <c r="BZ1040" s="26"/>
      <c r="CA1040" s="26"/>
    </row>
    <row r="1041" spans="1:79" ht="15.75" hidden="1">
      <c r="A1041" s="109">
        <v>8.0000000000000013E-6</v>
      </c>
      <c r="B1041" s="110">
        <f t="shared" si="64"/>
        <v>1041</v>
      </c>
      <c r="C1041" s="111" t="str">
        <f>IF(C$1=[1]!T.in.A[[#This Row],[oo2]],1,"")</f>
        <v/>
      </c>
      <c r="D1041" s="112" t="str">
        <f>IF(Tab.o1[[#This Row],[a1]]=1,IF(SUM(C1041:C1042)=0,0,IF(SUM(C1040:C1041)=1,1,IF(SUM(C1040:C1042)&gt;1,D1040+1,0))),"")</f>
        <v/>
      </c>
      <c r="E1041" s="113" t="str">
        <f>IF(Tab.o1[[#This Row],[a1]]=1,[1]!T.in.A[[#This Row],[oo1]],"")</f>
        <v/>
      </c>
      <c r="F1041" s="113" t="str">
        <f>IF(Tab.o1[[#This Row],[a1]]=1,[1]!T.in.A[[#This Row],[pp1]],"")</f>
        <v/>
      </c>
      <c r="G1041" s="114" t="str">
        <f>IF(Tab.o1[[#This Row],[a1]]=1,G$2+IF(G$1=1,0,Tab.o1[[#This Row],[.x1]])+[1]!T.in.A[[#This Row],[oo3]],"")</f>
        <v/>
      </c>
      <c r="H1041" s="115" t="str">
        <f>IF(Tab.o1[[#This Row],[a1]]=1,IF(H$2=0,0,IF(G$1=1,0,Tab.o1[[#This Row],[.x1]])+[1]!T.in.A[[#This Row],[oo4]]),"")</f>
        <v/>
      </c>
      <c r="I1041" s="116" t="str">
        <f>IF(Tab.o1[[#This Row],[a1]]=1,IF(J$2=0,Tab.o1[[#This Row],[MED]],Tab.o1[[#This Row],[MOD]]),"")</f>
        <v/>
      </c>
      <c r="J1041" s="116" t="str">
        <f>IF(Tab.o1[[#This Row],[a1]]=1,((Tab.o1[[#This Row],[DIF_Target.]]-AVERAGE(Tab.o1[DIF_Target.]))/_xlfn.STDEV.P(Tab.o1[DIF_Target.])),"")</f>
        <v/>
      </c>
      <c r="K1041" s="117" t="str">
        <f>IF(Tab.o1[[#This Row],[a1]]=1,IF(J$2=0,Tab.o1[[#This Row],[MOD]]-Tab.o1[[#This Row],[B]],IF(J$2=1,0,-Tab.o1[[#This Row],[MED]])+Tab.o1[[#This Row],[B]]),"")</f>
        <v/>
      </c>
      <c r="L1041" s="117" t="str">
        <f ca="1">IF(Tab.o1[[#This Row],[DIF_Target]]=0,IF(L$2=0,Tab.o1[[#This Row],[DIF_Target]],AVERAGE(OFFSET(Tab.o1[[#This Row],[DIF_Target]],1,0,L$3,1)))/3,Tab.o1[[#This Row],[DIF_Target]])</f>
        <v/>
      </c>
      <c r="M1041" s="118" t="str">
        <f>IF(Tab.o1[[#This Row],[a1]]=1,NORMSDIST(Tab.o1[[#This Row],[Za]]),"")</f>
        <v/>
      </c>
      <c r="N1041" s="119" t="str">
        <f>IF(Tab.o1[[#This Row],[a1]]=1,((Tab.o1[[#This Row],[MedMod]]-AVERAGE(Tab.o1[MedMod]))/_xlfn.STDEV.P(Tab.o1[MedMod])*H$1205)+G$1205,"")</f>
        <v/>
      </c>
      <c r="O1041" s="141" t="str">
        <f>IF(Tab.o1[[#This Row],[a1]]=1,Tab.o1[[#This Row],[Zb]]*_xlfn.STDEV.P(Tab.o1[MedMod])+AVERAGE(Tab.o1[MedMod]),"")</f>
        <v/>
      </c>
      <c r="P1041" s="117" t="str">
        <f ca="1">IF(Tab.o1[[#This Row],[B]]=0,AVERAGE(OFFSET(Tab.o1[[#This Row],[B]],1,0,L$3,1)),Tab.o1[[#This Row],[B]])</f>
        <v/>
      </c>
      <c r="Q1041" s="121" t="str">
        <f>IF(Tab.o1[[#This Row],[a1]]=1,NORMSDIST(Tab.o1[[#This Row],[Zb]]),"")</f>
        <v/>
      </c>
      <c r="R1041" s="122" t="str">
        <f>IF(Tab.o1[[#This Row],[a1]]=1,((Tab.o1[[#This Row],[MedMod]]-AVERAGE(Tab.o1[MedMod]))/_xlfn.STDEV.P(Tab.o1[MedMod])*H$1203)+G$1203,"")</f>
        <v/>
      </c>
      <c r="S1041" s="122" t="str">
        <f>IF(Tab.o1[[#This Row],[a1]]=1,((Tab.o1[[#This Row],[MedMod]]-AVERAGE(Tab.o1[MedMod]))/_xlfn.STDEV.P(Tab.o1[MedMod])*H$1204)+G$1204,"")</f>
        <v/>
      </c>
      <c r="T1041" s="123" t="str">
        <f>IF(Tab.o1[[#This Row],[a1]]=1,Tab.o1[[#This Row],[Z-]]*_xlfn.STDEV.P(Tab.o1[B])+AVERAGE(Tab.o1[B]),"")</f>
        <v/>
      </c>
      <c r="U1041" s="123" t="str">
        <f>IF(Tab.o1[[#This Row],[a1]]=1,Tab.o1[[#This Row],[z+]]*_xlfn.STDEV.P(Tab.o1[B])+AVERAGE(Tab.o1[B]),"")</f>
        <v/>
      </c>
      <c r="V1041" s="124" t="str">
        <f>IF(Tab.o1[[#This Row],[a1]]=1,ABS((ABS(Tab.o1[[#This Row],[Red]]-Tab.o1[[#This Row],[Blue]]))),"")</f>
        <v/>
      </c>
      <c r="W1041" s="125" t="str">
        <f>IF(Tab.o1[[#This Row],[a1]]=1,IF(W$3=0,1,Tab.o1[[#This Row],[Amp.]]*1/_xlfn.MINIFS(Tab.o1[Amp.],Tab.o1[Amp.],"&lt;&gt;0")),"")</f>
        <v/>
      </c>
      <c r="X1041" s="126" t="str">
        <f>IF(Tab.o1[[#This Row],[a1]]=1,IF(ISNUMBER(Tab.o1[[#This Row],[i.]]),NORMDIST(Tab.o1[[#This Row],[Za]],0,1,FALSE)*Tab.o1[[#This Row],[i.]],AP$3),"")</f>
        <v/>
      </c>
      <c r="Y1041" s="126" t="str">
        <f>IF(Tab.o1[[#This Row],[a1]]=1,0.01+0.94*Tab.o1[[#This Row],[PDF]]/MAX(Tab.o1[PDF]),"")</f>
        <v/>
      </c>
      <c r="Z1041" s="126" t="str">
        <f>IF(Tab.o1[[#This Row],[a1]]=1,0.01+0.94*Tab.o1[[#This Row],[W1_PDF]]/MAX(Tab.o1[W1_PDF]),"")</f>
        <v/>
      </c>
      <c r="AA1041" s="118" t="str">
        <f>IF(Tab.o1[[#This Row],[a1]]=1,ABS([1]!T.in.A[[#This Row],[oo6]]),"")</f>
        <v/>
      </c>
      <c r="AB1041" s="127" t="str">
        <f>IF(Tab.o1[[#This Row],[a1]]=1,IF(AE$3=0,"",IF(AB$3=0,ABS([1]!T.in.A[[#This Row],[oo9]]),ABS(Tab.o1[[#This Row],[DIF_Target.]]*Tab.o1[[#This Row],[W1_PDF]]))),"")</f>
        <v/>
      </c>
      <c r="AC1041" s="127" t="str">
        <f>IF(G$1=1,"",IF(Tab.o1[[#This Row],[a1]]=1,Tab.o1[[#This Row],[Wr]]^2,""))</f>
        <v/>
      </c>
      <c r="AD1041" s="118" t="str">
        <f>IF(Tab.o1[[#This Row],[a1]]=1,IF(AE$3=0,"",Tab.o1[[#This Row],[Wr2]]/SUM(Tab.o1[Wr2])),"")</f>
        <v/>
      </c>
      <c r="AE1041" s="128" t="str">
        <f>IF(Tab.o1[[#This Row],[a1]]=1,[1]!T.in.A[[#This Row],[oo10]],"")</f>
        <v/>
      </c>
      <c r="AF1041" s="118" t="str">
        <f>IF(Tab.o1[[#This Row],[a1]]=1,ABS(Tab.o1[[#This Row],[DIF_Target.]]*Tab.o1[[#This Row],[PDF2]]*Tab.o1[[#This Row],[IN]]),"")</f>
        <v/>
      </c>
      <c r="AG1041" s="129" t="str">
        <f>IF(Tab.o1[[#This Row],[a1]]=1,Tab.o1[[#This Row],[rW]]^2,"")</f>
        <v/>
      </c>
      <c r="AH1041" s="130" t="str">
        <f>IF(Tab.o1[[#This Row],[a1]]=1,IF(AH$3=0,Tab.o1[[#This Row],[rW2]],0.01+0.94*Tab.o1[[#This Row],[rW2]]/SUM(Tab.o1[rW2])),"")</f>
        <v/>
      </c>
      <c r="AI1041" s="128" t="str">
        <f>IF(Tab.o1[[#This Row],[a1]]=1,1/Tab.o1[[#This Row],[PDF]],"")</f>
        <v/>
      </c>
      <c r="AJ1041" s="131" t="str">
        <f>IF(Tab.o1[[#This Row],[a1]]=1,[1]!T_AA[[#This Row],[IN'']]*[1]!T_AA[[#This Row],[Qde'']],"")</f>
        <v/>
      </c>
      <c r="AK1041" s="132" t="str">
        <f>IF(Tab.o1[[#This Row],[a1]]=1,IF(AK$1=1,Tab.o1[[#This Row],[MED]]+Tab.o1[[#This Row],[MOD]]-Tab.o1[[#This Row],[MED]],""),"")</f>
        <v/>
      </c>
      <c r="AL1041" s="133" t="str">
        <f>IF(Tab.o1[[#This Row],[a1]]=1,[1]!T.in.A[[#This Row],[oo16]],"")</f>
        <v/>
      </c>
      <c r="AM1041" s="133" t="str">
        <f>IF(Tab.o1[[#This Row],[a1]]=1,IF(AM$3=1,[1]!T.in.A[[#This Row],[Σo16]],""),"")</f>
        <v/>
      </c>
      <c r="AN1041" s="126" t="str">
        <f>IF(Tab.o1[[#This Row],[a1]]=1,[1]!T.in.A[[#This Row],[Σp5]],"")</f>
        <v/>
      </c>
      <c r="AO1041" s="126" t="str">
        <f>IF(Tab.o1[[#This Row],[a1]]=1,IF(AO$3=1,[1]!T.in.A[[#This Row],[Σp5]],""),"")</f>
        <v/>
      </c>
      <c r="AP1041" s="110" t="str">
        <f>IF(Tab.o1[[#This Row],[a1]]=1,IF(ISNUMBER(Tab.o1[[#This Row],[i.]]),NORMDIST(Tab.o1[[#This Row],[Za]],0,1,FALSE)*Tab.o1[[#This Row],[i.]],0),"")</f>
        <v/>
      </c>
      <c r="AQ1041" s="125" t="str">
        <f>IF(Tab.o1[[#This Row],[a1]]=1,ABS(Tab.o1[[#This Row],[MOD]]-AVERAGE(Tab.o1[MOD])),"")</f>
        <v/>
      </c>
      <c r="AR1041" s="134" t="str">
        <f>IF(Tab.o1[[#This Row],[a1]]=1,Tab.o1[[#This Row],[OBS]]/SUM(Tab.o1[OBS]),"")</f>
        <v/>
      </c>
      <c r="AS1041" s="135" t="str">
        <f>IF(ISNUMBER(Tab.o1[[#This Row],[a1]]),ROW()-4,"")</f>
        <v/>
      </c>
      <c r="AT1041" s="136" t="str">
        <f>Tab.o1[[#This Row],[MOD]]</f>
        <v/>
      </c>
      <c r="AU1041" s="137" t="str">
        <f t="shared" si="65"/>
        <v/>
      </c>
      <c r="AV1041" s="138" t="str">
        <f t="shared" si="66"/>
        <v/>
      </c>
      <c r="AW1041" s="138" t="str">
        <f t="shared" si="67"/>
        <v/>
      </c>
      <c r="AX1041" s="139" t="str">
        <f>[1]!T.in.A[[#This Row],[ID_T_manu]]</f>
        <v/>
      </c>
      <c r="AY1041" s="140" t="str">
        <f>IF(ISNUMBER(Tab.o1[[#This Row],[a1]]),IF(AND(Tab.o1[[#This Row],[a1]]=1,Tab.o1[[#This Row],[b1]]&lt;=AY$4),#REF!,AY1040),"")</f>
        <v/>
      </c>
      <c r="AZ1041" s="25"/>
      <c r="BA1041" s="25"/>
      <c r="BB1041" s="25"/>
      <c r="BC1041" s="25"/>
      <c r="BD1041" s="25"/>
      <c r="BE1041" s="25"/>
      <c r="BF1041" s="25"/>
      <c r="BG1041" s="25"/>
      <c r="BH1041" s="25"/>
      <c r="BI1041" s="25"/>
      <c r="BJ1041" s="25"/>
      <c r="BK1041" s="25"/>
      <c r="BL1041" s="25"/>
      <c r="BM1041" s="25"/>
      <c r="BN1041" s="26"/>
      <c r="BO1041" s="26"/>
      <c r="BP1041" s="26"/>
      <c r="BQ1041" s="26"/>
      <c r="BR1041" s="26"/>
      <c r="BS1041" s="26"/>
      <c r="BT1041" s="26"/>
      <c r="BU1041" s="26"/>
      <c r="BV1041" s="26"/>
      <c r="BW1041" s="26"/>
      <c r="BX1041" s="26"/>
      <c r="BY1041" s="26"/>
      <c r="BZ1041" s="26"/>
      <c r="CA1041" s="26"/>
    </row>
    <row r="1042" spans="1:79" ht="15.75" hidden="1">
      <c r="A1042" s="109">
        <v>2.0000000000000003E-6</v>
      </c>
      <c r="B1042" s="110">
        <f t="shared" si="64"/>
        <v>1042</v>
      </c>
      <c r="C1042" s="111" t="str">
        <f>IF(C$1=[1]!T.in.A[[#This Row],[oo2]],1,"")</f>
        <v/>
      </c>
      <c r="D1042" s="112" t="str">
        <f>IF(Tab.o1[[#This Row],[a1]]=1,IF(SUM(C1042:C1043)=0,0,IF(SUM(C1041:C1042)=1,1,IF(SUM(C1041:C1043)&gt;1,D1041+1,0))),"")</f>
        <v/>
      </c>
      <c r="E1042" s="113" t="str">
        <f>IF(Tab.o1[[#This Row],[a1]]=1,[1]!T.in.A[[#This Row],[oo1]],"")</f>
        <v/>
      </c>
      <c r="F1042" s="113" t="str">
        <f>IF(Tab.o1[[#This Row],[a1]]=1,[1]!T.in.A[[#This Row],[pp1]],"")</f>
        <v/>
      </c>
      <c r="G1042" s="114" t="str">
        <f>IF(Tab.o1[[#This Row],[a1]]=1,G$2+IF(G$1=1,0,Tab.o1[[#This Row],[.x1]])+[1]!T.in.A[[#This Row],[oo3]],"")</f>
        <v/>
      </c>
      <c r="H1042" s="115" t="str">
        <f>IF(Tab.o1[[#This Row],[a1]]=1,IF(H$2=0,0,IF(G$1=1,0,Tab.o1[[#This Row],[.x1]])+[1]!T.in.A[[#This Row],[oo4]]),"")</f>
        <v/>
      </c>
      <c r="I1042" s="116" t="str">
        <f>IF(Tab.o1[[#This Row],[a1]]=1,IF(J$2=0,Tab.o1[[#This Row],[MED]],Tab.o1[[#This Row],[MOD]]),"")</f>
        <v/>
      </c>
      <c r="J1042" s="116" t="str">
        <f>IF(Tab.o1[[#This Row],[a1]]=1,((Tab.o1[[#This Row],[DIF_Target.]]-AVERAGE(Tab.o1[DIF_Target.]))/_xlfn.STDEV.P(Tab.o1[DIF_Target.])),"")</f>
        <v/>
      </c>
      <c r="K1042" s="117" t="str">
        <f>IF(Tab.o1[[#This Row],[a1]]=1,IF(J$2=0,Tab.o1[[#This Row],[MOD]]-Tab.o1[[#This Row],[B]],IF(J$2=1,0,-Tab.o1[[#This Row],[MED]])+Tab.o1[[#This Row],[B]]),"")</f>
        <v/>
      </c>
      <c r="L1042" s="117" t="str">
        <f ca="1">IF(Tab.o1[[#This Row],[DIF_Target]]=0,IF(L$2=0,Tab.o1[[#This Row],[DIF_Target]],AVERAGE(OFFSET(Tab.o1[[#This Row],[DIF_Target]],1,0,L$3,1)))/3,Tab.o1[[#This Row],[DIF_Target]])</f>
        <v/>
      </c>
      <c r="M1042" s="118" t="str">
        <f>IF(Tab.o1[[#This Row],[a1]]=1,NORMSDIST(Tab.o1[[#This Row],[Za]]),"")</f>
        <v/>
      </c>
      <c r="N1042" s="119" t="str">
        <f>IF(Tab.o1[[#This Row],[a1]]=1,((Tab.o1[[#This Row],[MedMod]]-AVERAGE(Tab.o1[MedMod]))/_xlfn.STDEV.P(Tab.o1[MedMod])*H$1205)+G$1205,"")</f>
        <v/>
      </c>
      <c r="O1042" s="141" t="str">
        <f>IF(Tab.o1[[#This Row],[a1]]=1,Tab.o1[[#This Row],[Zb]]*_xlfn.STDEV.P(Tab.o1[MedMod])+AVERAGE(Tab.o1[MedMod]),"")</f>
        <v/>
      </c>
      <c r="P1042" s="117" t="str">
        <f ca="1">IF(Tab.o1[[#This Row],[B]]=0,AVERAGE(OFFSET(Tab.o1[[#This Row],[B]],1,0,L$3,1)),Tab.o1[[#This Row],[B]])</f>
        <v/>
      </c>
      <c r="Q1042" s="121" t="str">
        <f>IF(Tab.o1[[#This Row],[a1]]=1,NORMSDIST(Tab.o1[[#This Row],[Zb]]),"")</f>
        <v/>
      </c>
      <c r="R1042" s="122" t="str">
        <f>IF(Tab.o1[[#This Row],[a1]]=1,((Tab.o1[[#This Row],[MedMod]]-AVERAGE(Tab.o1[MedMod]))/_xlfn.STDEV.P(Tab.o1[MedMod])*H$1203)+G$1203,"")</f>
        <v/>
      </c>
      <c r="S1042" s="122" t="str">
        <f>IF(Tab.o1[[#This Row],[a1]]=1,((Tab.o1[[#This Row],[MedMod]]-AVERAGE(Tab.o1[MedMod]))/_xlfn.STDEV.P(Tab.o1[MedMod])*H$1204)+G$1204,"")</f>
        <v/>
      </c>
      <c r="T1042" s="123" t="str">
        <f>IF(Tab.o1[[#This Row],[a1]]=1,Tab.o1[[#This Row],[Z-]]*_xlfn.STDEV.P(Tab.o1[B])+AVERAGE(Tab.o1[B]),"")</f>
        <v/>
      </c>
      <c r="U1042" s="123" t="str">
        <f>IF(Tab.o1[[#This Row],[a1]]=1,Tab.o1[[#This Row],[z+]]*_xlfn.STDEV.P(Tab.o1[B])+AVERAGE(Tab.o1[B]),"")</f>
        <v/>
      </c>
      <c r="V1042" s="124" t="str">
        <f>IF(Tab.o1[[#This Row],[a1]]=1,ABS((ABS(Tab.o1[[#This Row],[Red]]-Tab.o1[[#This Row],[Blue]]))),"")</f>
        <v/>
      </c>
      <c r="W1042" s="125" t="str">
        <f>IF(Tab.o1[[#This Row],[a1]]=1,IF(W$3=0,1,Tab.o1[[#This Row],[Amp.]]*1/_xlfn.MINIFS(Tab.o1[Amp.],Tab.o1[Amp.],"&lt;&gt;0")),"")</f>
        <v/>
      </c>
      <c r="X1042" s="126" t="str">
        <f>IF(Tab.o1[[#This Row],[a1]]=1,IF(ISNUMBER(Tab.o1[[#This Row],[i.]]),NORMDIST(Tab.o1[[#This Row],[Za]],0,1,FALSE)*Tab.o1[[#This Row],[i.]],AP$3),"")</f>
        <v/>
      </c>
      <c r="Y1042" s="126" t="str">
        <f>IF(Tab.o1[[#This Row],[a1]]=1,0.01+0.94*Tab.o1[[#This Row],[PDF]]/MAX(Tab.o1[PDF]),"")</f>
        <v/>
      </c>
      <c r="Z1042" s="126" t="str">
        <f>IF(Tab.o1[[#This Row],[a1]]=1,0.01+0.94*Tab.o1[[#This Row],[W1_PDF]]/MAX(Tab.o1[W1_PDF]),"")</f>
        <v/>
      </c>
      <c r="AA1042" s="118" t="str">
        <f>IF(Tab.o1[[#This Row],[a1]]=1,ABS([1]!T.in.A[[#This Row],[oo6]]),"")</f>
        <v/>
      </c>
      <c r="AB1042" s="127" t="str">
        <f>IF(Tab.o1[[#This Row],[a1]]=1,IF(AE$3=0,"",IF(AB$3=0,ABS([1]!T.in.A[[#This Row],[oo9]]),ABS(Tab.o1[[#This Row],[DIF_Target.]]*Tab.o1[[#This Row],[W1_PDF]]))),"")</f>
        <v/>
      </c>
      <c r="AC1042" s="127" t="str">
        <f>IF(G$1=1,"",IF(Tab.o1[[#This Row],[a1]]=1,Tab.o1[[#This Row],[Wr]]^2,""))</f>
        <v/>
      </c>
      <c r="AD1042" s="118" t="str">
        <f>IF(Tab.o1[[#This Row],[a1]]=1,IF(AE$3=0,"",Tab.o1[[#This Row],[Wr2]]/SUM(Tab.o1[Wr2])),"")</f>
        <v/>
      </c>
      <c r="AE1042" s="128" t="str">
        <f>IF(Tab.o1[[#This Row],[a1]]=1,[1]!T.in.A[[#This Row],[oo10]],"")</f>
        <v/>
      </c>
      <c r="AF1042" s="118" t="str">
        <f>IF(Tab.o1[[#This Row],[a1]]=1,ABS(Tab.o1[[#This Row],[DIF_Target.]]*Tab.o1[[#This Row],[PDF2]]*Tab.o1[[#This Row],[IN]]),"")</f>
        <v/>
      </c>
      <c r="AG1042" s="129" t="str">
        <f>IF(Tab.o1[[#This Row],[a1]]=1,Tab.o1[[#This Row],[rW]]^2,"")</f>
        <v/>
      </c>
      <c r="AH1042" s="130" t="str">
        <f>IF(Tab.o1[[#This Row],[a1]]=1,IF(AH$3=0,Tab.o1[[#This Row],[rW2]],0.01+0.94*Tab.o1[[#This Row],[rW2]]/SUM(Tab.o1[rW2])),"")</f>
        <v/>
      </c>
      <c r="AI1042" s="128" t="str">
        <f>IF(Tab.o1[[#This Row],[a1]]=1,1/Tab.o1[[#This Row],[PDF]],"")</f>
        <v/>
      </c>
      <c r="AJ1042" s="131" t="str">
        <f>IF(Tab.o1[[#This Row],[a1]]=1,[1]!T_AA[[#This Row],[IN'']]*[1]!T_AA[[#This Row],[Qde'']],"")</f>
        <v/>
      </c>
      <c r="AK1042" s="132" t="str">
        <f>IF(Tab.o1[[#This Row],[a1]]=1,IF(AK$1=1,Tab.o1[[#This Row],[MED]]+Tab.o1[[#This Row],[MOD]]-Tab.o1[[#This Row],[MED]],""),"")</f>
        <v/>
      </c>
      <c r="AL1042" s="133" t="str">
        <f>IF(Tab.o1[[#This Row],[a1]]=1,[1]!T.in.A[[#This Row],[oo16]],"")</f>
        <v/>
      </c>
      <c r="AM1042" s="133" t="str">
        <f>IF(Tab.o1[[#This Row],[a1]]=1,IF(AM$3=1,[1]!T.in.A[[#This Row],[Σo16]],""),"")</f>
        <v/>
      </c>
      <c r="AN1042" s="126" t="str">
        <f>IF(Tab.o1[[#This Row],[a1]]=1,[1]!T.in.A[[#This Row],[Σp5]],"")</f>
        <v/>
      </c>
      <c r="AO1042" s="126" t="str">
        <f>IF(Tab.o1[[#This Row],[a1]]=1,IF(AO$3=1,[1]!T.in.A[[#This Row],[Σp5]],""),"")</f>
        <v/>
      </c>
      <c r="AP1042" s="110" t="str">
        <f>IF(Tab.o1[[#This Row],[a1]]=1,IF(ISNUMBER(Tab.o1[[#This Row],[i.]]),NORMDIST(Tab.o1[[#This Row],[Za]],0,1,FALSE)*Tab.o1[[#This Row],[i.]],0),"")</f>
        <v/>
      </c>
      <c r="AQ1042" s="125" t="str">
        <f>IF(Tab.o1[[#This Row],[a1]]=1,ABS(Tab.o1[[#This Row],[MOD]]-AVERAGE(Tab.o1[MOD])),"")</f>
        <v/>
      </c>
      <c r="AR1042" s="134" t="str">
        <f>IF(Tab.o1[[#This Row],[a1]]=1,Tab.o1[[#This Row],[OBS]]/SUM(Tab.o1[OBS]),"")</f>
        <v/>
      </c>
      <c r="AS1042" s="135" t="str">
        <f>IF(ISNUMBER(Tab.o1[[#This Row],[a1]]),ROW()-4,"")</f>
        <v/>
      </c>
      <c r="AT1042" s="136" t="str">
        <f>Tab.o1[[#This Row],[MOD]]</f>
        <v/>
      </c>
      <c r="AU1042" s="137" t="str">
        <f t="shared" si="65"/>
        <v/>
      </c>
      <c r="AV1042" s="138" t="str">
        <f t="shared" si="66"/>
        <v/>
      </c>
      <c r="AW1042" s="138" t="str">
        <f t="shared" si="67"/>
        <v/>
      </c>
      <c r="AX1042" s="139" t="str">
        <f>[1]!T.in.A[[#This Row],[ID_T_manu]]</f>
        <v/>
      </c>
      <c r="AY1042" s="140" t="str">
        <f>IF(ISNUMBER(Tab.o1[[#This Row],[a1]]),IF(AND(Tab.o1[[#This Row],[a1]]=1,Tab.o1[[#This Row],[b1]]&lt;=AY$4),#REF!,AY1041),"")</f>
        <v/>
      </c>
      <c r="AZ1042" s="25"/>
      <c r="BA1042" s="25"/>
      <c r="BB1042" s="25"/>
      <c r="BC1042" s="25"/>
      <c r="BD1042" s="25"/>
      <c r="BE1042" s="25"/>
      <c r="BF1042" s="25"/>
      <c r="BG1042" s="25"/>
      <c r="BH1042" s="25"/>
      <c r="BI1042" s="25"/>
      <c r="BJ1042" s="25"/>
      <c r="BK1042" s="25"/>
      <c r="BL1042" s="25"/>
      <c r="BM1042" s="25"/>
      <c r="BN1042" s="26"/>
      <c r="BO1042" s="26"/>
      <c r="BP1042" s="26"/>
      <c r="BQ1042" s="26"/>
      <c r="BR1042" s="26"/>
      <c r="BS1042" s="26"/>
      <c r="BT1042" s="26"/>
      <c r="BU1042" s="26"/>
      <c r="BV1042" s="26"/>
      <c r="BW1042" s="26"/>
      <c r="BX1042" s="26"/>
      <c r="BY1042" s="26"/>
      <c r="BZ1042" s="26"/>
      <c r="CA1042" s="26"/>
    </row>
    <row r="1043" spans="1:79" ht="15.75" hidden="1">
      <c r="A1043" s="109">
        <v>-1.0000000000000002E-6</v>
      </c>
      <c r="B1043" s="110">
        <f t="shared" si="64"/>
        <v>1043</v>
      </c>
      <c r="C1043" s="111" t="str">
        <f>IF(C$1=[1]!T.in.A[[#This Row],[oo2]],1,"")</f>
        <v/>
      </c>
      <c r="D1043" s="112" t="str">
        <f>IF(Tab.o1[[#This Row],[a1]]=1,IF(SUM(C1043:C1044)=0,0,IF(SUM(C1042:C1043)=1,1,IF(SUM(C1042:C1044)&gt;1,D1042+1,0))),"")</f>
        <v/>
      </c>
      <c r="E1043" s="113" t="str">
        <f>IF(Tab.o1[[#This Row],[a1]]=1,[1]!T.in.A[[#This Row],[oo1]],"")</f>
        <v/>
      </c>
      <c r="F1043" s="113" t="str">
        <f>IF(Tab.o1[[#This Row],[a1]]=1,[1]!T.in.A[[#This Row],[pp1]],"")</f>
        <v/>
      </c>
      <c r="G1043" s="114" t="str">
        <f>IF(Tab.o1[[#This Row],[a1]]=1,G$2+IF(G$1=1,0,Tab.o1[[#This Row],[.x1]])+[1]!T.in.A[[#This Row],[oo3]],"")</f>
        <v/>
      </c>
      <c r="H1043" s="115" t="str">
        <f>IF(Tab.o1[[#This Row],[a1]]=1,IF(H$2=0,0,IF(G$1=1,0,Tab.o1[[#This Row],[.x1]])+[1]!T.in.A[[#This Row],[oo4]]),"")</f>
        <v/>
      </c>
      <c r="I1043" s="116" t="str">
        <f>IF(Tab.o1[[#This Row],[a1]]=1,IF(J$2=0,Tab.o1[[#This Row],[MED]],Tab.o1[[#This Row],[MOD]]),"")</f>
        <v/>
      </c>
      <c r="J1043" s="116" t="str">
        <f>IF(Tab.o1[[#This Row],[a1]]=1,((Tab.o1[[#This Row],[DIF_Target.]]-AVERAGE(Tab.o1[DIF_Target.]))/_xlfn.STDEV.P(Tab.o1[DIF_Target.])),"")</f>
        <v/>
      </c>
      <c r="K1043" s="117" t="str">
        <f>IF(Tab.o1[[#This Row],[a1]]=1,IF(J$2=0,Tab.o1[[#This Row],[MOD]]-Tab.o1[[#This Row],[B]],IF(J$2=1,0,-Tab.o1[[#This Row],[MED]])+Tab.o1[[#This Row],[B]]),"")</f>
        <v/>
      </c>
      <c r="L1043" s="117" t="str">
        <f ca="1">IF(Tab.o1[[#This Row],[DIF_Target]]=0,IF(L$2=0,Tab.o1[[#This Row],[DIF_Target]],AVERAGE(OFFSET(Tab.o1[[#This Row],[DIF_Target]],1,0,L$3,1)))/3,Tab.o1[[#This Row],[DIF_Target]])</f>
        <v/>
      </c>
      <c r="M1043" s="118" t="str">
        <f>IF(Tab.o1[[#This Row],[a1]]=1,NORMSDIST(Tab.o1[[#This Row],[Za]]),"")</f>
        <v/>
      </c>
      <c r="N1043" s="119" t="str">
        <f>IF(Tab.o1[[#This Row],[a1]]=1,((Tab.o1[[#This Row],[MedMod]]-AVERAGE(Tab.o1[MedMod]))/_xlfn.STDEV.P(Tab.o1[MedMod])*H$1205)+G$1205,"")</f>
        <v/>
      </c>
      <c r="O1043" s="141" t="str">
        <f>IF(Tab.o1[[#This Row],[a1]]=1,Tab.o1[[#This Row],[Zb]]*_xlfn.STDEV.P(Tab.o1[MedMod])+AVERAGE(Tab.o1[MedMod]),"")</f>
        <v/>
      </c>
      <c r="P1043" s="117" t="str">
        <f ca="1">IF(Tab.o1[[#This Row],[B]]=0,AVERAGE(OFFSET(Tab.o1[[#This Row],[B]],1,0,L$3,1)),Tab.o1[[#This Row],[B]])</f>
        <v/>
      </c>
      <c r="Q1043" s="121" t="str">
        <f>IF(Tab.o1[[#This Row],[a1]]=1,NORMSDIST(Tab.o1[[#This Row],[Zb]]),"")</f>
        <v/>
      </c>
      <c r="R1043" s="122" t="str">
        <f>IF(Tab.o1[[#This Row],[a1]]=1,((Tab.o1[[#This Row],[MedMod]]-AVERAGE(Tab.o1[MedMod]))/_xlfn.STDEV.P(Tab.o1[MedMod])*H$1203)+G$1203,"")</f>
        <v/>
      </c>
      <c r="S1043" s="122" t="str">
        <f>IF(Tab.o1[[#This Row],[a1]]=1,((Tab.o1[[#This Row],[MedMod]]-AVERAGE(Tab.o1[MedMod]))/_xlfn.STDEV.P(Tab.o1[MedMod])*H$1204)+G$1204,"")</f>
        <v/>
      </c>
      <c r="T1043" s="123" t="str">
        <f>IF(Tab.o1[[#This Row],[a1]]=1,Tab.o1[[#This Row],[Z-]]*_xlfn.STDEV.P(Tab.o1[B])+AVERAGE(Tab.o1[B]),"")</f>
        <v/>
      </c>
      <c r="U1043" s="123" t="str">
        <f>IF(Tab.o1[[#This Row],[a1]]=1,Tab.o1[[#This Row],[z+]]*_xlfn.STDEV.P(Tab.o1[B])+AVERAGE(Tab.o1[B]),"")</f>
        <v/>
      </c>
      <c r="V1043" s="124" t="str">
        <f>IF(Tab.o1[[#This Row],[a1]]=1,ABS((ABS(Tab.o1[[#This Row],[Red]]-Tab.o1[[#This Row],[Blue]]))),"")</f>
        <v/>
      </c>
      <c r="W1043" s="125" t="str">
        <f>IF(Tab.o1[[#This Row],[a1]]=1,IF(W$3=0,1,Tab.o1[[#This Row],[Amp.]]*1/_xlfn.MINIFS(Tab.o1[Amp.],Tab.o1[Amp.],"&lt;&gt;0")),"")</f>
        <v/>
      </c>
      <c r="X1043" s="126" t="str">
        <f>IF(Tab.o1[[#This Row],[a1]]=1,IF(ISNUMBER(Tab.o1[[#This Row],[i.]]),NORMDIST(Tab.o1[[#This Row],[Za]],0,1,FALSE)*Tab.o1[[#This Row],[i.]],AP$3),"")</f>
        <v/>
      </c>
      <c r="Y1043" s="126" t="str">
        <f>IF(Tab.o1[[#This Row],[a1]]=1,0.01+0.94*Tab.o1[[#This Row],[PDF]]/MAX(Tab.o1[PDF]),"")</f>
        <v/>
      </c>
      <c r="Z1043" s="126" t="str">
        <f>IF(Tab.o1[[#This Row],[a1]]=1,0.01+0.94*Tab.o1[[#This Row],[W1_PDF]]/MAX(Tab.o1[W1_PDF]),"")</f>
        <v/>
      </c>
      <c r="AA1043" s="118" t="str">
        <f>IF(Tab.o1[[#This Row],[a1]]=1,ABS([1]!T.in.A[[#This Row],[oo6]]),"")</f>
        <v/>
      </c>
      <c r="AB1043" s="127" t="str">
        <f>IF(Tab.o1[[#This Row],[a1]]=1,IF(AE$3=0,"",IF(AB$3=0,ABS([1]!T.in.A[[#This Row],[oo9]]),ABS(Tab.o1[[#This Row],[DIF_Target.]]*Tab.o1[[#This Row],[W1_PDF]]))),"")</f>
        <v/>
      </c>
      <c r="AC1043" s="127" t="str">
        <f>IF(G$1=1,"",IF(Tab.o1[[#This Row],[a1]]=1,Tab.o1[[#This Row],[Wr]]^2,""))</f>
        <v/>
      </c>
      <c r="AD1043" s="118" t="str">
        <f>IF(Tab.o1[[#This Row],[a1]]=1,IF(AE$3=0,"",Tab.o1[[#This Row],[Wr2]]/SUM(Tab.o1[Wr2])),"")</f>
        <v/>
      </c>
      <c r="AE1043" s="128" t="str">
        <f>IF(Tab.o1[[#This Row],[a1]]=1,[1]!T.in.A[[#This Row],[oo10]],"")</f>
        <v/>
      </c>
      <c r="AF1043" s="118" t="str">
        <f>IF(Tab.o1[[#This Row],[a1]]=1,ABS(Tab.o1[[#This Row],[DIF_Target.]]*Tab.o1[[#This Row],[PDF2]]*Tab.o1[[#This Row],[IN]]),"")</f>
        <v/>
      </c>
      <c r="AG1043" s="129" t="str">
        <f>IF(Tab.o1[[#This Row],[a1]]=1,Tab.o1[[#This Row],[rW]]^2,"")</f>
        <v/>
      </c>
      <c r="AH1043" s="130" t="str">
        <f>IF(Tab.o1[[#This Row],[a1]]=1,IF(AH$3=0,Tab.o1[[#This Row],[rW2]],0.01+0.94*Tab.o1[[#This Row],[rW2]]/SUM(Tab.o1[rW2])),"")</f>
        <v/>
      </c>
      <c r="AI1043" s="128" t="str">
        <f>IF(Tab.o1[[#This Row],[a1]]=1,1/Tab.o1[[#This Row],[PDF]],"")</f>
        <v/>
      </c>
      <c r="AJ1043" s="131" t="str">
        <f>IF(Tab.o1[[#This Row],[a1]]=1,[1]!T_AA[[#This Row],[IN'']]*[1]!T_AA[[#This Row],[Qde'']],"")</f>
        <v/>
      </c>
      <c r="AK1043" s="132" t="str">
        <f>IF(Tab.o1[[#This Row],[a1]]=1,IF(AK$1=1,Tab.o1[[#This Row],[MED]]+Tab.o1[[#This Row],[MOD]]-Tab.o1[[#This Row],[MED]],""),"")</f>
        <v/>
      </c>
      <c r="AL1043" s="133" t="str">
        <f>IF(Tab.o1[[#This Row],[a1]]=1,[1]!T.in.A[[#This Row],[oo16]],"")</f>
        <v/>
      </c>
      <c r="AM1043" s="133" t="str">
        <f>IF(Tab.o1[[#This Row],[a1]]=1,IF(AM$3=1,[1]!T.in.A[[#This Row],[Σo16]],""),"")</f>
        <v/>
      </c>
      <c r="AN1043" s="126" t="str">
        <f>IF(Tab.o1[[#This Row],[a1]]=1,[1]!T.in.A[[#This Row],[Σp5]],"")</f>
        <v/>
      </c>
      <c r="AO1043" s="126" t="str">
        <f>IF(Tab.o1[[#This Row],[a1]]=1,IF(AO$3=1,[1]!T.in.A[[#This Row],[Σp5]],""),"")</f>
        <v/>
      </c>
      <c r="AP1043" s="110" t="str">
        <f>IF(Tab.o1[[#This Row],[a1]]=1,IF(ISNUMBER(Tab.o1[[#This Row],[i.]]),NORMDIST(Tab.o1[[#This Row],[Za]],0,1,FALSE)*Tab.o1[[#This Row],[i.]],0),"")</f>
        <v/>
      </c>
      <c r="AQ1043" s="125" t="str">
        <f>IF(Tab.o1[[#This Row],[a1]]=1,ABS(Tab.o1[[#This Row],[MOD]]-AVERAGE(Tab.o1[MOD])),"")</f>
        <v/>
      </c>
      <c r="AR1043" s="134" t="str">
        <f>IF(Tab.o1[[#This Row],[a1]]=1,Tab.o1[[#This Row],[OBS]]/SUM(Tab.o1[OBS]),"")</f>
        <v/>
      </c>
      <c r="AS1043" s="135" t="str">
        <f>IF(ISNUMBER(Tab.o1[[#This Row],[a1]]),ROW()-4,"")</f>
        <v/>
      </c>
      <c r="AT1043" s="136" t="str">
        <f>Tab.o1[[#This Row],[MOD]]</f>
        <v/>
      </c>
      <c r="AU1043" s="137" t="str">
        <f t="shared" si="65"/>
        <v/>
      </c>
      <c r="AV1043" s="138" t="str">
        <f t="shared" si="66"/>
        <v/>
      </c>
      <c r="AW1043" s="138" t="str">
        <f t="shared" si="67"/>
        <v/>
      </c>
      <c r="AX1043" s="139" t="str">
        <f>[1]!T.in.A[[#This Row],[ID_T_manu]]</f>
        <v/>
      </c>
      <c r="AY1043" s="140" t="str">
        <f>IF(ISNUMBER(Tab.o1[[#This Row],[a1]]),IF(AND(Tab.o1[[#This Row],[a1]]=1,Tab.o1[[#This Row],[b1]]&lt;=AY$4),#REF!,AY1042),"")</f>
        <v/>
      </c>
      <c r="AZ1043" s="25"/>
      <c r="BA1043" s="25"/>
      <c r="BB1043" s="25"/>
      <c r="BC1043" s="25"/>
      <c r="BD1043" s="25"/>
      <c r="BE1043" s="25"/>
      <c r="BF1043" s="25"/>
      <c r="BG1043" s="25"/>
      <c r="BH1043" s="25"/>
      <c r="BI1043" s="25"/>
      <c r="BJ1043" s="25"/>
      <c r="BK1043" s="25"/>
      <c r="BL1043" s="25"/>
      <c r="BM1043" s="25"/>
      <c r="BN1043" s="26"/>
      <c r="BO1043" s="26"/>
      <c r="BP1043" s="26"/>
      <c r="BQ1043" s="26"/>
      <c r="BR1043" s="26"/>
      <c r="BS1043" s="26"/>
      <c r="BT1043" s="26"/>
      <c r="BU1043" s="26"/>
      <c r="BV1043" s="26"/>
      <c r="BW1043" s="26"/>
      <c r="BX1043" s="26"/>
      <c r="BY1043" s="26"/>
      <c r="BZ1043" s="26"/>
      <c r="CA1043" s="26"/>
    </row>
    <row r="1044" spans="1:79" ht="15.75" hidden="1">
      <c r="A1044" s="109">
        <v>9.0000000000000002E-6</v>
      </c>
      <c r="B1044" s="110">
        <f t="shared" si="64"/>
        <v>1044</v>
      </c>
      <c r="C1044" s="111" t="str">
        <f>IF(C$1=[1]!T.in.A[[#This Row],[oo2]],1,"")</f>
        <v/>
      </c>
      <c r="D1044" s="112" t="str">
        <f>IF(Tab.o1[[#This Row],[a1]]=1,IF(SUM(C1044:C1045)=0,0,IF(SUM(C1043:C1044)=1,1,IF(SUM(C1043:C1045)&gt;1,D1043+1,0))),"")</f>
        <v/>
      </c>
      <c r="E1044" s="113" t="str">
        <f>IF(Tab.o1[[#This Row],[a1]]=1,[1]!T.in.A[[#This Row],[oo1]],"")</f>
        <v/>
      </c>
      <c r="F1044" s="113" t="str">
        <f>IF(Tab.o1[[#This Row],[a1]]=1,[1]!T.in.A[[#This Row],[pp1]],"")</f>
        <v/>
      </c>
      <c r="G1044" s="114" t="str">
        <f>IF(Tab.o1[[#This Row],[a1]]=1,G$2+IF(G$1=1,0,Tab.o1[[#This Row],[.x1]])+[1]!T.in.A[[#This Row],[oo3]],"")</f>
        <v/>
      </c>
      <c r="H1044" s="115" t="str">
        <f>IF(Tab.o1[[#This Row],[a1]]=1,IF(H$2=0,0,IF(G$1=1,0,Tab.o1[[#This Row],[.x1]])+[1]!T.in.A[[#This Row],[oo4]]),"")</f>
        <v/>
      </c>
      <c r="I1044" s="116" t="str">
        <f>IF(Tab.o1[[#This Row],[a1]]=1,IF(J$2=0,Tab.o1[[#This Row],[MED]],Tab.o1[[#This Row],[MOD]]),"")</f>
        <v/>
      </c>
      <c r="J1044" s="116" t="str">
        <f>IF(Tab.o1[[#This Row],[a1]]=1,((Tab.o1[[#This Row],[DIF_Target.]]-AVERAGE(Tab.o1[DIF_Target.]))/_xlfn.STDEV.P(Tab.o1[DIF_Target.])),"")</f>
        <v/>
      </c>
      <c r="K1044" s="117" t="str">
        <f>IF(Tab.o1[[#This Row],[a1]]=1,IF(J$2=0,Tab.o1[[#This Row],[MOD]]-Tab.o1[[#This Row],[B]],IF(J$2=1,0,-Tab.o1[[#This Row],[MED]])+Tab.o1[[#This Row],[B]]),"")</f>
        <v/>
      </c>
      <c r="L1044" s="117" t="str">
        <f ca="1">IF(Tab.o1[[#This Row],[DIF_Target]]=0,IF(L$2=0,Tab.o1[[#This Row],[DIF_Target]],AVERAGE(OFFSET(Tab.o1[[#This Row],[DIF_Target]],1,0,L$3,1)))/3,Tab.o1[[#This Row],[DIF_Target]])</f>
        <v/>
      </c>
      <c r="M1044" s="118" t="str">
        <f>IF(Tab.o1[[#This Row],[a1]]=1,NORMSDIST(Tab.o1[[#This Row],[Za]]),"")</f>
        <v/>
      </c>
      <c r="N1044" s="119" t="str">
        <f>IF(Tab.o1[[#This Row],[a1]]=1,((Tab.o1[[#This Row],[MedMod]]-AVERAGE(Tab.o1[MedMod]))/_xlfn.STDEV.P(Tab.o1[MedMod])*H$1205)+G$1205,"")</f>
        <v/>
      </c>
      <c r="O1044" s="141" t="str">
        <f>IF(Tab.o1[[#This Row],[a1]]=1,Tab.o1[[#This Row],[Zb]]*_xlfn.STDEV.P(Tab.o1[MedMod])+AVERAGE(Tab.o1[MedMod]),"")</f>
        <v/>
      </c>
      <c r="P1044" s="117" t="str">
        <f ca="1">IF(Tab.o1[[#This Row],[B]]=0,AVERAGE(OFFSET(Tab.o1[[#This Row],[B]],1,0,L$3,1)),Tab.o1[[#This Row],[B]])</f>
        <v/>
      </c>
      <c r="Q1044" s="121" t="str">
        <f>IF(Tab.o1[[#This Row],[a1]]=1,NORMSDIST(Tab.o1[[#This Row],[Zb]]),"")</f>
        <v/>
      </c>
      <c r="R1044" s="122" t="str">
        <f>IF(Tab.o1[[#This Row],[a1]]=1,((Tab.o1[[#This Row],[MedMod]]-AVERAGE(Tab.o1[MedMod]))/_xlfn.STDEV.P(Tab.o1[MedMod])*H$1203)+G$1203,"")</f>
        <v/>
      </c>
      <c r="S1044" s="122" t="str">
        <f>IF(Tab.o1[[#This Row],[a1]]=1,((Tab.o1[[#This Row],[MedMod]]-AVERAGE(Tab.o1[MedMod]))/_xlfn.STDEV.P(Tab.o1[MedMod])*H$1204)+G$1204,"")</f>
        <v/>
      </c>
      <c r="T1044" s="123" t="str">
        <f>IF(Tab.o1[[#This Row],[a1]]=1,Tab.o1[[#This Row],[Z-]]*_xlfn.STDEV.P(Tab.o1[B])+AVERAGE(Tab.o1[B]),"")</f>
        <v/>
      </c>
      <c r="U1044" s="123" t="str">
        <f>IF(Tab.o1[[#This Row],[a1]]=1,Tab.o1[[#This Row],[z+]]*_xlfn.STDEV.P(Tab.o1[B])+AVERAGE(Tab.o1[B]),"")</f>
        <v/>
      </c>
      <c r="V1044" s="124" t="str">
        <f>IF(Tab.o1[[#This Row],[a1]]=1,ABS((ABS(Tab.o1[[#This Row],[Red]]-Tab.o1[[#This Row],[Blue]]))),"")</f>
        <v/>
      </c>
      <c r="W1044" s="125" t="str">
        <f>IF(Tab.o1[[#This Row],[a1]]=1,IF(W$3=0,1,Tab.o1[[#This Row],[Amp.]]*1/_xlfn.MINIFS(Tab.o1[Amp.],Tab.o1[Amp.],"&lt;&gt;0")),"")</f>
        <v/>
      </c>
      <c r="X1044" s="126" t="str">
        <f>IF(Tab.o1[[#This Row],[a1]]=1,IF(ISNUMBER(Tab.o1[[#This Row],[i.]]),NORMDIST(Tab.o1[[#This Row],[Za]],0,1,FALSE)*Tab.o1[[#This Row],[i.]],AP$3),"")</f>
        <v/>
      </c>
      <c r="Y1044" s="126" t="str">
        <f>IF(Tab.o1[[#This Row],[a1]]=1,0.01+0.94*Tab.o1[[#This Row],[PDF]]/MAX(Tab.o1[PDF]),"")</f>
        <v/>
      </c>
      <c r="Z1044" s="126" t="str">
        <f>IF(Tab.o1[[#This Row],[a1]]=1,0.01+0.94*Tab.o1[[#This Row],[W1_PDF]]/MAX(Tab.o1[W1_PDF]),"")</f>
        <v/>
      </c>
      <c r="AA1044" s="118" t="str">
        <f>IF(Tab.o1[[#This Row],[a1]]=1,ABS([1]!T.in.A[[#This Row],[oo6]]),"")</f>
        <v/>
      </c>
      <c r="AB1044" s="127" t="str">
        <f>IF(Tab.o1[[#This Row],[a1]]=1,IF(AE$3=0,"",IF(AB$3=0,ABS([1]!T.in.A[[#This Row],[oo9]]),ABS(Tab.o1[[#This Row],[DIF_Target.]]*Tab.o1[[#This Row],[W1_PDF]]))),"")</f>
        <v/>
      </c>
      <c r="AC1044" s="127" t="str">
        <f>IF(G$1=1,"",IF(Tab.o1[[#This Row],[a1]]=1,Tab.o1[[#This Row],[Wr]]^2,""))</f>
        <v/>
      </c>
      <c r="AD1044" s="118" t="str">
        <f>IF(Tab.o1[[#This Row],[a1]]=1,IF(AE$3=0,"",Tab.o1[[#This Row],[Wr2]]/SUM(Tab.o1[Wr2])),"")</f>
        <v/>
      </c>
      <c r="AE1044" s="128" t="str">
        <f>IF(Tab.o1[[#This Row],[a1]]=1,[1]!T.in.A[[#This Row],[oo10]],"")</f>
        <v/>
      </c>
      <c r="AF1044" s="118" t="str">
        <f>IF(Tab.o1[[#This Row],[a1]]=1,ABS(Tab.o1[[#This Row],[DIF_Target.]]*Tab.o1[[#This Row],[PDF2]]*Tab.o1[[#This Row],[IN]]),"")</f>
        <v/>
      </c>
      <c r="AG1044" s="129" t="str">
        <f>IF(Tab.o1[[#This Row],[a1]]=1,Tab.o1[[#This Row],[rW]]^2,"")</f>
        <v/>
      </c>
      <c r="AH1044" s="130" t="str">
        <f>IF(Tab.o1[[#This Row],[a1]]=1,IF(AH$3=0,Tab.o1[[#This Row],[rW2]],0.01+0.94*Tab.o1[[#This Row],[rW2]]/SUM(Tab.o1[rW2])),"")</f>
        <v/>
      </c>
      <c r="AI1044" s="128" t="str">
        <f>IF(Tab.o1[[#This Row],[a1]]=1,1/Tab.o1[[#This Row],[PDF]],"")</f>
        <v/>
      </c>
      <c r="AJ1044" s="131" t="str">
        <f>IF(Tab.o1[[#This Row],[a1]]=1,[1]!T_AA[[#This Row],[IN'']]*[1]!T_AA[[#This Row],[Qde'']],"")</f>
        <v/>
      </c>
      <c r="AK1044" s="132" t="str">
        <f>IF(Tab.o1[[#This Row],[a1]]=1,IF(AK$1=1,Tab.o1[[#This Row],[MED]]+Tab.o1[[#This Row],[MOD]]-Tab.o1[[#This Row],[MED]],""),"")</f>
        <v/>
      </c>
      <c r="AL1044" s="133" t="str">
        <f>IF(Tab.o1[[#This Row],[a1]]=1,[1]!T.in.A[[#This Row],[oo16]],"")</f>
        <v/>
      </c>
      <c r="AM1044" s="133" t="str">
        <f>IF(Tab.o1[[#This Row],[a1]]=1,IF(AM$3=1,[1]!T.in.A[[#This Row],[Σo16]],""),"")</f>
        <v/>
      </c>
      <c r="AN1044" s="126" t="str">
        <f>IF(Tab.o1[[#This Row],[a1]]=1,[1]!T.in.A[[#This Row],[Σp5]],"")</f>
        <v/>
      </c>
      <c r="AO1044" s="126" t="str">
        <f>IF(Tab.o1[[#This Row],[a1]]=1,IF(AO$3=1,[1]!T.in.A[[#This Row],[Σp5]],""),"")</f>
        <v/>
      </c>
      <c r="AP1044" s="110" t="str">
        <f>IF(Tab.o1[[#This Row],[a1]]=1,IF(ISNUMBER(Tab.o1[[#This Row],[i.]]),NORMDIST(Tab.o1[[#This Row],[Za]],0,1,FALSE)*Tab.o1[[#This Row],[i.]],0),"")</f>
        <v/>
      </c>
      <c r="AQ1044" s="125" t="str">
        <f>IF(Tab.o1[[#This Row],[a1]]=1,ABS(Tab.o1[[#This Row],[MOD]]-AVERAGE(Tab.o1[MOD])),"")</f>
        <v/>
      </c>
      <c r="AR1044" s="134" t="str">
        <f>IF(Tab.o1[[#This Row],[a1]]=1,Tab.o1[[#This Row],[OBS]]/SUM(Tab.o1[OBS]),"")</f>
        <v/>
      </c>
      <c r="AS1044" s="135" t="str">
        <f>IF(ISNUMBER(Tab.o1[[#This Row],[a1]]),ROW()-4,"")</f>
        <v/>
      </c>
      <c r="AT1044" s="136" t="str">
        <f>Tab.o1[[#This Row],[MOD]]</f>
        <v/>
      </c>
      <c r="AU1044" s="137" t="str">
        <f t="shared" si="65"/>
        <v/>
      </c>
      <c r="AV1044" s="138" t="str">
        <f t="shared" si="66"/>
        <v/>
      </c>
      <c r="AW1044" s="138" t="str">
        <f t="shared" si="67"/>
        <v/>
      </c>
      <c r="AX1044" s="139" t="str">
        <f>[1]!T.in.A[[#This Row],[ID_T_manu]]</f>
        <v/>
      </c>
      <c r="AY1044" s="140" t="str">
        <f>IF(ISNUMBER(Tab.o1[[#This Row],[a1]]),IF(AND(Tab.o1[[#This Row],[a1]]=1,Tab.o1[[#This Row],[b1]]&lt;=AY$4),#REF!,AY1043),"")</f>
        <v/>
      </c>
      <c r="AZ1044" s="25"/>
      <c r="BA1044" s="25"/>
      <c r="BB1044" s="25"/>
      <c r="BC1044" s="25"/>
      <c r="BD1044" s="25"/>
      <c r="BE1044" s="25"/>
      <c r="BF1044" s="25"/>
      <c r="BG1044" s="25"/>
      <c r="BH1044" s="25"/>
      <c r="BI1044" s="25"/>
      <c r="BJ1044" s="25"/>
      <c r="BK1044" s="25"/>
      <c r="BL1044" s="25"/>
      <c r="BM1044" s="25"/>
      <c r="BN1044" s="26"/>
      <c r="BO1044" s="26"/>
      <c r="BP1044" s="26"/>
      <c r="BQ1044" s="26"/>
      <c r="BR1044" s="26"/>
      <c r="BS1044" s="26"/>
      <c r="BT1044" s="26"/>
      <c r="BU1044" s="26"/>
      <c r="BV1044" s="26"/>
      <c r="BW1044" s="26"/>
      <c r="BX1044" s="26"/>
      <c r="BY1044" s="26"/>
      <c r="BZ1044" s="26"/>
      <c r="CA1044" s="26"/>
    </row>
    <row r="1045" spans="1:79" ht="15.75" hidden="1">
      <c r="A1045" s="109">
        <v>-9.0000000000000002E-6</v>
      </c>
      <c r="B1045" s="110">
        <f t="shared" si="64"/>
        <v>1045</v>
      </c>
      <c r="C1045" s="111" t="str">
        <f>IF(C$1=[1]!T.in.A[[#This Row],[oo2]],1,"")</f>
        <v/>
      </c>
      <c r="D1045" s="112" t="str">
        <f>IF(Tab.o1[[#This Row],[a1]]=1,IF(SUM(C1045:C1046)=0,0,IF(SUM(C1044:C1045)=1,1,IF(SUM(C1044:C1046)&gt;1,D1044+1,0))),"")</f>
        <v/>
      </c>
      <c r="E1045" s="113" t="str">
        <f>IF(Tab.o1[[#This Row],[a1]]=1,[1]!T.in.A[[#This Row],[oo1]],"")</f>
        <v/>
      </c>
      <c r="F1045" s="113" t="str">
        <f>IF(Tab.o1[[#This Row],[a1]]=1,[1]!T.in.A[[#This Row],[pp1]],"")</f>
        <v/>
      </c>
      <c r="G1045" s="114" t="str">
        <f>IF(Tab.o1[[#This Row],[a1]]=1,G$2+IF(G$1=1,0,Tab.o1[[#This Row],[.x1]])+[1]!T.in.A[[#This Row],[oo3]],"")</f>
        <v/>
      </c>
      <c r="H1045" s="115" t="str">
        <f>IF(Tab.o1[[#This Row],[a1]]=1,IF(H$2=0,0,IF(G$1=1,0,Tab.o1[[#This Row],[.x1]])+[1]!T.in.A[[#This Row],[oo4]]),"")</f>
        <v/>
      </c>
      <c r="I1045" s="116" t="str">
        <f>IF(Tab.o1[[#This Row],[a1]]=1,IF(J$2=0,Tab.o1[[#This Row],[MED]],Tab.o1[[#This Row],[MOD]]),"")</f>
        <v/>
      </c>
      <c r="J1045" s="116" t="str">
        <f>IF(Tab.o1[[#This Row],[a1]]=1,((Tab.o1[[#This Row],[DIF_Target.]]-AVERAGE(Tab.o1[DIF_Target.]))/_xlfn.STDEV.P(Tab.o1[DIF_Target.])),"")</f>
        <v/>
      </c>
      <c r="K1045" s="117" t="str">
        <f>IF(Tab.o1[[#This Row],[a1]]=1,IF(J$2=0,Tab.o1[[#This Row],[MOD]]-Tab.o1[[#This Row],[B]],IF(J$2=1,0,-Tab.o1[[#This Row],[MED]])+Tab.o1[[#This Row],[B]]),"")</f>
        <v/>
      </c>
      <c r="L1045" s="117" t="str">
        <f ca="1">IF(Tab.o1[[#This Row],[DIF_Target]]=0,IF(L$2=0,Tab.o1[[#This Row],[DIF_Target]],AVERAGE(OFFSET(Tab.o1[[#This Row],[DIF_Target]],1,0,L$3,1)))/3,Tab.o1[[#This Row],[DIF_Target]])</f>
        <v/>
      </c>
      <c r="M1045" s="118" t="str">
        <f>IF(Tab.o1[[#This Row],[a1]]=1,NORMSDIST(Tab.o1[[#This Row],[Za]]),"")</f>
        <v/>
      </c>
      <c r="N1045" s="119" t="str">
        <f>IF(Tab.o1[[#This Row],[a1]]=1,((Tab.o1[[#This Row],[MedMod]]-AVERAGE(Tab.o1[MedMod]))/_xlfn.STDEV.P(Tab.o1[MedMod])*H$1205)+G$1205,"")</f>
        <v/>
      </c>
      <c r="O1045" s="141" t="str">
        <f>IF(Tab.o1[[#This Row],[a1]]=1,Tab.o1[[#This Row],[Zb]]*_xlfn.STDEV.P(Tab.o1[MedMod])+AVERAGE(Tab.o1[MedMod]),"")</f>
        <v/>
      </c>
      <c r="P1045" s="117" t="str">
        <f ca="1">IF(Tab.o1[[#This Row],[B]]=0,AVERAGE(OFFSET(Tab.o1[[#This Row],[B]],1,0,L$3,1)),Tab.o1[[#This Row],[B]])</f>
        <v/>
      </c>
      <c r="Q1045" s="121" t="str">
        <f>IF(Tab.o1[[#This Row],[a1]]=1,NORMSDIST(Tab.o1[[#This Row],[Zb]]),"")</f>
        <v/>
      </c>
      <c r="R1045" s="122" t="str">
        <f>IF(Tab.o1[[#This Row],[a1]]=1,((Tab.o1[[#This Row],[MedMod]]-AVERAGE(Tab.o1[MedMod]))/_xlfn.STDEV.P(Tab.o1[MedMod])*H$1203)+G$1203,"")</f>
        <v/>
      </c>
      <c r="S1045" s="122" t="str">
        <f>IF(Tab.o1[[#This Row],[a1]]=1,((Tab.o1[[#This Row],[MedMod]]-AVERAGE(Tab.o1[MedMod]))/_xlfn.STDEV.P(Tab.o1[MedMod])*H$1204)+G$1204,"")</f>
        <v/>
      </c>
      <c r="T1045" s="123" t="str">
        <f>IF(Tab.o1[[#This Row],[a1]]=1,Tab.o1[[#This Row],[Z-]]*_xlfn.STDEV.P(Tab.o1[B])+AVERAGE(Tab.o1[B]),"")</f>
        <v/>
      </c>
      <c r="U1045" s="123" t="str">
        <f>IF(Tab.o1[[#This Row],[a1]]=1,Tab.o1[[#This Row],[z+]]*_xlfn.STDEV.P(Tab.o1[B])+AVERAGE(Tab.o1[B]),"")</f>
        <v/>
      </c>
      <c r="V1045" s="124" t="str">
        <f>IF(Tab.o1[[#This Row],[a1]]=1,ABS((ABS(Tab.o1[[#This Row],[Red]]-Tab.o1[[#This Row],[Blue]]))),"")</f>
        <v/>
      </c>
      <c r="W1045" s="125" t="str">
        <f>IF(Tab.o1[[#This Row],[a1]]=1,IF(W$3=0,1,Tab.o1[[#This Row],[Amp.]]*1/_xlfn.MINIFS(Tab.o1[Amp.],Tab.o1[Amp.],"&lt;&gt;0")),"")</f>
        <v/>
      </c>
      <c r="X1045" s="126" t="str">
        <f>IF(Tab.o1[[#This Row],[a1]]=1,IF(ISNUMBER(Tab.o1[[#This Row],[i.]]),NORMDIST(Tab.o1[[#This Row],[Za]],0,1,FALSE)*Tab.o1[[#This Row],[i.]],AP$3),"")</f>
        <v/>
      </c>
      <c r="Y1045" s="126" t="str">
        <f>IF(Tab.o1[[#This Row],[a1]]=1,0.01+0.94*Tab.o1[[#This Row],[PDF]]/MAX(Tab.o1[PDF]),"")</f>
        <v/>
      </c>
      <c r="Z1045" s="126" t="str">
        <f>IF(Tab.o1[[#This Row],[a1]]=1,0.01+0.94*Tab.o1[[#This Row],[W1_PDF]]/MAX(Tab.o1[W1_PDF]),"")</f>
        <v/>
      </c>
      <c r="AA1045" s="118" t="str">
        <f>IF(Tab.o1[[#This Row],[a1]]=1,ABS([1]!T.in.A[[#This Row],[oo6]]),"")</f>
        <v/>
      </c>
      <c r="AB1045" s="127" t="str">
        <f>IF(Tab.o1[[#This Row],[a1]]=1,IF(AE$3=0,"",IF(AB$3=0,ABS([1]!T.in.A[[#This Row],[oo9]]),ABS(Tab.o1[[#This Row],[DIF_Target.]]*Tab.o1[[#This Row],[W1_PDF]]))),"")</f>
        <v/>
      </c>
      <c r="AC1045" s="127" t="str">
        <f>IF(G$1=1,"",IF(Tab.o1[[#This Row],[a1]]=1,Tab.o1[[#This Row],[Wr]]^2,""))</f>
        <v/>
      </c>
      <c r="AD1045" s="118" t="str">
        <f>IF(Tab.o1[[#This Row],[a1]]=1,IF(AE$3=0,"",Tab.o1[[#This Row],[Wr2]]/SUM(Tab.o1[Wr2])),"")</f>
        <v/>
      </c>
      <c r="AE1045" s="128" t="str">
        <f>IF(Tab.o1[[#This Row],[a1]]=1,[1]!T.in.A[[#This Row],[oo10]],"")</f>
        <v/>
      </c>
      <c r="AF1045" s="118" t="str">
        <f>IF(Tab.o1[[#This Row],[a1]]=1,ABS(Tab.o1[[#This Row],[DIF_Target.]]*Tab.o1[[#This Row],[PDF2]]*Tab.o1[[#This Row],[IN]]),"")</f>
        <v/>
      </c>
      <c r="AG1045" s="129" t="str">
        <f>IF(Tab.o1[[#This Row],[a1]]=1,Tab.o1[[#This Row],[rW]]^2,"")</f>
        <v/>
      </c>
      <c r="AH1045" s="130" t="str">
        <f>IF(Tab.o1[[#This Row],[a1]]=1,IF(AH$3=0,Tab.o1[[#This Row],[rW2]],0.01+0.94*Tab.o1[[#This Row],[rW2]]/SUM(Tab.o1[rW2])),"")</f>
        <v/>
      </c>
      <c r="AI1045" s="128" t="str">
        <f>IF(Tab.o1[[#This Row],[a1]]=1,1/Tab.o1[[#This Row],[PDF]],"")</f>
        <v/>
      </c>
      <c r="AJ1045" s="131" t="str">
        <f>IF(Tab.o1[[#This Row],[a1]]=1,[1]!T_AA[[#This Row],[IN'']]*[1]!T_AA[[#This Row],[Qde'']],"")</f>
        <v/>
      </c>
      <c r="AK1045" s="132" t="str">
        <f>IF(Tab.o1[[#This Row],[a1]]=1,IF(AK$1=1,Tab.o1[[#This Row],[MED]]+Tab.o1[[#This Row],[MOD]]-Tab.o1[[#This Row],[MED]],""),"")</f>
        <v/>
      </c>
      <c r="AL1045" s="133" t="str">
        <f>IF(Tab.o1[[#This Row],[a1]]=1,[1]!T.in.A[[#This Row],[oo16]],"")</f>
        <v/>
      </c>
      <c r="AM1045" s="133" t="str">
        <f>IF(Tab.o1[[#This Row],[a1]]=1,IF(AM$3=1,[1]!T.in.A[[#This Row],[Σo16]],""),"")</f>
        <v/>
      </c>
      <c r="AN1045" s="126" t="str">
        <f>IF(Tab.o1[[#This Row],[a1]]=1,[1]!T.in.A[[#This Row],[Σp5]],"")</f>
        <v/>
      </c>
      <c r="AO1045" s="126" t="str">
        <f>IF(Tab.o1[[#This Row],[a1]]=1,IF(AO$3=1,[1]!T.in.A[[#This Row],[Σp5]],""),"")</f>
        <v/>
      </c>
      <c r="AP1045" s="110" t="str">
        <f>IF(Tab.o1[[#This Row],[a1]]=1,IF(ISNUMBER(Tab.o1[[#This Row],[i.]]),NORMDIST(Tab.o1[[#This Row],[Za]],0,1,FALSE)*Tab.o1[[#This Row],[i.]],0),"")</f>
        <v/>
      </c>
      <c r="AQ1045" s="125" t="str">
        <f>IF(Tab.o1[[#This Row],[a1]]=1,ABS(Tab.o1[[#This Row],[MOD]]-AVERAGE(Tab.o1[MOD])),"")</f>
        <v/>
      </c>
      <c r="AR1045" s="134" t="str">
        <f>IF(Tab.o1[[#This Row],[a1]]=1,Tab.o1[[#This Row],[OBS]]/SUM(Tab.o1[OBS]),"")</f>
        <v/>
      </c>
      <c r="AS1045" s="135" t="str">
        <f>IF(ISNUMBER(Tab.o1[[#This Row],[a1]]),ROW()-4,"")</f>
        <v/>
      </c>
      <c r="AT1045" s="136" t="str">
        <f>Tab.o1[[#This Row],[MOD]]</f>
        <v/>
      </c>
      <c r="AU1045" s="137" t="str">
        <f t="shared" si="65"/>
        <v/>
      </c>
      <c r="AV1045" s="138" t="str">
        <f t="shared" si="66"/>
        <v/>
      </c>
      <c r="AW1045" s="138" t="str">
        <f t="shared" si="67"/>
        <v/>
      </c>
      <c r="AX1045" s="139" t="str">
        <f>[1]!T.in.A[[#This Row],[ID_T_manu]]</f>
        <v/>
      </c>
      <c r="AY1045" s="140" t="str">
        <f>IF(ISNUMBER(Tab.o1[[#This Row],[a1]]),IF(AND(Tab.o1[[#This Row],[a1]]=1,Tab.o1[[#This Row],[b1]]&lt;=AY$4),#REF!,AY1044),"")</f>
        <v/>
      </c>
      <c r="AZ1045" s="25"/>
      <c r="BA1045" s="25"/>
      <c r="BB1045" s="25"/>
      <c r="BC1045" s="25"/>
      <c r="BD1045" s="25"/>
      <c r="BE1045" s="25"/>
      <c r="BF1045" s="25"/>
      <c r="BG1045" s="25"/>
      <c r="BH1045" s="25"/>
      <c r="BI1045" s="25"/>
      <c r="BJ1045" s="25"/>
      <c r="BK1045" s="25"/>
      <c r="BL1045" s="25"/>
      <c r="BM1045" s="25"/>
      <c r="BN1045" s="26"/>
      <c r="BO1045" s="26"/>
      <c r="BP1045" s="26"/>
      <c r="BQ1045" s="26"/>
      <c r="BR1045" s="26"/>
      <c r="BS1045" s="26"/>
      <c r="BT1045" s="26"/>
      <c r="BU1045" s="26"/>
      <c r="BV1045" s="26"/>
      <c r="BW1045" s="26"/>
      <c r="BX1045" s="26"/>
      <c r="BY1045" s="26"/>
      <c r="BZ1045" s="26"/>
      <c r="CA1045" s="26"/>
    </row>
    <row r="1046" spans="1:79" ht="15.75" hidden="1">
      <c r="A1046" s="109">
        <v>8.0000000000000013E-6</v>
      </c>
      <c r="B1046" s="110">
        <f t="shared" si="64"/>
        <v>1046</v>
      </c>
      <c r="C1046" s="111" t="str">
        <f>IF(C$1=[1]!T.in.A[[#This Row],[oo2]],1,"")</f>
        <v/>
      </c>
      <c r="D1046" s="112" t="str">
        <f>IF(Tab.o1[[#This Row],[a1]]=1,IF(SUM(C1046:C1047)=0,0,IF(SUM(C1045:C1046)=1,1,IF(SUM(C1045:C1047)&gt;1,D1045+1,0))),"")</f>
        <v/>
      </c>
      <c r="E1046" s="113" t="str">
        <f>IF(Tab.o1[[#This Row],[a1]]=1,[1]!T.in.A[[#This Row],[oo1]],"")</f>
        <v/>
      </c>
      <c r="F1046" s="113" t="str">
        <f>IF(Tab.o1[[#This Row],[a1]]=1,[1]!T.in.A[[#This Row],[pp1]],"")</f>
        <v/>
      </c>
      <c r="G1046" s="114" t="str">
        <f>IF(Tab.o1[[#This Row],[a1]]=1,G$2+IF(G$1=1,0,Tab.o1[[#This Row],[.x1]])+[1]!T.in.A[[#This Row],[oo3]],"")</f>
        <v/>
      </c>
      <c r="H1046" s="115" t="str">
        <f>IF(Tab.o1[[#This Row],[a1]]=1,IF(H$2=0,0,IF(G$1=1,0,Tab.o1[[#This Row],[.x1]])+[1]!T.in.A[[#This Row],[oo4]]),"")</f>
        <v/>
      </c>
      <c r="I1046" s="116" t="str">
        <f>IF(Tab.o1[[#This Row],[a1]]=1,IF(J$2=0,Tab.o1[[#This Row],[MED]],Tab.o1[[#This Row],[MOD]]),"")</f>
        <v/>
      </c>
      <c r="J1046" s="116" t="str">
        <f>IF(Tab.o1[[#This Row],[a1]]=1,((Tab.o1[[#This Row],[DIF_Target.]]-AVERAGE(Tab.o1[DIF_Target.]))/_xlfn.STDEV.P(Tab.o1[DIF_Target.])),"")</f>
        <v/>
      </c>
      <c r="K1046" s="117" t="str">
        <f>IF(Tab.o1[[#This Row],[a1]]=1,IF(J$2=0,Tab.o1[[#This Row],[MOD]]-Tab.o1[[#This Row],[B]],IF(J$2=1,0,-Tab.o1[[#This Row],[MED]])+Tab.o1[[#This Row],[B]]),"")</f>
        <v/>
      </c>
      <c r="L1046" s="117" t="str">
        <f ca="1">IF(Tab.o1[[#This Row],[DIF_Target]]=0,IF(L$2=0,Tab.o1[[#This Row],[DIF_Target]],AVERAGE(OFFSET(Tab.o1[[#This Row],[DIF_Target]],1,0,L$3,1)))/3,Tab.o1[[#This Row],[DIF_Target]])</f>
        <v/>
      </c>
      <c r="M1046" s="118" t="str">
        <f>IF(Tab.o1[[#This Row],[a1]]=1,NORMSDIST(Tab.o1[[#This Row],[Za]]),"")</f>
        <v/>
      </c>
      <c r="N1046" s="119" t="str">
        <f>IF(Tab.o1[[#This Row],[a1]]=1,((Tab.o1[[#This Row],[MedMod]]-AVERAGE(Tab.o1[MedMod]))/_xlfn.STDEV.P(Tab.o1[MedMod])*H$1205)+G$1205,"")</f>
        <v/>
      </c>
      <c r="O1046" s="141" t="str">
        <f>IF(Tab.o1[[#This Row],[a1]]=1,Tab.o1[[#This Row],[Zb]]*_xlfn.STDEV.P(Tab.o1[MedMod])+AVERAGE(Tab.o1[MedMod]),"")</f>
        <v/>
      </c>
      <c r="P1046" s="117" t="str">
        <f ca="1">IF(Tab.o1[[#This Row],[B]]=0,AVERAGE(OFFSET(Tab.o1[[#This Row],[B]],1,0,L$3,1)),Tab.o1[[#This Row],[B]])</f>
        <v/>
      </c>
      <c r="Q1046" s="121" t="str">
        <f>IF(Tab.o1[[#This Row],[a1]]=1,NORMSDIST(Tab.o1[[#This Row],[Zb]]),"")</f>
        <v/>
      </c>
      <c r="R1046" s="122" t="str">
        <f>IF(Tab.o1[[#This Row],[a1]]=1,((Tab.o1[[#This Row],[MedMod]]-AVERAGE(Tab.o1[MedMod]))/_xlfn.STDEV.P(Tab.o1[MedMod])*H$1203)+G$1203,"")</f>
        <v/>
      </c>
      <c r="S1046" s="122" t="str">
        <f>IF(Tab.o1[[#This Row],[a1]]=1,((Tab.o1[[#This Row],[MedMod]]-AVERAGE(Tab.o1[MedMod]))/_xlfn.STDEV.P(Tab.o1[MedMod])*H$1204)+G$1204,"")</f>
        <v/>
      </c>
      <c r="T1046" s="123" t="str">
        <f>IF(Tab.o1[[#This Row],[a1]]=1,Tab.o1[[#This Row],[Z-]]*_xlfn.STDEV.P(Tab.o1[B])+AVERAGE(Tab.o1[B]),"")</f>
        <v/>
      </c>
      <c r="U1046" s="123" t="str">
        <f>IF(Tab.o1[[#This Row],[a1]]=1,Tab.o1[[#This Row],[z+]]*_xlfn.STDEV.P(Tab.o1[B])+AVERAGE(Tab.o1[B]),"")</f>
        <v/>
      </c>
      <c r="V1046" s="124" t="str">
        <f>IF(Tab.o1[[#This Row],[a1]]=1,ABS((ABS(Tab.o1[[#This Row],[Red]]-Tab.o1[[#This Row],[Blue]]))),"")</f>
        <v/>
      </c>
      <c r="W1046" s="125" t="str">
        <f>IF(Tab.o1[[#This Row],[a1]]=1,IF(W$3=0,1,Tab.o1[[#This Row],[Amp.]]*1/_xlfn.MINIFS(Tab.o1[Amp.],Tab.o1[Amp.],"&lt;&gt;0")),"")</f>
        <v/>
      </c>
      <c r="X1046" s="126" t="str">
        <f>IF(Tab.o1[[#This Row],[a1]]=1,IF(ISNUMBER(Tab.o1[[#This Row],[i.]]),NORMDIST(Tab.o1[[#This Row],[Za]],0,1,FALSE)*Tab.o1[[#This Row],[i.]],AP$3),"")</f>
        <v/>
      </c>
      <c r="Y1046" s="126" t="str">
        <f>IF(Tab.o1[[#This Row],[a1]]=1,0.01+0.94*Tab.o1[[#This Row],[PDF]]/MAX(Tab.o1[PDF]),"")</f>
        <v/>
      </c>
      <c r="Z1046" s="126" t="str">
        <f>IF(Tab.o1[[#This Row],[a1]]=1,0.01+0.94*Tab.o1[[#This Row],[W1_PDF]]/MAX(Tab.o1[W1_PDF]),"")</f>
        <v/>
      </c>
      <c r="AA1046" s="118" t="str">
        <f>IF(Tab.o1[[#This Row],[a1]]=1,ABS([1]!T.in.A[[#This Row],[oo6]]),"")</f>
        <v/>
      </c>
      <c r="AB1046" s="127" t="str">
        <f>IF(Tab.o1[[#This Row],[a1]]=1,IF(AE$3=0,"",IF(AB$3=0,ABS([1]!T.in.A[[#This Row],[oo9]]),ABS(Tab.o1[[#This Row],[DIF_Target.]]*Tab.o1[[#This Row],[W1_PDF]]))),"")</f>
        <v/>
      </c>
      <c r="AC1046" s="127" t="str">
        <f>IF(G$1=1,"",IF(Tab.o1[[#This Row],[a1]]=1,Tab.o1[[#This Row],[Wr]]^2,""))</f>
        <v/>
      </c>
      <c r="AD1046" s="118" t="str">
        <f>IF(Tab.o1[[#This Row],[a1]]=1,IF(AE$3=0,"",Tab.o1[[#This Row],[Wr2]]/SUM(Tab.o1[Wr2])),"")</f>
        <v/>
      </c>
      <c r="AE1046" s="128" t="str">
        <f>IF(Tab.o1[[#This Row],[a1]]=1,[1]!T.in.A[[#This Row],[oo10]],"")</f>
        <v/>
      </c>
      <c r="AF1046" s="118" t="str">
        <f>IF(Tab.o1[[#This Row],[a1]]=1,ABS(Tab.o1[[#This Row],[DIF_Target.]]*Tab.o1[[#This Row],[PDF2]]*Tab.o1[[#This Row],[IN]]),"")</f>
        <v/>
      </c>
      <c r="AG1046" s="129" t="str">
        <f>IF(Tab.o1[[#This Row],[a1]]=1,Tab.o1[[#This Row],[rW]]^2,"")</f>
        <v/>
      </c>
      <c r="AH1046" s="130" t="str">
        <f>IF(Tab.o1[[#This Row],[a1]]=1,IF(AH$3=0,Tab.o1[[#This Row],[rW2]],0.01+0.94*Tab.o1[[#This Row],[rW2]]/SUM(Tab.o1[rW2])),"")</f>
        <v/>
      </c>
      <c r="AI1046" s="128" t="str">
        <f>IF(Tab.o1[[#This Row],[a1]]=1,1/Tab.o1[[#This Row],[PDF]],"")</f>
        <v/>
      </c>
      <c r="AJ1046" s="131" t="str">
        <f>IF(Tab.o1[[#This Row],[a1]]=1,[1]!T_AA[[#This Row],[IN'']]*[1]!T_AA[[#This Row],[Qde'']],"")</f>
        <v/>
      </c>
      <c r="AK1046" s="132" t="str">
        <f>IF(Tab.o1[[#This Row],[a1]]=1,IF(AK$1=1,Tab.o1[[#This Row],[MED]]+Tab.o1[[#This Row],[MOD]]-Tab.o1[[#This Row],[MED]],""),"")</f>
        <v/>
      </c>
      <c r="AL1046" s="133" t="str">
        <f>IF(Tab.o1[[#This Row],[a1]]=1,[1]!T.in.A[[#This Row],[oo16]],"")</f>
        <v/>
      </c>
      <c r="AM1046" s="133" t="str">
        <f>IF(Tab.o1[[#This Row],[a1]]=1,IF(AM$3=1,[1]!T.in.A[[#This Row],[Σo16]],""),"")</f>
        <v/>
      </c>
      <c r="AN1046" s="126" t="str">
        <f>IF(Tab.o1[[#This Row],[a1]]=1,[1]!T.in.A[[#This Row],[Σp5]],"")</f>
        <v/>
      </c>
      <c r="AO1046" s="126" t="str">
        <f>IF(Tab.o1[[#This Row],[a1]]=1,IF(AO$3=1,[1]!T.in.A[[#This Row],[Σp5]],""),"")</f>
        <v/>
      </c>
      <c r="AP1046" s="110" t="str">
        <f>IF(Tab.o1[[#This Row],[a1]]=1,IF(ISNUMBER(Tab.o1[[#This Row],[i.]]),NORMDIST(Tab.o1[[#This Row],[Za]],0,1,FALSE)*Tab.o1[[#This Row],[i.]],0),"")</f>
        <v/>
      </c>
      <c r="AQ1046" s="125" t="str">
        <f>IF(Tab.o1[[#This Row],[a1]]=1,ABS(Tab.o1[[#This Row],[MOD]]-AVERAGE(Tab.o1[MOD])),"")</f>
        <v/>
      </c>
      <c r="AR1046" s="134" t="str">
        <f>IF(Tab.o1[[#This Row],[a1]]=1,Tab.o1[[#This Row],[OBS]]/SUM(Tab.o1[OBS]),"")</f>
        <v/>
      </c>
      <c r="AS1046" s="135" t="str">
        <f>IF(ISNUMBER(Tab.o1[[#This Row],[a1]]),ROW()-4,"")</f>
        <v/>
      </c>
      <c r="AT1046" s="136" t="str">
        <f>Tab.o1[[#This Row],[MOD]]</f>
        <v/>
      </c>
      <c r="AU1046" s="137" t="str">
        <f t="shared" si="65"/>
        <v/>
      </c>
      <c r="AV1046" s="138" t="str">
        <f t="shared" si="66"/>
        <v/>
      </c>
      <c r="AW1046" s="138" t="str">
        <f t="shared" si="67"/>
        <v/>
      </c>
      <c r="AX1046" s="139" t="str">
        <f>[1]!T.in.A[[#This Row],[ID_T_manu]]</f>
        <v/>
      </c>
      <c r="AY1046" s="140" t="str">
        <f>IF(ISNUMBER(Tab.o1[[#This Row],[a1]]),IF(AND(Tab.o1[[#This Row],[a1]]=1,Tab.o1[[#This Row],[b1]]&lt;=AY$4),#REF!,AY1045),"")</f>
        <v/>
      </c>
      <c r="AZ1046" s="25"/>
      <c r="BA1046" s="25"/>
      <c r="BB1046" s="25"/>
      <c r="BC1046" s="25"/>
      <c r="BD1046" s="25"/>
      <c r="BE1046" s="25"/>
      <c r="BF1046" s="25"/>
      <c r="BG1046" s="25"/>
      <c r="BH1046" s="25"/>
      <c r="BI1046" s="25"/>
      <c r="BJ1046" s="25"/>
      <c r="BK1046" s="25"/>
      <c r="BL1046" s="25"/>
      <c r="BM1046" s="25"/>
      <c r="BN1046" s="26"/>
      <c r="BO1046" s="26"/>
      <c r="BP1046" s="26"/>
      <c r="BQ1046" s="26"/>
      <c r="BR1046" s="26"/>
      <c r="BS1046" s="26"/>
      <c r="BT1046" s="26"/>
      <c r="BU1046" s="26"/>
      <c r="BV1046" s="26"/>
      <c r="BW1046" s="26"/>
      <c r="BX1046" s="26"/>
      <c r="BY1046" s="26"/>
      <c r="BZ1046" s="26"/>
      <c r="CA1046" s="26"/>
    </row>
    <row r="1047" spans="1:79" ht="15.75" hidden="1">
      <c r="A1047" s="109">
        <v>-2.0000000000000003E-6</v>
      </c>
      <c r="B1047" s="110">
        <f t="shared" si="64"/>
        <v>1047</v>
      </c>
      <c r="C1047" s="111" t="str">
        <f>IF(C$1=[1]!T.in.A[[#This Row],[oo2]],1,"")</f>
        <v/>
      </c>
      <c r="D1047" s="112" t="str">
        <f>IF(Tab.o1[[#This Row],[a1]]=1,IF(SUM(C1047:C1048)=0,0,IF(SUM(C1046:C1047)=1,1,IF(SUM(C1046:C1048)&gt;1,D1046+1,0))),"")</f>
        <v/>
      </c>
      <c r="E1047" s="113" t="str">
        <f>IF(Tab.o1[[#This Row],[a1]]=1,[1]!T.in.A[[#This Row],[oo1]],"")</f>
        <v/>
      </c>
      <c r="F1047" s="113" t="str">
        <f>IF(Tab.o1[[#This Row],[a1]]=1,[1]!T.in.A[[#This Row],[pp1]],"")</f>
        <v/>
      </c>
      <c r="G1047" s="114" t="str">
        <f>IF(Tab.o1[[#This Row],[a1]]=1,G$2+IF(G$1=1,0,Tab.o1[[#This Row],[.x1]])+[1]!T.in.A[[#This Row],[oo3]],"")</f>
        <v/>
      </c>
      <c r="H1047" s="115" t="str">
        <f>IF(Tab.o1[[#This Row],[a1]]=1,IF(H$2=0,0,IF(G$1=1,0,Tab.o1[[#This Row],[.x1]])+[1]!T.in.A[[#This Row],[oo4]]),"")</f>
        <v/>
      </c>
      <c r="I1047" s="116" t="str">
        <f>IF(Tab.o1[[#This Row],[a1]]=1,IF(J$2=0,Tab.o1[[#This Row],[MED]],Tab.o1[[#This Row],[MOD]]),"")</f>
        <v/>
      </c>
      <c r="J1047" s="116" t="str">
        <f>IF(Tab.o1[[#This Row],[a1]]=1,((Tab.o1[[#This Row],[DIF_Target.]]-AVERAGE(Tab.o1[DIF_Target.]))/_xlfn.STDEV.P(Tab.o1[DIF_Target.])),"")</f>
        <v/>
      </c>
      <c r="K1047" s="117" t="str">
        <f>IF(Tab.o1[[#This Row],[a1]]=1,IF(J$2=0,Tab.o1[[#This Row],[MOD]]-Tab.o1[[#This Row],[B]],IF(J$2=1,0,-Tab.o1[[#This Row],[MED]])+Tab.o1[[#This Row],[B]]),"")</f>
        <v/>
      </c>
      <c r="L1047" s="117" t="str">
        <f ca="1">IF(Tab.o1[[#This Row],[DIF_Target]]=0,IF(L$2=0,Tab.o1[[#This Row],[DIF_Target]],AVERAGE(OFFSET(Tab.o1[[#This Row],[DIF_Target]],1,0,L$3,1)))/3,Tab.o1[[#This Row],[DIF_Target]])</f>
        <v/>
      </c>
      <c r="M1047" s="118" t="str">
        <f>IF(Tab.o1[[#This Row],[a1]]=1,NORMSDIST(Tab.o1[[#This Row],[Za]]),"")</f>
        <v/>
      </c>
      <c r="N1047" s="119" t="str">
        <f>IF(Tab.o1[[#This Row],[a1]]=1,((Tab.o1[[#This Row],[MedMod]]-AVERAGE(Tab.o1[MedMod]))/_xlfn.STDEV.P(Tab.o1[MedMod])*H$1205)+G$1205,"")</f>
        <v/>
      </c>
      <c r="O1047" s="141" t="str">
        <f>IF(Tab.o1[[#This Row],[a1]]=1,Tab.o1[[#This Row],[Zb]]*_xlfn.STDEV.P(Tab.o1[MedMod])+AVERAGE(Tab.o1[MedMod]),"")</f>
        <v/>
      </c>
      <c r="P1047" s="117" t="str">
        <f ca="1">IF(Tab.o1[[#This Row],[B]]=0,AVERAGE(OFFSET(Tab.o1[[#This Row],[B]],1,0,L$3,1)),Tab.o1[[#This Row],[B]])</f>
        <v/>
      </c>
      <c r="Q1047" s="121" t="str">
        <f>IF(Tab.o1[[#This Row],[a1]]=1,NORMSDIST(Tab.o1[[#This Row],[Zb]]),"")</f>
        <v/>
      </c>
      <c r="R1047" s="122" t="str">
        <f>IF(Tab.o1[[#This Row],[a1]]=1,((Tab.o1[[#This Row],[MedMod]]-AVERAGE(Tab.o1[MedMod]))/_xlfn.STDEV.P(Tab.o1[MedMod])*H$1203)+G$1203,"")</f>
        <v/>
      </c>
      <c r="S1047" s="122" t="str">
        <f>IF(Tab.o1[[#This Row],[a1]]=1,((Tab.o1[[#This Row],[MedMod]]-AVERAGE(Tab.o1[MedMod]))/_xlfn.STDEV.P(Tab.o1[MedMod])*H$1204)+G$1204,"")</f>
        <v/>
      </c>
      <c r="T1047" s="123" t="str">
        <f>IF(Tab.o1[[#This Row],[a1]]=1,Tab.o1[[#This Row],[Z-]]*_xlfn.STDEV.P(Tab.o1[B])+AVERAGE(Tab.o1[B]),"")</f>
        <v/>
      </c>
      <c r="U1047" s="123" t="str">
        <f>IF(Tab.o1[[#This Row],[a1]]=1,Tab.o1[[#This Row],[z+]]*_xlfn.STDEV.P(Tab.o1[B])+AVERAGE(Tab.o1[B]),"")</f>
        <v/>
      </c>
      <c r="V1047" s="124" t="str">
        <f>IF(Tab.o1[[#This Row],[a1]]=1,ABS((ABS(Tab.o1[[#This Row],[Red]]-Tab.o1[[#This Row],[Blue]]))),"")</f>
        <v/>
      </c>
      <c r="W1047" s="125" t="str">
        <f>IF(Tab.o1[[#This Row],[a1]]=1,IF(W$3=0,1,Tab.o1[[#This Row],[Amp.]]*1/_xlfn.MINIFS(Tab.o1[Amp.],Tab.o1[Amp.],"&lt;&gt;0")),"")</f>
        <v/>
      </c>
      <c r="X1047" s="126" t="str">
        <f>IF(Tab.o1[[#This Row],[a1]]=1,IF(ISNUMBER(Tab.o1[[#This Row],[i.]]),NORMDIST(Tab.o1[[#This Row],[Za]],0,1,FALSE)*Tab.o1[[#This Row],[i.]],AP$3),"")</f>
        <v/>
      </c>
      <c r="Y1047" s="126" t="str">
        <f>IF(Tab.o1[[#This Row],[a1]]=1,0.01+0.94*Tab.o1[[#This Row],[PDF]]/MAX(Tab.o1[PDF]),"")</f>
        <v/>
      </c>
      <c r="Z1047" s="126" t="str">
        <f>IF(Tab.o1[[#This Row],[a1]]=1,0.01+0.94*Tab.o1[[#This Row],[W1_PDF]]/MAX(Tab.o1[W1_PDF]),"")</f>
        <v/>
      </c>
      <c r="AA1047" s="118" t="str">
        <f>IF(Tab.o1[[#This Row],[a1]]=1,ABS([1]!T.in.A[[#This Row],[oo6]]),"")</f>
        <v/>
      </c>
      <c r="AB1047" s="127" t="str">
        <f>IF(Tab.o1[[#This Row],[a1]]=1,IF(AE$3=0,"",IF(AB$3=0,ABS([1]!T.in.A[[#This Row],[oo9]]),ABS(Tab.o1[[#This Row],[DIF_Target.]]*Tab.o1[[#This Row],[W1_PDF]]))),"")</f>
        <v/>
      </c>
      <c r="AC1047" s="127" t="str">
        <f>IF(G$1=1,"",IF(Tab.o1[[#This Row],[a1]]=1,Tab.o1[[#This Row],[Wr]]^2,""))</f>
        <v/>
      </c>
      <c r="AD1047" s="118" t="str">
        <f>IF(Tab.o1[[#This Row],[a1]]=1,IF(AE$3=0,"",Tab.o1[[#This Row],[Wr2]]/SUM(Tab.o1[Wr2])),"")</f>
        <v/>
      </c>
      <c r="AE1047" s="128" t="str">
        <f>IF(Tab.o1[[#This Row],[a1]]=1,[1]!T.in.A[[#This Row],[oo10]],"")</f>
        <v/>
      </c>
      <c r="AF1047" s="118" t="str">
        <f>IF(Tab.o1[[#This Row],[a1]]=1,ABS(Tab.o1[[#This Row],[DIF_Target.]]*Tab.o1[[#This Row],[PDF2]]*Tab.o1[[#This Row],[IN]]),"")</f>
        <v/>
      </c>
      <c r="AG1047" s="129" t="str">
        <f>IF(Tab.o1[[#This Row],[a1]]=1,Tab.o1[[#This Row],[rW]]^2,"")</f>
        <v/>
      </c>
      <c r="AH1047" s="130" t="str">
        <f>IF(Tab.o1[[#This Row],[a1]]=1,IF(AH$3=0,Tab.o1[[#This Row],[rW2]],0.01+0.94*Tab.o1[[#This Row],[rW2]]/SUM(Tab.o1[rW2])),"")</f>
        <v/>
      </c>
      <c r="AI1047" s="128" t="str">
        <f>IF(Tab.o1[[#This Row],[a1]]=1,1/Tab.o1[[#This Row],[PDF]],"")</f>
        <v/>
      </c>
      <c r="AJ1047" s="131" t="str">
        <f>IF(Tab.o1[[#This Row],[a1]]=1,[1]!T_AA[[#This Row],[IN'']]*[1]!T_AA[[#This Row],[Qde'']],"")</f>
        <v/>
      </c>
      <c r="AK1047" s="132" t="str">
        <f>IF(Tab.o1[[#This Row],[a1]]=1,IF(AK$1=1,Tab.o1[[#This Row],[MED]]+Tab.o1[[#This Row],[MOD]]-Tab.o1[[#This Row],[MED]],""),"")</f>
        <v/>
      </c>
      <c r="AL1047" s="133" t="str">
        <f>IF(Tab.o1[[#This Row],[a1]]=1,[1]!T.in.A[[#This Row],[oo16]],"")</f>
        <v/>
      </c>
      <c r="AM1047" s="133" t="str">
        <f>IF(Tab.o1[[#This Row],[a1]]=1,IF(AM$3=1,[1]!T.in.A[[#This Row],[Σo16]],""),"")</f>
        <v/>
      </c>
      <c r="AN1047" s="126" t="str">
        <f>IF(Tab.o1[[#This Row],[a1]]=1,[1]!T.in.A[[#This Row],[Σp5]],"")</f>
        <v/>
      </c>
      <c r="AO1047" s="126" t="str">
        <f>IF(Tab.o1[[#This Row],[a1]]=1,IF(AO$3=1,[1]!T.in.A[[#This Row],[Σp5]],""),"")</f>
        <v/>
      </c>
      <c r="AP1047" s="110" t="str">
        <f>IF(Tab.o1[[#This Row],[a1]]=1,IF(ISNUMBER(Tab.o1[[#This Row],[i.]]),NORMDIST(Tab.o1[[#This Row],[Za]],0,1,FALSE)*Tab.o1[[#This Row],[i.]],0),"")</f>
        <v/>
      </c>
      <c r="AQ1047" s="125" t="str">
        <f>IF(Tab.o1[[#This Row],[a1]]=1,ABS(Tab.o1[[#This Row],[MOD]]-AVERAGE(Tab.o1[MOD])),"")</f>
        <v/>
      </c>
      <c r="AR1047" s="134" t="str">
        <f>IF(Tab.o1[[#This Row],[a1]]=1,Tab.o1[[#This Row],[OBS]]/SUM(Tab.o1[OBS]),"")</f>
        <v/>
      </c>
      <c r="AS1047" s="135" t="str">
        <f>IF(ISNUMBER(Tab.o1[[#This Row],[a1]]),ROW()-4,"")</f>
        <v/>
      </c>
      <c r="AT1047" s="136" t="str">
        <f>Tab.o1[[#This Row],[MOD]]</f>
        <v/>
      </c>
      <c r="AU1047" s="137" t="str">
        <f t="shared" si="65"/>
        <v/>
      </c>
      <c r="AV1047" s="138" t="str">
        <f t="shared" si="66"/>
        <v/>
      </c>
      <c r="AW1047" s="138" t="str">
        <f t="shared" si="67"/>
        <v/>
      </c>
      <c r="AX1047" s="139" t="str">
        <f>[1]!T.in.A[[#This Row],[ID_T_manu]]</f>
        <v/>
      </c>
      <c r="AY1047" s="140" t="str">
        <f>IF(ISNUMBER(Tab.o1[[#This Row],[a1]]),IF(AND(Tab.o1[[#This Row],[a1]]=1,Tab.o1[[#This Row],[b1]]&lt;=AY$4),#REF!,AY1046),"")</f>
        <v/>
      </c>
      <c r="AZ1047" s="25"/>
      <c r="BA1047" s="25"/>
      <c r="BB1047" s="25"/>
      <c r="BC1047" s="25"/>
      <c r="BD1047" s="25"/>
      <c r="BE1047" s="25"/>
      <c r="BF1047" s="25"/>
      <c r="BG1047" s="25"/>
      <c r="BH1047" s="25"/>
      <c r="BI1047" s="25"/>
      <c r="BJ1047" s="25"/>
      <c r="BK1047" s="25"/>
      <c r="BL1047" s="25"/>
      <c r="BM1047" s="25"/>
      <c r="BN1047" s="26"/>
      <c r="BO1047" s="26"/>
      <c r="BP1047" s="26"/>
      <c r="BQ1047" s="26"/>
      <c r="BR1047" s="26"/>
      <c r="BS1047" s="26"/>
      <c r="BT1047" s="26"/>
      <c r="BU1047" s="26"/>
      <c r="BV1047" s="26"/>
      <c r="BW1047" s="26"/>
      <c r="BX1047" s="26"/>
      <c r="BY1047" s="26"/>
      <c r="BZ1047" s="26"/>
      <c r="CA1047" s="26"/>
    </row>
    <row r="1048" spans="1:79" ht="15.75" hidden="1">
      <c r="A1048" s="109">
        <v>5.0000000000000004E-6</v>
      </c>
      <c r="B1048" s="110">
        <f t="shared" si="64"/>
        <v>1048</v>
      </c>
      <c r="C1048" s="111" t="str">
        <f>IF(C$1=[1]!T.in.A[[#This Row],[oo2]],1,"")</f>
        <v/>
      </c>
      <c r="D1048" s="112" t="str">
        <f>IF(Tab.o1[[#This Row],[a1]]=1,IF(SUM(C1048:C1049)=0,0,IF(SUM(C1047:C1048)=1,1,IF(SUM(C1047:C1049)&gt;1,D1047+1,0))),"")</f>
        <v/>
      </c>
      <c r="E1048" s="113" t="str">
        <f>IF(Tab.o1[[#This Row],[a1]]=1,[1]!T.in.A[[#This Row],[oo1]],"")</f>
        <v/>
      </c>
      <c r="F1048" s="113" t="str">
        <f>IF(Tab.o1[[#This Row],[a1]]=1,[1]!T.in.A[[#This Row],[pp1]],"")</f>
        <v/>
      </c>
      <c r="G1048" s="114" t="str">
        <f>IF(Tab.o1[[#This Row],[a1]]=1,G$2+IF(G$1=1,0,Tab.o1[[#This Row],[.x1]])+[1]!T.in.A[[#This Row],[oo3]],"")</f>
        <v/>
      </c>
      <c r="H1048" s="115" t="str">
        <f>IF(Tab.o1[[#This Row],[a1]]=1,IF(H$2=0,0,IF(G$1=1,0,Tab.o1[[#This Row],[.x1]])+[1]!T.in.A[[#This Row],[oo4]]),"")</f>
        <v/>
      </c>
      <c r="I1048" s="116" t="str">
        <f>IF(Tab.o1[[#This Row],[a1]]=1,IF(J$2=0,Tab.o1[[#This Row],[MED]],Tab.o1[[#This Row],[MOD]]),"")</f>
        <v/>
      </c>
      <c r="J1048" s="116" t="str">
        <f>IF(Tab.o1[[#This Row],[a1]]=1,((Tab.o1[[#This Row],[DIF_Target.]]-AVERAGE(Tab.o1[DIF_Target.]))/_xlfn.STDEV.P(Tab.o1[DIF_Target.])),"")</f>
        <v/>
      </c>
      <c r="K1048" s="117" t="str">
        <f>IF(Tab.o1[[#This Row],[a1]]=1,IF(J$2=0,Tab.o1[[#This Row],[MOD]]-Tab.o1[[#This Row],[B]],IF(J$2=1,0,-Tab.o1[[#This Row],[MED]])+Tab.o1[[#This Row],[B]]),"")</f>
        <v/>
      </c>
      <c r="L1048" s="117" t="str">
        <f ca="1">IF(Tab.o1[[#This Row],[DIF_Target]]=0,IF(L$2=0,Tab.o1[[#This Row],[DIF_Target]],AVERAGE(OFFSET(Tab.o1[[#This Row],[DIF_Target]],1,0,L$3,1)))/3,Tab.o1[[#This Row],[DIF_Target]])</f>
        <v/>
      </c>
      <c r="M1048" s="118" t="str">
        <f>IF(Tab.o1[[#This Row],[a1]]=1,NORMSDIST(Tab.o1[[#This Row],[Za]]),"")</f>
        <v/>
      </c>
      <c r="N1048" s="119" t="str">
        <f>IF(Tab.o1[[#This Row],[a1]]=1,((Tab.o1[[#This Row],[MedMod]]-AVERAGE(Tab.o1[MedMod]))/_xlfn.STDEV.P(Tab.o1[MedMod])*H$1205)+G$1205,"")</f>
        <v/>
      </c>
      <c r="O1048" s="141" t="str">
        <f>IF(Tab.o1[[#This Row],[a1]]=1,Tab.o1[[#This Row],[Zb]]*_xlfn.STDEV.P(Tab.o1[MedMod])+AVERAGE(Tab.o1[MedMod]),"")</f>
        <v/>
      </c>
      <c r="P1048" s="117" t="str">
        <f ca="1">IF(Tab.o1[[#This Row],[B]]=0,AVERAGE(OFFSET(Tab.o1[[#This Row],[B]],1,0,L$3,1)),Tab.o1[[#This Row],[B]])</f>
        <v/>
      </c>
      <c r="Q1048" s="121" t="str">
        <f>IF(Tab.o1[[#This Row],[a1]]=1,NORMSDIST(Tab.o1[[#This Row],[Zb]]),"")</f>
        <v/>
      </c>
      <c r="R1048" s="122" t="str">
        <f>IF(Tab.o1[[#This Row],[a1]]=1,((Tab.o1[[#This Row],[MedMod]]-AVERAGE(Tab.o1[MedMod]))/_xlfn.STDEV.P(Tab.o1[MedMod])*H$1203)+G$1203,"")</f>
        <v/>
      </c>
      <c r="S1048" s="122" t="str">
        <f>IF(Tab.o1[[#This Row],[a1]]=1,((Tab.o1[[#This Row],[MedMod]]-AVERAGE(Tab.o1[MedMod]))/_xlfn.STDEV.P(Tab.o1[MedMod])*H$1204)+G$1204,"")</f>
        <v/>
      </c>
      <c r="T1048" s="123" t="str">
        <f>IF(Tab.o1[[#This Row],[a1]]=1,Tab.o1[[#This Row],[Z-]]*_xlfn.STDEV.P(Tab.o1[B])+AVERAGE(Tab.o1[B]),"")</f>
        <v/>
      </c>
      <c r="U1048" s="123" t="str">
        <f>IF(Tab.o1[[#This Row],[a1]]=1,Tab.o1[[#This Row],[z+]]*_xlfn.STDEV.P(Tab.o1[B])+AVERAGE(Tab.o1[B]),"")</f>
        <v/>
      </c>
      <c r="V1048" s="124" t="str">
        <f>IF(Tab.o1[[#This Row],[a1]]=1,ABS((ABS(Tab.o1[[#This Row],[Red]]-Tab.o1[[#This Row],[Blue]]))),"")</f>
        <v/>
      </c>
      <c r="W1048" s="125" t="str">
        <f>IF(Tab.o1[[#This Row],[a1]]=1,IF(W$3=0,1,Tab.o1[[#This Row],[Amp.]]*1/_xlfn.MINIFS(Tab.o1[Amp.],Tab.o1[Amp.],"&lt;&gt;0")),"")</f>
        <v/>
      </c>
      <c r="X1048" s="126" t="str">
        <f>IF(Tab.o1[[#This Row],[a1]]=1,IF(ISNUMBER(Tab.o1[[#This Row],[i.]]),NORMDIST(Tab.o1[[#This Row],[Za]],0,1,FALSE)*Tab.o1[[#This Row],[i.]],AP$3),"")</f>
        <v/>
      </c>
      <c r="Y1048" s="126" t="str">
        <f>IF(Tab.o1[[#This Row],[a1]]=1,0.01+0.94*Tab.o1[[#This Row],[PDF]]/MAX(Tab.o1[PDF]),"")</f>
        <v/>
      </c>
      <c r="Z1048" s="126" t="str">
        <f>IF(Tab.o1[[#This Row],[a1]]=1,0.01+0.94*Tab.o1[[#This Row],[W1_PDF]]/MAX(Tab.o1[W1_PDF]),"")</f>
        <v/>
      </c>
      <c r="AA1048" s="118" t="str">
        <f>IF(Tab.o1[[#This Row],[a1]]=1,ABS([1]!T.in.A[[#This Row],[oo6]]),"")</f>
        <v/>
      </c>
      <c r="AB1048" s="127" t="str">
        <f>IF(Tab.o1[[#This Row],[a1]]=1,IF(AE$3=0,"",IF(AB$3=0,ABS([1]!T.in.A[[#This Row],[oo9]]),ABS(Tab.o1[[#This Row],[DIF_Target.]]*Tab.o1[[#This Row],[W1_PDF]]))),"")</f>
        <v/>
      </c>
      <c r="AC1048" s="127" t="str">
        <f>IF(G$1=1,"",IF(Tab.o1[[#This Row],[a1]]=1,Tab.o1[[#This Row],[Wr]]^2,""))</f>
        <v/>
      </c>
      <c r="AD1048" s="118" t="str">
        <f>IF(Tab.o1[[#This Row],[a1]]=1,IF(AE$3=0,"",Tab.o1[[#This Row],[Wr2]]/SUM(Tab.o1[Wr2])),"")</f>
        <v/>
      </c>
      <c r="AE1048" s="128" t="str">
        <f>IF(Tab.o1[[#This Row],[a1]]=1,[1]!T.in.A[[#This Row],[oo10]],"")</f>
        <v/>
      </c>
      <c r="AF1048" s="118" t="str">
        <f>IF(Tab.o1[[#This Row],[a1]]=1,ABS(Tab.o1[[#This Row],[DIF_Target.]]*Tab.o1[[#This Row],[PDF2]]*Tab.o1[[#This Row],[IN]]),"")</f>
        <v/>
      </c>
      <c r="AG1048" s="129" t="str">
        <f>IF(Tab.o1[[#This Row],[a1]]=1,Tab.o1[[#This Row],[rW]]^2,"")</f>
        <v/>
      </c>
      <c r="AH1048" s="130" t="str">
        <f>IF(Tab.o1[[#This Row],[a1]]=1,IF(AH$3=0,Tab.o1[[#This Row],[rW2]],0.01+0.94*Tab.o1[[#This Row],[rW2]]/SUM(Tab.o1[rW2])),"")</f>
        <v/>
      </c>
      <c r="AI1048" s="128" t="str">
        <f>IF(Tab.o1[[#This Row],[a1]]=1,1/Tab.o1[[#This Row],[PDF]],"")</f>
        <v/>
      </c>
      <c r="AJ1048" s="131" t="str">
        <f>IF(Tab.o1[[#This Row],[a1]]=1,[1]!T_AA[[#This Row],[IN'']]*[1]!T_AA[[#This Row],[Qde'']],"")</f>
        <v/>
      </c>
      <c r="AK1048" s="132" t="str">
        <f>IF(Tab.o1[[#This Row],[a1]]=1,IF(AK$1=1,Tab.o1[[#This Row],[MED]]+Tab.o1[[#This Row],[MOD]]-Tab.o1[[#This Row],[MED]],""),"")</f>
        <v/>
      </c>
      <c r="AL1048" s="133" t="str">
        <f>IF(Tab.o1[[#This Row],[a1]]=1,[1]!T.in.A[[#This Row],[oo16]],"")</f>
        <v/>
      </c>
      <c r="AM1048" s="133" t="str">
        <f>IF(Tab.o1[[#This Row],[a1]]=1,IF(AM$3=1,[1]!T.in.A[[#This Row],[Σo16]],""),"")</f>
        <v/>
      </c>
      <c r="AN1048" s="126" t="str">
        <f>IF(Tab.o1[[#This Row],[a1]]=1,[1]!T.in.A[[#This Row],[Σp5]],"")</f>
        <v/>
      </c>
      <c r="AO1048" s="126" t="str">
        <f>IF(Tab.o1[[#This Row],[a1]]=1,IF(AO$3=1,[1]!T.in.A[[#This Row],[Σp5]],""),"")</f>
        <v/>
      </c>
      <c r="AP1048" s="110" t="str">
        <f>IF(Tab.o1[[#This Row],[a1]]=1,IF(ISNUMBER(Tab.o1[[#This Row],[i.]]),NORMDIST(Tab.o1[[#This Row],[Za]],0,1,FALSE)*Tab.o1[[#This Row],[i.]],0),"")</f>
        <v/>
      </c>
      <c r="AQ1048" s="125" t="str">
        <f>IF(Tab.o1[[#This Row],[a1]]=1,ABS(Tab.o1[[#This Row],[MOD]]-AVERAGE(Tab.o1[MOD])),"")</f>
        <v/>
      </c>
      <c r="AR1048" s="134" t="str">
        <f>IF(Tab.o1[[#This Row],[a1]]=1,Tab.o1[[#This Row],[OBS]]/SUM(Tab.o1[OBS]),"")</f>
        <v/>
      </c>
      <c r="AS1048" s="135" t="str">
        <f>IF(ISNUMBER(Tab.o1[[#This Row],[a1]]),ROW()-4,"")</f>
        <v/>
      </c>
      <c r="AT1048" s="136" t="str">
        <f>Tab.o1[[#This Row],[MOD]]</f>
        <v/>
      </c>
      <c r="AU1048" s="137" t="str">
        <f t="shared" si="65"/>
        <v/>
      </c>
      <c r="AV1048" s="138" t="str">
        <f t="shared" si="66"/>
        <v/>
      </c>
      <c r="AW1048" s="138" t="str">
        <f t="shared" si="67"/>
        <v/>
      </c>
      <c r="AX1048" s="139" t="str">
        <f>[1]!T.in.A[[#This Row],[ID_T_manu]]</f>
        <v/>
      </c>
      <c r="AY1048" s="140" t="str">
        <f>IF(ISNUMBER(Tab.o1[[#This Row],[a1]]),IF(AND(Tab.o1[[#This Row],[a1]]=1,Tab.o1[[#This Row],[b1]]&lt;=AY$4),#REF!,AY1047),"")</f>
        <v/>
      </c>
      <c r="AZ1048" s="25"/>
      <c r="BA1048" s="25"/>
      <c r="BB1048" s="25"/>
      <c r="BC1048" s="25"/>
      <c r="BD1048" s="25"/>
      <c r="BE1048" s="25"/>
      <c r="BF1048" s="25"/>
      <c r="BG1048" s="25"/>
      <c r="BH1048" s="25"/>
      <c r="BI1048" s="25"/>
      <c r="BJ1048" s="25"/>
      <c r="BK1048" s="25"/>
      <c r="BL1048" s="25"/>
      <c r="BM1048" s="25"/>
      <c r="BN1048" s="26"/>
      <c r="BO1048" s="26"/>
      <c r="BP1048" s="26"/>
      <c r="BQ1048" s="26"/>
      <c r="BR1048" s="26"/>
      <c r="BS1048" s="26"/>
      <c r="BT1048" s="26"/>
      <c r="BU1048" s="26"/>
      <c r="BV1048" s="26"/>
      <c r="BW1048" s="26"/>
      <c r="BX1048" s="26"/>
      <c r="BY1048" s="26"/>
      <c r="BZ1048" s="26"/>
      <c r="CA1048" s="26"/>
    </row>
    <row r="1049" spans="1:79" ht="15.75" hidden="1">
      <c r="A1049" s="109">
        <v>2.0000000000000003E-6</v>
      </c>
      <c r="B1049" s="110">
        <f t="shared" si="64"/>
        <v>1049</v>
      </c>
      <c r="C1049" s="111" t="str">
        <f>IF(C$1=[1]!T.in.A[[#This Row],[oo2]],1,"")</f>
        <v/>
      </c>
      <c r="D1049" s="112" t="str">
        <f>IF(Tab.o1[[#This Row],[a1]]=1,IF(SUM(C1049:C1050)=0,0,IF(SUM(C1048:C1049)=1,1,IF(SUM(C1048:C1050)&gt;1,D1048+1,0))),"")</f>
        <v/>
      </c>
      <c r="E1049" s="113" t="str">
        <f>IF(Tab.o1[[#This Row],[a1]]=1,[1]!T.in.A[[#This Row],[oo1]],"")</f>
        <v/>
      </c>
      <c r="F1049" s="113" t="str">
        <f>IF(Tab.o1[[#This Row],[a1]]=1,[1]!T.in.A[[#This Row],[pp1]],"")</f>
        <v/>
      </c>
      <c r="G1049" s="114" t="str">
        <f>IF(Tab.o1[[#This Row],[a1]]=1,G$2+IF(G$1=1,0,Tab.o1[[#This Row],[.x1]])+[1]!T.in.A[[#This Row],[oo3]],"")</f>
        <v/>
      </c>
      <c r="H1049" s="115" t="str">
        <f>IF(Tab.o1[[#This Row],[a1]]=1,IF(H$2=0,0,IF(G$1=1,0,Tab.o1[[#This Row],[.x1]])+[1]!T.in.A[[#This Row],[oo4]]),"")</f>
        <v/>
      </c>
      <c r="I1049" s="116" t="str">
        <f>IF(Tab.o1[[#This Row],[a1]]=1,IF(J$2=0,Tab.o1[[#This Row],[MED]],Tab.o1[[#This Row],[MOD]]),"")</f>
        <v/>
      </c>
      <c r="J1049" s="116" t="str">
        <f>IF(Tab.o1[[#This Row],[a1]]=1,((Tab.o1[[#This Row],[DIF_Target.]]-AVERAGE(Tab.o1[DIF_Target.]))/_xlfn.STDEV.P(Tab.o1[DIF_Target.])),"")</f>
        <v/>
      </c>
      <c r="K1049" s="117" t="str">
        <f>IF(Tab.o1[[#This Row],[a1]]=1,IF(J$2=0,Tab.o1[[#This Row],[MOD]]-Tab.o1[[#This Row],[B]],IF(J$2=1,0,-Tab.o1[[#This Row],[MED]])+Tab.o1[[#This Row],[B]]),"")</f>
        <v/>
      </c>
      <c r="L1049" s="117" t="str">
        <f ca="1">IF(Tab.o1[[#This Row],[DIF_Target]]=0,IF(L$2=0,Tab.o1[[#This Row],[DIF_Target]],AVERAGE(OFFSET(Tab.o1[[#This Row],[DIF_Target]],1,0,L$3,1)))/3,Tab.o1[[#This Row],[DIF_Target]])</f>
        <v/>
      </c>
      <c r="M1049" s="118" t="str">
        <f>IF(Tab.o1[[#This Row],[a1]]=1,NORMSDIST(Tab.o1[[#This Row],[Za]]),"")</f>
        <v/>
      </c>
      <c r="N1049" s="119" t="str">
        <f>IF(Tab.o1[[#This Row],[a1]]=1,((Tab.o1[[#This Row],[MedMod]]-AVERAGE(Tab.o1[MedMod]))/_xlfn.STDEV.P(Tab.o1[MedMod])*H$1205)+G$1205,"")</f>
        <v/>
      </c>
      <c r="O1049" s="141" t="str">
        <f>IF(Tab.o1[[#This Row],[a1]]=1,Tab.o1[[#This Row],[Zb]]*_xlfn.STDEV.P(Tab.o1[MedMod])+AVERAGE(Tab.o1[MedMod]),"")</f>
        <v/>
      </c>
      <c r="P1049" s="117" t="str">
        <f ca="1">IF(Tab.o1[[#This Row],[B]]=0,AVERAGE(OFFSET(Tab.o1[[#This Row],[B]],1,0,L$3,1)),Tab.o1[[#This Row],[B]])</f>
        <v/>
      </c>
      <c r="Q1049" s="121" t="str">
        <f>IF(Tab.o1[[#This Row],[a1]]=1,NORMSDIST(Tab.o1[[#This Row],[Zb]]),"")</f>
        <v/>
      </c>
      <c r="R1049" s="122" t="str">
        <f>IF(Tab.o1[[#This Row],[a1]]=1,((Tab.o1[[#This Row],[MedMod]]-AVERAGE(Tab.o1[MedMod]))/_xlfn.STDEV.P(Tab.o1[MedMod])*H$1203)+G$1203,"")</f>
        <v/>
      </c>
      <c r="S1049" s="122" t="str">
        <f>IF(Tab.o1[[#This Row],[a1]]=1,((Tab.o1[[#This Row],[MedMod]]-AVERAGE(Tab.o1[MedMod]))/_xlfn.STDEV.P(Tab.o1[MedMod])*H$1204)+G$1204,"")</f>
        <v/>
      </c>
      <c r="T1049" s="123" t="str">
        <f>IF(Tab.o1[[#This Row],[a1]]=1,Tab.o1[[#This Row],[Z-]]*_xlfn.STDEV.P(Tab.o1[B])+AVERAGE(Tab.o1[B]),"")</f>
        <v/>
      </c>
      <c r="U1049" s="123" t="str">
        <f>IF(Tab.o1[[#This Row],[a1]]=1,Tab.o1[[#This Row],[z+]]*_xlfn.STDEV.P(Tab.o1[B])+AVERAGE(Tab.o1[B]),"")</f>
        <v/>
      </c>
      <c r="V1049" s="124" t="str">
        <f>IF(Tab.o1[[#This Row],[a1]]=1,ABS((ABS(Tab.o1[[#This Row],[Red]]-Tab.o1[[#This Row],[Blue]]))),"")</f>
        <v/>
      </c>
      <c r="W1049" s="125" t="str">
        <f>IF(Tab.o1[[#This Row],[a1]]=1,IF(W$3=0,1,Tab.o1[[#This Row],[Amp.]]*1/_xlfn.MINIFS(Tab.o1[Amp.],Tab.o1[Amp.],"&lt;&gt;0")),"")</f>
        <v/>
      </c>
      <c r="X1049" s="126" t="str">
        <f>IF(Tab.o1[[#This Row],[a1]]=1,IF(ISNUMBER(Tab.o1[[#This Row],[i.]]),NORMDIST(Tab.o1[[#This Row],[Za]],0,1,FALSE)*Tab.o1[[#This Row],[i.]],AP$3),"")</f>
        <v/>
      </c>
      <c r="Y1049" s="126" t="str">
        <f>IF(Tab.o1[[#This Row],[a1]]=1,0.01+0.94*Tab.o1[[#This Row],[PDF]]/MAX(Tab.o1[PDF]),"")</f>
        <v/>
      </c>
      <c r="Z1049" s="126" t="str">
        <f>IF(Tab.o1[[#This Row],[a1]]=1,0.01+0.94*Tab.o1[[#This Row],[W1_PDF]]/MAX(Tab.o1[W1_PDF]),"")</f>
        <v/>
      </c>
      <c r="AA1049" s="118" t="str">
        <f>IF(Tab.o1[[#This Row],[a1]]=1,ABS([1]!T.in.A[[#This Row],[oo6]]),"")</f>
        <v/>
      </c>
      <c r="AB1049" s="127" t="str">
        <f>IF(Tab.o1[[#This Row],[a1]]=1,IF(AE$3=0,"",IF(AB$3=0,ABS([1]!T.in.A[[#This Row],[oo9]]),ABS(Tab.o1[[#This Row],[DIF_Target.]]*Tab.o1[[#This Row],[W1_PDF]]))),"")</f>
        <v/>
      </c>
      <c r="AC1049" s="127" t="str">
        <f>IF(G$1=1,"",IF(Tab.o1[[#This Row],[a1]]=1,Tab.o1[[#This Row],[Wr]]^2,""))</f>
        <v/>
      </c>
      <c r="AD1049" s="118" t="str">
        <f>IF(Tab.o1[[#This Row],[a1]]=1,IF(AE$3=0,"",Tab.o1[[#This Row],[Wr2]]/SUM(Tab.o1[Wr2])),"")</f>
        <v/>
      </c>
      <c r="AE1049" s="128" t="str">
        <f>IF(Tab.o1[[#This Row],[a1]]=1,[1]!T.in.A[[#This Row],[oo10]],"")</f>
        <v/>
      </c>
      <c r="AF1049" s="118" t="str">
        <f>IF(Tab.o1[[#This Row],[a1]]=1,ABS(Tab.o1[[#This Row],[DIF_Target.]]*Tab.o1[[#This Row],[PDF2]]*Tab.o1[[#This Row],[IN]]),"")</f>
        <v/>
      </c>
      <c r="AG1049" s="129" t="str">
        <f>IF(Tab.o1[[#This Row],[a1]]=1,Tab.o1[[#This Row],[rW]]^2,"")</f>
        <v/>
      </c>
      <c r="AH1049" s="130" t="str">
        <f>IF(Tab.o1[[#This Row],[a1]]=1,IF(AH$3=0,Tab.o1[[#This Row],[rW2]],0.01+0.94*Tab.o1[[#This Row],[rW2]]/SUM(Tab.o1[rW2])),"")</f>
        <v/>
      </c>
      <c r="AI1049" s="128" t="str">
        <f>IF(Tab.o1[[#This Row],[a1]]=1,1/Tab.o1[[#This Row],[PDF]],"")</f>
        <v/>
      </c>
      <c r="AJ1049" s="131" t="str">
        <f>IF(Tab.o1[[#This Row],[a1]]=1,[1]!T_AA[[#This Row],[IN'']]*[1]!T_AA[[#This Row],[Qde'']],"")</f>
        <v/>
      </c>
      <c r="AK1049" s="132" t="str">
        <f>IF(Tab.o1[[#This Row],[a1]]=1,IF(AK$1=1,Tab.o1[[#This Row],[MED]]+Tab.o1[[#This Row],[MOD]]-Tab.o1[[#This Row],[MED]],""),"")</f>
        <v/>
      </c>
      <c r="AL1049" s="133" t="str">
        <f>IF(Tab.o1[[#This Row],[a1]]=1,[1]!T.in.A[[#This Row],[oo16]],"")</f>
        <v/>
      </c>
      <c r="AM1049" s="133" t="str">
        <f>IF(Tab.o1[[#This Row],[a1]]=1,IF(AM$3=1,[1]!T.in.A[[#This Row],[Σo16]],""),"")</f>
        <v/>
      </c>
      <c r="AN1049" s="126" t="str">
        <f>IF(Tab.o1[[#This Row],[a1]]=1,[1]!T.in.A[[#This Row],[Σp5]],"")</f>
        <v/>
      </c>
      <c r="AO1049" s="126" t="str">
        <f>IF(Tab.o1[[#This Row],[a1]]=1,IF(AO$3=1,[1]!T.in.A[[#This Row],[Σp5]],""),"")</f>
        <v/>
      </c>
      <c r="AP1049" s="110" t="str">
        <f>IF(Tab.o1[[#This Row],[a1]]=1,IF(ISNUMBER(Tab.o1[[#This Row],[i.]]),NORMDIST(Tab.o1[[#This Row],[Za]],0,1,FALSE)*Tab.o1[[#This Row],[i.]],0),"")</f>
        <v/>
      </c>
      <c r="AQ1049" s="125" t="str">
        <f>IF(Tab.o1[[#This Row],[a1]]=1,ABS(Tab.o1[[#This Row],[MOD]]-AVERAGE(Tab.o1[MOD])),"")</f>
        <v/>
      </c>
      <c r="AR1049" s="134" t="str">
        <f>IF(Tab.o1[[#This Row],[a1]]=1,Tab.o1[[#This Row],[OBS]]/SUM(Tab.o1[OBS]),"")</f>
        <v/>
      </c>
      <c r="AS1049" s="135" t="str">
        <f>IF(ISNUMBER(Tab.o1[[#This Row],[a1]]),ROW()-4,"")</f>
        <v/>
      </c>
      <c r="AT1049" s="136" t="str">
        <f>Tab.o1[[#This Row],[MOD]]</f>
        <v/>
      </c>
      <c r="AU1049" s="137" t="str">
        <f t="shared" si="65"/>
        <v/>
      </c>
      <c r="AV1049" s="138" t="str">
        <f t="shared" si="66"/>
        <v/>
      </c>
      <c r="AW1049" s="138" t="str">
        <f t="shared" si="67"/>
        <v/>
      </c>
      <c r="AX1049" s="139" t="str">
        <f>[1]!T.in.A[[#This Row],[ID_T_manu]]</f>
        <v/>
      </c>
      <c r="AY1049" s="140" t="str">
        <f>IF(ISNUMBER(Tab.o1[[#This Row],[a1]]),IF(AND(Tab.o1[[#This Row],[a1]]=1,Tab.o1[[#This Row],[b1]]&lt;=AY$4),#REF!,AY1048),"")</f>
        <v/>
      </c>
      <c r="AZ1049" s="25"/>
      <c r="BA1049" s="25"/>
      <c r="BB1049" s="25"/>
      <c r="BC1049" s="25"/>
      <c r="BD1049" s="25"/>
      <c r="BE1049" s="25"/>
      <c r="BF1049" s="25"/>
      <c r="BG1049" s="25"/>
      <c r="BH1049" s="25"/>
      <c r="BI1049" s="25"/>
      <c r="BJ1049" s="25"/>
      <c r="BK1049" s="25"/>
      <c r="BL1049" s="25"/>
      <c r="BM1049" s="25"/>
      <c r="BN1049" s="26"/>
      <c r="BO1049" s="26"/>
      <c r="BP1049" s="26"/>
      <c r="BQ1049" s="26"/>
      <c r="BR1049" s="26"/>
      <c r="BS1049" s="26"/>
      <c r="BT1049" s="26"/>
      <c r="BU1049" s="26"/>
      <c r="BV1049" s="26"/>
      <c r="BW1049" s="26"/>
      <c r="BX1049" s="26"/>
      <c r="BY1049" s="26"/>
      <c r="BZ1049" s="26"/>
      <c r="CA1049" s="26"/>
    </row>
    <row r="1050" spans="1:79" ht="15.75" hidden="1">
      <c r="A1050" s="109">
        <v>-1.0000000000000001E-5</v>
      </c>
      <c r="B1050" s="110">
        <f t="shared" si="64"/>
        <v>1050</v>
      </c>
      <c r="C1050" s="111" t="str">
        <f>IF(C$1=[1]!T.in.A[[#This Row],[oo2]],1,"")</f>
        <v/>
      </c>
      <c r="D1050" s="112" t="str">
        <f>IF(Tab.o1[[#This Row],[a1]]=1,IF(SUM(C1050:C1051)=0,0,IF(SUM(C1049:C1050)=1,1,IF(SUM(C1049:C1051)&gt;1,D1049+1,0))),"")</f>
        <v/>
      </c>
      <c r="E1050" s="113" t="str">
        <f>IF(Tab.o1[[#This Row],[a1]]=1,[1]!T.in.A[[#This Row],[oo1]],"")</f>
        <v/>
      </c>
      <c r="F1050" s="113" t="str">
        <f>IF(Tab.o1[[#This Row],[a1]]=1,[1]!T.in.A[[#This Row],[pp1]],"")</f>
        <v/>
      </c>
      <c r="G1050" s="114" t="str">
        <f>IF(Tab.o1[[#This Row],[a1]]=1,G$2+IF(G$1=1,0,Tab.o1[[#This Row],[.x1]])+[1]!T.in.A[[#This Row],[oo3]],"")</f>
        <v/>
      </c>
      <c r="H1050" s="115" t="str">
        <f>IF(Tab.o1[[#This Row],[a1]]=1,IF(H$2=0,0,IF(G$1=1,0,Tab.o1[[#This Row],[.x1]])+[1]!T.in.A[[#This Row],[oo4]]),"")</f>
        <v/>
      </c>
      <c r="I1050" s="116" t="str">
        <f>IF(Tab.o1[[#This Row],[a1]]=1,IF(J$2=0,Tab.o1[[#This Row],[MED]],Tab.o1[[#This Row],[MOD]]),"")</f>
        <v/>
      </c>
      <c r="J1050" s="116" t="str">
        <f>IF(Tab.o1[[#This Row],[a1]]=1,((Tab.o1[[#This Row],[DIF_Target.]]-AVERAGE(Tab.o1[DIF_Target.]))/_xlfn.STDEV.P(Tab.o1[DIF_Target.])),"")</f>
        <v/>
      </c>
      <c r="K1050" s="117" t="str">
        <f>IF(Tab.o1[[#This Row],[a1]]=1,IF(J$2=0,Tab.o1[[#This Row],[MOD]]-Tab.o1[[#This Row],[B]],IF(J$2=1,0,-Tab.o1[[#This Row],[MED]])+Tab.o1[[#This Row],[B]]),"")</f>
        <v/>
      </c>
      <c r="L1050" s="117" t="str">
        <f ca="1">IF(Tab.o1[[#This Row],[DIF_Target]]=0,IF(L$2=0,Tab.o1[[#This Row],[DIF_Target]],AVERAGE(OFFSET(Tab.o1[[#This Row],[DIF_Target]],1,0,L$3,1)))/3,Tab.o1[[#This Row],[DIF_Target]])</f>
        <v/>
      </c>
      <c r="M1050" s="118" t="str">
        <f>IF(Tab.o1[[#This Row],[a1]]=1,NORMSDIST(Tab.o1[[#This Row],[Za]]),"")</f>
        <v/>
      </c>
      <c r="N1050" s="119" t="str">
        <f>IF(Tab.o1[[#This Row],[a1]]=1,((Tab.o1[[#This Row],[MedMod]]-AVERAGE(Tab.o1[MedMod]))/_xlfn.STDEV.P(Tab.o1[MedMod])*H$1205)+G$1205,"")</f>
        <v/>
      </c>
      <c r="O1050" s="141" t="str">
        <f>IF(Tab.o1[[#This Row],[a1]]=1,Tab.o1[[#This Row],[Zb]]*_xlfn.STDEV.P(Tab.o1[MedMod])+AVERAGE(Tab.o1[MedMod]),"")</f>
        <v/>
      </c>
      <c r="P1050" s="117" t="str">
        <f ca="1">IF(Tab.o1[[#This Row],[B]]=0,AVERAGE(OFFSET(Tab.o1[[#This Row],[B]],1,0,L$3,1)),Tab.o1[[#This Row],[B]])</f>
        <v/>
      </c>
      <c r="Q1050" s="121" t="str">
        <f>IF(Tab.o1[[#This Row],[a1]]=1,NORMSDIST(Tab.o1[[#This Row],[Zb]]),"")</f>
        <v/>
      </c>
      <c r="R1050" s="122" t="str">
        <f>IF(Tab.o1[[#This Row],[a1]]=1,((Tab.o1[[#This Row],[MedMod]]-AVERAGE(Tab.o1[MedMod]))/_xlfn.STDEV.P(Tab.o1[MedMod])*H$1203)+G$1203,"")</f>
        <v/>
      </c>
      <c r="S1050" s="122" t="str">
        <f>IF(Tab.o1[[#This Row],[a1]]=1,((Tab.o1[[#This Row],[MedMod]]-AVERAGE(Tab.o1[MedMod]))/_xlfn.STDEV.P(Tab.o1[MedMod])*H$1204)+G$1204,"")</f>
        <v/>
      </c>
      <c r="T1050" s="123" t="str">
        <f>IF(Tab.o1[[#This Row],[a1]]=1,Tab.o1[[#This Row],[Z-]]*_xlfn.STDEV.P(Tab.o1[B])+AVERAGE(Tab.o1[B]),"")</f>
        <v/>
      </c>
      <c r="U1050" s="123" t="str">
        <f>IF(Tab.o1[[#This Row],[a1]]=1,Tab.o1[[#This Row],[z+]]*_xlfn.STDEV.P(Tab.o1[B])+AVERAGE(Tab.o1[B]),"")</f>
        <v/>
      </c>
      <c r="V1050" s="124" t="str">
        <f>IF(Tab.o1[[#This Row],[a1]]=1,ABS((ABS(Tab.o1[[#This Row],[Red]]-Tab.o1[[#This Row],[Blue]]))),"")</f>
        <v/>
      </c>
      <c r="W1050" s="125" t="str">
        <f>IF(Tab.o1[[#This Row],[a1]]=1,IF(W$3=0,1,Tab.o1[[#This Row],[Amp.]]*1/_xlfn.MINIFS(Tab.o1[Amp.],Tab.o1[Amp.],"&lt;&gt;0")),"")</f>
        <v/>
      </c>
      <c r="X1050" s="126" t="str">
        <f>IF(Tab.o1[[#This Row],[a1]]=1,IF(ISNUMBER(Tab.o1[[#This Row],[i.]]),NORMDIST(Tab.o1[[#This Row],[Za]],0,1,FALSE)*Tab.o1[[#This Row],[i.]],AP$3),"")</f>
        <v/>
      </c>
      <c r="Y1050" s="126" t="str">
        <f>IF(Tab.o1[[#This Row],[a1]]=1,0.01+0.94*Tab.o1[[#This Row],[PDF]]/MAX(Tab.o1[PDF]),"")</f>
        <v/>
      </c>
      <c r="Z1050" s="126" t="str">
        <f>IF(Tab.o1[[#This Row],[a1]]=1,0.01+0.94*Tab.o1[[#This Row],[W1_PDF]]/MAX(Tab.o1[W1_PDF]),"")</f>
        <v/>
      </c>
      <c r="AA1050" s="118" t="str">
        <f>IF(Tab.o1[[#This Row],[a1]]=1,ABS([1]!T.in.A[[#This Row],[oo6]]),"")</f>
        <v/>
      </c>
      <c r="AB1050" s="127" t="str">
        <f>IF(Tab.o1[[#This Row],[a1]]=1,IF(AE$3=0,"",IF(AB$3=0,ABS([1]!T.in.A[[#This Row],[oo9]]),ABS(Tab.o1[[#This Row],[DIF_Target.]]*Tab.o1[[#This Row],[W1_PDF]]))),"")</f>
        <v/>
      </c>
      <c r="AC1050" s="127" t="str">
        <f>IF(G$1=1,"",IF(Tab.o1[[#This Row],[a1]]=1,Tab.o1[[#This Row],[Wr]]^2,""))</f>
        <v/>
      </c>
      <c r="AD1050" s="118" t="str">
        <f>IF(Tab.o1[[#This Row],[a1]]=1,IF(AE$3=0,"",Tab.o1[[#This Row],[Wr2]]/SUM(Tab.o1[Wr2])),"")</f>
        <v/>
      </c>
      <c r="AE1050" s="128" t="str">
        <f>IF(Tab.o1[[#This Row],[a1]]=1,[1]!T.in.A[[#This Row],[oo10]],"")</f>
        <v/>
      </c>
      <c r="AF1050" s="118" t="str">
        <f>IF(Tab.o1[[#This Row],[a1]]=1,ABS(Tab.o1[[#This Row],[DIF_Target.]]*Tab.o1[[#This Row],[PDF2]]*Tab.o1[[#This Row],[IN]]),"")</f>
        <v/>
      </c>
      <c r="AG1050" s="129" t="str">
        <f>IF(Tab.o1[[#This Row],[a1]]=1,Tab.o1[[#This Row],[rW]]^2,"")</f>
        <v/>
      </c>
      <c r="AH1050" s="130" t="str">
        <f>IF(Tab.o1[[#This Row],[a1]]=1,IF(AH$3=0,Tab.o1[[#This Row],[rW2]],0.01+0.94*Tab.o1[[#This Row],[rW2]]/SUM(Tab.o1[rW2])),"")</f>
        <v/>
      </c>
      <c r="AI1050" s="128" t="str">
        <f>IF(Tab.o1[[#This Row],[a1]]=1,1/Tab.o1[[#This Row],[PDF]],"")</f>
        <v/>
      </c>
      <c r="AJ1050" s="131" t="str">
        <f>IF(Tab.o1[[#This Row],[a1]]=1,[1]!T_AA[[#This Row],[IN'']]*[1]!T_AA[[#This Row],[Qde'']],"")</f>
        <v/>
      </c>
      <c r="AK1050" s="132" t="str">
        <f>IF(Tab.o1[[#This Row],[a1]]=1,IF(AK$1=1,Tab.o1[[#This Row],[MED]]+Tab.o1[[#This Row],[MOD]]-Tab.o1[[#This Row],[MED]],""),"")</f>
        <v/>
      </c>
      <c r="AL1050" s="133" t="str">
        <f>IF(Tab.o1[[#This Row],[a1]]=1,[1]!T.in.A[[#This Row],[oo16]],"")</f>
        <v/>
      </c>
      <c r="AM1050" s="133" t="str">
        <f>IF(Tab.o1[[#This Row],[a1]]=1,IF(AM$3=1,[1]!T.in.A[[#This Row],[Σo16]],""),"")</f>
        <v/>
      </c>
      <c r="AN1050" s="126" t="str">
        <f>IF(Tab.o1[[#This Row],[a1]]=1,[1]!T.in.A[[#This Row],[Σp5]],"")</f>
        <v/>
      </c>
      <c r="AO1050" s="126" t="str">
        <f>IF(Tab.o1[[#This Row],[a1]]=1,IF(AO$3=1,[1]!T.in.A[[#This Row],[Σp5]],""),"")</f>
        <v/>
      </c>
      <c r="AP1050" s="110" t="str">
        <f>IF(Tab.o1[[#This Row],[a1]]=1,IF(ISNUMBER(Tab.o1[[#This Row],[i.]]),NORMDIST(Tab.o1[[#This Row],[Za]],0,1,FALSE)*Tab.o1[[#This Row],[i.]],0),"")</f>
        <v/>
      </c>
      <c r="AQ1050" s="125" t="str">
        <f>IF(Tab.o1[[#This Row],[a1]]=1,ABS(Tab.o1[[#This Row],[MOD]]-AVERAGE(Tab.o1[MOD])),"")</f>
        <v/>
      </c>
      <c r="AR1050" s="134" t="str">
        <f>IF(Tab.o1[[#This Row],[a1]]=1,Tab.o1[[#This Row],[OBS]]/SUM(Tab.o1[OBS]),"")</f>
        <v/>
      </c>
      <c r="AS1050" s="135" t="str">
        <f>IF(ISNUMBER(Tab.o1[[#This Row],[a1]]),ROW()-4,"")</f>
        <v/>
      </c>
      <c r="AT1050" s="136" t="str">
        <f>Tab.o1[[#This Row],[MOD]]</f>
        <v/>
      </c>
      <c r="AU1050" s="137" t="str">
        <f t="shared" si="65"/>
        <v/>
      </c>
      <c r="AV1050" s="138" t="str">
        <f t="shared" si="66"/>
        <v/>
      </c>
      <c r="AW1050" s="138" t="str">
        <f t="shared" si="67"/>
        <v/>
      </c>
      <c r="AX1050" s="139" t="str">
        <f>[1]!T.in.A[[#This Row],[ID_T_manu]]</f>
        <v/>
      </c>
      <c r="AY1050" s="140" t="str">
        <f>IF(ISNUMBER(Tab.o1[[#This Row],[a1]]),IF(AND(Tab.o1[[#This Row],[a1]]=1,Tab.o1[[#This Row],[b1]]&lt;=AY$4),#REF!,AY1049),"")</f>
        <v/>
      </c>
      <c r="AZ1050" s="25"/>
      <c r="BA1050" s="25"/>
      <c r="BB1050" s="25"/>
      <c r="BC1050" s="25"/>
      <c r="BD1050" s="25"/>
      <c r="BE1050" s="25"/>
      <c r="BF1050" s="25"/>
      <c r="BG1050" s="25"/>
      <c r="BH1050" s="25"/>
      <c r="BI1050" s="25"/>
      <c r="BJ1050" s="25"/>
      <c r="BK1050" s="25"/>
      <c r="BL1050" s="25"/>
      <c r="BM1050" s="25"/>
      <c r="BN1050" s="26"/>
      <c r="BO1050" s="26"/>
      <c r="BP1050" s="26"/>
      <c r="BQ1050" s="26"/>
      <c r="BR1050" s="26"/>
      <c r="BS1050" s="26"/>
      <c r="BT1050" s="26"/>
      <c r="BU1050" s="26"/>
      <c r="BV1050" s="26"/>
      <c r="BW1050" s="26"/>
      <c r="BX1050" s="26"/>
      <c r="BY1050" s="26"/>
      <c r="BZ1050" s="26"/>
      <c r="CA1050" s="26"/>
    </row>
    <row r="1051" spans="1:79" ht="15.75" hidden="1">
      <c r="A1051" s="109">
        <v>6.9999999999999999E-6</v>
      </c>
      <c r="B1051" s="110">
        <f t="shared" si="64"/>
        <v>1051</v>
      </c>
      <c r="C1051" s="111" t="str">
        <f>IF(C$1=[1]!T.in.A[[#This Row],[oo2]],1,"")</f>
        <v/>
      </c>
      <c r="D1051" s="112" t="str">
        <f>IF(Tab.o1[[#This Row],[a1]]=1,IF(SUM(C1051:C1052)=0,0,IF(SUM(C1050:C1051)=1,1,IF(SUM(C1050:C1052)&gt;1,D1050+1,0))),"")</f>
        <v/>
      </c>
      <c r="E1051" s="113" t="str">
        <f>IF(Tab.o1[[#This Row],[a1]]=1,[1]!T.in.A[[#This Row],[oo1]],"")</f>
        <v/>
      </c>
      <c r="F1051" s="113" t="str">
        <f>IF(Tab.o1[[#This Row],[a1]]=1,[1]!T.in.A[[#This Row],[pp1]],"")</f>
        <v/>
      </c>
      <c r="G1051" s="114" t="str">
        <f>IF(Tab.o1[[#This Row],[a1]]=1,G$2+IF(G$1=1,0,Tab.o1[[#This Row],[.x1]])+[1]!T.in.A[[#This Row],[oo3]],"")</f>
        <v/>
      </c>
      <c r="H1051" s="115" t="str">
        <f>IF(Tab.o1[[#This Row],[a1]]=1,IF(H$2=0,0,IF(G$1=1,0,Tab.o1[[#This Row],[.x1]])+[1]!T.in.A[[#This Row],[oo4]]),"")</f>
        <v/>
      </c>
      <c r="I1051" s="116" t="str">
        <f>IF(Tab.o1[[#This Row],[a1]]=1,IF(J$2=0,Tab.o1[[#This Row],[MED]],Tab.o1[[#This Row],[MOD]]),"")</f>
        <v/>
      </c>
      <c r="J1051" s="116" t="str">
        <f>IF(Tab.o1[[#This Row],[a1]]=1,((Tab.o1[[#This Row],[DIF_Target.]]-AVERAGE(Tab.o1[DIF_Target.]))/_xlfn.STDEV.P(Tab.o1[DIF_Target.])),"")</f>
        <v/>
      </c>
      <c r="K1051" s="117" t="str">
        <f>IF(Tab.o1[[#This Row],[a1]]=1,IF(J$2=0,Tab.o1[[#This Row],[MOD]]-Tab.o1[[#This Row],[B]],IF(J$2=1,0,-Tab.o1[[#This Row],[MED]])+Tab.o1[[#This Row],[B]]),"")</f>
        <v/>
      </c>
      <c r="L1051" s="117" t="str">
        <f ca="1">IF(Tab.o1[[#This Row],[DIF_Target]]=0,IF(L$2=0,Tab.o1[[#This Row],[DIF_Target]],AVERAGE(OFFSET(Tab.o1[[#This Row],[DIF_Target]],1,0,L$3,1)))/3,Tab.o1[[#This Row],[DIF_Target]])</f>
        <v/>
      </c>
      <c r="M1051" s="118" t="str">
        <f>IF(Tab.o1[[#This Row],[a1]]=1,NORMSDIST(Tab.o1[[#This Row],[Za]]),"")</f>
        <v/>
      </c>
      <c r="N1051" s="119" t="str">
        <f>IF(Tab.o1[[#This Row],[a1]]=1,((Tab.o1[[#This Row],[MedMod]]-AVERAGE(Tab.o1[MedMod]))/_xlfn.STDEV.P(Tab.o1[MedMod])*H$1205)+G$1205,"")</f>
        <v/>
      </c>
      <c r="O1051" s="141" t="str">
        <f>IF(Tab.o1[[#This Row],[a1]]=1,Tab.o1[[#This Row],[Zb]]*_xlfn.STDEV.P(Tab.o1[MedMod])+AVERAGE(Tab.o1[MedMod]),"")</f>
        <v/>
      </c>
      <c r="P1051" s="117" t="str">
        <f ca="1">IF(Tab.o1[[#This Row],[B]]=0,AVERAGE(OFFSET(Tab.o1[[#This Row],[B]],1,0,L$3,1)),Tab.o1[[#This Row],[B]])</f>
        <v/>
      </c>
      <c r="Q1051" s="121" t="str">
        <f>IF(Tab.o1[[#This Row],[a1]]=1,NORMSDIST(Tab.o1[[#This Row],[Zb]]),"")</f>
        <v/>
      </c>
      <c r="R1051" s="122" t="str">
        <f>IF(Tab.o1[[#This Row],[a1]]=1,((Tab.o1[[#This Row],[MedMod]]-AVERAGE(Tab.o1[MedMod]))/_xlfn.STDEV.P(Tab.o1[MedMod])*H$1203)+G$1203,"")</f>
        <v/>
      </c>
      <c r="S1051" s="122" t="str">
        <f>IF(Tab.o1[[#This Row],[a1]]=1,((Tab.o1[[#This Row],[MedMod]]-AVERAGE(Tab.o1[MedMod]))/_xlfn.STDEV.P(Tab.o1[MedMod])*H$1204)+G$1204,"")</f>
        <v/>
      </c>
      <c r="T1051" s="123" t="str">
        <f>IF(Tab.o1[[#This Row],[a1]]=1,Tab.o1[[#This Row],[Z-]]*_xlfn.STDEV.P(Tab.o1[B])+AVERAGE(Tab.o1[B]),"")</f>
        <v/>
      </c>
      <c r="U1051" s="123" t="str">
        <f>IF(Tab.o1[[#This Row],[a1]]=1,Tab.o1[[#This Row],[z+]]*_xlfn.STDEV.P(Tab.o1[B])+AVERAGE(Tab.o1[B]),"")</f>
        <v/>
      </c>
      <c r="V1051" s="124" t="str">
        <f>IF(Tab.o1[[#This Row],[a1]]=1,ABS((ABS(Tab.o1[[#This Row],[Red]]-Tab.o1[[#This Row],[Blue]]))),"")</f>
        <v/>
      </c>
      <c r="W1051" s="125" t="str">
        <f>IF(Tab.o1[[#This Row],[a1]]=1,IF(W$3=0,1,Tab.o1[[#This Row],[Amp.]]*1/_xlfn.MINIFS(Tab.o1[Amp.],Tab.o1[Amp.],"&lt;&gt;0")),"")</f>
        <v/>
      </c>
      <c r="X1051" s="126" t="str">
        <f>IF(Tab.o1[[#This Row],[a1]]=1,IF(ISNUMBER(Tab.o1[[#This Row],[i.]]),NORMDIST(Tab.o1[[#This Row],[Za]],0,1,FALSE)*Tab.o1[[#This Row],[i.]],AP$3),"")</f>
        <v/>
      </c>
      <c r="Y1051" s="126" t="str">
        <f>IF(Tab.o1[[#This Row],[a1]]=1,0.01+0.94*Tab.o1[[#This Row],[PDF]]/MAX(Tab.o1[PDF]),"")</f>
        <v/>
      </c>
      <c r="Z1051" s="126" t="str">
        <f>IF(Tab.o1[[#This Row],[a1]]=1,0.01+0.94*Tab.o1[[#This Row],[W1_PDF]]/MAX(Tab.o1[W1_PDF]),"")</f>
        <v/>
      </c>
      <c r="AA1051" s="118" t="str">
        <f>IF(Tab.o1[[#This Row],[a1]]=1,ABS([1]!T.in.A[[#This Row],[oo6]]),"")</f>
        <v/>
      </c>
      <c r="AB1051" s="127" t="str">
        <f>IF(Tab.o1[[#This Row],[a1]]=1,IF(AE$3=0,"",IF(AB$3=0,ABS([1]!T.in.A[[#This Row],[oo9]]),ABS(Tab.o1[[#This Row],[DIF_Target.]]*Tab.o1[[#This Row],[W1_PDF]]))),"")</f>
        <v/>
      </c>
      <c r="AC1051" s="127" t="str">
        <f>IF(G$1=1,"",IF(Tab.o1[[#This Row],[a1]]=1,Tab.o1[[#This Row],[Wr]]^2,""))</f>
        <v/>
      </c>
      <c r="AD1051" s="118" t="str">
        <f>IF(Tab.o1[[#This Row],[a1]]=1,IF(AE$3=0,"",Tab.o1[[#This Row],[Wr2]]/SUM(Tab.o1[Wr2])),"")</f>
        <v/>
      </c>
      <c r="AE1051" s="128" t="str">
        <f>IF(Tab.o1[[#This Row],[a1]]=1,[1]!T.in.A[[#This Row],[oo10]],"")</f>
        <v/>
      </c>
      <c r="AF1051" s="118" t="str">
        <f>IF(Tab.o1[[#This Row],[a1]]=1,ABS(Tab.o1[[#This Row],[DIF_Target.]]*Tab.o1[[#This Row],[PDF2]]*Tab.o1[[#This Row],[IN]]),"")</f>
        <v/>
      </c>
      <c r="AG1051" s="129" t="str">
        <f>IF(Tab.o1[[#This Row],[a1]]=1,Tab.o1[[#This Row],[rW]]^2,"")</f>
        <v/>
      </c>
      <c r="AH1051" s="130" t="str">
        <f>IF(Tab.o1[[#This Row],[a1]]=1,IF(AH$3=0,Tab.o1[[#This Row],[rW2]],0.01+0.94*Tab.o1[[#This Row],[rW2]]/SUM(Tab.o1[rW2])),"")</f>
        <v/>
      </c>
      <c r="AI1051" s="128" t="str">
        <f>IF(Tab.o1[[#This Row],[a1]]=1,1/Tab.o1[[#This Row],[PDF]],"")</f>
        <v/>
      </c>
      <c r="AJ1051" s="131" t="str">
        <f>IF(Tab.o1[[#This Row],[a1]]=1,[1]!T_AA[[#This Row],[IN'']]*[1]!T_AA[[#This Row],[Qde'']],"")</f>
        <v/>
      </c>
      <c r="AK1051" s="132" t="str">
        <f>IF(Tab.o1[[#This Row],[a1]]=1,IF(AK$1=1,Tab.o1[[#This Row],[MED]]+Tab.o1[[#This Row],[MOD]]-Tab.o1[[#This Row],[MED]],""),"")</f>
        <v/>
      </c>
      <c r="AL1051" s="133" t="str">
        <f>IF(Tab.o1[[#This Row],[a1]]=1,[1]!T.in.A[[#This Row],[oo16]],"")</f>
        <v/>
      </c>
      <c r="AM1051" s="133" t="str">
        <f>IF(Tab.o1[[#This Row],[a1]]=1,IF(AM$3=1,[1]!T.in.A[[#This Row],[Σo16]],""),"")</f>
        <v/>
      </c>
      <c r="AN1051" s="126" t="str">
        <f>IF(Tab.o1[[#This Row],[a1]]=1,[1]!T.in.A[[#This Row],[Σp5]],"")</f>
        <v/>
      </c>
      <c r="AO1051" s="126" t="str">
        <f>IF(Tab.o1[[#This Row],[a1]]=1,IF(AO$3=1,[1]!T.in.A[[#This Row],[Σp5]],""),"")</f>
        <v/>
      </c>
      <c r="AP1051" s="110" t="str">
        <f>IF(Tab.o1[[#This Row],[a1]]=1,IF(ISNUMBER(Tab.o1[[#This Row],[i.]]),NORMDIST(Tab.o1[[#This Row],[Za]],0,1,FALSE)*Tab.o1[[#This Row],[i.]],0),"")</f>
        <v/>
      </c>
      <c r="AQ1051" s="125" t="str">
        <f>IF(Tab.o1[[#This Row],[a1]]=1,ABS(Tab.o1[[#This Row],[MOD]]-AVERAGE(Tab.o1[MOD])),"")</f>
        <v/>
      </c>
      <c r="AR1051" s="134" t="str">
        <f>IF(Tab.o1[[#This Row],[a1]]=1,Tab.o1[[#This Row],[OBS]]/SUM(Tab.o1[OBS]),"")</f>
        <v/>
      </c>
      <c r="AS1051" s="135" t="str">
        <f>IF(ISNUMBER(Tab.o1[[#This Row],[a1]]),ROW()-4,"")</f>
        <v/>
      </c>
      <c r="AT1051" s="136" t="str">
        <f>Tab.o1[[#This Row],[MOD]]</f>
        <v/>
      </c>
      <c r="AU1051" s="137" t="str">
        <f t="shared" si="65"/>
        <v/>
      </c>
      <c r="AV1051" s="138" t="str">
        <f t="shared" si="66"/>
        <v/>
      </c>
      <c r="AW1051" s="138" t="str">
        <f t="shared" si="67"/>
        <v/>
      </c>
      <c r="AX1051" s="139" t="str">
        <f>[1]!T.in.A[[#This Row],[ID_T_manu]]</f>
        <v/>
      </c>
      <c r="AY1051" s="140" t="str">
        <f>IF(ISNUMBER(Tab.o1[[#This Row],[a1]]),IF(AND(Tab.o1[[#This Row],[a1]]=1,Tab.o1[[#This Row],[b1]]&lt;=AY$4),#REF!,AY1050),"")</f>
        <v/>
      </c>
      <c r="AZ1051" s="25"/>
      <c r="BA1051" s="25"/>
      <c r="BB1051" s="25"/>
      <c r="BC1051" s="25"/>
      <c r="BD1051" s="25"/>
      <c r="BE1051" s="25"/>
      <c r="BF1051" s="25"/>
      <c r="BG1051" s="25"/>
      <c r="BH1051" s="25"/>
      <c r="BI1051" s="25"/>
      <c r="BJ1051" s="25"/>
      <c r="BK1051" s="25"/>
      <c r="BL1051" s="25"/>
      <c r="BM1051" s="25"/>
      <c r="BN1051" s="26"/>
      <c r="BO1051" s="26"/>
      <c r="BP1051" s="26"/>
      <c r="BQ1051" s="26"/>
      <c r="BR1051" s="26"/>
      <c r="BS1051" s="26"/>
      <c r="BT1051" s="26"/>
      <c r="BU1051" s="26"/>
      <c r="BV1051" s="26"/>
      <c r="BW1051" s="26"/>
      <c r="BX1051" s="26"/>
      <c r="BY1051" s="26"/>
      <c r="BZ1051" s="26"/>
      <c r="CA1051" s="26"/>
    </row>
    <row r="1052" spans="1:79" ht="15.75" hidden="1">
      <c r="A1052" s="109">
        <v>2.0000000000000003E-6</v>
      </c>
      <c r="B1052" s="110">
        <f t="shared" si="64"/>
        <v>1052</v>
      </c>
      <c r="C1052" s="111" t="str">
        <f>IF(C$1=[1]!T.in.A[[#This Row],[oo2]],1,"")</f>
        <v/>
      </c>
      <c r="D1052" s="112" t="str">
        <f>IF(Tab.o1[[#This Row],[a1]]=1,IF(SUM(C1052:C1053)=0,0,IF(SUM(C1051:C1052)=1,1,IF(SUM(C1051:C1053)&gt;1,D1051+1,0))),"")</f>
        <v/>
      </c>
      <c r="E1052" s="113" t="str">
        <f>IF(Tab.o1[[#This Row],[a1]]=1,[1]!T.in.A[[#This Row],[oo1]],"")</f>
        <v/>
      </c>
      <c r="F1052" s="113" t="str">
        <f>IF(Tab.o1[[#This Row],[a1]]=1,[1]!T.in.A[[#This Row],[pp1]],"")</f>
        <v/>
      </c>
      <c r="G1052" s="114" t="str">
        <f>IF(Tab.o1[[#This Row],[a1]]=1,G$2+IF(G$1=1,0,Tab.o1[[#This Row],[.x1]])+[1]!T.in.A[[#This Row],[oo3]],"")</f>
        <v/>
      </c>
      <c r="H1052" s="115" t="str">
        <f>IF(Tab.o1[[#This Row],[a1]]=1,IF(H$2=0,0,IF(G$1=1,0,Tab.o1[[#This Row],[.x1]])+[1]!T.in.A[[#This Row],[oo4]]),"")</f>
        <v/>
      </c>
      <c r="I1052" s="116" t="str">
        <f>IF(Tab.o1[[#This Row],[a1]]=1,IF(J$2=0,Tab.o1[[#This Row],[MED]],Tab.o1[[#This Row],[MOD]]),"")</f>
        <v/>
      </c>
      <c r="J1052" s="116" t="str">
        <f>IF(Tab.o1[[#This Row],[a1]]=1,((Tab.o1[[#This Row],[DIF_Target.]]-AVERAGE(Tab.o1[DIF_Target.]))/_xlfn.STDEV.P(Tab.o1[DIF_Target.])),"")</f>
        <v/>
      </c>
      <c r="K1052" s="117" t="str">
        <f>IF(Tab.o1[[#This Row],[a1]]=1,IF(J$2=0,Tab.o1[[#This Row],[MOD]]-Tab.o1[[#This Row],[B]],IF(J$2=1,0,-Tab.o1[[#This Row],[MED]])+Tab.o1[[#This Row],[B]]),"")</f>
        <v/>
      </c>
      <c r="L1052" s="117" t="str">
        <f ca="1">IF(Tab.o1[[#This Row],[DIF_Target]]=0,IF(L$2=0,Tab.o1[[#This Row],[DIF_Target]],AVERAGE(OFFSET(Tab.o1[[#This Row],[DIF_Target]],1,0,L$3,1)))/3,Tab.o1[[#This Row],[DIF_Target]])</f>
        <v/>
      </c>
      <c r="M1052" s="118" t="str">
        <f>IF(Tab.o1[[#This Row],[a1]]=1,NORMSDIST(Tab.o1[[#This Row],[Za]]),"")</f>
        <v/>
      </c>
      <c r="N1052" s="119" t="str">
        <f>IF(Tab.o1[[#This Row],[a1]]=1,((Tab.o1[[#This Row],[MedMod]]-AVERAGE(Tab.o1[MedMod]))/_xlfn.STDEV.P(Tab.o1[MedMod])*H$1205)+G$1205,"")</f>
        <v/>
      </c>
      <c r="O1052" s="141" t="str">
        <f>IF(Tab.o1[[#This Row],[a1]]=1,Tab.o1[[#This Row],[Zb]]*_xlfn.STDEV.P(Tab.o1[MedMod])+AVERAGE(Tab.o1[MedMod]),"")</f>
        <v/>
      </c>
      <c r="P1052" s="117" t="str">
        <f ca="1">IF(Tab.o1[[#This Row],[B]]=0,AVERAGE(OFFSET(Tab.o1[[#This Row],[B]],1,0,L$3,1)),Tab.o1[[#This Row],[B]])</f>
        <v/>
      </c>
      <c r="Q1052" s="121" t="str">
        <f>IF(Tab.o1[[#This Row],[a1]]=1,NORMSDIST(Tab.o1[[#This Row],[Zb]]),"")</f>
        <v/>
      </c>
      <c r="R1052" s="122" t="str">
        <f>IF(Tab.o1[[#This Row],[a1]]=1,((Tab.o1[[#This Row],[MedMod]]-AVERAGE(Tab.o1[MedMod]))/_xlfn.STDEV.P(Tab.o1[MedMod])*H$1203)+G$1203,"")</f>
        <v/>
      </c>
      <c r="S1052" s="122" t="str">
        <f>IF(Tab.o1[[#This Row],[a1]]=1,((Tab.o1[[#This Row],[MedMod]]-AVERAGE(Tab.o1[MedMod]))/_xlfn.STDEV.P(Tab.o1[MedMod])*H$1204)+G$1204,"")</f>
        <v/>
      </c>
      <c r="T1052" s="123" t="str">
        <f>IF(Tab.o1[[#This Row],[a1]]=1,Tab.o1[[#This Row],[Z-]]*_xlfn.STDEV.P(Tab.o1[B])+AVERAGE(Tab.o1[B]),"")</f>
        <v/>
      </c>
      <c r="U1052" s="123" t="str">
        <f>IF(Tab.o1[[#This Row],[a1]]=1,Tab.o1[[#This Row],[z+]]*_xlfn.STDEV.P(Tab.o1[B])+AVERAGE(Tab.o1[B]),"")</f>
        <v/>
      </c>
      <c r="V1052" s="124" t="str">
        <f>IF(Tab.o1[[#This Row],[a1]]=1,ABS((ABS(Tab.o1[[#This Row],[Red]]-Tab.o1[[#This Row],[Blue]]))),"")</f>
        <v/>
      </c>
      <c r="W1052" s="125" t="str">
        <f>IF(Tab.o1[[#This Row],[a1]]=1,IF(W$3=0,1,Tab.o1[[#This Row],[Amp.]]*1/_xlfn.MINIFS(Tab.o1[Amp.],Tab.o1[Amp.],"&lt;&gt;0")),"")</f>
        <v/>
      </c>
      <c r="X1052" s="126" t="str">
        <f>IF(Tab.o1[[#This Row],[a1]]=1,IF(ISNUMBER(Tab.o1[[#This Row],[i.]]),NORMDIST(Tab.o1[[#This Row],[Za]],0,1,FALSE)*Tab.o1[[#This Row],[i.]],AP$3),"")</f>
        <v/>
      </c>
      <c r="Y1052" s="126" t="str">
        <f>IF(Tab.o1[[#This Row],[a1]]=1,0.01+0.94*Tab.o1[[#This Row],[PDF]]/MAX(Tab.o1[PDF]),"")</f>
        <v/>
      </c>
      <c r="Z1052" s="126" t="str">
        <f>IF(Tab.o1[[#This Row],[a1]]=1,0.01+0.94*Tab.o1[[#This Row],[W1_PDF]]/MAX(Tab.o1[W1_PDF]),"")</f>
        <v/>
      </c>
      <c r="AA1052" s="118" t="str">
        <f>IF(Tab.o1[[#This Row],[a1]]=1,ABS([1]!T.in.A[[#This Row],[oo6]]),"")</f>
        <v/>
      </c>
      <c r="AB1052" s="127" t="str">
        <f>IF(Tab.o1[[#This Row],[a1]]=1,IF(AE$3=0,"",IF(AB$3=0,ABS([1]!T.in.A[[#This Row],[oo9]]),ABS(Tab.o1[[#This Row],[DIF_Target.]]*Tab.o1[[#This Row],[W1_PDF]]))),"")</f>
        <v/>
      </c>
      <c r="AC1052" s="127" t="str">
        <f>IF(G$1=1,"",IF(Tab.o1[[#This Row],[a1]]=1,Tab.o1[[#This Row],[Wr]]^2,""))</f>
        <v/>
      </c>
      <c r="AD1052" s="118" t="str">
        <f>IF(Tab.o1[[#This Row],[a1]]=1,IF(AE$3=0,"",Tab.o1[[#This Row],[Wr2]]/SUM(Tab.o1[Wr2])),"")</f>
        <v/>
      </c>
      <c r="AE1052" s="128" t="str">
        <f>IF(Tab.o1[[#This Row],[a1]]=1,[1]!T.in.A[[#This Row],[oo10]],"")</f>
        <v/>
      </c>
      <c r="AF1052" s="118" t="str">
        <f>IF(Tab.o1[[#This Row],[a1]]=1,ABS(Tab.o1[[#This Row],[DIF_Target.]]*Tab.o1[[#This Row],[PDF2]]*Tab.o1[[#This Row],[IN]]),"")</f>
        <v/>
      </c>
      <c r="AG1052" s="129" t="str">
        <f>IF(Tab.o1[[#This Row],[a1]]=1,Tab.o1[[#This Row],[rW]]^2,"")</f>
        <v/>
      </c>
      <c r="AH1052" s="130" t="str">
        <f>IF(Tab.o1[[#This Row],[a1]]=1,IF(AH$3=0,Tab.o1[[#This Row],[rW2]],0.01+0.94*Tab.o1[[#This Row],[rW2]]/SUM(Tab.o1[rW2])),"")</f>
        <v/>
      </c>
      <c r="AI1052" s="128" t="str">
        <f>IF(Tab.o1[[#This Row],[a1]]=1,1/Tab.o1[[#This Row],[PDF]],"")</f>
        <v/>
      </c>
      <c r="AJ1052" s="131" t="str">
        <f>IF(Tab.o1[[#This Row],[a1]]=1,[1]!T_AA[[#This Row],[IN'']]*[1]!T_AA[[#This Row],[Qde'']],"")</f>
        <v/>
      </c>
      <c r="AK1052" s="132" t="str">
        <f>IF(Tab.o1[[#This Row],[a1]]=1,IF(AK$1=1,Tab.o1[[#This Row],[MED]]+Tab.o1[[#This Row],[MOD]]-Tab.o1[[#This Row],[MED]],""),"")</f>
        <v/>
      </c>
      <c r="AL1052" s="133" t="str">
        <f>IF(Tab.o1[[#This Row],[a1]]=1,[1]!T.in.A[[#This Row],[oo16]],"")</f>
        <v/>
      </c>
      <c r="AM1052" s="133" t="str">
        <f>IF(Tab.o1[[#This Row],[a1]]=1,IF(AM$3=1,[1]!T.in.A[[#This Row],[Σo16]],""),"")</f>
        <v/>
      </c>
      <c r="AN1052" s="126" t="str">
        <f>IF(Tab.o1[[#This Row],[a1]]=1,[1]!T.in.A[[#This Row],[Σp5]],"")</f>
        <v/>
      </c>
      <c r="AO1052" s="126" t="str">
        <f>IF(Tab.o1[[#This Row],[a1]]=1,IF(AO$3=1,[1]!T.in.A[[#This Row],[Σp5]],""),"")</f>
        <v/>
      </c>
      <c r="AP1052" s="110" t="str">
        <f>IF(Tab.o1[[#This Row],[a1]]=1,IF(ISNUMBER(Tab.o1[[#This Row],[i.]]),NORMDIST(Tab.o1[[#This Row],[Za]],0,1,FALSE)*Tab.o1[[#This Row],[i.]],0),"")</f>
        <v/>
      </c>
      <c r="AQ1052" s="125" t="str">
        <f>IF(Tab.o1[[#This Row],[a1]]=1,ABS(Tab.o1[[#This Row],[MOD]]-AVERAGE(Tab.o1[MOD])),"")</f>
        <v/>
      </c>
      <c r="AR1052" s="134" t="str">
        <f>IF(Tab.o1[[#This Row],[a1]]=1,Tab.o1[[#This Row],[OBS]]/SUM(Tab.o1[OBS]),"")</f>
        <v/>
      </c>
      <c r="AS1052" s="135" t="str">
        <f>IF(ISNUMBER(Tab.o1[[#This Row],[a1]]),ROW()-4,"")</f>
        <v/>
      </c>
      <c r="AT1052" s="136" t="str">
        <f>Tab.o1[[#This Row],[MOD]]</f>
        <v/>
      </c>
      <c r="AU1052" s="137" t="str">
        <f t="shared" si="65"/>
        <v/>
      </c>
      <c r="AV1052" s="138" t="str">
        <f t="shared" si="66"/>
        <v/>
      </c>
      <c r="AW1052" s="138" t="str">
        <f t="shared" si="67"/>
        <v/>
      </c>
      <c r="AX1052" s="139" t="str">
        <f>[1]!T.in.A[[#This Row],[ID_T_manu]]</f>
        <v/>
      </c>
      <c r="AY1052" s="140" t="str">
        <f>IF(ISNUMBER(Tab.o1[[#This Row],[a1]]),IF(AND(Tab.o1[[#This Row],[a1]]=1,Tab.o1[[#This Row],[b1]]&lt;=AY$4),#REF!,AY1051),"")</f>
        <v/>
      </c>
      <c r="AZ1052" s="25"/>
      <c r="BA1052" s="25"/>
      <c r="BB1052" s="25"/>
      <c r="BC1052" s="25"/>
      <c r="BD1052" s="25"/>
      <c r="BE1052" s="25"/>
      <c r="BF1052" s="25"/>
      <c r="BG1052" s="25"/>
      <c r="BH1052" s="25"/>
      <c r="BI1052" s="25"/>
      <c r="BJ1052" s="25"/>
      <c r="BK1052" s="25"/>
      <c r="BL1052" s="25"/>
      <c r="BM1052" s="25"/>
      <c r="BN1052" s="26"/>
      <c r="BO1052" s="26"/>
      <c r="BP1052" s="26"/>
      <c r="BQ1052" s="26"/>
      <c r="BR1052" s="26"/>
      <c r="BS1052" s="26"/>
      <c r="BT1052" s="26"/>
      <c r="BU1052" s="26"/>
      <c r="BV1052" s="26"/>
      <c r="BW1052" s="26"/>
      <c r="BX1052" s="26"/>
      <c r="BY1052" s="26"/>
      <c r="BZ1052" s="26"/>
      <c r="CA1052" s="26"/>
    </row>
    <row r="1053" spans="1:79" ht="15.75" hidden="1">
      <c r="A1053" s="109">
        <v>8.0000000000000013E-6</v>
      </c>
      <c r="B1053" s="110">
        <f t="shared" si="64"/>
        <v>1053</v>
      </c>
      <c r="C1053" s="111" t="str">
        <f>IF(C$1=[1]!T.in.A[[#This Row],[oo2]],1,"")</f>
        <v/>
      </c>
      <c r="D1053" s="112" t="str">
        <f>IF(Tab.o1[[#This Row],[a1]]=1,IF(SUM(C1053:C1054)=0,0,IF(SUM(C1052:C1053)=1,1,IF(SUM(C1052:C1054)&gt;1,D1052+1,0))),"")</f>
        <v/>
      </c>
      <c r="E1053" s="113" t="str">
        <f>IF(Tab.o1[[#This Row],[a1]]=1,[1]!T.in.A[[#This Row],[oo1]],"")</f>
        <v/>
      </c>
      <c r="F1053" s="113" t="str">
        <f>IF(Tab.o1[[#This Row],[a1]]=1,[1]!T.in.A[[#This Row],[pp1]],"")</f>
        <v/>
      </c>
      <c r="G1053" s="114" t="str">
        <f>IF(Tab.o1[[#This Row],[a1]]=1,G$2+IF(G$1=1,0,Tab.o1[[#This Row],[.x1]])+[1]!T.in.A[[#This Row],[oo3]],"")</f>
        <v/>
      </c>
      <c r="H1053" s="115" t="str">
        <f>IF(Tab.o1[[#This Row],[a1]]=1,IF(H$2=0,0,IF(G$1=1,0,Tab.o1[[#This Row],[.x1]])+[1]!T.in.A[[#This Row],[oo4]]),"")</f>
        <v/>
      </c>
      <c r="I1053" s="116" t="str">
        <f>IF(Tab.o1[[#This Row],[a1]]=1,IF(J$2=0,Tab.o1[[#This Row],[MED]],Tab.o1[[#This Row],[MOD]]),"")</f>
        <v/>
      </c>
      <c r="J1053" s="116" t="str">
        <f>IF(Tab.o1[[#This Row],[a1]]=1,((Tab.o1[[#This Row],[DIF_Target.]]-AVERAGE(Tab.o1[DIF_Target.]))/_xlfn.STDEV.P(Tab.o1[DIF_Target.])),"")</f>
        <v/>
      </c>
      <c r="K1053" s="117" t="str">
        <f>IF(Tab.o1[[#This Row],[a1]]=1,IF(J$2=0,Tab.o1[[#This Row],[MOD]]-Tab.o1[[#This Row],[B]],IF(J$2=1,0,-Tab.o1[[#This Row],[MED]])+Tab.o1[[#This Row],[B]]),"")</f>
        <v/>
      </c>
      <c r="L1053" s="117" t="str">
        <f ca="1">IF(Tab.o1[[#This Row],[DIF_Target]]=0,IF(L$2=0,Tab.o1[[#This Row],[DIF_Target]],AVERAGE(OFFSET(Tab.o1[[#This Row],[DIF_Target]],1,0,L$3,1)))/3,Tab.o1[[#This Row],[DIF_Target]])</f>
        <v/>
      </c>
      <c r="M1053" s="118" t="str">
        <f>IF(Tab.o1[[#This Row],[a1]]=1,NORMSDIST(Tab.o1[[#This Row],[Za]]),"")</f>
        <v/>
      </c>
      <c r="N1053" s="119" t="str">
        <f>IF(Tab.o1[[#This Row],[a1]]=1,((Tab.o1[[#This Row],[MedMod]]-AVERAGE(Tab.o1[MedMod]))/_xlfn.STDEV.P(Tab.o1[MedMod])*H$1205)+G$1205,"")</f>
        <v/>
      </c>
      <c r="O1053" s="141" t="str">
        <f>IF(Tab.o1[[#This Row],[a1]]=1,Tab.o1[[#This Row],[Zb]]*_xlfn.STDEV.P(Tab.o1[MedMod])+AVERAGE(Tab.o1[MedMod]),"")</f>
        <v/>
      </c>
      <c r="P1053" s="117" t="str">
        <f ca="1">IF(Tab.o1[[#This Row],[B]]=0,AVERAGE(OFFSET(Tab.o1[[#This Row],[B]],1,0,L$3,1)),Tab.o1[[#This Row],[B]])</f>
        <v/>
      </c>
      <c r="Q1053" s="121" t="str">
        <f>IF(Tab.o1[[#This Row],[a1]]=1,NORMSDIST(Tab.o1[[#This Row],[Zb]]),"")</f>
        <v/>
      </c>
      <c r="R1053" s="122" t="str">
        <f>IF(Tab.o1[[#This Row],[a1]]=1,((Tab.o1[[#This Row],[MedMod]]-AVERAGE(Tab.o1[MedMod]))/_xlfn.STDEV.P(Tab.o1[MedMod])*H$1203)+G$1203,"")</f>
        <v/>
      </c>
      <c r="S1053" s="122" t="str">
        <f>IF(Tab.o1[[#This Row],[a1]]=1,((Tab.o1[[#This Row],[MedMod]]-AVERAGE(Tab.o1[MedMod]))/_xlfn.STDEV.P(Tab.o1[MedMod])*H$1204)+G$1204,"")</f>
        <v/>
      </c>
      <c r="T1053" s="123" t="str">
        <f>IF(Tab.o1[[#This Row],[a1]]=1,Tab.o1[[#This Row],[Z-]]*_xlfn.STDEV.P(Tab.o1[B])+AVERAGE(Tab.o1[B]),"")</f>
        <v/>
      </c>
      <c r="U1053" s="123" t="str">
        <f>IF(Tab.o1[[#This Row],[a1]]=1,Tab.o1[[#This Row],[z+]]*_xlfn.STDEV.P(Tab.o1[B])+AVERAGE(Tab.o1[B]),"")</f>
        <v/>
      </c>
      <c r="V1053" s="124" t="str">
        <f>IF(Tab.o1[[#This Row],[a1]]=1,ABS((ABS(Tab.o1[[#This Row],[Red]]-Tab.o1[[#This Row],[Blue]]))),"")</f>
        <v/>
      </c>
      <c r="W1053" s="125" t="str">
        <f>IF(Tab.o1[[#This Row],[a1]]=1,IF(W$3=0,1,Tab.o1[[#This Row],[Amp.]]*1/_xlfn.MINIFS(Tab.o1[Amp.],Tab.o1[Amp.],"&lt;&gt;0")),"")</f>
        <v/>
      </c>
      <c r="X1053" s="126" t="str">
        <f>IF(Tab.o1[[#This Row],[a1]]=1,IF(ISNUMBER(Tab.o1[[#This Row],[i.]]),NORMDIST(Tab.o1[[#This Row],[Za]],0,1,FALSE)*Tab.o1[[#This Row],[i.]],AP$3),"")</f>
        <v/>
      </c>
      <c r="Y1053" s="126" t="str">
        <f>IF(Tab.o1[[#This Row],[a1]]=1,0.01+0.94*Tab.o1[[#This Row],[PDF]]/MAX(Tab.o1[PDF]),"")</f>
        <v/>
      </c>
      <c r="Z1053" s="126" t="str">
        <f>IF(Tab.o1[[#This Row],[a1]]=1,0.01+0.94*Tab.o1[[#This Row],[W1_PDF]]/MAX(Tab.o1[W1_PDF]),"")</f>
        <v/>
      </c>
      <c r="AA1053" s="118" t="str">
        <f>IF(Tab.o1[[#This Row],[a1]]=1,ABS([1]!T.in.A[[#This Row],[oo6]]),"")</f>
        <v/>
      </c>
      <c r="AB1053" s="127" t="str">
        <f>IF(Tab.o1[[#This Row],[a1]]=1,IF(AE$3=0,"",IF(AB$3=0,ABS([1]!T.in.A[[#This Row],[oo9]]),ABS(Tab.o1[[#This Row],[DIF_Target.]]*Tab.o1[[#This Row],[W1_PDF]]))),"")</f>
        <v/>
      </c>
      <c r="AC1053" s="127" t="str">
        <f>IF(G$1=1,"",IF(Tab.o1[[#This Row],[a1]]=1,Tab.o1[[#This Row],[Wr]]^2,""))</f>
        <v/>
      </c>
      <c r="AD1053" s="118" t="str">
        <f>IF(Tab.o1[[#This Row],[a1]]=1,IF(AE$3=0,"",Tab.o1[[#This Row],[Wr2]]/SUM(Tab.o1[Wr2])),"")</f>
        <v/>
      </c>
      <c r="AE1053" s="128" t="str">
        <f>IF(Tab.o1[[#This Row],[a1]]=1,[1]!T.in.A[[#This Row],[oo10]],"")</f>
        <v/>
      </c>
      <c r="AF1053" s="118" t="str">
        <f>IF(Tab.o1[[#This Row],[a1]]=1,ABS(Tab.o1[[#This Row],[DIF_Target.]]*Tab.o1[[#This Row],[PDF2]]*Tab.o1[[#This Row],[IN]]),"")</f>
        <v/>
      </c>
      <c r="AG1053" s="129" t="str">
        <f>IF(Tab.o1[[#This Row],[a1]]=1,Tab.o1[[#This Row],[rW]]^2,"")</f>
        <v/>
      </c>
      <c r="AH1053" s="130" t="str">
        <f>IF(Tab.o1[[#This Row],[a1]]=1,IF(AH$3=0,Tab.o1[[#This Row],[rW2]],0.01+0.94*Tab.o1[[#This Row],[rW2]]/SUM(Tab.o1[rW2])),"")</f>
        <v/>
      </c>
      <c r="AI1053" s="128" t="str">
        <f>IF(Tab.o1[[#This Row],[a1]]=1,1/Tab.o1[[#This Row],[PDF]],"")</f>
        <v/>
      </c>
      <c r="AJ1053" s="131" t="str">
        <f>IF(Tab.o1[[#This Row],[a1]]=1,[1]!T_AA[[#This Row],[IN'']]*[1]!T_AA[[#This Row],[Qde'']],"")</f>
        <v/>
      </c>
      <c r="AK1053" s="132" t="str">
        <f>IF(Tab.o1[[#This Row],[a1]]=1,IF(AK$1=1,Tab.o1[[#This Row],[MED]]+Tab.o1[[#This Row],[MOD]]-Tab.o1[[#This Row],[MED]],""),"")</f>
        <v/>
      </c>
      <c r="AL1053" s="133" t="str">
        <f>IF(Tab.o1[[#This Row],[a1]]=1,[1]!T.in.A[[#This Row],[oo16]],"")</f>
        <v/>
      </c>
      <c r="AM1053" s="133" t="str">
        <f>IF(Tab.o1[[#This Row],[a1]]=1,IF(AM$3=1,[1]!T.in.A[[#This Row],[Σo16]],""),"")</f>
        <v/>
      </c>
      <c r="AN1053" s="126" t="str">
        <f>IF(Tab.o1[[#This Row],[a1]]=1,[1]!T.in.A[[#This Row],[Σp5]],"")</f>
        <v/>
      </c>
      <c r="AO1053" s="126" t="str">
        <f>IF(Tab.o1[[#This Row],[a1]]=1,IF(AO$3=1,[1]!T.in.A[[#This Row],[Σp5]],""),"")</f>
        <v/>
      </c>
      <c r="AP1053" s="110" t="str">
        <f>IF(Tab.o1[[#This Row],[a1]]=1,IF(ISNUMBER(Tab.o1[[#This Row],[i.]]),NORMDIST(Tab.o1[[#This Row],[Za]],0,1,FALSE)*Tab.o1[[#This Row],[i.]],0),"")</f>
        <v/>
      </c>
      <c r="AQ1053" s="125" t="str">
        <f>IF(Tab.o1[[#This Row],[a1]]=1,ABS(Tab.o1[[#This Row],[MOD]]-AVERAGE(Tab.o1[MOD])),"")</f>
        <v/>
      </c>
      <c r="AR1053" s="134" t="str">
        <f>IF(Tab.o1[[#This Row],[a1]]=1,Tab.o1[[#This Row],[OBS]]/SUM(Tab.o1[OBS]),"")</f>
        <v/>
      </c>
      <c r="AS1053" s="135" t="str">
        <f>IF(ISNUMBER(Tab.o1[[#This Row],[a1]]),ROW()-4,"")</f>
        <v/>
      </c>
      <c r="AT1053" s="136" t="str">
        <f>Tab.o1[[#This Row],[MOD]]</f>
        <v/>
      </c>
      <c r="AU1053" s="137" t="str">
        <f t="shared" si="65"/>
        <v/>
      </c>
      <c r="AV1053" s="138" t="str">
        <f t="shared" si="66"/>
        <v/>
      </c>
      <c r="AW1053" s="138" t="str">
        <f t="shared" si="67"/>
        <v/>
      </c>
      <c r="AX1053" s="139" t="str">
        <f>[1]!T.in.A[[#This Row],[ID_T_manu]]</f>
        <v/>
      </c>
      <c r="AY1053" s="140" t="str">
        <f>IF(ISNUMBER(Tab.o1[[#This Row],[a1]]),IF(AND(Tab.o1[[#This Row],[a1]]=1,Tab.o1[[#This Row],[b1]]&lt;=AY$4),#REF!,AY1052),"")</f>
        <v/>
      </c>
      <c r="AZ1053" s="25"/>
      <c r="BA1053" s="25"/>
      <c r="BB1053" s="25"/>
      <c r="BC1053" s="25"/>
      <c r="BD1053" s="25"/>
      <c r="BE1053" s="25"/>
      <c r="BF1053" s="25"/>
      <c r="BG1053" s="25"/>
      <c r="BH1053" s="25"/>
      <c r="BI1053" s="25"/>
      <c r="BJ1053" s="25"/>
      <c r="BK1053" s="25"/>
      <c r="BL1053" s="25"/>
      <c r="BM1053" s="25"/>
      <c r="BN1053" s="26"/>
      <c r="BO1053" s="26"/>
      <c r="BP1053" s="26"/>
      <c r="BQ1053" s="26"/>
      <c r="BR1053" s="26"/>
      <c r="BS1053" s="26"/>
      <c r="BT1053" s="26"/>
      <c r="BU1053" s="26"/>
      <c r="BV1053" s="26"/>
      <c r="BW1053" s="26"/>
      <c r="BX1053" s="26"/>
      <c r="BY1053" s="26"/>
      <c r="BZ1053" s="26"/>
      <c r="CA1053" s="26"/>
    </row>
    <row r="1054" spans="1:79" ht="15.75" hidden="1">
      <c r="A1054" s="109">
        <v>1.0000000000000002E-6</v>
      </c>
      <c r="B1054" s="110">
        <f t="shared" si="64"/>
        <v>1054</v>
      </c>
      <c r="C1054" s="111" t="str">
        <f>IF(C$1=[1]!T.in.A[[#This Row],[oo2]],1,"")</f>
        <v/>
      </c>
      <c r="D1054" s="112" t="str">
        <f>IF(Tab.o1[[#This Row],[a1]]=1,IF(SUM(C1054:C1055)=0,0,IF(SUM(C1053:C1054)=1,1,IF(SUM(C1053:C1055)&gt;1,D1053+1,0))),"")</f>
        <v/>
      </c>
      <c r="E1054" s="113" t="str">
        <f>IF(Tab.o1[[#This Row],[a1]]=1,[1]!T.in.A[[#This Row],[oo1]],"")</f>
        <v/>
      </c>
      <c r="F1054" s="113" t="str">
        <f>IF(Tab.o1[[#This Row],[a1]]=1,[1]!T.in.A[[#This Row],[pp1]],"")</f>
        <v/>
      </c>
      <c r="G1054" s="114" t="str">
        <f>IF(Tab.o1[[#This Row],[a1]]=1,G$2+IF(G$1=1,0,Tab.o1[[#This Row],[.x1]])+[1]!T.in.A[[#This Row],[oo3]],"")</f>
        <v/>
      </c>
      <c r="H1054" s="115" t="str">
        <f>IF(Tab.o1[[#This Row],[a1]]=1,IF(H$2=0,0,IF(G$1=1,0,Tab.o1[[#This Row],[.x1]])+[1]!T.in.A[[#This Row],[oo4]]),"")</f>
        <v/>
      </c>
      <c r="I1054" s="116" t="str">
        <f>IF(Tab.o1[[#This Row],[a1]]=1,IF(J$2=0,Tab.o1[[#This Row],[MED]],Tab.o1[[#This Row],[MOD]]),"")</f>
        <v/>
      </c>
      <c r="J1054" s="116" t="str">
        <f>IF(Tab.o1[[#This Row],[a1]]=1,((Tab.o1[[#This Row],[DIF_Target.]]-AVERAGE(Tab.o1[DIF_Target.]))/_xlfn.STDEV.P(Tab.o1[DIF_Target.])),"")</f>
        <v/>
      </c>
      <c r="K1054" s="117" t="str">
        <f>IF(Tab.o1[[#This Row],[a1]]=1,IF(J$2=0,Tab.o1[[#This Row],[MOD]]-Tab.o1[[#This Row],[B]],IF(J$2=1,0,-Tab.o1[[#This Row],[MED]])+Tab.o1[[#This Row],[B]]),"")</f>
        <v/>
      </c>
      <c r="L1054" s="117" t="str">
        <f ca="1">IF(Tab.o1[[#This Row],[DIF_Target]]=0,IF(L$2=0,Tab.o1[[#This Row],[DIF_Target]],AVERAGE(OFFSET(Tab.o1[[#This Row],[DIF_Target]],1,0,L$3,1)))/3,Tab.o1[[#This Row],[DIF_Target]])</f>
        <v/>
      </c>
      <c r="M1054" s="118" t="str">
        <f>IF(Tab.o1[[#This Row],[a1]]=1,NORMSDIST(Tab.o1[[#This Row],[Za]]),"")</f>
        <v/>
      </c>
      <c r="N1054" s="119" t="str">
        <f>IF(Tab.o1[[#This Row],[a1]]=1,((Tab.o1[[#This Row],[MedMod]]-AVERAGE(Tab.o1[MedMod]))/_xlfn.STDEV.P(Tab.o1[MedMod])*H$1205)+G$1205,"")</f>
        <v/>
      </c>
      <c r="O1054" s="141" t="str">
        <f>IF(Tab.o1[[#This Row],[a1]]=1,Tab.o1[[#This Row],[Zb]]*_xlfn.STDEV.P(Tab.o1[MedMod])+AVERAGE(Tab.o1[MedMod]),"")</f>
        <v/>
      </c>
      <c r="P1054" s="117" t="str">
        <f ca="1">IF(Tab.o1[[#This Row],[B]]=0,AVERAGE(OFFSET(Tab.o1[[#This Row],[B]],1,0,L$3,1)),Tab.o1[[#This Row],[B]])</f>
        <v/>
      </c>
      <c r="Q1054" s="121" t="str">
        <f>IF(Tab.o1[[#This Row],[a1]]=1,NORMSDIST(Tab.o1[[#This Row],[Zb]]),"")</f>
        <v/>
      </c>
      <c r="R1054" s="122" t="str">
        <f>IF(Tab.o1[[#This Row],[a1]]=1,((Tab.o1[[#This Row],[MedMod]]-AVERAGE(Tab.o1[MedMod]))/_xlfn.STDEV.P(Tab.o1[MedMod])*H$1203)+G$1203,"")</f>
        <v/>
      </c>
      <c r="S1054" s="122" t="str">
        <f>IF(Tab.o1[[#This Row],[a1]]=1,((Tab.o1[[#This Row],[MedMod]]-AVERAGE(Tab.o1[MedMod]))/_xlfn.STDEV.P(Tab.o1[MedMod])*H$1204)+G$1204,"")</f>
        <v/>
      </c>
      <c r="T1054" s="123" t="str">
        <f>IF(Tab.o1[[#This Row],[a1]]=1,Tab.o1[[#This Row],[Z-]]*_xlfn.STDEV.P(Tab.o1[B])+AVERAGE(Tab.o1[B]),"")</f>
        <v/>
      </c>
      <c r="U1054" s="123" t="str">
        <f>IF(Tab.o1[[#This Row],[a1]]=1,Tab.o1[[#This Row],[z+]]*_xlfn.STDEV.P(Tab.o1[B])+AVERAGE(Tab.o1[B]),"")</f>
        <v/>
      </c>
      <c r="V1054" s="124" t="str">
        <f>IF(Tab.o1[[#This Row],[a1]]=1,ABS((ABS(Tab.o1[[#This Row],[Red]]-Tab.o1[[#This Row],[Blue]]))),"")</f>
        <v/>
      </c>
      <c r="W1054" s="125" t="str">
        <f>IF(Tab.o1[[#This Row],[a1]]=1,IF(W$3=0,1,Tab.o1[[#This Row],[Amp.]]*1/_xlfn.MINIFS(Tab.o1[Amp.],Tab.o1[Amp.],"&lt;&gt;0")),"")</f>
        <v/>
      </c>
      <c r="X1054" s="126" t="str">
        <f>IF(Tab.o1[[#This Row],[a1]]=1,IF(ISNUMBER(Tab.o1[[#This Row],[i.]]),NORMDIST(Tab.o1[[#This Row],[Za]],0,1,FALSE)*Tab.o1[[#This Row],[i.]],AP$3),"")</f>
        <v/>
      </c>
      <c r="Y1054" s="126" t="str">
        <f>IF(Tab.o1[[#This Row],[a1]]=1,0.01+0.94*Tab.o1[[#This Row],[PDF]]/MAX(Tab.o1[PDF]),"")</f>
        <v/>
      </c>
      <c r="Z1054" s="126" t="str">
        <f>IF(Tab.o1[[#This Row],[a1]]=1,0.01+0.94*Tab.o1[[#This Row],[W1_PDF]]/MAX(Tab.o1[W1_PDF]),"")</f>
        <v/>
      </c>
      <c r="AA1054" s="118" t="str">
        <f>IF(Tab.o1[[#This Row],[a1]]=1,ABS([1]!T.in.A[[#This Row],[oo6]]),"")</f>
        <v/>
      </c>
      <c r="AB1054" s="127" t="str">
        <f>IF(Tab.o1[[#This Row],[a1]]=1,IF(AE$3=0,"",IF(AB$3=0,ABS([1]!T.in.A[[#This Row],[oo9]]),ABS(Tab.o1[[#This Row],[DIF_Target.]]*Tab.o1[[#This Row],[W1_PDF]]))),"")</f>
        <v/>
      </c>
      <c r="AC1054" s="127" t="str">
        <f>IF(G$1=1,"",IF(Tab.o1[[#This Row],[a1]]=1,Tab.o1[[#This Row],[Wr]]^2,""))</f>
        <v/>
      </c>
      <c r="AD1054" s="118" t="str">
        <f>IF(Tab.o1[[#This Row],[a1]]=1,IF(AE$3=0,"",Tab.o1[[#This Row],[Wr2]]/SUM(Tab.o1[Wr2])),"")</f>
        <v/>
      </c>
      <c r="AE1054" s="128" t="str">
        <f>IF(Tab.o1[[#This Row],[a1]]=1,[1]!T.in.A[[#This Row],[oo10]],"")</f>
        <v/>
      </c>
      <c r="AF1054" s="118" t="str">
        <f>IF(Tab.o1[[#This Row],[a1]]=1,ABS(Tab.o1[[#This Row],[DIF_Target.]]*Tab.o1[[#This Row],[PDF2]]*Tab.o1[[#This Row],[IN]]),"")</f>
        <v/>
      </c>
      <c r="AG1054" s="129" t="str">
        <f>IF(Tab.o1[[#This Row],[a1]]=1,Tab.o1[[#This Row],[rW]]^2,"")</f>
        <v/>
      </c>
      <c r="AH1054" s="130" t="str">
        <f>IF(Tab.o1[[#This Row],[a1]]=1,IF(AH$3=0,Tab.o1[[#This Row],[rW2]],0.01+0.94*Tab.o1[[#This Row],[rW2]]/SUM(Tab.o1[rW2])),"")</f>
        <v/>
      </c>
      <c r="AI1054" s="128" t="str">
        <f>IF(Tab.o1[[#This Row],[a1]]=1,1/Tab.o1[[#This Row],[PDF]],"")</f>
        <v/>
      </c>
      <c r="AJ1054" s="131" t="str">
        <f>IF(Tab.o1[[#This Row],[a1]]=1,[1]!T_AA[[#This Row],[IN'']]*[1]!T_AA[[#This Row],[Qde'']],"")</f>
        <v/>
      </c>
      <c r="AK1054" s="132" t="str">
        <f>IF(Tab.o1[[#This Row],[a1]]=1,IF(AK$1=1,Tab.o1[[#This Row],[MED]]+Tab.o1[[#This Row],[MOD]]-Tab.o1[[#This Row],[MED]],""),"")</f>
        <v/>
      </c>
      <c r="AL1054" s="133" t="str">
        <f>IF(Tab.o1[[#This Row],[a1]]=1,[1]!T.in.A[[#This Row],[oo16]],"")</f>
        <v/>
      </c>
      <c r="AM1054" s="133" t="str">
        <f>IF(Tab.o1[[#This Row],[a1]]=1,IF(AM$3=1,[1]!T.in.A[[#This Row],[Σo16]],""),"")</f>
        <v/>
      </c>
      <c r="AN1054" s="126" t="str">
        <f>IF(Tab.o1[[#This Row],[a1]]=1,[1]!T.in.A[[#This Row],[Σp5]],"")</f>
        <v/>
      </c>
      <c r="AO1054" s="126" t="str">
        <f>IF(Tab.o1[[#This Row],[a1]]=1,IF(AO$3=1,[1]!T.in.A[[#This Row],[Σp5]],""),"")</f>
        <v/>
      </c>
      <c r="AP1054" s="110" t="str">
        <f>IF(Tab.o1[[#This Row],[a1]]=1,IF(ISNUMBER(Tab.o1[[#This Row],[i.]]),NORMDIST(Tab.o1[[#This Row],[Za]],0,1,FALSE)*Tab.o1[[#This Row],[i.]],0),"")</f>
        <v/>
      </c>
      <c r="AQ1054" s="125" t="str">
        <f>IF(Tab.o1[[#This Row],[a1]]=1,ABS(Tab.o1[[#This Row],[MOD]]-AVERAGE(Tab.o1[MOD])),"")</f>
        <v/>
      </c>
      <c r="AR1054" s="134" t="str">
        <f>IF(Tab.o1[[#This Row],[a1]]=1,Tab.o1[[#This Row],[OBS]]/SUM(Tab.o1[OBS]),"")</f>
        <v/>
      </c>
      <c r="AS1054" s="135" t="str">
        <f>IF(ISNUMBER(Tab.o1[[#This Row],[a1]]),ROW()-4,"")</f>
        <v/>
      </c>
      <c r="AT1054" s="136" t="str">
        <f>Tab.o1[[#This Row],[MOD]]</f>
        <v/>
      </c>
      <c r="AU1054" s="137" t="str">
        <f t="shared" si="65"/>
        <v/>
      </c>
      <c r="AV1054" s="138" t="str">
        <f t="shared" si="66"/>
        <v/>
      </c>
      <c r="AW1054" s="138" t="str">
        <f t="shared" si="67"/>
        <v/>
      </c>
      <c r="AX1054" s="139" t="str">
        <f>[1]!T.in.A[[#This Row],[ID_T_manu]]</f>
        <v/>
      </c>
      <c r="AY1054" s="140" t="str">
        <f>IF(ISNUMBER(Tab.o1[[#This Row],[a1]]),IF(AND(Tab.o1[[#This Row],[a1]]=1,Tab.o1[[#This Row],[b1]]&lt;=AY$4),#REF!,AY1053),"")</f>
        <v/>
      </c>
      <c r="AZ1054" s="25"/>
      <c r="BA1054" s="25"/>
      <c r="BB1054" s="25"/>
      <c r="BC1054" s="25"/>
      <c r="BD1054" s="25"/>
      <c r="BE1054" s="25"/>
      <c r="BF1054" s="25"/>
      <c r="BG1054" s="25"/>
      <c r="BH1054" s="25"/>
      <c r="BI1054" s="25"/>
      <c r="BJ1054" s="25"/>
      <c r="BK1054" s="25"/>
      <c r="BL1054" s="25"/>
      <c r="BM1054" s="25"/>
      <c r="BN1054" s="26"/>
      <c r="BO1054" s="26"/>
      <c r="BP1054" s="26"/>
      <c r="BQ1054" s="26"/>
      <c r="BR1054" s="26"/>
      <c r="BS1054" s="26"/>
      <c r="BT1054" s="26"/>
      <c r="BU1054" s="26"/>
      <c r="BV1054" s="26"/>
      <c r="BW1054" s="26"/>
      <c r="BX1054" s="26"/>
      <c r="BY1054" s="26"/>
      <c r="BZ1054" s="26"/>
      <c r="CA1054" s="26"/>
    </row>
    <row r="1055" spans="1:79" ht="15.75" hidden="1">
      <c r="A1055" s="109">
        <v>-2.0000000000000003E-6</v>
      </c>
      <c r="B1055" s="110">
        <f t="shared" si="64"/>
        <v>1055</v>
      </c>
      <c r="C1055" s="111" t="str">
        <f>IF(C$1=[1]!T.in.A[[#This Row],[oo2]],1,"")</f>
        <v/>
      </c>
      <c r="D1055" s="112" t="str">
        <f>IF(Tab.o1[[#This Row],[a1]]=1,IF(SUM(C1055:C1056)=0,0,IF(SUM(C1054:C1055)=1,1,IF(SUM(C1054:C1056)&gt;1,D1054+1,0))),"")</f>
        <v/>
      </c>
      <c r="E1055" s="113" t="str">
        <f>IF(Tab.o1[[#This Row],[a1]]=1,[1]!T.in.A[[#This Row],[oo1]],"")</f>
        <v/>
      </c>
      <c r="F1055" s="113" t="str">
        <f>IF(Tab.o1[[#This Row],[a1]]=1,[1]!T.in.A[[#This Row],[pp1]],"")</f>
        <v/>
      </c>
      <c r="G1055" s="114" t="str">
        <f>IF(Tab.o1[[#This Row],[a1]]=1,G$2+IF(G$1=1,0,Tab.o1[[#This Row],[.x1]])+[1]!T.in.A[[#This Row],[oo3]],"")</f>
        <v/>
      </c>
      <c r="H1055" s="115" t="str">
        <f>IF(Tab.o1[[#This Row],[a1]]=1,IF(H$2=0,0,IF(G$1=1,0,Tab.o1[[#This Row],[.x1]])+[1]!T.in.A[[#This Row],[oo4]]),"")</f>
        <v/>
      </c>
      <c r="I1055" s="116" t="str">
        <f>IF(Tab.o1[[#This Row],[a1]]=1,IF(J$2=0,Tab.o1[[#This Row],[MED]],Tab.o1[[#This Row],[MOD]]),"")</f>
        <v/>
      </c>
      <c r="J1055" s="116" t="str">
        <f>IF(Tab.o1[[#This Row],[a1]]=1,((Tab.o1[[#This Row],[DIF_Target.]]-AVERAGE(Tab.o1[DIF_Target.]))/_xlfn.STDEV.P(Tab.o1[DIF_Target.])),"")</f>
        <v/>
      </c>
      <c r="K1055" s="117" t="str">
        <f>IF(Tab.o1[[#This Row],[a1]]=1,IF(J$2=0,Tab.o1[[#This Row],[MOD]]-Tab.o1[[#This Row],[B]],IF(J$2=1,0,-Tab.o1[[#This Row],[MED]])+Tab.o1[[#This Row],[B]]),"")</f>
        <v/>
      </c>
      <c r="L1055" s="117" t="str">
        <f ca="1">IF(Tab.o1[[#This Row],[DIF_Target]]=0,IF(L$2=0,Tab.o1[[#This Row],[DIF_Target]],AVERAGE(OFFSET(Tab.o1[[#This Row],[DIF_Target]],1,0,L$3,1)))/3,Tab.o1[[#This Row],[DIF_Target]])</f>
        <v/>
      </c>
      <c r="M1055" s="118" t="str">
        <f>IF(Tab.o1[[#This Row],[a1]]=1,NORMSDIST(Tab.o1[[#This Row],[Za]]),"")</f>
        <v/>
      </c>
      <c r="N1055" s="119" t="str">
        <f>IF(Tab.o1[[#This Row],[a1]]=1,((Tab.o1[[#This Row],[MedMod]]-AVERAGE(Tab.o1[MedMod]))/_xlfn.STDEV.P(Tab.o1[MedMod])*H$1205)+G$1205,"")</f>
        <v/>
      </c>
      <c r="O1055" s="141" t="str">
        <f>IF(Tab.o1[[#This Row],[a1]]=1,Tab.o1[[#This Row],[Zb]]*_xlfn.STDEV.P(Tab.o1[MedMod])+AVERAGE(Tab.o1[MedMod]),"")</f>
        <v/>
      </c>
      <c r="P1055" s="117" t="str">
        <f ca="1">IF(Tab.o1[[#This Row],[B]]=0,AVERAGE(OFFSET(Tab.o1[[#This Row],[B]],1,0,L$3,1)),Tab.o1[[#This Row],[B]])</f>
        <v/>
      </c>
      <c r="Q1055" s="121" t="str">
        <f>IF(Tab.o1[[#This Row],[a1]]=1,NORMSDIST(Tab.o1[[#This Row],[Zb]]),"")</f>
        <v/>
      </c>
      <c r="R1055" s="122" t="str">
        <f>IF(Tab.o1[[#This Row],[a1]]=1,((Tab.o1[[#This Row],[MedMod]]-AVERAGE(Tab.o1[MedMod]))/_xlfn.STDEV.P(Tab.o1[MedMod])*H$1203)+G$1203,"")</f>
        <v/>
      </c>
      <c r="S1055" s="122" t="str">
        <f>IF(Tab.o1[[#This Row],[a1]]=1,((Tab.o1[[#This Row],[MedMod]]-AVERAGE(Tab.o1[MedMod]))/_xlfn.STDEV.P(Tab.o1[MedMod])*H$1204)+G$1204,"")</f>
        <v/>
      </c>
      <c r="T1055" s="123" t="str">
        <f>IF(Tab.o1[[#This Row],[a1]]=1,Tab.o1[[#This Row],[Z-]]*_xlfn.STDEV.P(Tab.o1[B])+AVERAGE(Tab.o1[B]),"")</f>
        <v/>
      </c>
      <c r="U1055" s="123" t="str">
        <f>IF(Tab.o1[[#This Row],[a1]]=1,Tab.o1[[#This Row],[z+]]*_xlfn.STDEV.P(Tab.o1[B])+AVERAGE(Tab.o1[B]),"")</f>
        <v/>
      </c>
      <c r="V1055" s="124" t="str">
        <f>IF(Tab.o1[[#This Row],[a1]]=1,ABS((ABS(Tab.o1[[#This Row],[Red]]-Tab.o1[[#This Row],[Blue]]))),"")</f>
        <v/>
      </c>
      <c r="W1055" s="125" t="str">
        <f>IF(Tab.o1[[#This Row],[a1]]=1,IF(W$3=0,1,Tab.o1[[#This Row],[Amp.]]*1/_xlfn.MINIFS(Tab.o1[Amp.],Tab.o1[Amp.],"&lt;&gt;0")),"")</f>
        <v/>
      </c>
      <c r="X1055" s="126" t="str">
        <f>IF(Tab.o1[[#This Row],[a1]]=1,IF(ISNUMBER(Tab.o1[[#This Row],[i.]]),NORMDIST(Tab.o1[[#This Row],[Za]],0,1,FALSE)*Tab.o1[[#This Row],[i.]],AP$3),"")</f>
        <v/>
      </c>
      <c r="Y1055" s="126" t="str">
        <f>IF(Tab.o1[[#This Row],[a1]]=1,0.01+0.94*Tab.o1[[#This Row],[PDF]]/MAX(Tab.o1[PDF]),"")</f>
        <v/>
      </c>
      <c r="Z1055" s="126" t="str">
        <f>IF(Tab.o1[[#This Row],[a1]]=1,0.01+0.94*Tab.o1[[#This Row],[W1_PDF]]/MAX(Tab.o1[W1_PDF]),"")</f>
        <v/>
      </c>
      <c r="AA1055" s="118" t="str">
        <f>IF(Tab.o1[[#This Row],[a1]]=1,ABS([1]!T.in.A[[#This Row],[oo6]]),"")</f>
        <v/>
      </c>
      <c r="AB1055" s="127" t="str">
        <f>IF(Tab.o1[[#This Row],[a1]]=1,IF(AE$3=0,"",IF(AB$3=0,ABS([1]!T.in.A[[#This Row],[oo9]]),ABS(Tab.o1[[#This Row],[DIF_Target.]]*Tab.o1[[#This Row],[W1_PDF]]))),"")</f>
        <v/>
      </c>
      <c r="AC1055" s="127" t="str">
        <f>IF(G$1=1,"",IF(Tab.o1[[#This Row],[a1]]=1,Tab.o1[[#This Row],[Wr]]^2,""))</f>
        <v/>
      </c>
      <c r="AD1055" s="118" t="str">
        <f>IF(Tab.o1[[#This Row],[a1]]=1,IF(AE$3=0,"",Tab.o1[[#This Row],[Wr2]]/SUM(Tab.o1[Wr2])),"")</f>
        <v/>
      </c>
      <c r="AE1055" s="128" t="str">
        <f>IF(Tab.o1[[#This Row],[a1]]=1,[1]!T.in.A[[#This Row],[oo10]],"")</f>
        <v/>
      </c>
      <c r="AF1055" s="118" t="str">
        <f>IF(Tab.o1[[#This Row],[a1]]=1,ABS(Tab.o1[[#This Row],[DIF_Target.]]*Tab.o1[[#This Row],[PDF2]]*Tab.o1[[#This Row],[IN]]),"")</f>
        <v/>
      </c>
      <c r="AG1055" s="129" t="str">
        <f>IF(Tab.o1[[#This Row],[a1]]=1,Tab.o1[[#This Row],[rW]]^2,"")</f>
        <v/>
      </c>
      <c r="AH1055" s="130" t="str">
        <f>IF(Tab.o1[[#This Row],[a1]]=1,IF(AH$3=0,Tab.o1[[#This Row],[rW2]],0.01+0.94*Tab.o1[[#This Row],[rW2]]/SUM(Tab.o1[rW2])),"")</f>
        <v/>
      </c>
      <c r="AI1055" s="128" t="str">
        <f>IF(Tab.o1[[#This Row],[a1]]=1,1/Tab.o1[[#This Row],[PDF]],"")</f>
        <v/>
      </c>
      <c r="AJ1055" s="131" t="str">
        <f>IF(Tab.o1[[#This Row],[a1]]=1,[1]!T_AA[[#This Row],[IN'']]*[1]!T_AA[[#This Row],[Qde'']],"")</f>
        <v/>
      </c>
      <c r="AK1055" s="132" t="str">
        <f>IF(Tab.o1[[#This Row],[a1]]=1,IF(AK$1=1,Tab.o1[[#This Row],[MED]]+Tab.o1[[#This Row],[MOD]]-Tab.o1[[#This Row],[MED]],""),"")</f>
        <v/>
      </c>
      <c r="AL1055" s="133" t="str">
        <f>IF(Tab.o1[[#This Row],[a1]]=1,[1]!T.in.A[[#This Row],[oo16]],"")</f>
        <v/>
      </c>
      <c r="AM1055" s="133" t="str">
        <f>IF(Tab.o1[[#This Row],[a1]]=1,IF(AM$3=1,[1]!T.in.A[[#This Row],[Σo16]],""),"")</f>
        <v/>
      </c>
      <c r="AN1055" s="126" t="str">
        <f>IF(Tab.o1[[#This Row],[a1]]=1,[1]!T.in.A[[#This Row],[Σp5]],"")</f>
        <v/>
      </c>
      <c r="AO1055" s="126" t="str">
        <f>IF(Tab.o1[[#This Row],[a1]]=1,IF(AO$3=1,[1]!T.in.A[[#This Row],[Σp5]],""),"")</f>
        <v/>
      </c>
      <c r="AP1055" s="110" t="str">
        <f>IF(Tab.o1[[#This Row],[a1]]=1,IF(ISNUMBER(Tab.o1[[#This Row],[i.]]),NORMDIST(Tab.o1[[#This Row],[Za]],0,1,FALSE)*Tab.o1[[#This Row],[i.]],0),"")</f>
        <v/>
      </c>
      <c r="AQ1055" s="125" t="str">
        <f>IF(Tab.o1[[#This Row],[a1]]=1,ABS(Tab.o1[[#This Row],[MOD]]-AVERAGE(Tab.o1[MOD])),"")</f>
        <v/>
      </c>
      <c r="AR1055" s="134" t="str">
        <f>IF(Tab.o1[[#This Row],[a1]]=1,Tab.o1[[#This Row],[OBS]]/SUM(Tab.o1[OBS]),"")</f>
        <v/>
      </c>
      <c r="AS1055" s="135" t="str">
        <f>IF(ISNUMBER(Tab.o1[[#This Row],[a1]]),ROW()-4,"")</f>
        <v/>
      </c>
      <c r="AT1055" s="136" t="str">
        <f>Tab.o1[[#This Row],[MOD]]</f>
        <v/>
      </c>
      <c r="AU1055" s="137" t="str">
        <f t="shared" si="65"/>
        <v/>
      </c>
      <c r="AV1055" s="138" t="str">
        <f t="shared" si="66"/>
        <v/>
      </c>
      <c r="AW1055" s="138" t="str">
        <f t="shared" si="67"/>
        <v/>
      </c>
      <c r="AX1055" s="139" t="str">
        <f>[1]!T.in.A[[#This Row],[ID_T_manu]]</f>
        <v/>
      </c>
      <c r="AY1055" s="140" t="str">
        <f>IF(ISNUMBER(Tab.o1[[#This Row],[a1]]),IF(AND(Tab.o1[[#This Row],[a1]]=1,Tab.o1[[#This Row],[b1]]&lt;=AY$4),#REF!,AY1054),"")</f>
        <v/>
      </c>
      <c r="AZ1055" s="25"/>
      <c r="BA1055" s="25"/>
      <c r="BB1055" s="25"/>
      <c r="BC1055" s="25"/>
      <c r="BD1055" s="25"/>
      <c r="BE1055" s="25"/>
      <c r="BF1055" s="25"/>
      <c r="BG1055" s="25"/>
      <c r="BH1055" s="25"/>
      <c r="BI1055" s="25"/>
      <c r="BJ1055" s="25"/>
      <c r="BK1055" s="25"/>
      <c r="BL1055" s="25"/>
      <c r="BM1055" s="25"/>
      <c r="BN1055" s="26"/>
      <c r="BO1055" s="26"/>
      <c r="BP1055" s="26"/>
      <c r="BQ1055" s="26"/>
      <c r="BR1055" s="26"/>
      <c r="BS1055" s="26"/>
      <c r="BT1055" s="26"/>
      <c r="BU1055" s="26"/>
      <c r="BV1055" s="26"/>
      <c r="BW1055" s="26"/>
      <c r="BX1055" s="26"/>
      <c r="BY1055" s="26"/>
      <c r="BZ1055" s="26"/>
      <c r="CA1055" s="26"/>
    </row>
    <row r="1056" spans="1:79" ht="15.75" hidden="1">
      <c r="A1056" s="109">
        <v>1.0000000000000001E-5</v>
      </c>
      <c r="B1056" s="110">
        <f t="shared" si="64"/>
        <v>1056</v>
      </c>
      <c r="C1056" s="111" t="str">
        <f>IF(C$1=[1]!T.in.A[[#This Row],[oo2]],1,"")</f>
        <v/>
      </c>
      <c r="D1056" s="112" t="str">
        <f>IF(Tab.o1[[#This Row],[a1]]=1,IF(SUM(C1056:C1057)=0,0,IF(SUM(C1055:C1056)=1,1,IF(SUM(C1055:C1057)&gt;1,D1055+1,0))),"")</f>
        <v/>
      </c>
      <c r="E1056" s="113" t="str">
        <f>IF(Tab.o1[[#This Row],[a1]]=1,[1]!T.in.A[[#This Row],[oo1]],"")</f>
        <v/>
      </c>
      <c r="F1056" s="113" t="str">
        <f>IF(Tab.o1[[#This Row],[a1]]=1,[1]!T.in.A[[#This Row],[pp1]],"")</f>
        <v/>
      </c>
      <c r="G1056" s="114" t="str">
        <f>IF(Tab.o1[[#This Row],[a1]]=1,G$2+IF(G$1=1,0,Tab.o1[[#This Row],[.x1]])+[1]!T.in.A[[#This Row],[oo3]],"")</f>
        <v/>
      </c>
      <c r="H1056" s="115" t="str">
        <f>IF(Tab.o1[[#This Row],[a1]]=1,IF(H$2=0,0,IF(G$1=1,0,Tab.o1[[#This Row],[.x1]])+[1]!T.in.A[[#This Row],[oo4]]),"")</f>
        <v/>
      </c>
      <c r="I1056" s="116" t="str">
        <f>IF(Tab.o1[[#This Row],[a1]]=1,IF(J$2=0,Tab.o1[[#This Row],[MED]],Tab.o1[[#This Row],[MOD]]),"")</f>
        <v/>
      </c>
      <c r="J1056" s="116" t="str">
        <f>IF(Tab.o1[[#This Row],[a1]]=1,((Tab.o1[[#This Row],[DIF_Target.]]-AVERAGE(Tab.o1[DIF_Target.]))/_xlfn.STDEV.P(Tab.o1[DIF_Target.])),"")</f>
        <v/>
      </c>
      <c r="K1056" s="117" t="str">
        <f>IF(Tab.o1[[#This Row],[a1]]=1,IF(J$2=0,Tab.o1[[#This Row],[MOD]]-Tab.o1[[#This Row],[B]],IF(J$2=1,0,-Tab.o1[[#This Row],[MED]])+Tab.o1[[#This Row],[B]]),"")</f>
        <v/>
      </c>
      <c r="L1056" s="117" t="str">
        <f ca="1">IF(Tab.o1[[#This Row],[DIF_Target]]=0,IF(L$2=0,Tab.o1[[#This Row],[DIF_Target]],AVERAGE(OFFSET(Tab.o1[[#This Row],[DIF_Target]],1,0,L$3,1)))/3,Tab.o1[[#This Row],[DIF_Target]])</f>
        <v/>
      </c>
      <c r="M1056" s="118" t="str">
        <f>IF(Tab.o1[[#This Row],[a1]]=1,NORMSDIST(Tab.o1[[#This Row],[Za]]),"")</f>
        <v/>
      </c>
      <c r="N1056" s="119" t="str">
        <f>IF(Tab.o1[[#This Row],[a1]]=1,((Tab.o1[[#This Row],[MedMod]]-AVERAGE(Tab.o1[MedMod]))/_xlfn.STDEV.P(Tab.o1[MedMod])*H$1205)+G$1205,"")</f>
        <v/>
      </c>
      <c r="O1056" s="141" t="str">
        <f>IF(Tab.o1[[#This Row],[a1]]=1,Tab.o1[[#This Row],[Zb]]*_xlfn.STDEV.P(Tab.o1[MedMod])+AVERAGE(Tab.o1[MedMod]),"")</f>
        <v/>
      </c>
      <c r="P1056" s="117" t="str">
        <f ca="1">IF(Tab.o1[[#This Row],[B]]=0,AVERAGE(OFFSET(Tab.o1[[#This Row],[B]],1,0,L$3,1)),Tab.o1[[#This Row],[B]])</f>
        <v/>
      </c>
      <c r="Q1056" s="121" t="str">
        <f>IF(Tab.o1[[#This Row],[a1]]=1,NORMSDIST(Tab.o1[[#This Row],[Zb]]),"")</f>
        <v/>
      </c>
      <c r="R1056" s="122" t="str">
        <f>IF(Tab.o1[[#This Row],[a1]]=1,((Tab.o1[[#This Row],[MedMod]]-AVERAGE(Tab.o1[MedMod]))/_xlfn.STDEV.P(Tab.o1[MedMod])*H$1203)+G$1203,"")</f>
        <v/>
      </c>
      <c r="S1056" s="122" t="str">
        <f>IF(Tab.o1[[#This Row],[a1]]=1,((Tab.o1[[#This Row],[MedMod]]-AVERAGE(Tab.o1[MedMod]))/_xlfn.STDEV.P(Tab.o1[MedMod])*H$1204)+G$1204,"")</f>
        <v/>
      </c>
      <c r="T1056" s="123" t="str">
        <f>IF(Tab.o1[[#This Row],[a1]]=1,Tab.o1[[#This Row],[Z-]]*_xlfn.STDEV.P(Tab.o1[B])+AVERAGE(Tab.o1[B]),"")</f>
        <v/>
      </c>
      <c r="U1056" s="123" t="str">
        <f>IF(Tab.o1[[#This Row],[a1]]=1,Tab.o1[[#This Row],[z+]]*_xlfn.STDEV.P(Tab.o1[B])+AVERAGE(Tab.o1[B]),"")</f>
        <v/>
      </c>
      <c r="V1056" s="124" t="str">
        <f>IF(Tab.o1[[#This Row],[a1]]=1,ABS((ABS(Tab.o1[[#This Row],[Red]]-Tab.o1[[#This Row],[Blue]]))),"")</f>
        <v/>
      </c>
      <c r="W1056" s="125" t="str">
        <f>IF(Tab.o1[[#This Row],[a1]]=1,IF(W$3=0,1,Tab.o1[[#This Row],[Amp.]]*1/_xlfn.MINIFS(Tab.o1[Amp.],Tab.o1[Amp.],"&lt;&gt;0")),"")</f>
        <v/>
      </c>
      <c r="X1056" s="126" t="str">
        <f>IF(Tab.o1[[#This Row],[a1]]=1,IF(ISNUMBER(Tab.o1[[#This Row],[i.]]),NORMDIST(Tab.o1[[#This Row],[Za]],0,1,FALSE)*Tab.o1[[#This Row],[i.]],AP$3),"")</f>
        <v/>
      </c>
      <c r="Y1056" s="126" t="str">
        <f>IF(Tab.o1[[#This Row],[a1]]=1,0.01+0.94*Tab.o1[[#This Row],[PDF]]/MAX(Tab.o1[PDF]),"")</f>
        <v/>
      </c>
      <c r="Z1056" s="126" t="str">
        <f>IF(Tab.o1[[#This Row],[a1]]=1,0.01+0.94*Tab.o1[[#This Row],[W1_PDF]]/MAX(Tab.o1[W1_PDF]),"")</f>
        <v/>
      </c>
      <c r="AA1056" s="118" t="str">
        <f>IF(Tab.o1[[#This Row],[a1]]=1,ABS([1]!T.in.A[[#This Row],[oo6]]),"")</f>
        <v/>
      </c>
      <c r="AB1056" s="127" t="str">
        <f>IF(Tab.o1[[#This Row],[a1]]=1,IF(AE$3=0,"",IF(AB$3=0,ABS([1]!T.in.A[[#This Row],[oo9]]),ABS(Tab.o1[[#This Row],[DIF_Target.]]*Tab.o1[[#This Row],[W1_PDF]]))),"")</f>
        <v/>
      </c>
      <c r="AC1056" s="127" t="str">
        <f>IF(G$1=1,"",IF(Tab.o1[[#This Row],[a1]]=1,Tab.o1[[#This Row],[Wr]]^2,""))</f>
        <v/>
      </c>
      <c r="AD1056" s="118" t="str">
        <f>IF(Tab.o1[[#This Row],[a1]]=1,IF(AE$3=0,"",Tab.o1[[#This Row],[Wr2]]/SUM(Tab.o1[Wr2])),"")</f>
        <v/>
      </c>
      <c r="AE1056" s="128" t="str">
        <f>IF(Tab.o1[[#This Row],[a1]]=1,[1]!T.in.A[[#This Row],[oo10]],"")</f>
        <v/>
      </c>
      <c r="AF1056" s="118" t="str">
        <f>IF(Tab.o1[[#This Row],[a1]]=1,ABS(Tab.o1[[#This Row],[DIF_Target.]]*Tab.o1[[#This Row],[PDF2]]*Tab.o1[[#This Row],[IN]]),"")</f>
        <v/>
      </c>
      <c r="AG1056" s="129" t="str">
        <f>IF(Tab.o1[[#This Row],[a1]]=1,Tab.o1[[#This Row],[rW]]^2,"")</f>
        <v/>
      </c>
      <c r="AH1056" s="130" t="str">
        <f>IF(Tab.o1[[#This Row],[a1]]=1,IF(AH$3=0,Tab.o1[[#This Row],[rW2]],0.01+0.94*Tab.o1[[#This Row],[rW2]]/SUM(Tab.o1[rW2])),"")</f>
        <v/>
      </c>
      <c r="AI1056" s="128" t="str">
        <f>IF(Tab.o1[[#This Row],[a1]]=1,1/Tab.o1[[#This Row],[PDF]],"")</f>
        <v/>
      </c>
      <c r="AJ1056" s="131" t="str">
        <f>IF(Tab.o1[[#This Row],[a1]]=1,[1]!T_AA[[#This Row],[IN'']]*[1]!T_AA[[#This Row],[Qde'']],"")</f>
        <v/>
      </c>
      <c r="AK1056" s="132" t="str">
        <f>IF(Tab.o1[[#This Row],[a1]]=1,IF(AK$1=1,Tab.o1[[#This Row],[MED]]+Tab.o1[[#This Row],[MOD]]-Tab.o1[[#This Row],[MED]],""),"")</f>
        <v/>
      </c>
      <c r="AL1056" s="133" t="str">
        <f>IF(Tab.o1[[#This Row],[a1]]=1,[1]!T.in.A[[#This Row],[oo16]],"")</f>
        <v/>
      </c>
      <c r="AM1056" s="133" t="str">
        <f>IF(Tab.o1[[#This Row],[a1]]=1,IF(AM$3=1,[1]!T.in.A[[#This Row],[Σo16]],""),"")</f>
        <v/>
      </c>
      <c r="AN1056" s="126" t="str">
        <f>IF(Tab.o1[[#This Row],[a1]]=1,[1]!T.in.A[[#This Row],[Σp5]],"")</f>
        <v/>
      </c>
      <c r="AO1056" s="126" t="str">
        <f>IF(Tab.o1[[#This Row],[a1]]=1,IF(AO$3=1,[1]!T.in.A[[#This Row],[Σp5]],""),"")</f>
        <v/>
      </c>
      <c r="AP1056" s="110" t="str">
        <f>IF(Tab.o1[[#This Row],[a1]]=1,IF(ISNUMBER(Tab.o1[[#This Row],[i.]]),NORMDIST(Tab.o1[[#This Row],[Za]],0,1,FALSE)*Tab.o1[[#This Row],[i.]],0),"")</f>
        <v/>
      </c>
      <c r="AQ1056" s="125" t="str">
        <f>IF(Tab.o1[[#This Row],[a1]]=1,ABS(Tab.o1[[#This Row],[MOD]]-AVERAGE(Tab.o1[MOD])),"")</f>
        <v/>
      </c>
      <c r="AR1056" s="134" t="str">
        <f>IF(Tab.o1[[#This Row],[a1]]=1,Tab.o1[[#This Row],[OBS]]/SUM(Tab.o1[OBS]),"")</f>
        <v/>
      </c>
      <c r="AS1056" s="135" t="str">
        <f>IF(ISNUMBER(Tab.o1[[#This Row],[a1]]),ROW()-4,"")</f>
        <v/>
      </c>
      <c r="AT1056" s="136" t="str">
        <f>Tab.o1[[#This Row],[MOD]]</f>
        <v/>
      </c>
      <c r="AU1056" s="137" t="str">
        <f t="shared" si="65"/>
        <v/>
      </c>
      <c r="AV1056" s="138" t="str">
        <f t="shared" si="66"/>
        <v/>
      </c>
      <c r="AW1056" s="138" t="str">
        <f t="shared" si="67"/>
        <v/>
      </c>
      <c r="AX1056" s="139" t="str">
        <f>[1]!T.in.A[[#This Row],[ID_T_manu]]</f>
        <v/>
      </c>
      <c r="AY1056" s="140" t="str">
        <f>IF(ISNUMBER(Tab.o1[[#This Row],[a1]]),IF(AND(Tab.o1[[#This Row],[a1]]=1,Tab.o1[[#This Row],[b1]]&lt;=AY$4),#REF!,AY1055),"")</f>
        <v/>
      </c>
      <c r="AZ1056" s="25"/>
      <c r="BA1056" s="25"/>
      <c r="BB1056" s="25"/>
      <c r="BC1056" s="25"/>
      <c r="BD1056" s="25"/>
      <c r="BE1056" s="25"/>
      <c r="BF1056" s="25"/>
      <c r="BG1056" s="25"/>
      <c r="BH1056" s="25"/>
      <c r="BI1056" s="25"/>
      <c r="BJ1056" s="25"/>
      <c r="BK1056" s="25"/>
      <c r="BL1056" s="25"/>
      <c r="BM1056" s="25"/>
      <c r="BN1056" s="26"/>
      <c r="BO1056" s="26"/>
      <c r="BP1056" s="26"/>
      <c r="BQ1056" s="26"/>
      <c r="BR1056" s="26"/>
      <c r="BS1056" s="26"/>
      <c r="BT1056" s="26"/>
      <c r="BU1056" s="26"/>
      <c r="BV1056" s="26"/>
      <c r="BW1056" s="26"/>
      <c r="BX1056" s="26"/>
      <c r="BY1056" s="26"/>
      <c r="BZ1056" s="26"/>
      <c r="CA1056" s="26"/>
    </row>
    <row r="1057" spans="1:79" ht="15.75" hidden="1">
      <c r="A1057" s="109">
        <v>-5.0000000000000004E-6</v>
      </c>
      <c r="B1057" s="110">
        <f t="shared" si="64"/>
        <v>1057</v>
      </c>
      <c r="C1057" s="111" t="str">
        <f>IF(C$1=[1]!T.in.A[[#This Row],[oo2]],1,"")</f>
        <v/>
      </c>
      <c r="D1057" s="112" t="str">
        <f>IF(Tab.o1[[#This Row],[a1]]=1,IF(SUM(C1057:C1058)=0,0,IF(SUM(C1056:C1057)=1,1,IF(SUM(C1056:C1058)&gt;1,D1056+1,0))),"")</f>
        <v/>
      </c>
      <c r="E1057" s="113" t="str">
        <f>IF(Tab.o1[[#This Row],[a1]]=1,[1]!T.in.A[[#This Row],[oo1]],"")</f>
        <v/>
      </c>
      <c r="F1057" s="113" t="str">
        <f>IF(Tab.o1[[#This Row],[a1]]=1,[1]!T.in.A[[#This Row],[pp1]],"")</f>
        <v/>
      </c>
      <c r="G1057" s="114" t="str">
        <f>IF(Tab.o1[[#This Row],[a1]]=1,G$2+IF(G$1=1,0,Tab.o1[[#This Row],[.x1]])+[1]!T.in.A[[#This Row],[oo3]],"")</f>
        <v/>
      </c>
      <c r="H1057" s="115" t="str">
        <f>IF(Tab.o1[[#This Row],[a1]]=1,IF(H$2=0,0,IF(G$1=1,0,Tab.o1[[#This Row],[.x1]])+[1]!T.in.A[[#This Row],[oo4]]),"")</f>
        <v/>
      </c>
      <c r="I1057" s="116" t="str">
        <f>IF(Tab.o1[[#This Row],[a1]]=1,IF(J$2=0,Tab.o1[[#This Row],[MED]],Tab.o1[[#This Row],[MOD]]),"")</f>
        <v/>
      </c>
      <c r="J1057" s="116" t="str">
        <f>IF(Tab.o1[[#This Row],[a1]]=1,((Tab.o1[[#This Row],[DIF_Target.]]-AVERAGE(Tab.o1[DIF_Target.]))/_xlfn.STDEV.P(Tab.o1[DIF_Target.])),"")</f>
        <v/>
      </c>
      <c r="K1057" s="117" t="str">
        <f>IF(Tab.o1[[#This Row],[a1]]=1,IF(J$2=0,Tab.o1[[#This Row],[MOD]]-Tab.o1[[#This Row],[B]],IF(J$2=1,0,-Tab.o1[[#This Row],[MED]])+Tab.o1[[#This Row],[B]]),"")</f>
        <v/>
      </c>
      <c r="L1057" s="117" t="str">
        <f ca="1">IF(Tab.o1[[#This Row],[DIF_Target]]=0,IF(L$2=0,Tab.o1[[#This Row],[DIF_Target]],AVERAGE(OFFSET(Tab.o1[[#This Row],[DIF_Target]],1,0,L$3,1)))/3,Tab.o1[[#This Row],[DIF_Target]])</f>
        <v/>
      </c>
      <c r="M1057" s="118" t="str">
        <f>IF(Tab.o1[[#This Row],[a1]]=1,NORMSDIST(Tab.o1[[#This Row],[Za]]),"")</f>
        <v/>
      </c>
      <c r="N1057" s="119" t="str">
        <f>IF(Tab.o1[[#This Row],[a1]]=1,((Tab.o1[[#This Row],[MedMod]]-AVERAGE(Tab.o1[MedMod]))/_xlfn.STDEV.P(Tab.o1[MedMod])*H$1205)+G$1205,"")</f>
        <v/>
      </c>
      <c r="O1057" s="141" t="str">
        <f>IF(Tab.o1[[#This Row],[a1]]=1,Tab.o1[[#This Row],[Zb]]*_xlfn.STDEV.P(Tab.o1[MedMod])+AVERAGE(Tab.o1[MedMod]),"")</f>
        <v/>
      </c>
      <c r="P1057" s="117" t="str">
        <f ca="1">IF(Tab.o1[[#This Row],[B]]=0,AVERAGE(OFFSET(Tab.o1[[#This Row],[B]],1,0,L$3,1)),Tab.o1[[#This Row],[B]])</f>
        <v/>
      </c>
      <c r="Q1057" s="121" t="str">
        <f>IF(Tab.o1[[#This Row],[a1]]=1,NORMSDIST(Tab.o1[[#This Row],[Zb]]),"")</f>
        <v/>
      </c>
      <c r="R1057" s="122" t="str">
        <f>IF(Tab.o1[[#This Row],[a1]]=1,((Tab.o1[[#This Row],[MedMod]]-AVERAGE(Tab.o1[MedMod]))/_xlfn.STDEV.P(Tab.o1[MedMod])*H$1203)+G$1203,"")</f>
        <v/>
      </c>
      <c r="S1057" s="122" t="str">
        <f>IF(Tab.o1[[#This Row],[a1]]=1,((Tab.o1[[#This Row],[MedMod]]-AVERAGE(Tab.o1[MedMod]))/_xlfn.STDEV.P(Tab.o1[MedMod])*H$1204)+G$1204,"")</f>
        <v/>
      </c>
      <c r="T1057" s="123" t="str">
        <f>IF(Tab.o1[[#This Row],[a1]]=1,Tab.o1[[#This Row],[Z-]]*_xlfn.STDEV.P(Tab.o1[B])+AVERAGE(Tab.o1[B]),"")</f>
        <v/>
      </c>
      <c r="U1057" s="123" t="str">
        <f>IF(Tab.o1[[#This Row],[a1]]=1,Tab.o1[[#This Row],[z+]]*_xlfn.STDEV.P(Tab.o1[B])+AVERAGE(Tab.o1[B]),"")</f>
        <v/>
      </c>
      <c r="V1057" s="124" t="str">
        <f>IF(Tab.o1[[#This Row],[a1]]=1,ABS((ABS(Tab.o1[[#This Row],[Red]]-Tab.o1[[#This Row],[Blue]]))),"")</f>
        <v/>
      </c>
      <c r="W1057" s="125" t="str">
        <f>IF(Tab.o1[[#This Row],[a1]]=1,IF(W$3=0,1,Tab.o1[[#This Row],[Amp.]]*1/_xlfn.MINIFS(Tab.o1[Amp.],Tab.o1[Amp.],"&lt;&gt;0")),"")</f>
        <v/>
      </c>
      <c r="X1057" s="126" t="str">
        <f>IF(Tab.o1[[#This Row],[a1]]=1,IF(ISNUMBER(Tab.o1[[#This Row],[i.]]),NORMDIST(Tab.o1[[#This Row],[Za]],0,1,FALSE)*Tab.o1[[#This Row],[i.]],AP$3),"")</f>
        <v/>
      </c>
      <c r="Y1057" s="126" t="str">
        <f>IF(Tab.o1[[#This Row],[a1]]=1,0.01+0.94*Tab.o1[[#This Row],[PDF]]/MAX(Tab.o1[PDF]),"")</f>
        <v/>
      </c>
      <c r="Z1057" s="126" t="str">
        <f>IF(Tab.o1[[#This Row],[a1]]=1,0.01+0.94*Tab.o1[[#This Row],[W1_PDF]]/MAX(Tab.o1[W1_PDF]),"")</f>
        <v/>
      </c>
      <c r="AA1057" s="118" t="str">
        <f>IF(Tab.o1[[#This Row],[a1]]=1,ABS([1]!T.in.A[[#This Row],[oo6]]),"")</f>
        <v/>
      </c>
      <c r="AB1057" s="127" t="str">
        <f>IF(Tab.o1[[#This Row],[a1]]=1,IF(AE$3=0,"",IF(AB$3=0,ABS([1]!T.in.A[[#This Row],[oo9]]),ABS(Tab.o1[[#This Row],[DIF_Target.]]*Tab.o1[[#This Row],[W1_PDF]]))),"")</f>
        <v/>
      </c>
      <c r="AC1057" s="127" t="str">
        <f>IF(G$1=1,"",IF(Tab.o1[[#This Row],[a1]]=1,Tab.o1[[#This Row],[Wr]]^2,""))</f>
        <v/>
      </c>
      <c r="AD1057" s="118" t="str">
        <f>IF(Tab.o1[[#This Row],[a1]]=1,IF(AE$3=0,"",Tab.o1[[#This Row],[Wr2]]/SUM(Tab.o1[Wr2])),"")</f>
        <v/>
      </c>
      <c r="AE1057" s="128" t="str">
        <f>IF(Tab.o1[[#This Row],[a1]]=1,[1]!T.in.A[[#This Row],[oo10]],"")</f>
        <v/>
      </c>
      <c r="AF1057" s="118" t="str">
        <f>IF(Tab.o1[[#This Row],[a1]]=1,ABS(Tab.o1[[#This Row],[DIF_Target.]]*Tab.o1[[#This Row],[PDF2]]*Tab.o1[[#This Row],[IN]]),"")</f>
        <v/>
      </c>
      <c r="AG1057" s="129" t="str">
        <f>IF(Tab.o1[[#This Row],[a1]]=1,Tab.o1[[#This Row],[rW]]^2,"")</f>
        <v/>
      </c>
      <c r="AH1057" s="130" t="str">
        <f>IF(Tab.o1[[#This Row],[a1]]=1,IF(AH$3=0,Tab.o1[[#This Row],[rW2]],0.01+0.94*Tab.o1[[#This Row],[rW2]]/SUM(Tab.o1[rW2])),"")</f>
        <v/>
      </c>
      <c r="AI1057" s="128" t="str">
        <f>IF(Tab.o1[[#This Row],[a1]]=1,1/Tab.o1[[#This Row],[PDF]],"")</f>
        <v/>
      </c>
      <c r="AJ1057" s="131" t="str">
        <f>IF(Tab.o1[[#This Row],[a1]]=1,[1]!T_AA[[#This Row],[IN'']]*[1]!T_AA[[#This Row],[Qde'']],"")</f>
        <v/>
      </c>
      <c r="AK1057" s="132" t="str">
        <f>IF(Tab.o1[[#This Row],[a1]]=1,IF(AK$1=1,Tab.o1[[#This Row],[MED]]+Tab.o1[[#This Row],[MOD]]-Tab.o1[[#This Row],[MED]],""),"")</f>
        <v/>
      </c>
      <c r="AL1057" s="133" t="str">
        <f>IF(Tab.o1[[#This Row],[a1]]=1,[1]!T.in.A[[#This Row],[oo16]],"")</f>
        <v/>
      </c>
      <c r="AM1057" s="133" t="str">
        <f>IF(Tab.o1[[#This Row],[a1]]=1,IF(AM$3=1,[1]!T.in.A[[#This Row],[Σo16]],""),"")</f>
        <v/>
      </c>
      <c r="AN1057" s="126" t="str">
        <f>IF(Tab.o1[[#This Row],[a1]]=1,[1]!T.in.A[[#This Row],[Σp5]],"")</f>
        <v/>
      </c>
      <c r="AO1057" s="126" t="str">
        <f>IF(Tab.o1[[#This Row],[a1]]=1,IF(AO$3=1,[1]!T.in.A[[#This Row],[Σp5]],""),"")</f>
        <v/>
      </c>
      <c r="AP1057" s="110" t="str">
        <f>IF(Tab.o1[[#This Row],[a1]]=1,IF(ISNUMBER(Tab.o1[[#This Row],[i.]]),NORMDIST(Tab.o1[[#This Row],[Za]],0,1,FALSE)*Tab.o1[[#This Row],[i.]],0),"")</f>
        <v/>
      </c>
      <c r="AQ1057" s="125" t="str">
        <f>IF(Tab.o1[[#This Row],[a1]]=1,ABS(Tab.o1[[#This Row],[MOD]]-AVERAGE(Tab.o1[MOD])),"")</f>
        <v/>
      </c>
      <c r="AR1057" s="134" t="str">
        <f>IF(Tab.o1[[#This Row],[a1]]=1,Tab.o1[[#This Row],[OBS]]/SUM(Tab.o1[OBS]),"")</f>
        <v/>
      </c>
      <c r="AS1057" s="135" t="str">
        <f>IF(ISNUMBER(Tab.o1[[#This Row],[a1]]),ROW()-4,"")</f>
        <v/>
      </c>
      <c r="AT1057" s="136" t="str">
        <f>Tab.o1[[#This Row],[MOD]]</f>
        <v/>
      </c>
      <c r="AU1057" s="137" t="str">
        <f t="shared" si="65"/>
        <v/>
      </c>
      <c r="AV1057" s="138" t="str">
        <f t="shared" si="66"/>
        <v/>
      </c>
      <c r="AW1057" s="138" t="str">
        <f t="shared" si="67"/>
        <v/>
      </c>
      <c r="AX1057" s="139" t="str">
        <f>[1]!T.in.A[[#This Row],[ID_T_manu]]</f>
        <v/>
      </c>
      <c r="AY1057" s="140" t="str">
        <f>IF(ISNUMBER(Tab.o1[[#This Row],[a1]]),IF(AND(Tab.o1[[#This Row],[a1]]=1,Tab.o1[[#This Row],[b1]]&lt;=AY$4),#REF!,AY1056),"")</f>
        <v/>
      </c>
      <c r="AZ1057" s="25"/>
      <c r="BA1057" s="25"/>
      <c r="BB1057" s="25"/>
      <c r="BC1057" s="25"/>
      <c r="BD1057" s="25"/>
      <c r="BE1057" s="25"/>
      <c r="BF1057" s="25"/>
      <c r="BG1057" s="25"/>
      <c r="BH1057" s="25"/>
      <c r="BI1057" s="25"/>
      <c r="BJ1057" s="25"/>
      <c r="BK1057" s="25"/>
      <c r="BL1057" s="25"/>
      <c r="BM1057" s="25"/>
      <c r="BN1057" s="26"/>
      <c r="BO1057" s="26"/>
      <c r="BP1057" s="26"/>
      <c r="BQ1057" s="26"/>
      <c r="BR1057" s="26"/>
      <c r="BS1057" s="26"/>
      <c r="BT1057" s="26"/>
      <c r="BU1057" s="26"/>
      <c r="BV1057" s="26"/>
      <c r="BW1057" s="26"/>
      <c r="BX1057" s="26"/>
      <c r="BY1057" s="26"/>
      <c r="BZ1057" s="26"/>
      <c r="CA1057" s="26"/>
    </row>
    <row r="1058" spans="1:79" ht="15.75" hidden="1">
      <c r="A1058" s="109">
        <v>-8.0000000000000013E-6</v>
      </c>
      <c r="B1058" s="110">
        <f t="shared" si="64"/>
        <v>1058</v>
      </c>
      <c r="C1058" s="111" t="str">
        <f>IF(C$1=[1]!T.in.A[[#This Row],[oo2]],1,"")</f>
        <v/>
      </c>
      <c r="D1058" s="112" t="str">
        <f>IF(Tab.o1[[#This Row],[a1]]=1,IF(SUM(C1058:C1059)=0,0,IF(SUM(C1057:C1058)=1,1,IF(SUM(C1057:C1059)&gt;1,D1057+1,0))),"")</f>
        <v/>
      </c>
      <c r="E1058" s="113" t="str">
        <f>IF(Tab.o1[[#This Row],[a1]]=1,[1]!T.in.A[[#This Row],[oo1]],"")</f>
        <v/>
      </c>
      <c r="F1058" s="113" t="str">
        <f>IF(Tab.o1[[#This Row],[a1]]=1,[1]!T.in.A[[#This Row],[pp1]],"")</f>
        <v/>
      </c>
      <c r="G1058" s="114" t="str">
        <f>IF(Tab.o1[[#This Row],[a1]]=1,G$2+IF(G$1=1,0,Tab.o1[[#This Row],[.x1]])+[1]!T.in.A[[#This Row],[oo3]],"")</f>
        <v/>
      </c>
      <c r="H1058" s="115" t="str">
        <f>IF(Tab.o1[[#This Row],[a1]]=1,IF(H$2=0,0,IF(G$1=1,0,Tab.o1[[#This Row],[.x1]])+[1]!T.in.A[[#This Row],[oo4]]),"")</f>
        <v/>
      </c>
      <c r="I1058" s="116" t="str">
        <f>IF(Tab.o1[[#This Row],[a1]]=1,IF(J$2=0,Tab.o1[[#This Row],[MED]],Tab.o1[[#This Row],[MOD]]),"")</f>
        <v/>
      </c>
      <c r="J1058" s="116" t="str">
        <f>IF(Tab.o1[[#This Row],[a1]]=1,((Tab.o1[[#This Row],[DIF_Target.]]-AVERAGE(Tab.o1[DIF_Target.]))/_xlfn.STDEV.P(Tab.o1[DIF_Target.])),"")</f>
        <v/>
      </c>
      <c r="K1058" s="117" t="str">
        <f>IF(Tab.o1[[#This Row],[a1]]=1,IF(J$2=0,Tab.o1[[#This Row],[MOD]]-Tab.o1[[#This Row],[B]],IF(J$2=1,0,-Tab.o1[[#This Row],[MED]])+Tab.o1[[#This Row],[B]]),"")</f>
        <v/>
      </c>
      <c r="L1058" s="117" t="str">
        <f ca="1">IF(Tab.o1[[#This Row],[DIF_Target]]=0,IF(L$2=0,Tab.o1[[#This Row],[DIF_Target]],AVERAGE(OFFSET(Tab.o1[[#This Row],[DIF_Target]],1,0,L$3,1)))/3,Tab.o1[[#This Row],[DIF_Target]])</f>
        <v/>
      </c>
      <c r="M1058" s="118" t="str">
        <f>IF(Tab.o1[[#This Row],[a1]]=1,NORMSDIST(Tab.o1[[#This Row],[Za]]),"")</f>
        <v/>
      </c>
      <c r="N1058" s="119" t="str">
        <f>IF(Tab.o1[[#This Row],[a1]]=1,((Tab.o1[[#This Row],[MedMod]]-AVERAGE(Tab.o1[MedMod]))/_xlfn.STDEV.P(Tab.o1[MedMod])*H$1205)+G$1205,"")</f>
        <v/>
      </c>
      <c r="O1058" s="141" t="str">
        <f>IF(Tab.o1[[#This Row],[a1]]=1,Tab.o1[[#This Row],[Zb]]*_xlfn.STDEV.P(Tab.o1[MedMod])+AVERAGE(Tab.o1[MedMod]),"")</f>
        <v/>
      </c>
      <c r="P1058" s="117" t="str">
        <f ca="1">IF(Tab.o1[[#This Row],[B]]=0,AVERAGE(OFFSET(Tab.o1[[#This Row],[B]],1,0,L$3,1)),Tab.o1[[#This Row],[B]])</f>
        <v/>
      </c>
      <c r="Q1058" s="121" t="str">
        <f>IF(Tab.o1[[#This Row],[a1]]=1,NORMSDIST(Tab.o1[[#This Row],[Zb]]),"")</f>
        <v/>
      </c>
      <c r="R1058" s="122" t="str">
        <f>IF(Tab.o1[[#This Row],[a1]]=1,((Tab.o1[[#This Row],[MedMod]]-AVERAGE(Tab.o1[MedMod]))/_xlfn.STDEV.P(Tab.o1[MedMod])*H$1203)+G$1203,"")</f>
        <v/>
      </c>
      <c r="S1058" s="122" t="str">
        <f>IF(Tab.o1[[#This Row],[a1]]=1,((Tab.o1[[#This Row],[MedMod]]-AVERAGE(Tab.o1[MedMod]))/_xlfn.STDEV.P(Tab.o1[MedMod])*H$1204)+G$1204,"")</f>
        <v/>
      </c>
      <c r="T1058" s="123" t="str">
        <f>IF(Tab.o1[[#This Row],[a1]]=1,Tab.o1[[#This Row],[Z-]]*_xlfn.STDEV.P(Tab.o1[B])+AVERAGE(Tab.o1[B]),"")</f>
        <v/>
      </c>
      <c r="U1058" s="123" t="str">
        <f>IF(Tab.o1[[#This Row],[a1]]=1,Tab.o1[[#This Row],[z+]]*_xlfn.STDEV.P(Tab.o1[B])+AVERAGE(Tab.o1[B]),"")</f>
        <v/>
      </c>
      <c r="V1058" s="124" t="str">
        <f>IF(Tab.o1[[#This Row],[a1]]=1,ABS((ABS(Tab.o1[[#This Row],[Red]]-Tab.o1[[#This Row],[Blue]]))),"")</f>
        <v/>
      </c>
      <c r="W1058" s="125" t="str">
        <f>IF(Tab.o1[[#This Row],[a1]]=1,IF(W$3=0,1,Tab.o1[[#This Row],[Amp.]]*1/_xlfn.MINIFS(Tab.o1[Amp.],Tab.o1[Amp.],"&lt;&gt;0")),"")</f>
        <v/>
      </c>
      <c r="X1058" s="126" t="str">
        <f>IF(Tab.o1[[#This Row],[a1]]=1,IF(ISNUMBER(Tab.o1[[#This Row],[i.]]),NORMDIST(Tab.o1[[#This Row],[Za]],0,1,FALSE)*Tab.o1[[#This Row],[i.]],AP$3),"")</f>
        <v/>
      </c>
      <c r="Y1058" s="126" t="str">
        <f>IF(Tab.o1[[#This Row],[a1]]=1,0.01+0.94*Tab.o1[[#This Row],[PDF]]/MAX(Tab.o1[PDF]),"")</f>
        <v/>
      </c>
      <c r="Z1058" s="126" t="str">
        <f>IF(Tab.o1[[#This Row],[a1]]=1,0.01+0.94*Tab.o1[[#This Row],[W1_PDF]]/MAX(Tab.o1[W1_PDF]),"")</f>
        <v/>
      </c>
      <c r="AA1058" s="118" t="str">
        <f>IF(Tab.o1[[#This Row],[a1]]=1,ABS([1]!T.in.A[[#This Row],[oo6]]),"")</f>
        <v/>
      </c>
      <c r="AB1058" s="127" t="str">
        <f>IF(Tab.o1[[#This Row],[a1]]=1,IF(AE$3=0,"",IF(AB$3=0,ABS([1]!T.in.A[[#This Row],[oo9]]),ABS(Tab.o1[[#This Row],[DIF_Target.]]*Tab.o1[[#This Row],[W1_PDF]]))),"")</f>
        <v/>
      </c>
      <c r="AC1058" s="127" t="str">
        <f>IF(G$1=1,"",IF(Tab.o1[[#This Row],[a1]]=1,Tab.o1[[#This Row],[Wr]]^2,""))</f>
        <v/>
      </c>
      <c r="AD1058" s="118" t="str">
        <f>IF(Tab.o1[[#This Row],[a1]]=1,IF(AE$3=0,"",Tab.o1[[#This Row],[Wr2]]/SUM(Tab.o1[Wr2])),"")</f>
        <v/>
      </c>
      <c r="AE1058" s="128" t="str">
        <f>IF(Tab.o1[[#This Row],[a1]]=1,[1]!T.in.A[[#This Row],[oo10]],"")</f>
        <v/>
      </c>
      <c r="AF1058" s="118" t="str">
        <f>IF(Tab.o1[[#This Row],[a1]]=1,ABS(Tab.o1[[#This Row],[DIF_Target.]]*Tab.o1[[#This Row],[PDF2]]*Tab.o1[[#This Row],[IN]]),"")</f>
        <v/>
      </c>
      <c r="AG1058" s="129" t="str">
        <f>IF(Tab.o1[[#This Row],[a1]]=1,Tab.o1[[#This Row],[rW]]^2,"")</f>
        <v/>
      </c>
      <c r="AH1058" s="130" t="str">
        <f>IF(Tab.o1[[#This Row],[a1]]=1,IF(AH$3=0,Tab.o1[[#This Row],[rW2]],0.01+0.94*Tab.o1[[#This Row],[rW2]]/SUM(Tab.o1[rW2])),"")</f>
        <v/>
      </c>
      <c r="AI1058" s="128" t="str">
        <f>IF(Tab.o1[[#This Row],[a1]]=1,1/Tab.o1[[#This Row],[PDF]],"")</f>
        <v/>
      </c>
      <c r="AJ1058" s="131" t="str">
        <f>IF(Tab.o1[[#This Row],[a1]]=1,[1]!T_AA[[#This Row],[IN'']]*[1]!T_AA[[#This Row],[Qde'']],"")</f>
        <v/>
      </c>
      <c r="AK1058" s="132" t="str">
        <f>IF(Tab.o1[[#This Row],[a1]]=1,IF(AK$1=1,Tab.o1[[#This Row],[MED]]+Tab.o1[[#This Row],[MOD]]-Tab.o1[[#This Row],[MED]],""),"")</f>
        <v/>
      </c>
      <c r="AL1058" s="133" t="str">
        <f>IF(Tab.o1[[#This Row],[a1]]=1,[1]!T.in.A[[#This Row],[oo16]],"")</f>
        <v/>
      </c>
      <c r="AM1058" s="133" t="str">
        <f>IF(Tab.o1[[#This Row],[a1]]=1,IF(AM$3=1,[1]!T.in.A[[#This Row],[Σo16]],""),"")</f>
        <v/>
      </c>
      <c r="AN1058" s="126" t="str">
        <f>IF(Tab.o1[[#This Row],[a1]]=1,[1]!T.in.A[[#This Row],[Σp5]],"")</f>
        <v/>
      </c>
      <c r="AO1058" s="126" t="str">
        <f>IF(Tab.o1[[#This Row],[a1]]=1,IF(AO$3=1,[1]!T.in.A[[#This Row],[Σp5]],""),"")</f>
        <v/>
      </c>
      <c r="AP1058" s="110" t="str">
        <f>IF(Tab.o1[[#This Row],[a1]]=1,IF(ISNUMBER(Tab.o1[[#This Row],[i.]]),NORMDIST(Tab.o1[[#This Row],[Za]],0,1,FALSE)*Tab.o1[[#This Row],[i.]],0),"")</f>
        <v/>
      </c>
      <c r="AQ1058" s="125" t="str">
        <f>IF(Tab.o1[[#This Row],[a1]]=1,ABS(Tab.o1[[#This Row],[MOD]]-AVERAGE(Tab.o1[MOD])),"")</f>
        <v/>
      </c>
      <c r="AR1058" s="134" t="str">
        <f>IF(Tab.o1[[#This Row],[a1]]=1,Tab.o1[[#This Row],[OBS]]/SUM(Tab.o1[OBS]),"")</f>
        <v/>
      </c>
      <c r="AS1058" s="135" t="str">
        <f>IF(ISNUMBER(Tab.o1[[#This Row],[a1]]),ROW()-4,"")</f>
        <v/>
      </c>
      <c r="AT1058" s="136" t="str">
        <f>Tab.o1[[#This Row],[MOD]]</f>
        <v/>
      </c>
      <c r="AU1058" s="137" t="str">
        <f t="shared" si="65"/>
        <v/>
      </c>
      <c r="AV1058" s="138" t="str">
        <f t="shared" si="66"/>
        <v/>
      </c>
      <c r="AW1058" s="138" t="str">
        <f t="shared" si="67"/>
        <v/>
      </c>
      <c r="AX1058" s="139" t="str">
        <f>[1]!T.in.A[[#This Row],[ID_T_manu]]</f>
        <v/>
      </c>
      <c r="AY1058" s="140" t="str">
        <f>IF(ISNUMBER(Tab.o1[[#This Row],[a1]]),IF(AND(Tab.o1[[#This Row],[a1]]=1,Tab.o1[[#This Row],[b1]]&lt;=AY$4),#REF!,AY1057),"")</f>
        <v/>
      </c>
      <c r="AZ1058" s="25"/>
      <c r="BA1058" s="25"/>
      <c r="BB1058" s="25"/>
      <c r="BC1058" s="25"/>
      <c r="BD1058" s="25"/>
      <c r="BE1058" s="25"/>
      <c r="BF1058" s="25"/>
      <c r="BG1058" s="25"/>
      <c r="BH1058" s="25"/>
      <c r="BI1058" s="25"/>
      <c r="BJ1058" s="25"/>
      <c r="BK1058" s="25"/>
      <c r="BL1058" s="25"/>
      <c r="BM1058" s="25"/>
      <c r="BN1058" s="26"/>
      <c r="BO1058" s="26"/>
      <c r="BP1058" s="26"/>
      <c r="BQ1058" s="26"/>
      <c r="BR1058" s="26"/>
      <c r="BS1058" s="26"/>
      <c r="BT1058" s="26"/>
      <c r="BU1058" s="26"/>
      <c r="BV1058" s="26"/>
      <c r="BW1058" s="26"/>
      <c r="BX1058" s="26"/>
      <c r="BY1058" s="26"/>
      <c r="BZ1058" s="26"/>
      <c r="CA1058" s="26"/>
    </row>
    <row r="1059" spans="1:79" ht="15.75" hidden="1">
      <c r="A1059" s="109">
        <v>5.9999999999999993E-6</v>
      </c>
      <c r="B1059" s="110">
        <f t="shared" si="64"/>
        <v>1059</v>
      </c>
      <c r="C1059" s="111" t="str">
        <f>IF(C$1=[1]!T.in.A[[#This Row],[oo2]],1,"")</f>
        <v/>
      </c>
      <c r="D1059" s="112" t="str">
        <f>IF(Tab.o1[[#This Row],[a1]]=1,IF(SUM(C1059:C1060)=0,0,IF(SUM(C1058:C1059)=1,1,IF(SUM(C1058:C1060)&gt;1,D1058+1,0))),"")</f>
        <v/>
      </c>
      <c r="E1059" s="113" t="str">
        <f>IF(Tab.o1[[#This Row],[a1]]=1,[1]!T.in.A[[#This Row],[oo1]],"")</f>
        <v/>
      </c>
      <c r="F1059" s="113" t="str">
        <f>IF(Tab.o1[[#This Row],[a1]]=1,[1]!T.in.A[[#This Row],[pp1]],"")</f>
        <v/>
      </c>
      <c r="G1059" s="114" t="str">
        <f>IF(Tab.o1[[#This Row],[a1]]=1,G$2+IF(G$1=1,0,Tab.o1[[#This Row],[.x1]])+[1]!T.in.A[[#This Row],[oo3]],"")</f>
        <v/>
      </c>
      <c r="H1059" s="115" t="str">
        <f>IF(Tab.o1[[#This Row],[a1]]=1,IF(H$2=0,0,IF(G$1=1,0,Tab.o1[[#This Row],[.x1]])+[1]!T.in.A[[#This Row],[oo4]]),"")</f>
        <v/>
      </c>
      <c r="I1059" s="116" t="str">
        <f>IF(Tab.o1[[#This Row],[a1]]=1,IF(J$2=0,Tab.o1[[#This Row],[MED]],Tab.o1[[#This Row],[MOD]]),"")</f>
        <v/>
      </c>
      <c r="J1059" s="116" t="str">
        <f>IF(Tab.o1[[#This Row],[a1]]=1,((Tab.o1[[#This Row],[DIF_Target.]]-AVERAGE(Tab.o1[DIF_Target.]))/_xlfn.STDEV.P(Tab.o1[DIF_Target.])),"")</f>
        <v/>
      </c>
      <c r="K1059" s="117" t="str">
        <f>IF(Tab.o1[[#This Row],[a1]]=1,IF(J$2=0,Tab.o1[[#This Row],[MOD]]-Tab.o1[[#This Row],[B]],IF(J$2=1,0,-Tab.o1[[#This Row],[MED]])+Tab.o1[[#This Row],[B]]),"")</f>
        <v/>
      </c>
      <c r="L1059" s="117" t="str">
        <f ca="1">IF(Tab.o1[[#This Row],[DIF_Target]]=0,IF(L$2=0,Tab.o1[[#This Row],[DIF_Target]],AVERAGE(OFFSET(Tab.o1[[#This Row],[DIF_Target]],1,0,L$3,1)))/3,Tab.o1[[#This Row],[DIF_Target]])</f>
        <v/>
      </c>
      <c r="M1059" s="118" t="str">
        <f>IF(Tab.o1[[#This Row],[a1]]=1,NORMSDIST(Tab.o1[[#This Row],[Za]]),"")</f>
        <v/>
      </c>
      <c r="N1059" s="119" t="str">
        <f>IF(Tab.o1[[#This Row],[a1]]=1,((Tab.o1[[#This Row],[MedMod]]-AVERAGE(Tab.o1[MedMod]))/_xlfn.STDEV.P(Tab.o1[MedMod])*H$1205)+G$1205,"")</f>
        <v/>
      </c>
      <c r="O1059" s="141" t="str">
        <f>IF(Tab.o1[[#This Row],[a1]]=1,Tab.o1[[#This Row],[Zb]]*_xlfn.STDEV.P(Tab.o1[MedMod])+AVERAGE(Tab.o1[MedMod]),"")</f>
        <v/>
      </c>
      <c r="P1059" s="117" t="str">
        <f ca="1">IF(Tab.o1[[#This Row],[B]]=0,AVERAGE(OFFSET(Tab.o1[[#This Row],[B]],1,0,L$3,1)),Tab.o1[[#This Row],[B]])</f>
        <v/>
      </c>
      <c r="Q1059" s="121" t="str">
        <f>IF(Tab.o1[[#This Row],[a1]]=1,NORMSDIST(Tab.o1[[#This Row],[Zb]]),"")</f>
        <v/>
      </c>
      <c r="R1059" s="122" t="str">
        <f>IF(Tab.o1[[#This Row],[a1]]=1,((Tab.o1[[#This Row],[MedMod]]-AVERAGE(Tab.o1[MedMod]))/_xlfn.STDEV.P(Tab.o1[MedMod])*H$1203)+G$1203,"")</f>
        <v/>
      </c>
      <c r="S1059" s="122" t="str">
        <f>IF(Tab.o1[[#This Row],[a1]]=1,((Tab.o1[[#This Row],[MedMod]]-AVERAGE(Tab.o1[MedMod]))/_xlfn.STDEV.P(Tab.o1[MedMod])*H$1204)+G$1204,"")</f>
        <v/>
      </c>
      <c r="T1059" s="123" t="str">
        <f>IF(Tab.o1[[#This Row],[a1]]=1,Tab.o1[[#This Row],[Z-]]*_xlfn.STDEV.P(Tab.o1[B])+AVERAGE(Tab.o1[B]),"")</f>
        <v/>
      </c>
      <c r="U1059" s="123" t="str">
        <f>IF(Tab.o1[[#This Row],[a1]]=1,Tab.o1[[#This Row],[z+]]*_xlfn.STDEV.P(Tab.o1[B])+AVERAGE(Tab.o1[B]),"")</f>
        <v/>
      </c>
      <c r="V1059" s="124" t="str">
        <f>IF(Tab.o1[[#This Row],[a1]]=1,ABS((ABS(Tab.o1[[#This Row],[Red]]-Tab.o1[[#This Row],[Blue]]))),"")</f>
        <v/>
      </c>
      <c r="W1059" s="125" t="str">
        <f>IF(Tab.o1[[#This Row],[a1]]=1,IF(W$3=0,1,Tab.o1[[#This Row],[Amp.]]*1/_xlfn.MINIFS(Tab.o1[Amp.],Tab.o1[Amp.],"&lt;&gt;0")),"")</f>
        <v/>
      </c>
      <c r="X1059" s="126" t="str">
        <f>IF(Tab.o1[[#This Row],[a1]]=1,IF(ISNUMBER(Tab.o1[[#This Row],[i.]]),NORMDIST(Tab.o1[[#This Row],[Za]],0,1,FALSE)*Tab.o1[[#This Row],[i.]],AP$3),"")</f>
        <v/>
      </c>
      <c r="Y1059" s="126" t="str">
        <f>IF(Tab.o1[[#This Row],[a1]]=1,0.01+0.94*Tab.o1[[#This Row],[PDF]]/MAX(Tab.o1[PDF]),"")</f>
        <v/>
      </c>
      <c r="Z1059" s="126" t="str">
        <f>IF(Tab.o1[[#This Row],[a1]]=1,0.01+0.94*Tab.o1[[#This Row],[W1_PDF]]/MAX(Tab.o1[W1_PDF]),"")</f>
        <v/>
      </c>
      <c r="AA1059" s="118" t="str">
        <f>IF(Tab.o1[[#This Row],[a1]]=1,ABS([1]!T.in.A[[#This Row],[oo6]]),"")</f>
        <v/>
      </c>
      <c r="AB1059" s="127" t="str">
        <f>IF(Tab.o1[[#This Row],[a1]]=1,IF(AE$3=0,"",IF(AB$3=0,ABS([1]!T.in.A[[#This Row],[oo9]]),ABS(Tab.o1[[#This Row],[DIF_Target.]]*Tab.o1[[#This Row],[W1_PDF]]))),"")</f>
        <v/>
      </c>
      <c r="AC1059" s="127" t="str">
        <f>IF(G$1=1,"",IF(Tab.o1[[#This Row],[a1]]=1,Tab.o1[[#This Row],[Wr]]^2,""))</f>
        <v/>
      </c>
      <c r="AD1059" s="118" t="str">
        <f>IF(Tab.o1[[#This Row],[a1]]=1,IF(AE$3=0,"",Tab.o1[[#This Row],[Wr2]]/SUM(Tab.o1[Wr2])),"")</f>
        <v/>
      </c>
      <c r="AE1059" s="128" t="str">
        <f>IF(Tab.o1[[#This Row],[a1]]=1,[1]!T.in.A[[#This Row],[oo10]],"")</f>
        <v/>
      </c>
      <c r="AF1059" s="118" t="str">
        <f>IF(Tab.o1[[#This Row],[a1]]=1,ABS(Tab.o1[[#This Row],[DIF_Target.]]*Tab.o1[[#This Row],[PDF2]]*Tab.o1[[#This Row],[IN]]),"")</f>
        <v/>
      </c>
      <c r="AG1059" s="129" t="str">
        <f>IF(Tab.o1[[#This Row],[a1]]=1,Tab.o1[[#This Row],[rW]]^2,"")</f>
        <v/>
      </c>
      <c r="AH1059" s="130" t="str">
        <f>IF(Tab.o1[[#This Row],[a1]]=1,IF(AH$3=0,Tab.o1[[#This Row],[rW2]],0.01+0.94*Tab.o1[[#This Row],[rW2]]/SUM(Tab.o1[rW2])),"")</f>
        <v/>
      </c>
      <c r="AI1059" s="128" t="str">
        <f>IF(Tab.o1[[#This Row],[a1]]=1,1/Tab.o1[[#This Row],[PDF]],"")</f>
        <v/>
      </c>
      <c r="AJ1059" s="131" t="str">
        <f>IF(Tab.o1[[#This Row],[a1]]=1,[1]!T_AA[[#This Row],[IN'']]*[1]!T_AA[[#This Row],[Qde'']],"")</f>
        <v/>
      </c>
      <c r="AK1059" s="132" t="str">
        <f>IF(Tab.o1[[#This Row],[a1]]=1,IF(AK$1=1,Tab.o1[[#This Row],[MED]]+Tab.o1[[#This Row],[MOD]]-Tab.o1[[#This Row],[MED]],""),"")</f>
        <v/>
      </c>
      <c r="AL1059" s="133" t="str">
        <f>IF(Tab.o1[[#This Row],[a1]]=1,[1]!T.in.A[[#This Row],[oo16]],"")</f>
        <v/>
      </c>
      <c r="AM1059" s="133" t="str">
        <f>IF(Tab.o1[[#This Row],[a1]]=1,IF(AM$3=1,[1]!T.in.A[[#This Row],[Σo16]],""),"")</f>
        <v/>
      </c>
      <c r="AN1059" s="126" t="str">
        <f>IF(Tab.o1[[#This Row],[a1]]=1,[1]!T.in.A[[#This Row],[Σp5]],"")</f>
        <v/>
      </c>
      <c r="AO1059" s="126" t="str">
        <f>IF(Tab.o1[[#This Row],[a1]]=1,IF(AO$3=1,[1]!T.in.A[[#This Row],[Σp5]],""),"")</f>
        <v/>
      </c>
      <c r="AP1059" s="110" t="str">
        <f>IF(Tab.o1[[#This Row],[a1]]=1,IF(ISNUMBER(Tab.o1[[#This Row],[i.]]),NORMDIST(Tab.o1[[#This Row],[Za]],0,1,FALSE)*Tab.o1[[#This Row],[i.]],0),"")</f>
        <v/>
      </c>
      <c r="AQ1059" s="125" t="str">
        <f>IF(Tab.o1[[#This Row],[a1]]=1,ABS(Tab.o1[[#This Row],[MOD]]-AVERAGE(Tab.o1[MOD])),"")</f>
        <v/>
      </c>
      <c r="AR1059" s="134" t="str">
        <f>IF(Tab.o1[[#This Row],[a1]]=1,Tab.o1[[#This Row],[OBS]]/SUM(Tab.o1[OBS]),"")</f>
        <v/>
      </c>
      <c r="AS1059" s="135" t="str">
        <f>IF(ISNUMBER(Tab.o1[[#This Row],[a1]]),ROW()-4,"")</f>
        <v/>
      </c>
      <c r="AT1059" s="136" t="str">
        <f>Tab.o1[[#This Row],[MOD]]</f>
        <v/>
      </c>
      <c r="AU1059" s="137" t="str">
        <f t="shared" si="65"/>
        <v/>
      </c>
      <c r="AV1059" s="138" t="str">
        <f t="shared" si="66"/>
        <v/>
      </c>
      <c r="AW1059" s="138" t="str">
        <f t="shared" si="67"/>
        <v/>
      </c>
      <c r="AX1059" s="139" t="str">
        <f>[1]!T.in.A[[#This Row],[ID_T_manu]]</f>
        <v/>
      </c>
      <c r="AY1059" s="140" t="str">
        <f>IF(ISNUMBER(Tab.o1[[#This Row],[a1]]),IF(AND(Tab.o1[[#This Row],[a1]]=1,Tab.o1[[#This Row],[b1]]&lt;=AY$4),#REF!,AY1058),"")</f>
        <v/>
      </c>
      <c r="AZ1059" s="25"/>
      <c r="BA1059" s="25"/>
      <c r="BB1059" s="25"/>
      <c r="BC1059" s="25"/>
      <c r="BD1059" s="25"/>
      <c r="BE1059" s="25"/>
      <c r="BF1059" s="25"/>
      <c r="BG1059" s="25"/>
      <c r="BH1059" s="25"/>
      <c r="BI1059" s="25"/>
      <c r="BJ1059" s="25"/>
      <c r="BK1059" s="25"/>
      <c r="BL1059" s="25"/>
      <c r="BM1059" s="25"/>
      <c r="BN1059" s="26"/>
      <c r="BO1059" s="26"/>
      <c r="BP1059" s="26"/>
      <c r="BQ1059" s="26"/>
      <c r="BR1059" s="26"/>
      <c r="BS1059" s="26"/>
      <c r="BT1059" s="26"/>
      <c r="BU1059" s="26"/>
      <c r="BV1059" s="26"/>
      <c r="BW1059" s="26"/>
      <c r="BX1059" s="26"/>
      <c r="BY1059" s="26"/>
      <c r="BZ1059" s="26"/>
      <c r="CA1059" s="26"/>
    </row>
    <row r="1060" spans="1:79" ht="15.75" hidden="1">
      <c r="A1060" s="109">
        <v>-2.0000000000000003E-6</v>
      </c>
      <c r="B1060" s="110">
        <f t="shared" si="64"/>
        <v>1060</v>
      </c>
      <c r="C1060" s="111" t="str">
        <f>IF(C$1=[1]!T.in.A[[#This Row],[oo2]],1,"")</f>
        <v/>
      </c>
      <c r="D1060" s="112" t="str">
        <f>IF(Tab.o1[[#This Row],[a1]]=1,IF(SUM(C1060:C1061)=0,0,IF(SUM(C1059:C1060)=1,1,IF(SUM(C1059:C1061)&gt;1,D1059+1,0))),"")</f>
        <v/>
      </c>
      <c r="E1060" s="113" t="str">
        <f>IF(Tab.o1[[#This Row],[a1]]=1,[1]!T.in.A[[#This Row],[oo1]],"")</f>
        <v/>
      </c>
      <c r="F1060" s="113" t="str">
        <f>IF(Tab.o1[[#This Row],[a1]]=1,[1]!T.in.A[[#This Row],[pp1]],"")</f>
        <v/>
      </c>
      <c r="G1060" s="114" t="str">
        <f>IF(Tab.o1[[#This Row],[a1]]=1,G$2+IF(G$1=1,0,Tab.o1[[#This Row],[.x1]])+[1]!T.in.A[[#This Row],[oo3]],"")</f>
        <v/>
      </c>
      <c r="H1060" s="115" t="str">
        <f>IF(Tab.o1[[#This Row],[a1]]=1,IF(H$2=0,0,IF(G$1=1,0,Tab.o1[[#This Row],[.x1]])+[1]!T.in.A[[#This Row],[oo4]]),"")</f>
        <v/>
      </c>
      <c r="I1060" s="116" t="str">
        <f>IF(Tab.o1[[#This Row],[a1]]=1,IF(J$2=0,Tab.o1[[#This Row],[MED]],Tab.o1[[#This Row],[MOD]]),"")</f>
        <v/>
      </c>
      <c r="J1060" s="116" t="str">
        <f>IF(Tab.o1[[#This Row],[a1]]=1,((Tab.o1[[#This Row],[DIF_Target.]]-AVERAGE(Tab.o1[DIF_Target.]))/_xlfn.STDEV.P(Tab.o1[DIF_Target.])),"")</f>
        <v/>
      </c>
      <c r="K1060" s="117" t="str">
        <f>IF(Tab.o1[[#This Row],[a1]]=1,IF(J$2=0,Tab.o1[[#This Row],[MOD]]-Tab.o1[[#This Row],[B]],IF(J$2=1,0,-Tab.o1[[#This Row],[MED]])+Tab.o1[[#This Row],[B]]),"")</f>
        <v/>
      </c>
      <c r="L1060" s="117" t="str">
        <f ca="1">IF(Tab.o1[[#This Row],[DIF_Target]]=0,IF(L$2=0,Tab.o1[[#This Row],[DIF_Target]],AVERAGE(OFFSET(Tab.o1[[#This Row],[DIF_Target]],1,0,L$3,1)))/3,Tab.o1[[#This Row],[DIF_Target]])</f>
        <v/>
      </c>
      <c r="M1060" s="118" t="str">
        <f>IF(Tab.o1[[#This Row],[a1]]=1,NORMSDIST(Tab.o1[[#This Row],[Za]]),"")</f>
        <v/>
      </c>
      <c r="N1060" s="119" t="str">
        <f>IF(Tab.o1[[#This Row],[a1]]=1,((Tab.o1[[#This Row],[MedMod]]-AVERAGE(Tab.o1[MedMod]))/_xlfn.STDEV.P(Tab.o1[MedMod])*H$1205)+G$1205,"")</f>
        <v/>
      </c>
      <c r="O1060" s="141" t="str">
        <f>IF(Tab.o1[[#This Row],[a1]]=1,Tab.o1[[#This Row],[Zb]]*_xlfn.STDEV.P(Tab.o1[MedMod])+AVERAGE(Tab.o1[MedMod]),"")</f>
        <v/>
      </c>
      <c r="P1060" s="117" t="str">
        <f ca="1">IF(Tab.o1[[#This Row],[B]]=0,AVERAGE(OFFSET(Tab.o1[[#This Row],[B]],1,0,L$3,1)),Tab.o1[[#This Row],[B]])</f>
        <v/>
      </c>
      <c r="Q1060" s="121" t="str">
        <f>IF(Tab.o1[[#This Row],[a1]]=1,NORMSDIST(Tab.o1[[#This Row],[Zb]]),"")</f>
        <v/>
      </c>
      <c r="R1060" s="122" t="str">
        <f>IF(Tab.o1[[#This Row],[a1]]=1,((Tab.o1[[#This Row],[MedMod]]-AVERAGE(Tab.o1[MedMod]))/_xlfn.STDEV.P(Tab.o1[MedMod])*H$1203)+G$1203,"")</f>
        <v/>
      </c>
      <c r="S1060" s="122" t="str">
        <f>IF(Tab.o1[[#This Row],[a1]]=1,((Tab.o1[[#This Row],[MedMod]]-AVERAGE(Tab.o1[MedMod]))/_xlfn.STDEV.P(Tab.o1[MedMod])*H$1204)+G$1204,"")</f>
        <v/>
      </c>
      <c r="T1060" s="123" t="str">
        <f>IF(Tab.o1[[#This Row],[a1]]=1,Tab.o1[[#This Row],[Z-]]*_xlfn.STDEV.P(Tab.o1[B])+AVERAGE(Tab.o1[B]),"")</f>
        <v/>
      </c>
      <c r="U1060" s="123" t="str">
        <f>IF(Tab.o1[[#This Row],[a1]]=1,Tab.o1[[#This Row],[z+]]*_xlfn.STDEV.P(Tab.o1[B])+AVERAGE(Tab.o1[B]),"")</f>
        <v/>
      </c>
      <c r="V1060" s="124" t="str">
        <f>IF(Tab.o1[[#This Row],[a1]]=1,ABS((ABS(Tab.o1[[#This Row],[Red]]-Tab.o1[[#This Row],[Blue]]))),"")</f>
        <v/>
      </c>
      <c r="W1060" s="125" t="str">
        <f>IF(Tab.o1[[#This Row],[a1]]=1,IF(W$3=0,1,Tab.o1[[#This Row],[Amp.]]*1/_xlfn.MINIFS(Tab.o1[Amp.],Tab.o1[Amp.],"&lt;&gt;0")),"")</f>
        <v/>
      </c>
      <c r="X1060" s="126" t="str">
        <f>IF(Tab.o1[[#This Row],[a1]]=1,IF(ISNUMBER(Tab.o1[[#This Row],[i.]]),NORMDIST(Tab.o1[[#This Row],[Za]],0,1,FALSE)*Tab.o1[[#This Row],[i.]],AP$3),"")</f>
        <v/>
      </c>
      <c r="Y1060" s="126" t="str">
        <f>IF(Tab.o1[[#This Row],[a1]]=1,0.01+0.94*Tab.o1[[#This Row],[PDF]]/MAX(Tab.o1[PDF]),"")</f>
        <v/>
      </c>
      <c r="Z1060" s="126" t="str">
        <f>IF(Tab.o1[[#This Row],[a1]]=1,0.01+0.94*Tab.o1[[#This Row],[W1_PDF]]/MAX(Tab.o1[W1_PDF]),"")</f>
        <v/>
      </c>
      <c r="AA1060" s="118" t="str">
        <f>IF(Tab.o1[[#This Row],[a1]]=1,ABS([1]!T.in.A[[#This Row],[oo6]]),"")</f>
        <v/>
      </c>
      <c r="AB1060" s="127" t="str">
        <f>IF(Tab.o1[[#This Row],[a1]]=1,IF(AE$3=0,"",IF(AB$3=0,ABS([1]!T.in.A[[#This Row],[oo9]]),ABS(Tab.o1[[#This Row],[DIF_Target.]]*Tab.o1[[#This Row],[W1_PDF]]))),"")</f>
        <v/>
      </c>
      <c r="AC1060" s="127" t="str">
        <f>IF(G$1=1,"",IF(Tab.o1[[#This Row],[a1]]=1,Tab.o1[[#This Row],[Wr]]^2,""))</f>
        <v/>
      </c>
      <c r="AD1060" s="118" t="str">
        <f>IF(Tab.o1[[#This Row],[a1]]=1,IF(AE$3=0,"",Tab.o1[[#This Row],[Wr2]]/SUM(Tab.o1[Wr2])),"")</f>
        <v/>
      </c>
      <c r="AE1060" s="128" t="str">
        <f>IF(Tab.o1[[#This Row],[a1]]=1,[1]!T.in.A[[#This Row],[oo10]],"")</f>
        <v/>
      </c>
      <c r="AF1060" s="118" t="str">
        <f>IF(Tab.o1[[#This Row],[a1]]=1,ABS(Tab.o1[[#This Row],[DIF_Target.]]*Tab.o1[[#This Row],[PDF2]]*Tab.o1[[#This Row],[IN]]),"")</f>
        <v/>
      </c>
      <c r="AG1060" s="129" t="str">
        <f>IF(Tab.o1[[#This Row],[a1]]=1,Tab.o1[[#This Row],[rW]]^2,"")</f>
        <v/>
      </c>
      <c r="AH1060" s="130" t="str">
        <f>IF(Tab.o1[[#This Row],[a1]]=1,IF(AH$3=0,Tab.o1[[#This Row],[rW2]],0.01+0.94*Tab.o1[[#This Row],[rW2]]/SUM(Tab.o1[rW2])),"")</f>
        <v/>
      </c>
      <c r="AI1060" s="128" t="str">
        <f>IF(Tab.o1[[#This Row],[a1]]=1,1/Tab.o1[[#This Row],[PDF]],"")</f>
        <v/>
      </c>
      <c r="AJ1060" s="131" t="str">
        <f>IF(Tab.o1[[#This Row],[a1]]=1,[1]!T_AA[[#This Row],[IN'']]*[1]!T_AA[[#This Row],[Qde'']],"")</f>
        <v/>
      </c>
      <c r="AK1060" s="132" t="str">
        <f>IF(Tab.o1[[#This Row],[a1]]=1,IF(AK$1=1,Tab.o1[[#This Row],[MED]]+Tab.o1[[#This Row],[MOD]]-Tab.o1[[#This Row],[MED]],""),"")</f>
        <v/>
      </c>
      <c r="AL1060" s="133" t="str">
        <f>IF(Tab.o1[[#This Row],[a1]]=1,[1]!T.in.A[[#This Row],[oo16]],"")</f>
        <v/>
      </c>
      <c r="AM1060" s="133" t="str">
        <f>IF(Tab.o1[[#This Row],[a1]]=1,IF(AM$3=1,[1]!T.in.A[[#This Row],[Σo16]],""),"")</f>
        <v/>
      </c>
      <c r="AN1060" s="126" t="str">
        <f>IF(Tab.o1[[#This Row],[a1]]=1,[1]!T.in.A[[#This Row],[Σp5]],"")</f>
        <v/>
      </c>
      <c r="AO1060" s="126" t="str">
        <f>IF(Tab.o1[[#This Row],[a1]]=1,IF(AO$3=1,[1]!T.in.A[[#This Row],[Σp5]],""),"")</f>
        <v/>
      </c>
      <c r="AP1060" s="110" t="str">
        <f>IF(Tab.o1[[#This Row],[a1]]=1,IF(ISNUMBER(Tab.o1[[#This Row],[i.]]),NORMDIST(Tab.o1[[#This Row],[Za]],0,1,FALSE)*Tab.o1[[#This Row],[i.]],0),"")</f>
        <v/>
      </c>
      <c r="AQ1060" s="125" t="str">
        <f>IF(Tab.o1[[#This Row],[a1]]=1,ABS(Tab.o1[[#This Row],[MOD]]-AVERAGE(Tab.o1[MOD])),"")</f>
        <v/>
      </c>
      <c r="AR1060" s="134" t="str">
        <f>IF(Tab.o1[[#This Row],[a1]]=1,Tab.o1[[#This Row],[OBS]]/SUM(Tab.o1[OBS]),"")</f>
        <v/>
      </c>
      <c r="AS1060" s="135" t="str">
        <f>IF(ISNUMBER(Tab.o1[[#This Row],[a1]]),ROW()-4,"")</f>
        <v/>
      </c>
      <c r="AT1060" s="136" t="str">
        <f>Tab.o1[[#This Row],[MOD]]</f>
        <v/>
      </c>
      <c r="AU1060" s="137" t="str">
        <f t="shared" si="65"/>
        <v/>
      </c>
      <c r="AV1060" s="138" t="str">
        <f t="shared" si="66"/>
        <v/>
      </c>
      <c r="AW1060" s="138" t="str">
        <f t="shared" si="67"/>
        <v/>
      </c>
      <c r="AX1060" s="139" t="str">
        <f>[1]!T.in.A[[#This Row],[ID_T_manu]]</f>
        <v/>
      </c>
      <c r="AY1060" s="140" t="str">
        <f>IF(ISNUMBER(Tab.o1[[#This Row],[a1]]),IF(AND(Tab.o1[[#This Row],[a1]]=1,Tab.o1[[#This Row],[b1]]&lt;=AY$4),#REF!,AY1059),"")</f>
        <v/>
      </c>
      <c r="AZ1060" s="25"/>
      <c r="BA1060" s="25"/>
      <c r="BB1060" s="25"/>
      <c r="BC1060" s="25"/>
      <c r="BD1060" s="25"/>
      <c r="BE1060" s="25"/>
      <c r="BF1060" s="25"/>
      <c r="BG1060" s="25"/>
      <c r="BH1060" s="25"/>
      <c r="BI1060" s="25"/>
      <c r="BJ1060" s="25"/>
      <c r="BK1060" s="25"/>
      <c r="BL1060" s="25"/>
      <c r="BM1060" s="25"/>
      <c r="BN1060" s="26"/>
      <c r="BO1060" s="26"/>
      <c r="BP1060" s="26"/>
      <c r="BQ1060" s="26"/>
      <c r="BR1060" s="26"/>
      <c r="BS1060" s="26"/>
      <c r="BT1060" s="26"/>
      <c r="BU1060" s="26"/>
      <c r="BV1060" s="26"/>
      <c r="BW1060" s="26"/>
      <c r="BX1060" s="26"/>
      <c r="BY1060" s="26"/>
      <c r="BZ1060" s="26"/>
      <c r="CA1060" s="26"/>
    </row>
    <row r="1061" spans="1:79" ht="15.75" hidden="1">
      <c r="A1061" s="109">
        <v>1.0000000000000002E-6</v>
      </c>
      <c r="B1061" s="110">
        <f t="shared" si="64"/>
        <v>1061</v>
      </c>
      <c r="C1061" s="111" t="str">
        <f>IF(C$1=[1]!T.in.A[[#This Row],[oo2]],1,"")</f>
        <v/>
      </c>
      <c r="D1061" s="112" t="str">
        <f>IF(Tab.o1[[#This Row],[a1]]=1,IF(SUM(C1061:C1062)=0,0,IF(SUM(C1060:C1061)=1,1,IF(SUM(C1060:C1062)&gt;1,D1060+1,0))),"")</f>
        <v/>
      </c>
      <c r="E1061" s="113" t="str">
        <f>IF(Tab.o1[[#This Row],[a1]]=1,[1]!T.in.A[[#This Row],[oo1]],"")</f>
        <v/>
      </c>
      <c r="F1061" s="113" t="str">
        <f>IF(Tab.o1[[#This Row],[a1]]=1,[1]!T.in.A[[#This Row],[pp1]],"")</f>
        <v/>
      </c>
      <c r="G1061" s="114" t="str">
        <f>IF(Tab.o1[[#This Row],[a1]]=1,G$2+IF(G$1=1,0,Tab.o1[[#This Row],[.x1]])+[1]!T.in.A[[#This Row],[oo3]],"")</f>
        <v/>
      </c>
      <c r="H1061" s="115" t="str">
        <f>IF(Tab.o1[[#This Row],[a1]]=1,IF(H$2=0,0,IF(G$1=1,0,Tab.o1[[#This Row],[.x1]])+[1]!T.in.A[[#This Row],[oo4]]),"")</f>
        <v/>
      </c>
      <c r="I1061" s="116" t="str">
        <f>IF(Tab.o1[[#This Row],[a1]]=1,IF(J$2=0,Tab.o1[[#This Row],[MED]],Tab.o1[[#This Row],[MOD]]),"")</f>
        <v/>
      </c>
      <c r="J1061" s="116" t="str">
        <f>IF(Tab.o1[[#This Row],[a1]]=1,((Tab.o1[[#This Row],[DIF_Target.]]-AVERAGE(Tab.o1[DIF_Target.]))/_xlfn.STDEV.P(Tab.o1[DIF_Target.])),"")</f>
        <v/>
      </c>
      <c r="K1061" s="117" t="str">
        <f>IF(Tab.o1[[#This Row],[a1]]=1,IF(J$2=0,Tab.o1[[#This Row],[MOD]]-Tab.o1[[#This Row],[B]],IF(J$2=1,0,-Tab.o1[[#This Row],[MED]])+Tab.o1[[#This Row],[B]]),"")</f>
        <v/>
      </c>
      <c r="L1061" s="117" t="str">
        <f ca="1">IF(Tab.o1[[#This Row],[DIF_Target]]=0,IF(L$2=0,Tab.o1[[#This Row],[DIF_Target]],AVERAGE(OFFSET(Tab.o1[[#This Row],[DIF_Target]],1,0,L$3,1)))/3,Tab.o1[[#This Row],[DIF_Target]])</f>
        <v/>
      </c>
      <c r="M1061" s="118" t="str">
        <f>IF(Tab.o1[[#This Row],[a1]]=1,NORMSDIST(Tab.o1[[#This Row],[Za]]),"")</f>
        <v/>
      </c>
      <c r="N1061" s="119" t="str">
        <f>IF(Tab.o1[[#This Row],[a1]]=1,((Tab.o1[[#This Row],[MedMod]]-AVERAGE(Tab.o1[MedMod]))/_xlfn.STDEV.P(Tab.o1[MedMod])*H$1205)+G$1205,"")</f>
        <v/>
      </c>
      <c r="O1061" s="141" t="str">
        <f>IF(Tab.o1[[#This Row],[a1]]=1,Tab.o1[[#This Row],[Zb]]*_xlfn.STDEV.P(Tab.o1[MedMod])+AVERAGE(Tab.o1[MedMod]),"")</f>
        <v/>
      </c>
      <c r="P1061" s="117" t="str">
        <f ca="1">IF(Tab.o1[[#This Row],[B]]=0,AVERAGE(OFFSET(Tab.o1[[#This Row],[B]],1,0,L$3,1)),Tab.o1[[#This Row],[B]])</f>
        <v/>
      </c>
      <c r="Q1061" s="121" t="str">
        <f>IF(Tab.o1[[#This Row],[a1]]=1,NORMSDIST(Tab.o1[[#This Row],[Zb]]),"")</f>
        <v/>
      </c>
      <c r="R1061" s="122" t="str">
        <f>IF(Tab.o1[[#This Row],[a1]]=1,((Tab.o1[[#This Row],[MedMod]]-AVERAGE(Tab.o1[MedMod]))/_xlfn.STDEV.P(Tab.o1[MedMod])*H$1203)+G$1203,"")</f>
        <v/>
      </c>
      <c r="S1061" s="122" t="str">
        <f>IF(Tab.o1[[#This Row],[a1]]=1,((Tab.o1[[#This Row],[MedMod]]-AVERAGE(Tab.o1[MedMod]))/_xlfn.STDEV.P(Tab.o1[MedMod])*H$1204)+G$1204,"")</f>
        <v/>
      </c>
      <c r="T1061" s="123" t="str">
        <f>IF(Tab.o1[[#This Row],[a1]]=1,Tab.o1[[#This Row],[Z-]]*_xlfn.STDEV.P(Tab.o1[B])+AVERAGE(Tab.o1[B]),"")</f>
        <v/>
      </c>
      <c r="U1061" s="123" t="str">
        <f>IF(Tab.o1[[#This Row],[a1]]=1,Tab.o1[[#This Row],[z+]]*_xlfn.STDEV.P(Tab.o1[B])+AVERAGE(Tab.o1[B]),"")</f>
        <v/>
      </c>
      <c r="V1061" s="124" t="str">
        <f>IF(Tab.o1[[#This Row],[a1]]=1,ABS((ABS(Tab.o1[[#This Row],[Red]]-Tab.o1[[#This Row],[Blue]]))),"")</f>
        <v/>
      </c>
      <c r="W1061" s="125" t="str">
        <f>IF(Tab.o1[[#This Row],[a1]]=1,IF(W$3=0,1,Tab.o1[[#This Row],[Amp.]]*1/_xlfn.MINIFS(Tab.o1[Amp.],Tab.o1[Amp.],"&lt;&gt;0")),"")</f>
        <v/>
      </c>
      <c r="X1061" s="126" t="str">
        <f>IF(Tab.o1[[#This Row],[a1]]=1,IF(ISNUMBER(Tab.o1[[#This Row],[i.]]),NORMDIST(Tab.o1[[#This Row],[Za]],0,1,FALSE)*Tab.o1[[#This Row],[i.]],AP$3),"")</f>
        <v/>
      </c>
      <c r="Y1061" s="126" t="str">
        <f>IF(Tab.o1[[#This Row],[a1]]=1,0.01+0.94*Tab.o1[[#This Row],[PDF]]/MAX(Tab.o1[PDF]),"")</f>
        <v/>
      </c>
      <c r="Z1061" s="126" t="str">
        <f>IF(Tab.o1[[#This Row],[a1]]=1,0.01+0.94*Tab.o1[[#This Row],[W1_PDF]]/MAX(Tab.o1[W1_PDF]),"")</f>
        <v/>
      </c>
      <c r="AA1061" s="118" t="str">
        <f>IF(Tab.o1[[#This Row],[a1]]=1,ABS([1]!T.in.A[[#This Row],[oo6]]),"")</f>
        <v/>
      </c>
      <c r="AB1061" s="127" t="str">
        <f>IF(Tab.o1[[#This Row],[a1]]=1,IF(AE$3=0,"",IF(AB$3=0,ABS([1]!T.in.A[[#This Row],[oo9]]),ABS(Tab.o1[[#This Row],[DIF_Target.]]*Tab.o1[[#This Row],[W1_PDF]]))),"")</f>
        <v/>
      </c>
      <c r="AC1061" s="127" t="str">
        <f>IF(G$1=1,"",IF(Tab.o1[[#This Row],[a1]]=1,Tab.o1[[#This Row],[Wr]]^2,""))</f>
        <v/>
      </c>
      <c r="AD1061" s="118" t="str">
        <f>IF(Tab.o1[[#This Row],[a1]]=1,IF(AE$3=0,"",Tab.o1[[#This Row],[Wr2]]/SUM(Tab.o1[Wr2])),"")</f>
        <v/>
      </c>
      <c r="AE1061" s="128" t="str">
        <f>IF(Tab.o1[[#This Row],[a1]]=1,[1]!T.in.A[[#This Row],[oo10]],"")</f>
        <v/>
      </c>
      <c r="AF1061" s="118" t="str">
        <f>IF(Tab.o1[[#This Row],[a1]]=1,ABS(Tab.o1[[#This Row],[DIF_Target.]]*Tab.o1[[#This Row],[PDF2]]*Tab.o1[[#This Row],[IN]]),"")</f>
        <v/>
      </c>
      <c r="AG1061" s="129" t="str">
        <f>IF(Tab.o1[[#This Row],[a1]]=1,Tab.o1[[#This Row],[rW]]^2,"")</f>
        <v/>
      </c>
      <c r="AH1061" s="130" t="str">
        <f>IF(Tab.o1[[#This Row],[a1]]=1,IF(AH$3=0,Tab.o1[[#This Row],[rW2]],0.01+0.94*Tab.o1[[#This Row],[rW2]]/SUM(Tab.o1[rW2])),"")</f>
        <v/>
      </c>
      <c r="AI1061" s="128" t="str">
        <f>IF(Tab.o1[[#This Row],[a1]]=1,1/Tab.o1[[#This Row],[PDF]],"")</f>
        <v/>
      </c>
      <c r="AJ1061" s="131" t="str">
        <f>IF(Tab.o1[[#This Row],[a1]]=1,[1]!T_AA[[#This Row],[IN'']]*[1]!T_AA[[#This Row],[Qde'']],"")</f>
        <v/>
      </c>
      <c r="AK1061" s="132" t="str">
        <f>IF(Tab.o1[[#This Row],[a1]]=1,IF(AK$1=1,Tab.o1[[#This Row],[MED]]+Tab.o1[[#This Row],[MOD]]-Tab.o1[[#This Row],[MED]],""),"")</f>
        <v/>
      </c>
      <c r="AL1061" s="133" t="str">
        <f>IF(Tab.o1[[#This Row],[a1]]=1,[1]!T.in.A[[#This Row],[oo16]],"")</f>
        <v/>
      </c>
      <c r="AM1061" s="133" t="str">
        <f>IF(Tab.o1[[#This Row],[a1]]=1,IF(AM$3=1,[1]!T.in.A[[#This Row],[Σo16]],""),"")</f>
        <v/>
      </c>
      <c r="AN1061" s="126" t="str">
        <f>IF(Tab.o1[[#This Row],[a1]]=1,[1]!T.in.A[[#This Row],[Σp5]],"")</f>
        <v/>
      </c>
      <c r="AO1061" s="126" t="str">
        <f>IF(Tab.o1[[#This Row],[a1]]=1,IF(AO$3=1,[1]!T.in.A[[#This Row],[Σp5]],""),"")</f>
        <v/>
      </c>
      <c r="AP1061" s="110" t="str">
        <f>IF(Tab.o1[[#This Row],[a1]]=1,IF(ISNUMBER(Tab.o1[[#This Row],[i.]]),NORMDIST(Tab.o1[[#This Row],[Za]],0,1,FALSE)*Tab.o1[[#This Row],[i.]],0),"")</f>
        <v/>
      </c>
      <c r="AQ1061" s="125" t="str">
        <f>IF(Tab.o1[[#This Row],[a1]]=1,ABS(Tab.o1[[#This Row],[MOD]]-AVERAGE(Tab.o1[MOD])),"")</f>
        <v/>
      </c>
      <c r="AR1061" s="134" t="str">
        <f>IF(Tab.o1[[#This Row],[a1]]=1,Tab.o1[[#This Row],[OBS]]/SUM(Tab.o1[OBS]),"")</f>
        <v/>
      </c>
      <c r="AS1061" s="135" t="str">
        <f>IF(ISNUMBER(Tab.o1[[#This Row],[a1]]),ROW()-4,"")</f>
        <v/>
      </c>
      <c r="AT1061" s="136" t="str">
        <f>Tab.o1[[#This Row],[MOD]]</f>
        <v/>
      </c>
      <c r="AU1061" s="137" t="str">
        <f t="shared" si="65"/>
        <v/>
      </c>
      <c r="AV1061" s="138" t="str">
        <f t="shared" si="66"/>
        <v/>
      </c>
      <c r="AW1061" s="138" t="str">
        <f t="shared" si="67"/>
        <v/>
      </c>
      <c r="AX1061" s="139" t="str">
        <f>[1]!T.in.A[[#This Row],[ID_T_manu]]</f>
        <v/>
      </c>
      <c r="AY1061" s="140" t="str">
        <f>IF(ISNUMBER(Tab.o1[[#This Row],[a1]]),IF(AND(Tab.o1[[#This Row],[a1]]=1,Tab.o1[[#This Row],[b1]]&lt;=AY$4),#REF!,AY1060),"")</f>
        <v/>
      </c>
      <c r="AZ1061" s="25"/>
      <c r="BA1061" s="25"/>
      <c r="BB1061" s="25"/>
      <c r="BC1061" s="25"/>
      <c r="BD1061" s="25"/>
      <c r="BE1061" s="25"/>
      <c r="BF1061" s="25"/>
      <c r="BG1061" s="25"/>
      <c r="BH1061" s="25"/>
      <c r="BI1061" s="25"/>
      <c r="BJ1061" s="25"/>
      <c r="BK1061" s="25"/>
      <c r="BL1061" s="25"/>
      <c r="BM1061" s="25"/>
      <c r="BN1061" s="26"/>
      <c r="BO1061" s="26"/>
      <c r="BP1061" s="26"/>
      <c r="BQ1061" s="26"/>
      <c r="BR1061" s="26"/>
      <c r="BS1061" s="26"/>
      <c r="BT1061" s="26"/>
      <c r="BU1061" s="26"/>
      <c r="BV1061" s="26"/>
      <c r="BW1061" s="26"/>
      <c r="BX1061" s="26"/>
      <c r="BY1061" s="26"/>
      <c r="BZ1061" s="26"/>
      <c r="CA1061" s="26"/>
    </row>
    <row r="1062" spans="1:79" ht="15.75" hidden="1">
      <c r="A1062" s="109">
        <v>-5.0000000000000004E-6</v>
      </c>
      <c r="B1062" s="110">
        <f t="shared" si="64"/>
        <v>1062</v>
      </c>
      <c r="C1062" s="111" t="str">
        <f>IF(C$1=[1]!T.in.A[[#This Row],[oo2]],1,"")</f>
        <v/>
      </c>
      <c r="D1062" s="112" t="str">
        <f>IF(Tab.o1[[#This Row],[a1]]=1,IF(SUM(C1062:C1063)=0,0,IF(SUM(C1061:C1062)=1,1,IF(SUM(C1061:C1063)&gt;1,D1061+1,0))),"")</f>
        <v/>
      </c>
      <c r="E1062" s="113" t="str">
        <f>IF(Tab.o1[[#This Row],[a1]]=1,[1]!T.in.A[[#This Row],[oo1]],"")</f>
        <v/>
      </c>
      <c r="F1062" s="113" t="str">
        <f>IF(Tab.o1[[#This Row],[a1]]=1,[1]!T.in.A[[#This Row],[pp1]],"")</f>
        <v/>
      </c>
      <c r="G1062" s="114" t="str">
        <f>IF(Tab.o1[[#This Row],[a1]]=1,G$2+IF(G$1=1,0,Tab.o1[[#This Row],[.x1]])+[1]!T.in.A[[#This Row],[oo3]],"")</f>
        <v/>
      </c>
      <c r="H1062" s="115" t="str">
        <f>IF(Tab.o1[[#This Row],[a1]]=1,IF(H$2=0,0,IF(G$1=1,0,Tab.o1[[#This Row],[.x1]])+[1]!T.in.A[[#This Row],[oo4]]),"")</f>
        <v/>
      </c>
      <c r="I1062" s="116" t="str">
        <f>IF(Tab.o1[[#This Row],[a1]]=1,IF(J$2=0,Tab.o1[[#This Row],[MED]],Tab.o1[[#This Row],[MOD]]),"")</f>
        <v/>
      </c>
      <c r="J1062" s="116" t="str">
        <f>IF(Tab.o1[[#This Row],[a1]]=1,((Tab.o1[[#This Row],[DIF_Target.]]-AVERAGE(Tab.o1[DIF_Target.]))/_xlfn.STDEV.P(Tab.o1[DIF_Target.])),"")</f>
        <v/>
      </c>
      <c r="K1062" s="117" t="str">
        <f>IF(Tab.o1[[#This Row],[a1]]=1,IF(J$2=0,Tab.o1[[#This Row],[MOD]]-Tab.o1[[#This Row],[B]],IF(J$2=1,0,-Tab.o1[[#This Row],[MED]])+Tab.o1[[#This Row],[B]]),"")</f>
        <v/>
      </c>
      <c r="L1062" s="117" t="str">
        <f ca="1">IF(Tab.o1[[#This Row],[DIF_Target]]=0,IF(L$2=0,Tab.o1[[#This Row],[DIF_Target]],AVERAGE(OFFSET(Tab.o1[[#This Row],[DIF_Target]],1,0,L$3,1)))/3,Tab.o1[[#This Row],[DIF_Target]])</f>
        <v/>
      </c>
      <c r="M1062" s="118" t="str">
        <f>IF(Tab.o1[[#This Row],[a1]]=1,NORMSDIST(Tab.o1[[#This Row],[Za]]),"")</f>
        <v/>
      </c>
      <c r="N1062" s="119" t="str">
        <f>IF(Tab.o1[[#This Row],[a1]]=1,((Tab.o1[[#This Row],[MedMod]]-AVERAGE(Tab.o1[MedMod]))/_xlfn.STDEV.P(Tab.o1[MedMod])*H$1205)+G$1205,"")</f>
        <v/>
      </c>
      <c r="O1062" s="141" t="str">
        <f>IF(Tab.o1[[#This Row],[a1]]=1,Tab.o1[[#This Row],[Zb]]*_xlfn.STDEV.P(Tab.o1[MedMod])+AVERAGE(Tab.o1[MedMod]),"")</f>
        <v/>
      </c>
      <c r="P1062" s="117" t="str">
        <f ca="1">IF(Tab.o1[[#This Row],[B]]=0,AVERAGE(OFFSET(Tab.o1[[#This Row],[B]],1,0,L$3,1)),Tab.o1[[#This Row],[B]])</f>
        <v/>
      </c>
      <c r="Q1062" s="121" t="str">
        <f>IF(Tab.o1[[#This Row],[a1]]=1,NORMSDIST(Tab.o1[[#This Row],[Zb]]),"")</f>
        <v/>
      </c>
      <c r="R1062" s="122" t="str">
        <f>IF(Tab.o1[[#This Row],[a1]]=1,((Tab.o1[[#This Row],[MedMod]]-AVERAGE(Tab.o1[MedMod]))/_xlfn.STDEV.P(Tab.o1[MedMod])*H$1203)+G$1203,"")</f>
        <v/>
      </c>
      <c r="S1062" s="122" t="str">
        <f>IF(Tab.o1[[#This Row],[a1]]=1,((Tab.o1[[#This Row],[MedMod]]-AVERAGE(Tab.o1[MedMod]))/_xlfn.STDEV.P(Tab.o1[MedMod])*H$1204)+G$1204,"")</f>
        <v/>
      </c>
      <c r="T1062" s="123" t="str">
        <f>IF(Tab.o1[[#This Row],[a1]]=1,Tab.o1[[#This Row],[Z-]]*_xlfn.STDEV.P(Tab.o1[B])+AVERAGE(Tab.o1[B]),"")</f>
        <v/>
      </c>
      <c r="U1062" s="123" t="str">
        <f>IF(Tab.o1[[#This Row],[a1]]=1,Tab.o1[[#This Row],[z+]]*_xlfn.STDEV.P(Tab.o1[B])+AVERAGE(Tab.o1[B]),"")</f>
        <v/>
      </c>
      <c r="V1062" s="124" t="str">
        <f>IF(Tab.o1[[#This Row],[a1]]=1,ABS((ABS(Tab.o1[[#This Row],[Red]]-Tab.o1[[#This Row],[Blue]]))),"")</f>
        <v/>
      </c>
      <c r="W1062" s="125" t="str">
        <f>IF(Tab.o1[[#This Row],[a1]]=1,IF(W$3=0,1,Tab.o1[[#This Row],[Amp.]]*1/_xlfn.MINIFS(Tab.o1[Amp.],Tab.o1[Amp.],"&lt;&gt;0")),"")</f>
        <v/>
      </c>
      <c r="X1062" s="126" t="str">
        <f>IF(Tab.o1[[#This Row],[a1]]=1,IF(ISNUMBER(Tab.o1[[#This Row],[i.]]),NORMDIST(Tab.o1[[#This Row],[Za]],0,1,FALSE)*Tab.o1[[#This Row],[i.]],AP$3),"")</f>
        <v/>
      </c>
      <c r="Y1062" s="126" t="str">
        <f>IF(Tab.o1[[#This Row],[a1]]=1,0.01+0.94*Tab.o1[[#This Row],[PDF]]/MAX(Tab.o1[PDF]),"")</f>
        <v/>
      </c>
      <c r="Z1062" s="126" t="str">
        <f>IF(Tab.o1[[#This Row],[a1]]=1,0.01+0.94*Tab.o1[[#This Row],[W1_PDF]]/MAX(Tab.o1[W1_PDF]),"")</f>
        <v/>
      </c>
      <c r="AA1062" s="118" t="str">
        <f>IF(Tab.o1[[#This Row],[a1]]=1,ABS([1]!T.in.A[[#This Row],[oo6]]),"")</f>
        <v/>
      </c>
      <c r="AB1062" s="127" t="str">
        <f>IF(Tab.o1[[#This Row],[a1]]=1,IF(AE$3=0,"",IF(AB$3=0,ABS([1]!T.in.A[[#This Row],[oo9]]),ABS(Tab.o1[[#This Row],[DIF_Target.]]*Tab.o1[[#This Row],[W1_PDF]]))),"")</f>
        <v/>
      </c>
      <c r="AC1062" s="127" t="str">
        <f>IF(G$1=1,"",IF(Tab.o1[[#This Row],[a1]]=1,Tab.o1[[#This Row],[Wr]]^2,""))</f>
        <v/>
      </c>
      <c r="AD1062" s="118" t="str">
        <f>IF(Tab.o1[[#This Row],[a1]]=1,IF(AE$3=0,"",Tab.o1[[#This Row],[Wr2]]/SUM(Tab.o1[Wr2])),"")</f>
        <v/>
      </c>
      <c r="AE1062" s="128" t="str">
        <f>IF(Tab.o1[[#This Row],[a1]]=1,[1]!T.in.A[[#This Row],[oo10]],"")</f>
        <v/>
      </c>
      <c r="AF1062" s="118" t="str">
        <f>IF(Tab.o1[[#This Row],[a1]]=1,ABS(Tab.o1[[#This Row],[DIF_Target.]]*Tab.o1[[#This Row],[PDF2]]*Tab.o1[[#This Row],[IN]]),"")</f>
        <v/>
      </c>
      <c r="AG1062" s="129" t="str">
        <f>IF(Tab.o1[[#This Row],[a1]]=1,Tab.o1[[#This Row],[rW]]^2,"")</f>
        <v/>
      </c>
      <c r="AH1062" s="130" t="str">
        <f>IF(Tab.o1[[#This Row],[a1]]=1,IF(AH$3=0,Tab.o1[[#This Row],[rW2]],0.01+0.94*Tab.o1[[#This Row],[rW2]]/SUM(Tab.o1[rW2])),"")</f>
        <v/>
      </c>
      <c r="AI1062" s="128" t="str">
        <f>IF(Tab.o1[[#This Row],[a1]]=1,1/Tab.o1[[#This Row],[PDF]],"")</f>
        <v/>
      </c>
      <c r="AJ1062" s="131" t="str">
        <f>IF(Tab.o1[[#This Row],[a1]]=1,[1]!T_AA[[#This Row],[IN'']]*[1]!T_AA[[#This Row],[Qde'']],"")</f>
        <v/>
      </c>
      <c r="AK1062" s="132" t="str">
        <f>IF(Tab.o1[[#This Row],[a1]]=1,IF(AK$1=1,Tab.o1[[#This Row],[MED]]+Tab.o1[[#This Row],[MOD]]-Tab.o1[[#This Row],[MED]],""),"")</f>
        <v/>
      </c>
      <c r="AL1062" s="133" t="str">
        <f>IF(Tab.o1[[#This Row],[a1]]=1,[1]!T.in.A[[#This Row],[oo16]],"")</f>
        <v/>
      </c>
      <c r="AM1062" s="133" t="str">
        <f>IF(Tab.o1[[#This Row],[a1]]=1,IF(AM$3=1,[1]!T.in.A[[#This Row],[Σo16]],""),"")</f>
        <v/>
      </c>
      <c r="AN1062" s="126" t="str">
        <f>IF(Tab.o1[[#This Row],[a1]]=1,[1]!T.in.A[[#This Row],[Σp5]],"")</f>
        <v/>
      </c>
      <c r="AO1062" s="126" t="str">
        <f>IF(Tab.o1[[#This Row],[a1]]=1,IF(AO$3=1,[1]!T.in.A[[#This Row],[Σp5]],""),"")</f>
        <v/>
      </c>
      <c r="AP1062" s="110" t="str">
        <f>IF(Tab.o1[[#This Row],[a1]]=1,IF(ISNUMBER(Tab.o1[[#This Row],[i.]]),NORMDIST(Tab.o1[[#This Row],[Za]],0,1,FALSE)*Tab.o1[[#This Row],[i.]],0),"")</f>
        <v/>
      </c>
      <c r="AQ1062" s="125" t="str">
        <f>IF(Tab.o1[[#This Row],[a1]]=1,ABS(Tab.o1[[#This Row],[MOD]]-AVERAGE(Tab.o1[MOD])),"")</f>
        <v/>
      </c>
      <c r="AR1062" s="134" t="str">
        <f>IF(Tab.o1[[#This Row],[a1]]=1,Tab.o1[[#This Row],[OBS]]/SUM(Tab.o1[OBS]),"")</f>
        <v/>
      </c>
      <c r="AS1062" s="135" t="str">
        <f>IF(ISNUMBER(Tab.o1[[#This Row],[a1]]),ROW()-4,"")</f>
        <v/>
      </c>
      <c r="AT1062" s="136" t="str">
        <f>Tab.o1[[#This Row],[MOD]]</f>
        <v/>
      </c>
      <c r="AU1062" s="137" t="str">
        <f t="shared" si="65"/>
        <v/>
      </c>
      <c r="AV1062" s="138" t="str">
        <f t="shared" si="66"/>
        <v/>
      </c>
      <c r="AW1062" s="138" t="str">
        <f t="shared" si="67"/>
        <v/>
      </c>
      <c r="AX1062" s="139" t="str">
        <f>[1]!T.in.A[[#This Row],[ID_T_manu]]</f>
        <v/>
      </c>
      <c r="AY1062" s="140" t="str">
        <f>IF(ISNUMBER(Tab.o1[[#This Row],[a1]]),IF(AND(Tab.o1[[#This Row],[a1]]=1,Tab.o1[[#This Row],[b1]]&lt;=AY$4),#REF!,AY1061),"")</f>
        <v/>
      </c>
      <c r="AZ1062" s="25"/>
      <c r="BA1062" s="25"/>
      <c r="BB1062" s="25"/>
      <c r="BC1062" s="25"/>
      <c r="BD1062" s="25"/>
      <c r="BE1062" s="25"/>
      <c r="BF1062" s="25"/>
      <c r="BG1062" s="25"/>
      <c r="BH1062" s="25"/>
      <c r="BI1062" s="25"/>
      <c r="BJ1062" s="25"/>
      <c r="BK1062" s="25"/>
      <c r="BL1062" s="25"/>
      <c r="BM1062" s="25"/>
      <c r="BN1062" s="26"/>
      <c r="BO1062" s="26"/>
      <c r="BP1062" s="26"/>
      <c r="BQ1062" s="26"/>
      <c r="BR1062" s="26"/>
      <c r="BS1062" s="26"/>
      <c r="BT1062" s="26"/>
      <c r="BU1062" s="26"/>
      <c r="BV1062" s="26"/>
      <c r="BW1062" s="26"/>
      <c r="BX1062" s="26"/>
      <c r="BY1062" s="26"/>
      <c r="BZ1062" s="26"/>
      <c r="CA1062" s="26"/>
    </row>
    <row r="1063" spans="1:79" ht="15.75" hidden="1">
      <c r="A1063" s="109">
        <v>5.9999999999999993E-6</v>
      </c>
      <c r="B1063" s="110">
        <f t="shared" si="64"/>
        <v>1063</v>
      </c>
      <c r="C1063" s="111" t="str">
        <f>IF(C$1=[1]!T.in.A[[#This Row],[oo2]],1,"")</f>
        <v/>
      </c>
      <c r="D1063" s="112" t="str">
        <f>IF(Tab.o1[[#This Row],[a1]]=1,IF(SUM(C1063:C1064)=0,0,IF(SUM(C1062:C1063)=1,1,IF(SUM(C1062:C1064)&gt;1,D1062+1,0))),"")</f>
        <v/>
      </c>
      <c r="E1063" s="113" t="str">
        <f>IF(Tab.o1[[#This Row],[a1]]=1,[1]!T.in.A[[#This Row],[oo1]],"")</f>
        <v/>
      </c>
      <c r="F1063" s="113" t="str">
        <f>IF(Tab.o1[[#This Row],[a1]]=1,[1]!T.in.A[[#This Row],[pp1]],"")</f>
        <v/>
      </c>
      <c r="G1063" s="114" t="str">
        <f>IF(Tab.o1[[#This Row],[a1]]=1,G$2+IF(G$1=1,0,Tab.o1[[#This Row],[.x1]])+[1]!T.in.A[[#This Row],[oo3]],"")</f>
        <v/>
      </c>
      <c r="H1063" s="115" t="str">
        <f>IF(Tab.o1[[#This Row],[a1]]=1,IF(H$2=0,0,IF(G$1=1,0,Tab.o1[[#This Row],[.x1]])+[1]!T.in.A[[#This Row],[oo4]]),"")</f>
        <v/>
      </c>
      <c r="I1063" s="116" t="str">
        <f>IF(Tab.o1[[#This Row],[a1]]=1,IF(J$2=0,Tab.o1[[#This Row],[MED]],Tab.o1[[#This Row],[MOD]]),"")</f>
        <v/>
      </c>
      <c r="J1063" s="116" t="str">
        <f>IF(Tab.o1[[#This Row],[a1]]=1,((Tab.o1[[#This Row],[DIF_Target.]]-AVERAGE(Tab.o1[DIF_Target.]))/_xlfn.STDEV.P(Tab.o1[DIF_Target.])),"")</f>
        <v/>
      </c>
      <c r="K1063" s="117" t="str">
        <f>IF(Tab.o1[[#This Row],[a1]]=1,IF(J$2=0,Tab.o1[[#This Row],[MOD]]-Tab.o1[[#This Row],[B]],IF(J$2=1,0,-Tab.o1[[#This Row],[MED]])+Tab.o1[[#This Row],[B]]),"")</f>
        <v/>
      </c>
      <c r="L1063" s="117" t="str">
        <f ca="1">IF(Tab.o1[[#This Row],[DIF_Target]]=0,IF(L$2=0,Tab.o1[[#This Row],[DIF_Target]],AVERAGE(OFFSET(Tab.o1[[#This Row],[DIF_Target]],1,0,L$3,1)))/3,Tab.o1[[#This Row],[DIF_Target]])</f>
        <v/>
      </c>
      <c r="M1063" s="118" t="str">
        <f>IF(Tab.o1[[#This Row],[a1]]=1,NORMSDIST(Tab.o1[[#This Row],[Za]]),"")</f>
        <v/>
      </c>
      <c r="N1063" s="119" t="str">
        <f>IF(Tab.o1[[#This Row],[a1]]=1,((Tab.o1[[#This Row],[MedMod]]-AVERAGE(Tab.o1[MedMod]))/_xlfn.STDEV.P(Tab.o1[MedMod])*H$1205)+G$1205,"")</f>
        <v/>
      </c>
      <c r="O1063" s="141" t="str">
        <f>IF(Tab.o1[[#This Row],[a1]]=1,Tab.o1[[#This Row],[Zb]]*_xlfn.STDEV.P(Tab.o1[MedMod])+AVERAGE(Tab.o1[MedMod]),"")</f>
        <v/>
      </c>
      <c r="P1063" s="117" t="str">
        <f ca="1">IF(Tab.o1[[#This Row],[B]]=0,AVERAGE(OFFSET(Tab.o1[[#This Row],[B]],1,0,L$3,1)),Tab.o1[[#This Row],[B]])</f>
        <v/>
      </c>
      <c r="Q1063" s="121" t="str">
        <f>IF(Tab.o1[[#This Row],[a1]]=1,NORMSDIST(Tab.o1[[#This Row],[Zb]]),"")</f>
        <v/>
      </c>
      <c r="R1063" s="122" t="str">
        <f>IF(Tab.o1[[#This Row],[a1]]=1,((Tab.o1[[#This Row],[MedMod]]-AVERAGE(Tab.o1[MedMod]))/_xlfn.STDEV.P(Tab.o1[MedMod])*H$1203)+G$1203,"")</f>
        <v/>
      </c>
      <c r="S1063" s="122" t="str">
        <f>IF(Tab.o1[[#This Row],[a1]]=1,((Tab.o1[[#This Row],[MedMod]]-AVERAGE(Tab.o1[MedMod]))/_xlfn.STDEV.P(Tab.o1[MedMod])*H$1204)+G$1204,"")</f>
        <v/>
      </c>
      <c r="T1063" s="123" t="str">
        <f>IF(Tab.o1[[#This Row],[a1]]=1,Tab.o1[[#This Row],[Z-]]*_xlfn.STDEV.P(Tab.o1[B])+AVERAGE(Tab.o1[B]),"")</f>
        <v/>
      </c>
      <c r="U1063" s="123" t="str">
        <f>IF(Tab.o1[[#This Row],[a1]]=1,Tab.o1[[#This Row],[z+]]*_xlfn.STDEV.P(Tab.o1[B])+AVERAGE(Tab.o1[B]),"")</f>
        <v/>
      </c>
      <c r="V1063" s="124" t="str">
        <f>IF(Tab.o1[[#This Row],[a1]]=1,ABS((ABS(Tab.o1[[#This Row],[Red]]-Tab.o1[[#This Row],[Blue]]))),"")</f>
        <v/>
      </c>
      <c r="W1063" s="125" t="str">
        <f>IF(Tab.o1[[#This Row],[a1]]=1,IF(W$3=0,1,Tab.o1[[#This Row],[Amp.]]*1/_xlfn.MINIFS(Tab.o1[Amp.],Tab.o1[Amp.],"&lt;&gt;0")),"")</f>
        <v/>
      </c>
      <c r="X1063" s="126" t="str">
        <f>IF(Tab.o1[[#This Row],[a1]]=1,IF(ISNUMBER(Tab.o1[[#This Row],[i.]]),NORMDIST(Tab.o1[[#This Row],[Za]],0,1,FALSE)*Tab.o1[[#This Row],[i.]],AP$3),"")</f>
        <v/>
      </c>
      <c r="Y1063" s="126" t="str">
        <f>IF(Tab.o1[[#This Row],[a1]]=1,0.01+0.94*Tab.o1[[#This Row],[PDF]]/MAX(Tab.o1[PDF]),"")</f>
        <v/>
      </c>
      <c r="Z1063" s="126" t="str">
        <f>IF(Tab.o1[[#This Row],[a1]]=1,0.01+0.94*Tab.o1[[#This Row],[W1_PDF]]/MAX(Tab.o1[W1_PDF]),"")</f>
        <v/>
      </c>
      <c r="AA1063" s="118" t="str">
        <f>IF(Tab.o1[[#This Row],[a1]]=1,ABS([1]!T.in.A[[#This Row],[oo6]]),"")</f>
        <v/>
      </c>
      <c r="AB1063" s="127" t="str">
        <f>IF(Tab.o1[[#This Row],[a1]]=1,IF(AE$3=0,"",IF(AB$3=0,ABS([1]!T.in.A[[#This Row],[oo9]]),ABS(Tab.o1[[#This Row],[DIF_Target.]]*Tab.o1[[#This Row],[W1_PDF]]))),"")</f>
        <v/>
      </c>
      <c r="AC1063" s="127" t="str">
        <f>IF(G$1=1,"",IF(Tab.o1[[#This Row],[a1]]=1,Tab.o1[[#This Row],[Wr]]^2,""))</f>
        <v/>
      </c>
      <c r="AD1063" s="118" t="str">
        <f>IF(Tab.o1[[#This Row],[a1]]=1,IF(AE$3=0,"",Tab.o1[[#This Row],[Wr2]]/SUM(Tab.o1[Wr2])),"")</f>
        <v/>
      </c>
      <c r="AE1063" s="128" t="str">
        <f>IF(Tab.o1[[#This Row],[a1]]=1,[1]!T.in.A[[#This Row],[oo10]],"")</f>
        <v/>
      </c>
      <c r="AF1063" s="118" t="str">
        <f>IF(Tab.o1[[#This Row],[a1]]=1,ABS(Tab.o1[[#This Row],[DIF_Target.]]*Tab.o1[[#This Row],[PDF2]]*Tab.o1[[#This Row],[IN]]),"")</f>
        <v/>
      </c>
      <c r="AG1063" s="129" t="str">
        <f>IF(Tab.o1[[#This Row],[a1]]=1,Tab.o1[[#This Row],[rW]]^2,"")</f>
        <v/>
      </c>
      <c r="AH1063" s="130" t="str">
        <f>IF(Tab.o1[[#This Row],[a1]]=1,IF(AH$3=0,Tab.o1[[#This Row],[rW2]],0.01+0.94*Tab.o1[[#This Row],[rW2]]/SUM(Tab.o1[rW2])),"")</f>
        <v/>
      </c>
      <c r="AI1063" s="128" t="str">
        <f>IF(Tab.o1[[#This Row],[a1]]=1,1/Tab.o1[[#This Row],[PDF]],"")</f>
        <v/>
      </c>
      <c r="AJ1063" s="131" t="str">
        <f>IF(Tab.o1[[#This Row],[a1]]=1,[1]!T_AA[[#This Row],[IN'']]*[1]!T_AA[[#This Row],[Qde'']],"")</f>
        <v/>
      </c>
      <c r="AK1063" s="132" t="str">
        <f>IF(Tab.o1[[#This Row],[a1]]=1,IF(AK$1=1,Tab.o1[[#This Row],[MED]]+Tab.o1[[#This Row],[MOD]]-Tab.o1[[#This Row],[MED]],""),"")</f>
        <v/>
      </c>
      <c r="AL1063" s="133" t="str">
        <f>IF(Tab.o1[[#This Row],[a1]]=1,[1]!T.in.A[[#This Row],[oo16]],"")</f>
        <v/>
      </c>
      <c r="AM1063" s="133" t="str">
        <f>IF(Tab.o1[[#This Row],[a1]]=1,IF(AM$3=1,[1]!T.in.A[[#This Row],[Σo16]],""),"")</f>
        <v/>
      </c>
      <c r="AN1063" s="126" t="str">
        <f>IF(Tab.o1[[#This Row],[a1]]=1,[1]!T.in.A[[#This Row],[Σp5]],"")</f>
        <v/>
      </c>
      <c r="AO1063" s="126" t="str">
        <f>IF(Tab.o1[[#This Row],[a1]]=1,IF(AO$3=1,[1]!T.in.A[[#This Row],[Σp5]],""),"")</f>
        <v/>
      </c>
      <c r="AP1063" s="110" t="str">
        <f>IF(Tab.o1[[#This Row],[a1]]=1,IF(ISNUMBER(Tab.o1[[#This Row],[i.]]),NORMDIST(Tab.o1[[#This Row],[Za]],0,1,FALSE)*Tab.o1[[#This Row],[i.]],0),"")</f>
        <v/>
      </c>
      <c r="AQ1063" s="125" t="str">
        <f>IF(Tab.o1[[#This Row],[a1]]=1,ABS(Tab.o1[[#This Row],[MOD]]-AVERAGE(Tab.o1[MOD])),"")</f>
        <v/>
      </c>
      <c r="AR1063" s="134" t="str">
        <f>IF(Tab.o1[[#This Row],[a1]]=1,Tab.o1[[#This Row],[OBS]]/SUM(Tab.o1[OBS]),"")</f>
        <v/>
      </c>
      <c r="AS1063" s="135" t="str">
        <f>IF(ISNUMBER(Tab.o1[[#This Row],[a1]]),ROW()-4,"")</f>
        <v/>
      </c>
      <c r="AT1063" s="136" t="str">
        <f>Tab.o1[[#This Row],[MOD]]</f>
        <v/>
      </c>
      <c r="AU1063" s="137" t="str">
        <f t="shared" si="65"/>
        <v/>
      </c>
      <c r="AV1063" s="138" t="str">
        <f t="shared" si="66"/>
        <v/>
      </c>
      <c r="AW1063" s="138" t="str">
        <f t="shared" si="67"/>
        <v/>
      </c>
      <c r="AX1063" s="139" t="str">
        <f>[1]!T.in.A[[#This Row],[ID_T_manu]]</f>
        <v/>
      </c>
      <c r="AY1063" s="140" t="str">
        <f>IF(ISNUMBER(Tab.o1[[#This Row],[a1]]),IF(AND(Tab.o1[[#This Row],[a1]]=1,Tab.o1[[#This Row],[b1]]&lt;=AY$4),#REF!,AY1062),"")</f>
        <v/>
      </c>
      <c r="AZ1063" s="25"/>
      <c r="BA1063" s="25"/>
      <c r="BB1063" s="25"/>
      <c r="BC1063" s="25"/>
      <c r="BD1063" s="25"/>
      <c r="BE1063" s="25"/>
      <c r="BF1063" s="25"/>
      <c r="BG1063" s="25"/>
      <c r="BH1063" s="25"/>
      <c r="BI1063" s="25"/>
      <c r="BJ1063" s="25"/>
      <c r="BK1063" s="25"/>
      <c r="BL1063" s="25"/>
      <c r="BM1063" s="25"/>
      <c r="BN1063" s="26"/>
      <c r="BO1063" s="26"/>
      <c r="BP1063" s="26"/>
      <c r="BQ1063" s="26"/>
      <c r="BR1063" s="26"/>
      <c r="BS1063" s="26"/>
      <c r="BT1063" s="26"/>
      <c r="BU1063" s="26"/>
      <c r="BV1063" s="26"/>
      <c r="BW1063" s="26"/>
      <c r="BX1063" s="26"/>
      <c r="BY1063" s="26"/>
      <c r="BZ1063" s="26"/>
      <c r="CA1063" s="26"/>
    </row>
    <row r="1064" spans="1:79" ht="15.75" hidden="1">
      <c r="A1064" s="109">
        <v>8.0000000000000013E-6</v>
      </c>
      <c r="B1064" s="110">
        <f t="shared" si="64"/>
        <v>1064</v>
      </c>
      <c r="C1064" s="111" t="str">
        <f>IF(C$1=[1]!T.in.A[[#This Row],[oo2]],1,"")</f>
        <v/>
      </c>
      <c r="D1064" s="112" t="str">
        <f>IF(Tab.o1[[#This Row],[a1]]=1,IF(SUM(C1064:C1065)=0,0,IF(SUM(C1063:C1064)=1,1,IF(SUM(C1063:C1065)&gt;1,D1063+1,0))),"")</f>
        <v/>
      </c>
      <c r="E1064" s="113" t="str">
        <f>IF(Tab.o1[[#This Row],[a1]]=1,[1]!T.in.A[[#This Row],[oo1]],"")</f>
        <v/>
      </c>
      <c r="F1064" s="113" t="str">
        <f>IF(Tab.o1[[#This Row],[a1]]=1,[1]!T.in.A[[#This Row],[pp1]],"")</f>
        <v/>
      </c>
      <c r="G1064" s="114" t="str">
        <f>IF(Tab.o1[[#This Row],[a1]]=1,G$2+IF(G$1=1,0,Tab.o1[[#This Row],[.x1]])+[1]!T.in.A[[#This Row],[oo3]],"")</f>
        <v/>
      </c>
      <c r="H1064" s="115" t="str">
        <f>IF(Tab.o1[[#This Row],[a1]]=1,IF(H$2=0,0,IF(G$1=1,0,Tab.o1[[#This Row],[.x1]])+[1]!T.in.A[[#This Row],[oo4]]),"")</f>
        <v/>
      </c>
      <c r="I1064" s="116" t="str">
        <f>IF(Tab.o1[[#This Row],[a1]]=1,IF(J$2=0,Tab.o1[[#This Row],[MED]],Tab.o1[[#This Row],[MOD]]),"")</f>
        <v/>
      </c>
      <c r="J1064" s="116" t="str">
        <f>IF(Tab.o1[[#This Row],[a1]]=1,((Tab.o1[[#This Row],[DIF_Target.]]-AVERAGE(Tab.o1[DIF_Target.]))/_xlfn.STDEV.P(Tab.o1[DIF_Target.])),"")</f>
        <v/>
      </c>
      <c r="K1064" s="117" t="str">
        <f>IF(Tab.o1[[#This Row],[a1]]=1,IF(J$2=0,Tab.o1[[#This Row],[MOD]]-Tab.o1[[#This Row],[B]],IF(J$2=1,0,-Tab.o1[[#This Row],[MED]])+Tab.o1[[#This Row],[B]]),"")</f>
        <v/>
      </c>
      <c r="L1064" s="117" t="str">
        <f ca="1">IF(Tab.o1[[#This Row],[DIF_Target]]=0,IF(L$2=0,Tab.o1[[#This Row],[DIF_Target]],AVERAGE(OFFSET(Tab.o1[[#This Row],[DIF_Target]],1,0,L$3,1)))/3,Tab.o1[[#This Row],[DIF_Target]])</f>
        <v/>
      </c>
      <c r="M1064" s="118" t="str">
        <f>IF(Tab.o1[[#This Row],[a1]]=1,NORMSDIST(Tab.o1[[#This Row],[Za]]),"")</f>
        <v/>
      </c>
      <c r="N1064" s="119" t="str">
        <f>IF(Tab.o1[[#This Row],[a1]]=1,((Tab.o1[[#This Row],[MedMod]]-AVERAGE(Tab.o1[MedMod]))/_xlfn.STDEV.P(Tab.o1[MedMod])*H$1205)+G$1205,"")</f>
        <v/>
      </c>
      <c r="O1064" s="141" t="str">
        <f>IF(Tab.o1[[#This Row],[a1]]=1,Tab.o1[[#This Row],[Zb]]*_xlfn.STDEV.P(Tab.o1[MedMod])+AVERAGE(Tab.o1[MedMod]),"")</f>
        <v/>
      </c>
      <c r="P1064" s="117" t="str">
        <f ca="1">IF(Tab.o1[[#This Row],[B]]=0,AVERAGE(OFFSET(Tab.o1[[#This Row],[B]],1,0,L$3,1)),Tab.o1[[#This Row],[B]])</f>
        <v/>
      </c>
      <c r="Q1064" s="121" t="str">
        <f>IF(Tab.o1[[#This Row],[a1]]=1,NORMSDIST(Tab.o1[[#This Row],[Zb]]),"")</f>
        <v/>
      </c>
      <c r="R1064" s="122" t="str">
        <f>IF(Tab.o1[[#This Row],[a1]]=1,((Tab.o1[[#This Row],[MedMod]]-AVERAGE(Tab.o1[MedMod]))/_xlfn.STDEV.P(Tab.o1[MedMod])*H$1203)+G$1203,"")</f>
        <v/>
      </c>
      <c r="S1064" s="122" t="str">
        <f>IF(Tab.o1[[#This Row],[a1]]=1,((Tab.o1[[#This Row],[MedMod]]-AVERAGE(Tab.o1[MedMod]))/_xlfn.STDEV.P(Tab.o1[MedMod])*H$1204)+G$1204,"")</f>
        <v/>
      </c>
      <c r="T1064" s="123" t="str">
        <f>IF(Tab.o1[[#This Row],[a1]]=1,Tab.o1[[#This Row],[Z-]]*_xlfn.STDEV.P(Tab.o1[B])+AVERAGE(Tab.o1[B]),"")</f>
        <v/>
      </c>
      <c r="U1064" s="123" t="str">
        <f>IF(Tab.o1[[#This Row],[a1]]=1,Tab.o1[[#This Row],[z+]]*_xlfn.STDEV.P(Tab.o1[B])+AVERAGE(Tab.o1[B]),"")</f>
        <v/>
      </c>
      <c r="V1064" s="124" t="str">
        <f>IF(Tab.o1[[#This Row],[a1]]=1,ABS((ABS(Tab.o1[[#This Row],[Red]]-Tab.o1[[#This Row],[Blue]]))),"")</f>
        <v/>
      </c>
      <c r="W1064" s="125" t="str">
        <f>IF(Tab.o1[[#This Row],[a1]]=1,IF(W$3=0,1,Tab.o1[[#This Row],[Amp.]]*1/_xlfn.MINIFS(Tab.o1[Amp.],Tab.o1[Amp.],"&lt;&gt;0")),"")</f>
        <v/>
      </c>
      <c r="X1064" s="126" t="str">
        <f>IF(Tab.o1[[#This Row],[a1]]=1,IF(ISNUMBER(Tab.o1[[#This Row],[i.]]),NORMDIST(Tab.o1[[#This Row],[Za]],0,1,FALSE)*Tab.o1[[#This Row],[i.]],AP$3),"")</f>
        <v/>
      </c>
      <c r="Y1064" s="126" t="str">
        <f>IF(Tab.o1[[#This Row],[a1]]=1,0.01+0.94*Tab.o1[[#This Row],[PDF]]/MAX(Tab.o1[PDF]),"")</f>
        <v/>
      </c>
      <c r="Z1064" s="126" t="str">
        <f>IF(Tab.o1[[#This Row],[a1]]=1,0.01+0.94*Tab.o1[[#This Row],[W1_PDF]]/MAX(Tab.o1[W1_PDF]),"")</f>
        <v/>
      </c>
      <c r="AA1064" s="118" t="str">
        <f>IF(Tab.o1[[#This Row],[a1]]=1,ABS([1]!T.in.A[[#This Row],[oo6]]),"")</f>
        <v/>
      </c>
      <c r="AB1064" s="127" t="str">
        <f>IF(Tab.o1[[#This Row],[a1]]=1,IF(AE$3=0,"",IF(AB$3=0,ABS([1]!T.in.A[[#This Row],[oo9]]),ABS(Tab.o1[[#This Row],[DIF_Target.]]*Tab.o1[[#This Row],[W1_PDF]]))),"")</f>
        <v/>
      </c>
      <c r="AC1064" s="127" t="str">
        <f>IF(G$1=1,"",IF(Tab.o1[[#This Row],[a1]]=1,Tab.o1[[#This Row],[Wr]]^2,""))</f>
        <v/>
      </c>
      <c r="AD1064" s="118" t="str">
        <f>IF(Tab.o1[[#This Row],[a1]]=1,IF(AE$3=0,"",Tab.o1[[#This Row],[Wr2]]/SUM(Tab.o1[Wr2])),"")</f>
        <v/>
      </c>
      <c r="AE1064" s="128" t="str">
        <f>IF(Tab.o1[[#This Row],[a1]]=1,[1]!T.in.A[[#This Row],[oo10]],"")</f>
        <v/>
      </c>
      <c r="AF1064" s="118" t="str">
        <f>IF(Tab.o1[[#This Row],[a1]]=1,ABS(Tab.o1[[#This Row],[DIF_Target.]]*Tab.o1[[#This Row],[PDF2]]*Tab.o1[[#This Row],[IN]]),"")</f>
        <v/>
      </c>
      <c r="AG1064" s="129" t="str">
        <f>IF(Tab.o1[[#This Row],[a1]]=1,Tab.o1[[#This Row],[rW]]^2,"")</f>
        <v/>
      </c>
      <c r="AH1064" s="130" t="str">
        <f>IF(Tab.o1[[#This Row],[a1]]=1,IF(AH$3=0,Tab.o1[[#This Row],[rW2]],0.01+0.94*Tab.o1[[#This Row],[rW2]]/SUM(Tab.o1[rW2])),"")</f>
        <v/>
      </c>
      <c r="AI1064" s="128" t="str">
        <f>IF(Tab.o1[[#This Row],[a1]]=1,1/Tab.o1[[#This Row],[PDF]],"")</f>
        <v/>
      </c>
      <c r="AJ1064" s="131" t="str">
        <f>IF(Tab.o1[[#This Row],[a1]]=1,[1]!T_AA[[#This Row],[IN'']]*[1]!T_AA[[#This Row],[Qde'']],"")</f>
        <v/>
      </c>
      <c r="AK1064" s="132" t="str">
        <f>IF(Tab.o1[[#This Row],[a1]]=1,IF(AK$1=1,Tab.o1[[#This Row],[MED]]+Tab.o1[[#This Row],[MOD]]-Tab.o1[[#This Row],[MED]],""),"")</f>
        <v/>
      </c>
      <c r="AL1064" s="133" t="str">
        <f>IF(Tab.o1[[#This Row],[a1]]=1,[1]!T.in.A[[#This Row],[oo16]],"")</f>
        <v/>
      </c>
      <c r="AM1064" s="133" t="str">
        <f>IF(Tab.o1[[#This Row],[a1]]=1,IF(AM$3=1,[1]!T.in.A[[#This Row],[Σo16]],""),"")</f>
        <v/>
      </c>
      <c r="AN1064" s="126" t="str">
        <f>IF(Tab.o1[[#This Row],[a1]]=1,[1]!T.in.A[[#This Row],[Σp5]],"")</f>
        <v/>
      </c>
      <c r="AO1064" s="126" t="str">
        <f>IF(Tab.o1[[#This Row],[a1]]=1,IF(AO$3=1,[1]!T.in.A[[#This Row],[Σp5]],""),"")</f>
        <v/>
      </c>
      <c r="AP1064" s="110" t="str">
        <f>IF(Tab.o1[[#This Row],[a1]]=1,IF(ISNUMBER(Tab.o1[[#This Row],[i.]]),NORMDIST(Tab.o1[[#This Row],[Za]],0,1,FALSE)*Tab.o1[[#This Row],[i.]],0),"")</f>
        <v/>
      </c>
      <c r="AQ1064" s="125" t="str">
        <f>IF(Tab.o1[[#This Row],[a1]]=1,ABS(Tab.o1[[#This Row],[MOD]]-AVERAGE(Tab.o1[MOD])),"")</f>
        <v/>
      </c>
      <c r="AR1064" s="134" t="str">
        <f>IF(Tab.o1[[#This Row],[a1]]=1,Tab.o1[[#This Row],[OBS]]/SUM(Tab.o1[OBS]),"")</f>
        <v/>
      </c>
      <c r="AS1064" s="135" t="str">
        <f>IF(ISNUMBER(Tab.o1[[#This Row],[a1]]),ROW()-4,"")</f>
        <v/>
      </c>
      <c r="AT1064" s="136" t="str">
        <f>Tab.o1[[#This Row],[MOD]]</f>
        <v/>
      </c>
      <c r="AU1064" s="137" t="str">
        <f t="shared" si="65"/>
        <v/>
      </c>
      <c r="AV1064" s="138" t="str">
        <f t="shared" si="66"/>
        <v/>
      </c>
      <c r="AW1064" s="138" t="str">
        <f t="shared" si="67"/>
        <v/>
      </c>
      <c r="AX1064" s="139" t="str">
        <f>[1]!T.in.A[[#This Row],[ID_T_manu]]</f>
        <v/>
      </c>
      <c r="AY1064" s="140" t="str">
        <f>IF(ISNUMBER(Tab.o1[[#This Row],[a1]]),IF(AND(Tab.o1[[#This Row],[a1]]=1,Tab.o1[[#This Row],[b1]]&lt;=AY$4),#REF!,AY1063),"")</f>
        <v/>
      </c>
      <c r="AZ1064" s="25"/>
      <c r="BA1064" s="25"/>
      <c r="BB1064" s="25"/>
      <c r="BC1064" s="25"/>
      <c r="BD1064" s="25"/>
      <c r="BE1064" s="25"/>
      <c r="BF1064" s="25"/>
      <c r="BG1064" s="25"/>
      <c r="BH1064" s="25"/>
      <c r="BI1064" s="25"/>
      <c r="BJ1064" s="25"/>
      <c r="BK1064" s="25"/>
      <c r="BL1064" s="25"/>
      <c r="BM1064" s="25"/>
      <c r="BN1064" s="26"/>
      <c r="BO1064" s="26"/>
      <c r="BP1064" s="26"/>
      <c r="BQ1064" s="26"/>
      <c r="BR1064" s="26"/>
      <c r="BS1064" s="26"/>
      <c r="BT1064" s="26"/>
      <c r="BU1064" s="26"/>
      <c r="BV1064" s="26"/>
      <c r="BW1064" s="26"/>
      <c r="BX1064" s="26"/>
      <c r="BY1064" s="26"/>
      <c r="BZ1064" s="26"/>
      <c r="CA1064" s="26"/>
    </row>
    <row r="1065" spans="1:79" ht="15.75" hidden="1">
      <c r="A1065" s="109">
        <v>-4.0000000000000007E-6</v>
      </c>
      <c r="B1065" s="110">
        <f t="shared" si="64"/>
        <v>1065</v>
      </c>
      <c r="C1065" s="111" t="str">
        <f>IF(C$1=[1]!T.in.A[[#This Row],[oo2]],1,"")</f>
        <v/>
      </c>
      <c r="D1065" s="112" t="str">
        <f>IF(Tab.o1[[#This Row],[a1]]=1,IF(SUM(C1065:C1066)=0,0,IF(SUM(C1064:C1065)=1,1,IF(SUM(C1064:C1066)&gt;1,D1064+1,0))),"")</f>
        <v/>
      </c>
      <c r="E1065" s="113" t="str">
        <f>IF(Tab.o1[[#This Row],[a1]]=1,[1]!T.in.A[[#This Row],[oo1]],"")</f>
        <v/>
      </c>
      <c r="F1065" s="113" t="str">
        <f>IF(Tab.o1[[#This Row],[a1]]=1,[1]!T.in.A[[#This Row],[pp1]],"")</f>
        <v/>
      </c>
      <c r="G1065" s="114" t="str">
        <f>IF(Tab.o1[[#This Row],[a1]]=1,G$2+IF(G$1=1,0,Tab.o1[[#This Row],[.x1]])+[1]!T.in.A[[#This Row],[oo3]],"")</f>
        <v/>
      </c>
      <c r="H1065" s="115" t="str">
        <f>IF(Tab.o1[[#This Row],[a1]]=1,IF(H$2=0,0,IF(G$1=1,0,Tab.o1[[#This Row],[.x1]])+[1]!T.in.A[[#This Row],[oo4]]),"")</f>
        <v/>
      </c>
      <c r="I1065" s="116" t="str">
        <f>IF(Tab.o1[[#This Row],[a1]]=1,IF(J$2=0,Tab.o1[[#This Row],[MED]],Tab.o1[[#This Row],[MOD]]),"")</f>
        <v/>
      </c>
      <c r="J1065" s="116" t="str">
        <f>IF(Tab.o1[[#This Row],[a1]]=1,((Tab.o1[[#This Row],[DIF_Target.]]-AVERAGE(Tab.o1[DIF_Target.]))/_xlfn.STDEV.P(Tab.o1[DIF_Target.])),"")</f>
        <v/>
      </c>
      <c r="K1065" s="117" t="str">
        <f>IF(Tab.o1[[#This Row],[a1]]=1,IF(J$2=0,Tab.o1[[#This Row],[MOD]]-Tab.o1[[#This Row],[B]],IF(J$2=1,0,-Tab.o1[[#This Row],[MED]])+Tab.o1[[#This Row],[B]]),"")</f>
        <v/>
      </c>
      <c r="L1065" s="117" t="str">
        <f ca="1">IF(Tab.o1[[#This Row],[DIF_Target]]=0,IF(L$2=0,Tab.o1[[#This Row],[DIF_Target]],AVERAGE(OFFSET(Tab.o1[[#This Row],[DIF_Target]],1,0,L$3,1)))/3,Tab.o1[[#This Row],[DIF_Target]])</f>
        <v/>
      </c>
      <c r="M1065" s="118" t="str">
        <f>IF(Tab.o1[[#This Row],[a1]]=1,NORMSDIST(Tab.o1[[#This Row],[Za]]),"")</f>
        <v/>
      </c>
      <c r="N1065" s="119" t="str">
        <f>IF(Tab.o1[[#This Row],[a1]]=1,((Tab.o1[[#This Row],[MedMod]]-AVERAGE(Tab.o1[MedMod]))/_xlfn.STDEV.P(Tab.o1[MedMod])*H$1205)+G$1205,"")</f>
        <v/>
      </c>
      <c r="O1065" s="141" t="str">
        <f>IF(Tab.o1[[#This Row],[a1]]=1,Tab.o1[[#This Row],[Zb]]*_xlfn.STDEV.P(Tab.o1[MedMod])+AVERAGE(Tab.o1[MedMod]),"")</f>
        <v/>
      </c>
      <c r="P1065" s="117" t="str">
        <f ca="1">IF(Tab.o1[[#This Row],[B]]=0,AVERAGE(OFFSET(Tab.o1[[#This Row],[B]],1,0,L$3,1)),Tab.o1[[#This Row],[B]])</f>
        <v/>
      </c>
      <c r="Q1065" s="121" t="str">
        <f>IF(Tab.o1[[#This Row],[a1]]=1,NORMSDIST(Tab.o1[[#This Row],[Zb]]),"")</f>
        <v/>
      </c>
      <c r="R1065" s="122" t="str">
        <f>IF(Tab.o1[[#This Row],[a1]]=1,((Tab.o1[[#This Row],[MedMod]]-AVERAGE(Tab.o1[MedMod]))/_xlfn.STDEV.P(Tab.o1[MedMod])*H$1203)+G$1203,"")</f>
        <v/>
      </c>
      <c r="S1065" s="122" t="str">
        <f>IF(Tab.o1[[#This Row],[a1]]=1,((Tab.o1[[#This Row],[MedMod]]-AVERAGE(Tab.o1[MedMod]))/_xlfn.STDEV.P(Tab.o1[MedMod])*H$1204)+G$1204,"")</f>
        <v/>
      </c>
      <c r="T1065" s="123" t="str">
        <f>IF(Tab.o1[[#This Row],[a1]]=1,Tab.o1[[#This Row],[Z-]]*_xlfn.STDEV.P(Tab.o1[B])+AVERAGE(Tab.o1[B]),"")</f>
        <v/>
      </c>
      <c r="U1065" s="123" t="str">
        <f>IF(Tab.o1[[#This Row],[a1]]=1,Tab.o1[[#This Row],[z+]]*_xlfn.STDEV.P(Tab.o1[B])+AVERAGE(Tab.o1[B]),"")</f>
        <v/>
      </c>
      <c r="V1065" s="124" t="str">
        <f>IF(Tab.o1[[#This Row],[a1]]=1,ABS((ABS(Tab.o1[[#This Row],[Red]]-Tab.o1[[#This Row],[Blue]]))),"")</f>
        <v/>
      </c>
      <c r="W1065" s="125" t="str">
        <f>IF(Tab.o1[[#This Row],[a1]]=1,IF(W$3=0,1,Tab.o1[[#This Row],[Amp.]]*1/_xlfn.MINIFS(Tab.o1[Amp.],Tab.o1[Amp.],"&lt;&gt;0")),"")</f>
        <v/>
      </c>
      <c r="X1065" s="126" t="str">
        <f>IF(Tab.o1[[#This Row],[a1]]=1,IF(ISNUMBER(Tab.o1[[#This Row],[i.]]),NORMDIST(Tab.o1[[#This Row],[Za]],0,1,FALSE)*Tab.o1[[#This Row],[i.]],AP$3),"")</f>
        <v/>
      </c>
      <c r="Y1065" s="126" t="str">
        <f>IF(Tab.o1[[#This Row],[a1]]=1,0.01+0.94*Tab.o1[[#This Row],[PDF]]/MAX(Tab.o1[PDF]),"")</f>
        <v/>
      </c>
      <c r="Z1065" s="126" t="str">
        <f>IF(Tab.o1[[#This Row],[a1]]=1,0.01+0.94*Tab.o1[[#This Row],[W1_PDF]]/MAX(Tab.o1[W1_PDF]),"")</f>
        <v/>
      </c>
      <c r="AA1065" s="118" t="str">
        <f>IF(Tab.o1[[#This Row],[a1]]=1,ABS([1]!T.in.A[[#This Row],[oo6]]),"")</f>
        <v/>
      </c>
      <c r="AB1065" s="127" t="str">
        <f>IF(Tab.o1[[#This Row],[a1]]=1,IF(AE$3=0,"",IF(AB$3=0,ABS([1]!T.in.A[[#This Row],[oo9]]),ABS(Tab.o1[[#This Row],[DIF_Target.]]*Tab.o1[[#This Row],[W1_PDF]]))),"")</f>
        <v/>
      </c>
      <c r="AC1065" s="127" t="str">
        <f>IF(G$1=1,"",IF(Tab.o1[[#This Row],[a1]]=1,Tab.o1[[#This Row],[Wr]]^2,""))</f>
        <v/>
      </c>
      <c r="AD1065" s="118" t="str">
        <f>IF(Tab.o1[[#This Row],[a1]]=1,IF(AE$3=0,"",Tab.o1[[#This Row],[Wr2]]/SUM(Tab.o1[Wr2])),"")</f>
        <v/>
      </c>
      <c r="AE1065" s="128" t="str">
        <f>IF(Tab.o1[[#This Row],[a1]]=1,[1]!T.in.A[[#This Row],[oo10]],"")</f>
        <v/>
      </c>
      <c r="AF1065" s="118" t="str">
        <f>IF(Tab.o1[[#This Row],[a1]]=1,ABS(Tab.o1[[#This Row],[DIF_Target.]]*Tab.o1[[#This Row],[PDF2]]*Tab.o1[[#This Row],[IN]]),"")</f>
        <v/>
      </c>
      <c r="AG1065" s="129" t="str">
        <f>IF(Tab.o1[[#This Row],[a1]]=1,Tab.o1[[#This Row],[rW]]^2,"")</f>
        <v/>
      </c>
      <c r="AH1065" s="130" t="str">
        <f>IF(Tab.o1[[#This Row],[a1]]=1,IF(AH$3=0,Tab.o1[[#This Row],[rW2]],0.01+0.94*Tab.o1[[#This Row],[rW2]]/SUM(Tab.o1[rW2])),"")</f>
        <v/>
      </c>
      <c r="AI1065" s="128" t="str">
        <f>IF(Tab.o1[[#This Row],[a1]]=1,1/Tab.o1[[#This Row],[PDF]],"")</f>
        <v/>
      </c>
      <c r="AJ1065" s="131" t="str">
        <f>IF(Tab.o1[[#This Row],[a1]]=1,[1]!T_AA[[#This Row],[IN'']]*[1]!T_AA[[#This Row],[Qde'']],"")</f>
        <v/>
      </c>
      <c r="AK1065" s="132" t="str">
        <f>IF(Tab.o1[[#This Row],[a1]]=1,IF(AK$1=1,Tab.o1[[#This Row],[MED]]+Tab.o1[[#This Row],[MOD]]-Tab.o1[[#This Row],[MED]],""),"")</f>
        <v/>
      </c>
      <c r="AL1065" s="133" t="str">
        <f>IF(Tab.o1[[#This Row],[a1]]=1,[1]!T.in.A[[#This Row],[oo16]],"")</f>
        <v/>
      </c>
      <c r="AM1065" s="133" t="str">
        <f>IF(Tab.o1[[#This Row],[a1]]=1,IF(AM$3=1,[1]!T.in.A[[#This Row],[Σo16]],""),"")</f>
        <v/>
      </c>
      <c r="AN1065" s="126" t="str">
        <f>IF(Tab.o1[[#This Row],[a1]]=1,[1]!T.in.A[[#This Row],[Σp5]],"")</f>
        <v/>
      </c>
      <c r="AO1065" s="126" t="str">
        <f>IF(Tab.o1[[#This Row],[a1]]=1,IF(AO$3=1,[1]!T.in.A[[#This Row],[Σp5]],""),"")</f>
        <v/>
      </c>
      <c r="AP1065" s="110" t="str">
        <f>IF(Tab.o1[[#This Row],[a1]]=1,IF(ISNUMBER(Tab.o1[[#This Row],[i.]]),NORMDIST(Tab.o1[[#This Row],[Za]],0,1,FALSE)*Tab.o1[[#This Row],[i.]],0),"")</f>
        <v/>
      </c>
      <c r="AQ1065" s="125" t="str">
        <f>IF(Tab.o1[[#This Row],[a1]]=1,ABS(Tab.o1[[#This Row],[MOD]]-AVERAGE(Tab.o1[MOD])),"")</f>
        <v/>
      </c>
      <c r="AR1065" s="134" t="str">
        <f>IF(Tab.o1[[#This Row],[a1]]=1,Tab.o1[[#This Row],[OBS]]/SUM(Tab.o1[OBS]),"")</f>
        <v/>
      </c>
      <c r="AS1065" s="135" t="str">
        <f>IF(ISNUMBER(Tab.o1[[#This Row],[a1]]),ROW()-4,"")</f>
        <v/>
      </c>
      <c r="AT1065" s="136" t="str">
        <f>Tab.o1[[#This Row],[MOD]]</f>
        <v/>
      </c>
      <c r="AU1065" s="137" t="str">
        <f t="shared" si="65"/>
        <v/>
      </c>
      <c r="AV1065" s="138" t="str">
        <f t="shared" si="66"/>
        <v/>
      </c>
      <c r="AW1065" s="138" t="str">
        <f t="shared" si="67"/>
        <v/>
      </c>
      <c r="AX1065" s="139" t="str">
        <f>[1]!T.in.A[[#This Row],[ID_T_manu]]</f>
        <v/>
      </c>
      <c r="AY1065" s="140" t="str">
        <f>IF(ISNUMBER(Tab.o1[[#This Row],[a1]]),IF(AND(Tab.o1[[#This Row],[a1]]=1,Tab.o1[[#This Row],[b1]]&lt;=AY$4),#REF!,AY1064),"")</f>
        <v/>
      </c>
      <c r="AZ1065" s="25"/>
      <c r="BA1065" s="25"/>
      <c r="BB1065" s="25"/>
      <c r="BC1065" s="25"/>
      <c r="BD1065" s="25"/>
      <c r="BE1065" s="25"/>
      <c r="BF1065" s="25"/>
      <c r="BG1065" s="25"/>
      <c r="BH1065" s="25"/>
      <c r="BI1065" s="25"/>
      <c r="BJ1065" s="25"/>
      <c r="BK1065" s="25"/>
      <c r="BL1065" s="25"/>
      <c r="BM1065" s="25"/>
      <c r="BN1065" s="26"/>
      <c r="BO1065" s="26"/>
      <c r="BP1065" s="26"/>
      <c r="BQ1065" s="26"/>
      <c r="BR1065" s="26"/>
      <c r="BS1065" s="26"/>
      <c r="BT1065" s="26"/>
      <c r="BU1065" s="26"/>
      <c r="BV1065" s="26"/>
      <c r="BW1065" s="26"/>
      <c r="BX1065" s="26"/>
      <c r="BY1065" s="26"/>
      <c r="BZ1065" s="26"/>
      <c r="CA1065" s="26"/>
    </row>
    <row r="1066" spans="1:79" ht="15.75" hidden="1">
      <c r="A1066" s="109">
        <v>-5.0000000000000004E-6</v>
      </c>
      <c r="B1066" s="110">
        <f t="shared" si="64"/>
        <v>1066</v>
      </c>
      <c r="C1066" s="111" t="str">
        <f>IF(C$1=[1]!T.in.A[[#This Row],[oo2]],1,"")</f>
        <v/>
      </c>
      <c r="D1066" s="112" t="str">
        <f>IF(Tab.o1[[#This Row],[a1]]=1,IF(SUM(C1066:C1067)=0,0,IF(SUM(C1065:C1066)=1,1,IF(SUM(C1065:C1067)&gt;1,D1065+1,0))),"")</f>
        <v/>
      </c>
      <c r="E1066" s="113" t="str">
        <f>IF(Tab.o1[[#This Row],[a1]]=1,[1]!T.in.A[[#This Row],[oo1]],"")</f>
        <v/>
      </c>
      <c r="F1066" s="113" t="str">
        <f>IF(Tab.o1[[#This Row],[a1]]=1,[1]!T.in.A[[#This Row],[pp1]],"")</f>
        <v/>
      </c>
      <c r="G1066" s="114" t="str">
        <f>IF(Tab.o1[[#This Row],[a1]]=1,G$2+IF(G$1=1,0,Tab.o1[[#This Row],[.x1]])+[1]!T.in.A[[#This Row],[oo3]],"")</f>
        <v/>
      </c>
      <c r="H1066" s="115" t="str">
        <f>IF(Tab.o1[[#This Row],[a1]]=1,IF(H$2=0,0,IF(G$1=1,0,Tab.o1[[#This Row],[.x1]])+[1]!T.in.A[[#This Row],[oo4]]),"")</f>
        <v/>
      </c>
      <c r="I1066" s="116" t="str">
        <f>IF(Tab.o1[[#This Row],[a1]]=1,IF(J$2=0,Tab.o1[[#This Row],[MED]],Tab.o1[[#This Row],[MOD]]),"")</f>
        <v/>
      </c>
      <c r="J1066" s="116" t="str">
        <f>IF(Tab.o1[[#This Row],[a1]]=1,((Tab.o1[[#This Row],[DIF_Target.]]-AVERAGE(Tab.o1[DIF_Target.]))/_xlfn.STDEV.P(Tab.o1[DIF_Target.])),"")</f>
        <v/>
      </c>
      <c r="K1066" s="117" t="str">
        <f>IF(Tab.o1[[#This Row],[a1]]=1,IF(J$2=0,Tab.o1[[#This Row],[MOD]]-Tab.o1[[#This Row],[B]],IF(J$2=1,0,-Tab.o1[[#This Row],[MED]])+Tab.o1[[#This Row],[B]]),"")</f>
        <v/>
      </c>
      <c r="L1066" s="117" t="str">
        <f ca="1">IF(Tab.o1[[#This Row],[DIF_Target]]=0,IF(L$2=0,Tab.o1[[#This Row],[DIF_Target]],AVERAGE(OFFSET(Tab.o1[[#This Row],[DIF_Target]],1,0,L$3,1)))/3,Tab.o1[[#This Row],[DIF_Target]])</f>
        <v/>
      </c>
      <c r="M1066" s="118" t="str">
        <f>IF(Tab.o1[[#This Row],[a1]]=1,NORMSDIST(Tab.o1[[#This Row],[Za]]),"")</f>
        <v/>
      </c>
      <c r="N1066" s="119" t="str">
        <f>IF(Tab.o1[[#This Row],[a1]]=1,((Tab.o1[[#This Row],[MedMod]]-AVERAGE(Tab.o1[MedMod]))/_xlfn.STDEV.P(Tab.o1[MedMod])*H$1205)+G$1205,"")</f>
        <v/>
      </c>
      <c r="O1066" s="141" t="str">
        <f>IF(Tab.o1[[#This Row],[a1]]=1,Tab.o1[[#This Row],[Zb]]*_xlfn.STDEV.P(Tab.o1[MedMod])+AVERAGE(Tab.o1[MedMod]),"")</f>
        <v/>
      </c>
      <c r="P1066" s="117" t="str">
        <f ca="1">IF(Tab.o1[[#This Row],[B]]=0,AVERAGE(OFFSET(Tab.o1[[#This Row],[B]],1,0,L$3,1)),Tab.o1[[#This Row],[B]])</f>
        <v/>
      </c>
      <c r="Q1066" s="121" t="str">
        <f>IF(Tab.o1[[#This Row],[a1]]=1,NORMSDIST(Tab.o1[[#This Row],[Zb]]),"")</f>
        <v/>
      </c>
      <c r="R1066" s="122" t="str">
        <f>IF(Tab.o1[[#This Row],[a1]]=1,((Tab.o1[[#This Row],[MedMod]]-AVERAGE(Tab.o1[MedMod]))/_xlfn.STDEV.P(Tab.o1[MedMod])*H$1203)+G$1203,"")</f>
        <v/>
      </c>
      <c r="S1066" s="122" t="str">
        <f>IF(Tab.o1[[#This Row],[a1]]=1,((Tab.o1[[#This Row],[MedMod]]-AVERAGE(Tab.o1[MedMod]))/_xlfn.STDEV.P(Tab.o1[MedMod])*H$1204)+G$1204,"")</f>
        <v/>
      </c>
      <c r="T1066" s="123" t="str">
        <f>IF(Tab.o1[[#This Row],[a1]]=1,Tab.o1[[#This Row],[Z-]]*_xlfn.STDEV.P(Tab.o1[B])+AVERAGE(Tab.o1[B]),"")</f>
        <v/>
      </c>
      <c r="U1066" s="123" t="str">
        <f>IF(Tab.o1[[#This Row],[a1]]=1,Tab.o1[[#This Row],[z+]]*_xlfn.STDEV.P(Tab.o1[B])+AVERAGE(Tab.o1[B]),"")</f>
        <v/>
      </c>
      <c r="V1066" s="124" t="str">
        <f>IF(Tab.o1[[#This Row],[a1]]=1,ABS((ABS(Tab.o1[[#This Row],[Red]]-Tab.o1[[#This Row],[Blue]]))),"")</f>
        <v/>
      </c>
      <c r="W1066" s="125" t="str">
        <f>IF(Tab.o1[[#This Row],[a1]]=1,IF(W$3=0,1,Tab.o1[[#This Row],[Amp.]]*1/_xlfn.MINIFS(Tab.o1[Amp.],Tab.o1[Amp.],"&lt;&gt;0")),"")</f>
        <v/>
      </c>
      <c r="X1066" s="126" t="str">
        <f>IF(Tab.o1[[#This Row],[a1]]=1,IF(ISNUMBER(Tab.o1[[#This Row],[i.]]),NORMDIST(Tab.o1[[#This Row],[Za]],0,1,FALSE)*Tab.o1[[#This Row],[i.]],AP$3),"")</f>
        <v/>
      </c>
      <c r="Y1066" s="126" t="str">
        <f>IF(Tab.o1[[#This Row],[a1]]=1,0.01+0.94*Tab.o1[[#This Row],[PDF]]/MAX(Tab.o1[PDF]),"")</f>
        <v/>
      </c>
      <c r="Z1066" s="126" t="str">
        <f>IF(Tab.o1[[#This Row],[a1]]=1,0.01+0.94*Tab.o1[[#This Row],[W1_PDF]]/MAX(Tab.o1[W1_PDF]),"")</f>
        <v/>
      </c>
      <c r="AA1066" s="118" t="str">
        <f>IF(Tab.o1[[#This Row],[a1]]=1,ABS([1]!T.in.A[[#This Row],[oo6]]),"")</f>
        <v/>
      </c>
      <c r="AB1066" s="127" t="str">
        <f>IF(Tab.o1[[#This Row],[a1]]=1,IF(AE$3=0,"",IF(AB$3=0,ABS([1]!T.in.A[[#This Row],[oo9]]),ABS(Tab.o1[[#This Row],[DIF_Target.]]*Tab.o1[[#This Row],[W1_PDF]]))),"")</f>
        <v/>
      </c>
      <c r="AC1066" s="127" t="str">
        <f>IF(G$1=1,"",IF(Tab.o1[[#This Row],[a1]]=1,Tab.o1[[#This Row],[Wr]]^2,""))</f>
        <v/>
      </c>
      <c r="AD1066" s="118" t="str">
        <f>IF(Tab.o1[[#This Row],[a1]]=1,IF(AE$3=0,"",Tab.o1[[#This Row],[Wr2]]/SUM(Tab.o1[Wr2])),"")</f>
        <v/>
      </c>
      <c r="AE1066" s="128" t="str">
        <f>IF(Tab.o1[[#This Row],[a1]]=1,[1]!T.in.A[[#This Row],[oo10]],"")</f>
        <v/>
      </c>
      <c r="AF1066" s="118" t="str">
        <f>IF(Tab.o1[[#This Row],[a1]]=1,ABS(Tab.o1[[#This Row],[DIF_Target.]]*Tab.o1[[#This Row],[PDF2]]*Tab.o1[[#This Row],[IN]]),"")</f>
        <v/>
      </c>
      <c r="AG1066" s="129" t="str">
        <f>IF(Tab.o1[[#This Row],[a1]]=1,Tab.o1[[#This Row],[rW]]^2,"")</f>
        <v/>
      </c>
      <c r="AH1066" s="130" t="str">
        <f>IF(Tab.o1[[#This Row],[a1]]=1,IF(AH$3=0,Tab.o1[[#This Row],[rW2]],0.01+0.94*Tab.o1[[#This Row],[rW2]]/SUM(Tab.o1[rW2])),"")</f>
        <v/>
      </c>
      <c r="AI1066" s="128" t="str">
        <f>IF(Tab.o1[[#This Row],[a1]]=1,1/Tab.o1[[#This Row],[PDF]],"")</f>
        <v/>
      </c>
      <c r="AJ1066" s="131" t="str">
        <f>IF(Tab.o1[[#This Row],[a1]]=1,[1]!T_AA[[#This Row],[IN'']]*[1]!T_AA[[#This Row],[Qde'']],"")</f>
        <v/>
      </c>
      <c r="AK1066" s="132" t="str">
        <f>IF(Tab.o1[[#This Row],[a1]]=1,IF(AK$1=1,Tab.o1[[#This Row],[MED]]+Tab.o1[[#This Row],[MOD]]-Tab.o1[[#This Row],[MED]],""),"")</f>
        <v/>
      </c>
      <c r="AL1066" s="133" t="str">
        <f>IF(Tab.o1[[#This Row],[a1]]=1,[1]!T.in.A[[#This Row],[oo16]],"")</f>
        <v/>
      </c>
      <c r="AM1066" s="133" t="str">
        <f>IF(Tab.o1[[#This Row],[a1]]=1,IF(AM$3=1,[1]!T.in.A[[#This Row],[Σo16]],""),"")</f>
        <v/>
      </c>
      <c r="AN1066" s="126" t="str">
        <f>IF(Tab.o1[[#This Row],[a1]]=1,[1]!T.in.A[[#This Row],[Σp5]],"")</f>
        <v/>
      </c>
      <c r="AO1066" s="126" t="str">
        <f>IF(Tab.o1[[#This Row],[a1]]=1,IF(AO$3=1,[1]!T.in.A[[#This Row],[Σp5]],""),"")</f>
        <v/>
      </c>
      <c r="AP1066" s="110" t="str">
        <f>IF(Tab.o1[[#This Row],[a1]]=1,IF(ISNUMBER(Tab.o1[[#This Row],[i.]]),NORMDIST(Tab.o1[[#This Row],[Za]],0,1,FALSE)*Tab.o1[[#This Row],[i.]],0),"")</f>
        <v/>
      </c>
      <c r="AQ1066" s="125" t="str">
        <f>IF(Tab.o1[[#This Row],[a1]]=1,ABS(Tab.o1[[#This Row],[MOD]]-AVERAGE(Tab.o1[MOD])),"")</f>
        <v/>
      </c>
      <c r="AR1066" s="134" t="str">
        <f>IF(Tab.o1[[#This Row],[a1]]=1,Tab.o1[[#This Row],[OBS]]/SUM(Tab.o1[OBS]),"")</f>
        <v/>
      </c>
      <c r="AS1066" s="135" t="str">
        <f>IF(ISNUMBER(Tab.o1[[#This Row],[a1]]),ROW()-4,"")</f>
        <v/>
      </c>
      <c r="AT1066" s="136" t="str">
        <f>Tab.o1[[#This Row],[MOD]]</f>
        <v/>
      </c>
      <c r="AU1066" s="137" t="str">
        <f t="shared" si="65"/>
        <v/>
      </c>
      <c r="AV1066" s="138" t="str">
        <f t="shared" si="66"/>
        <v/>
      </c>
      <c r="AW1066" s="138" t="str">
        <f t="shared" si="67"/>
        <v/>
      </c>
      <c r="AX1066" s="139" t="str">
        <f>[1]!T.in.A[[#This Row],[ID_T_manu]]</f>
        <v/>
      </c>
      <c r="AY1066" s="140" t="str">
        <f>IF(ISNUMBER(Tab.o1[[#This Row],[a1]]),IF(AND(Tab.o1[[#This Row],[a1]]=1,Tab.o1[[#This Row],[b1]]&lt;=AY$4),#REF!,AY1065),"")</f>
        <v/>
      </c>
      <c r="AZ1066" s="25"/>
      <c r="BA1066" s="25"/>
      <c r="BB1066" s="25"/>
      <c r="BC1066" s="25"/>
      <c r="BD1066" s="25"/>
      <c r="BE1066" s="25"/>
      <c r="BF1066" s="25"/>
      <c r="BG1066" s="25"/>
      <c r="BH1066" s="25"/>
      <c r="BI1066" s="25"/>
      <c r="BJ1066" s="25"/>
      <c r="BK1066" s="25"/>
      <c r="BL1066" s="25"/>
      <c r="BM1066" s="25"/>
      <c r="BN1066" s="26"/>
      <c r="BO1066" s="26"/>
      <c r="BP1066" s="26"/>
      <c r="BQ1066" s="26"/>
      <c r="BR1066" s="26"/>
      <c r="BS1066" s="26"/>
      <c r="BT1066" s="26"/>
      <c r="BU1066" s="26"/>
      <c r="BV1066" s="26"/>
      <c r="BW1066" s="26"/>
      <c r="BX1066" s="26"/>
      <c r="BY1066" s="26"/>
      <c r="BZ1066" s="26"/>
      <c r="CA1066" s="26"/>
    </row>
    <row r="1067" spans="1:79" ht="15.75" hidden="1">
      <c r="A1067" s="109">
        <v>1.0000000000000002E-6</v>
      </c>
      <c r="B1067" s="110">
        <f t="shared" si="64"/>
        <v>1067</v>
      </c>
      <c r="C1067" s="111" t="str">
        <f>IF(C$1=[1]!T.in.A[[#This Row],[oo2]],1,"")</f>
        <v/>
      </c>
      <c r="D1067" s="112" t="str">
        <f>IF(Tab.o1[[#This Row],[a1]]=1,IF(SUM(C1067:C1068)=0,0,IF(SUM(C1066:C1067)=1,1,IF(SUM(C1066:C1068)&gt;1,D1066+1,0))),"")</f>
        <v/>
      </c>
      <c r="E1067" s="113" t="str">
        <f>IF(Tab.o1[[#This Row],[a1]]=1,[1]!T.in.A[[#This Row],[oo1]],"")</f>
        <v/>
      </c>
      <c r="F1067" s="113" t="str">
        <f>IF(Tab.o1[[#This Row],[a1]]=1,[1]!T.in.A[[#This Row],[pp1]],"")</f>
        <v/>
      </c>
      <c r="G1067" s="114" t="str">
        <f>IF(Tab.o1[[#This Row],[a1]]=1,G$2+IF(G$1=1,0,Tab.o1[[#This Row],[.x1]])+[1]!T.in.A[[#This Row],[oo3]],"")</f>
        <v/>
      </c>
      <c r="H1067" s="115" t="str">
        <f>IF(Tab.o1[[#This Row],[a1]]=1,IF(H$2=0,0,IF(G$1=1,0,Tab.o1[[#This Row],[.x1]])+[1]!T.in.A[[#This Row],[oo4]]),"")</f>
        <v/>
      </c>
      <c r="I1067" s="116" t="str">
        <f>IF(Tab.o1[[#This Row],[a1]]=1,IF(J$2=0,Tab.o1[[#This Row],[MED]],Tab.o1[[#This Row],[MOD]]),"")</f>
        <v/>
      </c>
      <c r="J1067" s="116" t="str">
        <f>IF(Tab.o1[[#This Row],[a1]]=1,((Tab.o1[[#This Row],[DIF_Target.]]-AVERAGE(Tab.o1[DIF_Target.]))/_xlfn.STDEV.P(Tab.o1[DIF_Target.])),"")</f>
        <v/>
      </c>
      <c r="K1067" s="117" t="str">
        <f>IF(Tab.o1[[#This Row],[a1]]=1,IF(J$2=0,Tab.o1[[#This Row],[MOD]]-Tab.o1[[#This Row],[B]],IF(J$2=1,0,-Tab.o1[[#This Row],[MED]])+Tab.o1[[#This Row],[B]]),"")</f>
        <v/>
      </c>
      <c r="L1067" s="117" t="str">
        <f ca="1">IF(Tab.o1[[#This Row],[DIF_Target]]=0,IF(L$2=0,Tab.o1[[#This Row],[DIF_Target]],AVERAGE(OFFSET(Tab.o1[[#This Row],[DIF_Target]],1,0,L$3,1)))/3,Tab.o1[[#This Row],[DIF_Target]])</f>
        <v/>
      </c>
      <c r="M1067" s="118" t="str">
        <f>IF(Tab.o1[[#This Row],[a1]]=1,NORMSDIST(Tab.o1[[#This Row],[Za]]),"")</f>
        <v/>
      </c>
      <c r="N1067" s="119" t="str">
        <f>IF(Tab.o1[[#This Row],[a1]]=1,((Tab.o1[[#This Row],[MedMod]]-AVERAGE(Tab.o1[MedMod]))/_xlfn.STDEV.P(Tab.o1[MedMod])*H$1205)+G$1205,"")</f>
        <v/>
      </c>
      <c r="O1067" s="141" t="str">
        <f>IF(Tab.o1[[#This Row],[a1]]=1,Tab.o1[[#This Row],[Zb]]*_xlfn.STDEV.P(Tab.o1[MedMod])+AVERAGE(Tab.o1[MedMod]),"")</f>
        <v/>
      </c>
      <c r="P1067" s="117" t="str">
        <f ca="1">IF(Tab.o1[[#This Row],[B]]=0,AVERAGE(OFFSET(Tab.o1[[#This Row],[B]],1,0,L$3,1)),Tab.o1[[#This Row],[B]])</f>
        <v/>
      </c>
      <c r="Q1067" s="121" t="str">
        <f>IF(Tab.o1[[#This Row],[a1]]=1,NORMSDIST(Tab.o1[[#This Row],[Zb]]),"")</f>
        <v/>
      </c>
      <c r="R1067" s="122" t="str">
        <f>IF(Tab.o1[[#This Row],[a1]]=1,((Tab.o1[[#This Row],[MedMod]]-AVERAGE(Tab.o1[MedMod]))/_xlfn.STDEV.P(Tab.o1[MedMod])*H$1203)+G$1203,"")</f>
        <v/>
      </c>
      <c r="S1067" s="122" t="str">
        <f>IF(Tab.o1[[#This Row],[a1]]=1,((Tab.o1[[#This Row],[MedMod]]-AVERAGE(Tab.o1[MedMod]))/_xlfn.STDEV.P(Tab.o1[MedMod])*H$1204)+G$1204,"")</f>
        <v/>
      </c>
      <c r="T1067" s="123" t="str">
        <f>IF(Tab.o1[[#This Row],[a1]]=1,Tab.o1[[#This Row],[Z-]]*_xlfn.STDEV.P(Tab.o1[B])+AVERAGE(Tab.o1[B]),"")</f>
        <v/>
      </c>
      <c r="U1067" s="123" t="str">
        <f>IF(Tab.o1[[#This Row],[a1]]=1,Tab.o1[[#This Row],[z+]]*_xlfn.STDEV.P(Tab.o1[B])+AVERAGE(Tab.o1[B]),"")</f>
        <v/>
      </c>
      <c r="V1067" s="124" t="str">
        <f>IF(Tab.o1[[#This Row],[a1]]=1,ABS((ABS(Tab.o1[[#This Row],[Red]]-Tab.o1[[#This Row],[Blue]]))),"")</f>
        <v/>
      </c>
      <c r="W1067" s="125" t="str">
        <f>IF(Tab.o1[[#This Row],[a1]]=1,IF(W$3=0,1,Tab.o1[[#This Row],[Amp.]]*1/_xlfn.MINIFS(Tab.o1[Amp.],Tab.o1[Amp.],"&lt;&gt;0")),"")</f>
        <v/>
      </c>
      <c r="X1067" s="126" t="str">
        <f>IF(Tab.o1[[#This Row],[a1]]=1,IF(ISNUMBER(Tab.o1[[#This Row],[i.]]),NORMDIST(Tab.o1[[#This Row],[Za]],0,1,FALSE)*Tab.o1[[#This Row],[i.]],AP$3),"")</f>
        <v/>
      </c>
      <c r="Y1067" s="126" t="str">
        <f>IF(Tab.o1[[#This Row],[a1]]=1,0.01+0.94*Tab.o1[[#This Row],[PDF]]/MAX(Tab.o1[PDF]),"")</f>
        <v/>
      </c>
      <c r="Z1067" s="126" t="str">
        <f>IF(Tab.o1[[#This Row],[a1]]=1,0.01+0.94*Tab.o1[[#This Row],[W1_PDF]]/MAX(Tab.o1[W1_PDF]),"")</f>
        <v/>
      </c>
      <c r="AA1067" s="118" t="str">
        <f>IF(Tab.o1[[#This Row],[a1]]=1,ABS([1]!T.in.A[[#This Row],[oo6]]),"")</f>
        <v/>
      </c>
      <c r="AB1067" s="127" t="str">
        <f>IF(Tab.o1[[#This Row],[a1]]=1,IF(AE$3=0,"",IF(AB$3=0,ABS([1]!T.in.A[[#This Row],[oo9]]),ABS(Tab.o1[[#This Row],[DIF_Target.]]*Tab.o1[[#This Row],[W1_PDF]]))),"")</f>
        <v/>
      </c>
      <c r="AC1067" s="127" t="str">
        <f>IF(G$1=1,"",IF(Tab.o1[[#This Row],[a1]]=1,Tab.o1[[#This Row],[Wr]]^2,""))</f>
        <v/>
      </c>
      <c r="AD1067" s="118" t="str">
        <f>IF(Tab.o1[[#This Row],[a1]]=1,IF(AE$3=0,"",Tab.o1[[#This Row],[Wr2]]/SUM(Tab.o1[Wr2])),"")</f>
        <v/>
      </c>
      <c r="AE1067" s="128" t="str">
        <f>IF(Tab.o1[[#This Row],[a1]]=1,[1]!T.in.A[[#This Row],[oo10]],"")</f>
        <v/>
      </c>
      <c r="AF1067" s="118" t="str">
        <f>IF(Tab.o1[[#This Row],[a1]]=1,ABS(Tab.o1[[#This Row],[DIF_Target.]]*Tab.o1[[#This Row],[PDF2]]*Tab.o1[[#This Row],[IN]]),"")</f>
        <v/>
      </c>
      <c r="AG1067" s="129" t="str">
        <f>IF(Tab.o1[[#This Row],[a1]]=1,Tab.o1[[#This Row],[rW]]^2,"")</f>
        <v/>
      </c>
      <c r="AH1067" s="130" t="str">
        <f>IF(Tab.o1[[#This Row],[a1]]=1,IF(AH$3=0,Tab.o1[[#This Row],[rW2]],0.01+0.94*Tab.o1[[#This Row],[rW2]]/SUM(Tab.o1[rW2])),"")</f>
        <v/>
      </c>
      <c r="AI1067" s="128" t="str">
        <f>IF(Tab.o1[[#This Row],[a1]]=1,1/Tab.o1[[#This Row],[PDF]],"")</f>
        <v/>
      </c>
      <c r="AJ1067" s="131" t="str">
        <f>IF(Tab.o1[[#This Row],[a1]]=1,[1]!T_AA[[#This Row],[IN'']]*[1]!T_AA[[#This Row],[Qde'']],"")</f>
        <v/>
      </c>
      <c r="AK1067" s="132" t="str">
        <f>IF(Tab.o1[[#This Row],[a1]]=1,IF(AK$1=1,Tab.o1[[#This Row],[MED]]+Tab.o1[[#This Row],[MOD]]-Tab.o1[[#This Row],[MED]],""),"")</f>
        <v/>
      </c>
      <c r="AL1067" s="133" t="str">
        <f>IF(Tab.o1[[#This Row],[a1]]=1,[1]!T.in.A[[#This Row],[oo16]],"")</f>
        <v/>
      </c>
      <c r="AM1067" s="133" t="str">
        <f>IF(Tab.o1[[#This Row],[a1]]=1,IF(AM$3=1,[1]!T.in.A[[#This Row],[Σo16]],""),"")</f>
        <v/>
      </c>
      <c r="AN1067" s="126" t="str">
        <f>IF(Tab.o1[[#This Row],[a1]]=1,[1]!T.in.A[[#This Row],[Σp5]],"")</f>
        <v/>
      </c>
      <c r="AO1067" s="126" t="str">
        <f>IF(Tab.o1[[#This Row],[a1]]=1,IF(AO$3=1,[1]!T.in.A[[#This Row],[Σp5]],""),"")</f>
        <v/>
      </c>
      <c r="AP1067" s="110" t="str">
        <f>IF(Tab.o1[[#This Row],[a1]]=1,IF(ISNUMBER(Tab.o1[[#This Row],[i.]]),NORMDIST(Tab.o1[[#This Row],[Za]],0,1,FALSE)*Tab.o1[[#This Row],[i.]],0),"")</f>
        <v/>
      </c>
      <c r="AQ1067" s="125" t="str">
        <f>IF(Tab.o1[[#This Row],[a1]]=1,ABS(Tab.o1[[#This Row],[MOD]]-AVERAGE(Tab.o1[MOD])),"")</f>
        <v/>
      </c>
      <c r="AR1067" s="134" t="str">
        <f>IF(Tab.o1[[#This Row],[a1]]=1,Tab.o1[[#This Row],[OBS]]/SUM(Tab.o1[OBS]),"")</f>
        <v/>
      </c>
      <c r="AS1067" s="135" t="str">
        <f>IF(ISNUMBER(Tab.o1[[#This Row],[a1]]),ROW()-4,"")</f>
        <v/>
      </c>
      <c r="AT1067" s="136" t="str">
        <f>Tab.o1[[#This Row],[MOD]]</f>
        <v/>
      </c>
      <c r="AU1067" s="137" t="str">
        <f t="shared" si="65"/>
        <v/>
      </c>
      <c r="AV1067" s="138" t="str">
        <f t="shared" si="66"/>
        <v/>
      </c>
      <c r="AW1067" s="138" t="str">
        <f t="shared" si="67"/>
        <v/>
      </c>
      <c r="AX1067" s="139" t="str">
        <f>[1]!T.in.A[[#This Row],[ID_T_manu]]</f>
        <v/>
      </c>
      <c r="AY1067" s="140" t="str">
        <f>IF(ISNUMBER(Tab.o1[[#This Row],[a1]]),IF(AND(Tab.o1[[#This Row],[a1]]=1,Tab.o1[[#This Row],[b1]]&lt;=AY$4),#REF!,AY1066),"")</f>
        <v/>
      </c>
      <c r="AZ1067" s="25"/>
      <c r="BA1067" s="25"/>
      <c r="BB1067" s="25"/>
      <c r="BC1067" s="25"/>
      <c r="BD1067" s="25"/>
      <c r="BE1067" s="25"/>
      <c r="BF1067" s="25"/>
      <c r="BG1067" s="25"/>
      <c r="BH1067" s="25"/>
      <c r="BI1067" s="25"/>
      <c r="BJ1067" s="25"/>
      <c r="BK1067" s="25"/>
      <c r="BL1067" s="25"/>
      <c r="BM1067" s="25"/>
      <c r="BN1067" s="26"/>
      <c r="BO1067" s="26"/>
      <c r="BP1067" s="26"/>
      <c r="BQ1067" s="26"/>
      <c r="BR1067" s="26"/>
      <c r="BS1067" s="26"/>
      <c r="BT1067" s="26"/>
      <c r="BU1067" s="26"/>
      <c r="BV1067" s="26"/>
      <c r="BW1067" s="26"/>
      <c r="BX1067" s="26"/>
      <c r="BY1067" s="26"/>
      <c r="BZ1067" s="26"/>
      <c r="CA1067" s="26"/>
    </row>
    <row r="1068" spans="1:79" ht="15.75" hidden="1">
      <c r="A1068" s="109">
        <v>1.0000000000000002E-6</v>
      </c>
      <c r="B1068" s="110">
        <f t="shared" si="64"/>
        <v>1068</v>
      </c>
      <c r="C1068" s="111" t="str">
        <f>IF(C$1=[1]!T.in.A[[#This Row],[oo2]],1,"")</f>
        <v/>
      </c>
      <c r="D1068" s="112" t="str">
        <f>IF(Tab.o1[[#This Row],[a1]]=1,IF(SUM(C1068:C1069)=0,0,IF(SUM(C1067:C1068)=1,1,IF(SUM(C1067:C1069)&gt;1,D1067+1,0))),"")</f>
        <v/>
      </c>
      <c r="E1068" s="113" t="str">
        <f>IF(Tab.o1[[#This Row],[a1]]=1,[1]!T.in.A[[#This Row],[oo1]],"")</f>
        <v/>
      </c>
      <c r="F1068" s="113" t="str">
        <f>IF(Tab.o1[[#This Row],[a1]]=1,[1]!T.in.A[[#This Row],[pp1]],"")</f>
        <v/>
      </c>
      <c r="G1068" s="114" t="str">
        <f>IF(Tab.o1[[#This Row],[a1]]=1,G$2+IF(G$1=1,0,Tab.o1[[#This Row],[.x1]])+[1]!T.in.A[[#This Row],[oo3]],"")</f>
        <v/>
      </c>
      <c r="H1068" s="115" t="str">
        <f>IF(Tab.o1[[#This Row],[a1]]=1,IF(H$2=0,0,IF(G$1=1,0,Tab.o1[[#This Row],[.x1]])+[1]!T.in.A[[#This Row],[oo4]]),"")</f>
        <v/>
      </c>
      <c r="I1068" s="116" t="str">
        <f>IF(Tab.o1[[#This Row],[a1]]=1,IF(J$2=0,Tab.o1[[#This Row],[MED]],Tab.o1[[#This Row],[MOD]]),"")</f>
        <v/>
      </c>
      <c r="J1068" s="116" t="str">
        <f>IF(Tab.o1[[#This Row],[a1]]=1,((Tab.o1[[#This Row],[DIF_Target.]]-AVERAGE(Tab.o1[DIF_Target.]))/_xlfn.STDEV.P(Tab.o1[DIF_Target.])),"")</f>
        <v/>
      </c>
      <c r="K1068" s="117" t="str">
        <f>IF(Tab.o1[[#This Row],[a1]]=1,IF(J$2=0,Tab.o1[[#This Row],[MOD]]-Tab.o1[[#This Row],[B]],IF(J$2=1,0,-Tab.o1[[#This Row],[MED]])+Tab.o1[[#This Row],[B]]),"")</f>
        <v/>
      </c>
      <c r="L1068" s="117" t="str">
        <f ca="1">IF(Tab.o1[[#This Row],[DIF_Target]]=0,IF(L$2=0,Tab.o1[[#This Row],[DIF_Target]],AVERAGE(OFFSET(Tab.o1[[#This Row],[DIF_Target]],1,0,L$3,1)))/3,Tab.o1[[#This Row],[DIF_Target]])</f>
        <v/>
      </c>
      <c r="M1068" s="118" t="str">
        <f>IF(Tab.o1[[#This Row],[a1]]=1,NORMSDIST(Tab.o1[[#This Row],[Za]]),"")</f>
        <v/>
      </c>
      <c r="N1068" s="119" t="str">
        <f>IF(Tab.o1[[#This Row],[a1]]=1,((Tab.o1[[#This Row],[MedMod]]-AVERAGE(Tab.o1[MedMod]))/_xlfn.STDEV.P(Tab.o1[MedMod])*H$1205)+G$1205,"")</f>
        <v/>
      </c>
      <c r="O1068" s="141" t="str">
        <f>IF(Tab.o1[[#This Row],[a1]]=1,Tab.o1[[#This Row],[Zb]]*_xlfn.STDEV.P(Tab.o1[MedMod])+AVERAGE(Tab.o1[MedMod]),"")</f>
        <v/>
      </c>
      <c r="P1068" s="117" t="str">
        <f ca="1">IF(Tab.o1[[#This Row],[B]]=0,AVERAGE(OFFSET(Tab.o1[[#This Row],[B]],1,0,L$3,1)),Tab.o1[[#This Row],[B]])</f>
        <v/>
      </c>
      <c r="Q1068" s="121" t="str">
        <f>IF(Tab.o1[[#This Row],[a1]]=1,NORMSDIST(Tab.o1[[#This Row],[Zb]]),"")</f>
        <v/>
      </c>
      <c r="R1068" s="122" t="str">
        <f>IF(Tab.o1[[#This Row],[a1]]=1,((Tab.o1[[#This Row],[MedMod]]-AVERAGE(Tab.o1[MedMod]))/_xlfn.STDEV.P(Tab.o1[MedMod])*H$1203)+G$1203,"")</f>
        <v/>
      </c>
      <c r="S1068" s="122" t="str">
        <f>IF(Tab.o1[[#This Row],[a1]]=1,((Tab.o1[[#This Row],[MedMod]]-AVERAGE(Tab.o1[MedMod]))/_xlfn.STDEV.P(Tab.o1[MedMod])*H$1204)+G$1204,"")</f>
        <v/>
      </c>
      <c r="T1068" s="123" t="str">
        <f>IF(Tab.o1[[#This Row],[a1]]=1,Tab.o1[[#This Row],[Z-]]*_xlfn.STDEV.P(Tab.o1[B])+AVERAGE(Tab.o1[B]),"")</f>
        <v/>
      </c>
      <c r="U1068" s="123" t="str">
        <f>IF(Tab.o1[[#This Row],[a1]]=1,Tab.o1[[#This Row],[z+]]*_xlfn.STDEV.P(Tab.o1[B])+AVERAGE(Tab.o1[B]),"")</f>
        <v/>
      </c>
      <c r="V1068" s="124" t="str">
        <f>IF(Tab.o1[[#This Row],[a1]]=1,ABS((ABS(Tab.o1[[#This Row],[Red]]-Tab.o1[[#This Row],[Blue]]))),"")</f>
        <v/>
      </c>
      <c r="W1068" s="125" t="str">
        <f>IF(Tab.o1[[#This Row],[a1]]=1,IF(W$3=0,1,Tab.o1[[#This Row],[Amp.]]*1/_xlfn.MINIFS(Tab.o1[Amp.],Tab.o1[Amp.],"&lt;&gt;0")),"")</f>
        <v/>
      </c>
      <c r="X1068" s="126" t="str">
        <f>IF(Tab.o1[[#This Row],[a1]]=1,IF(ISNUMBER(Tab.o1[[#This Row],[i.]]),NORMDIST(Tab.o1[[#This Row],[Za]],0,1,FALSE)*Tab.o1[[#This Row],[i.]],AP$3),"")</f>
        <v/>
      </c>
      <c r="Y1068" s="126" t="str">
        <f>IF(Tab.o1[[#This Row],[a1]]=1,0.01+0.94*Tab.o1[[#This Row],[PDF]]/MAX(Tab.o1[PDF]),"")</f>
        <v/>
      </c>
      <c r="Z1068" s="126" t="str">
        <f>IF(Tab.o1[[#This Row],[a1]]=1,0.01+0.94*Tab.o1[[#This Row],[W1_PDF]]/MAX(Tab.o1[W1_PDF]),"")</f>
        <v/>
      </c>
      <c r="AA1068" s="118" t="str">
        <f>IF(Tab.o1[[#This Row],[a1]]=1,ABS([1]!T.in.A[[#This Row],[oo6]]),"")</f>
        <v/>
      </c>
      <c r="AB1068" s="127" t="str">
        <f>IF(Tab.o1[[#This Row],[a1]]=1,IF(AE$3=0,"",IF(AB$3=0,ABS([1]!T.in.A[[#This Row],[oo9]]),ABS(Tab.o1[[#This Row],[DIF_Target.]]*Tab.o1[[#This Row],[W1_PDF]]))),"")</f>
        <v/>
      </c>
      <c r="AC1068" s="127" t="str">
        <f>IF(G$1=1,"",IF(Tab.o1[[#This Row],[a1]]=1,Tab.o1[[#This Row],[Wr]]^2,""))</f>
        <v/>
      </c>
      <c r="AD1068" s="118" t="str">
        <f>IF(Tab.o1[[#This Row],[a1]]=1,IF(AE$3=0,"",Tab.o1[[#This Row],[Wr2]]/SUM(Tab.o1[Wr2])),"")</f>
        <v/>
      </c>
      <c r="AE1068" s="128" t="str">
        <f>IF(Tab.o1[[#This Row],[a1]]=1,[1]!T.in.A[[#This Row],[oo10]],"")</f>
        <v/>
      </c>
      <c r="AF1068" s="118" t="str">
        <f>IF(Tab.o1[[#This Row],[a1]]=1,ABS(Tab.o1[[#This Row],[DIF_Target.]]*Tab.o1[[#This Row],[PDF2]]*Tab.o1[[#This Row],[IN]]),"")</f>
        <v/>
      </c>
      <c r="AG1068" s="129" t="str">
        <f>IF(Tab.o1[[#This Row],[a1]]=1,Tab.o1[[#This Row],[rW]]^2,"")</f>
        <v/>
      </c>
      <c r="AH1068" s="130" t="str">
        <f>IF(Tab.o1[[#This Row],[a1]]=1,IF(AH$3=0,Tab.o1[[#This Row],[rW2]],0.01+0.94*Tab.o1[[#This Row],[rW2]]/SUM(Tab.o1[rW2])),"")</f>
        <v/>
      </c>
      <c r="AI1068" s="128" t="str">
        <f>IF(Tab.o1[[#This Row],[a1]]=1,1/Tab.o1[[#This Row],[PDF]],"")</f>
        <v/>
      </c>
      <c r="AJ1068" s="131" t="str">
        <f>IF(Tab.o1[[#This Row],[a1]]=1,[1]!T_AA[[#This Row],[IN'']]*[1]!T_AA[[#This Row],[Qde'']],"")</f>
        <v/>
      </c>
      <c r="AK1068" s="132" t="str">
        <f>IF(Tab.o1[[#This Row],[a1]]=1,IF(AK$1=1,Tab.o1[[#This Row],[MED]]+Tab.o1[[#This Row],[MOD]]-Tab.o1[[#This Row],[MED]],""),"")</f>
        <v/>
      </c>
      <c r="AL1068" s="133" t="str">
        <f>IF(Tab.o1[[#This Row],[a1]]=1,[1]!T.in.A[[#This Row],[oo16]],"")</f>
        <v/>
      </c>
      <c r="AM1068" s="133" t="str">
        <f>IF(Tab.o1[[#This Row],[a1]]=1,IF(AM$3=1,[1]!T.in.A[[#This Row],[Σo16]],""),"")</f>
        <v/>
      </c>
      <c r="AN1068" s="126" t="str">
        <f>IF(Tab.o1[[#This Row],[a1]]=1,[1]!T.in.A[[#This Row],[Σp5]],"")</f>
        <v/>
      </c>
      <c r="AO1068" s="126" t="str">
        <f>IF(Tab.o1[[#This Row],[a1]]=1,IF(AO$3=1,[1]!T.in.A[[#This Row],[Σp5]],""),"")</f>
        <v/>
      </c>
      <c r="AP1068" s="110" t="str">
        <f>IF(Tab.o1[[#This Row],[a1]]=1,IF(ISNUMBER(Tab.o1[[#This Row],[i.]]),NORMDIST(Tab.o1[[#This Row],[Za]],0,1,FALSE)*Tab.o1[[#This Row],[i.]],0),"")</f>
        <v/>
      </c>
      <c r="AQ1068" s="125" t="str">
        <f>IF(Tab.o1[[#This Row],[a1]]=1,ABS(Tab.o1[[#This Row],[MOD]]-AVERAGE(Tab.o1[MOD])),"")</f>
        <v/>
      </c>
      <c r="AR1068" s="134" t="str">
        <f>IF(Tab.o1[[#This Row],[a1]]=1,Tab.o1[[#This Row],[OBS]]/SUM(Tab.o1[OBS]),"")</f>
        <v/>
      </c>
      <c r="AS1068" s="135" t="str">
        <f>IF(ISNUMBER(Tab.o1[[#This Row],[a1]]),ROW()-4,"")</f>
        <v/>
      </c>
      <c r="AT1068" s="136" t="str">
        <f>Tab.o1[[#This Row],[MOD]]</f>
        <v/>
      </c>
      <c r="AU1068" s="137" t="str">
        <f t="shared" si="65"/>
        <v/>
      </c>
      <c r="AV1068" s="138" t="str">
        <f t="shared" si="66"/>
        <v/>
      </c>
      <c r="AW1068" s="138" t="str">
        <f t="shared" si="67"/>
        <v/>
      </c>
      <c r="AX1068" s="139" t="str">
        <f>[1]!T.in.A[[#This Row],[ID_T_manu]]</f>
        <v/>
      </c>
      <c r="AY1068" s="140" t="str">
        <f>IF(ISNUMBER(Tab.o1[[#This Row],[a1]]),IF(AND(Tab.o1[[#This Row],[a1]]=1,Tab.o1[[#This Row],[b1]]&lt;=AY$4),#REF!,AY1067),"")</f>
        <v/>
      </c>
      <c r="AZ1068" s="25"/>
      <c r="BA1068" s="25"/>
      <c r="BB1068" s="25"/>
      <c r="BC1068" s="25"/>
      <c r="BD1068" s="25"/>
      <c r="BE1068" s="25"/>
      <c r="BF1068" s="25"/>
      <c r="BG1068" s="25"/>
      <c r="BH1068" s="25"/>
      <c r="BI1068" s="25"/>
      <c r="BJ1068" s="25"/>
      <c r="BK1068" s="25"/>
      <c r="BL1068" s="25"/>
      <c r="BM1068" s="25"/>
      <c r="BN1068" s="26"/>
      <c r="BO1068" s="26"/>
      <c r="BP1068" s="26"/>
      <c r="BQ1068" s="26"/>
      <c r="BR1068" s="26"/>
      <c r="BS1068" s="26"/>
      <c r="BT1068" s="26"/>
      <c r="BU1068" s="26"/>
      <c r="BV1068" s="26"/>
      <c r="BW1068" s="26"/>
      <c r="BX1068" s="26"/>
      <c r="BY1068" s="26"/>
      <c r="BZ1068" s="26"/>
      <c r="CA1068" s="26"/>
    </row>
    <row r="1069" spans="1:79" ht="15.75" hidden="1">
      <c r="A1069" s="109">
        <v>2.0000000000000003E-6</v>
      </c>
      <c r="B1069" s="110">
        <f t="shared" si="64"/>
        <v>1069</v>
      </c>
      <c r="C1069" s="111" t="str">
        <f>IF(C$1=[1]!T.in.A[[#This Row],[oo2]],1,"")</f>
        <v/>
      </c>
      <c r="D1069" s="112" t="str">
        <f>IF(Tab.o1[[#This Row],[a1]]=1,IF(SUM(C1069:C1070)=0,0,IF(SUM(C1068:C1069)=1,1,IF(SUM(C1068:C1070)&gt;1,D1068+1,0))),"")</f>
        <v/>
      </c>
      <c r="E1069" s="113" t="str">
        <f>IF(Tab.o1[[#This Row],[a1]]=1,[1]!T.in.A[[#This Row],[oo1]],"")</f>
        <v/>
      </c>
      <c r="F1069" s="113" t="str">
        <f>IF(Tab.o1[[#This Row],[a1]]=1,[1]!T.in.A[[#This Row],[pp1]],"")</f>
        <v/>
      </c>
      <c r="G1069" s="114" t="str">
        <f>IF(Tab.o1[[#This Row],[a1]]=1,G$2+IF(G$1=1,0,Tab.o1[[#This Row],[.x1]])+[1]!T.in.A[[#This Row],[oo3]],"")</f>
        <v/>
      </c>
      <c r="H1069" s="115" t="str">
        <f>IF(Tab.o1[[#This Row],[a1]]=1,IF(H$2=0,0,IF(G$1=1,0,Tab.o1[[#This Row],[.x1]])+[1]!T.in.A[[#This Row],[oo4]]),"")</f>
        <v/>
      </c>
      <c r="I1069" s="116" t="str">
        <f>IF(Tab.o1[[#This Row],[a1]]=1,IF(J$2=0,Tab.o1[[#This Row],[MED]],Tab.o1[[#This Row],[MOD]]),"")</f>
        <v/>
      </c>
      <c r="J1069" s="116" t="str">
        <f>IF(Tab.o1[[#This Row],[a1]]=1,((Tab.o1[[#This Row],[DIF_Target.]]-AVERAGE(Tab.o1[DIF_Target.]))/_xlfn.STDEV.P(Tab.o1[DIF_Target.])),"")</f>
        <v/>
      </c>
      <c r="K1069" s="117" t="str">
        <f>IF(Tab.o1[[#This Row],[a1]]=1,IF(J$2=0,Tab.o1[[#This Row],[MOD]]-Tab.o1[[#This Row],[B]],IF(J$2=1,0,-Tab.o1[[#This Row],[MED]])+Tab.o1[[#This Row],[B]]),"")</f>
        <v/>
      </c>
      <c r="L1069" s="117" t="str">
        <f ca="1">IF(Tab.o1[[#This Row],[DIF_Target]]=0,IF(L$2=0,Tab.o1[[#This Row],[DIF_Target]],AVERAGE(OFFSET(Tab.o1[[#This Row],[DIF_Target]],1,0,L$3,1)))/3,Tab.o1[[#This Row],[DIF_Target]])</f>
        <v/>
      </c>
      <c r="M1069" s="118" t="str">
        <f>IF(Tab.o1[[#This Row],[a1]]=1,NORMSDIST(Tab.o1[[#This Row],[Za]]),"")</f>
        <v/>
      </c>
      <c r="N1069" s="119" t="str">
        <f>IF(Tab.o1[[#This Row],[a1]]=1,((Tab.o1[[#This Row],[MedMod]]-AVERAGE(Tab.o1[MedMod]))/_xlfn.STDEV.P(Tab.o1[MedMod])*H$1205)+G$1205,"")</f>
        <v/>
      </c>
      <c r="O1069" s="141" t="str">
        <f>IF(Tab.o1[[#This Row],[a1]]=1,Tab.o1[[#This Row],[Zb]]*_xlfn.STDEV.P(Tab.o1[MedMod])+AVERAGE(Tab.o1[MedMod]),"")</f>
        <v/>
      </c>
      <c r="P1069" s="117" t="str">
        <f ca="1">IF(Tab.o1[[#This Row],[B]]=0,AVERAGE(OFFSET(Tab.o1[[#This Row],[B]],1,0,L$3,1)),Tab.o1[[#This Row],[B]])</f>
        <v/>
      </c>
      <c r="Q1069" s="121" t="str">
        <f>IF(Tab.o1[[#This Row],[a1]]=1,NORMSDIST(Tab.o1[[#This Row],[Zb]]),"")</f>
        <v/>
      </c>
      <c r="R1069" s="122" t="str">
        <f>IF(Tab.o1[[#This Row],[a1]]=1,((Tab.o1[[#This Row],[MedMod]]-AVERAGE(Tab.o1[MedMod]))/_xlfn.STDEV.P(Tab.o1[MedMod])*H$1203)+G$1203,"")</f>
        <v/>
      </c>
      <c r="S1069" s="122" t="str">
        <f>IF(Tab.o1[[#This Row],[a1]]=1,((Tab.o1[[#This Row],[MedMod]]-AVERAGE(Tab.o1[MedMod]))/_xlfn.STDEV.P(Tab.o1[MedMod])*H$1204)+G$1204,"")</f>
        <v/>
      </c>
      <c r="T1069" s="123" t="str">
        <f>IF(Tab.o1[[#This Row],[a1]]=1,Tab.o1[[#This Row],[Z-]]*_xlfn.STDEV.P(Tab.o1[B])+AVERAGE(Tab.o1[B]),"")</f>
        <v/>
      </c>
      <c r="U1069" s="123" t="str">
        <f>IF(Tab.o1[[#This Row],[a1]]=1,Tab.o1[[#This Row],[z+]]*_xlfn.STDEV.P(Tab.o1[B])+AVERAGE(Tab.o1[B]),"")</f>
        <v/>
      </c>
      <c r="V1069" s="124" t="str">
        <f>IF(Tab.o1[[#This Row],[a1]]=1,ABS((ABS(Tab.o1[[#This Row],[Red]]-Tab.o1[[#This Row],[Blue]]))),"")</f>
        <v/>
      </c>
      <c r="W1069" s="125" t="str">
        <f>IF(Tab.o1[[#This Row],[a1]]=1,IF(W$3=0,1,Tab.o1[[#This Row],[Amp.]]*1/_xlfn.MINIFS(Tab.o1[Amp.],Tab.o1[Amp.],"&lt;&gt;0")),"")</f>
        <v/>
      </c>
      <c r="X1069" s="126" t="str">
        <f>IF(Tab.o1[[#This Row],[a1]]=1,IF(ISNUMBER(Tab.o1[[#This Row],[i.]]),NORMDIST(Tab.o1[[#This Row],[Za]],0,1,FALSE)*Tab.o1[[#This Row],[i.]],AP$3),"")</f>
        <v/>
      </c>
      <c r="Y1069" s="126" t="str">
        <f>IF(Tab.o1[[#This Row],[a1]]=1,0.01+0.94*Tab.o1[[#This Row],[PDF]]/MAX(Tab.o1[PDF]),"")</f>
        <v/>
      </c>
      <c r="Z1069" s="126" t="str">
        <f>IF(Tab.o1[[#This Row],[a1]]=1,0.01+0.94*Tab.o1[[#This Row],[W1_PDF]]/MAX(Tab.o1[W1_PDF]),"")</f>
        <v/>
      </c>
      <c r="AA1069" s="118" t="str">
        <f>IF(Tab.o1[[#This Row],[a1]]=1,ABS([1]!T.in.A[[#This Row],[oo6]]),"")</f>
        <v/>
      </c>
      <c r="AB1069" s="127" t="str">
        <f>IF(Tab.o1[[#This Row],[a1]]=1,IF(AE$3=0,"",IF(AB$3=0,ABS([1]!T.in.A[[#This Row],[oo9]]),ABS(Tab.o1[[#This Row],[DIF_Target.]]*Tab.o1[[#This Row],[W1_PDF]]))),"")</f>
        <v/>
      </c>
      <c r="AC1069" s="127" t="str">
        <f>IF(G$1=1,"",IF(Tab.o1[[#This Row],[a1]]=1,Tab.o1[[#This Row],[Wr]]^2,""))</f>
        <v/>
      </c>
      <c r="AD1069" s="118" t="str">
        <f>IF(Tab.o1[[#This Row],[a1]]=1,IF(AE$3=0,"",Tab.o1[[#This Row],[Wr2]]/SUM(Tab.o1[Wr2])),"")</f>
        <v/>
      </c>
      <c r="AE1069" s="128" t="str">
        <f>IF(Tab.o1[[#This Row],[a1]]=1,[1]!T.in.A[[#This Row],[oo10]],"")</f>
        <v/>
      </c>
      <c r="AF1069" s="118" t="str">
        <f>IF(Tab.o1[[#This Row],[a1]]=1,ABS(Tab.o1[[#This Row],[DIF_Target.]]*Tab.o1[[#This Row],[PDF2]]*Tab.o1[[#This Row],[IN]]),"")</f>
        <v/>
      </c>
      <c r="AG1069" s="129" t="str">
        <f>IF(Tab.o1[[#This Row],[a1]]=1,Tab.o1[[#This Row],[rW]]^2,"")</f>
        <v/>
      </c>
      <c r="AH1069" s="130" t="str">
        <f>IF(Tab.o1[[#This Row],[a1]]=1,IF(AH$3=0,Tab.o1[[#This Row],[rW2]],0.01+0.94*Tab.o1[[#This Row],[rW2]]/SUM(Tab.o1[rW2])),"")</f>
        <v/>
      </c>
      <c r="AI1069" s="128" t="str">
        <f>IF(Tab.o1[[#This Row],[a1]]=1,1/Tab.o1[[#This Row],[PDF]],"")</f>
        <v/>
      </c>
      <c r="AJ1069" s="131" t="str">
        <f>IF(Tab.o1[[#This Row],[a1]]=1,[1]!T_AA[[#This Row],[IN'']]*[1]!T_AA[[#This Row],[Qde'']],"")</f>
        <v/>
      </c>
      <c r="AK1069" s="132" t="str">
        <f>IF(Tab.o1[[#This Row],[a1]]=1,IF(AK$1=1,Tab.o1[[#This Row],[MED]]+Tab.o1[[#This Row],[MOD]]-Tab.o1[[#This Row],[MED]],""),"")</f>
        <v/>
      </c>
      <c r="AL1069" s="133" t="str">
        <f>IF(Tab.o1[[#This Row],[a1]]=1,[1]!T.in.A[[#This Row],[oo16]],"")</f>
        <v/>
      </c>
      <c r="AM1069" s="133" t="str">
        <f>IF(Tab.o1[[#This Row],[a1]]=1,IF(AM$3=1,[1]!T.in.A[[#This Row],[Σo16]],""),"")</f>
        <v/>
      </c>
      <c r="AN1069" s="126" t="str">
        <f>IF(Tab.o1[[#This Row],[a1]]=1,[1]!T.in.A[[#This Row],[Σp5]],"")</f>
        <v/>
      </c>
      <c r="AO1069" s="126" t="str">
        <f>IF(Tab.o1[[#This Row],[a1]]=1,IF(AO$3=1,[1]!T.in.A[[#This Row],[Σp5]],""),"")</f>
        <v/>
      </c>
      <c r="AP1069" s="110" t="str">
        <f>IF(Tab.o1[[#This Row],[a1]]=1,IF(ISNUMBER(Tab.o1[[#This Row],[i.]]),NORMDIST(Tab.o1[[#This Row],[Za]],0,1,FALSE)*Tab.o1[[#This Row],[i.]],0),"")</f>
        <v/>
      </c>
      <c r="AQ1069" s="125" t="str">
        <f>IF(Tab.o1[[#This Row],[a1]]=1,ABS(Tab.o1[[#This Row],[MOD]]-AVERAGE(Tab.o1[MOD])),"")</f>
        <v/>
      </c>
      <c r="AR1069" s="134" t="str">
        <f>IF(Tab.o1[[#This Row],[a1]]=1,Tab.o1[[#This Row],[OBS]]/SUM(Tab.o1[OBS]),"")</f>
        <v/>
      </c>
      <c r="AS1069" s="135" t="str">
        <f>IF(ISNUMBER(Tab.o1[[#This Row],[a1]]),ROW()-4,"")</f>
        <v/>
      </c>
      <c r="AT1069" s="136" t="str">
        <f>Tab.o1[[#This Row],[MOD]]</f>
        <v/>
      </c>
      <c r="AU1069" s="137" t="str">
        <f t="shared" si="65"/>
        <v/>
      </c>
      <c r="AV1069" s="138" t="str">
        <f t="shared" si="66"/>
        <v/>
      </c>
      <c r="AW1069" s="138" t="str">
        <f t="shared" si="67"/>
        <v/>
      </c>
      <c r="AX1069" s="139" t="str">
        <f>[1]!T.in.A[[#This Row],[ID_T_manu]]</f>
        <v/>
      </c>
      <c r="AY1069" s="140" t="str">
        <f>IF(ISNUMBER(Tab.o1[[#This Row],[a1]]),IF(AND(Tab.o1[[#This Row],[a1]]=1,Tab.o1[[#This Row],[b1]]&lt;=AY$4),#REF!,AY1068),"")</f>
        <v/>
      </c>
      <c r="AZ1069" s="25"/>
      <c r="BA1069" s="25"/>
      <c r="BB1069" s="25"/>
      <c r="BC1069" s="25"/>
      <c r="BD1069" s="25"/>
      <c r="BE1069" s="25"/>
      <c r="BF1069" s="25"/>
      <c r="BG1069" s="25"/>
      <c r="BH1069" s="25"/>
      <c r="BI1069" s="25"/>
      <c r="BJ1069" s="25"/>
      <c r="BK1069" s="25"/>
      <c r="BL1069" s="25"/>
      <c r="BM1069" s="25"/>
      <c r="BN1069" s="26"/>
      <c r="BO1069" s="26"/>
      <c r="BP1069" s="26"/>
      <c r="BQ1069" s="26"/>
      <c r="BR1069" s="26"/>
      <c r="BS1069" s="26"/>
      <c r="BT1069" s="26"/>
      <c r="BU1069" s="26"/>
      <c r="BV1069" s="26"/>
      <c r="BW1069" s="26"/>
      <c r="BX1069" s="26"/>
      <c r="BY1069" s="26"/>
      <c r="BZ1069" s="26"/>
      <c r="CA1069" s="26"/>
    </row>
    <row r="1070" spans="1:79" ht="15.75" hidden="1">
      <c r="A1070" s="109">
        <v>6.9999999999999999E-6</v>
      </c>
      <c r="B1070" s="110">
        <f t="shared" si="64"/>
        <v>1070</v>
      </c>
      <c r="C1070" s="111" t="str">
        <f>IF(C$1=[1]!T.in.A[[#This Row],[oo2]],1,"")</f>
        <v/>
      </c>
      <c r="D1070" s="112" t="str">
        <f>IF(Tab.o1[[#This Row],[a1]]=1,IF(SUM(C1070:C1071)=0,0,IF(SUM(C1069:C1070)=1,1,IF(SUM(C1069:C1071)&gt;1,D1069+1,0))),"")</f>
        <v/>
      </c>
      <c r="E1070" s="113" t="str">
        <f>IF(Tab.o1[[#This Row],[a1]]=1,[1]!T.in.A[[#This Row],[oo1]],"")</f>
        <v/>
      </c>
      <c r="F1070" s="113" t="str">
        <f>IF(Tab.o1[[#This Row],[a1]]=1,[1]!T.in.A[[#This Row],[pp1]],"")</f>
        <v/>
      </c>
      <c r="G1070" s="114" t="str">
        <f>IF(Tab.o1[[#This Row],[a1]]=1,G$2+IF(G$1=1,0,Tab.o1[[#This Row],[.x1]])+[1]!T.in.A[[#This Row],[oo3]],"")</f>
        <v/>
      </c>
      <c r="H1070" s="115" t="str">
        <f>IF(Tab.o1[[#This Row],[a1]]=1,IF(H$2=0,0,IF(G$1=1,0,Tab.o1[[#This Row],[.x1]])+[1]!T.in.A[[#This Row],[oo4]]),"")</f>
        <v/>
      </c>
      <c r="I1070" s="116" t="str">
        <f>IF(Tab.o1[[#This Row],[a1]]=1,IF(J$2=0,Tab.o1[[#This Row],[MED]],Tab.o1[[#This Row],[MOD]]),"")</f>
        <v/>
      </c>
      <c r="J1070" s="116" t="str">
        <f>IF(Tab.o1[[#This Row],[a1]]=1,((Tab.o1[[#This Row],[DIF_Target.]]-AVERAGE(Tab.o1[DIF_Target.]))/_xlfn.STDEV.P(Tab.o1[DIF_Target.])),"")</f>
        <v/>
      </c>
      <c r="K1070" s="117" t="str">
        <f>IF(Tab.o1[[#This Row],[a1]]=1,IF(J$2=0,Tab.o1[[#This Row],[MOD]]-Tab.o1[[#This Row],[B]],IF(J$2=1,0,-Tab.o1[[#This Row],[MED]])+Tab.o1[[#This Row],[B]]),"")</f>
        <v/>
      </c>
      <c r="L1070" s="117" t="str">
        <f ca="1">IF(Tab.o1[[#This Row],[DIF_Target]]=0,IF(L$2=0,Tab.o1[[#This Row],[DIF_Target]],AVERAGE(OFFSET(Tab.o1[[#This Row],[DIF_Target]],1,0,L$3,1)))/3,Tab.o1[[#This Row],[DIF_Target]])</f>
        <v/>
      </c>
      <c r="M1070" s="118" t="str">
        <f>IF(Tab.o1[[#This Row],[a1]]=1,NORMSDIST(Tab.o1[[#This Row],[Za]]),"")</f>
        <v/>
      </c>
      <c r="N1070" s="119" t="str">
        <f>IF(Tab.o1[[#This Row],[a1]]=1,((Tab.o1[[#This Row],[MedMod]]-AVERAGE(Tab.o1[MedMod]))/_xlfn.STDEV.P(Tab.o1[MedMod])*H$1205)+G$1205,"")</f>
        <v/>
      </c>
      <c r="O1070" s="141" t="str">
        <f>IF(Tab.o1[[#This Row],[a1]]=1,Tab.o1[[#This Row],[Zb]]*_xlfn.STDEV.P(Tab.o1[MedMod])+AVERAGE(Tab.o1[MedMod]),"")</f>
        <v/>
      </c>
      <c r="P1070" s="117" t="str">
        <f ca="1">IF(Tab.o1[[#This Row],[B]]=0,AVERAGE(OFFSET(Tab.o1[[#This Row],[B]],1,0,L$3,1)),Tab.o1[[#This Row],[B]])</f>
        <v/>
      </c>
      <c r="Q1070" s="121" t="str">
        <f>IF(Tab.o1[[#This Row],[a1]]=1,NORMSDIST(Tab.o1[[#This Row],[Zb]]),"")</f>
        <v/>
      </c>
      <c r="R1070" s="122" t="str">
        <f>IF(Tab.o1[[#This Row],[a1]]=1,((Tab.o1[[#This Row],[MedMod]]-AVERAGE(Tab.o1[MedMod]))/_xlfn.STDEV.P(Tab.o1[MedMod])*H$1203)+G$1203,"")</f>
        <v/>
      </c>
      <c r="S1070" s="122" t="str">
        <f>IF(Tab.o1[[#This Row],[a1]]=1,((Tab.o1[[#This Row],[MedMod]]-AVERAGE(Tab.o1[MedMod]))/_xlfn.STDEV.P(Tab.o1[MedMod])*H$1204)+G$1204,"")</f>
        <v/>
      </c>
      <c r="T1070" s="123" t="str">
        <f>IF(Tab.o1[[#This Row],[a1]]=1,Tab.o1[[#This Row],[Z-]]*_xlfn.STDEV.P(Tab.o1[B])+AVERAGE(Tab.o1[B]),"")</f>
        <v/>
      </c>
      <c r="U1070" s="123" t="str">
        <f>IF(Tab.o1[[#This Row],[a1]]=1,Tab.o1[[#This Row],[z+]]*_xlfn.STDEV.P(Tab.o1[B])+AVERAGE(Tab.o1[B]),"")</f>
        <v/>
      </c>
      <c r="V1070" s="124" t="str">
        <f>IF(Tab.o1[[#This Row],[a1]]=1,ABS((ABS(Tab.o1[[#This Row],[Red]]-Tab.o1[[#This Row],[Blue]]))),"")</f>
        <v/>
      </c>
      <c r="W1070" s="125" t="str">
        <f>IF(Tab.o1[[#This Row],[a1]]=1,IF(W$3=0,1,Tab.o1[[#This Row],[Amp.]]*1/_xlfn.MINIFS(Tab.o1[Amp.],Tab.o1[Amp.],"&lt;&gt;0")),"")</f>
        <v/>
      </c>
      <c r="X1070" s="126" t="str">
        <f>IF(Tab.o1[[#This Row],[a1]]=1,IF(ISNUMBER(Tab.o1[[#This Row],[i.]]),NORMDIST(Tab.o1[[#This Row],[Za]],0,1,FALSE)*Tab.o1[[#This Row],[i.]],AP$3),"")</f>
        <v/>
      </c>
      <c r="Y1070" s="126" t="str">
        <f>IF(Tab.o1[[#This Row],[a1]]=1,0.01+0.94*Tab.o1[[#This Row],[PDF]]/MAX(Tab.o1[PDF]),"")</f>
        <v/>
      </c>
      <c r="Z1070" s="126" t="str">
        <f>IF(Tab.o1[[#This Row],[a1]]=1,0.01+0.94*Tab.o1[[#This Row],[W1_PDF]]/MAX(Tab.o1[W1_PDF]),"")</f>
        <v/>
      </c>
      <c r="AA1070" s="118" t="str">
        <f>IF(Tab.o1[[#This Row],[a1]]=1,ABS([1]!T.in.A[[#This Row],[oo6]]),"")</f>
        <v/>
      </c>
      <c r="AB1070" s="127" t="str">
        <f>IF(Tab.o1[[#This Row],[a1]]=1,IF(AE$3=0,"",IF(AB$3=0,ABS([1]!T.in.A[[#This Row],[oo9]]),ABS(Tab.o1[[#This Row],[DIF_Target.]]*Tab.o1[[#This Row],[W1_PDF]]))),"")</f>
        <v/>
      </c>
      <c r="AC1070" s="127" t="str">
        <f>IF(G$1=1,"",IF(Tab.o1[[#This Row],[a1]]=1,Tab.o1[[#This Row],[Wr]]^2,""))</f>
        <v/>
      </c>
      <c r="AD1070" s="118" t="str">
        <f>IF(Tab.o1[[#This Row],[a1]]=1,IF(AE$3=0,"",Tab.o1[[#This Row],[Wr2]]/SUM(Tab.o1[Wr2])),"")</f>
        <v/>
      </c>
      <c r="AE1070" s="128" t="str">
        <f>IF(Tab.o1[[#This Row],[a1]]=1,[1]!T.in.A[[#This Row],[oo10]],"")</f>
        <v/>
      </c>
      <c r="AF1070" s="118" t="str">
        <f>IF(Tab.o1[[#This Row],[a1]]=1,ABS(Tab.o1[[#This Row],[DIF_Target.]]*Tab.o1[[#This Row],[PDF2]]*Tab.o1[[#This Row],[IN]]),"")</f>
        <v/>
      </c>
      <c r="AG1070" s="129" t="str">
        <f>IF(Tab.o1[[#This Row],[a1]]=1,Tab.o1[[#This Row],[rW]]^2,"")</f>
        <v/>
      </c>
      <c r="AH1070" s="130" t="str">
        <f>IF(Tab.o1[[#This Row],[a1]]=1,IF(AH$3=0,Tab.o1[[#This Row],[rW2]],0.01+0.94*Tab.o1[[#This Row],[rW2]]/SUM(Tab.o1[rW2])),"")</f>
        <v/>
      </c>
      <c r="AI1070" s="128" t="str">
        <f>IF(Tab.o1[[#This Row],[a1]]=1,1/Tab.o1[[#This Row],[PDF]],"")</f>
        <v/>
      </c>
      <c r="AJ1070" s="131" t="str">
        <f>IF(Tab.o1[[#This Row],[a1]]=1,[1]!T_AA[[#This Row],[IN'']]*[1]!T_AA[[#This Row],[Qde'']],"")</f>
        <v/>
      </c>
      <c r="AK1070" s="132" t="str">
        <f>IF(Tab.o1[[#This Row],[a1]]=1,IF(AK$1=1,Tab.o1[[#This Row],[MED]]+Tab.o1[[#This Row],[MOD]]-Tab.o1[[#This Row],[MED]],""),"")</f>
        <v/>
      </c>
      <c r="AL1070" s="133" t="str">
        <f>IF(Tab.o1[[#This Row],[a1]]=1,[1]!T.in.A[[#This Row],[oo16]],"")</f>
        <v/>
      </c>
      <c r="AM1070" s="133" t="str">
        <f>IF(Tab.o1[[#This Row],[a1]]=1,IF(AM$3=1,[1]!T.in.A[[#This Row],[Σo16]],""),"")</f>
        <v/>
      </c>
      <c r="AN1070" s="126" t="str">
        <f>IF(Tab.o1[[#This Row],[a1]]=1,[1]!T.in.A[[#This Row],[Σp5]],"")</f>
        <v/>
      </c>
      <c r="AO1070" s="126" t="str">
        <f>IF(Tab.o1[[#This Row],[a1]]=1,IF(AO$3=1,[1]!T.in.A[[#This Row],[Σp5]],""),"")</f>
        <v/>
      </c>
      <c r="AP1070" s="110" t="str">
        <f>IF(Tab.o1[[#This Row],[a1]]=1,IF(ISNUMBER(Tab.o1[[#This Row],[i.]]),NORMDIST(Tab.o1[[#This Row],[Za]],0,1,FALSE)*Tab.o1[[#This Row],[i.]],0),"")</f>
        <v/>
      </c>
      <c r="AQ1070" s="125" t="str">
        <f>IF(Tab.o1[[#This Row],[a1]]=1,ABS(Tab.o1[[#This Row],[MOD]]-AVERAGE(Tab.o1[MOD])),"")</f>
        <v/>
      </c>
      <c r="AR1070" s="134" t="str">
        <f>IF(Tab.o1[[#This Row],[a1]]=1,Tab.o1[[#This Row],[OBS]]/SUM(Tab.o1[OBS]),"")</f>
        <v/>
      </c>
      <c r="AS1070" s="135" t="str">
        <f>IF(ISNUMBER(Tab.o1[[#This Row],[a1]]),ROW()-4,"")</f>
        <v/>
      </c>
      <c r="AT1070" s="136" t="str">
        <f>Tab.o1[[#This Row],[MOD]]</f>
        <v/>
      </c>
      <c r="AU1070" s="137" t="str">
        <f t="shared" si="65"/>
        <v/>
      </c>
      <c r="AV1070" s="138" t="str">
        <f t="shared" si="66"/>
        <v/>
      </c>
      <c r="AW1070" s="138" t="str">
        <f t="shared" si="67"/>
        <v/>
      </c>
      <c r="AX1070" s="139" t="str">
        <f>[1]!T.in.A[[#This Row],[ID_T_manu]]</f>
        <v/>
      </c>
      <c r="AY1070" s="140" t="str">
        <f>IF(ISNUMBER(Tab.o1[[#This Row],[a1]]),IF(AND(Tab.o1[[#This Row],[a1]]=1,Tab.o1[[#This Row],[b1]]&lt;=AY$4),#REF!,AY1069),"")</f>
        <v/>
      </c>
      <c r="AZ1070" s="25"/>
      <c r="BA1070" s="25"/>
      <c r="BB1070" s="25"/>
      <c r="BC1070" s="25"/>
      <c r="BD1070" s="25"/>
      <c r="BE1070" s="25"/>
      <c r="BF1070" s="25"/>
      <c r="BG1070" s="25"/>
      <c r="BH1070" s="25"/>
      <c r="BI1070" s="25"/>
      <c r="BJ1070" s="25"/>
      <c r="BK1070" s="25"/>
      <c r="BL1070" s="25"/>
      <c r="BM1070" s="25"/>
      <c r="BN1070" s="26"/>
      <c r="BO1070" s="26"/>
      <c r="BP1070" s="26"/>
      <c r="BQ1070" s="26"/>
      <c r="BR1070" s="26"/>
      <c r="BS1070" s="26"/>
      <c r="BT1070" s="26"/>
      <c r="BU1070" s="26"/>
      <c r="BV1070" s="26"/>
      <c r="BW1070" s="26"/>
      <c r="BX1070" s="26"/>
      <c r="BY1070" s="26"/>
      <c r="BZ1070" s="26"/>
      <c r="CA1070" s="26"/>
    </row>
    <row r="1071" spans="1:79" ht="15.75" hidden="1">
      <c r="A1071" s="109">
        <v>8.0000000000000013E-6</v>
      </c>
      <c r="B1071" s="110">
        <f t="shared" si="64"/>
        <v>1071</v>
      </c>
      <c r="C1071" s="111" t="str">
        <f>IF(C$1=[1]!T.in.A[[#This Row],[oo2]],1,"")</f>
        <v/>
      </c>
      <c r="D1071" s="112" t="str">
        <f>IF(Tab.o1[[#This Row],[a1]]=1,IF(SUM(C1071:C1072)=0,0,IF(SUM(C1070:C1071)=1,1,IF(SUM(C1070:C1072)&gt;1,D1070+1,0))),"")</f>
        <v/>
      </c>
      <c r="E1071" s="113" t="str">
        <f>IF(Tab.o1[[#This Row],[a1]]=1,[1]!T.in.A[[#This Row],[oo1]],"")</f>
        <v/>
      </c>
      <c r="F1071" s="113" t="str">
        <f>IF(Tab.o1[[#This Row],[a1]]=1,[1]!T.in.A[[#This Row],[pp1]],"")</f>
        <v/>
      </c>
      <c r="G1071" s="114" t="str">
        <f>IF(Tab.o1[[#This Row],[a1]]=1,G$2+IF(G$1=1,0,Tab.o1[[#This Row],[.x1]])+[1]!T.in.A[[#This Row],[oo3]],"")</f>
        <v/>
      </c>
      <c r="H1071" s="115" t="str">
        <f>IF(Tab.o1[[#This Row],[a1]]=1,IF(H$2=0,0,IF(G$1=1,0,Tab.o1[[#This Row],[.x1]])+[1]!T.in.A[[#This Row],[oo4]]),"")</f>
        <v/>
      </c>
      <c r="I1071" s="116" t="str">
        <f>IF(Tab.o1[[#This Row],[a1]]=1,IF(J$2=0,Tab.o1[[#This Row],[MED]],Tab.o1[[#This Row],[MOD]]),"")</f>
        <v/>
      </c>
      <c r="J1071" s="116" t="str">
        <f>IF(Tab.o1[[#This Row],[a1]]=1,((Tab.o1[[#This Row],[DIF_Target.]]-AVERAGE(Tab.o1[DIF_Target.]))/_xlfn.STDEV.P(Tab.o1[DIF_Target.])),"")</f>
        <v/>
      </c>
      <c r="K1071" s="117" t="str">
        <f>IF(Tab.o1[[#This Row],[a1]]=1,IF(J$2=0,Tab.o1[[#This Row],[MOD]]-Tab.o1[[#This Row],[B]],IF(J$2=1,0,-Tab.o1[[#This Row],[MED]])+Tab.o1[[#This Row],[B]]),"")</f>
        <v/>
      </c>
      <c r="L1071" s="117" t="str">
        <f ca="1">IF(Tab.o1[[#This Row],[DIF_Target]]=0,IF(L$2=0,Tab.o1[[#This Row],[DIF_Target]],AVERAGE(OFFSET(Tab.o1[[#This Row],[DIF_Target]],1,0,L$3,1)))/3,Tab.o1[[#This Row],[DIF_Target]])</f>
        <v/>
      </c>
      <c r="M1071" s="118" t="str">
        <f>IF(Tab.o1[[#This Row],[a1]]=1,NORMSDIST(Tab.o1[[#This Row],[Za]]),"")</f>
        <v/>
      </c>
      <c r="N1071" s="119" t="str">
        <f>IF(Tab.o1[[#This Row],[a1]]=1,((Tab.o1[[#This Row],[MedMod]]-AVERAGE(Tab.o1[MedMod]))/_xlfn.STDEV.P(Tab.o1[MedMod])*H$1205)+G$1205,"")</f>
        <v/>
      </c>
      <c r="O1071" s="141" t="str">
        <f>IF(Tab.o1[[#This Row],[a1]]=1,Tab.o1[[#This Row],[Zb]]*_xlfn.STDEV.P(Tab.o1[MedMod])+AVERAGE(Tab.o1[MedMod]),"")</f>
        <v/>
      </c>
      <c r="P1071" s="117" t="str">
        <f ca="1">IF(Tab.o1[[#This Row],[B]]=0,AVERAGE(OFFSET(Tab.o1[[#This Row],[B]],1,0,L$3,1)),Tab.o1[[#This Row],[B]])</f>
        <v/>
      </c>
      <c r="Q1071" s="121" t="str">
        <f>IF(Tab.o1[[#This Row],[a1]]=1,NORMSDIST(Tab.o1[[#This Row],[Zb]]),"")</f>
        <v/>
      </c>
      <c r="R1071" s="122" t="str">
        <f>IF(Tab.o1[[#This Row],[a1]]=1,((Tab.o1[[#This Row],[MedMod]]-AVERAGE(Tab.o1[MedMod]))/_xlfn.STDEV.P(Tab.o1[MedMod])*H$1203)+G$1203,"")</f>
        <v/>
      </c>
      <c r="S1071" s="122" t="str">
        <f>IF(Tab.o1[[#This Row],[a1]]=1,((Tab.o1[[#This Row],[MedMod]]-AVERAGE(Tab.o1[MedMod]))/_xlfn.STDEV.P(Tab.o1[MedMod])*H$1204)+G$1204,"")</f>
        <v/>
      </c>
      <c r="T1071" s="123" t="str">
        <f>IF(Tab.o1[[#This Row],[a1]]=1,Tab.o1[[#This Row],[Z-]]*_xlfn.STDEV.P(Tab.o1[B])+AVERAGE(Tab.o1[B]),"")</f>
        <v/>
      </c>
      <c r="U1071" s="123" t="str">
        <f>IF(Tab.o1[[#This Row],[a1]]=1,Tab.o1[[#This Row],[z+]]*_xlfn.STDEV.P(Tab.o1[B])+AVERAGE(Tab.o1[B]),"")</f>
        <v/>
      </c>
      <c r="V1071" s="124" t="str">
        <f>IF(Tab.o1[[#This Row],[a1]]=1,ABS((ABS(Tab.o1[[#This Row],[Red]]-Tab.o1[[#This Row],[Blue]]))),"")</f>
        <v/>
      </c>
      <c r="W1071" s="125" t="str">
        <f>IF(Tab.o1[[#This Row],[a1]]=1,IF(W$3=0,1,Tab.o1[[#This Row],[Amp.]]*1/_xlfn.MINIFS(Tab.o1[Amp.],Tab.o1[Amp.],"&lt;&gt;0")),"")</f>
        <v/>
      </c>
      <c r="X1071" s="126" t="str">
        <f>IF(Tab.o1[[#This Row],[a1]]=1,IF(ISNUMBER(Tab.o1[[#This Row],[i.]]),NORMDIST(Tab.o1[[#This Row],[Za]],0,1,FALSE)*Tab.o1[[#This Row],[i.]],AP$3),"")</f>
        <v/>
      </c>
      <c r="Y1071" s="126" t="str">
        <f>IF(Tab.o1[[#This Row],[a1]]=1,0.01+0.94*Tab.o1[[#This Row],[PDF]]/MAX(Tab.o1[PDF]),"")</f>
        <v/>
      </c>
      <c r="Z1071" s="126" t="str">
        <f>IF(Tab.o1[[#This Row],[a1]]=1,0.01+0.94*Tab.o1[[#This Row],[W1_PDF]]/MAX(Tab.o1[W1_PDF]),"")</f>
        <v/>
      </c>
      <c r="AA1071" s="118" t="str">
        <f>IF(Tab.o1[[#This Row],[a1]]=1,ABS([1]!T.in.A[[#This Row],[oo6]]),"")</f>
        <v/>
      </c>
      <c r="AB1071" s="127" t="str">
        <f>IF(Tab.o1[[#This Row],[a1]]=1,IF(AE$3=0,"",IF(AB$3=0,ABS([1]!T.in.A[[#This Row],[oo9]]),ABS(Tab.o1[[#This Row],[DIF_Target.]]*Tab.o1[[#This Row],[W1_PDF]]))),"")</f>
        <v/>
      </c>
      <c r="AC1071" s="127" t="str">
        <f>IF(G$1=1,"",IF(Tab.o1[[#This Row],[a1]]=1,Tab.o1[[#This Row],[Wr]]^2,""))</f>
        <v/>
      </c>
      <c r="AD1071" s="118" t="str">
        <f>IF(Tab.o1[[#This Row],[a1]]=1,IF(AE$3=0,"",Tab.o1[[#This Row],[Wr2]]/SUM(Tab.o1[Wr2])),"")</f>
        <v/>
      </c>
      <c r="AE1071" s="128" t="str">
        <f>IF(Tab.o1[[#This Row],[a1]]=1,[1]!T.in.A[[#This Row],[oo10]],"")</f>
        <v/>
      </c>
      <c r="AF1071" s="118" t="str">
        <f>IF(Tab.o1[[#This Row],[a1]]=1,ABS(Tab.o1[[#This Row],[DIF_Target.]]*Tab.o1[[#This Row],[PDF2]]*Tab.o1[[#This Row],[IN]]),"")</f>
        <v/>
      </c>
      <c r="AG1071" s="129" t="str">
        <f>IF(Tab.o1[[#This Row],[a1]]=1,Tab.o1[[#This Row],[rW]]^2,"")</f>
        <v/>
      </c>
      <c r="AH1071" s="130" t="str">
        <f>IF(Tab.o1[[#This Row],[a1]]=1,IF(AH$3=0,Tab.o1[[#This Row],[rW2]],0.01+0.94*Tab.o1[[#This Row],[rW2]]/SUM(Tab.o1[rW2])),"")</f>
        <v/>
      </c>
      <c r="AI1071" s="128" t="str">
        <f>IF(Tab.o1[[#This Row],[a1]]=1,1/Tab.o1[[#This Row],[PDF]],"")</f>
        <v/>
      </c>
      <c r="AJ1071" s="131" t="str">
        <f>IF(Tab.o1[[#This Row],[a1]]=1,[1]!T_AA[[#This Row],[IN'']]*[1]!T_AA[[#This Row],[Qde'']],"")</f>
        <v/>
      </c>
      <c r="AK1071" s="132" t="str">
        <f>IF(Tab.o1[[#This Row],[a1]]=1,IF(AK$1=1,Tab.o1[[#This Row],[MED]]+Tab.o1[[#This Row],[MOD]]-Tab.o1[[#This Row],[MED]],""),"")</f>
        <v/>
      </c>
      <c r="AL1071" s="133" t="str">
        <f>IF(Tab.o1[[#This Row],[a1]]=1,[1]!T.in.A[[#This Row],[oo16]],"")</f>
        <v/>
      </c>
      <c r="AM1071" s="133" t="str">
        <f>IF(Tab.o1[[#This Row],[a1]]=1,IF(AM$3=1,[1]!T.in.A[[#This Row],[Σo16]],""),"")</f>
        <v/>
      </c>
      <c r="AN1071" s="126" t="str">
        <f>IF(Tab.o1[[#This Row],[a1]]=1,[1]!T.in.A[[#This Row],[Σp5]],"")</f>
        <v/>
      </c>
      <c r="AO1071" s="126" t="str">
        <f>IF(Tab.o1[[#This Row],[a1]]=1,IF(AO$3=1,[1]!T.in.A[[#This Row],[Σp5]],""),"")</f>
        <v/>
      </c>
      <c r="AP1071" s="110" t="str">
        <f>IF(Tab.o1[[#This Row],[a1]]=1,IF(ISNUMBER(Tab.o1[[#This Row],[i.]]),NORMDIST(Tab.o1[[#This Row],[Za]],0,1,FALSE)*Tab.o1[[#This Row],[i.]],0),"")</f>
        <v/>
      </c>
      <c r="AQ1071" s="125" t="str">
        <f>IF(Tab.o1[[#This Row],[a1]]=1,ABS(Tab.o1[[#This Row],[MOD]]-AVERAGE(Tab.o1[MOD])),"")</f>
        <v/>
      </c>
      <c r="AR1071" s="134" t="str">
        <f>IF(Tab.o1[[#This Row],[a1]]=1,Tab.o1[[#This Row],[OBS]]/SUM(Tab.o1[OBS]),"")</f>
        <v/>
      </c>
      <c r="AS1071" s="135" t="str">
        <f>IF(ISNUMBER(Tab.o1[[#This Row],[a1]]),ROW()-4,"")</f>
        <v/>
      </c>
      <c r="AT1071" s="136" t="str">
        <f>Tab.o1[[#This Row],[MOD]]</f>
        <v/>
      </c>
      <c r="AU1071" s="137" t="str">
        <f t="shared" si="65"/>
        <v/>
      </c>
      <c r="AV1071" s="138" t="str">
        <f t="shared" si="66"/>
        <v/>
      </c>
      <c r="AW1071" s="138" t="str">
        <f t="shared" si="67"/>
        <v/>
      </c>
      <c r="AX1071" s="139" t="str">
        <f>[1]!T.in.A[[#This Row],[ID_T_manu]]</f>
        <v/>
      </c>
      <c r="AY1071" s="140" t="str">
        <f>IF(ISNUMBER(Tab.o1[[#This Row],[a1]]),IF(AND(Tab.o1[[#This Row],[a1]]=1,Tab.o1[[#This Row],[b1]]&lt;=AY$4),#REF!,AY1070),"")</f>
        <v/>
      </c>
      <c r="AZ1071" s="25"/>
      <c r="BA1071" s="25"/>
      <c r="BB1071" s="25"/>
      <c r="BC1071" s="25"/>
      <c r="BD1071" s="25"/>
      <c r="BE1071" s="25"/>
      <c r="BF1071" s="25"/>
      <c r="BG1071" s="25"/>
      <c r="BH1071" s="25"/>
      <c r="BI1071" s="25"/>
      <c r="BJ1071" s="25"/>
      <c r="BK1071" s="25"/>
      <c r="BL1071" s="25"/>
      <c r="BM1071" s="25"/>
      <c r="BN1071" s="26"/>
      <c r="BO1071" s="26"/>
      <c r="BP1071" s="26"/>
      <c r="BQ1071" s="26"/>
      <c r="BR1071" s="26"/>
      <c r="BS1071" s="26"/>
      <c r="BT1071" s="26"/>
      <c r="BU1071" s="26"/>
      <c r="BV1071" s="26"/>
      <c r="BW1071" s="26"/>
      <c r="BX1071" s="26"/>
      <c r="BY1071" s="26"/>
      <c r="BZ1071" s="26"/>
      <c r="CA1071" s="26"/>
    </row>
    <row r="1072" spans="1:79" ht="15.75" hidden="1">
      <c r="A1072" s="109">
        <v>6.9999999999999999E-6</v>
      </c>
      <c r="B1072" s="110">
        <f t="shared" si="64"/>
        <v>1072</v>
      </c>
      <c r="C1072" s="111" t="str">
        <f>IF(C$1=[1]!T.in.A[[#This Row],[oo2]],1,"")</f>
        <v/>
      </c>
      <c r="D1072" s="112" t="str">
        <f>IF(Tab.o1[[#This Row],[a1]]=1,IF(SUM(C1072:C1073)=0,0,IF(SUM(C1071:C1072)=1,1,IF(SUM(C1071:C1073)&gt;1,D1071+1,0))),"")</f>
        <v/>
      </c>
      <c r="E1072" s="113" t="str">
        <f>IF(Tab.o1[[#This Row],[a1]]=1,[1]!T.in.A[[#This Row],[oo1]],"")</f>
        <v/>
      </c>
      <c r="F1072" s="113" t="str">
        <f>IF(Tab.o1[[#This Row],[a1]]=1,[1]!T.in.A[[#This Row],[pp1]],"")</f>
        <v/>
      </c>
      <c r="G1072" s="114" t="str">
        <f>IF(Tab.o1[[#This Row],[a1]]=1,G$2+IF(G$1=1,0,Tab.o1[[#This Row],[.x1]])+[1]!T.in.A[[#This Row],[oo3]],"")</f>
        <v/>
      </c>
      <c r="H1072" s="115" t="str">
        <f>IF(Tab.o1[[#This Row],[a1]]=1,IF(H$2=0,0,IF(G$1=1,0,Tab.o1[[#This Row],[.x1]])+[1]!T.in.A[[#This Row],[oo4]]),"")</f>
        <v/>
      </c>
      <c r="I1072" s="116" t="str">
        <f>IF(Tab.o1[[#This Row],[a1]]=1,IF(J$2=0,Tab.o1[[#This Row],[MED]],Tab.o1[[#This Row],[MOD]]),"")</f>
        <v/>
      </c>
      <c r="J1072" s="116" t="str">
        <f>IF(Tab.o1[[#This Row],[a1]]=1,((Tab.o1[[#This Row],[DIF_Target.]]-AVERAGE(Tab.o1[DIF_Target.]))/_xlfn.STDEV.P(Tab.o1[DIF_Target.])),"")</f>
        <v/>
      </c>
      <c r="K1072" s="117" t="str">
        <f>IF(Tab.o1[[#This Row],[a1]]=1,IF(J$2=0,Tab.o1[[#This Row],[MOD]]-Tab.o1[[#This Row],[B]],IF(J$2=1,0,-Tab.o1[[#This Row],[MED]])+Tab.o1[[#This Row],[B]]),"")</f>
        <v/>
      </c>
      <c r="L1072" s="117" t="str">
        <f ca="1">IF(Tab.o1[[#This Row],[DIF_Target]]=0,IF(L$2=0,Tab.o1[[#This Row],[DIF_Target]],AVERAGE(OFFSET(Tab.o1[[#This Row],[DIF_Target]],1,0,L$3,1)))/3,Tab.o1[[#This Row],[DIF_Target]])</f>
        <v/>
      </c>
      <c r="M1072" s="118" t="str">
        <f>IF(Tab.o1[[#This Row],[a1]]=1,NORMSDIST(Tab.o1[[#This Row],[Za]]),"")</f>
        <v/>
      </c>
      <c r="N1072" s="119" t="str">
        <f>IF(Tab.o1[[#This Row],[a1]]=1,((Tab.o1[[#This Row],[MedMod]]-AVERAGE(Tab.o1[MedMod]))/_xlfn.STDEV.P(Tab.o1[MedMod])*H$1205)+G$1205,"")</f>
        <v/>
      </c>
      <c r="O1072" s="141" t="str">
        <f>IF(Tab.o1[[#This Row],[a1]]=1,Tab.o1[[#This Row],[Zb]]*_xlfn.STDEV.P(Tab.o1[MedMod])+AVERAGE(Tab.o1[MedMod]),"")</f>
        <v/>
      </c>
      <c r="P1072" s="117" t="str">
        <f ca="1">IF(Tab.o1[[#This Row],[B]]=0,AVERAGE(OFFSET(Tab.o1[[#This Row],[B]],1,0,L$3,1)),Tab.o1[[#This Row],[B]])</f>
        <v/>
      </c>
      <c r="Q1072" s="121" t="str">
        <f>IF(Tab.o1[[#This Row],[a1]]=1,NORMSDIST(Tab.o1[[#This Row],[Zb]]),"")</f>
        <v/>
      </c>
      <c r="R1072" s="122" t="str">
        <f>IF(Tab.o1[[#This Row],[a1]]=1,((Tab.o1[[#This Row],[MedMod]]-AVERAGE(Tab.o1[MedMod]))/_xlfn.STDEV.P(Tab.o1[MedMod])*H$1203)+G$1203,"")</f>
        <v/>
      </c>
      <c r="S1072" s="122" t="str">
        <f>IF(Tab.o1[[#This Row],[a1]]=1,((Tab.o1[[#This Row],[MedMod]]-AVERAGE(Tab.o1[MedMod]))/_xlfn.STDEV.P(Tab.o1[MedMod])*H$1204)+G$1204,"")</f>
        <v/>
      </c>
      <c r="T1072" s="123" t="str">
        <f>IF(Tab.o1[[#This Row],[a1]]=1,Tab.o1[[#This Row],[Z-]]*_xlfn.STDEV.P(Tab.o1[B])+AVERAGE(Tab.o1[B]),"")</f>
        <v/>
      </c>
      <c r="U1072" s="123" t="str">
        <f>IF(Tab.o1[[#This Row],[a1]]=1,Tab.o1[[#This Row],[z+]]*_xlfn.STDEV.P(Tab.o1[B])+AVERAGE(Tab.o1[B]),"")</f>
        <v/>
      </c>
      <c r="V1072" s="124" t="str">
        <f>IF(Tab.o1[[#This Row],[a1]]=1,ABS((ABS(Tab.o1[[#This Row],[Red]]-Tab.o1[[#This Row],[Blue]]))),"")</f>
        <v/>
      </c>
      <c r="W1072" s="125" t="str">
        <f>IF(Tab.o1[[#This Row],[a1]]=1,IF(W$3=0,1,Tab.o1[[#This Row],[Amp.]]*1/_xlfn.MINIFS(Tab.o1[Amp.],Tab.o1[Amp.],"&lt;&gt;0")),"")</f>
        <v/>
      </c>
      <c r="X1072" s="126" t="str">
        <f>IF(Tab.o1[[#This Row],[a1]]=1,IF(ISNUMBER(Tab.o1[[#This Row],[i.]]),NORMDIST(Tab.o1[[#This Row],[Za]],0,1,FALSE)*Tab.o1[[#This Row],[i.]],AP$3),"")</f>
        <v/>
      </c>
      <c r="Y1072" s="126" t="str">
        <f>IF(Tab.o1[[#This Row],[a1]]=1,0.01+0.94*Tab.o1[[#This Row],[PDF]]/MAX(Tab.o1[PDF]),"")</f>
        <v/>
      </c>
      <c r="Z1072" s="126" t="str">
        <f>IF(Tab.o1[[#This Row],[a1]]=1,0.01+0.94*Tab.o1[[#This Row],[W1_PDF]]/MAX(Tab.o1[W1_PDF]),"")</f>
        <v/>
      </c>
      <c r="AA1072" s="118" t="str">
        <f>IF(Tab.o1[[#This Row],[a1]]=1,ABS([1]!T.in.A[[#This Row],[oo6]]),"")</f>
        <v/>
      </c>
      <c r="AB1072" s="127" t="str">
        <f>IF(Tab.o1[[#This Row],[a1]]=1,IF(AE$3=0,"",IF(AB$3=0,ABS([1]!T.in.A[[#This Row],[oo9]]),ABS(Tab.o1[[#This Row],[DIF_Target.]]*Tab.o1[[#This Row],[W1_PDF]]))),"")</f>
        <v/>
      </c>
      <c r="AC1072" s="127" t="str">
        <f>IF(G$1=1,"",IF(Tab.o1[[#This Row],[a1]]=1,Tab.o1[[#This Row],[Wr]]^2,""))</f>
        <v/>
      </c>
      <c r="AD1072" s="118" t="str">
        <f>IF(Tab.o1[[#This Row],[a1]]=1,IF(AE$3=0,"",Tab.o1[[#This Row],[Wr2]]/SUM(Tab.o1[Wr2])),"")</f>
        <v/>
      </c>
      <c r="AE1072" s="128" t="str">
        <f>IF(Tab.o1[[#This Row],[a1]]=1,[1]!T.in.A[[#This Row],[oo10]],"")</f>
        <v/>
      </c>
      <c r="AF1072" s="118" t="str">
        <f>IF(Tab.o1[[#This Row],[a1]]=1,ABS(Tab.o1[[#This Row],[DIF_Target.]]*Tab.o1[[#This Row],[PDF2]]*Tab.o1[[#This Row],[IN]]),"")</f>
        <v/>
      </c>
      <c r="AG1072" s="129" t="str">
        <f>IF(Tab.o1[[#This Row],[a1]]=1,Tab.o1[[#This Row],[rW]]^2,"")</f>
        <v/>
      </c>
      <c r="AH1072" s="130" t="str">
        <f>IF(Tab.o1[[#This Row],[a1]]=1,IF(AH$3=0,Tab.o1[[#This Row],[rW2]],0.01+0.94*Tab.o1[[#This Row],[rW2]]/SUM(Tab.o1[rW2])),"")</f>
        <v/>
      </c>
      <c r="AI1072" s="128" t="str">
        <f>IF(Tab.o1[[#This Row],[a1]]=1,1/Tab.o1[[#This Row],[PDF]],"")</f>
        <v/>
      </c>
      <c r="AJ1072" s="131" t="str">
        <f>IF(Tab.o1[[#This Row],[a1]]=1,[1]!T_AA[[#This Row],[IN'']]*[1]!T_AA[[#This Row],[Qde'']],"")</f>
        <v/>
      </c>
      <c r="AK1072" s="132" t="str">
        <f>IF(Tab.o1[[#This Row],[a1]]=1,IF(AK$1=1,Tab.o1[[#This Row],[MED]]+Tab.o1[[#This Row],[MOD]]-Tab.o1[[#This Row],[MED]],""),"")</f>
        <v/>
      </c>
      <c r="AL1072" s="133" t="str">
        <f>IF(Tab.o1[[#This Row],[a1]]=1,[1]!T.in.A[[#This Row],[oo16]],"")</f>
        <v/>
      </c>
      <c r="AM1072" s="133" t="str">
        <f>IF(Tab.o1[[#This Row],[a1]]=1,IF(AM$3=1,[1]!T.in.A[[#This Row],[Σo16]],""),"")</f>
        <v/>
      </c>
      <c r="AN1072" s="126" t="str">
        <f>IF(Tab.o1[[#This Row],[a1]]=1,[1]!T.in.A[[#This Row],[Σp5]],"")</f>
        <v/>
      </c>
      <c r="AO1072" s="126" t="str">
        <f>IF(Tab.o1[[#This Row],[a1]]=1,IF(AO$3=1,[1]!T.in.A[[#This Row],[Σp5]],""),"")</f>
        <v/>
      </c>
      <c r="AP1072" s="110" t="str">
        <f>IF(Tab.o1[[#This Row],[a1]]=1,IF(ISNUMBER(Tab.o1[[#This Row],[i.]]),NORMDIST(Tab.o1[[#This Row],[Za]],0,1,FALSE)*Tab.o1[[#This Row],[i.]],0),"")</f>
        <v/>
      </c>
      <c r="AQ1072" s="125" t="str">
        <f>IF(Tab.o1[[#This Row],[a1]]=1,ABS(Tab.o1[[#This Row],[MOD]]-AVERAGE(Tab.o1[MOD])),"")</f>
        <v/>
      </c>
      <c r="AR1072" s="134" t="str">
        <f>IF(Tab.o1[[#This Row],[a1]]=1,Tab.o1[[#This Row],[OBS]]/SUM(Tab.o1[OBS]),"")</f>
        <v/>
      </c>
      <c r="AS1072" s="135" t="str">
        <f>IF(ISNUMBER(Tab.o1[[#This Row],[a1]]),ROW()-4,"")</f>
        <v/>
      </c>
      <c r="AT1072" s="136" t="str">
        <f>Tab.o1[[#This Row],[MOD]]</f>
        <v/>
      </c>
      <c r="AU1072" s="137" t="str">
        <f t="shared" si="65"/>
        <v/>
      </c>
      <c r="AV1072" s="138" t="str">
        <f t="shared" si="66"/>
        <v/>
      </c>
      <c r="AW1072" s="138" t="str">
        <f t="shared" si="67"/>
        <v/>
      </c>
      <c r="AX1072" s="139" t="str">
        <f>[1]!T.in.A[[#This Row],[ID_T_manu]]</f>
        <v/>
      </c>
      <c r="AY1072" s="140" t="str">
        <f>IF(ISNUMBER(Tab.o1[[#This Row],[a1]]),IF(AND(Tab.o1[[#This Row],[a1]]=1,Tab.o1[[#This Row],[b1]]&lt;=AY$4),#REF!,AY1071),"")</f>
        <v/>
      </c>
      <c r="AZ1072" s="25"/>
      <c r="BA1072" s="25"/>
      <c r="BB1072" s="25"/>
      <c r="BC1072" s="25"/>
      <c r="BD1072" s="25"/>
      <c r="BE1072" s="25"/>
      <c r="BF1072" s="25"/>
      <c r="BG1072" s="25"/>
      <c r="BH1072" s="25"/>
      <c r="BI1072" s="25"/>
      <c r="BJ1072" s="25"/>
      <c r="BK1072" s="25"/>
      <c r="BL1072" s="25"/>
      <c r="BM1072" s="25"/>
      <c r="BN1072" s="26"/>
      <c r="BO1072" s="26"/>
      <c r="BP1072" s="26"/>
      <c r="BQ1072" s="26"/>
      <c r="BR1072" s="26"/>
      <c r="BS1072" s="26"/>
      <c r="BT1072" s="26"/>
      <c r="BU1072" s="26"/>
      <c r="BV1072" s="26"/>
      <c r="BW1072" s="26"/>
      <c r="BX1072" s="26"/>
      <c r="BY1072" s="26"/>
      <c r="BZ1072" s="26"/>
      <c r="CA1072" s="26"/>
    </row>
    <row r="1073" spans="1:79" ht="15.75" hidden="1">
      <c r="A1073" s="109">
        <v>2.9999999999999997E-6</v>
      </c>
      <c r="B1073" s="110">
        <f t="shared" si="64"/>
        <v>1073</v>
      </c>
      <c r="C1073" s="111" t="str">
        <f>IF(C$1=[1]!T.in.A[[#This Row],[oo2]],1,"")</f>
        <v/>
      </c>
      <c r="D1073" s="112" t="str">
        <f>IF(Tab.o1[[#This Row],[a1]]=1,IF(SUM(C1073:C1074)=0,0,IF(SUM(C1072:C1073)=1,1,IF(SUM(C1072:C1074)&gt;1,D1072+1,0))),"")</f>
        <v/>
      </c>
      <c r="E1073" s="113" t="str">
        <f>IF(Tab.o1[[#This Row],[a1]]=1,[1]!T.in.A[[#This Row],[oo1]],"")</f>
        <v/>
      </c>
      <c r="F1073" s="113" t="str">
        <f>IF(Tab.o1[[#This Row],[a1]]=1,[1]!T.in.A[[#This Row],[pp1]],"")</f>
        <v/>
      </c>
      <c r="G1073" s="114" t="str">
        <f>IF(Tab.o1[[#This Row],[a1]]=1,G$2+IF(G$1=1,0,Tab.o1[[#This Row],[.x1]])+[1]!T.in.A[[#This Row],[oo3]],"")</f>
        <v/>
      </c>
      <c r="H1073" s="115" t="str">
        <f>IF(Tab.o1[[#This Row],[a1]]=1,IF(H$2=0,0,IF(G$1=1,0,Tab.o1[[#This Row],[.x1]])+[1]!T.in.A[[#This Row],[oo4]]),"")</f>
        <v/>
      </c>
      <c r="I1073" s="116" t="str">
        <f>IF(Tab.o1[[#This Row],[a1]]=1,IF(J$2=0,Tab.o1[[#This Row],[MED]],Tab.o1[[#This Row],[MOD]]),"")</f>
        <v/>
      </c>
      <c r="J1073" s="116" t="str">
        <f>IF(Tab.o1[[#This Row],[a1]]=1,((Tab.o1[[#This Row],[DIF_Target.]]-AVERAGE(Tab.o1[DIF_Target.]))/_xlfn.STDEV.P(Tab.o1[DIF_Target.])),"")</f>
        <v/>
      </c>
      <c r="K1073" s="117" t="str">
        <f>IF(Tab.o1[[#This Row],[a1]]=1,IF(J$2=0,Tab.o1[[#This Row],[MOD]]-Tab.o1[[#This Row],[B]],IF(J$2=1,0,-Tab.o1[[#This Row],[MED]])+Tab.o1[[#This Row],[B]]),"")</f>
        <v/>
      </c>
      <c r="L1073" s="117" t="str">
        <f ca="1">IF(Tab.o1[[#This Row],[DIF_Target]]=0,IF(L$2=0,Tab.o1[[#This Row],[DIF_Target]],AVERAGE(OFFSET(Tab.o1[[#This Row],[DIF_Target]],1,0,L$3,1)))/3,Tab.o1[[#This Row],[DIF_Target]])</f>
        <v/>
      </c>
      <c r="M1073" s="118" t="str">
        <f>IF(Tab.o1[[#This Row],[a1]]=1,NORMSDIST(Tab.o1[[#This Row],[Za]]),"")</f>
        <v/>
      </c>
      <c r="N1073" s="119" t="str">
        <f>IF(Tab.o1[[#This Row],[a1]]=1,((Tab.o1[[#This Row],[MedMod]]-AVERAGE(Tab.o1[MedMod]))/_xlfn.STDEV.P(Tab.o1[MedMod])*H$1205)+G$1205,"")</f>
        <v/>
      </c>
      <c r="O1073" s="141" t="str">
        <f>IF(Tab.o1[[#This Row],[a1]]=1,Tab.o1[[#This Row],[Zb]]*_xlfn.STDEV.P(Tab.o1[MedMod])+AVERAGE(Tab.o1[MedMod]),"")</f>
        <v/>
      </c>
      <c r="P1073" s="117" t="str">
        <f ca="1">IF(Tab.o1[[#This Row],[B]]=0,AVERAGE(OFFSET(Tab.o1[[#This Row],[B]],1,0,L$3,1)),Tab.o1[[#This Row],[B]])</f>
        <v/>
      </c>
      <c r="Q1073" s="121" t="str">
        <f>IF(Tab.o1[[#This Row],[a1]]=1,NORMSDIST(Tab.o1[[#This Row],[Zb]]),"")</f>
        <v/>
      </c>
      <c r="R1073" s="122" t="str">
        <f>IF(Tab.o1[[#This Row],[a1]]=1,((Tab.o1[[#This Row],[MedMod]]-AVERAGE(Tab.o1[MedMod]))/_xlfn.STDEV.P(Tab.o1[MedMod])*H$1203)+G$1203,"")</f>
        <v/>
      </c>
      <c r="S1073" s="122" t="str">
        <f>IF(Tab.o1[[#This Row],[a1]]=1,((Tab.o1[[#This Row],[MedMod]]-AVERAGE(Tab.o1[MedMod]))/_xlfn.STDEV.P(Tab.o1[MedMod])*H$1204)+G$1204,"")</f>
        <v/>
      </c>
      <c r="T1073" s="123" t="str">
        <f>IF(Tab.o1[[#This Row],[a1]]=1,Tab.o1[[#This Row],[Z-]]*_xlfn.STDEV.P(Tab.o1[B])+AVERAGE(Tab.o1[B]),"")</f>
        <v/>
      </c>
      <c r="U1073" s="123" t="str">
        <f>IF(Tab.o1[[#This Row],[a1]]=1,Tab.o1[[#This Row],[z+]]*_xlfn.STDEV.P(Tab.o1[B])+AVERAGE(Tab.o1[B]),"")</f>
        <v/>
      </c>
      <c r="V1073" s="124" t="str">
        <f>IF(Tab.o1[[#This Row],[a1]]=1,ABS((ABS(Tab.o1[[#This Row],[Red]]-Tab.o1[[#This Row],[Blue]]))),"")</f>
        <v/>
      </c>
      <c r="W1073" s="125" t="str">
        <f>IF(Tab.o1[[#This Row],[a1]]=1,IF(W$3=0,1,Tab.o1[[#This Row],[Amp.]]*1/_xlfn.MINIFS(Tab.o1[Amp.],Tab.o1[Amp.],"&lt;&gt;0")),"")</f>
        <v/>
      </c>
      <c r="X1073" s="126" t="str">
        <f>IF(Tab.o1[[#This Row],[a1]]=1,IF(ISNUMBER(Tab.o1[[#This Row],[i.]]),NORMDIST(Tab.o1[[#This Row],[Za]],0,1,FALSE)*Tab.o1[[#This Row],[i.]],AP$3),"")</f>
        <v/>
      </c>
      <c r="Y1073" s="126" t="str">
        <f>IF(Tab.o1[[#This Row],[a1]]=1,0.01+0.94*Tab.o1[[#This Row],[PDF]]/MAX(Tab.o1[PDF]),"")</f>
        <v/>
      </c>
      <c r="Z1073" s="126" t="str">
        <f>IF(Tab.o1[[#This Row],[a1]]=1,0.01+0.94*Tab.o1[[#This Row],[W1_PDF]]/MAX(Tab.o1[W1_PDF]),"")</f>
        <v/>
      </c>
      <c r="AA1073" s="118" t="str">
        <f>IF(Tab.o1[[#This Row],[a1]]=1,ABS([1]!T.in.A[[#This Row],[oo6]]),"")</f>
        <v/>
      </c>
      <c r="AB1073" s="127" t="str">
        <f>IF(Tab.o1[[#This Row],[a1]]=1,IF(AE$3=0,"",IF(AB$3=0,ABS([1]!T.in.A[[#This Row],[oo9]]),ABS(Tab.o1[[#This Row],[DIF_Target.]]*Tab.o1[[#This Row],[W1_PDF]]))),"")</f>
        <v/>
      </c>
      <c r="AC1073" s="127" t="str">
        <f>IF(G$1=1,"",IF(Tab.o1[[#This Row],[a1]]=1,Tab.o1[[#This Row],[Wr]]^2,""))</f>
        <v/>
      </c>
      <c r="AD1073" s="118" t="str">
        <f>IF(Tab.o1[[#This Row],[a1]]=1,IF(AE$3=0,"",Tab.o1[[#This Row],[Wr2]]/SUM(Tab.o1[Wr2])),"")</f>
        <v/>
      </c>
      <c r="AE1073" s="128" t="str">
        <f>IF(Tab.o1[[#This Row],[a1]]=1,[1]!T.in.A[[#This Row],[oo10]],"")</f>
        <v/>
      </c>
      <c r="AF1073" s="118" t="str">
        <f>IF(Tab.o1[[#This Row],[a1]]=1,ABS(Tab.o1[[#This Row],[DIF_Target.]]*Tab.o1[[#This Row],[PDF2]]*Tab.o1[[#This Row],[IN]]),"")</f>
        <v/>
      </c>
      <c r="AG1073" s="129" t="str">
        <f>IF(Tab.o1[[#This Row],[a1]]=1,Tab.o1[[#This Row],[rW]]^2,"")</f>
        <v/>
      </c>
      <c r="AH1073" s="130" t="str">
        <f>IF(Tab.o1[[#This Row],[a1]]=1,IF(AH$3=0,Tab.o1[[#This Row],[rW2]],0.01+0.94*Tab.o1[[#This Row],[rW2]]/SUM(Tab.o1[rW2])),"")</f>
        <v/>
      </c>
      <c r="AI1073" s="128" t="str">
        <f>IF(Tab.o1[[#This Row],[a1]]=1,1/Tab.o1[[#This Row],[PDF]],"")</f>
        <v/>
      </c>
      <c r="AJ1073" s="131" t="str">
        <f>IF(Tab.o1[[#This Row],[a1]]=1,[1]!T_AA[[#This Row],[IN'']]*[1]!T_AA[[#This Row],[Qde'']],"")</f>
        <v/>
      </c>
      <c r="AK1073" s="132" t="str">
        <f>IF(Tab.o1[[#This Row],[a1]]=1,IF(AK$1=1,Tab.o1[[#This Row],[MED]]+Tab.o1[[#This Row],[MOD]]-Tab.o1[[#This Row],[MED]],""),"")</f>
        <v/>
      </c>
      <c r="AL1073" s="133" t="str">
        <f>IF(Tab.o1[[#This Row],[a1]]=1,[1]!T.in.A[[#This Row],[oo16]],"")</f>
        <v/>
      </c>
      <c r="AM1073" s="133" t="str">
        <f>IF(Tab.o1[[#This Row],[a1]]=1,IF(AM$3=1,[1]!T.in.A[[#This Row],[Σo16]],""),"")</f>
        <v/>
      </c>
      <c r="AN1073" s="126" t="str">
        <f>IF(Tab.o1[[#This Row],[a1]]=1,[1]!T.in.A[[#This Row],[Σp5]],"")</f>
        <v/>
      </c>
      <c r="AO1073" s="126" t="str">
        <f>IF(Tab.o1[[#This Row],[a1]]=1,IF(AO$3=1,[1]!T.in.A[[#This Row],[Σp5]],""),"")</f>
        <v/>
      </c>
      <c r="AP1073" s="110" t="str">
        <f>IF(Tab.o1[[#This Row],[a1]]=1,IF(ISNUMBER(Tab.o1[[#This Row],[i.]]),NORMDIST(Tab.o1[[#This Row],[Za]],0,1,FALSE)*Tab.o1[[#This Row],[i.]],0),"")</f>
        <v/>
      </c>
      <c r="AQ1073" s="125" t="str">
        <f>IF(Tab.o1[[#This Row],[a1]]=1,ABS(Tab.o1[[#This Row],[MOD]]-AVERAGE(Tab.o1[MOD])),"")</f>
        <v/>
      </c>
      <c r="AR1073" s="134" t="str">
        <f>IF(Tab.o1[[#This Row],[a1]]=1,Tab.o1[[#This Row],[OBS]]/SUM(Tab.o1[OBS]),"")</f>
        <v/>
      </c>
      <c r="AS1073" s="135" t="str">
        <f>IF(ISNUMBER(Tab.o1[[#This Row],[a1]]),ROW()-4,"")</f>
        <v/>
      </c>
      <c r="AT1073" s="136" t="str">
        <f>Tab.o1[[#This Row],[MOD]]</f>
        <v/>
      </c>
      <c r="AU1073" s="137" t="str">
        <f t="shared" si="65"/>
        <v/>
      </c>
      <c r="AV1073" s="138" t="str">
        <f t="shared" si="66"/>
        <v/>
      </c>
      <c r="AW1073" s="138" t="str">
        <f t="shared" si="67"/>
        <v/>
      </c>
      <c r="AX1073" s="139" t="str">
        <f>[1]!T.in.A[[#This Row],[ID_T_manu]]</f>
        <v/>
      </c>
      <c r="AY1073" s="140" t="str">
        <f>IF(ISNUMBER(Tab.o1[[#This Row],[a1]]),IF(AND(Tab.o1[[#This Row],[a1]]=1,Tab.o1[[#This Row],[b1]]&lt;=AY$4),#REF!,AY1072),"")</f>
        <v/>
      </c>
      <c r="AZ1073" s="25"/>
      <c r="BA1073" s="25"/>
      <c r="BB1073" s="25"/>
      <c r="BC1073" s="25"/>
      <c r="BD1073" s="25"/>
      <c r="BE1073" s="25"/>
      <c r="BF1073" s="25"/>
      <c r="BG1073" s="25"/>
      <c r="BH1073" s="25"/>
      <c r="BI1073" s="25"/>
      <c r="BJ1073" s="25"/>
      <c r="BK1073" s="25"/>
      <c r="BL1073" s="25"/>
      <c r="BM1073" s="25"/>
      <c r="BN1073" s="26"/>
      <c r="BO1073" s="26"/>
      <c r="BP1073" s="26"/>
      <c r="BQ1073" s="26"/>
      <c r="BR1073" s="26"/>
      <c r="BS1073" s="26"/>
      <c r="BT1073" s="26"/>
      <c r="BU1073" s="26"/>
      <c r="BV1073" s="26"/>
      <c r="BW1073" s="26"/>
      <c r="BX1073" s="26"/>
      <c r="BY1073" s="26"/>
      <c r="BZ1073" s="26"/>
      <c r="CA1073" s="26"/>
    </row>
    <row r="1074" spans="1:79" ht="15.75" hidden="1">
      <c r="A1074" s="109">
        <v>5.0000000000000004E-6</v>
      </c>
      <c r="B1074" s="110">
        <f t="shared" si="64"/>
        <v>1074</v>
      </c>
      <c r="C1074" s="111" t="str">
        <f>IF(C$1=[1]!T.in.A[[#This Row],[oo2]],1,"")</f>
        <v/>
      </c>
      <c r="D1074" s="112" t="str">
        <f>IF(Tab.o1[[#This Row],[a1]]=1,IF(SUM(C1074:C1075)=0,0,IF(SUM(C1073:C1074)=1,1,IF(SUM(C1073:C1075)&gt;1,D1073+1,0))),"")</f>
        <v/>
      </c>
      <c r="E1074" s="113" t="str">
        <f>IF(Tab.o1[[#This Row],[a1]]=1,[1]!T.in.A[[#This Row],[oo1]],"")</f>
        <v/>
      </c>
      <c r="F1074" s="113" t="str">
        <f>IF(Tab.o1[[#This Row],[a1]]=1,[1]!T.in.A[[#This Row],[pp1]],"")</f>
        <v/>
      </c>
      <c r="G1074" s="114" t="str">
        <f>IF(Tab.o1[[#This Row],[a1]]=1,G$2+IF(G$1=1,0,Tab.o1[[#This Row],[.x1]])+[1]!T.in.A[[#This Row],[oo3]],"")</f>
        <v/>
      </c>
      <c r="H1074" s="115" t="str">
        <f>IF(Tab.o1[[#This Row],[a1]]=1,IF(H$2=0,0,IF(G$1=1,0,Tab.o1[[#This Row],[.x1]])+[1]!T.in.A[[#This Row],[oo4]]),"")</f>
        <v/>
      </c>
      <c r="I1074" s="116" t="str">
        <f>IF(Tab.o1[[#This Row],[a1]]=1,IF(J$2=0,Tab.o1[[#This Row],[MED]],Tab.o1[[#This Row],[MOD]]),"")</f>
        <v/>
      </c>
      <c r="J1074" s="116" t="str">
        <f>IF(Tab.o1[[#This Row],[a1]]=1,((Tab.o1[[#This Row],[DIF_Target.]]-AVERAGE(Tab.o1[DIF_Target.]))/_xlfn.STDEV.P(Tab.o1[DIF_Target.])),"")</f>
        <v/>
      </c>
      <c r="K1074" s="117" t="str">
        <f>IF(Tab.o1[[#This Row],[a1]]=1,IF(J$2=0,Tab.o1[[#This Row],[MOD]]-Tab.o1[[#This Row],[B]],IF(J$2=1,0,-Tab.o1[[#This Row],[MED]])+Tab.o1[[#This Row],[B]]),"")</f>
        <v/>
      </c>
      <c r="L1074" s="117" t="str">
        <f ca="1">IF(Tab.o1[[#This Row],[DIF_Target]]=0,IF(L$2=0,Tab.o1[[#This Row],[DIF_Target]],AVERAGE(OFFSET(Tab.o1[[#This Row],[DIF_Target]],1,0,L$3,1)))/3,Tab.o1[[#This Row],[DIF_Target]])</f>
        <v/>
      </c>
      <c r="M1074" s="118" t="str">
        <f>IF(Tab.o1[[#This Row],[a1]]=1,NORMSDIST(Tab.o1[[#This Row],[Za]]),"")</f>
        <v/>
      </c>
      <c r="N1074" s="119" t="str">
        <f>IF(Tab.o1[[#This Row],[a1]]=1,((Tab.o1[[#This Row],[MedMod]]-AVERAGE(Tab.o1[MedMod]))/_xlfn.STDEV.P(Tab.o1[MedMod])*H$1205)+G$1205,"")</f>
        <v/>
      </c>
      <c r="O1074" s="141" t="str">
        <f>IF(Tab.o1[[#This Row],[a1]]=1,Tab.o1[[#This Row],[Zb]]*_xlfn.STDEV.P(Tab.o1[MedMod])+AVERAGE(Tab.o1[MedMod]),"")</f>
        <v/>
      </c>
      <c r="P1074" s="117" t="str">
        <f ca="1">IF(Tab.o1[[#This Row],[B]]=0,AVERAGE(OFFSET(Tab.o1[[#This Row],[B]],1,0,L$3,1)),Tab.o1[[#This Row],[B]])</f>
        <v/>
      </c>
      <c r="Q1074" s="121" t="str">
        <f>IF(Tab.o1[[#This Row],[a1]]=1,NORMSDIST(Tab.o1[[#This Row],[Zb]]),"")</f>
        <v/>
      </c>
      <c r="R1074" s="122" t="str">
        <f>IF(Tab.o1[[#This Row],[a1]]=1,((Tab.o1[[#This Row],[MedMod]]-AVERAGE(Tab.o1[MedMod]))/_xlfn.STDEV.P(Tab.o1[MedMod])*H$1203)+G$1203,"")</f>
        <v/>
      </c>
      <c r="S1074" s="122" t="str">
        <f>IF(Tab.o1[[#This Row],[a1]]=1,((Tab.o1[[#This Row],[MedMod]]-AVERAGE(Tab.o1[MedMod]))/_xlfn.STDEV.P(Tab.o1[MedMod])*H$1204)+G$1204,"")</f>
        <v/>
      </c>
      <c r="T1074" s="123" t="str">
        <f>IF(Tab.o1[[#This Row],[a1]]=1,Tab.o1[[#This Row],[Z-]]*_xlfn.STDEV.P(Tab.o1[B])+AVERAGE(Tab.o1[B]),"")</f>
        <v/>
      </c>
      <c r="U1074" s="123" t="str">
        <f>IF(Tab.o1[[#This Row],[a1]]=1,Tab.o1[[#This Row],[z+]]*_xlfn.STDEV.P(Tab.o1[B])+AVERAGE(Tab.o1[B]),"")</f>
        <v/>
      </c>
      <c r="V1074" s="124" t="str">
        <f>IF(Tab.o1[[#This Row],[a1]]=1,ABS((ABS(Tab.o1[[#This Row],[Red]]-Tab.o1[[#This Row],[Blue]]))),"")</f>
        <v/>
      </c>
      <c r="W1074" s="125" t="str">
        <f>IF(Tab.o1[[#This Row],[a1]]=1,IF(W$3=0,1,Tab.o1[[#This Row],[Amp.]]*1/_xlfn.MINIFS(Tab.o1[Amp.],Tab.o1[Amp.],"&lt;&gt;0")),"")</f>
        <v/>
      </c>
      <c r="X1074" s="126" t="str">
        <f>IF(Tab.o1[[#This Row],[a1]]=1,IF(ISNUMBER(Tab.o1[[#This Row],[i.]]),NORMDIST(Tab.o1[[#This Row],[Za]],0,1,FALSE)*Tab.o1[[#This Row],[i.]],AP$3),"")</f>
        <v/>
      </c>
      <c r="Y1074" s="126" t="str">
        <f>IF(Tab.o1[[#This Row],[a1]]=1,0.01+0.94*Tab.o1[[#This Row],[PDF]]/MAX(Tab.o1[PDF]),"")</f>
        <v/>
      </c>
      <c r="Z1074" s="126" t="str">
        <f>IF(Tab.o1[[#This Row],[a1]]=1,0.01+0.94*Tab.o1[[#This Row],[W1_PDF]]/MAX(Tab.o1[W1_PDF]),"")</f>
        <v/>
      </c>
      <c r="AA1074" s="118" t="str">
        <f>IF(Tab.o1[[#This Row],[a1]]=1,ABS([1]!T.in.A[[#This Row],[oo6]]),"")</f>
        <v/>
      </c>
      <c r="AB1074" s="127" t="str">
        <f>IF(Tab.o1[[#This Row],[a1]]=1,IF(AE$3=0,"",IF(AB$3=0,ABS([1]!T.in.A[[#This Row],[oo9]]),ABS(Tab.o1[[#This Row],[DIF_Target.]]*Tab.o1[[#This Row],[W1_PDF]]))),"")</f>
        <v/>
      </c>
      <c r="AC1074" s="127" t="str">
        <f>IF(G$1=1,"",IF(Tab.o1[[#This Row],[a1]]=1,Tab.o1[[#This Row],[Wr]]^2,""))</f>
        <v/>
      </c>
      <c r="AD1074" s="118" t="str">
        <f>IF(Tab.o1[[#This Row],[a1]]=1,IF(AE$3=0,"",Tab.o1[[#This Row],[Wr2]]/SUM(Tab.o1[Wr2])),"")</f>
        <v/>
      </c>
      <c r="AE1074" s="128" t="str">
        <f>IF(Tab.o1[[#This Row],[a1]]=1,[1]!T.in.A[[#This Row],[oo10]],"")</f>
        <v/>
      </c>
      <c r="AF1074" s="118" t="str">
        <f>IF(Tab.o1[[#This Row],[a1]]=1,ABS(Tab.o1[[#This Row],[DIF_Target.]]*Tab.o1[[#This Row],[PDF2]]*Tab.o1[[#This Row],[IN]]),"")</f>
        <v/>
      </c>
      <c r="AG1074" s="129" t="str">
        <f>IF(Tab.o1[[#This Row],[a1]]=1,Tab.o1[[#This Row],[rW]]^2,"")</f>
        <v/>
      </c>
      <c r="AH1074" s="130" t="str">
        <f>IF(Tab.o1[[#This Row],[a1]]=1,IF(AH$3=0,Tab.o1[[#This Row],[rW2]],0.01+0.94*Tab.o1[[#This Row],[rW2]]/SUM(Tab.o1[rW2])),"")</f>
        <v/>
      </c>
      <c r="AI1074" s="128" t="str">
        <f>IF(Tab.o1[[#This Row],[a1]]=1,1/Tab.o1[[#This Row],[PDF]],"")</f>
        <v/>
      </c>
      <c r="AJ1074" s="131" t="str">
        <f>IF(Tab.o1[[#This Row],[a1]]=1,[1]!T_AA[[#This Row],[IN'']]*[1]!T_AA[[#This Row],[Qde'']],"")</f>
        <v/>
      </c>
      <c r="AK1074" s="132" t="str">
        <f>IF(Tab.o1[[#This Row],[a1]]=1,IF(AK$1=1,Tab.o1[[#This Row],[MED]]+Tab.o1[[#This Row],[MOD]]-Tab.o1[[#This Row],[MED]],""),"")</f>
        <v/>
      </c>
      <c r="AL1074" s="133" t="str">
        <f>IF(Tab.o1[[#This Row],[a1]]=1,[1]!T.in.A[[#This Row],[oo16]],"")</f>
        <v/>
      </c>
      <c r="AM1074" s="133" t="str">
        <f>IF(Tab.o1[[#This Row],[a1]]=1,IF(AM$3=1,[1]!T.in.A[[#This Row],[Σo16]],""),"")</f>
        <v/>
      </c>
      <c r="AN1074" s="126" t="str">
        <f>IF(Tab.o1[[#This Row],[a1]]=1,[1]!T.in.A[[#This Row],[Σp5]],"")</f>
        <v/>
      </c>
      <c r="AO1074" s="126" t="str">
        <f>IF(Tab.o1[[#This Row],[a1]]=1,IF(AO$3=1,[1]!T.in.A[[#This Row],[Σp5]],""),"")</f>
        <v/>
      </c>
      <c r="AP1074" s="110" t="str">
        <f>IF(Tab.o1[[#This Row],[a1]]=1,IF(ISNUMBER(Tab.o1[[#This Row],[i.]]),NORMDIST(Tab.o1[[#This Row],[Za]],0,1,FALSE)*Tab.o1[[#This Row],[i.]],0),"")</f>
        <v/>
      </c>
      <c r="AQ1074" s="125" t="str">
        <f>IF(Tab.o1[[#This Row],[a1]]=1,ABS(Tab.o1[[#This Row],[MOD]]-AVERAGE(Tab.o1[MOD])),"")</f>
        <v/>
      </c>
      <c r="AR1074" s="134" t="str">
        <f>IF(Tab.o1[[#This Row],[a1]]=1,Tab.o1[[#This Row],[OBS]]/SUM(Tab.o1[OBS]),"")</f>
        <v/>
      </c>
      <c r="AS1074" s="135" t="str">
        <f>IF(ISNUMBER(Tab.o1[[#This Row],[a1]]),ROW()-4,"")</f>
        <v/>
      </c>
      <c r="AT1074" s="136" t="str">
        <f>Tab.o1[[#This Row],[MOD]]</f>
        <v/>
      </c>
      <c r="AU1074" s="137" t="str">
        <f t="shared" si="65"/>
        <v/>
      </c>
      <c r="AV1074" s="138" t="str">
        <f t="shared" si="66"/>
        <v/>
      </c>
      <c r="AW1074" s="138" t="str">
        <f t="shared" si="67"/>
        <v/>
      </c>
      <c r="AX1074" s="139" t="str">
        <f>[1]!T.in.A[[#This Row],[ID_T_manu]]</f>
        <v/>
      </c>
      <c r="AY1074" s="140" t="str">
        <f>IF(ISNUMBER(Tab.o1[[#This Row],[a1]]),IF(AND(Tab.o1[[#This Row],[a1]]=1,Tab.o1[[#This Row],[b1]]&lt;=AY$4),#REF!,AY1073),"")</f>
        <v/>
      </c>
      <c r="AZ1074" s="25"/>
      <c r="BA1074" s="25"/>
      <c r="BB1074" s="25"/>
      <c r="BC1074" s="25"/>
      <c r="BD1074" s="25"/>
      <c r="BE1074" s="25"/>
      <c r="BF1074" s="25"/>
      <c r="BG1074" s="25"/>
      <c r="BH1074" s="25"/>
      <c r="BI1074" s="25"/>
      <c r="BJ1074" s="25"/>
      <c r="BK1074" s="25"/>
      <c r="BL1074" s="25"/>
      <c r="BM1074" s="25"/>
      <c r="BN1074" s="26"/>
      <c r="BO1074" s="26"/>
      <c r="BP1074" s="26"/>
      <c r="BQ1074" s="26"/>
      <c r="BR1074" s="26"/>
      <c r="BS1074" s="26"/>
      <c r="BT1074" s="26"/>
      <c r="BU1074" s="26"/>
      <c r="BV1074" s="26"/>
      <c r="BW1074" s="26"/>
      <c r="BX1074" s="26"/>
      <c r="BY1074" s="26"/>
      <c r="BZ1074" s="26"/>
      <c r="CA1074" s="26"/>
    </row>
    <row r="1075" spans="1:79" ht="15.75" hidden="1">
      <c r="A1075" s="109">
        <v>2.0000000000000003E-6</v>
      </c>
      <c r="B1075" s="110">
        <f t="shared" si="64"/>
        <v>1075</v>
      </c>
      <c r="C1075" s="111" t="str">
        <f>IF(C$1=[1]!T.in.A[[#This Row],[oo2]],1,"")</f>
        <v/>
      </c>
      <c r="D1075" s="112" t="str">
        <f>IF(Tab.o1[[#This Row],[a1]]=1,IF(SUM(C1075:C1076)=0,0,IF(SUM(C1074:C1075)=1,1,IF(SUM(C1074:C1076)&gt;1,D1074+1,0))),"")</f>
        <v/>
      </c>
      <c r="E1075" s="113" t="str">
        <f>IF(Tab.o1[[#This Row],[a1]]=1,[1]!T.in.A[[#This Row],[oo1]],"")</f>
        <v/>
      </c>
      <c r="F1075" s="113" t="str">
        <f>IF(Tab.o1[[#This Row],[a1]]=1,[1]!T.in.A[[#This Row],[pp1]],"")</f>
        <v/>
      </c>
      <c r="G1075" s="114" t="str">
        <f>IF(Tab.o1[[#This Row],[a1]]=1,G$2+IF(G$1=1,0,Tab.o1[[#This Row],[.x1]])+[1]!T.in.A[[#This Row],[oo3]],"")</f>
        <v/>
      </c>
      <c r="H1075" s="115" t="str">
        <f>IF(Tab.o1[[#This Row],[a1]]=1,IF(H$2=0,0,IF(G$1=1,0,Tab.o1[[#This Row],[.x1]])+[1]!T.in.A[[#This Row],[oo4]]),"")</f>
        <v/>
      </c>
      <c r="I1075" s="116" t="str">
        <f>IF(Tab.o1[[#This Row],[a1]]=1,IF(J$2=0,Tab.o1[[#This Row],[MED]],Tab.o1[[#This Row],[MOD]]),"")</f>
        <v/>
      </c>
      <c r="J1075" s="116" t="str">
        <f>IF(Tab.o1[[#This Row],[a1]]=1,((Tab.o1[[#This Row],[DIF_Target.]]-AVERAGE(Tab.o1[DIF_Target.]))/_xlfn.STDEV.P(Tab.o1[DIF_Target.])),"")</f>
        <v/>
      </c>
      <c r="K1075" s="117" t="str">
        <f>IF(Tab.o1[[#This Row],[a1]]=1,IF(J$2=0,Tab.o1[[#This Row],[MOD]]-Tab.o1[[#This Row],[B]],IF(J$2=1,0,-Tab.o1[[#This Row],[MED]])+Tab.o1[[#This Row],[B]]),"")</f>
        <v/>
      </c>
      <c r="L1075" s="117" t="str">
        <f ca="1">IF(Tab.o1[[#This Row],[DIF_Target]]=0,IF(L$2=0,Tab.o1[[#This Row],[DIF_Target]],AVERAGE(OFFSET(Tab.o1[[#This Row],[DIF_Target]],1,0,L$3,1)))/3,Tab.o1[[#This Row],[DIF_Target]])</f>
        <v/>
      </c>
      <c r="M1075" s="118" t="str">
        <f>IF(Tab.o1[[#This Row],[a1]]=1,NORMSDIST(Tab.o1[[#This Row],[Za]]),"")</f>
        <v/>
      </c>
      <c r="N1075" s="119" t="str">
        <f>IF(Tab.o1[[#This Row],[a1]]=1,((Tab.o1[[#This Row],[MedMod]]-AVERAGE(Tab.o1[MedMod]))/_xlfn.STDEV.P(Tab.o1[MedMod])*H$1205)+G$1205,"")</f>
        <v/>
      </c>
      <c r="O1075" s="141" t="str">
        <f>IF(Tab.o1[[#This Row],[a1]]=1,Tab.o1[[#This Row],[Zb]]*_xlfn.STDEV.P(Tab.o1[MedMod])+AVERAGE(Tab.o1[MedMod]),"")</f>
        <v/>
      </c>
      <c r="P1075" s="117" t="str">
        <f ca="1">IF(Tab.o1[[#This Row],[B]]=0,AVERAGE(OFFSET(Tab.o1[[#This Row],[B]],1,0,L$3,1)),Tab.o1[[#This Row],[B]])</f>
        <v/>
      </c>
      <c r="Q1075" s="121" t="str">
        <f>IF(Tab.o1[[#This Row],[a1]]=1,NORMSDIST(Tab.o1[[#This Row],[Zb]]),"")</f>
        <v/>
      </c>
      <c r="R1075" s="122" t="str">
        <f>IF(Tab.o1[[#This Row],[a1]]=1,((Tab.o1[[#This Row],[MedMod]]-AVERAGE(Tab.o1[MedMod]))/_xlfn.STDEV.P(Tab.o1[MedMod])*H$1203)+G$1203,"")</f>
        <v/>
      </c>
      <c r="S1075" s="122" t="str">
        <f>IF(Tab.o1[[#This Row],[a1]]=1,((Tab.o1[[#This Row],[MedMod]]-AVERAGE(Tab.o1[MedMod]))/_xlfn.STDEV.P(Tab.o1[MedMod])*H$1204)+G$1204,"")</f>
        <v/>
      </c>
      <c r="T1075" s="123" t="str">
        <f>IF(Tab.o1[[#This Row],[a1]]=1,Tab.o1[[#This Row],[Z-]]*_xlfn.STDEV.P(Tab.o1[B])+AVERAGE(Tab.o1[B]),"")</f>
        <v/>
      </c>
      <c r="U1075" s="123" t="str">
        <f>IF(Tab.o1[[#This Row],[a1]]=1,Tab.o1[[#This Row],[z+]]*_xlfn.STDEV.P(Tab.o1[B])+AVERAGE(Tab.o1[B]),"")</f>
        <v/>
      </c>
      <c r="V1075" s="124" t="str">
        <f>IF(Tab.o1[[#This Row],[a1]]=1,ABS((ABS(Tab.o1[[#This Row],[Red]]-Tab.o1[[#This Row],[Blue]]))),"")</f>
        <v/>
      </c>
      <c r="W1075" s="125" t="str">
        <f>IF(Tab.o1[[#This Row],[a1]]=1,IF(W$3=0,1,Tab.o1[[#This Row],[Amp.]]*1/_xlfn.MINIFS(Tab.o1[Amp.],Tab.o1[Amp.],"&lt;&gt;0")),"")</f>
        <v/>
      </c>
      <c r="X1075" s="126" t="str">
        <f>IF(Tab.o1[[#This Row],[a1]]=1,IF(ISNUMBER(Tab.o1[[#This Row],[i.]]),NORMDIST(Tab.o1[[#This Row],[Za]],0,1,FALSE)*Tab.o1[[#This Row],[i.]],AP$3),"")</f>
        <v/>
      </c>
      <c r="Y1075" s="126" t="str">
        <f>IF(Tab.o1[[#This Row],[a1]]=1,0.01+0.94*Tab.o1[[#This Row],[PDF]]/MAX(Tab.o1[PDF]),"")</f>
        <v/>
      </c>
      <c r="Z1075" s="126" t="str">
        <f>IF(Tab.o1[[#This Row],[a1]]=1,0.01+0.94*Tab.o1[[#This Row],[W1_PDF]]/MAX(Tab.o1[W1_PDF]),"")</f>
        <v/>
      </c>
      <c r="AA1075" s="118" t="str">
        <f>IF(Tab.o1[[#This Row],[a1]]=1,ABS([1]!T.in.A[[#This Row],[oo6]]),"")</f>
        <v/>
      </c>
      <c r="AB1075" s="127" t="str">
        <f>IF(Tab.o1[[#This Row],[a1]]=1,IF(AE$3=0,"",IF(AB$3=0,ABS([1]!T.in.A[[#This Row],[oo9]]),ABS(Tab.o1[[#This Row],[DIF_Target.]]*Tab.o1[[#This Row],[W1_PDF]]))),"")</f>
        <v/>
      </c>
      <c r="AC1075" s="127" t="str">
        <f>IF(G$1=1,"",IF(Tab.o1[[#This Row],[a1]]=1,Tab.o1[[#This Row],[Wr]]^2,""))</f>
        <v/>
      </c>
      <c r="AD1075" s="118" t="str">
        <f>IF(Tab.o1[[#This Row],[a1]]=1,IF(AE$3=0,"",Tab.o1[[#This Row],[Wr2]]/SUM(Tab.o1[Wr2])),"")</f>
        <v/>
      </c>
      <c r="AE1075" s="128" t="str">
        <f>IF(Tab.o1[[#This Row],[a1]]=1,[1]!T.in.A[[#This Row],[oo10]],"")</f>
        <v/>
      </c>
      <c r="AF1075" s="118" t="str">
        <f>IF(Tab.o1[[#This Row],[a1]]=1,ABS(Tab.o1[[#This Row],[DIF_Target.]]*Tab.o1[[#This Row],[PDF2]]*Tab.o1[[#This Row],[IN]]),"")</f>
        <v/>
      </c>
      <c r="AG1075" s="129" t="str">
        <f>IF(Tab.o1[[#This Row],[a1]]=1,Tab.o1[[#This Row],[rW]]^2,"")</f>
        <v/>
      </c>
      <c r="AH1075" s="130" t="str">
        <f>IF(Tab.o1[[#This Row],[a1]]=1,IF(AH$3=0,Tab.o1[[#This Row],[rW2]],0.01+0.94*Tab.o1[[#This Row],[rW2]]/SUM(Tab.o1[rW2])),"")</f>
        <v/>
      </c>
      <c r="AI1075" s="128" t="str">
        <f>IF(Tab.o1[[#This Row],[a1]]=1,1/Tab.o1[[#This Row],[PDF]],"")</f>
        <v/>
      </c>
      <c r="AJ1075" s="131" t="str">
        <f>IF(Tab.o1[[#This Row],[a1]]=1,[1]!T_AA[[#This Row],[IN'']]*[1]!T_AA[[#This Row],[Qde'']],"")</f>
        <v/>
      </c>
      <c r="AK1075" s="132" t="str">
        <f>IF(Tab.o1[[#This Row],[a1]]=1,IF(AK$1=1,Tab.o1[[#This Row],[MED]]+Tab.o1[[#This Row],[MOD]]-Tab.o1[[#This Row],[MED]],""),"")</f>
        <v/>
      </c>
      <c r="AL1075" s="133" t="str">
        <f>IF(Tab.o1[[#This Row],[a1]]=1,[1]!T.in.A[[#This Row],[oo16]],"")</f>
        <v/>
      </c>
      <c r="AM1075" s="133" t="str">
        <f>IF(Tab.o1[[#This Row],[a1]]=1,IF(AM$3=1,[1]!T.in.A[[#This Row],[Σo16]],""),"")</f>
        <v/>
      </c>
      <c r="AN1075" s="126" t="str">
        <f>IF(Tab.o1[[#This Row],[a1]]=1,[1]!T.in.A[[#This Row],[Σp5]],"")</f>
        <v/>
      </c>
      <c r="AO1075" s="126" t="str">
        <f>IF(Tab.o1[[#This Row],[a1]]=1,IF(AO$3=1,[1]!T.in.A[[#This Row],[Σp5]],""),"")</f>
        <v/>
      </c>
      <c r="AP1075" s="110" t="str">
        <f>IF(Tab.o1[[#This Row],[a1]]=1,IF(ISNUMBER(Tab.o1[[#This Row],[i.]]),NORMDIST(Tab.o1[[#This Row],[Za]],0,1,FALSE)*Tab.o1[[#This Row],[i.]],0),"")</f>
        <v/>
      </c>
      <c r="AQ1075" s="125" t="str">
        <f>IF(Tab.o1[[#This Row],[a1]]=1,ABS(Tab.o1[[#This Row],[MOD]]-AVERAGE(Tab.o1[MOD])),"")</f>
        <v/>
      </c>
      <c r="AR1075" s="134" t="str">
        <f>IF(Tab.o1[[#This Row],[a1]]=1,Tab.o1[[#This Row],[OBS]]/SUM(Tab.o1[OBS]),"")</f>
        <v/>
      </c>
      <c r="AS1075" s="135" t="str">
        <f>IF(ISNUMBER(Tab.o1[[#This Row],[a1]]),ROW()-4,"")</f>
        <v/>
      </c>
      <c r="AT1075" s="136" t="str">
        <f>Tab.o1[[#This Row],[MOD]]</f>
        <v/>
      </c>
      <c r="AU1075" s="137" t="str">
        <f t="shared" si="65"/>
        <v/>
      </c>
      <c r="AV1075" s="138" t="str">
        <f t="shared" si="66"/>
        <v/>
      </c>
      <c r="AW1075" s="138" t="str">
        <f t="shared" si="67"/>
        <v/>
      </c>
      <c r="AX1075" s="139" t="str">
        <f>[1]!T.in.A[[#This Row],[ID_T_manu]]</f>
        <v/>
      </c>
      <c r="AY1075" s="140" t="str">
        <f>IF(ISNUMBER(Tab.o1[[#This Row],[a1]]),IF(AND(Tab.o1[[#This Row],[a1]]=1,Tab.o1[[#This Row],[b1]]&lt;=AY$4),#REF!,AY1074),"")</f>
        <v/>
      </c>
      <c r="AZ1075" s="25"/>
      <c r="BA1075" s="25"/>
      <c r="BB1075" s="25"/>
      <c r="BC1075" s="25"/>
      <c r="BD1075" s="25"/>
      <c r="BE1075" s="25"/>
      <c r="BF1075" s="25"/>
      <c r="BG1075" s="25"/>
      <c r="BH1075" s="25"/>
      <c r="BI1075" s="25"/>
      <c r="BJ1075" s="25"/>
      <c r="BK1075" s="25"/>
      <c r="BL1075" s="25"/>
      <c r="BM1075" s="25"/>
      <c r="BN1075" s="26"/>
      <c r="BO1075" s="26"/>
      <c r="BP1075" s="26"/>
      <c r="BQ1075" s="26"/>
      <c r="BR1075" s="26"/>
      <c r="BS1075" s="26"/>
      <c r="BT1075" s="26"/>
      <c r="BU1075" s="26"/>
      <c r="BV1075" s="26"/>
      <c r="BW1075" s="26"/>
      <c r="BX1075" s="26"/>
      <c r="BY1075" s="26"/>
      <c r="BZ1075" s="26"/>
      <c r="CA1075" s="26"/>
    </row>
    <row r="1076" spans="1:79" ht="15.75" hidden="1">
      <c r="A1076" s="109">
        <v>-1.0000000000000001E-5</v>
      </c>
      <c r="B1076" s="110">
        <f t="shared" si="64"/>
        <v>1076</v>
      </c>
      <c r="C1076" s="111" t="str">
        <f>IF(C$1=[1]!T.in.A[[#This Row],[oo2]],1,"")</f>
        <v/>
      </c>
      <c r="D1076" s="112" t="str">
        <f>IF(Tab.o1[[#This Row],[a1]]=1,IF(SUM(C1076:C1077)=0,0,IF(SUM(C1075:C1076)=1,1,IF(SUM(C1075:C1077)&gt;1,D1075+1,0))),"")</f>
        <v/>
      </c>
      <c r="E1076" s="113" t="str">
        <f>IF(Tab.o1[[#This Row],[a1]]=1,[1]!T.in.A[[#This Row],[oo1]],"")</f>
        <v/>
      </c>
      <c r="F1076" s="113" t="str">
        <f>IF(Tab.o1[[#This Row],[a1]]=1,[1]!T.in.A[[#This Row],[pp1]],"")</f>
        <v/>
      </c>
      <c r="G1076" s="114" t="str">
        <f>IF(Tab.o1[[#This Row],[a1]]=1,G$2+IF(G$1=1,0,Tab.o1[[#This Row],[.x1]])+[1]!T.in.A[[#This Row],[oo3]],"")</f>
        <v/>
      </c>
      <c r="H1076" s="115" t="str">
        <f>IF(Tab.o1[[#This Row],[a1]]=1,IF(H$2=0,0,IF(G$1=1,0,Tab.o1[[#This Row],[.x1]])+[1]!T.in.A[[#This Row],[oo4]]),"")</f>
        <v/>
      </c>
      <c r="I1076" s="116" t="str">
        <f>IF(Tab.o1[[#This Row],[a1]]=1,IF(J$2=0,Tab.o1[[#This Row],[MED]],Tab.o1[[#This Row],[MOD]]),"")</f>
        <v/>
      </c>
      <c r="J1076" s="116" t="str">
        <f>IF(Tab.o1[[#This Row],[a1]]=1,((Tab.o1[[#This Row],[DIF_Target.]]-AVERAGE(Tab.o1[DIF_Target.]))/_xlfn.STDEV.P(Tab.o1[DIF_Target.])),"")</f>
        <v/>
      </c>
      <c r="K1076" s="117" t="str">
        <f>IF(Tab.o1[[#This Row],[a1]]=1,IF(J$2=0,Tab.o1[[#This Row],[MOD]]-Tab.o1[[#This Row],[B]],IF(J$2=1,0,-Tab.o1[[#This Row],[MED]])+Tab.o1[[#This Row],[B]]),"")</f>
        <v/>
      </c>
      <c r="L1076" s="117" t="str">
        <f ca="1">IF(Tab.o1[[#This Row],[DIF_Target]]=0,IF(L$2=0,Tab.o1[[#This Row],[DIF_Target]],AVERAGE(OFFSET(Tab.o1[[#This Row],[DIF_Target]],1,0,L$3,1)))/3,Tab.o1[[#This Row],[DIF_Target]])</f>
        <v/>
      </c>
      <c r="M1076" s="118" t="str">
        <f>IF(Tab.o1[[#This Row],[a1]]=1,NORMSDIST(Tab.o1[[#This Row],[Za]]),"")</f>
        <v/>
      </c>
      <c r="N1076" s="119" t="str">
        <f>IF(Tab.o1[[#This Row],[a1]]=1,((Tab.o1[[#This Row],[MedMod]]-AVERAGE(Tab.o1[MedMod]))/_xlfn.STDEV.P(Tab.o1[MedMod])*H$1205)+G$1205,"")</f>
        <v/>
      </c>
      <c r="O1076" s="141" t="str">
        <f>IF(Tab.o1[[#This Row],[a1]]=1,Tab.o1[[#This Row],[Zb]]*_xlfn.STDEV.P(Tab.o1[MedMod])+AVERAGE(Tab.o1[MedMod]),"")</f>
        <v/>
      </c>
      <c r="P1076" s="117" t="str">
        <f ca="1">IF(Tab.o1[[#This Row],[B]]=0,AVERAGE(OFFSET(Tab.o1[[#This Row],[B]],1,0,L$3,1)),Tab.o1[[#This Row],[B]])</f>
        <v/>
      </c>
      <c r="Q1076" s="121" t="str">
        <f>IF(Tab.o1[[#This Row],[a1]]=1,NORMSDIST(Tab.o1[[#This Row],[Zb]]),"")</f>
        <v/>
      </c>
      <c r="R1076" s="122" t="str">
        <f>IF(Tab.o1[[#This Row],[a1]]=1,((Tab.o1[[#This Row],[MedMod]]-AVERAGE(Tab.o1[MedMod]))/_xlfn.STDEV.P(Tab.o1[MedMod])*H$1203)+G$1203,"")</f>
        <v/>
      </c>
      <c r="S1076" s="122" t="str">
        <f>IF(Tab.o1[[#This Row],[a1]]=1,((Tab.o1[[#This Row],[MedMod]]-AVERAGE(Tab.o1[MedMod]))/_xlfn.STDEV.P(Tab.o1[MedMod])*H$1204)+G$1204,"")</f>
        <v/>
      </c>
      <c r="T1076" s="123" t="str">
        <f>IF(Tab.o1[[#This Row],[a1]]=1,Tab.o1[[#This Row],[Z-]]*_xlfn.STDEV.P(Tab.o1[B])+AVERAGE(Tab.o1[B]),"")</f>
        <v/>
      </c>
      <c r="U1076" s="123" t="str">
        <f>IF(Tab.o1[[#This Row],[a1]]=1,Tab.o1[[#This Row],[z+]]*_xlfn.STDEV.P(Tab.o1[B])+AVERAGE(Tab.o1[B]),"")</f>
        <v/>
      </c>
      <c r="V1076" s="124" t="str">
        <f>IF(Tab.o1[[#This Row],[a1]]=1,ABS((ABS(Tab.o1[[#This Row],[Red]]-Tab.o1[[#This Row],[Blue]]))),"")</f>
        <v/>
      </c>
      <c r="W1076" s="125" t="str">
        <f>IF(Tab.o1[[#This Row],[a1]]=1,IF(W$3=0,1,Tab.o1[[#This Row],[Amp.]]*1/_xlfn.MINIFS(Tab.o1[Amp.],Tab.o1[Amp.],"&lt;&gt;0")),"")</f>
        <v/>
      </c>
      <c r="X1076" s="126" t="str">
        <f>IF(Tab.o1[[#This Row],[a1]]=1,IF(ISNUMBER(Tab.o1[[#This Row],[i.]]),NORMDIST(Tab.o1[[#This Row],[Za]],0,1,FALSE)*Tab.o1[[#This Row],[i.]],AP$3),"")</f>
        <v/>
      </c>
      <c r="Y1076" s="126" t="str">
        <f>IF(Tab.o1[[#This Row],[a1]]=1,0.01+0.94*Tab.o1[[#This Row],[PDF]]/MAX(Tab.o1[PDF]),"")</f>
        <v/>
      </c>
      <c r="Z1076" s="126" t="str">
        <f>IF(Tab.o1[[#This Row],[a1]]=1,0.01+0.94*Tab.o1[[#This Row],[W1_PDF]]/MAX(Tab.o1[W1_PDF]),"")</f>
        <v/>
      </c>
      <c r="AA1076" s="118" t="str">
        <f>IF(Tab.o1[[#This Row],[a1]]=1,ABS([1]!T.in.A[[#This Row],[oo6]]),"")</f>
        <v/>
      </c>
      <c r="AB1076" s="127" t="str">
        <f>IF(Tab.o1[[#This Row],[a1]]=1,IF(AE$3=0,"",IF(AB$3=0,ABS([1]!T.in.A[[#This Row],[oo9]]),ABS(Tab.o1[[#This Row],[DIF_Target.]]*Tab.o1[[#This Row],[W1_PDF]]))),"")</f>
        <v/>
      </c>
      <c r="AC1076" s="127" t="str">
        <f>IF(G$1=1,"",IF(Tab.o1[[#This Row],[a1]]=1,Tab.o1[[#This Row],[Wr]]^2,""))</f>
        <v/>
      </c>
      <c r="AD1076" s="118" t="str">
        <f>IF(Tab.o1[[#This Row],[a1]]=1,IF(AE$3=0,"",Tab.o1[[#This Row],[Wr2]]/SUM(Tab.o1[Wr2])),"")</f>
        <v/>
      </c>
      <c r="AE1076" s="128" t="str">
        <f>IF(Tab.o1[[#This Row],[a1]]=1,[1]!T.in.A[[#This Row],[oo10]],"")</f>
        <v/>
      </c>
      <c r="AF1076" s="118" t="str">
        <f>IF(Tab.o1[[#This Row],[a1]]=1,ABS(Tab.o1[[#This Row],[DIF_Target.]]*Tab.o1[[#This Row],[PDF2]]*Tab.o1[[#This Row],[IN]]),"")</f>
        <v/>
      </c>
      <c r="AG1076" s="129" t="str">
        <f>IF(Tab.o1[[#This Row],[a1]]=1,Tab.o1[[#This Row],[rW]]^2,"")</f>
        <v/>
      </c>
      <c r="AH1076" s="130" t="str">
        <f>IF(Tab.o1[[#This Row],[a1]]=1,IF(AH$3=0,Tab.o1[[#This Row],[rW2]],0.01+0.94*Tab.o1[[#This Row],[rW2]]/SUM(Tab.o1[rW2])),"")</f>
        <v/>
      </c>
      <c r="AI1076" s="128" t="str">
        <f>IF(Tab.o1[[#This Row],[a1]]=1,1/Tab.o1[[#This Row],[PDF]],"")</f>
        <v/>
      </c>
      <c r="AJ1076" s="131" t="str">
        <f>IF(Tab.o1[[#This Row],[a1]]=1,[1]!T_AA[[#This Row],[IN'']]*[1]!T_AA[[#This Row],[Qde'']],"")</f>
        <v/>
      </c>
      <c r="AK1076" s="132" t="str">
        <f>IF(Tab.o1[[#This Row],[a1]]=1,IF(AK$1=1,Tab.o1[[#This Row],[MED]]+Tab.o1[[#This Row],[MOD]]-Tab.o1[[#This Row],[MED]],""),"")</f>
        <v/>
      </c>
      <c r="AL1076" s="133" t="str">
        <f>IF(Tab.o1[[#This Row],[a1]]=1,[1]!T.in.A[[#This Row],[oo16]],"")</f>
        <v/>
      </c>
      <c r="AM1076" s="133" t="str">
        <f>IF(Tab.o1[[#This Row],[a1]]=1,IF(AM$3=1,[1]!T.in.A[[#This Row],[Σo16]],""),"")</f>
        <v/>
      </c>
      <c r="AN1076" s="126" t="str">
        <f>IF(Tab.o1[[#This Row],[a1]]=1,[1]!T.in.A[[#This Row],[Σp5]],"")</f>
        <v/>
      </c>
      <c r="AO1076" s="126" t="str">
        <f>IF(Tab.o1[[#This Row],[a1]]=1,IF(AO$3=1,[1]!T.in.A[[#This Row],[Σp5]],""),"")</f>
        <v/>
      </c>
      <c r="AP1076" s="110" t="str">
        <f>IF(Tab.o1[[#This Row],[a1]]=1,IF(ISNUMBER(Tab.o1[[#This Row],[i.]]),NORMDIST(Tab.o1[[#This Row],[Za]],0,1,FALSE)*Tab.o1[[#This Row],[i.]],0),"")</f>
        <v/>
      </c>
      <c r="AQ1076" s="125" t="str">
        <f>IF(Tab.o1[[#This Row],[a1]]=1,ABS(Tab.o1[[#This Row],[MOD]]-AVERAGE(Tab.o1[MOD])),"")</f>
        <v/>
      </c>
      <c r="AR1076" s="134" t="str">
        <f>IF(Tab.o1[[#This Row],[a1]]=1,Tab.o1[[#This Row],[OBS]]/SUM(Tab.o1[OBS]),"")</f>
        <v/>
      </c>
      <c r="AS1076" s="135" t="str">
        <f>IF(ISNUMBER(Tab.o1[[#This Row],[a1]]),ROW()-4,"")</f>
        <v/>
      </c>
      <c r="AT1076" s="136" t="str">
        <f>Tab.o1[[#This Row],[MOD]]</f>
        <v/>
      </c>
      <c r="AU1076" s="137" t="str">
        <f t="shared" si="65"/>
        <v/>
      </c>
      <c r="AV1076" s="138" t="str">
        <f t="shared" si="66"/>
        <v/>
      </c>
      <c r="AW1076" s="138" t="str">
        <f t="shared" si="67"/>
        <v/>
      </c>
      <c r="AX1076" s="139" t="str">
        <f>[1]!T.in.A[[#This Row],[ID_T_manu]]</f>
        <v/>
      </c>
      <c r="AY1076" s="140" t="str">
        <f>IF(ISNUMBER(Tab.o1[[#This Row],[a1]]),IF(AND(Tab.o1[[#This Row],[a1]]=1,Tab.o1[[#This Row],[b1]]&lt;=AY$4),#REF!,AY1075),"")</f>
        <v/>
      </c>
      <c r="AZ1076" s="25"/>
      <c r="BA1076" s="25"/>
      <c r="BB1076" s="25"/>
      <c r="BC1076" s="25"/>
      <c r="BD1076" s="25"/>
      <c r="BE1076" s="25"/>
      <c r="BF1076" s="25"/>
      <c r="BG1076" s="25"/>
      <c r="BH1076" s="25"/>
      <c r="BI1076" s="25"/>
      <c r="BJ1076" s="25"/>
      <c r="BK1076" s="25"/>
      <c r="BL1076" s="25"/>
      <c r="BM1076" s="25"/>
      <c r="BN1076" s="26"/>
      <c r="BO1076" s="26"/>
      <c r="BP1076" s="26"/>
      <c r="BQ1076" s="26"/>
      <c r="BR1076" s="26"/>
      <c r="BS1076" s="26"/>
      <c r="BT1076" s="26"/>
      <c r="BU1076" s="26"/>
      <c r="BV1076" s="26"/>
      <c r="BW1076" s="26"/>
      <c r="BX1076" s="26"/>
      <c r="BY1076" s="26"/>
      <c r="BZ1076" s="26"/>
      <c r="CA1076" s="26"/>
    </row>
    <row r="1077" spans="1:79" ht="15.75" hidden="1">
      <c r="A1077" s="109">
        <v>2.9999999999999997E-6</v>
      </c>
      <c r="B1077" s="110">
        <f t="shared" si="64"/>
        <v>1077</v>
      </c>
      <c r="C1077" s="111" t="str">
        <f>IF(C$1=[1]!T.in.A[[#This Row],[oo2]],1,"")</f>
        <v/>
      </c>
      <c r="D1077" s="112" t="str">
        <f>IF(Tab.o1[[#This Row],[a1]]=1,IF(SUM(C1077:C1078)=0,0,IF(SUM(C1076:C1077)=1,1,IF(SUM(C1076:C1078)&gt;1,D1076+1,0))),"")</f>
        <v/>
      </c>
      <c r="E1077" s="113" t="str">
        <f>IF(Tab.o1[[#This Row],[a1]]=1,[1]!T.in.A[[#This Row],[oo1]],"")</f>
        <v/>
      </c>
      <c r="F1077" s="113" t="str">
        <f>IF(Tab.o1[[#This Row],[a1]]=1,[1]!T.in.A[[#This Row],[pp1]],"")</f>
        <v/>
      </c>
      <c r="G1077" s="114" t="str">
        <f>IF(Tab.o1[[#This Row],[a1]]=1,G$2+IF(G$1=1,0,Tab.o1[[#This Row],[.x1]])+[1]!T.in.A[[#This Row],[oo3]],"")</f>
        <v/>
      </c>
      <c r="H1077" s="115" t="str">
        <f>IF(Tab.o1[[#This Row],[a1]]=1,IF(H$2=0,0,IF(G$1=1,0,Tab.o1[[#This Row],[.x1]])+[1]!T.in.A[[#This Row],[oo4]]),"")</f>
        <v/>
      </c>
      <c r="I1077" s="116" t="str">
        <f>IF(Tab.o1[[#This Row],[a1]]=1,IF(J$2=0,Tab.o1[[#This Row],[MED]],Tab.o1[[#This Row],[MOD]]),"")</f>
        <v/>
      </c>
      <c r="J1077" s="116" t="str">
        <f>IF(Tab.o1[[#This Row],[a1]]=1,((Tab.o1[[#This Row],[DIF_Target.]]-AVERAGE(Tab.o1[DIF_Target.]))/_xlfn.STDEV.P(Tab.o1[DIF_Target.])),"")</f>
        <v/>
      </c>
      <c r="K1077" s="117" t="str">
        <f>IF(Tab.o1[[#This Row],[a1]]=1,IF(J$2=0,Tab.o1[[#This Row],[MOD]]-Tab.o1[[#This Row],[B]],IF(J$2=1,0,-Tab.o1[[#This Row],[MED]])+Tab.o1[[#This Row],[B]]),"")</f>
        <v/>
      </c>
      <c r="L1077" s="117" t="str">
        <f ca="1">IF(Tab.o1[[#This Row],[DIF_Target]]=0,IF(L$2=0,Tab.o1[[#This Row],[DIF_Target]],AVERAGE(OFFSET(Tab.o1[[#This Row],[DIF_Target]],1,0,L$3,1)))/3,Tab.o1[[#This Row],[DIF_Target]])</f>
        <v/>
      </c>
      <c r="M1077" s="118" t="str">
        <f>IF(Tab.o1[[#This Row],[a1]]=1,NORMSDIST(Tab.o1[[#This Row],[Za]]),"")</f>
        <v/>
      </c>
      <c r="N1077" s="119" t="str">
        <f>IF(Tab.o1[[#This Row],[a1]]=1,((Tab.o1[[#This Row],[MedMod]]-AVERAGE(Tab.o1[MedMod]))/_xlfn.STDEV.P(Tab.o1[MedMod])*H$1205)+G$1205,"")</f>
        <v/>
      </c>
      <c r="O1077" s="141" t="str">
        <f>IF(Tab.o1[[#This Row],[a1]]=1,Tab.o1[[#This Row],[Zb]]*_xlfn.STDEV.P(Tab.o1[MedMod])+AVERAGE(Tab.o1[MedMod]),"")</f>
        <v/>
      </c>
      <c r="P1077" s="117" t="str">
        <f ca="1">IF(Tab.o1[[#This Row],[B]]=0,AVERAGE(OFFSET(Tab.o1[[#This Row],[B]],1,0,L$3,1)),Tab.o1[[#This Row],[B]])</f>
        <v/>
      </c>
      <c r="Q1077" s="121" t="str">
        <f>IF(Tab.o1[[#This Row],[a1]]=1,NORMSDIST(Tab.o1[[#This Row],[Zb]]),"")</f>
        <v/>
      </c>
      <c r="R1077" s="122" t="str">
        <f>IF(Tab.o1[[#This Row],[a1]]=1,((Tab.o1[[#This Row],[MedMod]]-AVERAGE(Tab.o1[MedMod]))/_xlfn.STDEV.P(Tab.o1[MedMod])*H$1203)+G$1203,"")</f>
        <v/>
      </c>
      <c r="S1077" s="122" t="str">
        <f>IF(Tab.o1[[#This Row],[a1]]=1,((Tab.o1[[#This Row],[MedMod]]-AVERAGE(Tab.o1[MedMod]))/_xlfn.STDEV.P(Tab.o1[MedMod])*H$1204)+G$1204,"")</f>
        <v/>
      </c>
      <c r="T1077" s="123" t="str">
        <f>IF(Tab.o1[[#This Row],[a1]]=1,Tab.o1[[#This Row],[Z-]]*_xlfn.STDEV.P(Tab.o1[B])+AVERAGE(Tab.o1[B]),"")</f>
        <v/>
      </c>
      <c r="U1077" s="123" t="str">
        <f>IF(Tab.o1[[#This Row],[a1]]=1,Tab.o1[[#This Row],[z+]]*_xlfn.STDEV.P(Tab.o1[B])+AVERAGE(Tab.o1[B]),"")</f>
        <v/>
      </c>
      <c r="V1077" s="124" t="str">
        <f>IF(Tab.o1[[#This Row],[a1]]=1,ABS((ABS(Tab.o1[[#This Row],[Red]]-Tab.o1[[#This Row],[Blue]]))),"")</f>
        <v/>
      </c>
      <c r="W1077" s="125" t="str">
        <f>IF(Tab.o1[[#This Row],[a1]]=1,IF(W$3=0,1,Tab.o1[[#This Row],[Amp.]]*1/_xlfn.MINIFS(Tab.o1[Amp.],Tab.o1[Amp.],"&lt;&gt;0")),"")</f>
        <v/>
      </c>
      <c r="X1077" s="126" t="str">
        <f>IF(Tab.o1[[#This Row],[a1]]=1,IF(ISNUMBER(Tab.o1[[#This Row],[i.]]),NORMDIST(Tab.o1[[#This Row],[Za]],0,1,FALSE)*Tab.o1[[#This Row],[i.]],AP$3),"")</f>
        <v/>
      </c>
      <c r="Y1077" s="126" t="str">
        <f>IF(Tab.o1[[#This Row],[a1]]=1,0.01+0.94*Tab.o1[[#This Row],[PDF]]/MAX(Tab.o1[PDF]),"")</f>
        <v/>
      </c>
      <c r="Z1077" s="126" t="str">
        <f>IF(Tab.o1[[#This Row],[a1]]=1,0.01+0.94*Tab.o1[[#This Row],[W1_PDF]]/MAX(Tab.o1[W1_PDF]),"")</f>
        <v/>
      </c>
      <c r="AA1077" s="118" t="str">
        <f>IF(Tab.o1[[#This Row],[a1]]=1,ABS([1]!T.in.A[[#This Row],[oo6]]),"")</f>
        <v/>
      </c>
      <c r="AB1077" s="127" t="str">
        <f>IF(Tab.o1[[#This Row],[a1]]=1,IF(AE$3=0,"",IF(AB$3=0,ABS([1]!T.in.A[[#This Row],[oo9]]),ABS(Tab.o1[[#This Row],[DIF_Target.]]*Tab.o1[[#This Row],[W1_PDF]]))),"")</f>
        <v/>
      </c>
      <c r="AC1077" s="127" t="str">
        <f>IF(G$1=1,"",IF(Tab.o1[[#This Row],[a1]]=1,Tab.o1[[#This Row],[Wr]]^2,""))</f>
        <v/>
      </c>
      <c r="AD1077" s="118" t="str">
        <f>IF(Tab.o1[[#This Row],[a1]]=1,IF(AE$3=0,"",Tab.o1[[#This Row],[Wr2]]/SUM(Tab.o1[Wr2])),"")</f>
        <v/>
      </c>
      <c r="AE1077" s="128" t="str">
        <f>IF(Tab.o1[[#This Row],[a1]]=1,[1]!T.in.A[[#This Row],[oo10]],"")</f>
        <v/>
      </c>
      <c r="AF1077" s="118" t="str">
        <f>IF(Tab.o1[[#This Row],[a1]]=1,ABS(Tab.o1[[#This Row],[DIF_Target.]]*Tab.o1[[#This Row],[PDF2]]*Tab.o1[[#This Row],[IN]]),"")</f>
        <v/>
      </c>
      <c r="AG1077" s="129" t="str">
        <f>IF(Tab.o1[[#This Row],[a1]]=1,Tab.o1[[#This Row],[rW]]^2,"")</f>
        <v/>
      </c>
      <c r="AH1077" s="130" t="str">
        <f>IF(Tab.o1[[#This Row],[a1]]=1,IF(AH$3=0,Tab.o1[[#This Row],[rW2]],0.01+0.94*Tab.o1[[#This Row],[rW2]]/SUM(Tab.o1[rW2])),"")</f>
        <v/>
      </c>
      <c r="AI1077" s="128" t="str">
        <f>IF(Tab.o1[[#This Row],[a1]]=1,1/Tab.o1[[#This Row],[PDF]],"")</f>
        <v/>
      </c>
      <c r="AJ1077" s="131" t="str">
        <f>IF(Tab.o1[[#This Row],[a1]]=1,[1]!T_AA[[#This Row],[IN'']]*[1]!T_AA[[#This Row],[Qde'']],"")</f>
        <v/>
      </c>
      <c r="AK1077" s="132" t="str">
        <f>IF(Tab.o1[[#This Row],[a1]]=1,IF(AK$1=1,Tab.o1[[#This Row],[MED]]+Tab.o1[[#This Row],[MOD]]-Tab.o1[[#This Row],[MED]],""),"")</f>
        <v/>
      </c>
      <c r="AL1077" s="133" t="str">
        <f>IF(Tab.o1[[#This Row],[a1]]=1,[1]!T.in.A[[#This Row],[oo16]],"")</f>
        <v/>
      </c>
      <c r="AM1077" s="133" t="str">
        <f>IF(Tab.o1[[#This Row],[a1]]=1,IF(AM$3=1,[1]!T.in.A[[#This Row],[Σo16]],""),"")</f>
        <v/>
      </c>
      <c r="AN1077" s="126" t="str">
        <f>IF(Tab.o1[[#This Row],[a1]]=1,[1]!T.in.A[[#This Row],[Σp5]],"")</f>
        <v/>
      </c>
      <c r="AO1077" s="126" t="str">
        <f>IF(Tab.o1[[#This Row],[a1]]=1,IF(AO$3=1,[1]!T.in.A[[#This Row],[Σp5]],""),"")</f>
        <v/>
      </c>
      <c r="AP1077" s="110" t="str">
        <f>IF(Tab.o1[[#This Row],[a1]]=1,IF(ISNUMBER(Tab.o1[[#This Row],[i.]]),NORMDIST(Tab.o1[[#This Row],[Za]],0,1,FALSE)*Tab.o1[[#This Row],[i.]],0),"")</f>
        <v/>
      </c>
      <c r="AQ1077" s="125" t="str">
        <f>IF(Tab.o1[[#This Row],[a1]]=1,ABS(Tab.o1[[#This Row],[MOD]]-AVERAGE(Tab.o1[MOD])),"")</f>
        <v/>
      </c>
      <c r="AR1077" s="134" t="str">
        <f>IF(Tab.o1[[#This Row],[a1]]=1,Tab.o1[[#This Row],[OBS]]/SUM(Tab.o1[OBS]),"")</f>
        <v/>
      </c>
      <c r="AS1077" s="135" t="str">
        <f>IF(ISNUMBER(Tab.o1[[#This Row],[a1]]),ROW()-4,"")</f>
        <v/>
      </c>
      <c r="AT1077" s="136" t="str">
        <f>Tab.o1[[#This Row],[MOD]]</f>
        <v/>
      </c>
      <c r="AU1077" s="137" t="str">
        <f t="shared" si="65"/>
        <v/>
      </c>
      <c r="AV1077" s="138" t="str">
        <f t="shared" si="66"/>
        <v/>
      </c>
      <c r="AW1077" s="138" t="str">
        <f t="shared" si="67"/>
        <v/>
      </c>
      <c r="AX1077" s="139" t="str">
        <f>[1]!T.in.A[[#This Row],[ID_T_manu]]</f>
        <v/>
      </c>
      <c r="AY1077" s="140" t="str">
        <f>IF(ISNUMBER(Tab.o1[[#This Row],[a1]]),IF(AND(Tab.o1[[#This Row],[a1]]=1,Tab.o1[[#This Row],[b1]]&lt;=AY$4),#REF!,AY1076),"")</f>
        <v/>
      </c>
      <c r="AZ1077" s="25"/>
      <c r="BA1077" s="25"/>
      <c r="BB1077" s="25"/>
      <c r="BC1077" s="25"/>
      <c r="BD1077" s="25"/>
      <c r="BE1077" s="25"/>
      <c r="BF1077" s="25"/>
      <c r="BG1077" s="25"/>
      <c r="BH1077" s="25"/>
      <c r="BI1077" s="25"/>
      <c r="BJ1077" s="25"/>
      <c r="BK1077" s="25"/>
      <c r="BL1077" s="25"/>
      <c r="BM1077" s="25"/>
      <c r="BN1077" s="26"/>
      <c r="BO1077" s="26"/>
      <c r="BP1077" s="26"/>
      <c r="BQ1077" s="26"/>
      <c r="BR1077" s="26"/>
      <c r="BS1077" s="26"/>
      <c r="BT1077" s="26"/>
      <c r="BU1077" s="26"/>
      <c r="BV1077" s="26"/>
      <c r="BW1077" s="26"/>
      <c r="BX1077" s="26"/>
      <c r="BY1077" s="26"/>
      <c r="BZ1077" s="26"/>
      <c r="CA1077" s="26"/>
    </row>
    <row r="1078" spans="1:79" ht="15.75" hidden="1">
      <c r="A1078" s="109">
        <v>1.0000000000000002E-6</v>
      </c>
      <c r="B1078" s="110">
        <f t="shared" si="64"/>
        <v>1078</v>
      </c>
      <c r="C1078" s="111" t="str">
        <f>IF(C$1=[1]!T.in.A[[#This Row],[oo2]],1,"")</f>
        <v/>
      </c>
      <c r="D1078" s="112" t="str">
        <f>IF(Tab.o1[[#This Row],[a1]]=1,IF(SUM(C1078:C1079)=0,0,IF(SUM(C1077:C1078)=1,1,IF(SUM(C1077:C1079)&gt;1,D1077+1,0))),"")</f>
        <v/>
      </c>
      <c r="E1078" s="113" t="str">
        <f>IF(Tab.o1[[#This Row],[a1]]=1,[1]!T.in.A[[#This Row],[oo1]],"")</f>
        <v/>
      </c>
      <c r="F1078" s="113" t="str">
        <f>IF(Tab.o1[[#This Row],[a1]]=1,[1]!T.in.A[[#This Row],[pp1]],"")</f>
        <v/>
      </c>
      <c r="G1078" s="114" t="str">
        <f>IF(Tab.o1[[#This Row],[a1]]=1,G$2+IF(G$1=1,0,Tab.o1[[#This Row],[.x1]])+[1]!T.in.A[[#This Row],[oo3]],"")</f>
        <v/>
      </c>
      <c r="H1078" s="115" t="str">
        <f>IF(Tab.o1[[#This Row],[a1]]=1,IF(H$2=0,0,IF(G$1=1,0,Tab.o1[[#This Row],[.x1]])+[1]!T.in.A[[#This Row],[oo4]]),"")</f>
        <v/>
      </c>
      <c r="I1078" s="116" t="str">
        <f>IF(Tab.o1[[#This Row],[a1]]=1,IF(J$2=0,Tab.o1[[#This Row],[MED]],Tab.o1[[#This Row],[MOD]]),"")</f>
        <v/>
      </c>
      <c r="J1078" s="116" t="str">
        <f>IF(Tab.o1[[#This Row],[a1]]=1,((Tab.o1[[#This Row],[DIF_Target.]]-AVERAGE(Tab.o1[DIF_Target.]))/_xlfn.STDEV.P(Tab.o1[DIF_Target.])),"")</f>
        <v/>
      </c>
      <c r="K1078" s="117" t="str">
        <f>IF(Tab.o1[[#This Row],[a1]]=1,IF(J$2=0,Tab.o1[[#This Row],[MOD]]-Tab.o1[[#This Row],[B]],IF(J$2=1,0,-Tab.o1[[#This Row],[MED]])+Tab.o1[[#This Row],[B]]),"")</f>
        <v/>
      </c>
      <c r="L1078" s="117" t="str">
        <f ca="1">IF(Tab.o1[[#This Row],[DIF_Target]]=0,IF(L$2=0,Tab.o1[[#This Row],[DIF_Target]],AVERAGE(OFFSET(Tab.o1[[#This Row],[DIF_Target]],1,0,L$3,1)))/3,Tab.o1[[#This Row],[DIF_Target]])</f>
        <v/>
      </c>
      <c r="M1078" s="118" t="str">
        <f>IF(Tab.o1[[#This Row],[a1]]=1,NORMSDIST(Tab.o1[[#This Row],[Za]]),"")</f>
        <v/>
      </c>
      <c r="N1078" s="119" t="str">
        <f>IF(Tab.o1[[#This Row],[a1]]=1,((Tab.o1[[#This Row],[MedMod]]-AVERAGE(Tab.o1[MedMod]))/_xlfn.STDEV.P(Tab.o1[MedMod])*H$1205)+G$1205,"")</f>
        <v/>
      </c>
      <c r="O1078" s="141" t="str">
        <f>IF(Tab.o1[[#This Row],[a1]]=1,Tab.o1[[#This Row],[Zb]]*_xlfn.STDEV.P(Tab.o1[MedMod])+AVERAGE(Tab.o1[MedMod]),"")</f>
        <v/>
      </c>
      <c r="P1078" s="117" t="str">
        <f ca="1">IF(Tab.o1[[#This Row],[B]]=0,AVERAGE(OFFSET(Tab.o1[[#This Row],[B]],1,0,L$3,1)),Tab.o1[[#This Row],[B]])</f>
        <v/>
      </c>
      <c r="Q1078" s="121" t="str">
        <f>IF(Tab.o1[[#This Row],[a1]]=1,NORMSDIST(Tab.o1[[#This Row],[Zb]]),"")</f>
        <v/>
      </c>
      <c r="R1078" s="122" t="str">
        <f>IF(Tab.o1[[#This Row],[a1]]=1,((Tab.o1[[#This Row],[MedMod]]-AVERAGE(Tab.o1[MedMod]))/_xlfn.STDEV.P(Tab.o1[MedMod])*H$1203)+G$1203,"")</f>
        <v/>
      </c>
      <c r="S1078" s="122" t="str">
        <f>IF(Tab.o1[[#This Row],[a1]]=1,((Tab.o1[[#This Row],[MedMod]]-AVERAGE(Tab.o1[MedMod]))/_xlfn.STDEV.P(Tab.o1[MedMod])*H$1204)+G$1204,"")</f>
        <v/>
      </c>
      <c r="T1078" s="123" t="str">
        <f>IF(Tab.o1[[#This Row],[a1]]=1,Tab.o1[[#This Row],[Z-]]*_xlfn.STDEV.P(Tab.o1[B])+AVERAGE(Tab.o1[B]),"")</f>
        <v/>
      </c>
      <c r="U1078" s="123" t="str">
        <f>IF(Tab.o1[[#This Row],[a1]]=1,Tab.o1[[#This Row],[z+]]*_xlfn.STDEV.P(Tab.o1[B])+AVERAGE(Tab.o1[B]),"")</f>
        <v/>
      </c>
      <c r="V1078" s="124" t="str">
        <f>IF(Tab.o1[[#This Row],[a1]]=1,ABS((ABS(Tab.o1[[#This Row],[Red]]-Tab.o1[[#This Row],[Blue]]))),"")</f>
        <v/>
      </c>
      <c r="W1078" s="125" t="str">
        <f>IF(Tab.o1[[#This Row],[a1]]=1,IF(W$3=0,1,Tab.o1[[#This Row],[Amp.]]*1/_xlfn.MINIFS(Tab.o1[Amp.],Tab.o1[Amp.],"&lt;&gt;0")),"")</f>
        <v/>
      </c>
      <c r="X1078" s="126" t="str">
        <f>IF(Tab.o1[[#This Row],[a1]]=1,IF(ISNUMBER(Tab.o1[[#This Row],[i.]]),NORMDIST(Tab.o1[[#This Row],[Za]],0,1,FALSE)*Tab.o1[[#This Row],[i.]],AP$3),"")</f>
        <v/>
      </c>
      <c r="Y1078" s="126" t="str">
        <f>IF(Tab.o1[[#This Row],[a1]]=1,0.01+0.94*Tab.o1[[#This Row],[PDF]]/MAX(Tab.o1[PDF]),"")</f>
        <v/>
      </c>
      <c r="Z1078" s="126" t="str">
        <f>IF(Tab.o1[[#This Row],[a1]]=1,0.01+0.94*Tab.o1[[#This Row],[W1_PDF]]/MAX(Tab.o1[W1_PDF]),"")</f>
        <v/>
      </c>
      <c r="AA1078" s="118" t="str">
        <f>IF(Tab.o1[[#This Row],[a1]]=1,ABS([1]!T.in.A[[#This Row],[oo6]]),"")</f>
        <v/>
      </c>
      <c r="AB1078" s="127" t="str">
        <f>IF(Tab.o1[[#This Row],[a1]]=1,IF(AE$3=0,"",IF(AB$3=0,ABS([1]!T.in.A[[#This Row],[oo9]]),ABS(Tab.o1[[#This Row],[DIF_Target.]]*Tab.o1[[#This Row],[W1_PDF]]))),"")</f>
        <v/>
      </c>
      <c r="AC1078" s="127" t="str">
        <f>IF(G$1=1,"",IF(Tab.o1[[#This Row],[a1]]=1,Tab.o1[[#This Row],[Wr]]^2,""))</f>
        <v/>
      </c>
      <c r="AD1078" s="118" t="str">
        <f>IF(Tab.o1[[#This Row],[a1]]=1,IF(AE$3=0,"",Tab.o1[[#This Row],[Wr2]]/SUM(Tab.o1[Wr2])),"")</f>
        <v/>
      </c>
      <c r="AE1078" s="128" t="str">
        <f>IF(Tab.o1[[#This Row],[a1]]=1,[1]!T.in.A[[#This Row],[oo10]],"")</f>
        <v/>
      </c>
      <c r="AF1078" s="118" t="str">
        <f>IF(Tab.o1[[#This Row],[a1]]=1,ABS(Tab.o1[[#This Row],[DIF_Target.]]*Tab.o1[[#This Row],[PDF2]]*Tab.o1[[#This Row],[IN]]),"")</f>
        <v/>
      </c>
      <c r="AG1078" s="129" t="str">
        <f>IF(Tab.o1[[#This Row],[a1]]=1,Tab.o1[[#This Row],[rW]]^2,"")</f>
        <v/>
      </c>
      <c r="AH1078" s="130" t="str">
        <f>IF(Tab.o1[[#This Row],[a1]]=1,IF(AH$3=0,Tab.o1[[#This Row],[rW2]],0.01+0.94*Tab.o1[[#This Row],[rW2]]/SUM(Tab.o1[rW2])),"")</f>
        <v/>
      </c>
      <c r="AI1078" s="128" t="str">
        <f>IF(Tab.o1[[#This Row],[a1]]=1,1/Tab.o1[[#This Row],[PDF]],"")</f>
        <v/>
      </c>
      <c r="AJ1078" s="131" t="str">
        <f>IF(Tab.o1[[#This Row],[a1]]=1,[1]!T_AA[[#This Row],[IN'']]*[1]!T_AA[[#This Row],[Qde'']],"")</f>
        <v/>
      </c>
      <c r="AK1078" s="132" t="str">
        <f>IF(Tab.o1[[#This Row],[a1]]=1,IF(AK$1=1,Tab.o1[[#This Row],[MED]]+Tab.o1[[#This Row],[MOD]]-Tab.o1[[#This Row],[MED]],""),"")</f>
        <v/>
      </c>
      <c r="AL1078" s="133" t="str">
        <f>IF(Tab.o1[[#This Row],[a1]]=1,[1]!T.in.A[[#This Row],[oo16]],"")</f>
        <v/>
      </c>
      <c r="AM1078" s="133" t="str">
        <f>IF(Tab.o1[[#This Row],[a1]]=1,IF(AM$3=1,[1]!T.in.A[[#This Row],[Σo16]],""),"")</f>
        <v/>
      </c>
      <c r="AN1078" s="126" t="str">
        <f>IF(Tab.o1[[#This Row],[a1]]=1,[1]!T.in.A[[#This Row],[Σp5]],"")</f>
        <v/>
      </c>
      <c r="AO1078" s="126" t="str">
        <f>IF(Tab.o1[[#This Row],[a1]]=1,IF(AO$3=1,[1]!T.in.A[[#This Row],[Σp5]],""),"")</f>
        <v/>
      </c>
      <c r="AP1078" s="110" t="str">
        <f>IF(Tab.o1[[#This Row],[a1]]=1,IF(ISNUMBER(Tab.o1[[#This Row],[i.]]),NORMDIST(Tab.o1[[#This Row],[Za]],0,1,FALSE)*Tab.o1[[#This Row],[i.]],0),"")</f>
        <v/>
      </c>
      <c r="AQ1078" s="125" t="str">
        <f>IF(Tab.o1[[#This Row],[a1]]=1,ABS(Tab.o1[[#This Row],[MOD]]-AVERAGE(Tab.o1[MOD])),"")</f>
        <v/>
      </c>
      <c r="AR1078" s="134" t="str">
        <f>IF(Tab.o1[[#This Row],[a1]]=1,Tab.o1[[#This Row],[OBS]]/SUM(Tab.o1[OBS]),"")</f>
        <v/>
      </c>
      <c r="AS1078" s="135" t="str">
        <f>IF(ISNUMBER(Tab.o1[[#This Row],[a1]]),ROW()-4,"")</f>
        <v/>
      </c>
      <c r="AT1078" s="136" t="str">
        <f>Tab.o1[[#This Row],[MOD]]</f>
        <v/>
      </c>
      <c r="AU1078" s="137" t="str">
        <f t="shared" si="65"/>
        <v/>
      </c>
      <c r="AV1078" s="138" t="str">
        <f t="shared" si="66"/>
        <v/>
      </c>
      <c r="AW1078" s="138" t="str">
        <f t="shared" si="67"/>
        <v/>
      </c>
      <c r="AX1078" s="139" t="str">
        <f>[1]!T.in.A[[#This Row],[ID_T_manu]]</f>
        <v/>
      </c>
      <c r="AY1078" s="140" t="str">
        <f>IF(ISNUMBER(Tab.o1[[#This Row],[a1]]),IF(AND(Tab.o1[[#This Row],[a1]]=1,Tab.o1[[#This Row],[b1]]&lt;=AY$4),#REF!,AY1077),"")</f>
        <v/>
      </c>
      <c r="AZ1078" s="25"/>
      <c r="BA1078" s="25"/>
      <c r="BB1078" s="25"/>
      <c r="BC1078" s="25"/>
      <c r="BD1078" s="25"/>
      <c r="BE1078" s="25"/>
      <c r="BF1078" s="25"/>
      <c r="BG1078" s="25"/>
      <c r="BH1078" s="25"/>
      <c r="BI1078" s="25"/>
      <c r="BJ1078" s="25"/>
      <c r="BK1078" s="25"/>
      <c r="BL1078" s="25"/>
      <c r="BM1078" s="25"/>
      <c r="BN1078" s="26"/>
      <c r="BO1078" s="26"/>
      <c r="BP1078" s="26"/>
      <c r="BQ1078" s="26"/>
      <c r="BR1078" s="26"/>
      <c r="BS1078" s="26"/>
      <c r="BT1078" s="26"/>
      <c r="BU1078" s="26"/>
      <c r="BV1078" s="26"/>
      <c r="BW1078" s="26"/>
      <c r="BX1078" s="26"/>
      <c r="BY1078" s="26"/>
      <c r="BZ1078" s="26"/>
      <c r="CA1078" s="26"/>
    </row>
    <row r="1079" spans="1:79" ht="15.75" hidden="1">
      <c r="A1079" s="109">
        <v>-2.0000000000000003E-6</v>
      </c>
      <c r="B1079" s="110">
        <f t="shared" si="64"/>
        <v>1079</v>
      </c>
      <c r="C1079" s="111" t="str">
        <f>IF(C$1=[1]!T.in.A[[#This Row],[oo2]],1,"")</f>
        <v/>
      </c>
      <c r="D1079" s="112" t="str">
        <f>IF(Tab.o1[[#This Row],[a1]]=1,IF(SUM(C1079:C1080)=0,0,IF(SUM(C1078:C1079)=1,1,IF(SUM(C1078:C1080)&gt;1,D1078+1,0))),"")</f>
        <v/>
      </c>
      <c r="E1079" s="113" t="str">
        <f>IF(Tab.o1[[#This Row],[a1]]=1,[1]!T.in.A[[#This Row],[oo1]],"")</f>
        <v/>
      </c>
      <c r="F1079" s="113" t="str">
        <f>IF(Tab.o1[[#This Row],[a1]]=1,[1]!T.in.A[[#This Row],[pp1]],"")</f>
        <v/>
      </c>
      <c r="G1079" s="114" t="str">
        <f>IF(Tab.o1[[#This Row],[a1]]=1,G$2+IF(G$1=1,0,Tab.o1[[#This Row],[.x1]])+[1]!T.in.A[[#This Row],[oo3]],"")</f>
        <v/>
      </c>
      <c r="H1079" s="115" t="str">
        <f>IF(Tab.o1[[#This Row],[a1]]=1,IF(H$2=0,0,IF(G$1=1,0,Tab.o1[[#This Row],[.x1]])+[1]!T.in.A[[#This Row],[oo4]]),"")</f>
        <v/>
      </c>
      <c r="I1079" s="116" t="str">
        <f>IF(Tab.o1[[#This Row],[a1]]=1,IF(J$2=0,Tab.o1[[#This Row],[MED]],Tab.o1[[#This Row],[MOD]]),"")</f>
        <v/>
      </c>
      <c r="J1079" s="116" t="str">
        <f>IF(Tab.o1[[#This Row],[a1]]=1,((Tab.o1[[#This Row],[DIF_Target.]]-AVERAGE(Tab.o1[DIF_Target.]))/_xlfn.STDEV.P(Tab.o1[DIF_Target.])),"")</f>
        <v/>
      </c>
      <c r="K1079" s="117" t="str">
        <f>IF(Tab.o1[[#This Row],[a1]]=1,IF(J$2=0,Tab.o1[[#This Row],[MOD]]-Tab.o1[[#This Row],[B]],IF(J$2=1,0,-Tab.o1[[#This Row],[MED]])+Tab.o1[[#This Row],[B]]),"")</f>
        <v/>
      </c>
      <c r="L1079" s="117" t="str">
        <f ca="1">IF(Tab.o1[[#This Row],[DIF_Target]]=0,IF(L$2=0,Tab.o1[[#This Row],[DIF_Target]],AVERAGE(OFFSET(Tab.o1[[#This Row],[DIF_Target]],1,0,L$3,1)))/3,Tab.o1[[#This Row],[DIF_Target]])</f>
        <v/>
      </c>
      <c r="M1079" s="118" t="str">
        <f>IF(Tab.o1[[#This Row],[a1]]=1,NORMSDIST(Tab.o1[[#This Row],[Za]]),"")</f>
        <v/>
      </c>
      <c r="N1079" s="119" t="str">
        <f>IF(Tab.o1[[#This Row],[a1]]=1,((Tab.o1[[#This Row],[MedMod]]-AVERAGE(Tab.o1[MedMod]))/_xlfn.STDEV.P(Tab.o1[MedMod])*H$1205)+G$1205,"")</f>
        <v/>
      </c>
      <c r="O1079" s="141" t="str">
        <f>IF(Tab.o1[[#This Row],[a1]]=1,Tab.o1[[#This Row],[Zb]]*_xlfn.STDEV.P(Tab.o1[MedMod])+AVERAGE(Tab.o1[MedMod]),"")</f>
        <v/>
      </c>
      <c r="P1079" s="117" t="str">
        <f ca="1">IF(Tab.o1[[#This Row],[B]]=0,AVERAGE(OFFSET(Tab.o1[[#This Row],[B]],1,0,L$3,1)),Tab.o1[[#This Row],[B]])</f>
        <v/>
      </c>
      <c r="Q1079" s="121" t="str">
        <f>IF(Tab.o1[[#This Row],[a1]]=1,NORMSDIST(Tab.o1[[#This Row],[Zb]]),"")</f>
        <v/>
      </c>
      <c r="R1079" s="122" t="str">
        <f>IF(Tab.o1[[#This Row],[a1]]=1,((Tab.o1[[#This Row],[MedMod]]-AVERAGE(Tab.o1[MedMod]))/_xlfn.STDEV.P(Tab.o1[MedMod])*H$1203)+G$1203,"")</f>
        <v/>
      </c>
      <c r="S1079" s="122" t="str">
        <f>IF(Tab.o1[[#This Row],[a1]]=1,((Tab.o1[[#This Row],[MedMod]]-AVERAGE(Tab.o1[MedMod]))/_xlfn.STDEV.P(Tab.o1[MedMod])*H$1204)+G$1204,"")</f>
        <v/>
      </c>
      <c r="T1079" s="123" t="str">
        <f>IF(Tab.o1[[#This Row],[a1]]=1,Tab.o1[[#This Row],[Z-]]*_xlfn.STDEV.P(Tab.o1[B])+AVERAGE(Tab.o1[B]),"")</f>
        <v/>
      </c>
      <c r="U1079" s="123" t="str">
        <f>IF(Tab.o1[[#This Row],[a1]]=1,Tab.o1[[#This Row],[z+]]*_xlfn.STDEV.P(Tab.o1[B])+AVERAGE(Tab.o1[B]),"")</f>
        <v/>
      </c>
      <c r="V1079" s="124" t="str">
        <f>IF(Tab.o1[[#This Row],[a1]]=1,ABS((ABS(Tab.o1[[#This Row],[Red]]-Tab.o1[[#This Row],[Blue]]))),"")</f>
        <v/>
      </c>
      <c r="W1079" s="125" t="str">
        <f>IF(Tab.o1[[#This Row],[a1]]=1,IF(W$3=0,1,Tab.o1[[#This Row],[Amp.]]*1/_xlfn.MINIFS(Tab.o1[Amp.],Tab.o1[Amp.],"&lt;&gt;0")),"")</f>
        <v/>
      </c>
      <c r="X1079" s="126" t="str">
        <f>IF(Tab.o1[[#This Row],[a1]]=1,IF(ISNUMBER(Tab.o1[[#This Row],[i.]]),NORMDIST(Tab.o1[[#This Row],[Za]],0,1,FALSE)*Tab.o1[[#This Row],[i.]],AP$3),"")</f>
        <v/>
      </c>
      <c r="Y1079" s="126" t="str">
        <f>IF(Tab.o1[[#This Row],[a1]]=1,0.01+0.94*Tab.o1[[#This Row],[PDF]]/MAX(Tab.o1[PDF]),"")</f>
        <v/>
      </c>
      <c r="Z1079" s="126" t="str">
        <f>IF(Tab.o1[[#This Row],[a1]]=1,0.01+0.94*Tab.o1[[#This Row],[W1_PDF]]/MAX(Tab.o1[W1_PDF]),"")</f>
        <v/>
      </c>
      <c r="AA1079" s="118" t="str">
        <f>IF(Tab.o1[[#This Row],[a1]]=1,ABS([1]!T.in.A[[#This Row],[oo6]]),"")</f>
        <v/>
      </c>
      <c r="AB1079" s="127" t="str">
        <f>IF(Tab.o1[[#This Row],[a1]]=1,IF(AE$3=0,"",IF(AB$3=0,ABS([1]!T.in.A[[#This Row],[oo9]]),ABS(Tab.o1[[#This Row],[DIF_Target.]]*Tab.o1[[#This Row],[W1_PDF]]))),"")</f>
        <v/>
      </c>
      <c r="AC1079" s="127" t="str">
        <f>IF(G$1=1,"",IF(Tab.o1[[#This Row],[a1]]=1,Tab.o1[[#This Row],[Wr]]^2,""))</f>
        <v/>
      </c>
      <c r="AD1079" s="118" t="str">
        <f>IF(Tab.o1[[#This Row],[a1]]=1,IF(AE$3=0,"",Tab.o1[[#This Row],[Wr2]]/SUM(Tab.o1[Wr2])),"")</f>
        <v/>
      </c>
      <c r="AE1079" s="128" t="str">
        <f>IF(Tab.o1[[#This Row],[a1]]=1,[1]!T.in.A[[#This Row],[oo10]],"")</f>
        <v/>
      </c>
      <c r="AF1079" s="118" t="str">
        <f>IF(Tab.o1[[#This Row],[a1]]=1,ABS(Tab.o1[[#This Row],[DIF_Target.]]*Tab.o1[[#This Row],[PDF2]]*Tab.o1[[#This Row],[IN]]),"")</f>
        <v/>
      </c>
      <c r="AG1079" s="129" t="str">
        <f>IF(Tab.o1[[#This Row],[a1]]=1,Tab.o1[[#This Row],[rW]]^2,"")</f>
        <v/>
      </c>
      <c r="AH1079" s="130" t="str">
        <f>IF(Tab.o1[[#This Row],[a1]]=1,IF(AH$3=0,Tab.o1[[#This Row],[rW2]],0.01+0.94*Tab.o1[[#This Row],[rW2]]/SUM(Tab.o1[rW2])),"")</f>
        <v/>
      </c>
      <c r="AI1079" s="128" t="str">
        <f>IF(Tab.o1[[#This Row],[a1]]=1,1/Tab.o1[[#This Row],[PDF]],"")</f>
        <v/>
      </c>
      <c r="AJ1079" s="131" t="str">
        <f>IF(Tab.o1[[#This Row],[a1]]=1,[1]!T_AA[[#This Row],[IN'']]*[1]!T_AA[[#This Row],[Qde'']],"")</f>
        <v/>
      </c>
      <c r="AK1079" s="132" t="str">
        <f>IF(Tab.o1[[#This Row],[a1]]=1,IF(AK$1=1,Tab.o1[[#This Row],[MED]]+Tab.o1[[#This Row],[MOD]]-Tab.o1[[#This Row],[MED]],""),"")</f>
        <v/>
      </c>
      <c r="AL1079" s="133" t="str">
        <f>IF(Tab.o1[[#This Row],[a1]]=1,[1]!T.in.A[[#This Row],[oo16]],"")</f>
        <v/>
      </c>
      <c r="AM1079" s="133" t="str">
        <f>IF(Tab.o1[[#This Row],[a1]]=1,IF(AM$3=1,[1]!T.in.A[[#This Row],[Σo16]],""),"")</f>
        <v/>
      </c>
      <c r="AN1079" s="126" t="str">
        <f>IF(Tab.o1[[#This Row],[a1]]=1,[1]!T.in.A[[#This Row],[Σp5]],"")</f>
        <v/>
      </c>
      <c r="AO1079" s="126" t="str">
        <f>IF(Tab.o1[[#This Row],[a1]]=1,IF(AO$3=1,[1]!T.in.A[[#This Row],[Σp5]],""),"")</f>
        <v/>
      </c>
      <c r="AP1079" s="110" t="str">
        <f>IF(Tab.o1[[#This Row],[a1]]=1,IF(ISNUMBER(Tab.o1[[#This Row],[i.]]),NORMDIST(Tab.o1[[#This Row],[Za]],0,1,FALSE)*Tab.o1[[#This Row],[i.]],0),"")</f>
        <v/>
      </c>
      <c r="AQ1079" s="125" t="str">
        <f>IF(Tab.o1[[#This Row],[a1]]=1,ABS(Tab.o1[[#This Row],[MOD]]-AVERAGE(Tab.o1[MOD])),"")</f>
        <v/>
      </c>
      <c r="AR1079" s="134" t="str">
        <f>IF(Tab.o1[[#This Row],[a1]]=1,Tab.o1[[#This Row],[OBS]]/SUM(Tab.o1[OBS]),"")</f>
        <v/>
      </c>
      <c r="AS1079" s="135" t="str">
        <f>IF(ISNUMBER(Tab.o1[[#This Row],[a1]]),ROW()-4,"")</f>
        <v/>
      </c>
      <c r="AT1079" s="136" t="str">
        <f>Tab.o1[[#This Row],[MOD]]</f>
        <v/>
      </c>
      <c r="AU1079" s="137" t="str">
        <f t="shared" si="65"/>
        <v/>
      </c>
      <c r="AV1079" s="138" t="str">
        <f t="shared" si="66"/>
        <v/>
      </c>
      <c r="AW1079" s="138" t="str">
        <f t="shared" si="67"/>
        <v/>
      </c>
      <c r="AX1079" s="139" t="str">
        <f>[1]!T.in.A[[#This Row],[ID_T_manu]]</f>
        <v/>
      </c>
      <c r="AY1079" s="140" t="str">
        <f>IF(ISNUMBER(Tab.o1[[#This Row],[a1]]),IF(AND(Tab.o1[[#This Row],[a1]]=1,Tab.o1[[#This Row],[b1]]&lt;=AY$4),#REF!,AY1078),"")</f>
        <v/>
      </c>
      <c r="AZ1079" s="25"/>
      <c r="BA1079" s="25"/>
      <c r="BB1079" s="25"/>
      <c r="BC1079" s="25"/>
      <c r="BD1079" s="25"/>
      <c r="BE1079" s="25"/>
      <c r="BF1079" s="25"/>
      <c r="BG1079" s="25"/>
      <c r="BH1079" s="25"/>
      <c r="BI1079" s="25"/>
      <c r="BJ1079" s="25"/>
      <c r="BK1079" s="25"/>
      <c r="BL1079" s="25"/>
      <c r="BM1079" s="25"/>
      <c r="BN1079" s="26"/>
      <c r="BO1079" s="26"/>
      <c r="BP1079" s="26"/>
      <c r="BQ1079" s="26"/>
      <c r="BR1079" s="26"/>
      <c r="BS1079" s="26"/>
      <c r="BT1079" s="26"/>
      <c r="BU1079" s="26"/>
      <c r="BV1079" s="26"/>
      <c r="BW1079" s="26"/>
      <c r="BX1079" s="26"/>
      <c r="BY1079" s="26"/>
      <c r="BZ1079" s="26"/>
      <c r="CA1079" s="26"/>
    </row>
    <row r="1080" spans="1:79" ht="15.75" hidden="1">
      <c r="A1080" s="109">
        <v>-2.0000000000000003E-6</v>
      </c>
      <c r="B1080" s="110">
        <f t="shared" si="64"/>
        <v>1080</v>
      </c>
      <c r="C1080" s="111" t="str">
        <f>IF(C$1=[1]!T.in.A[[#This Row],[oo2]],1,"")</f>
        <v/>
      </c>
      <c r="D1080" s="112" t="str">
        <f>IF(Tab.o1[[#This Row],[a1]]=1,IF(SUM(C1080:C1081)=0,0,IF(SUM(C1079:C1080)=1,1,IF(SUM(C1079:C1081)&gt;1,D1079+1,0))),"")</f>
        <v/>
      </c>
      <c r="E1080" s="113" t="str">
        <f>IF(Tab.o1[[#This Row],[a1]]=1,[1]!T.in.A[[#This Row],[oo1]],"")</f>
        <v/>
      </c>
      <c r="F1080" s="113" t="str">
        <f>IF(Tab.o1[[#This Row],[a1]]=1,[1]!T.in.A[[#This Row],[pp1]],"")</f>
        <v/>
      </c>
      <c r="G1080" s="114" t="str">
        <f>IF(Tab.o1[[#This Row],[a1]]=1,G$2+IF(G$1=1,0,Tab.o1[[#This Row],[.x1]])+[1]!T.in.A[[#This Row],[oo3]],"")</f>
        <v/>
      </c>
      <c r="H1080" s="115" t="str">
        <f>IF(Tab.o1[[#This Row],[a1]]=1,IF(H$2=0,0,IF(G$1=1,0,Tab.o1[[#This Row],[.x1]])+[1]!T.in.A[[#This Row],[oo4]]),"")</f>
        <v/>
      </c>
      <c r="I1080" s="116" t="str">
        <f>IF(Tab.o1[[#This Row],[a1]]=1,IF(J$2=0,Tab.o1[[#This Row],[MED]],Tab.o1[[#This Row],[MOD]]),"")</f>
        <v/>
      </c>
      <c r="J1080" s="116" t="str">
        <f>IF(Tab.o1[[#This Row],[a1]]=1,((Tab.o1[[#This Row],[DIF_Target.]]-AVERAGE(Tab.o1[DIF_Target.]))/_xlfn.STDEV.P(Tab.o1[DIF_Target.])),"")</f>
        <v/>
      </c>
      <c r="K1080" s="117" t="str">
        <f>IF(Tab.o1[[#This Row],[a1]]=1,IF(J$2=0,Tab.o1[[#This Row],[MOD]]-Tab.o1[[#This Row],[B]],IF(J$2=1,0,-Tab.o1[[#This Row],[MED]])+Tab.o1[[#This Row],[B]]),"")</f>
        <v/>
      </c>
      <c r="L1080" s="117" t="str">
        <f ca="1">IF(Tab.o1[[#This Row],[DIF_Target]]=0,IF(L$2=0,Tab.o1[[#This Row],[DIF_Target]],AVERAGE(OFFSET(Tab.o1[[#This Row],[DIF_Target]],1,0,L$3,1)))/3,Tab.o1[[#This Row],[DIF_Target]])</f>
        <v/>
      </c>
      <c r="M1080" s="118" t="str">
        <f>IF(Tab.o1[[#This Row],[a1]]=1,NORMSDIST(Tab.o1[[#This Row],[Za]]),"")</f>
        <v/>
      </c>
      <c r="N1080" s="119" t="str">
        <f>IF(Tab.o1[[#This Row],[a1]]=1,((Tab.o1[[#This Row],[MedMod]]-AVERAGE(Tab.o1[MedMod]))/_xlfn.STDEV.P(Tab.o1[MedMod])*H$1205)+G$1205,"")</f>
        <v/>
      </c>
      <c r="O1080" s="141" t="str">
        <f>IF(Tab.o1[[#This Row],[a1]]=1,Tab.o1[[#This Row],[Zb]]*_xlfn.STDEV.P(Tab.o1[MedMod])+AVERAGE(Tab.o1[MedMod]),"")</f>
        <v/>
      </c>
      <c r="P1080" s="117" t="str">
        <f ca="1">IF(Tab.o1[[#This Row],[B]]=0,AVERAGE(OFFSET(Tab.o1[[#This Row],[B]],1,0,L$3,1)),Tab.o1[[#This Row],[B]])</f>
        <v/>
      </c>
      <c r="Q1080" s="121" t="str">
        <f>IF(Tab.o1[[#This Row],[a1]]=1,NORMSDIST(Tab.o1[[#This Row],[Zb]]),"")</f>
        <v/>
      </c>
      <c r="R1080" s="122" t="str">
        <f>IF(Tab.o1[[#This Row],[a1]]=1,((Tab.o1[[#This Row],[MedMod]]-AVERAGE(Tab.o1[MedMod]))/_xlfn.STDEV.P(Tab.o1[MedMod])*H$1203)+G$1203,"")</f>
        <v/>
      </c>
      <c r="S1080" s="122" t="str">
        <f>IF(Tab.o1[[#This Row],[a1]]=1,((Tab.o1[[#This Row],[MedMod]]-AVERAGE(Tab.o1[MedMod]))/_xlfn.STDEV.P(Tab.o1[MedMod])*H$1204)+G$1204,"")</f>
        <v/>
      </c>
      <c r="T1080" s="123" t="str">
        <f>IF(Tab.o1[[#This Row],[a1]]=1,Tab.o1[[#This Row],[Z-]]*_xlfn.STDEV.P(Tab.o1[B])+AVERAGE(Tab.o1[B]),"")</f>
        <v/>
      </c>
      <c r="U1080" s="123" t="str">
        <f>IF(Tab.o1[[#This Row],[a1]]=1,Tab.o1[[#This Row],[z+]]*_xlfn.STDEV.P(Tab.o1[B])+AVERAGE(Tab.o1[B]),"")</f>
        <v/>
      </c>
      <c r="V1080" s="124" t="str">
        <f>IF(Tab.o1[[#This Row],[a1]]=1,ABS((ABS(Tab.o1[[#This Row],[Red]]-Tab.o1[[#This Row],[Blue]]))),"")</f>
        <v/>
      </c>
      <c r="W1080" s="125" t="str">
        <f>IF(Tab.o1[[#This Row],[a1]]=1,IF(W$3=0,1,Tab.o1[[#This Row],[Amp.]]*1/_xlfn.MINIFS(Tab.o1[Amp.],Tab.o1[Amp.],"&lt;&gt;0")),"")</f>
        <v/>
      </c>
      <c r="X1080" s="126" t="str">
        <f>IF(Tab.o1[[#This Row],[a1]]=1,IF(ISNUMBER(Tab.o1[[#This Row],[i.]]),NORMDIST(Tab.o1[[#This Row],[Za]],0,1,FALSE)*Tab.o1[[#This Row],[i.]],AP$3),"")</f>
        <v/>
      </c>
      <c r="Y1080" s="126" t="str">
        <f>IF(Tab.o1[[#This Row],[a1]]=1,0.01+0.94*Tab.o1[[#This Row],[PDF]]/MAX(Tab.o1[PDF]),"")</f>
        <v/>
      </c>
      <c r="Z1080" s="126" t="str">
        <f>IF(Tab.o1[[#This Row],[a1]]=1,0.01+0.94*Tab.o1[[#This Row],[W1_PDF]]/MAX(Tab.o1[W1_PDF]),"")</f>
        <v/>
      </c>
      <c r="AA1080" s="118" t="str">
        <f>IF(Tab.o1[[#This Row],[a1]]=1,ABS([1]!T.in.A[[#This Row],[oo6]]),"")</f>
        <v/>
      </c>
      <c r="AB1080" s="127" t="str">
        <f>IF(Tab.o1[[#This Row],[a1]]=1,IF(AE$3=0,"",IF(AB$3=0,ABS([1]!T.in.A[[#This Row],[oo9]]),ABS(Tab.o1[[#This Row],[DIF_Target.]]*Tab.o1[[#This Row],[W1_PDF]]))),"")</f>
        <v/>
      </c>
      <c r="AC1080" s="127" t="str">
        <f>IF(G$1=1,"",IF(Tab.o1[[#This Row],[a1]]=1,Tab.o1[[#This Row],[Wr]]^2,""))</f>
        <v/>
      </c>
      <c r="AD1080" s="118" t="str">
        <f>IF(Tab.o1[[#This Row],[a1]]=1,IF(AE$3=0,"",Tab.o1[[#This Row],[Wr2]]/SUM(Tab.o1[Wr2])),"")</f>
        <v/>
      </c>
      <c r="AE1080" s="128" t="str">
        <f>IF(Tab.o1[[#This Row],[a1]]=1,[1]!T.in.A[[#This Row],[oo10]],"")</f>
        <v/>
      </c>
      <c r="AF1080" s="118" t="str">
        <f>IF(Tab.o1[[#This Row],[a1]]=1,ABS(Tab.o1[[#This Row],[DIF_Target.]]*Tab.o1[[#This Row],[PDF2]]*Tab.o1[[#This Row],[IN]]),"")</f>
        <v/>
      </c>
      <c r="AG1080" s="129" t="str">
        <f>IF(Tab.o1[[#This Row],[a1]]=1,Tab.o1[[#This Row],[rW]]^2,"")</f>
        <v/>
      </c>
      <c r="AH1080" s="130" t="str">
        <f>IF(Tab.o1[[#This Row],[a1]]=1,IF(AH$3=0,Tab.o1[[#This Row],[rW2]],0.01+0.94*Tab.o1[[#This Row],[rW2]]/SUM(Tab.o1[rW2])),"")</f>
        <v/>
      </c>
      <c r="AI1080" s="128" t="str">
        <f>IF(Tab.o1[[#This Row],[a1]]=1,1/Tab.o1[[#This Row],[PDF]],"")</f>
        <v/>
      </c>
      <c r="AJ1080" s="131" t="str">
        <f>IF(Tab.o1[[#This Row],[a1]]=1,[1]!T_AA[[#This Row],[IN'']]*[1]!T_AA[[#This Row],[Qde'']],"")</f>
        <v/>
      </c>
      <c r="AK1080" s="132" t="str">
        <f>IF(Tab.o1[[#This Row],[a1]]=1,IF(AK$1=1,Tab.o1[[#This Row],[MED]]+Tab.o1[[#This Row],[MOD]]-Tab.o1[[#This Row],[MED]],""),"")</f>
        <v/>
      </c>
      <c r="AL1080" s="133" t="str">
        <f>IF(Tab.o1[[#This Row],[a1]]=1,[1]!T.in.A[[#This Row],[oo16]],"")</f>
        <v/>
      </c>
      <c r="AM1080" s="133" t="str">
        <f>IF(Tab.o1[[#This Row],[a1]]=1,IF(AM$3=1,[1]!T.in.A[[#This Row],[Σo16]],""),"")</f>
        <v/>
      </c>
      <c r="AN1080" s="126" t="str">
        <f>IF(Tab.o1[[#This Row],[a1]]=1,[1]!T.in.A[[#This Row],[Σp5]],"")</f>
        <v/>
      </c>
      <c r="AO1080" s="126" t="str">
        <f>IF(Tab.o1[[#This Row],[a1]]=1,IF(AO$3=1,[1]!T.in.A[[#This Row],[Σp5]],""),"")</f>
        <v/>
      </c>
      <c r="AP1080" s="110" t="str">
        <f>IF(Tab.o1[[#This Row],[a1]]=1,IF(ISNUMBER(Tab.o1[[#This Row],[i.]]),NORMDIST(Tab.o1[[#This Row],[Za]],0,1,FALSE)*Tab.o1[[#This Row],[i.]],0),"")</f>
        <v/>
      </c>
      <c r="AQ1080" s="125" t="str">
        <f>IF(Tab.o1[[#This Row],[a1]]=1,ABS(Tab.o1[[#This Row],[MOD]]-AVERAGE(Tab.o1[MOD])),"")</f>
        <v/>
      </c>
      <c r="AR1080" s="134" t="str">
        <f>IF(Tab.o1[[#This Row],[a1]]=1,Tab.o1[[#This Row],[OBS]]/SUM(Tab.o1[OBS]),"")</f>
        <v/>
      </c>
      <c r="AS1080" s="135" t="str">
        <f>IF(ISNUMBER(Tab.o1[[#This Row],[a1]]),ROW()-4,"")</f>
        <v/>
      </c>
      <c r="AT1080" s="136" t="str">
        <f>Tab.o1[[#This Row],[MOD]]</f>
        <v/>
      </c>
      <c r="AU1080" s="137" t="str">
        <f t="shared" si="65"/>
        <v/>
      </c>
      <c r="AV1080" s="138" t="str">
        <f t="shared" si="66"/>
        <v/>
      </c>
      <c r="AW1080" s="138" t="str">
        <f t="shared" si="67"/>
        <v/>
      </c>
      <c r="AX1080" s="139" t="str">
        <f>[1]!T.in.A[[#This Row],[ID_T_manu]]</f>
        <v/>
      </c>
      <c r="AY1080" s="140" t="str">
        <f>IF(ISNUMBER(Tab.o1[[#This Row],[a1]]),IF(AND(Tab.o1[[#This Row],[a1]]=1,Tab.o1[[#This Row],[b1]]&lt;=AY$4),#REF!,AY1079),"")</f>
        <v/>
      </c>
      <c r="AZ1080" s="25"/>
      <c r="BA1080" s="25"/>
      <c r="BB1080" s="25"/>
      <c r="BC1080" s="25"/>
      <c r="BD1080" s="25"/>
      <c r="BE1080" s="25"/>
      <c r="BF1080" s="25"/>
      <c r="BG1080" s="25"/>
      <c r="BH1080" s="25"/>
      <c r="BI1080" s="25"/>
      <c r="BJ1080" s="25"/>
      <c r="BK1080" s="25"/>
      <c r="BL1080" s="25"/>
      <c r="BM1080" s="25"/>
      <c r="BN1080" s="26"/>
      <c r="BO1080" s="26"/>
      <c r="BP1080" s="26"/>
      <c r="BQ1080" s="26"/>
      <c r="BR1080" s="26"/>
      <c r="BS1080" s="26"/>
      <c r="BT1080" s="26"/>
      <c r="BU1080" s="26"/>
      <c r="BV1080" s="26"/>
      <c r="BW1080" s="26"/>
      <c r="BX1080" s="26"/>
      <c r="BY1080" s="26"/>
      <c r="BZ1080" s="26"/>
      <c r="CA1080" s="26"/>
    </row>
    <row r="1081" spans="1:79" ht="15.75" hidden="1">
      <c r="A1081" s="109">
        <v>-5.9999999999999993E-6</v>
      </c>
      <c r="B1081" s="110">
        <f t="shared" si="64"/>
        <v>1081</v>
      </c>
      <c r="C1081" s="111" t="str">
        <f>IF(C$1=[1]!T.in.A[[#This Row],[oo2]],1,"")</f>
        <v/>
      </c>
      <c r="D1081" s="112" t="str">
        <f>IF(Tab.o1[[#This Row],[a1]]=1,IF(SUM(C1081:C1082)=0,0,IF(SUM(C1080:C1081)=1,1,IF(SUM(C1080:C1082)&gt;1,D1080+1,0))),"")</f>
        <v/>
      </c>
      <c r="E1081" s="113" t="str">
        <f>IF(Tab.o1[[#This Row],[a1]]=1,[1]!T.in.A[[#This Row],[oo1]],"")</f>
        <v/>
      </c>
      <c r="F1081" s="113" t="str">
        <f>IF(Tab.o1[[#This Row],[a1]]=1,[1]!T.in.A[[#This Row],[pp1]],"")</f>
        <v/>
      </c>
      <c r="G1081" s="114" t="str">
        <f>IF(Tab.o1[[#This Row],[a1]]=1,G$2+IF(G$1=1,0,Tab.o1[[#This Row],[.x1]])+[1]!T.in.A[[#This Row],[oo3]],"")</f>
        <v/>
      </c>
      <c r="H1081" s="115" t="str">
        <f>IF(Tab.o1[[#This Row],[a1]]=1,IF(H$2=0,0,IF(G$1=1,0,Tab.o1[[#This Row],[.x1]])+[1]!T.in.A[[#This Row],[oo4]]),"")</f>
        <v/>
      </c>
      <c r="I1081" s="116" t="str">
        <f>IF(Tab.o1[[#This Row],[a1]]=1,IF(J$2=0,Tab.o1[[#This Row],[MED]],Tab.o1[[#This Row],[MOD]]),"")</f>
        <v/>
      </c>
      <c r="J1081" s="116" t="str">
        <f>IF(Tab.o1[[#This Row],[a1]]=1,((Tab.o1[[#This Row],[DIF_Target.]]-AVERAGE(Tab.o1[DIF_Target.]))/_xlfn.STDEV.P(Tab.o1[DIF_Target.])),"")</f>
        <v/>
      </c>
      <c r="K1081" s="117" t="str">
        <f>IF(Tab.o1[[#This Row],[a1]]=1,IF(J$2=0,Tab.o1[[#This Row],[MOD]]-Tab.o1[[#This Row],[B]],IF(J$2=1,0,-Tab.o1[[#This Row],[MED]])+Tab.o1[[#This Row],[B]]),"")</f>
        <v/>
      </c>
      <c r="L1081" s="117" t="str">
        <f ca="1">IF(Tab.o1[[#This Row],[DIF_Target]]=0,IF(L$2=0,Tab.o1[[#This Row],[DIF_Target]],AVERAGE(OFFSET(Tab.o1[[#This Row],[DIF_Target]],1,0,L$3,1)))/3,Tab.o1[[#This Row],[DIF_Target]])</f>
        <v/>
      </c>
      <c r="M1081" s="118" t="str">
        <f>IF(Tab.o1[[#This Row],[a1]]=1,NORMSDIST(Tab.o1[[#This Row],[Za]]),"")</f>
        <v/>
      </c>
      <c r="N1081" s="119" t="str">
        <f>IF(Tab.o1[[#This Row],[a1]]=1,((Tab.o1[[#This Row],[MedMod]]-AVERAGE(Tab.o1[MedMod]))/_xlfn.STDEV.P(Tab.o1[MedMod])*H$1205)+G$1205,"")</f>
        <v/>
      </c>
      <c r="O1081" s="141" t="str">
        <f>IF(Tab.o1[[#This Row],[a1]]=1,Tab.o1[[#This Row],[Zb]]*_xlfn.STDEV.P(Tab.o1[MedMod])+AVERAGE(Tab.o1[MedMod]),"")</f>
        <v/>
      </c>
      <c r="P1081" s="117" t="str">
        <f ca="1">IF(Tab.o1[[#This Row],[B]]=0,AVERAGE(OFFSET(Tab.o1[[#This Row],[B]],1,0,L$3,1)),Tab.o1[[#This Row],[B]])</f>
        <v/>
      </c>
      <c r="Q1081" s="121" t="str">
        <f>IF(Tab.o1[[#This Row],[a1]]=1,NORMSDIST(Tab.o1[[#This Row],[Zb]]),"")</f>
        <v/>
      </c>
      <c r="R1081" s="122" t="str">
        <f>IF(Tab.o1[[#This Row],[a1]]=1,((Tab.o1[[#This Row],[MedMod]]-AVERAGE(Tab.o1[MedMod]))/_xlfn.STDEV.P(Tab.o1[MedMod])*H$1203)+G$1203,"")</f>
        <v/>
      </c>
      <c r="S1081" s="122" t="str">
        <f>IF(Tab.o1[[#This Row],[a1]]=1,((Tab.o1[[#This Row],[MedMod]]-AVERAGE(Tab.o1[MedMod]))/_xlfn.STDEV.P(Tab.o1[MedMod])*H$1204)+G$1204,"")</f>
        <v/>
      </c>
      <c r="T1081" s="123" t="str">
        <f>IF(Tab.o1[[#This Row],[a1]]=1,Tab.o1[[#This Row],[Z-]]*_xlfn.STDEV.P(Tab.o1[B])+AVERAGE(Tab.o1[B]),"")</f>
        <v/>
      </c>
      <c r="U1081" s="123" t="str">
        <f>IF(Tab.o1[[#This Row],[a1]]=1,Tab.o1[[#This Row],[z+]]*_xlfn.STDEV.P(Tab.o1[B])+AVERAGE(Tab.o1[B]),"")</f>
        <v/>
      </c>
      <c r="V1081" s="124" t="str">
        <f>IF(Tab.o1[[#This Row],[a1]]=1,ABS((ABS(Tab.o1[[#This Row],[Red]]-Tab.o1[[#This Row],[Blue]]))),"")</f>
        <v/>
      </c>
      <c r="W1081" s="125" t="str">
        <f>IF(Tab.o1[[#This Row],[a1]]=1,IF(W$3=0,1,Tab.o1[[#This Row],[Amp.]]*1/_xlfn.MINIFS(Tab.o1[Amp.],Tab.o1[Amp.],"&lt;&gt;0")),"")</f>
        <v/>
      </c>
      <c r="X1081" s="126" t="str">
        <f>IF(Tab.o1[[#This Row],[a1]]=1,IF(ISNUMBER(Tab.o1[[#This Row],[i.]]),NORMDIST(Tab.o1[[#This Row],[Za]],0,1,FALSE)*Tab.o1[[#This Row],[i.]],AP$3),"")</f>
        <v/>
      </c>
      <c r="Y1081" s="126" t="str">
        <f>IF(Tab.o1[[#This Row],[a1]]=1,0.01+0.94*Tab.o1[[#This Row],[PDF]]/MAX(Tab.o1[PDF]),"")</f>
        <v/>
      </c>
      <c r="Z1081" s="126" t="str">
        <f>IF(Tab.o1[[#This Row],[a1]]=1,0.01+0.94*Tab.o1[[#This Row],[W1_PDF]]/MAX(Tab.o1[W1_PDF]),"")</f>
        <v/>
      </c>
      <c r="AA1081" s="118" t="str">
        <f>IF(Tab.o1[[#This Row],[a1]]=1,ABS([1]!T.in.A[[#This Row],[oo6]]),"")</f>
        <v/>
      </c>
      <c r="AB1081" s="127" t="str">
        <f>IF(Tab.o1[[#This Row],[a1]]=1,IF(AE$3=0,"",IF(AB$3=0,ABS([1]!T.in.A[[#This Row],[oo9]]),ABS(Tab.o1[[#This Row],[DIF_Target.]]*Tab.o1[[#This Row],[W1_PDF]]))),"")</f>
        <v/>
      </c>
      <c r="AC1081" s="127" t="str">
        <f>IF(G$1=1,"",IF(Tab.o1[[#This Row],[a1]]=1,Tab.o1[[#This Row],[Wr]]^2,""))</f>
        <v/>
      </c>
      <c r="AD1081" s="118" t="str">
        <f>IF(Tab.o1[[#This Row],[a1]]=1,IF(AE$3=0,"",Tab.o1[[#This Row],[Wr2]]/SUM(Tab.o1[Wr2])),"")</f>
        <v/>
      </c>
      <c r="AE1081" s="128" t="str">
        <f>IF(Tab.o1[[#This Row],[a1]]=1,[1]!T.in.A[[#This Row],[oo10]],"")</f>
        <v/>
      </c>
      <c r="AF1081" s="118" t="str">
        <f>IF(Tab.o1[[#This Row],[a1]]=1,ABS(Tab.o1[[#This Row],[DIF_Target.]]*Tab.o1[[#This Row],[PDF2]]*Tab.o1[[#This Row],[IN]]),"")</f>
        <v/>
      </c>
      <c r="AG1081" s="129" t="str">
        <f>IF(Tab.o1[[#This Row],[a1]]=1,Tab.o1[[#This Row],[rW]]^2,"")</f>
        <v/>
      </c>
      <c r="AH1081" s="130" t="str">
        <f>IF(Tab.o1[[#This Row],[a1]]=1,IF(AH$3=0,Tab.o1[[#This Row],[rW2]],0.01+0.94*Tab.o1[[#This Row],[rW2]]/SUM(Tab.o1[rW2])),"")</f>
        <v/>
      </c>
      <c r="AI1081" s="128" t="str">
        <f>IF(Tab.o1[[#This Row],[a1]]=1,1/Tab.o1[[#This Row],[PDF]],"")</f>
        <v/>
      </c>
      <c r="AJ1081" s="131" t="str">
        <f>IF(Tab.o1[[#This Row],[a1]]=1,[1]!T_AA[[#This Row],[IN'']]*[1]!T_AA[[#This Row],[Qde'']],"")</f>
        <v/>
      </c>
      <c r="AK1081" s="132" t="str">
        <f>IF(Tab.o1[[#This Row],[a1]]=1,IF(AK$1=1,Tab.o1[[#This Row],[MED]]+Tab.o1[[#This Row],[MOD]]-Tab.o1[[#This Row],[MED]],""),"")</f>
        <v/>
      </c>
      <c r="AL1081" s="133" t="str">
        <f>IF(Tab.o1[[#This Row],[a1]]=1,[1]!T.in.A[[#This Row],[oo16]],"")</f>
        <v/>
      </c>
      <c r="AM1081" s="133" t="str">
        <f>IF(Tab.o1[[#This Row],[a1]]=1,IF(AM$3=1,[1]!T.in.A[[#This Row],[Σo16]],""),"")</f>
        <v/>
      </c>
      <c r="AN1081" s="126" t="str">
        <f>IF(Tab.o1[[#This Row],[a1]]=1,[1]!T.in.A[[#This Row],[Σp5]],"")</f>
        <v/>
      </c>
      <c r="AO1081" s="126" t="str">
        <f>IF(Tab.o1[[#This Row],[a1]]=1,IF(AO$3=1,[1]!T.in.A[[#This Row],[Σp5]],""),"")</f>
        <v/>
      </c>
      <c r="AP1081" s="110" t="str">
        <f>IF(Tab.o1[[#This Row],[a1]]=1,IF(ISNUMBER(Tab.o1[[#This Row],[i.]]),NORMDIST(Tab.o1[[#This Row],[Za]],0,1,FALSE)*Tab.o1[[#This Row],[i.]],0),"")</f>
        <v/>
      </c>
      <c r="AQ1081" s="125" t="str">
        <f>IF(Tab.o1[[#This Row],[a1]]=1,ABS(Tab.o1[[#This Row],[MOD]]-AVERAGE(Tab.o1[MOD])),"")</f>
        <v/>
      </c>
      <c r="AR1081" s="134" t="str">
        <f>IF(Tab.o1[[#This Row],[a1]]=1,Tab.o1[[#This Row],[OBS]]/SUM(Tab.o1[OBS]),"")</f>
        <v/>
      </c>
      <c r="AS1081" s="135" t="str">
        <f>IF(ISNUMBER(Tab.o1[[#This Row],[a1]]),ROW()-4,"")</f>
        <v/>
      </c>
      <c r="AT1081" s="136" t="str">
        <f>Tab.o1[[#This Row],[MOD]]</f>
        <v/>
      </c>
      <c r="AU1081" s="137" t="str">
        <f t="shared" si="65"/>
        <v/>
      </c>
      <c r="AV1081" s="138" t="str">
        <f t="shared" si="66"/>
        <v/>
      </c>
      <c r="AW1081" s="138" t="str">
        <f t="shared" si="67"/>
        <v/>
      </c>
      <c r="AX1081" s="139" t="str">
        <f>[1]!T.in.A[[#This Row],[ID_T_manu]]</f>
        <v/>
      </c>
      <c r="AY1081" s="140" t="str">
        <f>IF(ISNUMBER(Tab.o1[[#This Row],[a1]]),IF(AND(Tab.o1[[#This Row],[a1]]=1,Tab.o1[[#This Row],[b1]]&lt;=AY$4),#REF!,AY1080),"")</f>
        <v/>
      </c>
      <c r="AZ1081" s="25"/>
      <c r="BA1081" s="25"/>
      <c r="BB1081" s="25"/>
      <c r="BC1081" s="25"/>
      <c r="BD1081" s="25"/>
      <c r="BE1081" s="25"/>
      <c r="BF1081" s="25"/>
      <c r="BG1081" s="25"/>
      <c r="BH1081" s="25"/>
      <c r="BI1081" s="25"/>
      <c r="BJ1081" s="25"/>
      <c r="BK1081" s="25"/>
      <c r="BL1081" s="25"/>
      <c r="BM1081" s="25"/>
      <c r="BN1081" s="26"/>
      <c r="BO1081" s="26"/>
      <c r="BP1081" s="26"/>
      <c r="BQ1081" s="26"/>
      <c r="BR1081" s="26"/>
      <c r="BS1081" s="26"/>
      <c r="BT1081" s="26"/>
      <c r="BU1081" s="26"/>
      <c r="BV1081" s="26"/>
      <c r="BW1081" s="26"/>
      <c r="BX1081" s="26"/>
      <c r="BY1081" s="26"/>
      <c r="BZ1081" s="26"/>
      <c r="CA1081" s="26"/>
    </row>
    <row r="1082" spans="1:79" ht="15.75" hidden="1">
      <c r="A1082" s="109">
        <v>-9.0000000000000002E-6</v>
      </c>
      <c r="B1082" s="110">
        <f t="shared" si="64"/>
        <v>1082</v>
      </c>
      <c r="C1082" s="111" t="str">
        <f>IF(C$1=[1]!T.in.A[[#This Row],[oo2]],1,"")</f>
        <v/>
      </c>
      <c r="D1082" s="112" t="str">
        <f>IF(Tab.o1[[#This Row],[a1]]=1,IF(SUM(C1082:C1083)=0,0,IF(SUM(C1081:C1082)=1,1,IF(SUM(C1081:C1083)&gt;1,D1081+1,0))),"")</f>
        <v/>
      </c>
      <c r="E1082" s="113" t="str">
        <f>IF(Tab.o1[[#This Row],[a1]]=1,[1]!T.in.A[[#This Row],[oo1]],"")</f>
        <v/>
      </c>
      <c r="F1082" s="113" t="str">
        <f>IF(Tab.o1[[#This Row],[a1]]=1,[1]!T.in.A[[#This Row],[pp1]],"")</f>
        <v/>
      </c>
      <c r="G1082" s="114" t="str">
        <f>IF(Tab.o1[[#This Row],[a1]]=1,G$2+IF(G$1=1,0,Tab.o1[[#This Row],[.x1]])+[1]!T.in.A[[#This Row],[oo3]],"")</f>
        <v/>
      </c>
      <c r="H1082" s="115" t="str">
        <f>IF(Tab.o1[[#This Row],[a1]]=1,IF(H$2=0,0,IF(G$1=1,0,Tab.o1[[#This Row],[.x1]])+[1]!T.in.A[[#This Row],[oo4]]),"")</f>
        <v/>
      </c>
      <c r="I1082" s="116" t="str">
        <f>IF(Tab.o1[[#This Row],[a1]]=1,IF(J$2=0,Tab.o1[[#This Row],[MED]],Tab.o1[[#This Row],[MOD]]),"")</f>
        <v/>
      </c>
      <c r="J1082" s="116" t="str">
        <f>IF(Tab.o1[[#This Row],[a1]]=1,((Tab.o1[[#This Row],[DIF_Target.]]-AVERAGE(Tab.o1[DIF_Target.]))/_xlfn.STDEV.P(Tab.o1[DIF_Target.])),"")</f>
        <v/>
      </c>
      <c r="K1082" s="117" t="str">
        <f>IF(Tab.o1[[#This Row],[a1]]=1,IF(J$2=0,Tab.o1[[#This Row],[MOD]]-Tab.o1[[#This Row],[B]],IF(J$2=1,0,-Tab.o1[[#This Row],[MED]])+Tab.o1[[#This Row],[B]]),"")</f>
        <v/>
      </c>
      <c r="L1082" s="117" t="str">
        <f ca="1">IF(Tab.o1[[#This Row],[DIF_Target]]=0,IF(L$2=0,Tab.o1[[#This Row],[DIF_Target]],AVERAGE(OFFSET(Tab.o1[[#This Row],[DIF_Target]],1,0,L$3,1)))/3,Tab.o1[[#This Row],[DIF_Target]])</f>
        <v/>
      </c>
      <c r="M1082" s="118" t="str">
        <f>IF(Tab.o1[[#This Row],[a1]]=1,NORMSDIST(Tab.o1[[#This Row],[Za]]),"")</f>
        <v/>
      </c>
      <c r="N1082" s="119" t="str">
        <f>IF(Tab.o1[[#This Row],[a1]]=1,((Tab.o1[[#This Row],[MedMod]]-AVERAGE(Tab.o1[MedMod]))/_xlfn.STDEV.P(Tab.o1[MedMod])*H$1205)+G$1205,"")</f>
        <v/>
      </c>
      <c r="O1082" s="141" t="str">
        <f>IF(Tab.o1[[#This Row],[a1]]=1,Tab.o1[[#This Row],[Zb]]*_xlfn.STDEV.P(Tab.o1[MedMod])+AVERAGE(Tab.o1[MedMod]),"")</f>
        <v/>
      </c>
      <c r="P1082" s="117" t="str">
        <f ca="1">IF(Tab.o1[[#This Row],[B]]=0,AVERAGE(OFFSET(Tab.o1[[#This Row],[B]],1,0,L$3,1)),Tab.o1[[#This Row],[B]])</f>
        <v/>
      </c>
      <c r="Q1082" s="121" t="str">
        <f>IF(Tab.o1[[#This Row],[a1]]=1,NORMSDIST(Tab.o1[[#This Row],[Zb]]),"")</f>
        <v/>
      </c>
      <c r="R1082" s="122" t="str">
        <f>IF(Tab.o1[[#This Row],[a1]]=1,((Tab.o1[[#This Row],[MedMod]]-AVERAGE(Tab.o1[MedMod]))/_xlfn.STDEV.P(Tab.o1[MedMod])*H$1203)+G$1203,"")</f>
        <v/>
      </c>
      <c r="S1082" s="122" t="str">
        <f>IF(Tab.o1[[#This Row],[a1]]=1,((Tab.o1[[#This Row],[MedMod]]-AVERAGE(Tab.o1[MedMod]))/_xlfn.STDEV.P(Tab.o1[MedMod])*H$1204)+G$1204,"")</f>
        <v/>
      </c>
      <c r="T1082" s="123" t="str">
        <f>IF(Tab.o1[[#This Row],[a1]]=1,Tab.o1[[#This Row],[Z-]]*_xlfn.STDEV.P(Tab.o1[B])+AVERAGE(Tab.o1[B]),"")</f>
        <v/>
      </c>
      <c r="U1082" s="123" t="str">
        <f>IF(Tab.o1[[#This Row],[a1]]=1,Tab.o1[[#This Row],[z+]]*_xlfn.STDEV.P(Tab.o1[B])+AVERAGE(Tab.o1[B]),"")</f>
        <v/>
      </c>
      <c r="V1082" s="124" t="str">
        <f>IF(Tab.o1[[#This Row],[a1]]=1,ABS((ABS(Tab.o1[[#This Row],[Red]]-Tab.o1[[#This Row],[Blue]]))),"")</f>
        <v/>
      </c>
      <c r="W1082" s="125" t="str">
        <f>IF(Tab.o1[[#This Row],[a1]]=1,IF(W$3=0,1,Tab.o1[[#This Row],[Amp.]]*1/_xlfn.MINIFS(Tab.o1[Amp.],Tab.o1[Amp.],"&lt;&gt;0")),"")</f>
        <v/>
      </c>
      <c r="X1082" s="126" t="str">
        <f>IF(Tab.o1[[#This Row],[a1]]=1,IF(ISNUMBER(Tab.o1[[#This Row],[i.]]),NORMDIST(Tab.o1[[#This Row],[Za]],0,1,FALSE)*Tab.o1[[#This Row],[i.]],AP$3),"")</f>
        <v/>
      </c>
      <c r="Y1082" s="126" t="str">
        <f>IF(Tab.o1[[#This Row],[a1]]=1,0.01+0.94*Tab.o1[[#This Row],[PDF]]/MAX(Tab.o1[PDF]),"")</f>
        <v/>
      </c>
      <c r="Z1082" s="126" t="str">
        <f>IF(Tab.o1[[#This Row],[a1]]=1,0.01+0.94*Tab.o1[[#This Row],[W1_PDF]]/MAX(Tab.o1[W1_PDF]),"")</f>
        <v/>
      </c>
      <c r="AA1082" s="118" t="str">
        <f>IF(Tab.o1[[#This Row],[a1]]=1,ABS([1]!T.in.A[[#This Row],[oo6]]),"")</f>
        <v/>
      </c>
      <c r="AB1082" s="127" t="str">
        <f>IF(Tab.o1[[#This Row],[a1]]=1,IF(AE$3=0,"",IF(AB$3=0,ABS([1]!T.in.A[[#This Row],[oo9]]),ABS(Tab.o1[[#This Row],[DIF_Target.]]*Tab.o1[[#This Row],[W1_PDF]]))),"")</f>
        <v/>
      </c>
      <c r="AC1082" s="127" t="str">
        <f>IF(G$1=1,"",IF(Tab.o1[[#This Row],[a1]]=1,Tab.o1[[#This Row],[Wr]]^2,""))</f>
        <v/>
      </c>
      <c r="AD1082" s="118" t="str">
        <f>IF(Tab.o1[[#This Row],[a1]]=1,IF(AE$3=0,"",Tab.o1[[#This Row],[Wr2]]/SUM(Tab.o1[Wr2])),"")</f>
        <v/>
      </c>
      <c r="AE1082" s="128" t="str">
        <f>IF(Tab.o1[[#This Row],[a1]]=1,[1]!T.in.A[[#This Row],[oo10]],"")</f>
        <v/>
      </c>
      <c r="AF1082" s="118" t="str">
        <f>IF(Tab.o1[[#This Row],[a1]]=1,ABS(Tab.o1[[#This Row],[DIF_Target.]]*Tab.o1[[#This Row],[PDF2]]*Tab.o1[[#This Row],[IN]]),"")</f>
        <v/>
      </c>
      <c r="AG1082" s="129" t="str">
        <f>IF(Tab.o1[[#This Row],[a1]]=1,Tab.o1[[#This Row],[rW]]^2,"")</f>
        <v/>
      </c>
      <c r="AH1082" s="130" t="str">
        <f>IF(Tab.o1[[#This Row],[a1]]=1,IF(AH$3=0,Tab.o1[[#This Row],[rW2]],0.01+0.94*Tab.o1[[#This Row],[rW2]]/SUM(Tab.o1[rW2])),"")</f>
        <v/>
      </c>
      <c r="AI1082" s="128" t="str">
        <f>IF(Tab.o1[[#This Row],[a1]]=1,1/Tab.o1[[#This Row],[PDF]],"")</f>
        <v/>
      </c>
      <c r="AJ1082" s="131" t="str">
        <f>IF(Tab.o1[[#This Row],[a1]]=1,[1]!T_AA[[#This Row],[IN'']]*[1]!T_AA[[#This Row],[Qde'']],"")</f>
        <v/>
      </c>
      <c r="AK1082" s="132" t="str">
        <f>IF(Tab.o1[[#This Row],[a1]]=1,IF(AK$1=1,Tab.o1[[#This Row],[MED]]+Tab.o1[[#This Row],[MOD]]-Tab.o1[[#This Row],[MED]],""),"")</f>
        <v/>
      </c>
      <c r="AL1082" s="133" t="str">
        <f>IF(Tab.o1[[#This Row],[a1]]=1,[1]!T.in.A[[#This Row],[oo16]],"")</f>
        <v/>
      </c>
      <c r="AM1082" s="133" t="str">
        <f>IF(Tab.o1[[#This Row],[a1]]=1,IF(AM$3=1,[1]!T.in.A[[#This Row],[Σo16]],""),"")</f>
        <v/>
      </c>
      <c r="AN1082" s="126" t="str">
        <f>IF(Tab.o1[[#This Row],[a1]]=1,[1]!T.in.A[[#This Row],[Σp5]],"")</f>
        <v/>
      </c>
      <c r="AO1082" s="126" t="str">
        <f>IF(Tab.o1[[#This Row],[a1]]=1,IF(AO$3=1,[1]!T.in.A[[#This Row],[Σp5]],""),"")</f>
        <v/>
      </c>
      <c r="AP1082" s="110" t="str">
        <f>IF(Tab.o1[[#This Row],[a1]]=1,IF(ISNUMBER(Tab.o1[[#This Row],[i.]]),NORMDIST(Tab.o1[[#This Row],[Za]],0,1,FALSE)*Tab.o1[[#This Row],[i.]],0),"")</f>
        <v/>
      </c>
      <c r="AQ1082" s="125" t="str">
        <f>IF(Tab.o1[[#This Row],[a1]]=1,ABS(Tab.o1[[#This Row],[MOD]]-AVERAGE(Tab.o1[MOD])),"")</f>
        <v/>
      </c>
      <c r="AR1082" s="134" t="str">
        <f>IF(Tab.o1[[#This Row],[a1]]=1,Tab.o1[[#This Row],[OBS]]/SUM(Tab.o1[OBS]),"")</f>
        <v/>
      </c>
      <c r="AS1082" s="135" t="str">
        <f>IF(ISNUMBER(Tab.o1[[#This Row],[a1]]),ROW()-4,"")</f>
        <v/>
      </c>
      <c r="AT1082" s="136" t="str">
        <f>Tab.o1[[#This Row],[MOD]]</f>
        <v/>
      </c>
      <c r="AU1082" s="137" t="str">
        <f t="shared" si="65"/>
        <v/>
      </c>
      <c r="AV1082" s="138" t="str">
        <f t="shared" si="66"/>
        <v/>
      </c>
      <c r="AW1082" s="138" t="str">
        <f t="shared" si="67"/>
        <v/>
      </c>
      <c r="AX1082" s="139" t="str">
        <f>[1]!T.in.A[[#This Row],[ID_T_manu]]</f>
        <v/>
      </c>
      <c r="AY1082" s="140" t="str">
        <f>IF(ISNUMBER(Tab.o1[[#This Row],[a1]]),IF(AND(Tab.o1[[#This Row],[a1]]=1,Tab.o1[[#This Row],[b1]]&lt;=AY$4),#REF!,AY1081),"")</f>
        <v/>
      </c>
      <c r="AZ1082" s="25"/>
      <c r="BA1082" s="25"/>
      <c r="BB1082" s="25"/>
      <c r="BC1082" s="25"/>
      <c r="BD1082" s="25"/>
      <c r="BE1082" s="25"/>
      <c r="BF1082" s="25"/>
      <c r="BG1082" s="25"/>
      <c r="BH1082" s="25"/>
      <c r="BI1082" s="25"/>
      <c r="BJ1082" s="25"/>
      <c r="BK1082" s="25"/>
      <c r="BL1082" s="25"/>
      <c r="BM1082" s="25"/>
      <c r="BN1082" s="26"/>
      <c r="BO1082" s="26"/>
      <c r="BP1082" s="26"/>
      <c r="BQ1082" s="26"/>
      <c r="BR1082" s="26"/>
      <c r="BS1082" s="26"/>
      <c r="BT1082" s="26"/>
      <c r="BU1082" s="26"/>
      <c r="BV1082" s="26"/>
      <c r="BW1082" s="26"/>
      <c r="BX1082" s="26"/>
      <c r="BY1082" s="26"/>
      <c r="BZ1082" s="26"/>
      <c r="CA1082" s="26"/>
    </row>
    <row r="1083" spans="1:79" ht="15.75" hidden="1">
      <c r="A1083" s="109">
        <v>9.0000000000000002E-6</v>
      </c>
      <c r="B1083" s="110">
        <f t="shared" si="64"/>
        <v>1083</v>
      </c>
      <c r="C1083" s="111" t="str">
        <f>IF(C$1=[1]!T.in.A[[#This Row],[oo2]],1,"")</f>
        <v/>
      </c>
      <c r="D1083" s="112" t="str">
        <f>IF(Tab.o1[[#This Row],[a1]]=1,IF(SUM(C1083:C1084)=0,0,IF(SUM(C1082:C1083)=1,1,IF(SUM(C1082:C1084)&gt;1,D1082+1,0))),"")</f>
        <v/>
      </c>
      <c r="E1083" s="113" t="str">
        <f>IF(Tab.o1[[#This Row],[a1]]=1,[1]!T.in.A[[#This Row],[oo1]],"")</f>
        <v/>
      </c>
      <c r="F1083" s="113" t="str">
        <f>IF(Tab.o1[[#This Row],[a1]]=1,[1]!T.in.A[[#This Row],[pp1]],"")</f>
        <v/>
      </c>
      <c r="G1083" s="114" t="str">
        <f>IF(Tab.o1[[#This Row],[a1]]=1,G$2+IF(G$1=1,0,Tab.o1[[#This Row],[.x1]])+[1]!T.in.A[[#This Row],[oo3]],"")</f>
        <v/>
      </c>
      <c r="H1083" s="115" t="str">
        <f>IF(Tab.o1[[#This Row],[a1]]=1,IF(H$2=0,0,IF(G$1=1,0,Tab.o1[[#This Row],[.x1]])+[1]!T.in.A[[#This Row],[oo4]]),"")</f>
        <v/>
      </c>
      <c r="I1083" s="116" t="str">
        <f>IF(Tab.o1[[#This Row],[a1]]=1,IF(J$2=0,Tab.o1[[#This Row],[MED]],Tab.o1[[#This Row],[MOD]]),"")</f>
        <v/>
      </c>
      <c r="J1083" s="116" t="str">
        <f>IF(Tab.o1[[#This Row],[a1]]=1,((Tab.o1[[#This Row],[DIF_Target.]]-AVERAGE(Tab.o1[DIF_Target.]))/_xlfn.STDEV.P(Tab.o1[DIF_Target.])),"")</f>
        <v/>
      </c>
      <c r="K1083" s="117" t="str">
        <f>IF(Tab.o1[[#This Row],[a1]]=1,IF(J$2=0,Tab.o1[[#This Row],[MOD]]-Tab.o1[[#This Row],[B]],IF(J$2=1,0,-Tab.o1[[#This Row],[MED]])+Tab.o1[[#This Row],[B]]),"")</f>
        <v/>
      </c>
      <c r="L1083" s="117" t="str">
        <f ca="1">IF(Tab.o1[[#This Row],[DIF_Target]]=0,IF(L$2=0,Tab.o1[[#This Row],[DIF_Target]],AVERAGE(OFFSET(Tab.o1[[#This Row],[DIF_Target]],1,0,L$3,1)))/3,Tab.o1[[#This Row],[DIF_Target]])</f>
        <v/>
      </c>
      <c r="M1083" s="118" t="str">
        <f>IF(Tab.o1[[#This Row],[a1]]=1,NORMSDIST(Tab.o1[[#This Row],[Za]]),"")</f>
        <v/>
      </c>
      <c r="N1083" s="119" t="str">
        <f>IF(Tab.o1[[#This Row],[a1]]=1,((Tab.o1[[#This Row],[MedMod]]-AVERAGE(Tab.o1[MedMod]))/_xlfn.STDEV.P(Tab.o1[MedMod])*H$1205)+G$1205,"")</f>
        <v/>
      </c>
      <c r="O1083" s="141" t="str">
        <f>IF(Tab.o1[[#This Row],[a1]]=1,Tab.o1[[#This Row],[Zb]]*_xlfn.STDEV.P(Tab.o1[MedMod])+AVERAGE(Tab.o1[MedMod]),"")</f>
        <v/>
      </c>
      <c r="P1083" s="117" t="str">
        <f ca="1">IF(Tab.o1[[#This Row],[B]]=0,AVERAGE(OFFSET(Tab.o1[[#This Row],[B]],1,0,L$3,1)),Tab.o1[[#This Row],[B]])</f>
        <v/>
      </c>
      <c r="Q1083" s="121" t="str">
        <f>IF(Tab.o1[[#This Row],[a1]]=1,NORMSDIST(Tab.o1[[#This Row],[Zb]]),"")</f>
        <v/>
      </c>
      <c r="R1083" s="122" t="str">
        <f>IF(Tab.o1[[#This Row],[a1]]=1,((Tab.o1[[#This Row],[MedMod]]-AVERAGE(Tab.o1[MedMod]))/_xlfn.STDEV.P(Tab.o1[MedMod])*H$1203)+G$1203,"")</f>
        <v/>
      </c>
      <c r="S1083" s="122" t="str">
        <f>IF(Tab.o1[[#This Row],[a1]]=1,((Tab.o1[[#This Row],[MedMod]]-AVERAGE(Tab.o1[MedMod]))/_xlfn.STDEV.P(Tab.o1[MedMod])*H$1204)+G$1204,"")</f>
        <v/>
      </c>
      <c r="T1083" s="123" t="str">
        <f>IF(Tab.o1[[#This Row],[a1]]=1,Tab.o1[[#This Row],[Z-]]*_xlfn.STDEV.P(Tab.o1[B])+AVERAGE(Tab.o1[B]),"")</f>
        <v/>
      </c>
      <c r="U1083" s="123" t="str">
        <f>IF(Tab.o1[[#This Row],[a1]]=1,Tab.o1[[#This Row],[z+]]*_xlfn.STDEV.P(Tab.o1[B])+AVERAGE(Tab.o1[B]),"")</f>
        <v/>
      </c>
      <c r="V1083" s="124" t="str">
        <f>IF(Tab.o1[[#This Row],[a1]]=1,ABS((ABS(Tab.o1[[#This Row],[Red]]-Tab.o1[[#This Row],[Blue]]))),"")</f>
        <v/>
      </c>
      <c r="W1083" s="125" t="str">
        <f>IF(Tab.o1[[#This Row],[a1]]=1,IF(W$3=0,1,Tab.o1[[#This Row],[Amp.]]*1/_xlfn.MINIFS(Tab.o1[Amp.],Tab.o1[Amp.],"&lt;&gt;0")),"")</f>
        <v/>
      </c>
      <c r="X1083" s="126" t="str">
        <f>IF(Tab.o1[[#This Row],[a1]]=1,IF(ISNUMBER(Tab.o1[[#This Row],[i.]]),NORMDIST(Tab.o1[[#This Row],[Za]],0,1,FALSE)*Tab.o1[[#This Row],[i.]],AP$3),"")</f>
        <v/>
      </c>
      <c r="Y1083" s="126" t="str">
        <f>IF(Tab.o1[[#This Row],[a1]]=1,0.01+0.94*Tab.o1[[#This Row],[PDF]]/MAX(Tab.o1[PDF]),"")</f>
        <v/>
      </c>
      <c r="Z1083" s="126" t="str">
        <f>IF(Tab.o1[[#This Row],[a1]]=1,0.01+0.94*Tab.o1[[#This Row],[W1_PDF]]/MAX(Tab.o1[W1_PDF]),"")</f>
        <v/>
      </c>
      <c r="AA1083" s="118" t="str">
        <f>IF(Tab.o1[[#This Row],[a1]]=1,ABS([1]!T.in.A[[#This Row],[oo6]]),"")</f>
        <v/>
      </c>
      <c r="AB1083" s="127" t="str">
        <f>IF(Tab.o1[[#This Row],[a1]]=1,IF(AE$3=0,"",IF(AB$3=0,ABS([1]!T.in.A[[#This Row],[oo9]]),ABS(Tab.o1[[#This Row],[DIF_Target.]]*Tab.o1[[#This Row],[W1_PDF]]))),"")</f>
        <v/>
      </c>
      <c r="AC1083" s="127" t="str">
        <f>IF(G$1=1,"",IF(Tab.o1[[#This Row],[a1]]=1,Tab.o1[[#This Row],[Wr]]^2,""))</f>
        <v/>
      </c>
      <c r="AD1083" s="118" t="str">
        <f>IF(Tab.o1[[#This Row],[a1]]=1,IF(AE$3=0,"",Tab.o1[[#This Row],[Wr2]]/SUM(Tab.o1[Wr2])),"")</f>
        <v/>
      </c>
      <c r="AE1083" s="128" t="str">
        <f>IF(Tab.o1[[#This Row],[a1]]=1,[1]!T.in.A[[#This Row],[oo10]],"")</f>
        <v/>
      </c>
      <c r="AF1083" s="118" t="str">
        <f>IF(Tab.o1[[#This Row],[a1]]=1,ABS(Tab.o1[[#This Row],[DIF_Target.]]*Tab.o1[[#This Row],[PDF2]]*Tab.o1[[#This Row],[IN]]),"")</f>
        <v/>
      </c>
      <c r="AG1083" s="129" t="str">
        <f>IF(Tab.o1[[#This Row],[a1]]=1,Tab.o1[[#This Row],[rW]]^2,"")</f>
        <v/>
      </c>
      <c r="AH1083" s="130" t="str">
        <f>IF(Tab.o1[[#This Row],[a1]]=1,IF(AH$3=0,Tab.o1[[#This Row],[rW2]],0.01+0.94*Tab.o1[[#This Row],[rW2]]/SUM(Tab.o1[rW2])),"")</f>
        <v/>
      </c>
      <c r="AI1083" s="128" t="str">
        <f>IF(Tab.o1[[#This Row],[a1]]=1,1/Tab.o1[[#This Row],[PDF]],"")</f>
        <v/>
      </c>
      <c r="AJ1083" s="131" t="str">
        <f>IF(Tab.o1[[#This Row],[a1]]=1,[1]!T_AA[[#This Row],[IN'']]*[1]!T_AA[[#This Row],[Qde'']],"")</f>
        <v/>
      </c>
      <c r="AK1083" s="132" t="str">
        <f>IF(Tab.o1[[#This Row],[a1]]=1,IF(AK$1=1,Tab.o1[[#This Row],[MED]]+Tab.o1[[#This Row],[MOD]]-Tab.o1[[#This Row],[MED]],""),"")</f>
        <v/>
      </c>
      <c r="AL1083" s="133" t="str">
        <f>IF(Tab.o1[[#This Row],[a1]]=1,[1]!T.in.A[[#This Row],[oo16]],"")</f>
        <v/>
      </c>
      <c r="AM1083" s="133" t="str">
        <f>IF(Tab.o1[[#This Row],[a1]]=1,IF(AM$3=1,[1]!T.in.A[[#This Row],[Σo16]],""),"")</f>
        <v/>
      </c>
      <c r="AN1083" s="126" t="str">
        <f>IF(Tab.o1[[#This Row],[a1]]=1,[1]!T.in.A[[#This Row],[Σp5]],"")</f>
        <v/>
      </c>
      <c r="AO1083" s="126" t="str">
        <f>IF(Tab.o1[[#This Row],[a1]]=1,IF(AO$3=1,[1]!T.in.A[[#This Row],[Σp5]],""),"")</f>
        <v/>
      </c>
      <c r="AP1083" s="110" t="str">
        <f>IF(Tab.o1[[#This Row],[a1]]=1,IF(ISNUMBER(Tab.o1[[#This Row],[i.]]),NORMDIST(Tab.o1[[#This Row],[Za]],0,1,FALSE)*Tab.o1[[#This Row],[i.]],0),"")</f>
        <v/>
      </c>
      <c r="AQ1083" s="125" t="str">
        <f>IF(Tab.o1[[#This Row],[a1]]=1,ABS(Tab.o1[[#This Row],[MOD]]-AVERAGE(Tab.o1[MOD])),"")</f>
        <v/>
      </c>
      <c r="AR1083" s="134" t="str">
        <f>IF(Tab.o1[[#This Row],[a1]]=1,Tab.o1[[#This Row],[OBS]]/SUM(Tab.o1[OBS]),"")</f>
        <v/>
      </c>
      <c r="AS1083" s="135" t="str">
        <f>IF(ISNUMBER(Tab.o1[[#This Row],[a1]]),ROW()-4,"")</f>
        <v/>
      </c>
      <c r="AT1083" s="136" t="str">
        <f>Tab.o1[[#This Row],[MOD]]</f>
        <v/>
      </c>
      <c r="AU1083" s="137" t="str">
        <f t="shared" si="65"/>
        <v/>
      </c>
      <c r="AV1083" s="138" t="str">
        <f t="shared" si="66"/>
        <v/>
      </c>
      <c r="AW1083" s="138" t="str">
        <f t="shared" si="67"/>
        <v/>
      </c>
      <c r="AX1083" s="139" t="str">
        <f>[1]!T.in.A[[#This Row],[ID_T_manu]]</f>
        <v/>
      </c>
      <c r="AY1083" s="140" t="str">
        <f>IF(ISNUMBER(Tab.o1[[#This Row],[a1]]),IF(AND(Tab.o1[[#This Row],[a1]]=1,Tab.o1[[#This Row],[b1]]&lt;=AY$4),#REF!,AY1082),"")</f>
        <v/>
      </c>
      <c r="AZ1083" s="25"/>
      <c r="BA1083" s="25"/>
      <c r="BB1083" s="25"/>
      <c r="BC1083" s="25"/>
      <c r="BD1083" s="25"/>
      <c r="BE1083" s="25"/>
      <c r="BF1083" s="25"/>
      <c r="BG1083" s="25"/>
      <c r="BH1083" s="25"/>
      <c r="BI1083" s="25"/>
      <c r="BJ1083" s="25"/>
      <c r="BK1083" s="25"/>
      <c r="BL1083" s="25"/>
      <c r="BM1083" s="25"/>
      <c r="BN1083" s="26"/>
      <c r="BO1083" s="26"/>
      <c r="BP1083" s="26"/>
      <c r="BQ1083" s="26"/>
      <c r="BR1083" s="26"/>
      <c r="BS1083" s="26"/>
      <c r="BT1083" s="26"/>
      <c r="BU1083" s="26"/>
      <c r="BV1083" s="26"/>
      <c r="BW1083" s="26"/>
      <c r="BX1083" s="26"/>
      <c r="BY1083" s="26"/>
      <c r="BZ1083" s="26"/>
      <c r="CA1083" s="26"/>
    </row>
    <row r="1084" spans="1:79" ht="15.75" hidden="1">
      <c r="A1084" s="109">
        <v>-1.0000000000000001E-5</v>
      </c>
      <c r="B1084" s="110">
        <f t="shared" si="64"/>
        <v>1084</v>
      </c>
      <c r="C1084" s="111" t="str">
        <f>IF(C$1=[1]!T.in.A[[#This Row],[oo2]],1,"")</f>
        <v/>
      </c>
      <c r="D1084" s="112" t="str">
        <f>IF(Tab.o1[[#This Row],[a1]]=1,IF(SUM(C1084:C1085)=0,0,IF(SUM(C1083:C1084)=1,1,IF(SUM(C1083:C1085)&gt;1,D1083+1,0))),"")</f>
        <v/>
      </c>
      <c r="E1084" s="113" t="str">
        <f>IF(Tab.o1[[#This Row],[a1]]=1,[1]!T.in.A[[#This Row],[oo1]],"")</f>
        <v/>
      </c>
      <c r="F1084" s="113" t="str">
        <f>IF(Tab.o1[[#This Row],[a1]]=1,[1]!T.in.A[[#This Row],[pp1]],"")</f>
        <v/>
      </c>
      <c r="G1084" s="114" t="str">
        <f>IF(Tab.o1[[#This Row],[a1]]=1,G$2+IF(G$1=1,0,Tab.o1[[#This Row],[.x1]])+[1]!T.in.A[[#This Row],[oo3]],"")</f>
        <v/>
      </c>
      <c r="H1084" s="115" t="str">
        <f>IF(Tab.o1[[#This Row],[a1]]=1,IF(H$2=0,0,IF(G$1=1,0,Tab.o1[[#This Row],[.x1]])+[1]!T.in.A[[#This Row],[oo4]]),"")</f>
        <v/>
      </c>
      <c r="I1084" s="116" t="str">
        <f>IF(Tab.o1[[#This Row],[a1]]=1,IF(J$2=0,Tab.o1[[#This Row],[MED]],Tab.o1[[#This Row],[MOD]]),"")</f>
        <v/>
      </c>
      <c r="J1084" s="116" t="str">
        <f>IF(Tab.o1[[#This Row],[a1]]=1,((Tab.o1[[#This Row],[DIF_Target.]]-AVERAGE(Tab.o1[DIF_Target.]))/_xlfn.STDEV.P(Tab.o1[DIF_Target.])),"")</f>
        <v/>
      </c>
      <c r="K1084" s="117" t="str">
        <f>IF(Tab.o1[[#This Row],[a1]]=1,IF(J$2=0,Tab.o1[[#This Row],[MOD]]-Tab.o1[[#This Row],[B]],IF(J$2=1,0,-Tab.o1[[#This Row],[MED]])+Tab.o1[[#This Row],[B]]),"")</f>
        <v/>
      </c>
      <c r="L1084" s="117" t="str">
        <f ca="1">IF(Tab.o1[[#This Row],[DIF_Target]]=0,IF(L$2=0,Tab.o1[[#This Row],[DIF_Target]],AVERAGE(OFFSET(Tab.o1[[#This Row],[DIF_Target]],1,0,L$3,1)))/3,Tab.o1[[#This Row],[DIF_Target]])</f>
        <v/>
      </c>
      <c r="M1084" s="118" t="str">
        <f>IF(Tab.o1[[#This Row],[a1]]=1,NORMSDIST(Tab.o1[[#This Row],[Za]]),"")</f>
        <v/>
      </c>
      <c r="N1084" s="119" t="str">
        <f>IF(Tab.o1[[#This Row],[a1]]=1,((Tab.o1[[#This Row],[MedMod]]-AVERAGE(Tab.o1[MedMod]))/_xlfn.STDEV.P(Tab.o1[MedMod])*H$1205)+G$1205,"")</f>
        <v/>
      </c>
      <c r="O1084" s="141" t="str">
        <f>IF(Tab.o1[[#This Row],[a1]]=1,Tab.o1[[#This Row],[Zb]]*_xlfn.STDEV.P(Tab.o1[MedMod])+AVERAGE(Tab.o1[MedMod]),"")</f>
        <v/>
      </c>
      <c r="P1084" s="117" t="str">
        <f ca="1">IF(Tab.o1[[#This Row],[B]]=0,AVERAGE(OFFSET(Tab.o1[[#This Row],[B]],1,0,L$3,1)),Tab.o1[[#This Row],[B]])</f>
        <v/>
      </c>
      <c r="Q1084" s="121" t="str">
        <f>IF(Tab.o1[[#This Row],[a1]]=1,NORMSDIST(Tab.o1[[#This Row],[Zb]]),"")</f>
        <v/>
      </c>
      <c r="R1084" s="122" t="str">
        <f>IF(Tab.o1[[#This Row],[a1]]=1,((Tab.o1[[#This Row],[MedMod]]-AVERAGE(Tab.o1[MedMod]))/_xlfn.STDEV.P(Tab.o1[MedMod])*H$1203)+G$1203,"")</f>
        <v/>
      </c>
      <c r="S1084" s="122" t="str">
        <f>IF(Tab.o1[[#This Row],[a1]]=1,((Tab.o1[[#This Row],[MedMod]]-AVERAGE(Tab.o1[MedMod]))/_xlfn.STDEV.P(Tab.o1[MedMod])*H$1204)+G$1204,"")</f>
        <v/>
      </c>
      <c r="T1084" s="123" t="str">
        <f>IF(Tab.o1[[#This Row],[a1]]=1,Tab.o1[[#This Row],[Z-]]*_xlfn.STDEV.P(Tab.o1[B])+AVERAGE(Tab.o1[B]),"")</f>
        <v/>
      </c>
      <c r="U1084" s="123" t="str">
        <f>IF(Tab.o1[[#This Row],[a1]]=1,Tab.o1[[#This Row],[z+]]*_xlfn.STDEV.P(Tab.o1[B])+AVERAGE(Tab.o1[B]),"")</f>
        <v/>
      </c>
      <c r="V1084" s="124" t="str">
        <f>IF(Tab.o1[[#This Row],[a1]]=1,ABS((ABS(Tab.o1[[#This Row],[Red]]-Tab.o1[[#This Row],[Blue]]))),"")</f>
        <v/>
      </c>
      <c r="W1084" s="125" t="str">
        <f>IF(Tab.o1[[#This Row],[a1]]=1,IF(W$3=0,1,Tab.o1[[#This Row],[Amp.]]*1/_xlfn.MINIFS(Tab.o1[Amp.],Tab.o1[Amp.],"&lt;&gt;0")),"")</f>
        <v/>
      </c>
      <c r="X1084" s="126" t="str">
        <f>IF(Tab.o1[[#This Row],[a1]]=1,IF(ISNUMBER(Tab.o1[[#This Row],[i.]]),NORMDIST(Tab.o1[[#This Row],[Za]],0,1,FALSE)*Tab.o1[[#This Row],[i.]],AP$3),"")</f>
        <v/>
      </c>
      <c r="Y1084" s="126" t="str">
        <f>IF(Tab.o1[[#This Row],[a1]]=1,0.01+0.94*Tab.o1[[#This Row],[PDF]]/MAX(Tab.o1[PDF]),"")</f>
        <v/>
      </c>
      <c r="Z1084" s="126" t="str">
        <f>IF(Tab.o1[[#This Row],[a1]]=1,0.01+0.94*Tab.o1[[#This Row],[W1_PDF]]/MAX(Tab.o1[W1_PDF]),"")</f>
        <v/>
      </c>
      <c r="AA1084" s="118" t="str">
        <f>IF(Tab.o1[[#This Row],[a1]]=1,ABS([1]!T.in.A[[#This Row],[oo6]]),"")</f>
        <v/>
      </c>
      <c r="AB1084" s="127" t="str">
        <f>IF(Tab.o1[[#This Row],[a1]]=1,IF(AE$3=0,"",IF(AB$3=0,ABS([1]!T.in.A[[#This Row],[oo9]]),ABS(Tab.o1[[#This Row],[DIF_Target.]]*Tab.o1[[#This Row],[W1_PDF]]))),"")</f>
        <v/>
      </c>
      <c r="AC1084" s="127" t="str">
        <f>IF(G$1=1,"",IF(Tab.o1[[#This Row],[a1]]=1,Tab.o1[[#This Row],[Wr]]^2,""))</f>
        <v/>
      </c>
      <c r="AD1084" s="118" t="str">
        <f>IF(Tab.o1[[#This Row],[a1]]=1,IF(AE$3=0,"",Tab.o1[[#This Row],[Wr2]]/SUM(Tab.o1[Wr2])),"")</f>
        <v/>
      </c>
      <c r="AE1084" s="128" t="str">
        <f>IF(Tab.o1[[#This Row],[a1]]=1,[1]!T.in.A[[#This Row],[oo10]],"")</f>
        <v/>
      </c>
      <c r="AF1084" s="118" t="str">
        <f>IF(Tab.o1[[#This Row],[a1]]=1,ABS(Tab.o1[[#This Row],[DIF_Target.]]*Tab.o1[[#This Row],[PDF2]]*Tab.o1[[#This Row],[IN]]),"")</f>
        <v/>
      </c>
      <c r="AG1084" s="129" t="str">
        <f>IF(Tab.o1[[#This Row],[a1]]=1,Tab.o1[[#This Row],[rW]]^2,"")</f>
        <v/>
      </c>
      <c r="AH1084" s="130" t="str">
        <f>IF(Tab.o1[[#This Row],[a1]]=1,IF(AH$3=0,Tab.o1[[#This Row],[rW2]],0.01+0.94*Tab.o1[[#This Row],[rW2]]/SUM(Tab.o1[rW2])),"")</f>
        <v/>
      </c>
      <c r="AI1084" s="128" t="str">
        <f>IF(Tab.o1[[#This Row],[a1]]=1,1/Tab.o1[[#This Row],[PDF]],"")</f>
        <v/>
      </c>
      <c r="AJ1084" s="131" t="str">
        <f>IF(Tab.o1[[#This Row],[a1]]=1,[1]!T_AA[[#This Row],[IN'']]*[1]!T_AA[[#This Row],[Qde'']],"")</f>
        <v/>
      </c>
      <c r="AK1084" s="132" t="str">
        <f>IF(Tab.o1[[#This Row],[a1]]=1,IF(AK$1=1,Tab.o1[[#This Row],[MED]]+Tab.o1[[#This Row],[MOD]]-Tab.o1[[#This Row],[MED]],""),"")</f>
        <v/>
      </c>
      <c r="AL1084" s="133" t="str">
        <f>IF(Tab.o1[[#This Row],[a1]]=1,[1]!T.in.A[[#This Row],[oo16]],"")</f>
        <v/>
      </c>
      <c r="AM1084" s="133" t="str">
        <f>IF(Tab.o1[[#This Row],[a1]]=1,IF(AM$3=1,[1]!T.in.A[[#This Row],[Σo16]],""),"")</f>
        <v/>
      </c>
      <c r="AN1084" s="126" t="str">
        <f>IF(Tab.o1[[#This Row],[a1]]=1,[1]!T.in.A[[#This Row],[Σp5]],"")</f>
        <v/>
      </c>
      <c r="AO1084" s="126" t="str">
        <f>IF(Tab.o1[[#This Row],[a1]]=1,IF(AO$3=1,[1]!T.in.A[[#This Row],[Σp5]],""),"")</f>
        <v/>
      </c>
      <c r="AP1084" s="110" t="str">
        <f>IF(Tab.o1[[#This Row],[a1]]=1,IF(ISNUMBER(Tab.o1[[#This Row],[i.]]),NORMDIST(Tab.o1[[#This Row],[Za]],0,1,FALSE)*Tab.o1[[#This Row],[i.]],0),"")</f>
        <v/>
      </c>
      <c r="AQ1084" s="125" t="str">
        <f>IF(Tab.o1[[#This Row],[a1]]=1,ABS(Tab.o1[[#This Row],[MOD]]-AVERAGE(Tab.o1[MOD])),"")</f>
        <v/>
      </c>
      <c r="AR1084" s="134" t="str">
        <f>IF(Tab.o1[[#This Row],[a1]]=1,Tab.o1[[#This Row],[OBS]]/SUM(Tab.o1[OBS]),"")</f>
        <v/>
      </c>
      <c r="AS1084" s="135" t="str">
        <f>IF(ISNUMBER(Tab.o1[[#This Row],[a1]]),ROW()-4,"")</f>
        <v/>
      </c>
      <c r="AT1084" s="136" t="str">
        <f>Tab.o1[[#This Row],[MOD]]</f>
        <v/>
      </c>
      <c r="AU1084" s="137" t="str">
        <f t="shared" si="65"/>
        <v/>
      </c>
      <c r="AV1084" s="138" t="str">
        <f t="shared" si="66"/>
        <v/>
      </c>
      <c r="AW1084" s="138" t="str">
        <f t="shared" si="67"/>
        <v/>
      </c>
      <c r="AX1084" s="139" t="str">
        <f>[1]!T.in.A[[#This Row],[ID_T_manu]]</f>
        <v/>
      </c>
      <c r="AY1084" s="140" t="str">
        <f>IF(ISNUMBER(Tab.o1[[#This Row],[a1]]),IF(AND(Tab.o1[[#This Row],[a1]]=1,Tab.o1[[#This Row],[b1]]&lt;=AY$4),#REF!,AY1083),"")</f>
        <v/>
      </c>
      <c r="AZ1084" s="25"/>
      <c r="BA1084" s="25"/>
      <c r="BB1084" s="25"/>
      <c r="BC1084" s="25"/>
      <c r="BD1084" s="25"/>
      <c r="BE1084" s="25"/>
      <c r="BF1084" s="25"/>
      <c r="BG1084" s="25"/>
      <c r="BH1084" s="25"/>
      <c r="BI1084" s="25"/>
      <c r="BJ1084" s="25"/>
      <c r="BK1084" s="25"/>
      <c r="BL1084" s="25"/>
      <c r="BM1084" s="25"/>
      <c r="BN1084" s="26"/>
      <c r="BO1084" s="26"/>
      <c r="BP1084" s="26"/>
      <c r="BQ1084" s="26"/>
      <c r="BR1084" s="26"/>
      <c r="BS1084" s="26"/>
      <c r="BT1084" s="26"/>
      <c r="BU1084" s="26"/>
      <c r="BV1084" s="26"/>
      <c r="BW1084" s="26"/>
      <c r="BX1084" s="26"/>
      <c r="BY1084" s="26"/>
      <c r="BZ1084" s="26"/>
      <c r="CA1084" s="26"/>
    </row>
    <row r="1085" spans="1:79" ht="15.75" hidden="1">
      <c r="A1085" s="109">
        <v>1.0000000000000002E-6</v>
      </c>
      <c r="B1085" s="110">
        <f t="shared" si="64"/>
        <v>1085</v>
      </c>
      <c r="C1085" s="111" t="str">
        <f>IF(C$1=[1]!T.in.A[[#This Row],[oo2]],1,"")</f>
        <v/>
      </c>
      <c r="D1085" s="112" t="str">
        <f>IF(Tab.o1[[#This Row],[a1]]=1,IF(SUM(C1085:C1086)=0,0,IF(SUM(C1084:C1085)=1,1,IF(SUM(C1084:C1086)&gt;1,D1084+1,0))),"")</f>
        <v/>
      </c>
      <c r="E1085" s="113" t="str">
        <f>IF(Tab.o1[[#This Row],[a1]]=1,[1]!T.in.A[[#This Row],[oo1]],"")</f>
        <v/>
      </c>
      <c r="F1085" s="113" t="str">
        <f>IF(Tab.o1[[#This Row],[a1]]=1,[1]!T.in.A[[#This Row],[pp1]],"")</f>
        <v/>
      </c>
      <c r="G1085" s="114" t="str">
        <f>IF(Tab.o1[[#This Row],[a1]]=1,G$2+IF(G$1=1,0,Tab.o1[[#This Row],[.x1]])+[1]!T.in.A[[#This Row],[oo3]],"")</f>
        <v/>
      </c>
      <c r="H1085" s="115" t="str">
        <f>IF(Tab.o1[[#This Row],[a1]]=1,IF(H$2=0,0,IF(G$1=1,0,Tab.o1[[#This Row],[.x1]])+[1]!T.in.A[[#This Row],[oo4]]),"")</f>
        <v/>
      </c>
      <c r="I1085" s="116" t="str">
        <f>IF(Tab.o1[[#This Row],[a1]]=1,IF(J$2=0,Tab.o1[[#This Row],[MED]],Tab.o1[[#This Row],[MOD]]),"")</f>
        <v/>
      </c>
      <c r="J1085" s="116" t="str">
        <f>IF(Tab.o1[[#This Row],[a1]]=1,((Tab.o1[[#This Row],[DIF_Target.]]-AVERAGE(Tab.o1[DIF_Target.]))/_xlfn.STDEV.P(Tab.o1[DIF_Target.])),"")</f>
        <v/>
      </c>
      <c r="K1085" s="117" t="str">
        <f>IF(Tab.o1[[#This Row],[a1]]=1,IF(J$2=0,Tab.o1[[#This Row],[MOD]]-Tab.o1[[#This Row],[B]],IF(J$2=1,0,-Tab.o1[[#This Row],[MED]])+Tab.o1[[#This Row],[B]]),"")</f>
        <v/>
      </c>
      <c r="L1085" s="117" t="str">
        <f ca="1">IF(Tab.o1[[#This Row],[DIF_Target]]=0,IF(L$2=0,Tab.o1[[#This Row],[DIF_Target]],AVERAGE(OFFSET(Tab.o1[[#This Row],[DIF_Target]],1,0,L$3,1)))/3,Tab.o1[[#This Row],[DIF_Target]])</f>
        <v/>
      </c>
      <c r="M1085" s="118" t="str">
        <f>IF(Tab.o1[[#This Row],[a1]]=1,NORMSDIST(Tab.o1[[#This Row],[Za]]),"")</f>
        <v/>
      </c>
      <c r="N1085" s="119" t="str">
        <f>IF(Tab.o1[[#This Row],[a1]]=1,((Tab.o1[[#This Row],[MedMod]]-AVERAGE(Tab.o1[MedMod]))/_xlfn.STDEV.P(Tab.o1[MedMod])*H$1205)+G$1205,"")</f>
        <v/>
      </c>
      <c r="O1085" s="141" t="str">
        <f>IF(Tab.o1[[#This Row],[a1]]=1,Tab.o1[[#This Row],[Zb]]*_xlfn.STDEV.P(Tab.o1[MedMod])+AVERAGE(Tab.o1[MedMod]),"")</f>
        <v/>
      </c>
      <c r="P1085" s="117" t="str">
        <f ca="1">IF(Tab.o1[[#This Row],[B]]=0,AVERAGE(OFFSET(Tab.o1[[#This Row],[B]],1,0,L$3,1)),Tab.o1[[#This Row],[B]])</f>
        <v/>
      </c>
      <c r="Q1085" s="121" t="str">
        <f>IF(Tab.o1[[#This Row],[a1]]=1,NORMSDIST(Tab.o1[[#This Row],[Zb]]),"")</f>
        <v/>
      </c>
      <c r="R1085" s="122" t="str">
        <f>IF(Tab.o1[[#This Row],[a1]]=1,((Tab.o1[[#This Row],[MedMod]]-AVERAGE(Tab.o1[MedMod]))/_xlfn.STDEV.P(Tab.o1[MedMod])*H$1203)+G$1203,"")</f>
        <v/>
      </c>
      <c r="S1085" s="122" t="str">
        <f>IF(Tab.o1[[#This Row],[a1]]=1,((Tab.o1[[#This Row],[MedMod]]-AVERAGE(Tab.o1[MedMod]))/_xlfn.STDEV.P(Tab.o1[MedMod])*H$1204)+G$1204,"")</f>
        <v/>
      </c>
      <c r="T1085" s="123" t="str">
        <f>IF(Tab.o1[[#This Row],[a1]]=1,Tab.o1[[#This Row],[Z-]]*_xlfn.STDEV.P(Tab.o1[B])+AVERAGE(Tab.o1[B]),"")</f>
        <v/>
      </c>
      <c r="U1085" s="123" t="str">
        <f>IF(Tab.o1[[#This Row],[a1]]=1,Tab.o1[[#This Row],[z+]]*_xlfn.STDEV.P(Tab.o1[B])+AVERAGE(Tab.o1[B]),"")</f>
        <v/>
      </c>
      <c r="V1085" s="124" t="str">
        <f>IF(Tab.o1[[#This Row],[a1]]=1,ABS((ABS(Tab.o1[[#This Row],[Red]]-Tab.o1[[#This Row],[Blue]]))),"")</f>
        <v/>
      </c>
      <c r="W1085" s="125" t="str">
        <f>IF(Tab.o1[[#This Row],[a1]]=1,IF(W$3=0,1,Tab.o1[[#This Row],[Amp.]]*1/_xlfn.MINIFS(Tab.o1[Amp.],Tab.o1[Amp.],"&lt;&gt;0")),"")</f>
        <v/>
      </c>
      <c r="X1085" s="126" t="str">
        <f>IF(Tab.o1[[#This Row],[a1]]=1,IF(ISNUMBER(Tab.o1[[#This Row],[i.]]),NORMDIST(Tab.o1[[#This Row],[Za]],0,1,FALSE)*Tab.o1[[#This Row],[i.]],AP$3),"")</f>
        <v/>
      </c>
      <c r="Y1085" s="126" t="str">
        <f>IF(Tab.o1[[#This Row],[a1]]=1,0.01+0.94*Tab.o1[[#This Row],[PDF]]/MAX(Tab.o1[PDF]),"")</f>
        <v/>
      </c>
      <c r="Z1085" s="126" t="str">
        <f>IF(Tab.o1[[#This Row],[a1]]=1,0.01+0.94*Tab.o1[[#This Row],[W1_PDF]]/MAX(Tab.o1[W1_PDF]),"")</f>
        <v/>
      </c>
      <c r="AA1085" s="118" t="str">
        <f>IF(Tab.o1[[#This Row],[a1]]=1,ABS([1]!T.in.A[[#This Row],[oo6]]),"")</f>
        <v/>
      </c>
      <c r="AB1085" s="127" t="str">
        <f>IF(Tab.o1[[#This Row],[a1]]=1,IF(AE$3=0,"",IF(AB$3=0,ABS([1]!T.in.A[[#This Row],[oo9]]),ABS(Tab.o1[[#This Row],[DIF_Target.]]*Tab.o1[[#This Row],[W1_PDF]]))),"")</f>
        <v/>
      </c>
      <c r="AC1085" s="127" t="str">
        <f>IF(G$1=1,"",IF(Tab.o1[[#This Row],[a1]]=1,Tab.o1[[#This Row],[Wr]]^2,""))</f>
        <v/>
      </c>
      <c r="AD1085" s="118" t="str">
        <f>IF(Tab.o1[[#This Row],[a1]]=1,IF(AE$3=0,"",Tab.o1[[#This Row],[Wr2]]/SUM(Tab.o1[Wr2])),"")</f>
        <v/>
      </c>
      <c r="AE1085" s="128" t="str">
        <f>IF(Tab.o1[[#This Row],[a1]]=1,[1]!T.in.A[[#This Row],[oo10]],"")</f>
        <v/>
      </c>
      <c r="AF1085" s="118" t="str">
        <f>IF(Tab.o1[[#This Row],[a1]]=1,ABS(Tab.o1[[#This Row],[DIF_Target.]]*Tab.o1[[#This Row],[PDF2]]*Tab.o1[[#This Row],[IN]]),"")</f>
        <v/>
      </c>
      <c r="AG1085" s="129" t="str">
        <f>IF(Tab.o1[[#This Row],[a1]]=1,Tab.o1[[#This Row],[rW]]^2,"")</f>
        <v/>
      </c>
      <c r="AH1085" s="130" t="str">
        <f>IF(Tab.o1[[#This Row],[a1]]=1,IF(AH$3=0,Tab.o1[[#This Row],[rW2]],0.01+0.94*Tab.o1[[#This Row],[rW2]]/SUM(Tab.o1[rW2])),"")</f>
        <v/>
      </c>
      <c r="AI1085" s="128" t="str">
        <f>IF(Tab.o1[[#This Row],[a1]]=1,1/Tab.o1[[#This Row],[PDF]],"")</f>
        <v/>
      </c>
      <c r="AJ1085" s="131" t="str">
        <f>IF(Tab.o1[[#This Row],[a1]]=1,[1]!T_AA[[#This Row],[IN'']]*[1]!T_AA[[#This Row],[Qde'']],"")</f>
        <v/>
      </c>
      <c r="AK1085" s="132" t="str">
        <f>IF(Tab.o1[[#This Row],[a1]]=1,IF(AK$1=1,Tab.o1[[#This Row],[MED]]+Tab.o1[[#This Row],[MOD]]-Tab.o1[[#This Row],[MED]],""),"")</f>
        <v/>
      </c>
      <c r="AL1085" s="133" t="str">
        <f>IF(Tab.o1[[#This Row],[a1]]=1,[1]!T.in.A[[#This Row],[oo16]],"")</f>
        <v/>
      </c>
      <c r="AM1085" s="133" t="str">
        <f>IF(Tab.o1[[#This Row],[a1]]=1,IF(AM$3=1,[1]!T.in.A[[#This Row],[Σo16]],""),"")</f>
        <v/>
      </c>
      <c r="AN1085" s="126" t="str">
        <f>IF(Tab.o1[[#This Row],[a1]]=1,[1]!T.in.A[[#This Row],[Σp5]],"")</f>
        <v/>
      </c>
      <c r="AO1085" s="126" t="str">
        <f>IF(Tab.o1[[#This Row],[a1]]=1,IF(AO$3=1,[1]!T.in.A[[#This Row],[Σp5]],""),"")</f>
        <v/>
      </c>
      <c r="AP1085" s="110" t="str">
        <f>IF(Tab.o1[[#This Row],[a1]]=1,IF(ISNUMBER(Tab.o1[[#This Row],[i.]]),NORMDIST(Tab.o1[[#This Row],[Za]],0,1,FALSE)*Tab.o1[[#This Row],[i.]],0),"")</f>
        <v/>
      </c>
      <c r="AQ1085" s="125" t="str">
        <f>IF(Tab.o1[[#This Row],[a1]]=1,ABS(Tab.o1[[#This Row],[MOD]]-AVERAGE(Tab.o1[MOD])),"")</f>
        <v/>
      </c>
      <c r="AR1085" s="134" t="str">
        <f>IF(Tab.o1[[#This Row],[a1]]=1,Tab.o1[[#This Row],[OBS]]/SUM(Tab.o1[OBS]),"")</f>
        <v/>
      </c>
      <c r="AS1085" s="135" t="str">
        <f>IF(ISNUMBER(Tab.o1[[#This Row],[a1]]),ROW()-4,"")</f>
        <v/>
      </c>
      <c r="AT1085" s="136" t="str">
        <f>Tab.o1[[#This Row],[MOD]]</f>
        <v/>
      </c>
      <c r="AU1085" s="137" t="str">
        <f t="shared" si="65"/>
        <v/>
      </c>
      <c r="AV1085" s="138" t="str">
        <f t="shared" si="66"/>
        <v/>
      </c>
      <c r="AW1085" s="138" t="str">
        <f t="shared" si="67"/>
        <v/>
      </c>
      <c r="AX1085" s="139" t="str">
        <f>[1]!T.in.A[[#This Row],[ID_T_manu]]</f>
        <v/>
      </c>
      <c r="AY1085" s="140" t="str">
        <f>IF(ISNUMBER(Tab.o1[[#This Row],[a1]]),IF(AND(Tab.o1[[#This Row],[a1]]=1,Tab.o1[[#This Row],[b1]]&lt;=AY$4),#REF!,AY1084),"")</f>
        <v/>
      </c>
      <c r="AZ1085" s="25"/>
      <c r="BA1085" s="25"/>
      <c r="BB1085" s="25"/>
      <c r="BC1085" s="25"/>
      <c r="BD1085" s="25"/>
      <c r="BE1085" s="25"/>
      <c r="BF1085" s="25"/>
      <c r="BG1085" s="25"/>
      <c r="BH1085" s="25"/>
      <c r="BI1085" s="25"/>
      <c r="BJ1085" s="25"/>
      <c r="BK1085" s="25"/>
      <c r="BL1085" s="25"/>
      <c r="BM1085" s="25"/>
      <c r="BN1085" s="26"/>
      <c r="BO1085" s="26"/>
      <c r="BP1085" s="26"/>
      <c r="BQ1085" s="26"/>
      <c r="BR1085" s="26"/>
      <c r="BS1085" s="26"/>
      <c r="BT1085" s="26"/>
      <c r="BU1085" s="26"/>
      <c r="BV1085" s="26"/>
      <c r="BW1085" s="26"/>
      <c r="BX1085" s="26"/>
      <c r="BY1085" s="26"/>
      <c r="BZ1085" s="26"/>
      <c r="CA1085" s="26"/>
    </row>
    <row r="1086" spans="1:79" ht="15.75" hidden="1">
      <c r="A1086" s="109">
        <v>-2.0000000000000003E-6</v>
      </c>
      <c r="B1086" s="110">
        <f t="shared" si="64"/>
        <v>1086</v>
      </c>
      <c r="C1086" s="111" t="str">
        <f>IF(C$1=[1]!T.in.A[[#This Row],[oo2]],1,"")</f>
        <v/>
      </c>
      <c r="D1086" s="112" t="str">
        <f>IF(Tab.o1[[#This Row],[a1]]=1,IF(SUM(C1086:C1087)=0,0,IF(SUM(C1085:C1086)=1,1,IF(SUM(C1085:C1087)&gt;1,D1085+1,0))),"")</f>
        <v/>
      </c>
      <c r="E1086" s="113" t="str">
        <f>IF(Tab.o1[[#This Row],[a1]]=1,[1]!T.in.A[[#This Row],[oo1]],"")</f>
        <v/>
      </c>
      <c r="F1086" s="113" t="str">
        <f>IF(Tab.o1[[#This Row],[a1]]=1,[1]!T.in.A[[#This Row],[pp1]],"")</f>
        <v/>
      </c>
      <c r="G1086" s="114" t="str">
        <f>IF(Tab.o1[[#This Row],[a1]]=1,G$2+IF(G$1=1,0,Tab.o1[[#This Row],[.x1]])+[1]!T.in.A[[#This Row],[oo3]],"")</f>
        <v/>
      </c>
      <c r="H1086" s="115" t="str">
        <f>IF(Tab.o1[[#This Row],[a1]]=1,IF(H$2=0,0,IF(G$1=1,0,Tab.o1[[#This Row],[.x1]])+[1]!T.in.A[[#This Row],[oo4]]),"")</f>
        <v/>
      </c>
      <c r="I1086" s="116" t="str">
        <f>IF(Tab.o1[[#This Row],[a1]]=1,IF(J$2=0,Tab.o1[[#This Row],[MED]],Tab.o1[[#This Row],[MOD]]),"")</f>
        <v/>
      </c>
      <c r="J1086" s="116" t="str">
        <f>IF(Tab.o1[[#This Row],[a1]]=1,((Tab.o1[[#This Row],[DIF_Target.]]-AVERAGE(Tab.o1[DIF_Target.]))/_xlfn.STDEV.P(Tab.o1[DIF_Target.])),"")</f>
        <v/>
      </c>
      <c r="K1086" s="117" t="str">
        <f>IF(Tab.o1[[#This Row],[a1]]=1,IF(J$2=0,Tab.o1[[#This Row],[MOD]]-Tab.o1[[#This Row],[B]],IF(J$2=1,0,-Tab.o1[[#This Row],[MED]])+Tab.o1[[#This Row],[B]]),"")</f>
        <v/>
      </c>
      <c r="L1086" s="117" t="str">
        <f ca="1">IF(Tab.o1[[#This Row],[DIF_Target]]=0,IF(L$2=0,Tab.o1[[#This Row],[DIF_Target]],AVERAGE(OFFSET(Tab.o1[[#This Row],[DIF_Target]],1,0,L$3,1)))/3,Tab.o1[[#This Row],[DIF_Target]])</f>
        <v/>
      </c>
      <c r="M1086" s="118" t="str">
        <f>IF(Tab.o1[[#This Row],[a1]]=1,NORMSDIST(Tab.o1[[#This Row],[Za]]),"")</f>
        <v/>
      </c>
      <c r="N1086" s="119" t="str">
        <f>IF(Tab.o1[[#This Row],[a1]]=1,((Tab.o1[[#This Row],[MedMod]]-AVERAGE(Tab.o1[MedMod]))/_xlfn.STDEV.P(Tab.o1[MedMod])*H$1205)+G$1205,"")</f>
        <v/>
      </c>
      <c r="O1086" s="141" t="str">
        <f>IF(Tab.o1[[#This Row],[a1]]=1,Tab.o1[[#This Row],[Zb]]*_xlfn.STDEV.P(Tab.o1[MedMod])+AVERAGE(Tab.o1[MedMod]),"")</f>
        <v/>
      </c>
      <c r="P1086" s="117" t="str">
        <f ca="1">IF(Tab.o1[[#This Row],[B]]=0,AVERAGE(OFFSET(Tab.o1[[#This Row],[B]],1,0,L$3,1)),Tab.o1[[#This Row],[B]])</f>
        <v/>
      </c>
      <c r="Q1086" s="121" t="str">
        <f>IF(Tab.o1[[#This Row],[a1]]=1,NORMSDIST(Tab.o1[[#This Row],[Zb]]),"")</f>
        <v/>
      </c>
      <c r="R1086" s="122" t="str">
        <f>IF(Tab.o1[[#This Row],[a1]]=1,((Tab.o1[[#This Row],[MedMod]]-AVERAGE(Tab.o1[MedMod]))/_xlfn.STDEV.P(Tab.o1[MedMod])*H$1203)+G$1203,"")</f>
        <v/>
      </c>
      <c r="S1086" s="122" t="str">
        <f>IF(Tab.o1[[#This Row],[a1]]=1,((Tab.o1[[#This Row],[MedMod]]-AVERAGE(Tab.o1[MedMod]))/_xlfn.STDEV.P(Tab.o1[MedMod])*H$1204)+G$1204,"")</f>
        <v/>
      </c>
      <c r="T1086" s="123" t="str">
        <f>IF(Tab.o1[[#This Row],[a1]]=1,Tab.o1[[#This Row],[Z-]]*_xlfn.STDEV.P(Tab.o1[B])+AVERAGE(Tab.o1[B]),"")</f>
        <v/>
      </c>
      <c r="U1086" s="123" t="str">
        <f>IF(Tab.o1[[#This Row],[a1]]=1,Tab.o1[[#This Row],[z+]]*_xlfn.STDEV.P(Tab.o1[B])+AVERAGE(Tab.o1[B]),"")</f>
        <v/>
      </c>
      <c r="V1086" s="124" t="str">
        <f>IF(Tab.o1[[#This Row],[a1]]=1,ABS((ABS(Tab.o1[[#This Row],[Red]]-Tab.o1[[#This Row],[Blue]]))),"")</f>
        <v/>
      </c>
      <c r="W1086" s="125" t="str">
        <f>IF(Tab.o1[[#This Row],[a1]]=1,IF(W$3=0,1,Tab.o1[[#This Row],[Amp.]]*1/_xlfn.MINIFS(Tab.o1[Amp.],Tab.o1[Amp.],"&lt;&gt;0")),"")</f>
        <v/>
      </c>
      <c r="X1086" s="126" t="str">
        <f>IF(Tab.o1[[#This Row],[a1]]=1,IF(ISNUMBER(Tab.o1[[#This Row],[i.]]),NORMDIST(Tab.o1[[#This Row],[Za]],0,1,FALSE)*Tab.o1[[#This Row],[i.]],AP$3),"")</f>
        <v/>
      </c>
      <c r="Y1086" s="126" t="str">
        <f>IF(Tab.o1[[#This Row],[a1]]=1,0.01+0.94*Tab.o1[[#This Row],[PDF]]/MAX(Tab.o1[PDF]),"")</f>
        <v/>
      </c>
      <c r="Z1086" s="126" t="str">
        <f>IF(Tab.o1[[#This Row],[a1]]=1,0.01+0.94*Tab.o1[[#This Row],[W1_PDF]]/MAX(Tab.o1[W1_PDF]),"")</f>
        <v/>
      </c>
      <c r="AA1086" s="118" t="str">
        <f>IF(Tab.o1[[#This Row],[a1]]=1,ABS([1]!T.in.A[[#This Row],[oo6]]),"")</f>
        <v/>
      </c>
      <c r="AB1086" s="127" t="str">
        <f>IF(Tab.o1[[#This Row],[a1]]=1,IF(AE$3=0,"",IF(AB$3=0,ABS([1]!T.in.A[[#This Row],[oo9]]),ABS(Tab.o1[[#This Row],[DIF_Target.]]*Tab.o1[[#This Row],[W1_PDF]]))),"")</f>
        <v/>
      </c>
      <c r="AC1086" s="127" t="str">
        <f>IF(G$1=1,"",IF(Tab.o1[[#This Row],[a1]]=1,Tab.o1[[#This Row],[Wr]]^2,""))</f>
        <v/>
      </c>
      <c r="AD1086" s="118" t="str">
        <f>IF(Tab.o1[[#This Row],[a1]]=1,IF(AE$3=0,"",Tab.o1[[#This Row],[Wr2]]/SUM(Tab.o1[Wr2])),"")</f>
        <v/>
      </c>
      <c r="AE1086" s="128" t="str">
        <f>IF(Tab.o1[[#This Row],[a1]]=1,[1]!T.in.A[[#This Row],[oo10]],"")</f>
        <v/>
      </c>
      <c r="AF1086" s="118" t="str">
        <f>IF(Tab.o1[[#This Row],[a1]]=1,ABS(Tab.o1[[#This Row],[DIF_Target.]]*Tab.o1[[#This Row],[PDF2]]*Tab.o1[[#This Row],[IN]]),"")</f>
        <v/>
      </c>
      <c r="AG1086" s="129" t="str">
        <f>IF(Tab.o1[[#This Row],[a1]]=1,Tab.o1[[#This Row],[rW]]^2,"")</f>
        <v/>
      </c>
      <c r="AH1086" s="130" t="str">
        <f>IF(Tab.o1[[#This Row],[a1]]=1,IF(AH$3=0,Tab.o1[[#This Row],[rW2]],0.01+0.94*Tab.o1[[#This Row],[rW2]]/SUM(Tab.o1[rW2])),"")</f>
        <v/>
      </c>
      <c r="AI1086" s="128" t="str">
        <f>IF(Tab.o1[[#This Row],[a1]]=1,1/Tab.o1[[#This Row],[PDF]],"")</f>
        <v/>
      </c>
      <c r="AJ1086" s="131" t="str">
        <f>IF(Tab.o1[[#This Row],[a1]]=1,[1]!T_AA[[#This Row],[IN'']]*[1]!T_AA[[#This Row],[Qde'']],"")</f>
        <v/>
      </c>
      <c r="AK1086" s="132" t="str">
        <f>IF(Tab.o1[[#This Row],[a1]]=1,IF(AK$1=1,Tab.o1[[#This Row],[MED]]+Tab.o1[[#This Row],[MOD]]-Tab.o1[[#This Row],[MED]],""),"")</f>
        <v/>
      </c>
      <c r="AL1086" s="133" t="str">
        <f>IF(Tab.o1[[#This Row],[a1]]=1,[1]!T.in.A[[#This Row],[oo16]],"")</f>
        <v/>
      </c>
      <c r="AM1086" s="133" t="str">
        <f>IF(Tab.o1[[#This Row],[a1]]=1,IF(AM$3=1,[1]!T.in.A[[#This Row],[Σo16]],""),"")</f>
        <v/>
      </c>
      <c r="AN1086" s="126" t="str">
        <f>IF(Tab.o1[[#This Row],[a1]]=1,[1]!T.in.A[[#This Row],[Σp5]],"")</f>
        <v/>
      </c>
      <c r="AO1086" s="126" t="str">
        <f>IF(Tab.o1[[#This Row],[a1]]=1,IF(AO$3=1,[1]!T.in.A[[#This Row],[Σp5]],""),"")</f>
        <v/>
      </c>
      <c r="AP1086" s="110" t="str">
        <f>IF(Tab.o1[[#This Row],[a1]]=1,IF(ISNUMBER(Tab.o1[[#This Row],[i.]]),NORMDIST(Tab.o1[[#This Row],[Za]],0,1,FALSE)*Tab.o1[[#This Row],[i.]],0),"")</f>
        <v/>
      </c>
      <c r="AQ1086" s="125" t="str">
        <f>IF(Tab.o1[[#This Row],[a1]]=1,ABS(Tab.o1[[#This Row],[MOD]]-AVERAGE(Tab.o1[MOD])),"")</f>
        <v/>
      </c>
      <c r="AR1086" s="134" t="str">
        <f>IF(Tab.o1[[#This Row],[a1]]=1,Tab.o1[[#This Row],[OBS]]/SUM(Tab.o1[OBS]),"")</f>
        <v/>
      </c>
      <c r="AS1086" s="135" t="str">
        <f>IF(ISNUMBER(Tab.o1[[#This Row],[a1]]),ROW()-4,"")</f>
        <v/>
      </c>
      <c r="AT1086" s="136" t="str">
        <f>Tab.o1[[#This Row],[MOD]]</f>
        <v/>
      </c>
      <c r="AU1086" s="137" t="str">
        <f t="shared" si="65"/>
        <v/>
      </c>
      <c r="AV1086" s="138" t="str">
        <f t="shared" si="66"/>
        <v/>
      </c>
      <c r="AW1086" s="138" t="str">
        <f t="shared" si="67"/>
        <v/>
      </c>
      <c r="AX1086" s="139" t="str">
        <f>[1]!T.in.A[[#This Row],[ID_T_manu]]</f>
        <v/>
      </c>
      <c r="AY1086" s="140" t="str">
        <f>IF(ISNUMBER(Tab.o1[[#This Row],[a1]]),IF(AND(Tab.o1[[#This Row],[a1]]=1,Tab.o1[[#This Row],[b1]]&lt;=AY$4),#REF!,AY1085),"")</f>
        <v/>
      </c>
      <c r="AZ1086" s="25"/>
      <c r="BA1086" s="25"/>
      <c r="BB1086" s="25"/>
      <c r="BC1086" s="25"/>
      <c r="BD1086" s="25"/>
      <c r="BE1086" s="25"/>
      <c r="BF1086" s="25"/>
      <c r="BG1086" s="25"/>
      <c r="BH1086" s="25"/>
      <c r="BI1086" s="25"/>
      <c r="BJ1086" s="25"/>
      <c r="BK1086" s="25"/>
      <c r="BL1086" s="25"/>
      <c r="BM1086" s="25"/>
      <c r="BN1086" s="26"/>
      <c r="BO1086" s="26"/>
      <c r="BP1086" s="26"/>
      <c r="BQ1086" s="26"/>
      <c r="BR1086" s="26"/>
      <c r="BS1086" s="26"/>
      <c r="BT1086" s="26"/>
      <c r="BU1086" s="26"/>
      <c r="BV1086" s="26"/>
      <c r="BW1086" s="26"/>
      <c r="BX1086" s="26"/>
      <c r="BY1086" s="26"/>
      <c r="BZ1086" s="26"/>
      <c r="CA1086" s="26"/>
    </row>
    <row r="1087" spans="1:79" ht="15.75" hidden="1">
      <c r="A1087" s="109">
        <v>-8.0000000000000013E-6</v>
      </c>
      <c r="B1087" s="110">
        <f t="shared" si="64"/>
        <v>1087</v>
      </c>
      <c r="C1087" s="111" t="str">
        <f>IF(C$1=[1]!T.in.A[[#This Row],[oo2]],1,"")</f>
        <v/>
      </c>
      <c r="D1087" s="112" t="str">
        <f>IF(Tab.o1[[#This Row],[a1]]=1,IF(SUM(C1087:C1088)=0,0,IF(SUM(C1086:C1087)=1,1,IF(SUM(C1086:C1088)&gt;1,D1086+1,0))),"")</f>
        <v/>
      </c>
      <c r="E1087" s="113" t="str">
        <f>IF(Tab.o1[[#This Row],[a1]]=1,[1]!T.in.A[[#This Row],[oo1]],"")</f>
        <v/>
      </c>
      <c r="F1087" s="113" t="str">
        <f>IF(Tab.o1[[#This Row],[a1]]=1,[1]!T.in.A[[#This Row],[pp1]],"")</f>
        <v/>
      </c>
      <c r="G1087" s="114" t="str">
        <f>IF(Tab.o1[[#This Row],[a1]]=1,G$2+IF(G$1=1,0,Tab.o1[[#This Row],[.x1]])+[1]!T.in.A[[#This Row],[oo3]],"")</f>
        <v/>
      </c>
      <c r="H1087" s="115" t="str">
        <f>IF(Tab.o1[[#This Row],[a1]]=1,IF(H$2=0,0,IF(G$1=1,0,Tab.o1[[#This Row],[.x1]])+[1]!T.in.A[[#This Row],[oo4]]),"")</f>
        <v/>
      </c>
      <c r="I1087" s="116" t="str">
        <f>IF(Tab.o1[[#This Row],[a1]]=1,IF(J$2=0,Tab.o1[[#This Row],[MED]],Tab.o1[[#This Row],[MOD]]),"")</f>
        <v/>
      </c>
      <c r="J1087" s="116" t="str">
        <f>IF(Tab.o1[[#This Row],[a1]]=1,((Tab.o1[[#This Row],[DIF_Target.]]-AVERAGE(Tab.o1[DIF_Target.]))/_xlfn.STDEV.P(Tab.o1[DIF_Target.])),"")</f>
        <v/>
      </c>
      <c r="K1087" s="117" t="str">
        <f>IF(Tab.o1[[#This Row],[a1]]=1,IF(J$2=0,Tab.o1[[#This Row],[MOD]]-Tab.o1[[#This Row],[B]],IF(J$2=1,0,-Tab.o1[[#This Row],[MED]])+Tab.o1[[#This Row],[B]]),"")</f>
        <v/>
      </c>
      <c r="L1087" s="117" t="str">
        <f ca="1">IF(Tab.o1[[#This Row],[DIF_Target]]=0,IF(L$2=0,Tab.o1[[#This Row],[DIF_Target]],AVERAGE(OFFSET(Tab.o1[[#This Row],[DIF_Target]],1,0,L$3,1)))/3,Tab.o1[[#This Row],[DIF_Target]])</f>
        <v/>
      </c>
      <c r="M1087" s="118" t="str">
        <f>IF(Tab.o1[[#This Row],[a1]]=1,NORMSDIST(Tab.o1[[#This Row],[Za]]),"")</f>
        <v/>
      </c>
      <c r="N1087" s="119" t="str">
        <f>IF(Tab.o1[[#This Row],[a1]]=1,((Tab.o1[[#This Row],[MedMod]]-AVERAGE(Tab.o1[MedMod]))/_xlfn.STDEV.P(Tab.o1[MedMod])*H$1205)+G$1205,"")</f>
        <v/>
      </c>
      <c r="O1087" s="141" t="str">
        <f>IF(Tab.o1[[#This Row],[a1]]=1,Tab.o1[[#This Row],[Zb]]*_xlfn.STDEV.P(Tab.o1[MedMod])+AVERAGE(Tab.o1[MedMod]),"")</f>
        <v/>
      </c>
      <c r="P1087" s="117" t="str">
        <f ca="1">IF(Tab.o1[[#This Row],[B]]=0,AVERAGE(OFFSET(Tab.o1[[#This Row],[B]],1,0,L$3,1)),Tab.o1[[#This Row],[B]])</f>
        <v/>
      </c>
      <c r="Q1087" s="121" t="str">
        <f>IF(Tab.o1[[#This Row],[a1]]=1,NORMSDIST(Tab.o1[[#This Row],[Zb]]),"")</f>
        <v/>
      </c>
      <c r="R1087" s="122" t="str">
        <f>IF(Tab.o1[[#This Row],[a1]]=1,((Tab.o1[[#This Row],[MedMod]]-AVERAGE(Tab.o1[MedMod]))/_xlfn.STDEV.P(Tab.o1[MedMod])*H$1203)+G$1203,"")</f>
        <v/>
      </c>
      <c r="S1087" s="122" t="str">
        <f>IF(Tab.o1[[#This Row],[a1]]=1,((Tab.o1[[#This Row],[MedMod]]-AVERAGE(Tab.o1[MedMod]))/_xlfn.STDEV.P(Tab.o1[MedMod])*H$1204)+G$1204,"")</f>
        <v/>
      </c>
      <c r="T1087" s="123" t="str">
        <f>IF(Tab.o1[[#This Row],[a1]]=1,Tab.o1[[#This Row],[Z-]]*_xlfn.STDEV.P(Tab.o1[B])+AVERAGE(Tab.o1[B]),"")</f>
        <v/>
      </c>
      <c r="U1087" s="123" t="str">
        <f>IF(Tab.o1[[#This Row],[a1]]=1,Tab.o1[[#This Row],[z+]]*_xlfn.STDEV.P(Tab.o1[B])+AVERAGE(Tab.o1[B]),"")</f>
        <v/>
      </c>
      <c r="V1087" s="124" t="str">
        <f>IF(Tab.o1[[#This Row],[a1]]=1,ABS((ABS(Tab.o1[[#This Row],[Red]]-Tab.o1[[#This Row],[Blue]]))),"")</f>
        <v/>
      </c>
      <c r="W1087" s="125" t="str">
        <f>IF(Tab.o1[[#This Row],[a1]]=1,IF(W$3=0,1,Tab.o1[[#This Row],[Amp.]]*1/_xlfn.MINIFS(Tab.o1[Amp.],Tab.o1[Amp.],"&lt;&gt;0")),"")</f>
        <v/>
      </c>
      <c r="X1087" s="126" t="str">
        <f>IF(Tab.o1[[#This Row],[a1]]=1,IF(ISNUMBER(Tab.o1[[#This Row],[i.]]),NORMDIST(Tab.o1[[#This Row],[Za]],0,1,FALSE)*Tab.o1[[#This Row],[i.]],AP$3),"")</f>
        <v/>
      </c>
      <c r="Y1087" s="126" t="str">
        <f>IF(Tab.o1[[#This Row],[a1]]=1,0.01+0.94*Tab.o1[[#This Row],[PDF]]/MAX(Tab.o1[PDF]),"")</f>
        <v/>
      </c>
      <c r="Z1087" s="126" t="str">
        <f>IF(Tab.o1[[#This Row],[a1]]=1,0.01+0.94*Tab.o1[[#This Row],[W1_PDF]]/MAX(Tab.o1[W1_PDF]),"")</f>
        <v/>
      </c>
      <c r="AA1087" s="118" t="str">
        <f>IF(Tab.o1[[#This Row],[a1]]=1,ABS([1]!T.in.A[[#This Row],[oo6]]),"")</f>
        <v/>
      </c>
      <c r="AB1087" s="127" t="str">
        <f>IF(Tab.o1[[#This Row],[a1]]=1,IF(AE$3=0,"",IF(AB$3=0,ABS([1]!T.in.A[[#This Row],[oo9]]),ABS(Tab.o1[[#This Row],[DIF_Target.]]*Tab.o1[[#This Row],[W1_PDF]]))),"")</f>
        <v/>
      </c>
      <c r="AC1087" s="127" t="str">
        <f>IF(G$1=1,"",IF(Tab.o1[[#This Row],[a1]]=1,Tab.o1[[#This Row],[Wr]]^2,""))</f>
        <v/>
      </c>
      <c r="AD1087" s="118" t="str">
        <f>IF(Tab.o1[[#This Row],[a1]]=1,IF(AE$3=0,"",Tab.o1[[#This Row],[Wr2]]/SUM(Tab.o1[Wr2])),"")</f>
        <v/>
      </c>
      <c r="AE1087" s="128" t="str">
        <f>IF(Tab.o1[[#This Row],[a1]]=1,[1]!T.in.A[[#This Row],[oo10]],"")</f>
        <v/>
      </c>
      <c r="AF1087" s="118" t="str">
        <f>IF(Tab.o1[[#This Row],[a1]]=1,ABS(Tab.o1[[#This Row],[DIF_Target.]]*Tab.o1[[#This Row],[PDF2]]*Tab.o1[[#This Row],[IN]]),"")</f>
        <v/>
      </c>
      <c r="AG1087" s="129" t="str">
        <f>IF(Tab.o1[[#This Row],[a1]]=1,Tab.o1[[#This Row],[rW]]^2,"")</f>
        <v/>
      </c>
      <c r="AH1087" s="130" t="str">
        <f>IF(Tab.o1[[#This Row],[a1]]=1,IF(AH$3=0,Tab.o1[[#This Row],[rW2]],0.01+0.94*Tab.o1[[#This Row],[rW2]]/SUM(Tab.o1[rW2])),"")</f>
        <v/>
      </c>
      <c r="AI1087" s="128" t="str">
        <f>IF(Tab.o1[[#This Row],[a1]]=1,1/Tab.o1[[#This Row],[PDF]],"")</f>
        <v/>
      </c>
      <c r="AJ1087" s="131" t="str">
        <f>IF(Tab.o1[[#This Row],[a1]]=1,[1]!T_AA[[#This Row],[IN'']]*[1]!T_AA[[#This Row],[Qde'']],"")</f>
        <v/>
      </c>
      <c r="AK1087" s="132" t="str">
        <f>IF(Tab.o1[[#This Row],[a1]]=1,IF(AK$1=1,Tab.o1[[#This Row],[MED]]+Tab.o1[[#This Row],[MOD]]-Tab.o1[[#This Row],[MED]],""),"")</f>
        <v/>
      </c>
      <c r="AL1087" s="133" t="str">
        <f>IF(Tab.o1[[#This Row],[a1]]=1,[1]!T.in.A[[#This Row],[oo16]],"")</f>
        <v/>
      </c>
      <c r="AM1087" s="133" t="str">
        <f>IF(Tab.o1[[#This Row],[a1]]=1,IF(AM$3=1,[1]!T.in.A[[#This Row],[Σo16]],""),"")</f>
        <v/>
      </c>
      <c r="AN1087" s="126" t="str">
        <f>IF(Tab.o1[[#This Row],[a1]]=1,[1]!T.in.A[[#This Row],[Σp5]],"")</f>
        <v/>
      </c>
      <c r="AO1087" s="126" t="str">
        <f>IF(Tab.o1[[#This Row],[a1]]=1,IF(AO$3=1,[1]!T.in.A[[#This Row],[Σp5]],""),"")</f>
        <v/>
      </c>
      <c r="AP1087" s="110" t="str">
        <f>IF(Tab.o1[[#This Row],[a1]]=1,IF(ISNUMBER(Tab.o1[[#This Row],[i.]]),NORMDIST(Tab.o1[[#This Row],[Za]],0,1,FALSE)*Tab.o1[[#This Row],[i.]],0),"")</f>
        <v/>
      </c>
      <c r="AQ1087" s="125" t="str">
        <f>IF(Tab.o1[[#This Row],[a1]]=1,ABS(Tab.o1[[#This Row],[MOD]]-AVERAGE(Tab.o1[MOD])),"")</f>
        <v/>
      </c>
      <c r="AR1087" s="134" t="str">
        <f>IF(Tab.o1[[#This Row],[a1]]=1,Tab.o1[[#This Row],[OBS]]/SUM(Tab.o1[OBS]),"")</f>
        <v/>
      </c>
      <c r="AS1087" s="135" t="str">
        <f>IF(ISNUMBER(Tab.o1[[#This Row],[a1]]),ROW()-4,"")</f>
        <v/>
      </c>
      <c r="AT1087" s="136" t="str">
        <f>Tab.o1[[#This Row],[MOD]]</f>
        <v/>
      </c>
      <c r="AU1087" s="137" t="str">
        <f t="shared" si="65"/>
        <v/>
      </c>
      <c r="AV1087" s="138" t="str">
        <f t="shared" si="66"/>
        <v/>
      </c>
      <c r="AW1087" s="138" t="str">
        <f t="shared" si="67"/>
        <v/>
      </c>
      <c r="AX1087" s="139" t="str">
        <f>[1]!T.in.A[[#This Row],[ID_T_manu]]</f>
        <v/>
      </c>
      <c r="AY1087" s="140" t="str">
        <f>IF(ISNUMBER(Tab.o1[[#This Row],[a1]]),IF(AND(Tab.o1[[#This Row],[a1]]=1,Tab.o1[[#This Row],[b1]]&lt;=AY$4),#REF!,AY1086),"")</f>
        <v/>
      </c>
      <c r="AZ1087" s="25"/>
      <c r="BA1087" s="25"/>
      <c r="BB1087" s="25"/>
      <c r="BC1087" s="25"/>
      <c r="BD1087" s="25"/>
      <c r="BE1087" s="25"/>
      <c r="BF1087" s="25"/>
      <c r="BG1087" s="25"/>
      <c r="BH1087" s="25"/>
      <c r="BI1087" s="25"/>
      <c r="BJ1087" s="25"/>
      <c r="BK1087" s="25"/>
      <c r="BL1087" s="25"/>
      <c r="BM1087" s="25"/>
      <c r="BN1087" s="26"/>
      <c r="BO1087" s="26"/>
      <c r="BP1087" s="26"/>
      <c r="BQ1087" s="26"/>
      <c r="BR1087" s="26"/>
      <c r="BS1087" s="26"/>
      <c r="BT1087" s="26"/>
      <c r="BU1087" s="26"/>
      <c r="BV1087" s="26"/>
      <c r="BW1087" s="26"/>
      <c r="BX1087" s="26"/>
      <c r="BY1087" s="26"/>
      <c r="BZ1087" s="26"/>
      <c r="CA1087" s="26"/>
    </row>
    <row r="1088" spans="1:79" ht="15.75" hidden="1">
      <c r="A1088" s="109">
        <v>-2.0000000000000003E-6</v>
      </c>
      <c r="B1088" s="110">
        <f t="shared" si="64"/>
        <v>1088</v>
      </c>
      <c r="C1088" s="111" t="str">
        <f>IF(C$1=[1]!T.in.A[[#This Row],[oo2]],1,"")</f>
        <v/>
      </c>
      <c r="D1088" s="112" t="str">
        <f>IF(Tab.o1[[#This Row],[a1]]=1,IF(SUM(C1088:C1089)=0,0,IF(SUM(C1087:C1088)=1,1,IF(SUM(C1087:C1089)&gt;1,D1087+1,0))),"")</f>
        <v/>
      </c>
      <c r="E1088" s="113" t="str">
        <f>IF(Tab.o1[[#This Row],[a1]]=1,[1]!T.in.A[[#This Row],[oo1]],"")</f>
        <v/>
      </c>
      <c r="F1088" s="113" t="str">
        <f>IF(Tab.o1[[#This Row],[a1]]=1,[1]!T.in.A[[#This Row],[pp1]],"")</f>
        <v/>
      </c>
      <c r="G1088" s="114" t="str">
        <f>IF(Tab.o1[[#This Row],[a1]]=1,G$2+IF(G$1=1,0,Tab.o1[[#This Row],[.x1]])+[1]!T.in.A[[#This Row],[oo3]],"")</f>
        <v/>
      </c>
      <c r="H1088" s="115" t="str">
        <f>IF(Tab.o1[[#This Row],[a1]]=1,IF(H$2=0,0,IF(G$1=1,0,Tab.o1[[#This Row],[.x1]])+[1]!T.in.A[[#This Row],[oo4]]),"")</f>
        <v/>
      </c>
      <c r="I1088" s="116" t="str">
        <f>IF(Tab.o1[[#This Row],[a1]]=1,IF(J$2=0,Tab.o1[[#This Row],[MED]],Tab.o1[[#This Row],[MOD]]),"")</f>
        <v/>
      </c>
      <c r="J1088" s="116" t="str">
        <f>IF(Tab.o1[[#This Row],[a1]]=1,((Tab.o1[[#This Row],[DIF_Target.]]-AVERAGE(Tab.o1[DIF_Target.]))/_xlfn.STDEV.P(Tab.o1[DIF_Target.])),"")</f>
        <v/>
      </c>
      <c r="K1088" s="117" t="str">
        <f>IF(Tab.o1[[#This Row],[a1]]=1,IF(J$2=0,Tab.o1[[#This Row],[MOD]]-Tab.o1[[#This Row],[B]],IF(J$2=1,0,-Tab.o1[[#This Row],[MED]])+Tab.o1[[#This Row],[B]]),"")</f>
        <v/>
      </c>
      <c r="L1088" s="117" t="str">
        <f ca="1">IF(Tab.o1[[#This Row],[DIF_Target]]=0,IF(L$2=0,Tab.o1[[#This Row],[DIF_Target]],AVERAGE(OFFSET(Tab.o1[[#This Row],[DIF_Target]],1,0,L$3,1)))/3,Tab.o1[[#This Row],[DIF_Target]])</f>
        <v/>
      </c>
      <c r="M1088" s="118" t="str">
        <f>IF(Tab.o1[[#This Row],[a1]]=1,NORMSDIST(Tab.o1[[#This Row],[Za]]),"")</f>
        <v/>
      </c>
      <c r="N1088" s="119" t="str">
        <f>IF(Tab.o1[[#This Row],[a1]]=1,((Tab.o1[[#This Row],[MedMod]]-AVERAGE(Tab.o1[MedMod]))/_xlfn.STDEV.P(Tab.o1[MedMod])*H$1205)+G$1205,"")</f>
        <v/>
      </c>
      <c r="O1088" s="141" t="str">
        <f>IF(Tab.o1[[#This Row],[a1]]=1,Tab.o1[[#This Row],[Zb]]*_xlfn.STDEV.P(Tab.o1[MedMod])+AVERAGE(Tab.o1[MedMod]),"")</f>
        <v/>
      </c>
      <c r="P1088" s="117" t="str">
        <f ca="1">IF(Tab.o1[[#This Row],[B]]=0,AVERAGE(OFFSET(Tab.o1[[#This Row],[B]],1,0,L$3,1)),Tab.o1[[#This Row],[B]])</f>
        <v/>
      </c>
      <c r="Q1088" s="121" t="str">
        <f>IF(Tab.o1[[#This Row],[a1]]=1,NORMSDIST(Tab.o1[[#This Row],[Zb]]),"")</f>
        <v/>
      </c>
      <c r="R1088" s="122" t="str">
        <f>IF(Tab.o1[[#This Row],[a1]]=1,((Tab.o1[[#This Row],[MedMod]]-AVERAGE(Tab.o1[MedMod]))/_xlfn.STDEV.P(Tab.o1[MedMod])*H$1203)+G$1203,"")</f>
        <v/>
      </c>
      <c r="S1088" s="122" t="str">
        <f>IF(Tab.o1[[#This Row],[a1]]=1,((Tab.o1[[#This Row],[MedMod]]-AVERAGE(Tab.o1[MedMod]))/_xlfn.STDEV.P(Tab.o1[MedMod])*H$1204)+G$1204,"")</f>
        <v/>
      </c>
      <c r="T1088" s="123" t="str">
        <f>IF(Tab.o1[[#This Row],[a1]]=1,Tab.o1[[#This Row],[Z-]]*_xlfn.STDEV.P(Tab.o1[B])+AVERAGE(Tab.o1[B]),"")</f>
        <v/>
      </c>
      <c r="U1088" s="123" t="str">
        <f>IF(Tab.o1[[#This Row],[a1]]=1,Tab.o1[[#This Row],[z+]]*_xlfn.STDEV.P(Tab.o1[B])+AVERAGE(Tab.o1[B]),"")</f>
        <v/>
      </c>
      <c r="V1088" s="124" t="str">
        <f>IF(Tab.o1[[#This Row],[a1]]=1,ABS((ABS(Tab.o1[[#This Row],[Red]]-Tab.o1[[#This Row],[Blue]]))),"")</f>
        <v/>
      </c>
      <c r="W1088" s="125" t="str">
        <f>IF(Tab.o1[[#This Row],[a1]]=1,IF(W$3=0,1,Tab.o1[[#This Row],[Amp.]]*1/_xlfn.MINIFS(Tab.o1[Amp.],Tab.o1[Amp.],"&lt;&gt;0")),"")</f>
        <v/>
      </c>
      <c r="X1088" s="126" t="str">
        <f>IF(Tab.o1[[#This Row],[a1]]=1,IF(ISNUMBER(Tab.o1[[#This Row],[i.]]),NORMDIST(Tab.o1[[#This Row],[Za]],0,1,FALSE)*Tab.o1[[#This Row],[i.]],AP$3),"")</f>
        <v/>
      </c>
      <c r="Y1088" s="126" t="str">
        <f>IF(Tab.o1[[#This Row],[a1]]=1,0.01+0.94*Tab.o1[[#This Row],[PDF]]/MAX(Tab.o1[PDF]),"")</f>
        <v/>
      </c>
      <c r="Z1088" s="126" t="str">
        <f>IF(Tab.o1[[#This Row],[a1]]=1,0.01+0.94*Tab.o1[[#This Row],[W1_PDF]]/MAX(Tab.o1[W1_PDF]),"")</f>
        <v/>
      </c>
      <c r="AA1088" s="118" t="str">
        <f>IF(Tab.o1[[#This Row],[a1]]=1,ABS([1]!T.in.A[[#This Row],[oo6]]),"")</f>
        <v/>
      </c>
      <c r="AB1088" s="127" t="str">
        <f>IF(Tab.o1[[#This Row],[a1]]=1,IF(AE$3=0,"",IF(AB$3=0,ABS([1]!T.in.A[[#This Row],[oo9]]),ABS(Tab.o1[[#This Row],[DIF_Target.]]*Tab.o1[[#This Row],[W1_PDF]]))),"")</f>
        <v/>
      </c>
      <c r="AC1088" s="127" t="str">
        <f>IF(G$1=1,"",IF(Tab.o1[[#This Row],[a1]]=1,Tab.o1[[#This Row],[Wr]]^2,""))</f>
        <v/>
      </c>
      <c r="AD1088" s="118" t="str">
        <f>IF(Tab.o1[[#This Row],[a1]]=1,IF(AE$3=0,"",Tab.o1[[#This Row],[Wr2]]/SUM(Tab.o1[Wr2])),"")</f>
        <v/>
      </c>
      <c r="AE1088" s="128" t="str">
        <f>IF(Tab.o1[[#This Row],[a1]]=1,[1]!T.in.A[[#This Row],[oo10]],"")</f>
        <v/>
      </c>
      <c r="AF1088" s="118" t="str">
        <f>IF(Tab.o1[[#This Row],[a1]]=1,ABS(Tab.o1[[#This Row],[DIF_Target.]]*Tab.o1[[#This Row],[PDF2]]*Tab.o1[[#This Row],[IN]]),"")</f>
        <v/>
      </c>
      <c r="AG1088" s="129" t="str">
        <f>IF(Tab.o1[[#This Row],[a1]]=1,Tab.o1[[#This Row],[rW]]^2,"")</f>
        <v/>
      </c>
      <c r="AH1088" s="130" t="str">
        <f>IF(Tab.o1[[#This Row],[a1]]=1,IF(AH$3=0,Tab.o1[[#This Row],[rW2]],0.01+0.94*Tab.o1[[#This Row],[rW2]]/SUM(Tab.o1[rW2])),"")</f>
        <v/>
      </c>
      <c r="AI1088" s="128" t="str">
        <f>IF(Tab.o1[[#This Row],[a1]]=1,1/Tab.o1[[#This Row],[PDF]],"")</f>
        <v/>
      </c>
      <c r="AJ1088" s="131" t="str">
        <f>IF(Tab.o1[[#This Row],[a1]]=1,[1]!T_AA[[#This Row],[IN'']]*[1]!T_AA[[#This Row],[Qde'']],"")</f>
        <v/>
      </c>
      <c r="AK1088" s="132" t="str">
        <f>IF(Tab.o1[[#This Row],[a1]]=1,IF(AK$1=1,Tab.o1[[#This Row],[MED]]+Tab.o1[[#This Row],[MOD]]-Tab.o1[[#This Row],[MED]],""),"")</f>
        <v/>
      </c>
      <c r="AL1088" s="133" t="str">
        <f>IF(Tab.o1[[#This Row],[a1]]=1,[1]!T.in.A[[#This Row],[oo16]],"")</f>
        <v/>
      </c>
      <c r="AM1088" s="133" t="str">
        <f>IF(Tab.o1[[#This Row],[a1]]=1,IF(AM$3=1,[1]!T.in.A[[#This Row],[Σo16]],""),"")</f>
        <v/>
      </c>
      <c r="AN1088" s="126" t="str">
        <f>IF(Tab.o1[[#This Row],[a1]]=1,[1]!T.in.A[[#This Row],[Σp5]],"")</f>
        <v/>
      </c>
      <c r="AO1088" s="126" t="str">
        <f>IF(Tab.o1[[#This Row],[a1]]=1,IF(AO$3=1,[1]!T.in.A[[#This Row],[Σp5]],""),"")</f>
        <v/>
      </c>
      <c r="AP1088" s="110" t="str">
        <f>IF(Tab.o1[[#This Row],[a1]]=1,IF(ISNUMBER(Tab.o1[[#This Row],[i.]]),NORMDIST(Tab.o1[[#This Row],[Za]],0,1,FALSE)*Tab.o1[[#This Row],[i.]],0),"")</f>
        <v/>
      </c>
      <c r="AQ1088" s="125" t="str">
        <f>IF(Tab.o1[[#This Row],[a1]]=1,ABS(Tab.o1[[#This Row],[MOD]]-AVERAGE(Tab.o1[MOD])),"")</f>
        <v/>
      </c>
      <c r="AR1088" s="134" t="str">
        <f>IF(Tab.o1[[#This Row],[a1]]=1,Tab.o1[[#This Row],[OBS]]/SUM(Tab.o1[OBS]),"")</f>
        <v/>
      </c>
      <c r="AS1088" s="135" t="str">
        <f>IF(ISNUMBER(Tab.o1[[#This Row],[a1]]),ROW()-4,"")</f>
        <v/>
      </c>
      <c r="AT1088" s="136" t="str">
        <f>Tab.o1[[#This Row],[MOD]]</f>
        <v/>
      </c>
      <c r="AU1088" s="137" t="str">
        <f t="shared" si="65"/>
        <v/>
      </c>
      <c r="AV1088" s="138" t="str">
        <f t="shared" si="66"/>
        <v/>
      </c>
      <c r="AW1088" s="138" t="str">
        <f t="shared" si="67"/>
        <v/>
      </c>
      <c r="AX1088" s="139" t="str">
        <f>[1]!T.in.A[[#This Row],[ID_T_manu]]</f>
        <v/>
      </c>
      <c r="AY1088" s="140" t="str">
        <f>IF(ISNUMBER(Tab.o1[[#This Row],[a1]]),IF(AND(Tab.o1[[#This Row],[a1]]=1,Tab.o1[[#This Row],[b1]]&lt;=AY$4),#REF!,AY1087),"")</f>
        <v/>
      </c>
      <c r="AZ1088" s="25"/>
      <c r="BA1088" s="25"/>
      <c r="BB1088" s="25"/>
      <c r="BC1088" s="25"/>
      <c r="BD1088" s="25"/>
      <c r="BE1088" s="25"/>
      <c r="BF1088" s="25"/>
      <c r="BG1088" s="25"/>
      <c r="BH1088" s="25"/>
      <c r="BI1088" s="25"/>
      <c r="BJ1088" s="25"/>
      <c r="BK1088" s="25"/>
      <c r="BL1088" s="25"/>
      <c r="BM1088" s="25"/>
      <c r="BN1088" s="26"/>
      <c r="BO1088" s="26"/>
      <c r="BP1088" s="26"/>
      <c r="BQ1088" s="26"/>
      <c r="BR1088" s="26"/>
      <c r="BS1088" s="26"/>
      <c r="BT1088" s="26"/>
      <c r="BU1088" s="26"/>
      <c r="BV1088" s="26"/>
      <c r="BW1088" s="26"/>
      <c r="BX1088" s="26"/>
      <c r="BY1088" s="26"/>
      <c r="BZ1088" s="26"/>
      <c r="CA1088" s="26"/>
    </row>
    <row r="1089" spans="1:79" ht="15.75" hidden="1">
      <c r="A1089" s="109">
        <v>1.0000000000000002E-6</v>
      </c>
      <c r="B1089" s="110">
        <f t="shared" si="64"/>
        <v>1089</v>
      </c>
      <c r="C1089" s="111" t="str">
        <f>IF(C$1=[1]!T.in.A[[#This Row],[oo2]],1,"")</f>
        <v/>
      </c>
      <c r="D1089" s="112" t="str">
        <f>IF(Tab.o1[[#This Row],[a1]]=1,IF(SUM(C1089:C1090)=0,0,IF(SUM(C1088:C1089)=1,1,IF(SUM(C1088:C1090)&gt;1,D1088+1,0))),"")</f>
        <v/>
      </c>
      <c r="E1089" s="113" t="str">
        <f>IF(Tab.o1[[#This Row],[a1]]=1,[1]!T.in.A[[#This Row],[oo1]],"")</f>
        <v/>
      </c>
      <c r="F1089" s="113" t="str">
        <f>IF(Tab.o1[[#This Row],[a1]]=1,[1]!T.in.A[[#This Row],[pp1]],"")</f>
        <v/>
      </c>
      <c r="G1089" s="114" t="str">
        <f>IF(Tab.o1[[#This Row],[a1]]=1,G$2+IF(G$1=1,0,Tab.o1[[#This Row],[.x1]])+[1]!T.in.A[[#This Row],[oo3]],"")</f>
        <v/>
      </c>
      <c r="H1089" s="115" t="str">
        <f>IF(Tab.o1[[#This Row],[a1]]=1,IF(H$2=0,0,IF(G$1=1,0,Tab.o1[[#This Row],[.x1]])+[1]!T.in.A[[#This Row],[oo4]]),"")</f>
        <v/>
      </c>
      <c r="I1089" s="116" t="str">
        <f>IF(Tab.o1[[#This Row],[a1]]=1,IF(J$2=0,Tab.o1[[#This Row],[MED]],Tab.o1[[#This Row],[MOD]]),"")</f>
        <v/>
      </c>
      <c r="J1089" s="116" t="str">
        <f>IF(Tab.o1[[#This Row],[a1]]=1,((Tab.o1[[#This Row],[DIF_Target.]]-AVERAGE(Tab.o1[DIF_Target.]))/_xlfn.STDEV.P(Tab.o1[DIF_Target.])),"")</f>
        <v/>
      </c>
      <c r="K1089" s="117" t="str">
        <f>IF(Tab.o1[[#This Row],[a1]]=1,IF(J$2=0,Tab.o1[[#This Row],[MOD]]-Tab.o1[[#This Row],[B]],IF(J$2=1,0,-Tab.o1[[#This Row],[MED]])+Tab.o1[[#This Row],[B]]),"")</f>
        <v/>
      </c>
      <c r="L1089" s="117" t="str">
        <f ca="1">IF(Tab.o1[[#This Row],[DIF_Target]]=0,IF(L$2=0,Tab.o1[[#This Row],[DIF_Target]],AVERAGE(OFFSET(Tab.o1[[#This Row],[DIF_Target]],1,0,L$3,1)))/3,Tab.o1[[#This Row],[DIF_Target]])</f>
        <v/>
      </c>
      <c r="M1089" s="118" t="str">
        <f>IF(Tab.o1[[#This Row],[a1]]=1,NORMSDIST(Tab.o1[[#This Row],[Za]]),"")</f>
        <v/>
      </c>
      <c r="N1089" s="119" t="str">
        <f>IF(Tab.o1[[#This Row],[a1]]=1,((Tab.o1[[#This Row],[MedMod]]-AVERAGE(Tab.o1[MedMod]))/_xlfn.STDEV.P(Tab.o1[MedMod])*H$1205)+G$1205,"")</f>
        <v/>
      </c>
      <c r="O1089" s="141" t="str">
        <f>IF(Tab.o1[[#This Row],[a1]]=1,Tab.o1[[#This Row],[Zb]]*_xlfn.STDEV.P(Tab.o1[MedMod])+AVERAGE(Tab.o1[MedMod]),"")</f>
        <v/>
      </c>
      <c r="P1089" s="117" t="str">
        <f ca="1">IF(Tab.o1[[#This Row],[B]]=0,AVERAGE(OFFSET(Tab.o1[[#This Row],[B]],1,0,L$3,1)),Tab.o1[[#This Row],[B]])</f>
        <v/>
      </c>
      <c r="Q1089" s="121" t="str">
        <f>IF(Tab.o1[[#This Row],[a1]]=1,NORMSDIST(Tab.o1[[#This Row],[Zb]]),"")</f>
        <v/>
      </c>
      <c r="R1089" s="122" t="str">
        <f>IF(Tab.o1[[#This Row],[a1]]=1,((Tab.o1[[#This Row],[MedMod]]-AVERAGE(Tab.o1[MedMod]))/_xlfn.STDEV.P(Tab.o1[MedMod])*H$1203)+G$1203,"")</f>
        <v/>
      </c>
      <c r="S1089" s="122" t="str">
        <f>IF(Tab.o1[[#This Row],[a1]]=1,((Tab.o1[[#This Row],[MedMod]]-AVERAGE(Tab.o1[MedMod]))/_xlfn.STDEV.P(Tab.o1[MedMod])*H$1204)+G$1204,"")</f>
        <v/>
      </c>
      <c r="T1089" s="123" t="str">
        <f>IF(Tab.o1[[#This Row],[a1]]=1,Tab.o1[[#This Row],[Z-]]*_xlfn.STDEV.P(Tab.o1[B])+AVERAGE(Tab.o1[B]),"")</f>
        <v/>
      </c>
      <c r="U1089" s="123" t="str">
        <f>IF(Tab.o1[[#This Row],[a1]]=1,Tab.o1[[#This Row],[z+]]*_xlfn.STDEV.P(Tab.o1[B])+AVERAGE(Tab.o1[B]),"")</f>
        <v/>
      </c>
      <c r="V1089" s="124" t="str">
        <f>IF(Tab.o1[[#This Row],[a1]]=1,ABS((ABS(Tab.o1[[#This Row],[Red]]-Tab.o1[[#This Row],[Blue]]))),"")</f>
        <v/>
      </c>
      <c r="W1089" s="125" t="str">
        <f>IF(Tab.o1[[#This Row],[a1]]=1,IF(W$3=0,1,Tab.o1[[#This Row],[Amp.]]*1/_xlfn.MINIFS(Tab.o1[Amp.],Tab.o1[Amp.],"&lt;&gt;0")),"")</f>
        <v/>
      </c>
      <c r="X1089" s="126" t="str">
        <f>IF(Tab.o1[[#This Row],[a1]]=1,IF(ISNUMBER(Tab.o1[[#This Row],[i.]]),NORMDIST(Tab.o1[[#This Row],[Za]],0,1,FALSE)*Tab.o1[[#This Row],[i.]],AP$3),"")</f>
        <v/>
      </c>
      <c r="Y1089" s="126" t="str">
        <f>IF(Tab.o1[[#This Row],[a1]]=1,0.01+0.94*Tab.o1[[#This Row],[PDF]]/MAX(Tab.o1[PDF]),"")</f>
        <v/>
      </c>
      <c r="Z1089" s="126" t="str">
        <f>IF(Tab.o1[[#This Row],[a1]]=1,0.01+0.94*Tab.o1[[#This Row],[W1_PDF]]/MAX(Tab.o1[W1_PDF]),"")</f>
        <v/>
      </c>
      <c r="AA1089" s="118" t="str">
        <f>IF(Tab.o1[[#This Row],[a1]]=1,ABS([1]!T.in.A[[#This Row],[oo6]]),"")</f>
        <v/>
      </c>
      <c r="AB1089" s="127" t="str">
        <f>IF(Tab.o1[[#This Row],[a1]]=1,IF(AE$3=0,"",IF(AB$3=0,ABS([1]!T.in.A[[#This Row],[oo9]]),ABS(Tab.o1[[#This Row],[DIF_Target.]]*Tab.o1[[#This Row],[W1_PDF]]))),"")</f>
        <v/>
      </c>
      <c r="AC1089" s="127" t="str">
        <f>IF(G$1=1,"",IF(Tab.o1[[#This Row],[a1]]=1,Tab.o1[[#This Row],[Wr]]^2,""))</f>
        <v/>
      </c>
      <c r="AD1089" s="118" t="str">
        <f>IF(Tab.o1[[#This Row],[a1]]=1,IF(AE$3=0,"",Tab.o1[[#This Row],[Wr2]]/SUM(Tab.o1[Wr2])),"")</f>
        <v/>
      </c>
      <c r="AE1089" s="128" t="str">
        <f>IF(Tab.o1[[#This Row],[a1]]=1,[1]!T.in.A[[#This Row],[oo10]],"")</f>
        <v/>
      </c>
      <c r="AF1089" s="118" t="str">
        <f>IF(Tab.o1[[#This Row],[a1]]=1,ABS(Tab.o1[[#This Row],[DIF_Target.]]*Tab.o1[[#This Row],[PDF2]]*Tab.o1[[#This Row],[IN]]),"")</f>
        <v/>
      </c>
      <c r="AG1089" s="129" t="str">
        <f>IF(Tab.o1[[#This Row],[a1]]=1,Tab.o1[[#This Row],[rW]]^2,"")</f>
        <v/>
      </c>
      <c r="AH1089" s="130" t="str">
        <f>IF(Tab.o1[[#This Row],[a1]]=1,IF(AH$3=0,Tab.o1[[#This Row],[rW2]],0.01+0.94*Tab.o1[[#This Row],[rW2]]/SUM(Tab.o1[rW2])),"")</f>
        <v/>
      </c>
      <c r="AI1089" s="128" t="str">
        <f>IF(Tab.o1[[#This Row],[a1]]=1,1/Tab.o1[[#This Row],[PDF]],"")</f>
        <v/>
      </c>
      <c r="AJ1089" s="131" t="str">
        <f>IF(Tab.o1[[#This Row],[a1]]=1,[1]!T_AA[[#This Row],[IN'']]*[1]!T_AA[[#This Row],[Qde'']],"")</f>
        <v/>
      </c>
      <c r="AK1089" s="132" t="str">
        <f>IF(Tab.o1[[#This Row],[a1]]=1,IF(AK$1=1,Tab.o1[[#This Row],[MED]]+Tab.o1[[#This Row],[MOD]]-Tab.o1[[#This Row],[MED]],""),"")</f>
        <v/>
      </c>
      <c r="AL1089" s="133" t="str">
        <f>IF(Tab.o1[[#This Row],[a1]]=1,[1]!T.in.A[[#This Row],[oo16]],"")</f>
        <v/>
      </c>
      <c r="AM1089" s="133" t="str">
        <f>IF(Tab.o1[[#This Row],[a1]]=1,IF(AM$3=1,[1]!T.in.A[[#This Row],[Σo16]],""),"")</f>
        <v/>
      </c>
      <c r="AN1089" s="126" t="str">
        <f>IF(Tab.o1[[#This Row],[a1]]=1,[1]!T.in.A[[#This Row],[Σp5]],"")</f>
        <v/>
      </c>
      <c r="AO1089" s="126" t="str">
        <f>IF(Tab.o1[[#This Row],[a1]]=1,IF(AO$3=1,[1]!T.in.A[[#This Row],[Σp5]],""),"")</f>
        <v/>
      </c>
      <c r="AP1089" s="110" t="str">
        <f>IF(Tab.o1[[#This Row],[a1]]=1,IF(ISNUMBER(Tab.o1[[#This Row],[i.]]),NORMDIST(Tab.o1[[#This Row],[Za]],0,1,FALSE)*Tab.o1[[#This Row],[i.]],0),"")</f>
        <v/>
      </c>
      <c r="AQ1089" s="125" t="str">
        <f>IF(Tab.o1[[#This Row],[a1]]=1,ABS(Tab.o1[[#This Row],[MOD]]-AVERAGE(Tab.o1[MOD])),"")</f>
        <v/>
      </c>
      <c r="AR1089" s="134" t="str">
        <f>IF(Tab.o1[[#This Row],[a1]]=1,Tab.o1[[#This Row],[OBS]]/SUM(Tab.o1[OBS]),"")</f>
        <v/>
      </c>
      <c r="AS1089" s="135" t="str">
        <f>IF(ISNUMBER(Tab.o1[[#This Row],[a1]]),ROW()-4,"")</f>
        <v/>
      </c>
      <c r="AT1089" s="136" t="str">
        <f>Tab.o1[[#This Row],[MOD]]</f>
        <v/>
      </c>
      <c r="AU1089" s="137" t="str">
        <f t="shared" si="65"/>
        <v/>
      </c>
      <c r="AV1089" s="138" t="str">
        <f t="shared" si="66"/>
        <v/>
      </c>
      <c r="AW1089" s="138" t="str">
        <f t="shared" si="67"/>
        <v/>
      </c>
      <c r="AX1089" s="139" t="str">
        <f>[1]!T.in.A[[#This Row],[ID_T_manu]]</f>
        <v/>
      </c>
      <c r="AY1089" s="140" t="str">
        <f>IF(ISNUMBER(Tab.o1[[#This Row],[a1]]),IF(AND(Tab.o1[[#This Row],[a1]]=1,Tab.o1[[#This Row],[b1]]&lt;=AY$4),#REF!,AY1088),"")</f>
        <v/>
      </c>
      <c r="AZ1089" s="25"/>
      <c r="BA1089" s="25"/>
      <c r="BB1089" s="25"/>
      <c r="BC1089" s="25"/>
      <c r="BD1089" s="25"/>
      <c r="BE1089" s="25"/>
      <c r="BF1089" s="25"/>
      <c r="BG1089" s="25"/>
      <c r="BH1089" s="25"/>
      <c r="BI1089" s="25"/>
      <c r="BJ1089" s="25"/>
      <c r="BK1089" s="25"/>
      <c r="BL1089" s="25"/>
      <c r="BM1089" s="25"/>
      <c r="BN1089" s="26"/>
      <c r="BO1089" s="26"/>
      <c r="BP1089" s="26"/>
      <c r="BQ1089" s="26"/>
      <c r="BR1089" s="26"/>
      <c r="BS1089" s="26"/>
      <c r="BT1089" s="26"/>
      <c r="BU1089" s="26"/>
      <c r="BV1089" s="26"/>
      <c r="BW1089" s="26"/>
      <c r="BX1089" s="26"/>
      <c r="BY1089" s="26"/>
      <c r="BZ1089" s="26"/>
      <c r="CA1089" s="26"/>
    </row>
    <row r="1090" spans="1:79" ht="15.75" hidden="1">
      <c r="A1090" s="109">
        <v>-6.9999999999999999E-6</v>
      </c>
      <c r="B1090" s="110">
        <f t="shared" si="64"/>
        <v>1090</v>
      </c>
      <c r="C1090" s="111" t="str">
        <f>IF(C$1=[1]!T.in.A[[#This Row],[oo2]],1,"")</f>
        <v/>
      </c>
      <c r="D1090" s="112" t="str">
        <f>IF(Tab.o1[[#This Row],[a1]]=1,IF(SUM(C1090:C1091)=0,0,IF(SUM(C1089:C1090)=1,1,IF(SUM(C1089:C1091)&gt;1,D1089+1,0))),"")</f>
        <v/>
      </c>
      <c r="E1090" s="113" t="str">
        <f>IF(Tab.o1[[#This Row],[a1]]=1,[1]!T.in.A[[#This Row],[oo1]],"")</f>
        <v/>
      </c>
      <c r="F1090" s="113" t="str">
        <f>IF(Tab.o1[[#This Row],[a1]]=1,[1]!T.in.A[[#This Row],[pp1]],"")</f>
        <v/>
      </c>
      <c r="G1090" s="114" t="str">
        <f>IF(Tab.o1[[#This Row],[a1]]=1,G$2+IF(G$1=1,0,Tab.o1[[#This Row],[.x1]])+[1]!T.in.A[[#This Row],[oo3]],"")</f>
        <v/>
      </c>
      <c r="H1090" s="115" t="str">
        <f>IF(Tab.o1[[#This Row],[a1]]=1,IF(H$2=0,0,IF(G$1=1,0,Tab.o1[[#This Row],[.x1]])+[1]!T.in.A[[#This Row],[oo4]]),"")</f>
        <v/>
      </c>
      <c r="I1090" s="116" t="str">
        <f>IF(Tab.o1[[#This Row],[a1]]=1,IF(J$2=0,Tab.o1[[#This Row],[MED]],Tab.o1[[#This Row],[MOD]]),"")</f>
        <v/>
      </c>
      <c r="J1090" s="116" t="str">
        <f>IF(Tab.o1[[#This Row],[a1]]=1,((Tab.o1[[#This Row],[DIF_Target.]]-AVERAGE(Tab.o1[DIF_Target.]))/_xlfn.STDEV.P(Tab.o1[DIF_Target.])),"")</f>
        <v/>
      </c>
      <c r="K1090" s="117" t="str">
        <f>IF(Tab.o1[[#This Row],[a1]]=1,IF(J$2=0,Tab.o1[[#This Row],[MOD]]-Tab.o1[[#This Row],[B]],IF(J$2=1,0,-Tab.o1[[#This Row],[MED]])+Tab.o1[[#This Row],[B]]),"")</f>
        <v/>
      </c>
      <c r="L1090" s="117" t="str">
        <f ca="1">IF(Tab.o1[[#This Row],[DIF_Target]]=0,IF(L$2=0,Tab.o1[[#This Row],[DIF_Target]],AVERAGE(OFFSET(Tab.o1[[#This Row],[DIF_Target]],1,0,L$3,1)))/3,Tab.o1[[#This Row],[DIF_Target]])</f>
        <v/>
      </c>
      <c r="M1090" s="118" t="str">
        <f>IF(Tab.o1[[#This Row],[a1]]=1,NORMSDIST(Tab.o1[[#This Row],[Za]]),"")</f>
        <v/>
      </c>
      <c r="N1090" s="119" t="str">
        <f>IF(Tab.o1[[#This Row],[a1]]=1,((Tab.o1[[#This Row],[MedMod]]-AVERAGE(Tab.o1[MedMod]))/_xlfn.STDEV.P(Tab.o1[MedMod])*H$1205)+G$1205,"")</f>
        <v/>
      </c>
      <c r="O1090" s="141" t="str">
        <f>IF(Tab.o1[[#This Row],[a1]]=1,Tab.o1[[#This Row],[Zb]]*_xlfn.STDEV.P(Tab.o1[MedMod])+AVERAGE(Tab.o1[MedMod]),"")</f>
        <v/>
      </c>
      <c r="P1090" s="117" t="str">
        <f ca="1">IF(Tab.o1[[#This Row],[B]]=0,AVERAGE(OFFSET(Tab.o1[[#This Row],[B]],1,0,L$3,1)),Tab.o1[[#This Row],[B]])</f>
        <v/>
      </c>
      <c r="Q1090" s="121" t="str">
        <f>IF(Tab.o1[[#This Row],[a1]]=1,NORMSDIST(Tab.o1[[#This Row],[Zb]]),"")</f>
        <v/>
      </c>
      <c r="R1090" s="122" t="str">
        <f>IF(Tab.o1[[#This Row],[a1]]=1,((Tab.o1[[#This Row],[MedMod]]-AVERAGE(Tab.o1[MedMod]))/_xlfn.STDEV.P(Tab.o1[MedMod])*H$1203)+G$1203,"")</f>
        <v/>
      </c>
      <c r="S1090" s="122" t="str">
        <f>IF(Tab.o1[[#This Row],[a1]]=1,((Tab.o1[[#This Row],[MedMod]]-AVERAGE(Tab.o1[MedMod]))/_xlfn.STDEV.P(Tab.o1[MedMod])*H$1204)+G$1204,"")</f>
        <v/>
      </c>
      <c r="T1090" s="123" t="str">
        <f>IF(Tab.o1[[#This Row],[a1]]=1,Tab.o1[[#This Row],[Z-]]*_xlfn.STDEV.P(Tab.o1[B])+AVERAGE(Tab.o1[B]),"")</f>
        <v/>
      </c>
      <c r="U1090" s="123" t="str">
        <f>IF(Tab.o1[[#This Row],[a1]]=1,Tab.o1[[#This Row],[z+]]*_xlfn.STDEV.P(Tab.o1[B])+AVERAGE(Tab.o1[B]),"")</f>
        <v/>
      </c>
      <c r="V1090" s="124" t="str">
        <f>IF(Tab.o1[[#This Row],[a1]]=1,ABS((ABS(Tab.o1[[#This Row],[Red]]-Tab.o1[[#This Row],[Blue]]))),"")</f>
        <v/>
      </c>
      <c r="W1090" s="125" t="str">
        <f>IF(Tab.o1[[#This Row],[a1]]=1,IF(W$3=0,1,Tab.o1[[#This Row],[Amp.]]*1/_xlfn.MINIFS(Tab.o1[Amp.],Tab.o1[Amp.],"&lt;&gt;0")),"")</f>
        <v/>
      </c>
      <c r="X1090" s="126" t="str">
        <f>IF(Tab.o1[[#This Row],[a1]]=1,IF(ISNUMBER(Tab.o1[[#This Row],[i.]]),NORMDIST(Tab.o1[[#This Row],[Za]],0,1,FALSE)*Tab.o1[[#This Row],[i.]],AP$3),"")</f>
        <v/>
      </c>
      <c r="Y1090" s="126" t="str">
        <f>IF(Tab.o1[[#This Row],[a1]]=1,0.01+0.94*Tab.o1[[#This Row],[PDF]]/MAX(Tab.o1[PDF]),"")</f>
        <v/>
      </c>
      <c r="Z1090" s="126" t="str">
        <f>IF(Tab.o1[[#This Row],[a1]]=1,0.01+0.94*Tab.o1[[#This Row],[W1_PDF]]/MAX(Tab.o1[W1_PDF]),"")</f>
        <v/>
      </c>
      <c r="AA1090" s="118" t="str">
        <f>IF(Tab.o1[[#This Row],[a1]]=1,ABS([1]!T.in.A[[#This Row],[oo6]]),"")</f>
        <v/>
      </c>
      <c r="AB1090" s="127" t="str">
        <f>IF(Tab.o1[[#This Row],[a1]]=1,IF(AE$3=0,"",IF(AB$3=0,ABS([1]!T.in.A[[#This Row],[oo9]]),ABS(Tab.o1[[#This Row],[DIF_Target.]]*Tab.o1[[#This Row],[W1_PDF]]))),"")</f>
        <v/>
      </c>
      <c r="AC1090" s="127" t="str">
        <f>IF(G$1=1,"",IF(Tab.o1[[#This Row],[a1]]=1,Tab.o1[[#This Row],[Wr]]^2,""))</f>
        <v/>
      </c>
      <c r="AD1090" s="118" t="str">
        <f>IF(Tab.o1[[#This Row],[a1]]=1,IF(AE$3=0,"",Tab.o1[[#This Row],[Wr2]]/SUM(Tab.o1[Wr2])),"")</f>
        <v/>
      </c>
      <c r="AE1090" s="128" t="str">
        <f>IF(Tab.o1[[#This Row],[a1]]=1,[1]!T.in.A[[#This Row],[oo10]],"")</f>
        <v/>
      </c>
      <c r="AF1090" s="118" t="str">
        <f>IF(Tab.o1[[#This Row],[a1]]=1,ABS(Tab.o1[[#This Row],[DIF_Target.]]*Tab.o1[[#This Row],[PDF2]]*Tab.o1[[#This Row],[IN]]),"")</f>
        <v/>
      </c>
      <c r="AG1090" s="129" t="str">
        <f>IF(Tab.o1[[#This Row],[a1]]=1,Tab.o1[[#This Row],[rW]]^2,"")</f>
        <v/>
      </c>
      <c r="AH1090" s="130" t="str">
        <f>IF(Tab.o1[[#This Row],[a1]]=1,IF(AH$3=0,Tab.o1[[#This Row],[rW2]],0.01+0.94*Tab.o1[[#This Row],[rW2]]/SUM(Tab.o1[rW2])),"")</f>
        <v/>
      </c>
      <c r="AI1090" s="128" t="str">
        <f>IF(Tab.o1[[#This Row],[a1]]=1,1/Tab.o1[[#This Row],[PDF]],"")</f>
        <v/>
      </c>
      <c r="AJ1090" s="131" t="str">
        <f>IF(Tab.o1[[#This Row],[a1]]=1,[1]!T_AA[[#This Row],[IN'']]*[1]!T_AA[[#This Row],[Qde'']],"")</f>
        <v/>
      </c>
      <c r="AK1090" s="132" t="str">
        <f>IF(Tab.o1[[#This Row],[a1]]=1,IF(AK$1=1,Tab.o1[[#This Row],[MED]]+Tab.o1[[#This Row],[MOD]]-Tab.o1[[#This Row],[MED]],""),"")</f>
        <v/>
      </c>
      <c r="AL1090" s="133" t="str">
        <f>IF(Tab.o1[[#This Row],[a1]]=1,[1]!T.in.A[[#This Row],[oo16]],"")</f>
        <v/>
      </c>
      <c r="AM1090" s="133" t="str">
        <f>IF(Tab.o1[[#This Row],[a1]]=1,IF(AM$3=1,[1]!T.in.A[[#This Row],[Σo16]],""),"")</f>
        <v/>
      </c>
      <c r="AN1090" s="126" t="str">
        <f>IF(Tab.o1[[#This Row],[a1]]=1,[1]!T.in.A[[#This Row],[Σp5]],"")</f>
        <v/>
      </c>
      <c r="AO1090" s="126" t="str">
        <f>IF(Tab.o1[[#This Row],[a1]]=1,IF(AO$3=1,[1]!T.in.A[[#This Row],[Σp5]],""),"")</f>
        <v/>
      </c>
      <c r="AP1090" s="110" t="str">
        <f>IF(Tab.o1[[#This Row],[a1]]=1,IF(ISNUMBER(Tab.o1[[#This Row],[i.]]),NORMDIST(Tab.o1[[#This Row],[Za]],0,1,FALSE)*Tab.o1[[#This Row],[i.]],0),"")</f>
        <v/>
      </c>
      <c r="AQ1090" s="125" t="str">
        <f>IF(Tab.o1[[#This Row],[a1]]=1,ABS(Tab.o1[[#This Row],[MOD]]-AVERAGE(Tab.o1[MOD])),"")</f>
        <v/>
      </c>
      <c r="AR1090" s="134" t="str">
        <f>IF(Tab.o1[[#This Row],[a1]]=1,Tab.o1[[#This Row],[OBS]]/SUM(Tab.o1[OBS]),"")</f>
        <v/>
      </c>
      <c r="AS1090" s="135" t="str">
        <f>IF(ISNUMBER(Tab.o1[[#This Row],[a1]]),ROW()-4,"")</f>
        <v/>
      </c>
      <c r="AT1090" s="136" t="str">
        <f>Tab.o1[[#This Row],[MOD]]</f>
        <v/>
      </c>
      <c r="AU1090" s="137" t="str">
        <f t="shared" si="65"/>
        <v/>
      </c>
      <c r="AV1090" s="138" t="str">
        <f t="shared" si="66"/>
        <v/>
      </c>
      <c r="AW1090" s="138" t="str">
        <f t="shared" si="67"/>
        <v/>
      </c>
      <c r="AX1090" s="139" t="str">
        <f>[1]!T.in.A[[#This Row],[ID_T_manu]]</f>
        <v/>
      </c>
      <c r="AY1090" s="140" t="str">
        <f>IF(ISNUMBER(Tab.o1[[#This Row],[a1]]),IF(AND(Tab.o1[[#This Row],[a1]]=1,Tab.o1[[#This Row],[b1]]&lt;=AY$4),#REF!,AY1089),"")</f>
        <v/>
      </c>
      <c r="AZ1090" s="25"/>
      <c r="BA1090" s="25"/>
      <c r="BB1090" s="25"/>
      <c r="BC1090" s="25"/>
      <c r="BD1090" s="25"/>
      <c r="BE1090" s="25"/>
      <c r="BF1090" s="25"/>
      <c r="BG1090" s="25"/>
      <c r="BH1090" s="25"/>
      <c r="BI1090" s="25"/>
      <c r="BJ1090" s="25"/>
      <c r="BK1090" s="25"/>
      <c r="BL1090" s="25"/>
      <c r="BM1090" s="25"/>
      <c r="BN1090" s="26"/>
      <c r="BO1090" s="26"/>
      <c r="BP1090" s="26"/>
      <c r="BQ1090" s="26"/>
      <c r="BR1090" s="26"/>
      <c r="BS1090" s="26"/>
      <c r="BT1090" s="26"/>
      <c r="BU1090" s="26"/>
      <c r="BV1090" s="26"/>
      <c r="BW1090" s="26"/>
      <c r="BX1090" s="26"/>
      <c r="BY1090" s="26"/>
      <c r="BZ1090" s="26"/>
      <c r="CA1090" s="26"/>
    </row>
    <row r="1091" spans="1:79" ht="15.75" hidden="1">
      <c r="A1091" s="109">
        <v>-6.9999999999999999E-6</v>
      </c>
      <c r="B1091" s="110">
        <f t="shared" si="64"/>
        <v>1091</v>
      </c>
      <c r="C1091" s="111" t="str">
        <f>IF(C$1=[1]!T.in.A[[#This Row],[oo2]],1,"")</f>
        <v/>
      </c>
      <c r="D1091" s="112" t="str">
        <f>IF(Tab.o1[[#This Row],[a1]]=1,IF(SUM(C1091:C1092)=0,0,IF(SUM(C1090:C1091)=1,1,IF(SUM(C1090:C1092)&gt;1,D1090+1,0))),"")</f>
        <v/>
      </c>
      <c r="E1091" s="113" t="str">
        <f>IF(Tab.o1[[#This Row],[a1]]=1,[1]!T.in.A[[#This Row],[oo1]],"")</f>
        <v/>
      </c>
      <c r="F1091" s="113" t="str">
        <f>IF(Tab.o1[[#This Row],[a1]]=1,[1]!T.in.A[[#This Row],[pp1]],"")</f>
        <v/>
      </c>
      <c r="G1091" s="114" t="str">
        <f>IF(Tab.o1[[#This Row],[a1]]=1,G$2+IF(G$1=1,0,Tab.o1[[#This Row],[.x1]])+[1]!T.in.A[[#This Row],[oo3]],"")</f>
        <v/>
      </c>
      <c r="H1091" s="115" t="str">
        <f>IF(Tab.o1[[#This Row],[a1]]=1,IF(H$2=0,0,IF(G$1=1,0,Tab.o1[[#This Row],[.x1]])+[1]!T.in.A[[#This Row],[oo4]]),"")</f>
        <v/>
      </c>
      <c r="I1091" s="116" t="str">
        <f>IF(Tab.o1[[#This Row],[a1]]=1,IF(J$2=0,Tab.o1[[#This Row],[MED]],Tab.o1[[#This Row],[MOD]]),"")</f>
        <v/>
      </c>
      <c r="J1091" s="116" t="str">
        <f>IF(Tab.o1[[#This Row],[a1]]=1,((Tab.o1[[#This Row],[DIF_Target.]]-AVERAGE(Tab.o1[DIF_Target.]))/_xlfn.STDEV.P(Tab.o1[DIF_Target.])),"")</f>
        <v/>
      </c>
      <c r="K1091" s="117" t="str">
        <f>IF(Tab.o1[[#This Row],[a1]]=1,IF(J$2=0,Tab.o1[[#This Row],[MOD]]-Tab.o1[[#This Row],[B]],IF(J$2=1,0,-Tab.o1[[#This Row],[MED]])+Tab.o1[[#This Row],[B]]),"")</f>
        <v/>
      </c>
      <c r="L1091" s="117" t="str">
        <f ca="1">IF(Tab.o1[[#This Row],[DIF_Target]]=0,IF(L$2=0,Tab.o1[[#This Row],[DIF_Target]],AVERAGE(OFFSET(Tab.o1[[#This Row],[DIF_Target]],1,0,L$3,1)))/3,Tab.o1[[#This Row],[DIF_Target]])</f>
        <v/>
      </c>
      <c r="M1091" s="118" t="str">
        <f>IF(Tab.o1[[#This Row],[a1]]=1,NORMSDIST(Tab.o1[[#This Row],[Za]]),"")</f>
        <v/>
      </c>
      <c r="N1091" s="119" t="str">
        <f>IF(Tab.o1[[#This Row],[a1]]=1,((Tab.o1[[#This Row],[MedMod]]-AVERAGE(Tab.o1[MedMod]))/_xlfn.STDEV.P(Tab.o1[MedMod])*H$1205)+G$1205,"")</f>
        <v/>
      </c>
      <c r="O1091" s="141" t="str">
        <f>IF(Tab.o1[[#This Row],[a1]]=1,Tab.o1[[#This Row],[Zb]]*_xlfn.STDEV.P(Tab.o1[MedMod])+AVERAGE(Tab.o1[MedMod]),"")</f>
        <v/>
      </c>
      <c r="P1091" s="117" t="str">
        <f ca="1">IF(Tab.o1[[#This Row],[B]]=0,AVERAGE(OFFSET(Tab.o1[[#This Row],[B]],1,0,L$3,1)),Tab.o1[[#This Row],[B]])</f>
        <v/>
      </c>
      <c r="Q1091" s="121" t="str">
        <f>IF(Tab.o1[[#This Row],[a1]]=1,NORMSDIST(Tab.o1[[#This Row],[Zb]]),"")</f>
        <v/>
      </c>
      <c r="R1091" s="122" t="str">
        <f>IF(Tab.o1[[#This Row],[a1]]=1,((Tab.o1[[#This Row],[MedMod]]-AVERAGE(Tab.o1[MedMod]))/_xlfn.STDEV.P(Tab.o1[MedMod])*H$1203)+G$1203,"")</f>
        <v/>
      </c>
      <c r="S1091" s="122" t="str">
        <f>IF(Tab.o1[[#This Row],[a1]]=1,((Tab.o1[[#This Row],[MedMod]]-AVERAGE(Tab.o1[MedMod]))/_xlfn.STDEV.P(Tab.o1[MedMod])*H$1204)+G$1204,"")</f>
        <v/>
      </c>
      <c r="T1091" s="123" t="str">
        <f>IF(Tab.o1[[#This Row],[a1]]=1,Tab.o1[[#This Row],[Z-]]*_xlfn.STDEV.P(Tab.o1[B])+AVERAGE(Tab.o1[B]),"")</f>
        <v/>
      </c>
      <c r="U1091" s="123" t="str">
        <f>IF(Tab.o1[[#This Row],[a1]]=1,Tab.o1[[#This Row],[z+]]*_xlfn.STDEV.P(Tab.o1[B])+AVERAGE(Tab.o1[B]),"")</f>
        <v/>
      </c>
      <c r="V1091" s="124" t="str">
        <f>IF(Tab.o1[[#This Row],[a1]]=1,ABS((ABS(Tab.o1[[#This Row],[Red]]-Tab.o1[[#This Row],[Blue]]))),"")</f>
        <v/>
      </c>
      <c r="W1091" s="125" t="str">
        <f>IF(Tab.o1[[#This Row],[a1]]=1,IF(W$3=0,1,Tab.o1[[#This Row],[Amp.]]*1/_xlfn.MINIFS(Tab.o1[Amp.],Tab.o1[Amp.],"&lt;&gt;0")),"")</f>
        <v/>
      </c>
      <c r="X1091" s="126" t="str">
        <f>IF(Tab.o1[[#This Row],[a1]]=1,IF(ISNUMBER(Tab.o1[[#This Row],[i.]]),NORMDIST(Tab.o1[[#This Row],[Za]],0,1,FALSE)*Tab.o1[[#This Row],[i.]],AP$3),"")</f>
        <v/>
      </c>
      <c r="Y1091" s="126" t="str">
        <f>IF(Tab.o1[[#This Row],[a1]]=1,0.01+0.94*Tab.o1[[#This Row],[PDF]]/MAX(Tab.o1[PDF]),"")</f>
        <v/>
      </c>
      <c r="Z1091" s="126" t="str">
        <f>IF(Tab.o1[[#This Row],[a1]]=1,0.01+0.94*Tab.o1[[#This Row],[W1_PDF]]/MAX(Tab.o1[W1_PDF]),"")</f>
        <v/>
      </c>
      <c r="AA1091" s="118" t="str">
        <f>IF(Tab.o1[[#This Row],[a1]]=1,ABS([1]!T.in.A[[#This Row],[oo6]]),"")</f>
        <v/>
      </c>
      <c r="AB1091" s="127" t="str">
        <f>IF(Tab.o1[[#This Row],[a1]]=1,IF(AE$3=0,"",IF(AB$3=0,ABS([1]!T.in.A[[#This Row],[oo9]]),ABS(Tab.o1[[#This Row],[DIF_Target.]]*Tab.o1[[#This Row],[W1_PDF]]))),"")</f>
        <v/>
      </c>
      <c r="AC1091" s="127" t="str">
        <f>IF(G$1=1,"",IF(Tab.o1[[#This Row],[a1]]=1,Tab.o1[[#This Row],[Wr]]^2,""))</f>
        <v/>
      </c>
      <c r="AD1091" s="118" t="str">
        <f>IF(Tab.o1[[#This Row],[a1]]=1,IF(AE$3=0,"",Tab.o1[[#This Row],[Wr2]]/SUM(Tab.o1[Wr2])),"")</f>
        <v/>
      </c>
      <c r="AE1091" s="128" t="str">
        <f>IF(Tab.o1[[#This Row],[a1]]=1,[1]!T.in.A[[#This Row],[oo10]],"")</f>
        <v/>
      </c>
      <c r="AF1091" s="118" t="str">
        <f>IF(Tab.o1[[#This Row],[a1]]=1,ABS(Tab.o1[[#This Row],[DIF_Target.]]*Tab.o1[[#This Row],[PDF2]]*Tab.o1[[#This Row],[IN]]),"")</f>
        <v/>
      </c>
      <c r="AG1091" s="129" t="str">
        <f>IF(Tab.o1[[#This Row],[a1]]=1,Tab.o1[[#This Row],[rW]]^2,"")</f>
        <v/>
      </c>
      <c r="AH1091" s="130" t="str">
        <f>IF(Tab.o1[[#This Row],[a1]]=1,IF(AH$3=0,Tab.o1[[#This Row],[rW2]],0.01+0.94*Tab.o1[[#This Row],[rW2]]/SUM(Tab.o1[rW2])),"")</f>
        <v/>
      </c>
      <c r="AI1091" s="128" t="str">
        <f>IF(Tab.o1[[#This Row],[a1]]=1,1/Tab.o1[[#This Row],[PDF]],"")</f>
        <v/>
      </c>
      <c r="AJ1091" s="131" t="str">
        <f>IF(Tab.o1[[#This Row],[a1]]=1,[1]!T_AA[[#This Row],[IN'']]*[1]!T_AA[[#This Row],[Qde'']],"")</f>
        <v/>
      </c>
      <c r="AK1091" s="132" t="str">
        <f>IF(Tab.o1[[#This Row],[a1]]=1,IF(AK$1=1,Tab.o1[[#This Row],[MED]]+Tab.o1[[#This Row],[MOD]]-Tab.o1[[#This Row],[MED]],""),"")</f>
        <v/>
      </c>
      <c r="AL1091" s="133" t="str">
        <f>IF(Tab.o1[[#This Row],[a1]]=1,[1]!T.in.A[[#This Row],[oo16]],"")</f>
        <v/>
      </c>
      <c r="AM1091" s="133" t="str">
        <f>IF(Tab.o1[[#This Row],[a1]]=1,IF(AM$3=1,[1]!T.in.A[[#This Row],[Σo16]],""),"")</f>
        <v/>
      </c>
      <c r="AN1091" s="126" t="str">
        <f>IF(Tab.o1[[#This Row],[a1]]=1,[1]!T.in.A[[#This Row],[Σp5]],"")</f>
        <v/>
      </c>
      <c r="AO1091" s="126" t="str">
        <f>IF(Tab.o1[[#This Row],[a1]]=1,IF(AO$3=1,[1]!T.in.A[[#This Row],[Σp5]],""),"")</f>
        <v/>
      </c>
      <c r="AP1091" s="110" t="str">
        <f>IF(Tab.o1[[#This Row],[a1]]=1,IF(ISNUMBER(Tab.o1[[#This Row],[i.]]),NORMDIST(Tab.o1[[#This Row],[Za]],0,1,FALSE)*Tab.o1[[#This Row],[i.]],0),"")</f>
        <v/>
      </c>
      <c r="AQ1091" s="125" t="str">
        <f>IF(Tab.o1[[#This Row],[a1]]=1,ABS(Tab.o1[[#This Row],[MOD]]-AVERAGE(Tab.o1[MOD])),"")</f>
        <v/>
      </c>
      <c r="AR1091" s="134" t="str">
        <f>IF(Tab.o1[[#This Row],[a1]]=1,Tab.o1[[#This Row],[OBS]]/SUM(Tab.o1[OBS]),"")</f>
        <v/>
      </c>
      <c r="AS1091" s="135" t="str">
        <f>IF(ISNUMBER(Tab.o1[[#This Row],[a1]]),ROW()-4,"")</f>
        <v/>
      </c>
      <c r="AT1091" s="136" t="str">
        <f>Tab.o1[[#This Row],[MOD]]</f>
        <v/>
      </c>
      <c r="AU1091" s="137" t="str">
        <f t="shared" si="65"/>
        <v/>
      </c>
      <c r="AV1091" s="138" t="str">
        <f t="shared" si="66"/>
        <v/>
      </c>
      <c r="AW1091" s="138" t="str">
        <f t="shared" si="67"/>
        <v/>
      </c>
      <c r="AX1091" s="139" t="str">
        <f>[1]!T.in.A[[#This Row],[ID_T_manu]]</f>
        <v/>
      </c>
      <c r="AY1091" s="140" t="str">
        <f>IF(ISNUMBER(Tab.o1[[#This Row],[a1]]),IF(AND(Tab.o1[[#This Row],[a1]]=1,Tab.o1[[#This Row],[b1]]&lt;=AY$4),#REF!,AY1090),"")</f>
        <v/>
      </c>
      <c r="AZ1091" s="25"/>
      <c r="BA1091" s="25"/>
      <c r="BB1091" s="25"/>
      <c r="BC1091" s="25"/>
      <c r="BD1091" s="25"/>
      <c r="BE1091" s="25"/>
      <c r="BF1091" s="25"/>
      <c r="BG1091" s="25"/>
      <c r="BH1091" s="25"/>
      <c r="BI1091" s="25"/>
      <c r="BJ1091" s="25"/>
      <c r="BK1091" s="25"/>
      <c r="BL1091" s="25"/>
      <c r="BM1091" s="25"/>
      <c r="BN1091" s="26"/>
      <c r="BO1091" s="26"/>
      <c r="BP1091" s="26"/>
      <c r="BQ1091" s="26"/>
      <c r="BR1091" s="26"/>
      <c r="BS1091" s="26"/>
      <c r="BT1091" s="26"/>
      <c r="BU1091" s="26"/>
      <c r="BV1091" s="26"/>
      <c r="BW1091" s="26"/>
      <c r="BX1091" s="26"/>
      <c r="BY1091" s="26"/>
      <c r="BZ1091" s="26"/>
      <c r="CA1091" s="26"/>
    </row>
    <row r="1092" spans="1:79" ht="15.75" hidden="1">
      <c r="A1092" s="109">
        <v>-2.0000000000000003E-6</v>
      </c>
      <c r="B1092" s="110">
        <f t="shared" si="64"/>
        <v>1092</v>
      </c>
      <c r="C1092" s="111" t="str">
        <f>IF(C$1=[1]!T.in.A[[#This Row],[oo2]],1,"")</f>
        <v/>
      </c>
      <c r="D1092" s="112" t="str">
        <f>IF(Tab.o1[[#This Row],[a1]]=1,IF(SUM(C1092:C1093)=0,0,IF(SUM(C1091:C1092)=1,1,IF(SUM(C1091:C1093)&gt;1,D1091+1,0))),"")</f>
        <v/>
      </c>
      <c r="E1092" s="113" t="str">
        <f>IF(Tab.o1[[#This Row],[a1]]=1,[1]!T.in.A[[#This Row],[oo1]],"")</f>
        <v/>
      </c>
      <c r="F1092" s="113" t="str">
        <f>IF(Tab.o1[[#This Row],[a1]]=1,[1]!T.in.A[[#This Row],[pp1]],"")</f>
        <v/>
      </c>
      <c r="G1092" s="114" t="str">
        <f>IF(Tab.o1[[#This Row],[a1]]=1,G$2+IF(G$1=1,0,Tab.o1[[#This Row],[.x1]])+[1]!T.in.A[[#This Row],[oo3]],"")</f>
        <v/>
      </c>
      <c r="H1092" s="115" t="str">
        <f>IF(Tab.o1[[#This Row],[a1]]=1,IF(H$2=0,0,IF(G$1=1,0,Tab.o1[[#This Row],[.x1]])+[1]!T.in.A[[#This Row],[oo4]]),"")</f>
        <v/>
      </c>
      <c r="I1092" s="116" t="str">
        <f>IF(Tab.o1[[#This Row],[a1]]=1,IF(J$2=0,Tab.o1[[#This Row],[MED]],Tab.o1[[#This Row],[MOD]]),"")</f>
        <v/>
      </c>
      <c r="J1092" s="116" t="str">
        <f>IF(Tab.o1[[#This Row],[a1]]=1,((Tab.o1[[#This Row],[DIF_Target.]]-AVERAGE(Tab.o1[DIF_Target.]))/_xlfn.STDEV.P(Tab.o1[DIF_Target.])),"")</f>
        <v/>
      </c>
      <c r="K1092" s="117" t="str">
        <f>IF(Tab.o1[[#This Row],[a1]]=1,IF(J$2=0,Tab.o1[[#This Row],[MOD]]-Tab.o1[[#This Row],[B]],IF(J$2=1,0,-Tab.o1[[#This Row],[MED]])+Tab.o1[[#This Row],[B]]),"")</f>
        <v/>
      </c>
      <c r="L1092" s="117" t="str">
        <f ca="1">IF(Tab.o1[[#This Row],[DIF_Target]]=0,IF(L$2=0,Tab.o1[[#This Row],[DIF_Target]],AVERAGE(OFFSET(Tab.o1[[#This Row],[DIF_Target]],1,0,L$3,1)))/3,Tab.o1[[#This Row],[DIF_Target]])</f>
        <v/>
      </c>
      <c r="M1092" s="118" t="str">
        <f>IF(Tab.o1[[#This Row],[a1]]=1,NORMSDIST(Tab.o1[[#This Row],[Za]]),"")</f>
        <v/>
      </c>
      <c r="N1092" s="119" t="str">
        <f>IF(Tab.o1[[#This Row],[a1]]=1,((Tab.o1[[#This Row],[MedMod]]-AVERAGE(Tab.o1[MedMod]))/_xlfn.STDEV.P(Tab.o1[MedMod])*H$1205)+G$1205,"")</f>
        <v/>
      </c>
      <c r="O1092" s="141" t="str">
        <f>IF(Tab.o1[[#This Row],[a1]]=1,Tab.o1[[#This Row],[Zb]]*_xlfn.STDEV.P(Tab.o1[MedMod])+AVERAGE(Tab.o1[MedMod]),"")</f>
        <v/>
      </c>
      <c r="P1092" s="117" t="str">
        <f ca="1">IF(Tab.o1[[#This Row],[B]]=0,AVERAGE(OFFSET(Tab.o1[[#This Row],[B]],1,0,L$3,1)),Tab.o1[[#This Row],[B]])</f>
        <v/>
      </c>
      <c r="Q1092" s="121" t="str">
        <f>IF(Tab.o1[[#This Row],[a1]]=1,NORMSDIST(Tab.o1[[#This Row],[Zb]]),"")</f>
        <v/>
      </c>
      <c r="R1092" s="122" t="str">
        <f>IF(Tab.o1[[#This Row],[a1]]=1,((Tab.o1[[#This Row],[MedMod]]-AVERAGE(Tab.o1[MedMod]))/_xlfn.STDEV.P(Tab.o1[MedMod])*H$1203)+G$1203,"")</f>
        <v/>
      </c>
      <c r="S1092" s="122" t="str">
        <f>IF(Tab.o1[[#This Row],[a1]]=1,((Tab.o1[[#This Row],[MedMod]]-AVERAGE(Tab.o1[MedMod]))/_xlfn.STDEV.P(Tab.o1[MedMod])*H$1204)+G$1204,"")</f>
        <v/>
      </c>
      <c r="T1092" s="123" t="str">
        <f>IF(Tab.o1[[#This Row],[a1]]=1,Tab.o1[[#This Row],[Z-]]*_xlfn.STDEV.P(Tab.o1[B])+AVERAGE(Tab.o1[B]),"")</f>
        <v/>
      </c>
      <c r="U1092" s="123" t="str">
        <f>IF(Tab.o1[[#This Row],[a1]]=1,Tab.o1[[#This Row],[z+]]*_xlfn.STDEV.P(Tab.o1[B])+AVERAGE(Tab.o1[B]),"")</f>
        <v/>
      </c>
      <c r="V1092" s="124" t="str">
        <f>IF(Tab.o1[[#This Row],[a1]]=1,ABS((ABS(Tab.o1[[#This Row],[Red]]-Tab.o1[[#This Row],[Blue]]))),"")</f>
        <v/>
      </c>
      <c r="W1092" s="125" t="str">
        <f>IF(Tab.o1[[#This Row],[a1]]=1,IF(W$3=0,1,Tab.o1[[#This Row],[Amp.]]*1/_xlfn.MINIFS(Tab.o1[Amp.],Tab.o1[Amp.],"&lt;&gt;0")),"")</f>
        <v/>
      </c>
      <c r="X1092" s="126" t="str">
        <f>IF(Tab.o1[[#This Row],[a1]]=1,IF(ISNUMBER(Tab.o1[[#This Row],[i.]]),NORMDIST(Tab.o1[[#This Row],[Za]],0,1,FALSE)*Tab.o1[[#This Row],[i.]],AP$3),"")</f>
        <v/>
      </c>
      <c r="Y1092" s="126" t="str">
        <f>IF(Tab.o1[[#This Row],[a1]]=1,0.01+0.94*Tab.o1[[#This Row],[PDF]]/MAX(Tab.o1[PDF]),"")</f>
        <v/>
      </c>
      <c r="Z1092" s="126" t="str">
        <f>IF(Tab.o1[[#This Row],[a1]]=1,0.01+0.94*Tab.o1[[#This Row],[W1_PDF]]/MAX(Tab.o1[W1_PDF]),"")</f>
        <v/>
      </c>
      <c r="AA1092" s="118" t="str">
        <f>IF(Tab.o1[[#This Row],[a1]]=1,ABS([1]!T.in.A[[#This Row],[oo6]]),"")</f>
        <v/>
      </c>
      <c r="AB1092" s="127" t="str">
        <f>IF(Tab.o1[[#This Row],[a1]]=1,IF(AE$3=0,"",IF(AB$3=0,ABS([1]!T.in.A[[#This Row],[oo9]]),ABS(Tab.o1[[#This Row],[DIF_Target.]]*Tab.o1[[#This Row],[W1_PDF]]))),"")</f>
        <v/>
      </c>
      <c r="AC1092" s="127" t="str">
        <f>IF(G$1=1,"",IF(Tab.o1[[#This Row],[a1]]=1,Tab.o1[[#This Row],[Wr]]^2,""))</f>
        <v/>
      </c>
      <c r="AD1092" s="118" t="str">
        <f>IF(Tab.o1[[#This Row],[a1]]=1,IF(AE$3=0,"",Tab.o1[[#This Row],[Wr2]]/SUM(Tab.o1[Wr2])),"")</f>
        <v/>
      </c>
      <c r="AE1092" s="128" t="str">
        <f>IF(Tab.o1[[#This Row],[a1]]=1,[1]!T.in.A[[#This Row],[oo10]],"")</f>
        <v/>
      </c>
      <c r="AF1092" s="118" t="str">
        <f>IF(Tab.o1[[#This Row],[a1]]=1,ABS(Tab.o1[[#This Row],[DIF_Target.]]*Tab.o1[[#This Row],[PDF2]]*Tab.o1[[#This Row],[IN]]),"")</f>
        <v/>
      </c>
      <c r="AG1092" s="129" t="str">
        <f>IF(Tab.o1[[#This Row],[a1]]=1,Tab.o1[[#This Row],[rW]]^2,"")</f>
        <v/>
      </c>
      <c r="AH1092" s="130" t="str">
        <f>IF(Tab.o1[[#This Row],[a1]]=1,IF(AH$3=0,Tab.o1[[#This Row],[rW2]],0.01+0.94*Tab.o1[[#This Row],[rW2]]/SUM(Tab.o1[rW2])),"")</f>
        <v/>
      </c>
      <c r="AI1092" s="128" t="str">
        <f>IF(Tab.o1[[#This Row],[a1]]=1,1/Tab.o1[[#This Row],[PDF]],"")</f>
        <v/>
      </c>
      <c r="AJ1092" s="131" t="str">
        <f>IF(Tab.o1[[#This Row],[a1]]=1,[1]!T_AA[[#This Row],[IN'']]*[1]!T_AA[[#This Row],[Qde'']],"")</f>
        <v/>
      </c>
      <c r="AK1092" s="132" t="str">
        <f>IF(Tab.o1[[#This Row],[a1]]=1,IF(AK$1=1,Tab.o1[[#This Row],[MED]]+Tab.o1[[#This Row],[MOD]]-Tab.o1[[#This Row],[MED]],""),"")</f>
        <v/>
      </c>
      <c r="AL1092" s="133" t="str">
        <f>IF(Tab.o1[[#This Row],[a1]]=1,[1]!T.in.A[[#This Row],[oo16]],"")</f>
        <v/>
      </c>
      <c r="AM1092" s="133" t="str">
        <f>IF(Tab.o1[[#This Row],[a1]]=1,IF(AM$3=1,[1]!T.in.A[[#This Row],[Σo16]],""),"")</f>
        <v/>
      </c>
      <c r="AN1092" s="126" t="str">
        <f>IF(Tab.o1[[#This Row],[a1]]=1,[1]!T.in.A[[#This Row],[Σp5]],"")</f>
        <v/>
      </c>
      <c r="AO1092" s="126" t="str">
        <f>IF(Tab.o1[[#This Row],[a1]]=1,IF(AO$3=1,[1]!T.in.A[[#This Row],[Σp5]],""),"")</f>
        <v/>
      </c>
      <c r="AP1092" s="110" t="str">
        <f>IF(Tab.o1[[#This Row],[a1]]=1,IF(ISNUMBER(Tab.o1[[#This Row],[i.]]),NORMDIST(Tab.o1[[#This Row],[Za]],0,1,FALSE)*Tab.o1[[#This Row],[i.]],0),"")</f>
        <v/>
      </c>
      <c r="AQ1092" s="125" t="str">
        <f>IF(Tab.o1[[#This Row],[a1]]=1,ABS(Tab.o1[[#This Row],[MOD]]-AVERAGE(Tab.o1[MOD])),"")</f>
        <v/>
      </c>
      <c r="AR1092" s="134" t="str">
        <f>IF(Tab.o1[[#This Row],[a1]]=1,Tab.o1[[#This Row],[OBS]]/SUM(Tab.o1[OBS]),"")</f>
        <v/>
      </c>
      <c r="AS1092" s="135" t="str">
        <f>IF(ISNUMBER(Tab.o1[[#This Row],[a1]]),ROW()-4,"")</f>
        <v/>
      </c>
      <c r="AT1092" s="136" t="str">
        <f>Tab.o1[[#This Row],[MOD]]</f>
        <v/>
      </c>
      <c r="AU1092" s="137" t="str">
        <f t="shared" si="65"/>
        <v/>
      </c>
      <c r="AV1092" s="138" t="str">
        <f t="shared" si="66"/>
        <v/>
      </c>
      <c r="AW1092" s="138" t="str">
        <f t="shared" si="67"/>
        <v/>
      </c>
      <c r="AX1092" s="139" t="str">
        <f>[1]!T.in.A[[#This Row],[ID_T_manu]]</f>
        <v/>
      </c>
      <c r="AY1092" s="140" t="str">
        <f>IF(ISNUMBER(Tab.o1[[#This Row],[a1]]),IF(AND(Tab.o1[[#This Row],[a1]]=1,Tab.o1[[#This Row],[b1]]&lt;=AY$4),#REF!,AY1091),"")</f>
        <v/>
      </c>
      <c r="AZ1092" s="25"/>
      <c r="BA1092" s="25"/>
      <c r="BB1092" s="25"/>
      <c r="BC1092" s="25"/>
      <c r="BD1092" s="25"/>
      <c r="BE1092" s="25"/>
      <c r="BF1092" s="25"/>
      <c r="BG1092" s="25"/>
      <c r="BH1092" s="25"/>
      <c r="BI1092" s="25"/>
      <c r="BJ1092" s="25"/>
      <c r="BK1092" s="25"/>
      <c r="BL1092" s="25"/>
      <c r="BM1092" s="25"/>
      <c r="BN1092" s="26"/>
      <c r="BO1092" s="26"/>
      <c r="BP1092" s="26"/>
      <c r="BQ1092" s="26"/>
      <c r="BR1092" s="26"/>
      <c r="BS1092" s="26"/>
      <c r="BT1092" s="26"/>
      <c r="BU1092" s="26"/>
      <c r="BV1092" s="26"/>
      <c r="BW1092" s="26"/>
      <c r="BX1092" s="26"/>
      <c r="BY1092" s="26"/>
      <c r="BZ1092" s="26"/>
      <c r="CA1092" s="26"/>
    </row>
    <row r="1093" spans="1:79" ht="15.75" hidden="1">
      <c r="A1093" s="109">
        <v>1.0000000000000001E-5</v>
      </c>
      <c r="B1093" s="110">
        <f t="shared" si="64"/>
        <v>1093</v>
      </c>
      <c r="C1093" s="111" t="str">
        <f>IF(C$1=[1]!T.in.A[[#This Row],[oo2]],1,"")</f>
        <v/>
      </c>
      <c r="D1093" s="112" t="str">
        <f>IF(Tab.o1[[#This Row],[a1]]=1,IF(SUM(C1093:C1094)=0,0,IF(SUM(C1092:C1093)=1,1,IF(SUM(C1092:C1094)&gt;1,D1092+1,0))),"")</f>
        <v/>
      </c>
      <c r="E1093" s="113" t="str">
        <f>IF(Tab.o1[[#This Row],[a1]]=1,[1]!T.in.A[[#This Row],[oo1]],"")</f>
        <v/>
      </c>
      <c r="F1093" s="113" t="str">
        <f>IF(Tab.o1[[#This Row],[a1]]=1,[1]!T.in.A[[#This Row],[pp1]],"")</f>
        <v/>
      </c>
      <c r="G1093" s="114" t="str">
        <f>IF(Tab.o1[[#This Row],[a1]]=1,G$2+IF(G$1=1,0,Tab.o1[[#This Row],[.x1]])+[1]!T.in.A[[#This Row],[oo3]],"")</f>
        <v/>
      </c>
      <c r="H1093" s="115" t="str">
        <f>IF(Tab.o1[[#This Row],[a1]]=1,IF(H$2=0,0,IF(G$1=1,0,Tab.o1[[#This Row],[.x1]])+[1]!T.in.A[[#This Row],[oo4]]),"")</f>
        <v/>
      </c>
      <c r="I1093" s="116" t="str">
        <f>IF(Tab.o1[[#This Row],[a1]]=1,IF(J$2=0,Tab.o1[[#This Row],[MED]],Tab.o1[[#This Row],[MOD]]),"")</f>
        <v/>
      </c>
      <c r="J1093" s="116" t="str">
        <f>IF(Tab.o1[[#This Row],[a1]]=1,((Tab.o1[[#This Row],[DIF_Target.]]-AVERAGE(Tab.o1[DIF_Target.]))/_xlfn.STDEV.P(Tab.o1[DIF_Target.])),"")</f>
        <v/>
      </c>
      <c r="K1093" s="117" t="str">
        <f>IF(Tab.o1[[#This Row],[a1]]=1,IF(J$2=0,Tab.o1[[#This Row],[MOD]]-Tab.o1[[#This Row],[B]],IF(J$2=1,0,-Tab.o1[[#This Row],[MED]])+Tab.o1[[#This Row],[B]]),"")</f>
        <v/>
      </c>
      <c r="L1093" s="117" t="str">
        <f ca="1">IF(Tab.o1[[#This Row],[DIF_Target]]=0,IF(L$2=0,Tab.o1[[#This Row],[DIF_Target]],AVERAGE(OFFSET(Tab.o1[[#This Row],[DIF_Target]],1,0,L$3,1)))/3,Tab.o1[[#This Row],[DIF_Target]])</f>
        <v/>
      </c>
      <c r="M1093" s="118" t="str">
        <f>IF(Tab.o1[[#This Row],[a1]]=1,NORMSDIST(Tab.o1[[#This Row],[Za]]),"")</f>
        <v/>
      </c>
      <c r="N1093" s="119" t="str">
        <f>IF(Tab.o1[[#This Row],[a1]]=1,((Tab.o1[[#This Row],[MedMod]]-AVERAGE(Tab.o1[MedMod]))/_xlfn.STDEV.P(Tab.o1[MedMod])*H$1205)+G$1205,"")</f>
        <v/>
      </c>
      <c r="O1093" s="141" t="str">
        <f>IF(Tab.o1[[#This Row],[a1]]=1,Tab.o1[[#This Row],[Zb]]*_xlfn.STDEV.P(Tab.o1[MedMod])+AVERAGE(Tab.o1[MedMod]),"")</f>
        <v/>
      </c>
      <c r="P1093" s="117" t="str">
        <f ca="1">IF(Tab.o1[[#This Row],[B]]=0,AVERAGE(OFFSET(Tab.o1[[#This Row],[B]],1,0,L$3,1)),Tab.o1[[#This Row],[B]])</f>
        <v/>
      </c>
      <c r="Q1093" s="121" t="str">
        <f>IF(Tab.o1[[#This Row],[a1]]=1,NORMSDIST(Tab.o1[[#This Row],[Zb]]),"")</f>
        <v/>
      </c>
      <c r="R1093" s="122" t="str">
        <f>IF(Tab.o1[[#This Row],[a1]]=1,((Tab.o1[[#This Row],[MedMod]]-AVERAGE(Tab.o1[MedMod]))/_xlfn.STDEV.P(Tab.o1[MedMod])*H$1203)+G$1203,"")</f>
        <v/>
      </c>
      <c r="S1093" s="122" t="str">
        <f>IF(Tab.o1[[#This Row],[a1]]=1,((Tab.o1[[#This Row],[MedMod]]-AVERAGE(Tab.o1[MedMod]))/_xlfn.STDEV.P(Tab.o1[MedMod])*H$1204)+G$1204,"")</f>
        <v/>
      </c>
      <c r="T1093" s="123" t="str">
        <f>IF(Tab.o1[[#This Row],[a1]]=1,Tab.o1[[#This Row],[Z-]]*_xlfn.STDEV.P(Tab.o1[B])+AVERAGE(Tab.o1[B]),"")</f>
        <v/>
      </c>
      <c r="U1093" s="123" t="str">
        <f>IF(Tab.o1[[#This Row],[a1]]=1,Tab.o1[[#This Row],[z+]]*_xlfn.STDEV.P(Tab.o1[B])+AVERAGE(Tab.o1[B]),"")</f>
        <v/>
      </c>
      <c r="V1093" s="124" t="str">
        <f>IF(Tab.o1[[#This Row],[a1]]=1,ABS((ABS(Tab.o1[[#This Row],[Red]]-Tab.o1[[#This Row],[Blue]]))),"")</f>
        <v/>
      </c>
      <c r="W1093" s="125" t="str">
        <f>IF(Tab.o1[[#This Row],[a1]]=1,IF(W$3=0,1,Tab.o1[[#This Row],[Amp.]]*1/_xlfn.MINIFS(Tab.o1[Amp.],Tab.o1[Amp.],"&lt;&gt;0")),"")</f>
        <v/>
      </c>
      <c r="X1093" s="126" t="str">
        <f>IF(Tab.o1[[#This Row],[a1]]=1,IF(ISNUMBER(Tab.o1[[#This Row],[i.]]),NORMDIST(Tab.o1[[#This Row],[Za]],0,1,FALSE)*Tab.o1[[#This Row],[i.]],AP$3),"")</f>
        <v/>
      </c>
      <c r="Y1093" s="126" t="str">
        <f>IF(Tab.o1[[#This Row],[a1]]=1,0.01+0.94*Tab.o1[[#This Row],[PDF]]/MAX(Tab.o1[PDF]),"")</f>
        <v/>
      </c>
      <c r="Z1093" s="126" t="str">
        <f>IF(Tab.o1[[#This Row],[a1]]=1,0.01+0.94*Tab.o1[[#This Row],[W1_PDF]]/MAX(Tab.o1[W1_PDF]),"")</f>
        <v/>
      </c>
      <c r="AA1093" s="118" t="str">
        <f>IF(Tab.o1[[#This Row],[a1]]=1,ABS([1]!T.in.A[[#This Row],[oo6]]),"")</f>
        <v/>
      </c>
      <c r="AB1093" s="127" t="str">
        <f>IF(Tab.o1[[#This Row],[a1]]=1,IF(AE$3=0,"",IF(AB$3=0,ABS([1]!T.in.A[[#This Row],[oo9]]),ABS(Tab.o1[[#This Row],[DIF_Target.]]*Tab.o1[[#This Row],[W1_PDF]]))),"")</f>
        <v/>
      </c>
      <c r="AC1093" s="127" t="str">
        <f>IF(G$1=1,"",IF(Tab.o1[[#This Row],[a1]]=1,Tab.o1[[#This Row],[Wr]]^2,""))</f>
        <v/>
      </c>
      <c r="AD1093" s="118" t="str">
        <f>IF(Tab.o1[[#This Row],[a1]]=1,IF(AE$3=0,"",Tab.o1[[#This Row],[Wr2]]/SUM(Tab.o1[Wr2])),"")</f>
        <v/>
      </c>
      <c r="AE1093" s="128" t="str">
        <f>IF(Tab.o1[[#This Row],[a1]]=1,[1]!T.in.A[[#This Row],[oo10]],"")</f>
        <v/>
      </c>
      <c r="AF1093" s="118" t="str">
        <f>IF(Tab.o1[[#This Row],[a1]]=1,ABS(Tab.o1[[#This Row],[DIF_Target.]]*Tab.o1[[#This Row],[PDF2]]*Tab.o1[[#This Row],[IN]]),"")</f>
        <v/>
      </c>
      <c r="AG1093" s="129" t="str">
        <f>IF(Tab.o1[[#This Row],[a1]]=1,Tab.o1[[#This Row],[rW]]^2,"")</f>
        <v/>
      </c>
      <c r="AH1093" s="130" t="str">
        <f>IF(Tab.o1[[#This Row],[a1]]=1,IF(AH$3=0,Tab.o1[[#This Row],[rW2]],0.01+0.94*Tab.o1[[#This Row],[rW2]]/SUM(Tab.o1[rW2])),"")</f>
        <v/>
      </c>
      <c r="AI1093" s="128" t="str">
        <f>IF(Tab.o1[[#This Row],[a1]]=1,1/Tab.o1[[#This Row],[PDF]],"")</f>
        <v/>
      </c>
      <c r="AJ1093" s="131" t="str">
        <f>IF(Tab.o1[[#This Row],[a1]]=1,[1]!T_AA[[#This Row],[IN'']]*[1]!T_AA[[#This Row],[Qde'']],"")</f>
        <v/>
      </c>
      <c r="AK1093" s="132" t="str">
        <f>IF(Tab.o1[[#This Row],[a1]]=1,IF(AK$1=1,Tab.o1[[#This Row],[MED]]+Tab.o1[[#This Row],[MOD]]-Tab.o1[[#This Row],[MED]],""),"")</f>
        <v/>
      </c>
      <c r="AL1093" s="133" t="str">
        <f>IF(Tab.o1[[#This Row],[a1]]=1,[1]!T.in.A[[#This Row],[oo16]],"")</f>
        <v/>
      </c>
      <c r="AM1093" s="133" t="str">
        <f>IF(Tab.o1[[#This Row],[a1]]=1,IF(AM$3=1,[1]!T.in.A[[#This Row],[Σo16]],""),"")</f>
        <v/>
      </c>
      <c r="AN1093" s="126" t="str">
        <f>IF(Tab.o1[[#This Row],[a1]]=1,[1]!T.in.A[[#This Row],[Σp5]],"")</f>
        <v/>
      </c>
      <c r="AO1093" s="126" t="str">
        <f>IF(Tab.o1[[#This Row],[a1]]=1,IF(AO$3=1,[1]!T.in.A[[#This Row],[Σp5]],""),"")</f>
        <v/>
      </c>
      <c r="AP1093" s="110" t="str">
        <f>IF(Tab.o1[[#This Row],[a1]]=1,IF(ISNUMBER(Tab.o1[[#This Row],[i.]]),NORMDIST(Tab.o1[[#This Row],[Za]],0,1,FALSE)*Tab.o1[[#This Row],[i.]],0),"")</f>
        <v/>
      </c>
      <c r="AQ1093" s="125" t="str">
        <f>IF(Tab.o1[[#This Row],[a1]]=1,ABS(Tab.o1[[#This Row],[MOD]]-AVERAGE(Tab.o1[MOD])),"")</f>
        <v/>
      </c>
      <c r="AR1093" s="134" t="str">
        <f>IF(Tab.o1[[#This Row],[a1]]=1,Tab.o1[[#This Row],[OBS]]/SUM(Tab.o1[OBS]),"")</f>
        <v/>
      </c>
      <c r="AS1093" s="135" t="str">
        <f>IF(ISNUMBER(Tab.o1[[#This Row],[a1]]),ROW()-4,"")</f>
        <v/>
      </c>
      <c r="AT1093" s="136" t="str">
        <f>Tab.o1[[#This Row],[MOD]]</f>
        <v/>
      </c>
      <c r="AU1093" s="137" t="str">
        <f t="shared" si="65"/>
        <v/>
      </c>
      <c r="AV1093" s="138" t="str">
        <f t="shared" si="66"/>
        <v/>
      </c>
      <c r="AW1093" s="138" t="str">
        <f t="shared" si="67"/>
        <v/>
      </c>
      <c r="AX1093" s="139" t="str">
        <f>[1]!T.in.A[[#This Row],[ID_T_manu]]</f>
        <v/>
      </c>
      <c r="AY1093" s="140" t="str">
        <f>IF(ISNUMBER(Tab.o1[[#This Row],[a1]]),IF(AND(Tab.o1[[#This Row],[a1]]=1,Tab.o1[[#This Row],[b1]]&lt;=AY$4),#REF!,AY1092),"")</f>
        <v/>
      </c>
      <c r="AZ1093" s="25"/>
      <c r="BA1093" s="25"/>
      <c r="BB1093" s="25"/>
      <c r="BC1093" s="25"/>
      <c r="BD1093" s="25"/>
      <c r="BE1093" s="25"/>
      <c r="BF1093" s="25"/>
      <c r="BG1093" s="25"/>
      <c r="BH1093" s="25"/>
      <c r="BI1093" s="25"/>
      <c r="BJ1093" s="25"/>
      <c r="BK1093" s="25"/>
      <c r="BL1093" s="25"/>
      <c r="BM1093" s="25"/>
      <c r="BN1093" s="26"/>
      <c r="BO1093" s="26"/>
      <c r="BP1093" s="26"/>
      <c r="BQ1093" s="26"/>
      <c r="BR1093" s="26"/>
      <c r="BS1093" s="26"/>
      <c r="BT1093" s="26"/>
      <c r="BU1093" s="26"/>
      <c r="BV1093" s="26"/>
      <c r="BW1093" s="26"/>
      <c r="BX1093" s="26"/>
      <c r="BY1093" s="26"/>
      <c r="BZ1093" s="26"/>
      <c r="CA1093" s="26"/>
    </row>
    <row r="1094" spans="1:79" ht="15.75" hidden="1">
      <c r="A1094" s="109">
        <v>5.0000000000000004E-6</v>
      </c>
      <c r="B1094" s="110">
        <f t="shared" ref="B1094:B1157" si="68">B1093+1</f>
        <v>1094</v>
      </c>
      <c r="C1094" s="111" t="str">
        <f>IF(C$1=[1]!T.in.A[[#This Row],[oo2]],1,"")</f>
        <v/>
      </c>
      <c r="D1094" s="112" t="str">
        <f>IF(Tab.o1[[#This Row],[a1]]=1,IF(SUM(C1094:C1095)=0,0,IF(SUM(C1093:C1094)=1,1,IF(SUM(C1093:C1095)&gt;1,D1093+1,0))),"")</f>
        <v/>
      </c>
      <c r="E1094" s="113" t="str">
        <f>IF(Tab.o1[[#This Row],[a1]]=1,[1]!T.in.A[[#This Row],[oo1]],"")</f>
        <v/>
      </c>
      <c r="F1094" s="113" t="str">
        <f>IF(Tab.o1[[#This Row],[a1]]=1,[1]!T.in.A[[#This Row],[pp1]],"")</f>
        <v/>
      </c>
      <c r="G1094" s="114" t="str">
        <f>IF(Tab.o1[[#This Row],[a1]]=1,G$2+IF(G$1=1,0,Tab.o1[[#This Row],[.x1]])+[1]!T.in.A[[#This Row],[oo3]],"")</f>
        <v/>
      </c>
      <c r="H1094" s="115" t="str">
        <f>IF(Tab.o1[[#This Row],[a1]]=1,IF(H$2=0,0,IF(G$1=1,0,Tab.o1[[#This Row],[.x1]])+[1]!T.in.A[[#This Row],[oo4]]),"")</f>
        <v/>
      </c>
      <c r="I1094" s="116" t="str">
        <f>IF(Tab.o1[[#This Row],[a1]]=1,IF(J$2=0,Tab.o1[[#This Row],[MED]],Tab.o1[[#This Row],[MOD]]),"")</f>
        <v/>
      </c>
      <c r="J1094" s="116" t="str">
        <f>IF(Tab.o1[[#This Row],[a1]]=1,((Tab.o1[[#This Row],[DIF_Target.]]-AVERAGE(Tab.o1[DIF_Target.]))/_xlfn.STDEV.P(Tab.o1[DIF_Target.])),"")</f>
        <v/>
      </c>
      <c r="K1094" s="117" t="str">
        <f>IF(Tab.o1[[#This Row],[a1]]=1,IF(J$2=0,Tab.o1[[#This Row],[MOD]]-Tab.o1[[#This Row],[B]],IF(J$2=1,0,-Tab.o1[[#This Row],[MED]])+Tab.o1[[#This Row],[B]]),"")</f>
        <v/>
      </c>
      <c r="L1094" s="117" t="str">
        <f ca="1">IF(Tab.o1[[#This Row],[DIF_Target]]=0,IF(L$2=0,Tab.o1[[#This Row],[DIF_Target]],AVERAGE(OFFSET(Tab.o1[[#This Row],[DIF_Target]],1,0,L$3,1)))/3,Tab.o1[[#This Row],[DIF_Target]])</f>
        <v/>
      </c>
      <c r="M1094" s="118" t="str">
        <f>IF(Tab.o1[[#This Row],[a1]]=1,NORMSDIST(Tab.o1[[#This Row],[Za]]),"")</f>
        <v/>
      </c>
      <c r="N1094" s="119" t="str">
        <f>IF(Tab.o1[[#This Row],[a1]]=1,((Tab.o1[[#This Row],[MedMod]]-AVERAGE(Tab.o1[MedMod]))/_xlfn.STDEV.P(Tab.o1[MedMod])*H$1205)+G$1205,"")</f>
        <v/>
      </c>
      <c r="O1094" s="141" t="str">
        <f>IF(Tab.o1[[#This Row],[a1]]=1,Tab.o1[[#This Row],[Zb]]*_xlfn.STDEV.P(Tab.o1[MedMod])+AVERAGE(Tab.o1[MedMod]),"")</f>
        <v/>
      </c>
      <c r="P1094" s="117" t="str">
        <f ca="1">IF(Tab.o1[[#This Row],[B]]=0,AVERAGE(OFFSET(Tab.o1[[#This Row],[B]],1,0,L$3,1)),Tab.o1[[#This Row],[B]])</f>
        <v/>
      </c>
      <c r="Q1094" s="121" t="str">
        <f>IF(Tab.o1[[#This Row],[a1]]=1,NORMSDIST(Tab.o1[[#This Row],[Zb]]),"")</f>
        <v/>
      </c>
      <c r="R1094" s="122" t="str">
        <f>IF(Tab.o1[[#This Row],[a1]]=1,((Tab.o1[[#This Row],[MedMod]]-AVERAGE(Tab.o1[MedMod]))/_xlfn.STDEV.P(Tab.o1[MedMod])*H$1203)+G$1203,"")</f>
        <v/>
      </c>
      <c r="S1094" s="122" t="str">
        <f>IF(Tab.o1[[#This Row],[a1]]=1,((Tab.o1[[#This Row],[MedMod]]-AVERAGE(Tab.o1[MedMod]))/_xlfn.STDEV.P(Tab.o1[MedMod])*H$1204)+G$1204,"")</f>
        <v/>
      </c>
      <c r="T1094" s="123" t="str">
        <f>IF(Tab.o1[[#This Row],[a1]]=1,Tab.o1[[#This Row],[Z-]]*_xlfn.STDEV.P(Tab.o1[B])+AVERAGE(Tab.o1[B]),"")</f>
        <v/>
      </c>
      <c r="U1094" s="123" t="str">
        <f>IF(Tab.o1[[#This Row],[a1]]=1,Tab.o1[[#This Row],[z+]]*_xlfn.STDEV.P(Tab.o1[B])+AVERAGE(Tab.o1[B]),"")</f>
        <v/>
      </c>
      <c r="V1094" s="124" t="str">
        <f>IF(Tab.o1[[#This Row],[a1]]=1,ABS((ABS(Tab.o1[[#This Row],[Red]]-Tab.o1[[#This Row],[Blue]]))),"")</f>
        <v/>
      </c>
      <c r="W1094" s="125" t="str">
        <f>IF(Tab.o1[[#This Row],[a1]]=1,IF(W$3=0,1,Tab.o1[[#This Row],[Amp.]]*1/_xlfn.MINIFS(Tab.o1[Amp.],Tab.o1[Amp.],"&lt;&gt;0")),"")</f>
        <v/>
      </c>
      <c r="X1094" s="126" t="str">
        <f>IF(Tab.o1[[#This Row],[a1]]=1,IF(ISNUMBER(Tab.o1[[#This Row],[i.]]),NORMDIST(Tab.o1[[#This Row],[Za]],0,1,FALSE)*Tab.o1[[#This Row],[i.]],AP$3),"")</f>
        <v/>
      </c>
      <c r="Y1094" s="126" t="str">
        <f>IF(Tab.o1[[#This Row],[a1]]=1,0.01+0.94*Tab.o1[[#This Row],[PDF]]/MAX(Tab.o1[PDF]),"")</f>
        <v/>
      </c>
      <c r="Z1094" s="126" t="str">
        <f>IF(Tab.o1[[#This Row],[a1]]=1,0.01+0.94*Tab.o1[[#This Row],[W1_PDF]]/MAX(Tab.o1[W1_PDF]),"")</f>
        <v/>
      </c>
      <c r="AA1094" s="118" t="str">
        <f>IF(Tab.o1[[#This Row],[a1]]=1,ABS([1]!T.in.A[[#This Row],[oo6]]),"")</f>
        <v/>
      </c>
      <c r="AB1094" s="127" t="str">
        <f>IF(Tab.o1[[#This Row],[a1]]=1,IF(AE$3=0,"",IF(AB$3=0,ABS([1]!T.in.A[[#This Row],[oo9]]),ABS(Tab.o1[[#This Row],[DIF_Target.]]*Tab.o1[[#This Row],[W1_PDF]]))),"")</f>
        <v/>
      </c>
      <c r="AC1094" s="127" t="str">
        <f>IF(G$1=1,"",IF(Tab.o1[[#This Row],[a1]]=1,Tab.o1[[#This Row],[Wr]]^2,""))</f>
        <v/>
      </c>
      <c r="AD1094" s="118" t="str">
        <f>IF(Tab.o1[[#This Row],[a1]]=1,IF(AE$3=0,"",Tab.o1[[#This Row],[Wr2]]/SUM(Tab.o1[Wr2])),"")</f>
        <v/>
      </c>
      <c r="AE1094" s="128" t="str">
        <f>IF(Tab.o1[[#This Row],[a1]]=1,[1]!T.in.A[[#This Row],[oo10]],"")</f>
        <v/>
      </c>
      <c r="AF1094" s="118" t="str">
        <f>IF(Tab.o1[[#This Row],[a1]]=1,ABS(Tab.o1[[#This Row],[DIF_Target.]]*Tab.o1[[#This Row],[PDF2]]*Tab.o1[[#This Row],[IN]]),"")</f>
        <v/>
      </c>
      <c r="AG1094" s="129" t="str">
        <f>IF(Tab.o1[[#This Row],[a1]]=1,Tab.o1[[#This Row],[rW]]^2,"")</f>
        <v/>
      </c>
      <c r="AH1094" s="130" t="str">
        <f>IF(Tab.o1[[#This Row],[a1]]=1,IF(AH$3=0,Tab.o1[[#This Row],[rW2]],0.01+0.94*Tab.o1[[#This Row],[rW2]]/SUM(Tab.o1[rW2])),"")</f>
        <v/>
      </c>
      <c r="AI1094" s="128" t="str">
        <f>IF(Tab.o1[[#This Row],[a1]]=1,1/Tab.o1[[#This Row],[PDF]],"")</f>
        <v/>
      </c>
      <c r="AJ1094" s="131" t="str">
        <f>IF(Tab.o1[[#This Row],[a1]]=1,[1]!T_AA[[#This Row],[IN'']]*[1]!T_AA[[#This Row],[Qde'']],"")</f>
        <v/>
      </c>
      <c r="AK1094" s="132" t="str">
        <f>IF(Tab.o1[[#This Row],[a1]]=1,IF(AK$1=1,Tab.o1[[#This Row],[MED]]+Tab.o1[[#This Row],[MOD]]-Tab.o1[[#This Row],[MED]],""),"")</f>
        <v/>
      </c>
      <c r="AL1094" s="133" t="str">
        <f>IF(Tab.o1[[#This Row],[a1]]=1,[1]!T.in.A[[#This Row],[oo16]],"")</f>
        <v/>
      </c>
      <c r="AM1094" s="133" t="str">
        <f>IF(Tab.o1[[#This Row],[a1]]=1,IF(AM$3=1,[1]!T.in.A[[#This Row],[Σo16]],""),"")</f>
        <v/>
      </c>
      <c r="AN1094" s="126" t="str">
        <f>IF(Tab.o1[[#This Row],[a1]]=1,[1]!T.in.A[[#This Row],[Σp5]],"")</f>
        <v/>
      </c>
      <c r="AO1094" s="126" t="str">
        <f>IF(Tab.o1[[#This Row],[a1]]=1,IF(AO$3=1,[1]!T.in.A[[#This Row],[Σp5]],""),"")</f>
        <v/>
      </c>
      <c r="AP1094" s="110" t="str">
        <f>IF(Tab.o1[[#This Row],[a1]]=1,IF(ISNUMBER(Tab.o1[[#This Row],[i.]]),NORMDIST(Tab.o1[[#This Row],[Za]],0,1,FALSE)*Tab.o1[[#This Row],[i.]],0),"")</f>
        <v/>
      </c>
      <c r="AQ1094" s="125" t="str">
        <f>IF(Tab.o1[[#This Row],[a1]]=1,ABS(Tab.o1[[#This Row],[MOD]]-AVERAGE(Tab.o1[MOD])),"")</f>
        <v/>
      </c>
      <c r="AR1094" s="134" t="str">
        <f>IF(Tab.o1[[#This Row],[a1]]=1,Tab.o1[[#This Row],[OBS]]/SUM(Tab.o1[OBS]),"")</f>
        <v/>
      </c>
      <c r="AS1094" s="135" t="str">
        <f>IF(ISNUMBER(Tab.o1[[#This Row],[a1]]),ROW()-4,"")</f>
        <v/>
      </c>
      <c r="AT1094" s="136" t="str">
        <f>Tab.o1[[#This Row],[MOD]]</f>
        <v/>
      </c>
      <c r="AU1094" s="137" t="str">
        <f t="shared" ref="AU1094:AU1157" si="69">AT1094</f>
        <v/>
      </c>
      <c r="AV1094" s="138" t="str">
        <f t="shared" ref="AV1094:AV1157" si="70">IF(AND(ISNUMBER(AT1094),ISNUMBER(AU1094)),H1094-AU1094,"")</f>
        <v/>
      </c>
      <c r="AW1094" s="138" t="str">
        <f t="shared" ref="AW1094:AW1157" si="71">IF(AW$4=0,"",IF(AV1094&lt;AV$2,AV1094," "))</f>
        <v/>
      </c>
      <c r="AX1094" s="139" t="str">
        <f>[1]!T.in.A[[#This Row],[ID_T_manu]]</f>
        <v/>
      </c>
      <c r="AY1094" s="140" t="str">
        <f>IF(ISNUMBER(Tab.o1[[#This Row],[a1]]),IF(AND(Tab.o1[[#This Row],[a1]]=1,Tab.o1[[#This Row],[b1]]&lt;=AY$4),#REF!,AY1093),"")</f>
        <v/>
      </c>
      <c r="AZ1094" s="25"/>
      <c r="BA1094" s="25"/>
      <c r="BB1094" s="25"/>
      <c r="BC1094" s="25"/>
      <c r="BD1094" s="25"/>
      <c r="BE1094" s="25"/>
      <c r="BF1094" s="25"/>
      <c r="BG1094" s="25"/>
      <c r="BH1094" s="25"/>
      <c r="BI1094" s="25"/>
      <c r="BJ1094" s="25"/>
      <c r="BK1094" s="25"/>
      <c r="BL1094" s="25"/>
      <c r="BM1094" s="25"/>
      <c r="BN1094" s="26"/>
      <c r="BO1094" s="26"/>
      <c r="BP1094" s="26"/>
      <c r="BQ1094" s="26"/>
      <c r="BR1094" s="26"/>
      <c r="BS1094" s="26"/>
      <c r="BT1094" s="26"/>
      <c r="BU1094" s="26"/>
      <c r="BV1094" s="26"/>
      <c r="BW1094" s="26"/>
      <c r="BX1094" s="26"/>
      <c r="BY1094" s="26"/>
      <c r="BZ1094" s="26"/>
      <c r="CA1094" s="26"/>
    </row>
    <row r="1095" spans="1:79" ht="15.75" hidden="1">
      <c r="A1095" s="109">
        <v>-1.0000000000000002E-6</v>
      </c>
      <c r="B1095" s="110">
        <f t="shared" si="68"/>
        <v>1095</v>
      </c>
      <c r="C1095" s="111" t="str">
        <f>IF(C$1=[1]!T.in.A[[#This Row],[oo2]],1,"")</f>
        <v/>
      </c>
      <c r="D1095" s="112" t="str">
        <f>IF(Tab.o1[[#This Row],[a1]]=1,IF(SUM(C1095:C1096)=0,0,IF(SUM(C1094:C1095)=1,1,IF(SUM(C1094:C1096)&gt;1,D1094+1,0))),"")</f>
        <v/>
      </c>
      <c r="E1095" s="113" t="str">
        <f>IF(Tab.o1[[#This Row],[a1]]=1,[1]!T.in.A[[#This Row],[oo1]],"")</f>
        <v/>
      </c>
      <c r="F1095" s="113" t="str">
        <f>IF(Tab.o1[[#This Row],[a1]]=1,[1]!T.in.A[[#This Row],[pp1]],"")</f>
        <v/>
      </c>
      <c r="G1095" s="114" t="str">
        <f>IF(Tab.o1[[#This Row],[a1]]=1,G$2+IF(G$1=1,0,Tab.o1[[#This Row],[.x1]])+[1]!T.in.A[[#This Row],[oo3]],"")</f>
        <v/>
      </c>
      <c r="H1095" s="115" t="str">
        <f>IF(Tab.o1[[#This Row],[a1]]=1,IF(H$2=0,0,IF(G$1=1,0,Tab.o1[[#This Row],[.x1]])+[1]!T.in.A[[#This Row],[oo4]]),"")</f>
        <v/>
      </c>
      <c r="I1095" s="116" t="str">
        <f>IF(Tab.o1[[#This Row],[a1]]=1,IF(J$2=0,Tab.o1[[#This Row],[MED]],Tab.o1[[#This Row],[MOD]]),"")</f>
        <v/>
      </c>
      <c r="J1095" s="116" t="str">
        <f>IF(Tab.o1[[#This Row],[a1]]=1,((Tab.o1[[#This Row],[DIF_Target.]]-AVERAGE(Tab.o1[DIF_Target.]))/_xlfn.STDEV.P(Tab.o1[DIF_Target.])),"")</f>
        <v/>
      </c>
      <c r="K1095" s="117" t="str">
        <f>IF(Tab.o1[[#This Row],[a1]]=1,IF(J$2=0,Tab.o1[[#This Row],[MOD]]-Tab.o1[[#This Row],[B]],IF(J$2=1,0,-Tab.o1[[#This Row],[MED]])+Tab.o1[[#This Row],[B]]),"")</f>
        <v/>
      </c>
      <c r="L1095" s="117" t="str">
        <f ca="1">IF(Tab.o1[[#This Row],[DIF_Target]]=0,IF(L$2=0,Tab.o1[[#This Row],[DIF_Target]],AVERAGE(OFFSET(Tab.o1[[#This Row],[DIF_Target]],1,0,L$3,1)))/3,Tab.o1[[#This Row],[DIF_Target]])</f>
        <v/>
      </c>
      <c r="M1095" s="118" t="str">
        <f>IF(Tab.o1[[#This Row],[a1]]=1,NORMSDIST(Tab.o1[[#This Row],[Za]]),"")</f>
        <v/>
      </c>
      <c r="N1095" s="119" t="str">
        <f>IF(Tab.o1[[#This Row],[a1]]=1,((Tab.o1[[#This Row],[MedMod]]-AVERAGE(Tab.o1[MedMod]))/_xlfn.STDEV.P(Tab.o1[MedMod])*H$1205)+G$1205,"")</f>
        <v/>
      </c>
      <c r="O1095" s="141" t="str">
        <f>IF(Tab.o1[[#This Row],[a1]]=1,Tab.o1[[#This Row],[Zb]]*_xlfn.STDEV.P(Tab.o1[MedMod])+AVERAGE(Tab.o1[MedMod]),"")</f>
        <v/>
      </c>
      <c r="P1095" s="117" t="str">
        <f ca="1">IF(Tab.o1[[#This Row],[B]]=0,AVERAGE(OFFSET(Tab.o1[[#This Row],[B]],1,0,L$3,1)),Tab.o1[[#This Row],[B]])</f>
        <v/>
      </c>
      <c r="Q1095" s="121" t="str">
        <f>IF(Tab.o1[[#This Row],[a1]]=1,NORMSDIST(Tab.o1[[#This Row],[Zb]]),"")</f>
        <v/>
      </c>
      <c r="R1095" s="122" t="str">
        <f>IF(Tab.o1[[#This Row],[a1]]=1,((Tab.o1[[#This Row],[MedMod]]-AVERAGE(Tab.o1[MedMod]))/_xlfn.STDEV.P(Tab.o1[MedMod])*H$1203)+G$1203,"")</f>
        <v/>
      </c>
      <c r="S1095" s="122" t="str">
        <f>IF(Tab.o1[[#This Row],[a1]]=1,((Tab.o1[[#This Row],[MedMod]]-AVERAGE(Tab.o1[MedMod]))/_xlfn.STDEV.P(Tab.o1[MedMod])*H$1204)+G$1204,"")</f>
        <v/>
      </c>
      <c r="T1095" s="123" t="str">
        <f>IF(Tab.o1[[#This Row],[a1]]=1,Tab.o1[[#This Row],[Z-]]*_xlfn.STDEV.P(Tab.o1[B])+AVERAGE(Tab.o1[B]),"")</f>
        <v/>
      </c>
      <c r="U1095" s="123" t="str">
        <f>IF(Tab.o1[[#This Row],[a1]]=1,Tab.o1[[#This Row],[z+]]*_xlfn.STDEV.P(Tab.o1[B])+AVERAGE(Tab.o1[B]),"")</f>
        <v/>
      </c>
      <c r="V1095" s="124" t="str">
        <f>IF(Tab.o1[[#This Row],[a1]]=1,ABS((ABS(Tab.o1[[#This Row],[Red]]-Tab.o1[[#This Row],[Blue]]))),"")</f>
        <v/>
      </c>
      <c r="W1095" s="125" t="str">
        <f>IF(Tab.o1[[#This Row],[a1]]=1,IF(W$3=0,1,Tab.o1[[#This Row],[Amp.]]*1/_xlfn.MINIFS(Tab.o1[Amp.],Tab.o1[Amp.],"&lt;&gt;0")),"")</f>
        <v/>
      </c>
      <c r="X1095" s="126" t="str">
        <f>IF(Tab.o1[[#This Row],[a1]]=1,IF(ISNUMBER(Tab.o1[[#This Row],[i.]]),NORMDIST(Tab.o1[[#This Row],[Za]],0,1,FALSE)*Tab.o1[[#This Row],[i.]],AP$3),"")</f>
        <v/>
      </c>
      <c r="Y1095" s="126" t="str">
        <f>IF(Tab.o1[[#This Row],[a1]]=1,0.01+0.94*Tab.o1[[#This Row],[PDF]]/MAX(Tab.o1[PDF]),"")</f>
        <v/>
      </c>
      <c r="Z1095" s="126" t="str">
        <f>IF(Tab.o1[[#This Row],[a1]]=1,0.01+0.94*Tab.o1[[#This Row],[W1_PDF]]/MAX(Tab.o1[W1_PDF]),"")</f>
        <v/>
      </c>
      <c r="AA1095" s="118" t="str">
        <f>IF(Tab.o1[[#This Row],[a1]]=1,ABS([1]!T.in.A[[#This Row],[oo6]]),"")</f>
        <v/>
      </c>
      <c r="AB1095" s="127" t="str">
        <f>IF(Tab.o1[[#This Row],[a1]]=1,IF(AE$3=0,"",IF(AB$3=0,ABS([1]!T.in.A[[#This Row],[oo9]]),ABS(Tab.o1[[#This Row],[DIF_Target.]]*Tab.o1[[#This Row],[W1_PDF]]))),"")</f>
        <v/>
      </c>
      <c r="AC1095" s="127" t="str">
        <f>IF(G$1=1,"",IF(Tab.o1[[#This Row],[a1]]=1,Tab.o1[[#This Row],[Wr]]^2,""))</f>
        <v/>
      </c>
      <c r="AD1095" s="118" t="str">
        <f>IF(Tab.o1[[#This Row],[a1]]=1,IF(AE$3=0,"",Tab.o1[[#This Row],[Wr2]]/SUM(Tab.o1[Wr2])),"")</f>
        <v/>
      </c>
      <c r="AE1095" s="128" t="str">
        <f>IF(Tab.o1[[#This Row],[a1]]=1,[1]!T.in.A[[#This Row],[oo10]],"")</f>
        <v/>
      </c>
      <c r="AF1095" s="118" t="str">
        <f>IF(Tab.o1[[#This Row],[a1]]=1,ABS(Tab.o1[[#This Row],[DIF_Target.]]*Tab.o1[[#This Row],[PDF2]]*Tab.o1[[#This Row],[IN]]),"")</f>
        <v/>
      </c>
      <c r="AG1095" s="129" t="str">
        <f>IF(Tab.o1[[#This Row],[a1]]=1,Tab.o1[[#This Row],[rW]]^2,"")</f>
        <v/>
      </c>
      <c r="AH1095" s="130" t="str">
        <f>IF(Tab.o1[[#This Row],[a1]]=1,IF(AH$3=0,Tab.o1[[#This Row],[rW2]],0.01+0.94*Tab.o1[[#This Row],[rW2]]/SUM(Tab.o1[rW2])),"")</f>
        <v/>
      </c>
      <c r="AI1095" s="128" t="str">
        <f>IF(Tab.o1[[#This Row],[a1]]=1,1/Tab.o1[[#This Row],[PDF]],"")</f>
        <v/>
      </c>
      <c r="AJ1095" s="131" t="str">
        <f>IF(Tab.o1[[#This Row],[a1]]=1,[1]!T_AA[[#This Row],[IN'']]*[1]!T_AA[[#This Row],[Qde'']],"")</f>
        <v/>
      </c>
      <c r="AK1095" s="132" t="str">
        <f>IF(Tab.o1[[#This Row],[a1]]=1,IF(AK$1=1,Tab.o1[[#This Row],[MED]]+Tab.o1[[#This Row],[MOD]]-Tab.o1[[#This Row],[MED]],""),"")</f>
        <v/>
      </c>
      <c r="AL1095" s="133" t="str">
        <f>IF(Tab.o1[[#This Row],[a1]]=1,[1]!T.in.A[[#This Row],[oo16]],"")</f>
        <v/>
      </c>
      <c r="AM1095" s="133" t="str">
        <f>IF(Tab.o1[[#This Row],[a1]]=1,IF(AM$3=1,[1]!T.in.A[[#This Row],[Σo16]],""),"")</f>
        <v/>
      </c>
      <c r="AN1095" s="126" t="str">
        <f>IF(Tab.o1[[#This Row],[a1]]=1,[1]!T.in.A[[#This Row],[Σp5]],"")</f>
        <v/>
      </c>
      <c r="AO1095" s="126" t="str">
        <f>IF(Tab.o1[[#This Row],[a1]]=1,IF(AO$3=1,[1]!T.in.A[[#This Row],[Σp5]],""),"")</f>
        <v/>
      </c>
      <c r="AP1095" s="110" t="str">
        <f>IF(Tab.o1[[#This Row],[a1]]=1,IF(ISNUMBER(Tab.o1[[#This Row],[i.]]),NORMDIST(Tab.o1[[#This Row],[Za]],0,1,FALSE)*Tab.o1[[#This Row],[i.]],0),"")</f>
        <v/>
      </c>
      <c r="AQ1095" s="125" t="str">
        <f>IF(Tab.o1[[#This Row],[a1]]=1,ABS(Tab.o1[[#This Row],[MOD]]-AVERAGE(Tab.o1[MOD])),"")</f>
        <v/>
      </c>
      <c r="AR1095" s="134" t="str">
        <f>IF(Tab.o1[[#This Row],[a1]]=1,Tab.o1[[#This Row],[OBS]]/SUM(Tab.o1[OBS]),"")</f>
        <v/>
      </c>
      <c r="AS1095" s="135" t="str">
        <f>IF(ISNUMBER(Tab.o1[[#This Row],[a1]]),ROW()-4,"")</f>
        <v/>
      </c>
      <c r="AT1095" s="136" t="str">
        <f>Tab.o1[[#This Row],[MOD]]</f>
        <v/>
      </c>
      <c r="AU1095" s="137" t="str">
        <f t="shared" si="69"/>
        <v/>
      </c>
      <c r="AV1095" s="138" t="str">
        <f t="shared" si="70"/>
        <v/>
      </c>
      <c r="AW1095" s="138" t="str">
        <f t="shared" si="71"/>
        <v/>
      </c>
      <c r="AX1095" s="139" t="str">
        <f>[1]!T.in.A[[#This Row],[ID_T_manu]]</f>
        <v/>
      </c>
      <c r="AY1095" s="140" t="str">
        <f>IF(ISNUMBER(Tab.o1[[#This Row],[a1]]),IF(AND(Tab.o1[[#This Row],[a1]]=1,Tab.o1[[#This Row],[b1]]&lt;=AY$4),#REF!,AY1094),"")</f>
        <v/>
      </c>
      <c r="AZ1095" s="25"/>
      <c r="BA1095" s="25"/>
      <c r="BB1095" s="25"/>
      <c r="BC1095" s="25"/>
      <c r="BD1095" s="25"/>
      <c r="BE1095" s="25"/>
      <c r="BF1095" s="25"/>
      <c r="BG1095" s="25"/>
      <c r="BH1095" s="25"/>
      <c r="BI1095" s="25"/>
      <c r="BJ1095" s="25"/>
      <c r="BK1095" s="25"/>
      <c r="BL1095" s="25"/>
      <c r="BM1095" s="25"/>
      <c r="BN1095" s="26"/>
      <c r="BO1095" s="26"/>
      <c r="BP1095" s="26"/>
      <c r="BQ1095" s="26"/>
      <c r="BR1095" s="26"/>
      <c r="BS1095" s="26"/>
      <c r="BT1095" s="26"/>
      <c r="BU1095" s="26"/>
      <c r="BV1095" s="26"/>
      <c r="BW1095" s="26"/>
      <c r="BX1095" s="26"/>
      <c r="BY1095" s="26"/>
      <c r="BZ1095" s="26"/>
      <c r="CA1095" s="26"/>
    </row>
    <row r="1096" spans="1:79" ht="15.75" hidden="1">
      <c r="A1096" s="109">
        <v>8.0000000000000013E-6</v>
      </c>
      <c r="B1096" s="110">
        <f t="shared" si="68"/>
        <v>1096</v>
      </c>
      <c r="C1096" s="111" t="str">
        <f>IF(C$1=[1]!T.in.A[[#This Row],[oo2]],1,"")</f>
        <v/>
      </c>
      <c r="D1096" s="112" t="str">
        <f>IF(Tab.o1[[#This Row],[a1]]=1,IF(SUM(C1096:C1097)=0,0,IF(SUM(C1095:C1096)=1,1,IF(SUM(C1095:C1097)&gt;1,D1095+1,0))),"")</f>
        <v/>
      </c>
      <c r="E1096" s="113" t="str">
        <f>IF(Tab.o1[[#This Row],[a1]]=1,[1]!T.in.A[[#This Row],[oo1]],"")</f>
        <v/>
      </c>
      <c r="F1096" s="113" t="str">
        <f>IF(Tab.o1[[#This Row],[a1]]=1,[1]!T.in.A[[#This Row],[pp1]],"")</f>
        <v/>
      </c>
      <c r="G1096" s="114" t="str">
        <f>IF(Tab.o1[[#This Row],[a1]]=1,G$2+IF(G$1=1,0,Tab.o1[[#This Row],[.x1]])+[1]!T.in.A[[#This Row],[oo3]],"")</f>
        <v/>
      </c>
      <c r="H1096" s="115" t="str">
        <f>IF(Tab.o1[[#This Row],[a1]]=1,IF(H$2=0,0,IF(G$1=1,0,Tab.o1[[#This Row],[.x1]])+[1]!T.in.A[[#This Row],[oo4]]),"")</f>
        <v/>
      </c>
      <c r="I1096" s="116" t="str">
        <f>IF(Tab.o1[[#This Row],[a1]]=1,IF(J$2=0,Tab.o1[[#This Row],[MED]],Tab.o1[[#This Row],[MOD]]),"")</f>
        <v/>
      </c>
      <c r="J1096" s="116" t="str">
        <f>IF(Tab.o1[[#This Row],[a1]]=1,((Tab.o1[[#This Row],[DIF_Target.]]-AVERAGE(Tab.o1[DIF_Target.]))/_xlfn.STDEV.P(Tab.o1[DIF_Target.])),"")</f>
        <v/>
      </c>
      <c r="K1096" s="117" t="str">
        <f>IF(Tab.o1[[#This Row],[a1]]=1,IF(J$2=0,Tab.o1[[#This Row],[MOD]]-Tab.o1[[#This Row],[B]],IF(J$2=1,0,-Tab.o1[[#This Row],[MED]])+Tab.o1[[#This Row],[B]]),"")</f>
        <v/>
      </c>
      <c r="L1096" s="117" t="str">
        <f ca="1">IF(Tab.o1[[#This Row],[DIF_Target]]=0,IF(L$2=0,Tab.o1[[#This Row],[DIF_Target]],AVERAGE(OFFSET(Tab.o1[[#This Row],[DIF_Target]],1,0,L$3,1)))/3,Tab.o1[[#This Row],[DIF_Target]])</f>
        <v/>
      </c>
      <c r="M1096" s="118" t="str">
        <f>IF(Tab.o1[[#This Row],[a1]]=1,NORMSDIST(Tab.o1[[#This Row],[Za]]),"")</f>
        <v/>
      </c>
      <c r="N1096" s="119" t="str">
        <f>IF(Tab.o1[[#This Row],[a1]]=1,((Tab.o1[[#This Row],[MedMod]]-AVERAGE(Tab.o1[MedMod]))/_xlfn.STDEV.P(Tab.o1[MedMod])*H$1205)+G$1205,"")</f>
        <v/>
      </c>
      <c r="O1096" s="141" t="str">
        <f>IF(Tab.o1[[#This Row],[a1]]=1,Tab.o1[[#This Row],[Zb]]*_xlfn.STDEV.P(Tab.o1[MedMod])+AVERAGE(Tab.o1[MedMod]),"")</f>
        <v/>
      </c>
      <c r="P1096" s="117" t="str">
        <f ca="1">IF(Tab.o1[[#This Row],[B]]=0,AVERAGE(OFFSET(Tab.o1[[#This Row],[B]],1,0,L$3,1)),Tab.o1[[#This Row],[B]])</f>
        <v/>
      </c>
      <c r="Q1096" s="121" t="str">
        <f>IF(Tab.o1[[#This Row],[a1]]=1,NORMSDIST(Tab.o1[[#This Row],[Zb]]),"")</f>
        <v/>
      </c>
      <c r="R1096" s="122" t="str">
        <f>IF(Tab.o1[[#This Row],[a1]]=1,((Tab.o1[[#This Row],[MedMod]]-AVERAGE(Tab.o1[MedMod]))/_xlfn.STDEV.P(Tab.o1[MedMod])*H$1203)+G$1203,"")</f>
        <v/>
      </c>
      <c r="S1096" s="122" t="str">
        <f>IF(Tab.o1[[#This Row],[a1]]=1,((Tab.o1[[#This Row],[MedMod]]-AVERAGE(Tab.o1[MedMod]))/_xlfn.STDEV.P(Tab.o1[MedMod])*H$1204)+G$1204,"")</f>
        <v/>
      </c>
      <c r="T1096" s="123" t="str">
        <f>IF(Tab.o1[[#This Row],[a1]]=1,Tab.o1[[#This Row],[Z-]]*_xlfn.STDEV.P(Tab.o1[B])+AVERAGE(Tab.o1[B]),"")</f>
        <v/>
      </c>
      <c r="U1096" s="123" t="str">
        <f>IF(Tab.o1[[#This Row],[a1]]=1,Tab.o1[[#This Row],[z+]]*_xlfn.STDEV.P(Tab.o1[B])+AVERAGE(Tab.o1[B]),"")</f>
        <v/>
      </c>
      <c r="V1096" s="124" t="str">
        <f>IF(Tab.o1[[#This Row],[a1]]=1,ABS((ABS(Tab.o1[[#This Row],[Red]]-Tab.o1[[#This Row],[Blue]]))),"")</f>
        <v/>
      </c>
      <c r="W1096" s="125" t="str">
        <f>IF(Tab.o1[[#This Row],[a1]]=1,IF(W$3=0,1,Tab.o1[[#This Row],[Amp.]]*1/_xlfn.MINIFS(Tab.o1[Amp.],Tab.o1[Amp.],"&lt;&gt;0")),"")</f>
        <v/>
      </c>
      <c r="X1096" s="126" t="str">
        <f>IF(Tab.o1[[#This Row],[a1]]=1,IF(ISNUMBER(Tab.o1[[#This Row],[i.]]),NORMDIST(Tab.o1[[#This Row],[Za]],0,1,FALSE)*Tab.o1[[#This Row],[i.]],AP$3),"")</f>
        <v/>
      </c>
      <c r="Y1096" s="126" t="str">
        <f>IF(Tab.o1[[#This Row],[a1]]=1,0.01+0.94*Tab.o1[[#This Row],[PDF]]/MAX(Tab.o1[PDF]),"")</f>
        <v/>
      </c>
      <c r="Z1096" s="126" t="str">
        <f>IF(Tab.o1[[#This Row],[a1]]=1,0.01+0.94*Tab.o1[[#This Row],[W1_PDF]]/MAX(Tab.o1[W1_PDF]),"")</f>
        <v/>
      </c>
      <c r="AA1096" s="118" t="str">
        <f>IF(Tab.o1[[#This Row],[a1]]=1,ABS([1]!T.in.A[[#This Row],[oo6]]),"")</f>
        <v/>
      </c>
      <c r="AB1096" s="127" t="str">
        <f>IF(Tab.o1[[#This Row],[a1]]=1,IF(AE$3=0,"",IF(AB$3=0,ABS([1]!T.in.A[[#This Row],[oo9]]),ABS(Tab.o1[[#This Row],[DIF_Target.]]*Tab.o1[[#This Row],[W1_PDF]]))),"")</f>
        <v/>
      </c>
      <c r="AC1096" s="127" t="str">
        <f>IF(G$1=1,"",IF(Tab.o1[[#This Row],[a1]]=1,Tab.o1[[#This Row],[Wr]]^2,""))</f>
        <v/>
      </c>
      <c r="AD1096" s="118" t="str">
        <f>IF(Tab.o1[[#This Row],[a1]]=1,IF(AE$3=0,"",Tab.o1[[#This Row],[Wr2]]/SUM(Tab.o1[Wr2])),"")</f>
        <v/>
      </c>
      <c r="AE1096" s="128" t="str">
        <f>IF(Tab.o1[[#This Row],[a1]]=1,[1]!T.in.A[[#This Row],[oo10]],"")</f>
        <v/>
      </c>
      <c r="AF1096" s="118" t="str">
        <f>IF(Tab.o1[[#This Row],[a1]]=1,ABS(Tab.o1[[#This Row],[DIF_Target.]]*Tab.o1[[#This Row],[PDF2]]*Tab.o1[[#This Row],[IN]]),"")</f>
        <v/>
      </c>
      <c r="AG1096" s="129" t="str">
        <f>IF(Tab.o1[[#This Row],[a1]]=1,Tab.o1[[#This Row],[rW]]^2,"")</f>
        <v/>
      </c>
      <c r="AH1096" s="130" t="str">
        <f>IF(Tab.o1[[#This Row],[a1]]=1,IF(AH$3=0,Tab.o1[[#This Row],[rW2]],0.01+0.94*Tab.o1[[#This Row],[rW2]]/SUM(Tab.o1[rW2])),"")</f>
        <v/>
      </c>
      <c r="AI1096" s="128" t="str">
        <f>IF(Tab.o1[[#This Row],[a1]]=1,1/Tab.o1[[#This Row],[PDF]],"")</f>
        <v/>
      </c>
      <c r="AJ1096" s="131" t="str">
        <f>IF(Tab.o1[[#This Row],[a1]]=1,[1]!T_AA[[#This Row],[IN'']]*[1]!T_AA[[#This Row],[Qde'']],"")</f>
        <v/>
      </c>
      <c r="AK1096" s="132" t="str">
        <f>IF(Tab.o1[[#This Row],[a1]]=1,IF(AK$1=1,Tab.o1[[#This Row],[MED]]+Tab.o1[[#This Row],[MOD]]-Tab.o1[[#This Row],[MED]],""),"")</f>
        <v/>
      </c>
      <c r="AL1096" s="133" t="str">
        <f>IF(Tab.o1[[#This Row],[a1]]=1,[1]!T.in.A[[#This Row],[oo16]],"")</f>
        <v/>
      </c>
      <c r="AM1096" s="133" t="str">
        <f>IF(Tab.o1[[#This Row],[a1]]=1,IF(AM$3=1,[1]!T.in.A[[#This Row],[Σo16]],""),"")</f>
        <v/>
      </c>
      <c r="AN1096" s="126" t="str">
        <f>IF(Tab.o1[[#This Row],[a1]]=1,[1]!T.in.A[[#This Row],[Σp5]],"")</f>
        <v/>
      </c>
      <c r="AO1096" s="126" t="str">
        <f>IF(Tab.o1[[#This Row],[a1]]=1,IF(AO$3=1,[1]!T.in.A[[#This Row],[Σp5]],""),"")</f>
        <v/>
      </c>
      <c r="AP1096" s="110" t="str">
        <f>IF(Tab.o1[[#This Row],[a1]]=1,IF(ISNUMBER(Tab.o1[[#This Row],[i.]]),NORMDIST(Tab.o1[[#This Row],[Za]],0,1,FALSE)*Tab.o1[[#This Row],[i.]],0),"")</f>
        <v/>
      </c>
      <c r="AQ1096" s="125" t="str">
        <f>IF(Tab.o1[[#This Row],[a1]]=1,ABS(Tab.o1[[#This Row],[MOD]]-AVERAGE(Tab.o1[MOD])),"")</f>
        <v/>
      </c>
      <c r="AR1096" s="134" t="str">
        <f>IF(Tab.o1[[#This Row],[a1]]=1,Tab.o1[[#This Row],[OBS]]/SUM(Tab.o1[OBS]),"")</f>
        <v/>
      </c>
      <c r="AS1096" s="135" t="str">
        <f>IF(ISNUMBER(Tab.o1[[#This Row],[a1]]),ROW()-4,"")</f>
        <v/>
      </c>
      <c r="AT1096" s="136" t="str">
        <f>Tab.o1[[#This Row],[MOD]]</f>
        <v/>
      </c>
      <c r="AU1096" s="137" t="str">
        <f t="shared" si="69"/>
        <v/>
      </c>
      <c r="AV1096" s="138" t="str">
        <f t="shared" si="70"/>
        <v/>
      </c>
      <c r="AW1096" s="138" t="str">
        <f t="shared" si="71"/>
        <v/>
      </c>
      <c r="AX1096" s="139" t="str">
        <f>[1]!T.in.A[[#This Row],[ID_T_manu]]</f>
        <v/>
      </c>
      <c r="AY1096" s="140" t="str">
        <f>IF(ISNUMBER(Tab.o1[[#This Row],[a1]]),IF(AND(Tab.o1[[#This Row],[a1]]=1,Tab.o1[[#This Row],[b1]]&lt;=AY$4),#REF!,AY1095),"")</f>
        <v/>
      </c>
      <c r="AZ1096" s="25"/>
      <c r="BA1096" s="25"/>
      <c r="BB1096" s="25"/>
      <c r="BC1096" s="25"/>
      <c r="BD1096" s="25"/>
      <c r="BE1096" s="25"/>
      <c r="BF1096" s="25"/>
      <c r="BG1096" s="25"/>
      <c r="BH1096" s="25"/>
      <c r="BI1096" s="25"/>
      <c r="BJ1096" s="25"/>
      <c r="BK1096" s="25"/>
      <c r="BL1096" s="25"/>
      <c r="BM1096" s="25"/>
      <c r="BN1096" s="26"/>
      <c r="BO1096" s="26"/>
      <c r="BP1096" s="26"/>
      <c r="BQ1096" s="26"/>
      <c r="BR1096" s="26"/>
      <c r="BS1096" s="26"/>
      <c r="BT1096" s="26"/>
      <c r="BU1096" s="26"/>
      <c r="BV1096" s="26"/>
      <c r="BW1096" s="26"/>
      <c r="BX1096" s="26"/>
      <c r="BY1096" s="26"/>
      <c r="BZ1096" s="26"/>
      <c r="CA1096" s="26"/>
    </row>
    <row r="1097" spans="1:79" ht="15.75" hidden="1">
      <c r="A1097" s="109">
        <v>1.0000000000000002E-6</v>
      </c>
      <c r="B1097" s="110">
        <f t="shared" si="68"/>
        <v>1097</v>
      </c>
      <c r="C1097" s="111" t="str">
        <f>IF(C$1=[1]!T.in.A[[#This Row],[oo2]],1,"")</f>
        <v/>
      </c>
      <c r="D1097" s="112" t="str">
        <f>IF(Tab.o1[[#This Row],[a1]]=1,IF(SUM(C1097:C1098)=0,0,IF(SUM(C1096:C1097)=1,1,IF(SUM(C1096:C1098)&gt;1,D1096+1,0))),"")</f>
        <v/>
      </c>
      <c r="E1097" s="113" t="str">
        <f>IF(Tab.o1[[#This Row],[a1]]=1,[1]!T.in.A[[#This Row],[oo1]],"")</f>
        <v/>
      </c>
      <c r="F1097" s="113" t="str">
        <f>IF(Tab.o1[[#This Row],[a1]]=1,[1]!T.in.A[[#This Row],[pp1]],"")</f>
        <v/>
      </c>
      <c r="G1097" s="114" t="str">
        <f>IF(Tab.o1[[#This Row],[a1]]=1,G$2+IF(G$1=1,0,Tab.o1[[#This Row],[.x1]])+[1]!T.in.A[[#This Row],[oo3]],"")</f>
        <v/>
      </c>
      <c r="H1097" s="115" t="str">
        <f>IF(Tab.o1[[#This Row],[a1]]=1,IF(H$2=0,0,IF(G$1=1,0,Tab.o1[[#This Row],[.x1]])+[1]!T.in.A[[#This Row],[oo4]]),"")</f>
        <v/>
      </c>
      <c r="I1097" s="116" t="str">
        <f>IF(Tab.o1[[#This Row],[a1]]=1,IF(J$2=0,Tab.o1[[#This Row],[MED]],Tab.o1[[#This Row],[MOD]]),"")</f>
        <v/>
      </c>
      <c r="J1097" s="116" t="str">
        <f>IF(Tab.o1[[#This Row],[a1]]=1,((Tab.o1[[#This Row],[DIF_Target.]]-AVERAGE(Tab.o1[DIF_Target.]))/_xlfn.STDEV.P(Tab.o1[DIF_Target.])),"")</f>
        <v/>
      </c>
      <c r="K1097" s="117" t="str">
        <f>IF(Tab.o1[[#This Row],[a1]]=1,IF(J$2=0,Tab.o1[[#This Row],[MOD]]-Tab.o1[[#This Row],[B]],IF(J$2=1,0,-Tab.o1[[#This Row],[MED]])+Tab.o1[[#This Row],[B]]),"")</f>
        <v/>
      </c>
      <c r="L1097" s="117" t="str">
        <f ca="1">IF(Tab.o1[[#This Row],[DIF_Target]]=0,IF(L$2=0,Tab.o1[[#This Row],[DIF_Target]],AVERAGE(OFFSET(Tab.o1[[#This Row],[DIF_Target]],1,0,L$3,1)))/3,Tab.o1[[#This Row],[DIF_Target]])</f>
        <v/>
      </c>
      <c r="M1097" s="118" t="str">
        <f>IF(Tab.o1[[#This Row],[a1]]=1,NORMSDIST(Tab.o1[[#This Row],[Za]]),"")</f>
        <v/>
      </c>
      <c r="N1097" s="119" t="str">
        <f>IF(Tab.o1[[#This Row],[a1]]=1,((Tab.o1[[#This Row],[MedMod]]-AVERAGE(Tab.o1[MedMod]))/_xlfn.STDEV.P(Tab.o1[MedMod])*H$1205)+G$1205,"")</f>
        <v/>
      </c>
      <c r="O1097" s="141" t="str">
        <f>IF(Tab.o1[[#This Row],[a1]]=1,Tab.o1[[#This Row],[Zb]]*_xlfn.STDEV.P(Tab.o1[MedMod])+AVERAGE(Tab.o1[MedMod]),"")</f>
        <v/>
      </c>
      <c r="P1097" s="117" t="str">
        <f ca="1">IF(Tab.o1[[#This Row],[B]]=0,AVERAGE(OFFSET(Tab.o1[[#This Row],[B]],1,0,L$3,1)),Tab.o1[[#This Row],[B]])</f>
        <v/>
      </c>
      <c r="Q1097" s="121" t="str">
        <f>IF(Tab.o1[[#This Row],[a1]]=1,NORMSDIST(Tab.o1[[#This Row],[Zb]]),"")</f>
        <v/>
      </c>
      <c r="R1097" s="122" t="str">
        <f>IF(Tab.o1[[#This Row],[a1]]=1,((Tab.o1[[#This Row],[MedMod]]-AVERAGE(Tab.o1[MedMod]))/_xlfn.STDEV.P(Tab.o1[MedMod])*H$1203)+G$1203,"")</f>
        <v/>
      </c>
      <c r="S1097" s="122" t="str">
        <f>IF(Tab.o1[[#This Row],[a1]]=1,((Tab.o1[[#This Row],[MedMod]]-AVERAGE(Tab.o1[MedMod]))/_xlfn.STDEV.P(Tab.o1[MedMod])*H$1204)+G$1204,"")</f>
        <v/>
      </c>
      <c r="T1097" s="123" t="str">
        <f>IF(Tab.o1[[#This Row],[a1]]=1,Tab.o1[[#This Row],[Z-]]*_xlfn.STDEV.P(Tab.o1[B])+AVERAGE(Tab.o1[B]),"")</f>
        <v/>
      </c>
      <c r="U1097" s="123" t="str">
        <f>IF(Tab.o1[[#This Row],[a1]]=1,Tab.o1[[#This Row],[z+]]*_xlfn.STDEV.P(Tab.o1[B])+AVERAGE(Tab.o1[B]),"")</f>
        <v/>
      </c>
      <c r="V1097" s="124" t="str">
        <f>IF(Tab.o1[[#This Row],[a1]]=1,ABS((ABS(Tab.o1[[#This Row],[Red]]-Tab.o1[[#This Row],[Blue]]))),"")</f>
        <v/>
      </c>
      <c r="W1097" s="125" t="str">
        <f>IF(Tab.o1[[#This Row],[a1]]=1,IF(W$3=0,1,Tab.o1[[#This Row],[Amp.]]*1/_xlfn.MINIFS(Tab.o1[Amp.],Tab.o1[Amp.],"&lt;&gt;0")),"")</f>
        <v/>
      </c>
      <c r="X1097" s="126" t="str">
        <f>IF(Tab.o1[[#This Row],[a1]]=1,IF(ISNUMBER(Tab.o1[[#This Row],[i.]]),NORMDIST(Tab.o1[[#This Row],[Za]],0,1,FALSE)*Tab.o1[[#This Row],[i.]],AP$3),"")</f>
        <v/>
      </c>
      <c r="Y1097" s="126" t="str">
        <f>IF(Tab.o1[[#This Row],[a1]]=1,0.01+0.94*Tab.o1[[#This Row],[PDF]]/MAX(Tab.o1[PDF]),"")</f>
        <v/>
      </c>
      <c r="Z1097" s="126" t="str">
        <f>IF(Tab.o1[[#This Row],[a1]]=1,0.01+0.94*Tab.o1[[#This Row],[W1_PDF]]/MAX(Tab.o1[W1_PDF]),"")</f>
        <v/>
      </c>
      <c r="AA1097" s="118" t="str">
        <f>IF(Tab.o1[[#This Row],[a1]]=1,ABS([1]!T.in.A[[#This Row],[oo6]]),"")</f>
        <v/>
      </c>
      <c r="AB1097" s="127" t="str">
        <f>IF(Tab.o1[[#This Row],[a1]]=1,IF(AE$3=0,"",IF(AB$3=0,ABS([1]!T.in.A[[#This Row],[oo9]]),ABS(Tab.o1[[#This Row],[DIF_Target.]]*Tab.o1[[#This Row],[W1_PDF]]))),"")</f>
        <v/>
      </c>
      <c r="AC1097" s="127" t="str">
        <f>IF(G$1=1,"",IF(Tab.o1[[#This Row],[a1]]=1,Tab.o1[[#This Row],[Wr]]^2,""))</f>
        <v/>
      </c>
      <c r="AD1097" s="118" t="str">
        <f>IF(Tab.o1[[#This Row],[a1]]=1,IF(AE$3=0,"",Tab.o1[[#This Row],[Wr2]]/SUM(Tab.o1[Wr2])),"")</f>
        <v/>
      </c>
      <c r="AE1097" s="128" t="str">
        <f>IF(Tab.o1[[#This Row],[a1]]=1,[1]!T.in.A[[#This Row],[oo10]],"")</f>
        <v/>
      </c>
      <c r="AF1097" s="118" t="str">
        <f>IF(Tab.o1[[#This Row],[a1]]=1,ABS(Tab.o1[[#This Row],[DIF_Target.]]*Tab.o1[[#This Row],[PDF2]]*Tab.o1[[#This Row],[IN]]),"")</f>
        <v/>
      </c>
      <c r="AG1097" s="129" t="str">
        <f>IF(Tab.o1[[#This Row],[a1]]=1,Tab.o1[[#This Row],[rW]]^2,"")</f>
        <v/>
      </c>
      <c r="AH1097" s="130" t="str">
        <f>IF(Tab.o1[[#This Row],[a1]]=1,IF(AH$3=0,Tab.o1[[#This Row],[rW2]],0.01+0.94*Tab.o1[[#This Row],[rW2]]/SUM(Tab.o1[rW2])),"")</f>
        <v/>
      </c>
      <c r="AI1097" s="128" t="str">
        <f>IF(Tab.o1[[#This Row],[a1]]=1,1/Tab.o1[[#This Row],[PDF]],"")</f>
        <v/>
      </c>
      <c r="AJ1097" s="131" t="str">
        <f>IF(Tab.o1[[#This Row],[a1]]=1,[1]!T_AA[[#This Row],[IN'']]*[1]!T_AA[[#This Row],[Qde'']],"")</f>
        <v/>
      </c>
      <c r="AK1097" s="132" t="str">
        <f>IF(Tab.o1[[#This Row],[a1]]=1,IF(AK$1=1,Tab.o1[[#This Row],[MED]]+Tab.o1[[#This Row],[MOD]]-Tab.o1[[#This Row],[MED]],""),"")</f>
        <v/>
      </c>
      <c r="AL1097" s="133" t="str">
        <f>IF(Tab.o1[[#This Row],[a1]]=1,[1]!T.in.A[[#This Row],[oo16]],"")</f>
        <v/>
      </c>
      <c r="AM1097" s="133" t="str">
        <f>IF(Tab.o1[[#This Row],[a1]]=1,IF(AM$3=1,[1]!T.in.A[[#This Row],[Σo16]],""),"")</f>
        <v/>
      </c>
      <c r="AN1097" s="126" t="str">
        <f>IF(Tab.o1[[#This Row],[a1]]=1,[1]!T.in.A[[#This Row],[Σp5]],"")</f>
        <v/>
      </c>
      <c r="AO1097" s="126" t="str">
        <f>IF(Tab.o1[[#This Row],[a1]]=1,IF(AO$3=1,[1]!T.in.A[[#This Row],[Σp5]],""),"")</f>
        <v/>
      </c>
      <c r="AP1097" s="110" t="str">
        <f>IF(Tab.o1[[#This Row],[a1]]=1,IF(ISNUMBER(Tab.o1[[#This Row],[i.]]),NORMDIST(Tab.o1[[#This Row],[Za]],0,1,FALSE)*Tab.o1[[#This Row],[i.]],0),"")</f>
        <v/>
      </c>
      <c r="AQ1097" s="125" t="str">
        <f>IF(Tab.o1[[#This Row],[a1]]=1,ABS(Tab.o1[[#This Row],[MOD]]-AVERAGE(Tab.o1[MOD])),"")</f>
        <v/>
      </c>
      <c r="AR1097" s="134" t="str">
        <f>IF(Tab.o1[[#This Row],[a1]]=1,Tab.o1[[#This Row],[OBS]]/SUM(Tab.o1[OBS]),"")</f>
        <v/>
      </c>
      <c r="AS1097" s="135" t="str">
        <f>IF(ISNUMBER(Tab.o1[[#This Row],[a1]]),ROW()-4,"")</f>
        <v/>
      </c>
      <c r="AT1097" s="136" t="str">
        <f>Tab.o1[[#This Row],[MOD]]</f>
        <v/>
      </c>
      <c r="AU1097" s="137" t="str">
        <f t="shared" si="69"/>
        <v/>
      </c>
      <c r="AV1097" s="138" t="str">
        <f t="shared" si="70"/>
        <v/>
      </c>
      <c r="AW1097" s="138" t="str">
        <f t="shared" si="71"/>
        <v/>
      </c>
      <c r="AX1097" s="139" t="str">
        <f>[1]!T.in.A[[#This Row],[ID_T_manu]]</f>
        <v/>
      </c>
      <c r="AY1097" s="140" t="str">
        <f>IF(ISNUMBER(Tab.o1[[#This Row],[a1]]),IF(AND(Tab.o1[[#This Row],[a1]]=1,Tab.o1[[#This Row],[b1]]&lt;=AY$4),#REF!,AY1096),"")</f>
        <v/>
      </c>
      <c r="AZ1097" s="25"/>
      <c r="BA1097" s="25"/>
      <c r="BB1097" s="25"/>
      <c r="BC1097" s="25"/>
      <c r="BD1097" s="25"/>
      <c r="BE1097" s="25"/>
      <c r="BF1097" s="25"/>
      <c r="BG1097" s="25"/>
      <c r="BH1097" s="25"/>
      <c r="BI1097" s="25"/>
      <c r="BJ1097" s="25"/>
      <c r="BK1097" s="25"/>
      <c r="BL1097" s="25"/>
      <c r="BM1097" s="25"/>
      <c r="BN1097" s="26"/>
      <c r="BO1097" s="26"/>
      <c r="BP1097" s="26"/>
      <c r="BQ1097" s="26"/>
      <c r="BR1097" s="26"/>
      <c r="BS1097" s="26"/>
      <c r="BT1097" s="26"/>
      <c r="BU1097" s="26"/>
      <c r="BV1097" s="26"/>
      <c r="BW1097" s="26"/>
      <c r="BX1097" s="26"/>
      <c r="BY1097" s="26"/>
      <c r="BZ1097" s="26"/>
      <c r="CA1097" s="26"/>
    </row>
    <row r="1098" spans="1:79" ht="15.75" hidden="1">
      <c r="A1098" s="109">
        <v>1.0000000000000002E-6</v>
      </c>
      <c r="B1098" s="110">
        <f t="shared" si="68"/>
        <v>1098</v>
      </c>
      <c r="C1098" s="111" t="str">
        <f>IF(C$1=[1]!T.in.A[[#This Row],[oo2]],1,"")</f>
        <v/>
      </c>
      <c r="D1098" s="112" t="str">
        <f>IF(Tab.o1[[#This Row],[a1]]=1,IF(SUM(C1098:C1099)=0,0,IF(SUM(C1097:C1098)=1,1,IF(SUM(C1097:C1099)&gt;1,D1097+1,0))),"")</f>
        <v/>
      </c>
      <c r="E1098" s="113" t="str">
        <f>IF(Tab.o1[[#This Row],[a1]]=1,[1]!T.in.A[[#This Row],[oo1]],"")</f>
        <v/>
      </c>
      <c r="F1098" s="113" t="str">
        <f>IF(Tab.o1[[#This Row],[a1]]=1,[1]!T.in.A[[#This Row],[pp1]],"")</f>
        <v/>
      </c>
      <c r="G1098" s="114" t="str">
        <f>IF(Tab.o1[[#This Row],[a1]]=1,G$2+IF(G$1=1,0,Tab.o1[[#This Row],[.x1]])+[1]!T.in.A[[#This Row],[oo3]],"")</f>
        <v/>
      </c>
      <c r="H1098" s="115" t="str">
        <f>IF(Tab.o1[[#This Row],[a1]]=1,IF(H$2=0,0,IF(G$1=1,0,Tab.o1[[#This Row],[.x1]])+[1]!T.in.A[[#This Row],[oo4]]),"")</f>
        <v/>
      </c>
      <c r="I1098" s="116" t="str">
        <f>IF(Tab.o1[[#This Row],[a1]]=1,IF(J$2=0,Tab.o1[[#This Row],[MED]],Tab.o1[[#This Row],[MOD]]),"")</f>
        <v/>
      </c>
      <c r="J1098" s="116" t="str">
        <f>IF(Tab.o1[[#This Row],[a1]]=1,((Tab.o1[[#This Row],[DIF_Target.]]-AVERAGE(Tab.o1[DIF_Target.]))/_xlfn.STDEV.P(Tab.o1[DIF_Target.])),"")</f>
        <v/>
      </c>
      <c r="K1098" s="117" t="str">
        <f>IF(Tab.o1[[#This Row],[a1]]=1,IF(J$2=0,Tab.o1[[#This Row],[MOD]]-Tab.o1[[#This Row],[B]],IF(J$2=1,0,-Tab.o1[[#This Row],[MED]])+Tab.o1[[#This Row],[B]]),"")</f>
        <v/>
      </c>
      <c r="L1098" s="117" t="str">
        <f ca="1">IF(Tab.o1[[#This Row],[DIF_Target]]=0,IF(L$2=0,Tab.o1[[#This Row],[DIF_Target]],AVERAGE(OFFSET(Tab.o1[[#This Row],[DIF_Target]],1,0,L$3,1)))/3,Tab.o1[[#This Row],[DIF_Target]])</f>
        <v/>
      </c>
      <c r="M1098" s="118" t="str">
        <f>IF(Tab.o1[[#This Row],[a1]]=1,NORMSDIST(Tab.o1[[#This Row],[Za]]),"")</f>
        <v/>
      </c>
      <c r="N1098" s="119" t="str">
        <f>IF(Tab.o1[[#This Row],[a1]]=1,((Tab.o1[[#This Row],[MedMod]]-AVERAGE(Tab.o1[MedMod]))/_xlfn.STDEV.P(Tab.o1[MedMod])*H$1205)+G$1205,"")</f>
        <v/>
      </c>
      <c r="O1098" s="141" t="str">
        <f>IF(Tab.o1[[#This Row],[a1]]=1,Tab.o1[[#This Row],[Zb]]*_xlfn.STDEV.P(Tab.o1[MedMod])+AVERAGE(Tab.o1[MedMod]),"")</f>
        <v/>
      </c>
      <c r="P1098" s="117" t="str">
        <f ca="1">IF(Tab.o1[[#This Row],[B]]=0,AVERAGE(OFFSET(Tab.o1[[#This Row],[B]],1,0,L$3,1)),Tab.o1[[#This Row],[B]])</f>
        <v/>
      </c>
      <c r="Q1098" s="121" t="str">
        <f>IF(Tab.o1[[#This Row],[a1]]=1,NORMSDIST(Tab.o1[[#This Row],[Zb]]),"")</f>
        <v/>
      </c>
      <c r="R1098" s="122" t="str">
        <f>IF(Tab.o1[[#This Row],[a1]]=1,((Tab.o1[[#This Row],[MedMod]]-AVERAGE(Tab.o1[MedMod]))/_xlfn.STDEV.P(Tab.o1[MedMod])*H$1203)+G$1203,"")</f>
        <v/>
      </c>
      <c r="S1098" s="122" t="str">
        <f>IF(Tab.o1[[#This Row],[a1]]=1,((Tab.o1[[#This Row],[MedMod]]-AVERAGE(Tab.o1[MedMod]))/_xlfn.STDEV.P(Tab.o1[MedMod])*H$1204)+G$1204,"")</f>
        <v/>
      </c>
      <c r="T1098" s="123" t="str">
        <f>IF(Tab.o1[[#This Row],[a1]]=1,Tab.o1[[#This Row],[Z-]]*_xlfn.STDEV.P(Tab.o1[B])+AVERAGE(Tab.o1[B]),"")</f>
        <v/>
      </c>
      <c r="U1098" s="123" t="str">
        <f>IF(Tab.o1[[#This Row],[a1]]=1,Tab.o1[[#This Row],[z+]]*_xlfn.STDEV.P(Tab.o1[B])+AVERAGE(Tab.o1[B]),"")</f>
        <v/>
      </c>
      <c r="V1098" s="124" t="str">
        <f>IF(Tab.o1[[#This Row],[a1]]=1,ABS((ABS(Tab.o1[[#This Row],[Red]]-Tab.o1[[#This Row],[Blue]]))),"")</f>
        <v/>
      </c>
      <c r="W1098" s="125" t="str">
        <f>IF(Tab.o1[[#This Row],[a1]]=1,IF(W$3=0,1,Tab.o1[[#This Row],[Amp.]]*1/_xlfn.MINIFS(Tab.o1[Amp.],Tab.o1[Amp.],"&lt;&gt;0")),"")</f>
        <v/>
      </c>
      <c r="X1098" s="126" t="str">
        <f>IF(Tab.o1[[#This Row],[a1]]=1,IF(ISNUMBER(Tab.o1[[#This Row],[i.]]),NORMDIST(Tab.o1[[#This Row],[Za]],0,1,FALSE)*Tab.o1[[#This Row],[i.]],AP$3),"")</f>
        <v/>
      </c>
      <c r="Y1098" s="126" t="str">
        <f>IF(Tab.o1[[#This Row],[a1]]=1,0.01+0.94*Tab.o1[[#This Row],[PDF]]/MAX(Tab.o1[PDF]),"")</f>
        <v/>
      </c>
      <c r="Z1098" s="126" t="str">
        <f>IF(Tab.o1[[#This Row],[a1]]=1,0.01+0.94*Tab.o1[[#This Row],[W1_PDF]]/MAX(Tab.o1[W1_PDF]),"")</f>
        <v/>
      </c>
      <c r="AA1098" s="118" t="str">
        <f>IF(Tab.o1[[#This Row],[a1]]=1,ABS([1]!T.in.A[[#This Row],[oo6]]),"")</f>
        <v/>
      </c>
      <c r="AB1098" s="127" t="str">
        <f>IF(Tab.o1[[#This Row],[a1]]=1,IF(AE$3=0,"",IF(AB$3=0,ABS([1]!T.in.A[[#This Row],[oo9]]),ABS(Tab.o1[[#This Row],[DIF_Target.]]*Tab.o1[[#This Row],[W1_PDF]]))),"")</f>
        <v/>
      </c>
      <c r="AC1098" s="127" t="str">
        <f>IF(G$1=1,"",IF(Tab.o1[[#This Row],[a1]]=1,Tab.o1[[#This Row],[Wr]]^2,""))</f>
        <v/>
      </c>
      <c r="AD1098" s="118" t="str">
        <f>IF(Tab.o1[[#This Row],[a1]]=1,IF(AE$3=0,"",Tab.o1[[#This Row],[Wr2]]/SUM(Tab.o1[Wr2])),"")</f>
        <v/>
      </c>
      <c r="AE1098" s="128" t="str">
        <f>IF(Tab.o1[[#This Row],[a1]]=1,[1]!T.in.A[[#This Row],[oo10]],"")</f>
        <v/>
      </c>
      <c r="AF1098" s="118" t="str">
        <f>IF(Tab.o1[[#This Row],[a1]]=1,ABS(Tab.o1[[#This Row],[DIF_Target.]]*Tab.o1[[#This Row],[PDF2]]*Tab.o1[[#This Row],[IN]]),"")</f>
        <v/>
      </c>
      <c r="AG1098" s="129" t="str">
        <f>IF(Tab.o1[[#This Row],[a1]]=1,Tab.o1[[#This Row],[rW]]^2,"")</f>
        <v/>
      </c>
      <c r="AH1098" s="130" t="str">
        <f>IF(Tab.o1[[#This Row],[a1]]=1,IF(AH$3=0,Tab.o1[[#This Row],[rW2]],0.01+0.94*Tab.o1[[#This Row],[rW2]]/SUM(Tab.o1[rW2])),"")</f>
        <v/>
      </c>
      <c r="AI1098" s="128" t="str">
        <f>IF(Tab.o1[[#This Row],[a1]]=1,1/Tab.o1[[#This Row],[PDF]],"")</f>
        <v/>
      </c>
      <c r="AJ1098" s="131" t="str">
        <f>IF(Tab.o1[[#This Row],[a1]]=1,[1]!T_AA[[#This Row],[IN'']]*[1]!T_AA[[#This Row],[Qde'']],"")</f>
        <v/>
      </c>
      <c r="AK1098" s="132" t="str">
        <f>IF(Tab.o1[[#This Row],[a1]]=1,IF(AK$1=1,Tab.o1[[#This Row],[MED]]+Tab.o1[[#This Row],[MOD]]-Tab.o1[[#This Row],[MED]],""),"")</f>
        <v/>
      </c>
      <c r="AL1098" s="133" t="str">
        <f>IF(Tab.o1[[#This Row],[a1]]=1,[1]!T.in.A[[#This Row],[oo16]],"")</f>
        <v/>
      </c>
      <c r="AM1098" s="133" t="str">
        <f>IF(Tab.o1[[#This Row],[a1]]=1,IF(AM$3=1,[1]!T.in.A[[#This Row],[Σo16]],""),"")</f>
        <v/>
      </c>
      <c r="AN1098" s="126" t="str">
        <f>IF(Tab.o1[[#This Row],[a1]]=1,[1]!T.in.A[[#This Row],[Σp5]],"")</f>
        <v/>
      </c>
      <c r="AO1098" s="126" t="str">
        <f>IF(Tab.o1[[#This Row],[a1]]=1,IF(AO$3=1,[1]!T.in.A[[#This Row],[Σp5]],""),"")</f>
        <v/>
      </c>
      <c r="AP1098" s="110" t="str">
        <f>IF(Tab.o1[[#This Row],[a1]]=1,IF(ISNUMBER(Tab.o1[[#This Row],[i.]]),NORMDIST(Tab.o1[[#This Row],[Za]],0,1,FALSE)*Tab.o1[[#This Row],[i.]],0),"")</f>
        <v/>
      </c>
      <c r="AQ1098" s="125" t="str">
        <f>IF(Tab.o1[[#This Row],[a1]]=1,ABS(Tab.o1[[#This Row],[MOD]]-AVERAGE(Tab.o1[MOD])),"")</f>
        <v/>
      </c>
      <c r="AR1098" s="134" t="str">
        <f>IF(Tab.o1[[#This Row],[a1]]=1,Tab.o1[[#This Row],[OBS]]/SUM(Tab.o1[OBS]),"")</f>
        <v/>
      </c>
      <c r="AS1098" s="135" t="str">
        <f>IF(ISNUMBER(Tab.o1[[#This Row],[a1]]),ROW()-4,"")</f>
        <v/>
      </c>
      <c r="AT1098" s="136" t="str">
        <f>Tab.o1[[#This Row],[MOD]]</f>
        <v/>
      </c>
      <c r="AU1098" s="137" t="str">
        <f t="shared" si="69"/>
        <v/>
      </c>
      <c r="AV1098" s="138" t="str">
        <f t="shared" si="70"/>
        <v/>
      </c>
      <c r="AW1098" s="138" t="str">
        <f t="shared" si="71"/>
        <v/>
      </c>
      <c r="AX1098" s="139" t="str">
        <f>[1]!T.in.A[[#This Row],[ID_T_manu]]</f>
        <v/>
      </c>
      <c r="AY1098" s="140" t="str">
        <f>IF(ISNUMBER(Tab.o1[[#This Row],[a1]]),IF(AND(Tab.o1[[#This Row],[a1]]=1,Tab.o1[[#This Row],[b1]]&lt;=AY$4),#REF!,AY1097),"")</f>
        <v/>
      </c>
      <c r="AZ1098" s="25"/>
      <c r="BA1098" s="25"/>
      <c r="BB1098" s="25"/>
      <c r="BC1098" s="25"/>
      <c r="BD1098" s="25"/>
      <c r="BE1098" s="25"/>
      <c r="BF1098" s="25"/>
      <c r="BG1098" s="25"/>
      <c r="BH1098" s="25"/>
      <c r="BI1098" s="25"/>
      <c r="BJ1098" s="25"/>
      <c r="BK1098" s="25"/>
      <c r="BL1098" s="25"/>
      <c r="BM1098" s="25"/>
      <c r="BN1098" s="26"/>
      <c r="BO1098" s="26"/>
      <c r="BP1098" s="26"/>
      <c r="BQ1098" s="26"/>
      <c r="BR1098" s="26"/>
      <c r="BS1098" s="26"/>
      <c r="BT1098" s="26"/>
      <c r="BU1098" s="26"/>
      <c r="BV1098" s="26"/>
      <c r="BW1098" s="26"/>
      <c r="BX1098" s="26"/>
      <c r="BY1098" s="26"/>
      <c r="BZ1098" s="26"/>
      <c r="CA1098" s="26"/>
    </row>
    <row r="1099" spans="1:79" ht="15.75" hidden="1">
      <c r="A1099" s="109">
        <v>-4.0000000000000007E-6</v>
      </c>
      <c r="B1099" s="110">
        <f t="shared" si="68"/>
        <v>1099</v>
      </c>
      <c r="C1099" s="111" t="str">
        <f>IF(C$1=[1]!T.in.A[[#This Row],[oo2]],1,"")</f>
        <v/>
      </c>
      <c r="D1099" s="112" t="str">
        <f>IF(Tab.o1[[#This Row],[a1]]=1,IF(SUM(C1099:C1100)=0,0,IF(SUM(C1098:C1099)=1,1,IF(SUM(C1098:C1100)&gt;1,D1098+1,0))),"")</f>
        <v/>
      </c>
      <c r="E1099" s="113" t="str">
        <f>IF(Tab.o1[[#This Row],[a1]]=1,[1]!T.in.A[[#This Row],[oo1]],"")</f>
        <v/>
      </c>
      <c r="F1099" s="113" t="str">
        <f>IF(Tab.o1[[#This Row],[a1]]=1,[1]!T.in.A[[#This Row],[pp1]],"")</f>
        <v/>
      </c>
      <c r="G1099" s="114" t="str">
        <f>IF(Tab.o1[[#This Row],[a1]]=1,G$2+IF(G$1=1,0,Tab.o1[[#This Row],[.x1]])+[1]!T.in.A[[#This Row],[oo3]],"")</f>
        <v/>
      </c>
      <c r="H1099" s="115" t="str">
        <f>IF(Tab.o1[[#This Row],[a1]]=1,IF(H$2=0,0,IF(G$1=1,0,Tab.o1[[#This Row],[.x1]])+[1]!T.in.A[[#This Row],[oo4]]),"")</f>
        <v/>
      </c>
      <c r="I1099" s="116" t="str">
        <f>IF(Tab.o1[[#This Row],[a1]]=1,IF(J$2=0,Tab.o1[[#This Row],[MED]],Tab.o1[[#This Row],[MOD]]),"")</f>
        <v/>
      </c>
      <c r="J1099" s="116" t="str">
        <f>IF(Tab.o1[[#This Row],[a1]]=1,((Tab.o1[[#This Row],[DIF_Target.]]-AVERAGE(Tab.o1[DIF_Target.]))/_xlfn.STDEV.P(Tab.o1[DIF_Target.])),"")</f>
        <v/>
      </c>
      <c r="K1099" s="117" t="str">
        <f>IF(Tab.o1[[#This Row],[a1]]=1,IF(J$2=0,Tab.o1[[#This Row],[MOD]]-Tab.o1[[#This Row],[B]],IF(J$2=1,0,-Tab.o1[[#This Row],[MED]])+Tab.o1[[#This Row],[B]]),"")</f>
        <v/>
      </c>
      <c r="L1099" s="117" t="str">
        <f ca="1">IF(Tab.o1[[#This Row],[DIF_Target]]=0,IF(L$2=0,Tab.o1[[#This Row],[DIF_Target]],AVERAGE(OFFSET(Tab.o1[[#This Row],[DIF_Target]],1,0,L$3,1)))/3,Tab.o1[[#This Row],[DIF_Target]])</f>
        <v/>
      </c>
      <c r="M1099" s="118" t="str">
        <f>IF(Tab.o1[[#This Row],[a1]]=1,NORMSDIST(Tab.o1[[#This Row],[Za]]),"")</f>
        <v/>
      </c>
      <c r="N1099" s="119" t="str">
        <f>IF(Tab.o1[[#This Row],[a1]]=1,((Tab.o1[[#This Row],[MedMod]]-AVERAGE(Tab.o1[MedMod]))/_xlfn.STDEV.P(Tab.o1[MedMod])*H$1205)+G$1205,"")</f>
        <v/>
      </c>
      <c r="O1099" s="141" t="str">
        <f>IF(Tab.o1[[#This Row],[a1]]=1,Tab.o1[[#This Row],[Zb]]*_xlfn.STDEV.P(Tab.o1[MedMod])+AVERAGE(Tab.o1[MedMod]),"")</f>
        <v/>
      </c>
      <c r="P1099" s="117" t="str">
        <f ca="1">IF(Tab.o1[[#This Row],[B]]=0,AVERAGE(OFFSET(Tab.o1[[#This Row],[B]],1,0,L$3,1)),Tab.o1[[#This Row],[B]])</f>
        <v/>
      </c>
      <c r="Q1099" s="121" t="str">
        <f>IF(Tab.o1[[#This Row],[a1]]=1,NORMSDIST(Tab.o1[[#This Row],[Zb]]),"")</f>
        <v/>
      </c>
      <c r="R1099" s="122" t="str">
        <f>IF(Tab.o1[[#This Row],[a1]]=1,((Tab.o1[[#This Row],[MedMod]]-AVERAGE(Tab.o1[MedMod]))/_xlfn.STDEV.P(Tab.o1[MedMod])*H$1203)+G$1203,"")</f>
        <v/>
      </c>
      <c r="S1099" s="122" t="str">
        <f>IF(Tab.o1[[#This Row],[a1]]=1,((Tab.o1[[#This Row],[MedMod]]-AVERAGE(Tab.o1[MedMod]))/_xlfn.STDEV.P(Tab.o1[MedMod])*H$1204)+G$1204,"")</f>
        <v/>
      </c>
      <c r="T1099" s="123" t="str">
        <f>IF(Tab.o1[[#This Row],[a1]]=1,Tab.o1[[#This Row],[Z-]]*_xlfn.STDEV.P(Tab.o1[B])+AVERAGE(Tab.o1[B]),"")</f>
        <v/>
      </c>
      <c r="U1099" s="123" t="str">
        <f>IF(Tab.o1[[#This Row],[a1]]=1,Tab.o1[[#This Row],[z+]]*_xlfn.STDEV.P(Tab.o1[B])+AVERAGE(Tab.o1[B]),"")</f>
        <v/>
      </c>
      <c r="V1099" s="124" t="str">
        <f>IF(Tab.o1[[#This Row],[a1]]=1,ABS((ABS(Tab.o1[[#This Row],[Red]]-Tab.o1[[#This Row],[Blue]]))),"")</f>
        <v/>
      </c>
      <c r="W1099" s="125" t="str">
        <f>IF(Tab.o1[[#This Row],[a1]]=1,IF(W$3=0,1,Tab.o1[[#This Row],[Amp.]]*1/_xlfn.MINIFS(Tab.o1[Amp.],Tab.o1[Amp.],"&lt;&gt;0")),"")</f>
        <v/>
      </c>
      <c r="X1099" s="126" t="str">
        <f>IF(Tab.o1[[#This Row],[a1]]=1,IF(ISNUMBER(Tab.o1[[#This Row],[i.]]),NORMDIST(Tab.o1[[#This Row],[Za]],0,1,FALSE)*Tab.o1[[#This Row],[i.]],AP$3),"")</f>
        <v/>
      </c>
      <c r="Y1099" s="126" t="str">
        <f>IF(Tab.o1[[#This Row],[a1]]=1,0.01+0.94*Tab.o1[[#This Row],[PDF]]/MAX(Tab.o1[PDF]),"")</f>
        <v/>
      </c>
      <c r="Z1099" s="126" t="str">
        <f>IF(Tab.o1[[#This Row],[a1]]=1,0.01+0.94*Tab.o1[[#This Row],[W1_PDF]]/MAX(Tab.o1[W1_PDF]),"")</f>
        <v/>
      </c>
      <c r="AA1099" s="118" t="str">
        <f>IF(Tab.o1[[#This Row],[a1]]=1,ABS([1]!T.in.A[[#This Row],[oo6]]),"")</f>
        <v/>
      </c>
      <c r="AB1099" s="127" t="str">
        <f>IF(Tab.o1[[#This Row],[a1]]=1,IF(AE$3=0,"",IF(AB$3=0,ABS([1]!T.in.A[[#This Row],[oo9]]),ABS(Tab.o1[[#This Row],[DIF_Target.]]*Tab.o1[[#This Row],[W1_PDF]]))),"")</f>
        <v/>
      </c>
      <c r="AC1099" s="127" t="str">
        <f>IF(G$1=1,"",IF(Tab.o1[[#This Row],[a1]]=1,Tab.o1[[#This Row],[Wr]]^2,""))</f>
        <v/>
      </c>
      <c r="AD1099" s="118" t="str">
        <f>IF(Tab.o1[[#This Row],[a1]]=1,IF(AE$3=0,"",Tab.o1[[#This Row],[Wr2]]/SUM(Tab.o1[Wr2])),"")</f>
        <v/>
      </c>
      <c r="AE1099" s="128" t="str">
        <f>IF(Tab.o1[[#This Row],[a1]]=1,[1]!T.in.A[[#This Row],[oo10]],"")</f>
        <v/>
      </c>
      <c r="AF1099" s="118" t="str">
        <f>IF(Tab.o1[[#This Row],[a1]]=1,ABS(Tab.o1[[#This Row],[DIF_Target.]]*Tab.o1[[#This Row],[PDF2]]*Tab.o1[[#This Row],[IN]]),"")</f>
        <v/>
      </c>
      <c r="AG1099" s="129" t="str">
        <f>IF(Tab.o1[[#This Row],[a1]]=1,Tab.o1[[#This Row],[rW]]^2,"")</f>
        <v/>
      </c>
      <c r="AH1099" s="130" t="str">
        <f>IF(Tab.o1[[#This Row],[a1]]=1,IF(AH$3=0,Tab.o1[[#This Row],[rW2]],0.01+0.94*Tab.o1[[#This Row],[rW2]]/SUM(Tab.o1[rW2])),"")</f>
        <v/>
      </c>
      <c r="AI1099" s="128" t="str">
        <f>IF(Tab.o1[[#This Row],[a1]]=1,1/Tab.o1[[#This Row],[PDF]],"")</f>
        <v/>
      </c>
      <c r="AJ1099" s="131" t="str">
        <f>IF(Tab.o1[[#This Row],[a1]]=1,[1]!T_AA[[#This Row],[IN'']]*[1]!T_AA[[#This Row],[Qde'']],"")</f>
        <v/>
      </c>
      <c r="AK1099" s="132" t="str">
        <f>IF(Tab.o1[[#This Row],[a1]]=1,IF(AK$1=1,Tab.o1[[#This Row],[MED]]+Tab.o1[[#This Row],[MOD]]-Tab.o1[[#This Row],[MED]],""),"")</f>
        <v/>
      </c>
      <c r="AL1099" s="133" t="str">
        <f>IF(Tab.o1[[#This Row],[a1]]=1,[1]!T.in.A[[#This Row],[oo16]],"")</f>
        <v/>
      </c>
      <c r="AM1099" s="133" t="str">
        <f>IF(Tab.o1[[#This Row],[a1]]=1,IF(AM$3=1,[1]!T.in.A[[#This Row],[Σo16]],""),"")</f>
        <v/>
      </c>
      <c r="AN1099" s="126" t="str">
        <f>IF(Tab.o1[[#This Row],[a1]]=1,[1]!T.in.A[[#This Row],[Σp5]],"")</f>
        <v/>
      </c>
      <c r="AO1099" s="126" t="str">
        <f>IF(Tab.o1[[#This Row],[a1]]=1,IF(AO$3=1,[1]!T.in.A[[#This Row],[Σp5]],""),"")</f>
        <v/>
      </c>
      <c r="AP1099" s="110" t="str">
        <f>IF(Tab.o1[[#This Row],[a1]]=1,IF(ISNUMBER(Tab.o1[[#This Row],[i.]]),NORMDIST(Tab.o1[[#This Row],[Za]],0,1,FALSE)*Tab.o1[[#This Row],[i.]],0),"")</f>
        <v/>
      </c>
      <c r="AQ1099" s="125" t="str">
        <f>IF(Tab.o1[[#This Row],[a1]]=1,ABS(Tab.o1[[#This Row],[MOD]]-AVERAGE(Tab.o1[MOD])),"")</f>
        <v/>
      </c>
      <c r="AR1099" s="134" t="str">
        <f>IF(Tab.o1[[#This Row],[a1]]=1,Tab.o1[[#This Row],[OBS]]/SUM(Tab.o1[OBS]),"")</f>
        <v/>
      </c>
      <c r="AS1099" s="135" t="str">
        <f>IF(ISNUMBER(Tab.o1[[#This Row],[a1]]),ROW()-4,"")</f>
        <v/>
      </c>
      <c r="AT1099" s="136" t="str">
        <f>Tab.o1[[#This Row],[MOD]]</f>
        <v/>
      </c>
      <c r="AU1099" s="137" t="str">
        <f t="shared" si="69"/>
        <v/>
      </c>
      <c r="AV1099" s="138" t="str">
        <f t="shared" si="70"/>
        <v/>
      </c>
      <c r="AW1099" s="138" t="str">
        <f t="shared" si="71"/>
        <v/>
      </c>
      <c r="AX1099" s="139" t="str">
        <f>[1]!T.in.A[[#This Row],[ID_T_manu]]</f>
        <v/>
      </c>
      <c r="AY1099" s="140" t="str">
        <f>IF(ISNUMBER(Tab.o1[[#This Row],[a1]]),IF(AND(Tab.o1[[#This Row],[a1]]=1,Tab.o1[[#This Row],[b1]]&lt;=AY$4),#REF!,AY1098),"")</f>
        <v/>
      </c>
      <c r="AZ1099" s="25"/>
      <c r="BA1099" s="25"/>
      <c r="BB1099" s="25"/>
      <c r="BC1099" s="25"/>
      <c r="BD1099" s="25"/>
      <c r="BE1099" s="25"/>
      <c r="BF1099" s="25"/>
      <c r="BG1099" s="25"/>
      <c r="BH1099" s="25"/>
      <c r="BI1099" s="25"/>
      <c r="BJ1099" s="25"/>
      <c r="BK1099" s="25"/>
      <c r="BL1099" s="25"/>
      <c r="BM1099" s="25"/>
      <c r="BN1099" s="26"/>
      <c r="BO1099" s="26"/>
      <c r="BP1099" s="26"/>
      <c r="BQ1099" s="26"/>
      <c r="BR1099" s="26"/>
      <c r="BS1099" s="26"/>
      <c r="BT1099" s="26"/>
      <c r="BU1099" s="26"/>
      <c r="BV1099" s="26"/>
      <c r="BW1099" s="26"/>
      <c r="BX1099" s="26"/>
      <c r="BY1099" s="26"/>
      <c r="BZ1099" s="26"/>
      <c r="CA1099" s="26"/>
    </row>
    <row r="1100" spans="1:79" ht="15.75" hidden="1">
      <c r="A1100" s="109">
        <v>5.0000000000000004E-6</v>
      </c>
      <c r="B1100" s="110">
        <f t="shared" si="68"/>
        <v>1100</v>
      </c>
      <c r="C1100" s="111" t="str">
        <f>IF(C$1=[1]!T.in.A[[#This Row],[oo2]],1,"")</f>
        <v/>
      </c>
      <c r="D1100" s="112" t="str">
        <f>IF(Tab.o1[[#This Row],[a1]]=1,IF(SUM(C1100:C1101)=0,0,IF(SUM(C1099:C1100)=1,1,IF(SUM(C1099:C1101)&gt;1,D1099+1,0))),"")</f>
        <v/>
      </c>
      <c r="E1100" s="113" t="str">
        <f>IF(Tab.o1[[#This Row],[a1]]=1,[1]!T.in.A[[#This Row],[oo1]],"")</f>
        <v/>
      </c>
      <c r="F1100" s="113" t="str">
        <f>IF(Tab.o1[[#This Row],[a1]]=1,[1]!T.in.A[[#This Row],[pp1]],"")</f>
        <v/>
      </c>
      <c r="G1100" s="114" t="str">
        <f>IF(Tab.o1[[#This Row],[a1]]=1,G$2+IF(G$1=1,0,Tab.o1[[#This Row],[.x1]])+[1]!T.in.A[[#This Row],[oo3]],"")</f>
        <v/>
      </c>
      <c r="H1100" s="115" t="str">
        <f>IF(Tab.o1[[#This Row],[a1]]=1,IF(H$2=0,0,IF(G$1=1,0,Tab.o1[[#This Row],[.x1]])+[1]!T.in.A[[#This Row],[oo4]]),"")</f>
        <v/>
      </c>
      <c r="I1100" s="116" t="str">
        <f>IF(Tab.o1[[#This Row],[a1]]=1,IF(J$2=0,Tab.o1[[#This Row],[MED]],Tab.o1[[#This Row],[MOD]]),"")</f>
        <v/>
      </c>
      <c r="J1100" s="116" t="str">
        <f>IF(Tab.o1[[#This Row],[a1]]=1,((Tab.o1[[#This Row],[DIF_Target.]]-AVERAGE(Tab.o1[DIF_Target.]))/_xlfn.STDEV.P(Tab.o1[DIF_Target.])),"")</f>
        <v/>
      </c>
      <c r="K1100" s="117" t="str">
        <f>IF(Tab.o1[[#This Row],[a1]]=1,IF(J$2=0,Tab.o1[[#This Row],[MOD]]-Tab.o1[[#This Row],[B]],IF(J$2=1,0,-Tab.o1[[#This Row],[MED]])+Tab.o1[[#This Row],[B]]),"")</f>
        <v/>
      </c>
      <c r="L1100" s="117" t="str">
        <f ca="1">IF(Tab.o1[[#This Row],[DIF_Target]]=0,IF(L$2=0,Tab.o1[[#This Row],[DIF_Target]],AVERAGE(OFFSET(Tab.o1[[#This Row],[DIF_Target]],1,0,L$3,1)))/3,Tab.o1[[#This Row],[DIF_Target]])</f>
        <v/>
      </c>
      <c r="M1100" s="118" t="str">
        <f>IF(Tab.o1[[#This Row],[a1]]=1,NORMSDIST(Tab.o1[[#This Row],[Za]]),"")</f>
        <v/>
      </c>
      <c r="N1100" s="119" t="str">
        <f>IF(Tab.o1[[#This Row],[a1]]=1,((Tab.o1[[#This Row],[MedMod]]-AVERAGE(Tab.o1[MedMod]))/_xlfn.STDEV.P(Tab.o1[MedMod])*H$1205)+G$1205,"")</f>
        <v/>
      </c>
      <c r="O1100" s="141" t="str">
        <f>IF(Tab.o1[[#This Row],[a1]]=1,Tab.o1[[#This Row],[Zb]]*_xlfn.STDEV.P(Tab.o1[MedMod])+AVERAGE(Tab.o1[MedMod]),"")</f>
        <v/>
      </c>
      <c r="P1100" s="117" t="str">
        <f ca="1">IF(Tab.o1[[#This Row],[B]]=0,AVERAGE(OFFSET(Tab.o1[[#This Row],[B]],1,0,L$3,1)),Tab.o1[[#This Row],[B]])</f>
        <v/>
      </c>
      <c r="Q1100" s="121" t="str">
        <f>IF(Tab.o1[[#This Row],[a1]]=1,NORMSDIST(Tab.o1[[#This Row],[Zb]]),"")</f>
        <v/>
      </c>
      <c r="R1100" s="122" t="str">
        <f>IF(Tab.o1[[#This Row],[a1]]=1,((Tab.o1[[#This Row],[MedMod]]-AVERAGE(Tab.o1[MedMod]))/_xlfn.STDEV.P(Tab.o1[MedMod])*H$1203)+G$1203,"")</f>
        <v/>
      </c>
      <c r="S1100" s="122" t="str">
        <f>IF(Tab.o1[[#This Row],[a1]]=1,((Tab.o1[[#This Row],[MedMod]]-AVERAGE(Tab.o1[MedMod]))/_xlfn.STDEV.P(Tab.o1[MedMod])*H$1204)+G$1204,"")</f>
        <v/>
      </c>
      <c r="T1100" s="123" t="str">
        <f>IF(Tab.o1[[#This Row],[a1]]=1,Tab.o1[[#This Row],[Z-]]*_xlfn.STDEV.P(Tab.o1[B])+AVERAGE(Tab.o1[B]),"")</f>
        <v/>
      </c>
      <c r="U1100" s="123" t="str">
        <f>IF(Tab.o1[[#This Row],[a1]]=1,Tab.o1[[#This Row],[z+]]*_xlfn.STDEV.P(Tab.o1[B])+AVERAGE(Tab.o1[B]),"")</f>
        <v/>
      </c>
      <c r="V1100" s="124" t="str">
        <f>IF(Tab.o1[[#This Row],[a1]]=1,ABS((ABS(Tab.o1[[#This Row],[Red]]-Tab.o1[[#This Row],[Blue]]))),"")</f>
        <v/>
      </c>
      <c r="W1100" s="125" t="str">
        <f>IF(Tab.o1[[#This Row],[a1]]=1,IF(W$3=0,1,Tab.o1[[#This Row],[Amp.]]*1/_xlfn.MINIFS(Tab.o1[Amp.],Tab.o1[Amp.],"&lt;&gt;0")),"")</f>
        <v/>
      </c>
      <c r="X1100" s="126" t="str">
        <f>IF(Tab.o1[[#This Row],[a1]]=1,IF(ISNUMBER(Tab.o1[[#This Row],[i.]]),NORMDIST(Tab.o1[[#This Row],[Za]],0,1,FALSE)*Tab.o1[[#This Row],[i.]],AP$3),"")</f>
        <v/>
      </c>
      <c r="Y1100" s="126" t="str">
        <f>IF(Tab.o1[[#This Row],[a1]]=1,0.01+0.94*Tab.o1[[#This Row],[PDF]]/MAX(Tab.o1[PDF]),"")</f>
        <v/>
      </c>
      <c r="Z1100" s="126" t="str">
        <f>IF(Tab.o1[[#This Row],[a1]]=1,0.01+0.94*Tab.o1[[#This Row],[W1_PDF]]/MAX(Tab.o1[W1_PDF]),"")</f>
        <v/>
      </c>
      <c r="AA1100" s="118" t="str">
        <f>IF(Tab.o1[[#This Row],[a1]]=1,ABS([1]!T.in.A[[#This Row],[oo6]]),"")</f>
        <v/>
      </c>
      <c r="AB1100" s="127" t="str">
        <f>IF(Tab.o1[[#This Row],[a1]]=1,IF(AE$3=0,"",IF(AB$3=0,ABS([1]!T.in.A[[#This Row],[oo9]]),ABS(Tab.o1[[#This Row],[DIF_Target.]]*Tab.o1[[#This Row],[W1_PDF]]))),"")</f>
        <v/>
      </c>
      <c r="AC1100" s="127" t="str">
        <f>IF(G$1=1,"",IF(Tab.o1[[#This Row],[a1]]=1,Tab.o1[[#This Row],[Wr]]^2,""))</f>
        <v/>
      </c>
      <c r="AD1100" s="118" t="str">
        <f>IF(Tab.o1[[#This Row],[a1]]=1,IF(AE$3=0,"",Tab.o1[[#This Row],[Wr2]]/SUM(Tab.o1[Wr2])),"")</f>
        <v/>
      </c>
      <c r="AE1100" s="128" t="str">
        <f>IF(Tab.o1[[#This Row],[a1]]=1,[1]!T.in.A[[#This Row],[oo10]],"")</f>
        <v/>
      </c>
      <c r="AF1100" s="118" t="str">
        <f>IF(Tab.o1[[#This Row],[a1]]=1,ABS(Tab.o1[[#This Row],[DIF_Target.]]*Tab.o1[[#This Row],[PDF2]]*Tab.o1[[#This Row],[IN]]),"")</f>
        <v/>
      </c>
      <c r="AG1100" s="129" t="str">
        <f>IF(Tab.o1[[#This Row],[a1]]=1,Tab.o1[[#This Row],[rW]]^2,"")</f>
        <v/>
      </c>
      <c r="AH1100" s="130" t="str">
        <f>IF(Tab.o1[[#This Row],[a1]]=1,IF(AH$3=0,Tab.o1[[#This Row],[rW2]],0.01+0.94*Tab.o1[[#This Row],[rW2]]/SUM(Tab.o1[rW2])),"")</f>
        <v/>
      </c>
      <c r="AI1100" s="128" t="str">
        <f>IF(Tab.o1[[#This Row],[a1]]=1,1/Tab.o1[[#This Row],[PDF]],"")</f>
        <v/>
      </c>
      <c r="AJ1100" s="131" t="str">
        <f>IF(Tab.o1[[#This Row],[a1]]=1,[1]!T_AA[[#This Row],[IN'']]*[1]!T_AA[[#This Row],[Qde'']],"")</f>
        <v/>
      </c>
      <c r="AK1100" s="132" t="str">
        <f>IF(Tab.o1[[#This Row],[a1]]=1,IF(AK$1=1,Tab.o1[[#This Row],[MED]]+Tab.o1[[#This Row],[MOD]]-Tab.o1[[#This Row],[MED]],""),"")</f>
        <v/>
      </c>
      <c r="AL1100" s="133" t="str">
        <f>IF(Tab.o1[[#This Row],[a1]]=1,[1]!T.in.A[[#This Row],[oo16]],"")</f>
        <v/>
      </c>
      <c r="AM1100" s="133" t="str">
        <f>IF(Tab.o1[[#This Row],[a1]]=1,IF(AM$3=1,[1]!T.in.A[[#This Row],[Σo16]],""),"")</f>
        <v/>
      </c>
      <c r="AN1100" s="126" t="str">
        <f>IF(Tab.o1[[#This Row],[a1]]=1,[1]!T.in.A[[#This Row],[Σp5]],"")</f>
        <v/>
      </c>
      <c r="AO1100" s="126" t="str">
        <f>IF(Tab.o1[[#This Row],[a1]]=1,IF(AO$3=1,[1]!T.in.A[[#This Row],[Σp5]],""),"")</f>
        <v/>
      </c>
      <c r="AP1100" s="110" t="str">
        <f>IF(Tab.o1[[#This Row],[a1]]=1,IF(ISNUMBER(Tab.o1[[#This Row],[i.]]),NORMDIST(Tab.o1[[#This Row],[Za]],0,1,FALSE)*Tab.o1[[#This Row],[i.]],0),"")</f>
        <v/>
      </c>
      <c r="AQ1100" s="125" t="str">
        <f>IF(Tab.o1[[#This Row],[a1]]=1,ABS(Tab.o1[[#This Row],[MOD]]-AVERAGE(Tab.o1[MOD])),"")</f>
        <v/>
      </c>
      <c r="AR1100" s="134" t="str">
        <f>IF(Tab.o1[[#This Row],[a1]]=1,Tab.o1[[#This Row],[OBS]]/SUM(Tab.o1[OBS]),"")</f>
        <v/>
      </c>
      <c r="AS1100" s="135" t="str">
        <f>IF(ISNUMBER(Tab.o1[[#This Row],[a1]]),ROW()-4,"")</f>
        <v/>
      </c>
      <c r="AT1100" s="136" t="str">
        <f>Tab.o1[[#This Row],[MOD]]</f>
        <v/>
      </c>
      <c r="AU1100" s="137" t="str">
        <f t="shared" si="69"/>
        <v/>
      </c>
      <c r="AV1100" s="138" t="str">
        <f t="shared" si="70"/>
        <v/>
      </c>
      <c r="AW1100" s="138" t="str">
        <f t="shared" si="71"/>
        <v/>
      </c>
      <c r="AX1100" s="139" t="str">
        <f>[1]!T.in.A[[#This Row],[ID_T_manu]]</f>
        <v/>
      </c>
      <c r="AY1100" s="140" t="str">
        <f>IF(ISNUMBER(Tab.o1[[#This Row],[a1]]),IF(AND(Tab.o1[[#This Row],[a1]]=1,Tab.o1[[#This Row],[b1]]&lt;=AY$4),#REF!,AY1099),"")</f>
        <v/>
      </c>
      <c r="AZ1100" s="25"/>
      <c r="BA1100" s="25"/>
      <c r="BB1100" s="25"/>
      <c r="BC1100" s="25"/>
      <c r="BD1100" s="25"/>
      <c r="BE1100" s="25"/>
      <c r="BF1100" s="25"/>
      <c r="BG1100" s="25"/>
      <c r="BH1100" s="25"/>
      <c r="BI1100" s="25"/>
      <c r="BJ1100" s="25"/>
      <c r="BK1100" s="25"/>
      <c r="BL1100" s="25"/>
      <c r="BM1100" s="25"/>
      <c r="BN1100" s="26"/>
      <c r="BO1100" s="26"/>
      <c r="BP1100" s="26"/>
      <c r="BQ1100" s="26"/>
      <c r="BR1100" s="26"/>
      <c r="BS1100" s="26"/>
      <c r="BT1100" s="26"/>
      <c r="BU1100" s="26"/>
      <c r="BV1100" s="26"/>
      <c r="BW1100" s="26"/>
      <c r="BX1100" s="26"/>
      <c r="BY1100" s="26"/>
      <c r="BZ1100" s="26"/>
      <c r="CA1100" s="26"/>
    </row>
    <row r="1101" spans="1:79" ht="15.75" hidden="1">
      <c r="A1101" s="109">
        <v>1.0000000000000002E-6</v>
      </c>
      <c r="B1101" s="110">
        <f t="shared" si="68"/>
        <v>1101</v>
      </c>
      <c r="C1101" s="111" t="str">
        <f>IF(C$1=[1]!T.in.A[[#This Row],[oo2]],1,"")</f>
        <v/>
      </c>
      <c r="D1101" s="112" t="str">
        <f>IF(Tab.o1[[#This Row],[a1]]=1,IF(SUM(C1101:C1102)=0,0,IF(SUM(C1100:C1101)=1,1,IF(SUM(C1100:C1102)&gt;1,D1100+1,0))),"")</f>
        <v/>
      </c>
      <c r="E1101" s="113" t="str">
        <f>IF(Tab.o1[[#This Row],[a1]]=1,[1]!T.in.A[[#This Row],[oo1]],"")</f>
        <v/>
      </c>
      <c r="F1101" s="113" t="str">
        <f>IF(Tab.o1[[#This Row],[a1]]=1,[1]!T.in.A[[#This Row],[pp1]],"")</f>
        <v/>
      </c>
      <c r="G1101" s="114" t="str">
        <f>IF(Tab.o1[[#This Row],[a1]]=1,G$2+IF(G$1=1,0,Tab.o1[[#This Row],[.x1]])+[1]!T.in.A[[#This Row],[oo3]],"")</f>
        <v/>
      </c>
      <c r="H1101" s="115" t="str">
        <f>IF(Tab.o1[[#This Row],[a1]]=1,IF(H$2=0,0,IF(G$1=1,0,Tab.o1[[#This Row],[.x1]])+[1]!T.in.A[[#This Row],[oo4]]),"")</f>
        <v/>
      </c>
      <c r="I1101" s="116" t="str">
        <f>IF(Tab.o1[[#This Row],[a1]]=1,IF(J$2=0,Tab.o1[[#This Row],[MED]],Tab.o1[[#This Row],[MOD]]),"")</f>
        <v/>
      </c>
      <c r="J1101" s="116" t="str">
        <f>IF(Tab.o1[[#This Row],[a1]]=1,((Tab.o1[[#This Row],[DIF_Target.]]-AVERAGE(Tab.o1[DIF_Target.]))/_xlfn.STDEV.P(Tab.o1[DIF_Target.])),"")</f>
        <v/>
      </c>
      <c r="K1101" s="117" t="str">
        <f>IF(Tab.o1[[#This Row],[a1]]=1,IF(J$2=0,Tab.o1[[#This Row],[MOD]]-Tab.o1[[#This Row],[B]],IF(J$2=1,0,-Tab.o1[[#This Row],[MED]])+Tab.o1[[#This Row],[B]]),"")</f>
        <v/>
      </c>
      <c r="L1101" s="117" t="str">
        <f ca="1">IF(Tab.o1[[#This Row],[DIF_Target]]=0,IF(L$2=0,Tab.o1[[#This Row],[DIF_Target]],AVERAGE(OFFSET(Tab.o1[[#This Row],[DIF_Target]],1,0,L$3,1)))/3,Tab.o1[[#This Row],[DIF_Target]])</f>
        <v/>
      </c>
      <c r="M1101" s="118" t="str">
        <f>IF(Tab.o1[[#This Row],[a1]]=1,NORMSDIST(Tab.o1[[#This Row],[Za]]),"")</f>
        <v/>
      </c>
      <c r="N1101" s="119" t="str">
        <f>IF(Tab.o1[[#This Row],[a1]]=1,((Tab.o1[[#This Row],[MedMod]]-AVERAGE(Tab.o1[MedMod]))/_xlfn.STDEV.P(Tab.o1[MedMod])*H$1205)+G$1205,"")</f>
        <v/>
      </c>
      <c r="O1101" s="141" t="str">
        <f>IF(Tab.o1[[#This Row],[a1]]=1,Tab.o1[[#This Row],[Zb]]*_xlfn.STDEV.P(Tab.o1[MedMod])+AVERAGE(Tab.o1[MedMod]),"")</f>
        <v/>
      </c>
      <c r="P1101" s="117" t="str">
        <f ca="1">IF(Tab.o1[[#This Row],[B]]=0,AVERAGE(OFFSET(Tab.o1[[#This Row],[B]],1,0,L$3,1)),Tab.o1[[#This Row],[B]])</f>
        <v/>
      </c>
      <c r="Q1101" s="121" t="str">
        <f>IF(Tab.o1[[#This Row],[a1]]=1,NORMSDIST(Tab.o1[[#This Row],[Zb]]),"")</f>
        <v/>
      </c>
      <c r="R1101" s="122" t="str">
        <f>IF(Tab.o1[[#This Row],[a1]]=1,((Tab.o1[[#This Row],[MedMod]]-AVERAGE(Tab.o1[MedMod]))/_xlfn.STDEV.P(Tab.o1[MedMod])*H$1203)+G$1203,"")</f>
        <v/>
      </c>
      <c r="S1101" s="122" t="str">
        <f>IF(Tab.o1[[#This Row],[a1]]=1,((Tab.o1[[#This Row],[MedMod]]-AVERAGE(Tab.o1[MedMod]))/_xlfn.STDEV.P(Tab.o1[MedMod])*H$1204)+G$1204,"")</f>
        <v/>
      </c>
      <c r="T1101" s="123" t="str">
        <f>IF(Tab.o1[[#This Row],[a1]]=1,Tab.o1[[#This Row],[Z-]]*_xlfn.STDEV.P(Tab.o1[B])+AVERAGE(Tab.o1[B]),"")</f>
        <v/>
      </c>
      <c r="U1101" s="123" t="str">
        <f>IF(Tab.o1[[#This Row],[a1]]=1,Tab.o1[[#This Row],[z+]]*_xlfn.STDEV.P(Tab.o1[B])+AVERAGE(Tab.o1[B]),"")</f>
        <v/>
      </c>
      <c r="V1101" s="124" t="str">
        <f>IF(Tab.o1[[#This Row],[a1]]=1,ABS((ABS(Tab.o1[[#This Row],[Red]]-Tab.o1[[#This Row],[Blue]]))),"")</f>
        <v/>
      </c>
      <c r="W1101" s="125" t="str">
        <f>IF(Tab.o1[[#This Row],[a1]]=1,IF(W$3=0,1,Tab.o1[[#This Row],[Amp.]]*1/_xlfn.MINIFS(Tab.o1[Amp.],Tab.o1[Amp.],"&lt;&gt;0")),"")</f>
        <v/>
      </c>
      <c r="X1101" s="126" t="str">
        <f>IF(Tab.o1[[#This Row],[a1]]=1,IF(ISNUMBER(Tab.o1[[#This Row],[i.]]),NORMDIST(Tab.o1[[#This Row],[Za]],0,1,FALSE)*Tab.o1[[#This Row],[i.]],AP$3),"")</f>
        <v/>
      </c>
      <c r="Y1101" s="126" t="str">
        <f>IF(Tab.o1[[#This Row],[a1]]=1,0.01+0.94*Tab.o1[[#This Row],[PDF]]/MAX(Tab.o1[PDF]),"")</f>
        <v/>
      </c>
      <c r="Z1101" s="126" t="str">
        <f>IF(Tab.o1[[#This Row],[a1]]=1,0.01+0.94*Tab.o1[[#This Row],[W1_PDF]]/MAX(Tab.o1[W1_PDF]),"")</f>
        <v/>
      </c>
      <c r="AA1101" s="118" t="str">
        <f>IF(Tab.o1[[#This Row],[a1]]=1,ABS([1]!T.in.A[[#This Row],[oo6]]),"")</f>
        <v/>
      </c>
      <c r="AB1101" s="127" t="str">
        <f>IF(Tab.o1[[#This Row],[a1]]=1,IF(AE$3=0,"",IF(AB$3=0,ABS([1]!T.in.A[[#This Row],[oo9]]),ABS(Tab.o1[[#This Row],[DIF_Target.]]*Tab.o1[[#This Row],[W1_PDF]]))),"")</f>
        <v/>
      </c>
      <c r="AC1101" s="127" t="str">
        <f>IF(G$1=1,"",IF(Tab.o1[[#This Row],[a1]]=1,Tab.o1[[#This Row],[Wr]]^2,""))</f>
        <v/>
      </c>
      <c r="AD1101" s="118" t="str">
        <f>IF(Tab.o1[[#This Row],[a1]]=1,IF(AE$3=0,"",Tab.o1[[#This Row],[Wr2]]/SUM(Tab.o1[Wr2])),"")</f>
        <v/>
      </c>
      <c r="AE1101" s="128" t="str">
        <f>IF(Tab.o1[[#This Row],[a1]]=1,[1]!T.in.A[[#This Row],[oo10]],"")</f>
        <v/>
      </c>
      <c r="AF1101" s="118" t="str">
        <f>IF(Tab.o1[[#This Row],[a1]]=1,ABS(Tab.o1[[#This Row],[DIF_Target.]]*Tab.o1[[#This Row],[PDF2]]*Tab.o1[[#This Row],[IN]]),"")</f>
        <v/>
      </c>
      <c r="AG1101" s="129" t="str">
        <f>IF(Tab.o1[[#This Row],[a1]]=1,Tab.o1[[#This Row],[rW]]^2,"")</f>
        <v/>
      </c>
      <c r="AH1101" s="130" t="str">
        <f>IF(Tab.o1[[#This Row],[a1]]=1,IF(AH$3=0,Tab.o1[[#This Row],[rW2]],0.01+0.94*Tab.o1[[#This Row],[rW2]]/SUM(Tab.o1[rW2])),"")</f>
        <v/>
      </c>
      <c r="AI1101" s="128" t="str">
        <f>IF(Tab.o1[[#This Row],[a1]]=1,1/Tab.o1[[#This Row],[PDF]],"")</f>
        <v/>
      </c>
      <c r="AJ1101" s="131" t="str">
        <f>IF(Tab.o1[[#This Row],[a1]]=1,[1]!T_AA[[#This Row],[IN'']]*[1]!T_AA[[#This Row],[Qde'']],"")</f>
        <v/>
      </c>
      <c r="AK1101" s="132" t="str">
        <f>IF(Tab.o1[[#This Row],[a1]]=1,IF(AK$1=1,Tab.o1[[#This Row],[MED]]+Tab.o1[[#This Row],[MOD]]-Tab.o1[[#This Row],[MED]],""),"")</f>
        <v/>
      </c>
      <c r="AL1101" s="133" t="str">
        <f>IF(Tab.o1[[#This Row],[a1]]=1,[1]!T.in.A[[#This Row],[oo16]],"")</f>
        <v/>
      </c>
      <c r="AM1101" s="133" t="str">
        <f>IF(Tab.o1[[#This Row],[a1]]=1,IF(AM$3=1,[1]!T.in.A[[#This Row],[Σo16]],""),"")</f>
        <v/>
      </c>
      <c r="AN1101" s="126" t="str">
        <f>IF(Tab.o1[[#This Row],[a1]]=1,[1]!T.in.A[[#This Row],[Σp5]],"")</f>
        <v/>
      </c>
      <c r="AO1101" s="126" t="str">
        <f>IF(Tab.o1[[#This Row],[a1]]=1,IF(AO$3=1,[1]!T.in.A[[#This Row],[Σp5]],""),"")</f>
        <v/>
      </c>
      <c r="AP1101" s="110" t="str">
        <f>IF(Tab.o1[[#This Row],[a1]]=1,IF(ISNUMBER(Tab.o1[[#This Row],[i.]]),NORMDIST(Tab.o1[[#This Row],[Za]],0,1,FALSE)*Tab.o1[[#This Row],[i.]],0),"")</f>
        <v/>
      </c>
      <c r="AQ1101" s="125" t="str">
        <f>IF(Tab.o1[[#This Row],[a1]]=1,ABS(Tab.o1[[#This Row],[MOD]]-AVERAGE(Tab.o1[MOD])),"")</f>
        <v/>
      </c>
      <c r="AR1101" s="134" t="str">
        <f>IF(Tab.o1[[#This Row],[a1]]=1,Tab.o1[[#This Row],[OBS]]/SUM(Tab.o1[OBS]),"")</f>
        <v/>
      </c>
      <c r="AS1101" s="135" t="str">
        <f>IF(ISNUMBER(Tab.o1[[#This Row],[a1]]),ROW()-4,"")</f>
        <v/>
      </c>
      <c r="AT1101" s="136" t="str">
        <f>Tab.o1[[#This Row],[MOD]]</f>
        <v/>
      </c>
      <c r="AU1101" s="137" t="str">
        <f t="shared" si="69"/>
        <v/>
      </c>
      <c r="AV1101" s="138" t="str">
        <f t="shared" si="70"/>
        <v/>
      </c>
      <c r="AW1101" s="138" t="str">
        <f t="shared" si="71"/>
        <v/>
      </c>
      <c r="AX1101" s="139" t="str">
        <f>[1]!T.in.A[[#This Row],[ID_T_manu]]</f>
        <v/>
      </c>
      <c r="AY1101" s="140" t="str">
        <f>IF(ISNUMBER(Tab.o1[[#This Row],[a1]]),IF(AND(Tab.o1[[#This Row],[a1]]=1,Tab.o1[[#This Row],[b1]]&lt;=AY$4),#REF!,AY1100),"")</f>
        <v/>
      </c>
      <c r="AZ1101" s="25"/>
      <c r="BA1101" s="25"/>
      <c r="BB1101" s="25"/>
      <c r="BC1101" s="25"/>
      <c r="BD1101" s="25"/>
      <c r="BE1101" s="25"/>
      <c r="BF1101" s="25"/>
      <c r="BG1101" s="25"/>
      <c r="BH1101" s="25"/>
      <c r="BI1101" s="25"/>
      <c r="BJ1101" s="25"/>
      <c r="BK1101" s="25"/>
      <c r="BL1101" s="25"/>
      <c r="BM1101" s="25"/>
      <c r="BN1101" s="26"/>
      <c r="BO1101" s="26"/>
      <c r="BP1101" s="26"/>
      <c r="BQ1101" s="26"/>
      <c r="BR1101" s="26"/>
      <c r="BS1101" s="26"/>
      <c r="BT1101" s="26"/>
      <c r="BU1101" s="26"/>
      <c r="BV1101" s="26"/>
      <c r="BW1101" s="26"/>
      <c r="BX1101" s="26"/>
      <c r="BY1101" s="26"/>
      <c r="BZ1101" s="26"/>
      <c r="CA1101" s="26"/>
    </row>
    <row r="1102" spans="1:79" ht="15.75" hidden="1">
      <c r="A1102" s="109">
        <v>1.0000000000000001E-5</v>
      </c>
      <c r="B1102" s="110">
        <f t="shared" si="68"/>
        <v>1102</v>
      </c>
      <c r="C1102" s="111" t="str">
        <f>IF(C$1=[1]!T.in.A[[#This Row],[oo2]],1,"")</f>
        <v/>
      </c>
      <c r="D1102" s="112" t="str">
        <f>IF(Tab.o1[[#This Row],[a1]]=1,IF(SUM(C1102:C1103)=0,0,IF(SUM(C1101:C1102)=1,1,IF(SUM(C1101:C1103)&gt;1,D1101+1,0))),"")</f>
        <v/>
      </c>
      <c r="E1102" s="113" t="str">
        <f>IF(Tab.o1[[#This Row],[a1]]=1,[1]!T.in.A[[#This Row],[oo1]],"")</f>
        <v/>
      </c>
      <c r="F1102" s="113" t="str">
        <f>IF(Tab.o1[[#This Row],[a1]]=1,[1]!T.in.A[[#This Row],[pp1]],"")</f>
        <v/>
      </c>
      <c r="G1102" s="114" t="str">
        <f>IF(Tab.o1[[#This Row],[a1]]=1,G$2+IF(G$1=1,0,Tab.o1[[#This Row],[.x1]])+[1]!T.in.A[[#This Row],[oo3]],"")</f>
        <v/>
      </c>
      <c r="H1102" s="115" t="str">
        <f>IF(Tab.o1[[#This Row],[a1]]=1,IF(H$2=0,0,IF(G$1=1,0,Tab.o1[[#This Row],[.x1]])+[1]!T.in.A[[#This Row],[oo4]]),"")</f>
        <v/>
      </c>
      <c r="I1102" s="116" t="str">
        <f>IF(Tab.o1[[#This Row],[a1]]=1,IF(J$2=0,Tab.o1[[#This Row],[MED]],Tab.o1[[#This Row],[MOD]]),"")</f>
        <v/>
      </c>
      <c r="J1102" s="116" t="str">
        <f>IF(Tab.o1[[#This Row],[a1]]=1,((Tab.o1[[#This Row],[DIF_Target.]]-AVERAGE(Tab.o1[DIF_Target.]))/_xlfn.STDEV.P(Tab.o1[DIF_Target.])),"")</f>
        <v/>
      </c>
      <c r="K1102" s="117" t="str">
        <f>IF(Tab.o1[[#This Row],[a1]]=1,IF(J$2=0,Tab.o1[[#This Row],[MOD]]-Tab.o1[[#This Row],[B]],IF(J$2=1,0,-Tab.o1[[#This Row],[MED]])+Tab.o1[[#This Row],[B]]),"")</f>
        <v/>
      </c>
      <c r="L1102" s="117" t="str">
        <f ca="1">IF(Tab.o1[[#This Row],[DIF_Target]]=0,IF(L$2=0,Tab.o1[[#This Row],[DIF_Target]],AVERAGE(OFFSET(Tab.o1[[#This Row],[DIF_Target]],1,0,L$3,1)))/3,Tab.o1[[#This Row],[DIF_Target]])</f>
        <v/>
      </c>
      <c r="M1102" s="118" t="str">
        <f>IF(Tab.o1[[#This Row],[a1]]=1,NORMSDIST(Tab.o1[[#This Row],[Za]]),"")</f>
        <v/>
      </c>
      <c r="N1102" s="119" t="str">
        <f>IF(Tab.o1[[#This Row],[a1]]=1,((Tab.o1[[#This Row],[MedMod]]-AVERAGE(Tab.o1[MedMod]))/_xlfn.STDEV.P(Tab.o1[MedMod])*H$1205)+G$1205,"")</f>
        <v/>
      </c>
      <c r="O1102" s="141" t="str">
        <f>IF(Tab.o1[[#This Row],[a1]]=1,Tab.o1[[#This Row],[Zb]]*_xlfn.STDEV.P(Tab.o1[MedMod])+AVERAGE(Tab.o1[MedMod]),"")</f>
        <v/>
      </c>
      <c r="P1102" s="117" t="str">
        <f ca="1">IF(Tab.o1[[#This Row],[B]]=0,AVERAGE(OFFSET(Tab.o1[[#This Row],[B]],1,0,L$3,1)),Tab.o1[[#This Row],[B]])</f>
        <v/>
      </c>
      <c r="Q1102" s="121" t="str">
        <f>IF(Tab.o1[[#This Row],[a1]]=1,NORMSDIST(Tab.o1[[#This Row],[Zb]]),"")</f>
        <v/>
      </c>
      <c r="R1102" s="122" t="str">
        <f>IF(Tab.o1[[#This Row],[a1]]=1,((Tab.o1[[#This Row],[MedMod]]-AVERAGE(Tab.o1[MedMod]))/_xlfn.STDEV.P(Tab.o1[MedMod])*H$1203)+G$1203,"")</f>
        <v/>
      </c>
      <c r="S1102" s="122" t="str">
        <f>IF(Tab.o1[[#This Row],[a1]]=1,((Tab.o1[[#This Row],[MedMod]]-AVERAGE(Tab.o1[MedMod]))/_xlfn.STDEV.P(Tab.o1[MedMod])*H$1204)+G$1204,"")</f>
        <v/>
      </c>
      <c r="T1102" s="123" t="str">
        <f>IF(Tab.o1[[#This Row],[a1]]=1,Tab.o1[[#This Row],[Z-]]*_xlfn.STDEV.P(Tab.o1[B])+AVERAGE(Tab.o1[B]),"")</f>
        <v/>
      </c>
      <c r="U1102" s="123" t="str">
        <f>IF(Tab.o1[[#This Row],[a1]]=1,Tab.o1[[#This Row],[z+]]*_xlfn.STDEV.P(Tab.o1[B])+AVERAGE(Tab.o1[B]),"")</f>
        <v/>
      </c>
      <c r="V1102" s="124" t="str">
        <f>IF(Tab.o1[[#This Row],[a1]]=1,ABS((ABS(Tab.o1[[#This Row],[Red]]-Tab.o1[[#This Row],[Blue]]))),"")</f>
        <v/>
      </c>
      <c r="W1102" s="125" t="str">
        <f>IF(Tab.o1[[#This Row],[a1]]=1,IF(W$3=0,1,Tab.o1[[#This Row],[Amp.]]*1/_xlfn.MINIFS(Tab.o1[Amp.],Tab.o1[Amp.],"&lt;&gt;0")),"")</f>
        <v/>
      </c>
      <c r="X1102" s="126" t="str">
        <f>IF(Tab.o1[[#This Row],[a1]]=1,IF(ISNUMBER(Tab.o1[[#This Row],[i.]]),NORMDIST(Tab.o1[[#This Row],[Za]],0,1,FALSE)*Tab.o1[[#This Row],[i.]],AP$3),"")</f>
        <v/>
      </c>
      <c r="Y1102" s="126" t="str">
        <f>IF(Tab.o1[[#This Row],[a1]]=1,0.01+0.94*Tab.o1[[#This Row],[PDF]]/MAX(Tab.o1[PDF]),"")</f>
        <v/>
      </c>
      <c r="Z1102" s="126" t="str">
        <f>IF(Tab.o1[[#This Row],[a1]]=1,0.01+0.94*Tab.o1[[#This Row],[W1_PDF]]/MAX(Tab.o1[W1_PDF]),"")</f>
        <v/>
      </c>
      <c r="AA1102" s="118" t="str">
        <f>IF(Tab.o1[[#This Row],[a1]]=1,ABS([1]!T.in.A[[#This Row],[oo6]]),"")</f>
        <v/>
      </c>
      <c r="AB1102" s="127" t="str">
        <f>IF(Tab.o1[[#This Row],[a1]]=1,IF(AE$3=0,"",IF(AB$3=0,ABS([1]!T.in.A[[#This Row],[oo9]]),ABS(Tab.o1[[#This Row],[DIF_Target.]]*Tab.o1[[#This Row],[W1_PDF]]))),"")</f>
        <v/>
      </c>
      <c r="AC1102" s="127" t="str">
        <f>IF(G$1=1,"",IF(Tab.o1[[#This Row],[a1]]=1,Tab.o1[[#This Row],[Wr]]^2,""))</f>
        <v/>
      </c>
      <c r="AD1102" s="118" t="str">
        <f>IF(Tab.o1[[#This Row],[a1]]=1,IF(AE$3=0,"",Tab.o1[[#This Row],[Wr2]]/SUM(Tab.o1[Wr2])),"")</f>
        <v/>
      </c>
      <c r="AE1102" s="128" t="str">
        <f>IF(Tab.o1[[#This Row],[a1]]=1,[1]!T.in.A[[#This Row],[oo10]],"")</f>
        <v/>
      </c>
      <c r="AF1102" s="118" t="str">
        <f>IF(Tab.o1[[#This Row],[a1]]=1,ABS(Tab.o1[[#This Row],[DIF_Target.]]*Tab.o1[[#This Row],[PDF2]]*Tab.o1[[#This Row],[IN]]),"")</f>
        <v/>
      </c>
      <c r="AG1102" s="129" t="str">
        <f>IF(Tab.o1[[#This Row],[a1]]=1,Tab.o1[[#This Row],[rW]]^2,"")</f>
        <v/>
      </c>
      <c r="AH1102" s="130" t="str">
        <f>IF(Tab.o1[[#This Row],[a1]]=1,IF(AH$3=0,Tab.o1[[#This Row],[rW2]],0.01+0.94*Tab.o1[[#This Row],[rW2]]/SUM(Tab.o1[rW2])),"")</f>
        <v/>
      </c>
      <c r="AI1102" s="128" t="str">
        <f>IF(Tab.o1[[#This Row],[a1]]=1,1/Tab.o1[[#This Row],[PDF]],"")</f>
        <v/>
      </c>
      <c r="AJ1102" s="131" t="str">
        <f>IF(Tab.o1[[#This Row],[a1]]=1,[1]!T_AA[[#This Row],[IN'']]*[1]!T_AA[[#This Row],[Qde'']],"")</f>
        <v/>
      </c>
      <c r="AK1102" s="132" t="str">
        <f>IF(Tab.o1[[#This Row],[a1]]=1,IF(AK$1=1,Tab.o1[[#This Row],[MED]]+Tab.o1[[#This Row],[MOD]]-Tab.o1[[#This Row],[MED]],""),"")</f>
        <v/>
      </c>
      <c r="AL1102" s="133" t="str">
        <f>IF(Tab.o1[[#This Row],[a1]]=1,[1]!T.in.A[[#This Row],[oo16]],"")</f>
        <v/>
      </c>
      <c r="AM1102" s="133" t="str">
        <f>IF(Tab.o1[[#This Row],[a1]]=1,IF(AM$3=1,[1]!T.in.A[[#This Row],[Σo16]],""),"")</f>
        <v/>
      </c>
      <c r="AN1102" s="126" t="str">
        <f>IF(Tab.o1[[#This Row],[a1]]=1,[1]!T.in.A[[#This Row],[Σp5]],"")</f>
        <v/>
      </c>
      <c r="AO1102" s="126" t="str">
        <f>IF(Tab.o1[[#This Row],[a1]]=1,IF(AO$3=1,[1]!T.in.A[[#This Row],[Σp5]],""),"")</f>
        <v/>
      </c>
      <c r="AP1102" s="110" t="str">
        <f>IF(Tab.o1[[#This Row],[a1]]=1,IF(ISNUMBER(Tab.o1[[#This Row],[i.]]),NORMDIST(Tab.o1[[#This Row],[Za]],0,1,FALSE)*Tab.o1[[#This Row],[i.]],0),"")</f>
        <v/>
      </c>
      <c r="AQ1102" s="125" t="str">
        <f>IF(Tab.o1[[#This Row],[a1]]=1,ABS(Tab.o1[[#This Row],[MOD]]-AVERAGE(Tab.o1[MOD])),"")</f>
        <v/>
      </c>
      <c r="AR1102" s="134" t="str">
        <f>IF(Tab.o1[[#This Row],[a1]]=1,Tab.o1[[#This Row],[OBS]]/SUM(Tab.o1[OBS]),"")</f>
        <v/>
      </c>
      <c r="AS1102" s="135" t="str">
        <f>IF(ISNUMBER(Tab.o1[[#This Row],[a1]]),ROW()-4,"")</f>
        <v/>
      </c>
      <c r="AT1102" s="136" t="str">
        <f>Tab.o1[[#This Row],[MOD]]</f>
        <v/>
      </c>
      <c r="AU1102" s="137" t="str">
        <f t="shared" si="69"/>
        <v/>
      </c>
      <c r="AV1102" s="138" t="str">
        <f t="shared" si="70"/>
        <v/>
      </c>
      <c r="AW1102" s="138" t="str">
        <f t="shared" si="71"/>
        <v/>
      </c>
      <c r="AX1102" s="139" t="str">
        <f>[1]!T.in.A[[#This Row],[ID_T_manu]]</f>
        <v/>
      </c>
      <c r="AY1102" s="140" t="str">
        <f>IF(ISNUMBER(Tab.o1[[#This Row],[a1]]),IF(AND(Tab.o1[[#This Row],[a1]]=1,Tab.o1[[#This Row],[b1]]&lt;=AY$4),#REF!,AY1101),"")</f>
        <v/>
      </c>
      <c r="AZ1102" s="25"/>
      <c r="BA1102" s="25"/>
      <c r="BB1102" s="25"/>
      <c r="BC1102" s="25"/>
      <c r="BD1102" s="25"/>
      <c r="BE1102" s="25"/>
      <c r="BF1102" s="25"/>
      <c r="BG1102" s="25"/>
      <c r="BH1102" s="25"/>
      <c r="BI1102" s="25"/>
      <c r="BJ1102" s="25"/>
      <c r="BK1102" s="25"/>
      <c r="BL1102" s="25"/>
      <c r="BM1102" s="25"/>
      <c r="BN1102" s="26"/>
      <c r="BO1102" s="26"/>
      <c r="BP1102" s="26"/>
      <c r="BQ1102" s="26"/>
      <c r="BR1102" s="26"/>
      <c r="BS1102" s="26"/>
      <c r="BT1102" s="26"/>
      <c r="BU1102" s="26"/>
      <c r="BV1102" s="26"/>
      <c r="BW1102" s="26"/>
      <c r="BX1102" s="26"/>
      <c r="BY1102" s="26"/>
      <c r="BZ1102" s="26"/>
      <c r="CA1102" s="26"/>
    </row>
    <row r="1103" spans="1:79" ht="15.75" hidden="1">
      <c r="A1103" s="109">
        <v>-1.0000000000000002E-6</v>
      </c>
      <c r="B1103" s="110">
        <f t="shared" si="68"/>
        <v>1103</v>
      </c>
      <c r="C1103" s="111" t="str">
        <f>IF(C$1=[1]!T.in.A[[#This Row],[oo2]],1,"")</f>
        <v/>
      </c>
      <c r="D1103" s="112" t="str">
        <f>IF(Tab.o1[[#This Row],[a1]]=1,IF(SUM(C1103:C1104)=0,0,IF(SUM(C1102:C1103)=1,1,IF(SUM(C1102:C1104)&gt;1,D1102+1,0))),"")</f>
        <v/>
      </c>
      <c r="E1103" s="113" t="str">
        <f>IF(Tab.o1[[#This Row],[a1]]=1,[1]!T.in.A[[#This Row],[oo1]],"")</f>
        <v/>
      </c>
      <c r="F1103" s="113" t="str">
        <f>IF(Tab.o1[[#This Row],[a1]]=1,[1]!T.in.A[[#This Row],[pp1]],"")</f>
        <v/>
      </c>
      <c r="G1103" s="114" t="str">
        <f>IF(Tab.o1[[#This Row],[a1]]=1,G$2+IF(G$1=1,0,Tab.o1[[#This Row],[.x1]])+[1]!T.in.A[[#This Row],[oo3]],"")</f>
        <v/>
      </c>
      <c r="H1103" s="115" t="str">
        <f>IF(Tab.o1[[#This Row],[a1]]=1,IF(H$2=0,0,IF(G$1=1,0,Tab.o1[[#This Row],[.x1]])+[1]!T.in.A[[#This Row],[oo4]]),"")</f>
        <v/>
      </c>
      <c r="I1103" s="116" t="str">
        <f>IF(Tab.o1[[#This Row],[a1]]=1,IF(J$2=0,Tab.o1[[#This Row],[MED]],Tab.o1[[#This Row],[MOD]]),"")</f>
        <v/>
      </c>
      <c r="J1103" s="116" t="str">
        <f>IF(Tab.o1[[#This Row],[a1]]=1,((Tab.o1[[#This Row],[DIF_Target.]]-AVERAGE(Tab.o1[DIF_Target.]))/_xlfn.STDEV.P(Tab.o1[DIF_Target.])),"")</f>
        <v/>
      </c>
      <c r="K1103" s="117" t="str">
        <f>IF(Tab.o1[[#This Row],[a1]]=1,IF(J$2=0,Tab.o1[[#This Row],[MOD]]-Tab.o1[[#This Row],[B]],IF(J$2=1,0,-Tab.o1[[#This Row],[MED]])+Tab.o1[[#This Row],[B]]),"")</f>
        <v/>
      </c>
      <c r="L1103" s="117" t="str">
        <f ca="1">IF(Tab.o1[[#This Row],[DIF_Target]]=0,IF(L$2=0,Tab.o1[[#This Row],[DIF_Target]],AVERAGE(OFFSET(Tab.o1[[#This Row],[DIF_Target]],1,0,L$3,1)))/3,Tab.o1[[#This Row],[DIF_Target]])</f>
        <v/>
      </c>
      <c r="M1103" s="118" t="str">
        <f>IF(Tab.o1[[#This Row],[a1]]=1,NORMSDIST(Tab.o1[[#This Row],[Za]]),"")</f>
        <v/>
      </c>
      <c r="N1103" s="119" t="str">
        <f>IF(Tab.o1[[#This Row],[a1]]=1,((Tab.o1[[#This Row],[MedMod]]-AVERAGE(Tab.o1[MedMod]))/_xlfn.STDEV.P(Tab.o1[MedMod])*H$1205)+G$1205,"")</f>
        <v/>
      </c>
      <c r="O1103" s="141" t="str">
        <f>IF(Tab.o1[[#This Row],[a1]]=1,Tab.o1[[#This Row],[Zb]]*_xlfn.STDEV.P(Tab.o1[MedMod])+AVERAGE(Tab.o1[MedMod]),"")</f>
        <v/>
      </c>
      <c r="P1103" s="117" t="str">
        <f ca="1">IF(Tab.o1[[#This Row],[B]]=0,AVERAGE(OFFSET(Tab.o1[[#This Row],[B]],1,0,L$3,1)),Tab.o1[[#This Row],[B]])</f>
        <v/>
      </c>
      <c r="Q1103" s="121" t="str">
        <f>IF(Tab.o1[[#This Row],[a1]]=1,NORMSDIST(Tab.o1[[#This Row],[Zb]]),"")</f>
        <v/>
      </c>
      <c r="R1103" s="122" t="str">
        <f>IF(Tab.o1[[#This Row],[a1]]=1,((Tab.o1[[#This Row],[MedMod]]-AVERAGE(Tab.o1[MedMod]))/_xlfn.STDEV.P(Tab.o1[MedMod])*H$1203)+G$1203,"")</f>
        <v/>
      </c>
      <c r="S1103" s="122" t="str">
        <f>IF(Tab.o1[[#This Row],[a1]]=1,((Tab.o1[[#This Row],[MedMod]]-AVERAGE(Tab.o1[MedMod]))/_xlfn.STDEV.P(Tab.o1[MedMod])*H$1204)+G$1204,"")</f>
        <v/>
      </c>
      <c r="T1103" s="123" t="str">
        <f>IF(Tab.o1[[#This Row],[a1]]=1,Tab.o1[[#This Row],[Z-]]*_xlfn.STDEV.P(Tab.o1[B])+AVERAGE(Tab.o1[B]),"")</f>
        <v/>
      </c>
      <c r="U1103" s="123" t="str">
        <f>IF(Tab.o1[[#This Row],[a1]]=1,Tab.o1[[#This Row],[z+]]*_xlfn.STDEV.P(Tab.o1[B])+AVERAGE(Tab.o1[B]),"")</f>
        <v/>
      </c>
      <c r="V1103" s="124" t="str">
        <f>IF(Tab.o1[[#This Row],[a1]]=1,ABS((ABS(Tab.o1[[#This Row],[Red]]-Tab.o1[[#This Row],[Blue]]))),"")</f>
        <v/>
      </c>
      <c r="W1103" s="125" t="str">
        <f>IF(Tab.o1[[#This Row],[a1]]=1,IF(W$3=0,1,Tab.o1[[#This Row],[Amp.]]*1/_xlfn.MINIFS(Tab.o1[Amp.],Tab.o1[Amp.],"&lt;&gt;0")),"")</f>
        <v/>
      </c>
      <c r="X1103" s="126" t="str">
        <f>IF(Tab.o1[[#This Row],[a1]]=1,IF(ISNUMBER(Tab.o1[[#This Row],[i.]]),NORMDIST(Tab.o1[[#This Row],[Za]],0,1,FALSE)*Tab.o1[[#This Row],[i.]],AP$3),"")</f>
        <v/>
      </c>
      <c r="Y1103" s="126" t="str">
        <f>IF(Tab.o1[[#This Row],[a1]]=1,0.01+0.94*Tab.o1[[#This Row],[PDF]]/MAX(Tab.o1[PDF]),"")</f>
        <v/>
      </c>
      <c r="Z1103" s="126" t="str">
        <f>IF(Tab.o1[[#This Row],[a1]]=1,0.01+0.94*Tab.o1[[#This Row],[W1_PDF]]/MAX(Tab.o1[W1_PDF]),"")</f>
        <v/>
      </c>
      <c r="AA1103" s="118" t="str">
        <f>IF(Tab.o1[[#This Row],[a1]]=1,ABS([1]!T.in.A[[#This Row],[oo6]]),"")</f>
        <v/>
      </c>
      <c r="AB1103" s="127" t="str">
        <f>IF(Tab.o1[[#This Row],[a1]]=1,IF(AE$3=0,"",IF(AB$3=0,ABS([1]!T.in.A[[#This Row],[oo9]]),ABS(Tab.o1[[#This Row],[DIF_Target.]]*Tab.o1[[#This Row],[W1_PDF]]))),"")</f>
        <v/>
      </c>
      <c r="AC1103" s="127" t="str">
        <f>IF(G$1=1,"",IF(Tab.o1[[#This Row],[a1]]=1,Tab.o1[[#This Row],[Wr]]^2,""))</f>
        <v/>
      </c>
      <c r="AD1103" s="118" t="str">
        <f>IF(Tab.o1[[#This Row],[a1]]=1,IF(AE$3=0,"",Tab.o1[[#This Row],[Wr2]]/SUM(Tab.o1[Wr2])),"")</f>
        <v/>
      </c>
      <c r="AE1103" s="128" t="str">
        <f>IF(Tab.o1[[#This Row],[a1]]=1,[1]!T.in.A[[#This Row],[oo10]],"")</f>
        <v/>
      </c>
      <c r="AF1103" s="118" t="str">
        <f>IF(Tab.o1[[#This Row],[a1]]=1,ABS(Tab.o1[[#This Row],[DIF_Target.]]*Tab.o1[[#This Row],[PDF2]]*Tab.o1[[#This Row],[IN]]),"")</f>
        <v/>
      </c>
      <c r="AG1103" s="129" t="str">
        <f>IF(Tab.o1[[#This Row],[a1]]=1,Tab.o1[[#This Row],[rW]]^2,"")</f>
        <v/>
      </c>
      <c r="AH1103" s="130" t="str">
        <f>IF(Tab.o1[[#This Row],[a1]]=1,IF(AH$3=0,Tab.o1[[#This Row],[rW2]],0.01+0.94*Tab.o1[[#This Row],[rW2]]/SUM(Tab.o1[rW2])),"")</f>
        <v/>
      </c>
      <c r="AI1103" s="128" t="str">
        <f>IF(Tab.o1[[#This Row],[a1]]=1,1/Tab.o1[[#This Row],[PDF]],"")</f>
        <v/>
      </c>
      <c r="AJ1103" s="131" t="str">
        <f>IF(Tab.o1[[#This Row],[a1]]=1,[1]!T_AA[[#This Row],[IN'']]*[1]!T_AA[[#This Row],[Qde'']],"")</f>
        <v/>
      </c>
      <c r="AK1103" s="132" t="str">
        <f>IF(Tab.o1[[#This Row],[a1]]=1,IF(AK$1=1,Tab.o1[[#This Row],[MED]]+Tab.o1[[#This Row],[MOD]]-Tab.o1[[#This Row],[MED]],""),"")</f>
        <v/>
      </c>
      <c r="AL1103" s="133" t="str">
        <f>IF(Tab.o1[[#This Row],[a1]]=1,[1]!T.in.A[[#This Row],[oo16]],"")</f>
        <v/>
      </c>
      <c r="AM1103" s="133" t="str">
        <f>IF(Tab.o1[[#This Row],[a1]]=1,IF(AM$3=1,[1]!T.in.A[[#This Row],[Σo16]],""),"")</f>
        <v/>
      </c>
      <c r="AN1103" s="126" t="str">
        <f>IF(Tab.o1[[#This Row],[a1]]=1,[1]!T.in.A[[#This Row],[Σp5]],"")</f>
        <v/>
      </c>
      <c r="AO1103" s="126" t="str">
        <f>IF(Tab.o1[[#This Row],[a1]]=1,IF(AO$3=1,[1]!T.in.A[[#This Row],[Σp5]],""),"")</f>
        <v/>
      </c>
      <c r="AP1103" s="110" t="str">
        <f>IF(Tab.o1[[#This Row],[a1]]=1,IF(ISNUMBER(Tab.o1[[#This Row],[i.]]),NORMDIST(Tab.o1[[#This Row],[Za]],0,1,FALSE)*Tab.o1[[#This Row],[i.]],0),"")</f>
        <v/>
      </c>
      <c r="AQ1103" s="125" t="str">
        <f>IF(Tab.o1[[#This Row],[a1]]=1,ABS(Tab.o1[[#This Row],[MOD]]-AVERAGE(Tab.o1[MOD])),"")</f>
        <v/>
      </c>
      <c r="AR1103" s="134" t="str">
        <f>IF(Tab.o1[[#This Row],[a1]]=1,Tab.o1[[#This Row],[OBS]]/SUM(Tab.o1[OBS]),"")</f>
        <v/>
      </c>
      <c r="AS1103" s="135" t="str">
        <f>IF(ISNUMBER(Tab.o1[[#This Row],[a1]]),ROW()-4,"")</f>
        <v/>
      </c>
      <c r="AT1103" s="136" t="str">
        <f>Tab.o1[[#This Row],[MOD]]</f>
        <v/>
      </c>
      <c r="AU1103" s="137" t="str">
        <f t="shared" si="69"/>
        <v/>
      </c>
      <c r="AV1103" s="138" t="str">
        <f t="shared" si="70"/>
        <v/>
      </c>
      <c r="AW1103" s="138" t="str">
        <f t="shared" si="71"/>
        <v/>
      </c>
      <c r="AX1103" s="139" t="str">
        <f>[1]!T.in.A[[#This Row],[ID_T_manu]]</f>
        <v/>
      </c>
      <c r="AY1103" s="140" t="str">
        <f>IF(ISNUMBER(Tab.o1[[#This Row],[a1]]),IF(AND(Tab.o1[[#This Row],[a1]]=1,Tab.o1[[#This Row],[b1]]&lt;=AY$4),#REF!,AY1102),"")</f>
        <v/>
      </c>
      <c r="AZ1103" s="25"/>
      <c r="BA1103" s="25"/>
      <c r="BB1103" s="25"/>
      <c r="BC1103" s="25"/>
      <c r="BD1103" s="25"/>
      <c r="BE1103" s="25"/>
      <c r="BF1103" s="25"/>
      <c r="BG1103" s="25"/>
      <c r="BH1103" s="25"/>
      <c r="BI1103" s="25"/>
      <c r="BJ1103" s="25"/>
      <c r="BK1103" s="25"/>
      <c r="BL1103" s="25"/>
      <c r="BM1103" s="25"/>
      <c r="BN1103" s="26"/>
      <c r="BO1103" s="26"/>
      <c r="BP1103" s="26"/>
      <c r="BQ1103" s="26"/>
      <c r="BR1103" s="26"/>
      <c r="BS1103" s="26"/>
      <c r="BT1103" s="26"/>
      <c r="BU1103" s="26"/>
      <c r="BV1103" s="26"/>
      <c r="BW1103" s="26"/>
      <c r="BX1103" s="26"/>
      <c r="BY1103" s="26"/>
      <c r="BZ1103" s="26"/>
      <c r="CA1103" s="26"/>
    </row>
    <row r="1104" spans="1:79" ht="15.75" hidden="1">
      <c r="A1104" s="109">
        <v>5.9999999999999993E-6</v>
      </c>
      <c r="B1104" s="110">
        <f t="shared" si="68"/>
        <v>1104</v>
      </c>
      <c r="C1104" s="111" t="str">
        <f>IF(C$1=[1]!T.in.A[[#This Row],[oo2]],1,"")</f>
        <v/>
      </c>
      <c r="D1104" s="112" t="str">
        <f>IF(Tab.o1[[#This Row],[a1]]=1,IF(SUM(C1104:C1105)=0,0,IF(SUM(C1103:C1104)=1,1,IF(SUM(C1103:C1105)&gt;1,D1103+1,0))),"")</f>
        <v/>
      </c>
      <c r="E1104" s="113" t="str">
        <f>IF(Tab.o1[[#This Row],[a1]]=1,[1]!T.in.A[[#This Row],[oo1]],"")</f>
        <v/>
      </c>
      <c r="F1104" s="113" t="str">
        <f>IF(Tab.o1[[#This Row],[a1]]=1,[1]!T.in.A[[#This Row],[pp1]],"")</f>
        <v/>
      </c>
      <c r="G1104" s="114" t="str">
        <f>IF(Tab.o1[[#This Row],[a1]]=1,G$2+IF(G$1=1,0,Tab.o1[[#This Row],[.x1]])+[1]!T.in.A[[#This Row],[oo3]],"")</f>
        <v/>
      </c>
      <c r="H1104" s="115" t="str">
        <f>IF(Tab.o1[[#This Row],[a1]]=1,IF(H$2=0,0,IF(G$1=1,0,Tab.o1[[#This Row],[.x1]])+[1]!T.in.A[[#This Row],[oo4]]),"")</f>
        <v/>
      </c>
      <c r="I1104" s="116" t="str">
        <f>IF(Tab.o1[[#This Row],[a1]]=1,IF(J$2=0,Tab.o1[[#This Row],[MED]],Tab.o1[[#This Row],[MOD]]),"")</f>
        <v/>
      </c>
      <c r="J1104" s="116" t="str">
        <f>IF(Tab.o1[[#This Row],[a1]]=1,((Tab.o1[[#This Row],[DIF_Target.]]-AVERAGE(Tab.o1[DIF_Target.]))/_xlfn.STDEV.P(Tab.o1[DIF_Target.])),"")</f>
        <v/>
      </c>
      <c r="K1104" s="117" t="str">
        <f>IF(Tab.o1[[#This Row],[a1]]=1,IF(J$2=0,Tab.o1[[#This Row],[MOD]]-Tab.o1[[#This Row],[B]],IF(J$2=1,0,-Tab.o1[[#This Row],[MED]])+Tab.o1[[#This Row],[B]]),"")</f>
        <v/>
      </c>
      <c r="L1104" s="117" t="str">
        <f ca="1">IF(Tab.o1[[#This Row],[DIF_Target]]=0,IF(L$2=0,Tab.o1[[#This Row],[DIF_Target]],AVERAGE(OFFSET(Tab.o1[[#This Row],[DIF_Target]],1,0,L$3,1)))/3,Tab.o1[[#This Row],[DIF_Target]])</f>
        <v/>
      </c>
      <c r="M1104" s="118" t="str">
        <f>IF(Tab.o1[[#This Row],[a1]]=1,NORMSDIST(Tab.o1[[#This Row],[Za]]),"")</f>
        <v/>
      </c>
      <c r="N1104" s="119" t="str">
        <f>IF(Tab.o1[[#This Row],[a1]]=1,((Tab.o1[[#This Row],[MedMod]]-AVERAGE(Tab.o1[MedMod]))/_xlfn.STDEV.P(Tab.o1[MedMod])*H$1205)+G$1205,"")</f>
        <v/>
      </c>
      <c r="O1104" s="141" t="str">
        <f>IF(Tab.o1[[#This Row],[a1]]=1,Tab.o1[[#This Row],[Zb]]*_xlfn.STDEV.P(Tab.o1[MedMod])+AVERAGE(Tab.o1[MedMod]),"")</f>
        <v/>
      </c>
      <c r="P1104" s="117" t="str">
        <f ca="1">IF(Tab.o1[[#This Row],[B]]=0,AVERAGE(OFFSET(Tab.o1[[#This Row],[B]],1,0,L$3,1)),Tab.o1[[#This Row],[B]])</f>
        <v/>
      </c>
      <c r="Q1104" s="121" t="str">
        <f>IF(Tab.o1[[#This Row],[a1]]=1,NORMSDIST(Tab.o1[[#This Row],[Zb]]),"")</f>
        <v/>
      </c>
      <c r="R1104" s="122" t="str">
        <f>IF(Tab.o1[[#This Row],[a1]]=1,((Tab.o1[[#This Row],[MedMod]]-AVERAGE(Tab.o1[MedMod]))/_xlfn.STDEV.P(Tab.o1[MedMod])*H$1203)+G$1203,"")</f>
        <v/>
      </c>
      <c r="S1104" s="122" t="str">
        <f>IF(Tab.o1[[#This Row],[a1]]=1,((Tab.o1[[#This Row],[MedMod]]-AVERAGE(Tab.o1[MedMod]))/_xlfn.STDEV.P(Tab.o1[MedMod])*H$1204)+G$1204,"")</f>
        <v/>
      </c>
      <c r="T1104" s="123" t="str">
        <f>IF(Tab.o1[[#This Row],[a1]]=1,Tab.o1[[#This Row],[Z-]]*_xlfn.STDEV.P(Tab.o1[B])+AVERAGE(Tab.o1[B]),"")</f>
        <v/>
      </c>
      <c r="U1104" s="123" t="str">
        <f>IF(Tab.o1[[#This Row],[a1]]=1,Tab.o1[[#This Row],[z+]]*_xlfn.STDEV.P(Tab.o1[B])+AVERAGE(Tab.o1[B]),"")</f>
        <v/>
      </c>
      <c r="V1104" s="124" t="str">
        <f>IF(Tab.o1[[#This Row],[a1]]=1,ABS((ABS(Tab.o1[[#This Row],[Red]]-Tab.o1[[#This Row],[Blue]]))),"")</f>
        <v/>
      </c>
      <c r="W1104" s="125" t="str">
        <f>IF(Tab.o1[[#This Row],[a1]]=1,IF(W$3=0,1,Tab.o1[[#This Row],[Amp.]]*1/_xlfn.MINIFS(Tab.o1[Amp.],Tab.o1[Amp.],"&lt;&gt;0")),"")</f>
        <v/>
      </c>
      <c r="X1104" s="126" t="str">
        <f>IF(Tab.o1[[#This Row],[a1]]=1,IF(ISNUMBER(Tab.o1[[#This Row],[i.]]),NORMDIST(Tab.o1[[#This Row],[Za]],0,1,FALSE)*Tab.o1[[#This Row],[i.]],AP$3),"")</f>
        <v/>
      </c>
      <c r="Y1104" s="126" t="str">
        <f>IF(Tab.o1[[#This Row],[a1]]=1,0.01+0.94*Tab.o1[[#This Row],[PDF]]/MAX(Tab.o1[PDF]),"")</f>
        <v/>
      </c>
      <c r="Z1104" s="126" t="str">
        <f>IF(Tab.o1[[#This Row],[a1]]=1,0.01+0.94*Tab.o1[[#This Row],[W1_PDF]]/MAX(Tab.o1[W1_PDF]),"")</f>
        <v/>
      </c>
      <c r="AA1104" s="118" t="str">
        <f>IF(Tab.o1[[#This Row],[a1]]=1,ABS([1]!T.in.A[[#This Row],[oo6]]),"")</f>
        <v/>
      </c>
      <c r="AB1104" s="127" t="str">
        <f>IF(Tab.o1[[#This Row],[a1]]=1,IF(AE$3=0,"",IF(AB$3=0,ABS([1]!T.in.A[[#This Row],[oo9]]),ABS(Tab.o1[[#This Row],[DIF_Target.]]*Tab.o1[[#This Row],[W1_PDF]]))),"")</f>
        <v/>
      </c>
      <c r="AC1104" s="127" t="str">
        <f>IF(G$1=1,"",IF(Tab.o1[[#This Row],[a1]]=1,Tab.o1[[#This Row],[Wr]]^2,""))</f>
        <v/>
      </c>
      <c r="AD1104" s="118" t="str">
        <f>IF(Tab.o1[[#This Row],[a1]]=1,IF(AE$3=0,"",Tab.o1[[#This Row],[Wr2]]/SUM(Tab.o1[Wr2])),"")</f>
        <v/>
      </c>
      <c r="AE1104" s="128" t="str">
        <f>IF(Tab.o1[[#This Row],[a1]]=1,[1]!T.in.A[[#This Row],[oo10]],"")</f>
        <v/>
      </c>
      <c r="AF1104" s="118" t="str">
        <f>IF(Tab.o1[[#This Row],[a1]]=1,ABS(Tab.o1[[#This Row],[DIF_Target.]]*Tab.o1[[#This Row],[PDF2]]*Tab.o1[[#This Row],[IN]]),"")</f>
        <v/>
      </c>
      <c r="AG1104" s="129" t="str">
        <f>IF(Tab.o1[[#This Row],[a1]]=1,Tab.o1[[#This Row],[rW]]^2,"")</f>
        <v/>
      </c>
      <c r="AH1104" s="130" t="str">
        <f>IF(Tab.o1[[#This Row],[a1]]=1,IF(AH$3=0,Tab.o1[[#This Row],[rW2]],0.01+0.94*Tab.o1[[#This Row],[rW2]]/SUM(Tab.o1[rW2])),"")</f>
        <v/>
      </c>
      <c r="AI1104" s="128" t="str">
        <f>IF(Tab.o1[[#This Row],[a1]]=1,1/Tab.o1[[#This Row],[PDF]],"")</f>
        <v/>
      </c>
      <c r="AJ1104" s="131" t="str">
        <f>IF(Tab.o1[[#This Row],[a1]]=1,[1]!T_AA[[#This Row],[IN'']]*[1]!T_AA[[#This Row],[Qde'']],"")</f>
        <v/>
      </c>
      <c r="AK1104" s="132" t="str">
        <f>IF(Tab.o1[[#This Row],[a1]]=1,IF(AK$1=1,Tab.o1[[#This Row],[MED]]+Tab.o1[[#This Row],[MOD]]-Tab.o1[[#This Row],[MED]],""),"")</f>
        <v/>
      </c>
      <c r="AL1104" s="133" t="str">
        <f>IF(Tab.o1[[#This Row],[a1]]=1,[1]!T.in.A[[#This Row],[oo16]],"")</f>
        <v/>
      </c>
      <c r="AM1104" s="133" t="str">
        <f>IF(Tab.o1[[#This Row],[a1]]=1,IF(AM$3=1,[1]!T.in.A[[#This Row],[Σo16]],""),"")</f>
        <v/>
      </c>
      <c r="AN1104" s="126" t="str">
        <f>IF(Tab.o1[[#This Row],[a1]]=1,[1]!T.in.A[[#This Row],[Σp5]],"")</f>
        <v/>
      </c>
      <c r="AO1104" s="126" t="str">
        <f>IF(Tab.o1[[#This Row],[a1]]=1,IF(AO$3=1,[1]!T.in.A[[#This Row],[Σp5]],""),"")</f>
        <v/>
      </c>
      <c r="AP1104" s="110" t="str">
        <f>IF(Tab.o1[[#This Row],[a1]]=1,IF(ISNUMBER(Tab.o1[[#This Row],[i.]]),NORMDIST(Tab.o1[[#This Row],[Za]],0,1,FALSE)*Tab.o1[[#This Row],[i.]],0),"")</f>
        <v/>
      </c>
      <c r="AQ1104" s="125" t="str">
        <f>IF(Tab.o1[[#This Row],[a1]]=1,ABS(Tab.o1[[#This Row],[MOD]]-AVERAGE(Tab.o1[MOD])),"")</f>
        <v/>
      </c>
      <c r="AR1104" s="134" t="str">
        <f>IF(Tab.o1[[#This Row],[a1]]=1,Tab.o1[[#This Row],[OBS]]/SUM(Tab.o1[OBS]),"")</f>
        <v/>
      </c>
      <c r="AS1104" s="135" t="str">
        <f>IF(ISNUMBER(Tab.o1[[#This Row],[a1]]),ROW()-4,"")</f>
        <v/>
      </c>
      <c r="AT1104" s="136" t="str">
        <f>Tab.o1[[#This Row],[MOD]]</f>
        <v/>
      </c>
      <c r="AU1104" s="137" t="str">
        <f t="shared" si="69"/>
        <v/>
      </c>
      <c r="AV1104" s="138" t="str">
        <f t="shared" si="70"/>
        <v/>
      </c>
      <c r="AW1104" s="138" t="str">
        <f t="shared" si="71"/>
        <v/>
      </c>
      <c r="AX1104" s="139" t="str">
        <f>[1]!T.in.A[[#This Row],[ID_T_manu]]</f>
        <v/>
      </c>
      <c r="AY1104" s="140" t="str">
        <f>IF(ISNUMBER(Tab.o1[[#This Row],[a1]]),IF(AND(Tab.o1[[#This Row],[a1]]=1,Tab.o1[[#This Row],[b1]]&lt;=AY$4),#REF!,AY1103),"")</f>
        <v/>
      </c>
      <c r="AZ1104" s="25"/>
      <c r="BA1104" s="25"/>
      <c r="BB1104" s="25"/>
      <c r="BC1104" s="25"/>
      <c r="BD1104" s="25"/>
      <c r="BE1104" s="25"/>
      <c r="BF1104" s="25"/>
      <c r="BG1104" s="25"/>
      <c r="BH1104" s="25"/>
      <c r="BI1104" s="25"/>
      <c r="BJ1104" s="25"/>
      <c r="BK1104" s="25"/>
      <c r="BL1104" s="25"/>
      <c r="BM1104" s="25"/>
      <c r="BN1104" s="26"/>
      <c r="BO1104" s="26"/>
      <c r="BP1104" s="26"/>
      <c r="BQ1104" s="26"/>
      <c r="BR1104" s="26"/>
      <c r="BS1104" s="26"/>
      <c r="BT1104" s="26"/>
      <c r="BU1104" s="26"/>
      <c r="BV1104" s="26"/>
      <c r="BW1104" s="26"/>
      <c r="BX1104" s="26"/>
      <c r="BY1104" s="26"/>
      <c r="BZ1104" s="26"/>
      <c r="CA1104" s="26"/>
    </row>
    <row r="1105" spans="1:79" ht="15.75" hidden="1">
      <c r="A1105" s="109">
        <v>-8.0000000000000013E-6</v>
      </c>
      <c r="B1105" s="110">
        <f t="shared" si="68"/>
        <v>1105</v>
      </c>
      <c r="C1105" s="111" t="str">
        <f>IF(C$1=[1]!T.in.A[[#This Row],[oo2]],1,"")</f>
        <v/>
      </c>
      <c r="D1105" s="112" t="str">
        <f>IF(Tab.o1[[#This Row],[a1]]=1,IF(SUM(C1105:C1106)=0,0,IF(SUM(C1104:C1105)=1,1,IF(SUM(C1104:C1106)&gt;1,D1104+1,0))),"")</f>
        <v/>
      </c>
      <c r="E1105" s="113" t="str">
        <f>IF(Tab.o1[[#This Row],[a1]]=1,[1]!T.in.A[[#This Row],[oo1]],"")</f>
        <v/>
      </c>
      <c r="F1105" s="113" t="str">
        <f>IF(Tab.o1[[#This Row],[a1]]=1,[1]!T.in.A[[#This Row],[pp1]],"")</f>
        <v/>
      </c>
      <c r="G1105" s="114" t="str">
        <f>IF(Tab.o1[[#This Row],[a1]]=1,G$2+IF(G$1=1,0,Tab.o1[[#This Row],[.x1]])+[1]!T.in.A[[#This Row],[oo3]],"")</f>
        <v/>
      </c>
      <c r="H1105" s="115" t="str">
        <f>IF(Tab.o1[[#This Row],[a1]]=1,IF(H$2=0,0,IF(G$1=1,0,Tab.o1[[#This Row],[.x1]])+[1]!T.in.A[[#This Row],[oo4]]),"")</f>
        <v/>
      </c>
      <c r="I1105" s="116" t="str">
        <f>IF(Tab.o1[[#This Row],[a1]]=1,IF(J$2=0,Tab.o1[[#This Row],[MED]],Tab.o1[[#This Row],[MOD]]),"")</f>
        <v/>
      </c>
      <c r="J1105" s="116" t="str">
        <f>IF(Tab.o1[[#This Row],[a1]]=1,((Tab.o1[[#This Row],[DIF_Target.]]-AVERAGE(Tab.o1[DIF_Target.]))/_xlfn.STDEV.P(Tab.o1[DIF_Target.])),"")</f>
        <v/>
      </c>
      <c r="K1105" s="117" t="str">
        <f>IF(Tab.o1[[#This Row],[a1]]=1,IF(J$2=0,Tab.o1[[#This Row],[MOD]]-Tab.o1[[#This Row],[B]],IF(J$2=1,0,-Tab.o1[[#This Row],[MED]])+Tab.o1[[#This Row],[B]]),"")</f>
        <v/>
      </c>
      <c r="L1105" s="117" t="str">
        <f ca="1">IF(Tab.o1[[#This Row],[DIF_Target]]=0,IF(L$2=0,Tab.o1[[#This Row],[DIF_Target]],AVERAGE(OFFSET(Tab.o1[[#This Row],[DIF_Target]],1,0,L$3,1)))/3,Tab.o1[[#This Row],[DIF_Target]])</f>
        <v/>
      </c>
      <c r="M1105" s="118" t="str">
        <f>IF(Tab.o1[[#This Row],[a1]]=1,NORMSDIST(Tab.o1[[#This Row],[Za]]),"")</f>
        <v/>
      </c>
      <c r="N1105" s="119" t="str">
        <f>IF(Tab.o1[[#This Row],[a1]]=1,((Tab.o1[[#This Row],[MedMod]]-AVERAGE(Tab.o1[MedMod]))/_xlfn.STDEV.P(Tab.o1[MedMod])*H$1205)+G$1205,"")</f>
        <v/>
      </c>
      <c r="O1105" s="141" t="str">
        <f>IF(Tab.o1[[#This Row],[a1]]=1,Tab.o1[[#This Row],[Zb]]*_xlfn.STDEV.P(Tab.o1[MedMod])+AVERAGE(Tab.o1[MedMod]),"")</f>
        <v/>
      </c>
      <c r="P1105" s="117" t="str">
        <f ca="1">IF(Tab.o1[[#This Row],[B]]=0,AVERAGE(OFFSET(Tab.o1[[#This Row],[B]],1,0,L$3,1)),Tab.o1[[#This Row],[B]])</f>
        <v/>
      </c>
      <c r="Q1105" s="121" t="str">
        <f>IF(Tab.o1[[#This Row],[a1]]=1,NORMSDIST(Tab.o1[[#This Row],[Zb]]),"")</f>
        <v/>
      </c>
      <c r="R1105" s="122" t="str">
        <f>IF(Tab.o1[[#This Row],[a1]]=1,((Tab.o1[[#This Row],[MedMod]]-AVERAGE(Tab.o1[MedMod]))/_xlfn.STDEV.P(Tab.o1[MedMod])*H$1203)+G$1203,"")</f>
        <v/>
      </c>
      <c r="S1105" s="122" t="str">
        <f>IF(Tab.o1[[#This Row],[a1]]=1,((Tab.o1[[#This Row],[MedMod]]-AVERAGE(Tab.o1[MedMod]))/_xlfn.STDEV.P(Tab.o1[MedMod])*H$1204)+G$1204,"")</f>
        <v/>
      </c>
      <c r="T1105" s="123" t="str">
        <f>IF(Tab.o1[[#This Row],[a1]]=1,Tab.o1[[#This Row],[Z-]]*_xlfn.STDEV.P(Tab.o1[B])+AVERAGE(Tab.o1[B]),"")</f>
        <v/>
      </c>
      <c r="U1105" s="123" t="str">
        <f>IF(Tab.o1[[#This Row],[a1]]=1,Tab.o1[[#This Row],[z+]]*_xlfn.STDEV.P(Tab.o1[B])+AVERAGE(Tab.o1[B]),"")</f>
        <v/>
      </c>
      <c r="V1105" s="124" t="str">
        <f>IF(Tab.o1[[#This Row],[a1]]=1,ABS((ABS(Tab.o1[[#This Row],[Red]]-Tab.o1[[#This Row],[Blue]]))),"")</f>
        <v/>
      </c>
      <c r="W1105" s="125" t="str">
        <f>IF(Tab.o1[[#This Row],[a1]]=1,IF(W$3=0,1,Tab.o1[[#This Row],[Amp.]]*1/_xlfn.MINIFS(Tab.o1[Amp.],Tab.o1[Amp.],"&lt;&gt;0")),"")</f>
        <v/>
      </c>
      <c r="X1105" s="126" t="str">
        <f>IF(Tab.o1[[#This Row],[a1]]=1,IF(ISNUMBER(Tab.o1[[#This Row],[i.]]),NORMDIST(Tab.o1[[#This Row],[Za]],0,1,FALSE)*Tab.o1[[#This Row],[i.]],AP$3),"")</f>
        <v/>
      </c>
      <c r="Y1105" s="126" t="str">
        <f>IF(Tab.o1[[#This Row],[a1]]=1,0.01+0.94*Tab.o1[[#This Row],[PDF]]/MAX(Tab.o1[PDF]),"")</f>
        <v/>
      </c>
      <c r="Z1105" s="126" t="str">
        <f>IF(Tab.o1[[#This Row],[a1]]=1,0.01+0.94*Tab.o1[[#This Row],[W1_PDF]]/MAX(Tab.o1[W1_PDF]),"")</f>
        <v/>
      </c>
      <c r="AA1105" s="118" t="str">
        <f>IF(Tab.o1[[#This Row],[a1]]=1,ABS([1]!T.in.A[[#This Row],[oo6]]),"")</f>
        <v/>
      </c>
      <c r="AB1105" s="127" t="str">
        <f>IF(Tab.o1[[#This Row],[a1]]=1,IF(AE$3=0,"",IF(AB$3=0,ABS([1]!T.in.A[[#This Row],[oo9]]),ABS(Tab.o1[[#This Row],[DIF_Target.]]*Tab.o1[[#This Row],[W1_PDF]]))),"")</f>
        <v/>
      </c>
      <c r="AC1105" s="127" t="str">
        <f>IF(G$1=1,"",IF(Tab.o1[[#This Row],[a1]]=1,Tab.o1[[#This Row],[Wr]]^2,""))</f>
        <v/>
      </c>
      <c r="AD1105" s="118" t="str">
        <f>IF(Tab.o1[[#This Row],[a1]]=1,IF(AE$3=0,"",Tab.o1[[#This Row],[Wr2]]/SUM(Tab.o1[Wr2])),"")</f>
        <v/>
      </c>
      <c r="AE1105" s="128" t="str">
        <f>IF(Tab.o1[[#This Row],[a1]]=1,[1]!T.in.A[[#This Row],[oo10]],"")</f>
        <v/>
      </c>
      <c r="AF1105" s="118" t="str">
        <f>IF(Tab.o1[[#This Row],[a1]]=1,ABS(Tab.o1[[#This Row],[DIF_Target.]]*Tab.o1[[#This Row],[PDF2]]*Tab.o1[[#This Row],[IN]]),"")</f>
        <v/>
      </c>
      <c r="AG1105" s="129" t="str">
        <f>IF(Tab.o1[[#This Row],[a1]]=1,Tab.o1[[#This Row],[rW]]^2,"")</f>
        <v/>
      </c>
      <c r="AH1105" s="130" t="str">
        <f>IF(Tab.o1[[#This Row],[a1]]=1,IF(AH$3=0,Tab.o1[[#This Row],[rW2]],0.01+0.94*Tab.o1[[#This Row],[rW2]]/SUM(Tab.o1[rW2])),"")</f>
        <v/>
      </c>
      <c r="AI1105" s="128" t="str">
        <f>IF(Tab.o1[[#This Row],[a1]]=1,1/Tab.o1[[#This Row],[PDF]],"")</f>
        <v/>
      </c>
      <c r="AJ1105" s="131" t="str">
        <f>IF(Tab.o1[[#This Row],[a1]]=1,[1]!T_AA[[#This Row],[IN'']]*[1]!T_AA[[#This Row],[Qde'']],"")</f>
        <v/>
      </c>
      <c r="AK1105" s="132" t="str">
        <f>IF(Tab.o1[[#This Row],[a1]]=1,IF(AK$1=1,Tab.o1[[#This Row],[MED]]+Tab.o1[[#This Row],[MOD]]-Tab.o1[[#This Row],[MED]],""),"")</f>
        <v/>
      </c>
      <c r="AL1105" s="133" t="str">
        <f>IF(Tab.o1[[#This Row],[a1]]=1,[1]!T.in.A[[#This Row],[oo16]],"")</f>
        <v/>
      </c>
      <c r="AM1105" s="133" t="str">
        <f>IF(Tab.o1[[#This Row],[a1]]=1,IF(AM$3=1,[1]!T.in.A[[#This Row],[Σo16]],""),"")</f>
        <v/>
      </c>
      <c r="AN1105" s="126" t="str">
        <f>IF(Tab.o1[[#This Row],[a1]]=1,[1]!T.in.A[[#This Row],[Σp5]],"")</f>
        <v/>
      </c>
      <c r="AO1105" s="126" t="str">
        <f>IF(Tab.o1[[#This Row],[a1]]=1,IF(AO$3=1,[1]!T.in.A[[#This Row],[Σp5]],""),"")</f>
        <v/>
      </c>
      <c r="AP1105" s="110" t="str">
        <f>IF(Tab.o1[[#This Row],[a1]]=1,IF(ISNUMBER(Tab.o1[[#This Row],[i.]]),NORMDIST(Tab.o1[[#This Row],[Za]],0,1,FALSE)*Tab.o1[[#This Row],[i.]],0),"")</f>
        <v/>
      </c>
      <c r="AQ1105" s="125" t="str">
        <f>IF(Tab.o1[[#This Row],[a1]]=1,ABS(Tab.o1[[#This Row],[MOD]]-AVERAGE(Tab.o1[MOD])),"")</f>
        <v/>
      </c>
      <c r="AR1105" s="134" t="str">
        <f>IF(Tab.o1[[#This Row],[a1]]=1,Tab.o1[[#This Row],[OBS]]/SUM(Tab.o1[OBS]),"")</f>
        <v/>
      </c>
      <c r="AS1105" s="135" t="str">
        <f>IF(ISNUMBER(Tab.o1[[#This Row],[a1]]),ROW()-4,"")</f>
        <v/>
      </c>
      <c r="AT1105" s="136" t="str">
        <f>Tab.o1[[#This Row],[MOD]]</f>
        <v/>
      </c>
      <c r="AU1105" s="137" t="str">
        <f t="shared" si="69"/>
        <v/>
      </c>
      <c r="AV1105" s="138" t="str">
        <f t="shared" si="70"/>
        <v/>
      </c>
      <c r="AW1105" s="138" t="str">
        <f t="shared" si="71"/>
        <v/>
      </c>
      <c r="AX1105" s="139" t="str">
        <f>[1]!T.in.A[[#This Row],[ID_T_manu]]</f>
        <v/>
      </c>
      <c r="AY1105" s="140" t="str">
        <f>IF(ISNUMBER(Tab.o1[[#This Row],[a1]]),IF(AND(Tab.o1[[#This Row],[a1]]=1,Tab.o1[[#This Row],[b1]]&lt;=AY$4),#REF!,AY1104),"")</f>
        <v/>
      </c>
      <c r="AZ1105" s="25"/>
      <c r="BA1105" s="25"/>
      <c r="BB1105" s="25"/>
      <c r="BC1105" s="25"/>
      <c r="BD1105" s="25"/>
      <c r="BE1105" s="25"/>
      <c r="BF1105" s="25"/>
      <c r="BG1105" s="25"/>
      <c r="BH1105" s="25"/>
      <c r="BI1105" s="25"/>
      <c r="BJ1105" s="25"/>
      <c r="BK1105" s="25"/>
      <c r="BL1105" s="25"/>
      <c r="BM1105" s="25"/>
      <c r="BN1105" s="26"/>
      <c r="BO1105" s="26"/>
      <c r="BP1105" s="26"/>
      <c r="BQ1105" s="26"/>
      <c r="BR1105" s="26"/>
      <c r="BS1105" s="26"/>
      <c r="BT1105" s="26"/>
      <c r="BU1105" s="26"/>
      <c r="BV1105" s="26"/>
      <c r="BW1105" s="26"/>
      <c r="BX1105" s="26"/>
      <c r="BY1105" s="26"/>
      <c r="BZ1105" s="26"/>
      <c r="CA1105" s="26"/>
    </row>
    <row r="1106" spans="1:79" ht="15.75" hidden="1">
      <c r="A1106" s="109">
        <v>-5.9999999999999993E-6</v>
      </c>
      <c r="B1106" s="110">
        <f t="shared" si="68"/>
        <v>1106</v>
      </c>
      <c r="C1106" s="111" t="str">
        <f>IF(C$1=[1]!T.in.A[[#This Row],[oo2]],1,"")</f>
        <v/>
      </c>
      <c r="D1106" s="112" t="str">
        <f>IF(Tab.o1[[#This Row],[a1]]=1,IF(SUM(C1106:C1107)=0,0,IF(SUM(C1105:C1106)=1,1,IF(SUM(C1105:C1107)&gt;1,D1105+1,0))),"")</f>
        <v/>
      </c>
      <c r="E1106" s="113" t="str">
        <f>IF(Tab.o1[[#This Row],[a1]]=1,[1]!T.in.A[[#This Row],[oo1]],"")</f>
        <v/>
      </c>
      <c r="F1106" s="113" t="str">
        <f>IF(Tab.o1[[#This Row],[a1]]=1,[1]!T.in.A[[#This Row],[pp1]],"")</f>
        <v/>
      </c>
      <c r="G1106" s="114" t="str">
        <f>IF(Tab.o1[[#This Row],[a1]]=1,G$2+IF(G$1=1,0,Tab.o1[[#This Row],[.x1]])+[1]!T.in.A[[#This Row],[oo3]],"")</f>
        <v/>
      </c>
      <c r="H1106" s="115" t="str">
        <f>IF(Tab.o1[[#This Row],[a1]]=1,IF(H$2=0,0,IF(G$1=1,0,Tab.o1[[#This Row],[.x1]])+[1]!T.in.A[[#This Row],[oo4]]),"")</f>
        <v/>
      </c>
      <c r="I1106" s="116" t="str">
        <f>IF(Tab.o1[[#This Row],[a1]]=1,IF(J$2=0,Tab.o1[[#This Row],[MED]],Tab.o1[[#This Row],[MOD]]),"")</f>
        <v/>
      </c>
      <c r="J1106" s="116" t="str">
        <f>IF(Tab.o1[[#This Row],[a1]]=1,((Tab.o1[[#This Row],[DIF_Target.]]-AVERAGE(Tab.o1[DIF_Target.]))/_xlfn.STDEV.P(Tab.o1[DIF_Target.])),"")</f>
        <v/>
      </c>
      <c r="K1106" s="117" t="str">
        <f>IF(Tab.o1[[#This Row],[a1]]=1,IF(J$2=0,Tab.o1[[#This Row],[MOD]]-Tab.o1[[#This Row],[B]],IF(J$2=1,0,-Tab.o1[[#This Row],[MED]])+Tab.o1[[#This Row],[B]]),"")</f>
        <v/>
      </c>
      <c r="L1106" s="117" t="str">
        <f ca="1">IF(Tab.o1[[#This Row],[DIF_Target]]=0,IF(L$2=0,Tab.o1[[#This Row],[DIF_Target]],AVERAGE(OFFSET(Tab.o1[[#This Row],[DIF_Target]],1,0,L$3,1)))/3,Tab.o1[[#This Row],[DIF_Target]])</f>
        <v/>
      </c>
      <c r="M1106" s="118" t="str">
        <f>IF(Tab.o1[[#This Row],[a1]]=1,NORMSDIST(Tab.o1[[#This Row],[Za]]),"")</f>
        <v/>
      </c>
      <c r="N1106" s="119" t="str">
        <f>IF(Tab.o1[[#This Row],[a1]]=1,((Tab.o1[[#This Row],[MedMod]]-AVERAGE(Tab.o1[MedMod]))/_xlfn.STDEV.P(Tab.o1[MedMod])*H$1205)+G$1205,"")</f>
        <v/>
      </c>
      <c r="O1106" s="141" t="str">
        <f>IF(Tab.o1[[#This Row],[a1]]=1,Tab.o1[[#This Row],[Zb]]*_xlfn.STDEV.P(Tab.o1[MedMod])+AVERAGE(Tab.o1[MedMod]),"")</f>
        <v/>
      </c>
      <c r="P1106" s="117" t="str">
        <f ca="1">IF(Tab.o1[[#This Row],[B]]=0,AVERAGE(OFFSET(Tab.o1[[#This Row],[B]],1,0,L$3,1)),Tab.o1[[#This Row],[B]])</f>
        <v/>
      </c>
      <c r="Q1106" s="121" t="str">
        <f>IF(Tab.o1[[#This Row],[a1]]=1,NORMSDIST(Tab.o1[[#This Row],[Zb]]),"")</f>
        <v/>
      </c>
      <c r="R1106" s="122" t="str">
        <f>IF(Tab.o1[[#This Row],[a1]]=1,((Tab.o1[[#This Row],[MedMod]]-AVERAGE(Tab.o1[MedMod]))/_xlfn.STDEV.P(Tab.o1[MedMod])*H$1203)+G$1203,"")</f>
        <v/>
      </c>
      <c r="S1106" s="122" t="str">
        <f>IF(Tab.o1[[#This Row],[a1]]=1,((Tab.o1[[#This Row],[MedMod]]-AVERAGE(Tab.o1[MedMod]))/_xlfn.STDEV.P(Tab.o1[MedMod])*H$1204)+G$1204,"")</f>
        <v/>
      </c>
      <c r="T1106" s="123" t="str">
        <f>IF(Tab.o1[[#This Row],[a1]]=1,Tab.o1[[#This Row],[Z-]]*_xlfn.STDEV.P(Tab.o1[B])+AVERAGE(Tab.o1[B]),"")</f>
        <v/>
      </c>
      <c r="U1106" s="123" t="str">
        <f>IF(Tab.o1[[#This Row],[a1]]=1,Tab.o1[[#This Row],[z+]]*_xlfn.STDEV.P(Tab.o1[B])+AVERAGE(Tab.o1[B]),"")</f>
        <v/>
      </c>
      <c r="V1106" s="124" t="str">
        <f>IF(Tab.o1[[#This Row],[a1]]=1,ABS((ABS(Tab.o1[[#This Row],[Red]]-Tab.o1[[#This Row],[Blue]]))),"")</f>
        <v/>
      </c>
      <c r="W1106" s="125" t="str">
        <f>IF(Tab.o1[[#This Row],[a1]]=1,IF(W$3=0,1,Tab.o1[[#This Row],[Amp.]]*1/_xlfn.MINIFS(Tab.o1[Amp.],Tab.o1[Amp.],"&lt;&gt;0")),"")</f>
        <v/>
      </c>
      <c r="X1106" s="126" t="str">
        <f>IF(Tab.o1[[#This Row],[a1]]=1,IF(ISNUMBER(Tab.o1[[#This Row],[i.]]),NORMDIST(Tab.o1[[#This Row],[Za]],0,1,FALSE)*Tab.o1[[#This Row],[i.]],AP$3),"")</f>
        <v/>
      </c>
      <c r="Y1106" s="126" t="str">
        <f>IF(Tab.o1[[#This Row],[a1]]=1,0.01+0.94*Tab.o1[[#This Row],[PDF]]/MAX(Tab.o1[PDF]),"")</f>
        <v/>
      </c>
      <c r="Z1106" s="126" t="str">
        <f>IF(Tab.o1[[#This Row],[a1]]=1,0.01+0.94*Tab.o1[[#This Row],[W1_PDF]]/MAX(Tab.o1[W1_PDF]),"")</f>
        <v/>
      </c>
      <c r="AA1106" s="118" t="str">
        <f>IF(Tab.o1[[#This Row],[a1]]=1,ABS([1]!T.in.A[[#This Row],[oo6]]),"")</f>
        <v/>
      </c>
      <c r="AB1106" s="127" t="str">
        <f>IF(Tab.o1[[#This Row],[a1]]=1,IF(AE$3=0,"",IF(AB$3=0,ABS([1]!T.in.A[[#This Row],[oo9]]),ABS(Tab.o1[[#This Row],[DIF_Target.]]*Tab.o1[[#This Row],[W1_PDF]]))),"")</f>
        <v/>
      </c>
      <c r="AC1106" s="127" t="str">
        <f>IF(G$1=1,"",IF(Tab.o1[[#This Row],[a1]]=1,Tab.o1[[#This Row],[Wr]]^2,""))</f>
        <v/>
      </c>
      <c r="AD1106" s="118" t="str">
        <f>IF(Tab.o1[[#This Row],[a1]]=1,IF(AE$3=0,"",Tab.o1[[#This Row],[Wr2]]/SUM(Tab.o1[Wr2])),"")</f>
        <v/>
      </c>
      <c r="AE1106" s="128" t="str">
        <f>IF(Tab.o1[[#This Row],[a1]]=1,[1]!T.in.A[[#This Row],[oo10]],"")</f>
        <v/>
      </c>
      <c r="AF1106" s="118" t="str">
        <f>IF(Tab.o1[[#This Row],[a1]]=1,ABS(Tab.o1[[#This Row],[DIF_Target.]]*Tab.o1[[#This Row],[PDF2]]*Tab.o1[[#This Row],[IN]]),"")</f>
        <v/>
      </c>
      <c r="AG1106" s="129" t="str">
        <f>IF(Tab.o1[[#This Row],[a1]]=1,Tab.o1[[#This Row],[rW]]^2,"")</f>
        <v/>
      </c>
      <c r="AH1106" s="130" t="str">
        <f>IF(Tab.o1[[#This Row],[a1]]=1,IF(AH$3=0,Tab.o1[[#This Row],[rW2]],0.01+0.94*Tab.o1[[#This Row],[rW2]]/SUM(Tab.o1[rW2])),"")</f>
        <v/>
      </c>
      <c r="AI1106" s="128" t="str">
        <f>IF(Tab.o1[[#This Row],[a1]]=1,1/Tab.o1[[#This Row],[PDF]],"")</f>
        <v/>
      </c>
      <c r="AJ1106" s="131" t="str">
        <f>IF(Tab.o1[[#This Row],[a1]]=1,[1]!T_AA[[#This Row],[IN'']]*[1]!T_AA[[#This Row],[Qde'']],"")</f>
        <v/>
      </c>
      <c r="AK1106" s="132" t="str">
        <f>IF(Tab.o1[[#This Row],[a1]]=1,IF(AK$1=1,Tab.o1[[#This Row],[MED]]+Tab.o1[[#This Row],[MOD]]-Tab.o1[[#This Row],[MED]],""),"")</f>
        <v/>
      </c>
      <c r="AL1106" s="133" t="str">
        <f>IF(Tab.o1[[#This Row],[a1]]=1,[1]!T.in.A[[#This Row],[oo16]],"")</f>
        <v/>
      </c>
      <c r="AM1106" s="133" t="str">
        <f>IF(Tab.o1[[#This Row],[a1]]=1,IF(AM$3=1,[1]!T.in.A[[#This Row],[Σo16]],""),"")</f>
        <v/>
      </c>
      <c r="AN1106" s="126" t="str">
        <f>IF(Tab.o1[[#This Row],[a1]]=1,[1]!T.in.A[[#This Row],[Σp5]],"")</f>
        <v/>
      </c>
      <c r="AO1106" s="126" t="str">
        <f>IF(Tab.o1[[#This Row],[a1]]=1,IF(AO$3=1,[1]!T.in.A[[#This Row],[Σp5]],""),"")</f>
        <v/>
      </c>
      <c r="AP1106" s="110" t="str">
        <f>IF(Tab.o1[[#This Row],[a1]]=1,IF(ISNUMBER(Tab.o1[[#This Row],[i.]]),NORMDIST(Tab.o1[[#This Row],[Za]],0,1,FALSE)*Tab.o1[[#This Row],[i.]],0),"")</f>
        <v/>
      </c>
      <c r="AQ1106" s="125" t="str">
        <f>IF(Tab.o1[[#This Row],[a1]]=1,ABS(Tab.o1[[#This Row],[MOD]]-AVERAGE(Tab.o1[MOD])),"")</f>
        <v/>
      </c>
      <c r="AR1106" s="134" t="str">
        <f>IF(Tab.o1[[#This Row],[a1]]=1,Tab.o1[[#This Row],[OBS]]/SUM(Tab.o1[OBS]),"")</f>
        <v/>
      </c>
      <c r="AS1106" s="135" t="str">
        <f>IF(ISNUMBER(Tab.o1[[#This Row],[a1]]),ROW()-4,"")</f>
        <v/>
      </c>
      <c r="AT1106" s="136" t="str">
        <f>Tab.o1[[#This Row],[MOD]]</f>
        <v/>
      </c>
      <c r="AU1106" s="137" t="str">
        <f t="shared" si="69"/>
        <v/>
      </c>
      <c r="AV1106" s="138" t="str">
        <f t="shared" si="70"/>
        <v/>
      </c>
      <c r="AW1106" s="138" t="str">
        <f t="shared" si="71"/>
        <v/>
      </c>
      <c r="AX1106" s="139" t="str">
        <f>[1]!T.in.A[[#This Row],[ID_T_manu]]</f>
        <v/>
      </c>
      <c r="AY1106" s="140" t="str">
        <f>IF(ISNUMBER(Tab.o1[[#This Row],[a1]]),IF(AND(Tab.o1[[#This Row],[a1]]=1,Tab.o1[[#This Row],[b1]]&lt;=AY$4),#REF!,AY1105),"")</f>
        <v/>
      </c>
      <c r="AZ1106" s="25"/>
      <c r="BA1106" s="25"/>
      <c r="BB1106" s="25"/>
      <c r="BC1106" s="25"/>
      <c r="BD1106" s="25"/>
      <c r="BE1106" s="25"/>
      <c r="BF1106" s="25"/>
      <c r="BG1106" s="25"/>
      <c r="BH1106" s="25"/>
      <c r="BI1106" s="25"/>
      <c r="BJ1106" s="25"/>
      <c r="BK1106" s="25"/>
      <c r="BL1106" s="25"/>
      <c r="BM1106" s="25"/>
      <c r="BN1106" s="26"/>
      <c r="BO1106" s="26"/>
      <c r="BP1106" s="26"/>
      <c r="BQ1106" s="26"/>
      <c r="BR1106" s="26"/>
      <c r="BS1106" s="26"/>
      <c r="BT1106" s="26"/>
      <c r="BU1106" s="26"/>
      <c r="BV1106" s="26"/>
      <c r="BW1106" s="26"/>
      <c r="BX1106" s="26"/>
      <c r="BY1106" s="26"/>
      <c r="BZ1106" s="26"/>
      <c r="CA1106" s="26"/>
    </row>
    <row r="1107" spans="1:79" ht="15.75" hidden="1">
      <c r="A1107" s="109">
        <v>1.0000000000000001E-5</v>
      </c>
      <c r="B1107" s="110">
        <f t="shared" si="68"/>
        <v>1107</v>
      </c>
      <c r="C1107" s="111" t="str">
        <f>IF(C$1=[1]!T.in.A[[#This Row],[oo2]],1,"")</f>
        <v/>
      </c>
      <c r="D1107" s="112" t="str">
        <f>IF(Tab.o1[[#This Row],[a1]]=1,IF(SUM(C1107:C1108)=0,0,IF(SUM(C1106:C1107)=1,1,IF(SUM(C1106:C1108)&gt;1,D1106+1,0))),"")</f>
        <v/>
      </c>
      <c r="E1107" s="113" t="str">
        <f>IF(Tab.o1[[#This Row],[a1]]=1,[1]!T.in.A[[#This Row],[oo1]],"")</f>
        <v/>
      </c>
      <c r="F1107" s="113" t="str">
        <f>IF(Tab.o1[[#This Row],[a1]]=1,[1]!T.in.A[[#This Row],[pp1]],"")</f>
        <v/>
      </c>
      <c r="G1107" s="114" t="str">
        <f>IF(Tab.o1[[#This Row],[a1]]=1,G$2+IF(G$1=1,0,Tab.o1[[#This Row],[.x1]])+[1]!T.in.A[[#This Row],[oo3]],"")</f>
        <v/>
      </c>
      <c r="H1107" s="115" t="str">
        <f>IF(Tab.o1[[#This Row],[a1]]=1,IF(H$2=0,0,IF(G$1=1,0,Tab.o1[[#This Row],[.x1]])+[1]!T.in.A[[#This Row],[oo4]]),"")</f>
        <v/>
      </c>
      <c r="I1107" s="116" t="str">
        <f>IF(Tab.o1[[#This Row],[a1]]=1,IF(J$2=0,Tab.o1[[#This Row],[MED]],Tab.o1[[#This Row],[MOD]]),"")</f>
        <v/>
      </c>
      <c r="J1107" s="116" t="str">
        <f>IF(Tab.o1[[#This Row],[a1]]=1,((Tab.o1[[#This Row],[DIF_Target.]]-AVERAGE(Tab.o1[DIF_Target.]))/_xlfn.STDEV.P(Tab.o1[DIF_Target.])),"")</f>
        <v/>
      </c>
      <c r="K1107" s="117" t="str">
        <f>IF(Tab.o1[[#This Row],[a1]]=1,IF(J$2=0,Tab.o1[[#This Row],[MOD]]-Tab.o1[[#This Row],[B]],IF(J$2=1,0,-Tab.o1[[#This Row],[MED]])+Tab.o1[[#This Row],[B]]),"")</f>
        <v/>
      </c>
      <c r="L1107" s="117" t="str">
        <f ca="1">IF(Tab.o1[[#This Row],[DIF_Target]]=0,IF(L$2=0,Tab.o1[[#This Row],[DIF_Target]],AVERAGE(OFFSET(Tab.o1[[#This Row],[DIF_Target]],1,0,L$3,1)))/3,Tab.o1[[#This Row],[DIF_Target]])</f>
        <v/>
      </c>
      <c r="M1107" s="118" t="str">
        <f>IF(Tab.o1[[#This Row],[a1]]=1,NORMSDIST(Tab.o1[[#This Row],[Za]]),"")</f>
        <v/>
      </c>
      <c r="N1107" s="119" t="str">
        <f>IF(Tab.o1[[#This Row],[a1]]=1,((Tab.o1[[#This Row],[MedMod]]-AVERAGE(Tab.o1[MedMod]))/_xlfn.STDEV.P(Tab.o1[MedMod])*H$1205)+G$1205,"")</f>
        <v/>
      </c>
      <c r="O1107" s="141" t="str">
        <f>IF(Tab.o1[[#This Row],[a1]]=1,Tab.o1[[#This Row],[Zb]]*_xlfn.STDEV.P(Tab.o1[MedMod])+AVERAGE(Tab.o1[MedMod]),"")</f>
        <v/>
      </c>
      <c r="P1107" s="117" t="str">
        <f ca="1">IF(Tab.o1[[#This Row],[B]]=0,AVERAGE(OFFSET(Tab.o1[[#This Row],[B]],1,0,L$3,1)),Tab.o1[[#This Row],[B]])</f>
        <v/>
      </c>
      <c r="Q1107" s="121" t="str">
        <f>IF(Tab.o1[[#This Row],[a1]]=1,NORMSDIST(Tab.o1[[#This Row],[Zb]]),"")</f>
        <v/>
      </c>
      <c r="R1107" s="122" t="str">
        <f>IF(Tab.o1[[#This Row],[a1]]=1,((Tab.o1[[#This Row],[MedMod]]-AVERAGE(Tab.o1[MedMod]))/_xlfn.STDEV.P(Tab.o1[MedMod])*H$1203)+G$1203,"")</f>
        <v/>
      </c>
      <c r="S1107" s="122" t="str">
        <f>IF(Tab.o1[[#This Row],[a1]]=1,((Tab.o1[[#This Row],[MedMod]]-AVERAGE(Tab.o1[MedMod]))/_xlfn.STDEV.P(Tab.o1[MedMod])*H$1204)+G$1204,"")</f>
        <v/>
      </c>
      <c r="T1107" s="123" t="str">
        <f>IF(Tab.o1[[#This Row],[a1]]=1,Tab.o1[[#This Row],[Z-]]*_xlfn.STDEV.P(Tab.o1[B])+AVERAGE(Tab.o1[B]),"")</f>
        <v/>
      </c>
      <c r="U1107" s="123" t="str">
        <f>IF(Tab.o1[[#This Row],[a1]]=1,Tab.o1[[#This Row],[z+]]*_xlfn.STDEV.P(Tab.o1[B])+AVERAGE(Tab.o1[B]),"")</f>
        <v/>
      </c>
      <c r="V1107" s="124" t="str">
        <f>IF(Tab.o1[[#This Row],[a1]]=1,ABS((ABS(Tab.o1[[#This Row],[Red]]-Tab.o1[[#This Row],[Blue]]))),"")</f>
        <v/>
      </c>
      <c r="W1107" s="125" t="str">
        <f>IF(Tab.o1[[#This Row],[a1]]=1,IF(W$3=0,1,Tab.o1[[#This Row],[Amp.]]*1/_xlfn.MINIFS(Tab.o1[Amp.],Tab.o1[Amp.],"&lt;&gt;0")),"")</f>
        <v/>
      </c>
      <c r="X1107" s="126" t="str">
        <f>IF(Tab.o1[[#This Row],[a1]]=1,IF(ISNUMBER(Tab.o1[[#This Row],[i.]]),NORMDIST(Tab.o1[[#This Row],[Za]],0,1,FALSE)*Tab.o1[[#This Row],[i.]],AP$3),"")</f>
        <v/>
      </c>
      <c r="Y1107" s="126" t="str">
        <f>IF(Tab.o1[[#This Row],[a1]]=1,0.01+0.94*Tab.o1[[#This Row],[PDF]]/MAX(Tab.o1[PDF]),"")</f>
        <v/>
      </c>
      <c r="Z1107" s="126" t="str">
        <f>IF(Tab.o1[[#This Row],[a1]]=1,0.01+0.94*Tab.o1[[#This Row],[W1_PDF]]/MAX(Tab.o1[W1_PDF]),"")</f>
        <v/>
      </c>
      <c r="AA1107" s="118" t="str">
        <f>IF(Tab.o1[[#This Row],[a1]]=1,ABS([1]!T.in.A[[#This Row],[oo6]]),"")</f>
        <v/>
      </c>
      <c r="AB1107" s="127" t="str">
        <f>IF(Tab.o1[[#This Row],[a1]]=1,IF(AE$3=0,"",IF(AB$3=0,ABS([1]!T.in.A[[#This Row],[oo9]]),ABS(Tab.o1[[#This Row],[DIF_Target.]]*Tab.o1[[#This Row],[W1_PDF]]))),"")</f>
        <v/>
      </c>
      <c r="AC1107" s="127" t="str">
        <f>IF(G$1=1,"",IF(Tab.o1[[#This Row],[a1]]=1,Tab.o1[[#This Row],[Wr]]^2,""))</f>
        <v/>
      </c>
      <c r="AD1107" s="118" t="str">
        <f>IF(Tab.o1[[#This Row],[a1]]=1,IF(AE$3=0,"",Tab.o1[[#This Row],[Wr2]]/SUM(Tab.o1[Wr2])),"")</f>
        <v/>
      </c>
      <c r="AE1107" s="128" t="str">
        <f>IF(Tab.o1[[#This Row],[a1]]=1,[1]!T.in.A[[#This Row],[oo10]],"")</f>
        <v/>
      </c>
      <c r="AF1107" s="118" t="str">
        <f>IF(Tab.o1[[#This Row],[a1]]=1,ABS(Tab.o1[[#This Row],[DIF_Target.]]*Tab.o1[[#This Row],[PDF2]]*Tab.o1[[#This Row],[IN]]),"")</f>
        <v/>
      </c>
      <c r="AG1107" s="129" t="str">
        <f>IF(Tab.o1[[#This Row],[a1]]=1,Tab.o1[[#This Row],[rW]]^2,"")</f>
        <v/>
      </c>
      <c r="AH1107" s="130" t="str">
        <f>IF(Tab.o1[[#This Row],[a1]]=1,IF(AH$3=0,Tab.o1[[#This Row],[rW2]],0.01+0.94*Tab.o1[[#This Row],[rW2]]/SUM(Tab.o1[rW2])),"")</f>
        <v/>
      </c>
      <c r="AI1107" s="128" t="str">
        <f>IF(Tab.o1[[#This Row],[a1]]=1,1/Tab.o1[[#This Row],[PDF]],"")</f>
        <v/>
      </c>
      <c r="AJ1107" s="131" t="str">
        <f>IF(Tab.o1[[#This Row],[a1]]=1,[1]!T_AA[[#This Row],[IN'']]*[1]!T_AA[[#This Row],[Qde'']],"")</f>
        <v/>
      </c>
      <c r="AK1107" s="132" t="str">
        <f>IF(Tab.o1[[#This Row],[a1]]=1,IF(AK$1=1,Tab.o1[[#This Row],[MED]]+Tab.o1[[#This Row],[MOD]]-Tab.o1[[#This Row],[MED]],""),"")</f>
        <v/>
      </c>
      <c r="AL1107" s="133" t="str">
        <f>IF(Tab.o1[[#This Row],[a1]]=1,[1]!T.in.A[[#This Row],[oo16]],"")</f>
        <v/>
      </c>
      <c r="AM1107" s="133" t="str">
        <f>IF(Tab.o1[[#This Row],[a1]]=1,IF(AM$3=1,[1]!T.in.A[[#This Row],[Σo16]],""),"")</f>
        <v/>
      </c>
      <c r="AN1107" s="126" t="str">
        <f>IF(Tab.o1[[#This Row],[a1]]=1,[1]!T.in.A[[#This Row],[Σp5]],"")</f>
        <v/>
      </c>
      <c r="AO1107" s="126" t="str">
        <f>IF(Tab.o1[[#This Row],[a1]]=1,IF(AO$3=1,[1]!T.in.A[[#This Row],[Σp5]],""),"")</f>
        <v/>
      </c>
      <c r="AP1107" s="110" t="str">
        <f>IF(Tab.o1[[#This Row],[a1]]=1,IF(ISNUMBER(Tab.o1[[#This Row],[i.]]),NORMDIST(Tab.o1[[#This Row],[Za]],0,1,FALSE)*Tab.o1[[#This Row],[i.]],0),"")</f>
        <v/>
      </c>
      <c r="AQ1107" s="125" t="str">
        <f>IF(Tab.o1[[#This Row],[a1]]=1,ABS(Tab.o1[[#This Row],[MOD]]-AVERAGE(Tab.o1[MOD])),"")</f>
        <v/>
      </c>
      <c r="AR1107" s="134" t="str">
        <f>IF(Tab.o1[[#This Row],[a1]]=1,Tab.o1[[#This Row],[OBS]]/SUM(Tab.o1[OBS]),"")</f>
        <v/>
      </c>
      <c r="AS1107" s="135" t="str">
        <f>IF(ISNUMBER(Tab.o1[[#This Row],[a1]]),ROW()-4,"")</f>
        <v/>
      </c>
      <c r="AT1107" s="136" t="str">
        <f>Tab.o1[[#This Row],[MOD]]</f>
        <v/>
      </c>
      <c r="AU1107" s="137" t="str">
        <f t="shared" si="69"/>
        <v/>
      </c>
      <c r="AV1107" s="138" t="str">
        <f t="shared" si="70"/>
        <v/>
      </c>
      <c r="AW1107" s="138" t="str">
        <f t="shared" si="71"/>
        <v/>
      </c>
      <c r="AX1107" s="139" t="str">
        <f>[1]!T.in.A[[#This Row],[ID_T_manu]]</f>
        <v/>
      </c>
      <c r="AY1107" s="140" t="str">
        <f>IF(ISNUMBER(Tab.o1[[#This Row],[a1]]),IF(AND(Tab.o1[[#This Row],[a1]]=1,Tab.o1[[#This Row],[b1]]&lt;=AY$4),#REF!,AY1106),"")</f>
        <v/>
      </c>
      <c r="AZ1107" s="25"/>
      <c r="BA1107" s="25"/>
      <c r="BB1107" s="25"/>
      <c r="BC1107" s="25"/>
      <c r="BD1107" s="25"/>
      <c r="BE1107" s="25"/>
      <c r="BF1107" s="25"/>
      <c r="BG1107" s="25"/>
      <c r="BH1107" s="25"/>
      <c r="BI1107" s="25"/>
      <c r="BJ1107" s="25"/>
      <c r="BK1107" s="25"/>
      <c r="BL1107" s="25"/>
      <c r="BM1107" s="25"/>
      <c r="BN1107" s="26"/>
      <c r="BO1107" s="26"/>
      <c r="BP1107" s="26"/>
      <c r="BQ1107" s="26"/>
      <c r="BR1107" s="26"/>
      <c r="BS1107" s="26"/>
      <c r="BT1107" s="26"/>
      <c r="BU1107" s="26"/>
      <c r="BV1107" s="26"/>
      <c r="BW1107" s="26"/>
      <c r="BX1107" s="26"/>
      <c r="BY1107" s="26"/>
      <c r="BZ1107" s="26"/>
      <c r="CA1107" s="26"/>
    </row>
    <row r="1108" spans="1:79" ht="15.75" hidden="1">
      <c r="A1108" s="109">
        <v>-2.0000000000000003E-6</v>
      </c>
      <c r="B1108" s="110">
        <f t="shared" si="68"/>
        <v>1108</v>
      </c>
      <c r="C1108" s="111" t="str">
        <f>IF(C$1=[1]!T.in.A[[#This Row],[oo2]],1,"")</f>
        <v/>
      </c>
      <c r="D1108" s="112" t="str">
        <f>IF(Tab.o1[[#This Row],[a1]]=1,IF(SUM(C1108:C1109)=0,0,IF(SUM(C1107:C1108)=1,1,IF(SUM(C1107:C1109)&gt;1,D1107+1,0))),"")</f>
        <v/>
      </c>
      <c r="E1108" s="113" t="str">
        <f>IF(Tab.o1[[#This Row],[a1]]=1,[1]!T.in.A[[#This Row],[oo1]],"")</f>
        <v/>
      </c>
      <c r="F1108" s="113" t="str">
        <f>IF(Tab.o1[[#This Row],[a1]]=1,[1]!T.in.A[[#This Row],[pp1]],"")</f>
        <v/>
      </c>
      <c r="G1108" s="114" t="str">
        <f>IF(Tab.o1[[#This Row],[a1]]=1,G$2+IF(G$1=1,0,Tab.o1[[#This Row],[.x1]])+[1]!T.in.A[[#This Row],[oo3]],"")</f>
        <v/>
      </c>
      <c r="H1108" s="115" t="str">
        <f>IF(Tab.o1[[#This Row],[a1]]=1,IF(H$2=0,0,IF(G$1=1,0,Tab.o1[[#This Row],[.x1]])+[1]!T.in.A[[#This Row],[oo4]]),"")</f>
        <v/>
      </c>
      <c r="I1108" s="116" t="str">
        <f>IF(Tab.o1[[#This Row],[a1]]=1,IF(J$2=0,Tab.o1[[#This Row],[MED]],Tab.o1[[#This Row],[MOD]]),"")</f>
        <v/>
      </c>
      <c r="J1108" s="116" t="str">
        <f>IF(Tab.o1[[#This Row],[a1]]=1,((Tab.o1[[#This Row],[DIF_Target.]]-AVERAGE(Tab.o1[DIF_Target.]))/_xlfn.STDEV.P(Tab.o1[DIF_Target.])),"")</f>
        <v/>
      </c>
      <c r="K1108" s="117" t="str">
        <f>IF(Tab.o1[[#This Row],[a1]]=1,IF(J$2=0,Tab.o1[[#This Row],[MOD]]-Tab.o1[[#This Row],[B]],IF(J$2=1,0,-Tab.o1[[#This Row],[MED]])+Tab.o1[[#This Row],[B]]),"")</f>
        <v/>
      </c>
      <c r="L1108" s="117" t="str">
        <f ca="1">IF(Tab.o1[[#This Row],[DIF_Target]]=0,IF(L$2=0,Tab.o1[[#This Row],[DIF_Target]],AVERAGE(OFFSET(Tab.o1[[#This Row],[DIF_Target]],1,0,L$3,1)))/3,Tab.o1[[#This Row],[DIF_Target]])</f>
        <v/>
      </c>
      <c r="M1108" s="118" t="str">
        <f>IF(Tab.o1[[#This Row],[a1]]=1,NORMSDIST(Tab.o1[[#This Row],[Za]]),"")</f>
        <v/>
      </c>
      <c r="N1108" s="119" t="str">
        <f>IF(Tab.o1[[#This Row],[a1]]=1,((Tab.o1[[#This Row],[MedMod]]-AVERAGE(Tab.o1[MedMod]))/_xlfn.STDEV.P(Tab.o1[MedMod])*H$1205)+G$1205,"")</f>
        <v/>
      </c>
      <c r="O1108" s="141" t="str">
        <f>IF(Tab.o1[[#This Row],[a1]]=1,Tab.o1[[#This Row],[Zb]]*_xlfn.STDEV.P(Tab.o1[MedMod])+AVERAGE(Tab.o1[MedMod]),"")</f>
        <v/>
      </c>
      <c r="P1108" s="117" t="str">
        <f ca="1">IF(Tab.o1[[#This Row],[B]]=0,AVERAGE(OFFSET(Tab.o1[[#This Row],[B]],1,0,L$3,1)),Tab.o1[[#This Row],[B]])</f>
        <v/>
      </c>
      <c r="Q1108" s="121" t="str">
        <f>IF(Tab.o1[[#This Row],[a1]]=1,NORMSDIST(Tab.o1[[#This Row],[Zb]]),"")</f>
        <v/>
      </c>
      <c r="R1108" s="122" t="str">
        <f>IF(Tab.o1[[#This Row],[a1]]=1,((Tab.o1[[#This Row],[MedMod]]-AVERAGE(Tab.o1[MedMod]))/_xlfn.STDEV.P(Tab.o1[MedMod])*H$1203)+G$1203,"")</f>
        <v/>
      </c>
      <c r="S1108" s="122" t="str">
        <f>IF(Tab.o1[[#This Row],[a1]]=1,((Tab.o1[[#This Row],[MedMod]]-AVERAGE(Tab.o1[MedMod]))/_xlfn.STDEV.P(Tab.o1[MedMod])*H$1204)+G$1204,"")</f>
        <v/>
      </c>
      <c r="T1108" s="123" t="str">
        <f>IF(Tab.o1[[#This Row],[a1]]=1,Tab.o1[[#This Row],[Z-]]*_xlfn.STDEV.P(Tab.o1[B])+AVERAGE(Tab.o1[B]),"")</f>
        <v/>
      </c>
      <c r="U1108" s="123" t="str">
        <f>IF(Tab.o1[[#This Row],[a1]]=1,Tab.o1[[#This Row],[z+]]*_xlfn.STDEV.P(Tab.o1[B])+AVERAGE(Tab.o1[B]),"")</f>
        <v/>
      </c>
      <c r="V1108" s="124" t="str">
        <f>IF(Tab.o1[[#This Row],[a1]]=1,ABS((ABS(Tab.o1[[#This Row],[Red]]-Tab.o1[[#This Row],[Blue]]))),"")</f>
        <v/>
      </c>
      <c r="W1108" s="125" t="str">
        <f>IF(Tab.o1[[#This Row],[a1]]=1,IF(W$3=0,1,Tab.o1[[#This Row],[Amp.]]*1/_xlfn.MINIFS(Tab.o1[Amp.],Tab.o1[Amp.],"&lt;&gt;0")),"")</f>
        <v/>
      </c>
      <c r="X1108" s="126" t="str">
        <f>IF(Tab.o1[[#This Row],[a1]]=1,IF(ISNUMBER(Tab.o1[[#This Row],[i.]]),NORMDIST(Tab.o1[[#This Row],[Za]],0,1,FALSE)*Tab.o1[[#This Row],[i.]],AP$3),"")</f>
        <v/>
      </c>
      <c r="Y1108" s="126" t="str">
        <f>IF(Tab.o1[[#This Row],[a1]]=1,0.01+0.94*Tab.o1[[#This Row],[PDF]]/MAX(Tab.o1[PDF]),"")</f>
        <v/>
      </c>
      <c r="Z1108" s="126" t="str">
        <f>IF(Tab.o1[[#This Row],[a1]]=1,0.01+0.94*Tab.o1[[#This Row],[W1_PDF]]/MAX(Tab.o1[W1_PDF]),"")</f>
        <v/>
      </c>
      <c r="AA1108" s="118" t="str">
        <f>IF(Tab.o1[[#This Row],[a1]]=1,ABS([1]!T.in.A[[#This Row],[oo6]]),"")</f>
        <v/>
      </c>
      <c r="AB1108" s="127" t="str">
        <f>IF(Tab.o1[[#This Row],[a1]]=1,IF(AE$3=0,"",IF(AB$3=0,ABS([1]!T.in.A[[#This Row],[oo9]]),ABS(Tab.o1[[#This Row],[DIF_Target.]]*Tab.o1[[#This Row],[W1_PDF]]))),"")</f>
        <v/>
      </c>
      <c r="AC1108" s="127" t="str">
        <f>IF(G$1=1,"",IF(Tab.o1[[#This Row],[a1]]=1,Tab.o1[[#This Row],[Wr]]^2,""))</f>
        <v/>
      </c>
      <c r="AD1108" s="118" t="str">
        <f>IF(Tab.o1[[#This Row],[a1]]=1,IF(AE$3=0,"",Tab.o1[[#This Row],[Wr2]]/SUM(Tab.o1[Wr2])),"")</f>
        <v/>
      </c>
      <c r="AE1108" s="128" t="str">
        <f>IF(Tab.o1[[#This Row],[a1]]=1,[1]!T.in.A[[#This Row],[oo10]],"")</f>
        <v/>
      </c>
      <c r="AF1108" s="118" t="str">
        <f>IF(Tab.o1[[#This Row],[a1]]=1,ABS(Tab.o1[[#This Row],[DIF_Target.]]*Tab.o1[[#This Row],[PDF2]]*Tab.o1[[#This Row],[IN]]),"")</f>
        <v/>
      </c>
      <c r="AG1108" s="129" t="str">
        <f>IF(Tab.o1[[#This Row],[a1]]=1,Tab.o1[[#This Row],[rW]]^2,"")</f>
        <v/>
      </c>
      <c r="AH1108" s="130" t="str">
        <f>IF(Tab.o1[[#This Row],[a1]]=1,IF(AH$3=0,Tab.o1[[#This Row],[rW2]],0.01+0.94*Tab.o1[[#This Row],[rW2]]/SUM(Tab.o1[rW2])),"")</f>
        <v/>
      </c>
      <c r="AI1108" s="128" t="str">
        <f>IF(Tab.o1[[#This Row],[a1]]=1,1/Tab.o1[[#This Row],[PDF]],"")</f>
        <v/>
      </c>
      <c r="AJ1108" s="131" t="str">
        <f>IF(Tab.o1[[#This Row],[a1]]=1,[1]!T_AA[[#This Row],[IN'']]*[1]!T_AA[[#This Row],[Qde'']],"")</f>
        <v/>
      </c>
      <c r="AK1108" s="132" t="str">
        <f>IF(Tab.o1[[#This Row],[a1]]=1,IF(AK$1=1,Tab.o1[[#This Row],[MED]]+Tab.o1[[#This Row],[MOD]]-Tab.o1[[#This Row],[MED]],""),"")</f>
        <v/>
      </c>
      <c r="AL1108" s="133" t="str">
        <f>IF(Tab.o1[[#This Row],[a1]]=1,[1]!T.in.A[[#This Row],[oo16]],"")</f>
        <v/>
      </c>
      <c r="AM1108" s="133" t="str">
        <f>IF(Tab.o1[[#This Row],[a1]]=1,IF(AM$3=1,[1]!T.in.A[[#This Row],[Σo16]],""),"")</f>
        <v/>
      </c>
      <c r="AN1108" s="126" t="str">
        <f>IF(Tab.o1[[#This Row],[a1]]=1,[1]!T.in.A[[#This Row],[Σp5]],"")</f>
        <v/>
      </c>
      <c r="AO1108" s="126" t="str">
        <f>IF(Tab.o1[[#This Row],[a1]]=1,IF(AO$3=1,[1]!T.in.A[[#This Row],[Σp5]],""),"")</f>
        <v/>
      </c>
      <c r="AP1108" s="110" t="str">
        <f>IF(Tab.o1[[#This Row],[a1]]=1,IF(ISNUMBER(Tab.o1[[#This Row],[i.]]),NORMDIST(Tab.o1[[#This Row],[Za]],0,1,FALSE)*Tab.o1[[#This Row],[i.]],0),"")</f>
        <v/>
      </c>
      <c r="AQ1108" s="125" t="str">
        <f>IF(Tab.o1[[#This Row],[a1]]=1,ABS(Tab.o1[[#This Row],[MOD]]-AVERAGE(Tab.o1[MOD])),"")</f>
        <v/>
      </c>
      <c r="AR1108" s="134" t="str">
        <f>IF(Tab.o1[[#This Row],[a1]]=1,Tab.o1[[#This Row],[OBS]]/SUM(Tab.o1[OBS]),"")</f>
        <v/>
      </c>
      <c r="AS1108" s="135" t="str">
        <f>IF(ISNUMBER(Tab.o1[[#This Row],[a1]]),ROW()-4,"")</f>
        <v/>
      </c>
      <c r="AT1108" s="136" t="str">
        <f>Tab.o1[[#This Row],[MOD]]</f>
        <v/>
      </c>
      <c r="AU1108" s="137" t="str">
        <f t="shared" si="69"/>
        <v/>
      </c>
      <c r="AV1108" s="138" t="str">
        <f t="shared" si="70"/>
        <v/>
      </c>
      <c r="AW1108" s="138" t="str">
        <f t="shared" si="71"/>
        <v/>
      </c>
      <c r="AX1108" s="139" t="str">
        <f>[1]!T.in.A[[#This Row],[ID_T_manu]]</f>
        <v/>
      </c>
      <c r="AY1108" s="140" t="str">
        <f>IF(ISNUMBER(Tab.o1[[#This Row],[a1]]),IF(AND(Tab.o1[[#This Row],[a1]]=1,Tab.o1[[#This Row],[b1]]&lt;=AY$4),#REF!,AY1107),"")</f>
        <v/>
      </c>
      <c r="AZ1108" s="25"/>
      <c r="BA1108" s="25"/>
      <c r="BB1108" s="25"/>
      <c r="BC1108" s="25"/>
      <c r="BD1108" s="25"/>
      <c r="BE1108" s="25"/>
      <c r="BF1108" s="25"/>
      <c r="BG1108" s="25"/>
      <c r="BH1108" s="25"/>
      <c r="BI1108" s="25"/>
      <c r="BJ1108" s="25"/>
      <c r="BK1108" s="25"/>
      <c r="BL1108" s="25"/>
      <c r="BM1108" s="25"/>
      <c r="BN1108" s="26"/>
      <c r="BO1108" s="26"/>
      <c r="BP1108" s="26"/>
      <c r="BQ1108" s="26"/>
      <c r="BR1108" s="26"/>
      <c r="BS1108" s="26"/>
      <c r="BT1108" s="26"/>
      <c r="BU1108" s="26"/>
      <c r="BV1108" s="26"/>
      <c r="BW1108" s="26"/>
      <c r="BX1108" s="26"/>
      <c r="BY1108" s="26"/>
      <c r="BZ1108" s="26"/>
      <c r="CA1108" s="26"/>
    </row>
    <row r="1109" spans="1:79" ht="15.75" hidden="1">
      <c r="A1109" s="109">
        <v>-6.9999999999999999E-6</v>
      </c>
      <c r="B1109" s="110">
        <f t="shared" si="68"/>
        <v>1109</v>
      </c>
      <c r="C1109" s="111" t="str">
        <f>IF(C$1=[1]!T.in.A[[#This Row],[oo2]],1,"")</f>
        <v/>
      </c>
      <c r="D1109" s="112" t="str">
        <f>IF(Tab.o1[[#This Row],[a1]]=1,IF(SUM(C1109:C1110)=0,0,IF(SUM(C1108:C1109)=1,1,IF(SUM(C1108:C1110)&gt;1,D1108+1,0))),"")</f>
        <v/>
      </c>
      <c r="E1109" s="113" t="str">
        <f>IF(Tab.o1[[#This Row],[a1]]=1,[1]!T.in.A[[#This Row],[oo1]],"")</f>
        <v/>
      </c>
      <c r="F1109" s="113" t="str">
        <f>IF(Tab.o1[[#This Row],[a1]]=1,[1]!T.in.A[[#This Row],[pp1]],"")</f>
        <v/>
      </c>
      <c r="G1109" s="114" t="str">
        <f>IF(Tab.o1[[#This Row],[a1]]=1,G$2+IF(G$1=1,0,Tab.o1[[#This Row],[.x1]])+[1]!T.in.A[[#This Row],[oo3]],"")</f>
        <v/>
      </c>
      <c r="H1109" s="115" t="str">
        <f>IF(Tab.o1[[#This Row],[a1]]=1,IF(H$2=0,0,IF(G$1=1,0,Tab.o1[[#This Row],[.x1]])+[1]!T.in.A[[#This Row],[oo4]]),"")</f>
        <v/>
      </c>
      <c r="I1109" s="116" t="str">
        <f>IF(Tab.o1[[#This Row],[a1]]=1,IF(J$2=0,Tab.o1[[#This Row],[MED]],Tab.o1[[#This Row],[MOD]]),"")</f>
        <v/>
      </c>
      <c r="J1109" s="116" t="str">
        <f>IF(Tab.o1[[#This Row],[a1]]=1,((Tab.o1[[#This Row],[DIF_Target.]]-AVERAGE(Tab.o1[DIF_Target.]))/_xlfn.STDEV.P(Tab.o1[DIF_Target.])),"")</f>
        <v/>
      </c>
      <c r="K1109" s="117" t="str">
        <f>IF(Tab.o1[[#This Row],[a1]]=1,IF(J$2=0,Tab.o1[[#This Row],[MOD]]-Tab.o1[[#This Row],[B]],IF(J$2=1,0,-Tab.o1[[#This Row],[MED]])+Tab.o1[[#This Row],[B]]),"")</f>
        <v/>
      </c>
      <c r="L1109" s="117" t="str">
        <f ca="1">IF(Tab.o1[[#This Row],[DIF_Target]]=0,IF(L$2=0,Tab.o1[[#This Row],[DIF_Target]],AVERAGE(OFFSET(Tab.o1[[#This Row],[DIF_Target]],1,0,L$3,1)))/3,Tab.o1[[#This Row],[DIF_Target]])</f>
        <v/>
      </c>
      <c r="M1109" s="118" t="str">
        <f>IF(Tab.o1[[#This Row],[a1]]=1,NORMSDIST(Tab.o1[[#This Row],[Za]]),"")</f>
        <v/>
      </c>
      <c r="N1109" s="119" t="str">
        <f>IF(Tab.o1[[#This Row],[a1]]=1,((Tab.o1[[#This Row],[MedMod]]-AVERAGE(Tab.o1[MedMod]))/_xlfn.STDEV.P(Tab.o1[MedMod])*H$1205)+G$1205,"")</f>
        <v/>
      </c>
      <c r="O1109" s="141" t="str">
        <f>IF(Tab.o1[[#This Row],[a1]]=1,Tab.o1[[#This Row],[Zb]]*_xlfn.STDEV.P(Tab.o1[MedMod])+AVERAGE(Tab.o1[MedMod]),"")</f>
        <v/>
      </c>
      <c r="P1109" s="117" t="str">
        <f ca="1">IF(Tab.o1[[#This Row],[B]]=0,AVERAGE(OFFSET(Tab.o1[[#This Row],[B]],1,0,L$3,1)),Tab.o1[[#This Row],[B]])</f>
        <v/>
      </c>
      <c r="Q1109" s="121" t="str">
        <f>IF(Tab.o1[[#This Row],[a1]]=1,NORMSDIST(Tab.o1[[#This Row],[Zb]]),"")</f>
        <v/>
      </c>
      <c r="R1109" s="122" t="str">
        <f>IF(Tab.o1[[#This Row],[a1]]=1,((Tab.o1[[#This Row],[MedMod]]-AVERAGE(Tab.o1[MedMod]))/_xlfn.STDEV.P(Tab.o1[MedMod])*H$1203)+G$1203,"")</f>
        <v/>
      </c>
      <c r="S1109" s="122" t="str">
        <f>IF(Tab.o1[[#This Row],[a1]]=1,((Tab.o1[[#This Row],[MedMod]]-AVERAGE(Tab.o1[MedMod]))/_xlfn.STDEV.P(Tab.o1[MedMod])*H$1204)+G$1204,"")</f>
        <v/>
      </c>
      <c r="T1109" s="123" t="str">
        <f>IF(Tab.o1[[#This Row],[a1]]=1,Tab.o1[[#This Row],[Z-]]*_xlfn.STDEV.P(Tab.o1[B])+AVERAGE(Tab.o1[B]),"")</f>
        <v/>
      </c>
      <c r="U1109" s="123" t="str">
        <f>IF(Tab.o1[[#This Row],[a1]]=1,Tab.o1[[#This Row],[z+]]*_xlfn.STDEV.P(Tab.o1[B])+AVERAGE(Tab.o1[B]),"")</f>
        <v/>
      </c>
      <c r="V1109" s="124" t="str">
        <f>IF(Tab.o1[[#This Row],[a1]]=1,ABS((ABS(Tab.o1[[#This Row],[Red]]-Tab.o1[[#This Row],[Blue]]))),"")</f>
        <v/>
      </c>
      <c r="W1109" s="125" t="str">
        <f>IF(Tab.o1[[#This Row],[a1]]=1,IF(W$3=0,1,Tab.o1[[#This Row],[Amp.]]*1/_xlfn.MINIFS(Tab.o1[Amp.],Tab.o1[Amp.],"&lt;&gt;0")),"")</f>
        <v/>
      </c>
      <c r="X1109" s="126" t="str">
        <f>IF(Tab.o1[[#This Row],[a1]]=1,IF(ISNUMBER(Tab.o1[[#This Row],[i.]]),NORMDIST(Tab.o1[[#This Row],[Za]],0,1,FALSE)*Tab.o1[[#This Row],[i.]],AP$3),"")</f>
        <v/>
      </c>
      <c r="Y1109" s="126" t="str">
        <f>IF(Tab.o1[[#This Row],[a1]]=1,0.01+0.94*Tab.o1[[#This Row],[PDF]]/MAX(Tab.o1[PDF]),"")</f>
        <v/>
      </c>
      <c r="Z1109" s="126" t="str">
        <f>IF(Tab.o1[[#This Row],[a1]]=1,0.01+0.94*Tab.o1[[#This Row],[W1_PDF]]/MAX(Tab.o1[W1_PDF]),"")</f>
        <v/>
      </c>
      <c r="AA1109" s="118" t="str">
        <f>IF(Tab.o1[[#This Row],[a1]]=1,ABS([1]!T.in.A[[#This Row],[oo6]]),"")</f>
        <v/>
      </c>
      <c r="AB1109" s="127" t="str">
        <f>IF(Tab.o1[[#This Row],[a1]]=1,IF(AE$3=0,"",IF(AB$3=0,ABS([1]!T.in.A[[#This Row],[oo9]]),ABS(Tab.o1[[#This Row],[DIF_Target.]]*Tab.o1[[#This Row],[W1_PDF]]))),"")</f>
        <v/>
      </c>
      <c r="AC1109" s="127" t="str">
        <f>IF(G$1=1,"",IF(Tab.o1[[#This Row],[a1]]=1,Tab.o1[[#This Row],[Wr]]^2,""))</f>
        <v/>
      </c>
      <c r="AD1109" s="118" t="str">
        <f>IF(Tab.o1[[#This Row],[a1]]=1,IF(AE$3=0,"",Tab.o1[[#This Row],[Wr2]]/SUM(Tab.o1[Wr2])),"")</f>
        <v/>
      </c>
      <c r="AE1109" s="128" t="str">
        <f>IF(Tab.o1[[#This Row],[a1]]=1,[1]!T.in.A[[#This Row],[oo10]],"")</f>
        <v/>
      </c>
      <c r="AF1109" s="118" t="str">
        <f>IF(Tab.o1[[#This Row],[a1]]=1,ABS(Tab.o1[[#This Row],[DIF_Target.]]*Tab.o1[[#This Row],[PDF2]]*Tab.o1[[#This Row],[IN]]),"")</f>
        <v/>
      </c>
      <c r="AG1109" s="129" t="str">
        <f>IF(Tab.o1[[#This Row],[a1]]=1,Tab.o1[[#This Row],[rW]]^2,"")</f>
        <v/>
      </c>
      <c r="AH1109" s="130" t="str">
        <f>IF(Tab.o1[[#This Row],[a1]]=1,IF(AH$3=0,Tab.o1[[#This Row],[rW2]],0.01+0.94*Tab.o1[[#This Row],[rW2]]/SUM(Tab.o1[rW2])),"")</f>
        <v/>
      </c>
      <c r="AI1109" s="128" t="str">
        <f>IF(Tab.o1[[#This Row],[a1]]=1,1/Tab.o1[[#This Row],[PDF]],"")</f>
        <v/>
      </c>
      <c r="AJ1109" s="131" t="str">
        <f>IF(Tab.o1[[#This Row],[a1]]=1,[1]!T_AA[[#This Row],[IN'']]*[1]!T_AA[[#This Row],[Qde'']],"")</f>
        <v/>
      </c>
      <c r="AK1109" s="132" t="str">
        <f>IF(Tab.o1[[#This Row],[a1]]=1,IF(AK$1=1,Tab.o1[[#This Row],[MED]]+Tab.o1[[#This Row],[MOD]]-Tab.o1[[#This Row],[MED]],""),"")</f>
        <v/>
      </c>
      <c r="AL1109" s="133" t="str">
        <f>IF(Tab.o1[[#This Row],[a1]]=1,[1]!T.in.A[[#This Row],[oo16]],"")</f>
        <v/>
      </c>
      <c r="AM1109" s="133" t="str">
        <f>IF(Tab.o1[[#This Row],[a1]]=1,IF(AM$3=1,[1]!T.in.A[[#This Row],[Σo16]],""),"")</f>
        <v/>
      </c>
      <c r="AN1109" s="126" t="str">
        <f>IF(Tab.o1[[#This Row],[a1]]=1,[1]!T.in.A[[#This Row],[Σp5]],"")</f>
        <v/>
      </c>
      <c r="AO1109" s="126" t="str">
        <f>IF(Tab.o1[[#This Row],[a1]]=1,IF(AO$3=1,[1]!T.in.A[[#This Row],[Σp5]],""),"")</f>
        <v/>
      </c>
      <c r="AP1109" s="110" t="str">
        <f>IF(Tab.o1[[#This Row],[a1]]=1,IF(ISNUMBER(Tab.o1[[#This Row],[i.]]),NORMDIST(Tab.o1[[#This Row],[Za]],0,1,FALSE)*Tab.o1[[#This Row],[i.]],0),"")</f>
        <v/>
      </c>
      <c r="AQ1109" s="125" t="str">
        <f>IF(Tab.o1[[#This Row],[a1]]=1,ABS(Tab.o1[[#This Row],[MOD]]-AVERAGE(Tab.o1[MOD])),"")</f>
        <v/>
      </c>
      <c r="AR1109" s="134" t="str">
        <f>IF(Tab.o1[[#This Row],[a1]]=1,Tab.o1[[#This Row],[OBS]]/SUM(Tab.o1[OBS]),"")</f>
        <v/>
      </c>
      <c r="AS1109" s="135" t="str">
        <f>IF(ISNUMBER(Tab.o1[[#This Row],[a1]]),ROW()-4,"")</f>
        <v/>
      </c>
      <c r="AT1109" s="136" t="str">
        <f>Tab.o1[[#This Row],[MOD]]</f>
        <v/>
      </c>
      <c r="AU1109" s="137" t="str">
        <f t="shared" si="69"/>
        <v/>
      </c>
      <c r="AV1109" s="138" t="str">
        <f t="shared" si="70"/>
        <v/>
      </c>
      <c r="AW1109" s="138" t="str">
        <f t="shared" si="71"/>
        <v/>
      </c>
      <c r="AX1109" s="139" t="str">
        <f>[1]!T.in.A[[#This Row],[ID_T_manu]]</f>
        <v/>
      </c>
      <c r="AY1109" s="140" t="str">
        <f>IF(ISNUMBER(Tab.o1[[#This Row],[a1]]),IF(AND(Tab.o1[[#This Row],[a1]]=1,Tab.o1[[#This Row],[b1]]&lt;=AY$4),#REF!,AY1108),"")</f>
        <v/>
      </c>
      <c r="AZ1109" s="25"/>
      <c r="BA1109" s="25"/>
      <c r="BB1109" s="25"/>
      <c r="BC1109" s="25"/>
      <c r="BD1109" s="25"/>
      <c r="BE1109" s="25"/>
      <c r="BF1109" s="25"/>
      <c r="BG1109" s="25"/>
      <c r="BH1109" s="25"/>
      <c r="BI1109" s="25"/>
      <c r="BJ1109" s="25"/>
      <c r="BK1109" s="25"/>
      <c r="BL1109" s="25"/>
      <c r="BM1109" s="25"/>
      <c r="BN1109" s="26"/>
      <c r="BO1109" s="26"/>
      <c r="BP1109" s="26"/>
      <c r="BQ1109" s="26"/>
      <c r="BR1109" s="26"/>
      <c r="BS1109" s="26"/>
      <c r="BT1109" s="26"/>
      <c r="BU1109" s="26"/>
      <c r="BV1109" s="26"/>
      <c r="BW1109" s="26"/>
      <c r="BX1109" s="26"/>
      <c r="BY1109" s="26"/>
      <c r="BZ1109" s="26"/>
      <c r="CA1109" s="26"/>
    </row>
    <row r="1110" spans="1:79" ht="15.75" hidden="1">
      <c r="A1110" s="109">
        <v>-4.0000000000000007E-6</v>
      </c>
      <c r="B1110" s="110">
        <f t="shared" si="68"/>
        <v>1110</v>
      </c>
      <c r="C1110" s="111" t="str">
        <f>IF(C$1=[1]!T.in.A[[#This Row],[oo2]],1,"")</f>
        <v/>
      </c>
      <c r="D1110" s="112" t="str">
        <f>IF(Tab.o1[[#This Row],[a1]]=1,IF(SUM(C1110:C1111)=0,0,IF(SUM(C1109:C1110)=1,1,IF(SUM(C1109:C1111)&gt;1,D1109+1,0))),"")</f>
        <v/>
      </c>
      <c r="E1110" s="113" t="str">
        <f>IF(Tab.o1[[#This Row],[a1]]=1,[1]!T.in.A[[#This Row],[oo1]],"")</f>
        <v/>
      </c>
      <c r="F1110" s="113" t="str">
        <f>IF(Tab.o1[[#This Row],[a1]]=1,[1]!T.in.A[[#This Row],[pp1]],"")</f>
        <v/>
      </c>
      <c r="G1110" s="114" t="str">
        <f>IF(Tab.o1[[#This Row],[a1]]=1,G$2+IF(G$1=1,0,Tab.o1[[#This Row],[.x1]])+[1]!T.in.A[[#This Row],[oo3]],"")</f>
        <v/>
      </c>
      <c r="H1110" s="115" t="str">
        <f>IF(Tab.o1[[#This Row],[a1]]=1,IF(H$2=0,0,IF(G$1=1,0,Tab.o1[[#This Row],[.x1]])+[1]!T.in.A[[#This Row],[oo4]]),"")</f>
        <v/>
      </c>
      <c r="I1110" s="116" t="str">
        <f>IF(Tab.o1[[#This Row],[a1]]=1,IF(J$2=0,Tab.o1[[#This Row],[MED]],Tab.o1[[#This Row],[MOD]]),"")</f>
        <v/>
      </c>
      <c r="J1110" s="116" t="str">
        <f>IF(Tab.o1[[#This Row],[a1]]=1,((Tab.o1[[#This Row],[DIF_Target.]]-AVERAGE(Tab.o1[DIF_Target.]))/_xlfn.STDEV.P(Tab.o1[DIF_Target.])),"")</f>
        <v/>
      </c>
      <c r="K1110" s="117" t="str">
        <f>IF(Tab.o1[[#This Row],[a1]]=1,IF(J$2=0,Tab.o1[[#This Row],[MOD]]-Tab.o1[[#This Row],[B]],IF(J$2=1,0,-Tab.o1[[#This Row],[MED]])+Tab.o1[[#This Row],[B]]),"")</f>
        <v/>
      </c>
      <c r="L1110" s="117" t="str">
        <f ca="1">IF(Tab.o1[[#This Row],[DIF_Target]]=0,IF(L$2=0,Tab.o1[[#This Row],[DIF_Target]],AVERAGE(OFFSET(Tab.o1[[#This Row],[DIF_Target]],1,0,L$3,1)))/3,Tab.o1[[#This Row],[DIF_Target]])</f>
        <v/>
      </c>
      <c r="M1110" s="118" t="str">
        <f>IF(Tab.o1[[#This Row],[a1]]=1,NORMSDIST(Tab.o1[[#This Row],[Za]]),"")</f>
        <v/>
      </c>
      <c r="N1110" s="119" t="str">
        <f>IF(Tab.o1[[#This Row],[a1]]=1,((Tab.o1[[#This Row],[MedMod]]-AVERAGE(Tab.o1[MedMod]))/_xlfn.STDEV.P(Tab.o1[MedMod])*H$1205)+G$1205,"")</f>
        <v/>
      </c>
      <c r="O1110" s="141" t="str">
        <f>IF(Tab.o1[[#This Row],[a1]]=1,Tab.o1[[#This Row],[Zb]]*_xlfn.STDEV.P(Tab.o1[MedMod])+AVERAGE(Tab.o1[MedMod]),"")</f>
        <v/>
      </c>
      <c r="P1110" s="117" t="str">
        <f ca="1">IF(Tab.o1[[#This Row],[B]]=0,AVERAGE(OFFSET(Tab.o1[[#This Row],[B]],1,0,L$3,1)),Tab.o1[[#This Row],[B]])</f>
        <v/>
      </c>
      <c r="Q1110" s="121" t="str">
        <f>IF(Tab.o1[[#This Row],[a1]]=1,NORMSDIST(Tab.o1[[#This Row],[Zb]]),"")</f>
        <v/>
      </c>
      <c r="R1110" s="122" t="str">
        <f>IF(Tab.o1[[#This Row],[a1]]=1,((Tab.o1[[#This Row],[MedMod]]-AVERAGE(Tab.o1[MedMod]))/_xlfn.STDEV.P(Tab.o1[MedMod])*H$1203)+G$1203,"")</f>
        <v/>
      </c>
      <c r="S1110" s="122" t="str">
        <f>IF(Tab.o1[[#This Row],[a1]]=1,((Tab.o1[[#This Row],[MedMod]]-AVERAGE(Tab.o1[MedMod]))/_xlfn.STDEV.P(Tab.o1[MedMod])*H$1204)+G$1204,"")</f>
        <v/>
      </c>
      <c r="T1110" s="123" t="str">
        <f>IF(Tab.o1[[#This Row],[a1]]=1,Tab.o1[[#This Row],[Z-]]*_xlfn.STDEV.P(Tab.o1[B])+AVERAGE(Tab.o1[B]),"")</f>
        <v/>
      </c>
      <c r="U1110" s="123" t="str">
        <f>IF(Tab.o1[[#This Row],[a1]]=1,Tab.o1[[#This Row],[z+]]*_xlfn.STDEV.P(Tab.o1[B])+AVERAGE(Tab.o1[B]),"")</f>
        <v/>
      </c>
      <c r="V1110" s="124" t="str">
        <f>IF(Tab.o1[[#This Row],[a1]]=1,ABS((ABS(Tab.o1[[#This Row],[Red]]-Tab.o1[[#This Row],[Blue]]))),"")</f>
        <v/>
      </c>
      <c r="W1110" s="125" t="str">
        <f>IF(Tab.o1[[#This Row],[a1]]=1,IF(W$3=0,1,Tab.o1[[#This Row],[Amp.]]*1/_xlfn.MINIFS(Tab.o1[Amp.],Tab.o1[Amp.],"&lt;&gt;0")),"")</f>
        <v/>
      </c>
      <c r="X1110" s="126" t="str">
        <f>IF(Tab.o1[[#This Row],[a1]]=1,IF(ISNUMBER(Tab.o1[[#This Row],[i.]]),NORMDIST(Tab.o1[[#This Row],[Za]],0,1,FALSE)*Tab.o1[[#This Row],[i.]],AP$3),"")</f>
        <v/>
      </c>
      <c r="Y1110" s="126" t="str">
        <f>IF(Tab.o1[[#This Row],[a1]]=1,0.01+0.94*Tab.o1[[#This Row],[PDF]]/MAX(Tab.o1[PDF]),"")</f>
        <v/>
      </c>
      <c r="Z1110" s="126" t="str">
        <f>IF(Tab.o1[[#This Row],[a1]]=1,0.01+0.94*Tab.o1[[#This Row],[W1_PDF]]/MAX(Tab.o1[W1_PDF]),"")</f>
        <v/>
      </c>
      <c r="AA1110" s="118" t="str">
        <f>IF(Tab.o1[[#This Row],[a1]]=1,ABS([1]!T.in.A[[#This Row],[oo6]]),"")</f>
        <v/>
      </c>
      <c r="AB1110" s="127" t="str">
        <f>IF(Tab.o1[[#This Row],[a1]]=1,IF(AE$3=0,"",IF(AB$3=0,ABS([1]!T.in.A[[#This Row],[oo9]]),ABS(Tab.o1[[#This Row],[DIF_Target.]]*Tab.o1[[#This Row],[W1_PDF]]))),"")</f>
        <v/>
      </c>
      <c r="AC1110" s="127" t="str">
        <f>IF(G$1=1,"",IF(Tab.o1[[#This Row],[a1]]=1,Tab.o1[[#This Row],[Wr]]^2,""))</f>
        <v/>
      </c>
      <c r="AD1110" s="118" t="str">
        <f>IF(Tab.o1[[#This Row],[a1]]=1,IF(AE$3=0,"",Tab.o1[[#This Row],[Wr2]]/SUM(Tab.o1[Wr2])),"")</f>
        <v/>
      </c>
      <c r="AE1110" s="128" t="str">
        <f>IF(Tab.o1[[#This Row],[a1]]=1,[1]!T.in.A[[#This Row],[oo10]],"")</f>
        <v/>
      </c>
      <c r="AF1110" s="118" t="str">
        <f>IF(Tab.o1[[#This Row],[a1]]=1,ABS(Tab.o1[[#This Row],[DIF_Target.]]*Tab.o1[[#This Row],[PDF2]]*Tab.o1[[#This Row],[IN]]),"")</f>
        <v/>
      </c>
      <c r="AG1110" s="129" t="str">
        <f>IF(Tab.o1[[#This Row],[a1]]=1,Tab.o1[[#This Row],[rW]]^2,"")</f>
        <v/>
      </c>
      <c r="AH1110" s="130" t="str">
        <f>IF(Tab.o1[[#This Row],[a1]]=1,IF(AH$3=0,Tab.o1[[#This Row],[rW2]],0.01+0.94*Tab.o1[[#This Row],[rW2]]/SUM(Tab.o1[rW2])),"")</f>
        <v/>
      </c>
      <c r="AI1110" s="128" t="str">
        <f>IF(Tab.o1[[#This Row],[a1]]=1,1/Tab.o1[[#This Row],[PDF]],"")</f>
        <v/>
      </c>
      <c r="AJ1110" s="131" t="str">
        <f>IF(Tab.o1[[#This Row],[a1]]=1,[1]!T_AA[[#This Row],[IN'']]*[1]!T_AA[[#This Row],[Qde'']],"")</f>
        <v/>
      </c>
      <c r="AK1110" s="132" t="str">
        <f>IF(Tab.o1[[#This Row],[a1]]=1,IF(AK$1=1,Tab.o1[[#This Row],[MED]]+Tab.o1[[#This Row],[MOD]]-Tab.o1[[#This Row],[MED]],""),"")</f>
        <v/>
      </c>
      <c r="AL1110" s="133" t="str">
        <f>IF(Tab.o1[[#This Row],[a1]]=1,[1]!T.in.A[[#This Row],[oo16]],"")</f>
        <v/>
      </c>
      <c r="AM1110" s="133" t="str">
        <f>IF(Tab.o1[[#This Row],[a1]]=1,IF(AM$3=1,[1]!T.in.A[[#This Row],[Σo16]],""),"")</f>
        <v/>
      </c>
      <c r="AN1110" s="126" t="str">
        <f>IF(Tab.o1[[#This Row],[a1]]=1,[1]!T.in.A[[#This Row],[Σp5]],"")</f>
        <v/>
      </c>
      <c r="AO1110" s="126" t="str">
        <f>IF(Tab.o1[[#This Row],[a1]]=1,IF(AO$3=1,[1]!T.in.A[[#This Row],[Σp5]],""),"")</f>
        <v/>
      </c>
      <c r="AP1110" s="110" t="str">
        <f>IF(Tab.o1[[#This Row],[a1]]=1,IF(ISNUMBER(Tab.o1[[#This Row],[i.]]),NORMDIST(Tab.o1[[#This Row],[Za]],0,1,FALSE)*Tab.o1[[#This Row],[i.]],0),"")</f>
        <v/>
      </c>
      <c r="AQ1110" s="125" t="str">
        <f>IF(Tab.o1[[#This Row],[a1]]=1,ABS(Tab.o1[[#This Row],[MOD]]-AVERAGE(Tab.o1[MOD])),"")</f>
        <v/>
      </c>
      <c r="AR1110" s="134" t="str">
        <f>IF(Tab.o1[[#This Row],[a1]]=1,Tab.o1[[#This Row],[OBS]]/SUM(Tab.o1[OBS]),"")</f>
        <v/>
      </c>
      <c r="AS1110" s="135" t="str">
        <f>IF(ISNUMBER(Tab.o1[[#This Row],[a1]]),ROW()-4,"")</f>
        <v/>
      </c>
      <c r="AT1110" s="136" t="str">
        <f>Tab.o1[[#This Row],[MOD]]</f>
        <v/>
      </c>
      <c r="AU1110" s="137" t="str">
        <f t="shared" si="69"/>
        <v/>
      </c>
      <c r="AV1110" s="138" t="str">
        <f t="shared" si="70"/>
        <v/>
      </c>
      <c r="AW1110" s="138" t="str">
        <f t="shared" si="71"/>
        <v/>
      </c>
      <c r="AX1110" s="139" t="str">
        <f>[1]!T.in.A[[#This Row],[ID_T_manu]]</f>
        <v/>
      </c>
      <c r="AY1110" s="140" t="str">
        <f>IF(ISNUMBER(Tab.o1[[#This Row],[a1]]),IF(AND(Tab.o1[[#This Row],[a1]]=1,Tab.o1[[#This Row],[b1]]&lt;=AY$4),#REF!,AY1109),"")</f>
        <v/>
      </c>
      <c r="AZ1110" s="25"/>
      <c r="BA1110" s="25"/>
      <c r="BB1110" s="25"/>
      <c r="BC1110" s="25"/>
      <c r="BD1110" s="25"/>
      <c r="BE1110" s="25"/>
      <c r="BF1110" s="25"/>
      <c r="BG1110" s="25"/>
      <c r="BH1110" s="25"/>
      <c r="BI1110" s="25"/>
      <c r="BJ1110" s="25"/>
      <c r="BK1110" s="25"/>
      <c r="BL1110" s="25"/>
      <c r="BM1110" s="25"/>
      <c r="BN1110" s="26"/>
      <c r="BO1110" s="26"/>
      <c r="BP1110" s="26"/>
      <c r="BQ1110" s="26"/>
      <c r="BR1110" s="26"/>
      <c r="BS1110" s="26"/>
      <c r="BT1110" s="26"/>
      <c r="BU1110" s="26"/>
      <c r="BV1110" s="26"/>
      <c r="BW1110" s="26"/>
      <c r="BX1110" s="26"/>
      <c r="BY1110" s="26"/>
      <c r="BZ1110" s="26"/>
      <c r="CA1110" s="26"/>
    </row>
    <row r="1111" spans="1:79" ht="15.75" hidden="1">
      <c r="A1111" s="109">
        <v>9.0000000000000002E-6</v>
      </c>
      <c r="B1111" s="110">
        <f t="shared" si="68"/>
        <v>1111</v>
      </c>
      <c r="C1111" s="111" t="str">
        <f>IF(C$1=[1]!T.in.A[[#This Row],[oo2]],1,"")</f>
        <v/>
      </c>
      <c r="D1111" s="112" t="str">
        <f>IF(Tab.o1[[#This Row],[a1]]=1,IF(SUM(C1111:C1112)=0,0,IF(SUM(C1110:C1111)=1,1,IF(SUM(C1110:C1112)&gt;1,D1110+1,0))),"")</f>
        <v/>
      </c>
      <c r="E1111" s="113" t="str">
        <f>IF(Tab.o1[[#This Row],[a1]]=1,[1]!T.in.A[[#This Row],[oo1]],"")</f>
        <v/>
      </c>
      <c r="F1111" s="113" t="str">
        <f>IF(Tab.o1[[#This Row],[a1]]=1,[1]!T.in.A[[#This Row],[pp1]],"")</f>
        <v/>
      </c>
      <c r="G1111" s="114" t="str">
        <f>IF(Tab.o1[[#This Row],[a1]]=1,G$2+IF(G$1=1,0,Tab.o1[[#This Row],[.x1]])+[1]!T.in.A[[#This Row],[oo3]],"")</f>
        <v/>
      </c>
      <c r="H1111" s="115" t="str">
        <f>IF(Tab.o1[[#This Row],[a1]]=1,IF(H$2=0,0,IF(G$1=1,0,Tab.o1[[#This Row],[.x1]])+[1]!T.in.A[[#This Row],[oo4]]),"")</f>
        <v/>
      </c>
      <c r="I1111" s="116" t="str">
        <f>IF(Tab.o1[[#This Row],[a1]]=1,IF(J$2=0,Tab.o1[[#This Row],[MED]],Tab.o1[[#This Row],[MOD]]),"")</f>
        <v/>
      </c>
      <c r="J1111" s="116" t="str">
        <f>IF(Tab.o1[[#This Row],[a1]]=1,((Tab.o1[[#This Row],[DIF_Target.]]-AVERAGE(Tab.o1[DIF_Target.]))/_xlfn.STDEV.P(Tab.o1[DIF_Target.])),"")</f>
        <v/>
      </c>
      <c r="K1111" s="117" t="str">
        <f>IF(Tab.o1[[#This Row],[a1]]=1,IF(J$2=0,Tab.o1[[#This Row],[MOD]]-Tab.o1[[#This Row],[B]],IF(J$2=1,0,-Tab.o1[[#This Row],[MED]])+Tab.o1[[#This Row],[B]]),"")</f>
        <v/>
      </c>
      <c r="L1111" s="117" t="str">
        <f ca="1">IF(Tab.o1[[#This Row],[DIF_Target]]=0,IF(L$2=0,Tab.o1[[#This Row],[DIF_Target]],AVERAGE(OFFSET(Tab.o1[[#This Row],[DIF_Target]],1,0,L$3,1)))/3,Tab.o1[[#This Row],[DIF_Target]])</f>
        <v/>
      </c>
      <c r="M1111" s="118" t="str">
        <f>IF(Tab.o1[[#This Row],[a1]]=1,NORMSDIST(Tab.o1[[#This Row],[Za]]),"")</f>
        <v/>
      </c>
      <c r="N1111" s="119" t="str">
        <f>IF(Tab.o1[[#This Row],[a1]]=1,((Tab.o1[[#This Row],[MedMod]]-AVERAGE(Tab.o1[MedMod]))/_xlfn.STDEV.P(Tab.o1[MedMod])*H$1205)+G$1205,"")</f>
        <v/>
      </c>
      <c r="O1111" s="141" t="str">
        <f>IF(Tab.o1[[#This Row],[a1]]=1,Tab.o1[[#This Row],[Zb]]*_xlfn.STDEV.P(Tab.o1[MedMod])+AVERAGE(Tab.o1[MedMod]),"")</f>
        <v/>
      </c>
      <c r="P1111" s="117" t="str">
        <f ca="1">IF(Tab.o1[[#This Row],[B]]=0,AVERAGE(OFFSET(Tab.o1[[#This Row],[B]],1,0,L$3,1)),Tab.o1[[#This Row],[B]])</f>
        <v/>
      </c>
      <c r="Q1111" s="121" t="str">
        <f>IF(Tab.o1[[#This Row],[a1]]=1,NORMSDIST(Tab.o1[[#This Row],[Zb]]),"")</f>
        <v/>
      </c>
      <c r="R1111" s="122" t="str">
        <f>IF(Tab.o1[[#This Row],[a1]]=1,((Tab.o1[[#This Row],[MedMod]]-AVERAGE(Tab.o1[MedMod]))/_xlfn.STDEV.P(Tab.o1[MedMod])*H$1203)+G$1203,"")</f>
        <v/>
      </c>
      <c r="S1111" s="122" t="str">
        <f>IF(Tab.o1[[#This Row],[a1]]=1,((Tab.o1[[#This Row],[MedMod]]-AVERAGE(Tab.o1[MedMod]))/_xlfn.STDEV.P(Tab.o1[MedMod])*H$1204)+G$1204,"")</f>
        <v/>
      </c>
      <c r="T1111" s="123" t="str">
        <f>IF(Tab.o1[[#This Row],[a1]]=1,Tab.o1[[#This Row],[Z-]]*_xlfn.STDEV.P(Tab.o1[B])+AVERAGE(Tab.o1[B]),"")</f>
        <v/>
      </c>
      <c r="U1111" s="123" t="str">
        <f>IF(Tab.o1[[#This Row],[a1]]=1,Tab.o1[[#This Row],[z+]]*_xlfn.STDEV.P(Tab.o1[B])+AVERAGE(Tab.o1[B]),"")</f>
        <v/>
      </c>
      <c r="V1111" s="124" t="str">
        <f>IF(Tab.o1[[#This Row],[a1]]=1,ABS((ABS(Tab.o1[[#This Row],[Red]]-Tab.o1[[#This Row],[Blue]]))),"")</f>
        <v/>
      </c>
      <c r="W1111" s="125" t="str">
        <f>IF(Tab.o1[[#This Row],[a1]]=1,IF(W$3=0,1,Tab.o1[[#This Row],[Amp.]]*1/_xlfn.MINIFS(Tab.o1[Amp.],Tab.o1[Amp.],"&lt;&gt;0")),"")</f>
        <v/>
      </c>
      <c r="X1111" s="126" t="str">
        <f>IF(Tab.o1[[#This Row],[a1]]=1,IF(ISNUMBER(Tab.o1[[#This Row],[i.]]),NORMDIST(Tab.o1[[#This Row],[Za]],0,1,FALSE)*Tab.o1[[#This Row],[i.]],AP$3),"")</f>
        <v/>
      </c>
      <c r="Y1111" s="126" t="str">
        <f>IF(Tab.o1[[#This Row],[a1]]=1,0.01+0.94*Tab.o1[[#This Row],[PDF]]/MAX(Tab.o1[PDF]),"")</f>
        <v/>
      </c>
      <c r="Z1111" s="126" t="str">
        <f>IF(Tab.o1[[#This Row],[a1]]=1,0.01+0.94*Tab.o1[[#This Row],[W1_PDF]]/MAX(Tab.o1[W1_PDF]),"")</f>
        <v/>
      </c>
      <c r="AA1111" s="118" t="str">
        <f>IF(Tab.o1[[#This Row],[a1]]=1,ABS([1]!T.in.A[[#This Row],[oo6]]),"")</f>
        <v/>
      </c>
      <c r="AB1111" s="127" t="str">
        <f>IF(Tab.o1[[#This Row],[a1]]=1,IF(AE$3=0,"",IF(AB$3=0,ABS([1]!T.in.A[[#This Row],[oo9]]),ABS(Tab.o1[[#This Row],[DIF_Target.]]*Tab.o1[[#This Row],[W1_PDF]]))),"")</f>
        <v/>
      </c>
      <c r="AC1111" s="127" t="str">
        <f>IF(G$1=1,"",IF(Tab.o1[[#This Row],[a1]]=1,Tab.o1[[#This Row],[Wr]]^2,""))</f>
        <v/>
      </c>
      <c r="AD1111" s="118" t="str">
        <f>IF(Tab.o1[[#This Row],[a1]]=1,IF(AE$3=0,"",Tab.o1[[#This Row],[Wr2]]/SUM(Tab.o1[Wr2])),"")</f>
        <v/>
      </c>
      <c r="AE1111" s="128" t="str">
        <f>IF(Tab.o1[[#This Row],[a1]]=1,[1]!T.in.A[[#This Row],[oo10]],"")</f>
        <v/>
      </c>
      <c r="AF1111" s="118" t="str">
        <f>IF(Tab.o1[[#This Row],[a1]]=1,ABS(Tab.o1[[#This Row],[DIF_Target.]]*Tab.o1[[#This Row],[PDF2]]*Tab.o1[[#This Row],[IN]]),"")</f>
        <v/>
      </c>
      <c r="AG1111" s="129" t="str">
        <f>IF(Tab.o1[[#This Row],[a1]]=1,Tab.o1[[#This Row],[rW]]^2,"")</f>
        <v/>
      </c>
      <c r="AH1111" s="130" t="str">
        <f>IF(Tab.o1[[#This Row],[a1]]=1,IF(AH$3=0,Tab.o1[[#This Row],[rW2]],0.01+0.94*Tab.o1[[#This Row],[rW2]]/SUM(Tab.o1[rW2])),"")</f>
        <v/>
      </c>
      <c r="AI1111" s="128" t="str">
        <f>IF(Tab.o1[[#This Row],[a1]]=1,1/Tab.o1[[#This Row],[PDF]],"")</f>
        <v/>
      </c>
      <c r="AJ1111" s="131" t="str">
        <f>IF(Tab.o1[[#This Row],[a1]]=1,[1]!T_AA[[#This Row],[IN'']]*[1]!T_AA[[#This Row],[Qde'']],"")</f>
        <v/>
      </c>
      <c r="AK1111" s="132" t="str">
        <f>IF(Tab.o1[[#This Row],[a1]]=1,IF(AK$1=1,Tab.o1[[#This Row],[MED]]+Tab.o1[[#This Row],[MOD]]-Tab.o1[[#This Row],[MED]],""),"")</f>
        <v/>
      </c>
      <c r="AL1111" s="133" t="str">
        <f>IF(Tab.o1[[#This Row],[a1]]=1,[1]!T.in.A[[#This Row],[oo16]],"")</f>
        <v/>
      </c>
      <c r="AM1111" s="133" t="str">
        <f>IF(Tab.o1[[#This Row],[a1]]=1,IF(AM$3=1,[1]!T.in.A[[#This Row],[Σo16]],""),"")</f>
        <v/>
      </c>
      <c r="AN1111" s="126" t="str">
        <f>IF(Tab.o1[[#This Row],[a1]]=1,[1]!T.in.A[[#This Row],[Σp5]],"")</f>
        <v/>
      </c>
      <c r="AO1111" s="126" t="str">
        <f>IF(Tab.o1[[#This Row],[a1]]=1,IF(AO$3=1,[1]!T.in.A[[#This Row],[Σp5]],""),"")</f>
        <v/>
      </c>
      <c r="AP1111" s="110" t="str">
        <f>IF(Tab.o1[[#This Row],[a1]]=1,IF(ISNUMBER(Tab.o1[[#This Row],[i.]]),NORMDIST(Tab.o1[[#This Row],[Za]],0,1,FALSE)*Tab.o1[[#This Row],[i.]],0),"")</f>
        <v/>
      </c>
      <c r="AQ1111" s="125" t="str">
        <f>IF(Tab.o1[[#This Row],[a1]]=1,ABS(Tab.o1[[#This Row],[MOD]]-AVERAGE(Tab.o1[MOD])),"")</f>
        <v/>
      </c>
      <c r="AR1111" s="134" t="str">
        <f>IF(Tab.o1[[#This Row],[a1]]=1,Tab.o1[[#This Row],[OBS]]/SUM(Tab.o1[OBS]),"")</f>
        <v/>
      </c>
      <c r="AS1111" s="135" t="str">
        <f>IF(ISNUMBER(Tab.o1[[#This Row],[a1]]),ROW()-4,"")</f>
        <v/>
      </c>
      <c r="AT1111" s="136" t="str">
        <f>Tab.o1[[#This Row],[MOD]]</f>
        <v/>
      </c>
      <c r="AU1111" s="137" t="str">
        <f t="shared" si="69"/>
        <v/>
      </c>
      <c r="AV1111" s="138" t="str">
        <f t="shared" si="70"/>
        <v/>
      </c>
      <c r="AW1111" s="138" t="str">
        <f t="shared" si="71"/>
        <v/>
      </c>
      <c r="AX1111" s="139" t="str">
        <f>[1]!T.in.A[[#This Row],[ID_T_manu]]</f>
        <v/>
      </c>
      <c r="AY1111" s="140" t="str">
        <f>IF(ISNUMBER(Tab.o1[[#This Row],[a1]]),IF(AND(Tab.o1[[#This Row],[a1]]=1,Tab.o1[[#This Row],[b1]]&lt;=AY$4),#REF!,AY1110),"")</f>
        <v/>
      </c>
      <c r="AZ1111" s="25"/>
      <c r="BA1111" s="25"/>
      <c r="BB1111" s="25"/>
      <c r="BC1111" s="25"/>
      <c r="BD1111" s="25"/>
      <c r="BE1111" s="25"/>
      <c r="BF1111" s="25"/>
      <c r="BG1111" s="25"/>
      <c r="BH1111" s="25"/>
      <c r="BI1111" s="25"/>
      <c r="BJ1111" s="25"/>
      <c r="BK1111" s="25"/>
      <c r="BL1111" s="25"/>
      <c r="BM1111" s="25"/>
      <c r="BN1111" s="26"/>
      <c r="BO1111" s="26"/>
      <c r="BP1111" s="26"/>
      <c r="BQ1111" s="26"/>
      <c r="BR1111" s="26"/>
      <c r="BS1111" s="26"/>
      <c r="BT1111" s="26"/>
      <c r="BU1111" s="26"/>
      <c r="BV1111" s="26"/>
      <c r="BW1111" s="26"/>
      <c r="BX1111" s="26"/>
      <c r="BY1111" s="26"/>
      <c r="BZ1111" s="26"/>
      <c r="CA1111" s="26"/>
    </row>
    <row r="1112" spans="1:79" ht="15.75" hidden="1">
      <c r="A1112" s="109">
        <v>-1.0000000000000001E-5</v>
      </c>
      <c r="B1112" s="110">
        <f t="shared" si="68"/>
        <v>1112</v>
      </c>
      <c r="C1112" s="111" t="str">
        <f>IF(C$1=[1]!T.in.A[[#This Row],[oo2]],1,"")</f>
        <v/>
      </c>
      <c r="D1112" s="112" t="str">
        <f>IF(Tab.o1[[#This Row],[a1]]=1,IF(SUM(C1112:C1113)=0,0,IF(SUM(C1111:C1112)=1,1,IF(SUM(C1111:C1113)&gt;1,D1111+1,0))),"")</f>
        <v/>
      </c>
      <c r="E1112" s="113" t="str">
        <f>IF(Tab.o1[[#This Row],[a1]]=1,[1]!T.in.A[[#This Row],[oo1]],"")</f>
        <v/>
      </c>
      <c r="F1112" s="113" t="str">
        <f>IF(Tab.o1[[#This Row],[a1]]=1,[1]!T.in.A[[#This Row],[pp1]],"")</f>
        <v/>
      </c>
      <c r="G1112" s="114" t="str">
        <f>IF(Tab.o1[[#This Row],[a1]]=1,G$2+IF(G$1=1,0,Tab.o1[[#This Row],[.x1]])+[1]!T.in.A[[#This Row],[oo3]],"")</f>
        <v/>
      </c>
      <c r="H1112" s="115" t="str">
        <f>IF(Tab.o1[[#This Row],[a1]]=1,IF(H$2=0,0,IF(G$1=1,0,Tab.o1[[#This Row],[.x1]])+[1]!T.in.A[[#This Row],[oo4]]),"")</f>
        <v/>
      </c>
      <c r="I1112" s="116" t="str">
        <f>IF(Tab.o1[[#This Row],[a1]]=1,IF(J$2=0,Tab.o1[[#This Row],[MED]],Tab.o1[[#This Row],[MOD]]),"")</f>
        <v/>
      </c>
      <c r="J1112" s="116" t="str">
        <f>IF(Tab.o1[[#This Row],[a1]]=1,((Tab.o1[[#This Row],[DIF_Target.]]-AVERAGE(Tab.o1[DIF_Target.]))/_xlfn.STDEV.P(Tab.o1[DIF_Target.])),"")</f>
        <v/>
      </c>
      <c r="K1112" s="117" t="str">
        <f>IF(Tab.o1[[#This Row],[a1]]=1,IF(J$2=0,Tab.o1[[#This Row],[MOD]]-Tab.o1[[#This Row],[B]],IF(J$2=1,0,-Tab.o1[[#This Row],[MED]])+Tab.o1[[#This Row],[B]]),"")</f>
        <v/>
      </c>
      <c r="L1112" s="117" t="str">
        <f ca="1">IF(Tab.o1[[#This Row],[DIF_Target]]=0,IF(L$2=0,Tab.o1[[#This Row],[DIF_Target]],AVERAGE(OFFSET(Tab.o1[[#This Row],[DIF_Target]],1,0,L$3,1)))/3,Tab.o1[[#This Row],[DIF_Target]])</f>
        <v/>
      </c>
      <c r="M1112" s="118" t="str">
        <f>IF(Tab.o1[[#This Row],[a1]]=1,NORMSDIST(Tab.o1[[#This Row],[Za]]),"")</f>
        <v/>
      </c>
      <c r="N1112" s="119" t="str">
        <f>IF(Tab.o1[[#This Row],[a1]]=1,((Tab.o1[[#This Row],[MedMod]]-AVERAGE(Tab.o1[MedMod]))/_xlfn.STDEV.P(Tab.o1[MedMod])*H$1205)+G$1205,"")</f>
        <v/>
      </c>
      <c r="O1112" s="141" t="str">
        <f>IF(Tab.o1[[#This Row],[a1]]=1,Tab.o1[[#This Row],[Zb]]*_xlfn.STDEV.P(Tab.o1[MedMod])+AVERAGE(Tab.o1[MedMod]),"")</f>
        <v/>
      </c>
      <c r="P1112" s="117" t="str">
        <f ca="1">IF(Tab.o1[[#This Row],[B]]=0,AVERAGE(OFFSET(Tab.o1[[#This Row],[B]],1,0,L$3,1)),Tab.o1[[#This Row],[B]])</f>
        <v/>
      </c>
      <c r="Q1112" s="121" t="str">
        <f>IF(Tab.o1[[#This Row],[a1]]=1,NORMSDIST(Tab.o1[[#This Row],[Zb]]),"")</f>
        <v/>
      </c>
      <c r="R1112" s="122" t="str">
        <f>IF(Tab.o1[[#This Row],[a1]]=1,((Tab.o1[[#This Row],[MedMod]]-AVERAGE(Tab.o1[MedMod]))/_xlfn.STDEV.P(Tab.o1[MedMod])*H$1203)+G$1203,"")</f>
        <v/>
      </c>
      <c r="S1112" s="122" t="str">
        <f>IF(Tab.o1[[#This Row],[a1]]=1,((Tab.o1[[#This Row],[MedMod]]-AVERAGE(Tab.o1[MedMod]))/_xlfn.STDEV.P(Tab.o1[MedMod])*H$1204)+G$1204,"")</f>
        <v/>
      </c>
      <c r="T1112" s="123" t="str">
        <f>IF(Tab.o1[[#This Row],[a1]]=1,Tab.o1[[#This Row],[Z-]]*_xlfn.STDEV.P(Tab.o1[B])+AVERAGE(Tab.o1[B]),"")</f>
        <v/>
      </c>
      <c r="U1112" s="123" t="str">
        <f>IF(Tab.o1[[#This Row],[a1]]=1,Tab.o1[[#This Row],[z+]]*_xlfn.STDEV.P(Tab.o1[B])+AVERAGE(Tab.o1[B]),"")</f>
        <v/>
      </c>
      <c r="V1112" s="124" t="str">
        <f>IF(Tab.o1[[#This Row],[a1]]=1,ABS((ABS(Tab.o1[[#This Row],[Red]]-Tab.o1[[#This Row],[Blue]]))),"")</f>
        <v/>
      </c>
      <c r="W1112" s="125" t="str">
        <f>IF(Tab.o1[[#This Row],[a1]]=1,IF(W$3=0,1,Tab.o1[[#This Row],[Amp.]]*1/_xlfn.MINIFS(Tab.o1[Amp.],Tab.o1[Amp.],"&lt;&gt;0")),"")</f>
        <v/>
      </c>
      <c r="X1112" s="126" t="str">
        <f>IF(Tab.o1[[#This Row],[a1]]=1,IF(ISNUMBER(Tab.o1[[#This Row],[i.]]),NORMDIST(Tab.o1[[#This Row],[Za]],0,1,FALSE)*Tab.o1[[#This Row],[i.]],AP$3),"")</f>
        <v/>
      </c>
      <c r="Y1112" s="126" t="str">
        <f>IF(Tab.o1[[#This Row],[a1]]=1,0.01+0.94*Tab.o1[[#This Row],[PDF]]/MAX(Tab.o1[PDF]),"")</f>
        <v/>
      </c>
      <c r="Z1112" s="126" t="str">
        <f>IF(Tab.o1[[#This Row],[a1]]=1,0.01+0.94*Tab.o1[[#This Row],[W1_PDF]]/MAX(Tab.o1[W1_PDF]),"")</f>
        <v/>
      </c>
      <c r="AA1112" s="118" t="str">
        <f>IF(Tab.o1[[#This Row],[a1]]=1,ABS([1]!T.in.A[[#This Row],[oo6]]),"")</f>
        <v/>
      </c>
      <c r="AB1112" s="127" t="str">
        <f>IF(Tab.o1[[#This Row],[a1]]=1,IF(AE$3=0,"",IF(AB$3=0,ABS([1]!T.in.A[[#This Row],[oo9]]),ABS(Tab.o1[[#This Row],[DIF_Target.]]*Tab.o1[[#This Row],[W1_PDF]]))),"")</f>
        <v/>
      </c>
      <c r="AC1112" s="127" t="str">
        <f>IF(G$1=1,"",IF(Tab.o1[[#This Row],[a1]]=1,Tab.o1[[#This Row],[Wr]]^2,""))</f>
        <v/>
      </c>
      <c r="AD1112" s="118" t="str">
        <f>IF(Tab.o1[[#This Row],[a1]]=1,IF(AE$3=0,"",Tab.o1[[#This Row],[Wr2]]/SUM(Tab.o1[Wr2])),"")</f>
        <v/>
      </c>
      <c r="AE1112" s="128" t="str">
        <f>IF(Tab.o1[[#This Row],[a1]]=1,[1]!T.in.A[[#This Row],[oo10]],"")</f>
        <v/>
      </c>
      <c r="AF1112" s="118" t="str">
        <f>IF(Tab.o1[[#This Row],[a1]]=1,ABS(Tab.o1[[#This Row],[DIF_Target.]]*Tab.o1[[#This Row],[PDF2]]*Tab.o1[[#This Row],[IN]]),"")</f>
        <v/>
      </c>
      <c r="AG1112" s="129" t="str">
        <f>IF(Tab.o1[[#This Row],[a1]]=1,Tab.o1[[#This Row],[rW]]^2,"")</f>
        <v/>
      </c>
      <c r="AH1112" s="130" t="str">
        <f>IF(Tab.o1[[#This Row],[a1]]=1,IF(AH$3=0,Tab.o1[[#This Row],[rW2]],0.01+0.94*Tab.o1[[#This Row],[rW2]]/SUM(Tab.o1[rW2])),"")</f>
        <v/>
      </c>
      <c r="AI1112" s="128" t="str">
        <f>IF(Tab.o1[[#This Row],[a1]]=1,1/Tab.o1[[#This Row],[PDF]],"")</f>
        <v/>
      </c>
      <c r="AJ1112" s="131" t="str">
        <f>IF(Tab.o1[[#This Row],[a1]]=1,[1]!T_AA[[#This Row],[IN'']]*[1]!T_AA[[#This Row],[Qde'']],"")</f>
        <v/>
      </c>
      <c r="AK1112" s="132" t="str">
        <f>IF(Tab.o1[[#This Row],[a1]]=1,IF(AK$1=1,Tab.o1[[#This Row],[MED]]+Tab.o1[[#This Row],[MOD]]-Tab.o1[[#This Row],[MED]],""),"")</f>
        <v/>
      </c>
      <c r="AL1112" s="133" t="str">
        <f>IF(Tab.o1[[#This Row],[a1]]=1,[1]!T.in.A[[#This Row],[oo16]],"")</f>
        <v/>
      </c>
      <c r="AM1112" s="133" t="str">
        <f>IF(Tab.o1[[#This Row],[a1]]=1,IF(AM$3=1,[1]!T.in.A[[#This Row],[Σo16]],""),"")</f>
        <v/>
      </c>
      <c r="AN1112" s="126" t="str">
        <f>IF(Tab.o1[[#This Row],[a1]]=1,[1]!T.in.A[[#This Row],[Σp5]],"")</f>
        <v/>
      </c>
      <c r="AO1112" s="126" t="str">
        <f>IF(Tab.o1[[#This Row],[a1]]=1,IF(AO$3=1,[1]!T.in.A[[#This Row],[Σp5]],""),"")</f>
        <v/>
      </c>
      <c r="AP1112" s="110" t="str">
        <f>IF(Tab.o1[[#This Row],[a1]]=1,IF(ISNUMBER(Tab.o1[[#This Row],[i.]]),NORMDIST(Tab.o1[[#This Row],[Za]],0,1,FALSE)*Tab.o1[[#This Row],[i.]],0),"")</f>
        <v/>
      </c>
      <c r="AQ1112" s="125" t="str">
        <f>IF(Tab.o1[[#This Row],[a1]]=1,ABS(Tab.o1[[#This Row],[MOD]]-AVERAGE(Tab.o1[MOD])),"")</f>
        <v/>
      </c>
      <c r="AR1112" s="134" t="str">
        <f>IF(Tab.o1[[#This Row],[a1]]=1,Tab.o1[[#This Row],[OBS]]/SUM(Tab.o1[OBS]),"")</f>
        <v/>
      </c>
      <c r="AS1112" s="135" t="str">
        <f>IF(ISNUMBER(Tab.o1[[#This Row],[a1]]),ROW()-4,"")</f>
        <v/>
      </c>
      <c r="AT1112" s="136" t="str">
        <f>Tab.o1[[#This Row],[MOD]]</f>
        <v/>
      </c>
      <c r="AU1112" s="137" t="str">
        <f t="shared" si="69"/>
        <v/>
      </c>
      <c r="AV1112" s="138" t="str">
        <f t="shared" si="70"/>
        <v/>
      </c>
      <c r="AW1112" s="138" t="str">
        <f t="shared" si="71"/>
        <v/>
      </c>
      <c r="AX1112" s="139" t="str">
        <f>[1]!T.in.A[[#This Row],[ID_T_manu]]</f>
        <v/>
      </c>
      <c r="AY1112" s="140" t="str">
        <f>IF(ISNUMBER(Tab.o1[[#This Row],[a1]]),IF(AND(Tab.o1[[#This Row],[a1]]=1,Tab.o1[[#This Row],[b1]]&lt;=AY$4),#REF!,AY1111),"")</f>
        <v/>
      </c>
      <c r="AZ1112" s="25"/>
      <c r="BA1112" s="25"/>
      <c r="BB1112" s="25"/>
      <c r="BC1112" s="25"/>
      <c r="BD1112" s="25"/>
      <c r="BE1112" s="25"/>
      <c r="BF1112" s="25"/>
      <c r="BG1112" s="25"/>
      <c r="BH1112" s="25"/>
      <c r="BI1112" s="25"/>
      <c r="BJ1112" s="25"/>
      <c r="BK1112" s="25"/>
      <c r="BL1112" s="25"/>
      <c r="BM1112" s="25"/>
      <c r="BN1112" s="26"/>
      <c r="BO1112" s="26"/>
      <c r="BP1112" s="26"/>
      <c r="BQ1112" s="26"/>
      <c r="BR1112" s="26"/>
      <c r="BS1112" s="26"/>
      <c r="BT1112" s="26"/>
      <c r="BU1112" s="26"/>
      <c r="BV1112" s="26"/>
      <c r="BW1112" s="26"/>
      <c r="BX1112" s="26"/>
      <c r="BY1112" s="26"/>
      <c r="BZ1112" s="26"/>
      <c r="CA1112" s="26"/>
    </row>
    <row r="1113" spans="1:79" ht="15.75" hidden="1">
      <c r="A1113" s="109">
        <v>8.0000000000000013E-6</v>
      </c>
      <c r="B1113" s="110">
        <f t="shared" si="68"/>
        <v>1113</v>
      </c>
      <c r="C1113" s="111" t="str">
        <f>IF(C$1=[1]!T.in.A[[#This Row],[oo2]],1,"")</f>
        <v/>
      </c>
      <c r="D1113" s="112" t="str">
        <f>IF(Tab.o1[[#This Row],[a1]]=1,IF(SUM(C1113:C1114)=0,0,IF(SUM(C1112:C1113)=1,1,IF(SUM(C1112:C1114)&gt;1,D1112+1,0))),"")</f>
        <v/>
      </c>
      <c r="E1113" s="113" t="str">
        <f>IF(Tab.o1[[#This Row],[a1]]=1,[1]!T.in.A[[#This Row],[oo1]],"")</f>
        <v/>
      </c>
      <c r="F1113" s="113" t="str">
        <f>IF(Tab.o1[[#This Row],[a1]]=1,[1]!T.in.A[[#This Row],[pp1]],"")</f>
        <v/>
      </c>
      <c r="G1113" s="114" t="str">
        <f>IF(Tab.o1[[#This Row],[a1]]=1,G$2+IF(G$1=1,0,Tab.o1[[#This Row],[.x1]])+[1]!T.in.A[[#This Row],[oo3]],"")</f>
        <v/>
      </c>
      <c r="H1113" s="115" t="str">
        <f>IF(Tab.o1[[#This Row],[a1]]=1,IF(H$2=0,0,IF(G$1=1,0,Tab.o1[[#This Row],[.x1]])+[1]!T.in.A[[#This Row],[oo4]]),"")</f>
        <v/>
      </c>
      <c r="I1113" s="116" t="str">
        <f>IF(Tab.o1[[#This Row],[a1]]=1,IF(J$2=0,Tab.o1[[#This Row],[MED]],Tab.o1[[#This Row],[MOD]]),"")</f>
        <v/>
      </c>
      <c r="J1113" s="116" t="str">
        <f>IF(Tab.o1[[#This Row],[a1]]=1,((Tab.o1[[#This Row],[DIF_Target.]]-AVERAGE(Tab.o1[DIF_Target.]))/_xlfn.STDEV.P(Tab.o1[DIF_Target.])),"")</f>
        <v/>
      </c>
      <c r="K1113" s="117" t="str">
        <f>IF(Tab.o1[[#This Row],[a1]]=1,IF(J$2=0,Tab.o1[[#This Row],[MOD]]-Tab.o1[[#This Row],[B]],IF(J$2=1,0,-Tab.o1[[#This Row],[MED]])+Tab.o1[[#This Row],[B]]),"")</f>
        <v/>
      </c>
      <c r="L1113" s="117" t="str">
        <f ca="1">IF(Tab.o1[[#This Row],[DIF_Target]]=0,IF(L$2=0,Tab.o1[[#This Row],[DIF_Target]],AVERAGE(OFFSET(Tab.o1[[#This Row],[DIF_Target]],1,0,L$3,1)))/3,Tab.o1[[#This Row],[DIF_Target]])</f>
        <v/>
      </c>
      <c r="M1113" s="118" t="str">
        <f>IF(Tab.o1[[#This Row],[a1]]=1,NORMSDIST(Tab.o1[[#This Row],[Za]]),"")</f>
        <v/>
      </c>
      <c r="N1113" s="119" t="str">
        <f>IF(Tab.o1[[#This Row],[a1]]=1,((Tab.o1[[#This Row],[MedMod]]-AVERAGE(Tab.o1[MedMod]))/_xlfn.STDEV.P(Tab.o1[MedMod])*H$1205)+G$1205,"")</f>
        <v/>
      </c>
      <c r="O1113" s="141" t="str">
        <f>IF(Tab.o1[[#This Row],[a1]]=1,Tab.o1[[#This Row],[Zb]]*_xlfn.STDEV.P(Tab.o1[MedMod])+AVERAGE(Tab.o1[MedMod]),"")</f>
        <v/>
      </c>
      <c r="P1113" s="117" t="str">
        <f ca="1">IF(Tab.o1[[#This Row],[B]]=0,AVERAGE(OFFSET(Tab.o1[[#This Row],[B]],1,0,L$3,1)),Tab.o1[[#This Row],[B]])</f>
        <v/>
      </c>
      <c r="Q1113" s="121" t="str">
        <f>IF(Tab.o1[[#This Row],[a1]]=1,NORMSDIST(Tab.o1[[#This Row],[Zb]]),"")</f>
        <v/>
      </c>
      <c r="R1113" s="122" t="str">
        <f>IF(Tab.o1[[#This Row],[a1]]=1,((Tab.o1[[#This Row],[MedMod]]-AVERAGE(Tab.o1[MedMod]))/_xlfn.STDEV.P(Tab.o1[MedMod])*H$1203)+G$1203,"")</f>
        <v/>
      </c>
      <c r="S1113" s="122" t="str">
        <f>IF(Tab.o1[[#This Row],[a1]]=1,((Tab.o1[[#This Row],[MedMod]]-AVERAGE(Tab.o1[MedMod]))/_xlfn.STDEV.P(Tab.o1[MedMod])*H$1204)+G$1204,"")</f>
        <v/>
      </c>
      <c r="T1113" s="123" t="str">
        <f>IF(Tab.o1[[#This Row],[a1]]=1,Tab.o1[[#This Row],[Z-]]*_xlfn.STDEV.P(Tab.o1[B])+AVERAGE(Tab.o1[B]),"")</f>
        <v/>
      </c>
      <c r="U1113" s="123" t="str">
        <f>IF(Tab.o1[[#This Row],[a1]]=1,Tab.o1[[#This Row],[z+]]*_xlfn.STDEV.P(Tab.o1[B])+AVERAGE(Tab.o1[B]),"")</f>
        <v/>
      </c>
      <c r="V1113" s="124" t="str">
        <f>IF(Tab.o1[[#This Row],[a1]]=1,ABS((ABS(Tab.o1[[#This Row],[Red]]-Tab.o1[[#This Row],[Blue]]))),"")</f>
        <v/>
      </c>
      <c r="W1113" s="125" t="str">
        <f>IF(Tab.o1[[#This Row],[a1]]=1,IF(W$3=0,1,Tab.o1[[#This Row],[Amp.]]*1/_xlfn.MINIFS(Tab.o1[Amp.],Tab.o1[Amp.],"&lt;&gt;0")),"")</f>
        <v/>
      </c>
      <c r="X1113" s="126" t="str">
        <f>IF(Tab.o1[[#This Row],[a1]]=1,IF(ISNUMBER(Tab.o1[[#This Row],[i.]]),NORMDIST(Tab.o1[[#This Row],[Za]],0,1,FALSE)*Tab.o1[[#This Row],[i.]],AP$3),"")</f>
        <v/>
      </c>
      <c r="Y1113" s="126" t="str">
        <f>IF(Tab.o1[[#This Row],[a1]]=1,0.01+0.94*Tab.o1[[#This Row],[PDF]]/MAX(Tab.o1[PDF]),"")</f>
        <v/>
      </c>
      <c r="Z1113" s="126" t="str">
        <f>IF(Tab.o1[[#This Row],[a1]]=1,0.01+0.94*Tab.o1[[#This Row],[W1_PDF]]/MAX(Tab.o1[W1_PDF]),"")</f>
        <v/>
      </c>
      <c r="AA1113" s="118" t="str">
        <f>IF(Tab.o1[[#This Row],[a1]]=1,ABS([1]!T.in.A[[#This Row],[oo6]]),"")</f>
        <v/>
      </c>
      <c r="AB1113" s="127" t="str">
        <f>IF(Tab.o1[[#This Row],[a1]]=1,IF(AE$3=0,"",IF(AB$3=0,ABS([1]!T.in.A[[#This Row],[oo9]]),ABS(Tab.o1[[#This Row],[DIF_Target.]]*Tab.o1[[#This Row],[W1_PDF]]))),"")</f>
        <v/>
      </c>
      <c r="AC1113" s="127" t="str">
        <f>IF(G$1=1,"",IF(Tab.o1[[#This Row],[a1]]=1,Tab.o1[[#This Row],[Wr]]^2,""))</f>
        <v/>
      </c>
      <c r="AD1113" s="118" t="str">
        <f>IF(Tab.o1[[#This Row],[a1]]=1,IF(AE$3=0,"",Tab.o1[[#This Row],[Wr2]]/SUM(Tab.o1[Wr2])),"")</f>
        <v/>
      </c>
      <c r="AE1113" s="128" t="str">
        <f>IF(Tab.o1[[#This Row],[a1]]=1,[1]!T.in.A[[#This Row],[oo10]],"")</f>
        <v/>
      </c>
      <c r="AF1113" s="118" t="str">
        <f>IF(Tab.o1[[#This Row],[a1]]=1,ABS(Tab.o1[[#This Row],[DIF_Target.]]*Tab.o1[[#This Row],[PDF2]]*Tab.o1[[#This Row],[IN]]),"")</f>
        <v/>
      </c>
      <c r="AG1113" s="129" t="str">
        <f>IF(Tab.o1[[#This Row],[a1]]=1,Tab.o1[[#This Row],[rW]]^2,"")</f>
        <v/>
      </c>
      <c r="AH1113" s="130" t="str">
        <f>IF(Tab.o1[[#This Row],[a1]]=1,IF(AH$3=0,Tab.o1[[#This Row],[rW2]],0.01+0.94*Tab.o1[[#This Row],[rW2]]/SUM(Tab.o1[rW2])),"")</f>
        <v/>
      </c>
      <c r="AI1113" s="128" t="str">
        <f>IF(Tab.o1[[#This Row],[a1]]=1,1/Tab.o1[[#This Row],[PDF]],"")</f>
        <v/>
      </c>
      <c r="AJ1113" s="131" t="str">
        <f>IF(Tab.o1[[#This Row],[a1]]=1,[1]!T_AA[[#This Row],[IN'']]*[1]!T_AA[[#This Row],[Qde'']],"")</f>
        <v/>
      </c>
      <c r="AK1113" s="132" t="str">
        <f>IF(Tab.o1[[#This Row],[a1]]=1,IF(AK$1=1,Tab.o1[[#This Row],[MED]]+Tab.o1[[#This Row],[MOD]]-Tab.o1[[#This Row],[MED]],""),"")</f>
        <v/>
      </c>
      <c r="AL1113" s="133" t="str">
        <f>IF(Tab.o1[[#This Row],[a1]]=1,[1]!T.in.A[[#This Row],[oo16]],"")</f>
        <v/>
      </c>
      <c r="AM1113" s="133" t="str">
        <f>IF(Tab.o1[[#This Row],[a1]]=1,IF(AM$3=1,[1]!T.in.A[[#This Row],[Σo16]],""),"")</f>
        <v/>
      </c>
      <c r="AN1113" s="126" t="str">
        <f>IF(Tab.o1[[#This Row],[a1]]=1,[1]!T.in.A[[#This Row],[Σp5]],"")</f>
        <v/>
      </c>
      <c r="AO1113" s="126" t="str">
        <f>IF(Tab.o1[[#This Row],[a1]]=1,IF(AO$3=1,[1]!T.in.A[[#This Row],[Σp5]],""),"")</f>
        <v/>
      </c>
      <c r="AP1113" s="110" t="str">
        <f>IF(Tab.o1[[#This Row],[a1]]=1,IF(ISNUMBER(Tab.o1[[#This Row],[i.]]),NORMDIST(Tab.o1[[#This Row],[Za]],0,1,FALSE)*Tab.o1[[#This Row],[i.]],0),"")</f>
        <v/>
      </c>
      <c r="AQ1113" s="125" t="str">
        <f>IF(Tab.o1[[#This Row],[a1]]=1,ABS(Tab.o1[[#This Row],[MOD]]-AVERAGE(Tab.o1[MOD])),"")</f>
        <v/>
      </c>
      <c r="AR1113" s="134" t="str">
        <f>IF(Tab.o1[[#This Row],[a1]]=1,Tab.o1[[#This Row],[OBS]]/SUM(Tab.o1[OBS]),"")</f>
        <v/>
      </c>
      <c r="AS1113" s="135" t="str">
        <f>IF(ISNUMBER(Tab.o1[[#This Row],[a1]]),ROW()-4,"")</f>
        <v/>
      </c>
      <c r="AT1113" s="136" t="str">
        <f>Tab.o1[[#This Row],[MOD]]</f>
        <v/>
      </c>
      <c r="AU1113" s="137" t="str">
        <f t="shared" si="69"/>
        <v/>
      </c>
      <c r="AV1113" s="138" t="str">
        <f t="shared" si="70"/>
        <v/>
      </c>
      <c r="AW1113" s="138" t="str">
        <f t="shared" si="71"/>
        <v/>
      </c>
      <c r="AX1113" s="139" t="str">
        <f>[1]!T.in.A[[#This Row],[ID_T_manu]]</f>
        <v/>
      </c>
      <c r="AY1113" s="140" t="str">
        <f>IF(ISNUMBER(Tab.o1[[#This Row],[a1]]),IF(AND(Tab.o1[[#This Row],[a1]]=1,Tab.o1[[#This Row],[b1]]&lt;=AY$4),#REF!,AY1112),"")</f>
        <v/>
      </c>
      <c r="AZ1113" s="25"/>
      <c r="BA1113" s="25"/>
      <c r="BB1113" s="25"/>
      <c r="BC1113" s="25"/>
      <c r="BD1113" s="25"/>
      <c r="BE1113" s="25"/>
      <c r="BF1113" s="25"/>
      <c r="BG1113" s="25"/>
      <c r="BH1113" s="25"/>
      <c r="BI1113" s="25"/>
      <c r="BJ1113" s="25"/>
      <c r="BK1113" s="25"/>
      <c r="BL1113" s="25"/>
      <c r="BM1113" s="25"/>
      <c r="BN1113" s="26"/>
      <c r="BO1113" s="26"/>
      <c r="BP1113" s="26"/>
      <c r="BQ1113" s="26"/>
      <c r="BR1113" s="26"/>
      <c r="BS1113" s="26"/>
      <c r="BT1113" s="26"/>
      <c r="BU1113" s="26"/>
      <c r="BV1113" s="26"/>
      <c r="BW1113" s="26"/>
      <c r="BX1113" s="26"/>
      <c r="BY1113" s="26"/>
      <c r="BZ1113" s="26"/>
      <c r="CA1113" s="26"/>
    </row>
    <row r="1114" spans="1:79" ht="15.75" hidden="1">
      <c r="A1114" s="109">
        <v>1.0000000000000001E-5</v>
      </c>
      <c r="B1114" s="110">
        <f t="shared" si="68"/>
        <v>1114</v>
      </c>
      <c r="C1114" s="111" t="str">
        <f>IF(C$1=[1]!T.in.A[[#This Row],[oo2]],1,"")</f>
        <v/>
      </c>
      <c r="D1114" s="112" t="str">
        <f>IF(Tab.o1[[#This Row],[a1]]=1,IF(SUM(C1114:C1115)=0,0,IF(SUM(C1113:C1114)=1,1,IF(SUM(C1113:C1115)&gt;1,D1113+1,0))),"")</f>
        <v/>
      </c>
      <c r="E1114" s="113" t="str">
        <f>IF(Tab.o1[[#This Row],[a1]]=1,[1]!T.in.A[[#This Row],[oo1]],"")</f>
        <v/>
      </c>
      <c r="F1114" s="113" t="str">
        <f>IF(Tab.o1[[#This Row],[a1]]=1,[1]!T.in.A[[#This Row],[pp1]],"")</f>
        <v/>
      </c>
      <c r="G1114" s="114" t="str">
        <f>IF(Tab.o1[[#This Row],[a1]]=1,G$2+IF(G$1=1,0,Tab.o1[[#This Row],[.x1]])+[1]!T.in.A[[#This Row],[oo3]],"")</f>
        <v/>
      </c>
      <c r="H1114" s="115" t="str">
        <f>IF(Tab.o1[[#This Row],[a1]]=1,IF(H$2=0,0,IF(G$1=1,0,Tab.o1[[#This Row],[.x1]])+[1]!T.in.A[[#This Row],[oo4]]),"")</f>
        <v/>
      </c>
      <c r="I1114" s="116" t="str">
        <f>IF(Tab.o1[[#This Row],[a1]]=1,IF(J$2=0,Tab.o1[[#This Row],[MED]],Tab.o1[[#This Row],[MOD]]),"")</f>
        <v/>
      </c>
      <c r="J1114" s="116" t="str">
        <f>IF(Tab.o1[[#This Row],[a1]]=1,((Tab.o1[[#This Row],[DIF_Target.]]-AVERAGE(Tab.o1[DIF_Target.]))/_xlfn.STDEV.P(Tab.o1[DIF_Target.])),"")</f>
        <v/>
      </c>
      <c r="K1114" s="117" t="str">
        <f>IF(Tab.o1[[#This Row],[a1]]=1,IF(J$2=0,Tab.o1[[#This Row],[MOD]]-Tab.o1[[#This Row],[B]],IF(J$2=1,0,-Tab.o1[[#This Row],[MED]])+Tab.o1[[#This Row],[B]]),"")</f>
        <v/>
      </c>
      <c r="L1114" s="117" t="str">
        <f ca="1">IF(Tab.o1[[#This Row],[DIF_Target]]=0,IF(L$2=0,Tab.o1[[#This Row],[DIF_Target]],AVERAGE(OFFSET(Tab.o1[[#This Row],[DIF_Target]],1,0,L$3,1)))/3,Tab.o1[[#This Row],[DIF_Target]])</f>
        <v/>
      </c>
      <c r="M1114" s="118" t="str">
        <f>IF(Tab.o1[[#This Row],[a1]]=1,NORMSDIST(Tab.o1[[#This Row],[Za]]),"")</f>
        <v/>
      </c>
      <c r="N1114" s="119" t="str">
        <f>IF(Tab.o1[[#This Row],[a1]]=1,((Tab.o1[[#This Row],[MedMod]]-AVERAGE(Tab.o1[MedMod]))/_xlfn.STDEV.P(Tab.o1[MedMod])*H$1205)+G$1205,"")</f>
        <v/>
      </c>
      <c r="O1114" s="141" t="str">
        <f>IF(Tab.o1[[#This Row],[a1]]=1,Tab.o1[[#This Row],[Zb]]*_xlfn.STDEV.P(Tab.o1[MedMod])+AVERAGE(Tab.o1[MedMod]),"")</f>
        <v/>
      </c>
      <c r="P1114" s="117" t="str">
        <f ca="1">IF(Tab.o1[[#This Row],[B]]=0,AVERAGE(OFFSET(Tab.o1[[#This Row],[B]],1,0,L$3,1)),Tab.o1[[#This Row],[B]])</f>
        <v/>
      </c>
      <c r="Q1114" s="121" t="str">
        <f>IF(Tab.o1[[#This Row],[a1]]=1,NORMSDIST(Tab.o1[[#This Row],[Zb]]),"")</f>
        <v/>
      </c>
      <c r="R1114" s="122" t="str">
        <f>IF(Tab.o1[[#This Row],[a1]]=1,((Tab.o1[[#This Row],[MedMod]]-AVERAGE(Tab.o1[MedMod]))/_xlfn.STDEV.P(Tab.o1[MedMod])*H$1203)+G$1203,"")</f>
        <v/>
      </c>
      <c r="S1114" s="122" t="str">
        <f>IF(Tab.o1[[#This Row],[a1]]=1,((Tab.o1[[#This Row],[MedMod]]-AVERAGE(Tab.o1[MedMod]))/_xlfn.STDEV.P(Tab.o1[MedMod])*H$1204)+G$1204,"")</f>
        <v/>
      </c>
      <c r="T1114" s="123" t="str">
        <f>IF(Tab.o1[[#This Row],[a1]]=1,Tab.o1[[#This Row],[Z-]]*_xlfn.STDEV.P(Tab.o1[B])+AVERAGE(Tab.o1[B]),"")</f>
        <v/>
      </c>
      <c r="U1114" s="123" t="str">
        <f>IF(Tab.o1[[#This Row],[a1]]=1,Tab.o1[[#This Row],[z+]]*_xlfn.STDEV.P(Tab.o1[B])+AVERAGE(Tab.o1[B]),"")</f>
        <v/>
      </c>
      <c r="V1114" s="124" t="str">
        <f>IF(Tab.o1[[#This Row],[a1]]=1,ABS((ABS(Tab.o1[[#This Row],[Red]]-Tab.o1[[#This Row],[Blue]]))),"")</f>
        <v/>
      </c>
      <c r="W1114" s="125" t="str">
        <f>IF(Tab.o1[[#This Row],[a1]]=1,IF(W$3=0,1,Tab.o1[[#This Row],[Amp.]]*1/_xlfn.MINIFS(Tab.o1[Amp.],Tab.o1[Amp.],"&lt;&gt;0")),"")</f>
        <v/>
      </c>
      <c r="X1114" s="126" t="str">
        <f>IF(Tab.o1[[#This Row],[a1]]=1,IF(ISNUMBER(Tab.o1[[#This Row],[i.]]),NORMDIST(Tab.o1[[#This Row],[Za]],0,1,FALSE)*Tab.o1[[#This Row],[i.]],AP$3),"")</f>
        <v/>
      </c>
      <c r="Y1114" s="126" t="str">
        <f>IF(Tab.o1[[#This Row],[a1]]=1,0.01+0.94*Tab.o1[[#This Row],[PDF]]/MAX(Tab.o1[PDF]),"")</f>
        <v/>
      </c>
      <c r="Z1114" s="126" t="str">
        <f>IF(Tab.o1[[#This Row],[a1]]=1,0.01+0.94*Tab.o1[[#This Row],[W1_PDF]]/MAX(Tab.o1[W1_PDF]),"")</f>
        <v/>
      </c>
      <c r="AA1114" s="118" t="str">
        <f>IF(Tab.o1[[#This Row],[a1]]=1,ABS([1]!T.in.A[[#This Row],[oo6]]),"")</f>
        <v/>
      </c>
      <c r="AB1114" s="127" t="str">
        <f>IF(Tab.o1[[#This Row],[a1]]=1,IF(AE$3=0,"",IF(AB$3=0,ABS([1]!T.in.A[[#This Row],[oo9]]),ABS(Tab.o1[[#This Row],[DIF_Target.]]*Tab.o1[[#This Row],[W1_PDF]]))),"")</f>
        <v/>
      </c>
      <c r="AC1114" s="127" t="str">
        <f>IF(G$1=1,"",IF(Tab.o1[[#This Row],[a1]]=1,Tab.o1[[#This Row],[Wr]]^2,""))</f>
        <v/>
      </c>
      <c r="AD1114" s="118" t="str">
        <f>IF(Tab.o1[[#This Row],[a1]]=1,IF(AE$3=0,"",Tab.o1[[#This Row],[Wr2]]/SUM(Tab.o1[Wr2])),"")</f>
        <v/>
      </c>
      <c r="AE1114" s="128" t="str">
        <f>IF(Tab.o1[[#This Row],[a1]]=1,[1]!T.in.A[[#This Row],[oo10]],"")</f>
        <v/>
      </c>
      <c r="AF1114" s="118" t="str">
        <f>IF(Tab.o1[[#This Row],[a1]]=1,ABS(Tab.o1[[#This Row],[DIF_Target.]]*Tab.o1[[#This Row],[PDF2]]*Tab.o1[[#This Row],[IN]]),"")</f>
        <v/>
      </c>
      <c r="AG1114" s="129" t="str">
        <f>IF(Tab.o1[[#This Row],[a1]]=1,Tab.o1[[#This Row],[rW]]^2,"")</f>
        <v/>
      </c>
      <c r="AH1114" s="130" t="str">
        <f>IF(Tab.o1[[#This Row],[a1]]=1,IF(AH$3=0,Tab.o1[[#This Row],[rW2]],0.01+0.94*Tab.o1[[#This Row],[rW2]]/SUM(Tab.o1[rW2])),"")</f>
        <v/>
      </c>
      <c r="AI1114" s="128" t="str">
        <f>IF(Tab.o1[[#This Row],[a1]]=1,1/Tab.o1[[#This Row],[PDF]],"")</f>
        <v/>
      </c>
      <c r="AJ1114" s="131" t="str">
        <f>IF(Tab.o1[[#This Row],[a1]]=1,[1]!T_AA[[#This Row],[IN'']]*[1]!T_AA[[#This Row],[Qde'']],"")</f>
        <v/>
      </c>
      <c r="AK1114" s="132" t="str">
        <f>IF(Tab.o1[[#This Row],[a1]]=1,IF(AK$1=1,Tab.o1[[#This Row],[MED]]+Tab.o1[[#This Row],[MOD]]-Tab.o1[[#This Row],[MED]],""),"")</f>
        <v/>
      </c>
      <c r="AL1114" s="133" t="str">
        <f>IF(Tab.o1[[#This Row],[a1]]=1,[1]!T.in.A[[#This Row],[oo16]],"")</f>
        <v/>
      </c>
      <c r="AM1114" s="133" t="str">
        <f>IF(Tab.o1[[#This Row],[a1]]=1,IF(AM$3=1,[1]!T.in.A[[#This Row],[Σo16]],""),"")</f>
        <v/>
      </c>
      <c r="AN1114" s="126" t="str">
        <f>IF(Tab.o1[[#This Row],[a1]]=1,[1]!T.in.A[[#This Row],[Σp5]],"")</f>
        <v/>
      </c>
      <c r="AO1114" s="126" t="str">
        <f>IF(Tab.o1[[#This Row],[a1]]=1,IF(AO$3=1,[1]!T.in.A[[#This Row],[Σp5]],""),"")</f>
        <v/>
      </c>
      <c r="AP1114" s="110" t="str">
        <f>IF(Tab.o1[[#This Row],[a1]]=1,IF(ISNUMBER(Tab.o1[[#This Row],[i.]]),NORMDIST(Tab.o1[[#This Row],[Za]],0,1,FALSE)*Tab.o1[[#This Row],[i.]],0),"")</f>
        <v/>
      </c>
      <c r="AQ1114" s="125" t="str">
        <f>IF(Tab.o1[[#This Row],[a1]]=1,ABS(Tab.o1[[#This Row],[MOD]]-AVERAGE(Tab.o1[MOD])),"")</f>
        <v/>
      </c>
      <c r="AR1114" s="134" t="str">
        <f>IF(Tab.o1[[#This Row],[a1]]=1,Tab.o1[[#This Row],[OBS]]/SUM(Tab.o1[OBS]),"")</f>
        <v/>
      </c>
      <c r="AS1114" s="135" t="str">
        <f>IF(ISNUMBER(Tab.o1[[#This Row],[a1]]),ROW()-4,"")</f>
        <v/>
      </c>
      <c r="AT1114" s="136" t="str">
        <f>Tab.o1[[#This Row],[MOD]]</f>
        <v/>
      </c>
      <c r="AU1114" s="137" t="str">
        <f t="shared" si="69"/>
        <v/>
      </c>
      <c r="AV1114" s="138" t="str">
        <f t="shared" si="70"/>
        <v/>
      </c>
      <c r="AW1114" s="138" t="str">
        <f t="shared" si="71"/>
        <v/>
      </c>
      <c r="AX1114" s="139" t="str">
        <f>[1]!T.in.A[[#This Row],[ID_T_manu]]</f>
        <v/>
      </c>
      <c r="AY1114" s="140" t="str">
        <f>IF(ISNUMBER(Tab.o1[[#This Row],[a1]]),IF(AND(Tab.o1[[#This Row],[a1]]=1,Tab.o1[[#This Row],[b1]]&lt;=AY$4),#REF!,AY1113),"")</f>
        <v/>
      </c>
      <c r="AZ1114" s="25"/>
      <c r="BA1114" s="25"/>
      <c r="BB1114" s="25"/>
      <c r="BC1114" s="25"/>
      <c r="BD1114" s="25"/>
      <c r="BE1114" s="25"/>
      <c r="BF1114" s="25"/>
      <c r="BG1114" s="25"/>
      <c r="BH1114" s="25"/>
      <c r="BI1114" s="25"/>
      <c r="BJ1114" s="25"/>
      <c r="BK1114" s="25"/>
      <c r="BL1114" s="25"/>
      <c r="BM1114" s="25"/>
      <c r="BN1114" s="26"/>
      <c r="BO1114" s="26"/>
      <c r="BP1114" s="26"/>
      <c r="BQ1114" s="26"/>
      <c r="BR1114" s="26"/>
      <c r="BS1114" s="26"/>
      <c r="BT1114" s="26"/>
      <c r="BU1114" s="26"/>
      <c r="BV1114" s="26"/>
      <c r="BW1114" s="26"/>
      <c r="BX1114" s="26"/>
      <c r="BY1114" s="26"/>
      <c r="BZ1114" s="26"/>
      <c r="CA1114" s="26"/>
    </row>
    <row r="1115" spans="1:79" ht="15.75" hidden="1">
      <c r="A1115" s="109">
        <v>2.9999999999999997E-6</v>
      </c>
      <c r="B1115" s="110">
        <f t="shared" si="68"/>
        <v>1115</v>
      </c>
      <c r="C1115" s="111" t="str">
        <f>IF(C$1=[1]!T.in.A[[#This Row],[oo2]],1,"")</f>
        <v/>
      </c>
      <c r="D1115" s="112" t="str">
        <f>IF(Tab.o1[[#This Row],[a1]]=1,IF(SUM(C1115:C1116)=0,0,IF(SUM(C1114:C1115)=1,1,IF(SUM(C1114:C1116)&gt;1,D1114+1,0))),"")</f>
        <v/>
      </c>
      <c r="E1115" s="113" t="str">
        <f>IF(Tab.o1[[#This Row],[a1]]=1,[1]!T.in.A[[#This Row],[oo1]],"")</f>
        <v/>
      </c>
      <c r="F1115" s="113" t="str">
        <f>IF(Tab.o1[[#This Row],[a1]]=1,[1]!T.in.A[[#This Row],[pp1]],"")</f>
        <v/>
      </c>
      <c r="G1115" s="114" t="str">
        <f>IF(Tab.o1[[#This Row],[a1]]=1,G$2+IF(G$1=1,0,Tab.o1[[#This Row],[.x1]])+[1]!T.in.A[[#This Row],[oo3]],"")</f>
        <v/>
      </c>
      <c r="H1115" s="115" t="str">
        <f>IF(Tab.o1[[#This Row],[a1]]=1,IF(H$2=0,0,IF(G$1=1,0,Tab.o1[[#This Row],[.x1]])+[1]!T.in.A[[#This Row],[oo4]]),"")</f>
        <v/>
      </c>
      <c r="I1115" s="116" t="str">
        <f>IF(Tab.o1[[#This Row],[a1]]=1,IF(J$2=0,Tab.o1[[#This Row],[MED]],Tab.o1[[#This Row],[MOD]]),"")</f>
        <v/>
      </c>
      <c r="J1115" s="116" t="str">
        <f>IF(Tab.o1[[#This Row],[a1]]=1,((Tab.o1[[#This Row],[DIF_Target.]]-AVERAGE(Tab.o1[DIF_Target.]))/_xlfn.STDEV.P(Tab.o1[DIF_Target.])),"")</f>
        <v/>
      </c>
      <c r="K1115" s="117" t="str">
        <f>IF(Tab.o1[[#This Row],[a1]]=1,IF(J$2=0,Tab.o1[[#This Row],[MOD]]-Tab.o1[[#This Row],[B]],IF(J$2=1,0,-Tab.o1[[#This Row],[MED]])+Tab.o1[[#This Row],[B]]),"")</f>
        <v/>
      </c>
      <c r="L1115" s="117" t="str">
        <f ca="1">IF(Tab.o1[[#This Row],[DIF_Target]]=0,IF(L$2=0,Tab.o1[[#This Row],[DIF_Target]],AVERAGE(OFFSET(Tab.o1[[#This Row],[DIF_Target]],1,0,L$3,1)))/3,Tab.o1[[#This Row],[DIF_Target]])</f>
        <v/>
      </c>
      <c r="M1115" s="118" t="str">
        <f>IF(Tab.o1[[#This Row],[a1]]=1,NORMSDIST(Tab.o1[[#This Row],[Za]]),"")</f>
        <v/>
      </c>
      <c r="N1115" s="119" t="str">
        <f>IF(Tab.o1[[#This Row],[a1]]=1,((Tab.o1[[#This Row],[MedMod]]-AVERAGE(Tab.o1[MedMod]))/_xlfn.STDEV.P(Tab.o1[MedMod])*H$1205)+G$1205,"")</f>
        <v/>
      </c>
      <c r="O1115" s="141" t="str">
        <f>IF(Tab.o1[[#This Row],[a1]]=1,Tab.o1[[#This Row],[Zb]]*_xlfn.STDEV.P(Tab.o1[MedMod])+AVERAGE(Tab.o1[MedMod]),"")</f>
        <v/>
      </c>
      <c r="P1115" s="117" t="str">
        <f ca="1">IF(Tab.o1[[#This Row],[B]]=0,AVERAGE(OFFSET(Tab.o1[[#This Row],[B]],1,0,L$3,1)),Tab.o1[[#This Row],[B]])</f>
        <v/>
      </c>
      <c r="Q1115" s="121" t="str">
        <f>IF(Tab.o1[[#This Row],[a1]]=1,NORMSDIST(Tab.o1[[#This Row],[Zb]]),"")</f>
        <v/>
      </c>
      <c r="R1115" s="122" t="str">
        <f>IF(Tab.o1[[#This Row],[a1]]=1,((Tab.o1[[#This Row],[MedMod]]-AVERAGE(Tab.o1[MedMod]))/_xlfn.STDEV.P(Tab.o1[MedMod])*H$1203)+G$1203,"")</f>
        <v/>
      </c>
      <c r="S1115" s="122" t="str">
        <f>IF(Tab.o1[[#This Row],[a1]]=1,((Tab.o1[[#This Row],[MedMod]]-AVERAGE(Tab.o1[MedMod]))/_xlfn.STDEV.P(Tab.o1[MedMod])*H$1204)+G$1204,"")</f>
        <v/>
      </c>
      <c r="T1115" s="123" t="str">
        <f>IF(Tab.o1[[#This Row],[a1]]=1,Tab.o1[[#This Row],[Z-]]*_xlfn.STDEV.P(Tab.o1[B])+AVERAGE(Tab.o1[B]),"")</f>
        <v/>
      </c>
      <c r="U1115" s="123" t="str">
        <f>IF(Tab.o1[[#This Row],[a1]]=1,Tab.o1[[#This Row],[z+]]*_xlfn.STDEV.P(Tab.o1[B])+AVERAGE(Tab.o1[B]),"")</f>
        <v/>
      </c>
      <c r="V1115" s="124" t="str">
        <f>IF(Tab.o1[[#This Row],[a1]]=1,ABS((ABS(Tab.o1[[#This Row],[Red]]-Tab.o1[[#This Row],[Blue]]))),"")</f>
        <v/>
      </c>
      <c r="W1115" s="125" t="str">
        <f>IF(Tab.o1[[#This Row],[a1]]=1,IF(W$3=0,1,Tab.o1[[#This Row],[Amp.]]*1/_xlfn.MINIFS(Tab.o1[Amp.],Tab.o1[Amp.],"&lt;&gt;0")),"")</f>
        <v/>
      </c>
      <c r="X1115" s="126" t="str">
        <f>IF(Tab.o1[[#This Row],[a1]]=1,IF(ISNUMBER(Tab.o1[[#This Row],[i.]]),NORMDIST(Tab.o1[[#This Row],[Za]],0,1,FALSE)*Tab.o1[[#This Row],[i.]],AP$3),"")</f>
        <v/>
      </c>
      <c r="Y1115" s="126" t="str">
        <f>IF(Tab.o1[[#This Row],[a1]]=1,0.01+0.94*Tab.o1[[#This Row],[PDF]]/MAX(Tab.o1[PDF]),"")</f>
        <v/>
      </c>
      <c r="Z1115" s="126" t="str">
        <f>IF(Tab.o1[[#This Row],[a1]]=1,0.01+0.94*Tab.o1[[#This Row],[W1_PDF]]/MAX(Tab.o1[W1_PDF]),"")</f>
        <v/>
      </c>
      <c r="AA1115" s="118" t="str">
        <f>IF(Tab.o1[[#This Row],[a1]]=1,ABS([1]!T.in.A[[#This Row],[oo6]]),"")</f>
        <v/>
      </c>
      <c r="AB1115" s="127" t="str">
        <f>IF(Tab.o1[[#This Row],[a1]]=1,IF(AE$3=0,"",IF(AB$3=0,ABS([1]!T.in.A[[#This Row],[oo9]]),ABS(Tab.o1[[#This Row],[DIF_Target.]]*Tab.o1[[#This Row],[W1_PDF]]))),"")</f>
        <v/>
      </c>
      <c r="AC1115" s="127" t="str">
        <f>IF(G$1=1,"",IF(Tab.o1[[#This Row],[a1]]=1,Tab.o1[[#This Row],[Wr]]^2,""))</f>
        <v/>
      </c>
      <c r="AD1115" s="118" t="str">
        <f>IF(Tab.o1[[#This Row],[a1]]=1,IF(AE$3=0,"",Tab.o1[[#This Row],[Wr2]]/SUM(Tab.o1[Wr2])),"")</f>
        <v/>
      </c>
      <c r="AE1115" s="128" t="str">
        <f>IF(Tab.o1[[#This Row],[a1]]=1,[1]!T.in.A[[#This Row],[oo10]],"")</f>
        <v/>
      </c>
      <c r="AF1115" s="118" t="str">
        <f>IF(Tab.o1[[#This Row],[a1]]=1,ABS(Tab.o1[[#This Row],[DIF_Target.]]*Tab.o1[[#This Row],[PDF2]]*Tab.o1[[#This Row],[IN]]),"")</f>
        <v/>
      </c>
      <c r="AG1115" s="129" t="str">
        <f>IF(Tab.o1[[#This Row],[a1]]=1,Tab.o1[[#This Row],[rW]]^2,"")</f>
        <v/>
      </c>
      <c r="AH1115" s="130" t="str">
        <f>IF(Tab.o1[[#This Row],[a1]]=1,IF(AH$3=0,Tab.o1[[#This Row],[rW2]],0.01+0.94*Tab.o1[[#This Row],[rW2]]/SUM(Tab.o1[rW2])),"")</f>
        <v/>
      </c>
      <c r="AI1115" s="128" t="str">
        <f>IF(Tab.o1[[#This Row],[a1]]=1,1/Tab.o1[[#This Row],[PDF]],"")</f>
        <v/>
      </c>
      <c r="AJ1115" s="131" t="str">
        <f>IF(Tab.o1[[#This Row],[a1]]=1,[1]!T_AA[[#This Row],[IN'']]*[1]!T_AA[[#This Row],[Qde'']],"")</f>
        <v/>
      </c>
      <c r="AK1115" s="132" t="str">
        <f>IF(Tab.o1[[#This Row],[a1]]=1,IF(AK$1=1,Tab.o1[[#This Row],[MED]]+Tab.o1[[#This Row],[MOD]]-Tab.o1[[#This Row],[MED]],""),"")</f>
        <v/>
      </c>
      <c r="AL1115" s="133" t="str">
        <f>IF(Tab.o1[[#This Row],[a1]]=1,[1]!T.in.A[[#This Row],[oo16]],"")</f>
        <v/>
      </c>
      <c r="AM1115" s="133" t="str">
        <f>IF(Tab.o1[[#This Row],[a1]]=1,IF(AM$3=1,[1]!T.in.A[[#This Row],[Σo16]],""),"")</f>
        <v/>
      </c>
      <c r="AN1115" s="126" t="str">
        <f>IF(Tab.o1[[#This Row],[a1]]=1,[1]!T.in.A[[#This Row],[Σp5]],"")</f>
        <v/>
      </c>
      <c r="AO1115" s="126" t="str">
        <f>IF(Tab.o1[[#This Row],[a1]]=1,IF(AO$3=1,[1]!T.in.A[[#This Row],[Σp5]],""),"")</f>
        <v/>
      </c>
      <c r="AP1115" s="110" t="str">
        <f>IF(Tab.o1[[#This Row],[a1]]=1,IF(ISNUMBER(Tab.o1[[#This Row],[i.]]),NORMDIST(Tab.o1[[#This Row],[Za]],0,1,FALSE)*Tab.o1[[#This Row],[i.]],0),"")</f>
        <v/>
      </c>
      <c r="AQ1115" s="125" t="str">
        <f>IF(Tab.o1[[#This Row],[a1]]=1,ABS(Tab.o1[[#This Row],[MOD]]-AVERAGE(Tab.o1[MOD])),"")</f>
        <v/>
      </c>
      <c r="AR1115" s="134" t="str">
        <f>IF(Tab.o1[[#This Row],[a1]]=1,Tab.o1[[#This Row],[OBS]]/SUM(Tab.o1[OBS]),"")</f>
        <v/>
      </c>
      <c r="AS1115" s="135" t="str">
        <f>IF(ISNUMBER(Tab.o1[[#This Row],[a1]]),ROW()-4,"")</f>
        <v/>
      </c>
      <c r="AT1115" s="136" t="str">
        <f>Tab.o1[[#This Row],[MOD]]</f>
        <v/>
      </c>
      <c r="AU1115" s="137" t="str">
        <f t="shared" si="69"/>
        <v/>
      </c>
      <c r="AV1115" s="138" t="str">
        <f t="shared" si="70"/>
        <v/>
      </c>
      <c r="AW1115" s="138" t="str">
        <f t="shared" si="71"/>
        <v/>
      </c>
      <c r="AX1115" s="139" t="str">
        <f>[1]!T.in.A[[#This Row],[ID_T_manu]]</f>
        <v/>
      </c>
      <c r="AY1115" s="140" t="str">
        <f>IF(ISNUMBER(Tab.o1[[#This Row],[a1]]),IF(AND(Tab.o1[[#This Row],[a1]]=1,Tab.o1[[#This Row],[b1]]&lt;=AY$4),#REF!,AY1114),"")</f>
        <v/>
      </c>
      <c r="AZ1115" s="25"/>
      <c r="BA1115" s="25"/>
      <c r="BB1115" s="25"/>
      <c r="BC1115" s="25"/>
      <c r="BD1115" s="25"/>
      <c r="BE1115" s="25"/>
      <c r="BF1115" s="25"/>
      <c r="BG1115" s="25"/>
      <c r="BH1115" s="25"/>
      <c r="BI1115" s="25"/>
      <c r="BJ1115" s="25"/>
      <c r="BK1115" s="25"/>
      <c r="BL1115" s="25"/>
      <c r="BM1115" s="25"/>
      <c r="BN1115" s="26"/>
      <c r="BO1115" s="26"/>
      <c r="BP1115" s="26"/>
      <c r="BQ1115" s="26"/>
      <c r="BR1115" s="26"/>
      <c r="BS1115" s="26"/>
      <c r="BT1115" s="26"/>
      <c r="BU1115" s="26"/>
      <c r="BV1115" s="26"/>
      <c r="BW1115" s="26"/>
      <c r="BX1115" s="26"/>
      <c r="BY1115" s="26"/>
      <c r="BZ1115" s="26"/>
      <c r="CA1115" s="26"/>
    </row>
    <row r="1116" spans="1:79" ht="15.75" hidden="1">
      <c r="A1116" s="109">
        <v>-4.0000000000000007E-6</v>
      </c>
      <c r="B1116" s="110">
        <f t="shared" si="68"/>
        <v>1116</v>
      </c>
      <c r="C1116" s="111" t="str">
        <f>IF(C$1=[1]!T.in.A[[#This Row],[oo2]],1,"")</f>
        <v/>
      </c>
      <c r="D1116" s="112" t="str">
        <f>IF(Tab.o1[[#This Row],[a1]]=1,IF(SUM(C1116:C1117)=0,0,IF(SUM(C1115:C1116)=1,1,IF(SUM(C1115:C1117)&gt;1,D1115+1,0))),"")</f>
        <v/>
      </c>
      <c r="E1116" s="113" t="str">
        <f>IF(Tab.o1[[#This Row],[a1]]=1,[1]!T.in.A[[#This Row],[oo1]],"")</f>
        <v/>
      </c>
      <c r="F1116" s="113" t="str">
        <f>IF(Tab.o1[[#This Row],[a1]]=1,[1]!T.in.A[[#This Row],[pp1]],"")</f>
        <v/>
      </c>
      <c r="G1116" s="114" t="str">
        <f>IF(Tab.o1[[#This Row],[a1]]=1,G$2+IF(G$1=1,0,Tab.o1[[#This Row],[.x1]])+[1]!T.in.A[[#This Row],[oo3]],"")</f>
        <v/>
      </c>
      <c r="H1116" s="115" t="str">
        <f>IF(Tab.o1[[#This Row],[a1]]=1,IF(H$2=0,0,IF(G$1=1,0,Tab.o1[[#This Row],[.x1]])+[1]!T.in.A[[#This Row],[oo4]]),"")</f>
        <v/>
      </c>
      <c r="I1116" s="116" t="str">
        <f>IF(Tab.o1[[#This Row],[a1]]=1,IF(J$2=0,Tab.o1[[#This Row],[MED]],Tab.o1[[#This Row],[MOD]]),"")</f>
        <v/>
      </c>
      <c r="J1116" s="116" t="str">
        <f>IF(Tab.o1[[#This Row],[a1]]=1,((Tab.o1[[#This Row],[DIF_Target.]]-AVERAGE(Tab.o1[DIF_Target.]))/_xlfn.STDEV.P(Tab.o1[DIF_Target.])),"")</f>
        <v/>
      </c>
      <c r="K1116" s="117" t="str">
        <f>IF(Tab.o1[[#This Row],[a1]]=1,IF(J$2=0,Tab.o1[[#This Row],[MOD]]-Tab.o1[[#This Row],[B]],IF(J$2=1,0,-Tab.o1[[#This Row],[MED]])+Tab.o1[[#This Row],[B]]),"")</f>
        <v/>
      </c>
      <c r="L1116" s="117" t="str">
        <f ca="1">IF(Tab.o1[[#This Row],[DIF_Target]]=0,IF(L$2=0,Tab.o1[[#This Row],[DIF_Target]],AVERAGE(OFFSET(Tab.o1[[#This Row],[DIF_Target]],1,0,L$3,1)))/3,Tab.o1[[#This Row],[DIF_Target]])</f>
        <v/>
      </c>
      <c r="M1116" s="118" t="str">
        <f>IF(Tab.o1[[#This Row],[a1]]=1,NORMSDIST(Tab.o1[[#This Row],[Za]]),"")</f>
        <v/>
      </c>
      <c r="N1116" s="119" t="str">
        <f>IF(Tab.o1[[#This Row],[a1]]=1,((Tab.o1[[#This Row],[MedMod]]-AVERAGE(Tab.o1[MedMod]))/_xlfn.STDEV.P(Tab.o1[MedMod])*H$1205)+G$1205,"")</f>
        <v/>
      </c>
      <c r="O1116" s="141" t="str">
        <f>IF(Tab.o1[[#This Row],[a1]]=1,Tab.o1[[#This Row],[Zb]]*_xlfn.STDEV.P(Tab.o1[MedMod])+AVERAGE(Tab.o1[MedMod]),"")</f>
        <v/>
      </c>
      <c r="P1116" s="117" t="str">
        <f ca="1">IF(Tab.o1[[#This Row],[B]]=0,AVERAGE(OFFSET(Tab.o1[[#This Row],[B]],1,0,L$3,1)),Tab.o1[[#This Row],[B]])</f>
        <v/>
      </c>
      <c r="Q1116" s="121" t="str">
        <f>IF(Tab.o1[[#This Row],[a1]]=1,NORMSDIST(Tab.o1[[#This Row],[Zb]]),"")</f>
        <v/>
      </c>
      <c r="R1116" s="122" t="str">
        <f>IF(Tab.o1[[#This Row],[a1]]=1,((Tab.o1[[#This Row],[MedMod]]-AVERAGE(Tab.o1[MedMod]))/_xlfn.STDEV.P(Tab.o1[MedMod])*H$1203)+G$1203,"")</f>
        <v/>
      </c>
      <c r="S1116" s="122" t="str">
        <f>IF(Tab.o1[[#This Row],[a1]]=1,((Tab.o1[[#This Row],[MedMod]]-AVERAGE(Tab.o1[MedMod]))/_xlfn.STDEV.P(Tab.o1[MedMod])*H$1204)+G$1204,"")</f>
        <v/>
      </c>
      <c r="T1116" s="123" t="str">
        <f>IF(Tab.o1[[#This Row],[a1]]=1,Tab.o1[[#This Row],[Z-]]*_xlfn.STDEV.P(Tab.o1[B])+AVERAGE(Tab.o1[B]),"")</f>
        <v/>
      </c>
      <c r="U1116" s="123" t="str">
        <f>IF(Tab.o1[[#This Row],[a1]]=1,Tab.o1[[#This Row],[z+]]*_xlfn.STDEV.P(Tab.o1[B])+AVERAGE(Tab.o1[B]),"")</f>
        <v/>
      </c>
      <c r="V1116" s="124" t="str">
        <f>IF(Tab.o1[[#This Row],[a1]]=1,ABS((ABS(Tab.o1[[#This Row],[Red]]-Tab.o1[[#This Row],[Blue]]))),"")</f>
        <v/>
      </c>
      <c r="W1116" s="125" t="str">
        <f>IF(Tab.o1[[#This Row],[a1]]=1,IF(W$3=0,1,Tab.o1[[#This Row],[Amp.]]*1/_xlfn.MINIFS(Tab.o1[Amp.],Tab.o1[Amp.],"&lt;&gt;0")),"")</f>
        <v/>
      </c>
      <c r="X1116" s="126" t="str">
        <f>IF(Tab.o1[[#This Row],[a1]]=1,IF(ISNUMBER(Tab.o1[[#This Row],[i.]]),NORMDIST(Tab.o1[[#This Row],[Za]],0,1,FALSE)*Tab.o1[[#This Row],[i.]],AP$3),"")</f>
        <v/>
      </c>
      <c r="Y1116" s="126" t="str">
        <f>IF(Tab.o1[[#This Row],[a1]]=1,0.01+0.94*Tab.o1[[#This Row],[PDF]]/MAX(Tab.o1[PDF]),"")</f>
        <v/>
      </c>
      <c r="Z1116" s="126" t="str">
        <f>IF(Tab.o1[[#This Row],[a1]]=1,0.01+0.94*Tab.o1[[#This Row],[W1_PDF]]/MAX(Tab.o1[W1_PDF]),"")</f>
        <v/>
      </c>
      <c r="AA1116" s="118" t="str">
        <f>IF(Tab.o1[[#This Row],[a1]]=1,ABS([1]!T.in.A[[#This Row],[oo6]]),"")</f>
        <v/>
      </c>
      <c r="AB1116" s="127" t="str">
        <f>IF(Tab.o1[[#This Row],[a1]]=1,IF(AE$3=0,"",IF(AB$3=0,ABS([1]!T.in.A[[#This Row],[oo9]]),ABS(Tab.o1[[#This Row],[DIF_Target.]]*Tab.o1[[#This Row],[W1_PDF]]))),"")</f>
        <v/>
      </c>
      <c r="AC1116" s="127" t="str">
        <f>IF(G$1=1,"",IF(Tab.o1[[#This Row],[a1]]=1,Tab.o1[[#This Row],[Wr]]^2,""))</f>
        <v/>
      </c>
      <c r="AD1116" s="118" t="str">
        <f>IF(Tab.o1[[#This Row],[a1]]=1,IF(AE$3=0,"",Tab.o1[[#This Row],[Wr2]]/SUM(Tab.o1[Wr2])),"")</f>
        <v/>
      </c>
      <c r="AE1116" s="128" t="str">
        <f>IF(Tab.o1[[#This Row],[a1]]=1,[1]!T.in.A[[#This Row],[oo10]],"")</f>
        <v/>
      </c>
      <c r="AF1116" s="118" t="str">
        <f>IF(Tab.o1[[#This Row],[a1]]=1,ABS(Tab.o1[[#This Row],[DIF_Target.]]*Tab.o1[[#This Row],[PDF2]]*Tab.o1[[#This Row],[IN]]),"")</f>
        <v/>
      </c>
      <c r="AG1116" s="129" t="str">
        <f>IF(Tab.o1[[#This Row],[a1]]=1,Tab.o1[[#This Row],[rW]]^2,"")</f>
        <v/>
      </c>
      <c r="AH1116" s="130" t="str">
        <f>IF(Tab.o1[[#This Row],[a1]]=1,IF(AH$3=0,Tab.o1[[#This Row],[rW2]],0.01+0.94*Tab.o1[[#This Row],[rW2]]/SUM(Tab.o1[rW2])),"")</f>
        <v/>
      </c>
      <c r="AI1116" s="128" t="str">
        <f>IF(Tab.o1[[#This Row],[a1]]=1,1/Tab.o1[[#This Row],[PDF]],"")</f>
        <v/>
      </c>
      <c r="AJ1116" s="131" t="str">
        <f>IF(Tab.o1[[#This Row],[a1]]=1,[1]!T_AA[[#This Row],[IN'']]*[1]!T_AA[[#This Row],[Qde'']],"")</f>
        <v/>
      </c>
      <c r="AK1116" s="132" t="str">
        <f>IF(Tab.o1[[#This Row],[a1]]=1,IF(AK$1=1,Tab.o1[[#This Row],[MED]]+Tab.o1[[#This Row],[MOD]]-Tab.o1[[#This Row],[MED]],""),"")</f>
        <v/>
      </c>
      <c r="AL1116" s="133" t="str">
        <f>IF(Tab.o1[[#This Row],[a1]]=1,[1]!T.in.A[[#This Row],[oo16]],"")</f>
        <v/>
      </c>
      <c r="AM1116" s="133" t="str">
        <f>IF(Tab.o1[[#This Row],[a1]]=1,IF(AM$3=1,[1]!T.in.A[[#This Row],[Σo16]],""),"")</f>
        <v/>
      </c>
      <c r="AN1116" s="126" t="str">
        <f>IF(Tab.o1[[#This Row],[a1]]=1,[1]!T.in.A[[#This Row],[Σp5]],"")</f>
        <v/>
      </c>
      <c r="AO1116" s="126" t="str">
        <f>IF(Tab.o1[[#This Row],[a1]]=1,IF(AO$3=1,[1]!T.in.A[[#This Row],[Σp5]],""),"")</f>
        <v/>
      </c>
      <c r="AP1116" s="110" t="str">
        <f>IF(Tab.o1[[#This Row],[a1]]=1,IF(ISNUMBER(Tab.o1[[#This Row],[i.]]),NORMDIST(Tab.o1[[#This Row],[Za]],0,1,FALSE)*Tab.o1[[#This Row],[i.]],0),"")</f>
        <v/>
      </c>
      <c r="AQ1116" s="125" t="str">
        <f>IF(Tab.o1[[#This Row],[a1]]=1,ABS(Tab.o1[[#This Row],[MOD]]-AVERAGE(Tab.o1[MOD])),"")</f>
        <v/>
      </c>
      <c r="AR1116" s="134" t="str">
        <f>IF(Tab.o1[[#This Row],[a1]]=1,Tab.o1[[#This Row],[OBS]]/SUM(Tab.o1[OBS]),"")</f>
        <v/>
      </c>
      <c r="AS1116" s="135" t="str">
        <f>IF(ISNUMBER(Tab.o1[[#This Row],[a1]]),ROW()-4,"")</f>
        <v/>
      </c>
      <c r="AT1116" s="136" t="str">
        <f>Tab.o1[[#This Row],[MOD]]</f>
        <v/>
      </c>
      <c r="AU1116" s="137" t="str">
        <f t="shared" si="69"/>
        <v/>
      </c>
      <c r="AV1116" s="138" t="str">
        <f t="shared" si="70"/>
        <v/>
      </c>
      <c r="AW1116" s="138" t="str">
        <f t="shared" si="71"/>
        <v/>
      </c>
      <c r="AX1116" s="139" t="str">
        <f>[1]!T.in.A[[#This Row],[ID_T_manu]]</f>
        <v/>
      </c>
      <c r="AY1116" s="140" t="str">
        <f>IF(ISNUMBER(Tab.o1[[#This Row],[a1]]),IF(AND(Tab.o1[[#This Row],[a1]]=1,Tab.o1[[#This Row],[b1]]&lt;=AY$4),#REF!,AY1115),"")</f>
        <v/>
      </c>
      <c r="AZ1116" s="25"/>
      <c r="BA1116" s="25"/>
      <c r="BB1116" s="25"/>
      <c r="BC1116" s="25"/>
      <c r="BD1116" s="25"/>
      <c r="BE1116" s="25"/>
      <c r="BF1116" s="25"/>
      <c r="BG1116" s="25"/>
      <c r="BH1116" s="25"/>
      <c r="BI1116" s="25"/>
      <c r="BJ1116" s="25"/>
      <c r="BK1116" s="25"/>
      <c r="BL1116" s="25"/>
      <c r="BM1116" s="25"/>
      <c r="BN1116" s="26"/>
      <c r="BO1116" s="26"/>
      <c r="BP1116" s="26"/>
      <c r="BQ1116" s="26"/>
      <c r="BR1116" s="26"/>
      <c r="BS1116" s="26"/>
      <c r="BT1116" s="26"/>
      <c r="BU1116" s="26"/>
      <c r="BV1116" s="26"/>
      <c r="BW1116" s="26"/>
      <c r="BX1116" s="26"/>
      <c r="BY1116" s="26"/>
      <c r="BZ1116" s="26"/>
      <c r="CA1116" s="26"/>
    </row>
    <row r="1117" spans="1:79" ht="15.75" hidden="1">
      <c r="A1117" s="109">
        <v>5.9999999999999993E-6</v>
      </c>
      <c r="B1117" s="110">
        <f t="shared" si="68"/>
        <v>1117</v>
      </c>
      <c r="C1117" s="111" t="str">
        <f>IF(C$1=[1]!T.in.A[[#This Row],[oo2]],1,"")</f>
        <v/>
      </c>
      <c r="D1117" s="112" t="str">
        <f>IF(Tab.o1[[#This Row],[a1]]=1,IF(SUM(C1117:C1118)=0,0,IF(SUM(C1116:C1117)=1,1,IF(SUM(C1116:C1118)&gt;1,D1116+1,0))),"")</f>
        <v/>
      </c>
      <c r="E1117" s="113" t="str">
        <f>IF(Tab.o1[[#This Row],[a1]]=1,[1]!T.in.A[[#This Row],[oo1]],"")</f>
        <v/>
      </c>
      <c r="F1117" s="113" t="str">
        <f>IF(Tab.o1[[#This Row],[a1]]=1,[1]!T.in.A[[#This Row],[pp1]],"")</f>
        <v/>
      </c>
      <c r="G1117" s="114" t="str">
        <f>IF(Tab.o1[[#This Row],[a1]]=1,G$2+IF(G$1=1,0,Tab.o1[[#This Row],[.x1]])+[1]!T.in.A[[#This Row],[oo3]],"")</f>
        <v/>
      </c>
      <c r="H1117" s="115" t="str">
        <f>IF(Tab.o1[[#This Row],[a1]]=1,IF(H$2=0,0,IF(G$1=1,0,Tab.o1[[#This Row],[.x1]])+[1]!T.in.A[[#This Row],[oo4]]),"")</f>
        <v/>
      </c>
      <c r="I1117" s="116" t="str">
        <f>IF(Tab.o1[[#This Row],[a1]]=1,IF(J$2=0,Tab.o1[[#This Row],[MED]],Tab.o1[[#This Row],[MOD]]),"")</f>
        <v/>
      </c>
      <c r="J1117" s="116" t="str">
        <f>IF(Tab.o1[[#This Row],[a1]]=1,((Tab.o1[[#This Row],[DIF_Target.]]-AVERAGE(Tab.o1[DIF_Target.]))/_xlfn.STDEV.P(Tab.o1[DIF_Target.])),"")</f>
        <v/>
      </c>
      <c r="K1117" s="117" t="str">
        <f>IF(Tab.o1[[#This Row],[a1]]=1,IF(J$2=0,Tab.o1[[#This Row],[MOD]]-Tab.o1[[#This Row],[B]],IF(J$2=1,0,-Tab.o1[[#This Row],[MED]])+Tab.o1[[#This Row],[B]]),"")</f>
        <v/>
      </c>
      <c r="L1117" s="117" t="str">
        <f ca="1">IF(Tab.o1[[#This Row],[DIF_Target]]=0,IF(L$2=0,Tab.o1[[#This Row],[DIF_Target]],AVERAGE(OFFSET(Tab.o1[[#This Row],[DIF_Target]],1,0,L$3,1)))/3,Tab.o1[[#This Row],[DIF_Target]])</f>
        <v/>
      </c>
      <c r="M1117" s="118" t="str">
        <f>IF(Tab.o1[[#This Row],[a1]]=1,NORMSDIST(Tab.o1[[#This Row],[Za]]),"")</f>
        <v/>
      </c>
      <c r="N1117" s="119" t="str">
        <f>IF(Tab.o1[[#This Row],[a1]]=1,((Tab.o1[[#This Row],[MedMod]]-AVERAGE(Tab.o1[MedMod]))/_xlfn.STDEV.P(Tab.o1[MedMod])*H$1205)+G$1205,"")</f>
        <v/>
      </c>
      <c r="O1117" s="141" t="str">
        <f>IF(Tab.o1[[#This Row],[a1]]=1,Tab.o1[[#This Row],[Zb]]*_xlfn.STDEV.P(Tab.o1[MedMod])+AVERAGE(Tab.o1[MedMod]),"")</f>
        <v/>
      </c>
      <c r="P1117" s="117" t="str">
        <f ca="1">IF(Tab.o1[[#This Row],[B]]=0,AVERAGE(OFFSET(Tab.o1[[#This Row],[B]],1,0,L$3,1)),Tab.o1[[#This Row],[B]])</f>
        <v/>
      </c>
      <c r="Q1117" s="121" t="str">
        <f>IF(Tab.o1[[#This Row],[a1]]=1,NORMSDIST(Tab.o1[[#This Row],[Zb]]),"")</f>
        <v/>
      </c>
      <c r="R1117" s="122" t="str">
        <f>IF(Tab.o1[[#This Row],[a1]]=1,((Tab.o1[[#This Row],[MedMod]]-AVERAGE(Tab.o1[MedMod]))/_xlfn.STDEV.P(Tab.o1[MedMod])*H$1203)+G$1203,"")</f>
        <v/>
      </c>
      <c r="S1117" s="122" t="str">
        <f>IF(Tab.o1[[#This Row],[a1]]=1,((Tab.o1[[#This Row],[MedMod]]-AVERAGE(Tab.o1[MedMod]))/_xlfn.STDEV.P(Tab.o1[MedMod])*H$1204)+G$1204,"")</f>
        <v/>
      </c>
      <c r="T1117" s="123" t="str">
        <f>IF(Tab.o1[[#This Row],[a1]]=1,Tab.o1[[#This Row],[Z-]]*_xlfn.STDEV.P(Tab.o1[B])+AVERAGE(Tab.o1[B]),"")</f>
        <v/>
      </c>
      <c r="U1117" s="123" t="str">
        <f>IF(Tab.o1[[#This Row],[a1]]=1,Tab.o1[[#This Row],[z+]]*_xlfn.STDEV.P(Tab.o1[B])+AVERAGE(Tab.o1[B]),"")</f>
        <v/>
      </c>
      <c r="V1117" s="124" t="str">
        <f>IF(Tab.o1[[#This Row],[a1]]=1,ABS((ABS(Tab.o1[[#This Row],[Red]]-Tab.o1[[#This Row],[Blue]]))),"")</f>
        <v/>
      </c>
      <c r="W1117" s="125" t="str">
        <f>IF(Tab.o1[[#This Row],[a1]]=1,IF(W$3=0,1,Tab.o1[[#This Row],[Amp.]]*1/_xlfn.MINIFS(Tab.o1[Amp.],Tab.o1[Amp.],"&lt;&gt;0")),"")</f>
        <v/>
      </c>
      <c r="X1117" s="126" t="str">
        <f>IF(Tab.o1[[#This Row],[a1]]=1,IF(ISNUMBER(Tab.o1[[#This Row],[i.]]),NORMDIST(Tab.o1[[#This Row],[Za]],0,1,FALSE)*Tab.o1[[#This Row],[i.]],AP$3),"")</f>
        <v/>
      </c>
      <c r="Y1117" s="126" t="str">
        <f>IF(Tab.o1[[#This Row],[a1]]=1,0.01+0.94*Tab.o1[[#This Row],[PDF]]/MAX(Tab.o1[PDF]),"")</f>
        <v/>
      </c>
      <c r="Z1117" s="126" t="str">
        <f>IF(Tab.o1[[#This Row],[a1]]=1,0.01+0.94*Tab.o1[[#This Row],[W1_PDF]]/MAX(Tab.o1[W1_PDF]),"")</f>
        <v/>
      </c>
      <c r="AA1117" s="118" t="str">
        <f>IF(Tab.o1[[#This Row],[a1]]=1,ABS([1]!T.in.A[[#This Row],[oo6]]),"")</f>
        <v/>
      </c>
      <c r="AB1117" s="127" t="str">
        <f>IF(Tab.o1[[#This Row],[a1]]=1,IF(AE$3=0,"",IF(AB$3=0,ABS([1]!T.in.A[[#This Row],[oo9]]),ABS(Tab.o1[[#This Row],[DIF_Target.]]*Tab.o1[[#This Row],[W1_PDF]]))),"")</f>
        <v/>
      </c>
      <c r="AC1117" s="127" t="str">
        <f>IF(G$1=1,"",IF(Tab.o1[[#This Row],[a1]]=1,Tab.o1[[#This Row],[Wr]]^2,""))</f>
        <v/>
      </c>
      <c r="AD1117" s="118" t="str">
        <f>IF(Tab.o1[[#This Row],[a1]]=1,IF(AE$3=0,"",Tab.o1[[#This Row],[Wr2]]/SUM(Tab.o1[Wr2])),"")</f>
        <v/>
      </c>
      <c r="AE1117" s="128" t="str">
        <f>IF(Tab.o1[[#This Row],[a1]]=1,[1]!T.in.A[[#This Row],[oo10]],"")</f>
        <v/>
      </c>
      <c r="AF1117" s="118" t="str">
        <f>IF(Tab.o1[[#This Row],[a1]]=1,ABS(Tab.o1[[#This Row],[DIF_Target.]]*Tab.o1[[#This Row],[PDF2]]*Tab.o1[[#This Row],[IN]]),"")</f>
        <v/>
      </c>
      <c r="AG1117" s="129" t="str">
        <f>IF(Tab.o1[[#This Row],[a1]]=1,Tab.o1[[#This Row],[rW]]^2,"")</f>
        <v/>
      </c>
      <c r="AH1117" s="130" t="str">
        <f>IF(Tab.o1[[#This Row],[a1]]=1,IF(AH$3=0,Tab.o1[[#This Row],[rW2]],0.01+0.94*Tab.o1[[#This Row],[rW2]]/SUM(Tab.o1[rW2])),"")</f>
        <v/>
      </c>
      <c r="AI1117" s="128" t="str">
        <f>IF(Tab.o1[[#This Row],[a1]]=1,1/Tab.o1[[#This Row],[PDF]],"")</f>
        <v/>
      </c>
      <c r="AJ1117" s="131" t="str">
        <f>IF(Tab.o1[[#This Row],[a1]]=1,[1]!T_AA[[#This Row],[IN'']]*[1]!T_AA[[#This Row],[Qde'']],"")</f>
        <v/>
      </c>
      <c r="AK1117" s="132" t="str">
        <f>IF(Tab.o1[[#This Row],[a1]]=1,IF(AK$1=1,Tab.o1[[#This Row],[MED]]+Tab.o1[[#This Row],[MOD]]-Tab.o1[[#This Row],[MED]],""),"")</f>
        <v/>
      </c>
      <c r="AL1117" s="133" t="str">
        <f>IF(Tab.o1[[#This Row],[a1]]=1,[1]!T.in.A[[#This Row],[oo16]],"")</f>
        <v/>
      </c>
      <c r="AM1117" s="133" t="str">
        <f>IF(Tab.o1[[#This Row],[a1]]=1,IF(AM$3=1,[1]!T.in.A[[#This Row],[Σo16]],""),"")</f>
        <v/>
      </c>
      <c r="AN1117" s="126" t="str">
        <f>IF(Tab.o1[[#This Row],[a1]]=1,[1]!T.in.A[[#This Row],[Σp5]],"")</f>
        <v/>
      </c>
      <c r="AO1117" s="126" t="str">
        <f>IF(Tab.o1[[#This Row],[a1]]=1,IF(AO$3=1,[1]!T.in.A[[#This Row],[Σp5]],""),"")</f>
        <v/>
      </c>
      <c r="AP1117" s="110" t="str">
        <f>IF(Tab.o1[[#This Row],[a1]]=1,IF(ISNUMBER(Tab.o1[[#This Row],[i.]]),NORMDIST(Tab.o1[[#This Row],[Za]],0,1,FALSE)*Tab.o1[[#This Row],[i.]],0),"")</f>
        <v/>
      </c>
      <c r="AQ1117" s="125" t="str">
        <f>IF(Tab.o1[[#This Row],[a1]]=1,ABS(Tab.o1[[#This Row],[MOD]]-AVERAGE(Tab.o1[MOD])),"")</f>
        <v/>
      </c>
      <c r="AR1117" s="134" t="str">
        <f>IF(Tab.o1[[#This Row],[a1]]=1,Tab.o1[[#This Row],[OBS]]/SUM(Tab.o1[OBS]),"")</f>
        <v/>
      </c>
      <c r="AS1117" s="135" t="str">
        <f>IF(ISNUMBER(Tab.o1[[#This Row],[a1]]),ROW()-4,"")</f>
        <v/>
      </c>
      <c r="AT1117" s="136" t="str">
        <f>Tab.o1[[#This Row],[MOD]]</f>
        <v/>
      </c>
      <c r="AU1117" s="137" t="str">
        <f t="shared" si="69"/>
        <v/>
      </c>
      <c r="AV1117" s="138" t="str">
        <f t="shared" si="70"/>
        <v/>
      </c>
      <c r="AW1117" s="138" t="str">
        <f t="shared" si="71"/>
        <v/>
      </c>
      <c r="AX1117" s="139" t="str">
        <f>[1]!T.in.A[[#This Row],[ID_T_manu]]</f>
        <v/>
      </c>
      <c r="AY1117" s="140" t="str">
        <f>IF(ISNUMBER(Tab.o1[[#This Row],[a1]]),IF(AND(Tab.o1[[#This Row],[a1]]=1,Tab.o1[[#This Row],[b1]]&lt;=AY$4),#REF!,AY1116),"")</f>
        <v/>
      </c>
      <c r="AZ1117" s="25"/>
      <c r="BA1117" s="25"/>
      <c r="BB1117" s="25"/>
      <c r="BC1117" s="25"/>
      <c r="BD1117" s="25"/>
      <c r="BE1117" s="25"/>
      <c r="BF1117" s="25"/>
      <c r="BG1117" s="25"/>
      <c r="BH1117" s="25"/>
      <c r="BI1117" s="25"/>
      <c r="BJ1117" s="25"/>
      <c r="BK1117" s="25"/>
      <c r="BL1117" s="25"/>
      <c r="BM1117" s="25"/>
      <c r="BN1117" s="26"/>
      <c r="BO1117" s="26"/>
      <c r="BP1117" s="26"/>
      <c r="BQ1117" s="26"/>
      <c r="BR1117" s="26"/>
      <c r="BS1117" s="26"/>
      <c r="BT1117" s="26"/>
      <c r="BU1117" s="26"/>
      <c r="BV1117" s="26"/>
      <c r="BW1117" s="26"/>
      <c r="BX1117" s="26"/>
      <c r="BY1117" s="26"/>
      <c r="BZ1117" s="26"/>
      <c r="CA1117" s="26"/>
    </row>
    <row r="1118" spans="1:79" ht="15.75" hidden="1">
      <c r="A1118" s="109">
        <v>1.0000000000000002E-6</v>
      </c>
      <c r="B1118" s="110">
        <f t="shared" si="68"/>
        <v>1118</v>
      </c>
      <c r="C1118" s="111" t="str">
        <f>IF(C$1=[1]!T.in.A[[#This Row],[oo2]],1,"")</f>
        <v/>
      </c>
      <c r="D1118" s="112" t="str">
        <f>IF(Tab.o1[[#This Row],[a1]]=1,IF(SUM(C1118:C1119)=0,0,IF(SUM(C1117:C1118)=1,1,IF(SUM(C1117:C1119)&gt;1,D1117+1,0))),"")</f>
        <v/>
      </c>
      <c r="E1118" s="113" t="str">
        <f>IF(Tab.o1[[#This Row],[a1]]=1,[1]!T.in.A[[#This Row],[oo1]],"")</f>
        <v/>
      </c>
      <c r="F1118" s="113" t="str">
        <f>IF(Tab.o1[[#This Row],[a1]]=1,[1]!T.in.A[[#This Row],[pp1]],"")</f>
        <v/>
      </c>
      <c r="G1118" s="114" t="str">
        <f>IF(Tab.o1[[#This Row],[a1]]=1,G$2+IF(G$1=1,0,Tab.o1[[#This Row],[.x1]])+[1]!T.in.A[[#This Row],[oo3]],"")</f>
        <v/>
      </c>
      <c r="H1118" s="115" t="str">
        <f>IF(Tab.o1[[#This Row],[a1]]=1,IF(H$2=0,0,IF(G$1=1,0,Tab.o1[[#This Row],[.x1]])+[1]!T.in.A[[#This Row],[oo4]]),"")</f>
        <v/>
      </c>
      <c r="I1118" s="116" t="str">
        <f>IF(Tab.o1[[#This Row],[a1]]=1,IF(J$2=0,Tab.o1[[#This Row],[MED]],Tab.o1[[#This Row],[MOD]]),"")</f>
        <v/>
      </c>
      <c r="J1118" s="116" t="str">
        <f>IF(Tab.o1[[#This Row],[a1]]=1,((Tab.o1[[#This Row],[DIF_Target.]]-AVERAGE(Tab.o1[DIF_Target.]))/_xlfn.STDEV.P(Tab.o1[DIF_Target.])),"")</f>
        <v/>
      </c>
      <c r="K1118" s="117" t="str">
        <f>IF(Tab.o1[[#This Row],[a1]]=1,IF(J$2=0,Tab.o1[[#This Row],[MOD]]-Tab.o1[[#This Row],[B]],IF(J$2=1,0,-Tab.o1[[#This Row],[MED]])+Tab.o1[[#This Row],[B]]),"")</f>
        <v/>
      </c>
      <c r="L1118" s="117" t="str">
        <f ca="1">IF(Tab.o1[[#This Row],[DIF_Target]]=0,IF(L$2=0,Tab.o1[[#This Row],[DIF_Target]],AVERAGE(OFFSET(Tab.o1[[#This Row],[DIF_Target]],1,0,L$3,1)))/3,Tab.o1[[#This Row],[DIF_Target]])</f>
        <v/>
      </c>
      <c r="M1118" s="118" t="str">
        <f>IF(Tab.o1[[#This Row],[a1]]=1,NORMSDIST(Tab.o1[[#This Row],[Za]]),"")</f>
        <v/>
      </c>
      <c r="N1118" s="119" t="str">
        <f>IF(Tab.o1[[#This Row],[a1]]=1,((Tab.o1[[#This Row],[MedMod]]-AVERAGE(Tab.o1[MedMod]))/_xlfn.STDEV.P(Tab.o1[MedMod])*H$1205)+G$1205,"")</f>
        <v/>
      </c>
      <c r="O1118" s="141" t="str">
        <f>IF(Tab.o1[[#This Row],[a1]]=1,Tab.o1[[#This Row],[Zb]]*_xlfn.STDEV.P(Tab.o1[MedMod])+AVERAGE(Tab.o1[MedMod]),"")</f>
        <v/>
      </c>
      <c r="P1118" s="117" t="str">
        <f ca="1">IF(Tab.o1[[#This Row],[B]]=0,AVERAGE(OFFSET(Tab.o1[[#This Row],[B]],1,0,L$3,1)),Tab.o1[[#This Row],[B]])</f>
        <v/>
      </c>
      <c r="Q1118" s="121" t="str">
        <f>IF(Tab.o1[[#This Row],[a1]]=1,NORMSDIST(Tab.o1[[#This Row],[Zb]]),"")</f>
        <v/>
      </c>
      <c r="R1118" s="122" t="str">
        <f>IF(Tab.o1[[#This Row],[a1]]=1,((Tab.o1[[#This Row],[MedMod]]-AVERAGE(Tab.o1[MedMod]))/_xlfn.STDEV.P(Tab.o1[MedMod])*H$1203)+G$1203,"")</f>
        <v/>
      </c>
      <c r="S1118" s="122" t="str">
        <f>IF(Tab.o1[[#This Row],[a1]]=1,((Tab.o1[[#This Row],[MedMod]]-AVERAGE(Tab.o1[MedMod]))/_xlfn.STDEV.P(Tab.o1[MedMod])*H$1204)+G$1204,"")</f>
        <v/>
      </c>
      <c r="T1118" s="123" t="str">
        <f>IF(Tab.o1[[#This Row],[a1]]=1,Tab.o1[[#This Row],[Z-]]*_xlfn.STDEV.P(Tab.o1[B])+AVERAGE(Tab.o1[B]),"")</f>
        <v/>
      </c>
      <c r="U1118" s="123" t="str">
        <f>IF(Tab.o1[[#This Row],[a1]]=1,Tab.o1[[#This Row],[z+]]*_xlfn.STDEV.P(Tab.o1[B])+AVERAGE(Tab.o1[B]),"")</f>
        <v/>
      </c>
      <c r="V1118" s="124" t="str">
        <f>IF(Tab.o1[[#This Row],[a1]]=1,ABS((ABS(Tab.o1[[#This Row],[Red]]-Tab.o1[[#This Row],[Blue]]))),"")</f>
        <v/>
      </c>
      <c r="W1118" s="125" t="str">
        <f>IF(Tab.o1[[#This Row],[a1]]=1,IF(W$3=0,1,Tab.o1[[#This Row],[Amp.]]*1/_xlfn.MINIFS(Tab.o1[Amp.],Tab.o1[Amp.],"&lt;&gt;0")),"")</f>
        <v/>
      </c>
      <c r="X1118" s="126" t="str">
        <f>IF(Tab.o1[[#This Row],[a1]]=1,IF(ISNUMBER(Tab.o1[[#This Row],[i.]]),NORMDIST(Tab.o1[[#This Row],[Za]],0,1,FALSE)*Tab.o1[[#This Row],[i.]],AP$3),"")</f>
        <v/>
      </c>
      <c r="Y1118" s="126" t="str">
        <f>IF(Tab.o1[[#This Row],[a1]]=1,0.01+0.94*Tab.o1[[#This Row],[PDF]]/MAX(Tab.o1[PDF]),"")</f>
        <v/>
      </c>
      <c r="Z1118" s="126" t="str">
        <f>IF(Tab.o1[[#This Row],[a1]]=1,0.01+0.94*Tab.o1[[#This Row],[W1_PDF]]/MAX(Tab.o1[W1_PDF]),"")</f>
        <v/>
      </c>
      <c r="AA1118" s="118" t="str">
        <f>IF(Tab.o1[[#This Row],[a1]]=1,ABS([1]!T.in.A[[#This Row],[oo6]]),"")</f>
        <v/>
      </c>
      <c r="AB1118" s="127" t="str">
        <f>IF(Tab.o1[[#This Row],[a1]]=1,IF(AE$3=0,"",IF(AB$3=0,ABS([1]!T.in.A[[#This Row],[oo9]]),ABS(Tab.o1[[#This Row],[DIF_Target.]]*Tab.o1[[#This Row],[W1_PDF]]))),"")</f>
        <v/>
      </c>
      <c r="AC1118" s="127" t="str">
        <f>IF(G$1=1,"",IF(Tab.o1[[#This Row],[a1]]=1,Tab.o1[[#This Row],[Wr]]^2,""))</f>
        <v/>
      </c>
      <c r="AD1118" s="118" t="str">
        <f>IF(Tab.o1[[#This Row],[a1]]=1,IF(AE$3=0,"",Tab.o1[[#This Row],[Wr2]]/SUM(Tab.o1[Wr2])),"")</f>
        <v/>
      </c>
      <c r="AE1118" s="128" t="str">
        <f>IF(Tab.o1[[#This Row],[a1]]=1,[1]!T.in.A[[#This Row],[oo10]],"")</f>
        <v/>
      </c>
      <c r="AF1118" s="118" t="str">
        <f>IF(Tab.o1[[#This Row],[a1]]=1,ABS(Tab.o1[[#This Row],[DIF_Target.]]*Tab.o1[[#This Row],[PDF2]]*Tab.o1[[#This Row],[IN]]),"")</f>
        <v/>
      </c>
      <c r="AG1118" s="129" t="str">
        <f>IF(Tab.o1[[#This Row],[a1]]=1,Tab.o1[[#This Row],[rW]]^2,"")</f>
        <v/>
      </c>
      <c r="AH1118" s="130" t="str">
        <f>IF(Tab.o1[[#This Row],[a1]]=1,IF(AH$3=0,Tab.o1[[#This Row],[rW2]],0.01+0.94*Tab.o1[[#This Row],[rW2]]/SUM(Tab.o1[rW2])),"")</f>
        <v/>
      </c>
      <c r="AI1118" s="128" t="str">
        <f>IF(Tab.o1[[#This Row],[a1]]=1,1/Tab.o1[[#This Row],[PDF]],"")</f>
        <v/>
      </c>
      <c r="AJ1118" s="131" t="str">
        <f>IF(Tab.o1[[#This Row],[a1]]=1,[1]!T_AA[[#This Row],[IN'']]*[1]!T_AA[[#This Row],[Qde'']],"")</f>
        <v/>
      </c>
      <c r="AK1118" s="132" t="str">
        <f>IF(Tab.o1[[#This Row],[a1]]=1,IF(AK$1=1,Tab.o1[[#This Row],[MED]]+Tab.o1[[#This Row],[MOD]]-Tab.o1[[#This Row],[MED]],""),"")</f>
        <v/>
      </c>
      <c r="AL1118" s="133" t="str">
        <f>IF(Tab.o1[[#This Row],[a1]]=1,[1]!T.in.A[[#This Row],[oo16]],"")</f>
        <v/>
      </c>
      <c r="AM1118" s="133" t="str">
        <f>IF(Tab.o1[[#This Row],[a1]]=1,IF(AM$3=1,[1]!T.in.A[[#This Row],[Σo16]],""),"")</f>
        <v/>
      </c>
      <c r="AN1118" s="126" t="str">
        <f>IF(Tab.o1[[#This Row],[a1]]=1,[1]!T.in.A[[#This Row],[Σp5]],"")</f>
        <v/>
      </c>
      <c r="AO1118" s="126" t="str">
        <f>IF(Tab.o1[[#This Row],[a1]]=1,IF(AO$3=1,[1]!T.in.A[[#This Row],[Σp5]],""),"")</f>
        <v/>
      </c>
      <c r="AP1118" s="110" t="str">
        <f>IF(Tab.o1[[#This Row],[a1]]=1,IF(ISNUMBER(Tab.o1[[#This Row],[i.]]),NORMDIST(Tab.o1[[#This Row],[Za]],0,1,FALSE)*Tab.o1[[#This Row],[i.]],0),"")</f>
        <v/>
      </c>
      <c r="AQ1118" s="125" t="str">
        <f>IF(Tab.o1[[#This Row],[a1]]=1,ABS(Tab.o1[[#This Row],[MOD]]-AVERAGE(Tab.o1[MOD])),"")</f>
        <v/>
      </c>
      <c r="AR1118" s="134" t="str">
        <f>IF(Tab.o1[[#This Row],[a1]]=1,Tab.o1[[#This Row],[OBS]]/SUM(Tab.o1[OBS]),"")</f>
        <v/>
      </c>
      <c r="AS1118" s="135" t="str">
        <f>IF(ISNUMBER(Tab.o1[[#This Row],[a1]]),ROW()-4,"")</f>
        <v/>
      </c>
      <c r="AT1118" s="136" t="str">
        <f>Tab.o1[[#This Row],[MOD]]</f>
        <v/>
      </c>
      <c r="AU1118" s="137" t="str">
        <f t="shared" si="69"/>
        <v/>
      </c>
      <c r="AV1118" s="138" t="str">
        <f t="shared" si="70"/>
        <v/>
      </c>
      <c r="AW1118" s="138" t="str">
        <f t="shared" si="71"/>
        <v/>
      </c>
      <c r="AX1118" s="139" t="str">
        <f>[1]!T.in.A[[#This Row],[ID_T_manu]]</f>
        <v/>
      </c>
      <c r="AY1118" s="140" t="str">
        <f>IF(ISNUMBER(Tab.o1[[#This Row],[a1]]),IF(AND(Tab.o1[[#This Row],[a1]]=1,Tab.o1[[#This Row],[b1]]&lt;=AY$4),#REF!,AY1117),"")</f>
        <v/>
      </c>
      <c r="AZ1118" s="25"/>
      <c r="BA1118" s="25"/>
      <c r="BB1118" s="25"/>
      <c r="BC1118" s="25"/>
      <c r="BD1118" s="25"/>
      <c r="BE1118" s="25"/>
      <c r="BF1118" s="25"/>
      <c r="BG1118" s="25"/>
      <c r="BH1118" s="25"/>
      <c r="BI1118" s="25"/>
      <c r="BJ1118" s="25"/>
      <c r="BK1118" s="25"/>
      <c r="BL1118" s="25"/>
      <c r="BM1118" s="25"/>
      <c r="BN1118" s="26"/>
      <c r="BO1118" s="26"/>
      <c r="BP1118" s="26"/>
      <c r="BQ1118" s="26"/>
      <c r="BR1118" s="26"/>
      <c r="BS1118" s="26"/>
      <c r="BT1118" s="26"/>
      <c r="BU1118" s="26"/>
      <c r="BV1118" s="26"/>
      <c r="BW1118" s="26"/>
      <c r="BX1118" s="26"/>
      <c r="BY1118" s="26"/>
      <c r="BZ1118" s="26"/>
      <c r="CA1118" s="26"/>
    </row>
    <row r="1119" spans="1:79" ht="15.75" hidden="1">
      <c r="A1119" s="109">
        <v>-9.0000000000000002E-6</v>
      </c>
      <c r="B1119" s="110">
        <f t="shared" si="68"/>
        <v>1119</v>
      </c>
      <c r="C1119" s="111" t="str">
        <f>IF(C$1=[1]!T.in.A[[#This Row],[oo2]],1,"")</f>
        <v/>
      </c>
      <c r="D1119" s="112" t="str">
        <f>IF(Tab.o1[[#This Row],[a1]]=1,IF(SUM(C1119:C1120)=0,0,IF(SUM(C1118:C1119)=1,1,IF(SUM(C1118:C1120)&gt;1,D1118+1,0))),"")</f>
        <v/>
      </c>
      <c r="E1119" s="113" t="str">
        <f>IF(Tab.o1[[#This Row],[a1]]=1,[1]!T.in.A[[#This Row],[oo1]],"")</f>
        <v/>
      </c>
      <c r="F1119" s="113" t="str">
        <f>IF(Tab.o1[[#This Row],[a1]]=1,[1]!T.in.A[[#This Row],[pp1]],"")</f>
        <v/>
      </c>
      <c r="G1119" s="114" t="str">
        <f>IF(Tab.o1[[#This Row],[a1]]=1,G$2+IF(G$1=1,0,Tab.o1[[#This Row],[.x1]])+[1]!T.in.A[[#This Row],[oo3]],"")</f>
        <v/>
      </c>
      <c r="H1119" s="115" t="str">
        <f>IF(Tab.o1[[#This Row],[a1]]=1,IF(H$2=0,0,IF(G$1=1,0,Tab.o1[[#This Row],[.x1]])+[1]!T.in.A[[#This Row],[oo4]]),"")</f>
        <v/>
      </c>
      <c r="I1119" s="116" t="str">
        <f>IF(Tab.o1[[#This Row],[a1]]=1,IF(J$2=0,Tab.o1[[#This Row],[MED]],Tab.o1[[#This Row],[MOD]]),"")</f>
        <v/>
      </c>
      <c r="J1119" s="116" t="str">
        <f>IF(Tab.o1[[#This Row],[a1]]=1,((Tab.o1[[#This Row],[DIF_Target.]]-AVERAGE(Tab.o1[DIF_Target.]))/_xlfn.STDEV.P(Tab.o1[DIF_Target.])),"")</f>
        <v/>
      </c>
      <c r="K1119" s="117" t="str">
        <f>IF(Tab.o1[[#This Row],[a1]]=1,IF(J$2=0,Tab.o1[[#This Row],[MOD]]-Tab.o1[[#This Row],[B]],IF(J$2=1,0,-Tab.o1[[#This Row],[MED]])+Tab.o1[[#This Row],[B]]),"")</f>
        <v/>
      </c>
      <c r="L1119" s="117" t="str">
        <f ca="1">IF(Tab.o1[[#This Row],[DIF_Target]]=0,IF(L$2=0,Tab.o1[[#This Row],[DIF_Target]],AVERAGE(OFFSET(Tab.o1[[#This Row],[DIF_Target]],1,0,L$3,1)))/3,Tab.o1[[#This Row],[DIF_Target]])</f>
        <v/>
      </c>
      <c r="M1119" s="118" t="str">
        <f>IF(Tab.o1[[#This Row],[a1]]=1,NORMSDIST(Tab.o1[[#This Row],[Za]]),"")</f>
        <v/>
      </c>
      <c r="N1119" s="119" t="str">
        <f>IF(Tab.o1[[#This Row],[a1]]=1,((Tab.o1[[#This Row],[MedMod]]-AVERAGE(Tab.o1[MedMod]))/_xlfn.STDEV.P(Tab.o1[MedMod])*H$1205)+G$1205,"")</f>
        <v/>
      </c>
      <c r="O1119" s="141" t="str">
        <f>IF(Tab.o1[[#This Row],[a1]]=1,Tab.o1[[#This Row],[Zb]]*_xlfn.STDEV.P(Tab.o1[MedMod])+AVERAGE(Tab.o1[MedMod]),"")</f>
        <v/>
      </c>
      <c r="P1119" s="117" t="str">
        <f ca="1">IF(Tab.o1[[#This Row],[B]]=0,AVERAGE(OFFSET(Tab.o1[[#This Row],[B]],1,0,L$3,1)),Tab.o1[[#This Row],[B]])</f>
        <v/>
      </c>
      <c r="Q1119" s="121" t="str">
        <f>IF(Tab.o1[[#This Row],[a1]]=1,NORMSDIST(Tab.o1[[#This Row],[Zb]]),"")</f>
        <v/>
      </c>
      <c r="R1119" s="122" t="str">
        <f>IF(Tab.o1[[#This Row],[a1]]=1,((Tab.o1[[#This Row],[MedMod]]-AVERAGE(Tab.o1[MedMod]))/_xlfn.STDEV.P(Tab.o1[MedMod])*H$1203)+G$1203,"")</f>
        <v/>
      </c>
      <c r="S1119" s="122" t="str">
        <f>IF(Tab.o1[[#This Row],[a1]]=1,((Tab.o1[[#This Row],[MedMod]]-AVERAGE(Tab.o1[MedMod]))/_xlfn.STDEV.P(Tab.o1[MedMod])*H$1204)+G$1204,"")</f>
        <v/>
      </c>
      <c r="T1119" s="123" t="str">
        <f>IF(Tab.o1[[#This Row],[a1]]=1,Tab.o1[[#This Row],[Z-]]*_xlfn.STDEV.P(Tab.o1[B])+AVERAGE(Tab.o1[B]),"")</f>
        <v/>
      </c>
      <c r="U1119" s="123" t="str">
        <f>IF(Tab.o1[[#This Row],[a1]]=1,Tab.o1[[#This Row],[z+]]*_xlfn.STDEV.P(Tab.o1[B])+AVERAGE(Tab.o1[B]),"")</f>
        <v/>
      </c>
      <c r="V1119" s="124" t="str">
        <f>IF(Tab.o1[[#This Row],[a1]]=1,ABS((ABS(Tab.o1[[#This Row],[Red]]-Tab.o1[[#This Row],[Blue]]))),"")</f>
        <v/>
      </c>
      <c r="W1119" s="125" t="str">
        <f>IF(Tab.o1[[#This Row],[a1]]=1,IF(W$3=0,1,Tab.o1[[#This Row],[Amp.]]*1/_xlfn.MINIFS(Tab.o1[Amp.],Tab.o1[Amp.],"&lt;&gt;0")),"")</f>
        <v/>
      </c>
      <c r="X1119" s="126" t="str">
        <f>IF(Tab.o1[[#This Row],[a1]]=1,IF(ISNUMBER(Tab.o1[[#This Row],[i.]]),NORMDIST(Tab.o1[[#This Row],[Za]],0,1,FALSE)*Tab.o1[[#This Row],[i.]],AP$3),"")</f>
        <v/>
      </c>
      <c r="Y1119" s="126" t="str">
        <f>IF(Tab.o1[[#This Row],[a1]]=1,0.01+0.94*Tab.o1[[#This Row],[PDF]]/MAX(Tab.o1[PDF]),"")</f>
        <v/>
      </c>
      <c r="Z1119" s="126" t="str">
        <f>IF(Tab.o1[[#This Row],[a1]]=1,0.01+0.94*Tab.o1[[#This Row],[W1_PDF]]/MAX(Tab.o1[W1_PDF]),"")</f>
        <v/>
      </c>
      <c r="AA1119" s="118" t="str">
        <f>IF(Tab.o1[[#This Row],[a1]]=1,ABS([1]!T.in.A[[#This Row],[oo6]]),"")</f>
        <v/>
      </c>
      <c r="AB1119" s="127" t="str">
        <f>IF(Tab.o1[[#This Row],[a1]]=1,IF(AE$3=0,"",IF(AB$3=0,ABS([1]!T.in.A[[#This Row],[oo9]]),ABS(Tab.o1[[#This Row],[DIF_Target.]]*Tab.o1[[#This Row],[W1_PDF]]))),"")</f>
        <v/>
      </c>
      <c r="AC1119" s="127" t="str">
        <f>IF(G$1=1,"",IF(Tab.o1[[#This Row],[a1]]=1,Tab.o1[[#This Row],[Wr]]^2,""))</f>
        <v/>
      </c>
      <c r="AD1119" s="118" t="str">
        <f>IF(Tab.o1[[#This Row],[a1]]=1,IF(AE$3=0,"",Tab.o1[[#This Row],[Wr2]]/SUM(Tab.o1[Wr2])),"")</f>
        <v/>
      </c>
      <c r="AE1119" s="128" t="str">
        <f>IF(Tab.o1[[#This Row],[a1]]=1,[1]!T.in.A[[#This Row],[oo10]],"")</f>
        <v/>
      </c>
      <c r="AF1119" s="118" t="str">
        <f>IF(Tab.o1[[#This Row],[a1]]=1,ABS(Tab.o1[[#This Row],[DIF_Target.]]*Tab.o1[[#This Row],[PDF2]]*Tab.o1[[#This Row],[IN]]),"")</f>
        <v/>
      </c>
      <c r="AG1119" s="129" t="str">
        <f>IF(Tab.o1[[#This Row],[a1]]=1,Tab.o1[[#This Row],[rW]]^2,"")</f>
        <v/>
      </c>
      <c r="AH1119" s="130" t="str">
        <f>IF(Tab.o1[[#This Row],[a1]]=1,IF(AH$3=0,Tab.o1[[#This Row],[rW2]],0.01+0.94*Tab.o1[[#This Row],[rW2]]/SUM(Tab.o1[rW2])),"")</f>
        <v/>
      </c>
      <c r="AI1119" s="128" t="str">
        <f>IF(Tab.o1[[#This Row],[a1]]=1,1/Tab.o1[[#This Row],[PDF]],"")</f>
        <v/>
      </c>
      <c r="AJ1119" s="131" t="str">
        <f>IF(Tab.o1[[#This Row],[a1]]=1,[1]!T_AA[[#This Row],[IN'']]*[1]!T_AA[[#This Row],[Qde'']],"")</f>
        <v/>
      </c>
      <c r="AK1119" s="132" t="str">
        <f>IF(Tab.o1[[#This Row],[a1]]=1,IF(AK$1=1,Tab.o1[[#This Row],[MED]]+Tab.o1[[#This Row],[MOD]]-Tab.o1[[#This Row],[MED]],""),"")</f>
        <v/>
      </c>
      <c r="AL1119" s="133" t="str">
        <f>IF(Tab.o1[[#This Row],[a1]]=1,[1]!T.in.A[[#This Row],[oo16]],"")</f>
        <v/>
      </c>
      <c r="AM1119" s="133" t="str">
        <f>IF(Tab.o1[[#This Row],[a1]]=1,IF(AM$3=1,[1]!T.in.A[[#This Row],[Σo16]],""),"")</f>
        <v/>
      </c>
      <c r="AN1119" s="126" t="str">
        <f>IF(Tab.o1[[#This Row],[a1]]=1,[1]!T.in.A[[#This Row],[Σp5]],"")</f>
        <v/>
      </c>
      <c r="AO1119" s="126" t="str">
        <f>IF(Tab.o1[[#This Row],[a1]]=1,IF(AO$3=1,[1]!T.in.A[[#This Row],[Σp5]],""),"")</f>
        <v/>
      </c>
      <c r="AP1119" s="110" t="str">
        <f>IF(Tab.o1[[#This Row],[a1]]=1,IF(ISNUMBER(Tab.o1[[#This Row],[i.]]),NORMDIST(Tab.o1[[#This Row],[Za]],0,1,FALSE)*Tab.o1[[#This Row],[i.]],0),"")</f>
        <v/>
      </c>
      <c r="AQ1119" s="125" t="str">
        <f>IF(Tab.o1[[#This Row],[a1]]=1,ABS(Tab.o1[[#This Row],[MOD]]-AVERAGE(Tab.o1[MOD])),"")</f>
        <v/>
      </c>
      <c r="AR1119" s="134" t="str">
        <f>IF(Tab.o1[[#This Row],[a1]]=1,Tab.o1[[#This Row],[OBS]]/SUM(Tab.o1[OBS]),"")</f>
        <v/>
      </c>
      <c r="AS1119" s="135" t="str">
        <f>IF(ISNUMBER(Tab.o1[[#This Row],[a1]]),ROW()-4,"")</f>
        <v/>
      </c>
      <c r="AT1119" s="136" t="str">
        <f>Tab.o1[[#This Row],[MOD]]</f>
        <v/>
      </c>
      <c r="AU1119" s="137" t="str">
        <f t="shared" si="69"/>
        <v/>
      </c>
      <c r="AV1119" s="138" t="str">
        <f t="shared" si="70"/>
        <v/>
      </c>
      <c r="AW1119" s="138" t="str">
        <f t="shared" si="71"/>
        <v/>
      </c>
      <c r="AX1119" s="139" t="str">
        <f>[1]!T.in.A[[#This Row],[ID_T_manu]]</f>
        <v/>
      </c>
      <c r="AY1119" s="140" t="str">
        <f>IF(ISNUMBER(Tab.o1[[#This Row],[a1]]),IF(AND(Tab.o1[[#This Row],[a1]]=1,Tab.o1[[#This Row],[b1]]&lt;=AY$4),#REF!,AY1118),"")</f>
        <v/>
      </c>
      <c r="AZ1119" s="25"/>
      <c r="BA1119" s="25"/>
      <c r="BB1119" s="25"/>
      <c r="BC1119" s="25"/>
      <c r="BD1119" s="25"/>
      <c r="BE1119" s="25"/>
      <c r="BF1119" s="25"/>
      <c r="BG1119" s="25"/>
      <c r="BH1119" s="25"/>
      <c r="BI1119" s="25"/>
      <c r="BJ1119" s="25"/>
      <c r="BK1119" s="25"/>
      <c r="BL1119" s="25"/>
      <c r="BM1119" s="25"/>
      <c r="BN1119" s="26"/>
      <c r="BO1119" s="26"/>
      <c r="BP1119" s="26"/>
      <c r="BQ1119" s="26"/>
      <c r="BR1119" s="26"/>
      <c r="BS1119" s="26"/>
      <c r="BT1119" s="26"/>
      <c r="BU1119" s="26"/>
      <c r="BV1119" s="26"/>
      <c r="BW1119" s="26"/>
      <c r="BX1119" s="26"/>
      <c r="BY1119" s="26"/>
      <c r="BZ1119" s="26"/>
      <c r="CA1119" s="26"/>
    </row>
    <row r="1120" spans="1:79" ht="15.75" hidden="1">
      <c r="A1120" s="109">
        <v>2.9999999999999997E-6</v>
      </c>
      <c r="B1120" s="110">
        <f t="shared" si="68"/>
        <v>1120</v>
      </c>
      <c r="C1120" s="111" t="str">
        <f>IF(C$1=[1]!T.in.A[[#This Row],[oo2]],1,"")</f>
        <v/>
      </c>
      <c r="D1120" s="112" t="str">
        <f>IF(Tab.o1[[#This Row],[a1]]=1,IF(SUM(C1120:C1121)=0,0,IF(SUM(C1119:C1120)=1,1,IF(SUM(C1119:C1121)&gt;1,D1119+1,0))),"")</f>
        <v/>
      </c>
      <c r="E1120" s="113" t="str">
        <f>IF(Tab.o1[[#This Row],[a1]]=1,[1]!T.in.A[[#This Row],[oo1]],"")</f>
        <v/>
      </c>
      <c r="F1120" s="113" t="str">
        <f>IF(Tab.o1[[#This Row],[a1]]=1,[1]!T.in.A[[#This Row],[pp1]],"")</f>
        <v/>
      </c>
      <c r="G1120" s="114" t="str">
        <f>IF(Tab.o1[[#This Row],[a1]]=1,G$2+IF(G$1=1,0,Tab.o1[[#This Row],[.x1]])+[1]!T.in.A[[#This Row],[oo3]],"")</f>
        <v/>
      </c>
      <c r="H1120" s="115" t="str">
        <f>IF(Tab.o1[[#This Row],[a1]]=1,IF(H$2=0,0,IF(G$1=1,0,Tab.o1[[#This Row],[.x1]])+[1]!T.in.A[[#This Row],[oo4]]),"")</f>
        <v/>
      </c>
      <c r="I1120" s="116" t="str">
        <f>IF(Tab.o1[[#This Row],[a1]]=1,IF(J$2=0,Tab.o1[[#This Row],[MED]],Tab.o1[[#This Row],[MOD]]),"")</f>
        <v/>
      </c>
      <c r="J1120" s="116" t="str">
        <f>IF(Tab.o1[[#This Row],[a1]]=1,((Tab.o1[[#This Row],[DIF_Target.]]-AVERAGE(Tab.o1[DIF_Target.]))/_xlfn.STDEV.P(Tab.o1[DIF_Target.])),"")</f>
        <v/>
      </c>
      <c r="K1120" s="117" t="str">
        <f>IF(Tab.o1[[#This Row],[a1]]=1,IF(J$2=0,Tab.o1[[#This Row],[MOD]]-Tab.o1[[#This Row],[B]],IF(J$2=1,0,-Tab.o1[[#This Row],[MED]])+Tab.o1[[#This Row],[B]]),"")</f>
        <v/>
      </c>
      <c r="L1120" s="117" t="str">
        <f ca="1">IF(Tab.o1[[#This Row],[DIF_Target]]=0,IF(L$2=0,Tab.o1[[#This Row],[DIF_Target]],AVERAGE(OFFSET(Tab.o1[[#This Row],[DIF_Target]],1,0,L$3,1)))/3,Tab.o1[[#This Row],[DIF_Target]])</f>
        <v/>
      </c>
      <c r="M1120" s="118" t="str">
        <f>IF(Tab.o1[[#This Row],[a1]]=1,NORMSDIST(Tab.o1[[#This Row],[Za]]),"")</f>
        <v/>
      </c>
      <c r="N1120" s="119" t="str">
        <f>IF(Tab.o1[[#This Row],[a1]]=1,((Tab.o1[[#This Row],[MedMod]]-AVERAGE(Tab.o1[MedMod]))/_xlfn.STDEV.P(Tab.o1[MedMod])*H$1205)+G$1205,"")</f>
        <v/>
      </c>
      <c r="O1120" s="141" t="str">
        <f>IF(Tab.o1[[#This Row],[a1]]=1,Tab.o1[[#This Row],[Zb]]*_xlfn.STDEV.P(Tab.o1[MedMod])+AVERAGE(Tab.o1[MedMod]),"")</f>
        <v/>
      </c>
      <c r="P1120" s="117" t="str">
        <f ca="1">IF(Tab.o1[[#This Row],[B]]=0,AVERAGE(OFFSET(Tab.o1[[#This Row],[B]],1,0,L$3,1)),Tab.o1[[#This Row],[B]])</f>
        <v/>
      </c>
      <c r="Q1120" s="121" t="str">
        <f>IF(Tab.o1[[#This Row],[a1]]=1,NORMSDIST(Tab.o1[[#This Row],[Zb]]),"")</f>
        <v/>
      </c>
      <c r="R1120" s="122" t="str">
        <f>IF(Tab.o1[[#This Row],[a1]]=1,((Tab.o1[[#This Row],[MedMod]]-AVERAGE(Tab.o1[MedMod]))/_xlfn.STDEV.P(Tab.o1[MedMod])*H$1203)+G$1203,"")</f>
        <v/>
      </c>
      <c r="S1120" s="122" t="str">
        <f>IF(Tab.o1[[#This Row],[a1]]=1,((Tab.o1[[#This Row],[MedMod]]-AVERAGE(Tab.o1[MedMod]))/_xlfn.STDEV.P(Tab.o1[MedMod])*H$1204)+G$1204,"")</f>
        <v/>
      </c>
      <c r="T1120" s="123" t="str">
        <f>IF(Tab.o1[[#This Row],[a1]]=1,Tab.o1[[#This Row],[Z-]]*_xlfn.STDEV.P(Tab.o1[B])+AVERAGE(Tab.o1[B]),"")</f>
        <v/>
      </c>
      <c r="U1120" s="123" t="str">
        <f>IF(Tab.o1[[#This Row],[a1]]=1,Tab.o1[[#This Row],[z+]]*_xlfn.STDEV.P(Tab.o1[B])+AVERAGE(Tab.o1[B]),"")</f>
        <v/>
      </c>
      <c r="V1120" s="124" t="str">
        <f>IF(Tab.o1[[#This Row],[a1]]=1,ABS((ABS(Tab.o1[[#This Row],[Red]]-Tab.o1[[#This Row],[Blue]]))),"")</f>
        <v/>
      </c>
      <c r="W1120" s="125" t="str">
        <f>IF(Tab.o1[[#This Row],[a1]]=1,IF(W$3=0,1,Tab.o1[[#This Row],[Amp.]]*1/_xlfn.MINIFS(Tab.o1[Amp.],Tab.o1[Amp.],"&lt;&gt;0")),"")</f>
        <v/>
      </c>
      <c r="X1120" s="126" t="str">
        <f>IF(Tab.o1[[#This Row],[a1]]=1,IF(ISNUMBER(Tab.o1[[#This Row],[i.]]),NORMDIST(Tab.o1[[#This Row],[Za]],0,1,FALSE)*Tab.o1[[#This Row],[i.]],AP$3),"")</f>
        <v/>
      </c>
      <c r="Y1120" s="126" t="str">
        <f>IF(Tab.o1[[#This Row],[a1]]=1,0.01+0.94*Tab.o1[[#This Row],[PDF]]/MAX(Tab.o1[PDF]),"")</f>
        <v/>
      </c>
      <c r="Z1120" s="126" t="str">
        <f>IF(Tab.o1[[#This Row],[a1]]=1,0.01+0.94*Tab.o1[[#This Row],[W1_PDF]]/MAX(Tab.o1[W1_PDF]),"")</f>
        <v/>
      </c>
      <c r="AA1120" s="118" t="str">
        <f>IF(Tab.o1[[#This Row],[a1]]=1,ABS([1]!T.in.A[[#This Row],[oo6]]),"")</f>
        <v/>
      </c>
      <c r="AB1120" s="127" t="str">
        <f>IF(Tab.o1[[#This Row],[a1]]=1,IF(AE$3=0,"",IF(AB$3=0,ABS([1]!T.in.A[[#This Row],[oo9]]),ABS(Tab.o1[[#This Row],[DIF_Target.]]*Tab.o1[[#This Row],[W1_PDF]]))),"")</f>
        <v/>
      </c>
      <c r="AC1120" s="127" t="str">
        <f>IF(G$1=1,"",IF(Tab.o1[[#This Row],[a1]]=1,Tab.o1[[#This Row],[Wr]]^2,""))</f>
        <v/>
      </c>
      <c r="AD1120" s="118" t="str">
        <f>IF(Tab.o1[[#This Row],[a1]]=1,IF(AE$3=0,"",Tab.o1[[#This Row],[Wr2]]/SUM(Tab.o1[Wr2])),"")</f>
        <v/>
      </c>
      <c r="AE1120" s="128" t="str">
        <f>IF(Tab.o1[[#This Row],[a1]]=1,[1]!T.in.A[[#This Row],[oo10]],"")</f>
        <v/>
      </c>
      <c r="AF1120" s="118" t="str">
        <f>IF(Tab.o1[[#This Row],[a1]]=1,ABS(Tab.o1[[#This Row],[DIF_Target.]]*Tab.o1[[#This Row],[PDF2]]*Tab.o1[[#This Row],[IN]]),"")</f>
        <v/>
      </c>
      <c r="AG1120" s="129" t="str">
        <f>IF(Tab.o1[[#This Row],[a1]]=1,Tab.o1[[#This Row],[rW]]^2,"")</f>
        <v/>
      </c>
      <c r="AH1120" s="130" t="str">
        <f>IF(Tab.o1[[#This Row],[a1]]=1,IF(AH$3=0,Tab.o1[[#This Row],[rW2]],0.01+0.94*Tab.o1[[#This Row],[rW2]]/SUM(Tab.o1[rW2])),"")</f>
        <v/>
      </c>
      <c r="AI1120" s="128" t="str">
        <f>IF(Tab.o1[[#This Row],[a1]]=1,1/Tab.o1[[#This Row],[PDF]],"")</f>
        <v/>
      </c>
      <c r="AJ1120" s="131" t="str">
        <f>IF(Tab.o1[[#This Row],[a1]]=1,[1]!T_AA[[#This Row],[IN'']]*[1]!T_AA[[#This Row],[Qde'']],"")</f>
        <v/>
      </c>
      <c r="AK1120" s="132" t="str">
        <f>IF(Tab.o1[[#This Row],[a1]]=1,IF(AK$1=1,Tab.o1[[#This Row],[MED]]+Tab.o1[[#This Row],[MOD]]-Tab.o1[[#This Row],[MED]],""),"")</f>
        <v/>
      </c>
      <c r="AL1120" s="133" t="str">
        <f>IF(Tab.o1[[#This Row],[a1]]=1,[1]!T.in.A[[#This Row],[oo16]],"")</f>
        <v/>
      </c>
      <c r="AM1120" s="133" t="str">
        <f>IF(Tab.o1[[#This Row],[a1]]=1,IF(AM$3=1,[1]!T.in.A[[#This Row],[Σo16]],""),"")</f>
        <v/>
      </c>
      <c r="AN1120" s="126" t="str">
        <f>IF(Tab.o1[[#This Row],[a1]]=1,[1]!T.in.A[[#This Row],[Σp5]],"")</f>
        <v/>
      </c>
      <c r="AO1120" s="126" t="str">
        <f>IF(Tab.o1[[#This Row],[a1]]=1,IF(AO$3=1,[1]!T.in.A[[#This Row],[Σp5]],""),"")</f>
        <v/>
      </c>
      <c r="AP1120" s="110" t="str">
        <f>IF(Tab.o1[[#This Row],[a1]]=1,IF(ISNUMBER(Tab.o1[[#This Row],[i.]]),NORMDIST(Tab.o1[[#This Row],[Za]],0,1,FALSE)*Tab.o1[[#This Row],[i.]],0),"")</f>
        <v/>
      </c>
      <c r="AQ1120" s="125" t="str">
        <f>IF(Tab.o1[[#This Row],[a1]]=1,ABS(Tab.o1[[#This Row],[MOD]]-AVERAGE(Tab.o1[MOD])),"")</f>
        <v/>
      </c>
      <c r="AR1120" s="134" t="str">
        <f>IF(Tab.o1[[#This Row],[a1]]=1,Tab.o1[[#This Row],[OBS]]/SUM(Tab.o1[OBS]),"")</f>
        <v/>
      </c>
      <c r="AS1120" s="135" t="str">
        <f>IF(ISNUMBER(Tab.o1[[#This Row],[a1]]),ROW()-4,"")</f>
        <v/>
      </c>
      <c r="AT1120" s="136" t="str">
        <f>Tab.o1[[#This Row],[MOD]]</f>
        <v/>
      </c>
      <c r="AU1120" s="137" t="str">
        <f t="shared" si="69"/>
        <v/>
      </c>
      <c r="AV1120" s="138" t="str">
        <f t="shared" si="70"/>
        <v/>
      </c>
      <c r="AW1120" s="138" t="str">
        <f t="shared" si="71"/>
        <v/>
      </c>
      <c r="AX1120" s="139" t="str">
        <f>[1]!T.in.A[[#This Row],[ID_T_manu]]</f>
        <v/>
      </c>
      <c r="AY1120" s="140" t="str">
        <f>IF(ISNUMBER(Tab.o1[[#This Row],[a1]]),IF(AND(Tab.o1[[#This Row],[a1]]=1,Tab.o1[[#This Row],[b1]]&lt;=AY$4),#REF!,AY1119),"")</f>
        <v/>
      </c>
      <c r="AZ1120" s="25"/>
      <c r="BA1120" s="25"/>
      <c r="BB1120" s="25"/>
      <c r="BC1120" s="25"/>
      <c r="BD1120" s="25"/>
      <c r="BE1120" s="25"/>
      <c r="BF1120" s="25"/>
      <c r="BG1120" s="25"/>
      <c r="BH1120" s="25"/>
      <c r="BI1120" s="25"/>
      <c r="BJ1120" s="25"/>
      <c r="BK1120" s="25"/>
      <c r="BL1120" s="25"/>
      <c r="BM1120" s="25"/>
      <c r="BN1120" s="26"/>
      <c r="BO1120" s="26"/>
      <c r="BP1120" s="26"/>
      <c r="BQ1120" s="26"/>
      <c r="BR1120" s="26"/>
      <c r="BS1120" s="26"/>
      <c r="BT1120" s="26"/>
      <c r="BU1120" s="26"/>
      <c r="BV1120" s="26"/>
      <c r="BW1120" s="26"/>
      <c r="BX1120" s="26"/>
      <c r="BY1120" s="26"/>
      <c r="BZ1120" s="26"/>
      <c r="CA1120" s="26"/>
    </row>
    <row r="1121" spans="1:79" ht="15.75" hidden="1">
      <c r="A1121" s="109">
        <v>1.0000000000000002E-6</v>
      </c>
      <c r="B1121" s="110">
        <f t="shared" si="68"/>
        <v>1121</v>
      </c>
      <c r="C1121" s="111" t="str">
        <f>IF(C$1=[1]!T.in.A[[#This Row],[oo2]],1,"")</f>
        <v/>
      </c>
      <c r="D1121" s="112" t="str">
        <f>IF(Tab.o1[[#This Row],[a1]]=1,IF(SUM(C1121:C1122)=0,0,IF(SUM(C1120:C1121)=1,1,IF(SUM(C1120:C1122)&gt;1,D1120+1,0))),"")</f>
        <v/>
      </c>
      <c r="E1121" s="113" t="str">
        <f>IF(Tab.o1[[#This Row],[a1]]=1,[1]!T.in.A[[#This Row],[oo1]],"")</f>
        <v/>
      </c>
      <c r="F1121" s="113" t="str">
        <f>IF(Tab.o1[[#This Row],[a1]]=1,[1]!T.in.A[[#This Row],[pp1]],"")</f>
        <v/>
      </c>
      <c r="G1121" s="114" t="str">
        <f>IF(Tab.o1[[#This Row],[a1]]=1,G$2+IF(G$1=1,0,Tab.o1[[#This Row],[.x1]])+[1]!T.in.A[[#This Row],[oo3]],"")</f>
        <v/>
      </c>
      <c r="H1121" s="115" t="str">
        <f>IF(Tab.o1[[#This Row],[a1]]=1,IF(H$2=0,0,IF(G$1=1,0,Tab.o1[[#This Row],[.x1]])+[1]!T.in.A[[#This Row],[oo4]]),"")</f>
        <v/>
      </c>
      <c r="I1121" s="116" t="str">
        <f>IF(Tab.o1[[#This Row],[a1]]=1,IF(J$2=0,Tab.o1[[#This Row],[MED]],Tab.o1[[#This Row],[MOD]]),"")</f>
        <v/>
      </c>
      <c r="J1121" s="116" t="str">
        <f>IF(Tab.o1[[#This Row],[a1]]=1,((Tab.o1[[#This Row],[DIF_Target.]]-AVERAGE(Tab.o1[DIF_Target.]))/_xlfn.STDEV.P(Tab.o1[DIF_Target.])),"")</f>
        <v/>
      </c>
      <c r="K1121" s="117" t="str">
        <f>IF(Tab.o1[[#This Row],[a1]]=1,IF(J$2=0,Tab.o1[[#This Row],[MOD]]-Tab.o1[[#This Row],[B]],IF(J$2=1,0,-Tab.o1[[#This Row],[MED]])+Tab.o1[[#This Row],[B]]),"")</f>
        <v/>
      </c>
      <c r="L1121" s="117" t="str">
        <f ca="1">IF(Tab.o1[[#This Row],[DIF_Target]]=0,IF(L$2=0,Tab.o1[[#This Row],[DIF_Target]],AVERAGE(OFFSET(Tab.o1[[#This Row],[DIF_Target]],1,0,L$3,1)))/3,Tab.o1[[#This Row],[DIF_Target]])</f>
        <v/>
      </c>
      <c r="M1121" s="118" t="str">
        <f>IF(Tab.o1[[#This Row],[a1]]=1,NORMSDIST(Tab.o1[[#This Row],[Za]]),"")</f>
        <v/>
      </c>
      <c r="N1121" s="119" t="str">
        <f>IF(Tab.o1[[#This Row],[a1]]=1,((Tab.o1[[#This Row],[MedMod]]-AVERAGE(Tab.o1[MedMod]))/_xlfn.STDEV.P(Tab.o1[MedMod])*H$1205)+G$1205,"")</f>
        <v/>
      </c>
      <c r="O1121" s="141" t="str">
        <f>IF(Tab.o1[[#This Row],[a1]]=1,Tab.o1[[#This Row],[Zb]]*_xlfn.STDEV.P(Tab.o1[MedMod])+AVERAGE(Tab.o1[MedMod]),"")</f>
        <v/>
      </c>
      <c r="P1121" s="117" t="str">
        <f ca="1">IF(Tab.o1[[#This Row],[B]]=0,AVERAGE(OFFSET(Tab.o1[[#This Row],[B]],1,0,L$3,1)),Tab.o1[[#This Row],[B]])</f>
        <v/>
      </c>
      <c r="Q1121" s="121" t="str">
        <f>IF(Tab.o1[[#This Row],[a1]]=1,NORMSDIST(Tab.o1[[#This Row],[Zb]]),"")</f>
        <v/>
      </c>
      <c r="R1121" s="122" t="str">
        <f>IF(Tab.o1[[#This Row],[a1]]=1,((Tab.o1[[#This Row],[MedMod]]-AVERAGE(Tab.o1[MedMod]))/_xlfn.STDEV.P(Tab.o1[MedMod])*H$1203)+G$1203,"")</f>
        <v/>
      </c>
      <c r="S1121" s="122" t="str">
        <f>IF(Tab.o1[[#This Row],[a1]]=1,((Tab.o1[[#This Row],[MedMod]]-AVERAGE(Tab.o1[MedMod]))/_xlfn.STDEV.P(Tab.o1[MedMod])*H$1204)+G$1204,"")</f>
        <v/>
      </c>
      <c r="T1121" s="123" t="str">
        <f>IF(Tab.o1[[#This Row],[a1]]=1,Tab.o1[[#This Row],[Z-]]*_xlfn.STDEV.P(Tab.o1[B])+AVERAGE(Tab.o1[B]),"")</f>
        <v/>
      </c>
      <c r="U1121" s="123" t="str">
        <f>IF(Tab.o1[[#This Row],[a1]]=1,Tab.o1[[#This Row],[z+]]*_xlfn.STDEV.P(Tab.o1[B])+AVERAGE(Tab.o1[B]),"")</f>
        <v/>
      </c>
      <c r="V1121" s="124" t="str">
        <f>IF(Tab.o1[[#This Row],[a1]]=1,ABS((ABS(Tab.o1[[#This Row],[Red]]-Tab.o1[[#This Row],[Blue]]))),"")</f>
        <v/>
      </c>
      <c r="W1121" s="125" t="str">
        <f>IF(Tab.o1[[#This Row],[a1]]=1,IF(W$3=0,1,Tab.o1[[#This Row],[Amp.]]*1/_xlfn.MINIFS(Tab.o1[Amp.],Tab.o1[Amp.],"&lt;&gt;0")),"")</f>
        <v/>
      </c>
      <c r="X1121" s="126" t="str">
        <f>IF(Tab.o1[[#This Row],[a1]]=1,IF(ISNUMBER(Tab.o1[[#This Row],[i.]]),NORMDIST(Tab.o1[[#This Row],[Za]],0,1,FALSE)*Tab.o1[[#This Row],[i.]],AP$3),"")</f>
        <v/>
      </c>
      <c r="Y1121" s="126" t="str">
        <f>IF(Tab.o1[[#This Row],[a1]]=1,0.01+0.94*Tab.o1[[#This Row],[PDF]]/MAX(Tab.o1[PDF]),"")</f>
        <v/>
      </c>
      <c r="Z1121" s="126" t="str">
        <f>IF(Tab.o1[[#This Row],[a1]]=1,0.01+0.94*Tab.o1[[#This Row],[W1_PDF]]/MAX(Tab.o1[W1_PDF]),"")</f>
        <v/>
      </c>
      <c r="AA1121" s="118" t="str">
        <f>IF(Tab.o1[[#This Row],[a1]]=1,ABS([1]!T.in.A[[#This Row],[oo6]]),"")</f>
        <v/>
      </c>
      <c r="AB1121" s="127" t="str">
        <f>IF(Tab.o1[[#This Row],[a1]]=1,IF(AE$3=0,"",IF(AB$3=0,ABS([1]!T.in.A[[#This Row],[oo9]]),ABS(Tab.o1[[#This Row],[DIF_Target.]]*Tab.o1[[#This Row],[W1_PDF]]))),"")</f>
        <v/>
      </c>
      <c r="AC1121" s="127" t="str">
        <f>IF(G$1=1,"",IF(Tab.o1[[#This Row],[a1]]=1,Tab.o1[[#This Row],[Wr]]^2,""))</f>
        <v/>
      </c>
      <c r="AD1121" s="118" t="str">
        <f>IF(Tab.o1[[#This Row],[a1]]=1,IF(AE$3=0,"",Tab.o1[[#This Row],[Wr2]]/SUM(Tab.o1[Wr2])),"")</f>
        <v/>
      </c>
      <c r="AE1121" s="128" t="str">
        <f>IF(Tab.o1[[#This Row],[a1]]=1,[1]!T.in.A[[#This Row],[oo10]],"")</f>
        <v/>
      </c>
      <c r="AF1121" s="118" t="str">
        <f>IF(Tab.o1[[#This Row],[a1]]=1,ABS(Tab.o1[[#This Row],[DIF_Target.]]*Tab.o1[[#This Row],[PDF2]]*Tab.o1[[#This Row],[IN]]),"")</f>
        <v/>
      </c>
      <c r="AG1121" s="129" t="str">
        <f>IF(Tab.o1[[#This Row],[a1]]=1,Tab.o1[[#This Row],[rW]]^2,"")</f>
        <v/>
      </c>
      <c r="AH1121" s="130" t="str">
        <f>IF(Tab.o1[[#This Row],[a1]]=1,IF(AH$3=0,Tab.o1[[#This Row],[rW2]],0.01+0.94*Tab.o1[[#This Row],[rW2]]/SUM(Tab.o1[rW2])),"")</f>
        <v/>
      </c>
      <c r="AI1121" s="128" t="str">
        <f>IF(Tab.o1[[#This Row],[a1]]=1,1/Tab.o1[[#This Row],[PDF]],"")</f>
        <v/>
      </c>
      <c r="AJ1121" s="131" t="str">
        <f>IF(Tab.o1[[#This Row],[a1]]=1,[1]!T_AA[[#This Row],[IN'']]*[1]!T_AA[[#This Row],[Qde'']],"")</f>
        <v/>
      </c>
      <c r="AK1121" s="132" t="str">
        <f>IF(Tab.o1[[#This Row],[a1]]=1,IF(AK$1=1,Tab.o1[[#This Row],[MED]]+Tab.o1[[#This Row],[MOD]]-Tab.o1[[#This Row],[MED]],""),"")</f>
        <v/>
      </c>
      <c r="AL1121" s="133" t="str">
        <f>IF(Tab.o1[[#This Row],[a1]]=1,[1]!T.in.A[[#This Row],[oo16]],"")</f>
        <v/>
      </c>
      <c r="AM1121" s="133" t="str">
        <f>IF(Tab.o1[[#This Row],[a1]]=1,IF(AM$3=1,[1]!T.in.A[[#This Row],[Σo16]],""),"")</f>
        <v/>
      </c>
      <c r="AN1121" s="126" t="str">
        <f>IF(Tab.o1[[#This Row],[a1]]=1,[1]!T.in.A[[#This Row],[Σp5]],"")</f>
        <v/>
      </c>
      <c r="AO1121" s="126" t="str">
        <f>IF(Tab.o1[[#This Row],[a1]]=1,IF(AO$3=1,[1]!T.in.A[[#This Row],[Σp5]],""),"")</f>
        <v/>
      </c>
      <c r="AP1121" s="110" t="str">
        <f>IF(Tab.o1[[#This Row],[a1]]=1,IF(ISNUMBER(Tab.o1[[#This Row],[i.]]),NORMDIST(Tab.o1[[#This Row],[Za]],0,1,FALSE)*Tab.o1[[#This Row],[i.]],0),"")</f>
        <v/>
      </c>
      <c r="AQ1121" s="125" t="str">
        <f>IF(Tab.o1[[#This Row],[a1]]=1,ABS(Tab.o1[[#This Row],[MOD]]-AVERAGE(Tab.o1[MOD])),"")</f>
        <v/>
      </c>
      <c r="AR1121" s="134" t="str">
        <f>IF(Tab.o1[[#This Row],[a1]]=1,Tab.o1[[#This Row],[OBS]]/SUM(Tab.o1[OBS]),"")</f>
        <v/>
      </c>
      <c r="AS1121" s="135" t="str">
        <f>IF(ISNUMBER(Tab.o1[[#This Row],[a1]]),ROW()-4,"")</f>
        <v/>
      </c>
      <c r="AT1121" s="136" t="str">
        <f>Tab.o1[[#This Row],[MOD]]</f>
        <v/>
      </c>
      <c r="AU1121" s="137" t="str">
        <f t="shared" si="69"/>
        <v/>
      </c>
      <c r="AV1121" s="138" t="str">
        <f t="shared" si="70"/>
        <v/>
      </c>
      <c r="AW1121" s="138" t="str">
        <f t="shared" si="71"/>
        <v/>
      </c>
      <c r="AX1121" s="139" t="str">
        <f>[1]!T.in.A[[#This Row],[ID_T_manu]]</f>
        <v/>
      </c>
      <c r="AY1121" s="140" t="str">
        <f>IF(ISNUMBER(Tab.o1[[#This Row],[a1]]),IF(AND(Tab.o1[[#This Row],[a1]]=1,Tab.o1[[#This Row],[b1]]&lt;=AY$4),#REF!,AY1120),"")</f>
        <v/>
      </c>
      <c r="AZ1121" s="25"/>
      <c r="BA1121" s="25"/>
      <c r="BB1121" s="25"/>
      <c r="BC1121" s="25"/>
      <c r="BD1121" s="25"/>
      <c r="BE1121" s="25"/>
      <c r="BF1121" s="25"/>
      <c r="BG1121" s="25"/>
      <c r="BH1121" s="25"/>
      <c r="BI1121" s="25"/>
      <c r="BJ1121" s="25"/>
      <c r="BK1121" s="25"/>
      <c r="BL1121" s="25"/>
      <c r="BM1121" s="25"/>
      <c r="BN1121" s="26"/>
      <c r="BO1121" s="26"/>
      <c r="BP1121" s="26"/>
      <c r="BQ1121" s="26"/>
      <c r="BR1121" s="26"/>
      <c r="BS1121" s="26"/>
      <c r="BT1121" s="26"/>
      <c r="BU1121" s="26"/>
      <c r="BV1121" s="26"/>
      <c r="BW1121" s="26"/>
      <c r="BX1121" s="26"/>
      <c r="BY1121" s="26"/>
      <c r="BZ1121" s="26"/>
      <c r="CA1121" s="26"/>
    </row>
    <row r="1122" spans="1:79" ht="15.75" hidden="1">
      <c r="A1122" s="109">
        <v>-1.0000000000000001E-5</v>
      </c>
      <c r="B1122" s="110">
        <f t="shared" si="68"/>
        <v>1122</v>
      </c>
      <c r="C1122" s="111" t="str">
        <f>IF(C$1=[1]!T.in.A[[#This Row],[oo2]],1,"")</f>
        <v/>
      </c>
      <c r="D1122" s="112" t="str">
        <f>IF(Tab.o1[[#This Row],[a1]]=1,IF(SUM(C1122:C1123)=0,0,IF(SUM(C1121:C1122)=1,1,IF(SUM(C1121:C1123)&gt;1,D1121+1,0))),"")</f>
        <v/>
      </c>
      <c r="E1122" s="113" t="str">
        <f>IF(Tab.o1[[#This Row],[a1]]=1,[1]!T.in.A[[#This Row],[oo1]],"")</f>
        <v/>
      </c>
      <c r="F1122" s="113" t="str">
        <f>IF(Tab.o1[[#This Row],[a1]]=1,[1]!T.in.A[[#This Row],[pp1]],"")</f>
        <v/>
      </c>
      <c r="G1122" s="114" t="str">
        <f>IF(Tab.o1[[#This Row],[a1]]=1,G$2+IF(G$1=1,0,Tab.o1[[#This Row],[.x1]])+[1]!T.in.A[[#This Row],[oo3]],"")</f>
        <v/>
      </c>
      <c r="H1122" s="115" t="str">
        <f>IF(Tab.o1[[#This Row],[a1]]=1,IF(H$2=0,0,IF(G$1=1,0,Tab.o1[[#This Row],[.x1]])+[1]!T.in.A[[#This Row],[oo4]]),"")</f>
        <v/>
      </c>
      <c r="I1122" s="116" t="str">
        <f>IF(Tab.o1[[#This Row],[a1]]=1,IF(J$2=0,Tab.o1[[#This Row],[MED]],Tab.o1[[#This Row],[MOD]]),"")</f>
        <v/>
      </c>
      <c r="J1122" s="116" t="str">
        <f>IF(Tab.o1[[#This Row],[a1]]=1,((Tab.o1[[#This Row],[DIF_Target.]]-AVERAGE(Tab.o1[DIF_Target.]))/_xlfn.STDEV.P(Tab.o1[DIF_Target.])),"")</f>
        <v/>
      </c>
      <c r="K1122" s="117" t="str">
        <f>IF(Tab.o1[[#This Row],[a1]]=1,IF(J$2=0,Tab.o1[[#This Row],[MOD]]-Tab.o1[[#This Row],[B]],IF(J$2=1,0,-Tab.o1[[#This Row],[MED]])+Tab.o1[[#This Row],[B]]),"")</f>
        <v/>
      </c>
      <c r="L1122" s="117" t="str">
        <f ca="1">IF(Tab.o1[[#This Row],[DIF_Target]]=0,IF(L$2=0,Tab.o1[[#This Row],[DIF_Target]],AVERAGE(OFFSET(Tab.o1[[#This Row],[DIF_Target]],1,0,L$3,1)))/3,Tab.o1[[#This Row],[DIF_Target]])</f>
        <v/>
      </c>
      <c r="M1122" s="118" t="str">
        <f>IF(Tab.o1[[#This Row],[a1]]=1,NORMSDIST(Tab.o1[[#This Row],[Za]]),"")</f>
        <v/>
      </c>
      <c r="N1122" s="119" t="str">
        <f>IF(Tab.o1[[#This Row],[a1]]=1,((Tab.o1[[#This Row],[MedMod]]-AVERAGE(Tab.o1[MedMod]))/_xlfn.STDEV.P(Tab.o1[MedMod])*H$1205)+G$1205,"")</f>
        <v/>
      </c>
      <c r="O1122" s="141" t="str">
        <f>IF(Tab.o1[[#This Row],[a1]]=1,Tab.o1[[#This Row],[Zb]]*_xlfn.STDEV.P(Tab.o1[MedMod])+AVERAGE(Tab.o1[MedMod]),"")</f>
        <v/>
      </c>
      <c r="P1122" s="117" t="str">
        <f ca="1">IF(Tab.o1[[#This Row],[B]]=0,AVERAGE(OFFSET(Tab.o1[[#This Row],[B]],1,0,L$3,1)),Tab.o1[[#This Row],[B]])</f>
        <v/>
      </c>
      <c r="Q1122" s="121" t="str">
        <f>IF(Tab.o1[[#This Row],[a1]]=1,NORMSDIST(Tab.o1[[#This Row],[Zb]]),"")</f>
        <v/>
      </c>
      <c r="R1122" s="122" t="str">
        <f>IF(Tab.o1[[#This Row],[a1]]=1,((Tab.o1[[#This Row],[MedMod]]-AVERAGE(Tab.o1[MedMod]))/_xlfn.STDEV.P(Tab.o1[MedMod])*H$1203)+G$1203,"")</f>
        <v/>
      </c>
      <c r="S1122" s="122" t="str">
        <f>IF(Tab.o1[[#This Row],[a1]]=1,((Tab.o1[[#This Row],[MedMod]]-AVERAGE(Tab.o1[MedMod]))/_xlfn.STDEV.P(Tab.o1[MedMod])*H$1204)+G$1204,"")</f>
        <v/>
      </c>
      <c r="T1122" s="123" t="str">
        <f>IF(Tab.o1[[#This Row],[a1]]=1,Tab.o1[[#This Row],[Z-]]*_xlfn.STDEV.P(Tab.o1[B])+AVERAGE(Tab.o1[B]),"")</f>
        <v/>
      </c>
      <c r="U1122" s="123" t="str">
        <f>IF(Tab.o1[[#This Row],[a1]]=1,Tab.o1[[#This Row],[z+]]*_xlfn.STDEV.P(Tab.o1[B])+AVERAGE(Tab.o1[B]),"")</f>
        <v/>
      </c>
      <c r="V1122" s="124" t="str">
        <f>IF(Tab.o1[[#This Row],[a1]]=1,ABS((ABS(Tab.o1[[#This Row],[Red]]-Tab.o1[[#This Row],[Blue]]))),"")</f>
        <v/>
      </c>
      <c r="W1122" s="125" t="str">
        <f>IF(Tab.o1[[#This Row],[a1]]=1,IF(W$3=0,1,Tab.o1[[#This Row],[Amp.]]*1/_xlfn.MINIFS(Tab.o1[Amp.],Tab.o1[Amp.],"&lt;&gt;0")),"")</f>
        <v/>
      </c>
      <c r="X1122" s="126" t="str">
        <f>IF(Tab.o1[[#This Row],[a1]]=1,IF(ISNUMBER(Tab.o1[[#This Row],[i.]]),NORMDIST(Tab.o1[[#This Row],[Za]],0,1,FALSE)*Tab.o1[[#This Row],[i.]],AP$3),"")</f>
        <v/>
      </c>
      <c r="Y1122" s="126" t="str">
        <f>IF(Tab.o1[[#This Row],[a1]]=1,0.01+0.94*Tab.o1[[#This Row],[PDF]]/MAX(Tab.o1[PDF]),"")</f>
        <v/>
      </c>
      <c r="Z1122" s="126" t="str">
        <f>IF(Tab.o1[[#This Row],[a1]]=1,0.01+0.94*Tab.o1[[#This Row],[W1_PDF]]/MAX(Tab.o1[W1_PDF]),"")</f>
        <v/>
      </c>
      <c r="AA1122" s="118" t="str">
        <f>IF(Tab.o1[[#This Row],[a1]]=1,ABS([1]!T.in.A[[#This Row],[oo6]]),"")</f>
        <v/>
      </c>
      <c r="AB1122" s="127" t="str">
        <f>IF(Tab.o1[[#This Row],[a1]]=1,IF(AE$3=0,"",IF(AB$3=0,ABS([1]!T.in.A[[#This Row],[oo9]]),ABS(Tab.o1[[#This Row],[DIF_Target.]]*Tab.o1[[#This Row],[W1_PDF]]))),"")</f>
        <v/>
      </c>
      <c r="AC1122" s="127" t="str">
        <f>IF(G$1=1,"",IF(Tab.o1[[#This Row],[a1]]=1,Tab.o1[[#This Row],[Wr]]^2,""))</f>
        <v/>
      </c>
      <c r="AD1122" s="118" t="str">
        <f>IF(Tab.o1[[#This Row],[a1]]=1,IF(AE$3=0,"",Tab.o1[[#This Row],[Wr2]]/SUM(Tab.o1[Wr2])),"")</f>
        <v/>
      </c>
      <c r="AE1122" s="128" t="str">
        <f>IF(Tab.o1[[#This Row],[a1]]=1,[1]!T.in.A[[#This Row],[oo10]],"")</f>
        <v/>
      </c>
      <c r="AF1122" s="118" t="str">
        <f>IF(Tab.o1[[#This Row],[a1]]=1,ABS(Tab.o1[[#This Row],[DIF_Target.]]*Tab.o1[[#This Row],[PDF2]]*Tab.o1[[#This Row],[IN]]),"")</f>
        <v/>
      </c>
      <c r="AG1122" s="129" t="str">
        <f>IF(Tab.o1[[#This Row],[a1]]=1,Tab.o1[[#This Row],[rW]]^2,"")</f>
        <v/>
      </c>
      <c r="AH1122" s="130" t="str">
        <f>IF(Tab.o1[[#This Row],[a1]]=1,IF(AH$3=0,Tab.o1[[#This Row],[rW2]],0.01+0.94*Tab.o1[[#This Row],[rW2]]/SUM(Tab.o1[rW2])),"")</f>
        <v/>
      </c>
      <c r="AI1122" s="128" t="str">
        <f>IF(Tab.o1[[#This Row],[a1]]=1,1/Tab.o1[[#This Row],[PDF]],"")</f>
        <v/>
      </c>
      <c r="AJ1122" s="131" t="str">
        <f>IF(Tab.o1[[#This Row],[a1]]=1,[1]!T_AA[[#This Row],[IN'']]*[1]!T_AA[[#This Row],[Qde'']],"")</f>
        <v/>
      </c>
      <c r="AK1122" s="132" t="str">
        <f>IF(Tab.o1[[#This Row],[a1]]=1,IF(AK$1=1,Tab.o1[[#This Row],[MED]]+Tab.o1[[#This Row],[MOD]]-Tab.o1[[#This Row],[MED]],""),"")</f>
        <v/>
      </c>
      <c r="AL1122" s="133" t="str">
        <f>IF(Tab.o1[[#This Row],[a1]]=1,[1]!T.in.A[[#This Row],[oo16]],"")</f>
        <v/>
      </c>
      <c r="AM1122" s="133" t="str">
        <f>IF(Tab.o1[[#This Row],[a1]]=1,IF(AM$3=1,[1]!T.in.A[[#This Row],[Σo16]],""),"")</f>
        <v/>
      </c>
      <c r="AN1122" s="126" t="str">
        <f>IF(Tab.o1[[#This Row],[a1]]=1,[1]!T.in.A[[#This Row],[Σp5]],"")</f>
        <v/>
      </c>
      <c r="AO1122" s="126" t="str">
        <f>IF(Tab.o1[[#This Row],[a1]]=1,IF(AO$3=1,[1]!T.in.A[[#This Row],[Σp5]],""),"")</f>
        <v/>
      </c>
      <c r="AP1122" s="110" t="str">
        <f>IF(Tab.o1[[#This Row],[a1]]=1,IF(ISNUMBER(Tab.o1[[#This Row],[i.]]),NORMDIST(Tab.o1[[#This Row],[Za]],0,1,FALSE)*Tab.o1[[#This Row],[i.]],0),"")</f>
        <v/>
      </c>
      <c r="AQ1122" s="125" t="str">
        <f>IF(Tab.o1[[#This Row],[a1]]=1,ABS(Tab.o1[[#This Row],[MOD]]-AVERAGE(Tab.o1[MOD])),"")</f>
        <v/>
      </c>
      <c r="AR1122" s="134" t="str">
        <f>IF(Tab.o1[[#This Row],[a1]]=1,Tab.o1[[#This Row],[OBS]]/SUM(Tab.o1[OBS]),"")</f>
        <v/>
      </c>
      <c r="AS1122" s="135" t="str">
        <f>IF(ISNUMBER(Tab.o1[[#This Row],[a1]]),ROW()-4,"")</f>
        <v/>
      </c>
      <c r="AT1122" s="136" t="str">
        <f>Tab.o1[[#This Row],[MOD]]</f>
        <v/>
      </c>
      <c r="AU1122" s="137" t="str">
        <f t="shared" si="69"/>
        <v/>
      </c>
      <c r="AV1122" s="138" t="str">
        <f t="shared" si="70"/>
        <v/>
      </c>
      <c r="AW1122" s="138" t="str">
        <f t="shared" si="71"/>
        <v/>
      </c>
      <c r="AX1122" s="139" t="str">
        <f>[1]!T.in.A[[#This Row],[ID_T_manu]]</f>
        <v/>
      </c>
      <c r="AY1122" s="140" t="str">
        <f>IF(ISNUMBER(Tab.o1[[#This Row],[a1]]),IF(AND(Tab.o1[[#This Row],[a1]]=1,Tab.o1[[#This Row],[b1]]&lt;=AY$4),#REF!,AY1121),"")</f>
        <v/>
      </c>
      <c r="AZ1122" s="25"/>
      <c r="BA1122" s="25"/>
      <c r="BB1122" s="25"/>
      <c r="BC1122" s="25"/>
      <c r="BD1122" s="25"/>
      <c r="BE1122" s="25"/>
      <c r="BF1122" s="25"/>
      <c r="BG1122" s="25"/>
      <c r="BH1122" s="25"/>
      <c r="BI1122" s="25"/>
      <c r="BJ1122" s="25"/>
      <c r="BK1122" s="25"/>
      <c r="BL1122" s="25"/>
      <c r="BM1122" s="25"/>
      <c r="BN1122" s="26"/>
      <c r="BO1122" s="26"/>
      <c r="BP1122" s="26"/>
      <c r="BQ1122" s="26"/>
      <c r="BR1122" s="26"/>
      <c r="BS1122" s="26"/>
      <c r="BT1122" s="26"/>
      <c r="BU1122" s="26"/>
      <c r="BV1122" s="26"/>
      <c r="BW1122" s="26"/>
      <c r="BX1122" s="26"/>
      <c r="BY1122" s="26"/>
      <c r="BZ1122" s="26"/>
      <c r="CA1122" s="26"/>
    </row>
    <row r="1123" spans="1:79" ht="15.75" hidden="1">
      <c r="A1123" s="109">
        <v>1.0000000000000002E-6</v>
      </c>
      <c r="B1123" s="110">
        <f t="shared" si="68"/>
        <v>1123</v>
      </c>
      <c r="C1123" s="111" t="str">
        <f>IF(C$1=[1]!T.in.A[[#This Row],[oo2]],1,"")</f>
        <v/>
      </c>
      <c r="D1123" s="112" t="str">
        <f>IF(Tab.o1[[#This Row],[a1]]=1,IF(SUM(C1123:C1124)=0,0,IF(SUM(C1122:C1123)=1,1,IF(SUM(C1122:C1124)&gt;1,D1122+1,0))),"")</f>
        <v/>
      </c>
      <c r="E1123" s="113" t="str">
        <f>IF(Tab.o1[[#This Row],[a1]]=1,[1]!T.in.A[[#This Row],[oo1]],"")</f>
        <v/>
      </c>
      <c r="F1123" s="113" t="str">
        <f>IF(Tab.o1[[#This Row],[a1]]=1,[1]!T.in.A[[#This Row],[pp1]],"")</f>
        <v/>
      </c>
      <c r="G1123" s="114" t="str">
        <f>IF(Tab.o1[[#This Row],[a1]]=1,G$2+IF(G$1=1,0,Tab.o1[[#This Row],[.x1]])+[1]!T.in.A[[#This Row],[oo3]],"")</f>
        <v/>
      </c>
      <c r="H1123" s="115" t="str">
        <f>IF(Tab.o1[[#This Row],[a1]]=1,IF(H$2=0,0,IF(G$1=1,0,Tab.o1[[#This Row],[.x1]])+[1]!T.in.A[[#This Row],[oo4]]),"")</f>
        <v/>
      </c>
      <c r="I1123" s="116" t="str">
        <f>IF(Tab.o1[[#This Row],[a1]]=1,IF(J$2=0,Tab.o1[[#This Row],[MED]],Tab.o1[[#This Row],[MOD]]),"")</f>
        <v/>
      </c>
      <c r="J1123" s="116" t="str">
        <f>IF(Tab.o1[[#This Row],[a1]]=1,((Tab.o1[[#This Row],[DIF_Target.]]-AVERAGE(Tab.o1[DIF_Target.]))/_xlfn.STDEV.P(Tab.o1[DIF_Target.])),"")</f>
        <v/>
      </c>
      <c r="K1123" s="117" t="str">
        <f>IF(Tab.o1[[#This Row],[a1]]=1,IF(J$2=0,Tab.o1[[#This Row],[MOD]]-Tab.o1[[#This Row],[B]],IF(J$2=1,0,-Tab.o1[[#This Row],[MED]])+Tab.o1[[#This Row],[B]]),"")</f>
        <v/>
      </c>
      <c r="L1123" s="117" t="str">
        <f ca="1">IF(Tab.o1[[#This Row],[DIF_Target]]=0,IF(L$2=0,Tab.o1[[#This Row],[DIF_Target]],AVERAGE(OFFSET(Tab.o1[[#This Row],[DIF_Target]],1,0,L$3,1)))/3,Tab.o1[[#This Row],[DIF_Target]])</f>
        <v/>
      </c>
      <c r="M1123" s="118" t="str">
        <f>IF(Tab.o1[[#This Row],[a1]]=1,NORMSDIST(Tab.o1[[#This Row],[Za]]),"")</f>
        <v/>
      </c>
      <c r="N1123" s="119" t="str">
        <f>IF(Tab.o1[[#This Row],[a1]]=1,((Tab.o1[[#This Row],[MedMod]]-AVERAGE(Tab.o1[MedMod]))/_xlfn.STDEV.P(Tab.o1[MedMod])*H$1205)+G$1205,"")</f>
        <v/>
      </c>
      <c r="O1123" s="141" t="str">
        <f>IF(Tab.o1[[#This Row],[a1]]=1,Tab.o1[[#This Row],[Zb]]*_xlfn.STDEV.P(Tab.o1[MedMod])+AVERAGE(Tab.o1[MedMod]),"")</f>
        <v/>
      </c>
      <c r="P1123" s="117" t="str">
        <f ca="1">IF(Tab.o1[[#This Row],[B]]=0,AVERAGE(OFFSET(Tab.o1[[#This Row],[B]],1,0,L$3,1)),Tab.o1[[#This Row],[B]])</f>
        <v/>
      </c>
      <c r="Q1123" s="121" t="str">
        <f>IF(Tab.o1[[#This Row],[a1]]=1,NORMSDIST(Tab.o1[[#This Row],[Zb]]),"")</f>
        <v/>
      </c>
      <c r="R1123" s="122" t="str">
        <f>IF(Tab.o1[[#This Row],[a1]]=1,((Tab.o1[[#This Row],[MedMod]]-AVERAGE(Tab.o1[MedMod]))/_xlfn.STDEV.P(Tab.o1[MedMod])*H$1203)+G$1203,"")</f>
        <v/>
      </c>
      <c r="S1123" s="122" t="str">
        <f>IF(Tab.o1[[#This Row],[a1]]=1,((Tab.o1[[#This Row],[MedMod]]-AVERAGE(Tab.o1[MedMod]))/_xlfn.STDEV.P(Tab.o1[MedMod])*H$1204)+G$1204,"")</f>
        <v/>
      </c>
      <c r="T1123" s="123" t="str">
        <f>IF(Tab.o1[[#This Row],[a1]]=1,Tab.o1[[#This Row],[Z-]]*_xlfn.STDEV.P(Tab.o1[B])+AVERAGE(Tab.o1[B]),"")</f>
        <v/>
      </c>
      <c r="U1123" s="123" t="str">
        <f>IF(Tab.o1[[#This Row],[a1]]=1,Tab.o1[[#This Row],[z+]]*_xlfn.STDEV.P(Tab.o1[B])+AVERAGE(Tab.o1[B]),"")</f>
        <v/>
      </c>
      <c r="V1123" s="124" t="str">
        <f>IF(Tab.o1[[#This Row],[a1]]=1,ABS((ABS(Tab.o1[[#This Row],[Red]]-Tab.o1[[#This Row],[Blue]]))),"")</f>
        <v/>
      </c>
      <c r="W1123" s="125" t="str">
        <f>IF(Tab.o1[[#This Row],[a1]]=1,IF(W$3=0,1,Tab.o1[[#This Row],[Amp.]]*1/_xlfn.MINIFS(Tab.o1[Amp.],Tab.o1[Amp.],"&lt;&gt;0")),"")</f>
        <v/>
      </c>
      <c r="X1123" s="126" t="str">
        <f>IF(Tab.o1[[#This Row],[a1]]=1,IF(ISNUMBER(Tab.o1[[#This Row],[i.]]),NORMDIST(Tab.o1[[#This Row],[Za]],0,1,FALSE)*Tab.o1[[#This Row],[i.]],AP$3),"")</f>
        <v/>
      </c>
      <c r="Y1123" s="126" t="str">
        <f>IF(Tab.o1[[#This Row],[a1]]=1,0.01+0.94*Tab.o1[[#This Row],[PDF]]/MAX(Tab.o1[PDF]),"")</f>
        <v/>
      </c>
      <c r="Z1123" s="126" t="str">
        <f>IF(Tab.o1[[#This Row],[a1]]=1,0.01+0.94*Tab.o1[[#This Row],[W1_PDF]]/MAX(Tab.o1[W1_PDF]),"")</f>
        <v/>
      </c>
      <c r="AA1123" s="118" t="str">
        <f>IF(Tab.o1[[#This Row],[a1]]=1,ABS([1]!T.in.A[[#This Row],[oo6]]),"")</f>
        <v/>
      </c>
      <c r="AB1123" s="127" t="str">
        <f>IF(Tab.o1[[#This Row],[a1]]=1,IF(AE$3=0,"",IF(AB$3=0,ABS([1]!T.in.A[[#This Row],[oo9]]),ABS(Tab.o1[[#This Row],[DIF_Target.]]*Tab.o1[[#This Row],[W1_PDF]]))),"")</f>
        <v/>
      </c>
      <c r="AC1123" s="127" t="str">
        <f>IF(G$1=1,"",IF(Tab.o1[[#This Row],[a1]]=1,Tab.o1[[#This Row],[Wr]]^2,""))</f>
        <v/>
      </c>
      <c r="AD1123" s="118" t="str">
        <f>IF(Tab.o1[[#This Row],[a1]]=1,IF(AE$3=0,"",Tab.o1[[#This Row],[Wr2]]/SUM(Tab.o1[Wr2])),"")</f>
        <v/>
      </c>
      <c r="AE1123" s="128" t="str">
        <f>IF(Tab.o1[[#This Row],[a1]]=1,[1]!T.in.A[[#This Row],[oo10]],"")</f>
        <v/>
      </c>
      <c r="AF1123" s="118" t="str">
        <f>IF(Tab.o1[[#This Row],[a1]]=1,ABS(Tab.o1[[#This Row],[DIF_Target.]]*Tab.o1[[#This Row],[PDF2]]*Tab.o1[[#This Row],[IN]]),"")</f>
        <v/>
      </c>
      <c r="AG1123" s="129" t="str">
        <f>IF(Tab.o1[[#This Row],[a1]]=1,Tab.o1[[#This Row],[rW]]^2,"")</f>
        <v/>
      </c>
      <c r="AH1123" s="130" t="str">
        <f>IF(Tab.o1[[#This Row],[a1]]=1,IF(AH$3=0,Tab.o1[[#This Row],[rW2]],0.01+0.94*Tab.o1[[#This Row],[rW2]]/SUM(Tab.o1[rW2])),"")</f>
        <v/>
      </c>
      <c r="AI1123" s="128" t="str">
        <f>IF(Tab.o1[[#This Row],[a1]]=1,1/Tab.o1[[#This Row],[PDF]],"")</f>
        <v/>
      </c>
      <c r="AJ1123" s="131" t="str">
        <f>IF(Tab.o1[[#This Row],[a1]]=1,[1]!T_AA[[#This Row],[IN'']]*[1]!T_AA[[#This Row],[Qde'']],"")</f>
        <v/>
      </c>
      <c r="AK1123" s="132" t="str">
        <f>IF(Tab.o1[[#This Row],[a1]]=1,IF(AK$1=1,Tab.o1[[#This Row],[MED]]+Tab.o1[[#This Row],[MOD]]-Tab.o1[[#This Row],[MED]],""),"")</f>
        <v/>
      </c>
      <c r="AL1123" s="133" t="str">
        <f>IF(Tab.o1[[#This Row],[a1]]=1,[1]!T.in.A[[#This Row],[oo16]],"")</f>
        <v/>
      </c>
      <c r="AM1123" s="133" t="str">
        <f>IF(Tab.o1[[#This Row],[a1]]=1,IF(AM$3=1,[1]!T.in.A[[#This Row],[Σo16]],""),"")</f>
        <v/>
      </c>
      <c r="AN1123" s="126" t="str">
        <f>IF(Tab.o1[[#This Row],[a1]]=1,[1]!T.in.A[[#This Row],[Σp5]],"")</f>
        <v/>
      </c>
      <c r="AO1123" s="126" t="str">
        <f>IF(Tab.o1[[#This Row],[a1]]=1,IF(AO$3=1,[1]!T.in.A[[#This Row],[Σp5]],""),"")</f>
        <v/>
      </c>
      <c r="AP1123" s="110" t="str">
        <f>IF(Tab.o1[[#This Row],[a1]]=1,IF(ISNUMBER(Tab.o1[[#This Row],[i.]]),NORMDIST(Tab.o1[[#This Row],[Za]],0,1,FALSE)*Tab.o1[[#This Row],[i.]],0),"")</f>
        <v/>
      </c>
      <c r="AQ1123" s="125" t="str">
        <f>IF(Tab.o1[[#This Row],[a1]]=1,ABS(Tab.o1[[#This Row],[MOD]]-AVERAGE(Tab.o1[MOD])),"")</f>
        <v/>
      </c>
      <c r="AR1123" s="134" t="str">
        <f>IF(Tab.o1[[#This Row],[a1]]=1,Tab.o1[[#This Row],[OBS]]/SUM(Tab.o1[OBS]),"")</f>
        <v/>
      </c>
      <c r="AS1123" s="135" t="str">
        <f>IF(ISNUMBER(Tab.o1[[#This Row],[a1]]),ROW()-4,"")</f>
        <v/>
      </c>
      <c r="AT1123" s="136" t="str">
        <f>Tab.o1[[#This Row],[MOD]]</f>
        <v/>
      </c>
      <c r="AU1123" s="137" t="str">
        <f t="shared" si="69"/>
        <v/>
      </c>
      <c r="AV1123" s="138" t="str">
        <f t="shared" si="70"/>
        <v/>
      </c>
      <c r="AW1123" s="138" t="str">
        <f t="shared" si="71"/>
        <v/>
      </c>
      <c r="AX1123" s="139" t="str">
        <f>[1]!T.in.A[[#This Row],[ID_T_manu]]</f>
        <v/>
      </c>
      <c r="AY1123" s="140" t="str">
        <f>IF(ISNUMBER(Tab.o1[[#This Row],[a1]]),IF(AND(Tab.o1[[#This Row],[a1]]=1,Tab.o1[[#This Row],[b1]]&lt;=AY$4),#REF!,AY1122),"")</f>
        <v/>
      </c>
      <c r="AZ1123" s="25"/>
      <c r="BA1123" s="25"/>
      <c r="BB1123" s="25"/>
      <c r="BC1123" s="25"/>
      <c r="BD1123" s="25"/>
      <c r="BE1123" s="25"/>
      <c r="BF1123" s="25"/>
      <c r="BG1123" s="25"/>
      <c r="BH1123" s="25"/>
      <c r="BI1123" s="25"/>
      <c r="BJ1123" s="25"/>
      <c r="BK1123" s="25"/>
      <c r="BL1123" s="25"/>
      <c r="BM1123" s="25"/>
      <c r="BN1123" s="26"/>
      <c r="BO1123" s="26"/>
      <c r="BP1123" s="26"/>
      <c r="BQ1123" s="26"/>
      <c r="BR1123" s="26"/>
      <c r="BS1123" s="26"/>
      <c r="BT1123" s="26"/>
      <c r="BU1123" s="26"/>
      <c r="BV1123" s="26"/>
      <c r="BW1123" s="26"/>
      <c r="BX1123" s="26"/>
      <c r="BY1123" s="26"/>
      <c r="BZ1123" s="26"/>
      <c r="CA1123" s="26"/>
    </row>
    <row r="1124" spans="1:79" ht="15.75" hidden="1">
      <c r="A1124" s="109">
        <v>5.0000000000000004E-6</v>
      </c>
      <c r="B1124" s="110">
        <f t="shared" si="68"/>
        <v>1124</v>
      </c>
      <c r="C1124" s="111" t="str">
        <f>IF(C$1=[1]!T.in.A[[#This Row],[oo2]],1,"")</f>
        <v/>
      </c>
      <c r="D1124" s="112" t="str">
        <f>IF(Tab.o1[[#This Row],[a1]]=1,IF(SUM(C1124:C1125)=0,0,IF(SUM(C1123:C1124)=1,1,IF(SUM(C1123:C1125)&gt;1,D1123+1,0))),"")</f>
        <v/>
      </c>
      <c r="E1124" s="113" t="str">
        <f>IF(Tab.o1[[#This Row],[a1]]=1,[1]!T.in.A[[#This Row],[oo1]],"")</f>
        <v/>
      </c>
      <c r="F1124" s="113" t="str">
        <f>IF(Tab.o1[[#This Row],[a1]]=1,[1]!T.in.A[[#This Row],[pp1]],"")</f>
        <v/>
      </c>
      <c r="G1124" s="114" t="str">
        <f>IF(Tab.o1[[#This Row],[a1]]=1,G$2+IF(G$1=1,0,Tab.o1[[#This Row],[.x1]])+[1]!T.in.A[[#This Row],[oo3]],"")</f>
        <v/>
      </c>
      <c r="H1124" s="115" t="str">
        <f>IF(Tab.o1[[#This Row],[a1]]=1,IF(H$2=0,0,IF(G$1=1,0,Tab.o1[[#This Row],[.x1]])+[1]!T.in.A[[#This Row],[oo4]]),"")</f>
        <v/>
      </c>
      <c r="I1124" s="116" t="str">
        <f>IF(Tab.o1[[#This Row],[a1]]=1,IF(J$2=0,Tab.o1[[#This Row],[MED]],Tab.o1[[#This Row],[MOD]]),"")</f>
        <v/>
      </c>
      <c r="J1124" s="116" t="str">
        <f>IF(Tab.o1[[#This Row],[a1]]=1,((Tab.o1[[#This Row],[DIF_Target.]]-AVERAGE(Tab.o1[DIF_Target.]))/_xlfn.STDEV.P(Tab.o1[DIF_Target.])),"")</f>
        <v/>
      </c>
      <c r="K1124" s="117" t="str">
        <f>IF(Tab.o1[[#This Row],[a1]]=1,IF(J$2=0,Tab.o1[[#This Row],[MOD]]-Tab.o1[[#This Row],[B]],IF(J$2=1,0,-Tab.o1[[#This Row],[MED]])+Tab.o1[[#This Row],[B]]),"")</f>
        <v/>
      </c>
      <c r="L1124" s="117" t="str">
        <f ca="1">IF(Tab.o1[[#This Row],[DIF_Target]]=0,IF(L$2=0,Tab.o1[[#This Row],[DIF_Target]],AVERAGE(OFFSET(Tab.o1[[#This Row],[DIF_Target]],1,0,L$3,1)))/3,Tab.o1[[#This Row],[DIF_Target]])</f>
        <v/>
      </c>
      <c r="M1124" s="118" t="str">
        <f>IF(Tab.o1[[#This Row],[a1]]=1,NORMSDIST(Tab.o1[[#This Row],[Za]]),"")</f>
        <v/>
      </c>
      <c r="N1124" s="119" t="str">
        <f>IF(Tab.o1[[#This Row],[a1]]=1,((Tab.o1[[#This Row],[MedMod]]-AVERAGE(Tab.o1[MedMod]))/_xlfn.STDEV.P(Tab.o1[MedMod])*H$1205)+G$1205,"")</f>
        <v/>
      </c>
      <c r="O1124" s="141" t="str">
        <f>IF(Tab.o1[[#This Row],[a1]]=1,Tab.o1[[#This Row],[Zb]]*_xlfn.STDEV.P(Tab.o1[MedMod])+AVERAGE(Tab.o1[MedMod]),"")</f>
        <v/>
      </c>
      <c r="P1124" s="117" t="str">
        <f ca="1">IF(Tab.o1[[#This Row],[B]]=0,AVERAGE(OFFSET(Tab.o1[[#This Row],[B]],1,0,L$3,1)),Tab.o1[[#This Row],[B]])</f>
        <v/>
      </c>
      <c r="Q1124" s="121" t="str">
        <f>IF(Tab.o1[[#This Row],[a1]]=1,NORMSDIST(Tab.o1[[#This Row],[Zb]]),"")</f>
        <v/>
      </c>
      <c r="R1124" s="122" t="str">
        <f>IF(Tab.o1[[#This Row],[a1]]=1,((Tab.o1[[#This Row],[MedMod]]-AVERAGE(Tab.o1[MedMod]))/_xlfn.STDEV.P(Tab.o1[MedMod])*H$1203)+G$1203,"")</f>
        <v/>
      </c>
      <c r="S1124" s="122" t="str">
        <f>IF(Tab.o1[[#This Row],[a1]]=1,((Tab.o1[[#This Row],[MedMod]]-AVERAGE(Tab.o1[MedMod]))/_xlfn.STDEV.P(Tab.o1[MedMod])*H$1204)+G$1204,"")</f>
        <v/>
      </c>
      <c r="T1124" s="123" t="str">
        <f>IF(Tab.o1[[#This Row],[a1]]=1,Tab.o1[[#This Row],[Z-]]*_xlfn.STDEV.P(Tab.o1[B])+AVERAGE(Tab.o1[B]),"")</f>
        <v/>
      </c>
      <c r="U1124" s="123" t="str">
        <f>IF(Tab.o1[[#This Row],[a1]]=1,Tab.o1[[#This Row],[z+]]*_xlfn.STDEV.P(Tab.o1[B])+AVERAGE(Tab.o1[B]),"")</f>
        <v/>
      </c>
      <c r="V1124" s="124" t="str">
        <f>IF(Tab.o1[[#This Row],[a1]]=1,ABS((ABS(Tab.o1[[#This Row],[Red]]-Tab.o1[[#This Row],[Blue]]))),"")</f>
        <v/>
      </c>
      <c r="W1124" s="125" t="str">
        <f>IF(Tab.o1[[#This Row],[a1]]=1,IF(W$3=0,1,Tab.o1[[#This Row],[Amp.]]*1/_xlfn.MINIFS(Tab.o1[Amp.],Tab.o1[Amp.],"&lt;&gt;0")),"")</f>
        <v/>
      </c>
      <c r="X1124" s="126" t="str">
        <f>IF(Tab.o1[[#This Row],[a1]]=1,IF(ISNUMBER(Tab.o1[[#This Row],[i.]]),NORMDIST(Tab.o1[[#This Row],[Za]],0,1,FALSE)*Tab.o1[[#This Row],[i.]],AP$3),"")</f>
        <v/>
      </c>
      <c r="Y1124" s="126" t="str">
        <f>IF(Tab.o1[[#This Row],[a1]]=1,0.01+0.94*Tab.o1[[#This Row],[PDF]]/MAX(Tab.o1[PDF]),"")</f>
        <v/>
      </c>
      <c r="Z1124" s="126" t="str">
        <f>IF(Tab.o1[[#This Row],[a1]]=1,0.01+0.94*Tab.o1[[#This Row],[W1_PDF]]/MAX(Tab.o1[W1_PDF]),"")</f>
        <v/>
      </c>
      <c r="AA1124" s="118" t="str">
        <f>IF(Tab.o1[[#This Row],[a1]]=1,ABS([1]!T.in.A[[#This Row],[oo6]]),"")</f>
        <v/>
      </c>
      <c r="AB1124" s="127" t="str">
        <f>IF(Tab.o1[[#This Row],[a1]]=1,IF(AE$3=0,"",IF(AB$3=0,ABS([1]!T.in.A[[#This Row],[oo9]]),ABS(Tab.o1[[#This Row],[DIF_Target.]]*Tab.o1[[#This Row],[W1_PDF]]))),"")</f>
        <v/>
      </c>
      <c r="AC1124" s="127" t="str">
        <f>IF(G$1=1,"",IF(Tab.o1[[#This Row],[a1]]=1,Tab.o1[[#This Row],[Wr]]^2,""))</f>
        <v/>
      </c>
      <c r="AD1124" s="118" t="str">
        <f>IF(Tab.o1[[#This Row],[a1]]=1,IF(AE$3=0,"",Tab.o1[[#This Row],[Wr2]]/SUM(Tab.o1[Wr2])),"")</f>
        <v/>
      </c>
      <c r="AE1124" s="128" t="str">
        <f>IF(Tab.o1[[#This Row],[a1]]=1,[1]!T.in.A[[#This Row],[oo10]],"")</f>
        <v/>
      </c>
      <c r="AF1124" s="118" t="str">
        <f>IF(Tab.o1[[#This Row],[a1]]=1,ABS(Tab.o1[[#This Row],[DIF_Target.]]*Tab.o1[[#This Row],[PDF2]]*Tab.o1[[#This Row],[IN]]),"")</f>
        <v/>
      </c>
      <c r="AG1124" s="129" t="str">
        <f>IF(Tab.o1[[#This Row],[a1]]=1,Tab.o1[[#This Row],[rW]]^2,"")</f>
        <v/>
      </c>
      <c r="AH1124" s="130" t="str">
        <f>IF(Tab.o1[[#This Row],[a1]]=1,IF(AH$3=0,Tab.o1[[#This Row],[rW2]],0.01+0.94*Tab.o1[[#This Row],[rW2]]/SUM(Tab.o1[rW2])),"")</f>
        <v/>
      </c>
      <c r="AI1124" s="128" t="str">
        <f>IF(Tab.o1[[#This Row],[a1]]=1,1/Tab.o1[[#This Row],[PDF]],"")</f>
        <v/>
      </c>
      <c r="AJ1124" s="131" t="str">
        <f>IF(Tab.o1[[#This Row],[a1]]=1,[1]!T_AA[[#This Row],[IN'']]*[1]!T_AA[[#This Row],[Qde'']],"")</f>
        <v/>
      </c>
      <c r="AK1124" s="132" t="str">
        <f>IF(Tab.o1[[#This Row],[a1]]=1,IF(AK$1=1,Tab.o1[[#This Row],[MED]]+Tab.o1[[#This Row],[MOD]]-Tab.o1[[#This Row],[MED]],""),"")</f>
        <v/>
      </c>
      <c r="AL1124" s="133" t="str">
        <f>IF(Tab.o1[[#This Row],[a1]]=1,[1]!T.in.A[[#This Row],[oo16]],"")</f>
        <v/>
      </c>
      <c r="AM1124" s="133" t="str">
        <f>IF(Tab.o1[[#This Row],[a1]]=1,IF(AM$3=1,[1]!T.in.A[[#This Row],[Σo16]],""),"")</f>
        <v/>
      </c>
      <c r="AN1124" s="126" t="str">
        <f>IF(Tab.o1[[#This Row],[a1]]=1,[1]!T.in.A[[#This Row],[Σp5]],"")</f>
        <v/>
      </c>
      <c r="AO1124" s="126" t="str">
        <f>IF(Tab.o1[[#This Row],[a1]]=1,IF(AO$3=1,[1]!T.in.A[[#This Row],[Σp5]],""),"")</f>
        <v/>
      </c>
      <c r="AP1124" s="110" t="str">
        <f>IF(Tab.o1[[#This Row],[a1]]=1,IF(ISNUMBER(Tab.o1[[#This Row],[i.]]),NORMDIST(Tab.o1[[#This Row],[Za]],0,1,FALSE)*Tab.o1[[#This Row],[i.]],0),"")</f>
        <v/>
      </c>
      <c r="AQ1124" s="125" t="str">
        <f>IF(Tab.o1[[#This Row],[a1]]=1,ABS(Tab.o1[[#This Row],[MOD]]-AVERAGE(Tab.o1[MOD])),"")</f>
        <v/>
      </c>
      <c r="AR1124" s="134" t="str">
        <f>IF(Tab.o1[[#This Row],[a1]]=1,Tab.o1[[#This Row],[OBS]]/SUM(Tab.o1[OBS]),"")</f>
        <v/>
      </c>
      <c r="AS1124" s="135" t="str">
        <f>IF(ISNUMBER(Tab.o1[[#This Row],[a1]]),ROW()-4,"")</f>
        <v/>
      </c>
      <c r="AT1124" s="136" t="str">
        <f>Tab.o1[[#This Row],[MOD]]</f>
        <v/>
      </c>
      <c r="AU1124" s="137" t="str">
        <f t="shared" si="69"/>
        <v/>
      </c>
      <c r="AV1124" s="138" t="str">
        <f t="shared" si="70"/>
        <v/>
      </c>
      <c r="AW1124" s="138" t="str">
        <f t="shared" si="71"/>
        <v/>
      </c>
      <c r="AX1124" s="139" t="str">
        <f>[1]!T.in.A[[#This Row],[ID_T_manu]]</f>
        <v/>
      </c>
      <c r="AY1124" s="140" t="str">
        <f>IF(ISNUMBER(Tab.o1[[#This Row],[a1]]),IF(AND(Tab.o1[[#This Row],[a1]]=1,Tab.o1[[#This Row],[b1]]&lt;=AY$4),#REF!,AY1123),"")</f>
        <v/>
      </c>
      <c r="AZ1124" s="25"/>
      <c r="BA1124" s="25"/>
      <c r="BB1124" s="25"/>
      <c r="BC1124" s="25"/>
      <c r="BD1124" s="25"/>
      <c r="BE1124" s="25"/>
      <c r="BF1124" s="25"/>
      <c r="BG1124" s="25"/>
      <c r="BH1124" s="25"/>
      <c r="BI1124" s="25"/>
      <c r="BJ1124" s="25"/>
      <c r="BK1124" s="25"/>
      <c r="BL1124" s="25"/>
      <c r="BM1124" s="25"/>
      <c r="BN1124" s="26"/>
      <c r="BO1124" s="26"/>
      <c r="BP1124" s="26"/>
      <c r="BQ1124" s="26"/>
      <c r="BR1124" s="26"/>
      <c r="BS1124" s="26"/>
      <c r="BT1124" s="26"/>
      <c r="BU1124" s="26"/>
      <c r="BV1124" s="26"/>
      <c r="BW1124" s="26"/>
      <c r="BX1124" s="26"/>
      <c r="BY1124" s="26"/>
      <c r="BZ1124" s="26"/>
      <c r="CA1124" s="26"/>
    </row>
    <row r="1125" spans="1:79" ht="15.75" hidden="1">
      <c r="A1125" s="109">
        <v>8.0000000000000013E-6</v>
      </c>
      <c r="B1125" s="110">
        <f t="shared" si="68"/>
        <v>1125</v>
      </c>
      <c r="C1125" s="111" t="str">
        <f>IF(C$1=[1]!T.in.A[[#This Row],[oo2]],1,"")</f>
        <v/>
      </c>
      <c r="D1125" s="112" t="str">
        <f>IF(Tab.o1[[#This Row],[a1]]=1,IF(SUM(C1125:C1126)=0,0,IF(SUM(C1124:C1125)=1,1,IF(SUM(C1124:C1126)&gt;1,D1124+1,0))),"")</f>
        <v/>
      </c>
      <c r="E1125" s="113" t="str">
        <f>IF(Tab.o1[[#This Row],[a1]]=1,[1]!T.in.A[[#This Row],[oo1]],"")</f>
        <v/>
      </c>
      <c r="F1125" s="113" t="str">
        <f>IF(Tab.o1[[#This Row],[a1]]=1,[1]!T.in.A[[#This Row],[pp1]],"")</f>
        <v/>
      </c>
      <c r="G1125" s="114" t="str">
        <f>IF(Tab.o1[[#This Row],[a1]]=1,G$2+IF(G$1=1,0,Tab.o1[[#This Row],[.x1]])+[1]!T.in.A[[#This Row],[oo3]],"")</f>
        <v/>
      </c>
      <c r="H1125" s="115" t="str">
        <f>IF(Tab.o1[[#This Row],[a1]]=1,IF(H$2=0,0,IF(G$1=1,0,Tab.o1[[#This Row],[.x1]])+[1]!T.in.A[[#This Row],[oo4]]),"")</f>
        <v/>
      </c>
      <c r="I1125" s="116" t="str">
        <f>IF(Tab.o1[[#This Row],[a1]]=1,IF(J$2=0,Tab.o1[[#This Row],[MED]],Tab.o1[[#This Row],[MOD]]),"")</f>
        <v/>
      </c>
      <c r="J1125" s="116" t="str">
        <f>IF(Tab.o1[[#This Row],[a1]]=1,((Tab.o1[[#This Row],[DIF_Target.]]-AVERAGE(Tab.o1[DIF_Target.]))/_xlfn.STDEV.P(Tab.o1[DIF_Target.])),"")</f>
        <v/>
      </c>
      <c r="K1125" s="117" t="str">
        <f>IF(Tab.o1[[#This Row],[a1]]=1,IF(J$2=0,Tab.o1[[#This Row],[MOD]]-Tab.o1[[#This Row],[B]],IF(J$2=1,0,-Tab.o1[[#This Row],[MED]])+Tab.o1[[#This Row],[B]]),"")</f>
        <v/>
      </c>
      <c r="L1125" s="117" t="str">
        <f ca="1">IF(Tab.o1[[#This Row],[DIF_Target]]=0,IF(L$2=0,Tab.o1[[#This Row],[DIF_Target]],AVERAGE(OFFSET(Tab.o1[[#This Row],[DIF_Target]],1,0,L$3,1)))/3,Tab.o1[[#This Row],[DIF_Target]])</f>
        <v/>
      </c>
      <c r="M1125" s="118" t="str">
        <f>IF(Tab.o1[[#This Row],[a1]]=1,NORMSDIST(Tab.o1[[#This Row],[Za]]),"")</f>
        <v/>
      </c>
      <c r="N1125" s="119" t="str">
        <f>IF(Tab.o1[[#This Row],[a1]]=1,((Tab.o1[[#This Row],[MedMod]]-AVERAGE(Tab.o1[MedMod]))/_xlfn.STDEV.P(Tab.o1[MedMod])*H$1205)+G$1205,"")</f>
        <v/>
      </c>
      <c r="O1125" s="141" t="str">
        <f>IF(Tab.o1[[#This Row],[a1]]=1,Tab.o1[[#This Row],[Zb]]*_xlfn.STDEV.P(Tab.o1[MedMod])+AVERAGE(Tab.o1[MedMod]),"")</f>
        <v/>
      </c>
      <c r="P1125" s="117" t="str">
        <f ca="1">IF(Tab.o1[[#This Row],[B]]=0,AVERAGE(OFFSET(Tab.o1[[#This Row],[B]],1,0,L$3,1)),Tab.o1[[#This Row],[B]])</f>
        <v/>
      </c>
      <c r="Q1125" s="121" t="str">
        <f>IF(Tab.o1[[#This Row],[a1]]=1,NORMSDIST(Tab.o1[[#This Row],[Zb]]),"")</f>
        <v/>
      </c>
      <c r="R1125" s="122" t="str">
        <f>IF(Tab.o1[[#This Row],[a1]]=1,((Tab.o1[[#This Row],[MedMod]]-AVERAGE(Tab.o1[MedMod]))/_xlfn.STDEV.P(Tab.o1[MedMod])*H$1203)+G$1203,"")</f>
        <v/>
      </c>
      <c r="S1125" s="122" t="str">
        <f>IF(Tab.o1[[#This Row],[a1]]=1,((Tab.o1[[#This Row],[MedMod]]-AVERAGE(Tab.o1[MedMod]))/_xlfn.STDEV.P(Tab.o1[MedMod])*H$1204)+G$1204,"")</f>
        <v/>
      </c>
      <c r="T1125" s="123" t="str">
        <f>IF(Tab.o1[[#This Row],[a1]]=1,Tab.o1[[#This Row],[Z-]]*_xlfn.STDEV.P(Tab.o1[B])+AVERAGE(Tab.o1[B]),"")</f>
        <v/>
      </c>
      <c r="U1125" s="123" t="str">
        <f>IF(Tab.o1[[#This Row],[a1]]=1,Tab.o1[[#This Row],[z+]]*_xlfn.STDEV.P(Tab.o1[B])+AVERAGE(Tab.o1[B]),"")</f>
        <v/>
      </c>
      <c r="V1125" s="124" t="str">
        <f>IF(Tab.o1[[#This Row],[a1]]=1,ABS((ABS(Tab.o1[[#This Row],[Red]]-Tab.o1[[#This Row],[Blue]]))),"")</f>
        <v/>
      </c>
      <c r="W1125" s="125" t="str">
        <f>IF(Tab.o1[[#This Row],[a1]]=1,IF(W$3=0,1,Tab.o1[[#This Row],[Amp.]]*1/_xlfn.MINIFS(Tab.o1[Amp.],Tab.o1[Amp.],"&lt;&gt;0")),"")</f>
        <v/>
      </c>
      <c r="X1125" s="126" t="str">
        <f>IF(Tab.o1[[#This Row],[a1]]=1,IF(ISNUMBER(Tab.o1[[#This Row],[i.]]),NORMDIST(Tab.o1[[#This Row],[Za]],0,1,FALSE)*Tab.o1[[#This Row],[i.]],AP$3),"")</f>
        <v/>
      </c>
      <c r="Y1125" s="126" t="str">
        <f>IF(Tab.o1[[#This Row],[a1]]=1,0.01+0.94*Tab.o1[[#This Row],[PDF]]/MAX(Tab.o1[PDF]),"")</f>
        <v/>
      </c>
      <c r="Z1125" s="126" t="str">
        <f>IF(Tab.o1[[#This Row],[a1]]=1,0.01+0.94*Tab.o1[[#This Row],[W1_PDF]]/MAX(Tab.o1[W1_PDF]),"")</f>
        <v/>
      </c>
      <c r="AA1125" s="118" t="str">
        <f>IF(Tab.o1[[#This Row],[a1]]=1,ABS([1]!T.in.A[[#This Row],[oo6]]),"")</f>
        <v/>
      </c>
      <c r="AB1125" s="127" t="str">
        <f>IF(Tab.o1[[#This Row],[a1]]=1,IF(AE$3=0,"",IF(AB$3=0,ABS([1]!T.in.A[[#This Row],[oo9]]),ABS(Tab.o1[[#This Row],[DIF_Target.]]*Tab.o1[[#This Row],[W1_PDF]]))),"")</f>
        <v/>
      </c>
      <c r="AC1125" s="127" t="str">
        <f>IF(G$1=1,"",IF(Tab.o1[[#This Row],[a1]]=1,Tab.o1[[#This Row],[Wr]]^2,""))</f>
        <v/>
      </c>
      <c r="AD1125" s="118" t="str">
        <f>IF(Tab.o1[[#This Row],[a1]]=1,IF(AE$3=0,"",Tab.o1[[#This Row],[Wr2]]/SUM(Tab.o1[Wr2])),"")</f>
        <v/>
      </c>
      <c r="AE1125" s="128" t="str">
        <f>IF(Tab.o1[[#This Row],[a1]]=1,[1]!T.in.A[[#This Row],[oo10]],"")</f>
        <v/>
      </c>
      <c r="AF1125" s="118" t="str">
        <f>IF(Tab.o1[[#This Row],[a1]]=1,ABS(Tab.o1[[#This Row],[DIF_Target.]]*Tab.o1[[#This Row],[PDF2]]*Tab.o1[[#This Row],[IN]]),"")</f>
        <v/>
      </c>
      <c r="AG1125" s="129" t="str">
        <f>IF(Tab.o1[[#This Row],[a1]]=1,Tab.o1[[#This Row],[rW]]^2,"")</f>
        <v/>
      </c>
      <c r="AH1125" s="130" t="str">
        <f>IF(Tab.o1[[#This Row],[a1]]=1,IF(AH$3=0,Tab.o1[[#This Row],[rW2]],0.01+0.94*Tab.o1[[#This Row],[rW2]]/SUM(Tab.o1[rW2])),"")</f>
        <v/>
      </c>
      <c r="AI1125" s="128" t="str">
        <f>IF(Tab.o1[[#This Row],[a1]]=1,1/Tab.o1[[#This Row],[PDF]],"")</f>
        <v/>
      </c>
      <c r="AJ1125" s="131" t="str">
        <f>IF(Tab.o1[[#This Row],[a1]]=1,[1]!T_AA[[#This Row],[IN'']]*[1]!T_AA[[#This Row],[Qde'']],"")</f>
        <v/>
      </c>
      <c r="AK1125" s="132" t="str">
        <f>IF(Tab.o1[[#This Row],[a1]]=1,IF(AK$1=1,Tab.o1[[#This Row],[MED]]+Tab.o1[[#This Row],[MOD]]-Tab.o1[[#This Row],[MED]],""),"")</f>
        <v/>
      </c>
      <c r="AL1125" s="133" t="str">
        <f>IF(Tab.o1[[#This Row],[a1]]=1,[1]!T.in.A[[#This Row],[oo16]],"")</f>
        <v/>
      </c>
      <c r="AM1125" s="133" t="str">
        <f>IF(Tab.o1[[#This Row],[a1]]=1,IF(AM$3=1,[1]!T.in.A[[#This Row],[Σo16]],""),"")</f>
        <v/>
      </c>
      <c r="AN1125" s="126" t="str">
        <f>IF(Tab.o1[[#This Row],[a1]]=1,[1]!T.in.A[[#This Row],[Σp5]],"")</f>
        <v/>
      </c>
      <c r="AO1125" s="126" t="str">
        <f>IF(Tab.o1[[#This Row],[a1]]=1,IF(AO$3=1,[1]!T.in.A[[#This Row],[Σp5]],""),"")</f>
        <v/>
      </c>
      <c r="AP1125" s="110" t="str">
        <f>IF(Tab.o1[[#This Row],[a1]]=1,IF(ISNUMBER(Tab.o1[[#This Row],[i.]]),NORMDIST(Tab.o1[[#This Row],[Za]],0,1,FALSE)*Tab.o1[[#This Row],[i.]],0),"")</f>
        <v/>
      </c>
      <c r="AQ1125" s="125" t="str">
        <f>IF(Tab.o1[[#This Row],[a1]]=1,ABS(Tab.o1[[#This Row],[MOD]]-AVERAGE(Tab.o1[MOD])),"")</f>
        <v/>
      </c>
      <c r="AR1125" s="134" t="str">
        <f>IF(Tab.o1[[#This Row],[a1]]=1,Tab.o1[[#This Row],[OBS]]/SUM(Tab.o1[OBS]),"")</f>
        <v/>
      </c>
      <c r="AS1125" s="135" t="str">
        <f>IF(ISNUMBER(Tab.o1[[#This Row],[a1]]),ROW()-4,"")</f>
        <v/>
      </c>
      <c r="AT1125" s="136" t="str">
        <f>Tab.o1[[#This Row],[MOD]]</f>
        <v/>
      </c>
      <c r="AU1125" s="137" t="str">
        <f t="shared" si="69"/>
        <v/>
      </c>
      <c r="AV1125" s="138" t="str">
        <f t="shared" si="70"/>
        <v/>
      </c>
      <c r="AW1125" s="138" t="str">
        <f t="shared" si="71"/>
        <v/>
      </c>
      <c r="AX1125" s="139" t="str">
        <f>[1]!T.in.A[[#This Row],[ID_T_manu]]</f>
        <v/>
      </c>
      <c r="AY1125" s="140" t="str">
        <f>IF(ISNUMBER(Tab.o1[[#This Row],[a1]]),IF(AND(Tab.o1[[#This Row],[a1]]=1,Tab.o1[[#This Row],[b1]]&lt;=AY$4),#REF!,AY1124),"")</f>
        <v/>
      </c>
      <c r="AZ1125" s="25"/>
      <c r="BA1125" s="25"/>
      <c r="BB1125" s="25"/>
      <c r="BC1125" s="25"/>
      <c r="BD1125" s="25"/>
      <c r="BE1125" s="25"/>
      <c r="BF1125" s="25"/>
      <c r="BG1125" s="25"/>
      <c r="BH1125" s="25"/>
      <c r="BI1125" s="25"/>
      <c r="BJ1125" s="25"/>
      <c r="BK1125" s="25"/>
      <c r="BL1125" s="25"/>
      <c r="BM1125" s="25"/>
      <c r="BN1125" s="26"/>
      <c r="BO1125" s="26"/>
      <c r="BP1125" s="26"/>
      <c r="BQ1125" s="26"/>
      <c r="BR1125" s="26"/>
      <c r="BS1125" s="26"/>
      <c r="BT1125" s="26"/>
      <c r="BU1125" s="26"/>
      <c r="BV1125" s="26"/>
      <c r="BW1125" s="26"/>
      <c r="BX1125" s="26"/>
      <c r="BY1125" s="26"/>
      <c r="BZ1125" s="26"/>
      <c r="CA1125" s="26"/>
    </row>
    <row r="1126" spans="1:79" ht="15.75" hidden="1">
      <c r="A1126" s="109">
        <v>5.9999999999999993E-6</v>
      </c>
      <c r="B1126" s="110">
        <f t="shared" si="68"/>
        <v>1126</v>
      </c>
      <c r="C1126" s="111" t="str">
        <f>IF(C$1=[1]!T.in.A[[#This Row],[oo2]],1,"")</f>
        <v/>
      </c>
      <c r="D1126" s="112" t="str">
        <f>IF(Tab.o1[[#This Row],[a1]]=1,IF(SUM(C1126:C1127)=0,0,IF(SUM(C1125:C1126)=1,1,IF(SUM(C1125:C1127)&gt;1,D1125+1,0))),"")</f>
        <v/>
      </c>
      <c r="E1126" s="113" t="str">
        <f>IF(Tab.o1[[#This Row],[a1]]=1,[1]!T.in.A[[#This Row],[oo1]],"")</f>
        <v/>
      </c>
      <c r="F1126" s="113" t="str">
        <f>IF(Tab.o1[[#This Row],[a1]]=1,[1]!T.in.A[[#This Row],[pp1]],"")</f>
        <v/>
      </c>
      <c r="G1126" s="114" t="str">
        <f>IF(Tab.o1[[#This Row],[a1]]=1,G$2+IF(G$1=1,0,Tab.o1[[#This Row],[.x1]])+[1]!T.in.A[[#This Row],[oo3]],"")</f>
        <v/>
      </c>
      <c r="H1126" s="115" t="str">
        <f>IF(Tab.o1[[#This Row],[a1]]=1,IF(H$2=0,0,IF(G$1=1,0,Tab.o1[[#This Row],[.x1]])+[1]!T.in.A[[#This Row],[oo4]]),"")</f>
        <v/>
      </c>
      <c r="I1126" s="116" t="str">
        <f>IF(Tab.o1[[#This Row],[a1]]=1,IF(J$2=0,Tab.o1[[#This Row],[MED]],Tab.o1[[#This Row],[MOD]]),"")</f>
        <v/>
      </c>
      <c r="J1126" s="116" t="str">
        <f>IF(Tab.o1[[#This Row],[a1]]=1,((Tab.o1[[#This Row],[DIF_Target.]]-AVERAGE(Tab.o1[DIF_Target.]))/_xlfn.STDEV.P(Tab.o1[DIF_Target.])),"")</f>
        <v/>
      </c>
      <c r="K1126" s="117" t="str">
        <f>IF(Tab.o1[[#This Row],[a1]]=1,IF(J$2=0,Tab.o1[[#This Row],[MOD]]-Tab.o1[[#This Row],[B]],IF(J$2=1,0,-Tab.o1[[#This Row],[MED]])+Tab.o1[[#This Row],[B]]),"")</f>
        <v/>
      </c>
      <c r="L1126" s="117" t="str">
        <f ca="1">IF(Tab.o1[[#This Row],[DIF_Target]]=0,IF(L$2=0,Tab.o1[[#This Row],[DIF_Target]],AVERAGE(OFFSET(Tab.o1[[#This Row],[DIF_Target]],1,0,L$3,1)))/3,Tab.o1[[#This Row],[DIF_Target]])</f>
        <v/>
      </c>
      <c r="M1126" s="118" t="str">
        <f>IF(Tab.o1[[#This Row],[a1]]=1,NORMSDIST(Tab.o1[[#This Row],[Za]]),"")</f>
        <v/>
      </c>
      <c r="N1126" s="119" t="str">
        <f>IF(Tab.o1[[#This Row],[a1]]=1,((Tab.o1[[#This Row],[MedMod]]-AVERAGE(Tab.o1[MedMod]))/_xlfn.STDEV.P(Tab.o1[MedMod])*H$1205)+G$1205,"")</f>
        <v/>
      </c>
      <c r="O1126" s="141" t="str">
        <f>IF(Tab.o1[[#This Row],[a1]]=1,Tab.o1[[#This Row],[Zb]]*_xlfn.STDEV.P(Tab.o1[MedMod])+AVERAGE(Tab.o1[MedMod]),"")</f>
        <v/>
      </c>
      <c r="P1126" s="117" t="str">
        <f ca="1">IF(Tab.o1[[#This Row],[B]]=0,AVERAGE(OFFSET(Tab.o1[[#This Row],[B]],1,0,L$3,1)),Tab.o1[[#This Row],[B]])</f>
        <v/>
      </c>
      <c r="Q1126" s="121" t="str">
        <f>IF(Tab.o1[[#This Row],[a1]]=1,NORMSDIST(Tab.o1[[#This Row],[Zb]]),"")</f>
        <v/>
      </c>
      <c r="R1126" s="122" t="str">
        <f>IF(Tab.o1[[#This Row],[a1]]=1,((Tab.o1[[#This Row],[MedMod]]-AVERAGE(Tab.o1[MedMod]))/_xlfn.STDEV.P(Tab.o1[MedMod])*H$1203)+G$1203,"")</f>
        <v/>
      </c>
      <c r="S1126" s="122" t="str">
        <f>IF(Tab.o1[[#This Row],[a1]]=1,((Tab.o1[[#This Row],[MedMod]]-AVERAGE(Tab.o1[MedMod]))/_xlfn.STDEV.P(Tab.o1[MedMod])*H$1204)+G$1204,"")</f>
        <v/>
      </c>
      <c r="T1126" s="123" t="str">
        <f>IF(Tab.o1[[#This Row],[a1]]=1,Tab.o1[[#This Row],[Z-]]*_xlfn.STDEV.P(Tab.o1[B])+AVERAGE(Tab.o1[B]),"")</f>
        <v/>
      </c>
      <c r="U1126" s="123" t="str">
        <f>IF(Tab.o1[[#This Row],[a1]]=1,Tab.o1[[#This Row],[z+]]*_xlfn.STDEV.P(Tab.o1[B])+AVERAGE(Tab.o1[B]),"")</f>
        <v/>
      </c>
      <c r="V1126" s="124" t="str">
        <f>IF(Tab.o1[[#This Row],[a1]]=1,ABS((ABS(Tab.o1[[#This Row],[Red]]-Tab.o1[[#This Row],[Blue]]))),"")</f>
        <v/>
      </c>
      <c r="W1126" s="125" t="str">
        <f>IF(Tab.o1[[#This Row],[a1]]=1,IF(W$3=0,1,Tab.o1[[#This Row],[Amp.]]*1/_xlfn.MINIFS(Tab.o1[Amp.],Tab.o1[Amp.],"&lt;&gt;0")),"")</f>
        <v/>
      </c>
      <c r="X1126" s="126" t="str">
        <f>IF(Tab.o1[[#This Row],[a1]]=1,IF(ISNUMBER(Tab.o1[[#This Row],[i.]]),NORMDIST(Tab.o1[[#This Row],[Za]],0,1,FALSE)*Tab.o1[[#This Row],[i.]],AP$3),"")</f>
        <v/>
      </c>
      <c r="Y1126" s="126" t="str">
        <f>IF(Tab.o1[[#This Row],[a1]]=1,0.01+0.94*Tab.o1[[#This Row],[PDF]]/MAX(Tab.o1[PDF]),"")</f>
        <v/>
      </c>
      <c r="Z1126" s="126" t="str">
        <f>IF(Tab.o1[[#This Row],[a1]]=1,0.01+0.94*Tab.o1[[#This Row],[W1_PDF]]/MAX(Tab.o1[W1_PDF]),"")</f>
        <v/>
      </c>
      <c r="AA1126" s="118" t="str">
        <f>IF(Tab.o1[[#This Row],[a1]]=1,ABS([1]!T.in.A[[#This Row],[oo6]]),"")</f>
        <v/>
      </c>
      <c r="AB1126" s="127" t="str">
        <f>IF(Tab.o1[[#This Row],[a1]]=1,IF(AE$3=0,"",IF(AB$3=0,ABS([1]!T.in.A[[#This Row],[oo9]]),ABS(Tab.o1[[#This Row],[DIF_Target.]]*Tab.o1[[#This Row],[W1_PDF]]))),"")</f>
        <v/>
      </c>
      <c r="AC1126" s="127" t="str">
        <f>IF(G$1=1,"",IF(Tab.o1[[#This Row],[a1]]=1,Tab.o1[[#This Row],[Wr]]^2,""))</f>
        <v/>
      </c>
      <c r="AD1126" s="118" t="str">
        <f>IF(Tab.o1[[#This Row],[a1]]=1,IF(AE$3=0,"",Tab.o1[[#This Row],[Wr2]]/SUM(Tab.o1[Wr2])),"")</f>
        <v/>
      </c>
      <c r="AE1126" s="128" t="str">
        <f>IF(Tab.o1[[#This Row],[a1]]=1,[1]!T.in.A[[#This Row],[oo10]],"")</f>
        <v/>
      </c>
      <c r="AF1126" s="118" t="str">
        <f>IF(Tab.o1[[#This Row],[a1]]=1,ABS(Tab.o1[[#This Row],[DIF_Target.]]*Tab.o1[[#This Row],[PDF2]]*Tab.o1[[#This Row],[IN]]),"")</f>
        <v/>
      </c>
      <c r="AG1126" s="129" t="str">
        <f>IF(Tab.o1[[#This Row],[a1]]=1,Tab.o1[[#This Row],[rW]]^2,"")</f>
        <v/>
      </c>
      <c r="AH1126" s="130" t="str">
        <f>IF(Tab.o1[[#This Row],[a1]]=1,IF(AH$3=0,Tab.o1[[#This Row],[rW2]],0.01+0.94*Tab.o1[[#This Row],[rW2]]/SUM(Tab.o1[rW2])),"")</f>
        <v/>
      </c>
      <c r="AI1126" s="128" t="str">
        <f>IF(Tab.o1[[#This Row],[a1]]=1,1/Tab.o1[[#This Row],[PDF]],"")</f>
        <v/>
      </c>
      <c r="AJ1126" s="131" t="str">
        <f>IF(Tab.o1[[#This Row],[a1]]=1,[1]!T_AA[[#This Row],[IN'']]*[1]!T_AA[[#This Row],[Qde'']],"")</f>
        <v/>
      </c>
      <c r="AK1126" s="132" t="str">
        <f>IF(Tab.o1[[#This Row],[a1]]=1,IF(AK$1=1,Tab.o1[[#This Row],[MED]]+Tab.o1[[#This Row],[MOD]]-Tab.o1[[#This Row],[MED]],""),"")</f>
        <v/>
      </c>
      <c r="AL1126" s="133" t="str">
        <f>IF(Tab.o1[[#This Row],[a1]]=1,[1]!T.in.A[[#This Row],[oo16]],"")</f>
        <v/>
      </c>
      <c r="AM1126" s="133" t="str">
        <f>IF(Tab.o1[[#This Row],[a1]]=1,IF(AM$3=1,[1]!T.in.A[[#This Row],[Σo16]],""),"")</f>
        <v/>
      </c>
      <c r="AN1126" s="126" t="str">
        <f>IF(Tab.o1[[#This Row],[a1]]=1,[1]!T.in.A[[#This Row],[Σp5]],"")</f>
        <v/>
      </c>
      <c r="AO1126" s="126" t="str">
        <f>IF(Tab.o1[[#This Row],[a1]]=1,IF(AO$3=1,[1]!T.in.A[[#This Row],[Σp5]],""),"")</f>
        <v/>
      </c>
      <c r="AP1126" s="110" t="str">
        <f>IF(Tab.o1[[#This Row],[a1]]=1,IF(ISNUMBER(Tab.o1[[#This Row],[i.]]),NORMDIST(Tab.o1[[#This Row],[Za]],0,1,FALSE)*Tab.o1[[#This Row],[i.]],0),"")</f>
        <v/>
      </c>
      <c r="AQ1126" s="125" t="str">
        <f>IF(Tab.o1[[#This Row],[a1]]=1,ABS(Tab.o1[[#This Row],[MOD]]-AVERAGE(Tab.o1[MOD])),"")</f>
        <v/>
      </c>
      <c r="AR1126" s="134" t="str">
        <f>IF(Tab.o1[[#This Row],[a1]]=1,Tab.o1[[#This Row],[OBS]]/SUM(Tab.o1[OBS]),"")</f>
        <v/>
      </c>
      <c r="AS1126" s="135" t="str">
        <f>IF(ISNUMBER(Tab.o1[[#This Row],[a1]]),ROW()-4,"")</f>
        <v/>
      </c>
      <c r="AT1126" s="136" t="str">
        <f>Tab.o1[[#This Row],[MOD]]</f>
        <v/>
      </c>
      <c r="AU1126" s="137" t="str">
        <f t="shared" si="69"/>
        <v/>
      </c>
      <c r="AV1126" s="138" t="str">
        <f t="shared" si="70"/>
        <v/>
      </c>
      <c r="AW1126" s="138" t="str">
        <f t="shared" si="71"/>
        <v/>
      </c>
      <c r="AX1126" s="139" t="str">
        <f>[1]!T.in.A[[#This Row],[ID_T_manu]]</f>
        <v/>
      </c>
      <c r="AY1126" s="140" t="str">
        <f>IF(ISNUMBER(Tab.o1[[#This Row],[a1]]),IF(AND(Tab.o1[[#This Row],[a1]]=1,Tab.o1[[#This Row],[b1]]&lt;=AY$4),#REF!,AY1125),"")</f>
        <v/>
      </c>
      <c r="AZ1126" s="25"/>
      <c r="BA1126" s="25"/>
      <c r="BB1126" s="25"/>
      <c r="BC1126" s="25"/>
      <c r="BD1126" s="25"/>
      <c r="BE1126" s="25"/>
      <c r="BF1126" s="25"/>
      <c r="BG1126" s="25"/>
      <c r="BH1126" s="25"/>
      <c r="BI1126" s="25"/>
      <c r="BJ1126" s="25"/>
      <c r="BK1126" s="25"/>
      <c r="BL1126" s="25"/>
      <c r="BM1126" s="25"/>
      <c r="BN1126" s="26"/>
      <c r="BO1126" s="26"/>
      <c r="BP1126" s="26"/>
      <c r="BQ1126" s="26"/>
      <c r="BR1126" s="26"/>
      <c r="BS1126" s="26"/>
      <c r="BT1126" s="26"/>
      <c r="BU1126" s="26"/>
      <c r="BV1126" s="26"/>
      <c r="BW1126" s="26"/>
      <c r="BX1126" s="26"/>
      <c r="BY1126" s="26"/>
      <c r="BZ1126" s="26"/>
      <c r="CA1126" s="26"/>
    </row>
    <row r="1127" spans="1:79" ht="15.75" hidden="1">
      <c r="A1127" s="109">
        <v>-5.0000000000000004E-6</v>
      </c>
      <c r="B1127" s="110">
        <f t="shared" si="68"/>
        <v>1127</v>
      </c>
      <c r="C1127" s="111" t="str">
        <f>IF(C$1=[1]!T.in.A[[#This Row],[oo2]],1,"")</f>
        <v/>
      </c>
      <c r="D1127" s="112" t="str">
        <f>IF(Tab.o1[[#This Row],[a1]]=1,IF(SUM(C1127:C1128)=0,0,IF(SUM(C1126:C1127)=1,1,IF(SUM(C1126:C1128)&gt;1,D1126+1,0))),"")</f>
        <v/>
      </c>
      <c r="E1127" s="113" t="str">
        <f>IF(Tab.o1[[#This Row],[a1]]=1,[1]!T.in.A[[#This Row],[oo1]],"")</f>
        <v/>
      </c>
      <c r="F1127" s="113" t="str">
        <f>IF(Tab.o1[[#This Row],[a1]]=1,[1]!T.in.A[[#This Row],[pp1]],"")</f>
        <v/>
      </c>
      <c r="G1127" s="114" t="str">
        <f>IF(Tab.o1[[#This Row],[a1]]=1,G$2+IF(G$1=1,0,Tab.o1[[#This Row],[.x1]])+[1]!T.in.A[[#This Row],[oo3]],"")</f>
        <v/>
      </c>
      <c r="H1127" s="115" t="str">
        <f>IF(Tab.o1[[#This Row],[a1]]=1,IF(H$2=0,0,IF(G$1=1,0,Tab.o1[[#This Row],[.x1]])+[1]!T.in.A[[#This Row],[oo4]]),"")</f>
        <v/>
      </c>
      <c r="I1127" s="116" t="str">
        <f>IF(Tab.o1[[#This Row],[a1]]=1,IF(J$2=0,Tab.o1[[#This Row],[MED]],Tab.o1[[#This Row],[MOD]]),"")</f>
        <v/>
      </c>
      <c r="J1127" s="116" t="str">
        <f>IF(Tab.o1[[#This Row],[a1]]=1,((Tab.o1[[#This Row],[DIF_Target.]]-AVERAGE(Tab.o1[DIF_Target.]))/_xlfn.STDEV.P(Tab.o1[DIF_Target.])),"")</f>
        <v/>
      </c>
      <c r="K1127" s="117" t="str">
        <f>IF(Tab.o1[[#This Row],[a1]]=1,IF(J$2=0,Tab.o1[[#This Row],[MOD]]-Tab.o1[[#This Row],[B]],IF(J$2=1,0,-Tab.o1[[#This Row],[MED]])+Tab.o1[[#This Row],[B]]),"")</f>
        <v/>
      </c>
      <c r="L1127" s="117" t="str">
        <f ca="1">IF(Tab.o1[[#This Row],[DIF_Target]]=0,IF(L$2=0,Tab.o1[[#This Row],[DIF_Target]],AVERAGE(OFFSET(Tab.o1[[#This Row],[DIF_Target]],1,0,L$3,1)))/3,Tab.o1[[#This Row],[DIF_Target]])</f>
        <v/>
      </c>
      <c r="M1127" s="118" t="str">
        <f>IF(Tab.o1[[#This Row],[a1]]=1,NORMSDIST(Tab.o1[[#This Row],[Za]]),"")</f>
        <v/>
      </c>
      <c r="N1127" s="119" t="str">
        <f>IF(Tab.o1[[#This Row],[a1]]=1,((Tab.o1[[#This Row],[MedMod]]-AVERAGE(Tab.o1[MedMod]))/_xlfn.STDEV.P(Tab.o1[MedMod])*H$1205)+G$1205,"")</f>
        <v/>
      </c>
      <c r="O1127" s="141" t="str">
        <f>IF(Tab.o1[[#This Row],[a1]]=1,Tab.o1[[#This Row],[Zb]]*_xlfn.STDEV.P(Tab.o1[MedMod])+AVERAGE(Tab.o1[MedMod]),"")</f>
        <v/>
      </c>
      <c r="P1127" s="117" t="str">
        <f ca="1">IF(Tab.o1[[#This Row],[B]]=0,AVERAGE(OFFSET(Tab.o1[[#This Row],[B]],1,0,L$3,1)),Tab.o1[[#This Row],[B]])</f>
        <v/>
      </c>
      <c r="Q1127" s="121" t="str">
        <f>IF(Tab.o1[[#This Row],[a1]]=1,NORMSDIST(Tab.o1[[#This Row],[Zb]]),"")</f>
        <v/>
      </c>
      <c r="R1127" s="122" t="str">
        <f>IF(Tab.o1[[#This Row],[a1]]=1,((Tab.o1[[#This Row],[MedMod]]-AVERAGE(Tab.o1[MedMod]))/_xlfn.STDEV.P(Tab.o1[MedMod])*H$1203)+G$1203,"")</f>
        <v/>
      </c>
      <c r="S1127" s="122" t="str">
        <f>IF(Tab.o1[[#This Row],[a1]]=1,((Tab.o1[[#This Row],[MedMod]]-AVERAGE(Tab.o1[MedMod]))/_xlfn.STDEV.P(Tab.o1[MedMod])*H$1204)+G$1204,"")</f>
        <v/>
      </c>
      <c r="T1127" s="123" t="str">
        <f>IF(Tab.o1[[#This Row],[a1]]=1,Tab.o1[[#This Row],[Z-]]*_xlfn.STDEV.P(Tab.o1[B])+AVERAGE(Tab.o1[B]),"")</f>
        <v/>
      </c>
      <c r="U1127" s="123" t="str">
        <f>IF(Tab.o1[[#This Row],[a1]]=1,Tab.o1[[#This Row],[z+]]*_xlfn.STDEV.P(Tab.o1[B])+AVERAGE(Tab.o1[B]),"")</f>
        <v/>
      </c>
      <c r="V1127" s="124" t="str">
        <f>IF(Tab.o1[[#This Row],[a1]]=1,ABS((ABS(Tab.o1[[#This Row],[Red]]-Tab.o1[[#This Row],[Blue]]))),"")</f>
        <v/>
      </c>
      <c r="W1127" s="125" t="str">
        <f>IF(Tab.o1[[#This Row],[a1]]=1,IF(W$3=0,1,Tab.o1[[#This Row],[Amp.]]*1/_xlfn.MINIFS(Tab.o1[Amp.],Tab.o1[Amp.],"&lt;&gt;0")),"")</f>
        <v/>
      </c>
      <c r="X1127" s="126" t="str">
        <f>IF(Tab.o1[[#This Row],[a1]]=1,IF(ISNUMBER(Tab.o1[[#This Row],[i.]]),NORMDIST(Tab.o1[[#This Row],[Za]],0,1,FALSE)*Tab.o1[[#This Row],[i.]],AP$3),"")</f>
        <v/>
      </c>
      <c r="Y1127" s="126" t="str">
        <f>IF(Tab.o1[[#This Row],[a1]]=1,0.01+0.94*Tab.o1[[#This Row],[PDF]]/MAX(Tab.o1[PDF]),"")</f>
        <v/>
      </c>
      <c r="Z1127" s="126" t="str">
        <f>IF(Tab.o1[[#This Row],[a1]]=1,0.01+0.94*Tab.o1[[#This Row],[W1_PDF]]/MAX(Tab.o1[W1_PDF]),"")</f>
        <v/>
      </c>
      <c r="AA1127" s="118" t="str">
        <f>IF(Tab.o1[[#This Row],[a1]]=1,ABS([1]!T.in.A[[#This Row],[oo6]]),"")</f>
        <v/>
      </c>
      <c r="AB1127" s="127" t="str">
        <f>IF(Tab.o1[[#This Row],[a1]]=1,IF(AE$3=0,"",IF(AB$3=0,ABS([1]!T.in.A[[#This Row],[oo9]]),ABS(Tab.o1[[#This Row],[DIF_Target.]]*Tab.o1[[#This Row],[W1_PDF]]))),"")</f>
        <v/>
      </c>
      <c r="AC1127" s="127" t="str">
        <f>IF(G$1=1,"",IF(Tab.o1[[#This Row],[a1]]=1,Tab.o1[[#This Row],[Wr]]^2,""))</f>
        <v/>
      </c>
      <c r="AD1127" s="118" t="str">
        <f>IF(Tab.o1[[#This Row],[a1]]=1,IF(AE$3=0,"",Tab.o1[[#This Row],[Wr2]]/SUM(Tab.o1[Wr2])),"")</f>
        <v/>
      </c>
      <c r="AE1127" s="128" t="str">
        <f>IF(Tab.o1[[#This Row],[a1]]=1,[1]!T.in.A[[#This Row],[oo10]],"")</f>
        <v/>
      </c>
      <c r="AF1127" s="118" t="str">
        <f>IF(Tab.o1[[#This Row],[a1]]=1,ABS(Tab.o1[[#This Row],[DIF_Target.]]*Tab.o1[[#This Row],[PDF2]]*Tab.o1[[#This Row],[IN]]),"")</f>
        <v/>
      </c>
      <c r="AG1127" s="129" t="str">
        <f>IF(Tab.o1[[#This Row],[a1]]=1,Tab.o1[[#This Row],[rW]]^2,"")</f>
        <v/>
      </c>
      <c r="AH1127" s="130" t="str">
        <f>IF(Tab.o1[[#This Row],[a1]]=1,IF(AH$3=0,Tab.o1[[#This Row],[rW2]],0.01+0.94*Tab.o1[[#This Row],[rW2]]/SUM(Tab.o1[rW2])),"")</f>
        <v/>
      </c>
      <c r="AI1127" s="128" t="str">
        <f>IF(Tab.o1[[#This Row],[a1]]=1,1/Tab.o1[[#This Row],[PDF]],"")</f>
        <v/>
      </c>
      <c r="AJ1127" s="131" t="str">
        <f>IF(Tab.o1[[#This Row],[a1]]=1,[1]!T_AA[[#This Row],[IN'']]*[1]!T_AA[[#This Row],[Qde'']],"")</f>
        <v/>
      </c>
      <c r="AK1127" s="132" t="str">
        <f>IF(Tab.o1[[#This Row],[a1]]=1,IF(AK$1=1,Tab.o1[[#This Row],[MED]]+Tab.o1[[#This Row],[MOD]]-Tab.o1[[#This Row],[MED]],""),"")</f>
        <v/>
      </c>
      <c r="AL1127" s="133" t="str">
        <f>IF(Tab.o1[[#This Row],[a1]]=1,[1]!T.in.A[[#This Row],[oo16]],"")</f>
        <v/>
      </c>
      <c r="AM1127" s="133" t="str">
        <f>IF(Tab.o1[[#This Row],[a1]]=1,IF(AM$3=1,[1]!T.in.A[[#This Row],[Σo16]],""),"")</f>
        <v/>
      </c>
      <c r="AN1127" s="126" t="str">
        <f>IF(Tab.o1[[#This Row],[a1]]=1,[1]!T.in.A[[#This Row],[Σp5]],"")</f>
        <v/>
      </c>
      <c r="AO1127" s="126" t="str">
        <f>IF(Tab.o1[[#This Row],[a1]]=1,IF(AO$3=1,[1]!T.in.A[[#This Row],[Σp5]],""),"")</f>
        <v/>
      </c>
      <c r="AP1127" s="110" t="str">
        <f>IF(Tab.o1[[#This Row],[a1]]=1,IF(ISNUMBER(Tab.o1[[#This Row],[i.]]),NORMDIST(Tab.o1[[#This Row],[Za]],0,1,FALSE)*Tab.o1[[#This Row],[i.]],0),"")</f>
        <v/>
      </c>
      <c r="AQ1127" s="125" t="str">
        <f>IF(Tab.o1[[#This Row],[a1]]=1,ABS(Tab.o1[[#This Row],[MOD]]-AVERAGE(Tab.o1[MOD])),"")</f>
        <v/>
      </c>
      <c r="AR1127" s="134" t="str">
        <f>IF(Tab.o1[[#This Row],[a1]]=1,Tab.o1[[#This Row],[OBS]]/SUM(Tab.o1[OBS]),"")</f>
        <v/>
      </c>
      <c r="AS1127" s="135" t="str">
        <f>IF(ISNUMBER(Tab.o1[[#This Row],[a1]]),ROW()-4,"")</f>
        <v/>
      </c>
      <c r="AT1127" s="136" t="str">
        <f>Tab.o1[[#This Row],[MOD]]</f>
        <v/>
      </c>
      <c r="AU1127" s="137" t="str">
        <f t="shared" si="69"/>
        <v/>
      </c>
      <c r="AV1127" s="138" t="str">
        <f t="shared" si="70"/>
        <v/>
      </c>
      <c r="AW1127" s="138" t="str">
        <f t="shared" si="71"/>
        <v/>
      </c>
      <c r="AX1127" s="139" t="str">
        <f>[1]!T.in.A[[#This Row],[ID_T_manu]]</f>
        <v/>
      </c>
      <c r="AY1127" s="140" t="str">
        <f>IF(ISNUMBER(Tab.o1[[#This Row],[a1]]),IF(AND(Tab.o1[[#This Row],[a1]]=1,Tab.o1[[#This Row],[b1]]&lt;=AY$4),#REF!,AY1126),"")</f>
        <v/>
      </c>
      <c r="AZ1127" s="25"/>
      <c r="BA1127" s="25"/>
      <c r="BB1127" s="25"/>
      <c r="BC1127" s="25"/>
      <c r="BD1127" s="25"/>
      <c r="BE1127" s="25"/>
      <c r="BF1127" s="25"/>
      <c r="BG1127" s="25"/>
      <c r="BH1127" s="25"/>
      <c r="BI1127" s="25"/>
      <c r="BJ1127" s="25"/>
      <c r="BK1127" s="25"/>
      <c r="BL1127" s="25"/>
      <c r="BM1127" s="25"/>
      <c r="BN1127" s="26"/>
      <c r="BO1127" s="26"/>
      <c r="BP1127" s="26"/>
      <c r="BQ1127" s="26"/>
      <c r="BR1127" s="26"/>
      <c r="BS1127" s="26"/>
      <c r="BT1127" s="26"/>
      <c r="BU1127" s="26"/>
      <c r="BV1127" s="26"/>
      <c r="BW1127" s="26"/>
      <c r="BX1127" s="26"/>
      <c r="BY1127" s="26"/>
      <c r="BZ1127" s="26"/>
      <c r="CA1127" s="26"/>
    </row>
    <row r="1128" spans="1:79" ht="15.75" hidden="1">
      <c r="A1128" s="109">
        <v>9.0000000000000002E-6</v>
      </c>
      <c r="B1128" s="110">
        <f t="shared" si="68"/>
        <v>1128</v>
      </c>
      <c r="C1128" s="111" t="str">
        <f>IF(C$1=[1]!T.in.A[[#This Row],[oo2]],1,"")</f>
        <v/>
      </c>
      <c r="D1128" s="112" t="str">
        <f>IF(Tab.o1[[#This Row],[a1]]=1,IF(SUM(C1128:C1129)=0,0,IF(SUM(C1127:C1128)=1,1,IF(SUM(C1127:C1129)&gt;1,D1127+1,0))),"")</f>
        <v/>
      </c>
      <c r="E1128" s="113" t="str">
        <f>IF(Tab.o1[[#This Row],[a1]]=1,[1]!T.in.A[[#This Row],[oo1]],"")</f>
        <v/>
      </c>
      <c r="F1128" s="113" t="str">
        <f>IF(Tab.o1[[#This Row],[a1]]=1,[1]!T.in.A[[#This Row],[pp1]],"")</f>
        <v/>
      </c>
      <c r="G1128" s="114" t="str">
        <f>IF(Tab.o1[[#This Row],[a1]]=1,G$2+IF(G$1=1,0,Tab.o1[[#This Row],[.x1]])+[1]!T.in.A[[#This Row],[oo3]],"")</f>
        <v/>
      </c>
      <c r="H1128" s="115" t="str">
        <f>IF(Tab.o1[[#This Row],[a1]]=1,IF(H$2=0,0,IF(G$1=1,0,Tab.o1[[#This Row],[.x1]])+[1]!T.in.A[[#This Row],[oo4]]),"")</f>
        <v/>
      </c>
      <c r="I1128" s="116" t="str">
        <f>IF(Tab.o1[[#This Row],[a1]]=1,IF(J$2=0,Tab.o1[[#This Row],[MED]],Tab.o1[[#This Row],[MOD]]),"")</f>
        <v/>
      </c>
      <c r="J1128" s="116" t="str">
        <f>IF(Tab.o1[[#This Row],[a1]]=1,((Tab.o1[[#This Row],[DIF_Target.]]-AVERAGE(Tab.o1[DIF_Target.]))/_xlfn.STDEV.P(Tab.o1[DIF_Target.])),"")</f>
        <v/>
      </c>
      <c r="K1128" s="117" t="str">
        <f>IF(Tab.o1[[#This Row],[a1]]=1,IF(J$2=0,Tab.o1[[#This Row],[MOD]]-Tab.o1[[#This Row],[B]],IF(J$2=1,0,-Tab.o1[[#This Row],[MED]])+Tab.o1[[#This Row],[B]]),"")</f>
        <v/>
      </c>
      <c r="L1128" s="117" t="str">
        <f ca="1">IF(Tab.o1[[#This Row],[DIF_Target]]=0,IF(L$2=0,Tab.o1[[#This Row],[DIF_Target]],AVERAGE(OFFSET(Tab.o1[[#This Row],[DIF_Target]],1,0,L$3,1)))/3,Tab.o1[[#This Row],[DIF_Target]])</f>
        <v/>
      </c>
      <c r="M1128" s="118" t="str">
        <f>IF(Tab.o1[[#This Row],[a1]]=1,NORMSDIST(Tab.o1[[#This Row],[Za]]),"")</f>
        <v/>
      </c>
      <c r="N1128" s="119" t="str">
        <f>IF(Tab.o1[[#This Row],[a1]]=1,((Tab.o1[[#This Row],[MedMod]]-AVERAGE(Tab.o1[MedMod]))/_xlfn.STDEV.P(Tab.o1[MedMod])*H$1205)+G$1205,"")</f>
        <v/>
      </c>
      <c r="O1128" s="141" t="str">
        <f>IF(Tab.o1[[#This Row],[a1]]=1,Tab.o1[[#This Row],[Zb]]*_xlfn.STDEV.P(Tab.o1[MedMod])+AVERAGE(Tab.o1[MedMod]),"")</f>
        <v/>
      </c>
      <c r="P1128" s="117" t="str">
        <f ca="1">IF(Tab.o1[[#This Row],[B]]=0,AVERAGE(OFFSET(Tab.o1[[#This Row],[B]],1,0,L$3,1)),Tab.o1[[#This Row],[B]])</f>
        <v/>
      </c>
      <c r="Q1128" s="121" t="str">
        <f>IF(Tab.o1[[#This Row],[a1]]=1,NORMSDIST(Tab.o1[[#This Row],[Zb]]),"")</f>
        <v/>
      </c>
      <c r="R1128" s="122" t="str">
        <f>IF(Tab.o1[[#This Row],[a1]]=1,((Tab.o1[[#This Row],[MedMod]]-AVERAGE(Tab.o1[MedMod]))/_xlfn.STDEV.P(Tab.o1[MedMod])*H$1203)+G$1203,"")</f>
        <v/>
      </c>
      <c r="S1128" s="122" t="str">
        <f>IF(Tab.o1[[#This Row],[a1]]=1,((Tab.o1[[#This Row],[MedMod]]-AVERAGE(Tab.o1[MedMod]))/_xlfn.STDEV.P(Tab.o1[MedMod])*H$1204)+G$1204,"")</f>
        <v/>
      </c>
      <c r="T1128" s="123" t="str">
        <f>IF(Tab.o1[[#This Row],[a1]]=1,Tab.o1[[#This Row],[Z-]]*_xlfn.STDEV.P(Tab.o1[B])+AVERAGE(Tab.o1[B]),"")</f>
        <v/>
      </c>
      <c r="U1128" s="123" t="str">
        <f>IF(Tab.o1[[#This Row],[a1]]=1,Tab.o1[[#This Row],[z+]]*_xlfn.STDEV.P(Tab.o1[B])+AVERAGE(Tab.o1[B]),"")</f>
        <v/>
      </c>
      <c r="V1128" s="124" t="str">
        <f>IF(Tab.o1[[#This Row],[a1]]=1,ABS((ABS(Tab.o1[[#This Row],[Red]]-Tab.o1[[#This Row],[Blue]]))),"")</f>
        <v/>
      </c>
      <c r="W1128" s="125" t="str">
        <f>IF(Tab.o1[[#This Row],[a1]]=1,IF(W$3=0,1,Tab.o1[[#This Row],[Amp.]]*1/_xlfn.MINIFS(Tab.o1[Amp.],Tab.o1[Amp.],"&lt;&gt;0")),"")</f>
        <v/>
      </c>
      <c r="X1128" s="126" t="str">
        <f>IF(Tab.o1[[#This Row],[a1]]=1,IF(ISNUMBER(Tab.o1[[#This Row],[i.]]),NORMDIST(Tab.o1[[#This Row],[Za]],0,1,FALSE)*Tab.o1[[#This Row],[i.]],AP$3),"")</f>
        <v/>
      </c>
      <c r="Y1128" s="126" t="str">
        <f>IF(Tab.o1[[#This Row],[a1]]=1,0.01+0.94*Tab.o1[[#This Row],[PDF]]/MAX(Tab.o1[PDF]),"")</f>
        <v/>
      </c>
      <c r="Z1128" s="126" t="str">
        <f>IF(Tab.o1[[#This Row],[a1]]=1,0.01+0.94*Tab.o1[[#This Row],[W1_PDF]]/MAX(Tab.o1[W1_PDF]),"")</f>
        <v/>
      </c>
      <c r="AA1128" s="118" t="str">
        <f>IF(Tab.o1[[#This Row],[a1]]=1,ABS([1]!T.in.A[[#This Row],[oo6]]),"")</f>
        <v/>
      </c>
      <c r="AB1128" s="127" t="str">
        <f>IF(Tab.o1[[#This Row],[a1]]=1,IF(AE$3=0,"",IF(AB$3=0,ABS([1]!T.in.A[[#This Row],[oo9]]),ABS(Tab.o1[[#This Row],[DIF_Target.]]*Tab.o1[[#This Row],[W1_PDF]]))),"")</f>
        <v/>
      </c>
      <c r="AC1128" s="127" t="str">
        <f>IF(G$1=1,"",IF(Tab.o1[[#This Row],[a1]]=1,Tab.o1[[#This Row],[Wr]]^2,""))</f>
        <v/>
      </c>
      <c r="AD1128" s="118" t="str">
        <f>IF(Tab.o1[[#This Row],[a1]]=1,IF(AE$3=0,"",Tab.o1[[#This Row],[Wr2]]/SUM(Tab.o1[Wr2])),"")</f>
        <v/>
      </c>
      <c r="AE1128" s="128" t="str">
        <f>IF(Tab.o1[[#This Row],[a1]]=1,[1]!T.in.A[[#This Row],[oo10]],"")</f>
        <v/>
      </c>
      <c r="AF1128" s="118" t="str">
        <f>IF(Tab.o1[[#This Row],[a1]]=1,ABS(Tab.o1[[#This Row],[DIF_Target.]]*Tab.o1[[#This Row],[PDF2]]*Tab.o1[[#This Row],[IN]]),"")</f>
        <v/>
      </c>
      <c r="AG1128" s="129" t="str">
        <f>IF(Tab.o1[[#This Row],[a1]]=1,Tab.o1[[#This Row],[rW]]^2,"")</f>
        <v/>
      </c>
      <c r="AH1128" s="130" t="str">
        <f>IF(Tab.o1[[#This Row],[a1]]=1,IF(AH$3=0,Tab.o1[[#This Row],[rW2]],0.01+0.94*Tab.o1[[#This Row],[rW2]]/SUM(Tab.o1[rW2])),"")</f>
        <v/>
      </c>
      <c r="AI1128" s="128" t="str">
        <f>IF(Tab.o1[[#This Row],[a1]]=1,1/Tab.o1[[#This Row],[PDF]],"")</f>
        <v/>
      </c>
      <c r="AJ1128" s="131" t="str">
        <f>IF(Tab.o1[[#This Row],[a1]]=1,[1]!T_AA[[#This Row],[IN'']]*[1]!T_AA[[#This Row],[Qde'']],"")</f>
        <v/>
      </c>
      <c r="AK1128" s="132" t="str">
        <f>IF(Tab.o1[[#This Row],[a1]]=1,IF(AK$1=1,Tab.o1[[#This Row],[MED]]+Tab.o1[[#This Row],[MOD]]-Tab.o1[[#This Row],[MED]],""),"")</f>
        <v/>
      </c>
      <c r="AL1128" s="133" t="str">
        <f>IF(Tab.o1[[#This Row],[a1]]=1,[1]!T.in.A[[#This Row],[oo16]],"")</f>
        <v/>
      </c>
      <c r="AM1128" s="133" t="str">
        <f>IF(Tab.o1[[#This Row],[a1]]=1,IF(AM$3=1,[1]!T.in.A[[#This Row],[Σo16]],""),"")</f>
        <v/>
      </c>
      <c r="AN1128" s="126" t="str">
        <f>IF(Tab.o1[[#This Row],[a1]]=1,[1]!T.in.A[[#This Row],[Σp5]],"")</f>
        <v/>
      </c>
      <c r="AO1128" s="126" t="str">
        <f>IF(Tab.o1[[#This Row],[a1]]=1,IF(AO$3=1,[1]!T.in.A[[#This Row],[Σp5]],""),"")</f>
        <v/>
      </c>
      <c r="AP1128" s="110" t="str">
        <f>IF(Tab.o1[[#This Row],[a1]]=1,IF(ISNUMBER(Tab.o1[[#This Row],[i.]]),NORMDIST(Tab.o1[[#This Row],[Za]],0,1,FALSE)*Tab.o1[[#This Row],[i.]],0),"")</f>
        <v/>
      </c>
      <c r="AQ1128" s="125" t="str">
        <f>IF(Tab.o1[[#This Row],[a1]]=1,ABS(Tab.o1[[#This Row],[MOD]]-AVERAGE(Tab.o1[MOD])),"")</f>
        <v/>
      </c>
      <c r="AR1128" s="134" t="str">
        <f>IF(Tab.o1[[#This Row],[a1]]=1,Tab.o1[[#This Row],[OBS]]/SUM(Tab.o1[OBS]),"")</f>
        <v/>
      </c>
      <c r="AS1128" s="135" t="str">
        <f>IF(ISNUMBER(Tab.o1[[#This Row],[a1]]),ROW()-4,"")</f>
        <v/>
      </c>
      <c r="AT1128" s="136" t="str">
        <f>Tab.o1[[#This Row],[MOD]]</f>
        <v/>
      </c>
      <c r="AU1128" s="137" t="str">
        <f t="shared" si="69"/>
        <v/>
      </c>
      <c r="AV1128" s="138" t="str">
        <f t="shared" si="70"/>
        <v/>
      </c>
      <c r="AW1128" s="138" t="str">
        <f t="shared" si="71"/>
        <v/>
      </c>
      <c r="AX1128" s="139" t="str">
        <f>[1]!T.in.A[[#This Row],[ID_T_manu]]</f>
        <v/>
      </c>
      <c r="AY1128" s="140" t="str">
        <f>IF(ISNUMBER(Tab.o1[[#This Row],[a1]]),IF(AND(Tab.o1[[#This Row],[a1]]=1,Tab.o1[[#This Row],[b1]]&lt;=AY$4),#REF!,AY1127),"")</f>
        <v/>
      </c>
      <c r="AZ1128" s="25"/>
      <c r="BA1128" s="25"/>
      <c r="BB1128" s="25"/>
      <c r="BC1128" s="25"/>
      <c r="BD1128" s="25"/>
      <c r="BE1128" s="25"/>
      <c r="BF1128" s="25"/>
      <c r="BG1128" s="25"/>
      <c r="BH1128" s="25"/>
      <c r="BI1128" s="25"/>
      <c r="BJ1128" s="25"/>
      <c r="BK1128" s="25"/>
      <c r="BL1128" s="25"/>
      <c r="BM1128" s="25"/>
      <c r="BN1128" s="26"/>
      <c r="BO1128" s="26"/>
      <c r="BP1128" s="26"/>
      <c r="BQ1128" s="26"/>
      <c r="BR1128" s="26"/>
      <c r="BS1128" s="26"/>
      <c r="BT1128" s="26"/>
      <c r="BU1128" s="26"/>
      <c r="BV1128" s="26"/>
      <c r="BW1128" s="26"/>
      <c r="BX1128" s="26"/>
      <c r="BY1128" s="26"/>
      <c r="BZ1128" s="26"/>
      <c r="CA1128" s="26"/>
    </row>
    <row r="1129" spans="1:79" ht="15.75" hidden="1">
      <c r="A1129" s="109">
        <v>9.0000000000000002E-6</v>
      </c>
      <c r="B1129" s="110">
        <f t="shared" si="68"/>
        <v>1129</v>
      </c>
      <c r="C1129" s="111" t="str">
        <f>IF(C$1=[1]!T.in.A[[#This Row],[oo2]],1,"")</f>
        <v/>
      </c>
      <c r="D1129" s="112" t="str">
        <f>IF(Tab.o1[[#This Row],[a1]]=1,IF(SUM(C1129:C1130)=0,0,IF(SUM(C1128:C1129)=1,1,IF(SUM(C1128:C1130)&gt;1,D1128+1,0))),"")</f>
        <v/>
      </c>
      <c r="E1129" s="113" t="str">
        <f>IF(Tab.o1[[#This Row],[a1]]=1,[1]!T.in.A[[#This Row],[oo1]],"")</f>
        <v/>
      </c>
      <c r="F1129" s="113" t="str">
        <f>IF(Tab.o1[[#This Row],[a1]]=1,[1]!T.in.A[[#This Row],[pp1]],"")</f>
        <v/>
      </c>
      <c r="G1129" s="114" t="str">
        <f>IF(Tab.o1[[#This Row],[a1]]=1,G$2+IF(G$1=1,0,Tab.o1[[#This Row],[.x1]])+[1]!T.in.A[[#This Row],[oo3]],"")</f>
        <v/>
      </c>
      <c r="H1129" s="115" t="str">
        <f>IF(Tab.o1[[#This Row],[a1]]=1,IF(H$2=0,0,IF(G$1=1,0,Tab.o1[[#This Row],[.x1]])+[1]!T.in.A[[#This Row],[oo4]]),"")</f>
        <v/>
      </c>
      <c r="I1129" s="116" t="str">
        <f>IF(Tab.o1[[#This Row],[a1]]=1,IF(J$2=0,Tab.o1[[#This Row],[MED]],Tab.o1[[#This Row],[MOD]]),"")</f>
        <v/>
      </c>
      <c r="J1129" s="116" t="str">
        <f>IF(Tab.o1[[#This Row],[a1]]=1,((Tab.o1[[#This Row],[DIF_Target.]]-AVERAGE(Tab.o1[DIF_Target.]))/_xlfn.STDEV.P(Tab.o1[DIF_Target.])),"")</f>
        <v/>
      </c>
      <c r="K1129" s="117" t="str">
        <f>IF(Tab.o1[[#This Row],[a1]]=1,IF(J$2=0,Tab.o1[[#This Row],[MOD]]-Tab.o1[[#This Row],[B]],IF(J$2=1,0,-Tab.o1[[#This Row],[MED]])+Tab.o1[[#This Row],[B]]),"")</f>
        <v/>
      </c>
      <c r="L1129" s="117" t="str">
        <f ca="1">IF(Tab.o1[[#This Row],[DIF_Target]]=0,IF(L$2=0,Tab.o1[[#This Row],[DIF_Target]],AVERAGE(OFFSET(Tab.o1[[#This Row],[DIF_Target]],1,0,L$3,1)))/3,Tab.o1[[#This Row],[DIF_Target]])</f>
        <v/>
      </c>
      <c r="M1129" s="118" t="str">
        <f>IF(Tab.o1[[#This Row],[a1]]=1,NORMSDIST(Tab.o1[[#This Row],[Za]]),"")</f>
        <v/>
      </c>
      <c r="N1129" s="119" t="str">
        <f>IF(Tab.o1[[#This Row],[a1]]=1,((Tab.o1[[#This Row],[MedMod]]-AVERAGE(Tab.o1[MedMod]))/_xlfn.STDEV.P(Tab.o1[MedMod])*H$1205)+G$1205,"")</f>
        <v/>
      </c>
      <c r="O1129" s="141" t="str">
        <f>IF(Tab.o1[[#This Row],[a1]]=1,Tab.o1[[#This Row],[Zb]]*_xlfn.STDEV.P(Tab.o1[MedMod])+AVERAGE(Tab.o1[MedMod]),"")</f>
        <v/>
      </c>
      <c r="P1129" s="117" t="str">
        <f ca="1">IF(Tab.o1[[#This Row],[B]]=0,AVERAGE(OFFSET(Tab.o1[[#This Row],[B]],1,0,L$3,1)),Tab.o1[[#This Row],[B]])</f>
        <v/>
      </c>
      <c r="Q1129" s="121" t="str">
        <f>IF(Tab.o1[[#This Row],[a1]]=1,NORMSDIST(Tab.o1[[#This Row],[Zb]]),"")</f>
        <v/>
      </c>
      <c r="R1129" s="122" t="str">
        <f>IF(Tab.o1[[#This Row],[a1]]=1,((Tab.o1[[#This Row],[MedMod]]-AVERAGE(Tab.o1[MedMod]))/_xlfn.STDEV.P(Tab.o1[MedMod])*H$1203)+G$1203,"")</f>
        <v/>
      </c>
      <c r="S1129" s="122" t="str">
        <f>IF(Tab.o1[[#This Row],[a1]]=1,((Tab.o1[[#This Row],[MedMod]]-AVERAGE(Tab.o1[MedMod]))/_xlfn.STDEV.P(Tab.o1[MedMod])*H$1204)+G$1204,"")</f>
        <v/>
      </c>
      <c r="T1129" s="123" t="str">
        <f>IF(Tab.o1[[#This Row],[a1]]=1,Tab.o1[[#This Row],[Z-]]*_xlfn.STDEV.P(Tab.o1[B])+AVERAGE(Tab.o1[B]),"")</f>
        <v/>
      </c>
      <c r="U1129" s="123" t="str">
        <f>IF(Tab.o1[[#This Row],[a1]]=1,Tab.o1[[#This Row],[z+]]*_xlfn.STDEV.P(Tab.o1[B])+AVERAGE(Tab.o1[B]),"")</f>
        <v/>
      </c>
      <c r="V1129" s="124" t="str">
        <f>IF(Tab.o1[[#This Row],[a1]]=1,ABS((ABS(Tab.o1[[#This Row],[Red]]-Tab.o1[[#This Row],[Blue]]))),"")</f>
        <v/>
      </c>
      <c r="W1129" s="125" t="str">
        <f>IF(Tab.o1[[#This Row],[a1]]=1,IF(W$3=0,1,Tab.o1[[#This Row],[Amp.]]*1/_xlfn.MINIFS(Tab.o1[Amp.],Tab.o1[Amp.],"&lt;&gt;0")),"")</f>
        <v/>
      </c>
      <c r="X1129" s="126" t="str">
        <f>IF(Tab.o1[[#This Row],[a1]]=1,IF(ISNUMBER(Tab.o1[[#This Row],[i.]]),NORMDIST(Tab.o1[[#This Row],[Za]],0,1,FALSE)*Tab.o1[[#This Row],[i.]],AP$3),"")</f>
        <v/>
      </c>
      <c r="Y1129" s="126" t="str">
        <f>IF(Tab.o1[[#This Row],[a1]]=1,0.01+0.94*Tab.o1[[#This Row],[PDF]]/MAX(Tab.o1[PDF]),"")</f>
        <v/>
      </c>
      <c r="Z1129" s="126" t="str">
        <f>IF(Tab.o1[[#This Row],[a1]]=1,0.01+0.94*Tab.o1[[#This Row],[W1_PDF]]/MAX(Tab.o1[W1_PDF]),"")</f>
        <v/>
      </c>
      <c r="AA1129" s="118" t="str">
        <f>IF(Tab.o1[[#This Row],[a1]]=1,ABS([1]!T.in.A[[#This Row],[oo6]]),"")</f>
        <v/>
      </c>
      <c r="AB1129" s="127" t="str">
        <f>IF(Tab.o1[[#This Row],[a1]]=1,IF(AE$3=0,"",IF(AB$3=0,ABS([1]!T.in.A[[#This Row],[oo9]]),ABS(Tab.o1[[#This Row],[DIF_Target.]]*Tab.o1[[#This Row],[W1_PDF]]))),"")</f>
        <v/>
      </c>
      <c r="AC1129" s="127" t="str">
        <f>IF(G$1=1,"",IF(Tab.o1[[#This Row],[a1]]=1,Tab.o1[[#This Row],[Wr]]^2,""))</f>
        <v/>
      </c>
      <c r="AD1129" s="118" t="str">
        <f>IF(Tab.o1[[#This Row],[a1]]=1,IF(AE$3=0,"",Tab.o1[[#This Row],[Wr2]]/SUM(Tab.o1[Wr2])),"")</f>
        <v/>
      </c>
      <c r="AE1129" s="128" t="str">
        <f>IF(Tab.o1[[#This Row],[a1]]=1,[1]!T.in.A[[#This Row],[oo10]],"")</f>
        <v/>
      </c>
      <c r="AF1129" s="118" t="str">
        <f>IF(Tab.o1[[#This Row],[a1]]=1,ABS(Tab.o1[[#This Row],[DIF_Target.]]*Tab.o1[[#This Row],[PDF2]]*Tab.o1[[#This Row],[IN]]),"")</f>
        <v/>
      </c>
      <c r="AG1129" s="129" t="str">
        <f>IF(Tab.o1[[#This Row],[a1]]=1,Tab.o1[[#This Row],[rW]]^2,"")</f>
        <v/>
      </c>
      <c r="AH1129" s="130" t="str">
        <f>IF(Tab.o1[[#This Row],[a1]]=1,IF(AH$3=0,Tab.o1[[#This Row],[rW2]],0.01+0.94*Tab.o1[[#This Row],[rW2]]/SUM(Tab.o1[rW2])),"")</f>
        <v/>
      </c>
      <c r="AI1129" s="128" t="str">
        <f>IF(Tab.o1[[#This Row],[a1]]=1,1/Tab.o1[[#This Row],[PDF]],"")</f>
        <v/>
      </c>
      <c r="AJ1129" s="131" t="str">
        <f>IF(Tab.o1[[#This Row],[a1]]=1,[1]!T_AA[[#This Row],[IN'']]*[1]!T_AA[[#This Row],[Qde'']],"")</f>
        <v/>
      </c>
      <c r="AK1129" s="132" t="str">
        <f>IF(Tab.o1[[#This Row],[a1]]=1,IF(AK$1=1,Tab.o1[[#This Row],[MED]]+Tab.o1[[#This Row],[MOD]]-Tab.o1[[#This Row],[MED]],""),"")</f>
        <v/>
      </c>
      <c r="AL1129" s="133" t="str">
        <f>IF(Tab.o1[[#This Row],[a1]]=1,[1]!T.in.A[[#This Row],[oo16]],"")</f>
        <v/>
      </c>
      <c r="AM1129" s="133" t="str">
        <f>IF(Tab.o1[[#This Row],[a1]]=1,IF(AM$3=1,[1]!T.in.A[[#This Row],[Σo16]],""),"")</f>
        <v/>
      </c>
      <c r="AN1129" s="126" t="str">
        <f>IF(Tab.o1[[#This Row],[a1]]=1,[1]!T.in.A[[#This Row],[Σp5]],"")</f>
        <v/>
      </c>
      <c r="AO1129" s="126" t="str">
        <f>IF(Tab.o1[[#This Row],[a1]]=1,IF(AO$3=1,[1]!T.in.A[[#This Row],[Σp5]],""),"")</f>
        <v/>
      </c>
      <c r="AP1129" s="110" t="str">
        <f>IF(Tab.o1[[#This Row],[a1]]=1,IF(ISNUMBER(Tab.o1[[#This Row],[i.]]),NORMDIST(Tab.o1[[#This Row],[Za]],0,1,FALSE)*Tab.o1[[#This Row],[i.]],0),"")</f>
        <v/>
      </c>
      <c r="AQ1129" s="125" t="str">
        <f>IF(Tab.o1[[#This Row],[a1]]=1,ABS(Tab.o1[[#This Row],[MOD]]-AVERAGE(Tab.o1[MOD])),"")</f>
        <v/>
      </c>
      <c r="AR1129" s="134" t="str">
        <f>IF(Tab.o1[[#This Row],[a1]]=1,Tab.o1[[#This Row],[OBS]]/SUM(Tab.o1[OBS]),"")</f>
        <v/>
      </c>
      <c r="AS1129" s="135" t="str">
        <f>IF(ISNUMBER(Tab.o1[[#This Row],[a1]]),ROW()-4,"")</f>
        <v/>
      </c>
      <c r="AT1129" s="136" t="str">
        <f>Tab.o1[[#This Row],[MOD]]</f>
        <v/>
      </c>
      <c r="AU1129" s="137" t="str">
        <f t="shared" si="69"/>
        <v/>
      </c>
      <c r="AV1129" s="138" t="str">
        <f t="shared" si="70"/>
        <v/>
      </c>
      <c r="AW1129" s="138" t="str">
        <f t="shared" si="71"/>
        <v/>
      </c>
      <c r="AX1129" s="139" t="str">
        <f>[1]!T.in.A[[#This Row],[ID_T_manu]]</f>
        <v/>
      </c>
      <c r="AY1129" s="140" t="str">
        <f>IF(ISNUMBER(Tab.o1[[#This Row],[a1]]),IF(AND(Tab.o1[[#This Row],[a1]]=1,Tab.o1[[#This Row],[b1]]&lt;=AY$4),#REF!,AY1128),"")</f>
        <v/>
      </c>
      <c r="AZ1129" s="25"/>
      <c r="BA1129" s="25"/>
      <c r="BB1129" s="25"/>
      <c r="BC1129" s="25"/>
      <c r="BD1129" s="25"/>
      <c r="BE1129" s="25"/>
      <c r="BF1129" s="25"/>
      <c r="BG1129" s="25"/>
      <c r="BH1129" s="25"/>
      <c r="BI1129" s="25"/>
      <c r="BJ1129" s="25"/>
      <c r="BK1129" s="25"/>
      <c r="BL1129" s="25"/>
      <c r="BM1129" s="25"/>
      <c r="BN1129" s="26"/>
      <c r="BO1129" s="26"/>
      <c r="BP1129" s="26"/>
      <c r="BQ1129" s="26"/>
      <c r="BR1129" s="26"/>
      <c r="BS1129" s="26"/>
      <c r="BT1129" s="26"/>
      <c r="BU1129" s="26"/>
      <c r="BV1129" s="26"/>
      <c r="BW1129" s="26"/>
      <c r="BX1129" s="26"/>
      <c r="BY1129" s="26"/>
      <c r="BZ1129" s="26"/>
      <c r="CA1129" s="26"/>
    </row>
    <row r="1130" spans="1:79" ht="15.75" hidden="1">
      <c r="A1130" s="109">
        <v>-9.0000000000000002E-6</v>
      </c>
      <c r="B1130" s="110">
        <f t="shared" si="68"/>
        <v>1130</v>
      </c>
      <c r="C1130" s="111" t="str">
        <f>IF(C$1=[1]!T.in.A[[#This Row],[oo2]],1,"")</f>
        <v/>
      </c>
      <c r="D1130" s="112" t="str">
        <f>IF(Tab.o1[[#This Row],[a1]]=1,IF(SUM(C1130:C1131)=0,0,IF(SUM(C1129:C1130)=1,1,IF(SUM(C1129:C1131)&gt;1,D1129+1,0))),"")</f>
        <v/>
      </c>
      <c r="E1130" s="113" t="str">
        <f>IF(Tab.o1[[#This Row],[a1]]=1,[1]!T.in.A[[#This Row],[oo1]],"")</f>
        <v/>
      </c>
      <c r="F1130" s="113" t="str">
        <f>IF(Tab.o1[[#This Row],[a1]]=1,[1]!T.in.A[[#This Row],[pp1]],"")</f>
        <v/>
      </c>
      <c r="G1130" s="114" t="str">
        <f>IF(Tab.o1[[#This Row],[a1]]=1,G$2+IF(G$1=1,0,Tab.o1[[#This Row],[.x1]])+[1]!T.in.A[[#This Row],[oo3]],"")</f>
        <v/>
      </c>
      <c r="H1130" s="115" t="str">
        <f>IF(Tab.o1[[#This Row],[a1]]=1,IF(H$2=0,0,IF(G$1=1,0,Tab.o1[[#This Row],[.x1]])+[1]!T.in.A[[#This Row],[oo4]]),"")</f>
        <v/>
      </c>
      <c r="I1130" s="116" t="str">
        <f>IF(Tab.o1[[#This Row],[a1]]=1,IF(J$2=0,Tab.o1[[#This Row],[MED]],Tab.o1[[#This Row],[MOD]]),"")</f>
        <v/>
      </c>
      <c r="J1130" s="116" t="str">
        <f>IF(Tab.o1[[#This Row],[a1]]=1,((Tab.o1[[#This Row],[DIF_Target.]]-AVERAGE(Tab.o1[DIF_Target.]))/_xlfn.STDEV.P(Tab.o1[DIF_Target.])),"")</f>
        <v/>
      </c>
      <c r="K1130" s="117" t="str">
        <f>IF(Tab.o1[[#This Row],[a1]]=1,IF(J$2=0,Tab.o1[[#This Row],[MOD]]-Tab.o1[[#This Row],[B]],IF(J$2=1,0,-Tab.o1[[#This Row],[MED]])+Tab.o1[[#This Row],[B]]),"")</f>
        <v/>
      </c>
      <c r="L1130" s="117" t="str">
        <f ca="1">IF(Tab.o1[[#This Row],[DIF_Target]]=0,IF(L$2=0,Tab.o1[[#This Row],[DIF_Target]],AVERAGE(OFFSET(Tab.o1[[#This Row],[DIF_Target]],1,0,L$3,1)))/3,Tab.o1[[#This Row],[DIF_Target]])</f>
        <v/>
      </c>
      <c r="M1130" s="118" t="str">
        <f>IF(Tab.o1[[#This Row],[a1]]=1,NORMSDIST(Tab.o1[[#This Row],[Za]]),"")</f>
        <v/>
      </c>
      <c r="N1130" s="119" t="str">
        <f>IF(Tab.o1[[#This Row],[a1]]=1,((Tab.o1[[#This Row],[MedMod]]-AVERAGE(Tab.o1[MedMod]))/_xlfn.STDEV.P(Tab.o1[MedMod])*H$1205)+G$1205,"")</f>
        <v/>
      </c>
      <c r="O1130" s="141" t="str">
        <f>IF(Tab.o1[[#This Row],[a1]]=1,Tab.o1[[#This Row],[Zb]]*_xlfn.STDEV.P(Tab.o1[MedMod])+AVERAGE(Tab.o1[MedMod]),"")</f>
        <v/>
      </c>
      <c r="P1130" s="117" t="str">
        <f ca="1">IF(Tab.o1[[#This Row],[B]]=0,AVERAGE(OFFSET(Tab.o1[[#This Row],[B]],1,0,L$3,1)),Tab.o1[[#This Row],[B]])</f>
        <v/>
      </c>
      <c r="Q1130" s="121" t="str">
        <f>IF(Tab.o1[[#This Row],[a1]]=1,NORMSDIST(Tab.o1[[#This Row],[Zb]]),"")</f>
        <v/>
      </c>
      <c r="R1130" s="122" t="str">
        <f>IF(Tab.o1[[#This Row],[a1]]=1,((Tab.o1[[#This Row],[MedMod]]-AVERAGE(Tab.o1[MedMod]))/_xlfn.STDEV.P(Tab.o1[MedMod])*H$1203)+G$1203,"")</f>
        <v/>
      </c>
      <c r="S1130" s="122" t="str">
        <f>IF(Tab.o1[[#This Row],[a1]]=1,((Tab.o1[[#This Row],[MedMod]]-AVERAGE(Tab.o1[MedMod]))/_xlfn.STDEV.P(Tab.o1[MedMod])*H$1204)+G$1204,"")</f>
        <v/>
      </c>
      <c r="T1130" s="123" t="str">
        <f>IF(Tab.o1[[#This Row],[a1]]=1,Tab.o1[[#This Row],[Z-]]*_xlfn.STDEV.P(Tab.o1[B])+AVERAGE(Tab.o1[B]),"")</f>
        <v/>
      </c>
      <c r="U1130" s="123" t="str">
        <f>IF(Tab.o1[[#This Row],[a1]]=1,Tab.o1[[#This Row],[z+]]*_xlfn.STDEV.P(Tab.o1[B])+AVERAGE(Tab.o1[B]),"")</f>
        <v/>
      </c>
      <c r="V1130" s="124" t="str">
        <f>IF(Tab.o1[[#This Row],[a1]]=1,ABS((ABS(Tab.o1[[#This Row],[Red]]-Tab.o1[[#This Row],[Blue]]))),"")</f>
        <v/>
      </c>
      <c r="W1130" s="125" t="str">
        <f>IF(Tab.o1[[#This Row],[a1]]=1,IF(W$3=0,1,Tab.o1[[#This Row],[Amp.]]*1/_xlfn.MINIFS(Tab.o1[Amp.],Tab.o1[Amp.],"&lt;&gt;0")),"")</f>
        <v/>
      </c>
      <c r="X1130" s="126" t="str">
        <f>IF(Tab.o1[[#This Row],[a1]]=1,IF(ISNUMBER(Tab.o1[[#This Row],[i.]]),NORMDIST(Tab.o1[[#This Row],[Za]],0,1,FALSE)*Tab.o1[[#This Row],[i.]],AP$3),"")</f>
        <v/>
      </c>
      <c r="Y1130" s="126" t="str">
        <f>IF(Tab.o1[[#This Row],[a1]]=1,0.01+0.94*Tab.o1[[#This Row],[PDF]]/MAX(Tab.o1[PDF]),"")</f>
        <v/>
      </c>
      <c r="Z1130" s="126" t="str">
        <f>IF(Tab.o1[[#This Row],[a1]]=1,0.01+0.94*Tab.o1[[#This Row],[W1_PDF]]/MAX(Tab.o1[W1_PDF]),"")</f>
        <v/>
      </c>
      <c r="AA1130" s="118" t="str">
        <f>IF(Tab.o1[[#This Row],[a1]]=1,ABS([1]!T.in.A[[#This Row],[oo6]]),"")</f>
        <v/>
      </c>
      <c r="AB1130" s="127" t="str">
        <f>IF(Tab.o1[[#This Row],[a1]]=1,IF(AE$3=0,"",IF(AB$3=0,ABS([1]!T.in.A[[#This Row],[oo9]]),ABS(Tab.o1[[#This Row],[DIF_Target.]]*Tab.o1[[#This Row],[W1_PDF]]))),"")</f>
        <v/>
      </c>
      <c r="AC1130" s="127" t="str">
        <f>IF(G$1=1,"",IF(Tab.o1[[#This Row],[a1]]=1,Tab.o1[[#This Row],[Wr]]^2,""))</f>
        <v/>
      </c>
      <c r="AD1130" s="118" t="str">
        <f>IF(Tab.o1[[#This Row],[a1]]=1,IF(AE$3=0,"",Tab.o1[[#This Row],[Wr2]]/SUM(Tab.o1[Wr2])),"")</f>
        <v/>
      </c>
      <c r="AE1130" s="128" t="str">
        <f>IF(Tab.o1[[#This Row],[a1]]=1,[1]!T.in.A[[#This Row],[oo10]],"")</f>
        <v/>
      </c>
      <c r="AF1130" s="118" t="str">
        <f>IF(Tab.o1[[#This Row],[a1]]=1,ABS(Tab.o1[[#This Row],[DIF_Target.]]*Tab.o1[[#This Row],[PDF2]]*Tab.o1[[#This Row],[IN]]),"")</f>
        <v/>
      </c>
      <c r="AG1130" s="129" t="str">
        <f>IF(Tab.o1[[#This Row],[a1]]=1,Tab.o1[[#This Row],[rW]]^2,"")</f>
        <v/>
      </c>
      <c r="AH1130" s="130" t="str">
        <f>IF(Tab.o1[[#This Row],[a1]]=1,IF(AH$3=0,Tab.o1[[#This Row],[rW2]],0.01+0.94*Tab.o1[[#This Row],[rW2]]/SUM(Tab.o1[rW2])),"")</f>
        <v/>
      </c>
      <c r="AI1130" s="128" t="str">
        <f>IF(Tab.o1[[#This Row],[a1]]=1,1/Tab.o1[[#This Row],[PDF]],"")</f>
        <v/>
      </c>
      <c r="AJ1130" s="131" t="str">
        <f>IF(Tab.o1[[#This Row],[a1]]=1,[1]!T_AA[[#This Row],[IN'']]*[1]!T_AA[[#This Row],[Qde'']],"")</f>
        <v/>
      </c>
      <c r="AK1130" s="132" t="str">
        <f>IF(Tab.o1[[#This Row],[a1]]=1,IF(AK$1=1,Tab.o1[[#This Row],[MED]]+Tab.o1[[#This Row],[MOD]]-Tab.o1[[#This Row],[MED]],""),"")</f>
        <v/>
      </c>
      <c r="AL1130" s="133" t="str">
        <f>IF(Tab.o1[[#This Row],[a1]]=1,[1]!T.in.A[[#This Row],[oo16]],"")</f>
        <v/>
      </c>
      <c r="AM1130" s="133" t="str">
        <f>IF(Tab.o1[[#This Row],[a1]]=1,IF(AM$3=1,[1]!T.in.A[[#This Row],[Σo16]],""),"")</f>
        <v/>
      </c>
      <c r="AN1130" s="126" t="str">
        <f>IF(Tab.o1[[#This Row],[a1]]=1,[1]!T.in.A[[#This Row],[Σp5]],"")</f>
        <v/>
      </c>
      <c r="AO1130" s="126" t="str">
        <f>IF(Tab.o1[[#This Row],[a1]]=1,IF(AO$3=1,[1]!T.in.A[[#This Row],[Σp5]],""),"")</f>
        <v/>
      </c>
      <c r="AP1130" s="110" t="str">
        <f>IF(Tab.o1[[#This Row],[a1]]=1,IF(ISNUMBER(Tab.o1[[#This Row],[i.]]),NORMDIST(Tab.o1[[#This Row],[Za]],0,1,FALSE)*Tab.o1[[#This Row],[i.]],0),"")</f>
        <v/>
      </c>
      <c r="AQ1130" s="125" t="str">
        <f>IF(Tab.o1[[#This Row],[a1]]=1,ABS(Tab.o1[[#This Row],[MOD]]-AVERAGE(Tab.o1[MOD])),"")</f>
        <v/>
      </c>
      <c r="AR1130" s="134" t="str">
        <f>IF(Tab.o1[[#This Row],[a1]]=1,Tab.o1[[#This Row],[OBS]]/SUM(Tab.o1[OBS]),"")</f>
        <v/>
      </c>
      <c r="AS1130" s="135" t="str">
        <f>IF(ISNUMBER(Tab.o1[[#This Row],[a1]]),ROW()-4,"")</f>
        <v/>
      </c>
      <c r="AT1130" s="136" t="str">
        <f>Tab.o1[[#This Row],[MOD]]</f>
        <v/>
      </c>
      <c r="AU1130" s="137" t="str">
        <f t="shared" si="69"/>
        <v/>
      </c>
      <c r="AV1130" s="138" t="str">
        <f t="shared" si="70"/>
        <v/>
      </c>
      <c r="AW1130" s="138" t="str">
        <f t="shared" si="71"/>
        <v/>
      </c>
      <c r="AX1130" s="139" t="str">
        <f>[1]!T.in.A[[#This Row],[ID_T_manu]]</f>
        <v/>
      </c>
      <c r="AY1130" s="140" t="str">
        <f>IF(ISNUMBER(Tab.o1[[#This Row],[a1]]),IF(AND(Tab.o1[[#This Row],[a1]]=1,Tab.o1[[#This Row],[b1]]&lt;=AY$4),#REF!,AY1129),"")</f>
        <v/>
      </c>
      <c r="AZ1130" s="25"/>
      <c r="BA1130" s="25"/>
      <c r="BB1130" s="25"/>
      <c r="BC1130" s="25"/>
      <c r="BD1130" s="25"/>
      <c r="BE1130" s="25"/>
      <c r="BF1130" s="25"/>
      <c r="BG1130" s="25"/>
      <c r="BH1130" s="25"/>
      <c r="BI1130" s="25"/>
      <c r="BJ1130" s="25"/>
      <c r="BK1130" s="25"/>
      <c r="BL1130" s="25"/>
      <c r="BM1130" s="25"/>
      <c r="BN1130" s="26"/>
      <c r="BO1130" s="26"/>
      <c r="BP1130" s="26"/>
      <c r="BQ1130" s="26"/>
      <c r="BR1130" s="26"/>
      <c r="BS1130" s="26"/>
      <c r="BT1130" s="26"/>
      <c r="BU1130" s="26"/>
      <c r="BV1130" s="26"/>
      <c r="BW1130" s="26"/>
      <c r="BX1130" s="26"/>
      <c r="BY1130" s="26"/>
      <c r="BZ1130" s="26"/>
      <c r="CA1130" s="26"/>
    </row>
    <row r="1131" spans="1:79" ht="15.75" hidden="1">
      <c r="A1131" s="109">
        <v>1.0000000000000002E-6</v>
      </c>
      <c r="B1131" s="110">
        <f t="shared" si="68"/>
        <v>1131</v>
      </c>
      <c r="C1131" s="111" t="str">
        <f>IF(C$1=[1]!T.in.A[[#This Row],[oo2]],1,"")</f>
        <v/>
      </c>
      <c r="D1131" s="112" t="str">
        <f>IF(Tab.o1[[#This Row],[a1]]=1,IF(SUM(C1131:C1132)=0,0,IF(SUM(C1130:C1131)=1,1,IF(SUM(C1130:C1132)&gt;1,D1130+1,0))),"")</f>
        <v/>
      </c>
      <c r="E1131" s="113" t="str">
        <f>IF(Tab.o1[[#This Row],[a1]]=1,[1]!T.in.A[[#This Row],[oo1]],"")</f>
        <v/>
      </c>
      <c r="F1131" s="113" t="str">
        <f>IF(Tab.o1[[#This Row],[a1]]=1,[1]!T.in.A[[#This Row],[pp1]],"")</f>
        <v/>
      </c>
      <c r="G1131" s="114" t="str">
        <f>IF(Tab.o1[[#This Row],[a1]]=1,G$2+IF(G$1=1,0,Tab.o1[[#This Row],[.x1]])+[1]!T.in.A[[#This Row],[oo3]],"")</f>
        <v/>
      </c>
      <c r="H1131" s="115" t="str">
        <f>IF(Tab.o1[[#This Row],[a1]]=1,IF(H$2=0,0,IF(G$1=1,0,Tab.o1[[#This Row],[.x1]])+[1]!T.in.A[[#This Row],[oo4]]),"")</f>
        <v/>
      </c>
      <c r="I1131" s="116" t="str">
        <f>IF(Tab.o1[[#This Row],[a1]]=1,IF(J$2=0,Tab.o1[[#This Row],[MED]],Tab.o1[[#This Row],[MOD]]),"")</f>
        <v/>
      </c>
      <c r="J1131" s="116" t="str">
        <f>IF(Tab.o1[[#This Row],[a1]]=1,((Tab.o1[[#This Row],[DIF_Target.]]-AVERAGE(Tab.o1[DIF_Target.]))/_xlfn.STDEV.P(Tab.o1[DIF_Target.])),"")</f>
        <v/>
      </c>
      <c r="K1131" s="117" t="str">
        <f>IF(Tab.o1[[#This Row],[a1]]=1,IF(J$2=0,Tab.o1[[#This Row],[MOD]]-Tab.o1[[#This Row],[B]],IF(J$2=1,0,-Tab.o1[[#This Row],[MED]])+Tab.o1[[#This Row],[B]]),"")</f>
        <v/>
      </c>
      <c r="L1131" s="117" t="str">
        <f ca="1">IF(Tab.o1[[#This Row],[DIF_Target]]=0,IF(L$2=0,Tab.o1[[#This Row],[DIF_Target]],AVERAGE(OFFSET(Tab.o1[[#This Row],[DIF_Target]],1,0,L$3,1)))/3,Tab.o1[[#This Row],[DIF_Target]])</f>
        <v/>
      </c>
      <c r="M1131" s="118" t="str">
        <f>IF(Tab.o1[[#This Row],[a1]]=1,NORMSDIST(Tab.o1[[#This Row],[Za]]),"")</f>
        <v/>
      </c>
      <c r="N1131" s="119" t="str">
        <f>IF(Tab.o1[[#This Row],[a1]]=1,((Tab.o1[[#This Row],[MedMod]]-AVERAGE(Tab.o1[MedMod]))/_xlfn.STDEV.P(Tab.o1[MedMod])*H$1205)+G$1205,"")</f>
        <v/>
      </c>
      <c r="O1131" s="141" t="str">
        <f>IF(Tab.o1[[#This Row],[a1]]=1,Tab.o1[[#This Row],[Zb]]*_xlfn.STDEV.P(Tab.o1[MedMod])+AVERAGE(Tab.o1[MedMod]),"")</f>
        <v/>
      </c>
      <c r="P1131" s="117" t="str">
        <f ca="1">IF(Tab.o1[[#This Row],[B]]=0,AVERAGE(OFFSET(Tab.o1[[#This Row],[B]],1,0,L$3,1)),Tab.o1[[#This Row],[B]])</f>
        <v/>
      </c>
      <c r="Q1131" s="121" t="str">
        <f>IF(Tab.o1[[#This Row],[a1]]=1,NORMSDIST(Tab.o1[[#This Row],[Zb]]),"")</f>
        <v/>
      </c>
      <c r="R1131" s="122" t="str">
        <f>IF(Tab.o1[[#This Row],[a1]]=1,((Tab.o1[[#This Row],[MedMod]]-AVERAGE(Tab.o1[MedMod]))/_xlfn.STDEV.P(Tab.o1[MedMod])*H$1203)+G$1203,"")</f>
        <v/>
      </c>
      <c r="S1131" s="122" t="str">
        <f>IF(Tab.o1[[#This Row],[a1]]=1,((Tab.o1[[#This Row],[MedMod]]-AVERAGE(Tab.o1[MedMod]))/_xlfn.STDEV.P(Tab.o1[MedMod])*H$1204)+G$1204,"")</f>
        <v/>
      </c>
      <c r="T1131" s="123" t="str">
        <f>IF(Tab.o1[[#This Row],[a1]]=1,Tab.o1[[#This Row],[Z-]]*_xlfn.STDEV.P(Tab.o1[B])+AVERAGE(Tab.o1[B]),"")</f>
        <v/>
      </c>
      <c r="U1131" s="123" t="str">
        <f>IF(Tab.o1[[#This Row],[a1]]=1,Tab.o1[[#This Row],[z+]]*_xlfn.STDEV.P(Tab.o1[B])+AVERAGE(Tab.o1[B]),"")</f>
        <v/>
      </c>
      <c r="V1131" s="124" t="str">
        <f>IF(Tab.o1[[#This Row],[a1]]=1,ABS((ABS(Tab.o1[[#This Row],[Red]]-Tab.o1[[#This Row],[Blue]]))),"")</f>
        <v/>
      </c>
      <c r="W1131" s="125" t="str">
        <f>IF(Tab.o1[[#This Row],[a1]]=1,IF(W$3=0,1,Tab.o1[[#This Row],[Amp.]]*1/_xlfn.MINIFS(Tab.o1[Amp.],Tab.o1[Amp.],"&lt;&gt;0")),"")</f>
        <v/>
      </c>
      <c r="X1131" s="126" t="str">
        <f>IF(Tab.o1[[#This Row],[a1]]=1,IF(ISNUMBER(Tab.o1[[#This Row],[i.]]),NORMDIST(Tab.o1[[#This Row],[Za]],0,1,FALSE)*Tab.o1[[#This Row],[i.]],AP$3),"")</f>
        <v/>
      </c>
      <c r="Y1131" s="126" t="str">
        <f>IF(Tab.o1[[#This Row],[a1]]=1,0.01+0.94*Tab.o1[[#This Row],[PDF]]/MAX(Tab.o1[PDF]),"")</f>
        <v/>
      </c>
      <c r="Z1131" s="126" t="str">
        <f>IF(Tab.o1[[#This Row],[a1]]=1,0.01+0.94*Tab.o1[[#This Row],[W1_PDF]]/MAX(Tab.o1[W1_PDF]),"")</f>
        <v/>
      </c>
      <c r="AA1131" s="118" t="str">
        <f>IF(Tab.o1[[#This Row],[a1]]=1,ABS([1]!T.in.A[[#This Row],[oo6]]),"")</f>
        <v/>
      </c>
      <c r="AB1131" s="127" t="str">
        <f>IF(Tab.o1[[#This Row],[a1]]=1,IF(AE$3=0,"",IF(AB$3=0,ABS([1]!T.in.A[[#This Row],[oo9]]),ABS(Tab.o1[[#This Row],[DIF_Target.]]*Tab.o1[[#This Row],[W1_PDF]]))),"")</f>
        <v/>
      </c>
      <c r="AC1131" s="127" t="str">
        <f>IF(G$1=1,"",IF(Tab.o1[[#This Row],[a1]]=1,Tab.o1[[#This Row],[Wr]]^2,""))</f>
        <v/>
      </c>
      <c r="AD1131" s="118" t="str">
        <f>IF(Tab.o1[[#This Row],[a1]]=1,IF(AE$3=0,"",Tab.o1[[#This Row],[Wr2]]/SUM(Tab.o1[Wr2])),"")</f>
        <v/>
      </c>
      <c r="AE1131" s="128" t="str">
        <f>IF(Tab.o1[[#This Row],[a1]]=1,[1]!T.in.A[[#This Row],[oo10]],"")</f>
        <v/>
      </c>
      <c r="AF1131" s="118" t="str">
        <f>IF(Tab.o1[[#This Row],[a1]]=1,ABS(Tab.o1[[#This Row],[DIF_Target.]]*Tab.o1[[#This Row],[PDF2]]*Tab.o1[[#This Row],[IN]]),"")</f>
        <v/>
      </c>
      <c r="AG1131" s="129" t="str">
        <f>IF(Tab.o1[[#This Row],[a1]]=1,Tab.o1[[#This Row],[rW]]^2,"")</f>
        <v/>
      </c>
      <c r="AH1131" s="130" t="str">
        <f>IF(Tab.o1[[#This Row],[a1]]=1,IF(AH$3=0,Tab.o1[[#This Row],[rW2]],0.01+0.94*Tab.o1[[#This Row],[rW2]]/SUM(Tab.o1[rW2])),"")</f>
        <v/>
      </c>
      <c r="AI1131" s="128" t="str">
        <f>IF(Tab.o1[[#This Row],[a1]]=1,1/Tab.o1[[#This Row],[PDF]],"")</f>
        <v/>
      </c>
      <c r="AJ1131" s="131" t="str">
        <f>IF(Tab.o1[[#This Row],[a1]]=1,[1]!T_AA[[#This Row],[IN'']]*[1]!T_AA[[#This Row],[Qde'']],"")</f>
        <v/>
      </c>
      <c r="AK1131" s="132" t="str">
        <f>IF(Tab.o1[[#This Row],[a1]]=1,IF(AK$1=1,Tab.o1[[#This Row],[MED]]+Tab.o1[[#This Row],[MOD]]-Tab.o1[[#This Row],[MED]],""),"")</f>
        <v/>
      </c>
      <c r="AL1131" s="133" t="str">
        <f>IF(Tab.o1[[#This Row],[a1]]=1,[1]!T.in.A[[#This Row],[oo16]],"")</f>
        <v/>
      </c>
      <c r="AM1131" s="133" t="str">
        <f>IF(Tab.o1[[#This Row],[a1]]=1,IF(AM$3=1,[1]!T.in.A[[#This Row],[Σo16]],""),"")</f>
        <v/>
      </c>
      <c r="AN1131" s="126" t="str">
        <f>IF(Tab.o1[[#This Row],[a1]]=1,[1]!T.in.A[[#This Row],[Σp5]],"")</f>
        <v/>
      </c>
      <c r="AO1131" s="126" t="str">
        <f>IF(Tab.o1[[#This Row],[a1]]=1,IF(AO$3=1,[1]!T.in.A[[#This Row],[Σp5]],""),"")</f>
        <v/>
      </c>
      <c r="AP1131" s="110" t="str">
        <f>IF(Tab.o1[[#This Row],[a1]]=1,IF(ISNUMBER(Tab.o1[[#This Row],[i.]]),NORMDIST(Tab.o1[[#This Row],[Za]],0,1,FALSE)*Tab.o1[[#This Row],[i.]],0),"")</f>
        <v/>
      </c>
      <c r="AQ1131" s="125" t="str">
        <f>IF(Tab.o1[[#This Row],[a1]]=1,ABS(Tab.o1[[#This Row],[MOD]]-AVERAGE(Tab.o1[MOD])),"")</f>
        <v/>
      </c>
      <c r="AR1131" s="134" t="str">
        <f>IF(Tab.o1[[#This Row],[a1]]=1,Tab.o1[[#This Row],[OBS]]/SUM(Tab.o1[OBS]),"")</f>
        <v/>
      </c>
      <c r="AS1131" s="135" t="str">
        <f>IF(ISNUMBER(Tab.o1[[#This Row],[a1]]),ROW()-4,"")</f>
        <v/>
      </c>
      <c r="AT1131" s="136" t="str">
        <f>Tab.o1[[#This Row],[MOD]]</f>
        <v/>
      </c>
      <c r="AU1131" s="137" t="str">
        <f t="shared" si="69"/>
        <v/>
      </c>
      <c r="AV1131" s="138" t="str">
        <f t="shared" si="70"/>
        <v/>
      </c>
      <c r="AW1131" s="138" t="str">
        <f t="shared" si="71"/>
        <v/>
      </c>
      <c r="AX1131" s="139" t="str">
        <f>[1]!T.in.A[[#This Row],[ID_T_manu]]</f>
        <v/>
      </c>
      <c r="AY1131" s="140" t="str">
        <f>IF(ISNUMBER(Tab.o1[[#This Row],[a1]]),IF(AND(Tab.o1[[#This Row],[a1]]=1,Tab.o1[[#This Row],[b1]]&lt;=AY$4),#REF!,AY1130),"")</f>
        <v/>
      </c>
      <c r="AZ1131" s="25"/>
      <c r="BA1131" s="25"/>
      <c r="BB1131" s="25"/>
      <c r="BC1131" s="25"/>
      <c r="BD1131" s="25"/>
      <c r="BE1131" s="25"/>
      <c r="BF1131" s="25"/>
      <c r="BG1131" s="25"/>
      <c r="BH1131" s="25"/>
      <c r="BI1131" s="25"/>
      <c r="BJ1131" s="25"/>
      <c r="BK1131" s="25"/>
      <c r="BL1131" s="25"/>
      <c r="BM1131" s="25"/>
      <c r="BN1131" s="26"/>
      <c r="BO1131" s="26"/>
      <c r="BP1131" s="26"/>
      <c r="BQ1131" s="26"/>
      <c r="BR1131" s="26"/>
      <c r="BS1131" s="26"/>
      <c r="BT1131" s="26"/>
      <c r="BU1131" s="26"/>
      <c r="BV1131" s="26"/>
      <c r="BW1131" s="26"/>
      <c r="BX1131" s="26"/>
      <c r="BY1131" s="26"/>
      <c r="BZ1131" s="26"/>
      <c r="CA1131" s="26"/>
    </row>
    <row r="1132" spans="1:79" ht="15.75" hidden="1">
      <c r="A1132" s="109">
        <v>-6.9999999999999999E-6</v>
      </c>
      <c r="B1132" s="110">
        <f t="shared" si="68"/>
        <v>1132</v>
      </c>
      <c r="C1132" s="111" t="str">
        <f>IF(C$1=[1]!T.in.A[[#This Row],[oo2]],1,"")</f>
        <v/>
      </c>
      <c r="D1132" s="112" t="str">
        <f>IF(Tab.o1[[#This Row],[a1]]=1,IF(SUM(C1132:C1133)=0,0,IF(SUM(C1131:C1132)=1,1,IF(SUM(C1131:C1133)&gt;1,D1131+1,0))),"")</f>
        <v/>
      </c>
      <c r="E1132" s="113" t="str">
        <f>IF(Tab.o1[[#This Row],[a1]]=1,[1]!T.in.A[[#This Row],[oo1]],"")</f>
        <v/>
      </c>
      <c r="F1132" s="113" t="str">
        <f>IF(Tab.o1[[#This Row],[a1]]=1,[1]!T.in.A[[#This Row],[pp1]],"")</f>
        <v/>
      </c>
      <c r="G1132" s="114" t="str">
        <f>IF(Tab.o1[[#This Row],[a1]]=1,G$2+IF(G$1=1,0,Tab.o1[[#This Row],[.x1]])+[1]!T.in.A[[#This Row],[oo3]],"")</f>
        <v/>
      </c>
      <c r="H1132" s="115" t="str">
        <f>IF(Tab.o1[[#This Row],[a1]]=1,IF(H$2=0,0,IF(G$1=1,0,Tab.o1[[#This Row],[.x1]])+[1]!T.in.A[[#This Row],[oo4]]),"")</f>
        <v/>
      </c>
      <c r="I1132" s="116" t="str">
        <f>IF(Tab.o1[[#This Row],[a1]]=1,IF(J$2=0,Tab.o1[[#This Row],[MED]],Tab.o1[[#This Row],[MOD]]),"")</f>
        <v/>
      </c>
      <c r="J1132" s="116" t="str">
        <f>IF(Tab.o1[[#This Row],[a1]]=1,((Tab.o1[[#This Row],[DIF_Target.]]-AVERAGE(Tab.o1[DIF_Target.]))/_xlfn.STDEV.P(Tab.o1[DIF_Target.])),"")</f>
        <v/>
      </c>
      <c r="K1132" s="117" t="str">
        <f>IF(Tab.o1[[#This Row],[a1]]=1,IF(J$2=0,Tab.o1[[#This Row],[MOD]]-Tab.o1[[#This Row],[B]],IF(J$2=1,0,-Tab.o1[[#This Row],[MED]])+Tab.o1[[#This Row],[B]]),"")</f>
        <v/>
      </c>
      <c r="L1132" s="117" t="str">
        <f ca="1">IF(Tab.o1[[#This Row],[DIF_Target]]=0,IF(L$2=0,Tab.o1[[#This Row],[DIF_Target]],AVERAGE(OFFSET(Tab.o1[[#This Row],[DIF_Target]],1,0,L$3,1)))/3,Tab.o1[[#This Row],[DIF_Target]])</f>
        <v/>
      </c>
      <c r="M1132" s="118" t="str">
        <f>IF(Tab.o1[[#This Row],[a1]]=1,NORMSDIST(Tab.o1[[#This Row],[Za]]),"")</f>
        <v/>
      </c>
      <c r="N1132" s="119" t="str">
        <f>IF(Tab.o1[[#This Row],[a1]]=1,((Tab.o1[[#This Row],[MedMod]]-AVERAGE(Tab.o1[MedMod]))/_xlfn.STDEV.P(Tab.o1[MedMod])*H$1205)+G$1205,"")</f>
        <v/>
      </c>
      <c r="O1132" s="141" t="str">
        <f>IF(Tab.o1[[#This Row],[a1]]=1,Tab.o1[[#This Row],[Zb]]*_xlfn.STDEV.P(Tab.o1[MedMod])+AVERAGE(Tab.o1[MedMod]),"")</f>
        <v/>
      </c>
      <c r="P1132" s="117" t="str">
        <f ca="1">IF(Tab.o1[[#This Row],[B]]=0,AVERAGE(OFFSET(Tab.o1[[#This Row],[B]],1,0,L$3,1)),Tab.o1[[#This Row],[B]])</f>
        <v/>
      </c>
      <c r="Q1132" s="121" t="str">
        <f>IF(Tab.o1[[#This Row],[a1]]=1,NORMSDIST(Tab.o1[[#This Row],[Zb]]),"")</f>
        <v/>
      </c>
      <c r="R1132" s="122" t="str">
        <f>IF(Tab.o1[[#This Row],[a1]]=1,((Tab.o1[[#This Row],[MedMod]]-AVERAGE(Tab.o1[MedMod]))/_xlfn.STDEV.P(Tab.o1[MedMod])*H$1203)+G$1203,"")</f>
        <v/>
      </c>
      <c r="S1132" s="122" t="str">
        <f>IF(Tab.o1[[#This Row],[a1]]=1,((Tab.o1[[#This Row],[MedMod]]-AVERAGE(Tab.o1[MedMod]))/_xlfn.STDEV.P(Tab.o1[MedMod])*H$1204)+G$1204,"")</f>
        <v/>
      </c>
      <c r="T1132" s="123" t="str">
        <f>IF(Tab.o1[[#This Row],[a1]]=1,Tab.o1[[#This Row],[Z-]]*_xlfn.STDEV.P(Tab.o1[B])+AVERAGE(Tab.o1[B]),"")</f>
        <v/>
      </c>
      <c r="U1132" s="123" t="str">
        <f>IF(Tab.o1[[#This Row],[a1]]=1,Tab.o1[[#This Row],[z+]]*_xlfn.STDEV.P(Tab.o1[B])+AVERAGE(Tab.o1[B]),"")</f>
        <v/>
      </c>
      <c r="V1132" s="124" t="str">
        <f>IF(Tab.o1[[#This Row],[a1]]=1,ABS((ABS(Tab.o1[[#This Row],[Red]]-Tab.o1[[#This Row],[Blue]]))),"")</f>
        <v/>
      </c>
      <c r="W1132" s="125" t="str">
        <f>IF(Tab.o1[[#This Row],[a1]]=1,IF(W$3=0,1,Tab.o1[[#This Row],[Amp.]]*1/_xlfn.MINIFS(Tab.o1[Amp.],Tab.o1[Amp.],"&lt;&gt;0")),"")</f>
        <v/>
      </c>
      <c r="X1132" s="126" t="str">
        <f>IF(Tab.o1[[#This Row],[a1]]=1,IF(ISNUMBER(Tab.o1[[#This Row],[i.]]),NORMDIST(Tab.o1[[#This Row],[Za]],0,1,FALSE)*Tab.o1[[#This Row],[i.]],AP$3),"")</f>
        <v/>
      </c>
      <c r="Y1132" s="126" t="str">
        <f>IF(Tab.o1[[#This Row],[a1]]=1,0.01+0.94*Tab.o1[[#This Row],[PDF]]/MAX(Tab.o1[PDF]),"")</f>
        <v/>
      </c>
      <c r="Z1132" s="126" t="str">
        <f>IF(Tab.o1[[#This Row],[a1]]=1,0.01+0.94*Tab.o1[[#This Row],[W1_PDF]]/MAX(Tab.o1[W1_PDF]),"")</f>
        <v/>
      </c>
      <c r="AA1132" s="118" t="str">
        <f>IF(Tab.o1[[#This Row],[a1]]=1,ABS([1]!T.in.A[[#This Row],[oo6]]),"")</f>
        <v/>
      </c>
      <c r="AB1132" s="127" t="str">
        <f>IF(Tab.o1[[#This Row],[a1]]=1,IF(AE$3=0,"",IF(AB$3=0,ABS([1]!T.in.A[[#This Row],[oo9]]),ABS(Tab.o1[[#This Row],[DIF_Target.]]*Tab.o1[[#This Row],[W1_PDF]]))),"")</f>
        <v/>
      </c>
      <c r="AC1132" s="127" t="str">
        <f>IF(G$1=1,"",IF(Tab.o1[[#This Row],[a1]]=1,Tab.o1[[#This Row],[Wr]]^2,""))</f>
        <v/>
      </c>
      <c r="AD1132" s="118" t="str">
        <f>IF(Tab.o1[[#This Row],[a1]]=1,IF(AE$3=0,"",Tab.o1[[#This Row],[Wr2]]/SUM(Tab.o1[Wr2])),"")</f>
        <v/>
      </c>
      <c r="AE1132" s="128" t="str">
        <f>IF(Tab.o1[[#This Row],[a1]]=1,[1]!T.in.A[[#This Row],[oo10]],"")</f>
        <v/>
      </c>
      <c r="AF1132" s="118" t="str">
        <f>IF(Tab.o1[[#This Row],[a1]]=1,ABS(Tab.o1[[#This Row],[DIF_Target.]]*Tab.o1[[#This Row],[PDF2]]*Tab.o1[[#This Row],[IN]]),"")</f>
        <v/>
      </c>
      <c r="AG1132" s="129" t="str">
        <f>IF(Tab.o1[[#This Row],[a1]]=1,Tab.o1[[#This Row],[rW]]^2,"")</f>
        <v/>
      </c>
      <c r="AH1132" s="130" t="str">
        <f>IF(Tab.o1[[#This Row],[a1]]=1,IF(AH$3=0,Tab.o1[[#This Row],[rW2]],0.01+0.94*Tab.o1[[#This Row],[rW2]]/SUM(Tab.o1[rW2])),"")</f>
        <v/>
      </c>
      <c r="AI1132" s="128" t="str">
        <f>IF(Tab.o1[[#This Row],[a1]]=1,1/Tab.o1[[#This Row],[PDF]],"")</f>
        <v/>
      </c>
      <c r="AJ1132" s="131" t="str">
        <f>IF(Tab.o1[[#This Row],[a1]]=1,[1]!T_AA[[#This Row],[IN'']]*[1]!T_AA[[#This Row],[Qde'']],"")</f>
        <v/>
      </c>
      <c r="AK1132" s="132" t="str">
        <f>IF(Tab.o1[[#This Row],[a1]]=1,IF(AK$1=1,Tab.o1[[#This Row],[MED]]+Tab.o1[[#This Row],[MOD]]-Tab.o1[[#This Row],[MED]],""),"")</f>
        <v/>
      </c>
      <c r="AL1132" s="133" t="str">
        <f>IF(Tab.o1[[#This Row],[a1]]=1,[1]!T.in.A[[#This Row],[oo16]],"")</f>
        <v/>
      </c>
      <c r="AM1132" s="133" t="str">
        <f>IF(Tab.o1[[#This Row],[a1]]=1,IF(AM$3=1,[1]!T.in.A[[#This Row],[Σo16]],""),"")</f>
        <v/>
      </c>
      <c r="AN1132" s="126" t="str">
        <f>IF(Tab.o1[[#This Row],[a1]]=1,[1]!T.in.A[[#This Row],[Σp5]],"")</f>
        <v/>
      </c>
      <c r="AO1132" s="126" t="str">
        <f>IF(Tab.o1[[#This Row],[a1]]=1,IF(AO$3=1,[1]!T.in.A[[#This Row],[Σp5]],""),"")</f>
        <v/>
      </c>
      <c r="AP1132" s="110" t="str">
        <f>IF(Tab.o1[[#This Row],[a1]]=1,IF(ISNUMBER(Tab.o1[[#This Row],[i.]]),NORMDIST(Tab.o1[[#This Row],[Za]],0,1,FALSE)*Tab.o1[[#This Row],[i.]],0),"")</f>
        <v/>
      </c>
      <c r="AQ1132" s="125" t="str">
        <f>IF(Tab.o1[[#This Row],[a1]]=1,ABS(Tab.o1[[#This Row],[MOD]]-AVERAGE(Tab.o1[MOD])),"")</f>
        <v/>
      </c>
      <c r="AR1132" s="134" t="str">
        <f>IF(Tab.o1[[#This Row],[a1]]=1,Tab.o1[[#This Row],[OBS]]/SUM(Tab.o1[OBS]),"")</f>
        <v/>
      </c>
      <c r="AS1132" s="135" t="str">
        <f>IF(ISNUMBER(Tab.o1[[#This Row],[a1]]),ROW()-4,"")</f>
        <v/>
      </c>
      <c r="AT1132" s="136" t="str">
        <f>Tab.o1[[#This Row],[MOD]]</f>
        <v/>
      </c>
      <c r="AU1132" s="137" t="str">
        <f t="shared" si="69"/>
        <v/>
      </c>
      <c r="AV1132" s="138" t="str">
        <f t="shared" si="70"/>
        <v/>
      </c>
      <c r="AW1132" s="138" t="str">
        <f t="shared" si="71"/>
        <v/>
      </c>
      <c r="AX1132" s="139" t="str">
        <f>[1]!T.in.A[[#This Row],[ID_T_manu]]</f>
        <v/>
      </c>
      <c r="AY1132" s="140" t="str">
        <f>IF(ISNUMBER(Tab.o1[[#This Row],[a1]]),IF(AND(Tab.o1[[#This Row],[a1]]=1,Tab.o1[[#This Row],[b1]]&lt;=AY$4),#REF!,AY1131),"")</f>
        <v/>
      </c>
      <c r="AZ1132" s="25"/>
      <c r="BA1132" s="25"/>
      <c r="BB1132" s="25"/>
      <c r="BC1132" s="25"/>
      <c r="BD1132" s="25"/>
      <c r="BE1132" s="25"/>
      <c r="BF1132" s="25"/>
      <c r="BG1132" s="25"/>
      <c r="BH1132" s="25"/>
      <c r="BI1132" s="25"/>
      <c r="BJ1132" s="25"/>
      <c r="BK1132" s="25"/>
      <c r="BL1132" s="25"/>
      <c r="BM1132" s="25"/>
      <c r="BN1132" s="26"/>
      <c r="BO1132" s="26"/>
      <c r="BP1132" s="26"/>
      <c r="BQ1132" s="26"/>
      <c r="BR1132" s="26"/>
      <c r="BS1132" s="26"/>
      <c r="BT1132" s="26"/>
      <c r="BU1132" s="26"/>
      <c r="BV1132" s="26"/>
      <c r="BW1132" s="26"/>
      <c r="BX1132" s="26"/>
      <c r="BY1132" s="26"/>
      <c r="BZ1132" s="26"/>
      <c r="CA1132" s="26"/>
    </row>
    <row r="1133" spans="1:79" ht="15.75" hidden="1">
      <c r="A1133" s="109">
        <v>2.0000000000000003E-6</v>
      </c>
      <c r="B1133" s="110">
        <f t="shared" si="68"/>
        <v>1133</v>
      </c>
      <c r="C1133" s="111" t="str">
        <f>IF(C$1=[1]!T.in.A[[#This Row],[oo2]],1,"")</f>
        <v/>
      </c>
      <c r="D1133" s="112" t="str">
        <f>IF(Tab.o1[[#This Row],[a1]]=1,IF(SUM(C1133:C1134)=0,0,IF(SUM(C1132:C1133)=1,1,IF(SUM(C1132:C1134)&gt;1,D1132+1,0))),"")</f>
        <v/>
      </c>
      <c r="E1133" s="113" t="str">
        <f>IF(Tab.o1[[#This Row],[a1]]=1,[1]!T.in.A[[#This Row],[oo1]],"")</f>
        <v/>
      </c>
      <c r="F1133" s="113" t="str">
        <f>IF(Tab.o1[[#This Row],[a1]]=1,[1]!T.in.A[[#This Row],[pp1]],"")</f>
        <v/>
      </c>
      <c r="G1133" s="114" t="str">
        <f>IF(Tab.o1[[#This Row],[a1]]=1,G$2+IF(G$1=1,0,Tab.o1[[#This Row],[.x1]])+[1]!T.in.A[[#This Row],[oo3]],"")</f>
        <v/>
      </c>
      <c r="H1133" s="115" t="str">
        <f>IF(Tab.o1[[#This Row],[a1]]=1,IF(H$2=0,0,IF(G$1=1,0,Tab.o1[[#This Row],[.x1]])+[1]!T.in.A[[#This Row],[oo4]]),"")</f>
        <v/>
      </c>
      <c r="I1133" s="116" t="str">
        <f>IF(Tab.o1[[#This Row],[a1]]=1,IF(J$2=0,Tab.o1[[#This Row],[MED]],Tab.o1[[#This Row],[MOD]]),"")</f>
        <v/>
      </c>
      <c r="J1133" s="116" t="str">
        <f>IF(Tab.o1[[#This Row],[a1]]=1,((Tab.o1[[#This Row],[DIF_Target.]]-AVERAGE(Tab.o1[DIF_Target.]))/_xlfn.STDEV.P(Tab.o1[DIF_Target.])),"")</f>
        <v/>
      </c>
      <c r="K1133" s="117" t="str">
        <f>IF(Tab.o1[[#This Row],[a1]]=1,IF(J$2=0,Tab.o1[[#This Row],[MOD]]-Tab.o1[[#This Row],[B]],IF(J$2=1,0,-Tab.o1[[#This Row],[MED]])+Tab.o1[[#This Row],[B]]),"")</f>
        <v/>
      </c>
      <c r="L1133" s="117" t="str">
        <f ca="1">IF(Tab.o1[[#This Row],[DIF_Target]]=0,IF(L$2=0,Tab.o1[[#This Row],[DIF_Target]],AVERAGE(OFFSET(Tab.o1[[#This Row],[DIF_Target]],1,0,L$3,1)))/3,Tab.o1[[#This Row],[DIF_Target]])</f>
        <v/>
      </c>
      <c r="M1133" s="118" t="str">
        <f>IF(Tab.o1[[#This Row],[a1]]=1,NORMSDIST(Tab.o1[[#This Row],[Za]]),"")</f>
        <v/>
      </c>
      <c r="N1133" s="119" t="str">
        <f>IF(Tab.o1[[#This Row],[a1]]=1,((Tab.o1[[#This Row],[MedMod]]-AVERAGE(Tab.o1[MedMod]))/_xlfn.STDEV.P(Tab.o1[MedMod])*H$1205)+G$1205,"")</f>
        <v/>
      </c>
      <c r="O1133" s="141" t="str">
        <f>IF(Tab.o1[[#This Row],[a1]]=1,Tab.o1[[#This Row],[Zb]]*_xlfn.STDEV.P(Tab.o1[MedMod])+AVERAGE(Tab.o1[MedMod]),"")</f>
        <v/>
      </c>
      <c r="P1133" s="117" t="str">
        <f ca="1">IF(Tab.o1[[#This Row],[B]]=0,AVERAGE(OFFSET(Tab.o1[[#This Row],[B]],1,0,L$3,1)),Tab.o1[[#This Row],[B]])</f>
        <v/>
      </c>
      <c r="Q1133" s="121" t="str">
        <f>IF(Tab.o1[[#This Row],[a1]]=1,NORMSDIST(Tab.o1[[#This Row],[Zb]]),"")</f>
        <v/>
      </c>
      <c r="R1133" s="122" t="str">
        <f>IF(Tab.o1[[#This Row],[a1]]=1,((Tab.o1[[#This Row],[MedMod]]-AVERAGE(Tab.o1[MedMod]))/_xlfn.STDEV.P(Tab.o1[MedMod])*H$1203)+G$1203,"")</f>
        <v/>
      </c>
      <c r="S1133" s="122" t="str">
        <f>IF(Tab.o1[[#This Row],[a1]]=1,((Tab.o1[[#This Row],[MedMod]]-AVERAGE(Tab.o1[MedMod]))/_xlfn.STDEV.P(Tab.o1[MedMod])*H$1204)+G$1204,"")</f>
        <v/>
      </c>
      <c r="T1133" s="123" t="str">
        <f>IF(Tab.o1[[#This Row],[a1]]=1,Tab.o1[[#This Row],[Z-]]*_xlfn.STDEV.P(Tab.o1[B])+AVERAGE(Tab.o1[B]),"")</f>
        <v/>
      </c>
      <c r="U1133" s="123" t="str">
        <f>IF(Tab.o1[[#This Row],[a1]]=1,Tab.o1[[#This Row],[z+]]*_xlfn.STDEV.P(Tab.o1[B])+AVERAGE(Tab.o1[B]),"")</f>
        <v/>
      </c>
      <c r="V1133" s="124" t="str">
        <f>IF(Tab.o1[[#This Row],[a1]]=1,ABS((ABS(Tab.o1[[#This Row],[Red]]-Tab.o1[[#This Row],[Blue]]))),"")</f>
        <v/>
      </c>
      <c r="W1133" s="125" t="str">
        <f>IF(Tab.o1[[#This Row],[a1]]=1,IF(W$3=0,1,Tab.o1[[#This Row],[Amp.]]*1/_xlfn.MINIFS(Tab.o1[Amp.],Tab.o1[Amp.],"&lt;&gt;0")),"")</f>
        <v/>
      </c>
      <c r="X1133" s="126" t="str">
        <f>IF(Tab.o1[[#This Row],[a1]]=1,IF(ISNUMBER(Tab.o1[[#This Row],[i.]]),NORMDIST(Tab.o1[[#This Row],[Za]],0,1,FALSE)*Tab.o1[[#This Row],[i.]],AP$3),"")</f>
        <v/>
      </c>
      <c r="Y1133" s="126" t="str">
        <f>IF(Tab.o1[[#This Row],[a1]]=1,0.01+0.94*Tab.o1[[#This Row],[PDF]]/MAX(Tab.o1[PDF]),"")</f>
        <v/>
      </c>
      <c r="Z1133" s="126" t="str">
        <f>IF(Tab.o1[[#This Row],[a1]]=1,0.01+0.94*Tab.o1[[#This Row],[W1_PDF]]/MAX(Tab.o1[W1_PDF]),"")</f>
        <v/>
      </c>
      <c r="AA1133" s="118" t="str">
        <f>IF(Tab.o1[[#This Row],[a1]]=1,ABS([1]!T.in.A[[#This Row],[oo6]]),"")</f>
        <v/>
      </c>
      <c r="AB1133" s="127" t="str">
        <f>IF(Tab.o1[[#This Row],[a1]]=1,IF(AE$3=0,"",IF(AB$3=0,ABS([1]!T.in.A[[#This Row],[oo9]]),ABS(Tab.o1[[#This Row],[DIF_Target.]]*Tab.o1[[#This Row],[W1_PDF]]))),"")</f>
        <v/>
      </c>
      <c r="AC1133" s="127" t="str">
        <f>IF(G$1=1,"",IF(Tab.o1[[#This Row],[a1]]=1,Tab.o1[[#This Row],[Wr]]^2,""))</f>
        <v/>
      </c>
      <c r="AD1133" s="118" t="str">
        <f>IF(Tab.o1[[#This Row],[a1]]=1,IF(AE$3=0,"",Tab.o1[[#This Row],[Wr2]]/SUM(Tab.o1[Wr2])),"")</f>
        <v/>
      </c>
      <c r="AE1133" s="128" t="str">
        <f>IF(Tab.o1[[#This Row],[a1]]=1,[1]!T.in.A[[#This Row],[oo10]],"")</f>
        <v/>
      </c>
      <c r="AF1133" s="118" t="str">
        <f>IF(Tab.o1[[#This Row],[a1]]=1,ABS(Tab.o1[[#This Row],[DIF_Target.]]*Tab.o1[[#This Row],[PDF2]]*Tab.o1[[#This Row],[IN]]),"")</f>
        <v/>
      </c>
      <c r="AG1133" s="129" t="str">
        <f>IF(Tab.o1[[#This Row],[a1]]=1,Tab.o1[[#This Row],[rW]]^2,"")</f>
        <v/>
      </c>
      <c r="AH1133" s="130" t="str">
        <f>IF(Tab.o1[[#This Row],[a1]]=1,IF(AH$3=0,Tab.o1[[#This Row],[rW2]],0.01+0.94*Tab.o1[[#This Row],[rW2]]/SUM(Tab.o1[rW2])),"")</f>
        <v/>
      </c>
      <c r="AI1133" s="128" t="str">
        <f>IF(Tab.o1[[#This Row],[a1]]=1,1/Tab.o1[[#This Row],[PDF]],"")</f>
        <v/>
      </c>
      <c r="AJ1133" s="131" t="str">
        <f>IF(Tab.o1[[#This Row],[a1]]=1,[1]!T_AA[[#This Row],[IN'']]*[1]!T_AA[[#This Row],[Qde'']],"")</f>
        <v/>
      </c>
      <c r="AK1133" s="132" t="str">
        <f>IF(Tab.o1[[#This Row],[a1]]=1,IF(AK$1=1,Tab.o1[[#This Row],[MED]]+Tab.o1[[#This Row],[MOD]]-Tab.o1[[#This Row],[MED]],""),"")</f>
        <v/>
      </c>
      <c r="AL1133" s="133" t="str">
        <f>IF(Tab.o1[[#This Row],[a1]]=1,[1]!T.in.A[[#This Row],[oo16]],"")</f>
        <v/>
      </c>
      <c r="AM1133" s="133" t="str">
        <f>IF(Tab.o1[[#This Row],[a1]]=1,IF(AM$3=1,[1]!T.in.A[[#This Row],[Σo16]],""),"")</f>
        <v/>
      </c>
      <c r="AN1133" s="126" t="str">
        <f>IF(Tab.o1[[#This Row],[a1]]=1,[1]!T.in.A[[#This Row],[Σp5]],"")</f>
        <v/>
      </c>
      <c r="AO1133" s="126" t="str">
        <f>IF(Tab.o1[[#This Row],[a1]]=1,IF(AO$3=1,[1]!T.in.A[[#This Row],[Σp5]],""),"")</f>
        <v/>
      </c>
      <c r="AP1133" s="110" t="str">
        <f>IF(Tab.o1[[#This Row],[a1]]=1,IF(ISNUMBER(Tab.o1[[#This Row],[i.]]),NORMDIST(Tab.o1[[#This Row],[Za]],0,1,FALSE)*Tab.o1[[#This Row],[i.]],0),"")</f>
        <v/>
      </c>
      <c r="AQ1133" s="125" t="str">
        <f>IF(Tab.o1[[#This Row],[a1]]=1,ABS(Tab.o1[[#This Row],[MOD]]-AVERAGE(Tab.o1[MOD])),"")</f>
        <v/>
      </c>
      <c r="AR1133" s="134" t="str">
        <f>IF(Tab.o1[[#This Row],[a1]]=1,Tab.o1[[#This Row],[OBS]]/SUM(Tab.o1[OBS]),"")</f>
        <v/>
      </c>
      <c r="AS1133" s="135" t="str">
        <f>IF(ISNUMBER(Tab.o1[[#This Row],[a1]]),ROW()-4,"")</f>
        <v/>
      </c>
      <c r="AT1133" s="136" t="str">
        <f>Tab.o1[[#This Row],[MOD]]</f>
        <v/>
      </c>
      <c r="AU1133" s="137" t="str">
        <f t="shared" si="69"/>
        <v/>
      </c>
      <c r="AV1133" s="138" t="str">
        <f t="shared" si="70"/>
        <v/>
      </c>
      <c r="AW1133" s="138" t="str">
        <f t="shared" si="71"/>
        <v/>
      </c>
      <c r="AX1133" s="139" t="str">
        <f>[1]!T.in.A[[#This Row],[ID_T_manu]]</f>
        <v/>
      </c>
      <c r="AY1133" s="140" t="str">
        <f>IF(ISNUMBER(Tab.o1[[#This Row],[a1]]),IF(AND(Tab.o1[[#This Row],[a1]]=1,Tab.o1[[#This Row],[b1]]&lt;=AY$4),#REF!,AY1132),"")</f>
        <v/>
      </c>
      <c r="AZ1133" s="25"/>
      <c r="BA1133" s="25"/>
      <c r="BB1133" s="25"/>
      <c r="BC1133" s="25"/>
      <c r="BD1133" s="25"/>
      <c r="BE1133" s="25"/>
      <c r="BF1133" s="25"/>
      <c r="BG1133" s="25"/>
      <c r="BH1133" s="25"/>
      <c r="BI1133" s="25"/>
      <c r="BJ1133" s="25"/>
      <c r="BK1133" s="25"/>
      <c r="BL1133" s="25"/>
      <c r="BM1133" s="25"/>
      <c r="BN1133" s="26"/>
      <c r="BO1133" s="26"/>
      <c r="BP1133" s="26"/>
      <c r="BQ1133" s="26"/>
      <c r="BR1133" s="26"/>
      <c r="BS1133" s="26"/>
      <c r="BT1133" s="26"/>
      <c r="BU1133" s="26"/>
      <c r="BV1133" s="26"/>
      <c r="BW1133" s="26"/>
      <c r="BX1133" s="26"/>
      <c r="BY1133" s="26"/>
      <c r="BZ1133" s="26"/>
      <c r="CA1133" s="26"/>
    </row>
    <row r="1134" spans="1:79" ht="15.75" hidden="1">
      <c r="A1134" s="109">
        <v>-1.0000000000000001E-5</v>
      </c>
      <c r="B1134" s="110">
        <f t="shared" si="68"/>
        <v>1134</v>
      </c>
      <c r="C1134" s="111" t="str">
        <f>IF(C$1=[1]!T.in.A[[#This Row],[oo2]],1,"")</f>
        <v/>
      </c>
      <c r="D1134" s="112" t="str">
        <f>IF(Tab.o1[[#This Row],[a1]]=1,IF(SUM(C1134:C1135)=0,0,IF(SUM(C1133:C1134)=1,1,IF(SUM(C1133:C1135)&gt;1,D1133+1,0))),"")</f>
        <v/>
      </c>
      <c r="E1134" s="113" t="str">
        <f>IF(Tab.o1[[#This Row],[a1]]=1,[1]!T.in.A[[#This Row],[oo1]],"")</f>
        <v/>
      </c>
      <c r="F1134" s="113" t="str">
        <f>IF(Tab.o1[[#This Row],[a1]]=1,[1]!T.in.A[[#This Row],[pp1]],"")</f>
        <v/>
      </c>
      <c r="G1134" s="114" t="str">
        <f>IF(Tab.o1[[#This Row],[a1]]=1,G$2+IF(G$1=1,0,Tab.o1[[#This Row],[.x1]])+[1]!T.in.A[[#This Row],[oo3]],"")</f>
        <v/>
      </c>
      <c r="H1134" s="115" t="str">
        <f>IF(Tab.o1[[#This Row],[a1]]=1,IF(H$2=0,0,IF(G$1=1,0,Tab.o1[[#This Row],[.x1]])+[1]!T.in.A[[#This Row],[oo4]]),"")</f>
        <v/>
      </c>
      <c r="I1134" s="116" t="str">
        <f>IF(Tab.o1[[#This Row],[a1]]=1,IF(J$2=0,Tab.o1[[#This Row],[MED]],Tab.o1[[#This Row],[MOD]]),"")</f>
        <v/>
      </c>
      <c r="J1134" s="116" t="str">
        <f>IF(Tab.o1[[#This Row],[a1]]=1,((Tab.o1[[#This Row],[DIF_Target.]]-AVERAGE(Tab.o1[DIF_Target.]))/_xlfn.STDEV.P(Tab.o1[DIF_Target.])),"")</f>
        <v/>
      </c>
      <c r="K1134" s="117" t="str">
        <f>IF(Tab.o1[[#This Row],[a1]]=1,IF(J$2=0,Tab.o1[[#This Row],[MOD]]-Tab.o1[[#This Row],[B]],IF(J$2=1,0,-Tab.o1[[#This Row],[MED]])+Tab.o1[[#This Row],[B]]),"")</f>
        <v/>
      </c>
      <c r="L1134" s="117" t="str">
        <f ca="1">IF(Tab.o1[[#This Row],[DIF_Target]]=0,IF(L$2=0,Tab.o1[[#This Row],[DIF_Target]],AVERAGE(OFFSET(Tab.o1[[#This Row],[DIF_Target]],1,0,L$3,1)))/3,Tab.o1[[#This Row],[DIF_Target]])</f>
        <v/>
      </c>
      <c r="M1134" s="118" t="str">
        <f>IF(Tab.o1[[#This Row],[a1]]=1,NORMSDIST(Tab.o1[[#This Row],[Za]]),"")</f>
        <v/>
      </c>
      <c r="N1134" s="119" t="str">
        <f>IF(Tab.o1[[#This Row],[a1]]=1,((Tab.o1[[#This Row],[MedMod]]-AVERAGE(Tab.o1[MedMod]))/_xlfn.STDEV.P(Tab.o1[MedMod])*H$1205)+G$1205,"")</f>
        <v/>
      </c>
      <c r="O1134" s="141" t="str">
        <f>IF(Tab.o1[[#This Row],[a1]]=1,Tab.o1[[#This Row],[Zb]]*_xlfn.STDEV.P(Tab.o1[MedMod])+AVERAGE(Tab.o1[MedMod]),"")</f>
        <v/>
      </c>
      <c r="P1134" s="117" t="str">
        <f ca="1">IF(Tab.o1[[#This Row],[B]]=0,AVERAGE(OFFSET(Tab.o1[[#This Row],[B]],1,0,L$3,1)),Tab.o1[[#This Row],[B]])</f>
        <v/>
      </c>
      <c r="Q1134" s="121" t="str">
        <f>IF(Tab.o1[[#This Row],[a1]]=1,NORMSDIST(Tab.o1[[#This Row],[Zb]]),"")</f>
        <v/>
      </c>
      <c r="R1134" s="122" t="str">
        <f>IF(Tab.o1[[#This Row],[a1]]=1,((Tab.o1[[#This Row],[MedMod]]-AVERAGE(Tab.o1[MedMod]))/_xlfn.STDEV.P(Tab.o1[MedMod])*H$1203)+G$1203,"")</f>
        <v/>
      </c>
      <c r="S1134" s="122" t="str">
        <f>IF(Tab.o1[[#This Row],[a1]]=1,((Tab.o1[[#This Row],[MedMod]]-AVERAGE(Tab.o1[MedMod]))/_xlfn.STDEV.P(Tab.o1[MedMod])*H$1204)+G$1204,"")</f>
        <v/>
      </c>
      <c r="T1134" s="123" t="str">
        <f>IF(Tab.o1[[#This Row],[a1]]=1,Tab.o1[[#This Row],[Z-]]*_xlfn.STDEV.P(Tab.o1[B])+AVERAGE(Tab.o1[B]),"")</f>
        <v/>
      </c>
      <c r="U1134" s="123" t="str">
        <f>IF(Tab.o1[[#This Row],[a1]]=1,Tab.o1[[#This Row],[z+]]*_xlfn.STDEV.P(Tab.o1[B])+AVERAGE(Tab.o1[B]),"")</f>
        <v/>
      </c>
      <c r="V1134" s="124" t="str">
        <f>IF(Tab.o1[[#This Row],[a1]]=1,ABS((ABS(Tab.o1[[#This Row],[Red]]-Tab.o1[[#This Row],[Blue]]))),"")</f>
        <v/>
      </c>
      <c r="W1134" s="125" t="str">
        <f>IF(Tab.o1[[#This Row],[a1]]=1,IF(W$3=0,1,Tab.o1[[#This Row],[Amp.]]*1/_xlfn.MINIFS(Tab.o1[Amp.],Tab.o1[Amp.],"&lt;&gt;0")),"")</f>
        <v/>
      </c>
      <c r="X1134" s="126" t="str">
        <f>IF(Tab.o1[[#This Row],[a1]]=1,IF(ISNUMBER(Tab.o1[[#This Row],[i.]]),NORMDIST(Tab.o1[[#This Row],[Za]],0,1,FALSE)*Tab.o1[[#This Row],[i.]],AP$3),"")</f>
        <v/>
      </c>
      <c r="Y1134" s="126" t="str">
        <f>IF(Tab.o1[[#This Row],[a1]]=1,0.01+0.94*Tab.o1[[#This Row],[PDF]]/MAX(Tab.o1[PDF]),"")</f>
        <v/>
      </c>
      <c r="Z1134" s="126" t="str">
        <f>IF(Tab.o1[[#This Row],[a1]]=1,0.01+0.94*Tab.o1[[#This Row],[W1_PDF]]/MAX(Tab.o1[W1_PDF]),"")</f>
        <v/>
      </c>
      <c r="AA1134" s="118" t="str">
        <f>IF(Tab.o1[[#This Row],[a1]]=1,ABS([1]!T.in.A[[#This Row],[oo6]]),"")</f>
        <v/>
      </c>
      <c r="AB1134" s="127" t="str">
        <f>IF(Tab.o1[[#This Row],[a1]]=1,IF(AE$3=0,"",IF(AB$3=0,ABS([1]!T.in.A[[#This Row],[oo9]]),ABS(Tab.o1[[#This Row],[DIF_Target.]]*Tab.o1[[#This Row],[W1_PDF]]))),"")</f>
        <v/>
      </c>
      <c r="AC1134" s="127" t="str">
        <f>IF(G$1=1,"",IF(Tab.o1[[#This Row],[a1]]=1,Tab.o1[[#This Row],[Wr]]^2,""))</f>
        <v/>
      </c>
      <c r="AD1134" s="118" t="str">
        <f>IF(Tab.o1[[#This Row],[a1]]=1,IF(AE$3=0,"",Tab.o1[[#This Row],[Wr2]]/SUM(Tab.o1[Wr2])),"")</f>
        <v/>
      </c>
      <c r="AE1134" s="128" t="str">
        <f>IF(Tab.o1[[#This Row],[a1]]=1,[1]!T.in.A[[#This Row],[oo10]],"")</f>
        <v/>
      </c>
      <c r="AF1134" s="118" t="str">
        <f>IF(Tab.o1[[#This Row],[a1]]=1,ABS(Tab.o1[[#This Row],[DIF_Target.]]*Tab.o1[[#This Row],[PDF2]]*Tab.o1[[#This Row],[IN]]),"")</f>
        <v/>
      </c>
      <c r="AG1134" s="129" t="str">
        <f>IF(Tab.o1[[#This Row],[a1]]=1,Tab.o1[[#This Row],[rW]]^2,"")</f>
        <v/>
      </c>
      <c r="AH1134" s="130" t="str">
        <f>IF(Tab.o1[[#This Row],[a1]]=1,IF(AH$3=0,Tab.o1[[#This Row],[rW2]],0.01+0.94*Tab.o1[[#This Row],[rW2]]/SUM(Tab.o1[rW2])),"")</f>
        <v/>
      </c>
      <c r="AI1134" s="128" t="str">
        <f>IF(Tab.o1[[#This Row],[a1]]=1,1/Tab.o1[[#This Row],[PDF]],"")</f>
        <v/>
      </c>
      <c r="AJ1134" s="131" t="str">
        <f>IF(Tab.o1[[#This Row],[a1]]=1,[1]!T_AA[[#This Row],[IN'']]*[1]!T_AA[[#This Row],[Qde'']],"")</f>
        <v/>
      </c>
      <c r="AK1134" s="132" t="str">
        <f>IF(Tab.o1[[#This Row],[a1]]=1,IF(AK$1=1,Tab.o1[[#This Row],[MED]]+Tab.o1[[#This Row],[MOD]]-Tab.o1[[#This Row],[MED]],""),"")</f>
        <v/>
      </c>
      <c r="AL1134" s="133" t="str">
        <f>IF(Tab.o1[[#This Row],[a1]]=1,[1]!T.in.A[[#This Row],[oo16]],"")</f>
        <v/>
      </c>
      <c r="AM1134" s="133" t="str">
        <f>IF(Tab.o1[[#This Row],[a1]]=1,IF(AM$3=1,[1]!T.in.A[[#This Row],[Σo16]],""),"")</f>
        <v/>
      </c>
      <c r="AN1134" s="126" t="str">
        <f>IF(Tab.o1[[#This Row],[a1]]=1,[1]!T.in.A[[#This Row],[Σp5]],"")</f>
        <v/>
      </c>
      <c r="AO1134" s="126" t="str">
        <f>IF(Tab.o1[[#This Row],[a1]]=1,IF(AO$3=1,[1]!T.in.A[[#This Row],[Σp5]],""),"")</f>
        <v/>
      </c>
      <c r="AP1134" s="110" t="str">
        <f>IF(Tab.o1[[#This Row],[a1]]=1,IF(ISNUMBER(Tab.o1[[#This Row],[i.]]),NORMDIST(Tab.o1[[#This Row],[Za]],0,1,FALSE)*Tab.o1[[#This Row],[i.]],0),"")</f>
        <v/>
      </c>
      <c r="AQ1134" s="125" t="str">
        <f>IF(Tab.o1[[#This Row],[a1]]=1,ABS(Tab.o1[[#This Row],[MOD]]-AVERAGE(Tab.o1[MOD])),"")</f>
        <v/>
      </c>
      <c r="AR1134" s="134" t="str">
        <f>IF(Tab.o1[[#This Row],[a1]]=1,Tab.o1[[#This Row],[OBS]]/SUM(Tab.o1[OBS]),"")</f>
        <v/>
      </c>
      <c r="AS1134" s="135" t="str">
        <f>IF(ISNUMBER(Tab.o1[[#This Row],[a1]]),ROW()-4,"")</f>
        <v/>
      </c>
      <c r="AT1134" s="136" t="str">
        <f>Tab.o1[[#This Row],[MOD]]</f>
        <v/>
      </c>
      <c r="AU1134" s="137" t="str">
        <f t="shared" si="69"/>
        <v/>
      </c>
      <c r="AV1134" s="138" t="str">
        <f t="shared" si="70"/>
        <v/>
      </c>
      <c r="AW1134" s="138" t="str">
        <f t="shared" si="71"/>
        <v/>
      </c>
      <c r="AX1134" s="139" t="str">
        <f>[1]!T.in.A[[#This Row],[ID_T_manu]]</f>
        <v/>
      </c>
      <c r="AY1134" s="140" t="str">
        <f>IF(ISNUMBER(Tab.o1[[#This Row],[a1]]),IF(AND(Tab.o1[[#This Row],[a1]]=1,Tab.o1[[#This Row],[b1]]&lt;=AY$4),#REF!,AY1133),"")</f>
        <v/>
      </c>
      <c r="AZ1134" s="25"/>
      <c r="BA1134" s="25"/>
      <c r="BB1134" s="25"/>
      <c r="BC1134" s="25"/>
      <c r="BD1134" s="25"/>
      <c r="BE1134" s="25"/>
      <c r="BF1134" s="25"/>
      <c r="BG1134" s="25"/>
      <c r="BH1134" s="25"/>
      <c r="BI1134" s="25"/>
      <c r="BJ1134" s="25"/>
      <c r="BK1134" s="25"/>
      <c r="BL1134" s="25"/>
      <c r="BM1134" s="25"/>
      <c r="BN1134" s="26"/>
      <c r="BO1134" s="26"/>
      <c r="BP1134" s="26"/>
      <c r="BQ1134" s="26"/>
      <c r="BR1134" s="26"/>
      <c r="BS1134" s="26"/>
      <c r="BT1134" s="26"/>
      <c r="BU1134" s="26"/>
      <c r="BV1134" s="26"/>
      <c r="BW1134" s="26"/>
      <c r="BX1134" s="26"/>
      <c r="BY1134" s="26"/>
      <c r="BZ1134" s="26"/>
      <c r="CA1134" s="26"/>
    </row>
    <row r="1135" spans="1:79" ht="15.75" hidden="1">
      <c r="A1135" s="109">
        <v>6.9999999999999999E-6</v>
      </c>
      <c r="B1135" s="110">
        <f t="shared" si="68"/>
        <v>1135</v>
      </c>
      <c r="C1135" s="111" t="str">
        <f>IF(C$1=[1]!T.in.A[[#This Row],[oo2]],1,"")</f>
        <v/>
      </c>
      <c r="D1135" s="112" t="str">
        <f>IF(Tab.o1[[#This Row],[a1]]=1,IF(SUM(C1135:C1136)=0,0,IF(SUM(C1134:C1135)=1,1,IF(SUM(C1134:C1136)&gt;1,D1134+1,0))),"")</f>
        <v/>
      </c>
      <c r="E1135" s="113" t="str">
        <f>IF(Tab.o1[[#This Row],[a1]]=1,[1]!T.in.A[[#This Row],[oo1]],"")</f>
        <v/>
      </c>
      <c r="F1135" s="113" t="str">
        <f>IF(Tab.o1[[#This Row],[a1]]=1,[1]!T.in.A[[#This Row],[pp1]],"")</f>
        <v/>
      </c>
      <c r="G1135" s="114" t="str">
        <f>IF(Tab.o1[[#This Row],[a1]]=1,G$2+IF(G$1=1,0,Tab.o1[[#This Row],[.x1]])+[1]!T.in.A[[#This Row],[oo3]],"")</f>
        <v/>
      </c>
      <c r="H1135" s="115" t="str">
        <f>IF(Tab.o1[[#This Row],[a1]]=1,IF(H$2=0,0,IF(G$1=1,0,Tab.o1[[#This Row],[.x1]])+[1]!T.in.A[[#This Row],[oo4]]),"")</f>
        <v/>
      </c>
      <c r="I1135" s="116" t="str">
        <f>IF(Tab.o1[[#This Row],[a1]]=1,IF(J$2=0,Tab.o1[[#This Row],[MED]],Tab.o1[[#This Row],[MOD]]),"")</f>
        <v/>
      </c>
      <c r="J1135" s="116" t="str">
        <f>IF(Tab.o1[[#This Row],[a1]]=1,((Tab.o1[[#This Row],[DIF_Target.]]-AVERAGE(Tab.o1[DIF_Target.]))/_xlfn.STDEV.P(Tab.o1[DIF_Target.])),"")</f>
        <v/>
      </c>
      <c r="K1135" s="117" t="str">
        <f>IF(Tab.o1[[#This Row],[a1]]=1,IF(J$2=0,Tab.o1[[#This Row],[MOD]]-Tab.o1[[#This Row],[B]],IF(J$2=1,0,-Tab.o1[[#This Row],[MED]])+Tab.o1[[#This Row],[B]]),"")</f>
        <v/>
      </c>
      <c r="L1135" s="117" t="str">
        <f ca="1">IF(Tab.o1[[#This Row],[DIF_Target]]=0,IF(L$2=0,Tab.o1[[#This Row],[DIF_Target]],AVERAGE(OFFSET(Tab.o1[[#This Row],[DIF_Target]],1,0,L$3,1)))/3,Tab.o1[[#This Row],[DIF_Target]])</f>
        <v/>
      </c>
      <c r="M1135" s="118" t="str">
        <f>IF(Tab.o1[[#This Row],[a1]]=1,NORMSDIST(Tab.o1[[#This Row],[Za]]),"")</f>
        <v/>
      </c>
      <c r="N1135" s="119" t="str">
        <f>IF(Tab.o1[[#This Row],[a1]]=1,((Tab.o1[[#This Row],[MedMod]]-AVERAGE(Tab.o1[MedMod]))/_xlfn.STDEV.P(Tab.o1[MedMod])*H$1205)+G$1205,"")</f>
        <v/>
      </c>
      <c r="O1135" s="141" t="str">
        <f>IF(Tab.o1[[#This Row],[a1]]=1,Tab.o1[[#This Row],[Zb]]*_xlfn.STDEV.P(Tab.o1[MedMod])+AVERAGE(Tab.o1[MedMod]),"")</f>
        <v/>
      </c>
      <c r="P1135" s="117" t="str">
        <f ca="1">IF(Tab.o1[[#This Row],[B]]=0,AVERAGE(OFFSET(Tab.o1[[#This Row],[B]],1,0,L$3,1)),Tab.o1[[#This Row],[B]])</f>
        <v/>
      </c>
      <c r="Q1135" s="121" t="str">
        <f>IF(Tab.o1[[#This Row],[a1]]=1,NORMSDIST(Tab.o1[[#This Row],[Zb]]),"")</f>
        <v/>
      </c>
      <c r="R1135" s="122" t="str">
        <f>IF(Tab.o1[[#This Row],[a1]]=1,((Tab.o1[[#This Row],[MedMod]]-AVERAGE(Tab.o1[MedMod]))/_xlfn.STDEV.P(Tab.o1[MedMod])*H$1203)+G$1203,"")</f>
        <v/>
      </c>
      <c r="S1135" s="122" t="str">
        <f>IF(Tab.o1[[#This Row],[a1]]=1,((Tab.o1[[#This Row],[MedMod]]-AVERAGE(Tab.o1[MedMod]))/_xlfn.STDEV.P(Tab.o1[MedMod])*H$1204)+G$1204,"")</f>
        <v/>
      </c>
      <c r="T1135" s="123" t="str">
        <f>IF(Tab.o1[[#This Row],[a1]]=1,Tab.o1[[#This Row],[Z-]]*_xlfn.STDEV.P(Tab.o1[B])+AVERAGE(Tab.o1[B]),"")</f>
        <v/>
      </c>
      <c r="U1135" s="123" t="str">
        <f>IF(Tab.o1[[#This Row],[a1]]=1,Tab.o1[[#This Row],[z+]]*_xlfn.STDEV.P(Tab.o1[B])+AVERAGE(Tab.o1[B]),"")</f>
        <v/>
      </c>
      <c r="V1135" s="124" t="str">
        <f>IF(Tab.o1[[#This Row],[a1]]=1,ABS((ABS(Tab.o1[[#This Row],[Red]]-Tab.o1[[#This Row],[Blue]]))),"")</f>
        <v/>
      </c>
      <c r="W1135" s="125" t="str">
        <f>IF(Tab.o1[[#This Row],[a1]]=1,IF(W$3=0,1,Tab.o1[[#This Row],[Amp.]]*1/_xlfn.MINIFS(Tab.o1[Amp.],Tab.o1[Amp.],"&lt;&gt;0")),"")</f>
        <v/>
      </c>
      <c r="X1135" s="126" t="str">
        <f>IF(Tab.o1[[#This Row],[a1]]=1,IF(ISNUMBER(Tab.o1[[#This Row],[i.]]),NORMDIST(Tab.o1[[#This Row],[Za]],0,1,FALSE)*Tab.o1[[#This Row],[i.]],AP$3),"")</f>
        <v/>
      </c>
      <c r="Y1135" s="126" t="str">
        <f>IF(Tab.o1[[#This Row],[a1]]=1,0.01+0.94*Tab.o1[[#This Row],[PDF]]/MAX(Tab.o1[PDF]),"")</f>
        <v/>
      </c>
      <c r="Z1135" s="126" t="str">
        <f>IF(Tab.o1[[#This Row],[a1]]=1,0.01+0.94*Tab.o1[[#This Row],[W1_PDF]]/MAX(Tab.o1[W1_PDF]),"")</f>
        <v/>
      </c>
      <c r="AA1135" s="118" t="str">
        <f>IF(Tab.o1[[#This Row],[a1]]=1,ABS([1]!T.in.A[[#This Row],[oo6]]),"")</f>
        <v/>
      </c>
      <c r="AB1135" s="127" t="str">
        <f>IF(Tab.o1[[#This Row],[a1]]=1,IF(AE$3=0,"",IF(AB$3=0,ABS([1]!T.in.A[[#This Row],[oo9]]),ABS(Tab.o1[[#This Row],[DIF_Target.]]*Tab.o1[[#This Row],[W1_PDF]]))),"")</f>
        <v/>
      </c>
      <c r="AC1135" s="127" t="str">
        <f>IF(G$1=1,"",IF(Tab.o1[[#This Row],[a1]]=1,Tab.o1[[#This Row],[Wr]]^2,""))</f>
        <v/>
      </c>
      <c r="AD1135" s="118" t="str">
        <f>IF(Tab.o1[[#This Row],[a1]]=1,IF(AE$3=0,"",Tab.o1[[#This Row],[Wr2]]/SUM(Tab.o1[Wr2])),"")</f>
        <v/>
      </c>
      <c r="AE1135" s="128" t="str">
        <f>IF(Tab.o1[[#This Row],[a1]]=1,[1]!T.in.A[[#This Row],[oo10]],"")</f>
        <v/>
      </c>
      <c r="AF1135" s="118" t="str">
        <f>IF(Tab.o1[[#This Row],[a1]]=1,ABS(Tab.o1[[#This Row],[DIF_Target.]]*Tab.o1[[#This Row],[PDF2]]*Tab.o1[[#This Row],[IN]]),"")</f>
        <v/>
      </c>
      <c r="AG1135" s="129" t="str">
        <f>IF(Tab.o1[[#This Row],[a1]]=1,Tab.o1[[#This Row],[rW]]^2,"")</f>
        <v/>
      </c>
      <c r="AH1135" s="130" t="str">
        <f>IF(Tab.o1[[#This Row],[a1]]=1,IF(AH$3=0,Tab.o1[[#This Row],[rW2]],0.01+0.94*Tab.o1[[#This Row],[rW2]]/SUM(Tab.o1[rW2])),"")</f>
        <v/>
      </c>
      <c r="AI1135" s="128" t="str">
        <f>IF(Tab.o1[[#This Row],[a1]]=1,1/Tab.o1[[#This Row],[PDF]],"")</f>
        <v/>
      </c>
      <c r="AJ1135" s="131" t="str">
        <f>IF(Tab.o1[[#This Row],[a1]]=1,[1]!T_AA[[#This Row],[IN'']]*[1]!T_AA[[#This Row],[Qde'']],"")</f>
        <v/>
      </c>
      <c r="AK1135" s="132" t="str">
        <f>IF(Tab.o1[[#This Row],[a1]]=1,IF(AK$1=1,Tab.o1[[#This Row],[MED]]+Tab.o1[[#This Row],[MOD]]-Tab.o1[[#This Row],[MED]],""),"")</f>
        <v/>
      </c>
      <c r="AL1135" s="133" t="str">
        <f>IF(Tab.o1[[#This Row],[a1]]=1,[1]!T.in.A[[#This Row],[oo16]],"")</f>
        <v/>
      </c>
      <c r="AM1135" s="133" t="str">
        <f>IF(Tab.o1[[#This Row],[a1]]=1,IF(AM$3=1,[1]!T.in.A[[#This Row],[Σo16]],""),"")</f>
        <v/>
      </c>
      <c r="AN1135" s="126" t="str">
        <f>IF(Tab.o1[[#This Row],[a1]]=1,[1]!T.in.A[[#This Row],[Σp5]],"")</f>
        <v/>
      </c>
      <c r="AO1135" s="126" t="str">
        <f>IF(Tab.o1[[#This Row],[a1]]=1,IF(AO$3=1,[1]!T.in.A[[#This Row],[Σp5]],""),"")</f>
        <v/>
      </c>
      <c r="AP1135" s="110" t="str">
        <f>IF(Tab.o1[[#This Row],[a1]]=1,IF(ISNUMBER(Tab.o1[[#This Row],[i.]]),NORMDIST(Tab.o1[[#This Row],[Za]],0,1,FALSE)*Tab.o1[[#This Row],[i.]],0),"")</f>
        <v/>
      </c>
      <c r="AQ1135" s="125" t="str">
        <f>IF(Tab.o1[[#This Row],[a1]]=1,ABS(Tab.o1[[#This Row],[MOD]]-AVERAGE(Tab.o1[MOD])),"")</f>
        <v/>
      </c>
      <c r="AR1135" s="134" t="str">
        <f>IF(Tab.o1[[#This Row],[a1]]=1,Tab.o1[[#This Row],[OBS]]/SUM(Tab.o1[OBS]),"")</f>
        <v/>
      </c>
      <c r="AS1135" s="135" t="str">
        <f>IF(ISNUMBER(Tab.o1[[#This Row],[a1]]),ROW()-4,"")</f>
        <v/>
      </c>
      <c r="AT1135" s="136" t="str">
        <f>Tab.o1[[#This Row],[MOD]]</f>
        <v/>
      </c>
      <c r="AU1135" s="137" t="str">
        <f t="shared" si="69"/>
        <v/>
      </c>
      <c r="AV1135" s="138" t="str">
        <f t="shared" si="70"/>
        <v/>
      </c>
      <c r="AW1135" s="138" t="str">
        <f t="shared" si="71"/>
        <v/>
      </c>
      <c r="AX1135" s="139" t="str">
        <f>[1]!T.in.A[[#This Row],[ID_T_manu]]</f>
        <v/>
      </c>
      <c r="AY1135" s="140" t="str">
        <f>IF(ISNUMBER(Tab.o1[[#This Row],[a1]]),IF(AND(Tab.o1[[#This Row],[a1]]=1,Tab.o1[[#This Row],[b1]]&lt;=AY$4),#REF!,AY1134),"")</f>
        <v/>
      </c>
      <c r="AZ1135" s="25"/>
      <c r="BA1135" s="25"/>
      <c r="BB1135" s="25"/>
      <c r="BC1135" s="25"/>
      <c r="BD1135" s="25"/>
      <c r="BE1135" s="25"/>
      <c r="BF1135" s="25"/>
      <c r="BG1135" s="25"/>
      <c r="BH1135" s="25"/>
      <c r="BI1135" s="25"/>
      <c r="BJ1135" s="25"/>
      <c r="BK1135" s="25"/>
      <c r="BL1135" s="25"/>
      <c r="BM1135" s="25"/>
      <c r="BN1135" s="26"/>
      <c r="BO1135" s="26"/>
      <c r="BP1135" s="26"/>
      <c r="BQ1135" s="26"/>
      <c r="BR1135" s="26"/>
      <c r="BS1135" s="26"/>
      <c r="BT1135" s="26"/>
      <c r="BU1135" s="26"/>
      <c r="BV1135" s="26"/>
      <c r="BW1135" s="26"/>
      <c r="BX1135" s="26"/>
      <c r="BY1135" s="26"/>
      <c r="BZ1135" s="26"/>
      <c r="CA1135" s="26"/>
    </row>
    <row r="1136" spans="1:79" ht="15.75" hidden="1">
      <c r="A1136" s="109">
        <v>-2.0000000000000003E-6</v>
      </c>
      <c r="B1136" s="110">
        <f t="shared" si="68"/>
        <v>1136</v>
      </c>
      <c r="C1136" s="111" t="str">
        <f>IF(C$1=[1]!T.in.A[[#This Row],[oo2]],1,"")</f>
        <v/>
      </c>
      <c r="D1136" s="112" t="str">
        <f>IF(Tab.o1[[#This Row],[a1]]=1,IF(SUM(C1136:C1137)=0,0,IF(SUM(C1135:C1136)=1,1,IF(SUM(C1135:C1137)&gt;1,D1135+1,0))),"")</f>
        <v/>
      </c>
      <c r="E1136" s="113" t="str">
        <f>IF(Tab.o1[[#This Row],[a1]]=1,[1]!T.in.A[[#This Row],[oo1]],"")</f>
        <v/>
      </c>
      <c r="F1136" s="113" t="str">
        <f>IF(Tab.o1[[#This Row],[a1]]=1,[1]!T.in.A[[#This Row],[pp1]],"")</f>
        <v/>
      </c>
      <c r="G1136" s="114" t="str">
        <f>IF(Tab.o1[[#This Row],[a1]]=1,G$2+IF(G$1=1,0,Tab.o1[[#This Row],[.x1]])+[1]!T.in.A[[#This Row],[oo3]],"")</f>
        <v/>
      </c>
      <c r="H1136" s="115" t="str">
        <f>IF(Tab.o1[[#This Row],[a1]]=1,IF(H$2=0,0,IF(G$1=1,0,Tab.o1[[#This Row],[.x1]])+[1]!T.in.A[[#This Row],[oo4]]),"")</f>
        <v/>
      </c>
      <c r="I1136" s="116" t="str">
        <f>IF(Tab.o1[[#This Row],[a1]]=1,IF(J$2=0,Tab.o1[[#This Row],[MED]],Tab.o1[[#This Row],[MOD]]),"")</f>
        <v/>
      </c>
      <c r="J1136" s="116" t="str">
        <f>IF(Tab.o1[[#This Row],[a1]]=1,((Tab.o1[[#This Row],[DIF_Target.]]-AVERAGE(Tab.o1[DIF_Target.]))/_xlfn.STDEV.P(Tab.o1[DIF_Target.])),"")</f>
        <v/>
      </c>
      <c r="K1136" s="117" t="str">
        <f>IF(Tab.o1[[#This Row],[a1]]=1,IF(J$2=0,Tab.o1[[#This Row],[MOD]]-Tab.o1[[#This Row],[B]],IF(J$2=1,0,-Tab.o1[[#This Row],[MED]])+Tab.o1[[#This Row],[B]]),"")</f>
        <v/>
      </c>
      <c r="L1136" s="117" t="str">
        <f ca="1">IF(Tab.o1[[#This Row],[DIF_Target]]=0,IF(L$2=0,Tab.o1[[#This Row],[DIF_Target]],AVERAGE(OFFSET(Tab.o1[[#This Row],[DIF_Target]],1,0,L$3,1)))/3,Tab.o1[[#This Row],[DIF_Target]])</f>
        <v/>
      </c>
      <c r="M1136" s="118" t="str">
        <f>IF(Tab.o1[[#This Row],[a1]]=1,NORMSDIST(Tab.o1[[#This Row],[Za]]),"")</f>
        <v/>
      </c>
      <c r="N1136" s="119" t="str">
        <f>IF(Tab.o1[[#This Row],[a1]]=1,((Tab.o1[[#This Row],[MedMod]]-AVERAGE(Tab.o1[MedMod]))/_xlfn.STDEV.P(Tab.o1[MedMod])*H$1205)+G$1205,"")</f>
        <v/>
      </c>
      <c r="O1136" s="141" t="str">
        <f>IF(Tab.o1[[#This Row],[a1]]=1,Tab.o1[[#This Row],[Zb]]*_xlfn.STDEV.P(Tab.o1[MedMod])+AVERAGE(Tab.o1[MedMod]),"")</f>
        <v/>
      </c>
      <c r="P1136" s="117" t="str">
        <f ca="1">IF(Tab.o1[[#This Row],[B]]=0,AVERAGE(OFFSET(Tab.o1[[#This Row],[B]],1,0,L$3,1)),Tab.o1[[#This Row],[B]])</f>
        <v/>
      </c>
      <c r="Q1136" s="121" t="str">
        <f>IF(Tab.o1[[#This Row],[a1]]=1,NORMSDIST(Tab.o1[[#This Row],[Zb]]),"")</f>
        <v/>
      </c>
      <c r="R1136" s="122" t="str">
        <f>IF(Tab.o1[[#This Row],[a1]]=1,((Tab.o1[[#This Row],[MedMod]]-AVERAGE(Tab.o1[MedMod]))/_xlfn.STDEV.P(Tab.o1[MedMod])*H$1203)+G$1203,"")</f>
        <v/>
      </c>
      <c r="S1136" s="122" t="str">
        <f>IF(Tab.o1[[#This Row],[a1]]=1,((Tab.o1[[#This Row],[MedMod]]-AVERAGE(Tab.o1[MedMod]))/_xlfn.STDEV.P(Tab.o1[MedMod])*H$1204)+G$1204,"")</f>
        <v/>
      </c>
      <c r="T1136" s="123" t="str">
        <f>IF(Tab.o1[[#This Row],[a1]]=1,Tab.o1[[#This Row],[Z-]]*_xlfn.STDEV.P(Tab.o1[B])+AVERAGE(Tab.o1[B]),"")</f>
        <v/>
      </c>
      <c r="U1136" s="123" t="str">
        <f>IF(Tab.o1[[#This Row],[a1]]=1,Tab.o1[[#This Row],[z+]]*_xlfn.STDEV.P(Tab.o1[B])+AVERAGE(Tab.o1[B]),"")</f>
        <v/>
      </c>
      <c r="V1136" s="124" t="str">
        <f>IF(Tab.o1[[#This Row],[a1]]=1,ABS((ABS(Tab.o1[[#This Row],[Red]]-Tab.o1[[#This Row],[Blue]]))),"")</f>
        <v/>
      </c>
      <c r="W1136" s="125" t="str">
        <f>IF(Tab.o1[[#This Row],[a1]]=1,IF(W$3=0,1,Tab.o1[[#This Row],[Amp.]]*1/_xlfn.MINIFS(Tab.o1[Amp.],Tab.o1[Amp.],"&lt;&gt;0")),"")</f>
        <v/>
      </c>
      <c r="X1136" s="126" t="str">
        <f>IF(Tab.o1[[#This Row],[a1]]=1,IF(ISNUMBER(Tab.o1[[#This Row],[i.]]),NORMDIST(Tab.o1[[#This Row],[Za]],0,1,FALSE)*Tab.o1[[#This Row],[i.]],AP$3),"")</f>
        <v/>
      </c>
      <c r="Y1136" s="126" t="str">
        <f>IF(Tab.o1[[#This Row],[a1]]=1,0.01+0.94*Tab.o1[[#This Row],[PDF]]/MAX(Tab.o1[PDF]),"")</f>
        <v/>
      </c>
      <c r="Z1136" s="126" t="str">
        <f>IF(Tab.o1[[#This Row],[a1]]=1,0.01+0.94*Tab.o1[[#This Row],[W1_PDF]]/MAX(Tab.o1[W1_PDF]),"")</f>
        <v/>
      </c>
      <c r="AA1136" s="118" t="str">
        <f>IF(Tab.o1[[#This Row],[a1]]=1,ABS([1]!T.in.A[[#This Row],[oo6]]),"")</f>
        <v/>
      </c>
      <c r="AB1136" s="127" t="str">
        <f>IF(Tab.o1[[#This Row],[a1]]=1,IF(AE$3=0,"",IF(AB$3=0,ABS([1]!T.in.A[[#This Row],[oo9]]),ABS(Tab.o1[[#This Row],[DIF_Target.]]*Tab.o1[[#This Row],[W1_PDF]]))),"")</f>
        <v/>
      </c>
      <c r="AC1136" s="127" t="str">
        <f>IF(G$1=1,"",IF(Tab.o1[[#This Row],[a1]]=1,Tab.o1[[#This Row],[Wr]]^2,""))</f>
        <v/>
      </c>
      <c r="AD1136" s="118" t="str">
        <f>IF(Tab.o1[[#This Row],[a1]]=1,IF(AE$3=0,"",Tab.o1[[#This Row],[Wr2]]/SUM(Tab.o1[Wr2])),"")</f>
        <v/>
      </c>
      <c r="AE1136" s="128" t="str">
        <f>IF(Tab.o1[[#This Row],[a1]]=1,[1]!T.in.A[[#This Row],[oo10]],"")</f>
        <v/>
      </c>
      <c r="AF1136" s="118" t="str">
        <f>IF(Tab.o1[[#This Row],[a1]]=1,ABS(Tab.o1[[#This Row],[DIF_Target.]]*Tab.o1[[#This Row],[PDF2]]*Tab.o1[[#This Row],[IN]]),"")</f>
        <v/>
      </c>
      <c r="AG1136" s="129" t="str">
        <f>IF(Tab.o1[[#This Row],[a1]]=1,Tab.o1[[#This Row],[rW]]^2,"")</f>
        <v/>
      </c>
      <c r="AH1136" s="130" t="str">
        <f>IF(Tab.o1[[#This Row],[a1]]=1,IF(AH$3=0,Tab.o1[[#This Row],[rW2]],0.01+0.94*Tab.o1[[#This Row],[rW2]]/SUM(Tab.o1[rW2])),"")</f>
        <v/>
      </c>
      <c r="AI1136" s="128" t="str">
        <f>IF(Tab.o1[[#This Row],[a1]]=1,1/Tab.o1[[#This Row],[PDF]],"")</f>
        <v/>
      </c>
      <c r="AJ1136" s="131" t="str">
        <f>IF(Tab.o1[[#This Row],[a1]]=1,[1]!T_AA[[#This Row],[IN'']]*[1]!T_AA[[#This Row],[Qde'']],"")</f>
        <v/>
      </c>
      <c r="AK1136" s="132" t="str">
        <f>IF(Tab.o1[[#This Row],[a1]]=1,IF(AK$1=1,Tab.o1[[#This Row],[MED]]+Tab.o1[[#This Row],[MOD]]-Tab.o1[[#This Row],[MED]],""),"")</f>
        <v/>
      </c>
      <c r="AL1136" s="133" t="str">
        <f>IF(Tab.o1[[#This Row],[a1]]=1,[1]!T.in.A[[#This Row],[oo16]],"")</f>
        <v/>
      </c>
      <c r="AM1136" s="133" t="str">
        <f>IF(Tab.o1[[#This Row],[a1]]=1,IF(AM$3=1,[1]!T.in.A[[#This Row],[Σo16]],""),"")</f>
        <v/>
      </c>
      <c r="AN1136" s="126" t="str">
        <f>IF(Tab.o1[[#This Row],[a1]]=1,[1]!T.in.A[[#This Row],[Σp5]],"")</f>
        <v/>
      </c>
      <c r="AO1136" s="126" t="str">
        <f>IF(Tab.o1[[#This Row],[a1]]=1,IF(AO$3=1,[1]!T.in.A[[#This Row],[Σp5]],""),"")</f>
        <v/>
      </c>
      <c r="AP1136" s="110" t="str">
        <f>IF(Tab.o1[[#This Row],[a1]]=1,IF(ISNUMBER(Tab.o1[[#This Row],[i.]]),NORMDIST(Tab.o1[[#This Row],[Za]],0,1,FALSE)*Tab.o1[[#This Row],[i.]],0),"")</f>
        <v/>
      </c>
      <c r="AQ1136" s="125" t="str">
        <f>IF(Tab.o1[[#This Row],[a1]]=1,ABS(Tab.o1[[#This Row],[MOD]]-AVERAGE(Tab.o1[MOD])),"")</f>
        <v/>
      </c>
      <c r="AR1136" s="134" t="str">
        <f>IF(Tab.o1[[#This Row],[a1]]=1,Tab.o1[[#This Row],[OBS]]/SUM(Tab.o1[OBS]),"")</f>
        <v/>
      </c>
      <c r="AS1136" s="135" t="str">
        <f>IF(ISNUMBER(Tab.o1[[#This Row],[a1]]),ROW()-4,"")</f>
        <v/>
      </c>
      <c r="AT1136" s="136" t="str">
        <f>Tab.o1[[#This Row],[MOD]]</f>
        <v/>
      </c>
      <c r="AU1136" s="137" t="str">
        <f t="shared" si="69"/>
        <v/>
      </c>
      <c r="AV1136" s="138" t="str">
        <f t="shared" si="70"/>
        <v/>
      </c>
      <c r="AW1136" s="138" t="str">
        <f t="shared" si="71"/>
        <v/>
      </c>
      <c r="AX1136" s="139" t="str">
        <f>[1]!T.in.A[[#This Row],[ID_T_manu]]</f>
        <v/>
      </c>
      <c r="AY1136" s="140" t="str">
        <f>IF(ISNUMBER(Tab.o1[[#This Row],[a1]]),IF(AND(Tab.o1[[#This Row],[a1]]=1,Tab.o1[[#This Row],[b1]]&lt;=AY$4),#REF!,AY1135),"")</f>
        <v/>
      </c>
      <c r="AZ1136" s="25"/>
      <c r="BA1136" s="25"/>
      <c r="BB1136" s="25"/>
      <c r="BC1136" s="25"/>
      <c r="BD1136" s="25"/>
      <c r="BE1136" s="25"/>
      <c r="BF1136" s="25"/>
      <c r="BG1136" s="25"/>
      <c r="BH1136" s="25"/>
      <c r="BI1136" s="25"/>
      <c r="BJ1136" s="25"/>
      <c r="BK1136" s="25"/>
      <c r="BL1136" s="25"/>
      <c r="BM1136" s="25"/>
      <c r="BN1136" s="26"/>
      <c r="BO1136" s="26"/>
      <c r="BP1136" s="26"/>
      <c r="BQ1136" s="26"/>
      <c r="BR1136" s="26"/>
      <c r="BS1136" s="26"/>
      <c r="BT1136" s="26"/>
      <c r="BU1136" s="26"/>
      <c r="BV1136" s="26"/>
      <c r="BW1136" s="26"/>
      <c r="BX1136" s="26"/>
      <c r="BY1136" s="26"/>
      <c r="BZ1136" s="26"/>
      <c r="CA1136" s="26"/>
    </row>
    <row r="1137" spans="1:79" ht="15.75" hidden="1">
      <c r="A1137" s="109">
        <v>9.0000000000000002E-6</v>
      </c>
      <c r="B1137" s="110">
        <f t="shared" si="68"/>
        <v>1137</v>
      </c>
      <c r="C1137" s="111" t="str">
        <f>IF(C$1=[1]!T.in.A[[#This Row],[oo2]],1,"")</f>
        <v/>
      </c>
      <c r="D1137" s="112" t="str">
        <f>IF(Tab.o1[[#This Row],[a1]]=1,IF(SUM(C1137:C1138)=0,0,IF(SUM(C1136:C1137)=1,1,IF(SUM(C1136:C1138)&gt;1,D1136+1,0))),"")</f>
        <v/>
      </c>
      <c r="E1137" s="113" t="str">
        <f>IF(Tab.o1[[#This Row],[a1]]=1,[1]!T.in.A[[#This Row],[oo1]],"")</f>
        <v/>
      </c>
      <c r="F1137" s="113" t="str">
        <f>IF(Tab.o1[[#This Row],[a1]]=1,[1]!T.in.A[[#This Row],[pp1]],"")</f>
        <v/>
      </c>
      <c r="G1137" s="114" t="str">
        <f>IF(Tab.o1[[#This Row],[a1]]=1,G$2+IF(G$1=1,0,Tab.o1[[#This Row],[.x1]])+[1]!T.in.A[[#This Row],[oo3]],"")</f>
        <v/>
      </c>
      <c r="H1137" s="115" t="str">
        <f>IF(Tab.o1[[#This Row],[a1]]=1,IF(H$2=0,0,IF(G$1=1,0,Tab.o1[[#This Row],[.x1]])+[1]!T.in.A[[#This Row],[oo4]]),"")</f>
        <v/>
      </c>
      <c r="I1137" s="116" t="str">
        <f>IF(Tab.o1[[#This Row],[a1]]=1,IF(J$2=0,Tab.o1[[#This Row],[MED]],Tab.o1[[#This Row],[MOD]]),"")</f>
        <v/>
      </c>
      <c r="J1137" s="116" t="str">
        <f>IF(Tab.o1[[#This Row],[a1]]=1,((Tab.o1[[#This Row],[DIF_Target.]]-AVERAGE(Tab.o1[DIF_Target.]))/_xlfn.STDEV.P(Tab.o1[DIF_Target.])),"")</f>
        <v/>
      </c>
      <c r="K1137" s="117" t="str">
        <f>IF(Tab.o1[[#This Row],[a1]]=1,IF(J$2=0,Tab.o1[[#This Row],[MOD]]-Tab.o1[[#This Row],[B]],IF(J$2=1,0,-Tab.o1[[#This Row],[MED]])+Tab.o1[[#This Row],[B]]),"")</f>
        <v/>
      </c>
      <c r="L1137" s="117" t="str">
        <f ca="1">IF(Tab.o1[[#This Row],[DIF_Target]]=0,IF(L$2=0,Tab.o1[[#This Row],[DIF_Target]],AVERAGE(OFFSET(Tab.o1[[#This Row],[DIF_Target]],1,0,L$3,1)))/3,Tab.o1[[#This Row],[DIF_Target]])</f>
        <v/>
      </c>
      <c r="M1137" s="118" t="str">
        <f>IF(Tab.o1[[#This Row],[a1]]=1,NORMSDIST(Tab.o1[[#This Row],[Za]]),"")</f>
        <v/>
      </c>
      <c r="N1137" s="119" t="str">
        <f>IF(Tab.o1[[#This Row],[a1]]=1,((Tab.o1[[#This Row],[MedMod]]-AVERAGE(Tab.o1[MedMod]))/_xlfn.STDEV.P(Tab.o1[MedMod])*H$1205)+G$1205,"")</f>
        <v/>
      </c>
      <c r="O1137" s="141" t="str">
        <f>IF(Tab.o1[[#This Row],[a1]]=1,Tab.o1[[#This Row],[Zb]]*_xlfn.STDEV.P(Tab.o1[MedMod])+AVERAGE(Tab.o1[MedMod]),"")</f>
        <v/>
      </c>
      <c r="P1137" s="117" t="str">
        <f ca="1">IF(Tab.o1[[#This Row],[B]]=0,AVERAGE(OFFSET(Tab.o1[[#This Row],[B]],1,0,L$3,1)),Tab.o1[[#This Row],[B]])</f>
        <v/>
      </c>
      <c r="Q1137" s="121" t="str">
        <f>IF(Tab.o1[[#This Row],[a1]]=1,NORMSDIST(Tab.o1[[#This Row],[Zb]]),"")</f>
        <v/>
      </c>
      <c r="R1137" s="122" t="str">
        <f>IF(Tab.o1[[#This Row],[a1]]=1,((Tab.o1[[#This Row],[MedMod]]-AVERAGE(Tab.o1[MedMod]))/_xlfn.STDEV.P(Tab.o1[MedMod])*H$1203)+G$1203,"")</f>
        <v/>
      </c>
      <c r="S1137" s="122" t="str">
        <f>IF(Tab.o1[[#This Row],[a1]]=1,((Tab.o1[[#This Row],[MedMod]]-AVERAGE(Tab.o1[MedMod]))/_xlfn.STDEV.P(Tab.o1[MedMod])*H$1204)+G$1204,"")</f>
        <v/>
      </c>
      <c r="T1137" s="123" t="str">
        <f>IF(Tab.o1[[#This Row],[a1]]=1,Tab.o1[[#This Row],[Z-]]*_xlfn.STDEV.P(Tab.o1[B])+AVERAGE(Tab.o1[B]),"")</f>
        <v/>
      </c>
      <c r="U1137" s="123" t="str">
        <f>IF(Tab.o1[[#This Row],[a1]]=1,Tab.o1[[#This Row],[z+]]*_xlfn.STDEV.P(Tab.o1[B])+AVERAGE(Tab.o1[B]),"")</f>
        <v/>
      </c>
      <c r="V1137" s="124" t="str">
        <f>IF(Tab.o1[[#This Row],[a1]]=1,ABS((ABS(Tab.o1[[#This Row],[Red]]-Tab.o1[[#This Row],[Blue]]))),"")</f>
        <v/>
      </c>
      <c r="W1137" s="125" t="str">
        <f>IF(Tab.o1[[#This Row],[a1]]=1,IF(W$3=0,1,Tab.o1[[#This Row],[Amp.]]*1/_xlfn.MINIFS(Tab.o1[Amp.],Tab.o1[Amp.],"&lt;&gt;0")),"")</f>
        <v/>
      </c>
      <c r="X1137" s="126" t="str">
        <f>IF(Tab.o1[[#This Row],[a1]]=1,IF(ISNUMBER(Tab.o1[[#This Row],[i.]]),NORMDIST(Tab.o1[[#This Row],[Za]],0,1,FALSE)*Tab.o1[[#This Row],[i.]],AP$3),"")</f>
        <v/>
      </c>
      <c r="Y1137" s="126" t="str">
        <f>IF(Tab.o1[[#This Row],[a1]]=1,0.01+0.94*Tab.o1[[#This Row],[PDF]]/MAX(Tab.o1[PDF]),"")</f>
        <v/>
      </c>
      <c r="Z1137" s="126" t="str">
        <f>IF(Tab.o1[[#This Row],[a1]]=1,0.01+0.94*Tab.o1[[#This Row],[W1_PDF]]/MAX(Tab.o1[W1_PDF]),"")</f>
        <v/>
      </c>
      <c r="AA1137" s="118" t="str">
        <f>IF(Tab.o1[[#This Row],[a1]]=1,ABS([1]!T.in.A[[#This Row],[oo6]]),"")</f>
        <v/>
      </c>
      <c r="AB1137" s="127" t="str">
        <f>IF(Tab.o1[[#This Row],[a1]]=1,IF(AE$3=0,"",IF(AB$3=0,ABS([1]!T.in.A[[#This Row],[oo9]]),ABS(Tab.o1[[#This Row],[DIF_Target.]]*Tab.o1[[#This Row],[W1_PDF]]))),"")</f>
        <v/>
      </c>
      <c r="AC1137" s="127" t="str">
        <f>IF(G$1=1,"",IF(Tab.o1[[#This Row],[a1]]=1,Tab.o1[[#This Row],[Wr]]^2,""))</f>
        <v/>
      </c>
      <c r="AD1137" s="118" t="str">
        <f>IF(Tab.o1[[#This Row],[a1]]=1,IF(AE$3=0,"",Tab.o1[[#This Row],[Wr2]]/SUM(Tab.o1[Wr2])),"")</f>
        <v/>
      </c>
      <c r="AE1137" s="128" t="str">
        <f>IF(Tab.o1[[#This Row],[a1]]=1,[1]!T.in.A[[#This Row],[oo10]],"")</f>
        <v/>
      </c>
      <c r="AF1137" s="118" t="str">
        <f>IF(Tab.o1[[#This Row],[a1]]=1,ABS(Tab.o1[[#This Row],[DIF_Target.]]*Tab.o1[[#This Row],[PDF2]]*Tab.o1[[#This Row],[IN]]),"")</f>
        <v/>
      </c>
      <c r="AG1137" s="129" t="str">
        <f>IF(Tab.o1[[#This Row],[a1]]=1,Tab.o1[[#This Row],[rW]]^2,"")</f>
        <v/>
      </c>
      <c r="AH1137" s="130" t="str">
        <f>IF(Tab.o1[[#This Row],[a1]]=1,IF(AH$3=0,Tab.o1[[#This Row],[rW2]],0.01+0.94*Tab.o1[[#This Row],[rW2]]/SUM(Tab.o1[rW2])),"")</f>
        <v/>
      </c>
      <c r="AI1137" s="128" t="str">
        <f>IF(Tab.o1[[#This Row],[a1]]=1,1/Tab.o1[[#This Row],[PDF]],"")</f>
        <v/>
      </c>
      <c r="AJ1137" s="131" t="str">
        <f>IF(Tab.o1[[#This Row],[a1]]=1,[1]!T_AA[[#This Row],[IN'']]*[1]!T_AA[[#This Row],[Qde'']],"")</f>
        <v/>
      </c>
      <c r="AK1137" s="132" t="str">
        <f>IF(Tab.o1[[#This Row],[a1]]=1,IF(AK$1=1,Tab.o1[[#This Row],[MED]]+Tab.o1[[#This Row],[MOD]]-Tab.o1[[#This Row],[MED]],""),"")</f>
        <v/>
      </c>
      <c r="AL1137" s="133" t="str">
        <f>IF(Tab.o1[[#This Row],[a1]]=1,[1]!T.in.A[[#This Row],[oo16]],"")</f>
        <v/>
      </c>
      <c r="AM1137" s="133" t="str">
        <f>IF(Tab.o1[[#This Row],[a1]]=1,IF(AM$3=1,[1]!T.in.A[[#This Row],[Σo16]],""),"")</f>
        <v/>
      </c>
      <c r="AN1137" s="126" t="str">
        <f>IF(Tab.o1[[#This Row],[a1]]=1,[1]!T.in.A[[#This Row],[Σp5]],"")</f>
        <v/>
      </c>
      <c r="AO1137" s="126" t="str">
        <f>IF(Tab.o1[[#This Row],[a1]]=1,IF(AO$3=1,[1]!T.in.A[[#This Row],[Σp5]],""),"")</f>
        <v/>
      </c>
      <c r="AP1137" s="110" t="str">
        <f>IF(Tab.o1[[#This Row],[a1]]=1,IF(ISNUMBER(Tab.o1[[#This Row],[i.]]),NORMDIST(Tab.o1[[#This Row],[Za]],0,1,FALSE)*Tab.o1[[#This Row],[i.]],0),"")</f>
        <v/>
      </c>
      <c r="AQ1137" s="125" t="str">
        <f>IF(Tab.o1[[#This Row],[a1]]=1,ABS(Tab.o1[[#This Row],[MOD]]-AVERAGE(Tab.o1[MOD])),"")</f>
        <v/>
      </c>
      <c r="AR1137" s="134" t="str">
        <f>IF(Tab.o1[[#This Row],[a1]]=1,Tab.o1[[#This Row],[OBS]]/SUM(Tab.o1[OBS]),"")</f>
        <v/>
      </c>
      <c r="AS1137" s="135" t="str">
        <f>IF(ISNUMBER(Tab.o1[[#This Row],[a1]]),ROW()-4,"")</f>
        <v/>
      </c>
      <c r="AT1137" s="136" t="str">
        <f>Tab.o1[[#This Row],[MOD]]</f>
        <v/>
      </c>
      <c r="AU1137" s="137" t="str">
        <f t="shared" si="69"/>
        <v/>
      </c>
      <c r="AV1137" s="138" t="str">
        <f t="shared" si="70"/>
        <v/>
      </c>
      <c r="AW1137" s="138" t="str">
        <f t="shared" si="71"/>
        <v/>
      </c>
      <c r="AX1137" s="139" t="str">
        <f>[1]!T.in.A[[#This Row],[ID_T_manu]]</f>
        <v/>
      </c>
      <c r="AY1137" s="140" t="str">
        <f>IF(ISNUMBER(Tab.o1[[#This Row],[a1]]),IF(AND(Tab.o1[[#This Row],[a1]]=1,Tab.o1[[#This Row],[b1]]&lt;=AY$4),#REF!,AY1136),"")</f>
        <v/>
      </c>
      <c r="AZ1137" s="25"/>
      <c r="BA1137" s="25"/>
      <c r="BB1137" s="25"/>
      <c r="BC1137" s="25"/>
      <c r="BD1137" s="25"/>
      <c r="BE1137" s="25"/>
      <c r="BF1137" s="25"/>
      <c r="BG1137" s="25"/>
      <c r="BH1137" s="25"/>
      <c r="BI1137" s="25"/>
      <c r="BJ1137" s="25"/>
      <c r="BK1137" s="25"/>
      <c r="BL1137" s="25"/>
      <c r="BM1137" s="25"/>
      <c r="BN1137" s="26"/>
      <c r="BO1137" s="26"/>
      <c r="BP1137" s="26"/>
      <c r="BQ1137" s="26"/>
      <c r="BR1137" s="26"/>
      <c r="BS1137" s="26"/>
      <c r="BT1137" s="26"/>
      <c r="BU1137" s="26"/>
      <c r="BV1137" s="26"/>
      <c r="BW1137" s="26"/>
      <c r="BX1137" s="26"/>
      <c r="BY1137" s="26"/>
      <c r="BZ1137" s="26"/>
      <c r="CA1137" s="26"/>
    </row>
    <row r="1138" spans="1:79" ht="15.75" hidden="1">
      <c r="A1138" s="109">
        <v>-8.0000000000000013E-6</v>
      </c>
      <c r="B1138" s="110">
        <f t="shared" si="68"/>
        <v>1138</v>
      </c>
      <c r="C1138" s="111" t="str">
        <f>IF(C$1=[1]!T.in.A[[#This Row],[oo2]],1,"")</f>
        <v/>
      </c>
      <c r="D1138" s="112" t="str">
        <f>IF(Tab.o1[[#This Row],[a1]]=1,IF(SUM(C1138:C1139)=0,0,IF(SUM(C1137:C1138)=1,1,IF(SUM(C1137:C1139)&gt;1,D1137+1,0))),"")</f>
        <v/>
      </c>
      <c r="E1138" s="113" t="str">
        <f>IF(Tab.o1[[#This Row],[a1]]=1,[1]!T.in.A[[#This Row],[oo1]],"")</f>
        <v/>
      </c>
      <c r="F1138" s="113" t="str">
        <f>IF(Tab.o1[[#This Row],[a1]]=1,[1]!T.in.A[[#This Row],[pp1]],"")</f>
        <v/>
      </c>
      <c r="G1138" s="114" t="str">
        <f>IF(Tab.o1[[#This Row],[a1]]=1,G$2+IF(G$1=1,0,Tab.o1[[#This Row],[.x1]])+[1]!T.in.A[[#This Row],[oo3]],"")</f>
        <v/>
      </c>
      <c r="H1138" s="115" t="str">
        <f>IF(Tab.o1[[#This Row],[a1]]=1,IF(H$2=0,0,IF(G$1=1,0,Tab.o1[[#This Row],[.x1]])+[1]!T.in.A[[#This Row],[oo4]]),"")</f>
        <v/>
      </c>
      <c r="I1138" s="116" t="str">
        <f>IF(Tab.o1[[#This Row],[a1]]=1,IF(J$2=0,Tab.o1[[#This Row],[MED]],Tab.o1[[#This Row],[MOD]]),"")</f>
        <v/>
      </c>
      <c r="J1138" s="116" t="str">
        <f>IF(Tab.o1[[#This Row],[a1]]=1,((Tab.o1[[#This Row],[DIF_Target.]]-AVERAGE(Tab.o1[DIF_Target.]))/_xlfn.STDEV.P(Tab.o1[DIF_Target.])),"")</f>
        <v/>
      </c>
      <c r="K1138" s="117" t="str">
        <f>IF(Tab.o1[[#This Row],[a1]]=1,IF(J$2=0,Tab.o1[[#This Row],[MOD]]-Tab.o1[[#This Row],[B]],IF(J$2=1,0,-Tab.o1[[#This Row],[MED]])+Tab.o1[[#This Row],[B]]),"")</f>
        <v/>
      </c>
      <c r="L1138" s="117" t="str">
        <f ca="1">IF(Tab.o1[[#This Row],[DIF_Target]]=0,IF(L$2=0,Tab.o1[[#This Row],[DIF_Target]],AVERAGE(OFFSET(Tab.o1[[#This Row],[DIF_Target]],1,0,L$3,1)))/3,Tab.o1[[#This Row],[DIF_Target]])</f>
        <v/>
      </c>
      <c r="M1138" s="118" t="str">
        <f>IF(Tab.o1[[#This Row],[a1]]=1,NORMSDIST(Tab.o1[[#This Row],[Za]]),"")</f>
        <v/>
      </c>
      <c r="N1138" s="119" t="str">
        <f>IF(Tab.o1[[#This Row],[a1]]=1,((Tab.o1[[#This Row],[MedMod]]-AVERAGE(Tab.o1[MedMod]))/_xlfn.STDEV.P(Tab.o1[MedMod])*H$1205)+G$1205,"")</f>
        <v/>
      </c>
      <c r="O1138" s="141" t="str">
        <f>IF(Tab.o1[[#This Row],[a1]]=1,Tab.o1[[#This Row],[Zb]]*_xlfn.STDEV.P(Tab.o1[MedMod])+AVERAGE(Tab.o1[MedMod]),"")</f>
        <v/>
      </c>
      <c r="P1138" s="117" t="str">
        <f ca="1">IF(Tab.o1[[#This Row],[B]]=0,AVERAGE(OFFSET(Tab.o1[[#This Row],[B]],1,0,L$3,1)),Tab.o1[[#This Row],[B]])</f>
        <v/>
      </c>
      <c r="Q1138" s="121" t="str">
        <f>IF(Tab.o1[[#This Row],[a1]]=1,NORMSDIST(Tab.o1[[#This Row],[Zb]]),"")</f>
        <v/>
      </c>
      <c r="R1138" s="122" t="str">
        <f>IF(Tab.o1[[#This Row],[a1]]=1,((Tab.o1[[#This Row],[MedMod]]-AVERAGE(Tab.o1[MedMod]))/_xlfn.STDEV.P(Tab.o1[MedMod])*H$1203)+G$1203,"")</f>
        <v/>
      </c>
      <c r="S1138" s="122" t="str">
        <f>IF(Tab.o1[[#This Row],[a1]]=1,((Tab.o1[[#This Row],[MedMod]]-AVERAGE(Tab.o1[MedMod]))/_xlfn.STDEV.P(Tab.o1[MedMod])*H$1204)+G$1204,"")</f>
        <v/>
      </c>
      <c r="T1138" s="123" t="str">
        <f>IF(Tab.o1[[#This Row],[a1]]=1,Tab.o1[[#This Row],[Z-]]*_xlfn.STDEV.P(Tab.o1[B])+AVERAGE(Tab.o1[B]),"")</f>
        <v/>
      </c>
      <c r="U1138" s="123" t="str">
        <f>IF(Tab.o1[[#This Row],[a1]]=1,Tab.o1[[#This Row],[z+]]*_xlfn.STDEV.P(Tab.o1[B])+AVERAGE(Tab.o1[B]),"")</f>
        <v/>
      </c>
      <c r="V1138" s="124" t="str">
        <f>IF(Tab.o1[[#This Row],[a1]]=1,ABS((ABS(Tab.o1[[#This Row],[Red]]-Tab.o1[[#This Row],[Blue]]))),"")</f>
        <v/>
      </c>
      <c r="W1138" s="125" t="str">
        <f>IF(Tab.o1[[#This Row],[a1]]=1,IF(W$3=0,1,Tab.o1[[#This Row],[Amp.]]*1/_xlfn.MINIFS(Tab.o1[Amp.],Tab.o1[Amp.],"&lt;&gt;0")),"")</f>
        <v/>
      </c>
      <c r="X1138" s="126" t="str">
        <f>IF(Tab.o1[[#This Row],[a1]]=1,IF(ISNUMBER(Tab.o1[[#This Row],[i.]]),NORMDIST(Tab.o1[[#This Row],[Za]],0,1,FALSE)*Tab.o1[[#This Row],[i.]],AP$3),"")</f>
        <v/>
      </c>
      <c r="Y1138" s="126" t="str">
        <f>IF(Tab.o1[[#This Row],[a1]]=1,0.01+0.94*Tab.o1[[#This Row],[PDF]]/MAX(Tab.o1[PDF]),"")</f>
        <v/>
      </c>
      <c r="Z1138" s="126" t="str">
        <f>IF(Tab.o1[[#This Row],[a1]]=1,0.01+0.94*Tab.o1[[#This Row],[W1_PDF]]/MAX(Tab.o1[W1_PDF]),"")</f>
        <v/>
      </c>
      <c r="AA1138" s="118" t="str">
        <f>IF(Tab.o1[[#This Row],[a1]]=1,ABS([1]!T.in.A[[#This Row],[oo6]]),"")</f>
        <v/>
      </c>
      <c r="AB1138" s="127" t="str">
        <f>IF(Tab.o1[[#This Row],[a1]]=1,IF(AE$3=0,"",IF(AB$3=0,ABS([1]!T.in.A[[#This Row],[oo9]]),ABS(Tab.o1[[#This Row],[DIF_Target.]]*Tab.o1[[#This Row],[W1_PDF]]))),"")</f>
        <v/>
      </c>
      <c r="AC1138" s="127" t="str">
        <f>IF(G$1=1,"",IF(Tab.o1[[#This Row],[a1]]=1,Tab.o1[[#This Row],[Wr]]^2,""))</f>
        <v/>
      </c>
      <c r="AD1138" s="118" t="str">
        <f>IF(Tab.o1[[#This Row],[a1]]=1,IF(AE$3=0,"",Tab.o1[[#This Row],[Wr2]]/SUM(Tab.o1[Wr2])),"")</f>
        <v/>
      </c>
      <c r="AE1138" s="128" t="str">
        <f>IF(Tab.o1[[#This Row],[a1]]=1,[1]!T.in.A[[#This Row],[oo10]],"")</f>
        <v/>
      </c>
      <c r="AF1138" s="118" t="str">
        <f>IF(Tab.o1[[#This Row],[a1]]=1,ABS(Tab.o1[[#This Row],[DIF_Target.]]*Tab.o1[[#This Row],[PDF2]]*Tab.o1[[#This Row],[IN]]),"")</f>
        <v/>
      </c>
      <c r="AG1138" s="129" t="str">
        <f>IF(Tab.o1[[#This Row],[a1]]=1,Tab.o1[[#This Row],[rW]]^2,"")</f>
        <v/>
      </c>
      <c r="AH1138" s="130" t="str">
        <f>IF(Tab.o1[[#This Row],[a1]]=1,IF(AH$3=0,Tab.o1[[#This Row],[rW2]],0.01+0.94*Tab.o1[[#This Row],[rW2]]/SUM(Tab.o1[rW2])),"")</f>
        <v/>
      </c>
      <c r="AI1138" s="128" t="str">
        <f>IF(Tab.o1[[#This Row],[a1]]=1,1/Tab.o1[[#This Row],[PDF]],"")</f>
        <v/>
      </c>
      <c r="AJ1138" s="131" t="str">
        <f>IF(Tab.o1[[#This Row],[a1]]=1,[1]!T_AA[[#This Row],[IN'']]*[1]!T_AA[[#This Row],[Qde'']],"")</f>
        <v/>
      </c>
      <c r="AK1138" s="132" t="str">
        <f>IF(Tab.o1[[#This Row],[a1]]=1,IF(AK$1=1,Tab.o1[[#This Row],[MED]]+Tab.o1[[#This Row],[MOD]]-Tab.o1[[#This Row],[MED]],""),"")</f>
        <v/>
      </c>
      <c r="AL1138" s="133" t="str">
        <f>IF(Tab.o1[[#This Row],[a1]]=1,[1]!T.in.A[[#This Row],[oo16]],"")</f>
        <v/>
      </c>
      <c r="AM1138" s="133" t="str">
        <f>IF(Tab.o1[[#This Row],[a1]]=1,IF(AM$3=1,[1]!T.in.A[[#This Row],[Σo16]],""),"")</f>
        <v/>
      </c>
      <c r="AN1138" s="126" t="str">
        <f>IF(Tab.o1[[#This Row],[a1]]=1,[1]!T.in.A[[#This Row],[Σp5]],"")</f>
        <v/>
      </c>
      <c r="AO1138" s="126" t="str">
        <f>IF(Tab.o1[[#This Row],[a1]]=1,IF(AO$3=1,[1]!T.in.A[[#This Row],[Σp5]],""),"")</f>
        <v/>
      </c>
      <c r="AP1138" s="110" t="str">
        <f>IF(Tab.o1[[#This Row],[a1]]=1,IF(ISNUMBER(Tab.o1[[#This Row],[i.]]),NORMDIST(Tab.o1[[#This Row],[Za]],0,1,FALSE)*Tab.o1[[#This Row],[i.]],0),"")</f>
        <v/>
      </c>
      <c r="AQ1138" s="125" t="str">
        <f>IF(Tab.o1[[#This Row],[a1]]=1,ABS(Tab.o1[[#This Row],[MOD]]-AVERAGE(Tab.o1[MOD])),"")</f>
        <v/>
      </c>
      <c r="AR1138" s="134" t="str">
        <f>IF(Tab.o1[[#This Row],[a1]]=1,Tab.o1[[#This Row],[OBS]]/SUM(Tab.o1[OBS]),"")</f>
        <v/>
      </c>
      <c r="AS1138" s="135" t="str">
        <f>IF(ISNUMBER(Tab.o1[[#This Row],[a1]]),ROW()-4,"")</f>
        <v/>
      </c>
      <c r="AT1138" s="136" t="str">
        <f>Tab.o1[[#This Row],[MOD]]</f>
        <v/>
      </c>
      <c r="AU1138" s="137" t="str">
        <f t="shared" si="69"/>
        <v/>
      </c>
      <c r="AV1138" s="138" t="str">
        <f t="shared" si="70"/>
        <v/>
      </c>
      <c r="AW1138" s="138" t="str">
        <f t="shared" si="71"/>
        <v/>
      </c>
      <c r="AX1138" s="139" t="str">
        <f>[1]!T.in.A[[#This Row],[ID_T_manu]]</f>
        <v/>
      </c>
      <c r="AY1138" s="140" t="str">
        <f>IF(ISNUMBER(Tab.o1[[#This Row],[a1]]),IF(AND(Tab.o1[[#This Row],[a1]]=1,Tab.o1[[#This Row],[b1]]&lt;=AY$4),#REF!,AY1137),"")</f>
        <v/>
      </c>
      <c r="AZ1138" s="25"/>
      <c r="BA1138" s="25"/>
      <c r="BB1138" s="25"/>
      <c r="BC1138" s="25"/>
      <c r="BD1138" s="25"/>
      <c r="BE1138" s="25"/>
      <c r="BF1138" s="25"/>
      <c r="BG1138" s="25"/>
      <c r="BH1138" s="25"/>
      <c r="BI1138" s="25"/>
      <c r="BJ1138" s="25"/>
      <c r="BK1138" s="25"/>
      <c r="BL1138" s="25"/>
      <c r="BM1138" s="25"/>
      <c r="BN1138" s="26"/>
      <c r="BO1138" s="26"/>
      <c r="BP1138" s="26"/>
      <c r="BQ1138" s="26"/>
      <c r="BR1138" s="26"/>
      <c r="BS1138" s="26"/>
      <c r="BT1138" s="26"/>
      <c r="BU1138" s="26"/>
      <c r="BV1138" s="26"/>
      <c r="BW1138" s="26"/>
      <c r="BX1138" s="26"/>
      <c r="BY1138" s="26"/>
      <c r="BZ1138" s="26"/>
      <c r="CA1138" s="26"/>
    </row>
    <row r="1139" spans="1:79" ht="15.75" hidden="1">
      <c r="A1139" s="109">
        <v>-5.0000000000000004E-6</v>
      </c>
      <c r="B1139" s="110">
        <f t="shared" si="68"/>
        <v>1139</v>
      </c>
      <c r="C1139" s="111" t="str">
        <f>IF(C$1=[1]!T.in.A[[#This Row],[oo2]],1,"")</f>
        <v/>
      </c>
      <c r="D1139" s="112" t="str">
        <f>IF(Tab.o1[[#This Row],[a1]]=1,IF(SUM(C1139:C1140)=0,0,IF(SUM(C1138:C1139)=1,1,IF(SUM(C1138:C1140)&gt;1,D1138+1,0))),"")</f>
        <v/>
      </c>
      <c r="E1139" s="113" t="str">
        <f>IF(Tab.o1[[#This Row],[a1]]=1,[1]!T.in.A[[#This Row],[oo1]],"")</f>
        <v/>
      </c>
      <c r="F1139" s="113" t="str">
        <f>IF(Tab.o1[[#This Row],[a1]]=1,[1]!T.in.A[[#This Row],[pp1]],"")</f>
        <v/>
      </c>
      <c r="G1139" s="114" t="str">
        <f>IF(Tab.o1[[#This Row],[a1]]=1,G$2+IF(G$1=1,0,Tab.o1[[#This Row],[.x1]])+[1]!T.in.A[[#This Row],[oo3]],"")</f>
        <v/>
      </c>
      <c r="H1139" s="115" t="str">
        <f>IF(Tab.o1[[#This Row],[a1]]=1,IF(H$2=0,0,IF(G$1=1,0,Tab.o1[[#This Row],[.x1]])+[1]!T.in.A[[#This Row],[oo4]]),"")</f>
        <v/>
      </c>
      <c r="I1139" s="116" t="str">
        <f>IF(Tab.o1[[#This Row],[a1]]=1,IF(J$2=0,Tab.o1[[#This Row],[MED]],Tab.o1[[#This Row],[MOD]]),"")</f>
        <v/>
      </c>
      <c r="J1139" s="116" t="str">
        <f>IF(Tab.o1[[#This Row],[a1]]=1,((Tab.o1[[#This Row],[DIF_Target.]]-AVERAGE(Tab.o1[DIF_Target.]))/_xlfn.STDEV.P(Tab.o1[DIF_Target.])),"")</f>
        <v/>
      </c>
      <c r="K1139" s="117" t="str">
        <f>IF(Tab.o1[[#This Row],[a1]]=1,IF(J$2=0,Tab.o1[[#This Row],[MOD]]-Tab.o1[[#This Row],[B]],IF(J$2=1,0,-Tab.o1[[#This Row],[MED]])+Tab.o1[[#This Row],[B]]),"")</f>
        <v/>
      </c>
      <c r="L1139" s="117" t="str">
        <f ca="1">IF(Tab.o1[[#This Row],[DIF_Target]]=0,IF(L$2=0,Tab.o1[[#This Row],[DIF_Target]],AVERAGE(OFFSET(Tab.o1[[#This Row],[DIF_Target]],1,0,L$3,1)))/3,Tab.o1[[#This Row],[DIF_Target]])</f>
        <v/>
      </c>
      <c r="M1139" s="118" t="str">
        <f>IF(Tab.o1[[#This Row],[a1]]=1,NORMSDIST(Tab.o1[[#This Row],[Za]]),"")</f>
        <v/>
      </c>
      <c r="N1139" s="119" t="str">
        <f>IF(Tab.o1[[#This Row],[a1]]=1,((Tab.o1[[#This Row],[MedMod]]-AVERAGE(Tab.o1[MedMod]))/_xlfn.STDEV.P(Tab.o1[MedMod])*H$1205)+G$1205,"")</f>
        <v/>
      </c>
      <c r="O1139" s="141" t="str">
        <f>IF(Tab.o1[[#This Row],[a1]]=1,Tab.o1[[#This Row],[Zb]]*_xlfn.STDEV.P(Tab.o1[MedMod])+AVERAGE(Tab.o1[MedMod]),"")</f>
        <v/>
      </c>
      <c r="P1139" s="117" t="str">
        <f ca="1">IF(Tab.o1[[#This Row],[B]]=0,AVERAGE(OFFSET(Tab.o1[[#This Row],[B]],1,0,L$3,1)),Tab.o1[[#This Row],[B]])</f>
        <v/>
      </c>
      <c r="Q1139" s="121" t="str">
        <f>IF(Tab.o1[[#This Row],[a1]]=1,NORMSDIST(Tab.o1[[#This Row],[Zb]]),"")</f>
        <v/>
      </c>
      <c r="R1139" s="122" t="str">
        <f>IF(Tab.o1[[#This Row],[a1]]=1,((Tab.o1[[#This Row],[MedMod]]-AVERAGE(Tab.o1[MedMod]))/_xlfn.STDEV.P(Tab.o1[MedMod])*H$1203)+G$1203,"")</f>
        <v/>
      </c>
      <c r="S1139" s="122" t="str">
        <f>IF(Tab.o1[[#This Row],[a1]]=1,((Tab.o1[[#This Row],[MedMod]]-AVERAGE(Tab.o1[MedMod]))/_xlfn.STDEV.P(Tab.o1[MedMod])*H$1204)+G$1204,"")</f>
        <v/>
      </c>
      <c r="T1139" s="123" t="str">
        <f>IF(Tab.o1[[#This Row],[a1]]=1,Tab.o1[[#This Row],[Z-]]*_xlfn.STDEV.P(Tab.o1[B])+AVERAGE(Tab.o1[B]),"")</f>
        <v/>
      </c>
      <c r="U1139" s="123" t="str">
        <f>IF(Tab.o1[[#This Row],[a1]]=1,Tab.o1[[#This Row],[z+]]*_xlfn.STDEV.P(Tab.o1[B])+AVERAGE(Tab.o1[B]),"")</f>
        <v/>
      </c>
      <c r="V1139" s="124" t="str">
        <f>IF(Tab.o1[[#This Row],[a1]]=1,ABS((ABS(Tab.o1[[#This Row],[Red]]-Tab.o1[[#This Row],[Blue]]))),"")</f>
        <v/>
      </c>
      <c r="W1139" s="125" t="str">
        <f>IF(Tab.o1[[#This Row],[a1]]=1,IF(W$3=0,1,Tab.o1[[#This Row],[Amp.]]*1/_xlfn.MINIFS(Tab.o1[Amp.],Tab.o1[Amp.],"&lt;&gt;0")),"")</f>
        <v/>
      </c>
      <c r="X1139" s="126" t="str">
        <f>IF(Tab.o1[[#This Row],[a1]]=1,IF(ISNUMBER(Tab.o1[[#This Row],[i.]]),NORMDIST(Tab.o1[[#This Row],[Za]],0,1,FALSE)*Tab.o1[[#This Row],[i.]],AP$3),"")</f>
        <v/>
      </c>
      <c r="Y1139" s="126" t="str">
        <f>IF(Tab.o1[[#This Row],[a1]]=1,0.01+0.94*Tab.o1[[#This Row],[PDF]]/MAX(Tab.o1[PDF]),"")</f>
        <v/>
      </c>
      <c r="Z1139" s="126" t="str">
        <f>IF(Tab.o1[[#This Row],[a1]]=1,0.01+0.94*Tab.o1[[#This Row],[W1_PDF]]/MAX(Tab.o1[W1_PDF]),"")</f>
        <v/>
      </c>
      <c r="AA1139" s="118" t="str">
        <f>IF(Tab.o1[[#This Row],[a1]]=1,ABS([1]!T.in.A[[#This Row],[oo6]]),"")</f>
        <v/>
      </c>
      <c r="AB1139" s="127" t="str">
        <f>IF(Tab.o1[[#This Row],[a1]]=1,IF(AE$3=0,"",IF(AB$3=0,ABS([1]!T.in.A[[#This Row],[oo9]]),ABS(Tab.o1[[#This Row],[DIF_Target.]]*Tab.o1[[#This Row],[W1_PDF]]))),"")</f>
        <v/>
      </c>
      <c r="AC1139" s="127" t="str">
        <f>IF(G$1=1,"",IF(Tab.o1[[#This Row],[a1]]=1,Tab.o1[[#This Row],[Wr]]^2,""))</f>
        <v/>
      </c>
      <c r="AD1139" s="118" t="str">
        <f>IF(Tab.o1[[#This Row],[a1]]=1,IF(AE$3=0,"",Tab.o1[[#This Row],[Wr2]]/SUM(Tab.o1[Wr2])),"")</f>
        <v/>
      </c>
      <c r="AE1139" s="128" t="str">
        <f>IF(Tab.o1[[#This Row],[a1]]=1,[1]!T.in.A[[#This Row],[oo10]],"")</f>
        <v/>
      </c>
      <c r="AF1139" s="118" t="str">
        <f>IF(Tab.o1[[#This Row],[a1]]=1,ABS(Tab.o1[[#This Row],[DIF_Target.]]*Tab.o1[[#This Row],[PDF2]]*Tab.o1[[#This Row],[IN]]),"")</f>
        <v/>
      </c>
      <c r="AG1139" s="129" t="str">
        <f>IF(Tab.o1[[#This Row],[a1]]=1,Tab.o1[[#This Row],[rW]]^2,"")</f>
        <v/>
      </c>
      <c r="AH1139" s="130" t="str">
        <f>IF(Tab.o1[[#This Row],[a1]]=1,IF(AH$3=0,Tab.o1[[#This Row],[rW2]],0.01+0.94*Tab.o1[[#This Row],[rW2]]/SUM(Tab.o1[rW2])),"")</f>
        <v/>
      </c>
      <c r="AI1139" s="128" t="str">
        <f>IF(Tab.o1[[#This Row],[a1]]=1,1/Tab.o1[[#This Row],[PDF]],"")</f>
        <v/>
      </c>
      <c r="AJ1139" s="131" t="str">
        <f>IF(Tab.o1[[#This Row],[a1]]=1,[1]!T_AA[[#This Row],[IN'']]*[1]!T_AA[[#This Row],[Qde'']],"")</f>
        <v/>
      </c>
      <c r="AK1139" s="132" t="str">
        <f>IF(Tab.o1[[#This Row],[a1]]=1,IF(AK$1=1,Tab.o1[[#This Row],[MED]]+Tab.o1[[#This Row],[MOD]]-Tab.o1[[#This Row],[MED]],""),"")</f>
        <v/>
      </c>
      <c r="AL1139" s="133" t="str">
        <f>IF(Tab.o1[[#This Row],[a1]]=1,[1]!T.in.A[[#This Row],[oo16]],"")</f>
        <v/>
      </c>
      <c r="AM1139" s="133" t="str">
        <f>IF(Tab.o1[[#This Row],[a1]]=1,IF(AM$3=1,[1]!T.in.A[[#This Row],[Σo16]],""),"")</f>
        <v/>
      </c>
      <c r="AN1139" s="126" t="str">
        <f>IF(Tab.o1[[#This Row],[a1]]=1,[1]!T.in.A[[#This Row],[Σp5]],"")</f>
        <v/>
      </c>
      <c r="AO1139" s="126" t="str">
        <f>IF(Tab.o1[[#This Row],[a1]]=1,IF(AO$3=1,[1]!T.in.A[[#This Row],[Σp5]],""),"")</f>
        <v/>
      </c>
      <c r="AP1139" s="110" t="str">
        <f>IF(Tab.o1[[#This Row],[a1]]=1,IF(ISNUMBER(Tab.o1[[#This Row],[i.]]),NORMDIST(Tab.o1[[#This Row],[Za]],0,1,FALSE)*Tab.o1[[#This Row],[i.]],0),"")</f>
        <v/>
      </c>
      <c r="AQ1139" s="125" t="str">
        <f>IF(Tab.o1[[#This Row],[a1]]=1,ABS(Tab.o1[[#This Row],[MOD]]-AVERAGE(Tab.o1[MOD])),"")</f>
        <v/>
      </c>
      <c r="AR1139" s="134" t="str">
        <f>IF(Tab.o1[[#This Row],[a1]]=1,Tab.o1[[#This Row],[OBS]]/SUM(Tab.o1[OBS]),"")</f>
        <v/>
      </c>
      <c r="AS1139" s="135" t="str">
        <f>IF(ISNUMBER(Tab.o1[[#This Row],[a1]]),ROW()-4,"")</f>
        <v/>
      </c>
      <c r="AT1139" s="136" t="str">
        <f>Tab.o1[[#This Row],[MOD]]</f>
        <v/>
      </c>
      <c r="AU1139" s="137" t="str">
        <f t="shared" si="69"/>
        <v/>
      </c>
      <c r="AV1139" s="138" t="str">
        <f t="shared" si="70"/>
        <v/>
      </c>
      <c r="AW1139" s="138" t="str">
        <f t="shared" si="71"/>
        <v/>
      </c>
      <c r="AX1139" s="139" t="str">
        <f>[1]!T.in.A[[#This Row],[ID_T_manu]]</f>
        <v/>
      </c>
      <c r="AY1139" s="140" t="str">
        <f>IF(ISNUMBER(Tab.o1[[#This Row],[a1]]),IF(AND(Tab.o1[[#This Row],[a1]]=1,Tab.o1[[#This Row],[b1]]&lt;=AY$4),#REF!,AY1138),"")</f>
        <v/>
      </c>
      <c r="AZ1139" s="25"/>
      <c r="BA1139" s="25"/>
      <c r="BB1139" s="25"/>
      <c r="BC1139" s="25"/>
      <c r="BD1139" s="25"/>
      <c r="BE1139" s="25"/>
      <c r="BF1139" s="25"/>
      <c r="BG1139" s="25"/>
      <c r="BH1139" s="25"/>
      <c r="BI1139" s="25"/>
      <c r="BJ1139" s="25"/>
      <c r="BK1139" s="25"/>
      <c r="BL1139" s="25"/>
      <c r="BM1139" s="25"/>
      <c r="BN1139" s="26"/>
      <c r="BO1139" s="26"/>
      <c r="BP1139" s="26"/>
      <c r="BQ1139" s="26"/>
      <c r="BR1139" s="26"/>
      <c r="BS1139" s="26"/>
      <c r="BT1139" s="26"/>
      <c r="BU1139" s="26"/>
      <c r="BV1139" s="26"/>
      <c r="BW1139" s="26"/>
      <c r="BX1139" s="26"/>
      <c r="BY1139" s="26"/>
      <c r="BZ1139" s="26"/>
      <c r="CA1139" s="26"/>
    </row>
    <row r="1140" spans="1:79" ht="15.75" hidden="1">
      <c r="A1140" s="109">
        <v>2.9999999999999997E-6</v>
      </c>
      <c r="B1140" s="110">
        <f t="shared" si="68"/>
        <v>1140</v>
      </c>
      <c r="C1140" s="111" t="str">
        <f>IF(C$1=[1]!T.in.A[[#This Row],[oo2]],1,"")</f>
        <v/>
      </c>
      <c r="D1140" s="112" t="str">
        <f>IF(Tab.o1[[#This Row],[a1]]=1,IF(SUM(C1140:C1141)=0,0,IF(SUM(C1139:C1140)=1,1,IF(SUM(C1139:C1141)&gt;1,D1139+1,0))),"")</f>
        <v/>
      </c>
      <c r="E1140" s="113" t="str">
        <f>IF(Tab.o1[[#This Row],[a1]]=1,[1]!T.in.A[[#This Row],[oo1]],"")</f>
        <v/>
      </c>
      <c r="F1140" s="113" t="str">
        <f>IF(Tab.o1[[#This Row],[a1]]=1,[1]!T.in.A[[#This Row],[pp1]],"")</f>
        <v/>
      </c>
      <c r="G1140" s="114" t="str">
        <f>IF(Tab.o1[[#This Row],[a1]]=1,G$2+IF(G$1=1,0,Tab.o1[[#This Row],[.x1]])+[1]!T.in.A[[#This Row],[oo3]],"")</f>
        <v/>
      </c>
      <c r="H1140" s="115" t="str">
        <f>IF(Tab.o1[[#This Row],[a1]]=1,IF(H$2=0,0,IF(G$1=1,0,Tab.o1[[#This Row],[.x1]])+[1]!T.in.A[[#This Row],[oo4]]),"")</f>
        <v/>
      </c>
      <c r="I1140" s="116" t="str">
        <f>IF(Tab.o1[[#This Row],[a1]]=1,IF(J$2=0,Tab.o1[[#This Row],[MED]],Tab.o1[[#This Row],[MOD]]),"")</f>
        <v/>
      </c>
      <c r="J1140" s="116" t="str">
        <f>IF(Tab.o1[[#This Row],[a1]]=1,((Tab.o1[[#This Row],[DIF_Target.]]-AVERAGE(Tab.o1[DIF_Target.]))/_xlfn.STDEV.P(Tab.o1[DIF_Target.])),"")</f>
        <v/>
      </c>
      <c r="K1140" s="117" t="str">
        <f>IF(Tab.o1[[#This Row],[a1]]=1,IF(J$2=0,Tab.o1[[#This Row],[MOD]]-Tab.o1[[#This Row],[B]],IF(J$2=1,0,-Tab.o1[[#This Row],[MED]])+Tab.o1[[#This Row],[B]]),"")</f>
        <v/>
      </c>
      <c r="L1140" s="117" t="str">
        <f ca="1">IF(Tab.o1[[#This Row],[DIF_Target]]=0,IF(L$2=0,Tab.o1[[#This Row],[DIF_Target]],AVERAGE(OFFSET(Tab.o1[[#This Row],[DIF_Target]],1,0,L$3,1)))/3,Tab.o1[[#This Row],[DIF_Target]])</f>
        <v/>
      </c>
      <c r="M1140" s="118" t="str">
        <f>IF(Tab.o1[[#This Row],[a1]]=1,NORMSDIST(Tab.o1[[#This Row],[Za]]),"")</f>
        <v/>
      </c>
      <c r="N1140" s="119" t="str">
        <f>IF(Tab.o1[[#This Row],[a1]]=1,((Tab.o1[[#This Row],[MedMod]]-AVERAGE(Tab.o1[MedMod]))/_xlfn.STDEV.P(Tab.o1[MedMod])*H$1205)+G$1205,"")</f>
        <v/>
      </c>
      <c r="O1140" s="141" t="str">
        <f>IF(Tab.o1[[#This Row],[a1]]=1,Tab.o1[[#This Row],[Zb]]*_xlfn.STDEV.P(Tab.o1[MedMod])+AVERAGE(Tab.o1[MedMod]),"")</f>
        <v/>
      </c>
      <c r="P1140" s="117" t="str">
        <f ca="1">IF(Tab.o1[[#This Row],[B]]=0,AVERAGE(OFFSET(Tab.o1[[#This Row],[B]],1,0,L$3,1)),Tab.o1[[#This Row],[B]])</f>
        <v/>
      </c>
      <c r="Q1140" s="121" t="str">
        <f>IF(Tab.o1[[#This Row],[a1]]=1,NORMSDIST(Tab.o1[[#This Row],[Zb]]),"")</f>
        <v/>
      </c>
      <c r="R1140" s="122" t="str">
        <f>IF(Tab.o1[[#This Row],[a1]]=1,((Tab.o1[[#This Row],[MedMod]]-AVERAGE(Tab.o1[MedMod]))/_xlfn.STDEV.P(Tab.o1[MedMod])*H$1203)+G$1203,"")</f>
        <v/>
      </c>
      <c r="S1140" s="122" t="str">
        <f>IF(Tab.o1[[#This Row],[a1]]=1,((Tab.o1[[#This Row],[MedMod]]-AVERAGE(Tab.o1[MedMod]))/_xlfn.STDEV.P(Tab.o1[MedMod])*H$1204)+G$1204,"")</f>
        <v/>
      </c>
      <c r="T1140" s="123" t="str">
        <f>IF(Tab.o1[[#This Row],[a1]]=1,Tab.o1[[#This Row],[Z-]]*_xlfn.STDEV.P(Tab.o1[B])+AVERAGE(Tab.o1[B]),"")</f>
        <v/>
      </c>
      <c r="U1140" s="123" t="str">
        <f>IF(Tab.o1[[#This Row],[a1]]=1,Tab.o1[[#This Row],[z+]]*_xlfn.STDEV.P(Tab.o1[B])+AVERAGE(Tab.o1[B]),"")</f>
        <v/>
      </c>
      <c r="V1140" s="124" t="str">
        <f>IF(Tab.o1[[#This Row],[a1]]=1,ABS((ABS(Tab.o1[[#This Row],[Red]]-Tab.o1[[#This Row],[Blue]]))),"")</f>
        <v/>
      </c>
      <c r="W1140" s="125" t="str">
        <f>IF(Tab.o1[[#This Row],[a1]]=1,IF(W$3=0,1,Tab.o1[[#This Row],[Amp.]]*1/_xlfn.MINIFS(Tab.o1[Amp.],Tab.o1[Amp.],"&lt;&gt;0")),"")</f>
        <v/>
      </c>
      <c r="X1140" s="126" t="str">
        <f>IF(Tab.o1[[#This Row],[a1]]=1,IF(ISNUMBER(Tab.o1[[#This Row],[i.]]),NORMDIST(Tab.o1[[#This Row],[Za]],0,1,FALSE)*Tab.o1[[#This Row],[i.]],AP$3),"")</f>
        <v/>
      </c>
      <c r="Y1140" s="126" t="str">
        <f>IF(Tab.o1[[#This Row],[a1]]=1,0.01+0.94*Tab.o1[[#This Row],[PDF]]/MAX(Tab.o1[PDF]),"")</f>
        <v/>
      </c>
      <c r="Z1140" s="126" t="str">
        <f>IF(Tab.o1[[#This Row],[a1]]=1,0.01+0.94*Tab.o1[[#This Row],[W1_PDF]]/MAX(Tab.o1[W1_PDF]),"")</f>
        <v/>
      </c>
      <c r="AA1140" s="118" t="str">
        <f>IF(Tab.o1[[#This Row],[a1]]=1,ABS([1]!T.in.A[[#This Row],[oo6]]),"")</f>
        <v/>
      </c>
      <c r="AB1140" s="127" t="str">
        <f>IF(Tab.o1[[#This Row],[a1]]=1,IF(AE$3=0,"",IF(AB$3=0,ABS([1]!T.in.A[[#This Row],[oo9]]),ABS(Tab.o1[[#This Row],[DIF_Target.]]*Tab.o1[[#This Row],[W1_PDF]]))),"")</f>
        <v/>
      </c>
      <c r="AC1140" s="127" t="str">
        <f>IF(G$1=1,"",IF(Tab.o1[[#This Row],[a1]]=1,Tab.o1[[#This Row],[Wr]]^2,""))</f>
        <v/>
      </c>
      <c r="AD1140" s="118" t="str">
        <f>IF(Tab.o1[[#This Row],[a1]]=1,IF(AE$3=0,"",Tab.o1[[#This Row],[Wr2]]/SUM(Tab.o1[Wr2])),"")</f>
        <v/>
      </c>
      <c r="AE1140" s="128" t="str">
        <f>IF(Tab.o1[[#This Row],[a1]]=1,[1]!T.in.A[[#This Row],[oo10]],"")</f>
        <v/>
      </c>
      <c r="AF1140" s="118" t="str">
        <f>IF(Tab.o1[[#This Row],[a1]]=1,ABS(Tab.o1[[#This Row],[DIF_Target.]]*Tab.o1[[#This Row],[PDF2]]*Tab.o1[[#This Row],[IN]]),"")</f>
        <v/>
      </c>
      <c r="AG1140" s="129" t="str">
        <f>IF(Tab.o1[[#This Row],[a1]]=1,Tab.o1[[#This Row],[rW]]^2,"")</f>
        <v/>
      </c>
      <c r="AH1140" s="130" t="str">
        <f>IF(Tab.o1[[#This Row],[a1]]=1,IF(AH$3=0,Tab.o1[[#This Row],[rW2]],0.01+0.94*Tab.o1[[#This Row],[rW2]]/SUM(Tab.o1[rW2])),"")</f>
        <v/>
      </c>
      <c r="AI1140" s="128" t="str">
        <f>IF(Tab.o1[[#This Row],[a1]]=1,1/Tab.o1[[#This Row],[PDF]],"")</f>
        <v/>
      </c>
      <c r="AJ1140" s="131" t="str">
        <f>IF(Tab.o1[[#This Row],[a1]]=1,[1]!T_AA[[#This Row],[IN'']]*[1]!T_AA[[#This Row],[Qde'']],"")</f>
        <v/>
      </c>
      <c r="AK1140" s="132" t="str">
        <f>IF(Tab.o1[[#This Row],[a1]]=1,IF(AK$1=1,Tab.o1[[#This Row],[MED]]+Tab.o1[[#This Row],[MOD]]-Tab.o1[[#This Row],[MED]],""),"")</f>
        <v/>
      </c>
      <c r="AL1140" s="133" t="str">
        <f>IF(Tab.o1[[#This Row],[a1]]=1,[1]!T.in.A[[#This Row],[oo16]],"")</f>
        <v/>
      </c>
      <c r="AM1140" s="133" t="str">
        <f>IF(Tab.o1[[#This Row],[a1]]=1,IF(AM$3=1,[1]!T.in.A[[#This Row],[Σo16]],""),"")</f>
        <v/>
      </c>
      <c r="AN1140" s="126" t="str">
        <f>IF(Tab.o1[[#This Row],[a1]]=1,[1]!T.in.A[[#This Row],[Σp5]],"")</f>
        <v/>
      </c>
      <c r="AO1140" s="126" t="str">
        <f>IF(Tab.o1[[#This Row],[a1]]=1,IF(AO$3=1,[1]!T.in.A[[#This Row],[Σp5]],""),"")</f>
        <v/>
      </c>
      <c r="AP1140" s="110" t="str">
        <f>IF(Tab.o1[[#This Row],[a1]]=1,IF(ISNUMBER(Tab.o1[[#This Row],[i.]]),NORMDIST(Tab.o1[[#This Row],[Za]],0,1,FALSE)*Tab.o1[[#This Row],[i.]],0),"")</f>
        <v/>
      </c>
      <c r="AQ1140" s="125" t="str">
        <f>IF(Tab.o1[[#This Row],[a1]]=1,ABS(Tab.o1[[#This Row],[MOD]]-AVERAGE(Tab.o1[MOD])),"")</f>
        <v/>
      </c>
      <c r="AR1140" s="134" t="str">
        <f>IF(Tab.o1[[#This Row],[a1]]=1,Tab.o1[[#This Row],[OBS]]/SUM(Tab.o1[OBS]),"")</f>
        <v/>
      </c>
      <c r="AS1140" s="135" t="str">
        <f>IF(ISNUMBER(Tab.o1[[#This Row],[a1]]),ROW()-4,"")</f>
        <v/>
      </c>
      <c r="AT1140" s="136" t="str">
        <f>Tab.o1[[#This Row],[MOD]]</f>
        <v/>
      </c>
      <c r="AU1140" s="137" t="str">
        <f t="shared" si="69"/>
        <v/>
      </c>
      <c r="AV1140" s="138" t="str">
        <f t="shared" si="70"/>
        <v/>
      </c>
      <c r="AW1140" s="138" t="str">
        <f t="shared" si="71"/>
        <v/>
      </c>
      <c r="AX1140" s="139" t="str">
        <f>[1]!T.in.A[[#This Row],[ID_T_manu]]</f>
        <v/>
      </c>
      <c r="AY1140" s="140" t="str">
        <f>IF(ISNUMBER(Tab.o1[[#This Row],[a1]]),IF(AND(Tab.o1[[#This Row],[a1]]=1,Tab.o1[[#This Row],[b1]]&lt;=AY$4),#REF!,AY1139),"")</f>
        <v/>
      </c>
      <c r="AZ1140" s="25"/>
      <c r="BA1140" s="25"/>
      <c r="BB1140" s="25"/>
      <c r="BC1140" s="25"/>
      <c r="BD1140" s="25"/>
      <c r="BE1140" s="25"/>
      <c r="BF1140" s="25"/>
      <c r="BG1140" s="25"/>
      <c r="BH1140" s="25"/>
      <c r="BI1140" s="25"/>
      <c r="BJ1140" s="25"/>
      <c r="BK1140" s="25"/>
      <c r="BL1140" s="25"/>
      <c r="BM1140" s="25"/>
      <c r="BN1140" s="26"/>
      <c r="BO1140" s="26"/>
      <c r="BP1140" s="26"/>
      <c r="BQ1140" s="26"/>
      <c r="BR1140" s="26"/>
      <c r="BS1140" s="26"/>
      <c r="BT1140" s="26"/>
      <c r="BU1140" s="26"/>
      <c r="BV1140" s="26"/>
      <c r="BW1140" s="26"/>
      <c r="BX1140" s="26"/>
      <c r="BY1140" s="26"/>
      <c r="BZ1140" s="26"/>
      <c r="CA1140" s="26"/>
    </row>
    <row r="1141" spans="1:79" ht="15.75" hidden="1">
      <c r="A1141" s="109">
        <v>-4.0000000000000007E-6</v>
      </c>
      <c r="B1141" s="110">
        <f t="shared" si="68"/>
        <v>1141</v>
      </c>
      <c r="C1141" s="111" t="str">
        <f>IF(C$1=[1]!T.in.A[[#This Row],[oo2]],1,"")</f>
        <v/>
      </c>
      <c r="D1141" s="112" t="str">
        <f>IF(Tab.o1[[#This Row],[a1]]=1,IF(SUM(C1141:C1142)=0,0,IF(SUM(C1140:C1141)=1,1,IF(SUM(C1140:C1142)&gt;1,D1140+1,0))),"")</f>
        <v/>
      </c>
      <c r="E1141" s="113" t="str">
        <f>IF(Tab.o1[[#This Row],[a1]]=1,[1]!T.in.A[[#This Row],[oo1]],"")</f>
        <v/>
      </c>
      <c r="F1141" s="113" t="str">
        <f>IF(Tab.o1[[#This Row],[a1]]=1,[1]!T.in.A[[#This Row],[pp1]],"")</f>
        <v/>
      </c>
      <c r="G1141" s="114" t="str">
        <f>IF(Tab.o1[[#This Row],[a1]]=1,G$2+IF(G$1=1,0,Tab.o1[[#This Row],[.x1]])+[1]!T.in.A[[#This Row],[oo3]],"")</f>
        <v/>
      </c>
      <c r="H1141" s="115" t="str">
        <f>IF(Tab.o1[[#This Row],[a1]]=1,IF(H$2=0,0,IF(G$1=1,0,Tab.o1[[#This Row],[.x1]])+[1]!T.in.A[[#This Row],[oo4]]),"")</f>
        <v/>
      </c>
      <c r="I1141" s="116" t="str">
        <f>IF(Tab.o1[[#This Row],[a1]]=1,IF(J$2=0,Tab.o1[[#This Row],[MED]],Tab.o1[[#This Row],[MOD]]),"")</f>
        <v/>
      </c>
      <c r="J1141" s="116" t="str">
        <f>IF(Tab.o1[[#This Row],[a1]]=1,((Tab.o1[[#This Row],[DIF_Target.]]-AVERAGE(Tab.o1[DIF_Target.]))/_xlfn.STDEV.P(Tab.o1[DIF_Target.])),"")</f>
        <v/>
      </c>
      <c r="K1141" s="117" t="str">
        <f>IF(Tab.o1[[#This Row],[a1]]=1,IF(J$2=0,Tab.o1[[#This Row],[MOD]]-Tab.o1[[#This Row],[B]],IF(J$2=1,0,-Tab.o1[[#This Row],[MED]])+Tab.o1[[#This Row],[B]]),"")</f>
        <v/>
      </c>
      <c r="L1141" s="117" t="str">
        <f ca="1">IF(Tab.o1[[#This Row],[DIF_Target]]=0,IF(L$2=0,Tab.o1[[#This Row],[DIF_Target]],AVERAGE(OFFSET(Tab.o1[[#This Row],[DIF_Target]],1,0,L$3,1)))/3,Tab.o1[[#This Row],[DIF_Target]])</f>
        <v/>
      </c>
      <c r="M1141" s="118" t="str">
        <f>IF(Tab.o1[[#This Row],[a1]]=1,NORMSDIST(Tab.o1[[#This Row],[Za]]),"")</f>
        <v/>
      </c>
      <c r="N1141" s="119" t="str">
        <f>IF(Tab.o1[[#This Row],[a1]]=1,((Tab.o1[[#This Row],[MedMod]]-AVERAGE(Tab.o1[MedMod]))/_xlfn.STDEV.P(Tab.o1[MedMod])*H$1205)+G$1205,"")</f>
        <v/>
      </c>
      <c r="O1141" s="141" t="str">
        <f>IF(Tab.o1[[#This Row],[a1]]=1,Tab.o1[[#This Row],[Zb]]*_xlfn.STDEV.P(Tab.o1[MedMod])+AVERAGE(Tab.o1[MedMod]),"")</f>
        <v/>
      </c>
      <c r="P1141" s="117" t="str">
        <f ca="1">IF(Tab.o1[[#This Row],[B]]=0,AVERAGE(OFFSET(Tab.o1[[#This Row],[B]],1,0,L$3,1)),Tab.o1[[#This Row],[B]])</f>
        <v/>
      </c>
      <c r="Q1141" s="121" t="str">
        <f>IF(Tab.o1[[#This Row],[a1]]=1,NORMSDIST(Tab.o1[[#This Row],[Zb]]),"")</f>
        <v/>
      </c>
      <c r="R1141" s="122" t="str">
        <f>IF(Tab.o1[[#This Row],[a1]]=1,((Tab.o1[[#This Row],[MedMod]]-AVERAGE(Tab.o1[MedMod]))/_xlfn.STDEV.P(Tab.o1[MedMod])*H$1203)+G$1203,"")</f>
        <v/>
      </c>
      <c r="S1141" s="122" t="str">
        <f>IF(Tab.o1[[#This Row],[a1]]=1,((Tab.o1[[#This Row],[MedMod]]-AVERAGE(Tab.o1[MedMod]))/_xlfn.STDEV.P(Tab.o1[MedMod])*H$1204)+G$1204,"")</f>
        <v/>
      </c>
      <c r="T1141" s="123" t="str">
        <f>IF(Tab.o1[[#This Row],[a1]]=1,Tab.o1[[#This Row],[Z-]]*_xlfn.STDEV.P(Tab.o1[B])+AVERAGE(Tab.o1[B]),"")</f>
        <v/>
      </c>
      <c r="U1141" s="123" t="str">
        <f>IF(Tab.o1[[#This Row],[a1]]=1,Tab.o1[[#This Row],[z+]]*_xlfn.STDEV.P(Tab.o1[B])+AVERAGE(Tab.o1[B]),"")</f>
        <v/>
      </c>
      <c r="V1141" s="124" t="str">
        <f>IF(Tab.o1[[#This Row],[a1]]=1,ABS((ABS(Tab.o1[[#This Row],[Red]]-Tab.o1[[#This Row],[Blue]]))),"")</f>
        <v/>
      </c>
      <c r="W1141" s="125" t="str">
        <f>IF(Tab.o1[[#This Row],[a1]]=1,IF(W$3=0,1,Tab.o1[[#This Row],[Amp.]]*1/_xlfn.MINIFS(Tab.o1[Amp.],Tab.o1[Amp.],"&lt;&gt;0")),"")</f>
        <v/>
      </c>
      <c r="X1141" s="126" t="str">
        <f>IF(Tab.o1[[#This Row],[a1]]=1,IF(ISNUMBER(Tab.o1[[#This Row],[i.]]),NORMDIST(Tab.o1[[#This Row],[Za]],0,1,FALSE)*Tab.o1[[#This Row],[i.]],AP$3),"")</f>
        <v/>
      </c>
      <c r="Y1141" s="126" t="str">
        <f>IF(Tab.o1[[#This Row],[a1]]=1,0.01+0.94*Tab.o1[[#This Row],[PDF]]/MAX(Tab.o1[PDF]),"")</f>
        <v/>
      </c>
      <c r="Z1141" s="126" t="str">
        <f>IF(Tab.o1[[#This Row],[a1]]=1,0.01+0.94*Tab.o1[[#This Row],[W1_PDF]]/MAX(Tab.o1[W1_PDF]),"")</f>
        <v/>
      </c>
      <c r="AA1141" s="118" t="str">
        <f>IF(Tab.o1[[#This Row],[a1]]=1,ABS([1]!T.in.A[[#This Row],[oo6]]),"")</f>
        <v/>
      </c>
      <c r="AB1141" s="127" t="str">
        <f>IF(Tab.o1[[#This Row],[a1]]=1,IF(AE$3=0,"",IF(AB$3=0,ABS([1]!T.in.A[[#This Row],[oo9]]),ABS(Tab.o1[[#This Row],[DIF_Target.]]*Tab.o1[[#This Row],[W1_PDF]]))),"")</f>
        <v/>
      </c>
      <c r="AC1141" s="127" t="str">
        <f>IF(G$1=1,"",IF(Tab.o1[[#This Row],[a1]]=1,Tab.o1[[#This Row],[Wr]]^2,""))</f>
        <v/>
      </c>
      <c r="AD1141" s="118" t="str">
        <f>IF(Tab.o1[[#This Row],[a1]]=1,IF(AE$3=0,"",Tab.o1[[#This Row],[Wr2]]/SUM(Tab.o1[Wr2])),"")</f>
        <v/>
      </c>
      <c r="AE1141" s="128" t="str">
        <f>IF(Tab.o1[[#This Row],[a1]]=1,[1]!T.in.A[[#This Row],[oo10]],"")</f>
        <v/>
      </c>
      <c r="AF1141" s="118" t="str">
        <f>IF(Tab.o1[[#This Row],[a1]]=1,ABS(Tab.o1[[#This Row],[DIF_Target.]]*Tab.o1[[#This Row],[PDF2]]*Tab.o1[[#This Row],[IN]]),"")</f>
        <v/>
      </c>
      <c r="AG1141" s="129" t="str">
        <f>IF(Tab.o1[[#This Row],[a1]]=1,Tab.o1[[#This Row],[rW]]^2,"")</f>
        <v/>
      </c>
      <c r="AH1141" s="130" t="str">
        <f>IF(Tab.o1[[#This Row],[a1]]=1,IF(AH$3=0,Tab.o1[[#This Row],[rW2]],0.01+0.94*Tab.o1[[#This Row],[rW2]]/SUM(Tab.o1[rW2])),"")</f>
        <v/>
      </c>
      <c r="AI1141" s="128" t="str">
        <f>IF(Tab.o1[[#This Row],[a1]]=1,1/Tab.o1[[#This Row],[PDF]],"")</f>
        <v/>
      </c>
      <c r="AJ1141" s="131" t="str">
        <f>IF(Tab.o1[[#This Row],[a1]]=1,[1]!T_AA[[#This Row],[IN'']]*[1]!T_AA[[#This Row],[Qde'']],"")</f>
        <v/>
      </c>
      <c r="AK1141" s="132" t="str">
        <f>IF(Tab.o1[[#This Row],[a1]]=1,IF(AK$1=1,Tab.o1[[#This Row],[MED]]+Tab.o1[[#This Row],[MOD]]-Tab.o1[[#This Row],[MED]],""),"")</f>
        <v/>
      </c>
      <c r="AL1141" s="133" t="str">
        <f>IF(Tab.o1[[#This Row],[a1]]=1,[1]!T.in.A[[#This Row],[oo16]],"")</f>
        <v/>
      </c>
      <c r="AM1141" s="133" t="str">
        <f>IF(Tab.o1[[#This Row],[a1]]=1,IF(AM$3=1,[1]!T.in.A[[#This Row],[Σo16]],""),"")</f>
        <v/>
      </c>
      <c r="AN1141" s="126" t="str">
        <f>IF(Tab.o1[[#This Row],[a1]]=1,[1]!T.in.A[[#This Row],[Σp5]],"")</f>
        <v/>
      </c>
      <c r="AO1141" s="126" t="str">
        <f>IF(Tab.o1[[#This Row],[a1]]=1,IF(AO$3=1,[1]!T.in.A[[#This Row],[Σp5]],""),"")</f>
        <v/>
      </c>
      <c r="AP1141" s="110" t="str">
        <f>IF(Tab.o1[[#This Row],[a1]]=1,IF(ISNUMBER(Tab.o1[[#This Row],[i.]]),NORMDIST(Tab.o1[[#This Row],[Za]],0,1,FALSE)*Tab.o1[[#This Row],[i.]],0),"")</f>
        <v/>
      </c>
      <c r="AQ1141" s="125" t="str">
        <f>IF(Tab.o1[[#This Row],[a1]]=1,ABS(Tab.o1[[#This Row],[MOD]]-AVERAGE(Tab.o1[MOD])),"")</f>
        <v/>
      </c>
      <c r="AR1141" s="134" t="str">
        <f>IF(Tab.o1[[#This Row],[a1]]=1,Tab.o1[[#This Row],[OBS]]/SUM(Tab.o1[OBS]),"")</f>
        <v/>
      </c>
      <c r="AS1141" s="135" t="str">
        <f>IF(ISNUMBER(Tab.o1[[#This Row],[a1]]),ROW()-4,"")</f>
        <v/>
      </c>
      <c r="AT1141" s="136" t="str">
        <f>Tab.o1[[#This Row],[MOD]]</f>
        <v/>
      </c>
      <c r="AU1141" s="137" t="str">
        <f t="shared" si="69"/>
        <v/>
      </c>
      <c r="AV1141" s="138" t="str">
        <f t="shared" si="70"/>
        <v/>
      </c>
      <c r="AW1141" s="138" t="str">
        <f t="shared" si="71"/>
        <v/>
      </c>
      <c r="AX1141" s="139" t="str">
        <f>[1]!T.in.A[[#This Row],[ID_T_manu]]</f>
        <v/>
      </c>
      <c r="AY1141" s="140" t="str">
        <f>IF(ISNUMBER(Tab.o1[[#This Row],[a1]]),IF(AND(Tab.o1[[#This Row],[a1]]=1,Tab.o1[[#This Row],[b1]]&lt;=AY$4),#REF!,AY1140),"")</f>
        <v/>
      </c>
      <c r="AZ1141" s="25"/>
      <c r="BA1141" s="25"/>
      <c r="BB1141" s="25"/>
      <c r="BC1141" s="25"/>
      <c r="BD1141" s="25"/>
      <c r="BE1141" s="25"/>
      <c r="BF1141" s="25"/>
      <c r="BG1141" s="25"/>
      <c r="BH1141" s="25"/>
      <c r="BI1141" s="25"/>
      <c r="BJ1141" s="25"/>
      <c r="BK1141" s="25"/>
      <c r="BL1141" s="25"/>
      <c r="BM1141" s="25"/>
      <c r="BN1141" s="26"/>
      <c r="BO1141" s="26"/>
      <c r="BP1141" s="26"/>
      <c r="BQ1141" s="26"/>
      <c r="BR1141" s="26"/>
      <c r="BS1141" s="26"/>
      <c r="BT1141" s="26"/>
      <c r="BU1141" s="26"/>
      <c r="BV1141" s="26"/>
      <c r="BW1141" s="26"/>
      <c r="BX1141" s="26"/>
      <c r="BY1141" s="26"/>
      <c r="BZ1141" s="26"/>
      <c r="CA1141" s="26"/>
    </row>
    <row r="1142" spans="1:79" ht="15.75" hidden="1">
      <c r="A1142" s="109">
        <v>2.9999999999999997E-6</v>
      </c>
      <c r="B1142" s="110">
        <f t="shared" si="68"/>
        <v>1142</v>
      </c>
      <c r="C1142" s="111" t="str">
        <f>IF(C$1=[1]!T.in.A[[#This Row],[oo2]],1,"")</f>
        <v/>
      </c>
      <c r="D1142" s="112" t="str">
        <f>IF(Tab.o1[[#This Row],[a1]]=1,IF(SUM(C1142:C1143)=0,0,IF(SUM(C1141:C1142)=1,1,IF(SUM(C1141:C1143)&gt;1,D1141+1,0))),"")</f>
        <v/>
      </c>
      <c r="E1142" s="113" t="str">
        <f>IF(Tab.o1[[#This Row],[a1]]=1,[1]!T.in.A[[#This Row],[oo1]],"")</f>
        <v/>
      </c>
      <c r="F1142" s="113" t="str">
        <f>IF(Tab.o1[[#This Row],[a1]]=1,[1]!T.in.A[[#This Row],[pp1]],"")</f>
        <v/>
      </c>
      <c r="G1142" s="114" t="str">
        <f>IF(Tab.o1[[#This Row],[a1]]=1,G$2+IF(G$1=1,0,Tab.o1[[#This Row],[.x1]])+[1]!T.in.A[[#This Row],[oo3]],"")</f>
        <v/>
      </c>
      <c r="H1142" s="115" t="str">
        <f>IF(Tab.o1[[#This Row],[a1]]=1,IF(H$2=0,0,IF(G$1=1,0,Tab.o1[[#This Row],[.x1]])+[1]!T.in.A[[#This Row],[oo4]]),"")</f>
        <v/>
      </c>
      <c r="I1142" s="116" t="str">
        <f>IF(Tab.o1[[#This Row],[a1]]=1,IF(J$2=0,Tab.o1[[#This Row],[MED]],Tab.o1[[#This Row],[MOD]]),"")</f>
        <v/>
      </c>
      <c r="J1142" s="116" t="str">
        <f>IF(Tab.o1[[#This Row],[a1]]=1,((Tab.o1[[#This Row],[DIF_Target.]]-AVERAGE(Tab.o1[DIF_Target.]))/_xlfn.STDEV.P(Tab.o1[DIF_Target.])),"")</f>
        <v/>
      </c>
      <c r="K1142" s="117" t="str">
        <f>IF(Tab.o1[[#This Row],[a1]]=1,IF(J$2=0,Tab.o1[[#This Row],[MOD]]-Tab.o1[[#This Row],[B]],IF(J$2=1,0,-Tab.o1[[#This Row],[MED]])+Tab.o1[[#This Row],[B]]),"")</f>
        <v/>
      </c>
      <c r="L1142" s="117" t="str">
        <f ca="1">IF(Tab.o1[[#This Row],[DIF_Target]]=0,IF(L$2=0,Tab.o1[[#This Row],[DIF_Target]],AVERAGE(OFFSET(Tab.o1[[#This Row],[DIF_Target]],1,0,L$3,1)))/3,Tab.o1[[#This Row],[DIF_Target]])</f>
        <v/>
      </c>
      <c r="M1142" s="118" t="str">
        <f>IF(Tab.o1[[#This Row],[a1]]=1,NORMSDIST(Tab.o1[[#This Row],[Za]]),"")</f>
        <v/>
      </c>
      <c r="N1142" s="119" t="str">
        <f>IF(Tab.o1[[#This Row],[a1]]=1,((Tab.o1[[#This Row],[MedMod]]-AVERAGE(Tab.o1[MedMod]))/_xlfn.STDEV.P(Tab.o1[MedMod])*H$1205)+G$1205,"")</f>
        <v/>
      </c>
      <c r="O1142" s="141" t="str">
        <f>IF(Tab.o1[[#This Row],[a1]]=1,Tab.o1[[#This Row],[Zb]]*_xlfn.STDEV.P(Tab.o1[MedMod])+AVERAGE(Tab.o1[MedMod]),"")</f>
        <v/>
      </c>
      <c r="P1142" s="117" t="str">
        <f ca="1">IF(Tab.o1[[#This Row],[B]]=0,AVERAGE(OFFSET(Tab.o1[[#This Row],[B]],1,0,L$3,1)),Tab.o1[[#This Row],[B]])</f>
        <v/>
      </c>
      <c r="Q1142" s="121" t="str">
        <f>IF(Tab.o1[[#This Row],[a1]]=1,NORMSDIST(Tab.o1[[#This Row],[Zb]]),"")</f>
        <v/>
      </c>
      <c r="R1142" s="122" t="str">
        <f>IF(Tab.o1[[#This Row],[a1]]=1,((Tab.o1[[#This Row],[MedMod]]-AVERAGE(Tab.o1[MedMod]))/_xlfn.STDEV.P(Tab.o1[MedMod])*H$1203)+G$1203,"")</f>
        <v/>
      </c>
      <c r="S1142" s="122" t="str">
        <f>IF(Tab.o1[[#This Row],[a1]]=1,((Tab.o1[[#This Row],[MedMod]]-AVERAGE(Tab.o1[MedMod]))/_xlfn.STDEV.P(Tab.o1[MedMod])*H$1204)+G$1204,"")</f>
        <v/>
      </c>
      <c r="T1142" s="123" t="str">
        <f>IF(Tab.o1[[#This Row],[a1]]=1,Tab.o1[[#This Row],[Z-]]*_xlfn.STDEV.P(Tab.o1[B])+AVERAGE(Tab.o1[B]),"")</f>
        <v/>
      </c>
      <c r="U1142" s="123" t="str">
        <f>IF(Tab.o1[[#This Row],[a1]]=1,Tab.o1[[#This Row],[z+]]*_xlfn.STDEV.P(Tab.o1[B])+AVERAGE(Tab.o1[B]),"")</f>
        <v/>
      </c>
      <c r="V1142" s="124" t="str">
        <f>IF(Tab.o1[[#This Row],[a1]]=1,ABS((ABS(Tab.o1[[#This Row],[Red]]-Tab.o1[[#This Row],[Blue]]))),"")</f>
        <v/>
      </c>
      <c r="W1142" s="125" t="str">
        <f>IF(Tab.o1[[#This Row],[a1]]=1,IF(W$3=0,1,Tab.o1[[#This Row],[Amp.]]*1/_xlfn.MINIFS(Tab.o1[Amp.],Tab.o1[Amp.],"&lt;&gt;0")),"")</f>
        <v/>
      </c>
      <c r="X1142" s="126" t="str">
        <f>IF(Tab.o1[[#This Row],[a1]]=1,IF(ISNUMBER(Tab.o1[[#This Row],[i.]]),NORMDIST(Tab.o1[[#This Row],[Za]],0,1,FALSE)*Tab.o1[[#This Row],[i.]],AP$3),"")</f>
        <v/>
      </c>
      <c r="Y1142" s="126" t="str">
        <f>IF(Tab.o1[[#This Row],[a1]]=1,0.01+0.94*Tab.o1[[#This Row],[PDF]]/MAX(Tab.o1[PDF]),"")</f>
        <v/>
      </c>
      <c r="Z1142" s="126" t="str">
        <f>IF(Tab.o1[[#This Row],[a1]]=1,0.01+0.94*Tab.o1[[#This Row],[W1_PDF]]/MAX(Tab.o1[W1_PDF]),"")</f>
        <v/>
      </c>
      <c r="AA1142" s="118" t="str">
        <f>IF(Tab.o1[[#This Row],[a1]]=1,ABS([1]!T.in.A[[#This Row],[oo6]]),"")</f>
        <v/>
      </c>
      <c r="AB1142" s="127" t="str">
        <f>IF(Tab.o1[[#This Row],[a1]]=1,IF(AE$3=0,"",IF(AB$3=0,ABS([1]!T.in.A[[#This Row],[oo9]]),ABS(Tab.o1[[#This Row],[DIF_Target.]]*Tab.o1[[#This Row],[W1_PDF]]))),"")</f>
        <v/>
      </c>
      <c r="AC1142" s="127" t="str">
        <f>IF(G$1=1,"",IF(Tab.o1[[#This Row],[a1]]=1,Tab.o1[[#This Row],[Wr]]^2,""))</f>
        <v/>
      </c>
      <c r="AD1142" s="118" t="str">
        <f>IF(Tab.o1[[#This Row],[a1]]=1,IF(AE$3=0,"",Tab.o1[[#This Row],[Wr2]]/SUM(Tab.o1[Wr2])),"")</f>
        <v/>
      </c>
      <c r="AE1142" s="128" t="str">
        <f>IF(Tab.o1[[#This Row],[a1]]=1,[1]!T.in.A[[#This Row],[oo10]],"")</f>
        <v/>
      </c>
      <c r="AF1142" s="118" t="str">
        <f>IF(Tab.o1[[#This Row],[a1]]=1,ABS(Tab.o1[[#This Row],[DIF_Target.]]*Tab.o1[[#This Row],[PDF2]]*Tab.o1[[#This Row],[IN]]),"")</f>
        <v/>
      </c>
      <c r="AG1142" s="129" t="str">
        <f>IF(Tab.o1[[#This Row],[a1]]=1,Tab.o1[[#This Row],[rW]]^2,"")</f>
        <v/>
      </c>
      <c r="AH1142" s="130" t="str">
        <f>IF(Tab.o1[[#This Row],[a1]]=1,IF(AH$3=0,Tab.o1[[#This Row],[rW2]],0.01+0.94*Tab.o1[[#This Row],[rW2]]/SUM(Tab.o1[rW2])),"")</f>
        <v/>
      </c>
      <c r="AI1142" s="128" t="str">
        <f>IF(Tab.o1[[#This Row],[a1]]=1,1/Tab.o1[[#This Row],[PDF]],"")</f>
        <v/>
      </c>
      <c r="AJ1142" s="131" t="str">
        <f>IF(Tab.o1[[#This Row],[a1]]=1,[1]!T_AA[[#This Row],[IN'']]*[1]!T_AA[[#This Row],[Qde'']],"")</f>
        <v/>
      </c>
      <c r="AK1142" s="132" t="str">
        <f>IF(Tab.o1[[#This Row],[a1]]=1,IF(AK$1=1,Tab.o1[[#This Row],[MED]]+Tab.o1[[#This Row],[MOD]]-Tab.o1[[#This Row],[MED]],""),"")</f>
        <v/>
      </c>
      <c r="AL1142" s="133" t="str">
        <f>IF(Tab.o1[[#This Row],[a1]]=1,[1]!T.in.A[[#This Row],[oo16]],"")</f>
        <v/>
      </c>
      <c r="AM1142" s="133" t="str">
        <f>IF(Tab.o1[[#This Row],[a1]]=1,IF(AM$3=1,[1]!T.in.A[[#This Row],[Σo16]],""),"")</f>
        <v/>
      </c>
      <c r="AN1142" s="126" t="str">
        <f>IF(Tab.o1[[#This Row],[a1]]=1,[1]!T.in.A[[#This Row],[Σp5]],"")</f>
        <v/>
      </c>
      <c r="AO1142" s="126" t="str">
        <f>IF(Tab.o1[[#This Row],[a1]]=1,IF(AO$3=1,[1]!T.in.A[[#This Row],[Σp5]],""),"")</f>
        <v/>
      </c>
      <c r="AP1142" s="110" t="str">
        <f>IF(Tab.o1[[#This Row],[a1]]=1,IF(ISNUMBER(Tab.o1[[#This Row],[i.]]),NORMDIST(Tab.o1[[#This Row],[Za]],0,1,FALSE)*Tab.o1[[#This Row],[i.]],0),"")</f>
        <v/>
      </c>
      <c r="AQ1142" s="125" t="str">
        <f>IF(Tab.o1[[#This Row],[a1]]=1,ABS(Tab.o1[[#This Row],[MOD]]-AVERAGE(Tab.o1[MOD])),"")</f>
        <v/>
      </c>
      <c r="AR1142" s="134" t="str">
        <f>IF(Tab.o1[[#This Row],[a1]]=1,Tab.o1[[#This Row],[OBS]]/SUM(Tab.o1[OBS]),"")</f>
        <v/>
      </c>
      <c r="AS1142" s="135" t="str">
        <f>IF(ISNUMBER(Tab.o1[[#This Row],[a1]]),ROW()-4,"")</f>
        <v/>
      </c>
      <c r="AT1142" s="136" t="str">
        <f>Tab.o1[[#This Row],[MOD]]</f>
        <v/>
      </c>
      <c r="AU1142" s="137" t="str">
        <f t="shared" si="69"/>
        <v/>
      </c>
      <c r="AV1142" s="138" t="str">
        <f t="shared" si="70"/>
        <v/>
      </c>
      <c r="AW1142" s="138" t="str">
        <f t="shared" si="71"/>
        <v/>
      </c>
      <c r="AX1142" s="139" t="str">
        <f>[1]!T.in.A[[#This Row],[ID_T_manu]]</f>
        <v/>
      </c>
      <c r="AY1142" s="140" t="str">
        <f>IF(ISNUMBER(Tab.o1[[#This Row],[a1]]),IF(AND(Tab.o1[[#This Row],[a1]]=1,Tab.o1[[#This Row],[b1]]&lt;=AY$4),#REF!,AY1141),"")</f>
        <v/>
      </c>
      <c r="AZ1142" s="25"/>
      <c r="BA1142" s="25"/>
      <c r="BB1142" s="25"/>
      <c r="BC1142" s="25"/>
      <c r="BD1142" s="25"/>
      <c r="BE1142" s="25"/>
      <c r="BF1142" s="25"/>
      <c r="BG1142" s="25"/>
      <c r="BH1142" s="25"/>
      <c r="BI1142" s="25"/>
      <c r="BJ1142" s="25"/>
      <c r="BK1142" s="25"/>
      <c r="BL1142" s="25"/>
      <c r="BM1142" s="25"/>
      <c r="BN1142" s="26"/>
      <c r="BO1142" s="26"/>
      <c r="BP1142" s="26"/>
      <c r="BQ1142" s="26"/>
      <c r="BR1142" s="26"/>
      <c r="BS1142" s="26"/>
      <c r="BT1142" s="26"/>
      <c r="BU1142" s="26"/>
      <c r="BV1142" s="26"/>
      <c r="BW1142" s="26"/>
      <c r="BX1142" s="26"/>
      <c r="BY1142" s="26"/>
      <c r="BZ1142" s="26"/>
      <c r="CA1142" s="26"/>
    </row>
    <row r="1143" spans="1:79" ht="15.75" hidden="1">
      <c r="A1143" s="109">
        <v>-5.0000000000000004E-6</v>
      </c>
      <c r="B1143" s="110">
        <f t="shared" si="68"/>
        <v>1143</v>
      </c>
      <c r="C1143" s="111" t="str">
        <f>IF(C$1=[1]!T.in.A[[#This Row],[oo2]],1,"")</f>
        <v/>
      </c>
      <c r="D1143" s="112" t="str">
        <f>IF(Tab.o1[[#This Row],[a1]]=1,IF(SUM(C1143:C1144)=0,0,IF(SUM(C1142:C1143)=1,1,IF(SUM(C1142:C1144)&gt;1,D1142+1,0))),"")</f>
        <v/>
      </c>
      <c r="E1143" s="113" t="str">
        <f>IF(Tab.o1[[#This Row],[a1]]=1,[1]!T.in.A[[#This Row],[oo1]],"")</f>
        <v/>
      </c>
      <c r="F1143" s="113" t="str">
        <f>IF(Tab.o1[[#This Row],[a1]]=1,[1]!T.in.A[[#This Row],[pp1]],"")</f>
        <v/>
      </c>
      <c r="G1143" s="114" t="str">
        <f>IF(Tab.o1[[#This Row],[a1]]=1,G$2+IF(G$1=1,0,Tab.o1[[#This Row],[.x1]])+[1]!T.in.A[[#This Row],[oo3]],"")</f>
        <v/>
      </c>
      <c r="H1143" s="115" t="str">
        <f>IF(Tab.o1[[#This Row],[a1]]=1,IF(H$2=0,0,IF(G$1=1,0,Tab.o1[[#This Row],[.x1]])+[1]!T.in.A[[#This Row],[oo4]]),"")</f>
        <v/>
      </c>
      <c r="I1143" s="116" t="str">
        <f>IF(Tab.o1[[#This Row],[a1]]=1,IF(J$2=0,Tab.o1[[#This Row],[MED]],Tab.o1[[#This Row],[MOD]]),"")</f>
        <v/>
      </c>
      <c r="J1143" s="116" t="str">
        <f>IF(Tab.o1[[#This Row],[a1]]=1,((Tab.o1[[#This Row],[DIF_Target.]]-AVERAGE(Tab.o1[DIF_Target.]))/_xlfn.STDEV.P(Tab.o1[DIF_Target.])),"")</f>
        <v/>
      </c>
      <c r="K1143" s="117" t="str">
        <f>IF(Tab.o1[[#This Row],[a1]]=1,IF(J$2=0,Tab.o1[[#This Row],[MOD]]-Tab.o1[[#This Row],[B]],IF(J$2=1,0,-Tab.o1[[#This Row],[MED]])+Tab.o1[[#This Row],[B]]),"")</f>
        <v/>
      </c>
      <c r="L1143" s="117" t="str">
        <f ca="1">IF(Tab.o1[[#This Row],[DIF_Target]]=0,IF(L$2=0,Tab.o1[[#This Row],[DIF_Target]],AVERAGE(OFFSET(Tab.o1[[#This Row],[DIF_Target]],1,0,L$3,1)))/3,Tab.o1[[#This Row],[DIF_Target]])</f>
        <v/>
      </c>
      <c r="M1143" s="118" t="str">
        <f>IF(Tab.o1[[#This Row],[a1]]=1,NORMSDIST(Tab.o1[[#This Row],[Za]]),"")</f>
        <v/>
      </c>
      <c r="N1143" s="119" t="str">
        <f>IF(Tab.o1[[#This Row],[a1]]=1,((Tab.o1[[#This Row],[MedMod]]-AVERAGE(Tab.o1[MedMod]))/_xlfn.STDEV.P(Tab.o1[MedMod])*H$1205)+G$1205,"")</f>
        <v/>
      </c>
      <c r="O1143" s="141" t="str">
        <f>IF(Tab.o1[[#This Row],[a1]]=1,Tab.o1[[#This Row],[Zb]]*_xlfn.STDEV.P(Tab.o1[MedMod])+AVERAGE(Tab.o1[MedMod]),"")</f>
        <v/>
      </c>
      <c r="P1143" s="117" t="str">
        <f ca="1">IF(Tab.o1[[#This Row],[B]]=0,AVERAGE(OFFSET(Tab.o1[[#This Row],[B]],1,0,L$3,1)),Tab.o1[[#This Row],[B]])</f>
        <v/>
      </c>
      <c r="Q1143" s="121" t="str">
        <f>IF(Tab.o1[[#This Row],[a1]]=1,NORMSDIST(Tab.o1[[#This Row],[Zb]]),"")</f>
        <v/>
      </c>
      <c r="R1143" s="122" t="str">
        <f>IF(Tab.o1[[#This Row],[a1]]=1,((Tab.o1[[#This Row],[MedMod]]-AVERAGE(Tab.o1[MedMod]))/_xlfn.STDEV.P(Tab.o1[MedMod])*H$1203)+G$1203,"")</f>
        <v/>
      </c>
      <c r="S1143" s="122" t="str">
        <f>IF(Tab.o1[[#This Row],[a1]]=1,((Tab.o1[[#This Row],[MedMod]]-AVERAGE(Tab.o1[MedMod]))/_xlfn.STDEV.P(Tab.o1[MedMod])*H$1204)+G$1204,"")</f>
        <v/>
      </c>
      <c r="T1143" s="123" t="str">
        <f>IF(Tab.o1[[#This Row],[a1]]=1,Tab.o1[[#This Row],[Z-]]*_xlfn.STDEV.P(Tab.o1[B])+AVERAGE(Tab.o1[B]),"")</f>
        <v/>
      </c>
      <c r="U1143" s="123" t="str">
        <f>IF(Tab.o1[[#This Row],[a1]]=1,Tab.o1[[#This Row],[z+]]*_xlfn.STDEV.P(Tab.o1[B])+AVERAGE(Tab.o1[B]),"")</f>
        <v/>
      </c>
      <c r="V1143" s="124" t="str">
        <f>IF(Tab.o1[[#This Row],[a1]]=1,ABS((ABS(Tab.o1[[#This Row],[Red]]-Tab.o1[[#This Row],[Blue]]))),"")</f>
        <v/>
      </c>
      <c r="W1143" s="125" t="str">
        <f>IF(Tab.o1[[#This Row],[a1]]=1,IF(W$3=0,1,Tab.o1[[#This Row],[Amp.]]*1/_xlfn.MINIFS(Tab.o1[Amp.],Tab.o1[Amp.],"&lt;&gt;0")),"")</f>
        <v/>
      </c>
      <c r="X1143" s="126" t="str">
        <f>IF(Tab.o1[[#This Row],[a1]]=1,IF(ISNUMBER(Tab.o1[[#This Row],[i.]]),NORMDIST(Tab.o1[[#This Row],[Za]],0,1,FALSE)*Tab.o1[[#This Row],[i.]],AP$3),"")</f>
        <v/>
      </c>
      <c r="Y1143" s="126" t="str">
        <f>IF(Tab.o1[[#This Row],[a1]]=1,0.01+0.94*Tab.o1[[#This Row],[PDF]]/MAX(Tab.o1[PDF]),"")</f>
        <v/>
      </c>
      <c r="Z1143" s="126" t="str">
        <f>IF(Tab.o1[[#This Row],[a1]]=1,0.01+0.94*Tab.o1[[#This Row],[W1_PDF]]/MAX(Tab.o1[W1_PDF]),"")</f>
        <v/>
      </c>
      <c r="AA1143" s="118" t="str">
        <f>IF(Tab.o1[[#This Row],[a1]]=1,ABS([1]!T.in.A[[#This Row],[oo6]]),"")</f>
        <v/>
      </c>
      <c r="AB1143" s="127" t="str">
        <f>IF(Tab.o1[[#This Row],[a1]]=1,IF(AE$3=0,"",IF(AB$3=0,ABS([1]!T.in.A[[#This Row],[oo9]]),ABS(Tab.o1[[#This Row],[DIF_Target.]]*Tab.o1[[#This Row],[W1_PDF]]))),"")</f>
        <v/>
      </c>
      <c r="AC1143" s="127" t="str">
        <f>IF(G$1=1,"",IF(Tab.o1[[#This Row],[a1]]=1,Tab.o1[[#This Row],[Wr]]^2,""))</f>
        <v/>
      </c>
      <c r="AD1143" s="118" t="str">
        <f>IF(Tab.o1[[#This Row],[a1]]=1,IF(AE$3=0,"",Tab.o1[[#This Row],[Wr2]]/SUM(Tab.o1[Wr2])),"")</f>
        <v/>
      </c>
      <c r="AE1143" s="128" t="str">
        <f>IF(Tab.o1[[#This Row],[a1]]=1,[1]!T.in.A[[#This Row],[oo10]],"")</f>
        <v/>
      </c>
      <c r="AF1143" s="118" t="str">
        <f>IF(Tab.o1[[#This Row],[a1]]=1,ABS(Tab.o1[[#This Row],[DIF_Target.]]*Tab.o1[[#This Row],[PDF2]]*Tab.o1[[#This Row],[IN]]),"")</f>
        <v/>
      </c>
      <c r="AG1143" s="129" t="str">
        <f>IF(Tab.o1[[#This Row],[a1]]=1,Tab.o1[[#This Row],[rW]]^2,"")</f>
        <v/>
      </c>
      <c r="AH1143" s="130" t="str">
        <f>IF(Tab.o1[[#This Row],[a1]]=1,IF(AH$3=0,Tab.o1[[#This Row],[rW2]],0.01+0.94*Tab.o1[[#This Row],[rW2]]/SUM(Tab.o1[rW2])),"")</f>
        <v/>
      </c>
      <c r="AI1143" s="128" t="str">
        <f>IF(Tab.o1[[#This Row],[a1]]=1,1/Tab.o1[[#This Row],[PDF]],"")</f>
        <v/>
      </c>
      <c r="AJ1143" s="131" t="str">
        <f>IF(Tab.o1[[#This Row],[a1]]=1,[1]!T_AA[[#This Row],[IN'']]*[1]!T_AA[[#This Row],[Qde'']],"")</f>
        <v/>
      </c>
      <c r="AK1143" s="132" t="str">
        <f>IF(Tab.o1[[#This Row],[a1]]=1,IF(AK$1=1,Tab.o1[[#This Row],[MED]]+Tab.o1[[#This Row],[MOD]]-Tab.o1[[#This Row],[MED]],""),"")</f>
        <v/>
      </c>
      <c r="AL1143" s="133" t="str">
        <f>IF(Tab.o1[[#This Row],[a1]]=1,[1]!T.in.A[[#This Row],[oo16]],"")</f>
        <v/>
      </c>
      <c r="AM1143" s="133" t="str">
        <f>IF(Tab.o1[[#This Row],[a1]]=1,IF(AM$3=1,[1]!T.in.A[[#This Row],[Σo16]],""),"")</f>
        <v/>
      </c>
      <c r="AN1143" s="126" t="str">
        <f>IF(Tab.o1[[#This Row],[a1]]=1,[1]!T.in.A[[#This Row],[Σp5]],"")</f>
        <v/>
      </c>
      <c r="AO1143" s="126" t="str">
        <f>IF(Tab.o1[[#This Row],[a1]]=1,IF(AO$3=1,[1]!T.in.A[[#This Row],[Σp5]],""),"")</f>
        <v/>
      </c>
      <c r="AP1143" s="110" t="str">
        <f>IF(Tab.o1[[#This Row],[a1]]=1,IF(ISNUMBER(Tab.o1[[#This Row],[i.]]),NORMDIST(Tab.o1[[#This Row],[Za]],0,1,FALSE)*Tab.o1[[#This Row],[i.]],0),"")</f>
        <v/>
      </c>
      <c r="AQ1143" s="125" t="str">
        <f>IF(Tab.o1[[#This Row],[a1]]=1,ABS(Tab.o1[[#This Row],[MOD]]-AVERAGE(Tab.o1[MOD])),"")</f>
        <v/>
      </c>
      <c r="AR1143" s="134" t="str">
        <f>IF(Tab.o1[[#This Row],[a1]]=1,Tab.o1[[#This Row],[OBS]]/SUM(Tab.o1[OBS]),"")</f>
        <v/>
      </c>
      <c r="AS1143" s="135" t="str">
        <f>IF(ISNUMBER(Tab.o1[[#This Row],[a1]]),ROW()-4,"")</f>
        <v/>
      </c>
      <c r="AT1143" s="136" t="str">
        <f>Tab.o1[[#This Row],[MOD]]</f>
        <v/>
      </c>
      <c r="AU1143" s="137" t="str">
        <f t="shared" si="69"/>
        <v/>
      </c>
      <c r="AV1143" s="138" t="str">
        <f t="shared" si="70"/>
        <v/>
      </c>
      <c r="AW1143" s="138" t="str">
        <f t="shared" si="71"/>
        <v/>
      </c>
      <c r="AX1143" s="139" t="str">
        <f>[1]!T.in.A[[#This Row],[ID_T_manu]]</f>
        <v/>
      </c>
      <c r="AY1143" s="140" t="str">
        <f>IF(ISNUMBER(Tab.o1[[#This Row],[a1]]),IF(AND(Tab.o1[[#This Row],[a1]]=1,Tab.o1[[#This Row],[b1]]&lt;=AY$4),#REF!,AY1142),"")</f>
        <v/>
      </c>
      <c r="AZ1143" s="25"/>
      <c r="BA1143" s="25"/>
      <c r="BB1143" s="25"/>
      <c r="BC1143" s="25"/>
      <c r="BD1143" s="25"/>
      <c r="BE1143" s="25"/>
      <c r="BF1143" s="25"/>
      <c r="BG1143" s="25"/>
      <c r="BH1143" s="25"/>
      <c r="BI1143" s="25"/>
      <c r="BJ1143" s="25"/>
      <c r="BK1143" s="25"/>
      <c r="BL1143" s="25"/>
      <c r="BM1143" s="25"/>
      <c r="BN1143" s="26"/>
      <c r="BO1143" s="26"/>
      <c r="BP1143" s="26"/>
      <c r="BQ1143" s="26"/>
      <c r="BR1143" s="26"/>
      <c r="BS1143" s="26"/>
      <c r="BT1143" s="26"/>
      <c r="BU1143" s="26"/>
      <c r="BV1143" s="26"/>
      <c r="BW1143" s="26"/>
      <c r="BX1143" s="26"/>
      <c r="BY1143" s="26"/>
      <c r="BZ1143" s="26"/>
      <c r="CA1143" s="26"/>
    </row>
    <row r="1144" spans="1:79" ht="15.75" hidden="1">
      <c r="A1144" s="109">
        <v>6.9999999999999999E-6</v>
      </c>
      <c r="B1144" s="110">
        <f t="shared" si="68"/>
        <v>1144</v>
      </c>
      <c r="C1144" s="111" t="str">
        <f>IF(C$1=[1]!T.in.A[[#This Row],[oo2]],1,"")</f>
        <v/>
      </c>
      <c r="D1144" s="112" t="str">
        <f>IF(Tab.o1[[#This Row],[a1]]=1,IF(SUM(C1144:C1145)=0,0,IF(SUM(C1143:C1144)=1,1,IF(SUM(C1143:C1145)&gt;1,D1143+1,0))),"")</f>
        <v/>
      </c>
      <c r="E1144" s="113" t="str">
        <f>IF(Tab.o1[[#This Row],[a1]]=1,[1]!T.in.A[[#This Row],[oo1]],"")</f>
        <v/>
      </c>
      <c r="F1144" s="113" t="str">
        <f>IF(Tab.o1[[#This Row],[a1]]=1,[1]!T.in.A[[#This Row],[pp1]],"")</f>
        <v/>
      </c>
      <c r="G1144" s="114" t="str">
        <f>IF(Tab.o1[[#This Row],[a1]]=1,G$2+IF(G$1=1,0,Tab.o1[[#This Row],[.x1]])+[1]!T.in.A[[#This Row],[oo3]],"")</f>
        <v/>
      </c>
      <c r="H1144" s="115" t="str">
        <f>IF(Tab.o1[[#This Row],[a1]]=1,IF(H$2=0,0,IF(G$1=1,0,Tab.o1[[#This Row],[.x1]])+[1]!T.in.A[[#This Row],[oo4]]),"")</f>
        <v/>
      </c>
      <c r="I1144" s="116" t="str">
        <f>IF(Tab.o1[[#This Row],[a1]]=1,IF(J$2=0,Tab.o1[[#This Row],[MED]],Tab.o1[[#This Row],[MOD]]),"")</f>
        <v/>
      </c>
      <c r="J1144" s="116" t="str">
        <f>IF(Tab.o1[[#This Row],[a1]]=1,((Tab.o1[[#This Row],[DIF_Target.]]-AVERAGE(Tab.o1[DIF_Target.]))/_xlfn.STDEV.P(Tab.o1[DIF_Target.])),"")</f>
        <v/>
      </c>
      <c r="K1144" s="117" t="str">
        <f>IF(Tab.o1[[#This Row],[a1]]=1,IF(J$2=0,Tab.o1[[#This Row],[MOD]]-Tab.o1[[#This Row],[B]],IF(J$2=1,0,-Tab.o1[[#This Row],[MED]])+Tab.o1[[#This Row],[B]]),"")</f>
        <v/>
      </c>
      <c r="L1144" s="117" t="str">
        <f ca="1">IF(Tab.o1[[#This Row],[DIF_Target]]=0,IF(L$2=0,Tab.o1[[#This Row],[DIF_Target]],AVERAGE(OFFSET(Tab.o1[[#This Row],[DIF_Target]],1,0,L$3,1)))/3,Tab.o1[[#This Row],[DIF_Target]])</f>
        <v/>
      </c>
      <c r="M1144" s="118" t="str">
        <f>IF(Tab.o1[[#This Row],[a1]]=1,NORMSDIST(Tab.o1[[#This Row],[Za]]),"")</f>
        <v/>
      </c>
      <c r="N1144" s="119" t="str">
        <f>IF(Tab.o1[[#This Row],[a1]]=1,((Tab.o1[[#This Row],[MedMod]]-AVERAGE(Tab.o1[MedMod]))/_xlfn.STDEV.P(Tab.o1[MedMod])*H$1205)+G$1205,"")</f>
        <v/>
      </c>
      <c r="O1144" s="141" t="str">
        <f>IF(Tab.o1[[#This Row],[a1]]=1,Tab.o1[[#This Row],[Zb]]*_xlfn.STDEV.P(Tab.o1[MedMod])+AVERAGE(Tab.o1[MedMod]),"")</f>
        <v/>
      </c>
      <c r="P1144" s="117" t="str">
        <f ca="1">IF(Tab.o1[[#This Row],[B]]=0,AVERAGE(OFFSET(Tab.o1[[#This Row],[B]],1,0,L$3,1)),Tab.o1[[#This Row],[B]])</f>
        <v/>
      </c>
      <c r="Q1144" s="121" t="str">
        <f>IF(Tab.o1[[#This Row],[a1]]=1,NORMSDIST(Tab.o1[[#This Row],[Zb]]),"")</f>
        <v/>
      </c>
      <c r="R1144" s="122" t="str">
        <f>IF(Tab.o1[[#This Row],[a1]]=1,((Tab.o1[[#This Row],[MedMod]]-AVERAGE(Tab.o1[MedMod]))/_xlfn.STDEV.P(Tab.o1[MedMod])*H$1203)+G$1203,"")</f>
        <v/>
      </c>
      <c r="S1144" s="122" t="str">
        <f>IF(Tab.o1[[#This Row],[a1]]=1,((Tab.o1[[#This Row],[MedMod]]-AVERAGE(Tab.o1[MedMod]))/_xlfn.STDEV.P(Tab.o1[MedMod])*H$1204)+G$1204,"")</f>
        <v/>
      </c>
      <c r="T1144" s="123" t="str">
        <f>IF(Tab.o1[[#This Row],[a1]]=1,Tab.o1[[#This Row],[Z-]]*_xlfn.STDEV.P(Tab.o1[B])+AVERAGE(Tab.o1[B]),"")</f>
        <v/>
      </c>
      <c r="U1144" s="123" t="str">
        <f>IF(Tab.o1[[#This Row],[a1]]=1,Tab.o1[[#This Row],[z+]]*_xlfn.STDEV.P(Tab.o1[B])+AVERAGE(Tab.o1[B]),"")</f>
        <v/>
      </c>
      <c r="V1144" s="124" t="str">
        <f>IF(Tab.o1[[#This Row],[a1]]=1,ABS((ABS(Tab.o1[[#This Row],[Red]]-Tab.o1[[#This Row],[Blue]]))),"")</f>
        <v/>
      </c>
      <c r="W1144" s="125" t="str">
        <f>IF(Tab.o1[[#This Row],[a1]]=1,IF(W$3=0,1,Tab.o1[[#This Row],[Amp.]]*1/_xlfn.MINIFS(Tab.o1[Amp.],Tab.o1[Amp.],"&lt;&gt;0")),"")</f>
        <v/>
      </c>
      <c r="X1144" s="126" t="str">
        <f>IF(Tab.o1[[#This Row],[a1]]=1,IF(ISNUMBER(Tab.o1[[#This Row],[i.]]),NORMDIST(Tab.o1[[#This Row],[Za]],0,1,FALSE)*Tab.o1[[#This Row],[i.]],AP$3),"")</f>
        <v/>
      </c>
      <c r="Y1144" s="126" t="str">
        <f>IF(Tab.o1[[#This Row],[a1]]=1,0.01+0.94*Tab.o1[[#This Row],[PDF]]/MAX(Tab.o1[PDF]),"")</f>
        <v/>
      </c>
      <c r="Z1144" s="126" t="str">
        <f>IF(Tab.o1[[#This Row],[a1]]=1,0.01+0.94*Tab.o1[[#This Row],[W1_PDF]]/MAX(Tab.o1[W1_PDF]),"")</f>
        <v/>
      </c>
      <c r="AA1144" s="118" t="str">
        <f>IF(Tab.o1[[#This Row],[a1]]=1,ABS([1]!T.in.A[[#This Row],[oo6]]),"")</f>
        <v/>
      </c>
      <c r="AB1144" s="127" t="str">
        <f>IF(Tab.o1[[#This Row],[a1]]=1,IF(AE$3=0,"",IF(AB$3=0,ABS([1]!T.in.A[[#This Row],[oo9]]),ABS(Tab.o1[[#This Row],[DIF_Target.]]*Tab.o1[[#This Row],[W1_PDF]]))),"")</f>
        <v/>
      </c>
      <c r="AC1144" s="127" t="str">
        <f>IF(G$1=1,"",IF(Tab.o1[[#This Row],[a1]]=1,Tab.o1[[#This Row],[Wr]]^2,""))</f>
        <v/>
      </c>
      <c r="AD1144" s="118" t="str">
        <f>IF(Tab.o1[[#This Row],[a1]]=1,IF(AE$3=0,"",Tab.o1[[#This Row],[Wr2]]/SUM(Tab.o1[Wr2])),"")</f>
        <v/>
      </c>
      <c r="AE1144" s="128" t="str">
        <f>IF(Tab.o1[[#This Row],[a1]]=1,[1]!T.in.A[[#This Row],[oo10]],"")</f>
        <v/>
      </c>
      <c r="AF1144" s="118" t="str">
        <f>IF(Tab.o1[[#This Row],[a1]]=1,ABS(Tab.o1[[#This Row],[DIF_Target.]]*Tab.o1[[#This Row],[PDF2]]*Tab.o1[[#This Row],[IN]]),"")</f>
        <v/>
      </c>
      <c r="AG1144" s="129" t="str">
        <f>IF(Tab.o1[[#This Row],[a1]]=1,Tab.o1[[#This Row],[rW]]^2,"")</f>
        <v/>
      </c>
      <c r="AH1144" s="130" t="str">
        <f>IF(Tab.o1[[#This Row],[a1]]=1,IF(AH$3=0,Tab.o1[[#This Row],[rW2]],0.01+0.94*Tab.o1[[#This Row],[rW2]]/SUM(Tab.o1[rW2])),"")</f>
        <v/>
      </c>
      <c r="AI1144" s="128" t="str">
        <f>IF(Tab.o1[[#This Row],[a1]]=1,1/Tab.o1[[#This Row],[PDF]],"")</f>
        <v/>
      </c>
      <c r="AJ1144" s="131" t="str">
        <f>IF(Tab.o1[[#This Row],[a1]]=1,[1]!T_AA[[#This Row],[IN'']]*[1]!T_AA[[#This Row],[Qde'']],"")</f>
        <v/>
      </c>
      <c r="AK1144" s="132" t="str">
        <f>IF(Tab.o1[[#This Row],[a1]]=1,IF(AK$1=1,Tab.o1[[#This Row],[MED]]+Tab.o1[[#This Row],[MOD]]-Tab.o1[[#This Row],[MED]],""),"")</f>
        <v/>
      </c>
      <c r="AL1144" s="133" t="str">
        <f>IF(Tab.o1[[#This Row],[a1]]=1,[1]!T.in.A[[#This Row],[oo16]],"")</f>
        <v/>
      </c>
      <c r="AM1144" s="133" t="str">
        <f>IF(Tab.o1[[#This Row],[a1]]=1,IF(AM$3=1,[1]!T.in.A[[#This Row],[Σo16]],""),"")</f>
        <v/>
      </c>
      <c r="AN1144" s="126" t="str">
        <f>IF(Tab.o1[[#This Row],[a1]]=1,[1]!T.in.A[[#This Row],[Σp5]],"")</f>
        <v/>
      </c>
      <c r="AO1144" s="126" t="str">
        <f>IF(Tab.o1[[#This Row],[a1]]=1,IF(AO$3=1,[1]!T.in.A[[#This Row],[Σp5]],""),"")</f>
        <v/>
      </c>
      <c r="AP1144" s="110" t="str">
        <f>IF(Tab.o1[[#This Row],[a1]]=1,IF(ISNUMBER(Tab.o1[[#This Row],[i.]]),NORMDIST(Tab.o1[[#This Row],[Za]],0,1,FALSE)*Tab.o1[[#This Row],[i.]],0),"")</f>
        <v/>
      </c>
      <c r="AQ1144" s="125" t="str">
        <f>IF(Tab.o1[[#This Row],[a1]]=1,ABS(Tab.o1[[#This Row],[MOD]]-AVERAGE(Tab.o1[MOD])),"")</f>
        <v/>
      </c>
      <c r="AR1144" s="134" t="str">
        <f>IF(Tab.o1[[#This Row],[a1]]=1,Tab.o1[[#This Row],[OBS]]/SUM(Tab.o1[OBS]),"")</f>
        <v/>
      </c>
      <c r="AS1144" s="135" t="str">
        <f>IF(ISNUMBER(Tab.o1[[#This Row],[a1]]),ROW()-4,"")</f>
        <v/>
      </c>
      <c r="AT1144" s="136" t="str">
        <f>Tab.o1[[#This Row],[MOD]]</f>
        <v/>
      </c>
      <c r="AU1144" s="137" t="str">
        <f t="shared" si="69"/>
        <v/>
      </c>
      <c r="AV1144" s="138" t="str">
        <f t="shared" si="70"/>
        <v/>
      </c>
      <c r="AW1144" s="138" t="str">
        <f t="shared" si="71"/>
        <v/>
      </c>
      <c r="AX1144" s="139" t="str">
        <f>[1]!T.in.A[[#This Row],[ID_T_manu]]</f>
        <v/>
      </c>
      <c r="AY1144" s="140" t="str">
        <f>IF(ISNUMBER(Tab.o1[[#This Row],[a1]]),IF(AND(Tab.o1[[#This Row],[a1]]=1,Tab.o1[[#This Row],[b1]]&lt;=AY$4),#REF!,AY1143),"")</f>
        <v/>
      </c>
      <c r="AZ1144" s="25"/>
      <c r="BA1144" s="25"/>
      <c r="BB1144" s="25"/>
      <c r="BC1144" s="25"/>
      <c r="BD1144" s="25"/>
      <c r="BE1144" s="25"/>
      <c r="BF1144" s="25"/>
      <c r="BG1144" s="25"/>
      <c r="BH1144" s="25"/>
      <c r="BI1144" s="25"/>
      <c r="BJ1144" s="25"/>
      <c r="BK1144" s="25"/>
      <c r="BL1144" s="25"/>
      <c r="BM1144" s="25"/>
      <c r="BN1144" s="26"/>
      <c r="BO1144" s="26"/>
      <c r="BP1144" s="26"/>
      <c r="BQ1144" s="26"/>
      <c r="BR1144" s="26"/>
      <c r="BS1144" s="26"/>
      <c r="BT1144" s="26"/>
      <c r="BU1144" s="26"/>
      <c r="BV1144" s="26"/>
      <c r="BW1144" s="26"/>
      <c r="BX1144" s="26"/>
      <c r="BY1144" s="26"/>
      <c r="BZ1144" s="26"/>
      <c r="CA1144" s="26"/>
    </row>
    <row r="1145" spans="1:79" ht="15.75" hidden="1">
      <c r="A1145" s="109">
        <v>8.0000000000000013E-6</v>
      </c>
      <c r="B1145" s="110">
        <f t="shared" si="68"/>
        <v>1145</v>
      </c>
      <c r="C1145" s="111" t="str">
        <f>IF(C$1=[1]!T.in.A[[#This Row],[oo2]],1,"")</f>
        <v/>
      </c>
      <c r="D1145" s="112" t="str">
        <f>IF(Tab.o1[[#This Row],[a1]]=1,IF(SUM(C1145:C1146)=0,0,IF(SUM(C1144:C1145)=1,1,IF(SUM(C1144:C1146)&gt;1,D1144+1,0))),"")</f>
        <v/>
      </c>
      <c r="E1145" s="113" t="str">
        <f>IF(Tab.o1[[#This Row],[a1]]=1,[1]!T.in.A[[#This Row],[oo1]],"")</f>
        <v/>
      </c>
      <c r="F1145" s="113" t="str">
        <f>IF(Tab.o1[[#This Row],[a1]]=1,[1]!T.in.A[[#This Row],[pp1]],"")</f>
        <v/>
      </c>
      <c r="G1145" s="114" t="str">
        <f>IF(Tab.o1[[#This Row],[a1]]=1,G$2+IF(G$1=1,0,Tab.o1[[#This Row],[.x1]])+[1]!T.in.A[[#This Row],[oo3]],"")</f>
        <v/>
      </c>
      <c r="H1145" s="115" t="str">
        <f>IF(Tab.o1[[#This Row],[a1]]=1,IF(H$2=0,0,IF(G$1=1,0,Tab.o1[[#This Row],[.x1]])+[1]!T.in.A[[#This Row],[oo4]]),"")</f>
        <v/>
      </c>
      <c r="I1145" s="116" t="str">
        <f>IF(Tab.o1[[#This Row],[a1]]=1,IF(J$2=0,Tab.o1[[#This Row],[MED]],Tab.o1[[#This Row],[MOD]]),"")</f>
        <v/>
      </c>
      <c r="J1145" s="116" t="str">
        <f>IF(Tab.o1[[#This Row],[a1]]=1,((Tab.o1[[#This Row],[DIF_Target.]]-AVERAGE(Tab.o1[DIF_Target.]))/_xlfn.STDEV.P(Tab.o1[DIF_Target.])),"")</f>
        <v/>
      </c>
      <c r="K1145" s="117" t="str">
        <f>IF(Tab.o1[[#This Row],[a1]]=1,IF(J$2=0,Tab.o1[[#This Row],[MOD]]-Tab.o1[[#This Row],[B]],IF(J$2=1,0,-Tab.o1[[#This Row],[MED]])+Tab.o1[[#This Row],[B]]),"")</f>
        <v/>
      </c>
      <c r="L1145" s="117" t="str">
        <f ca="1">IF(Tab.o1[[#This Row],[DIF_Target]]=0,IF(L$2=0,Tab.o1[[#This Row],[DIF_Target]],AVERAGE(OFFSET(Tab.o1[[#This Row],[DIF_Target]],1,0,L$3,1)))/3,Tab.o1[[#This Row],[DIF_Target]])</f>
        <v/>
      </c>
      <c r="M1145" s="118" t="str">
        <f>IF(Tab.o1[[#This Row],[a1]]=1,NORMSDIST(Tab.o1[[#This Row],[Za]]),"")</f>
        <v/>
      </c>
      <c r="N1145" s="119" t="str">
        <f>IF(Tab.o1[[#This Row],[a1]]=1,((Tab.o1[[#This Row],[MedMod]]-AVERAGE(Tab.o1[MedMod]))/_xlfn.STDEV.P(Tab.o1[MedMod])*H$1205)+G$1205,"")</f>
        <v/>
      </c>
      <c r="O1145" s="141" t="str">
        <f>IF(Tab.o1[[#This Row],[a1]]=1,Tab.o1[[#This Row],[Zb]]*_xlfn.STDEV.P(Tab.o1[MedMod])+AVERAGE(Tab.o1[MedMod]),"")</f>
        <v/>
      </c>
      <c r="P1145" s="117" t="str">
        <f ca="1">IF(Tab.o1[[#This Row],[B]]=0,AVERAGE(OFFSET(Tab.o1[[#This Row],[B]],1,0,L$3,1)),Tab.o1[[#This Row],[B]])</f>
        <v/>
      </c>
      <c r="Q1145" s="121" t="str">
        <f>IF(Tab.o1[[#This Row],[a1]]=1,NORMSDIST(Tab.o1[[#This Row],[Zb]]),"")</f>
        <v/>
      </c>
      <c r="R1145" s="122" t="str">
        <f>IF(Tab.o1[[#This Row],[a1]]=1,((Tab.o1[[#This Row],[MedMod]]-AVERAGE(Tab.o1[MedMod]))/_xlfn.STDEV.P(Tab.o1[MedMod])*H$1203)+G$1203,"")</f>
        <v/>
      </c>
      <c r="S1145" s="122" t="str">
        <f>IF(Tab.o1[[#This Row],[a1]]=1,((Tab.o1[[#This Row],[MedMod]]-AVERAGE(Tab.o1[MedMod]))/_xlfn.STDEV.P(Tab.o1[MedMod])*H$1204)+G$1204,"")</f>
        <v/>
      </c>
      <c r="T1145" s="123" t="str">
        <f>IF(Tab.o1[[#This Row],[a1]]=1,Tab.o1[[#This Row],[Z-]]*_xlfn.STDEV.P(Tab.o1[B])+AVERAGE(Tab.o1[B]),"")</f>
        <v/>
      </c>
      <c r="U1145" s="123" t="str">
        <f>IF(Tab.o1[[#This Row],[a1]]=1,Tab.o1[[#This Row],[z+]]*_xlfn.STDEV.P(Tab.o1[B])+AVERAGE(Tab.o1[B]),"")</f>
        <v/>
      </c>
      <c r="V1145" s="124" t="str">
        <f>IF(Tab.o1[[#This Row],[a1]]=1,ABS((ABS(Tab.o1[[#This Row],[Red]]-Tab.o1[[#This Row],[Blue]]))),"")</f>
        <v/>
      </c>
      <c r="W1145" s="125" t="str">
        <f>IF(Tab.o1[[#This Row],[a1]]=1,IF(W$3=0,1,Tab.o1[[#This Row],[Amp.]]*1/_xlfn.MINIFS(Tab.o1[Amp.],Tab.o1[Amp.],"&lt;&gt;0")),"")</f>
        <v/>
      </c>
      <c r="X1145" s="126" t="str">
        <f>IF(Tab.o1[[#This Row],[a1]]=1,IF(ISNUMBER(Tab.o1[[#This Row],[i.]]),NORMDIST(Tab.o1[[#This Row],[Za]],0,1,FALSE)*Tab.o1[[#This Row],[i.]],AP$3),"")</f>
        <v/>
      </c>
      <c r="Y1145" s="126" t="str">
        <f>IF(Tab.o1[[#This Row],[a1]]=1,0.01+0.94*Tab.o1[[#This Row],[PDF]]/MAX(Tab.o1[PDF]),"")</f>
        <v/>
      </c>
      <c r="Z1145" s="126" t="str">
        <f>IF(Tab.o1[[#This Row],[a1]]=1,0.01+0.94*Tab.o1[[#This Row],[W1_PDF]]/MAX(Tab.o1[W1_PDF]),"")</f>
        <v/>
      </c>
      <c r="AA1145" s="118" t="str">
        <f>IF(Tab.o1[[#This Row],[a1]]=1,ABS([1]!T.in.A[[#This Row],[oo6]]),"")</f>
        <v/>
      </c>
      <c r="AB1145" s="127" t="str">
        <f>IF(Tab.o1[[#This Row],[a1]]=1,IF(AE$3=0,"",IF(AB$3=0,ABS([1]!T.in.A[[#This Row],[oo9]]),ABS(Tab.o1[[#This Row],[DIF_Target.]]*Tab.o1[[#This Row],[W1_PDF]]))),"")</f>
        <v/>
      </c>
      <c r="AC1145" s="127" t="str">
        <f>IF(G$1=1,"",IF(Tab.o1[[#This Row],[a1]]=1,Tab.o1[[#This Row],[Wr]]^2,""))</f>
        <v/>
      </c>
      <c r="AD1145" s="118" t="str">
        <f>IF(Tab.o1[[#This Row],[a1]]=1,IF(AE$3=0,"",Tab.o1[[#This Row],[Wr2]]/SUM(Tab.o1[Wr2])),"")</f>
        <v/>
      </c>
      <c r="AE1145" s="128" t="str">
        <f>IF(Tab.o1[[#This Row],[a1]]=1,[1]!T.in.A[[#This Row],[oo10]],"")</f>
        <v/>
      </c>
      <c r="AF1145" s="118" t="str">
        <f>IF(Tab.o1[[#This Row],[a1]]=1,ABS(Tab.o1[[#This Row],[DIF_Target.]]*Tab.o1[[#This Row],[PDF2]]*Tab.o1[[#This Row],[IN]]),"")</f>
        <v/>
      </c>
      <c r="AG1145" s="129" t="str">
        <f>IF(Tab.o1[[#This Row],[a1]]=1,Tab.o1[[#This Row],[rW]]^2,"")</f>
        <v/>
      </c>
      <c r="AH1145" s="130" t="str">
        <f>IF(Tab.o1[[#This Row],[a1]]=1,IF(AH$3=0,Tab.o1[[#This Row],[rW2]],0.01+0.94*Tab.o1[[#This Row],[rW2]]/SUM(Tab.o1[rW2])),"")</f>
        <v/>
      </c>
      <c r="AI1145" s="128" t="str">
        <f>IF(Tab.o1[[#This Row],[a1]]=1,1/Tab.o1[[#This Row],[PDF]],"")</f>
        <v/>
      </c>
      <c r="AJ1145" s="131" t="str">
        <f>IF(Tab.o1[[#This Row],[a1]]=1,[1]!T_AA[[#This Row],[IN'']]*[1]!T_AA[[#This Row],[Qde'']],"")</f>
        <v/>
      </c>
      <c r="AK1145" s="132" t="str">
        <f>IF(Tab.o1[[#This Row],[a1]]=1,IF(AK$1=1,Tab.o1[[#This Row],[MED]]+Tab.o1[[#This Row],[MOD]]-Tab.o1[[#This Row],[MED]],""),"")</f>
        <v/>
      </c>
      <c r="AL1145" s="133" t="str">
        <f>IF(Tab.o1[[#This Row],[a1]]=1,[1]!T.in.A[[#This Row],[oo16]],"")</f>
        <v/>
      </c>
      <c r="AM1145" s="133" t="str">
        <f>IF(Tab.o1[[#This Row],[a1]]=1,IF(AM$3=1,[1]!T.in.A[[#This Row],[Σo16]],""),"")</f>
        <v/>
      </c>
      <c r="AN1145" s="126" t="str">
        <f>IF(Tab.o1[[#This Row],[a1]]=1,[1]!T.in.A[[#This Row],[Σp5]],"")</f>
        <v/>
      </c>
      <c r="AO1145" s="126" t="str">
        <f>IF(Tab.o1[[#This Row],[a1]]=1,IF(AO$3=1,[1]!T.in.A[[#This Row],[Σp5]],""),"")</f>
        <v/>
      </c>
      <c r="AP1145" s="110" t="str">
        <f>IF(Tab.o1[[#This Row],[a1]]=1,IF(ISNUMBER(Tab.o1[[#This Row],[i.]]),NORMDIST(Tab.o1[[#This Row],[Za]],0,1,FALSE)*Tab.o1[[#This Row],[i.]],0),"")</f>
        <v/>
      </c>
      <c r="AQ1145" s="125" t="str">
        <f>IF(Tab.o1[[#This Row],[a1]]=1,ABS(Tab.o1[[#This Row],[MOD]]-AVERAGE(Tab.o1[MOD])),"")</f>
        <v/>
      </c>
      <c r="AR1145" s="134" t="str">
        <f>IF(Tab.o1[[#This Row],[a1]]=1,Tab.o1[[#This Row],[OBS]]/SUM(Tab.o1[OBS]),"")</f>
        <v/>
      </c>
      <c r="AS1145" s="135" t="str">
        <f>IF(ISNUMBER(Tab.o1[[#This Row],[a1]]),ROW()-4,"")</f>
        <v/>
      </c>
      <c r="AT1145" s="136" t="str">
        <f>Tab.o1[[#This Row],[MOD]]</f>
        <v/>
      </c>
      <c r="AU1145" s="137" t="str">
        <f t="shared" si="69"/>
        <v/>
      </c>
      <c r="AV1145" s="138" t="str">
        <f t="shared" si="70"/>
        <v/>
      </c>
      <c r="AW1145" s="138" t="str">
        <f t="shared" si="71"/>
        <v/>
      </c>
      <c r="AX1145" s="139" t="str">
        <f>[1]!T.in.A[[#This Row],[ID_T_manu]]</f>
        <v/>
      </c>
      <c r="AY1145" s="140" t="str">
        <f>IF(ISNUMBER(Tab.o1[[#This Row],[a1]]),IF(AND(Tab.o1[[#This Row],[a1]]=1,Tab.o1[[#This Row],[b1]]&lt;=AY$4),#REF!,AY1144),"")</f>
        <v/>
      </c>
      <c r="AZ1145" s="25"/>
      <c r="BA1145" s="25"/>
      <c r="BB1145" s="25"/>
      <c r="BC1145" s="25"/>
      <c r="BD1145" s="25"/>
      <c r="BE1145" s="25"/>
      <c r="BF1145" s="25"/>
      <c r="BG1145" s="25"/>
      <c r="BH1145" s="25"/>
      <c r="BI1145" s="25"/>
      <c r="BJ1145" s="25"/>
      <c r="BK1145" s="25"/>
      <c r="BL1145" s="25"/>
      <c r="BM1145" s="25"/>
      <c r="BN1145" s="26"/>
      <c r="BO1145" s="26"/>
      <c r="BP1145" s="26"/>
      <c r="BQ1145" s="26"/>
      <c r="BR1145" s="26"/>
      <c r="BS1145" s="26"/>
      <c r="BT1145" s="26"/>
      <c r="BU1145" s="26"/>
      <c r="BV1145" s="26"/>
      <c r="BW1145" s="26"/>
      <c r="BX1145" s="26"/>
      <c r="BY1145" s="26"/>
      <c r="BZ1145" s="26"/>
      <c r="CA1145" s="26"/>
    </row>
    <row r="1146" spans="1:79" ht="15.75" hidden="1">
      <c r="A1146" s="109">
        <v>1.0000000000000002E-6</v>
      </c>
      <c r="B1146" s="110">
        <f t="shared" si="68"/>
        <v>1146</v>
      </c>
      <c r="C1146" s="111" t="str">
        <f>IF(C$1=[1]!T.in.A[[#This Row],[oo2]],1,"")</f>
        <v/>
      </c>
      <c r="D1146" s="112" t="str">
        <f>IF(Tab.o1[[#This Row],[a1]]=1,IF(SUM(C1146:C1147)=0,0,IF(SUM(C1145:C1146)=1,1,IF(SUM(C1145:C1147)&gt;1,D1145+1,0))),"")</f>
        <v/>
      </c>
      <c r="E1146" s="113" t="str">
        <f>IF(Tab.o1[[#This Row],[a1]]=1,[1]!T.in.A[[#This Row],[oo1]],"")</f>
        <v/>
      </c>
      <c r="F1146" s="113" t="str">
        <f>IF(Tab.o1[[#This Row],[a1]]=1,[1]!T.in.A[[#This Row],[pp1]],"")</f>
        <v/>
      </c>
      <c r="G1146" s="114" t="str">
        <f>IF(Tab.o1[[#This Row],[a1]]=1,G$2+IF(G$1=1,0,Tab.o1[[#This Row],[.x1]])+[1]!T.in.A[[#This Row],[oo3]],"")</f>
        <v/>
      </c>
      <c r="H1146" s="115" t="str">
        <f>IF(Tab.o1[[#This Row],[a1]]=1,IF(H$2=0,0,IF(G$1=1,0,Tab.o1[[#This Row],[.x1]])+[1]!T.in.A[[#This Row],[oo4]]),"")</f>
        <v/>
      </c>
      <c r="I1146" s="116" t="str">
        <f>IF(Tab.o1[[#This Row],[a1]]=1,IF(J$2=0,Tab.o1[[#This Row],[MED]],Tab.o1[[#This Row],[MOD]]),"")</f>
        <v/>
      </c>
      <c r="J1146" s="116" t="str">
        <f>IF(Tab.o1[[#This Row],[a1]]=1,((Tab.o1[[#This Row],[DIF_Target.]]-AVERAGE(Tab.o1[DIF_Target.]))/_xlfn.STDEV.P(Tab.o1[DIF_Target.])),"")</f>
        <v/>
      </c>
      <c r="K1146" s="117" t="str">
        <f>IF(Tab.o1[[#This Row],[a1]]=1,IF(J$2=0,Tab.o1[[#This Row],[MOD]]-Tab.o1[[#This Row],[B]],IF(J$2=1,0,-Tab.o1[[#This Row],[MED]])+Tab.o1[[#This Row],[B]]),"")</f>
        <v/>
      </c>
      <c r="L1146" s="117" t="str">
        <f ca="1">IF(Tab.o1[[#This Row],[DIF_Target]]=0,IF(L$2=0,Tab.o1[[#This Row],[DIF_Target]],AVERAGE(OFFSET(Tab.o1[[#This Row],[DIF_Target]],1,0,L$3,1)))/3,Tab.o1[[#This Row],[DIF_Target]])</f>
        <v/>
      </c>
      <c r="M1146" s="118" t="str">
        <f>IF(Tab.o1[[#This Row],[a1]]=1,NORMSDIST(Tab.o1[[#This Row],[Za]]),"")</f>
        <v/>
      </c>
      <c r="N1146" s="119" t="str">
        <f>IF(Tab.o1[[#This Row],[a1]]=1,((Tab.o1[[#This Row],[MedMod]]-AVERAGE(Tab.o1[MedMod]))/_xlfn.STDEV.P(Tab.o1[MedMod])*H$1205)+G$1205,"")</f>
        <v/>
      </c>
      <c r="O1146" s="141" t="str">
        <f>IF(Tab.o1[[#This Row],[a1]]=1,Tab.o1[[#This Row],[Zb]]*_xlfn.STDEV.P(Tab.o1[MedMod])+AVERAGE(Tab.o1[MedMod]),"")</f>
        <v/>
      </c>
      <c r="P1146" s="117" t="str">
        <f ca="1">IF(Tab.o1[[#This Row],[B]]=0,AVERAGE(OFFSET(Tab.o1[[#This Row],[B]],1,0,L$3,1)),Tab.o1[[#This Row],[B]])</f>
        <v/>
      </c>
      <c r="Q1146" s="121" t="str">
        <f>IF(Tab.o1[[#This Row],[a1]]=1,NORMSDIST(Tab.o1[[#This Row],[Zb]]),"")</f>
        <v/>
      </c>
      <c r="R1146" s="122" t="str">
        <f>IF(Tab.o1[[#This Row],[a1]]=1,((Tab.o1[[#This Row],[MedMod]]-AVERAGE(Tab.o1[MedMod]))/_xlfn.STDEV.P(Tab.o1[MedMod])*H$1203)+G$1203,"")</f>
        <v/>
      </c>
      <c r="S1146" s="122" t="str">
        <f>IF(Tab.o1[[#This Row],[a1]]=1,((Tab.o1[[#This Row],[MedMod]]-AVERAGE(Tab.o1[MedMod]))/_xlfn.STDEV.P(Tab.o1[MedMod])*H$1204)+G$1204,"")</f>
        <v/>
      </c>
      <c r="T1146" s="123" t="str">
        <f>IF(Tab.o1[[#This Row],[a1]]=1,Tab.o1[[#This Row],[Z-]]*_xlfn.STDEV.P(Tab.o1[B])+AVERAGE(Tab.o1[B]),"")</f>
        <v/>
      </c>
      <c r="U1146" s="123" t="str">
        <f>IF(Tab.o1[[#This Row],[a1]]=1,Tab.o1[[#This Row],[z+]]*_xlfn.STDEV.P(Tab.o1[B])+AVERAGE(Tab.o1[B]),"")</f>
        <v/>
      </c>
      <c r="V1146" s="124" t="str">
        <f>IF(Tab.o1[[#This Row],[a1]]=1,ABS((ABS(Tab.o1[[#This Row],[Red]]-Tab.o1[[#This Row],[Blue]]))),"")</f>
        <v/>
      </c>
      <c r="W1146" s="125" t="str">
        <f>IF(Tab.o1[[#This Row],[a1]]=1,IF(W$3=0,1,Tab.o1[[#This Row],[Amp.]]*1/_xlfn.MINIFS(Tab.o1[Amp.],Tab.o1[Amp.],"&lt;&gt;0")),"")</f>
        <v/>
      </c>
      <c r="X1146" s="126" t="str">
        <f>IF(Tab.o1[[#This Row],[a1]]=1,IF(ISNUMBER(Tab.o1[[#This Row],[i.]]),NORMDIST(Tab.o1[[#This Row],[Za]],0,1,FALSE)*Tab.o1[[#This Row],[i.]],AP$3),"")</f>
        <v/>
      </c>
      <c r="Y1146" s="126" t="str">
        <f>IF(Tab.o1[[#This Row],[a1]]=1,0.01+0.94*Tab.o1[[#This Row],[PDF]]/MAX(Tab.o1[PDF]),"")</f>
        <v/>
      </c>
      <c r="Z1146" s="126" t="str">
        <f>IF(Tab.o1[[#This Row],[a1]]=1,0.01+0.94*Tab.o1[[#This Row],[W1_PDF]]/MAX(Tab.o1[W1_PDF]),"")</f>
        <v/>
      </c>
      <c r="AA1146" s="118" t="str">
        <f>IF(Tab.o1[[#This Row],[a1]]=1,ABS([1]!T.in.A[[#This Row],[oo6]]),"")</f>
        <v/>
      </c>
      <c r="AB1146" s="127" t="str">
        <f>IF(Tab.o1[[#This Row],[a1]]=1,IF(AE$3=0,"",IF(AB$3=0,ABS([1]!T.in.A[[#This Row],[oo9]]),ABS(Tab.o1[[#This Row],[DIF_Target.]]*Tab.o1[[#This Row],[W1_PDF]]))),"")</f>
        <v/>
      </c>
      <c r="AC1146" s="127" t="str">
        <f>IF(G$1=1,"",IF(Tab.o1[[#This Row],[a1]]=1,Tab.o1[[#This Row],[Wr]]^2,""))</f>
        <v/>
      </c>
      <c r="AD1146" s="118" t="str">
        <f>IF(Tab.o1[[#This Row],[a1]]=1,IF(AE$3=0,"",Tab.o1[[#This Row],[Wr2]]/SUM(Tab.o1[Wr2])),"")</f>
        <v/>
      </c>
      <c r="AE1146" s="128" t="str">
        <f>IF(Tab.o1[[#This Row],[a1]]=1,[1]!T.in.A[[#This Row],[oo10]],"")</f>
        <v/>
      </c>
      <c r="AF1146" s="118" t="str">
        <f>IF(Tab.o1[[#This Row],[a1]]=1,ABS(Tab.o1[[#This Row],[DIF_Target.]]*Tab.o1[[#This Row],[PDF2]]*Tab.o1[[#This Row],[IN]]),"")</f>
        <v/>
      </c>
      <c r="AG1146" s="129" t="str">
        <f>IF(Tab.o1[[#This Row],[a1]]=1,Tab.o1[[#This Row],[rW]]^2,"")</f>
        <v/>
      </c>
      <c r="AH1146" s="130" t="str">
        <f>IF(Tab.o1[[#This Row],[a1]]=1,IF(AH$3=0,Tab.o1[[#This Row],[rW2]],0.01+0.94*Tab.o1[[#This Row],[rW2]]/SUM(Tab.o1[rW2])),"")</f>
        <v/>
      </c>
      <c r="AI1146" s="128" t="str">
        <f>IF(Tab.o1[[#This Row],[a1]]=1,1/Tab.o1[[#This Row],[PDF]],"")</f>
        <v/>
      </c>
      <c r="AJ1146" s="131" t="str">
        <f>IF(Tab.o1[[#This Row],[a1]]=1,[1]!T_AA[[#This Row],[IN'']]*[1]!T_AA[[#This Row],[Qde'']],"")</f>
        <v/>
      </c>
      <c r="AK1146" s="132" t="str">
        <f>IF(Tab.o1[[#This Row],[a1]]=1,IF(AK$1=1,Tab.o1[[#This Row],[MED]]+Tab.o1[[#This Row],[MOD]]-Tab.o1[[#This Row],[MED]],""),"")</f>
        <v/>
      </c>
      <c r="AL1146" s="133" t="str">
        <f>IF(Tab.o1[[#This Row],[a1]]=1,[1]!T.in.A[[#This Row],[oo16]],"")</f>
        <v/>
      </c>
      <c r="AM1146" s="133" t="str">
        <f>IF(Tab.o1[[#This Row],[a1]]=1,IF(AM$3=1,[1]!T.in.A[[#This Row],[Σo16]],""),"")</f>
        <v/>
      </c>
      <c r="AN1146" s="126" t="str">
        <f>IF(Tab.o1[[#This Row],[a1]]=1,[1]!T.in.A[[#This Row],[Σp5]],"")</f>
        <v/>
      </c>
      <c r="AO1146" s="126" t="str">
        <f>IF(Tab.o1[[#This Row],[a1]]=1,IF(AO$3=1,[1]!T.in.A[[#This Row],[Σp5]],""),"")</f>
        <v/>
      </c>
      <c r="AP1146" s="110" t="str">
        <f>IF(Tab.o1[[#This Row],[a1]]=1,IF(ISNUMBER(Tab.o1[[#This Row],[i.]]),NORMDIST(Tab.o1[[#This Row],[Za]],0,1,FALSE)*Tab.o1[[#This Row],[i.]],0),"")</f>
        <v/>
      </c>
      <c r="AQ1146" s="125" t="str">
        <f>IF(Tab.o1[[#This Row],[a1]]=1,ABS(Tab.o1[[#This Row],[MOD]]-AVERAGE(Tab.o1[MOD])),"")</f>
        <v/>
      </c>
      <c r="AR1146" s="134" t="str">
        <f>IF(Tab.o1[[#This Row],[a1]]=1,Tab.o1[[#This Row],[OBS]]/SUM(Tab.o1[OBS]),"")</f>
        <v/>
      </c>
      <c r="AS1146" s="135" t="str">
        <f>IF(ISNUMBER(Tab.o1[[#This Row],[a1]]),ROW()-4,"")</f>
        <v/>
      </c>
      <c r="AT1146" s="136" t="str">
        <f>Tab.o1[[#This Row],[MOD]]</f>
        <v/>
      </c>
      <c r="AU1146" s="137" t="str">
        <f t="shared" si="69"/>
        <v/>
      </c>
      <c r="AV1146" s="138" t="str">
        <f t="shared" si="70"/>
        <v/>
      </c>
      <c r="AW1146" s="138" t="str">
        <f t="shared" si="71"/>
        <v/>
      </c>
      <c r="AX1146" s="139" t="str">
        <f>[1]!T.in.A[[#This Row],[ID_T_manu]]</f>
        <v/>
      </c>
      <c r="AY1146" s="140" t="str">
        <f>IF(ISNUMBER(Tab.o1[[#This Row],[a1]]),IF(AND(Tab.o1[[#This Row],[a1]]=1,Tab.o1[[#This Row],[b1]]&lt;=AY$4),#REF!,AY1145),"")</f>
        <v/>
      </c>
      <c r="AZ1146" s="25"/>
      <c r="BA1146" s="25"/>
      <c r="BB1146" s="25"/>
      <c r="BC1146" s="25"/>
      <c r="BD1146" s="25"/>
      <c r="BE1146" s="25"/>
      <c r="BF1146" s="25"/>
      <c r="BG1146" s="25"/>
      <c r="BH1146" s="25"/>
      <c r="BI1146" s="25"/>
      <c r="BJ1146" s="25"/>
      <c r="BK1146" s="25"/>
      <c r="BL1146" s="25"/>
      <c r="BM1146" s="25"/>
      <c r="BN1146" s="26"/>
      <c r="BO1146" s="26"/>
      <c r="BP1146" s="26"/>
      <c r="BQ1146" s="26"/>
      <c r="BR1146" s="26"/>
      <c r="BS1146" s="26"/>
      <c r="BT1146" s="26"/>
      <c r="BU1146" s="26"/>
      <c r="BV1146" s="26"/>
      <c r="BW1146" s="26"/>
      <c r="BX1146" s="26"/>
      <c r="BY1146" s="26"/>
      <c r="BZ1146" s="26"/>
      <c r="CA1146" s="26"/>
    </row>
    <row r="1147" spans="1:79" ht="15.75" hidden="1">
      <c r="A1147" s="109">
        <v>8.0000000000000013E-6</v>
      </c>
      <c r="B1147" s="110">
        <f t="shared" si="68"/>
        <v>1147</v>
      </c>
      <c r="C1147" s="111" t="str">
        <f>IF(C$1=[1]!T.in.A[[#This Row],[oo2]],1,"")</f>
        <v/>
      </c>
      <c r="D1147" s="112" t="str">
        <f>IF(Tab.o1[[#This Row],[a1]]=1,IF(SUM(C1147:C1148)=0,0,IF(SUM(C1146:C1147)=1,1,IF(SUM(C1146:C1148)&gt;1,D1146+1,0))),"")</f>
        <v/>
      </c>
      <c r="E1147" s="113" t="str">
        <f>IF(Tab.o1[[#This Row],[a1]]=1,[1]!T.in.A[[#This Row],[oo1]],"")</f>
        <v/>
      </c>
      <c r="F1147" s="113" t="str">
        <f>IF(Tab.o1[[#This Row],[a1]]=1,[1]!T.in.A[[#This Row],[pp1]],"")</f>
        <v/>
      </c>
      <c r="G1147" s="114" t="str">
        <f>IF(Tab.o1[[#This Row],[a1]]=1,G$2+IF(G$1=1,0,Tab.o1[[#This Row],[.x1]])+[1]!T.in.A[[#This Row],[oo3]],"")</f>
        <v/>
      </c>
      <c r="H1147" s="115" t="str">
        <f>IF(Tab.o1[[#This Row],[a1]]=1,IF(H$2=0,0,IF(G$1=1,0,Tab.o1[[#This Row],[.x1]])+[1]!T.in.A[[#This Row],[oo4]]),"")</f>
        <v/>
      </c>
      <c r="I1147" s="116" t="str">
        <f>IF(Tab.o1[[#This Row],[a1]]=1,IF(J$2=0,Tab.o1[[#This Row],[MED]],Tab.o1[[#This Row],[MOD]]),"")</f>
        <v/>
      </c>
      <c r="J1147" s="116" t="str">
        <f>IF(Tab.o1[[#This Row],[a1]]=1,((Tab.o1[[#This Row],[DIF_Target.]]-AVERAGE(Tab.o1[DIF_Target.]))/_xlfn.STDEV.P(Tab.o1[DIF_Target.])),"")</f>
        <v/>
      </c>
      <c r="K1147" s="117" t="str">
        <f>IF(Tab.o1[[#This Row],[a1]]=1,IF(J$2=0,Tab.o1[[#This Row],[MOD]]-Tab.o1[[#This Row],[B]],IF(J$2=1,0,-Tab.o1[[#This Row],[MED]])+Tab.o1[[#This Row],[B]]),"")</f>
        <v/>
      </c>
      <c r="L1147" s="117" t="str">
        <f ca="1">IF(Tab.o1[[#This Row],[DIF_Target]]=0,IF(L$2=0,Tab.o1[[#This Row],[DIF_Target]],AVERAGE(OFFSET(Tab.o1[[#This Row],[DIF_Target]],1,0,L$3,1)))/3,Tab.o1[[#This Row],[DIF_Target]])</f>
        <v/>
      </c>
      <c r="M1147" s="118" t="str">
        <f>IF(Tab.o1[[#This Row],[a1]]=1,NORMSDIST(Tab.o1[[#This Row],[Za]]),"")</f>
        <v/>
      </c>
      <c r="N1147" s="119" t="str">
        <f>IF(Tab.o1[[#This Row],[a1]]=1,((Tab.o1[[#This Row],[MedMod]]-AVERAGE(Tab.o1[MedMod]))/_xlfn.STDEV.P(Tab.o1[MedMod])*H$1205)+G$1205,"")</f>
        <v/>
      </c>
      <c r="O1147" s="141" t="str">
        <f>IF(Tab.o1[[#This Row],[a1]]=1,Tab.o1[[#This Row],[Zb]]*_xlfn.STDEV.P(Tab.o1[MedMod])+AVERAGE(Tab.o1[MedMod]),"")</f>
        <v/>
      </c>
      <c r="P1147" s="117" t="str">
        <f ca="1">IF(Tab.o1[[#This Row],[B]]=0,AVERAGE(OFFSET(Tab.o1[[#This Row],[B]],1,0,L$3,1)),Tab.o1[[#This Row],[B]])</f>
        <v/>
      </c>
      <c r="Q1147" s="121" t="str">
        <f>IF(Tab.o1[[#This Row],[a1]]=1,NORMSDIST(Tab.o1[[#This Row],[Zb]]),"")</f>
        <v/>
      </c>
      <c r="R1147" s="122" t="str">
        <f>IF(Tab.o1[[#This Row],[a1]]=1,((Tab.o1[[#This Row],[MedMod]]-AVERAGE(Tab.o1[MedMod]))/_xlfn.STDEV.P(Tab.o1[MedMod])*H$1203)+G$1203,"")</f>
        <v/>
      </c>
      <c r="S1147" s="122" t="str">
        <f>IF(Tab.o1[[#This Row],[a1]]=1,((Tab.o1[[#This Row],[MedMod]]-AVERAGE(Tab.o1[MedMod]))/_xlfn.STDEV.P(Tab.o1[MedMod])*H$1204)+G$1204,"")</f>
        <v/>
      </c>
      <c r="T1147" s="123" t="str">
        <f>IF(Tab.o1[[#This Row],[a1]]=1,Tab.o1[[#This Row],[Z-]]*_xlfn.STDEV.P(Tab.o1[B])+AVERAGE(Tab.o1[B]),"")</f>
        <v/>
      </c>
      <c r="U1147" s="123" t="str">
        <f>IF(Tab.o1[[#This Row],[a1]]=1,Tab.o1[[#This Row],[z+]]*_xlfn.STDEV.P(Tab.o1[B])+AVERAGE(Tab.o1[B]),"")</f>
        <v/>
      </c>
      <c r="V1147" s="124" t="str">
        <f>IF(Tab.o1[[#This Row],[a1]]=1,ABS((ABS(Tab.o1[[#This Row],[Red]]-Tab.o1[[#This Row],[Blue]]))),"")</f>
        <v/>
      </c>
      <c r="W1147" s="125" t="str">
        <f>IF(Tab.o1[[#This Row],[a1]]=1,IF(W$3=0,1,Tab.o1[[#This Row],[Amp.]]*1/_xlfn.MINIFS(Tab.o1[Amp.],Tab.o1[Amp.],"&lt;&gt;0")),"")</f>
        <v/>
      </c>
      <c r="X1147" s="126" t="str">
        <f>IF(Tab.o1[[#This Row],[a1]]=1,IF(ISNUMBER(Tab.o1[[#This Row],[i.]]),NORMDIST(Tab.o1[[#This Row],[Za]],0,1,FALSE)*Tab.o1[[#This Row],[i.]],AP$3),"")</f>
        <v/>
      </c>
      <c r="Y1147" s="126" t="str">
        <f>IF(Tab.o1[[#This Row],[a1]]=1,0.01+0.94*Tab.o1[[#This Row],[PDF]]/MAX(Tab.o1[PDF]),"")</f>
        <v/>
      </c>
      <c r="Z1147" s="126" t="str">
        <f>IF(Tab.o1[[#This Row],[a1]]=1,0.01+0.94*Tab.o1[[#This Row],[W1_PDF]]/MAX(Tab.o1[W1_PDF]),"")</f>
        <v/>
      </c>
      <c r="AA1147" s="118" t="str">
        <f>IF(Tab.o1[[#This Row],[a1]]=1,ABS([1]!T.in.A[[#This Row],[oo6]]),"")</f>
        <v/>
      </c>
      <c r="AB1147" s="127" t="str">
        <f>IF(Tab.o1[[#This Row],[a1]]=1,IF(AE$3=0,"",IF(AB$3=0,ABS([1]!T.in.A[[#This Row],[oo9]]),ABS(Tab.o1[[#This Row],[DIF_Target.]]*Tab.o1[[#This Row],[W1_PDF]]))),"")</f>
        <v/>
      </c>
      <c r="AC1147" s="127" t="str">
        <f>IF(G$1=1,"",IF(Tab.o1[[#This Row],[a1]]=1,Tab.o1[[#This Row],[Wr]]^2,""))</f>
        <v/>
      </c>
      <c r="AD1147" s="118" t="str">
        <f>IF(Tab.o1[[#This Row],[a1]]=1,IF(AE$3=0,"",Tab.o1[[#This Row],[Wr2]]/SUM(Tab.o1[Wr2])),"")</f>
        <v/>
      </c>
      <c r="AE1147" s="128" t="str">
        <f>IF(Tab.o1[[#This Row],[a1]]=1,[1]!T.in.A[[#This Row],[oo10]],"")</f>
        <v/>
      </c>
      <c r="AF1147" s="118" t="str">
        <f>IF(Tab.o1[[#This Row],[a1]]=1,ABS(Tab.o1[[#This Row],[DIF_Target.]]*Tab.o1[[#This Row],[PDF2]]*Tab.o1[[#This Row],[IN]]),"")</f>
        <v/>
      </c>
      <c r="AG1147" s="129" t="str">
        <f>IF(Tab.o1[[#This Row],[a1]]=1,Tab.o1[[#This Row],[rW]]^2,"")</f>
        <v/>
      </c>
      <c r="AH1147" s="130" t="str">
        <f>IF(Tab.o1[[#This Row],[a1]]=1,IF(AH$3=0,Tab.o1[[#This Row],[rW2]],0.01+0.94*Tab.o1[[#This Row],[rW2]]/SUM(Tab.o1[rW2])),"")</f>
        <v/>
      </c>
      <c r="AI1147" s="128" t="str">
        <f>IF(Tab.o1[[#This Row],[a1]]=1,1/Tab.o1[[#This Row],[PDF]],"")</f>
        <v/>
      </c>
      <c r="AJ1147" s="131" t="str">
        <f>IF(Tab.o1[[#This Row],[a1]]=1,[1]!T_AA[[#This Row],[IN'']]*[1]!T_AA[[#This Row],[Qde'']],"")</f>
        <v/>
      </c>
      <c r="AK1147" s="132" t="str">
        <f>IF(Tab.o1[[#This Row],[a1]]=1,IF(AK$1=1,Tab.o1[[#This Row],[MED]]+Tab.o1[[#This Row],[MOD]]-Tab.o1[[#This Row],[MED]],""),"")</f>
        <v/>
      </c>
      <c r="AL1147" s="133" t="str">
        <f>IF(Tab.o1[[#This Row],[a1]]=1,[1]!T.in.A[[#This Row],[oo16]],"")</f>
        <v/>
      </c>
      <c r="AM1147" s="133" t="str">
        <f>IF(Tab.o1[[#This Row],[a1]]=1,IF(AM$3=1,[1]!T.in.A[[#This Row],[Σo16]],""),"")</f>
        <v/>
      </c>
      <c r="AN1147" s="126" t="str">
        <f>IF(Tab.o1[[#This Row],[a1]]=1,[1]!T.in.A[[#This Row],[Σp5]],"")</f>
        <v/>
      </c>
      <c r="AO1147" s="126" t="str">
        <f>IF(Tab.o1[[#This Row],[a1]]=1,IF(AO$3=1,[1]!T.in.A[[#This Row],[Σp5]],""),"")</f>
        <v/>
      </c>
      <c r="AP1147" s="110" t="str">
        <f>IF(Tab.o1[[#This Row],[a1]]=1,IF(ISNUMBER(Tab.o1[[#This Row],[i.]]),NORMDIST(Tab.o1[[#This Row],[Za]],0,1,FALSE)*Tab.o1[[#This Row],[i.]],0),"")</f>
        <v/>
      </c>
      <c r="AQ1147" s="125" t="str">
        <f>IF(Tab.o1[[#This Row],[a1]]=1,ABS(Tab.o1[[#This Row],[MOD]]-AVERAGE(Tab.o1[MOD])),"")</f>
        <v/>
      </c>
      <c r="AR1147" s="134" t="str">
        <f>IF(Tab.o1[[#This Row],[a1]]=1,Tab.o1[[#This Row],[OBS]]/SUM(Tab.o1[OBS]),"")</f>
        <v/>
      </c>
      <c r="AS1147" s="135" t="str">
        <f>IF(ISNUMBER(Tab.o1[[#This Row],[a1]]),ROW()-4,"")</f>
        <v/>
      </c>
      <c r="AT1147" s="136" t="str">
        <f>Tab.o1[[#This Row],[MOD]]</f>
        <v/>
      </c>
      <c r="AU1147" s="137" t="str">
        <f t="shared" si="69"/>
        <v/>
      </c>
      <c r="AV1147" s="138" t="str">
        <f t="shared" si="70"/>
        <v/>
      </c>
      <c r="AW1147" s="138" t="str">
        <f t="shared" si="71"/>
        <v/>
      </c>
      <c r="AX1147" s="139" t="str">
        <f>[1]!T.in.A[[#This Row],[ID_T_manu]]</f>
        <v/>
      </c>
      <c r="AY1147" s="140" t="str">
        <f>IF(ISNUMBER(Tab.o1[[#This Row],[a1]]),IF(AND(Tab.o1[[#This Row],[a1]]=1,Tab.o1[[#This Row],[b1]]&lt;=AY$4),#REF!,AY1146),"")</f>
        <v/>
      </c>
      <c r="AZ1147" s="25"/>
      <c r="BA1147" s="25"/>
      <c r="BB1147" s="25"/>
      <c r="BC1147" s="25"/>
      <c r="BD1147" s="25"/>
      <c r="BE1147" s="25"/>
      <c r="BF1147" s="25"/>
      <c r="BG1147" s="25"/>
      <c r="BH1147" s="25"/>
      <c r="BI1147" s="25"/>
      <c r="BJ1147" s="25"/>
      <c r="BK1147" s="25"/>
      <c r="BL1147" s="25"/>
      <c r="BM1147" s="25"/>
      <c r="BN1147" s="26"/>
      <c r="BO1147" s="26"/>
      <c r="BP1147" s="26"/>
      <c r="BQ1147" s="26"/>
      <c r="BR1147" s="26"/>
      <c r="BS1147" s="26"/>
      <c r="BT1147" s="26"/>
      <c r="BU1147" s="26"/>
      <c r="BV1147" s="26"/>
      <c r="BW1147" s="26"/>
      <c r="BX1147" s="26"/>
      <c r="BY1147" s="26"/>
      <c r="BZ1147" s="26"/>
      <c r="CA1147" s="26"/>
    </row>
    <row r="1148" spans="1:79" ht="15.75" hidden="1">
      <c r="A1148" s="109">
        <v>-5.9999999999999993E-6</v>
      </c>
      <c r="B1148" s="110">
        <f t="shared" si="68"/>
        <v>1148</v>
      </c>
      <c r="C1148" s="111" t="str">
        <f>IF(C$1=[1]!T.in.A[[#This Row],[oo2]],1,"")</f>
        <v/>
      </c>
      <c r="D1148" s="112" t="str">
        <f>IF(Tab.o1[[#This Row],[a1]]=1,IF(SUM(C1148:C1149)=0,0,IF(SUM(C1147:C1148)=1,1,IF(SUM(C1147:C1149)&gt;1,D1147+1,0))),"")</f>
        <v/>
      </c>
      <c r="E1148" s="113" t="str">
        <f>IF(Tab.o1[[#This Row],[a1]]=1,[1]!T.in.A[[#This Row],[oo1]],"")</f>
        <v/>
      </c>
      <c r="F1148" s="113" t="str">
        <f>IF(Tab.o1[[#This Row],[a1]]=1,[1]!T.in.A[[#This Row],[pp1]],"")</f>
        <v/>
      </c>
      <c r="G1148" s="114" t="str">
        <f>IF(Tab.o1[[#This Row],[a1]]=1,G$2+IF(G$1=1,0,Tab.o1[[#This Row],[.x1]])+[1]!T.in.A[[#This Row],[oo3]],"")</f>
        <v/>
      </c>
      <c r="H1148" s="115" t="str">
        <f>IF(Tab.o1[[#This Row],[a1]]=1,IF(H$2=0,0,IF(G$1=1,0,Tab.o1[[#This Row],[.x1]])+[1]!T.in.A[[#This Row],[oo4]]),"")</f>
        <v/>
      </c>
      <c r="I1148" s="116" t="str">
        <f>IF(Tab.o1[[#This Row],[a1]]=1,IF(J$2=0,Tab.o1[[#This Row],[MED]],Tab.o1[[#This Row],[MOD]]),"")</f>
        <v/>
      </c>
      <c r="J1148" s="116" t="str">
        <f>IF(Tab.o1[[#This Row],[a1]]=1,((Tab.o1[[#This Row],[DIF_Target.]]-AVERAGE(Tab.o1[DIF_Target.]))/_xlfn.STDEV.P(Tab.o1[DIF_Target.])),"")</f>
        <v/>
      </c>
      <c r="K1148" s="117" t="str">
        <f>IF(Tab.o1[[#This Row],[a1]]=1,IF(J$2=0,Tab.o1[[#This Row],[MOD]]-Tab.o1[[#This Row],[B]],IF(J$2=1,0,-Tab.o1[[#This Row],[MED]])+Tab.o1[[#This Row],[B]]),"")</f>
        <v/>
      </c>
      <c r="L1148" s="117" t="str">
        <f ca="1">IF(Tab.o1[[#This Row],[DIF_Target]]=0,IF(L$2=0,Tab.o1[[#This Row],[DIF_Target]],AVERAGE(OFFSET(Tab.o1[[#This Row],[DIF_Target]],1,0,L$3,1)))/3,Tab.o1[[#This Row],[DIF_Target]])</f>
        <v/>
      </c>
      <c r="M1148" s="118" t="str">
        <f>IF(Tab.o1[[#This Row],[a1]]=1,NORMSDIST(Tab.o1[[#This Row],[Za]]),"")</f>
        <v/>
      </c>
      <c r="N1148" s="119" t="str">
        <f>IF(Tab.o1[[#This Row],[a1]]=1,((Tab.o1[[#This Row],[MedMod]]-AVERAGE(Tab.o1[MedMod]))/_xlfn.STDEV.P(Tab.o1[MedMod])*H$1205)+G$1205,"")</f>
        <v/>
      </c>
      <c r="O1148" s="141" t="str">
        <f>IF(Tab.o1[[#This Row],[a1]]=1,Tab.o1[[#This Row],[Zb]]*_xlfn.STDEV.P(Tab.o1[MedMod])+AVERAGE(Tab.o1[MedMod]),"")</f>
        <v/>
      </c>
      <c r="P1148" s="117" t="str">
        <f ca="1">IF(Tab.o1[[#This Row],[B]]=0,AVERAGE(OFFSET(Tab.o1[[#This Row],[B]],1,0,L$3,1)),Tab.o1[[#This Row],[B]])</f>
        <v/>
      </c>
      <c r="Q1148" s="121" t="str">
        <f>IF(Tab.o1[[#This Row],[a1]]=1,NORMSDIST(Tab.o1[[#This Row],[Zb]]),"")</f>
        <v/>
      </c>
      <c r="R1148" s="122" t="str">
        <f>IF(Tab.o1[[#This Row],[a1]]=1,((Tab.o1[[#This Row],[MedMod]]-AVERAGE(Tab.o1[MedMod]))/_xlfn.STDEV.P(Tab.o1[MedMod])*H$1203)+G$1203,"")</f>
        <v/>
      </c>
      <c r="S1148" s="122" t="str">
        <f>IF(Tab.o1[[#This Row],[a1]]=1,((Tab.o1[[#This Row],[MedMod]]-AVERAGE(Tab.o1[MedMod]))/_xlfn.STDEV.P(Tab.o1[MedMod])*H$1204)+G$1204,"")</f>
        <v/>
      </c>
      <c r="T1148" s="123" t="str">
        <f>IF(Tab.o1[[#This Row],[a1]]=1,Tab.o1[[#This Row],[Z-]]*_xlfn.STDEV.P(Tab.o1[B])+AVERAGE(Tab.o1[B]),"")</f>
        <v/>
      </c>
      <c r="U1148" s="123" t="str">
        <f>IF(Tab.o1[[#This Row],[a1]]=1,Tab.o1[[#This Row],[z+]]*_xlfn.STDEV.P(Tab.o1[B])+AVERAGE(Tab.o1[B]),"")</f>
        <v/>
      </c>
      <c r="V1148" s="124" t="str">
        <f>IF(Tab.o1[[#This Row],[a1]]=1,ABS((ABS(Tab.o1[[#This Row],[Red]]-Tab.o1[[#This Row],[Blue]]))),"")</f>
        <v/>
      </c>
      <c r="W1148" s="125" t="str">
        <f>IF(Tab.o1[[#This Row],[a1]]=1,IF(W$3=0,1,Tab.o1[[#This Row],[Amp.]]*1/_xlfn.MINIFS(Tab.o1[Amp.],Tab.o1[Amp.],"&lt;&gt;0")),"")</f>
        <v/>
      </c>
      <c r="X1148" s="126" t="str">
        <f>IF(Tab.o1[[#This Row],[a1]]=1,IF(ISNUMBER(Tab.o1[[#This Row],[i.]]),NORMDIST(Tab.o1[[#This Row],[Za]],0,1,FALSE)*Tab.o1[[#This Row],[i.]],AP$3),"")</f>
        <v/>
      </c>
      <c r="Y1148" s="126" t="str">
        <f>IF(Tab.o1[[#This Row],[a1]]=1,0.01+0.94*Tab.o1[[#This Row],[PDF]]/MAX(Tab.o1[PDF]),"")</f>
        <v/>
      </c>
      <c r="Z1148" s="126" t="str">
        <f>IF(Tab.o1[[#This Row],[a1]]=1,0.01+0.94*Tab.o1[[#This Row],[W1_PDF]]/MAX(Tab.o1[W1_PDF]),"")</f>
        <v/>
      </c>
      <c r="AA1148" s="118" t="str">
        <f>IF(Tab.o1[[#This Row],[a1]]=1,ABS([1]!T.in.A[[#This Row],[oo6]]),"")</f>
        <v/>
      </c>
      <c r="AB1148" s="127" t="str">
        <f>IF(Tab.o1[[#This Row],[a1]]=1,IF(AE$3=0,"",IF(AB$3=0,ABS([1]!T.in.A[[#This Row],[oo9]]),ABS(Tab.o1[[#This Row],[DIF_Target.]]*Tab.o1[[#This Row],[W1_PDF]]))),"")</f>
        <v/>
      </c>
      <c r="AC1148" s="127" t="str">
        <f>IF(G$1=1,"",IF(Tab.o1[[#This Row],[a1]]=1,Tab.o1[[#This Row],[Wr]]^2,""))</f>
        <v/>
      </c>
      <c r="AD1148" s="118" t="str">
        <f>IF(Tab.o1[[#This Row],[a1]]=1,IF(AE$3=0,"",Tab.o1[[#This Row],[Wr2]]/SUM(Tab.o1[Wr2])),"")</f>
        <v/>
      </c>
      <c r="AE1148" s="128" t="str">
        <f>IF(Tab.o1[[#This Row],[a1]]=1,[1]!T.in.A[[#This Row],[oo10]],"")</f>
        <v/>
      </c>
      <c r="AF1148" s="118" t="str">
        <f>IF(Tab.o1[[#This Row],[a1]]=1,ABS(Tab.o1[[#This Row],[DIF_Target.]]*Tab.o1[[#This Row],[PDF2]]*Tab.o1[[#This Row],[IN]]),"")</f>
        <v/>
      </c>
      <c r="AG1148" s="129" t="str">
        <f>IF(Tab.o1[[#This Row],[a1]]=1,Tab.o1[[#This Row],[rW]]^2,"")</f>
        <v/>
      </c>
      <c r="AH1148" s="130" t="str">
        <f>IF(Tab.o1[[#This Row],[a1]]=1,IF(AH$3=0,Tab.o1[[#This Row],[rW2]],0.01+0.94*Tab.o1[[#This Row],[rW2]]/SUM(Tab.o1[rW2])),"")</f>
        <v/>
      </c>
      <c r="AI1148" s="128" t="str">
        <f>IF(Tab.o1[[#This Row],[a1]]=1,1/Tab.o1[[#This Row],[PDF]],"")</f>
        <v/>
      </c>
      <c r="AJ1148" s="131" t="str">
        <f>IF(Tab.o1[[#This Row],[a1]]=1,[1]!T_AA[[#This Row],[IN'']]*[1]!T_AA[[#This Row],[Qde'']],"")</f>
        <v/>
      </c>
      <c r="AK1148" s="132" t="str">
        <f>IF(Tab.o1[[#This Row],[a1]]=1,IF(AK$1=1,Tab.o1[[#This Row],[MED]]+Tab.o1[[#This Row],[MOD]]-Tab.o1[[#This Row],[MED]],""),"")</f>
        <v/>
      </c>
      <c r="AL1148" s="133" t="str">
        <f>IF(Tab.o1[[#This Row],[a1]]=1,[1]!T.in.A[[#This Row],[oo16]],"")</f>
        <v/>
      </c>
      <c r="AM1148" s="133" t="str">
        <f>IF(Tab.o1[[#This Row],[a1]]=1,IF(AM$3=1,[1]!T.in.A[[#This Row],[Σo16]],""),"")</f>
        <v/>
      </c>
      <c r="AN1148" s="126" t="str">
        <f>IF(Tab.o1[[#This Row],[a1]]=1,[1]!T.in.A[[#This Row],[Σp5]],"")</f>
        <v/>
      </c>
      <c r="AO1148" s="126" t="str">
        <f>IF(Tab.o1[[#This Row],[a1]]=1,IF(AO$3=1,[1]!T.in.A[[#This Row],[Σp5]],""),"")</f>
        <v/>
      </c>
      <c r="AP1148" s="110" t="str">
        <f>IF(Tab.o1[[#This Row],[a1]]=1,IF(ISNUMBER(Tab.o1[[#This Row],[i.]]),NORMDIST(Tab.o1[[#This Row],[Za]],0,1,FALSE)*Tab.o1[[#This Row],[i.]],0),"")</f>
        <v/>
      </c>
      <c r="AQ1148" s="125" t="str">
        <f>IF(Tab.o1[[#This Row],[a1]]=1,ABS(Tab.o1[[#This Row],[MOD]]-AVERAGE(Tab.o1[MOD])),"")</f>
        <v/>
      </c>
      <c r="AR1148" s="134" t="str">
        <f>IF(Tab.o1[[#This Row],[a1]]=1,Tab.o1[[#This Row],[OBS]]/SUM(Tab.o1[OBS]),"")</f>
        <v/>
      </c>
      <c r="AS1148" s="135" t="str">
        <f>IF(ISNUMBER(Tab.o1[[#This Row],[a1]]),ROW()-4,"")</f>
        <v/>
      </c>
      <c r="AT1148" s="136" t="str">
        <f>Tab.o1[[#This Row],[MOD]]</f>
        <v/>
      </c>
      <c r="AU1148" s="137" t="str">
        <f t="shared" si="69"/>
        <v/>
      </c>
      <c r="AV1148" s="138" t="str">
        <f t="shared" si="70"/>
        <v/>
      </c>
      <c r="AW1148" s="138" t="str">
        <f t="shared" si="71"/>
        <v/>
      </c>
      <c r="AX1148" s="139" t="str">
        <f>[1]!T.in.A[[#This Row],[ID_T_manu]]</f>
        <v/>
      </c>
      <c r="AY1148" s="140" t="str">
        <f>IF(ISNUMBER(Tab.o1[[#This Row],[a1]]),IF(AND(Tab.o1[[#This Row],[a1]]=1,Tab.o1[[#This Row],[b1]]&lt;=AY$4),#REF!,AY1147),"")</f>
        <v/>
      </c>
      <c r="AZ1148" s="25"/>
      <c r="BA1148" s="25"/>
      <c r="BB1148" s="25"/>
      <c r="BC1148" s="25"/>
      <c r="BD1148" s="25"/>
      <c r="BE1148" s="25"/>
      <c r="BF1148" s="25"/>
      <c r="BG1148" s="25"/>
      <c r="BH1148" s="25"/>
      <c r="BI1148" s="25"/>
      <c r="BJ1148" s="25"/>
      <c r="BK1148" s="25"/>
      <c r="BL1148" s="25"/>
      <c r="BM1148" s="25"/>
      <c r="BN1148" s="26"/>
      <c r="BO1148" s="26"/>
      <c r="BP1148" s="26"/>
      <c r="BQ1148" s="26"/>
      <c r="BR1148" s="26"/>
      <c r="BS1148" s="26"/>
      <c r="BT1148" s="26"/>
      <c r="BU1148" s="26"/>
      <c r="BV1148" s="26"/>
      <c r="BW1148" s="26"/>
      <c r="BX1148" s="26"/>
      <c r="BY1148" s="26"/>
      <c r="BZ1148" s="26"/>
      <c r="CA1148" s="26"/>
    </row>
    <row r="1149" spans="1:79" ht="15.75" hidden="1">
      <c r="A1149" s="109">
        <v>-1.0000000000000001E-5</v>
      </c>
      <c r="B1149" s="110">
        <f t="shared" si="68"/>
        <v>1149</v>
      </c>
      <c r="C1149" s="111" t="str">
        <f>IF(C$1=[1]!T.in.A[[#This Row],[oo2]],1,"")</f>
        <v/>
      </c>
      <c r="D1149" s="112" t="str">
        <f>IF(Tab.o1[[#This Row],[a1]]=1,IF(SUM(C1149:C1150)=0,0,IF(SUM(C1148:C1149)=1,1,IF(SUM(C1148:C1150)&gt;1,D1148+1,0))),"")</f>
        <v/>
      </c>
      <c r="E1149" s="113" t="str">
        <f>IF(Tab.o1[[#This Row],[a1]]=1,[1]!T.in.A[[#This Row],[oo1]],"")</f>
        <v/>
      </c>
      <c r="F1149" s="113" t="str">
        <f>IF(Tab.o1[[#This Row],[a1]]=1,[1]!T.in.A[[#This Row],[pp1]],"")</f>
        <v/>
      </c>
      <c r="G1149" s="114" t="str">
        <f>IF(Tab.o1[[#This Row],[a1]]=1,G$2+IF(G$1=1,0,Tab.o1[[#This Row],[.x1]])+[1]!T.in.A[[#This Row],[oo3]],"")</f>
        <v/>
      </c>
      <c r="H1149" s="115" t="str">
        <f>IF(Tab.o1[[#This Row],[a1]]=1,IF(H$2=0,0,IF(G$1=1,0,Tab.o1[[#This Row],[.x1]])+[1]!T.in.A[[#This Row],[oo4]]),"")</f>
        <v/>
      </c>
      <c r="I1149" s="116" t="str">
        <f>IF(Tab.o1[[#This Row],[a1]]=1,IF(J$2=0,Tab.o1[[#This Row],[MED]],Tab.o1[[#This Row],[MOD]]),"")</f>
        <v/>
      </c>
      <c r="J1149" s="116" t="str">
        <f>IF(Tab.o1[[#This Row],[a1]]=1,((Tab.o1[[#This Row],[DIF_Target.]]-AVERAGE(Tab.o1[DIF_Target.]))/_xlfn.STDEV.P(Tab.o1[DIF_Target.])),"")</f>
        <v/>
      </c>
      <c r="K1149" s="117" t="str">
        <f>IF(Tab.o1[[#This Row],[a1]]=1,IF(J$2=0,Tab.o1[[#This Row],[MOD]]-Tab.o1[[#This Row],[B]],IF(J$2=1,0,-Tab.o1[[#This Row],[MED]])+Tab.o1[[#This Row],[B]]),"")</f>
        <v/>
      </c>
      <c r="L1149" s="117" t="str">
        <f ca="1">IF(Tab.o1[[#This Row],[DIF_Target]]=0,IF(L$2=0,Tab.o1[[#This Row],[DIF_Target]],AVERAGE(OFFSET(Tab.o1[[#This Row],[DIF_Target]],1,0,L$3,1)))/3,Tab.o1[[#This Row],[DIF_Target]])</f>
        <v/>
      </c>
      <c r="M1149" s="118" t="str">
        <f>IF(Tab.o1[[#This Row],[a1]]=1,NORMSDIST(Tab.o1[[#This Row],[Za]]),"")</f>
        <v/>
      </c>
      <c r="N1149" s="119" t="str">
        <f>IF(Tab.o1[[#This Row],[a1]]=1,((Tab.o1[[#This Row],[MedMod]]-AVERAGE(Tab.o1[MedMod]))/_xlfn.STDEV.P(Tab.o1[MedMod])*H$1205)+G$1205,"")</f>
        <v/>
      </c>
      <c r="O1149" s="141" t="str">
        <f>IF(Tab.o1[[#This Row],[a1]]=1,Tab.o1[[#This Row],[Zb]]*_xlfn.STDEV.P(Tab.o1[MedMod])+AVERAGE(Tab.o1[MedMod]),"")</f>
        <v/>
      </c>
      <c r="P1149" s="117" t="str">
        <f ca="1">IF(Tab.o1[[#This Row],[B]]=0,AVERAGE(OFFSET(Tab.o1[[#This Row],[B]],1,0,L$3,1)),Tab.o1[[#This Row],[B]])</f>
        <v/>
      </c>
      <c r="Q1149" s="121" t="str">
        <f>IF(Tab.o1[[#This Row],[a1]]=1,NORMSDIST(Tab.o1[[#This Row],[Zb]]),"")</f>
        <v/>
      </c>
      <c r="R1149" s="122" t="str">
        <f>IF(Tab.o1[[#This Row],[a1]]=1,((Tab.o1[[#This Row],[MedMod]]-AVERAGE(Tab.o1[MedMod]))/_xlfn.STDEV.P(Tab.o1[MedMod])*H$1203)+G$1203,"")</f>
        <v/>
      </c>
      <c r="S1149" s="122" t="str">
        <f>IF(Tab.o1[[#This Row],[a1]]=1,((Tab.o1[[#This Row],[MedMod]]-AVERAGE(Tab.o1[MedMod]))/_xlfn.STDEV.P(Tab.o1[MedMod])*H$1204)+G$1204,"")</f>
        <v/>
      </c>
      <c r="T1149" s="123" t="str">
        <f>IF(Tab.o1[[#This Row],[a1]]=1,Tab.o1[[#This Row],[Z-]]*_xlfn.STDEV.P(Tab.o1[B])+AVERAGE(Tab.o1[B]),"")</f>
        <v/>
      </c>
      <c r="U1149" s="123" t="str">
        <f>IF(Tab.o1[[#This Row],[a1]]=1,Tab.o1[[#This Row],[z+]]*_xlfn.STDEV.P(Tab.o1[B])+AVERAGE(Tab.o1[B]),"")</f>
        <v/>
      </c>
      <c r="V1149" s="124" t="str">
        <f>IF(Tab.o1[[#This Row],[a1]]=1,ABS((ABS(Tab.o1[[#This Row],[Red]]-Tab.o1[[#This Row],[Blue]]))),"")</f>
        <v/>
      </c>
      <c r="W1149" s="125" t="str">
        <f>IF(Tab.o1[[#This Row],[a1]]=1,IF(W$3=0,1,Tab.o1[[#This Row],[Amp.]]*1/_xlfn.MINIFS(Tab.o1[Amp.],Tab.o1[Amp.],"&lt;&gt;0")),"")</f>
        <v/>
      </c>
      <c r="X1149" s="126" t="str">
        <f>IF(Tab.o1[[#This Row],[a1]]=1,IF(ISNUMBER(Tab.o1[[#This Row],[i.]]),NORMDIST(Tab.o1[[#This Row],[Za]],0,1,FALSE)*Tab.o1[[#This Row],[i.]],AP$3),"")</f>
        <v/>
      </c>
      <c r="Y1149" s="126" t="str">
        <f>IF(Tab.o1[[#This Row],[a1]]=1,0.01+0.94*Tab.o1[[#This Row],[PDF]]/MAX(Tab.o1[PDF]),"")</f>
        <v/>
      </c>
      <c r="Z1149" s="126" t="str">
        <f>IF(Tab.o1[[#This Row],[a1]]=1,0.01+0.94*Tab.o1[[#This Row],[W1_PDF]]/MAX(Tab.o1[W1_PDF]),"")</f>
        <v/>
      </c>
      <c r="AA1149" s="118" t="str">
        <f>IF(Tab.o1[[#This Row],[a1]]=1,ABS([1]!T.in.A[[#This Row],[oo6]]),"")</f>
        <v/>
      </c>
      <c r="AB1149" s="127" t="str">
        <f>IF(Tab.o1[[#This Row],[a1]]=1,IF(AE$3=0,"",IF(AB$3=0,ABS([1]!T.in.A[[#This Row],[oo9]]),ABS(Tab.o1[[#This Row],[DIF_Target.]]*Tab.o1[[#This Row],[W1_PDF]]))),"")</f>
        <v/>
      </c>
      <c r="AC1149" s="127" t="str">
        <f>IF(G$1=1,"",IF(Tab.o1[[#This Row],[a1]]=1,Tab.o1[[#This Row],[Wr]]^2,""))</f>
        <v/>
      </c>
      <c r="AD1149" s="118" t="str">
        <f>IF(Tab.o1[[#This Row],[a1]]=1,IF(AE$3=0,"",Tab.o1[[#This Row],[Wr2]]/SUM(Tab.o1[Wr2])),"")</f>
        <v/>
      </c>
      <c r="AE1149" s="128" t="str">
        <f>IF(Tab.o1[[#This Row],[a1]]=1,[1]!T.in.A[[#This Row],[oo10]],"")</f>
        <v/>
      </c>
      <c r="AF1149" s="118" t="str">
        <f>IF(Tab.o1[[#This Row],[a1]]=1,ABS(Tab.o1[[#This Row],[DIF_Target.]]*Tab.o1[[#This Row],[PDF2]]*Tab.o1[[#This Row],[IN]]),"")</f>
        <v/>
      </c>
      <c r="AG1149" s="129" t="str">
        <f>IF(Tab.o1[[#This Row],[a1]]=1,Tab.o1[[#This Row],[rW]]^2,"")</f>
        <v/>
      </c>
      <c r="AH1149" s="130" t="str">
        <f>IF(Tab.o1[[#This Row],[a1]]=1,IF(AH$3=0,Tab.o1[[#This Row],[rW2]],0.01+0.94*Tab.o1[[#This Row],[rW2]]/SUM(Tab.o1[rW2])),"")</f>
        <v/>
      </c>
      <c r="AI1149" s="128" t="str">
        <f>IF(Tab.o1[[#This Row],[a1]]=1,1/Tab.o1[[#This Row],[PDF]],"")</f>
        <v/>
      </c>
      <c r="AJ1149" s="131" t="str">
        <f>IF(Tab.o1[[#This Row],[a1]]=1,[1]!T_AA[[#This Row],[IN'']]*[1]!T_AA[[#This Row],[Qde'']],"")</f>
        <v/>
      </c>
      <c r="AK1149" s="132" t="str">
        <f>IF(Tab.o1[[#This Row],[a1]]=1,IF(AK$1=1,Tab.o1[[#This Row],[MED]]+Tab.o1[[#This Row],[MOD]]-Tab.o1[[#This Row],[MED]],""),"")</f>
        <v/>
      </c>
      <c r="AL1149" s="133" t="str">
        <f>IF(Tab.o1[[#This Row],[a1]]=1,[1]!T.in.A[[#This Row],[oo16]],"")</f>
        <v/>
      </c>
      <c r="AM1149" s="133" t="str">
        <f>IF(Tab.o1[[#This Row],[a1]]=1,IF(AM$3=1,[1]!T.in.A[[#This Row],[Σo16]],""),"")</f>
        <v/>
      </c>
      <c r="AN1149" s="126" t="str">
        <f>IF(Tab.o1[[#This Row],[a1]]=1,[1]!T.in.A[[#This Row],[Σp5]],"")</f>
        <v/>
      </c>
      <c r="AO1149" s="126" t="str">
        <f>IF(Tab.o1[[#This Row],[a1]]=1,IF(AO$3=1,[1]!T.in.A[[#This Row],[Σp5]],""),"")</f>
        <v/>
      </c>
      <c r="AP1149" s="110" t="str">
        <f>IF(Tab.o1[[#This Row],[a1]]=1,IF(ISNUMBER(Tab.o1[[#This Row],[i.]]),NORMDIST(Tab.o1[[#This Row],[Za]],0,1,FALSE)*Tab.o1[[#This Row],[i.]],0),"")</f>
        <v/>
      </c>
      <c r="AQ1149" s="125" t="str">
        <f>IF(Tab.o1[[#This Row],[a1]]=1,ABS(Tab.o1[[#This Row],[MOD]]-AVERAGE(Tab.o1[MOD])),"")</f>
        <v/>
      </c>
      <c r="AR1149" s="134" t="str">
        <f>IF(Tab.o1[[#This Row],[a1]]=1,Tab.o1[[#This Row],[OBS]]/SUM(Tab.o1[OBS]),"")</f>
        <v/>
      </c>
      <c r="AS1149" s="135" t="str">
        <f>IF(ISNUMBER(Tab.o1[[#This Row],[a1]]),ROW()-4,"")</f>
        <v/>
      </c>
      <c r="AT1149" s="136" t="str">
        <f>Tab.o1[[#This Row],[MOD]]</f>
        <v/>
      </c>
      <c r="AU1149" s="137" t="str">
        <f t="shared" si="69"/>
        <v/>
      </c>
      <c r="AV1149" s="138" t="str">
        <f t="shared" si="70"/>
        <v/>
      </c>
      <c r="AW1149" s="138" t="str">
        <f t="shared" si="71"/>
        <v/>
      </c>
      <c r="AX1149" s="139" t="str">
        <f>[1]!T.in.A[[#This Row],[ID_T_manu]]</f>
        <v/>
      </c>
      <c r="AY1149" s="140" t="str">
        <f>IF(ISNUMBER(Tab.o1[[#This Row],[a1]]),IF(AND(Tab.o1[[#This Row],[a1]]=1,Tab.o1[[#This Row],[b1]]&lt;=AY$4),#REF!,AY1148),"")</f>
        <v/>
      </c>
      <c r="AZ1149" s="25"/>
      <c r="BA1149" s="25"/>
      <c r="BB1149" s="25"/>
      <c r="BC1149" s="25"/>
      <c r="BD1149" s="25"/>
      <c r="BE1149" s="25"/>
      <c r="BF1149" s="25"/>
      <c r="BG1149" s="25"/>
      <c r="BH1149" s="25"/>
      <c r="BI1149" s="25"/>
      <c r="BJ1149" s="25"/>
      <c r="BK1149" s="25"/>
      <c r="BL1149" s="25"/>
      <c r="BM1149" s="25"/>
      <c r="BN1149" s="26"/>
      <c r="BO1149" s="26"/>
      <c r="BP1149" s="26"/>
      <c r="BQ1149" s="26"/>
      <c r="BR1149" s="26"/>
      <c r="BS1149" s="26"/>
      <c r="BT1149" s="26"/>
      <c r="BU1149" s="26"/>
      <c r="BV1149" s="26"/>
      <c r="BW1149" s="26"/>
      <c r="BX1149" s="26"/>
      <c r="BY1149" s="26"/>
      <c r="BZ1149" s="26"/>
      <c r="CA1149" s="26"/>
    </row>
    <row r="1150" spans="1:79" ht="15.75" hidden="1">
      <c r="A1150" s="109">
        <v>6.9999999999999999E-6</v>
      </c>
      <c r="B1150" s="110">
        <f t="shared" si="68"/>
        <v>1150</v>
      </c>
      <c r="C1150" s="111" t="str">
        <f>IF(C$1=[1]!T.in.A[[#This Row],[oo2]],1,"")</f>
        <v/>
      </c>
      <c r="D1150" s="112" t="str">
        <f>IF(Tab.o1[[#This Row],[a1]]=1,IF(SUM(C1150:C1151)=0,0,IF(SUM(C1149:C1150)=1,1,IF(SUM(C1149:C1151)&gt;1,D1149+1,0))),"")</f>
        <v/>
      </c>
      <c r="E1150" s="113" t="str">
        <f>IF(Tab.o1[[#This Row],[a1]]=1,[1]!T.in.A[[#This Row],[oo1]],"")</f>
        <v/>
      </c>
      <c r="F1150" s="113" t="str">
        <f>IF(Tab.o1[[#This Row],[a1]]=1,[1]!T.in.A[[#This Row],[pp1]],"")</f>
        <v/>
      </c>
      <c r="G1150" s="114" t="str">
        <f>IF(Tab.o1[[#This Row],[a1]]=1,G$2+IF(G$1=1,0,Tab.o1[[#This Row],[.x1]])+[1]!T.in.A[[#This Row],[oo3]],"")</f>
        <v/>
      </c>
      <c r="H1150" s="115" t="str">
        <f>IF(Tab.o1[[#This Row],[a1]]=1,IF(H$2=0,0,IF(G$1=1,0,Tab.o1[[#This Row],[.x1]])+[1]!T.in.A[[#This Row],[oo4]]),"")</f>
        <v/>
      </c>
      <c r="I1150" s="116" t="str">
        <f>IF(Tab.o1[[#This Row],[a1]]=1,IF(J$2=0,Tab.o1[[#This Row],[MED]],Tab.o1[[#This Row],[MOD]]),"")</f>
        <v/>
      </c>
      <c r="J1150" s="116" t="str">
        <f>IF(Tab.o1[[#This Row],[a1]]=1,((Tab.o1[[#This Row],[DIF_Target.]]-AVERAGE(Tab.o1[DIF_Target.]))/_xlfn.STDEV.P(Tab.o1[DIF_Target.])),"")</f>
        <v/>
      </c>
      <c r="K1150" s="117" t="str">
        <f>IF(Tab.o1[[#This Row],[a1]]=1,IF(J$2=0,Tab.o1[[#This Row],[MOD]]-Tab.o1[[#This Row],[B]],IF(J$2=1,0,-Tab.o1[[#This Row],[MED]])+Tab.o1[[#This Row],[B]]),"")</f>
        <v/>
      </c>
      <c r="L1150" s="117" t="str">
        <f ca="1">IF(Tab.o1[[#This Row],[DIF_Target]]=0,IF(L$2=0,Tab.o1[[#This Row],[DIF_Target]],AVERAGE(OFFSET(Tab.o1[[#This Row],[DIF_Target]],1,0,L$3,1)))/3,Tab.o1[[#This Row],[DIF_Target]])</f>
        <v/>
      </c>
      <c r="M1150" s="118" t="str">
        <f>IF(Tab.o1[[#This Row],[a1]]=1,NORMSDIST(Tab.o1[[#This Row],[Za]]),"")</f>
        <v/>
      </c>
      <c r="N1150" s="119" t="str">
        <f>IF(Tab.o1[[#This Row],[a1]]=1,((Tab.o1[[#This Row],[MedMod]]-AVERAGE(Tab.o1[MedMod]))/_xlfn.STDEV.P(Tab.o1[MedMod])*H$1205)+G$1205,"")</f>
        <v/>
      </c>
      <c r="O1150" s="141" t="str">
        <f>IF(Tab.o1[[#This Row],[a1]]=1,Tab.o1[[#This Row],[Zb]]*_xlfn.STDEV.P(Tab.o1[MedMod])+AVERAGE(Tab.o1[MedMod]),"")</f>
        <v/>
      </c>
      <c r="P1150" s="117" t="str">
        <f ca="1">IF(Tab.o1[[#This Row],[B]]=0,AVERAGE(OFFSET(Tab.o1[[#This Row],[B]],1,0,L$3,1)),Tab.o1[[#This Row],[B]])</f>
        <v/>
      </c>
      <c r="Q1150" s="121" t="str">
        <f>IF(Tab.o1[[#This Row],[a1]]=1,NORMSDIST(Tab.o1[[#This Row],[Zb]]),"")</f>
        <v/>
      </c>
      <c r="R1150" s="122" t="str">
        <f>IF(Tab.o1[[#This Row],[a1]]=1,((Tab.o1[[#This Row],[MedMod]]-AVERAGE(Tab.o1[MedMod]))/_xlfn.STDEV.P(Tab.o1[MedMod])*H$1203)+G$1203,"")</f>
        <v/>
      </c>
      <c r="S1150" s="122" t="str">
        <f>IF(Tab.o1[[#This Row],[a1]]=1,((Tab.o1[[#This Row],[MedMod]]-AVERAGE(Tab.o1[MedMod]))/_xlfn.STDEV.P(Tab.o1[MedMod])*H$1204)+G$1204,"")</f>
        <v/>
      </c>
      <c r="T1150" s="123" t="str">
        <f>IF(Tab.o1[[#This Row],[a1]]=1,Tab.o1[[#This Row],[Z-]]*_xlfn.STDEV.P(Tab.o1[B])+AVERAGE(Tab.o1[B]),"")</f>
        <v/>
      </c>
      <c r="U1150" s="123" t="str">
        <f>IF(Tab.o1[[#This Row],[a1]]=1,Tab.o1[[#This Row],[z+]]*_xlfn.STDEV.P(Tab.o1[B])+AVERAGE(Tab.o1[B]),"")</f>
        <v/>
      </c>
      <c r="V1150" s="124" t="str">
        <f>IF(Tab.o1[[#This Row],[a1]]=1,ABS((ABS(Tab.o1[[#This Row],[Red]]-Tab.o1[[#This Row],[Blue]]))),"")</f>
        <v/>
      </c>
      <c r="W1150" s="125" t="str">
        <f>IF(Tab.o1[[#This Row],[a1]]=1,IF(W$3=0,1,Tab.o1[[#This Row],[Amp.]]*1/_xlfn.MINIFS(Tab.o1[Amp.],Tab.o1[Amp.],"&lt;&gt;0")),"")</f>
        <v/>
      </c>
      <c r="X1150" s="126" t="str">
        <f>IF(Tab.o1[[#This Row],[a1]]=1,IF(ISNUMBER(Tab.o1[[#This Row],[i.]]),NORMDIST(Tab.o1[[#This Row],[Za]],0,1,FALSE)*Tab.o1[[#This Row],[i.]],AP$3),"")</f>
        <v/>
      </c>
      <c r="Y1150" s="126" t="str">
        <f>IF(Tab.o1[[#This Row],[a1]]=1,0.01+0.94*Tab.o1[[#This Row],[PDF]]/MAX(Tab.o1[PDF]),"")</f>
        <v/>
      </c>
      <c r="Z1150" s="126" t="str">
        <f>IF(Tab.o1[[#This Row],[a1]]=1,0.01+0.94*Tab.o1[[#This Row],[W1_PDF]]/MAX(Tab.o1[W1_PDF]),"")</f>
        <v/>
      </c>
      <c r="AA1150" s="118" t="str">
        <f>IF(Tab.o1[[#This Row],[a1]]=1,ABS([1]!T.in.A[[#This Row],[oo6]]),"")</f>
        <v/>
      </c>
      <c r="AB1150" s="127" t="str">
        <f>IF(Tab.o1[[#This Row],[a1]]=1,IF(AE$3=0,"",IF(AB$3=0,ABS([1]!T.in.A[[#This Row],[oo9]]),ABS(Tab.o1[[#This Row],[DIF_Target.]]*Tab.o1[[#This Row],[W1_PDF]]))),"")</f>
        <v/>
      </c>
      <c r="AC1150" s="127" t="str">
        <f>IF(G$1=1,"",IF(Tab.o1[[#This Row],[a1]]=1,Tab.o1[[#This Row],[Wr]]^2,""))</f>
        <v/>
      </c>
      <c r="AD1150" s="118" t="str">
        <f>IF(Tab.o1[[#This Row],[a1]]=1,IF(AE$3=0,"",Tab.o1[[#This Row],[Wr2]]/SUM(Tab.o1[Wr2])),"")</f>
        <v/>
      </c>
      <c r="AE1150" s="128" t="str">
        <f>IF(Tab.o1[[#This Row],[a1]]=1,[1]!T.in.A[[#This Row],[oo10]],"")</f>
        <v/>
      </c>
      <c r="AF1150" s="118" t="str">
        <f>IF(Tab.o1[[#This Row],[a1]]=1,ABS(Tab.o1[[#This Row],[DIF_Target.]]*Tab.o1[[#This Row],[PDF2]]*Tab.o1[[#This Row],[IN]]),"")</f>
        <v/>
      </c>
      <c r="AG1150" s="129" t="str">
        <f>IF(Tab.o1[[#This Row],[a1]]=1,Tab.o1[[#This Row],[rW]]^2,"")</f>
        <v/>
      </c>
      <c r="AH1150" s="130" t="str">
        <f>IF(Tab.o1[[#This Row],[a1]]=1,IF(AH$3=0,Tab.o1[[#This Row],[rW2]],0.01+0.94*Tab.o1[[#This Row],[rW2]]/SUM(Tab.o1[rW2])),"")</f>
        <v/>
      </c>
      <c r="AI1150" s="128" t="str">
        <f>IF(Tab.o1[[#This Row],[a1]]=1,1/Tab.o1[[#This Row],[PDF]],"")</f>
        <v/>
      </c>
      <c r="AJ1150" s="131" t="str">
        <f>IF(Tab.o1[[#This Row],[a1]]=1,[1]!T_AA[[#This Row],[IN'']]*[1]!T_AA[[#This Row],[Qde'']],"")</f>
        <v/>
      </c>
      <c r="AK1150" s="132" t="str">
        <f>IF(Tab.o1[[#This Row],[a1]]=1,IF(AK$1=1,Tab.o1[[#This Row],[MED]]+Tab.o1[[#This Row],[MOD]]-Tab.o1[[#This Row],[MED]],""),"")</f>
        <v/>
      </c>
      <c r="AL1150" s="133" t="str">
        <f>IF(Tab.o1[[#This Row],[a1]]=1,[1]!T.in.A[[#This Row],[oo16]],"")</f>
        <v/>
      </c>
      <c r="AM1150" s="133" t="str">
        <f>IF(Tab.o1[[#This Row],[a1]]=1,IF(AM$3=1,[1]!T.in.A[[#This Row],[Σo16]],""),"")</f>
        <v/>
      </c>
      <c r="AN1150" s="126" t="str">
        <f>IF(Tab.o1[[#This Row],[a1]]=1,[1]!T.in.A[[#This Row],[Σp5]],"")</f>
        <v/>
      </c>
      <c r="AO1150" s="126" t="str">
        <f>IF(Tab.o1[[#This Row],[a1]]=1,IF(AO$3=1,[1]!T.in.A[[#This Row],[Σp5]],""),"")</f>
        <v/>
      </c>
      <c r="AP1150" s="110" t="str">
        <f>IF(Tab.o1[[#This Row],[a1]]=1,IF(ISNUMBER(Tab.o1[[#This Row],[i.]]),NORMDIST(Tab.o1[[#This Row],[Za]],0,1,FALSE)*Tab.o1[[#This Row],[i.]],0),"")</f>
        <v/>
      </c>
      <c r="AQ1150" s="125" t="str">
        <f>IF(Tab.o1[[#This Row],[a1]]=1,ABS(Tab.o1[[#This Row],[MOD]]-AVERAGE(Tab.o1[MOD])),"")</f>
        <v/>
      </c>
      <c r="AR1150" s="134" t="str">
        <f>IF(Tab.o1[[#This Row],[a1]]=1,Tab.o1[[#This Row],[OBS]]/SUM(Tab.o1[OBS]),"")</f>
        <v/>
      </c>
      <c r="AS1150" s="135" t="str">
        <f>IF(ISNUMBER(Tab.o1[[#This Row],[a1]]),ROW()-4,"")</f>
        <v/>
      </c>
      <c r="AT1150" s="136" t="str">
        <f>Tab.o1[[#This Row],[MOD]]</f>
        <v/>
      </c>
      <c r="AU1150" s="137" t="str">
        <f t="shared" si="69"/>
        <v/>
      </c>
      <c r="AV1150" s="138" t="str">
        <f t="shared" si="70"/>
        <v/>
      </c>
      <c r="AW1150" s="138" t="str">
        <f t="shared" si="71"/>
        <v/>
      </c>
      <c r="AX1150" s="139" t="str">
        <f>[1]!T.in.A[[#This Row],[ID_T_manu]]</f>
        <v/>
      </c>
      <c r="AY1150" s="140" t="str">
        <f>IF(ISNUMBER(Tab.o1[[#This Row],[a1]]),IF(AND(Tab.o1[[#This Row],[a1]]=1,Tab.o1[[#This Row],[b1]]&lt;=AY$4),#REF!,AY1149),"")</f>
        <v/>
      </c>
      <c r="AZ1150" s="25"/>
      <c r="BA1150" s="25"/>
      <c r="BB1150" s="25"/>
      <c r="BC1150" s="25"/>
      <c r="BD1150" s="25"/>
      <c r="BE1150" s="25"/>
      <c r="BF1150" s="25"/>
      <c r="BG1150" s="25"/>
      <c r="BH1150" s="25"/>
      <c r="BI1150" s="25"/>
      <c r="BJ1150" s="25"/>
      <c r="BK1150" s="25"/>
      <c r="BL1150" s="25"/>
      <c r="BM1150" s="25"/>
      <c r="BN1150" s="26"/>
      <c r="BO1150" s="26"/>
      <c r="BP1150" s="26"/>
      <c r="BQ1150" s="26"/>
      <c r="BR1150" s="26"/>
      <c r="BS1150" s="26"/>
      <c r="BT1150" s="26"/>
      <c r="BU1150" s="26"/>
      <c r="BV1150" s="26"/>
      <c r="BW1150" s="26"/>
      <c r="BX1150" s="26"/>
      <c r="BY1150" s="26"/>
      <c r="BZ1150" s="26"/>
      <c r="CA1150" s="26"/>
    </row>
    <row r="1151" spans="1:79" ht="15.75" hidden="1">
      <c r="A1151" s="109">
        <v>-2.9999999999999997E-6</v>
      </c>
      <c r="B1151" s="110">
        <f t="shared" si="68"/>
        <v>1151</v>
      </c>
      <c r="C1151" s="111" t="str">
        <f>IF(C$1=[1]!T.in.A[[#This Row],[oo2]],1,"")</f>
        <v/>
      </c>
      <c r="D1151" s="112" t="str">
        <f>IF(Tab.o1[[#This Row],[a1]]=1,IF(SUM(C1151:C1152)=0,0,IF(SUM(C1150:C1151)=1,1,IF(SUM(C1150:C1152)&gt;1,D1150+1,0))),"")</f>
        <v/>
      </c>
      <c r="E1151" s="113" t="str">
        <f>IF(Tab.o1[[#This Row],[a1]]=1,[1]!T.in.A[[#This Row],[oo1]],"")</f>
        <v/>
      </c>
      <c r="F1151" s="113" t="str">
        <f>IF(Tab.o1[[#This Row],[a1]]=1,[1]!T.in.A[[#This Row],[pp1]],"")</f>
        <v/>
      </c>
      <c r="G1151" s="114" t="str">
        <f>IF(Tab.o1[[#This Row],[a1]]=1,G$2+IF(G$1=1,0,Tab.o1[[#This Row],[.x1]])+[1]!T.in.A[[#This Row],[oo3]],"")</f>
        <v/>
      </c>
      <c r="H1151" s="115" t="str">
        <f>IF(Tab.o1[[#This Row],[a1]]=1,IF(H$2=0,0,IF(G$1=1,0,Tab.o1[[#This Row],[.x1]])+[1]!T.in.A[[#This Row],[oo4]]),"")</f>
        <v/>
      </c>
      <c r="I1151" s="116" t="str">
        <f>IF(Tab.o1[[#This Row],[a1]]=1,IF(J$2=0,Tab.o1[[#This Row],[MED]],Tab.o1[[#This Row],[MOD]]),"")</f>
        <v/>
      </c>
      <c r="J1151" s="116" t="str">
        <f>IF(Tab.o1[[#This Row],[a1]]=1,((Tab.o1[[#This Row],[DIF_Target.]]-AVERAGE(Tab.o1[DIF_Target.]))/_xlfn.STDEV.P(Tab.o1[DIF_Target.])),"")</f>
        <v/>
      </c>
      <c r="K1151" s="117" t="str">
        <f>IF(Tab.o1[[#This Row],[a1]]=1,IF(J$2=0,Tab.o1[[#This Row],[MOD]]-Tab.o1[[#This Row],[B]],IF(J$2=1,0,-Tab.o1[[#This Row],[MED]])+Tab.o1[[#This Row],[B]]),"")</f>
        <v/>
      </c>
      <c r="L1151" s="117" t="str">
        <f ca="1">IF(Tab.o1[[#This Row],[DIF_Target]]=0,IF(L$2=0,Tab.o1[[#This Row],[DIF_Target]],AVERAGE(OFFSET(Tab.o1[[#This Row],[DIF_Target]],1,0,L$3,1)))/3,Tab.o1[[#This Row],[DIF_Target]])</f>
        <v/>
      </c>
      <c r="M1151" s="118" t="str">
        <f>IF(Tab.o1[[#This Row],[a1]]=1,NORMSDIST(Tab.o1[[#This Row],[Za]]),"")</f>
        <v/>
      </c>
      <c r="N1151" s="119" t="str">
        <f>IF(Tab.o1[[#This Row],[a1]]=1,((Tab.o1[[#This Row],[MedMod]]-AVERAGE(Tab.o1[MedMod]))/_xlfn.STDEV.P(Tab.o1[MedMod])*H$1205)+G$1205,"")</f>
        <v/>
      </c>
      <c r="O1151" s="141" t="str">
        <f>IF(Tab.o1[[#This Row],[a1]]=1,Tab.o1[[#This Row],[Zb]]*_xlfn.STDEV.P(Tab.o1[MedMod])+AVERAGE(Tab.o1[MedMod]),"")</f>
        <v/>
      </c>
      <c r="P1151" s="117" t="str">
        <f ca="1">IF(Tab.o1[[#This Row],[B]]=0,AVERAGE(OFFSET(Tab.o1[[#This Row],[B]],1,0,L$3,1)),Tab.o1[[#This Row],[B]])</f>
        <v/>
      </c>
      <c r="Q1151" s="121" t="str">
        <f>IF(Tab.o1[[#This Row],[a1]]=1,NORMSDIST(Tab.o1[[#This Row],[Zb]]),"")</f>
        <v/>
      </c>
      <c r="R1151" s="122" t="str">
        <f>IF(Tab.o1[[#This Row],[a1]]=1,((Tab.o1[[#This Row],[MedMod]]-AVERAGE(Tab.o1[MedMod]))/_xlfn.STDEV.P(Tab.o1[MedMod])*H$1203)+G$1203,"")</f>
        <v/>
      </c>
      <c r="S1151" s="122" t="str">
        <f>IF(Tab.o1[[#This Row],[a1]]=1,((Tab.o1[[#This Row],[MedMod]]-AVERAGE(Tab.o1[MedMod]))/_xlfn.STDEV.P(Tab.o1[MedMod])*H$1204)+G$1204,"")</f>
        <v/>
      </c>
      <c r="T1151" s="123" t="str">
        <f>IF(Tab.o1[[#This Row],[a1]]=1,Tab.o1[[#This Row],[Z-]]*_xlfn.STDEV.P(Tab.o1[B])+AVERAGE(Tab.o1[B]),"")</f>
        <v/>
      </c>
      <c r="U1151" s="123" t="str">
        <f>IF(Tab.o1[[#This Row],[a1]]=1,Tab.o1[[#This Row],[z+]]*_xlfn.STDEV.P(Tab.o1[B])+AVERAGE(Tab.o1[B]),"")</f>
        <v/>
      </c>
      <c r="V1151" s="124" t="str">
        <f>IF(Tab.o1[[#This Row],[a1]]=1,ABS((ABS(Tab.o1[[#This Row],[Red]]-Tab.o1[[#This Row],[Blue]]))),"")</f>
        <v/>
      </c>
      <c r="W1151" s="125" t="str">
        <f>IF(Tab.o1[[#This Row],[a1]]=1,IF(W$3=0,1,Tab.o1[[#This Row],[Amp.]]*1/_xlfn.MINIFS(Tab.o1[Amp.],Tab.o1[Amp.],"&lt;&gt;0")),"")</f>
        <v/>
      </c>
      <c r="X1151" s="126" t="str">
        <f>IF(Tab.o1[[#This Row],[a1]]=1,IF(ISNUMBER(Tab.o1[[#This Row],[i.]]),NORMDIST(Tab.o1[[#This Row],[Za]],0,1,FALSE)*Tab.o1[[#This Row],[i.]],AP$3),"")</f>
        <v/>
      </c>
      <c r="Y1151" s="126" t="str">
        <f>IF(Tab.o1[[#This Row],[a1]]=1,0.01+0.94*Tab.o1[[#This Row],[PDF]]/MAX(Tab.o1[PDF]),"")</f>
        <v/>
      </c>
      <c r="Z1151" s="126" t="str">
        <f>IF(Tab.o1[[#This Row],[a1]]=1,0.01+0.94*Tab.o1[[#This Row],[W1_PDF]]/MAX(Tab.o1[W1_PDF]),"")</f>
        <v/>
      </c>
      <c r="AA1151" s="118" t="str">
        <f>IF(Tab.o1[[#This Row],[a1]]=1,ABS([1]!T.in.A[[#This Row],[oo6]]),"")</f>
        <v/>
      </c>
      <c r="AB1151" s="127" t="str">
        <f>IF(Tab.o1[[#This Row],[a1]]=1,IF(AE$3=0,"",IF(AB$3=0,ABS([1]!T.in.A[[#This Row],[oo9]]),ABS(Tab.o1[[#This Row],[DIF_Target.]]*Tab.o1[[#This Row],[W1_PDF]]))),"")</f>
        <v/>
      </c>
      <c r="AC1151" s="127" t="str">
        <f>IF(G$1=1,"",IF(Tab.o1[[#This Row],[a1]]=1,Tab.o1[[#This Row],[Wr]]^2,""))</f>
        <v/>
      </c>
      <c r="AD1151" s="118" t="str">
        <f>IF(Tab.o1[[#This Row],[a1]]=1,IF(AE$3=0,"",Tab.o1[[#This Row],[Wr2]]/SUM(Tab.o1[Wr2])),"")</f>
        <v/>
      </c>
      <c r="AE1151" s="128" t="str">
        <f>IF(Tab.o1[[#This Row],[a1]]=1,[1]!T.in.A[[#This Row],[oo10]],"")</f>
        <v/>
      </c>
      <c r="AF1151" s="118" t="str">
        <f>IF(Tab.o1[[#This Row],[a1]]=1,ABS(Tab.o1[[#This Row],[DIF_Target.]]*Tab.o1[[#This Row],[PDF2]]*Tab.o1[[#This Row],[IN]]),"")</f>
        <v/>
      </c>
      <c r="AG1151" s="129" t="str">
        <f>IF(Tab.o1[[#This Row],[a1]]=1,Tab.o1[[#This Row],[rW]]^2,"")</f>
        <v/>
      </c>
      <c r="AH1151" s="130" t="str">
        <f>IF(Tab.o1[[#This Row],[a1]]=1,IF(AH$3=0,Tab.o1[[#This Row],[rW2]],0.01+0.94*Tab.o1[[#This Row],[rW2]]/SUM(Tab.o1[rW2])),"")</f>
        <v/>
      </c>
      <c r="AI1151" s="128" t="str">
        <f>IF(Tab.o1[[#This Row],[a1]]=1,1/Tab.o1[[#This Row],[PDF]],"")</f>
        <v/>
      </c>
      <c r="AJ1151" s="131" t="str">
        <f>IF(Tab.o1[[#This Row],[a1]]=1,[1]!T_AA[[#This Row],[IN'']]*[1]!T_AA[[#This Row],[Qde'']],"")</f>
        <v/>
      </c>
      <c r="AK1151" s="132" t="str">
        <f>IF(Tab.o1[[#This Row],[a1]]=1,IF(AK$1=1,Tab.o1[[#This Row],[MED]]+Tab.o1[[#This Row],[MOD]]-Tab.o1[[#This Row],[MED]],""),"")</f>
        <v/>
      </c>
      <c r="AL1151" s="133" t="str">
        <f>IF(Tab.o1[[#This Row],[a1]]=1,[1]!T.in.A[[#This Row],[oo16]],"")</f>
        <v/>
      </c>
      <c r="AM1151" s="133" t="str">
        <f>IF(Tab.o1[[#This Row],[a1]]=1,IF(AM$3=1,[1]!T.in.A[[#This Row],[Σo16]],""),"")</f>
        <v/>
      </c>
      <c r="AN1151" s="126" t="str">
        <f>IF(Tab.o1[[#This Row],[a1]]=1,[1]!T.in.A[[#This Row],[Σp5]],"")</f>
        <v/>
      </c>
      <c r="AO1151" s="126" t="str">
        <f>IF(Tab.o1[[#This Row],[a1]]=1,IF(AO$3=1,[1]!T.in.A[[#This Row],[Σp5]],""),"")</f>
        <v/>
      </c>
      <c r="AP1151" s="110" t="str">
        <f>IF(Tab.o1[[#This Row],[a1]]=1,IF(ISNUMBER(Tab.o1[[#This Row],[i.]]),NORMDIST(Tab.o1[[#This Row],[Za]],0,1,FALSE)*Tab.o1[[#This Row],[i.]],0),"")</f>
        <v/>
      </c>
      <c r="AQ1151" s="125" t="str">
        <f>IF(Tab.o1[[#This Row],[a1]]=1,ABS(Tab.o1[[#This Row],[MOD]]-AVERAGE(Tab.o1[MOD])),"")</f>
        <v/>
      </c>
      <c r="AR1151" s="134" t="str">
        <f>IF(Tab.o1[[#This Row],[a1]]=1,Tab.o1[[#This Row],[OBS]]/SUM(Tab.o1[OBS]),"")</f>
        <v/>
      </c>
      <c r="AS1151" s="135" t="str">
        <f>IF(ISNUMBER(Tab.o1[[#This Row],[a1]]),ROW()-4,"")</f>
        <v/>
      </c>
      <c r="AT1151" s="136" t="str">
        <f>Tab.o1[[#This Row],[MOD]]</f>
        <v/>
      </c>
      <c r="AU1151" s="137" t="str">
        <f t="shared" si="69"/>
        <v/>
      </c>
      <c r="AV1151" s="138" t="str">
        <f t="shared" si="70"/>
        <v/>
      </c>
      <c r="AW1151" s="138" t="str">
        <f t="shared" si="71"/>
        <v/>
      </c>
      <c r="AX1151" s="139" t="str">
        <f>[1]!T.in.A[[#This Row],[ID_T_manu]]</f>
        <v/>
      </c>
      <c r="AY1151" s="140" t="str">
        <f>IF(ISNUMBER(Tab.o1[[#This Row],[a1]]),IF(AND(Tab.o1[[#This Row],[a1]]=1,Tab.o1[[#This Row],[b1]]&lt;=AY$4),#REF!,AY1150),"")</f>
        <v/>
      </c>
      <c r="AZ1151" s="25"/>
      <c r="BA1151" s="25"/>
      <c r="BB1151" s="25"/>
      <c r="BC1151" s="25"/>
      <c r="BD1151" s="25"/>
      <c r="BE1151" s="25"/>
      <c r="BF1151" s="25"/>
      <c r="BG1151" s="25"/>
      <c r="BH1151" s="25"/>
      <c r="BI1151" s="25"/>
      <c r="BJ1151" s="25"/>
      <c r="BK1151" s="25"/>
      <c r="BL1151" s="25"/>
      <c r="BM1151" s="25"/>
      <c r="BN1151" s="26"/>
      <c r="BO1151" s="26"/>
      <c r="BP1151" s="26"/>
      <c r="BQ1151" s="26"/>
      <c r="BR1151" s="26"/>
      <c r="BS1151" s="26"/>
      <c r="BT1151" s="26"/>
      <c r="BU1151" s="26"/>
      <c r="BV1151" s="26"/>
      <c r="BW1151" s="26"/>
      <c r="BX1151" s="26"/>
      <c r="BY1151" s="26"/>
      <c r="BZ1151" s="26"/>
      <c r="CA1151" s="26"/>
    </row>
    <row r="1152" spans="1:79" ht="15.75" hidden="1">
      <c r="A1152" s="109">
        <v>8.0000000000000013E-6</v>
      </c>
      <c r="B1152" s="110">
        <f t="shared" si="68"/>
        <v>1152</v>
      </c>
      <c r="C1152" s="111" t="str">
        <f>IF(C$1=[1]!T.in.A[[#This Row],[oo2]],1,"")</f>
        <v/>
      </c>
      <c r="D1152" s="112" t="str">
        <f>IF(Tab.o1[[#This Row],[a1]]=1,IF(SUM(C1152:C1153)=0,0,IF(SUM(C1151:C1152)=1,1,IF(SUM(C1151:C1153)&gt;1,D1151+1,0))),"")</f>
        <v/>
      </c>
      <c r="E1152" s="113" t="str">
        <f>IF(Tab.o1[[#This Row],[a1]]=1,[1]!T.in.A[[#This Row],[oo1]],"")</f>
        <v/>
      </c>
      <c r="F1152" s="113" t="str">
        <f>IF(Tab.o1[[#This Row],[a1]]=1,[1]!T.in.A[[#This Row],[pp1]],"")</f>
        <v/>
      </c>
      <c r="G1152" s="114" t="str">
        <f>IF(Tab.o1[[#This Row],[a1]]=1,G$2+IF(G$1=1,0,Tab.o1[[#This Row],[.x1]])+[1]!T.in.A[[#This Row],[oo3]],"")</f>
        <v/>
      </c>
      <c r="H1152" s="115" t="str">
        <f>IF(Tab.o1[[#This Row],[a1]]=1,IF(H$2=0,0,IF(G$1=1,0,Tab.o1[[#This Row],[.x1]])+[1]!T.in.A[[#This Row],[oo4]]),"")</f>
        <v/>
      </c>
      <c r="I1152" s="116" t="str">
        <f>IF(Tab.o1[[#This Row],[a1]]=1,IF(J$2=0,Tab.o1[[#This Row],[MED]],Tab.o1[[#This Row],[MOD]]),"")</f>
        <v/>
      </c>
      <c r="J1152" s="116" t="str">
        <f>IF(Tab.o1[[#This Row],[a1]]=1,((Tab.o1[[#This Row],[DIF_Target.]]-AVERAGE(Tab.o1[DIF_Target.]))/_xlfn.STDEV.P(Tab.o1[DIF_Target.])),"")</f>
        <v/>
      </c>
      <c r="K1152" s="117" t="str">
        <f>IF(Tab.o1[[#This Row],[a1]]=1,IF(J$2=0,Tab.o1[[#This Row],[MOD]]-Tab.o1[[#This Row],[B]],IF(J$2=1,0,-Tab.o1[[#This Row],[MED]])+Tab.o1[[#This Row],[B]]),"")</f>
        <v/>
      </c>
      <c r="L1152" s="117" t="str">
        <f ca="1">IF(Tab.o1[[#This Row],[DIF_Target]]=0,IF(L$2=0,Tab.o1[[#This Row],[DIF_Target]],AVERAGE(OFFSET(Tab.o1[[#This Row],[DIF_Target]],1,0,L$3,1)))/3,Tab.o1[[#This Row],[DIF_Target]])</f>
        <v/>
      </c>
      <c r="M1152" s="118" t="str">
        <f>IF(Tab.o1[[#This Row],[a1]]=1,NORMSDIST(Tab.o1[[#This Row],[Za]]),"")</f>
        <v/>
      </c>
      <c r="N1152" s="119" t="str">
        <f>IF(Tab.o1[[#This Row],[a1]]=1,((Tab.o1[[#This Row],[MedMod]]-AVERAGE(Tab.o1[MedMod]))/_xlfn.STDEV.P(Tab.o1[MedMod])*H$1205)+G$1205,"")</f>
        <v/>
      </c>
      <c r="O1152" s="141" t="str">
        <f>IF(Tab.o1[[#This Row],[a1]]=1,Tab.o1[[#This Row],[Zb]]*_xlfn.STDEV.P(Tab.o1[MedMod])+AVERAGE(Tab.o1[MedMod]),"")</f>
        <v/>
      </c>
      <c r="P1152" s="117" t="str">
        <f ca="1">IF(Tab.o1[[#This Row],[B]]=0,AVERAGE(OFFSET(Tab.o1[[#This Row],[B]],1,0,L$3,1)),Tab.o1[[#This Row],[B]])</f>
        <v/>
      </c>
      <c r="Q1152" s="121" t="str">
        <f>IF(Tab.o1[[#This Row],[a1]]=1,NORMSDIST(Tab.o1[[#This Row],[Zb]]),"")</f>
        <v/>
      </c>
      <c r="R1152" s="122" t="str">
        <f>IF(Tab.o1[[#This Row],[a1]]=1,((Tab.o1[[#This Row],[MedMod]]-AVERAGE(Tab.o1[MedMod]))/_xlfn.STDEV.P(Tab.o1[MedMod])*H$1203)+G$1203,"")</f>
        <v/>
      </c>
      <c r="S1152" s="122" t="str">
        <f>IF(Tab.o1[[#This Row],[a1]]=1,((Tab.o1[[#This Row],[MedMod]]-AVERAGE(Tab.o1[MedMod]))/_xlfn.STDEV.P(Tab.o1[MedMod])*H$1204)+G$1204,"")</f>
        <v/>
      </c>
      <c r="T1152" s="123" t="str">
        <f>IF(Tab.o1[[#This Row],[a1]]=1,Tab.o1[[#This Row],[Z-]]*_xlfn.STDEV.P(Tab.o1[B])+AVERAGE(Tab.o1[B]),"")</f>
        <v/>
      </c>
      <c r="U1152" s="123" t="str">
        <f>IF(Tab.o1[[#This Row],[a1]]=1,Tab.o1[[#This Row],[z+]]*_xlfn.STDEV.P(Tab.o1[B])+AVERAGE(Tab.o1[B]),"")</f>
        <v/>
      </c>
      <c r="V1152" s="124" t="str">
        <f>IF(Tab.o1[[#This Row],[a1]]=1,ABS((ABS(Tab.o1[[#This Row],[Red]]-Tab.o1[[#This Row],[Blue]]))),"")</f>
        <v/>
      </c>
      <c r="W1152" s="125" t="str">
        <f>IF(Tab.o1[[#This Row],[a1]]=1,IF(W$3=0,1,Tab.o1[[#This Row],[Amp.]]*1/_xlfn.MINIFS(Tab.o1[Amp.],Tab.o1[Amp.],"&lt;&gt;0")),"")</f>
        <v/>
      </c>
      <c r="X1152" s="126" t="str">
        <f>IF(Tab.o1[[#This Row],[a1]]=1,IF(ISNUMBER(Tab.o1[[#This Row],[i.]]),NORMDIST(Tab.o1[[#This Row],[Za]],0,1,FALSE)*Tab.o1[[#This Row],[i.]],AP$3),"")</f>
        <v/>
      </c>
      <c r="Y1152" s="126" t="str">
        <f>IF(Tab.o1[[#This Row],[a1]]=1,0.01+0.94*Tab.o1[[#This Row],[PDF]]/MAX(Tab.o1[PDF]),"")</f>
        <v/>
      </c>
      <c r="Z1152" s="126" t="str">
        <f>IF(Tab.o1[[#This Row],[a1]]=1,0.01+0.94*Tab.o1[[#This Row],[W1_PDF]]/MAX(Tab.o1[W1_PDF]),"")</f>
        <v/>
      </c>
      <c r="AA1152" s="118" t="str">
        <f>IF(Tab.o1[[#This Row],[a1]]=1,ABS([1]!T.in.A[[#This Row],[oo6]]),"")</f>
        <v/>
      </c>
      <c r="AB1152" s="127" t="str">
        <f>IF(Tab.o1[[#This Row],[a1]]=1,IF(AE$3=0,"",IF(AB$3=0,ABS([1]!T.in.A[[#This Row],[oo9]]),ABS(Tab.o1[[#This Row],[DIF_Target.]]*Tab.o1[[#This Row],[W1_PDF]]))),"")</f>
        <v/>
      </c>
      <c r="AC1152" s="127" t="str">
        <f>IF(G$1=1,"",IF(Tab.o1[[#This Row],[a1]]=1,Tab.o1[[#This Row],[Wr]]^2,""))</f>
        <v/>
      </c>
      <c r="AD1152" s="118" t="str">
        <f>IF(Tab.o1[[#This Row],[a1]]=1,IF(AE$3=0,"",Tab.o1[[#This Row],[Wr2]]/SUM(Tab.o1[Wr2])),"")</f>
        <v/>
      </c>
      <c r="AE1152" s="128" t="str">
        <f>IF(Tab.o1[[#This Row],[a1]]=1,[1]!T.in.A[[#This Row],[oo10]],"")</f>
        <v/>
      </c>
      <c r="AF1152" s="118" t="str">
        <f>IF(Tab.o1[[#This Row],[a1]]=1,ABS(Tab.o1[[#This Row],[DIF_Target.]]*Tab.o1[[#This Row],[PDF2]]*Tab.o1[[#This Row],[IN]]),"")</f>
        <v/>
      </c>
      <c r="AG1152" s="129" t="str">
        <f>IF(Tab.o1[[#This Row],[a1]]=1,Tab.o1[[#This Row],[rW]]^2,"")</f>
        <v/>
      </c>
      <c r="AH1152" s="130" t="str">
        <f>IF(Tab.o1[[#This Row],[a1]]=1,IF(AH$3=0,Tab.o1[[#This Row],[rW2]],0.01+0.94*Tab.o1[[#This Row],[rW2]]/SUM(Tab.o1[rW2])),"")</f>
        <v/>
      </c>
      <c r="AI1152" s="128" t="str">
        <f>IF(Tab.o1[[#This Row],[a1]]=1,1/Tab.o1[[#This Row],[PDF]],"")</f>
        <v/>
      </c>
      <c r="AJ1152" s="131" t="str">
        <f>IF(Tab.o1[[#This Row],[a1]]=1,[1]!T_AA[[#This Row],[IN'']]*[1]!T_AA[[#This Row],[Qde'']],"")</f>
        <v/>
      </c>
      <c r="AK1152" s="132" t="str">
        <f>IF(Tab.o1[[#This Row],[a1]]=1,IF(AK$1=1,Tab.o1[[#This Row],[MED]]+Tab.o1[[#This Row],[MOD]]-Tab.o1[[#This Row],[MED]],""),"")</f>
        <v/>
      </c>
      <c r="AL1152" s="133" t="str">
        <f>IF(Tab.o1[[#This Row],[a1]]=1,[1]!T.in.A[[#This Row],[oo16]],"")</f>
        <v/>
      </c>
      <c r="AM1152" s="133" t="str">
        <f>IF(Tab.o1[[#This Row],[a1]]=1,IF(AM$3=1,[1]!T.in.A[[#This Row],[Σo16]],""),"")</f>
        <v/>
      </c>
      <c r="AN1152" s="126" t="str">
        <f>IF(Tab.o1[[#This Row],[a1]]=1,[1]!T.in.A[[#This Row],[Σp5]],"")</f>
        <v/>
      </c>
      <c r="AO1152" s="126" t="str">
        <f>IF(Tab.o1[[#This Row],[a1]]=1,IF(AO$3=1,[1]!T.in.A[[#This Row],[Σp5]],""),"")</f>
        <v/>
      </c>
      <c r="AP1152" s="110" t="str">
        <f>IF(Tab.o1[[#This Row],[a1]]=1,IF(ISNUMBER(Tab.o1[[#This Row],[i.]]),NORMDIST(Tab.o1[[#This Row],[Za]],0,1,FALSE)*Tab.o1[[#This Row],[i.]],0),"")</f>
        <v/>
      </c>
      <c r="AQ1152" s="125" t="str">
        <f>IF(Tab.o1[[#This Row],[a1]]=1,ABS(Tab.o1[[#This Row],[MOD]]-AVERAGE(Tab.o1[MOD])),"")</f>
        <v/>
      </c>
      <c r="AR1152" s="134" t="str">
        <f>IF(Tab.o1[[#This Row],[a1]]=1,Tab.o1[[#This Row],[OBS]]/SUM(Tab.o1[OBS]),"")</f>
        <v/>
      </c>
      <c r="AS1152" s="135" t="str">
        <f>IF(ISNUMBER(Tab.o1[[#This Row],[a1]]),ROW()-4,"")</f>
        <v/>
      </c>
      <c r="AT1152" s="136" t="str">
        <f>Tab.o1[[#This Row],[MOD]]</f>
        <v/>
      </c>
      <c r="AU1152" s="137" t="str">
        <f t="shared" si="69"/>
        <v/>
      </c>
      <c r="AV1152" s="138" t="str">
        <f t="shared" si="70"/>
        <v/>
      </c>
      <c r="AW1152" s="138" t="str">
        <f t="shared" si="71"/>
        <v/>
      </c>
      <c r="AX1152" s="139" t="str">
        <f>[1]!T.in.A[[#This Row],[ID_T_manu]]</f>
        <v/>
      </c>
      <c r="AY1152" s="140" t="str">
        <f>IF(ISNUMBER(Tab.o1[[#This Row],[a1]]),IF(AND(Tab.o1[[#This Row],[a1]]=1,Tab.o1[[#This Row],[b1]]&lt;=AY$4),#REF!,AY1151),"")</f>
        <v/>
      </c>
      <c r="AZ1152" s="25"/>
      <c r="BA1152" s="25"/>
      <c r="BB1152" s="25"/>
      <c r="BC1152" s="25"/>
      <c r="BD1152" s="25"/>
      <c r="BE1152" s="25"/>
      <c r="BF1152" s="25"/>
      <c r="BG1152" s="25"/>
      <c r="BH1152" s="25"/>
      <c r="BI1152" s="25"/>
      <c r="BJ1152" s="25"/>
      <c r="BK1152" s="25"/>
      <c r="BL1152" s="25"/>
      <c r="BM1152" s="25"/>
      <c r="BN1152" s="26"/>
      <c r="BO1152" s="26"/>
      <c r="BP1152" s="26"/>
      <c r="BQ1152" s="26"/>
      <c r="BR1152" s="26"/>
      <c r="BS1152" s="26"/>
      <c r="BT1152" s="26"/>
      <c r="BU1152" s="26"/>
      <c r="BV1152" s="26"/>
      <c r="BW1152" s="26"/>
      <c r="BX1152" s="26"/>
      <c r="BY1152" s="26"/>
      <c r="BZ1152" s="26"/>
      <c r="CA1152" s="26"/>
    </row>
    <row r="1153" spans="1:79" ht="15.75" hidden="1">
      <c r="A1153" s="109">
        <v>4.0000000000000007E-6</v>
      </c>
      <c r="B1153" s="110">
        <f t="shared" si="68"/>
        <v>1153</v>
      </c>
      <c r="C1153" s="111" t="str">
        <f>IF(C$1=[1]!T.in.A[[#This Row],[oo2]],1,"")</f>
        <v/>
      </c>
      <c r="D1153" s="112" t="str">
        <f>IF(Tab.o1[[#This Row],[a1]]=1,IF(SUM(C1153:C1154)=0,0,IF(SUM(C1152:C1153)=1,1,IF(SUM(C1152:C1154)&gt;1,D1152+1,0))),"")</f>
        <v/>
      </c>
      <c r="E1153" s="113" t="str">
        <f>IF(Tab.o1[[#This Row],[a1]]=1,[1]!T.in.A[[#This Row],[oo1]],"")</f>
        <v/>
      </c>
      <c r="F1153" s="113" t="str">
        <f>IF(Tab.o1[[#This Row],[a1]]=1,[1]!T.in.A[[#This Row],[pp1]],"")</f>
        <v/>
      </c>
      <c r="G1153" s="114" t="str">
        <f>IF(Tab.o1[[#This Row],[a1]]=1,G$2+IF(G$1=1,0,Tab.o1[[#This Row],[.x1]])+[1]!T.in.A[[#This Row],[oo3]],"")</f>
        <v/>
      </c>
      <c r="H1153" s="115" t="str">
        <f>IF(Tab.o1[[#This Row],[a1]]=1,IF(H$2=0,0,IF(G$1=1,0,Tab.o1[[#This Row],[.x1]])+[1]!T.in.A[[#This Row],[oo4]]),"")</f>
        <v/>
      </c>
      <c r="I1153" s="116" t="str">
        <f>IF(Tab.o1[[#This Row],[a1]]=1,IF(J$2=0,Tab.o1[[#This Row],[MED]],Tab.o1[[#This Row],[MOD]]),"")</f>
        <v/>
      </c>
      <c r="J1153" s="116" t="str">
        <f>IF(Tab.o1[[#This Row],[a1]]=1,((Tab.o1[[#This Row],[DIF_Target.]]-AVERAGE(Tab.o1[DIF_Target.]))/_xlfn.STDEV.P(Tab.o1[DIF_Target.])),"")</f>
        <v/>
      </c>
      <c r="K1153" s="117" t="str">
        <f>IF(Tab.o1[[#This Row],[a1]]=1,IF(J$2=0,Tab.o1[[#This Row],[MOD]]-Tab.o1[[#This Row],[B]],IF(J$2=1,0,-Tab.o1[[#This Row],[MED]])+Tab.o1[[#This Row],[B]]),"")</f>
        <v/>
      </c>
      <c r="L1153" s="117" t="str">
        <f ca="1">IF(Tab.o1[[#This Row],[DIF_Target]]=0,IF(L$2=0,Tab.o1[[#This Row],[DIF_Target]],AVERAGE(OFFSET(Tab.o1[[#This Row],[DIF_Target]],1,0,L$3,1)))/3,Tab.o1[[#This Row],[DIF_Target]])</f>
        <v/>
      </c>
      <c r="M1153" s="118" t="str">
        <f>IF(Tab.o1[[#This Row],[a1]]=1,NORMSDIST(Tab.o1[[#This Row],[Za]]),"")</f>
        <v/>
      </c>
      <c r="N1153" s="119" t="str">
        <f>IF(Tab.o1[[#This Row],[a1]]=1,((Tab.o1[[#This Row],[MedMod]]-AVERAGE(Tab.o1[MedMod]))/_xlfn.STDEV.P(Tab.o1[MedMod])*H$1205)+G$1205,"")</f>
        <v/>
      </c>
      <c r="O1153" s="141" t="str">
        <f>IF(Tab.o1[[#This Row],[a1]]=1,Tab.o1[[#This Row],[Zb]]*_xlfn.STDEV.P(Tab.o1[MedMod])+AVERAGE(Tab.o1[MedMod]),"")</f>
        <v/>
      </c>
      <c r="P1153" s="117" t="str">
        <f ca="1">IF(Tab.o1[[#This Row],[B]]=0,AVERAGE(OFFSET(Tab.o1[[#This Row],[B]],1,0,L$3,1)),Tab.o1[[#This Row],[B]])</f>
        <v/>
      </c>
      <c r="Q1153" s="121" t="str">
        <f>IF(Tab.o1[[#This Row],[a1]]=1,NORMSDIST(Tab.o1[[#This Row],[Zb]]),"")</f>
        <v/>
      </c>
      <c r="R1153" s="122" t="str">
        <f>IF(Tab.o1[[#This Row],[a1]]=1,((Tab.o1[[#This Row],[MedMod]]-AVERAGE(Tab.o1[MedMod]))/_xlfn.STDEV.P(Tab.o1[MedMod])*H$1203)+G$1203,"")</f>
        <v/>
      </c>
      <c r="S1153" s="122" t="str">
        <f>IF(Tab.o1[[#This Row],[a1]]=1,((Tab.o1[[#This Row],[MedMod]]-AVERAGE(Tab.o1[MedMod]))/_xlfn.STDEV.P(Tab.o1[MedMod])*H$1204)+G$1204,"")</f>
        <v/>
      </c>
      <c r="T1153" s="123" t="str">
        <f>IF(Tab.o1[[#This Row],[a1]]=1,Tab.o1[[#This Row],[Z-]]*_xlfn.STDEV.P(Tab.o1[B])+AVERAGE(Tab.o1[B]),"")</f>
        <v/>
      </c>
      <c r="U1153" s="123" t="str">
        <f>IF(Tab.o1[[#This Row],[a1]]=1,Tab.o1[[#This Row],[z+]]*_xlfn.STDEV.P(Tab.o1[B])+AVERAGE(Tab.o1[B]),"")</f>
        <v/>
      </c>
      <c r="V1153" s="124" t="str">
        <f>IF(Tab.o1[[#This Row],[a1]]=1,ABS((ABS(Tab.o1[[#This Row],[Red]]-Tab.o1[[#This Row],[Blue]]))),"")</f>
        <v/>
      </c>
      <c r="W1153" s="125" t="str">
        <f>IF(Tab.o1[[#This Row],[a1]]=1,IF(W$3=0,1,Tab.o1[[#This Row],[Amp.]]*1/_xlfn.MINIFS(Tab.o1[Amp.],Tab.o1[Amp.],"&lt;&gt;0")),"")</f>
        <v/>
      </c>
      <c r="X1153" s="126" t="str">
        <f>IF(Tab.o1[[#This Row],[a1]]=1,IF(ISNUMBER(Tab.o1[[#This Row],[i.]]),NORMDIST(Tab.o1[[#This Row],[Za]],0,1,FALSE)*Tab.o1[[#This Row],[i.]],AP$3),"")</f>
        <v/>
      </c>
      <c r="Y1153" s="126" t="str">
        <f>IF(Tab.o1[[#This Row],[a1]]=1,0.01+0.94*Tab.o1[[#This Row],[PDF]]/MAX(Tab.o1[PDF]),"")</f>
        <v/>
      </c>
      <c r="Z1153" s="126" t="str">
        <f>IF(Tab.o1[[#This Row],[a1]]=1,0.01+0.94*Tab.o1[[#This Row],[W1_PDF]]/MAX(Tab.o1[W1_PDF]),"")</f>
        <v/>
      </c>
      <c r="AA1153" s="118" t="str">
        <f>IF(Tab.o1[[#This Row],[a1]]=1,ABS([1]!T.in.A[[#This Row],[oo6]]),"")</f>
        <v/>
      </c>
      <c r="AB1153" s="127" t="str">
        <f>IF(Tab.o1[[#This Row],[a1]]=1,IF(AE$3=0,"",IF(AB$3=0,ABS([1]!T.in.A[[#This Row],[oo9]]),ABS(Tab.o1[[#This Row],[DIF_Target.]]*Tab.o1[[#This Row],[W1_PDF]]))),"")</f>
        <v/>
      </c>
      <c r="AC1153" s="127" t="str">
        <f>IF(G$1=1,"",IF(Tab.o1[[#This Row],[a1]]=1,Tab.o1[[#This Row],[Wr]]^2,""))</f>
        <v/>
      </c>
      <c r="AD1153" s="118" t="str">
        <f>IF(Tab.o1[[#This Row],[a1]]=1,IF(AE$3=0,"",Tab.o1[[#This Row],[Wr2]]/SUM(Tab.o1[Wr2])),"")</f>
        <v/>
      </c>
      <c r="AE1153" s="128" t="str">
        <f>IF(Tab.o1[[#This Row],[a1]]=1,[1]!T.in.A[[#This Row],[oo10]],"")</f>
        <v/>
      </c>
      <c r="AF1153" s="118" t="str">
        <f>IF(Tab.o1[[#This Row],[a1]]=1,ABS(Tab.o1[[#This Row],[DIF_Target.]]*Tab.o1[[#This Row],[PDF2]]*Tab.o1[[#This Row],[IN]]),"")</f>
        <v/>
      </c>
      <c r="AG1153" s="129" t="str">
        <f>IF(Tab.o1[[#This Row],[a1]]=1,Tab.o1[[#This Row],[rW]]^2,"")</f>
        <v/>
      </c>
      <c r="AH1153" s="130" t="str">
        <f>IF(Tab.o1[[#This Row],[a1]]=1,IF(AH$3=0,Tab.o1[[#This Row],[rW2]],0.01+0.94*Tab.o1[[#This Row],[rW2]]/SUM(Tab.o1[rW2])),"")</f>
        <v/>
      </c>
      <c r="AI1153" s="128" t="str">
        <f>IF(Tab.o1[[#This Row],[a1]]=1,1/Tab.o1[[#This Row],[PDF]],"")</f>
        <v/>
      </c>
      <c r="AJ1153" s="131" t="str">
        <f>IF(Tab.o1[[#This Row],[a1]]=1,[1]!T_AA[[#This Row],[IN'']]*[1]!T_AA[[#This Row],[Qde'']],"")</f>
        <v/>
      </c>
      <c r="AK1153" s="132" t="str">
        <f>IF(Tab.o1[[#This Row],[a1]]=1,IF(AK$1=1,Tab.o1[[#This Row],[MED]]+Tab.o1[[#This Row],[MOD]]-Tab.o1[[#This Row],[MED]],""),"")</f>
        <v/>
      </c>
      <c r="AL1153" s="133" t="str">
        <f>IF(Tab.o1[[#This Row],[a1]]=1,[1]!T.in.A[[#This Row],[oo16]],"")</f>
        <v/>
      </c>
      <c r="AM1153" s="133" t="str">
        <f>IF(Tab.o1[[#This Row],[a1]]=1,IF(AM$3=1,[1]!T.in.A[[#This Row],[Σo16]],""),"")</f>
        <v/>
      </c>
      <c r="AN1153" s="126" t="str">
        <f>IF(Tab.o1[[#This Row],[a1]]=1,[1]!T.in.A[[#This Row],[Σp5]],"")</f>
        <v/>
      </c>
      <c r="AO1153" s="126" t="str">
        <f>IF(Tab.o1[[#This Row],[a1]]=1,IF(AO$3=1,[1]!T.in.A[[#This Row],[Σp5]],""),"")</f>
        <v/>
      </c>
      <c r="AP1153" s="110" t="str">
        <f>IF(Tab.o1[[#This Row],[a1]]=1,IF(ISNUMBER(Tab.o1[[#This Row],[i.]]),NORMDIST(Tab.o1[[#This Row],[Za]],0,1,FALSE)*Tab.o1[[#This Row],[i.]],0),"")</f>
        <v/>
      </c>
      <c r="AQ1153" s="125" t="str">
        <f>IF(Tab.o1[[#This Row],[a1]]=1,ABS(Tab.o1[[#This Row],[MOD]]-AVERAGE(Tab.o1[MOD])),"")</f>
        <v/>
      </c>
      <c r="AR1153" s="134" t="str">
        <f>IF(Tab.o1[[#This Row],[a1]]=1,Tab.o1[[#This Row],[OBS]]/SUM(Tab.o1[OBS]),"")</f>
        <v/>
      </c>
      <c r="AS1153" s="135" t="str">
        <f>IF(ISNUMBER(Tab.o1[[#This Row],[a1]]),ROW()-4,"")</f>
        <v/>
      </c>
      <c r="AT1153" s="136" t="str">
        <f>Tab.o1[[#This Row],[MOD]]</f>
        <v/>
      </c>
      <c r="AU1153" s="137" t="str">
        <f t="shared" si="69"/>
        <v/>
      </c>
      <c r="AV1153" s="138" t="str">
        <f t="shared" si="70"/>
        <v/>
      </c>
      <c r="AW1153" s="138" t="str">
        <f t="shared" si="71"/>
        <v/>
      </c>
      <c r="AX1153" s="139" t="str">
        <f>[1]!T.in.A[[#This Row],[ID_T_manu]]</f>
        <v/>
      </c>
      <c r="AY1153" s="140" t="str">
        <f>IF(ISNUMBER(Tab.o1[[#This Row],[a1]]),IF(AND(Tab.o1[[#This Row],[a1]]=1,Tab.o1[[#This Row],[b1]]&lt;=AY$4),#REF!,AY1152),"")</f>
        <v/>
      </c>
      <c r="AZ1153" s="25"/>
      <c r="BA1153" s="25"/>
      <c r="BB1153" s="25"/>
      <c r="BC1153" s="25"/>
      <c r="BD1153" s="25"/>
      <c r="BE1153" s="25"/>
      <c r="BF1153" s="25"/>
      <c r="BG1153" s="25"/>
      <c r="BH1153" s="25"/>
      <c r="BI1153" s="25"/>
      <c r="BJ1153" s="25"/>
      <c r="BK1153" s="25"/>
      <c r="BL1153" s="25"/>
      <c r="BM1153" s="25"/>
      <c r="BN1153" s="26"/>
      <c r="BO1153" s="26"/>
      <c r="BP1153" s="26"/>
      <c r="BQ1153" s="26"/>
      <c r="BR1153" s="26"/>
      <c r="BS1153" s="26"/>
      <c r="BT1153" s="26"/>
      <c r="BU1153" s="26"/>
      <c r="BV1153" s="26"/>
      <c r="BW1153" s="26"/>
      <c r="BX1153" s="26"/>
      <c r="BY1153" s="26"/>
      <c r="BZ1153" s="26"/>
      <c r="CA1153" s="26"/>
    </row>
    <row r="1154" spans="1:79" ht="15.75" hidden="1">
      <c r="A1154" s="109">
        <v>1.0000000000000002E-6</v>
      </c>
      <c r="B1154" s="110">
        <f t="shared" si="68"/>
        <v>1154</v>
      </c>
      <c r="C1154" s="111" t="str">
        <f>IF(C$1=[1]!T.in.A[[#This Row],[oo2]],1,"")</f>
        <v/>
      </c>
      <c r="D1154" s="112" t="str">
        <f>IF(Tab.o1[[#This Row],[a1]]=1,IF(SUM(C1154:C1155)=0,0,IF(SUM(C1153:C1154)=1,1,IF(SUM(C1153:C1155)&gt;1,D1153+1,0))),"")</f>
        <v/>
      </c>
      <c r="E1154" s="113" t="str">
        <f>IF(Tab.o1[[#This Row],[a1]]=1,[1]!T.in.A[[#This Row],[oo1]],"")</f>
        <v/>
      </c>
      <c r="F1154" s="113" t="str">
        <f>IF(Tab.o1[[#This Row],[a1]]=1,[1]!T.in.A[[#This Row],[pp1]],"")</f>
        <v/>
      </c>
      <c r="G1154" s="114" t="str">
        <f>IF(Tab.o1[[#This Row],[a1]]=1,G$2+IF(G$1=1,0,Tab.o1[[#This Row],[.x1]])+[1]!T.in.A[[#This Row],[oo3]],"")</f>
        <v/>
      </c>
      <c r="H1154" s="115" t="str">
        <f>IF(Tab.o1[[#This Row],[a1]]=1,IF(H$2=0,0,IF(G$1=1,0,Tab.o1[[#This Row],[.x1]])+[1]!T.in.A[[#This Row],[oo4]]),"")</f>
        <v/>
      </c>
      <c r="I1154" s="116" t="str">
        <f>IF(Tab.o1[[#This Row],[a1]]=1,IF(J$2=0,Tab.o1[[#This Row],[MED]],Tab.o1[[#This Row],[MOD]]),"")</f>
        <v/>
      </c>
      <c r="J1154" s="116" t="str">
        <f>IF(Tab.o1[[#This Row],[a1]]=1,((Tab.o1[[#This Row],[DIF_Target.]]-AVERAGE(Tab.o1[DIF_Target.]))/_xlfn.STDEV.P(Tab.o1[DIF_Target.])),"")</f>
        <v/>
      </c>
      <c r="K1154" s="117" t="str">
        <f>IF(Tab.o1[[#This Row],[a1]]=1,IF(J$2=0,Tab.o1[[#This Row],[MOD]]-Tab.o1[[#This Row],[B]],IF(J$2=1,0,-Tab.o1[[#This Row],[MED]])+Tab.o1[[#This Row],[B]]),"")</f>
        <v/>
      </c>
      <c r="L1154" s="117" t="str">
        <f ca="1">IF(Tab.o1[[#This Row],[DIF_Target]]=0,IF(L$2=0,Tab.o1[[#This Row],[DIF_Target]],AVERAGE(OFFSET(Tab.o1[[#This Row],[DIF_Target]],1,0,L$3,1)))/3,Tab.o1[[#This Row],[DIF_Target]])</f>
        <v/>
      </c>
      <c r="M1154" s="118" t="str">
        <f>IF(Tab.o1[[#This Row],[a1]]=1,NORMSDIST(Tab.o1[[#This Row],[Za]]),"")</f>
        <v/>
      </c>
      <c r="N1154" s="119" t="str">
        <f>IF(Tab.o1[[#This Row],[a1]]=1,((Tab.o1[[#This Row],[MedMod]]-AVERAGE(Tab.o1[MedMod]))/_xlfn.STDEV.P(Tab.o1[MedMod])*H$1205)+G$1205,"")</f>
        <v/>
      </c>
      <c r="O1154" s="141" t="str">
        <f>IF(Tab.o1[[#This Row],[a1]]=1,Tab.o1[[#This Row],[Zb]]*_xlfn.STDEV.P(Tab.o1[MedMod])+AVERAGE(Tab.o1[MedMod]),"")</f>
        <v/>
      </c>
      <c r="P1154" s="117" t="str">
        <f ca="1">IF(Tab.o1[[#This Row],[B]]=0,AVERAGE(OFFSET(Tab.o1[[#This Row],[B]],1,0,L$3,1)),Tab.o1[[#This Row],[B]])</f>
        <v/>
      </c>
      <c r="Q1154" s="121" t="str">
        <f>IF(Tab.o1[[#This Row],[a1]]=1,NORMSDIST(Tab.o1[[#This Row],[Zb]]),"")</f>
        <v/>
      </c>
      <c r="R1154" s="122" t="str">
        <f>IF(Tab.o1[[#This Row],[a1]]=1,((Tab.o1[[#This Row],[MedMod]]-AVERAGE(Tab.o1[MedMod]))/_xlfn.STDEV.P(Tab.o1[MedMod])*H$1203)+G$1203,"")</f>
        <v/>
      </c>
      <c r="S1154" s="122" t="str">
        <f>IF(Tab.o1[[#This Row],[a1]]=1,((Tab.o1[[#This Row],[MedMod]]-AVERAGE(Tab.o1[MedMod]))/_xlfn.STDEV.P(Tab.o1[MedMod])*H$1204)+G$1204,"")</f>
        <v/>
      </c>
      <c r="T1154" s="123" t="str">
        <f>IF(Tab.o1[[#This Row],[a1]]=1,Tab.o1[[#This Row],[Z-]]*_xlfn.STDEV.P(Tab.o1[B])+AVERAGE(Tab.o1[B]),"")</f>
        <v/>
      </c>
      <c r="U1154" s="123" t="str">
        <f>IF(Tab.o1[[#This Row],[a1]]=1,Tab.o1[[#This Row],[z+]]*_xlfn.STDEV.P(Tab.o1[B])+AVERAGE(Tab.o1[B]),"")</f>
        <v/>
      </c>
      <c r="V1154" s="124" t="str">
        <f>IF(Tab.o1[[#This Row],[a1]]=1,ABS((ABS(Tab.o1[[#This Row],[Red]]-Tab.o1[[#This Row],[Blue]]))),"")</f>
        <v/>
      </c>
      <c r="W1154" s="125" t="str">
        <f>IF(Tab.o1[[#This Row],[a1]]=1,IF(W$3=0,1,Tab.o1[[#This Row],[Amp.]]*1/_xlfn.MINIFS(Tab.o1[Amp.],Tab.o1[Amp.],"&lt;&gt;0")),"")</f>
        <v/>
      </c>
      <c r="X1154" s="126" t="str">
        <f>IF(Tab.o1[[#This Row],[a1]]=1,IF(ISNUMBER(Tab.o1[[#This Row],[i.]]),NORMDIST(Tab.o1[[#This Row],[Za]],0,1,FALSE)*Tab.o1[[#This Row],[i.]],AP$3),"")</f>
        <v/>
      </c>
      <c r="Y1154" s="126" t="str">
        <f>IF(Tab.o1[[#This Row],[a1]]=1,0.01+0.94*Tab.o1[[#This Row],[PDF]]/MAX(Tab.o1[PDF]),"")</f>
        <v/>
      </c>
      <c r="Z1154" s="126" t="str">
        <f>IF(Tab.o1[[#This Row],[a1]]=1,0.01+0.94*Tab.o1[[#This Row],[W1_PDF]]/MAX(Tab.o1[W1_PDF]),"")</f>
        <v/>
      </c>
      <c r="AA1154" s="118" t="str">
        <f>IF(Tab.o1[[#This Row],[a1]]=1,ABS([1]!T.in.A[[#This Row],[oo6]]),"")</f>
        <v/>
      </c>
      <c r="AB1154" s="127" t="str">
        <f>IF(Tab.o1[[#This Row],[a1]]=1,IF(AE$3=0,"",IF(AB$3=0,ABS([1]!T.in.A[[#This Row],[oo9]]),ABS(Tab.o1[[#This Row],[DIF_Target.]]*Tab.o1[[#This Row],[W1_PDF]]))),"")</f>
        <v/>
      </c>
      <c r="AC1154" s="127" t="str">
        <f>IF(G$1=1,"",IF(Tab.o1[[#This Row],[a1]]=1,Tab.o1[[#This Row],[Wr]]^2,""))</f>
        <v/>
      </c>
      <c r="AD1154" s="118" t="str">
        <f>IF(Tab.o1[[#This Row],[a1]]=1,IF(AE$3=0,"",Tab.o1[[#This Row],[Wr2]]/SUM(Tab.o1[Wr2])),"")</f>
        <v/>
      </c>
      <c r="AE1154" s="128" t="str">
        <f>IF(Tab.o1[[#This Row],[a1]]=1,[1]!T.in.A[[#This Row],[oo10]],"")</f>
        <v/>
      </c>
      <c r="AF1154" s="118" t="str">
        <f>IF(Tab.o1[[#This Row],[a1]]=1,ABS(Tab.o1[[#This Row],[DIF_Target.]]*Tab.o1[[#This Row],[PDF2]]*Tab.o1[[#This Row],[IN]]),"")</f>
        <v/>
      </c>
      <c r="AG1154" s="129" t="str">
        <f>IF(Tab.o1[[#This Row],[a1]]=1,Tab.o1[[#This Row],[rW]]^2,"")</f>
        <v/>
      </c>
      <c r="AH1154" s="130" t="str">
        <f>IF(Tab.o1[[#This Row],[a1]]=1,IF(AH$3=0,Tab.o1[[#This Row],[rW2]],0.01+0.94*Tab.o1[[#This Row],[rW2]]/SUM(Tab.o1[rW2])),"")</f>
        <v/>
      </c>
      <c r="AI1154" s="128" t="str">
        <f>IF(Tab.o1[[#This Row],[a1]]=1,1/Tab.o1[[#This Row],[PDF]],"")</f>
        <v/>
      </c>
      <c r="AJ1154" s="131" t="str">
        <f>IF(Tab.o1[[#This Row],[a1]]=1,[1]!T_AA[[#This Row],[IN'']]*[1]!T_AA[[#This Row],[Qde'']],"")</f>
        <v/>
      </c>
      <c r="AK1154" s="132" t="str">
        <f>IF(Tab.o1[[#This Row],[a1]]=1,IF(AK$1=1,Tab.o1[[#This Row],[MED]]+Tab.o1[[#This Row],[MOD]]-Tab.o1[[#This Row],[MED]],""),"")</f>
        <v/>
      </c>
      <c r="AL1154" s="133" t="str">
        <f>IF(Tab.o1[[#This Row],[a1]]=1,[1]!T.in.A[[#This Row],[oo16]],"")</f>
        <v/>
      </c>
      <c r="AM1154" s="133" t="str">
        <f>IF(Tab.o1[[#This Row],[a1]]=1,IF(AM$3=1,[1]!T.in.A[[#This Row],[Σo16]],""),"")</f>
        <v/>
      </c>
      <c r="AN1154" s="126" t="str">
        <f>IF(Tab.o1[[#This Row],[a1]]=1,[1]!T.in.A[[#This Row],[Σp5]],"")</f>
        <v/>
      </c>
      <c r="AO1154" s="126" t="str">
        <f>IF(Tab.o1[[#This Row],[a1]]=1,IF(AO$3=1,[1]!T.in.A[[#This Row],[Σp5]],""),"")</f>
        <v/>
      </c>
      <c r="AP1154" s="110" t="str">
        <f>IF(Tab.o1[[#This Row],[a1]]=1,IF(ISNUMBER(Tab.o1[[#This Row],[i.]]),NORMDIST(Tab.o1[[#This Row],[Za]],0,1,FALSE)*Tab.o1[[#This Row],[i.]],0),"")</f>
        <v/>
      </c>
      <c r="AQ1154" s="125" t="str">
        <f>IF(Tab.o1[[#This Row],[a1]]=1,ABS(Tab.o1[[#This Row],[MOD]]-AVERAGE(Tab.o1[MOD])),"")</f>
        <v/>
      </c>
      <c r="AR1154" s="134" t="str">
        <f>IF(Tab.o1[[#This Row],[a1]]=1,Tab.o1[[#This Row],[OBS]]/SUM(Tab.o1[OBS]),"")</f>
        <v/>
      </c>
      <c r="AS1154" s="135" t="str">
        <f>IF(ISNUMBER(Tab.o1[[#This Row],[a1]]),ROW()-4,"")</f>
        <v/>
      </c>
      <c r="AT1154" s="136" t="str">
        <f>Tab.o1[[#This Row],[MOD]]</f>
        <v/>
      </c>
      <c r="AU1154" s="137" t="str">
        <f t="shared" si="69"/>
        <v/>
      </c>
      <c r="AV1154" s="138" t="str">
        <f t="shared" si="70"/>
        <v/>
      </c>
      <c r="AW1154" s="138" t="str">
        <f t="shared" si="71"/>
        <v/>
      </c>
      <c r="AX1154" s="139" t="str">
        <f>[1]!T.in.A[[#This Row],[ID_T_manu]]</f>
        <v/>
      </c>
      <c r="AY1154" s="140" t="str">
        <f>IF(ISNUMBER(Tab.o1[[#This Row],[a1]]),IF(AND(Tab.o1[[#This Row],[a1]]=1,Tab.o1[[#This Row],[b1]]&lt;=AY$4),#REF!,AY1153),"")</f>
        <v/>
      </c>
      <c r="AZ1154" s="25"/>
      <c r="BA1154" s="25"/>
      <c r="BB1154" s="25"/>
      <c r="BC1154" s="25"/>
      <c r="BD1154" s="25"/>
      <c r="BE1154" s="25"/>
      <c r="BF1154" s="25"/>
      <c r="BG1154" s="25"/>
      <c r="BH1154" s="25"/>
      <c r="BI1154" s="25"/>
      <c r="BJ1154" s="25"/>
      <c r="BK1154" s="25"/>
      <c r="BL1154" s="25"/>
      <c r="BM1154" s="25"/>
      <c r="BN1154" s="26"/>
      <c r="BO1154" s="26"/>
      <c r="BP1154" s="26"/>
      <c r="BQ1154" s="26"/>
      <c r="BR1154" s="26"/>
      <c r="BS1154" s="26"/>
      <c r="BT1154" s="26"/>
      <c r="BU1154" s="26"/>
      <c r="BV1154" s="26"/>
      <c r="BW1154" s="26"/>
      <c r="BX1154" s="26"/>
      <c r="BY1154" s="26"/>
      <c r="BZ1154" s="26"/>
      <c r="CA1154" s="26"/>
    </row>
    <row r="1155" spans="1:79" ht="15.75" hidden="1">
      <c r="A1155" s="109">
        <v>1.0000000000000002E-6</v>
      </c>
      <c r="B1155" s="110">
        <f t="shared" si="68"/>
        <v>1155</v>
      </c>
      <c r="C1155" s="111" t="str">
        <f>IF(C$1=[1]!T.in.A[[#This Row],[oo2]],1,"")</f>
        <v/>
      </c>
      <c r="D1155" s="112" t="str">
        <f>IF(Tab.o1[[#This Row],[a1]]=1,IF(SUM(C1155:C1156)=0,0,IF(SUM(C1154:C1155)=1,1,IF(SUM(C1154:C1156)&gt;1,D1154+1,0))),"")</f>
        <v/>
      </c>
      <c r="E1155" s="113" t="str">
        <f>IF(Tab.o1[[#This Row],[a1]]=1,[1]!T.in.A[[#This Row],[oo1]],"")</f>
        <v/>
      </c>
      <c r="F1155" s="113" t="str">
        <f>IF(Tab.o1[[#This Row],[a1]]=1,[1]!T.in.A[[#This Row],[pp1]],"")</f>
        <v/>
      </c>
      <c r="G1155" s="114" t="str">
        <f>IF(Tab.o1[[#This Row],[a1]]=1,G$2+IF(G$1=1,0,Tab.o1[[#This Row],[.x1]])+[1]!T.in.A[[#This Row],[oo3]],"")</f>
        <v/>
      </c>
      <c r="H1155" s="115" t="str">
        <f>IF(Tab.o1[[#This Row],[a1]]=1,IF(H$2=0,0,IF(G$1=1,0,Tab.o1[[#This Row],[.x1]])+[1]!T.in.A[[#This Row],[oo4]]),"")</f>
        <v/>
      </c>
      <c r="I1155" s="116" t="str">
        <f>IF(Tab.o1[[#This Row],[a1]]=1,IF(J$2=0,Tab.o1[[#This Row],[MED]],Tab.o1[[#This Row],[MOD]]),"")</f>
        <v/>
      </c>
      <c r="J1155" s="116" t="str">
        <f>IF(Tab.o1[[#This Row],[a1]]=1,((Tab.o1[[#This Row],[DIF_Target.]]-AVERAGE(Tab.o1[DIF_Target.]))/_xlfn.STDEV.P(Tab.o1[DIF_Target.])),"")</f>
        <v/>
      </c>
      <c r="K1155" s="117" t="str">
        <f>IF(Tab.o1[[#This Row],[a1]]=1,IF(J$2=0,Tab.o1[[#This Row],[MOD]]-Tab.o1[[#This Row],[B]],IF(J$2=1,0,-Tab.o1[[#This Row],[MED]])+Tab.o1[[#This Row],[B]]),"")</f>
        <v/>
      </c>
      <c r="L1155" s="117" t="str">
        <f ca="1">IF(Tab.o1[[#This Row],[DIF_Target]]=0,IF(L$2=0,Tab.o1[[#This Row],[DIF_Target]],AVERAGE(OFFSET(Tab.o1[[#This Row],[DIF_Target]],1,0,L$3,1)))/3,Tab.o1[[#This Row],[DIF_Target]])</f>
        <v/>
      </c>
      <c r="M1155" s="118" t="str">
        <f>IF(Tab.o1[[#This Row],[a1]]=1,NORMSDIST(Tab.o1[[#This Row],[Za]]),"")</f>
        <v/>
      </c>
      <c r="N1155" s="119" t="str">
        <f>IF(Tab.o1[[#This Row],[a1]]=1,((Tab.o1[[#This Row],[MedMod]]-AVERAGE(Tab.o1[MedMod]))/_xlfn.STDEV.P(Tab.o1[MedMod])*H$1205)+G$1205,"")</f>
        <v/>
      </c>
      <c r="O1155" s="141" t="str">
        <f>IF(Tab.o1[[#This Row],[a1]]=1,Tab.o1[[#This Row],[Zb]]*_xlfn.STDEV.P(Tab.o1[MedMod])+AVERAGE(Tab.o1[MedMod]),"")</f>
        <v/>
      </c>
      <c r="P1155" s="117" t="str">
        <f ca="1">IF(Tab.o1[[#This Row],[B]]=0,AVERAGE(OFFSET(Tab.o1[[#This Row],[B]],1,0,L$3,1)),Tab.o1[[#This Row],[B]])</f>
        <v/>
      </c>
      <c r="Q1155" s="121" t="str">
        <f>IF(Tab.o1[[#This Row],[a1]]=1,NORMSDIST(Tab.o1[[#This Row],[Zb]]),"")</f>
        <v/>
      </c>
      <c r="R1155" s="122" t="str">
        <f>IF(Tab.o1[[#This Row],[a1]]=1,((Tab.o1[[#This Row],[MedMod]]-AVERAGE(Tab.o1[MedMod]))/_xlfn.STDEV.P(Tab.o1[MedMod])*H$1203)+G$1203,"")</f>
        <v/>
      </c>
      <c r="S1155" s="122" t="str">
        <f>IF(Tab.o1[[#This Row],[a1]]=1,((Tab.o1[[#This Row],[MedMod]]-AVERAGE(Tab.o1[MedMod]))/_xlfn.STDEV.P(Tab.o1[MedMod])*H$1204)+G$1204,"")</f>
        <v/>
      </c>
      <c r="T1155" s="123" t="str">
        <f>IF(Tab.o1[[#This Row],[a1]]=1,Tab.o1[[#This Row],[Z-]]*_xlfn.STDEV.P(Tab.o1[B])+AVERAGE(Tab.o1[B]),"")</f>
        <v/>
      </c>
      <c r="U1155" s="123" t="str">
        <f>IF(Tab.o1[[#This Row],[a1]]=1,Tab.o1[[#This Row],[z+]]*_xlfn.STDEV.P(Tab.o1[B])+AVERAGE(Tab.o1[B]),"")</f>
        <v/>
      </c>
      <c r="V1155" s="124" t="str">
        <f>IF(Tab.o1[[#This Row],[a1]]=1,ABS((ABS(Tab.o1[[#This Row],[Red]]-Tab.o1[[#This Row],[Blue]]))),"")</f>
        <v/>
      </c>
      <c r="W1155" s="125" t="str">
        <f>IF(Tab.o1[[#This Row],[a1]]=1,IF(W$3=0,1,Tab.o1[[#This Row],[Amp.]]*1/_xlfn.MINIFS(Tab.o1[Amp.],Tab.o1[Amp.],"&lt;&gt;0")),"")</f>
        <v/>
      </c>
      <c r="X1155" s="126" t="str">
        <f>IF(Tab.o1[[#This Row],[a1]]=1,IF(ISNUMBER(Tab.o1[[#This Row],[i.]]),NORMDIST(Tab.o1[[#This Row],[Za]],0,1,FALSE)*Tab.o1[[#This Row],[i.]],AP$3),"")</f>
        <v/>
      </c>
      <c r="Y1155" s="126" t="str">
        <f>IF(Tab.o1[[#This Row],[a1]]=1,0.01+0.94*Tab.o1[[#This Row],[PDF]]/MAX(Tab.o1[PDF]),"")</f>
        <v/>
      </c>
      <c r="Z1155" s="126" t="str">
        <f>IF(Tab.o1[[#This Row],[a1]]=1,0.01+0.94*Tab.o1[[#This Row],[W1_PDF]]/MAX(Tab.o1[W1_PDF]),"")</f>
        <v/>
      </c>
      <c r="AA1155" s="118" t="str">
        <f>IF(Tab.o1[[#This Row],[a1]]=1,ABS([1]!T.in.A[[#This Row],[oo6]]),"")</f>
        <v/>
      </c>
      <c r="AB1155" s="127" t="str">
        <f>IF(Tab.o1[[#This Row],[a1]]=1,IF(AE$3=0,"",IF(AB$3=0,ABS([1]!T.in.A[[#This Row],[oo9]]),ABS(Tab.o1[[#This Row],[DIF_Target.]]*Tab.o1[[#This Row],[W1_PDF]]))),"")</f>
        <v/>
      </c>
      <c r="AC1155" s="127" t="str">
        <f>IF(G$1=1,"",IF(Tab.o1[[#This Row],[a1]]=1,Tab.o1[[#This Row],[Wr]]^2,""))</f>
        <v/>
      </c>
      <c r="AD1155" s="118" t="str">
        <f>IF(Tab.o1[[#This Row],[a1]]=1,IF(AE$3=0,"",Tab.o1[[#This Row],[Wr2]]/SUM(Tab.o1[Wr2])),"")</f>
        <v/>
      </c>
      <c r="AE1155" s="128" t="str">
        <f>IF(Tab.o1[[#This Row],[a1]]=1,[1]!T.in.A[[#This Row],[oo10]],"")</f>
        <v/>
      </c>
      <c r="AF1155" s="118" t="str">
        <f>IF(Tab.o1[[#This Row],[a1]]=1,ABS(Tab.o1[[#This Row],[DIF_Target.]]*Tab.o1[[#This Row],[PDF2]]*Tab.o1[[#This Row],[IN]]),"")</f>
        <v/>
      </c>
      <c r="AG1155" s="129" t="str">
        <f>IF(Tab.o1[[#This Row],[a1]]=1,Tab.o1[[#This Row],[rW]]^2,"")</f>
        <v/>
      </c>
      <c r="AH1155" s="130" t="str">
        <f>IF(Tab.o1[[#This Row],[a1]]=1,IF(AH$3=0,Tab.o1[[#This Row],[rW2]],0.01+0.94*Tab.o1[[#This Row],[rW2]]/SUM(Tab.o1[rW2])),"")</f>
        <v/>
      </c>
      <c r="AI1155" s="128" t="str">
        <f>IF(Tab.o1[[#This Row],[a1]]=1,1/Tab.o1[[#This Row],[PDF]],"")</f>
        <v/>
      </c>
      <c r="AJ1155" s="131" t="str">
        <f>IF(Tab.o1[[#This Row],[a1]]=1,[1]!T_AA[[#This Row],[IN'']]*[1]!T_AA[[#This Row],[Qde'']],"")</f>
        <v/>
      </c>
      <c r="AK1155" s="132" t="str">
        <f>IF(Tab.o1[[#This Row],[a1]]=1,IF(AK$1=1,Tab.o1[[#This Row],[MED]]+Tab.o1[[#This Row],[MOD]]-Tab.o1[[#This Row],[MED]],""),"")</f>
        <v/>
      </c>
      <c r="AL1155" s="133" t="str">
        <f>IF(Tab.o1[[#This Row],[a1]]=1,[1]!T.in.A[[#This Row],[oo16]],"")</f>
        <v/>
      </c>
      <c r="AM1155" s="133" t="str">
        <f>IF(Tab.o1[[#This Row],[a1]]=1,IF(AM$3=1,[1]!T.in.A[[#This Row],[Σo16]],""),"")</f>
        <v/>
      </c>
      <c r="AN1155" s="126" t="str">
        <f>IF(Tab.o1[[#This Row],[a1]]=1,[1]!T.in.A[[#This Row],[Σp5]],"")</f>
        <v/>
      </c>
      <c r="AO1155" s="126" t="str">
        <f>IF(Tab.o1[[#This Row],[a1]]=1,IF(AO$3=1,[1]!T.in.A[[#This Row],[Σp5]],""),"")</f>
        <v/>
      </c>
      <c r="AP1155" s="110" t="str">
        <f>IF(Tab.o1[[#This Row],[a1]]=1,IF(ISNUMBER(Tab.o1[[#This Row],[i.]]),NORMDIST(Tab.o1[[#This Row],[Za]],0,1,FALSE)*Tab.o1[[#This Row],[i.]],0),"")</f>
        <v/>
      </c>
      <c r="AQ1155" s="125" t="str">
        <f>IF(Tab.o1[[#This Row],[a1]]=1,ABS(Tab.o1[[#This Row],[MOD]]-AVERAGE(Tab.o1[MOD])),"")</f>
        <v/>
      </c>
      <c r="AR1155" s="134" t="str">
        <f>IF(Tab.o1[[#This Row],[a1]]=1,Tab.o1[[#This Row],[OBS]]/SUM(Tab.o1[OBS]),"")</f>
        <v/>
      </c>
      <c r="AS1155" s="135" t="str">
        <f>IF(ISNUMBER(Tab.o1[[#This Row],[a1]]),ROW()-4,"")</f>
        <v/>
      </c>
      <c r="AT1155" s="136" t="str">
        <f>Tab.o1[[#This Row],[MOD]]</f>
        <v/>
      </c>
      <c r="AU1155" s="137" t="str">
        <f t="shared" si="69"/>
        <v/>
      </c>
      <c r="AV1155" s="138" t="str">
        <f t="shared" si="70"/>
        <v/>
      </c>
      <c r="AW1155" s="138" t="str">
        <f t="shared" si="71"/>
        <v/>
      </c>
      <c r="AX1155" s="139" t="str">
        <f>[1]!T.in.A[[#This Row],[ID_T_manu]]</f>
        <v/>
      </c>
      <c r="AY1155" s="140" t="str">
        <f>IF(ISNUMBER(Tab.o1[[#This Row],[a1]]),IF(AND(Tab.o1[[#This Row],[a1]]=1,Tab.o1[[#This Row],[b1]]&lt;=AY$4),#REF!,AY1154),"")</f>
        <v/>
      </c>
      <c r="AZ1155" s="25"/>
      <c r="BA1155" s="25"/>
      <c r="BB1155" s="25"/>
      <c r="BC1155" s="25"/>
      <c r="BD1155" s="25"/>
      <c r="BE1155" s="25"/>
      <c r="BF1155" s="25"/>
      <c r="BG1155" s="25"/>
      <c r="BH1155" s="25"/>
      <c r="BI1155" s="25"/>
      <c r="BJ1155" s="25"/>
      <c r="BK1155" s="25"/>
      <c r="BL1155" s="25"/>
      <c r="BM1155" s="25"/>
      <c r="BN1155" s="26"/>
      <c r="BO1155" s="26"/>
      <c r="BP1155" s="26"/>
      <c r="BQ1155" s="26"/>
      <c r="BR1155" s="26"/>
      <c r="BS1155" s="26"/>
      <c r="BT1155" s="26"/>
      <c r="BU1155" s="26"/>
      <c r="BV1155" s="26"/>
      <c r="BW1155" s="26"/>
      <c r="BX1155" s="26"/>
      <c r="BY1155" s="26"/>
      <c r="BZ1155" s="26"/>
      <c r="CA1155" s="26"/>
    </row>
    <row r="1156" spans="1:79" ht="15.75" hidden="1">
      <c r="A1156" s="109">
        <v>5.9999999999999993E-6</v>
      </c>
      <c r="B1156" s="110">
        <f t="shared" si="68"/>
        <v>1156</v>
      </c>
      <c r="C1156" s="111" t="str">
        <f>IF(C$1=[1]!T.in.A[[#This Row],[oo2]],1,"")</f>
        <v/>
      </c>
      <c r="D1156" s="112" t="str">
        <f>IF(Tab.o1[[#This Row],[a1]]=1,IF(SUM(C1156:C1157)=0,0,IF(SUM(C1155:C1156)=1,1,IF(SUM(C1155:C1157)&gt;1,D1155+1,0))),"")</f>
        <v/>
      </c>
      <c r="E1156" s="113" t="str">
        <f>IF(Tab.o1[[#This Row],[a1]]=1,[1]!T.in.A[[#This Row],[oo1]],"")</f>
        <v/>
      </c>
      <c r="F1156" s="113" t="str">
        <f>IF(Tab.o1[[#This Row],[a1]]=1,[1]!T.in.A[[#This Row],[pp1]],"")</f>
        <v/>
      </c>
      <c r="G1156" s="114" t="str">
        <f>IF(Tab.o1[[#This Row],[a1]]=1,G$2+IF(G$1=1,0,Tab.o1[[#This Row],[.x1]])+[1]!T.in.A[[#This Row],[oo3]],"")</f>
        <v/>
      </c>
      <c r="H1156" s="115" t="str">
        <f>IF(Tab.o1[[#This Row],[a1]]=1,IF(H$2=0,0,IF(G$1=1,0,Tab.o1[[#This Row],[.x1]])+[1]!T.in.A[[#This Row],[oo4]]),"")</f>
        <v/>
      </c>
      <c r="I1156" s="116" t="str">
        <f>IF(Tab.o1[[#This Row],[a1]]=1,IF(J$2=0,Tab.o1[[#This Row],[MED]],Tab.o1[[#This Row],[MOD]]),"")</f>
        <v/>
      </c>
      <c r="J1156" s="116" t="str">
        <f>IF(Tab.o1[[#This Row],[a1]]=1,((Tab.o1[[#This Row],[DIF_Target.]]-AVERAGE(Tab.o1[DIF_Target.]))/_xlfn.STDEV.P(Tab.o1[DIF_Target.])),"")</f>
        <v/>
      </c>
      <c r="K1156" s="117" t="str">
        <f>IF(Tab.o1[[#This Row],[a1]]=1,IF(J$2=0,Tab.o1[[#This Row],[MOD]]-Tab.o1[[#This Row],[B]],IF(J$2=1,0,-Tab.o1[[#This Row],[MED]])+Tab.o1[[#This Row],[B]]),"")</f>
        <v/>
      </c>
      <c r="L1156" s="117" t="str">
        <f ca="1">IF(Tab.o1[[#This Row],[DIF_Target]]=0,IF(L$2=0,Tab.o1[[#This Row],[DIF_Target]],AVERAGE(OFFSET(Tab.o1[[#This Row],[DIF_Target]],1,0,L$3,1)))/3,Tab.o1[[#This Row],[DIF_Target]])</f>
        <v/>
      </c>
      <c r="M1156" s="118" t="str">
        <f>IF(Tab.o1[[#This Row],[a1]]=1,NORMSDIST(Tab.o1[[#This Row],[Za]]),"")</f>
        <v/>
      </c>
      <c r="N1156" s="119" t="str">
        <f>IF(Tab.o1[[#This Row],[a1]]=1,((Tab.o1[[#This Row],[MedMod]]-AVERAGE(Tab.o1[MedMod]))/_xlfn.STDEV.P(Tab.o1[MedMod])*H$1205)+G$1205,"")</f>
        <v/>
      </c>
      <c r="O1156" s="141" t="str">
        <f>IF(Tab.o1[[#This Row],[a1]]=1,Tab.o1[[#This Row],[Zb]]*_xlfn.STDEV.P(Tab.o1[MedMod])+AVERAGE(Tab.o1[MedMod]),"")</f>
        <v/>
      </c>
      <c r="P1156" s="117" t="str">
        <f ca="1">IF(Tab.o1[[#This Row],[B]]=0,AVERAGE(OFFSET(Tab.o1[[#This Row],[B]],1,0,L$3,1)),Tab.o1[[#This Row],[B]])</f>
        <v/>
      </c>
      <c r="Q1156" s="121" t="str">
        <f>IF(Tab.o1[[#This Row],[a1]]=1,NORMSDIST(Tab.o1[[#This Row],[Zb]]),"")</f>
        <v/>
      </c>
      <c r="R1156" s="122" t="str">
        <f>IF(Tab.o1[[#This Row],[a1]]=1,((Tab.o1[[#This Row],[MedMod]]-AVERAGE(Tab.o1[MedMod]))/_xlfn.STDEV.P(Tab.o1[MedMod])*H$1203)+G$1203,"")</f>
        <v/>
      </c>
      <c r="S1156" s="122" t="str">
        <f>IF(Tab.o1[[#This Row],[a1]]=1,((Tab.o1[[#This Row],[MedMod]]-AVERAGE(Tab.o1[MedMod]))/_xlfn.STDEV.P(Tab.o1[MedMod])*H$1204)+G$1204,"")</f>
        <v/>
      </c>
      <c r="T1156" s="123" t="str">
        <f>IF(Tab.o1[[#This Row],[a1]]=1,Tab.o1[[#This Row],[Z-]]*_xlfn.STDEV.P(Tab.o1[B])+AVERAGE(Tab.o1[B]),"")</f>
        <v/>
      </c>
      <c r="U1156" s="123" t="str">
        <f>IF(Tab.o1[[#This Row],[a1]]=1,Tab.o1[[#This Row],[z+]]*_xlfn.STDEV.P(Tab.o1[B])+AVERAGE(Tab.o1[B]),"")</f>
        <v/>
      </c>
      <c r="V1156" s="124" t="str">
        <f>IF(Tab.o1[[#This Row],[a1]]=1,ABS((ABS(Tab.o1[[#This Row],[Red]]-Tab.o1[[#This Row],[Blue]]))),"")</f>
        <v/>
      </c>
      <c r="W1156" s="125" t="str">
        <f>IF(Tab.o1[[#This Row],[a1]]=1,IF(W$3=0,1,Tab.o1[[#This Row],[Amp.]]*1/_xlfn.MINIFS(Tab.o1[Amp.],Tab.o1[Amp.],"&lt;&gt;0")),"")</f>
        <v/>
      </c>
      <c r="X1156" s="126" t="str">
        <f>IF(Tab.o1[[#This Row],[a1]]=1,IF(ISNUMBER(Tab.o1[[#This Row],[i.]]),NORMDIST(Tab.o1[[#This Row],[Za]],0,1,FALSE)*Tab.o1[[#This Row],[i.]],AP$3),"")</f>
        <v/>
      </c>
      <c r="Y1156" s="126" t="str">
        <f>IF(Tab.o1[[#This Row],[a1]]=1,0.01+0.94*Tab.o1[[#This Row],[PDF]]/MAX(Tab.o1[PDF]),"")</f>
        <v/>
      </c>
      <c r="Z1156" s="126" t="str">
        <f>IF(Tab.o1[[#This Row],[a1]]=1,0.01+0.94*Tab.o1[[#This Row],[W1_PDF]]/MAX(Tab.o1[W1_PDF]),"")</f>
        <v/>
      </c>
      <c r="AA1156" s="118" t="str">
        <f>IF(Tab.o1[[#This Row],[a1]]=1,ABS([1]!T.in.A[[#This Row],[oo6]]),"")</f>
        <v/>
      </c>
      <c r="AB1156" s="127" t="str">
        <f>IF(Tab.o1[[#This Row],[a1]]=1,IF(AE$3=0,"",IF(AB$3=0,ABS([1]!T.in.A[[#This Row],[oo9]]),ABS(Tab.o1[[#This Row],[DIF_Target.]]*Tab.o1[[#This Row],[W1_PDF]]))),"")</f>
        <v/>
      </c>
      <c r="AC1156" s="127" t="str">
        <f>IF(G$1=1,"",IF(Tab.o1[[#This Row],[a1]]=1,Tab.o1[[#This Row],[Wr]]^2,""))</f>
        <v/>
      </c>
      <c r="AD1156" s="118" t="str">
        <f>IF(Tab.o1[[#This Row],[a1]]=1,IF(AE$3=0,"",Tab.o1[[#This Row],[Wr2]]/SUM(Tab.o1[Wr2])),"")</f>
        <v/>
      </c>
      <c r="AE1156" s="128" t="str">
        <f>IF(Tab.o1[[#This Row],[a1]]=1,[1]!T.in.A[[#This Row],[oo10]],"")</f>
        <v/>
      </c>
      <c r="AF1156" s="118" t="str">
        <f>IF(Tab.o1[[#This Row],[a1]]=1,ABS(Tab.o1[[#This Row],[DIF_Target.]]*Tab.o1[[#This Row],[PDF2]]*Tab.o1[[#This Row],[IN]]),"")</f>
        <v/>
      </c>
      <c r="AG1156" s="129" t="str">
        <f>IF(Tab.o1[[#This Row],[a1]]=1,Tab.o1[[#This Row],[rW]]^2,"")</f>
        <v/>
      </c>
      <c r="AH1156" s="130" t="str">
        <f>IF(Tab.o1[[#This Row],[a1]]=1,IF(AH$3=0,Tab.o1[[#This Row],[rW2]],0.01+0.94*Tab.o1[[#This Row],[rW2]]/SUM(Tab.o1[rW2])),"")</f>
        <v/>
      </c>
      <c r="AI1156" s="128" t="str">
        <f>IF(Tab.o1[[#This Row],[a1]]=1,1/Tab.o1[[#This Row],[PDF]],"")</f>
        <v/>
      </c>
      <c r="AJ1156" s="131" t="str">
        <f>IF(Tab.o1[[#This Row],[a1]]=1,[1]!T_AA[[#This Row],[IN'']]*[1]!T_AA[[#This Row],[Qde'']],"")</f>
        <v/>
      </c>
      <c r="AK1156" s="132" t="str">
        <f>IF(Tab.o1[[#This Row],[a1]]=1,IF(AK$1=1,Tab.o1[[#This Row],[MED]]+Tab.o1[[#This Row],[MOD]]-Tab.o1[[#This Row],[MED]],""),"")</f>
        <v/>
      </c>
      <c r="AL1156" s="133" t="str">
        <f>IF(Tab.o1[[#This Row],[a1]]=1,[1]!T.in.A[[#This Row],[oo16]],"")</f>
        <v/>
      </c>
      <c r="AM1156" s="133" t="str">
        <f>IF(Tab.o1[[#This Row],[a1]]=1,IF(AM$3=1,[1]!T.in.A[[#This Row],[Σo16]],""),"")</f>
        <v/>
      </c>
      <c r="AN1156" s="126" t="str">
        <f>IF(Tab.o1[[#This Row],[a1]]=1,[1]!T.in.A[[#This Row],[Σp5]],"")</f>
        <v/>
      </c>
      <c r="AO1156" s="126" t="str">
        <f>IF(Tab.o1[[#This Row],[a1]]=1,IF(AO$3=1,[1]!T.in.A[[#This Row],[Σp5]],""),"")</f>
        <v/>
      </c>
      <c r="AP1156" s="110" t="str">
        <f>IF(Tab.o1[[#This Row],[a1]]=1,IF(ISNUMBER(Tab.o1[[#This Row],[i.]]),NORMDIST(Tab.o1[[#This Row],[Za]],0,1,FALSE)*Tab.o1[[#This Row],[i.]],0),"")</f>
        <v/>
      </c>
      <c r="AQ1156" s="125" t="str">
        <f>IF(Tab.o1[[#This Row],[a1]]=1,ABS(Tab.o1[[#This Row],[MOD]]-AVERAGE(Tab.o1[MOD])),"")</f>
        <v/>
      </c>
      <c r="AR1156" s="134" t="str">
        <f>IF(Tab.o1[[#This Row],[a1]]=1,Tab.o1[[#This Row],[OBS]]/SUM(Tab.o1[OBS]),"")</f>
        <v/>
      </c>
      <c r="AS1156" s="135" t="str">
        <f>IF(ISNUMBER(Tab.o1[[#This Row],[a1]]),ROW()-4,"")</f>
        <v/>
      </c>
      <c r="AT1156" s="136" t="str">
        <f>Tab.o1[[#This Row],[MOD]]</f>
        <v/>
      </c>
      <c r="AU1156" s="137" t="str">
        <f t="shared" si="69"/>
        <v/>
      </c>
      <c r="AV1156" s="138" t="str">
        <f t="shared" si="70"/>
        <v/>
      </c>
      <c r="AW1156" s="138" t="str">
        <f t="shared" si="71"/>
        <v/>
      </c>
      <c r="AX1156" s="139" t="str">
        <f>[1]!T.in.A[[#This Row],[ID_T_manu]]</f>
        <v/>
      </c>
      <c r="AY1156" s="140" t="str">
        <f>IF(ISNUMBER(Tab.o1[[#This Row],[a1]]),IF(AND(Tab.o1[[#This Row],[a1]]=1,Tab.o1[[#This Row],[b1]]&lt;=AY$4),#REF!,AY1155),"")</f>
        <v/>
      </c>
      <c r="AZ1156" s="25"/>
      <c r="BA1156" s="25"/>
      <c r="BB1156" s="25"/>
      <c r="BC1156" s="25"/>
      <c r="BD1156" s="25"/>
      <c r="BE1156" s="25"/>
      <c r="BF1156" s="25"/>
      <c r="BG1156" s="25"/>
      <c r="BH1156" s="25"/>
      <c r="BI1156" s="25"/>
      <c r="BJ1156" s="25"/>
      <c r="BK1156" s="25"/>
      <c r="BL1156" s="25"/>
      <c r="BM1156" s="25"/>
      <c r="BN1156" s="26"/>
      <c r="BO1156" s="26"/>
      <c r="BP1156" s="26"/>
      <c r="BQ1156" s="26"/>
      <c r="BR1156" s="26"/>
      <c r="BS1156" s="26"/>
      <c r="BT1156" s="26"/>
      <c r="BU1156" s="26"/>
      <c r="BV1156" s="26"/>
      <c r="BW1156" s="26"/>
      <c r="BX1156" s="26"/>
      <c r="BY1156" s="26"/>
      <c r="BZ1156" s="26"/>
      <c r="CA1156" s="26"/>
    </row>
    <row r="1157" spans="1:79" ht="15.75" hidden="1">
      <c r="A1157" s="109">
        <v>-4.0000000000000007E-6</v>
      </c>
      <c r="B1157" s="110">
        <f t="shared" si="68"/>
        <v>1157</v>
      </c>
      <c r="C1157" s="111" t="str">
        <f>IF(C$1=[1]!T.in.A[[#This Row],[oo2]],1,"")</f>
        <v/>
      </c>
      <c r="D1157" s="112" t="str">
        <f>IF(Tab.o1[[#This Row],[a1]]=1,IF(SUM(C1157:C1158)=0,0,IF(SUM(C1156:C1157)=1,1,IF(SUM(C1156:C1158)&gt;1,D1156+1,0))),"")</f>
        <v/>
      </c>
      <c r="E1157" s="113" t="str">
        <f>IF(Tab.o1[[#This Row],[a1]]=1,[1]!T.in.A[[#This Row],[oo1]],"")</f>
        <v/>
      </c>
      <c r="F1157" s="113" t="str">
        <f>IF(Tab.o1[[#This Row],[a1]]=1,[1]!T.in.A[[#This Row],[pp1]],"")</f>
        <v/>
      </c>
      <c r="G1157" s="114" t="str">
        <f>IF(Tab.o1[[#This Row],[a1]]=1,G$2+IF(G$1=1,0,Tab.o1[[#This Row],[.x1]])+[1]!T.in.A[[#This Row],[oo3]],"")</f>
        <v/>
      </c>
      <c r="H1157" s="115" t="str">
        <f>IF(Tab.o1[[#This Row],[a1]]=1,IF(H$2=0,0,IF(G$1=1,0,Tab.o1[[#This Row],[.x1]])+[1]!T.in.A[[#This Row],[oo4]]),"")</f>
        <v/>
      </c>
      <c r="I1157" s="116" t="str">
        <f>IF(Tab.o1[[#This Row],[a1]]=1,IF(J$2=0,Tab.o1[[#This Row],[MED]],Tab.o1[[#This Row],[MOD]]),"")</f>
        <v/>
      </c>
      <c r="J1157" s="116" t="str">
        <f>IF(Tab.o1[[#This Row],[a1]]=1,((Tab.o1[[#This Row],[DIF_Target.]]-AVERAGE(Tab.o1[DIF_Target.]))/_xlfn.STDEV.P(Tab.o1[DIF_Target.])),"")</f>
        <v/>
      </c>
      <c r="K1157" s="117" t="str">
        <f>IF(Tab.o1[[#This Row],[a1]]=1,IF(J$2=0,Tab.o1[[#This Row],[MOD]]-Tab.o1[[#This Row],[B]],IF(J$2=1,0,-Tab.o1[[#This Row],[MED]])+Tab.o1[[#This Row],[B]]),"")</f>
        <v/>
      </c>
      <c r="L1157" s="117" t="str">
        <f ca="1">IF(Tab.o1[[#This Row],[DIF_Target]]=0,IF(L$2=0,Tab.o1[[#This Row],[DIF_Target]],AVERAGE(OFFSET(Tab.o1[[#This Row],[DIF_Target]],1,0,L$3,1)))/3,Tab.o1[[#This Row],[DIF_Target]])</f>
        <v/>
      </c>
      <c r="M1157" s="118" t="str">
        <f>IF(Tab.o1[[#This Row],[a1]]=1,NORMSDIST(Tab.o1[[#This Row],[Za]]),"")</f>
        <v/>
      </c>
      <c r="N1157" s="119" t="str">
        <f>IF(Tab.o1[[#This Row],[a1]]=1,((Tab.o1[[#This Row],[MedMod]]-AVERAGE(Tab.o1[MedMod]))/_xlfn.STDEV.P(Tab.o1[MedMod])*H$1205)+G$1205,"")</f>
        <v/>
      </c>
      <c r="O1157" s="141" t="str">
        <f>IF(Tab.o1[[#This Row],[a1]]=1,Tab.o1[[#This Row],[Zb]]*_xlfn.STDEV.P(Tab.o1[MedMod])+AVERAGE(Tab.o1[MedMod]),"")</f>
        <v/>
      </c>
      <c r="P1157" s="117" t="str">
        <f ca="1">IF(Tab.o1[[#This Row],[B]]=0,AVERAGE(OFFSET(Tab.o1[[#This Row],[B]],1,0,L$3,1)),Tab.o1[[#This Row],[B]])</f>
        <v/>
      </c>
      <c r="Q1157" s="121" t="str">
        <f>IF(Tab.o1[[#This Row],[a1]]=1,NORMSDIST(Tab.o1[[#This Row],[Zb]]),"")</f>
        <v/>
      </c>
      <c r="R1157" s="122" t="str">
        <f>IF(Tab.o1[[#This Row],[a1]]=1,((Tab.o1[[#This Row],[MedMod]]-AVERAGE(Tab.o1[MedMod]))/_xlfn.STDEV.P(Tab.o1[MedMod])*H$1203)+G$1203,"")</f>
        <v/>
      </c>
      <c r="S1157" s="122" t="str">
        <f>IF(Tab.o1[[#This Row],[a1]]=1,((Tab.o1[[#This Row],[MedMod]]-AVERAGE(Tab.o1[MedMod]))/_xlfn.STDEV.P(Tab.o1[MedMod])*H$1204)+G$1204,"")</f>
        <v/>
      </c>
      <c r="T1157" s="123" t="str">
        <f>IF(Tab.o1[[#This Row],[a1]]=1,Tab.o1[[#This Row],[Z-]]*_xlfn.STDEV.P(Tab.o1[B])+AVERAGE(Tab.o1[B]),"")</f>
        <v/>
      </c>
      <c r="U1157" s="123" t="str">
        <f>IF(Tab.o1[[#This Row],[a1]]=1,Tab.o1[[#This Row],[z+]]*_xlfn.STDEV.P(Tab.o1[B])+AVERAGE(Tab.o1[B]),"")</f>
        <v/>
      </c>
      <c r="V1157" s="124" t="str">
        <f>IF(Tab.o1[[#This Row],[a1]]=1,ABS((ABS(Tab.o1[[#This Row],[Red]]-Tab.o1[[#This Row],[Blue]]))),"")</f>
        <v/>
      </c>
      <c r="W1157" s="125" t="str">
        <f>IF(Tab.o1[[#This Row],[a1]]=1,IF(W$3=0,1,Tab.o1[[#This Row],[Amp.]]*1/_xlfn.MINIFS(Tab.o1[Amp.],Tab.o1[Amp.],"&lt;&gt;0")),"")</f>
        <v/>
      </c>
      <c r="X1157" s="126" t="str">
        <f>IF(Tab.o1[[#This Row],[a1]]=1,IF(ISNUMBER(Tab.o1[[#This Row],[i.]]),NORMDIST(Tab.o1[[#This Row],[Za]],0,1,FALSE)*Tab.o1[[#This Row],[i.]],AP$3),"")</f>
        <v/>
      </c>
      <c r="Y1157" s="126" t="str">
        <f>IF(Tab.o1[[#This Row],[a1]]=1,0.01+0.94*Tab.o1[[#This Row],[PDF]]/MAX(Tab.o1[PDF]),"")</f>
        <v/>
      </c>
      <c r="Z1157" s="126" t="str">
        <f>IF(Tab.o1[[#This Row],[a1]]=1,0.01+0.94*Tab.o1[[#This Row],[W1_PDF]]/MAX(Tab.o1[W1_PDF]),"")</f>
        <v/>
      </c>
      <c r="AA1157" s="118" t="str">
        <f>IF(Tab.o1[[#This Row],[a1]]=1,ABS([1]!T.in.A[[#This Row],[oo6]]),"")</f>
        <v/>
      </c>
      <c r="AB1157" s="127" t="str">
        <f>IF(Tab.o1[[#This Row],[a1]]=1,IF(AE$3=0,"",IF(AB$3=0,ABS([1]!T.in.A[[#This Row],[oo9]]),ABS(Tab.o1[[#This Row],[DIF_Target.]]*Tab.o1[[#This Row],[W1_PDF]]))),"")</f>
        <v/>
      </c>
      <c r="AC1157" s="127" t="str">
        <f>IF(G$1=1,"",IF(Tab.o1[[#This Row],[a1]]=1,Tab.o1[[#This Row],[Wr]]^2,""))</f>
        <v/>
      </c>
      <c r="AD1157" s="118" t="str">
        <f>IF(Tab.o1[[#This Row],[a1]]=1,IF(AE$3=0,"",Tab.o1[[#This Row],[Wr2]]/SUM(Tab.o1[Wr2])),"")</f>
        <v/>
      </c>
      <c r="AE1157" s="128" t="str">
        <f>IF(Tab.o1[[#This Row],[a1]]=1,[1]!T.in.A[[#This Row],[oo10]],"")</f>
        <v/>
      </c>
      <c r="AF1157" s="118" t="str">
        <f>IF(Tab.o1[[#This Row],[a1]]=1,ABS(Tab.o1[[#This Row],[DIF_Target.]]*Tab.o1[[#This Row],[PDF2]]*Tab.o1[[#This Row],[IN]]),"")</f>
        <v/>
      </c>
      <c r="AG1157" s="129" t="str">
        <f>IF(Tab.o1[[#This Row],[a1]]=1,Tab.o1[[#This Row],[rW]]^2,"")</f>
        <v/>
      </c>
      <c r="AH1157" s="130" t="str">
        <f>IF(Tab.o1[[#This Row],[a1]]=1,IF(AH$3=0,Tab.o1[[#This Row],[rW2]],0.01+0.94*Tab.o1[[#This Row],[rW2]]/SUM(Tab.o1[rW2])),"")</f>
        <v/>
      </c>
      <c r="AI1157" s="128" t="str">
        <f>IF(Tab.o1[[#This Row],[a1]]=1,1/Tab.o1[[#This Row],[PDF]],"")</f>
        <v/>
      </c>
      <c r="AJ1157" s="131" t="str">
        <f>IF(Tab.o1[[#This Row],[a1]]=1,[1]!T_AA[[#This Row],[IN'']]*[1]!T_AA[[#This Row],[Qde'']],"")</f>
        <v/>
      </c>
      <c r="AK1157" s="132" t="str">
        <f>IF(Tab.o1[[#This Row],[a1]]=1,IF(AK$1=1,Tab.o1[[#This Row],[MED]]+Tab.o1[[#This Row],[MOD]]-Tab.o1[[#This Row],[MED]],""),"")</f>
        <v/>
      </c>
      <c r="AL1157" s="133" t="str">
        <f>IF(Tab.o1[[#This Row],[a1]]=1,[1]!T.in.A[[#This Row],[oo16]],"")</f>
        <v/>
      </c>
      <c r="AM1157" s="133" t="str">
        <f>IF(Tab.o1[[#This Row],[a1]]=1,IF(AM$3=1,[1]!T.in.A[[#This Row],[Σo16]],""),"")</f>
        <v/>
      </c>
      <c r="AN1157" s="126" t="str">
        <f>IF(Tab.o1[[#This Row],[a1]]=1,[1]!T.in.A[[#This Row],[Σp5]],"")</f>
        <v/>
      </c>
      <c r="AO1157" s="126" t="str">
        <f>IF(Tab.o1[[#This Row],[a1]]=1,IF(AO$3=1,[1]!T.in.A[[#This Row],[Σp5]],""),"")</f>
        <v/>
      </c>
      <c r="AP1157" s="110" t="str">
        <f>IF(Tab.o1[[#This Row],[a1]]=1,IF(ISNUMBER(Tab.o1[[#This Row],[i.]]),NORMDIST(Tab.o1[[#This Row],[Za]],0,1,FALSE)*Tab.o1[[#This Row],[i.]],0),"")</f>
        <v/>
      </c>
      <c r="AQ1157" s="125" t="str">
        <f>IF(Tab.o1[[#This Row],[a1]]=1,ABS(Tab.o1[[#This Row],[MOD]]-AVERAGE(Tab.o1[MOD])),"")</f>
        <v/>
      </c>
      <c r="AR1157" s="134" t="str">
        <f>IF(Tab.o1[[#This Row],[a1]]=1,Tab.o1[[#This Row],[OBS]]/SUM(Tab.o1[OBS]),"")</f>
        <v/>
      </c>
      <c r="AS1157" s="135" t="str">
        <f>IF(ISNUMBER(Tab.o1[[#This Row],[a1]]),ROW()-4,"")</f>
        <v/>
      </c>
      <c r="AT1157" s="136" t="str">
        <f>Tab.o1[[#This Row],[MOD]]</f>
        <v/>
      </c>
      <c r="AU1157" s="137" t="str">
        <f t="shared" si="69"/>
        <v/>
      </c>
      <c r="AV1157" s="138" t="str">
        <f t="shared" si="70"/>
        <v/>
      </c>
      <c r="AW1157" s="138" t="str">
        <f t="shared" si="71"/>
        <v/>
      </c>
      <c r="AX1157" s="139" t="str">
        <f>[1]!T.in.A[[#This Row],[ID_T_manu]]</f>
        <v/>
      </c>
      <c r="AY1157" s="140" t="str">
        <f>IF(ISNUMBER(Tab.o1[[#This Row],[a1]]),IF(AND(Tab.o1[[#This Row],[a1]]=1,Tab.o1[[#This Row],[b1]]&lt;=AY$4),#REF!,AY1156),"")</f>
        <v/>
      </c>
      <c r="AZ1157" s="25"/>
      <c r="BA1157" s="25"/>
      <c r="BB1157" s="25"/>
      <c r="BC1157" s="25"/>
      <c r="BD1157" s="25"/>
      <c r="BE1157" s="25"/>
      <c r="BF1157" s="25"/>
      <c r="BG1157" s="25"/>
      <c r="BH1157" s="25"/>
      <c r="BI1157" s="25"/>
      <c r="BJ1157" s="25"/>
      <c r="BK1157" s="25"/>
      <c r="BL1157" s="25"/>
      <c r="BM1157" s="25"/>
      <c r="BN1157" s="26"/>
      <c r="BO1157" s="26"/>
      <c r="BP1157" s="26"/>
      <c r="BQ1157" s="26"/>
      <c r="BR1157" s="26"/>
      <c r="BS1157" s="26"/>
      <c r="BT1157" s="26"/>
      <c r="BU1157" s="26"/>
      <c r="BV1157" s="26"/>
      <c r="BW1157" s="26"/>
      <c r="BX1157" s="26"/>
      <c r="BY1157" s="26"/>
      <c r="BZ1157" s="26"/>
      <c r="CA1157" s="26"/>
    </row>
    <row r="1158" spans="1:79" ht="15.75" hidden="1">
      <c r="A1158" s="109">
        <v>-1.0000000000000002E-6</v>
      </c>
      <c r="B1158" s="110">
        <f t="shared" ref="B1158:B1200" si="72">B1157+1</f>
        <v>1158</v>
      </c>
      <c r="C1158" s="111" t="str">
        <f>IF(C$1=[1]!T.in.A[[#This Row],[oo2]],1,"")</f>
        <v/>
      </c>
      <c r="D1158" s="112" t="str">
        <f>IF(Tab.o1[[#This Row],[a1]]=1,IF(SUM(C1158:C1159)=0,0,IF(SUM(C1157:C1158)=1,1,IF(SUM(C1157:C1159)&gt;1,D1157+1,0))),"")</f>
        <v/>
      </c>
      <c r="E1158" s="113" t="str">
        <f>IF(Tab.o1[[#This Row],[a1]]=1,[1]!T.in.A[[#This Row],[oo1]],"")</f>
        <v/>
      </c>
      <c r="F1158" s="113" t="str">
        <f>IF(Tab.o1[[#This Row],[a1]]=1,[1]!T.in.A[[#This Row],[pp1]],"")</f>
        <v/>
      </c>
      <c r="G1158" s="114" t="str">
        <f>IF(Tab.o1[[#This Row],[a1]]=1,G$2+IF(G$1=1,0,Tab.o1[[#This Row],[.x1]])+[1]!T.in.A[[#This Row],[oo3]],"")</f>
        <v/>
      </c>
      <c r="H1158" s="115" t="str">
        <f>IF(Tab.o1[[#This Row],[a1]]=1,IF(H$2=0,0,IF(G$1=1,0,Tab.o1[[#This Row],[.x1]])+[1]!T.in.A[[#This Row],[oo4]]),"")</f>
        <v/>
      </c>
      <c r="I1158" s="116" t="str">
        <f>IF(Tab.o1[[#This Row],[a1]]=1,IF(J$2=0,Tab.o1[[#This Row],[MED]],Tab.o1[[#This Row],[MOD]]),"")</f>
        <v/>
      </c>
      <c r="J1158" s="116" t="str">
        <f>IF(Tab.o1[[#This Row],[a1]]=1,((Tab.o1[[#This Row],[DIF_Target.]]-AVERAGE(Tab.o1[DIF_Target.]))/_xlfn.STDEV.P(Tab.o1[DIF_Target.])),"")</f>
        <v/>
      </c>
      <c r="K1158" s="117" t="str">
        <f>IF(Tab.o1[[#This Row],[a1]]=1,IF(J$2=0,Tab.o1[[#This Row],[MOD]]-Tab.o1[[#This Row],[B]],IF(J$2=1,0,-Tab.o1[[#This Row],[MED]])+Tab.o1[[#This Row],[B]]),"")</f>
        <v/>
      </c>
      <c r="L1158" s="117" t="str">
        <f ca="1">IF(Tab.o1[[#This Row],[DIF_Target]]=0,IF(L$2=0,Tab.o1[[#This Row],[DIF_Target]],AVERAGE(OFFSET(Tab.o1[[#This Row],[DIF_Target]],1,0,L$3,1)))/3,Tab.o1[[#This Row],[DIF_Target]])</f>
        <v/>
      </c>
      <c r="M1158" s="118" t="str">
        <f>IF(Tab.o1[[#This Row],[a1]]=1,NORMSDIST(Tab.o1[[#This Row],[Za]]),"")</f>
        <v/>
      </c>
      <c r="N1158" s="119" t="str">
        <f>IF(Tab.o1[[#This Row],[a1]]=1,((Tab.o1[[#This Row],[MedMod]]-AVERAGE(Tab.o1[MedMod]))/_xlfn.STDEV.P(Tab.o1[MedMod])*H$1205)+G$1205,"")</f>
        <v/>
      </c>
      <c r="O1158" s="141" t="str">
        <f>IF(Tab.o1[[#This Row],[a1]]=1,Tab.o1[[#This Row],[Zb]]*_xlfn.STDEV.P(Tab.o1[MedMod])+AVERAGE(Tab.o1[MedMod]),"")</f>
        <v/>
      </c>
      <c r="P1158" s="117" t="str">
        <f ca="1">IF(Tab.o1[[#This Row],[B]]=0,AVERAGE(OFFSET(Tab.o1[[#This Row],[B]],1,0,L$3,1)),Tab.o1[[#This Row],[B]])</f>
        <v/>
      </c>
      <c r="Q1158" s="121" t="str">
        <f>IF(Tab.o1[[#This Row],[a1]]=1,NORMSDIST(Tab.o1[[#This Row],[Zb]]),"")</f>
        <v/>
      </c>
      <c r="R1158" s="122" t="str">
        <f>IF(Tab.o1[[#This Row],[a1]]=1,((Tab.o1[[#This Row],[MedMod]]-AVERAGE(Tab.o1[MedMod]))/_xlfn.STDEV.P(Tab.o1[MedMod])*H$1203)+G$1203,"")</f>
        <v/>
      </c>
      <c r="S1158" s="122" t="str">
        <f>IF(Tab.o1[[#This Row],[a1]]=1,((Tab.o1[[#This Row],[MedMod]]-AVERAGE(Tab.o1[MedMod]))/_xlfn.STDEV.P(Tab.o1[MedMod])*H$1204)+G$1204,"")</f>
        <v/>
      </c>
      <c r="T1158" s="123" t="str">
        <f>IF(Tab.o1[[#This Row],[a1]]=1,Tab.o1[[#This Row],[Z-]]*_xlfn.STDEV.P(Tab.o1[B])+AVERAGE(Tab.o1[B]),"")</f>
        <v/>
      </c>
      <c r="U1158" s="123" t="str">
        <f>IF(Tab.o1[[#This Row],[a1]]=1,Tab.o1[[#This Row],[z+]]*_xlfn.STDEV.P(Tab.o1[B])+AVERAGE(Tab.o1[B]),"")</f>
        <v/>
      </c>
      <c r="V1158" s="124" t="str">
        <f>IF(Tab.o1[[#This Row],[a1]]=1,ABS((ABS(Tab.o1[[#This Row],[Red]]-Tab.o1[[#This Row],[Blue]]))),"")</f>
        <v/>
      </c>
      <c r="W1158" s="125" t="str">
        <f>IF(Tab.o1[[#This Row],[a1]]=1,IF(W$3=0,1,Tab.o1[[#This Row],[Amp.]]*1/_xlfn.MINIFS(Tab.o1[Amp.],Tab.o1[Amp.],"&lt;&gt;0")),"")</f>
        <v/>
      </c>
      <c r="X1158" s="126" t="str">
        <f>IF(Tab.o1[[#This Row],[a1]]=1,IF(ISNUMBER(Tab.o1[[#This Row],[i.]]),NORMDIST(Tab.o1[[#This Row],[Za]],0,1,FALSE)*Tab.o1[[#This Row],[i.]],AP$3),"")</f>
        <v/>
      </c>
      <c r="Y1158" s="126" t="str">
        <f>IF(Tab.o1[[#This Row],[a1]]=1,0.01+0.94*Tab.o1[[#This Row],[PDF]]/MAX(Tab.o1[PDF]),"")</f>
        <v/>
      </c>
      <c r="Z1158" s="126" t="str">
        <f>IF(Tab.o1[[#This Row],[a1]]=1,0.01+0.94*Tab.o1[[#This Row],[W1_PDF]]/MAX(Tab.o1[W1_PDF]),"")</f>
        <v/>
      </c>
      <c r="AA1158" s="118" t="str">
        <f>IF(Tab.o1[[#This Row],[a1]]=1,ABS([1]!T.in.A[[#This Row],[oo6]]),"")</f>
        <v/>
      </c>
      <c r="AB1158" s="127" t="str">
        <f>IF(Tab.o1[[#This Row],[a1]]=1,IF(AE$3=0,"",IF(AB$3=0,ABS([1]!T.in.A[[#This Row],[oo9]]),ABS(Tab.o1[[#This Row],[DIF_Target.]]*Tab.o1[[#This Row],[W1_PDF]]))),"")</f>
        <v/>
      </c>
      <c r="AC1158" s="127" t="str">
        <f>IF(G$1=1,"",IF(Tab.o1[[#This Row],[a1]]=1,Tab.o1[[#This Row],[Wr]]^2,""))</f>
        <v/>
      </c>
      <c r="AD1158" s="118" t="str">
        <f>IF(Tab.o1[[#This Row],[a1]]=1,IF(AE$3=0,"",Tab.o1[[#This Row],[Wr2]]/SUM(Tab.o1[Wr2])),"")</f>
        <v/>
      </c>
      <c r="AE1158" s="128" t="str">
        <f>IF(Tab.o1[[#This Row],[a1]]=1,[1]!T.in.A[[#This Row],[oo10]],"")</f>
        <v/>
      </c>
      <c r="AF1158" s="118" t="str">
        <f>IF(Tab.o1[[#This Row],[a1]]=1,ABS(Tab.o1[[#This Row],[DIF_Target.]]*Tab.o1[[#This Row],[PDF2]]*Tab.o1[[#This Row],[IN]]),"")</f>
        <v/>
      </c>
      <c r="AG1158" s="129" t="str">
        <f>IF(Tab.o1[[#This Row],[a1]]=1,Tab.o1[[#This Row],[rW]]^2,"")</f>
        <v/>
      </c>
      <c r="AH1158" s="130" t="str">
        <f>IF(Tab.o1[[#This Row],[a1]]=1,IF(AH$3=0,Tab.o1[[#This Row],[rW2]],0.01+0.94*Tab.o1[[#This Row],[rW2]]/SUM(Tab.o1[rW2])),"")</f>
        <v/>
      </c>
      <c r="AI1158" s="128" t="str">
        <f>IF(Tab.o1[[#This Row],[a1]]=1,1/Tab.o1[[#This Row],[PDF]],"")</f>
        <v/>
      </c>
      <c r="AJ1158" s="131" t="str">
        <f>IF(Tab.o1[[#This Row],[a1]]=1,[1]!T_AA[[#This Row],[IN'']]*[1]!T_AA[[#This Row],[Qde'']],"")</f>
        <v/>
      </c>
      <c r="AK1158" s="132" t="str">
        <f>IF(Tab.o1[[#This Row],[a1]]=1,IF(AK$1=1,Tab.o1[[#This Row],[MED]]+Tab.o1[[#This Row],[MOD]]-Tab.o1[[#This Row],[MED]],""),"")</f>
        <v/>
      </c>
      <c r="AL1158" s="133" t="str">
        <f>IF(Tab.o1[[#This Row],[a1]]=1,[1]!T.in.A[[#This Row],[oo16]],"")</f>
        <v/>
      </c>
      <c r="AM1158" s="133" t="str">
        <f>IF(Tab.o1[[#This Row],[a1]]=1,IF(AM$3=1,[1]!T.in.A[[#This Row],[Σo16]],""),"")</f>
        <v/>
      </c>
      <c r="AN1158" s="126" t="str">
        <f>IF(Tab.o1[[#This Row],[a1]]=1,[1]!T.in.A[[#This Row],[Σp5]],"")</f>
        <v/>
      </c>
      <c r="AO1158" s="126" t="str">
        <f>IF(Tab.o1[[#This Row],[a1]]=1,IF(AO$3=1,[1]!T.in.A[[#This Row],[Σp5]],""),"")</f>
        <v/>
      </c>
      <c r="AP1158" s="110" t="str">
        <f>IF(Tab.o1[[#This Row],[a1]]=1,IF(ISNUMBER(Tab.o1[[#This Row],[i.]]),NORMDIST(Tab.o1[[#This Row],[Za]],0,1,FALSE)*Tab.o1[[#This Row],[i.]],0),"")</f>
        <v/>
      </c>
      <c r="AQ1158" s="125" t="str">
        <f>IF(Tab.o1[[#This Row],[a1]]=1,ABS(Tab.o1[[#This Row],[MOD]]-AVERAGE(Tab.o1[MOD])),"")</f>
        <v/>
      </c>
      <c r="AR1158" s="134" t="str">
        <f>IF(Tab.o1[[#This Row],[a1]]=1,Tab.o1[[#This Row],[OBS]]/SUM(Tab.o1[OBS]),"")</f>
        <v/>
      </c>
      <c r="AS1158" s="135" t="str">
        <f>IF(ISNUMBER(Tab.o1[[#This Row],[a1]]),ROW()-4,"")</f>
        <v/>
      </c>
      <c r="AT1158" s="136" t="str">
        <f>Tab.o1[[#This Row],[MOD]]</f>
        <v/>
      </c>
      <c r="AU1158" s="137" t="str">
        <f t="shared" ref="AU1158:AU1200" si="73">AT1158</f>
        <v/>
      </c>
      <c r="AV1158" s="138" t="str">
        <f t="shared" ref="AV1158:AV1200" si="74">IF(AND(ISNUMBER(AT1158),ISNUMBER(AU1158)),H1158-AU1158,"")</f>
        <v/>
      </c>
      <c r="AW1158" s="138" t="str">
        <f t="shared" ref="AW1158:AW1200" si="75">IF(AW$4=0,"",IF(AV1158&lt;AV$2,AV1158," "))</f>
        <v/>
      </c>
      <c r="AX1158" s="139" t="str">
        <f>[1]!T.in.A[[#This Row],[ID_T_manu]]</f>
        <v/>
      </c>
      <c r="AY1158" s="140" t="str">
        <f>IF(ISNUMBER(Tab.o1[[#This Row],[a1]]),IF(AND(Tab.o1[[#This Row],[a1]]=1,Tab.o1[[#This Row],[b1]]&lt;=AY$4),#REF!,AY1157),"")</f>
        <v/>
      </c>
      <c r="AZ1158" s="25"/>
      <c r="BA1158" s="25"/>
      <c r="BB1158" s="25"/>
      <c r="BC1158" s="25"/>
      <c r="BD1158" s="25"/>
      <c r="BE1158" s="25"/>
      <c r="BF1158" s="25"/>
      <c r="BG1158" s="25"/>
      <c r="BH1158" s="25"/>
      <c r="BI1158" s="25"/>
      <c r="BJ1158" s="25"/>
      <c r="BK1158" s="25"/>
      <c r="BL1158" s="25"/>
      <c r="BM1158" s="25"/>
      <c r="BN1158" s="26"/>
      <c r="BO1158" s="26"/>
      <c r="BP1158" s="26"/>
      <c r="BQ1158" s="26"/>
      <c r="BR1158" s="26"/>
      <c r="BS1158" s="26"/>
      <c r="BT1158" s="26"/>
      <c r="BU1158" s="26"/>
      <c r="BV1158" s="26"/>
      <c r="BW1158" s="26"/>
      <c r="BX1158" s="26"/>
      <c r="BY1158" s="26"/>
      <c r="BZ1158" s="26"/>
      <c r="CA1158" s="26"/>
    </row>
    <row r="1159" spans="1:79" ht="15.75" hidden="1">
      <c r="A1159" s="109">
        <v>2.0000000000000003E-6</v>
      </c>
      <c r="B1159" s="110">
        <f t="shared" si="72"/>
        <v>1159</v>
      </c>
      <c r="C1159" s="111" t="str">
        <f>IF(C$1=[1]!T.in.A[[#This Row],[oo2]],1,"")</f>
        <v/>
      </c>
      <c r="D1159" s="112" t="str">
        <f>IF(Tab.o1[[#This Row],[a1]]=1,IF(SUM(C1159:C1160)=0,0,IF(SUM(C1158:C1159)=1,1,IF(SUM(C1158:C1160)&gt;1,D1158+1,0))),"")</f>
        <v/>
      </c>
      <c r="E1159" s="113" t="str">
        <f>IF(Tab.o1[[#This Row],[a1]]=1,[1]!T.in.A[[#This Row],[oo1]],"")</f>
        <v/>
      </c>
      <c r="F1159" s="113" t="str">
        <f>IF(Tab.o1[[#This Row],[a1]]=1,[1]!T.in.A[[#This Row],[pp1]],"")</f>
        <v/>
      </c>
      <c r="G1159" s="114" t="str">
        <f>IF(Tab.o1[[#This Row],[a1]]=1,G$2+IF(G$1=1,0,Tab.o1[[#This Row],[.x1]])+[1]!T.in.A[[#This Row],[oo3]],"")</f>
        <v/>
      </c>
      <c r="H1159" s="115" t="str">
        <f>IF(Tab.o1[[#This Row],[a1]]=1,IF(H$2=0,0,IF(G$1=1,0,Tab.o1[[#This Row],[.x1]])+[1]!T.in.A[[#This Row],[oo4]]),"")</f>
        <v/>
      </c>
      <c r="I1159" s="116" t="str">
        <f>IF(Tab.o1[[#This Row],[a1]]=1,IF(J$2=0,Tab.o1[[#This Row],[MED]],Tab.o1[[#This Row],[MOD]]),"")</f>
        <v/>
      </c>
      <c r="J1159" s="116" t="str">
        <f>IF(Tab.o1[[#This Row],[a1]]=1,((Tab.o1[[#This Row],[DIF_Target.]]-AVERAGE(Tab.o1[DIF_Target.]))/_xlfn.STDEV.P(Tab.o1[DIF_Target.])),"")</f>
        <v/>
      </c>
      <c r="K1159" s="117" t="str">
        <f>IF(Tab.o1[[#This Row],[a1]]=1,IF(J$2=0,Tab.o1[[#This Row],[MOD]]-Tab.o1[[#This Row],[B]],IF(J$2=1,0,-Tab.o1[[#This Row],[MED]])+Tab.o1[[#This Row],[B]]),"")</f>
        <v/>
      </c>
      <c r="L1159" s="117" t="str">
        <f ca="1">IF(Tab.o1[[#This Row],[DIF_Target]]=0,IF(L$2=0,Tab.o1[[#This Row],[DIF_Target]],AVERAGE(OFFSET(Tab.o1[[#This Row],[DIF_Target]],1,0,L$3,1)))/3,Tab.o1[[#This Row],[DIF_Target]])</f>
        <v/>
      </c>
      <c r="M1159" s="118" t="str">
        <f>IF(Tab.o1[[#This Row],[a1]]=1,NORMSDIST(Tab.o1[[#This Row],[Za]]),"")</f>
        <v/>
      </c>
      <c r="N1159" s="119" t="str">
        <f>IF(Tab.o1[[#This Row],[a1]]=1,((Tab.o1[[#This Row],[MedMod]]-AVERAGE(Tab.o1[MedMod]))/_xlfn.STDEV.P(Tab.o1[MedMod])*H$1205)+G$1205,"")</f>
        <v/>
      </c>
      <c r="O1159" s="141" t="str">
        <f>IF(Tab.o1[[#This Row],[a1]]=1,Tab.o1[[#This Row],[Zb]]*_xlfn.STDEV.P(Tab.o1[MedMod])+AVERAGE(Tab.o1[MedMod]),"")</f>
        <v/>
      </c>
      <c r="P1159" s="117" t="str">
        <f ca="1">IF(Tab.o1[[#This Row],[B]]=0,AVERAGE(OFFSET(Tab.o1[[#This Row],[B]],1,0,L$3,1)),Tab.o1[[#This Row],[B]])</f>
        <v/>
      </c>
      <c r="Q1159" s="121" t="str">
        <f>IF(Tab.o1[[#This Row],[a1]]=1,NORMSDIST(Tab.o1[[#This Row],[Zb]]),"")</f>
        <v/>
      </c>
      <c r="R1159" s="122" t="str">
        <f>IF(Tab.o1[[#This Row],[a1]]=1,((Tab.o1[[#This Row],[MedMod]]-AVERAGE(Tab.o1[MedMod]))/_xlfn.STDEV.P(Tab.o1[MedMod])*H$1203)+G$1203,"")</f>
        <v/>
      </c>
      <c r="S1159" s="122" t="str">
        <f>IF(Tab.o1[[#This Row],[a1]]=1,((Tab.o1[[#This Row],[MedMod]]-AVERAGE(Tab.o1[MedMod]))/_xlfn.STDEV.P(Tab.o1[MedMod])*H$1204)+G$1204,"")</f>
        <v/>
      </c>
      <c r="T1159" s="123" t="str">
        <f>IF(Tab.o1[[#This Row],[a1]]=1,Tab.o1[[#This Row],[Z-]]*_xlfn.STDEV.P(Tab.o1[B])+AVERAGE(Tab.o1[B]),"")</f>
        <v/>
      </c>
      <c r="U1159" s="123" t="str">
        <f>IF(Tab.o1[[#This Row],[a1]]=1,Tab.o1[[#This Row],[z+]]*_xlfn.STDEV.P(Tab.o1[B])+AVERAGE(Tab.o1[B]),"")</f>
        <v/>
      </c>
      <c r="V1159" s="124" t="str">
        <f>IF(Tab.o1[[#This Row],[a1]]=1,ABS((ABS(Tab.o1[[#This Row],[Red]]-Tab.o1[[#This Row],[Blue]]))),"")</f>
        <v/>
      </c>
      <c r="W1159" s="125" t="str">
        <f>IF(Tab.o1[[#This Row],[a1]]=1,IF(W$3=0,1,Tab.o1[[#This Row],[Amp.]]*1/_xlfn.MINIFS(Tab.o1[Amp.],Tab.o1[Amp.],"&lt;&gt;0")),"")</f>
        <v/>
      </c>
      <c r="X1159" s="126" t="str">
        <f>IF(Tab.o1[[#This Row],[a1]]=1,IF(ISNUMBER(Tab.o1[[#This Row],[i.]]),NORMDIST(Tab.o1[[#This Row],[Za]],0,1,FALSE)*Tab.o1[[#This Row],[i.]],AP$3),"")</f>
        <v/>
      </c>
      <c r="Y1159" s="126" t="str">
        <f>IF(Tab.o1[[#This Row],[a1]]=1,0.01+0.94*Tab.o1[[#This Row],[PDF]]/MAX(Tab.o1[PDF]),"")</f>
        <v/>
      </c>
      <c r="Z1159" s="126" t="str">
        <f>IF(Tab.o1[[#This Row],[a1]]=1,0.01+0.94*Tab.o1[[#This Row],[W1_PDF]]/MAX(Tab.o1[W1_PDF]),"")</f>
        <v/>
      </c>
      <c r="AA1159" s="118" t="str">
        <f>IF(Tab.o1[[#This Row],[a1]]=1,ABS([1]!T.in.A[[#This Row],[oo6]]),"")</f>
        <v/>
      </c>
      <c r="AB1159" s="127" t="str">
        <f>IF(Tab.o1[[#This Row],[a1]]=1,IF(AE$3=0,"",IF(AB$3=0,ABS([1]!T.in.A[[#This Row],[oo9]]),ABS(Tab.o1[[#This Row],[DIF_Target.]]*Tab.o1[[#This Row],[W1_PDF]]))),"")</f>
        <v/>
      </c>
      <c r="AC1159" s="127" t="str">
        <f>IF(G$1=1,"",IF(Tab.o1[[#This Row],[a1]]=1,Tab.o1[[#This Row],[Wr]]^2,""))</f>
        <v/>
      </c>
      <c r="AD1159" s="118" t="str">
        <f>IF(Tab.o1[[#This Row],[a1]]=1,IF(AE$3=0,"",Tab.o1[[#This Row],[Wr2]]/SUM(Tab.o1[Wr2])),"")</f>
        <v/>
      </c>
      <c r="AE1159" s="128" t="str">
        <f>IF(Tab.o1[[#This Row],[a1]]=1,[1]!T.in.A[[#This Row],[oo10]],"")</f>
        <v/>
      </c>
      <c r="AF1159" s="118" t="str">
        <f>IF(Tab.o1[[#This Row],[a1]]=1,ABS(Tab.o1[[#This Row],[DIF_Target.]]*Tab.o1[[#This Row],[PDF2]]*Tab.o1[[#This Row],[IN]]),"")</f>
        <v/>
      </c>
      <c r="AG1159" s="129" t="str">
        <f>IF(Tab.o1[[#This Row],[a1]]=1,Tab.o1[[#This Row],[rW]]^2,"")</f>
        <v/>
      </c>
      <c r="AH1159" s="130" t="str">
        <f>IF(Tab.o1[[#This Row],[a1]]=1,IF(AH$3=0,Tab.o1[[#This Row],[rW2]],0.01+0.94*Tab.o1[[#This Row],[rW2]]/SUM(Tab.o1[rW2])),"")</f>
        <v/>
      </c>
      <c r="AI1159" s="128" t="str">
        <f>IF(Tab.o1[[#This Row],[a1]]=1,1/Tab.o1[[#This Row],[PDF]],"")</f>
        <v/>
      </c>
      <c r="AJ1159" s="131" t="str">
        <f>IF(Tab.o1[[#This Row],[a1]]=1,[1]!T_AA[[#This Row],[IN'']]*[1]!T_AA[[#This Row],[Qde'']],"")</f>
        <v/>
      </c>
      <c r="AK1159" s="132" t="str">
        <f>IF(Tab.o1[[#This Row],[a1]]=1,IF(AK$1=1,Tab.o1[[#This Row],[MED]]+Tab.o1[[#This Row],[MOD]]-Tab.o1[[#This Row],[MED]],""),"")</f>
        <v/>
      </c>
      <c r="AL1159" s="133" t="str">
        <f>IF(Tab.o1[[#This Row],[a1]]=1,[1]!T.in.A[[#This Row],[oo16]],"")</f>
        <v/>
      </c>
      <c r="AM1159" s="133" t="str">
        <f>IF(Tab.o1[[#This Row],[a1]]=1,IF(AM$3=1,[1]!T.in.A[[#This Row],[Σo16]],""),"")</f>
        <v/>
      </c>
      <c r="AN1159" s="126" t="str">
        <f>IF(Tab.o1[[#This Row],[a1]]=1,[1]!T.in.A[[#This Row],[Σp5]],"")</f>
        <v/>
      </c>
      <c r="AO1159" s="126" t="str">
        <f>IF(Tab.o1[[#This Row],[a1]]=1,IF(AO$3=1,[1]!T.in.A[[#This Row],[Σp5]],""),"")</f>
        <v/>
      </c>
      <c r="AP1159" s="110" t="str">
        <f>IF(Tab.o1[[#This Row],[a1]]=1,IF(ISNUMBER(Tab.o1[[#This Row],[i.]]),NORMDIST(Tab.o1[[#This Row],[Za]],0,1,FALSE)*Tab.o1[[#This Row],[i.]],0),"")</f>
        <v/>
      </c>
      <c r="AQ1159" s="125" t="str">
        <f>IF(Tab.o1[[#This Row],[a1]]=1,ABS(Tab.o1[[#This Row],[MOD]]-AVERAGE(Tab.o1[MOD])),"")</f>
        <v/>
      </c>
      <c r="AR1159" s="134" t="str">
        <f>IF(Tab.o1[[#This Row],[a1]]=1,Tab.o1[[#This Row],[OBS]]/SUM(Tab.o1[OBS]),"")</f>
        <v/>
      </c>
      <c r="AS1159" s="135" t="str">
        <f>IF(ISNUMBER(Tab.o1[[#This Row],[a1]]),ROW()-4,"")</f>
        <v/>
      </c>
      <c r="AT1159" s="136" t="str">
        <f>Tab.o1[[#This Row],[MOD]]</f>
        <v/>
      </c>
      <c r="AU1159" s="137" t="str">
        <f t="shared" si="73"/>
        <v/>
      </c>
      <c r="AV1159" s="138" t="str">
        <f t="shared" si="74"/>
        <v/>
      </c>
      <c r="AW1159" s="138" t="str">
        <f t="shared" si="75"/>
        <v/>
      </c>
      <c r="AX1159" s="139" t="str">
        <f>[1]!T.in.A[[#This Row],[ID_T_manu]]</f>
        <v/>
      </c>
      <c r="AY1159" s="140" t="str">
        <f>IF(ISNUMBER(Tab.o1[[#This Row],[a1]]),IF(AND(Tab.o1[[#This Row],[a1]]=1,Tab.o1[[#This Row],[b1]]&lt;=AY$4),#REF!,AY1158),"")</f>
        <v/>
      </c>
      <c r="AZ1159" s="25"/>
      <c r="BA1159" s="25"/>
      <c r="BB1159" s="25"/>
      <c r="BC1159" s="25"/>
      <c r="BD1159" s="25"/>
      <c r="BE1159" s="25"/>
      <c r="BF1159" s="25"/>
      <c r="BG1159" s="25"/>
      <c r="BH1159" s="25"/>
      <c r="BI1159" s="25"/>
      <c r="BJ1159" s="25"/>
      <c r="BK1159" s="25"/>
      <c r="BL1159" s="25"/>
      <c r="BM1159" s="25"/>
      <c r="BN1159" s="26"/>
      <c r="BO1159" s="26"/>
      <c r="BP1159" s="26"/>
      <c r="BQ1159" s="26"/>
      <c r="BR1159" s="26"/>
      <c r="BS1159" s="26"/>
      <c r="BT1159" s="26"/>
      <c r="BU1159" s="26"/>
      <c r="BV1159" s="26"/>
      <c r="BW1159" s="26"/>
      <c r="BX1159" s="26"/>
      <c r="BY1159" s="26"/>
      <c r="BZ1159" s="26"/>
      <c r="CA1159" s="26"/>
    </row>
    <row r="1160" spans="1:79" ht="15.75" hidden="1">
      <c r="A1160" s="109">
        <v>-9.0000000000000002E-6</v>
      </c>
      <c r="B1160" s="110">
        <f t="shared" si="72"/>
        <v>1160</v>
      </c>
      <c r="C1160" s="111" t="str">
        <f>IF(C$1=[1]!T.in.A[[#This Row],[oo2]],1,"")</f>
        <v/>
      </c>
      <c r="D1160" s="112" t="str">
        <f>IF(Tab.o1[[#This Row],[a1]]=1,IF(SUM(C1160:C1161)=0,0,IF(SUM(C1159:C1160)=1,1,IF(SUM(C1159:C1161)&gt;1,D1159+1,0))),"")</f>
        <v/>
      </c>
      <c r="E1160" s="113" t="str">
        <f>IF(Tab.o1[[#This Row],[a1]]=1,[1]!T.in.A[[#This Row],[oo1]],"")</f>
        <v/>
      </c>
      <c r="F1160" s="113" t="str">
        <f>IF(Tab.o1[[#This Row],[a1]]=1,[1]!T.in.A[[#This Row],[pp1]],"")</f>
        <v/>
      </c>
      <c r="G1160" s="114" t="str">
        <f>IF(Tab.o1[[#This Row],[a1]]=1,G$2+IF(G$1=1,0,Tab.o1[[#This Row],[.x1]])+[1]!T.in.A[[#This Row],[oo3]],"")</f>
        <v/>
      </c>
      <c r="H1160" s="115" t="str">
        <f>IF(Tab.o1[[#This Row],[a1]]=1,IF(H$2=0,0,IF(G$1=1,0,Tab.o1[[#This Row],[.x1]])+[1]!T.in.A[[#This Row],[oo4]]),"")</f>
        <v/>
      </c>
      <c r="I1160" s="116" t="str">
        <f>IF(Tab.o1[[#This Row],[a1]]=1,IF(J$2=0,Tab.o1[[#This Row],[MED]],Tab.o1[[#This Row],[MOD]]),"")</f>
        <v/>
      </c>
      <c r="J1160" s="116" t="str">
        <f>IF(Tab.o1[[#This Row],[a1]]=1,((Tab.o1[[#This Row],[DIF_Target.]]-AVERAGE(Tab.o1[DIF_Target.]))/_xlfn.STDEV.P(Tab.o1[DIF_Target.])),"")</f>
        <v/>
      </c>
      <c r="K1160" s="117" t="str">
        <f>IF(Tab.o1[[#This Row],[a1]]=1,IF(J$2=0,Tab.o1[[#This Row],[MOD]]-Tab.o1[[#This Row],[B]],IF(J$2=1,0,-Tab.o1[[#This Row],[MED]])+Tab.o1[[#This Row],[B]]),"")</f>
        <v/>
      </c>
      <c r="L1160" s="117" t="str">
        <f ca="1">IF(Tab.o1[[#This Row],[DIF_Target]]=0,IF(L$2=0,Tab.o1[[#This Row],[DIF_Target]],AVERAGE(OFFSET(Tab.o1[[#This Row],[DIF_Target]],1,0,L$3,1)))/3,Tab.o1[[#This Row],[DIF_Target]])</f>
        <v/>
      </c>
      <c r="M1160" s="118" t="str">
        <f>IF(Tab.o1[[#This Row],[a1]]=1,NORMSDIST(Tab.o1[[#This Row],[Za]]),"")</f>
        <v/>
      </c>
      <c r="N1160" s="119" t="str">
        <f>IF(Tab.o1[[#This Row],[a1]]=1,((Tab.o1[[#This Row],[MedMod]]-AVERAGE(Tab.o1[MedMod]))/_xlfn.STDEV.P(Tab.o1[MedMod])*H$1205)+G$1205,"")</f>
        <v/>
      </c>
      <c r="O1160" s="141" t="str">
        <f>IF(Tab.o1[[#This Row],[a1]]=1,Tab.o1[[#This Row],[Zb]]*_xlfn.STDEV.P(Tab.o1[MedMod])+AVERAGE(Tab.o1[MedMod]),"")</f>
        <v/>
      </c>
      <c r="P1160" s="117" t="str">
        <f ca="1">IF(Tab.o1[[#This Row],[B]]=0,AVERAGE(OFFSET(Tab.o1[[#This Row],[B]],1,0,L$3,1)),Tab.o1[[#This Row],[B]])</f>
        <v/>
      </c>
      <c r="Q1160" s="121" t="str">
        <f>IF(Tab.o1[[#This Row],[a1]]=1,NORMSDIST(Tab.o1[[#This Row],[Zb]]),"")</f>
        <v/>
      </c>
      <c r="R1160" s="122" t="str">
        <f>IF(Tab.o1[[#This Row],[a1]]=1,((Tab.o1[[#This Row],[MedMod]]-AVERAGE(Tab.o1[MedMod]))/_xlfn.STDEV.P(Tab.o1[MedMod])*H$1203)+G$1203,"")</f>
        <v/>
      </c>
      <c r="S1160" s="122" t="str">
        <f>IF(Tab.o1[[#This Row],[a1]]=1,((Tab.o1[[#This Row],[MedMod]]-AVERAGE(Tab.o1[MedMod]))/_xlfn.STDEV.P(Tab.o1[MedMod])*H$1204)+G$1204,"")</f>
        <v/>
      </c>
      <c r="T1160" s="123" t="str">
        <f>IF(Tab.o1[[#This Row],[a1]]=1,Tab.o1[[#This Row],[Z-]]*_xlfn.STDEV.P(Tab.o1[B])+AVERAGE(Tab.o1[B]),"")</f>
        <v/>
      </c>
      <c r="U1160" s="123" t="str">
        <f>IF(Tab.o1[[#This Row],[a1]]=1,Tab.o1[[#This Row],[z+]]*_xlfn.STDEV.P(Tab.o1[B])+AVERAGE(Tab.o1[B]),"")</f>
        <v/>
      </c>
      <c r="V1160" s="124" t="str">
        <f>IF(Tab.o1[[#This Row],[a1]]=1,ABS((ABS(Tab.o1[[#This Row],[Red]]-Tab.o1[[#This Row],[Blue]]))),"")</f>
        <v/>
      </c>
      <c r="W1160" s="125" t="str">
        <f>IF(Tab.o1[[#This Row],[a1]]=1,IF(W$3=0,1,Tab.o1[[#This Row],[Amp.]]*1/_xlfn.MINIFS(Tab.o1[Amp.],Tab.o1[Amp.],"&lt;&gt;0")),"")</f>
        <v/>
      </c>
      <c r="X1160" s="126" t="str">
        <f>IF(Tab.o1[[#This Row],[a1]]=1,IF(ISNUMBER(Tab.o1[[#This Row],[i.]]),NORMDIST(Tab.o1[[#This Row],[Za]],0,1,FALSE)*Tab.o1[[#This Row],[i.]],AP$3),"")</f>
        <v/>
      </c>
      <c r="Y1160" s="126" t="str">
        <f>IF(Tab.o1[[#This Row],[a1]]=1,0.01+0.94*Tab.o1[[#This Row],[PDF]]/MAX(Tab.o1[PDF]),"")</f>
        <v/>
      </c>
      <c r="Z1160" s="126" t="str">
        <f>IF(Tab.o1[[#This Row],[a1]]=1,0.01+0.94*Tab.o1[[#This Row],[W1_PDF]]/MAX(Tab.o1[W1_PDF]),"")</f>
        <v/>
      </c>
      <c r="AA1160" s="118" t="str">
        <f>IF(Tab.o1[[#This Row],[a1]]=1,ABS([1]!T.in.A[[#This Row],[oo6]]),"")</f>
        <v/>
      </c>
      <c r="AB1160" s="127" t="str">
        <f>IF(Tab.o1[[#This Row],[a1]]=1,IF(AE$3=0,"",IF(AB$3=0,ABS([1]!T.in.A[[#This Row],[oo9]]),ABS(Tab.o1[[#This Row],[DIF_Target.]]*Tab.o1[[#This Row],[W1_PDF]]))),"")</f>
        <v/>
      </c>
      <c r="AC1160" s="127" t="str">
        <f>IF(G$1=1,"",IF(Tab.o1[[#This Row],[a1]]=1,Tab.o1[[#This Row],[Wr]]^2,""))</f>
        <v/>
      </c>
      <c r="AD1160" s="118" t="str">
        <f>IF(Tab.o1[[#This Row],[a1]]=1,IF(AE$3=0,"",Tab.o1[[#This Row],[Wr2]]/SUM(Tab.o1[Wr2])),"")</f>
        <v/>
      </c>
      <c r="AE1160" s="128" t="str">
        <f>IF(Tab.o1[[#This Row],[a1]]=1,[1]!T.in.A[[#This Row],[oo10]],"")</f>
        <v/>
      </c>
      <c r="AF1160" s="118" t="str">
        <f>IF(Tab.o1[[#This Row],[a1]]=1,ABS(Tab.o1[[#This Row],[DIF_Target.]]*Tab.o1[[#This Row],[PDF2]]*Tab.o1[[#This Row],[IN]]),"")</f>
        <v/>
      </c>
      <c r="AG1160" s="129" t="str">
        <f>IF(Tab.o1[[#This Row],[a1]]=1,Tab.o1[[#This Row],[rW]]^2,"")</f>
        <v/>
      </c>
      <c r="AH1160" s="130" t="str">
        <f>IF(Tab.o1[[#This Row],[a1]]=1,IF(AH$3=0,Tab.o1[[#This Row],[rW2]],0.01+0.94*Tab.o1[[#This Row],[rW2]]/SUM(Tab.o1[rW2])),"")</f>
        <v/>
      </c>
      <c r="AI1160" s="128" t="str">
        <f>IF(Tab.o1[[#This Row],[a1]]=1,1/Tab.o1[[#This Row],[PDF]],"")</f>
        <v/>
      </c>
      <c r="AJ1160" s="131" t="str">
        <f>IF(Tab.o1[[#This Row],[a1]]=1,[1]!T_AA[[#This Row],[IN'']]*[1]!T_AA[[#This Row],[Qde'']],"")</f>
        <v/>
      </c>
      <c r="AK1160" s="132" t="str">
        <f>IF(Tab.o1[[#This Row],[a1]]=1,IF(AK$1=1,Tab.o1[[#This Row],[MED]]+Tab.o1[[#This Row],[MOD]]-Tab.o1[[#This Row],[MED]],""),"")</f>
        <v/>
      </c>
      <c r="AL1160" s="133" t="str">
        <f>IF(Tab.o1[[#This Row],[a1]]=1,[1]!T.in.A[[#This Row],[oo16]],"")</f>
        <v/>
      </c>
      <c r="AM1160" s="133" t="str">
        <f>IF(Tab.o1[[#This Row],[a1]]=1,IF(AM$3=1,[1]!T.in.A[[#This Row],[Σo16]],""),"")</f>
        <v/>
      </c>
      <c r="AN1160" s="126" t="str">
        <f>IF(Tab.o1[[#This Row],[a1]]=1,[1]!T.in.A[[#This Row],[Σp5]],"")</f>
        <v/>
      </c>
      <c r="AO1160" s="126" t="str">
        <f>IF(Tab.o1[[#This Row],[a1]]=1,IF(AO$3=1,[1]!T.in.A[[#This Row],[Σp5]],""),"")</f>
        <v/>
      </c>
      <c r="AP1160" s="110" t="str">
        <f>IF(Tab.o1[[#This Row],[a1]]=1,IF(ISNUMBER(Tab.o1[[#This Row],[i.]]),NORMDIST(Tab.o1[[#This Row],[Za]],0,1,FALSE)*Tab.o1[[#This Row],[i.]],0),"")</f>
        <v/>
      </c>
      <c r="AQ1160" s="125" t="str">
        <f>IF(Tab.o1[[#This Row],[a1]]=1,ABS(Tab.o1[[#This Row],[MOD]]-AVERAGE(Tab.o1[MOD])),"")</f>
        <v/>
      </c>
      <c r="AR1160" s="134" t="str">
        <f>IF(Tab.o1[[#This Row],[a1]]=1,Tab.o1[[#This Row],[OBS]]/SUM(Tab.o1[OBS]),"")</f>
        <v/>
      </c>
      <c r="AS1160" s="135" t="str">
        <f>IF(ISNUMBER(Tab.o1[[#This Row],[a1]]),ROW()-4,"")</f>
        <v/>
      </c>
      <c r="AT1160" s="136" t="str">
        <f>Tab.o1[[#This Row],[MOD]]</f>
        <v/>
      </c>
      <c r="AU1160" s="137" t="str">
        <f t="shared" si="73"/>
        <v/>
      </c>
      <c r="AV1160" s="138" t="str">
        <f t="shared" si="74"/>
        <v/>
      </c>
      <c r="AW1160" s="138" t="str">
        <f t="shared" si="75"/>
        <v/>
      </c>
      <c r="AX1160" s="139" t="str">
        <f>[1]!T.in.A[[#This Row],[ID_T_manu]]</f>
        <v/>
      </c>
      <c r="AY1160" s="140" t="str">
        <f>IF(ISNUMBER(Tab.o1[[#This Row],[a1]]),IF(AND(Tab.o1[[#This Row],[a1]]=1,Tab.o1[[#This Row],[b1]]&lt;=AY$4),#REF!,AY1159),"")</f>
        <v/>
      </c>
      <c r="AZ1160" s="25"/>
      <c r="BA1160" s="25"/>
      <c r="BB1160" s="25"/>
      <c r="BC1160" s="25"/>
      <c r="BD1160" s="25"/>
      <c r="BE1160" s="25"/>
      <c r="BF1160" s="25"/>
      <c r="BG1160" s="25"/>
      <c r="BH1160" s="25"/>
      <c r="BI1160" s="25"/>
      <c r="BJ1160" s="25"/>
      <c r="BK1160" s="25"/>
      <c r="BL1160" s="25"/>
      <c r="BM1160" s="25"/>
      <c r="BN1160" s="26"/>
      <c r="BO1160" s="26"/>
      <c r="BP1160" s="26"/>
      <c r="BQ1160" s="26"/>
      <c r="BR1160" s="26"/>
      <c r="BS1160" s="26"/>
      <c r="BT1160" s="26"/>
      <c r="BU1160" s="26"/>
      <c r="BV1160" s="26"/>
      <c r="BW1160" s="26"/>
      <c r="BX1160" s="26"/>
      <c r="BY1160" s="26"/>
      <c r="BZ1160" s="26"/>
      <c r="CA1160" s="26"/>
    </row>
    <row r="1161" spans="1:79" ht="15.75" hidden="1">
      <c r="A1161" s="109">
        <v>2.0000000000000003E-6</v>
      </c>
      <c r="B1161" s="110">
        <f t="shared" si="72"/>
        <v>1161</v>
      </c>
      <c r="C1161" s="111" t="str">
        <f>IF(C$1=[1]!T.in.A[[#This Row],[oo2]],1,"")</f>
        <v/>
      </c>
      <c r="D1161" s="112" t="str">
        <f>IF(Tab.o1[[#This Row],[a1]]=1,IF(SUM(C1161:C1162)=0,0,IF(SUM(C1160:C1161)=1,1,IF(SUM(C1160:C1162)&gt;1,D1160+1,0))),"")</f>
        <v/>
      </c>
      <c r="E1161" s="113" t="str">
        <f>IF(Tab.o1[[#This Row],[a1]]=1,[1]!T.in.A[[#This Row],[oo1]],"")</f>
        <v/>
      </c>
      <c r="F1161" s="113" t="str">
        <f>IF(Tab.o1[[#This Row],[a1]]=1,[1]!T.in.A[[#This Row],[pp1]],"")</f>
        <v/>
      </c>
      <c r="G1161" s="114" t="str">
        <f>IF(Tab.o1[[#This Row],[a1]]=1,G$2+IF(G$1=1,0,Tab.o1[[#This Row],[.x1]])+[1]!T.in.A[[#This Row],[oo3]],"")</f>
        <v/>
      </c>
      <c r="H1161" s="115" t="str">
        <f>IF(Tab.o1[[#This Row],[a1]]=1,IF(H$2=0,0,IF(G$1=1,0,Tab.o1[[#This Row],[.x1]])+[1]!T.in.A[[#This Row],[oo4]]),"")</f>
        <v/>
      </c>
      <c r="I1161" s="116" t="str">
        <f>IF(Tab.o1[[#This Row],[a1]]=1,IF(J$2=0,Tab.o1[[#This Row],[MED]],Tab.o1[[#This Row],[MOD]]),"")</f>
        <v/>
      </c>
      <c r="J1161" s="116" t="str">
        <f>IF(Tab.o1[[#This Row],[a1]]=1,((Tab.o1[[#This Row],[DIF_Target.]]-AVERAGE(Tab.o1[DIF_Target.]))/_xlfn.STDEV.P(Tab.o1[DIF_Target.])),"")</f>
        <v/>
      </c>
      <c r="K1161" s="117" t="str">
        <f>IF(Tab.o1[[#This Row],[a1]]=1,IF(J$2=0,Tab.o1[[#This Row],[MOD]]-Tab.o1[[#This Row],[B]],IF(J$2=1,0,-Tab.o1[[#This Row],[MED]])+Tab.o1[[#This Row],[B]]),"")</f>
        <v/>
      </c>
      <c r="L1161" s="117" t="str">
        <f ca="1">IF(Tab.o1[[#This Row],[DIF_Target]]=0,IF(L$2=0,Tab.o1[[#This Row],[DIF_Target]],AVERAGE(OFFSET(Tab.o1[[#This Row],[DIF_Target]],1,0,L$3,1)))/3,Tab.o1[[#This Row],[DIF_Target]])</f>
        <v/>
      </c>
      <c r="M1161" s="118" t="str">
        <f>IF(Tab.o1[[#This Row],[a1]]=1,NORMSDIST(Tab.o1[[#This Row],[Za]]),"")</f>
        <v/>
      </c>
      <c r="N1161" s="119" t="str">
        <f>IF(Tab.o1[[#This Row],[a1]]=1,((Tab.o1[[#This Row],[MedMod]]-AVERAGE(Tab.o1[MedMod]))/_xlfn.STDEV.P(Tab.o1[MedMod])*H$1205)+G$1205,"")</f>
        <v/>
      </c>
      <c r="O1161" s="141" t="str">
        <f>IF(Tab.o1[[#This Row],[a1]]=1,Tab.o1[[#This Row],[Zb]]*_xlfn.STDEV.P(Tab.o1[MedMod])+AVERAGE(Tab.o1[MedMod]),"")</f>
        <v/>
      </c>
      <c r="P1161" s="117" t="str">
        <f ca="1">IF(Tab.o1[[#This Row],[B]]=0,AVERAGE(OFFSET(Tab.o1[[#This Row],[B]],1,0,L$3,1)),Tab.o1[[#This Row],[B]])</f>
        <v/>
      </c>
      <c r="Q1161" s="121" t="str">
        <f>IF(Tab.o1[[#This Row],[a1]]=1,NORMSDIST(Tab.o1[[#This Row],[Zb]]),"")</f>
        <v/>
      </c>
      <c r="R1161" s="122" t="str">
        <f>IF(Tab.o1[[#This Row],[a1]]=1,((Tab.o1[[#This Row],[MedMod]]-AVERAGE(Tab.o1[MedMod]))/_xlfn.STDEV.P(Tab.o1[MedMod])*H$1203)+G$1203,"")</f>
        <v/>
      </c>
      <c r="S1161" s="122" t="str">
        <f>IF(Tab.o1[[#This Row],[a1]]=1,((Tab.o1[[#This Row],[MedMod]]-AVERAGE(Tab.o1[MedMod]))/_xlfn.STDEV.P(Tab.o1[MedMod])*H$1204)+G$1204,"")</f>
        <v/>
      </c>
      <c r="T1161" s="123" t="str">
        <f>IF(Tab.o1[[#This Row],[a1]]=1,Tab.o1[[#This Row],[Z-]]*_xlfn.STDEV.P(Tab.o1[B])+AVERAGE(Tab.o1[B]),"")</f>
        <v/>
      </c>
      <c r="U1161" s="123" t="str">
        <f>IF(Tab.o1[[#This Row],[a1]]=1,Tab.o1[[#This Row],[z+]]*_xlfn.STDEV.P(Tab.o1[B])+AVERAGE(Tab.o1[B]),"")</f>
        <v/>
      </c>
      <c r="V1161" s="124" t="str">
        <f>IF(Tab.o1[[#This Row],[a1]]=1,ABS((ABS(Tab.o1[[#This Row],[Red]]-Tab.o1[[#This Row],[Blue]]))),"")</f>
        <v/>
      </c>
      <c r="W1161" s="125" t="str">
        <f>IF(Tab.o1[[#This Row],[a1]]=1,IF(W$3=0,1,Tab.o1[[#This Row],[Amp.]]*1/_xlfn.MINIFS(Tab.o1[Amp.],Tab.o1[Amp.],"&lt;&gt;0")),"")</f>
        <v/>
      </c>
      <c r="X1161" s="126" t="str">
        <f>IF(Tab.o1[[#This Row],[a1]]=1,IF(ISNUMBER(Tab.o1[[#This Row],[i.]]),NORMDIST(Tab.o1[[#This Row],[Za]],0,1,FALSE)*Tab.o1[[#This Row],[i.]],AP$3),"")</f>
        <v/>
      </c>
      <c r="Y1161" s="126" t="str">
        <f>IF(Tab.o1[[#This Row],[a1]]=1,0.01+0.94*Tab.o1[[#This Row],[PDF]]/MAX(Tab.o1[PDF]),"")</f>
        <v/>
      </c>
      <c r="Z1161" s="126" t="str">
        <f>IF(Tab.o1[[#This Row],[a1]]=1,0.01+0.94*Tab.o1[[#This Row],[W1_PDF]]/MAX(Tab.o1[W1_PDF]),"")</f>
        <v/>
      </c>
      <c r="AA1161" s="118" t="str">
        <f>IF(Tab.o1[[#This Row],[a1]]=1,ABS([1]!T.in.A[[#This Row],[oo6]]),"")</f>
        <v/>
      </c>
      <c r="AB1161" s="127" t="str">
        <f>IF(Tab.o1[[#This Row],[a1]]=1,IF(AE$3=0,"",IF(AB$3=0,ABS([1]!T.in.A[[#This Row],[oo9]]),ABS(Tab.o1[[#This Row],[DIF_Target.]]*Tab.o1[[#This Row],[W1_PDF]]))),"")</f>
        <v/>
      </c>
      <c r="AC1161" s="127" t="str">
        <f>IF(G$1=1,"",IF(Tab.o1[[#This Row],[a1]]=1,Tab.o1[[#This Row],[Wr]]^2,""))</f>
        <v/>
      </c>
      <c r="AD1161" s="118" t="str">
        <f>IF(Tab.o1[[#This Row],[a1]]=1,IF(AE$3=0,"",Tab.o1[[#This Row],[Wr2]]/SUM(Tab.o1[Wr2])),"")</f>
        <v/>
      </c>
      <c r="AE1161" s="128" t="str">
        <f>IF(Tab.o1[[#This Row],[a1]]=1,[1]!T.in.A[[#This Row],[oo10]],"")</f>
        <v/>
      </c>
      <c r="AF1161" s="118" t="str">
        <f>IF(Tab.o1[[#This Row],[a1]]=1,ABS(Tab.o1[[#This Row],[DIF_Target.]]*Tab.o1[[#This Row],[PDF2]]*Tab.o1[[#This Row],[IN]]),"")</f>
        <v/>
      </c>
      <c r="AG1161" s="129" t="str">
        <f>IF(Tab.o1[[#This Row],[a1]]=1,Tab.o1[[#This Row],[rW]]^2,"")</f>
        <v/>
      </c>
      <c r="AH1161" s="130" t="str">
        <f>IF(Tab.o1[[#This Row],[a1]]=1,IF(AH$3=0,Tab.o1[[#This Row],[rW2]],0.01+0.94*Tab.o1[[#This Row],[rW2]]/SUM(Tab.o1[rW2])),"")</f>
        <v/>
      </c>
      <c r="AI1161" s="128" t="str">
        <f>IF(Tab.o1[[#This Row],[a1]]=1,1/Tab.o1[[#This Row],[PDF]],"")</f>
        <v/>
      </c>
      <c r="AJ1161" s="131" t="str">
        <f>IF(Tab.o1[[#This Row],[a1]]=1,[1]!T_AA[[#This Row],[IN'']]*[1]!T_AA[[#This Row],[Qde'']],"")</f>
        <v/>
      </c>
      <c r="AK1161" s="132" t="str">
        <f>IF(Tab.o1[[#This Row],[a1]]=1,IF(AK$1=1,Tab.o1[[#This Row],[MED]]+Tab.o1[[#This Row],[MOD]]-Tab.o1[[#This Row],[MED]],""),"")</f>
        <v/>
      </c>
      <c r="AL1161" s="133" t="str">
        <f>IF(Tab.o1[[#This Row],[a1]]=1,[1]!T.in.A[[#This Row],[oo16]],"")</f>
        <v/>
      </c>
      <c r="AM1161" s="133" t="str">
        <f>IF(Tab.o1[[#This Row],[a1]]=1,IF(AM$3=1,[1]!T.in.A[[#This Row],[Σo16]],""),"")</f>
        <v/>
      </c>
      <c r="AN1161" s="126" t="str">
        <f>IF(Tab.o1[[#This Row],[a1]]=1,[1]!T.in.A[[#This Row],[Σp5]],"")</f>
        <v/>
      </c>
      <c r="AO1161" s="126" t="str">
        <f>IF(Tab.o1[[#This Row],[a1]]=1,IF(AO$3=1,[1]!T.in.A[[#This Row],[Σp5]],""),"")</f>
        <v/>
      </c>
      <c r="AP1161" s="110" t="str">
        <f>IF(Tab.o1[[#This Row],[a1]]=1,IF(ISNUMBER(Tab.o1[[#This Row],[i.]]),NORMDIST(Tab.o1[[#This Row],[Za]],0,1,FALSE)*Tab.o1[[#This Row],[i.]],0),"")</f>
        <v/>
      </c>
      <c r="AQ1161" s="125" t="str">
        <f>IF(Tab.o1[[#This Row],[a1]]=1,ABS(Tab.o1[[#This Row],[MOD]]-AVERAGE(Tab.o1[MOD])),"")</f>
        <v/>
      </c>
      <c r="AR1161" s="134" t="str">
        <f>IF(Tab.o1[[#This Row],[a1]]=1,Tab.o1[[#This Row],[OBS]]/SUM(Tab.o1[OBS]),"")</f>
        <v/>
      </c>
      <c r="AS1161" s="135" t="str">
        <f>IF(ISNUMBER(Tab.o1[[#This Row],[a1]]),ROW()-4,"")</f>
        <v/>
      </c>
      <c r="AT1161" s="136" t="str">
        <f>Tab.o1[[#This Row],[MOD]]</f>
        <v/>
      </c>
      <c r="AU1161" s="137" t="str">
        <f t="shared" si="73"/>
        <v/>
      </c>
      <c r="AV1161" s="138" t="str">
        <f t="shared" si="74"/>
        <v/>
      </c>
      <c r="AW1161" s="138" t="str">
        <f t="shared" si="75"/>
        <v/>
      </c>
      <c r="AX1161" s="139" t="str">
        <f>[1]!T.in.A[[#This Row],[ID_T_manu]]</f>
        <v/>
      </c>
      <c r="AY1161" s="140" t="str">
        <f>IF(ISNUMBER(Tab.o1[[#This Row],[a1]]),IF(AND(Tab.o1[[#This Row],[a1]]=1,Tab.o1[[#This Row],[b1]]&lt;=AY$4),#REF!,AY1160),"")</f>
        <v/>
      </c>
      <c r="AZ1161" s="25"/>
      <c r="BA1161" s="25"/>
      <c r="BB1161" s="25"/>
      <c r="BC1161" s="25"/>
      <c r="BD1161" s="25"/>
      <c r="BE1161" s="25"/>
      <c r="BF1161" s="25"/>
      <c r="BG1161" s="25"/>
      <c r="BH1161" s="25"/>
      <c r="BI1161" s="25"/>
      <c r="BJ1161" s="25"/>
      <c r="BK1161" s="25"/>
      <c r="BL1161" s="25"/>
      <c r="BM1161" s="25"/>
      <c r="BN1161" s="26"/>
      <c r="BO1161" s="26"/>
      <c r="BP1161" s="26"/>
      <c r="BQ1161" s="26"/>
      <c r="BR1161" s="26"/>
      <c r="BS1161" s="26"/>
      <c r="BT1161" s="26"/>
      <c r="BU1161" s="26"/>
      <c r="BV1161" s="26"/>
      <c r="BW1161" s="26"/>
      <c r="BX1161" s="26"/>
      <c r="BY1161" s="26"/>
      <c r="BZ1161" s="26"/>
      <c r="CA1161" s="26"/>
    </row>
    <row r="1162" spans="1:79" ht="15.75" hidden="1">
      <c r="A1162" s="109">
        <v>-5.9999999999999993E-6</v>
      </c>
      <c r="B1162" s="110">
        <f t="shared" si="72"/>
        <v>1162</v>
      </c>
      <c r="C1162" s="111" t="str">
        <f>IF(C$1=[1]!T.in.A[[#This Row],[oo2]],1,"")</f>
        <v/>
      </c>
      <c r="D1162" s="112" t="str">
        <f>IF(Tab.o1[[#This Row],[a1]]=1,IF(SUM(C1162:C1163)=0,0,IF(SUM(C1161:C1162)=1,1,IF(SUM(C1161:C1163)&gt;1,D1161+1,0))),"")</f>
        <v/>
      </c>
      <c r="E1162" s="113" t="str">
        <f>IF(Tab.o1[[#This Row],[a1]]=1,[1]!T.in.A[[#This Row],[oo1]],"")</f>
        <v/>
      </c>
      <c r="F1162" s="113" t="str">
        <f>IF(Tab.o1[[#This Row],[a1]]=1,[1]!T.in.A[[#This Row],[pp1]],"")</f>
        <v/>
      </c>
      <c r="G1162" s="114" t="str">
        <f>IF(Tab.o1[[#This Row],[a1]]=1,G$2+IF(G$1=1,0,Tab.o1[[#This Row],[.x1]])+[1]!T.in.A[[#This Row],[oo3]],"")</f>
        <v/>
      </c>
      <c r="H1162" s="115" t="str">
        <f>IF(Tab.o1[[#This Row],[a1]]=1,IF(H$2=0,0,IF(G$1=1,0,Tab.o1[[#This Row],[.x1]])+[1]!T.in.A[[#This Row],[oo4]]),"")</f>
        <v/>
      </c>
      <c r="I1162" s="116" t="str">
        <f>IF(Tab.o1[[#This Row],[a1]]=1,IF(J$2=0,Tab.o1[[#This Row],[MED]],Tab.o1[[#This Row],[MOD]]),"")</f>
        <v/>
      </c>
      <c r="J1162" s="116" t="str">
        <f>IF(Tab.o1[[#This Row],[a1]]=1,((Tab.o1[[#This Row],[DIF_Target.]]-AVERAGE(Tab.o1[DIF_Target.]))/_xlfn.STDEV.P(Tab.o1[DIF_Target.])),"")</f>
        <v/>
      </c>
      <c r="K1162" s="117" t="str">
        <f>IF(Tab.o1[[#This Row],[a1]]=1,IF(J$2=0,Tab.o1[[#This Row],[MOD]]-Tab.o1[[#This Row],[B]],IF(J$2=1,0,-Tab.o1[[#This Row],[MED]])+Tab.o1[[#This Row],[B]]),"")</f>
        <v/>
      </c>
      <c r="L1162" s="117" t="str">
        <f ca="1">IF(Tab.o1[[#This Row],[DIF_Target]]=0,IF(L$2=0,Tab.o1[[#This Row],[DIF_Target]],AVERAGE(OFFSET(Tab.o1[[#This Row],[DIF_Target]],1,0,L$3,1)))/3,Tab.o1[[#This Row],[DIF_Target]])</f>
        <v/>
      </c>
      <c r="M1162" s="118" t="str">
        <f>IF(Tab.o1[[#This Row],[a1]]=1,NORMSDIST(Tab.o1[[#This Row],[Za]]),"")</f>
        <v/>
      </c>
      <c r="N1162" s="119" t="str">
        <f>IF(Tab.o1[[#This Row],[a1]]=1,((Tab.o1[[#This Row],[MedMod]]-AVERAGE(Tab.o1[MedMod]))/_xlfn.STDEV.P(Tab.o1[MedMod])*H$1205)+G$1205,"")</f>
        <v/>
      </c>
      <c r="O1162" s="141" t="str">
        <f>IF(Tab.o1[[#This Row],[a1]]=1,Tab.o1[[#This Row],[Zb]]*_xlfn.STDEV.P(Tab.o1[MedMod])+AVERAGE(Tab.o1[MedMod]),"")</f>
        <v/>
      </c>
      <c r="P1162" s="117" t="str">
        <f ca="1">IF(Tab.o1[[#This Row],[B]]=0,AVERAGE(OFFSET(Tab.o1[[#This Row],[B]],1,0,L$3,1)),Tab.o1[[#This Row],[B]])</f>
        <v/>
      </c>
      <c r="Q1162" s="121" t="str">
        <f>IF(Tab.o1[[#This Row],[a1]]=1,NORMSDIST(Tab.o1[[#This Row],[Zb]]),"")</f>
        <v/>
      </c>
      <c r="R1162" s="122" t="str">
        <f>IF(Tab.o1[[#This Row],[a1]]=1,((Tab.o1[[#This Row],[MedMod]]-AVERAGE(Tab.o1[MedMod]))/_xlfn.STDEV.P(Tab.o1[MedMod])*H$1203)+G$1203,"")</f>
        <v/>
      </c>
      <c r="S1162" s="122" t="str">
        <f>IF(Tab.o1[[#This Row],[a1]]=1,((Tab.o1[[#This Row],[MedMod]]-AVERAGE(Tab.o1[MedMod]))/_xlfn.STDEV.P(Tab.o1[MedMod])*H$1204)+G$1204,"")</f>
        <v/>
      </c>
      <c r="T1162" s="123" t="str">
        <f>IF(Tab.o1[[#This Row],[a1]]=1,Tab.o1[[#This Row],[Z-]]*_xlfn.STDEV.P(Tab.o1[B])+AVERAGE(Tab.o1[B]),"")</f>
        <v/>
      </c>
      <c r="U1162" s="123" t="str">
        <f>IF(Tab.o1[[#This Row],[a1]]=1,Tab.o1[[#This Row],[z+]]*_xlfn.STDEV.P(Tab.o1[B])+AVERAGE(Tab.o1[B]),"")</f>
        <v/>
      </c>
      <c r="V1162" s="124" t="str">
        <f>IF(Tab.o1[[#This Row],[a1]]=1,ABS((ABS(Tab.o1[[#This Row],[Red]]-Tab.o1[[#This Row],[Blue]]))),"")</f>
        <v/>
      </c>
      <c r="W1162" s="125" t="str">
        <f>IF(Tab.o1[[#This Row],[a1]]=1,IF(W$3=0,1,Tab.o1[[#This Row],[Amp.]]*1/_xlfn.MINIFS(Tab.o1[Amp.],Tab.o1[Amp.],"&lt;&gt;0")),"")</f>
        <v/>
      </c>
      <c r="X1162" s="126" t="str">
        <f>IF(Tab.o1[[#This Row],[a1]]=1,IF(ISNUMBER(Tab.o1[[#This Row],[i.]]),NORMDIST(Tab.o1[[#This Row],[Za]],0,1,FALSE)*Tab.o1[[#This Row],[i.]],AP$3),"")</f>
        <v/>
      </c>
      <c r="Y1162" s="126" t="str">
        <f>IF(Tab.o1[[#This Row],[a1]]=1,0.01+0.94*Tab.o1[[#This Row],[PDF]]/MAX(Tab.o1[PDF]),"")</f>
        <v/>
      </c>
      <c r="Z1162" s="126" t="str">
        <f>IF(Tab.o1[[#This Row],[a1]]=1,0.01+0.94*Tab.o1[[#This Row],[W1_PDF]]/MAX(Tab.o1[W1_PDF]),"")</f>
        <v/>
      </c>
      <c r="AA1162" s="118" t="str">
        <f>IF(Tab.o1[[#This Row],[a1]]=1,ABS([1]!T.in.A[[#This Row],[oo6]]),"")</f>
        <v/>
      </c>
      <c r="AB1162" s="127" t="str">
        <f>IF(Tab.o1[[#This Row],[a1]]=1,IF(AE$3=0,"",IF(AB$3=0,ABS([1]!T.in.A[[#This Row],[oo9]]),ABS(Tab.o1[[#This Row],[DIF_Target.]]*Tab.o1[[#This Row],[W1_PDF]]))),"")</f>
        <v/>
      </c>
      <c r="AC1162" s="127" t="str">
        <f>IF(G$1=1,"",IF(Tab.o1[[#This Row],[a1]]=1,Tab.o1[[#This Row],[Wr]]^2,""))</f>
        <v/>
      </c>
      <c r="AD1162" s="118" t="str">
        <f>IF(Tab.o1[[#This Row],[a1]]=1,IF(AE$3=0,"",Tab.o1[[#This Row],[Wr2]]/SUM(Tab.o1[Wr2])),"")</f>
        <v/>
      </c>
      <c r="AE1162" s="128" t="str">
        <f>IF(Tab.o1[[#This Row],[a1]]=1,[1]!T.in.A[[#This Row],[oo10]],"")</f>
        <v/>
      </c>
      <c r="AF1162" s="118" t="str">
        <f>IF(Tab.o1[[#This Row],[a1]]=1,ABS(Tab.o1[[#This Row],[DIF_Target.]]*Tab.o1[[#This Row],[PDF2]]*Tab.o1[[#This Row],[IN]]),"")</f>
        <v/>
      </c>
      <c r="AG1162" s="129" t="str">
        <f>IF(Tab.o1[[#This Row],[a1]]=1,Tab.o1[[#This Row],[rW]]^2,"")</f>
        <v/>
      </c>
      <c r="AH1162" s="130" t="str">
        <f>IF(Tab.o1[[#This Row],[a1]]=1,IF(AH$3=0,Tab.o1[[#This Row],[rW2]],0.01+0.94*Tab.o1[[#This Row],[rW2]]/SUM(Tab.o1[rW2])),"")</f>
        <v/>
      </c>
      <c r="AI1162" s="128" t="str">
        <f>IF(Tab.o1[[#This Row],[a1]]=1,1/Tab.o1[[#This Row],[PDF]],"")</f>
        <v/>
      </c>
      <c r="AJ1162" s="131" t="str">
        <f>IF(Tab.o1[[#This Row],[a1]]=1,[1]!T_AA[[#This Row],[IN'']]*[1]!T_AA[[#This Row],[Qde'']],"")</f>
        <v/>
      </c>
      <c r="AK1162" s="132" t="str">
        <f>IF(Tab.o1[[#This Row],[a1]]=1,IF(AK$1=1,Tab.o1[[#This Row],[MED]]+Tab.o1[[#This Row],[MOD]]-Tab.o1[[#This Row],[MED]],""),"")</f>
        <v/>
      </c>
      <c r="AL1162" s="133" t="str">
        <f>IF(Tab.o1[[#This Row],[a1]]=1,[1]!T.in.A[[#This Row],[oo16]],"")</f>
        <v/>
      </c>
      <c r="AM1162" s="133" t="str">
        <f>IF(Tab.o1[[#This Row],[a1]]=1,IF(AM$3=1,[1]!T.in.A[[#This Row],[Σo16]],""),"")</f>
        <v/>
      </c>
      <c r="AN1162" s="126" t="str">
        <f>IF(Tab.o1[[#This Row],[a1]]=1,[1]!T.in.A[[#This Row],[Σp5]],"")</f>
        <v/>
      </c>
      <c r="AO1162" s="126" t="str">
        <f>IF(Tab.o1[[#This Row],[a1]]=1,IF(AO$3=1,[1]!T.in.A[[#This Row],[Σp5]],""),"")</f>
        <v/>
      </c>
      <c r="AP1162" s="110" t="str">
        <f>IF(Tab.o1[[#This Row],[a1]]=1,IF(ISNUMBER(Tab.o1[[#This Row],[i.]]),NORMDIST(Tab.o1[[#This Row],[Za]],0,1,FALSE)*Tab.o1[[#This Row],[i.]],0),"")</f>
        <v/>
      </c>
      <c r="AQ1162" s="125" t="str">
        <f>IF(Tab.o1[[#This Row],[a1]]=1,ABS(Tab.o1[[#This Row],[MOD]]-AVERAGE(Tab.o1[MOD])),"")</f>
        <v/>
      </c>
      <c r="AR1162" s="134" t="str">
        <f>IF(Tab.o1[[#This Row],[a1]]=1,Tab.o1[[#This Row],[OBS]]/SUM(Tab.o1[OBS]),"")</f>
        <v/>
      </c>
      <c r="AS1162" s="135" t="str">
        <f>IF(ISNUMBER(Tab.o1[[#This Row],[a1]]),ROW()-4,"")</f>
        <v/>
      </c>
      <c r="AT1162" s="136" t="str">
        <f>Tab.o1[[#This Row],[MOD]]</f>
        <v/>
      </c>
      <c r="AU1162" s="137" t="str">
        <f t="shared" si="73"/>
        <v/>
      </c>
      <c r="AV1162" s="138" t="str">
        <f t="shared" si="74"/>
        <v/>
      </c>
      <c r="AW1162" s="138" t="str">
        <f t="shared" si="75"/>
        <v/>
      </c>
      <c r="AX1162" s="139" t="str">
        <f>[1]!T.in.A[[#This Row],[ID_T_manu]]</f>
        <v/>
      </c>
      <c r="AY1162" s="140" t="str">
        <f>IF(ISNUMBER(Tab.o1[[#This Row],[a1]]),IF(AND(Tab.o1[[#This Row],[a1]]=1,Tab.o1[[#This Row],[b1]]&lt;=AY$4),#REF!,AY1161),"")</f>
        <v/>
      </c>
      <c r="AZ1162" s="25"/>
      <c r="BA1162" s="25"/>
      <c r="BB1162" s="25"/>
      <c r="BC1162" s="25"/>
      <c r="BD1162" s="25"/>
      <c r="BE1162" s="25"/>
      <c r="BF1162" s="25"/>
      <c r="BG1162" s="25"/>
      <c r="BH1162" s="25"/>
      <c r="BI1162" s="25"/>
      <c r="BJ1162" s="25"/>
      <c r="BK1162" s="25"/>
      <c r="BL1162" s="25"/>
      <c r="BM1162" s="25"/>
      <c r="BN1162" s="26"/>
      <c r="BO1162" s="26"/>
      <c r="BP1162" s="26"/>
      <c r="BQ1162" s="26"/>
      <c r="BR1162" s="26"/>
      <c r="BS1162" s="26"/>
      <c r="BT1162" s="26"/>
      <c r="BU1162" s="26"/>
      <c r="BV1162" s="26"/>
      <c r="BW1162" s="26"/>
      <c r="BX1162" s="26"/>
      <c r="BY1162" s="26"/>
      <c r="BZ1162" s="26"/>
      <c r="CA1162" s="26"/>
    </row>
    <row r="1163" spans="1:79" ht="15.75" hidden="1">
      <c r="A1163" s="109">
        <v>-8.0000000000000013E-6</v>
      </c>
      <c r="B1163" s="110">
        <f t="shared" si="72"/>
        <v>1163</v>
      </c>
      <c r="C1163" s="111" t="str">
        <f>IF(C$1=[1]!T.in.A[[#This Row],[oo2]],1,"")</f>
        <v/>
      </c>
      <c r="D1163" s="112" t="str">
        <f>IF(Tab.o1[[#This Row],[a1]]=1,IF(SUM(C1163:C1164)=0,0,IF(SUM(C1162:C1163)=1,1,IF(SUM(C1162:C1164)&gt;1,D1162+1,0))),"")</f>
        <v/>
      </c>
      <c r="E1163" s="113" t="str">
        <f>IF(Tab.o1[[#This Row],[a1]]=1,[1]!T.in.A[[#This Row],[oo1]],"")</f>
        <v/>
      </c>
      <c r="F1163" s="113" t="str">
        <f>IF(Tab.o1[[#This Row],[a1]]=1,[1]!T.in.A[[#This Row],[pp1]],"")</f>
        <v/>
      </c>
      <c r="G1163" s="114" t="str">
        <f>IF(Tab.o1[[#This Row],[a1]]=1,G$2+IF(G$1=1,0,Tab.o1[[#This Row],[.x1]])+[1]!T.in.A[[#This Row],[oo3]],"")</f>
        <v/>
      </c>
      <c r="H1163" s="115" t="str">
        <f>IF(Tab.o1[[#This Row],[a1]]=1,IF(H$2=0,0,IF(G$1=1,0,Tab.o1[[#This Row],[.x1]])+[1]!T.in.A[[#This Row],[oo4]]),"")</f>
        <v/>
      </c>
      <c r="I1163" s="116" t="str">
        <f>IF(Tab.o1[[#This Row],[a1]]=1,IF(J$2=0,Tab.o1[[#This Row],[MED]],Tab.o1[[#This Row],[MOD]]),"")</f>
        <v/>
      </c>
      <c r="J1163" s="116" t="str">
        <f>IF(Tab.o1[[#This Row],[a1]]=1,((Tab.o1[[#This Row],[DIF_Target.]]-AVERAGE(Tab.o1[DIF_Target.]))/_xlfn.STDEV.P(Tab.o1[DIF_Target.])),"")</f>
        <v/>
      </c>
      <c r="K1163" s="117" t="str">
        <f>IF(Tab.o1[[#This Row],[a1]]=1,IF(J$2=0,Tab.o1[[#This Row],[MOD]]-Tab.o1[[#This Row],[B]],IF(J$2=1,0,-Tab.o1[[#This Row],[MED]])+Tab.o1[[#This Row],[B]]),"")</f>
        <v/>
      </c>
      <c r="L1163" s="117" t="str">
        <f ca="1">IF(Tab.o1[[#This Row],[DIF_Target]]=0,IF(L$2=0,Tab.o1[[#This Row],[DIF_Target]],AVERAGE(OFFSET(Tab.o1[[#This Row],[DIF_Target]],1,0,L$3,1)))/3,Tab.o1[[#This Row],[DIF_Target]])</f>
        <v/>
      </c>
      <c r="M1163" s="118" t="str">
        <f>IF(Tab.o1[[#This Row],[a1]]=1,NORMSDIST(Tab.o1[[#This Row],[Za]]),"")</f>
        <v/>
      </c>
      <c r="N1163" s="119" t="str">
        <f>IF(Tab.o1[[#This Row],[a1]]=1,((Tab.o1[[#This Row],[MedMod]]-AVERAGE(Tab.o1[MedMod]))/_xlfn.STDEV.P(Tab.o1[MedMod])*H$1205)+G$1205,"")</f>
        <v/>
      </c>
      <c r="O1163" s="141" t="str">
        <f>IF(Tab.o1[[#This Row],[a1]]=1,Tab.o1[[#This Row],[Zb]]*_xlfn.STDEV.P(Tab.o1[MedMod])+AVERAGE(Tab.o1[MedMod]),"")</f>
        <v/>
      </c>
      <c r="P1163" s="117" t="str">
        <f ca="1">IF(Tab.o1[[#This Row],[B]]=0,AVERAGE(OFFSET(Tab.o1[[#This Row],[B]],1,0,L$3,1)),Tab.o1[[#This Row],[B]])</f>
        <v/>
      </c>
      <c r="Q1163" s="121" t="str">
        <f>IF(Tab.o1[[#This Row],[a1]]=1,NORMSDIST(Tab.o1[[#This Row],[Zb]]),"")</f>
        <v/>
      </c>
      <c r="R1163" s="122" t="str">
        <f>IF(Tab.o1[[#This Row],[a1]]=1,((Tab.o1[[#This Row],[MedMod]]-AVERAGE(Tab.o1[MedMod]))/_xlfn.STDEV.P(Tab.o1[MedMod])*H$1203)+G$1203,"")</f>
        <v/>
      </c>
      <c r="S1163" s="122" t="str">
        <f>IF(Tab.o1[[#This Row],[a1]]=1,((Tab.o1[[#This Row],[MedMod]]-AVERAGE(Tab.o1[MedMod]))/_xlfn.STDEV.P(Tab.o1[MedMod])*H$1204)+G$1204,"")</f>
        <v/>
      </c>
      <c r="T1163" s="123" t="str">
        <f>IF(Tab.o1[[#This Row],[a1]]=1,Tab.o1[[#This Row],[Z-]]*_xlfn.STDEV.P(Tab.o1[B])+AVERAGE(Tab.o1[B]),"")</f>
        <v/>
      </c>
      <c r="U1163" s="123" t="str">
        <f>IF(Tab.o1[[#This Row],[a1]]=1,Tab.o1[[#This Row],[z+]]*_xlfn.STDEV.P(Tab.o1[B])+AVERAGE(Tab.o1[B]),"")</f>
        <v/>
      </c>
      <c r="V1163" s="124" t="str">
        <f>IF(Tab.o1[[#This Row],[a1]]=1,ABS((ABS(Tab.o1[[#This Row],[Red]]-Tab.o1[[#This Row],[Blue]]))),"")</f>
        <v/>
      </c>
      <c r="W1163" s="125" t="str">
        <f>IF(Tab.o1[[#This Row],[a1]]=1,IF(W$3=0,1,Tab.o1[[#This Row],[Amp.]]*1/_xlfn.MINIFS(Tab.o1[Amp.],Tab.o1[Amp.],"&lt;&gt;0")),"")</f>
        <v/>
      </c>
      <c r="X1163" s="126" t="str">
        <f>IF(Tab.o1[[#This Row],[a1]]=1,IF(ISNUMBER(Tab.o1[[#This Row],[i.]]),NORMDIST(Tab.o1[[#This Row],[Za]],0,1,FALSE)*Tab.o1[[#This Row],[i.]],AP$3),"")</f>
        <v/>
      </c>
      <c r="Y1163" s="126" t="str">
        <f>IF(Tab.o1[[#This Row],[a1]]=1,0.01+0.94*Tab.o1[[#This Row],[PDF]]/MAX(Tab.o1[PDF]),"")</f>
        <v/>
      </c>
      <c r="Z1163" s="126" t="str">
        <f>IF(Tab.o1[[#This Row],[a1]]=1,0.01+0.94*Tab.o1[[#This Row],[W1_PDF]]/MAX(Tab.o1[W1_PDF]),"")</f>
        <v/>
      </c>
      <c r="AA1163" s="118" t="str">
        <f>IF(Tab.o1[[#This Row],[a1]]=1,ABS([1]!T.in.A[[#This Row],[oo6]]),"")</f>
        <v/>
      </c>
      <c r="AB1163" s="127" t="str">
        <f>IF(Tab.o1[[#This Row],[a1]]=1,IF(AE$3=0,"",IF(AB$3=0,ABS([1]!T.in.A[[#This Row],[oo9]]),ABS(Tab.o1[[#This Row],[DIF_Target.]]*Tab.o1[[#This Row],[W1_PDF]]))),"")</f>
        <v/>
      </c>
      <c r="AC1163" s="127" t="str">
        <f>IF(G$1=1,"",IF(Tab.o1[[#This Row],[a1]]=1,Tab.o1[[#This Row],[Wr]]^2,""))</f>
        <v/>
      </c>
      <c r="AD1163" s="118" t="str">
        <f>IF(Tab.o1[[#This Row],[a1]]=1,IF(AE$3=0,"",Tab.o1[[#This Row],[Wr2]]/SUM(Tab.o1[Wr2])),"")</f>
        <v/>
      </c>
      <c r="AE1163" s="128" t="str">
        <f>IF(Tab.o1[[#This Row],[a1]]=1,[1]!T.in.A[[#This Row],[oo10]],"")</f>
        <v/>
      </c>
      <c r="AF1163" s="118" t="str">
        <f>IF(Tab.o1[[#This Row],[a1]]=1,ABS(Tab.o1[[#This Row],[DIF_Target.]]*Tab.o1[[#This Row],[PDF2]]*Tab.o1[[#This Row],[IN]]),"")</f>
        <v/>
      </c>
      <c r="AG1163" s="129" t="str">
        <f>IF(Tab.o1[[#This Row],[a1]]=1,Tab.o1[[#This Row],[rW]]^2,"")</f>
        <v/>
      </c>
      <c r="AH1163" s="130" t="str">
        <f>IF(Tab.o1[[#This Row],[a1]]=1,IF(AH$3=0,Tab.o1[[#This Row],[rW2]],0.01+0.94*Tab.o1[[#This Row],[rW2]]/SUM(Tab.o1[rW2])),"")</f>
        <v/>
      </c>
      <c r="AI1163" s="128" t="str">
        <f>IF(Tab.o1[[#This Row],[a1]]=1,1/Tab.o1[[#This Row],[PDF]],"")</f>
        <v/>
      </c>
      <c r="AJ1163" s="131" t="str">
        <f>IF(Tab.o1[[#This Row],[a1]]=1,[1]!T_AA[[#This Row],[IN'']]*[1]!T_AA[[#This Row],[Qde'']],"")</f>
        <v/>
      </c>
      <c r="AK1163" s="132" t="str">
        <f>IF(Tab.o1[[#This Row],[a1]]=1,IF(AK$1=1,Tab.o1[[#This Row],[MED]]+Tab.o1[[#This Row],[MOD]]-Tab.o1[[#This Row],[MED]],""),"")</f>
        <v/>
      </c>
      <c r="AL1163" s="133" t="str">
        <f>IF(Tab.o1[[#This Row],[a1]]=1,[1]!T.in.A[[#This Row],[oo16]],"")</f>
        <v/>
      </c>
      <c r="AM1163" s="133" t="str">
        <f>IF(Tab.o1[[#This Row],[a1]]=1,IF(AM$3=1,[1]!T.in.A[[#This Row],[Σo16]],""),"")</f>
        <v/>
      </c>
      <c r="AN1163" s="126" t="str">
        <f>IF(Tab.o1[[#This Row],[a1]]=1,[1]!T.in.A[[#This Row],[Σp5]],"")</f>
        <v/>
      </c>
      <c r="AO1163" s="126" t="str">
        <f>IF(Tab.o1[[#This Row],[a1]]=1,IF(AO$3=1,[1]!T.in.A[[#This Row],[Σp5]],""),"")</f>
        <v/>
      </c>
      <c r="AP1163" s="110" t="str">
        <f>IF(Tab.o1[[#This Row],[a1]]=1,IF(ISNUMBER(Tab.o1[[#This Row],[i.]]),NORMDIST(Tab.o1[[#This Row],[Za]],0,1,FALSE)*Tab.o1[[#This Row],[i.]],0),"")</f>
        <v/>
      </c>
      <c r="AQ1163" s="125" t="str">
        <f>IF(Tab.o1[[#This Row],[a1]]=1,ABS(Tab.o1[[#This Row],[MOD]]-AVERAGE(Tab.o1[MOD])),"")</f>
        <v/>
      </c>
      <c r="AR1163" s="134" t="str">
        <f>IF(Tab.o1[[#This Row],[a1]]=1,Tab.o1[[#This Row],[OBS]]/SUM(Tab.o1[OBS]),"")</f>
        <v/>
      </c>
      <c r="AS1163" s="135" t="str">
        <f>IF(ISNUMBER(Tab.o1[[#This Row],[a1]]),ROW()-4,"")</f>
        <v/>
      </c>
      <c r="AT1163" s="136" t="str">
        <f>Tab.o1[[#This Row],[MOD]]</f>
        <v/>
      </c>
      <c r="AU1163" s="137" t="str">
        <f t="shared" si="73"/>
        <v/>
      </c>
      <c r="AV1163" s="138" t="str">
        <f t="shared" si="74"/>
        <v/>
      </c>
      <c r="AW1163" s="138" t="str">
        <f t="shared" si="75"/>
        <v/>
      </c>
      <c r="AX1163" s="139" t="str">
        <f>[1]!T.in.A[[#This Row],[ID_T_manu]]</f>
        <v/>
      </c>
      <c r="AY1163" s="140" t="str">
        <f>IF(ISNUMBER(Tab.o1[[#This Row],[a1]]),IF(AND(Tab.o1[[#This Row],[a1]]=1,Tab.o1[[#This Row],[b1]]&lt;=AY$4),#REF!,AY1162),"")</f>
        <v/>
      </c>
      <c r="AZ1163" s="25"/>
      <c r="BA1163" s="25"/>
      <c r="BB1163" s="25"/>
      <c r="BC1163" s="25"/>
      <c r="BD1163" s="25"/>
      <c r="BE1163" s="25"/>
      <c r="BF1163" s="25"/>
      <c r="BG1163" s="25"/>
      <c r="BH1163" s="25"/>
      <c r="BI1163" s="25"/>
      <c r="BJ1163" s="25"/>
      <c r="BK1163" s="25"/>
      <c r="BL1163" s="25"/>
      <c r="BM1163" s="25"/>
      <c r="BN1163" s="26"/>
      <c r="BO1163" s="26"/>
      <c r="BP1163" s="26"/>
      <c r="BQ1163" s="26"/>
      <c r="BR1163" s="26"/>
      <c r="BS1163" s="26"/>
      <c r="BT1163" s="26"/>
      <c r="BU1163" s="26"/>
      <c r="BV1163" s="26"/>
      <c r="BW1163" s="26"/>
      <c r="BX1163" s="26"/>
      <c r="BY1163" s="26"/>
      <c r="BZ1163" s="26"/>
      <c r="CA1163" s="26"/>
    </row>
    <row r="1164" spans="1:79" ht="15.75" hidden="1">
      <c r="A1164" s="109">
        <v>4.0000000000000007E-6</v>
      </c>
      <c r="B1164" s="110">
        <f t="shared" si="72"/>
        <v>1164</v>
      </c>
      <c r="C1164" s="111" t="str">
        <f>IF(C$1=[1]!T.in.A[[#This Row],[oo2]],1,"")</f>
        <v/>
      </c>
      <c r="D1164" s="112" t="str">
        <f>IF(Tab.o1[[#This Row],[a1]]=1,IF(SUM(C1164:C1165)=0,0,IF(SUM(C1163:C1164)=1,1,IF(SUM(C1163:C1165)&gt;1,D1163+1,0))),"")</f>
        <v/>
      </c>
      <c r="E1164" s="113" t="str">
        <f>IF(Tab.o1[[#This Row],[a1]]=1,[1]!T.in.A[[#This Row],[oo1]],"")</f>
        <v/>
      </c>
      <c r="F1164" s="113" t="str">
        <f>IF(Tab.o1[[#This Row],[a1]]=1,[1]!T.in.A[[#This Row],[pp1]],"")</f>
        <v/>
      </c>
      <c r="G1164" s="114" t="str">
        <f>IF(Tab.o1[[#This Row],[a1]]=1,G$2+IF(G$1=1,0,Tab.o1[[#This Row],[.x1]])+[1]!T.in.A[[#This Row],[oo3]],"")</f>
        <v/>
      </c>
      <c r="H1164" s="115" t="str">
        <f>IF(Tab.o1[[#This Row],[a1]]=1,IF(H$2=0,0,IF(G$1=1,0,Tab.o1[[#This Row],[.x1]])+[1]!T.in.A[[#This Row],[oo4]]),"")</f>
        <v/>
      </c>
      <c r="I1164" s="116" t="str">
        <f>IF(Tab.o1[[#This Row],[a1]]=1,IF(J$2=0,Tab.o1[[#This Row],[MED]],Tab.o1[[#This Row],[MOD]]),"")</f>
        <v/>
      </c>
      <c r="J1164" s="116" t="str">
        <f>IF(Tab.o1[[#This Row],[a1]]=1,((Tab.o1[[#This Row],[DIF_Target.]]-AVERAGE(Tab.o1[DIF_Target.]))/_xlfn.STDEV.P(Tab.o1[DIF_Target.])),"")</f>
        <v/>
      </c>
      <c r="K1164" s="117" t="str">
        <f>IF(Tab.o1[[#This Row],[a1]]=1,IF(J$2=0,Tab.o1[[#This Row],[MOD]]-Tab.o1[[#This Row],[B]],IF(J$2=1,0,-Tab.o1[[#This Row],[MED]])+Tab.o1[[#This Row],[B]]),"")</f>
        <v/>
      </c>
      <c r="L1164" s="117" t="str">
        <f ca="1">IF(Tab.o1[[#This Row],[DIF_Target]]=0,IF(L$2=0,Tab.o1[[#This Row],[DIF_Target]],AVERAGE(OFFSET(Tab.o1[[#This Row],[DIF_Target]],1,0,L$3,1)))/3,Tab.o1[[#This Row],[DIF_Target]])</f>
        <v/>
      </c>
      <c r="M1164" s="118" t="str">
        <f>IF(Tab.o1[[#This Row],[a1]]=1,NORMSDIST(Tab.o1[[#This Row],[Za]]),"")</f>
        <v/>
      </c>
      <c r="N1164" s="119" t="str">
        <f>IF(Tab.o1[[#This Row],[a1]]=1,((Tab.o1[[#This Row],[MedMod]]-AVERAGE(Tab.o1[MedMod]))/_xlfn.STDEV.P(Tab.o1[MedMod])*H$1205)+G$1205,"")</f>
        <v/>
      </c>
      <c r="O1164" s="141" t="str">
        <f>IF(Tab.o1[[#This Row],[a1]]=1,Tab.o1[[#This Row],[Zb]]*_xlfn.STDEV.P(Tab.o1[MedMod])+AVERAGE(Tab.o1[MedMod]),"")</f>
        <v/>
      </c>
      <c r="P1164" s="117" t="str">
        <f ca="1">IF(Tab.o1[[#This Row],[B]]=0,AVERAGE(OFFSET(Tab.o1[[#This Row],[B]],1,0,L$3,1)),Tab.o1[[#This Row],[B]])</f>
        <v/>
      </c>
      <c r="Q1164" s="121" t="str">
        <f>IF(Tab.o1[[#This Row],[a1]]=1,NORMSDIST(Tab.o1[[#This Row],[Zb]]),"")</f>
        <v/>
      </c>
      <c r="R1164" s="122" t="str">
        <f>IF(Tab.o1[[#This Row],[a1]]=1,((Tab.o1[[#This Row],[MedMod]]-AVERAGE(Tab.o1[MedMod]))/_xlfn.STDEV.P(Tab.o1[MedMod])*H$1203)+G$1203,"")</f>
        <v/>
      </c>
      <c r="S1164" s="122" t="str">
        <f>IF(Tab.o1[[#This Row],[a1]]=1,((Tab.o1[[#This Row],[MedMod]]-AVERAGE(Tab.o1[MedMod]))/_xlfn.STDEV.P(Tab.o1[MedMod])*H$1204)+G$1204,"")</f>
        <v/>
      </c>
      <c r="T1164" s="123" t="str">
        <f>IF(Tab.o1[[#This Row],[a1]]=1,Tab.o1[[#This Row],[Z-]]*_xlfn.STDEV.P(Tab.o1[B])+AVERAGE(Tab.o1[B]),"")</f>
        <v/>
      </c>
      <c r="U1164" s="123" t="str">
        <f>IF(Tab.o1[[#This Row],[a1]]=1,Tab.o1[[#This Row],[z+]]*_xlfn.STDEV.P(Tab.o1[B])+AVERAGE(Tab.o1[B]),"")</f>
        <v/>
      </c>
      <c r="V1164" s="124" t="str">
        <f>IF(Tab.o1[[#This Row],[a1]]=1,ABS((ABS(Tab.o1[[#This Row],[Red]]-Tab.o1[[#This Row],[Blue]]))),"")</f>
        <v/>
      </c>
      <c r="W1164" s="125" t="str">
        <f>IF(Tab.o1[[#This Row],[a1]]=1,IF(W$3=0,1,Tab.o1[[#This Row],[Amp.]]*1/_xlfn.MINIFS(Tab.o1[Amp.],Tab.o1[Amp.],"&lt;&gt;0")),"")</f>
        <v/>
      </c>
      <c r="X1164" s="126" t="str">
        <f>IF(Tab.o1[[#This Row],[a1]]=1,IF(ISNUMBER(Tab.o1[[#This Row],[i.]]),NORMDIST(Tab.o1[[#This Row],[Za]],0,1,FALSE)*Tab.o1[[#This Row],[i.]],AP$3),"")</f>
        <v/>
      </c>
      <c r="Y1164" s="126" t="str">
        <f>IF(Tab.o1[[#This Row],[a1]]=1,0.01+0.94*Tab.o1[[#This Row],[PDF]]/MAX(Tab.o1[PDF]),"")</f>
        <v/>
      </c>
      <c r="Z1164" s="126" t="str">
        <f>IF(Tab.o1[[#This Row],[a1]]=1,0.01+0.94*Tab.o1[[#This Row],[W1_PDF]]/MAX(Tab.o1[W1_PDF]),"")</f>
        <v/>
      </c>
      <c r="AA1164" s="118" t="str">
        <f>IF(Tab.o1[[#This Row],[a1]]=1,ABS([1]!T.in.A[[#This Row],[oo6]]),"")</f>
        <v/>
      </c>
      <c r="AB1164" s="127" t="str">
        <f>IF(Tab.o1[[#This Row],[a1]]=1,IF(AE$3=0,"",IF(AB$3=0,ABS([1]!T.in.A[[#This Row],[oo9]]),ABS(Tab.o1[[#This Row],[DIF_Target.]]*Tab.o1[[#This Row],[W1_PDF]]))),"")</f>
        <v/>
      </c>
      <c r="AC1164" s="127" t="str">
        <f>IF(G$1=1,"",IF(Tab.o1[[#This Row],[a1]]=1,Tab.o1[[#This Row],[Wr]]^2,""))</f>
        <v/>
      </c>
      <c r="AD1164" s="118" t="str">
        <f>IF(Tab.o1[[#This Row],[a1]]=1,IF(AE$3=0,"",Tab.o1[[#This Row],[Wr2]]/SUM(Tab.o1[Wr2])),"")</f>
        <v/>
      </c>
      <c r="AE1164" s="128" t="str">
        <f>IF(Tab.o1[[#This Row],[a1]]=1,[1]!T.in.A[[#This Row],[oo10]],"")</f>
        <v/>
      </c>
      <c r="AF1164" s="118" t="str">
        <f>IF(Tab.o1[[#This Row],[a1]]=1,ABS(Tab.o1[[#This Row],[DIF_Target.]]*Tab.o1[[#This Row],[PDF2]]*Tab.o1[[#This Row],[IN]]),"")</f>
        <v/>
      </c>
      <c r="AG1164" s="129" t="str">
        <f>IF(Tab.o1[[#This Row],[a1]]=1,Tab.o1[[#This Row],[rW]]^2,"")</f>
        <v/>
      </c>
      <c r="AH1164" s="130" t="str">
        <f>IF(Tab.o1[[#This Row],[a1]]=1,IF(AH$3=0,Tab.o1[[#This Row],[rW2]],0.01+0.94*Tab.o1[[#This Row],[rW2]]/SUM(Tab.o1[rW2])),"")</f>
        <v/>
      </c>
      <c r="AI1164" s="128" t="str">
        <f>IF(Tab.o1[[#This Row],[a1]]=1,1/Tab.o1[[#This Row],[PDF]],"")</f>
        <v/>
      </c>
      <c r="AJ1164" s="131" t="str">
        <f>IF(Tab.o1[[#This Row],[a1]]=1,[1]!T_AA[[#This Row],[IN'']]*[1]!T_AA[[#This Row],[Qde'']],"")</f>
        <v/>
      </c>
      <c r="AK1164" s="132" t="str">
        <f>IF(Tab.o1[[#This Row],[a1]]=1,IF(AK$1=1,Tab.o1[[#This Row],[MED]]+Tab.o1[[#This Row],[MOD]]-Tab.o1[[#This Row],[MED]],""),"")</f>
        <v/>
      </c>
      <c r="AL1164" s="133" t="str">
        <f>IF(Tab.o1[[#This Row],[a1]]=1,[1]!T.in.A[[#This Row],[oo16]],"")</f>
        <v/>
      </c>
      <c r="AM1164" s="133" t="str">
        <f>IF(Tab.o1[[#This Row],[a1]]=1,IF(AM$3=1,[1]!T.in.A[[#This Row],[Σo16]],""),"")</f>
        <v/>
      </c>
      <c r="AN1164" s="126" t="str">
        <f>IF(Tab.o1[[#This Row],[a1]]=1,[1]!T.in.A[[#This Row],[Σp5]],"")</f>
        <v/>
      </c>
      <c r="AO1164" s="126" t="str">
        <f>IF(Tab.o1[[#This Row],[a1]]=1,IF(AO$3=1,[1]!T.in.A[[#This Row],[Σp5]],""),"")</f>
        <v/>
      </c>
      <c r="AP1164" s="110" t="str">
        <f>IF(Tab.o1[[#This Row],[a1]]=1,IF(ISNUMBER(Tab.o1[[#This Row],[i.]]),NORMDIST(Tab.o1[[#This Row],[Za]],0,1,FALSE)*Tab.o1[[#This Row],[i.]],0),"")</f>
        <v/>
      </c>
      <c r="AQ1164" s="125" t="str">
        <f>IF(Tab.o1[[#This Row],[a1]]=1,ABS(Tab.o1[[#This Row],[MOD]]-AVERAGE(Tab.o1[MOD])),"")</f>
        <v/>
      </c>
      <c r="AR1164" s="134" t="str">
        <f>IF(Tab.o1[[#This Row],[a1]]=1,Tab.o1[[#This Row],[OBS]]/SUM(Tab.o1[OBS]),"")</f>
        <v/>
      </c>
      <c r="AS1164" s="135" t="str">
        <f>IF(ISNUMBER(Tab.o1[[#This Row],[a1]]),ROW()-4,"")</f>
        <v/>
      </c>
      <c r="AT1164" s="136" t="str">
        <f>Tab.o1[[#This Row],[MOD]]</f>
        <v/>
      </c>
      <c r="AU1164" s="137" t="str">
        <f t="shared" si="73"/>
        <v/>
      </c>
      <c r="AV1164" s="138" t="str">
        <f t="shared" si="74"/>
        <v/>
      </c>
      <c r="AW1164" s="138" t="str">
        <f t="shared" si="75"/>
        <v/>
      </c>
      <c r="AX1164" s="139" t="str">
        <f>[1]!T.in.A[[#This Row],[ID_T_manu]]</f>
        <v/>
      </c>
      <c r="AY1164" s="140" t="str">
        <f>IF(ISNUMBER(Tab.o1[[#This Row],[a1]]),IF(AND(Tab.o1[[#This Row],[a1]]=1,Tab.o1[[#This Row],[b1]]&lt;=AY$4),#REF!,AY1163),"")</f>
        <v/>
      </c>
      <c r="AZ1164" s="25"/>
      <c r="BA1164" s="25"/>
      <c r="BB1164" s="25"/>
      <c r="BC1164" s="25"/>
      <c r="BD1164" s="25"/>
      <c r="BE1164" s="25"/>
      <c r="BF1164" s="25"/>
      <c r="BG1164" s="25"/>
      <c r="BH1164" s="25"/>
      <c r="BI1164" s="25"/>
      <c r="BJ1164" s="25"/>
      <c r="BK1164" s="25"/>
      <c r="BL1164" s="25"/>
      <c r="BM1164" s="25"/>
      <c r="BN1164" s="26"/>
      <c r="BO1164" s="26"/>
      <c r="BP1164" s="26"/>
      <c r="BQ1164" s="26"/>
      <c r="BR1164" s="26"/>
      <c r="BS1164" s="26"/>
      <c r="BT1164" s="26"/>
      <c r="BU1164" s="26"/>
      <c r="BV1164" s="26"/>
      <c r="BW1164" s="26"/>
      <c r="BX1164" s="26"/>
      <c r="BY1164" s="26"/>
      <c r="BZ1164" s="26"/>
      <c r="CA1164" s="26"/>
    </row>
    <row r="1165" spans="1:79" ht="15.75" hidden="1">
      <c r="A1165" s="109">
        <v>8.0000000000000013E-6</v>
      </c>
      <c r="B1165" s="110">
        <f t="shared" si="72"/>
        <v>1165</v>
      </c>
      <c r="C1165" s="111" t="str">
        <f>IF(C$1=[1]!T.in.A[[#This Row],[oo2]],1,"")</f>
        <v/>
      </c>
      <c r="D1165" s="112" t="str">
        <f>IF(Tab.o1[[#This Row],[a1]]=1,IF(SUM(C1165:C1166)=0,0,IF(SUM(C1164:C1165)=1,1,IF(SUM(C1164:C1166)&gt;1,D1164+1,0))),"")</f>
        <v/>
      </c>
      <c r="E1165" s="113" t="str">
        <f>IF(Tab.o1[[#This Row],[a1]]=1,[1]!T.in.A[[#This Row],[oo1]],"")</f>
        <v/>
      </c>
      <c r="F1165" s="113" t="str">
        <f>IF(Tab.o1[[#This Row],[a1]]=1,[1]!T.in.A[[#This Row],[pp1]],"")</f>
        <v/>
      </c>
      <c r="G1165" s="114" t="str">
        <f>IF(Tab.o1[[#This Row],[a1]]=1,G$2+IF(G$1=1,0,Tab.o1[[#This Row],[.x1]])+[1]!T.in.A[[#This Row],[oo3]],"")</f>
        <v/>
      </c>
      <c r="H1165" s="115" t="str">
        <f>IF(Tab.o1[[#This Row],[a1]]=1,IF(H$2=0,0,IF(G$1=1,0,Tab.o1[[#This Row],[.x1]])+[1]!T.in.A[[#This Row],[oo4]]),"")</f>
        <v/>
      </c>
      <c r="I1165" s="116" t="str">
        <f>IF(Tab.o1[[#This Row],[a1]]=1,IF(J$2=0,Tab.o1[[#This Row],[MED]],Tab.o1[[#This Row],[MOD]]),"")</f>
        <v/>
      </c>
      <c r="J1165" s="116" t="str">
        <f>IF(Tab.o1[[#This Row],[a1]]=1,((Tab.o1[[#This Row],[DIF_Target.]]-AVERAGE(Tab.o1[DIF_Target.]))/_xlfn.STDEV.P(Tab.o1[DIF_Target.])),"")</f>
        <v/>
      </c>
      <c r="K1165" s="117" t="str">
        <f>IF(Tab.o1[[#This Row],[a1]]=1,IF(J$2=0,Tab.o1[[#This Row],[MOD]]-Tab.o1[[#This Row],[B]],IF(J$2=1,0,-Tab.o1[[#This Row],[MED]])+Tab.o1[[#This Row],[B]]),"")</f>
        <v/>
      </c>
      <c r="L1165" s="117" t="str">
        <f ca="1">IF(Tab.o1[[#This Row],[DIF_Target]]=0,IF(L$2=0,Tab.o1[[#This Row],[DIF_Target]],AVERAGE(OFFSET(Tab.o1[[#This Row],[DIF_Target]],1,0,L$3,1)))/3,Tab.o1[[#This Row],[DIF_Target]])</f>
        <v/>
      </c>
      <c r="M1165" s="118" t="str">
        <f>IF(Tab.o1[[#This Row],[a1]]=1,NORMSDIST(Tab.o1[[#This Row],[Za]]),"")</f>
        <v/>
      </c>
      <c r="N1165" s="119" t="str">
        <f>IF(Tab.o1[[#This Row],[a1]]=1,((Tab.o1[[#This Row],[MedMod]]-AVERAGE(Tab.o1[MedMod]))/_xlfn.STDEV.P(Tab.o1[MedMod])*H$1205)+G$1205,"")</f>
        <v/>
      </c>
      <c r="O1165" s="141" t="str">
        <f>IF(Tab.o1[[#This Row],[a1]]=1,Tab.o1[[#This Row],[Zb]]*_xlfn.STDEV.P(Tab.o1[MedMod])+AVERAGE(Tab.o1[MedMod]),"")</f>
        <v/>
      </c>
      <c r="P1165" s="117" t="str">
        <f ca="1">IF(Tab.o1[[#This Row],[B]]=0,AVERAGE(OFFSET(Tab.o1[[#This Row],[B]],1,0,L$3,1)),Tab.o1[[#This Row],[B]])</f>
        <v/>
      </c>
      <c r="Q1165" s="121" t="str">
        <f>IF(Tab.o1[[#This Row],[a1]]=1,NORMSDIST(Tab.o1[[#This Row],[Zb]]),"")</f>
        <v/>
      </c>
      <c r="R1165" s="122" t="str">
        <f>IF(Tab.o1[[#This Row],[a1]]=1,((Tab.o1[[#This Row],[MedMod]]-AVERAGE(Tab.o1[MedMod]))/_xlfn.STDEV.P(Tab.o1[MedMod])*H$1203)+G$1203,"")</f>
        <v/>
      </c>
      <c r="S1165" s="122" t="str">
        <f>IF(Tab.o1[[#This Row],[a1]]=1,((Tab.o1[[#This Row],[MedMod]]-AVERAGE(Tab.o1[MedMod]))/_xlfn.STDEV.P(Tab.o1[MedMod])*H$1204)+G$1204,"")</f>
        <v/>
      </c>
      <c r="T1165" s="123" t="str">
        <f>IF(Tab.o1[[#This Row],[a1]]=1,Tab.o1[[#This Row],[Z-]]*_xlfn.STDEV.P(Tab.o1[B])+AVERAGE(Tab.o1[B]),"")</f>
        <v/>
      </c>
      <c r="U1165" s="123" t="str">
        <f>IF(Tab.o1[[#This Row],[a1]]=1,Tab.o1[[#This Row],[z+]]*_xlfn.STDEV.P(Tab.o1[B])+AVERAGE(Tab.o1[B]),"")</f>
        <v/>
      </c>
      <c r="V1165" s="124" t="str">
        <f>IF(Tab.o1[[#This Row],[a1]]=1,ABS((ABS(Tab.o1[[#This Row],[Red]]-Tab.o1[[#This Row],[Blue]]))),"")</f>
        <v/>
      </c>
      <c r="W1165" s="125" t="str">
        <f>IF(Tab.o1[[#This Row],[a1]]=1,IF(W$3=0,1,Tab.o1[[#This Row],[Amp.]]*1/_xlfn.MINIFS(Tab.o1[Amp.],Tab.o1[Amp.],"&lt;&gt;0")),"")</f>
        <v/>
      </c>
      <c r="X1165" s="126" t="str">
        <f>IF(Tab.o1[[#This Row],[a1]]=1,IF(ISNUMBER(Tab.o1[[#This Row],[i.]]),NORMDIST(Tab.o1[[#This Row],[Za]],0,1,FALSE)*Tab.o1[[#This Row],[i.]],AP$3),"")</f>
        <v/>
      </c>
      <c r="Y1165" s="126" t="str">
        <f>IF(Tab.o1[[#This Row],[a1]]=1,0.01+0.94*Tab.o1[[#This Row],[PDF]]/MAX(Tab.o1[PDF]),"")</f>
        <v/>
      </c>
      <c r="Z1165" s="126" t="str">
        <f>IF(Tab.o1[[#This Row],[a1]]=1,0.01+0.94*Tab.o1[[#This Row],[W1_PDF]]/MAX(Tab.o1[W1_PDF]),"")</f>
        <v/>
      </c>
      <c r="AA1165" s="118" t="str">
        <f>IF(Tab.o1[[#This Row],[a1]]=1,ABS([1]!T.in.A[[#This Row],[oo6]]),"")</f>
        <v/>
      </c>
      <c r="AB1165" s="127" t="str">
        <f>IF(Tab.o1[[#This Row],[a1]]=1,IF(AE$3=0,"",IF(AB$3=0,ABS([1]!T.in.A[[#This Row],[oo9]]),ABS(Tab.o1[[#This Row],[DIF_Target.]]*Tab.o1[[#This Row],[W1_PDF]]))),"")</f>
        <v/>
      </c>
      <c r="AC1165" s="127" t="str">
        <f>IF(G$1=1,"",IF(Tab.o1[[#This Row],[a1]]=1,Tab.o1[[#This Row],[Wr]]^2,""))</f>
        <v/>
      </c>
      <c r="AD1165" s="118" t="str">
        <f>IF(Tab.o1[[#This Row],[a1]]=1,IF(AE$3=0,"",Tab.o1[[#This Row],[Wr2]]/SUM(Tab.o1[Wr2])),"")</f>
        <v/>
      </c>
      <c r="AE1165" s="128" t="str">
        <f>IF(Tab.o1[[#This Row],[a1]]=1,[1]!T.in.A[[#This Row],[oo10]],"")</f>
        <v/>
      </c>
      <c r="AF1165" s="118" t="str">
        <f>IF(Tab.o1[[#This Row],[a1]]=1,ABS(Tab.o1[[#This Row],[DIF_Target.]]*Tab.o1[[#This Row],[PDF2]]*Tab.o1[[#This Row],[IN]]),"")</f>
        <v/>
      </c>
      <c r="AG1165" s="129" t="str">
        <f>IF(Tab.o1[[#This Row],[a1]]=1,Tab.o1[[#This Row],[rW]]^2,"")</f>
        <v/>
      </c>
      <c r="AH1165" s="130" t="str">
        <f>IF(Tab.o1[[#This Row],[a1]]=1,IF(AH$3=0,Tab.o1[[#This Row],[rW2]],0.01+0.94*Tab.o1[[#This Row],[rW2]]/SUM(Tab.o1[rW2])),"")</f>
        <v/>
      </c>
      <c r="AI1165" s="128" t="str">
        <f>IF(Tab.o1[[#This Row],[a1]]=1,1/Tab.o1[[#This Row],[PDF]],"")</f>
        <v/>
      </c>
      <c r="AJ1165" s="131" t="str">
        <f>IF(Tab.o1[[#This Row],[a1]]=1,[1]!T_AA[[#This Row],[IN'']]*[1]!T_AA[[#This Row],[Qde'']],"")</f>
        <v/>
      </c>
      <c r="AK1165" s="132" t="str">
        <f>IF(Tab.o1[[#This Row],[a1]]=1,IF(AK$1=1,Tab.o1[[#This Row],[MED]]+Tab.o1[[#This Row],[MOD]]-Tab.o1[[#This Row],[MED]],""),"")</f>
        <v/>
      </c>
      <c r="AL1165" s="133" t="str">
        <f>IF(Tab.o1[[#This Row],[a1]]=1,[1]!T.in.A[[#This Row],[oo16]],"")</f>
        <v/>
      </c>
      <c r="AM1165" s="133" t="str">
        <f>IF(Tab.o1[[#This Row],[a1]]=1,IF(AM$3=1,[1]!T.in.A[[#This Row],[Σo16]],""),"")</f>
        <v/>
      </c>
      <c r="AN1165" s="126" t="str">
        <f>IF(Tab.o1[[#This Row],[a1]]=1,[1]!T.in.A[[#This Row],[Σp5]],"")</f>
        <v/>
      </c>
      <c r="AO1165" s="126" t="str">
        <f>IF(Tab.o1[[#This Row],[a1]]=1,IF(AO$3=1,[1]!T.in.A[[#This Row],[Σp5]],""),"")</f>
        <v/>
      </c>
      <c r="AP1165" s="110" t="str">
        <f>IF(Tab.o1[[#This Row],[a1]]=1,IF(ISNUMBER(Tab.o1[[#This Row],[i.]]),NORMDIST(Tab.o1[[#This Row],[Za]],0,1,FALSE)*Tab.o1[[#This Row],[i.]],0),"")</f>
        <v/>
      </c>
      <c r="AQ1165" s="125" t="str">
        <f>IF(Tab.o1[[#This Row],[a1]]=1,ABS(Tab.o1[[#This Row],[MOD]]-AVERAGE(Tab.o1[MOD])),"")</f>
        <v/>
      </c>
      <c r="AR1165" s="134" t="str">
        <f>IF(Tab.o1[[#This Row],[a1]]=1,Tab.o1[[#This Row],[OBS]]/SUM(Tab.o1[OBS]),"")</f>
        <v/>
      </c>
      <c r="AS1165" s="135" t="str">
        <f>IF(ISNUMBER(Tab.o1[[#This Row],[a1]]),ROW()-4,"")</f>
        <v/>
      </c>
      <c r="AT1165" s="136" t="str">
        <f>Tab.o1[[#This Row],[MOD]]</f>
        <v/>
      </c>
      <c r="AU1165" s="137" t="str">
        <f t="shared" si="73"/>
        <v/>
      </c>
      <c r="AV1165" s="138" t="str">
        <f t="shared" si="74"/>
        <v/>
      </c>
      <c r="AW1165" s="138" t="str">
        <f t="shared" si="75"/>
        <v/>
      </c>
      <c r="AX1165" s="139" t="str">
        <f>[1]!T.in.A[[#This Row],[ID_T_manu]]</f>
        <v/>
      </c>
      <c r="AY1165" s="140" t="str">
        <f>IF(ISNUMBER(Tab.o1[[#This Row],[a1]]),IF(AND(Tab.o1[[#This Row],[a1]]=1,Tab.o1[[#This Row],[b1]]&lt;=AY$4),#REF!,AY1164),"")</f>
        <v/>
      </c>
      <c r="AZ1165" s="25"/>
      <c r="BA1165" s="25"/>
      <c r="BB1165" s="25"/>
      <c r="BC1165" s="25"/>
      <c r="BD1165" s="25"/>
      <c r="BE1165" s="25"/>
      <c r="BF1165" s="25"/>
      <c r="BG1165" s="25"/>
      <c r="BH1165" s="25"/>
      <c r="BI1165" s="25"/>
      <c r="BJ1165" s="25"/>
      <c r="BK1165" s="25"/>
      <c r="BL1165" s="25"/>
      <c r="BM1165" s="25"/>
      <c r="BN1165" s="26"/>
      <c r="BO1165" s="26"/>
      <c r="BP1165" s="26"/>
      <c r="BQ1165" s="26"/>
      <c r="BR1165" s="26"/>
      <c r="BS1165" s="26"/>
      <c r="BT1165" s="26"/>
      <c r="BU1165" s="26"/>
      <c r="BV1165" s="26"/>
      <c r="BW1165" s="26"/>
      <c r="BX1165" s="26"/>
      <c r="BY1165" s="26"/>
      <c r="BZ1165" s="26"/>
      <c r="CA1165" s="26"/>
    </row>
    <row r="1166" spans="1:79" ht="15.75" hidden="1">
      <c r="A1166" s="109">
        <v>-2.0000000000000003E-6</v>
      </c>
      <c r="B1166" s="110">
        <f t="shared" si="72"/>
        <v>1166</v>
      </c>
      <c r="C1166" s="111" t="str">
        <f>IF(C$1=[1]!T.in.A[[#This Row],[oo2]],1,"")</f>
        <v/>
      </c>
      <c r="D1166" s="112" t="str">
        <f>IF(Tab.o1[[#This Row],[a1]]=1,IF(SUM(C1166:C1167)=0,0,IF(SUM(C1165:C1166)=1,1,IF(SUM(C1165:C1167)&gt;1,D1165+1,0))),"")</f>
        <v/>
      </c>
      <c r="E1166" s="113" t="str">
        <f>IF(Tab.o1[[#This Row],[a1]]=1,[1]!T.in.A[[#This Row],[oo1]],"")</f>
        <v/>
      </c>
      <c r="F1166" s="113" t="str">
        <f>IF(Tab.o1[[#This Row],[a1]]=1,[1]!T.in.A[[#This Row],[pp1]],"")</f>
        <v/>
      </c>
      <c r="G1166" s="114" t="str">
        <f>IF(Tab.o1[[#This Row],[a1]]=1,G$2+IF(G$1=1,0,Tab.o1[[#This Row],[.x1]])+[1]!T.in.A[[#This Row],[oo3]],"")</f>
        <v/>
      </c>
      <c r="H1166" s="115" t="str">
        <f>IF(Tab.o1[[#This Row],[a1]]=1,IF(H$2=0,0,IF(G$1=1,0,Tab.o1[[#This Row],[.x1]])+[1]!T.in.A[[#This Row],[oo4]]),"")</f>
        <v/>
      </c>
      <c r="I1166" s="116" t="str">
        <f>IF(Tab.o1[[#This Row],[a1]]=1,IF(J$2=0,Tab.o1[[#This Row],[MED]],Tab.o1[[#This Row],[MOD]]),"")</f>
        <v/>
      </c>
      <c r="J1166" s="116" t="str">
        <f>IF(Tab.o1[[#This Row],[a1]]=1,((Tab.o1[[#This Row],[DIF_Target.]]-AVERAGE(Tab.o1[DIF_Target.]))/_xlfn.STDEV.P(Tab.o1[DIF_Target.])),"")</f>
        <v/>
      </c>
      <c r="K1166" s="117" t="str">
        <f>IF(Tab.o1[[#This Row],[a1]]=1,IF(J$2=0,Tab.o1[[#This Row],[MOD]]-Tab.o1[[#This Row],[B]],IF(J$2=1,0,-Tab.o1[[#This Row],[MED]])+Tab.o1[[#This Row],[B]]),"")</f>
        <v/>
      </c>
      <c r="L1166" s="117" t="str">
        <f ca="1">IF(Tab.o1[[#This Row],[DIF_Target]]=0,IF(L$2=0,Tab.o1[[#This Row],[DIF_Target]],AVERAGE(OFFSET(Tab.o1[[#This Row],[DIF_Target]],1,0,L$3,1)))/3,Tab.o1[[#This Row],[DIF_Target]])</f>
        <v/>
      </c>
      <c r="M1166" s="118" t="str">
        <f>IF(Tab.o1[[#This Row],[a1]]=1,NORMSDIST(Tab.o1[[#This Row],[Za]]),"")</f>
        <v/>
      </c>
      <c r="N1166" s="119" t="str">
        <f>IF(Tab.o1[[#This Row],[a1]]=1,((Tab.o1[[#This Row],[MedMod]]-AVERAGE(Tab.o1[MedMod]))/_xlfn.STDEV.P(Tab.o1[MedMod])*H$1205)+G$1205,"")</f>
        <v/>
      </c>
      <c r="O1166" s="141" t="str">
        <f>IF(Tab.o1[[#This Row],[a1]]=1,Tab.o1[[#This Row],[Zb]]*_xlfn.STDEV.P(Tab.o1[MedMod])+AVERAGE(Tab.o1[MedMod]),"")</f>
        <v/>
      </c>
      <c r="P1166" s="117" t="str">
        <f ca="1">IF(Tab.o1[[#This Row],[B]]=0,AVERAGE(OFFSET(Tab.o1[[#This Row],[B]],1,0,L$3,1)),Tab.o1[[#This Row],[B]])</f>
        <v/>
      </c>
      <c r="Q1166" s="121" t="str">
        <f>IF(Tab.o1[[#This Row],[a1]]=1,NORMSDIST(Tab.o1[[#This Row],[Zb]]),"")</f>
        <v/>
      </c>
      <c r="R1166" s="122" t="str">
        <f>IF(Tab.o1[[#This Row],[a1]]=1,((Tab.o1[[#This Row],[MedMod]]-AVERAGE(Tab.o1[MedMod]))/_xlfn.STDEV.P(Tab.o1[MedMod])*H$1203)+G$1203,"")</f>
        <v/>
      </c>
      <c r="S1166" s="122" t="str">
        <f>IF(Tab.o1[[#This Row],[a1]]=1,((Tab.o1[[#This Row],[MedMod]]-AVERAGE(Tab.o1[MedMod]))/_xlfn.STDEV.P(Tab.o1[MedMod])*H$1204)+G$1204,"")</f>
        <v/>
      </c>
      <c r="T1166" s="123" t="str">
        <f>IF(Tab.o1[[#This Row],[a1]]=1,Tab.o1[[#This Row],[Z-]]*_xlfn.STDEV.P(Tab.o1[B])+AVERAGE(Tab.o1[B]),"")</f>
        <v/>
      </c>
      <c r="U1166" s="123" t="str">
        <f>IF(Tab.o1[[#This Row],[a1]]=1,Tab.o1[[#This Row],[z+]]*_xlfn.STDEV.P(Tab.o1[B])+AVERAGE(Tab.o1[B]),"")</f>
        <v/>
      </c>
      <c r="V1166" s="124" t="str">
        <f>IF(Tab.o1[[#This Row],[a1]]=1,ABS((ABS(Tab.o1[[#This Row],[Red]]-Tab.o1[[#This Row],[Blue]]))),"")</f>
        <v/>
      </c>
      <c r="W1166" s="125" t="str">
        <f>IF(Tab.o1[[#This Row],[a1]]=1,IF(W$3=0,1,Tab.o1[[#This Row],[Amp.]]*1/_xlfn.MINIFS(Tab.o1[Amp.],Tab.o1[Amp.],"&lt;&gt;0")),"")</f>
        <v/>
      </c>
      <c r="X1166" s="126" t="str">
        <f>IF(Tab.o1[[#This Row],[a1]]=1,IF(ISNUMBER(Tab.o1[[#This Row],[i.]]),NORMDIST(Tab.o1[[#This Row],[Za]],0,1,FALSE)*Tab.o1[[#This Row],[i.]],AP$3),"")</f>
        <v/>
      </c>
      <c r="Y1166" s="126" t="str">
        <f>IF(Tab.o1[[#This Row],[a1]]=1,0.01+0.94*Tab.o1[[#This Row],[PDF]]/MAX(Tab.o1[PDF]),"")</f>
        <v/>
      </c>
      <c r="Z1166" s="126" t="str">
        <f>IF(Tab.o1[[#This Row],[a1]]=1,0.01+0.94*Tab.o1[[#This Row],[W1_PDF]]/MAX(Tab.o1[W1_PDF]),"")</f>
        <v/>
      </c>
      <c r="AA1166" s="118" t="str">
        <f>IF(Tab.o1[[#This Row],[a1]]=1,ABS([1]!T.in.A[[#This Row],[oo6]]),"")</f>
        <v/>
      </c>
      <c r="AB1166" s="127" t="str">
        <f>IF(Tab.o1[[#This Row],[a1]]=1,IF(AE$3=0,"",IF(AB$3=0,ABS([1]!T.in.A[[#This Row],[oo9]]),ABS(Tab.o1[[#This Row],[DIF_Target.]]*Tab.o1[[#This Row],[W1_PDF]]))),"")</f>
        <v/>
      </c>
      <c r="AC1166" s="127" t="str">
        <f>IF(G$1=1,"",IF(Tab.o1[[#This Row],[a1]]=1,Tab.o1[[#This Row],[Wr]]^2,""))</f>
        <v/>
      </c>
      <c r="AD1166" s="118" t="str">
        <f>IF(Tab.o1[[#This Row],[a1]]=1,IF(AE$3=0,"",Tab.o1[[#This Row],[Wr2]]/SUM(Tab.o1[Wr2])),"")</f>
        <v/>
      </c>
      <c r="AE1166" s="128" t="str">
        <f>IF(Tab.o1[[#This Row],[a1]]=1,[1]!T.in.A[[#This Row],[oo10]],"")</f>
        <v/>
      </c>
      <c r="AF1166" s="118" t="str">
        <f>IF(Tab.o1[[#This Row],[a1]]=1,ABS(Tab.o1[[#This Row],[DIF_Target.]]*Tab.o1[[#This Row],[PDF2]]*Tab.o1[[#This Row],[IN]]),"")</f>
        <v/>
      </c>
      <c r="AG1166" s="129" t="str">
        <f>IF(Tab.o1[[#This Row],[a1]]=1,Tab.o1[[#This Row],[rW]]^2,"")</f>
        <v/>
      </c>
      <c r="AH1166" s="130" t="str">
        <f>IF(Tab.o1[[#This Row],[a1]]=1,IF(AH$3=0,Tab.o1[[#This Row],[rW2]],0.01+0.94*Tab.o1[[#This Row],[rW2]]/SUM(Tab.o1[rW2])),"")</f>
        <v/>
      </c>
      <c r="AI1166" s="128" t="str">
        <f>IF(Tab.o1[[#This Row],[a1]]=1,1/Tab.o1[[#This Row],[PDF]],"")</f>
        <v/>
      </c>
      <c r="AJ1166" s="131" t="str">
        <f>IF(Tab.o1[[#This Row],[a1]]=1,[1]!T_AA[[#This Row],[IN'']]*[1]!T_AA[[#This Row],[Qde'']],"")</f>
        <v/>
      </c>
      <c r="AK1166" s="132" t="str">
        <f>IF(Tab.o1[[#This Row],[a1]]=1,IF(AK$1=1,Tab.o1[[#This Row],[MED]]+Tab.o1[[#This Row],[MOD]]-Tab.o1[[#This Row],[MED]],""),"")</f>
        <v/>
      </c>
      <c r="AL1166" s="133" t="str">
        <f>IF(Tab.o1[[#This Row],[a1]]=1,[1]!T.in.A[[#This Row],[oo16]],"")</f>
        <v/>
      </c>
      <c r="AM1166" s="133" t="str">
        <f>IF(Tab.o1[[#This Row],[a1]]=1,IF(AM$3=1,[1]!T.in.A[[#This Row],[Σo16]],""),"")</f>
        <v/>
      </c>
      <c r="AN1166" s="126" t="str">
        <f>IF(Tab.o1[[#This Row],[a1]]=1,[1]!T.in.A[[#This Row],[Σp5]],"")</f>
        <v/>
      </c>
      <c r="AO1166" s="126" t="str">
        <f>IF(Tab.o1[[#This Row],[a1]]=1,IF(AO$3=1,[1]!T.in.A[[#This Row],[Σp5]],""),"")</f>
        <v/>
      </c>
      <c r="AP1166" s="110" t="str">
        <f>IF(Tab.o1[[#This Row],[a1]]=1,IF(ISNUMBER(Tab.o1[[#This Row],[i.]]),NORMDIST(Tab.o1[[#This Row],[Za]],0,1,FALSE)*Tab.o1[[#This Row],[i.]],0),"")</f>
        <v/>
      </c>
      <c r="AQ1166" s="125" t="str">
        <f>IF(Tab.o1[[#This Row],[a1]]=1,ABS(Tab.o1[[#This Row],[MOD]]-AVERAGE(Tab.o1[MOD])),"")</f>
        <v/>
      </c>
      <c r="AR1166" s="134" t="str">
        <f>IF(Tab.o1[[#This Row],[a1]]=1,Tab.o1[[#This Row],[OBS]]/SUM(Tab.o1[OBS]),"")</f>
        <v/>
      </c>
      <c r="AS1166" s="135" t="str">
        <f>IF(ISNUMBER(Tab.o1[[#This Row],[a1]]),ROW()-4,"")</f>
        <v/>
      </c>
      <c r="AT1166" s="136" t="str">
        <f>Tab.o1[[#This Row],[MOD]]</f>
        <v/>
      </c>
      <c r="AU1166" s="137" t="str">
        <f t="shared" si="73"/>
        <v/>
      </c>
      <c r="AV1166" s="138" t="str">
        <f t="shared" si="74"/>
        <v/>
      </c>
      <c r="AW1166" s="138" t="str">
        <f t="shared" si="75"/>
        <v/>
      </c>
      <c r="AX1166" s="139" t="str">
        <f>[1]!T.in.A[[#This Row],[ID_T_manu]]</f>
        <v/>
      </c>
      <c r="AY1166" s="140" t="str">
        <f>IF(ISNUMBER(Tab.o1[[#This Row],[a1]]),IF(AND(Tab.o1[[#This Row],[a1]]=1,Tab.o1[[#This Row],[b1]]&lt;=AY$4),#REF!,AY1165),"")</f>
        <v/>
      </c>
      <c r="AZ1166" s="25"/>
      <c r="BA1166" s="25"/>
      <c r="BB1166" s="25"/>
      <c r="BC1166" s="25"/>
      <c r="BD1166" s="25"/>
      <c r="BE1166" s="25"/>
      <c r="BF1166" s="25"/>
      <c r="BG1166" s="25"/>
      <c r="BH1166" s="25"/>
      <c r="BI1166" s="25"/>
      <c r="BJ1166" s="25"/>
      <c r="BK1166" s="25"/>
      <c r="BL1166" s="25"/>
      <c r="BM1166" s="25"/>
      <c r="BN1166" s="26"/>
      <c r="BO1166" s="26"/>
      <c r="BP1166" s="26"/>
      <c r="BQ1166" s="26"/>
      <c r="BR1166" s="26"/>
      <c r="BS1166" s="26"/>
      <c r="BT1166" s="26"/>
      <c r="BU1166" s="26"/>
      <c r="BV1166" s="26"/>
      <c r="BW1166" s="26"/>
      <c r="BX1166" s="26"/>
      <c r="BY1166" s="26"/>
      <c r="BZ1166" s="26"/>
      <c r="CA1166" s="26"/>
    </row>
    <row r="1167" spans="1:79" ht="15.75" hidden="1">
      <c r="A1167" s="109">
        <v>5.9999999999999993E-6</v>
      </c>
      <c r="B1167" s="110">
        <f t="shared" si="72"/>
        <v>1167</v>
      </c>
      <c r="C1167" s="111" t="str">
        <f>IF(C$1=[1]!T.in.A[[#This Row],[oo2]],1,"")</f>
        <v/>
      </c>
      <c r="D1167" s="112" t="str">
        <f>IF(Tab.o1[[#This Row],[a1]]=1,IF(SUM(C1167:C1168)=0,0,IF(SUM(C1166:C1167)=1,1,IF(SUM(C1166:C1168)&gt;1,D1166+1,0))),"")</f>
        <v/>
      </c>
      <c r="E1167" s="113" t="str">
        <f>IF(Tab.o1[[#This Row],[a1]]=1,[1]!T.in.A[[#This Row],[oo1]],"")</f>
        <v/>
      </c>
      <c r="F1167" s="113" t="str">
        <f>IF(Tab.o1[[#This Row],[a1]]=1,[1]!T.in.A[[#This Row],[pp1]],"")</f>
        <v/>
      </c>
      <c r="G1167" s="114" t="str">
        <f>IF(Tab.o1[[#This Row],[a1]]=1,G$2+IF(G$1=1,0,Tab.o1[[#This Row],[.x1]])+[1]!T.in.A[[#This Row],[oo3]],"")</f>
        <v/>
      </c>
      <c r="H1167" s="115" t="str">
        <f>IF(Tab.o1[[#This Row],[a1]]=1,IF(H$2=0,0,IF(G$1=1,0,Tab.o1[[#This Row],[.x1]])+[1]!T.in.A[[#This Row],[oo4]]),"")</f>
        <v/>
      </c>
      <c r="I1167" s="116" t="str">
        <f>IF(Tab.o1[[#This Row],[a1]]=1,IF(J$2=0,Tab.o1[[#This Row],[MED]],Tab.o1[[#This Row],[MOD]]),"")</f>
        <v/>
      </c>
      <c r="J1167" s="116" t="str">
        <f>IF(Tab.o1[[#This Row],[a1]]=1,((Tab.o1[[#This Row],[DIF_Target.]]-AVERAGE(Tab.o1[DIF_Target.]))/_xlfn.STDEV.P(Tab.o1[DIF_Target.])),"")</f>
        <v/>
      </c>
      <c r="K1167" s="117" t="str">
        <f>IF(Tab.o1[[#This Row],[a1]]=1,IF(J$2=0,Tab.o1[[#This Row],[MOD]]-Tab.o1[[#This Row],[B]],IF(J$2=1,0,-Tab.o1[[#This Row],[MED]])+Tab.o1[[#This Row],[B]]),"")</f>
        <v/>
      </c>
      <c r="L1167" s="117" t="str">
        <f ca="1">IF(Tab.o1[[#This Row],[DIF_Target]]=0,IF(L$2=0,Tab.o1[[#This Row],[DIF_Target]],AVERAGE(OFFSET(Tab.o1[[#This Row],[DIF_Target]],1,0,L$3,1)))/3,Tab.o1[[#This Row],[DIF_Target]])</f>
        <v/>
      </c>
      <c r="M1167" s="118" t="str">
        <f>IF(Tab.o1[[#This Row],[a1]]=1,NORMSDIST(Tab.o1[[#This Row],[Za]]),"")</f>
        <v/>
      </c>
      <c r="N1167" s="119" t="str">
        <f>IF(Tab.o1[[#This Row],[a1]]=1,((Tab.o1[[#This Row],[MedMod]]-AVERAGE(Tab.o1[MedMod]))/_xlfn.STDEV.P(Tab.o1[MedMod])*H$1205)+G$1205,"")</f>
        <v/>
      </c>
      <c r="O1167" s="141" t="str">
        <f>IF(Tab.o1[[#This Row],[a1]]=1,Tab.o1[[#This Row],[Zb]]*_xlfn.STDEV.P(Tab.o1[MedMod])+AVERAGE(Tab.o1[MedMod]),"")</f>
        <v/>
      </c>
      <c r="P1167" s="117" t="str">
        <f ca="1">IF(Tab.o1[[#This Row],[B]]=0,AVERAGE(OFFSET(Tab.o1[[#This Row],[B]],1,0,L$3,1)),Tab.o1[[#This Row],[B]])</f>
        <v/>
      </c>
      <c r="Q1167" s="121" t="str">
        <f>IF(Tab.o1[[#This Row],[a1]]=1,NORMSDIST(Tab.o1[[#This Row],[Zb]]),"")</f>
        <v/>
      </c>
      <c r="R1167" s="122" t="str">
        <f>IF(Tab.o1[[#This Row],[a1]]=1,((Tab.o1[[#This Row],[MedMod]]-AVERAGE(Tab.o1[MedMod]))/_xlfn.STDEV.P(Tab.o1[MedMod])*H$1203)+G$1203,"")</f>
        <v/>
      </c>
      <c r="S1167" s="122" t="str">
        <f>IF(Tab.o1[[#This Row],[a1]]=1,((Tab.o1[[#This Row],[MedMod]]-AVERAGE(Tab.o1[MedMod]))/_xlfn.STDEV.P(Tab.o1[MedMod])*H$1204)+G$1204,"")</f>
        <v/>
      </c>
      <c r="T1167" s="123" t="str">
        <f>IF(Tab.o1[[#This Row],[a1]]=1,Tab.o1[[#This Row],[Z-]]*_xlfn.STDEV.P(Tab.o1[B])+AVERAGE(Tab.o1[B]),"")</f>
        <v/>
      </c>
      <c r="U1167" s="123" t="str">
        <f>IF(Tab.o1[[#This Row],[a1]]=1,Tab.o1[[#This Row],[z+]]*_xlfn.STDEV.P(Tab.o1[B])+AVERAGE(Tab.o1[B]),"")</f>
        <v/>
      </c>
      <c r="V1167" s="124" t="str">
        <f>IF(Tab.o1[[#This Row],[a1]]=1,ABS((ABS(Tab.o1[[#This Row],[Red]]-Tab.o1[[#This Row],[Blue]]))),"")</f>
        <v/>
      </c>
      <c r="W1167" s="125" t="str">
        <f>IF(Tab.o1[[#This Row],[a1]]=1,IF(W$3=0,1,Tab.o1[[#This Row],[Amp.]]*1/_xlfn.MINIFS(Tab.o1[Amp.],Tab.o1[Amp.],"&lt;&gt;0")),"")</f>
        <v/>
      </c>
      <c r="X1167" s="126" t="str">
        <f>IF(Tab.o1[[#This Row],[a1]]=1,IF(ISNUMBER(Tab.o1[[#This Row],[i.]]),NORMDIST(Tab.o1[[#This Row],[Za]],0,1,FALSE)*Tab.o1[[#This Row],[i.]],AP$3),"")</f>
        <v/>
      </c>
      <c r="Y1167" s="126" t="str">
        <f>IF(Tab.o1[[#This Row],[a1]]=1,0.01+0.94*Tab.o1[[#This Row],[PDF]]/MAX(Tab.o1[PDF]),"")</f>
        <v/>
      </c>
      <c r="Z1167" s="126" t="str">
        <f>IF(Tab.o1[[#This Row],[a1]]=1,0.01+0.94*Tab.o1[[#This Row],[W1_PDF]]/MAX(Tab.o1[W1_PDF]),"")</f>
        <v/>
      </c>
      <c r="AA1167" s="118" t="str">
        <f>IF(Tab.o1[[#This Row],[a1]]=1,ABS([1]!T.in.A[[#This Row],[oo6]]),"")</f>
        <v/>
      </c>
      <c r="AB1167" s="127" t="str">
        <f>IF(Tab.o1[[#This Row],[a1]]=1,IF(AE$3=0,"",IF(AB$3=0,ABS([1]!T.in.A[[#This Row],[oo9]]),ABS(Tab.o1[[#This Row],[DIF_Target.]]*Tab.o1[[#This Row],[W1_PDF]]))),"")</f>
        <v/>
      </c>
      <c r="AC1167" s="127" t="str">
        <f>IF(G$1=1,"",IF(Tab.o1[[#This Row],[a1]]=1,Tab.o1[[#This Row],[Wr]]^2,""))</f>
        <v/>
      </c>
      <c r="AD1167" s="118" t="str">
        <f>IF(Tab.o1[[#This Row],[a1]]=1,IF(AE$3=0,"",Tab.o1[[#This Row],[Wr2]]/SUM(Tab.o1[Wr2])),"")</f>
        <v/>
      </c>
      <c r="AE1167" s="128" t="str">
        <f>IF(Tab.o1[[#This Row],[a1]]=1,[1]!T.in.A[[#This Row],[oo10]],"")</f>
        <v/>
      </c>
      <c r="AF1167" s="118" t="str">
        <f>IF(Tab.o1[[#This Row],[a1]]=1,ABS(Tab.o1[[#This Row],[DIF_Target.]]*Tab.o1[[#This Row],[PDF2]]*Tab.o1[[#This Row],[IN]]),"")</f>
        <v/>
      </c>
      <c r="AG1167" s="129" t="str">
        <f>IF(Tab.o1[[#This Row],[a1]]=1,Tab.o1[[#This Row],[rW]]^2,"")</f>
        <v/>
      </c>
      <c r="AH1167" s="130" t="str">
        <f>IF(Tab.o1[[#This Row],[a1]]=1,IF(AH$3=0,Tab.o1[[#This Row],[rW2]],0.01+0.94*Tab.o1[[#This Row],[rW2]]/SUM(Tab.o1[rW2])),"")</f>
        <v/>
      </c>
      <c r="AI1167" s="128" t="str">
        <f>IF(Tab.o1[[#This Row],[a1]]=1,1/Tab.o1[[#This Row],[PDF]],"")</f>
        <v/>
      </c>
      <c r="AJ1167" s="131" t="str">
        <f>IF(Tab.o1[[#This Row],[a1]]=1,[1]!T_AA[[#This Row],[IN'']]*[1]!T_AA[[#This Row],[Qde'']],"")</f>
        <v/>
      </c>
      <c r="AK1167" s="132" t="str">
        <f>IF(Tab.o1[[#This Row],[a1]]=1,IF(AK$1=1,Tab.o1[[#This Row],[MED]]+Tab.o1[[#This Row],[MOD]]-Tab.o1[[#This Row],[MED]],""),"")</f>
        <v/>
      </c>
      <c r="AL1167" s="133" t="str">
        <f>IF(Tab.o1[[#This Row],[a1]]=1,[1]!T.in.A[[#This Row],[oo16]],"")</f>
        <v/>
      </c>
      <c r="AM1167" s="133" t="str">
        <f>IF(Tab.o1[[#This Row],[a1]]=1,IF(AM$3=1,[1]!T.in.A[[#This Row],[Σo16]],""),"")</f>
        <v/>
      </c>
      <c r="AN1167" s="126" t="str">
        <f>IF(Tab.o1[[#This Row],[a1]]=1,[1]!T.in.A[[#This Row],[Σp5]],"")</f>
        <v/>
      </c>
      <c r="AO1167" s="126" t="str">
        <f>IF(Tab.o1[[#This Row],[a1]]=1,IF(AO$3=1,[1]!T.in.A[[#This Row],[Σp5]],""),"")</f>
        <v/>
      </c>
      <c r="AP1167" s="110" t="str">
        <f>IF(Tab.o1[[#This Row],[a1]]=1,IF(ISNUMBER(Tab.o1[[#This Row],[i.]]),NORMDIST(Tab.o1[[#This Row],[Za]],0,1,FALSE)*Tab.o1[[#This Row],[i.]],0),"")</f>
        <v/>
      </c>
      <c r="AQ1167" s="125" t="str">
        <f>IF(Tab.o1[[#This Row],[a1]]=1,ABS(Tab.o1[[#This Row],[MOD]]-AVERAGE(Tab.o1[MOD])),"")</f>
        <v/>
      </c>
      <c r="AR1167" s="134" t="str">
        <f>IF(Tab.o1[[#This Row],[a1]]=1,Tab.o1[[#This Row],[OBS]]/SUM(Tab.o1[OBS]),"")</f>
        <v/>
      </c>
      <c r="AS1167" s="135" t="str">
        <f>IF(ISNUMBER(Tab.o1[[#This Row],[a1]]),ROW()-4,"")</f>
        <v/>
      </c>
      <c r="AT1167" s="136" t="str">
        <f>Tab.o1[[#This Row],[MOD]]</f>
        <v/>
      </c>
      <c r="AU1167" s="137" t="str">
        <f t="shared" si="73"/>
        <v/>
      </c>
      <c r="AV1167" s="138" t="str">
        <f t="shared" si="74"/>
        <v/>
      </c>
      <c r="AW1167" s="138" t="str">
        <f t="shared" si="75"/>
        <v/>
      </c>
      <c r="AX1167" s="139" t="str">
        <f>[1]!T.in.A[[#This Row],[ID_T_manu]]</f>
        <v/>
      </c>
      <c r="AY1167" s="140" t="str">
        <f>IF(ISNUMBER(Tab.o1[[#This Row],[a1]]),IF(AND(Tab.o1[[#This Row],[a1]]=1,Tab.o1[[#This Row],[b1]]&lt;=AY$4),#REF!,AY1166),"")</f>
        <v/>
      </c>
      <c r="AZ1167" s="25"/>
      <c r="BA1167" s="25"/>
      <c r="BB1167" s="25"/>
      <c r="BC1167" s="25"/>
      <c r="BD1167" s="25"/>
      <c r="BE1167" s="25"/>
      <c r="BF1167" s="25"/>
      <c r="BG1167" s="25"/>
      <c r="BH1167" s="25"/>
      <c r="BI1167" s="25"/>
      <c r="BJ1167" s="25"/>
      <c r="BK1167" s="25"/>
      <c r="BL1167" s="25"/>
      <c r="BM1167" s="25"/>
      <c r="BN1167" s="26"/>
      <c r="BO1167" s="26"/>
      <c r="BP1167" s="26"/>
      <c r="BQ1167" s="26"/>
      <c r="BR1167" s="26"/>
      <c r="BS1167" s="26"/>
      <c r="BT1167" s="26"/>
      <c r="BU1167" s="26"/>
      <c r="BV1167" s="26"/>
      <c r="BW1167" s="26"/>
      <c r="BX1167" s="26"/>
      <c r="BY1167" s="26"/>
      <c r="BZ1167" s="26"/>
      <c r="CA1167" s="26"/>
    </row>
    <row r="1168" spans="1:79" ht="15.75" hidden="1">
      <c r="A1168" s="109">
        <v>2.0000000000000003E-6</v>
      </c>
      <c r="B1168" s="110">
        <f t="shared" si="72"/>
        <v>1168</v>
      </c>
      <c r="C1168" s="111" t="str">
        <f>IF(C$1=[1]!T.in.A[[#This Row],[oo2]],1,"")</f>
        <v/>
      </c>
      <c r="D1168" s="112" t="str">
        <f>IF(Tab.o1[[#This Row],[a1]]=1,IF(SUM(C1168:C1169)=0,0,IF(SUM(C1167:C1168)=1,1,IF(SUM(C1167:C1169)&gt;1,D1167+1,0))),"")</f>
        <v/>
      </c>
      <c r="E1168" s="113" t="str">
        <f>IF(Tab.o1[[#This Row],[a1]]=1,[1]!T.in.A[[#This Row],[oo1]],"")</f>
        <v/>
      </c>
      <c r="F1168" s="113" t="str">
        <f>IF(Tab.o1[[#This Row],[a1]]=1,[1]!T.in.A[[#This Row],[pp1]],"")</f>
        <v/>
      </c>
      <c r="G1168" s="114" t="str">
        <f>IF(Tab.o1[[#This Row],[a1]]=1,G$2+IF(G$1=1,0,Tab.o1[[#This Row],[.x1]])+[1]!T.in.A[[#This Row],[oo3]],"")</f>
        <v/>
      </c>
      <c r="H1168" s="115" t="str">
        <f>IF(Tab.o1[[#This Row],[a1]]=1,IF(H$2=0,0,IF(G$1=1,0,Tab.o1[[#This Row],[.x1]])+[1]!T.in.A[[#This Row],[oo4]]),"")</f>
        <v/>
      </c>
      <c r="I1168" s="116" t="str">
        <f>IF(Tab.o1[[#This Row],[a1]]=1,IF(J$2=0,Tab.o1[[#This Row],[MED]],Tab.o1[[#This Row],[MOD]]),"")</f>
        <v/>
      </c>
      <c r="J1168" s="116" t="str">
        <f>IF(Tab.o1[[#This Row],[a1]]=1,((Tab.o1[[#This Row],[DIF_Target.]]-AVERAGE(Tab.o1[DIF_Target.]))/_xlfn.STDEV.P(Tab.o1[DIF_Target.])),"")</f>
        <v/>
      </c>
      <c r="K1168" s="117" t="str">
        <f>IF(Tab.o1[[#This Row],[a1]]=1,IF(J$2=0,Tab.o1[[#This Row],[MOD]]-Tab.o1[[#This Row],[B]],IF(J$2=1,0,-Tab.o1[[#This Row],[MED]])+Tab.o1[[#This Row],[B]]),"")</f>
        <v/>
      </c>
      <c r="L1168" s="117" t="str">
        <f ca="1">IF(Tab.o1[[#This Row],[DIF_Target]]=0,IF(L$2=0,Tab.o1[[#This Row],[DIF_Target]],AVERAGE(OFFSET(Tab.o1[[#This Row],[DIF_Target]],1,0,L$3,1)))/3,Tab.o1[[#This Row],[DIF_Target]])</f>
        <v/>
      </c>
      <c r="M1168" s="118" t="str">
        <f>IF(Tab.o1[[#This Row],[a1]]=1,NORMSDIST(Tab.o1[[#This Row],[Za]]),"")</f>
        <v/>
      </c>
      <c r="N1168" s="119" t="str">
        <f>IF(Tab.o1[[#This Row],[a1]]=1,((Tab.o1[[#This Row],[MedMod]]-AVERAGE(Tab.o1[MedMod]))/_xlfn.STDEV.P(Tab.o1[MedMod])*H$1205)+G$1205,"")</f>
        <v/>
      </c>
      <c r="O1168" s="141" t="str">
        <f>IF(Tab.o1[[#This Row],[a1]]=1,Tab.o1[[#This Row],[Zb]]*_xlfn.STDEV.P(Tab.o1[MedMod])+AVERAGE(Tab.o1[MedMod]),"")</f>
        <v/>
      </c>
      <c r="P1168" s="117" t="str">
        <f ca="1">IF(Tab.o1[[#This Row],[B]]=0,AVERAGE(OFFSET(Tab.o1[[#This Row],[B]],1,0,L$3,1)),Tab.o1[[#This Row],[B]])</f>
        <v/>
      </c>
      <c r="Q1168" s="121" t="str">
        <f>IF(Tab.o1[[#This Row],[a1]]=1,NORMSDIST(Tab.o1[[#This Row],[Zb]]),"")</f>
        <v/>
      </c>
      <c r="R1168" s="122" t="str">
        <f>IF(Tab.o1[[#This Row],[a1]]=1,((Tab.o1[[#This Row],[MedMod]]-AVERAGE(Tab.o1[MedMod]))/_xlfn.STDEV.P(Tab.o1[MedMod])*H$1203)+G$1203,"")</f>
        <v/>
      </c>
      <c r="S1168" s="122" t="str">
        <f>IF(Tab.o1[[#This Row],[a1]]=1,((Tab.o1[[#This Row],[MedMod]]-AVERAGE(Tab.o1[MedMod]))/_xlfn.STDEV.P(Tab.o1[MedMod])*H$1204)+G$1204,"")</f>
        <v/>
      </c>
      <c r="T1168" s="123" t="str">
        <f>IF(Tab.o1[[#This Row],[a1]]=1,Tab.o1[[#This Row],[Z-]]*_xlfn.STDEV.P(Tab.o1[B])+AVERAGE(Tab.o1[B]),"")</f>
        <v/>
      </c>
      <c r="U1168" s="123" t="str">
        <f>IF(Tab.o1[[#This Row],[a1]]=1,Tab.o1[[#This Row],[z+]]*_xlfn.STDEV.P(Tab.o1[B])+AVERAGE(Tab.o1[B]),"")</f>
        <v/>
      </c>
      <c r="V1168" s="124" t="str">
        <f>IF(Tab.o1[[#This Row],[a1]]=1,ABS((ABS(Tab.o1[[#This Row],[Red]]-Tab.o1[[#This Row],[Blue]]))),"")</f>
        <v/>
      </c>
      <c r="W1168" s="125" t="str">
        <f>IF(Tab.o1[[#This Row],[a1]]=1,IF(W$3=0,1,Tab.o1[[#This Row],[Amp.]]*1/_xlfn.MINIFS(Tab.o1[Amp.],Tab.o1[Amp.],"&lt;&gt;0")),"")</f>
        <v/>
      </c>
      <c r="X1168" s="126" t="str">
        <f>IF(Tab.o1[[#This Row],[a1]]=1,IF(ISNUMBER(Tab.o1[[#This Row],[i.]]),NORMDIST(Tab.o1[[#This Row],[Za]],0,1,FALSE)*Tab.o1[[#This Row],[i.]],AP$3),"")</f>
        <v/>
      </c>
      <c r="Y1168" s="126" t="str">
        <f>IF(Tab.o1[[#This Row],[a1]]=1,0.01+0.94*Tab.o1[[#This Row],[PDF]]/MAX(Tab.o1[PDF]),"")</f>
        <v/>
      </c>
      <c r="Z1168" s="126" t="str">
        <f>IF(Tab.o1[[#This Row],[a1]]=1,0.01+0.94*Tab.o1[[#This Row],[W1_PDF]]/MAX(Tab.o1[W1_PDF]),"")</f>
        <v/>
      </c>
      <c r="AA1168" s="118" t="str">
        <f>IF(Tab.o1[[#This Row],[a1]]=1,ABS([1]!T.in.A[[#This Row],[oo6]]),"")</f>
        <v/>
      </c>
      <c r="AB1168" s="127" t="str">
        <f>IF(Tab.o1[[#This Row],[a1]]=1,IF(AE$3=0,"",IF(AB$3=0,ABS([1]!T.in.A[[#This Row],[oo9]]),ABS(Tab.o1[[#This Row],[DIF_Target.]]*Tab.o1[[#This Row],[W1_PDF]]))),"")</f>
        <v/>
      </c>
      <c r="AC1168" s="127" t="str">
        <f>IF(G$1=1,"",IF(Tab.o1[[#This Row],[a1]]=1,Tab.o1[[#This Row],[Wr]]^2,""))</f>
        <v/>
      </c>
      <c r="AD1168" s="118" t="str">
        <f>IF(Tab.o1[[#This Row],[a1]]=1,IF(AE$3=0,"",Tab.o1[[#This Row],[Wr2]]/SUM(Tab.o1[Wr2])),"")</f>
        <v/>
      </c>
      <c r="AE1168" s="128" t="str">
        <f>IF(Tab.o1[[#This Row],[a1]]=1,[1]!T.in.A[[#This Row],[oo10]],"")</f>
        <v/>
      </c>
      <c r="AF1168" s="118" t="str">
        <f>IF(Tab.o1[[#This Row],[a1]]=1,ABS(Tab.o1[[#This Row],[DIF_Target.]]*Tab.o1[[#This Row],[PDF2]]*Tab.o1[[#This Row],[IN]]),"")</f>
        <v/>
      </c>
      <c r="AG1168" s="129" t="str">
        <f>IF(Tab.o1[[#This Row],[a1]]=1,Tab.o1[[#This Row],[rW]]^2,"")</f>
        <v/>
      </c>
      <c r="AH1168" s="130" t="str">
        <f>IF(Tab.o1[[#This Row],[a1]]=1,IF(AH$3=0,Tab.o1[[#This Row],[rW2]],0.01+0.94*Tab.o1[[#This Row],[rW2]]/SUM(Tab.o1[rW2])),"")</f>
        <v/>
      </c>
      <c r="AI1168" s="128" t="str">
        <f>IF(Tab.o1[[#This Row],[a1]]=1,1/Tab.o1[[#This Row],[PDF]],"")</f>
        <v/>
      </c>
      <c r="AJ1168" s="131" t="str">
        <f>IF(Tab.o1[[#This Row],[a1]]=1,[1]!T_AA[[#This Row],[IN'']]*[1]!T_AA[[#This Row],[Qde'']],"")</f>
        <v/>
      </c>
      <c r="AK1168" s="132" t="str">
        <f>IF(Tab.o1[[#This Row],[a1]]=1,IF(AK$1=1,Tab.o1[[#This Row],[MED]]+Tab.o1[[#This Row],[MOD]]-Tab.o1[[#This Row],[MED]],""),"")</f>
        <v/>
      </c>
      <c r="AL1168" s="133" t="str">
        <f>IF(Tab.o1[[#This Row],[a1]]=1,[1]!T.in.A[[#This Row],[oo16]],"")</f>
        <v/>
      </c>
      <c r="AM1168" s="133" t="str">
        <f>IF(Tab.o1[[#This Row],[a1]]=1,IF(AM$3=1,[1]!T.in.A[[#This Row],[Σo16]],""),"")</f>
        <v/>
      </c>
      <c r="AN1168" s="126" t="str">
        <f>IF(Tab.o1[[#This Row],[a1]]=1,[1]!T.in.A[[#This Row],[Σp5]],"")</f>
        <v/>
      </c>
      <c r="AO1168" s="126" t="str">
        <f>IF(Tab.o1[[#This Row],[a1]]=1,IF(AO$3=1,[1]!T.in.A[[#This Row],[Σp5]],""),"")</f>
        <v/>
      </c>
      <c r="AP1168" s="110" t="str">
        <f>IF(Tab.o1[[#This Row],[a1]]=1,IF(ISNUMBER(Tab.o1[[#This Row],[i.]]),NORMDIST(Tab.o1[[#This Row],[Za]],0,1,FALSE)*Tab.o1[[#This Row],[i.]],0),"")</f>
        <v/>
      </c>
      <c r="AQ1168" s="125" t="str">
        <f>IF(Tab.o1[[#This Row],[a1]]=1,ABS(Tab.o1[[#This Row],[MOD]]-AVERAGE(Tab.o1[MOD])),"")</f>
        <v/>
      </c>
      <c r="AR1168" s="134" t="str">
        <f>IF(Tab.o1[[#This Row],[a1]]=1,Tab.o1[[#This Row],[OBS]]/SUM(Tab.o1[OBS]),"")</f>
        <v/>
      </c>
      <c r="AS1168" s="135" t="str">
        <f>IF(ISNUMBER(Tab.o1[[#This Row],[a1]]),ROW()-4,"")</f>
        <v/>
      </c>
      <c r="AT1168" s="136" t="str">
        <f>Tab.o1[[#This Row],[MOD]]</f>
        <v/>
      </c>
      <c r="AU1168" s="137" t="str">
        <f t="shared" si="73"/>
        <v/>
      </c>
      <c r="AV1168" s="138" t="str">
        <f t="shared" si="74"/>
        <v/>
      </c>
      <c r="AW1168" s="138" t="str">
        <f t="shared" si="75"/>
        <v/>
      </c>
      <c r="AX1168" s="139" t="str">
        <f>[1]!T.in.A[[#This Row],[ID_T_manu]]</f>
        <v/>
      </c>
      <c r="AY1168" s="140" t="str">
        <f>IF(ISNUMBER(Tab.o1[[#This Row],[a1]]),IF(AND(Tab.o1[[#This Row],[a1]]=1,Tab.o1[[#This Row],[b1]]&lt;=AY$4),#REF!,AY1167),"")</f>
        <v/>
      </c>
      <c r="AZ1168" s="25"/>
      <c r="BA1168" s="25"/>
      <c r="BB1168" s="25"/>
      <c r="BC1168" s="25"/>
      <c r="BD1168" s="25"/>
      <c r="BE1168" s="25"/>
      <c r="BF1168" s="25"/>
      <c r="BG1168" s="25"/>
      <c r="BH1168" s="25"/>
      <c r="BI1168" s="25"/>
      <c r="BJ1168" s="25"/>
      <c r="BK1168" s="25"/>
      <c r="BL1168" s="25"/>
      <c r="BM1168" s="25"/>
      <c r="BN1168" s="26"/>
      <c r="BO1168" s="26"/>
      <c r="BP1168" s="26"/>
      <c r="BQ1168" s="26"/>
      <c r="BR1168" s="26"/>
      <c r="BS1168" s="26"/>
      <c r="BT1168" s="26"/>
      <c r="BU1168" s="26"/>
      <c r="BV1168" s="26"/>
      <c r="BW1168" s="26"/>
      <c r="BX1168" s="26"/>
      <c r="BY1168" s="26"/>
      <c r="BZ1168" s="26"/>
      <c r="CA1168" s="26"/>
    </row>
    <row r="1169" spans="1:79" ht="15.75" hidden="1">
      <c r="A1169" s="109">
        <v>-5.9999999999999993E-6</v>
      </c>
      <c r="B1169" s="110">
        <f t="shared" si="72"/>
        <v>1169</v>
      </c>
      <c r="C1169" s="111" t="str">
        <f>IF(C$1=[1]!T.in.A[[#This Row],[oo2]],1,"")</f>
        <v/>
      </c>
      <c r="D1169" s="112" t="str">
        <f>IF(Tab.o1[[#This Row],[a1]]=1,IF(SUM(C1169:C1170)=0,0,IF(SUM(C1168:C1169)=1,1,IF(SUM(C1168:C1170)&gt;1,D1168+1,0))),"")</f>
        <v/>
      </c>
      <c r="E1169" s="113" t="str">
        <f>IF(Tab.o1[[#This Row],[a1]]=1,[1]!T.in.A[[#This Row],[oo1]],"")</f>
        <v/>
      </c>
      <c r="F1169" s="113" t="str">
        <f>IF(Tab.o1[[#This Row],[a1]]=1,[1]!T.in.A[[#This Row],[pp1]],"")</f>
        <v/>
      </c>
      <c r="G1169" s="114" t="str">
        <f>IF(Tab.o1[[#This Row],[a1]]=1,G$2+IF(G$1=1,0,Tab.o1[[#This Row],[.x1]])+[1]!T.in.A[[#This Row],[oo3]],"")</f>
        <v/>
      </c>
      <c r="H1169" s="115" t="str">
        <f>IF(Tab.o1[[#This Row],[a1]]=1,IF(H$2=0,0,IF(G$1=1,0,Tab.o1[[#This Row],[.x1]])+[1]!T.in.A[[#This Row],[oo4]]),"")</f>
        <v/>
      </c>
      <c r="I1169" s="116" t="str">
        <f>IF(Tab.o1[[#This Row],[a1]]=1,IF(J$2=0,Tab.o1[[#This Row],[MED]],Tab.o1[[#This Row],[MOD]]),"")</f>
        <v/>
      </c>
      <c r="J1169" s="116" t="str">
        <f>IF(Tab.o1[[#This Row],[a1]]=1,((Tab.o1[[#This Row],[DIF_Target.]]-AVERAGE(Tab.o1[DIF_Target.]))/_xlfn.STDEV.P(Tab.o1[DIF_Target.])),"")</f>
        <v/>
      </c>
      <c r="K1169" s="117" t="str">
        <f>IF(Tab.o1[[#This Row],[a1]]=1,IF(J$2=0,Tab.o1[[#This Row],[MOD]]-Tab.o1[[#This Row],[B]],IF(J$2=1,0,-Tab.o1[[#This Row],[MED]])+Tab.o1[[#This Row],[B]]),"")</f>
        <v/>
      </c>
      <c r="L1169" s="117" t="str">
        <f ca="1">IF(Tab.o1[[#This Row],[DIF_Target]]=0,IF(L$2=0,Tab.o1[[#This Row],[DIF_Target]],AVERAGE(OFFSET(Tab.o1[[#This Row],[DIF_Target]],1,0,L$3,1)))/3,Tab.o1[[#This Row],[DIF_Target]])</f>
        <v/>
      </c>
      <c r="M1169" s="118" t="str">
        <f>IF(Tab.o1[[#This Row],[a1]]=1,NORMSDIST(Tab.o1[[#This Row],[Za]]),"")</f>
        <v/>
      </c>
      <c r="N1169" s="119" t="str">
        <f>IF(Tab.o1[[#This Row],[a1]]=1,((Tab.o1[[#This Row],[MedMod]]-AVERAGE(Tab.o1[MedMod]))/_xlfn.STDEV.P(Tab.o1[MedMod])*H$1205)+G$1205,"")</f>
        <v/>
      </c>
      <c r="O1169" s="141" t="str">
        <f>IF(Tab.o1[[#This Row],[a1]]=1,Tab.o1[[#This Row],[Zb]]*_xlfn.STDEV.P(Tab.o1[MedMod])+AVERAGE(Tab.o1[MedMod]),"")</f>
        <v/>
      </c>
      <c r="P1169" s="117" t="str">
        <f ca="1">IF(Tab.o1[[#This Row],[B]]=0,AVERAGE(OFFSET(Tab.o1[[#This Row],[B]],1,0,L$3,1)),Tab.o1[[#This Row],[B]])</f>
        <v/>
      </c>
      <c r="Q1169" s="121" t="str">
        <f>IF(Tab.o1[[#This Row],[a1]]=1,NORMSDIST(Tab.o1[[#This Row],[Zb]]),"")</f>
        <v/>
      </c>
      <c r="R1169" s="122" t="str">
        <f>IF(Tab.o1[[#This Row],[a1]]=1,((Tab.o1[[#This Row],[MedMod]]-AVERAGE(Tab.o1[MedMod]))/_xlfn.STDEV.P(Tab.o1[MedMod])*H$1203)+G$1203,"")</f>
        <v/>
      </c>
      <c r="S1169" s="122" t="str">
        <f>IF(Tab.o1[[#This Row],[a1]]=1,((Tab.o1[[#This Row],[MedMod]]-AVERAGE(Tab.o1[MedMod]))/_xlfn.STDEV.P(Tab.o1[MedMod])*H$1204)+G$1204,"")</f>
        <v/>
      </c>
      <c r="T1169" s="123" t="str">
        <f>IF(Tab.o1[[#This Row],[a1]]=1,Tab.o1[[#This Row],[Z-]]*_xlfn.STDEV.P(Tab.o1[B])+AVERAGE(Tab.o1[B]),"")</f>
        <v/>
      </c>
      <c r="U1169" s="123" t="str">
        <f>IF(Tab.o1[[#This Row],[a1]]=1,Tab.o1[[#This Row],[z+]]*_xlfn.STDEV.P(Tab.o1[B])+AVERAGE(Tab.o1[B]),"")</f>
        <v/>
      </c>
      <c r="V1169" s="124" t="str">
        <f>IF(Tab.o1[[#This Row],[a1]]=1,ABS((ABS(Tab.o1[[#This Row],[Red]]-Tab.o1[[#This Row],[Blue]]))),"")</f>
        <v/>
      </c>
      <c r="W1169" s="125" t="str">
        <f>IF(Tab.o1[[#This Row],[a1]]=1,IF(W$3=0,1,Tab.o1[[#This Row],[Amp.]]*1/_xlfn.MINIFS(Tab.o1[Amp.],Tab.o1[Amp.],"&lt;&gt;0")),"")</f>
        <v/>
      </c>
      <c r="X1169" s="126" t="str">
        <f>IF(Tab.o1[[#This Row],[a1]]=1,IF(ISNUMBER(Tab.o1[[#This Row],[i.]]),NORMDIST(Tab.o1[[#This Row],[Za]],0,1,FALSE)*Tab.o1[[#This Row],[i.]],AP$3),"")</f>
        <v/>
      </c>
      <c r="Y1169" s="126" t="str">
        <f>IF(Tab.o1[[#This Row],[a1]]=1,0.01+0.94*Tab.o1[[#This Row],[PDF]]/MAX(Tab.o1[PDF]),"")</f>
        <v/>
      </c>
      <c r="Z1169" s="126" t="str">
        <f>IF(Tab.o1[[#This Row],[a1]]=1,0.01+0.94*Tab.o1[[#This Row],[W1_PDF]]/MAX(Tab.o1[W1_PDF]),"")</f>
        <v/>
      </c>
      <c r="AA1169" s="118" t="str">
        <f>IF(Tab.o1[[#This Row],[a1]]=1,ABS([1]!T.in.A[[#This Row],[oo6]]),"")</f>
        <v/>
      </c>
      <c r="AB1169" s="127" t="str">
        <f>IF(Tab.o1[[#This Row],[a1]]=1,IF(AE$3=0,"",IF(AB$3=0,ABS([1]!T.in.A[[#This Row],[oo9]]),ABS(Tab.o1[[#This Row],[DIF_Target.]]*Tab.o1[[#This Row],[W1_PDF]]))),"")</f>
        <v/>
      </c>
      <c r="AC1169" s="127" t="str">
        <f>IF(G$1=1,"",IF(Tab.o1[[#This Row],[a1]]=1,Tab.o1[[#This Row],[Wr]]^2,""))</f>
        <v/>
      </c>
      <c r="AD1169" s="118" t="str">
        <f>IF(Tab.o1[[#This Row],[a1]]=1,IF(AE$3=0,"",Tab.o1[[#This Row],[Wr2]]/SUM(Tab.o1[Wr2])),"")</f>
        <v/>
      </c>
      <c r="AE1169" s="128" t="str">
        <f>IF(Tab.o1[[#This Row],[a1]]=1,[1]!T.in.A[[#This Row],[oo10]],"")</f>
        <v/>
      </c>
      <c r="AF1169" s="118" t="str">
        <f>IF(Tab.o1[[#This Row],[a1]]=1,ABS(Tab.o1[[#This Row],[DIF_Target.]]*Tab.o1[[#This Row],[PDF2]]*Tab.o1[[#This Row],[IN]]),"")</f>
        <v/>
      </c>
      <c r="AG1169" s="129" t="str">
        <f>IF(Tab.o1[[#This Row],[a1]]=1,Tab.o1[[#This Row],[rW]]^2,"")</f>
        <v/>
      </c>
      <c r="AH1169" s="130" t="str">
        <f>IF(Tab.o1[[#This Row],[a1]]=1,IF(AH$3=0,Tab.o1[[#This Row],[rW2]],0.01+0.94*Tab.o1[[#This Row],[rW2]]/SUM(Tab.o1[rW2])),"")</f>
        <v/>
      </c>
      <c r="AI1169" s="128" t="str">
        <f>IF(Tab.o1[[#This Row],[a1]]=1,1/Tab.o1[[#This Row],[PDF]],"")</f>
        <v/>
      </c>
      <c r="AJ1169" s="131" t="str">
        <f>IF(Tab.o1[[#This Row],[a1]]=1,[1]!T_AA[[#This Row],[IN'']]*[1]!T_AA[[#This Row],[Qde'']],"")</f>
        <v/>
      </c>
      <c r="AK1169" s="132" t="str">
        <f>IF(Tab.o1[[#This Row],[a1]]=1,IF(AK$1=1,Tab.o1[[#This Row],[MED]]+Tab.o1[[#This Row],[MOD]]-Tab.o1[[#This Row],[MED]],""),"")</f>
        <v/>
      </c>
      <c r="AL1169" s="133" t="str">
        <f>IF(Tab.o1[[#This Row],[a1]]=1,[1]!T.in.A[[#This Row],[oo16]],"")</f>
        <v/>
      </c>
      <c r="AM1169" s="133" t="str">
        <f>IF(Tab.o1[[#This Row],[a1]]=1,IF(AM$3=1,[1]!T.in.A[[#This Row],[Σo16]],""),"")</f>
        <v/>
      </c>
      <c r="AN1169" s="126" t="str">
        <f>IF(Tab.o1[[#This Row],[a1]]=1,[1]!T.in.A[[#This Row],[Σp5]],"")</f>
        <v/>
      </c>
      <c r="AO1169" s="126" t="str">
        <f>IF(Tab.o1[[#This Row],[a1]]=1,IF(AO$3=1,[1]!T.in.A[[#This Row],[Σp5]],""),"")</f>
        <v/>
      </c>
      <c r="AP1169" s="110" t="str">
        <f>IF(Tab.o1[[#This Row],[a1]]=1,IF(ISNUMBER(Tab.o1[[#This Row],[i.]]),NORMDIST(Tab.o1[[#This Row],[Za]],0,1,FALSE)*Tab.o1[[#This Row],[i.]],0),"")</f>
        <v/>
      </c>
      <c r="AQ1169" s="125" t="str">
        <f>IF(Tab.o1[[#This Row],[a1]]=1,ABS(Tab.o1[[#This Row],[MOD]]-AVERAGE(Tab.o1[MOD])),"")</f>
        <v/>
      </c>
      <c r="AR1169" s="134" t="str">
        <f>IF(Tab.o1[[#This Row],[a1]]=1,Tab.o1[[#This Row],[OBS]]/SUM(Tab.o1[OBS]),"")</f>
        <v/>
      </c>
      <c r="AS1169" s="135" t="str">
        <f>IF(ISNUMBER(Tab.o1[[#This Row],[a1]]),ROW()-4,"")</f>
        <v/>
      </c>
      <c r="AT1169" s="136" t="str">
        <f>Tab.o1[[#This Row],[MOD]]</f>
        <v/>
      </c>
      <c r="AU1169" s="137" t="str">
        <f t="shared" si="73"/>
        <v/>
      </c>
      <c r="AV1169" s="138" t="str">
        <f t="shared" si="74"/>
        <v/>
      </c>
      <c r="AW1169" s="138" t="str">
        <f t="shared" si="75"/>
        <v/>
      </c>
      <c r="AX1169" s="139" t="str">
        <f>[1]!T.in.A[[#This Row],[ID_T_manu]]</f>
        <v/>
      </c>
      <c r="AY1169" s="140" t="str">
        <f>IF(ISNUMBER(Tab.o1[[#This Row],[a1]]),IF(AND(Tab.o1[[#This Row],[a1]]=1,Tab.o1[[#This Row],[b1]]&lt;=AY$4),#REF!,AY1168),"")</f>
        <v/>
      </c>
      <c r="AZ1169" s="25"/>
      <c r="BA1169" s="25"/>
      <c r="BB1169" s="25"/>
      <c r="BC1169" s="25"/>
      <c r="BD1169" s="25"/>
      <c r="BE1169" s="25"/>
      <c r="BF1169" s="25"/>
      <c r="BG1169" s="25"/>
      <c r="BH1169" s="25"/>
      <c r="BI1169" s="25"/>
      <c r="BJ1169" s="25"/>
      <c r="BK1169" s="25"/>
      <c r="BL1169" s="25"/>
      <c r="BM1169" s="25"/>
      <c r="BN1169" s="26"/>
      <c r="BO1169" s="26"/>
      <c r="BP1169" s="26"/>
      <c r="BQ1169" s="26"/>
      <c r="BR1169" s="26"/>
      <c r="BS1169" s="26"/>
      <c r="BT1169" s="26"/>
      <c r="BU1169" s="26"/>
      <c r="BV1169" s="26"/>
      <c r="BW1169" s="26"/>
      <c r="BX1169" s="26"/>
      <c r="BY1169" s="26"/>
      <c r="BZ1169" s="26"/>
      <c r="CA1169" s="26"/>
    </row>
    <row r="1170" spans="1:79" ht="15.75" hidden="1">
      <c r="A1170" s="109">
        <v>-5.0000000000000004E-6</v>
      </c>
      <c r="B1170" s="110">
        <f t="shared" si="72"/>
        <v>1170</v>
      </c>
      <c r="C1170" s="111" t="str">
        <f>IF(C$1=[1]!T.in.A[[#This Row],[oo2]],1,"")</f>
        <v/>
      </c>
      <c r="D1170" s="112" t="str">
        <f>IF(Tab.o1[[#This Row],[a1]]=1,IF(SUM(C1170:C1171)=0,0,IF(SUM(C1169:C1170)=1,1,IF(SUM(C1169:C1171)&gt;1,D1169+1,0))),"")</f>
        <v/>
      </c>
      <c r="E1170" s="113" t="str">
        <f>IF(Tab.o1[[#This Row],[a1]]=1,[1]!T.in.A[[#This Row],[oo1]],"")</f>
        <v/>
      </c>
      <c r="F1170" s="113" t="str">
        <f>IF(Tab.o1[[#This Row],[a1]]=1,[1]!T.in.A[[#This Row],[pp1]],"")</f>
        <v/>
      </c>
      <c r="G1170" s="114" t="str">
        <f>IF(Tab.o1[[#This Row],[a1]]=1,G$2+IF(G$1=1,0,Tab.o1[[#This Row],[.x1]])+[1]!T.in.A[[#This Row],[oo3]],"")</f>
        <v/>
      </c>
      <c r="H1170" s="115" t="str">
        <f>IF(Tab.o1[[#This Row],[a1]]=1,IF(H$2=0,0,IF(G$1=1,0,Tab.o1[[#This Row],[.x1]])+[1]!T.in.A[[#This Row],[oo4]]),"")</f>
        <v/>
      </c>
      <c r="I1170" s="116" t="str">
        <f>IF(Tab.o1[[#This Row],[a1]]=1,IF(J$2=0,Tab.o1[[#This Row],[MED]],Tab.o1[[#This Row],[MOD]]),"")</f>
        <v/>
      </c>
      <c r="J1170" s="116" t="str">
        <f>IF(Tab.o1[[#This Row],[a1]]=1,((Tab.o1[[#This Row],[DIF_Target.]]-AVERAGE(Tab.o1[DIF_Target.]))/_xlfn.STDEV.P(Tab.o1[DIF_Target.])),"")</f>
        <v/>
      </c>
      <c r="K1170" s="117" t="str">
        <f>IF(Tab.o1[[#This Row],[a1]]=1,IF(J$2=0,Tab.o1[[#This Row],[MOD]]-Tab.o1[[#This Row],[B]],IF(J$2=1,0,-Tab.o1[[#This Row],[MED]])+Tab.o1[[#This Row],[B]]),"")</f>
        <v/>
      </c>
      <c r="L1170" s="117" t="str">
        <f ca="1">IF(Tab.o1[[#This Row],[DIF_Target]]=0,IF(L$2=0,Tab.o1[[#This Row],[DIF_Target]],AVERAGE(OFFSET(Tab.o1[[#This Row],[DIF_Target]],1,0,L$3,1)))/3,Tab.o1[[#This Row],[DIF_Target]])</f>
        <v/>
      </c>
      <c r="M1170" s="118" t="str">
        <f>IF(Tab.o1[[#This Row],[a1]]=1,NORMSDIST(Tab.o1[[#This Row],[Za]]),"")</f>
        <v/>
      </c>
      <c r="N1170" s="119" t="str">
        <f>IF(Tab.o1[[#This Row],[a1]]=1,((Tab.o1[[#This Row],[MedMod]]-AVERAGE(Tab.o1[MedMod]))/_xlfn.STDEV.P(Tab.o1[MedMod])*H$1205)+G$1205,"")</f>
        <v/>
      </c>
      <c r="O1170" s="141" t="str">
        <f>IF(Tab.o1[[#This Row],[a1]]=1,Tab.o1[[#This Row],[Zb]]*_xlfn.STDEV.P(Tab.o1[MedMod])+AVERAGE(Tab.o1[MedMod]),"")</f>
        <v/>
      </c>
      <c r="P1170" s="117" t="str">
        <f ca="1">IF(Tab.o1[[#This Row],[B]]=0,AVERAGE(OFFSET(Tab.o1[[#This Row],[B]],1,0,L$3,1)),Tab.o1[[#This Row],[B]])</f>
        <v/>
      </c>
      <c r="Q1170" s="121" t="str">
        <f>IF(Tab.o1[[#This Row],[a1]]=1,NORMSDIST(Tab.o1[[#This Row],[Zb]]),"")</f>
        <v/>
      </c>
      <c r="R1170" s="122" t="str">
        <f>IF(Tab.o1[[#This Row],[a1]]=1,((Tab.o1[[#This Row],[MedMod]]-AVERAGE(Tab.o1[MedMod]))/_xlfn.STDEV.P(Tab.o1[MedMod])*H$1203)+G$1203,"")</f>
        <v/>
      </c>
      <c r="S1170" s="122" t="str">
        <f>IF(Tab.o1[[#This Row],[a1]]=1,((Tab.o1[[#This Row],[MedMod]]-AVERAGE(Tab.o1[MedMod]))/_xlfn.STDEV.P(Tab.o1[MedMod])*H$1204)+G$1204,"")</f>
        <v/>
      </c>
      <c r="T1170" s="123" t="str">
        <f>IF(Tab.o1[[#This Row],[a1]]=1,Tab.o1[[#This Row],[Z-]]*_xlfn.STDEV.P(Tab.o1[B])+AVERAGE(Tab.o1[B]),"")</f>
        <v/>
      </c>
      <c r="U1170" s="123" t="str">
        <f>IF(Tab.o1[[#This Row],[a1]]=1,Tab.o1[[#This Row],[z+]]*_xlfn.STDEV.P(Tab.o1[B])+AVERAGE(Tab.o1[B]),"")</f>
        <v/>
      </c>
      <c r="V1170" s="124" t="str">
        <f>IF(Tab.o1[[#This Row],[a1]]=1,ABS((ABS(Tab.o1[[#This Row],[Red]]-Tab.o1[[#This Row],[Blue]]))),"")</f>
        <v/>
      </c>
      <c r="W1170" s="125" t="str">
        <f>IF(Tab.o1[[#This Row],[a1]]=1,IF(W$3=0,1,Tab.o1[[#This Row],[Amp.]]*1/_xlfn.MINIFS(Tab.o1[Amp.],Tab.o1[Amp.],"&lt;&gt;0")),"")</f>
        <v/>
      </c>
      <c r="X1170" s="126" t="str">
        <f>IF(Tab.o1[[#This Row],[a1]]=1,IF(ISNUMBER(Tab.o1[[#This Row],[i.]]),NORMDIST(Tab.o1[[#This Row],[Za]],0,1,FALSE)*Tab.o1[[#This Row],[i.]],AP$3),"")</f>
        <v/>
      </c>
      <c r="Y1170" s="126" t="str">
        <f>IF(Tab.o1[[#This Row],[a1]]=1,0.01+0.94*Tab.o1[[#This Row],[PDF]]/MAX(Tab.o1[PDF]),"")</f>
        <v/>
      </c>
      <c r="Z1170" s="126" t="str">
        <f>IF(Tab.o1[[#This Row],[a1]]=1,0.01+0.94*Tab.o1[[#This Row],[W1_PDF]]/MAX(Tab.o1[W1_PDF]),"")</f>
        <v/>
      </c>
      <c r="AA1170" s="118" t="str">
        <f>IF(Tab.o1[[#This Row],[a1]]=1,ABS([1]!T.in.A[[#This Row],[oo6]]),"")</f>
        <v/>
      </c>
      <c r="AB1170" s="127" t="str">
        <f>IF(Tab.o1[[#This Row],[a1]]=1,IF(AE$3=0,"",IF(AB$3=0,ABS([1]!T.in.A[[#This Row],[oo9]]),ABS(Tab.o1[[#This Row],[DIF_Target.]]*Tab.o1[[#This Row],[W1_PDF]]))),"")</f>
        <v/>
      </c>
      <c r="AC1170" s="127" t="str">
        <f>IF(G$1=1,"",IF(Tab.o1[[#This Row],[a1]]=1,Tab.o1[[#This Row],[Wr]]^2,""))</f>
        <v/>
      </c>
      <c r="AD1170" s="118" t="str">
        <f>IF(Tab.o1[[#This Row],[a1]]=1,IF(AE$3=0,"",Tab.o1[[#This Row],[Wr2]]/SUM(Tab.o1[Wr2])),"")</f>
        <v/>
      </c>
      <c r="AE1170" s="128" t="str">
        <f>IF(Tab.o1[[#This Row],[a1]]=1,[1]!T.in.A[[#This Row],[oo10]],"")</f>
        <v/>
      </c>
      <c r="AF1170" s="118" t="str">
        <f>IF(Tab.o1[[#This Row],[a1]]=1,ABS(Tab.o1[[#This Row],[DIF_Target.]]*Tab.o1[[#This Row],[PDF2]]*Tab.o1[[#This Row],[IN]]),"")</f>
        <v/>
      </c>
      <c r="AG1170" s="129" t="str">
        <f>IF(Tab.o1[[#This Row],[a1]]=1,Tab.o1[[#This Row],[rW]]^2,"")</f>
        <v/>
      </c>
      <c r="AH1170" s="130" t="str">
        <f>IF(Tab.o1[[#This Row],[a1]]=1,IF(AH$3=0,Tab.o1[[#This Row],[rW2]],0.01+0.94*Tab.o1[[#This Row],[rW2]]/SUM(Tab.o1[rW2])),"")</f>
        <v/>
      </c>
      <c r="AI1170" s="128" t="str">
        <f>IF(Tab.o1[[#This Row],[a1]]=1,1/Tab.o1[[#This Row],[PDF]],"")</f>
        <v/>
      </c>
      <c r="AJ1170" s="131" t="str">
        <f>IF(Tab.o1[[#This Row],[a1]]=1,[1]!T_AA[[#This Row],[IN'']]*[1]!T_AA[[#This Row],[Qde'']],"")</f>
        <v/>
      </c>
      <c r="AK1170" s="132" t="str">
        <f>IF(Tab.o1[[#This Row],[a1]]=1,IF(AK$1=1,Tab.o1[[#This Row],[MED]]+Tab.o1[[#This Row],[MOD]]-Tab.o1[[#This Row],[MED]],""),"")</f>
        <v/>
      </c>
      <c r="AL1170" s="133" t="str">
        <f>IF(Tab.o1[[#This Row],[a1]]=1,[1]!T.in.A[[#This Row],[oo16]],"")</f>
        <v/>
      </c>
      <c r="AM1170" s="133" t="str">
        <f>IF(Tab.o1[[#This Row],[a1]]=1,IF(AM$3=1,[1]!T.in.A[[#This Row],[Σo16]],""),"")</f>
        <v/>
      </c>
      <c r="AN1170" s="126" t="str">
        <f>IF(Tab.o1[[#This Row],[a1]]=1,[1]!T.in.A[[#This Row],[Σp5]],"")</f>
        <v/>
      </c>
      <c r="AO1170" s="126" t="str">
        <f>IF(Tab.o1[[#This Row],[a1]]=1,IF(AO$3=1,[1]!T.in.A[[#This Row],[Σp5]],""),"")</f>
        <v/>
      </c>
      <c r="AP1170" s="110" t="str">
        <f>IF(Tab.o1[[#This Row],[a1]]=1,IF(ISNUMBER(Tab.o1[[#This Row],[i.]]),NORMDIST(Tab.o1[[#This Row],[Za]],0,1,FALSE)*Tab.o1[[#This Row],[i.]],0),"")</f>
        <v/>
      </c>
      <c r="AQ1170" s="125" t="str">
        <f>IF(Tab.o1[[#This Row],[a1]]=1,ABS(Tab.o1[[#This Row],[MOD]]-AVERAGE(Tab.o1[MOD])),"")</f>
        <v/>
      </c>
      <c r="AR1170" s="134" t="str">
        <f>IF(Tab.o1[[#This Row],[a1]]=1,Tab.o1[[#This Row],[OBS]]/SUM(Tab.o1[OBS]),"")</f>
        <v/>
      </c>
      <c r="AS1170" s="135" t="str">
        <f>IF(ISNUMBER(Tab.o1[[#This Row],[a1]]),ROW()-4,"")</f>
        <v/>
      </c>
      <c r="AT1170" s="136" t="str">
        <f>Tab.o1[[#This Row],[MOD]]</f>
        <v/>
      </c>
      <c r="AU1170" s="137" t="str">
        <f t="shared" si="73"/>
        <v/>
      </c>
      <c r="AV1170" s="138" t="str">
        <f t="shared" si="74"/>
        <v/>
      </c>
      <c r="AW1170" s="138" t="str">
        <f t="shared" si="75"/>
        <v/>
      </c>
      <c r="AX1170" s="139" t="str">
        <f>[1]!T.in.A[[#This Row],[ID_T_manu]]</f>
        <v/>
      </c>
      <c r="AY1170" s="140" t="str">
        <f>IF(ISNUMBER(Tab.o1[[#This Row],[a1]]),IF(AND(Tab.o1[[#This Row],[a1]]=1,Tab.o1[[#This Row],[b1]]&lt;=AY$4),#REF!,AY1169),"")</f>
        <v/>
      </c>
      <c r="AZ1170" s="25"/>
      <c r="BA1170" s="25"/>
      <c r="BB1170" s="25"/>
      <c r="BC1170" s="25"/>
      <c r="BD1170" s="25"/>
      <c r="BE1170" s="25"/>
      <c r="BF1170" s="25"/>
      <c r="BG1170" s="25"/>
      <c r="BH1170" s="25"/>
      <c r="BI1170" s="25"/>
      <c r="BJ1170" s="25"/>
      <c r="BK1170" s="25"/>
      <c r="BL1170" s="25"/>
      <c r="BM1170" s="25"/>
      <c r="BN1170" s="26"/>
      <c r="BO1170" s="26"/>
      <c r="BP1170" s="26"/>
      <c r="BQ1170" s="26"/>
      <c r="BR1170" s="26"/>
      <c r="BS1170" s="26"/>
      <c r="BT1170" s="26"/>
      <c r="BU1170" s="26"/>
      <c r="BV1170" s="26"/>
      <c r="BW1170" s="26"/>
      <c r="BX1170" s="26"/>
      <c r="BY1170" s="26"/>
      <c r="BZ1170" s="26"/>
      <c r="CA1170" s="26"/>
    </row>
    <row r="1171" spans="1:79" ht="15.75" hidden="1">
      <c r="A1171" s="109">
        <v>1.0000000000000001E-5</v>
      </c>
      <c r="B1171" s="110">
        <f t="shared" si="72"/>
        <v>1171</v>
      </c>
      <c r="C1171" s="111" t="str">
        <f>IF(C$1=[1]!T.in.A[[#This Row],[oo2]],1,"")</f>
        <v/>
      </c>
      <c r="D1171" s="112" t="str">
        <f>IF(Tab.o1[[#This Row],[a1]]=1,IF(SUM(C1171:C1172)=0,0,IF(SUM(C1170:C1171)=1,1,IF(SUM(C1170:C1172)&gt;1,D1170+1,0))),"")</f>
        <v/>
      </c>
      <c r="E1171" s="113" t="str">
        <f>IF(Tab.o1[[#This Row],[a1]]=1,[1]!T.in.A[[#This Row],[oo1]],"")</f>
        <v/>
      </c>
      <c r="F1171" s="113" t="str">
        <f>IF(Tab.o1[[#This Row],[a1]]=1,[1]!T.in.A[[#This Row],[pp1]],"")</f>
        <v/>
      </c>
      <c r="G1171" s="114" t="str">
        <f>IF(Tab.o1[[#This Row],[a1]]=1,G$2+IF(G$1=1,0,Tab.o1[[#This Row],[.x1]])+[1]!T.in.A[[#This Row],[oo3]],"")</f>
        <v/>
      </c>
      <c r="H1171" s="115" t="str">
        <f>IF(Tab.o1[[#This Row],[a1]]=1,IF(H$2=0,0,IF(G$1=1,0,Tab.o1[[#This Row],[.x1]])+[1]!T.in.A[[#This Row],[oo4]]),"")</f>
        <v/>
      </c>
      <c r="I1171" s="116" t="str">
        <f>IF(Tab.o1[[#This Row],[a1]]=1,IF(J$2=0,Tab.o1[[#This Row],[MED]],Tab.o1[[#This Row],[MOD]]),"")</f>
        <v/>
      </c>
      <c r="J1171" s="116" t="str">
        <f>IF(Tab.o1[[#This Row],[a1]]=1,((Tab.o1[[#This Row],[DIF_Target.]]-AVERAGE(Tab.o1[DIF_Target.]))/_xlfn.STDEV.P(Tab.o1[DIF_Target.])),"")</f>
        <v/>
      </c>
      <c r="K1171" s="117" t="str">
        <f>IF(Tab.o1[[#This Row],[a1]]=1,IF(J$2=0,Tab.o1[[#This Row],[MOD]]-Tab.o1[[#This Row],[B]],IF(J$2=1,0,-Tab.o1[[#This Row],[MED]])+Tab.o1[[#This Row],[B]]),"")</f>
        <v/>
      </c>
      <c r="L1171" s="117" t="str">
        <f ca="1">IF(Tab.o1[[#This Row],[DIF_Target]]=0,IF(L$2=0,Tab.o1[[#This Row],[DIF_Target]],AVERAGE(OFFSET(Tab.o1[[#This Row],[DIF_Target]],1,0,L$3,1)))/3,Tab.o1[[#This Row],[DIF_Target]])</f>
        <v/>
      </c>
      <c r="M1171" s="118" t="str">
        <f>IF(Tab.o1[[#This Row],[a1]]=1,NORMSDIST(Tab.o1[[#This Row],[Za]]),"")</f>
        <v/>
      </c>
      <c r="N1171" s="119" t="str">
        <f>IF(Tab.o1[[#This Row],[a1]]=1,((Tab.o1[[#This Row],[MedMod]]-AVERAGE(Tab.o1[MedMod]))/_xlfn.STDEV.P(Tab.o1[MedMod])*H$1205)+G$1205,"")</f>
        <v/>
      </c>
      <c r="O1171" s="141" t="str">
        <f>IF(Tab.o1[[#This Row],[a1]]=1,Tab.o1[[#This Row],[Zb]]*_xlfn.STDEV.P(Tab.o1[MedMod])+AVERAGE(Tab.o1[MedMod]),"")</f>
        <v/>
      </c>
      <c r="P1171" s="117" t="str">
        <f ca="1">IF(Tab.o1[[#This Row],[B]]=0,AVERAGE(OFFSET(Tab.o1[[#This Row],[B]],1,0,L$3,1)),Tab.o1[[#This Row],[B]])</f>
        <v/>
      </c>
      <c r="Q1171" s="121" t="str">
        <f>IF(Tab.o1[[#This Row],[a1]]=1,NORMSDIST(Tab.o1[[#This Row],[Zb]]),"")</f>
        <v/>
      </c>
      <c r="R1171" s="122" t="str">
        <f>IF(Tab.o1[[#This Row],[a1]]=1,((Tab.o1[[#This Row],[MedMod]]-AVERAGE(Tab.o1[MedMod]))/_xlfn.STDEV.P(Tab.o1[MedMod])*H$1203)+G$1203,"")</f>
        <v/>
      </c>
      <c r="S1171" s="122" t="str">
        <f>IF(Tab.o1[[#This Row],[a1]]=1,((Tab.o1[[#This Row],[MedMod]]-AVERAGE(Tab.o1[MedMod]))/_xlfn.STDEV.P(Tab.o1[MedMod])*H$1204)+G$1204,"")</f>
        <v/>
      </c>
      <c r="T1171" s="123" t="str">
        <f>IF(Tab.o1[[#This Row],[a1]]=1,Tab.o1[[#This Row],[Z-]]*_xlfn.STDEV.P(Tab.o1[B])+AVERAGE(Tab.o1[B]),"")</f>
        <v/>
      </c>
      <c r="U1171" s="123" t="str">
        <f>IF(Tab.o1[[#This Row],[a1]]=1,Tab.o1[[#This Row],[z+]]*_xlfn.STDEV.P(Tab.o1[B])+AVERAGE(Tab.o1[B]),"")</f>
        <v/>
      </c>
      <c r="V1171" s="124" t="str">
        <f>IF(Tab.o1[[#This Row],[a1]]=1,ABS((ABS(Tab.o1[[#This Row],[Red]]-Tab.o1[[#This Row],[Blue]]))),"")</f>
        <v/>
      </c>
      <c r="W1171" s="125" t="str">
        <f>IF(Tab.o1[[#This Row],[a1]]=1,IF(W$3=0,1,Tab.o1[[#This Row],[Amp.]]*1/_xlfn.MINIFS(Tab.o1[Amp.],Tab.o1[Amp.],"&lt;&gt;0")),"")</f>
        <v/>
      </c>
      <c r="X1171" s="126" t="str">
        <f>IF(Tab.o1[[#This Row],[a1]]=1,IF(ISNUMBER(Tab.o1[[#This Row],[i.]]),NORMDIST(Tab.o1[[#This Row],[Za]],0,1,FALSE)*Tab.o1[[#This Row],[i.]],AP$3),"")</f>
        <v/>
      </c>
      <c r="Y1171" s="126" t="str">
        <f>IF(Tab.o1[[#This Row],[a1]]=1,0.01+0.94*Tab.o1[[#This Row],[PDF]]/MAX(Tab.o1[PDF]),"")</f>
        <v/>
      </c>
      <c r="Z1171" s="126" t="str">
        <f>IF(Tab.o1[[#This Row],[a1]]=1,0.01+0.94*Tab.o1[[#This Row],[W1_PDF]]/MAX(Tab.o1[W1_PDF]),"")</f>
        <v/>
      </c>
      <c r="AA1171" s="118" t="str">
        <f>IF(Tab.o1[[#This Row],[a1]]=1,ABS([1]!T.in.A[[#This Row],[oo6]]),"")</f>
        <v/>
      </c>
      <c r="AB1171" s="127" t="str">
        <f>IF(Tab.o1[[#This Row],[a1]]=1,IF(AE$3=0,"",IF(AB$3=0,ABS([1]!T.in.A[[#This Row],[oo9]]),ABS(Tab.o1[[#This Row],[DIF_Target.]]*Tab.o1[[#This Row],[W1_PDF]]))),"")</f>
        <v/>
      </c>
      <c r="AC1171" s="127" t="str">
        <f>IF(G$1=1,"",IF(Tab.o1[[#This Row],[a1]]=1,Tab.o1[[#This Row],[Wr]]^2,""))</f>
        <v/>
      </c>
      <c r="AD1171" s="118" t="str">
        <f>IF(Tab.o1[[#This Row],[a1]]=1,IF(AE$3=0,"",Tab.o1[[#This Row],[Wr2]]/SUM(Tab.o1[Wr2])),"")</f>
        <v/>
      </c>
      <c r="AE1171" s="128" t="str">
        <f>IF(Tab.o1[[#This Row],[a1]]=1,[1]!T.in.A[[#This Row],[oo10]],"")</f>
        <v/>
      </c>
      <c r="AF1171" s="118" t="str">
        <f>IF(Tab.o1[[#This Row],[a1]]=1,ABS(Tab.o1[[#This Row],[DIF_Target.]]*Tab.o1[[#This Row],[PDF2]]*Tab.o1[[#This Row],[IN]]),"")</f>
        <v/>
      </c>
      <c r="AG1171" s="129" t="str">
        <f>IF(Tab.o1[[#This Row],[a1]]=1,Tab.o1[[#This Row],[rW]]^2,"")</f>
        <v/>
      </c>
      <c r="AH1171" s="130" t="str">
        <f>IF(Tab.o1[[#This Row],[a1]]=1,IF(AH$3=0,Tab.o1[[#This Row],[rW2]],0.01+0.94*Tab.o1[[#This Row],[rW2]]/SUM(Tab.o1[rW2])),"")</f>
        <v/>
      </c>
      <c r="AI1171" s="128" t="str">
        <f>IF(Tab.o1[[#This Row],[a1]]=1,1/Tab.o1[[#This Row],[PDF]],"")</f>
        <v/>
      </c>
      <c r="AJ1171" s="131" t="str">
        <f>IF(Tab.o1[[#This Row],[a1]]=1,[1]!T_AA[[#This Row],[IN'']]*[1]!T_AA[[#This Row],[Qde'']],"")</f>
        <v/>
      </c>
      <c r="AK1171" s="132" t="str">
        <f>IF(Tab.o1[[#This Row],[a1]]=1,IF(AK$1=1,Tab.o1[[#This Row],[MED]]+Tab.o1[[#This Row],[MOD]]-Tab.o1[[#This Row],[MED]],""),"")</f>
        <v/>
      </c>
      <c r="AL1171" s="133" t="str">
        <f>IF(Tab.o1[[#This Row],[a1]]=1,[1]!T.in.A[[#This Row],[oo16]],"")</f>
        <v/>
      </c>
      <c r="AM1171" s="133" t="str">
        <f>IF(Tab.o1[[#This Row],[a1]]=1,IF(AM$3=1,[1]!T.in.A[[#This Row],[Σo16]],""),"")</f>
        <v/>
      </c>
      <c r="AN1171" s="126" t="str">
        <f>IF(Tab.o1[[#This Row],[a1]]=1,[1]!T.in.A[[#This Row],[Σp5]],"")</f>
        <v/>
      </c>
      <c r="AO1171" s="126" t="str">
        <f>IF(Tab.o1[[#This Row],[a1]]=1,IF(AO$3=1,[1]!T.in.A[[#This Row],[Σp5]],""),"")</f>
        <v/>
      </c>
      <c r="AP1171" s="110" t="str">
        <f>IF(Tab.o1[[#This Row],[a1]]=1,IF(ISNUMBER(Tab.o1[[#This Row],[i.]]),NORMDIST(Tab.o1[[#This Row],[Za]],0,1,FALSE)*Tab.o1[[#This Row],[i.]],0),"")</f>
        <v/>
      </c>
      <c r="AQ1171" s="125" t="str">
        <f>IF(Tab.o1[[#This Row],[a1]]=1,ABS(Tab.o1[[#This Row],[MOD]]-AVERAGE(Tab.o1[MOD])),"")</f>
        <v/>
      </c>
      <c r="AR1171" s="134" t="str">
        <f>IF(Tab.o1[[#This Row],[a1]]=1,Tab.o1[[#This Row],[OBS]]/SUM(Tab.o1[OBS]),"")</f>
        <v/>
      </c>
      <c r="AS1171" s="135" t="str">
        <f>IF(ISNUMBER(Tab.o1[[#This Row],[a1]]),ROW()-4,"")</f>
        <v/>
      </c>
      <c r="AT1171" s="136" t="str">
        <f>Tab.o1[[#This Row],[MOD]]</f>
        <v/>
      </c>
      <c r="AU1171" s="137" t="str">
        <f t="shared" si="73"/>
        <v/>
      </c>
      <c r="AV1171" s="138" t="str">
        <f t="shared" si="74"/>
        <v/>
      </c>
      <c r="AW1171" s="138" t="str">
        <f t="shared" si="75"/>
        <v/>
      </c>
      <c r="AX1171" s="139" t="str">
        <f>[1]!T.in.A[[#This Row],[ID_T_manu]]</f>
        <v/>
      </c>
      <c r="AY1171" s="140" t="str">
        <f>IF(ISNUMBER(Tab.o1[[#This Row],[a1]]),IF(AND(Tab.o1[[#This Row],[a1]]=1,Tab.o1[[#This Row],[b1]]&lt;=AY$4),#REF!,AY1170),"")</f>
        <v/>
      </c>
      <c r="AZ1171" s="25"/>
      <c r="BA1171" s="25"/>
      <c r="BB1171" s="25"/>
      <c r="BC1171" s="25"/>
      <c r="BD1171" s="25"/>
      <c r="BE1171" s="25"/>
      <c r="BF1171" s="25"/>
      <c r="BG1171" s="25"/>
      <c r="BH1171" s="25"/>
      <c r="BI1171" s="25"/>
      <c r="BJ1171" s="25"/>
      <c r="BK1171" s="25"/>
      <c r="BL1171" s="25"/>
      <c r="BM1171" s="25"/>
      <c r="BN1171" s="26"/>
      <c r="BO1171" s="26"/>
      <c r="BP1171" s="26"/>
      <c r="BQ1171" s="26"/>
      <c r="BR1171" s="26"/>
      <c r="BS1171" s="26"/>
      <c r="BT1171" s="26"/>
      <c r="BU1171" s="26"/>
      <c r="BV1171" s="26"/>
      <c r="BW1171" s="26"/>
      <c r="BX1171" s="26"/>
      <c r="BY1171" s="26"/>
      <c r="BZ1171" s="26"/>
      <c r="CA1171" s="26"/>
    </row>
    <row r="1172" spans="1:79" ht="15.75" hidden="1">
      <c r="A1172" s="109">
        <v>-5.9999999999999993E-6</v>
      </c>
      <c r="B1172" s="110">
        <f t="shared" si="72"/>
        <v>1172</v>
      </c>
      <c r="C1172" s="111" t="str">
        <f>IF(C$1=[1]!T.in.A[[#This Row],[oo2]],1,"")</f>
        <v/>
      </c>
      <c r="D1172" s="112" t="str">
        <f>IF(Tab.o1[[#This Row],[a1]]=1,IF(SUM(C1172:C1173)=0,0,IF(SUM(C1171:C1172)=1,1,IF(SUM(C1171:C1173)&gt;1,D1171+1,0))),"")</f>
        <v/>
      </c>
      <c r="E1172" s="113" t="str">
        <f>IF(Tab.o1[[#This Row],[a1]]=1,[1]!T.in.A[[#This Row],[oo1]],"")</f>
        <v/>
      </c>
      <c r="F1172" s="113" t="str">
        <f>IF(Tab.o1[[#This Row],[a1]]=1,[1]!T.in.A[[#This Row],[pp1]],"")</f>
        <v/>
      </c>
      <c r="G1172" s="114" t="str">
        <f>IF(Tab.o1[[#This Row],[a1]]=1,G$2+IF(G$1=1,0,Tab.o1[[#This Row],[.x1]])+[1]!T.in.A[[#This Row],[oo3]],"")</f>
        <v/>
      </c>
      <c r="H1172" s="115" t="str">
        <f>IF(Tab.o1[[#This Row],[a1]]=1,IF(H$2=0,0,IF(G$1=1,0,Tab.o1[[#This Row],[.x1]])+[1]!T.in.A[[#This Row],[oo4]]),"")</f>
        <v/>
      </c>
      <c r="I1172" s="116" t="str">
        <f>IF(Tab.o1[[#This Row],[a1]]=1,IF(J$2=0,Tab.o1[[#This Row],[MED]],Tab.o1[[#This Row],[MOD]]),"")</f>
        <v/>
      </c>
      <c r="J1172" s="116" t="str">
        <f>IF(Tab.o1[[#This Row],[a1]]=1,((Tab.o1[[#This Row],[DIF_Target.]]-AVERAGE(Tab.o1[DIF_Target.]))/_xlfn.STDEV.P(Tab.o1[DIF_Target.])),"")</f>
        <v/>
      </c>
      <c r="K1172" s="117" t="str">
        <f>IF(Tab.o1[[#This Row],[a1]]=1,IF(J$2=0,Tab.o1[[#This Row],[MOD]]-Tab.o1[[#This Row],[B]],IF(J$2=1,0,-Tab.o1[[#This Row],[MED]])+Tab.o1[[#This Row],[B]]),"")</f>
        <v/>
      </c>
      <c r="L1172" s="117" t="str">
        <f ca="1">IF(Tab.o1[[#This Row],[DIF_Target]]=0,IF(L$2=0,Tab.o1[[#This Row],[DIF_Target]],AVERAGE(OFFSET(Tab.o1[[#This Row],[DIF_Target]],1,0,L$3,1)))/3,Tab.o1[[#This Row],[DIF_Target]])</f>
        <v/>
      </c>
      <c r="M1172" s="118" t="str">
        <f>IF(Tab.o1[[#This Row],[a1]]=1,NORMSDIST(Tab.o1[[#This Row],[Za]]),"")</f>
        <v/>
      </c>
      <c r="N1172" s="119" t="str">
        <f>IF(Tab.o1[[#This Row],[a1]]=1,((Tab.o1[[#This Row],[MedMod]]-AVERAGE(Tab.o1[MedMod]))/_xlfn.STDEV.P(Tab.o1[MedMod])*H$1205)+G$1205,"")</f>
        <v/>
      </c>
      <c r="O1172" s="141" t="str">
        <f>IF(Tab.o1[[#This Row],[a1]]=1,Tab.o1[[#This Row],[Zb]]*_xlfn.STDEV.P(Tab.o1[MedMod])+AVERAGE(Tab.o1[MedMod]),"")</f>
        <v/>
      </c>
      <c r="P1172" s="117" t="str">
        <f ca="1">IF(Tab.o1[[#This Row],[B]]=0,AVERAGE(OFFSET(Tab.o1[[#This Row],[B]],1,0,L$3,1)),Tab.o1[[#This Row],[B]])</f>
        <v/>
      </c>
      <c r="Q1172" s="121" t="str">
        <f>IF(Tab.o1[[#This Row],[a1]]=1,NORMSDIST(Tab.o1[[#This Row],[Zb]]),"")</f>
        <v/>
      </c>
      <c r="R1172" s="122" t="str">
        <f>IF(Tab.o1[[#This Row],[a1]]=1,((Tab.o1[[#This Row],[MedMod]]-AVERAGE(Tab.o1[MedMod]))/_xlfn.STDEV.P(Tab.o1[MedMod])*H$1203)+G$1203,"")</f>
        <v/>
      </c>
      <c r="S1172" s="122" t="str">
        <f>IF(Tab.o1[[#This Row],[a1]]=1,((Tab.o1[[#This Row],[MedMod]]-AVERAGE(Tab.o1[MedMod]))/_xlfn.STDEV.P(Tab.o1[MedMod])*H$1204)+G$1204,"")</f>
        <v/>
      </c>
      <c r="T1172" s="123" t="str">
        <f>IF(Tab.o1[[#This Row],[a1]]=1,Tab.o1[[#This Row],[Z-]]*_xlfn.STDEV.P(Tab.o1[B])+AVERAGE(Tab.o1[B]),"")</f>
        <v/>
      </c>
      <c r="U1172" s="123" t="str">
        <f>IF(Tab.o1[[#This Row],[a1]]=1,Tab.o1[[#This Row],[z+]]*_xlfn.STDEV.P(Tab.o1[B])+AVERAGE(Tab.o1[B]),"")</f>
        <v/>
      </c>
      <c r="V1172" s="124" t="str">
        <f>IF(Tab.o1[[#This Row],[a1]]=1,ABS((ABS(Tab.o1[[#This Row],[Red]]-Tab.o1[[#This Row],[Blue]]))),"")</f>
        <v/>
      </c>
      <c r="W1172" s="125" t="str">
        <f>IF(Tab.o1[[#This Row],[a1]]=1,IF(W$3=0,1,Tab.o1[[#This Row],[Amp.]]*1/_xlfn.MINIFS(Tab.o1[Amp.],Tab.o1[Amp.],"&lt;&gt;0")),"")</f>
        <v/>
      </c>
      <c r="X1172" s="126" t="str">
        <f>IF(Tab.o1[[#This Row],[a1]]=1,IF(ISNUMBER(Tab.o1[[#This Row],[i.]]),NORMDIST(Tab.o1[[#This Row],[Za]],0,1,FALSE)*Tab.o1[[#This Row],[i.]],AP$3),"")</f>
        <v/>
      </c>
      <c r="Y1172" s="126" t="str">
        <f>IF(Tab.o1[[#This Row],[a1]]=1,0.01+0.94*Tab.o1[[#This Row],[PDF]]/MAX(Tab.o1[PDF]),"")</f>
        <v/>
      </c>
      <c r="Z1172" s="126" t="str">
        <f>IF(Tab.o1[[#This Row],[a1]]=1,0.01+0.94*Tab.o1[[#This Row],[W1_PDF]]/MAX(Tab.o1[W1_PDF]),"")</f>
        <v/>
      </c>
      <c r="AA1172" s="118" t="str">
        <f>IF(Tab.o1[[#This Row],[a1]]=1,ABS([1]!T.in.A[[#This Row],[oo6]]),"")</f>
        <v/>
      </c>
      <c r="AB1172" s="127" t="str">
        <f>IF(Tab.o1[[#This Row],[a1]]=1,IF(AE$3=0,"",IF(AB$3=0,ABS([1]!T.in.A[[#This Row],[oo9]]),ABS(Tab.o1[[#This Row],[DIF_Target.]]*Tab.o1[[#This Row],[W1_PDF]]))),"")</f>
        <v/>
      </c>
      <c r="AC1172" s="127" t="str">
        <f>IF(G$1=1,"",IF(Tab.o1[[#This Row],[a1]]=1,Tab.o1[[#This Row],[Wr]]^2,""))</f>
        <v/>
      </c>
      <c r="AD1172" s="118" t="str">
        <f>IF(Tab.o1[[#This Row],[a1]]=1,IF(AE$3=0,"",Tab.o1[[#This Row],[Wr2]]/SUM(Tab.o1[Wr2])),"")</f>
        <v/>
      </c>
      <c r="AE1172" s="128" t="str">
        <f>IF(Tab.o1[[#This Row],[a1]]=1,[1]!T.in.A[[#This Row],[oo10]],"")</f>
        <v/>
      </c>
      <c r="AF1172" s="118" t="str">
        <f>IF(Tab.o1[[#This Row],[a1]]=1,ABS(Tab.o1[[#This Row],[DIF_Target.]]*Tab.o1[[#This Row],[PDF2]]*Tab.o1[[#This Row],[IN]]),"")</f>
        <v/>
      </c>
      <c r="AG1172" s="129" t="str">
        <f>IF(Tab.o1[[#This Row],[a1]]=1,Tab.o1[[#This Row],[rW]]^2,"")</f>
        <v/>
      </c>
      <c r="AH1172" s="130" t="str">
        <f>IF(Tab.o1[[#This Row],[a1]]=1,IF(AH$3=0,Tab.o1[[#This Row],[rW2]],0.01+0.94*Tab.o1[[#This Row],[rW2]]/SUM(Tab.o1[rW2])),"")</f>
        <v/>
      </c>
      <c r="AI1172" s="128" t="str">
        <f>IF(Tab.o1[[#This Row],[a1]]=1,1/Tab.o1[[#This Row],[PDF]],"")</f>
        <v/>
      </c>
      <c r="AJ1172" s="131" t="str">
        <f>IF(Tab.o1[[#This Row],[a1]]=1,[1]!T_AA[[#This Row],[IN'']]*[1]!T_AA[[#This Row],[Qde'']],"")</f>
        <v/>
      </c>
      <c r="AK1172" s="132" t="str">
        <f>IF(Tab.o1[[#This Row],[a1]]=1,IF(AK$1=1,Tab.o1[[#This Row],[MED]]+Tab.o1[[#This Row],[MOD]]-Tab.o1[[#This Row],[MED]],""),"")</f>
        <v/>
      </c>
      <c r="AL1172" s="133" t="str">
        <f>IF(Tab.o1[[#This Row],[a1]]=1,[1]!T.in.A[[#This Row],[oo16]],"")</f>
        <v/>
      </c>
      <c r="AM1172" s="133" t="str">
        <f>IF(Tab.o1[[#This Row],[a1]]=1,IF(AM$3=1,[1]!T.in.A[[#This Row],[Σo16]],""),"")</f>
        <v/>
      </c>
      <c r="AN1172" s="126" t="str">
        <f>IF(Tab.o1[[#This Row],[a1]]=1,[1]!T.in.A[[#This Row],[Σp5]],"")</f>
        <v/>
      </c>
      <c r="AO1172" s="126" t="str">
        <f>IF(Tab.o1[[#This Row],[a1]]=1,IF(AO$3=1,[1]!T.in.A[[#This Row],[Σp5]],""),"")</f>
        <v/>
      </c>
      <c r="AP1172" s="110" t="str">
        <f>IF(Tab.o1[[#This Row],[a1]]=1,IF(ISNUMBER(Tab.o1[[#This Row],[i.]]),NORMDIST(Tab.o1[[#This Row],[Za]],0,1,FALSE)*Tab.o1[[#This Row],[i.]],0),"")</f>
        <v/>
      </c>
      <c r="AQ1172" s="125" t="str">
        <f>IF(Tab.o1[[#This Row],[a1]]=1,ABS(Tab.o1[[#This Row],[MOD]]-AVERAGE(Tab.o1[MOD])),"")</f>
        <v/>
      </c>
      <c r="AR1172" s="134" t="str">
        <f>IF(Tab.o1[[#This Row],[a1]]=1,Tab.o1[[#This Row],[OBS]]/SUM(Tab.o1[OBS]),"")</f>
        <v/>
      </c>
      <c r="AS1172" s="135" t="str">
        <f>IF(ISNUMBER(Tab.o1[[#This Row],[a1]]),ROW()-4,"")</f>
        <v/>
      </c>
      <c r="AT1172" s="136" t="str">
        <f>Tab.o1[[#This Row],[MOD]]</f>
        <v/>
      </c>
      <c r="AU1172" s="137" t="str">
        <f t="shared" si="73"/>
        <v/>
      </c>
      <c r="AV1172" s="138" t="str">
        <f t="shared" si="74"/>
        <v/>
      </c>
      <c r="AW1172" s="138" t="str">
        <f t="shared" si="75"/>
        <v/>
      </c>
      <c r="AX1172" s="139" t="str">
        <f>[1]!T.in.A[[#This Row],[ID_T_manu]]</f>
        <v/>
      </c>
      <c r="AY1172" s="140" t="str">
        <f>IF(ISNUMBER(Tab.o1[[#This Row],[a1]]),IF(AND(Tab.o1[[#This Row],[a1]]=1,Tab.o1[[#This Row],[b1]]&lt;=AY$4),#REF!,AY1171),"")</f>
        <v/>
      </c>
      <c r="AZ1172" s="25"/>
      <c r="BA1172" s="25"/>
      <c r="BB1172" s="25"/>
      <c r="BC1172" s="25"/>
      <c r="BD1172" s="25"/>
      <c r="BE1172" s="25"/>
      <c r="BF1172" s="25"/>
      <c r="BG1172" s="25"/>
      <c r="BH1172" s="25"/>
      <c r="BI1172" s="25"/>
      <c r="BJ1172" s="25"/>
      <c r="BK1172" s="25"/>
      <c r="BL1172" s="25"/>
      <c r="BM1172" s="25"/>
      <c r="BN1172" s="26"/>
      <c r="BO1172" s="26"/>
      <c r="BP1172" s="26"/>
      <c r="BQ1172" s="26"/>
      <c r="BR1172" s="26"/>
      <c r="BS1172" s="26"/>
      <c r="BT1172" s="26"/>
      <c r="BU1172" s="26"/>
      <c r="BV1172" s="26"/>
      <c r="BW1172" s="26"/>
      <c r="BX1172" s="26"/>
      <c r="BY1172" s="26"/>
      <c r="BZ1172" s="26"/>
      <c r="CA1172" s="26"/>
    </row>
    <row r="1173" spans="1:79" ht="15.75" hidden="1">
      <c r="A1173" s="109">
        <v>8.0000000000000013E-6</v>
      </c>
      <c r="B1173" s="110">
        <f t="shared" si="72"/>
        <v>1173</v>
      </c>
      <c r="C1173" s="111" t="str">
        <f>IF(C$1=[1]!T.in.A[[#This Row],[oo2]],1,"")</f>
        <v/>
      </c>
      <c r="D1173" s="112" t="str">
        <f>IF(Tab.o1[[#This Row],[a1]]=1,IF(SUM(C1173:C1174)=0,0,IF(SUM(C1172:C1173)=1,1,IF(SUM(C1172:C1174)&gt;1,D1172+1,0))),"")</f>
        <v/>
      </c>
      <c r="E1173" s="113" t="str">
        <f>IF(Tab.o1[[#This Row],[a1]]=1,[1]!T.in.A[[#This Row],[oo1]],"")</f>
        <v/>
      </c>
      <c r="F1173" s="113" t="str">
        <f>IF(Tab.o1[[#This Row],[a1]]=1,[1]!T.in.A[[#This Row],[pp1]],"")</f>
        <v/>
      </c>
      <c r="G1173" s="114" t="str">
        <f>IF(Tab.o1[[#This Row],[a1]]=1,G$2+IF(G$1=1,0,Tab.o1[[#This Row],[.x1]])+[1]!T.in.A[[#This Row],[oo3]],"")</f>
        <v/>
      </c>
      <c r="H1173" s="115" t="str">
        <f>IF(Tab.o1[[#This Row],[a1]]=1,IF(H$2=0,0,IF(G$1=1,0,Tab.o1[[#This Row],[.x1]])+[1]!T.in.A[[#This Row],[oo4]]),"")</f>
        <v/>
      </c>
      <c r="I1173" s="116" t="str">
        <f>IF(Tab.o1[[#This Row],[a1]]=1,IF(J$2=0,Tab.o1[[#This Row],[MED]],Tab.o1[[#This Row],[MOD]]),"")</f>
        <v/>
      </c>
      <c r="J1173" s="116" t="str">
        <f>IF(Tab.o1[[#This Row],[a1]]=1,((Tab.o1[[#This Row],[DIF_Target.]]-AVERAGE(Tab.o1[DIF_Target.]))/_xlfn.STDEV.P(Tab.o1[DIF_Target.])),"")</f>
        <v/>
      </c>
      <c r="K1173" s="117" t="str">
        <f>IF(Tab.o1[[#This Row],[a1]]=1,IF(J$2=0,Tab.o1[[#This Row],[MOD]]-Tab.o1[[#This Row],[B]],IF(J$2=1,0,-Tab.o1[[#This Row],[MED]])+Tab.o1[[#This Row],[B]]),"")</f>
        <v/>
      </c>
      <c r="L1173" s="117" t="str">
        <f ca="1">IF(Tab.o1[[#This Row],[DIF_Target]]=0,IF(L$2=0,Tab.o1[[#This Row],[DIF_Target]],AVERAGE(OFFSET(Tab.o1[[#This Row],[DIF_Target]],1,0,L$3,1)))/3,Tab.o1[[#This Row],[DIF_Target]])</f>
        <v/>
      </c>
      <c r="M1173" s="118" t="str">
        <f>IF(Tab.o1[[#This Row],[a1]]=1,NORMSDIST(Tab.o1[[#This Row],[Za]]),"")</f>
        <v/>
      </c>
      <c r="N1173" s="119" t="str">
        <f>IF(Tab.o1[[#This Row],[a1]]=1,((Tab.o1[[#This Row],[MedMod]]-AVERAGE(Tab.o1[MedMod]))/_xlfn.STDEV.P(Tab.o1[MedMod])*H$1205)+G$1205,"")</f>
        <v/>
      </c>
      <c r="O1173" s="141" t="str">
        <f>IF(Tab.o1[[#This Row],[a1]]=1,Tab.o1[[#This Row],[Zb]]*_xlfn.STDEV.P(Tab.o1[MedMod])+AVERAGE(Tab.o1[MedMod]),"")</f>
        <v/>
      </c>
      <c r="P1173" s="117" t="str">
        <f ca="1">IF(Tab.o1[[#This Row],[B]]=0,AVERAGE(OFFSET(Tab.o1[[#This Row],[B]],1,0,L$3,1)),Tab.o1[[#This Row],[B]])</f>
        <v/>
      </c>
      <c r="Q1173" s="121" t="str">
        <f>IF(Tab.o1[[#This Row],[a1]]=1,NORMSDIST(Tab.o1[[#This Row],[Zb]]),"")</f>
        <v/>
      </c>
      <c r="R1173" s="122" t="str">
        <f>IF(Tab.o1[[#This Row],[a1]]=1,((Tab.o1[[#This Row],[MedMod]]-AVERAGE(Tab.o1[MedMod]))/_xlfn.STDEV.P(Tab.o1[MedMod])*H$1203)+G$1203,"")</f>
        <v/>
      </c>
      <c r="S1173" s="122" t="str">
        <f>IF(Tab.o1[[#This Row],[a1]]=1,((Tab.o1[[#This Row],[MedMod]]-AVERAGE(Tab.o1[MedMod]))/_xlfn.STDEV.P(Tab.o1[MedMod])*H$1204)+G$1204,"")</f>
        <v/>
      </c>
      <c r="T1173" s="123" t="str">
        <f>IF(Tab.o1[[#This Row],[a1]]=1,Tab.o1[[#This Row],[Z-]]*_xlfn.STDEV.P(Tab.o1[B])+AVERAGE(Tab.o1[B]),"")</f>
        <v/>
      </c>
      <c r="U1173" s="123" t="str">
        <f>IF(Tab.o1[[#This Row],[a1]]=1,Tab.o1[[#This Row],[z+]]*_xlfn.STDEV.P(Tab.o1[B])+AVERAGE(Tab.o1[B]),"")</f>
        <v/>
      </c>
      <c r="V1173" s="124" t="str">
        <f>IF(Tab.o1[[#This Row],[a1]]=1,ABS((ABS(Tab.o1[[#This Row],[Red]]-Tab.o1[[#This Row],[Blue]]))),"")</f>
        <v/>
      </c>
      <c r="W1173" s="125" t="str">
        <f>IF(Tab.o1[[#This Row],[a1]]=1,IF(W$3=0,1,Tab.o1[[#This Row],[Amp.]]*1/_xlfn.MINIFS(Tab.o1[Amp.],Tab.o1[Amp.],"&lt;&gt;0")),"")</f>
        <v/>
      </c>
      <c r="X1173" s="126" t="str">
        <f>IF(Tab.o1[[#This Row],[a1]]=1,IF(ISNUMBER(Tab.o1[[#This Row],[i.]]),NORMDIST(Tab.o1[[#This Row],[Za]],0,1,FALSE)*Tab.o1[[#This Row],[i.]],AP$3),"")</f>
        <v/>
      </c>
      <c r="Y1173" s="126" t="str">
        <f>IF(Tab.o1[[#This Row],[a1]]=1,0.01+0.94*Tab.o1[[#This Row],[PDF]]/MAX(Tab.o1[PDF]),"")</f>
        <v/>
      </c>
      <c r="Z1173" s="126" t="str">
        <f>IF(Tab.o1[[#This Row],[a1]]=1,0.01+0.94*Tab.o1[[#This Row],[W1_PDF]]/MAX(Tab.o1[W1_PDF]),"")</f>
        <v/>
      </c>
      <c r="AA1173" s="118" t="str">
        <f>IF(Tab.o1[[#This Row],[a1]]=1,ABS([1]!T.in.A[[#This Row],[oo6]]),"")</f>
        <v/>
      </c>
      <c r="AB1173" s="127" t="str">
        <f>IF(Tab.o1[[#This Row],[a1]]=1,IF(AE$3=0,"",IF(AB$3=0,ABS([1]!T.in.A[[#This Row],[oo9]]),ABS(Tab.o1[[#This Row],[DIF_Target.]]*Tab.o1[[#This Row],[W1_PDF]]))),"")</f>
        <v/>
      </c>
      <c r="AC1173" s="127" t="str">
        <f>IF(G$1=1,"",IF(Tab.o1[[#This Row],[a1]]=1,Tab.o1[[#This Row],[Wr]]^2,""))</f>
        <v/>
      </c>
      <c r="AD1173" s="118" t="str">
        <f>IF(Tab.o1[[#This Row],[a1]]=1,IF(AE$3=0,"",Tab.o1[[#This Row],[Wr2]]/SUM(Tab.o1[Wr2])),"")</f>
        <v/>
      </c>
      <c r="AE1173" s="128" t="str">
        <f>IF(Tab.o1[[#This Row],[a1]]=1,[1]!T.in.A[[#This Row],[oo10]],"")</f>
        <v/>
      </c>
      <c r="AF1173" s="118" t="str">
        <f>IF(Tab.o1[[#This Row],[a1]]=1,ABS(Tab.o1[[#This Row],[DIF_Target.]]*Tab.o1[[#This Row],[PDF2]]*Tab.o1[[#This Row],[IN]]),"")</f>
        <v/>
      </c>
      <c r="AG1173" s="129" t="str">
        <f>IF(Tab.o1[[#This Row],[a1]]=1,Tab.o1[[#This Row],[rW]]^2,"")</f>
        <v/>
      </c>
      <c r="AH1173" s="130" t="str">
        <f>IF(Tab.o1[[#This Row],[a1]]=1,IF(AH$3=0,Tab.o1[[#This Row],[rW2]],0.01+0.94*Tab.o1[[#This Row],[rW2]]/SUM(Tab.o1[rW2])),"")</f>
        <v/>
      </c>
      <c r="AI1173" s="128" t="str">
        <f>IF(Tab.o1[[#This Row],[a1]]=1,1/Tab.o1[[#This Row],[PDF]],"")</f>
        <v/>
      </c>
      <c r="AJ1173" s="131" t="str">
        <f>IF(Tab.o1[[#This Row],[a1]]=1,[1]!T_AA[[#This Row],[IN'']]*[1]!T_AA[[#This Row],[Qde'']],"")</f>
        <v/>
      </c>
      <c r="AK1173" s="132" t="str">
        <f>IF(Tab.o1[[#This Row],[a1]]=1,IF(AK$1=1,Tab.o1[[#This Row],[MED]]+Tab.o1[[#This Row],[MOD]]-Tab.o1[[#This Row],[MED]],""),"")</f>
        <v/>
      </c>
      <c r="AL1173" s="133" t="str">
        <f>IF(Tab.o1[[#This Row],[a1]]=1,[1]!T.in.A[[#This Row],[oo16]],"")</f>
        <v/>
      </c>
      <c r="AM1173" s="133" t="str">
        <f>IF(Tab.o1[[#This Row],[a1]]=1,IF(AM$3=1,[1]!T.in.A[[#This Row],[Σo16]],""),"")</f>
        <v/>
      </c>
      <c r="AN1173" s="126" t="str">
        <f>IF(Tab.o1[[#This Row],[a1]]=1,[1]!T.in.A[[#This Row],[Σp5]],"")</f>
        <v/>
      </c>
      <c r="AO1173" s="126" t="str">
        <f>IF(Tab.o1[[#This Row],[a1]]=1,IF(AO$3=1,[1]!T.in.A[[#This Row],[Σp5]],""),"")</f>
        <v/>
      </c>
      <c r="AP1173" s="110" t="str">
        <f>IF(Tab.o1[[#This Row],[a1]]=1,IF(ISNUMBER(Tab.o1[[#This Row],[i.]]),NORMDIST(Tab.o1[[#This Row],[Za]],0,1,FALSE)*Tab.o1[[#This Row],[i.]],0),"")</f>
        <v/>
      </c>
      <c r="AQ1173" s="125" t="str">
        <f>IF(Tab.o1[[#This Row],[a1]]=1,ABS(Tab.o1[[#This Row],[MOD]]-AVERAGE(Tab.o1[MOD])),"")</f>
        <v/>
      </c>
      <c r="AR1173" s="134" t="str">
        <f>IF(Tab.o1[[#This Row],[a1]]=1,Tab.o1[[#This Row],[OBS]]/SUM(Tab.o1[OBS]),"")</f>
        <v/>
      </c>
      <c r="AS1173" s="135" t="str">
        <f>IF(ISNUMBER(Tab.o1[[#This Row],[a1]]),ROW()-4,"")</f>
        <v/>
      </c>
      <c r="AT1173" s="136" t="str">
        <f>Tab.o1[[#This Row],[MOD]]</f>
        <v/>
      </c>
      <c r="AU1173" s="137" t="str">
        <f t="shared" si="73"/>
        <v/>
      </c>
      <c r="AV1173" s="138" t="str">
        <f t="shared" si="74"/>
        <v/>
      </c>
      <c r="AW1173" s="138" t="str">
        <f t="shared" si="75"/>
        <v/>
      </c>
      <c r="AX1173" s="139" t="str">
        <f>[1]!T.in.A[[#This Row],[ID_T_manu]]</f>
        <v/>
      </c>
      <c r="AY1173" s="140" t="str">
        <f>IF(ISNUMBER(Tab.o1[[#This Row],[a1]]),IF(AND(Tab.o1[[#This Row],[a1]]=1,Tab.o1[[#This Row],[b1]]&lt;=AY$4),#REF!,AY1172),"")</f>
        <v/>
      </c>
      <c r="AZ1173" s="25"/>
      <c r="BA1173" s="25"/>
      <c r="BB1173" s="25"/>
      <c r="BC1173" s="25"/>
      <c r="BD1173" s="25"/>
      <c r="BE1173" s="25"/>
      <c r="BF1173" s="25"/>
      <c r="BG1173" s="25"/>
      <c r="BH1173" s="25"/>
      <c r="BI1173" s="25"/>
      <c r="BJ1173" s="25"/>
      <c r="BK1173" s="25"/>
      <c r="BL1173" s="25"/>
      <c r="BM1173" s="25"/>
      <c r="BN1173" s="26"/>
      <c r="BO1173" s="26"/>
      <c r="BP1173" s="26"/>
      <c r="BQ1173" s="26"/>
      <c r="BR1173" s="26"/>
      <c r="BS1173" s="26"/>
      <c r="BT1173" s="26"/>
      <c r="BU1173" s="26"/>
      <c r="BV1173" s="26"/>
      <c r="BW1173" s="26"/>
      <c r="BX1173" s="26"/>
      <c r="BY1173" s="26"/>
      <c r="BZ1173" s="26"/>
      <c r="CA1173" s="26"/>
    </row>
    <row r="1174" spans="1:79" ht="15.75" hidden="1">
      <c r="A1174" s="109">
        <v>2.0000000000000003E-6</v>
      </c>
      <c r="B1174" s="110">
        <f t="shared" si="72"/>
        <v>1174</v>
      </c>
      <c r="C1174" s="111" t="str">
        <f>IF(C$1=[1]!T.in.A[[#This Row],[oo2]],1,"")</f>
        <v/>
      </c>
      <c r="D1174" s="112" t="str">
        <f>IF(Tab.o1[[#This Row],[a1]]=1,IF(SUM(C1174:C1175)=0,0,IF(SUM(C1173:C1174)=1,1,IF(SUM(C1173:C1175)&gt;1,D1173+1,0))),"")</f>
        <v/>
      </c>
      <c r="E1174" s="113" t="str">
        <f>IF(Tab.o1[[#This Row],[a1]]=1,[1]!T.in.A[[#This Row],[oo1]],"")</f>
        <v/>
      </c>
      <c r="F1174" s="113" t="str">
        <f>IF(Tab.o1[[#This Row],[a1]]=1,[1]!T.in.A[[#This Row],[pp1]],"")</f>
        <v/>
      </c>
      <c r="G1174" s="114" t="str">
        <f>IF(Tab.o1[[#This Row],[a1]]=1,G$2+IF(G$1=1,0,Tab.o1[[#This Row],[.x1]])+[1]!T.in.A[[#This Row],[oo3]],"")</f>
        <v/>
      </c>
      <c r="H1174" s="115" t="str">
        <f>IF(Tab.o1[[#This Row],[a1]]=1,IF(H$2=0,0,IF(G$1=1,0,Tab.o1[[#This Row],[.x1]])+[1]!T.in.A[[#This Row],[oo4]]),"")</f>
        <v/>
      </c>
      <c r="I1174" s="116" t="str">
        <f>IF(Tab.o1[[#This Row],[a1]]=1,IF(J$2=0,Tab.o1[[#This Row],[MED]],Tab.o1[[#This Row],[MOD]]),"")</f>
        <v/>
      </c>
      <c r="J1174" s="116" t="str">
        <f>IF(Tab.o1[[#This Row],[a1]]=1,((Tab.o1[[#This Row],[DIF_Target.]]-AVERAGE(Tab.o1[DIF_Target.]))/_xlfn.STDEV.P(Tab.o1[DIF_Target.])),"")</f>
        <v/>
      </c>
      <c r="K1174" s="117" t="str">
        <f>IF(Tab.o1[[#This Row],[a1]]=1,IF(J$2=0,Tab.o1[[#This Row],[MOD]]-Tab.o1[[#This Row],[B]],IF(J$2=1,0,-Tab.o1[[#This Row],[MED]])+Tab.o1[[#This Row],[B]]),"")</f>
        <v/>
      </c>
      <c r="L1174" s="117" t="str">
        <f ca="1">IF(Tab.o1[[#This Row],[DIF_Target]]=0,IF(L$2=0,Tab.o1[[#This Row],[DIF_Target]],AVERAGE(OFFSET(Tab.o1[[#This Row],[DIF_Target]],1,0,L$3,1)))/3,Tab.o1[[#This Row],[DIF_Target]])</f>
        <v/>
      </c>
      <c r="M1174" s="118" t="str">
        <f>IF(Tab.o1[[#This Row],[a1]]=1,NORMSDIST(Tab.o1[[#This Row],[Za]]),"")</f>
        <v/>
      </c>
      <c r="N1174" s="119" t="str">
        <f>IF(Tab.o1[[#This Row],[a1]]=1,((Tab.o1[[#This Row],[MedMod]]-AVERAGE(Tab.o1[MedMod]))/_xlfn.STDEV.P(Tab.o1[MedMod])*H$1205)+G$1205,"")</f>
        <v/>
      </c>
      <c r="O1174" s="141" t="str">
        <f>IF(Tab.o1[[#This Row],[a1]]=1,Tab.o1[[#This Row],[Zb]]*_xlfn.STDEV.P(Tab.o1[MedMod])+AVERAGE(Tab.o1[MedMod]),"")</f>
        <v/>
      </c>
      <c r="P1174" s="117" t="str">
        <f ca="1">IF(Tab.o1[[#This Row],[B]]=0,AVERAGE(OFFSET(Tab.o1[[#This Row],[B]],1,0,L$3,1)),Tab.o1[[#This Row],[B]])</f>
        <v/>
      </c>
      <c r="Q1174" s="121" t="str">
        <f>IF(Tab.o1[[#This Row],[a1]]=1,NORMSDIST(Tab.o1[[#This Row],[Zb]]),"")</f>
        <v/>
      </c>
      <c r="R1174" s="122" t="str">
        <f>IF(Tab.o1[[#This Row],[a1]]=1,((Tab.o1[[#This Row],[MedMod]]-AVERAGE(Tab.o1[MedMod]))/_xlfn.STDEV.P(Tab.o1[MedMod])*H$1203)+G$1203,"")</f>
        <v/>
      </c>
      <c r="S1174" s="122" t="str">
        <f>IF(Tab.o1[[#This Row],[a1]]=1,((Tab.o1[[#This Row],[MedMod]]-AVERAGE(Tab.o1[MedMod]))/_xlfn.STDEV.P(Tab.o1[MedMod])*H$1204)+G$1204,"")</f>
        <v/>
      </c>
      <c r="T1174" s="123" t="str">
        <f>IF(Tab.o1[[#This Row],[a1]]=1,Tab.o1[[#This Row],[Z-]]*_xlfn.STDEV.P(Tab.o1[B])+AVERAGE(Tab.o1[B]),"")</f>
        <v/>
      </c>
      <c r="U1174" s="123" t="str">
        <f>IF(Tab.o1[[#This Row],[a1]]=1,Tab.o1[[#This Row],[z+]]*_xlfn.STDEV.P(Tab.o1[B])+AVERAGE(Tab.o1[B]),"")</f>
        <v/>
      </c>
      <c r="V1174" s="124" t="str">
        <f>IF(Tab.o1[[#This Row],[a1]]=1,ABS((ABS(Tab.o1[[#This Row],[Red]]-Tab.o1[[#This Row],[Blue]]))),"")</f>
        <v/>
      </c>
      <c r="W1174" s="125" t="str">
        <f>IF(Tab.o1[[#This Row],[a1]]=1,IF(W$3=0,1,Tab.o1[[#This Row],[Amp.]]*1/_xlfn.MINIFS(Tab.o1[Amp.],Tab.o1[Amp.],"&lt;&gt;0")),"")</f>
        <v/>
      </c>
      <c r="X1174" s="126" t="str">
        <f>IF(Tab.o1[[#This Row],[a1]]=1,IF(ISNUMBER(Tab.o1[[#This Row],[i.]]),NORMDIST(Tab.o1[[#This Row],[Za]],0,1,FALSE)*Tab.o1[[#This Row],[i.]],AP$3),"")</f>
        <v/>
      </c>
      <c r="Y1174" s="126" t="str">
        <f>IF(Tab.o1[[#This Row],[a1]]=1,0.01+0.94*Tab.o1[[#This Row],[PDF]]/MAX(Tab.o1[PDF]),"")</f>
        <v/>
      </c>
      <c r="Z1174" s="126" t="str">
        <f>IF(Tab.o1[[#This Row],[a1]]=1,0.01+0.94*Tab.o1[[#This Row],[W1_PDF]]/MAX(Tab.o1[W1_PDF]),"")</f>
        <v/>
      </c>
      <c r="AA1174" s="118" t="str">
        <f>IF(Tab.o1[[#This Row],[a1]]=1,ABS([1]!T.in.A[[#This Row],[oo6]]),"")</f>
        <v/>
      </c>
      <c r="AB1174" s="127" t="str">
        <f>IF(Tab.o1[[#This Row],[a1]]=1,IF(AE$3=0,"",IF(AB$3=0,ABS([1]!T.in.A[[#This Row],[oo9]]),ABS(Tab.o1[[#This Row],[DIF_Target.]]*Tab.o1[[#This Row],[W1_PDF]]))),"")</f>
        <v/>
      </c>
      <c r="AC1174" s="127" t="str">
        <f>IF(G$1=1,"",IF(Tab.o1[[#This Row],[a1]]=1,Tab.o1[[#This Row],[Wr]]^2,""))</f>
        <v/>
      </c>
      <c r="AD1174" s="118" t="str">
        <f>IF(Tab.o1[[#This Row],[a1]]=1,IF(AE$3=0,"",Tab.o1[[#This Row],[Wr2]]/SUM(Tab.o1[Wr2])),"")</f>
        <v/>
      </c>
      <c r="AE1174" s="128" t="str">
        <f>IF(Tab.o1[[#This Row],[a1]]=1,[1]!T.in.A[[#This Row],[oo10]],"")</f>
        <v/>
      </c>
      <c r="AF1174" s="118" t="str">
        <f>IF(Tab.o1[[#This Row],[a1]]=1,ABS(Tab.o1[[#This Row],[DIF_Target.]]*Tab.o1[[#This Row],[PDF2]]*Tab.o1[[#This Row],[IN]]),"")</f>
        <v/>
      </c>
      <c r="AG1174" s="129" t="str">
        <f>IF(Tab.o1[[#This Row],[a1]]=1,Tab.o1[[#This Row],[rW]]^2,"")</f>
        <v/>
      </c>
      <c r="AH1174" s="130" t="str">
        <f>IF(Tab.o1[[#This Row],[a1]]=1,IF(AH$3=0,Tab.o1[[#This Row],[rW2]],0.01+0.94*Tab.o1[[#This Row],[rW2]]/SUM(Tab.o1[rW2])),"")</f>
        <v/>
      </c>
      <c r="AI1174" s="128" t="str">
        <f>IF(Tab.o1[[#This Row],[a1]]=1,1/Tab.o1[[#This Row],[PDF]],"")</f>
        <v/>
      </c>
      <c r="AJ1174" s="131" t="str">
        <f>IF(Tab.o1[[#This Row],[a1]]=1,[1]!T_AA[[#This Row],[IN'']]*[1]!T_AA[[#This Row],[Qde'']],"")</f>
        <v/>
      </c>
      <c r="AK1174" s="132" t="str">
        <f>IF(Tab.o1[[#This Row],[a1]]=1,IF(AK$1=1,Tab.o1[[#This Row],[MED]]+Tab.o1[[#This Row],[MOD]]-Tab.o1[[#This Row],[MED]],""),"")</f>
        <v/>
      </c>
      <c r="AL1174" s="133" t="str">
        <f>IF(Tab.o1[[#This Row],[a1]]=1,[1]!T.in.A[[#This Row],[oo16]],"")</f>
        <v/>
      </c>
      <c r="AM1174" s="133" t="str">
        <f>IF(Tab.o1[[#This Row],[a1]]=1,IF(AM$3=1,[1]!T.in.A[[#This Row],[Σo16]],""),"")</f>
        <v/>
      </c>
      <c r="AN1174" s="126" t="str">
        <f>IF(Tab.o1[[#This Row],[a1]]=1,[1]!T.in.A[[#This Row],[Σp5]],"")</f>
        <v/>
      </c>
      <c r="AO1174" s="126" t="str">
        <f>IF(Tab.o1[[#This Row],[a1]]=1,IF(AO$3=1,[1]!T.in.A[[#This Row],[Σp5]],""),"")</f>
        <v/>
      </c>
      <c r="AP1174" s="110" t="str">
        <f>IF(Tab.o1[[#This Row],[a1]]=1,IF(ISNUMBER(Tab.o1[[#This Row],[i.]]),NORMDIST(Tab.o1[[#This Row],[Za]],0,1,FALSE)*Tab.o1[[#This Row],[i.]],0),"")</f>
        <v/>
      </c>
      <c r="AQ1174" s="125" t="str">
        <f>IF(Tab.o1[[#This Row],[a1]]=1,ABS(Tab.o1[[#This Row],[MOD]]-AVERAGE(Tab.o1[MOD])),"")</f>
        <v/>
      </c>
      <c r="AR1174" s="134" t="str">
        <f>IF(Tab.o1[[#This Row],[a1]]=1,Tab.o1[[#This Row],[OBS]]/SUM(Tab.o1[OBS]),"")</f>
        <v/>
      </c>
      <c r="AS1174" s="135" t="str">
        <f>IF(ISNUMBER(Tab.o1[[#This Row],[a1]]),ROW()-4,"")</f>
        <v/>
      </c>
      <c r="AT1174" s="136" t="str">
        <f>Tab.o1[[#This Row],[MOD]]</f>
        <v/>
      </c>
      <c r="AU1174" s="137" t="str">
        <f t="shared" si="73"/>
        <v/>
      </c>
      <c r="AV1174" s="138" t="str">
        <f t="shared" si="74"/>
        <v/>
      </c>
      <c r="AW1174" s="138" t="str">
        <f t="shared" si="75"/>
        <v/>
      </c>
      <c r="AX1174" s="139" t="str">
        <f>[1]!T.in.A[[#This Row],[ID_T_manu]]</f>
        <v/>
      </c>
      <c r="AY1174" s="140" t="str">
        <f>IF(ISNUMBER(Tab.o1[[#This Row],[a1]]),IF(AND(Tab.o1[[#This Row],[a1]]=1,Tab.o1[[#This Row],[b1]]&lt;=AY$4),#REF!,AY1173),"")</f>
        <v/>
      </c>
      <c r="AZ1174" s="25"/>
      <c r="BA1174" s="25"/>
      <c r="BB1174" s="25"/>
      <c r="BC1174" s="25"/>
      <c r="BD1174" s="25"/>
      <c r="BE1174" s="25"/>
      <c r="BF1174" s="25"/>
      <c r="BG1174" s="25"/>
      <c r="BH1174" s="25"/>
      <c r="BI1174" s="25"/>
      <c r="BJ1174" s="25"/>
      <c r="BK1174" s="25"/>
      <c r="BL1174" s="25"/>
      <c r="BM1174" s="25"/>
      <c r="BN1174" s="26"/>
      <c r="BO1174" s="26"/>
      <c r="BP1174" s="26"/>
      <c r="BQ1174" s="26"/>
      <c r="BR1174" s="26"/>
      <c r="BS1174" s="26"/>
      <c r="BT1174" s="26"/>
      <c r="BU1174" s="26"/>
      <c r="BV1174" s="26"/>
      <c r="BW1174" s="26"/>
      <c r="BX1174" s="26"/>
      <c r="BY1174" s="26"/>
      <c r="BZ1174" s="26"/>
      <c r="CA1174" s="26"/>
    </row>
    <row r="1175" spans="1:79" ht="15.75" hidden="1">
      <c r="A1175" s="109">
        <v>4.0000000000000007E-6</v>
      </c>
      <c r="B1175" s="110">
        <f t="shared" si="72"/>
        <v>1175</v>
      </c>
      <c r="C1175" s="111" t="str">
        <f>IF(C$1=[1]!T.in.A[[#This Row],[oo2]],1,"")</f>
        <v/>
      </c>
      <c r="D1175" s="112" t="str">
        <f>IF(Tab.o1[[#This Row],[a1]]=1,IF(SUM(C1175:C1176)=0,0,IF(SUM(C1174:C1175)=1,1,IF(SUM(C1174:C1176)&gt;1,D1174+1,0))),"")</f>
        <v/>
      </c>
      <c r="E1175" s="113" t="str">
        <f>IF(Tab.o1[[#This Row],[a1]]=1,[1]!T.in.A[[#This Row],[oo1]],"")</f>
        <v/>
      </c>
      <c r="F1175" s="113" t="str">
        <f>IF(Tab.o1[[#This Row],[a1]]=1,[1]!T.in.A[[#This Row],[pp1]],"")</f>
        <v/>
      </c>
      <c r="G1175" s="114" t="str">
        <f>IF(Tab.o1[[#This Row],[a1]]=1,G$2+IF(G$1=1,0,Tab.o1[[#This Row],[.x1]])+[1]!T.in.A[[#This Row],[oo3]],"")</f>
        <v/>
      </c>
      <c r="H1175" s="115" t="str">
        <f>IF(Tab.o1[[#This Row],[a1]]=1,IF(H$2=0,0,IF(G$1=1,0,Tab.o1[[#This Row],[.x1]])+[1]!T.in.A[[#This Row],[oo4]]),"")</f>
        <v/>
      </c>
      <c r="I1175" s="116" t="str">
        <f>IF(Tab.o1[[#This Row],[a1]]=1,IF(J$2=0,Tab.o1[[#This Row],[MED]],Tab.o1[[#This Row],[MOD]]),"")</f>
        <v/>
      </c>
      <c r="J1175" s="116" t="str">
        <f>IF(Tab.o1[[#This Row],[a1]]=1,((Tab.o1[[#This Row],[DIF_Target.]]-AVERAGE(Tab.o1[DIF_Target.]))/_xlfn.STDEV.P(Tab.o1[DIF_Target.])),"")</f>
        <v/>
      </c>
      <c r="K1175" s="117" t="str">
        <f>IF(Tab.o1[[#This Row],[a1]]=1,IF(J$2=0,Tab.o1[[#This Row],[MOD]]-Tab.o1[[#This Row],[B]],IF(J$2=1,0,-Tab.o1[[#This Row],[MED]])+Tab.o1[[#This Row],[B]]),"")</f>
        <v/>
      </c>
      <c r="L1175" s="117" t="str">
        <f ca="1">IF(Tab.o1[[#This Row],[DIF_Target]]=0,IF(L$2=0,Tab.o1[[#This Row],[DIF_Target]],AVERAGE(OFFSET(Tab.o1[[#This Row],[DIF_Target]],1,0,L$3,1)))/3,Tab.o1[[#This Row],[DIF_Target]])</f>
        <v/>
      </c>
      <c r="M1175" s="118" t="str">
        <f>IF(Tab.o1[[#This Row],[a1]]=1,NORMSDIST(Tab.o1[[#This Row],[Za]]),"")</f>
        <v/>
      </c>
      <c r="N1175" s="119" t="str">
        <f>IF(Tab.o1[[#This Row],[a1]]=1,((Tab.o1[[#This Row],[MedMod]]-AVERAGE(Tab.o1[MedMod]))/_xlfn.STDEV.P(Tab.o1[MedMod])*H$1205)+G$1205,"")</f>
        <v/>
      </c>
      <c r="O1175" s="141" t="str">
        <f>IF(Tab.o1[[#This Row],[a1]]=1,Tab.o1[[#This Row],[Zb]]*_xlfn.STDEV.P(Tab.o1[MedMod])+AVERAGE(Tab.o1[MedMod]),"")</f>
        <v/>
      </c>
      <c r="P1175" s="117" t="str">
        <f ca="1">IF(Tab.o1[[#This Row],[B]]=0,AVERAGE(OFFSET(Tab.o1[[#This Row],[B]],1,0,L$3,1)),Tab.o1[[#This Row],[B]])</f>
        <v/>
      </c>
      <c r="Q1175" s="121" t="str">
        <f>IF(Tab.o1[[#This Row],[a1]]=1,NORMSDIST(Tab.o1[[#This Row],[Zb]]),"")</f>
        <v/>
      </c>
      <c r="R1175" s="122" t="str">
        <f>IF(Tab.o1[[#This Row],[a1]]=1,((Tab.o1[[#This Row],[MedMod]]-AVERAGE(Tab.o1[MedMod]))/_xlfn.STDEV.P(Tab.o1[MedMod])*H$1203)+G$1203,"")</f>
        <v/>
      </c>
      <c r="S1175" s="122" t="str">
        <f>IF(Tab.o1[[#This Row],[a1]]=1,((Tab.o1[[#This Row],[MedMod]]-AVERAGE(Tab.o1[MedMod]))/_xlfn.STDEV.P(Tab.o1[MedMod])*H$1204)+G$1204,"")</f>
        <v/>
      </c>
      <c r="T1175" s="123" t="str">
        <f>IF(Tab.o1[[#This Row],[a1]]=1,Tab.o1[[#This Row],[Z-]]*_xlfn.STDEV.P(Tab.o1[B])+AVERAGE(Tab.o1[B]),"")</f>
        <v/>
      </c>
      <c r="U1175" s="123" t="str">
        <f>IF(Tab.o1[[#This Row],[a1]]=1,Tab.o1[[#This Row],[z+]]*_xlfn.STDEV.P(Tab.o1[B])+AVERAGE(Tab.o1[B]),"")</f>
        <v/>
      </c>
      <c r="V1175" s="124" t="str">
        <f>IF(Tab.o1[[#This Row],[a1]]=1,ABS((ABS(Tab.o1[[#This Row],[Red]]-Tab.o1[[#This Row],[Blue]]))),"")</f>
        <v/>
      </c>
      <c r="W1175" s="125" t="str">
        <f>IF(Tab.o1[[#This Row],[a1]]=1,IF(W$3=0,1,Tab.o1[[#This Row],[Amp.]]*1/_xlfn.MINIFS(Tab.o1[Amp.],Tab.o1[Amp.],"&lt;&gt;0")),"")</f>
        <v/>
      </c>
      <c r="X1175" s="126" t="str">
        <f>IF(Tab.o1[[#This Row],[a1]]=1,IF(ISNUMBER(Tab.o1[[#This Row],[i.]]),NORMDIST(Tab.o1[[#This Row],[Za]],0,1,FALSE)*Tab.o1[[#This Row],[i.]],AP$3),"")</f>
        <v/>
      </c>
      <c r="Y1175" s="126" t="str">
        <f>IF(Tab.o1[[#This Row],[a1]]=1,0.01+0.94*Tab.o1[[#This Row],[PDF]]/MAX(Tab.o1[PDF]),"")</f>
        <v/>
      </c>
      <c r="Z1175" s="126" t="str">
        <f>IF(Tab.o1[[#This Row],[a1]]=1,0.01+0.94*Tab.o1[[#This Row],[W1_PDF]]/MAX(Tab.o1[W1_PDF]),"")</f>
        <v/>
      </c>
      <c r="AA1175" s="118" t="str">
        <f>IF(Tab.o1[[#This Row],[a1]]=1,ABS([1]!T.in.A[[#This Row],[oo6]]),"")</f>
        <v/>
      </c>
      <c r="AB1175" s="127" t="str">
        <f>IF(Tab.o1[[#This Row],[a1]]=1,IF(AE$3=0,"",IF(AB$3=0,ABS([1]!T.in.A[[#This Row],[oo9]]),ABS(Tab.o1[[#This Row],[DIF_Target.]]*Tab.o1[[#This Row],[W1_PDF]]))),"")</f>
        <v/>
      </c>
      <c r="AC1175" s="127" t="str">
        <f>IF(G$1=1,"",IF(Tab.o1[[#This Row],[a1]]=1,Tab.o1[[#This Row],[Wr]]^2,""))</f>
        <v/>
      </c>
      <c r="AD1175" s="118" t="str">
        <f>IF(Tab.o1[[#This Row],[a1]]=1,IF(AE$3=0,"",Tab.o1[[#This Row],[Wr2]]/SUM(Tab.o1[Wr2])),"")</f>
        <v/>
      </c>
      <c r="AE1175" s="128" t="str">
        <f>IF(Tab.o1[[#This Row],[a1]]=1,[1]!T.in.A[[#This Row],[oo10]],"")</f>
        <v/>
      </c>
      <c r="AF1175" s="118" t="str">
        <f>IF(Tab.o1[[#This Row],[a1]]=1,ABS(Tab.o1[[#This Row],[DIF_Target.]]*Tab.o1[[#This Row],[PDF2]]*Tab.o1[[#This Row],[IN]]),"")</f>
        <v/>
      </c>
      <c r="AG1175" s="129" t="str">
        <f>IF(Tab.o1[[#This Row],[a1]]=1,Tab.o1[[#This Row],[rW]]^2,"")</f>
        <v/>
      </c>
      <c r="AH1175" s="130" t="str">
        <f>IF(Tab.o1[[#This Row],[a1]]=1,IF(AH$3=0,Tab.o1[[#This Row],[rW2]],0.01+0.94*Tab.o1[[#This Row],[rW2]]/SUM(Tab.o1[rW2])),"")</f>
        <v/>
      </c>
      <c r="AI1175" s="128" t="str">
        <f>IF(Tab.o1[[#This Row],[a1]]=1,1/Tab.o1[[#This Row],[PDF]],"")</f>
        <v/>
      </c>
      <c r="AJ1175" s="131" t="str">
        <f>IF(Tab.o1[[#This Row],[a1]]=1,[1]!T_AA[[#This Row],[IN'']]*[1]!T_AA[[#This Row],[Qde'']],"")</f>
        <v/>
      </c>
      <c r="AK1175" s="132" t="str">
        <f>IF(Tab.o1[[#This Row],[a1]]=1,IF(AK$1=1,Tab.o1[[#This Row],[MED]]+Tab.o1[[#This Row],[MOD]]-Tab.o1[[#This Row],[MED]],""),"")</f>
        <v/>
      </c>
      <c r="AL1175" s="133" t="str">
        <f>IF(Tab.o1[[#This Row],[a1]]=1,[1]!T.in.A[[#This Row],[oo16]],"")</f>
        <v/>
      </c>
      <c r="AM1175" s="133" t="str">
        <f>IF(Tab.o1[[#This Row],[a1]]=1,IF(AM$3=1,[1]!T.in.A[[#This Row],[Σo16]],""),"")</f>
        <v/>
      </c>
      <c r="AN1175" s="126" t="str">
        <f>IF(Tab.o1[[#This Row],[a1]]=1,[1]!T.in.A[[#This Row],[Σp5]],"")</f>
        <v/>
      </c>
      <c r="AO1175" s="126" t="str">
        <f>IF(Tab.o1[[#This Row],[a1]]=1,IF(AO$3=1,[1]!T.in.A[[#This Row],[Σp5]],""),"")</f>
        <v/>
      </c>
      <c r="AP1175" s="110" t="str">
        <f>IF(Tab.o1[[#This Row],[a1]]=1,IF(ISNUMBER(Tab.o1[[#This Row],[i.]]),NORMDIST(Tab.o1[[#This Row],[Za]],0,1,FALSE)*Tab.o1[[#This Row],[i.]],0),"")</f>
        <v/>
      </c>
      <c r="AQ1175" s="125" t="str">
        <f>IF(Tab.o1[[#This Row],[a1]]=1,ABS(Tab.o1[[#This Row],[MOD]]-AVERAGE(Tab.o1[MOD])),"")</f>
        <v/>
      </c>
      <c r="AR1175" s="134" t="str">
        <f>IF(Tab.o1[[#This Row],[a1]]=1,Tab.o1[[#This Row],[OBS]]/SUM(Tab.o1[OBS]),"")</f>
        <v/>
      </c>
      <c r="AS1175" s="135" t="str">
        <f>IF(ISNUMBER(Tab.o1[[#This Row],[a1]]),ROW()-4,"")</f>
        <v/>
      </c>
      <c r="AT1175" s="136" t="str">
        <f>Tab.o1[[#This Row],[MOD]]</f>
        <v/>
      </c>
      <c r="AU1175" s="137" t="str">
        <f t="shared" si="73"/>
        <v/>
      </c>
      <c r="AV1175" s="138" t="str">
        <f t="shared" si="74"/>
        <v/>
      </c>
      <c r="AW1175" s="138" t="str">
        <f t="shared" si="75"/>
        <v/>
      </c>
      <c r="AX1175" s="139" t="str">
        <f>[1]!T.in.A[[#This Row],[ID_T_manu]]</f>
        <v/>
      </c>
      <c r="AY1175" s="140" t="str">
        <f>IF(ISNUMBER(Tab.o1[[#This Row],[a1]]),IF(AND(Tab.o1[[#This Row],[a1]]=1,Tab.o1[[#This Row],[b1]]&lt;=AY$4),#REF!,AY1174),"")</f>
        <v/>
      </c>
      <c r="AZ1175" s="25"/>
      <c r="BA1175" s="25"/>
      <c r="BB1175" s="25"/>
      <c r="BC1175" s="25"/>
      <c r="BD1175" s="25"/>
      <c r="BE1175" s="25"/>
      <c r="BF1175" s="25"/>
      <c r="BG1175" s="25"/>
      <c r="BH1175" s="25"/>
      <c r="BI1175" s="25"/>
      <c r="BJ1175" s="25"/>
      <c r="BK1175" s="25"/>
      <c r="BL1175" s="25"/>
      <c r="BM1175" s="25"/>
      <c r="BN1175" s="26"/>
      <c r="BO1175" s="26"/>
      <c r="BP1175" s="26"/>
      <c r="BQ1175" s="26"/>
      <c r="BR1175" s="26"/>
      <c r="BS1175" s="26"/>
      <c r="BT1175" s="26"/>
      <c r="BU1175" s="26"/>
      <c r="BV1175" s="26"/>
      <c r="BW1175" s="26"/>
      <c r="BX1175" s="26"/>
      <c r="BY1175" s="26"/>
      <c r="BZ1175" s="26"/>
      <c r="CA1175" s="26"/>
    </row>
    <row r="1176" spans="1:79" ht="15.75" hidden="1">
      <c r="A1176" s="109">
        <v>-1.0000000000000002E-6</v>
      </c>
      <c r="B1176" s="110">
        <f t="shared" si="72"/>
        <v>1176</v>
      </c>
      <c r="C1176" s="111" t="str">
        <f>IF(C$1=[1]!T.in.A[[#This Row],[oo2]],1,"")</f>
        <v/>
      </c>
      <c r="D1176" s="112" t="str">
        <f>IF(Tab.o1[[#This Row],[a1]]=1,IF(SUM(C1176:C1177)=0,0,IF(SUM(C1175:C1176)=1,1,IF(SUM(C1175:C1177)&gt;1,D1175+1,0))),"")</f>
        <v/>
      </c>
      <c r="E1176" s="113" t="str">
        <f>IF(Tab.o1[[#This Row],[a1]]=1,[1]!T.in.A[[#This Row],[oo1]],"")</f>
        <v/>
      </c>
      <c r="F1176" s="113" t="str">
        <f>IF(Tab.o1[[#This Row],[a1]]=1,[1]!T.in.A[[#This Row],[pp1]],"")</f>
        <v/>
      </c>
      <c r="G1176" s="114" t="str">
        <f>IF(Tab.o1[[#This Row],[a1]]=1,G$2+IF(G$1=1,0,Tab.o1[[#This Row],[.x1]])+[1]!T.in.A[[#This Row],[oo3]],"")</f>
        <v/>
      </c>
      <c r="H1176" s="115" t="str">
        <f>IF(Tab.o1[[#This Row],[a1]]=1,IF(H$2=0,0,IF(G$1=1,0,Tab.o1[[#This Row],[.x1]])+[1]!T.in.A[[#This Row],[oo4]]),"")</f>
        <v/>
      </c>
      <c r="I1176" s="116" t="str">
        <f>IF(Tab.o1[[#This Row],[a1]]=1,IF(J$2=0,Tab.o1[[#This Row],[MED]],Tab.o1[[#This Row],[MOD]]),"")</f>
        <v/>
      </c>
      <c r="J1176" s="116" t="str">
        <f>IF(Tab.o1[[#This Row],[a1]]=1,((Tab.o1[[#This Row],[DIF_Target.]]-AVERAGE(Tab.o1[DIF_Target.]))/_xlfn.STDEV.P(Tab.o1[DIF_Target.])),"")</f>
        <v/>
      </c>
      <c r="K1176" s="117" t="str">
        <f>IF(Tab.o1[[#This Row],[a1]]=1,IF(J$2=0,Tab.o1[[#This Row],[MOD]]-Tab.o1[[#This Row],[B]],IF(J$2=1,0,-Tab.o1[[#This Row],[MED]])+Tab.o1[[#This Row],[B]]),"")</f>
        <v/>
      </c>
      <c r="L1176" s="117" t="str">
        <f ca="1">IF(Tab.o1[[#This Row],[DIF_Target]]=0,IF(L$2=0,Tab.o1[[#This Row],[DIF_Target]],AVERAGE(OFFSET(Tab.o1[[#This Row],[DIF_Target]],1,0,L$3,1)))/3,Tab.o1[[#This Row],[DIF_Target]])</f>
        <v/>
      </c>
      <c r="M1176" s="118" t="str">
        <f>IF(Tab.o1[[#This Row],[a1]]=1,NORMSDIST(Tab.o1[[#This Row],[Za]]),"")</f>
        <v/>
      </c>
      <c r="N1176" s="119" t="str">
        <f>IF(Tab.o1[[#This Row],[a1]]=1,((Tab.o1[[#This Row],[MedMod]]-AVERAGE(Tab.o1[MedMod]))/_xlfn.STDEV.P(Tab.o1[MedMod])*H$1205)+G$1205,"")</f>
        <v/>
      </c>
      <c r="O1176" s="141" t="str">
        <f>IF(Tab.o1[[#This Row],[a1]]=1,Tab.o1[[#This Row],[Zb]]*_xlfn.STDEV.P(Tab.o1[MedMod])+AVERAGE(Tab.o1[MedMod]),"")</f>
        <v/>
      </c>
      <c r="P1176" s="117" t="str">
        <f ca="1">IF(Tab.o1[[#This Row],[B]]=0,AVERAGE(OFFSET(Tab.o1[[#This Row],[B]],1,0,L$3,1)),Tab.o1[[#This Row],[B]])</f>
        <v/>
      </c>
      <c r="Q1176" s="121" t="str">
        <f>IF(Tab.o1[[#This Row],[a1]]=1,NORMSDIST(Tab.o1[[#This Row],[Zb]]),"")</f>
        <v/>
      </c>
      <c r="R1176" s="122" t="str">
        <f>IF(Tab.o1[[#This Row],[a1]]=1,((Tab.o1[[#This Row],[MedMod]]-AVERAGE(Tab.o1[MedMod]))/_xlfn.STDEV.P(Tab.o1[MedMod])*H$1203)+G$1203,"")</f>
        <v/>
      </c>
      <c r="S1176" s="122" t="str">
        <f>IF(Tab.o1[[#This Row],[a1]]=1,((Tab.o1[[#This Row],[MedMod]]-AVERAGE(Tab.o1[MedMod]))/_xlfn.STDEV.P(Tab.o1[MedMod])*H$1204)+G$1204,"")</f>
        <v/>
      </c>
      <c r="T1176" s="123" t="str">
        <f>IF(Tab.o1[[#This Row],[a1]]=1,Tab.o1[[#This Row],[Z-]]*_xlfn.STDEV.P(Tab.o1[B])+AVERAGE(Tab.o1[B]),"")</f>
        <v/>
      </c>
      <c r="U1176" s="123" t="str">
        <f>IF(Tab.o1[[#This Row],[a1]]=1,Tab.o1[[#This Row],[z+]]*_xlfn.STDEV.P(Tab.o1[B])+AVERAGE(Tab.o1[B]),"")</f>
        <v/>
      </c>
      <c r="V1176" s="124" t="str">
        <f>IF(Tab.o1[[#This Row],[a1]]=1,ABS((ABS(Tab.o1[[#This Row],[Red]]-Tab.o1[[#This Row],[Blue]]))),"")</f>
        <v/>
      </c>
      <c r="W1176" s="125" t="str">
        <f>IF(Tab.o1[[#This Row],[a1]]=1,IF(W$3=0,1,Tab.o1[[#This Row],[Amp.]]*1/_xlfn.MINIFS(Tab.o1[Amp.],Tab.o1[Amp.],"&lt;&gt;0")),"")</f>
        <v/>
      </c>
      <c r="X1176" s="126" t="str">
        <f>IF(Tab.o1[[#This Row],[a1]]=1,IF(ISNUMBER(Tab.o1[[#This Row],[i.]]),NORMDIST(Tab.o1[[#This Row],[Za]],0,1,FALSE)*Tab.o1[[#This Row],[i.]],AP$3),"")</f>
        <v/>
      </c>
      <c r="Y1176" s="126" t="str">
        <f>IF(Tab.o1[[#This Row],[a1]]=1,0.01+0.94*Tab.o1[[#This Row],[PDF]]/MAX(Tab.o1[PDF]),"")</f>
        <v/>
      </c>
      <c r="Z1176" s="126" t="str">
        <f>IF(Tab.o1[[#This Row],[a1]]=1,0.01+0.94*Tab.o1[[#This Row],[W1_PDF]]/MAX(Tab.o1[W1_PDF]),"")</f>
        <v/>
      </c>
      <c r="AA1176" s="118" t="str">
        <f>IF(Tab.o1[[#This Row],[a1]]=1,ABS([1]!T.in.A[[#This Row],[oo6]]),"")</f>
        <v/>
      </c>
      <c r="AB1176" s="127" t="str">
        <f>IF(Tab.o1[[#This Row],[a1]]=1,IF(AE$3=0,"",IF(AB$3=0,ABS([1]!T.in.A[[#This Row],[oo9]]),ABS(Tab.o1[[#This Row],[DIF_Target.]]*Tab.o1[[#This Row],[W1_PDF]]))),"")</f>
        <v/>
      </c>
      <c r="AC1176" s="127" t="str">
        <f>IF(G$1=1,"",IF(Tab.o1[[#This Row],[a1]]=1,Tab.o1[[#This Row],[Wr]]^2,""))</f>
        <v/>
      </c>
      <c r="AD1176" s="118" t="str">
        <f>IF(Tab.o1[[#This Row],[a1]]=1,IF(AE$3=0,"",Tab.o1[[#This Row],[Wr2]]/SUM(Tab.o1[Wr2])),"")</f>
        <v/>
      </c>
      <c r="AE1176" s="128" t="str">
        <f>IF(Tab.o1[[#This Row],[a1]]=1,[1]!T.in.A[[#This Row],[oo10]],"")</f>
        <v/>
      </c>
      <c r="AF1176" s="118" t="str">
        <f>IF(Tab.o1[[#This Row],[a1]]=1,ABS(Tab.o1[[#This Row],[DIF_Target.]]*Tab.o1[[#This Row],[PDF2]]*Tab.o1[[#This Row],[IN]]),"")</f>
        <v/>
      </c>
      <c r="AG1176" s="129" t="str">
        <f>IF(Tab.o1[[#This Row],[a1]]=1,Tab.o1[[#This Row],[rW]]^2,"")</f>
        <v/>
      </c>
      <c r="AH1176" s="130" t="str">
        <f>IF(Tab.o1[[#This Row],[a1]]=1,IF(AH$3=0,Tab.o1[[#This Row],[rW2]],0.01+0.94*Tab.o1[[#This Row],[rW2]]/SUM(Tab.o1[rW2])),"")</f>
        <v/>
      </c>
      <c r="AI1176" s="128" t="str">
        <f>IF(Tab.o1[[#This Row],[a1]]=1,1/Tab.o1[[#This Row],[PDF]],"")</f>
        <v/>
      </c>
      <c r="AJ1176" s="131" t="str">
        <f>IF(Tab.o1[[#This Row],[a1]]=1,[1]!T_AA[[#This Row],[IN'']]*[1]!T_AA[[#This Row],[Qde'']],"")</f>
        <v/>
      </c>
      <c r="AK1176" s="132" t="str">
        <f>IF(Tab.o1[[#This Row],[a1]]=1,IF(AK$1=1,Tab.o1[[#This Row],[MED]]+Tab.o1[[#This Row],[MOD]]-Tab.o1[[#This Row],[MED]],""),"")</f>
        <v/>
      </c>
      <c r="AL1176" s="133" t="str">
        <f>IF(Tab.o1[[#This Row],[a1]]=1,[1]!T.in.A[[#This Row],[oo16]],"")</f>
        <v/>
      </c>
      <c r="AM1176" s="133" t="str">
        <f>IF(Tab.o1[[#This Row],[a1]]=1,IF(AM$3=1,[1]!T.in.A[[#This Row],[Σo16]],""),"")</f>
        <v/>
      </c>
      <c r="AN1176" s="126" t="str">
        <f>IF(Tab.o1[[#This Row],[a1]]=1,[1]!T.in.A[[#This Row],[Σp5]],"")</f>
        <v/>
      </c>
      <c r="AO1176" s="126" t="str">
        <f>IF(Tab.o1[[#This Row],[a1]]=1,IF(AO$3=1,[1]!T.in.A[[#This Row],[Σp5]],""),"")</f>
        <v/>
      </c>
      <c r="AP1176" s="110" t="str">
        <f>IF(Tab.o1[[#This Row],[a1]]=1,IF(ISNUMBER(Tab.o1[[#This Row],[i.]]),NORMDIST(Tab.o1[[#This Row],[Za]],0,1,FALSE)*Tab.o1[[#This Row],[i.]],0),"")</f>
        <v/>
      </c>
      <c r="AQ1176" s="125" t="str">
        <f>IF(Tab.o1[[#This Row],[a1]]=1,ABS(Tab.o1[[#This Row],[MOD]]-AVERAGE(Tab.o1[MOD])),"")</f>
        <v/>
      </c>
      <c r="AR1176" s="134" t="str">
        <f>IF(Tab.o1[[#This Row],[a1]]=1,Tab.o1[[#This Row],[OBS]]/SUM(Tab.o1[OBS]),"")</f>
        <v/>
      </c>
      <c r="AS1176" s="135" t="str">
        <f>IF(ISNUMBER(Tab.o1[[#This Row],[a1]]),ROW()-4,"")</f>
        <v/>
      </c>
      <c r="AT1176" s="136" t="str">
        <f>Tab.o1[[#This Row],[MOD]]</f>
        <v/>
      </c>
      <c r="AU1176" s="137" t="str">
        <f t="shared" si="73"/>
        <v/>
      </c>
      <c r="AV1176" s="138" t="str">
        <f t="shared" si="74"/>
        <v/>
      </c>
      <c r="AW1176" s="138" t="str">
        <f t="shared" si="75"/>
        <v/>
      </c>
      <c r="AX1176" s="139" t="str">
        <f>[1]!T.in.A[[#This Row],[ID_T_manu]]</f>
        <v/>
      </c>
      <c r="AY1176" s="140" t="str">
        <f>IF(ISNUMBER(Tab.o1[[#This Row],[a1]]),IF(AND(Tab.o1[[#This Row],[a1]]=1,Tab.o1[[#This Row],[b1]]&lt;=AY$4),#REF!,AY1175),"")</f>
        <v/>
      </c>
      <c r="AZ1176" s="25"/>
      <c r="BA1176" s="25"/>
      <c r="BB1176" s="25"/>
      <c r="BC1176" s="25"/>
      <c r="BD1176" s="25"/>
      <c r="BE1176" s="25"/>
      <c r="BF1176" s="25"/>
      <c r="BG1176" s="25"/>
      <c r="BH1176" s="25"/>
      <c r="BI1176" s="25"/>
      <c r="BJ1176" s="25"/>
      <c r="BK1176" s="25"/>
      <c r="BL1176" s="25"/>
      <c r="BM1176" s="25"/>
      <c r="BN1176" s="26"/>
      <c r="BO1176" s="26"/>
      <c r="BP1176" s="26"/>
      <c r="BQ1176" s="26"/>
      <c r="BR1176" s="26"/>
      <c r="BS1176" s="26"/>
      <c r="BT1176" s="26"/>
      <c r="BU1176" s="26"/>
      <c r="BV1176" s="26"/>
      <c r="BW1176" s="26"/>
      <c r="BX1176" s="26"/>
      <c r="BY1176" s="26"/>
      <c r="BZ1176" s="26"/>
      <c r="CA1176" s="26"/>
    </row>
    <row r="1177" spans="1:79" ht="15.75" hidden="1">
      <c r="A1177" s="109">
        <v>2.0000000000000003E-6</v>
      </c>
      <c r="B1177" s="110">
        <f t="shared" si="72"/>
        <v>1177</v>
      </c>
      <c r="C1177" s="111" t="str">
        <f>IF(C$1=[1]!T.in.A[[#This Row],[oo2]],1,"")</f>
        <v/>
      </c>
      <c r="D1177" s="112" t="str">
        <f>IF(Tab.o1[[#This Row],[a1]]=1,IF(SUM(C1177:C1178)=0,0,IF(SUM(C1176:C1177)=1,1,IF(SUM(C1176:C1178)&gt;1,D1176+1,0))),"")</f>
        <v/>
      </c>
      <c r="E1177" s="113" t="str">
        <f>IF(Tab.o1[[#This Row],[a1]]=1,[1]!T.in.A[[#This Row],[oo1]],"")</f>
        <v/>
      </c>
      <c r="F1177" s="113" t="str">
        <f>IF(Tab.o1[[#This Row],[a1]]=1,[1]!T.in.A[[#This Row],[pp1]],"")</f>
        <v/>
      </c>
      <c r="G1177" s="114" t="str">
        <f>IF(Tab.o1[[#This Row],[a1]]=1,G$2+IF(G$1=1,0,Tab.o1[[#This Row],[.x1]])+[1]!T.in.A[[#This Row],[oo3]],"")</f>
        <v/>
      </c>
      <c r="H1177" s="115" t="str">
        <f>IF(Tab.o1[[#This Row],[a1]]=1,IF(H$2=0,0,IF(G$1=1,0,Tab.o1[[#This Row],[.x1]])+[1]!T.in.A[[#This Row],[oo4]]),"")</f>
        <v/>
      </c>
      <c r="I1177" s="116" t="str">
        <f>IF(Tab.o1[[#This Row],[a1]]=1,IF(J$2=0,Tab.o1[[#This Row],[MED]],Tab.o1[[#This Row],[MOD]]),"")</f>
        <v/>
      </c>
      <c r="J1177" s="116" t="str">
        <f>IF(Tab.o1[[#This Row],[a1]]=1,((Tab.o1[[#This Row],[DIF_Target.]]-AVERAGE(Tab.o1[DIF_Target.]))/_xlfn.STDEV.P(Tab.o1[DIF_Target.])),"")</f>
        <v/>
      </c>
      <c r="K1177" s="117" t="str">
        <f>IF(Tab.o1[[#This Row],[a1]]=1,IF(J$2=0,Tab.o1[[#This Row],[MOD]]-Tab.o1[[#This Row],[B]],IF(J$2=1,0,-Tab.o1[[#This Row],[MED]])+Tab.o1[[#This Row],[B]]),"")</f>
        <v/>
      </c>
      <c r="L1177" s="117" t="str">
        <f ca="1">IF(Tab.o1[[#This Row],[DIF_Target]]=0,IF(L$2=0,Tab.o1[[#This Row],[DIF_Target]],AVERAGE(OFFSET(Tab.o1[[#This Row],[DIF_Target]],1,0,L$3,1)))/3,Tab.o1[[#This Row],[DIF_Target]])</f>
        <v/>
      </c>
      <c r="M1177" s="118" t="str">
        <f>IF(Tab.o1[[#This Row],[a1]]=1,NORMSDIST(Tab.o1[[#This Row],[Za]]),"")</f>
        <v/>
      </c>
      <c r="N1177" s="119" t="str">
        <f>IF(Tab.o1[[#This Row],[a1]]=1,((Tab.o1[[#This Row],[MedMod]]-AVERAGE(Tab.o1[MedMod]))/_xlfn.STDEV.P(Tab.o1[MedMod])*H$1205)+G$1205,"")</f>
        <v/>
      </c>
      <c r="O1177" s="141" t="str">
        <f>IF(Tab.o1[[#This Row],[a1]]=1,Tab.o1[[#This Row],[Zb]]*_xlfn.STDEV.P(Tab.o1[MedMod])+AVERAGE(Tab.o1[MedMod]),"")</f>
        <v/>
      </c>
      <c r="P1177" s="117" t="str">
        <f ca="1">IF(Tab.o1[[#This Row],[B]]=0,AVERAGE(OFFSET(Tab.o1[[#This Row],[B]],1,0,L$3,1)),Tab.o1[[#This Row],[B]])</f>
        <v/>
      </c>
      <c r="Q1177" s="121" t="str">
        <f>IF(Tab.o1[[#This Row],[a1]]=1,NORMSDIST(Tab.o1[[#This Row],[Zb]]),"")</f>
        <v/>
      </c>
      <c r="R1177" s="122" t="str">
        <f>IF(Tab.o1[[#This Row],[a1]]=1,((Tab.o1[[#This Row],[MedMod]]-AVERAGE(Tab.o1[MedMod]))/_xlfn.STDEV.P(Tab.o1[MedMod])*H$1203)+G$1203,"")</f>
        <v/>
      </c>
      <c r="S1177" s="122" t="str">
        <f>IF(Tab.o1[[#This Row],[a1]]=1,((Tab.o1[[#This Row],[MedMod]]-AVERAGE(Tab.o1[MedMod]))/_xlfn.STDEV.P(Tab.o1[MedMod])*H$1204)+G$1204,"")</f>
        <v/>
      </c>
      <c r="T1177" s="123" t="str">
        <f>IF(Tab.o1[[#This Row],[a1]]=1,Tab.o1[[#This Row],[Z-]]*_xlfn.STDEV.P(Tab.o1[B])+AVERAGE(Tab.o1[B]),"")</f>
        <v/>
      </c>
      <c r="U1177" s="123" t="str">
        <f>IF(Tab.o1[[#This Row],[a1]]=1,Tab.o1[[#This Row],[z+]]*_xlfn.STDEV.P(Tab.o1[B])+AVERAGE(Tab.o1[B]),"")</f>
        <v/>
      </c>
      <c r="V1177" s="124" t="str">
        <f>IF(Tab.o1[[#This Row],[a1]]=1,ABS((ABS(Tab.o1[[#This Row],[Red]]-Tab.o1[[#This Row],[Blue]]))),"")</f>
        <v/>
      </c>
      <c r="W1177" s="125" t="str">
        <f>IF(Tab.o1[[#This Row],[a1]]=1,IF(W$3=0,1,Tab.o1[[#This Row],[Amp.]]*1/_xlfn.MINIFS(Tab.o1[Amp.],Tab.o1[Amp.],"&lt;&gt;0")),"")</f>
        <v/>
      </c>
      <c r="X1177" s="126" t="str">
        <f>IF(Tab.o1[[#This Row],[a1]]=1,IF(ISNUMBER(Tab.o1[[#This Row],[i.]]),NORMDIST(Tab.o1[[#This Row],[Za]],0,1,FALSE)*Tab.o1[[#This Row],[i.]],AP$3),"")</f>
        <v/>
      </c>
      <c r="Y1177" s="126" t="str">
        <f>IF(Tab.o1[[#This Row],[a1]]=1,0.01+0.94*Tab.o1[[#This Row],[PDF]]/MAX(Tab.o1[PDF]),"")</f>
        <v/>
      </c>
      <c r="Z1177" s="126" t="str">
        <f>IF(Tab.o1[[#This Row],[a1]]=1,0.01+0.94*Tab.o1[[#This Row],[W1_PDF]]/MAX(Tab.o1[W1_PDF]),"")</f>
        <v/>
      </c>
      <c r="AA1177" s="118" t="str">
        <f>IF(Tab.o1[[#This Row],[a1]]=1,ABS([1]!T.in.A[[#This Row],[oo6]]),"")</f>
        <v/>
      </c>
      <c r="AB1177" s="127" t="str">
        <f>IF(Tab.o1[[#This Row],[a1]]=1,IF(AE$3=0,"",IF(AB$3=0,ABS([1]!T.in.A[[#This Row],[oo9]]),ABS(Tab.o1[[#This Row],[DIF_Target.]]*Tab.o1[[#This Row],[W1_PDF]]))),"")</f>
        <v/>
      </c>
      <c r="AC1177" s="127" t="str">
        <f>IF(G$1=1,"",IF(Tab.o1[[#This Row],[a1]]=1,Tab.o1[[#This Row],[Wr]]^2,""))</f>
        <v/>
      </c>
      <c r="AD1177" s="118" t="str">
        <f>IF(Tab.o1[[#This Row],[a1]]=1,IF(AE$3=0,"",Tab.o1[[#This Row],[Wr2]]/SUM(Tab.o1[Wr2])),"")</f>
        <v/>
      </c>
      <c r="AE1177" s="128" t="str">
        <f>IF(Tab.o1[[#This Row],[a1]]=1,[1]!T.in.A[[#This Row],[oo10]],"")</f>
        <v/>
      </c>
      <c r="AF1177" s="118" t="str">
        <f>IF(Tab.o1[[#This Row],[a1]]=1,ABS(Tab.o1[[#This Row],[DIF_Target.]]*Tab.o1[[#This Row],[PDF2]]*Tab.o1[[#This Row],[IN]]),"")</f>
        <v/>
      </c>
      <c r="AG1177" s="129" t="str">
        <f>IF(Tab.o1[[#This Row],[a1]]=1,Tab.o1[[#This Row],[rW]]^2,"")</f>
        <v/>
      </c>
      <c r="AH1177" s="130" t="str">
        <f>IF(Tab.o1[[#This Row],[a1]]=1,IF(AH$3=0,Tab.o1[[#This Row],[rW2]],0.01+0.94*Tab.o1[[#This Row],[rW2]]/SUM(Tab.o1[rW2])),"")</f>
        <v/>
      </c>
      <c r="AI1177" s="128" t="str">
        <f>IF(Tab.o1[[#This Row],[a1]]=1,1/Tab.o1[[#This Row],[PDF]],"")</f>
        <v/>
      </c>
      <c r="AJ1177" s="131" t="str">
        <f>IF(Tab.o1[[#This Row],[a1]]=1,[1]!T_AA[[#This Row],[IN'']]*[1]!T_AA[[#This Row],[Qde'']],"")</f>
        <v/>
      </c>
      <c r="AK1177" s="132" t="str">
        <f>IF(Tab.o1[[#This Row],[a1]]=1,IF(AK$1=1,Tab.o1[[#This Row],[MED]]+Tab.o1[[#This Row],[MOD]]-Tab.o1[[#This Row],[MED]],""),"")</f>
        <v/>
      </c>
      <c r="AL1177" s="133" t="str">
        <f>IF(Tab.o1[[#This Row],[a1]]=1,[1]!T.in.A[[#This Row],[oo16]],"")</f>
        <v/>
      </c>
      <c r="AM1177" s="133" t="str">
        <f>IF(Tab.o1[[#This Row],[a1]]=1,IF(AM$3=1,[1]!T.in.A[[#This Row],[Σo16]],""),"")</f>
        <v/>
      </c>
      <c r="AN1177" s="126" t="str">
        <f>IF(Tab.o1[[#This Row],[a1]]=1,[1]!T.in.A[[#This Row],[Σp5]],"")</f>
        <v/>
      </c>
      <c r="AO1177" s="126" t="str">
        <f>IF(Tab.o1[[#This Row],[a1]]=1,IF(AO$3=1,[1]!T.in.A[[#This Row],[Σp5]],""),"")</f>
        <v/>
      </c>
      <c r="AP1177" s="110" t="str">
        <f>IF(Tab.o1[[#This Row],[a1]]=1,IF(ISNUMBER(Tab.o1[[#This Row],[i.]]),NORMDIST(Tab.o1[[#This Row],[Za]],0,1,FALSE)*Tab.o1[[#This Row],[i.]],0),"")</f>
        <v/>
      </c>
      <c r="AQ1177" s="125" t="str">
        <f>IF(Tab.o1[[#This Row],[a1]]=1,ABS(Tab.o1[[#This Row],[MOD]]-AVERAGE(Tab.o1[MOD])),"")</f>
        <v/>
      </c>
      <c r="AR1177" s="134" t="str">
        <f>IF(Tab.o1[[#This Row],[a1]]=1,Tab.o1[[#This Row],[OBS]]/SUM(Tab.o1[OBS]),"")</f>
        <v/>
      </c>
      <c r="AS1177" s="135" t="str">
        <f>IF(ISNUMBER(Tab.o1[[#This Row],[a1]]),ROW()-4,"")</f>
        <v/>
      </c>
      <c r="AT1177" s="136" t="str">
        <f>Tab.o1[[#This Row],[MOD]]</f>
        <v/>
      </c>
      <c r="AU1177" s="137" t="str">
        <f t="shared" si="73"/>
        <v/>
      </c>
      <c r="AV1177" s="138" t="str">
        <f t="shared" si="74"/>
        <v/>
      </c>
      <c r="AW1177" s="138" t="str">
        <f t="shared" si="75"/>
        <v/>
      </c>
      <c r="AX1177" s="139" t="str">
        <f>[1]!T.in.A[[#This Row],[ID_T_manu]]</f>
        <v/>
      </c>
      <c r="AY1177" s="140" t="str">
        <f>IF(ISNUMBER(Tab.o1[[#This Row],[a1]]),IF(AND(Tab.o1[[#This Row],[a1]]=1,Tab.o1[[#This Row],[b1]]&lt;=AY$4),#REF!,AY1176),"")</f>
        <v/>
      </c>
      <c r="AZ1177" s="25"/>
      <c r="BA1177" s="25"/>
      <c r="BB1177" s="25"/>
      <c r="BC1177" s="25"/>
      <c r="BD1177" s="25"/>
      <c r="BE1177" s="25"/>
      <c r="BF1177" s="25"/>
      <c r="BG1177" s="25"/>
      <c r="BH1177" s="25"/>
      <c r="BI1177" s="25"/>
      <c r="BJ1177" s="25"/>
      <c r="BK1177" s="25"/>
      <c r="BL1177" s="25"/>
      <c r="BM1177" s="25"/>
      <c r="BN1177" s="26"/>
      <c r="BO1177" s="26"/>
      <c r="BP1177" s="26"/>
      <c r="BQ1177" s="26"/>
      <c r="BR1177" s="26"/>
      <c r="BS1177" s="26"/>
      <c r="BT1177" s="26"/>
      <c r="BU1177" s="26"/>
      <c r="BV1177" s="26"/>
      <c r="BW1177" s="26"/>
      <c r="BX1177" s="26"/>
      <c r="BY1177" s="26"/>
      <c r="BZ1177" s="26"/>
      <c r="CA1177" s="26"/>
    </row>
    <row r="1178" spans="1:79" ht="15.75" hidden="1">
      <c r="A1178" s="109">
        <v>2.0000000000000003E-6</v>
      </c>
      <c r="B1178" s="110">
        <f t="shared" si="72"/>
        <v>1178</v>
      </c>
      <c r="C1178" s="111" t="str">
        <f>IF(C$1=[1]!T.in.A[[#This Row],[oo2]],1,"")</f>
        <v/>
      </c>
      <c r="D1178" s="112" t="str">
        <f>IF(Tab.o1[[#This Row],[a1]]=1,IF(SUM(C1178:C1179)=0,0,IF(SUM(C1177:C1178)=1,1,IF(SUM(C1177:C1179)&gt;1,D1177+1,0))),"")</f>
        <v/>
      </c>
      <c r="E1178" s="113" t="str">
        <f>IF(Tab.o1[[#This Row],[a1]]=1,[1]!T.in.A[[#This Row],[oo1]],"")</f>
        <v/>
      </c>
      <c r="F1178" s="113" t="str">
        <f>IF(Tab.o1[[#This Row],[a1]]=1,[1]!T.in.A[[#This Row],[pp1]],"")</f>
        <v/>
      </c>
      <c r="G1178" s="114" t="str">
        <f>IF(Tab.o1[[#This Row],[a1]]=1,G$2+IF(G$1=1,0,Tab.o1[[#This Row],[.x1]])+[1]!T.in.A[[#This Row],[oo3]],"")</f>
        <v/>
      </c>
      <c r="H1178" s="115" t="str">
        <f>IF(Tab.o1[[#This Row],[a1]]=1,IF(H$2=0,0,IF(G$1=1,0,Tab.o1[[#This Row],[.x1]])+[1]!T.in.A[[#This Row],[oo4]]),"")</f>
        <v/>
      </c>
      <c r="I1178" s="116" t="str">
        <f>IF(Tab.o1[[#This Row],[a1]]=1,IF(J$2=0,Tab.o1[[#This Row],[MED]],Tab.o1[[#This Row],[MOD]]),"")</f>
        <v/>
      </c>
      <c r="J1178" s="116" t="str">
        <f>IF(Tab.o1[[#This Row],[a1]]=1,((Tab.o1[[#This Row],[DIF_Target.]]-AVERAGE(Tab.o1[DIF_Target.]))/_xlfn.STDEV.P(Tab.o1[DIF_Target.])),"")</f>
        <v/>
      </c>
      <c r="K1178" s="117" t="str">
        <f>IF(Tab.o1[[#This Row],[a1]]=1,IF(J$2=0,Tab.o1[[#This Row],[MOD]]-Tab.o1[[#This Row],[B]],IF(J$2=1,0,-Tab.o1[[#This Row],[MED]])+Tab.o1[[#This Row],[B]]),"")</f>
        <v/>
      </c>
      <c r="L1178" s="117" t="str">
        <f ca="1">IF(Tab.o1[[#This Row],[DIF_Target]]=0,IF(L$2=0,Tab.o1[[#This Row],[DIF_Target]],AVERAGE(OFFSET(Tab.o1[[#This Row],[DIF_Target]],1,0,L$3,1)))/3,Tab.o1[[#This Row],[DIF_Target]])</f>
        <v/>
      </c>
      <c r="M1178" s="118" t="str">
        <f>IF(Tab.o1[[#This Row],[a1]]=1,NORMSDIST(Tab.o1[[#This Row],[Za]]),"")</f>
        <v/>
      </c>
      <c r="N1178" s="119" t="str">
        <f>IF(Tab.o1[[#This Row],[a1]]=1,((Tab.o1[[#This Row],[MedMod]]-AVERAGE(Tab.o1[MedMod]))/_xlfn.STDEV.P(Tab.o1[MedMod])*H$1205)+G$1205,"")</f>
        <v/>
      </c>
      <c r="O1178" s="141" t="str">
        <f>IF(Tab.o1[[#This Row],[a1]]=1,Tab.o1[[#This Row],[Zb]]*_xlfn.STDEV.P(Tab.o1[MedMod])+AVERAGE(Tab.o1[MedMod]),"")</f>
        <v/>
      </c>
      <c r="P1178" s="117" t="str">
        <f ca="1">IF(Tab.o1[[#This Row],[B]]=0,AVERAGE(OFFSET(Tab.o1[[#This Row],[B]],1,0,L$3,1)),Tab.o1[[#This Row],[B]])</f>
        <v/>
      </c>
      <c r="Q1178" s="121" t="str">
        <f>IF(Tab.o1[[#This Row],[a1]]=1,NORMSDIST(Tab.o1[[#This Row],[Zb]]),"")</f>
        <v/>
      </c>
      <c r="R1178" s="122" t="str">
        <f>IF(Tab.o1[[#This Row],[a1]]=1,((Tab.o1[[#This Row],[MedMod]]-AVERAGE(Tab.o1[MedMod]))/_xlfn.STDEV.P(Tab.o1[MedMod])*H$1203)+G$1203,"")</f>
        <v/>
      </c>
      <c r="S1178" s="122" t="str">
        <f>IF(Tab.o1[[#This Row],[a1]]=1,((Tab.o1[[#This Row],[MedMod]]-AVERAGE(Tab.o1[MedMod]))/_xlfn.STDEV.P(Tab.o1[MedMod])*H$1204)+G$1204,"")</f>
        <v/>
      </c>
      <c r="T1178" s="123" t="str">
        <f>IF(Tab.o1[[#This Row],[a1]]=1,Tab.o1[[#This Row],[Z-]]*_xlfn.STDEV.P(Tab.o1[B])+AVERAGE(Tab.o1[B]),"")</f>
        <v/>
      </c>
      <c r="U1178" s="123" t="str">
        <f>IF(Tab.o1[[#This Row],[a1]]=1,Tab.o1[[#This Row],[z+]]*_xlfn.STDEV.P(Tab.o1[B])+AVERAGE(Tab.o1[B]),"")</f>
        <v/>
      </c>
      <c r="V1178" s="124" t="str">
        <f>IF(Tab.o1[[#This Row],[a1]]=1,ABS((ABS(Tab.o1[[#This Row],[Red]]-Tab.o1[[#This Row],[Blue]]))),"")</f>
        <v/>
      </c>
      <c r="W1178" s="125" t="str">
        <f>IF(Tab.o1[[#This Row],[a1]]=1,IF(W$3=0,1,Tab.o1[[#This Row],[Amp.]]*1/_xlfn.MINIFS(Tab.o1[Amp.],Tab.o1[Amp.],"&lt;&gt;0")),"")</f>
        <v/>
      </c>
      <c r="X1178" s="126" t="str">
        <f>IF(Tab.o1[[#This Row],[a1]]=1,IF(ISNUMBER(Tab.o1[[#This Row],[i.]]),NORMDIST(Tab.o1[[#This Row],[Za]],0,1,FALSE)*Tab.o1[[#This Row],[i.]],AP$3),"")</f>
        <v/>
      </c>
      <c r="Y1178" s="126" t="str">
        <f>IF(Tab.o1[[#This Row],[a1]]=1,0.01+0.94*Tab.o1[[#This Row],[PDF]]/MAX(Tab.o1[PDF]),"")</f>
        <v/>
      </c>
      <c r="Z1178" s="126" t="str">
        <f>IF(Tab.o1[[#This Row],[a1]]=1,0.01+0.94*Tab.o1[[#This Row],[W1_PDF]]/MAX(Tab.o1[W1_PDF]),"")</f>
        <v/>
      </c>
      <c r="AA1178" s="118" t="str">
        <f>IF(Tab.o1[[#This Row],[a1]]=1,ABS([1]!T.in.A[[#This Row],[oo6]]),"")</f>
        <v/>
      </c>
      <c r="AB1178" s="127" t="str">
        <f>IF(Tab.o1[[#This Row],[a1]]=1,IF(AE$3=0,"",IF(AB$3=0,ABS([1]!T.in.A[[#This Row],[oo9]]),ABS(Tab.o1[[#This Row],[DIF_Target.]]*Tab.o1[[#This Row],[W1_PDF]]))),"")</f>
        <v/>
      </c>
      <c r="AC1178" s="127" t="str">
        <f>IF(G$1=1,"",IF(Tab.o1[[#This Row],[a1]]=1,Tab.o1[[#This Row],[Wr]]^2,""))</f>
        <v/>
      </c>
      <c r="AD1178" s="118" t="str">
        <f>IF(Tab.o1[[#This Row],[a1]]=1,IF(AE$3=0,"",Tab.o1[[#This Row],[Wr2]]/SUM(Tab.o1[Wr2])),"")</f>
        <v/>
      </c>
      <c r="AE1178" s="128" t="str">
        <f>IF(Tab.o1[[#This Row],[a1]]=1,[1]!T.in.A[[#This Row],[oo10]],"")</f>
        <v/>
      </c>
      <c r="AF1178" s="118" t="str">
        <f>IF(Tab.o1[[#This Row],[a1]]=1,ABS(Tab.o1[[#This Row],[DIF_Target.]]*Tab.o1[[#This Row],[PDF2]]*Tab.o1[[#This Row],[IN]]),"")</f>
        <v/>
      </c>
      <c r="AG1178" s="129" t="str">
        <f>IF(Tab.o1[[#This Row],[a1]]=1,Tab.o1[[#This Row],[rW]]^2,"")</f>
        <v/>
      </c>
      <c r="AH1178" s="130" t="str">
        <f>IF(Tab.o1[[#This Row],[a1]]=1,IF(AH$3=0,Tab.o1[[#This Row],[rW2]],0.01+0.94*Tab.o1[[#This Row],[rW2]]/SUM(Tab.o1[rW2])),"")</f>
        <v/>
      </c>
      <c r="AI1178" s="128" t="str">
        <f>IF(Tab.o1[[#This Row],[a1]]=1,1/Tab.o1[[#This Row],[PDF]],"")</f>
        <v/>
      </c>
      <c r="AJ1178" s="131" t="str">
        <f>IF(Tab.o1[[#This Row],[a1]]=1,[1]!T_AA[[#This Row],[IN'']]*[1]!T_AA[[#This Row],[Qde'']],"")</f>
        <v/>
      </c>
      <c r="AK1178" s="132" t="str">
        <f>IF(Tab.o1[[#This Row],[a1]]=1,IF(AK$1=1,Tab.o1[[#This Row],[MED]]+Tab.o1[[#This Row],[MOD]]-Tab.o1[[#This Row],[MED]],""),"")</f>
        <v/>
      </c>
      <c r="AL1178" s="133" t="str">
        <f>IF(Tab.o1[[#This Row],[a1]]=1,[1]!T.in.A[[#This Row],[oo16]],"")</f>
        <v/>
      </c>
      <c r="AM1178" s="133" t="str">
        <f>IF(Tab.o1[[#This Row],[a1]]=1,IF(AM$3=1,[1]!T.in.A[[#This Row],[Σo16]],""),"")</f>
        <v/>
      </c>
      <c r="AN1178" s="126" t="str">
        <f>IF(Tab.o1[[#This Row],[a1]]=1,[1]!T.in.A[[#This Row],[Σp5]],"")</f>
        <v/>
      </c>
      <c r="AO1178" s="126" t="str">
        <f>IF(Tab.o1[[#This Row],[a1]]=1,IF(AO$3=1,[1]!T.in.A[[#This Row],[Σp5]],""),"")</f>
        <v/>
      </c>
      <c r="AP1178" s="110" t="str">
        <f>IF(Tab.o1[[#This Row],[a1]]=1,IF(ISNUMBER(Tab.o1[[#This Row],[i.]]),NORMDIST(Tab.o1[[#This Row],[Za]],0,1,FALSE)*Tab.o1[[#This Row],[i.]],0),"")</f>
        <v/>
      </c>
      <c r="AQ1178" s="125" t="str">
        <f>IF(Tab.o1[[#This Row],[a1]]=1,ABS(Tab.o1[[#This Row],[MOD]]-AVERAGE(Tab.o1[MOD])),"")</f>
        <v/>
      </c>
      <c r="AR1178" s="134" t="str">
        <f>IF(Tab.o1[[#This Row],[a1]]=1,Tab.o1[[#This Row],[OBS]]/SUM(Tab.o1[OBS]),"")</f>
        <v/>
      </c>
      <c r="AS1178" s="135" t="str">
        <f>IF(ISNUMBER(Tab.o1[[#This Row],[a1]]),ROW()-4,"")</f>
        <v/>
      </c>
      <c r="AT1178" s="136" t="str">
        <f>Tab.o1[[#This Row],[MOD]]</f>
        <v/>
      </c>
      <c r="AU1178" s="137" t="str">
        <f t="shared" si="73"/>
        <v/>
      </c>
      <c r="AV1178" s="138" t="str">
        <f t="shared" si="74"/>
        <v/>
      </c>
      <c r="AW1178" s="138" t="str">
        <f t="shared" si="75"/>
        <v/>
      </c>
      <c r="AX1178" s="139" t="str">
        <f>[1]!T.in.A[[#This Row],[ID_T_manu]]</f>
        <v/>
      </c>
      <c r="AY1178" s="140" t="str">
        <f>IF(ISNUMBER(Tab.o1[[#This Row],[a1]]),IF(AND(Tab.o1[[#This Row],[a1]]=1,Tab.o1[[#This Row],[b1]]&lt;=AY$4),#REF!,AY1177),"")</f>
        <v/>
      </c>
      <c r="AZ1178" s="25"/>
      <c r="BA1178" s="25"/>
      <c r="BB1178" s="25"/>
      <c r="BC1178" s="25"/>
      <c r="BD1178" s="25"/>
      <c r="BE1178" s="25"/>
      <c r="BF1178" s="25"/>
      <c r="BG1178" s="25"/>
      <c r="BH1178" s="25"/>
      <c r="BI1178" s="25"/>
      <c r="BJ1178" s="25"/>
      <c r="BK1178" s="25"/>
      <c r="BL1178" s="25"/>
      <c r="BM1178" s="25"/>
      <c r="BN1178" s="26"/>
      <c r="BO1178" s="26"/>
      <c r="BP1178" s="26"/>
      <c r="BQ1178" s="26"/>
      <c r="BR1178" s="26"/>
      <c r="BS1178" s="26"/>
      <c r="BT1178" s="26"/>
      <c r="BU1178" s="26"/>
      <c r="BV1178" s="26"/>
      <c r="BW1178" s="26"/>
      <c r="BX1178" s="26"/>
      <c r="BY1178" s="26"/>
      <c r="BZ1178" s="26"/>
      <c r="CA1178" s="26"/>
    </row>
    <row r="1179" spans="1:79" ht="15.75" hidden="1">
      <c r="A1179" s="109">
        <v>-5.9999999999999993E-6</v>
      </c>
      <c r="B1179" s="110">
        <f t="shared" si="72"/>
        <v>1179</v>
      </c>
      <c r="C1179" s="111" t="str">
        <f>IF(C$1=[1]!T.in.A[[#This Row],[oo2]],1,"")</f>
        <v/>
      </c>
      <c r="D1179" s="112" t="str">
        <f>IF(Tab.o1[[#This Row],[a1]]=1,IF(SUM(C1179:C1180)=0,0,IF(SUM(C1178:C1179)=1,1,IF(SUM(C1178:C1180)&gt;1,D1178+1,0))),"")</f>
        <v/>
      </c>
      <c r="E1179" s="113" t="str">
        <f>IF(Tab.o1[[#This Row],[a1]]=1,[1]!T.in.A[[#This Row],[oo1]],"")</f>
        <v/>
      </c>
      <c r="F1179" s="113" t="str">
        <f>IF(Tab.o1[[#This Row],[a1]]=1,[1]!T.in.A[[#This Row],[pp1]],"")</f>
        <v/>
      </c>
      <c r="G1179" s="114" t="str">
        <f>IF(Tab.o1[[#This Row],[a1]]=1,G$2+IF(G$1=1,0,Tab.o1[[#This Row],[.x1]])+[1]!T.in.A[[#This Row],[oo3]],"")</f>
        <v/>
      </c>
      <c r="H1179" s="115" t="str">
        <f>IF(Tab.o1[[#This Row],[a1]]=1,IF(H$2=0,0,IF(G$1=1,0,Tab.o1[[#This Row],[.x1]])+[1]!T.in.A[[#This Row],[oo4]]),"")</f>
        <v/>
      </c>
      <c r="I1179" s="116" t="str">
        <f>IF(Tab.o1[[#This Row],[a1]]=1,IF(J$2=0,Tab.o1[[#This Row],[MED]],Tab.o1[[#This Row],[MOD]]),"")</f>
        <v/>
      </c>
      <c r="J1179" s="116" t="str">
        <f>IF(Tab.o1[[#This Row],[a1]]=1,((Tab.o1[[#This Row],[DIF_Target.]]-AVERAGE(Tab.o1[DIF_Target.]))/_xlfn.STDEV.P(Tab.o1[DIF_Target.])),"")</f>
        <v/>
      </c>
      <c r="K1179" s="117" t="str">
        <f>IF(Tab.o1[[#This Row],[a1]]=1,IF(J$2=0,Tab.o1[[#This Row],[MOD]]-Tab.o1[[#This Row],[B]],IF(J$2=1,0,-Tab.o1[[#This Row],[MED]])+Tab.o1[[#This Row],[B]]),"")</f>
        <v/>
      </c>
      <c r="L1179" s="117" t="str">
        <f ca="1">IF(Tab.o1[[#This Row],[DIF_Target]]=0,IF(L$2=0,Tab.o1[[#This Row],[DIF_Target]],AVERAGE(OFFSET(Tab.o1[[#This Row],[DIF_Target]],1,0,L$3,1)))/3,Tab.o1[[#This Row],[DIF_Target]])</f>
        <v/>
      </c>
      <c r="M1179" s="118" t="str">
        <f>IF(Tab.o1[[#This Row],[a1]]=1,NORMSDIST(Tab.o1[[#This Row],[Za]]),"")</f>
        <v/>
      </c>
      <c r="N1179" s="119" t="str">
        <f>IF(Tab.o1[[#This Row],[a1]]=1,((Tab.o1[[#This Row],[MedMod]]-AVERAGE(Tab.o1[MedMod]))/_xlfn.STDEV.P(Tab.o1[MedMod])*H$1205)+G$1205,"")</f>
        <v/>
      </c>
      <c r="O1179" s="141" t="str">
        <f>IF(Tab.o1[[#This Row],[a1]]=1,Tab.o1[[#This Row],[Zb]]*_xlfn.STDEV.P(Tab.o1[MedMod])+AVERAGE(Tab.o1[MedMod]),"")</f>
        <v/>
      </c>
      <c r="P1179" s="117" t="str">
        <f ca="1">IF(Tab.o1[[#This Row],[B]]=0,AVERAGE(OFFSET(Tab.o1[[#This Row],[B]],1,0,L$3,1)),Tab.o1[[#This Row],[B]])</f>
        <v/>
      </c>
      <c r="Q1179" s="121" t="str">
        <f>IF(Tab.o1[[#This Row],[a1]]=1,NORMSDIST(Tab.o1[[#This Row],[Zb]]),"")</f>
        <v/>
      </c>
      <c r="R1179" s="122" t="str">
        <f>IF(Tab.o1[[#This Row],[a1]]=1,((Tab.o1[[#This Row],[MedMod]]-AVERAGE(Tab.o1[MedMod]))/_xlfn.STDEV.P(Tab.o1[MedMod])*H$1203)+G$1203,"")</f>
        <v/>
      </c>
      <c r="S1179" s="122" t="str">
        <f>IF(Tab.o1[[#This Row],[a1]]=1,((Tab.o1[[#This Row],[MedMod]]-AVERAGE(Tab.o1[MedMod]))/_xlfn.STDEV.P(Tab.o1[MedMod])*H$1204)+G$1204,"")</f>
        <v/>
      </c>
      <c r="T1179" s="123" t="str">
        <f>IF(Tab.o1[[#This Row],[a1]]=1,Tab.o1[[#This Row],[Z-]]*_xlfn.STDEV.P(Tab.o1[B])+AVERAGE(Tab.o1[B]),"")</f>
        <v/>
      </c>
      <c r="U1179" s="123" t="str">
        <f>IF(Tab.o1[[#This Row],[a1]]=1,Tab.o1[[#This Row],[z+]]*_xlfn.STDEV.P(Tab.o1[B])+AVERAGE(Tab.o1[B]),"")</f>
        <v/>
      </c>
      <c r="V1179" s="124" t="str">
        <f>IF(Tab.o1[[#This Row],[a1]]=1,ABS((ABS(Tab.o1[[#This Row],[Red]]-Tab.o1[[#This Row],[Blue]]))),"")</f>
        <v/>
      </c>
      <c r="W1179" s="125" t="str">
        <f>IF(Tab.o1[[#This Row],[a1]]=1,IF(W$3=0,1,Tab.o1[[#This Row],[Amp.]]*1/_xlfn.MINIFS(Tab.o1[Amp.],Tab.o1[Amp.],"&lt;&gt;0")),"")</f>
        <v/>
      </c>
      <c r="X1179" s="126" t="str">
        <f>IF(Tab.o1[[#This Row],[a1]]=1,IF(ISNUMBER(Tab.o1[[#This Row],[i.]]),NORMDIST(Tab.o1[[#This Row],[Za]],0,1,FALSE)*Tab.o1[[#This Row],[i.]],AP$3),"")</f>
        <v/>
      </c>
      <c r="Y1179" s="126" t="str">
        <f>IF(Tab.o1[[#This Row],[a1]]=1,0.01+0.94*Tab.o1[[#This Row],[PDF]]/MAX(Tab.o1[PDF]),"")</f>
        <v/>
      </c>
      <c r="Z1179" s="126" t="str">
        <f>IF(Tab.o1[[#This Row],[a1]]=1,0.01+0.94*Tab.o1[[#This Row],[W1_PDF]]/MAX(Tab.o1[W1_PDF]),"")</f>
        <v/>
      </c>
      <c r="AA1179" s="118" t="str">
        <f>IF(Tab.o1[[#This Row],[a1]]=1,ABS([1]!T.in.A[[#This Row],[oo6]]),"")</f>
        <v/>
      </c>
      <c r="AB1179" s="127" t="str">
        <f>IF(Tab.o1[[#This Row],[a1]]=1,IF(AE$3=0,"",IF(AB$3=0,ABS([1]!T.in.A[[#This Row],[oo9]]),ABS(Tab.o1[[#This Row],[DIF_Target.]]*Tab.o1[[#This Row],[W1_PDF]]))),"")</f>
        <v/>
      </c>
      <c r="AC1179" s="127" t="str">
        <f>IF(G$1=1,"",IF(Tab.o1[[#This Row],[a1]]=1,Tab.o1[[#This Row],[Wr]]^2,""))</f>
        <v/>
      </c>
      <c r="AD1179" s="118" t="str">
        <f>IF(Tab.o1[[#This Row],[a1]]=1,IF(AE$3=0,"",Tab.o1[[#This Row],[Wr2]]/SUM(Tab.o1[Wr2])),"")</f>
        <v/>
      </c>
      <c r="AE1179" s="128" t="str">
        <f>IF(Tab.o1[[#This Row],[a1]]=1,[1]!T.in.A[[#This Row],[oo10]],"")</f>
        <v/>
      </c>
      <c r="AF1179" s="118" t="str">
        <f>IF(Tab.o1[[#This Row],[a1]]=1,ABS(Tab.o1[[#This Row],[DIF_Target.]]*Tab.o1[[#This Row],[PDF2]]*Tab.o1[[#This Row],[IN]]),"")</f>
        <v/>
      </c>
      <c r="AG1179" s="129" t="str">
        <f>IF(Tab.o1[[#This Row],[a1]]=1,Tab.o1[[#This Row],[rW]]^2,"")</f>
        <v/>
      </c>
      <c r="AH1179" s="130" t="str">
        <f>IF(Tab.o1[[#This Row],[a1]]=1,IF(AH$3=0,Tab.o1[[#This Row],[rW2]],0.01+0.94*Tab.o1[[#This Row],[rW2]]/SUM(Tab.o1[rW2])),"")</f>
        <v/>
      </c>
      <c r="AI1179" s="128" t="str">
        <f>IF(Tab.o1[[#This Row],[a1]]=1,1/Tab.o1[[#This Row],[PDF]],"")</f>
        <v/>
      </c>
      <c r="AJ1179" s="131" t="str">
        <f>IF(Tab.o1[[#This Row],[a1]]=1,[1]!T_AA[[#This Row],[IN'']]*[1]!T_AA[[#This Row],[Qde'']],"")</f>
        <v/>
      </c>
      <c r="AK1179" s="132" t="str">
        <f>IF(Tab.o1[[#This Row],[a1]]=1,IF(AK$1=1,Tab.o1[[#This Row],[MED]]+Tab.o1[[#This Row],[MOD]]-Tab.o1[[#This Row],[MED]],""),"")</f>
        <v/>
      </c>
      <c r="AL1179" s="133" t="str">
        <f>IF(Tab.o1[[#This Row],[a1]]=1,[1]!T.in.A[[#This Row],[oo16]],"")</f>
        <v/>
      </c>
      <c r="AM1179" s="133" t="str">
        <f>IF(Tab.o1[[#This Row],[a1]]=1,IF(AM$3=1,[1]!T.in.A[[#This Row],[Σo16]],""),"")</f>
        <v/>
      </c>
      <c r="AN1179" s="126" t="str">
        <f>IF(Tab.o1[[#This Row],[a1]]=1,[1]!T.in.A[[#This Row],[Σp5]],"")</f>
        <v/>
      </c>
      <c r="AO1179" s="126" t="str">
        <f>IF(Tab.o1[[#This Row],[a1]]=1,IF(AO$3=1,[1]!T.in.A[[#This Row],[Σp5]],""),"")</f>
        <v/>
      </c>
      <c r="AP1179" s="110" t="str">
        <f>IF(Tab.o1[[#This Row],[a1]]=1,IF(ISNUMBER(Tab.o1[[#This Row],[i.]]),NORMDIST(Tab.o1[[#This Row],[Za]],0,1,FALSE)*Tab.o1[[#This Row],[i.]],0),"")</f>
        <v/>
      </c>
      <c r="AQ1179" s="125" t="str">
        <f>IF(Tab.o1[[#This Row],[a1]]=1,ABS(Tab.o1[[#This Row],[MOD]]-AVERAGE(Tab.o1[MOD])),"")</f>
        <v/>
      </c>
      <c r="AR1179" s="134" t="str">
        <f>IF(Tab.o1[[#This Row],[a1]]=1,Tab.o1[[#This Row],[OBS]]/SUM(Tab.o1[OBS]),"")</f>
        <v/>
      </c>
      <c r="AS1179" s="135" t="str">
        <f>IF(ISNUMBER(Tab.o1[[#This Row],[a1]]),ROW()-4,"")</f>
        <v/>
      </c>
      <c r="AT1179" s="136" t="str">
        <f>Tab.o1[[#This Row],[MOD]]</f>
        <v/>
      </c>
      <c r="AU1179" s="137" t="str">
        <f t="shared" si="73"/>
        <v/>
      </c>
      <c r="AV1179" s="138" t="str">
        <f t="shared" si="74"/>
        <v/>
      </c>
      <c r="AW1179" s="138" t="str">
        <f t="shared" si="75"/>
        <v/>
      </c>
      <c r="AX1179" s="139" t="str">
        <f>[1]!T.in.A[[#This Row],[ID_T_manu]]</f>
        <v/>
      </c>
      <c r="AY1179" s="140" t="str">
        <f>IF(ISNUMBER(Tab.o1[[#This Row],[a1]]),IF(AND(Tab.o1[[#This Row],[a1]]=1,Tab.o1[[#This Row],[b1]]&lt;=AY$4),#REF!,AY1178),"")</f>
        <v/>
      </c>
      <c r="AZ1179" s="25"/>
      <c r="BA1179" s="25"/>
      <c r="BB1179" s="25"/>
      <c r="BC1179" s="25"/>
      <c r="BD1179" s="25"/>
      <c r="BE1179" s="25"/>
      <c r="BF1179" s="25"/>
      <c r="BG1179" s="25"/>
      <c r="BH1179" s="25"/>
      <c r="BI1179" s="25"/>
      <c r="BJ1179" s="25"/>
      <c r="BK1179" s="25"/>
      <c r="BL1179" s="25"/>
      <c r="BM1179" s="25"/>
      <c r="BN1179" s="26"/>
      <c r="BO1179" s="26"/>
      <c r="BP1179" s="26"/>
      <c r="BQ1179" s="26"/>
      <c r="BR1179" s="26"/>
      <c r="BS1179" s="26"/>
      <c r="BT1179" s="26"/>
      <c r="BU1179" s="26"/>
      <c r="BV1179" s="26"/>
      <c r="BW1179" s="26"/>
      <c r="BX1179" s="26"/>
      <c r="BY1179" s="26"/>
      <c r="BZ1179" s="26"/>
      <c r="CA1179" s="26"/>
    </row>
    <row r="1180" spans="1:79" ht="15.75" hidden="1">
      <c r="A1180" s="109">
        <v>4.0000000000000007E-6</v>
      </c>
      <c r="B1180" s="110">
        <f t="shared" si="72"/>
        <v>1180</v>
      </c>
      <c r="C1180" s="111" t="str">
        <f>IF(C$1=[1]!T.in.A[[#This Row],[oo2]],1,"")</f>
        <v/>
      </c>
      <c r="D1180" s="112" t="str">
        <f>IF(Tab.o1[[#This Row],[a1]]=1,IF(SUM(C1180:C1181)=0,0,IF(SUM(C1179:C1180)=1,1,IF(SUM(C1179:C1181)&gt;1,D1179+1,0))),"")</f>
        <v/>
      </c>
      <c r="E1180" s="113" t="str">
        <f>IF(Tab.o1[[#This Row],[a1]]=1,[1]!T.in.A[[#This Row],[oo1]],"")</f>
        <v/>
      </c>
      <c r="F1180" s="113" t="str">
        <f>IF(Tab.o1[[#This Row],[a1]]=1,[1]!T.in.A[[#This Row],[pp1]],"")</f>
        <v/>
      </c>
      <c r="G1180" s="114" t="str">
        <f>IF(Tab.o1[[#This Row],[a1]]=1,G$2+IF(G$1=1,0,Tab.o1[[#This Row],[.x1]])+[1]!T.in.A[[#This Row],[oo3]],"")</f>
        <v/>
      </c>
      <c r="H1180" s="115" t="str">
        <f>IF(Tab.o1[[#This Row],[a1]]=1,IF(H$2=0,0,IF(G$1=1,0,Tab.o1[[#This Row],[.x1]])+[1]!T.in.A[[#This Row],[oo4]]),"")</f>
        <v/>
      </c>
      <c r="I1180" s="116" t="str">
        <f>IF(Tab.o1[[#This Row],[a1]]=1,IF(J$2=0,Tab.o1[[#This Row],[MED]],Tab.o1[[#This Row],[MOD]]),"")</f>
        <v/>
      </c>
      <c r="J1180" s="116" t="str">
        <f>IF(Tab.o1[[#This Row],[a1]]=1,((Tab.o1[[#This Row],[DIF_Target.]]-AVERAGE(Tab.o1[DIF_Target.]))/_xlfn.STDEV.P(Tab.o1[DIF_Target.])),"")</f>
        <v/>
      </c>
      <c r="K1180" s="117" t="str">
        <f>IF(Tab.o1[[#This Row],[a1]]=1,IF(J$2=0,Tab.o1[[#This Row],[MOD]]-Tab.o1[[#This Row],[B]],IF(J$2=1,0,-Tab.o1[[#This Row],[MED]])+Tab.o1[[#This Row],[B]]),"")</f>
        <v/>
      </c>
      <c r="L1180" s="117" t="str">
        <f ca="1">IF(Tab.o1[[#This Row],[DIF_Target]]=0,IF(L$2=0,Tab.o1[[#This Row],[DIF_Target]],AVERAGE(OFFSET(Tab.o1[[#This Row],[DIF_Target]],1,0,L$3,1)))/3,Tab.o1[[#This Row],[DIF_Target]])</f>
        <v/>
      </c>
      <c r="M1180" s="118" t="str">
        <f>IF(Tab.o1[[#This Row],[a1]]=1,NORMSDIST(Tab.o1[[#This Row],[Za]]),"")</f>
        <v/>
      </c>
      <c r="N1180" s="119" t="str">
        <f>IF(Tab.o1[[#This Row],[a1]]=1,((Tab.o1[[#This Row],[MedMod]]-AVERAGE(Tab.o1[MedMod]))/_xlfn.STDEV.P(Tab.o1[MedMod])*H$1205)+G$1205,"")</f>
        <v/>
      </c>
      <c r="O1180" s="141" t="str">
        <f>IF(Tab.o1[[#This Row],[a1]]=1,Tab.o1[[#This Row],[Zb]]*_xlfn.STDEV.P(Tab.o1[MedMod])+AVERAGE(Tab.o1[MedMod]),"")</f>
        <v/>
      </c>
      <c r="P1180" s="117" t="str">
        <f ca="1">IF(Tab.o1[[#This Row],[B]]=0,AVERAGE(OFFSET(Tab.o1[[#This Row],[B]],1,0,L$3,1)),Tab.o1[[#This Row],[B]])</f>
        <v/>
      </c>
      <c r="Q1180" s="121" t="str">
        <f>IF(Tab.o1[[#This Row],[a1]]=1,NORMSDIST(Tab.o1[[#This Row],[Zb]]),"")</f>
        <v/>
      </c>
      <c r="R1180" s="122" t="str">
        <f>IF(Tab.o1[[#This Row],[a1]]=1,((Tab.o1[[#This Row],[MedMod]]-AVERAGE(Tab.o1[MedMod]))/_xlfn.STDEV.P(Tab.o1[MedMod])*H$1203)+G$1203,"")</f>
        <v/>
      </c>
      <c r="S1180" s="122" t="str">
        <f>IF(Tab.o1[[#This Row],[a1]]=1,((Tab.o1[[#This Row],[MedMod]]-AVERAGE(Tab.o1[MedMod]))/_xlfn.STDEV.P(Tab.o1[MedMod])*H$1204)+G$1204,"")</f>
        <v/>
      </c>
      <c r="T1180" s="123" t="str">
        <f>IF(Tab.o1[[#This Row],[a1]]=1,Tab.o1[[#This Row],[Z-]]*_xlfn.STDEV.P(Tab.o1[B])+AVERAGE(Tab.o1[B]),"")</f>
        <v/>
      </c>
      <c r="U1180" s="123" t="str">
        <f>IF(Tab.o1[[#This Row],[a1]]=1,Tab.o1[[#This Row],[z+]]*_xlfn.STDEV.P(Tab.o1[B])+AVERAGE(Tab.o1[B]),"")</f>
        <v/>
      </c>
      <c r="V1180" s="124" t="str">
        <f>IF(Tab.o1[[#This Row],[a1]]=1,ABS((ABS(Tab.o1[[#This Row],[Red]]-Tab.o1[[#This Row],[Blue]]))),"")</f>
        <v/>
      </c>
      <c r="W1180" s="125" t="str">
        <f>IF(Tab.o1[[#This Row],[a1]]=1,IF(W$3=0,1,Tab.o1[[#This Row],[Amp.]]*1/_xlfn.MINIFS(Tab.o1[Amp.],Tab.o1[Amp.],"&lt;&gt;0")),"")</f>
        <v/>
      </c>
      <c r="X1180" s="126" t="str">
        <f>IF(Tab.o1[[#This Row],[a1]]=1,IF(ISNUMBER(Tab.o1[[#This Row],[i.]]),NORMDIST(Tab.o1[[#This Row],[Za]],0,1,FALSE)*Tab.o1[[#This Row],[i.]],AP$3),"")</f>
        <v/>
      </c>
      <c r="Y1180" s="126" t="str">
        <f>IF(Tab.o1[[#This Row],[a1]]=1,0.01+0.94*Tab.o1[[#This Row],[PDF]]/MAX(Tab.o1[PDF]),"")</f>
        <v/>
      </c>
      <c r="Z1180" s="126" t="str">
        <f>IF(Tab.o1[[#This Row],[a1]]=1,0.01+0.94*Tab.o1[[#This Row],[W1_PDF]]/MAX(Tab.o1[W1_PDF]),"")</f>
        <v/>
      </c>
      <c r="AA1180" s="118" t="str">
        <f>IF(Tab.o1[[#This Row],[a1]]=1,ABS([1]!T.in.A[[#This Row],[oo6]]),"")</f>
        <v/>
      </c>
      <c r="AB1180" s="127" t="str">
        <f>IF(Tab.o1[[#This Row],[a1]]=1,IF(AE$3=0,"",IF(AB$3=0,ABS([1]!T.in.A[[#This Row],[oo9]]),ABS(Tab.o1[[#This Row],[DIF_Target.]]*Tab.o1[[#This Row],[W1_PDF]]))),"")</f>
        <v/>
      </c>
      <c r="AC1180" s="127" t="str">
        <f>IF(G$1=1,"",IF(Tab.o1[[#This Row],[a1]]=1,Tab.o1[[#This Row],[Wr]]^2,""))</f>
        <v/>
      </c>
      <c r="AD1180" s="118" t="str">
        <f>IF(Tab.o1[[#This Row],[a1]]=1,IF(AE$3=0,"",Tab.o1[[#This Row],[Wr2]]/SUM(Tab.o1[Wr2])),"")</f>
        <v/>
      </c>
      <c r="AE1180" s="128" t="str">
        <f>IF(Tab.o1[[#This Row],[a1]]=1,[1]!T.in.A[[#This Row],[oo10]],"")</f>
        <v/>
      </c>
      <c r="AF1180" s="118" t="str">
        <f>IF(Tab.o1[[#This Row],[a1]]=1,ABS(Tab.o1[[#This Row],[DIF_Target.]]*Tab.o1[[#This Row],[PDF2]]*Tab.o1[[#This Row],[IN]]),"")</f>
        <v/>
      </c>
      <c r="AG1180" s="129" t="str">
        <f>IF(Tab.o1[[#This Row],[a1]]=1,Tab.o1[[#This Row],[rW]]^2,"")</f>
        <v/>
      </c>
      <c r="AH1180" s="130" t="str">
        <f>IF(Tab.o1[[#This Row],[a1]]=1,IF(AH$3=0,Tab.o1[[#This Row],[rW2]],0.01+0.94*Tab.o1[[#This Row],[rW2]]/SUM(Tab.o1[rW2])),"")</f>
        <v/>
      </c>
      <c r="AI1180" s="128" t="str">
        <f>IF(Tab.o1[[#This Row],[a1]]=1,1/Tab.o1[[#This Row],[PDF]],"")</f>
        <v/>
      </c>
      <c r="AJ1180" s="131" t="str">
        <f>IF(Tab.o1[[#This Row],[a1]]=1,[1]!T_AA[[#This Row],[IN'']]*[1]!T_AA[[#This Row],[Qde'']],"")</f>
        <v/>
      </c>
      <c r="AK1180" s="132" t="str">
        <f>IF(Tab.o1[[#This Row],[a1]]=1,IF(AK$1=1,Tab.o1[[#This Row],[MED]]+Tab.o1[[#This Row],[MOD]]-Tab.o1[[#This Row],[MED]],""),"")</f>
        <v/>
      </c>
      <c r="AL1180" s="133" t="str">
        <f>IF(Tab.o1[[#This Row],[a1]]=1,[1]!T.in.A[[#This Row],[oo16]],"")</f>
        <v/>
      </c>
      <c r="AM1180" s="133" t="str">
        <f>IF(Tab.o1[[#This Row],[a1]]=1,IF(AM$3=1,[1]!T.in.A[[#This Row],[Σo16]],""),"")</f>
        <v/>
      </c>
      <c r="AN1180" s="126" t="str">
        <f>IF(Tab.o1[[#This Row],[a1]]=1,[1]!T.in.A[[#This Row],[Σp5]],"")</f>
        <v/>
      </c>
      <c r="AO1180" s="126" t="str">
        <f>IF(Tab.o1[[#This Row],[a1]]=1,IF(AO$3=1,[1]!T.in.A[[#This Row],[Σp5]],""),"")</f>
        <v/>
      </c>
      <c r="AP1180" s="110" t="str">
        <f>IF(Tab.o1[[#This Row],[a1]]=1,IF(ISNUMBER(Tab.o1[[#This Row],[i.]]),NORMDIST(Tab.o1[[#This Row],[Za]],0,1,FALSE)*Tab.o1[[#This Row],[i.]],0),"")</f>
        <v/>
      </c>
      <c r="AQ1180" s="125" t="str">
        <f>IF(Tab.o1[[#This Row],[a1]]=1,ABS(Tab.o1[[#This Row],[MOD]]-AVERAGE(Tab.o1[MOD])),"")</f>
        <v/>
      </c>
      <c r="AR1180" s="134" t="str">
        <f>IF(Tab.o1[[#This Row],[a1]]=1,Tab.o1[[#This Row],[OBS]]/SUM(Tab.o1[OBS]),"")</f>
        <v/>
      </c>
      <c r="AS1180" s="135" t="str">
        <f>IF(ISNUMBER(Tab.o1[[#This Row],[a1]]),ROW()-4,"")</f>
        <v/>
      </c>
      <c r="AT1180" s="136" t="str">
        <f>Tab.o1[[#This Row],[MOD]]</f>
        <v/>
      </c>
      <c r="AU1180" s="137" t="str">
        <f t="shared" si="73"/>
        <v/>
      </c>
      <c r="AV1180" s="138" t="str">
        <f t="shared" si="74"/>
        <v/>
      </c>
      <c r="AW1180" s="138" t="str">
        <f t="shared" si="75"/>
        <v/>
      </c>
      <c r="AX1180" s="139" t="str">
        <f>[1]!T.in.A[[#This Row],[ID_T_manu]]</f>
        <v/>
      </c>
      <c r="AY1180" s="140" t="str">
        <f>IF(ISNUMBER(Tab.o1[[#This Row],[a1]]),IF(AND(Tab.o1[[#This Row],[a1]]=1,Tab.o1[[#This Row],[b1]]&lt;=AY$4),#REF!,AY1179),"")</f>
        <v/>
      </c>
      <c r="AZ1180" s="25"/>
      <c r="BA1180" s="25"/>
      <c r="BB1180" s="25"/>
      <c r="BC1180" s="25"/>
      <c r="BD1180" s="25"/>
      <c r="BE1180" s="25"/>
      <c r="BF1180" s="25"/>
      <c r="BG1180" s="25"/>
      <c r="BH1180" s="25"/>
      <c r="BI1180" s="25"/>
      <c r="BJ1180" s="25"/>
      <c r="BK1180" s="25"/>
      <c r="BL1180" s="25"/>
      <c r="BM1180" s="25"/>
      <c r="BN1180" s="26"/>
      <c r="BO1180" s="26"/>
      <c r="BP1180" s="26"/>
      <c r="BQ1180" s="26"/>
      <c r="BR1180" s="26"/>
      <c r="BS1180" s="26"/>
      <c r="BT1180" s="26"/>
      <c r="BU1180" s="26"/>
      <c r="BV1180" s="26"/>
      <c r="BW1180" s="26"/>
      <c r="BX1180" s="26"/>
      <c r="BY1180" s="26"/>
      <c r="BZ1180" s="26"/>
      <c r="CA1180" s="26"/>
    </row>
    <row r="1181" spans="1:79" ht="15.75" hidden="1">
      <c r="A1181" s="109">
        <v>1.0000000000000001E-5</v>
      </c>
      <c r="B1181" s="110">
        <f t="shared" si="72"/>
        <v>1181</v>
      </c>
      <c r="C1181" s="111" t="str">
        <f>IF(C$1=[1]!T.in.A[[#This Row],[oo2]],1,"")</f>
        <v/>
      </c>
      <c r="D1181" s="112" t="str">
        <f>IF(Tab.o1[[#This Row],[a1]]=1,IF(SUM(C1181:C1182)=0,0,IF(SUM(C1180:C1181)=1,1,IF(SUM(C1180:C1182)&gt;1,D1180+1,0))),"")</f>
        <v/>
      </c>
      <c r="E1181" s="113" t="str">
        <f>IF(Tab.o1[[#This Row],[a1]]=1,[1]!T.in.A[[#This Row],[oo1]],"")</f>
        <v/>
      </c>
      <c r="F1181" s="113" t="str">
        <f>IF(Tab.o1[[#This Row],[a1]]=1,[1]!T.in.A[[#This Row],[pp1]],"")</f>
        <v/>
      </c>
      <c r="G1181" s="114" t="str">
        <f>IF(Tab.o1[[#This Row],[a1]]=1,G$2+IF(G$1=1,0,Tab.o1[[#This Row],[.x1]])+[1]!T.in.A[[#This Row],[oo3]],"")</f>
        <v/>
      </c>
      <c r="H1181" s="115" t="str">
        <f>IF(Tab.o1[[#This Row],[a1]]=1,IF(H$2=0,0,IF(G$1=1,0,Tab.o1[[#This Row],[.x1]])+[1]!T.in.A[[#This Row],[oo4]]),"")</f>
        <v/>
      </c>
      <c r="I1181" s="116" t="str">
        <f>IF(Tab.o1[[#This Row],[a1]]=1,IF(J$2=0,Tab.o1[[#This Row],[MED]],Tab.o1[[#This Row],[MOD]]),"")</f>
        <v/>
      </c>
      <c r="J1181" s="116" t="str">
        <f>IF(Tab.o1[[#This Row],[a1]]=1,((Tab.o1[[#This Row],[DIF_Target.]]-AVERAGE(Tab.o1[DIF_Target.]))/_xlfn.STDEV.P(Tab.o1[DIF_Target.])),"")</f>
        <v/>
      </c>
      <c r="K1181" s="117" t="str">
        <f>IF(Tab.o1[[#This Row],[a1]]=1,IF(J$2=0,Tab.o1[[#This Row],[MOD]]-Tab.o1[[#This Row],[B]],IF(J$2=1,0,-Tab.o1[[#This Row],[MED]])+Tab.o1[[#This Row],[B]]),"")</f>
        <v/>
      </c>
      <c r="L1181" s="117" t="str">
        <f ca="1">IF(Tab.o1[[#This Row],[DIF_Target]]=0,IF(L$2=0,Tab.o1[[#This Row],[DIF_Target]],AVERAGE(OFFSET(Tab.o1[[#This Row],[DIF_Target]],1,0,L$3,1)))/3,Tab.o1[[#This Row],[DIF_Target]])</f>
        <v/>
      </c>
      <c r="M1181" s="118" t="str">
        <f>IF(Tab.o1[[#This Row],[a1]]=1,NORMSDIST(Tab.o1[[#This Row],[Za]]),"")</f>
        <v/>
      </c>
      <c r="N1181" s="119" t="str">
        <f>IF(Tab.o1[[#This Row],[a1]]=1,((Tab.o1[[#This Row],[MedMod]]-AVERAGE(Tab.o1[MedMod]))/_xlfn.STDEV.P(Tab.o1[MedMod])*H$1205)+G$1205,"")</f>
        <v/>
      </c>
      <c r="O1181" s="141" t="str">
        <f>IF(Tab.o1[[#This Row],[a1]]=1,Tab.o1[[#This Row],[Zb]]*_xlfn.STDEV.P(Tab.o1[MedMod])+AVERAGE(Tab.o1[MedMod]),"")</f>
        <v/>
      </c>
      <c r="P1181" s="117" t="str">
        <f ca="1">IF(Tab.o1[[#This Row],[B]]=0,AVERAGE(OFFSET(Tab.o1[[#This Row],[B]],1,0,L$3,1)),Tab.o1[[#This Row],[B]])</f>
        <v/>
      </c>
      <c r="Q1181" s="121" t="str">
        <f>IF(Tab.o1[[#This Row],[a1]]=1,NORMSDIST(Tab.o1[[#This Row],[Zb]]),"")</f>
        <v/>
      </c>
      <c r="R1181" s="122" t="str">
        <f>IF(Tab.o1[[#This Row],[a1]]=1,((Tab.o1[[#This Row],[MedMod]]-AVERAGE(Tab.o1[MedMod]))/_xlfn.STDEV.P(Tab.o1[MedMod])*H$1203)+G$1203,"")</f>
        <v/>
      </c>
      <c r="S1181" s="122" t="str">
        <f>IF(Tab.o1[[#This Row],[a1]]=1,((Tab.o1[[#This Row],[MedMod]]-AVERAGE(Tab.o1[MedMod]))/_xlfn.STDEV.P(Tab.o1[MedMod])*H$1204)+G$1204,"")</f>
        <v/>
      </c>
      <c r="T1181" s="123" t="str">
        <f>IF(Tab.o1[[#This Row],[a1]]=1,Tab.o1[[#This Row],[Z-]]*_xlfn.STDEV.P(Tab.o1[B])+AVERAGE(Tab.o1[B]),"")</f>
        <v/>
      </c>
      <c r="U1181" s="123" t="str">
        <f>IF(Tab.o1[[#This Row],[a1]]=1,Tab.o1[[#This Row],[z+]]*_xlfn.STDEV.P(Tab.o1[B])+AVERAGE(Tab.o1[B]),"")</f>
        <v/>
      </c>
      <c r="V1181" s="124" t="str">
        <f>IF(Tab.o1[[#This Row],[a1]]=1,ABS((ABS(Tab.o1[[#This Row],[Red]]-Tab.o1[[#This Row],[Blue]]))),"")</f>
        <v/>
      </c>
      <c r="W1181" s="125" t="str">
        <f>IF(Tab.o1[[#This Row],[a1]]=1,IF(W$3=0,1,Tab.o1[[#This Row],[Amp.]]*1/_xlfn.MINIFS(Tab.o1[Amp.],Tab.o1[Amp.],"&lt;&gt;0")),"")</f>
        <v/>
      </c>
      <c r="X1181" s="126" t="str">
        <f>IF(Tab.o1[[#This Row],[a1]]=1,IF(ISNUMBER(Tab.o1[[#This Row],[i.]]),NORMDIST(Tab.o1[[#This Row],[Za]],0,1,FALSE)*Tab.o1[[#This Row],[i.]],AP$3),"")</f>
        <v/>
      </c>
      <c r="Y1181" s="126" t="str">
        <f>IF(Tab.o1[[#This Row],[a1]]=1,0.01+0.94*Tab.o1[[#This Row],[PDF]]/MAX(Tab.o1[PDF]),"")</f>
        <v/>
      </c>
      <c r="Z1181" s="126" t="str">
        <f>IF(Tab.o1[[#This Row],[a1]]=1,0.01+0.94*Tab.o1[[#This Row],[W1_PDF]]/MAX(Tab.o1[W1_PDF]),"")</f>
        <v/>
      </c>
      <c r="AA1181" s="118" t="str">
        <f>IF(Tab.o1[[#This Row],[a1]]=1,ABS([1]!T.in.A[[#This Row],[oo6]]),"")</f>
        <v/>
      </c>
      <c r="AB1181" s="127" t="str">
        <f>IF(Tab.o1[[#This Row],[a1]]=1,IF(AE$3=0,"",IF(AB$3=0,ABS([1]!T.in.A[[#This Row],[oo9]]),ABS(Tab.o1[[#This Row],[DIF_Target.]]*Tab.o1[[#This Row],[W1_PDF]]))),"")</f>
        <v/>
      </c>
      <c r="AC1181" s="127" t="str">
        <f>IF(G$1=1,"",IF(Tab.o1[[#This Row],[a1]]=1,Tab.o1[[#This Row],[Wr]]^2,""))</f>
        <v/>
      </c>
      <c r="AD1181" s="118" t="str">
        <f>IF(Tab.o1[[#This Row],[a1]]=1,IF(AE$3=0,"",Tab.o1[[#This Row],[Wr2]]/SUM(Tab.o1[Wr2])),"")</f>
        <v/>
      </c>
      <c r="AE1181" s="128" t="str">
        <f>IF(Tab.o1[[#This Row],[a1]]=1,[1]!T.in.A[[#This Row],[oo10]],"")</f>
        <v/>
      </c>
      <c r="AF1181" s="118" t="str">
        <f>IF(Tab.o1[[#This Row],[a1]]=1,ABS(Tab.o1[[#This Row],[DIF_Target.]]*Tab.o1[[#This Row],[PDF2]]*Tab.o1[[#This Row],[IN]]),"")</f>
        <v/>
      </c>
      <c r="AG1181" s="129" t="str">
        <f>IF(Tab.o1[[#This Row],[a1]]=1,Tab.o1[[#This Row],[rW]]^2,"")</f>
        <v/>
      </c>
      <c r="AH1181" s="130" t="str">
        <f>IF(Tab.o1[[#This Row],[a1]]=1,IF(AH$3=0,Tab.o1[[#This Row],[rW2]],0.01+0.94*Tab.o1[[#This Row],[rW2]]/SUM(Tab.o1[rW2])),"")</f>
        <v/>
      </c>
      <c r="AI1181" s="128" t="str">
        <f>IF(Tab.o1[[#This Row],[a1]]=1,1/Tab.o1[[#This Row],[PDF]],"")</f>
        <v/>
      </c>
      <c r="AJ1181" s="131" t="str">
        <f>IF(Tab.o1[[#This Row],[a1]]=1,[1]!T_AA[[#This Row],[IN'']]*[1]!T_AA[[#This Row],[Qde'']],"")</f>
        <v/>
      </c>
      <c r="AK1181" s="132" t="str">
        <f>IF(Tab.o1[[#This Row],[a1]]=1,IF(AK$1=1,Tab.o1[[#This Row],[MED]]+Tab.o1[[#This Row],[MOD]]-Tab.o1[[#This Row],[MED]],""),"")</f>
        <v/>
      </c>
      <c r="AL1181" s="133" t="str">
        <f>IF(Tab.o1[[#This Row],[a1]]=1,[1]!T.in.A[[#This Row],[oo16]],"")</f>
        <v/>
      </c>
      <c r="AM1181" s="133" t="str">
        <f>IF(Tab.o1[[#This Row],[a1]]=1,IF(AM$3=1,[1]!T.in.A[[#This Row],[Σo16]],""),"")</f>
        <v/>
      </c>
      <c r="AN1181" s="126" t="str">
        <f>IF(Tab.o1[[#This Row],[a1]]=1,[1]!T.in.A[[#This Row],[Σp5]],"")</f>
        <v/>
      </c>
      <c r="AO1181" s="126" t="str">
        <f>IF(Tab.o1[[#This Row],[a1]]=1,IF(AO$3=1,[1]!T.in.A[[#This Row],[Σp5]],""),"")</f>
        <v/>
      </c>
      <c r="AP1181" s="110" t="str">
        <f>IF(Tab.o1[[#This Row],[a1]]=1,IF(ISNUMBER(Tab.o1[[#This Row],[i.]]),NORMDIST(Tab.o1[[#This Row],[Za]],0,1,FALSE)*Tab.o1[[#This Row],[i.]],0),"")</f>
        <v/>
      </c>
      <c r="AQ1181" s="125" t="str">
        <f>IF(Tab.o1[[#This Row],[a1]]=1,ABS(Tab.o1[[#This Row],[MOD]]-AVERAGE(Tab.o1[MOD])),"")</f>
        <v/>
      </c>
      <c r="AR1181" s="134" t="str">
        <f>IF(Tab.o1[[#This Row],[a1]]=1,Tab.o1[[#This Row],[OBS]]/SUM(Tab.o1[OBS]),"")</f>
        <v/>
      </c>
      <c r="AS1181" s="135" t="str">
        <f>IF(ISNUMBER(Tab.o1[[#This Row],[a1]]),ROW()-4,"")</f>
        <v/>
      </c>
      <c r="AT1181" s="136" t="str">
        <f>Tab.o1[[#This Row],[MOD]]</f>
        <v/>
      </c>
      <c r="AU1181" s="137" t="str">
        <f t="shared" si="73"/>
        <v/>
      </c>
      <c r="AV1181" s="138" t="str">
        <f t="shared" si="74"/>
        <v/>
      </c>
      <c r="AW1181" s="138" t="str">
        <f t="shared" si="75"/>
        <v/>
      </c>
      <c r="AX1181" s="139" t="str">
        <f>[1]!T.in.A[[#This Row],[ID_T_manu]]</f>
        <v/>
      </c>
      <c r="AY1181" s="140" t="str">
        <f>IF(ISNUMBER(Tab.o1[[#This Row],[a1]]),IF(AND(Tab.o1[[#This Row],[a1]]=1,Tab.o1[[#This Row],[b1]]&lt;=AY$4),#REF!,AY1180),"")</f>
        <v/>
      </c>
      <c r="AZ1181" s="25"/>
      <c r="BA1181" s="25"/>
      <c r="BB1181" s="25"/>
      <c r="BC1181" s="25"/>
      <c r="BD1181" s="25"/>
      <c r="BE1181" s="25"/>
      <c r="BF1181" s="25"/>
      <c r="BG1181" s="25"/>
      <c r="BH1181" s="25"/>
      <c r="BI1181" s="25"/>
      <c r="BJ1181" s="25"/>
      <c r="BK1181" s="25"/>
      <c r="BL1181" s="25"/>
      <c r="BM1181" s="25"/>
      <c r="BN1181" s="26"/>
      <c r="BO1181" s="26"/>
      <c r="BP1181" s="26"/>
      <c r="BQ1181" s="26"/>
      <c r="BR1181" s="26"/>
      <c r="BS1181" s="26"/>
      <c r="BT1181" s="26"/>
      <c r="BU1181" s="26"/>
      <c r="BV1181" s="26"/>
      <c r="BW1181" s="26"/>
      <c r="BX1181" s="26"/>
      <c r="BY1181" s="26"/>
      <c r="BZ1181" s="26"/>
      <c r="CA1181" s="26"/>
    </row>
    <row r="1182" spans="1:79" ht="15.75" hidden="1">
      <c r="A1182" s="109">
        <v>-4.0000000000000007E-6</v>
      </c>
      <c r="B1182" s="110">
        <f t="shared" si="72"/>
        <v>1182</v>
      </c>
      <c r="C1182" s="111" t="str">
        <f>IF(C$1=[1]!T.in.A[[#This Row],[oo2]],1,"")</f>
        <v/>
      </c>
      <c r="D1182" s="112" t="str">
        <f>IF(Tab.o1[[#This Row],[a1]]=1,IF(SUM(C1182:C1183)=0,0,IF(SUM(C1181:C1182)=1,1,IF(SUM(C1181:C1183)&gt;1,D1181+1,0))),"")</f>
        <v/>
      </c>
      <c r="E1182" s="113" t="str">
        <f>IF(Tab.o1[[#This Row],[a1]]=1,[1]!T.in.A[[#This Row],[oo1]],"")</f>
        <v/>
      </c>
      <c r="F1182" s="113" t="str">
        <f>IF(Tab.o1[[#This Row],[a1]]=1,[1]!T.in.A[[#This Row],[pp1]],"")</f>
        <v/>
      </c>
      <c r="G1182" s="114" t="str">
        <f>IF(Tab.o1[[#This Row],[a1]]=1,G$2+IF(G$1=1,0,Tab.o1[[#This Row],[.x1]])+[1]!T.in.A[[#This Row],[oo3]],"")</f>
        <v/>
      </c>
      <c r="H1182" s="115" t="str">
        <f>IF(Tab.o1[[#This Row],[a1]]=1,IF(H$2=0,0,IF(G$1=1,0,Tab.o1[[#This Row],[.x1]])+[1]!T.in.A[[#This Row],[oo4]]),"")</f>
        <v/>
      </c>
      <c r="I1182" s="116" t="str">
        <f>IF(Tab.o1[[#This Row],[a1]]=1,IF(J$2=0,Tab.o1[[#This Row],[MED]],Tab.o1[[#This Row],[MOD]]),"")</f>
        <v/>
      </c>
      <c r="J1182" s="116" t="str">
        <f>IF(Tab.o1[[#This Row],[a1]]=1,((Tab.o1[[#This Row],[DIF_Target.]]-AVERAGE(Tab.o1[DIF_Target.]))/_xlfn.STDEV.P(Tab.o1[DIF_Target.])),"")</f>
        <v/>
      </c>
      <c r="K1182" s="117" t="str">
        <f>IF(Tab.o1[[#This Row],[a1]]=1,IF(J$2=0,Tab.o1[[#This Row],[MOD]]-Tab.o1[[#This Row],[B]],IF(J$2=1,0,-Tab.o1[[#This Row],[MED]])+Tab.o1[[#This Row],[B]]),"")</f>
        <v/>
      </c>
      <c r="L1182" s="117" t="str">
        <f ca="1">IF(Tab.o1[[#This Row],[DIF_Target]]=0,IF(L$2=0,Tab.o1[[#This Row],[DIF_Target]],AVERAGE(OFFSET(Tab.o1[[#This Row],[DIF_Target]],1,0,L$3,1)))/3,Tab.o1[[#This Row],[DIF_Target]])</f>
        <v/>
      </c>
      <c r="M1182" s="118" t="str">
        <f>IF(Tab.o1[[#This Row],[a1]]=1,NORMSDIST(Tab.o1[[#This Row],[Za]]),"")</f>
        <v/>
      </c>
      <c r="N1182" s="119" t="str">
        <f>IF(Tab.o1[[#This Row],[a1]]=1,((Tab.o1[[#This Row],[MedMod]]-AVERAGE(Tab.o1[MedMod]))/_xlfn.STDEV.P(Tab.o1[MedMod])*H$1205)+G$1205,"")</f>
        <v/>
      </c>
      <c r="O1182" s="141" t="str">
        <f>IF(Tab.o1[[#This Row],[a1]]=1,Tab.o1[[#This Row],[Zb]]*_xlfn.STDEV.P(Tab.o1[MedMod])+AVERAGE(Tab.o1[MedMod]),"")</f>
        <v/>
      </c>
      <c r="P1182" s="117" t="str">
        <f ca="1">IF(Tab.o1[[#This Row],[B]]=0,AVERAGE(OFFSET(Tab.o1[[#This Row],[B]],1,0,L$3,1)),Tab.o1[[#This Row],[B]])</f>
        <v/>
      </c>
      <c r="Q1182" s="121" t="str">
        <f>IF(Tab.o1[[#This Row],[a1]]=1,NORMSDIST(Tab.o1[[#This Row],[Zb]]),"")</f>
        <v/>
      </c>
      <c r="R1182" s="122" t="str">
        <f>IF(Tab.o1[[#This Row],[a1]]=1,((Tab.o1[[#This Row],[MedMod]]-AVERAGE(Tab.o1[MedMod]))/_xlfn.STDEV.P(Tab.o1[MedMod])*H$1203)+G$1203,"")</f>
        <v/>
      </c>
      <c r="S1182" s="122" t="str">
        <f>IF(Tab.o1[[#This Row],[a1]]=1,((Tab.o1[[#This Row],[MedMod]]-AVERAGE(Tab.o1[MedMod]))/_xlfn.STDEV.P(Tab.o1[MedMod])*H$1204)+G$1204,"")</f>
        <v/>
      </c>
      <c r="T1182" s="123" t="str">
        <f>IF(Tab.o1[[#This Row],[a1]]=1,Tab.o1[[#This Row],[Z-]]*_xlfn.STDEV.P(Tab.o1[B])+AVERAGE(Tab.o1[B]),"")</f>
        <v/>
      </c>
      <c r="U1182" s="123" t="str">
        <f>IF(Tab.o1[[#This Row],[a1]]=1,Tab.o1[[#This Row],[z+]]*_xlfn.STDEV.P(Tab.o1[B])+AVERAGE(Tab.o1[B]),"")</f>
        <v/>
      </c>
      <c r="V1182" s="124" t="str">
        <f>IF(Tab.o1[[#This Row],[a1]]=1,ABS((ABS(Tab.o1[[#This Row],[Red]]-Tab.o1[[#This Row],[Blue]]))),"")</f>
        <v/>
      </c>
      <c r="W1182" s="125" t="str">
        <f>IF(Tab.o1[[#This Row],[a1]]=1,IF(W$3=0,1,Tab.o1[[#This Row],[Amp.]]*1/_xlfn.MINIFS(Tab.o1[Amp.],Tab.o1[Amp.],"&lt;&gt;0")),"")</f>
        <v/>
      </c>
      <c r="X1182" s="126" t="str">
        <f>IF(Tab.o1[[#This Row],[a1]]=1,IF(ISNUMBER(Tab.o1[[#This Row],[i.]]),NORMDIST(Tab.o1[[#This Row],[Za]],0,1,FALSE)*Tab.o1[[#This Row],[i.]],AP$3),"")</f>
        <v/>
      </c>
      <c r="Y1182" s="126" t="str">
        <f>IF(Tab.o1[[#This Row],[a1]]=1,0.01+0.94*Tab.o1[[#This Row],[PDF]]/MAX(Tab.o1[PDF]),"")</f>
        <v/>
      </c>
      <c r="Z1182" s="126" t="str">
        <f>IF(Tab.o1[[#This Row],[a1]]=1,0.01+0.94*Tab.o1[[#This Row],[W1_PDF]]/MAX(Tab.o1[W1_PDF]),"")</f>
        <v/>
      </c>
      <c r="AA1182" s="118" t="str">
        <f>IF(Tab.o1[[#This Row],[a1]]=1,ABS([1]!T.in.A[[#This Row],[oo6]]),"")</f>
        <v/>
      </c>
      <c r="AB1182" s="127" t="str">
        <f>IF(Tab.o1[[#This Row],[a1]]=1,IF(AE$3=0,"",IF(AB$3=0,ABS([1]!T.in.A[[#This Row],[oo9]]),ABS(Tab.o1[[#This Row],[DIF_Target.]]*Tab.o1[[#This Row],[W1_PDF]]))),"")</f>
        <v/>
      </c>
      <c r="AC1182" s="127" t="str">
        <f>IF(G$1=1,"",IF(Tab.o1[[#This Row],[a1]]=1,Tab.o1[[#This Row],[Wr]]^2,""))</f>
        <v/>
      </c>
      <c r="AD1182" s="118" t="str">
        <f>IF(Tab.o1[[#This Row],[a1]]=1,IF(AE$3=0,"",Tab.o1[[#This Row],[Wr2]]/SUM(Tab.o1[Wr2])),"")</f>
        <v/>
      </c>
      <c r="AE1182" s="128" t="str">
        <f>IF(Tab.o1[[#This Row],[a1]]=1,[1]!T.in.A[[#This Row],[oo10]],"")</f>
        <v/>
      </c>
      <c r="AF1182" s="118" t="str">
        <f>IF(Tab.o1[[#This Row],[a1]]=1,ABS(Tab.o1[[#This Row],[DIF_Target.]]*Tab.o1[[#This Row],[PDF2]]*Tab.o1[[#This Row],[IN]]),"")</f>
        <v/>
      </c>
      <c r="AG1182" s="129" t="str">
        <f>IF(Tab.o1[[#This Row],[a1]]=1,Tab.o1[[#This Row],[rW]]^2,"")</f>
        <v/>
      </c>
      <c r="AH1182" s="130" t="str">
        <f>IF(Tab.o1[[#This Row],[a1]]=1,IF(AH$3=0,Tab.o1[[#This Row],[rW2]],0.01+0.94*Tab.o1[[#This Row],[rW2]]/SUM(Tab.o1[rW2])),"")</f>
        <v/>
      </c>
      <c r="AI1182" s="128" t="str">
        <f>IF(Tab.o1[[#This Row],[a1]]=1,1/Tab.o1[[#This Row],[PDF]],"")</f>
        <v/>
      </c>
      <c r="AJ1182" s="131" t="str">
        <f>IF(Tab.o1[[#This Row],[a1]]=1,[1]!T_AA[[#This Row],[IN'']]*[1]!T_AA[[#This Row],[Qde'']],"")</f>
        <v/>
      </c>
      <c r="AK1182" s="132" t="str">
        <f>IF(Tab.o1[[#This Row],[a1]]=1,IF(AK$1=1,Tab.o1[[#This Row],[MED]]+Tab.o1[[#This Row],[MOD]]-Tab.o1[[#This Row],[MED]],""),"")</f>
        <v/>
      </c>
      <c r="AL1182" s="133" t="str">
        <f>IF(Tab.o1[[#This Row],[a1]]=1,[1]!T.in.A[[#This Row],[oo16]],"")</f>
        <v/>
      </c>
      <c r="AM1182" s="133" t="str">
        <f>IF(Tab.o1[[#This Row],[a1]]=1,IF(AM$3=1,[1]!T.in.A[[#This Row],[Σo16]],""),"")</f>
        <v/>
      </c>
      <c r="AN1182" s="126" t="str">
        <f>IF(Tab.o1[[#This Row],[a1]]=1,[1]!T.in.A[[#This Row],[Σp5]],"")</f>
        <v/>
      </c>
      <c r="AO1182" s="126" t="str">
        <f>IF(Tab.o1[[#This Row],[a1]]=1,IF(AO$3=1,[1]!T.in.A[[#This Row],[Σp5]],""),"")</f>
        <v/>
      </c>
      <c r="AP1182" s="110" t="str">
        <f>IF(Tab.o1[[#This Row],[a1]]=1,IF(ISNUMBER(Tab.o1[[#This Row],[i.]]),NORMDIST(Tab.o1[[#This Row],[Za]],0,1,FALSE)*Tab.o1[[#This Row],[i.]],0),"")</f>
        <v/>
      </c>
      <c r="AQ1182" s="125" t="str">
        <f>IF(Tab.o1[[#This Row],[a1]]=1,ABS(Tab.o1[[#This Row],[MOD]]-AVERAGE(Tab.o1[MOD])),"")</f>
        <v/>
      </c>
      <c r="AR1182" s="134" t="str">
        <f>IF(Tab.o1[[#This Row],[a1]]=1,Tab.o1[[#This Row],[OBS]]/SUM(Tab.o1[OBS]),"")</f>
        <v/>
      </c>
      <c r="AS1182" s="135" t="str">
        <f>IF(ISNUMBER(Tab.o1[[#This Row],[a1]]),ROW()-4,"")</f>
        <v/>
      </c>
      <c r="AT1182" s="136" t="str">
        <f>Tab.o1[[#This Row],[MOD]]</f>
        <v/>
      </c>
      <c r="AU1182" s="137" t="str">
        <f t="shared" si="73"/>
        <v/>
      </c>
      <c r="AV1182" s="138" t="str">
        <f t="shared" si="74"/>
        <v/>
      </c>
      <c r="AW1182" s="138" t="str">
        <f t="shared" si="75"/>
        <v/>
      </c>
      <c r="AX1182" s="139" t="str">
        <f>[1]!T.in.A[[#This Row],[ID_T_manu]]</f>
        <v/>
      </c>
      <c r="AY1182" s="140" t="str">
        <f>IF(ISNUMBER(Tab.o1[[#This Row],[a1]]),IF(AND(Tab.o1[[#This Row],[a1]]=1,Tab.o1[[#This Row],[b1]]&lt;=AY$4),#REF!,AY1181),"")</f>
        <v/>
      </c>
      <c r="AZ1182" s="25"/>
      <c r="BA1182" s="25"/>
      <c r="BB1182" s="25"/>
      <c r="BC1182" s="25"/>
      <c r="BD1182" s="25"/>
      <c r="BE1182" s="25"/>
      <c r="BF1182" s="25"/>
      <c r="BG1182" s="25"/>
      <c r="BH1182" s="25"/>
      <c r="BI1182" s="25"/>
      <c r="BJ1182" s="25"/>
      <c r="BK1182" s="25"/>
      <c r="BL1182" s="25"/>
      <c r="BM1182" s="25"/>
      <c r="BN1182" s="26"/>
      <c r="BO1182" s="26"/>
      <c r="BP1182" s="26"/>
      <c r="BQ1182" s="26"/>
      <c r="BR1182" s="26"/>
      <c r="BS1182" s="26"/>
      <c r="BT1182" s="26"/>
      <c r="BU1182" s="26"/>
      <c r="BV1182" s="26"/>
      <c r="BW1182" s="26"/>
      <c r="BX1182" s="26"/>
      <c r="BY1182" s="26"/>
      <c r="BZ1182" s="26"/>
      <c r="CA1182" s="26"/>
    </row>
    <row r="1183" spans="1:79" ht="15.75" hidden="1">
      <c r="A1183" s="109">
        <v>5.0000000000000004E-6</v>
      </c>
      <c r="B1183" s="110">
        <f t="shared" si="72"/>
        <v>1183</v>
      </c>
      <c r="C1183" s="111" t="str">
        <f>IF(C$1=[1]!T.in.A[[#This Row],[oo2]],1,"")</f>
        <v/>
      </c>
      <c r="D1183" s="112" t="str">
        <f>IF(Tab.o1[[#This Row],[a1]]=1,IF(SUM(C1183:C1184)=0,0,IF(SUM(C1182:C1183)=1,1,IF(SUM(C1182:C1184)&gt;1,D1182+1,0))),"")</f>
        <v/>
      </c>
      <c r="E1183" s="113" t="str">
        <f>IF(Tab.o1[[#This Row],[a1]]=1,[1]!T.in.A[[#This Row],[oo1]],"")</f>
        <v/>
      </c>
      <c r="F1183" s="113" t="str">
        <f>IF(Tab.o1[[#This Row],[a1]]=1,[1]!T.in.A[[#This Row],[pp1]],"")</f>
        <v/>
      </c>
      <c r="G1183" s="114" t="str">
        <f>IF(Tab.o1[[#This Row],[a1]]=1,G$2+IF(G$1=1,0,Tab.o1[[#This Row],[.x1]])+[1]!T.in.A[[#This Row],[oo3]],"")</f>
        <v/>
      </c>
      <c r="H1183" s="115" t="str">
        <f>IF(Tab.o1[[#This Row],[a1]]=1,IF(H$2=0,0,IF(G$1=1,0,Tab.o1[[#This Row],[.x1]])+[1]!T.in.A[[#This Row],[oo4]]),"")</f>
        <v/>
      </c>
      <c r="I1183" s="116" t="str">
        <f>IF(Tab.o1[[#This Row],[a1]]=1,IF(J$2=0,Tab.o1[[#This Row],[MED]],Tab.o1[[#This Row],[MOD]]),"")</f>
        <v/>
      </c>
      <c r="J1183" s="116" t="str">
        <f>IF(Tab.o1[[#This Row],[a1]]=1,((Tab.o1[[#This Row],[DIF_Target.]]-AVERAGE(Tab.o1[DIF_Target.]))/_xlfn.STDEV.P(Tab.o1[DIF_Target.])),"")</f>
        <v/>
      </c>
      <c r="K1183" s="117" t="str">
        <f>IF(Tab.o1[[#This Row],[a1]]=1,IF(J$2=0,Tab.o1[[#This Row],[MOD]]-Tab.o1[[#This Row],[B]],IF(J$2=1,0,-Tab.o1[[#This Row],[MED]])+Tab.o1[[#This Row],[B]]),"")</f>
        <v/>
      </c>
      <c r="L1183" s="117" t="str">
        <f ca="1">IF(Tab.o1[[#This Row],[DIF_Target]]=0,IF(L$2=0,Tab.o1[[#This Row],[DIF_Target]],AVERAGE(OFFSET(Tab.o1[[#This Row],[DIF_Target]],1,0,L$3,1)))/3,Tab.o1[[#This Row],[DIF_Target]])</f>
        <v/>
      </c>
      <c r="M1183" s="118" t="str">
        <f>IF(Tab.o1[[#This Row],[a1]]=1,NORMSDIST(Tab.o1[[#This Row],[Za]]),"")</f>
        <v/>
      </c>
      <c r="N1183" s="119" t="str">
        <f>IF(Tab.o1[[#This Row],[a1]]=1,((Tab.o1[[#This Row],[MedMod]]-AVERAGE(Tab.o1[MedMod]))/_xlfn.STDEV.P(Tab.o1[MedMod])*H$1205)+G$1205,"")</f>
        <v/>
      </c>
      <c r="O1183" s="141" t="str">
        <f>IF(Tab.o1[[#This Row],[a1]]=1,Tab.o1[[#This Row],[Zb]]*_xlfn.STDEV.P(Tab.o1[MedMod])+AVERAGE(Tab.o1[MedMod]),"")</f>
        <v/>
      </c>
      <c r="P1183" s="117" t="str">
        <f ca="1">IF(Tab.o1[[#This Row],[B]]=0,AVERAGE(OFFSET(Tab.o1[[#This Row],[B]],1,0,L$3,1)),Tab.o1[[#This Row],[B]])</f>
        <v/>
      </c>
      <c r="Q1183" s="121" t="str">
        <f>IF(Tab.o1[[#This Row],[a1]]=1,NORMSDIST(Tab.o1[[#This Row],[Zb]]),"")</f>
        <v/>
      </c>
      <c r="R1183" s="122" t="str">
        <f>IF(Tab.o1[[#This Row],[a1]]=1,((Tab.o1[[#This Row],[MedMod]]-AVERAGE(Tab.o1[MedMod]))/_xlfn.STDEV.P(Tab.o1[MedMod])*H$1203)+G$1203,"")</f>
        <v/>
      </c>
      <c r="S1183" s="122" t="str">
        <f>IF(Tab.o1[[#This Row],[a1]]=1,((Tab.o1[[#This Row],[MedMod]]-AVERAGE(Tab.o1[MedMod]))/_xlfn.STDEV.P(Tab.o1[MedMod])*H$1204)+G$1204,"")</f>
        <v/>
      </c>
      <c r="T1183" s="123" t="str">
        <f>IF(Tab.o1[[#This Row],[a1]]=1,Tab.o1[[#This Row],[Z-]]*_xlfn.STDEV.P(Tab.o1[B])+AVERAGE(Tab.o1[B]),"")</f>
        <v/>
      </c>
      <c r="U1183" s="123" t="str">
        <f>IF(Tab.o1[[#This Row],[a1]]=1,Tab.o1[[#This Row],[z+]]*_xlfn.STDEV.P(Tab.o1[B])+AVERAGE(Tab.o1[B]),"")</f>
        <v/>
      </c>
      <c r="V1183" s="124" t="str">
        <f>IF(Tab.o1[[#This Row],[a1]]=1,ABS((ABS(Tab.o1[[#This Row],[Red]]-Tab.o1[[#This Row],[Blue]]))),"")</f>
        <v/>
      </c>
      <c r="W1183" s="125" t="str">
        <f>IF(Tab.o1[[#This Row],[a1]]=1,IF(W$3=0,1,Tab.o1[[#This Row],[Amp.]]*1/_xlfn.MINIFS(Tab.o1[Amp.],Tab.o1[Amp.],"&lt;&gt;0")),"")</f>
        <v/>
      </c>
      <c r="X1183" s="126" t="str">
        <f>IF(Tab.o1[[#This Row],[a1]]=1,IF(ISNUMBER(Tab.o1[[#This Row],[i.]]),NORMDIST(Tab.o1[[#This Row],[Za]],0,1,FALSE)*Tab.o1[[#This Row],[i.]],AP$3),"")</f>
        <v/>
      </c>
      <c r="Y1183" s="126" t="str">
        <f>IF(Tab.o1[[#This Row],[a1]]=1,0.01+0.94*Tab.o1[[#This Row],[PDF]]/MAX(Tab.o1[PDF]),"")</f>
        <v/>
      </c>
      <c r="Z1183" s="126" t="str">
        <f>IF(Tab.o1[[#This Row],[a1]]=1,0.01+0.94*Tab.o1[[#This Row],[W1_PDF]]/MAX(Tab.o1[W1_PDF]),"")</f>
        <v/>
      </c>
      <c r="AA1183" s="118" t="str">
        <f>IF(Tab.o1[[#This Row],[a1]]=1,ABS([1]!T.in.A[[#This Row],[oo6]]),"")</f>
        <v/>
      </c>
      <c r="AB1183" s="127" t="str">
        <f>IF(Tab.o1[[#This Row],[a1]]=1,IF(AE$3=0,"",IF(AB$3=0,ABS([1]!T.in.A[[#This Row],[oo9]]),ABS(Tab.o1[[#This Row],[DIF_Target.]]*Tab.o1[[#This Row],[W1_PDF]]))),"")</f>
        <v/>
      </c>
      <c r="AC1183" s="127" t="str">
        <f>IF(G$1=1,"",IF(Tab.o1[[#This Row],[a1]]=1,Tab.o1[[#This Row],[Wr]]^2,""))</f>
        <v/>
      </c>
      <c r="AD1183" s="118" t="str">
        <f>IF(Tab.o1[[#This Row],[a1]]=1,IF(AE$3=0,"",Tab.o1[[#This Row],[Wr2]]/SUM(Tab.o1[Wr2])),"")</f>
        <v/>
      </c>
      <c r="AE1183" s="128" t="str">
        <f>IF(Tab.o1[[#This Row],[a1]]=1,[1]!T.in.A[[#This Row],[oo10]],"")</f>
        <v/>
      </c>
      <c r="AF1183" s="118" t="str">
        <f>IF(Tab.o1[[#This Row],[a1]]=1,ABS(Tab.o1[[#This Row],[DIF_Target.]]*Tab.o1[[#This Row],[PDF2]]*Tab.o1[[#This Row],[IN]]),"")</f>
        <v/>
      </c>
      <c r="AG1183" s="129" t="str">
        <f>IF(Tab.o1[[#This Row],[a1]]=1,Tab.o1[[#This Row],[rW]]^2,"")</f>
        <v/>
      </c>
      <c r="AH1183" s="130" t="str">
        <f>IF(Tab.o1[[#This Row],[a1]]=1,IF(AH$3=0,Tab.o1[[#This Row],[rW2]],0.01+0.94*Tab.o1[[#This Row],[rW2]]/SUM(Tab.o1[rW2])),"")</f>
        <v/>
      </c>
      <c r="AI1183" s="128" t="str">
        <f>IF(Tab.o1[[#This Row],[a1]]=1,1/Tab.o1[[#This Row],[PDF]],"")</f>
        <v/>
      </c>
      <c r="AJ1183" s="131" t="str">
        <f>IF(Tab.o1[[#This Row],[a1]]=1,[1]!T_AA[[#This Row],[IN'']]*[1]!T_AA[[#This Row],[Qde'']],"")</f>
        <v/>
      </c>
      <c r="AK1183" s="132" t="str">
        <f>IF(Tab.o1[[#This Row],[a1]]=1,IF(AK$1=1,Tab.o1[[#This Row],[MED]]+Tab.o1[[#This Row],[MOD]]-Tab.o1[[#This Row],[MED]],""),"")</f>
        <v/>
      </c>
      <c r="AL1183" s="133" t="str">
        <f>IF(Tab.o1[[#This Row],[a1]]=1,[1]!T.in.A[[#This Row],[oo16]],"")</f>
        <v/>
      </c>
      <c r="AM1183" s="133" t="str">
        <f>IF(Tab.o1[[#This Row],[a1]]=1,IF(AM$3=1,[1]!T.in.A[[#This Row],[Σo16]],""),"")</f>
        <v/>
      </c>
      <c r="AN1183" s="126" t="str">
        <f>IF(Tab.o1[[#This Row],[a1]]=1,[1]!T.in.A[[#This Row],[Σp5]],"")</f>
        <v/>
      </c>
      <c r="AO1183" s="126" t="str">
        <f>IF(Tab.o1[[#This Row],[a1]]=1,IF(AO$3=1,[1]!T.in.A[[#This Row],[Σp5]],""),"")</f>
        <v/>
      </c>
      <c r="AP1183" s="110" t="str">
        <f>IF(Tab.o1[[#This Row],[a1]]=1,IF(ISNUMBER(Tab.o1[[#This Row],[i.]]),NORMDIST(Tab.o1[[#This Row],[Za]],0,1,FALSE)*Tab.o1[[#This Row],[i.]],0),"")</f>
        <v/>
      </c>
      <c r="AQ1183" s="125" t="str">
        <f>IF(Tab.o1[[#This Row],[a1]]=1,ABS(Tab.o1[[#This Row],[MOD]]-AVERAGE(Tab.o1[MOD])),"")</f>
        <v/>
      </c>
      <c r="AR1183" s="134" t="str">
        <f>IF(Tab.o1[[#This Row],[a1]]=1,Tab.o1[[#This Row],[OBS]]/SUM(Tab.o1[OBS]),"")</f>
        <v/>
      </c>
      <c r="AS1183" s="135" t="str">
        <f>IF(ISNUMBER(Tab.o1[[#This Row],[a1]]),ROW()-4,"")</f>
        <v/>
      </c>
      <c r="AT1183" s="136" t="str">
        <f>Tab.o1[[#This Row],[MOD]]</f>
        <v/>
      </c>
      <c r="AU1183" s="137" t="str">
        <f t="shared" si="73"/>
        <v/>
      </c>
      <c r="AV1183" s="138" t="str">
        <f t="shared" si="74"/>
        <v/>
      </c>
      <c r="AW1183" s="138" t="str">
        <f t="shared" si="75"/>
        <v/>
      </c>
      <c r="AX1183" s="139" t="str">
        <f>[1]!T.in.A[[#This Row],[ID_T_manu]]</f>
        <v/>
      </c>
      <c r="AY1183" s="140" t="str">
        <f>IF(ISNUMBER(Tab.o1[[#This Row],[a1]]),IF(AND(Tab.o1[[#This Row],[a1]]=1,Tab.o1[[#This Row],[b1]]&lt;=AY$4),#REF!,AY1182),"")</f>
        <v/>
      </c>
      <c r="AZ1183" s="25"/>
      <c r="BA1183" s="25"/>
      <c r="BB1183" s="25"/>
      <c r="BC1183" s="25"/>
      <c r="BD1183" s="25"/>
      <c r="BE1183" s="25"/>
      <c r="BF1183" s="25"/>
      <c r="BG1183" s="25"/>
      <c r="BH1183" s="25"/>
      <c r="BI1183" s="25"/>
      <c r="BJ1183" s="25"/>
      <c r="BK1183" s="25"/>
      <c r="BL1183" s="25"/>
      <c r="BM1183" s="25"/>
      <c r="BN1183" s="26"/>
      <c r="BO1183" s="26"/>
      <c r="BP1183" s="26"/>
      <c r="BQ1183" s="26"/>
      <c r="BR1183" s="26"/>
      <c r="BS1183" s="26"/>
      <c r="BT1183" s="26"/>
      <c r="BU1183" s="26"/>
      <c r="BV1183" s="26"/>
      <c r="BW1183" s="26"/>
      <c r="BX1183" s="26"/>
      <c r="BY1183" s="26"/>
      <c r="BZ1183" s="26"/>
      <c r="CA1183" s="26"/>
    </row>
    <row r="1184" spans="1:79" ht="15.75" hidden="1">
      <c r="A1184" s="109">
        <v>5.0000000000000004E-6</v>
      </c>
      <c r="B1184" s="110">
        <f t="shared" si="72"/>
        <v>1184</v>
      </c>
      <c r="C1184" s="111" t="str">
        <f>IF(C$1=[1]!T.in.A[[#This Row],[oo2]],1,"")</f>
        <v/>
      </c>
      <c r="D1184" s="112" t="str">
        <f>IF(Tab.o1[[#This Row],[a1]]=1,IF(SUM(C1184:C1185)=0,0,IF(SUM(C1183:C1184)=1,1,IF(SUM(C1183:C1185)&gt;1,D1183+1,0))),"")</f>
        <v/>
      </c>
      <c r="E1184" s="113" t="str">
        <f>IF(Tab.o1[[#This Row],[a1]]=1,[1]!T.in.A[[#This Row],[oo1]],"")</f>
        <v/>
      </c>
      <c r="F1184" s="113" t="str">
        <f>IF(Tab.o1[[#This Row],[a1]]=1,[1]!T.in.A[[#This Row],[pp1]],"")</f>
        <v/>
      </c>
      <c r="G1184" s="114" t="str">
        <f>IF(Tab.o1[[#This Row],[a1]]=1,G$2+IF(G$1=1,0,Tab.o1[[#This Row],[.x1]])+[1]!T.in.A[[#This Row],[oo3]],"")</f>
        <v/>
      </c>
      <c r="H1184" s="115" t="str">
        <f>IF(Tab.o1[[#This Row],[a1]]=1,IF(H$2=0,0,IF(G$1=1,0,Tab.o1[[#This Row],[.x1]])+[1]!T.in.A[[#This Row],[oo4]]),"")</f>
        <v/>
      </c>
      <c r="I1184" s="116" t="str">
        <f>IF(Tab.o1[[#This Row],[a1]]=1,IF(J$2=0,Tab.o1[[#This Row],[MED]],Tab.o1[[#This Row],[MOD]]),"")</f>
        <v/>
      </c>
      <c r="J1184" s="116" t="str">
        <f>IF(Tab.o1[[#This Row],[a1]]=1,((Tab.o1[[#This Row],[DIF_Target.]]-AVERAGE(Tab.o1[DIF_Target.]))/_xlfn.STDEV.P(Tab.o1[DIF_Target.])),"")</f>
        <v/>
      </c>
      <c r="K1184" s="117" t="str">
        <f>IF(Tab.o1[[#This Row],[a1]]=1,IF(J$2=0,Tab.o1[[#This Row],[MOD]]-Tab.o1[[#This Row],[B]],IF(J$2=1,0,-Tab.o1[[#This Row],[MED]])+Tab.o1[[#This Row],[B]]),"")</f>
        <v/>
      </c>
      <c r="L1184" s="117" t="str">
        <f ca="1">IF(Tab.o1[[#This Row],[DIF_Target]]=0,IF(L$2=0,Tab.o1[[#This Row],[DIF_Target]],AVERAGE(OFFSET(Tab.o1[[#This Row],[DIF_Target]],1,0,L$3,1)))/3,Tab.o1[[#This Row],[DIF_Target]])</f>
        <v/>
      </c>
      <c r="M1184" s="118" t="str">
        <f>IF(Tab.o1[[#This Row],[a1]]=1,NORMSDIST(Tab.o1[[#This Row],[Za]]),"")</f>
        <v/>
      </c>
      <c r="N1184" s="119" t="str">
        <f>IF(Tab.o1[[#This Row],[a1]]=1,((Tab.o1[[#This Row],[MedMod]]-AVERAGE(Tab.o1[MedMod]))/_xlfn.STDEV.P(Tab.o1[MedMod])*H$1205)+G$1205,"")</f>
        <v/>
      </c>
      <c r="O1184" s="141" t="str">
        <f>IF(Tab.o1[[#This Row],[a1]]=1,Tab.o1[[#This Row],[Zb]]*_xlfn.STDEV.P(Tab.o1[MedMod])+AVERAGE(Tab.o1[MedMod]),"")</f>
        <v/>
      </c>
      <c r="P1184" s="117" t="str">
        <f ca="1">IF(Tab.o1[[#This Row],[B]]=0,AVERAGE(OFFSET(Tab.o1[[#This Row],[B]],1,0,L$3,1)),Tab.o1[[#This Row],[B]])</f>
        <v/>
      </c>
      <c r="Q1184" s="121" t="str">
        <f>IF(Tab.o1[[#This Row],[a1]]=1,NORMSDIST(Tab.o1[[#This Row],[Zb]]),"")</f>
        <v/>
      </c>
      <c r="R1184" s="122" t="str">
        <f>IF(Tab.o1[[#This Row],[a1]]=1,((Tab.o1[[#This Row],[MedMod]]-AVERAGE(Tab.o1[MedMod]))/_xlfn.STDEV.P(Tab.o1[MedMod])*H$1203)+G$1203,"")</f>
        <v/>
      </c>
      <c r="S1184" s="122" t="str">
        <f>IF(Tab.o1[[#This Row],[a1]]=1,((Tab.o1[[#This Row],[MedMod]]-AVERAGE(Tab.o1[MedMod]))/_xlfn.STDEV.P(Tab.o1[MedMod])*H$1204)+G$1204,"")</f>
        <v/>
      </c>
      <c r="T1184" s="123" t="str">
        <f>IF(Tab.o1[[#This Row],[a1]]=1,Tab.o1[[#This Row],[Z-]]*_xlfn.STDEV.P(Tab.o1[B])+AVERAGE(Tab.o1[B]),"")</f>
        <v/>
      </c>
      <c r="U1184" s="123" t="str">
        <f>IF(Tab.o1[[#This Row],[a1]]=1,Tab.o1[[#This Row],[z+]]*_xlfn.STDEV.P(Tab.o1[B])+AVERAGE(Tab.o1[B]),"")</f>
        <v/>
      </c>
      <c r="V1184" s="124" t="str">
        <f>IF(Tab.o1[[#This Row],[a1]]=1,ABS((ABS(Tab.o1[[#This Row],[Red]]-Tab.o1[[#This Row],[Blue]]))),"")</f>
        <v/>
      </c>
      <c r="W1184" s="125" t="str">
        <f>IF(Tab.o1[[#This Row],[a1]]=1,IF(W$3=0,1,Tab.o1[[#This Row],[Amp.]]*1/_xlfn.MINIFS(Tab.o1[Amp.],Tab.o1[Amp.],"&lt;&gt;0")),"")</f>
        <v/>
      </c>
      <c r="X1184" s="126" t="str">
        <f>IF(Tab.o1[[#This Row],[a1]]=1,IF(ISNUMBER(Tab.o1[[#This Row],[i.]]),NORMDIST(Tab.o1[[#This Row],[Za]],0,1,FALSE)*Tab.o1[[#This Row],[i.]],AP$3),"")</f>
        <v/>
      </c>
      <c r="Y1184" s="126" t="str">
        <f>IF(Tab.o1[[#This Row],[a1]]=1,0.01+0.94*Tab.o1[[#This Row],[PDF]]/MAX(Tab.o1[PDF]),"")</f>
        <v/>
      </c>
      <c r="Z1184" s="126" t="str">
        <f>IF(Tab.o1[[#This Row],[a1]]=1,0.01+0.94*Tab.o1[[#This Row],[W1_PDF]]/MAX(Tab.o1[W1_PDF]),"")</f>
        <v/>
      </c>
      <c r="AA1184" s="118" t="str">
        <f>IF(Tab.o1[[#This Row],[a1]]=1,ABS([1]!T.in.A[[#This Row],[oo6]]),"")</f>
        <v/>
      </c>
      <c r="AB1184" s="127" t="str">
        <f>IF(Tab.o1[[#This Row],[a1]]=1,IF(AE$3=0,"",IF(AB$3=0,ABS([1]!T.in.A[[#This Row],[oo9]]),ABS(Tab.o1[[#This Row],[DIF_Target.]]*Tab.o1[[#This Row],[W1_PDF]]))),"")</f>
        <v/>
      </c>
      <c r="AC1184" s="127" t="str">
        <f>IF(G$1=1,"",IF(Tab.o1[[#This Row],[a1]]=1,Tab.o1[[#This Row],[Wr]]^2,""))</f>
        <v/>
      </c>
      <c r="AD1184" s="118" t="str">
        <f>IF(Tab.o1[[#This Row],[a1]]=1,IF(AE$3=0,"",Tab.o1[[#This Row],[Wr2]]/SUM(Tab.o1[Wr2])),"")</f>
        <v/>
      </c>
      <c r="AE1184" s="128" t="str">
        <f>IF(Tab.o1[[#This Row],[a1]]=1,[1]!T.in.A[[#This Row],[oo10]],"")</f>
        <v/>
      </c>
      <c r="AF1184" s="118" t="str">
        <f>IF(Tab.o1[[#This Row],[a1]]=1,ABS(Tab.o1[[#This Row],[DIF_Target.]]*Tab.o1[[#This Row],[PDF2]]*Tab.o1[[#This Row],[IN]]),"")</f>
        <v/>
      </c>
      <c r="AG1184" s="129" t="str">
        <f>IF(Tab.o1[[#This Row],[a1]]=1,Tab.o1[[#This Row],[rW]]^2,"")</f>
        <v/>
      </c>
      <c r="AH1184" s="130" t="str">
        <f>IF(Tab.o1[[#This Row],[a1]]=1,IF(AH$3=0,Tab.o1[[#This Row],[rW2]],0.01+0.94*Tab.o1[[#This Row],[rW2]]/SUM(Tab.o1[rW2])),"")</f>
        <v/>
      </c>
      <c r="AI1184" s="128" t="str">
        <f>IF(Tab.o1[[#This Row],[a1]]=1,1/Tab.o1[[#This Row],[PDF]],"")</f>
        <v/>
      </c>
      <c r="AJ1184" s="131" t="str">
        <f>IF(Tab.o1[[#This Row],[a1]]=1,[1]!T_AA[[#This Row],[IN'']]*[1]!T_AA[[#This Row],[Qde'']],"")</f>
        <v/>
      </c>
      <c r="AK1184" s="132" t="str">
        <f>IF(Tab.o1[[#This Row],[a1]]=1,IF(AK$1=1,Tab.o1[[#This Row],[MED]]+Tab.o1[[#This Row],[MOD]]-Tab.o1[[#This Row],[MED]],""),"")</f>
        <v/>
      </c>
      <c r="AL1184" s="133" t="str">
        <f>IF(Tab.o1[[#This Row],[a1]]=1,[1]!T.in.A[[#This Row],[oo16]],"")</f>
        <v/>
      </c>
      <c r="AM1184" s="133" t="str">
        <f>IF(Tab.o1[[#This Row],[a1]]=1,IF(AM$3=1,[1]!T.in.A[[#This Row],[Σo16]],""),"")</f>
        <v/>
      </c>
      <c r="AN1184" s="126" t="str">
        <f>IF(Tab.o1[[#This Row],[a1]]=1,[1]!T.in.A[[#This Row],[Σp5]],"")</f>
        <v/>
      </c>
      <c r="AO1184" s="126" t="str">
        <f>IF(Tab.o1[[#This Row],[a1]]=1,IF(AO$3=1,[1]!T.in.A[[#This Row],[Σp5]],""),"")</f>
        <v/>
      </c>
      <c r="AP1184" s="110" t="str">
        <f>IF(Tab.o1[[#This Row],[a1]]=1,IF(ISNUMBER(Tab.o1[[#This Row],[i.]]),NORMDIST(Tab.o1[[#This Row],[Za]],0,1,FALSE)*Tab.o1[[#This Row],[i.]],0),"")</f>
        <v/>
      </c>
      <c r="AQ1184" s="125" t="str">
        <f>IF(Tab.o1[[#This Row],[a1]]=1,ABS(Tab.o1[[#This Row],[MOD]]-AVERAGE(Tab.o1[MOD])),"")</f>
        <v/>
      </c>
      <c r="AR1184" s="134" t="str">
        <f>IF(Tab.o1[[#This Row],[a1]]=1,Tab.o1[[#This Row],[OBS]]/SUM(Tab.o1[OBS]),"")</f>
        <v/>
      </c>
      <c r="AS1184" s="135" t="str">
        <f>IF(ISNUMBER(Tab.o1[[#This Row],[a1]]),ROW()-4,"")</f>
        <v/>
      </c>
      <c r="AT1184" s="136" t="str">
        <f>Tab.o1[[#This Row],[MOD]]</f>
        <v/>
      </c>
      <c r="AU1184" s="137" t="str">
        <f t="shared" si="73"/>
        <v/>
      </c>
      <c r="AV1184" s="138" t="str">
        <f t="shared" si="74"/>
        <v/>
      </c>
      <c r="AW1184" s="138" t="str">
        <f t="shared" si="75"/>
        <v/>
      </c>
      <c r="AX1184" s="139" t="str">
        <f>[1]!T.in.A[[#This Row],[ID_T_manu]]</f>
        <v/>
      </c>
      <c r="AY1184" s="140" t="str">
        <f>IF(ISNUMBER(Tab.o1[[#This Row],[a1]]),IF(AND(Tab.o1[[#This Row],[a1]]=1,Tab.o1[[#This Row],[b1]]&lt;=AY$4),#REF!,AY1183),"")</f>
        <v/>
      </c>
      <c r="AZ1184" s="25"/>
      <c r="BA1184" s="25"/>
      <c r="BB1184" s="25"/>
      <c r="BC1184" s="25"/>
      <c r="BD1184" s="25"/>
      <c r="BE1184" s="25"/>
      <c r="BF1184" s="25"/>
      <c r="BG1184" s="25"/>
      <c r="BH1184" s="25"/>
      <c r="BI1184" s="25"/>
      <c r="BJ1184" s="25"/>
      <c r="BK1184" s="25"/>
      <c r="BL1184" s="25"/>
      <c r="BM1184" s="25"/>
      <c r="BN1184" s="26"/>
      <c r="BO1184" s="26"/>
      <c r="BP1184" s="26"/>
      <c r="BQ1184" s="26"/>
      <c r="BR1184" s="26"/>
      <c r="BS1184" s="26"/>
      <c r="BT1184" s="26"/>
      <c r="BU1184" s="26"/>
      <c r="BV1184" s="26"/>
      <c r="BW1184" s="26"/>
      <c r="BX1184" s="26"/>
      <c r="BY1184" s="26"/>
      <c r="BZ1184" s="26"/>
      <c r="CA1184" s="26"/>
    </row>
    <row r="1185" spans="1:79" ht="15.75" hidden="1">
      <c r="A1185" s="109">
        <v>4.0000000000000007E-6</v>
      </c>
      <c r="B1185" s="110">
        <f t="shared" si="72"/>
        <v>1185</v>
      </c>
      <c r="C1185" s="111" t="str">
        <f>IF(C$1=[1]!T.in.A[[#This Row],[oo2]],1,"")</f>
        <v/>
      </c>
      <c r="D1185" s="112" t="str">
        <f>IF(Tab.o1[[#This Row],[a1]]=1,IF(SUM(C1185:C1186)=0,0,IF(SUM(C1184:C1185)=1,1,IF(SUM(C1184:C1186)&gt;1,D1184+1,0))),"")</f>
        <v/>
      </c>
      <c r="E1185" s="113" t="str">
        <f>IF(Tab.o1[[#This Row],[a1]]=1,[1]!T.in.A[[#This Row],[oo1]],"")</f>
        <v/>
      </c>
      <c r="F1185" s="113" t="str">
        <f>IF(Tab.o1[[#This Row],[a1]]=1,[1]!T.in.A[[#This Row],[pp1]],"")</f>
        <v/>
      </c>
      <c r="G1185" s="114" t="str">
        <f>IF(Tab.o1[[#This Row],[a1]]=1,G$2+IF(G$1=1,0,Tab.o1[[#This Row],[.x1]])+[1]!T.in.A[[#This Row],[oo3]],"")</f>
        <v/>
      </c>
      <c r="H1185" s="115" t="str">
        <f>IF(Tab.o1[[#This Row],[a1]]=1,IF(H$2=0,0,IF(G$1=1,0,Tab.o1[[#This Row],[.x1]])+[1]!T.in.A[[#This Row],[oo4]]),"")</f>
        <v/>
      </c>
      <c r="I1185" s="116" t="str">
        <f>IF(Tab.o1[[#This Row],[a1]]=1,IF(J$2=0,Tab.o1[[#This Row],[MED]],Tab.o1[[#This Row],[MOD]]),"")</f>
        <v/>
      </c>
      <c r="J1185" s="116" t="str">
        <f>IF(Tab.o1[[#This Row],[a1]]=1,((Tab.o1[[#This Row],[DIF_Target.]]-AVERAGE(Tab.o1[DIF_Target.]))/_xlfn.STDEV.P(Tab.o1[DIF_Target.])),"")</f>
        <v/>
      </c>
      <c r="K1185" s="117" t="str">
        <f>IF(Tab.o1[[#This Row],[a1]]=1,IF(J$2=0,Tab.o1[[#This Row],[MOD]]-Tab.o1[[#This Row],[B]],IF(J$2=1,0,-Tab.o1[[#This Row],[MED]])+Tab.o1[[#This Row],[B]]),"")</f>
        <v/>
      </c>
      <c r="L1185" s="117" t="str">
        <f ca="1">IF(Tab.o1[[#This Row],[DIF_Target]]=0,IF(L$2=0,Tab.o1[[#This Row],[DIF_Target]],AVERAGE(OFFSET(Tab.o1[[#This Row],[DIF_Target]],1,0,L$3,1)))/3,Tab.o1[[#This Row],[DIF_Target]])</f>
        <v/>
      </c>
      <c r="M1185" s="118" t="str">
        <f>IF(Tab.o1[[#This Row],[a1]]=1,NORMSDIST(Tab.o1[[#This Row],[Za]]),"")</f>
        <v/>
      </c>
      <c r="N1185" s="119" t="str">
        <f>IF(Tab.o1[[#This Row],[a1]]=1,((Tab.o1[[#This Row],[MedMod]]-AVERAGE(Tab.o1[MedMod]))/_xlfn.STDEV.P(Tab.o1[MedMod])*H$1205)+G$1205,"")</f>
        <v/>
      </c>
      <c r="O1185" s="141" t="str">
        <f>IF(Tab.o1[[#This Row],[a1]]=1,Tab.o1[[#This Row],[Zb]]*_xlfn.STDEV.P(Tab.o1[MedMod])+AVERAGE(Tab.o1[MedMod]),"")</f>
        <v/>
      </c>
      <c r="P1185" s="117" t="str">
        <f ca="1">IF(Tab.o1[[#This Row],[B]]=0,AVERAGE(OFFSET(Tab.o1[[#This Row],[B]],1,0,L$3,1)),Tab.o1[[#This Row],[B]])</f>
        <v/>
      </c>
      <c r="Q1185" s="121" t="str">
        <f>IF(Tab.o1[[#This Row],[a1]]=1,NORMSDIST(Tab.o1[[#This Row],[Zb]]),"")</f>
        <v/>
      </c>
      <c r="R1185" s="122" t="str">
        <f>IF(Tab.o1[[#This Row],[a1]]=1,((Tab.o1[[#This Row],[MedMod]]-AVERAGE(Tab.o1[MedMod]))/_xlfn.STDEV.P(Tab.o1[MedMod])*H$1203)+G$1203,"")</f>
        <v/>
      </c>
      <c r="S1185" s="122" t="str">
        <f>IF(Tab.o1[[#This Row],[a1]]=1,((Tab.o1[[#This Row],[MedMod]]-AVERAGE(Tab.o1[MedMod]))/_xlfn.STDEV.P(Tab.o1[MedMod])*H$1204)+G$1204,"")</f>
        <v/>
      </c>
      <c r="T1185" s="123" t="str">
        <f>IF(Tab.o1[[#This Row],[a1]]=1,Tab.o1[[#This Row],[Z-]]*_xlfn.STDEV.P(Tab.o1[B])+AVERAGE(Tab.o1[B]),"")</f>
        <v/>
      </c>
      <c r="U1185" s="123" t="str">
        <f>IF(Tab.o1[[#This Row],[a1]]=1,Tab.o1[[#This Row],[z+]]*_xlfn.STDEV.P(Tab.o1[B])+AVERAGE(Tab.o1[B]),"")</f>
        <v/>
      </c>
      <c r="V1185" s="124" t="str">
        <f>IF(Tab.o1[[#This Row],[a1]]=1,ABS((ABS(Tab.o1[[#This Row],[Red]]-Tab.o1[[#This Row],[Blue]]))),"")</f>
        <v/>
      </c>
      <c r="W1185" s="125" t="str">
        <f>IF(Tab.o1[[#This Row],[a1]]=1,IF(W$3=0,1,Tab.o1[[#This Row],[Amp.]]*1/_xlfn.MINIFS(Tab.o1[Amp.],Tab.o1[Amp.],"&lt;&gt;0")),"")</f>
        <v/>
      </c>
      <c r="X1185" s="126" t="str">
        <f>IF(Tab.o1[[#This Row],[a1]]=1,IF(ISNUMBER(Tab.o1[[#This Row],[i.]]),NORMDIST(Tab.o1[[#This Row],[Za]],0,1,FALSE)*Tab.o1[[#This Row],[i.]],AP$3),"")</f>
        <v/>
      </c>
      <c r="Y1185" s="126" t="str">
        <f>IF(Tab.o1[[#This Row],[a1]]=1,0.01+0.94*Tab.o1[[#This Row],[PDF]]/MAX(Tab.o1[PDF]),"")</f>
        <v/>
      </c>
      <c r="Z1185" s="126" t="str">
        <f>IF(Tab.o1[[#This Row],[a1]]=1,0.01+0.94*Tab.o1[[#This Row],[W1_PDF]]/MAX(Tab.o1[W1_PDF]),"")</f>
        <v/>
      </c>
      <c r="AA1185" s="118" t="str">
        <f>IF(Tab.o1[[#This Row],[a1]]=1,ABS([1]!T.in.A[[#This Row],[oo6]]),"")</f>
        <v/>
      </c>
      <c r="AB1185" s="127" t="str">
        <f>IF(Tab.o1[[#This Row],[a1]]=1,IF(AE$3=0,"",IF(AB$3=0,ABS([1]!T.in.A[[#This Row],[oo9]]),ABS(Tab.o1[[#This Row],[DIF_Target.]]*Tab.o1[[#This Row],[W1_PDF]]))),"")</f>
        <v/>
      </c>
      <c r="AC1185" s="127" t="str">
        <f>IF(G$1=1,"",IF(Tab.o1[[#This Row],[a1]]=1,Tab.o1[[#This Row],[Wr]]^2,""))</f>
        <v/>
      </c>
      <c r="AD1185" s="118" t="str">
        <f>IF(Tab.o1[[#This Row],[a1]]=1,IF(AE$3=0,"",Tab.o1[[#This Row],[Wr2]]/SUM(Tab.o1[Wr2])),"")</f>
        <v/>
      </c>
      <c r="AE1185" s="128" t="str">
        <f>IF(Tab.o1[[#This Row],[a1]]=1,[1]!T.in.A[[#This Row],[oo10]],"")</f>
        <v/>
      </c>
      <c r="AF1185" s="118" t="str">
        <f>IF(Tab.o1[[#This Row],[a1]]=1,ABS(Tab.o1[[#This Row],[DIF_Target.]]*Tab.o1[[#This Row],[PDF2]]*Tab.o1[[#This Row],[IN]]),"")</f>
        <v/>
      </c>
      <c r="AG1185" s="129" t="str">
        <f>IF(Tab.o1[[#This Row],[a1]]=1,Tab.o1[[#This Row],[rW]]^2,"")</f>
        <v/>
      </c>
      <c r="AH1185" s="130" t="str">
        <f>IF(Tab.o1[[#This Row],[a1]]=1,IF(AH$3=0,Tab.o1[[#This Row],[rW2]],0.01+0.94*Tab.o1[[#This Row],[rW2]]/SUM(Tab.o1[rW2])),"")</f>
        <v/>
      </c>
      <c r="AI1185" s="128" t="str">
        <f>IF(Tab.o1[[#This Row],[a1]]=1,1/Tab.o1[[#This Row],[PDF]],"")</f>
        <v/>
      </c>
      <c r="AJ1185" s="131" t="str">
        <f>IF(Tab.o1[[#This Row],[a1]]=1,[1]!T_AA[[#This Row],[IN'']]*[1]!T_AA[[#This Row],[Qde'']],"")</f>
        <v/>
      </c>
      <c r="AK1185" s="132" t="str">
        <f>IF(Tab.o1[[#This Row],[a1]]=1,IF(AK$1=1,Tab.o1[[#This Row],[MED]]+Tab.o1[[#This Row],[MOD]]-Tab.o1[[#This Row],[MED]],""),"")</f>
        <v/>
      </c>
      <c r="AL1185" s="133" t="str">
        <f>IF(Tab.o1[[#This Row],[a1]]=1,[1]!T.in.A[[#This Row],[oo16]],"")</f>
        <v/>
      </c>
      <c r="AM1185" s="133" t="str">
        <f>IF(Tab.o1[[#This Row],[a1]]=1,IF(AM$3=1,[1]!T.in.A[[#This Row],[Σo16]],""),"")</f>
        <v/>
      </c>
      <c r="AN1185" s="126" t="str">
        <f>IF(Tab.o1[[#This Row],[a1]]=1,[1]!T.in.A[[#This Row],[Σp5]],"")</f>
        <v/>
      </c>
      <c r="AO1185" s="126" t="str">
        <f>IF(Tab.o1[[#This Row],[a1]]=1,IF(AO$3=1,[1]!T.in.A[[#This Row],[Σp5]],""),"")</f>
        <v/>
      </c>
      <c r="AP1185" s="110" t="str">
        <f>IF(Tab.o1[[#This Row],[a1]]=1,IF(ISNUMBER(Tab.o1[[#This Row],[i.]]),NORMDIST(Tab.o1[[#This Row],[Za]],0,1,FALSE)*Tab.o1[[#This Row],[i.]],0),"")</f>
        <v/>
      </c>
      <c r="AQ1185" s="125" t="str">
        <f>IF(Tab.o1[[#This Row],[a1]]=1,ABS(Tab.o1[[#This Row],[MOD]]-AVERAGE(Tab.o1[MOD])),"")</f>
        <v/>
      </c>
      <c r="AR1185" s="134" t="str">
        <f>IF(Tab.o1[[#This Row],[a1]]=1,Tab.o1[[#This Row],[OBS]]/SUM(Tab.o1[OBS]),"")</f>
        <v/>
      </c>
      <c r="AS1185" s="135" t="str">
        <f>IF(ISNUMBER(Tab.o1[[#This Row],[a1]]),ROW()-4,"")</f>
        <v/>
      </c>
      <c r="AT1185" s="136" t="str">
        <f>Tab.o1[[#This Row],[MOD]]</f>
        <v/>
      </c>
      <c r="AU1185" s="137" t="str">
        <f t="shared" si="73"/>
        <v/>
      </c>
      <c r="AV1185" s="138" t="str">
        <f t="shared" si="74"/>
        <v/>
      </c>
      <c r="AW1185" s="138" t="str">
        <f t="shared" si="75"/>
        <v/>
      </c>
      <c r="AX1185" s="139" t="str">
        <f>[1]!T.in.A[[#This Row],[ID_T_manu]]</f>
        <v/>
      </c>
      <c r="AY1185" s="140" t="str">
        <f>IF(ISNUMBER(Tab.o1[[#This Row],[a1]]),IF(AND(Tab.o1[[#This Row],[a1]]=1,Tab.o1[[#This Row],[b1]]&lt;=AY$4),#REF!,AY1184),"")</f>
        <v/>
      </c>
      <c r="AZ1185" s="25"/>
      <c r="BA1185" s="25"/>
      <c r="BB1185" s="25"/>
      <c r="BC1185" s="25"/>
      <c r="BD1185" s="25"/>
      <c r="BE1185" s="25"/>
      <c r="BF1185" s="25"/>
      <c r="BG1185" s="25"/>
      <c r="BH1185" s="25"/>
      <c r="BI1185" s="25"/>
      <c r="BJ1185" s="25"/>
      <c r="BK1185" s="25"/>
      <c r="BL1185" s="25"/>
      <c r="BM1185" s="25"/>
      <c r="BN1185" s="26"/>
      <c r="BO1185" s="26"/>
      <c r="BP1185" s="26"/>
      <c r="BQ1185" s="26"/>
      <c r="BR1185" s="26"/>
      <c r="BS1185" s="26"/>
      <c r="BT1185" s="26"/>
      <c r="BU1185" s="26"/>
      <c r="BV1185" s="26"/>
      <c r="BW1185" s="26"/>
      <c r="BX1185" s="26"/>
      <c r="BY1185" s="26"/>
      <c r="BZ1185" s="26"/>
      <c r="CA1185" s="26"/>
    </row>
    <row r="1186" spans="1:79" ht="15.75" hidden="1">
      <c r="A1186" s="109">
        <v>-2.9999999999999997E-6</v>
      </c>
      <c r="B1186" s="110">
        <f t="shared" si="72"/>
        <v>1186</v>
      </c>
      <c r="C1186" s="111" t="str">
        <f>IF(C$1=[1]!T.in.A[[#This Row],[oo2]],1,"")</f>
        <v/>
      </c>
      <c r="D1186" s="112" t="str">
        <f>IF(Tab.o1[[#This Row],[a1]]=1,IF(SUM(C1186:C1187)=0,0,IF(SUM(C1185:C1186)=1,1,IF(SUM(C1185:C1187)&gt;1,D1185+1,0))),"")</f>
        <v/>
      </c>
      <c r="E1186" s="113" t="str">
        <f>IF(Tab.o1[[#This Row],[a1]]=1,[1]!T.in.A[[#This Row],[oo1]],"")</f>
        <v/>
      </c>
      <c r="F1186" s="113" t="str">
        <f>IF(Tab.o1[[#This Row],[a1]]=1,[1]!T.in.A[[#This Row],[pp1]],"")</f>
        <v/>
      </c>
      <c r="G1186" s="114" t="str">
        <f>IF(Tab.o1[[#This Row],[a1]]=1,G$2+IF(G$1=1,0,Tab.o1[[#This Row],[.x1]])+[1]!T.in.A[[#This Row],[oo3]],"")</f>
        <v/>
      </c>
      <c r="H1186" s="115" t="str">
        <f>IF(Tab.o1[[#This Row],[a1]]=1,IF(H$2=0,0,IF(G$1=1,0,Tab.o1[[#This Row],[.x1]])+[1]!T.in.A[[#This Row],[oo4]]),"")</f>
        <v/>
      </c>
      <c r="I1186" s="116" t="str">
        <f>IF(Tab.o1[[#This Row],[a1]]=1,IF(J$2=0,Tab.o1[[#This Row],[MED]],Tab.o1[[#This Row],[MOD]]),"")</f>
        <v/>
      </c>
      <c r="J1186" s="116" t="str">
        <f>IF(Tab.o1[[#This Row],[a1]]=1,((Tab.o1[[#This Row],[DIF_Target.]]-AVERAGE(Tab.o1[DIF_Target.]))/_xlfn.STDEV.P(Tab.o1[DIF_Target.])),"")</f>
        <v/>
      </c>
      <c r="K1186" s="117" t="str">
        <f>IF(Tab.o1[[#This Row],[a1]]=1,IF(J$2=0,Tab.o1[[#This Row],[MOD]]-Tab.o1[[#This Row],[B]],IF(J$2=1,0,-Tab.o1[[#This Row],[MED]])+Tab.o1[[#This Row],[B]]),"")</f>
        <v/>
      </c>
      <c r="L1186" s="117" t="str">
        <f ca="1">IF(Tab.o1[[#This Row],[DIF_Target]]=0,IF(L$2=0,Tab.o1[[#This Row],[DIF_Target]],AVERAGE(OFFSET(Tab.o1[[#This Row],[DIF_Target]],1,0,L$3,1)))/3,Tab.o1[[#This Row],[DIF_Target]])</f>
        <v/>
      </c>
      <c r="M1186" s="118" t="str">
        <f>IF(Tab.o1[[#This Row],[a1]]=1,NORMSDIST(Tab.o1[[#This Row],[Za]]),"")</f>
        <v/>
      </c>
      <c r="N1186" s="119" t="str">
        <f>IF(Tab.o1[[#This Row],[a1]]=1,((Tab.o1[[#This Row],[MedMod]]-AVERAGE(Tab.o1[MedMod]))/_xlfn.STDEV.P(Tab.o1[MedMod])*H$1205)+G$1205,"")</f>
        <v/>
      </c>
      <c r="O1186" s="141" t="str">
        <f>IF(Tab.o1[[#This Row],[a1]]=1,Tab.o1[[#This Row],[Zb]]*_xlfn.STDEV.P(Tab.o1[MedMod])+AVERAGE(Tab.o1[MedMod]),"")</f>
        <v/>
      </c>
      <c r="P1186" s="117" t="str">
        <f ca="1">IF(Tab.o1[[#This Row],[B]]=0,AVERAGE(OFFSET(Tab.o1[[#This Row],[B]],1,0,L$3,1)),Tab.o1[[#This Row],[B]])</f>
        <v/>
      </c>
      <c r="Q1186" s="121" t="str">
        <f>IF(Tab.o1[[#This Row],[a1]]=1,NORMSDIST(Tab.o1[[#This Row],[Zb]]),"")</f>
        <v/>
      </c>
      <c r="R1186" s="122" t="str">
        <f>IF(Tab.o1[[#This Row],[a1]]=1,((Tab.o1[[#This Row],[MedMod]]-AVERAGE(Tab.o1[MedMod]))/_xlfn.STDEV.P(Tab.o1[MedMod])*H$1203)+G$1203,"")</f>
        <v/>
      </c>
      <c r="S1186" s="122" t="str">
        <f>IF(Tab.o1[[#This Row],[a1]]=1,((Tab.o1[[#This Row],[MedMod]]-AVERAGE(Tab.o1[MedMod]))/_xlfn.STDEV.P(Tab.o1[MedMod])*H$1204)+G$1204,"")</f>
        <v/>
      </c>
      <c r="T1186" s="123" t="str">
        <f>IF(Tab.o1[[#This Row],[a1]]=1,Tab.o1[[#This Row],[Z-]]*_xlfn.STDEV.P(Tab.o1[B])+AVERAGE(Tab.o1[B]),"")</f>
        <v/>
      </c>
      <c r="U1186" s="123" t="str">
        <f>IF(Tab.o1[[#This Row],[a1]]=1,Tab.o1[[#This Row],[z+]]*_xlfn.STDEV.P(Tab.o1[B])+AVERAGE(Tab.o1[B]),"")</f>
        <v/>
      </c>
      <c r="V1186" s="124" t="str">
        <f>IF(Tab.o1[[#This Row],[a1]]=1,ABS((ABS(Tab.o1[[#This Row],[Red]]-Tab.o1[[#This Row],[Blue]]))),"")</f>
        <v/>
      </c>
      <c r="W1186" s="125" t="str">
        <f>IF(Tab.o1[[#This Row],[a1]]=1,IF(W$3=0,1,Tab.o1[[#This Row],[Amp.]]*1/_xlfn.MINIFS(Tab.o1[Amp.],Tab.o1[Amp.],"&lt;&gt;0")),"")</f>
        <v/>
      </c>
      <c r="X1186" s="126" t="str">
        <f>IF(Tab.o1[[#This Row],[a1]]=1,IF(ISNUMBER(Tab.o1[[#This Row],[i.]]),NORMDIST(Tab.o1[[#This Row],[Za]],0,1,FALSE)*Tab.o1[[#This Row],[i.]],AP$3),"")</f>
        <v/>
      </c>
      <c r="Y1186" s="126" t="str">
        <f>IF(Tab.o1[[#This Row],[a1]]=1,0.01+0.94*Tab.o1[[#This Row],[PDF]]/MAX(Tab.o1[PDF]),"")</f>
        <v/>
      </c>
      <c r="Z1186" s="126" t="str">
        <f>IF(Tab.o1[[#This Row],[a1]]=1,0.01+0.94*Tab.o1[[#This Row],[W1_PDF]]/MAX(Tab.o1[W1_PDF]),"")</f>
        <v/>
      </c>
      <c r="AA1186" s="118" t="str">
        <f>IF(Tab.o1[[#This Row],[a1]]=1,ABS([1]!T.in.A[[#This Row],[oo6]]),"")</f>
        <v/>
      </c>
      <c r="AB1186" s="127" t="str">
        <f>IF(Tab.o1[[#This Row],[a1]]=1,IF(AE$3=0,"",IF(AB$3=0,ABS([1]!T.in.A[[#This Row],[oo9]]),ABS(Tab.o1[[#This Row],[DIF_Target.]]*Tab.o1[[#This Row],[W1_PDF]]))),"")</f>
        <v/>
      </c>
      <c r="AC1186" s="127" t="str">
        <f>IF(G$1=1,"",IF(Tab.o1[[#This Row],[a1]]=1,Tab.o1[[#This Row],[Wr]]^2,""))</f>
        <v/>
      </c>
      <c r="AD1186" s="118" t="str">
        <f>IF(Tab.o1[[#This Row],[a1]]=1,IF(AE$3=0,"",Tab.o1[[#This Row],[Wr2]]/SUM(Tab.o1[Wr2])),"")</f>
        <v/>
      </c>
      <c r="AE1186" s="128" t="str">
        <f>IF(Tab.o1[[#This Row],[a1]]=1,[1]!T.in.A[[#This Row],[oo10]],"")</f>
        <v/>
      </c>
      <c r="AF1186" s="118" t="str">
        <f>IF(Tab.o1[[#This Row],[a1]]=1,ABS(Tab.o1[[#This Row],[DIF_Target.]]*Tab.o1[[#This Row],[PDF2]]*Tab.o1[[#This Row],[IN]]),"")</f>
        <v/>
      </c>
      <c r="AG1186" s="129" t="str">
        <f>IF(Tab.o1[[#This Row],[a1]]=1,Tab.o1[[#This Row],[rW]]^2,"")</f>
        <v/>
      </c>
      <c r="AH1186" s="130" t="str">
        <f>IF(Tab.o1[[#This Row],[a1]]=1,IF(AH$3=0,Tab.o1[[#This Row],[rW2]],0.01+0.94*Tab.o1[[#This Row],[rW2]]/SUM(Tab.o1[rW2])),"")</f>
        <v/>
      </c>
      <c r="AI1186" s="128" t="str">
        <f>IF(Tab.o1[[#This Row],[a1]]=1,1/Tab.o1[[#This Row],[PDF]],"")</f>
        <v/>
      </c>
      <c r="AJ1186" s="131" t="str">
        <f>IF(Tab.o1[[#This Row],[a1]]=1,[1]!T_AA[[#This Row],[IN'']]*[1]!T_AA[[#This Row],[Qde'']],"")</f>
        <v/>
      </c>
      <c r="AK1186" s="132" t="str">
        <f>IF(Tab.o1[[#This Row],[a1]]=1,IF(AK$1=1,Tab.o1[[#This Row],[MED]]+Tab.o1[[#This Row],[MOD]]-Tab.o1[[#This Row],[MED]],""),"")</f>
        <v/>
      </c>
      <c r="AL1186" s="133" t="str">
        <f>IF(Tab.o1[[#This Row],[a1]]=1,[1]!T.in.A[[#This Row],[oo16]],"")</f>
        <v/>
      </c>
      <c r="AM1186" s="133" t="str">
        <f>IF(Tab.o1[[#This Row],[a1]]=1,IF(AM$3=1,[1]!T.in.A[[#This Row],[Σo16]],""),"")</f>
        <v/>
      </c>
      <c r="AN1186" s="126" t="str">
        <f>IF(Tab.o1[[#This Row],[a1]]=1,[1]!T.in.A[[#This Row],[Σp5]],"")</f>
        <v/>
      </c>
      <c r="AO1186" s="126" t="str">
        <f>IF(Tab.o1[[#This Row],[a1]]=1,IF(AO$3=1,[1]!T.in.A[[#This Row],[Σp5]],""),"")</f>
        <v/>
      </c>
      <c r="AP1186" s="110" t="str">
        <f>IF(Tab.o1[[#This Row],[a1]]=1,IF(ISNUMBER(Tab.o1[[#This Row],[i.]]),NORMDIST(Tab.o1[[#This Row],[Za]],0,1,FALSE)*Tab.o1[[#This Row],[i.]],0),"")</f>
        <v/>
      </c>
      <c r="AQ1186" s="125" t="str">
        <f>IF(Tab.o1[[#This Row],[a1]]=1,ABS(Tab.o1[[#This Row],[MOD]]-AVERAGE(Tab.o1[MOD])),"")</f>
        <v/>
      </c>
      <c r="AR1186" s="134" t="str">
        <f>IF(Tab.o1[[#This Row],[a1]]=1,Tab.o1[[#This Row],[OBS]]/SUM(Tab.o1[OBS]),"")</f>
        <v/>
      </c>
      <c r="AS1186" s="135" t="str">
        <f>IF(ISNUMBER(Tab.o1[[#This Row],[a1]]),ROW()-4,"")</f>
        <v/>
      </c>
      <c r="AT1186" s="136" t="str">
        <f>Tab.o1[[#This Row],[MOD]]</f>
        <v/>
      </c>
      <c r="AU1186" s="137" t="str">
        <f t="shared" si="73"/>
        <v/>
      </c>
      <c r="AV1186" s="138" t="str">
        <f t="shared" si="74"/>
        <v/>
      </c>
      <c r="AW1186" s="138" t="str">
        <f t="shared" si="75"/>
        <v/>
      </c>
      <c r="AX1186" s="139" t="str">
        <f>[1]!T.in.A[[#This Row],[ID_T_manu]]</f>
        <v/>
      </c>
      <c r="AY1186" s="140" t="str">
        <f>IF(ISNUMBER(Tab.o1[[#This Row],[a1]]),IF(AND(Tab.o1[[#This Row],[a1]]=1,Tab.o1[[#This Row],[b1]]&lt;=AY$4),#REF!,AY1185),"")</f>
        <v/>
      </c>
      <c r="AZ1186" s="25"/>
      <c r="BA1186" s="25"/>
      <c r="BB1186" s="25"/>
      <c r="BC1186" s="25"/>
      <c r="BD1186" s="25"/>
      <c r="BE1186" s="25"/>
      <c r="BF1186" s="25"/>
      <c r="BG1186" s="25"/>
      <c r="BH1186" s="25"/>
      <c r="BI1186" s="25"/>
      <c r="BJ1186" s="25"/>
      <c r="BK1186" s="25"/>
      <c r="BL1186" s="25"/>
      <c r="BM1186" s="25"/>
      <c r="BN1186" s="26"/>
      <c r="BO1186" s="26"/>
      <c r="BP1186" s="26"/>
      <c r="BQ1186" s="26"/>
      <c r="BR1186" s="26"/>
      <c r="BS1186" s="26"/>
      <c r="BT1186" s="26"/>
      <c r="BU1186" s="26"/>
      <c r="BV1186" s="26"/>
      <c r="BW1186" s="26"/>
      <c r="BX1186" s="26"/>
      <c r="BY1186" s="26"/>
      <c r="BZ1186" s="26"/>
      <c r="CA1186" s="26"/>
    </row>
    <row r="1187" spans="1:79" ht="15.75" hidden="1">
      <c r="A1187" s="109">
        <v>5.9999999999999993E-6</v>
      </c>
      <c r="B1187" s="110">
        <f t="shared" si="72"/>
        <v>1187</v>
      </c>
      <c r="C1187" s="111" t="str">
        <f>IF(C$1=[1]!T.in.A[[#This Row],[oo2]],1,"")</f>
        <v/>
      </c>
      <c r="D1187" s="112" t="str">
        <f>IF(Tab.o1[[#This Row],[a1]]=1,IF(SUM(C1187:C1188)=0,0,IF(SUM(C1186:C1187)=1,1,IF(SUM(C1186:C1188)&gt;1,D1186+1,0))),"")</f>
        <v/>
      </c>
      <c r="E1187" s="113" t="str">
        <f>IF(Tab.o1[[#This Row],[a1]]=1,[1]!T.in.A[[#This Row],[oo1]],"")</f>
        <v/>
      </c>
      <c r="F1187" s="113" t="str">
        <f>IF(Tab.o1[[#This Row],[a1]]=1,[1]!T.in.A[[#This Row],[pp1]],"")</f>
        <v/>
      </c>
      <c r="G1187" s="114" t="str">
        <f>IF(Tab.o1[[#This Row],[a1]]=1,G$2+IF(G$1=1,0,Tab.o1[[#This Row],[.x1]])+[1]!T.in.A[[#This Row],[oo3]],"")</f>
        <v/>
      </c>
      <c r="H1187" s="115" t="str">
        <f>IF(Tab.o1[[#This Row],[a1]]=1,IF(H$2=0,0,IF(G$1=1,0,Tab.o1[[#This Row],[.x1]])+[1]!T.in.A[[#This Row],[oo4]]),"")</f>
        <v/>
      </c>
      <c r="I1187" s="116" t="str">
        <f>IF(Tab.o1[[#This Row],[a1]]=1,IF(J$2=0,Tab.o1[[#This Row],[MED]],Tab.o1[[#This Row],[MOD]]),"")</f>
        <v/>
      </c>
      <c r="J1187" s="116" t="str">
        <f>IF(Tab.o1[[#This Row],[a1]]=1,((Tab.o1[[#This Row],[DIF_Target.]]-AVERAGE(Tab.o1[DIF_Target.]))/_xlfn.STDEV.P(Tab.o1[DIF_Target.])),"")</f>
        <v/>
      </c>
      <c r="K1187" s="117" t="str">
        <f>IF(Tab.o1[[#This Row],[a1]]=1,IF(J$2=0,Tab.o1[[#This Row],[MOD]]-Tab.o1[[#This Row],[B]],IF(J$2=1,0,-Tab.o1[[#This Row],[MED]])+Tab.o1[[#This Row],[B]]),"")</f>
        <v/>
      </c>
      <c r="L1187" s="117" t="str">
        <f ca="1">IF(Tab.o1[[#This Row],[DIF_Target]]=0,IF(L$2=0,Tab.o1[[#This Row],[DIF_Target]],AVERAGE(OFFSET(Tab.o1[[#This Row],[DIF_Target]],1,0,L$3,1)))/3,Tab.o1[[#This Row],[DIF_Target]])</f>
        <v/>
      </c>
      <c r="M1187" s="118" t="str">
        <f>IF(Tab.o1[[#This Row],[a1]]=1,NORMSDIST(Tab.o1[[#This Row],[Za]]),"")</f>
        <v/>
      </c>
      <c r="N1187" s="119" t="str">
        <f>IF(Tab.o1[[#This Row],[a1]]=1,((Tab.o1[[#This Row],[MedMod]]-AVERAGE(Tab.o1[MedMod]))/_xlfn.STDEV.P(Tab.o1[MedMod])*H$1205)+G$1205,"")</f>
        <v/>
      </c>
      <c r="O1187" s="141" t="str">
        <f>IF(Tab.o1[[#This Row],[a1]]=1,Tab.o1[[#This Row],[Zb]]*_xlfn.STDEV.P(Tab.o1[MedMod])+AVERAGE(Tab.o1[MedMod]),"")</f>
        <v/>
      </c>
      <c r="P1187" s="117" t="str">
        <f ca="1">IF(Tab.o1[[#This Row],[B]]=0,AVERAGE(OFFSET(Tab.o1[[#This Row],[B]],1,0,L$3,1)),Tab.o1[[#This Row],[B]])</f>
        <v/>
      </c>
      <c r="Q1187" s="121" t="str">
        <f>IF(Tab.o1[[#This Row],[a1]]=1,NORMSDIST(Tab.o1[[#This Row],[Zb]]),"")</f>
        <v/>
      </c>
      <c r="R1187" s="122" t="str">
        <f>IF(Tab.o1[[#This Row],[a1]]=1,((Tab.o1[[#This Row],[MedMod]]-AVERAGE(Tab.o1[MedMod]))/_xlfn.STDEV.P(Tab.o1[MedMod])*H$1203)+G$1203,"")</f>
        <v/>
      </c>
      <c r="S1187" s="122" t="str">
        <f>IF(Tab.o1[[#This Row],[a1]]=1,((Tab.o1[[#This Row],[MedMod]]-AVERAGE(Tab.o1[MedMod]))/_xlfn.STDEV.P(Tab.o1[MedMod])*H$1204)+G$1204,"")</f>
        <v/>
      </c>
      <c r="T1187" s="123" t="str">
        <f>IF(Tab.o1[[#This Row],[a1]]=1,Tab.o1[[#This Row],[Z-]]*_xlfn.STDEV.P(Tab.o1[B])+AVERAGE(Tab.o1[B]),"")</f>
        <v/>
      </c>
      <c r="U1187" s="123" t="str">
        <f>IF(Tab.o1[[#This Row],[a1]]=1,Tab.o1[[#This Row],[z+]]*_xlfn.STDEV.P(Tab.o1[B])+AVERAGE(Tab.o1[B]),"")</f>
        <v/>
      </c>
      <c r="V1187" s="124" t="str">
        <f>IF(Tab.o1[[#This Row],[a1]]=1,ABS((ABS(Tab.o1[[#This Row],[Red]]-Tab.o1[[#This Row],[Blue]]))),"")</f>
        <v/>
      </c>
      <c r="W1187" s="125" t="str">
        <f>IF(Tab.o1[[#This Row],[a1]]=1,IF(W$3=0,1,Tab.o1[[#This Row],[Amp.]]*1/_xlfn.MINIFS(Tab.o1[Amp.],Tab.o1[Amp.],"&lt;&gt;0")),"")</f>
        <v/>
      </c>
      <c r="X1187" s="126" t="str">
        <f>IF(Tab.o1[[#This Row],[a1]]=1,IF(ISNUMBER(Tab.o1[[#This Row],[i.]]),NORMDIST(Tab.o1[[#This Row],[Za]],0,1,FALSE)*Tab.o1[[#This Row],[i.]],AP$3),"")</f>
        <v/>
      </c>
      <c r="Y1187" s="126" t="str">
        <f>IF(Tab.o1[[#This Row],[a1]]=1,0.01+0.94*Tab.o1[[#This Row],[PDF]]/MAX(Tab.o1[PDF]),"")</f>
        <v/>
      </c>
      <c r="Z1187" s="126" t="str">
        <f>IF(Tab.o1[[#This Row],[a1]]=1,0.01+0.94*Tab.o1[[#This Row],[W1_PDF]]/MAX(Tab.o1[W1_PDF]),"")</f>
        <v/>
      </c>
      <c r="AA1187" s="118" t="str">
        <f>IF(Tab.o1[[#This Row],[a1]]=1,ABS([1]!T.in.A[[#This Row],[oo6]]),"")</f>
        <v/>
      </c>
      <c r="AB1187" s="127" t="str">
        <f>IF(Tab.o1[[#This Row],[a1]]=1,IF(AE$3=0,"",IF(AB$3=0,ABS([1]!T.in.A[[#This Row],[oo9]]),ABS(Tab.o1[[#This Row],[DIF_Target.]]*Tab.o1[[#This Row],[W1_PDF]]))),"")</f>
        <v/>
      </c>
      <c r="AC1187" s="127" t="str">
        <f>IF(G$1=1,"",IF(Tab.o1[[#This Row],[a1]]=1,Tab.o1[[#This Row],[Wr]]^2,""))</f>
        <v/>
      </c>
      <c r="AD1187" s="118" t="str">
        <f>IF(Tab.o1[[#This Row],[a1]]=1,IF(AE$3=0,"",Tab.o1[[#This Row],[Wr2]]/SUM(Tab.o1[Wr2])),"")</f>
        <v/>
      </c>
      <c r="AE1187" s="128" t="str">
        <f>IF(Tab.o1[[#This Row],[a1]]=1,[1]!T.in.A[[#This Row],[oo10]],"")</f>
        <v/>
      </c>
      <c r="AF1187" s="118" t="str">
        <f>IF(Tab.o1[[#This Row],[a1]]=1,ABS(Tab.o1[[#This Row],[DIF_Target.]]*Tab.o1[[#This Row],[PDF2]]*Tab.o1[[#This Row],[IN]]),"")</f>
        <v/>
      </c>
      <c r="AG1187" s="129" t="str">
        <f>IF(Tab.o1[[#This Row],[a1]]=1,Tab.o1[[#This Row],[rW]]^2,"")</f>
        <v/>
      </c>
      <c r="AH1187" s="130" t="str">
        <f>IF(Tab.o1[[#This Row],[a1]]=1,IF(AH$3=0,Tab.o1[[#This Row],[rW2]],0.01+0.94*Tab.o1[[#This Row],[rW2]]/SUM(Tab.o1[rW2])),"")</f>
        <v/>
      </c>
      <c r="AI1187" s="128" t="str">
        <f>IF(Tab.o1[[#This Row],[a1]]=1,1/Tab.o1[[#This Row],[PDF]],"")</f>
        <v/>
      </c>
      <c r="AJ1187" s="131" t="str">
        <f>IF(Tab.o1[[#This Row],[a1]]=1,[1]!T_AA[[#This Row],[IN'']]*[1]!T_AA[[#This Row],[Qde'']],"")</f>
        <v/>
      </c>
      <c r="AK1187" s="132" t="str">
        <f>IF(Tab.o1[[#This Row],[a1]]=1,IF(AK$1=1,Tab.o1[[#This Row],[MED]]+Tab.o1[[#This Row],[MOD]]-Tab.o1[[#This Row],[MED]],""),"")</f>
        <v/>
      </c>
      <c r="AL1187" s="133" t="str">
        <f>IF(Tab.o1[[#This Row],[a1]]=1,[1]!T.in.A[[#This Row],[oo16]],"")</f>
        <v/>
      </c>
      <c r="AM1187" s="133" t="str">
        <f>IF(Tab.o1[[#This Row],[a1]]=1,IF(AM$3=1,[1]!T.in.A[[#This Row],[Σo16]],""),"")</f>
        <v/>
      </c>
      <c r="AN1187" s="126" t="str">
        <f>IF(Tab.o1[[#This Row],[a1]]=1,[1]!T.in.A[[#This Row],[Σp5]],"")</f>
        <v/>
      </c>
      <c r="AO1187" s="126" t="str">
        <f>IF(Tab.o1[[#This Row],[a1]]=1,IF(AO$3=1,[1]!T.in.A[[#This Row],[Σp5]],""),"")</f>
        <v/>
      </c>
      <c r="AP1187" s="110" t="str">
        <f>IF(Tab.o1[[#This Row],[a1]]=1,IF(ISNUMBER(Tab.o1[[#This Row],[i.]]),NORMDIST(Tab.o1[[#This Row],[Za]],0,1,FALSE)*Tab.o1[[#This Row],[i.]],0),"")</f>
        <v/>
      </c>
      <c r="AQ1187" s="125" t="str">
        <f>IF(Tab.o1[[#This Row],[a1]]=1,ABS(Tab.o1[[#This Row],[MOD]]-AVERAGE(Tab.o1[MOD])),"")</f>
        <v/>
      </c>
      <c r="AR1187" s="134" t="str">
        <f>IF(Tab.o1[[#This Row],[a1]]=1,Tab.o1[[#This Row],[OBS]]/SUM(Tab.o1[OBS]),"")</f>
        <v/>
      </c>
      <c r="AS1187" s="135" t="str">
        <f>IF(ISNUMBER(Tab.o1[[#This Row],[a1]]),ROW()-4,"")</f>
        <v/>
      </c>
      <c r="AT1187" s="136" t="str">
        <f>Tab.o1[[#This Row],[MOD]]</f>
        <v/>
      </c>
      <c r="AU1187" s="137" t="str">
        <f t="shared" si="73"/>
        <v/>
      </c>
      <c r="AV1187" s="138" t="str">
        <f t="shared" si="74"/>
        <v/>
      </c>
      <c r="AW1187" s="138" t="str">
        <f t="shared" si="75"/>
        <v/>
      </c>
      <c r="AX1187" s="139" t="str">
        <f>[1]!T.in.A[[#This Row],[ID_T_manu]]</f>
        <v/>
      </c>
      <c r="AY1187" s="140" t="str">
        <f>IF(ISNUMBER(Tab.o1[[#This Row],[a1]]),IF(AND(Tab.o1[[#This Row],[a1]]=1,Tab.o1[[#This Row],[b1]]&lt;=AY$4),#REF!,AY1186),"")</f>
        <v/>
      </c>
      <c r="AZ1187" s="25"/>
      <c r="BA1187" s="25"/>
      <c r="BB1187" s="25"/>
      <c r="BC1187" s="25"/>
      <c r="BD1187" s="25"/>
      <c r="BE1187" s="25"/>
      <c r="BF1187" s="25"/>
      <c r="BG1187" s="25"/>
      <c r="BH1187" s="25"/>
      <c r="BI1187" s="25"/>
      <c r="BJ1187" s="25"/>
      <c r="BK1187" s="25"/>
      <c r="BL1187" s="25"/>
      <c r="BM1187" s="25"/>
      <c r="BN1187" s="26"/>
      <c r="BO1187" s="26"/>
      <c r="BP1187" s="26"/>
      <c r="BQ1187" s="26"/>
      <c r="BR1187" s="26"/>
      <c r="BS1187" s="26"/>
      <c r="BT1187" s="26"/>
      <c r="BU1187" s="26"/>
      <c r="BV1187" s="26"/>
      <c r="BW1187" s="26"/>
      <c r="BX1187" s="26"/>
      <c r="BY1187" s="26"/>
      <c r="BZ1187" s="26"/>
      <c r="CA1187" s="26"/>
    </row>
    <row r="1188" spans="1:79" ht="15.75" hidden="1">
      <c r="A1188" s="109">
        <v>-4.0000000000000007E-6</v>
      </c>
      <c r="B1188" s="110">
        <f t="shared" si="72"/>
        <v>1188</v>
      </c>
      <c r="C1188" s="111" t="str">
        <f>IF(C$1=[1]!T.in.A[[#This Row],[oo2]],1,"")</f>
        <v/>
      </c>
      <c r="D1188" s="112" t="str">
        <f>IF(Tab.o1[[#This Row],[a1]]=1,IF(SUM(C1188:C1189)=0,0,IF(SUM(C1187:C1188)=1,1,IF(SUM(C1187:C1189)&gt;1,D1187+1,0))),"")</f>
        <v/>
      </c>
      <c r="E1188" s="113" t="str">
        <f>IF(Tab.o1[[#This Row],[a1]]=1,[1]!T.in.A[[#This Row],[oo1]],"")</f>
        <v/>
      </c>
      <c r="F1188" s="113" t="str">
        <f>IF(Tab.o1[[#This Row],[a1]]=1,[1]!T.in.A[[#This Row],[pp1]],"")</f>
        <v/>
      </c>
      <c r="G1188" s="114" t="str">
        <f>IF(Tab.o1[[#This Row],[a1]]=1,G$2+IF(G$1=1,0,Tab.o1[[#This Row],[.x1]])+[1]!T.in.A[[#This Row],[oo3]],"")</f>
        <v/>
      </c>
      <c r="H1188" s="115" t="str">
        <f>IF(Tab.o1[[#This Row],[a1]]=1,IF(H$2=0,0,IF(G$1=1,0,Tab.o1[[#This Row],[.x1]])+[1]!T.in.A[[#This Row],[oo4]]),"")</f>
        <v/>
      </c>
      <c r="I1188" s="116" t="str">
        <f>IF(Tab.o1[[#This Row],[a1]]=1,IF(J$2=0,Tab.o1[[#This Row],[MED]],Tab.o1[[#This Row],[MOD]]),"")</f>
        <v/>
      </c>
      <c r="J1188" s="116" t="str">
        <f>IF(Tab.o1[[#This Row],[a1]]=1,((Tab.o1[[#This Row],[DIF_Target.]]-AVERAGE(Tab.o1[DIF_Target.]))/_xlfn.STDEV.P(Tab.o1[DIF_Target.])),"")</f>
        <v/>
      </c>
      <c r="K1188" s="117" t="str">
        <f>IF(Tab.o1[[#This Row],[a1]]=1,IF(J$2=0,Tab.o1[[#This Row],[MOD]]-Tab.o1[[#This Row],[B]],IF(J$2=1,0,-Tab.o1[[#This Row],[MED]])+Tab.o1[[#This Row],[B]]),"")</f>
        <v/>
      </c>
      <c r="L1188" s="117" t="str">
        <f ca="1">IF(Tab.o1[[#This Row],[DIF_Target]]=0,IF(L$2=0,Tab.o1[[#This Row],[DIF_Target]],AVERAGE(OFFSET(Tab.o1[[#This Row],[DIF_Target]],1,0,L$3,1)))/3,Tab.o1[[#This Row],[DIF_Target]])</f>
        <v/>
      </c>
      <c r="M1188" s="118" t="str">
        <f>IF(Tab.o1[[#This Row],[a1]]=1,NORMSDIST(Tab.o1[[#This Row],[Za]]),"")</f>
        <v/>
      </c>
      <c r="N1188" s="119" t="str">
        <f>IF(Tab.o1[[#This Row],[a1]]=1,((Tab.o1[[#This Row],[MedMod]]-AVERAGE(Tab.o1[MedMod]))/_xlfn.STDEV.P(Tab.o1[MedMod])*H$1205)+G$1205,"")</f>
        <v/>
      </c>
      <c r="O1188" s="141" t="str">
        <f>IF(Tab.o1[[#This Row],[a1]]=1,Tab.o1[[#This Row],[Zb]]*_xlfn.STDEV.P(Tab.o1[MedMod])+AVERAGE(Tab.o1[MedMod]),"")</f>
        <v/>
      </c>
      <c r="P1188" s="117" t="str">
        <f ca="1">IF(Tab.o1[[#This Row],[B]]=0,AVERAGE(OFFSET(Tab.o1[[#This Row],[B]],1,0,L$3,1)),Tab.o1[[#This Row],[B]])</f>
        <v/>
      </c>
      <c r="Q1188" s="121" t="str">
        <f>IF(Tab.o1[[#This Row],[a1]]=1,NORMSDIST(Tab.o1[[#This Row],[Zb]]),"")</f>
        <v/>
      </c>
      <c r="R1188" s="122" t="str">
        <f>IF(Tab.o1[[#This Row],[a1]]=1,((Tab.o1[[#This Row],[MedMod]]-AVERAGE(Tab.o1[MedMod]))/_xlfn.STDEV.P(Tab.o1[MedMod])*H$1203)+G$1203,"")</f>
        <v/>
      </c>
      <c r="S1188" s="122" t="str">
        <f>IF(Tab.o1[[#This Row],[a1]]=1,((Tab.o1[[#This Row],[MedMod]]-AVERAGE(Tab.o1[MedMod]))/_xlfn.STDEV.P(Tab.o1[MedMod])*H$1204)+G$1204,"")</f>
        <v/>
      </c>
      <c r="T1188" s="123" t="str">
        <f>IF(Tab.o1[[#This Row],[a1]]=1,Tab.o1[[#This Row],[Z-]]*_xlfn.STDEV.P(Tab.o1[B])+AVERAGE(Tab.o1[B]),"")</f>
        <v/>
      </c>
      <c r="U1188" s="123" t="str">
        <f>IF(Tab.o1[[#This Row],[a1]]=1,Tab.o1[[#This Row],[z+]]*_xlfn.STDEV.P(Tab.o1[B])+AVERAGE(Tab.o1[B]),"")</f>
        <v/>
      </c>
      <c r="V1188" s="124" t="str">
        <f>IF(Tab.o1[[#This Row],[a1]]=1,ABS((ABS(Tab.o1[[#This Row],[Red]]-Tab.o1[[#This Row],[Blue]]))),"")</f>
        <v/>
      </c>
      <c r="W1188" s="125" t="str">
        <f>IF(Tab.o1[[#This Row],[a1]]=1,IF(W$3=0,1,Tab.o1[[#This Row],[Amp.]]*1/_xlfn.MINIFS(Tab.o1[Amp.],Tab.o1[Amp.],"&lt;&gt;0")),"")</f>
        <v/>
      </c>
      <c r="X1188" s="126" t="str">
        <f>IF(Tab.o1[[#This Row],[a1]]=1,IF(ISNUMBER(Tab.o1[[#This Row],[i.]]),NORMDIST(Tab.o1[[#This Row],[Za]],0,1,FALSE)*Tab.o1[[#This Row],[i.]],AP$3),"")</f>
        <v/>
      </c>
      <c r="Y1188" s="126" t="str">
        <f>IF(Tab.o1[[#This Row],[a1]]=1,0.01+0.94*Tab.o1[[#This Row],[PDF]]/MAX(Tab.o1[PDF]),"")</f>
        <v/>
      </c>
      <c r="Z1188" s="126" t="str">
        <f>IF(Tab.o1[[#This Row],[a1]]=1,0.01+0.94*Tab.o1[[#This Row],[W1_PDF]]/MAX(Tab.o1[W1_PDF]),"")</f>
        <v/>
      </c>
      <c r="AA1188" s="118" t="str">
        <f>IF(Tab.o1[[#This Row],[a1]]=1,ABS([1]!T.in.A[[#This Row],[oo6]]),"")</f>
        <v/>
      </c>
      <c r="AB1188" s="127" t="str">
        <f>IF(Tab.o1[[#This Row],[a1]]=1,IF(AE$3=0,"",IF(AB$3=0,ABS([1]!T.in.A[[#This Row],[oo9]]),ABS(Tab.o1[[#This Row],[DIF_Target.]]*Tab.o1[[#This Row],[W1_PDF]]))),"")</f>
        <v/>
      </c>
      <c r="AC1188" s="127" t="str">
        <f>IF(G$1=1,"",IF(Tab.o1[[#This Row],[a1]]=1,Tab.o1[[#This Row],[Wr]]^2,""))</f>
        <v/>
      </c>
      <c r="AD1188" s="118" t="str">
        <f>IF(Tab.o1[[#This Row],[a1]]=1,IF(AE$3=0,"",Tab.o1[[#This Row],[Wr2]]/SUM(Tab.o1[Wr2])),"")</f>
        <v/>
      </c>
      <c r="AE1188" s="128" t="str">
        <f>IF(Tab.o1[[#This Row],[a1]]=1,[1]!T.in.A[[#This Row],[oo10]],"")</f>
        <v/>
      </c>
      <c r="AF1188" s="118" t="str">
        <f>IF(Tab.o1[[#This Row],[a1]]=1,ABS(Tab.o1[[#This Row],[DIF_Target.]]*Tab.o1[[#This Row],[PDF2]]*Tab.o1[[#This Row],[IN]]),"")</f>
        <v/>
      </c>
      <c r="AG1188" s="129" t="str">
        <f>IF(Tab.o1[[#This Row],[a1]]=1,Tab.o1[[#This Row],[rW]]^2,"")</f>
        <v/>
      </c>
      <c r="AH1188" s="130" t="str">
        <f>IF(Tab.o1[[#This Row],[a1]]=1,IF(AH$3=0,Tab.o1[[#This Row],[rW2]],0.01+0.94*Tab.o1[[#This Row],[rW2]]/SUM(Tab.o1[rW2])),"")</f>
        <v/>
      </c>
      <c r="AI1188" s="128" t="str">
        <f>IF(Tab.o1[[#This Row],[a1]]=1,1/Tab.o1[[#This Row],[PDF]],"")</f>
        <v/>
      </c>
      <c r="AJ1188" s="131" t="str">
        <f>IF(Tab.o1[[#This Row],[a1]]=1,[1]!T_AA[[#This Row],[IN'']]*[1]!T_AA[[#This Row],[Qde'']],"")</f>
        <v/>
      </c>
      <c r="AK1188" s="132" t="str">
        <f>IF(Tab.o1[[#This Row],[a1]]=1,IF(AK$1=1,Tab.o1[[#This Row],[MED]]+Tab.o1[[#This Row],[MOD]]-Tab.o1[[#This Row],[MED]],""),"")</f>
        <v/>
      </c>
      <c r="AL1188" s="133" t="str">
        <f>IF(Tab.o1[[#This Row],[a1]]=1,[1]!T.in.A[[#This Row],[oo16]],"")</f>
        <v/>
      </c>
      <c r="AM1188" s="133" t="str">
        <f>IF(Tab.o1[[#This Row],[a1]]=1,IF(AM$3=1,[1]!T.in.A[[#This Row],[Σo16]],""),"")</f>
        <v/>
      </c>
      <c r="AN1188" s="126" t="str">
        <f>IF(Tab.o1[[#This Row],[a1]]=1,[1]!T.in.A[[#This Row],[Σp5]],"")</f>
        <v/>
      </c>
      <c r="AO1188" s="126" t="str">
        <f>IF(Tab.o1[[#This Row],[a1]]=1,IF(AO$3=1,[1]!T.in.A[[#This Row],[Σp5]],""),"")</f>
        <v/>
      </c>
      <c r="AP1188" s="110" t="str">
        <f>IF(Tab.o1[[#This Row],[a1]]=1,IF(ISNUMBER(Tab.o1[[#This Row],[i.]]),NORMDIST(Tab.o1[[#This Row],[Za]],0,1,FALSE)*Tab.o1[[#This Row],[i.]],0),"")</f>
        <v/>
      </c>
      <c r="AQ1188" s="125" t="str">
        <f>IF(Tab.o1[[#This Row],[a1]]=1,ABS(Tab.o1[[#This Row],[MOD]]-AVERAGE(Tab.o1[MOD])),"")</f>
        <v/>
      </c>
      <c r="AR1188" s="134" t="str">
        <f>IF(Tab.o1[[#This Row],[a1]]=1,Tab.o1[[#This Row],[OBS]]/SUM(Tab.o1[OBS]),"")</f>
        <v/>
      </c>
      <c r="AS1188" s="135" t="str">
        <f>IF(ISNUMBER(Tab.o1[[#This Row],[a1]]),ROW()-4,"")</f>
        <v/>
      </c>
      <c r="AT1188" s="136" t="str">
        <f>Tab.o1[[#This Row],[MOD]]</f>
        <v/>
      </c>
      <c r="AU1188" s="137" t="str">
        <f t="shared" si="73"/>
        <v/>
      </c>
      <c r="AV1188" s="138" t="str">
        <f t="shared" si="74"/>
        <v/>
      </c>
      <c r="AW1188" s="138" t="str">
        <f t="shared" si="75"/>
        <v/>
      </c>
      <c r="AX1188" s="139" t="str">
        <f>[1]!T.in.A[[#This Row],[ID_T_manu]]</f>
        <v/>
      </c>
      <c r="AY1188" s="140" t="str">
        <f>IF(ISNUMBER(Tab.o1[[#This Row],[a1]]),IF(AND(Tab.o1[[#This Row],[a1]]=1,Tab.o1[[#This Row],[b1]]&lt;=AY$4),#REF!,AY1187),"")</f>
        <v/>
      </c>
      <c r="AZ1188" s="25"/>
      <c r="BA1188" s="25"/>
      <c r="BB1188" s="25"/>
      <c r="BC1188" s="25"/>
      <c r="BD1188" s="25"/>
      <c r="BE1188" s="25"/>
      <c r="BF1188" s="25"/>
      <c r="BG1188" s="25"/>
      <c r="BH1188" s="25"/>
      <c r="BI1188" s="25"/>
      <c r="BJ1188" s="25"/>
      <c r="BK1188" s="25"/>
      <c r="BL1188" s="25"/>
      <c r="BM1188" s="25"/>
      <c r="BN1188" s="26"/>
      <c r="BO1188" s="26"/>
      <c r="BP1188" s="26"/>
      <c r="BQ1188" s="26"/>
      <c r="BR1188" s="26"/>
      <c r="BS1188" s="26"/>
      <c r="BT1188" s="26"/>
      <c r="BU1188" s="26"/>
      <c r="BV1188" s="26"/>
      <c r="BW1188" s="26"/>
      <c r="BX1188" s="26"/>
      <c r="BY1188" s="26"/>
      <c r="BZ1188" s="26"/>
      <c r="CA1188" s="26"/>
    </row>
    <row r="1189" spans="1:79" ht="15.75" hidden="1">
      <c r="A1189" s="109">
        <v>1.0000000000000001E-5</v>
      </c>
      <c r="B1189" s="110">
        <f t="shared" si="72"/>
        <v>1189</v>
      </c>
      <c r="C1189" s="111" t="str">
        <f>IF(C$1=[1]!T.in.A[[#This Row],[oo2]],1,"")</f>
        <v/>
      </c>
      <c r="D1189" s="112" t="str">
        <f>IF(Tab.o1[[#This Row],[a1]]=1,IF(SUM(C1189:C1190)=0,0,IF(SUM(C1188:C1189)=1,1,IF(SUM(C1188:C1190)&gt;1,D1188+1,0))),"")</f>
        <v/>
      </c>
      <c r="E1189" s="113" t="str">
        <f>IF(Tab.o1[[#This Row],[a1]]=1,[1]!T.in.A[[#This Row],[oo1]],"")</f>
        <v/>
      </c>
      <c r="F1189" s="113" t="str">
        <f>IF(Tab.o1[[#This Row],[a1]]=1,[1]!T.in.A[[#This Row],[pp1]],"")</f>
        <v/>
      </c>
      <c r="G1189" s="114" t="str">
        <f>IF(Tab.o1[[#This Row],[a1]]=1,G$2+IF(G$1=1,0,Tab.o1[[#This Row],[.x1]])+[1]!T.in.A[[#This Row],[oo3]],"")</f>
        <v/>
      </c>
      <c r="H1189" s="115" t="str">
        <f>IF(Tab.o1[[#This Row],[a1]]=1,IF(H$2=0,0,IF(G$1=1,0,Tab.o1[[#This Row],[.x1]])+[1]!T.in.A[[#This Row],[oo4]]),"")</f>
        <v/>
      </c>
      <c r="I1189" s="116" t="str">
        <f>IF(Tab.o1[[#This Row],[a1]]=1,IF(J$2=0,Tab.o1[[#This Row],[MED]],Tab.o1[[#This Row],[MOD]]),"")</f>
        <v/>
      </c>
      <c r="J1189" s="116" t="str">
        <f>IF(Tab.o1[[#This Row],[a1]]=1,((Tab.o1[[#This Row],[DIF_Target.]]-AVERAGE(Tab.o1[DIF_Target.]))/_xlfn.STDEV.P(Tab.o1[DIF_Target.])),"")</f>
        <v/>
      </c>
      <c r="K1189" s="117" t="str">
        <f>IF(Tab.o1[[#This Row],[a1]]=1,IF(J$2=0,Tab.o1[[#This Row],[MOD]]-Tab.o1[[#This Row],[B]],IF(J$2=1,0,-Tab.o1[[#This Row],[MED]])+Tab.o1[[#This Row],[B]]),"")</f>
        <v/>
      </c>
      <c r="L1189" s="117" t="str">
        <f ca="1">IF(Tab.o1[[#This Row],[DIF_Target]]=0,IF(L$2=0,Tab.o1[[#This Row],[DIF_Target]],AVERAGE(OFFSET(Tab.o1[[#This Row],[DIF_Target]],1,0,L$3,1)))/3,Tab.o1[[#This Row],[DIF_Target]])</f>
        <v/>
      </c>
      <c r="M1189" s="118" t="str">
        <f>IF(Tab.o1[[#This Row],[a1]]=1,NORMSDIST(Tab.o1[[#This Row],[Za]]),"")</f>
        <v/>
      </c>
      <c r="N1189" s="119" t="str">
        <f>IF(Tab.o1[[#This Row],[a1]]=1,((Tab.o1[[#This Row],[MedMod]]-AVERAGE(Tab.o1[MedMod]))/_xlfn.STDEV.P(Tab.o1[MedMod])*H$1205)+G$1205,"")</f>
        <v/>
      </c>
      <c r="O1189" s="141" t="str">
        <f>IF(Tab.o1[[#This Row],[a1]]=1,Tab.o1[[#This Row],[Zb]]*_xlfn.STDEV.P(Tab.o1[MedMod])+AVERAGE(Tab.o1[MedMod]),"")</f>
        <v/>
      </c>
      <c r="P1189" s="117" t="str">
        <f ca="1">IF(Tab.o1[[#This Row],[B]]=0,AVERAGE(OFFSET(Tab.o1[[#This Row],[B]],1,0,L$3,1)),Tab.o1[[#This Row],[B]])</f>
        <v/>
      </c>
      <c r="Q1189" s="121" t="str">
        <f>IF(Tab.o1[[#This Row],[a1]]=1,NORMSDIST(Tab.o1[[#This Row],[Zb]]),"")</f>
        <v/>
      </c>
      <c r="R1189" s="122" t="str">
        <f>IF(Tab.o1[[#This Row],[a1]]=1,((Tab.o1[[#This Row],[MedMod]]-AVERAGE(Tab.o1[MedMod]))/_xlfn.STDEV.P(Tab.o1[MedMod])*H$1203)+G$1203,"")</f>
        <v/>
      </c>
      <c r="S1189" s="122" t="str">
        <f>IF(Tab.o1[[#This Row],[a1]]=1,((Tab.o1[[#This Row],[MedMod]]-AVERAGE(Tab.o1[MedMod]))/_xlfn.STDEV.P(Tab.o1[MedMod])*H$1204)+G$1204,"")</f>
        <v/>
      </c>
      <c r="T1189" s="123" t="str">
        <f>IF(Tab.o1[[#This Row],[a1]]=1,Tab.o1[[#This Row],[Z-]]*_xlfn.STDEV.P(Tab.o1[B])+AVERAGE(Tab.o1[B]),"")</f>
        <v/>
      </c>
      <c r="U1189" s="123" t="str">
        <f>IF(Tab.o1[[#This Row],[a1]]=1,Tab.o1[[#This Row],[z+]]*_xlfn.STDEV.P(Tab.o1[B])+AVERAGE(Tab.o1[B]),"")</f>
        <v/>
      </c>
      <c r="V1189" s="124" t="str">
        <f>IF(Tab.o1[[#This Row],[a1]]=1,ABS((ABS(Tab.o1[[#This Row],[Red]]-Tab.o1[[#This Row],[Blue]]))),"")</f>
        <v/>
      </c>
      <c r="W1189" s="125" t="str">
        <f>IF(Tab.o1[[#This Row],[a1]]=1,IF(W$3=0,1,Tab.o1[[#This Row],[Amp.]]*1/_xlfn.MINIFS(Tab.o1[Amp.],Tab.o1[Amp.],"&lt;&gt;0")),"")</f>
        <v/>
      </c>
      <c r="X1189" s="126" t="str">
        <f>IF(Tab.o1[[#This Row],[a1]]=1,IF(ISNUMBER(Tab.o1[[#This Row],[i.]]),NORMDIST(Tab.o1[[#This Row],[Za]],0,1,FALSE)*Tab.o1[[#This Row],[i.]],AP$3),"")</f>
        <v/>
      </c>
      <c r="Y1189" s="126" t="str">
        <f>IF(Tab.o1[[#This Row],[a1]]=1,0.01+0.94*Tab.o1[[#This Row],[PDF]]/MAX(Tab.o1[PDF]),"")</f>
        <v/>
      </c>
      <c r="Z1189" s="126" t="str">
        <f>IF(Tab.o1[[#This Row],[a1]]=1,0.01+0.94*Tab.o1[[#This Row],[W1_PDF]]/MAX(Tab.o1[W1_PDF]),"")</f>
        <v/>
      </c>
      <c r="AA1189" s="118" t="str">
        <f>IF(Tab.o1[[#This Row],[a1]]=1,ABS([1]!T.in.A[[#This Row],[oo6]]),"")</f>
        <v/>
      </c>
      <c r="AB1189" s="127" t="str">
        <f>IF(Tab.o1[[#This Row],[a1]]=1,IF(AE$3=0,"",IF(AB$3=0,ABS([1]!T.in.A[[#This Row],[oo9]]),ABS(Tab.o1[[#This Row],[DIF_Target.]]*Tab.o1[[#This Row],[W1_PDF]]))),"")</f>
        <v/>
      </c>
      <c r="AC1189" s="127" t="str">
        <f>IF(G$1=1,"",IF(Tab.o1[[#This Row],[a1]]=1,Tab.o1[[#This Row],[Wr]]^2,""))</f>
        <v/>
      </c>
      <c r="AD1189" s="118" t="str">
        <f>IF(Tab.o1[[#This Row],[a1]]=1,IF(AE$3=0,"",Tab.o1[[#This Row],[Wr2]]/SUM(Tab.o1[Wr2])),"")</f>
        <v/>
      </c>
      <c r="AE1189" s="128" t="str">
        <f>IF(Tab.o1[[#This Row],[a1]]=1,[1]!T.in.A[[#This Row],[oo10]],"")</f>
        <v/>
      </c>
      <c r="AF1189" s="118" t="str">
        <f>IF(Tab.o1[[#This Row],[a1]]=1,ABS(Tab.o1[[#This Row],[DIF_Target.]]*Tab.o1[[#This Row],[PDF2]]*Tab.o1[[#This Row],[IN]]),"")</f>
        <v/>
      </c>
      <c r="AG1189" s="129" t="str">
        <f>IF(Tab.o1[[#This Row],[a1]]=1,Tab.o1[[#This Row],[rW]]^2,"")</f>
        <v/>
      </c>
      <c r="AH1189" s="130" t="str">
        <f>IF(Tab.o1[[#This Row],[a1]]=1,IF(AH$3=0,Tab.o1[[#This Row],[rW2]],0.01+0.94*Tab.o1[[#This Row],[rW2]]/SUM(Tab.o1[rW2])),"")</f>
        <v/>
      </c>
      <c r="AI1189" s="128" t="str">
        <f>IF(Tab.o1[[#This Row],[a1]]=1,1/Tab.o1[[#This Row],[PDF]],"")</f>
        <v/>
      </c>
      <c r="AJ1189" s="131" t="str">
        <f>IF(Tab.o1[[#This Row],[a1]]=1,[1]!T_AA[[#This Row],[IN'']]*[1]!T_AA[[#This Row],[Qde'']],"")</f>
        <v/>
      </c>
      <c r="AK1189" s="132" t="str">
        <f>IF(Tab.o1[[#This Row],[a1]]=1,IF(AK$1=1,Tab.o1[[#This Row],[MED]]+Tab.o1[[#This Row],[MOD]]-Tab.o1[[#This Row],[MED]],""),"")</f>
        <v/>
      </c>
      <c r="AL1189" s="133" t="str">
        <f>IF(Tab.o1[[#This Row],[a1]]=1,[1]!T.in.A[[#This Row],[oo16]],"")</f>
        <v/>
      </c>
      <c r="AM1189" s="133" t="str">
        <f>IF(Tab.o1[[#This Row],[a1]]=1,IF(AM$3=1,[1]!T.in.A[[#This Row],[Σo16]],""),"")</f>
        <v/>
      </c>
      <c r="AN1189" s="126" t="str">
        <f>IF(Tab.o1[[#This Row],[a1]]=1,[1]!T.in.A[[#This Row],[Σp5]],"")</f>
        <v/>
      </c>
      <c r="AO1189" s="126" t="str">
        <f>IF(Tab.o1[[#This Row],[a1]]=1,IF(AO$3=1,[1]!T.in.A[[#This Row],[Σp5]],""),"")</f>
        <v/>
      </c>
      <c r="AP1189" s="110" t="str">
        <f>IF(Tab.o1[[#This Row],[a1]]=1,IF(ISNUMBER(Tab.o1[[#This Row],[i.]]),NORMDIST(Tab.o1[[#This Row],[Za]],0,1,FALSE)*Tab.o1[[#This Row],[i.]],0),"")</f>
        <v/>
      </c>
      <c r="AQ1189" s="125" t="str">
        <f>IF(Tab.o1[[#This Row],[a1]]=1,ABS(Tab.o1[[#This Row],[MOD]]-AVERAGE(Tab.o1[MOD])),"")</f>
        <v/>
      </c>
      <c r="AR1189" s="134" t="str">
        <f>IF(Tab.o1[[#This Row],[a1]]=1,Tab.o1[[#This Row],[OBS]]/SUM(Tab.o1[OBS]),"")</f>
        <v/>
      </c>
      <c r="AS1189" s="135" t="str">
        <f>IF(ISNUMBER(Tab.o1[[#This Row],[a1]]),ROW()-4,"")</f>
        <v/>
      </c>
      <c r="AT1189" s="136" t="str">
        <f>Tab.o1[[#This Row],[MOD]]</f>
        <v/>
      </c>
      <c r="AU1189" s="137" t="str">
        <f t="shared" si="73"/>
        <v/>
      </c>
      <c r="AV1189" s="138" t="str">
        <f t="shared" si="74"/>
        <v/>
      </c>
      <c r="AW1189" s="138" t="str">
        <f t="shared" si="75"/>
        <v/>
      </c>
      <c r="AX1189" s="139" t="str">
        <f>[1]!T.in.A[[#This Row],[ID_T_manu]]</f>
        <v/>
      </c>
      <c r="AY1189" s="140" t="str">
        <f>IF(ISNUMBER(Tab.o1[[#This Row],[a1]]),IF(AND(Tab.o1[[#This Row],[a1]]=1,Tab.o1[[#This Row],[b1]]&lt;=AY$4),#REF!,AY1188),"")</f>
        <v/>
      </c>
      <c r="AZ1189" s="25"/>
      <c r="BA1189" s="25"/>
      <c r="BB1189" s="25"/>
      <c r="BC1189" s="25"/>
      <c r="BD1189" s="25"/>
      <c r="BE1189" s="25"/>
      <c r="BF1189" s="25"/>
      <c r="BG1189" s="25"/>
      <c r="BH1189" s="25"/>
      <c r="BI1189" s="25"/>
      <c r="BJ1189" s="25"/>
      <c r="BK1189" s="25"/>
      <c r="BL1189" s="25"/>
      <c r="BM1189" s="25"/>
      <c r="BN1189" s="26"/>
      <c r="BO1189" s="26"/>
      <c r="BP1189" s="26"/>
      <c r="BQ1189" s="26"/>
      <c r="BR1189" s="26"/>
      <c r="BS1189" s="26"/>
      <c r="BT1189" s="26"/>
      <c r="BU1189" s="26"/>
      <c r="BV1189" s="26"/>
      <c r="BW1189" s="26"/>
      <c r="BX1189" s="26"/>
      <c r="BY1189" s="26"/>
      <c r="BZ1189" s="26"/>
      <c r="CA1189" s="26"/>
    </row>
    <row r="1190" spans="1:79" ht="15.75" hidden="1">
      <c r="A1190" s="109">
        <v>2.0000000000000003E-6</v>
      </c>
      <c r="B1190" s="110">
        <f t="shared" si="72"/>
        <v>1190</v>
      </c>
      <c r="C1190" s="111" t="str">
        <f>IF(C$1=[1]!T.in.A[[#This Row],[oo2]],1,"")</f>
        <v/>
      </c>
      <c r="D1190" s="112" t="str">
        <f>IF(Tab.o1[[#This Row],[a1]]=1,IF(SUM(C1190:C1191)=0,0,IF(SUM(C1189:C1190)=1,1,IF(SUM(C1189:C1191)&gt;1,D1189+1,0))),"")</f>
        <v/>
      </c>
      <c r="E1190" s="113" t="str">
        <f>IF(Tab.o1[[#This Row],[a1]]=1,[1]!T.in.A[[#This Row],[oo1]],"")</f>
        <v/>
      </c>
      <c r="F1190" s="113" t="str">
        <f>IF(Tab.o1[[#This Row],[a1]]=1,[1]!T.in.A[[#This Row],[pp1]],"")</f>
        <v/>
      </c>
      <c r="G1190" s="114" t="str">
        <f>IF(Tab.o1[[#This Row],[a1]]=1,G$2+IF(G$1=1,0,Tab.o1[[#This Row],[.x1]])+[1]!T.in.A[[#This Row],[oo3]],"")</f>
        <v/>
      </c>
      <c r="H1190" s="115" t="str">
        <f>IF(Tab.o1[[#This Row],[a1]]=1,IF(H$2=0,0,IF(G$1=1,0,Tab.o1[[#This Row],[.x1]])+[1]!T.in.A[[#This Row],[oo4]]),"")</f>
        <v/>
      </c>
      <c r="I1190" s="116" t="str">
        <f>IF(Tab.o1[[#This Row],[a1]]=1,IF(J$2=0,Tab.o1[[#This Row],[MED]],Tab.o1[[#This Row],[MOD]]),"")</f>
        <v/>
      </c>
      <c r="J1190" s="116" t="str">
        <f>IF(Tab.o1[[#This Row],[a1]]=1,((Tab.o1[[#This Row],[DIF_Target.]]-AVERAGE(Tab.o1[DIF_Target.]))/_xlfn.STDEV.P(Tab.o1[DIF_Target.])),"")</f>
        <v/>
      </c>
      <c r="K1190" s="117" t="str">
        <f>IF(Tab.o1[[#This Row],[a1]]=1,IF(J$2=0,Tab.o1[[#This Row],[MOD]]-Tab.o1[[#This Row],[B]],IF(J$2=1,0,-Tab.o1[[#This Row],[MED]])+Tab.o1[[#This Row],[B]]),"")</f>
        <v/>
      </c>
      <c r="L1190" s="117" t="str">
        <f ca="1">IF(Tab.o1[[#This Row],[DIF_Target]]=0,IF(L$2=0,Tab.o1[[#This Row],[DIF_Target]],AVERAGE(OFFSET(Tab.o1[[#This Row],[DIF_Target]],1,0,L$3,1)))/3,Tab.o1[[#This Row],[DIF_Target]])</f>
        <v/>
      </c>
      <c r="M1190" s="118" t="str">
        <f>IF(Tab.o1[[#This Row],[a1]]=1,NORMSDIST(Tab.o1[[#This Row],[Za]]),"")</f>
        <v/>
      </c>
      <c r="N1190" s="119" t="str">
        <f>IF(Tab.o1[[#This Row],[a1]]=1,((Tab.o1[[#This Row],[MedMod]]-AVERAGE(Tab.o1[MedMod]))/_xlfn.STDEV.P(Tab.o1[MedMod])*H$1205)+G$1205,"")</f>
        <v/>
      </c>
      <c r="O1190" s="141" t="str">
        <f>IF(Tab.o1[[#This Row],[a1]]=1,Tab.o1[[#This Row],[Zb]]*_xlfn.STDEV.P(Tab.o1[MedMod])+AVERAGE(Tab.o1[MedMod]),"")</f>
        <v/>
      </c>
      <c r="P1190" s="117" t="str">
        <f ca="1">IF(Tab.o1[[#This Row],[B]]=0,AVERAGE(OFFSET(Tab.o1[[#This Row],[B]],1,0,L$3,1)),Tab.o1[[#This Row],[B]])</f>
        <v/>
      </c>
      <c r="Q1190" s="121" t="str">
        <f>IF(Tab.o1[[#This Row],[a1]]=1,NORMSDIST(Tab.o1[[#This Row],[Zb]]),"")</f>
        <v/>
      </c>
      <c r="R1190" s="122" t="str">
        <f>IF(Tab.o1[[#This Row],[a1]]=1,((Tab.o1[[#This Row],[MedMod]]-AVERAGE(Tab.o1[MedMod]))/_xlfn.STDEV.P(Tab.o1[MedMod])*H$1203)+G$1203,"")</f>
        <v/>
      </c>
      <c r="S1190" s="122" t="str">
        <f>IF(Tab.o1[[#This Row],[a1]]=1,((Tab.o1[[#This Row],[MedMod]]-AVERAGE(Tab.o1[MedMod]))/_xlfn.STDEV.P(Tab.o1[MedMod])*H$1204)+G$1204,"")</f>
        <v/>
      </c>
      <c r="T1190" s="123" t="str">
        <f>IF(Tab.o1[[#This Row],[a1]]=1,Tab.o1[[#This Row],[Z-]]*_xlfn.STDEV.P(Tab.o1[B])+AVERAGE(Tab.o1[B]),"")</f>
        <v/>
      </c>
      <c r="U1190" s="123" t="str">
        <f>IF(Tab.o1[[#This Row],[a1]]=1,Tab.o1[[#This Row],[z+]]*_xlfn.STDEV.P(Tab.o1[B])+AVERAGE(Tab.o1[B]),"")</f>
        <v/>
      </c>
      <c r="V1190" s="124" t="str">
        <f>IF(Tab.o1[[#This Row],[a1]]=1,ABS((ABS(Tab.o1[[#This Row],[Red]]-Tab.o1[[#This Row],[Blue]]))),"")</f>
        <v/>
      </c>
      <c r="W1190" s="125" t="str">
        <f>IF(Tab.o1[[#This Row],[a1]]=1,IF(W$3=0,1,Tab.o1[[#This Row],[Amp.]]*1/_xlfn.MINIFS(Tab.o1[Amp.],Tab.o1[Amp.],"&lt;&gt;0")),"")</f>
        <v/>
      </c>
      <c r="X1190" s="126" t="str">
        <f>IF(Tab.o1[[#This Row],[a1]]=1,IF(ISNUMBER(Tab.o1[[#This Row],[i.]]),NORMDIST(Tab.o1[[#This Row],[Za]],0,1,FALSE)*Tab.o1[[#This Row],[i.]],AP$3),"")</f>
        <v/>
      </c>
      <c r="Y1190" s="126" t="str">
        <f>IF(Tab.o1[[#This Row],[a1]]=1,0.01+0.94*Tab.o1[[#This Row],[PDF]]/MAX(Tab.o1[PDF]),"")</f>
        <v/>
      </c>
      <c r="Z1190" s="126" t="str">
        <f>IF(Tab.o1[[#This Row],[a1]]=1,0.01+0.94*Tab.o1[[#This Row],[W1_PDF]]/MAX(Tab.o1[W1_PDF]),"")</f>
        <v/>
      </c>
      <c r="AA1190" s="118" t="str">
        <f>IF(Tab.o1[[#This Row],[a1]]=1,ABS([1]!T.in.A[[#This Row],[oo6]]),"")</f>
        <v/>
      </c>
      <c r="AB1190" s="127" t="str">
        <f>IF(Tab.o1[[#This Row],[a1]]=1,IF(AE$3=0,"",IF(AB$3=0,ABS([1]!T.in.A[[#This Row],[oo9]]),ABS(Tab.o1[[#This Row],[DIF_Target.]]*Tab.o1[[#This Row],[W1_PDF]]))),"")</f>
        <v/>
      </c>
      <c r="AC1190" s="127" t="str">
        <f>IF(G$1=1,"",IF(Tab.o1[[#This Row],[a1]]=1,Tab.o1[[#This Row],[Wr]]^2,""))</f>
        <v/>
      </c>
      <c r="AD1190" s="118" t="str">
        <f>IF(Tab.o1[[#This Row],[a1]]=1,IF(AE$3=0,"",Tab.o1[[#This Row],[Wr2]]/SUM(Tab.o1[Wr2])),"")</f>
        <v/>
      </c>
      <c r="AE1190" s="128" t="str">
        <f>IF(Tab.o1[[#This Row],[a1]]=1,[1]!T.in.A[[#This Row],[oo10]],"")</f>
        <v/>
      </c>
      <c r="AF1190" s="118" t="str">
        <f>IF(Tab.o1[[#This Row],[a1]]=1,ABS(Tab.o1[[#This Row],[DIF_Target.]]*Tab.o1[[#This Row],[PDF2]]*Tab.o1[[#This Row],[IN]]),"")</f>
        <v/>
      </c>
      <c r="AG1190" s="129" t="str">
        <f>IF(Tab.o1[[#This Row],[a1]]=1,Tab.o1[[#This Row],[rW]]^2,"")</f>
        <v/>
      </c>
      <c r="AH1190" s="130" t="str">
        <f>IF(Tab.o1[[#This Row],[a1]]=1,IF(AH$3=0,Tab.o1[[#This Row],[rW2]],0.01+0.94*Tab.o1[[#This Row],[rW2]]/SUM(Tab.o1[rW2])),"")</f>
        <v/>
      </c>
      <c r="AI1190" s="128" t="str">
        <f>IF(Tab.o1[[#This Row],[a1]]=1,1/Tab.o1[[#This Row],[PDF]],"")</f>
        <v/>
      </c>
      <c r="AJ1190" s="131" t="str">
        <f>IF(Tab.o1[[#This Row],[a1]]=1,[1]!T_AA[[#This Row],[IN'']]*[1]!T_AA[[#This Row],[Qde'']],"")</f>
        <v/>
      </c>
      <c r="AK1190" s="132" t="str">
        <f>IF(Tab.o1[[#This Row],[a1]]=1,IF(AK$1=1,Tab.o1[[#This Row],[MED]]+Tab.o1[[#This Row],[MOD]]-Tab.o1[[#This Row],[MED]],""),"")</f>
        <v/>
      </c>
      <c r="AL1190" s="133" t="str">
        <f>IF(Tab.o1[[#This Row],[a1]]=1,[1]!T.in.A[[#This Row],[oo16]],"")</f>
        <v/>
      </c>
      <c r="AM1190" s="133" t="str">
        <f>IF(Tab.o1[[#This Row],[a1]]=1,IF(AM$3=1,[1]!T.in.A[[#This Row],[Σo16]],""),"")</f>
        <v/>
      </c>
      <c r="AN1190" s="126" t="str">
        <f>IF(Tab.o1[[#This Row],[a1]]=1,[1]!T.in.A[[#This Row],[Σp5]],"")</f>
        <v/>
      </c>
      <c r="AO1190" s="126" t="str">
        <f>IF(Tab.o1[[#This Row],[a1]]=1,IF(AO$3=1,[1]!T.in.A[[#This Row],[Σp5]],""),"")</f>
        <v/>
      </c>
      <c r="AP1190" s="110" t="str">
        <f>IF(Tab.o1[[#This Row],[a1]]=1,IF(ISNUMBER(Tab.o1[[#This Row],[i.]]),NORMDIST(Tab.o1[[#This Row],[Za]],0,1,FALSE)*Tab.o1[[#This Row],[i.]],0),"")</f>
        <v/>
      </c>
      <c r="AQ1190" s="125" t="str">
        <f>IF(Tab.o1[[#This Row],[a1]]=1,ABS(Tab.o1[[#This Row],[MOD]]-AVERAGE(Tab.o1[MOD])),"")</f>
        <v/>
      </c>
      <c r="AR1190" s="134" t="str">
        <f>IF(Tab.o1[[#This Row],[a1]]=1,Tab.o1[[#This Row],[OBS]]/SUM(Tab.o1[OBS]),"")</f>
        <v/>
      </c>
      <c r="AS1190" s="135" t="str">
        <f>IF(ISNUMBER(Tab.o1[[#This Row],[a1]]),ROW()-4,"")</f>
        <v/>
      </c>
      <c r="AT1190" s="136" t="str">
        <f>Tab.o1[[#This Row],[MOD]]</f>
        <v/>
      </c>
      <c r="AU1190" s="137" t="str">
        <f t="shared" si="73"/>
        <v/>
      </c>
      <c r="AV1190" s="138" t="str">
        <f t="shared" si="74"/>
        <v/>
      </c>
      <c r="AW1190" s="138" t="str">
        <f t="shared" si="75"/>
        <v/>
      </c>
      <c r="AX1190" s="139" t="str">
        <f>[1]!T.in.A[[#This Row],[ID_T_manu]]</f>
        <v/>
      </c>
      <c r="AY1190" s="140" t="str">
        <f>IF(ISNUMBER(Tab.o1[[#This Row],[a1]]),IF(AND(Tab.o1[[#This Row],[a1]]=1,Tab.o1[[#This Row],[b1]]&lt;=AY$4),#REF!,AY1189),"")</f>
        <v/>
      </c>
      <c r="AZ1190" s="25"/>
      <c r="BA1190" s="25"/>
      <c r="BB1190" s="25"/>
      <c r="BC1190" s="25"/>
      <c r="BD1190" s="25"/>
      <c r="BE1190" s="25"/>
      <c r="BF1190" s="25"/>
      <c r="BG1190" s="25"/>
      <c r="BH1190" s="25"/>
      <c r="BI1190" s="25"/>
      <c r="BJ1190" s="25"/>
      <c r="BK1190" s="25"/>
      <c r="BL1190" s="25"/>
      <c r="BM1190" s="25"/>
      <c r="BN1190" s="26"/>
      <c r="BO1190" s="26"/>
      <c r="BP1190" s="26"/>
      <c r="BQ1190" s="26"/>
      <c r="BR1190" s="26"/>
      <c r="BS1190" s="26"/>
      <c r="BT1190" s="26"/>
      <c r="BU1190" s="26"/>
      <c r="BV1190" s="26"/>
      <c r="BW1190" s="26"/>
      <c r="BX1190" s="26"/>
      <c r="BY1190" s="26"/>
      <c r="BZ1190" s="26"/>
      <c r="CA1190" s="26"/>
    </row>
    <row r="1191" spans="1:79" ht="15.75" hidden="1">
      <c r="A1191" s="109">
        <v>-2.0000000000000003E-6</v>
      </c>
      <c r="B1191" s="110">
        <f t="shared" si="72"/>
        <v>1191</v>
      </c>
      <c r="C1191" s="111" t="str">
        <f>IF(C$1=[1]!T.in.A[[#This Row],[oo2]],1,"")</f>
        <v/>
      </c>
      <c r="D1191" s="112" t="str">
        <f>IF(Tab.o1[[#This Row],[a1]]=1,IF(SUM(C1191:C1192)=0,0,IF(SUM(C1190:C1191)=1,1,IF(SUM(C1190:C1192)&gt;1,D1190+1,0))),"")</f>
        <v/>
      </c>
      <c r="E1191" s="113" t="str">
        <f>IF(Tab.o1[[#This Row],[a1]]=1,[1]!T.in.A[[#This Row],[oo1]],"")</f>
        <v/>
      </c>
      <c r="F1191" s="113" t="str">
        <f>IF(Tab.o1[[#This Row],[a1]]=1,[1]!T.in.A[[#This Row],[pp1]],"")</f>
        <v/>
      </c>
      <c r="G1191" s="114" t="str">
        <f>IF(Tab.o1[[#This Row],[a1]]=1,G$2+IF(G$1=1,0,Tab.o1[[#This Row],[.x1]])+[1]!T.in.A[[#This Row],[oo3]],"")</f>
        <v/>
      </c>
      <c r="H1191" s="115" t="str">
        <f>IF(Tab.o1[[#This Row],[a1]]=1,IF(H$2=0,0,IF(G$1=1,0,Tab.o1[[#This Row],[.x1]])+[1]!T.in.A[[#This Row],[oo4]]),"")</f>
        <v/>
      </c>
      <c r="I1191" s="116" t="str">
        <f>IF(Tab.o1[[#This Row],[a1]]=1,IF(J$2=0,Tab.o1[[#This Row],[MED]],Tab.o1[[#This Row],[MOD]]),"")</f>
        <v/>
      </c>
      <c r="J1191" s="116" t="str">
        <f>IF(Tab.o1[[#This Row],[a1]]=1,((Tab.o1[[#This Row],[DIF_Target.]]-AVERAGE(Tab.o1[DIF_Target.]))/_xlfn.STDEV.P(Tab.o1[DIF_Target.])),"")</f>
        <v/>
      </c>
      <c r="K1191" s="117" t="str">
        <f>IF(Tab.o1[[#This Row],[a1]]=1,IF(J$2=0,Tab.o1[[#This Row],[MOD]]-Tab.o1[[#This Row],[B]],IF(J$2=1,0,-Tab.o1[[#This Row],[MED]])+Tab.o1[[#This Row],[B]]),"")</f>
        <v/>
      </c>
      <c r="L1191" s="117" t="str">
        <f ca="1">IF(Tab.o1[[#This Row],[DIF_Target]]=0,IF(L$2=0,Tab.o1[[#This Row],[DIF_Target]],AVERAGE(OFFSET(Tab.o1[[#This Row],[DIF_Target]],1,0,L$3,1)))/3,Tab.o1[[#This Row],[DIF_Target]])</f>
        <v/>
      </c>
      <c r="M1191" s="118" t="str">
        <f>IF(Tab.o1[[#This Row],[a1]]=1,NORMSDIST(Tab.o1[[#This Row],[Za]]),"")</f>
        <v/>
      </c>
      <c r="N1191" s="119" t="str">
        <f>IF(Tab.o1[[#This Row],[a1]]=1,((Tab.o1[[#This Row],[MedMod]]-AVERAGE(Tab.o1[MedMod]))/_xlfn.STDEV.P(Tab.o1[MedMod])*H$1205)+G$1205,"")</f>
        <v/>
      </c>
      <c r="O1191" s="141" t="str">
        <f>IF(Tab.o1[[#This Row],[a1]]=1,Tab.o1[[#This Row],[Zb]]*_xlfn.STDEV.P(Tab.o1[MedMod])+AVERAGE(Tab.o1[MedMod]),"")</f>
        <v/>
      </c>
      <c r="P1191" s="117" t="str">
        <f ca="1">IF(Tab.o1[[#This Row],[B]]=0,AVERAGE(OFFSET(Tab.o1[[#This Row],[B]],1,0,L$3,1)),Tab.o1[[#This Row],[B]])</f>
        <v/>
      </c>
      <c r="Q1191" s="121" t="str">
        <f>IF(Tab.o1[[#This Row],[a1]]=1,NORMSDIST(Tab.o1[[#This Row],[Zb]]),"")</f>
        <v/>
      </c>
      <c r="R1191" s="122" t="str">
        <f>IF(Tab.o1[[#This Row],[a1]]=1,((Tab.o1[[#This Row],[MedMod]]-AVERAGE(Tab.o1[MedMod]))/_xlfn.STDEV.P(Tab.o1[MedMod])*H$1203)+G$1203,"")</f>
        <v/>
      </c>
      <c r="S1191" s="122" t="str">
        <f>IF(Tab.o1[[#This Row],[a1]]=1,((Tab.o1[[#This Row],[MedMod]]-AVERAGE(Tab.o1[MedMod]))/_xlfn.STDEV.P(Tab.o1[MedMod])*H$1204)+G$1204,"")</f>
        <v/>
      </c>
      <c r="T1191" s="123" t="str">
        <f>IF(Tab.o1[[#This Row],[a1]]=1,Tab.o1[[#This Row],[Z-]]*_xlfn.STDEV.P(Tab.o1[B])+AVERAGE(Tab.o1[B]),"")</f>
        <v/>
      </c>
      <c r="U1191" s="123" t="str">
        <f>IF(Tab.o1[[#This Row],[a1]]=1,Tab.o1[[#This Row],[z+]]*_xlfn.STDEV.P(Tab.o1[B])+AVERAGE(Tab.o1[B]),"")</f>
        <v/>
      </c>
      <c r="V1191" s="124" t="str">
        <f>IF(Tab.o1[[#This Row],[a1]]=1,ABS((ABS(Tab.o1[[#This Row],[Red]]-Tab.o1[[#This Row],[Blue]]))),"")</f>
        <v/>
      </c>
      <c r="W1191" s="125" t="str">
        <f>IF(Tab.o1[[#This Row],[a1]]=1,IF(W$3=0,1,Tab.o1[[#This Row],[Amp.]]*1/_xlfn.MINIFS(Tab.o1[Amp.],Tab.o1[Amp.],"&lt;&gt;0")),"")</f>
        <v/>
      </c>
      <c r="X1191" s="126" t="str">
        <f>IF(Tab.o1[[#This Row],[a1]]=1,IF(ISNUMBER(Tab.o1[[#This Row],[i.]]),NORMDIST(Tab.o1[[#This Row],[Za]],0,1,FALSE)*Tab.o1[[#This Row],[i.]],AP$3),"")</f>
        <v/>
      </c>
      <c r="Y1191" s="126" t="str">
        <f>IF(Tab.o1[[#This Row],[a1]]=1,0.01+0.94*Tab.o1[[#This Row],[PDF]]/MAX(Tab.o1[PDF]),"")</f>
        <v/>
      </c>
      <c r="Z1191" s="126" t="str">
        <f>IF(Tab.o1[[#This Row],[a1]]=1,0.01+0.94*Tab.o1[[#This Row],[W1_PDF]]/MAX(Tab.o1[W1_PDF]),"")</f>
        <v/>
      </c>
      <c r="AA1191" s="118" t="str">
        <f>IF(Tab.o1[[#This Row],[a1]]=1,ABS([1]!T.in.A[[#This Row],[oo6]]),"")</f>
        <v/>
      </c>
      <c r="AB1191" s="127" t="str">
        <f>IF(Tab.o1[[#This Row],[a1]]=1,IF(AE$3=0,"",IF(AB$3=0,ABS([1]!T.in.A[[#This Row],[oo9]]),ABS(Tab.o1[[#This Row],[DIF_Target.]]*Tab.o1[[#This Row],[W1_PDF]]))),"")</f>
        <v/>
      </c>
      <c r="AC1191" s="127" t="str">
        <f>IF(G$1=1,"",IF(Tab.o1[[#This Row],[a1]]=1,Tab.o1[[#This Row],[Wr]]^2,""))</f>
        <v/>
      </c>
      <c r="AD1191" s="118" t="str">
        <f>IF(Tab.o1[[#This Row],[a1]]=1,IF(AE$3=0,"",Tab.o1[[#This Row],[Wr2]]/SUM(Tab.o1[Wr2])),"")</f>
        <v/>
      </c>
      <c r="AE1191" s="128" t="str">
        <f>IF(Tab.o1[[#This Row],[a1]]=1,[1]!T.in.A[[#This Row],[oo10]],"")</f>
        <v/>
      </c>
      <c r="AF1191" s="118" t="str">
        <f>IF(Tab.o1[[#This Row],[a1]]=1,ABS(Tab.o1[[#This Row],[DIF_Target.]]*Tab.o1[[#This Row],[PDF2]]*Tab.o1[[#This Row],[IN]]),"")</f>
        <v/>
      </c>
      <c r="AG1191" s="129" t="str">
        <f>IF(Tab.o1[[#This Row],[a1]]=1,Tab.o1[[#This Row],[rW]]^2,"")</f>
        <v/>
      </c>
      <c r="AH1191" s="130" t="str">
        <f>IF(Tab.o1[[#This Row],[a1]]=1,IF(AH$3=0,Tab.o1[[#This Row],[rW2]],0.01+0.94*Tab.o1[[#This Row],[rW2]]/SUM(Tab.o1[rW2])),"")</f>
        <v/>
      </c>
      <c r="AI1191" s="128" t="str">
        <f>IF(Tab.o1[[#This Row],[a1]]=1,1/Tab.o1[[#This Row],[PDF]],"")</f>
        <v/>
      </c>
      <c r="AJ1191" s="131" t="str">
        <f>IF(Tab.o1[[#This Row],[a1]]=1,[1]!T_AA[[#This Row],[IN'']]*[1]!T_AA[[#This Row],[Qde'']],"")</f>
        <v/>
      </c>
      <c r="AK1191" s="132" t="str">
        <f>IF(Tab.o1[[#This Row],[a1]]=1,IF(AK$1=1,Tab.o1[[#This Row],[MED]]+Tab.o1[[#This Row],[MOD]]-Tab.o1[[#This Row],[MED]],""),"")</f>
        <v/>
      </c>
      <c r="AL1191" s="133" t="str">
        <f>IF(Tab.o1[[#This Row],[a1]]=1,[1]!T.in.A[[#This Row],[oo16]],"")</f>
        <v/>
      </c>
      <c r="AM1191" s="133" t="str">
        <f>IF(Tab.o1[[#This Row],[a1]]=1,IF(AM$3=1,[1]!T.in.A[[#This Row],[Σo16]],""),"")</f>
        <v/>
      </c>
      <c r="AN1191" s="126" t="str">
        <f>IF(Tab.o1[[#This Row],[a1]]=1,[1]!T.in.A[[#This Row],[Σp5]],"")</f>
        <v/>
      </c>
      <c r="AO1191" s="126" t="str">
        <f>IF(Tab.o1[[#This Row],[a1]]=1,IF(AO$3=1,[1]!T.in.A[[#This Row],[Σp5]],""),"")</f>
        <v/>
      </c>
      <c r="AP1191" s="110" t="str">
        <f>IF(Tab.o1[[#This Row],[a1]]=1,IF(ISNUMBER(Tab.o1[[#This Row],[i.]]),NORMDIST(Tab.o1[[#This Row],[Za]],0,1,FALSE)*Tab.o1[[#This Row],[i.]],0),"")</f>
        <v/>
      </c>
      <c r="AQ1191" s="125" t="str">
        <f>IF(Tab.o1[[#This Row],[a1]]=1,ABS(Tab.o1[[#This Row],[MOD]]-AVERAGE(Tab.o1[MOD])),"")</f>
        <v/>
      </c>
      <c r="AR1191" s="134" t="str">
        <f>IF(Tab.o1[[#This Row],[a1]]=1,Tab.o1[[#This Row],[OBS]]/SUM(Tab.o1[OBS]),"")</f>
        <v/>
      </c>
      <c r="AS1191" s="135" t="str">
        <f>IF(ISNUMBER(Tab.o1[[#This Row],[a1]]),ROW()-4,"")</f>
        <v/>
      </c>
      <c r="AT1191" s="136" t="str">
        <f>Tab.o1[[#This Row],[MOD]]</f>
        <v/>
      </c>
      <c r="AU1191" s="137" t="str">
        <f t="shared" si="73"/>
        <v/>
      </c>
      <c r="AV1191" s="138" t="str">
        <f t="shared" si="74"/>
        <v/>
      </c>
      <c r="AW1191" s="138" t="str">
        <f t="shared" si="75"/>
        <v/>
      </c>
      <c r="AX1191" s="139" t="str">
        <f>[1]!T.in.A[[#This Row],[ID_T_manu]]</f>
        <v/>
      </c>
      <c r="AY1191" s="140" t="str">
        <f>IF(ISNUMBER(Tab.o1[[#This Row],[a1]]),IF(AND(Tab.o1[[#This Row],[a1]]=1,Tab.o1[[#This Row],[b1]]&lt;=AY$4),#REF!,AY1190),"")</f>
        <v/>
      </c>
      <c r="AZ1191" s="25"/>
      <c r="BA1191" s="25"/>
      <c r="BB1191" s="25"/>
      <c r="BC1191" s="25"/>
      <c r="BD1191" s="25"/>
      <c r="BE1191" s="25"/>
      <c r="BF1191" s="25"/>
      <c r="BG1191" s="25"/>
      <c r="BH1191" s="25"/>
      <c r="BI1191" s="25"/>
      <c r="BJ1191" s="25"/>
      <c r="BK1191" s="25"/>
      <c r="BL1191" s="25"/>
      <c r="BM1191" s="25"/>
      <c r="BN1191" s="26"/>
      <c r="BO1191" s="26"/>
      <c r="BP1191" s="26"/>
      <c r="BQ1191" s="26"/>
      <c r="BR1191" s="26"/>
      <c r="BS1191" s="26"/>
      <c r="BT1191" s="26"/>
      <c r="BU1191" s="26"/>
      <c r="BV1191" s="26"/>
      <c r="BW1191" s="26"/>
      <c r="BX1191" s="26"/>
      <c r="BY1191" s="26"/>
      <c r="BZ1191" s="26"/>
      <c r="CA1191" s="26"/>
    </row>
    <row r="1192" spans="1:79" ht="15.75" hidden="1">
      <c r="A1192" s="109">
        <v>5.0000000000000004E-6</v>
      </c>
      <c r="B1192" s="110">
        <f t="shared" si="72"/>
        <v>1192</v>
      </c>
      <c r="C1192" s="111" t="str">
        <f>IF(C$1=[1]!T.in.A[[#This Row],[oo2]],1,"")</f>
        <v/>
      </c>
      <c r="D1192" s="112" t="str">
        <f>IF(Tab.o1[[#This Row],[a1]]=1,IF(SUM(C1192:C1193)=0,0,IF(SUM(C1191:C1192)=1,1,IF(SUM(C1191:C1193)&gt;1,D1191+1,0))),"")</f>
        <v/>
      </c>
      <c r="E1192" s="113" t="str">
        <f>IF(Tab.o1[[#This Row],[a1]]=1,[1]!T.in.A[[#This Row],[oo1]],"")</f>
        <v/>
      </c>
      <c r="F1192" s="113" t="str">
        <f>IF(Tab.o1[[#This Row],[a1]]=1,[1]!T.in.A[[#This Row],[pp1]],"")</f>
        <v/>
      </c>
      <c r="G1192" s="114" t="str">
        <f>IF(Tab.o1[[#This Row],[a1]]=1,G$2+IF(G$1=1,0,Tab.o1[[#This Row],[.x1]])+[1]!T.in.A[[#This Row],[oo3]],"")</f>
        <v/>
      </c>
      <c r="H1192" s="115" t="str">
        <f>IF(Tab.o1[[#This Row],[a1]]=1,IF(H$2=0,0,IF(G$1=1,0,Tab.o1[[#This Row],[.x1]])+[1]!T.in.A[[#This Row],[oo4]]),"")</f>
        <v/>
      </c>
      <c r="I1192" s="116" t="str">
        <f>IF(Tab.o1[[#This Row],[a1]]=1,IF(J$2=0,Tab.o1[[#This Row],[MED]],Tab.o1[[#This Row],[MOD]]),"")</f>
        <v/>
      </c>
      <c r="J1192" s="116" t="str">
        <f>IF(Tab.o1[[#This Row],[a1]]=1,((Tab.o1[[#This Row],[DIF_Target.]]-AVERAGE(Tab.o1[DIF_Target.]))/_xlfn.STDEV.P(Tab.o1[DIF_Target.])),"")</f>
        <v/>
      </c>
      <c r="K1192" s="117" t="str">
        <f>IF(Tab.o1[[#This Row],[a1]]=1,IF(J$2=0,Tab.o1[[#This Row],[MOD]]-Tab.o1[[#This Row],[B]],IF(J$2=1,0,-Tab.o1[[#This Row],[MED]])+Tab.o1[[#This Row],[B]]),"")</f>
        <v/>
      </c>
      <c r="L1192" s="117" t="str">
        <f ca="1">IF(Tab.o1[[#This Row],[DIF_Target]]=0,IF(L$2=0,Tab.o1[[#This Row],[DIF_Target]],AVERAGE(OFFSET(Tab.o1[[#This Row],[DIF_Target]],1,0,L$3,1)))/3,Tab.o1[[#This Row],[DIF_Target]])</f>
        <v/>
      </c>
      <c r="M1192" s="118" t="str">
        <f>IF(Tab.o1[[#This Row],[a1]]=1,NORMSDIST(Tab.o1[[#This Row],[Za]]),"")</f>
        <v/>
      </c>
      <c r="N1192" s="119" t="str">
        <f>IF(Tab.o1[[#This Row],[a1]]=1,((Tab.o1[[#This Row],[MedMod]]-AVERAGE(Tab.o1[MedMod]))/_xlfn.STDEV.P(Tab.o1[MedMod])*H$1205)+G$1205,"")</f>
        <v/>
      </c>
      <c r="O1192" s="141" t="str">
        <f>IF(Tab.o1[[#This Row],[a1]]=1,Tab.o1[[#This Row],[Zb]]*_xlfn.STDEV.P(Tab.o1[MedMod])+AVERAGE(Tab.o1[MedMod]),"")</f>
        <v/>
      </c>
      <c r="P1192" s="117" t="str">
        <f ca="1">IF(Tab.o1[[#This Row],[B]]=0,AVERAGE(OFFSET(Tab.o1[[#This Row],[B]],1,0,L$3,1)),Tab.o1[[#This Row],[B]])</f>
        <v/>
      </c>
      <c r="Q1192" s="121" t="str">
        <f>IF(Tab.o1[[#This Row],[a1]]=1,NORMSDIST(Tab.o1[[#This Row],[Zb]]),"")</f>
        <v/>
      </c>
      <c r="R1192" s="122" t="str">
        <f>IF(Tab.o1[[#This Row],[a1]]=1,((Tab.o1[[#This Row],[MedMod]]-AVERAGE(Tab.o1[MedMod]))/_xlfn.STDEV.P(Tab.o1[MedMod])*H$1203)+G$1203,"")</f>
        <v/>
      </c>
      <c r="S1192" s="122" t="str">
        <f>IF(Tab.o1[[#This Row],[a1]]=1,((Tab.o1[[#This Row],[MedMod]]-AVERAGE(Tab.o1[MedMod]))/_xlfn.STDEV.P(Tab.o1[MedMod])*H$1204)+G$1204,"")</f>
        <v/>
      </c>
      <c r="T1192" s="123" t="str">
        <f>IF(Tab.o1[[#This Row],[a1]]=1,Tab.o1[[#This Row],[Z-]]*_xlfn.STDEV.P(Tab.o1[B])+AVERAGE(Tab.o1[B]),"")</f>
        <v/>
      </c>
      <c r="U1192" s="123" t="str">
        <f>IF(Tab.o1[[#This Row],[a1]]=1,Tab.o1[[#This Row],[z+]]*_xlfn.STDEV.P(Tab.o1[B])+AVERAGE(Tab.o1[B]),"")</f>
        <v/>
      </c>
      <c r="V1192" s="124" t="str">
        <f>IF(Tab.o1[[#This Row],[a1]]=1,ABS((ABS(Tab.o1[[#This Row],[Red]]-Tab.o1[[#This Row],[Blue]]))),"")</f>
        <v/>
      </c>
      <c r="W1192" s="125" t="str">
        <f>IF(Tab.o1[[#This Row],[a1]]=1,IF(W$3=0,1,Tab.o1[[#This Row],[Amp.]]*1/_xlfn.MINIFS(Tab.o1[Amp.],Tab.o1[Amp.],"&lt;&gt;0")),"")</f>
        <v/>
      </c>
      <c r="X1192" s="126" t="str">
        <f>IF(Tab.o1[[#This Row],[a1]]=1,IF(ISNUMBER(Tab.o1[[#This Row],[i.]]),NORMDIST(Tab.o1[[#This Row],[Za]],0,1,FALSE)*Tab.o1[[#This Row],[i.]],AP$3),"")</f>
        <v/>
      </c>
      <c r="Y1192" s="126" t="str">
        <f>IF(Tab.o1[[#This Row],[a1]]=1,0.01+0.94*Tab.o1[[#This Row],[PDF]]/MAX(Tab.o1[PDF]),"")</f>
        <v/>
      </c>
      <c r="Z1192" s="126" t="str">
        <f>IF(Tab.o1[[#This Row],[a1]]=1,0.01+0.94*Tab.o1[[#This Row],[W1_PDF]]/MAX(Tab.o1[W1_PDF]),"")</f>
        <v/>
      </c>
      <c r="AA1192" s="118" t="str">
        <f>IF(Tab.o1[[#This Row],[a1]]=1,ABS([1]!T.in.A[[#This Row],[oo6]]),"")</f>
        <v/>
      </c>
      <c r="AB1192" s="127" t="str">
        <f>IF(Tab.o1[[#This Row],[a1]]=1,IF(AE$3=0,"",IF(AB$3=0,ABS([1]!T.in.A[[#This Row],[oo9]]),ABS(Tab.o1[[#This Row],[DIF_Target.]]*Tab.o1[[#This Row],[W1_PDF]]))),"")</f>
        <v/>
      </c>
      <c r="AC1192" s="127" t="str">
        <f>IF(G$1=1,"",IF(Tab.o1[[#This Row],[a1]]=1,Tab.o1[[#This Row],[Wr]]^2,""))</f>
        <v/>
      </c>
      <c r="AD1192" s="118" t="str">
        <f>IF(Tab.o1[[#This Row],[a1]]=1,IF(AE$3=0,"",Tab.o1[[#This Row],[Wr2]]/SUM(Tab.o1[Wr2])),"")</f>
        <v/>
      </c>
      <c r="AE1192" s="128" t="str">
        <f>IF(Tab.o1[[#This Row],[a1]]=1,[1]!T.in.A[[#This Row],[oo10]],"")</f>
        <v/>
      </c>
      <c r="AF1192" s="118" t="str">
        <f>IF(Tab.o1[[#This Row],[a1]]=1,ABS(Tab.o1[[#This Row],[DIF_Target.]]*Tab.o1[[#This Row],[PDF2]]*Tab.o1[[#This Row],[IN]]),"")</f>
        <v/>
      </c>
      <c r="AG1192" s="129" t="str">
        <f>IF(Tab.o1[[#This Row],[a1]]=1,Tab.o1[[#This Row],[rW]]^2,"")</f>
        <v/>
      </c>
      <c r="AH1192" s="130" t="str">
        <f>IF(Tab.o1[[#This Row],[a1]]=1,IF(AH$3=0,Tab.o1[[#This Row],[rW2]],0.01+0.94*Tab.o1[[#This Row],[rW2]]/SUM(Tab.o1[rW2])),"")</f>
        <v/>
      </c>
      <c r="AI1192" s="128" t="str">
        <f>IF(Tab.o1[[#This Row],[a1]]=1,1/Tab.o1[[#This Row],[PDF]],"")</f>
        <v/>
      </c>
      <c r="AJ1192" s="131" t="str">
        <f>IF(Tab.o1[[#This Row],[a1]]=1,[1]!T_AA[[#This Row],[IN'']]*[1]!T_AA[[#This Row],[Qde'']],"")</f>
        <v/>
      </c>
      <c r="AK1192" s="132" t="str">
        <f>IF(Tab.o1[[#This Row],[a1]]=1,IF(AK$1=1,Tab.o1[[#This Row],[MED]]+Tab.o1[[#This Row],[MOD]]-Tab.o1[[#This Row],[MED]],""),"")</f>
        <v/>
      </c>
      <c r="AL1192" s="133" t="str">
        <f>IF(Tab.o1[[#This Row],[a1]]=1,[1]!T.in.A[[#This Row],[oo16]],"")</f>
        <v/>
      </c>
      <c r="AM1192" s="133" t="str">
        <f>IF(Tab.o1[[#This Row],[a1]]=1,IF(AM$3=1,[1]!T.in.A[[#This Row],[Σo16]],""),"")</f>
        <v/>
      </c>
      <c r="AN1192" s="126" t="str">
        <f>IF(Tab.o1[[#This Row],[a1]]=1,[1]!T.in.A[[#This Row],[Σp5]],"")</f>
        <v/>
      </c>
      <c r="AO1192" s="126" t="str">
        <f>IF(Tab.o1[[#This Row],[a1]]=1,IF(AO$3=1,[1]!T.in.A[[#This Row],[Σp5]],""),"")</f>
        <v/>
      </c>
      <c r="AP1192" s="110" t="str">
        <f>IF(Tab.o1[[#This Row],[a1]]=1,IF(ISNUMBER(Tab.o1[[#This Row],[i.]]),NORMDIST(Tab.o1[[#This Row],[Za]],0,1,FALSE)*Tab.o1[[#This Row],[i.]],0),"")</f>
        <v/>
      </c>
      <c r="AQ1192" s="125" t="str">
        <f>IF(Tab.o1[[#This Row],[a1]]=1,ABS(Tab.o1[[#This Row],[MOD]]-AVERAGE(Tab.o1[MOD])),"")</f>
        <v/>
      </c>
      <c r="AR1192" s="134" t="str">
        <f>IF(Tab.o1[[#This Row],[a1]]=1,Tab.o1[[#This Row],[OBS]]/SUM(Tab.o1[OBS]),"")</f>
        <v/>
      </c>
      <c r="AS1192" s="135" t="str">
        <f>IF(ISNUMBER(Tab.o1[[#This Row],[a1]]),ROW()-4,"")</f>
        <v/>
      </c>
      <c r="AT1192" s="136" t="str">
        <f>Tab.o1[[#This Row],[MOD]]</f>
        <v/>
      </c>
      <c r="AU1192" s="137" t="str">
        <f t="shared" si="73"/>
        <v/>
      </c>
      <c r="AV1192" s="138" t="str">
        <f t="shared" si="74"/>
        <v/>
      </c>
      <c r="AW1192" s="138" t="str">
        <f t="shared" si="75"/>
        <v/>
      </c>
      <c r="AX1192" s="139" t="str">
        <f>[1]!T.in.A[[#This Row],[ID_T_manu]]</f>
        <v/>
      </c>
      <c r="AY1192" s="140" t="str">
        <f>IF(ISNUMBER(Tab.o1[[#This Row],[a1]]),IF(AND(Tab.o1[[#This Row],[a1]]=1,Tab.o1[[#This Row],[b1]]&lt;=AY$4),#REF!,AY1191),"")</f>
        <v/>
      </c>
      <c r="AZ1192" s="25"/>
      <c r="BA1192" s="25"/>
      <c r="BB1192" s="25"/>
      <c r="BC1192" s="25"/>
      <c r="BD1192" s="25"/>
      <c r="BE1192" s="25"/>
      <c r="BF1192" s="25"/>
      <c r="BG1192" s="25"/>
      <c r="BH1192" s="25"/>
      <c r="BI1192" s="25"/>
      <c r="BJ1192" s="25"/>
      <c r="BK1192" s="25"/>
      <c r="BL1192" s="25"/>
      <c r="BM1192" s="25"/>
      <c r="BN1192" s="26"/>
      <c r="BO1192" s="26"/>
      <c r="BP1192" s="26"/>
      <c r="BQ1192" s="26"/>
      <c r="BR1192" s="26"/>
      <c r="BS1192" s="26"/>
      <c r="BT1192" s="26"/>
      <c r="BU1192" s="26"/>
      <c r="BV1192" s="26"/>
      <c r="BW1192" s="26"/>
      <c r="BX1192" s="26"/>
      <c r="BY1192" s="26"/>
      <c r="BZ1192" s="26"/>
      <c r="CA1192" s="26"/>
    </row>
    <row r="1193" spans="1:79" ht="15.75" hidden="1">
      <c r="A1193" s="109">
        <v>9.0000000000000002E-6</v>
      </c>
      <c r="B1193" s="110">
        <f t="shared" si="72"/>
        <v>1193</v>
      </c>
      <c r="C1193" s="111" t="str">
        <f>IF(C$1=[1]!T.in.A[[#This Row],[oo2]],1,"")</f>
        <v/>
      </c>
      <c r="D1193" s="112" t="str">
        <f>IF(Tab.o1[[#This Row],[a1]]=1,IF(SUM(C1193:C1194)=0,0,IF(SUM(C1192:C1193)=1,1,IF(SUM(C1192:C1194)&gt;1,D1192+1,0))),"")</f>
        <v/>
      </c>
      <c r="E1193" s="113" t="str">
        <f>IF(Tab.o1[[#This Row],[a1]]=1,[1]!T.in.A[[#This Row],[oo1]],"")</f>
        <v/>
      </c>
      <c r="F1193" s="113" t="str">
        <f>IF(Tab.o1[[#This Row],[a1]]=1,[1]!T.in.A[[#This Row],[pp1]],"")</f>
        <v/>
      </c>
      <c r="G1193" s="114" t="str">
        <f>IF(Tab.o1[[#This Row],[a1]]=1,G$2+IF(G$1=1,0,Tab.o1[[#This Row],[.x1]])+[1]!T.in.A[[#This Row],[oo3]],"")</f>
        <v/>
      </c>
      <c r="H1193" s="115" t="str">
        <f>IF(Tab.o1[[#This Row],[a1]]=1,IF(H$2=0,0,IF(G$1=1,0,Tab.o1[[#This Row],[.x1]])+[1]!T.in.A[[#This Row],[oo4]]),"")</f>
        <v/>
      </c>
      <c r="I1193" s="116" t="str">
        <f>IF(Tab.o1[[#This Row],[a1]]=1,IF(J$2=0,Tab.o1[[#This Row],[MED]],Tab.o1[[#This Row],[MOD]]),"")</f>
        <v/>
      </c>
      <c r="J1193" s="116" t="str">
        <f>IF(Tab.o1[[#This Row],[a1]]=1,((Tab.o1[[#This Row],[DIF_Target.]]-AVERAGE(Tab.o1[DIF_Target.]))/_xlfn.STDEV.P(Tab.o1[DIF_Target.])),"")</f>
        <v/>
      </c>
      <c r="K1193" s="117" t="str">
        <f>IF(Tab.o1[[#This Row],[a1]]=1,IF(J$2=0,Tab.o1[[#This Row],[MOD]]-Tab.o1[[#This Row],[B]],IF(J$2=1,0,-Tab.o1[[#This Row],[MED]])+Tab.o1[[#This Row],[B]]),"")</f>
        <v/>
      </c>
      <c r="L1193" s="117" t="str">
        <f ca="1">IF(Tab.o1[[#This Row],[DIF_Target]]=0,IF(L$2=0,Tab.o1[[#This Row],[DIF_Target]],AVERAGE(OFFSET(Tab.o1[[#This Row],[DIF_Target]],1,0,L$3,1)))/3,Tab.o1[[#This Row],[DIF_Target]])</f>
        <v/>
      </c>
      <c r="M1193" s="118" t="str">
        <f>IF(Tab.o1[[#This Row],[a1]]=1,NORMSDIST(Tab.o1[[#This Row],[Za]]),"")</f>
        <v/>
      </c>
      <c r="N1193" s="119" t="str">
        <f>IF(Tab.o1[[#This Row],[a1]]=1,((Tab.o1[[#This Row],[MedMod]]-AVERAGE(Tab.o1[MedMod]))/_xlfn.STDEV.P(Tab.o1[MedMod])*H$1205)+G$1205,"")</f>
        <v/>
      </c>
      <c r="O1193" s="141" t="str">
        <f>IF(Tab.o1[[#This Row],[a1]]=1,Tab.o1[[#This Row],[Zb]]*_xlfn.STDEV.P(Tab.o1[MedMod])+AVERAGE(Tab.o1[MedMod]),"")</f>
        <v/>
      </c>
      <c r="P1193" s="117" t="str">
        <f ca="1">IF(Tab.o1[[#This Row],[B]]=0,AVERAGE(OFFSET(Tab.o1[[#This Row],[B]],1,0,L$3,1)),Tab.o1[[#This Row],[B]])</f>
        <v/>
      </c>
      <c r="Q1193" s="121" t="str">
        <f>IF(Tab.o1[[#This Row],[a1]]=1,NORMSDIST(Tab.o1[[#This Row],[Zb]]),"")</f>
        <v/>
      </c>
      <c r="R1193" s="122" t="str">
        <f>IF(Tab.o1[[#This Row],[a1]]=1,((Tab.o1[[#This Row],[MedMod]]-AVERAGE(Tab.o1[MedMod]))/_xlfn.STDEV.P(Tab.o1[MedMod])*H$1203)+G$1203,"")</f>
        <v/>
      </c>
      <c r="S1193" s="122" t="str">
        <f>IF(Tab.o1[[#This Row],[a1]]=1,((Tab.o1[[#This Row],[MedMod]]-AVERAGE(Tab.o1[MedMod]))/_xlfn.STDEV.P(Tab.o1[MedMod])*H$1204)+G$1204,"")</f>
        <v/>
      </c>
      <c r="T1193" s="123" t="str">
        <f>IF(Tab.o1[[#This Row],[a1]]=1,Tab.o1[[#This Row],[Z-]]*_xlfn.STDEV.P(Tab.o1[B])+AVERAGE(Tab.o1[B]),"")</f>
        <v/>
      </c>
      <c r="U1193" s="123" t="str">
        <f>IF(Tab.o1[[#This Row],[a1]]=1,Tab.o1[[#This Row],[z+]]*_xlfn.STDEV.P(Tab.o1[B])+AVERAGE(Tab.o1[B]),"")</f>
        <v/>
      </c>
      <c r="V1193" s="124" t="str">
        <f>IF(Tab.o1[[#This Row],[a1]]=1,ABS((ABS(Tab.o1[[#This Row],[Red]]-Tab.o1[[#This Row],[Blue]]))),"")</f>
        <v/>
      </c>
      <c r="W1193" s="125" t="str">
        <f>IF(Tab.o1[[#This Row],[a1]]=1,IF(W$3=0,1,Tab.o1[[#This Row],[Amp.]]*1/_xlfn.MINIFS(Tab.o1[Amp.],Tab.o1[Amp.],"&lt;&gt;0")),"")</f>
        <v/>
      </c>
      <c r="X1193" s="126" t="str">
        <f>IF(Tab.o1[[#This Row],[a1]]=1,IF(ISNUMBER(Tab.o1[[#This Row],[i.]]),NORMDIST(Tab.o1[[#This Row],[Za]],0,1,FALSE)*Tab.o1[[#This Row],[i.]],AP$3),"")</f>
        <v/>
      </c>
      <c r="Y1193" s="126" t="str">
        <f>IF(Tab.o1[[#This Row],[a1]]=1,0.01+0.94*Tab.o1[[#This Row],[PDF]]/MAX(Tab.o1[PDF]),"")</f>
        <v/>
      </c>
      <c r="Z1193" s="126" t="str">
        <f>IF(Tab.o1[[#This Row],[a1]]=1,0.01+0.94*Tab.o1[[#This Row],[W1_PDF]]/MAX(Tab.o1[W1_PDF]),"")</f>
        <v/>
      </c>
      <c r="AA1193" s="118" t="str">
        <f>IF(Tab.o1[[#This Row],[a1]]=1,ABS([1]!T.in.A[[#This Row],[oo6]]),"")</f>
        <v/>
      </c>
      <c r="AB1193" s="127" t="str">
        <f>IF(Tab.o1[[#This Row],[a1]]=1,IF(AE$3=0,"",IF(AB$3=0,ABS([1]!T.in.A[[#This Row],[oo9]]),ABS(Tab.o1[[#This Row],[DIF_Target.]]*Tab.o1[[#This Row],[W1_PDF]]))),"")</f>
        <v/>
      </c>
      <c r="AC1193" s="127" t="str">
        <f>IF(G$1=1,"",IF(Tab.o1[[#This Row],[a1]]=1,Tab.o1[[#This Row],[Wr]]^2,""))</f>
        <v/>
      </c>
      <c r="AD1193" s="118" t="str">
        <f>IF(Tab.o1[[#This Row],[a1]]=1,IF(AE$3=0,"",Tab.o1[[#This Row],[Wr2]]/SUM(Tab.o1[Wr2])),"")</f>
        <v/>
      </c>
      <c r="AE1193" s="128" t="str">
        <f>IF(Tab.o1[[#This Row],[a1]]=1,[1]!T.in.A[[#This Row],[oo10]],"")</f>
        <v/>
      </c>
      <c r="AF1193" s="118" t="str">
        <f>IF(Tab.o1[[#This Row],[a1]]=1,ABS(Tab.o1[[#This Row],[DIF_Target.]]*Tab.o1[[#This Row],[PDF2]]*Tab.o1[[#This Row],[IN]]),"")</f>
        <v/>
      </c>
      <c r="AG1193" s="129" t="str">
        <f>IF(Tab.o1[[#This Row],[a1]]=1,Tab.o1[[#This Row],[rW]]^2,"")</f>
        <v/>
      </c>
      <c r="AH1193" s="130" t="str">
        <f>IF(Tab.o1[[#This Row],[a1]]=1,IF(AH$3=0,Tab.o1[[#This Row],[rW2]],0.01+0.94*Tab.o1[[#This Row],[rW2]]/SUM(Tab.o1[rW2])),"")</f>
        <v/>
      </c>
      <c r="AI1193" s="128" t="str">
        <f>IF(Tab.o1[[#This Row],[a1]]=1,1/Tab.o1[[#This Row],[PDF]],"")</f>
        <v/>
      </c>
      <c r="AJ1193" s="131" t="str">
        <f>IF(Tab.o1[[#This Row],[a1]]=1,[1]!T_AA[[#This Row],[IN'']]*[1]!T_AA[[#This Row],[Qde'']],"")</f>
        <v/>
      </c>
      <c r="AK1193" s="132" t="str">
        <f>IF(Tab.o1[[#This Row],[a1]]=1,IF(AK$1=1,Tab.o1[[#This Row],[MED]]+Tab.o1[[#This Row],[MOD]]-Tab.o1[[#This Row],[MED]],""),"")</f>
        <v/>
      </c>
      <c r="AL1193" s="133" t="str">
        <f>IF(Tab.o1[[#This Row],[a1]]=1,[1]!T.in.A[[#This Row],[oo16]],"")</f>
        <v/>
      </c>
      <c r="AM1193" s="133" t="str">
        <f>IF(Tab.o1[[#This Row],[a1]]=1,IF(AM$3=1,[1]!T.in.A[[#This Row],[Σo16]],""),"")</f>
        <v/>
      </c>
      <c r="AN1193" s="126" t="str">
        <f>IF(Tab.o1[[#This Row],[a1]]=1,[1]!T.in.A[[#This Row],[Σp5]],"")</f>
        <v/>
      </c>
      <c r="AO1193" s="126" t="str">
        <f>IF(Tab.o1[[#This Row],[a1]]=1,IF(AO$3=1,[1]!T.in.A[[#This Row],[Σp5]],""),"")</f>
        <v/>
      </c>
      <c r="AP1193" s="110" t="str">
        <f>IF(Tab.o1[[#This Row],[a1]]=1,IF(ISNUMBER(Tab.o1[[#This Row],[i.]]),NORMDIST(Tab.o1[[#This Row],[Za]],0,1,FALSE)*Tab.o1[[#This Row],[i.]],0),"")</f>
        <v/>
      </c>
      <c r="AQ1193" s="125" t="str">
        <f>IF(Tab.o1[[#This Row],[a1]]=1,ABS(Tab.o1[[#This Row],[MOD]]-AVERAGE(Tab.o1[MOD])),"")</f>
        <v/>
      </c>
      <c r="AR1193" s="134" t="str">
        <f>IF(Tab.o1[[#This Row],[a1]]=1,Tab.o1[[#This Row],[OBS]]/SUM(Tab.o1[OBS]),"")</f>
        <v/>
      </c>
      <c r="AS1193" s="135" t="str">
        <f>IF(ISNUMBER(Tab.o1[[#This Row],[a1]]),ROW()-4,"")</f>
        <v/>
      </c>
      <c r="AT1193" s="136" t="str">
        <f>Tab.o1[[#This Row],[MOD]]</f>
        <v/>
      </c>
      <c r="AU1193" s="137" t="str">
        <f t="shared" si="73"/>
        <v/>
      </c>
      <c r="AV1193" s="138" t="str">
        <f t="shared" si="74"/>
        <v/>
      </c>
      <c r="AW1193" s="138" t="str">
        <f t="shared" si="75"/>
        <v/>
      </c>
      <c r="AX1193" s="139" t="str">
        <f>[1]!T.in.A[[#This Row],[ID_T_manu]]</f>
        <v/>
      </c>
      <c r="AY1193" s="140" t="str">
        <f>IF(ISNUMBER(Tab.o1[[#This Row],[a1]]),IF(AND(Tab.o1[[#This Row],[a1]]=1,Tab.o1[[#This Row],[b1]]&lt;=AY$4),#REF!,AY1192),"")</f>
        <v/>
      </c>
      <c r="AZ1193" s="25"/>
      <c r="BA1193" s="25"/>
      <c r="BB1193" s="25"/>
      <c r="BC1193" s="25"/>
      <c r="BD1193" s="25"/>
      <c r="BE1193" s="25"/>
      <c r="BF1193" s="25"/>
      <c r="BG1193" s="25"/>
      <c r="BH1193" s="25"/>
      <c r="BI1193" s="25"/>
      <c r="BJ1193" s="25"/>
      <c r="BK1193" s="25"/>
      <c r="BL1193" s="25"/>
      <c r="BM1193" s="25"/>
      <c r="BN1193" s="26"/>
      <c r="BO1193" s="26"/>
      <c r="BP1193" s="26"/>
      <c r="BQ1193" s="26"/>
      <c r="BR1193" s="26"/>
      <c r="BS1193" s="26"/>
      <c r="BT1193" s="26"/>
      <c r="BU1193" s="26"/>
      <c r="BV1193" s="26"/>
      <c r="BW1193" s="26"/>
      <c r="BX1193" s="26"/>
      <c r="BY1193" s="26"/>
      <c r="BZ1193" s="26"/>
      <c r="CA1193" s="26"/>
    </row>
    <row r="1194" spans="1:79" ht="15.75" hidden="1">
      <c r="A1194" s="109">
        <v>9.0000000000000002E-6</v>
      </c>
      <c r="B1194" s="110">
        <f t="shared" si="72"/>
        <v>1194</v>
      </c>
      <c r="C1194" s="111" t="str">
        <f>IF(C$1=[1]!T.in.A[[#This Row],[oo2]],1,"")</f>
        <v/>
      </c>
      <c r="D1194" s="112" t="str">
        <f>IF(Tab.o1[[#This Row],[a1]]=1,IF(SUM(C1194:C1195)=0,0,IF(SUM(C1193:C1194)=1,1,IF(SUM(C1193:C1195)&gt;1,D1193+1,0))),"")</f>
        <v/>
      </c>
      <c r="E1194" s="113" t="str">
        <f>IF(Tab.o1[[#This Row],[a1]]=1,[1]!T.in.A[[#This Row],[oo1]],"")</f>
        <v/>
      </c>
      <c r="F1194" s="113" t="str">
        <f>IF(Tab.o1[[#This Row],[a1]]=1,[1]!T.in.A[[#This Row],[pp1]],"")</f>
        <v/>
      </c>
      <c r="G1194" s="114" t="str">
        <f>IF(Tab.o1[[#This Row],[a1]]=1,G$2+IF(G$1=1,0,Tab.o1[[#This Row],[.x1]])+[1]!T.in.A[[#This Row],[oo3]],"")</f>
        <v/>
      </c>
      <c r="H1194" s="115" t="str">
        <f>IF(Tab.o1[[#This Row],[a1]]=1,IF(H$2=0,0,IF(G$1=1,0,Tab.o1[[#This Row],[.x1]])+[1]!T.in.A[[#This Row],[oo4]]),"")</f>
        <v/>
      </c>
      <c r="I1194" s="116" t="str">
        <f>IF(Tab.o1[[#This Row],[a1]]=1,IF(J$2=0,Tab.o1[[#This Row],[MED]],Tab.o1[[#This Row],[MOD]]),"")</f>
        <v/>
      </c>
      <c r="J1194" s="116" t="str">
        <f>IF(Tab.o1[[#This Row],[a1]]=1,((Tab.o1[[#This Row],[DIF_Target.]]-AVERAGE(Tab.o1[DIF_Target.]))/_xlfn.STDEV.P(Tab.o1[DIF_Target.])),"")</f>
        <v/>
      </c>
      <c r="K1194" s="117" t="str">
        <f>IF(Tab.o1[[#This Row],[a1]]=1,IF(J$2=0,Tab.o1[[#This Row],[MOD]]-Tab.o1[[#This Row],[B]],IF(J$2=1,0,-Tab.o1[[#This Row],[MED]])+Tab.o1[[#This Row],[B]]),"")</f>
        <v/>
      </c>
      <c r="L1194" s="117" t="str">
        <f ca="1">IF(Tab.o1[[#This Row],[DIF_Target]]=0,IF(L$2=0,Tab.o1[[#This Row],[DIF_Target]],AVERAGE(OFFSET(Tab.o1[[#This Row],[DIF_Target]],1,0,L$3,1)))/3,Tab.o1[[#This Row],[DIF_Target]])</f>
        <v/>
      </c>
      <c r="M1194" s="118" t="str">
        <f>IF(Tab.o1[[#This Row],[a1]]=1,NORMSDIST(Tab.o1[[#This Row],[Za]]),"")</f>
        <v/>
      </c>
      <c r="N1194" s="119" t="str">
        <f>IF(Tab.o1[[#This Row],[a1]]=1,((Tab.o1[[#This Row],[MedMod]]-AVERAGE(Tab.o1[MedMod]))/_xlfn.STDEV.P(Tab.o1[MedMod])*H$1205)+G$1205,"")</f>
        <v/>
      </c>
      <c r="O1194" s="141" t="str">
        <f>IF(Tab.o1[[#This Row],[a1]]=1,Tab.o1[[#This Row],[Zb]]*_xlfn.STDEV.P(Tab.o1[MedMod])+AVERAGE(Tab.o1[MedMod]),"")</f>
        <v/>
      </c>
      <c r="P1194" s="117" t="str">
        <f ca="1">IF(Tab.o1[[#This Row],[B]]=0,AVERAGE(OFFSET(Tab.o1[[#This Row],[B]],1,0,L$3,1)),Tab.o1[[#This Row],[B]])</f>
        <v/>
      </c>
      <c r="Q1194" s="121" t="str">
        <f>IF(Tab.o1[[#This Row],[a1]]=1,NORMSDIST(Tab.o1[[#This Row],[Zb]]),"")</f>
        <v/>
      </c>
      <c r="R1194" s="122" t="str">
        <f>IF(Tab.o1[[#This Row],[a1]]=1,((Tab.o1[[#This Row],[MedMod]]-AVERAGE(Tab.o1[MedMod]))/_xlfn.STDEV.P(Tab.o1[MedMod])*H$1203)+G$1203,"")</f>
        <v/>
      </c>
      <c r="S1194" s="122" t="str">
        <f>IF(Tab.o1[[#This Row],[a1]]=1,((Tab.o1[[#This Row],[MedMod]]-AVERAGE(Tab.o1[MedMod]))/_xlfn.STDEV.P(Tab.o1[MedMod])*H$1204)+G$1204,"")</f>
        <v/>
      </c>
      <c r="T1194" s="123" t="str">
        <f>IF(Tab.o1[[#This Row],[a1]]=1,Tab.o1[[#This Row],[Z-]]*_xlfn.STDEV.P(Tab.o1[B])+AVERAGE(Tab.o1[B]),"")</f>
        <v/>
      </c>
      <c r="U1194" s="123" t="str">
        <f>IF(Tab.o1[[#This Row],[a1]]=1,Tab.o1[[#This Row],[z+]]*_xlfn.STDEV.P(Tab.o1[B])+AVERAGE(Tab.o1[B]),"")</f>
        <v/>
      </c>
      <c r="V1194" s="124" t="str">
        <f>IF(Tab.o1[[#This Row],[a1]]=1,ABS((ABS(Tab.o1[[#This Row],[Red]]-Tab.o1[[#This Row],[Blue]]))),"")</f>
        <v/>
      </c>
      <c r="W1194" s="125" t="str">
        <f>IF(Tab.o1[[#This Row],[a1]]=1,IF(W$3=0,1,Tab.o1[[#This Row],[Amp.]]*1/_xlfn.MINIFS(Tab.o1[Amp.],Tab.o1[Amp.],"&lt;&gt;0")),"")</f>
        <v/>
      </c>
      <c r="X1194" s="126" t="str">
        <f>IF(Tab.o1[[#This Row],[a1]]=1,IF(ISNUMBER(Tab.o1[[#This Row],[i.]]),NORMDIST(Tab.o1[[#This Row],[Za]],0,1,FALSE)*Tab.o1[[#This Row],[i.]],AP$3),"")</f>
        <v/>
      </c>
      <c r="Y1194" s="126" t="str">
        <f>IF(Tab.o1[[#This Row],[a1]]=1,0.01+0.94*Tab.o1[[#This Row],[PDF]]/MAX(Tab.o1[PDF]),"")</f>
        <v/>
      </c>
      <c r="Z1194" s="126" t="str">
        <f>IF(Tab.o1[[#This Row],[a1]]=1,0.01+0.94*Tab.o1[[#This Row],[W1_PDF]]/MAX(Tab.o1[W1_PDF]),"")</f>
        <v/>
      </c>
      <c r="AA1194" s="118" t="str">
        <f>IF(Tab.o1[[#This Row],[a1]]=1,ABS([1]!T.in.A[[#This Row],[oo6]]),"")</f>
        <v/>
      </c>
      <c r="AB1194" s="127" t="str">
        <f>IF(Tab.o1[[#This Row],[a1]]=1,IF(AE$3=0,"",IF(AB$3=0,ABS([1]!T.in.A[[#This Row],[oo9]]),ABS(Tab.o1[[#This Row],[DIF_Target.]]*Tab.o1[[#This Row],[W1_PDF]]))),"")</f>
        <v/>
      </c>
      <c r="AC1194" s="127" t="str">
        <f>IF(G$1=1,"",IF(Tab.o1[[#This Row],[a1]]=1,Tab.o1[[#This Row],[Wr]]^2,""))</f>
        <v/>
      </c>
      <c r="AD1194" s="118" t="str">
        <f>IF(Tab.o1[[#This Row],[a1]]=1,IF(AE$3=0,"",Tab.o1[[#This Row],[Wr2]]/SUM(Tab.o1[Wr2])),"")</f>
        <v/>
      </c>
      <c r="AE1194" s="128" t="str">
        <f>IF(Tab.o1[[#This Row],[a1]]=1,[1]!T.in.A[[#This Row],[oo10]],"")</f>
        <v/>
      </c>
      <c r="AF1194" s="118" t="str">
        <f>IF(Tab.o1[[#This Row],[a1]]=1,ABS(Tab.o1[[#This Row],[DIF_Target.]]*Tab.o1[[#This Row],[PDF2]]*Tab.o1[[#This Row],[IN]]),"")</f>
        <v/>
      </c>
      <c r="AG1194" s="129" t="str">
        <f>IF(Tab.o1[[#This Row],[a1]]=1,Tab.o1[[#This Row],[rW]]^2,"")</f>
        <v/>
      </c>
      <c r="AH1194" s="130" t="str">
        <f>IF(Tab.o1[[#This Row],[a1]]=1,IF(AH$3=0,Tab.o1[[#This Row],[rW2]],0.01+0.94*Tab.o1[[#This Row],[rW2]]/SUM(Tab.o1[rW2])),"")</f>
        <v/>
      </c>
      <c r="AI1194" s="128" t="str">
        <f>IF(Tab.o1[[#This Row],[a1]]=1,1/Tab.o1[[#This Row],[PDF]],"")</f>
        <v/>
      </c>
      <c r="AJ1194" s="131" t="str">
        <f>IF(Tab.o1[[#This Row],[a1]]=1,[1]!T_AA[[#This Row],[IN'']]*[1]!T_AA[[#This Row],[Qde'']],"")</f>
        <v/>
      </c>
      <c r="AK1194" s="132" t="str">
        <f>IF(Tab.o1[[#This Row],[a1]]=1,IF(AK$1=1,Tab.o1[[#This Row],[MED]]+Tab.o1[[#This Row],[MOD]]-Tab.o1[[#This Row],[MED]],""),"")</f>
        <v/>
      </c>
      <c r="AL1194" s="133" t="str">
        <f>IF(Tab.o1[[#This Row],[a1]]=1,[1]!T.in.A[[#This Row],[oo16]],"")</f>
        <v/>
      </c>
      <c r="AM1194" s="133" t="str">
        <f>IF(Tab.o1[[#This Row],[a1]]=1,IF(AM$3=1,[1]!T.in.A[[#This Row],[Σo16]],""),"")</f>
        <v/>
      </c>
      <c r="AN1194" s="126" t="str">
        <f>IF(Tab.o1[[#This Row],[a1]]=1,[1]!T.in.A[[#This Row],[Σp5]],"")</f>
        <v/>
      </c>
      <c r="AO1194" s="126" t="str">
        <f>IF(Tab.o1[[#This Row],[a1]]=1,IF(AO$3=1,[1]!T.in.A[[#This Row],[Σp5]],""),"")</f>
        <v/>
      </c>
      <c r="AP1194" s="110" t="str">
        <f>IF(Tab.o1[[#This Row],[a1]]=1,IF(ISNUMBER(Tab.o1[[#This Row],[i.]]),NORMDIST(Tab.o1[[#This Row],[Za]],0,1,FALSE)*Tab.o1[[#This Row],[i.]],0),"")</f>
        <v/>
      </c>
      <c r="AQ1194" s="125" t="str">
        <f>IF(Tab.o1[[#This Row],[a1]]=1,ABS(Tab.o1[[#This Row],[MOD]]-AVERAGE(Tab.o1[MOD])),"")</f>
        <v/>
      </c>
      <c r="AR1194" s="134" t="str">
        <f>IF(Tab.o1[[#This Row],[a1]]=1,Tab.o1[[#This Row],[OBS]]/SUM(Tab.o1[OBS]),"")</f>
        <v/>
      </c>
      <c r="AS1194" s="135" t="str">
        <f>IF(ISNUMBER(Tab.o1[[#This Row],[a1]]),ROW()-4,"")</f>
        <v/>
      </c>
      <c r="AT1194" s="136" t="str">
        <f>Tab.o1[[#This Row],[MOD]]</f>
        <v/>
      </c>
      <c r="AU1194" s="137" t="str">
        <f t="shared" si="73"/>
        <v/>
      </c>
      <c r="AV1194" s="138" t="str">
        <f t="shared" si="74"/>
        <v/>
      </c>
      <c r="AW1194" s="138" t="str">
        <f t="shared" si="75"/>
        <v/>
      </c>
      <c r="AX1194" s="139" t="str">
        <f>[1]!T.in.A[[#This Row],[ID_T_manu]]</f>
        <v/>
      </c>
      <c r="AY1194" s="140" t="str">
        <f>IF(ISNUMBER(Tab.o1[[#This Row],[a1]]),IF(AND(Tab.o1[[#This Row],[a1]]=1,Tab.o1[[#This Row],[b1]]&lt;=AY$4),#REF!,AY1193),"")</f>
        <v/>
      </c>
      <c r="AZ1194" s="25"/>
      <c r="BA1194" s="25"/>
      <c r="BB1194" s="25"/>
      <c r="BC1194" s="25"/>
      <c r="BD1194" s="25"/>
      <c r="BE1194" s="25"/>
      <c r="BF1194" s="25"/>
      <c r="BG1194" s="25"/>
      <c r="BH1194" s="25"/>
      <c r="BI1194" s="25"/>
      <c r="BJ1194" s="25"/>
      <c r="BK1194" s="25"/>
      <c r="BL1194" s="25"/>
      <c r="BM1194" s="25"/>
      <c r="BN1194" s="26"/>
      <c r="BO1194" s="26"/>
      <c r="BP1194" s="26"/>
      <c r="BQ1194" s="26"/>
      <c r="BR1194" s="26"/>
      <c r="BS1194" s="26"/>
      <c r="BT1194" s="26"/>
      <c r="BU1194" s="26"/>
      <c r="BV1194" s="26"/>
      <c r="BW1194" s="26"/>
      <c r="BX1194" s="26"/>
      <c r="BY1194" s="26"/>
      <c r="BZ1194" s="26"/>
      <c r="CA1194" s="26"/>
    </row>
    <row r="1195" spans="1:79" ht="15.75" hidden="1">
      <c r="A1195" s="109">
        <v>8.0000000000000013E-6</v>
      </c>
      <c r="B1195" s="110">
        <f t="shared" si="72"/>
        <v>1195</v>
      </c>
      <c r="C1195" s="111" t="str">
        <f>IF(C$1=[1]!T.in.A[[#This Row],[oo2]],1,"")</f>
        <v/>
      </c>
      <c r="D1195" s="112" t="str">
        <f>IF(Tab.o1[[#This Row],[a1]]=1,IF(SUM(C1195:C1196)=0,0,IF(SUM(C1194:C1195)=1,1,IF(SUM(C1194:C1196)&gt;1,D1194+1,0))),"")</f>
        <v/>
      </c>
      <c r="E1195" s="113" t="str">
        <f>IF(Tab.o1[[#This Row],[a1]]=1,[1]!T.in.A[[#This Row],[oo1]],"")</f>
        <v/>
      </c>
      <c r="F1195" s="113" t="str">
        <f>IF(Tab.o1[[#This Row],[a1]]=1,[1]!T.in.A[[#This Row],[pp1]],"")</f>
        <v/>
      </c>
      <c r="G1195" s="114" t="str">
        <f>IF(Tab.o1[[#This Row],[a1]]=1,G$2+IF(G$1=1,0,Tab.o1[[#This Row],[.x1]])+[1]!T.in.A[[#This Row],[oo3]],"")</f>
        <v/>
      </c>
      <c r="H1195" s="115" t="str">
        <f>IF(Tab.o1[[#This Row],[a1]]=1,IF(H$2=0,0,IF(G$1=1,0,Tab.o1[[#This Row],[.x1]])+[1]!T.in.A[[#This Row],[oo4]]),"")</f>
        <v/>
      </c>
      <c r="I1195" s="116" t="str">
        <f>IF(Tab.o1[[#This Row],[a1]]=1,IF(J$2=0,Tab.o1[[#This Row],[MED]],Tab.o1[[#This Row],[MOD]]),"")</f>
        <v/>
      </c>
      <c r="J1195" s="116" t="str">
        <f>IF(Tab.o1[[#This Row],[a1]]=1,((Tab.o1[[#This Row],[DIF_Target.]]-AVERAGE(Tab.o1[DIF_Target.]))/_xlfn.STDEV.P(Tab.o1[DIF_Target.])),"")</f>
        <v/>
      </c>
      <c r="K1195" s="117" t="str">
        <f>IF(Tab.o1[[#This Row],[a1]]=1,IF(J$2=0,Tab.o1[[#This Row],[MOD]]-Tab.o1[[#This Row],[B]],IF(J$2=1,0,-Tab.o1[[#This Row],[MED]])+Tab.o1[[#This Row],[B]]),"")</f>
        <v/>
      </c>
      <c r="L1195" s="117" t="str">
        <f ca="1">IF(Tab.o1[[#This Row],[DIF_Target]]=0,IF(L$2=0,Tab.o1[[#This Row],[DIF_Target]],AVERAGE(OFFSET(Tab.o1[[#This Row],[DIF_Target]],1,0,L$3,1)))/3,Tab.o1[[#This Row],[DIF_Target]])</f>
        <v/>
      </c>
      <c r="M1195" s="118" t="str">
        <f>IF(Tab.o1[[#This Row],[a1]]=1,NORMSDIST(Tab.o1[[#This Row],[Za]]),"")</f>
        <v/>
      </c>
      <c r="N1195" s="119" t="str">
        <f>IF(Tab.o1[[#This Row],[a1]]=1,((Tab.o1[[#This Row],[MedMod]]-AVERAGE(Tab.o1[MedMod]))/_xlfn.STDEV.P(Tab.o1[MedMod])*H$1205)+G$1205,"")</f>
        <v/>
      </c>
      <c r="O1195" s="141" t="str">
        <f>IF(Tab.o1[[#This Row],[a1]]=1,Tab.o1[[#This Row],[Zb]]*_xlfn.STDEV.P(Tab.o1[MedMod])+AVERAGE(Tab.o1[MedMod]),"")</f>
        <v/>
      </c>
      <c r="P1195" s="117" t="str">
        <f ca="1">IF(Tab.o1[[#This Row],[B]]=0,AVERAGE(OFFSET(Tab.o1[[#This Row],[B]],1,0,L$3,1)),Tab.o1[[#This Row],[B]])</f>
        <v/>
      </c>
      <c r="Q1195" s="121" t="str">
        <f>IF(Tab.o1[[#This Row],[a1]]=1,NORMSDIST(Tab.o1[[#This Row],[Zb]]),"")</f>
        <v/>
      </c>
      <c r="R1195" s="122" t="str">
        <f>IF(Tab.o1[[#This Row],[a1]]=1,((Tab.o1[[#This Row],[MedMod]]-AVERAGE(Tab.o1[MedMod]))/_xlfn.STDEV.P(Tab.o1[MedMod])*H$1203)+G$1203,"")</f>
        <v/>
      </c>
      <c r="S1195" s="122" t="str">
        <f>IF(Tab.o1[[#This Row],[a1]]=1,((Tab.o1[[#This Row],[MedMod]]-AVERAGE(Tab.o1[MedMod]))/_xlfn.STDEV.P(Tab.o1[MedMod])*H$1204)+G$1204,"")</f>
        <v/>
      </c>
      <c r="T1195" s="123" t="str">
        <f>IF(Tab.o1[[#This Row],[a1]]=1,Tab.o1[[#This Row],[Z-]]*_xlfn.STDEV.P(Tab.o1[B])+AVERAGE(Tab.o1[B]),"")</f>
        <v/>
      </c>
      <c r="U1195" s="123" t="str">
        <f>IF(Tab.o1[[#This Row],[a1]]=1,Tab.o1[[#This Row],[z+]]*_xlfn.STDEV.P(Tab.o1[B])+AVERAGE(Tab.o1[B]),"")</f>
        <v/>
      </c>
      <c r="V1195" s="124" t="str">
        <f>IF(Tab.o1[[#This Row],[a1]]=1,ABS((ABS(Tab.o1[[#This Row],[Red]]-Tab.o1[[#This Row],[Blue]]))),"")</f>
        <v/>
      </c>
      <c r="W1195" s="125" t="str">
        <f>IF(Tab.o1[[#This Row],[a1]]=1,IF(W$3=0,1,Tab.o1[[#This Row],[Amp.]]*1/_xlfn.MINIFS(Tab.o1[Amp.],Tab.o1[Amp.],"&lt;&gt;0")),"")</f>
        <v/>
      </c>
      <c r="X1195" s="126" t="str">
        <f>IF(Tab.o1[[#This Row],[a1]]=1,IF(ISNUMBER(Tab.o1[[#This Row],[i.]]),NORMDIST(Tab.o1[[#This Row],[Za]],0,1,FALSE)*Tab.o1[[#This Row],[i.]],AP$3),"")</f>
        <v/>
      </c>
      <c r="Y1195" s="126" t="str">
        <f>IF(Tab.o1[[#This Row],[a1]]=1,0.01+0.94*Tab.o1[[#This Row],[PDF]]/MAX(Tab.o1[PDF]),"")</f>
        <v/>
      </c>
      <c r="Z1195" s="126" t="str">
        <f>IF(Tab.o1[[#This Row],[a1]]=1,0.01+0.94*Tab.o1[[#This Row],[W1_PDF]]/MAX(Tab.o1[W1_PDF]),"")</f>
        <v/>
      </c>
      <c r="AA1195" s="118" t="str">
        <f>IF(Tab.o1[[#This Row],[a1]]=1,ABS([1]!T.in.A[[#This Row],[oo6]]),"")</f>
        <v/>
      </c>
      <c r="AB1195" s="127" t="str">
        <f>IF(Tab.o1[[#This Row],[a1]]=1,IF(AE$3=0,"",IF(AB$3=0,ABS([1]!T.in.A[[#This Row],[oo9]]),ABS(Tab.o1[[#This Row],[DIF_Target.]]*Tab.o1[[#This Row],[W1_PDF]]))),"")</f>
        <v/>
      </c>
      <c r="AC1195" s="127" t="str">
        <f>IF(G$1=1,"",IF(Tab.o1[[#This Row],[a1]]=1,Tab.o1[[#This Row],[Wr]]^2,""))</f>
        <v/>
      </c>
      <c r="AD1195" s="118" t="str">
        <f>IF(Tab.o1[[#This Row],[a1]]=1,IF(AE$3=0,"",Tab.o1[[#This Row],[Wr2]]/SUM(Tab.o1[Wr2])),"")</f>
        <v/>
      </c>
      <c r="AE1195" s="128" t="str">
        <f>IF(Tab.o1[[#This Row],[a1]]=1,[1]!T.in.A[[#This Row],[oo10]],"")</f>
        <v/>
      </c>
      <c r="AF1195" s="118" t="str">
        <f>IF(Tab.o1[[#This Row],[a1]]=1,ABS(Tab.o1[[#This Row],[DIF_Target.]]*Tab.o1[[#This Row],[PDF2]]*Tab.o1[[#This Row],[IN]]),"")</f>
        <v/>
      </c>
      <c r="AG1195" s="129" t="str">
        <f>IF(Tab.o1[[#This Row],[a1]]=1,Tab.o1[[#This Row],[rW]]^2,"")</f>
        <v/>
      </c>
      <c r="AH1195" s="130" t="str">
        <f>IF(Tab.o1[[#This Row],[a1]]=1,IF(AH$3=0,Tab.o1[[#This Row],[rW2]],0.01+0.94*Tab.o1[[#This Row],[rW2]]/SUM(Tab.o1[rW2])),"")</f>
        <v/>
      </c>
      <c r="AI1195" s="128" t="str">
        <f>IF(Tab.o1[[#This Row],[a1]]=1,1/Tab.o1[[#This Row],[PDF]],"")</f>
        <v/>
      </c>
      <c r="AJ1195" s="131" t="str">
        <f>IF(Tab.o1[[#This Row],[a1]]=1,[1]!T_AA[[#This Row],[IN'']]*[1]!T_AA[[#This Row],[Qde'']],"")</f>
        <v/>
      </c>
      <c r="AK1195" s="132" t="str">
        <f>IF(Tab.o1[[#This Row],[a1]]=1,IF(AK$1=1,Tab.o1[[#This Row],[MED]]+Tab.o1[[#This Row],[MOD]]-Tab.o1[[#This Row],[MED]],""),"")</f>
        <v/>
      </c>
      <c r="AL1195" s="133" t="str">
        <f>IF(Tab.o1[[#This Row],[a1]]=1,[1]!T.in.A[[#This Row],[oo16]],"")</f>
        <v/>
      </c>
      <c r="AM1195" s="133" t="str">
        <f>IF(Tab.o1[[#This Row],[a1]]=1,IF(AM$3=1,[1]!T.in.A[[#This Row],[Σo16]],""),"")</f>
        <v/>
      </c>
      <c r="AN1195" s="126" t="str">
        <f>IF(Tab.o1[[#This Row],[a1]]=1,[1]!T.in.A[[#This Row],[Σp5]],"")</f>
        <v/>
      </c>
      <c r="AO1195" s="126" t="str">
        <f>IF(Tab.o1[[#This Row],[a1]]=1,IF(AO$3=1,[1]!T.in.A[[#This Row],[Σp5]],""),"")</f>
        <v/>
      </c>
      <c r="AP1195" s="110" t="str">
        <f>IF(Tab.o1[[#This Row],[a1]]=1,IF(ISNUMBER(Tab.o1[[#This Row],[i.]]),NORMDIST(Tab.o1[[#This Row],[Za]],0,1,FALSE)*Tab.o1[[#This Row],[i.]],0),"")</f>
        <v/>
      </c>
      <c r="AQ1195" s="125" t="str">
        <f>IF(Tab.o1[[#This Row],[a1]]=1,ABS(Tab.o1[[#This Row],[MOD]]-AVERAGE(Tab.o1[MOD])),"")</f>
        <v/>
      </c>
      <c r="AR1195" s="134" t="str">
        <f>IF(Tab.o1[[#This Row],[a1]]=1,Tab.o1[[#This Row],[OBS]]/SUM(Tab.o1[OBS]),"")</f>
        <v/>
      </c>
      <c r="AS1195" s="135" t="str">
        <f>IF(ISNUMBER(Tab.o1[[#This Row],[a1]]),ROW()-4,"")</f>
        <v/>
      </c>
      <c r="AT1195" s="136" t="str">
        <f>Tab.o1[[#This Row],[MOD]]</f>
        <v/>
      </c>
      <c r="AU1195" s="137" t="str">
        <f t="shared" si="73"/>
        <v/>
      </c>
      <c r="AV1195" s="138" t="str">
        <f t="shared" si="74"/>
        <v/>
      </c>
      <c r="AW1195" s="138" t="str">
        <f t="shared" si="75"/>
        <v/>
      </c>
      <c r="AX1195" s="139" t="str">
        <f>[1]!T.in.A[[#This Row],[ID_T_manu]]</f>
        <v/>
      </c>
      <c r="AY1195" s="140" t="str">
        <f>IF(ISNUMBER(Tab.o1[[#This Row],[a1]]),IF(AND(Tab.o1[[#This Row],[a1]]=1,Tab.o1[[#This Row],[b1]]&lt;=AY$4),#REF!,AY1194),"")</f>
        <v/>
      </c>
      <c r="AZ1195" s="25"/>
      <c r="BA1195" s="25"/>
      <c r="BB1195" s="25"/>
      <c r="BC1195" s="25"/>
      <c r="BD1195" s="25"/>
      <c r="BE1195" s="25"/>
      <c r="BF1195" s="25"/>
      <c r="BG1195" s="25"/>
      <c r="BH1195" s="25"/>
      <c r="BI1195" s="25"/>
      <c r="BJ1195" s="25"/>
      <c r="BK1195" s="25"/>
      <c r="BL1195" s="25"/>
      <c r="BM1195" s="25"/>
      <c r="BN1195" s="26"/>
      <c r="BO1195" s="26"/>
      <c r="BP1195" s="26"/>
      <c r="BQ1195" s="26"/>
      <c r="BR1195" s="26"/>
      <c r="BS1195" s="26"/>
      <c r="BT1195" s="26"/>
      <c r="BU1195" s="26"/>
      <c r="BV1195" s="26"/>
      <c r="BW1195" s="26"/>
      <c r="BX1195" s="26"/>
      <c r="BY1195" s="26"/>
      <c r="BZ1195" s="26"/>
      <c r="CA1195" s="26"/>
    </row>
    <row r="1196" spans="1:79" ht="15.75" hidden="1">
      <c r="A1196" s="109">
        <v>5.9999999999999993E-6</v>
      </c>
      <c r="B1196" s="110">
        <f t="shared" si="72"/>
        <v>1196</v>
      </c>
      <c r="C1196" s="111" t="str">
        <f>IF(C$1=[1]!T.in.A[[#This Row],[oo2]],1,"")</f>
        <v/>
      </c>
      <c r="D1196" s="112" t="str">
        <f>IF(Tab.o1[[#This Row],[a1]]=1,IF(SUM(C1196:C1197)=0,0,IF(SUM(C1195:C1196)=1,1,IF(SUM(C1195:C1197)&gt;1,D1195+1,0))),"")</f>
        <v/>
      </c>
      <c r="E1196" s="113" t="str">
        <f>IF(Tab.o1[[#This Row],[a1]]=1,[1]!T.in.A[[#This Row],[oo1]],"")</f>
        <v/>
      </c>
      <c r="F1196" s="113" t="str">
        <f>IF(Tab.o1[[#This Row],[a1]]=1,[1]!T.in.A[[#This Row],[pp1]],"")</f>
        <v/>
      </c>
      <c r="G1196" s="114" t="str">
        <f>IF(Tab.o1[[#This Row],[a1]]=1,G$2+IF(G$1=1,0,Tab.o1[[#This Row],[.x1]])+[1]!T.in.A[[#This Row],[oo3]],"")</f>
        <v/>
      </c>
      <c r="H1196" s="115" t="str">
        <f>IF(Tab.o1[[#This Row],[a1]]=1,IF(H$2=0,0,IF(G$1=1,0,Tab.o1[[#This Row],[.x1]])+[1]!T.in.A[[#This Row],[oo4]]),"")</f>
        <v/>
      </c>
      <c r="I1196" s="116" t="str">
        <f>IF(Tab.o1[[#This Row],[a1]]=1,IF(J$2=0,Tab.o1[[#This Row],[MED]],Tab.o1[[#This Row],[MOD]]),"")</f>
        <v/>
      </c>
      <c r="J1196" s="116" t="str">
        <f>IF(Tab.o1[[#This Row],[a1]]=1,((Tab.o1[[#This Row],[DIF_Target.]]-AVERAGE(Tab.o1[DIF_Target.]))/_xlfn.STDEV.P(Tab.o1[DIF_Target.])),"")</f>
        <v/>
      </c>
      <c r="K1196" s="117" t="str">
        <f>IF(Tab.o1[[#This Row],[a1]]=1,IF(J$2=0,Tab.o1[[#This Row],[MOD]]-Tab.o1[[#This Row],[B]],IF(J$2=1,0,-Tab.o1[[#This Row],[MED]])+Tab.o1[[#This Row],[B]]),"")</f>
        <v/>
      </c>
      <c r="L1196" s="117" t="str">
        <f ca="1">IF(Tab.o1[[#This Row],[DIF_Target]]=0,IF(L$2=0,Tab.o1[[#This Row],[DIF_Target]],AVERAGE(OFFSET(Tab.o1[[#This Row],[DIF_Target]],1,0,L$3,1)))/3,Tab.o1[[#This Row],[DIF_Target]])</f>
        <v/>
      </c>
      <c r="M1196" s="118" t="str">
        <f>IF(Tab.o1[[#This Row],[a1]]=1,NORMSDIST(Tab.o1[[#This Row],[Za]]),"")</f>
        <v/>
      </c>
      <c r="N1196" s="119" t="str">
        <f>IF(Tab.o1[[#This Row],[a1]]=1,((Tab.o1[[#This Row],[MedMod]]-AVERAGE(Tab.o1[MedMod]))/_xlfn.STDEV.P(Tab.o1[MedMod])*H$1205)+G$1205,"")</f>
        <v/>
      </c>
      <c r="O1196" s="141" t="str">
        <f>IF(Tab.o1[[#This Row],[a1]]=1,Tab.o1[[#This Row],[Zb]]*_xlfn.STDEV.P(Tab.o1[MedMod])+AVERAGE(Tab.o1[MedMod]),"")</f>
        <v/>
      </c>
      <c r="P1196" s="117" t="str">
        <f ca="1">IF(Tab.o1[[#This Row],[B]]=0,AVERAGE(OFFSET(Tab.o1[[#This Row],[B]],1,0,L$3,1)),Tab.o1[[#This Row],[B]])</f>
        <v/>
      </c>
      <c r="Q1196" s="121" t="str">
        <f>IF(Tab.o1[[#This Row],[a1]]=1,NORMSDIST(Tab.o1[[#This Row],[Zb]]),"")</f>
        <v/>
      </c>
      <c r="R1196" s="122" t="str">
        <f>IF(Tab.o1[[#This Row],[a1]]=1,((Tab.o1[[#This Row],[MedMod]]-AVERAGE(Tab.o1[MedMod]))/_xlfn.STDEV.P(Tab.o1[MedMod])*H$1203)+G$1203,"")</f>
        <v/>
      </c>
      <c r="S1196" s="122" t="str">
        <f>IF(Tab.o1[[#This Row],[a1]]=1,((Tab.o1[[#This Row],[MedMod]]-AVERAGE(Tab.o1[MedMod]))/_xlfn.STDEV.P(Tab.o1[MedMod])*H$1204)+G$1204,"")</f>
        <v/>
      </c>
      <c r="T1196" s="123" t="str">
        <f>IF(Tab.o1[[#This Row],[a1]]=1,Tab.o1[[#This Row],[Z-]]*_xlfn.STDEV.P(Tab.o1[B])+AVERAGE(Tab.o1[B]),"")</f>
        <v/>
      </c>
      <c r="U1196" s="123" t="str">
        <f>IF(Tab.o1[[#This Row],[a1]]=1,Tab.o1[[#This Row],[z+]]*_xlfn.STDEV.P(Tab.o1[B])+AVERAGE(Tab.o1[B]),"")</f>
        <v/>
      </c>
      <c r="V1196" s="124" t="str">
        <f>IF(Tab.o1[[#This Row],[a1]]=1,ABS((ABS(Tab.o1[[#This Row],[Red]]-Tab.o1[[#This Row],[Blue]]))),"")</f>
        <v/>
      </c>
      <c r="W1196" s="125" t="str">
        <f>IF(Tab.o1[[#This Row],[a1]]=1,IF(W$3=0,1,Tab.o1[[#This Row],[Amp.]]*1/_xlfn.MINIFS(Tab.o1[Amp.],Tab.o1[Amp.],"&lt;&gt;0")),"")</f>
        <v/>
      </c>
      <c r="X1196" s="126" t="str">
        <f>IF(Tab.o1[[#This Row],[a1]]=1,IF(ISNUMBER(Tab.o1[[#This Row],[i.]]),NORMDIST(Tab.o1[[#This Row],[Za]],0,1,FALSE)*Tab.o1[[#This Row],[i.]],AP$3),"")</f>
        <v/>
      </c>
      <c r="Y1196" s="126" t="str">
        <f>IF(Tab.o1[[#This Row],[a1]]=1,0.01+0.94*Tab.o1[[#This Row],[PDF]]/MAX(Tab.o1[PDF]),"")</f>
        <v/>
      </c>
      <c r="Z1196" s="126" t="str">
        <f>IF(Tab.o1[[#This Row],[a1]]=1,0.01+0.94*Tab.o1[[#This Row],[W1_PDF]]/MAX(Tab.o1[W1_PDF]),"")</f>
        <v/>
      </c>
      <c r="AA1196" s="118" t="str">
        <f>IF(Tab.o1[[#This Row],[a1]]=1,ABS([1]!T.in.A[[#This Row],[oo6]]),"")</f>
        <v/>
      </c>
      <c r="AB1196" s="127" t="str">
        <f>IF(Tab.o1[[#This Row],[a1]]=1,IF(AE$3=0,"",IF(AB$3=0,ABS([1]!T.in.A[[#This Row],[oo9]]),ABS(Tab.o1[[#This Row],[DIF_Target.]]*Tab.o1[[#This Row],[W1_PDF]]))),"")</f>
        <v/>
      </c>
      <c r="AC1196" s="127" t="str">
        <f>IF(G$1=1,"",IF(Tab.o1[[#This Row],[a1]]=1,Tab.o1[[#This Row],[Wr]]^2,""))</f>
        <v/>
      </c>
      <c r="AD1196" s="118" t="str">
        <f>IF(Tab.o1[[#This Row],[a1]]=1,IF(AE$3=0,"",Tab.o1[[#This Row],[Wr2]]/SUM(Tab.o1[Wr2])),"")</f>
        <v/>
      </c>
      <c r="AE1196" s="128" t="str">
        <f>IF(Tab.o1[[#This Row],[a1]]=1,[1]!T.in.A[[#This Row],[oo10]],"")</f>
        <v/>
      </c>
      <c r="AF1196" s="118" t="str">
        <f>IF(Tab.o1[[#This Row],[a1]]=1,ABS(Tab.o1[[#This Row],[DIF_Target.]]*Tab.o1[[#This Row],[PDF2]]*Tab.o1[[#This Row],[IN]]),"")</f>
        <v/>
      </c>
      <c r="AG1196" s="129" t="str">
        <f>IF(Tab.o1[[#This Row],[a1]]=1,Tab.o1[[#This Row],[rW]]^2,"")</f>
        <v/>
      </c>
      <c r="AH1196" s="130" t="str">
        <f>IF(Tab.o1[[#This Row],[a1]]=1,IF(AH$3=0,Tab.o1[[#This Row],[rW2]],0.01+0.94*Tab.o1[[#This Row],[rW2]]/SUM(Tab.o1[rW2])),"")</f>
        <v/>
      </c>
      <c r="AI1196" s="128" t="str">
        <f>IF(Tab.o1[[#This Row],[a1]]=1,1/Tab.o1[[#This Row],[PDF]],"")</f>
        <v/>
      </c>
      <c r="AJ1196" s="131" t="str">
        <f>IF(Tab.o1[[#This Row],[a1]]=1,[1]!T_AA[[#This Row],[IN'']]*[1]!T_AA[[#This Row],[Qde'']],"")</f>
        <v/>
      </c>
      <c r="AK1196" s="132" t="str">
        <f>IF(Tab.o1[[#This Row],[a1]]=1,IF(AK$1=1,Tab.o1[[#This Row],[MED]]+Tab.o1[[#This Row],[MOD]]-Tab.o1[[#This Row],[MED]],""),"")</f>
        <v/>
      </c>
      <c r="AL1196" s="133" t="str">
        <f>IF(Tab.o1[[#This Row],[a1]]=1,[1]!T.in.A[[#This Row],[oo16]],"")</f>
        <v/>
      </c>
      <c r="AM1196" s="133" t="str">
        <f>IF(Tab.o1[[#This Row],[a1]]=1,IF(AM$3=1,[1]!T.in.A[[#This Row],[Σo16]],""),"")</f>
        <v/>
      </c>
      <c r="AN1196" s="126" t="str">
        <f>IF(Tab.o1[[#This Row],[a1]]=1,[1]!T.in.A[[#This Row],[Σp5]],"")</f>
        <v/>
      </c>
      <c r="AO1196" s="126" t="str">
        <f>IF(Tab.o1[[#This Row],[a1]]=1,IF(AO$3=1,[1]!T.in.A[[#This Row],[Σp5]],""),"")</f>
        <v/>
      </c>
      <c r="AP1196" s="110" t="str">
        <f>IF(Tab.o1[[#This Row],[a1]]=1,IF(ISNUMBER(Tab.o1[[#This Row],[i.]]),NORMDIST(Tab.o1[[#This Row],[Za]],0,1,FALSE)*Tab.o1[[#This Row],[i.]],0),"")</f>
        <v/>
      </c>
      <c r="AQ1196" s="125" t="str">
        <f>IF(Tab.o1[[#This Row],[a1]]=1,ABS(Tab.o1[[#This Row],[MOD]]-AVERAGE(Tab.o1[MOD])),"")</f>
        <v/>
      </c>
      <c r="AR1196" s="134" t="str">
        <f>IF(Tab.o1[[#This Row],[a1]]=1,Tab.o1[[#This Row],[OBS]]/SUM(Tab.o1[OBS]),"")</f>
        <v/>
      </c>
      <c r="AS1196" s="135" t="str">
        <f>IF(ISNUMBER(Tab.o1[[#This Row],[a1]]),ROW()-4,"")</f>
        <v/>
      </c>
      <c r="AT1196" s="136" t="str">
        <f>Tab.o1[[#This Row],[MOD]]</f>
        <v/>
      </c>
      <c r="AU1196" s="137" t="str">
        <f t="shared" si="73"/>
        <v/>
      </c>
      <c r="AV1196" s="138" t="str">
        <f t="shared" si="74"/>
        <v/>
      </c>
      <c r="AW1196" s="138" t="str">
        <f t="shared" si="75"/>
        <v/>
      </c>
      <c r="AX1196" s="139" t="str">
        <f>[1]!T.in.A[[#This Row],[ID_T_manu]]</f>
        <v/>
      </c>
      <c r="AY1196" s="140" t="str">
        <f>IF(ISNUMBER(Tab.o1[[#This Row],[a1]]),IF(AND(Tab.o1[[#This Row],[a1]]=1,Tab.o1[[#This Row],[b1]]&lt;=AY$4),#REF!,AY1195),"")</f>
        <v/>
      </c>
      <c r="AZ1196" s="25"/>
      <c r="BA1196" s="25"/>
      <c r="BB1196" s="25"/>
      <c r="BC1196" s="25"/>
      <c r="BD1196" s="25"/>
      <c r="BE1196" s="25"/>
      <c r="BF1196" s="25"/>
      <c r="BG1196" s="25"/>
      <c r="BH1196" s="25"/>
      <c r="BI1196" s="25"/>
      <c r="BJ1196" s="25"/>
      <c r="BK1196" s="25"/>
      <c r="BL1196" s="25"/>
      <c r="BM1196" s="25"/>
      <c r="BN1196" s="26"/>
      <c r="BO1196" s="26"/>
      <c r="BP1196" s="26"/>
      <c r="BQ1196" s="26"/>
      <c r="BR1196" s="26"/>
      <c r="BS1196" s="26"/>
      <c r="BT1196" s="26"/>
      <c r="BU1196" s="26"/>
      <c r="BV1196" s="26"/>
      <c r="BW1196" s="26"/>
      <c r="BX1196" s="26"/>
      <c r="BY1196" s="26"/>
      <c r="BZ1196" s="26"/>
      <c r="CA1196" s="26"/>
    </row>
    <row r="1197" spans="1:79" ht="15.75" hidden="1">
      <c r="A1197" s="109">
        <v>-1.0000000000000001E-5</v>
      </c>
      <c r="B1197" s="110">
        <f t="shared" si="72"/>
        <v>1197</v>
      </c>
      <c r="C1197" s="111" t="str">
        <f>IF(C$1=[1]!T.in.A[[#This Row],[oo2]],1,"")</f>
        <v/>
      </c>
      <c r="D1197" s="112" t="str">
        <f>IF(Tab.o1[[#This Row],[a1]]=1,IF(SUM(C1197:C1198)=0,0,IF(SUM(C1196:C1197)=1,1,IF(SUM(C1196:C1198)&gt;1,D1196+1,0))),"")</f>
        <v/>
      </c>
      <c r="E1197" s="113" t="str">
        <f>IF(Tab.o1[[#This Row],[a1]]=1,[1]!T.in.A[[#This Row],[oo1]],"")</f>
        <v/>
      </c>
      <c r="F1197" s="113" t="str">
        <f>IF(Tab.o1[[#This Row],[a1]]=1,[1]!T.in.A[[#This Row],[pp1]],"")</f>
        <v/>
      </c>
      <c r="G1197" s="114" t="str">
        <f>IF(Tab.o1[[#This Row],[a1]]=1,G$2+IF(G$1=1,0,Tab.o1[[#This Row],[.x1]])+[1]!T.in.A[[#This Row],[oo3]],"")</f>
        <v/>
      </c>
      <c r="H1197" s="115" t="str">
        <f>IF(Tab.o1[[#This Row],[a1]]=1,IF(H$2=0,0,IF(G$1=1,0,Tab.o1[[#This Row],[.x1]])+[1]!T.in.A[[#This Row],[oo4]]),"")</f>
        <v/>
      </c>
      <c r="I1197" s="116" t="str">
        <f>IF(Tab.o1[[#This Row],[a1]]=1,IF(J$2=0,Tab.o1[[#This Row],[MED]],Tab.o1[[#This Row],[MOD]]),"")</f>
        <v/>
      </c>
      <c r="J1197" s="116" t="str">
        <f>IF(Tab.o1[[#This Row],[a1]]=1,((Tab.o1[[#This Row],[DIF_Target.]]-AVERAGE(Tab.o1[DIF_Target.]))/_xlfn.STDEV.P(Tab.o1[DIF_Target.])),"")</f>
        <v/>
      </c>
      <c r="K1197" s="117" t="str">
        <f>IF(Tab.o1[[#This Row],[a1]]=1,IF(J$2=0,Tab.o1[[#This Row],[MOD]]-Tab.o1[[#This Row],[B]],IF(J$2=1,0,-Tab.o1[[#This Row],[MED]])+Tab.o1[[#This Row],[B]]),"")</f>
        <v/>
      </c>
      <c r="L1197" s="117" t="str">
        <f ca="1">IF(Tab.o1[[#This Row],[DIF_Target]]=0,IF(L$2=0,Tab.o1[[#This Row],[DIF_Target]],AVERAGE(OFFSET(Tab.o1[[#This Row],[DIF_Target]],1,0,L$3,1)))/3,Tab.o1[[#This Row],[DIF_Target]])</f>
        <v/>
      </c>
      <c r="M1197" s="118" t="str">
        <f>IF(Tab.o1[[#This Row],[a1]]=1,NORMSDIST(Tab.o1[[#This Row],[Za]]),"")</f>
        <v/>
      </c>
      <c r="N1197" s="119" t="str">
        <f>IF(Tab.o1[[#This Row],[a1]]=1,((Tab.o1[[#This Row],[MedMod]]-AVERAGE(Tab.o1[MedMod]))/_xlfn.STDEV.P(Tab.o1[MedMod])*H$1205)+G$1205,"")</f>
        <v/>
      </c>
      <c r="O1197" s="141" t="str">
        <f>IF(Tab.o1[[#This Row],[a1]]=1,Tab.o1[[#This Row],[Zb]]*_xlfn.STDEV.P(Tab.o1[MedMod])+AVERAGE(Tab.o1[MedMod]),"")</f>
        <v/>
      </c>
      <c r="P1197" s="117" t="str">
        <f ca="1">IF(Tab.o1[[#This Row],[B]]=0,AVERAGE(OFFSET(Tab.o1[[#This Row],[B]],1,0,L$3,1)),Tab.o1[[#This Row],[B]])</f>
        <v/>
      </c>
      <c r="Q1197" s="121" t="str">
        <f>IF(Tab.o1[[#This Row],[a1]]=1,NORMSDIST(Tab.o1[[#This Row],[Zb]]),"")</f>
        <v/>
      </c>
      <c r="R1197" s="122" t="str">
        <f>IF(Tab.o1[[#This Row],[a1]]=1,((Tab.o1[[#This Row],[MedMod]]-AVERAGE(Tab.o1[MedMod]))/_xlfn.STDEV.P(Tab.o1[MedMod])*H$1203)+G$1203,"")</f>
        <v/>
      </c>
      <c r="S1197" s="122" t="str">
        <f>IF(Tab.o1[[#This Row],[a1]]=1,((Tab.o1[[#This Row],[MedMod]]-AVERAGE(Tab.o1[MedMod]))/_xlfn.STDEV.P(Tab.o1[MedMod])*H$1204)+G$1204,"")</f>
        <v/>
      </c>
      <c r="T1197" s="123" t="str">
        <f>IF(Tab.o1[[#This Row],[a1]]=1,Tab.o1[[#This Row],[Z-]]*_xlfn.STDEV.P(Tab.o1[B])+AVERAGE(Tab.o1[B]),"")</f>
        <v/>
      </c>
      <c r="U1197" s="123" t="str">
        <f>IF(Tab.o1[[#This Row],[a1]]=1,Tab.o1[[#This Row],[z+]]*_xlfn.STDEV.P(Tab.o1[B])+AVERAGE(Tab.o1[B]),"")</f>
        <v/>
      </c>
      <c r="V1197" s="124" t="str">
        <f>IF(Tab.o1[[#This Row],[a1]]=1,ABS((ABS(Tab.o1[[#This Row],[Red]]-Tab.o1[[#This Row],[Blue]]))),"")</f>
        <v/>
      </c>
      <c r="W1197" s="125" t="str">
        <f>IF(Tab.o1[[#This Row],[a1]]=1,IF(W$3=0,1,Tab.o1[[#This Row],[Amp.]]*1/_xlfn.MINIFS(Tab.o1[Amp.],Tab.o1[Amp.],"&lt;&gt;0")),"")</f>
        <v/>
      </c>
      <c r="X1197" s="126" t="str">
        <f>IF(Tab.o1[[#This Row],[a1]]=1,IF(ISNUMBER(Tab.o1[[#This Row],[i.]]),NORMDIST(Tab.o1[[#This Row],[Za]],0,1,FALSE)*Tab.o1[[#This Row],[i.]],AP$3),"")</f>
        <v/>
      </c>
      <c r="Y1197" s="126" t="str">
        <f>IF(Tab.o1[[#This Row],[a1]]=1,0.01+0.94*Tab.o1[[#This Row],[PDF]]/MAX(Tab.o1[PDF]),"")</f>
        <v/>
      </c>
      <c r="Z1197" s="126" t="str">
        <f>IF(Tab.o1[[#This Row],[a1]]=1,0.01+0.94*Tab.o1[[#This Row],[W1_PDF]]/MAX(Tab.o1[W1_PDF]),"")</f>
        <v/>
      </c>
      <c r="AA1197" s="118" t="str">
        <f>IF(Tab.o1[[#This Row],[a1]]=1,ABS([1]!T.in.A[[#This Row],[oo6]]),"")</f>
        <v/>
      </c>
      <c r="AB1197" s="127" t="str">
        <f>IF(Tab.o1[[#This Row],[a1]]=1,IF(AE$3=0,"",IF(AB$3=0,ABS([1]!T.in.A[[#This Row],[oo9]]),ABS(Tab.o1[[#This Row],[DIF_Target.]]*Tab.o1[[#This Row],[W1_PDF]]))),"")</f>
        <v/>
      </c>
      <c r="AC1197" s="127" t="str">
        <f>IF(G$1=1,"",IF(Tab.o1[[#This Row],[a1]]=1,Tab.o1[[#This Row],[Wr]]^2,""))</f>
        <v/>
      </c>
      <c r="AD1197" s="118" t="str">
        <f>IF(Tab.o1[[#This Row],[a1]]=1,IF(AE$3=0,"",Tab.o1[[#This Row],[Wr2]]/SUM(Tab.o1[Wr2])),"")</f>
        <v/>
      </c>
      <c r="AE1197" s="128" t="str">
        <f>IF(Tab.o1[[#This Row],[a1]]=1,[1]!T.in.A[[#This Row],[oo10]],"")</f>
        <v/>
      </c>
      <c r="AF1197" s="118" t="str">
        <f>IF(Tab.o1[[#This Row],[a1]]=1,ABS(Tab.o1[[#This Row],[DIF_Target.]]*Tab.o1[[#This Row],[PDF2]]*Tab.o1[[#This Row],[IN]]),"")</f>
        <v/>
      </c>
      <c r="AG1197" s="129" t="str">
        <f>IF(Tab.o1[[#This Row],[a1]]=1,Tab.o1[[#This Row],[rW]]^2,"")</f>
        <v/>
      </c>
      <c r="AH1197" s="130" t="str">
        <f>IF(Tab.o1[[#This Row],[a1]]=1,IF(AH$3=0,Tab.o1[[#This Row],[rW2]],0.01+0.94*Tab.o1[[#This Row],[rW2]]/SUM(Tab.o1[rW2])),"")</f>
        <v/>
      </c>
      <c r="AI1197" s="128" t="str">
        <f>IF(Tab.o1[[#This Row],[a1]]=1,1/Tab.o1[[#This Row],[PDF]],"")</f>
        <v/>
      </c>
      <c r="AJ1197" s="131" t="str">
        <f>IF(Tab.o1[[#This Row],[a1]]=1,[1]!T_AA[[#This Row],[IN'']]*[1]!T_AA[[#This Row],[Qde'']],"")</f>
        <v/>
      </c>
      <c r="AK1197" s="132" t="str">
        <f>IF(Tab.o1[[#This Row],[a1]]=1,IF(AK$1=1,Tab.o1[[#This Row],[MED]]+Tab.o1[[#This Row],[MOD]]-Tab.o1[[#This Row],[MED]],""),"")</f>
        <v/>
      </c>
      <c r="AL1197" s="133" t="str">
        <f>IF(Tab.o1[[#This Row],[a1]]=1,[1]!T.in.A[[#This Row],[oo16]],"")</f>
        <v/>
      </c>
      <c r="AM1197" s="133" t="str">
        <f>IF(Tab.o1[[#This Row],[a1]]=1,IF(AM$3=1,[1]!T.in.A[[#This Row],[Σo16]],""),"")</f>
        <v/>
      </c>
      <c r="AN1197" s="126" t="str">
        <f>IF(Tab.o1[[#This Row],[a1]]=1,[1]!T.in.A[[#This Row],[Σp5]],"")</f>
        <v/>
      </c>
      <c r="AO1197" s="126" t="str">
        <f>IF(Tab.o1[[#This Row],[a1]]=1,IF(AO$3=1,[1]!T.in.A[[#This Row],[Σp5]],""),"")</f>
        <v/>
      </c>
      <c r="AP1197" s="110" t="str">
        <f>IF(Tab.o1[[#This Row],[a1]]=1,IF(ISNUMBER(Tab.o1[[#This Row],[i.]]),NORMDIST(Tab.o1[[#This Row],[Za]],0,1,FALSE)*Tab.o1[[#This Row],[i.]],0),"")</f>
        <v/>
      </c>
      <c r="AQ1197" s="125" t="str">
        <f>IF(Tab.o1[[#This Row],[a1]]=1,ABS(Tab.o1[[#This Row],[MOD]]-AVERAGE(Tab.o1[MOD])),"")</f>
        <v/>
      </c>
      <c r="AR1197" s="134" t="str">
        <f>IF(Tab.o1[[#This Row],[a1]]=1,Tab.o1[[#This Row],[OBS]]/SUM(Tab.o1[OBS]),"")</f>
        <v/>
      </c>
      <c r="AS1197" s="135" t="str">
        <f>IF(ISNUMBER(Tab.o1[[#This Row],[a1]]),ROW()-4,"")</f>
        <v/>
      </c>
      <c r="AT1197" s="136" t="str">
        <f>Tab.o1[[#This Row],[MOD]]</f>
        <v/>
      </c>
      <c r="AU1197" s="137" t="str">
        <f t="shared" si="73"/>
        <v/>
      </c>
      <c r="AV1197" s="138" t="str">
        <f t="shared" si="74"/>
        <v/>
      </c>
      <c r="AW1197" s="138" t="str">
        <f t="shared" si="75"/>
        <v/>
      </c>
      <c r="AX1197" s="139" t="str">
        <f>[1]!T.in.A[[#This Row],[ID_T_manu]]</f>
        <v/>
      </c>
      <c r="AY1197" s="140" t="str">
        <f>IF(ISNUMBER(Tab.o1[[#This Row],[a1]]),IF(AND(Tab.o1[[#This Row],[a1]]=1,Tab.o1[[#This Row],[b1]]&lt;=AY$4),#REF!,AY1196),"")</f>
        <v/>
      </c>
      <c r="AZ1197" s="25"/>
      <c r="BA1197" s="25"/>
      <c r="BB1197" s="25"/>
      <c r="BC1197" s="25"/>
      <c r="BD1197" s="25"/>
      <c r="BE1197" s="25"/>
      <c r="BF1197" s="25"/>
      <c r="BG1197" s="25"/>
      <c r="BH1197" s="25"/>
      <c r="BI1197" s="25"/>
      <c r="BJ1197" s="25"/>
      <c r="BK1197" s="25"/>
      <c r="BL1197" s="25"/>
      <c r="BM1197" s="25"/>
      <c r="BN1197" s="26"/>
      <c r="BO1197" s="26"/>
      <c r="BP1197" s="26"/>
      <c r="BQ1197" s="26"/>
      <c r="BR1197" s="26"/>
      <c r="BS1197" s="26"/>
      <c r="BT1197" s="26"/>
      <c r="BU1197" s="26"/>
      <c r="BV1197" s="26"/>
      <c r="BW1197" s="26"/>
      <c r="BX1197" s="26"/>
      <c r="BY1197" s="26"/>
      <c r="BZ1197" s="26"/>
      <c r="CA1197" s="26"/>
    </row>
    <row r="1198" spans="1:79" ht="15.75" hidden="1">
      <c r="A1198" s="109">
        <v>-8.0000000000000013E-6</v>
      </c>
      <c r="B1198" s="110">
        <f t="shared" si="72"/>
        <v>1198</v>
      </c>
      <c r="C1198" s="111" t="str">
        <f>IF(C$1=[1]!T.in.A[[#This Row],[oo2]],1,"")</f>
        <v/>
      </c>
      <c r="D1198" s="112" t="str">
        <f>IF(Tab.o1[[#This Row],[a1]]=1,IF(SUM(C1198:C1199)=0,0,IF(SUM(C1197:C1198)=1,1,IF(SUM(C1197:C1199)&gt;1,D1197+1,0))),"")</f>
        <v/>
      </c>
      <c r="E1198" s="113" t="str">
        <f>IF(Tab.o1[[#This Row],[a1]]=1,[1]!T.in.A[[#This Row],[oo1]],"")</f>
        <v/>
      </c>
      <c r="F1198" s="113" t="str">
        <f>IF(Tab.o1[[#This Row],[a1]]=1,[1]!T.in.A[[#This Row],[pp1]],"")</f>
        <v/>
      </c>
      <c r="G1198" s="114" t="str">
        <f>IF(Tab.o1[[#This Row],[a1]]=1,G$2+IF(G$1=1,0,Tab.o1[[#This Row],[.x1]])+[1]!T.in.A[[#This Row],[oo3]],"")</f>
        <v/>
      </c>
      <c r="H1198" s="115" t="str">
        <f>IF(Tab.o1[[#This Row],[a1]]=1,IF(H$2=0,0,IF(G$1=1,0,Tab.o1[[#This Row],[.x1]])+[1]!T.in.A[[#This Row],[oo4]]),"")</f>
        <v/>
      </c>
      <c r="I1198" s="116" t="str">
        <f>IF(Tab.o1[[#This Row],[a1]]=1,IF(J$2=0,Tab.o1[[#This Row],[MED]],Tab.o1[[#This Row],[MOD]]),"")</f>
        <v/>
      </c>
      <c r="J1198" s="116" t="str">
        <f>IF(Tab.o1[[#This Row],[a1]]=1,((Tab.o1[[#This Row],[DIF_Target.]]-AVERAGE(Tab.o1[DIF_Target.]))/_xlfn.STDEV.P(Tab.o1[DIF_Target.])),"")</f>
        <v/>
      </c>
      <c r="K1198" s="117" t="str">
        <f>IF(Tab.o1[[#This Row],[a1]]=1,IF(J$2=0,Tab.o1[[#This Row],[MOD]]-Tab.o1[[#This Row],[B]],IF(J$2=1,0,-Tab.o1[[#This Row],[MED]])+Tab.o1[[#This Row],[B]]),"")</f>
        <v/>
      </c>
      <c r="L1198" s="117" t="str">
        <f ca="1">IF(Tab.o1[[#This Row],[DIF_Target]]=0,IF(L$2=0,Tab.o1[[#This Row],[DIF_Target]],AVERAGE(OFFSET(Tab.o1[[#This Row],[DIF_Target]],1,0,L$3,1)))/3,Tab.o1[[#This Row],[DIF_Target]])</f>
        <v/>
      </c>
      <c r="M1198" s="118" t="str">
        <f>IF(Tab.o1[[#This Row],[a1]]=1,NORMSDIST(Tab.o1[[#This Row],[Za]]),"")</f>
        <v/>
      </c>
      <c r="N1198" s="119" t="str">
        <f>IF(Tab.o1[[#This Row],[a1]]=1,((Tab.o1[[#This Row],[MedMod]]-AVERAGE(Tab.o1[MedMod]))/_xlfn.STDEV.P(Tab.o1[MedMod])*H$1205)+G$1205,"")</f>
        <v/>
      </c>
      <c r="O1198" s="141" t="str">
        <f>IF(Tab.o1[[#This Row],[a1]]=1,Tab.o1[[#This Row],[Zb]]*_xlfn.STDEV.P(Tab.o1[MedMod])+AVERAGE(Tab.o1[MedMod]),"")</f>
        <v/>
      </c>
      <c r="P1198" s="117" t="str">
        <f ca="1">IF(Tab.o1[[#This Row],[B]]=0,AVERAGE(OFFSET(Tab.o1[[#This Row],[B]],1,0,L$3,1)),Tab.o1[[#This Row],[B]])</f>
        <v/>
      </c>
      <c r="Q1198" s="121" t="str">
        <f>IF(Tab.o1[[#This Row],[a1]]=1,NORMSDIST(Tab.o1[[#This Row],[Zb]]),"")</f>
        <v/>
      </c>
      <c r="R1198" s="122" t="str">
        <f>IF(Tab.o1[[#This Row],[a1]]=1,((Tab.o1[[#This Row],[MedMod]]-AVERAGE(Tab.o1[MedMod]))/_xlfn.STDEV.P(Tab.o1[MedMod])*H$1203)+G$1203,"")</f>
        <v/>
      </c>
      <c r="S1198" s="122" t="str">
        <f>IF(Tab.o1[[#This Row],[a1]]=1,((Tab.o1[[#This Row],[MedMod]]-AVERAGE(Tab.o1[MedMod]))/_xlfn.STDEV.P(Tab.o1[MedMod])*H$1204)+G$1204,"")</f>
        <v/>
      </c>
      <c r="T1198" s="123" t="str">
        <f>IF(Tab.o1[[#This Row],[a1]]=1,Tab.o1[[#This Row],[Z-]]*_xlfn.STDEV.P(Tab.o1[B])+AVERAGE(Tab.o1[B]),"")</f>
        <v/>
      </c>
      <c r="U1198" s="123" t="str">
        <f>IF(Tab.o1[[#This Row],[a1]]=1,Tab.o1[[#This Row],[z+]]*_xlfn.STDEV.P(Tab.o1[B])+AVERAGE(Tab.o1[B]),"")</f>
        <v/>
      </c>
      <c r="V1198" s="124" t="str">
        <f>IF(Tab.o1[[#This Row],[a1]]=1,ABS((ABS(Tab.o1[[#This Row],[Red]]-Tab.o1[[#This Row],[Blue]]))),"")</f>
        <v/>
      </c>
      <c r="W1198" s="125" t="str">
        <f>IF(Tab.o1[[#This Row],[a1]]=1,IF(W$3=0,1,Tab.o1[[#This Row],[Amp.]]*1/_xlfn.MINIFS(Tab.o1[Amp.],Tab.o1[Amp.],"&lt;&gt;0")),"")</f>
        <v/>
      </c>
      <c r="X1198" s="126" t="str">
        <f>IF(Tab.o1[[#This Row],[a1]]=1,IF(ISNUMBER(Tab.o1[[#This Row],[i.]]),NORMDIST(Tab.o1[[#This Row],[Za]],0,1,FALSE)*Tab.o1[[#This Row],[i.]],AP$3),"")</f>
        <v/>
      </c>
      <c r="Y1198" s="126" t="str">
        <f>IF(Tab.o1[[#This Row],[a1]]=1,0.01+0.94*Tab.o1[[#This Row],[PDF]]/MAX(Tab.o1[PDF]),"")</f>
        <v/>
      </c>
      <c r="Z1198" s="126" t="str">
        <f>IF(Tab.o1[[#This Row],[a1]]=1,0.01+0.94*Tab.o1[[#This Row],[W1_PDF]]/MAX(Tab.o1[W1_PDF]),"")</f>
        <v/>
      </c>
      <c r="AA1198" s="118" t="str">
        <f>IF(Tab.o1[[#This Row],[a1]]=1,ABS([1]!T.in.A[[#This Row],[oo6]]),"")</f>
        <v/>
      </c>
      <c r="AB1198" s="127" t="str">
        <f>IF(Tab.o1[[#This Row],[a1]]=1,IF(AE$3=0,"",IF(AB$3=0,ABS([1]!T.in.A[[#This Row],[oo9]]),ABS(Tab.o1[[#This Row],[DIF_Target.]]*Tab.o1[[#This Row],[W1_PDF]]))),"")</f>
        <v/>
      </c>
      <c r="AC1198" s="127" t="str">
        <f>IF(G$1=1,"",IF(Tab.o1[[#This Row],[a1]]=1,Tab.o1[[#This Row],[Wr]]^2,""))</f>
        <v/>
      </c>
      <c r="AD1198" s="118" t="str">
        <f>IF(Tab.o1[[#This Row],[a1]]=1,IF(AE$3=0,"",Tab.o1[[#This Row],[Wr2]]/SUM(Tab.o1[Wr2])),"")</f>
        <v/>
      </c>
      <c r="AE1198" s="128" t="str">
        <f>IF(Tab.o1[[#This Row],[a1]]=1,[1]!T.in.A[[#This Row],[oo10]],"")</f>
        <v/>
      </c>
      <c r="AF1198" s="118" t="str">
        <f>IF(Tab.o1[[#This Row],[a1]]=1,ABS(Tab.o1[[#This Row],[DIF_Target.]]*Tab.o1[[#This Row],[PDF2]]*Tab.o1[[#This Row],[IN]]),"")</f>
        <v/>
      </c>
      <c r="AG1198" s="129" t="str">
        <f>IF(Tab.o1[[#This Row],[a1]]=1,Tab.o1[[#This Row],[rW]]^2,"")</f>
        <v/>
      </c>
      <c r="AH1198" s="130" t="str">
        <f>IF(Tab.o1[[#This Row],[a1]]=1,IF(AH$3=0,Tab.o1[[#This Row],[rW2]],0.01+0.94*Tab.o1[[#This Row],[rW2]]/SUM(Tab.o1[rW2])),"")</f>
        <v/>
      </c>
      <c r="AI1198" s="128" t="str">
        <f>IF(Tab.o1[[#This Row],[a1]]=1,1/Tab.o1[[#This Row],[PDF]],"")</f>
        <v/>
      </c>
      <c r="AJ1198" s="131" t="str">
        <f>IF(Tab.o1[[#This Row],[a1]]=1,[1]!T_AA[[#This Row],[IN'']]*[1]!T_AA[[#This Row],[Qde'']],"")</f>
        <v/>
      </c>
      <c r="AK1198" s="132" t="str">
        <f>IF(Tab.o1[[#This Row],[a1]]=1,IF(AK$1=1,Tab.o1[[#This Row],[MED]]+Tab.o1[[#This Row],[MOD]]-Tab.o1[[#This Row],[MED]],""),"")</f>
        <v/>
      </c>
      <c r="AL1198" s="133" t="str">
        <f>IF(Tab.o1[[#This Row],[a1]]=1,[1]!T.in.A[[#This Row],[oo16]],"")</f>
        <v/>
      </c>
      <c r="AM1198" s="133" t="str">
        <f>IF(Tab.o1[[#This Row],[a1]]=1,IF(AM$3=1,[1]!T.in.A[[#This Row],[Σo16]],""),"")</f>
        <v/>
      </c>
      <c r="AN1198" s="126" t="str">
        <f>IF(Tab.o1[[#This Row],[a1]]=1,[1]!T.in.A[[#This Row],[Σp5]],"")</f>
        <v/>
      </c>
      <c r="AO1198" s="126" t="str">
        <f>IF(Tab.o1[[#This Row],[a1]]=1,IF(AO$3=1,[1]!T.in.A[[#This Row],[Σp5]],""),"")</f>
        <v/>
      </c>
      <c r="AP1198" s="110" t="str">
        <f>IF(Tab.o1[[#This Row],[a1]]=1,IF(ISNUMBER(Tab.o1[[#This Row],[i.]]),NORMDIST(Tab.o1[[#This Row],[Za]],0,1,FALSE)*Tab.o1[[#This Row],[i.]],0),"")</f>
        <v/>
      </c>
      <c r="AQ1198" s="125" t="str">
        <f>IF(Tab.o1[[#This Row],[a1]]=1,ABS(Tab.o1[[#This Row],[MOD]]-AVERAGE(Tab.o1[MOD])),"")</f>
        <v/>
      </c>
      <c r="AR1198" s="134" t="str">
        <f>IF(Tab.o1[[#This Row],[a1]]=1,Tab.o1[[#This Row],[OBS]]/SUM(Tab.o1[OBS]),"")</f>
        <v/>
      </c>
      <c r="AS1198" s="135" t="str">
        <f>IF(ISNUMBER(Tab.o1[[#This Row],[a1]]),ROW()-4,"")</f>
        <v/>
      </c>
      <c r="AT1198" s="136" t="str">
        <f>Tab.o1[[#This Row],[MOD]]</f>
        <v/>
      </c>
      <c r="AU1198" s="137" t="str">
        <f t="shared" si="73"/>
        <v/>
      </c>
      <c r="AV1198" s="138" t="str">
        <f t="shared" si="74"/>
        <v/>
      </c>
      <c r="AW1198" s="138" t="str">
        <f t="shared" si="75"/>
        <v/>
      </c>
      <c r="AX1198" s="139" t="str">
        <f>[1]!T.in.A[[#This Row],[ID_T_manu]]</f>
        <v/>
      </c>
      <c r="AY1198" s="140" t="str">
        <f>IF(ISNUMBER(Tab.o1[[#This Row],[a1]]),IF(AND(Tab.o1[[#This Row],[a1]]=1,Tab.o1[[#This Row],[b1]]&lt;=AY$4),#REF!,AY1197),"")</f>
        <v/>
      </c>
      <c r="AZ1198" s="25"/>
      <c r="BA1198" s="25"/>
      <c r="BB1198" s="25"/>
      <c r="BC1198" s="25"/>
      <c r="BD1198" s="25"/>
      <c r="BE1198" s="25"/>
      <c r="BF1198" s="25"/>
      <c r="BG1198" s="25"/>
      <c r="BH1198" s="25"/>
      <c r="BI1198" s="25"/>
      <c r="BJ1198" s="25"/>
      <c r="BK1198" s="25"/>
      <c r="BL1198" s="25"/>
      <c r="BM1198" s="25"/>
      <c r="BN1198" s="26"/>
      <c r="BO1198" s="26"/>
      <c r="BP1198" s="26"/>
      <c r="BQ1198" s="26"/>
      <c r="BR1198" s="26"/>
      <c r="BS1198" s="26"/>
      <c r="BT1198" s="26"/>
      <c r="BU1198" s="26"/>
      <c r="BV1198" s="26"/>
      <c r="BW1198" s="26"/>
      <c r="BX1198" s="26"/>
      <c r="BY1198" s="26"/>
      <c r="BZ1198" s="26"/>
      <c r="CA1198" s="26"/>
    </row>
    <row r="1199" spans="1:79" ht="15.75" hidden="1">
      <c r="A1199" s="109">
        <v>-1.0000000000000002E-6</v>
      </c>
      <c r="B1199" s="110">
        <f t="shared" si="72"/>
        <v>1199</v>
      </c>
      <c r="C1199" s="111" t="str">
        <f>IF(C$1=[1]!T.in.A[[#This Row],[oo2]],1,"")</f>
        <v/>
      </c>
      <c r="D1199" s="112" t="str">
        <f>IF(Tab.o1[[#This Row],[a1]]=1,IF(SUM(C1199:C1200)=0,0,IF(SUM(C1198:C1199)=1,1,IF(SUM(C1198:C1200)&gt;1,D1198+1,0))),"")</f>
        <v/>
      </c>
      <c r="E1199" s="113" t="str">
        <f>IF(Tab.o1[[#This Row],[a1]]=1,[1]!T.in.A[[#This Row],[oo1]],"")</f>
        <v/>
      </c>
      <c r="F1199" s="113" t="str">
        <f>IF(Tab.o1[[#This Row],[a1]]=1,[1]!T.in.A[[#This Row],[pp1]],"")</f>
        <v/>
      </c>
      <c r="G1199" s="114" t="str">
        <f>IF(Tab.o1[[#This Row],[a1]]=1,G$2+IF(G$1=1,0,Tab.o1[[#This Row],[.x1]])+[1]!T.in.A[[#This Row],[oo3]],"")</f>
        <v/>
      </c>
      <c r="H1199" s="115" t="str">
        <f>IF(Tab.o1[[#This Row],[a1]]=1,IF(H$2=0,0,IF(G$1=1,0,Tab.o1[[#This Row],[.x1]])+[1]!T.in.A[[#This Row],[oo4]]),"")</f>
        <v/>
      </c>
      <c r="I1199" s="116" t="str">
        <f>IF(Tab.o1[[#This Row],[a1]]=1,IF(J$2=0,Tab.o1[[#This Row],[MED]],Tab.o1[[#This Row],[MOD]]),"")</f>
        <v/>
      </c>
      <c r="J1199" s="116" t="str">
        <f>IF(Tab.o1[[#This Row],[a1]]=1,((Tab.o1[[#This Row],[DIF_Target.]]-AVERAGE(Tab.o1[DIF_Target.]))/_xlfn.STDEV.P(Tab.o1[DIF_Target.])),"")</f>
        <v/>
      </c>
      <c r="K1199" s="117" t="str">
        <f>IF(Tab.o1[[#This Row],[a1]]=1,IF(J$2=0,Tab.o1[[#This Row],[MOD]]-Tab.o1[[#This Row],[B]],IF(J$2=1,0,-Tab.o1[[#This Row],[MED]])+Tab.o1[[#This Row],[B]]),"")</f>
        <v/>
      </c>
      <c r="L1199" s="117" t="str">
        <f ca="1">IF(Tab.o1[[#This Row],[DIF_Target]]=0,IF(L$2=0,Tab.o1[[#This Row],[DIF_Target]],AVERAGE(OFFSET(Tab.o1[[#This Row],[DIF_Target]],1,0,L$3,1)))/3,Tab.o1[[#This Row],[DIF_Target]])</f>
        <v/>
      </c>
      <c r="M1199" s="118" t="str">
        <f>IF(Tab.o1[[#This Row],[a1]]=1,NORMSDIST(Tab.o1[[#This Row],[Za]]),"")</f>
        <v/>
      </c>
      <c r="N1199" s="119" t="str">
        <f>IF(Tab.o1[[#This Row],[a1]]=1,((Tab.o1[[#This Row],[MedMod]]-AVERAGE(Tab.o1[MedMod]))/_xlfn.STDEV.P(Tab.o1[MedMod])*H$1205)+G$1205,"")</f>
        <v/>
      </c>
      <c r="O1199" s="141" t="str">
        <f>IF(Tab.o1[[#This Row],[a1]]=1,Tab.o1[[#This Row],[Zb]]*_xlfn.STDEV.P(Tab.o1[MedMod])+AVERAGE(Tab.o1[MedMod]),"")</f>
        <v/>
      </c>
      <c r="P1199" s="117" t="str">
        <f ca="1">IF(Tab.o1[[#This Row],[B]]=0,AVERAGE(OFFSET(Tab.o1[[#This Row],[B]],1,0,L$3,1)),Tab.o1[[#This Row],[B]])</f>
        <v/>
      </c>
      <c r="Q1199" s="121" t="str">
        <f>IF(Tab.o1[[#This Row],[a1]]=1,NORMSDIST(Tab.o1[[#This Row],[Zb]]),"")</f>
        <v/>
      </c>
      <c r="R1199" s="122" t="str">
        <f>IF(Tab.o1[[#This Row],[a1]]=1,((Tab.o1[[#This Row],[MedMod]]-AVERAGE(Tab.o1[MedMod]))/_xlfn.STDEV.P(Tab.o1[MedMod])*H$1203)+G$1203,"")</f>
        <v/>
      </c>
      <c r="S1199" s="122" t="str">
        <f>IF(Tab.o1[[#This Row],[a1]]=1,((Tab.o1[[#This Row],[MedMod]]-AVERAGE(Tab.o1[MedMod]))/_xlfn.STDEV.P(Tab.o1[MedMod])*H$1204)+G$1204,"")</f>
        <v/>
      </c>
      <c r="T1199" s="123" t="str">
        <f>IF(Tab.o1[[#This Row],[a1]]=1,Tab.o1[[#This Row],[Z-]]*_xlfn.STDEV.P(Tab.o1[B])+AVERAGE(Tab.o1[B]),"")</f>
        <v/>
      </c>
      <c r="U1199" s="123" t="str">
        <f>IF(Tab.o1[[#This Row],[a1]]=1,Tab.o1[[#This Row],[z+]]*_xlfn.STDEV.P(Tab.o1[B])+AVERAGE(Tab.o1[B]),"")</f>
        <v/>
      </c>
      <c r="V1199" s="124" t="str">
        <f>IF(Tab.o1[[#This Row],[a1]]=1,ABS((ABS(Tab.o1[[#This Row],[Red]]-Tab.o1[[#This Row],[Blue]]))),"")</f>
        <v/>
      </c>
      <c r="W1199" s="125" t="str">
        <f>IF(Tab.o1[[#This Row],[a1]]=1,IF(W$3=0,1,Tab.o1[[#This Row],[Amp.]]*1/_xlfn.MINIFS(Tab.o1[Amp.],Tab.o1[Amp.],"&lt;&gt;0")),"")</f>
        <v/>
      </c>
      <c r="X1199" s="126" t="str">
        <f>IF(Tab.o1[[#This Row],[a1]]=1,IF(ISNUMBER(Tab.o1[[#This Row],[i.]]),NORMDIST(Tab.o1[[#This Row],[Za]],0,1,FALSE)*Tab.o1[[#This Row],[i.]],AP$3),"")</f>
        <v/>
      </c>
      <c r="Y1199" s="126" t="str">
        <f>IF(Tab.o1[[#This Row],[a1]]=1,0.01+0.94*Tab.o1[[#This Row],[PDF]]/MAX(Tab.o1[PDF]),"")</f>
        <v/>
      </c>
      <c r="Z1199" s="126" t="str">
        <f>IF(Tab.o1[[#This Row],[a1]]=1,0.01+0.94*Tab.o1[[#This Row],[W1_PDF]]/MAX(Tab.o1[W1_PDF]),"")</f>
        <v/>
      </c>
      <c r="AA1199" s="118" t="str">
        <f>IF(Tab.o1[[#This Row],[a1]]=1,ABS([1]!T.in.A[[#This Row],[oo6]]),"")</f>
        <v/>
      </c>
      <c r="AB1199" s="127" t="str">
        <f>IF(Tab.o1[[#This Row],[a1]]=1,IF(AE$3=0,"",IF(AB$3=0,ABS([1]!T.in.A[[#This Row],[oo9]]),ABS(Tab.o1[[#This Row],[DIF_Target.]]*Tab.o1[[#This Row],[W1_PDF]]))),"")</f>
        <v/>
      </c>
      <c r="AC1199" s="127" t="str">
        <f>IF(G$1=1,"",IF(Tab.o1[[#This Row],[a1]]=1,Tab.o1[[#This Row],[Wr]]^2,""))</f>
        <v/>
      </c>
      <c r="AD1199" s="118" t="str">
        <f>IF(Tab.o1[[#This Row],[a1]]=1,IF(AE$3=0,"",Tab.o1[[#This Row],[Wr2]]/SUM(Tab.o1[Wr2])),"")</f>
        <v/>
      </c>
      <c r="AE1199" s="128" t="str">
        <f>IF(Tab.o1[[#This Row],[a1]]=1,[1]!T.in.A[[#This Row],[oo10]],"")</f>
        <v/>
      </c>
      <c r="AF1199" s="118" t="str">
        <f>IF(Tab.o1[[#This Row],[a1]]=1,ABS(Tab.o1[[#This Row],[DIF_Target.]]*Tab.o1[[#This Row],[PDF2]]*Tab.o1[[#This Row],[IN]]),"")</f>
        <v/>
      </c>
      <c r="AG1199" s="129" t="str">
        <f>IF(Tab.o1[[#This Row],[a1]]=1,Tab.o1[[#This Row],[rW]]^2,"")</f>
        <v/>
      </c>
      <c r="AH1199" s="130" t="str">
        <f>IF(Tab.o1[[#This Row],[a1]]=1,IF(AH$3=0,Tab.o1[[#This Row],[rW2]],0.01+0.94*Tab.o1[[#This Row],[rW2]]/SUM(Tab.o1[rW2])),"")</f>
        <v/>
      </c>
      <c r="AI1199" s="128" t="str">
        <f>IF(Tab.o1[[#This Row],[a1]]=1,1/Tab.o1[[#This Row],[PDF]],"")</f>
        <v/>
      </c>
      <c r="AJ1199" s="131" t="str">
        <f>IF(Tab.o1[[#This Row],[a1]]=1,[1]!T_AA[[#This Row],[IN'']]*[1]!T_AA[[#This Row],[Qde'']],"")</f>
        <v/>
      </c>
      <c r="AK1199" s="132" t="str">
        <f>IF(Tab.o1[[#This Row],[a1]]=1,IF(AK$1=1,Tab.o1[[#This Row],[MED]]+Tab.o1[[#This Row],[MOD]]-Tab.o1[[#This Row],[MED]],""),"")</f>
        <v/>
      </c>
      <c r="AL1199" s="133" t="str">
        <f>IF(Tab.o1[[#This Row],[a1]]=1,[1]!T.in.A[[#This Row],[oo16]],"")</f>
        <v/>
      </c>
      <c r="AM1199" s="133" t="str">
        <f>IF(Tab.o1[[#This Row],[a1]]=1,IF(AM$3=1,[1]!T.in.A[[#This Row],[Σo16]],""),"")</f>
        <v/>
      </c>
      <c r="AN1199" s="126" t="str">
        <f>IF(Tab.o1[[#This Row],[a1]]=1,[1]!T.in.A[[#This Row],[Σp5]],"")</f>
        <v/>
      </c>
      <c r="AO1199" s="126" t="str">
        <f>IF(Tab.o1[[#This Row],[a1]]=1,IF(AO$3=1,[1]!T.in.A[[#This Row],[Σp5]],""),"")</f>
        <v/>
      </c>
      <c r="AP1199" s="110" t="str">
        <f>IF(Tab.o1[[#This Row],[a1]]=1,IF(ISNUMBER(Tab.o1[[#This Row],[i.]]),NORMDIST(Tab.o1[[#This Row],[Za]],0,1,FALSE)*Tab.o1[[#This Row],[i.]],0),"")</f>
        <v/>
      </c>
      <c r="AQ1199" s="125" t="str">
        <f>IF(Tab.o1[[#This Row],[a1]]=1,ABS(Tab.o1[[#This Row],[MOD]]-AVERAGE(Tab.o1[MOD])),"")</f>
        <v/>
      </c>
      <c r="AR1199" s="134" t="str">
        <f>IF(Tab.o1[[#This Row],[a1]]=1,Tab.o1[[#This Row],[OBS]]/SUM(Tab.o1[OBS]),"")</f>
        <v/>
      </c>
      <c r="AS1199" s="135" t="str">
        <f>IF(ISNUMBER(Tab.o1[[#This Row],[a1]]),ROW()-4,"")</f>
        <v/>
      </c>
      <c r="AT1199" s="136" t="str">
        <f>Tab.o1[[#This Row],[MOD]]</f>
        <v/>
      </c>
      <c r="AU1199" s="137" t="str">
        <f t="shared" si="73"/>
        <v/>
      </c>
      <c r="AV1199" s="138" t="str">
        <f t="shared" si="74"/>
        <v/>
      </c>
      <c r="AW1199" s="138" t="str">
        <f t="shared" si="75"/>
        <v/>
      </c>
      <c r="AX1199" s="139" t="str">
        <f>[1]!T.in.A[[#This Row],[ID_T_manu]]</f>
        <v/>
      </c>
      <c r="AY1199" s="140" t="str">
        <f>IF(ISNUMBER(Tab.o1[[#This Row],[a1]]),IF(AND(Tab.o1[[#This Row],[a1]]=1,Tab.o1[[#This Row],[b1]]&lt;=AY$4),#REF!,AY1198),"")</f>
        <v/>
      </c>
      <c r="AZ1199" s="25"/>
      <c r="BA1199" s="25"/>
      <c r="BB1199" s="25"/>
      <c r="BC1199" s="25"/>
      <c r="BD1199" s="25"/>
      <c r="BE1199" s="25"/>
      <c r="BF1199" s="25"/>
      <c r="BG1199" s="25"/>
      <c r="BH1199" s="25"/>
      <c r="BI1199" s="25"/>
      <c r="BJ1199" s="25"/>
      <c r="BK1199" s="25"/>
      <c r="BL1199" s="25"/>
      <c r="BM1199" s="25"/>
      <c r="BN1199" s="26"/>
      <c r="BO1199" s="26"/>
      <c r="BP1199" s="26"/>
      <c r="BQ1199" s="26"/>
      <c r="BR1199" s="26"/>
      <c r="BS1199" s="26"/>
      <c r="BT1199" s="26"/>
      <c r="BU1199" s="26"/>
      <c r="BV1199" s="26"/>
      <c r="BW1199" s="26"/>
      <c r="BX1199" s="26"/>
      <c r="BY1199" s="26"/>
      <c r="BZ1199" s="26"/>
      <c r="CA1199" s="26"/>
    </row>
    <row r="1200" spans="1:79" ht="15.75" hidden="1">
      <c r="A1200" s="109">
        <v>-9.0000000000000002E-6</v>
      </c>
      <c r="B1200" s="110">
        <f t="shared" si="72"/>
        <v>1200</v>
      </c>
      <c r="C1200" s="111" t="str">
        <f>IF(C$1=[1]!T.in.A[[#This Row],[oo2]],1,"")</f>
        <v/>
      </c>
      <c r="D1200" s="112" t="str">
        <f>IF(Tab.o1[[#This Row],[a1]]=1,IF(SUM(C1200:C1200)=0,0,IF(SUM(C1199:C1200)=1,1,IF(SUM(C1199:C1200)&gt;1,D1199+1,0))),"")</f>
        <v/>
      </c>
      <c r="E1200" s="113" t="str">
        <f>IF(Tab.o1[[#This Row],[a1]]=1,[1]!T.in.A[[#This Row],[oo1]],"")</f>
        <v/>
      </c>
      <c r="F1200" s="113" t="str">
        <f>IF(Tab.o1[[#This Row],[a1]]=1,[1]!T.in.A[[#This Row],[pp1]],"")</f>
        <v/>
      </c>
      <c r="G1200" s="114" t="str">
        <f>IF(Tab.o1[[#This Row],[a1]]=1,G$2+IF(G$1=1,0,Tab.o1[[#This Row],[.x1]])+[1]!T.in.A[[#This Row],[oo3]],"")</f>
        <v/>
      </c>
      <c r="H1200" s="115" t="str">
        <f>IF(Tab.o1[[#This Row],[a1]]=1,IF(H$2=0,0,IF(G$1=1,0,Tab.o1[[#This Row],[.x1]])+[1]!T.in.A[[#This Row],[oo4]]),"")</f>
        <v/>
      </c>
      <c r="I1200" s="116" t="str">
        <f>IF(Tab.o1[[#This Row],[a1]]=1,IF(J$2=0,Tab.o1[[#This Row],[MED]],Tab.o1[[#This Row],[MOD]]),"")</f>
        <v/>
      </c>
      <c r="J1200" s="116" t="str">
        <f>IF(Tab.o1[[#This Row],[a1]]=1,((Tab.o1[[#This Row],[DIF_Target.]]-AVERAGE(Tab.o1[DIF_Target.]))/_xlfn.STDEV.P(Tab.o1[DIF_Target.])),"")</f>
        <v/>
      </c>
      <c r="K1200" s="117" t="str">
        <f>IF(Tab.o1[[#This Row],[a1]]=1,IF(J$2=0,Tab.o1[[#This Row],[MOD]]-Tab.o1[[#This Row],[B]],IF(J$2=1,0,-Tab.o1[[#This Row],[MED]])+Tab.o1[[#This Row],[B]]),"")</f>
        <v/>
      </c>
      <c r="L1200" s="117" t="str">
        <f ca="1">IF(Tab.o1[[#This Row],[DIF_Target]]=0,IF(L$2=0,Tab.o1[[#This Row],[DIF_Target]],AVERAGE(OFFSET(Tab.o1[[#This Row],[DIF_Target]],1,0,L$3,1)))/3,Tab.o1[[#This Row],[DIF_Target]])</f>
        <v/>
      </c>
      <c r="M1200" s="118" t="str">
        <f>IF(Tab.o1[[#This Row],[a1]]=1,NORMSDIST(Tab.o1[[#This Row],[Za]]),"")</f>
        <v/>
      </c>
      <c r="N1200" s="119" t="str">
        <f>IF(Tab.o1[[#This Row],[a1]]=1,((Tab.o1[[#This Row],[MedMod]]-AVERAGE(Tab.o1[MedMod]))/_xlfn.STDEV.P(Tab.o1[MedMod])*H$1205)+G$1205,"")</f>
        <v/>
      </c>
      <c r="O1200" s="141" t="str">
        <f>IF(Tab.o1[[#This Row],[a1]]=1,Tab.o1[[#This Row],[Zb]]*_xlfn.STDEV.P(Tab.o1[MedMod])+AVERAGE(Tab.o1[MedMod]),"")</f>
        <v/>
      </c>
      <c r="P1200" s="117" t="str">
        <f ca="1">IF(Tab.o1[[#This Row],[B]]=0,AVERAGE(OFFSET(Tab.o1[[#This Row],[B]],1,0,L$3,1)),Tab.o1[[#This Row],[B]])</f>
        <v/>
      </c>
      <c r="Q1200" s="121" t="str">
        <f>IF(Tab.o1[[#This Row],[a1]]=1,NORMSDIST(Tab.o1[[#This Row],[Zb]]),"")</f>
        <v/>
      </c>
      <c r="R1200" s="122" t="str">
        <f>IF(Tab.o1[[#This Row],[a1]]=1,((Tab.o1[[#This Row],[MedMod]]-AVERAGE(Tab.o1[MedMod]))/_xlfn.STDEV.P(Tab.o1[MedMod])*H$1203)+G$1203,"")</f>
        <v/>
      </c>
      <c r="S1200" s="122" t="str">
        <f>IF(Tab.o1[[#This Row],[a1]]=1,((Tab.o1[[#This Row],[MedMod]]-AVERAGE(Tab.o1[MedMod]))/_xlfn.STDEV.P(Tab.o1[MedMod])*H$1204)+G$1204,"")</f>
        <v/>
      </c>
      <c r="T1200" s="123" t="str">
        <f>IF(Tab.o1[[#This Row],[a1]]=1,Tab.o1[[#This Row],[Z-]]*_xlfn.STDEV.P(Tab.o1[B])+AVERAGE(Tab.o1[B]),"")</f>
        <v/>
      </c>
      <c r="U1200" s="123" t="str">
        <f>IF(Tab.o1[[#This Row],[a1]]=1,Tab.o1[[#This Row],[z+]]*_xlfn.STDEV.P(Tab.o1[B])+AVERAGE(Tab.o1[B]),"")</f>
        <v/>
      </c>
      <c r="V1200" s="124" t="str">
        <f>IF(Tab.o1[[#This Row],[a1]]=1,ABS((ABS(Tab.o1[[#This Row],[Red]]-Tab.o1[[#This Row],[Blue]]))),"")</f>
        <v/>
      </c>
      <c r="W1200" s="125" t="str">
        <f>IF(Tab.o1[[#This Row],[a1]]=1,IF(W$3=0,1,Tab.o1[[#This Row],[Amp.]]*1/_xlfn.MINIFS(Tab.o1[Amp.],Tab.o1[Amp.],"&lt;&gt;0")),"")</f>
        <v/>
      </c>
      <c r="X1200" s="126" t="str">
        <f>IF(Tab.o1[[#This Row],[a1]]=1,IF(ISNUMBER(Tab.o1[[#This Row],[i.]]),NORMDIST(Tab.o1[[#This Row],[Za]],0,1,FALSE)*Tab.o1[[#This Row],[i.]],AP$3),"")</f>
        <v/>
      </c>
      <c r="Y1200" s="126" t="str">
        <f>IF(Tab.o1[[#This Row],[a1]]=1,0.01+0.94*Tab.o1[[#This Row],[PDF]]/MAX(Tab.o1[PDF]),"")</f>
        <v/>
      </c>
      <c r="Z1200" s="126" t="str">
        <f>IF(Tab.o1[[#This Row],[a1]]=1,0.01+0.94*Tab.o1[[#This Row],[W1_PDF]]/MAX(Tab.o1[W1_PDF]),"")</f>
        <v/>
      </c>
      <c r="AA1200" s="118" t="str">
        <f>IF(Tab.o1[[#This Row],[a1]]=1,ABS([1]!T.in.A[[#This Row],[oo6]]),"")</f>
        <v/>
      </c>
      <c r="AB1200" s="127" t="str">
        <f>IF(Tab.o1[[#This Row],[a1]]=1,IF(AE$3=0,"",IF(AB$3=0,ABS([1]!T.in.A[[#This Row],[oo9]]),ABS(Tab.o1[[#This Row],[DIF_Target.]]*Tab.o1[[#This Row],[W1_PDF]]))),"")</f>
        <v/>
      </c>
      <c r="AC1200" s="127" t="str">
        <f>IF(G$1=1,"",IF(Tab.o1[[#This Row],[a1]]=1,Tab.o1[[#This Row],[Wr]]^2,""))</f>
        <v/>
      </c>
      <c r="AD1200" s="118" t="str">
        <f>IF(Tab.o1[[#This Row],[a1]]=1,IF(AE$3=0,"",Tab.o1[[#This Row],[Wr2]]/SUM(Tab.o1[Wr2])),"")</f>
        <v/>
      </c>
      <c r="AE1200" s="128" t="str">
        <f>IF(Tab.o1[[#This Row],[a1]]=1,[1]!T.in.A[[#This Row],[oo10]],"")</f>
        <v/>
      </c>
      <c r="AF1200" s="118" t="str">
        <f>IF(Tab.o1[[#This Row],[a1]]=1,ABS(Tab.o1[[#This Row],[DIF_Target.]]*Tab.o1[[#This Row],[PDF2]]*Tab.o1[[#This Row],[IN]]),"")</f>
        <v/>
      </c>
      <c r="AG1200" s="129" t="str">
        <f>IF(Tab.o1[[#This Row],[a1]]=1,Tab.o1[[#This Row],[rW]]^2,"")</f>
        <v/>
      </c>
      <c r="AH1200" s="130" t="str">
        <f>IF(Tab.o1[[#This Row],[a1]]=1,IF(AH$3=0,Tab.o1[[#This Row],[rW2]],0.01+0.94*Tab.o1[[#This Row],[rW2]]/SUM(Tab.o1[rW2])),"")</f>
        <v/>
      </c>
      <c r="AI1200" s="128" t="str">
        <f>IF(Tab.o1[[#This Row],[a1]]=1,1/Tab.o1[[#This Row],[PDF]],"")</f>
        <v/>
      </c>
      <c r="AJ1200" s="131" t="str">
        <f>IF(Tab.o1[[#This Row],[a1]]=1,[1]!T_AA[[#This Row],[IN'']]*[1]!T_AA[[#This Row],[Qde'']],"")</f>
        <v/>
      </c>
      <c r="AK1200" s="132" t="str">
        <f>IF(Tab.o1[[#This Row],[a1]]=1,IF(AK$1=1,Tab.o1[[#This Row],[MED]]+Tab.o1[[#This Row],[MOD]]-Tab.o1[[#This Row],[MED]],""),"")</f>
        <v/>
      </c>
      <c r="AL1200" s="133" t="str">
        <f>IF(Tab.o1[[#This Row],[a1]]=1,[1]!T.in.A[[#This Row],[oo16]],"")</f>
        <v/>
      </c>
      <c r="AM1200" s="133" t="str">
        <f>IF(Tab.o1[[#This Row],[a1]]=1,IF(AM$3=1,[1]!T.in.A[[#This Row],[Σo16]],""),"")</f>
        <v/>
      </c>
      <c r="AN1200" s="126" t="str">
        <f>IF(Tab.o1[[#This Row],[a1]]=1,[1]!T.in.A[[#This Row],[Σp5]],"")</f>
        <v/>
      </c>
      <c r="AO1200" s="126" t="str">
        <f>IF(Tab.o1[[#This Row],[a1]]=1,IF(AO$3=1,[1]!T.in.A[[#This Row],[Σp5]],""),"")</f>
        <v/>
      </c>
      <c r="AP1200" s="110" t="str">
        <f>IF(Tab.o1[[#This Row],[a1]]=1,IF(ISNUMBER(Tab.o1[[#This Row],[i.]]),NORMDIST(Tab.o1[[#This Row],[Za]],0,1,FALSE)*Tab.o1[[#This Row],[i.]],0),"")</f>
        <v/>
      </c>
      <c r="AQ1200" s="125" t="str">
        <f>IF(Tab.o1[[#This Row],[a1]]=1,ABS(Tab.o1[[#This Row],[MOD]]-AVERAGE(Tab.o1[MOD])),"")</f>
        <v/>
      </c>
      <c r="AR1200" s="134" t="str">
        <f>IF(Tab.o1[[#This Row],[a1]]=1,Tab.o1[[#This Row],[OBS]]/SUM(Tab.o1[OBS]),"")</f>
        <v/>
      </c>
      <c r="AS1200" s="135" t="str">
        <f>IF(ISNUMBER(Tab.o1[[#This Row],[a1]]),ROW()-4,"")</f>
        <v/>
      </c>
      <c r="AT1200" s="136" t="str">
        <f>Tab.o1[[#This Row],[MOD]]</f>
        <v/>
      </c>
      <c r="AU1200" s="137" t="str">
        <f t="shared" si="73"/>
        <v/>
      </c>
      <c r="AV1200" s="138" t="str">
        <f t="shared" si="74"/>
        <v/>
      </c>
      <c r="AW1200" s="138" t="str">
        <f t="shared" si="75"/>
        <v/>
      </c>
      <c r="AX1200" s="139" t="str">
        <f>[1]!T.in.A[[#This Row],[ID_T_manu]]</f>
        <v/>
      </c>
      <c r="AY1200" s="140" t="str">
        <f>IF(ISNUMBER(Tab.o1[[#This Row],[a1]]),IF(AND(Tab.o1[[#This Row],[a1]]=1,Tab.o1[[#This Row],[b1]]&lt;=AY$4),#REF!,AY1199),"")</f>
        <v/>
      </c>
      <c r="AZ1200" s="25"/>
      <c r="BA1200" s="25"/>
      <c r="BB1200" s="25"/>
      <c r="BC1200" s="25"/>
      <c r="BD1200" s="25"/>
      <c r="BE1200" s="25"/>
      <c r="BF1200" s="25"/>
      <c r="BG1200" s="25"/>
      <c r="BH1200" s="25"/>
      <c r="BI1200" s="25"/>
      <c r="BJ1200" s="25"/>
      <c r="BK1200" s="25"/>
      <c r="BL1200" s="25"/>
      <c r="BM1200" s="25"/>
      <c r="BN1200" s="26"/>
      <c r="BO1200" s="26"/>
      <c r="BP1200" s="26"/>
      <c r="BQ1200" s="26"/>
      <c r="BR1200" s="26"/>
      <c r="BS1200" s="26"/>
      <c r="BT1200" s="26"/>
      <c r="BU1200" s="26"/>
      <c r="BV1200" s="26"/>
      <c r="BW1200" s="26"/>
      <c r="BX1200" s="26"/>
      <c r="BY1200" s="26"/>
      <c r="BZ1200" s="26"/>
      <c r="CA1200" s="26"/>
    </row>
    <row r="1201" spans="1:79" ht="9" customHeight="1">
      <c r="A1201" s="144"/>
      <c r="B1201" s="144"/>
      <c r="C1201" s="144"/>
      <c r="D1201" s="144"/>
      <c r="E1201" s="144"/>
      <c r="F1201" s="144"/>
      <c r="G1201" s="144"/>
      <c r="H1201" s="144"/>
      <c r="I1201" s="144"/>
      <c r="J1201" s="144"/>
      <c r="K1201" s="144"/>
      <c r="L1201" s="144"/>
      <c r="M1201" s="144"/>
      <c r="N1201" s="144"/>
      <c r="O1201" s="144"/>
      <c r="P1201" s="144"/>
      <c r="Q1201" s="144"/>
      <c r="R1201" s="144"/>
      <c r="S1201" s="144"/>
      <c r="T1201" s="144"/>
      <c r="U1201" s="144"/>
      <c r="V1201" s="144"/>
      <c r="W1201" s="144"/>
      <c r="X1201" s="144"/>
      <c r="Y1201" s="144"/>
      <c r="Z1201" s="144"/>
      <c r="AA1201" s="144"/>
      <c r="AB1201" s="144"/>
      <c r="AC1201" s="144"/>
      <c r="AD1201" s="144"/>
      <c r="AE1201" s="144"/>
      <c r="AF1201" s="144"/>
      <c r="AG1201" s="144"/>
      <c r="AH1201" s="144"/>
      <c r="AI1201" s="144"/>
      <c r="AJ1201" s="144"/>
      <c r="AK1201" s="144"/>
      <c r="AL1201" s="144"/>
      <c r="AM1201" s="144"/>
      <c r="AN1201" s="144"/>
      <c r="AO1201" s="144"/>
      <c r="AP1201" s="144"/>
      <c r="AQ1201" s="144"/>
      <c r="AR1201" s="144"/>
      <c r="AS1201" s="144"/>
      <c r="AT1201" s="145"/>
      <c r="AU1201" s="146"/>
      <c r="AV1201" s="145"/>
      <c r="AW1201" s="145"/>
      <c r="AX1201" s="147"/>
      <c r="AY1201" s="140"/>
      <c r="AZ1201" s="145"/>
      <c r="BA1201" s="148"/>
      <c r="BB1201" s="25"/>
      <c r="BC1201" s="25"/>
      <c r="BD1201" s="25"/>
      <c r="BE1201" s="25"/>
      <c r="BF1201" s="25"/>
      <c r="BG1201" s="25"/>
      <c r="BH1201" s="25"/>
      <c r="BI1201" s="25"/>
      <c r="BJ1201" s="25"/>
      <c r="BK1201" s="25"/>
      <c r="BL1201" s="25"/>
      <c r="BM1201" s="25"/>
      <c r="BN1201" s="26"/>
      <c r="BO1201" s="26"/>
      <c r="BP1201" s="26"/>
      <c r="BQ1201" s="26"/>
      <c r="BR1201" s="26"/>
      <c r="BS1201" s="26"/>
      <c r="BT1201" s="26"/>
      <c r="BU1201" s="26"/>
      <c r="BV1201" s="26"/>
      <c r="BW1201" s="26"/>
      <c r="BX1201" s="26"/>
      <c r="BY1201" s="26"/>
      <c r="BZ1201" s="26"/>
      <c r="CA1201" s="26"/>
    </row>
    <row r="1202" spans="1:79">
      <c r="A1202" s="149"/>
      <c r="B1202" s="149"/>
      <c r="C1202" s="149"/>
      <c r="D1202" s="149"/>
      <c r="E1202" s="149"/>
      <c r="F1202" s="149" t="s">
        <v>0</v>
      </c>
      <c r="G1202" s="150">
        <f>IF($B1="drain",1/(MAX(Tab.o1[MED])/MIN(Tab.o1[MED])),(MAX(Tab.o1[MED])/MIN(Tab.o1[MED])))</f>
        <v>1.0057416267942583</v>
      </c>
      <c r="H1202" s="150" t="str">
        <f>IF(J2=0,"|",IF($B1="drain",1/(MAX(Tab.o1[MOD])/MIN(Tab.o1[MOD])),(MAX(Tab.o1[MOD])/MIN(Tab.o1[MOD]))))</f>
        <v>|</v>
      </c>
      <c r="I1202" s="149" t="s">
        <v>0</v>
      </c>
      <c r="J1202" s="151"/>
      <c r="K1202" s="151"/>
      <c r="L1202" s="151"/>
      <c r="M1202" s="151"/>
      <c r="N1202" s="151"/>
      <c r="O1202" s="151"/>
      <c r="P1202" s="151"/>
      <c r="Q1202" s="151"/>
      <c r="R1202" s="151"/>
      <c r="S1202" s="151"/>
      <c r="T1202" s="151"/>
      <c r="U1202" s="151"/>
      <c r="V1202" s="151"/>
      <c r="W1202" s="151"/>
      <c r="X1202" s="151"/>
      <c r="Y1202" s="151"/>
      <c r="Z1202" s="151"/>
      <c r="AA1202" s="151"/>
      <c r="AB1202" s="151"/>
      <c r="AC1202" s="151"/>
      <c r="AD1202" s="151"/>
      <c r="AE1202" s="151"/>
      <c r="AF1202" s="151"/>
      <c r="AG1202" s="151"/>
      <c r="AH1202" s="151"/>
      <c r="AI1202" s="151"/>
      <c r="AJ1202" s="151"/>
      <c r="AK1202" s="151"/>
      <c r="AL1202" s="151"/>
      <c r="AM1202" s="151"/>
      <c r="AN1202" s="151"/>
      <c r="AO1202" s="151"/>
      <c r="AP1202" s="151"/>
      <c r="AQ1202" s="151"/>
      <c r="AR1202" s="151"/>
      <c r="AS1202" s="151"/>
      <c r="AT1202" s="145"/>
      <c r="AU1202" s="145"/>
      <c r="AV1202" s="145"/>
      <c r="AW1202" s="26"/>
      <c r="AX1202" s="26"/>
      <c r="AY1202" s="145"/>
      <c r="AZ1202" s="25"/>
      <c r="BA1202" s="25"/>
      <c r="BB1202" s="25"/>
      <c r="BC1202" s="25"/>
      <c r="BD1202" s="145"/>
      <c r="BE1202" s="145"/>
      <c r="BF1202" s="26"/>
      <c r="BG1202" s="139"/>
      <c r="BH1202" s="26"/>
      <c r="BI1202" s="26"/>
      <c r="BJ1202" s="26"/>
      <c r="BK1202" s="26"/>
      <c r="BL1202" s="26"/>
      <c r="BM1202" s="26"/>
      <c r="BN1202" s="26"/>
      <c r="BO1202" s="26"/>
      <c r="BP1202" s="26"/>
      <c r="BQ1202" s="26"/>
      <c r="BR1202" s="26"/>
      <c r="BS1202" s="26"/>
      <c r="BT1202" s="26"/>
      <c r="BU1202" s="26"/>
      <c r="BV1202" s="26"/>
      <c r="BW1202" s="26"/>
      <c r="BX1202" s="26"/>
      <c r="BY1202" s="26"/>
      <c r="BZ1202" s="26"/>
      <c r="CA1202" s="26"/>
    </row>
    <row r="1203" spans="1:79" ht="18.75" customHeight="1">
      <c r="A1203" s="149"/>
      <c r="B1203" s="149"/>
      <c r="C1203" s="149"/>
      <c r="D1203" s="149"/>
      <c r="E1203" s="149"/>
      <c r="F1203" s="152">
        <v>0</v>
      </c>
      <c r="G1203" s="153">
        <v>2</v>
      </c>
      <c r="H1203" s="154">
        <v>1</v>
      </c>
      <c r="I1203" s="150" t="s">
        <v>57</v>
      </c>
      <c r="J1203" s="26"/>
      <c r="K1203" s="26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>
        <v>1</v>
      </c>
      <c r="W1203" s="26">
        <v>1</v>
      </c>
      <c r="X1203" s="26"/>
      <c r="Y1203" s="26"/>
      <c r="Z1203" s="26"/>
      <c r="AA1203" s="26"/>
      <c r="AB1203" s="26"/>
      <c r="AC1203" s="26"/>
      <c r="AD1203" s="26"/>
      <c r="AE1203" s="26"/>
      <c r="AF1203" s="26"/>
      <c r="AG1203" s="26"/>
      <c r="AH1203" s="26"/>
      <c r="AI1203" s="26"/>
      <c r="AJ1203" s="26"/>
      <c r="AK1203" s="26"/>
      <c r="AL1203" s="26"/>
      <c r="AM1203" s="26"/>
      <c r="AN1203" s="26"/>
      <c r="AO1203" s="26"/>
      <c r="AP1203" s="26"/>
      <c r="AQ1203" s="26"/>
      <c r="AR1203" s="26"/>
      <c r="AS1203" s="26"/>
      <c r="AT1203" s="26"/>
      <c r="AU1203" s="26"/>
      <c r="AV1203" s="26"/>
      <c r="AW1203" s="26"/>
      <c r="AX1203" s="155"/>
      <c r="AY1203" s="26"/>
      <c r="AZ1203" s="26"/>
      <c r="BA1203" s="26"/>
      <c r="BB1203" s="26"/>
      <c r="BC1203" s="26"/>
      <c r="BD1203" s="26"/>
      <c r="BE1203" s="145"/>
      <c r="BF1203" s="26"/>
      <c r="BG1203" s="26"/>
      <c r="BH1203" s="26"/>
      <c r="BI1203" s="26"/>
      <c r="BJ1203" s="26"/>
      <c r="BK1203" s="26"/>
      <c r="BL1203" s="26"/>
      <c r="BM1203" s="26"/>
      <c r="BN1203" s="26"/>
      <c r="BO1203" s="26"/>
      <c r="BP1203" s="26"/>
      <c r="BQ1203" s="26"/>
      <c r="BR1203" s="26"/>
      <c r="BS1203" s="26"/>
      <c r="BT1203" s="26"/>
      <c r="BU1203" s="26"/>
      <c r="BV1203" s="26"/>
      <c r="BW1203" s="26"/>
      <c r="BX1203" s="26"/>
      <c r="BY1203" s="26"/>
      <c r="BZ1203" s="26"/>
      <c r="CA1203" s="26"/>
    </row>
    <row r="1204" spans="1:79" ht="15.75">
      <c r="A1204" s="149"/>
      <c r="B1204" s="149"/>
      <c r="C1204" s="149"/>
      <c r="D1204" s="149"/>
      <c r="E1204" s="149"/>
      <c r="F1204" s="152">
        <v>0</v>
      </c>
      <c r="G1204" s="153">
        <v>-2</v>
      </c>
      <c r="H1204" s="156">
        <v>1</v>
      </c>
      <c r="I1204" s="150" t="s">
        <v>58</v>
      </c>
      <c r="J1204" s="26"/>
      <c r="K1204" s="26"/>
      <c r="L1204" s="26"/>
      <c r="M1204" s="26"/>
      <c r="N1204" s="26"/>
      <c r="O1204" s="26"/>
      <c r="P1204" s="26"/>
      <c r="Q1204" s="26"/>
      <c r="R1204" s="26"/>
      <c r="S1204" s="26"/>
      <c r="T1204" s="157"/>
      <c r="U1204" s="157"/>
      <c r="V1204" s="26"/>
      <c r="W1204" s="26"/>
      <c r="X1204" s="26"/>
      <c r="Y1204" s="26"/>
      <c r="Z1204" s="26"/>
      <c r="AA1204" s="26"/>
      <c r="AB1204" s="26"/>
      <c r="AC1204" s="26"/>
      <c r="AD1204" s="26"/>
      <c r="AE1204" s="26"/>
      <c r="AF1204" s="26"/>
      <c r="AG1204" s="26"/>
      <c r="AH1204" s="26"/>
      <c r="AI1204" s="26"/>
      <c r="AJ1204" s="26"/>
      <c r="AK1204" s="26"/>
      <c r="AL1204" s="26"/>
      <c r="AM1204" s="26"/>
      <c r="AN1204" s="26"/>
      <c r="AO1204" s="26"/>
      <c r="AP1204" s="26"/>
      <c r="AQ1204" s="26"/>
      <c r="AR1204" s="26"/>
      <c r="AS1204" s="26"/>
      <c r="AT1204" s="26"/>
      <c r="AU1204" s="26"/>
      <c r="AV1204" s="26"/>
      <c r="AW1204" s="26"/>
      <c r="AX1204" s="155"/>
      <c r="AY1204" s="26"/>
      <c r="AZ1204" s="26"/>
      <c r="BA1204" s="26"/>
      <c r="BB1204" s="26"/>
      <c r="BC1204" s="26"/>
      <c r="BD1204" s="26"/>
      <c r="BE1204" s="145"/>
      <c r="BF1204" s="26"/>
      <c r="BG1204" s="26"/>
      <c r="BH1204" s="26"/>
      <c r="BI1204" s="26"/>
      <c r="BJ1204" s="26"/>
      <c r="BK1204" s="26"/>
      <c r="BL1204" s="26"/>
      <c r="BM1204" s="26"/>
      <c r="BN1204" s="26"/>
      <c r="BO1204" s="26"/>
      <c r="BP1204" s="26"/>
      <c r="BQ1204" s="26"/>
      <c r="BR1204" s="26"/>
      <c r="BS1204" s="26"/>
      <c r="BT1204" s="26"/>
      <c r="BU1204" s="26"/>
      <c r="BV1204" s="26"/>
      <c r="BW1204" s="26"/>
      <c r="BX1204" s="26"/>
      <c r="BY1204" s="26"/>
      <c r="BZ1204" s="26"/>
      <c r="CA1204" s="26"/>
    </row>
    <row r="1205" spans="1:79" ht="15.75">
      <c r="A1205" s="149"/>
      <c r="B1205" s="149"/>
      <c r="C1205" s="149"/>
      <c r="D1205" s="149"/>
      <c r="E1205" s="149"/>
      <c r="F1205" s="149" t="s">
        <v>0</v>
      </c>
      <c r="G1205" s="158">
        <v>0</v>
      </c>
      <c r="H1205" s="159">
        <v>1</v>
      </c>
      <c r="I1205" s="160" t="s">
        <v>59</v>
      </c>
      <c r="J1205" s="26"/>
      <c r="K1205" s="26"/>
      <c r="L1205" s="26"/>
      <c r="M1205" s="26"/>
      <c r="N1205" s="26"/>
      <c r="O1205" s="26"/>
      <c r="P1205" s="26"/>
      <c r="Q1205" s="26"/>
      <c r="R1205" s="26"/>
      <c r="S1205" s="26"/>
      <c r="T1205" s="157"/>
      <c r="U1205" s="161"/>
      <c r="V1205" s="26"/>
      <c r="W1205" s="26"/>
      <c r="X1205" s="26"/>
      <c r="Y1205" s="26"/>
      <c r="Z1205" s="26"/>
      <c r="AA1205" s="26"/>
      <c r="AB1205" s="26"/>
      <c r="AC1205" s="26"/>
      <c r="AD1205" s="26"/>
      <c r="AE1205" s="26"/>
      <c r="AF1205" s="26"/>
      <c r="AG1205" s="26"/>
      <c r="AH1205" s="26"/>
      <c r="AI1205" s="26"/>
      <c r="AJ1205" s="26"/>
      <c r="AK1205" s="26"/>
      <c r="AL1205" s="26"/>
      <c r="AM1205" s="26"/>
      <c r="AN1205" s="26"/>
      <c r="AO1205" s="26"/>
      <c r="AP1205" s="26"/>
      <c r="AQ1205" s="26"/>
      <c r="AR1205" s="26"/>
      <c r="AS1205" s="26"/>
      <c r="AT1205" s="26"/>
      <c r="AU1205" s="26"/>
      <c r="AV1205" s="26"/>
      <c r="AW1205" s="26"/>
      <c r="AX1205" s="155"/>
      <c r="AY1205" s="26"/>
      <c r="AZ1205" s="26"/>
      <c r="BA1205" s="26"/>
      <c r="BB1205" s="26"/>
      <c r="BC1205" s="26"/>
      <c r="BD1205" s="26"/>
      <c r="BE1205" s="145"/>
      <c r="BF1205" s="26"/>
      <c r="BG1205" s="26"/>
      <c r="BH1205" s="26"/>
      <c r="BI1205" s="26"/>
      <c r="BJ1205" s="26"/>
      <c r="BK1205" s="26"/>
      <c r="BL1205" s="26"/>
      <c r="BM1205" s="26"/>
      <c r="BN1205" s="26"/>
      <c r="BO1205" s="26"/>
      <c r="BP1205" s="26"/>
      <c r="BQ1205" s="26"/>
      <c r="BR1205" s="26"/>
      <c r="BS1205" s="26"/>
      <c r="BT1205" s="26"/>
      <c r="BU1205" s="26"/>
      <c r="BV1205" s="26"/>
      <c r="BW1205" s="26"/>
      <c r="BX1205" s="26"/>
      <c r="BY1205" s="26"/>
      <c r="BZ1205" s="26"/>
      <c r="CA1205" s="26"/>
    </row>
    <row r="1206" spans="1:79" ht="17.25">
      <c r="A1206" s="149"/>
      <c r="B1206" s="149"/>
      <c r="C1206" s="149"/>
      <c r="D1206" s="149"/>
      <c r="E1206" s="162" t="str">
        <f>IF(AND(G1205=0,H1205=1),"ok","ajust")</f>
        <v>ok</v>
      </c>
      <c r="F1206" s="149" t="s">
        <v>0</v>
      </c>
      <c r="G1206" s="163">
        <v>2</v>
      </c>
      <c r="H1206" s="164">
        <f>AVERAGE(Tab.o1[Amp.])</f>
        <v>6.8972820733968092</v>
      </c>
      <c r="I1206" s="165">
        <f>ABS(AVERAGE(Tab.o1[B]))-I1207</f>
        <v>2.6375000000000455</v>
      </c>
      <c r="J1206" s="145">
        <f>H1206*100</f>
        <v>689.72820733968092</v>
      </c>
      <c r="K1206" s="26" t="s">
        <v>60</v>
      </c>
      <c r="L1206" s="26"/>
      <c r="M1206" s="26"/>
      <c r="N1206" s="26"/>
      <c r="O1206" s="26"/>
      <c r="P1206" s="26"/>
      <c r="Q1206" s="26"/>
      <c r="R1206" s="26"/>
      <c r="S1206" s="26"/>
      <c r="T1206" s="26"/>
      <c r="U1206" s="161"/>
      <c r="V1206" s="26"/>
      <c r="W1206" s="26"/>
      <c r="X1206" s="26"/>
      <c r="Y1206" s="26"/>
      <c r="Z1206" s="26"/>
      <c r="AA1206" s="26"/>
      <c r="AB1206" s="26"/>
      <c r="AC1206" s="26"/>
      <c r="AD1206" s="26"/>
      <c r="AE1206" s="26"/>
      <c r="AF1206" s="26"/>
      <c r="AG1206" s="26"/>
      <c r="AH1206" s="26"/>
      <c r="AI1206" s="26"/>
      <c r="AJ1206" s="26"/>
      <c r="AK1206" s="26"/>
      <c r="AL1206" s="26"/>
      <c r="AM1206" s="26"/>
      <c r="AN1206" s="26"/>
      <c r="AO1206" s="26"/>
      <c r="AP1206" s="26"/>
      <c r="AQ1206" s="26"/>
      <c r="AR1206" s="26"/>
      <c r="AS1206" s="26"/>
      <c r="AT1206" s="26"/>
      <c r="AU1206" s="26"/>
      <c r="AV1206" s="26"/>
      <c r="AW1206" s="26"/>
      <c r="AX1206" s="155"/>
      <c r="AY1206" s="26"/>
      <c r="AZ1206" s="26"/>
      <c r="BA1206" s="26"/>
      <c r="BB1206" s="26"/>
      <c r="BC1206" s="26"/>
      <c r="BD1206" s="26"/>
      <c r="BE1206" s="145"/>
      <c r="BF1206" s="26"/>
      <c r="BG1206" s="26"/>
      <c r="BH1206" s="26"/>
      <c r="BI1206" s="26"/>
      <c r="BJ1206" s="26"/>
      <c r="BK1206" s="26"/>
      <c r="BL1206" s="26"/>
      <c r="BM1206" s="26"/>
      <c r="BN1206" s="26"/>
      <c r="BO1206" s="26"/>
      <c r="BP1206" s="26"/>
      <c r="BQ1206" s="26"/>
      <c r="BR1206" s="26"/>
      <c r="BS1206" s="26"/>
      <c r="BT1206" s="26"/>
      <c r="BU1206" s="26"/>
      <c r="BV1206" s="26"/>
      <c r="BW1206" s="26"/>
      <c r="BX1206" s="26"/>
      <c r="BY1206" s="26"/>
      <c r="BZ1206" s="26"/>
      <c r="CA1206" s="26"/>
    </row>
    <row r="1207" spans="1:79" ht="9" customHeight="1">
      <c r="A1207" s="149"/>
      <c r="B1207" s="149"/>
      <c r="C1207" s="149"/>
      <c r="D1207" s="149"/>
      <c r="E1207" s="149"/>
      <c r="F1207" s="149" t="s">
        <v>0</v>
      </c>
      <c r="G1207" s="166">
        <v>0</v>
      </c>
      <c r="H1207" s="167">
        <v>1</v>
      </c>
      <c r="I1207" s="149">
        <f>(MIN(Tab.o1[B]))</f>
        <v>836</v>
      </c>
      <c r="J1207" s="26"/>
      <c r="K1207" s="168"/>
      <c r="L1207" s="169"/>
      <c r="M1207" s="169"/>
      <c r="N1207" s="169"/>
      <c r="O1207" s="169"/>
      <c r="P1207" s="170"/>
      <c r="Q1207" s="170"/>
      <c r="R1207" s="171"/>
      <c r="S1207" s="26"/>
      <c r="T1207" s="26"/>
      <c r="U1207" s="26"/>
      <c r="V1207" s="26"/>
      <c r="W1207" s="26"/>
      <c r="X1207" s="26"/>
      <c r="Y1207" s="26"/>
      <c r="Z1207" s="26"/>
      <c r="AA1207" s="26"/>
      <c r="AB1207" s="26"/>
      <c r="AC1207" s="26"/>
      <c r="AD1207" s="26"/>
      <c r="AE1207" s="26"/>
      <c r="AF1207" s="26"/>
      <c r="AG1207" s="26"/>
      <c r="AH1207" s="26"/>
      <c r="AI1207" s="26"/>
      <c r="AJ1207" s="26"/>
      <c r="AK1207" s="26"/>
      <c r="AL1207" s="26"/>
      <c r="AM1207" s="26"/>
      <c r="AN1207" s="26"/>
      <c r="AO1207" s="26"/>
      <c r="AP1207" s="26"/>
      <c r="AQ1207" s="26"/>
      <c r="AR1207" s="26"/>
      <c r="AS1207" s="26"/>
      <c r="AT1207" s="26"/>
      <c r="AU1207" s="26"/>
      <c r="AV1207" s="26"/>
      <c r="AW1207" s="26"/>
      <c r="AX1207" s="155"/>
      <c r="AY1207" s="26"/>
      <c r="AZ1207" s="26"/>
      <c r="BA1207" s="26"/>
      <c r="BB1207" s="26"/>
      <c r="BC1207" s="26"/>
      <c r="BD1207" s="26"/>
      <c r="BE1207" s="145"/>
      <c r="BF1207" s="26"/>
      <c r="BG1207" s="26"/>
      <c r="BH1207" s="26"/>
      <c r="BI1207" s="26"/>
      <c r="BJ1207" s="26"/>
      <c r="BK1207" s="26"/>
      <c r="BL1207" s="26"/>
      <c r="BM1207" s="26"/>
      <c r="BN1207" s="26"/>
      <c r="BO1207" s="26"/>
      <c r="BP1207" s="26"/>
      <c r="BQ1207" s="26"/>
      <c r="BR1207" s="26"/>
      <c r="BS1207" s="26"/>
      <c r="BT1207" s="26"/>
      <c r="BU1207" s="26"/>
      <c r="BV1207" s="26"/>
      <c r="BW1207" s="26"/>
      <c r="BX1207" s="26"/>
      <c r="BY1207" s="26"/>
      <c r="BZ1207" s="26"/>
      <c r="CA1207" s="26"/>
    </row>
    <row r="1208" spans="1:79">
      <c r="A1208" s="172"/>
      <c r="B1208" s="172" t="s">
        <v>0</v>
      </c>
      <c r="C1208" s="173"/>
      <c r="D1208" s="145"/>
      <c r="E1208" s="174"/>
      <c r="F1208" s="174"/>
      <c r="G1208" s="174"/>
      <c r="H1208" s="174"/>
      <c r="I1208" s="26"/>
      <c r="J1208" s="26"/>
      <c r="K1208" s="26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  <c r="AA1208" s="26"/>
      <c r="AB1208" s="26"/>
      <c r="AC1208" s="26"/>
      <c r="AD1208" s="26"/>
      <c r="AE1208" s="26"/>
      <c r="AF1208" s="26"/>
      <c r="AG1208" s="26"/>
      <c r="AH1208" s="26"/>
      <c r="AI1208" s="26"/>
      <c r="AJ1208" s="26"/>
      <c r="AK1208" s="26"/>
      <c r="AL1208" s="26"/>
      <c r="AM1208" s="26"/>
      <c r="AN1208" s="26"/>
      <c r="AO1208" s="26"/>
      <c r="AP1208" s="26"/>
      <c r="AQ1208" s="26"/>
      <c r="AR1208" s="26"/>
      <c r="AS1208" s="26"/>
      <c r="AT1208" s="26"/>
      <c r="AU1208" s="26"/>
      <c r="AV1208" s="26"/>
      <c r="AW1208" s="26"/>
      <c r="AX1208" s="155"/>
      <c r="AY1208" s="26"/>
      <c r="AZ1208" s="26"/>
      <c r="BA1208" s="26"/>
      <c r="BB1208" s="26"/>
      <c r="BC1208" s="26"/>
      <c r="BD1208" s="26"/>
      <c r="BE1208" s="145"/>
      <c r="BF1208" s="26"/>
      <c r="BG1208" s="26"/>
      <c r="BH1208" s="26"/>
      <c r="BI1208" s="26"/>
      <c r="BJ1208" s="26"/>
      <c r="BK1208" s="26"/>
      <c r="BL1208" s="26"/>
      <c r="BM1208" s="26"/>
      <c r="BN1208" s="26"/>
      <c r="BO1208" s="26"/>
      <c r="BP1208" s="26"/>
      <c r="BQ1208" s="26"/>
      <c r="BR1208" s="26"/>
      <c r="BS1208" s="26"/>
      <c r="BT1208" s="26"/>
      <c r="BU1208" s="26"/>
      <c r="BV1208" s="26"/>
      <c r="BW1208" s="26"/>
      <c r="BX1208" s="26"/>
      <c r="BY1208" s="26"/>
      <c r="BZ1208" s="26"/>
      <c r="CA1208" s="26"/>
    </row>
    <row r="1209" spans="1:79">
      <c r="A1209" s="172"/>
      <c r="B1209" s="145"/>
      <c r="C1209" s="26"/>
      <c r="D1209" s="145"/>
      <c r="E1209" s="174"/>
      <c r="F1209" s="174"/>
      <c r="G1209" s="174"/>
      <c r="H1209" s="174"/>
      <c r="I1209" s="26"/>
      <c r="J1209" s="26"/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  <c r="AA1209" s="26"/>
      <c r="AB1209" s="26"/>
      <c r="AC1209" s="26"/>
      <c r="AD1209" s="26"/>
      <c r="AE1209" s="26"/>
      <c r="AF1209" s="26"/>
      <c r="AG1209" s="26"/>
      <c r="AH1209" s="26"/>
      <c r="AI1209" s="26"/>
      <c r="AJ1209" s="26"/>
      <c r="AK1209" s="26"/>
      <c r="AL1209" s="26"/>
      <c r="AM1209" s="26"/>
      <c r="AN1209" s="26"/>
      <c r="AO1209" s="26"/>
      <c r="AP1209" s="26"/>
      <c r="AQ1209" s="26"/>
      <c r="AR1209" s="26"/>
      <c r="AS1209" s="26"/>
      <c r="AT1209" s="26"/>
      <c r="AU1209" s="26"/>
      <c r="AV1209" s="26"/>
      <c r="AW1209" s="26"/>
      <c r="AX1209" s="155"/>
      <c r="AY1209" s="26"/>
      <c r="AZ1209" s="26"/>
      <c r="BA1209" s="26"/>
      <c r="BB1209" s="26"/>
      <c r="BC1209" s="26"/>
      <c r="BD1209" s="26"/>
      <c r="BE1209" s="145"/>
      <c r="BF1209" s="26"/>
      <c r="BG1209" s="26"/>
      <c r="BH1209" s="26"/>
      <c r="BI1209" s="26"/>
      <c r="BJ1209" s="26"/>
      <c r="BK1209" s="26"/>
      <c r="BL1209" s="26"/>
      <c r="BM1209" s="26"/>
      <c r="BN1209" s="26"/>
      <c r="BO1209" s="26"/>
      <c r="BP1209" s="26"/>
      <c r="BQ1209" s="26"/>
      <c r="BR1209" s="26"/>
      <c r="BS1209" s="26"/>
      <c r="BT1209" s="26"/>
      <c r="BU1209" s="26"/>
      <c r="BV1209" s="26"/>
      <c r="BW1209" s="26"/>
      <c r="BX1209" s="26"/>
      <c r="BY1209" s="26"/>
      <c r="BZ1209" s="26"/>
      <c r="CA1209" s="26"/>
    </row>
    <row r="1210" spans="1:79">
      <c r="A1210" s="172"/>
      <c r="B1210" s="145"/>
      <c r="C1210" s="145"/>
      <c r="D1210" s="145"/>
      <c r="E1210" s="174"/>
      <c r="F1210" s="174"/>
      <c r="G1210" s="174"/>
      <c r="H1210" s="174"/>
      <c r="I1210" s="26"/>
      <c r="J1210" s="26"/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  <c r="AA1210" s="26"/>
      <c r="AB1210" s="26"/>
      <c r="AC1210" s="26"/>
      <c r="AD1210" s="26"/>
      <c r="AE1210" s="26"/>
      <c r="AF1210" s="26"/>
      <c r="AG1210" s="26"/>
      <c r="AH1210" s="26"/>
      <c r="AI1210" s="26"/>
      <c r="AJ1210" s="26"/>
      <c r="AK1210" s="26"/>
      <c r="AL1210" s="26"/>
      <c r="AM1210" s="26"/>
      <c r="AN1210" s="26"/>
      <c r="AO1210" s="26"/>
      <c r="AP1210" s="26"/>
      <c r="AQ1210" s="26"/>
      <c r="AR1210" s="26"/>
      <c r="AS1210" s="26"/>
      <c r="AT1210" s="26"/>
      <c r="AU1210" s="26"/>
      <c r="AV1210" s="26"/>
      <c r="AW1210" s="26"/>
      <c r="AX1210" s="155"/>
      <c r="AY1210" s="26"/>
      <c r="AZ1210" s="26"/>
      <c r="BA1210" s="26"/>
      <c r="BB1210" s="26"/>
      <c r="BC1210" s="26"/>
      <c r="BD1210" s="26"/>
      <c r="BE1210" s="145"/>
      <c r="BF1210" s="26"/>
      <c r="BG1210" s="26"/>
      <c r="BH1210" s="26"/>
      <c r="BI1210" s="26"/>
      <c r="BJ1210" s="26"/>
      <c r="BK1210" s="26"/>
      <c r="BL1210" s="26"/>
      <c r="BM1210" s="26"/>
      <c r="BN1210" s="26"/>
      <c r="BO1210" s="26"/>
      <c r="BP1210" s="26"/>
      <c r="BQ1210" s="26"/>
      <c r="BR1210" s="26"/>
      <c r="BS1210" s="26"/>
      <c r="BT1210" s="26"/>
      <c r="BU1210" s="26"/>
      <c r="BV1210" s="26"/>
      <c r="BW1210" s="26"/>
      <c r="BX1210" s="26"/>
      <c r="BY1210" s="26"/>
      <c r="BZ1210" s="26"/>
      <c r="CA1210" s="26"/>
    </row>
    <row r="1211" spans="1:79">
      <c r="A1211" s="172"/>
      <c r="B1211" s="145"/>
      <c r="C1211" s="145"/>
      <c r="D1211" s="145"/>
      <c r="E1211" s="174"/>
      <c r="F1211" s="174"/>
      <c r="G1211" s="174"/>
      <c r="H1211" s="174"/>
      <c r="I1211" s="26"/>
      <c r="J1211" s="26"/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  <c r="AA1211" s="26"/>
      <c r="AB1211" s="26"/>
      <c r="AC1211" s="26"/>
      <c r="AD1211" s="26"/>
      <c r="AE1211" s="26"/>
      <c r="AF1211" s="26"/>
      <c r="AG1211" s="26"/>
      <c r="AH1211" s="26"/>
      <c r="AI1211" s="26"/>
      <c r="AJ1211" s="26"/>
      <c r="AK1211" s="26"/>
      <c r="AL1211" s="26"/>
      <c r="AM1211" s="26"/>
      <c r="AN1211" s="26"/>
      <c r="AO1211" s="26"/>
      <c r="AP1211" s="26"/>
      <c r="AQ1211" s="26"/>
      <c r="AR1211" s="26"/>
      <c r="AS1211" s="26"/>
      <c r="AT1211" s="26"/>
      <c r="AU1211" s="26"/>
      <c r="AV1211" s="26"/>
      <c r="AW1211" s="26"/>
      <c r="AX1211" s="155"/>
      <c r="AY1211" s="26"/>
      <c r="AZ1211" s="26"/>
      <c r="BA1211" s="26"/>
      <c r="BB1211" s="26"/>
      <c r="BC1211" s="26"/>
      <c r="BD1211" s="26"/>
      <c r="BE1211" s="145"/>
      <c r="BF1211" s="26"/>
      <c r="BG1211" s="26"/>
      <c r="BH1211" s="26"/>
      <c r="BI1211" s="26"/>
      <c r="BJ1211" s="26"/>
      <c r="BK1211" s="26"/>
      <c r="BL1211" s="26"/>
      <c r="BM1211" s="26"/>
      <c r="BN1211" s="26"/>
      <c r="BO1211" s="26"/>
      <c r="BP1211" s="26"/>
      <c r="BQ1211" s="26"/>
      <c r="BR1211" s="26"/>
      <c r="BS1211" s="26"/>
      <c r="BT1211" s="26"/>
      <c r="BU1211" s="26"/>
      <c r="BV1211" s="26"/>
      <c r="BW1211" s="26"/>
      <c r="BX1211" s="26"/>
      <c r="BY1211" s="26"/>
      <c r="BZ1211" s="26"/>
      <c r="CA1211" s="26"/>
    </row>
    <row r="1212" spans="1:79">
      <c r="A1212" s="172"/>
      <c r="B1212" s="145"/>
      <c r="C1212" s="145"/>
      <c r="D1212" s="175"/>
      <c r="E1212" s="174"/>
      <c r="F1212" s="174"/>
      <c r="G1212" s="174"/>
      <c r="H1212" s="26"/>
      <c r="I1212" s="26"/>
      <c r="J1212" s="26"/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  <c r="AA1212" s="26"/>
      <c r="AB1212" s="26"/>
      <c r="AC1212" s="26"/>
      <c r="AD1212" s="26"/>
      <c r="AE1212" s="26"/>
      <c r="AF1212" s="26"/>
      <c r="AG1212" s="26"/>
      <c r="AH1212" s="26"/>
      <c r="AI1212" s="26"/>
      <c r="AJ1212" s="26"/>
      <c r="AK1212" s="26"/>
      <c r="AL1212" s="26"/>
      <c r="AM1212" s="26"/>
      <c r="AN1212" s="26"/>
      <c r="AO1212" s="26"/>
      <c r="AP1212" s="26"/>
      <c r="AQ1212" s="26"/>
      <c r="AR1212" s="26"/>
      <c r="AS1212" s="26"/>
      <c r="AT1212" s="26"/>
      <c r="AU1212" s="26"/>
      <c r="AV1212" s="26"/>
      <c r="AW1212" s="26"/>
      <c r="AX1212" s="155"/>
      <c r="AY1212" s="26"/>
      <c r="AZ1212" s="26"/>
      <c r="BA1212" s="26"/>
      <c r="BB1212" s="26"/>
      <c r="BC1212" s="26"/>
      <c r="BD1212" s="26"/>
      <c r="BE1212" s="145"/>
      <c r="BF1212" s="26"/>
      <c r="BG1212" s="26"/>
      <c r="BH1212" s="26"/>
      <c r="BI1212" s="26"/>
      <c r="BJ1212" s="26"/>
      <c r="BK1212" s="26"/>
      <c r="BL1212" s="26"/>
      <c r="BM1212" s="26"/>
      <c r="BN1212" s="26"/>
      <c r="BO1212" s="26"/>
      <c r="BP1212" s="26"/>
      <c r="BQ1212" s="26"/>
      <c r="BR1212" s="26"/>
      <c r="BS1212" s="26"/>
      <c r="BT1212" s="26"/>
      <c r="BU1212" s="26"/>
      <c r="BV1212" s="26"/>
      <c r="BW1212" s="26"/>
      <c r="BX1212" s="26"/>
      <c r="BY1212" s="26"/>
      <c r="BZ1212" s="26"/>
      <c r="CA1212" s="26"/>
    </row>
    <row r="1213" spans="1:79">
      <c r="A1213" s="172"/>
      <c r="B1213" s="145"/>
      <c r="C1213" s="145"/>
      <c r="D1213" s="175"/>
      <c r="E1213" s="174"/>
      <c r="F1213" s="174"/>
      <c r="G1213" s="174"/>
      <c r="H1213" s="26"/>
      <c r="I1213" s="26"/>
      <c r="J1213" s="26"/>
      <c r="K1213" s="26"/>
      <c r="L1213" s="26"/>
      <c r="M1213" s="26"/>
      <c r="N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  <c r="Y1213" s="26"/>
      <c r="Z1213" s="26"/>
      <c r="AA1213" s="26"/>
      <c r="AB1213" s="26"/>
      <c r="AC1213" s="26"/>
      <c r="AD1213" s="26"/>
      <c r="AE1213" s="26"/>
      <c r="AF1213" s="26"/>
      <c r="AG1213" s="26"/>
      <c r="AH1213" s="26"/>
      <c r="AI1213" s="26"/>
      <c r="AJ1213" s="26"/>
      <c r="AK1213" s="26"/>
      <c r="AL1213" s="26"/>
      <c r="AM1213" s="26"/>
      <c r="AN1213" s="26"/>
      <c r="AO1213" s="26"/>
      <c r="AP1213" s="26"/>
      <c r="AQ1213" s="26"/>
      <c r="AR1213" s="26"/>
      <c r="AS1213" s="26"/>
      <c r="AT1213" s="26"/>
      <c r="AU1213" s="26"/>
      <c r="AV1213" s="26"/>
      <c r="AW1213" s="26"/>
      <c r="AX1213" s="155"/>
      <c r="AY1213" s="26"/>
      <c r="AZ1213" s="26"/>
      <c r="BA1213" s="26"/>
      <c r="BB1213" s="26"/>
      <c r="BC1213" s="26"/>
      <c r="BD1213" s="26"/>
      <c r="BE1213" s="145"/>
      <c r="BF1213" s="26"/>
      <c r="BG1213" s="26"/>
      <c r="BH1213" s="26"/>
      <c r="BI1213" s="26"/>
      <c r="BJ1213" s="26"/>
      <c r="BK1213" s="26"/>
      <c r="BL1213" s="26"/>
      <c r="BM1213" s="26"/>
      <c r="BN1213" s="26"/>
      <c r="BO1213" s="26"/>
      <c r="BP1213" s="26"/>
      <c r="BQ1213" s="26"/>
      <c r="BR1213" s="26"/>
      <c r="BS1213" s="26"/>
      <c r="BT1213" s="26"/>
      <c r="BU1213" s="26"/>
      <c r="BV1213" s="26"/>
      <c r="BW1213" s="26"/>
      <c r="BX1213" s="26"/>
      <c r="BY1213" s="26"/>
      <c r="BZ1213" s="26"/>
      <c r="CA1213" s="26"/>
    </row>
    <row r="1214" spans="1:79">
      <c r="A1214" s="172"/>
      <c r="B1214" s="145"/>
      <c r="C1214" s="145"/>
      <c r="D1214" s="175"/>
      <c r="E1214" s="174"/>
      <c r="F1214" s="174"/>
      <c r="G1214" s="174"/>
      <c r="H1214" s="26"/>
      <c r="I1214" s="26"/>
      <c r="J1214" s="26"/>
      <c r="K1214" s="26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  <c r="Z1214" s="26"/>
      <c r="AA1214" s="26"/>
      <c r="AB1214" s="26"/>
      <c r="AC1214" s="26"/>
      <c r="AD1214" s="26"/>
      <c r="AE1214" s="26"/>
      <c r="AF1214" s="26"/>
      <c r="AG1214" s="26"/>
      <c r="AH1214" s="26"/>
      <c r="AI1214" s="26"/>
      <c r="AJ1214" s="26"/>
      <c r="AK1214" s="26"/>
      <c r="AL1214" s="26"/>
      <c r="AM1214" s="26"/>
      <c r="AN1214" s="26"/>
      <c r="AO1214" s="26"/>
      <c r="AP1214" s="26"/>
      <c r="AQ1214" s="26"/>
      <c r="AR1214" s="26"/>
      <c r="AS1214" s="26"/>
      <c r="AT1214" s="26"/>
      <c r="AU1214" s="26"/>
      <c r="AV1214" s="26"/>
      <c r="AW1214" s="26"/>
      <c r="AX1214" s="155"/>
      <c r="AY1214" s="26"/>
      <c r="AZ1214" s="26"/>
      <c r="BA1214" s="26"/>
      <c r="BB1214" s="26"/>
      <c r="BC1214" s="26"/>
      <c r="BD1214" s="26"/>
      <c r="BE1214" s="145"/>
      <c r="BF1214" s="26"/>
      <c r="BG1214" s="26"/>
      <c r="BH1214" s="26"/>
      <c r="BI1214" s="26"/>
      <c r="BJ1214" s="26"/>
      <c r="BK1214" s="26"/>
      <c r="BL1214" s="26"/>
      <c r="BM1214" s="26"/>
      <c r="BN1214" s="26"/>
      <c r="BO1214" s="26"/>
      <c r="BP1214" s="26"/>
      <c r="BQ1214" s="26"/>
      <c r="BR1214" s="26"/>
      <c r="BS1214" s="26"/>
      <c r="BT1214" s="26"/>
      <c r="BU1214" s="26"/>
      <c r="BV1214" s="26"/>
      <c r="BW1214" s="26"/>
      <c r="BX1214" s="26"/>
      <c r="BY1214" s="26"/>
      <c r="BZ1214" s="26"/>
      <c r="CA1214" s="26"/>
    </row>
    <row r="1215" spans="1:79">
      <c r="A1215" s="172"/>
      <c r="B1215" s="145"/>
      <c r="C1215" s="145"/>
      <c r="D1215" s="175"/>
      <c r="E1215" s="174"/>
      <c r="F1215" s="174"/>
      <c r="G1215" s="174"/>
      <c r="H1215" s="26"/>
      <c r="I1215" s="26"/>
      <c r="J1215" s="26"/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  <c r="AA1215" s="26"/>
      <c r="AB1215" s="26"/>
      <c r="AC1215" s="26"/>
      <c r="AD1215" s="26"/>
      <c r="AE1215" s="26"/>
      <c r="AF1215" s="26"/>
      <c r="AG1215" s="26"/>
      <c r="AH1215" s="26"/>
      <c r="AI1215" s="26"/>
      <c r="AJ1215" s="26"/>
      <c r="AK1215" s="26"/>
      <c r="AL1215" s="26"/>
      <c r="AM1215" s="26"/>
      <c r="AN1215" s="26"/>
      <c r="AO1215" s="26"/>
      <c r="AP1215" s="26"/>
      <c r="AQ1215" s="26"/>
      <c r="AR1215" s="26"/>
      <c r="AS1215" s="26"/>
      <c r="AT1215" s="26"/>
      <c r="AU1215" s="26"/>
      <c r="AV1215" s="26"/>
      <c r="AW1215" s="26"/>
      <c r="AX1215" s="155"/>
      <c r="AY1215" s="26"/>
      <c r="AZ1215" s="26"/>
      <c r="BA1215" s="26"/>
      <c r="BB1215" s="26"/>
      <c r="BC1215" s="26"/>
      <c r="BD1215" s="26"/>
      <c r="BE1215" s="145"/>
      <c r="BF1215" s="26"/>
      <c r="BG1215" s="26"/>
      <c r="BH1215" s="26"/>
      <c r="BI1215" s="26"/>
      <c r="BJ1215" s="26"/>
      <c r="BK1215" s="26"/>
      <c r="BL1215" s="26"/>
      <c r="BM1215" s="26"/>
      <c r="BN1215" s="26"/>
      <c r="BO1215" s="26"/>
      <c r="BP1215" s="26"/>
      <c r="BQ1215" s="26"/>
      <c r="BR1215" s="26"/>
      <c r="BS1215" s="26"/>
      <c r="BT1215" s="26"/>
      <c r="BU1215" s="26"/>
      <c r="BV1215" s="26"/>
      <c r="BW1215" s="26"/>
      <c r="BX1215" s="26"/>
      <c r="BY1215" s="26"/>
      <c r="BZ1215" s="26"/>
      <c r="CA1215" s="26"/>
    </row>
    <row r="1216" spans="1:79">
      <c r="A1216" s="172"/>
      <c r="B1216" s="145"/>
      <c r="C1216" s="145"/>
      <c r="D1216" s="145"/>
      <c r="E1216" s="174"/>
      <c r="F1216" s="174"/>
      <c r="G1216" s="174"/>
      <c r="H1216" s="26"/>
      <c r="I1216" s="26"/>
      <c r="J1216" s="26"/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  <c r="AA1216" s="26"/>
      <c r="AB1216" s="26"/>
      <c r="AC1216" s="26"/>
      <c r="AD1216" s="26"/>
      <c r="AE1216" s="26"/>
      <c r="AF1216" s="26"/>
      <c r="AG1216" s="26"/>
      <c r="AH1216" s="26"/>
      <c r="AI1216" s="26"/>
      <c r="AJ1216" s="26"/>
      <c r="AK1216" s="26"/>
      <c r="AL1216" s="26"/>
      <c r="AM1216" s="26"/>
      <c r="AN1216" s="26"/>
      <c r="AO1216" s="26"/>
      <c r="AP1216" s="26"/>
      <c r="AQ1216" s="26"/>
      <c r="AR1216" s="26"/>
      <c r="AS1216" s="26"/>
      <c r="AT1216" s="26"/>
      <c r="AU1216" s="26"/>
      <c r="AV1216" s="26"/>
      <c r="AW1216" s="26"/>
      <c r="AX1216" s="155"/>
      <c r="AY1216" s="26"/>
      <c r="AZ1216" s="26"/>
      <c r="BA1216" s="26"/>
      <c r="BB1216" s="26"/>
      <c r="BC1216" s="26"/>
      <c r="BD1216" s="26"/>
      <c r="BE1216" s="145"/>
      <c r="BF1216" s="26"/>
      <c r="BG1216" s="26"/>
      <c r="BH1216" s="26"/>
      <c r="BI1216" s="26"/>
      <c r="BJ1216" s="26"/>
      <c r="BK1216" s="26"/>
      <c r="BL1216" s="26"/>
      <c r="BM1216" s="26"/>
      <c r="BN1216" s="26"/>
      <c r="BO1216" s="26"/>
      <c r="BP1216" s="26"/>
      <c r="BQ1216" s="26"/>
      <c r="BR1216" s="26"/>
      <c r="BS1216" s="26"/>
      <c r="BT1216" s="26"/>
      <c r="BU1216" s="26"/>
      <c r="BV1216" s="26"/>
      <c r="BW1216" s="26"/>
      <c r="BX1216" s="26"/>
      <c r="BY1216" s="26"/>
      <c r="BZ1216" s="26"/>
      <c r="CA1216" s="26"/>
    </row>
    <row r="1217" spans="1:79">
      <c r="A1217" s="172"/>
      <c r="B1217" s="145"/>
      <c r="C1217" s="145"/>
      <c r="D1217" s="145"/>
      <c r="E1217" s="174"/>
      <c r="F1217" s="174"/>
      <c r="G1217" s="174"/>
      <c r="H1217" s="26"/>
      <c r="I1217" s="26"/>
      <c r="J1217" s="26"/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  <c r="AA1217" s="26"/>
      <c r="AB1217" s="26"/>
      <c r="AC1217" s="26"/>
      <c r="AD1217" s="26"/>
      <c r="AE1217" s="26"/>
      <c r="AF1217" s="26"/>
      <c r="AG1217" s="26"/>
      <c r="AH1217" s="26"/>
      <c r="AI1217" s="26"/>
      <c r="AJ1217" s="26"/>
      <c r="AK1217" s="26"/>
      <c r="AL1217" s="26"/>
      <c r="AM1217" s="26"/>
      <c r="AN1217" s="26"/>
      <c r="AO1217" s="26"/>
      <c r="AP1217" s="26"/>
      <c r="AQ1217" s="26"/>
      <c r="AR1217" s="26"/>
      <c r="AS1217" s="26"/>
      <c r="AT1217" s="26"/>
      <c r="AU1217" s="26"/>
      <c r="AV1217" s="26"/>
      <c r="AW1217" s="26"/>
      <c r="AX1217" s="155"/>
      <c r="AY1217" s="26"/>
      <c r="AZ1217" s="26"/>
      <c r="BA1217" s="26"/>
      <c r="BB1217" s="26"/>
      <c r="BC1217" s="26"/>
      <c r="BD1217" s="26"/>
      <c r="BE1217" s="145"/>
      <c r="BF1217" s="26"/>
      <c r="BG1217" s="26"/>
      <c r="BH1217" s="26"/>
      <c r="BI1217" s="26"/>
      <c r="BJ1217" s="26"/>
      <c r="BK1217" s="26"/>
      <c r="BL1217" s="26"/>
      <c r="BM1217" s="26"/>
      <c r="BN1217" s="26"/>
      <c r="BO1217" s="26"/>
      <c r="BP1217" s="26"/>
      <c r="BQ1217" s="26"/>
      <c r="BR1217" s="26"/>
      <c r="BS1217" s="26"/>
      <c r="BT1217" s="26"/>
      <c r="BU1217" s="26"/>
      <c r="BV1217" s="26"/>
      <c r="BW1217" s="26"/>
      <c r="BX1217" s="26"/>
      <c r="BY1217" s="26"/>
      <c r="BZ1217" s="26"/>
      <c r="CA1217" s="26"/>
    </row>
    <row r="1218" spans="1:79">
      <c r="A1218" s="172"/>
      <c r="B1218" s="145"/>
      <c r="C1218" s="145"/>
      <c r="D1218" s="145"/>
      <c r="E1218" s="174"/>
      <c r="F1218" s="174"/>
      <c r="G1218" s="174"/>
      <c r="H1218" s="26"/>
      <c r="I1218" s="26"/>
      <c r="J1218" s="26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  <c r="AA1218" s="26"/>
      <c r="AB1218" s="26"/>
      <c r="AC1218" s="26"/>
      <c r="AD1218" s="26"/>
      <c r="AE1218" s="26"/>
      <c r="AF1218" s="26"/>
      <c r="AG1218" s="26"/>
      <c r="AH1218" s="26"/>
      <c r="AI1218" s="26"/>
      <c r="AJ1218" s="26"/>
      <c r="AK1218" s="26"/>
      <c r="AL1218" s="26"/>
      <c r="AM1218" s="26"/>
      <c r="AN1218" s="26"/>
      <c r="AO1218" s="26"/>
      <c r="AP1218" s="26"/>
      <c r="AQ1218" s="26"/>
      <c r="AR1218" s="26"/>
      <c r="AS1218" s="26"/>
      <c r="AT1218" s="26"/>
      <c r="AU1218" s="26"/>
      <c r="AV1218" s="26"/>
      <c r="AW1218" s="26"/>
      <c r="AX1218" s="155"/>
      <c r="AY1218" s="26"/>
      <c r="AZ1218" s="26"/>
      <c r="BA1218" s="26"/>
      <c r="BB1218" s="26"/>
      <c r="BC1218" s="26"/>
      <c r="BD1218" s="26"/>
      <c r="BE1218" s="145"/>
      <c r="BF1218" s="26"/>
      <c r="BG1218" s="26"/>
      <c r="BH1218" s="26"/>
      <c r="BI1218" s="26"/>
      <c r="BJ1218" s="26"/>
      <c r="BK1218" s="26"/>
      <c r="BL1218" s="26"/>
      <c r="BM1218" s="26"/>
      <c r="BN1218" s="26"/>
      <c r="BO1218" s="26"/>
      <c r="BP1218" s="26"/>
      <c r="BQ1218" s="26"/>
      <c r="BR1218" s="26"/>
      <c r="BS1218" s="26"/>
      <c r="BT1218" s="26"/>
      <c r="BU1218" s="26"/>
      <c r="BV1218" s="26"/>
      <c r="BW1218" s="26"/>
      <c r="BX1218" s="26"/>
      <c r="BY1218" s="26"/>
      <c r="BZ1218" s="26"/>
      <c r="CA1218" s="26"/>
    </row>
    <row r="1219" spans="1:79">
      <c r="A1219" s="172"/>
      <c r="B1219" s="145"/>
      <c r="C1219" s="145"/>
      <c r="D1219" s="145"/>
      <c r="E1219" s="174"/>
      <c r="F1219" s="174"/>
      <c r="G1219" s="174"/>
      <c r="H1219" s="176"/>
      <c r="I1219" s="26"/>
      <c r="J1219" s="26"/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  <c r="AA1219" s="26"/>
      <c r="AB1219" s="26"/>
      <c r="AC1219" s="26"/>
      <c r="AD1219" s="26"/>
      <c r="AE1219" s="26"/>
      <c r="AF1219" s="26"/>
      <c r="AG1219" s="26"/>
      <c r="AH1219" s="26"/>
      <c r="AI1219" s="26"/>
      <c r="AJ1219" s="26"/>
      <c r="AK1219" s="26"/>
      <c r="AL1219" s="26"/>
      <c r="AM1219" s="26"/>
      <c r="AN1219" s="26"/>
      <c r="AO1219" s="26"/>
      <c r="AP1219" s="26"/>
      <c r="AQ1219" s="26"/>
      <c r="AR1219" s="26"/>
      <c r="AS1219" s="26"/>
      <c r="AT1219" s="26"/>
      <c r="AU1219" s="26"/>
      <c r="AV1219" s="26"/>
      <c r="AW1219" s="26"/>
      <c r="AX1219" s="155"/>
      <c r="AY1219" s="26"/>
      <c r="AZ1219" s="26"/>
      <c r="BA1219" s="26"/>
      <c r="BB1219" s="26"/>
      <c r="BC1219" s="26"/>
      <c r="BD1219" s="26"/>
      <c r="BE1219" s="145"/>
      <c r="BF1219" s="26"/>
      <c r="BG1219" s="26"/>
      <c r="BH1219" s="26"/>
      <c r="BI1219" s="26"/>
      <c r="BJ1219" s="26"/>
      <c r="BK1219" s="26"/>
      <c r="BL1219" s="26"/>
      <c r="BM1219" s="26"/>
      <c r="BN1219" s="26"/>
      <c r="BO1219" s="26"/>
      <c r="BP1219" s="26"/>
      <c r="BQ1219" s="26"/>
      <c r="BR1219" s="26"/>
      <c r="BS1219" s="26"/>
      <c r="BT1219" s="26"/>
      <c r="BU1219" s="26"/>
      <c r="BV1219" s="26"/>
      <c r="BW1219" s="26"/>
      <c r="BX1219" s="26"/>
      <c r="BY1219" s="26"/>
      <c r="BZ1219" s="26"/>
      <c r="CA1219" s="26"/>
    </row>
    <row r="1220" spans="1:79">
      <c r="A1220" s="172"/>
      <c r="B1220" s="145"/>
      <c r="C1220" s="145"/>
      <c r="D1220" s="145"/>
      <c r="E1220" s="174"/>
      <c r="F1220" s="174"/>
      <c r="G1220" s="174"/>
      <c r="H1220" s="26"/>
      <c r="I1220" s="26"/>
      <c r="J1220" s="26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  <c r="AA1220" s="26"/>
      <c r="AB1220" s="26"/>
      <c r="AC1220" s="26"/>
      <c r="AD1220" s="26"/>
      <c r="AE1220" s="26"/>
      <c r="AF1220" s="26"/>
      <c r="AG1220" s="26"/>
      <c r="AH1220" s="26"/>
      <c r="AI1220" s="26"/>
      <c r="AJ1220" s="26"/>
      <c r="AK1220" s="26"/>
      <c r="AL1220" s="26"/>
      <c r="AM1220" s="26"/>
      <c r="AN1220" s="26"/>
      <c r="AO1220" s="26"/>
      <c r="AP1220" s="26"/>
      <c r="AQ1220" s="26"/>
      <c r="AR1220" s="26"/>
      <c r="AS1220" s="26"/>
      <c r="AT1220" s="26"/>
      <c r="AU1220" s="26"/>
      <c r="AV1220" s="26"/>
      <c r="AW1220" s="26"/>
      <c r="AX1220" s="155"/>
      <c r="AY1220" s="26"/>
      <c r="AZ1220" s="26"/>
      <c r="BA1220" s="26"/>
      <c r="BB1220" s="26"/>
      <c r="BC1220" s="26"/>
      <c r="BD1220" s="26"/>
      <c r="BE1220" s="145"/>
      <c r="BF1220" s="26"/>
      <c r="BG1220" s="26"/>
      <c r="BH1220" s="26"/>
      <c r="BI1220" s="26"/>
      <c r="BJ1220" s="26"/>
      <c r="BK1220" s="26"/>
      <c r="BL1220" s="26"/>
      <c r="BM1220" s="26"/>
      <c r="BN1220" s="26"/>
      <c r="BO1220" s="26"/>
      <c r="BP1220" s="26"/>
      <c r="BQ1220" s="26"/>
      <c r="BR1220" s="26"/>
      <c r="BS1220" s="26"/>
      <c r="BT1220" s="26"/>
      <c r="BU1220" s="26"/>
      <c r="BV1220" s="26"/>
      <c r="BW1220" s="26"/>
      <c r="BX1220" s="26"/>
      <c r="BY1220" s="26"/>
      <c r="BZ1220" s="26"/>
      <c r="CA1220" s="26"/>
    </row>
    <row r="1221" spans="1:79">
      <c r="A1221" s="172"/>
      <c r="B1221" s="145"/>
      <c r="C1221" s="145"/>
      <c r="D1221" s="145"/>
      <c r="E1221" s="174"/>
      <c r="F1221" s="174"/>
      <c r="G1221" s="174"/>
      <c r="H1221" s="26"/>
      <c r="I1221" s="26"/>
      <c r="J1221" s="26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  <c r="AA1221" s="26"/>
      <c r="AB1221" s="26"/>
      <c r="AC1221" s="26"/>
      <c r="AD1221" s="26"/>
      <c r="AE1221" s="26"/>
      <c r="AF1221" s="26"/>
      <c r="AG1221" s="26"/>
      <c r="AH1221" s="26"/>
      <c r="AI1221" s="26"/>
      <c r="AJ1221" s="26"/>
      <c r="AK1221" s="26"/>
      <c r="AL1221" s="26"/>
      <c r="AM1221" s="26"/>
      <c r="AN1221" s="26"/>
      <c r="AO1221" s="26"/>
      <c r="AP1221" s="26"/>
      <c r="AQ1221" s="26"/>
      <c r="AR1221" s="26"/>
      <c r="AS1221" s="26"/>
      <c r="AT1221" s="26"/>
      <c r="AU1221" s="26"/>
      <c r="AV1221" s="26"/>
      <c r="AW1221" s="26"/>
      <c r="AX1221" s="155"/>
      <c r="AY1221" s="26"/>
      <c r="AZ1221" s="26"/>
      <c r="BA1221" s="26"/>
      <c r="BB1221" s="26"/>
      <c r="BC1221" s="26"/>
      <c r="BD1221" s="26"/>
      <c r="BE1221" s="145"/>
      <c r="BF1221" s="26"/>
      <c r="BG1221" s="26"/>
      <c r="BH1221" s="26"/>
      <c r="BI1221" s="26"/>
      <c r="BJ1221" s="26"/>
      <c r="BK1221" s="26"/>
      <c r="BL1221" s="26"/>
      <c r="BM1221" s="26"/>
      <c r="BN1221" s="26"/>
      <c r="BO1221" s="26"/>
      <c r="BP1221" s="26"/>
      <c r="BQ1221" s="26"/>
      <c r="BR1221" s="26"/>
      <c r="BS1221" s="26"/>
      <c r="BT1221" s="26"/>
      <c r="BU1221" s="26"/>
      <c r="BV1221" s="26"/>
      <c r="BW1221" s="26"/>
      <c r="BX1221" s="26"/>
      <c r="BY1221" s="26"/>
      <c r="BZ1221" s="26"/>
      <c r="CA1221" s="26"/>
    </row>
    <row r="1222" spans="1:79">
      <c r="A1222" s="172"/>
      <c r="B1222" s="145"/>
      <c r="C1222" s="145"/>
      <c r="D1222" s="145"/>
      <c r="E1222" s="174"/>
      <c r="F1222" s="174"/>
      <c r="G1222" s="174"/>
      <c r="H1222" s="26"/>
      <c r="I1222" s="26"/>
      <c r="J1222" s="26"/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  <c r="AA1222" s="26"/>
      <c r="AB1222" s="26"/>
      <c r="AC1222" s="26"/>
      <c r="AD1222" s="26"/>
      <c r="AE1222" s="26"/>
      <c r="AF1222" s="26"/>
      <c r="AG1222" s="26"/>
      <c r="AH1222" s="26"/>
      <c r="AI1222" s="26"/>
      <c r="AJ1222" s="26"/>
      <c r="AK1222" s="26"/>
      <c r="AL1222" s="26"/>
      <c r="AM1222" s="26"/>
      <c r="AN1222" s="26"/>
      <c r="AO1222" s="26"/>
      <c r="AP1222" s="26"/>
      <c r="AQ1222" s="26"/>
      <c r="AR1222" s="26"/>
      <c r="AS1222" s="26"/>
      <c r="AT1222" s="26"/>
      <c r="AU1222" s="26"/>
      <c r="AV1222" s="26"/>
      <c r="AW1222" s="26"/>
      <c r="AX1222" s="155"/>
      <c r="AY1222" s="26"/>
      <c r="AZ1222" s="26"/>
      <c r="BA1222" s="26"/>
      <c r="BB1222" s="26"/>
      <c r="BC1222" s="26"/>
      <c r="BD1222" s="26"/>
      <c r="BE1222" s="145"/>
      <c r="BF1222" s="26"/>
      <c r="BG1222" s="26"/>
      <c r="BH1222" s="26"/>
      <c r="BI1222" s="26"/>
      <c r="BJ1222" s="26"/>
      <c r="BK1222" s="26"/>
      <c r="BL1222" s="26"/>
      <c r="BM1222" s="26"/>
      <c r="BN1222" s="26"/>
      <c r="BO1222" s="26"/>
      <c r="BP1222" s="26"/>
      <c r="BQ1222" s="26"/>
      <c r="BR1222" s="26"/>
      <c r="BS1222" s="26"/>
      <c r="BT1222" s="26"/>
      <c r="BU1222" s="26"/>
      <c r="BV1222" s="26"/>
      <c r="BW1222" s="26"/>
      <c r="BX1222" s="26"/>
      <c r="BY1222" s="26"/>
      <c r="BZ1222" s="26"/>
      <c r="CA1222" s="26"/>
    </row>
    <row r="1223" spans="1:79">
      <c r="A1223" s="172"/>
      <c r="B1223" s="145"/>
      <c r="C1223" s="145"/>
      <c r="D1223" s="145"/>
      <c r="E1223" s="174"/>
      <c r="F1223" s="174"/>
      <c r="G1223" s="174"/>
      <c r="H1223" s="26"/>
      <c r="I1223" s="26"/>
      <c r="J1223" s="26"/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  <c r="AA1223" s="26"/>
      <c r="AB1223" s="26"/>
      <c r="AC1223" s="26"/>
      <c r="AD1223" s="26"/>
      <c r="AE1223" s="26"/>
      <c r="AF1223" s="26"/>
      <c r="AG1223" s="26"/>
      <c r="AH1223" s="26"/>
      <c r="AI1223" s="26"/>
      <c r="AJ1223" s="26"/>
      <c r="AK1223" s="26"/>
      <c r="AL1223" s="26"/>
      <c r="AM1223" s="26"/>
      <c r="AN1223" s="26"/>
      <c r="AO1223" s="26"/>
      <c r="AP1223" s="26"/>
      <c r="AQ1223" s="26"/>
      <c r="AR1223" s="26"/>
      <c r="AS1223" s="26"/>
      <c r="AT1223" s="26"/>
      <c r="AU1223" s="26"/>
      <c r="AV1223" s="26"/>
      <c r="AW1223" s="26"/>
      <c r="AX1223" s="155"/>
      <c r="AY1223" s="26"/>
      <c r="AZ1223" s="26"/>
      <c r="BA1223" s="26"/>
      <c r="BB1223" s="26"/>
      <c r="BC1223" s="26"/>
      <c r="BD1223" s="26"/>
      <c r="BE1223" s="145"/>
      <c r="BF1223" s="26"/>
      <c r="BG1223" s="26"/>
      <c r="BH1223" s="26"/>
      <c r="BI1223" s="26"/>
      <c r="BJ1223" s="26"/>
      <c r="BK1223" s="26"/>
      <c r="BL1223" s="26"/>
      <c r="BM1223" s="26"/>
      <c r="BN1223" s="26"/>
      <c r="BO1223" s="26"/>
      <c r="BP1223" s="26"/>
      <c r="BQ1223" s="26"/>
      <c r="BR1223" s="26"/>
      <c r="BS1223" s="26"/>
      <c r="BT1223" s="26"/>
      <c r="BU1223" s="26"/>
      <c r="BV1223" s="26"/>
      <c r="BW1223" s="26"/>
      <c r="BX1223" s="26"/>
      <c r="BY1223" s="26"/>
      <c r="BZ1223" s="26"/>
      <c r="CA1223" s="26"/>
    </row>
    <row r="1224" spans="1:79">
      <c r="A1224" s="172"/>
      <c r="B1224" s="145"/>
      <c r="C1224" s="145"/>
      <c r="D1224" s="145"/>
      <c r="E1224" s="174"/>
      <c r="F1224" s="174"/>
      <c r="G1224" s="174"/>
      <c r="H1224" s="26"/>
      <c r="I1224" s="26"/>
      <c r="J1224" s="26"/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  <c r="AA1224" s="26"/>
      <c r="AB1224" s="26"/>
      <c r="AC1224" s="26"/>
      <c r="AD1224" s="26"/>
      <c r="AE1224" s="26"/>
      <c r="AF1224" s="26"/>
      <c r="AG1224" s="26"/>
      <c r="AH1224" s="26"/>
      <c r="AI1224" s="26"/>
      <c r="AJ1224" s="26"/>
      <c r="AK1224" s="26"/>
      <c r="AL1224" s="26"/>
      <c r="AM1224" s="26"/>
      <c r="AN1224" s="26"/>
      <c r="AO1224" s="26"/>
      <c r="AP1224" s="26"/>
      <c r="AQ1224" s="26"/>
      <c r="AR1224" s="26"/>
      <c r="AS1224" s="26"/>
      <c r="AT1224" s="26"/>
      <c r="AU1224" s="26"/>
      <c r="AV1224" s="26"/>
      <c r="AW1224" s="26"/>
      <c r="AX1224" s="155"/>
      <c r="AY1224" s="26"/>
      <c r="AZ1224" s="26"/>
      <c r="BA1224" s="26"/>
      <c r="BB1224" s="26"/>
      <c r="BC1224" s="26"/>
      <c r="BD1224" s="26"/>
      <c r="BE1224" s="145"/>
      <c r="BF1224" s="26"/>
      <c r="BG1224" s="26"/>
      <c r="BH1224" s="26"/>
      <c r="BI1224" s="26"/>
      <c r="BJ1224" s="26"/>
      <c r="BK1224" s="26"/>
      <c r="BL1224" s="26"/>
      <c r="BM1224" s="26"/>
      <c r="BN1224" s="26"/>
      <c r="BO1224" s="26"/>
      <c r="BP1224" s="26"/>
      <c r="BQ1224" s="26"/>
      <c r="BR1224" s="26"/>
      <c r="BS1224" s="26"/>
      <c r="BT1224" s="26"/>
      <c r="BU1224" s="26"/>
      <c r="BV1224" s="26"/>
      <c r="BW1224" s="26"/>
      <c r="BX1224" s="26"/>
      <c r="BY1224" s="26"/>
      <c r="BZ1224" s="26"/>
      <c r="CA1224" s="26"/>
    </row>
    <row r="1225" spans="1:79" ht="15.75">
      <c r="A1225" s="172"/>
      <c r="B1225" s="145"/>
      <c r="C1225" s="145"/>
      <c r="D1225" s="149"/>
      <c r="E1225" s="177" t="s">
        <v>61</v>
      </c>
      <c r="F1225" s="149" t="s">
        <v>0</v>
      </c>
      <c r="G1225" s="150">
        <v>1.0296603694122712</v>
      </c>
      <c r="H1225" s="150" t="s">
        <v>1</v>
      </c>
      <c r="I1225" s="149" t="s">
        <v>0</v>
      </c>
      <c r="J1225" s="26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  <c r="AA1225" s="26"/>
      <c r="AB1225" s="26"/>
      <c r="AC1225" s="26"/>
      <c r="AD1225" s="26"/>
      <c r="AE1225" s="26"/>
      <c r="AF1225" s="26"/>
      <c r="AG1225" s="26"/>
      <c r="AH1225" s="26"/>
      <c r="AI1225" s="26"/>
      <c r="AJ1225" s="26"/>
      <c r="AK1225" s="26"/>
      <c r="AL1225" s="26"/>
      <c r="AM1225" s="26"/>
      <c r="AN1225" s="26"/>
      <c r="AO1225" s="26"/>
      <c r="AP1225" s="26"/>
      <c r="AQ1225" s="26"/>
      <c r="AR1225" s="26"/>
      <c r="AS1225" s="26"/>
      <c r="AT1225" s="26"/>
      <c r="AU1225" s="26"/>
      <c r="AV1225" s="26"/>
      <c r="AW1225" s="26"/>
      <c r="AX1225" s="155"/>
      <c r="AY1225" s="26"/>
      <c r="AZ1225" s="26"/>
      <c r="BA1225" s="26"/>
      <c r="BB1225" s="26"/>
      <c r="BC1225" s="26"/>
      <c r="BD1225" s="26"/>
      <c r="BE1225" s="145"/>
      <c r="BF1225" s="26"/>
      <c r="BG1225" s="26"/>
      <c r="BH1225" s="26"/>
      <c r="BI1225" s="26"/>
      <c r="BJ1225" s="26"/>
      <c r="BK1225" s="26"/>
      <c r="BL1225" s="26"/>
      <c r="BM1225" s="26"/>
      <c r="BN1225" s="26"/>
      <c r="BO1225" s="26"/>
      <c r="BP1225" s="26"/>
      <c r="BQ1225" s="26"/>
      <c r="BR1225" s="26"/>
      <c r="BS1225" s="26"/>
      <c r="BT1225" s="26"/>
      <c r="BU1225" s="26"/>
      <c r="BV1225" s="26"/>
      <c r="BW1225" s="26"/>
      <c r="BX1225" s="26"/>
      <c r="BY1225" s="26"/>
      <c r="BZ1225" s="26"/>
      <c r="CA1225" s="26"/>
    </row>
    <row r="1226" spans="1:79" ht="15.75">
      <c r="A1226" s="172"/>
      <c r="B1226" s="145"/>
      <c r="C1226" s="145"/>
      <c r="D1226" s="145"/>
      <c r="E1226" s="178"/>
      <c r="F1226" s="149">
        <v>0</v>
      </c>
      <c r="G1226" s="179">
        <v>-0.20593207388245424</v>
      </c>
      <c r="H1226" s="154">
        <v>1</v>
      </c>
      <c r="I1226" s="150" t="s">
        <v>57</v>
      </c>
      <c r="J1226" s="26"/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  <c r="Z1226" s="26"/>
      <c r="AA1226" s="26"/>
      <c r="AB1226" s="26"/>
      <c r="AC1226" s="26"/>
      <c r="AD1226" s="26"/>
      <c r="AE1226" s="26"/>
      <c r="AF1226" s="26"/>
      <c r="AG1226" s="26"/>
      <c r="AH1226" s="26"/>
      <c r="AI1226" s="26"/>
      <c r="AJ1226" s="26"/>
      <c r="AK1226" s="26"/>
      <c r="AL1226" s="26"/>
      <c r="AM1226" s="26"/>
      <c r="AN1226" s="26"/>
      <c r="AO1226" s="26"/>
      <c r="AP1226" s="26"/>
      <c r="AQ1226" s="26"/>
      <c r="AR1226" s="26"/>
      <c r="AS1226" s="26"/>
      <c r="AT1226" s="26"/>
      <c r="AU1226" s="26"/>
      <c r="AV1226" s="26"/>
      <c r="AW1226" s="26"/>
      <c r="AX1226" s="155"/>
      <c r="AY1226" s="26"/>
      <c r="AZ1226" s="26"/>
      <c r="BA1226" s="26"/>
      <c r="BB1226" s="26"/>
      <c r="BC1226" s="26"/>
      <c r="BD1226" s="26"/>
      <c r="BE1226" s="145"/>
      <c r="BF1226" s="26"/>
      <c r="BG1226" s="26"/>
      <c r="BH1226" s="26"/>
      <c r="BI1226" s="26"/>
      <c r="BJ1226" s="26"/>
      <c r="BK1226" s="26"/>
      <c r="BL1226" s="26"/>
      <c r="BM1226" s="26"/>
      <c r="BN1226" s="26"/>
      <c r="BO1226" s="26"/>
      <c r="BP1226" s="26"/>
      <c r="BQ1226" s="26"/>
      <c r="BR1226" s="26"/>
      <c r="BS1226" s="26"/>
      <c r="BT1226" s="26"/>
      <c r="BU1226" s="26"/>
      <c r="BV1226" s="26"/>
      <c r="BW1226" s="26"/>
      <c r="BX1226" s="26"/>
      <c r="BY1226" s="26"/>
      <c r="BZ1226" s="26"/>
      <c r="CA1226" s="26"/>
    </row>
    <row r="1227" spans="1:79" ht="15.75">
      <c r="A1227" s="172"/>
      <c r="B1227" s="145"/>
      <c r="C1227" s="145"/>
      <c r="D1227" s="145"/>
      <c r="E1227" s="178"/>
      <c r="F1227" s="149">
        <v>0</v>
      </c>
      <c r="G1227" s="179">
        <v>0.20593207388245424</v>
      </c>
      <c r="H1227" s="156">
        <v>1</v>
      </c>
      <c r="I1227" s="150" t="s">
        <v>58</v>
      </c>
      <c r="J1227" s="26"/>
      <c r="K1227" s="26"/>
      <c r="L1227" s="26"/>
      <c r="M1227" s="26"/>
      <c r="N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  <c r="Z1227" s="26"/>
      <c r="AA1227" s="26"/>
      <c r="AB1227" s="26"/>
      <c r="AC1227" s="26"/>
      <c r="AD1227" s="26"/>
      <c r="AE1227" s="26"/>
      <c r="AF1227" s="26"/>
      <c r="AG1227" s="26"/>
      <c r="AH1227" s="26"/>
      <c r="AI1227" s="26"/>
      <c r="AJ1227" s="26"/>
      <c r="AK1227" s="26"/>
      <c r="AL1227" s="26"/>
      <c r="AM1227" s="26"/>
      <c r="AN1227" s="26"/>
      <c r="AO1227" s="26"/>
      <c r="AP1227" s="26"/>
      <c r="AQ1227" s="26"/>
      <c r="AR1227" s="26"/>
      <c r="AS1227" s="26"/>
      <c r="AT1227" s="26"/>
      <c r="AU1227" s="26"/>
      <c r="AV1227" s="26"/>
      <c r="AW1227" s="26"/>
      <c r="AX1227" s="155"/>
      <c r="AY1227" s="26"/>
      <c r="AZ1227" s="26"/>
      <c r="BA1227" s="26"/>
      <c r="BB1227" s="26"/>
      <c r="BC1227" s="26"/>
      <c r="BD1227" s="26"/>
      <c r="BE1227" s="145"/>
      <c r="BF1227" s="26"/>
      <c r="BG1227" s="26"/>
      <c r="BH1227" s="26"/>
      <c r="BI1227" s="26"/>
      <c r="BJ1227" s="26"/>
      <c r="BK1227" s="26"/>
      <c r="BL1227" s="26"/>
      <c r="BM1227" s="26"/>
      <c r="BN1227" s="26"/>
      <c r="BO1227" s="26"/>
      <c r="BP1227" s="26"/>
      <c r="BQ1227" s="26"/>
      <c r="BR1227" s="26"/>
      <c r="BS1227" s="26"/>
      <c r="BT1227" s="26"/>
      <c r="BU1227" s="26"/>
      <c r="BV1227" s="26"/>
      <c r="BW1227" s="26"/>
      <c r="BX1227" s="26"/>
      <c r="BY1227" s="26"/>
      <c r="BZ1227" s="26"/>
      <c r="CA1227" s="26"/>
    </row>
    <row r="1228" spans="1:79" ht="15.75">
      <c r="A1228" s="172"/>
      <c r="B1228" s="145"/>
      <c r="C1228" s="145"/>
      <c r="D1228" s="145"/>
      <c r="E1228" s="178"/>
      <c r="F1228" s="149" t="s">
        <v>62</v>
      </c>
      <c r="G1228" s="179">
        <v>0</v>
      </c>
      <c r="H1228" s="159">
        <v>1</v>
      </c>
      <c r="I1228" s="180" t="s">
        <v>59</v>
      </c>
      <c r="J1228" s="26"/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  <c r="Z1228" s="26"/>
      <c r="AA1228" s="26"/>
      <c r="AB1228" s="26"/>
      <c r="AC1228" s="26"/>
      <c r="AD1228" s="26"/>
      <c r="AE1228" s="26"/>
      <c r="AF1228" s="26"/>
      <c r="AG1228" s="26"/>
      <c r="AH1228" s="26"/>
      <c r="AI1228" s="26"/>
      <c r="AJ1228" s="26"/>
      <c r="AK1228" s="26"/>
      <c r="AL1228" s="26"/>
      <c r="AM1228" s="26"/>
      <c r="AN1228" s="26"/>
      <c r="AO1228" s="26"/>
      <c r="AP1228" s="26"/>
      <c r="AQ1228" s="26"/>
      <c r="AR1228" s="26"/>
      <c r="AS1228" s="26"/>
      <c r="AT1228" s="26"/>
      <c r="AU1228" s="26"/>
      <c r="AV1228" s="26"/>
      <c r="AW1228" s="26"/>
      <c r="AX1228" s="155"/>
      <c r="AY1228" s="26"/>
      <c r="AZ1228" s="26"/>
      <c r="BA1228" s="26"/>
      <c r="BB1228" s="26"/>
      <c r="BC1228" s="26"/>
      <c r="BD1228" s="26"/>
      <c r="BE1228" s="145"/>
      <c r="BF1228" s="26"/>
      <c r="BG1228" s="26"/>
      <c r="BH1228" s="26"/>
      <c r="BI1228" s="26"/>
      <c r="BJ1228" s="26"/>
      <c r="BK1228" s="26"/>
      <c r="BL1228" s="26"/>
      <c r="BM1228" s="26"/>
      <c r="BN1228" s="26"/>
      <c r="BO1228" s="26"/>
      <c r="BP1228" s="26"/>
      <c r="BQ1228" s="26"/>
      <c r="BR1228" s="26"/>
      <c r="BS1228" s="26"/>
      <c r="BT1228" s="26"/>
      <c r="BU1228" s="26"/>
      <c r="BV1228" s="26"/>
      <c r="BW1228" s="26"/>
      <c r="BX1228" s="26"/>
      <c r="BY1228" s="26"/>
      <c r="BZ1228" s="26"/>
      <c r="CA1228" s="26"/>
    </row>
    <row r="1229" spans="1:79" ht="15.75">
      <c r="A1229" s="172"/>
      <c r="B1229" s="145"/>
      <c r="C1229" s="145"/>
      <c r="D1229" s="145"/>
      <c r="E1229" s="178"/>
      <c r="F1229" s="149" t="s">
        <v>0</v>
      </c>
      <c r="G1229" s="181">
        <v>2</v>
      </c>
      <c r="H1229" s="182">
        <v>2.2120290183345332</v>
      </c>
      <c r="I1229" s="149" t="s">
        <v>63</v>
      </c>
      <c r="J1229" s="26"/>
      <c r="K1229" s="26"/>
      <c r="L1229" s="26"/>
      <c r="M1229" s="26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  <c r="AA1229" s="26"/>
      <c r="AB1229" s="26"/>
      <c r="AC1229" s="26"/>
      <c r="AD1229" s="26"/>
      <c r="AE1229" s="26"/>
      <c r="AF1229" s="26"/>
      <c r="AG1229" s="26"/>
      <c r="AH1229" s="26"/>
      <c r="AI1229" s="26"/>
      <c r="AJ1229" s="26"/>
      <c r="AK1229" s="26"/>
      <c r="AL1229" s="26"/>
      <c r="AM1229" s="26"/>
      <c r="AN1229" s="26"/>
      <c r="AO1229" s="26"/>
      <c r="AP1229" s="26"/>
      <c r="AQ1229" s="26"/>
      <c r="AR1229" s="26"/>
      <c r="AS1229" s="26"/>
      <c r="AT1229" s="26"/>
      <c r="AU1229" s="26"/>
      <c r="AV1229" s="26"/>
      <c r="AW1229" s="26"/>
      <c r="AX1229" s="155"/>
      <c r="AY1229" s="26"/>
      <c r="AZ1229" s="26"/>
      <c r="BA1229" s="26"/>
      <c r="BB1229" s="26"/>
      <c r="BC1229" s="26"/>
      <c r="BD1229" s="26"/>
      <c r="BE1229" s="145"/>
      <c r="BF1229" s="26"/>
      <c r="BG1229" s="26"/>
      <c r="BH1229" s="26"/>
      <c r="BI1229" s="26"/>
      <c r="BJ1229" s="26"/>
      <c r="BK1229" s="26"/>
      <c r="BL1229" s="26"/>
      <c r="BM1229" s="26"/>
      <c r="BN1229" s="26"/>
      <c r="BO1229" s="26"/>
      <c r="BP1229" s="26"/>
      <c r="BQ1229" s="26"/>
      <c r="BR1229" s="26"/>
      <c r="BS1229" s="26"/>
      <c r="BT1229" s="26"/>
      <c r="BU1229" s="26"/>
      <c r="BV1229" s="26"/>
      <c r="BW1229" s="26"/>
      <c r="BX1229" s="26"/>
      <c r="BY1229" s="26"/>
      <c r="BZ1229" s="26"/>
      <c r="CA1229" s="26"/>
    </row>
    <row r="1230" spans="1:79" ht="15.75">
      <c r="A1230" s="172"/>
      <c r="B1230" s="145"/>
      <c r="C1230" s="145"/>
      <c r="D1230" s="174"/>
      <c r="E1230" s="178"/>
      <c r="F1230" s="149" t="s">
        <v>0</v>
      </c>
      <c r="G1230" s="149" t="s">
        <v>0</v>
      </c>
      <c r="H1230" s="149" t="s">
        <v>0</v>
      </c>
      <c r="I1230" s="149" t="s">
        <v>0</v>
      </c>
      <c r="J1230" s="26"/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  <c r="Z1230" s="26"/>
      <c r="AA1230" s="26"/>
      <c r="AB1230" s="26"/>
      <c r="AC1230" s="26"/>
      <c r="AD1230" s="26"/>
      <c r="AE1230" s="26"/>
      <c r="AF1230" s="26"/>
      <c r="AG1230" s="26"/>
      <c r="AH1230" s="26"/>
      <c r="AI1230" s="26"/>
      <c r="AJ1230" s="26"/>
      <c r="AK1230" s="26"/>
      <c r="AL1230" s="26"/>
      <c r="AM1230" s="26"/>
      <c r="AN1230" s="26"/>
      <c r="AO1230" s="26"/>
      <c r="AP1230" s="26"/>
      <c r="AQ1230" s="26"/>
      <c r="AR1230" s="26"/>
      <c r="AS1230" s="26"/>
      <c r="AT1230" s="26"/>
      <c r="AU1230" s="26"/>
      <c r="AV1230" s="26"/>
      <c r="AW1230" s="26"/>
      <c r="AX1230" s="155"/>
      <c r="AY1230" s="26"/>
      <c r="AZ1230" s="26"/>
      <c r="BA1230" s="26"/>
      <c r="BB1230" s="26"/>
      <c r="BC1230" s="26"/>
      <c r="BD1230" s="26"/>
      <c r="BE1230" s="145"/>
      <c r="BF1230" s="26"/>
      <c r="BG1230" s="26"/>
      <c r="BH1230" s="26"/>
      <c r="BI1230" s="26"/>
      <c r="BJ1230" s="26"/>
      <c r="BK1230" s="26"/>
      <c r="BL1230" s="26"/>
      <c r="BM1230" s="26"/>
      <c r="BN1230" s="26"/>
      <c r="BO1230" s="26"/>
      <c r="BP1230" s="26"/>
      <c r="BQ1230" s="26"/>
      <c r="BR1230" s="26"/>
      <c r="BS1230" s="26"/>
      <c r="BT1230" s="26"/>
      <c r="BU1230" s="26"/>
      <c r="BV1230" s="26"/>
      <c r="BW1230" s="26"/>
      <c r="BX1230" s="26"/>
      <c r="BY1230" s="26"/>
      <c r="BZ1230" s="26"/>
      <c r="CA1230" s="26"/>
    </row>
    <row r="1231" spans="1:79" ht="15.75">
      <c r="A1231" s="172"/>
      <c r="B1231" s="145"/>
      <c r="C1231" s="145"/>
      <c r="D1231" s="145"/>
      <c r="E1231" s="178"/>
      <c r="F1231" s="149"/>
      <c r="G1231" s="149"/>
      <c r="H1231" s="149"/>
      <c r="I1231" s="149"/>
      <c r="J1231" s="26"/>
      <c r="K1231" s="26"/>
      <c r="L1231" s="26"/>
      <c r="M1231" s="26"/>
      <c r="N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  <c r="Z1231" s="26"/>
      <c r="AA1231" s="26"/>
      <c r="AB1231" s="26"/>
      <c r="AC1231" s="26"/>
      <c r="AD1231" s="26"/>
      <c r="AE1231" s="26"/>
      <c r="AF1231" s="26"/>
      <c r="AG1231" s="26"/>
      <c r="AH1231" s="26"/>
      <c r="AI1231" s="26"/>
      <c r="AJ1231" s="26"/>
      <c r="AK1231" s="26"/>
      <c r="AL1231" s="26"/>
      <c r="AM1231" s="26"/>
      <c r="AN1231" s="26"/>
      <c r="AO1231" s="26"/>
      <c r="AP1231" s="26"/>
      <c r="AQ1231" s="26"/>
      <c r="AR1231" s="26"/>
      <c r="AS1231" s="26"/>
      <c r="AT1231" s="26"/>
      <c r="AU1231" s="26"/>
      <c r="AV1231" s="26"/>
      <c r="AW1231" s="26"/>
      <c r="AX1231" s="155"/>
      <c r="AY1231" s="26"/>
      <c r="AZ1231" s="26"/>
      <c r="BA1231" s="26"/>
      <c r="BB1231" s="26"/>
      <c r="BC1231" s="26"/>
      <c r="BD1231" s="26"/>
      <c r="BE1231" s="145"/>
      <c r="BF1231" s="26"/>
      <c r="BG1231" s="26"/>
      <c r="BH1231" s="26"/>
      <c r="BI1231" s="26"/>
      <c r="BJ1231" s="26"/>
      <c r="BK1231" s="26"/>
      <c r="BL1231" s="26"/>
      <c r="BM1231" s="26"/>
      <c r="BN1231" s="26"/>
      <c r="BO1231" s="26"/>
      <c r="BP1231" s="26"/>
      <c r="BQ1231" s="26"/>
      <c r="BR1231" s="26"/>
      <c r="BS1231" s="26"/>
      <c r="BT1231" s="26"/>
      <c r="BU1231" s="26"/>
      <c r="BV1231" s="26"/>
      <c r="BW1231" s="26"/>
      <c r="BX1231" s="26"/>
      <c r="BY1231" s="26"/>
      <c r="BZ1231" s="26"/>
      <c r="CA1231" s="26"/>
    </row>
    <row r="1232" spans="1:79" ht="15.75">
      <c r="A1232" s="172"/>
      <c r="B1232" s="145"/>
      <c r="C1232" s="145"/>
      <c r="D1232" s="149"/>
      <c r="E1232" s="177" t="s">
        <v>64</v>
      </c>
      <c r="F1232" s="149" t="s">
        <v>0</v>
      </c>
      <c r="G1232" s="150">
        <v>46.999726001643992</v>
      </c>
      <c r="H1232" s="150" t="s">
        <v>1</v>
      </c>
      <c r="I1232" s="149" t="s">
        <v>0</v>
      </c>
      <c r="J1232" s="26"/>
      <c r="K1232" s="26"/>
      <c r="L1232" s="26"/>
      <c r="M1232" s="26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  <c r="Z1232" s="26"/>
      <c r="AA1232" s="26"/>
      <c r="AB1232" s="26"/>
      <c r="AC1232" s="26"/>
      <c r="AD1232" s="26"/>
      <c r="AE1232" s="26"/>
      <c r="AF1232" s="26"/>
      <c r="AG1232" s="26"/>
      <c r="AH1232" s="26"/>
      <c r="AI1232" s="26"/>
      <c r="AJ1232" s="26"/>
      <c r="AK1232" s="26"/>
      <c r="AL1232" s="26"/>
      <c r="AM1232" s="26"/>
      <c r="AN1232" s="26"/>
      <c r="AO1232" s="26"/>
      <c r="AP1232" s="26"/>
      <c r="AQ1232" s="26"/>
      <c r="AR1232" s="26"/>
      <c r="AS1232" s="26"/>
      <c r="AT1232" s="26"/>
      <c r="AU1232" s="26"/>
      <c r="AV1232" s="26"/>
      <c r="AW1232" s="26"/>
      <c r="AX1232" s="155"/>
      <c r="AY1232" s="26"/>
      <c r="AZ1232" s="26"/>
      <c r="BA1232" s="26"/>
      <c r="BB1232" s="26"/>
      <c r="BC1232" s="26"/>
      <c r="BD1232" s="26"/>
      <c r="BE1232" s="145"/>
      <c r="BF1232" s="26"/>
      <c r="BG1232" s="26"/>
      <c r="BH1232" s="26"/>
      <c r="BI1232" s="26"/>
      <c r="BJ1232" s="26"/>
      <c r="BK1232" s="26"/>
      <c r="BL1232" s="26"/>
      <c r="BM1232" s="26"/>
      <c r="BN1232" s="26"/>
      <c r="BO1232" s="26"/>
      <c r="BP1232" s="26"/>
      <c r="BQ1232" s="26"/>
      <c r="BR1232" s="26"/>
      <c r="BS1232" s="26"/>
      <c r="BT1232" s="26"/>
      <c r="BU1232" s="26"/>
      <c r="BV1232" s="26"/>
      <c r="BW1232" s="26"/>
      <c r="BX1232" s="26"/>
      <c r="BY1232" s="26"/>
      <c r="BZ1232" s="26"/>
      <c r="CA1232" s="26"/>
    </row>
    <row r="1233" spans="1:79">
      <c r="A1233" s="172"/>
      <c r="B1233" s="145"/>
      <c r="C1233" s="145"/>
      <c r="D1233" s="145"/>
      <c r="E1233" s="26"/>
      <c r="F1233" s="149" t="s">
        <v>0</v>
      </c>
      <c r="G1233" s="179">
        <v>-0.46999726001643993</v>
      </c>
      <c r="H1233" s="154">
        <v>1</v>
      </c>
      <c r="I1233" s="150" t="s">
        <v>57</v>
      </c>
      <c r="J1233" s="26"/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/>
      <c r="AA1233" s="26"/>
      <c r="AB1233" s="26"/>
      <c r="AC1233" s="26"/>
      <c r="AD1233" s="26"/>
      <c r="AE1233" s="26"/>
      <c r="AF1233" s="26"/>
      <c r="AG1233" s="26"/>
      <c r="AH1233" s="26"/>
      <c r="AI1233" s="26"/>
      <c r="AJ1233" s="26"/>
      <c r="AK1233" s="26"/>
      <c r="AL1233" s="26"/>
      <c r="AM1233" s="26"/>
      <c r="AN1233" s="26"/>
      <c r="AO1233" s="26"/>
      <c r="AP1233" s="26"/>
      <c r="AQ1233" s="26"/>
      <c r="AR1233" s="26"/>
      <c r="AS1233" s="26"/>
      <c r="AT1233" s="26"/>
      <c r="AU1233" s="26"/>
      <c r="AV1233" s="26"/>
      <c r="AW1233" s="26"/>
      <c r="AX1233" s="155"/>
      <c r="AY1233" s="26"/>
      <c r="AZ1233" s="26"/>
      <c r="BA1233" s="26"/>
      <c r="BB1233" s="26"/>
      <c r="BC1233" s="26"/>
      <c r="BD1233" s="26"/>
      <c r="BE1233" s="145"/>
      <c r="BF1233" s="26"/>
      <c r="BG1233" s="26"/>
      <c r="BH1233" s="26"/>
      <c r="BI1233" s="26"/>
      <c r="BJ1233" s="26"/>
      <c r="BK1233" s="26"/>
      <c r="BL1233" s="26"/>
      <c r="BM1233" s="26"/>
      <c r="BN1233" s="26"/>
      <c r="BO1233" s="26"/>
      <c r="BP1233" s="26"/>
      <c r="BQ1233" s="26"/>
      <c r="BR1233" s="26"/>
      <c r="BS1233" s="26"/>
      <c r="BT1233" s="26"/>
      <c r="BU1233" s="26"/>
      <c r="BV1233" s="26"/>
      <c r="BW1233" s="26"/>
      <c r="BX1233" s="26"/>
      <c r="BY1233" s="26"/>
      <c r="BZ1233" s="26"/>
      <c r="CA1233" s="26"/>
    </row>
    <row r="1234" spans="1:79">
      <c r="A1234" s="172"/>
      <c r="B1234" s="145"/>
      <c r="C1234" s="145"/>
      <c r="D1234" s="145"/>
      <c r="E1234" s="26"/>
      <c r="F1234" s="149" t="s">
        <v>0</v>
      </c>
      <c r="G1234" s="179">
        <v>0.46999726001643993</v>
      </c>
      <c r="H1234" s="156">
        <v>1</v>
      </c>
      <c r="I1234" s="150" t="s">
        <v>58</v>
      </c>
      <c r="J1234" s="26"/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/>
      <c r="AA1234" s="26"/>
      <c r="AB1234" s="26"/>
      <c r="AC1234" s="26"/>
      <c r="AD1234" s="26"/>
      <c r="AE1234" s="174"/>
      <c r="AF1234" s="26"/>
      <c r="AG1234" s="26"/>
      <c r="AH1234" s="26"/>
      <c r="AI1234" s="26"/>
      <c r="AJ1234" s="26"/>
      <c r="AK1234" s="26"/>
      <c r="AL1234" s="26"/>
      <c r="AM1234" s="26"/>
      <c r="AN1234" s="26"/>
      <c r="AO1234" s="26"/>
      <c r="AP1234" s="26"/>
      <c r="AQ1234" s="26"/>
      <c r="AR1234" s="26"/>
      <c r="AS1234" s="26"/>
      <c r="AT1234" s="26"/>
      <c r="AU1234" s="26"/>
      <c r="AV1234" s="26"/>
      <c r="AW1234" s="26"/>
      <c r="AX1234" s="155"/>
      <c r="AY1234" s="26"/>
      <c r="AZ1234" s="26"/>
      <c r="BA1234" s="26"/>
      <c r="BB1234" s="26"/>
      <c r="BC1234" s="26"/>
      <c r="BD1234" s="26"/>
      <c r="BE1234" s="145"/>
      <c r="BF1234" s="26"/>
      <c r="BG1234" s="26"/>
      <c r="BH1234" s="26"/>
      <c r="BI1234" s="26"/>
      <c r="BJ1234" s="26"/>
      <c r="BK1234" s="26"/>
      <c r="BL1234" s="26"/>
      <c r="BM1234" s="26"/>
      <c r="BN1234" s="26"/>
      <c r="BO1234" s="26"/>
      <c r="BP1234" s="26"/>
      <c r="BQ1234" s="26"/>
      <c r="BR1234" s="26"/>
      <c r="BS1234" s="26"/>
      <c r="BT1234" s="26"/>
      <c r="BU1234" s="26"/>
      <c r="BV1234" s="26"/>
      <c r="BW1234" s="26"/>
      <c r="BX1234" s="26"/>
      <c r="BY1234" s="26"/>
      <c r="BZ1234" s="26"/>
      <c r="CA1234" s="26"/>
    </row>
    <row r="1235" spans="1:79">
      <c r="A1235" s="172"/>
      <c r="B1235" s="145"/>
      <c r="C1235" s="145"/>
      <c r="D1235" s="145"/>
      <c r="E1235" s="26"/>
      <c r="F1235" s="149" t="s">
        <v>0</v>
      </c>
      <c r="G1235" s="179">
        <v>0</v>
      </c>
      <c r="H1235" s="159">
        <v>1</v>
      </c>
      <c r="I1235" s="180" t="s">
        <v>65</v>
      </c>
      <c r="J1235" s="26"/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  <c r="AA1235" s="26"/>
      <c r="AB1235" s="26"/>
      <c r="AC1235" s="26"/>
      <c r="AD1235" s="26"/>
      <c r="AE1235" s="174"/>
      <c r="AF1235" s="26"/>
      <c r="AG1235" s="26"/>
      <c r="AH1235" s="26"/>
      <c r="AI1235" s="26"/>
      <c r="AJ1235" s="26"/>
      <c r="AK1235" s="26"/>
      <c r="AL1235" s="26"/>
      <c r="AM1235" s="26"/>
      <c r="AN1235" s="26"/>
      <c r="AO1235" s="26"/>
      <c r="AP1235" s="26"/>
      <c r="AQ1235" s="26"/>
      <c r="AR1235" s="26"/>
      <c r="AS1235" s="26"/>
      <c r="AT1235" s="26"/>
      <c r="AU1235" s="26"/>
      <c r="AV1235" s="26"/>
      <c r="AW1235" s="26"/>
      <c r="AX1235" s="155"/>
      <c r="AY1235" s="26"/>
      <c r="AZ1235" s="26"/>
      <c r="BA1235" s="26"/>
      <c r="BB1235" s="26"/>
      <c r="BC1235" s="26"/>
      <c r="BD1235" s="26"/>
      <c r="BE1235" s="145"/>
      <c r="BF1235" s="26"/>
      <c r="BG1235" s="26"/>
      <c r="BH1235" s="26"/>
      <c r="BI1235" s="26"/>
      <c r="BJ1235" s="26"/>
      <c r="BK1235" s="26"/>
      <c r="BL1235" s="26"/>
      <c r="BM1235" s="26"/>
      <c r="BN1235" s="26"/>
      <c r="BO1235" s="26"/>
      <c r="BP1235" s="26"/>
      <c r="BQ1235" s="26"/>
      <c r="BR1235" s="26"/>
      <c r="BS1235" s="26"/>
      <c r="BT1235" s="26"/>
      <c r="BU1235" s="26"/>
      <c r="BV1235" s="26"/>
      <c r="BW1235" s="26"/>
      <c r="BX1235" s="26"/>
      <c r="BY1235" s="26"/>
      <c r="BZ1235" s="26"/>
      <c r="CA1235" s="26"/>
    </row>
    <row r="1236" spans="1:79">
      <c r="A1236" s="172"/>
      <c r="B1236" s="145"/>
      <c r="C1236" s="145"/>
      <c r="D1236" s="145"/>
      <c r="E1236" s="26"/>
      <c r="F1236" s="149" t="s">
        <v>0</v>
      </c>
      <c r="G1236" s="181">
        <v>0.1</v>
      </c>
      <c r="H1236" s="182">
        <v>100</v>
      </c>
      <c r="I1236" s="149" t="s">
        <v>0</v>
      </c>
      <c r="J1236" s="26"/>
      <c r="K1236" s="26"/>
      <c r="L1236" s="26"/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  <c r="Z1236" s="26"/>
      <c r="AA1236" s="26"/>
      <c r="AB1236" s="26"/>
      <c r="AC1236" s="26"/>
      <c r="AD1236" s="26"/>
      <c r="AE1236" s="174"/>
      <c r="AF1236" s="26"/>
      <c r="AG1236" s="26"/>
      <c r="AH1236" s="26"/>
      <c r="AI1236" s="26"/>
      <c r="AJ1236" s="26"/>
      <c r="AK1236" s="26"/>
      <c r="AL1236" s="26"/>
      <c r="AM1236" s="26"/>
      <c r="AN1236" s="26"/>
      <c r="AO1236" s="26"/>
      <c r="AP1236" s="26"/>
      <c r="AQ1236" s="26"/>
      <c r="AR1236" s="26"/>
      <c r="AS1236" s="26"/>
      <c r="AT1236" s="26"/>
      <c r="AU1236" s="26"/>
      <c r="AV1236" s="26"/>
      <c r="AW1236" s="26"/>
      <c r="AX1236" s="155"/>
      <c r="AY1236" s="26"/>
      <c r="AZ1236" s="26"/>
      <c r="BA1236" s="26"/>
      <c r="BB1236" s="26"/>
      <c r="BC1236" s="26"/>
      <c r="BD1236" s="26"/>
      <c r="BE1236" s="145"/>
      <c r="BF1236" s="26"/>
      <c r="BG1236" s="26"/>
      <c r="BH1236" s="26"/>
      <c r="BI1236" s="26"/>
      <c r="BJ1236" s="26"/>
      <c r="BK1236" s="26"/>
      <c r="BL1236" s="26"/>
      <c r="BM1236" s="26"/>
      <c r="BN1236" s="26"/>
      <c r="BO1236" s="26"/>
      <c r="BP1236" s="26"/>
      <c r="BQ1236" s="26"/>
      <c r="BR1236" s="26"/>
      <c r="BS1236" s="26"/>
      <c r="BT1236" s="26"/>
      <c r="BU1236" s="26"/>
      <c r="BV1236" s="26"/>
      <c r="BW1236" s="26"/>
      <c r="BX1236" s="26"/>
      <c r="BY1236" s="26"/>
      <c r="BZ1236" s="26"/>
      <c r="CA1236" s="26"/>
    </row>
    <row r="1237" spans="1:79">
      <c r="A1237" s="172"/>
      <c r="B1237" s="145"/>
      <c r="C1237" s="145"/>
      <c r="D1237" s="145"/>
      <c r="E1237" s="26"/>
      <c r="F1237" s="149" t="s">
        <v>0</v>
      </c>
      <c r="G1237" s="149" t="s">
        <v>0</v>
      </c>
      <c r="H1237" s="149" t="s">
        <v>0</v>
      </c>
      <c r="I1237" s="149" t="s">
        <v>0</v>
      </c>
      <c r="J1237" s="26"/>
      <c r="K1237" s="26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/>
      <c r="AA1237" s="26"/>
      <c r="AB1237" s="26"/>
      <c r="AC1237" s="26"/>
      <c r="AD1237" s="26"/>
      <c r="AE1237" s="174"/>
      <c r="AF1237" s="26"/>
      <c r="AG1237" s="26"/>
      <c r="AH1237" s="26"/>
      <c r="AI1237" s="26"/>
      <c r="AJ1237" s="26"/>
      <c r="AK1237" s="26"/>
      <c r="AL1237" s="26"/>
      <c r="AM1237" s="26"/>
      <c r="AN1237" s="26"/>
      <c r="AO1237" s="26"/>
      <c r="AP1237" s="26"/>
      <c r="AQ1237" s="26"/>
      <c r="AR1237" s="26"/>
      <c r="AS1237" s="26"/>
      <c r="AT1237" s="26"/>
      <c r="AU1237" s="26"/>
      <c r="AV1237" s="26"/>
      <c r="AW1237" s="26"/>
      <c r="AX1237" s="155"/>
      <c r="AY1237" s="26"/>
      <c r="AZ1237" s="26"/>
      <c r="BA1237" s="26"/>
      <c r="BB1237" s="26"/>
      <c r="BC1237" s="26"/>
      <c r="BD1237" s="26"/>
      <c r="BE1237" s="145"/>
      <c r="BF1237" s="26"/>
      <c r="BG1237" s="26"/>
      <c r="BH1237" s="26"/>
      <c r="BI1237" s="26"/>
      <c r="BJ1237" s="26"/>
      <c r="BK1237" s="26"/>
      <c r="BL1237" s="26"/>
      <c r="BM1237" s="26"/>
      <c r="BN1237" s="26"/>
      <c r="BO1237" s="26"/>
      <c r="BP1237" s="26"/>
      <c r="BQ1237" s="26"/>
      <c r="BR1237" s="26"/>
      <c r="BS1237" s="26"/>
      <c r="BT1237" s="26"/>
      <c r="BU1237" s="26"/>
      <c r="BV1237" s="26"/>
      <c r="BW1237" s="26"/>
      <c r="BX1237" s="26"/>
      <c r="BY1237" s="26"/>
      <c r="BZ1237" s="26"/>
      <c r="CA1237" s="26"/>
    </row>
    <row r="1238" spans="1:79">
      <c r="A1238" s="172"/>
      <c r="B1238" s="145"/>
      <c r="C1238" s="145"/>
      <c r="D1238" s="145"/>
      <c r="E1238" s="26"/>
      <c r="F1238" s="26"/>
      <c r="G1238" s="26"/>
      <c r="H1238" s="26"/>
      <c r="I1238" s="26"/>
      <c r="J1238" s="26"/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/>
      <c r="AA1238" s="26"/>
      <c r="AB1238" s="26"/>
      <c r="AC1238" s="26"/>
      <c r="AD1238" s="26"/>
      <c r="AE1238" s="174"/>
      <c r="AF1238" s="26"/>
      <c r="AG1238" s="26"/>
      <c r="AH1238" s="26"/>
      <c r="AI1238" s="26"/>
      <c r="AJ1238" s="26"/>
      <c r="AK1238" s="26"/>
      <c r="AL1238" s="26"/>
      <c r="AM1238" s="26"/>
      <c r="AN1238" s="26"/>
      <c r="AO1238" s="26"/>
      <c r="AP1238" s="26"/>
      <c r="AQ1238" s="26"/>
      <c r="AR1238" s="26"/>
      <c r="AS1238" s="26"/>
      <c r="AT1238" s="26"/>
      <c r="AU1238" s="26"/>
      <c r="AV1238" s="26"/>
      <c r="AW1238" s="26"/>
      <c r="AX1238" s="155"/>
      <c r="AY1238" s="26"/>
      <c r="AZ1238" s="26"/>
      <c r="BA1238" s="26"/>
      <c r="BB1238" s="26"/>
      <c r="BC1238" s="26"/>
      <c r="BD1238" s="26"/>
      <c r="BE1238" s="145"/>
      <c r="BF1238" s="26"/>
      <c r="BG1238" s="26"/>
      <c r="BH1238" s="26"/>
      <c r="BI1238" s="26"/>
      <c r="BJ1238" s="26"/>
      <c r="BK1238" s="26"/>
      <c r="BL1238" s="26"/>
      <c r="BM1238" s="26"/>
      <c r="BN1238" s="26"/>
      <c r="BO1238" s="26"/>
      <c r="BP1238" s="26"/>
      <c r="BQ1238" s="26"/>
      <c r="BR1238" s="26"/>
      <c r="BS1238" s="26"/>
      <c r="BT1238" s="26"/>
      <c r="BU1238" s="26"/>
      <c r="BV1238" s="26"/>
      <c r="BW1238" s="26"/>
      <c r="BX1238" s="26"/>
      <c r="BY1238" s="26"/>
      <c r="BZ1238" s="26"/>
      <c r="CA1238" s="26"/>
    </row>
    <row r="1239" spans="1:79">
      <c r="A1239" s="172"/>
      <c r="B1239" s="145"/>
      <c r="C1239" s="145"/>
      <c r="D1239" s="145"/>
      <c r="E1239" s="26"/>
      <c r="F1239" s="26"/>
      <c r="G1239" s="26"/>
      <c r="H1239" s="26"/>
      <c r="I1239" s="26"/>
      <c r="J1239" s="26"/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/>
      <c r="AA1239" s="26"/>
      <c r="AB1239" s="26"/>
      <c r="AC1239" s="26"/>
      <c r="AD1239" s="26"/>
      <c r="AE1239" s="174"/>
      <c r="AF1239" s="26"/>
      <c r="AG1239" s="26"/>
      <c r="AH1239" s="26"/>
      <c r="AI1239" s="26"/>
      <c r="AJ1239" s="26"/>
      <c r="AK1239" s="26"/>
      <c r="AL1239" s="26"/>
      <c r="AM1239" s="26"/>
      <c r="AN1239" s="26"/>
      <c r="AO1239" s="26"/>
      <c r="AP1239" s="26"/>
      <c r="AQ1239" s="26"/>
      <c r="AR1239" s="26"/>
      <c r="AS1239" s="26"/>
      <c r="AT1239" s="26"/>
      <c r="AU1239" s="26"/>
      <c r="AV1239" s="26"/>
      <c r="AW1239" s="26"/>
      <c r="AX1239" s="155"/>
      <c r="AY1239" s="26"/>
      <c r="AZ1239" s="26"/>
      <c r="BA1239" s="26"/>
      <c r="BB1239" s="26"/>
      <c r="BC1239" s="26"/>
      <c r="BD1239" s="26"/>
      <c r="BE1239" s="145"/>
      <c r="BF1239" s="26"/>
      <c r="BG1239" s="26"/>
      <c r="BH1239" s="26"/>
      <c r="BI1239" s="26"/>
      <c r="BJ1239" s="26"/>
      <c r="BK1239" s="26"/>
      <c r="BL1239" s="26"/>
      <c r="BM1239" s="26"/>
      <c r="BN1239" s="26"/>
      <c r="BO1239" s="26"/>
      <c r="BP1239" s="26"/>
      <c r="BQ1239" s="26"/>
      <c r="BR1239" s="26"/>
      <c r="BS1239" s="26"/>
      <c r="BT1239" s="26"/>
      <c r="BU1239" s="26"/>
      <c r="BV1239" s="26"/>
      <c r="BW1239" s="26"/>
      <c r="BX1239" s="26"/>
      <c r="BY1239" s="26"/>
      <c r="BZ1239" s="26"/>
      <c r="CA1239" s="26"/>
    </row>
    <row r="1240" spans="1:79">
      <c r="A1240" s="172"/>
      <c r="B1240" s="145"/>
      <c r="C1240" s="145"/>
      <c r="D1240" s="145"/>
      <c r="E1240" s="26"/>
      <c r="F1240" s="26"/>
      <c r="G1240" s="26"/>
      <c r="H1240" s="26"/>
      <c r="I1240" s="26"/>
      <c r="J1240" s="26"/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  <c r="Z1240" s="26"/>
      <c r="AA1240" s="26"/>
      <c r="AB1240" s="26"/>
      <c r="AC1240" s="26"/>
      <c r="AD1240" s="26"/>
      <c r="AE1240" s="174"/>
      <c r="AF1240" s="26"/>
      <c r="AG1240" s="26"/>
      <c r="AH1240" s="26"/>
      <c r="AI1240" s="26"/>
      <c r="AJ1240" s="26"/>
      <c r="AK1240" s="26"/>
      <c r="AL1240" s="26"/>
      <c r="AM1240" s="26"/>
      <c r="AN1240" s="26"/>
      <c r="AO1240" s="26"/>
      <c r="AP1240" s="26"/>
      <c r="AQ1240" s="26"/>
      <c r="AR1240" s="26"/>
      <c r="AS1240" s="26"/>
      <c r="AT1240" s="26"/>
      <c r="AU1240" s="26"/>
      <c r="AV1240" s="26"/>
      <c r="AW1240" s="26"/>
      <c r="AX1240" s="155"/>
      <c r="AY1240" s="26"/>
      <c r="AZ1240" s="26"/>
      <c r="BA1240" s="26"/>
      <c r="BB1240" s="26"/>
      <c r="BC1240" s="26"/>
      <c r="BD1240" s="26"/>
      <c r="BE1240" s="145"/>
      <c r="BF1240" s="26"/>
      <c r="BG1240" s="26"/>
      <c r="BH1240" s="26"/>
      <c r="BI1240" s="26"/>
      <c r="BJ1240" s="26"/>
      <c r="BK1240" s="26"/>
      <c r="BL1240" s="26"/>
      <c r="BM1240" s="26"/>
      <c r="BN1240" s="26"/>
      <c r="BO1240" s="26"/>
      <c r="BP1240" s="26"/>
      <c r="BQ1240" s="26"/>
      <c r="BR1240" s="26"/>
      <c r="BS1240" s="26"/>
      <c r="BT1240" s="26"/>
      <c r="BU1240" s="26"/>
      <c r="BV1240" s="26"/>
      <c r="BW1240" s="26"/>
      <c r="BX1240" s="26"/>
      <c r="BY1240" s="26"/>
      <c r="BZ1240" s="26"/>
      <c r="CA1240" s="26"/>
    </row>
    <row r="1241" spans="1:79">
      <c r="A1241" s="172"/>
      <c r="B1241" s="145"/>
      <c r="C1241" s="145"/>
      <c r="D1241" s="145"/>
      <c r="E1241" s="26"/>
      <c r="F1241" s="26"/>
      <c r="G1241" s="26"/>
      <c r="H1241" s="26"/>
      <c r="I1241" s="26"/>
      <c r="J1241" s="26"/>
      <c r="K1241" s="26"/>
      <c r="L1241" s="26"/>
      <c r="M1241" s="26"/>
      <c r="N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  <c r="Z1241" s="26"/>
      <c r="AA1241" s="26"/>
      <c r="AB1241" s="26"/>
      <c r="AC1241" s="26"/>
      <c r="AD1241" s="26"/>
      <c r="AE1241" s="174"/>
      <c r="AF1241" s="26"/>
      <c r="AG1241" s="26"/>
      <c r="AH1241" s="26"/>
      <c r="AI1241" s="26"/>
      <c r="AJ1241" s="26"/>
      <c r="AK1241" s="26"/>
      <c r="AL1241" s="26"/>
      <c r="AM1241" s="26"/>
      <c r="AN1241" s="26"/>
      <c r="AO1241" s="26"/>
      <c r="AP1241" s="26"/>
      <c r="AQ1241" s="26"/>
      <c r="AR1241" s="26"/>
      <c r="AS1241" s="26"/>
      <c r="AT1241" s="26"/>
      <c r="AU1241" s="26"/>
      <c r="AV1241" s="26"/>
      <c r="AW1241" s="26"/>
      <c r="AX1241" s="155"/>
      <c r="AY1241" s="26"/>
      <c r="AZ1241" s="26"/>
      <c r="BA1241" s="26"/>
      <c r="BB1241" s="26"/>
      <c r="BC1241" s="26"/>
      <c r="BD1241" s="26"/>
      <c r="BE1241" s="145"/>
      <c r="BF1241" s="26"/>
      <c r="BG1241" s="26"/>
      <c r="BH1241" s="26"/>
      <c r="BI1241" s="26"/>
      <c r="BJ1241" s="26"/>
      <c r="BK1241" s="26"/>
      <c r="BL1241" s="26"/>
      <c r="BM1241" s="26"/>
      <c r="BN1241" s="26"/>
      <c r="BO1241" s="26"/>
      <c r="BP1241" s="26"/>
      <c r="BQ1241" s="26"/>
      <c r="BR1241" s="26"/>
      <c r="BS1241" s="26"/>
      <c r="BT1241" s="26"/>
      <c r="BU1241" s="26"/>
      <c r="BV1241" s="26"/>
      <c r="BW1241" s="26"/>
      <c r="BX1241" s="26"/>
      <c r="BY1241" s="26"/>
      <c r="BZ1241" s="26"/>
      <c r="CA1241" s="26"/>
    </row>
    <row r="1242" spans="1:79">
      <c r="A1242" s="172"/>
      <c r="B1242" s="145"/>
      <c r="C1242" s="145"/>
      <c r="D1242" s="145"/>
      <c r="E1242" s="26"/>
      <c r="F1242" s="26"/>
      <c r="G1242" s="26"/>
      <c r="H1242" s="26"/>
      <c r="I1242" s="26"/>
      <c r="J1242" s="26"/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6"/>
      <c r="AA1242" s="26"/>
      <c r="AB1242" s="26"/>
      <c r="AC1242" s="26"/>
      <c r="AD1242" s="26"/>
      <c r="AE1242" s="174"/>
      <c r="AF1242" s="26"/>
      <c r="AG1242" s="26"/>
      <c r="AH1242" s="26"/>
      <c r="AI1242" s="26"/>
      <c r="AJ1242" s="26"/>
      <c r="AK1242" s="26"/>
      <c r="AL1242" s="26"/>
      <c r="AM1242" s="26"/>
      <c r="AN1242" s="26"/>
      <c r="AO1242" s="26"/>
      <c r="AP1242" s="26"/>
      <c r="AQ1242" s="26"/>
      <c r="AR1242" s="26"/>
      <c r="AS1242" s="26"/>
      <c r="AT1242" s="26"/>
      <c r="AU1242" s="26"/>
      <c r="AV1242" s="26"/>
      <c r="AW1242" s="26"/>
      <c r="AX1242" s="155"/>
      <c r="AY1242" s="26"/>
      <c r="AZ1242" s="26"/>
      <c r="BA1242" s="26"/>
      <c r="BB1242" s="26"/>
      <c r="BC1242" s="26"/>
      <c r="BD1242" s="26"/>
      <c r="BE1242" s="145"/>
      <c r="BF1242" s="26"/>
      <c r="BG1242" s="26"/>
      <c r="BH1242" s="26"/>
      <c r="BI1242" s="26"/>
      <c r="BJ1242" s="26"/>
      <c r="BK1242" s="26"/>
      <c r="BL1242" s="26"/>
      <c r="BM1242" s="26"/>
      <c r="BN1242" s="26"/>
      <c r="BO1242" s="26"/>
      <c r="BP1242" s="26"/>
      <c r="BQ1242" s="26"/>
      <c r="BR1242" s="26"/>
      <c r="BS1242" s="26"/>
      <c r="BT1242" s="26"/>
      <c r="BU1242" s="26"/>
      <c r="BV1242" s="26"/>
      <c r="BW1242" s="26"/>
      <c r="BX1242" s="26"/>
      <c r="BY1242" s="26"/>
      <c r="BZ1242" s="26"/>
      <c r="CA1242" s="26"/>
    </row>
    <row r="1243" spans="1:79">
      <c r="A1243" s="172"/>
      <c r="B1243" s="145"/>
      <c r="C1243" s="145"/>
      <c r="D1243" s="145"/>
      <c r="E1243" s="26"/>
      <c r="F1243" s="26"/>
      <c r="G1243" s="26"/>
      <c r="H1243" s="26"/>
      <c r="I1243" s="26"/>
      <c r="J1243" s="26"/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  <c r="AA1243" s="26"/>
      <c r="AB1243" s="26"/>
      <c r="AC1243" s="26"/>
      <c r="AD1243" s="26"/>
      <c r="AE1243" s="174"/>
      <c r="AF1243" s="26"/>
      <c r="AG1243" s="26"/>
      <c r="AH1243" s="26"/>
      <c r="AI1243" s="26"/>
      <c r="AJ1243" s="26"/>
      <c r="AK1243" s="26"/>
      <c r="AL1243" s="26"/>
      <c r="AM1243" s="26"/>
      <c r="AN1243" s="26"/>
      <c r="AO1243" s="26"/>
      <c r="AP1243" s="26"/>
      <c r="AQ1243" s="26"/>
      <c r="AR1243" s="26"/>
      <c r="AS1243" s="26"/>
      <c r="AT1243" s="26"/>
      <c r="AU1243" s="26"/>
      <c r="AV1243" s="26"/>
      <c r="AW1243" s="26"/>
      <c r="AX1243" s="155"/>
      <c r="AY1243" s="26"/>
      <c r="AZ1243" s="26"/>
      <c r="BA1243" s="26"/>
      <c r="BB1243" s="26"/>
      <c r="BC1243" s="26"/>
      <c r="BD1243" s="26"/>
      <c r="BE1243" s="145"/>
      <c r="BF1243" s="26"/>
      <c r="BG1243" s="26"/>
      <c r="BH1243" s="26"/>
      <c r="BI1243" s="26"/>
      <c r="BJ1243" s="26"/>
      <c r="BK1243" s="26"/>
      <c r="BL1243" s="26"/>
      <c r="BM1243" s="26"/>
      <c r="BN1243" s="26"/>
      <c r="BO1243" s="26"/>
      <c r="BP1243" s="26"/>
      <c r="BQ1243" s="26"/>
      <c r="BR1243" s="26"/>
      <c r="BS1243" s="26"/>
      <c r="BT1243" s="26"/>
      <c r="BU1243" s="26"/>
      <c r="BV1243" s="26"/>
      <c r="BW1243" s="26"/>
      <c r="BX1243" s="26"/>
      <c r="BY1243" s="26"/>
      <c r="BZ1243" s="26"/>
      <c r="CA1243" s="26"/>
    </row>
    <row r="1244" spans="1:79">
      <c r="A1244" s="26"/>
      <c r="B1244" s="26"/>
      <c r="C1244" s="26"/>
      <c r="D1244" s="26"/>
      <c r="E1244" s="26"/>
      <c r="F1244" s="26"/>
      <c r="G1244" s="26"/>
      <c r="H1244" s="26"/>
      <c r="I1244" s="26"/>
      <c r="J1244" s="26"/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  <c r="Z1244" s="26"/>
      <c r="AA1244" s="26"/>
      <c r="AB1244" s="26"/>
      <c r="AC1244" s="26"/>
      <c r="AD1244" s="26"/>
      <c r="AE1244" s="174"/>
      <c r="AF1244" s="26"/>
      <c r="AG1244" s="26"/>
      <c r="AH1244" s="26"/>
      <c r="AI1244" s="26"/>
      <c r="AJ1244" s="26"/>
      <c r="AK1244" s="26"/>
      <c r="AL1244" s="26"/>
      <c r="AM1244" s="26"/>
      <c r="AN1244" s="26"/>
      <c r="AO1244" s="26"/>
      <c r="AP1244" s="26"/>
      <c r="AQ1244" s="26"/>
      <c r="AR1244" s="26"/>
      <c r="AS1244" s="26"/>
      <c r="AT1244" s="26"/>
      <c r="AU1244" s="26"/>
      <c r="AV1244" s="26"/>
      <c r="AW1244" s="26"/>
      <c r="AX1244" s="155"/>
      <c r="AY1244" s="26"/>
      <c r="AZ1244" s="26"/>
      <c r="BA1244" s="26"/>
      <c r="BB1244" s="26"/>
      <c r="BC1244" s="26"/>
      <c r="BD1244" s="26"/>
      <c r="BE1244" s="145"/>
      <c r="BF1244" s="26"/>
      <c r="BG1244" s="26"/>
      <c r="BH1244" s="26"/>
      <c r="BI1244" s="26"/>
      <c r="BJ1244" s="26"/>
      <c r="BK1244" s="26"/>
      <c r="BL1244" s="26"/>
      <c r="BM1244" s="26"/>
      <c r="BN1244" s="26"/>
      <c r="BO1244" s="26"/>
      <c r="BP1244" s="26"/>
      <c r="BQ1244" s="26"/>
      <c r="BR1244" s="26"/>
      <c r="BS1244" s="26"/>
      <c r="BT1244" s="26"/>
      <c r="BU1244" s="26"/>
      <c r="BV1244" s="26"/>
      <c r="BW1244" s="26"/>
      <c r="BX1244" s="26"/>
      <c r="BY1244" s="26"/>
      <c r="BZ1244" s="26"/>
      <c r="CA1244" s="26"/>
    </row>
    <row r="1245" spans="1:79">
      <c r="A1245" s="26"/>
      <c r="B1245" s="26"/>
      <c r="C1245" s="26"/>
      <c r="D1245" s="26"/>
      <c r="E1245" s="26"/>
      <c r="F1245" s="26"/>
      <c r="G1245" s="26"/>
      <c r="H1245" s="26"/>
      <c r="I1245" s="26"/>
      <c r="J1245" s="26"/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/>
      <c r="AA1245" s="26"/>
      <c r="AB1245" s="26"/>
      <c r="AC1245" s="26"/>
      <c r="AD1245" s="26"/>
      <c r="AE1245" s="174"/>
      <c r="AF1245" s="26"/>
      <c r="AG1245" s="26"/>
      <c r="AH1245" s="26"/>
      <c r="AI1245" s="26"/>
      <c r="AJ1245" s="26"/>
      <c r="AK1245" s="26"/>
      <c r="AL1245" s="26"/>
      <c r="AM1245" s="26"/>
      <c r="AN1245" s="26"/>
      <c r="AO1245" s="26"/>
      <c r="AP1245" s="26"/>
      <c r="AQ1245" s="26"/>
      <c r="AR1245" s="26"/>
      <c r="AS1245" s="26"/>
      <c r="AT1245" s="26"/>
      <c r="AU1245" s="26"/>
      <c r="AV1245" s="26"/>
      <c r="AW1245" s="26"/>
      <c r="AX1245" s="155"/>
      <c r="AY1245" s="26"/>
      <c r="AZ1245" s="26"/>
      <c r="BA1245" s="26"/>
      <c r="BB1245" s="26"/>
      <c r="BC1245" s="26"/>
      <c r="BD1245" s="26"/>
      <c r="BE1245" s="145"/>
      <c r="BF1245" s="26"/>
      <c r="BG1245" s="26"/>
      <c r="BH1245" s="26"/>
      <c r="BI1245" s="26"/>
      <c r="BJ1245" s="26"/>
      <c r="BK1245" s="26"/>
      <c r="BL1245" s="26"/>
      <c r="BM1245" s="26"/>
      <c r="BN1245" s="26"/>
      <c r="BO1245" s="26"/>
      <c r="BP1245" s="26"/>
      <c r="BQ1245" s="26"/>
      <c r="BR1245" s="26"/>
      <c r="BS1245" s="26"/>
      <c r="BT1245" s="26"/>
      <c r="BU1245" s="26"/>
      <c r="BV1245" s="26"/>
      <c r="BW1245" s="26"/>
      <c r="BX1245" s="26"/>
      <c r="BY1245" s="26"/>
      <c r="BZ1245" s="26"/>
      <c r="CA1245" s="26"/>
    </row>
    <row r="1246" spans="1:79">
      <c r="A1246"/>
      <c r="I1246"/>
      <c r="J1246" s="26"/>
      <c r="K1246" s="26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  <c r="Z1246" s="26"/>
      <c r="AA1246" s="26"/>
      <c r="AB1246" s="26"/>
      <c r="AC1246" s="26"/>
      <c r="AD1246" s="26"/>
      <c r="AE1246" s="26"/>
      <c r="AF1246" s="26"/>
      <c r="AG1246" s="26"/>
      <c r="AH1246" s="26"/>
      <c r="AI1246" s="26"/>
      <c r="AJ1246" s="26"/>
      <c r="AK1246" s="26"/>
      <c r="AL1246" s="26"/>
      <c r="AM1246" s="26"/>
      <c r="AN1246" s="26"/>
      <c r="AO1246" s="26"/>
      <c r="AP1246" s="26"/>
      <c r="AQ1246" s="26"/>
      <c r="AR1246" s="26"/>
      <c r="AS1246" s="26"/>
      <c r="AT1246" s="26"/>
      <c r="AU1246" s="26"/>
      <c r="AV1246" s="26"/>
      <c r="AW1246" s="26"/>
      <c r="AX1246" s="155"/>
      <c r="AY1246" s="26"/>
      <c r="AZ1246" s="26"/>
      <c r="BA1246" s="26"/>
      <c r="BB1246" s="26"/>
      <c r="BC1246" s="26"/>
      <c r="BD1246" s="26"/>
      <c r="BE1246" s="145"/>
      <c r="BF1246" s="26"/>
      <c r="BG1246" s="26"/>
      <c r="BH1246" s="26"/>
      <c r="BI1246" s="26"/>
      <c r="BJ1246" s="26"/>
      <c r="BK1246" s="26"/>
      <c r="BL1246" s="26"/>
      <c r="BM1246" s="26"/>
      <c r="BN1246" s="26"/>
      <c r="BO1246" s="26"/>
      <c r="BP1246" s="26"/>
      <c r="BQ1246" s="26"/>
      <c r="BR1246" s="26"/>
      <c r="BS1246" s="26"/>
      <c r="BT1246" s="26"/>
      <c r="BU1246" s="26"/>
      <c r="BV1246" s="26"/>
      <c r="BW1246" s="26"/>
      <c r="BX1246" s="26"/>
      <c r="BY1246" s="26"/>
      <c r="BZ1246" s="26"/>
      <c r="CA1246" s="26"/>
    </row>
    <row r="1247" spans="1:79">
      <c r="A1247"/>
      <c r="I1247"/>
      <c r="J1247"/>
      <c r="L1247"/>
      <c r="M1247"/>
    </row>
    <row r="1248" spans="1:79">
      <c r="A1248"/>
      <c r="I1248"/>
      <c r="J1248"/>
      <c r="L1248"/>
      <c r="M1248"/>
    </row>
    <row r="1249" spans="1:13">
      <c r="A1249"/>
      <c r="I1249"/>
      <c r="J1249"/>
      <c r="L1249"/>
      <c r="M1249"/>
    </row>
    <row r="1250" spans="1:13">
      <c r="A1250"/>
      <c r="I1250"/>
      <c r="J1250"/>
      <c r="L1250"/>
      <c r="M1250"/>
    </row>
    <row r="1251" spans="1:13">
      <c r="A1251"/>
      <c r="I1251"/>
      <c r="J1251"/>
      <c r="L1251"/>
      <c r="M1251"/>
    </row>
    <row r="1252" spans="1:13">
      <c r="A1252"/>
      <c r="I1252"/>
      <c r="J1252"/>
      <c r="L1252"/>
      <c r="M1252"/>
    </row>
    <row r="1253" spans="1:13">
      <c r="A1253"/>
      <c r="I1253"/>
      <c r="J1253"/>
      <c r="L1253"/>
      <c r="M1253"/>
    </row>
    <row r="1254" spans="1:13">
      <c r="A1254"/>
      <c r="I1254"/>
      <c r="J1254"/>
      <c r="L1254"/>
      <c r="M1254"/>
    </row>
    <row r="1255" spans="1:13">
      <c r="A1255"/>
      <c r="I1255"/>
      <c r="J1255"/>
      <c r="L1255"/>
      <c r="M1255"/>
    </row>
    <row r="1256" spans="1:13">
      <c r="A1256"/>
      <c r="I1256"/>
      <c r="J1256"/>
      <c r="L1256"/>
      <c r="M1256"/>
    </row>
    <row r="1257" spans="1:13">
      <c r="A1257"/>
      <c r="I1257"/>
      <c r="J1257"/>
      <c r="L1257"/>
      <c r="M1257"/>
    </row>
    <row r="1258" spans="1:13">
      <c r="A1258"/>
      <c r="I1258"/>
      <c r="J1258"/>
      <c r="L1258"/>
      <c r="M1258"/>
    </row>
    <row r="1259" spans="1:13">
      <c r="J1259"/>
      <c r="L1259"/>
      <c r="M1259"/>
    </row>
  </sheetData>
  <conditionalFormatting sqref="BC1230:BD1246 BB1219:BD1229 AV1203:AX1246 AO1206:AO1230 AO1244:AO1246 AY1219:BA1230 AY1231:AZ1246 AY1203:BD1218 AB1231:AE1231 AS1:AS3 BF1228:BF1229 BF1217 BF1230:CA1246 BF1203:CA1216 BF1218:CA1227 BH1202:CA1202 V1218 V1225:V1241 V1243:V1246 AB1233:AE1246 V4:W4 F1230:H1230 G1225:H1225 W1203:X1246 AL1203:AN1246 AH1203:AJ1246 AB1203:AE1229 A1245:H1245 AB1:AH1 AE3 F1238:H1244 A1244:C1244 I1207 G1202:I1202 I1229:I1230 I1210:I1225 J1208:J1246 I1236:I1245 K1208:M1208 O1208:Q1211 N1208:N1246 M1205 N1204:O1205 BN1:CA1201 O1212:T1218 O1224:T1246 P1219:T1223">
    <cfRule type="containsText" dxfId="274" priority="298" operator="containsText" text="false">
      <formula>NÃO(ÉERROS(LOCALIZAR("false",A1)))</formula>
    </cfRule>
  </conditionalFormatting>
  <conditionalFormatting sqref="C1210">
    <cfRule type="dataBar" priority="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{E4C17A49-863C-4313-9F1B-CB6DAD8BBA04}</x14:id>
        </ext>
      </extLst>
    </cfRule>
  </conditionalFormatting>
  <conditionalFormatting sqref="C1211:C1215 C1232:C1240">
    <cfRule type="dataBar" priority="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{E7CA368B-6C7B-48B4-8BB3-FC6D0E312490}</x14:id>
        </ext>
      </extLst>
    </cfRule>
  </conditionalFormatting>
  <conditionalFormatting sqref="C1216">
    <cfRule type="dataBar" priority="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{3A96A0D1-730E-45C2-B145-CF0B42926D87}</x14:id>
        </ext>
      </extLst>
    </cfRule>
  </conditionalFormatting>
  <conditionalFormatting sqref="C1218:C1223">
    <cfRule type="dataBar" priority="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{EBAD6878-B0CA-4B8B-9688-7FF28B852C83}</x14:id>
        </ext>
      </extLst>
    </cfRule>
  </conditionalFormatting>
  <conditionalFormatting sqref="C1224">
    <cfRule type="dataBar" priority="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{8798F689-6073-4BF7-8CF2-634F79C9EBF1}</x14:id>
        </ext>
      </extLst>
    </cfRule>
  </conditionalFormatting>
  <conditionalFormatting sqref="C1225">
    <cfRule type="dataBar" priority="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{9225D787-4751-45E5-B26F-16627F5D4D3B}</x14:id>
        </ext>
      </extLst>
    </cfRule>
  </conditionalFormatting>
  <conditionalFormatting sqref="C1226">
    <cfRule type="dataBar" priority="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{B8A8A669-5E52-4E16-A2C6-6EC4F0FADDF5}</x14:id>
        </ext>
      </extLst>
    </cfRule>
  </conditionalFormatting>
  <conditionalFormatting sqref="C1227">
    <cfRule type="dataBar" priority="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{FE49B406-7D10-4E5B-BB3C-C0C21AAFCDB1}</x14:id>
        </ext>
      </extLst>
    </cfRule>
  </conditionalFormatting>
  <conditionalFormatting sqref="C1229">
    <cfRule type="dataBar" priority="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{A986862B-B84C-41E1-A26C-9CDF27E7DB98}</x14:id>
        </ext>
      </extLst>
    </cfRule>
  </conditionalFormatting>
  <conditionalFormatting sqref="C1230">
    <cfRule type="dataBar" priority="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{FA2C4B8F-21D2-4EFC-9DA1-E46BACA8A2A0}</x14:id>
        </ext>
      </extLst>
    </cfRule>
  </conditionalFormatting>
  <conditionalFormatting sqref="C1231">
    <cfRule type="dataBar" priority="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{7392F79D-EBA2-48C1-A8D8-4AB2497E8D2D}</x14:id>
        </ext>
      </extLst>
    </cfRule>
  </conditionalFormatting>
  <conditionalFormatting sqref="C1241">
    <cfRule type="dataBar" priority="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{4BFEE54B-4E7C-450D-99A9-10C26B1DF7C3}</x14:id>
        </ext>
      </extLst>
    </cfRule>
  </conditionalFormatting>
  <conditionalFormatting sqref="C1242">
    <cfRule type="dataBar" priority="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{8E384C7F-31D3-43D5-9DA0-2B96DEC3D227}</x14:id>
        </ext>
      </extLst>
    </cfRule>
  </conditionalFormatting>
  <conditionalFormatting sqref="C1243">
    <cfRule type="dataBar" priority="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{8F9EE3C3-3AB4-4FEA-BA2A-0B980AD9F028}</x14:id>
        </ext>
      </extLst>
    </cfRule>
  </conditionalFormatting>
  <conditionalFormatting sqref="D1216">
    <cfRule type="dataBar" priority="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{830DB5E8-1FB4-48A1-A7B5-085D5ED45753}</x14:id>
        </ext>
      </extLst>
    </cfRule>
  </conditionalFormatting>
  <conditionalFormatting sqref="D1218:D1223">
    <cfRule type="dataBar" priority="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{FD7890C2-5418-4DD6-AEA2-252D8BB86021}</x14:id>
        </ext>
      </extLst>
    </cfRule>
  </conditionalFormatting>
  <conditionalFormatting sqref="D1224">
    <cfRule type="dataBar" priority="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{835C2BDB-A8F2-485B-9FF5-FCFD927A3A3F}</x14:id>
        </ext>
      </extLst>
    </cfRule>
  </conditionalFormatting>
  <conditionalFormatting sqref="G1218:G1223">
    <cfRule type="dataBar" priority="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{E814C208-87C4-4485-B5A2-390E69CA5579}</x14:id>
        </ext>
      </extLst>
    </cfRule>
  </conditionalFormatting>
  <conditionalFormatting sqref="H1212:H1216 H1218:H1224">
    <cfRule type="containsText" dxfId="273" priority="270" operator="containsText" text="false">
      <formula>NÃO(ÉERROS(LOCALIZAR("false",H1212)))</formula>
    </cfRule>
  </conditionalFormatting>
  <conditionalFormatting sqref="BA1231:BA1246 BG1228:CA1229">
    <cfRule type="containsText" dxfId="272" priority="273" operator="containsText" text="false">
      <formula>NÃO(ÉERROS(LOCALIZAR("false",BA1228)))</formula>
    </cfRule>
  </conditionalFormatting>
  <conditionalFormatting sqref="P1213:P1217 P1231">
    <cfRule type="containsText" dxfId="271" priority="287" operator="containsText" text="false">
      <formula>NÃO(ÉERROS(LOCALIZAR("false",P1213)))</formula>
    </cfRule>
  </conditionalFormatting>
  <conditionalFormatting sqref="AB1231:AD1246">
    <cfRule type="containsText" dxfId="270" priority="279" operator="containsText" text="false">
      <formula>NÃO(ÉERROS(LOCALIZAR("false",AB1231)))</formula>
    </cfRule>
  </conditionalFormatting>
  <conditionalFormatting sqref="AB1203:AE1217">
    <cfRule type="containsText" dxfId="269" priority="267" operator="containsText" text="false">
      <formula>NÃO(ÉERROS(LOCALIZAR("false",AB1203)))</formula>
    </cfRule>
  </conditionalFormatting>
  <conditionalFormatting sqref="AB1229:AE1230">
    <cfRule type="containsText" dxfId="268" priority="269" operator="containsText" text="false">
      <formula>NÃO(ÉERROS(LOCALIZAR("false",AB1229)))</formula>
    </cfRule>
  </conditionalFormatting>
  <conditionalFormatting sqref="AE1231:AE1233">
    <cfRule type="containsText" dxfId="267" priority="277" operator="containsText" text="false">
      <formula>NÃO(ÉERROS(LOCALIZAR("false",AE1231)))</formula>
    </cfRule>
  </conditionalFormatting>
  <conditionalFormatting sqref="AE1246">
    <cfRule type="containsText" dxfId="266" priority="286" operator="containsText" text="false">
      <formula>NÃO(ÉERROS(LOCALIZAR("false",AE1246)))</formula>
    </cfRule>
  </conditionalFormatting>
  <conditionalFormatting sqref="AO1203:AO1205 AO1231:AO1243">
    <cfRule type="containsText" dxfId="265" priority="283" operator="containsText" text="false">
      <formula>NÃO(ÉERROS(LOCALIZAR("false",AO1203)))</formula>
    </cfRule>
  </conditionalFormatting>
  <conditionalFormatting sqref="BB1230:BB1246">
    <cfRule type="containsText" dxfId="264" priority="268" operator="containsText" text="false">
      <formula>NÃO(ÉERROS(LOCALIZAR("false",BB1230)))</formula>
    </cfRule>
  </conditionalFormatting>
  <conditionalFormatting sqref="BG1217:CA1217">
    <cfRule type="containsText" dxfId="263" priority="272" operator="containsText" text="false">
      <formula>NÃO(ÉERROS(LOCALIZAR("false",BG1217)))</formula>
    </cfRule>
  </conditionalFormatting>
  <conditionalFormatting sqref="AS4">
    <cfRule type="containsText" dxfId="262" priority="295" operator="containsText" text="false">
      <formula>NÃO(ÉERROS(LOCALIZAR("false",AS4)))</formula>
    </cfRule>
  </conditionalFormatting>
  <conditionalFormatting sqref="BG1219:CA1246">
    <cfRule type="containsText" dxfId="261" priority="284" operator="containsText" text="false">
      <formula>NÃO(ÉERROS(LOCALIZAR("false",BG1219)))</formula>
    </cfRule>
  </conditionalFormatting>
  <conditionalFormatting sqref="C1217">
    <cfRule type="dataBar" priority="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{1F636D44-C540-49F8-8A3B-4ADA970D9930}</x14:id>
        </ext>
      </extLst>
    </cfRule>
  </conditionalFormatting>
  <conditionalFormatting sqref="D1217">
    <cfRule type="dataBar" priority="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{74F19756-C447-40E3-A111-27B81867EC33}</x14:id>
        </ext>
      </extLst>
    </cfRule>
  </conditionalFormatting>
  <conditionalFormatting sqref="G1217">
    <cfRule type="dataBar" priority="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{AC371354-4F71-49F1-875B-AAE1D61C6478}</x14:id>
        </ext>
      </extLst>
    </cfRule>
  </conditionalFormatting>
  <conditionalFormatting sqref="H1217">
    <cfRule type="containsText" dxfId="260" priority="263" operator="containsText" text="false">
      <formula>NÃO(ÉERROS(LOCALIZAR("false",H1217)))</formula>
    </cfRule>
  </conditionalFormatting>
  <conditionalFormatting sqref="C1244">
    <cfRule type="dataBar" priority="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{B8FF9A32-C084-4733-9BAF-052E8DF5216B}</x14:id>
        </ext>
      </extLst>
    </cfRule>
  </conditionalFormatting>
  <conditionalFormatting sqref="B1244">
    <cfRule type="dataBar" priority="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{AC773DDC-B5DC-476D-A679-C8CAF6BEF286}</x14:id>
        </ext>
      </extLst>
    </cfRule>
  </conditionalFormatting>
  <conditionalFormatting sqref="AK4">
    <cfRule type="containsText" dxfId="259" priority="260" operator="containsText" text="false">
      <formula>NOT(ISERROR(SEARCH("false",AK4)))</formula>
    </cfRule>
  </conditionalFormatting>
  <conditionalFormatting sqref="G1208:H1211">
    <cfRule type="dataBar" priority="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{879CC7BB-5CD8-4FE4-9347-99D388CE0E8E}</x14:id>
        </ext>
      </extLst>
    </cfRule>
  </conditionalFormatting>
  <conditionalFormatting sqref="T4:U4">
    <cfRule type="containsText" dxfId="258" priority="259" operator="containsText" text="false">
      <formula>NÃO(ÉERROS(LOCALIZAR("false",T4)))</formula>
    </cfRule>
  </conditionalFormatting>
  <conditionalFormatting sqref="Q4">
    <cfRule type="containsText" dxfId="257" priority="257" operator="containsText" text="false">
      <formula>NÃO(ÉERROS(LOCALIZAR("false",Q4)))</formula>
    </cfRule>
    <cfRule type="containsText" dxfId="256" priority="258" operator="containsText" text="false">
      <formula>NÃO(ÉERROS(LOCALIZAR("false",Q4)))</formula>
    </cfRule>
  </conditionalFormatting>
  <conditionalFormatting sqref="B1209:B1215 B1232:B1240">
    <cfRule type="dataBar" priority="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{A76CAE4E-3915-4837-ADCF-A6D937A8AB53}</x14:id>
        </ext>
      </extLst>
    </cfRule>
  </conditionalFormatting>
  <conditionalFormatting sqref="B1216">
    <cfRule type="dataBar" priority="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{20F78141-F4E8-4DF0-AF94-54B0A93AEB35}</x14:id>
        </ext>
      </extLst>
    </cfRule>
  </conditionalFormatting>
  <conditionalFormatting sqref="B1218:B1223">
    <cfRule type="dataBar" priority="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{A3AAF34A-5289-4906-8161-564DDAF0F844}</x14:id>
        </ext>
      </extLst>
    </cfRule>
  </conditionalFormatting>
  <conditionalFormatting sqref="B1224">
    <cfRule type="dataBar" priority="3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{0636B930-CEDA-4CDD-89C7-C38D54ABA617}</x14:id>
        </ext>
      </extLst>
    </cfRule>
  </conditionalFormatting>
  <conditionalFormatting sqref="B1225">
    <cfRule type="dataBar" priority="3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{1E4B91D1-EDDA-4AF7-9DF9-03DD049698DB}</x14:id>
        </ext>
      </extLst>
    </cfRule>
  </conditionalFormatting>
  <conditionalFormatting sqref="B1226">
    <cfRule type="dataBar" priority="3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{68B8E6FC-A6F4-4D64-B231-DAFDB896CEAE}</x14:id>
        </ext>
      </extLst>
    </cfRule>
  </conditionalFormatting>
  <conditionalFormatting sqref="B1227">
    <cfRule type="dataBar" priority="3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{1FBFCF21-FA59-4B72-9E8A-B3F8A68560E2}</x14:id>
        </ext>
      </extLst>
    </cfRule>
  </conditionalFormatting>
  <conditionalFormatting sqref="B1229">
    <cfRule type="dataBar" priority="3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{ADCBA1E9-3280-4C51-B685-65ADB0738BF2}</x14:id>
        </ext>
      </extLst>
    </cfRule>
  </conditionalFormatting>
  <conditionalFormatting sqref="B1230">
    <cfRule type="dataBar" priority="3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{A19EA82D-619D-4D0F-AB12-DBBB2C543976}</x14:id>
        </ext>
      </extLst>
    </cfRule>
  </conditionalFormatting>
  <conditionalFormatting sqref="B1231"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{93E570C8-9FE7-4522-A0F5-5641721C8505}</x14:id>
        </ext>
      </extLst>
    </cfRule>
  </conditionalFormatting>
  <conditionalFormatting sqref="B1241"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{8F904CAA-27D6-4A37-86B2-29B0D5D313BF}</x14:id>
        </ext>
      </extLst>
    </cfRule>
  </conditionalFormatting>
  <conditionalFormatting sqref="B1242"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{52302FA3-F74B-4A1C-8AD7-2F9A31EC9C6E}</x14:id>
        </ext>
      </extLst>
    </cfRule>
  </conditionalFormatting>
  <conditionalFormatting sqref="B1243"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{0171AE3E-0FBF-4A05-999D-C5F3DE86A174}</x14:id>
        </ext>
      </extLst>
    </cfRule>
  </conditionalFormatting>
  <conditionalFormatting sqref="B1217"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{65EB9575-E4BA-4C2A-8C56-951DF9323744}</x14:id>
        </ext>
      </extLst>
    </cfRule>
  </conditionalFormatting>
  <conditionalFormatting sqref="G5:G1200">
    <cfRule type="colorScale" priority="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1200"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{626B7FA3-9AD5-4FFB-8D9B-B5DAE9726F19}</x14:id>
        </ext>
      </extLst>
    </cfRule>
  </conditionalFormatting>
  <conditionalFormatting sqref="AB5:AB1200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{4C61EC6F-1E0A-4BA4-B342-9D6F56AF7A7B}</x14:id>
        </ext>
      </extLst>
    </cfRule>
  </conditionalFormatting>
  <conditionalFormatting sqref="AL5:AL1200"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{411B3D1D-D77B-47C7-BBFF-E22DA563827E}</x14:id>
        </ext>
      </extLst>
    </cfRule>
  </conditionalFormatting>
  <conditionalFormatting sqref="AN6:AO1200"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{0D4F60B9-5D94-43C8-97E0-D29BD05900CD}</x14:id>
        </ext>
      </extLst>
    </cfRule>
  </conditionalFormatting>
  <conditionalFormatting sqref="AO5:AO1200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{01A50B6B-1DC5-483B-B947-A1ABAFA66B95}</x14:id>
        </ext>
      </extLst>
    </cfRule>
  </conditionalFormatting>
  <conditionalFormatting sqref="AN5:AN1200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{51CA0FE6-CC8C-4E62-B37E-54D78B5D912A}</x14:id>
        </ext>
      </extLst>
    </cfRule>
  </conditionalFormatting>
  <conditionalFormatting sqref="K5:L1200">
    <cfRule type="colorScale" priority="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203:AD1246">
    <cfRule type="containsText" dxfId="255" priority="255" operator="containsText" text="false">
      <formula>NÃO(ÉERROS(LOCALIZAR("false",AD1203)))</formula>
    </cfRule>
  </conditionalFormatting>
  <conditionalFormatting sqref="BG1202">
    <cfRule type="colorScale" priority="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202">
    <cfRule type="containsText" dxfId="254" priority="253" operator="containsText" text="false">
      <formula>NÃO(ÉERROS(LOCALIZAR("false",BF1202)))</formula>
    </cfRule>
  </conditionalFormatting>
  <conditionalFormatting sqref="V1203:V1246">
    <cfRule type="containsText" dxfId="253" priority="252" operator="containsText" text="false">
      <formula>NÃO(ÉERROS(LOCALIZAR("false",V1203)))</formula>
    </cfRule>
  </conditionalFormatting>
  <conditionalFormatting sqref="M1209:M1246">
    <cfRule type="containsText" dxfId="252" priority="251" operator="containsText" text="false">
      <formula>NÃO(ÉERROS(LOCALIZAR("false",M1209)))</formula>
    </cfRule>
  </conditionalFormatting>
  <conditionalFormatting sqref="U1203 U1205:U1246">
    <cfRule type="containsText" dxfId="251" priority="250" operator="containsText" text="false">
      <formula>NÃO(ÉERROS(LOCALIZAR("false",U1203)))</formula>
    </cfRule>
  </conditionalFormatting>
  <conditionalFormatting sqref="Y1203:AA1246">
    <cfRule type="containsText" dxfId="250" priority="249" operator="containsText" text="false">
      <formula>NÃO(ÉERROS(LOCALIZAR("false",Y1203)))</formula>
    </cfRule>
  </conditionalFormatting>
  <conditionalFormatting sqref="AA3:AB3">
    <cfRule type="containsText" dxfId="249" priority="248" operator="containsText" text="false">
      <formula>NÃO(ÉERROS(LOCALIZAR("false",AA3)))</formula>
    </cfRule>
  </conditionalFormatting>
  <conditionalFormatting sqref="AA2 AC2">
    <cfRule type="containsText" dxfId="248" priority="247" operator="containsText" text="false">
      <formula>NÃO(ÉERROS(LOCALIZAR("false",AA2)))</formula>
    </cfRule>
  </conditionalFormatting>
  <conditionalFormatting sqref="P5:P1200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">
    <cfRule type="cellIs" dxfId="247" priority="246" operator="equal">
      <formula>#REF!</formula>
    </cfRule>
  </conditionalFormatting>
  <conditionalFormatting sqref="H1228">
    <cfRule type="cellIs" dxfId="246" priority="245" operator="notEqual">
      <formula>1</formula>
    </cfRule>
  </conditionalFormatting>
  <conditionalFormatting sqref="H1226:H1227">
    <cfRule type="containsText" dxfId="245" priority="244" operator="containsText" text="false">
      <formula>NÃO(ÉERROS(LOCALIZAR("false",H1226)))</formula>
    </cfRule>
  </conditionalFormatting>
  <conditionalFormatting sqref="F1229">
    <cfRule type="containsText" dxfId="244" priority="243" operator="containsText" text="false">
      <formula>NÃO(ÉERROS(LOCALIZAR("false",F1229)))</formula>
    </cfRule>
  </conditionalFormatting>
  <conditionalFormatting sqref="F1226">
    <cfRule type="containsText" dxfId="243" priority="242" operator="containsText" text="false">
      <formula>NÃO(ÉERROS(LOCALIZAR("false",F1226)))</formula>
    </cfRule>
  </conditionalFormatting>
  <conditionalFormatting sqref="H1203:H1204">
    <cfRule type="containsText" dxfId="242" priority="241" operator="containsText" text="false">
      <formula>NÃO(ÉERROS(LOCALIZAR("false",H1203)))</formula>
    </cfRule>
  </conditionalFormatting>
  <conditionalFormatting sqref="Q4">
    <cfRule type="colorScale" priority="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:Q1200"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{B039DF08-19CC-4FEB-85EE-77C60CE4B1FD}</x14:id>
        </ext>
      </extLst>
    </cfRule>
  </conditionalFormatting>
  <conditionalFormatting sqref="X5:X1200"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{96445FE5-071E-4EFC-AC98-87890D991282}</x14:id>
        </ext>
      </extLst>
    </cfRule>
  </conditionalFormatting>
  <conditionalFormatting sqref="F1225:F1231">
    <cfRule type="containsText" dxfId="241" priority="240" operator="containsText" text="false">
      <formula>NÃO(ÉERROS(LOCALIZAR("false",F1225)))</formula>
    </cfRule>
  </conditionalFormatting>
  <conditionalFormatting sqref="F1225:F1231">
    <cfRule type="containsText" dxfId="240" priority="239" operator="containsText" text="false">
      <formula>NÃO(ÉERROS(LOCALIZAR("false",F1225)))</formula>
    </cfRule>
  </conditionalFormatting>
  <conditionalFormatting sqref="F1225:F1231">
    <cfRule type="containsText" dxfId="239" priority="238" operator="containsText" text="false">
      <formula>NÃO(ÉERROS(LOCALIZAR("false",F1225)))</formula>
    </cfRule>
  </conditionalFormatting>
  <conditionalFormatting sqref="F1225:F1231">
    <cfRule type="containsText" dxfId="238" priority="237" operator="containsText" text="false">
      <formula>NÃO(ÉERROS(LOCALIZAR("false",F1225)))</formula>
    </cfRule>
  </conditionalFormatting>
  <conditionalFormatting sqref="F1225:F1231">
    <cfRule type="containsText" dxfId="237" priority="236" operator="containsText" text="false">
      <formula>NÃO(ÉERROS(LOCALIZAR("false",F1225)))</formula>
    </cfRule>
  </conditionalFormatting>
  <conditionalFormatting sqref="F1230:H1230">
    <cfRule type="containsText" dxfId="236" priority="235" operator="containsText" text="false">
      <formula>NÃO(ÉERROS(LOCALIZAR("false",F1230)))</formula>
    </cfRule>
  </conditionalFormatting>
  <conditionalFormatting sqref="F1230:H1230">
    <cfRule type="containsText" dxfId="235" priority="234" operator="containsText" text="false">
      <formula>NÃO(ÉERROS(LOCALIZAR("false",F1230)))</formula>
    </cfRule>
  </conditionalFormatting>
  <conditionalFormatting sqref="F1230:H1230">
    <cfRule type="containsText" dxfId="234" priority="233" operator="containsText" text="false">
      <formula>NÃO(ÉERROS(LOCALIZAR("false",F1230)))</formula>
    </cfRule>
  </conditionalFormatting>
  <conditionalFormatting sqref="F1230:H1230">
    <cfRule type="containsText" dxfId="233" priority="232" operator="containsText" text="false">
      <formula>NÃO(ÉERROS(LOCALIZAR("false",F1230)))</formula>
    </cfRule>
  </conditionalFormatting>
  <conditionalFormatting sqref="F1230:H1230">
    <cfRule type="containsText" dxfId="232" priority="231" operator="containsText" text="false">
      <formula>NÃO(ÉERROS(LOCALIZAR("false",F1230)))</formula>
    </cfRule>
  </conditionalFormatting>
  <conditionalFormatting sqref="F1237:H1237 G1232">
    <cfRule type="containsText" dxfId="231" priority="230" operator="containsText" text="false">
      <formula>NÃO(ÉERROS(LOCALIZAR("false",F1232)))</formula>
    </cfRule>
  </conditionalFormatting>
  <conditionalFormatting sqref="H1235">
    <cfRule type="cellIs" dxfId="230" priority="229" operator="notEqual">
      <formula>1</formula>
    </cfRule>
  </conditionalFormatting>
  <conditionalFormatting sqref="H1233:H1234">
    <cfRule type="containsText" dxfId="229" priority="228" operator="containsText" text="false">
      <formula>NÃO(ÉERROS(LOCALIZAR("false",H1233)))</formula>
    </cfRule>
  </conditionalFormatting>
  <conditionalFormatting sqref="F1236">
    <cfRule type="containsText" dxfId="228" priority="227" operator="containsText" text="false">
      <formula>NÃO(ÉERROS(LOCALIZAR("false",F1236)))</formula>
    </cfRule>
  </conditionalFormatting>
  <conditionalFormatting sqref="F1233">
    <cfRule type="containsText" dxfId="227" priority="226" operator="containsText" text="false">
      <formula>NÃO(ÉERROS(LOCALIZAR("false",F1233)))</formula>
    </cfRule>
  </conditionalFormatting>
  <conditionalFormatting sqref="F1232:F1237">
    <cfRule type="containsText" dxfId="226" priority="225" operator="containsText" text="false">
      <formula>NÃO(ÉERROS(LOCALIZAR("false",F1232)))</formula>
    </cfRule>
  </conditionalFormatting>
  <conditionalFormatting sqref="F1232:F1237">
    <cfRule type="containsText" dxfId="225" priority="224" operator="containsText" text="false">
      <formula>NÃO(ÉERROS(LOCALIZAR("false",F1232)))</formula>
    </cfRule>
  </conditionalFormatting>
  <conditionalFormatting sqref="F1232:F1237">
    <cfRule type="containsText" dxfId="224" priority="223" operator="containsText" text="false">
      <formula>NÃO(ÉERROS(LOCALIZAR("false",F1232)))</formula>
    </cfRule>
  </conditionalFormatting>
  <conditionalFormatting sqref="F1232:F1237">
    <cfRule type="containsText" dxfId="223" priority="222" operator="containsText" text="false">
      <formula>NÃO(ÉERROS(LOCALIZAR("false",F1232)))</formula>
    </cfRule>
  </conditionalFormatting>
  <conditionalFormatting sqref="F1232:F1237">
    <cfRule type="containsText" dxfId="222" priority="221" operator="containsText" text="false">
      <formula>NÃO(ÉERROS(LOCALIZAR("false",F1232)))</formula>
    </cfRule>
  </conditionalFormatting>
  <conditionalFormatting sqref="F1237:H1237">
    <cfRule type="containsText" dxfId="221" priority="220" operator="containsText" text="false">
      <formula>NÃO(ÉERROS(LOCALIZAR("false",F1237)))</formula>
    </cfRule>
  </conditionalFormatting>
  <conditionalFormatting sqref="F1237:H1237">
    <cfRule type="containsText" dxfId="220" priority="219" operator="containsText" text="false">
      <formula>NÃO(ÉERROS(LOCALIZAR("false",F1237)))</formula>
    </cfRule>
  </conditionalFormatting>
  <conditionalFormatting sqref="F1237:H1237">
    <cfRule type="containsText" dxfId="219" priority="218" operator="containsText" text="false">
      <formula>NÃO(ÉERROS(LOCALIZAR("false",F1237)))</formula>
    </cfRule>
  </conditionalFormatting>
  <conditionalFormatting sqref="F1237:H1237">
    <cfRule type="containsText" dxfId="218" priority="217" operator="containsText" text="false">
      <formula>NÃO(ÉERROS(LOCALIZAR("false",F1237)))</formula>
    </cfRule>
  </conditionalFormatting>
  <conditionalFormatting sqref="F1237:H1237">
    <cfRule type="containsText" dxfId="217" priority="216" operator="containsText" text="false">
      <formula>NÃO(ÉERROS(LOCALIZAR("false",F1237)))</formula>
    </cfRule>
  </conditionalFormatting>
  <conditionalFormatting sqref="F1231:H1231">
    <cfRule type="containsText" dxfId="216" priority="215" operator="containsText" text="false">
      <formula>NÃO(ÉERROS(LOCALIZAR("false",F1231)))</formula>
    </cfRule>
  </conditionalFormatting>
  <conditionalFormatting sqref="F1231:H1231">
    <cfRule type="containsText" dxfId="215" priority="214" operator="containsText" text="false">
      <formula>NÃO(ÉERROS(LOCALIZAR("false",F1231)))</formula>
    </cfRule>
  </conditionalFormatting>
  <conditionalFormatting sqref="F1231:H1231">
    <cfRule type="containsText" dxfId="214" priority="213" operator="containsText" text="false">
      <formula>NÃO(ÉERROS(LOCALIZAR("false",F1231)))</formula>
    </cfRule>
  </conditionalFormatting>
  <conditionalFormatting sqref="F1231:H1231">
    <cfRule type="containsText" dxfId="213" priority="212" operator="containsText" text="false">
      <formula>NÃO(ÉERROS(LOCALIZAR("false",F1231)))</formula>
    </cfRule>
  </conditionalFormatting>
  <conditionalFormatting sqref="F1231:H1231">
    <cfRule type="containsText" dxfId="212" priority="211" operator="containsText" text="false">
      <formula>NÃO(ÉERROS(LOCALIZAR("false",F1231)))</formula>
    </cfRule>
  </conditionalFormatting>
  <conditionalFormatting sqref="F1231:H1231">
    <cfRule type="containsText" dxfId="211" priority="210" operator="containsText" text="false">
      <formula>NÃO(ÉERROS(LOCALIZAR("false",F1231)))</formula>
    </cfRule>
  </conditionalFormatting>
  <conditionalFormatting sqref="F1202 F1206">
    <cfRule type="containsText" dxfId="210" priority="209" operator="containsText" text="false">
      <formula>NÃO(ÉERROS(LOCALIZAR("false",F1202)))</formula>
    </cfRule>
  </conditionalFormatting>
  <conditionalFormatting sqref="F1202 F1206">
    <cfRule type="containsText" dxfId="209" priority="208" operator="containsText" text="false">
      <formula>NÃO(ÉERROS(LOCALIZAR("false",F1202)))</formula>
    </cfRule>
  </conditionalFormatting>
  <conditionalFormatting sqref="F1202 F1206">
    <cfRule type="containsText" dxfId="208" priority="207" operator="containsText" text="false">
      <formula>NÃO(ÉERROS(LOCALIZAR("false",F1202)))</formula>
    </cfRule>
  </conditionalFormatting>
  <conditionalFormatting sqref="F1202 F1206">
    <cfRule type="containsText" dxfId="207" priority="206" operator="containsText" text="false">
      <formula>NÃO(ÉERROS(LOCALIZAR("false",F1202)))</formula>
    </cfRule>
  </conditionalFormatting>
  <conditionalFormatting sqref="F1202 F1206">
    <cfRule type="containsText" dxfId="206" priority="205" operator="containsText" text="false">
      <formula>NÃO(ÉERROS(LOCALIZAR("false",F1202)))</formula>
    </cfRule>
  </conditionalFormatting>
  <conditionalFormatting sqref="H1232">
    <cfRule type="containsText" dxfId="205" priority="204" operator="containsText" text="false">
      <formula>NÃO(ÉERROS(LOCALIZAR("false",H1232)))</formula>
    </cfRule>
  </conditionalFormatting>
  <conditionalFormatting sqref="F1206:F1207">
    <cfRule type="containsText" dxfId="204" priority="203" operator="containsText" text="false">
      <formula>NÃO(ÉERROS(LOCALIZAR("false",F1206)))</formula>
    </cfRule>
  </conditionalFormatting>
  <conditionalFormatting sqref="F1206:F1207">
    <cfRule type="containsText" dxfId="203" priority="202" operator="containsText" text="false">
      <formula>NÃO(ÉERROS(LOCALIZAR("false",F1206)))</formula>
    </cfRule>
  </conditionalFormatting>
  <conditionalFormatting sqref="F1206:F1207">
    <cfRule type="containsText" dxfId="202" priority="201" operator="containsText" text="false">
      <formula>NÃO(ÉERROS(LOCALIZAR("false",F1206)))</formula>
    </cfRule>
  </conditionalFormatting>
  <conditionalFormatting sqref="F1206:F1207">
    <cfRule type="containsText" dxfId="201" priority="200" operator="containsText" text="false">
      <formula>NÃO(ÉERROS(LOCALIZAR("false",F1206)))</formula>
    </cfRule>
  </conditionalFormatting>
  <conditionalFormatting sqref="F1206:F1207">
    <cfRule type="containsText" dxfId="200" priority="199" operator="containsText" text="false">
      <formula>NÃO(ÉERROS(LOCALIZAR("false",F1206)))</formula>
    </cfRule>
  </conditionalFormatting>
  <conditionalFormatting sqref="F1206:F1207">
    <cfRule type="containsText" dxfId="199" priority="198" operator="containsText" text="false">
      <formula>NÃO(ÉERROS(LOCALIZAR("false",F1206)))</formula>
    </cfRule>
  </conditionalFormatting>
  <conditionalFormatting sqref="I1">
    <cfRule type="cellIs" dxfId="198" priority="197" operator="equal">
      <formula>#REF!</formula>
    </cfRule>
  </conditionalFormatting>
  <conditionalFormatting sqref="AX1202">
    <cfRule type="containsText" dxfId="197" priority="196" operator="containsText" text="false">
      <formula>NÃO(ÉERROS(LOCALIZAR("false",AX1202)))</formula>
    </cfRule>
  </conditionalFormatting>
  <conditionalFormatting sqref="I1202">
    <cfRule type="containsText" dxfId="196" priority="194" operator="containsText" text="false">
      <formula>NÃO(ÉERROS(LOCALIZAR("false",I1202)))</formula>
    </cfRule>
  </conditionalFormatting>
  <conditionalFormatting sqref="I1212">
    <cfRule type="containsText" dxfId="195" priority="195" operator="containsText" text="false">
      <formula>NÃO(ÉERROS(LOCALIZAR("false",I1212)))</formula>
    </cfRule>
  </conditionalFormatting>
  <conditionalFormatting sqref="I1241">
    <cfRule type="containsText" dxfId="194" priority="193" operator="containsText" text="false">
      <formula>NÃO(ÉERROS(LOCALIZAR("false",I1241)))</formula>
    </cfRule>
  </conditionalFormatting>
  <conditionalFormatting sqref="I1224:I1236 J1209:J1210">
    <cfRule type="containsText" dxfId="193" priority="192" operator="containsText" text="false">
      <formula>NÃO(ÉERROS(LOCALIZAR("false",I1209)))</formula>
    </cfRule>
  </conditionalFormatting>
  <conditionalFormatting sqref="L1209:L1246">
    <cfRule type="containsText" dxfId="192" priority="191" operator="containsText" text="false">
      <formula>NÃO(ÉERROS(LOCALIZAR("false",L1209)))</formula>
    </cfRule>
  </conditionalFormatting>
  <conditionalFormatting sqref="I1202:I1204 I1207:I1209">
    <cfRule type="containsText" dxfId="191" priority="190" operator="containsText" text="false">
      <formula>NÃO(ÉERROS(LOCALIZAR("false",I1202)))</formula>
    </cfRule>
  </conditionalFormatting>
  <conditionalFormatting sqref="I1225 I1229:I1231">
    <cfRule type="containsText" dxfId="190" priority="189" operator="containsText" text="false">
      <formula>NÃO(ÉERROS(LOCALIZAR("false",I1225)))</formula>
    </cfRule>
  </conditionalFormatting>
  <conditionalFormatting sqref="I1226:I1228">
    <cfRule type="containsText" dxfId="189" priority="188" operator="containsText" text="false">
      <formula>NÃO(ÉERROS(LOCALIZAR("false",I1226)))</formula>
    </cfRule>
  </conditionalFormatting>
  <conditionalFormatting sqref="I1228">
    <cfRule type="cellIs" dxfId="188" priority="187" operator="notEqual">
      <formula>1</formula>
    </cfRule>
  </conditionalFormatting>
  <conditionalFormatting sqref="I1226:I1227">
    <cfRule type="containsText" dxfId="187" priority="186" operator="containsText" text="false">
      <formula>NÃO(ÉERROS(LOCALIZAR("false",I1226)))</formula>
    </cfRule>
  </conditionalFormatting>
  <conditionalFormatting sqref="J1227:J1229 J1233:J1236">
    <cfRule type="containsText" dxfId="186" priority="185" operator="containsText" text="false">
      <formula>NÃO(ÉERROS(LOCALIZAR("false",J1227)))</formula>
    </cfRule>
  </conditionalFormatting>
  <conditionalFormatting sqref="I1203:I1204">
    <cfRule type="containsText" dxfId="185" priority="184" operator="containsText" text="false">
      <formula>NÃO(ÉERROS(LOCALIZAR("false",I1203)))</formula>
    </cfRule>
  </conditionalFormatting>
  <conditionalFormatting sqref="I1231">
    <cfRule type="containsText" dxfId="184" priority="183" operator="containsText" text="false">
      <formula>NÃO(ÉERROS(LOCALIZAR("false",I1231)))</formula>
    </cfRule>
  </conditionalFormatting>
  <conditionalFormatting sqref="I1234:I1235">
    <cfRule type="cellIs" dxfId="183" priority="182" operator="notEqual">
      <formula>1</formula>
    </cfRule>
  </conditionalFormatting>
  <conditionalFormatting sqref="I1233:I1234">
    <cfRule type="containsText" dxfId="182" priority="181" operator="containsText" text="false">
      <formula>NÃO(ÉERROS(LOCALIZAR("false",I1233)))</formula>
    </cfRule>
  </conditionalFormatting>
  <conditionalFormatting sqref="J1236:J1237">
    <cfRule type="containsText" dxfId="181" priority="180" operator="containsText" text="false">
      <formula>NÃO(ÉERROS(LOCALIZAR("false",J1236)))</formula>
    </cfRule>
  </conditionalFormatting>
  <conditionalFormatting sqref="J1236:J1237">
    <cfRule type="containsText" dxfId="180" priority="179" operator="containsText" text="false">
      <formula>NÃO(ÉERROS(LOCALIZAR("false",J1236)))</formula>
    </cfRule>
  </conditionalFormatting>
  <conditionalFormatting sqref="J1232:J1233">
    <cfRule type="containsText" dxfId="179" priority="178" operator="containsText" text="false">
      <formula>NÃO(ÉERROS(LOCALIZAR("false",J1232)))</formula>
    </cfRule>
  </conditionalFormatting>
  <conditionalFormatting sqref="J1232:J1233">
    <cfRule type="containsText" dxfId="178" priority="177" operator="containsText" text="false">
      <formula>NÃO(ÉERROS(LOCALIZAR("false",J1232)))</formula>
    </cfRule>
  </conditionalFormatting>
  <conditionalFormatting sqref="I1225">
    <cfRule type="containsText" dxfId="177" priority="176" operator="containsText" text="false">
      <formula>NÃO(ÉERROS(LOCALIZAR("false",I1225)))</formula>
    </cfRule>
  </conditionalFormatting>
  <conditionalFormatting sqref="I1232">
    <cfRule type="containsText" dxfId="176" priority="175" operator="containsText" text="false">
      <formula>NÃO(ÉERROS(LOCALIZAR("false",I1232)))</formula>
    </cfRule>
  </conditionalFormatting>
  <conditionalFormatting sqref="K1209:K1246">
    <cfRule type="containsText" dxfId="175" priority="174" operator="containsText" text="false">
      <formula>NÃO(ÉERROS(LOCALIZAR("false",K1209)))</formula>
    </cfRule>
  </conditionalFormatting>
  <conditionalFormatting sqref="I1203:I1204 I1208:I1209">
    <cfRule type="containsText" dxfId="174" priority="173" operator="containsText" text="false">
      <formula>NÃO(ÉERROS(LOCALIZAR("false",I1203)))</formula>
    </cfRule>
  </conditionalFormatting>
  <conditionalFormatting sqref="K1209:K1246">
    <cfRule type="containsText" dxfId="173" priority="172" operator="containsText" text="false">
      <formula>NÃO(ÉERROS(LOCALIZAR("false",K1209)))</formula>
    </cfRule>
  </conditionalFormatting>
  <conditionalFormatting sqref="I1226:I1228 I1232:I1235">
    <cfRule type="containsText" dxfId="172" priority="171" operator="containsText" text="false">
      <formula>NÃO(ÉERROS(LOCALIZAR("false",I1226)))</formula>
    </cfRule>
  </conditionalFormatting>
  <conditionalFormatting sqref="I1235:I1236">
    <cfRule type="containsText" dxfId="171" priority="170" operator="containsText" text="false">
      <formula>NÃO(ÉERROS(LOCALIZAR("false",I1235)))</formula>
    </cfRule>
  </conditionalFormatting>
  <conditionalFormatting sqref="I1235:I1236">
    <cfRule type="containsText" dxfId="170" priority="169" operator="containsText" text="false">
      <formula>NÃO(ÉERROS(LOCALIZAR("false",I1235)))</formula>
    </cfRule>
  </conditionalFormatting>
  <conditionalFormatting sqref="I1231:I1232">
    <cfRule type="containsText" dxfId="169" priority="168" operator="containsText" text="false">
      <formula>NÃO(ÉERROS(LOCALIZAR("false",I1231)))</formula>
    </cfRule>
  </conditionalFormatting>
  <conditionalFormatting sqref="I1231:I1232">
    <cfRule type="containsText" dxfId="168" priority="167" operator="containsText" text="false">
      <formula>NÃO(ÉERROS(LOCALIZAR("false",I1231)))</formula>
    </cfRule>
  </conditionalFormatting>
  <conditionalFormatting sqref="AW1202">
    <cfRule type="containsText" dxfId="167" priority="166" operator="containsText" text="false">
      <formula>NÃO(ÉERROS(LOCALIZAR("false",AW1202)))</formula>
    </cfRule>
  </conditionalFormatting>
  <conditionalFormatting sqref="AF3 AH3">
    <cfRule type="containsText" dxfId="166" priority="165" operator="containsText" text="false">
      <formula>NÃO(ÉERROS(LOCALIZAR("false",AF3)))</formula>
    </cfRule>
  </conditionalFormatting>
  <conditionalFormatting sqref="G2">
    <cfRule type="containsText" dxfId="165" priority="164" operator="containsText" text="false">
      <formula>NÃO(ÉERROS(LOCALIZAR("false",G2)))</formula>
    </cfRule>
  </conditionalFormatting>
  <conditionalFormatting sqref="AK1203:AK1246">
    <cfRule type="containsText" dxfId="164" priority="163" operator="containsText" text="false">
      <formula>NÃO(ÉERROS(LOCALIZAR("false",AK1203)))</formula>
    </cfRule>
  </conditionalFormatting>
  <conditionalFormatting sqref="K2:K3">
    <cfRule type="cellIs" dxfId="163" priority="162" operator="equal">
      <formula>#REF!</formula>
    </cfRule>
  </conditionalFormatting>
  <conditionalFormatting sqref="H1:H2">
    <cfRule type="containsText" dxfId="162" priority="161" operator="containsText" text="false">
      <formula>NÃO(ÉERROS(LOCALIZAR("false",H1)))</formula>
    </cfRule>
  </conditionalFormatting>
  <conditionalFormatting sqref="AF1203:AG1246">
    <cfRule type="containsText" dxfId="161" priority="160" operator="containsText" text="false">
      <formula>NÃO(ÉERROS(LOCALIZAR("false",AF1203)))</formula>
    </cfRule>
  </conditionalFormatting>
  <conditionalFormatting sqref="AE4">
    <cfRule type="containsText" dxfId="160" priority="159" operator="containsText" text="false">
      <formula>NÃO(ÉERROS(LOCALIZAR("false",AE4)))</formula>
    </cfRule>
  </conditionalFormatting>
  <conditionalFormatting sqref="AB4:AC4">
    <cfRule type="containsText" dxfId="159" priority="158" operator="containsText" text="false">
      <formula>NÃO(ÉERROS(LOCALIZAR("false",AB4)))</formula>
    </cfRule>
  </conditionalFormatting>
  <conditionalFormatting sqref="AD4">
    <cfRule type="containsText" dxfId="158" priority="157" operator="containsText" text="false">
      <formula>NÃO(ÉERROS(LOCALIZAR("false",AD4)))</formula>
    </cfRule>
  </conditionalFormatting>
  <conditionalFormatting sqref="AE5:AE1200">
    <cfRule type="dataBar" priority="156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{17C009FF-8028-40E2-9568-F8B30DFA733B}</x14:id>
        </ext>
      </extLst>
    </cfRule>
  </conditionalFormatting>
  <conditionalFormatting sqref="K1">
    <cfRule type="cellIs" dxfId="157" priority="155" operator="equal">
      <formula>#REF!</formula>
    </cfRule>
  </conditionalFormatting>
  <conditionalFormatting sqref="X5:X1200">
    <cfRule type="dataBar" priority="1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{D80C854E-82F5-44B1-9AEC-6C0A87FAE21A}</x14:id>
        </ext>
      </extLst>
    </cfRule>
  </conditionalFormatting>
  <conditionalFormatting sqref="E1218:F1223"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{96AC29D9-2CC4-4730-9B0F-3BBF22D0F9CF}</x14:id>
        </ext>
      </extLst>
    </cfRule>
  </conditionalFormatting>
  <conditionalFormatting sqref="E1216:G1216"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{3C74F085-A395-4C92-8641-411E9FEED415}</x14:id>
        </ext>
      </extLst>
    </cfRule>
  </conditionalFormatting>
  <conditionalFormatting sqref="E1224:G1224"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{27443CE1-6941-4475-850B-A7C4637B10C2}</x14:id>
        </ext>
      </extLst>
    </cfRule>
  </conditionalFormatting>
  <conditionalFormatting sqref="E1217:F1217"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{E52ADF96-593B-44DC-A26E-B18B7F8233B1}</x14:id>
        </ext>
      </extLst>
    </cfRule>
  </conditionalFormatting>
  <conditionalFormatting sqref="B1228:C1228"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{781C5281-396D-405B-BB05-23A4FE6E9326}</x14:id>
        </ext>
      </extLst>
    </cfRule>
  </conditionalFormatting>
  <conditionalFormatting sqref="D1208:D1211"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{6D077830-CA31-4B33-ADFD-771E9B3EFF2E}</x14:id>
        </ext>
      </extLst>
    </cfRule>
  </conditionalFormatting>
  <conditionalFormatting sqref="AB2">
    <cfRule type="containsText" dxfId="156" priority="153" operator="containsText" text="false">
      <formula>NÃO(ÉERROS(LOCALIZAR("false",AB2)))</formula>
    </cfRule>
  </conditionalFormatting>
  <conditionalFormatting sqref="AF5:AF1200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{20A61BA6-7CE2-4299-AF4F-48C06A0BE386}</x14:id>
        </ext>
      </extLst>
    </cfRule>
  </conditionalFormatting>
  <conditionalFormatting sqref="AF4:AG4">
    <cfRule type="containsText" dxfId="155" priority="151" operator="containsText" text="false">
      <formula>NÃO(ÉERROS(LOCALIZAR("false",AF4)))</formula>
    </cfRule>
  </conditionalFormatting>
  <conditionalFormatting sqref="AH4">
    <cfRule type="containsText" dxfId="154" priority="150" operator="containsText" text="false">
      <formula>NÃO(ÉERROS(LOCALIZAR("false",AH4)))</formula>
    </cfRule>
  </conditionalFormatting>
  <conditionalFormatting sqref="AG3">
    <cfRule type="containsText" dxfId="153" priority="149" operator="containsText" text="false">
      <formula>NÃO(ÉERROS(LOCALIZAR("false",AG3)))</formula>
    </cfRule>
  </conditionalFormatting>
  <conditionalFormatting sqref="AE3">
    <cfRule type="containsText" dxfId="152" priority="148" operator="containsText" text="false">
      <formula>NÃO(ÉERROS(LOCALIZAR("false",AE3)))</formula>
    </cfRule>
  </conditionalFormatting>
  <conditionalFormatting sqref="AD3">
    <cfRule type="containsText" dxfId="151" priority="147" operator="containsText" text="false">
      <formula>NÃO(ÉERROS(LOCALIZAR("false",AD3)))</formula>
    </cfRule>
  </conditionalFormatting>
  <conditionalFormatting sqref="AD3">
    <cfRule type="containsText" dxfId="150" priority="146" operator="containsText" text="false">
      <formula>NÃO(ÉERROS(LOCALIZAR("false",AD3)))</formula>
    </cfRule>
  </conditionalFormatting>
  <conditionalFormatting sqref="AG5:AG1200">
    <cfRule type="dataBar" priority="145">
      <dataBar>
        <cfvo type="min"/>
        <cfvo type="max"/>
        <color rgb="FFFFCDFF"/>
      </dataBar>
      <extLst>
        <ext xmlns:x14="http://schemas.microsoft.com/office/spreadsheetml/2009/9/main" uri="{B025F937-C7B1-47D3-B67F-A62EFF666E3E}">
          <x14:id>{33CC1FD7-F52C-4F97-8A6A-6204E244ED76}</x14:id>
        </ext>
      </extLst>
    </cfRule>
  </conditionalFormatting>
  <conditionalFormatting sqref="AK5:AK1200">
    <cfRule type="dataBar" priority="144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{51FDAF78-774F-46C9-AF86-F542925040A2}</x14:id>
        </ext>
      </extLst>
    </cfRule>
  </conditionalFormatting>
  <conditionalFormatting sqref="AI5:AI1200">
    <cfRule type="dataBar" priority="143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{C307AC7D-9BA0-41EA-9C54-C47BD6EB64BA}</x14:id>
        </ext>
      </extLst>
    </cfRule>
  </conditionalFormatting>
  <conditionalFormatting sqref="AJ3">
    <cfRule type="containsText" dxfId="149" priority="142" operator="containsText" text="false">
      <formula>NÃO(ÉERROS(LOCALIZAR("false",AJ3)))</formula>
    </cfRule>
  </conditionalFormatting>
  <conditionalFormatting sqref="AD2">
    <cfRule type="containsText" dxfId="148" priority="141" operator="containsText" text="false">
      <formula>NÃO(ÉERROS(LOCALIZAR("false",AD2)))</formula>
    </cfRule>
  </conditionalFormatting>
  <conditionalFormatting sqref="AD2">
    <cfRule type="containsText" dxfId="147" priority="140" operator="containsText" text="false">
      <formula>NÃO(ÉERROS(LOCALIZAR("false",AD2)))</formula>
    </cfRule>
  </conditionalFormatting>
  <conditionalFormatting sqref="AD2">
    <cfRule type="containsText" dxfId="146" priority="139" operator="containsText" text="false">
      <formula>NÃO(ÉERROS(LOCALIZAR("false",AD2)))</formula>
    </cfRule>
  </conditionalFormatting>
  <conditionalFormatting sqref="E1212:G1215 E1208:F1211"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{EC9D83F3-48BF-4B19-8256-30AD09E127A2}</x14:id>
        </ext>
      </extLst>
    </cfRule>
  </conditionalFormatting>
  <conditionalFormatting sqref="A1244:A1245"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{4D6B7BBB-A36F-446C-93F1-3C58CD07EBED}</x14:id>
        </ext>
      </extLst>
    </cfRule>
  </conditionalFormatting>
  <conditionalFormatting sqref="D1233:D1240">
    <cfRule type="dataBar" priority="1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{B9EA8320-783F-41F2-96A3-774782A52141}</x14:id>
        </ext>
      </extLst>
    </cfRule>
  </conditionalFormatting>
  <conditionalFormatting sqref="D1241">
    <cfRule type="dataBar" priority="1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{996FEB0B-7C40-45E5-A2FD-BA52FCAD84FA}</x14:id>
        </ext>
      </extLst>
    </cfRule>
  </conditionalFormatting>
  <conditionalFormatting sqref="D1242">
    <cfRule type="dataBar" priority="1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{DCF9AAFE-2E18-44C1-8A89-4DEE27124433}</x14:id>
        </ext>
      </extLst>
    </cfRule>
  </conditionalFormatting>
  <conditionalFormatting sqref="D1243">
    <cfRule type="dataBar" priority="1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{08424E81-9681-42A0-93AC-CC36DB5DF961}</x14:id>
        </ext>
      </extLst>
    </cfRule>
  </conditionalFormatting>
  <conditionalFormatting sqref="D1244 E1236:E1244">
    <cfRule type="containsText" dxfId="145" priority="133" operator="containsText" text="false">
      <formula>NÃO(ÉERROS(LOCALIZAR("false",D1236)))</formula>
    </cfRule>
  </conditionalFormatting>
  <conditionalFormatting sqref="E1233:E1235">
    <cfRule type="containsText" dxfId="144" priority="134" operator="containsText" text="false">
      <formula>NÃO(ÉERROS(LOCALIZAR("false",E1233)))</formula>
    </cfRule>
  </conditionalFormatting>
  <conditionalFormatting sqref="D1244">
    <cfRule type="dataBar" priority="1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{65E858F9-AEAC-45F1-85CA-0823B952CC60}</x14:id>
        </ext>
      </extLst>
    </cfRule>
  </conditionalFormatting>
  <conditionalFormatting sqref="D1226">
    <cfRule type="dataBar" priority="1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{19D14217-3D93-4D2F-8A8A-932806816807}</x14:id>
        </ext>
      </extLst>
    </cfRule>
  </conditionalFormatting>
  <conditionalFormatting sqref="D1227">
    <cfRule type="dataBar" priority="1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{3B5CDED1-F54A-4B38-A883-AEDD0BCC6DED}</x14:id>
        </ext>
      </extLst>
    </cfRule>
  </conditionalFormatting>
  <conditionalFormatting sqref="D1228">
    <cfRule type="dataBar" priority="1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{75C1C0A5-E904-463A-89B9-AFA1C31CDA37}</x14:id>
        </ext>
      </extLst>
    </cfRule>
  </conditionalFormatting>
  <conditionalFormatting sqref="D1229">
    <cfRule type="dataBar" priority="1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{7B49C504-CC91-40C0-B77C-D152D38AA98B}</x14:id>
        </ext>
      </extLst>
    </cfRule>
  </conditionalFormatting>
  <conditionalFormatting sqref="D1231">
    <cfRule type="dataBar" priority="1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{AA840420-B570-4120-BCE6-B24E535EAB2E}</x14:id>
        </ext>
      </extLst>
    </cfRule>
  </conditionalFormatting>
  <conditionalFormatting sqref="E1229">
    <cfRule type="dataBar" priority="1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{63B398C0-8620-4C98-8CA0-191076D1BFB3}</x14:id>
        </ext>
      </extLst>
    </cfRule>
  </conditionalFormatting>
  <conditionalFormatting sqref="E1226">
    <cfRule type="dataBar" priority="1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{A9256834-2C85-47B5-AE1C-EAD3E2441CF0}</x14:id>
        </ext>
      </extLst>
    </cfRule>
  </conditionalFormatting>
  <conditionalFormatting sqref="E1227">
    <cfRule type="dataBar" priority="1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{9683D85C-B0A6-4D83-9D8D-536A1F799C5D}</x14:id>
        </ext>
      </extLst>
    </cfRule>
  </conditionalFormatting>
  <conditionalFormatting sqref="E1228">
    <cfRule type="dataBar" priority="1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{4970AB67-AFE7-4BF2-880C-789BB0EBE34E}</x14:id>
        </ext>
      </extLst>
    </cfRule>
  </conditionalFormatting>
  <conditionalFormatting sqref="E1231">
    <cfRule type="dataBar" priority="1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{6E45D2F5-B760-42B4-B7DD-AE1058DF7FCA}</x14:id>
        </ext>
      </extLst>
    </cfRule>
  </conditionalFormatting>
  <conditionalFormatting sqref="D1230">
    <cfRule type="dataBar" priority="1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{A3BD8CE5-202C-430D-AD62-711228D9F6D1}</x14:id>
        </ext>
      </extLst>
    </cfRule>
  </conditionalFormatting>
  <conditionalFormatting sqref="D1232:E1232">
    <cfRule type="containsText" dxfId="143" priority="120" operator="containsText" text="false">
      <formula>NÃO(ÉERROS(LOCALIZAR("false",D1232)))</formula>
    </cfRule>
  </conditionalFormatting>
  <conditionalFormatting sqref="D1232:E1232">
    <cfRule type="containsText" dxfId="142" priority="119" operator="containsText" text="false">
      <formula>NÃO(ÉERROS(LOCALIZAR("false",D1232)))</formula>
    </cfRule>
  </conditionalFormatting>
  <conditionalFormatting sqref="E1230">
    <cfRule type="dataBar" priority="1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{1FE16660-EF61-40F0-A3A4-8302FE957BAF}</x14:id>
        </ext>
      </extLst>
    </cfRule>
  </conditionalFormatting>
  <conditionalFormatting sqref="D1225">
    <cfRule type="containsText" dxfId="141" priority="117" operator="containsText" text="false">
      <formula>NÃO(ÉERROS(LOCALIZAR("false",D1225)))</formula>
    </cfRule>
  </conditionalFormatting>
  <conditionalFormatting sqref="D1225">
    <cfRule type="containsText" dxfId="140" priority="116" operator="containsText" text="false">
      <formula>NÃO(ÉERROS(LOCALIZAR("false",D1225)))</formula>
    </cfRule>
  </conditionalFormatting>
  <conditionalFormatting sqref="E1225">
    <cfRule type="containsText" dxfId="139" priority="115" operator="containsText" text="false">
      <formula>NÃO(ÉERROS(LOCALIZAR("false",E1225)))</formula>
    </cfRule>
  </conditionalFormatting>
  <conditionalFormatting sqref="E1225">
    <cfRule type="containsText" dxfId="138" priority="114" operator="containsText" text="false">
      <formula>NÃO(ÉERROS(LOCALIZAR("false",E1225)))</formula>
    </cfRule>
  </conditionalFormatting>
  <conditionalFormatting sqref="A1202:E1205 A1207:E1207 A1206:D1206">
    <cfRule type="containsText" dxfId="137" priority="113" operator="containsText" text="false">
      <formula>NÃO(ÉERROS(LOCALIZAR("false",A1202)))</formula>
    </cfRule>
  </conditionalFormatting>
  <conditionalFormatting sqref="A1202:E1205 A1207:E1207 A1206:D1206">
    <cfRule type="containsText" dxfId="136" priority="112" operator="containsText" text="false">
      <formula>NÃO(ÉERROS(LOCALIZAR("false",A1202)))</formula>
    </cfRule>
  </conditionalFormatting>
  <conditionalFormatting sqref="A1202:E1205 A1207:E1207 A1206:D1206">
    <cfRule type="containsText" dxfId="135" priority="111" operator="containsText" text="false">
      <formula>NÃO(ÉERROS(LOCALIZAR("false",A1202)))</formula>
    </cfRule>
  </conditionalFormatting>
  <conditionalFormatting sqref="A1202:E1205 A1207:E1207 A1206:D1206">
    <cfRule type="containsText" dxfId="134" priority="110" operator="containsText" text="false">
      <formula>NÃO(ÉERROS(LOCALIZAR("false",A1202)))</formula>
    </cfRule>
  </conditionalFormatting>
  <conditionalFormatting sqref="A1202:E1205 A1207:E1207 A1206:D1206">
    <cfRule type="containsText" dxfId="133" priority="109" operator="containsText" text="false">
      <formula>NÃO(ÉERROS(LOCALIZAR("false",A1202)))</formula>
    </cfRule>
  </conditionalFormatting>
  <conditionalFormatting sqref="G1207:H1207">
    <cfRule type="containsText" dxfId="132" priority="108" operator="containsText" text="false">
      <formula>NÃO(ÉERROS(LOCALIZAR("false",G1207)))</formula>
    </cfRule>
  </conditionalFormatting>
  <conditionalFormatting sqref="AB1202:AE1202">
    <cfRule type="containsText" dxfId="131" priority="107" operator="containsText" text="false">
      <formula>NÃO(ÉERROS(LOCALIZAR("false",AB1202)))</formula>
    </cfRule>
  </conditionalFormatting>
  <conditionalFormatting sqref="AI1202:AJ1202 AL1202:AR1202">
    <cfRule type="containsText" dxfId="130" priority="106" operator="containsText" text="false">
      <formula>NÃO(ÉERROS(LOCALIZAR("false",AI1202)))</formula>
    </cfRule>
  </conditionalFormatting>
  <conditionalFormatting sqref="T1202">
    <cfRule type="containsText" dxfId="129" priority="105" operator="containsText" text="false">
      <formula>NÃO(ÉERROS(LOCALIZAR("false",T1202)))</formula>
    </cfRule>
  </conditionalFormatting>
  <conditionalFormatting sqref="V1202">
    <cfRule type="containsText" dxfId="128" priority="104" operator="containsText" text="false">
      <formula>NÃO(ÉERROS(LOCALIZAR("false",V1202)))</formula>
    </cfRule>
  </conditionalFormatting>
  <conditionalFormatting sqref="AB1202:AE1202">
    <cfRule type="containsText" dxfId="127" priority="103" operator="containsText" text="false">
      <formula>NÃO(ÉERROS(LOCALIZAR("false",AB1202)))</formula>
    </cfRule>
  </conditionalFormatting>
  <conditionalFormatting sqref="AH1202:AI1202">
    <cfRule type="containsText" dxfId="126" priority="102" operator="containsText" text="false">
      <formula>NÃO(ÉERROS(LOCALIZAR("false",AH1202)))</formula>
    </cfRule>
  </conditionalFormatting>
  <conditionalFormatting sqref="U1202">
    <cfRule type="containsText" dxfId="125" priority="101" operator="containsText" text="false">
      <formula>NÃO(ÉERROS(LOCALIZAR("false",U1202)))</formula>
    </cfRule>
  </conditionalFormatting>
  <conditionalFormatting sqref="W1202:X1202">
    <cfRule type="containsText" dxfId="124" priority="100" operator="containsText" text="false">
      <formula>NÃO(ÉERROS(LOCALIZAR("false",W1202)))</formula>
    </cfRule>
  </conditionalFormatting>
  <conditionalFormatting sqref="Y1202:AA1202">
    <cfRule type="containsText" dxfId="123" priority="99" operator="containsText" text="false">
      <formula>NÃO(ÉERROS(LOCALIZAR("false",Y1202)))</formula>
    </cfRule>
  </conditionalFormatting>
  <conditionalFormatting sqref="AK1202">
    <cfRule type="containsText" dxfId="122" priority="98" operator="containsText" text="false">
      <formula>NÃO(ÉERROS(LOCALIZAR("false",AK1202)))</formula>
    </cfRule>
  </conditionalFormatting>
  <conditionalFormatting sqref="AF1202:AG1202">
    <cfRule type="containsText" dxfId="121" priority="97" operator="containsText" text="false">
      <formula>NÃO(ÉERROS(LOCALIZAR("false",AF1202)))</formula>
    </cfRule>
  </conditionalFormatting>
  <conditionalFormatting sqref="J1202">
    <cfRule type="containsText" dxfId="120" priority="96" operator="containsText" text="false">
      <formula>NÃO(ÉERROS(LOCALIZAR("false",J1202)))</formula>
    </cfRule>
  </conditionalFormatting>
  <conditionalFormatting sqref="O1202">
    <cfRule type="containsText" dxfId="119" priority="95" operator="containsText" text="false">
      <formula>NÃO(ÉERROS(LOCALIZAR("false",O1202)))</formula>
    </cfRule>
  </conditionalFormatting>
  <conditionalFormatting sqref="P1202">
    <cfRule type="containsText" dxfId="118" priority="94" operator="containsText" text="false">
      <formula>NÃO(ÉERROS(LOCALIZAR("false",P1202)))</formula>
    </cfRule>
  </conditionalFormatting>
  <conditionalFormatting sqref="N1202">
    <cfRule type="containsText" dxfId="117" priority="93" operator="containsText" text="false">
      <formula>NÃO(ÉERROS(LOCALIZAR("false",N1202)))</formula>
    </cfRule>
  </conditionalFormatting>
  <conditionalFormatting sqref="J1202:M1202">
    <cfRule type="containsText" dxfId="116" priority="92" operator="containsText" text="false">
      <formula>NÃO(ÉERROS(LOCALIZAR("false",J1202)))</formula>
    </cfRule>
  </conditionalFormatting>
  <conditionalFormatting sqref="Q1202:S1202">
    <cfRule type="containsText" dxfId="115" priority="91" operator="containsText" text="false">
      <formula>NÃO(ÉERROS(LOCALIZAR("false",Q1202)))</formula>
    </cfRule>
  </conditionalFormatting>
  <conditionalFormatting sqref="E1206">
    <cfRule type="containsText" dxfId="114" priority="90" operator="containsText" text="false">
      <formula>NÃO(ÉERROS(LOCALIZAR("false",E1206)))</formula>
    </cfRule>
  </conditionalFormatting>
  <conditionalFormatting sqref="F1203:F1204">
    <cfRule type="containsText" dxfId="113" priority="89" operator="containsText" text="false">
      <formula>NÃO(ÉERROS(LOCALIZAR("false",F1203)))</formula>
    </cfRule>
  </conditionalFormatting>
  <conditionalFormatting sqref="F1203:F1204">
    <cfRule type="containsText" dxfId="112" priority="88" operator="containsText" text="false">
      <formula>NÃO(ÉERROS(LOCALIZAR("false",F1203)))</formula>
    </cfRule>
  </conditionalFormatting>
  <conditionalFormatting sqref="F1203:F1204">
    <cfRule type="containsText" dxfId="111" priority="87" operator="containsText" text="false">
      <formula>NÃO(ÉERROS(LOCALIZAR("false",F1203)))</formula>
    </cfRule>
  </conditionalFormatting>
  <conditionalFormatting sqref="F1205">
    <cfRule type="containsText" dxfId="110" priority="86" operator="containsText" text="false">
      <formula>NÃO(ÉERROS(LOCALIZAR("false",F1205)))</formula>
    </cfRule>
  </conditionalFormatting>
  <conditionalFormatting sqref="F1205">
    <cfRule type="containsText" dxfId="109" priority="85" operator="containsText" text="false">
      <formula>NÃO(ÉERROS(LOCALIZAR("false",F1205)))</formula>
    </cfRule>
  </conditionalFormatting>
  <conditionalFormatting sqref="F1205">
    <cfRule type="containsText" dxfId="108" priority="84" operator="containsText" text="false">
      <formula>NÃO(ÉERROS(LOCALIZAR("false",F1205)))</formula>
    </cfRule>
  </conditionalFormatting>
  <conditionalFormatting sqref="F1205">
    <cfRule type="containsText" dxfId="107" priority="83" operator="containsText" text="false">
      <formula>NÃO(ÉERROS(LOCALIZAR("false",F1205)))</formula>
    </cfRule>
  </conditionalFormatting>
  <conditionalFormatting sqref="F1205">
    <cfRule type="containsText" dxfId="106" priority="82" operator="containsText" text="false">
      <formula>NÃO(ÉERROS(LOCALIZAR("false",F1205)))</formula>
    </cfRule>
  </conditionalFormatting>
  <conditionalFormatting sqref="F1205">
    <cfRule type="containsText" dxfId="105" priority="81" operator="containsText" text="false">
      <formula>NÃO(ÉERROS(LOCALIZAR("false",F1205)))</formula>
    </cfRule>
  </conditionalFormatting>
  <conditionalFormatting sqref="F1205">
    <cfRule type="containsText" dxfId="104" priority="80" operator="containsText" text="false">
      <formula>NÃO(ÉERROS(LOCALIZAR("false",F1205)))</formula>
    </cfRule>
  </conditionalFormatting>
  <conditionalFormatting sqref="F1205">
    <cfRule type="containsText" dxfId="103" priority="79" operator="containsText" text="false">
      <formula>NÃO(ÉERROS(LOCALIZAR("false",F1205)))</formula>
    </cfRule>
  </conditionalFormatting>
  <conditionalFormatting sqref="F1205">
    <cfRule type="containsText" dxfId="102" priority="78" operator="containsText" text="false">
      <formula>NÃO(ÉERROS(LOCALIZAR("false",F1205)))</formula>
    </cfRule>
  </conditionalFormatting>
  <conditionalFormatting sqref="F1205">
    <cfRule type="containsText" dxfId="101" priority="77" operator="containsText" text="false">
      <formula>NÃO(ÉERROS(LOCALIZAR("false",F1205)))</formula>
    </cfRule>
  </conditionalFormatting>
  <conditionalFormatting sqref="F1205">
    <cfRule type="containsText" dxfId="100" priority="76" operator="containsText" text="false">
      <formula>NÃO(ÉERROS(LOCALIZAR("false",F1205)))</formula>
    </cfRule>
  </conditionalFormatting>
  <conditionalFormatting sqref="O1206 T1203 T1206:T1207">
    <cfRule type="containsText" dxfId="99" priority="75" operator="containsText" text="false">
      <formula>NÃO(ÉERROS(LOCALIZAR("false",O1203)))</formula>
    </cfRule>
  </conditionalFormatting>
  <conditionalFormatting sqref="J1207 S1207 J1203:S1206">
    <cfRule type="containsText" dxfId="98" priority="74" operator="containsText" text="false">
      <formula>NÃO(ÉERROS(LOCALIZAR("false",J1203)))</formula>
    </cfRule>
  </conditionalFormatting>
  <conditionalFormatting sqref="J1206">
    <cfRule type="containsText" dxfId="97" priority="73" operator="containsText" text="false">
      <formula>NÃO(ÉERROS(LOCALIZAR("false",J1206)))</formula>
    </cfRule>
  </conditionalFormatting>
  <conditionalFormatting sqref="K1207 P1203:Q1205">
    <cfRule type="containsText" dxfId="96" priority="72" operator="containsText" text="false">
      <formula>NÃO(ÉERROS(LOCALIZAR("false",K1203)))</formula>
    </cfRule>
  </conditionalFormatting>
  <conditionalFormatting sqref="P1203:P1205">
    <cfRule type="containsText" dxfId="95" priority="71" operator="containsText" text="false">
      <formula>NÃO(ÉERROS(LOCALIZAR("false",P1203)))</formula>
    </cfRule>
  </conditionalFormatting>
  <conditionalFormatting sqref="K1207:M1207">
    <cfRule type="containsText" dxfId="94" priority="70" operator="containsText" text="false">
      <formula>NÃO(ÉERROS(LOCALIZAR("false",K1207)))</formula>
    </cfRule>
  </conditionalFormatting>
  <conditionalFormatting sqref="P1207:R1207">
    <cfRule type="containsText" dxfId="93" priority="69" operator="containsText" text="false">
      <formula>NÃO(ÉERROS(LOCALIZAR("false",P1207)))</formula>
    </cfRule>
  </conditionalFormatting>
  <conditionalFormatting sqref="P1207">
    <cfRule type="containsText" dxfId="92" priority="68" operator="containsText" text="false">
      <formula>NÃO(ÉERROS(LOCALIZAR("false",P1207)))</formula>
    </cfRule>
  </conditionalFormatting>
  <conditionalFormatting sqref="R1207">
    <cfRule type="containsText" dxfId="91" priority="67" operator="containsText" text="false">
      <formula>NÃO(ÉERROS(LOCALIZAR("false",R1207)))</formula>
    </cfRule>
  </conditionalFormatting>
  <conditionalFormatting sqref="K1207">
    <cfRule type="containsText" dxfId="90" priority="66" operator="containsText" text="false">
      <formula>NÃO(ÉERROS(LOCALIZAR("false",K1207)))</formula>
    </cfRule>
  </conditionalFormatting>
  <conditionalFormatting sqref="N1207">
    <cfRule type="containsText" dxfId="89" priority="65" operator="containsText" text="false">
      <formula>NÃO(ÉERROS(LOCALIZAR("false",N1207)))</formula>
    </cfRule>
  </conditionalFormatting>
  <conditionalFormatting sqref="O1207">
    <cfRule type="containsText" dxfId="88" priority="64" operator="containsText" text="false">
      <formula>NÃO(ÉERROS(LOCALIZAR("false",O1207)))</formula>
    </cfRule>
  </conditionalFormatting>
  <conditionalFormatting sqref="J1203">
    <cfRule type="containsText" dxfId="87" priority="63" operator="containsText" text="false">
      <formula>NÃO(ÉERROS(LOCALIZAR("false",J1203)))</formula>
    </cfRule>
  </conditionalFormatting>
  <conditionalFormatting sqref="L1203:M1204">
    <cfRule type="containsText" dxfId="86" priority="62" operator="containsText" text="false">
      <formula>NÃO(ÉERROS(LOCALIZAR("false",L1203)))</formula>
    </cfRule>
  </conditionalFormatting>
  <conditionalFormatting sqref="N1205">
    <cfRule type="containsText" dxfId="85" priority="61" operator="containsText" text="false">
      <formula>NÃO(ÉERROS(LOCALIZAR("false",N1205)))</formula>
    </cfRule>
  </conditionalFormatting>
  <conditionalFormatting sqref="K1203">
    <cfRule type="containsText" dxfId="84" priority="60" operator="containsText" text="false">
      <formula>NÃO(ÉERROS(LOCALIZAR("false",K1203)))</formula>
    </cfRule>
  </conditionalFormatting>
  <conditionalFormatting sqref="O1205">
    <cfRule type="containsText" dxfId="83" priority="59" operator="containsText" text="false">
      <formula>NÃO(ÉERROS(LOCALIZAR("false",O1205)))</formula>
    </cfRule>
  </conditionalFormatting>
  <conditionalFormatting sqref="K1204">
    <cfRule type="containsText" dxfId="82" priority="58" operator="containsText" text="false">
      <formula>NÃO(ÉERROS(LOCALIZAR("false",K1204)))</formula>
    </cfRule>
  </conditionalFormatting>
  <conditionalFormatting sqref="O1203">
    <cfRule type="containsText" dxfId="81" priority="57" operator="containsText" text="false">
      <formula>NÃO(ÉERROS(LOCALIZAR("false",O1203)))</formula>
    </cfRule>
  </conditionalFormatting>
  <conditionalFormatting sqref="N1206">
    <cfRule type="containsText" dxfId="80" priority="56" operator="containsText" text="false">
      <formula>NÃO(ÉERROS(LOCALIZAR("false",N1206)))</formula>
    </cfRule>
  </conditionalFormatting>
  <conditionalFormatting sqref="M1206">
    <cfRule type="containsText" dxfId="79" priority="55" operator="containsText" text="false">
      <formula>NÃO(ÉERROS(LOCALIZAR("false",M1206)))</formula>
    </cfRule>
  </conditionalFormatting>
  <conditionalFormatting sqref="L1206">
    <cfRule type="containsText" dxfId="78" priority="54" operator="containsText" text="false">
      <formula>NÃO(ÉERROS(LOCALIZAR("false",L1206)))</formula>
    </cfRule>
  </conditionalFormatting>
  <conditionalFormatting sqref="K1206">
    <cfRule type="containsText" dxfId="77" priority="53" operator="containsText" text="false">
      <formula>NÃO(ÉERROS(LOCALIZAR("false",K1206)))</formula>
    </cfRule>
  </conditionalFormatting>
  <conditionalFormatting sqref="K1206">
    <cfRule type="containsText" dxfId="76" priority="52" operator="containsText" text="false">
      <formula>NÃO(ÉERROS(LOCALIZAR("false",K1206)))</formula>
    </cfRule>
  </conditionalFormatting>
  <conditionalFormatting sqref="N1206">
    <cfRule type="containsText" dxfId="75" priority="51" operator="containsText" text="false">
      <formula>NÃO(ÉERROS(LOCALIZAR("false",N1206)))</formula>
    </cfRule>
  </conditionalFormatting>
  <conditionalFormatting sqref="R1211:S1211 T1208:T1211 R1210 R1208:S1209">
    <cfRule type="containsText" dxfId="74" priority="50" operator="containsText" text="false">
      <formula>NÃO(ÉERROS(LOCALIZAR("false",R1208)))</formula>
    </cfRule>
  </conditionalFormatting>
  <conditionalFormatting sqref="S1210">
    <cfRule type="containsText" dxfId="73" priority="49" operator="containsText" text="false">
      <formula>NÃO(ÉERROS(LOCALIZAR("false",S1210)))</formula>
    </cfRule>
  </conditionalFormatting>
  <conditionalFormatting sqref="J1205:L1205">
    <cfRule type="containsText" dxfId="72" priority="48" operator="containsText" text="false">
      <formula>NÃO(ÉERROS(LOCALIZAR("false",J1205)))</formula>
    </cfRule>
  </conditionalFormatting>
  <conditionalFormatting sqref="J1205:L1205">
    <cfRule type="containsText" dxfId="71" priority="47" operator="containsText" text="false">
      <formula>NÃO(ÉERROS(LOCALIZAR("false",J1205)))</formula>
    </cfRule>
  </conditionalFormatting>
  <conditionalFormatting sqref="R1205">
    <cfRule type="containsText" dxfId="70" priority="46" operator="containsText" text="false">
      <formula>NÃO(ÉERROS(LOCALIZAR("false",R1205)))</formula>
    </cfRule>
  </conditionalFormatting>
  <conditionalFormatting sqref="R1204">
    <cfRule type="containsText" dxfId="69" priority="45" operator="containsText" text="false">
      <formula>NÃO(ÉERROS(LOCALIZAR("false",R1204)))</formula>
    </cfRule>
  </conditionalFormatting>
  <conditionalFormatting sqref="S1204:S1205">
    <cfRule type="containsText" dxfId="68" priority="44" operator="containsText" text="false">
      <formula>NÃO(ÉERROS(LOCALIZAR("false",S1204)))</formula>
    </cfRule>
  </conditionalFormatting>
  <conditionalFormatting sqref="T1204:U1204">
    <cfRule type="containsText" dxfId="67" priority="43" operator="containsText" text="false">
      <formula>NÃO(ÉERROS(LOCALIZAR("false",T1204)))</formula>
    </cfRule>
  </conditionalFormatting>
  <conditionalFormatting sqref="T1205">
    <cfRule type="containsText" dxfId="66" priority="42" operator="containsText" text="false">
      <formula>NÃO(ÉERROS(LOCALIZAR("false",T1205)))</formula>
    </cfRule>
  </conditionalFormatting>
  <conditionalFormatting sqref="R1203">
    <cfRule type="containsText" dxfId="65" priority="41" operator="containsText" text="false">
      <formula>NÃO(ÉERROS(LOCALIZAR("false",R1203)))</formula>
    </cfRule>
  </conditionalFormatting>
  <conditionalFormatting sqref="N1203">
    <cfRule type="containsText" dxfId="64" priority="40" operator="containsText" text="false">
      <formula>NÃO(ÉERROS(LOCALIZAR("false",N1203)))</formula>
    </cfRule>
  </conditionalFormatting>
  <conditionalFormatting sqref="N1203">
    <cfRule type="containsText" dxfId="63" priority="39" operator="containsText" text="false">
      <formula>NÃO(ÉERROS(LOCALIZAR("false",N1203)))</formula>
    </cfRule>
  </conditionalFormatting>
  <conditionalFormatting sqref="J1204">
    <cfRule type="containsText" dxfId="62" priority="38" operator="containsText" text="false">
      <formula>NÃO(ÉERROS(LOCALIZAR("false",J1204)))</formula>
    </cfRule>
  </conditionalFormatting>
  <conditionalFormatting sqref="AE2">
    <cfRule type="containsText" dxfId="61" priority="37" operator="containsText" text="false">
      <formula>NÃO(ÉERROS(LOCALIZAR("false",AE2)))</formula>
    </cfRule>
  </conditionalFormatting>
  <conditionalFormatting sqref="AE2">
    <cfRule type="containsText" dxfId="60" priority="36" operator="containsText" text="false">
      <formula>NÃO(ÉERROS(LOCALIZAR("false",AE2)))</formula>
    </cfRule>
  </conditionalFormatting>
  <conditionalFormatting sqref="AE2">
    <cfRule type="containsText" dxfId="59" priority="35" operator="containsText" text="false">
      <formula>NÃO(ÉERROS(LOCALIZAR("false",AE2)))</formula>
    </cfRule>
  </conditionalFormatting>
  <conditionalFormatting sqref="AC3">
    <cfRule type="containsText" dxfId="58" priority="34" operator="containsText" text="false">
      <formula>NÃO(ÉERROS(LOCALIZAR("false",AC3)))</formula>
    </cfRule>
  </conditionalFormatting>
  <conditionalFormatting sqref="O2">
    <cfRule type="cellIs" dxfId="57" priority="33" operator="equal">
      <formula>#REF!</formula>
    </cfRule>
  </conditionalFormatting>
  <conditionalFormatting sqref="O1">
    <cfRule type="cellIs" dxfId="56" priority="32" operator="equal">
      <formula>#REF!</formula>
    </cfRule>
  </conditionalFormatting>
  <conditionalFormatting sqref="P1206:S1206">
    <cfRule type="containsText" dxfId="55" priority="31" operator="containsText" text="false">
      <formula>NÃO(ÉERROS(LOCALIZAR("false",P1206)))</formula>
    </cfRule>
  </conditionalFormatting>
  <conditionalFormatting sqref="P1206:S1206">
    <cfRule type="containsText" dxfId="54" priority="30" operator="containsText" text="false">
      <formula>NÃO(ÉERROS(LOCALIZAR("false",P1206)))</formula>
    </cfRule>
  </conditionalFormatting>
  <conditionalFormatting sqref="O5:O1200 H5:H1200">
    <cfRule type="dataBar" priority="29">
      <dataBar>
        <cfvo type="min"/>
        <cfvo type="max"/>
        <color rgb="FFFFE9BD"/>
      </dataBar>
      <extLst>
        <ext xmlns:x14="http://schemas.microsoft.com/office/spreadsheetml/2009/9/main" uri="{B025F937-C7B1-47D3-B67F-A62EFF666E3E}">
          <x14:id>{12F7FD23-98F4-4A57-AEEB-88E815E9ED76}</x14:id>
        </ext>
      </extLst>
    </cfRule>
  </conditionalFormatting>
  <conditionalFormatting sqref="AM5:AM1200">
    <cfRule type="dataBar" priority="28">
      <dataBar>
        <cfvo type="min"/>
        <cfvo type="max"/>
        <color rgb="FFFFB3FF"/>
      </dataBar>
      <extLst>
        <ext xmlns:x14="http://schemas.microsoft.com/office/spreadsheetml/2009/9/main" uri="{B025F937-C7B1-47D3-B67F-A62EFF666E3E}">
          <x14:id>{E3E85134-4BEC-4FB5-B272-78A673BB799A}</x14:id>
        </ext>
      </extLst>
    </cfRule>
  </conditionalFormatting>
  <conditionalFormatting sqref="AA4">
    <cfRule type="containsText" dxfId="53" priority="27" operator="containsText" text="false">
      <formula>NÃO(ÉERROS(LOCALIZAR("false",AA4)))</formula>
    </cfRule>
  </conditionalFormatting>
  <conditionalFormatting sqref="O3">
    <cfRule type="cellIs" dxfId="52" priority="26" operator="equal">
      <formula>#REF!</formula>
    </cfRule>
  </conditionalFormatting>
  <conditionalFormatting sqref="G120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201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{9EF2549B-513F-4994-A6F2-0F348D665455}</x14:id>
        </ext>
      </extLst>
    </cfRule>
  </conditionalFormatting>
  <conditionalFormatting sqref="AK1201">
    <cfRule type="dataBar" priority="20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{08B9C3F0-A11C-447C-BDF7-412DB30936FB}</x14:id>
        </ext>
      </extLst>
    </cfRule>
  </conditionalFormatting>
  <conditionalFormatting sqref="AL1201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{A4E5D6F2-FBF3-4BB7-82F9-900528256D15}</x14:id>
        </ext>
      </extLst>
    </cfRule>
  </conditionalFormatting>
  <conditionalFormatting sqref="AM1201:AO1201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{B93DD9C3-C6ED-4267-AE2C-CC6304EDF6FC}</x14:id>
        </ext>
      </extLst>
    </cfRule>
  </conditionalFormatting>
  <conditionalFormatting sqref="AO1201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{129293BE-CA3E-4A94-973A-2C9D3FD98055}</x14:id>
        </ext>
      </extLst>
    </cfRule>
  </conditionalFormatting>
  <conditionalFormatting sqref="AN1201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{8D2F6BF6-105D-4DA5-8EB9-F2467B2FC34C}</x14:id>
        </ext>
      </extLst>
    </cfRule>
  </conditionalFormatting>
  <conditionalFormatting sqref="AB1201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{9001ACE6-A16C-45C4-AAB4-84B5B9C358B6}</x14:id>
        </ext>
      </extLst>
    </cfRule>
  </conditionalFormatting>
  <conditionalFormatting sqref="H1201">
    <cfRule type="cellIs" dxfId="51" priority="15" operator="equal">
      <formula>0</formula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201:L120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201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{2E781750-BFB4-42B2-950B-582124A42A3A}</x14:id>
        </ext>
      </extLst>
    </cfRule>
  </conditionalFormatting>
  <conditionalFormatting sqref="Q120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{1336EAAD-A3D6-4575-9299-4EA023F221C4}</x14:id>
        </ext>
      </extLst>
    </cfRule>
  </conditionalFormatting>
  <conditionalFormatting sqref="O1201:P120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201">
    <cfRule type="dataBar" priority="11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{4633DF9F-7347-4664-8451-7566005A9E33}</x14:id>
        </ext>
      </extLst>
    </cfRule>
  </conditionalFormatting>
  <conditionalFormatting sqref="X1201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{6C750405-D67E-45FB-A795-85CDB730D7FD}</x14:id>
        </ext>
      </extLst>
    </cfRule>
  </conditionalFormatting>
  <conditionalFormatting sqref="AF1201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{090E009C-ECB0-4EC3-A345-E8C0FCCB223E}</x14:id>
        </ext>
      </extLst>
    </cfRule>
  </conditionalFormatting>
  <conditionalFormatting sqref="AG1201">
    <cfRule type="dataBar" priority="8">
      <dataBar>
        <cfvo type="min"/>
        <cfvo type="max"/>
        <color rgb="FFFFCDFF"/>
      </dataBar>
      <extLst>
        <ext xmlns:x14="http://schemas.microsoft.com/office/spreadsheetml/2009/9/main" uri="{B025F937-C7B1-47D3-B67F-A62EFF666E3E}">
          <x14:id>{F0585CFF-4AD1-489C-BBC0-A02B19A88EF2}</x14:id>
        </ext>
      </extLst>
    </cfRule>
  </conditionalFormatting>
  <conditionalFormatting sqref="AI1201">
    <cfRule type="dataBar" priority="7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{F51DAB55-207E-480F-8069-CD10AC236A53}</x14:id>
        </ext>
      </extLst>
    </cfRule>
  </conditionalFormatting>
  <conditionalFormatting sqref="H1205">
    <cfRule type="cellIs" dxfId="50" priority="6" operator="notEqual">
      <formula>1</formula>
    </cfRule>
  </conditionalFormatting>
  <conditionalFormatting sqref="AK3">
    <cfRule type="containsText" dxfId="49" priority="5" operator="containsText" text="false">
      <formula>NÃO(ÉERROS(LOCALIZAR("false",AK3)))</formula>
    </cfRule>
  </conditionalFormatting>
  <conditionalFormatting sqref="AK1:AK2">
    <cfRule type="containsText" dxfId="48" priority="4" operator="containsText" text="false">
      <formula>NÃO(ÉERROS(LOCALIZAR("false",AK1)))</formula>
    </cfRule>
  </conditionalFormatting>
  <conditionalFormatting sqref="J2">
    <cfRule type="cellIs" dxfId="47" priority="3" operator="equal">
      <formula>1</formula>
    </cfRule>
  </conditionalFormatting>
  <conditionalFormatting sqref="J3">
    <cfRule type="cellIs" dxfId="46" priority="2" operator="equal">
      <formula>#REF!</formula>
    </cfRule>
  </conditionalFormatting>
  <conditionalFormatting sqref="O1219:O1223">
    <cfRule type="containsText" dxfId="45" priority="1" operator="containsText" text="false">
      <formula>NÃO(ÉERROS(LOCALIZAR("false",O1219)))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C17A49-863C-4313-9F1B-CB6DAD8BBA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C1210</xm:sqref>
        </x14:conditionalFormatting>
        <x14:conditionalFormatting xmlns:xm="http://schemas.microsoft.com/office/excel/2006/main">
          <x14:cfRule type="dataBar" id="{E7CA368B-6C7B-48B4-8BB3-FC6D0E3124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C1211:C1215 C1232:C1240</xm:sqref>
        </x14:conditionalFormatting>
        <x14:conditionalFormatting xmlns:xm="http://schemas.microsoft.com/office/excel/2006/main">
          <x14:cfRule type="dataBar" id="{3A96A0D1-730E-45C2-B145-CF0B42926D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C1216</xm:sqref>
        </x14:conditionalFormatting>
        <x14:conditionalFormatting xmlns:xm="http://schemas.microsoft.com/office/excel/2006/main">
          <x14:cfRule type="dataBar" id="{EBAD6878-B0CA-4B8B-9688-7FF28B852C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C1218:C1223</xm:sqref>
        </x14:conditionalFormatting>
        <x14:conditionalFormatting xmlns:xm="http://schemas.microsoft.com/office/excel/2006/main">
          <x14:cfRule type="dataBar" id="{8798F689-6073-4BF7-8CF2-634F79C9EB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C1224</xm:sqref>
        </x14:conditionalFormatting>
        <x14:conditionalFormatting xmlns:xm="http://schemas.microsoft.com/office/excel/2006/main">
          <x14:cfRule type="dataBar" id="{9225D787-4751-45E5-B26F-16627F5D4D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C1225</xm:sqref>
        </x14:conditionalFormatting>
        <x14:conditionalFormatting xmlns:xm="http://schemas.microsoft.com/office/excel/2006/main">
          <x14:cfRule type="dataBar" id="{B8A8A669-5E52-4E16-A2C6-6EC4F0FADD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C1226</xm:sqref>
        </x14:conditionalFormatting>
        <x14:conditionalFormatting xmlns:xm="http://schemas.microsoft.com/office/excel/2006/main">
          <x14:cfRule type="dataBar" id="{FE49B406-7D10-4E5B-BB3C-C0C21AAFCD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C1227</xm:sqref>
        </x14:conditionalFormatting>
        <x14:conditionalFormatting xmlns:xm="http://schemas.microsoft.com/office/excel/2006/main">
          <x14:cfRule type="dataBar" id="{A986862B-B84C-41E1-A26C-9CDF27E7DB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C1229</xm:sqref>
        </x14:conditionalFormatting>
        <x14:conditionalFormatting xmlns:xm="http://schemas.microsoft.com/office/excel/2006/main">
          <x14:cfRule type="dataBar" id="{FA2C4B8F-21D2-4EFC-9DA1-E46BACA8A2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C1230</xm:sqref>
        </x14:conditionalFormatting>
        <x14:conditionalFormatting xmlns:xm="http://schemas.microsoft.com/office/excel/2006/main">
          <x14:cfRule type="dataBar" id="{7392F79D-EBA2-48C1-A8D8-4AB2497E8D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C1231</xm:sqref>
        </x14:conditionalFormatting>
        <x14:conditionalFormatting xmlns:xm="http://schemas.microsoft.com/office/excel/2006/main">
          <x14:cfRule type="dataBar" id="{4BFEE54B-4E7C-450D-99A9-10C26B1DF7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C1241</xm:sqref>
        </x14:conditionalFormatting>
        <x14:conditionalFormatting xmlns:xm="http://schemas.microsoft.com/office/excel/2006/main">
          <x14:cfRule type="dataBar" id="{8E384C7F-31D3-43D5-9DA0-2B96DEC3D2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C1242</xm:sqref>
        </x14:conditionalFormatting>
        <x14:conditionalFormatting xmlns:xm="http://schemas.microsoft.com/office/excel/2006/main">
          <x14:cfRule type="dataBar" id="{8F9EE3C3-3AB4-4FEA-BA2A-0B980AD9F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C1243</xm:sqref>
        </x14:conditionalFormatting>
        <x14:conditionalFormatting xmlns:xm="http://schemas.microsoft.com/office/excel/2006/main">
          <x14:cfRule type="dataBar" id="{830DB5E8-1FB4-48A1-A7B5-085D5ED457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D1216</xm:sqref>
        </x14:conditionalFormatting>
        <x14:conditionalFormatting xmlns:xm="http://schemas.microsoft.com/office/excel/2006/main">
          <x14:cfRule type="dataBar" id="{FD7890C2-5418-4DD6-AEA2-252D8BB860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D1218:D1223</xm:sqref>
        </x14:conditionalFormatting>
        <x14:conditionalFormatting xmlns:xm="http://schemas.microsoft.com/office/excel/2006/main">
          <x14:cfRule type="dataBar" id="{835C2BDB-A8F2-485B-9FF5-FCFD927A3A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D1224</xm:sqref>
        </x14:conditionalFormatting>
        <x14:conditionalFormatting xmlns:xm="http://schemas.microsoft.com/office/excel/2006/main">
          <x14:cfRule type="dataBar" id="{E814C208-87C4-4485-B5A2-390E69CA55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G1218:G1223</xm:sqref>
        </x14:conditionalFormatting>
        <x14:conditionalFormatting xmlns:xm="http://schemas.microsoft.com/office/excel/2006/main">
          <x14:cfRule type="dataBar" id="{1F636D44-C540-49F8-8A3B-4ADA970D99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C1217</xm:sqref>
        </x14:conditionalFormatting>
        <x14:conditionalFormatting xmlns:xm="http://schemas.microsoft.com/office/excel/2006/main">
          <x14:cfRule type="dataBar" id="{74F19756-C447-40E3-A111-27B81867EC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D1217</xm:sqref>
        </x14:conditionalFormatting>
        <x14:conditionalFormatting xmlns:xm="http://schemas.microsoft.com/office/excel/2006/main">
          <x14:cfRule type="dataBar" id="{AC371354-4F71-49F1-875B-AAE1D61C64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G1217</xm:sqref>
        </x14:conditionalFormatting>
        <x14:conditionalFormatting xmlns:xm="http://schemas.microsoft.com/office/excel/2006/main">
          <x14:cfRule type="dataBar" id="{B8FF9A32-C084-4733-9BAF-052E8DF521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C1244</xm:sqref>
        </x14:conditionalFormatting>
        <x14:conditionalFormatting xmlns:xm="http://schemas.microsoft.com/office/excel/2006/main">
          <x14:cfRule type="dataBar" id="{AC773DDC-B5DC-476D-A679-C8CAF6BEF2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B1244</xm:sqref>
        </x14:conditionalFormatting>
        <x14:conditionalFormatting xmlns:xm="http://schemas.microsoft.com/office/excel/2006/main">
          <x14:cfRule type="dataBar" id="{879CC7BB-5CD8-4FE4-9347-99D388CE0E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G1208:H1211</xm:sqref>
        </x14:conditionalFormatting>
        <x14:conditionalFormatting xmlns:xm="http://schemas.microsoft.com/office/excel/2006/main">
          <x14:cfRule type="dataBar" id="{A76CAE4E-3915-4837-ADCF-A6D937A8AB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B1209:B1215 B1232:B1240</xm:sqref>
        </x14:conditionalFormatting>
        <x14:conditionalFormatting xmlns:xm="http://schemas.microsoft.com/office/excel/2006/main">
          <x14:cfRule type="dataBar" id="{20F78141-F4E8-4DF0-AF94-54B0A93AEB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B1216</xm:sqref>
        </x14:conditionalFormatting>
        <x14:conditionalFormatting xmlns:xm="http://schemas.microsoft.com/office/excel/2006/main">
          <x14:cfRule type="dataBar" id="{A3AAF34A-5289-4906-8161-564DDAF0F8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B1218:B1223</xm:sqref>
        </x14:conditionalFormatting>
        <x14:conditionalFormatting xmlns:xm="http://schemas.microsoft.com/office/excel/2006/main">
          <x14:cfRule type="dataBar" id="{0636B930-CEDA-4CDD-89C7-C38D54ABA6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B1224</xm:sqref>
        </x14:conditionalFormatting>
        <x14:conditionalFormatting xmlns:xm="http://schemas.microsoft.com/office/excel/2006/main">
          <x14:cfRule type="dataBar" id="{1E4B91D1-EDDA-4AF7-9DF9-03DD049698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B1225</xm:sqref>
        </x14:conditionalFormatting>
        <x14:conditionalFormatting xmlns:xm="http://schemas.microsoft.com/office/excel/2006/main">
          <x14:cfRule type="dataBar" id="{68B8E6FC-A6F4-4D64-B231-DAFDB896CE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B1226</xm:sqref>
        </x14:conditionalFormatting>
        <x14:conditionalFormatting xmlns:xm="http://schemas.microsoft.com/office/excel/2006/main">
          <x14:cfRule type="dataBar" id="{1FBFCF21-FA59-4B72-9E8A-B3F8A68560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B1227</xm:sqref>
        </x14:conditionalFormatting>
        <x14:conditionalFormatting xmlns:xm="http://schemas.microsoft.com/office/excel/2006/main">
          <x14:cfRule type="dataBar" id="{ADCBA1E9-3280-4C51-B685-65ADB0738B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B1229</xm:sqref>
        </x14:conditionalFormatting>
        <x14:conditionalFormatting xmlns:xm="http://schemas.microsoft.com/office/excel/2006/main">
          <x14:cfRule type="dataBar" id="{A19EA82D-619D-4D0F-AB12-DBBB2C5439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B1230</xm:sqref>
        </x14:conditionalFormatting>
        <x14:conditionalFormatting xmlns:xm="http://schemas.microsoft.com/office/excel/2006/main">
          <x14:cfRule type="dataBar" id="{93E570C8-9FE7-4522-A0F5-5641721C85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B1231</xm:sqref>
        </x14:conditionalFormatting>
        <x14:conditionalFormatting xmlns:xm="http://schemas.microsoft.com/office/excel/2006/main">
          <x14:cfRule type="dataBar" id="{8F904CAA-27D6-4A37-86B2-29B0D5D313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B1241</xm:sqref>
        </x14:conditionalFormatting>
        <x14:conditionalFormatting xmlns:xm="http://schemas.microsoft.com/office/excel/2006/main">
          <x14:cfRule type="dataBar" id="{52302FA3-F74B-4A1C-8AD7-2F9A31EC9C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B1242</xm:sqref>
        </x14:conditionalFormatting>
        <x14:conditionalFormatting xmlns:xm="http://schemas.microsoft.com/office/excel/2006/main">
          <x14:cfRule type="dataBar" id="{0171AE3E-0FBF-4A05-999D-C5F3DE86A1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B1243</xm:sqref>
        </x14:conditionalFormatting>
        <x14:conditionalFormatting xmlns:xm="http://schemas.microsoft.com/office/excel/2006/main">
          <x14:cfRule type="dataBar" id="{65EB9575-E4BA-4C2A-8C56-951DF93237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B1217</xm:sqref>
        </x14:conditionalFormatting>
        <x14:conditionalFormatting xmlns:xm="http://schemas.microsoft.com/office/excel/2006/main">
          <x14:cfRule type="dataBar" id="{626B7FA3-9AD5-4FFB-8D9B-B5DAE9726F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M5:M1200</xm:sqref>
        </x14:conditionalFormatting>
        <x14:conditionalFormatting xmlns:xm="http://schemas.microsoft.com/office/excel/2006/main">
          <x14:cfRule type="dataBar" id="{4C61EC6F-1E0A-4BA4-B342-9D6F56AF7A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AB5:AB1200</xm:sqref>
        </x14:conditionalFormatting>
        <x14:conditionalFormatting xmlns:xm="http://schemas.microsoft.com/office/excel/2006/main">
          <x14:cfRule type="dataBar" id="{411B3D1D-D77B-47C7-BBFF-E22DA56382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AL5:AL1200</xm:sqref>
        </x14:conditionalFormatting>
        <x14:conditionalFormatting xmlns:xm="http://schemas.microsoft.com/office/excel/2006/main">
          <x14:cfRule type="dataBar" id="{0D4F60B9-5D94-43C8-97E0-D29BD05900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AN6:AO1200</xm:sqref>
        </x14:conditionalFormatting>
        <x14:conditionalFormatting xmlns:xm="http://schemas.microsoft.com/office/excel/2006/main">
          <x14:cfRule type="dataBar" id="{01A50B6B-1DC5-483B-B947-A1ABAFA66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AO5:AO1200</xm:sqref>
        </x14:conditionalFormatting>
        <x14:conditionalFormatting xmlns:xm="http://schemas.microsoft.com/office/excel/2006/main">
          <x14:cfRule type="dataBar" id="{51CA0FE6-CC8C-4E62-B37E-54D78B5D91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AN5:AN1200</xm:sqref>
        </x14:conditionalFormatting>
        <x14:conditionalFormatting xmlns:xm="http://schemas.microsoft.com/office/excel/2006/main">
          <x14:cfRule type="dataBar" id="{B039DF08-19CC-4FEB-85EE-77C60CE4B1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Q5:Q1200</xm:sqref>
        </x14:conditionalFormatting>
        <x14:conditionalFormatting xmlns:xm="http://schemas.microsoft.com/office/excel/2006/main">
          <x14:cfRule type="dataBar" id="{96445FE5-071E-4EFC-AC98-87890D9912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X5:X1200</xm:sqref>
        </x14:conditionalFormatting>
        <x14:conditionalFormatting xmlns:xm="http://schemas.microsoft.com/office/excel/2006/main">
          <x14:cfRule type="dataBar" id="{17C009FF-8028-40E2-9568-F8B30DFA73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AE5:AE1200</xm:sqref>
        </x14:conditionalFormatting>
        <x14:conditionalFormatting xmlns:xm="http://schemas.microsoft.com/office/excel/2006/main">
          <x14:cfRule type="dataBar" id="{D80C854E-82F5-44B1-9AEC-6C0A87FAE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X5:X1200</xm:sqref>
        </x14:conditionalFormatting>
        <x14:conditionalFormatting xmlns:xm="http://schemas.microsoft.com/office/excel/2006/main">
          <x14:cfRule type="dataBar" id="{96AC29D9-2CC4-4730-9B0F-3BBF22D0F9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E1218:F1223</xm:sqref>
        </x14:conditionalFormatting>
        <x14:conditionalFormatting xmlns:xm="http://schemas.microsoft.com/office/excel/2006/main">
          <x14:cfRule type="dataBar" id="{3C74F085-A395-4C92-8641-411E9FEED4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E1216:G1216</xm:sqref>
        </x14:conditionalFormatting>
        <x14:conditionalFormatting xmlns:xm="http://schemas.microsoft.com/office/excel/2006/main">
          <x14:cfRule type="dataBar" id="{27443CE1-6941-4475-850B-A7C4637B10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E1224:G1224</xm:sqref>
        </x14:conditionalFormatting>
        <x14:conditionalFormatting xmlns:xm="http://schemas.microsoft.com/office/excel/2006/main">
          <x14:cfRule type="dataBar" id="{E52ADF96-593B-44DC-A26E-B18B7F8233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E1217:F1217</xm:sqref>
        </x14:conditionalFormatting>
        <x14:conditionalFormatting xmlns:xm="http://schemas.microsoft.com/office/excel/2006/main">
          <x14:cfRule type="dataBar" id="{781C5281-396D-405B-BB05-23A4FE6E93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B1228:C1228</xm:sqref>
        </x14:conditionalFormatting>
        <x14:conditionalFormatting xmlns:xm="http://schemas.microsoft.com/office/excel/2006/main">
          <x14:cfRule type="dataBar" id="{6D077830-CA31-4B33-ADFD-771E9B3EFF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D1208:D1211</xm:sqref>
        </x14:conditionalFormatting>
        <x14:conditionalFormatting xmlns:xm="http://schemas.microsoft.com/office/excel/2006/main">
          <x14:cfRule type="dataBar" id="{20A61BA6-7CE2-4299-AF4F-48C06A0BE3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AF5:AF1200</xm:sqref>
        </x14:conditionalFormatting>
        <x14:conditionalFormatting xmlns:xm="http://schemas.microsoft.com/office/excel/2006/main">
          <x14:cfRule type="dataBar" id="{33CC1FD7-F52C-4F97-8A6A-6204E244ED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AG5:AG1200</xm:sqref>
        </x14:conditionalFormatting>
        <x14:conditionalFormatting xmlns:xm="http://schemas.microsoft.com/office/excel/2006/main">
          <x14:cfRule type="dataBar" id="{51FDAF78-774F-46C9-AF86-F542925040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AK5:AK1200</xm:sqref>
        </x14:conditionalFormatting>
        <x14:conditionalFormatting xmlns:xm="http://schemas.microsoft.com/office/excel/2006/main">
          <x14:cfRule type="dataBar" id="{C307AC7D-9BA0-41EA-9C54-C47BD6EB64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AI5:AI1200</xm:sqref>
        </x14:conditionalFormatting>
        <x14:conditionalFormatting xmlns:xm="http://schemas.microsoft.com/office/excel/2006/main">
          <x14:cfRule type="dataBar" id="{EC9D83F3-48BF-4B19-8256-30AD09E127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E1212:G1215 E1208:F1211</xm:sqref>
        </x14:conditionalFormatting>
        <x14:conditionalFormatting xmlns:xm="http://schemas.microsoft.com/office/excel/2006/main">
          <x14:cfRule type="dataBar" id="{4D6B7BBB-A36F-446C-93F1-3C58CD07EB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A1244:A1245</xm:sqref>
        </x14:conditionalFormatting>
        <x14:conditionalFormatting xmlns:xm="http://schemas.microsoft.com/office/excel/2006/main">
          <x14:cfRule type="dataBar" id="{B9EA8320-783F-41F2-96A3-774782A521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D1233:D1240</xm:sqref>
        </x14:conditionalFormatting>
        <x14:conditionalFormatting xmlns:xm="http://schemas.microsoft.com/office/excel/2006/main">
          <x14:cfRule type="dataBar" id="{996FEB0B-7C40-45E5-A2FD-BA52FCAD84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D1241</xm:sqref>
        </x14:conditionalFormatting>
        <x14:conditionalFormatting xmlns:xm="http://schemas.microsoft.com/office/excel/2006/main">
          <x14:cfRule type="dataBar" id="{DCF9AAFE-2E18-44C1-8A89-4DEE271244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D1242</xm:sqref>
        </x14:conditionalFormatting>
        <x14:conditionalFormatting xmlns:xm="http://schemas.microsoft.com/office/excel/2006/main">
          <x14:cfRule type="dataBar" id="{08424E81-9681-42A0-93AC-CC36DB5DF9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D1243</xm:sqref>
        </x14:conditionalFormatting>
        <x14:conditionalFormatting xmlns:xm="http://schemas.microsoft.com/office/excel/2006/main">
          <x14:cfRule type="dataBar" id="{65E858F9-AEAC-45F1-85CA-0823B952C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D1244</xm:sqref>
        </x14:conditionalFormatting>
        <x14:conditionalFormatting xmlns:xm="http://schemas.microsoft.com/office/excel/2006/main">
          <x14:cfRule type="dataBar" id="{19D14217-3D93-4D2F-8A8A-9328068168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D1226</xm:sqref>
        </x14:conditionalFormatting>
        <x14:conditionalFormatting xmlns:xm="http://schemas.microsoft.com/office/excel/2006/main">
          <x14:cfRule type="dataBar" id="{3B5CDED1-F54A-4B38-A883-AEDD0BCC6D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D1227</xm:sqref>
        </x14:conditionalFormatting>
        <x14:conditionalFormatting xmlns:xm="http://schemas.microsoft.com/office/excel/2006/main">
          <x14:cfRule type="dataBar" id="{75C1C0A5-E904-463A-89B9-AFA1C31CDA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D1228</xm:sqref>
        </x14:conditionalFormatting>
        <x14:conditionalFormatting xmlns:xm="http://schemas.microsoft.com/office/excel/2006/main">
          <x14:cfRule type="dataBar" id="{7B49C504-CC91-40C0-B77C-D152D38AA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D1229</xm:sqref>
        </x14:conditionalFormatting>
        <x14:conditionalFormatting xmlns:xm="http://schemas.microsoft.com/office/excel/2006/main">
          <x14:cfRule type="dataBar" id="{AA840420-B570-4120-BCE6-B24E535EAB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D1231</xm:sqref>
        </x14:conditionalFormatting>
        <x14:conditionalFormatting xmlns:xm="http://schemas.microsoft.com/office/excel/2006/main">
          <x14:cfRule type="dataBar" id="{63B398C0-8620-4C98-8CA0-191076D1BF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E1229</xm:sqref>
        </x14:conditionalFormatting>
        <x14:conditionalFormatting xmlns:xm="http://schemas.microsoft.com/office/excel/2006/main">
          <x14:cfRule type="dataBar" id="{A9256834-2C85-47B5-AE1C-EAD3E2441C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E1226</xm:sqref>
        </x14:conditionalFormatting>
        <x14:conditionalFormatting xmlns:xm="http://schemas.microsoft.com/office/excel/2006/main">
          <x14:cfRule type="dataBar" id="{9683D85C-B0A6-4D83-9D8D-536A1F799C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E1227</xm:sqref>
        </x14:conditionalFormatting>
        <x14:conditionalFormatting xmlns:xm="http://schemas.microsoft.com/office/excel/2006/main">
          <x14:cfRule type="dataBar" id="{4970AB67-AFE7-4BF2-880C-789BB0EBE3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E1228</xm:sqref>
        </x14:conditionalFormatting>
        <x14:conditionalFormatting xmlns:xm="http://schemas.microsoft.com/office/excel/2006/main">
          <x14:cfRule type="dataBar" id="{6E45D2F5-B760-42B4-B7DD-AE1058DF7F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E1231</xm:sqref>
        </x14:conditionalFormatting>
        <x14:conditionalFormatting xmlns:xm="http://schemas.microsoft.com/office/excel/2006/main">
          <x14:cfRule type="dataBar" id="{A3BD8CE5-202C-430D-AD62-711228D9F6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D1230</xm:sqref>
        </x14:conditionalFormatting>
        <x14:conditionalFormatting xmlns:xm="http://schemas.microsoft.com/office/excel/2006/main">
          <x14:cfRule type="dataBar" id="{1FE16660-EF61-40F0-A3A4-8302FE957B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E1230</xm:sqref>
        </x14:conditionalFormatting>
        <x14:conditionalFormatting xmlns:xm="http://schemas.microsoft.com/office/excel/2006/main">
          <x14:cfRule type="dataBar" id="{12F7FD23-98F4-4A57-AEEB-88E815E9ED76}">
            <x14:dataBar minLength="0" maxLength="100" gradient="0">
              <x14:cfvo type="autoMin"/>
              <x14:cfvo type="autoMax"/>
              <x14:negativeFillColor rgb="FFFFC5C5"/>
              <x14:axisColor rgb="FF000000"/>
            </x14:dataBar>
          </x14:cfRule>
          <xm:sqref>O5:O1200 H5:H1200</xm:sqref>
        </x14:conditionalFormatting>
        <x14:conditionalFormatting xmlns:xm="http://schemas.microsoft.com/office/excel/2006/main">
          <x14:cfRule type="dataBar" id="{E3E85134-4BEC-4FB5-B272-78A673BB79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AM5:AM1200</xm:sqref>
        </x14:conditionalFormatting>
        <x14:conditionalFormatting xmlns:xm="http://schemas.microsoft.com/office/excel/2006/main">
          <x14:cfRule type="dataBar" id="{9EF2549B-513F-4994-A6F2-0F348D6654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M1201</xm:sqref>
        </x14:conditionalFormatting>
        <x14:conditionalFormatting xmlns:xm="http://schemas.microsoft.com/office/excel/2006/main">
          <x14:cfRule type="dataBar" id="{08B9C3F0-A11C-447C-BDF7-412DB30936FB}">
            <x14:dataBar minLength="0" maxLength="100" gradient="0">
              <x14:cfvo type="autoMin"/>
              <x14:cfvo type="autoMax"/>
              <x14:negativeFillColor theme="0" tint="-0.499984740745262"/>
              <x14:axisColor rgb="FF000000"/>
            </x14:dataBar>
          </x14:cfRule>
          <xm:sqref>AK1201</xm:sqref>
        </x14:conditionalFormatting>
        <x14:conditionalFormatting xmlns:xm="http://schemas.microsoft.com/office/excel/2006/main">
          <x14:cfRule type="dataBar" id="{A4E5D6F2-FBF3-4BB7-82F9-900528256D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AL1201</xm:sqref>
        </x14:conditionalFormatting>
        <x14:conditionalFormatting xmlns:xm="http://schemas.microsoft.com/office/excel/2006/main">
          <x14:cfRule type="dataBar" id="{B93DD9C3-C6ED-4267-AE2C-CC6304EDF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AM1201:AO1201</xm:sqref>
        </x14:conditionalFormatting>
        <x14:conditionalFormatting xmlns:xm="http://schemas.microsoft.com/office/excel/2006/main">
          <x14:cfRule type="dataBar" id="{129293BE-CA3E-4A94-973A-2C9D3FD980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AO1201</xm:sqref>
        </x14:conditionalFormatting>
        <x14:conditionalFormatting xmlns:xm="http://schemas.microsoft.com/office/excel/2006/main">
          <x14:cfRule type="dataBar" id="{8D2F6BF6-105D-4DA5-8EB9-F2467B2FC3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AN1201</xm:sqref>
        </x14:conditionalFormatting>
        <x14:conditionalFormatting xmlns:xm="http://schemas.microsoft.com/office/excel/2006/main">
          <x14:cfRule type="dataBar" id="{9001ACE6-A16C-45C4-AAB4-84B5B9C358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AB1201</xm:sqref>
        </x14:conditionalFormatting>
        <x14:conditionalFormatting xmlns:xm="http://schemas.microsoft.com/office/excel/2006/main">
          <x14:cfRule type="dataBar" id="{2E781750-BFB4-42B2-950B-582124A42A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N1201</xm:sqref>
        </x14:conditionalFormatting>
        <x14:conditionalFormatting xmlns:xm="http://schemas.microsoft.com/office/excel/2006/main">
          <x14:cfRule type="dataBar" id="{1336EAAD-A3D6-4575-9299-4EA023F221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Q1201</xm:sqref>
        </x14:conditionalFormatting>
        <x14:conditionalFormatting xmlns:xm="http://schemas.microsoft.com/office/excel/2006/main">
          <x14:cfRule type="dataBar" id="{4633DF9F-7347-4664-8451-7566005A9E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AE1201</xm:sqref>
        </x14:conditionalFormatting>
        <x14:conditionalFormatting xmlns:xm="http://schemas.microsoft.com/office/excel/2006/main">
          <x14:cfRule type="dataBar" id="{6C750405-D67E-45FB-A795-85CDB730D7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X1201</xm:sqref>
        </x14:conditionalFormatting>
        <x14:conditionalFormatting xmlns:xm="http://schemas.microsoft.com/office/excel/2006/main">
          <x14:cfRule type="dataBar" id="{090E009C-ECB0-4EC3-A345-E8C0FCCB22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AF1201</xm:sqref>
        </x14:conditionalFormatting>
        <x14:conditionalFormatting xmlns:xm="http://schemas.microsoft.com/office/excel/2006/main">
          <x14:cfRule type="dataBar" id="{F0585CFF-4AD1-489C-BBC0-A02B19A88E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AG1201</xm:sqref>
        </x14:conditionalFormatting>
        <x14:conditionalFormatting xmlns:xm="http://schemas.microsoft.com/office/excel/2006/main">
          <x14:cfRule type="dataBar" id="{F51DAB55-207E-480F-8069-CD10AC236A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AI1201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2026-01-22T13:50:08Z</dcterms:created>
  <dcterms:modified xsi:type="dcterms:W3CDTF">2026-01-23T10:06:31Z</dcterms:modified>
</cp:coreProperties>
</file>